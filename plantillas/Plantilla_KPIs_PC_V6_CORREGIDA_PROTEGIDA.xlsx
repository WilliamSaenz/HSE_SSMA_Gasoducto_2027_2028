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365iebc-my.sharepoint.com/personal/wsaenz_iebc_com_ar/Documents/PAE - YPF/ENTREGA MENSUAL - SEPTIEMBRE/Fuentes y Planillas/"/>
    </mc:Choice>
  </mc:AlternateContent>
  <xr:revisionPtr revIDLastSave="7" documentId="13_ncr:1_{6C0C51C9-5726-493A-9A12-2FFB0EC76759}" xr6:coauthVersionLast="47" xr6:coauthVersionMax="47" xr10:uidLastSave="{FFBD4127-1F1F-4B8F-845C-118F0EC18D7C}"/>
  <workbookProtection workbookPassword="9F52" lockStructure="1"/>
  <bookViews>
    <workbookView xWindow="-108" yWindow="-108" windowWidth="23256" windowHeight="13896" firstSheet="2" activeTab="2" xr2:uid="{00000000-000D-0000-FFFF-FFFF00000000}"/>
  </bookViews>
  <sheets>
    <sheet name="Control" sheetId="1" state="hidden" r:id="rId1"/>
    <sheet name="_TARGETS" sheetId="2" state="hidden" r:id="rId2"/>
    <sheet name="Datos" sheetId="4" r:id="rId3"/>
    <sheet name="Observaciones-SMP" sheetId="5" r:id="rId4"/>
    <sheet name="MAPs" sheetId="60" r:id="rId5"/>
    <sheet name="KPIs" sheetId="3" state="hidden" r:id="rId6"/>
    <sheet name="FOTOS_AGO_26" sheetId="6" r:id="rId7"/>
    <sheet name="FOTOS_SEP_26" sheetId="7" r:id="rId8"/>
    <sheet name="FOTOS_OCT_26" sheetId="8" r:id="rId9"/>
    <sheet name="FOTOS_NOV_26" sheetId="9" r:id="rId10"/>
    <sheet name="FOTOS_DIC_26" sheetId="10" r:id="rId11"/>
    <sheet name="FOTOS_ENE_27" sheetId="11" r:id="rId12"/>
    <sheet name="FOTOS_FEB_27" sheetId="12" r:id="rId13"/>
    <sheet name="FOTOS_MAR_27" sheetId="13" r:id="rId14"/>
    <sheet name="FOTOS_ABR_27" sheetId="14" r:id="rId15"/>
    <sheet name="FOTOS_MAY_27" sheetId="15" r:id="rId16"/>
    <sheet name="FOTOS_JUN_27" sheetId="16" r:id="rId17"/>
    <sheet name="FOTOS_JUL_27" sheetId="17" r:id="rId18"/>
    <sheet name="FOTOS_AGO_27" sheetId="18" r:id="rId19"/>
    <sheet name="FOTOS_SEP_27" sheetId="19" r:id="rId20"/>
    <sheet name="FOTOS_OCT_27" sheetId="20" r:id="rId21"/>
    <sheet name="FOTOS_NOV_27" sheetId="21" r:id="rId22"/>
    <sheet name="FOTOS_DIC_27" sheetId="22" r:id="rId23"/>
    <sheet name="FOTOS_ENE_28" sheetId="23" r:id="rId24"/>
    <sheet name="FOTOS_FEB_28" sheetId="24" r:id="rId25"/>
    <sheet name="FOTOS_MAR_28" sheetId="25" r:id="rId26"/>
    <sheet name="FOTOS_ABR_28" sheetId="26" r:id="rId27"/>
    <sheet name="FOTOS_MAY_28" sheetId="27" r:id="rId28"/>
    <sheet name="FOTOS_JUN_28" sheetId="28" r:id="rId29"/>
    <sheet name="FOTOS_JUL_28" sheetId="29" r:id="rId30"/>
    <sheet name="FOTOS_AGO_28" sheetId="30" r:id="rId31"/>
    <sheet name="FOTOS_SEP_28" sheetId="31" r:id="rId32"/>
    <sheet name="FOTOS_OCT_28" sheetId="32" r:id="rId33"/>
    <sheet name="FOTOS_NOV_28" sheetId="33" r:id="rId34"/>
    <sheet name="FOTOS_DIC_28" sheetId="34" r:id="rId35"/>
    <sheet name="FOTOS_ENE_29" sheetId="35" r:id="rId36"/>
    <sheet name="FOTOS_FEB_29" sheetId="36" r:id="rId37"/>
    <sheet name="FOTOS_MAR_29" sheetId="37" r:id="rId38"/>
    <sheet name="FOTOS_ABR_29" sheetId="38" r:id="rId39"/>
    <sheet name="FOTOS_MAY_29" sheetId="39" r:id="rId40"/>
    <sheet name="FOTOS_JUN_29" sheetId="40" r:id="rId41"/>
    <sheet name="Listas" sheetId="41" state="hidden" r:id="rId42"/>
    <sheet name="BD_Datos" sheetId="42" state="hidden" r:id="rId43"/>
    <sheet name="BD_KPIs" sheetId="43" state="hidden" r:id="rId44"/>
    <sheet name="_INT_KPI" sheetId="44" state="hidden" r:id="rId45"/>
    <sheet name="_RAW_OPS" sheetId="45" state="hidden" r:id="rId46"/>
    <sheet name="_RAW_GPS" sheetId="46" state="hidden" r:id="rId47"/>
    <sheet name="_HLP_NORMALIZED" sheetId="47" state="hidden" r:id="rId48"/>
    <sheet name="_FIND_DS" sheetId="48" state="hidden" r:id="rId49"/>
    <sheet name="_QA" sheetId="49" state="hidden" r:id="rId50"/>
    <sheet name="_HLP_PPT" sheetId="50" state="hidden" r:id="rId51"/>
    <sheet name="_HIST_KPI" sheetId="51" state="hidden" r:id="rId52"/>
    <sheet name="_RPT_META" sheetId="52" state="hidden" r:id="rId53"/>
    <sheet name="_RPT_CARDS" sheetId="53" state="hidden" r:id="rId54"/>
    <sheet name="_RPT_CHART" sheetId="54" state="hidden" r:id="rId55"/>
    <sheet name="_RPT_PPT" sheetId="55" state="hidden" r:id="rId56"/>
    <sheet name="_RPT_SPEC_CHART" sheetId="56" state="hidden" r:id="rId57"/>
    <sheet name="_RPT_SPEC_STATUS" sheetId="57" state="hidden" r:id="rId58"/>
    <sheet name="_RPT_GLOSS" sheetId="58" state="hidden" r:id="rId59"/>
    <sheet name="_FOTOS_MAP" sheetId="59" state="hidden" r:id="rId60"/>
  </sheets>
  <definedNames>
    <definedName name="_xlnm._FilterDatabase" localSheetId="42" hidden="1">BD_Datos!$A$1:$H$1611</definedName>
    <definedName name="_xlnm._FilterDatabase" localSheetId="43" hidden="1">BD_KPIs!$A$1:$T$1296</definedName>
    <definedName name="_xlnm._FilterDatabase" localSheetId="4" hidden="1">MAPs!$A$1:$T$1001</definedName>
    <definedName name="_xlnm._FilterDatabase" localSheetId="3" hidden="1">'Observaciones-SMP'!$A$1:$T$1001</definedName>
    <definedName name="RPT_MONTH">Datos!$F$1</definedName>
    <definedName name="RPT_SCOPE">_RPT_META!$S$2</definedName>
  </definedNames>
  <calcPr calcId="191029" iterateDelta="1E-4" forceFullCalc="1" calcMode="auto"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 SAENZ SANTAMARIA</author>
  </authors>
  <commentList>
    <comment ref="E13" authorId="0" shapeId="0" xr:uid="{D0DC4289-B3E1-4613-A4A5-3CD072C85D9A}">
      <text>
        <r>
          <rPr>
            <b/>
            <sz val="9"/>
            <color indexed="81"/>
            <rFont val="Tahoma"/>
            <family val="2"/>
          </rPr>
          <t>WILLIAM SAENZ SANTAMARIA:</t>
        </r>
        <r>
          <rPr>
            <sz val="9"/>
            <color indexed="81"/>
            <rFont val="Tahoma"/>
            <family val="2"/>
          </rPr>
          <t xml:space="preserve">
NOTAS-Totalizador: 
Se generalizó con 31 días, pero: 
1. Planta: *11* personas*9hs*22días
2. Ducto:  *32* personas*9hs*31días</t>
        </r>
      </text>
    </comment>
    <comment ref="E28" authorId="0" shapeId="0" xr:uid="{0D97261B-9AC0-4C06-AD8C-761FAFF2F833}">
      <text>
        <r>
          <rPr>
            <b/>
            <sz val="9"/>
            <color indexed="81"/>
            <rFont val="Tahoma"/>
            <family val="2"/>
          </rPr>
          <t>WILLIAM SAENZ SANTAMARIA:</t>
        </r>
        <r>
          <rPr>
            <sz val="9"/>
            <color indexed="81"/>
            <rFont val="Tahoma"/>
            <family val="2"/>
          </rPr>
          <t xml:space="preserve">
Leandro: "Por el lado de las MAPs, las registra OPS pero también hay observaciones hechas por la inspección o sea todo SMP, reporto 145 MAPs, vamos a tomar las positivas como cerradas y las negativas como abiertas al día de hoy (08/oct)."</t>
        </r>
      </text>
    </comment>
  </commentList>
</comments>
</file>

<file path=xl/sharedStrings.xml><?xml version="1.0" encoding="utf-8"?>
<sst xmlns="http://schemas.openxmlformats.org/spreadsheetml/2006/main" count="13836" uniqueCount="1750">
  <si>
    <t>CONTROL DE REPORTE · PLANTA COMPRESORA · SAN MATÍAS PIPELINE</t>
  </si>
  <si>
    <t>Mes de reporte</t>
  </si>
  <si>
    <t>Estado del control de calidad</t>
  </si>
  <si>
    <t>Errores</t>
  </si>
  <si>
    <t>Advertencias</t>
  </si>
  <si>
    <t>Información</t>
  </si>
  <si>
    <t>Semáforo</t>
  </si>
  <si>
    <t>Flujo mensual</t>
  </si>
  <si>
    <t>1. Cargar el mes en la hoja Datos (columna del mes), las observaciones del seguimiento de SSA en la hoja Observaciones-SMP, las MAPs de OPS en la hoja MAPs y las fotos en la hoja FOTOS_ del mes (acceso directo en B5).</t>
  </si>
  <si>
    <t>2. Elegir el mes en C4 y hacer clic en el enlace de B5: abre la hoja FOTOS_ de ese mes. Cargar las fotos solo en esa hoja.</t>
  </si>
  <si>
    <t>3. Revisar el semáforo (celda C10) y completar lo que falte en Datos.</t>
  </si>
  <si>
    <t>4. Si el semáforo queda en ROJO, informar al responsable del reporte antes de emitir.</t>
  </si>
  <si>
    <t>5. Los datasets para gráficos y PowerPoint se actualizan solos (hojas ocultas _HLP_PPT y _FIND_DS).</t>
  </si>
  <si>
    <t>6. Cierre: tras un RELEASED, liberar_mes.bat genera cierre_snapshot_*.xlsx (hoja pegar_en__HIST_KPI); pegar sus filas 2 a 36, columnas A:W, como valores en _HIST_KPI, primera fila libre. Los controles H01/H02 vigilan que los meses cerrados no cambien.</t>
  </si>
  <si>
    <t>7. Liberación: ejecutar liberar_mes.bat (carpeta Proceso Mensual) sobre este libro calculado y guardado con Excel; genera el PowerPoint, concilia y registra RELEASED o BLOCKED. No se escribe ningún valor a mano.</t>
  </si>
  <si>
    <t>OPS y Full Control GPS: zonas de pegado _RAW_OPS / _RAW_GPS pendientes de definir con el export real.</t>
  </si>
  <si>
    <t>Controles de calidad</t>
  </si>
  <si>
    <t>ID</t>
  </si>
  <si>
    <t>Control</t>
  </si>
  <si>
    <t>Observado</t>
  </si>
  <si>
    <t>Severidad</t>
  </si>
  <si>
    <t>Estado</t>
  </si>
  <si>
    <t>Acción sugerida</t>
  </si>
  <si>
    <t>Code</t>
  </si>
  <si>
    <t>KPI (ES)</t>
  </si>
  <si>
    <t>KPI (EN)</t>
  </si>
  <si>
    <t>Unidad</t>
  </si>
  <si>
    <t>Sentido</t>
  </si>
  <si>
    <t>Meta (valor mostrado)</t>
  </si>
  <si>
    <t>Meta numérica</t>
  </si>
  <si>
    <t>Estado de la meta</t>
  </si>
  <si>
    <t>Aplica a</t>
  </si>
  <si>
    <t>Factor de normalización</t>
  </si>
  <si>
    <t>Fuente del dato</t>
  </si>
  <si>
    <t>Fuente de la meta</t>
  </si>
  <si>
    <t>Vigente desde</t>
  </si>
  <si>
    <t>Vigente hasta</t>
  </si>
  <si>
    <t>Confirmación</t>
  </si>
  <si>
    <t>Tipo de indicador</t>
  </si>
  <si>
    <t>DAFWCF</t>
  </si>
  <si>
    <t>Days Away From Work Case Frequency (DAFWCF)</t>
  </si>
  <si>
    <t>casos / 10^6 HH</t>
  </si>
  <si>
    <t>≤</t>
  </si>
  <si>
    <t>Definida</t>
  </si>
  <si>
    <t>Monthly / YTD / Cumulative</t>
  </si>
  <si>
    <t>OPS (carga manual en Datos)</t>
  </si>
  <si>
    <t>Heredada de plantilla v0 (KPIs!C); documento fuente no identificado</t>
  </si>
  <si>
    <t>PENDIENTE CONFIRMAR</t>
  </si>
  <si>
    <t>Tasa</t>
  </si>
  <si>
    <t>TRICF</t>
  </si>
  <si>
    <t>Total Recordable Injury Case Frequency (TRICF)</t>
  </si>
  <si>
    <t>FAC</t>
  </si>
  <si>
    <t>First Aid Cases (FAC)</t>
  </si>
  <si>
    <t>casos</t>
  </si>
  <si>
    <t>Reporte</t>
  </si>
  <si>
    <t>Solo reporte</t>
  </si>
  <si>
    <t>Conteo</t>
  </si>
  <si>
    <t>SVCR</t>
  </si>
  <si>
    <t>Severe Vehicle Crash Rate (SVCR)</t>
  </si>
  <si>
    <t>eventos / 10^6 km</t>
  </si>
  <si>
    <t>OPS (eventos) + Full Control GPS (km) - carga manual en Datos</t>
  </si>
  <si>
    <t>TVCR</t>
  </si>
  <si>
    <t>Total Vehicle Crash Rate (TVCR)</t>
  </si>
  <si>
    <t>OBS</t>
  </si>
  <si>
    <t>Safety Observations per Person (OBS)</t>
  </si>
  <si>
    <t>obs / persona</t>
  </si>
  <si>
    <t>≥</t>
  </si>
  <si>
    <t>PROVISORIA · referencia del subcontratista (OPS: 1 obs/persona); meta y población en definición</t>
  </si>
  <si>
    <t>Monthly</t>
  </si>
  <si>
    <t>Referencia OPS para MAPs (sept-26); la meta de 6 obs/persona no definió el personal alcanzado</t>
  </si>
  <si>
    <t>Ratio</t>
  </si>
  <si>
    <t>INV</t>
  </si>
  <si>
    <t>Incident Investigations - Average Closure Days (INV)</t>
  </si>
  <si>
    <t>días</t>
  </si>
  <si>
    <t>Monthly / YTD</t>
  </si>
  <si>
    <t>Promedio</t>
  </si>
  <si>
    <t>HCS</t>
  </si>
  <si>
    <t>Safety Training Hours as % of Hours Worked (HCS)</t>
  </si>
  <si>
    <t>% (fracción)</t>
  </si>
  <si>
    <t>Proporción</t>
  </si>
  <si>
    <t>HCSA</t>
  </si>
  <si>
    <t>Safety Training Hours per Person (HCSA)</t>
  </si>
  <si>
    <t>h / persona</t>
  </si>
  <si>
    <t>CPSE</t>
  </si>
  <si>
    <t>Drill Compliance, emergency and operational (CPSE)</t>
  </si>
  <si>
    <t>CAMS</t>
  </si>
  <si>
    <t>Drill Improvement Actions, implemented vs raised (CAMS)</t>
  </si>
  <si>
    <t>ICCS</t>
  </si>
  <si>
    <t>Management Walkthrough Compliance (ICCS)</t>
  </si>
  <si>
    <t>CCS</t>
  </si>
  <si>
    <t>Safety Committee Compliance (CCS)</t>
  </si>
  <si>
    <t>DPAS</t>
  </si>
  <si>
    <t>Average Days to Close Findings (DPAS)</t>
  </si>
  <si>
    <t>Medición 2026 (meta en 2027)</t>
  </si>
  <si>
    <t>Pendiente (meta 2027)</t>
  </si>
  <si>
    <t>Plant Findings (hoja Observaciones-SMP)</t>
  </si>
  <si>
    <t>HAL_ALTA_PCT</t>
  </si>
  <si>
    <t>High-Severity Findings, % of Detected (HAL-A)</t>
  </si>
  <si>
    <t>DET</t>
  </si>
  <si>
    <t>Stop-Work Actions Applied (DET)</t>
  </si>
  <si>
    <t>u</t>
  </si>
  <si>
    <t>COB</t>
  </si>
  <si>
    <t>Safety Training Coverage (COB)</t>
  </si>
  <si>
    <t>Carga manual en Datos (planillas de asistencia)</t>
  </si>
  <si>
    <t>Definición de la Gerencia (V2); sin meta</t>
  </si>
  <si>
    <t>CAMPC</t>
  </si>
  <si>
    <t>Safety Campaign Compliance (CAMPC)</t>
  </si>
  <si>
    <t>Carga manual en Datos (evidencia de campañas)</t>
  </si>
  <si>
    <t>KPIs HSE · Planta Compresora · OPS + SMP(IEBC, PAE e YPF) en campo · San Matías Pipeline</t>
  </si>
  <si>
    <t>Verde = cumple la meta · Rojo = no cumple · "-" = mes sin datos  ·  Columna META editable (con cambios, se actualizan semáforos, acumulado). Violeta = pendiente de confirmar.</t>
  </si>
  <si>
    <t>INDICADOR</t>
  </si>
  <si>
    <t>CÓMO SE CALCULA</t>
  </si>
  <si>
    <t>TARGET / META</t>
  </si>
  <si>
    <t>Compresora</t>
  </si>
  <si>
    <t>INDICADORES REACTIVOS · Personal</t>
  </si>
  <si>
    <t>nDAFWC × 1.000.000 ÷ HHT</t>
  </si>
  <si>
    <t>(nDAFWC + nRWC + nMTC + nF) × 1.000.000 ÷ HHT  (sin primeros auxilios)</t>
  </si>
  <si>
    <t>Cantidad de casos en el mes</t>
  </si>
  <si>
    <t>INDICADORES REACTIVOS · Vehiculares</t>
  </si>
  <si>
    <t>(C + M + S) × 1.000.000 ÷ km recorridos</t>
  </si>
  <si>
    <t>(C + M + S + O) × 1.000.000 ÷ km recorridos</t>
  </si>
  <si>
    <t>INDICADORES REACTIVOS · Gestión</t>
  </si>
  <si>
    <t>Nº de observaciones de comportamiento seguro ÷ dotación promedio</t>
  </si>
  <si>
    <t>Días de las investigaciones cerradas ÷ Nº de cerradas</t>
  </si>
  <si>
    <t>INDICADORES PROACTIVOS · Personal y vehiculares</t>
  </si>
  <si>
    <t>HH de capacitación en seguridad ÷ HHT</t>
  </si>
  <si>
    <t>HH de capacitación en seguridad ÷ dotación promedio</t>
  </si>
  <si>
    <t>Simulacros realizados ÷ programados (emergencia y operativos)</t>
  </si>
  <si>
    <t>Acciones de mejora implementadas ÷ surgidas de los simulacros, ICME  (sin meta definida)</t>
  </si>
  <si>
    <t>INDICADORES PROACTIVOS · Gestión</t>
  </si>
  <si>
    <t>Realizadas ÷ planificadas  (plan: 1 por semana)</t>
  </si>
  <si>
    <t>Realizados ÷ planificados  (plan: 1 por mes)</t>
  </si>
  <si>
    <t>Días de los desvíos cerrados en el mes ÷ Nº de desvíos cerrados (carga manual en Datos)</t>
  </si>
  <si>
    <t>ACUMULADO DEL PROYECTO (desde ago-26 hasta cada mes)  ·  base correcta para comparar con las metas de proyecto</t>
  </si>
  <si>
    <t>Σ nDAFWC ÷ Σ HHT × 1.000.000 (desde ago-26 hasta el mes)</t>
  </si>
  <si>
    <t>Σ (nDAFWC + nRWC + nMTC + nF) ÷ Σ HHT × 1.000.000 (desde ago-26)</t>
  </si>
  <si>
    <t>Σ FAC desde ago-26 (conteo, sin factor)</t>
  </si>
  <si>
    <t>Σ (C + M + S) ÷ Σ km × 1.000.000 (desde ago-26)</t>
  </si>
  <si>
    <t>Σ (C + M + S + O) ÷ Σ km × 1.000.000 (desde ago-26)</t>
  </si>
  <si>
    <t>INDICADORES COMPLEMENTARIOS · Hallazgos por gravedad y detenciones (sin meta, para reporte)</t>
  </si>
  <si>
    <t>Desvíos del mes con gravedad Alta ÷ desvíos del mes con gravedad cargada (Alta + Media + Baja; carga manual en Datos)</t>
  </si>
  <si>
    <t>Cantidad de hallazgos del mes con detención de tareas aplicada (carga manual en Datos)</t>
  </si>
  <si>
    <t>YTD · ACUMULADO DEL AÑO CALENDARIO (desde enero del año del mes)  ·  recalculado desde numeradores y denominadores  ·  base calendario a confirmar  ·  OBS y HCSA sin YTD (definición pendiente)</t>
  </si>
  <si>
    <t>YTD: Σ numeradores ÷ Σ denominadores (× factor) desde enero del año del mes; base calendario a confirmar</t>
  </si>
  <si>
    <t>INDICADORES V2 · Capacitación (cobertura) y campañas de seguridad  (sin meta definida)</t>
  </si>
  <si>
    <t>14 · COB – Cobertura de capacitación en seguridad</t>
  </si>
  <si>
    <t>Personas distintas capacitadas en el mes ÷ dotación promedio (TOTAL)</t>
  </si>
  <si>
    <t>15 · CAMPC – Cumplimiento de campañas de seguridad</t>
  </si>
  <si>
    <t>Campañas realizadas ÷ programadas  (sin meta definida)</t>
  </si>
  <si>
    <t>INTERNOS · IAP / IAE  (dato provisto por jefatura; sin procesamiento ni meta)</t>
  </si>
  <si>
    <t>IAP · Accidentes de alto potencial x 1.000.000 / Horas Hombre Trabajadas</t>
  </si>
  <si>
    <t>Medición · valor cargado mensualmente (hoja _INT_KPI); no se calcula</t>
  </si>
  <si>
    <t>IAE · Accidentes de alta energía x 1.000.000 / Horas Hombre Trabajadas</t>
  </si>
  <si>
    <t>DATOS MENSUALES HSE · PLANTA COMPRESORA · OPS + SMP(IEBC, PAE e YPF) EN CAMPO</t>
  </si>
  <si>
    <t>Amarillo: por cargar · Naranja: falta cargar (mes en curso o pasado) · Verde: cargado · Celeste: mes a cargar · Rojo fuerte: revisar (dato incoherente)</t>
  </si>
  <si>
    <t>VARIABLE</t>
  </si>
  <si>
    <t>pers</t>
  </si>
  <si>
    <t>h</t>
  </si>
  <si>
    <t>CAPACITACIÓN EN SEGURIDAD</t>
  </si>
  <si>
    <t>GESTIÓN</t>
  </si>
  <si>
    <t>ACCIDENTES CON LESIÓN</t>
  </si>
  <si>
    <t>ACCIDENTES VEHICULARES  ·  CVM (Colisión de Vehículo Motor), categorías IOGP</t>
  </si>
  <si>
    <t>KM RECORRIDOS</t>
  </si>
  <si>
    <t>km</t>
  </si>
  <si>
    <t>RESULTADO DE LO CARGADO · KPIs (se calcula solo, no se completa) · Verde: cumple meta · Rojo claro: no cumple · Violeta: meta de simulación</t>
  </si>
  <si>
    <t>Meta</t>
  </si>
  <si>
    <t>No Aplica</t>
  </si>
  <si>
    <t>MAPs OPS positivas del mes (cerradas) · informe OPS "Observaciones de seguridad MAPs"</t>
  </si>
  <si>
    <t>obs</t>
  </si>
  <si>
    <t>MAPs OPS negativas del mes (abiertas al día de la carga) · informe OPS</t>
  </si>
  <si>
    <t>Observaciones de la planilla Observaciones-SMP (inspectores SSA de SMP) del mes · automático · NO incluye MAPs</t>
  </si>
  <si>
    <t>Fecha Apertura</t>
  </si>
  <si>
    <t>Observador</t>
  </si>
  <si>
    <t>Sector / Área del proyecto</t>
  </si>
  <si>
    <t>Especialidad</t>
  </si>
  <si>
    <t>Contratista</t>
  </si>
  <si>
    <t>Responsable</t>
  </si>
  <si>
    <t>Descripción</t>
  </si>
  <si>
    <t>Clasificación</t>
  </si>
  <si>
    <t>Regla de oro aplicable</t>
  </si>
  <si>
    <t>Ítems especifico (por fuera de regla de oro)</t>
  </si>
  <si>
    <t>Nivel de Riesgo/ IMPACTO</t>
  </si>
  <si>
    <t>Acción</t>
  </si>
  <si>
    <t>Aporte de documentos/registros</t>
  </si>
  <si>
    <t>Tratamiento</t>
  </si>
  <si>
    <t>Evidencia (antes)</t>
  </si>
  <si>
    <t>Evidencia (después)</t>
  </si>
  <si>
    <t>Fecha de cierre</t>
  </si>
  <si>
    <t>Frente</t>
  </si>
  <si>
    <t>Nivel Gravedad</t>
  </si>
  <si>
    <t>Política de Detención de Tareas</t>
  </si>
  <si>
    <t>2026-1</t>
  </si>
  <si>
    <t>Karina Gentile IEBC</t>
  </si>
  <si>
    <t>Área 1 Obrador</t>
  </si>
  <si>
    <t>Civil</t>
  </si>
  <si>
    <t>OPS</t>
  </si>
  <si>
    <t>Se observa la falta de identificación del punto de encuentro</t>
  </si>
  <si>
    <t>Desvío requisito legal</t>
  </si>
  <si>
    <t>Compromiso compartido</t>
  </si>
  <si>
    <t>Señalización y Sectorización</t>
  </si>
  <si>
    <t>Bajo</t>
  </si>
  <si>
    <t>Identificación</t>
  </si>
  <si>
    <t>Si</t>
  </si>
  <si>
    <t>Cerrado</t>
  </si>
  <si>
    <t>Supervisión</t>
  </si>
  <si>
    <t>2026-2</t>
  </si>
  <si>
    <t>Electricidad e Instrumentos</t>
  </si>
  <si>
    <t xml:space="preserve">Tablero eléctrico sin vallado perimetral. </t>
  </si>
  <si>
    <t>Condición subestándar</t>
  </si>
  <si>
    <t>Área de proyección y contacto</t>
  </si>
  <si>
    <t>Herramientas eléctricas y/o a baterias</t>
  </si>
  <si>
    <t>Señalizar y perimetral los tableros eléctricos.</t>
  </si>
  <si>
    <t>2026-3</t>
  </si>
  <si>
    <t>Izaje</t>
  </si>
  <si>
    <t>SPUSA</t>
  </si>
  <si>
    <t>Se observa que la pasteca de la grúa se encuentra sin sujetar.</t>
  </si>
  <si>
    <t>Operaciones de Izado</t>
  </si>
  <si>
    <t>Equipos de Izaje</t>
  </si>
  <si>
    <t>Se pidió que se mantenga siempre asegurada la pasteca.</t>
  </si>
  <si>
    <t>2026-4</t>
  </si>
  <si>
    <t>Logística</t>
  </si>
  <si>
    <t>Acopio con falta de señalización y delimitación de sectores.</t>
  </si>
  <si>
    <t>Medio</t>
  </si>
  <si>
    <t>SSA Contratista</t>
  </si>
  <si>
    <t>2026-5</t>
  </si>
  <si>
    <t>Área 2 Est. Pesados</t>
  </si>
  <si>
    <t>Camiones Volcadores</t>
  </si>
  <si>
    <t>Juan José Fernández (OPS)</t>
  </si>
  <si>
    <t>Se solicita determinar un sector para vehículos pesados</t>
  </si>
  <si>
    <t>Seguridad Vial</t>
  </si>
  <si>
    <t>No</t>
  </si>
  <si>
    <t>2026-6</t>
  </si>
  <si>
    <t>Mario Acosta IEBC</t>
  </si>
  <si>
    <t>Falta de arriostramientos de sujeción en las oficinas.</t>
  </si>
  <si>
    <t>Otros</t>
  </si>
  <si>
    <t xml:space="preserve">Sujeción de las oficinas </t>
  </si>
  <si>
    <t>En proceso</t>
  </si>
  <si>
    <t>2026-7</t>
  </si>
  <si>
    <t>Área 3 Pta. combustible</t>
  </si>
  <si>
    <t>Despacho de combustible Pta.</t>
  </si>
  <si>
    <t>Tablero eléctrico sin protecciones mecánicas.</t>
  </si>
  <si>
    <t>Reacondicionar tableros e inst. elect.</t>
  </si>
  <si>
    <t>2026-8</t>
  </si>
  <si>
    <t>Área 5 Mtto Mco.</t>
  </si>
  <si>
    <t>Mant. Mecánico</t>
  </si>
  <si>
    <t>Lucas Antolínez (OPS MM)</t>
  </si>
  <si>
    <t>Clasificación de residuos  mesclados.</t>
  </si>
  <si>
    <t>Segregación de Residuos</t>
  </si>
  <si>
    <t>Charla / Capacitación</t>
  </si>
  <si>
    <t>2026-9</t>
  </si>
  <si>
    <t>Área 5 Mtto. Mco.</t>
  </si>
  <si>
    <t>Bomba de vacío sin bandeja secundaria.</t>
  </si>
  <si>
    <t>2026-10</t>
  </si>
  <si>
    <t>Área 6 Lab. - baños</t>
  </si>
  <si>
    <t>Fumadores</t>
  </si>
  <si>
    <t>SSGG</t>
  </si>
  <si>
    <t>Sector fumadores, falta cenicero y extintor</t>
  </si>
  <si>
    <t>Reacondicionar sector</t>
  </si>
  <si>
    <t>2026-11</t>
  </si>
  <si>
    <t>Área 7 Prefabricados</t>
  </si>
  <si>
    <t>Soldadura</t>
  </si>
  <si>
    <t>Prefabricado de soldadura el uso de piquetas hechizas.</t>
  </si>
  <si>
    <t>Línea de fuego</t>
  </si>
  <si>
    <t>Elementos y accesorios de izaje</t>
  </si>
  <si>
    <t>Jefatura de Obra</t>
  </si>
  <si>
    <t>2026-12</t>
  </si>
  <si>
    <t>Área 8 Periferia</t>
  </si>
  <si>
    <t>Periferia</t>
  </si>
  <si>
    <t>Residuos en los alrededores del obrador y futura planta compresora.</t>
  </si>
  <si>
    <t>Orden y limpieza</t>
  </si>
  <si>
    <t>2026-13</t>
  </si>
  <si>
    <t>Limpieza de rebarbas de soldadura, con disco de corte.</t>
  </si>
  <si>
    <t>Proveer elementos faltantes</t>
  </si>
  <si>
    <t>2026-14</t>
  </si>
  <si>
    <t>Colocación de agropol sobre las eslingas de acero .</t>
  </si>
  <si>
    <t>Acto estándar</t>
  </si>
  <si>
    <t>2026-15</t>
  </si>
  <si>
    <t>Área 4   Generadores</t>
  </si>
  <si>
    <t>Tableros eléctricos de obra.  Inspección mensual.</t>
  </si>
  <si>
    <t>Aislamiento de la Energía</t>
  </si>
  <si>
    <t>2026-16</t>
  </si>
  <si>
    <t>Generación de energía</t>
  </si>
  <si>
    <t>Generadores de energía, delimitación y completamiento con insumos ante derrame.</t>
  </si>
  <si>
    <t>2026-17</t>
  </si>
  <si>
    <t>Área 2   Est. Pesados</t>
  </si>
  <si>
    <t>Vehículos pesados y viales</t>
  </si>
  <si>
    <t>Estacionamiento de pesados y viales falta kit antiderrame.</t>
  </si>
  <si>
    <t>2026-18</t>
  </si>
  <si>
    <t>Área 9   Sendas peatonales</t>
  </si>
  <si>
    <t>Clavos salientes en señalización.</t>
  </si>
  <si>
    <t>2026-19</t>
  </si>
  <si>
    <t>Área 8   Periferia</t>
  </si>
  <si>
    <t>Levantamiento de residuos</t>
  </si>
  <si>
    <t>2026-20</t>
  </si>
  <si>
    <t>Área 1   Obrador</t>
  </si>
  <si>
    <t>Montaje de PAT + medición.</t>
  </si>
  <si>
    <t>2026-21</t>
  </si>
  <si>
    <t>Carga de fuego.</t>
  </si>
  <si>
    <t>2026-22</t>
  </si>
  <si>
    <t>CAT Finning</t>
  </si>
  <si>
    <t>AST sin firmar</t>
  </si>
  <si>
    <t>Permiso de trabajo</t>
  </si>
  <si>
    <t>ATS</t>
  </si>
  <si>
    <t>Completamiento de documentos</t>
  </si>
  <si>
    <t>2026-23</t>
  </si>
  <si>
    <t>Herramientas manuales sin cinta de inspección mensual</t>
  </si>
  <si>
    <t>Inspección de equipos y herramientas</t>
  </si>
  <si>
    <t>2026-24</t>
  </si>
  <si>
    <t>Área 11 Plataforma de PC</t>
  </si>
  <si>
    <t>Laboratorio  civil</t>
  </si>
  <si>
    <t>Uso de corta frio sin protección en manos, manopla.</t>
  </si>
  <si>
    <t>Uso de EPP especifico</t>
  </si>
  <si>
    <t>2026-25</t>
  </si>
  <si>
    <t>Uso de caja de herramientas como banqueta.</t>
  </si>
  <si>
    <t>2026-26</t>
  </si>
  <si>
    <t>Área 6   Lab.- baños</t>
  </si>
  <si>
    <t>Falta de agua en baños. Bomba de agua rota.</t>
  </si>
  <si>
    <t>Retiro de elemento dañado</t>
  </si>
  <si>
    <t>2026-27</t>
  </si>
  <si>
    <t>Acumulación de residuos en el perímetro de la obra.</t>
  </si>
  <si>
    <t>2026-28</t>
  </si>
  <si>
    <t>Pañol</t>
  </si>
  <si>
    <t>Romina Segura (OPS)</t>
  </si>
  <si>
    <t>ATS sin confeccionar a las 09:00 hs</t>
  </si>
  <si>
    <t>Acto Subestándar</t>
  </si>
  <si>
    <t>2026-29</t>
  </si>
  <si>
    <t>Equipos y herramientas sin inspeccionar.</t>
  </si>
  <si>
    <t>2026-30</t>
  </si>
  <si>
    <t>Área 12 Ingreso desde Ruta N° 6</t>
  </si>
  <si>
    <t>Acumulación de residuos en zona mencionada</t>
  </si>
  <si>
    <t>2026-31</t>
  </si>
  <si>
    <t>Falta de paleta PARE - SIGA para señalero en descarga de material.</t>
  </si>
  <si>
    <t>Gestión de cambio</t>
  </si>
  <si>
    <t>2026-32</t>
  </si>
  <si>
    <t>Área 5   Mtto. Mecánico.</t>
  </si>
  <si>
    <t>Faja de traca traca cortada. Fuera ed servicio.</t>
  </si>
  <si>
    <t>2026-33</t>
  </si>
  <si>
    <t>Área 13 Acopio contenedores de residuos</t>
  </si>
  <si>
    <t>Maestranza</t>
  </si>
  <si>
    <t>Serge</t>
  </si>
  <si>
    <t>Armado de acopio de residuos</t>
  </si>
  <si>
    <t>Condición estándar</t>
  </si>
  <si>
    <t>Reconocimiento</t>
  </si>
  <si>
    <t>2026-34</t>
  </si>
  <si>
    <t>Área 10  Sector de hormigonado</t>
  </si>
  <si>
    <t>Equipos del sector de hormigonado sin sticker de insp. Mensual.</t>
  </si>
  <si>
    <t>2026-35</t>
  </si>
  <si>
    <t>Generador de corriente sin extintor</t>
  </si>
  <si>
    <t>2026-36</t>
  </si>
  <si>
    <t>Mario Acosta</t>
  </si>
  <si>
    <t>Area 18 Planta de H°A°</t>
  </si>
  <si>
    <t>Sanhuesa Dario (OPS Sup. Civil)</t>
  </si>
  <si>
    <t>Acopio de lats de 20 lt s con Solventes sin bandeja de contención</t>
  </si>
  <si>
    <t>Condicion subestándard</t>
  </si>
  <si>
    <t>2026-37</t>
  </si>
  <si>
    <t>Área 7   Soldadura</t>
  </si>
  <si>
    <t>Ortega Ruben (Piping)</t>
  </si>
  <si>
    <t>Trabajos de biselado de codo, se obsea la falta de panatlallas protectoras.</t>
  </si>
  <si>
    <t>Abierto</t>
  </si>
  <si>
    <t>2026-38</t>
  </si>
  <si>
    <t>Logistica</t>
  </si>
  <si>
    <t>Juan Jose Fernandez (OPS)</t>
  </si>
  <si>
    <t>Se hace control de los recipientes de residuos y se observa segregación inadecuada.</t>
  </si>
  <si>
    <t>Acto Subestándard</t>
  </si>
  <si>
    <t>Acopio de materiales</t>
  </si>
  <si>
    <t>2026-39</t>
  </si>
  <si>
    <t>Área 14  Porteria de acceso</t>
  </si>
  <si>
    <t>Seguridad Patrimonial</t>
  </si>
  <si>
    <t>Frank Marco (Grupo SEI)</t>
  </si>
  <si>
    <t>Se observa la no utilización de lentes transparentes.</t>
  </si>
  <si>
    <t>2026-40</t>
  </si>
  <si>
    <t>Área 11  Plataforma de PC</t>
  </si>
  <si>
    <t>Movimiento de materiales con manipulador telescópico sin sujetar</t>
  </si>
  <si>
    <t>2026-41</t>
  </si>
  <si>
    <t>Area 1 Obrador</t>
  </si>
  <si>
    <t>Se observa bidón de nafta en la plataforma fuera de la bandeja de contención secundaria</t>
  </si>
  <si>
    <t>2026-42</t>
  </si>
  <si>
    <t>Caneo Javier (OPS Elect. E inst.))</t>
  </si>
  <si>
    <t>Vallado rigido en excavaciones de PAT en el centro de la Plataforma.</t>
  </si>
  <si>
    <t>Excavaciones</t>
  </si>
  <si>
    <t>Tendido de cables</t>
  </si>
  <si>
    <t>2026-43</t>
  </si>
  <si>
    <t>Área 16  Acopio Pref. H°A°</t>
  </si>
  <si>
    <t>Descarga de bases de H°A°, con manipulador telescopico. Las cargas vienen y sin tacos de madera. Desvío recurrente. Se informa a Ref. de Seguridad OPS y  Jefe de Obra.</t>
  </si>
  <si>
    <t>2026-44</t>
  </si>
  <si>
    <t>Area 19 Camino de acceso a obra</t>
  </si>
  <si>
    <t>Laboratorio de ensayos civiles</t>
  </si>
  <si>
    <t>Mario Dominguez  (OPS Sup. Mov.Suelo)</t>
  </si>
  <si>
    <t>Toma de muestra de suelo para realizar la densidad de rasante del camino.</t>
  </si>
  <si>
    <t>Correccion ARO/ATS/IPERC</t>
  </si>
  <si>
    <t>2026-45</t>
  </si>
  <si>
    <t>Excavaciones para colocación de postes de cercos perimetral, sector sin señalizar.</t>
  </si>
  <si>
    <t>Ante la observación el personal procedio a colocar vallados</t>
  </si>
  <si>
    <t>2026-46</t>
  </si>
  <si>
    <t>Franco Demarchi</t>
  </si>
  <si>
    <t>Area 11. Plataforma de PC.</t>
  </si>
  <si>
    <t>Sanhuesa Dario (Sup. Civil)</t>
  </si>
  <si>
    <t>Construccion de cerco perimetral sin seañlización y cartelería. Se le comunico al Sup. Civil que se implementara las medidas correspondientes.</t>
  </si>
  <si>
    <t>2026-47</t>
  </si>
  <si>
    <t>Area 1 Obrador.</t>
  </si>
  <si>
    <t>Gestión de residuos. Se observo y se comunico a SSA que habían residuos mezclados, incumpliendo la correcta clasificación de residuos.</t>
  </si>
  <si>
    <t>2026-48</t>
  </si>
  <si>
    <t>Manipulación de productos quimicos (Bentonita/Cemento). Se observó que no se utilizan barbijos correspondientes como indica FDS y ARO</t>
  </si>
  <si>
    <t>2026-49</t>
  </si>
  <si>
    <t xml:space="preserve">Incumplimiento de roles de Izajes. Se observó una superposición de 2 señaleros en el izaje de comedor de inspección. </t>
  </si>
  <si>
    <t>Izajes</t>
  </si>
  <si>
    <t>Acción corretiva</t>
  </si>
  <si>
    <t>2026-50</t>
  </si>
  <si>
    <t>Falta de uso de E.P.P. Se observó la falta de uso de protectores auditivos (copa) al utilizar zapato compactador.</t>
  </si>
  <si>
    <t>2026-51</t>
  </si>
  <si>
    <t>2026-52</t>
  </si>
  <si>
    <t>Señalizacion area de excavación. Se observó la CORRECTA señalización y vallado en las excavaciones abiertas, cumpliendo con las medidas de seguridad.</t>
  </si>
  <si>
    <t>Condicion estándar</t>
  </si>
  <si>
    <t>2026-53</t>
  </si>
  <si>
    <t>Señalización y vallados de maquinas. Se observo la CORRECTA  señalización y vallados de las areas en las que se encuentran trabjando las maquinas.</t>
  </si>
  <si>
    <t>2026-54</t>
  </si>
  <si>
    <t>Area 21. Pañol</t>
  </si>
  <si>
    <t>Caneo Javier (Electricista)</t>
  </si>
  <si>
    <t>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t>
  </si>
  <si>
    <t>Area de proyección y contacto</t>
  </si>
  <si>
    <t>Herramientas eléctricas</t>
  </si>
  <si>
    <t>Inspección de equipos y herramientas.</t>
  </si>
  <si>
    <t>SI</t>
  </si>
  <si>
    <t>2026-55</t>
  </si>
  <si>
    <t>Area 20. Pipping</t>
  </si>
  <si>
    <t>Se observo que en el area de soldadura el ayudante del soldador no contaba con mascara facil con filtros y el delantal correspondiente a fin de evitar riesgos de salud provenientes de la radiación y/o quemaduras</t>
  </si>
  <si>
    <t>si</t>
  </si>
  <si>
    <t>2026-56</t>
  </si>
  <si>
    <t>Área 7   Prefabricados</t>
  </si>
  <si>
    <t>Almacenes</t>
  </si>
  <si>
    <t>Se observan herramientas (amoladoras, turbinetas, sierra circular manual), sin inspección.</t>
  </si>
  <si>
    <t>Herramientas eléctricas y/o a baterías</t>
  </si>
  <si>
    <t>2026-57</t>
  </si>
  <si>
    <t>Área 17 Carpintería</t>
  </si>
  <si>
    <t>Se encuentra sierra circular de mano sin etiqueta de inspección mensual.</t>
  </si>
  <si>
    <t>22/09/206</t>
  </si>
  <si>
    <t>2026-58</t>
  </si>
  <si>
    <t>Sanhueza Darío (Sup Civil)</t>
  </si>
  <si>
    <t>Las inclemencias climáticas ocasionaron que los caballetes que señalizaban las excavaciones se encuentran en el suelo.</t>
  </si>
  <si>
    <t>2026-59</t>
  </si>
  <si>
    <t>Caneo Javier (OPS Elect. E inst.)</t>
  </si>
  <si>
    <t>Se observa la falta del cumplimiento de la consignación efectiva en los tableros de obra.</t>
  </si>
  <si>
    <t>2026-60</t>
  </si>
  <si>
    <t>Área 20  Área Piping</t>
  </si>
  <si>
    <t>Piping</t>
  </si>
  <si>
    <t>Ortega Rubén (Sup Piping)</t>
  </si>
  <si>
    <t>Limpieza de cañería con cepillo de acero, tarea realizada fuera del interior de la carpa. Se recomendó el armado de biombos al Sup. Ortega Rubén</t>
  </si>
  <si>
    <t>2026-61</t>
  </si>
  <si>
    <t>Soldador haciendo limpieza de soldaduras con amoladora sin utilizar protector facial.</t>
  </si>
  <si>
    <t>2026-62</t>
  </si>
  <si>
    <t>Se observa tendido eléctrico para alimentación de soldadora portátil cruzando la calle principal del obrador sin vallar.</t>
  </si>
  <si>
    <t>2026-63</t>
  </si>
  <si>
    <t>Corte de varillas de Fe de construcción con amoladora a nivel suelo.</t>
  </si>
  <si>
    <t>Sobreesfuerzo</t>
  </si>
  <si>
    <t>2026-64</t>
  </si>
  <si>
    <t>Se observa que los Fe de construcción que sostienen el encofrado del cerco perimetral no cuentan con protecciones de puntas.</t>
  </si>
  <si>
    <t>26/92026</t>
  </si>
  <si>
    <t>2026-65</t>
  </si>
  <si>
    <t>Domínguez Mario (Sup Civil)</t>
  </si>
  <si>
    <t>Compactador a explosión sin inspección mensual.</t>
  </si>
  <si>
    <t>2026-66</t>
  </si>
  <si>
    <t>Excavaciones con retroexcavadoras, falta señalización.</t>
  </si>
  <si>
    <t>2026-67</t>
  </si>
  <si>
    <t>Vibrador de hormigón sin inspección mensual.</t>
  </si>
  <si>
    <t>2026-68</t>
  </si>
  <si>
    <t>Matias Riera (Sup. Izaje)</t>
  </si>
  <si>
    <t xml:space="preserve">Dentro del área de plataforma de P.C se encontraba personal realizando tareas de izajes y algunos operarios no contaban con chaleco reflectivo. </t>
  </si>
  <si>
    <t>NO</t>
  </si>
  <si>
    <t>2026-69</t>
  </si>
  <si>
    <t>Se observo dentro del area de plataforma de P.C operario civil se encontraba trabajando sin chaleco reflectivo en tareas de contrucción de cerco perimetral.</t>
  </si>
  <si>
    <t>2026-70</t>
  </si>
  <si>
    <t>Area 1. Obrador</t>
  </si>
  <si>
    <t>Realizando izaje de trailer se observo que en la primer maniobra la hidrogrua se bloqueo realizando la primer maniobra, despues de haberse bloqueado se realizo una segunda maniobra luego de haberse bloqueado el equipo en la primer maniobra.</t>
  </si>
  <si>
    <t>CÓMO COMPLETAR:  1) Insertar &gt; Imágenes &gt; Este dispositivo.  2) Colocar cada foto sobre su recuadro gris, ajustada a su tamaño.  3) Escribir debajo de cada foto qué se hizo · fecha · lugar (celda amarilla).  2 fotos del mes: las actividades más trascendentes del mes en la Planta Compresora.</t>
  </si>
  <si>
    <t>FOTO 1 · actividad más trascendente del mes</t>
  </si>
  <si>
    <t>FOTO 2 · actividad más trascendente del mes</t>
  </si>
  <si>
    <t>▼ Pegar acá la FOTO 1
(Insertar &gt; Imágenes &gt; Este dispositivo)</t>
  </si>
  <si>
    <t>▼ Pegar acá la FOTO 2
(Insertar &gt; Imágenes &gt; Este dispositivo)</t>
  </si>
  <si>
    <t>Sector / Área</t>
  </si>
  <si>
    <t>Ítems especifico</t>
  </si>
  <si>
    <t>Alto</t>
  </si>
  <si>
    <t>Sí</t>
  </si>
  <si>
    <t>Trabajos en Altura</t>
  </si>
  <si>
    <t>Stand Down</t>
  </si>
  <si>
    <t>Gustavo Domínguez (YPF)</t>
  </si>
  <si>
    <t>Área 3   Pta. combustible</t>
  </si>
  <si>
    <t>Nicolas Medrano (OPS)</t>
  </si>
  <si>
    <t>Registros incompletos</t>
  </si>
  <si>
    <t>Gerencia de obra</t>
  </si>
  <si>
    <t>Montaje mecánico</t>
  </si>
  <si>
    <t>Maximiliano Biancucci (OPS)</t>
  </si>
  <si>
    <t>Detención de tareas</t>
  </si>
  <si>
    <t>Corrección ARO/ATS/IPERC</t>
  </si>
  <si>
    <t>Manuel Aspra (OPS)</t>
  </si>
  <si>
    <t>ARO</t>
  </si>
  <si>
    <t>Corrección Permiso de Trabajo</t>
  </si>
  <si>
    <t>CAS SMP</t>
  </si>
  <si>
    <t>Juan Huici (OPS)</t>
  </si>
  <si>
    <t>Cumplimiento</t>
  </si>
  <si>
    <t>Espacio Confinado</t>
  </si>
  <si>
    <t>IPERC</t>
  </si>
  <si>
    <t>Pablo Sosa (SMP - PAE)</t>
  </si>
  <si>
    <t>Fortaleza</t>
  </si>
  <si>
    <t>PreComm</t>
  </si>
  <si>
    <t>Uso de EPP general</t>
  </si>
  <si>
    <t>Comm</t>
  </si>
  <si>
    <t>Pipping</t>
  </si>
  <si>
    <t>Oficina Técnica</t>
  </si>
  <si>
    <t>Sectorización de excavaciones</t>
  </si>
  <si>
    <t>Andamios</t>
  </si>
  <si>
    <t>Área 14</t>
  </si>
  <si>
    <t>Área 15</t>
  </si>
  <si>
    <t xml:space="preserve">Despacho de combustible </t>
  </si>
  <si>
    <t>Área 16</t>
  </si>
  <si>
    <t>Sistema de rescate</t>
  </si>
  <si>
    <t>Área 17</t>
  </si>
  <si>
    <t>Área 18</t>
  </si>
  <si>
    <t>Señalización ambiental</t>
  </si>
  <si>
    <t>Área 19</t>
  </si>
  <si>
    <t>Hormigonado</t>
  </si>
  <si>
    <t>Área 20</t>
  </si>
  <si>
    <t>Movimiento de suelos</t>
  </si>
  <si>
    <t>Área 21</t>
  </si>
  <si>
    <t>Tubos de gases comprimidos</t>
  </si>
  <si>
    <t>Área 22</t>
  </si>
  <si>
    <t>Área 23</t>
  </si>
  <si>
    <t>Área 24</t>
  </si>
  <si>
    <t>Equipos viales</t>
  </si>
  <si>
    <t>Área 25</t>
  </si>
  <si>
    <t>Manipuladores telescópicos</t>
  </si>
  <si>
    <t>PMEPs</t>
  </si>
  <si>
    <t>Mes</t>
  </si>
  <si>
    <t>Código</t>
  </si>
  <si>
    <t>Variable</t>
  </si>
  <si>
    <t>Tipo</t>
  </si>
  <si>
    <t>Valor</t>
  </si>
  <si>
    <t>Estado de carga del mes</t>
  </si>
  <si>
    <t>NTTP_OPS</t>
  </si>
  <si>
    <t>Carga</t>
  </si>
  <si>
    <t>NTTP_YPF</t>
  </si>
  <si>
    <t>NTTP_TOTAL</t>
  </si>
  <si>
    <t>Calculado</t>
  </si>
  <si>
    <t>HHT_OPS</t>
  </si>
  <si>
    <t>HHT_YPF</t>
  </si>
  <si>
    <t>HHT_TOTAL</t>
  </si>
  <si>
    <t>HHS_OPS</t>
  </si>
  <si>
    <t>HHS_YPF</t>
  </si>
  <si>
    <t>HHS_TOTAL</t>
  </si>
  <si>
    <t>SIM_REAL</t>
  </si>
  <si>
    <t>SIM_PROG</t>
  </si>
  <si>
    <t>SIM_MEJ_SURG</t>
  </si>
  <si>
    <t>SIM_MEJ_IMPL</t>
  </si>
  <si>
    <t>CAM_REAL</t>
  </si>
  <si>
    <t>CAM_PLAN</t>
  </si>
  <si>
    <t>COM_REAL</t>
  </si>
  <si>
    <t>COM_PLAN</t>
  </si>
  <si>
    <t>OCS</t>
  </si>
  <si>
    <t>INV_CANT</t>
  </si>
  <si>
    <t>INV_DIAS</t>
  </si>
  <si>
    <t>nDAFWC</t>
  </si>
  <si>
    <t>nRWC</t>
  </si>
  <si>
    <t>nMTC</t>
  </si>
  <si>
    <t>nF</t>
  </si>
  <si>
    <t>CVM_C</t>
  </si>
  <si>
    <t>CVM_M</t>
  </si>
  <si>
    <t>CVM_S</t>
  </si>
  <si>
    <t>CVM_O</t>
  </si>
  <si>
    <t>KM_LIV</t>
  </si>
  <si>
    <t>KM_PES</t>
  </si>
  <si>
    <t>KM_PERS</t>
  </si>
  <si>
    <t>KM_TOTAL</t>
  </si>
  <si>
    <t>DPAS_CERRADOS</t>
  </si>
  <si>
    <t>Hallazgos</t>
  </si>
  <si>
    <t>DPAS_DIAS</t>
  </si>
  <si>
    <t>DPAS_ABIERTOS</t>
  </si>
  <si>
    <t>HAL_DETECTADOS</t>
  </si>
  <si>
    <t>HAL_ALTA</t>
  </si>
  <si>
    <t>HAL_MEDIA</t>
  </si>
  <si>
    <t>HAL_BAJA</t>
  </si>
  <si>
    <t>HAL_SIN_GRAV</t>
  </si>
  <si>
    <t>DET_TAREAS</t>
  </si>
  <si>
    <t>HAL_ALTA_ABIERTOS</t>
  </si>
  <si>
    <t>PCAP_TOTAL</t>
  </si>
  <si>
    <t>CAMP_PROG</t>
  </si>
  <si>
    <t>CAMP_REAL</t>
  </si>
  <si>
    <t>Indicador</t>
  </si>
  <si>
    <t>Período</t>
  </si>
  <si>
    <t>Sentido meta</t>
  </si>
  <si>
    <t>Cumple</t>
  </si>
  <si>
    <t>Period_Type</t>
  </si>
  <si>
    <t>Numerador</t>
  </si>
  <si>
    <t>Denominador</t>
  </si>
  <si>
    <t>Factor</t>
  </si>
  <si>
    <t>Data_Status</t>
  </si>
  <si>
    <t>Source_System</t>
  </si>
  <si>
    <t>Clave</t>
  </si>
  <si>
    <t>Target_Status</t>
  </si>
  <si>
    <t>Recálculo</t>
  </si>
  <si>
    <t>Dif_recálculo</t>
  </si>
  <si>
    <t>Mensual</t>
  </si>
  <si>
    <t>Acumulado</t>
  </si>
  <si>
    <t>YTD</t>
  </si>
  <si>
    <t>IAP</t>
  </si>
  <si>
    <t>accidentes / 10^6 HH</t>
  </si>
  <si>
    <t>Interno · dato provisto por jefatura (sin procesamiento)</t>
  </si>
  <si>
    <t>Medición (sin meta)</t>
  </si>
  <si>
    <t>IAE</t>
  </si>
  <si>
    <t>KPIs INTERNOS (dato provisto por jefatura; sin procesamiento ni meta)</t>
  </si>
  <si>
    <t>Cargar el valor mensual descargado (celdas amarillas, filas 5 y 6). No se calcula ni se compara con meta.</t>
  </si>
  <si>
    <t>Accidentes de alto potencial x 1.000.000 / Horas Hombre Trabajadas</t>
  </si>
  <si>
    <t>Medición</t>
  </si>
  <si>
    <t>Accidentes de alta energía x 1.000.000 / Horas Hombre Trabajadas</t>
  </si>
  <si>
    <t>RAW · OPS · zona de pegado del export mensual</t>
  </si>
  <si>
    <t>Estructura de columnas PENDIENTE: se define al recibir el export real. No se han supuesto campos.</t>
  </si>
  <si>
    <t>Metadatos de cada pegado (una fila por carga):</t>
  </si>
  <si>
    <t>Fecha_Carga</t>
  </si>
  <si>
    <t>Archivo_Origen</t>
  </si>
  <si>
    <t>Usuario</t>
  </si>
  <si>
    <t>Mes_Reportado</t>
  </si>
  <si>
    <t>Datos pegados desde la fila 6 →</t>
  </si>
  <si>
    <t>RAW · Full Control GPS · zona de pegado del export mensual</t>
  </si>
  <si>
    <t>tbl_MAP · Mapeo fuente → variable normalizada (Fase 1 · Planta Compresora)</t>
  </si>
  <si>
    <t>Los campos de origen de OPS y Full Control GPS se completan al recibir el export real. No se asumen nombres de columnas.</t>
  </si>
  <si>
    <t>Variable_Normalizada</t>
  </si>
  <si>
    <t>Fila en Datos</t>
  </si>
  <si>
    <t>Fuente_Primaria_Prevista</t>
  </si>
  <si>
    <t>Campo_Origen_Export</t>
  </si>
  <si>
    <t>Transformación</t>
  </si>
  <si>
    <t>Estado_Integración</t>
  </si>
  <si>
    <t>PENDIENTE (requiere export real)</t>
  </si>
  <si>
    <t>Carga manual en Datos</t>
  </si>
  <si>
    <t>SMP(IEBC, PAE e YPF) (carga manual)</t>
  </si>
  <si>
    <t>Calculada en Datos</t>
  </si>
  <si>
    <t>Full Control GPS</t>
  </si>
  <si>
    <t>Automática desde Hallazgos</t>
  </si>
  <si>
    <t>Fecha apertura</t>
  </si>
  <si>
    <t>Regla de oro</t>
  </si>
  <si>
    <t>Ítem específico</t>
  </si>
  <si>
    <t>Nivel de riesgo</t>
  </si>
  <si>
    <t>Aporte docs/registros</t>
  </si>
  <si>
    <t>Mes de apertura</t>
  </si>
  <si>
    <t>Mes de cierre</t>
  </si>
  <si>
    <t>Dup_ID</t>
  </si>
  <si>
    <t>Edad (días)</t>
  </si>
  <si>
    <t>QA AUTOMÁTICO · PLANTA COMPRESORA (dataset de controles)</t>
  </si>
  <si>
    <t>Unidades válidas</t>
  </si>
  <si>
    <t>Índice de mes en Datos</t>
  </si>
  <si>
    <t>Máx. HH por persona por mes</t>
  </si>
  <si>
    <t>Umbral baja exposición (HHT)</t>
  </si>
  <si>
    <t>Tolerancia recálculo</t>
  </si>
  <si>
    <t>Categoría</t>
  </si>
  <si>
    <t>Alcance</t>
  </si>
  <si>
    <t>P01</t>
  </si>
  <si>
    <t>RPT_MONTH existe en el calendario de Datos (fila 3)</t>
  </si>
  <si>
    <t>Datos!F1</t>
  </si>
  <si>
    <t>ERROR</t>
  </si>
  <si>
    <t>Elegir un mes válido en Datos!F1</t>
  </si>
  <si>
    <t>P02</t>
  </si>
  <si>
    <t>RPT_MONTH es el primer día del mes</t>
  </si>
  <si>
    <t>Elegir el mes del desplegable</t>
  </si>
  <si>
    <t>P03</t>
  </si>
  <si>
    <t>Fechas de Datos (fila 3) iguales a las de KPIs (fila 3)</t>
  </si>
  <si>
    <t>Datos / KPIs</t>
  </si>
  <si>
    <t>Las columnas de mes deben coincidir</t>
  </si>
  <si>
    <t>P04</t>
  </si>
  <si>
    <t>Meses de Datos consecutivos, sin saltos ni repetidos</t>
  </si>
  <si>
    <t>Datos fila 3</t>
  </si>
  <si>
    <t>Revisar encabezados de mes</t>
  </si>
  <si>
    <t>P05</t>
  </si>
  <si>
    <t>Filas de BD_KPIs del mes seleccionado = 37 (21 previstos + 14 YTD + 2 internos IAP/IAE)</t>
  </si>
  <si>
    <t>BD_KPIs</t>
  </si>
  <si>
    <t>Estructura de BD_KPIs alterada</t>
  </si>
  <si>
    <t>P06</t>
  </si>
  <si>
    <t>Jerarquía Cumulative ≥ YTD ≥ Monthly en numeradores (5 KPIs con acumulado)</t>
  </si>
  <si>
    <t>Revisar períodos de cálculo</t>
  </si>
  <si>
    <t>P07</t>
  </si>
  <si>
    <t>Variables de carga vacías en el mes seleccionado (Datos fila 2)</t>
  </si>
  <si>
    <t>Datos</t>
  </si>
  <si>
    <t>ADVERTENCIA</t>
  </si>
  <si>
    <t>Completar Datos del mes o confirmar que no aplica</t>
  </si>
  <si>
    <t>P08</t>
  </si>
  <si>
    <t>Hallazgos con fecha de apertura posterior al mes seleccionado</t>
  </si>
  <si>
    <t>Fecha futura o mes de reporte desactualizado</t>
  </si>
  <si>
    <t>P09</t>
  </si>
  <si>
    <t>Hallazgos con fecha de cierre posterior al mes seleccionado</t>
  </si>
  <si>
    <t>P10</t>
  </si>
  <si>
    <t>Base del YTD = año calendario (pendiente de confirmar con el área)</t>
  </si>
  <si>
    <t>Diseño</t>
  </si>
  <si>
    <t>INFO</t>
  </si>
  <si>
    <t>Confirmar año calendario vs. inicio de proyecto</t>
  </si>
  <si>
    <t>D01</t>
  </si>
  <si>
    <t>Duplicados</t>
  </si>
  <si>
    <t>IDs de hallazgo duplicados</t>
  </si>
  <si>
    <t>Corregir ID en Hallazgos col. A</t>
  </si>
  <si>
    <t>D02</t>
  </si>
  <si>
    <t>Hallazgos con igual fecha, descripción y área</t>
  </si>
  <si>
    <t>Posible carga repetida</t>
  </si>
  <si>
    <t>D03</t>
  </si>
  <si>
    <t>Claves duplicadas en BD_KPIs (mes|código|período)</t>
  </si>
  <si>
    <t>M01</t>
  </si>
  <si>
    <t>Campos obligatorios</t>
  </si>
  <si>
    <t>Hallazgos sin fecha de apertura</t>
  </si>
  <si>
    <t>Completar col. B</t>
  </si>
  <si>
    <t>M02</t>
  </si>
  <si>
    <t>Hallazgos sin descripción</t>
  </si>
  <si>
    <t>Completar col. H</t>
  </si>
  <si>
    <t>M03</t>
  </si>
  <si>
    <t>Hallazgos sin estado</t>
  </si>
  <si>
    <t>Completar col. O</t>
  </si>
  <si>
    <t>M04</t>
  </si>
  <si>
    <t>Hallazgos sin contratista</t>
  </si>
  <si>
    <t>Completar col. F</t>
  </si>
  <si>
    <t>M05</t>
  </si>
  <si>
    <t>M06</t>
  </si>
  <si>
    <t>Hallazgos sin responsable</t>
  </si>
  <si>
    <t>Completar col. G</t>
  </si>
  <si>
    <t>M07</t>
  </si>
  <si>
    <t>Hallazgos sin clasificación</t>
  </si>
  <si>
    <t>Completar col. I</t>
  </si>
  <si>
    <t>M08</t>
  </si>
  <si>
    <t>M09</t>
  </si>
  <si>
    <t>M10</t>
  </si>
  <si>
    <t>Hallazgos Cerrados sin fecha de cierre</t>
  </si>
  <si>
    <t>Completar col. S</t>
  </si>
  <si>
    <t>F01</t>
  </si>
  <si>
    <t>Fechas</t>
  </si>
  <si>
    <t>Fecha de apertura no válida (no es fecha)</t>
  </si>
  <si>
    <t>Corregir col. B</t>
  </si>
  <si>
    <t>F02</t>
  </si>
  <si>
    <t>Fecha de apertura fuera del calendario del proyecto</t>
  </si>
  <si>
    <t>Revisar año/mes cargado</t>
  </si>
  <si>
    <t>F03</t>
  </si>
  <si>
    <t>Fecha de cierre anterior a la de apertura</t>
  </si>
  <si>
    <t>Corregir col. S</t>
  </si>
  <si>
    <t>F04</t>
  </si>
  <si>
    <t>Fecha de cierre no válida (no es fecha)</t>
  </si>
  <si>
    <t>F05</t>
  </si>
  <si>
    <t>Con fecha de cierre pero estado distinto de Cerrado</t>
  </si>
  <si>
    <t>Alinear estado y fecha</t>
  </si>
  <si>
    <t>F06</t>
  </si>
  <si>
    <t>Hallazgos con más de 365 días para cerrar</t>
  </si>
  <si>
    <t>Verificar fechas</t>
  </si>
  <si>
    <t>U01</t>
  </si>
  <si>
    <t>Unidades</t>
  </si>
  <si>
    <t>Unidades de Datos fuera del catálogo (pers, h, u, días, km)</t>
  </si>
  <si>
    <t>Datos col. B</t>
  </si>
  <si>
    <t>No modificar la columna Unidad</t>
  </si>
  <si>
    <t>U02</t>
  </si>
  <si>
    <t>Celdas de carga con texto en lugar de número</t>
  </si>
  <si>
    <t>Datos C6:AK45</t>
  </si>
  <si>
    <t>Cargar solo números</t>
  </si>
  <si>
    <t>U03</t>
  </si>
  <si>
    <t>Valores negativos en celdas de carga</t>
  </si>
  <si>
    <t>Corregir signo</t>
  </si>
  <si>
    <t>U04</t>
  </si>
  <si>
    <t>Decimales en variables de conteo (unidad u / pers)</t>
  </si>
  <si>
    <t>Verificar cifras (dotación promedio puede ser decimal)</t>
  </si>
  <si>
    <t>Z01</t>
  </si>
  <si>
    <t>Denominador cero</t>
  </si>
  <si>
    <t>Numerador &gt; 0 con denominador 0 (mes seleccionado, Monthly)</t>
  </si>
  <si>
    <t>Cargar exposición (HHT, km o programados)</t>
  </si>
  <si>
    <t>Z02</t>
  </si>
  <si>
    <t>KPIs Monthly con denominador 0 en el mes seleccionado</t>
  </si>
  <si>
    <t>Ver Data_Status = MISSING en BD_KPIs</t>
  </si>
  <si>
    <t>Z03</t>
  </si>
  <si>
    <t>KPIs YTD / Cumulative con denominador 0 en el mes seleccionado</t>
  </si>
  <si>
    <t>Sin exposición acumulada</t>
  </si>
  <si>
    <t>Z04</t>
  </si>
  <si>
    <t>YTD / Cumulative INCOMPLETE: meses de la ventana con numerador &gt; 0 y sin denominador (mes seleccionado)</t>
  </si>
  <si>
    <t>Cargar la exposición (HHT, km o programados) del mes pasado que falta; el YTD/acumulado se muestra '-' hasta completarlo</t>
  </si>
  <si>
    <t>H01</t>
  </si>
  <si>
    <t>Histórico</t>
  </si>
  <si>
    <t>Meses cerrados (_HIST_KPI) cuyo valor vivo difiere del snapshot vigente</t>
  </si>
  <si>
    <t>_HIST_KPI / BD_KPIs</t>
  </si>
  <si>
    <t>Un mes cerrado cambió. Si la corrección es legítima: registrar un nuevo snapshot (Snapshot_Fecha posterior) con el motivo en Mes_Cerrado; si no, revertir el dato</t>
  </si>
  <si>
    <t>H02</t>
  </si>
  <si>
    <t>Meses anteriores al de reporte con HHT cargadas y sin snapshot en _HIST_KPI</t>
  </si>
  <si>
    <t>Datos / _HIST_KPI</t>
  </si>
  <si>
    <t>Cerrar el mes: pegar como valores el bloque de BD_KPIs en _HIST_KPI</t>
  </si>
  <si>
    <t>B01</t>
  </si>
  <si>
    <t>Fórmulas</t>
  </si>
  <si>
    <t>Errores de fórmula en Datos</t>
  </si>
  <si>
    <t>Localizar #REF!/#DIV/0!</t>
  </si>
  <si>
    <t>B02</t>
  </si>
  <si>
    <t>Errores de fórmula en KPIs</t>
  </si>
  <si>
    <t>KPIs</t>
  </si>
  <si>
    <t>B03</t>
  </si>
  <si>
    <t>Errores de fórmula en BD_KPIs</t>
  </si>
  <si>
    <t>B04</t>
  </si>
  <si>
    <t>Errores de fórmula en BD_Datos</t>
  </si>
  <si>
    <t>BD_Datos</t>
  </si>
  <si>
    <t>B05</t>
  </si>
  <si>
    <t>Errores de fórmula en _FIND_DS y _HLP_PPT</t>
  </si>
  <si>
    <t>Datasets</t>
  </si>
  <si>
    <t>Localizar errores</t>
  </si>
  <si>
    <t>B06</t>
  </si>
  <si>
    <t>Recálculo independiente (Numerador ÷ Denominador × Factor) distinto del KPI publicado</t>
  </si>
  <si>
    <t>Comparar KPIs vs. BD_KPIs cols. K:T</t>
  </si>
  <si>
    <t>S01</t>
  </si>
  <si>
    <t>Fuente</t>
  </si>
  <si>
    <t>Datos / Hallazgos</t>
  </si>
  <si>
    <t>Descuadre entre fuentes</t>
  </si>
  <si>
    <t>S02</t>
  </si>
  <si>
    <t>S03</t>
  </si>
  <si>
    <t>Encabezado de frente en Datos distinto de Compresora</t>
  </si>
  <si>
    <t>Datos fila 4</t>
  </si>
  <si>
    <t>Este archivo es solo Planta</t>
  </si>
  <si>
    <t>S04</t>
  </si>
  <si>
    <t>Contratistas de Hallazgos fuera del catálogo Listas</t>
  </si>
  <si>
    <t>Agregar a Listas o corregir</t>
  </si>
  <si>
    <t>S05</t>
  </si>
  <si>
    <t>Zonas RAW de OPS y Full Control GPS sin datos (estructura de export pendiente)</t>
  </si>
  <si>
    <t>_RAW_OPS / _RAW_GPS</t>
  </si>
  <si>
    <t>Pegar export real cuando exista formato definido</t>
  </si>
  <si>
    <t>T01</t>
  </si>
  <si>
    <t>Metas</t>
  </si>
  <si>
    <t>KPIs sin meta definida</t>
  </si>
  <si>
    <t>_TARGETS</t>
  </si>
  <si>
    <t>Definir meta</t>
  </si>
  <si>
    <t>T02</t>
  </si>
  <si>
    <t>Metas sin fuente y vigencia confirmadas</t>
  </si>
  <si>
    <t>Confirmar fuente y vigencia de cada meta</t>
  </si>
  <si>
    <t>T03</t>
  </si>
  <si>
    <t>KPIs Monthly del mes con meta 'Definida' pero sin valor numérico</t>
  </si>
  <si>
    <t>Revisar _TARGETS</t>
  </si>
  <si>
    <t>T04</t>
  </si>
  <si>
    <t>KPIs Monthly del mes con meta pero sin sentido (≤/≥)</t>
  </si>
  <si>
    <t>Revisar _TARGETS col. E</t>
  </si>
  <si>
    <t>X01</t>
  </si>
  <si>
    <t>Valores inesperados</t>
  </si>
  <si>
    <t>Cumplimiento o proporción mayor a 100% (mes seleccionado)</t>
  </si>
  <si>
    <t>Realizado mayor que programado o error de carga</t>
  </si>
  <si>
    <t>X02</t>
  </si>
  <si>
    <t>KPIs con valor negativo</t>
  </si>
  <si>
    <t>Revisar cargas</t>
  </si>
  <si>
    <t>X03</t>
  </si>
  <si>
    <t>HH por persona en el mes por encima del máximo (C4)</t>
  </si>
  <si>
    <t>Verificar HHT o dotación</t>
  </si>
  <si>
    <t>X04</t>
  </si>
  <si>
    <t>HH de formación mayores que HH trabajadas</t>
  </si>
  <si>
    <t>Verificar HHS y HHT</t>
  </si>
  <si>
    <t>X05</t>
  </si>
  <si>
    <t>Fatalidades registradas en el mes seleccionado</t>
  </si>
  <si>
    <t>Datos fila 35</t>
  </si>
  <si>
    <t>Evento crítico: verificar y escalar</t>
  </si>
  <si>
    <t>X06</t>
  </si>
  <si>
    <t>Días de investigación cargados sin investigaciones cerradas</t>
  </si>
  <si>
    <t>Datos filas 29-30</t>
  </si>
  <si>
    <t>Verificar carga</t>
  </si>
  <si>
    <t>X07</t>
  </si>
  <si>
    <t>Hallazgos cerrados en el mes mayores que los detectados acumulados</t>
  </si>
  <si>
    <t>Verificar fechas de cierre</t>
  </si>
  <si>
    <t>X08</t>
  </si>
  <si>
    <t>Umbral de baja exposición (HHT) no definido en C5</t>
  </si>
  <si>
    <t>_QA</t>
  </si>
  <si>
    <t>Definir umbral con el área</t>
  </si>
  <si>
    <t>X09</t>
  </si>
  <si>
    <t>HHT del mes por debajo del umbral de baja exposición (C5)</t>
  </si>
  <si>
    <t>Interpretar tasas con cautela</t>
  </si>
  <si>
    <t>R01</t>
  </si>
  <si>
    <t>Conciliación</t>
  </si>
  <si>
    <t>_RPT_CARDS distinto de BD_KPIs en el mes de reporte (Monthly, YTD, Cumulative; diferencia permitida 0)</t>
  </si>
  <si>
    <t>_RPT_CARDS</t>
  </si>
  <si>
    <t>Revisar fórmulas de _RPT_CARDS</t>
  </si>
  <si>
    <t>R02</t>
  </si>
  <si>
    <t>_RPT_CHART distinto de BD_KPIs en series KPI Monthly / YTD (tolerancia 0,000001)</t>
  </si>
  <si>
    <t>_RPT_CHART</t>
  </si>
  <si>
    <t>Revisar fórmulas de _RPT_CHART</t>
  </si>
  <si>
    <t>R03</t>
  </si>
  <si>
    <t>_RPT_PPT distinto de _RPT_CARDS en valor mensual o YTD (diferencia permitida 0)</t>
  </si>
  <si>
    <t>_RPT_PPT</t>
  </si>
  <si>
    <t>Revisar fórmulas de _RPT_PPT</t>
  </si>
  <si>
    <t>R04</t>
  </si>
  <si>
    <t>Scope de reporting distinto de Compressor Plant</t>
  </si>
  <si>
    <t>_RPT_META</t>
  </si>
  <si>
    <t>Revisar _RPT_META columna S y Datos fila 4</t>
  </si>
  <si>
    <t>R05</t>
  </si>
  <si>
    <t>Km de CH14 distinto de Datos fila 46, o mes con km cargados sin punto (diferencia permitida 0)</t>
  </si>
  <si>
    <t>_RPT_CHART / Datos</t>
  </si>
  <si>
    <t>Revisar fórmulas de CH14 en _RPT_CHART y Datos filas 43-46</t>
  </si>
  <si>
    <t>R06</t>
  </si>
  <si>
    <t>Chart_ID con validación de especificación en REVIEW (título, pregunta, tipo, series, período, meta, unidad, fuente, estado, faltantes)</t>
  </si>
  <si>
    <t>_RPT_SPEC_CHART</t>
  </si>
  <si>
    <t>Ver columnas Chk_* de _RPT_SPEC_CHART</t>
  </si>
  <si>
    <t>R07</t>
  </si>
  <si>
    <t>Chart_ID presente en solo uno de _RPT_SPEC_CHART / _RPT_CHART</t>
  </si>
  <si>
    <t>_RPT_SPEC_CHART / _RPT_CHART</t>
  </si>
  <si>
    <t>Alinear Chart_ID entre ambas hojas</t>
  </si>
  <si>
    <t>R08</t>
  </si>
  <si>
    <t>Chart_Status incoherente con Points_OK / Points_Total</t>
  </si>
  <si>
    <t>Revisar columnas N, O y P de _RPT_SPEC_CHART</t>
  </si>
  <si>
    <t>G01</t>
  </si>
  <si>
    <t>Respaldo</t>
  </si>
  <si>
    <t>Meses con accidentes con lesión (Datos filas 32 a 35: días perdidos, trabajo restringido, tratamiento médico, fatalidades) sin cantidad de accidentes reportados a la ART (Datos fila 60) o sin N° de caso ART (Datos fila 61)</t>
  </si>
  <si>
    <t>Completar en Datos fila 60 la cantidad de accidentes reportados a la ART (0 si ninguno) y en la fila 61 los N° de caso</t>
  </si>
  <si>
    <t>G02</t>
  </si>
  <si>
    <t>Fotos del mes seleccionado sin descripción (pestaña Fotos del mes: 2 por mes)</t>
  </si>
  <si>
    <t>Fotos</t>
  </si>
  <si>
    <t>Completar la descripción bajo cada foto en la pestaña Fotos del mes seleccionado</t>
  </si>
  <si>
    <t>Chart_ID</t>
  </si>
  <si>
    <t>Fecha</t>
  </si>
  <si>
    <t>Serie</t>
  </si>
  <si>
    <t>Mes_Reporte</t>
  </si>
  <si>
    <t>SCORECARD</t>
  </si>
  <si>
    <t>Cumulative</t>
  </si>
  <si>
    <t>TREND_DAFWCF</t>
  </si>
  <si>
    <t>TREND_TRICF</t>
  </si>
  <si>
    <t>TREND_FAC</t>
  </si>
  <si>
    <t>TREND_SVCR</t>
  </si>
  <si>
    <t>TREND_TVCR</t>
  </si>
  <si>
    <t>TREND_OBS</t>
  </si>
  <si>
    <t>TREND_INV</t>
  </si>
  <si>
    <t>TREND_HCS</t>
  </si>
  <si>
    <t>TREND_HCSA</t>
  </si>
  <si>
    <t>TREND_CPSE</t>
  </si>
  <si>
    <t>TREND_CAMS</t>
  </si>
  <si>
    <t>TREND_ICCS</t>
  </si>
  <si>
    <t>TREND_CCS</t>
  </si>
  <si>
    <t>TREND_DPAS</t>
  </si>
  <si>
    <t>TREND_HAL_ALTA_PCT</t>
  </si>
  <si>
    <t>TREND_DET</t>
  </si>
  <si>
    <t>FIND_TREND</t>
  </si>
  <si>
    <t>Detected</t>
  </si>
  <si>
    <t>Closed</t>
  </si>
  <si>
    <t>Open at month end</t>
  </si>
  <si>
    <t>High severity detected</t>
  </si>
  <si>
    <t>Medium severity detected</t>
  </si>
  <si>
    <t>Low severity detected</t>
  </si>
  <si>
    <t>Stop-work actions</t>
  </si>
  <si>
    <t>High severity open at month end</t>
  </si>
  <si>
    <t>EXPOSURE</t>
  </si>
  <si>
    <t>Hours worked (total)</t>
  </si>
  <si>
    <t>OPS / Full Control GPS (carga manual en Datos)</t>
  </si>
  <si>
    <t>Safety training hours</t>
  </si>
  <si>
    <t>Km driven (total)</t>
  </si>
  <si>
    <t>Average headcount</t>
  </si>
  <si>
    <t>FIND_CLASS</t>
  </si>
  <si>
    <t>Findings opened in month</t>
  </si>
  <si>
    <t>FIND_AREA</t>
  </si>
  <si>
    <t>FIND_CONTRACTOR</t>
  </si>
  <si>
    <t>FIND_SPECIALTY</t>
  </si>
  <si>
    <t>FIND_RISK</t>
  </si>
  <si>
    <t>FIND_STATUS</t>
  </si>
  <si>
    <t>Findings opened up to month end</t>
  </si>
  <si>
    <t>QA_SUMMARY</t>
  </si>
  <si>
    <t>Errors</t>
  </si>
  <si>
    <t>QA checks</t>
  </si>
  <si>
    <t>Warnings</t>
  </si>
  <si>
    <t>Info</t>
  </si>
  <si>
    <t>Snapshot_Fecha</t>
  </si>
  <si>
    <t>Snapshot_Usuario</t>
  </si>
  <si>
    <t>Mes_Cerrado</t>
  </si>
  <si>
    <t>Valor_vivo</t>
  </si>
  <si>
    <t>Cambió_vs_snapshot (1=sí)</t>
  </si>
  <si>
    <t>Display_Order</t>
  </si>
  <si>
    <t>Section</t>
  </si>
  <si>
    <t>Name_EN</t>
  </si>
  <si>
    <t>Name_ES</t>
  </si>
  <si>
    <t>Abbreviation_EN</t>
  </si>
  <si>
    <t>Number_Format</t>
  </si>
  <si>
    <t>Decimals</t>
  </si>
  <si>
    <t>Unit_Label</t>
  </si>
  <si>
    <t>Sense</t>
  </si>
  <si>
    <t>Numeric_Target</t>
  </si>
  <si>
    <t>Target_Rule</t>
  </si>
  <si>
    <t>Target_Text_EN</t>
  </si>
  <si>
    <t>Target_Note</t>
  </si>
  <si>
    <t>Show_YTD</t>
  </si>
  <si>
    <t>Show_Cumulative</t>
  </si>
  <si>
    <t>Overview_Card</t>
  </si>
  <si>
    <t>Higher_Is</t>
  </si>
  <si>
    <t>Scope</t>
  </si>
  <si>
    <t>Reactive</t>
  </si>
  <si>
    <t>Total recordable injury frequency</t>
  </si>
  <si>
    <t>Frecuencia de casos registrables</t>
  </si>
  <si>
    <t>Total Recordable Injury Case Frequency (per 1,000,000 hours worked)</t>
  </si>
  <si>
    <t>rate</t>
  </si>
  <si>
    <t>Reported only</t>
  </si>
  <si>
    <t>Yes</t>
  </si>
  <si>
    <t>Lost-time injury frequency</t>
  </si>
  <si>
    <t>Frecuencia de casos con días perdidos</t>
  </si>
  <si>
    <t>Days Away From Work Case Frequency (per 1,000,000 hours worked)</t>
  </si>
  <si>
    <t>First aid cases</t>
  </si>
  <si>
    <t>Casos de primeros auxilios</t>
  </si>
  <si>
    <t>First Aid Cases</t>
  </si>
  <si>
    <t>count</t>
  </si>
  <si>
    <t>Driving</t>
  </si>
  <si>
    <t>Total vehicle crash rate</t>
  </si>
  <si>
    <t>Accidentes vehiculares totales por millón de km</t>
  </si>
  <si>
    <t>Total Vehicle Crash Rate (TVCR), all categories (per 1,000,000 km)</t>
  </si>
  <si>
    <t>Severe vehicle crash rate</t>
  </si>
  <si>
    <t>Accidentes vehiculares severos por millón de km</t>
  </si>
  <si>
    <t>Severe Vehicle Crash Rate (SVCR), catastrophic + major + serious (per 1,000,000 km)</t>
  </si>
  <si>
    <t>Proactive</t>
  </si>
  <si>
    <t>Safety observations per person</t>
  </si>
  <si>
    <t>Observaciones de seguridad por persona</t>
  </si>
  <si>
    <t>Safety Observations per person (average headcount)</t>
  </si>
  <si>
    <t>ratio</t>
  </si>
  <si>
    <t>Safety training, % of hours worked</t>
  </si>
  <si>
    <t>% de capacitación en seguridad</t>
  </si>
  <si>
    <t>Safety training hours as % of hours worked</t>
  </si>
  <si>
    <t>pct2</t>
  </si>
  <si>
    <t>Safety training hours per person</t>
  </si>
  <si>
    <t>Horas de capacitación por persona</t>
  </si>
  <si>
    <t>Drill compliance</t>
  </si>
  <si>
    <t>Cumplimiento de simulacros (emergencia y operativos)</t>
  </si>
  <si>
    <t>Drills completed vs planned (emergency and operational)</t>
  </si>
  <si>
    <t>pct0</t>
  </si>
  <si>
    <t>Drill improvement actions closed</t>
  </si>
  <si>
    <t>Cumplimiento de acciones de mejora de simulacros</t>
  </si>
  <si>
    <t>Drill improvement actions implemented vs raised</t>
  </si>
  <si>
    <t>Provisional target</t>
  </si>
  <si>
    <t>Management walkthrough compliance</t>
  </si>
  <si>
    <t>Cumplimiento de caminatas gerenciales</t>
  </si>
  <si>
    <t>Management safety walkthroughs completed vs planned</t>
  </si>
  <si>
    <t>Safety committee compliance</t>
  </si>
  <si>
    <t>Cumplimiento de comités de seguridad</t>
  </si>
  <si>
    <t>Safety committees and sub-committees held vs planned</t>
  </si>
  <si>
    <t>Incident investigation closure time</t>
  </si>
  <si>
    <t>Días promedio de cierre de investigaciones</t>
  </si>
  <si>
    <t>Average days to close incident investigations</t>
  </si>
  <si>
    <t>days</t>
  </si>
  <si>
    <t>Findings</t>
  </si>
  <si>
    <t>Average days to close findings</t>
  </si>
  <si>
    <t>Días promedio para cerrar hallazgos</t>
  </si>
  <si>
    <t>Average days to close deviations</t>
  </si>
  <si>
    <t>Measured in 2026; target from 2027</t>
  </si>
  <si>
    <t>High-severity share of findings</t>
  </si>
  <si>
    <t>% de desvíos de gravedad Alta</t>
  </si>
  <si>
    <t>High-severity deviations as % of rated deviations</t>
  </si>
  <si>
    <t>Detenciones de tareas aplicadas</t>
  </si>
  <si>
    <t>Stop-work actions applied (Stop Work Policy)</t>
  </si>
  <si>
    <t>Report_Month</t>
  </si>
  <si>
    <t>Monthly_Display</t>
  </si>
  <si>
    <t>Prior_Month</t>
  </si>
  <si>
    <t>Delta_vs_Prior</t>
  </si>
  <si>
    <t>Trend</t>
  </si>
  <si>
    <t>YTD_Display</t>
  </si>
  <si>
    <t>Target_Numeric</t>
  </si>
  <si>
    <t>Target_Display</t>
  </si>
  <si>
    <t>Status_Monthly</t>
  </si>
  <si>
    <t>Status_YTD</t>
  </si>
  <si>
    <t>Flag</t>
  </si>
  <si>
    <t>Unit</t>
  </si>
  <si>
    <t>Note</t>
  </si>
  <si>
    <t>Target_Sense</t>
  </si>
  <si>
    <t>Data_Status_YTD</t>
  </si>
  <si>
    <t>QA_Status</t>
  </si>
  <si>
    <t>Pending definition</t>
  </si>
  <si>
    <t>N/A</t>
  </si>
  <si>
    <t>FATALITIES</t>
  </si>
  <si>
    <t>Fatalities</t>
  </si>
  <si>
    <t>Fatalidades</t>
  </si>
  <si>
    <t>Context metric (no KPI calculation)</t>
  </si>
  <si>
    <t>No target defined</t>
  </si>
  <si>
    <t>Zero-fatality goal not defined in _TARGETS; confirm.</t>
  </si>
  <si>
    <t>HOURS</t>
  </si>
  <si>
    <t>Exposure</t>
  </si>
  <si>
    <t>Hours worked (all personnel)</t>
  </si>
  <si>
    <t>Horas hombre trabajadas (HHT)</t>
  </si>
  <si>
    <t>KM</t>
  </si>
  <si>
    <t>Kilometres driven</t>
  </si>
  <si>
    <t>Kilómetros recorridos</t>
  </si>
  <si>
    <t>FIND_DETECTED</t>
  </si>
  <si>
    <t>Deviations detected</t>
  </si>
  <si>
    <t>Desvíos detectados</t>
  </si>
  <si>
    <t>FIND_CLOSED</t>
  </si>
  <si>
    <t>Deviations closed</t>
  </si>
  <si>
    <t>Desvíos cerrados</t>
  </si>
  <si>
    <t>FIND_OPEN</t>
  </si>
  <si>
    <t>Deviations open at month end</t>
  </si>
  <si>
    <t>Desvíos abiertos a fin de mes</t>
  </si>
  <si>
    <t>n/a (stock at month end)</t>
  </si>
  <si>
    <t>FIND_HIGH_OPEN</t>
  </si>
  <si>
    <t>High-severity deviations open at month end</t>
  </si>
  <si>
    <t>Desvíos de gravedad Alta abiertos</t>
  </si>
  <si>
    <t>Series_ID</t>
  </si>
  <si>
    <t>Series_Label_EN</t>
  </si>
  <si>
    <t>Series_Order</t>
  </si>
  <si>
    <t>Cat_Index</t>
  </si>
  <si>
    <t>Period_Start</t>
  </si>
  <si>
    <t>Category_Label</t>
  </si>
  <si>
    <t>Value</t>
  </si>
  <si>
    <t>Target</t>
  </si>
  <si>
    <t>Chart_Type</t>
  </si>
  <si>
    <t>Period</t>
  </si>
  <si>
    <t>Status</t>
  </si>
  <si>
    <t>In_Scope</t>
  </si>
  <si>
    <t>Point_State</t>
  </si>
  <si>
    <t>CH01</t>
  </si>
  <si>
    <t>TRICF_M</t>
  </si>
  <si>
    <t>TRICF - monthly</t>
  </si>
  <si>
    <t>cases / 10^6 h</t>
  </si>
  <si>
    <t>line</t>
  </si>
  <si>
    <t>TRICF_Y</t>
  </si>
  <si>
    <t>TRICF - YTD</t>
  </si>
  <si>
    <t>CH02</t>
  </si>
  <si>
    <t>DAFWCF_M</t>
  </si>
  <si>
    <t>DAFWCF - monthly</t>
  </si>
  <si>
    <t>DAFWCF_Y</t>
  </si>
  <si>
    <t>DAFWCF - YTD</t>
  </si>
  <si>
    <t>CH03</t>
  </si>
  <si>
    <t>CASE_FAT</t>
  </si>
  <si>
    <t>cases</t>
  </si>
  <si>
    <t>stacked column</t>
  </si>
  <si>
    <t>CASE_LT</t>
  </si>
  <si>
    <t>Lost-time cases (DAFWC)</t>
  </si>
  <si>
    <t>CASE_RW</t>
  </si>
  <si>
    <t>Restricted-work cases</t>
  </si>
  <si>
    <t>CASE_MT</t>
  </si>
  <si>
    <t>Medical-treatment cases</t>
  </si>
  <si>
    <t>CASE_FA</t>
  </si>
  <si>
    <t>First-aid cases</t>
  </si>
  <si>
    <t>CH04</t>
  </si>
  <si>
    <t>hours</t>
  </si>
  <si>
    <t>column</t>
  </si>
  <si>
    <t>CH06</t>
  </si>
  <si>
    <t>CPSE_M</t>
  </si>
  <si>
    <t>Drills</t>
  </si>
  <si>
    <t>% of planned</t>
  </si>
  <si>
    <t>CAMS_M</t>
  </si>
  <si>
    <t>Drill improvement actions</t>
  </si>
  <si>
    <t>ICCS_M</t>
  </si>
  <si>
    <t>Management walkthroughs</t>
  </si>
  <si>
    <t>CCS_M</t>
  </si>
  <si>
    <t>Safety committees</t>
  </si>
  <si>
    <t>CH07</t>
  </si>
  <si>
    <t>OBS_M</t>
  </si>
  <si>
    <t>obs / person</t>
  </si>
  <si>
    <t>CH08</t>
  </si>
  <si>
    <t>HCS_M</t>
  </si>
  <si>
    <t>% of hours</t>
  </si>
  <si>
    <t>CH09</t>
  </si>
  <si>
    <t>F_DET</t>
  </si>
  <si>
    <t>deviations</t>
  </si>
  <si>
    <t>clustered column</t>
  </si>
  <si>
    <t>F_CLO</t>
  </si>
  <si>
    <t>F_OPEN</t>
  </si>
  <si>
    <t>CH10</t>
  </si>
  <si>
    <t>SEV_H</t>
  </si>
  <si>
    <t>High</t>
  </si>
  <si>
    <t>SEV_M</t>
  </si>
  <si>
    <t>Medium</t>
  </si>
  <si>
    <t>SEV_L</t>
  </si>
  <si>
    <t>Low</t>
  </si>
  <si>
    <t>SEV_N</t>
  </si>
  <si>
    <t>Severity not rated</t>
  </si>
  <si>
    <t>CH11</t>
  </si>
  <si>
    <t>DPAS_M</t>
  </si>
  <si>
    <t>Avg days to close deviations</t>
  </si>
  <si>
    <t>INV_M</t>
  </si>
  <si>
    <t>Avg days to close investigations</t>
  </si>
  <si>
    <t>CH12</t>
  </si>
  <si>
    <t>HIGH_OPEN</t>
  </si>
  <si>
    <t>CH13</t>
  </si>
  <si>
    <t>TVCR_M</t>
  </si>
  <si>
    <t>TVCR - monthly</t>
  </si>
  <si>
    <t>events / 10^6 km</t>
  </si>
  <si>
    <t>TVCR_Y</t>
  </si>
  <si>
    <t>TVCR - YTD</t>
  </si>
  <si>
    <t>SVCR_M</t>
  </si>
  <si>
    <t>SVCR - monthly</t>
  </si>
  <si>
    <t>SVCR_Y</t>
  </si>
  <si>
    <t>SVCR - YTD</t>
  </si>
  <si>
    <t>CH14</t>
  </si>
  <si>
    <t>CH05</t>
  </si>
  <si>
    <t>PLAN_M</t>
  </si>
  <si>
    <t>Planned - month</t>
  </si>
  <si>
    <t>events</t>
  </si>
  <si>
    <t>Mgmt walkthroughs</t>
  </si>
  <si>
    <t>DONE_M</t>
  </si>
  <si>
    <t>Completed - month</t>
  </si>
  <si>
    <t>PLAN_Y</t>
  </si>
  <si>
    <t>Planned - YTD</t>
  </si>
  <si>
    <t>DONE_Y</t>
  </si>
  <si>
    <t>Completed - YTD</t>
  </si>
  <si>
    <t>CH_ENV</t>
  </si>
  <si>
    <t>ENV_STATUS</t>
  </si>
  <si>
    <t>Environmental indicators</t>
  </si>
  <si>
    <t>n/a</t>
  </si>
  <si>
    <t>none</t>
  </si>
  <si>
    <t>PENDING_DEFINITION</t>
  </si>
  <si>
    <t>Slide_No</t>
  </si>
  <si>
    <t>Slide_Title_EN</t>
  </si>
  <si>
    <t>Element_ID</t>
  </si>
  <si>
    <t>Element_Type</t>
  </si>
  <si>
    <t>Source_Ref</t>
  </si>
  <si>
    <t>Label_EN</t>
  </si>
  <si>
    <t>Label_ES</t>
  </si>
  <si>
    <t>Value_Display</t>
  </si>
  <si>
    <t>Value_Numeric</t>
  </si>
  <si>
    <t>Flag_or_Footnote</t>
  </si>
  <si>
    <t>Sort</t>
  </si>
  <si>
    <t>YTD_Numeric</t>
  </si>
  <si>
    <t>Cumulative_Numeric</t>
  </si>
  <si>
    <t>Report header</t>
  </si>
  <si>
    <t>HDR_MONTH</t>
  </si>
  <si>
    <t>TEXT</t>
  </si>
  <si>
    <t>Report month</t>
  </si>
  <si>
    <t>HDR_PLANT</t>
  </si>
  <si>
    <t>San Matías Pipeline - Compressor Plant (OPS + SMP(IEBC, PAE e YPF) in field)</t>
  </si>
  <si>
    <t>HDR_QA</t>
  </si>
  <si>
    <t>Data quality status</t>
  </si>
  <si>
    <t>HDR_YTD</t>
  </si>
  <si>
    <t>YTD basis</t>
  </si>
  <si>
    <t>Calendar year to report month</t>
  </si>
  <si>
    <t>Pending confirmation of YTD base and project start date</t>
  </si>
  <si>
    <t>Executive HSE Overview</t>
  </si>
  <si>
    <t>OV_FAT</t>
  </si>
  <si>
    <t>KPI_CARD</t>
  </si>
  <si>
    <t>OV_TRICF</t>
  </si>
  <si>
    <t>OV_DAFWCF</t>
  </si>
  <si>
    <t>OV_TVCR</t>
  </si>
  <si>
    <t>OV_HIGH</t>
  </si>
  <si>
    <t>OV_HOURS</t>
  </si>
  <si>
    <t>CHART</t>
  </si>
  <si>
    <t>Reactive Safety Performance - Injuries</t>
  </si>
  <si>
    <t>RE_TRICF</t>
  </si>
  <si>
    <t>RE_DAFWCF</t>
  </si>
  <si>
    <t>RE_FAC</t>
  </si>
  <si>
    <t>RE_INV</t>
  </si>
  <si>
    <t>Driving Performance</t>
  </si>
  <si>
    <t>DR_TVCR</t>
  </si>
  <si>
    <t>DR_SVCR</t>
  </si>
  <si>
    <t>DR_KM</t>
  </si>
  <si>
    <t>Proactive Safety - Planned vs Completed</t>
  </si>
  <si>
    <t>PR_CPSE</t>
  </si>
  <si>
    <t>PR_CAMS</t>
  </si>
  <si>
    <t>PR_ICCS</t>
  </si>
  <si>
    <t>PR_CCS</t>
  </si>
  <si>
    <t>Proactive Safety - Observations and Training</t>
  </si>
  <si>
    <t>PR_OBS</t>
  </si>
  <si>
    <t>PR_HCS</t>
  </si>
  <si>
    <t>PR_HCSA</t>
  </si>
  <si>
    <t>Findings - Flow and Severity</t>
  </si>
  <si>
    <t>FI_FIND_DETECTED</t>
  </si>
  <si>
    <t>FI_FIND_CLOSED</t>
  </si>
  <si>
    <t>FI_FIND_OPEN</t>
  </si>
  <si>
    <t>Findings - Closure and Critical Exposures</t>
  </si>
  <si>
    <t>FI_DPAS</t>
  </si>
  <si>
    <t>FI_HAL_ALTA_PCT</t>
  </si>
  <si>
    <t>FI_DET</t>
  </si>
  <si>
    <t>FI_FIND_HIGH_OPEN</t>
  </si>
  <si>
    <t>Environmental Performance</t>
  </si>
  <si>
    <t>Environmental status</t>
  </si>
  <si>
    <t>PENDING DEFINITION</t>
  </si>
  <si>
    <t>Definitions to be approved (meeting 01/10/2026). No environmental values are reported.</t>
  </si>
  <si>
    <t>Management Closing View</t>
  </si>
  <si>
    <t>CL_ON</t>
  </si>
  <si>
    <t>KPIs on target (monthly)</t>
  </si>
  <si>
    <t>CL_OFF</t>
  </si>
  <si>
    <t>KPIs off target (monthly)</t>
  </si>
  <si>
    <t>CL_MON</t>
  </si>
  <si>
    <t>KPIs reported without target</t>
  </si>
  <si>
    <t>CL_ND</t>
  </si>
  <si>
    <t>KPIs with no data for the month</t>
  </si>
  <si>
    <t>CL_QA</t>
  </si>
  <si>
    <t>QA status</t>
  </si>
  <si>
    <t>Slide</t>
  </si>
  <si>
    <t>Order_on_Slide</t>
  </si>
  <si>
    <t>Title_EN</t>
  </si>
  <si>
    <t>Management_Question</t>
  </si>
  <si>
    <t>X_Axis</t>
  </si>
  <si>
    <t>Y_Axis</t>
  </si>
  <si>
    <t>Series_IDs (filter _RPT_CHART)</t>
  </si>
  <si>
    <t>Target_Line</t>
  </si>
  <si>
    <t>Missing_Data_Rule</t>
  </si>
  <si>
    <t>Display_Rule</t>
  </si>
  <si>
    <t>Footnote_Abbreviations (EN / ES)</t>
  </si>
  <si>
    <t>Points_OK</t>
  </si>
  <si>
    <t>Points_Total</t>
  </si>
  <si>
    <t>Chart_Status</t>
  </si>
  <si>
    <t>Source</t>
  </si>
  <si>
    <t>Points_Window</t>
  </si>
  <si>
    <t>Points_Missing</t>
  </si>
  <si>
    <t>Chk_Title</t>
  </si>
  <si>
    <t>Chk_Question</t>
  </si>
  <si>
    <t>Chk_Type</t>
  </si>
  <si>
    <t>Chk_Series</t>
  </si>
  <si>
    <t>Chk_Period</t>
  </si>
  <si>
    <t>Chk_Target</t>
  </si>
  <si>
    <t>Chk_Unit</t>
  </si>
  <si>
    <t>Chk_Source</t>
  </si>
  <si>
    <t>Chk_Status</t>
  </si>
  <si>
    <t>Chk_Missing</t>
  </si>
  <si>
    <t>Spec_Check</t>
  </si>
  <si>
    <t>Status_Reason</t>
  </si>
  <si>
    <t>Recordable injury frequency (TRICF): monthly vs YTD</t>
  </si>
  <si>
    <t>Is the recordable injury rate under control, and is the trend stable beyond monthly noise?</t>
  </si>
  <si>
    <t>Line, 2 series</t>
  </si>
  <si>
    <t>Last 12 months to report month</t>
  </si>
  <si>
    <t>Cases per 1,000,000 hours worked</t>
  </si>
  <si>
    <t>TRICF_M, TRICF_Y</t>
  </si>
  <si>
    <t>Yes, only if numeric target exists (_RPT_META!K)</t>
  </si>
  <si>
    <t>Blank points are not plotted as zero; series is broken at the gap.</t>
  </si>
  <si>
    <t>YTD line emphasised; monthly line thin/light. Annotate report month. Low-exposure months flagged (threshold pending).</t>
  </si>
  <si>
    <t>TRICF - Total Recordable Injury Case Frequency (Frecuencia de casos registrables)</t>
  </si>
  <si>
    <t>BD_KPIs Valor (key YYYYMM|CODE|Monthly/YTD); _TARGETS (target)</t>
  </si>
  <si>
    <t>Lost-time injury frequency (DAFWCF): monthly vs YTD</t>
  </si>
  <si>
    <t>Are lost-time injuries occurring, and at what rate against exposure?</t>
  </si>
  <si>
    <t>DAFWCF_M, DAFWCF_Y</t>
  </si>
  <si>
    <t>Yes, only if numeric target exists</t>
  </si>
  <si>
    <t>Same styling as CH01 for comparability.</t>
  </si>
  <si>
    <t>DAFWCF - Days Away From Work Case Frequency (Frecuencia de casos con días perdidos)</t>
  </si>
  <si>
    <t>Injury cases by classification</t>
  </si>
  <si>
    <t>What is the severity mix of injuries this period?</t>
  </si>
  <si>
    <t>Stacked column, 5 series</t>
  </si>
  <si>
    <t>Last 12 months</t>
  </si>
  <si>
    <t>Number of cases</t>
  </si>
  <si>
    <t>CASE_FAT, CASE_LT, CASE_RW, CASE_MT, CASE_FA</t>
  </si>
  <si>
    <t>Stack order: fatalities at the base (most severe), first aid at the top. Colour progression by severity.</t>
  </si>
  <si>
    <t>DAFWC - Days Away From Work Case (Caso con días perdidos); RWC - Restricted Work Case (Trabajo restringido); MTC - Medical Treatment Case (Tratamiento médico)</t>
  </si>
  <si>
    <t>Datos rows 29-33</t>
  </si>
  <si>
    <t>Hours worked (exposure)</t>
  </si>
  <si>
    <t>Is exposure large enough for the rates to be meaningful?</t>
  </si>
  <si>
    <t>Column, 1 series</t>
  </si>
  <si>
    <t>Hours worked (HHT)</t>
  </si>
  <si>
    <t>Muted colour: context chart. Use as small panel next to rate cards.</t>
  </si>
  <si>
    <t>HHT - Hours worked (Horas hombre trabajadas)</t>
  </si>
  <si>
    <t>Datos rows 9-11</t>
  </si>
  <si>
    <t>Planned vs completed: drills, walkthroughs, committees</t>
  </si>
  <si>
    <t>Are we executing the proactive activities we planned, this month and year to date?</t>
  </si>
  <si>
    <t>Clustered column, categories x 4 series</t>
  </si>
  <si>
    <t>4 activities (categories)</t>
  </si>
  <si>
    <t>Number of events</t>
  </si>
  <si>
    <t>PLAN_M, DONE_M, PLAN_Y, DONE_Y</t>
  </si>
  <si>
    <t>No (planned is the reference)</t>
  </si>
  <si>
    <t>If planned is blank, both bars for that activity are omitted.</t>
  </si>
  <si>
    <t>Planned in grey, completed in project colour; month and YTD as two panels.</t>
  </si>
  <si>
    <t>CPSE - Drills (emergency and operational); CAMS - Drill improvement actions; ICCS - Management walkthroughs; CCS - Safety committees</t>
  </si>
  <si>
    <t>BD_KPIs Numerador/Denominador (key YYYYMM|CODE|Monthly/YTD)</t>
  </si>
  <si>
    <t>Proactive compliance trend</t>
  </si>
  <si>
    <t>Is compliance with planned proactive activities sustained over time?</t>
  </si>
  <si>
    <t>Line, 4 series</t>
  </si>
  <si>
    <t>Completed as % of planned</t>
  </si>
  <si>
    <t>CPSE_M, CAMS_M, ICCS_M, CCS_M</t>
  </si>
  <si>
    <t>Yes, per series when numeric target exists; CAMS target provisional (flag)</t>
  </si>
  <si>
    <t>Target line dashed. Provisional target labelled 'provisional'.</t>
  </si>
  <si>
    <t>Compliance % = completed / planned (Cumplimiento = realizado / programado)</t>
  </si>
  <si>
    <t>Is the observation culture active relative to headcount?</t>
  </si>
  <si>
    <t>Observations per person</t>
  </si>
  <si>
    <t>Monthly only: YTD definition pending.</t>
  </si>
  <si>
    <t>OBS - Safety Observations (Observaciones de seguridad)</t>
  </si>
  <si>
    <t>Safety training as % of hours worked</t>
  </si>
  <si>
    <t>Is safety training keeping pace with exposure?</t>
  </si>
  <si>
    <t>% of hours worked</t>
  </si>
  <si>
    <t>Show as percentage with 2 decimals.</t>
  </si>
  <si>
    <t>HCS - Safety training hours over hours worked (Horas de formación / horas trabajadas)</t>
  </si>
  <si>
    <t>Deviations detected, closed and open</t>
  </si>
  <si>
    <t>Are we closing deviations as fast as we detect them?</t>
  </si>
  <si>
    <t>Clustered column (detected, closed) + line (open)</t>
  </si>
  <si>
    <t>Last 12 months from first deviation record</t>
  </si>
  <si>
    <t>Number of deviations</t>
  </si>
  <si>
    <t>F_DET, F_CLO, F_OPEN</t>
  </si>
  <si>
    <t>Months before the first deviation record and after the report month are blank.</t>
  </si>
  <si>
    <t>Open backlog as line on the same axis.</t>
  </si>
  <si>
    <t>Deviations = Plant Findings counting for DPAS (Desvíos)</t>
  </si>
  <si>
    <t>Datos rows 45-48; Hallazgos (first record date)</t>
  </si>
  <si>
    <t>Severity of detected deviations</t>
  </si>
  <si>
    <t>How severe are the deviations, and how much is not yet rated?</t>
  </si>
  <si>
    <t>Stacked column, 4 series</t>
  </si>
  <si>
    <t>SEV_H, SEV_M, SEV_L, SEV_N</t>
  </si>
  <si>
    <t>Same as CH09.</t>
  </si>
  <si>
    <t>Severity not rated' shown in neutral grey: it is a data-quality signal, not a severity level.</t>
  </si>
  <si>
    <t>Gravedad: Alta / Media / Baja</t>
  </si>
  <si>
    <t>Datos rows 49-52; Hallazgos (first record date)</t>
  </si>
  <si>
    <t>Closure time: deviations and investigations</t>
  </si>
  <si>
    <t>Are deviations and incident investigations being closed in a timely manner?</t>
  </si>
  <si>
    <t>Average days to close</t>
  </si>
  <si>
    <t>DPAS_M, INV_M</t>
  </si>
  <si>
    <t>Yes, DPAS only when a numeric target is defined (2027)</t>
  </si>
  <si>
    <t>Without target: no target line, label 'Reported only' or 'Target from 2027'.</t>
  </si>
  <si>
    <t>DPAS - Average days to close findings (Días promedio de cierre); INV - Investigation closure days</t>
  </si>
  <si>
    <t>How many critical exposures remain open?</t>
  </si>
  <si>
    <t>No (zero is the implicit goal; not defined in _TARGETS)</t>
  </si>
  <si>
    <t>Highlight report month bar; alert colour when &gt; 0 is a management choice, not a target.</t>
  </si>
  <si>
    <t>Alta = High severity</t>
  </si>
  <si>
    <t>Datos row 54; Hallazgos (first record date)</t>
  </si>
  <si>
    <t>Vehicle crash rates: total (TVCR) and severe (SVCR)</t>
  </si>
  <si>
    <t>Is driving performance (TVCR, SVCR) improving relative to distance driven?</t>
  </si>
  <si>
    <t>Events per 1,000,000 km</t>
  </si>
  <si>
    <t>TVCR_M, TVCR_Y, SVCR_M, SVCR_Y</t>
  </si>
  <si>
    <t>YTD emphasised. Rates are never summed across periods.</t>
  </si>
  <si>
    <t>TVCR - Total Vehicle Crash Rate (Tasa total de accidentes vehiculares); SVCR - Severe Vehicle Crash Rate (Tasa de accidentes vehiculares severos) = catastrophic + major + serious</t>
  </si>
  <si>
    <t>Kilometres driven (exposure)</t>
  </si>
  <si>
    <t>Is driving exposure large enough for the vehicle crash rates to be meaningful?</t>
  </si>
  <si>
    <t>Kilometres</t>
  </si>
  <si>
    <t>Muted colour: context chart.</t>
  </si>
  <si>
    <t>KM - Kilometres driven (Kilómetros recorridos; source: Full Control GPS)</t>
  </si>
  <si>
    <t>Datos rows 40-43</t>
  </si>
  <si>
    <t>Environmental performance (pending definition)</t>
  </si>
  <si>
    <t>None: text placeholder</t>
  </si>
  <si>
    <t>No values are generated.</t>
  </si>
  <si>
    <t>Show 'Pending definition' banner. Do not display any environmental KPI until definitions are approved (meeting 01/10/2026).</t>
  </si>
  <si>
    <t>None (environmental KPIs pending definition)</t>
  </si>
  <si>
    <t>Definitions (Prompt 4):</t>
  </si>
  <si>
    <t>Points_Total = points expected in scope: window months (12 to report month) that are inside the Datos calendar and not after the report month; for findings charts also not before the first record in Hallazgos. CH05: 4 activities x 4 series. CH_ENV: not counted.</t>
  </si>
  <si>
    <t>Points_OK = in-scope points with a numeric value (_RPT_CHART Point_State = OK). Missing points (Point_State = MISSING) stay blank = gap; blank is never zero.</t>
  </si>
  <si>
    <t>Chart_Status: PENDING_DEFINITION (CH_ENV) / NO_DATA (Points_OK = 0, includes Points_Total = 0) / PARTIAL (0 &lt; Points_OK &lt; Points_Total) / COMPLETE (Points_OK = Points_Total).</t>
  </si>
  <si>
    <t>Points_Window = legacy count of all cells of the 12-month window (previous Points_Total definition), kept for traceability.</t>
  </si>
  <si>
    <t>Chk_*: ten validations per Chart_ID (title, question, type, series, period, target, unit, source, status, missing-data). Spec_Check = OK only if all ten are OK. Chk_Source is documentary (non-empty text and scope).</t>
  </si>
  <si>
    <t>Block</t>
  </si>
  <si>
    <t>Item</t>
  </si>
  <si>
    <t>Rule / Condition</t>
  </si>
  <si>
    <t>PPT treatment</t>
  </si>
  <si>
    <t>Colour (hex)</t>
  </si>
  <si>
    <t>ON_TARGET</t>
  </si>
  <si>
    <t>Value is numeric AND target is numeric AND value meets the sense (≤ or ≥) of _TARGETS</t>
  </si>
  <si>
    <t>Green marker; show target</t>
  </si>
  <si>
    <t>2E7D32</t>
  </si>
  <si>
    <t>OFF_TARGET</t>
  </si>
  <si>
    <t>Value is numeric AND target is numeric AND value does not meet the sense</t>
  </si>
  <si>
    <t>Red marker; show target and gap</t>
  </si>
  <si>
    <t>C62828</t>
  </si>
  <si>
    <t>MONITOR</t>
  </si>
  <si>
    <t>Value is numeric AND no numeric target (reported only / target pending)</t>
  </si>
  <si>
    <t>Neutral grey marker; label 'Reported only' or 'Target from 2027'. Never green/red.</t>
  </si>
  <si>
    <t>NO_DATA</t>
  </si>
  <si>
    <t>Value is not numeric (missing, insufficient inputs or denominator = 0)</t>
  </si>
  <si>
    <t>Show 'n/a'. Never show 0. Grey hatched card.</t>
  </si>
  <si>
    <t>BDBDBD</t>
  </si>
  <si>
    <t>CONTEXT</t>
  </si>
  <si>
    <t>Context metric without KPI calculation (hours, km, fatalities, deviation counts)</t>
  </si>
  <si>
    <t>No status marker</t>
  </si>
  <si>
    <t>Indicator without approved definition (environmental)</t>
  </si>
  <si>
    <t>Banner 'Pending definition'</t>
  </si>
  <si>
    <t>F9A825</t>
  </si>
  <si>
    <t>Incomplete inputs</t>
  </si>
  <si>
    <t>Data_Status = INCOMPLETE (some manual inputs of the month blank)</t>
  </si>
  <si>
    <t>Footnote marker on the card</t>
  </si>
  <si>
    <t>No data</t>
  </si>
  <si>
    <t>Data_Status = MISSING</t>
  </si>
  <si>
    <t>Card shows n/a</t>
  </si>
  <si>
    <t>Target note in _RPT_META (e.g. CAMS)</t>
  </si>
  <si>
    <t>Target label suffixed 'provisional'</t>
  </si>
  <si>
    <t>Target display</t>
  </si>
  <si>
    <t>Numeric target exists</t>
  </si>
  <si>
    <t>_RPT_META!K numeric</t>
  </si>
  <si>
    <t>Draw dashed target line in trend charts; card shows 'Target: &lt;value&gt;' formatted with the KPI number format</t>
  </si>
  <si>
    <t>No numeric target</t>
  </si>
  <si>
    <t>_RPT_META!K blank</t>
  </si>
  <si>
    <t>No line; card shows _RPT_META!M ('Reported only' / 'Measured in 2026; target from 2027')</t>
  </si>
  <si>
    <t>_RPT_META!J: ≤ lower is better; ≥ higher is better; blank neutral</t>
  </si>
  <si>
    <t>Arrow colour for trend follows the sense</t>
  </si>
  <si>
    <t>Targets are read from _TARGETS only (never typed in the PPT)</t>
  </si>
  <si>
    <t>Footnote 'Targets: as per project HSE plan (pending confirmation)' while _TARGETS!O = PENDIENTE CONFIRMAR</t>
  </si>
  <si>
    <t>Improving / Worsening</t>
  </si>
  <si>
    <t>Delta vs prior month (rates compared as rates, never added) evaluated with sense</t>
  </si>
  <si>
    <t>Arrow up/down, coloured by meaning, not direction</t>
  </si>
  <si>
    <t>Higher / Lower</t>
  </si>
  <si>
    <t>No sense (no target): neutral wording</t>
  </si>
  <si>
    <t>Grey arrow</t>
  </si>
  <si>
    <t>Stable / N/A</t>
  </si>
  <si>
    <t>Delta = 0 / one of the two months missing</t>
  </si>
  <si>
    <t>Flat dash / no arrow</t>
  </si>
  <si>
    <t>Monthly vs YTD</t>
  </si>
  <si>
    <t>Card headline = Monthly; sub-line = YTD (calendar year, pending confirmation). OBS and HCSA have no YTD</t>
  </si>
  <si>
    <t>YTD shown only where _RPT_META!O = Yes</t>
  </si>
  <si>
    <t>Only DAFWCF, TRICF, FAC, SVCR, TVCR (project to date)</t>
  </si>
  <si>
    <t>Footnote on Reactive/Driving slides</t>
  </si>
  <si>
    <t>Number format</t>
  </si>
  <si>
    <t>Rates</t>
  </si>
  <si>
    <t>2 decimals</t>
  </si>
  <si>
    <t>e.g. 0.00</t>
  </si>
  <si>
    <t>Counts</t>
  </si>
  <si>
    <t>0 decimals</t>
  </si>
  <si>
    <t>Percent</t>
  </si>
  <si>
    <t>Fraction x 100, decimals per _RPT_META!H, with '%' sign</t>
  </si>
  <si>
    <t>Days</t>
  </si>
  <si>
    <t>1 decimal</t>
  </si>
  <si>
    <t>Global rule</t>
  </si>
  <si>
    <t>Missing is not zero</t>
  </si>
  <si>
    <t>Every value cell is blank/'' when not calculable</t>
  </si>
  <si>
    <t>PPT must skip blank points and show n/a</t>
  </si>
  <si>
    <t>Chart availability</t>
  </si>
  <si>
    <t>_RPT_SPEC_CHART!P (COMPLETE / PARTIAL / NO_DATA / PENDING_DEFINITION)</t>
  </si>
  <si>
    <t>Slide omits charts with NO_DATA and states 'No data for period'</t>
  </si>
  <si>
    <t>QA gate</t>
  </si>
  <si>
    <t>Control!C7 (errors) &gt; 0 gives RED and blocks issuance</t>
  </si>
  <si>
    <t>PPT header displays QA status from _RPT_PPT HDR_QA</t>
  </si>
  <si>
    <t>Abbreviation</t>
  </si>
  <si>
    <t>English</t>
  </si>
  <si>
    <t>Español</t>
  </si>
  <si>
    <t>Used on slide</t>
  </si>
  <si>
    <t>HHT</t>
  </si>
  <si>
    <t>Horas hombre trabajadas</t>
  </si>
  <si>
    <t>1, 2</t>
  </si>
  <si>
    <t>Year to date (calendar year, pending confirmation)</t>
  </si>
  <si>
    <t>Acumulado del año calendario</t>
  </si>
  <si>
    <t>All</t>
  </si>
  <si>
    <t>Operations contractor for the Compressor Plant</t>
  </si>
  <si>
    <t>Contratista de operaciones de la planta</t>
  </si>
  <si>
    <t>DAFWC</t>
  </si>
  <si>
    <t>Days Away From Work Case</t>
  </si>
  <si>
    <t>Caso con días perdidos</t>
  </si>
  <si>
    <t>RWC</t>
  </si>
  <si>
    <t>Restricted Work Case</t>
  </si>
  <si>
    <t>Caso con trabajo restringido</t>
  </si>
  <si>
    <t>MTC</t>
  </si>
  <si>
    <t>Medical Treatment Case</t>
  </si>
  <si>
    <t>Caso con tratamiento médico</t>
  </si>
  <si>
    <t>SWP</t>
  </si>
  <si>
    <t>Stop Work Policy</t>
  </si>
  <si>
    <t>Política de detención de tareas</t>
  </si>
  <si>
    <t>HSE</t>
  </si>
  <si>
    <t>Health, Safety and Environment</t>
  </si>
  <si>
    <t>Salud, seguridad y ambiente (SSMA)</t>
  </si>
  <si>
    <t>Hoja</t>
  </si>
  <si>
    <t>Foto</t>
  </si>
  <si>
    <t>Celda_Foto (ancla)</t>
  </si>
  <si>
    <t>Celda_Descripción</t>
  </si>
  <si>
    <t>Mes_Seleccionado</t>
  </si>
  <si>
    <t>Hoja del mes seleccionado</t>
  </si>
  <si>
    <t>FOTOS_AGO_26</t>
  </si>
  <si>
    <t>Foto 1</t>
  </si>
  <si>
    <t>B7</t>
  </si>
  <si>
    <t>B23</t>
  </si>
  <si>
    <t>Foto 2</t>
  </si>
  <si>
    <t>I7</t>
  </si>
  <si>
    <t>I23</t>
  </si>
  <si>
    <t>FOTOS_SEP_26</t>
  </si>
  <si>
    <t>FOTOS_OCT_26</t>
  </si>
  <si>
    <t>FOTOS_NOV_26</t>
  </si>
  <si>
    <t>FOTOS_DIC_26</t>
  </si>
  <si>
    <t>FOTOS_ENE_27</t>
  </si>
  <si>
    <t>FOTOS_FEB_27</t>
  </si>
  <si>
    <t>FOTOS_MAR_27</t>
  </si>
  <si>
    <t>FOTOS_ABR_27</t>
  </si>
  <si>
    <t>FOTOS_MAY_27</t>
  </si>
  <si>
    <t>FOTOS_JUN_27</t>
  </si>
  <si>
    <t>FOTOS_JUL_27</t>
  </si>
  <si>
    <t>FOTOS_AGO_27</t>
  </si>
  <si>
    <t>FOTOS_SEP_27</t>
  </si>
  <si>
    <t>FOTOS_OCT_27</t>
  </si>
  <si>
    <t>FOTOS_NOV_27</t>
  </si>
  <si>
    <t>FOTOS_DIC_27</t>
  </si>
  <si>
    <t>FOTOS_ENE_28</t>
  </si>
  <si>
    <t>FOTOS_FEB_28</t>
  </si>
  <si>
    <t>FOTOS_MAR_28</t>
  </si>
  <si>
    <t>FOTOS_ABR_28</t>
  </si>
  <si>
    <t>FOTOS_MAY_28</t>
  </si>
  <si>
    <t>FOTOS_JUN_28</t>
  </si>
  <si>
    <t>FOTOS_JUL_28</t>
  </si>
  <si>
    <t>FOTOS_AGO_28</t>
  </si>
  <si>
    <t>FOTOS_SEP_28</t>
  </si>
  <si>
    <t>FOTOS_OCT_28</t>
  </si>
  <si>
    <t>FOTOS_NOV_28</t>
  </si>
  <si>
    <t>FOTOS_DIC_28</t>
  </si>
  <si>
    <t>FOTOS_ENE_29</t>
  </si>
  <si>
    <t>FOTOS_FEB_29</t>
  </si>
  <si>
    <t>FOTOS_MAR_29</t>
  </si>
  <si>
    <t>FOTOS_ABR_29</t>
  </si>
  <si>
    <t>FOTOS_MAY_29</t>
  </si>
  <si>
    <t>FOTOS_JUN_29</t>
  </si>
  <si>
    <t>AUTOMÁTICO · OBSERVACIONES DE LA PLANILLA HALLAZGOS (se calcula solo, no se completa)</t>
  </si>
  <si>
    <t>u</t>
  </si>
  <si>
    <t>texto</t>
  </si>
  <si>
    <t>SIGLA (YPF)</t>
  </si>
  <si>
    <t>PTOT(?)</t>
  </si>
  <si>
    <t>PTOT(?)</t>
  </si>
  <si>
    <t>PTOT(?)</t>
  </si>
  <si>
    <t>NTTP(?)</t>
  </si>
  <si>
    <t>NTTP(?)</t>
  </si>
  <si>
    <t>NTTP(?)</t>
  </si>
  <si>
    <t>HHT(?)</t>
  </si>
  <si>
    <t>HHT(?)</t>
  </si>
  <si>
    <t>HHT(?)</t>
  </si>
  <si>
    <t>HHS(?)</t>
  </si>
  <si>
    <t>HHS(?)</t>
  </si>
  <si>
    <t>HHS(?)</t>
  </si>
  <si>
    <t>ICCS(?)</t>
  </si>
  <si>
    <t>ICCS(?)</t>
  </si>
  <si>
    <t>CCS(?)</t>
  </si>
  <si>
    <t>CCS(?)</t>
  </si>
  <si>
    <t>OCS(?)</t>
  </si>
  <si>
    <t>INV(?)</t>
  </si>
  <si>
    <t>INV(?)</t>
  </si>
  <si>
    <t>nDAFWC(ACDP)</t>
  </si>
  <si>
    <t>nRWC(TR)</t>
  </si>
  <si>
    <t>nMTC(TM)</t>
  </si>
  <si>
    <t>nF(FA)</t>
  </si>
  <si>
    <t>FAC(PA)</t>
  </si>
  <si>
    <t>C(?)</t>
  </si>
  <si>
    <t>M(?)</t>
  </si>
  <si>
    <t>S(?)</t>
  </si>
  <si>
    <t>O(?)</t>
  </si>
  <si>
    <t>KM(?)</t>
  </si>
  <si>
    <t>KM(?)</t>
  </si>
  <si>
    <t>KM(?)</t>
  </si>
  <si>
    <t>KM(?)</t>
  </si>
  <si>
    <t>PCAP(?)</t>
  </si>
  <si>
    <t>PCAP(?)</t>
  </si>
  <si>
    <t>PCAP(?)</t>
  </si>
  <si>
    <t>CAMP(?)</t>
  </si>
  <si>
    <t>CAMP(?)</t>
  </si>
  <si>
    <t>ART(?)</t>
  </si>
  <si>
    <t>ART(?)</t>
  </si>
  <si>
    <t>DPAS(?)</t>
  </si>
  <si>
    <t>DPAS(?)</t>
  </si>
  <si>
    <t>DPAS(?)</t>
  </si>
  <si>
    <t>HAL(?)</t>
  </si>
  <si>
    <t>HAL(?)</t>
  </si>
  <si>
    <t>HAL(?)</t>
  </si>
  <si>
    <t>HAL(?)</t>
  </si>
  <si>
    <t>HAL(?)</t>
  </si>
  <si>
    <t>DET(?)</t>
  </si>
  <si>
    <t>HAL(?)</t>
  </si>
  <si>
    <t>DAFWCF(?)</t>
  </si>
  <si>
    <t>TRICF(IFT)</t>
  </si>
  <si>
    <t>FAC(PA)</t>
  </si>
  <si>
    <t>SVCR(?)</t>
  </si>
  <si>
    <t>TVCR(?)</t>
  </si>
  <si>
    <t>OBS(?)</t>
  </si>
  <si>
    <t>INV(?)</t>
  </si>
  <si>
    <t>HCS(?)</t>
  </si>
  <si>
    <t>HCSA(?)</t>
  </si>
  <si>
    <t>CPSE(?)</t>
  </si>
  <si>
    <t>CAMS(?)</t>
  </si>
  <si>
    <t>ICCS(?)</t>
  </si>
  <si>
    <t>CCS(?)</t>
  </si>
  <si>
    <t>DPAS(?)</t>
  </si>
  <si>
    <t>DAFWCF(?)</t>
  </si>
  <si>
    <t>TRICF(IFT)</t>
  </si>
  <si>
    <t>FAC(PA)</t>
  </si>
  <si>
    <t>SVCR(?)</t>
  </si>
  <si>
    <t>TVCR(?)</t>
  </si>
  <si>
    <t>HAL-A(?)</t>
  </si>
  <si>
    <t>DET(?)</t>
  </si>
  <si>
    <t>Personal total del mes: Personal OPS</t>
  </si>
  <si>
    <t>Personal total del mes: Personal SMP(IEBC, PAE e YPF) en campo</t>
  </si>
  <si>
    <t>Personal total del mes: TOTAL</t>
  </si>
  <si>
    <t>Dotación promedio: Personal OPS</t>
  </si>
  <si>
    <t>Dotación promedio: TOTAL</t>
  </si>
  <si>
    <t>Horas hombre trabajadas: Personal OPS</t>
  </si>
  <si>
    <t>Horas hombre trabajadas: Personal SMP(IEBC, PAE e YPF) en campo</t>
  </si>
  <si>
    <t>Horas hombre trabajadas: TOTAL</t>
  </si>
  <si>
    <t>Horas hombre de formación en seguridad: Personal OPS</t>
  </si>
  <si>
    <t>Horas hombre de formación en seguridad: TOTAL</t>
  </si>
  <si>
    <t>SIMULACROS · Realizados (emergencia y operativos)</t>
  </si>
  <si>
    <t>SIMULACROS · Programados (emergencia y operativos)</t>
  </si>
  <si>
    <t>SIMULACROS · Acciones de mejora surgidas de los simulacros (en el mes informado)</t>
  </si>
  <si>
    <t>SIMULACROS · Acciones de mejora implementadas surgidas de los simulacros (ICME) (en el mes informado)</t>
  </si>
  <si>
    <t>Caminatas gerenciales realizadas</t>
  </si>
  <si>
    <t>Caminatas gerenciales planificadas</t>
  </si>
  <si>
    <t>Comités y subcomités de seguridad realizados</t>
  </si>
  <si>
    <t>Comités y subcomités de seguridad planificados</t>
  </si>
  <si>
    <t>Investigaciones de accidentes cerradas en el mes</t>
  </si>
  <si>
    <t>Días que llevaron esas investigaciones (suma)</t>
  </si>
  <si>
    <t>Casos con días perdidos</t>
  </si>
  <si>
    <t>Casos con trabajo restringido</t>
  </si>
  <si>
    <t>Casos con tratamiento médico</t>
  </si>
  <si>
    <t>Fatalidades</t>
  </si>
  <si>
    <t>Casos de primeros auxilios</t>
  </si>
  <si>
    <t>CVM catastróficas</t>
  </si>
  <si>
    <t>CVM mayores</t>
  </si>
  <si>
    <t>CVM serias</t>
  </si>
  <si>
    <t>CVM otras / menores</t>
  </si>
  <si>
    <t>Km recorridos: vehículos livianos (camionetas)</t>
  </si>
  <si>
    <t>Km recorridos: vehículos pesados (camiones)</t>
  </si>
  <si>
    <t>Km recorridos: vehículos de transporte de personal (combis)</t>
  </si>
  <si>
    <t>Km recorridos: TOTAL</t>
  </si>
  <si>
    <t>Personas distintas capacitadas en el mes: Personal OPS</t>
  </si>
  <si>
    <t>Personas distintas capacitadas en el mes: TOTAL</t>
  </si>
  <si>
    <t>Campañas de seguridad programadas en el mes</t>
  </si>
  <si>
    <t>Campañas de seguridad realizadas en el mes</t>
  </si>
  <si>
    <t>N° de caso ART de cada accidente reportado (separar con ;)</t>
  </si>
  <si>
    <t>Hallazgos (desvíos) cerrados en el mes</t>
  </si>
  <si>
    <t>Días que llevaron esos hallazgos (suma)</t>
  </si>
  <si>
    <t>Hallazgos (desvíos) abiertos a fin de mes</t>
  </si>
  <si>
    <t>Hallazgos (desvíos) detectados en el mes</t>
  </si>
  <si>
    <t>Desvíos detectados en el mes · gravedad Alta</t>
  </si>
  <si>
    <t>Desvíos detectados en el mes · gravedad Media</t>
  </si>
  <si>
    <t>Desvíos detectados en el mes · gravedad Baja</t>
  </si>
  <si>
    <t>Desvíos detectados en el mes · sin gravedad cargada</t>
  </si>
  <si>
    <t>Detenciones de tareas aplicadas en el mes (Política = Sí)</t>
  </si>
  <si>
    <t>Desvíos de gravedad Alta abiertos a fin de mes</t>
  </si>
  <si>
    <t>1 · Frecuencia de casos con días perdidos</t>
  </si>
  <si>
    <t>2 · Frecuencia de casos registrables</t>
  </si>
  <si>
    <t>3 · Casos de primeros auxilios</t>
  </si>
  <si>
    <t>4 · Accidentes vehiculares severos por millón de km</t>
  </si>
  <si>
    <t>5 · Accidentes vehiculares totales por millón de km</t>
  </si>
  <si>
    <t>6 · Observaciones de seguridad por persona</t>
  </si>
  <si>
    <t>7 · Investigaciones de accidentes: días promedio de cierre</t>
  </si>
  <si>
    <t>8 · % de capacitación en seguridad</t>
  </si>
  <si>
    <t>9 · Horas de capacitación por persona</t>
  </si>
  <si>
    <t>10 · Cumplimiento de simulacros (emergencia y operativos)</t>
  </si>
  <si>
    <t>10b · Cumplimiento de acciones de mejora de simulacros</t>
  </si>
  <si>
    <t>11 · Cumplimiento de caminatas gerenciales</t>
  </si>
  <si>
    <t>12 · Cumplimiento de comités y subcomités de seguridad</t>
  </si>
  <si>
    <t>13 · Días promedio para cerrar hallazgos</t>
  </si>
  <si>
    <t>1 · Frecuencia de casos con días perdidos · ACUMULADO</t>
  </si>
  <si>
    <t>2 · Frecuencia de casos registrables · ACUMULADO</t>
  </si>
  <si>
    <t>3 · Casos de primeros auxilios · ACUMULADO</t>
  </si>
  <si>
    <t>4 · Accidentes vehiculares severos · ACUMULADO</t>
  </si>
  <si>
    <t>5 · Accidentes vehiculares totales · ACUMULADO</t>
  </si>
  <si>
    <t>C1 · % de desvíos detectados de gravedad Alta</t>
  </si>
  <si>
    <t>C2 · Detenciones de tareas aplicadas</t>
  </si>
  <si>
    <t>SIMR(?)</t>
  </si>
  <si>
    <t>SIMP(?)</t>
  </si>
  <si>
    <t>AMS(?)</t>
  </si>
  <si>
    <t>AMI(ICME)</t>
  </si>
  <si>
    <t>Reporte</t>
  </si>
  <si>
    <t>Solo reporte</t>
  </si>
  <si>
    <t>OCSP(?)</t>
  </si>
  <si>
    <t>OCSN(?)</t>
  </si>
  <si>
    <t>OCSH(?)</t>
  </si>
  <si>
    <t>Espejo de solo lectura de Datos!F1. Para cambiar el mes de reporte usar el selector de la hoja Datos (celda F1).</t>
  </si>
  <si>
    <t>Accidentes reportados a la ART en el mes (solo si hubo accidentes con lesión)</t>
  </si>
  <si>
    <t>DPAS Y HALLAZGOS · carga manual (dependen de las caminatas gerenciales y demás) · desvíos, gravedad y detenciones</t>
  </si>
  <si>
    <t>OCSAP(?)</t>
  </si>
  <si>
    <t>Observaciones de ALTO POTENCIAL de la planilla Observaciones-SMP del mes · automático (hoja Observaciones-SMP, col. T = Sí)</t>
  </si>
  <si>
    <t>u</t>
  </si>
  <si>
    <t>¿Alto potencial?</t>
  </si>
  <si>
    <t>¿Alto potencial?</t>
  </si>
  <si>
    <t>(sin uso)</t>
  </si>
  <si>
    <t>(sin uso)</t>
  </si>
  <si>
    <t>Días para cerrar</t>
  </si>
  <si>
    <t>(sin uso)</t>
  </si>
  <si>
    <t>(sin uso)</t>
  </si>
  <si>
    <t>Alto potencial con valor distinto de Sí / No (col. T)</t>
  </si>
  <si>
    <t>Usar Sí o No en col. T</t>
  </si>
  <si>
    <t>Hallazgos de alto potencial sin acción cargada</t>
  </si>
  <si>
    <t>Completar col. M (Acción)</t>
  </si>
  <si>
    <t>Hallazgos de alto potencial abiertos (seguimiento)</t>
  </si>
  <si>
    <t>INFO</t>
  </si>
  <si>
    <t>Dar seguimiento: ver col. O (Estado)</t>
  </si>
  <si>
    <t>Observaciones de la planilla Observaciones-SMP (Datos fila 77) distintas de los registros de la hoja Observaciones-SMP</t>
  </si>
  <si>
    <t>Hallazgos de alto potencial fuera del calendario de Datos (no se reflejan en Datos fila 78)</t>
  </si>
  <si>
    <t>Revisar fechas de apertura de los hallazgos de alto potencial</t>
  </si>
  <si>
    <t>MES DE REPORTE ▶</t>
  </si>
  <si>
    <t>DÍAS TRABAJADOS</t>
  </si>
  <si>
    <t>DTRAB-S1</t>
  </si>
  <si>
    <t>Días trabajados en la semana 1 (lun–dom): Personal OPS</t>
  </si>
  <si>
    <t>DTRAB-S2</t>
  </si>
  <si>
    <t>Días trabajados en la semana 2 (lun–dom): Personal OPS</t>
  </si>
  <si>
    <t>DTRAB-S3</t>
  </si>
  <si>
    <t>Días trabajados en la semana 3 (lun–dom): Personal OPS</t>
  </si>
  <si>
    <t>DTRAB-S4</t>
  </si>
  <si>
    <t>Días trabajados en la semana 4 (lun–dom): Personal OPS</t>
  </si>
  <si>
    <t>DTRAB-S5</t>
  </si>
  <si>
    <t>Días trabajados en la semana 5 (lun–dom): Personal OPS</t>
  </si>
  <si>
    <t>OPS (Detalle)</t>
  </si>
  <si>
    <t>PERSONAS CAPACITADAS Y CAMPAÑAS DE SEGURIDAD</t>
  </si>
  <si>
    <t xml:space="preserve">PERSONAL EN CAMPO  ·  OPS  +  SMP(IEBC, PAE e YPF) </t>
  </si>
  <si>
    <t xml:space="preserve">Dotación promedio: Personal SMP(IEBC, PAE e YPF) </t>
  </si>
  <si>
    <t xml:space="preserve">Horas hombre de formación en seguridad: Personal SMP(IEBC, PAE e YPF) </t>
  </si>
  <si>
    <t xml:space="preserve">Personas distintas capacitadas en el mes: Personal SMP(IEBC, PAE e YPF) </t>
  </si>
  <si>
    <t>ACCIDENTES REPORTADOS A LA ART · completar solo si hubo accidentes en el mes</t>
  </si>
  <si>
    <t>Observaciones de comportamiento: abiertas (Total: OPS+SMP)</t>
  </si>
  <si>
    <t>Observaciones de comportamiento seguro: cerradas y positivas                                             (Total: OPS+SMP)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</si>
</sst>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9]mmm\-yy"/>
    <numFmt numFmtId="165" formatCode="[=0]&quot;✓ completo&quot;;&quot;faltan &quot;0"/>
    <numFmt numFmtId="166" formatCode="#,##0;\-#,##0;\-"/>
    <numFmt numFmtId="167" formatCode="0.0"/>
    <numFmt numFmtId="168" formatCode="dd/mm/yyyy"/>
    <numFmt numFmtId="169" formatCode="0%&quot; (sim.)&quot;"/>
    <numFmt numFmtId="170" formatCode="#,##0.##"/>
    <numFmt numFmtId="171" formatCode="[$-409]dd/mm/yyyy"/>
    <numFmt numFmtId="172" formatCode="yyyy\-mm\-dd\ h:mm:ss"/>
    <numFmt numFmtId="173" formatCode="#,##0;\-#,##0;0"/>
  </numFmts>
  <fonts count="39" x14ac:knownFonts="1">
    <font>
      <sz val="11"/>
      <color theme="1"/>
      <name val="Calibri"/>
      <family val="2"/>
      <charset val="1"/>
    </font>
    <font>
      <b/>
      <sz val="15"/>
      <color rgb="FFFFFFFF"/>
      <name val="Calibri"/>
      <family val="2"/>
      <charset val="1"/>
    </font>
    <font>
      <b/>
      <sz val="12"/>
      <color theme="1"/>
      <name val="Calibri"/>
      <family val="2"/>
      <charset val="1"/>
    </font>
    <font>
      <b/>
      <sz val="13"/>
      <color theme="1"/>
      <name val="Calibri"/>
      <family val="2"/>
      <charset val="1"/>
    </font>
    <font>
      <i/>
      <sz val="11"/>
      <color theme="1"/>
      <name val="Calibri"/>
      <family val="2"/>
      <charset val="1"/>
    </font>
    <font>
      <b/>
      <u/>
      <sz val="11"/>
      <color rgb="FF0563C1"/>
      <name val="Calibri"/>
      <family val="2"/>
    </font>
    <font>
      <b/>
      <sz val="11"/>
      <color rgb="FFFFFFFF"/>
      <name val="Calibri"/>
      <family val="2"/>
      <charset val="1"/>
    </font>
    <font>
      <b/>
      <sz val="11"/>
      <color theme="1"/>
      <name val="Calibri"/>
      <family val="2"/>
      <charset val="1"/>
    </font>
    <font>
      <b/>
      <sz val="14"/>
      <color theme="1"/>
      <name val="Arial"/>
      <family val="2"/>
    </font>
    <font>
      <b/>
      <sz val="9"/>
      <color theme="1"/>
      <name val="Arial"/>
      <family val="2"/>
    </font>
    <font>
      <b/>
      <sz val="8"/>
      <color theme="1"/>
      <name val="Arial"/>
      <family val="2"/>
    </font>
    <font>
      <b/>
      <sz val="10"/>
      <color rgb="FFFFFFFF"/>
      <name val="Arial"/>
      <family val="2"/>
    </font>
    <font>
      <b/>
      <sz val="11"/>
      <color rgb="FFFFFFFF"/>
      <name val="Arial"/>
      <family val="2"/>
    </font>
    <font>
      <sz val="10"/>
      <color theme="1"/>
      <name val="Arial"/>
      <family val="2"/>
    </font>
    <font>
      <sz val="9"/>
      <color theme="1"/>
      <name val="Arial"/>
      <family val="2"/>
    </font>
    <font>
      <b/>
      <sz val="10"/>
      <color theme="1"/>
      <name val="Arial"/>
      <family val="2"/>
    </font>
    <font>
      <b/>
      <sz val="9"/>
      <color rgb="FFFFFFFF"/>
      <name val="Arial"/>
      <family val="2"/>
    </font>
    <font>
      <sz val="11"/>
      <color rgb="FFFFFFFF"/>
      <name val="Calibri"/>
      <family val="2"/>
      <charset val="1"/>
    </font>
    <font>
      <sz val="9"/>
      <name val="Arial"/>
      <family val="2"/>
    </font>
    <font>
      <sz val="8"/>
      <color rgb="FFFFFFFF"/>
      <name val="Arial"/>
      <family val="2"/>
    </font>
    <font>
      <b/>
      <sz val="14"/>
      <color rgb="FFFFFFFF"/>
      <name val="Arial"/>
      <family val="2"/>
    </font>
    <font>
      <sz val="10"/>
      <name val="Arial"/>
      <family val="2"/>
    </font>
    <font>
      <b/>
      <sz val="11"/>
      <name val="Arial"/>
      <family val="2"/>
    </font>
    <font>
      <b/>
      <u/>
      <sz val="11"/>
      <color rgb="FF0563C1"/>
      <name val="Arial"/>
      <family val="2"/>
    </font>
    <font>
      <b/>
      <sz val="10"/>
      <name val="Arial"/>
      <family val="2"/>
    </font>
    <font>
      <i/>
      <sz val="10"/>
      <color rgb="FF808080"/>
      <name val="Arial"/>
      <family val="2"/>
    </font>
    <font>
      <b/>
      <sz val="9"/>
      <name val="Cambria"/>
      <family val="1"/>
    </font>
    <font>
      <i/>
      <sz val="9"/>
      <name val="Cambria"/>
      <family val="1"/>
    </font>
    <font>
      <b/>
      <sz val="11"/>
      <name val="Cambria"/>
      <family val="1"/>
    </font>
    <font>
      <b/>
      <sz val="12"/>
      <name val="Calibri"/>
      <family val="2"/>
    </font>
    <font>
      <i/>
      <sz val="11"/>
      <color rgb="FF595959"/>
      <name val="Calibri"/>
      <family val="2"/>
    </font>
    <font>
      <b/>
      <sz val="11"/>
      <name val="Calibri"/>
      <family val="2"/>
    </font>
    <font>
      <sz val="11"/>
      <color theme="1"/>
      <name val="Calibri"/>
      <family val="2"/>
      <charset val="1"/>
    </font>
    <font>
      <sz val="9"/>
      <color indexed="81"/>
      <name val="Tahoma"/>
      <family val="2"/>
    </font>
    <font>
      <b/>
      <sz val="9"/>
      <color indexed="81"/>
      <name val="Tahoma"/>
      <family val="2"/>
    </font>
    <font>
      <b/>
      <sz val="10"/>
      <color rgb="FFFFFFFF"/>
      <name val="Arial"/>
      <family val="2"/>
    </font>
    <font>
      <b/>
      <sz val="10"/>
      <color rgb="FF000000"/>
      <name val="Arial"/>
      <family val="2"/>
    </font>
    <font>
      <sz val="11"/>
      <color rgb="FF000000"/>
      <name val="Arial"/>
      <family val="2"/>
    </font>
    <font>
      <b/>
      <sz val="11"/>
      <color theme="1"/>
      <name val="Calibri"/>
      <family val="2"/>
    </font>
  </fonts>
  <fills count="24">
    <fill>
      <patternFill patternType="none"/>
    </fill>
    <fill>
      <patternFill patternType="gray125"/>
    </fill>
    <fill>
      <patternFill patternType="solid">
        <fgColor rgb="FFF4B6B6"/>
        <bgColor rgb="FFFFC7CE"/>
      </patternFill>
    </fill>
    <fill>
      <patternFill patternType="solid">
        <fgColor rgb="FFDDEBF7"/>
        <bgColor rgb="FFE7ECF6"/>
      </patternFill>
    </fill>
    <fill>
      <patternFill patternType="solid">
        <fgColor rgb="FF1F3864"/>
        <bgColor rgb="FF2F5597"/>
      </patternFill>
    </fill>
    <fill>
      <patternFill patternType="solid">
        <fgColor rgb="FFED7D31"/>
        <bgColor rgb="FFFF7C80"/>
      </patternFill>
    </fill>
    <fill>
      <patternFill patternType="solid">
        <fgColor rgb="FFD9E1F2"/>
        <bgColor rgb="FFE4DFEC"/>
      </patternFill>
    </fill>
    <fill>
      <patternFill patternType="solid">
        <fgColor rgb="FFFFF2CC"/>
        <bgColor rgb="FFFFF4E5"/>
      </patternFill>
    </fill>
    <fill>
      <patternFill patternType="solid">
        <fgColor rgb="FFF2F2F2"/>
        <bgColor rgb="FFEDEDED"/>
      </patternFill>
    </fill>
    <fill>
      <patternFill patternType="solid">
        <fgColor rgb="FFFFFFFF"/>
        <bgColor rgb="FFFFF4E5"/>
      </patternFill>
    </fill>
    <fill>
      <patternFill patternType="solid">
        <fgColor rgb="FF2F5597"/>
        <bgColor rgb="FF0563C1"/>
      </patternFill>
    </fill>
    <fill>
      <patternFill patternType="solid">
        <fgColor rgb="FFE7ECF6"/>
        <bgColor rgb="FFEDEDED"/>
      </patternFill>
    </fill>
    <fill>
      <patternFill patternType="solid">
        <fgColor rgb="FF5B7DB1"/>
        <bgColor rgb="FF7F7F7F"/>
      </patternFill>
    </fill>
    <fill>
      <patternFill patternType="solid">
        <fgColor rgb="FFEDEDED"/>
        <bgColor rgb="FFE7ECF6"/>
      </patternFill>
    </fill>
    <fill>
      <patternFill patternType="solid">
        <fgColor rgb="FFE4DFEC"/>
        <bgColor rgb="FFD9E1F2"/>
      </patternFill>
    </fill>
    <fill>
      <patternFill patternType="solid">
        <fgColor rgb="FFE2EFDA"/>
        <bgColor rgb="FFDDF2F0"/>
      </patternFill>
    </fill>
    <fill>
      <patternFill patternType="solid">
        <fgColor rgb="FFD9D9D9"/>
        <bgColor rgb="FFE4DFEC"/>
      </patternFill>
    </fill>
    <fill>
      <patternFill patternType="solid">
        <fgColor rgb="FFFCE4D6"/>
        <bgColor rgb="FFF2E6D0"/>
      </patternFill>
    </fill>
    <fill>
      <patternFill patternType="solid">
        <fgColor rgb="FFFFF4E5"/>
        <bgColor rgb="FFFFF2CC"/>
      </patternFill>
    </fill>
    <fill>
      <patternFill patternType="solid">
        <fgColor rgb="FFDDEBF7"/>
      </patternFill>
    </fill>
    <fill>
      <patternFill patternType="solid">
        <fgColor rgb="FFFFF2CC"/>
      </patternFill>
    </fill>
    <fill>
      <patternFill patternType="solid">
        <fgColor rgb="FFFFFF00"/>
        <bgColor indexed="64"/>
      </patternFill>
    </fill>
    <fill>
      <patternFill patternType="solid">
        <fgColor rgb="FF92D050"/>
        <bgColor indexed="64"/>
      </patternFill>
    </fill>
    <fill>
      <patternFill patternType="solid">
        <fgColor rgb="FFFFFF00"/>
        <bgColor indexed="64"/>
      </patternFill>
    </fill>
  </fills>
  <borders count="39">
    <border>
      <left/>
      <right/>
      <top/>
      <bottom/>
      <diagonal/>
    </border>
    <border>
      <left style="thin">
        <color rgb="FF1F3864"/>
      </left>
      <right style="thin">
        <color rgb="FF1F3864"/>
      </right>
      <top style="thin">
        <color rgb="FF1F3864"/>
      </top>
      <bottom style="thin">
        <color rgb="FF1F3864"/>
      </bottom>
      <diagonal/>
    </border>
    <border>
      <left style="thick">
        <color rgb="FFED7D31"/>
      </left>
      <right style="thick">
        <color rgb="FFED7D31"/>
      </right>
      <top style="thick">
        <color rgb="FFED7D31"/>
      </top>
      <bottom style="thick">
        <color rgb="FFED7D31"/>
      </bottom>
      <diagonal/>
    </border>
    <border>
      <left style="thin">
        <color rgb="FFB4C0D6"/>
      </left>
      <right style="thin">
        <color rgb="FFB4C0D6"/>
      </right>
      <top style="thin">
        <color rgb="FFB4C0D6"/>
      </top>
      <bottom style="thin">
        <color rgb="FFB4C0D6"/>
      </bottom>
      <diagonal/>
    </border>
    <border>
      <left/>
      <right/>
      <top/>
      <bottom style="hair">
        <color rgb="FFD9D9D9"/>
      </bottom>
      <diagonal/>
    </border>
    <border>
      <left style="thin">
        <color rgb="FFA6A6A6"/>
      </left>
      <right style="thin">
        <color rgb="FFA6A6A6"/>
      </right>
      <top style="thin">
        <color rgb="FFA6A6A6"/>
      </top>
      <bottom style="thin">
        <color rgb="FFA6A6A6"/>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bottom style="thin">
        <color rgb="FFA6A6A6"/>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medium">
        <color rgb="FF1F3864"/>
      </right>
      <top style="medium">
        <color rgb="FF1F3864"/>
      </top>
      <bottom style="thin">
        <color rgb="FFA6A6A6"/>
      </bottom>
      <diagonal/>
    </border>
    <border>
      <left style="medium">
        <color rgb="FF1F3864"/>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1F3864"/>
      </right>
      <top style="thin">
        <color rgb="FFA6A6A6"/>
      </top>
      <bottom style="thin">
        <color rgb="FFA6A6A6"/>
      </bottom>
      <diagonal/>
    </border>
    <border>
      <left style="medium">
        <color rgb="FF1F3864"/>
      </left>
      <right style="thin">
        <color rgb="FFA6A6A6"/>
      </right>
      <top style="thin">
        <color rgb="FFA6A6A6"/>
      </top>
      <bottom style="medium">
        <color rgb="FF1F3864"/>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rgb="FF1F3864"/>
      </right>
      <top style="thin">
        <color rgb="FFA6A6A6"/>
      </top>
      <bottom/>
      <diagonal/>
    </border>
    <border>
      <left style="medium">
        <color indexed="64"/>
      </left>
      <right style="thin">
        <color rgb="FFA6A6A6"/>
      </right>
      <top style="medium">
        <color indexed="64"/>
      </top>
      <bottom style="thin">
        <color rgb="FFA6A6A6"/>
      </bottom>
      <diagonal/>
    </border>
    <border>
      <left style="thin">
        <color rgb="FFA6A6A6"/>
      </left>
      <right style="thin">
        <color rgb="FFA6A6A6"/>
      </right>
      <top style="medium">
        <color indexed="64"/>
      </top>
      <bottom style="thin">
        <color rgb="FFA6A6A6"/>
      </bottom>
      <diagonal/>
    </border>
    <border>
      <left style="thin">
        <color rgb="FFA6A6A6"/>
      </left>
      <right style="medium">
        <color indexed="64"/>
      </right>
      <top style="medium">
        <color indexed="64"/>
      </top>
      <bottom style="thin">
        <color rgb="FFA6A6A6"/>
      </bottom>
      <diagonal/>
    </border>
    <border>
      <left style="medium">
        <color indexed="64"/>
      </left>
      <right style="thin">
        <color rgb="FFA6A6A6"/>
      </right>
      <top style="thin">
        <color rgb="FFA6A6A6"/>
      </top>
      <bottom style="medium">
        <color indexed="64"/>
      </bottom>
      <diagonal/>
    </border>
    <border>
      <left style="thin">
        <color rgb="FFA6A6A6"/>
      </left>
      <right style="thin">
        <color rgb="FFA6A6A6"/>
      </right>
      <top style="thin">
        <color rgb="FFA6A6A6"/>
      </top>
      <bottom style="medium">
        <color indexed="64"/>
      </bottom>
      <diagonal/>
    </border>
    <border>
      <left style="thin">
        <color rgb="FFA6A6A6"/>
      </left>
      <right style="medium">
        <color indexed="64"/>
      </right>
      <top style="thin">
        <color rgb="FFA6A6A6"/>
      </top>
      <bottom style="medium">
        <color indexed="64"/>
      </bottom>
      <diagonal/>
    </border>
  </borders>
  <cellStyleXfs count="2">
    <xf numFmtId="0" fontId="0" fillId="0" borderId="0"/>
    <xf numFmtId="0" fontId="32" fillId="2" borderId="0"/>
  </cellStyleXfs>
  <cellXfs count="259">
    <xf numFmtId="0" fontId="0" fillId="0" borderId="0" xfId="0"/>
    <xf numFmtId="0" fontId="1" fillId="4" borderId="0" xfId="0" applyFont="1" applyFill="1" applyAlignment="1">
      <alignment vertical="center"/>
    </xf>
    <xf numFmtId="0" fontId="0" fillId="5" borderId="0" xfId="0" applyFill="1"/>
    <xf numFmtId="0" fontId="2" fillId="6" borderId="1" xfId="0" applyFont="1" applyFill="1" applyBorder="1" applyAlignment="1">
      <alignment vertical="center"/>
    </xf>
    <xf numFmtId="164" fontId="3" fillId="7" borderId="2" xfId="0" applyNumberFormat="1" applyFont="1" applyFill="1" applyBorder="1" applyAlignment="1" applyProtection="1">
      <alignment horizontal="center" vertical="center"/>
      <protection locked="0"/>
    </xf>
    <xf numFmtId="0" fontId="4" fillId="0" borderId="0" xfId="0" applyFont="1" applyAlignment="1">
      <alignment vertical="center"/>
    </xf>
    <xf numFmtId="0" fontId="5" fillId="0" borderId="0" xfId="0" applyFont="1"/>
    <xf numFmtId="0" fontId="6" fillId="4" borderId="0" xfId="0" applyFont="1" applyFill="1"/>
    <xf numFmtId="0" fontId="0" fillId="8" borderId="3" xfId="0" applyFill="1" applyBorder="1"/>
    <xf numFmtId="0" fontId="2" fillId="8" borderId="3" xfId="0" applyFont="1" applyFill="1" applyBorder="1" applyAlignment="1">
      <alignment horizontal="center"/>
    </xf>
    <xf numFmtId="0" fontId="2" fillId="8" borderId="3" xfId="0" applyFont="1" applyFill="1" applyBorder="1"/>
    <xf numFmtId="0" fontId="2" fillId="0" borderId="0" xfId="0" applyFont="1"/>
    <xf numFmtId="0" fontId="0" fillId="9" borderId="4" xfId="0" applyFill="1" applyBorder="1" applyAlignment="1">
      <alignment vertical="center"/>
    </xf>
    <xf numFmtId="0" fontId="7" fillId="0" borderId="0" xfId="0" applyFont="1"/>
    <xf numFmtId="0" fontId="9" fillId="0" borderId="0" xfId="0" applyFont="1" applyAlignment="1">
      <alignment vertical="center" wrapText="1"/>
    </xf>
    <xf numFmtId="0" fontId="10" fillId="0" borderId="0" xfId="0" applyFont="1" applyAlignment="1">
      <alignment horizontal="center" vertical="center" wrapText="1"/>
    </xf>
    <xf numFmtId="165" fontId="10" fillId="0" borderId="5" xfId="0" applyNumberFormat="1" applyFont="1" applyBorder="1" applyAlignment="1">
      <alignment horizontal="center" vertical="center" wrapText="1"/>
    </xf>
    <xf numFmtId="17" fontId="12" fillId="4" borderId="5" xfId="0" applyNumberFormat="1" applyFont="1" applyFill="1" applyBorder="1" applyAlignment="1">
      <alignment horizontal="center" vertical="center" wrapText="1"/>
    </xf>
    <xf numFmtId="17" fontId="12" fillId="10"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0" fillId="12" borderId="0" xfId="0" applyFill="1"/>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166" fontId="15" fillId="13" borderId="5" xfId="0" applyNumberFormat="1" applyFont="1" applyFill="1" applyBorder="1" applyAlignment="1">
      <alignment horizontal="right" vertical="center"/>
    </xf>
    <xf numFmtId="0" fontId="0" fillId="0" borderId="5" xfId="0" applyBorder="1" applyAlignment="1">
      <alignment horizontal="left" vertical="center" wrapText="1"/>
    </xf>
    <xf numFmtId="0" fontId="11" fillId="4" borderId="0" xfId="0" applyFont="1" applyFill="1" applyAlignment="1">
      <alignment vertical="center" wrapText="1"/>
    </xf>
    <xf numFmtId="0" fontId="16" fillId="4" borderId="0" xfId="0" applyFont="1" applyFill="1" applyAlignment="1">
      <alignment horizontal="center" vertical="center"/>
    </xf>
    <xf numFmtId="0" fontId="17" fillId="4" borderId="0" xfId="0" applyFont="1" applyFill="1"/>
    <xf numFmtId="0" fontId="9" fillId="12" borderId="0" xfId="0" applyFont="1" applyFill="1"/>
    <xf numFmtId="0" fontId="14" fillId="0" borderId="6" xfId="0" applyFont="1" applyBorder="1"/>
    <xf numFmtId="2" fontId="10" fillId="0" borderId="6" xfId="0" applyNumberFormat="1" applyFont="1" applyBorder="1" applyAlignment="1">
      <alignment horizontal="center" vertical="center"/>
    </xf>
    <xf numFmtId="2" fontId="15" fillId="0" borderId="6" xfId="0" applyNumberFormat="1" applyFont="1" applyBorder="1" applyAlignment="1">
      <alignment horizontal="center"/>
    </xf>
    <xf numFmtId="1" fontId="10" fillId="0" borderId="6" xfId="0" applyNumberFormat="1" applyFont="1" applyBorder="1" applyAlignment="1">
      <alignment horizontal="center" vertical="center"/>
    </xf>
    <xf numFmtId="1" fontId="15" fillId="0" borderId="6" xfId="0" applyNumberFormat="1" applyFont="1" applyBorder="1" applyAlignment="1">
      <alignment horizontal="center"/>
    </xf>
    <xf numFmtId="167" fontId="10" fillId="0" borderId="6" xfId="0" applyNumberFormat="1" applyFont="1" applyBorder="1" applyAlignment="1">
      <alignment horizontal="center" vertical="center"/>
    </xf>
    <xf numFmtId="167" fontId="15" fillId="0" borderId="6" xfId="0" applyNumberFormat="1" applyFont="1" applyBorder="1" applyAlignment="1">
      <alignment horizontal="center"/>
    </xf>
    <xf numFmtId="10" fontId="10" fillId="0" borderId="6" xfId="0" applyNumberFormat="1" applyFont="1" applyBorder="1" applyAlignment="1">
      <alignment horizontal="center" vertical="center"/>
    </xf>
    <xf numFmtId="10" fontId="15" fillId="0" borderId="6" xfId="0" applyNumberFormat="1" applyFont="1" applyBorder="1" applyAlignment="1">
      <alignment horizontal="center"/>
    </xf>
    <xf numFmtId="9" fontId="10" fillId="0" borderId="6" xfId="0" applyNumberFormat="1" applyFont="1" applyBorder="1" applyAlignment="1">
      <alignment horizontal="center" vertical="center"/>
    </xf>
    <xf numFmtId="9" fontId="15" fillId="0" borderId="6" xfId="0" applyNumberFormat="1" applyFont="1" applyBorder="1" applyAlignment="1">
      <alignment horizontal="center"/>
    </xf>
    <xf numFmtId="9" fontId="10" fillId="14" borderId="6" xfId="0" applyNumberFormat="1" applyFont="1" applyFill="1" applyBorder="1" applyAlignment="1">
      <alignment horizontal="center" vertical="center"/>
    </xf>
    <xf numFmtId="167" fontId="10" fillId="14" borderId="6" xfId="0" applyNumberFormat="1" applyFont="1" applyFill="1" applyBorder="1" applyAlignment="1">
      <alignment horizontal="center" vertical="center"/>
    </xf>
    <xf numFmtId="0" fontId="9" fillId="12" borderId="0" xfId="0" applyFont="1" applyFill="1" applyAlignment="1">
      <alignment horizontal="left" vertical="center"/>
    </xf>
    <xf numFmtId="49" fontId="18" fillId="7" borderId="7" xfId="0" applyNumberFormat="1" applyFont="1" applyFill="1" applyBorder="1" applyAlignment="1" applyProtection="1">
      <alignment horizontal="left" vertical="top" wrapText="1"/>
      <protection locked="0"/>
    </xf>
    <xf numFmtId="17" fontId="19" fillId="4" borderId="0" xfId="0" applyNumberFormat="1" applyFont="1" applyFill="1" applyAlignment="1">
      <alignment horizontal="center" vertical="center"/>
    </xf>
    <xf numFmtId="0" fontId="0" fillId="6" borderId="0" xfId="0" applyFill="1"/>
    <xf numFmtId="0" fontId="14" fillId="0" borderId="0" xfId="0" applyFont="1"/>
    <xf numFmtId="0" fontId="0" fillId="15" borderId="0" xfId="0" applyFill="1"/>
    <xf numFmtId="0" fontId="0" fillId="15" borderId="5" xfId="0" applyFill="1" applyBorder="1" applyAlignment="1">
      <alignment horizontal="left" vertical="center" wrapText="1"/>
    </xf>
    <xf numFmtId="0" fontId="14" fillId="15" borderId="5" xfId="0" applyFont="1" applyFill="1" applyBorder="1" applyAlignment="1">
      <alignment horizontal="left" vertical="center" wrapText="1"/>
    </xf>
    <xf numFmtId="2" fontId="15" fillId="15" borderId="5" xfId="0" applyNumberFormat="1" applyFont="1" applyFill="1" applyBorder="1" applyAlignment="1" applyProtection="1">
      <alignment horizontal="center" vertical="center" wrapText="1"/>
      <protection locked="0"/>
    </xf>
    <xf numFmtId="2" fontId="13" fillId="9" borderId="5" xfId="0" applyNumberFormat="1" applyFont="1" applyFill="1" applyBorder="1" applyAlignment="1">
      <alignment horizontal="center" vertical="center" wrapText="1"/>
    </xf>
    <xf numFmtId="1" fontId="15" fillId="15" borderId="5" xfId="0" applyNumberFormat="1" applyFont="1" applyFill="1" applyBorder="1" applyAlignment="1" applyProtection="1">
      <alignment horizontal="center" vertical="center" wrapText="1"/>
      <protection locked="0"/>
    </xf>
    <xf numFmtId="1" fontId="13" fillId="9" borderId="5" xfId="0" applyNumberFormat="1" applyFont="1" applyFill="1" applyBorder="1" applyAlignment="1">
      <alignment horizontal="center" vertical="center" wrapText="1"/>
    </xf>
    <xf numFmtId="167" fontId="15" fillId="15" borderId="5" xfId="0" applyNumberFormat="1" applyFont="1" applyFill="1" applyBorder="1" applyAlignment="1" applyProtection="1">
      <alignment horizontal="center" vertical="center" wrapText="1"/>
      <protection locked="0"/>
    </xf>
    <xf numFmtId="167" fontId="13" fillId="9" borderId="5" xfId="0" applyNumberFormat="1" applyFont="1" applyFill="1" applyBorder="1" applyAlignment="1">
      <alignment horizontal="center" vertical="center" wrapText="1"/>
    </xf>
    <xf numFmtId="0" fontId="0" fillId="3" borderId="0" xfId="0" applyFill="1"/>
    <xf numFmtId="0" fontId="0" fillId="3" borderId="5" xfId="0" applyFill="1" applyBorder="1" applyAlignment="1">
      <alignment horizontal="left" vertical="center" wrapText="1"/>
    </xf>
    <xf numFmtId="0" fontId="14" fillId="3" borderId="5" xfId="0" applyFont="1" applyFill="1" applyBorder="1" applyAlignment="1">
      <alignment horizontal="left" vertical="center" wrapText="1"/>
    </xf>
    <xf numFmtId="10" fontId="15" fillId="3" borderId="5" xfId="0" applyNumberFormat="1" applyFont="1" applyFill="1" applyBorder="1" applyAlignment="1" applyProtection="1">
      <alignment horizontal="center" vertical="center" wrapText="1"/>
      <protection locked="0"/>
    </xf>
    <xf numFmtId="10" fontId="13" fillId="9" borderId="5" xfId="0" applyNumberFormat="1" applyFont="1" applyFill="1" applyBorder="1" applyAlignment="1">
      <alignment horizontal="center" vertical="center" wrapText="1"/>
    </xf>
    <xf numFmtId="2" fontId="15" fillId="3" borderId="5" xfId="0" applyNumberFormat="1" applyFont="1" applyFill="1" applyBorder="1" applyAlignment="1" applyProtection="1">
      <alignment horizontal="center" vertical="center" wrapText="1"/>
      <protection locked="0"/>
    </xf>
    <xf numFmtId="9" fontId="15" fillId="3" borderId="5" xfId="0" applyNumberFormat="1" applyFont="1" applyFill="1" applyBorder="1" applyAlignment="1" applyProtection="1">
      <alignment horizontal="center" vertical="center" wrapText="1"/>
      <protection locked="0"/>
    </xf>
    <xf numFmtId="9" fontId="13" fillId="9" borderId="5" xfId="0" applyNumberFormat="1" applyFont="1" applyFill="1" applyBorder="1" applyAlignment="1">
      <alignment horizontal="center" vertical="center" wrapText="1"/>
    </xf>
    <xf numFmtId="169" fontId="15" fillId="14" borderId="5" xfId="0" applyNumberFormat="1" applyFont="1" applyFill="1" applyBorder="1" applyAlignment="1" applyProtection="1">
      <alignment horizontal="center" vertical="center" wrapText="1"/>
      <protection locked="0"/>
    </xf>
    <xf numFmtId="167" fontId="15" fillId="14" borderId="5" xfId="0" applyNumberFormat="1" applyFont="1" applyFill="1" applyBorder="1" applyAlignment="1" applyProtection="1">
      <alignment horizontal="center" vertical="center" wrapText="1"/>
      <protection locked="0"/>
    </xf>
    <xf numFmtId="0" fontId="0" fillId="17" borderId="0" xfId="0" applyFill="1"/>
    <xf numFmtId="0" fontId="0" fillId="18" borderId="5" xfId="0" applyFill="1" applyBorder="1" applyAlignment="1">
      <alignment horizontal="left" vertical="center" wrapText="1"/>
    </xf>
    <xf numFmtId="0" fontId="14" fillId="18" borderId="5" xfId="0" applyFont="1" applyFill="1" applyBorder="1" applyAlignment="1">
      <alignment horizontal="left" vertical="center" wrapText="1"/>
    </xf>
    <xf numFmtId="2" fontId="15" fillId="18" borderId="5" xfId="0" applyNumberFormat="1" applyFont="1" applyFill="1" applyBorder="1" applyAlignment="1" applyProtection="1">
      <alignment horizontal="center" vertical="center" wrapText="1"/>
      <protection locked="0"/>
    </xf>
    <xf numFmtId="2" fontId="15" fillId="9" borderId="5" xfId="0" applyNumberFormat="1" applyFont="1" applyFill="1" applyBorder="1" applyAlignment="1">
      <alignment horizontal="center" vertical="center" wrapText="1"/>
    </xf>
    <xf numFmtId="1" fontId="15" fillId="18" borderId="5" xfId="0" applyNumberFormat="1" applyFont="1" applyFill="1" applyBorder="1" applyAlignment="1" applyProtection="1">
      <alignment horizontal="center" vertical="center" wrapText="1"/>
      <protection locked="0"/>
    </xf>
    <xf numFmtId="1" fontId="15" fillId="9" borderId="5" xfId="0" applyNumberFormat="1" applyFont="1" applyFill="1" applyBorder="1" applyAlignment="1">
      <alignment horizontal="center" vertical="center" wrapText="1"/>
    </xf>
    <xf numFmtId="167" fontId="15" fillId="18" borderId="5" xfId="0" applyNumberFormat="1" applyFont="1" applyFill="1" applyBorder="1" applyAlignment="1" applyProtection="1">
      <alignment horizontal="center" vertical="center" wrapText="1"/>
      <protection locked="0"/>
    </xf>
    <xf numFmtId="167" fontId="15" fillId="9" borderId="5" xfId="0" applyNumberFormat="1" applyFont="1" applyFill="1" applyBorder="1" applyAlignment="1">
      <alignment horizontal="center" vertical="center" wrapText="1"/>
    </xf>
    <xf numFmtId="10" fontId="15" fillId="18" borderId="5" xfId="0" applyNumberFormat="1" applyFont="1" applyFill="1" applyBorder="1" applyAlignment="1" applyProtection="1">
      <alignment horizontal="center" vertical="center" wrapText="1"/>
      <protection locked="0"/>
    </xf>
    <xf numFmtId="10" fontId="15" fillId="9" borderId="5" xfId="0" applyNumberFormat="1" applyFont="1" applyFill="1" applyBorder="1" applyAlignment="1">
      <alignment horizontal="center" vertical="center" wrapText="1"/>
    </xf>
    <xf numFmtId="9" fontId="15" fillId="18" borderId="5" xfId="0" applyNumberFormat="1" applyFont="1" applyFill="1" applyBorder="1" applyAlignment="1" applyProtection="1">
      <alignment horizontal="center" vertical="center" wrapText="1"/>
      <protection locked="0"/>
    </xf>
    <xf numFmtId="9" fontId="15" fillId="9" borderId="5" xfId="0" applyNumberFormat="1" applyFont="1" applyFill="1" applyBorder="1" applyAlignment="1">
      <alignment horizontal="center" vertical="center" wrapText="1"/>
    </xf>
    <xf numFmtId="169" fontId="15" fillId="18" borderId="5" xfId="0" applyNumberFormat="1" applyFont="1" applyFill="1" applyBorder="1" applyAlignment="1" applyProtection="1">
      <alignment horizontal="center" vertical="center" wrapText="1"/>
      <protection locked="0"/>
    </xf>
    <xf numFmtId="0" fontId="14" fillId="7" borderId="5" xfId="0" applyFont="1" applyFill="1" applyBorder="1" applyProtection="1">
      <protection locked="0"/>
    </xf>
    <xf numFmtId="0" fontId="14" fillId="13" borderId="5" xfId="0" applyFont="1" applyFill="1" applyBorder="1"/>
    <xf numFmtId="0" fontId="16" fillId="4" borderId="6" xfId="0" applyFont="1" applyFill="1" applyBorder="1" applyAlignment="1">
      <alignment horizontal="center" vertical="center" wrapText="1"/>
    </xf>
    <xf numFmtId="17" fontId="14" fillId="0" borderId="6" xfId="0" applyNumberFormat="1" applyFont="1" applyBorder="1"/>
    <xf numFmtId="170" fontId="14" fillId="0" borderId="6" xfId="0" applyNumberFormat="1" applyFont="1" applyBorder="1"/>
    <xf numFmtId="2" fontId="14" fillId="0" borderId="6" xfId="0" applyNumberFormat="1" applyFont="1" applyBorder="1"/>
    <xf numFmtId="166" fontId="0" fillId="0" borderId="0" xfId="0" applyNumberFormat="1"/>
    <xf numFmtId="17" fontId="0" fillId="0" borderId="0" xfId="0" applyNumberFormat="1"/>
    <xf numFmtId="2" fontId="0" fillId="0" borderId="0" xfId="0" applyNumberFormat="1"/>
    <xf numFmtId="167" fontId="0" fillId="0" borderId="0" xfId="0" applyNumberFormat="1"/>
    <xf numFmtId="10" fontId="0" fillId="0" borderId="0" xfId="0" applyNumberFormat="1"/>
    <xf numFmtId="9" fontId="0" fillId="0" borderId="0" xfId="0" applyNumberFormat="1"/>
    <xf numFmtId="169" fontId="0" fillId="0" borderId="0" xfId="0" applyNumberFormat="1"/>
    <xf numFmtId="171" fontId="0" fillId="0" borderId="0" xfId="0" applyNumberFormat="1"/>
    <xf numFmtId="164" fontId="0" fillId="0" borderId="0" xfId="0" applyNumberForma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19" borderId="0" xfId="0" applyFont="1" applyFill="1"/>
    <xf numFmtId="17" fontId="31" fillId="19" borderId="0" xfId="0" applyNumberFormat="1" applyFont="1" applyFill="1" applyAlignment="1">
      <alignment horizontal="center"/>
    </xf>
    <xf numFmtId="0" fontId="31" fillId="19" borderId="0" xfId="0" applyFont="1" applyFill="1" applyAlignment="1">
      <alignment horizontal="center"/>
    </xf>
    <xf numFmtId="0" fontId="31" fillId="0" borderId="0" xfId="0" applyFont="1"/>
    <xf numFmtId="2" fontId="0" fillId="20" borderId="18" xfId="0" applyNumberFormat="1" applyFill="1" applyBorder="1" applyProtection="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15" fillId="3" borderId="0" xfId="0" applyFont="1" applyFill="1" applyAlignment="1">
      <alignment horizontal="left" vertical="center" wrapText="1"/>
    </xf>
    <xf numFmtId="0" fontId="13" fillId="21" borderId="5" xfId="0" applyFont="1" applyFill="1" applyBorder="1" applyAlignment="1">
      <alignment horizontal="left" vertical="center" wrapText="1"/>
    </xf>
    <xf numFmtId="0" fontId="14" fillId="21" borderId="5" xfId="0" applyFont="1" applyFill="1" applyBorder="1" applyAlignment="1">
      <alignment horizontal="center" vertical="center" wrapText="1"/>
    </xf>
    <xf numFmtId="0" fontId="8" fillId="0" borderId="0" xfId="0" applyFont="1" applyAlignment="1">
      <alignment vertical="center"/>
    </xf>
    <xf numFmtId="0" fontId="0" fillId="0" borderId="0" xfId="0"/>
    <xf numFmtId="0" fontId="9" fillId="12" borderId="0" xfId="0" applyFont="1" applyFill="1" applyAlignment="1">
      <alignment horizontal="left" vertical="center" wrapText="1"/>
    </xf>
    <xf numFmtId="0" fontId="13" fillId="21"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vertical="center" wrapText="1"/>
    </xf>
    <xf numFmtId="0" fontId="14" fillId="0" borderId="6"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left" vertical="center" wrapText="1"/>
    </xf>
    <xf numFmtId="0" fontId="14" fillId="0" borderId="21"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left" vertical="center" wrapText="1"/>
    </xf>
    <xf numFmtId="0" fontId="14" fillId="0" borderId="26" xfId="0" applyFont="1" applyBorder="1" applyAlignment="1">
      <alignment horizontal="center" vertical="center" wrapText="1"/>
    </xf>
    <xf numFmtId="0" fontId="0" fillId="0" borderId="29" xfId="0" applyBorder="1" applyAlignment="1">
      <alignment horizontal="center" vertical="center" wrapText="1"/>
    </xf>
    <xf numFmtId="173" fontId="13" fillId="7" borderId="5" xfId="0" applyNumberFormat="1" applyFont="1" applyFill="1" applyBorder="1" applyAlignment="1" applyProtection="1">
      <alignment horizontal="right" vertical="center"/>
      <protection locked="0"/>
    </xf>
    <xf numFmtId="173" fontId="13" fillId="7" borderId="22" xfId="0" applyNumberFormat="1" applyFont="1" applyFill="1" applyBorder="1" applyAlignment="1" applyProtection="1">
      <alignment horizontal="right" vertical="center"/>
      <protection locked="0"/>
    </xf>
    <xf numFmtId="173" fontId="13" fillId="7" borderId="23" xfId="0" applyNumberFormat="1" applyFont="1" applyFill="1" applyBorder="1" applyAlignment="1" applyProtection="1">
      <alignment horizontal="right" vertical="center"/>
      <protection locked="0"/>
    </xf>
    <xf numFmtId="173" fontId="13" fillId="7" borderId="27" xfId="0" applyNumberFormat="1" applyFont="1" applyFill="1" applyBorder="1" applyAlignment="1" applyProtection="1">
      <alignment horizontal="right" vertical="center"/>
      <protection locked="0"/>
    </xf>
    <xf numFmtId="173" fontId="13" fillId="7" borderId="28" xfId="0" applyNumberFormat="1" applyFont="1" applyFill="1" applyBorder="1" applyAlignment="1" applyProtection="1">
      <alignment horizontal="right" vertical="center"/>
      <protection locked="0"/>
    </xf>
    <xf numFmtId="173" fontId="15" fillId="13" borderId="5" xfId="0" applyNumberFormat="1" applyFont="1" applyFill="1" applyBorder="1" applyAlignment="1">
      <alignment horizontal="right" vertical="center"/>
    </xf>
    <xf numFmtId="0" fontId="35" fillId="22" borderId="5" xfId="0" applyFont="1" applyFill="1" applyBorder="1" applyAlignment="1">
      <alignment horizontal="center" vertical="center" wrapText="1"/>
    </xf>
    <xf numFmtId="0" fontId="35" fillId="22" borderId="5" xfId="0" applyFont="1" applyFill="1" applyBorder="1" applyAlignment="1">
      <alignment horizontal="center" vertical="center" wrapText="1"/>
    </xf>
    <xf numFmtId="0" fontId="36" fillId="23" borderId="5" xfId="0"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172" fontId="37" fillId="0" borderId="5" xfId="0" applyNumberFormat="1" applyFont="1" applyFill="1" applyBorder="1" applyAlignment="1" applyProtection="1">
      <alignment horizontal="center" vertical="center" wrapText="1"/>
      <protection locked="0"/>
    </xf>
    <xf numFmtId="0" fontId="0" fillId="0" borderId="0" xfId="0"/>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0" fillId="0" borderId="8" xfId="0" applyBorder="1"/>
    <xf numFmtId="0" fontId="8" fillId="0" borderId="0" xfId="0" applyFont="1" applyAlignment="1">
      <alignment vertical="center" wrapText="1"/>
    </xf>
    <xf numFmtId="0" fontId="2" fillId="6" borderId="1" xfId="0" applyFont="1" applyFill="1" applyBorder="1" applyAlignment="1">
      <alignment vertical="center"/>
    </xf>
    <xf numFmtId="0" fontId="5" fillId="0" borderId="0" xfId="0" applyFont="1"/>
    <xf numFmtId="0" fontId="15" fillId="17" borderId="0" xfId="0" applyFont="1" applyFill="1" applyAlignment="1">
      <alignment horizontal="left" vertical="center" wrapText="1"/>
    </xf>
    <xf numFmtId="0" fontId="8" fillId="0" borderId="0" xfId="0" applyFont="1"/>
    <xf numFmtId="0" fontId="15" fillId="15" borderId="0" xfId="0" applyFont="1" applyFill="1" applyAlignment="1">
      <alignment horizontal="left" vertical="center" wrapText="1"/>
    </xf>
    <xf numFmtId="0" fontId="15" fillId="3" borderId="0" xfId="0" applyFont="1" applyFill="1" applyAlignment="1">
      <alignment horizontal="left" vertical="center" wrapText="1"/>
    </xf>
    <xf numFmtId="0" fontId="20" fillId="4" borderId="0" xfId="0" applyFont="1" applyFill="1" applyAlignment="1">
      <alignment vertical="center"/>
    </xf>
    <xf numFmtId="0" fontId="21" fillId="7" borderId="18" xfId="0" applyFont="1" applyFill="1" applyBorder="1" applyAlignment="1" applyProtection="1">
      <alignment vertical="top" wrapText="1"/>
      <protection locked="0"/>
    </xf>
    <xf numFmtId="0" fontId="0" fillId="0" borderId="16" xfId="0" applyBorder="1" applyProtection="1">
      <protection locked="0"/>
    </xf>
    <xf numFmtId="0" fontId="0" fillId="0" borderId="17" xfId="0" applyBorder="1" applyProtection="1">
      <protection locked="0"/>
    </xf>
    <xf numFmtId="0" fontId="23" fillId="0" borderId="0" xfId="0" applyFont="1" applyAlignment="1">
      <alignment vertical="center"/>
    </xf>
    <xf numFmtId="0" fontId="24" fillId="0" borderId="0" xfId="0" applyFont="1" applyAlignment="1">
      <alignment vertical="center" wrapText="1"/>
    </xf>
    <xf numFmtId="0" fontId="21" fillId="6" borderId="0" xfId="0" applyFont="1" applyFill="1" applyAlignment="1">
      <alignment vertical="center" wrapText="1"/>
    </xf>
    <xf numFmtId="0" fontId="24" fillId="16" borderId="0" xfId="0" applyFont="1" applyFill="1" applyAlignment="1">
      <alignment vertical="center"/>
    </xf>
    <xf numFmtId="0" fontId="25" fillId="8" borderId="18" xfId="0" applyFont="1" applyFill="1" applyBorder="1" applyAlignment="1">
      <alignment horizontal="center" vertical="center" wrapText="1"/>
    </xf>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22" fillId="0" borderId="0" xfId="0" applyFont="1" applyAlignment="1">
      <alignment vertical="center"/>
    </xf>
    <xf numFmtId="0" fontId="0" fillId="0" borderId="30" xfId="0" applyBorder="1" applyAlignment="1">
      <alignment horizontal="center" vertical="center" wrapText="1"/>
    </xf>
    <xf numFmtId="0" fontId="0" fillId="0" borderId="31" xfId="0" applyBorder="1" applyAlignment="1">
      <alignment horizontal="left" vertical="center" wrapText="1"/>
    </xf>
    <xf numFmtId="0" fontId="14" fillId="0" borderId="31" xfId="0" applyFont="1" applyBorder="1" applyAlignment="1">
      <alignment horizontal="center" vertical="center" wrapText="1"/>
    </xf>
    <xf numFmtId="173" fontId="13" fillId="7" borderId="31" xfId="0" applyNumberFormat="1" applyFont="1" applyFill="1" applyBorder="1" applyAlignment="1" applyProtection="1">
      <alignment horizontal="right" vertical="center"/>
      <protection locked="0"/>
    </xf>
    <xf numFmtId="173" fontId="13" fillId="7" borderId="32" xfId="0" applyNumberFormat="1" applyFont="1" applyFill="1" applyBorder="1" applyAlignment="1" applyProtection="1">
      <alignment horizontal="right" vertical="center"/>
      <protection locked="0"/>
    </xf>
    <xf numFmtId="0" fontId="0" fillId="0" borderId="8" xfId="0" applyBorder="1" applyAlignment="1">
      <alignment horizontal="left" vertical="center" wrapText="1"/>
    </xf>
    <xf numFmtId="0" fontId="14" fillId="0" borderId="8" xfId="0" applyFont="1" applyBorder="1" applyAlignment="1">
      <alignment horizontal="center" vertical="center" wrapText="1"/>
    </xf>
    <xf numFmtId="173" fontId="13" fillId="7" borderId="8" xfId="0" applyNumberFormat="1" applyFont="1" applyFill="1" applyBorder="1" applyAlignment="1" applyProtection="1">
      <alignment horizontal="right" vertical="center"/>
      <protection locked="0"/>
    </xf>
    <xf numFmtId="0" fontId="0" fillId="0" borderId="33" xfId="0" applyBorder="1" applyAlignment="1">
      <alignment horizontal="left" vertical="center" wrapText="1"/>
    </xf>
    <xf numFmtId="0" fontId="14" fillId="0" borderId="34" xfId="0" applyFont="1" applyBorder="1" applyAlignment="1">
      <alignment horizontal="center" vertical="center" wrapText="1"/>
    </xf>
    <xf numFmtId="173" fontId="13" fillId="7" borderId="34" xfId="0" applyNumberFormat="1" applyFont="1" applyFill="1" applyBorder="1" applyAlignment="1" applyProtection="1">
      <alignment horizontal="right" vertical="center"/>
      <protection locked="0"/>
    </xf>
    <xf numFmtId="173" fontId="13" fillId="7" borderId="35" xfId="0" applyNumberFormat="1" applyFont="1" applyFill="1" applyBorder="1" applyAlignment="1" applyProtection="1">
      <alignment horizontal="right" vertical="center"/>
      <protection locked="0"/>
    </xf>
    <xf numFmtId="0" fontId="0" fillId="0" borderId="36" xfId="0" applyBorder="1" applyAlignment="1">
      <alignment horizontal="left" vertical="center" wrapText="1"/>
    </xf>
    <xf numFmtId="0" fontId="14" fillId="0" borderId="37" xfId="0" applyFont="1" applyBorder="1" applyAlignment="1">
      <alignment horizontal="center" vertical="center" wrapText="1"/>
    </xf>
    <xf numFmtId="173" fontId="13" fillId="7" borderId="37" xfId="0" applyNumberFormat="1" applyFont="1" applyFill="1" applyBorder="1" applyAlignment="1" applyProtection="1">
      <alignment horizontal="right" vertical="center"/>
      <protection locked="0"/>
    </xf>
    <xf numFmtId="173" fontId="13" fillId="7" borderId="38" xfId="0" applyNumberFormat="1" applyFont="1" applyFill="1" applyBorder="1" applyAlignment="1" applyProtection="1">
      <alignment horizontal="right" vertical="center"/>
      <protection locked="0"/>
    </xf>
    <xf numFmtId="0" fontId="38" fillId="0" borderId="33" xfId="0" applyFont="1" applyBorder="1" applyAlignment="1">
      <alignment horizontal="left" vertical="center" wrapText="1"/>
    </xf>
    <xf numFmtId="173" fontId="15" fillId="13" borderId="5" xfId="0" applyNumberFormat="1" applyFont="1" applyFill="1" applyBorder="1" applyAlignment="1" applyProtection="1">
      <alignment horizontal="right" vertical="center"/>
      <protection locked="1"/>
    </xf>
    <xf numFmtId="168" fontId="37" fillId="0" borderId="5" xfId="0" applyNumberFormat="1" applyFont="1" applyFill="1" applyBorder="1" applyAlignment="1" applyProtection="1">
      <alignment horizontal="center" vertical="center" wrapText="1"/>
      <protection locked="0"/>
    </xf>
    <xf numFmtId="164" fontId="3" fillId="7" borderId="2" xfId="0" applyNumberFormat="1" applyFont="1" applyFill="1" applyBorder="1" applyAlignment="1" applyProtection="1">
      <alignment horizontal="center" vertical="center"/>
      <protection locked="1"/>
    </xf>
    <xf numFmtId="0" fontId="5" fillId="0" borderId="0" xfId="0" applyFont="1" applyProtection="1">
      <protection locked="1"/>
    </xf>
    <xf numFmtId="0" fontId="2" fillId="8" borderId="3" xfId="0" applyFont="1" applyFill="1" applyBorder="1" applyAlignment="1" applyProtection="1">
      <alignment horizontal="center"/>
      <protection locked="1"/>
    </xf>
    <xf numFmtId="0" fontId="2" fillId="8" borderId="3" xfId="0" applyFont="1" applyFill="1" applyBorder="1" applyProtection="1">
      <protection locked="1"/>
    </xf>
    <xf numFmtId="0" fontId="0" fillId="0" borderId="0" xfId="0" applyProtection="1">
      <protection locked="1"/>
    </xf>
    <xf numFmtId="0" fontId="5" fillId="0" borderId="0" xfId="0" applyFont="1" applyProtection="1">
      <protection locked="1"/>
    </xf>
    <xf numFmtId="165" fontId="10" fillId="0" borderId="5" xfId="0" applyNumberFormat="1" applyFont="1" applyBorder="1" applyAlignment="1" applyProtection="1">
      <alignment horizontal="center" vertical="center" wrapText="1"/>
      <protection locked="1"/>
    </xf>
    <xf numFmtId="166" fontId="15" fillId="13" borderId="5" xfId="0" applyNumberFormat="1" applyFont="1" applyFill="1" applyBorder="1" applyAlignment="1" applyProtection="1">
      <alignment horizontal="right" vertical="center"/>
      <protection locked="1"/>
    </xf>
    <xf numFmtId="173" fontId="15" fillId="13" borderId="5" xfId="0" applyNumberFormat="1" applyFont="1" applyFill="1" applyBorder="1" applyAlignment="1" applyProtection="1">
      <alignment horizontal="right" vertical="center"/>
      <protection locked="1"/>
    </xf>
    <xf numFmtId="0" fontId="9" fillId="12" borderId="0" xfId="0" applyFont="1" applyFill="1" applyProtection="1">
      <protection locked="1"/>
    </xf>
    <xf numFmtId="0" fontId="14" fillId="0" borderId="6" xfId="0" applyFont="1" applyBorder="1" applyProtection="1">
      <protection locked="1"/>
    </xf>
    <xf numFmtId="2" fontId="10" fillId="0" borderId="6" xfId="0" applyNumberFormat="1" applyFont="1" applyBorder="1" applyAlignment="1" applyProtection="1">
      <alignment horizontal="center" vertical="center"/>
      <protection locked="1"/>
    </xf>
    <xf numFmtId="2" fontId="15" fillId="0" borderId="6" xfId="0" applyNumberFormat="1" applyFont="1" applyBorder="1" applyAlignment="1" applyProtection="1">
      <alignment horizontal="center"/>
      <protection locked="1"/>
    </xf>
    <xf numFmtId="1" fontId="10" fillId="0" borderId="6" xfId="0" applyNumberFormat="1" applyFont="1" applyBorder="1" applyAlignment="1" applyProtection="1">
      <alignment horizontal="center" vertical="center"/>
      <protection locked="1"/>
    </xf>
    <xf numFmtId="1" fontId="15" fillId="0" borderId="6" xfId="0" applyNumberFormat="1" applyFont="1" applyBorder="1" applyAlignment="1" applyProtection="1">
      <alignment horizontal="center"/>
      <protection locked="1"/>
    </xf>
    <xf numFmtId="167" fontId="10" fillId="0" borderId="6" xfId="0" applyNumberFormat="1" applyFont="1" applyBorder="1" applyAlignment="1" applyProtection="1">
      <alignment horizontal="center" vertical="center"/>
      <protection locked="1"/>
    </xf>
    <xf numFmtId="167" fontId="15" fillId="0" borderId="6" xfId="0" applyNumberFormat="1" applyFont="1" applyBorder="1" applyAlignment="1" applyProtection="1">
      <alignment horizontal="center"/>
      <protection locked="1"/>
    </xf>
    <xf numFmtId="10" fontId="10" fillId="0" borderId="6" xfId="0" applyNumberFormat="1" applyFont="1" applyBorder="1" applyAlignment="1" applyProtection="1">
      <alignment horizontal="center" vertical="center"/>
      <protection locked="1"/>
    </xf>
    <xf numFmtId="10" fontId="15" fillId="0" borderId="6" xfId="0" applyNumberFormat="1" applyFont="1" applyBorder="1" applyAlignment="1" applyProtection="1">
      <alignment horizontal="center"/>
      <protection locked="1"/>
    </xf>
    <xf numFmtId="9" fontId="10" fillId="0" borderId="6" xfId="0" applyNumberFormat="1" applyFont="1" applyBorder="1" applyAlignment="1" applyProtection="1">
      <alignment horizontal="center" vertical="center"/>
      <protection locked="1"/>
    </xf>
    <xf numFmtId="9" fontId="15" fillId="0" borderId="6" xfId="0" applyNumberFormat="1" applyFont="1" applyBorder="1" applyAlignment="1" applyProtection="1">
      <alignment horizontal="center"/>
      <protection locked="1"/>
    </xf>
    <xf numFmtId="9" fontId="10" fillId="14" borderId="6" xfId="0" applyNumberFormat="1" applyFont="1" applyFill="1" applyBorder="1" applyAlignment="1" applyProtection="1">
      <alignment horizontal="center" vertical="center"/>
      <protection locked="1"/>
    </xf>
    <xf numFmtId="167" fontId="10" fillId="14" borderId="6" xfId="0" applyNumberFormat="1" applyFont="1" applyFill="1" applyBorder="1" applyAlignment="1" applyProtection="1">
      <alignment horizontal="center" vertical="center"/>
      <protection locked="1"/>
    </xf>
    <xf numFmtId="168" fontId="37" fillId="0" borderId="5" xfId="0" applyNumberFormat="1"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2" fontId="15" fillId="15" borderId="5" xfId="0" applyNumberFormat="1" applyFont="1" applyFill="1" applyBorder="1" applyAlignment="1" applyProtection="1">
      <alignment horizontal="center" vertical="center" wrapText="1"/>
      <protection locked="1"/>
    </xf>
    <xf numFmtId="2" fontId="13" fillId="9" borderId="5" xfId="0" applyNumberFormat="1" applyFont="1" applyFill="1" applyBorder="1" applyAlignment="1" applyProtection="1">
      <alignment horizontal="center" vertical="center" wrapText="1"/>
      <protection locked="1"/>
    </xf>
    <xf numFmtId="1" fontId="15" fillId="15" borderId="5" xfId="0" applyNumberFormat="1" applyFont="1" applyFill="1" applyBorder="1" applyAlignment="1" applyProtection="1">
      <alignment horizontal="center" vertical="center" wrapText="1"/>
      <protection locked="1"/>
    </xf>
    <xf numFmtId="1" fontId="13" fillId="9" borderId="5" xfId="0" applyNumberFormat="1" applyFont="1" applyFill="1" applyBorder="1" applyAlignment="1" applyProtection="1">
      <alignment horizontal="center" vertical="center" wrapText="1"/>
      <protection locked="1"/>
    </xf>
    <xf numFmtId="167" fontId="15" fillId="15" borderId="5" xfId="0" applyNumberFormat="1" applyFont="1" applyFill="1" applyBorder="1" applyAlignment="1" applyProtection="1">
      <alignment horizontal="center" vertical="center" wrapText="1"/>
      <protection locked="1"/>
    </xf>
    <xf numFmtId="167" fontId="13" fillId="9" borderId="5" xfId="0" applyNumberFormat="1" applyFont="1" applyFill="1" applyBorder="1" applyAlignment="1" applyProtection="1">
      <alignment horizontal="center" vertical="center" wrapText="1"/>
      <protection locked="1"/>
    </xf>
    <xf numFmtId="10" fontId="15" fillId="3" borderId="5" xfId="0" applyNumberFormat="1" applyFont="1" applyFill="1" applyBorder="1" applyAlignment="1" applyProtection="1">
      <alignment horizontal="center" vertical="center" wrapText="1"/>
      <protection locked="1"/>
    </xf>
    <xf numFmtId="10" fontId="13" fillId="9" borderId="5" xfId="0" applyNumberFormat="1" applyFont="1" applyFill="1" applyBorder="1" applyAlignment="1" applyProtection="1">
      <alignment horizontal="center" vertical="center" wrapText="1"/>
      <protection locked="1"/>
    </xf>
    <xf numFmtId="2" fontId="15" fillId="3" borderId="5" xfId="0" applyNumberFormat="1" applyFont="1" applyFill="1" applyBorder="1" applyAlignment="1" applyProtection="1">
      <alignment horizontal="center" vertical="center" wrapText="1"/>
      <protection locked="1"/>
    </xf>
    <xf numFmtId="9" fontId="15" fillId="3" borderId="5" xfId="0" applyNumberFormat="1" applyFont="1" applyFill="1" applyBorder="1" applyAlignment="1" applyProtection="1">
      <alignment horizontal="center" vertical="center" wrapText="1"/>
      <protection locked="1"/>
    </xf>
    <xf numFmtId="9" fontId="13" fillId="9" borderId="5" xfId="0" applyNumberFormat="1" applyFont="1" applyFill="1" applyBorder="1" applyAlignment="1" applyProtection="1">
      <alignment horizontal="center" vertical="center" wrapText="1"/>
      <protection locked="1"/>
    </xf>
    <xf numFmtId="169" fontId="15" fillId="14" borderId="5" xfId="0" applyNumberFormat="1" applyFont="1" applyFill="1" applyBorder="1" applyAlignment="1" applyProtection="1">
      <alignment horizontal="center" vertical="center" wrapText="1"/>
      <protection locked="1"/>
    </xf>
    <xf numFmtId="167" fontId="15" fillId="14" borderId="5" xfId="0" applyNumberFormat="1" applyFont="1" applyFill="1" applyBorder="1" applyAlignment="1" applyProtection="1">
      <alignment horizontal="center" vertical="center" wrapText="1"/>
      <protection locked="1"/>
    </xf>
    <xf numFmtId="2" fontId="15" fillId="18" borderId="5" xfId="0" applyNumberFormat="1" applyFont="1" applyFill="1" applyBorder="1" applyAlignment="1" applyProtection="1">
      <alignment horizontal="center" vertical="center" wrapText="1"/>
      <protection locked="1"/>
    </xf>
    <xf numFmtId="2" fontId="15" fillId="9" borderId="5" xfId="0" applyNumberFormat="1" applyFont="1" applyFill="1" applyBorder="1" applyAlignment="1" applyProtection="1">
      <alignment horizontal="center" vertical="center" wrapText="1"/>
      <protection locked="1"/>
    </xf>
    <xf numFmtId="1" fontId="15" fillId="18" borderId="5" xfId="0" applyNumberFormat="1" applyFont="1" applyFill="1" applyBorder="1" applyAlignment="1" applyProtection="1">
      <alignment horizontal="center" vertical="center" wrapText="1"/>
      <protection locked="1"/>
    </xf>
    <xf numFmtId="1" fontId="15" fillId="9" borderId="5" xfId="0" applyNumberFormat="1" applyFont="1" applyFill="1" applyBorder="1" applyAlignment="1" applyProtection="1">
      <alignment horizontal="center" vertical="center" wrapText="1"/>
      <protection locked="1"/>
    </xf>
    <xf numFmtId="0" fontId="0" fillId="18" borderId="5" xfId="0" applyFill="1" applyBorder="1" applyAlignment="1" applyProtection="1">
      <alignment horizontal="left" vertical="center" wrapText="1"/>
      <protection locked="1"/>
    </xf>
    <xf numFmtId="167" fontId="15" fillId="18" borderId="5" xfId="0" applyNumberFormat="1" applyFont="1" applyFill="1" applyBorder="1" applyAlignment="1" applyProtection="1">
      <alignment horizontal="center" vertical="center" wrapText="1"/>
      <protection locked="1"/>
    </xf>
    <xf numFmtId="167" fontId="15" fillId="9" borderId="5" xfId="0" applyNumberFormat="1" applyFont="1" applyFill="1" applyBorder="1" applyAlignment="1" applyProtection="1">
      <alignment horizontal="center" vertical="center" wrapText="1"/>
      <protection locked="1"/>
    </xf>
    <xf numFmtId="10" fontId="15" fillId="18" borderId="5" xfId="0" applyNumberFormat="1" applyFont="1" applyFill="1" applyBorder="1" applyAlignment="1" applyProtection="1">
      <alignment horizontal="center" vertical="center" wrapText="1"/>
      <protection locked="1"/>
    </xf>
    <xf numFmtId="10" fontId="15" fillId="9" borderId="5" xfId="0" applyNumberFormat="1" applyFont="1" applyFill="1" applyBorder="1" applyAlignment="1" applyProtection="1">
      <alignment horizontal="center" vertical="center" wrapText="1"/>
      <protection locked="1"/>
    </xf>
    <xf numFmtId="9" fontId="15" fillId="18" borderId="5" xfId="0" applyNumberFormat="1" applyFont="1" applyFill="1" applyBorder="1" applyAlignment="1" applyProtection="1">
      <alignment horizontal="center" vertical="center" wrapText="1"/>
      <protection locked="1"/>
    </xf>
    <xf numFmtId="9" fontId="15" fillId="9" borderId="5" xfId="0" applyNumberFormat="1" applyFont="1" applyFill="1" applyBorder="1" applyAlignment="1" applyProtection="1">
      <alignment horizontal="center" vertical="center" wrapText="1"/>
      <protection locked="1"/>
    </xf>
    <xf numFmtId="169" fontId="15" fillId="18" borderId="5" xfId="0" applyNumberFormat="1" applyFont="1" applyFill="1" applyBorder="1" applyAlignment="1" applyProtection="1">
      <alignment horizontal="center" vertical="center" wrapText="1"/>
      <protection locked="1"/>
    </xf>
    <xf numFmtId="17" fontId="19" fillId="4" borderId="0" xfId="0" applyNumberFormat="1" applyFont="1" applyFill="1" applyAlignment="1" applyProtection="1">
      <alignment horizontal="center" vertical="center"/>
      <protection locked="1"/>
    </xf>
    <xf numFmtId="0" fontId="20" fillId="4" borderId="0" xfId="0" applyFont="1" applyFill="1" applyAlignment="1" applyProtection="1">
      <alignment vertical="center"/>
      <protection locked="1"/>
    </xf>
    <xf numFmtId="0" fontId="22" fillId="0" borderId="0" xfId="0" applyFont="1" applyAlignment="1" applyProtection="1">
      <alignment vertical="center"/>
      <protection locked="1"/>
    </xf>
    <xf numFmtId="0" fontId="23" fillId="0" borderId="0" xfId="0" applyFont="1" applyAlignment="1" applyProtection="1">
      <alignment vertical="center"/>
      <protection locked="1"/>
    </xf>
    <xf numFmtId="0" fontId="24" fillId="0" borderId="0" xfId="0" applyFont="1" applyAlignment="1" applyProtection="1">
      <alignment vertical="center" wrapText="1"/>
      <protection locked="1"/>
    </xf>
    <xf numFmtId="17" fontId="14" fillId="0" borderId="6" xfId="0" applyNumberFormat="1" applyFont="1" applyBorder="1" applyProtection="1">
      <protection locked="1"/>
    </xf>
    <xf numFmtId="170" fontId="14" fillId="0" borderId="6" xfId="0" applyNumberFormat="1" applyFont="1" applyBorder="1" applyProtection="1">
      <protection locked="1"/>
    </xf>
    <xf numFmtId="2" fontId="14" fillId="0" borderId="6" xfId="0" applyNumberFormat="1" applyFont="1" applyBorder="1" applyProtection="1">
      <protection locked="1"/>
    </xf>
    <xf numFmtId="166" fontId="0" fillId="0" borderId="0" xfId="0" applyNumberFormat="1" applyProtection="1">
      <protection locked="1"/>
    </xf>
    <xf numFmtId="17" fontId="0" fillId="0" borderId="0" xfId="0" applyNumberFormat="1" applyProtection="1">
      <protection locked="1"/>
    </xf>
    <xf numFmtId="2" fontId="0" fillId="0" borderId="0" xfId="0" applyNumberFormat="1" applyProtection="1">
      <protection locked="1"/>
    </xf>
    <xf numFmtId="167" fontId="0" fillId="0" borderId="0" xfId="0" applyNumberFormat="1" applyProtection="1">
      <protection locked="1"/>
    </xf>
    <xf numFmtId="10" fontId="0" fillId="0" borderId="0" xfId="0" applyNumberFormat="1" applyProtection="1">
      <protection locked="1"/>
    </xf>
    <xf numFmtId="9" fontId="0" fillId="0" borderId="0" xfId="0" applyNumberFormat="1" applyProtection="1">
      <protection locked="1"/>
    </xf>
    <xf numFmtId="169" fontId="0" fillId="0" borderId="0" xfId="0" applyNumberFormat="1" applyProtection="1">
      <protection locked="1"/>
    </xf>
    <xf numFmtId="17" fontId="31" fillId="19" borderId="0" xfId="0" applyNumberFormat="1" applyFont="1" applyFill="1" applyAlignment="1" applyProtection="1">
      <alignment horizontal="center"/>
      <protection locked="1"/>
    </xf>
    <xf numFmtId="0" fontId="31" fillId="19" borderId="0" xfId="0" applyFont="1" applyFill="1" applyAlignment="1" applyProtection="1">
      <alignment horizontal="center"/>
      <protection locked="1"/>
    </xf>
    <xf numFmtId="168" fontId="0" fillId="0" borderId="0" xfId="0" applyNumberFormat="1" applyProtection="1">
      <protection locked="1"/>
    </xf>
    <xf numFmtId="164" fontId="0" fillId="0" borderId="0" xfId="0" applyNumberFormat="1" applyProtection="1">
      <protection locked="1"/>
    </xf>
  </cellXfs>
  <cellStyles count="2">
    <cellStyle name="Normal" xfId="0" builtinId="0"/>
    <cellStyle name="QA_ERROR" xfId="1" xr:uid="{00000000-0005-0000-0000-000001000000}"/>
  </cellStyles>
  <dxfs count="272">
    <dxf>
      <fill>
        <patternFill>
          <bgColor rgb="FFF8CBAD"/>
        </patternFill>
      </fill>
    </dxf>
    <dxf>
      <fill>
        <patternFill>
          <bgColor rgb="FFF8CBAD"/>
        </patternFill>
      </fill>
    </dxf>
    <dxf>
      <fill>
        <patternFill>
          <bgColor rgb="FFBDD7EE"/>
        </patternFill>
      </fill>
    </dxf>
    <dxf>
      <fill>
        <patternFill>
          <bgColor rgb="FFD9D9D9"/>
        </patternFill>
      </fill>
    </dxf>
    <dxf>
      <fill>
        <patternFill>
          <bgColor rgb="FFFFEB9C"/>
        </patternFill>
      </fill>
    </dxf>
    <dxf>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ill>
        <patternFill>
          <bgColor rgb="FFF8CBAD"/>
        </patternFill>
      </fill>
    </dxf>
    <dxf>
      <font>
        <color rgb="FF1F3864"/>
      </font>
      <fill>
        <patternFill>
          <bgColor rgb="FFE2EFDA"/>
        </patternFill>
      </fill>
    </dxf>
    <dxf>
      <font>
        <color rgb="FF1F3864"/>
      </font>
      <fill>
        <patternFill>
          <bgColor rgb="FFE2EFDA"/>
        </patternFill>
      </fill>
    </dxf>
    <dxf>
      <fill>
        <patternFill>
          <bgColor rgb="FFF8CBAD"/>
        </patternFill>
      </fill>
    </dxf>
    <dxf>
      <font>
        <color rgb="FF1F3864"/>
      </font>
      <fill>
        <patternFill>
          <bgColor rgb="FFE2EFDA"/>
        </patternFill>
      </fill>
    </dxf>
    <dxf>
      <fill>
        <patternFill>
          <bgColor rgb="FFF8CBAD"/>
        </patternFill>
      </fill>
    </dxf>
    <dxf>
      <font>
        <b/>
        <color rgb="FF7F6000"/>
      </font>
      <fill>
        <patternFill>
          <bgColor rgb="FFFFF2CC"/>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1F3864"/>
      </font>
      <fill>
        <patternFill>
          <bgColor rgb="FF00B0F0"/>
        </patternFill>
      </fill>
    </dxf>
    <dxf>
      <font>
        <b/>
        <color rgb="FF843C0C"/>
      </font>
      <fill>
        <patternFill>
          <bgColor rgb="FFF8CBAD"/>
        </patternFill>
      </fill>
    </dxf>
    <dxf>
      <font>
        <b/>
        <color rgb="FF006100"/>
      </font>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7F6000"/>
      </font>
      <fill>
        <patternFill>
          <bgColor rgb="FFFFEB9C"/>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EDEDED"/>
      <rgbColor rgb="FF0000FF"/>
      <rgbColor rgb="FFFFE699"/>
      <rgbColor rgb="FFFF00FF"/>
      <rgbColor rgb="FFE2EFDA"/>
      <rgbColor rgb="FF7F0000"/>
      <rgbColor rgb="FF006100"/>
      <rgbColor rgb="FF000080"/>
      <rgbColor rgb="FF7F6000"/>
      <rgbColor rgb="FF800080"/>
      <rgbColor rgb="FFF2F2F2"/>
      <rgbColor rgb="FFBFBFBF"/>
      <rgbColor rgb="FF808080"/>
      <rgbColor rgb="FF7F7F7F"/>
      <rgbColor rgb="FF9C5700"/>
      <rgbColor rgb="FFFFF2CC"/>
      <rgbColor rgb="FFDDF2F0"/>
      <rgbColor rgb="FF660066"/>
      <rgbColor rgb="FFFF7C80"/>
      <rgbColor rgb="FF0563C1"/>
      <rgbColor rgb="FFBDD7EE"/>
      <rgbColor rgb="FF000080"/>
      <rgbColor rgb="FFFF00FF"/>
      <rgbColor rgb="FFF2E6D0"/>
      <rgbColor rgb="FFE7ECF6"/>
      <rgbColor rgb="FF800080"/>
      <rgbColor rgb="FF9C0006"/>
      <rgbColor rgb="FFFFF4E5"/>
      <rgbColor rgb="FF0000FF"/>
      <rgbColor rgb="FF00B0F0"/>
      <rgbColor rgb="FFDDEBF7"/>
      <rgbColor rgb="FFC6EFCE"/>
      <rgbColor rgb="FFFFEB9C"/>
      <rgbColor rgb="FFB4C0D6"/>
      <rgbColor rgb="FFF4B6B6"/>
      <rgbColor rgb="FFFFC7CE"/>
      <rgbColor rgb="FFF8CBAD"/>
      <rgbColor rgb="FFE4DFEC"/>
      <rgbColor rgb="FFD9E1F2"/>
      <rgbColor rgb="FFC6E0B4"/>
      <rgbColor rgb="FFFCE4D6"/>
      <rgbColor rgb="FFD9D9D9"/>
      <rgbColor rgb="FFED7D31"/>
      <rgbColor rgb="FF5B7DB1"/>
      <rgbColor rgb="FFA6A6A6"/>
      <rgbColor rgb="FF1F3864"/>
      <rgbColor rgb="FF2E7D32"/>
      <rgbColor rgb="FF003300"/>
      <rgbColor rgb="FF333300"/>
      <rgbColor rgb="FF843C0C"/>
      <rgbColor rgb="FFC65911"/>
      <rgbColor rgb="FF2F5597"/>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AE11-FC54-4DFC-B668-6F6E83F7EE95}">
  <dimension ref="A1:F95"/>
  <sheetViews>
    <sheetView workbookViewId="0"/>
  </sheetViews>
  <sheetFormatPr baseColWidth="10" defaultColWidth="11.5546875" defaultRowHeight="14.4" x14ac:dyDescent="0.3"/>
  <cols>
    <col min="1" max="1" width="7" style="108" customWidth="1"/>
    <col min="2" max="2" width="71.44140625" style="108" customWidth="1"/>
    <col min="3" max="5" width="16.44140625" style="108" customWidth="1"/>
    <col min="6" max="6" width="58.77734375" style="108" customWidth="1"/>
  </cols>
  <sheetData>
    <row r="1" spans="1:6" ht="30.75" customHeight="1" x14ac:dyDescent="0.3">
      <c r="A1" s="1" t="s">
        <v>0</v>
      </c>
      <c r="B1" s="1"/>
      <c r="C1" s="1"/>
      <c r="D1" s="1"/>
      <c r="E1" s="1"/>
      <c r="F1" s="1"/>
    </row>
    <row r="2" spans="1:6" ht="3" customHeight="1" x14ac:dyDescent="0.3">
      <c r="A2" s="2"/>
      <c r="B2" s="2"/>
      <c r="C2" s="2"/>
      <c r="D2" s="2"/>
      <c r="E2" s="2"/>
      <c r="F2" s="2"/>
    </row>
    <row r="3" spans="1:6" ht="13.5" customHeight="1" x14ac:dyDescent="0.3"/>
    <row r="4" spans="1:6" ht="22.5" customHeight="1" x14ac:dyDescent="0.3">
      <c r="B4" s="3" t="s">
        <v>1</v>
      </c>
      <c r="C4" s="189">
        <f>Datos!$F$1</f>
        <v>46296</v>
      </c>
      <c r="D4" s="5" t="s">
        <v>1706</v>
      </c>
    </row>
    <row r="5" spans="1:6" ht="13.5" customHeight="1" x14ac:dyDescent="0.3">
      <c r="B5" s="190"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row>
    <row r="6" spans="1:6" ht="13.5" customHeight="1" x14ac:dyDescent="0.3">
      <c r="B6" s="7" t="s">
        <v>2</v>
      </c>
      <c r="C6" s="7"/>
    </row>
    <row r="7" spans="1:6" ht="15" customHeight="1" x14ac:dyDescent="0.3">
      <c r="B7" s="8" t="s">
        <v>3</v>
      </c>
      <c r="C7" s="191">
        <f ca="1">COUNTIF(_QA!$G$9:$G$81,"ERROR")</f>
        <v>4</v>
      </c>
    </row>
    <row r="8" spans="1:6" ht="15" customHeight="1" x14ac:dyDescent="0.3">
      <c r="B8" s="8" t="s">
        <v>4</v>
      </c>
      <c r="C8" s="191">
        <f ca="1">COUNTIF(_QA!$G$9:$G$81,"ADVERTENCIA")</f>
        <v>6</v>
      </c>
    </row>
    <row r="9" spans="1:6" ht="15" customHeight="1" x14ac:dyDescent="0.3">
      <c r="B9" s="8" t="s">
        <v>5</v>
      </c>
      <c r="C9" s="191">
        <f ca="1">COUNTIF(_QA!$G$9:$G$81,"INFO")</f>
        <v>4</v>
      </c>
    </row>
    <row r="10" spans="1:6" ht="15" customHeight="1" x14ac:dyDescent="0.3">
      <c r="B10" s="8" t="s">
        <v>6</v>
      </c>
      <c r="C10" s="192" t="str">
        <f ca="1">IF(C7&gt;0,"ROJO · resolver errores antes de emitir",IF(C8&gt;0,"AMARILLO · revisar advertencias","VERDE"))</f>
        <v>ROJO · resolver errores antes de emitir</v>
      </c>
      <c r="D10" s="11"/>
      <c r="E10" s="11"/>
      <c r="F10" s="11"/>
    </row>
    <row r="11" spans="1:6" ht="13.5" customHeight="1" x14ac:dyDescent="0.3"/>
    <row r="12" spans="1:6" ht="13.5" customHeight="1" x14ac:dyDescent="0.3">
      <c r="B12" s="7" t="s">
        <v>7</v>
      </c>
      <c r="C12" s="7"/>
      <c r="D12" s="7"/>
      <c r="E12" s="7"/>
      <c r="F12" s="7"/>
    </row>
    <row r="13" spans="1:6" ht="17.25" customHeight="1" x14ac:dyDescent="0.3">
      <c r="B13" s="12" t="s">
        <v>8</v>
      </c>
      <c r="C13" s="12"/>
      <c r="D13" s="12"/>
      <c r="E13" s="12"/>
      <c r="F13" s="12"/>
    </row>
    <row r="14" spans="1:6" ht="17.25" customHeight="1" x14ac:dyDescent="0.3">
      <c r="B14" s="12" t="s">
        <v>9</v>
      </c>
      <c r="C14" s="12"/>
      <c r="D14" s="12"/>
      <c r="E14" s="12"/>
      <c r="F14" s="12"/>
    </row>
    <row r="15" spans="1:6" ht="17.25" customHeight="1" x14ac:dyDescent="0.3">
      <c r="B15" s="12" t="s">
        <v>10</v>
      </c>
      <c r="C15" s="12"/>
      <c r="D15" s="12"/>
      <c r="E15" s="12"/>
      <c r="F15" s="12"/>
    </row>
    <row r="16" spans="1:6" ht="17.25" customHeight="1" x14ac:dyDescent="0.3">
      <c r="B16" s="12" t="s">
        <v>11</v>
      </c>
      <c r="C16" s="12"/>
      <c r="D16" s="12"/>
      <c r="E16" s="12"/>
      <c r="F16" s="12"/>
    </row>
    <row r="17" spans="1:6" ht="13.5" hidden="1" customHeight="1" x14ac:dyDescent="0.3">
      <c r="B17" t="s">
        <v>12</v>
      </c>
    </row>
    <row r="18" spans="1:6" ht="13.5" hidden="1" customHeight="1" x14ac:dyDescent="0.3">
      <c r="B18" t="s">
        <v>13</v>
      </c>
    </row>
    <row r="19" spans="1:6" ht="13.5" hidden="1" customHeight="1" x14ac:dyDescent="0.3">
      <c r="B19" t="s">
        <v>14</v>
      </c>
    </row>
    <row r="20" spans="1:6" ht="13.5" hidden="1" customHeight="1" x14ac:dyDescent="0.3">
      <c r="B20" t="s">
        <v>15</v>
      </c>
    </row>
    <row r="21" spans="1:6" ht="13.5" hidden="1" customHeight="1" x14ac:dyDescent="0.3">
      <c r="B21" s="13" t="s">
        <v>16</v>
      </c>
    </row>
    <row r="22" spans="1:6" ht="13.5" hidden="1" customHeight="1" x14ac:dyDescent="0.3">
      <c r="A22" s="7" t="s">
        <v>17</v>
      </c>
      <c r="B22" s="7" t="s">
        <v>18</v>
      </c>
      <c r="C22" s="7" t="s">
        <v>19</v>
      </c>
      <c r="D22" s="7" t="s">
        <v>20</v>
      </c>
      <c r="E22" s="7" t="s">
        <v>21</v>
      </c>
      <c r="F22" s="7" t="s">
        <v>22</v>
      </c>
    </row>
    <row r="23" spans="1:6" ht="14.25" hidden="1" customHeight="1" x14ac:dyDescent="0.3">
      <c r="A23" s="193" t="str">
        <f>_QA!A9</f>
        <v>P01</v>
      </c>
      <c r="B23" s="193" t="str">
        <f>_QA!C9</f>
        <v>RPT_MONTH existe en el calendario de Datos (fila 3)</v>
      </c>
      <c r="C23" s="193">
        <f>_QA!E9</f>
        <v>0</v>
      </c>
      <c r="D23" s="193" t="str">
        <f>_QA!F9</f>
        <v>ERROR</v>
      </c>
      <c r="E23" s="193" t="str">
        <f>_QA!G9</f>
        <v>OK</v>
      </c>
      <c r="F23" s="193" t="str">
        <f>_QA!H9</f>
        <v>Elegir un mes válido en Datos!F1</v>
      </c>
    </row>
    <row r="24" spans="1:6" ht="14.25" hidden="1" customHeight="1" x14ac:dyDescent="0.3">
      <c r="A24" s="193" t="str">
        <f>_QA!A10</f>
        <v>P02</v>
      </c>
      <c r="B24" s="193" t="str">
        <f>_QA!C10</f>
        <v>RPT_MONTH es el primer día del mes</v>
      </c>
      <c r="C24" s="193">
        <f>_QA!E10</f>
        <v>0</v>
      </c>
      <c r="D24" s="193" t="str">
        <f>_QA!F10</f>
        <v>ERROR</v>
      </c>
      <c r="E24" s="193" t="str">
        <f>_QA!G10</f>
        <v>OK</v>
      </c>
      <c r="F24" s="193" t="str">
        <f>_QA!H10</f>
        <v>Elegir el mes del desplegable</v>
      </c>
    </row>
    <row r="25" spans="1:6" ht="14.25" hidden="1" customHeight="1" x14ac:dyDescent="0.3">
      <c r="A25" s="193" t="str">
        <f>_QA!A11</f>
        <v>P03</v>
      </c>
      <c r="B25" s="193" t="str">
        <f>_QA!C11</f>
        <v>Fechas de Datos (fila 3) iguales a las de KPIs (fila 3)</v>
      </c>
      <c r="C25" s="193">
        <f>_QA!E11</f>
        <v>0</v>
      </c>
      <c r="D25" s="193" t="str">
        <f>_QA!F11</f>
        <v>ERROR</v>
      </c>
      <c r="E25" s="193" t="str">
        <f>_QA!G11</f>
        <v>OK</v>
      </c>
      <c r="F25" s="193" t="str">
        <f>_QA!H11</f>
        <v>Las columnas de mes deben coincidir</v>
      </c>
    </row>
    <row r="26" spans="1:6" ht="14.25" hidden="1" customHeight="1" x14ac:dyDescent="0.3">
      <c r="A26" s="193" t="str">
        <f>_QA!A12</f>
        <v>P04</v>
      </c>
      <c r="B26" s="193" t="str">
        <f>_QA!C12</f>
        <v>Meses de Datos consecutivos, sin saltos ni repetidos</v>
      </c>
      <c r="C26" s="193">
        <f>_QA!E12</f>
        <v>0</v>
      </c>
      <c r="D26" s="193" t="str">
        <f>_QA!F12</f>
        <v>ERROR</v>
      </c>
      <c r="E26" s="193" t="str">
        <f>_QA!G12</f>
        <v>OK</v>
      </c>
      <c r="F26" s="193" t="str">
        <f>_QA!H12</f>
        <v>Revisar encabezados de mes</v>
      </c>
    </row>
    <row r="27" spans="1:6" ht="14.25" hidden="1" customHeight="1" x14ac:dyDescent="0.3">
      <c r="A27" s="193" t="str">
        <f>_QA!A13</f>
        <v>P05</v>
      </c>
      <c r="B27" s="193" t="str">
        <f>_QA!C13</f>
        <v>Filas de BD_KPIs del mes seleccionado = 37 (21 previstos + 14 YTD + 2 internos IAP/IAE)</v>
      </c>
      <c r="C27" s="193">
        <f>_QA!E13</f>
        <v>0</v>
      </c>
      <c r="D27" s="193" t="str">
        <f>_QA!F13</f>
        <v>ERROR</v>
      </c>
      <c r="E27" s="193" t="str">
        <f>_QA!G13</f>
        <v>OK</v>
      </c>
      <c r="F27" s="193" t="str">
        <f>_QA!H13</f>
        <v>Estructura de BD_KPIs alterada</v>
      </c>
    </row>
    <row r="28" spans="1:6" ht="14.25" hidden="1" customHeight="1" x14ac:dyDescent="0.3">
      <c r="A28" s="193" t="str">
        <f>_QA!A14</f>
        <v>P06</v>
      </c>
      <c r="B28" s="193" t="str">
        <f>_QA!C14</f>
        <v>Jerarquía Cumulative ≥ YTD ≥ Monthly en numeradores (5 KPIs con acumulado)</v>
      </c>
      <c r="C28" s="193">
        <f>_QA!E14</f>
        <v>0</v>
      </c>
      <c r="D28" s="193" t="str">
        <f>_QA!F14</f>
        <v>ERROR</v>
      </c>
      <c r="E28" s="193" t="str">
        <f>_QA!G14</f>
        <v>OK</v>
      </c>
      <c r="F28" s="193" t="str">
        <f>_QA!H14</f>
        <v>Revisar períodos de cálculo</v>
      </c>
    </row>
    <row r="29" spans="1:6" ht="14.25" hidden="1" customHeight="1" x14ac:dyDescent="0.3">
      <c r="A29" s="193" t="str">
        <f>_QA!A15</f>
        <v>P07</v>
      </c>
      <c r="B29" s="193" t="str">
        <f>_QA!C15</f>
        <v>Variables de carga vacías en el mes seleccionado (Datos fila 2)</v>
      </c>
      <c r="C29" s="193">
        <f>_QA!E15</f>
        <v>28</v>
      </c>
      <c r="D29" s="193" t="str">
        <f>_QA!F15</f>
        <v>ADVERTENCIA</v>
      </c>
      <c r="E29" s="193" t="str">
        <f>_QA!G15</f>
        <v>ADVERTENCIA</v>
      </c>
      <c r="F29" s="193" t="str">
        <f>_QA!H15</f>
        <v>Completar Datos del mes o confirmar que no aplica</v>
      </c>
    </row>
    <row r="30" spans="1:6" ht="14.25" hidden="1" customHeight="1" x14ac:dyDescent="0.3">
      <c r="A30" s="193" t="str">
        <f>_QA!A16</f>
        <v>P08</v>
      </c>
      <c r="B30" s="193" t="str">
        <f>_QA!C16</f>
        <v>Hallazgos con fecha de apertura posterior al mes seleccionado</v>
      </c>
      <c r="C30" s="193">
        <f>_QA!E16</f>
        <v>0</v>
      </c>
      <c r="D30" s="193" t="str">
        <f>_QA!F16</f>
        <v>ADVERTENCIA</v>
      </c>
      <c r="E30" s="193" t="str">
        <f>_QA!G16</f>
        <v>OK</v>
      </c>
      <c r="F30" s="193" t="str">
        <f>_QA!H16</f>
        <v>Fecha futura o mes de reporte desactualizado</v>
      </c>
    </row>
    <row r="31" spans="1:6" ht="14.25" hidden="1" customHeight="1" x14ac:dyDescent="0.3">
      <c r="A31" s="193" t="str">
        <f>_QA!A17</f>
        <v>P09</v>
      </c>
      <c r="B31" s="193" t="str">
        <f>_QA!C17</f>
        <v>Hallazgos con fecha de cierre posterior al mes seleccionado</v>
      </c>
      <c r="C31" s="193">
        <f>_QA!E17</f>
        <v>0</v>
      </c>
      <c r="D31" s="193" t="str">
        <f>_QA!F17</f>
        <v>ADVERTENCIA</v>
      </c>
      <c r="E31" s="193" t="str">
        <f>_QA!G17</f>
        <v>OK</v>
      </c>
      <c r="F31" s="193" t="str">
        <f>_QA!H17</f>
        <v>Fecha futura o mes de reporte desactualizado</v>
      </c>
    </row>
    <row r="32" spans="1:6" ht="14.25" hidden="1" customHeight="1" x14ac:dyDescent="0.3">
      <c r="A32" s="193" t="str">
        <f>_QA!A18</f>
        <v>P10</v>
      </c>
      <c r="B32" s="193" t="str">
        <f>_QA!C18</f>
        <v>Base del YTD = año calendario (pendiente de confirmar con el área)</v>
      </c>
      <c r="C32" s="193">
        <f>_QA!E18</f>
        <v>1</v>
      </c>
      <c r="D32" s="193" t="str">
        <f>_QA!F18</f>
        <v>INFO</v>
      </c>
      <c r="E32" s="193" t="str">
        <f>_QA!G18</f>
        <v>INFO</v>
      </c>
      <c r="F32" s="193" t="str">
        <f>_QA!H18</f>
        <v>Confirmar año calendario vs. inicio de proyecto</v>
      </c>
    </row>
    <row r="33" spans="1:6" ht="14.25" hidden="1" customHeight="1" x14ac:dyDescent="0.3">
      <c r="A33" s="193" t="str">
        <f>_QA!A19</f>
        <v>D01</v>
      </c>
      <c r="B33" s="193" t="str">
        <f>_QA!C19</f>
        <v>IDs de hallazgo duplicados</v>
      </c>
      <c r="C33" s="193">
        <f>_QA!E19</f>
        <v>0</v>
      </c>
      <c r="D33" s="193" t="str">
        <f>_QA!F19</f>
        <v>ERROR</v>
      </c>
      <c r="E33" s="193" t="str">
        <f>_QA!G19</f>
        <v>OK</v>
      </c>
      <c r="F33" s="193" t="str">
        <f>_QA!H19</f>
        <v>Corregir ID en Hallazgos col. A</v>
      </c>
    </row>
    <row r="34" spans="1:6" ht="14.25" hidden="1" customHeight="1" x14ac:dyDescent="0.3">
      <c r="A34" s="193" t="str">
        <f>_QA!A20</f>
        <v>D02</v>
      </c>
      <c r="B34" s="193" t="str">
        <f>_QA!C20</f>
        <v>Hallazgos con igual fecha, descripción y área</v>
      </c>
      <c r="C34" s="193">
        <f>_QA!E20</f>
        <v>0</v>
      </c>
      <c r="D34" s="193" t="str">
        <f>_QA!F20</f>
        <v>ADVERTENCIA</v>
      </c>
      <c r="E34" s="193" t="str">
        <f>_QA!G20</f>
        <v>OK</v>
      </c>
      <c r="F34" s="193" t="str">
        <f>_QA!H20</f>
        <v>Posible carga repetida</v>
      </c>
    </row>
    <row r="35" spans="1:6" ht="14.25" hidden="1" customHeight="1" x14ac:dyDescent="0.3">
      <c r="A35" s="193" t="str">
        <f>_QA!A21</f>
        <v>D03</v>
      </c>
      <c r="B35" s="193" t="str">
        <f>_QA!C21</f>
        <v>Claves duplicadas en BD_KPIs (mes|código|período)</v>
      </c>
      <c r="C35" s="193">
        <f>_QA!E21</f>
        <v>0</v>
      </c>
      <c r="D35" s="193" t="str">
        <f>_QA!F21</f>
        <v>ERROR</v>
      </c>
      <c r="E35" s="193" t="str">
        <f>_QA!G21</f>
        <v>OK</v>
      </c>
      <c r="F35" s="193" t="str">
        <f>_QA!H21</f>
        <v>Estructura de BD_KPIs alterada</v>
      </c>
    </row>
    <row r="36" spans="1:6" ht="14.25" hidden="1" customHeight="1" x14ac:dyDescent="0.3">
      <c r="A36" s="193" t="str">
        <f>_QA!A22</f>
        <v>M01</v>
      </c>
      <c r="B36" s="193" t="str">
        <f>_QA!C22</f>
        <v>Hallazgos sin fecha de apertura</v>
      </c>
      <c r="C36" s="193">
        <f>_QA!E22</f>
        <v>0</v>
      </c>
      <c r="D36" s="193" t="str">
        <f>_QA!F22</f>
        <v>ERROR</v>
      </c>
      <c r="E36" s="193" t="str">
        <f>_QA!G22</f>
        <v>OK</v>
      </c>
      <c r="F36" s="193" t="str">
        <f>_QA!H22</f>
        <v>Completar col. B</v>
      </c>
    </row>
    <row r="37" spans="1:6" ht="14.25" hidden="1" customHeight="1" x14ac:dyDescent="0.3">
      <c r="A37" s="193" t="str">
        <f>_QA!A23</f>
        <v>M02</v>
      </c>
      <c r="B37" s="193" t="str">
        <f>_QA!C23</f>
        <v>Hallazgos sin descripción</v>
      </c>
      <c r="C37" s="193">
        <f>_QA!E23</f>
        <v>0</v>
      </c>
      <c r="D37" s="193" t="str">
        <f>_QA!F23</f>
        <v>ERROR</v>
      </c>
      <c r="E37" s="193" t="str">
        <f>_QA!G23</f>
        <v>OK</v>
      </c>
      <c r="F37" s="193" t="str">
        <f>_QA!H23</f>
        <v>Completar col. H</v>
      </c>
    </row>
    <row r="38" spans="1:6" ht="14.25" hidden="1" customHeight="1" x14ac:dyDescent="0.3">
      <c r="A38" s="193" t="str">
        <f>_QA!A24</f>
        <v>M03</v>
      </c>
      <c r="B38" s="193" t="str">
        <f>_QA!C24</f>
        <v>Hallazgos sin estado</v>
      </c>
      <c r="C38" s="193">
        <f>_QA!E24</f>
        <v>0</v>
      </c>
      <c r="D38" s="193" t="str">
        <f>_QA!F24</f>
        <v>ERROR</v>
      </c>
      <c r="E38" s="193" t="str">
        <f>_QA!G24</f>
        <v>OK</v>
      </c>
      <c r="F38" s="193" t="str">
        <f>_QA!H24</f>
        <v>Completar col. O</v>
      </c>
    </row>
    <row r="39" spans="1:6" ht="14.25" hidden="1" customHeight="1" x14ac:dyDescent="0.3">
      <c r="A39" s="193" t="str">
        <f>_QA!A25</f>
        <v>M04</v>
      </c>
      <c r="B39" s="193" t="str">
        <f>_QA!C25</f>
        <v>Hallazgos sin contratista</v>
      </c>
      <c r="C39" s="193">
        <f>_QA!E25</f>
        <v>0</v>
      </c>
      <c r="D39" s="193" t="str">
        <f>_QA!F25</f>
        <v>ERROR</v>
      </c>
      <c r="E39" s="193" t="str">
        <f>_QA!G25</f>
        <v>OK</v>
      </c>
      <c r="F39" s="193" t="str">
        <f>_QA!H25</f>
        <v>Completar col. F</v>
      </c>
    </row>
    <row r="40" spans="1:6" ht="14.25" hidden="1" customHeight="1" x14ac:dyDescent="0.3">
      <c r="A40" s="193" t="str">
        <f>_QA!A26</f>
        <v>M05</v>
      </c>
      <c r="B40" s="193" t="str">
        <f>_QA!C26</f>
        <v>Alto potencial con valor distinto de Sí / No (col. T)</v>
      </c>
      <c r="C40" s="193">
        <f>_QA!E26</f>
        <v>0</v>
      </c>
      <c r="D40" s="193" t="str">
        <f>_QA!F26</f>
        <v>ERROR</v>
      </c>
      <c r="E40" s="193" t="str">
        <f>_QA!G26</f>
        <v>OK</v>
      </c>
      <c r="F40" s="193" t="str">
        <f>_QA!H26</f>
        <v>Usar Sí o No en col. T</v>
      </c>
    </row>
    <row r="41" spans="1:6" ht="14.25" hidden="1" customHeight="1" x14ac:dyDescent="0.3">
      <c r="A41" s="193" t="str">
        <f>_QA!A27</f>
        <v>M06</v>
      </c>
      <c r="B41" s="193" t="str">
        <f>_QA!C27</f>
        <v>Hallazgos sin responsable</v>
      </c>
      <c r="C41" s="193">
        <f>_QA!E27</f>
        <v>0</v>
      </c>
      <c r="D41" s="193" t="str">
        <f>_QA!F27</f>
        <v>ADVERTENCIA</v>
      </c>
      <c r="E41" s="193" t="str">
        <f>_QA!G27</f>
        <v>OK</v>
      </c>
      <c r="F41" s="193" t="str">
        <f>_QA!H27</f>
        <v>Completar col. G</v>
      </c>
    </row>
    <row r="42" spans="1:6" ht="14.25" hidden="1" customHeight="1" x14ac:dyDescent="0.3">
      <c r="A42" s="193" t="str">
        <f>_QA!A28</f>
        <v>M07</v>
      </c>
      <c r="B42" s="193" t="str">
        <f>_QA!C28</f>
        <v>Hallazgos sin clasificación</v>
      </c>
      <c r="C42" s="193">
        <f>_QA!E28</f>
        <v>0</v>
      </c>
      <c r="D42" s="193" t="str">
        <f>_QA!F28</f>
        <v>ERROR</v>
      </c>
      <c r="E42" s="193" t="str">
        <f>_QA!G28</f>
        <v>OK</v>
      </c>
      <c r="F42" s="193" t="str">
        <f>_QA!H28</f>
        <v>Completar col. I</v>
      </c>
    </row>
    <row r="43" spans="1:6" ht="14.25" hidden="1" customHeight="1" x14ac:dyDescent="0.3">
      <c r="A43" s="193" t="str">
        <f>_QA!A29</f>
        <v>M08</v>
      </c>
      <c r="B43" s="193" t="str">
        <f>_QA!C29</f>
        <v>Hallazgos de alto potencial sin acción cargada</v>
      </c>
      <c r="C43" s="193">
        <f>_QA!E29</f>
        <v>0</v>
      </c>
      <c r="D43" s="193" t="str">
        <f>_QA!F29</f>
        <v>ADVERTENCIA</v>
      </c>
      <c r="E43" s="193" t="str">
        <f>_QA!G29</f>
        <v>OK</v>
      </c>
      <c r="F43" s="193" t="str">
        <f>_QA!H29</f>
        <v>Completar col. M (Acción)</v>
      </c>
    </row>
    <row r="44" spans="1:6" ht="14.25" hidden="1" customHeight="1" x14ac:dyDescent="0.3">
      <c r="A44" s="193" t="str">
        <f>_QA!A30</f>
        <v>M09</v>
      </c>
      <c r="B44" s="193" t="str">
        <f>_QA!C30</f>
        <v>Hallazgos de alto potencial abiertos (seguimiento)</v>
      </c>
      <c r="C44" s="193">
        <f>_QA!E30</f>
        <v>0</v>
      </c>
      <c r="D44" s="193" t="str">
        <f>_QA!F30</f>
        <v>INFO</v>
      </c>
      <c r="E44" s="193" t="str">
        <f>_QA!G30</f>
        <v>OK</v>
      </c>
      <c r="F44" s="193" t="str">
        <f>_QA!H30</f>
        <v>Dar seguimiento: ver col. O (Estado)</v>
      </c>
    </row>
    <row r="45" spans="1:6" ht="14.25" hidden="1" customHeight="1" x14ac:dyDescent="0.3">
      <c r="A45" s="193" t="str">
        <f>_QA!A31</f>
        <v>M10</v>
      </c>
      <c r="B45" s="193" t="str">
        <f>_QA!C31</f>
        <v>Hallazgos Cerrados sin fecha de cierre</v>
      </c>
      <c r="C45" s="193">
        <f>_QA!E31</f>
        <v>15</v>
      </c>
      <c r="D45" s="193" t="str">
        <f>_QA!F31</f>
        <v>ERROR</v>
      </c>
      <c r="E45" s="193" t="str">
        <f>_QA!G31</f>
        <v>ERROR</v>
      </c>
      <c r="F45" s="193" t="str">
        <f>_QA!H31</f>
        <v>Completar col. S</v>
      </c>
    </row>
    <row r="46" spans="1:6" ht="14.25" hidden="1" customHeight="1" x14ac:dyDescent="0.3">
      <c r="A46" s="193" t="str">
        <f>_QA!A32</f>
        <v>F01</v>
      </c>
      <c r="B46" s="193" t="str">
        <f>_QA!C32</f>
        <v>Fecha de apertura no válida (no es fecha)</v>
      </c>
      <c r="C46" s="193">
        <f>_QA!E32</f>
        <v>0</v>
      </c>
      <c r="D46" s="193" t="str">
        <f>_QA!F32</f>
        <v>ERROR</v>
      </c>
      <c r="E46" s="193" t="str">
        <f>_QA!G32</f>
        <v>OK</v>
      </c>
      <c r="F46" s="193" t="str">
        <f>_QA!H32</f>
        <v>Corregir col. B</v>
      </c>
    </row>
    <row r="47" spans="1:6" ht="14.25" hidden="1" customHeight="1" x14ac:dyDescent="0.3">
      <c r="A47" s="193" t="str">
        <f>_QA!A33</f>
        <v>F02</v>
      </c>
      <c r="B47" s="193" t="str">
        <f>_QA!C33</f>
        <v>Fecha de apertura fuera del calendario del proyecto</v>
      </c>
      <c r="C47" s="193">
        <f>_QA!E33</f>
        <v>0</v>
      </c>
      <c r="D47" s="193" t="str">
        <f>_QA!F33</f>
        <v>ADVERTENCIA</v>
      </c>
      <c r="E47" s="193" t="str">
        <f>_QA!G33</f>
        <v>OK</v>
      </c>
      <c r="F47" s="193" t="str">
        <f>_QA!H33</f>
        <v>Revisar año/mes cargado</v>
      </c>
    </row>
    <row r="48" spans="1:6" ht="14.25" hidden="1" customHeight="1" x14ac:dyDescent="0.3">
      <c r="A48" s="193" t="str">
        <f>_QA!A34</f>
        <v>F03</v>
      </c>
      <c r="B48" s="193" t="str">
        <f>_QA!C34</f>
        <v>Fecha de cierre anterior a la de apertura</v>
      </c>
      <c r="C48" s="193">
        <f>_QA!E34</f>
        <v>2</v>
      </c>
      <c r="D48" s="193" t="str">
        <f>_QA!F34</f>
        <v>ERROR</v>
      </c>
      <c r="E48" s="193" t="str">
        <f>_QA!G34</f>
        <v>ERROR</v>
      </c>
      <c r="F48" s="193" t="str">
        <f>_QA!H34</f>
        <v>Corregir col. S</v>
      </c>
    </row>
    <row r="49" spans="1:6" ht="14.25" hidden="1" customHeight="1" x14ac:dyDescent="0.3">
      <c r="A49" s="193" t="str">
        <f>_QA!A35</f>
        <v>F04</v>
      </c>
      <c r="B49" s="193" t="str">
        <f>_QA!C35</f>
        <v>Fecha de cierre no válida (no es fecha)</v>
      </c>
      <c r="C49" s="193">
        <f>_QA!E35</f>
        <v>4</v>
      </c>
      <c r="D49" s="193" t="str">
        <f>_QA!F35</f>
        <v>ERROR</v>
      </c>
      <c r="E49" s="193" t="str">
        <f>_QA!G35</f>
        <v>ERROR</v>
      </c>
      <c r="F49" s="193" t="str">
        <f>_QA!H35</f>
        <v>Corregir col. S</v>
      </c>
    </row>
    <row r="50" spans="1:6" ht="14.25" hidden="1" customHeight="1" x14ac:dyDescent="0.3">
      <c r="A50" s="193" t="str">
        <f>_QA!A36</f>
        <v>F05</v>
      </c>
      <c r="B50" s="193" t="str">
        <f>_QA!C36</f>
        <v>Con fecha de cierre pero estado distinto de Cerrado</v>
      </c>
      <c r="C50" s="193">
        <f>_QA!E36</f>
        <v>0</v>
      </c>
      <c r="D50" s="193" t="str">
        <f>_QA!F36</f>
        <v>ADVERTENCIA</v>
      </c>
      <c r="E50" s="193" t="str">
        <f>_QA!G36</f>
        <v>OK</v>
      </c>
      <c r="F50" s="193" t="str">
        <f>_QA!H36</f>
        <v>Alinear estado y fecha</v>
      </c>
    </row>
    <row r="51" spans="1:6" ht="14.25" hidden="1" customHeight="1" x14ac:dyDescent="0.3">
      <c r="A51" s="193" t="str">
        <f>_QA!A37</f>
        <v>F06</v>
      </c>
      <c r="B51" s="193" t="str">
        <f>_QA!C37</f>
        <v>Hallazgos con más de 365 días para cerrar</v>
      </c>
      <c r="C51" s="193">
        <f>_QA!E37</f>
        <v>0</v>
      </c>
      <c r="D51" s="193" t="str">
        <f>_QA!F37</f>
        <v>ADVERTENCIA</v>
      </c>
      <c r="E51" s="193" t="str">
        <f>_QA!G37</f>
        <v>OK</v>
      </c>
      <c r="F51" s="193" t="str">
        <f>_QA!H37</f>
        <v>Verificar fechas</v>
      </c>
    </row>
    <row r="52" spans="1:6" ht="14.25" hidden="1" customHeight="1" x14ac:dyDescent="0.3">
      <c r="A52" s="193" t="str">
        <f>_QA!A38</f>
        <v>U01</v>
      </c>
      <c r="B52" s="193" t="str">
        <f>_QA!C38</f>
        <v>Unidades de Datos fuera del catálogo (pers, h, u, días, km)</v>
      </c>
      <c r="C52" s="193">
        <f>_QA!E38</f>
        <v>0</v>
      </c>
      <c r="D52" s="193" t="str">
        <f>_QA!F38</f>
        <v>ERROR</v>
      </c>
      <c r="E52" s="193" t="str">
        <f>_QA!G38</f>
        <v>OK</v>
      </c>
      <c r="F52" s="193" t="str">
        <f>_QA!H38</f>
        <v>No modificar la columna Unidad</v>
      </c>
    </row>
    <row r="53" spans="1:6" ht="14.25" hidden="1" customHeight="1" x14ac:dyDescent="0.3">
      <c r="A53" s="193" t="str">
        <f>_QA!A39</f>
        <v>U02</v>
      </c>
      <c r="B53" s="193" t="str">
        <f>_QA!C39</f>
        <v>Celdas de carga con texto en lugar de número</v>
      </c>
      <c r="C53" s="193">
        <f>_QA!E39</f>
        <v>0</v>
      </c>
      <c r="D53" s="193" t="str">
        <f>_QA!F39</f>
        <v>ERROR</v>
      </c>
      <c r="E53" s="193" t="str">
        <f>_QA!G39</f>
        <v>OK</v>
      </c>
      <c r="F53" s="193" t="str">
        <f>_QA!H39</f>
        <v>Cargar solo números</v>
      </c>
    </row>
    <row r="54" spans="1:6" ht="14.25" hidden="1" customHeight="1" x14ac:dyDescent="0.3">
      <c r="A54" s="193" t="str">
        <f>_QA!A40</f>
        <v>U03</v>
      </c>
      <c r="B54" s="193" t="str">
        <f>_QA!C40</f>
        <v>Valores negativos en celdas de carga</v>
      </c>
      <c r="C54" s="193">
        <f>_QA!E40</f>
        <v>0</v>
      </c>
      <c r="D54" s="193" t="str">
        <f>_QA!F40</f>
        <v>ERROR</v>
      </c>
      <c r="E54" s="193" t="str">
        <f>_QA!G40</f>
        <v>OK</v>
      </c>
      <c r="F54" s="193" t="str">
        <f>_QA!H40</f>
        <v>Corregir signo</v>
      </c>
    </row>
    <row r="55" spans="1:6" ht="14.25" hidden="1" customHeight="1" x14ac:dyDescent="0.3">
      <c r="A55" s="193" t="str">
        <f>_QA!A41</f>
        <v>U04</v>
      </c>
      <c r="B55" s="193" t="str">
        <f>_QA!C41</f>
        <v>Decimales en variables de conteo (unidad u / pers)</v>
      </c>
      <c r="C55" s="193">
        <f>_QA!E41</f>
        <v>0</v>
      </c>
      <c r="D55" s="193" t="str">
        <f>_QA!F41</f>
        <v>ADVERTENCIA</v>
      </c>
      <c r="E55" s="193" t="str">
        <f>_QA!G41</f>
        <v>OK</v>
      </c>
      <c r="F55" s="193" t="str">
        <f>_QA!H41</f>
        <v>Verificar cifras (dotación promedio puede ser decimal)</v>
      </c>
    </row>
    <row r="56" spans="1:6" ht="14.25" hidden="1" customHeight="1" x14ac:dyDescent="0.3">
      <c r="A56" s="193" t="str">
        <f>_QA!A42</f>
        <v>Z01</v>
      </c>
      <c r="B56" s="193" t="str">
        <f>_QA!C42</f>
        <v>Numerador &gt; 0 con denominador 0 (mes seleccionado, Monthly)</v>
      </c>
      <c r="C56" s="193">
        <f>_QA!E42</f>
        <v>1</v>
      </c>
      <c r="D56" s="193" t="str">
        <f>_QA!F42</f>
        <v>ERROR</v>
      </c>
      <c r="E56" s="193" t="str">
        <f>_QA!G42</f>
        <v>ERROR</v>
      </c>
      <c r="F56" s="193" t="str">
        <f>_QA!H42</f>
        <v>Cargar exposición (HHT, km o programados)</v>
      </c>
    </row>
    <row r="57" spans="1:6" ht="14.25" hidden="1" customHeight="1" x14ac:dyDescent="0.3">
      <c r="A57" s="193" t="str">
        <f>_QA!A43</f>
        <v>Z02</v>
      </c>
      <c r="B57" s="193" t="str">
        <f>_QA!C43</f>
        <v>KPIs Monthly con denominador 0 en el mes seleccionado</v>
      </c>
      <c r="C57" s="193">
        <f>_QA!E43</f>
        <v>8</v>
      </c>
      <c r="D57" s="193" t="str">
        <f>_QA!F43</f>
        <v>ADVERTENCIA</v>
      </c>
      <c r="E57" s="193" t="str">
        <f>_QA!G43</f>
        <v>ADVERTENCIA</v>
      </c>
      <c r="F57" s="193" t="str">
        <f>_QA!H43</f>
        <v>Ver Data_Status = MISSING en BD_KPIs</v>
      </c>
    </row>
    <row r="58" spans="1:6" ht="14.25" hidden="1" customHeight="1" x14ac:dyDescent="0.3">
      <c r="A58" s="193" t="str">
        <f>_QA!A44</f>
        <v>Z03</v>
      </c>
      <c r="B58" s="193" t="str">
        <f>_QA!C44</f>
        <v>KPIs YTD / Cumulative con denominador 0 en el mes seleccionado</v>
      </c>
      <c r="C58" s="193">
        <f>_QA!E44</f>
        <v>2</v>
      </c>
      <c r="D58" s="193" t="str">
        <f>_QA!F44</f>
        <v>ADVERTENCIA</v>
      </c>
      <c r="E58" s="193" t="str">
        <f>_QA!G44</f>
        <v>ADVERTENCIA</v>
      </c>
      <c r="F58" s="193" t="str">
        <f>_QA!H44</f>
        <v>Sin exposición acumulada</v>
      </c>
    </row>
    <row r="59" spans="1:6" ht="14.25" hidden="1" customHeight="1" x14ac:dyDescent="0.3">
      <c r="A59" s="193" t="str">
        <f>_QA!A45</f>
        <v>Z04</v>
      </c>
      <c r="B59" s="193" t="str">
        <f>_QA!C45</f>
        <v>YTD / Cumulative INCOMPLETE: meses de la ventana con numerador &gt; 0 y sin denominador (mes seleccionado)</v>
      </c>
      <c r="C59" s="193">
        <f>_QA!E45</f>
        <v>0</v>
      </c>
      <c r="D59" s="193" t="str">
        <f>_QA!F45</f>
        <v>ERROR</v>
      </c>
      <c r="E59" s="193" t="str">
        <f>_QA!G45</f>
        <v>OK</v>
      </c>
      <c r="F59" s="193" t="str">
        <f>_QA!H45</f>
        <v>Cargar la exposición (HHT, km o programados) del mes pasado que falta; el YTD/acumulado se muestra '-' hasta completarlo</v>
      </c>
    </row>
    <row r="60" spans="1:6" ht="14.25" hidden="1" customHeight="1" x14ac:dyDescent="0.3">
      <c r="A60" s="193" t="str">
        <f>_QA!A46</f>
        <v>H01</v>
      </c>
      <c r="B60" s="193" t="str">
        <f>_QA!C46</f>
        <v>Meses cerrados (_HIST_KPI) cuyo valor vivo difiere del snapshot vigente</v>
      </c>
      <c r="C60" s="193">
        <f>_QA!E46</f>
        <v>0</v>
      </c>
      <c r="D60" s="193" t="str">
        <f>_QA!F46</f>
        <v>ERROR</v>
      </c>
      <c r="E60" s="193" t="str">
        <f>_QA!G46</f>
        <v>OK</v>
      </c>
      <c r="F60" s="193" t="str">
        <f>_QA!H46</f>
        <v>Un mes cerrado cambió. Si la corrección es legítima: registrar un nuevo snapshot (Snapshot_Fecha posterior) con el motivo en Mes_Cerrado; si no, revertir el dato</v>
      </c>
    </row>
    <row r="61" spans="1:6" ht="14.25" hidden="1" customHeight="1" x14ac:dyDescent="0.3">
      <c r="A61" s="193" t="str">
        <f>_QA!A47</f>
        <v>H02</v>
      </c>
      <c r="B61" s="193" t="str">
        <f>_QA!C47</f>
        <v>Meses anteriores al de reporte con HHT cargadas y sin snapshot en _HIST_KPI</v>
      </c>
      <c r="C61" s="193">
        <f>_QA!E47</f>
        <v>2</v>
      </c>
      <c r="D61" s="193" t="str">
        <f>_QA!F47</f>
        <v>ADVERTENCIA</v>
      </c>
      <c r="E61" s="193" t="str">
        <f>_QA!G47</f>
        <v>ADVERTENCIA</v>
      </c>
      <c r="F61" s="193" t="str">
        <f>_QA!H47</f>
        <v>Cerrar el mes: pegar como valores el bloque de BD_KPIs en _HIST_KPI</v>
      </c>
    </row>
    <row r="62" spans="1:6" ht="14.25" hidden="1" customHeight="1" x14ac:dyDescent="0.3">
      <c r="A62" s="193" t="str">
        <f>_QA!A48</f>
        <v>B01</v>
      </c>
      <c r="B62" s="193" t="str">
        <f>_QA!C48</f>
        <v>Errores de fórmula en Datos</v>
      </c>
      <c r="C62" s="193">
        <f>_QA!E48</f>
        <v>0</v>
      </c>
      <c r="D62" s="193" t="str">
        <f>_QA!F48</f>
        <v>ERROR</v>
      </c>
      <c r="E62" s="193" t="str">
        <f>_QA!G48</f>
        <v>OK</v>
      </c>
      <c r="F62" s="193" t="str">
        <f>_QA!H48</f>
        <v>Localizar #REF!/#DIV/0!</v>
      </c>
    </row>
    <row r="63" spans="1:6" ht="14.25" hidden="1" customHeight="1" x14ac:dyDescent="0.3">
      <c r="A63" s="193" t="str">
        <f>_QA!A49</f>
        <v>B02</v>
      </c>
      <c r="B63" s="193" t="str">
        <f>_QA!C49</f>
        <v>Errores de fórmula en KPIs</v>
      </c>
      <c r="C63" s="193">
        <f>_QA!E49</f>
        <v>0</v>
      </c>
      <c r="D63" s="193" t="str">
        <f>_QA!F49</f>
        <v>ERROR</v>
      </c>
      <c r="E63" s="193" t="str">
        <f>_QA!G49</f>
        <v>OK</v>
      </c>
      <c r="F63" s="193" t="str">
        <f>_QA!H49</f>
        <v>Localizar #REF!/#DIV/0!</v>
      </c>
    </row>
    <row r="64" spans="1:6" ht="14.25" hidden="1" customHeight="1" x14ac:dyDescent="0.3">
      <c r="A64" s="193" t="str">
        <f>_QA!A50</f>
        <v>B03</v>
      </c>
      <c r="B64" s="193" t="str">
        <f>_QA!C50</f>
        <v>Errores de fórmula en BD_KPIs</v>
      </c>
      <c r="C64" s="193">
        <f>_QA!E50</f>
        <v>0</v>
      </c>
      <c r="D64" s="193" t="str">
        <f>_QA!F50</f>
        <v>ERROR</v>
      </c>
      <c r="E64" s="193" t="str">
        <f>_QA!G50</f>
        <v>OK</v>
      </c>
      <c r="F64" s="193" t="str">
        <f>_QA!H50</f>
        <v>Localizar #REF!/#DIV/0!</v>
      </c>
    </row>
    <row r="65" spans="1:6" ht="14.25" hidden="1" customHeight="1" x14ac:dyDescent="0.3">
      <c r="A65" s="193" t="str">
        <f>_QA!A51</f>
        <v>B04</v>
      </c>
      <c r="B65" s="193" t="str">
        <f>_QA!C51</f>
        <v>Errores de fórmula en BD_Datos</v>
      </c>
      <c r="C65" s="193">
        <f>_QA!E51</f>
        <v>0</v>
      </c>
      <c r="D65" s="193" t="str">
        <f>_QA!F51</f>
        <v>ERROR</v>
      </c>
      <c r="E65" s="193" t="str">
        <f>_QA!G51</f>
        <v>OK</v>
      </c>
      <c r="F65" s="193" t="str">
        <f>_QA!H51</f>
        <v>Localizar #REF!/#DIV/0!</v>
      </c>
    </row>
    <row r="66" spans="1:6" ht="14.25" hidden="1" customHeight="1" x14ac:dyDescent="0.3">
      <c r="A66" s="193" t="str">
        <f>_QA!A52</f>
        <v>B05</v>
      </c>
      <c r="B66" s="193" t="str">
        <f>_QA!C52</f>
        <v>Errores de fórmula en _FIND_DS y _HLP_PPT</v>
      </c>
      <c r="C66" s="193">
        <f>_QA!E52</f>
        <v>0</v>
      </c>
      <c r="D66" s="193" t="str">
        <f>_QA!F52</f>
        <v>ERROR</v>
      </c>
      <c r="E66" s="193" t="str">
        <f>_QA!G52</f>
        <v>OK</v>
      </c>
      <c r="F66" s="193" t="str">
        <f>_QA!H52</f>
        <v>Localizar errores</v>
      </c>
    </row>
    <row r="67" spans="1:6" ht="14.25" hidden="1" customHeight="1" x14ac:dyDescent="0.3">
      <c r="A67" s="193" t="str">
        <f>_QA!A53</f>
        <v>B06</v>
      </c>
      <c r="B67" s="193" t="str">
        <f>_QA!C53</f>
        <v>Recálculo independiente (Numerador ÷ Denominador × Factor) distinto del KPI publicado</v>
      </c>
      <c r="C67" s="193">
        <f>_QA!E53</f>
        <v>0</v>
      </c>
      <c r="D67" s="193" t="str">
        <f>_QA!F53</f>
        <v>ERROR</v>
      </c>
      <c r="E67" s="193" t="str">
        <f>_QA!G53</f>
        <v>OK</v>
      </c>
      <c r="F67" s="193" t="str">
        <f>_QA!H53</f>
        <v>Comparar KPIs vs. BD_KPIs cols. K:T</v>
      </c>
    </row>
    <row r="68" spans="1:6" ht="14.25" hidden="1" customHeight="1" x14ac:dyDescent="0.3">
      <c r="A68" s="193" t="str">
        <f>_QA!A54</f>
        <v>S01</v>
      </c>
      <c r="B68" s="193" t="str">
        <f>_QA!C54</f>
        <v>Observaciones de la planilla Observaciones-SMP (Datos fila 77) distintas de los registros de la hoja Observaciones-SMP</v>
      </c>
      <c r="C68" s="193">
        <f>_QA!E54</f>
        <v>0</v>
      </c>
      <c r="D68" s="193" t="str">
        <f>_QA!F54</f>
        <v>ERROR</v>
      </c>
      <c r="E68" s="193" t="str">
        <f>_QA!G54</f>
        <v>OK</v>
      </c>
      <c r="F68" s="193" t="str">
        <f>_QA!H54</f>
        <v>Descuadre entre fuentes</v>
      </c>
    </row>
    <row r="69" spans="1:6" ht="14.25" hidden="1" customHeight="1" x14ac:dyDescent="0.3">
      <c r="A69" s="193" t="str">
        <f>_QA!A55</f>
        <v>S02</v>
      </c>
      <c r="B69" s="193" t="str">
        <f>_QA!C55</f>
        <v>Hallazgos de alto potencial fuera del calendario de Datos (no se reflejan en Datos fila 78)</v>
      </c>
      <c r="C69" s="193">
        <f>_QA!E55</f>
        <v>0</v>
      </c>
      <c r="D69" s="193" t="str">
        <f>_QA!F55</f>
        <v>ERROR</v>
      </c>
      <c r="E69" s="193" t="str">
        <f>_QA!G55</f>
        <v>OK</v>
      </c>
      <c r="F69" s="193" t="str">
        <f>_QA!H55</f>
        <v>Revisar fechas de apertura de los hallazgos de alto potencial</v>
      </c>
    </row>
    <row r="70" spans="1:6" ht="14.25" hidden="1" customHeight="1" x14ac:dyDescent="0.3">
      <c r="A70" s="193" t="str">
        <f>_QA!A56</f>
        <v>S03</v>
      </c>
      <c r="B70" s="193" t="str">
        <f>_QA!C56</f>
        <v>Encabezado de frente en Datos distinto de Compresora</v>
      </c>
      <c r="C70" s="193">
        <f>_QA!E56</f>
        <v>0</v>
      </c>
      <c r="D70" s="193" t="str">
        <f>_QA!F56</f>
        <v>ERROR</v>
      </c>
      <c r="E70" s="193" t="str">
        <f>_QA!G56</f>
        <v>OK</v>
      </c>
      <c r="F70" s="193" t="str">
        <f>_QA!H56</f>
        <v>Este archivo es solo Planta</v>
      </c>
    </row>
    <row r="71" spans="1:6" ht="14.25" hidden="1" customHeight="1" x14ac:dyDescent="0.3">
      <c r="A71" s="193" t="str">
        <f>_QA!A57</f>
        <v>S04</v>
      </c>
      <c r="B71" s="193" t="str">
        <f>_QA!C57</f>
        <v>Contratistas de Hallazgos fuera del catálogo Listas</v>
      </c>
      <c r="C71" s="193">
        <f>_QA!E57</f>
        <v>1</v>
      </c>
      <c r="D71" s="193" t="str">
        <f>_QA!F57</f>
        <v>ADVERTENCIA</v>
      </c>
      <c r="E71" s="193" t="str">
        <f>_QA!G57</f>
        <v>ADVERTENCIA</v>
      </c>
      <c r="F71" s="193" t="str">
        <f>_QA!H57</f>
        <v>Agregar a Listas o corregir</v>
      </c>
    </row>
    <row r="72" spans="1:6" ht="14.25" hidden="1" customHeight="1" x14ac:dyDescent="0.3">
      <c r="A72" s="193" t="str">
        <f>_QA!A58</f>
        <v>S05</v>
      </c>
      <c r="B72" s="193" t="str">
        <f>_QA!C58</f>
        <v>Zonas RAW de OPS y Full Control GPS sin datos (estructura de export pendiente)</v>
      </c>
      <c r="C72" s="193">
        <f>_QA!E58</f>
        <v>1</v>
      </c>
      <c r="D72" s="193" t="str">
        <f>_QA!F58</f>
        <v>INFO</v>
      </c>
      <c r="E72" s="193" t="str">
        <f>_QA!G58</f>
        <v>INFO</v>
      </c>
      <c r="F72" s="193" t="str">
        <f>_QA!H58</f>
        <v>Pegar export real cuando exista formato definido</v>
      </c>
    </row>
    <row r="73" spans="1:6" ht="14.25" hidden="1" customHeight="1" x14ac:dyDescent="0.3">
      <c r="A73" s="193" t="str">
        <f>_QA!A59</f>
        <v>T01</v>
      </c>
      <c r="B73" s="193" t="str">
        <f>_QA!C59</f>
        <v>KPIs sin meta definida</v>
      </c>
      <c r="C73" s="193">
        <f>_QA!E59</f>
        <v>0</v>
      </c>
      <c r="D73" s="193" t="str">
        <f>_QA!F59</f>
        <v>ADVERTENCIA</v>
      </c>
      <c r="E73" s="193" t="str">
        <f>_QA!G59</f>
        <v>OK</v>
      </c>
      <c r="F73" s="193" t="str">
        <f>_QA!H59</f>
        <v>Definir meta</v>
      </c>
    </row>
    <row r="74" spans="1:6" ht="14.25" hidden="1" customHeight="1" x14ac:dyDescent="0.3">
      <c r="A74" s="193" t="str">
        <f>_QA!A60</f>
        <v>T02</v>
      </c>
      <c r="B74" s="193" t="str">
        <f>_QA!C60</f>
        <v>Metas sin fuente y vigencia confirmadas</v>
      </c>
      <c r="C74" s="193">
        <f>_QA!E60</f>
        <v>16</v>
      </c>
      <c r="D74" s="193" t="str">
        <f>_QA!F60</f>
        <v>INFO</v>
      </c>
      <c r="E74" s="193" t="str">
        <f>_QA!G60</f>
        <v>INFO</v>
      </c>
      <c r="F74" s="193" t="str">
        <f>_QA!H60</f>
        <v>Confirmar fuente y vigencia de cada meta</v>
      </c>
    </row>
    <row r="75" spans="1:6" ht="14.25" hidden="1" customHeight="1" x14ac:dyDescent="0.3">
      <c r="A75" s="193" t="str">
        <f>_QA!A61</f>
        <v>T03</v>
      </c>
      <c r="B75" s="193" t="str">
        <f>_QA!C61</f>
        <v>KPIs Monthly del mes con meta 'Definida' pero sin valor numérico</v>
      </c>
      <c r="C75" s="193">
        <f>_QA!E61</f>
        <v>0</v>
      </c>
      <c r="D75" s="193" t="str">
        <f>_QA!F61</f>
        <v>ERROR</v>
      </c>
      <c r="E75" s="193" t="str">
        <f>_QA!G61</f>
        <v>OK</v>
      </c>
      <c r="F75" s="193" t="str">
        <f>_QA!H61</f>
        <v>Revisar _TARGETS</v>
      </c>
    </row>
    <row r="76" spans="1:6" ht="14.25" hidden="1" customHeight="1" x14ac:dyDescent="0.3">
      <c r="A76" s="193" t="str">
        <f>_QA!A62</f>
        <v>T04</v>
      </c>
      <c r="B76" s="193" t="str">
        <f>_QA!C62</f>
        <v>KPIs Monthly del mes con meta pero sin sentido (≤/≥)</v>
      </c>
      <c r="C76" s="193">
        <f>_QA!E62</f>
        <v>0</v>
      </c>
      <c r="D76" s="193" t="str">
        <f>_QA!F62</f>
        <v>ERROR</v>
      </c>
      <c r="E76" s="193" t="str">
        <f>_QA!G62</f>
        <v>OK</v>
      </c>
      <c r="F76" s="193" t="str">
        <f>_QA!H62</f>
        <v>Revisar _TARGETS col. E</v>
      </c>
    </row>
    <row r="77" spans="1:6" ht="14.25" hidden="1" customHeight="1" x14ac:dyDescent="0.3">
      <c r="A77" s="193" t="str">
        <f>_QA!A63</f>
        <v>X01</v>
      </c>
      <c r="B77" s="193" t="str">
        <f>_QA!C63</f>
        <v>Cumplimiento o proporción mayor a 100% (mes seleccionado)</v>
      </c>
      <c r="C77" s="193">
        <f>_QA!E63</f>
        <v>0</v>
      </c>
      <c r="D77" s="193" t="str">
        <f>_QA!F63</f>
        <v>ADVERTENCIA</v>
      </c>
      <c r="E77" s="193" t="str">
        <f>_QA!G63</f>
        <v>OK</v>
      </c>
      <c r="F77" s="193" t="str">
        <f>_QA!H63</f>
        <v>Realizado mayor que programado o error de carga</v>
      </c>
    </row>
    <row r="78" spans="1:6" ht="14.25" hidden="1" customHeight="1" x14ac:dyDescent="0.3">
      <c r="A78" s="193" t="str">
        <f>_QA!A64</f>
        <v>X02</v>
      </c>
      <c r="B78" s="193" t="str">
        <f>_QA!C64</f>
        <v>KPIs con valor negativo</v>
      </c>
      <c r="C78" s="193">
        <f>_QA!E64</f>
        <v>0</v>
      </c>
      <c r="D78" s="193" t="str">
        <f>_QA!F64</f>
        <v>ERROR</v>
      </c>
      <c r="E78" s="193" t="str">
        <f>_QA!G64</f>
        <v>OK</v>
      </c>
      <c r="F78" s="193" t="str">
        <f>_QA!H64</f>
        <v>Revisar cargas</v>
      </c>
    </row>
    <row r="79" spans="1:6" ht="14.25" hidden="1" customHeight="1" x14ac:dyDescent="0.3">
      <c r="A79" s="193" t="str">
        <f>_QA!A65</f>
        <v>X03</v>
      </c>
      <c r="B79" s="193" t="str">
        <f>_QA!C65</f>
        <v>HH por persona en el mes por encima del máximo (C4)</v>
      </c>
      <c r="C79" s="193">
        <f>_QA!E65</f>
        <v>0</v>
      </c>
      <c r="D79" s="193" t="str">
        <f>_QA!F65</f>
        <v>ADVERTENCIA</v>
      </c>
      <c r="E79" s="193" t="str">
        <f>_QA!G65</f>
        <v>OK</v>
      </c>
      <c r="F79" s="193" t="str">
        <f>_QA!H65</f>
        <v>Verificar HHT o dotación</v>
      </c>
    </row>
    <row r="80" spans="1:6" ht="14.25" hidden="1" customHeight="1" x14ac:dyDescent="0.3">
      <c r="A80" s="193" t="str">
        <f>_QA!A66</f>
        <v>X04</v>
      </c>
      <c r="B80" s="193" t="str">
        <f>_QA!C66</f>
        <v>HH de formación mayores que HH trabajadas</v>
      </c>
      <c r="C80" s="193">
        <f>_QA!E66</f>
        <v>0</v>
      </c>
      <c r="D80" s="193" t="str">
        <f>_QA!F66</f>
        <v>ERROR</v>
      </c>
      <c r="E80" s="193" t="str">
        <f>_QA!G66</f>
        <v>OK</v>
      </c>
      <c r="F80" s="193" t="str">
        <f>_QA!H66</f>
        <v>Verificar HHS y HHT</v>
      </c>
    </row>
    <row r="81" spans="1:6" ht="14.25" hidden="1" customHeight="1" x14ac:dyDescent="0.3">
      <c r="A81" s="193" t="str">
        <f>_QA!A67</f>
        <v>X05</v>
      </c>
      <c r="B81" s="193" t="str">
        <f>_QA!C67</f>
        <v>Fatalidades registradas en el mes seleccionado</v>
      </c>
      <c r="C81" s="193">
        <f>_QA!E67</f>
        <v>0</v>
      </c>
      <c r="D81" s="193" t="str">
        <f>_QA!F67</f>
        <v>ADVERTENCIA</v>
      </c>
      <c r="E81" s="193" t="str">
        <f>_QA!G67</f>
        <v>OK</v>
      </c>
      <c r="F81" s="193" t="str">
        <f>_QA!H67</f>
        <v>Evento crítico: verificar y escalar</v>
      </c>
    </row>
    <row r="82" spans="1:6" ht="14.25" hidden="1" customHeight="1" x14ac:dyDescent="0.3">
      <c r="A82" s="193" t="str">
        <f>_QA!A68</f>
        <v>X06</v>
      </c>
      <c r="B82" s="193" t="str">
        <f>_QA!C68</f>
        <v>Días de investigación cargados sin investigaciones cerradas</v>
      </c>
      <c r="C82" s="193">
        <f>_QA!E68</f>
        <v>0</v>
      </c>
      <c r="D82" s="193" t="str">
        <f>_QA!F68</f>
        <v>ERROR</v>
      </c>
      <c r="E82" s="193" t="str">
        <f>_QA!G68</f>
        <v>OK</v>
      </c>
      <c r="F82" s="193" t="str">
        <f>_QA!H68</f>
        <v>Verificar carga</v>
      </c>
    </row>
    <row r="83" spans="1:6" ht="14.25" hidden="1" customHeight="1" x14ac:dyDescent="0.3">
      <c r="A83" s="193" t="str">
        <f>_QA!A69</f>
        <v>X07</v>
      </c>
      <c r="B83" s="193" t="str">
        <f>_QA!C69</f>
        <v>Hallazgos cerrados en el mes mayores que los detectados acumulados</v>
      </c>
      <c r="C83" s="193">
        <f>_QA!E69</f>
        <v>0</v>
      </c>
      <c r="D83" s="193" t="str">
        <f>_QA!F69</f>
        <v>ERROR</v>
      </c>
      <c r="E83" s="193" t="str">
        <f>_QA!G69</f>
        <v>OK</v>
      </c>
      <c r="F83" s="193" t="str">
        <f>_QA!H69</f>
        <v>Verificar fechas de cierre</v>
      </c>
    </row>
    <row r="84" spans="1:6" ht="14.25" hidden="1" customHeight="1" x14ac:dyDescent="0.3">
      <c r="A84" s="193" t="str">
        <f>_QA!A70</f>
        <v>X08</v>
      </c>
      <c r="B84" s="193" t="str">
        <f>_QA!C70</f>
        <v>Umbral de baja exposición (HHT) no definido en C5</v>
      </c>
      <c r="C84" s="193">
        <f>_QA!E70</f>
        <v>1</v>
      </c>
      <c r="D84" s="193" t="str">
        <f>_QA!F70</f>
        <v>INFO</v>
      </c>
      <c r="E84" s="193" t="str">
        <f>_QA!G70</f>
        <v>INFO</v>
      </c>
      <c r="F84" s="193" t="str">
        <f>_QA!H70</f>
        <v>Definir umbral con el área</v>
      </c>
    </row>
    <row r="85" spans="1:6" ht="14.25" hidden="1" customHeight="1" x14ac:dyDescent="0.3">
      <c r="A85" s="193" t="str">
        <f>_QA!A71</f>
        <v>X09</v>
      </c>
      <c r="B85" s="193" t="str">
        <f>_QA!C71</f>
        <v>HHT del mes por debajo del umbral de baja exposición (C5)</v>
      </c>
      <c r="C85" s="193">
        <f>_QA!E71</f>
        <v>0</v>
      </c>
      <c r="D85" s="193" t="str">
        <f>_QA!F71</f>
        <v>ADVERTENCIA</v>
      </c>
      <c r="E85" s="193" t="str">
        <f>_QA!G71</f>
        <v>OK</v>
      </c>
      <c r="F85" s="193" t="str">
        <f>_QA!H71</f>
        <v>Interpretar tasas con cautela</v>
      </c>
    </row>
    <row r="86" spans="1:6" ht="14.25" hidden="1" customHeight="1" x14ac:dyDescent="0.3">
      <c r="A86" s="193" t="str">
        <f>_QA!A72</f>
        <v>R01</v>
      </c>
      <c r="B86" s="193" t="str">
        <f>_QA!C72</f>
        <v>_RPT_CARDS distinto de BD_KPIs en el mes de reporte (Monthly, YTD, Cumulative; diferencia permitida 0)</v>
      </c>
      <c r="C86" s="193">
        <f>_QA!E72</f>
        <v>0</v>
      </c>
      <c r="D86" s="193" t="str">
        <f>_QA!F72</f>
        <v>ERROR</v>
      </c>
      <c r="E86" s="193" t="str">
        <f>_QA!G72</f>
        <v>OK</v>
      </c>
      <c r="F86" s="193" t="str">
        <f>_QA!H72</f>
        <v>Revisar fórmulas de _RPT_CARDS</v>
      </c>
    </row>
    <row r="87" spans="1:6" ht="14.25" hidden="1" customHeight="1" x14ac:dyDescent="0.3">
      <c r="A87" s="193" t="str">
        <f>_QA!A73</f>
        <v>R02</v>
      </c>
      <c r="B87" s="193" t="str">
        <f>_QA!C73</f>
        <v>_RPT_CHART distinto de BD_KPIs en series KPI Monthly / YTD (tolerancia 0,000001)</v>
      </c>
      <c r="C87" s="193">
        <f>_QA!E73</f>
        <v>0</v>
      </c>
      <c r="D87" s="193" t="str">
        <f>_QA!F73</f>
        <v>ERROR</v>
      </c>
      <c r="E87" s="193" t="str">
        <f>_QA!G73</f>
        <v>OK</v>
      </c>
      <c r="F87" s="193" t="str">
        <f>_QA!H73</f>
        <v>Revisar fórmulas de _RPT_CHART</v>
      </c>
    </row>
    <row r="88" spans="1:6" ht="14.25" hidden="1" customHeight="1" x14ac:dyDescent="0.3">
      <c r="A88" s="193" t="str">
        <f>_QA!A74</f>
        <v>R03</v>
      </c>
      <c r="B88" s="193" t="str">
        <f>_QA!C74</f>
        <v>_RPT_PPT distinto de _RPT_CARDS en valor mensual o YTD (diferencia permitida 0)</v>
      </c>
      <c r="C88" s="193">
        <f>_QA!E74</f>
        <v>0</v>
      </c>
      <c r="D88" s="193" t="str">
        <f>_QA!F74</f>
        <v>ERROR</v>
      </c>
      <c r="E88" s="193" t="str">
        <f>_QA!G74</f>
        <v>OK</v>
      </c>
      <c r="F88" s="193" t="str">
        <f>_QA!H74</f>
        <v>Revisar fórmulas de _RPT_PPT</v>
      </c>
    </row>
    <row r="89" spans="1:6" ht="14.25" hidden="1" customHeight="1" x14ac:dyDescent="0.3">
      <c r="A89" s="193" t="str">
        <f>_QA!A75</f>
        <v>R04</v>
      </c>
      <c r="B89" s="193" t="str">
        <f>_QA!C75</f>
        <v>Scope de reporting distinto de Compressor Plant</v>
      </c>
      <c r="C89" s="193">
        <f>_QA!E75</f>
        <v>0</v>
      </c>
      <c r="D89" s="193" t="str">
        <f>_QA!F75</f>
        <v>ERROR</v>
      </c>
      <c r="E89" s="193" t="str">
        <f>_QA!G75</f>
        <v>OK</v>
      </c>
      <c r="F89" s="193" t="str">
        <f>_QA!H75</f>
        <v>Revisar _RPT_META columna S y Datos fila 4</v>
      </c>
    </row>
    <row r="90" spans="1:6" ht="14.25" hidden="1" customHeight="1" x14ac:dyDescent="0.3">
      <c r="A90" s="193" t="str">
        <f>_QA!A76</f>
        <v>R05</v>
      </c>
      <c r="B90" s="193" t="str">
        <f>_QA!C76</f>
        <v>Km de CH14 distinto de Datos fila 46, o mes con km cargados sin punto (diferencia permitida 0)</v>
      </c>
      <c r="C90" s="193">
        <f>_QA!E76</f>
        <v>0</v>
      </c>
      <c r="D90" s="193" t="str">
        <f>_QA!F76</f>
        <v>ERROR</v>
      </c>
      <c r="E90" s="193" t="str">
        <f>_QA!G76</f>
        <v>OK</v>
      </c>
      <c r="F90" s="193" t="str">
        <f>_QA!H76</f>
        <v>Revisar fórmulas de CH14 en _RPT_CHART y Datos filas 43-46</v>
      </c>
    </row>
    <row r="91" spans="1:6" ht="14.25" hidden="1" customHeight="1" x14ac:dyDescent="0.3">
      <c r="A91" s="193" t="str">
        <f>_QA!A77</f>
        <v>R06</v>
      </c>
      <c r="B91" s="193" t="str">
        <f>_QA!C77</f>
        <v>Chart_ID con validación de especificación en REVIEW (título, pregunta, tipo, series, período, meta, unidad, fuente, estado, faltantes)</v>
      </c>
      <c r="C91" s="193">
        <f>_QA!E77</f>
        <v>0</v>
      </c>
      <c r="D91" s="193" t="str">
        <f>_QA!F77</f>
        <v>ERROR</v>
      </c>
      <c r="E91" s="193" t="str">
        <f>_QA!G77</f>
        <v>OK</v>
      </c>
      <c r="F91" s="193" t="str">
        <f>_QA!H77</f>
        <v>Ver columnas Chk_* de _RPT_SPEC_CHART</v>
      </c>
    </row>
    <row r="92" spans="1:6" ht="14.25" hidden="1" customHeight="1" x14ac:dyDescent="0.3">
      <c r="A92" s="193" t="str">
        <f>_QA!A78</f>
        <v>R07</v>
      </c>
      <c r="B92" s="193" t="str">
        <f>_QA!C78</f>
        <v>Chart_ID presente en solo uno de _RPT_SPEC_CHART / _RPT_CHART</v>
      </c>
      <c r="C92" s="193">
        <f>_QA!E78</f>
        <v>0</v>
      </c>
      <c r="D92" s="193" t="str">
        <f>_QA!F78</f>
        <v>ERROR</v>
      </c>
      <c r="E92" s="193" t="str">
        <f>_QA!G78</f>
        <v>OK</v>
      </c>
      <c r="F92" s="193" t="str">
        <f>_QA!H78</f>
        <v>Alinear Chart_ID entre ambas hojas</v>
      </c>
    </row>
    <row r="93" spans="1:6" ht="14.25" hidden="1" customHeight="1" x14ac:dyDescent="0.3">
      <c r="A93" s="193" t="str">
        <f>_QA!A79</f>
        <v>R08</v>
      </c>
      <c r="B93" s="193" t="str">
        <f>_QA!C79</f>
        <v>Chart_Status incoherente con Points_OK / Points_Total</v>
      </c>
      <c r="C93" s="193">
        <f>_QA!E79</f>
        <v>0</v>
      </c>
      <c r="D93" s="193" t="str">
        <f>_QA!F79</f>
        <v>ERROR</v>
      </c>
      <c r="E93" s="193" t="str">
        <f>_QA!G79</f>
        <v>OK</v>
      </c>
      <c r="F93" s="193" t="str">
        <f>_QA!H79</f>
        <v>Revisar columnas N, O y P de _RPT_SPEC_CHART</v>
      </c>
    </row>
    <row r="94" spans="1:6" ht="14.25" hidden="1" customHeight="1" x14ac:dyDescent="0.3">
      <c r="A94" s="193" t="str">
        <f>_QA!A80</f>
        <v>G01</v>
      </c>
      <c r="B94" s="193" t="str">
        <f>_QA!C80</f>
        <v>Meses con accidentes con lesión (Datos filas 32 a 35: días perdidos, trabajo restringido, tratamiento médico, fatalidades) sin cantidad de accidentes reportados a la ART (Datos fila 60) o sin N° de caso ART (Datos fila 61)</v>
      </c>
      <c r="C94" s="193">
        <f>_QA!E80</f>
        <v>0</v>
      </c>
      <c r="D94" s="193" t="str">
        <f>_QA!F80</f>
        <v>ADVERTENCIA</v>
      </c>
      <c r="E94" s="193" t="str">
        <f>_QA!G80</f>
        <v>OK</v>
      </c>
      <c r="F94" s="193" t="str">
        <f>_QA!H80</f>
        <v>Completar en Datos fila 60 la cantidad de accidentes reportados a la ART (0 si ninguno) y en la fila 61 los N° de caso</v>
      </c>
    </row>
    <row r="95" spans="1:6" ht="14.25" hidden="1" customHeight="1" x14ac:dyDescent="0.3">
      <c r="A95" s="193" t="str">
        <f>_QA!A81</f>
        <v>G02</v>
      </c>
      <c r="B95" s="193" t="str">
        <f>_QA!C81</f>
        <v>Fotos del mes seleccionado sin descripción (pestaña Fotos del mes: 2 por mes)</v>
      </c>
      <c r="C95" s="193">
        <f ca="1">_QA!E81</f>
        <v>2</v>
      </c>
      <c r="D95" s="193" t="str">
        <f>_QA!F81</f>
        <v>ADVERTENCIA</v>
      </c>
      <c r="E95" s="193" t="str">
        <f ca="1">_QA!G81</f>
        <v>ADVERTENCIA</v>
      </c>
      <c r="F95" s="193" t="str">
        <f>_QA!H81</f>
        <v>Completar la descripción bajo cada foto en la pestaña Fotos del mes seleccionado</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C7">
    <cfRule type="expression" dxfId="271" priority="9">
      <formula>$C$7&gt;0</formula>
    </cfRule>
    <cfRule type="expression" dxfId="270" priority="10">
      <formula>$C$7=0</formula>
    </cfRule>
  </conditionalFormatting>
  <conditionalFormatting sqref="C8">
    <cfRule type="expression" dxfId="269" priority="11">
      <formula>$C$8&gt;0</formula>
    </cfRule>
  </conditionalFormatting>
  <conditionalFormatting sqref="C10:F10">
    <cfRule type="expression" dxfId="268" priority="6">
      <formula>LEFT($C$10,4)="ROJO"</formula>
    </cfRule>
    <cfRule type="expression" dxfId="267" priority="7">
      <formula>LEFT($C$10,8)="AMARILLO"</formula>
    </cfRule>
    <cfRule type="expression" dxfId="266" priority="8">
      <formula>LEFT($C$10,5)="VERDE"</formula>
    </cfRule>
  </conditionalFormatting>
  <conditionalFormatting sqref="E23:E95">
    <cfRule type="cellIs" dxfId="265" priority="2" operator="equal">
      <formula>"ERROR"</formula>
    </cfRule>
    <cfRule type="cellIs" dxfId="264" priority="3" operator="equal">
      <formula>"ADVERTENCIA"</formula>
    </cfRule>
    <cfRule type="cellIs" dxfId="263" priority="4" operator="equal">
      <formula>"OK"</formula>
    </cfRule>
    <cfRule type="cellIs" dxfId="262"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000-000000000000}">
          <x14:formula1>
            <xm:f>Datos!$D$3:$AL$3</xm:f>
          </x14:formula1>
          <x14:formula2>
            <xm:f>0</xm:f>
          </x14:formula2>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2FAB-DA50-4EAA-B491-B9F4928F0549}">
  <dimension ref="A1:P19"/>
  <sheetViews>
    <sheetView workbookViewId="0"/>
  </sheetViews>
  <sheetFormatPr baseColWidth="10" defaultColWidth="11.5546875" defaultRowHeight="14.4" x14ac:dyDescent="0.3"/>
  <cols>
    <col min="1" max="1" width="16.44140625" style="108" customWidth="1"/>
    <col min="2" max="2" width="54" style="108" customWidth="1"/>
    <col min="3" max="3" width="51.6640625" style="108" customWidth="1"/>
    <col min="4" max="4" width="21.109375" style="108" customWidth="1"/>
    <col min="5" max="5" width="9.33203125" style="108" customWidth="1"/>
    <col min="6" max="6" width="25.77734375" style="108" customWidth="1"/>
    <col min="7" max="7" width="14.109375" style="108" customWidth="1"/>
    <col min="8" max="8" width="35.21875" style="108" customWidth="1"/>
    <col min="9" max="9" width="28.21875" style="108" customWidth="1"/>
    <col min="10" max="10" width="14.109375" style="108" customWidth="1"/>
    <col min="11" max="12" width="51.6640625" style="108" customWidth="1"/>
    <col min="13" max="14" width="14.109375" style="108" customWidth="1"/>
    <col min="15" max="15" width="25.77734375" style="108" customWidth="1"/>
    <col min="16" max="16" width="14.109375" style="108" customWidth="1"/>
  </cols>
  <sheetData>
    <row r="1" spans="1:16" ht="13.5" customHeight="1" x14ac:dyDescent="0.3">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row>
    <row r="2" spans="1:16" ht="13.5" customHeight="1" x14ac:dyDescent="0.3">
      <c r="A2" t="s">
        <v>39</v>
      </c>
      <c r="B2" s="193" t="str">
        <f>KPIs!$A$6</f>
        <v>1 · Frecuencia de casos con días perdidos</v>
      </c>
      <c r="C2" t="s">
        <v>40</v>
      </c>
      <c r="D2" t="s">
        <v>41</v>
      </c>
      <c r="E2" t="s">
        <v>42</v>
      </c>
      <c r="F2">
        <v>0</v>
      </c>
      <c r="G2">
        <v>0</v>
      </c>
      <c r="H2" t="s">
        <v>43</v>
      </c>
      <c r="I2" t="s">
        <v>44</v>
      </c>
      <c r="J2">
        <v>1000000</v>
      </c>
      <c r="K2" t="s">
        <v>45</v>
      </c>
      <c r="L2" t="s">
        <v>46</v>
      </c>
      <c r="O2" t="s">
        <v>47</v>
      </c>
      <c r="P2" t="s">
        <v>48</v>
      </c>
    </row>
    <row r="3" spans="1:16" ht="13.5" customHeight="1" x14ac:dyDescent="0.3">
      <c r="A3" t="s">
        <v>49</v>
      </c>
      <c r="B3" s="193" t="str">
        <f>KPIs!$A$7</f>
        <v>2 · Frecuencia de casos registrables</v>
      </c>
      <c r="C3" t="s">
        <v>50</v>
      </c>
      <c r="D3" t="s">
        <v>41</v>
      </c>
      <c r="E3" t="s">
        <v>42</v>
      </c>
      <c r="F3">
        <v>2.35</v>
      </c>
      <c r="G3">
        <v>2.35</v>
      </c>
      <c r="H3" t="s">
        <v>43</v>
      </c>
      <c r="I3" t="s">
        <v>44</v>
      </c>
      <c r="J3">
        <v>1000000</v>
      </c>
      <c r="K3" t="s">
        <v>45</v>
      </c>
      <c r="L3" t="s">
        <v>46</v>
      </c>
      <c r="O3" t="s">
        <v>47</v>
      </c>
      <c r="P3" t="s">
        <v>48</v>
      </c>
    </row>
    <row r="4" spans="1:16" ht="13.5" customHeight="1" x14ac:dyDescent="0.3">
      <c r="A4" t="s">
        <v>51</v>
      </c>
      <c r="B4" s="193" t="str">
        <f>KPIs!$A$8</f>
        <v>3 · Casos de primeros auxilios</v>
      </c>
      <c r="C4" t="s">
        <v>52</v>
      </c>
      <c r="D4" t="s">
        <v>53</v>
      </c>
      <c r="F4" t="s">
        <v>54</v>
      </c>
      <c r="H4" t="s">
        <v>55</v>
      </c>
      <c r="I4" t="s">
        <v>44</v>
      </c>
      <c r="J4">
        <v>1</v>
      </c>
      <c r="K4" t="s">
        <v>45</v>
      </c>
      <c r="L4" t="s">
        <v>46</v>
      </c>
      <c r="O4" t="s">
        <v>47</v>
      </c>
      <c r="P4" t="s">
        <v>56</v>
      </c>
    </row>
    <row r="5" spans="1:16" ht="13.5" customHeight="1" x14ac:dyDescent="0.3">
      <c r="A5" t="s">
        <v>57</v>
      </c>
      <c r="B5" s="193" t="str">
        <f>KPIs!$A$10</f>
        <v>4 · Accidentes vehiculares severos por millón de km</v>
      </c>
      <c r="C5" t="s">
        <v>58</v>
      </c>
      <c r="D5" t="s">
        <v>59</v>
      </c>
      <c r="F5" t="s">
        <v>54</v>
      </c>
      <c r="H5" t="s">
        <v>55</v>
      </c>
      <c r="I5" t="s">
        <v>44</v>
      </c>
      <c r="J5">
        <v>1000000</v>
      </c>
      <c r="K5" t="s">
        <v>60</v>
      </c>
      <c r="L5" t="s">
        <v>46</v>
      </c>
      <c r="O5" t="s">
        <v>47</v>
      </c>
      <c r="P5" t="s">
        <v>48</v>
      </c>
    </row>
    <row r="6" spans="1:16" ht="13.5" customHeight="1" x14ac:dyDescent="0.3">
      <c r="A6" t="s">
        <v>61</v>
      </c>
      <c r="B6" s="193" t="str">
        <f>KPIs!$A$11</f>
        <v>5 · Accidentes vehiculares totales por millón de km</v>
      </c>
      <c r="C6" t="s">
        <v>62</v>
      </c>
      <c r="D6" t="s">
        <v>59</v>
      </c>
      <c r="E6" t="s">
        <v>42</v>
      </c>
      <c r="F6">
        <v>0.79</v>
      </c>
      <c r="G6">
        <v>0.79</v>
      </c>
      <c r="H6" t="s">
        <v>43</v>
      </c>
      <c r="I6" t="s">
        <v>44</v>
      </c>
      <c r="J6">
        <v>1000000</v>
      </c>
      <c r="K6" t="s">
        <v>60</v>
      </c>
      <c r="L6" t="s">
        <v>46</v>
      </c>
      <c r="O6" t="s">
        <v>47</v>
      </c>
      <c r="P6" t="s">
        <v>48</v>
      </c>
    </row>
    <row r="7" spans="1:16" ht="13.5" customHeight="1" x14ac:dyDescent="0.3">
      <c r="A7" t="s">
        <v>63</v>
      </c>
      <c r="B7" s="193" t="str">
        <f>KPIs!$A$13</f>
        <v>6 · Observaciones de seguridad por persona</v>
      </c>
      <c r="C7" t="s">
        <v>64</v>
      </c>
      <c r="D7" t="s">
        <v>65</v>
      </c>
      <c r="E7" t="s">
        <v>66</v>
      </c>
      <c r="F7">
        <v>1</v>
      </c>
      <c r="G7">
        <v>1</v>
      </c>
      <c r="H7" t="s">
        <v>67</v>
      </c>
      <c r="I7" t="s">
        <v>68</v>
      </c>
      <c r="J7">
        <v>1</v>
      </c>
      <c r="K7" t="s">
        <v>45</v>
      </c>
      <c r="L7" t="s">
        <v>69</v>
      </c>
      <c r="O7" t="s">
        <v>47</v>
      </c>
      <c r="P7" t="s">
        <v>70</v>
      </c>
    </row>
    <row r="8" spans="1:16" ht="13.5" customHeight="1" x14ac:dyDescent="0.3">
      <c r="A8" t="s">
        <v>71</v>
      </c>
      <c r="B8" s="193" t="str">
        <f>KPIs!$A$14</f>
        <v>7 · Investigaciones de accidentes: días promedio de cierre</v>
      </c>
      <c r="C8" t="s">
        <v>72</v>
      </c>
      <c r="D8" t="s">
        <v>73</v>
      </c>
      <c r="E8" t="s">
        <v>42</v>
      </c>
      <c r="F8">
        <v>20</v>
      </c>
      <c r="G8">
        <v>20</v>
      </c>
      <c r="H8" t="s">
        <v>43</v>
      </c>
      <c r="I8" t="s">
        <v>74</v>
      </c>
      <c r="J8">
        <v>1</v>
      </c>
      <c r="K8" t="s">
        <v>45</v>
      </c>
      <c r="L8" t="s">
        <v>46</v>
      </c>
      <c r="O8" t="s">
        <v>47</v>
      </c>
      <c r="P8" t="s">
        <v>75</v>
      </c>
    </row>
    <row r="9" spans="1:16" ht="13.5" customHeight="1" x14ac:dyDescent="0.3">
      <c r="A9" t="s">
        <v>76</v>
      </c>
      <c r="B9" s="193" t="str">
        <f>KPIs!$A$16</f>
        <v>8 · % de capacitación en seguridad</v>
      </c>
      <c r="C9" t="s">
        <v>77</v>
      </c>
      <c r="D9" t="s">
        <v>78</v>
      </c>
      <c r="E9" t="s">
        <v>66</v>
      </c>
      <c r="F9">
        <v>0.01</v>
      </c>
      <c r="G9">
        <v>0.01</v>
      </c>
      <c r="H9" t="s">
        <v>43</v>
      </c>
      <c r="I9" t="s">
        <v>74</v>
      </c>
      <c r="J9">
        <v>1</v>
      </c>
      <c r="K9" t="s">
        <v>45</v>
      </c>
      <c r="L9" t="s">
        <v>46</v>
      </c>
      <c r="O9" t="s">
        <v>47</v>
      </c>
      <c r="P9" t="s">
        <v>79</v>
      </c>
    </row>
    <row r="10" spans="1:16" ht="13.5" customHeight="1" x14ac:dyDescent="0.3">
      <c r="A10" t="s">
        <v>80</v>
      </c>
      <c r="B10" s="193" t="str">
        <f>KPIs!$A$17</f>
        <v>9 · Horas de capacitación por persona</v>
      </c>
      <c r="C10" t="s">
        <v>81</v>
      </c>
      <c r="D10" t="s">
        <v>82</v>
      </c>
      <c r="F10" t="s">
        <v>54</v>
      </c>
      <c r="H10" t="s">
        <v>55</v>
      </c>
      <c r="I10" t="s">
        <v>68</v>
      </c>
      <c r="J10">
        <v>1</v>
      </c>
      <c r="K10" t="s">
        <v>45</v>
      </c>
      <c r="L10" t="s">
        <v>46</v>
      </c>
      <c r="O10" t="s">
        <v>47</v>
      </c>
      <c r="P10" t="s">
        <v>70</v>
      </c>
    </row>
    <row r="11" spans="1:16" ht="13.5" customHeight="1" x14ac:dyDescent="0.3">
      <c r="A11" t="s">
        <v>83</v>
      </c>
      <c r="B11" s="193" t="str">
        <f>KPIs!$A$18</f>
        <v>10 · Cumplimiento de simulacros (emergencia y operativos)</v>
      </c>
      <c r="C11" t="s">
        <v>84</v>
      </c>
      <c r="D11" t="s">
        <v>78</v>
      </c>
      <c r="E11" t="s">
        <v>66</v>
      </c>
      <c r="F11">
        <v>1</v>
      </c>
      <c r="G11">
        <v>1</v>
      </c>
      <c r="H11" t="s">
        <v>43</v>
      </c>
      <c r="I11" t="s">
        <v>74</v>
      </c>
      <c r="J11">
        <v>1</v>
      </c>
      <c r="K11" t="s">
        <v>45</v>
      </c>
      <c r="L11" t="s">
        <v>46</v>
      </c>
      <c r="O11" t="s">
        <v>47</v>
      </c>
      <c r="P11" t="s">
        <v>79</v>
      </c>
    </row>
    <row r="12" spans="1:16" ht="13.5" customHeight="1" x14ac:dyDescent="0.3">
      <c r="A12" t="s">
        <v>85</v>
      </c>
      <c r="B12" s="193" t="str">
        <f>KPIs!$A$19</f>
        <v>10b · Cumplimiento de acciones de mejora de simulacros</v>
      </c>
      <c r="C12" t="s">
        <v>86</v>
      </c>
      <c r="D12" t="s">
        <v>78</v>
      </c>
      <c r="E12"/>
      <c r="F12" t="s">
        <v>1701</v>
      </c>
      <c r="G12"/>
      <c r="H12" t="s">
        <v>1702</v>
      </c>
      <c r="I12" t="s">
        <v>74</v>
      </c>
      <c r="J12">
        <v>1</v>
      </c>
      <c r="K12" t="s">
        <v>45</v>
      </c>
      <c r="L12" t="s">
        <v>46</v>
      </c>
      <c r="O12" t="s">
        <v>47</v>
      </c>
      <c r="P12" t="s">
        <v>79</v>
      </c>
    </row>
    <row r="13" spans="1:16" ht="13.5" customHeight="1" x14ac:dyDescent="0.3">
      <c r="A13" t="s">
        <v>87</v>
      </c>
      <c r="B13" s="193" t="str">
        <f>KPIs!$A$21</f>
        <v>11 · Cumplimiento de caminatas gerenciales</v>
      </c>
      <c r="C13" t="s">
        <v>88</v>
      </c>
      <c r="D13" t="s">
        <v>78</v>
      </c>
      <c r="E13" t="s">
        <v>66</v>
      </c>
      <c r="F13">
        <v>1</v>
      </c>
      <c r="G13">
        <v>1</v>
      </c>
      <c r="H13" t="s">
        <v>43</v>
      </c>
      <c r="I13" t="s">
        <v>74</v>
      </c>
      <c r="J13">
        <v>1</v>
      </c>
      <c r="K13" t="s">
        <v>45</v>
      </c>
      <c r="L13" t="s">
        <v>46</v>
      </c>
      <c r="O13" t="s">
        <v>47</v>
      </c>
      <c r="P13" t="s">
        <v>79</v>
      </c>
    </row>
    <row r="14" spans="1:16" ht="13.5" customHeight="1" x14ac:dyDescent="0.3">
      <c r="A14" t="s">
        <v>89</v>
      </c>
      <c r="B14" s="193" t="str">
        <f>KPIs!$A$22</f>
        <v>12 · Cumplimiento de comités y subcomités de seguridad</v>
      </c>
      <c r="C14" t="s">
        <v>90</v>
      </c>
      <c r="D14" t="s">
        <v>78</v>
      </c>
      <c r="E14" t="s">
        <v>66</v>
      </c>
      <c r="F14">
        <v>1</v>
      </c>
      <c r="G14">
        <v>1</v>
      </c>
      <c r="H14" t="s">
        <v>43</v>
      </c>
      <c r="I14" t="s">
        <v>74</v>
      </c>
      <c r="J14">
        <v>1</v>
      </c>
      <c r="K14" t="s">
        <v>45</v>
      </c>
      <c r="L14" t="s">
        <v>46</v>
      </c>
      <c r="O14" t="s">
        <v>47</v>
      </c>
      <c r="P14" t="s">
        <v>79</v>
      </c>
    </row>
    <row r="15" spans="1:16" ht="13.5" customHeight="1" x14ac:dyDescent="0.3">
      <c r="A15" t="s">
        <v>91</v>
      </c>
      <c r="B15" s="193" t="str">
        <f>KPIs!$A$23</f>
        <v>13 · Días promedio para cerrar hallazgos</v>
      </c>
      <c r="C15" t="s">
        <v>92</v>
      </c>
      <c r="D15" t="s">
        <v>73</v>
      </c>
      <c r="E15" t="s">
        <v>42</v>
      </c>
      <c r="F15" t="s">
        <v>93</v>
      </c>
      <c r="H15" t="s">
        <v>94</v>
      </c>
      <c r="I15" t="s">
        <v>74</v>
      </c>
      <c r="J15">
        <v>1</v>
      </c>
      <c r="K15" t="s">
        <v>95</v>
      </c>
      <c r="L15" t="s">
        <v>46</v>
      </c>
      <c r="O15" t="s">
        <v>47</v>
      </c>
      <c r="P15" t="s">
        <v>75</v>
      </c>
    </row>
    <row r="16" spans="1:16" ht="13.5" customHeight="1" x14ac:dyDescent="0.3">
      <c r="A16" t="s">
        <v>96</v>
      </c>
      <c r="B16" s="193" t="str">
        <f>KPIs!$A$33</f>
        <v>C1 · % de desvíos detectados de gravedad Alta</v>
      </c>
      <c r="C16" t="s">
        <v>97</v>
      </c>
      <c r="D16" t="s">
        <v>78</v>
      </c>
      <c r="F16" t="s">
        <v>54</v>
      </c>
      <c r="H16" t="s">
        <v>55</v>
      </c>
      <c r="I16" t="s">
        <v>74</v>
      </c>
      <c r="J16">
        <v>1</v>
      </c>
      <c r="K16" t="s">
        <v>95</v>
      </c>
      <c r="L16" t="s">
        <v>46</v>
      </c>
      <c r="O16" t="s">
        <v>47</v>
      </c>
      <c r="P16" t="s">
        <v>79</v>
      </c>
    </row>
    <row r="17" spans="1:16" ht="13.5" customHeight="1" x14ac:dyDescent="0.3">
      <c r="A17" t="s">
        <v>98</v>
      </c>
      <c r="B17" s="193" t="str">
        <f>KPIs!$A$34</f>
        <v>C2 · Detenciones de tareas aplicadas</v>
      </c>
      <c r="C17" t="s">
        <v>99</v>
      </c>
      <c r="D17" t="s">
        <v>100</v>
      </c>
      <c r="F17" t="s">
        <v>54</v>
      </c>
      <c r="H17" t="s">
        <v>55</v>
      </c>
      <c r="I17" t="s">
        <v>74</v>
      </c>
      <c r="J17">
        <v>1</v>
      </c>
      <c r="K17" t="s">
        <v>95</v>
      </c>
      <c r="L17" t="s">
        <v>46</v>
      </c>
      <c r="O17" t="s">
        <v>47</v>
      </c>
      <c r="P17" t="s">
        <v>56</v>
      </c>
    </row>
    <row r="18" spans="1:16" ht="13.5" customHeight="1" x14ac:dyDescent="0.3">
      <c r="A18" t="s">
        <v>101</v>
      </c>
      <c r="B18" s="193" t="str">
        <f>KPIs!$A$53</f>
        <v>14 · COB – Cobertura de capacitación en seguridad</v>
      </c>
      <c r="C18" t="s">
        <v>102</v>
      </c>
      <c r="D18" t="s">
        <v>78</v>
      </c>
      <c r="F18" t="s">
        <v>54</v>
      </c>
      <c r="H18" t="s">
        <v>55</v>
      </c>
      <c r="I18" t="s">
        <v>68</v>
      </c>
      <c r="J18">
        <v>1</v>
      </c>
      <c r="K18" t="s">
        <v>103</v>
      </c>
      <c r="L18" t="s">
        <v>104</v>
      </c>
      <c r="O18" t="s">
        <v>47</v>
      </c>
      <c r="P18" t="s">
        <v>79</v>
      </c>
    </row>
    <row r="19" spans="1:16" ht="13.5" customHeight="1" x14ac:dyDescent="0.3">
      <c r="A19" t="s">
        <v>105</v>
      </c>
      <c r="B19" s="193" t="str">
        <f>KPIs!$A$54</f>
        <v>15 · CAMPC – Cumplimiento de campañas de seguridad</v>
      </c>
      <c r="C19" t="s">
        <v>106</v>
      </c>
      <c r="D19" t="s">
        <v>78</v>
      </c>
      <c r="F19" t="s">
        <v>54</v>
      </c>
      <c r="H19" t="s">
        <v>55</v>
      </c>
      <c r="I19" t="s">
        <v>68</v>
      </c>
      <c r="J19">
        <v>1</v>
      </c>
      <c r="K19" t="s">
        <v>107</v>
      </c>
      <c r="L19" t="s">
        <v>104</v>
      </c>
      <c r="O19" t="s">
        <v>47</v>
      </c>
      <c r="P19" t="s">
        <v>79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D706-AED5-4CF5-AFEB-A0E69313E0AD}">
  <sheetPr>
    <pageSetUpPr fitToPage="1"/>
  </sheetPr>
  <dimension ref="A1:XEM111"/>
  <sheetViews>
    <sheetView tabSelected="1" topLeftCell="B1" workbookViewId="0">
      <selection activeCell="H34" sqref="H34"/>
    </sheetView>
  </sheetViews>
  <sheetFormatPr baseColWidth="10" defaultColWidth="8.88671875" defaultRowHeight="14.4" outlineLevelRow="1" outlineLevelCol="1" x14ac:dyDescent="0.3"/>
  <cols>
    <col min="1" max="1" width="17.6640625" hidden="1" customWidth="1" outlineLevel="1"/>
    <col min="2" max="2" width="61.44140625" style="108" customWidth="1" collapsed="1"/>
    <col min="3" max="3" width="7" style="108" customWidth="1"/>
    <col min="4" max="38" width="12.44140625" style="108" customWidth="1"/>
    <col min="16368" max="16384" width="11.5546875" style="108" customWidth="1"/>
  </cols>
  <sheetData>
    <row r="1" spans="1:38" ht="31.95" customHeight="1" x14ac:dyDescent="0.3">
      <c r="A1" s="113"/>
      <c r="B1" s="146" t="s">
        <v>153</v>
      </c>
      <c r="C1" s="143"/>
      <c r="D1" s="147" t="s">
        <v>1729</v>
      </c>
      <c r="E1" s="147"/>
      <c r="F1" s="4">
        <v>46296</v>
      </c>
      <c r="G1" s="114"/>
      <c r="H1" s="114"/>
      <c r="I1" s="114"/>
      <c r="J1" s="114"/>
      <c r="K1" s="114"/>
      <c r="L1" s="114"/>
      <c r="M1" s="114"/>
      <c r="N1" s="114"/>
      <c r="O1" s="114"/>
      <c r="P1" s="114"/>
      <c r="Q1" s="114"/>
      <c r="R1" s="114"/>
      <c r="S1" s="114"/>
      <c r="T1" s="114"/>
      <c r="U1" s="114"/>
      <c r="V1" s="114"/>
      <c r="W1" s="194"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c r="X1" s="148"/>
      <c r="Y1" s="148"/>
      <c r="Z1" s="148"/>
      <c r="AA1" s="148"/>
      <c r="AB1" s="148"/>
      <c r="AC1" s="148"/>
      <c r="AD1" s="148"/>
      <c r="AE1" s="148"/>
      <c r="AF1" s="148"/>
      <c r="AG1" s="148"/>
      <c r="AH1" s="148"/>
      <c r="AI1" s="148"/>
      <c r="AJ1" s="148"/>
      <c r="AK1" s="148"/>
      <c r="AL1" s="148"/>
    </row>
    <row r="2" spans="1:38" ht="39.75" customHeight="1" x14ac:dyDescent="0.3">
      <c r="A2" s="14"/>
      <c r="B2" s="14" t="s">
        <v>154</v>
      </c>
      <c r="C2" s="15" t="s">
        <v>21</v>
      </c>
      <c r="D2" s="195">
        <f>IF($D$3&gt;RPT_MONTH,"",COUNTBLANK(D9:D10)+COUNTBLANK(D12:D13)+COUNTBLANK(D16:D17)+COUNTBLANK(D20:D31)+COUNTBLANK(D33:D37)+COUNTBLANK(D39:D42)+COUNTBLANK(D44:D46))</f>
        <v>0</v>
      </c>
      <c r="E2" s="195">
        <f>IF($E$3&gt;RPT_MONTH,"",COUNTBLANK(E9:E10)+COUNTBLANK(E12:E13)+COUNTBLANK(E16:E17)+COUNTBLANK(E20:E31)+COUNTBLANK(E33:E37)+COUNTBLANK(E39:E42)+COUNTBLANK(E44:E46))</f>
        <v>0</v>
      </c>
      <c r="F2" s="195">
        <f>IF($F$3&gt;RPT_MONTH,"",COUNTBLANK(F9:F10)+COUNTBLANK(F12:F13)+COUNTBLANK(F16:F17)+COUNTBLANK(F20:F31)+COUNTBLANK(F33:F37)+COUNTBLANK(F39:F42)+COUNTBLANK(F44:F46))</f>
        <v>28</v>
      </c>
      <c r="G2" s="195" t="str">
        <f>IF($G$3&gt;RPT_MONTH,"",COUNTBLANK(G9:G10)+COUNTBLANK(G12:G13)+COUNTBLANK(G16:G17)+COUNTBLANK(G20:G31)+COUNTBLANK(G33:G37)+COUNTBLANK(G39:G42)+COUNTBLANK(G44:G46))</f>
        <v/>
      </c>
      <c r="H2" s="195" t="str">
        <f>IF($H$3&gt;RPT_MONTH,"",COUNTBLANK(H9:H10)+COUNTBLANK(H12:H13)+COUNTBLANK(H16:H17)+COUNTBLANK(H20:H31)+COUNTBLANK(H33:H37)+COUNTBLANK(H39:H42)+COUNTBLANK(H44:H46))</f>
        <v/>
      </c>
      <c r="I2" s="195" t="str">
        <f>IF($I$3&gt;RPT_MONTH,"",COUNTBLANK(I9:I10)+COUNTBLANK(I12:I13)+COUNTBLANK(I16:I17)+COUNTBLANK(I20:I31)+COUNTBLANK(I33:I37)+COUNTBLANK(I39:I42)+COUNTBLANK(I44:I46))</f>
        <v/>
      </c>
      <c r="J2" s="195" t="str">
        <f>IF($J$3&gt;RPT_MONTH,"",COUNTBLANK(J9:J10)+COUNTBLANK(J12:J13)+COUNTBLANK(J16:J17)+COUNTBLANK(J20:J31)+COUNTBLANK(J33:J37)+COUNTBLANK(J39:J42)+COUNTBLANK(J44:J46))</f>
        <v/>
      </c>
      <c r="K2" s="195" t="str">
        <f>IF($K$3&gt;RPT_MONTH,"",COUNTBLANK(K9:K10)+COUNTBLANK(K12:K13)+COUNTBLANK(K16:K17)+COUNTBLANK(K20:K31)+COUNTBLANK(K33:K37)+COUNTBLANK(K39:K42)+COUNTBLANK(K44:K46))</f>
        <v/>
      </c>
      <c r="L2" s="195" t="str">
        <f>IF($L$3&gt;RPT_MONTH,"",COUNTBLANK(L9:L10)+COUNTBLANK(L12:L13)+COUNTBLANK(L16:L17)+COUNTBLANK(L20:L31)+COUNTBLANK(L33:L37)+COUNTBLANK(L39:L42)+COUNTBLANK(L44:L46))</f>
        <v/>
      </c>
      <c r="M2" s="195" t="str">
        <f>IF($M$3&gt;RPT_MONTH,"",COUNTBLANK(M9:M10)+COUNTBLANK(M12:M13)+COUNTBLANK(M16:M17)+COUNTBLANK(M20:M31)+COUNTBLANK(M33:M37)+COUNTBLANK(M39:M42)+COUNTBLANK(M44:M46))</f>
        <v/>
      </c>
      <c r="N2" s="195" t="str">
        <f>IF($N$3&gt;RPT_MONTH,"",COUNTBLANK(N9:N10)+COUNTBLANK(N12:N13)+COUNTBLANK(N16:N17)+COUNTBLANK(N20:N31)+COUNTBLANK(N33:N37)+COUNTBLANK(N39:N42)+COUNTBLANK(N44:N46))</f>
        <v/>
      </c>
      <c r="O2" s="195" t="str">
        <f>IF($O$3&gt;RPT_MONTH,"",COUNTBLANK(O9:O10)+COUNTBLANK(O12:O13)+COUNTBLANK(O16:O17)+COUNTBLANK(O20:O31)+COUNTBLANK(O33:O37)+COUNTBLANK(O39:O42)+COUNTBLANK(O44:O46))</f>
        <v/>
      </c>
      <c r="P2" s="195" t="str">
        <f>IF($P$3&gt;RPT_MONTH,"",COUNTBLANK(P9:P10)+COUNTBLANK(P12:P13)+COUNTBLANK(P16:P17)+COUNTBLANK(P20:P31)+COUNTBLANK(P33:P37)+COUNTBLANK(P39:P42)+COUNTBLANK(P44:P46))</f>
        <v/>
      </c>
      <c r="Q2" s="195" t="str">
        <f>IF($Q$3&gt;RPT_MONTH,"",COUNTBLANK(Q9:Q10)+COUNTBLANK(Q12:Q13)+COUNTBLANK(Q16:Q17)+COUNTBLANK(Q20:Q31)+COUNTBLANK(Q33:Q37)+COUNTBLANK(Q39:Q42)+COUNTBLANK(Q44:Q46))</f>
        <v/>
      </c>
      <c r="R2" s="195" t="str">
        <f>IF($R$3&gt;RPT_MONTH,"",COUNTBLANK(R9:R10)+COUNTBLANK(R12:R13)+COUNTBLANK(R16:R17)+COUNTBLANK(R20:R31)+COUNTBLANK(R33:R37)+COUNTBLANK(R39:R42)+COUNTBLANK(R44:R46))</f>
        <v/>
      </c>
      <c r="S2" s="195" t="str">
        <f>IF($S$3&gt;RPT_MONTH,"",COUNTBLANK(S9:S10)+COUNTBLANK(S12:S13)+COUNTBLANK(S16:S17)+COUNTBLANK(S20:S31)+COUNTBLANK(S33:S37)+COUNTBLANK(S39:S42)+COUNTBLANK(S44:S46))</f>
        <v/>
      </c>
      <c r="T2" s="195" t="str">
        <f>IF($T$3&gt;RPT_MONTH,"",COUNTBLANK(T9:T10)+COUNTBLANK(T12:T13)+COUNTBLANK(T16:T17)+COUNTBLANK(T20:T31)+COUNTBLANK(T33:T37)+COUNTBLANK(T39:T42)+COUNTBLANK(T44:T46))</f>
        <v/>
      </c>
      <c r="U2" s="195" t="str">
        <f>IF($U$3&gt;RPT_MONTH,"",COUNTBLANK(U9:U10)+COUNTBLANK(U12:U13)+COUNTBLANK(U16:U17)+COUNTBLANK(U20:U31)+COUNTBLANK(U33:U37)+COUNTBLANK(U39:U42)+COUNTBLANK(U44:U46))</f>
        <v/>
      </c>
      <c r="V2" s="195" t="str">
        <f>IF($V$3&gt;RPT_MONTH,"",COUNTBLANK(V9:V10)+COUNTBLANK(V12:V13)+COUNTBLANK(V16:V17)+COUNTBLANK(V20:V31)+COUNTBLANK(V33:V37)+COUNTBLANK(V39:V42)+COUNTBLANK(V44:V46))</f>
        <v/>
      </c>
      <c r="W2" s="195" t="str">
        <f>IF($W$3&gt;RPT_MONTH,"",COUNTBLANK(W9:W10)+COUNTBLANK(W12:W13)+COUNTBLANK(W16:W17)+COUNTBLANK(W20:W31)+COUNTBLANK(W33:W37)+COUNTBLANK(W39:W42)+COUNTBLANK(W44:W46))</f>
        <v/>
      </c>
      <c r="X2" s="195" t="str">
        <f>IF($X$3&gt;RPT_MONTH,"",COUNTBLANK(X9:X10)+COUNTBLANK(X12:X13)+COUNTBLANK(X16:X17)+COUNTBLANK(X20:X31)+COUNTBLANK(X33:X37)+COUNTBLANK(X39:X42)+COUNTBLANK(X44:X46))</f>
        <v/>
      </c>
      <c r="Y2" s="195" t="str">
        <f>IF($Y$3&gt;RPT_MONTH,"",COUNTBLANK(Y9:Y10)+COUNTBLANK(Y12:Y13)+COUNTBLANK(Y16:Y17)+COUNTBLANK(Y20:Y31)+COUNTBLANK(Y33:Y37)+COUNTBLANK(Y39:Y42)+COUNTBLANK(Y44:Y46))</f>
        <v/>
      </c>
      <c r="Z2" s="195" t="str">
        <f>IF($Z$3&gt;RPT_MONTH,"",COUNTBLANK(Z9:Z10)+COUNTBLANK(Z12:Z13)+COUNTBLANK(Z16:Z17)+COUNTBLANK(Z20:Z31)+COUNTBLANK(Z33:Z37)+COUNTBLANK(Z39:Z42)+COUNTBLANK(Z44:Z46))</f>
        <v/>
      </c>
      <c r="AA2" s="195" t="str">
        <f>IF($AA$3&gt;RPT_MONTH,"",COUNTBLANK(AA9:AA10)+COUNTBLANK(AA12:AA13)+COUNTBLANK(AA16:AA17)+COUNTBLANK(AA20:AA31)+COUNTBLANK(AA33:AA37)+COUNTBLANK(AA39:AA42)+COUNTBLANK(AA44:AA46))</f>
        <v/>
      </c>
      <c r="AB2" s="195" t="str">
        <f>IF($AB$3&gt;RPT_MONTH,"",COUNTBLANK(AB9:AB10)+COUNTBLANK(AB12:AB13)+COUNTBLANK(AB16:AB17)+COUNTBLANK(AB20:AB31)+COUNTBLANK(AB33:AB37)+COUNTBLANK(AB39:AB42)+COUNTBLANK(AB44:AB46))</f>
        <v/>
      </c>
      <c r="AC2" s="195" t="str">
        <f>IF($AC$3&gt;RPT_MONTH,"",COUNTBLANK(AC9:AC10)+COUNTBLANK(AC12:AC13)+COUNTBLANK(AC16:AC17)+COUNTBLANK(AC20:AC31)+COUNTBLANK(AC33:AC37)+COUNTBLANK(AC39:AC42)+COUNTBLANK(AC44:AC46))</f>
        <v/>
      </c>
      <c r="AD2" s="195" t="str">
        <f>IF($AD$3&gt;RPT_MONTH,"",COUNTBLANK(AD9:AD10)+COUNTBLANK(AD12:AD13)+COUNTBLANK(AD16:AD17)+COUNTBLANK(AD20:AD31)+COUNTBLANK(AD33:AD37)+COUNTBLANK(AD39:AD42)+COUNTBLANK(AD44:AD46))</f>
        <v/>
      </c>
      <c r="AE2" s="195" t="str">
        <f>IF($AE$3&gt;RPT_MONTH,"",COUNTBLANK(AE9:AE10)+COUNTBLANK(AE12:AE13)+COUNTBLANK(AE16:AE17)+COUNTBLANK(AE20:AE31)+COUNTBLANK(AE33:AE37)+COUNTBLANK(AE39:AE42)+COUNTBLANK(AE44:AE46))</f>
        <v/>
      </c>
      <c r="AF2" s="195" t="str">
        <f>IF($AF$3&gt;RPT_MONTH,"",COUNTBLANK(AF9:AF10)+COUNTBLANK(AF12:AF13)+COUNTBLANK(AF16:AF17)+COUNTBLANK(AF20:AF31)+COUNTBLANK(AF33:AF37)+COUNTBLANK(AF39:AF42)+COUNTBLANK(AF44:AF46))</f>
        <v/>
      </c>
      <c r="AG2" s="195" t="str">
        <f>IF($AG$3&gt;RPT_MONTH,"",COUNTBLANK(AG9:AG10)+COUNTBLANK(AG12:AG13)+COUNTBLANK(AG16:AG17)+COUNTBLANK(AG20:AG31)+COUNTBLANK(AG33:AG37)+COUNTBLANK(AG39:AG42)+COUNTBLANK(AG44:AG46))</f>
        <v/>
      </c>
      <c r="AH2" s="195" t="str">
        <f>IF($AH$3&gt;RPT_MONTH,"",COUNTBLANK(AH9:AH10)+COUNTBLANK(AH12:AH13)+COUNTBLANK(AH16:AH17)+COUNTBLANK(AH20:AH31)+COUNTBLANK(AH33:AH37)+COUNTBLANK(AH39:AH42)+COUNTBLANK(AH44:AH46))</f>
        <v/>
      </c>
      <c r="AI2" s="195" t="str">
        <f>IF($AI$3&gt;RPT_MONTH,"",COUNTBLANK(AI9:AI10)+COUNTBLANK(AI12:AI13)+COUNTBLANK(AI16:AI17)+COUNTBLANK(AI20:AI31)+COUNTBLANK(AI33:AI37)+COUNTBLANK(AI39:AI42)+COUNTBLANK(AI44:AI46))</f>
        <v/>
      </c>
      <c r="AJ2" s="195" t="str">
        <f>IF($AJ$3&gt;RPT_MONTH,"",COUNTBLANK(AJ9:AJ10)+COUNTBLANK(AJ12:AJ13)+COUNTBLANK(AJ16:AJ17)+COUNTBLANK(AJ20:AJ31)+COUNTBLANK(AJ33:AJ37)+COUNTBLANK(AJ39:AJ42)+COUNTBLANK(AJ44:AJ46))</f>
        <v/>
      </c>
      <c r="AK2" s="195" t="str">
        <f>IF($AK$3&gt;RPT_MONTH,"",COUNTBLANK(AK9:AK10)+COUNTBLANK(AK12:AK13)+COUNTBLANK(AK16:AK17)+COUNTBLANK(AK20:AK31)+COUNTBLANK(AK33:AK37)+COUNTBLANK(AK39:AK42)+COUNTBLANK(AK44:AK46))</f>
        <v/>
      </c>
      <c r="AL2" s="195" t="str">
        <f>IF($AL$3&gt;RPT_MONTH,"",COUNTBLANK(AL9:AL10)+COUNTBLANK(AL12:AL13)+COUNTBLANK(AL16:AL17)+COUNTBLANK(AL20:AL31)+COUNTBLANK(AL33:AL37)+COUNTBLANK(AL39:AL42)+COUNTBLANK(AL44:AL46))</f>
        <v/>
      </c>
    </row>
    <row r="3" spans="1:38" ht="19.5" customHeight="1" x14ac:dyDescent="0.3">
      <c r="A3" s="144" t="s">
        <v>1557</v>
      </c>
      <c r="B3" s="144" t="s">
        <v>155</v>
      </c>
      <c r="C3" s="144" t="s">
        <v>26</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5"/>
      <c r="B4" s="145"/>
      <c r="C4" s="145"/>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24.75" customHeight="1" x14ac:dyDescent="0.3">
      <c r="A5" s="115"/>
      <c r="B5" s="142" t="s">
        <v>1743</v>
      </c>
      <c r="C5" s="143"/>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ht="13.5" customHeight="1" x14ac:dyDescent="0.3">
      <c r="A6" s="116" t="s">
        <v>1558</v>
      </c>
      <c r="B6" s="111" t="s">
        <v>1628</v>
      </c>
      <c r="C6" s="112" t="s">
        <v>156</v>
      </c>
      <c r="D6" s="128">
        <v>83</v>
      </c>
      <c r="E6" s="128">
        <v>112</v>
      </c>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row>
    <row r="7" spans="1:38" ht="26.25" customHeight="1" x14ac:dyDescent="0.3">
      <c r="A7" s="116" t="s">
        <v>1559</v>
      </c>
      <c r="B7" s="111" t="s">
        <v>1629</v>
      </c>
      <c r="C7" s="112" t="s">
        <v>156</v>
      </c>
      <c r="D7" s="128">
        <v>9</v>
      </c>
      <c r="E7" s="128">
        <v>11</v>
      </c>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row>
    <row r="8" spans="1:38" ht="13.5" customHeight="1" x14ac:dyDescent="0.3">
      <c r="A8" s="117" t="s">
        <v>1560</v>
      </c>
      <c r="B8" s="24" t="s">
        <v>1630</v>
      </c>
      <c r="C8" s="23" t="s">
        <v>156</v>
      </c>
      <c r="D8" s="196">
        <f t="shared" ref="D8:AL8" si="0">D6+D7</f>
        <v>92</v>
      </c>
      <c r="E8" s="196">
        <f t="shared" si="0"/>
        <v>123</v>
      </c>
      <c r="F8" s="196">
        <f t="shared" si="0"/>
        <v>0</v>
      </c>
      <c r="G8" s="196">
        <f t="shared" si="0"/>
        <v>0</v>
      </c>
      <c r="H8" s="196">
        <f t="shared" si="0"/>
        <v>0</v>
      </c>
      <c r="I8" s="196">
        <f t="shared" si="0"/>
        <v>0</v>
      </c>
      <c r="J8" s="196">
        <f t="shared" si="0"/>
        <v>0</v>
      </c>
      <c r="K8" s="196">
        <f t="shared" si="0"/>
        <v>0</v>
      </c>
      <c r="L8" s="196">
        <f t="shared" si="0"/>
        <v>0</v>
      </c>
      <c r="M8" s="196">
        <f t="shared" si="0"/>
        <v>0</v>
      </c>
      <c r="N8" s="196">
        <f t="shared" si="0"/>
        <v>0</v>
      </c>
      <c r="O8" s="196">
        <f t="shared" si="0"/>
        <v>0</v>
      </c>
      <c r="P8" s="196">
        <f t="shared" si="0"/>
        <v>0</v>
      </c>
      <c r="Q8" s="196">
        <f t="shared" si="0"/>
        <v>0</v>
      </c>
      <c r="R8" s="196">
        <f t="shared" si="0"/>
        <v>0</v>
      </c>
      <c r="S8" s="196">
        <f t="shared" si="0"/>
        <v>0</v>
      </c>
      <c r="T8" s="196">
        <f t="shared" si="0"/>
        <v>0</v>
      </c>
      <c r="U8" s="196">
        <f t="shared" si="0"/>
        <v>0</v>
      </c>
      <c r="V8" s="196">
        <f t="shared" si="0"/>
        <v>0</v>
      </c>
      <c r="W8" s="196">
        <f t="shared" si="0"/>
        <v>0</v>
      </c>
      <c r="X8" s="196">
        <f t="shared" si="0"/>
        <v>0</v>
      </c>
      <c r="Y8" s="196">
        <f t="shared" si="0"/>
        <v>0</v>
      </c>
      <c r="Z8" s="196">
        <f t="shared" si="0"/>
        <v>0</v>
      </c>
      <c r="AA8" s="196">
        <f t="shared" si="0"/>
        <v>0</v>
      </c>
      <c r="AB8" s="196">
        <f t="shared" si="0"/>
        <v>0</v>
      </c>
      <c r="AC8" s="196">
        <f t="shared" si="0"/>
        <v>0</v>
      </c>
      <c r="AD8" s="196">
        <f t="shared" si="0"/>
        <v>0</v>
      </c>
      <c r="AE8" s="196">
        <f t="shared" si="0"/>
        <v>0</v>
      </c>
      <c r="AF8" s="196">
        <f t="shared" si="0"/>
        <v>0</v>
      </c>
      <c r="AG8" s="196">
        <f t="shared" si="0"/>
        <v>0</v>
      </c>
      <c r="AH8" s="196">
        <f t="shared" si="0"/>
        <v>0</v>
      </c>
      <c r="AI8" s="196">
        <f t="shared" si="0"/>
        <v>0</v>
      </c>
      <c r="AJ8" s="196">
        <f t="shared" si="0"/>
        <v>0</v>
      </c>
      <c r="AK8" s="196">
        <f t="shared" si="0"/>
        <v>0</v>
      </c>
      <c r="AL8" s="196">
        <f t="shared" si="0"/>
        <v>0</v>
      </c>
    </row>
    <row r="9" spans="1:38" ht="13.5" customHeight="1" x14ac:dyDescent="0.3">
      <c r="A9" s="118" t="s">
        <v>1561</v>
      </c>
      <c r="B9" s="22" t="s">
        <v>1631</v>
      </c>
      <c r="C9" s="23" t="s">
        <v>156</v>
      </c>
      <c r="D9" s="128">
        <v>83</v>
      </c>
      <c r="E9" s="128">
        <v>112</v>
      </c>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row>
    <row r="10" spans="1:38" ht="26.25" customHeight="1" x14ac:dyDescent="0.3">
      <c r="A10" s="118" t="s">
        <v>1562</v>
      </c>
      <c r="B10" s="22" t="s">
        <v>1744</v>
      </c>
      <c r="C10" s="23" t="s">
        <v>156</v>
      </c>
      <c r="D10" s="128">
        <v>9</v>
      </c>
      <c r="E10" s="128">
        <v>11</v>
      </c>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row>
    <row r="11" spans="1:38" ht="13.5" customHeight="1" x14ac:dyDescent="0.3">
      <c r="A11" s="117" t="s">
        <v>1563</v>
      </c>
      <c r="B11" s="24" t="s">
        <v>1632</v>
      </c>
      <c r="C11" s="23" t="s">
        <v>156</v>
      </c>
      <c r="D11" s="196">
        <f t="shared" ref="D11:AL11" si="1">D9+D10</f>
        <v>92</v>
      </c>
      <c r="E11" s="196">
        <f t="shared" si="1"/>
        <v>123</v>
      </c>
      <c r="F11" s="196">
        <f t="shared" si="1"/>
        <v>0</v>
      </c>
      <c r="G11" s="196">
        <f t="shared" si="1"/>
        <v>0</v>
      </c>
      <c r="H11" s="196">
        <f t="shared" si="1"/>
        <v>0</v>
      </c>
      <c r="I11" s="196">
        <f t="shared" si="1"/>
        <v>0</v>
      </c>
      <c r="J11" s="196">
        <f t="shared" si="1"/>
        <v>0</v>
      </c>
      <c r="K11" s="196">
        <f t="shared" si="1"/>
        <v>0</v>
      </c>
      <c r="L11" s="196">
        <f t="shared" si="1"/>
        <v>0</v>
      </c>
      <c r="M11" s="196">
        <f t="shared" si="1"/>
        <v>0</v>
      </c>
      <c r="N11" s="196">
        <f t="shared" si="1"/>
        <v>0</v>
      </c>
      <c r="O11" s="196">
        <f t="shared" si="1"/>
        <v>0</v>
      </c>
      <c r="P11" s="196">
        <f t="shared" si="1"/>
        <v>0</v>
      </c>
      <c r="Q11" s="196">
        <f t="shared" si="1"/>
        <v>0</v>
      </c>
      <c r="R11" s="196">
        <f t="shared" si="1"/>
        <v>0</v>
      </c>
      <c r="S11" s="196">
        <f t="shared" si="1"/>
        <v>0</v>
      </c>
      <c r="T11" s="196">
        <f t="shared" si="1"/>
        <v>0</v>
      </c>
      <c r="U11" s="196">
        <f t="shared" si="1"/>
        <v>0</v>
      </c>
      <c r="V11" s="196">
        <f t="shared" si="1"/>
        <v>0</v>
      </c>
      <c r="W11" s="196">
        <f t="shared" si="1"/>
        <v>0</v>
      </c>
      <c r="X11" s="196">
        <f t="shared" si="1"/>
        <v>0</v>
      </c>
      <c r="Y11" s="196">
        <f t="shared" si="1"/>
        <v>0</v>
      </c>
      <c r="Z11" s="196">
        <f t="shared" si="1"/>
        <v>0</v>
      </c>
      <c r="AA11" s="196">
        <f t="shared" si="1"/>
        <v>0</v>
      </c>
      <c r="AB11" s="196">
        <f t="shared" si="1"/>
        <v>0</v>
      </c>
      <c r="AC11" s="196">
        <f t="shared" si="1"/>
        <v>0</v>
      </c>
      <c r="AD11" s="196">
        <f t="shared" si="1"/>
        <v>0</v>
      </c>
      <c r="AE11" s="196">
        <f t="shared" si="1"/>
        <v>0</v>
      </c>
      <c r="AF11" s="196">
        <f t="shared" si="1"/>
        <v>0</v>
      </c>
      <c r="AG11" s="196">
        <f t="shared" si="1"/>
        <v>0</v>
      </c>
      <c r="AH11" s="196">
        <f t="shared" si="1"/>
        <v>0</v>
      </c>
      <c r="AI11" s="196">
        <f t="shared" si="1"/>
        <v>0</v>
      </c>
      <c r="AJ11" s="196">
        <f t="shared" si="1"/>
        <v>0</v>
      </c>
      <c r="AK11" s="196">
        <f t="shared" si="1"/>
        <v>0</v>
      </c>
      <c r="AL11" s="196">
        <f t="shared" si="1"/>
        <v>0</v>
      </c>
    </row>
    <row r="12" spans="1:38" ht="15.6" customHeight="1" x14ac:dyDescent="0.3">
      <c r="A12" s="118" t="s">
        <v>1564</v>
      </c>
      <c r="B12" s="22" t="s">
        <v>1633</v>
      </c>
      <c r="C12" s="23" t="s">
        <v>157</v>
      </c>
      <c r="D12" s="128">
        <v>21008</v>
      </c>
      <c r="E12" s="128">
        <v>23166</v>
      </c>
      <c r="F12" s="128"/>
      <c r="G12" s="128"/>
      <c r="H12" s="128"/>
      <c r="I12" s="128"/>
      <c r="J12" s="128"/>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row>
    <row r="13" spans="1:38" ht="15" customHeight="1" x14ac:dyDescent="0.3">
      <c r="A13" s="118" t="s">
        <v>1565</v>
      </c>
      <c r="B13" s="22" t="s">
        <v>1634</v>
      </c>
      <c r="C13" s="23" t="s">
        <v>157</v>
      </c>
      <c r="D13" s="128">
        <v>1980</v>
      </c>
      <c r="E13" s="128">
        <v>2178</v>
      </c>
      <c r="F13" s="128"/>
      <c r="G13" s="128"/>
      <c r="H13" s="128"/>
      <c r="I13" s="128"/>
      <c r="J13" s="128"/>
      <c r="K13" s="128"/>
      <c r="L13" s="128"/>
      <c r="M13" s="128"/>
      <c r="N13" s="128"/>
      <c r="O13" s="128"/>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row>
    <row r="14" spans="1:38" ht="13.5" customHeight="1" x14ac:dyDescent="0.3">
      <c r="A14" s="117" t="s">
        <v>1566</v>
      </c>
      <c r="B14" s="24" t="s">
        <v>1635</v>
      </c>
      <c r="C14" s="23" t="s">
        <v>157</v>
      </c>
      <c r="D14" s="196">
        <f t="shared" ref="D14:AL14" si="2">D12+D13</f>
        <v>22988</v>
      </c>
      <c r="E14" s="196">
        <f t="shared" si="2"/>
        <v>25344</v>
      </c>
      <c r="F14" s="196">
        <f t="shared" si="2"/>
        <v>0</v>
      </c>
      <c r="G14" s="196">
        <f t="shared" si="2"/>
        <v>0</v>
      </c>
      <c r="H14" s="196">
        <f t="shared" si="2"/>
        <v>0</v>
      </c>
      <c r="I14" s="196">
        <f t="shared" si="2"/>
        <v>0</v>
      </c>
      <c r="J14" s="196">
        <f t="shared" si="2"/>
        <v>0</v>
      </c>
      <c r="K14" s="196">
        <f t="shared" si="2"/>
        <v>0</v>
      </c>
      <c r="L14" s="196">
        <f t="shared" si="2"/>
        <v>0</v>
      </c>
      <c r="M14" s="196">
        <f t="shared" si="2"/>
        <v>0</v>
      </c>
      <c r="N14" s="196">
        <f t="shared" si="2"/>
        <v>0</v>
      </c>
      <c r="O14" s="196">
        <f t="shared" si="2"/>
        <v>0</v>
      </c>
      <c r="P14" s="196">
        <f t="shared" si="2"/>
        <v>0</v>
      </c>
      <c r="Q14" s="196">
        <f t="shared" si="2"/>
        <v>0</v>
      </c>
      <c r="R14" s="196">
        <f t="shared" si="2"/>
        <v>0</v>
      </c>
      <c r="S14" s="196">
        <f t="shared" si="2"/>
        <v>0</v>
      </c>
      <c r="T14" s="196">
        <f t="shared" si="2"/>
        <v>0</v>
      </c>
      <c r="U14" s="196">
        <f t="shared" si="2"/>
        <v>0</v>
      </c>
      <c r="V14" s="196">
        <f t="shared" si="2"/>
        <v>0</v>
      </c>
      <c r="W14" s="196">
        <f t="shared" si="2"/>
        <v>0</v>
      </c>
      <c r="X14" s="196">
        <f t="shared" si="2"/>
        <v>0</v>
      </c>
      <c r="Y14" s="196">
        <f t="shared" si="2"/>
        <v>0</v>
      </c>
      <c r="Z14" s="196">
        <f t="shared" si="2"/>
        <v>0</v>
      </c>
      <c r="AA14" s="196">
        <f t="shared" si="2"/>
        <v>0</v>
      </c>
      <c r="AB14" s="196">
        <f t="shared" si="2"/>
        <v>0</v>
      </c>
      <c r="AC14" s="196">
        <f t="shared" si="2"/>
        <v>0</v>
      </c>
      <c r="AD14" s="196">
        <f t="shared" si="2"/>
        <v>0</v>
      </c>
      <c r="AE14" s="196">
        <f t="shared" si="2"/>
        <v>0</v>
      </c>
      <c r="AF14" s="196">
        <f t="shared" si="2"/>
        <v>0</v>
      </c>
      <c r="AG14" s="196">
        <f t="shared" si="2"/>
        <v>0</v>
      </c>
      <c r="AH14" s="196">
        <f t="shared" si="2"/>
        <v>0</v>
      </c>
      <c r="AI14" s="196">
        <f t="shared" si="2"/>
        <v>0</v>
      </c>
      <c r="AJ14" s="196">
        <f t="shared" si="2"/>
        <v>0</v>
      </c>
      <c r="AK14" s="196">
        <f t="shared" si="2"/>
        <v>0</v>
      </c>
      <c r="AL14" s="196">
        <f t="shared" si="2"/>
        <v>0</v>
      </c>
    </row>
    <row r="15" spans="1:38" ht="14.25" customHeight="1" x14ac:dyDescent="0.3">
      <c r="A15" s="115"/>
      <c r="B15" s="142" t="s">
        <v>158</v>
      </c>
      <c r="C15" s="143"/>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ht="26.25" customHeight="1" x14ac:dyDescent="0.3">
      <c r="A16" s="118" t="s">
        <v>1567</v>
      </c>
      <c r="B16" s="22" t="s">
        <v>1636</v>
      </c>
      <c r="C16" s="23" t="s">
        <v>157</v>
      </c>
      <c r="D16" s="128">
        <v>1143</v>
      </c>
      <c r="E16" s="128">
        <v>781</v>
      </c>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row>
    <row r="17" spans="1:38" ht="26.25" customHeight="1" x14ac:dyDescent="0.3">
      <c r="A17" s="118" t="s">
        <v>1568</v>
      </c>
      <c r="B17" s="22" t="s">
        <v>1745</v>
      </c>
      <c r="C17" s="23" t="s">
        <v>157</v>
      </c>
      <c r="D17" s="128">
        <v>117</v>
      </c>
      <c r="E17" s="128">
        <v>110</v>
      </c>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row>
    <row r="18" spans="1:38" ht="13.5" customHeight="1" x14ac:dyDescent="0.3">
      <c r="A18" s="117" t="s">
        <v>1569</v>
      </c>
      <c r="B18" s="24" t="s">
        <v>1637</v>
      </c>
      <c r="C18" s="23" t="s">
        <v>157</v>
      </c>
      <c r="D18" s="196">
        <f t="shared" ref="D18:AL18" si="3">D16+D17</f>
        <v>1260</v>
      </c>
      <c r="E18" s="196">
        <f t="shared" si="3"/>
        <v>891</v>
      </c>
      <c r="F18" s="196">
        <f t="shared" si="3"/>
        <v>0</v>
      </c>
      <c r="G18" s="196">
        <f t="shared" si="3"/>
        <v>0</v>
      </c>
      <c r="H18" s="196">
        <f t="shared" si="3"/>
        <v>0</v>
      </c>
      <c r="I18" s="196">
        <f t="shared" si="3"/>
        <v>0</v>
      </c>
      <c r="J18" s="196">
        <f t="shared" si="3"/>
        <v>0</v>
      </c>
      <c r="K18" s="196">
        <f t="shared" si="3"/>
        <v>0</v>
      </c>
      <c r="L18" s="196">
        <f t="shared" si="3"/>
        <v>0</v>
      </c>
      <c r="M18" s="196">
        <f t="shared" si="3"/>
        <v>0</v>
      </c>
      <c r="N18" s="196">
        <f t="shared" si="3"/>
        <v>0</v>
      </c>
      <c r="O18" s="196">
        <f t="shared" si="3"/>
        <v>0</v>
      </c>
      <c r="P18" s="196">
        <f t="shared" si="3"/>
        <v>0</v>
      </c>
      <c r="Q18" s="196">
        <f t="shared" si="3"/>
        <v>0</v>
      </c>
      <c r="R18" s="196">
        <f t="shared" si="3"/>
        <v>0</v>
      </c>
      <c r="S18" s="196">
        <f t="shared" si="3"/>
        <v>0</v>
      </c>
      <c r="T18" s="196">
        <f t="shared" si="3"/>
        <v>0</v>
      </c>
      <c r="U18" s="196">
        <f t="shared" si="3"/>
        <v>0</v>
      </c>
      <c r="V18" s="196">
        <f t="shared" si="3"/>
        <v>0</v>
      </c>
      <c r="W18" s="196">
        <f t="shared" si="3"/>
        <v>0</v>
      </c>
      <c r="X18" s="196">
        <f t="shared" si="3"/>
        <v>0</v>
      </c>
      <c r="Y18" s="196">
        <f t="shared" si="3"/>
        <v>0</v>
      </c>
      <c r="Z18" s="196">
        <f t="shared" si="3"/>
        <v>0</v>
      </c>
      <c r="AA18" s="196">
        <f t="shared" si="3"/>
        <v>0</v>
      </c>
      <c r="AB18" s="196">
        <f t="shared" si="3"/>
        <v>0</v>
      </c>
      <c r="AC18" s="196">
        <f t="shared" si="3"/>
        <v>0</v>
      </c>
      <c r="AD18" s="196">
        <f t="shared" si="3"/>
        <v>0</v>
      </c>
      <c r="AE18" s="196">
        <f t="shared" si="3"/>
        <v>0</v>
      </c>
      <c r="AF18" s="196">
        <f t="shared" si="3"/>
        <v>0</v>
      </c>
      <c r="AG18" s="196">
        <f t="shared" si="3"/>
        <v>0</v>
      </c>
      <c r="AH18" s="196">
        <f t="shared" si="3"/>
        <v>0</v>
      </c>
      <c r="AI18" s="196">
        <f t="shared" si="3"/>
        <v>0</v>
      </c>
      <c r="AJ18" s="196">
        <f t="shared" si="3"/>
        <v>0</v>
      </c>
      <c r="AK18" s="196">
        <f t="shared" si="3"/>
        <v>0</v>
      </c>
      <c r="AL18" s="196">
        <f t="shared" si="3"/>
        <v>0</v>
      </c>
    </row>
    <row r="19" spans="1:38" ht="14.25" customHeight="1" x14ac:dyDescent="0.3">
      <c r="A19" s="115"/>
      <c r="B19" s="142" t="s">
        <v>159</v>
      </c>
      <c r="C19" s="143"/>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ht="14.25" customHeight="1" x14ac:dyDescent="0.3">
      <c r="A20" s="121" t="s">
        <v>1697</v>
      </c>
      <c r="B20" s="122" t="s">
        <v>1638</v>
      </c>
      <c r="C20" s="123" t="s">
        <v>100</v>
      </c>
      <c r="D20" s="129">
        <v>1</v>
      </c>
      <c r="E20" s="129">
        <v>2</v>
      </c>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30"/>
    </row>
    <row r="21" spans="1:38" ht="14.25" customHeight="1" x14ac:dyDescent="0.3">
      <c r="A21" s="124" t="s">
        <v>1698</v>
      </c>
      <c r="B21" s="125" t="s">
        <v>1639</v>
      </c>
      <c r="C21" s="126" t="s">
        <v>100</v>
      </c>
      <c r="D21" s="131">
        <v>1</v>
      </c>
      <c r="E21" s="131">
        <v>2</v>
      </c>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2"/>
    </row>
    <row r="22" spans="1:38" ht="27" customHeight="1" x14ac:dyDescent="0.3">
      <c r="A22" s="124" t="s">
        <v>1699</v>
      </c>
      <c r="B22" s="125" t="s">
        <v>1640</v>
      </c>
      <c r="C22" s="126" t="s">
        <v>100</v>
      </c>
      <c r="D22" s="131">
        <v>0</v>
      </c>
      <c r="E22" s="131">
        <v>1</v>
      </c>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2"/>
    </row>
    <row r="23" spans="1:38" ht="27" customHeight="1" thickBot="1" x14ac:dyDescent="0.35">
      <c r="A23" s="127" t="s">
        <v>1700</v>
      </c>
      <c r="B23" s="171" t="s">
        <v>1641</v>
      </c>
      <c r="C23" s="172" t="s">
        <v>100</v>
      </c>
      <c r="D23" s="173">
        <v>0</v>
      </c>
      <c r="E23" s="173">
        <v>1</v>
      </c>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4"/>
    </row>
    <row r="24" spans="1:38" ht="14.25" customHeight="1" x14ac:dyDescent="0.3">
      <c r="A24" s="170" t="s">
        <v>1570</v>
      </c>
      <c r="B24" s="178" t="s">
        <v>1642</v>
      </c>
      <c r="C24" s="179" t="s">
        <v>100</v>
      </c>
      <c r="D24" s="180">
        <v>0</v>
      </c>
      <c r="E24" s="180">
        <v>3</v>
      </c>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1"/>
    </row>
    <row r="25" spans="1:38" ht="14.25" customHeight="1" thickBot="1" x14ac:dyDescent="0.35">
      <c r="A25" s="170" t="s">
        <v>1571</v>
      </c>
      <c r="B25" s="182" t="s">
        <v>1643</v>
      </c>
      <c r="C25" s="183" t="s">
        <v>100</v>
      </c>
      <c r="D25" s="184">
        <v>0</v>
      </c>
      <c r="E25" s="184">
        <v>3</v>
      </c>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5"/>
    </row>
    <row r="26" spans="1:38" ht="14.25" customHeight="1" x14ac:dyDescent="0.3">
      <c r="A26" s="170" t="s">
        <v>1572</v>
      </c>
      <c r="B26" s="178" t="s">
        <v>1644</v>
      </c>
      <c r="C26" s="179" t="s">
        <v>100</v>
      </c>
      <c r="D26" s="180">
        <v>0</v>
      </c>
      <c r="E26" s="180">
        <v>1</v>
      </c>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1"/>
    </row>
    <row r="27" spans="1:38" ht="14.25" customHeight="1" thickBot="1" x14ac:dyDescent="0.35">
      <c r="A27" s="170" t="s">
        <v>1573</v>
      </c>
      <c r="B27" s="182" t="s">
        <v>1645</v>
      </c>
      <c r="C27" s="183" t="s">
        <v>100</v>
      </c>
      <c r="D27" s="184">
        <v>0</v>
      </c>
      <c r="E27" s="184">
        <v>1</v>
      </c>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5"/>
    </row>
    <row r="28" spans="1:38" ht="14.25" customHeight="1" x14ac:dyDescent="0.3">
      <c r="A28" s="170" t="s">
        <v>1574</v>
      </c>
      <c r="B28" s="186" t="s">
        <v>1748</v>
      </c>
      <c r="C28" s="179" t="s">
        <v>100</v>
      </c>
      <c r="D28" s="197">
        <f>IF(OR(D$3&gt;RPT_MONTH,AND(COUNT(D64:D65)=0,D78=0)),"",SUM(D65,D78)-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6</v>
      </c>
      <c r="E28" s="197">
        <f>IF(OR(E$3&gt;RPT_MONTH,AND(COUNT(E64:E65)=0,E78=0)),"",SUM(E65,E78)-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86</v>
      </c>
      <c r="F28" s="197">
        <f>IF(OR(F$3&gt;RPT_MONTH,AND(COUNT(F64:F65)=0,F78=0)),"",SUM(F65,F78)-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0</v>
      </c>
      <c r="G28" s="197" t="str">
        <f>IF(OR(G$3&gt;RPT_MONTH,AND(COUNT(G64:G65)=0,G78=0)),"",SUM(G65,G78)-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8" s="197" t="str">
        <f>IF(OR(H$3&gt;RPT_MONTH,AND(COUNT(H64:H65)=0,H78=0)),"",SUM(H65,H78)-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8" s="197" t="str">
        <f>IF(OR(I$3&gt;RPT_MONTH,AND(COUNT(I64:I65)=0,I78=0)),"",SUM(I65,I78)-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8" s="197" t="str">
        <f>IF(OR(J$3&gt;RPT_MONTH,AND(COUNT(J64:J65)=0,J78=0)),"",SUM(J65,J78)-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8" s="197" t="str">
        <f>IF(OR(K$3&gt;RPT_MONTH,AND(COUNT(K64:K65)=0,K78=0)),"",SUM(K65,K78)-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8" s="197" t="str">
        <f>IF(OR(L$3&gt;RPT_MONTH,AND(COUNT(L64:L65)=0,L78=0)),"",SUM(L65,L78)-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8" s="197" t="str">
        <f>IF(OR(M$3&gt;RPT_MONTH,AND(COUNT(M64:M65)=0,M78=0)),"",SUM(M65,M78)-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8" s="197" t="str">
        <f>IF(OR(N$3&gt;RPT_MONTH,AND(COUNT(N64:N65)=0,N78=0)),"",SUM(N65,N78)-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8" s="197" t="str">
        <f>IF(OR(O$3&gt;RPT_MONTH,AND(COUNT(O64:O65)=0,O78=0)),"",SUM(O65,O78)-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8" s="197" t="str">
        <f>IF(OR(P$3&gt;RPT_MONTH,AND(COUNT(P64:P65)=0,P78=0)),"",SUM(P65,P78)-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8" s="197" t="str">
        <f>IF(OR(Q$3&gt;RPT_MONTH,AND(COUNT(Q64:Q65)=0,Q78=0)),"",SUM(Q65,Q78)-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8" s="197" t="str">
        <f>IF(OR(R$3&gt;RPT_MONTH,AND(COUNT(R64:R65)=0,R78=0)),"",SUM(R65,R78)-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8" s="197" t="str">
        <f>IF(OR(S$3&gt;RPT_MONTH,AND(COUNT(S64:S65)=0,S78=0)),"",SUM(S65,S78)-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8" s="197" t="str">
        <f>IF(OR(T$3&gt;RPT_MONTH,AND(COUNT(T64:T65)=0,T78=0)),"",SUM(T65,T78)-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8" s="197" t="str">
        <f>IF(OR(U$3&gt;RPT_MONTH,AND(COUNT(U64:U65)=0,U78=0)),"",SUM(U65,U78)-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8" s="197" t="str">
        <f>IF(OR(V$3&gt;RPT_MONTH,AND(COUNT(V64:V65)=0,V78=0)),"",SUM(V65,V78)-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8" s="197" t="str">
        <f>IF(OR(W$3&gt;RPT_MONTH,AND(COUNT(W64:W65)=0,W78=0)),"",SUM(W65,W78)-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8" s="197" t="str">
        <f>IF(OR(X$3&gt;RPT_MONTH,AND(COUNT(X64:X65)=0,X78=0)),"",SUM(X65,X78)-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8" s="197" t="str">
        <f>IF(OR(Y$3&gt;RPT_MONTH,AND(COUNT(Y64:Y65)=0,Y78=0)),"",SUM(Y65,Y78)-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8" s="197" t="str">
        <f>IF(OR(Z$3&gt;RPT_MONTH,AND(COUNT(Z64:Z65)=0,Z78=0)),"",SUM(Z65,Z78)-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8" s="197" t="str">
        <f>IF(OR(AA$3&gt;RPT_MONTH,AND(COUNT(AA64:AA65)=0,AA78=0)),"",SUM(AA65,AA78)-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8" s="197" t="str">
        <f>IF(OR(AB$3&gt;RPT_MONTH,AND(COUNT(AB64:AB65)=0,AB78=0)),"",SUM(AB65,AB78)-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8" s="197" t="str">
        <f>IF(OR(AC$3&gt;RPT_MONTH,AND(COUNT(AC64:AC65)=0,AC78=0)),"",SUM(AC65,AC78)-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8" s="197" t="str">
        <f>IF(OR(AD$3&gt;RPT_MONTH,AND(COUNT(AD64:AD65)=0,AD78=0)),"",SUM(AD65,AD78)-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8" s="197" t="str">
        <f>IF(OR(AE$3&gt;RPT_MONTH,AND(COUNT(AE64:AE65)=0,AE78=0)),"",SUM(AE65,AE78)-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8" s="197" t="str">
        <f>IF(OR(AF$3&gt;RPT_MONTH,AND(COUNT(AF64:AF65)=0,AF78=0)),"",SUM(AF65,AF78)-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8" s="197" t="str">
        <f>IF(OR(AG$3&gt;RPT_MONTH,AND(COUNT(AG64:AG65)=0,AG78=0)),"",SUM(AG65,AG78)-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8" s="197" t="str">
        <f>IF(OR(AH$3&gt;RPT_MONTH,AND(COUNT(AH64:AH65)=0,AH78=0)),"",SUM(AH65,AH78)-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8" s="197" t="str">
        <f>IF(OR(AI$3&gt;RPT_MONTH,AND(COUNT(AI64:AI65)=0,AI78=0)),"",SUM(AI65,AI78)-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8" s="197" t="str">
        <f>IF(OR(AJ$3&gt;RPT_MONTH,AND(COUNT(AJ64:AJ65)=0,AJ78=0)),"",SUM(AJ65,AJ78)-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8" s="197" t="str">
        <f>IF(OR(AK$3&gt;RPT_MONTH,AND(COUNT(AK64:AK65)=0,AK78=0)),"",SUM(AK65,AK78)-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8" s="197" t="str">
        <f>IF(OR(AL$3&gt;RPT_MONTH,AND(COUNT(AL64:AL65)=0,AL78=0)),"",SUM(AL65,AL78)-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29" spans="1:38" s="141" customFormat="1" ht="28.2" customHeight="1" thickBot="1" x14ac:dyDescent="0.35">
      <c r="A29" s="170"/>
      <c r="B29" s="182" t="s">
        <v>1749</v>
      </c>
      <c r="C29" s="179" t="inlineStr">
        <is>
          <t>u</t>
        </is>
      </c>
      <c r="D29" s="197">
        <f>IF(OR(D$3&gt;RPT_MONTH,AND(COUNT(D64:D65)=0,D78=0)),"",SUM(D64,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29</v>
      </c>
      <c r="E29" s="197">
        <f>IF(OR(E$3&gt;RPT_MONTH,AND(COUNT(E64:E65)=0,E78=0)),"",SUM(E64,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91</v>
      </c>
      <c r="F29" s="197">
        <f>IF(OR(F$3&gt;RPT_MONTH,AND(COUNT(F64:F65)=0,F78=0)),"",SUM(F64,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3</v>
      </c>
      <c r="G29" s="197" t="str">
        <f>IF(OR(G$3&gt;RPT_MONTH,AND(COUNT(G64:G65)=0,G78=0)),"",SUM(G64,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9" s="197" t="str">
        <f>IF(OR(H$3&gt;RPT_MONTH,AND(COUNT(H64:H65)=0,H78=0)),"",SUM(H64,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9" s="197" t="str">
        <f>IF(OR(I$3&gt;RPT_MONTH,AND(COUNT(I64:I65)=0,I78=0)),"",SUM(I64,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9" s="197" t="str">
        <f>IF(OR(J$3&gt;RPT_MONTH,AND(COUNT(J64:J65)=0,J78=0)),"",SUM(J64,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9" s="197" t="str">
        <f>IF(OR(K$3&gt;RPT_MONTH,AND(COUNT(K64:K65)=0,K78=0)),"",SUM(K64,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9" s="197" t="str">
        <f>IF(OR(L$3&gt;RPT_MONTH,AND(COUNT(L64:L65)=0,L78=0)),"",SUM(L64,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9" s="197" t="str">
        <f>IF(OR(M$3&gt;RPT_MONTH,AND(COUNT(M64:M65)=0,M78=0)),"",SUM(M64,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9" s="197" t="str">
        <f>IF(OR(N$3&gt;RPT_MONTH,AND(COUNT(N64:N65)=0,N78=0)),"",SUM(N64,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9" s="197" t="str">
        <f>IF(OR(O$3&gt;RPT_MONTH,AND(COUNT(O64:O65)=0,O78=0)),"",SUM(O64,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9" s="197" t="str">
        <f>IF(OR(P$3&gt;RPT_MONTH,AND(COUNT(P64:P65)=0,P78=0)),"",SUM(P64,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9" s="197" t="str">
        <f>IF(OR(Q$3&gt;RPT_MONTH,AND(COUNT(Q64:Q65)=0,Q78=0)),"",SUM(Q64,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9" s="197" t="str">
        <f>IF(OR(R$3&gt;RPT_MONTH,AND(COUNT(R64:R65)=0,R78=0)),"",SUM(R64,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9" s="197" t="str">
        <f>IF(OR(S$3&gt;RPT_MONTH,AND(COUNT(S64:S65)=0,S78=0)),"",SUM(S64,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9" s="197" t="str">
        <f>IF(OR(T$3&gt;RPT_MONTH,AND(COUNT(T64:T65)=0,T78=0)),"",SUM(T64,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9" s="197" t="str">
        <f>IF(OR(U$3&gt;RPT_MONTH,AND(COUNT(U64:U65)=0,U78=0)),"",SUM(U64,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9" s="197" t="str">
        <f>IF(OR(V$3&gt;RPT_MONTH,AND(COUNT(V64:V65)=0,V78=0)),"",SUM(V64,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9" s="197" t="str">
        <f>IF(OR(W$3&gt;RPT_MONTH,AND(COUNT(W64:W65)=0,W78=0)),"",SUM(W64,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9" s="197" t="str">
        <f>IF(OR(X$3&gt;RPT_MONTH,AND(COUNT(X64:X65)=0,X78=0)),"",SUM(X64,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9" s="197" t="str">
        <f>IF(OR(Y$3&gt;RPT_MONTH,AND(COUNT(Y64:Y65)=0,Y78=0)),"",SUM(Y64,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9" s="197" t="str">
        <f>IF(OR(Z$3&gt;RPT_MONTH,AND(COUNT(Z64:Z65)=0,Z78=0)),"",SUM(Z64,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9" s="197" t="str">
        <f>IF(OR(AA$3&gt;RPT_MONTH,AND(COUNT(AA64:AA65)=0,AA78=0)),"",SUM(AA64,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9" s="197" t="str">
        <f>IF(OR(AB$3&gt;RPT_MONTH,AND(COUNT(AB64:AB65)=0,AB78=0)),"",SUM(AB64,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9" s="197" t="str">
        <f>IF(OR(AC$3&gt;RPT_MONTH,AND(COUNT(AC64:AC65)=0,AC78=0)),"",SUM(AC64,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9" s="197" t="str">
        <f>IF(OR(AD$3&gt;RPT_MONTH,AND(COUNT(AD64:AD65)=0,AD78=0)),"",SUM(AD64,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9" s="197" t="str">
        <f>IF(OR(AE$3&gt;RPT_MONTH,AND(COUNT(AE64:AE65)=0,AE78=0)),"",SUM(AE64,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9" s="197" t="str">
        <f>IF(OR(AF$3&gt;RPT_MONTH,AND(COUNT(AF64:AF65)=0,AF78=0)),"",SUM(AF64,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9" s="197" t="str">
        <f>IF(OR(AG$3&gt;RPT_MONTH,AND(COUNT(AG64:AG65)=0,AG78=0)),"",SUM(AG64,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9" s="197" t="str">
        <f>IF(OR(AH$3&gt;RPT_MONTH,AND(COUNT(AH64:AH65)=0,AH78=0)),"",SUM(AH64,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9" s="197" t="str">
        <f>IF(OR(AI$3&gt;RPT_MONTH,AND(COUNT(AI64:AI65)=0,AI78=0)),"",SUM(AI64,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9" s="197" t="str">
        <f>IF(OR(AJ$3&gt;RPT_MONTH,AND(COUNT(AJ64:AJ65)=0,AJ78=0)),"",SUM(AJ64,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9" s="197" t="str">
        <f>IF(OR(AK$3&gt;RPT_MONTH,AND(COUNT(AK64:AK65)=0,AK78=0)),"",SUM(AK64,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9" s="197" t="str">
        <f>IF(OR(AL$3&gt;RPT_MONTH,AND(COUNT(AL64:AL65)=0,AL78=0)),"",SUM(AL64,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30" spans="1:38" ht="14.25" customHeight="1" x14ac:dyDescent="0.3">
      <c r="A30" s="119" t="s">
        <v>1575</v>
      </c>
      <c r="B30" s="175" t="s">
        <v>1646</v>
      </c>
      <c r="C30" s="176" t="s">
        <v>100</v>
      </c>
      <c r="D30" s="177">
        <v>0</v>
      </c>
      <c r="E30" s="177">
        <v>0</v>
      </c>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row>
    <row r="31" spans="1:38" ht="14.25" customHeight="1" x14ac:dyDescent="0.3">
      <c r="A31" s="119" t="s">
        <v>1576</v>
      </c>
      <c r="B31" s="26" t="s">
        <v>1647</v>
      </c>
      <c r="C31" s="23" t="s">
        <v>73</v>
      </c>
      <c r="D31" s="128">
        <v>0</v>
      </c>
      <c r="E31" s="128">
        <v>0</v>
      </c>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row>
    <row r="32" spans="1:38" ht="14.25" customHeight="1" x14ac:dyDescent="0.3">
      <c r="A32" s="115"/>
      <c r="B32" s="142" t="s">
        <v>160</v>
      </c>
      <c r="C32" s="143"/>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row>
    <row r="33" spans="1:38" ht="14.25" customHeight="1" x14ac:dyDescent="0.3">
      <c r="A33" s="119" t="s">
        <v>1577</v>
      </c>
      <c r="B33" s="26" t="s">
        <v>1648</v>
      </c>
      <c r="C33" s="23" t="s">
        <v>100</v>
      </c>
      <c r="D33" s="128">
        <v>0</v>
      </c>
      <c r="E33" s="128">
        <v>0</v>
      </c>
      <c r="F33" s="128"/>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8"/>
      <c r="AH33" s="128"/>
      <c r="AI33" s="128"/>
      <c r="AJ33" s="128"/>
      <c r="AK33" s="128"/>
      <c r="AL33" s="128"/>
    </row>
    <row r="34" spans="1:38" ht="14.25" customHeight="1" x14ac:dyDescent="0.3">
      <c r="A34" s="119" t="s">
        <v>1578</v>
      </c>
      <c r="B34" s="26" t="s">
        <v>1649</v>
      </c>
      <c r="C34" s="23" t="s">
        <v>100</v>
      </c>
      <c r="D34" s="128">
        <v>0</v>
      </c>
      <c r="E34" s="128">
        <v>0</v>
      </c>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row>
    <row r="35" spans="1:38" ht="14.25" customHeight="1" x14ac:dyDescent="0.3">
      <c r="A35" s="119" t="s">
        <v>1579</v>
      </c>
      <c r="B35" s="26" t="s">
        <v>1650</v>
      </c>
      <c r="C35" s="23" t="s">
        <v>100</v>
      </c>
      <c r="D35" s="128">
        <v>0</v>
      </c>
      <c r="E35" s="128">
        <v>0</v>
      </c>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row>
    <row r="36" spans="1:38" ht="14.25" customHeight="1" x14ac:dyDescent="0.3">
      <c r="A36" s="119" t="s">
        <v>1580</v>
      </c>
      <c r="B36" s="26" t="s">
        <v>1651</v>
      </c>
      <c r="C36" s="23" t="s">
        <v>100</v>
      </c>
      <c r="D36" s="128">
        <v>0</v>
      </c>
      <c r="E36" s="128">
        <v>0</v>
      </c>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row>
    <row r="37" spans="1:38" ht="14.25" customHeight="1" x14ac:dyDescent="0.3">
      <c r="A37" s="119" t="s">
        <v>1581</v>
      </c>
      <c r="B37" s="26" t="s">
        <v>1652</v>
      </c>
      <c r="C37" s="23" t="s">
        <v>100</v>
      </c>
      <c r="D37" s="128">
        <v>0</v>
      </c>
      <c r="E37" s="128">
        <v>0</v>
      </c>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row>
    <row r="38" spans="1:38" ht="24.75" customHeight="1" x14ac:dyDescent="0.3">
      <c r="A38" s="115"/>
      <c r="B38" s="142" t="s">
        <v>161</v>
      </c>
      <c r="C38" s="143"/>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row>
    <row r="39" spans="1:38" ht="14.25" customHeight="1" x14ac:dyDescent="0.3">
      <c r="A39" s="119" t="s">
        <v>1582</v>
      </c>
      <c r="B39" s="26" t="s">
        <v>1653</v>
      </c>
      <c r="C39" s="23" t="s">
        <v>100</v>
      </c>
      <c r="D39" s="128">
        <v>0</v>
      </c>
      <c r="E39" s="128">
        <v>0</v>
      </c>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row>
    <row r="40" spans="1:38" ht="14.25" customHeight="1" x14ac:dyDescent="0.3">
      <c r="A40" s="119" t="s">
        <v>1583</v>
      </c>
      <c r="B40" s="26" t="s">
        <v>1654</v>
      </c>
      <c r="C40" s="23" t="s">
        <v>100</v>
      </c>
      <c r="D40" s="128">
        <v>0</v>
      </c>
      <c r="E40" s="128">
        <v>0</v>
      </c>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row>
    <row r="41" spans="1:38" ht="14.25" customHeight="1" x14ac:dyDescent="0.3">
      <c r="A41" s="119" t="s">
        <v>1584</v>
      </c>
      <c r="B41" s="26" t="s">
        <v>1655</v>
      </c>
      <c r="C41" s="23" t="s">
        <v>100</v>
      </c>
      <c r="D41" s="128">
        <v>0</v>
      </c>
      <c r="E41" s="128">
        <v>0</v>
      </c>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row>
    <row r="42" spans="1:38" ht="14.25" customHeight="1" x14ac:dyDescent="0.3">
      <c r="A42" s="119" t="s">
        <v>1585</v>
      </c>
      <c r="B42" s="26" t="s">
        <v>1656</v>
      </c>
      <c r="C42" s="23" t="s">
        <v>100</v>
      </c>
      <c r="D42" s="128">
        <v>0</v>
      </c>
      <c r="E42" s="128">
        <v>0</v>
      </c>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row>
    <row r="43" spans="1:38" ht="14.25" customHeight="1" x14ac:dyDescent="0.3">
      <c r="A43" s="115"/>
      <c r="B43" s="142" t="s">
        <v>162</v>
      </c>
      <c r="C43" s="143"/>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1:38" ht="13.5" customHeight="1" x14ac:dyDescent="0.3">
      <c r="A44" s="118" t="s">
        <v>1586</v>
      </c>
      <c r="B44" s="22" t="s">
        <v>1657</v>
      </c>
      <c r="C44" s="23" t="s">
        <v>163</v>
      </c>
      <c r="D44" s="128">
        <v>17109</v>
      </c>
      <c r="E44" s="128">
        <v>23003</v>
      </c>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row>
    <row r="45" spans="1:38" ht="13.5" customHeight="1" x14ac:dyDescent="0.3">
      <c r="A45" s="118" t="s">
        <v>1587</v>
      </c>
      <c r="B45" s="22" t="s">
        <v>1658</v>
      </c>
      <c r="C45" s="23" t="s">
        <v>163</v>
      </c>
      <c r="D45" s="128">
        <v>25000</v>
      </c>
      <c r="E45" s="128">
        <v>74513</v>
      </c>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row>
    <row r="46" spans="1:38" ht="13.5" customHeight="1" x14ac:dyDescent="0.3">
      <c r="A46" s="118" t="s">
        <v>1588</v>
      </c>
      <c r="B46" s="22" t="s">
        <v>1659</v>
      </c>
      <c r="C46" s="23" t="s">
        <v>163</v>
      </c>
      <c r="D46" s="128">
        <v>13948</v>
      </c>
      <c r="E46" s="128">
        <v>19251</v>
      </c>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row>
    <row r="47" spans="1:38" ht="13.5" customHeight="1" x14ac:dyDescent="0.3">
      <c r="A47" s="117" t="s">
        <v>1589</v>
      </c>
      <c r="B47" s="24" t="s">
        <v>1660</v>
      </c>
      <c r="C47" s="23" t="s">
        <v>163</v>
      </c>
      <c r="D47" s="196">
        <f t="shared" ref="D47:AL47" si="4">SUM(D44:D46)</f>
        <v>56057</v>
      </c>
      <c r="E47" s="196">
        <f t="shared" si="4"/>
        <v>116767</v>
      </c>
      <c r="F47" s="196">
        <f t="shared" si="4"/>
        <v>0</v>
      </c>
      <c r="G47" s="196">
        <f t="shared" si="4"/>
        <v>0</v>
      </c>
      <c r="H47" s="196">
        <f t="shared" si="4"/>
        <v>0</v>
      </c>
      <c r="I47" s="196">
        <f t="shared" si="4"/>
        <v>0</v>
      </c>
      <c r="J47" s="196">
        <f t="shared" si="4"/>
        <v>0</v>
      </c>
      <c r="K47" s="196">
        <f t="shared" si="4"/>
        <v>0</v>
      </c>
      <c r="L47" s="196">
        <f t="shared" si="4"/>
        <v>0</v>
      </c>
      <c r="M47" s="196">
        <f t="shared" si="4"/>
        <v>0</v>
      </c>
      <c r="N47" s="196">
        <f t="shared" si="4"/>
        <v>0</v>
      </c>
      <c r="O47" s="196">
        <f t="shared" si="4"/>
        <v>0</v>
      </c>
      <c r="P47" s="196">
        <f t="shared" si="4"/>
        <v>0</v>
      </c>
      <c r="Q47" s="196">
        <f t="shared" si="4"/>
        <v>0</v>
      </c>
      <c r="R47" s="196">
        <f t="shared" si="4"/>
        <v>0</v>
      </c>
      <c r="S47" s="196">
        <f t="shared" si="4"/>
        <v>0</v>
      </c>
      <c r="T47" s="196">
        <f t="shared" si="4"/>
        <v>0</v>
      </c>
      <c r="U47" s="196">
        <f t="shared" si="4"/>
        <v>0</v>
      </c>
      <c r="V47" s="196">
        <f t="shared" si="4"/>
        <v>0</v>
      </c>
      <c r="W47" s="196">
        <f t="shared" si="4"/>
        <v>0</v>
      </c>
      <c r="X47" s="196">
        <f t="shared" si="4"/>
        <v>0</v>
      </c>
      <c r="Y47" s="196">
        <f t="shared" si="4"/>
        <v>0</v>
      </c>
      <c r="Z47" s="196">
        <f t="shared" si="4"/>
        <v>0</v>
      </c>
      <c r="AA47" s="196">
        <f t="shared" si="4"/>
        <v>0</v>
      </c>
      <c r="AB47" s="196">
        <f t="shared" si="4"/>
        <v>0</v>
      </c>
      <c r="AC47" s="196">
        <f t="shared" si="4"/>
        <v>0</v>
      </c>
      <c r="AD47" s="196">
        <f t="shared" si="4"/>
        <v>0</v>
      </c>
      <c r="AE47" s="196">
        <f t="shared" si="4"/>
        <v>0</v>
      </c>
      <c r="AF47" s="196">
        <f t="shared" si="4"/>
        <v>0</v>
      </c>
      <c r="AG47" s="196">
        <f t="shared" si="4"/>
        <v>0</v>
      </c>
      <c r="AH47" s="196">
        <f t="shared" si="4"/>
        <v>0</v>
      </c>
      <c r="AI47" s="196">
        <f t="shared" si="4"/>
        <v>0</v>
      </c>
      <c r="AJ47" s="196">
        <f t="shared" si="4"/>
        <v>0</v>
      </c>
      <c r="AK47" s="196">
        <f t="shared" si="4"/>
        <v>0</v>
      </c>
      <c r="AL47" s="196">
        <f t="shared" si="4"/>
        <v>0</v>
      </c>
    </row>
    <row r="48" spans="1:38" ht="15" customHeight="1" x14ac:dyDescent="0.3">
      <c r="A48" s="115"/>
      <c r="B48" s="142" t="s">
        <v>1742</v>
      </c>
      <c r="C48" s="143"/>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row>
    <row r="49" spans="1:38" ht="18" customHeight="1" x14ac:dyDescent="0.3">
      <c r="A49" s="118" t="s">
        <v>1590</v>
      </c>
      <c r="B49" s="22" t="s">
        <v>1661</v>
      </c>
      <c r="C49" s="23" t="s">
        <v>156</v>
      </c>
      <c r="D49" s="128">
        <v>83</v>
      </c>
      <c r="E49" s="128">
        <v>112</v>
      </c>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row>
    <row r="50" spans="1:38" ht="26.25" customHeight="1" x14ac:dyDescent="0.3">
      <c r="A50" s="118" t="s">
        <v>1591</v>
      </c>
      <c r="B50" s="22" t="s">
        <v>1746</v>
      </c>
      <c r="C50" s="23" t="s">
        <v>156</v>
      </c>
      <c r="D50" s="128">
        <v>9</v>
      </c>
      <c r="E50" s="128">
        <v>11</v>
      </c>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row>
    <row r="51" spans="1:38" ht="13.5" customHeight="1" x14ac:dyDescent="0.3">
      <c r="A51" s="117" t="s">
        <v>1592</v>
      </c>
      <c r="B51" s="24" t="s">
        <v>1662</v>
      </c>
      <c r="C51" s="23" t="s">
        <v>156</v>
      </c>
      <c r="D51" s="196">
        <f t="shared" ref="D51:AL51" si="5">IF(COUNT(D49:D50)=0,"",D49+D50)</f>
        <v>92</v>
      </c>
      <c r="E51" s="196">
        <f t="shared" si="5"/>
        <v>123</v>
      </c>
      <c r="F51" s="196" t="str">
        <f t="shared" si="5"/>
        <v/>
      </c>
      <c r="G51" s="196" t="str">
        <f t="shared" si="5"/>
        <v/>
      </c>
      <c r="H51" s="196" t="str">
        <f t="shared" si="5"/>
        <v/>
      </c>
      <c r="I51" s="196" t="str">
        <f t="shared" si="5"/>
        <v/>
      </c>
      <c r="J51" s="196" t="str">
        <f t="shared" si="5"/>
        <v/>
      </c>
      <c r="K51" s="196" t="str">
        <f t="shared" si="5"/>
        <v/>
      </c>
      <c r="L51" s="196" t="str">
        <f t="shared" si="5"/>
        <v/>
      </c>
      <c r="M51" s="196" t="str">
        <f t="shared" si="5"/>
        <v/>
      </c>
      <c r="N51" s="196" t="str">
        <f t="shared" si="5"/>
        <v/>
      </c>
      <c r="O51" s="196" t="str">
        <f t="shared" si="5"/>
        <v/>
      </c>
      <c r="P51" s="196" t="str">
        <f t="shared" si="5"/>
        <v/>
      </c>
      <c r="Q51" s="196" t="str">
        <f t="shared" si="5"/>
        <v/>
      </c>
      <c r="R51" s="196" t="str">
        <f t="shared" si="5"/>
        <v/>
      </c>
      <c r="S51" s="196" t="str">
        <f t="shared" si="5"/>
        <v/>
      </c>
      <c r="T51" s="196" t="str">
        <f t="shared" si="5"/>
        <v/>
      </c>
      <c r="U51" s="196" t="str">
        <f t="shared" si="5"/>
        <v/>
      </c>
      <c r="V51" s="196" t="str">
        <f t="shared" si="5"/>
        <v/>
      </c>
      <c r="W51" s="196" t="str">
        <f t="shared" si="5"/>
        <v/>
      </c>
      <c r="X51" s="196" t="str">
        <f t="shared" si="5"/>
        <v/>
      </c>
      <c r="Y51" s="196" t="str">
        <f t="shared" si="5"/>
        <v/>
      </c>
      <c r="Z51" s="196" t="str">
        <f t="shared" si="5"/>
        <v/>
      </c>
      <c r="AA51" s="196" t="str">
        <f t="shared" si="5"/>
        <v/>
      </c>
      <c r="AB51" s="196" t="str">
        <f t="shared" si="5"/>
        <v/>
      </c>
      <c r="AC51" s="196" t="str">
        <f t="shared" si="5"/>
        <v/>
      </c>
      <c r="AD51" s="196" t="str">
        <f t="shared" si="5"/>
        <v/>
      </c>
      <c r="AE51" s="196" t="str">
        <f t="shared" si="5"/>
        <v/>
      </c>
      <c r="AF51" s="196" t="str">
        <f t="shared" si="5"/>
        <v/>
      </c>
      <c r="AG51" s="196" t="str">
        <f t="shared" si="5"/>
        <v/>
      </c>
      <c r="AH51" s="196" t="str">
        <f t="shared" si="5"/>
        <v/>
      </c>
      <c r="AI51" s="196" t="str">
        <f t="shared" si="5"/>
        <v/>
      </c>
      <c r="AJ51" s="196" t="str">
        <f t="shared" si="5"/>
        <v/>
      </c>
      <c r="AK51" s="196" t="str">
        <f t="shared" si="5"/>
        <v/>
      </c>
      <c r="AL51" s="196" t="str">
        <f t="shared" si="5"/>
        <v/>
      </c>
    </row>
    <row r="52" spans="1:38" ht="14.25" customHeight="1" x14ac:dyDescent="0.3">
      <c r="A52" s="119" t="s">
        <v>1593</v>
      </c>
      <c r="B52" s="26" t="s">
        <v>1663</v>
      </c>
      <c r="C52" s="23" t="s">
        <v>100</v>
      </c>
      <c r="D52" s="128">
        <v>0</v>
      </c>
      <c r="E52" s="128">
        <v>1</v>
      </c>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row>
    <row r="53" spans="1:38" ht="14.25" customHeight="1" x14ac:dyDescent="0.3">
      <c r="A53" s="119" t="s">
        <v>1594</v>
      </c>
      <c r="B53" s="26" t="s">
        <v>1664</v>
      </c>
      <c r="C53" s="23" t="s">
        <v>100</v>
      </c>
      <c r="D53" s="128">
        <v>0</v>
      </c>
      <c r="E53" s="128">
        <v>1</v>
      </c>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row>
    <row r="54" spans="1:38" ht="26.25" customHeight="1" x14ac:dyDescent="0.3">
      <c r="A54" s="115"/>
      <c r="B54" s="142" t="s">
        <v>1730</v>
      </c>
      <c r="C54" s="143"/>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row>
    <row r="55" spans="1:38" ht="19.2" customHeight="1" x14ac:dyDescent="0.3">
      <c r="A55" s="119" t="s">
        <v>1731</v>
      </c>
      <c r="B55" s="26" t="s">
        <v>1732</v>
      </c>
      <c r="C55" s="23" t="s">
        <v>73</v>
      </c>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row>
    <row r="56" spans="1:38" ht="15.6" customHeight="1" x14ac:dyDescent="0.3">
      <c r="A56" s="119" t="s">
        <v>1733</v>
      </c>
      <c r="B56" s="26" t="s">
        <v>1734</v>
      </c>
      <c r="C56" s="23" t="s">
        <v>73</v>
      </c>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row>
    <row r="57" spans="1:38" ht="18" customHeight="1" x14ac:dyDescent="0.3">
      <c r="A57" s="119" t="s">
        <v>1735</v>
      </c>
      <c r="B57" s="26" t="s">
        <v>1736</v>
      </c>
      <c r="C57" s="23" t="s">
        <v>73</v>
      </c>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row>
    <row r="58" spans="1:38" ht="16.8" customHeight="1" x14ac:dyDescent="0.3">
      <c r="A58" s="119" t="s">
        <v>1737</v>
      </c>
      <c r="B58" s="26" t="s">
        <v>1738</v>
      </c>
      <c r="C58" s="23" t="s">
        <v>73</v>
      </c>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row>
    <row r="59" spans="1:38" ht="17.399999999999999" customHeight="1" x14ac:dyDescent="0.3">
      <c r="A59" s="119" t="s">
        <v>1739</v>
      </c>
      <c r="B59" s="26" t="s">
        <v>1740</v>
      </c>
      <c r="C59" s="23" t="s">
        <v>73</v>
      </c>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row>
    <row r="60" spans="1:38" ht="26.25" customHeight="1" x14ac:dyDescent="0.3">
      <c r="A60" s="115"/>
      <c r="B60" s="142" t="s">
        <v>1747</v>
      </c>
      <c r="C60" s="143"/>
      <c r="D60" s="44"/>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row>
    <row r="61" spans="1:38" ht="14.25" customHeight="1" x14ac:dyDescent="0.3">
      <c r="A61" s="119" t="s">
        <v>1595</v>
      </c>
      <c r="B61" s="26" t="s">
        <v>1707</v>
      </c>
      <c r="C61" s="23" t="s">
        <v>1555</v>
      </c>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row>
    <row r="62" spans="1:38" ht="26.25" customHeight="1" x14ac:dyDescent="0.3">
      <c r="A62" s="119" t="s">
        <v>1596</v>
      </c>
      <c r="B62" s="26" t="s">
        <v>1665</v>
      </c>
      <c r="C62" s="23" t="s">
        <v>1556</v>
      </c>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row>
    <row r="63" spans="1:38" ht="18" customHeight="1" x14ac:dyDescent="0.3">
      <c r="A63" s="107"/>
      <c r="B63" s="107" t="s">
        <v>1741</v>
      </c>
      <c r="C63" s="44"/>
      <c r="D63" s="44"/>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row>
    <row r="64" spans="1:38" ht="27" customHeight="1" x14ac:dyDescent="0.3">
      <c r="A64" s="119" t="s">
        <v>1703</v>
      </c>
      <c r="B64" s="26" t="s">
        <v>167</v>
      </c>
      <c r="C64" s="23" t="s">
        <v>168</v>
      </c>
      <c r="D64" s="128"/>
      <c r="E64" s="128">
        <v>65</v>
      </c>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row>
    <row r="65" spans="1:38" ht="14.25" customHeight="1" x14ac:dyDescent="0.3">
      <c r="A65" s="119" t="s">
        <v>1704</v>
      </c>
      <c r="B65" s="26" t="s">
        <v>169</v>
      </c>
      <c r="C65" s="23" t="s">
        <v>168</v>
      </c>
      <c r="D65" s="128"/>
      <c r="E65" s="128">
        <v>80</v>
      </c>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row>
    <row r="66" spans="1:38" ht="24" hidden="1" customHeight="1" outlineLevel="1" x14ac:dyDescent="0.3">
      <c r="A66" s="115"/>
      <c r="B66" s="142" t="s">
        <v>1708</v>
      </c>
      <c r="C66" s="143"/>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row>
    <row r="67" spans="1:38" ht="14.25" hidden="1" customHeight="1" outlineLevel="1" x14ac:dyDescent="0.3">
      <c r="A67" s="119" t="s">
        <v>1597</v>
      </c>
      <c r="B67" s="26" t="s">
        <v>1666</v>
      </c>
      <c r="C67" s="23" t="s">
        <v>100</v>
      </c>
      <c r="D67" s="128">
        <v>26</v>
      </c>
      <c r="E67" s="128">
        <v>8</v>
      </c>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row>
    <row r="68" spans="1:38" ht="14.25" hidden="1" customHeight="1" outlineLevel="1" x14ac:dyDescent="0.3">
      <c r="A68" s="119" t="s">
        <v>1598</v>
      </c>
      <c r="B68" s="26" t="s">
        <v>1667</v>
      </c>
      <c r="C68" s="23" t="s">
        <v>73</v>
      </c>
      <c r="D68" s="128">
        <v>35</v>
      </c>
      <c r="E68" s="128">
        <v>2</v>
      </c>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row>
    <row r="69" spans="1:38" ht="14.25" hidden="1" customHeight="1" outlineLevel="1" x14ac:dyDescent="0.3">
      <c r="A69" s="119" t="s">
        <v>1599</v>
      </c>
      <c r="B69" s="26" t="s">
        <v>1668</v>
      </c>
      <c r="C69" s="23" t="s">
        <v>100</v>
      </c>
      <c r="D69" s="128">
        <v>6</v>
      </c>
      <c r="E69" s="128">
        <v>21</v>
      </c>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row>
    <row r="70" spans="1:38" ht="14.25" hidden="1" customHeight="1" outlineLevel="1" x14ac:dyDescent="0.3">
      <c r="A70" s="119" t="s">
        <v>1600</v>
      </c>
      <c r="B70" s="26" t="s">
        <v>1669</v>
      </c>
      <c r="C70" s="23" t="s">
        <v>100</v>
      </c>
      <c r="D70" s="128">
        <v>32</v>
      </c>
      <c r="E70" s="128">
        <v>29</v>
      </c>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row>
    <row r="71" spans="1:38" ht="14.25" hidden="1" customHeight="1" outlineLevel="1" x14ac:dyDescent="0.3">
      <c r="A71" s="119" t="s">
        <v>1601</v>
      </c>
      <c r="B71" s="26" t="s">
        <v>1670</v>
      </c>
      <c r="C71" s="23" t="s">
        <v>100</v>
      </c>
      <c r="D71" s="128">
        <v>0</v>
      </c>
      <c r="E71" s="128">
        <v>0</v>
      </c>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row>
    <row r="72" spans="1:38" ht="14.25" hidden="1" customHeight="1" outlineLevel="1" x14ac:dyDescent="0.3">
      <c r="A72" s="119" t="s">
        <v>1602</v>
      </c>
      <c r="B72" s="26" t="s">
        <v>1671</v>
      </c>
      <c r="C72" s="23" t="s">
        <v>100</v>
      </c>
      <c r="D72" s="128">
        <v>0</v>
      </c>
      <c r="E72" s="128">
        <v>0</v>
      </c>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row>
    <row r="73" spans="1:38" ht="14.25" hidden="1" customHeight="1" outlineLevel="1" x14ac:dyDescent="0.3">
      <c r="A73" s="119" t="s">
        <v>1603</v>
      </c>
      <c r="B73" s="26" t="s">
        <v>1672</v>
      </c>
      <c r="C73" s="23" t="s">
        <v>100</v>
      </c>
      <c r="D73" s="128">
        <v>0</v>
      </c>
      <c r="E73" s="128">
        <v>0</v>
      </c>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row>
    <row r="74" spans="1:38" ht="14.25" hidden="1" customHeight="1" outlineLevel="1" x14ac:dyDescent="0.3">
      <c r="A74" s="119" t="s">
        <v>1604</v>
      </c>
      <c r="B74" s="26" t="s">
        <v>1673</v>
      </c>
      <c r="C74" s="23" t="s">
        <v>100</v>
      </c>
      <c r="D74" s="187">
        <f t="shared" ref="D74:AL74" si="6">D70-D71-D72-D73</f>
        <v>32</v>
      </c>
      <c r="E74" s="187">
        <f t="shared" si="6"/>
        <v>29</v>
      </c>
      <c r="F74" s="187">
        <f t="shared" si="6"/>
        <v>0</v>
      </c>
      <c r="G74" s="187">
        <f t="shared" si="6"/>
        <v>0</v>
      </c>
      <c r="H74" s="187">
        <f t="shared" si="6"/>
        <v>0</v>
      </c>
      <c r="I74" s="187">
        <f t="shared" si="6"/>
        <v>0</v>
      </c>
      <c r="J74" s="187">
        <f t="shared" si="6"/>
        <v>0</v>
      </c>
      <c r="K74" s="187">
        <f t="shared" si="6"/>
        <v>0</v>
      </c>
      <c r="L74" s="187">
        <f t="shared" si="6"/>
        <v>0</v>
      </c>
      <c r="M74" s="187">
        <f t="shared" si="6"/>
        <v>0</v>
      </c>
      <c r="N74" s="187">
        <f t="shared" si="6"/>
        <v>0</v>
      </c>
      <c r="O74" s="187">
        <f t="shared" si="6"/>
        <v>0</v>
      </c>
      <c r="P74" s="187">
        <f t="shared" si="6"/>
        <v>0</v>
      </c>
      <c r="Q74" s="187">
        <f t="shared" si="6"/>
        <v>0</v>
      </c>
      <c r="R74" s="187">
        <f t="shared" si="6"/>
        <v>0</v>
      </c>
      <c r="S74" s="187">
        <f t="shared" si="6"/>
        <v>0</v>
      </c>
      <c r="T74" s="187">
        <f t="shared" si="6"/>
        <v>0</v>
      </c>
      <c r="U74" s="187">
        <f t="shared" si="6"/>
        <v>0</v>
      </c>
      <c r="V74" s="187">
        <f t="shared" si="6"/>
        <v>0</v>
      </c>
      <c r="W74" s="187">
        <f t="shared" si="6"/>
        <v>0</v>
      </c>
      <c r="X74" s="187">
        <f t="shared" si="6"/>
        <v>0</v>
      </c>
      <c r="Y74" s="187">
        <f t="shared" si="6"/>
        <v>0</v>
      </c>
      <c r="Z74" s="187">
        <f t="shared" si="6"/>
        <v>0</v>
      </c>
      <c r="AA74" s="187">
        <f t="shared" si="6"/>
        <v>0</v>
      </c>
      <c r="AB74" s="187">
        <f t="shared" si="6"/>
        <v>0</v>
      </c>
      <c r="AC74" s="187">
        <f t="shared" si="6"/>
        <v>0</v>
      </c>
      <c r="AD74" s="187">
        <f t="shared" si="6"/>
        <v>0</v>
      </c>
      <c r="AE74" s="187">
        <f t="shared" si="6"/>
        <v>0</v>
      </c>
      <c r="AF74" s="187">
        <f t="shared" si="6"/>
        <v>0</v>
      </c>
      <c r="AG74" s="187">
        <f t="shared" si="6"/>
        <v>0</v>
      </c>
      <c r="AH74" s="187">
        <f t="shared" si="6"/>
        <v>0</v>
      </c>
      <c r="AI74" s="187">
        <f t="shared" si="6"/>
        <v>0</v>
      </c>
      <c r="AJ74" s="187">
        <f t="shared" si="6"/>
        <v>0</v>
      </c>
      <c r="AK74" s="187">
        <f t="shared" si="6"/>
        <v>0</v>
      </c>
      <c r="AL74" s="187">
        <f t="shared" si="6"/>
        <v>0</v>
      </c>
    </row>
    <row r="75" spans="1:38" ht="14.25" hidden="1" customHeight="1" outlineLevel="1" x14ac:dyDescent="0.3">
      <c r="A75" s="119" t="s">
        <v>1605</v>
      </c>
      <c r="B75" s="26" t="s">
        <v>1674</v>
      </c>
      <c r="C75" s="23" t="s">
        <v>100</v>
      </c>
      <c r="D75" s="128">
        <v>0</v>
      </c>
      <c r="E75" s="128">
        <v>0</v>
      </c>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row>
    <row r="76" spans="1:38" ht="16.2" hidden="1" customHeight="1" outlineLevel="1" x14ac:dyDescent="0.3">
      <c r="A76" s="119" t="s">
        <v>1606</v>
      </c>
      <c r="B76" s="26" t="s">
        <v>1675</v>
      </c>
      <c r="C76" s="23" t="s">
        <v>100</v>
      </c>
      <c r="D76" s="128">
        <v>0</v>
      </c>
      <c r="E76" s="128">
        <v>0</v>
      </c>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row>
    <row r="77" spans="1:38" ht="42" hidden="1" customHeight="1" outlineLevel="1" x14ac:dyDescent="0.3">
      <c r="A77" s="107"/>
      <c r="B77" s="107" t="s">
        <v>1554</v>
      </c>
      <c r="C77" s="44"/>
      <c r="D77" s="44"/>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row>
    <row r="78" spans="1:38" ht="30.6" hidden="1" customHeight="1" outlineLevel="1" x14ac:dyDescent="0.3">
      <c r="A78" s="119" t="s">
        <v>1705</v>
      </c>
      <c r="B78" s="26" t="s">
        <v>170</v>
      </c>
      <c r="C78" s="23" t="s">
        <v>168</v>
      </c>
      <c r="D78" s="187">
        <f>COUNTIFS('Observaciones-SMP'!$B$2:$B$1001,"&gt;="&amp;D$3,'Observaciones-SMP'!$B$2:$B$1001,"&lt;="&amp;EOMONTH(D$3,0))</f>
        <v>35</v>
      </c>
      <c r="E78" s="187">
        <f>COUNTIFS('Observaciones-SMP'!$B$2:$B$1001,"&gt;="&amp;E$3,'Observaciones-SMP'!$B$2:$B$1001,"&lt;="&amp;EOMONTH(E$3,0))</f>
        <v>32</v>
      </c>
      <c r="F78" s="187">
        <f>COUNTIFS('Observaciones-SMP'!$B$2:$B$1001,"&gt;="&amp;F$3,'Observaciones-SMP'!$B$2:$B$1001,"&lt;="&amp;EOMONTH(F$3,0))</f>
        <v>3</v>
      </c>
      <c r="G78" s="187">
        <f>COUNTIFS('Observaciones-SMP'!$B$2:$B$1001,"&gt;="&amp;G$3,'Observaciones-SMP'!$B$2:$B$1001,"&lt;="&amp;EOMONTH(G$3,0))</f>
        <v>0</v>
      </c>
      <c r="H78" s="187">
        <f>COUNTIFS('Observaciones-SMP'!$B$2:$B$1001,"&gt;="&amp;H$3,'Observaciones-SMP'!$B$2:$B$1001,"&lt;="&amp;EOMONTH(H$3,0))</f>
        <v>0</v>
      </c>
      <c r="I78" s="187">
        <f>COUNTIFS('Observaciones-SMP'!$B$2:$B$1001,"&gt;="&amp;I$3,'Observaciones-SMP'!$B$2:$B$1001,"&lt;="&amp;EOMONTH(I$3,0))</f>
        <v>0</v>
      </c>
      <c r="J78" s="187">
        <f>COUNTIFS('Observaciones-SMP'!$B$2:$B$1001,"&gt;="&amp;J$3,'Observaciones-SMP'!$B$2:$B$1001,"&lt;="&amp;EOMONTH(J$3,0))</f>
        <v>0</v>
      </c>
      <c r="K78" s="187">
        <f>COUNTIFS('Observaciones-SMP'!$B$2:$B$1001,"&gt;="&amp;K$3,'Observaciones-SMP'!$B$2:$B$1001,"&lt;="&amp;EOMONTH(K$3,0))</f>
        <v>0</v>
      </c>
      <c r="L78" s="187">
        <f>COUNTIFS('Observaciones-SMP'!$B$2:$B$1001,"&gt;="&amp;L$3,'Observaciones-SMP'!$B$2:$B$1001,"&lt;="&amp;EOMONTH(L$3,0))</f>
        <v>0</v>
      </c>
      <c r="M78" s="187">
        <f>COUNTIFS('Observaciones-SMP'!$B$2:$B$1001,"&gt;="&amp;M$3,'Observaciones-SMP'!$B$2:$B$1001,"&lt;="&amp;EOMONTH(M$3,0))</f>
        <v>0</v>
      </c>
      <c r="N78" s="187">
        <f>COUNTIFS('Observaciones-SMP'!$B$2:$B$1001,"&gt;="&amp;N$3,'Observaciones-SMP'!$B$2:$B$1001,"&lt;="&amp;EOMONTH(N$3,0))</f>
        <v>0</v>
      </c>
      <c r="O78" s="187">
        <f>COUNTIFS('Observaciones-SMP'!$B$2:$B$1001,"&gt;="&amp;O$3,'Observaciones-SMP'!$B$2:$B$1001,"&lt;="&amp;EOMONTH(O$3,0))</f>
        <v>0</v>
      </c>
      <c r="P78" s="187">
        <f>COUNTIFS('Observaciones-SMP'!$B$2:$B$1001,"&gt;="&amp;P$3,'Observaciones-SMP'!$B$2:$B$1001,"&lt;="&amp;EOMONTH(P$3,0))</f>
        <v>0</v>
      </c>
      <c r="Q78" s="187">
        <f>COUNTIFS('Observaciones-SMP'!$B$2:$B$1001,"&gt;="&amp;Q$3,'Observaciones-SMP'!$B$2:$B$1001,"&lt;="&amp;EOMONTH(Q$3,0))</f>
        <v>0</v>
      </c>
      <c r="R78" s="187">
        <f>COUNTIFS('Observaciones-SMP'!$B$2:$B$1001,"&gt;="&amp;R$3,'Observaciones-SMP'!$B$2:$B$1001,"&lt;="&amp;EOMONTH(R$3,0))</f>
        <v>0</v>
      </c>
      <c r="S78" s="187">
        <f>COUNTIFS('Observaciones-SMP'!$B$2:$B$1001,"&gt;="&amp;S$3,'Observaciones-SMP'!$B$2:$B$1001,"&lt;="&amp;EOMONTH(S$3,0))</f>
        <v>0</v>
      </c>
      <c r="T78" s="187">
        <f>COUNTIFS('Observaciones-SMP'!$B$2:$B$1001,"&gt;="&amp;T$3,'Observaciones-SMP'!$B$2:$B$1001,"&lt;="&amp;EOMONTH(T$3,0))</f>
        <v>0</v>
      </c>
      <c r="U78" s="187">
        <f>COUNTIFS('Observaciones-SMP'!$B$2:$B$1001,"&gt;="&amp;U$3,'Observaciones-SMP'!$B$2:$B$1001,"&lt;="&amp;EOMONTH(U$3,0))</f>
        <v>0</v>
      </c>
      <c r="V78" s="187">
        <f>COUNTIFS('Observaciones-SMP'!$B$2:$B$1001,"&gt;="&amp;V$3,'Observaciones-SMP'!$B$2:$B$1001,"&lt;="&amp;EOMONTH(V$3,0))</f>
        <v>0</v>
      </c>
      <c r="W78" s="187">
        <f>COUNTIFS('Observaciones-SMP'!$B$2:$B$1001,"&gt;="&amp;W$3,'Observaciones-SMP'!$B$2:$B$1001,"&lt;="&amp;EOMONTH(W$3,0))</f>
        <v>0</v>
      </c>
      <c r="X78" s="187">
        <f>COUNTIFS('Observaciones-SMP'!$B$2:$B$1001,"&gt;="&amp;X$3,'Observaciones-SMP'!$B$2:$B$1001,"&lt;="&amp;EOMONTH(X$3,0))</f>
        <v>0</v>
      </c>
      <c r="Y78" s="187">
        <f>COUNTIFS('Observaciones-SMP'!$B$2:$B$1001,"&gt;="&amp;Y$3,'Observaciones-SMP'!$B$2:$B$1001,"&lt;="&amp;EOMONTH(Y$3,0))</f>
        <v>0</v>
      </c>
      <c r="Z78" s="187">
        <f>COUNTIFS('Observaciones-SMP'!$B$2:$B$1001,"&gt;="&amp;Z$3,'Observaciones-SMP'!$B$2:$B$1001,"&lt;="&amp;EOMONTH(Z$3,0))</f>
        <v>0</v>
      </c>
      <c r="AA78" s="187">
        <f>COUNTIFS('Observaciones-SMP'!$B$2:$B$1001,"&gt;="&amp;AA$3,'Observaciones-SMP'!$B$2:$B$1001,"&lt;="&amp;EOMONTH(AA$3,0))</f>
        <v>0</v>
      </c>
      <c r="AB78" s="187">
        <f>COUNTIFS('Observaciones-SMP'!$B$2:$B$1001,"&gt;="&amp;AB$3,'Observaciones-SMP'!$B$2:$B$1001,"&lt;="&amp;EOMONTH(AB$3,0))</f>
        <v>0</v>
      </c>
      <c r="AC78" s="187">
        <f>COUNTIFS('Observaciones-SMP'!$B$2:$B$1001,"&gt;="&amp;AC$3,'Observaciones-SMP'!$B$2:$B$1001,"&lt;="&amp;EOMONTH(AC$3,0))</f>
        <v>0</v>
      </c>
      <c r="AD78" s="187">
        <f>COUNTIFS('Observaciones-SMP'!$B$2:$B$1001,"&gt;="&amp;AD$3,'Observaciones-SMP'!$B$2:$B$1001,"&lt;="&amp;EOMONTH(AD$3,0))</f>
        <v>0</v>
      </c>
      <c r="AE78" s="187">
        <f>COUNTIFS('Observaciones-SMP'!$B$2:$B$1001,"&gt;="&amp;AE$3,'Observaciones-SMP'!$B$2:$B$1001,"&lt;="&amp;EOMONTH(AE$3,0))</f>
        <v>0</v>
      </c>
      <c r="AF78" s="187">
        <f>COUNTIFS('Observaciones-SMP'!$B$2:$B$1001,"&gt;="&amp;AF$3,'Observaciones-SMP'!$B$2:$B$1001,"&lt;="&amp;EOMONTH(AF$3,0))</f>
        <v>0</v>
      </c>
      <c r="AG78" s="187">
        <f>COUNTIFS('Observaciones-SMP'!$B$2:$B$1001,"&gt;="&amp;AG$3,'Observaciones-SMP'!$B$2:$B$1001,"&lt;="&amp;EOMONTH(AG$3,0))</f>
        <v>0</v>
      </c>
      <c r="AH78" s="187">
        <f>COUNTIFS('Observaciones-SMP'!$B$2:$B$1001,"&gt;="&amp;AH$3,'Observaciones-SMP'!$B$2:$B$1001,"&lt;="&amp;EOMONTH(AH$3,0))</f>
        <v>0</v>
      </c>
      <c r="AI78" s="187">
        <f>COUNTIFS('Observaciones-SMP'!$B$2:$B$1001,"&gt;="&amp;AI$3,'Observaciones-SMP'!$B$2:$B$1001,"&lt;="&amp;EOMONTH(AI$3,0))</f>
        <v>0</v>
      </c>
      <c r="AJ78" s="187">
        <f>COUNTIFS('Observaciones-SMP'!$B$2:$B$1001,"&gt;="&amp;AJ$3,'Observaciones-SMP'!$B$2:$B$1001,"&lt;="&amp;EOMONTH(AJ$3,0))</f>
        <v>0</v>
      </c>
      <c r="AK78" s="187">
        <f>COUNTIFS('Observaciones-SMP'!$B$2:$B$1001,"&gt;="&amp;AK$3,'Observaciones-SMP'!$B$2:$B$1001,"&lt;="&amp;EOMONTH(AK$3,0))</f>
        <v>0</v>
      </c>
      <c r="AL78" s="187">
        <f>COUNTIFS('Observaciones-SMP'!$B$2:$B$1001,"&gt;="&amp;AL$3,'Observaciones-SMP'!$B$2:$B$1001,"&lt;="&amp;EOMONTH(AL$3,0))</f>
        <v>0</v>
      </c>
    </row>
    <row r="79" spans="1:38" ht="37.200000000000003" hidden="1" customHeight="1" outlineLevel="1" x14ac:dyDescent="0.3">
      <c r="A79" s="119" t="s">
        <v>1709</v>
      </c>
      <c r="B79" s="26" t="s">
        <v>1710</v>
      </c>
      <c r="C79" s="23" t="s">
        <v>1711</v>
      </c>
      <c r="D79" s="187">
        <f>COUNTIFS('Observaciones-SMP'!$T$2:$T$1001,"Sí",'Observaciones-SMP'!$B$2:$B$1001,"&gt;="&amp;D$3,'Observaciones-SMP'!$B$2:$B$1001,"&lt;="&amp;EOMONTH(D$3,0))</f>
        <v>0</v>
      </c>
      <c r="E79" s="187">
        <f>COUNTIFS('Observaciones-SMP'!$T$2:$T$1001,"Sí",'Observaciones-SMP'!$B$2:$B$1001,"&gt;="&amp;E$3,'Observaciones-SMP'!$B$2:$B$1001,"&lt;="&amp;EOMONTH(E$3,0))</f>
        <v>0</v>
      </c>
      <c r="F79" s="187">
        <f>COUNTIFS('Observaciones-SMP'!$T$2:$T$1001,"Sí",'Observaciones-SMP'!$B$2:$B$1001,"&gt;="&amp;F$3,'Observaciones-SMP'!$B$2:$B$1001,"&lt;="&amp;EOMONTH(F$3,0))</f>
        <v>0</v>
      </c>
      <c r="G79" s="187">
        <f>COUNTIFS('Observaciones-SMP'!$T$2:$T$1001,"Sí",'Observaciones-SMP'!$B$2:$B$1001,"&gt;="&amp;G$3,'Observaciones-SMP'!$B$2:$B$1001,"&lt;="&amp;EOMONTH(G$3,0))</f>
        <v>0</v>
      </c>
      <c r="H79" s="187">
        <f>COUNTIFS('Observaciones-SMP'!$T$2:$T$1001,"Sí",'Observaciones-SMP'!$B$2:$B$1001,"&gt;="&amp;H$3,'Observaciones-SMP'!$B$2:$B$1001,"&lt;="&amp;EOMONTH(H$3,0))</f>
        <v>0</v>
      </c>
      <c r="I79" s="187">
        <f>COUNTIFS('Observaciones-SMP'!$T$2:$T$1001,"Sí",'Observaciones-SMP'!$B$2:$B$1001,"&gt;="&amp;I$3,'Observaciones-SMP'!$B$2:$B$1001,"&lt;="&amp;EOMONTH(I$3,0))</f>
        <v>0</v>
      </c>
      <c r="J79" s="187">
        <f>COUNTIFS('Observaciones-SMP'!$T$2:$T$1001,"Sí",'Observaciones-SMP'!$B$2:$B$1001,"&gt;="&amp;J$3,'Observaciones-SMP'!$B$2:$B$1001,"&lt;="&amp;EOMONTH(J$3,0))</f>
        <v>0</v>
      </c>
      <c r="K79" s="187">
        <f>COUNTIFS('Observaciones-SMP'!$T$2:$T$1001,"Sí",'Observaciones-SMP'!$B$2:$B$1001,"&gt;="&amp;K$3,'Observaciones-SMP'!$B$2:$B$1001,"&lt;="&amp;EOMONTH(K$3,0))</f>
        <v>0</v>
      </c>
      <c r="L79" s="187">
        <f>COUNTIFS('Observaciones-SMP'!$T$2:$T$1001,"Sí",'Observaciones-SMP'!$B$2:$B$1001,"&gt;="&amp;L$3,'Observaciones-SMP'!$B$2:$B$1001,"&lt;="&amp;EOMONTH(L$3,0))</f>
        <v>0</v>
      </c>
      <c r="M79" s="187">
        <f>COUNTIFS('Observaciones-SMP'!$T$2:$T$1001,"Sí",'Observaciones-SMP'!$B$2:$B$1001,"&gt;="&amp;M$3,'Observaciones-SMP'!$B$2:$B$1001,"&lt;="&amp;EOMONTH(M$3,0))</f>
        <v>0</v>
      </c>
      <c r="N79" s="187">
        <f>COUNTIFS('Observaciones-SMP'!$T$2:$T$1001,"Sí",'Observaciones-SMP'!$B$2:$B$1001,"&gt;="&amp;N$3,'Observaciones-SMP'!$B$2:$B$1001,"&lt;="&amp;EOMONTH(N$3,0))</f>
        <v>0</v>
      </c>
      <c r="O79" s="187">
        <f>COUNTIFS('Observaciones-SMP'!$T$2:$T$1001,"Sí",'Observaciones-SMP'!$B$2:$B$1001,"&gt;="&amp;O$3,'Observaciones-SMP'!$B$2:$B$1001,"&lt;="&amp;EOMONTH(O$3,0))</f>
        <v>0</v>
      </c>
      <c r="P79" s="187">
        <f>COUNTIFS('Observaciones-SMP'!$T$2:$T$1001,"Sí",'Observaciones-SMP'!$B$2:$B$1001,"&gt;="&amp;P$3,'Observaciones-SMP'!$B$2:$B$1001,"&lt;="&amp;EOMONTH(P$3,0))</f>
        <v>0</v>
      </c>
      <c r="Q79" s="187">
        <f>COUNTIFS('Observaciones-SMP'!$T$2:$T$1001,"Sí",'Observaciones-SMP'!$B$2:$B$1001,"&gt;="&amp;Q$3,'Observaciones-SMP'!$B$2:$B$1001,"&lt;="&amp;EOMONTH(Q$3,0))</f>
        <v>0</v>
      </c>
      <c r="R79" s="187">
        <f>COUNTIFS('Observaciones-SMP'!$T$2:$T$1001,"Sí",'Observaciones-SMP'!$B$2:$B$1001,"&gt;="&amp;R$3,'Observaciones-SMP'!$B$2:$B$1001,"&lt;="&amp;EOMONTH(R$3,0))</f>
        <v>0</v>
      </c>
      <c r="S79" s="187">
        <f>COUNTIFS('Observaciones-SMP'!$T$2:$T$1001,"Sí",'Observaciones-SMP'!$B$2:$B$1001,"&gt;="&amp;S$3,'Observaciones-SMP'!$B$2:$B$1001,"&lt;="&amp;EOMONTH(S$3,0))</f>
        <v>0</v>
      </c>
      <c r="T79" s="187">
        <f>COUNTIFS('Observaciones-SMP'!$T$2:$T$1001,"Sí",'Observaciones-SMP'!$B$2:$B$1001,"&gt;="&amp;T$3,'Observaciones-SMP'!$B$2:$B$1001,"&lt;="&amp;EOMONTH(T$3,0))</f>
        <v>0</v>
      </c>
      <c r="U79" s="187">
        <f>COUNTIFS('Observaciones-SMP'!$T$2:$T$1001,"Sí",'Observaciones-SMP'!$B$2:$B$1001,"&gt;="&amp;U$3,'Observaciones-SMP'!$B$2:$B$1001,"&lt;="&amp;EOMONTH(U$3,0))</f>
        <v>0</v>
      </c>
      <c r="V79" s="187">
        <f>COUNTIFS('Observaciones-SMP'!$T$2:$T$1001,"Sí",'Observaciones-SMP'!$B$2:$B$1001,"&gt;="&amp;V$3,'Observaciones-SMP'!$B$2:$B$1001,"&lt;="&amp;EOMONTH(V$3,0))</f>
        <v>0</v>
      </c>
      <c r="W79" s="187">
        <f>COUNTIFS('Observaciones-SMP'!$T$2:$T$1001,"Sí",'Observaciones-SMP'!$B$2:$B$1001,"&gt;="&amp;W$3,'Observaciones-SMP'!$B$2:$B$1001,"&lt;="&amp;EOMONTH(W$3,0))</f>
        <v>0</v>
      </c>
      <c r="X79" s="187">
        <f>COUNTIFS('Observaciones-SMP'!$T$2:$T$1001,"Sí",'Observaciones-SMP'!$B$2:$B$1001,"&gt;="&amp;X$3,'Observaciones-SMP'!$B$2:$B$1001,"&lt;="&amp;EOMONTH(X$3,0))</f>
        <v>0</v>
      </c>
      <c r="Y79" s="187">
        <f>COUNTIFS('Observaciones-SMP'!$T$2:$T$1001,"Sí",'Observaciones-SMP'!$B$2:$B$1001,"&gt;="&amp;Y$3,'Observaciones-SMP'!$B$2:$B$1001,"&lt;="&amp;EOMONTH(Y$3,0))</f>
        <v>0</v>
      </c>
      <c r="Z79" s="187">
        <f>COUNTIFS('Observaciones-SMP'!$T$2:$T$1001,"Sí",'Observaciones-SMP'!$B$2:$B$1001,"&gt;="&amp;Z$3,'Observaciones-SMP'!$B$2:$B$1001,"&lt;="&amp;EOMONTH(Z$3,0))</f>
        <v>0</v>
      </c>
      <c r="AA79" s="187">
        <f>COUNTIFS('Observaciones-SMP'!$T$2:$T$1001,"Sí",'Observaciones-SMP'!$B$2:$B$1001,"&gt;="&amp;AA$3,'Observaciones-SMP'!$B$2:$B$1001,"&lt;="&amp;EOMONTH(AA$3,0))</f>
        <v>0</v>
      </c>
      <c r="AB79" s="187">
        <f>COUNTIFS('Observaciones-SMP'!$T$2:$T$1001,"Sí",'Observaciones-SMP'!$B$2:$B$1001,"&gt;="&amp;AB$3,'Observaciones-SMP'!$B$2:$B$1001,"&lt;="&amp;EOMONTH(AB$3,0))</f>
        <v>0</v>
      </c>
      <c r="AC79" s="187">
        <f>COUNTIFS('Observaciones-SMP'!$T$2:$T$1001,"Sí",'Observaciones-SMP'!$B$2:$B$1001,"&gt;="&amp;AC$3,'Observaciones-SMP'!$B$2:$B$1001,"&lt;="&amp;EOMONTH(AC$3,0))</f>
        <v>0</v>
      </c>
      <c r="AD79" s="187">
        <f>COUNTIFS('Observaciones-SMP'!$T$2:$T$1001,"Sí",'Observaciones-SMP'!$B$2:$B$1001,"&gt;="&amp;AD$3,'Observaciones-SMP'!$B$2:$B$1001,"&lt;="&amp;EOMONTH(AD$3,0))</f>
        <v>0</v>
      </c>
      <c r="AE79" s="187">
        <f>COUNTIFS('Observaciones-SMP'!$T$2:$T$1001,"Sí",'Observaciones-SMP'!$B$2:$B$1001,"&gt;="&amp;AE$3,'Observaciones-SMP'!$B$2:$B$1001,"&lt;="&amp;EOMONTH(AE$3,0))</f>
        <v>0</v>
      </c>
      <c r="AF79" s="187">
        <f>COUNTIFS('Observaciones-SMP'!$T$2:$T$1001,"Sí",'Observaciones-SMP'!$B$2:$B$1001,"&gt;="&amp;AF$3,'Observaciones-SMP'!$B$2:$B$1001,"&lt;="&amp;EOMONTH(AF$3,0))</f>
        <v>0</v>
      </c>
      <c r="AG79" s="187">
        <f>COUNTIFS('Observaciones-SMP'!$T$2:$T$1001,"Sí",'Observaciones-SMP'!$B$2:$B$1001,"&gt;="&amp;AG$3,'Observaciones-SMP'!$B$2:$B$1001,"&lt;="&amp;EOMONTH(AG$3,0))</f>
        <v>0</v>
      </c>
      <c r="AH79" s="187">
        <f>COUNTIFS('Observaciones-SMP'!$T$2:$T$1001,"Sí",'Observaciones-SMP'!$B$2:$B$1001,"&gt;="&amp;AH$3,'Observaciones-SMP'!$B$2:$B$1001,"&lt;="&amp;EOMONTH(AH$3,0))</f>
        <v>0</v>
      </c>
      <c r="AI79" s="187">
        <f>COUNTIFS('Observaciones-SMP'!$T$2:$T$1001,"Sí",'Observaciones-SMP'!$B$2:$B$1001,"&gt;="&amp;AI$3,'Observaciones-SMP'!$B$2:$B$1001,"&lt;="&amp;EOMONTH(AI$3,0))</f>
        <v>0</v>
      </c>
      <c r="AJ79" s="187">
        <f>COUNTIFS('Observaciones-SMP'!$T$2:$T$1001,"Sí",'Observaciones-SMP'!$B$2:$B$1001,"&gt;="&amp;AJ$3,'Observaciones-SMP'!$B$2:$B$1001,"&lt;="&amp;EOMONTH(AJ$3,0))</f>
        <v>0</v>
      </c>
      <c r="AK79" s="187">
        <f>COUNTIFS('Observaciones-SMP'!$T$2:$T$1001,"Sí",'Observaciones-SMP'!$B$2:$B$1001,"&gt;="&amp;AK$3,'Observaciones-SMP'!$B$2:$B$1001,"&lt;="&amp;EOMONTH(AK$3,0))</f>
        <v>0</v>
      </c>
      <c r="AL79" s="187">
        <f>COUNTIFS('Observaciones-SMP'!$T$2:$T$1001,"Sí",'Observaciones-SMP'!$B$2:$B$1001,"&gt;="&amp;AL$3,'Observaciones-SMP'!$B$2:$B$1001,"&lt;="&amp;EOMONTH(AL$3,0))</f>
        <v>0</v>
      </c>
    </row>
    <row r="80" spans="1:38" ht="43.2" hidden="1" customHeight="1" outlineLevel="1" x14ac:dyDescent="0.3">
      <c r="A80" s="27"/>
      <c r="B80" s="27" t="s">
        <v>164</v>
      </c>
      <c r="C80" s="28" t="s">
        <v>165</v>
      </c>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row>
    <row r="81" spans="1:38" ht="13.5" hidden="1" customHeight="1" outlineLevel="1" x14ac:dyDescent="0.3">
      <c r="A81" s="30"/>
      <c r="B81" s="198" t="str">
        <f>KPIs!A5</f>
        <v>INDICADORES REACTIVOS · Personal</v>
      </c>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row>
    <row r="82" spans="1:38" ht="13.5" hidden="1" customHeight="1" outlineLevel="1" x14ac:dyDescent="0.3">
      <c r="A82" s="120" t="s">
        <v>1607</v>
      </c>
      <c r="B82" s="199" t="str">
        <f>KPIs!A6</f>
        <v>1 · Frecuencia de casos con días perdidos</v>
      </c>
      <c r="C82" s="200">
        <f>IF(ISNUMBER(KPIs!C6),KPIs!C6,"s/meta")</f>
        <v>0</v>
      </c>
      <c r="D82" s="201">
        <f>KPIs!D6</f>
        <v>0</v>
      </c>
      <c r="E82" s="201">
        <f>KPIs!E6</f>
        <v>0</v>
      </c>
      <c r="F82" s="201" t="str">
        <f>KPIs!F6</f>
        <v>-</v>
      </c>
      <c r="G82" s="201" t="str">
        <f>KPIs!G6</f>
        <v>-</v>
      </c>
      <c r="H82" s="201" t="str">
        <f>KPIs!H6</f>
        <v>-</v>
      </c>
      <c r="I82" s="201" t="str">
        <f>KPIs!I6</f>
        <v>-</v>
      </c>
      <c r="J82" s="201" t="str">
        <f>KPIs!J6</f>
        <v>-</v>
      </c>
      <c r="K82" s="201" t="str">
        <f>KPIs!K6</f>
        <v>-</v>
      </c>
      <c r="L82" s="201" t="str">
        <f>KPIs!L6</f>
        <v>-</v>
      </c>
      <c r="M82" s="201" t="str">
        <f>KPIs!M6</f>
        <v>-</v>
      </c>
      <c r="N82" s="201" t="str">
        <f>KPIs!N6</f>
        <v>-</v>
      </c>
      <c r="O82" s="201" t="str">
        <f>KPIs!O6</f>
        <v>-</v>
      </c>
      <c r="P82" s="201" t="str">
        <f>KPIs!P6</f>
        <v>-</v>
      </c>
      <c r="Q82" s="201" t="str">
        <f>KPIs!Q6</f>
        <v>-</v>
      </c>
      <c r="R82" s="201" t="str">
        <f>KPIs!R6</f>
        <v>-</v>
      </c>
      <c r="S82" s="201" t="str">
        <f>KPIs!S6</f>
        <v>-</v>
      </c>
      <c r="T82" s="201" t="str">
        <f>KPIs!T6</f>
        <v>-</v>
      </c>
      <c r="U82" s="201" t="str">
        <f>KPIs!U6</f>
        <v>-</v>
      </c>
      <c r="V82" s="201" t="str">
        <f>KPIs!V6</f>
        <v>-</v>
      </c>
      <c r="W82" s="201" t="str">
        <f>KPIs!W6</f>
        <v>-</v>
      </c>
      <c r="X82" s="201" t="str">
        <f>KPIs!X6</f>
        <v>-</v>
      </c>
      <c r="Y82" s="201" t="str">
        <f>KPIs!Y6</f>
        <v>-</v>
      </c>
      <c r="Z82" s="201" t="str">
        <f>KPIs!Z6</f>
        <v>-</v>
      </c>
      <c r="AA82" s="201" t="str">
        <f>KPIs!AA6</f>
        <v>-</v>
      </c>
      <c r="AB82" s="201" t="str">
        <f>KPIs!AB6</f>
        <v>-</v>
      </c>
      <c r="AC82" s="201" t="str">
        <f>KPIs!AC6</f>
        <v>-</v>
      </c>
      <c r="AD82" s="201" t="str">
        <f>KPIs!AD6</f>
        <v>-</v>
      </c>
      <c r="AE82" s="201" t="str">
        <f>KPIs!AE6</f>
        <v>-</v>
      </c>
      <c r="AF82" s="201" t="str">
        <f>KPIs!AF6</f>
        <v>-</v>
      </c>
      <c r="AG82" s="201" t="str">
        <f>KPIs!AG6</f>
        <v>-</v>
      </c>
      <c r="AH82" s="201" t="str">
        <f>KPIs!AH6</f>
        <v>-</v>
      </c>
      <c r="AI82" s="201" t="str">
        <f>KPIs!AI6</f>
        <v>-</v>
      </c>
      <c r="AJ82" s="201" t="str">
        <f>KPIs!AJ6</f>
        <v>-</v>
      </c>
      <c r="AK82" s="201" t="str">
        <f>KPIs!AK6</f>
        <v>-</v>
      </c>
      <c r="AL82" s="201" t="str">
        <f>KPIs!AL6</f>
        <v>-</v>
      </c>
    </row>
    <row r="83" spans="1:38" ht="13.5" hidden="1" customHeight="1" outlineLevel="1" x14ac:dyDescent="0.3">
      <c r="A83" s="120" t="s">
        <v>1608</v>
      </c>
      <c r="B83" s="199" t="str">
        <f>KPIs!A7</f>
        <v>2 · Frecuencia de casos registrables</v>
      </c>
      <c r="C83" s="200">
        <f>IF(ISNUMBER(KPIs!C7),KPIs!C7,"s/meta")</f>
        <v>2.35</v>
      </c>
      <c r="D83" s="201">
        <f>KPIs!D7</f>
        <v>0</v>
      </c>
      <c r="E83" s="201">
        <f>KPIs!E7</f>
        <v>0</v>
      </c>
      <c r="F83" s="201" t="str">
        <f>KPIs!F7</f>
        <v>-</v>
      </c>
      <c r="G83" s="201" t="str">
        <f>KPIs!G7</f>
        <v>-</v>
      </c>
      <c r="H83" s="201" t="str">
        <f>KPIs!H7</f>
        <v>-</v>
      </c>
      <c r="I83" s="201" t="str">
        <f>KPIs!I7</f>
        <v>-</v>
      </c>
      <c r="J83" s="201" t="str">
        <f>KPIs!J7</f>
        <v>-</v>
      </c>
      <c r="K83" s="201" t="str">
        <f>KPIs!K7</f>
        <v>-</v>
      </c>
      <c r="L83" s="201" t="str">
        <f>KPIs!L7</f>
        <v>-</v>
      </c>
      <c r="M83" s="201" t="str">
        <f>KPIs!M7</f>
        <v>-</v>
      </c>
      <c r="N83" s="201" t="str">
        <f>KPIs!N7</f>
        <v>-</v>
      </c>
      <c r="O83" s="201" t="str">
        <f>KPIs!O7</f>
        <v>-</v>
      </c>
      <c r="P83" s="201" t="str">
        <f>KPIs!P7</f>
        <v>-</v>
      </c>
      <c r="Q83" s="201" t="str">
        <f>KPIs!Q7</f>
        <v>-</v>
      </c>
      <c r="R83" s="201" t="str">
        <f>KPIs!R7</f>
        <v>-</v>
      </c>
      <c r="S83" s="201" t="str">
        <f>KPIs!S7</f>
        <v>-</v>
      </c>
      <c r="T83" s="201" t="str">
        <f>KPIs!T7</f>
        <v>-</v>
      </c>
      <c r="U83" s="201" t="str">
        <f>KPIs!U7</f>
        <v>-</v>
      </c>
      <c r="V83" s="201" t="str">
        <f>KPIs!V7</f>
        <v>-</v>
      </c>
      <c r="W83" s="201" t="str">
        <f>KPIs!W7</f>
        <v>-</v>
      </c>
      <c r="X83" s="201" t="str">
        <f>KPIs!X7</f>
        <v>-</v>
      </c>
      <c r="Y83" s="201" t="str">
        <f>KPIs!Y7</f>
        <v>-</v>
      </c>
      <c r="Z83" s="201" t="str">
        <f>KPIs!Z7</f>
        <v>-</v>
      </c>
      <c r="AA83" s="201" t="str">
        <f>KPIs!AA7</f>
        <v>-</v>
      </c>
      <c r="AB83" s="201" t="str">
        <f>KPIs!AB7</f>
        <v>-</v>
      </c>
      <c r="AC83" s="201" t="str">
        <f>KPIs!AC7</f>
        <v>-</v>
      </c>
      <c r="AD83" s="201" t="str">
        <f>KPIs!AD7</f>
        <v>-</v>
      </c>
      <c r="AE83" s="201" t="str">
        <f>KPIs!AE7</f>
        <v>-</v>
      </c>
      <c r="AF83" s="201" t="str">
        <f>KPIs!AF7</f>
        <v>-</v>
      </c>
      <c r="AG83" s="201" t="str">
        <f>KPIs!AG7</f>
        <v>-</v>
      </c>
      <c r="AH83" s="201" t="str">
        <f>KPIs!AH7</f>
        <v>-</v>
      </c>
      <c r="AI83" s="201" t="str">
        <f>KPIs!AI7</f>
        <v>-</v>
      </c>
      <c r="AJ83" s="201" t="str">
        <f>KPIs!AJ7</f>
        <v>-</v>
      </c>
      <c r="AK83" s="201" t="str">
        <f>KPIs!AK7</f>
        <v>-</v>
      </c>
      <c r="AL83" s="201" t="str">
        <f>KPIs!AL7</f>
        <v>-</v>
      </c>
    </row>
    <row r="84" spans="1:38" ht="13.5" hidden="1" customHeight="1" outlineLevel="1" x14ac:dyDescent="0.3">
      <c r="A84" s="120" t="s">
        <v>1609</v>
      </c>
      <c r="B84" s="199" t="str">
        <f>KPIs!A8</f>
        <v>3 · Casos de primeros auxilios</v>
      </c>
      <c r="C84" s="202" t="str">
        <f>IF(ISNUMBER(KPIs!C8),KPIs!C8,"s/meta")</f>
        <v>s/meta</v>
      </c>
      <c r="D84" s="203">
        <f>KPIs!D8</f>
        <v>0</v>
      </c>
      <c r="E84" s="203">
        <f>KPIs!E8</f>
        <v>0</v>
      </c>
      <c r="F84" s="203" t="str">
        <f>KPIs!F8</f>
        <v>-</v>
      </c>
      <c r="G84" s="203" t="str">
        <f>KPIs!G8</f>
        <v>-</v>
      </c>
      <c r="H84" s="203" t="str">
        <f>KPIs!H8</f>
        <v>-</v>
      </c>
      <c r="I84" s="203" t="str">
        <f>KPIs!I8</f>
        <v>-</v>
      </c>
      <c r="J84" s="203" t="str">
        <f>KPIs!J8</f>
        <v>-</v>
      </c>
      <c r="K84" s="203" t="str">
        <f>KPIs!K8</f>
        <v>-</v>
      </c>
      <c r="L84" s="203" t="str">
        <f>KPIs!L8</f>
        <v>-</v>
      </c>
      <c r="M84" s="203" t="str">
        <f>KPIs!M8</f>
        <v>-</v>
      </c>
      <c r="N84" s="203" t="str">
        <f>KPIs!N8</f>
        <v>-</v>
      </c>
      <c r="O84" s="203" t="str">
        <f>KPIs!O8</f>
        <v>-</v>
      </c>
      <c r="P84" s="203" t="str">
        <f>KPIs!P8</f>
        <v>-</v>
      </c>
      <c r="Q84" s="203" t="str">
        <f>KPIs!Q8</f>
        <v>-</v>
      </c>
      <c r="R84" s="203" t="str">
        <f>KPIs!R8</f>
        <v>-</v>
      </c>
      <c r="S84" s="203" t="str">
        <f>KPIs!S8</f>
        <v>-</v>
      </c>
      <c r="T84" s="203" t="str">
        <f>KPIs!T8</f>
        <v>-</v>
      </c>
      <c r="U84" s="203" t="str">
        <f>KPIs!U8</f>
        <v>-</v>
      </c>
      <c r="V84" s="203" t="str">
        <f>KPIs!V8</f>
        <v>-</v>
      </c>
      <c r="W84" s="203" t="str">
        <f>KPIs!W8</f>
        <v>-</v>
      </c>
      <c r="X84" s="203" t="str">
        <f>KPIs!X8</f>
        <v>-</v>
      </c>
      <c r="Y84" s="203" t="str">
        <f>KPIs!Y8</f>
        <v>-</v>
      </c>
      <c r="Z84" s="203" t="str">
        <f>KPIs!Z8</f>
        <v>-</v>
      </c>
      <c r="AA84" s="203" t="str">
        <f>KPIs!AA8</f>
        <v>-</v>
      </c>
      <c r="AB84" s="203" t="str">
        <f>KPIs!AB8</f>
        <v>-</v>
      </c>
      <c r="AC84" s="203" t="str">
        <f>KPIs!AC8</f>
        <v>-</v>
      </c>
      <c r="AD84" s="203" t="str">
        <f>KPIs!AD8</f>
        <v>-</v>
      </c>
      <c r="AE84" s="203" t="str">
        <f>KPIs!AE8</f>
        <v>-</v>
      </c>
      <c r="AF84" s="203" t="str">
        <f>KPIs!AF8</f>
        <v>-</v>
      </c>
      <c r="AG84" s="203" t="str">
        <f>KPIs!AG8</f>
        <v>-</v>
      </c>
      <c r="AH84" s="203" t="str">
        <f>KPIs!AH8</f>
        <v>-</v>
      </c>
      <c r="AI84" s="203" t="str">
        <f>KPIs!AI8</f>
        <v>-</v>
      </c>
      <c r="AJ84" s="203" t="str">
        <f>KPIs!AJ8</f>
        <v>-</v>
      </c>
      <c r="AK84" s="203" t="str">
        <f>KPIs!AK8</f>
        <v>-</v>
      </c>
      <c r="AL84" s="203" t="str">
        <f>KPIs!AL8</f>
        <v>-</v>
      </c>
    </row>
    <row r="85" spans="1:38" ht="13.5" hidden="1" customHeight="1" outlineLevel="1" x14ac:dyDescent="0.3">
      <c r="A85" s="30"/>
      <c r="B85" s="198" t="str">
        <f>KPIs!A9</f>
        <v>INDICADORES REACTIVOS · Vehiculares</v>
      </c>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row>
    <row r="86" spans="1:38" ht="13.5" hidden="1" customHeight="1" outlineLevel="1" x14ac:dyDescent="0.3">
      <c r="A86" s="120" t="s">
        <v>1610</v>
      </c>
      <c r="B86" s="199" t="str">
        <f>KPIs!A10</f>
        <v>4 · Accidentes vehiculares severos por millón de km</v>
      </c>
      <c r="C86" s="200" t="str">
        <f>IF(ISNUMBER(KPIs!C10),KPIs!C10,"s/meta")</f>
        <v>s/meta</v>
      </c>
      <c r="D86" s="201">
        <f>KPIs!D10</f>
        <v>0</v>
      </c>
      <c r="E86" s="201">
        <f>KPIs!E10</f>
        <v>0</v>
      </c>
      <c r="F86" s="201" t="str">
        <f>KPIs!F10</f>
        <v>-</v>
      </c>
      <c r="G86" s="201" t="str">
        <f>KPIs!G10</f>
        <v>-</v>
      </c>
      <c r="H86" s="201" t="str">
        <f>KPIs!H10</f>
        <v>-</v>
      </c>
      <c r="I86" s="201" t="str">
        <f>KPIs!I10</f>
        <v>-</v>
      </c>
      <c r="J86" s="201" t="str">
        <f>KPIs!J10</f>
        <v>-</v>
      </c>
      <c r="K86" s="201" t="str">
        <f>KPIs!K10</f>
        <v>-</v>
      </c>
      <c r="L86" s="201" t="str">
        <f>KPIs!L10</f>
        <v>-</v>
      </c>
      <c r="M86" s="201" t="str">
        <f>KPIs!M10</f>
        <v>-</v>
      </c>
      <c r="N86" s="201" t="str">
        <f>KPIs!N10</f>
        <v>-</v>
      </c>
      <c r="O86" s="201" t="str">
        <f>KPIs!O10</f>
        <v>-</v>
      </c>
      <c r="P86" s="201" t="str">
        <f>KPIs!P10</f>
        <v>-</v>
      </c>
      <c r="Q86" s="201" t="str">
        <f>KPIs!Q10</f>
        <v>-</v>
      </c>
      <c r="R86" s="201" t="str">
        <f>KPIs!R10</f>
        <v>-</v>
      </c>
      <c r="S86" s="201" t="str">
        <f>KPIs!S10</f>
        <v>-</v>
      </c>
      <c r="T86" s="201" t="str">
        <f>KPIs!T10</f>
        <v>-</v>
      </c>
      <c r="U86" s="201" t="str">
        <f>KPIs!U10</f>
        <v>-</v>
      </c>
      <c r="V86" s="201" t="str">
        <f>KPIs!V10</f>
        <v>-</v>
      </c>
      <c r="W86" s="201" t="str">
        <f>KPIs!W10</f>
        <v>-</v>
      </c>
      <c r="X86" s="201" t="str">
        <f>KPIs!X10</f>
        <v>-</v>
      </c>
      <c r="Y86" s="201" t="str">
        <f>KPIs!Y10</f>
        <v>-</v>
      </c>
      <c r="Z86" s="201" t="str">
        <f>KPIs!Z10</f>
        <v>-</v>
      </c>
      <c r="AA86" s="201" t="str">
        <f>KPIs!AA10</f>
        <v>-</v>
      </c>
      <c r="AB86" s="201" t="str">
        <f>KPIs!AB10</f>
        <v>-</v>
      </c>
      <c r="AC86" s="201" t="str">
        <f>KPIs!AC10</f>
        <v>-</v>
      </c>
      <c r="AD86" s="201" t="str">
        <f>KPIs!AD10</f>
        <v>-</v>
      </c>
      <c r="AE86" s="201" t="str">
        <f>KPIs!AE10</f>
        <v>-</v>
      </c>
      <c r="AF86" s="201" t="str">
        <f>KPIs!AF10</f>
        <v>-</v>
      </c>
      <c r="AG86" s="201" t="str">
        <f>KPIs!AG10</f>
        <v>-</v>
      </c>
      <c r="AH86" s="201" t="str">
        <f>KPIs!AH10</f>
        <v>-</v>
      </c>
      <c r="AI86" s="201" t="str">
        <f>KPIs!AI10</f>
        <v>-</v>
      </c>
      <c r="AJ86" s="201" t="str">
        <f>KPIs!AJ10</f>
        <v>-</v>
      </c>
      <c r="AK86" s="201" t="str">
        <f>KPIs!AK10</f>
        <v>-</v>
      </c>
      <c r="AL86" s="201" t="str">
        <f>KPIs!AL10</f>
        <v>-</v>
      </c>
    </row>
    <row r="87" spans="1:38" ht="13.5" hidden="1" customHeight="1" outlineLevel="1" x14ac:dyDescent="0.3">
      <c r="A87" s="120" t="s">
        <v>1611</v>
      </c>
      <c r="B87" s="199" t="str">
        <f>KPIs!A11</f>
        <v>5 · Accidentes vehiculares totales por millón de km</v>
      </c>
      <c r="C87" s="200">
        <f>IF(ISNUMBER(KPIs!C11),KPIs!C11,"s/meta")</f>
        <v>0.79</v>
      </c>
      <c r="D87" s="201">
        <f>KPIs!D11</f>
        <v>0</v>
      </c>
      <c r="E87" s="201">
        <f>KPIs!E11</f>
        <v>0</v>
      </c>
      <c r="F87" s="201" t="str">
        <f>KPIs!F11</f>
        <v>-</v>
      </c>
      <c r="G87" s="201" t="str">
        <f>KPIs!G11</f>
        <v>-</v>
      </c>
      <c r="H87" s="201" t="str">
        <f>KPIs!H11</f>
        <v>-</v>
      </c>
      <c r="I87" s="201" t="str">
        <f>KPIs!I11</f>
        <v>-</v>
      </c>
      <c r="J87" s="201" t="str">
        <f>KPIs!J11</f>
        <v>-</v>
      </c>
      <c r="K87" s="201" t="str">
        <f>KPIs!K11</f>
        <v>-</v>
      </c>
      <c r="L87" s="201" t="str">
        <f>KPIs!L11</f>
        <v>-</v>
      </c>
      <c r="M87" s="201" t="str">
        <f>KPIs!M11</f>
        <v>-</v>
      </c>
      <c r="N87" s="201" t="str">
        <f>KPIs!N11</f>
        <v>-</v>
      </c>
      <c r="O87" s="201" t="str">
        <f>KPIs!O11</f>
        <v>-</v>
      </c>
      <c r="P87" s="201" t="str">
        <f>KPIs!P11</f>
        <v>-</v>
      </c>
      <c r="Q87" s="201" t="str">
        <f>KPIs!Q11</f>
        <v>-</v>
      </c>
      <c r="R87" s="201" t="str">
        <f>KPIs!R11</f>
        <v>-</v>
      </c>
      <c r="S87" s="201" t="str">
        <f>KPIs!S11</f>
        <v>-</v>
      </c>
      <c r="T87" s="201" t="str">
        <f>KPIs!T11</f>
        <v>-</v>
      </c>
      <c r="U87" s="201" t="str">
        <f>KPIs!U11</f>
        <v>-</v>
      </c>
      <c r="V87" s="201" t="str">
        <f>KPIs!V11</f>
        <v>-</v>
      </c>
      <c r="W87" s="201" t="str">
        <f>KPIs!W11</f>
        <v>-</v>
      </c>
      <c r="X87" s="201" t="str">
        <f>KPIs!X11</f>
        <v>-</v>
      </c>
      <c r="Y87" s="201" t="str">
        <f>KPIs!Y11</f>
        <v>-</v>
      </c>
      <c r="Z87" s="201" t="str">
        <f>KPIs!Z11</f>
        <v>-</v>
      </c>
      <c r="AA87" s="201" t="str">
        <f>KPIs!AA11</f>
        <v>-</v>
      </c>
      <c r="AB87" s="201" t="str">
        <f>KPIs!AB11</f>
        <v>-</v>
      </c>
      <c r="AC87" s="201" t="str">
        <f>KPIs!AC11</f>
        <v>-</v>
      </c>
      <c r="AD87" s="201" t="str">
        <f>KPIs!AD11</f>
        <v>-</v>
      </c>
      <c r="AE87" s="201" t="str">
        <f>KPIs!AE11</f>
        <v>-</v>
      </c>
      <c r="AF87" s="201" t="str">
        <f>KPIs!AF11</f>
        <v>-</v>
      </c>
      <c r="AG87" s="201" t="str">
        <f>KPIs!AG11</f>
        <v>-</v>
      </c>
      <c r="AH87" s="201" t="str">
        <f>KPIs!AH11</f>
        <v>-</v>
      </c>
      <c r="AI87" s="201" t="str">
        <f>KPIs!AI11</f>
        <v>-</v>
      </c>
      <c r="AJ87" s="201" t="str">
        <f>KPIs!AJ11</f>
        <v>-</v>
      </c>
      <c r="AK87" s="201" t="str">
        <f>KPIs!AK11</f>
        <v>-</v>
      </c>
      <c r="AL87" s="201" t="str">
        <f>KPIs!AL11</f>
        <v>-</v>
      </c>
    </row>
    <row r="88" spans="1:38" ht="13.5" hidden="1" customHeight="1" outlineLevel="1" x14ac:dyDescent="0.3">
      <c r="A88" s="30"/>
      <c r="B88" s="198" t="str">
        <f>KPIs!A12</f>
        <v>INDICADORES REACTIVOS · Gestión</v>
      </c>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row>
    <row r="89" spans="1:38" ht="13.5" hidden="1" customHeight="1" outlineLevel="1" x14ac:dyDescent="0.3">
      <c r="A89" s="120" t="s">
        <v>1612</v>
      </c>
      <c r="B89" s="199" t="str">
        <f>KPIs!A13</f>
        <v>6 · Observaciones de seguridad por persona</v>
      </c>
      <c r="C89" s="200">
        <f>IF(ISNUMBER(KPIs!C13),KPIs!C13,"s/meta")</f>
        <v>1</v>
      </c>
      <c r="D89" s="201">
        <f>KPIs!D13</f>
        <v>0.380434782608696</v>
      </c>
      <c r="E89" s="201">
        <f>KPIs!E13</f>
        <v>1.4390243902439</v>
      </c>
      <c r="F89" s="201" t="str">
        <f>KPIs!F13</f>
        <v>-</v>
      </c>
      <c r="G89" s="201" t="str">
        <f>KPIs!G13</f>
        <v>-</v>
      </c>
      <c r="H89" s="201" t="str">
        <f>KPIs!H13</f>
        <v>-</v>
      </c>
      <c r="I89" s="201" t="str">
        <f>KPIs!I13</f>
        <v>-</v>
      </c>
      <c r="J89" s="201" t="str">
        <f>KPIs!J13</f>
        <v>-</v>
      </c>
      <c r="K89" s="201" t="str">
        <f>KPIs!K13</f>
        <v>-</v>
      </c>
      <c r="L89" s="201" t="str">
        <f>KPIs!L13</f>
        <v>-</v>
      </c>
      <c r="M89" s="201" t="str">
        <f>KPIs!M13</f>
        <v>-</v>
      </c>
      <c r="N89" s="201" t="str">
        <f>KPIs!N13</f>
        <v>-</v>
      </c>
      <c r="O89" s="201" t="str">
        <f>KPIs!O13</f>
        <v>-</v>
      </c>
      <c r="P89" s="201" t="str">
        <f>KPIs!P13</f>
        <v>-</v>
      </c>
      <c r="Q89" s="201" t="str">
        <f>KPIs!Q13</f>
        <v>-</v>
      </c>
      <c r="R89" s="201" t="str">
        <f>KPIs!R13</f>
        <v>-</v>
      </c>
      <c r="S89" s="201" t="str">
        <f>KPIs!S13</f>
        <v>-</v>
      </c>
      <c r="T89" s="201" t="str">
        <f>KPIs!T13</f>
        <v>-</v>
      </c>
      <c r="U89" s="201" t="str">
        <f>KPIs!U13</f>
        <v>-</v>
      </c>
      <c r="V89" s="201" t="str">
        <f>KPIs!V13</f>
        <v>-</v>
      </c>
      <c r="W89" s="201" t="str">
        <f>KPIs!W13</f>
        <v>-</v>
      </c>
      <c r="X89" s="201" t="str">
        <f>KPIs!X13</f>
        <v>-</v>
      </c>
      <c r="Y89" s="201" t="str">
        <f>KPIs!Y13</f>
        <v>-</v>
      </c>
      <c r="Z89" s="201" t="str">
        <f>KPIs!Z13</f>
        <v>-</v>
      </c>
      <c r="AA89" s="201" t="str">
        <f>KPIs!AA13</f>
        <v>-</v>
      </c>
      <c r="AB89" s="201" t="str">
        <f>KPIs!AB13</f>
        <v>-</v>
      </c>
      <c r="AC89" s="201" t="str">
        <f>KPIs!AC13</f>
        <v>-</v>
      </c>
      <c r="AD89" s="201" t="str">
        <f>KPIs!AD13</f>
        <v>-</v>
      </c>
      <c r="AE89" s="201" t="str">
        <f>KPIs!AE13</f>
        <v>-</v>
      </c>
      <c r="AF89" s="201" t="str">
        <f>KPIs!AF13</f>
        <v>-</v>
      </c>
      <c r="AG89" s="201" t="str">
        <f>KPIs!AG13</f>
        <v>-</v>
      </c>
      <c r="AH89" s="201" t="str">
        <f>KPIs!AH13</f>
        <v>-</v>
      </c>
      <c r="AI89" s="201" t="str">
        <f>KPIs!AI13</f>
        <v>-</v>
      </c>
      <c r="AJ89" s="201" t="str">
        <f>KPIs!AJ13</f>
        <v>-</v>
      </c>
      <c r="AK89" s="201" t="str">
        <f>KPIs!AK13</f>
        <v>-</v>
      </c>
      <c r="AL89" s="201" t="str">
        <f>KPIs!AL13</f>
        <v>-</v>
      </c>
    </row>
    <row r="90" spans="1:38" ht="13.5" hidden="1" customHeight="1" outlineLevel="1" x14ac:dyDescent="0.3">
      <c r="A90" s="120" t="s">
        <v>1613</v>
      </c>
      <c r="B90" s="199" t="str">
        <f>KPIs!A14</f>
        <v>7 · Investigaciones de accidentes: días promedio de cierre</v>
      </c>
      <c r="C90" s="204">
        <f>IF(ISNUMBER(KPIs!C14),KPIs!C14,"s/meta")</f>
        <v>20</v>
      </c>
      <c r="D90" s="205" t="str">
        <f>KPIs!D14</f>
        <v>-</v>
      </c>
      <c r="E90" s="205" t="str">
        <f>KPIs!E14</f>
        <v>-</v>
      </c>
      <c r="F90" s="205" t="str">
        <f>KPIs!F14</f>
        <v>-</v>
      </c>
      <c r="G90" s="205" t="str">
        <f>KPIs!G14</f>
        <v>-</v>
      </c>
      <c r="H90" s="205" t="str">
        <f>KPIs!H14</f>
        <v>-</v>
      </c>
      <c r="I90" s="205" t="str">
        <f>KPIs!I14</f>
        <v>-</v>
      </c>
      <c r="J90" s="205" t="str">
        <f>KPIs!J14</f>
        <v>-</v>
      </c>
      <c r="K90" s="205" t="str">
        <f>KPIs!K14</f>
        <v>-</v>
      </c>
      <c r="L90" s="205" t="str">
        <f>KPIs!L14</f>
        <v>-</v>
      </c>
      <c r="M90" s="205" t="str">
        <f>KPIs!M14</f>
        <v>-</v>
      </c>
      <c r="N90" s="205" t="str">
        <f>KPIs!N14</f>
        <v>-</v>
      </c>
      <c r="O90" s="205" t="str">
        <f>KPIs!O14</f>
        <v>-</v>
      </c>
      <c r="P90" s="205" t="str">
        <f>KPIs!P14</f>
        <v>-</v>
      </c>
      <c r="Q90" s="205" t="str">
        <f>KPIs!Q14</f>
        <v>-</v>
      </c>
      <c r="R90" s="205" t="str">
        <f>KPIs!R14</f>
        <v>-</v>
      </c>
      <c r="S90" s="205" t="str">
        <f>KPIs!S14</f>
        <v>-</v>
      </c>
      <c r="T90" s="205" t="str">
        <f>KPIs!T14</f>
        <v>-</v>
      </c>
      <c r="U90" s="205" t="str">
        <f>KPIs!U14</f>
        <v>-</v>
      </c>
      <c r="V90" s="205" t="str">
        <f>KPIs!V14</f>
        <v>-</v>
      </c>
      <c r="W90" s="205" t="str">
        <f>KPIs!W14</f>
        <v>-</v>
      </c>
      <c r="X90" s="205" t="str">
        <f>KPIs!X14</f>
        <v>-</v>
      </c>
      <c r="Y90" s="205" t="str">
        <f>KPIs!Y14</f>
        <v>-</v>
      </c>
      <c r="Z90" s="205" t="str">
        <f>KPIs!Z14</f>
        <v>-</v>
      </c>
      <c r="AA90" s="205" t="str">
        <f>KPIs!AA14</f>
        <v>-</v>
      </c>
      <c r="AB90" s="205" t="str">
        <f>KPIs!AB14</f>
        <v>-</v>
      </c>
      <c r="AC90" s="205" t="str">
        <f>KPIs!AC14</f>
        <v>-</v>
      </c>
      <c r="AD90" s="205" t="str">
        <f>KPIs!AD14</f>
        <v>-</v>
      </c>
      <c r="AE90" s="205" t="str">
        <f>KPIs!AE14</f>
        <v>-</v>
      </c>
      <c r="AF90" s="205" t="str">
        <f>KPIs!AF14</f>
        <v>-</v>
      </c>
      <c r="AG90" s="205" t="str">
        <f>KPIs!AG14</f>
        <v>-</v>
      </c>
      <c r="AH90" s="205" t="str">
        <f>KPIs!AH14</f>
        <v>-</v>
      </c>
      <c r="AI90" s="205" t="str">
        <f>KPIs!AI14</f>
        <v>-</v>
      </c>
      <c r="AJ90" s="205" t="str">
        <f>KPIs!AJ14</f>
        <v>-</v>
      </c>
      <c r="AK90" s="205" t="str">
        <f>KPIs!AK14</f>
        <v>-</v>
      </c>
      <c r="AL90" s="205" t="str">
        <f>KPIs!AL14</f>
        <v>-</v>
      </c>
    </row>
    <row r="91" spans="1:38" ht="13.5" hidden="1" customHeight="1" outlineLevel="1" x14ac:dyDescent="0.3">
      <c r="A91" s="30"/>
      <c r="B91" s="198" t="str">
        <f>KPIs!A15</f>
        <v>INDICADORES PROACTIVOS · Personal y vehiculares</v>
      </c>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row>
    <row r="92" spans="1:38" ht="13.5" hidden="1" customHeight="1" outlineLevel="1" x14ac:dyDescent="0.3">
      <c r="A92" s="120" t="s">
        <v>1614</v>
      </c>
      <c r="B92" s="199" t="str">
        <f>KPIs!A16</f>
        <v>8 · % de capacitación en seguridad</v>
      </c>
      <c r="C92" s="206">
        <f>IF(ISNUMBER(KPIs!C16),KPIs!C16,"s/meta")</f>
        <v>0.01</v>
      </c>
      <c r="D92" s="207">
        <f>KPIs!D16</f>
        <v>0.0548112058465286</v>
      </c>
      <c r="E92" s="207">
        <f>KPIs!E16</f>
        <v>0.03515625</v>
      </c>
      <c r="F92" s="207" t="str">
        <f>KPIs!F16</f>
        <v>-</v>
      </c>
      <c r="G92" s="207" t="str">
        <f>KPIs!G16</f>
        <v>-</v>
      </c>
      <c r="H92" s="207" t="str">
        <f>KPIs!H16</f>
        <v>-</v>
      </c>
      <c r="I92" s="207" t="str">
        <f>KPIs!I16</f>
        <v>-</v>
      </c>
      <c r="J92" s="207" t="str">
        <f>KPIs!J16</f>
        <v>-</v>
      </c>
      <c r="K92" s="207" t="str">
        <f>KPIs!K16</f>
        <v>-</v>
      </c>
      <c r="L92" s="207" t="str">
        <f>KPIs!L16</f>
        <v>-</v>
      </c>
      <c r="M92" s="207" t="str">
        <f>KPIs!M16</f>
        <v>-</v>
      </c>
      <c r="N92" s="207" t="str">
        <f>KPIs!N16</f>
        <v>-</v>
      </c>
      <c r="O92" s="207" t="str">
        <f>KPIs!O16</f>
        <v>-</v>
      </c>
      <c r="P92" s="207" t="str">
        <f>KPIs!P16</f>
        <v>-</v>
      </c>
      <c r="Q92" s="207" t="str">
        <f>KPIs!Q16</f>
        <v>-</v>
      </c>
      <c r="R92" s="207" t="str">
        <f>KPIs!R16</f>
        <v>-</v>
      </c>
      <c r="S92" s="207" t="str">
        <f>KPIs!S16</f>
        <v>-</v>
      </c>
      <c r="T92" s="207" t="str">
        <f>KPIs!T16</f>
        <v>-</v>
      </c>
      <c r="U92" s="207" t="str">
        <f>KPIs!U16</f>
        <v>-</v>
      </c>
      <c r="V92" s="207" t="str">
        <f>KPIs!V16</f>
        <v>-</v>
      </c>
      <c r="W92" s="207" t="str">
        <f>KPIs!W16</f>
        <v>-</v>
      </c>
      <c r="X92" s="207" t="str">
        <f>KPIs!X16</f>
        <v>-</v>
      </c>
      <c r="Y92" s="207" t="str">
        <f>KPIs!Y16</f>
        <v>-</v>
      </c>
      <c r="Z92" s="207" t="str">
        <f>KPIs!Z16</f>
        <v>-</v>
      </c>
      <c r="AA92" s="207" t="str">
        <f>KPIs!AA16</f>
        <v>-</v>
      </c>
      <c r="AB92" s="207" t="str">
        <f>KPIs!AB16</f>
        <v>-</v>
      </c>
      <c r="AC92" s="207" t="str">
        <f>KPIs!AC16</f>
        <v>-</v>
      </c>
      <c r="AD92" s="207" t="str">
        <f>KPIs!AD16</f>
        <v>-</v>
      </c>
      <c r="AE92" s="207" t="str">
        <f>KPIs!AE16</f>
        <v>-</v>
      </c>
      <c r="AF92" s="207" t="str">
        <f>KPIs!AF16</f>
        <v>-</v>
      </c>
      <c r="AG92" s="207" t="str">
        <f>KPIs!AG16</f>
        <v>-</v>
      </c>
      <c r="AH92" s="207" t="str">
        <f>KPIs!AH16</f>
        <v>-</v>
      </c>
      <c r="AI92" s="207" t="str">
        <f>KPIs!AI16</f>
        <v>-</v>
      </c>
      <c r="AJ92" s="207" t="str">
        <f>KPIs!AJ16</f>
        <v>-</v>
      </c>
      <c r="AK92" s="207" t="str">
        <f>KPIs!AK16</f>
        <v>-</v>
      </c>
      <c r="AL92" s="207" t="str">
        <f>KPIs!AL16</f>
        <v>-</v>
      </c>
    </row>
    <row r="93" spans="1:38" ht="13.5" hidden="1" customHeight="1" outlineLevel="1" x14ac:dyDescent="0.3">
      <c r="A93" s="120" t="s">
        <v>1615</v>
      </c>
      <c r="B93" s="199" t="str">
        <f>KPIs!A17</f>
        <v>9 · Horas de capacitación por persona</v>
      </c>
      <c r="C93" s="200" t="str">
        <f>IF(ISNUMBER(KPIs!C17),KPIs!C17,"s/meta")</f>
        <v>s/meta</v>
      </c>
      <c r="D93" s="201">
        <f>KPIs!D17</f>
        <v>13.695652173913</v>
      </c>
      <c r="E93" s="201">
        <f>KPIs!E17</f>
        <v>7.24390243902439</v>
      </c>
      <c r="F93" s="201" t="str">
        <f>KPIs!F17</f>
        <v>-</v>
      </c>
      <c r="G93" s="201" t="str">
        <f>KPIs!G17</f>
        <v>-</v>
      </c>
      <c r="H93" s="201" t="str">
        <f>KPIs!H17</f>
        <v>-</v>
      </c>
      <c r="I93" s="201" t="str">
        <f>KPIs!I17</f>
        <v>-</v>
      </c>
      <c r="J93" s="201" t="str">
        <f>KPIs!J17</f>
        <v>-</v>
      </c>
      <c r="K93" s="201" t="str">
        <f>KPIs!K17</f>
        <v>-</v>
      </c>
      <c r="L93" s="201" t="str">
        <f>KPIs!L17</f>
        <v>-</v>
      </c>
      <c r="M93" s="201" t="str">
        <f>KPIs!M17</f>
        <v>-</v>
      </c>
      <c r="N93" s="201" t="str">
        <f>KPIs!N17</f>
        <v>-</v>
      </c>
      <c r="O93" s="201" t="str">
        <f>KPIs!O17</f>
        <v>-</v>
      </c>
      <c r="P93" s="201" t="str">
        <f>KPIs!P17</f>
        <v>-</v>
      </c>
      <c r="Q93" s="201" t="str">
        <f>KPIs!Q17</f>
        <v>-</v>
      </c>
      <c r="R93" s="201" t="str">
        <f>KPIs!R17</f>
        <v>-</v>
      </c>
      <c r="S93" s="201" t="str">
        <f>KPIs!S17</f>
        <v>-</v>
      </c>
      <c r="T93" s="201" t="str">
        <f>KPIs!T17</f>
        <v>-</v>
      </c>
      <c r="U93" s="201" t="str">
        <f>KPIs!U17</f>
        <v>-</v>
      </c>
      <c r="V93" s="201" t="str">
        <f>KPIs!V17</f>
        <v>-</v>
      </c>
      <c r="W93" s="201" t="str">
        <f>KPIs!W17</f>
        <v>-</v>
      </c>
      <c r="X93" s="201" t="str">
        <f>KPIs!X17</f>
        <v>-</v>
      </c>
      <c r="Y93" s="201" t="str">
        <f>KPIs!Y17</f>
        <v>-</v>
      </c>
      <c r="Z93" s="201" t="str">
        <f>KPIs!Z17</f>
        <v>-</v>
      </c>
      <c r="AA93" s="201" t="str">
        <f>KPIs!AA17</f>
        <v>-</v>
      </c>
      <c r="AB93" s="201" t="str">
        <f>KPIs!AB17</f>
        <v>-</v>
      </c>
      <c r="AC93" s="201" t="str">
        <f>KPIs!AC17</f>
        <v>-</v>
      </c>
      <c r="AD93" s="201" t="str">
        <f>KPIs!AD17</f>
        <v>-</v>
      </c>
      <c r="AE93" s="201" t="str">
        <f>KPIs!AE17</f>
        <v>-</v>
      </c>
      <c r="AF93" s="201" t="str">
        <f>KPIs!AF17</f>
        <v>-</v>
      </c>
      <c r="AG93" s="201" t="str">
        <f>KPIs!AG17</f>
        <v>-</v>
      </c>
      <c r="AH93" s="201" t="str">
        <f>KPIs!AH17</f>
        <v>-</v>
      </c>
      <c r="AI93" s="201" t="str">
        <f>KPIs!AI17</f>
        <v>-</v>
      </c>
      <c r="AJ93" s="201" t="str">
        <f>KPIs!AJ17</f>
        <v>-</v>
      </c>
      <c r="AK93" s="201" t="str">
        <f>KPIs!AK17</f>
        <v>-</v>
      </c>
      <c r="AL93" s="201" t="str">
        <f>KPIs!AL17</f>
        <v>-</v>
      </c>
    </row>
    <row r="94" spans="1:38" ht="13.5" hidden="1" customHeight="1" outlineLevel="1" x14ac:dyDescent="0.3">
      <c r="A94" s="120" t="s">
        <v>1616</v>
      </c>
      <c r="B94" s="199" t="str">
        <f>KPIs!A18</f>
        <v>10 · Cumplimiento de simulacros (emergencia y operativos)</v>
      </c>
      <c r="C94" s="208">
        <f>IF(ISNUMBER(KPIs!C18),KPIs!C18,"s/meta")</f>
        <v>1</v>
      </c>
      <c r="D94" s="209">
        <f>KPIs!D18</f>
        <v>1</v>
      </c>
      <c r="E94" s="209">
        <f>KPIs!E18</f>
        <v>1</v>
      </c>
      <c r="F94" s="209" t="str">
        <f>KPIs!F18</f>
        <v>-</v>
      </c>
      <c r="G94" s="209" t="str">
        <f>KPIs!G18</f>
        <v>-</v>
      </c>
      <c r="H94" s="209" t="str">
        <f>KPIs!H18</f>
        <v>-</v>
      </c>
      <c r="I94" s="209" t="str">
        <f>KPIs!I18</f>
        <v>-</v>
      </c>
      <c r="J94" s="209" t="str">
        <f>KPIs!J18</f>
        <v>-</v>
      </c>
      <c r="K94" s="209" t="str">
        <f>KPIs!K18</f>
        <v>-</v>
      </c>
      <c r="L94" s="209" t="str">
        <f>KPIs!L18</f>
        <v>-</v>
      </c>
      <c r="M94" s="209" t="str">
        <f>KPIs!M18</f>
        <v>-</v>
      </c>
      <c r="N94" s="209" t="str">
        <f>KPIs!N18</f>
        <v>-</v>
      </c>
      <c r="O94" s="209" t="str">
        <f>KPIs!O18</f>
        <v>-</v>
      </c>
      <c r="P94" s="209" t="str">
        <f>KPIs!P18</f>
        <v>-</v>
      </c>
      <c r="Q94" s="209" t="str">
        <f>KPIs!Q18</f>
        <v>-</v>
      </c>
      <c r="R94" s="209" t="str">
        <f>KPIs!R18</f>
        <v>-</v>
      </c>
      <c r="S94" s="209" t="str">
        <f>KPIs!S18</f>
        <v>-</v>
      </c>
      <c r="T94" s="209" t="str">
        <f>KPIs!T18</f>
        <v>-</v>
      </c>
      <c r="U94" s="209" t="str">
        <f>KPIs!U18</f>
        <v>-</v>
      </c>
      <c r="V94" s="209" t="str">
        <f>KPIs!V18</f>
        <v>-</v>
      </c>
      <c r="W94" s="209" t="str">
        <f>KPIs!W18</f>
        <v>-</v>
      </c>
      <c r="X94" s="209" t="str">
        <f>KPIs!X18</f>
        <v>-</v>
      </c>
      <c r="Y94" s="209" t="str">
        <f>KPIs!Y18</f>
        <v>-</v>
      </c>
      <c r="Z94" s="209" t="str">
        <f>KPIs!Z18</f>
        <v>-</v>
      </c>
      <c r="AA94" s="209" t="str">
        <f>KPIs!AA18</f>
        <v>-</v>
      </c>
      <c r="AB94" s="209" t="str">
        <f>KPIs!AB18</f>
        <v>-</v>
      </c>
      <c r="AC94" s="209" t="str">
        <f>KPIs!AC18</f>
        <v>-</v>
      </c>
      <c r="AD94" s="209" t="str">
        <f>KPIs!AD18</f>
        <v>-</v>
      </c>
      <c r="AE94" s="209" t="str">
        <f>KPIs!AE18</f>
        <v>-</v>
      </c>
      <c r="AF94" s="209" t="str">
        <f>KPIs!AF18</f>
        <v>-</v>
      </c>
      <c r="AG94" s="209" t="str">
        <f>KPIs!AG18</f>
        <v>-</v>
      </c>
      <c r="AH94" s="209" t="str">
        <f>KPIs!AH18</f>
        <v>-</v>
      </c>
      <c r="AI94" s="209" t="str">
        <f>KPIs!AI18</f>
        <v>-</v>
      </c>
      <c r="AJ94" s="209" t="str">
        <f>KPIs!AJ18</f>
        <v>-</v>
      </c>
      <c r="AK94" s="209" t="str">
        <f>KPIs!AK18</f>
        <v>-</v>
      </c>
      <c r="AL94" s="209" t="str">
        <f>KPIs!AL18</f>
        <v>-</v>
      </c>
    </row>
    <row r="95" spans="1:38" ht="13.5" hidden="1" customHeight="1" outlineLevel="1" x14ac:dyDescent="0.3">
      <c r="A95" s="120" t="s">
        <v>1617</v>
      </c>
      <c r="B95" s="199" t="str">
        <f>KPIs!A19</f>
        <v>10b · Cumplimiento de acciones de mejora de simulacros</v>
      </c>
      <c r="C95" s="210" t="str">
        <f>IF(ISNUMBER(KPIs!C19),KPIs!C19,"s/meta")</f>
        <v>s/meta</v>
      </c>
      <c r="D95" s="209" t="str">
        <f>KPIs!D19</f>
        <v>-</v>
      </c>
      <c r="E95" s="209">
        <f>KPIs!E19</f>
        <v>1</v>
      </c>
      <c r="F95" s="209" t="str">
        <f>KPIs!F19</f>
        <v>-</v>
      </c>
      <c r="G95" s="209" t="str">
        <f>KPIs!G19</f>
        <v>-</v>
      </c>
      <c r="H95" s="209" t="str">
        <f>KPIs!H19</f>
        <v>-</v>
      </c>
      <c r="I95" s="209" t="str">
        <f>KPIs!I19</f>
        <v>-</v>
      </c>
      <c r="J95" s="209" t="str">
        <f>KPIs!J19</f>
        <v>-</v>
      </c>
      <c r="K95" s="209" t="str">
        <f>KPIs!K19</f>
        <v>-</v>
      </c>
      <c r="L95" s="209" t="str">
        <f>KPIs!L19</f>
        <v>-</v>
      </c>
      <c r="M95" s="209" t="str">
        <f>KPIs!M19</f>
        <v>-</v>
      </c>
      <c r="N95" s="209" t="str">
        <f>KPIs!N19</f>
        <v>-</v>
      </c>
      <c r="O95" s="209" t="str">
        <f>KPIs!O19</f>
        <v>-</v>
      </c>
      <c r="P95" s="209" t="str">
        <f>KPIs!P19</f>
        <v>-</v>
      </c>
      <c r="Q95" s="209" t="str">
        <f>KPIs!Q19</f>
        <v>-</v>
      </c>
      <c r="R95" s="209" t="str">
        <f>KPIs!R19</f>
        <v>-</v>
      </c>
      <c r="S95" s="209" t="str">
        <f>KPIs!S19</f>
        <v>-</v>
      </c>
      <c r="T95" s="209" t="str">
        <f>KPIs!T19</f>
        <v>-</v>
      </c>
      <c r="U95" s="209" t="str">
        <f>KPIs!U19</f>
        <v>-</v>
      </c>
      <c r="V95" s="209" t="str">
        <f>KPIs!V19</f>
        <v>-</v>
      </c>
      <c r="W95" s="209" t="str">
        <f>KPIs!W19</f>
        <v>-</v>
      </c>
      <c r="X95" s="209" t="str">
        <f>KPIs!X19</f>
        <v>-</v>
      </c>
      <c r="Y95" s="209" t="str">
        <f>KPIs!Y19</f>
        <v>-</v>
      </c>
      <c r="Z95" s="209" t="str">
        <f>KPIs!Z19</f>
        <v>-</v>
      </c>
      <c r="AA95" s="209" t="str">
        <f>KPIs!AA19</f>
        <v>-</v>
      </c>
      <c r="AB95" s="209" t="str">
        <f>KPIs!AB19</f>
        <v>-</v>
      </c>
      <c r="AC95" s="209" t="str">
        <f>KPIs!AC19</f>
        <v>-</v>
      </c>
      <c r="AD95" s="209" t="str">
        <f>KPIs!AD19</f>
        <v>-</v>
      </c>
      <c r="AE95" s="209" t="str">
        <f>KPIs!AE19</f>
        <v>-</v>
      </c>
      <c r="AF95" s="209" t="str">
        <f>KPIs!AF19</f>
        <v>-</v>
      </c>
      <c r="AG95" s="209" t="str">
        <f>KPIs!AG19</f>
        <v>-</v>
      </c>
      <c r="AH95" s="209" t="str">
        <f>KPIs!AH19</f>
        <v>-</v>
      </c>
      <c r="AI95" s="209" t="str">
        <f>KPIs!AI19</f>
        <v>-</v>
      </c>
      <c r="AJ95" s="209" t="str">
        <f>KPIs!AJ19</f>
        <v>-</v>
      </c>
      <c r="AK95" s="209" t="str">
        <f>KPIs!AK19</f>
        <v>-</v>
      </c>
      <c r="AL95" s="209" t="str">
        <f>KPIs!AL19</f>
        <v>-</v>
      </c>
    </row>
    <row r="96" spans="1:38" ht="13.5" hidden="1" customHeight="1" outlineLevel="1" x14ac:dyDescent="0.3">
      <c r="A96" s="30"/>
      <c r="B96" s="198" t="str">
        <f>KPIs!A20</f>
        <v>INDICADORES PROACTIVOS · Gestión</v>
      </c>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row>
    <row r="97" spans="1:38" ht="13.5" hidden="1" customHeight="1" outlineLevel="1" x14ac:dyDescent="0.3">
      <c r="A97" s="120" t="s">
        <v>1618</v>
      </c>
      <c r="B97" s="199" t="str">
        <f>KPIs!A21</f>
        <v>11 · Cumplimiento de caminatas gerenciales</v>
      </c>
      <c r="C97" s="210">
        <f>IF(ISNUMBER(KPIs!C21),KPIs!C21,"s/meta")</f>
        <v>1</v>
      </c>
      <c r="D97" s="209" t="str">
        <f>KPIs!D21</f>
        <v>-</v>
      </c>
      <c r="E97" s="209">
        <f>KPIs!E21</f>
        <v>1</v>
      </c>
      <c r="F97" s="209" t="str">
        <f>KPIs!F21</f>
        <v>-</v>
      </c>
      <c r="G97" s="209" t="str">
        <f>KPIs!G21</f>
        <v>-</v>
      </c>
      <c r="H97" s="209" t="str">
        <f>KPIs!H21</f>
        <v>-</v>
      </c>
      <c r="I97" s="209" t="str">
        <f>KPIs!I21</f>
        <v>-</v>
      </c>
      <c r="J97" s="209" t="str">
        <f>KPIs!J21</f>
        <v>-</v>
      </c>
      <c r="K97" s="209" t="str">
        <f>KPIs!K21</f>
        <v>-</v>
      </c>
      <c r="L97" s="209" t="str">
        <f>KPIs!L21</f>
        <v>-</v>
      </c>
      <c r="M97" s="209" t="str">
        <f>KPIs!M21</f>
        <v>-</v>
      </c>
      <c r="N97" s="209" t="str">
        <f>KPIs!N21</f>
        <v>-</v>
      </c>
      <c r="O97" s="209" t="str">
        <f>KPIs!O21</f>
        <v>-</v>
      </c>
      <c r="P97" s="209" t="str">
        <f>KPIs!P21</f>
        <v>-</v>
      </c>
      <c r="Q97" s="209" t="str">
        <f>KPIs!Q21</f>
        <v>-</v>
      </c>
      <c r="R97" s="209" t="str">
        <f>KPIs!R21</f>
        <v>-</v>
      </c>
      <c r="S97" s="209" t="str">
        <f>KPIs!S21</f>
        <v>-</v>
      </c>
      <c r="T97" s="209" t="str">
        <f>KPIs!T21</f>
        <v>-</v>
      </c>
      <c r="U97" s="209" t="str">
        <f>KPIs!U21</f>
        <v>-</v>
      </c>
      <c r="V97" s="209" t="str">
        <f>KPIs!V21</f>
        <v>-</v>
      </c>
      <c r="W97" s="209" t="str">
        <f>KPIs!W21</f>
        <v>-</v>
      </c>
      <c r="X97" s="209" t="str">
        <f>KPIs!X21</f>
        <v>-</v>
      </c>
      <c r="Y97" s="209" t="str">
        <f>KPIs!Y21</f>
        <v>-</v>
      </c>
      <c r="Z97" s="209" t="str">
        <f>KPIs!Z21</f>
        <v>-</v>
      </c>
      <c r="AA97" s="209" t="str">
        <f>KPIs!AA21</f>
        <v>-</v>
      </c>
      <c r="AB97" s="209" t="str">
        <f>KPIs!AB21</f>
        <v>-</v>
      </c>
      <c r="AC97" s="209" t="str">
        <f>KPIs!AC21</f>
        <v>-</v>
      </c>
      <c r="AD97" s="209" t="str">
        <f>KPIs!AD21</f>
        <v>-</v>
      </c>
      <c r="AE97" s="209" t="str">
        <f>KPIs!AE21</f>
        <v>-</v>
      </c>
      <c r="AF97" s="209" t="str">
        <f>KPIs!AF21</f>
        <v>-</v>
      </c>
      <c r="AG97" s="209" t="str">
        <f>KPIs!AG21</f>
        <v>-</v>
      </c>
      <c r="AH97" s="209" t="str">
        <f>KPIs!AH21</f>
        <v>-</v>
      </c>
      <c r="AI97" s="209" t="str">
        <f>KPIs!AI21</f>
        <v>-</v>
      </c>
      <c r="AJ97" s="209" t="str">
        <f>KPIs!AJ21</f>
        <v>-</v>
      </c>
      <c r="AK97" s="209" t="str">
        <f>KPIs!AK21</f>
        <v>-</v>
      </c>
      <c r="AL97" s="209" t="str">
        <f>KPIs!AL21</f>
        <v>-</v>
      </c>
    </row>
    <row r="98" spans="1:38" ht="13.5" hidden="1" customHeight="1" outlineLevel="1" x14ac:dyDescent="0.3">
      <c r="A98" s="120" t="s">
        <v>1619</v>
      </c>
      <c r="B98" s="199" t="str">
        <f>KPIs!A22</f>
        <v>12 · Cumplimiento de comités y subcomités de seguridad</v>
      </c>
      <c r="C98" s="210">
        <f>IF(ISNUMBER(KPIs!C22),KPIs!C22,"s/meta")</f>
        <v>1</v>
      </c>
      <c r="D98" s="209" t="str">
        <f>KPIs!D22</f>
        <v>-</v>
      </c>
      <c r="E98" s="209">
        <f>KPIs!E22</f>
        <v>1</v>
      </c>
      <c r="F98" s="209" t="str">
        <f>KPIs!F22</f>
        <v>-</v>
      </c>
      <c r="G98" s="209" t="str">
        <f>KPIs!G22</f>
        <v>-</v>
      </c>
      <c r="H98" s="209" t="str">
        <f>KPIs!H22</f>
        <v>-</v>
      </c>
      <c r="I98" s="209" t="str">
        <f>KPIs!I22</f>
        <v>-</v>
      </c>
      <c r="J98" s="209" t="str">
        <f>KPIs!J22</f>
        <v>-</v>
      </c>
      <c r="K98" s="209" t="str">
        <f>KPIs!K22</f>
        <v>-</v>
      </c>
      <c r="L98" s="209" t="str">
        <f>KPIs!L22</f>
        <v>-</v>
      </c>
      <c r="M98" s="209" t="str">
        <f>KPIs!M22</f>
        <v>-</v>
      </c>
      <c r="N98" s="209" t="str">
        <f>KPIs!N22</f>
        <v>-</v>
      </c>
      <c r="O98" s="209" t="str">
        <f>KPIs!O22</f>
        <v>-</v>
      </c>
      <c r="P98" s="209" t="str">
        <f>KPIs!P22</f>
        <v>-</v>
      </c>
      <c r="Q98" s="209" t="str">
        <f>KPIs!Q22</f>
        <v>-</v>
      </c>
      <c r="R98" s="209" t="str">
        <f>KPIs!R22</f>
        <v>-</v>
      </c>
      <c r="S98" s="209" t="str">
        <f>KPIs!S22</f>
        <v>-</v>
      </c>
      <c r="T98" s="209" t="str">
        <f>KPIs!T22</f>
        <v>-</v>
      </c>
      <c r="U98" s="209" t="str">
        <f>KPIs!U22</f>
        <v>-</v>
      </c>
      <c r="V98" s="209" t="str">
        <f>KPIs!V22</f>
        <v>-</v>
      </c>
      <c r="W98" s="209" t="str">
        <f>KPIs!W22</f>
        <v>-</v>
      </c>
      <c r="X98" s="209" t="str">
        <f>KPIs!X22</f>
        <v>-</v>
      </c>
      <c r="Y98" s="209" t="str">
        <f>KPIs!Y22</f>
        <v>-</v>
      </c>
      <c r="Z98" s="209" t="str">
        <f>KPIs!Z22</f>
        <v>-</v>
      </c>
      <c r="AA98" s="209" t="str">
        <f>KPIs!AA22</f>
        <v>-</v>
      </c>
      <c r="AB98" s="209" t="str">
        <f>KPIs!AB22</f>
        <v>-</v>
      </c>
      <c r="AC98" s="209" t="str">
        <f>KPIs!AC22</f>
        <v>-</v>
      </c>
      <c r="AD98" s="209" t="str">
        <f>KPIs!AD22</f>
        <v>-</v>
      </c>
      <c r="AE98" s="209" t="str">
        <f>KPIs!AE22</f>
        <v>-</v>
      </c>
      <c r="AF98" s="209" t="str">
        <f>KPIs!AF22</f>
        <v>-</v>
      </c>
      <c r="AG98" s="209" t="str">
        <f>KPIs!AG22</f>
        <v>-</v>
      </c>
      <c r="AH98" s="209" t="str">
        <f>KPIs!AH22</f>
        <v>-</v>
      </c>
      <c r="AI98" s="209" t="str">
        <f>KPIs!AI22</f>
        <v>-</v>
      </c>
      <c r="AJ98" s="209" t="str">
        <f>KPIs!AJ22</f>
        <v>-</v>
      </c>
      <c r="AK98" s="209" t="str">
        <f>KPIs!AK22</f>
        <v>-</v>
      </c>
      <c r="AL98" s="209" t="str">
        <f>KPIs!AL22</f>
        <v>-</v>
      </c>
    </row>
    <row r="99" spans="1:38" ht="13.5" hidden="1" customHeight="1" outlineLevel="1" x14ac:dyDescent="0.3">
      <c r="A99" s="120" t="s">
        <v>1620</v>
      </c>
      <c r="B99" s="199" t="str">
        <f>KPIs!A23</f>
        <v>13 · Días promedio para cerrar hallazgos</v>
      </c>
      <c r="C99" s="211" t="str">
        <f>IF(ISNUMBER(KPIs!C23),KPIs!C23,"s/meta")</f>
        <v>s/meta</v>
      </c>
      <c r="D99" s="205">
        <f>KPIs!D23</f>
        <v>1.34615384615385</v>
      </c>
      <c r="E99" s="205">
        <f>KPIs!E23</f>
        <v>0.25</v>
      </c>
      <c r="F99" s="205" t="str">
        <f>KPIs!F23</f>
        <v>-</v>
      </c>
      <c r="G99" s="205" t="str">
        <f>KPIs!G23</f>
        <v>-</v>
      </c>
      <c r="H99" s="205" t="str">
        <f>KPIs!H23</f>
        <v>-</v>
      </c>
      <c r="I99" s="205" t="str">
        <f>KPIs!I23</f>
        <v>-</v>
      </c>
      <c r="J99" s="205" t="str">
        <f>KPIs!J23</f>
        <v>-</v>
      </c>
      <c r="K99" s="205" t="str">
        <f>KPIs!K23</f>
        <v>-</v>
      </c>
      <c r="L99" s="205" t="str">
        <f>KPIs!L23</f>
        <v>-</v>
      </c>
      <c r="M99" s="205" t="str">
        <f>KPIs!M23</f>
        <v>-</v>
      </c>
      <c r="N99" s="205" t="str">
        <f>KPIs!N23</f>
        <v>-</v>
      </c>
      <c r="O99" s="205" t="str">
        <f>KPIs!O23</f>
        <v>-</v>
      </c>
      <c r="P99" s="205" t="str">
        <f>KPIs!P23</f>
        <v>-</v>
      </c>
      <c r="Q99" s="205" t="str">
        <f>KPIs!Q23</f>
        <v>-</v>
      </c>
      <c r="R99" s="205" t="str">
        <f>KPIs!R23</f>
        <v>-</v>
      </c>
      <c r="S99" s="205" t="str">
        <f>KPIs!S23</f>
        <v>-</v>
      </c>
      <c r="T99" s="205" t="str">
        <f>KPIs!T23</f>
        <v>-</v>
      </c>
      <c r="U99" s="205" t="str">
        <f>KPIs!U23</f>
        <v>-</v>
      </c>
      <c r="V99" s="205" t="str">
        <f>KPIs!V23</f>
        <v>-</v>
      </c>
      <c r="W99" s="205" t="str">
        <f>KPIs!W23</f>
        <v>-</v>
      </c>
      <c r="X99" s="205" t="str">
        <f>KPIs!X23</f>
        <v>-</v>
      </c>
      <c r="Y99" s="205" t="str">
        <f>KPIs!Y23</f>
        <v>-</v>
      </c>
      <c r="Z99" s="205" t="str">
        <f>KPIs!Z23</f>
        <v>-</v>
      </c>
      <c r="AA99" s="205" t="str">
        <f>KPIs!AA23</f>
        <v>-</v>
      </c>
      <c r="AB99" s="205" t="str">
        <f>KPIs!AB23</f>
        <v>-</v>
      </c>
      <c r="AC99" s="205" t="str">
        <f>KPIs!AC23</f>
        <v>-</v>
      </c>
      <c r="AD99" s="205" t="str">
        <f>KPIs!AD23</f>
        <v>-</v>
      </c>
      <c r="AE99" s="205" t="str">
        <f>KPIs!AE23</f>
        <v>-</v>
      </c>
      <c r="AF99" s="205" t="str">
        <f>KPIs!AF23</f>
        <v>-</v>
      </c>
      <c r="AG99" s="205" t="str">
        <f>KPIs!AG23</f>
        <v>-</v>
      </c>
      <c r="AH99" s="205" t="str">
        <f>KPIs!AH23</f>
        <v>-</v>
      </c>
      <c r="AI99" s="205" t="str">
        <f>KPIs!AI23</f>
        <v>-</v>
      </c>
      <c r="AJ99" s="205" t="str">
        <f>KPIs!AJ23</f>
        <v>-</v>
      </c>
      <c r="AK99" s="205" t="str">
        <f>KPIs!AK23</f>
        <v>-</v>
      </c>
      <c r="AL99" s="205" t="str">
        <f>KPIs!AL23</f>
        <v>-</v>
      </c>
    </row>
    <row r="100" spans="1:38" ht="13.2" hidden="1" customHeight="1" outlineLevel="1" x14ac:dyDescent="0.3"/>
    <row r="101" spans="1:38" ht="24.6" hidden="1" customHeight="1" outlineLevel="1" x14ac:dyDescent="0.3">
      <c r="A101" s="30"/>
      <c r="B101" s="198" t="str">
        <f>KPIs!A25</f>
        <v>ACUMULADO DEL PROYECTO (desde ago-26 hasta cada mes)  ·  base correcta para comparar con las metas de proyecto</v>
      </c>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row>
    <row r="102" spans="1:38" ht="13.5" hidden="1" customHeight="1" outlineLevel="1" x14ac:dyDescent="0.3">
      <c r="A102" s="120" t="s">
        <v>1621</v>
      </c>
      <c r="B102" s="199" t="str">
        <f>KPIs!A26</f>
        <v>1 · Frecuencia de casos con días perdidos · ACUMULADO</v>
      </c>
      <c r="C102" s="200">
        <f>IF(ISNUMBER(KPIs!C26),KPIs!C26,"s/meta")</f>
        <v>0</v>
      </c>
      <c r="D102" s="201">
        <f>KPIs!D26</f>
        <v>0</v>
      </c>
      <c r="E102" s="201">
        <f>KPIs!E26</f>
        <v>0</v>
      </c>
      <c r="F102" s="201" t="str">
        <f>KPIs!F26</f>
        <v>-</v>
      </c>
      <c r="G102" s="201" t="str">
        <f>KPIs!G26</f>
        <v>-</v>
      </c>
      <c r="H102" s="201" t="str">
        <f>KPIs!H26</f>
        <v>-</v>
      </c>
      <c r="I102" s="201" t="str">
        <f>KPIs!I26</f>
        <v>-</v>
      </c>
      <c r="J102" s="201" t="str">
        <f>KPIs!J26</f>
        <v>-</v>
      </c>
      <c r="K102" s="201" t="str">
        <f>KPIs!K26</f>
        <v>-</v>
      </c>
      <c r="L102" s="201" t="str">
        <f>KPIs!L26</f>
        <v>-</v>
      </c>
      <c r="M102" s="201" t="str">
        <f>KPIs!M26</f>
        <v>-</v>
      </c>
      <c r="N102" s="201" t="str">
        <f>KPIs!N26</f>
        <v>-</v>
      </c>
      <c r="O102" s="201" t="str">
        <f>KPIs!O26</f>
        <v>-</v>
      </c>
      <c r="P102" s="201" t="str">
        <f>KPIs!P26</f>
        <v>-</v>
      </c>
      <c r="Q102" s="201" t="str">
        <f>KPIs!Q26</f>
        <v>-</v>
      </c>
      <c r="R102" s="201" t="str">
        <f>KPIs!R26</f>
        <v>-</v>
      </c>
      <c r="S102" s="201" t="str">
        <f>KPIs!S26</f>
        <v>-</v>
      </c>
      <c r="T102" s="201" t="str">
        <f>KPIs!T26</f>
        <v>-</v>
      </c>
      <c r="U102" s="201" t="str">
        <f>KPIs!U26</f>
        <v>-</v>
      </c>
      <c r="V102" s="201" t="str">
        <f>KPIs!V26</f>
        <v>-</v>
      </c>
      <c r="W102" s="201" t="str">
        <f>KPIs!W26</f>
        <v>-</v>
      </c>
      <c r="X102" s="201" t="str">
        <f>KPIs!X26</f>
        <v>-</v>
      </c>
      <c r="Y102" s="201" t="str">
        <f>KPIs!Y26</f>
        <v>-</v>
      </c>
      <c r="Z102" s="201" t="str">
        <f>KPIs!Z26</f>
        <v>-</v>
      </c>
      <c r="AA102" s="201" t="str">
        <f>KPIs!AA26</f>
        <v>-</v>
      </c>
      <c r="AB102" s="201" t="str">
        <f>KPIs!AB26</f>
        <v>-</v>
      </c>
      <c r="AC102" s="201" t="str">
        <f>KPIs!AC26</f>
        <v>-</v>
      </c>
      <c r="AD102" s="201" t="str">
        <f>KPIs!AD26</f>
        <v>-</v>
      </c>
      <c r="AE102" s="201" t="str">
        <f>KPIs!AE26</f>
        <v>-</v>
      </c>
      <c r="AF102" s="201" t="str">
        <f>KPIs!AF26</f>
        <v>-</v>
      </c>
      <c r="AG102" s="201" t="str">
        <f>KPIs!AG26</f>
        <v>-</v>
      </c>
      <c r="AH102" s="201" t="str">
        <f>KPIs!AH26</f>
        <v>-</v>
      </c>
      <c r="AI102" s="201" t="str">
        <f>KPIs!AI26</f>
        <v>-</v>
      </c>
      <c r="AJ102" s="201" t="str">
        <f>KPIs!AJ26</f>
        <v>-</v>
      </c>
      <c r="AK102" s="201" t="str">
        <f>KPIs!AK26</f>
        <v>-</v>
      </c>
      <c r="AL102" s="201" t="str">
        <f>KPIs!AL26</f>
        <v>-</v>
      </c>
    </row>
    <row r="103" spans="1:38" ht="13.5" hidden="1" customHeight="1" outlineLevel="1" x14ac:dyDescent="0.3">
      <c r="A103" s="120" t="s">
        <v>1622</v>
      </c>
      <c r="B103" s="199" t="str">
        <f>KPIs!A27</f>
        <v>2 · Frecuencia de casos registrables · ACUMULADO</v>
      </c>
      <c r="C103" s="200">
        <f>IF(ISNUMBER(KPIs!C27),KPIs!C27,"s/meta")</f>
        <v>2.35</v>
      </c>
      <c r="D103" s="201">
        <f>KPIs!D27</f>
        <v>0</v>
      </c>
      <c r="E103" s="201">
        <f>KPIs!E27</f>
        <v>0</v>
      </c>
      <c r="F103" s="201" t="str">
        <f>KPIs!F27</f>
        <v>-</v>
      </c>
      <c r="G103" s="201" t="str">
        <f>KPIs!G27</f>
        <v>-</v>
      </c>
      <c r="H103" s="201" t="str">
        <f>KPIs!H27</f>
        <v>-</v>
      </c>
      <c r="I103" s="201" t="str">
        <f>KPIs!I27</f>
        <v>-</v>
      </c>
      <c r="J103" s="201" t="str">
        <f>KPIs!J27</f>
        <v>-</v>
      </c>
      <c r="K103" s="201" t="str">
        <f>KPIs!K27</f>
        <v>-</v>
      </c>
      <c r="L103" s="201" t="str">
        <f>KPIs!L27</f>
        <v>-</v>
      </c>
      <c r="M103" s="201" t="str">
        <f>KPIs!M27</f>
        <v>-</v>
      </c>
      <c r="N103" s="201" t="str">
        <f>KPIs!N27</f>
        <v>-</v>
      </c>
      <c r="O103" s="201" t="str">
        <f>KPIs!O27</f>
        <v>-</v>
      </c>
      <c r="P103" s="201" t="str">
        <f>KPIs!P27</f>
        <v>-</v>
      </c>
      <c r="Q103" s="201" t="str">
        <f>KPIs!Q27</f>
        <v>-</v>
      </c>
      <c r="R103" s="201" t="str">
        <f>KPIs!R27</f>
        <v>-</v>
      </c>
      <c r="S103" s="201" t="str">
        <f>KPIs!S27</f>
        <v>-</v>
      </c>
      <c r="T103" s="201" t="str">
        <f>KPIs!T27</f>
        <v>-</v>
      </c>
      <c r="U103" s="201" t="str">
        <f>KPIs!U27</f>
        <v>-</v>
      </c>
      <c r="V103" s="201" t="str">
        <f>KPIs!V27</f>
        <v>-</v>
      </c>
      <c r="W103" s="201" t="str">
        <f>KPIs!W27</f>
        <v>-</v>
      </c>
      <c r="X103" s="201" t="str">
        <f>KPIs!X27</f>
        <v>-</v>
      </c>
      <c r="Y103" s="201" t="str">
        <f>KPIs!Y27</f>
        <v>-</v>
      </c>
      <c r="Z103" s="201" t="str">
        <f>KPIs!Z27</f>
        <v>-</v>
      </c>
      <c r="AA103" s="201" t="str">
        <f>KPIs!AA27</f>
        <v>-</v>
      </c>
      <c r="AB103" s="201" t="str">
        <f>KPIs!AB27</f>
        <v>-</v>
      </c>
      <c r="AC103" s="201" t="str">
        <f>KPIs!AC27</f>
        <v>-</v>
      </c>
      <c r="AD103" s="201" t="str">
        <f>KPIs!AD27</f>
        <v>-</v>
      </c>
      <c r="AE103" s="201" t="str">
        <f>KPIs!AE27</f>
        <v>-</v>
      </c>
      <c r="AF103" s="201" t="str">
        <f>KPIs!AF27</f>
        <v>-</v>
      </c>
      <c r="AG103" s="201" t="str">
        <f>KPIs!AG27</f>
        <v>-</v>
      </c>
      <c r="AH103" s="201" t="str">
        <f>KPIs!AH27</f>
        <v>-</v>
      </c>
      <c r="AI103" s="201" t="str">
        <f>KPIs!AI27</f>
        <v>-</v>
      </c>
      <c r="AJ103" s="201" t="str">
        <f>KPIs!AJ27</f>
        <v>-</v>
      </c>
      <c r="AK103" s="201" t="str">
        <f>KPIs!AK27</f>
        <v>-</v>
      </c>
      <c r="AL103" s="201" t="str">
        <f>KPIs!AL27</f>
        <v>-</v>
      </c>
    </row>
    <row r="104" spans="1:38" ht="13.5" hidden="1" customHeight="1" outlineLevel="1" x14ac:dyDescent="0.3">
      <c r="A104" s="120" t="s">
        <v>1623</v>
      </c>
      <c r="B104" s="199" t="str">
        <f>KPIs!A28</f>
        <v>3 · Casos de primeros auxilios · ACUMULADO</v>
      </c>
      <c r="C104" s="202" t="str">
        <f>IF(ISNUMBER(KPIs!C28),KPIs!C28,"s/meta")</f>
        <v>s/meta</v>
      </c>
      <c r="D104" s="203">
        <f>KPIs!D28</f>
        <v>0</v>
      </c>
      <c r="E104" s="203">
        <f>KPIs!E28</f>
        <v>0</v>
      </c>
      <c r="F104" s="203" t="str">
        <f>KPIs!F28</f>
        <v>-</v>
      </c>
      <c r="G104" s="203" t="str">
        <f>KPIs!G28</f>
        <v>-</v>
      </c>
      <c r="H104" s="203" t="str">
        <f>KPIs!H28</f>
        <v>-</v>
      </c>
      <c r="I104" s="203" t="str">
        <f>KPIs!I28</f>
        <v>-</v>
      </c>
      <c r="J104" s="203" t="str">
        <f>KPIs!J28</f>
        <v>-</v>
      </c>
      <c r="K104" s="203" t="str">
        <f>KPIs!K28</f>
        <v>-</v>
      </c>
      <c r="L104" s="203" t="str">
        <f>KPIs!L28</f>
        <v>-</v>
      </c>
      <c r="M104" s="203" t="str">
        <f>KPIs!M28</f>
        <v>-</v>
      </c>
      <c r="N104" s="203" t="str">
        <f>KPIs!N28</f>
        <v>-</v>
      </c>
      <c r="O104" s="203" t="str">
        <f>KPIs!O28</f>
        <v>-</v>
      </c>
      <c r="P104" s="203" t="str">
        <f>KPIs!P28</f>
        <v>-</v>
      </c>
      <c r="Q104" s="203" t="str">
        <f>KPIs!Q28</f>
        <v>-</v>
      </c>
      <c r="R104" s="203" t="str">
        <f>KPIs!R28</f>
        <v>-</v>
      </c>
      <c r="S104" s="203" t="str">
        <f>KPIs!S28</f>
        <v>-</v>
      </c>
      <c r="T104" s="203" t="str">
        <f>KPIs!T28</f>
        <v>-</v>
      </c>
      <c r="U104" s="203" t="str">
        <f>KPIs!U28</f>
        <v>-</v>
      </c>
      <c r="V104" s="203" t="str">
        <f>KPIs!V28</f>
        <v>-</v>
      </c>
      <c r="W104" s="203" t="str">
        <f>KPIs!W28</f>
        <v>-</v>
      </c>
      <c r="X104" s="203" t="str">
        <f>KPIs!X28</f>
        <v>-</v>
      </c>
      <c r="Y104" s="203" t="str">
        <f>KPIs!Y28</f>
        <v>-</v>
      </c>
      <c r="Z104" s="203" t="str">
        <f>KPIs!Z28</f>
        <v>-</v>
      </c>
      <c r="AA104" s="203" t="str">
        <f>KPIs!AA28</f>
        <v>-</v>
      </c>
      <c r="AB104" s="203" t="str">
        <f>KPIs!AB28</f>
        <v>-</v>
      </c>
      <c r="AC104" s="203" t="str">
        <f>KPIs!AC28</f>
        <v>-</v>
      </c>
      <c r="AD104" s="203" t="str">
        <f>KPIs!AD28</f>
        <v>-</v>
      </c>
      <c r="AE104" s="203" t="str">
        <f>KPIs!AE28</f>
        <v>-</v>
      </c>
      <c r="AF104" s="203" t="str">
        <f>KPIs!AF28</f>
        <v>-</v>
      </c>
      <c r="AG104" s="203" t="str">
        <f>KPIs!AG28</f>
        <v>-</v>
      </c>
      <c r="AH104" s="203" t="str">
        <f>KPIs!AH28</f>
        <v>-</v>
      </c>
      <c r="AI104" s="203" t="str">
        <f>KPIs!AI28</f>
        <v>-</v>
      </c>
      <c r="AJ104" s="203" t="str">
        <f>KPIs!AJ28</f>
        <v>-</v>
      </c>
      <c r="AK104" s="203" t="str">
        <f>KPIs!AK28</f>
        <v>-</v>
      </c>
      <c r="AL104" s="203" t="str">
        <f>KPIs!AL28</f>
        <v>-</v>
      </c>
    </row>
    <row r="105" spans="1:38" ht="13.5" hidden="1" customHeight="1" outlineLevel="1" x14ac:dyDescent="0.3">
      <c r="A105" s="120" t="s">
        <v>1624</v>
      </c>
      <c r="B105" s="199" t="str">
        <f>KPIs!A29</f>
        <v>4 · Accidentes vehiculares severos · ACUMULADO</v>
      </c>
      <c r="C105" s="200" t="str">
        <f>IF(ISNUMBER(KPIs!C29),KPIs!C29,"s/meta")</f>
        <v>s/meta</v>
      </c>
      <c r="D105" s="201">
        <f>KPIs!D29</f>
        <v>0</v>
      </c>
      <c r="E105" s="201">
        <f>KPIs!E29</f>
        <v>0</v>
      </c>
      <c r="F105" s="201" t="str">
        <f>KPIs!F29</f>
        <v>-</v>
      </c>
      <c r="G105" s="201" t="str">
        <f>KPIs!G29</f>
        <v>-</v>
      </c>
      <c r="H105" s="201" t="str">
        <f>KPIs!H29</f>
        <v>-</v>
      </c>
      <c r="I105" s="201" t="str">
        <f>KPIs!I29</f>
        <v>-</v>
      </c>
      <c r="J105" s="201" t="str">
        <f>KPIs!J29</f>
        <v>-</v>
      </c>
      <c r="K105" s="201" t="str">
        <f>KPIs!K29</f>
        <v>-</v>
      </c>
      <c r="L105" s="201" t="str">
        <f>KPIs!L29</f>
        <v>-</v>
      </c>
      <c r="M105" s="201" t="str">
        <f>KPIs!M29</f>
        <v>-</v>
      </c>
      <c r="N105" s="201" t="str">
        <f>KPIs!N29</f>
        <v>-</v>
      </c>
      <c r="O105" s="201" t="str">
        <f>KPIs!O29</f>
        <v>-</v>
      </c>
      <c r="P105" s="201" t="str">
        <f>KPIs!P29</f>
        <v>-</v>
      </c>
      <c r="Q105" s="201" t="str">
        <f>KPIs!Q29</f>
        <v>-</v>
      </c>
      <c r="R105" s="201" t="str">
        <f>KPIs!R29</f>
        <v>-</v>
      </c>
      <c r="S105" s="201" t="str">
        <f>KPIs!S29</f>
        <v>-</v>
      </c>
      <c r="T105" s="201" t="str">
        <f>KPIs!T29</f>
        <v>-</v>
      </c>
      <c r="U105" s="201" t="str">
        <f>KPIs!U29</f>
        <v>-</v>
      </c>
      <c r="V105" s="201" t="str">
        <f>KPIs!V29</f>
        <v>-</v>
      </c>
      <c r="W105" s="201" t="str">
        <f>KPIs!W29</f>
        <v>-</v>
      </c>
      <c r="X105" s="201" t="str">
        <f>KPIs!X29</f>
        <v>-</v>
      </c>
      <c r="Y105" s="201" t="str">
        <f>KPIs!Y29</f>
        <v>-</v>
      </c>
      <c r="Z105" s="201" t="str">
        <f>KPIs!Z29</f>
        <v>-</v>
      </c>
      <c r="AA105" s="201" t="str">
        <f>KPIs!AA29</f>
        <v>-</v>
      </c>
      <c r="AB105" s="201" t="str">
        <f>KPIs!AB29</f>
        <v>-</v>
      </c>
      <c r="AC105" s="201" t="str">
        <f>KPIs!AC29</f>
        <v>-</v>
      </c>
      <c r="AD105" s="201" t="str">
        <f>KPIs!AD29</f>
        <v>-</v>
      </c>
      <c r="AE105" s="201" t="str">
        <f>KPIs!AE29</f>
        <v>-</v>
      </c>
      <c r="AF105" s="201" t="str">
        <f>KPIs!AF29</f>
        <v>-</v>
      </c>
      <c r="AG105" s="201" t="str">
        <f>KPIs!AG29</f>
        <v>-</v>
      </c>
      <c r="AH105" s="201" t="str">
        <f>KPIs!AH29</f>
        <v>-</v>
      </c>
      <c r="AI105" s="201" t="str">
        <f>KPIs!AI29</f>
        <v>-</v>
      </c>
      <c r="AJ105" s="201" t="str">
        <f>KPIs!AJ29</f>
        <v>-</v>
      </c>
      <c r="AK105" s="201" t="str">
        <f>KPIs!AK29</f>
        <v>-</v>
      </c>
      <c r="AL105" s="201" t="str">
        <f>KPIs!AL29</f>
        <v>-</v>
      </c>
    </row>
    <row r="106" spans="1:38" ht="13.5" hidden="1" customHeight="1" outlineLevel="1" x14ac:dyDescent="0.3">
      <c r="A106" s="120" t="s">
        <v>1625</v>
      </c>
      <c r="B106" s="199" t="str">
        <f>KPIs!A30</f>
        <v>5 · Accidentes vehiculares totales · ACUMULADO</v>
      </c>
      <c r="C106" s="200">
        <f>IF(ISNUMBER(KPIs!C30),KPIs!C30,"s/meta")</f>
        <v>0.79</v>
      </c>
      <c r="D106" s="201">
        <f>KPIs!D30</f>
        <v>0</v>
      </c>
      <c r="E106" s="201">
        <f>KPIs!E30</f>
        <v>0</v>
      </c>
      <c r="F106" s="201" t="str">
        <f>KPIs!F30</f>
        <v>-</v>
      </c>
      <c r="G106" s="201" t="str">
        <f>KPIs!G30</f>
        <v>-</v>
      </c>
      <c r="H106" s="201" t="str">
        <f>KPIs!H30</f>
        <v>-</v>
      </c>
      <c r="I106" s="201" t="str">
        <f>KPIs!I30</f>
        <v>-</v>
      </c>
      <c r="J106" s="201" t="str">
        <f>KPIs!J30</f>
        <v>-</v>
      </c>
      <c r="K106" s="201" t="str">
        <f>KPIs!K30</f>
        <v>-</v>
      </c>
      <c r="L106" s="201" t="str">
        <f>KPIs!L30</f>
        <v>-</v>
      </c>
      <c r="M106" s="201" t="str">
        <f>KPIs!M30</f>
        <v>-</v>
      </c>
      <c r="N106" s="201" t="str">
        <f>KPIs!N30</f>
        <v>-</v>
      </c>
      <c r="O106" s="201" t="str">
        <f>KPIs!O30</f>
        <v>-</v>
      </c>
      <c r="P106" s="201" t="str">
        <f>KPIs!P30</f>
        <v>-</v>
      </c>
      <c r="Q106" s="201" t="str">
        <f>KPIs!Q30</f>
        <v>-</v>
      </c>
      <c r="R106" s="201" t="str">
        <f>KPIs!R30</f>
        <v>-</v>
      </c>
      <c r="S106" s="201" t="str">
        <f>KPIs!S30</f>
        <v>-</v>
      </c>
      <c r="T106" s="201" t="str">
        <f>KPIs!T30</f>
        <v>-</v>
      </c>
      <c r="U106" s="201" t="str">
        <f>KPIs!U30</f>
        <v>-</v>
      </c>
      <c r="V106" s="201" t="str">
        <f>KPIs!V30</f>
        <v>-</v>
      </c>
      <c r="W106" s="201" t="str">
        <f>KPIs!W30</f>
        <v>-</v>
      </c>
      <c r="X106" s="201" t="str">
        <f>KPIs!X30</f>
        <v>-</v>
      </c>
      <c r="Y106" s="201" t="str">
        <f>KPIs!Y30</f>
        <v>-</v>
      </c>
      <c r="Z106" s="201" t="str">
        <f>KPIs!Z30</f>
        <v>-</v>
      </c>
      <c r="AA106" s="201" t="str">
        <f>KPIs!AA30</f>
        <v>-</v>
      </c>
      <c r="AB106" s="201" t="str">
        <f>KPIs!AB30</f>
        <v>-</v>
      </c>
      <c r="AC106" s="201" t="str">
        <f>KPIs!AC30</f>
        <v>-</v>
      </c>
      <c r="AD106" s="201" t="str">
        <f>KPIs!AD30</f>
        <v>-</v>
      </c>
      <c r="AE106" s="201" t="str">
        <f>KPIs!AE30</f>
        <v>-</v>
      </c>
      <c r="AF106" s="201" t="str">
        <f>KPIs!AF30</f>
        <v>-</v>
      </c>
      <c r="AG106" s="201" t="str">
        <f>KPIs!AG30</f>
        <v>-</v>
      </c>
      <c r="AH106" s="201" t="str">
        <f>KPIs!AH30</f>
        <v>-</v>
      </c>
      <c r="AI106" s="201" t="str">
        <f>KPIs!AI30</f>
        <v>-</v>
      </c>
      <c r="AJ106" s="201" t="str">
        <f>KPIs!AJ30</f>
        <v>-</v>
      </c>
      <c r="AK106" s="201" t="str">
        <f>KPIs!AK30</f>
        <v>-</v>
      </c>
      <c r="AL106" s="201" t="str">
        <f>KPIs!AL30</f>
        <v>-</v>
      </c>
    </row>
    <row r="107" spans="1:38" ht="13.5" hidden="1" customHeight="1" outlineLevel="1" x14ac:dyDescent="0.3"/>
    <row r="108" spans="1:38" ht="13.5" hidden="1" customHeight="1" outlineLevel="1" x14ac:dyDescent="0.3">
      <c r="A108" s="30"/>
      <c r="B108" s="198" t="str">
        <f>KPIs!A32</f>
        <v>INDICADORES COMPLEMENTARIOS · Hallazgos por gravedad y detenciones (sin meta, para reporte)</v>
      </c>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row>
    <row r="109" spans="1:38" ht="13.5" hidden="1" customHeight="1" outlineLevel="1" x14ac:dyDescent="0.3">
      <c r="A109" s="120" t="s">
        <v>1626</v>
      </c>
      <c r="B109" s="199" t="str">
        <f>KPIs!A33</f>
        <v>C1 · % de desvíos detectados de gravedad Alta</v>
      </c>
      <c r="C109" s="200" t="str">
        <f>IF(ISNUMBER(KPIs!C33),KPIs!C33,"s/meta")</f>
        <v>s/meta</v>
      </c>
      <c r="D109" s="209" t="str">
        <f>KPIs!D33</f>
        <v>-</v>
      </c>
      <c r="E109" s="209" t="str">
        <f>KPIs!E33</f>
        <v>-</v>
      </c>
      <c r="F109" s="209" t="str">
        <f>KPIs!F33</f>
        <v>-</v>
      </c>
      <c r="G109" s="209" t="str">
        <f>KPIs!G33</f>
        <v>-</v>
      </c>
      <c r="H109" s="209" t="str">
        <f>KPIs!H33</f>
        <v>-</v>
      </c>
      <c r="I109" s="209" t="str">
        <f>KPIs!I33</f>
        <v>-</v>
      </c>
      <c r="J109" s="209" t="str">
        <f>KPIs!J33</f>
        <v>-</v>
      </c>
      <c r="K109" s="209" t="str">
        <f>KPIs!K33</f>
        <v>-</v>
      </c>
      <c r="L109" s="209" t="str">
        <f>KPIs!L33</f>
        <v>-</v>
      </c>
      <c r="M109" s="209" t="str">
        <f>KPIs!M33</f>
        <v>-</v>
      </c>
      <c r="N109" s="209" t="str">
        <f>KPIs!N33</f>
        <v>-</v>
      </c>
      <c r="O109" s="209" t="str">
        <f>KPIs!O33</f>
        <v>-</v>
      </c>
      <c r="P109" s="209" t="str">
        <f>KPIs!P33</f>
        <v>-</v>
      </c>
      <c r="Q109" s="209" t="str">
        <f>KPIs!Q33</f>
        <v>-</v>
      </c>
      <c r="R109" s="209" t="str">
        <f>KPIs!R33</f>
        <v>-</v>
      </c>
      <c r="S109" s="209" t="str">
        <f>KPIs!S33</f>
        <v>-</v>
      </c>
      <c r="T109" s="209" t="str">
        <f>KPIs!T33</f>
        <v>-</v>
      </c>
      <c r="U109" s="209" t="str">
        <f>KPIs!U33</f>
        <v>-</v>
      </c>
      <c r="V109" s="209" t="str">
        <f>KPIs!V33</f>
        <v>-</v>
      </c>
      <c r="W109" s="209" t="str">
        <f>KPIs!W33</f>
        <v>-</v>
      </c>
      <c r="X109" s="209" t="str">
        <f>KPIs!X33</f>
        <v>-</v>
      </c>
      <c r="Y109" s="209" t="str">
        <f>KPIs!Y33</f>
        <v>-</v>
      </c>
      <c r="Z109" s="209" t="str">
        <f>KPIs!Z33</f>
        <v>-</v>
      </c>
      <c r="AA109" s="209" t="str">
        <f>KPIs!AA33</f>
        <v>-</v>
      </c>
      <c r="AB109" s="209" t="str">
        <f>KPIs!AB33</f>
        <v>-</v>
      </c>
      <c r="AC109" s="209" t="str">
        <f>KPIs!AC33</f>
        <v>-</v>
      </c>
      <c r="AD109" s="209" t="str">
        <f>KPIs!AD33</f>
        <v>-</v>
      </c>
      <c r="AE109" s="209" t="str">
        <f>KPIs!AE33</f>
        <v>-</v>
      </c>
      <c r="AF109" s="209" t="str">
        <f>KPIs!AF33</f>
        <v>-</v>
      </c>
      <c r="AG109" s="209" t="str">
        <f>KPIs!AG33</f>
        <v>-</v>
      </c>
      <c r="AH109" s="209" t="str">
        <f>KPIs!AH33</f>
        <v>-</v>
      </c>
      <c r="AI109" s="209" t="str">
        <f>KPIs!AI33</f>
        <v>-</v>
      </c>
      <c r="AJ109" s="209" t="str">
        <f>KPIs!AJ33</f>
        <v>-</v>
      </c>
      <c r="AK109" s="209" t="str">
        <f>KPIs!AK33</f>
        <v>-</v>
      </c>
      <c r="AL109" s="209" t="str">
        <f>KPIs!AL33</f>
        <v>-</v>
      </c>
    </row>
    <row r="110" spans="1:38" ht="13.5" hidden="1" customHeight="1" outlineLevel="1" x14ac:dyDescent="0.3">
      <c r="A110" s="120" t="s">
        <v>1627</v>
      </c>
      <c r="B110" s="199" t="str">
        <f>KPIs!A34</f>
        <v>C2 · Detenciones de tareas aplicadas</v>
      </c>
      <c r="C110" s="200" t="str">
        <f>IF(ISNUMBER(KPIs!C34),KPIs!C34,"s/meta")</f>
        <v>s/meta</v>
      </c>
      <c r="D110" s="203">
        <f>KPIs!D34</f>
        <v>0</v>
      </c>
      <c r="E110" s="203">
        <f>KPIs!E34</f>
        <v>0</v>
      </c>
      <c r="F110" s="203" t="str">
        <f>KPIs!F34</f>
        <v>-</v>
      </c>
      <c r="G110" s="203" t="str">
        <f>KPIs!G34</f>
        <v>-</v>
      </c>
      <c r="H110" s="203" t="str">
        <f>KPIs!H34</f>
        <v>-</v>
      </c>
      <c r="I110" s="203" t="str">
        <f>KPIs!I34</f>
        <v>-</v>
      </c>
      <c r="J110" s="203" t="str">
        <f>KPIs!J34</f>
        <v>-</v>
      </c>
      <c r="K110" s="203" t="str">
        <f>KPIs!K34</f>
        <v>-</v>
      </c>
      <c r="L110" s="203" t="str">
        <f>KPIs!L34</f>
        <v>-</v>
      </c>
      <c r="M110" s="203" t="str">
        <f>KPIs!M34</f>
        <v>-</v>
      </c>
      <c r="N110" s="203" t="str">
        <f>KPIs!N34</f>
        <v>-</v>
      </c>
      <c r="O110" s="203" t="str">
        <f>KPIs!O34</f>
        <v>-</v>
      </c>
      <c r="P110" s="203" t="str">
        <f>KPIs!P34</f>
        <v>-</v>
      </c>
      <c r="Q110" s="203" t="str">
        <f>KPIs!Q34</f>
        <v>-</v>
      </c>
      <c r="R110" s="203" t="str">
        <f>KPIs!R34</f>
        <v>-</v>
      </c>
      <c r="S110" s="203" t="str">
        <f>KPIs!S34</f>
        <v>-</v>
      </c>
      <c r="T110" s="203" t="str">
        <f>KPIs!T34</f>
        <v>-</v>
      </c>
      <c r="U110" s="203" t="str">
        <f>KPIs!U34</f>
        <v>-</v>
      </c>
      <c r="V110" s="203" t="str">
        <f>KPIs!V34</f>
        <v>-</v>
      </c>
      <c r="W110" s="203" t="str">
        <f>KPIs!W34</f>
        <v>-</v>
      </c>
      <c r="X110" s="203" t="str">
        <f>KPIs!X34</f>
        <v>-</v>
      </c>
      <c r="Y110" s="203" t="str">
        <f>KPIs!Y34</f>
        <v>-</v>
      </c>
      <c r="Z110" s="203" t="str">
        <f>KPIs!Z34</f>
        <v>-</v>
      </c>
      <c r="AA110" s="203" t="str">
        <f>KPIs!AA34</f>
        <v>-</v>
      </c>
      <c r="AB110" s="203" t="str">
        <f>KPIs!AB34</f>
        <v>-</v>
      </c>
      <c r="AC110" s="203" t="str">
        <f>KPIs!AC34</f>
        <v>-</v>
      </c>
      <c r="AD110" s="203" t="str">
        <f>KPIs!AD34</f>
        <v>-</v>
      </c>
      <c r="AE110" s="203" t="str">
        <f>KPIs!AE34</f>
        <v>-</v>
      </c>
      <c r="AF110" s="203" t="str">
        <f>KPIs!AF34</f>
        <v>-</v>
      </c>
      <c r="AG110" s="203" t="str">
        <f>KPIs!AG34</f>
        <v>-</v>
      </c>
      <c r="AH110" s="203" t="str">
        <f>KPIs!AH34</f>
        <v>-</v>
      </c>
      <c r="AI110" s="203" t="str">
        <f>KPIs!AI34</f>
        <v>-</v>
      </c>
      <c r="AJ110" s="203" t="str">
        <f>KPIs!AJ34</f>
        <v>-</v>
      </c>
      <c r="AK110" s="203" t="str">
        <f>KPIs!AK34</f>
        <v>-</v>
      </c>
      <c r="AL110" s="203" t="str">
        <f>KPIs!AL34</f>
        <v>-</v>
      </c>
    </row>
    <row r="111" spans="1:38" collapsed="1" x14ac:dyDescent="0.3"/>
  </sheetData>
  <sheetProtection sheet="1" objects="1" scenarios="1" formatCells="1" formatColumns="1" formatRows="1" insertColumns="1" insertRows="1" insertHyperlinks="0" deleteColumns="1" deleteRows="1" selectLockedCells="0" selectUnlockedCells="0" sort="0" autoFilter="0" pivotTables="1" password="9F52"/>
  <mergeCells count="16">
    <mergeCell ref="A3:A4"/>
    <mergeCell ref="B1:C1"/>
    <mergeCell ref="D1:E1"/>
    <mergeCell ref="W1:AL1"/>
    <mergeCell ref="C3:C4"/>
    <mergeCell ref="B3:B4"/>
    <mergeCell ref="B66:C66"/>
    <mergeCell ref="B43:C43"/>
    <mergeCell ref="B38:C38"/>
    <mergeCell ref="B5:C5"/>
    <mergeCell ref="B32:C32"/>
    <mergeCell ref="B60:C60"/>
    <mergeCell ref="B15:C15"/>
    <mergeCell ref="B48:C48"/>
    <mergeCell ref="B19:C19"/>
    <mergeCell ref="B54:C54"/>
  </mergeCells>
  <conditionalFormatting sqref="D2:AL2">
    <cfRule type="expression" dxfId="261" priority="2">
      <formula>AND(ISNUMBER(D2),D2=0)</formula>
    </cfRule>
    <cfRule type="expression" dxfId="260" priority="3">
      <formula>AND(ISNUMBER(D2),D2&gt;0)</formula>
    </cfRule>
  </conditionalFormatting>
  <conditionalFormatting sqref="D2:AL4">
    <cfRule type="expression" dxfId="259" priority="28">
      <formula>D$3=RPT_MONTH</formula>
    </cfRule>
  </conditionalFormatting>
  <conditionalFormatting sqref="D6:AL7">
    <cfRule type="expression" dxfId="258" priority="68">
      <formula>NOT(ISBLANK(D6))</formula>
    </cfRule>
    <cfRule type="expression" dxfId="257" priority="69">
      <formula>AND(ISBLANK(D6),D$3&lt;=RPT_MONTH)</formula>
    </cfRule>
  </conditionalFormatting>
  <conditionalFormatting sqref="D9:AL10">
    <cfRule type="expression" dxfId="256" priority="4">
      <formula>AND(N(D9)&gt;0,N(D12)=0)</formula>
    </cfRule>
    <cfRule type="expression" dxfId="255" priority="5">
      <formula>NOT(ISBLANK(D9))</formula>
    </cfRule>
    <cfRule type="expression" dxfId="254" priority="6">
      <formula>AND(ISBLANK(D9),D$3&lt;=RPT_MONTH)</formula>
    </cfRule>
  </conditionalFormatting>
  <conditionalFormatting sqref="D12:AL13">
    <cfRule type="expression" dxfId="253" priority="7">
      <formula>AND(N(D12)&gt;0,N(D9)=0)</formula>
    </cfRule>
    <cfRule type="expression" dxfId="252" priority="8">
      <formula>NOT(ISBLANK(D12))</formula>
    </cfRule>
    <cfRule type="expression" dxfId="251" priority="9">
      <formula>AND(ISBLANK(D12),D$3&lt;=RPT_MONTH)</formula>
    </cfRule>
  </conditionalFormatting>
  <conditionalFormatting sqref="D16:AL17">
    <cfRule type="expression" dxfId="250" priority="10">
      <formula>N(D16)&gt;N(D12)</formula>
    </cfRule>
    <cfRule type="expression" dxfId="249" priority="11">
      <formula>NOT(ISBLANK(D16))</formula>
    </cfRule>
    <cfRule type="expression" dxfId="248" priority="12">
      <formula>AND(ISBLANK(D16),D$3&lt;=RPT_MONTH)</formula>
    </cfRule>
  </conditionalFormatting>
  <conditionalFormatting sqref="D20:AL20">
    <cfRule type="expression" dxfId="247" priority="23">
      <formula>N(D20)&gt;N(D21)</formula>
    </cfRule>
  </conditionalFormatting>
  <conditionalFormatting sqref="D20:AL27 D30:AL31">
    <cfRule type="expression" dxfId="246" priority="13">
      <formula>NOT(ISBLANK(D20))</formula>
    </cfRule>
    <cfRule type="expression" dxfId="245" priority="14">
      <formula>AND(ISBLANK(D20),D$3&lt;=RPT_MONTH)</formula>
    </cfRule>
  </conditionalFormatting>
  <conditionalFormatting sqref="D22:AL22">
    <cfRule type="expression" dxfId="244" priority="24">
      <formula>N(D22)&gt;N(D23)</formula>
    </cfRule>
  </conditionalFormatting>
  <conditionalFormatting sqref="D24:AL24">
    <cfRule type="expression" dxfId="243" priority="25">
      <formula>N(D24)&gt;N(D25)</formula>
    </cfRule>
  </conditionalFormatting>
  <conditionalFormatting sqref="D26:AL26">
    <cfRule type="expression" dxfId="242" priority="26">
      <formula>N(D26)&gt;N(D27)</formula>
    </cfRule>
  </conditionalFormatting>
  <conditionalFormatting sqref="D31:AL31">
    <cfRule type="expression" dxfId="241" priority="27">
      <formula>AND(N(D31)&gt;0,N(D30)=0)</formula>
    </cfRule>
  </conditionalFormatting>
  <conditionalFormatting sqref="D33:AL37">
    <cfRule type="expression" dxfId="240" priority="15">
      <formula>AND(N(D33)&gt;0,N(D$14)=0)</formula>
    </cfRule>
    <cfRule type="expression" dxfId="239" priority="16">
      <formula>NOT(ISBLANK(D33))</formula>
    </cfRule>
    <cfRule type="expression" dxfId="238" priority="17">
      <formula>AND(ISBLANK(D33),D$3&lt;=RPT_MONTH)</formula>
    </cfRule>
  </conditionalFormatting>
  <conditionalFormatting sqref="D39:AL42">
    <cfRule type="expression" dxfId="237" priority="18">
      <formula>AND(N(D39)&gt;0,N(D$47)=0)</formula>
    </cfRule>
    <cfRule type="expression" dxfId="236" priority="19">
      <formula>NOT(ISBLANK(D39))</formula>
    </cfRule>
    <cfRule type="expression" dxfId="235" priority="20">
      <formula>AND(ISBLANK(D39),D$3&lt;=RPT_MONTH)</formula>
    </cfRule>
  </conditionalFormatting>
  <conditionalFormatting sqref="D44:AL46">
    <cfRule type="expression" dxfId="234" priority="21">
      <formula>NOT(ISBLANK(D44))</formula>
    </cfRule>
    <cfRule type="expression" dxfId="233" priority="22">
      <formula>AND(ISBLANK(D44),D$3&lt;=RPT_MONTH)</formula>
    </cfRule>
  </conditionalFormatting>
  <conditionalFormatting sqref="D82:AL83">
    <cfRule type="expression" dxfId="232" priority="29">
      <formula>AND(ISNUMBER(D82),ISNUMBER($C82),D82&lt;=$C82)</formula>
    </cfRule>
    <cfRule type="expression" dxfId="231" priority="30">
      <formula>AND(ISNUMBER(D82),ISNUMBER($C82),D82&gt;$C82)</formula>
    </cfRule>
  </conditionalFormatting>
  <conditionalFormatting sqref="D87:AL87">
    <cfRule type="expression" dxfId="230" priority="33">
      <formula>AND(ISNUMBER(D87),ISNUMBER($C87),D87&lt;=$C87)</formula>
    </cfRule>
    <cfRule type="expression" dxfId="229" priority="34">
      <formula>AND(ISNUMBER(D87),ISNUMBER($C87),D87&gt;$C87)</formula>
    </cfRule>
  </conditionalFormatting>
  <conditionalFormatting sqref="D89:AL89">
    <cfRule type="expression" dxfId="228" priority="35">
      <formula>AND(ISNUMBER(D89),ISNUMBER($C89),D89&gt;=$C89)</formula>
    </cfRule>
    <cfRule type="expression" dxfId="227" priority="36">
      <formula>AND(ISNUMBER(D89),ISNUMBER($C89),D89&lt;$C89)</formula>
    </cfRule>
  </conditionalFormatting>
  <conditionalFormatting sqref="D90:AL90">
    <cfRule type="expression" dxfId="226" priority="37">
      <formula>AND(ISNUMBER(D90),ISNUMBER($C90),D90&lt;=$C90)</formula>
    </cfRule>
    <cfRule type="expression" dxfId="225" priority="38">
      <formula>AND(ISNUMBER(D90),ISNUMBER($C90),D90&gt;$C90)</formula>
    </cfRule>
  </conditionalFormatting>
  <conditionalFormatting sqref="D92:AL92">
    <cfRule type="expression" dxfId="224" priority="39">
      <formula>AND(ISNUMBER(D92),ISNUMBER($C92),D92&gt;=$C92)</formula>
    </cfRule>
    <cfRule type="expression" dxfId="223" priority="40">
      <formula>AND(ISNUMBER(D92),ISNUMBER($C92),D92&lt;$C92)</formula>
    </cfRule>
  </conditionalFormatting>
  <conditionalFormatting sqref="D94:AL95">
    <cfRule type="expression" dxfId="222" priority="41">
      <formula>AND(ISNUMBER(D94),ISNUMBER($C94),D94&gt;=$C94)</formula>
    </cfRule>
    <cfRule type="expression" dxfId="221" priority="42">
      <formula>AND(ISNUMBER(D94),ISNUMBER($C94),D94&lt;$C94)</formula>
    </cfRule>
  </conditionalFormatting>
  <conditionalFormatting sqref="D97:AL98">
    <cfRule type="expression" dxfId="220" priority="45">
      <formula>AND(ISNUMBER(D97),ISNUMBER($C97),D97&gt;=$C97)</formula>
    </cfRule>
    <cfRule type="expression" dxfId="219" priority="46">
      <formula>AND(ISNUMBER(D97),ISNUMBER($C97),D97&lt;$C97)</formula>
    </cfRule>
  </conditionalFormatting>
  <conditionalFormatting sqref="D99:AL99">
    <cfRule type="expression" dxfId="218" priority="49">
      <formula>AND(ISNUMBER(D99),ISNUMBER($C99),D99&lt;=$C99)</formula>
    </cfRule>
    <cfRule type="expression" dxfId="217" priority="50">
      <formula>AND(ISNUMBER(D99),ISNUMBER($C99),D99&gt;$C99)</formula>
    </cfRule>
  </conditionalFormatting>
  <conditionalFormatting sqref="D102:AL103">
    <cfRule type="expression" dxfId="216" priority="51">
      <formula>AND(ISNUMBER(D102),ISNUMBER($C102),D102&lt;=$C102)</formula>
    </cfRule>
    <cfRule type="expression" dxfId="215" priority="52">
      <formula>AND(ISNUMBER(D102),ISNUMBER($C102),D102&gt;$C102)</formula>
    </cfRule>
  </conditionalFormatting>
  <conditionalFormatting sqref="D106:AL106">
    <cfRule type="expression" dxfId="214" priority="55">
      <formula>AND(ISNUMBER(D106),ISNUMBER($C106),D106&lt;=$C106)</formula>
    </cfRule>
    <cfRule type="expression" dxfId="213" priority="56">
      <formula>AND(ISNUMBER(D106),ISNUMBER($C106),D106&gt;$C106)</formula>
    </cfRule>
  </conditionalFormatting>
  <conditionalFormatting sqref="D49:AL50">
    <cfRule type="expression" dxfId="212" priority="57">
      <formula>AND(ISNUMBER(D6),N(D49)&gt;D6)</formula>
    </cfRule>
    <cfRule type="expression" dxfId="211" priority="58">
      <formula>NOT(ISBLANK(D49))</formula>
    </cfRule>
    <cfRule type="expression" dxfId="210" priority="59">
      <formula>AND(ISBLANK(D49),D$3&lt;=RPT_MONTH)</formula>
    </cfRule>
  </conditionalFormatting>
  <conditionalFormatting sqref="D52:AL52">
    <cfRule type="expression" dxfId="209" priority="63">
      <formula>NOT(ISBLANK(D52))</formula>
    </cfRule>
    <cfRule type="expression" dxfId="208" priority="64">
      <formula>AND(ISBLANK(D52),D$3&lt;=RPT_MONTH)</formula>
    </cfRule>
  </conditionalFormatting>
  <conditionalFormatting sqref="D53:AL53">
    <cfRule type="expression" dxfId="207" priority="65">
      <formula>N(D53)&gt;N(D52)</formula>
    </cfRule>
    <cfRule type="expression" dxfId="206" priority="66">
      <formula>NOT(ISBLANK(D53))</formula>
    </cfRule>
    <cfRule type="expression" dxfId="205" priority="67">
      <formula>AND(ISBLANK(D53),D$3&lt;=RPT_MONTH)</formula>
    </cfRule>
  </conditionalFormatting>
  <conditionalFormatting sqref="A5:A110">
    <cfRule type="expression" dxfId="204" priority="70">
      <formula>ISNUMBER(SEARCH("(?)",A5))</formula>
    </cfRule>
  </conditionalFormatting>
  <conditionalFormatting sqref="D67:AL73">
    <cfRule type="expression" dxfId="203" priority="77">
      <formula>AND(ISBLANK(D67),D$3&lt;=RPT_MONTH)</formula>
    </cfRule>
    <cfRule type="expression" dxfId="202" priority="78">
      <formula>NOT(ISBLANK(D67))</formula>
    </cfRule>
  </conditionalFormatting>
  <conditionalFormatting sqref="D75:AL76">
    <cfRule type="expression" dxfId="201" priority="79">
      <formula>AND(ISBLANK(D75),D$3&lt;=RPT_MONTH)</formula>
    </cfRule>
    <cfRule type="expression" dxfId="200" priority="80">
      <formula>NOT(ISBLANK(D75))</formula>
    </cfRule>
  </conditionalFormatting>
  <conditionalFormatting sqref="D55:AL59">
    <cfRule type="expression" dxfId="199" priority="81">
      <formula>NOT(ISBLANK(D55))</formula>
    </cfRule>
    <cfRule type="expression" dxfId="198" priority="82">
      <formula>AND(ISBLANK(D55),D$3&lt;=RPT_MONTH)</formula>
    </cfRule>
  </conditionalFormatting>
  <dataValidations count="6">
    <dataValidation type="whole" operator="greaterThanOrEqual" allowBlank="1" showErrorMessage="1" errorTitle="Valor inválido" error="Solo números (0 o más)." sqref="D6:AL7" xr:uid="{00000000-0002-0000-0300-000000000000}">
      <formula1>0</formula1>
      <formula2>0</formula2>
    </dataValidation>
    <dataValidation operator="equal" allowBlank="1" sqref="B49:B53 B67:B76 B44:B46 B39:B42 B33:B37 B9:B10 B16:B17 B12:B13 B20:B31" xr:uid="{00000000-0002-0000-0300-000002000000}">
      <formula1>0</formula1>
      <formula2>0</formula2>
    </dataValidation>
    <dataValidation type="decimal" operator="greaterThanOrEqual" allowBlank="1" showErrorMessage="1" errorTitle="Valor inválido" error="Solo números (0 o más)." sqref="D44:AL46 D39:AL42 D33:AL37 D24:AL31 D16:AL17 D12:AL13 D9:AL10" xr:uid="{00000000-0002-0000-0300-000003000000}">
      <formula1>0</formula1>
      <formula2>0</formula2>
    </dataValidation>
    <dataValidation type="whole" operator="greaterThanOrEqual" allowBlank="1" showErrorMessage="1" errorTitle="Valor inválido" error="Solo números enteros (0 o más)." sqref="D67:AL73 D75:AL76 D61:AL61 D52:AL53 D49:AL50 D20:AL23" xr:uid="{00000000-0002-0000-0300-00000F000000}">
      <formula1>0</formula1>
      <formula2>0</formula2>
    </dataValidation>
    <dataValidation type="list" showErrorMessage="1" errorTitle="Mes de reporte" error="Elegir un mes de la lista (fila 3 de esta hoja)." sqref="F1" xr:uid="{00000000-0002-0000-0200-000050000000}">
      <formula1>$D$3:$AL$3</formula1>
    </dataValidation>
    <dataValidation type="whole" allowBlank="1" showInputMessage="1" showErrorMessage="1" errorTitle="Días trabajados" error="Ingresar un número entero entre 0 y 7." promptTitle="Días trabajados por semana" prompt="Completar con un entero de 0 a 7. Dejar vacío si no hay dato." sqref="D55:AL59" xr:uid="{00000000-0002-0000-0200-000005000000}">
      <formula1>0</formula1>
      <formula2>7</formula2>
    </dataValidation>
  </dataValidations>
  <pageMargins left="0.75" right="0.75" top="1" bottom="1" header="0.511811023622047" footer="0.511811023622047"/>
  <pageSetup fitToHeight="0" orientation="landscape" horizontalDpi="300" verticalDpi="300" r:id="rId1"/>
  <headerFooter>
    <oddHeader>&amp;R&amp;"Aptos"&amp;1 &amp;K000000 Documento: YPF-Público#_x000D_</oddHeader>
    <oddFooter>&amp;R&amp;"Aptos"&amp;10 &amp;K000000_x000D_# Documento: YPF-Público</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A47C-5EB3-43A1-93E4-442629625289}">
  <sheetPr>
    <tabColor rgb="FFFFC000"/>
    <pageSetUpPr fitToPage="1"/>
  </sheetPr>
  <dimension ref="A1:T1001"/>
  <sheetViews>
    <sheetView topLeftCell="I1" workbookViewId="0">
      <pane ySplit="1" topLeftCell="A2" activePane="bottomLeft" state="frozen"/>
      <selection pane="bottomLeft" activeCell="S54" sqref="S54"/>
    </sheetView>
  </sheetViews>
  <sheetFormatPr baseColWidth="10" defaultColWidth="8.88671875" defaultRowHeight="14.4" outlineLevelRow="1"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4" t="s">
        <v>17</v>
      </c>
      <c r="B1" s="135" t="s">
        <v>171</v>
      </c>
      <c r="C1" s="134" t="s">
        <v>172</v>
      </c>
      <c r="D1" s="134" t="s">
        <v>173</v>
      </c>
      <c r="E1" s="134" t="s">
        <v>174</v>
      </c>
      <c r="F1" s="134" t="s">
        <v>175</v>
      </c>
      <c r="G1" s="134" t="s">
        <v>176</v>
      </c>
      <c r="H1" s="134" t="s">
        <v>177</v>
      </c>
      <c r="I1" s="134" t="s">
        <v>178</v>
      </c>
      <c r="J1" s="134" t="s">
        <v>179</v>
      </c>
      <c r="K1" s="134" t="s">
        <v>180</v>
      </c>
      <c r="L1" s="134" t="s">
        <v>181</v>
      </c>
      <c r="M1" s="134" t="s">
        <v>182</v>
      </c>
      <c r="N1" s="134" t="s">
        <v>183</v>
      </c>
      <c r="O1" s="134" t="s">
        <v>21</v>
      </c>
      <c r="P1" s="134" t="s">
        <v>184</v>
      </c>
      <c r="Q1" s="134" t="s">
        <v>185</v>
      </c>
      <c r="R1" s="134" t="s">
        <v>186</v>
      </c>
      <c r="S1" s="135" t="s">
        <v>187</v>
      </c>
      <c r="T1" s="134" t="s">
        <v>1712</v>
      </c>
    </row>
    <row r="2" spans="1:20" ht="34.950000000000003" customHeight="1" outlineLevel="1" x14ac:dyDescent="0.3">
      <c r="A2" s="136" t="s">
        <v>191</v>
      </c>
      <c r="B2" s="212">
        <v>46245</v>
      </c>
      <c r="C2" s="138" t="s">
        <v>192</v>
      </c>
      <c r="D2" s="138" t="s">
        <v>193</v>
      </c>
      <c r="E2" s="138" t="s">
        <v>194</v>
      </c>
      <c r="F2" s="138" t="s">
        <v>195</v>
      </c>
      <c r="G2" s="138" t="s">
        <v>194</v>
      </c>
      <c r="H2" s="139" t="s">
        <v>196</v>
      </c>
      <c r="I2" s="138" t="s">
        <v>197</v>
      </c>
      <c r="J2" s="138" t="s">
        <v>198</v>
      </c>
      <c r="K2" s="138" t="s">
        <v>199</v>
      </c>
      <c r="L2" s="138" t="s">
        <v>200</v>
      </c>
      <c r="M2" s="139" t="s">
        <v>201</v>
      </c>
      <c r="N2" s="138" t="s">
        <v>202</v>
      </c>
      <c r="O2" s="138" t="s">
        <v>203</v>
      </c>
      <c r="P2" s="138" t="s">
        <v>204</v>
      </c>
      <c r="Q2" s="139"/>
      <c r="R2" s="139"/>
      <c r="S2" s="212">
        <v>46249</v>
      </c>
      <c r="T2" s="138"/>
    </row>
    <row r="3" spans="1:20" ht="49.5" customHeight="1" outlineLevel="1" x14ac:dyDescent="0.3">
      <c r="A3" s="136" t="s">
        <v>205</v>
      </c>
      <c r="B3" s="212">
        <v>46245</v>
      </c>
      <c r="C3" s="138" t="s">
        <v>192</v>
      </c>
      <c r="D3" s="138" t="s">
        <v>193</v>
      </c>
      <c r="E3" s="138" t="s">
        <v>206</v>
      </c>
      <c r="F3" s="138" t="s">
        <v>195</v>
      </c>
      <c r="G3" s="138" t="s">
        <v>206</v>
      </c>
      <c r="H3" s="139" t="s">
        <v>207</v>
      </c>
      <c r="I3" s="138" t="s">
        <v>208</v>
      </c>
      <c r="J3" s="138" t="s">
        <v>209</v>
      </c>
      <c r="K3" s="138" t="s">
        <v>210</v>
      </c>
      <c r="L3" s="138" t="s">
        <v>200</v>
      </c>
      <c r="M3" s="139" t="s">
        <v>211</v>
      </c>
      <c r="N3" s="138" t="s">
        <v>202</v>
      </c>
      <c r="O3" s="138" t="s">
        <v>203</v>
      </c>
      <c r="P3" s="138" t="s">
        <v>204</v>
      </c>
      <c r="Q3" s="139"/>
      <c r="R3" s="139"/>
      <c r="S3" s="212">
        <v>46246</v>
      </c>
      <c r="T3" s="138"/>
    </row>
    <row r="4" spans="1:20" ht="34.950000000000003" customHeight="1" outlineLevel="1" x14ac:dyDescent="0.3">
      <c r="A4" s="136" t="s">
        <v>212</v>
      </c>
      <c r="B4" s="212">
        <v>46245</v>
      </c>
      <c r="C4" s="138" t="s">
        <v>192</v>
      </c>
      <c r="D4" s="138" t="s">
        <v>193</v>
      </c>
      <c r="E4" s="138" t="s">
        <v>213</v>
      </c>
      <c r="F4" s="138" t="s">
        <v>214</v>
      </c>
      <c r="G4" s="138" t="s">
        <v>213</v>
      </c>
      <c r="H4" s="139" t="s">
        <v>215</v>
      </c>
      <c r="I4" s="138" t="s">
        <v>208</v>
      </c>
      <c r="J4" s="138" t="s">
        <v>216</v>
      </c>
      <c r="K4" s="138" t="s">
        <v>217</v>
      </c>
      <c r="L4" s="138" t="s">
        <v>200</v>
      </c>
      <c r="M4" s="139" t="s">
        <v>218</v>
      </c>
      <c r="N4" s="138" t="s">
        <v>166</v>
      </c>
      <c r="O4" s="138" t="s">
        <v>203</v>
      </c>
      <c r="P4" s="138" t="s">
        <v>204</v>
      </c>
      <c r="Q4" s="139"/>
      <c r="R4" s="139"/>
      <c r="S4" s="212">
        <v>46246</v>
      </c>
      <c r="T4" s="138"/>
    </row>
    <row r="5" spans="1:20" ht="34.950000000000003" customHeight="1" outlineLevel="1" x14ac:dyDescent="0.3">
      <c r="A5" s="136" t="s">
        <v>219</v>
      </c>
      <c r="B5" s="212">
        <v>46246</v>
      </c>
      <c r="C5" s="138" t="s">
        <v>192</v>
      </c>
      <c r="D5" s="138" t="s">
        <v>193</v>
      </c>
      <c r="E5" s="138" t="s">
        <v>220</v>
      </c>
      <c r="F5" s="138" t="s">
        <v>195</v>
      </c>
      <c r="G5" s="138" t="s">
        <v>220</v>
      </c>
      <c r="H5" s="139" t="s">
        <v>221</v>
      </c>
      <c r="I5" s="138" t="s">
        <v>208</v>
      </c>
      <c r="J5" s="138" t="s">
        <v>198</v>
      </c>
      <c r="K5" s="138" t="s">
        <v>199</v>
      </c>
      <c r="L5" s="138" t="s">
        <v>222</v>
      </c>
      <c r="M5" s="139" t="s">
        <v>201</v>
      </c>
      <c r="N5" s="138" t="s">
        <v>166</v>
      </c>
      <c r="O5" s="138" t="s">
        <v>203</v>
      </c>
      <c r="P5" s="138" t="s">
        <v>223</v>
      </c>
      <c r="Q5" s="139"/>
      <c r="R5" s="139"/>
      <c r="S5" s="212">
        <v>46249</v>
      </c>
      <c r="T5" s="138"/>
    </row>
    <row r="6" spans="1:20" ht="34.950000000000003" customHeight="1" outlineLevel="1" x14ac:dyDescent="0.3">
      <c r="A6" s="136" t="s">
        <v>224</v>
      </c>
      <c r="B6" s="212">
        <v>46246</v>
      </c>
      <c r="C6" s="138" t="s">
        <v>192</v>
      </c>
      <c r="D6" s="138" t="s">
        <v>225</v>
      </c>
      <c r="E6" s="138" t="s">
        <v>226</v>
      </c>
      <c r="F6" s="138" t="s">
        <v>195</v>
      </c>
      <c r="G6" s="138" t="s">
        <v>227</v>
      </c>
      <c r="H6" s="139" t="s">
        <v>228</v>
      </c>
      <c r="I6" s="138" t="s">
        <v>208</v>
      </c>
      <c r="J6" s="138" t="s">
        <v>229</v>
      </c>
      <c r="K6" s="138" t="s">
        <v>199</v>
      </c>
      <c r="L6" s="138" t="s">
        <v>200</v>
      </c>
      <c r="M6" s="139" t="s">
        <v>201</v>
      </c>
      <c r="N6" s="138" t="s">
        <v>230</v>
      </c>
      <c r="O6" s="138" t="s">
        <v>203</v>
      </c>
      <c r="P6" s="138" t="s">
        <v>204</v>
      </c>
      <c r="Q6" s="139"/>
      <c r="R6" s="139"/>
      <c r="S6" s="212">
        <v>46249</v>
      </c>
      <c r="T6" s="138"/>
    </row>
    <row r="7" spans="1:20" ht="34.950000000000003" customHeight="1" outlineLevel="1" x14ac:dyDescent="0.3">
      <c r="A7" s="136" t="s">
        <v>231</v>
      </c>
      <c r="B7" s="212">
        <v>46247</v>
      </c>
      <c r="C7" s="138" t="s">
        <v>232</v>
      </c>
      <c r="D7" s="138" t="s">
        <v>193</v>
      </c>
      <c r="E7" s="138" t="s">
        <v>220</v>
      </c>
      <c r="F7" s="138" t="s">
        <v>195</v>
      </c>
      <c r="G7" s="138" t="s">
        <v>227</v>
      </c>
      <c r="H7" s="139" t="s">
        <v>233</v>
      </c>
      <c r="I7" s="138" t="s">
        <v>208</v>
      </c>
      <c r="J7" s="138" t="s">
        <v>209</v>
      </c>
      <c r="K7" s="138" t="s">
        <v>234</v>
      </c>
      <c r="L7" s="138" t="s">
        <v>200</v>
      </c>
      <c r="M7" s="139" t="s">
        <v>235</v>
      </c>
      <c r="N7" s="138" t="s">
        <v>230</v>
      </c>
      <c r="O7" s="138" t="s">
        <v>236</v>
      </c>
      <c r="P7" s="138" t="s">
        <v>204</v>
      </c>
      <c r="Q7" s="139"/>
      <c r="R7" s="139"/>
      <c r="S7" s="212"/>
      <c r="T7" s="138"/>
    </row>
    <row r="8" spans="1:20" ht="34.950000000000003" customHeight="1" outlineLevel="1" x14ac:dyDescent="0.3">
      <c r="A8" s="136" t="s">
        <v>237</v>
      </c>
      <c r="B8" s="212">
        <v>46247</v>
      </c>
      <c r="C8" s="138" t="s">
        <v>232</v>
      </c>
      <c r="D8" s="138" t="s">
        <v>238</v>
      </c>
      <c r="E8" s="138" t="s">
        <v>239</v>
      </c>
      <c r="F8" s="138" t="s">
        <v>195</v>
      </c>
      <c r="G8" s="138" t="s">
        <v>220</v>
      </c>
      <c r="H8" s="139" t="s">
        <v>240</v>
      </c>
      <c r="I8" s="138" t="s">
        <v>208</v>
      </c>
      <c r="J8" s="138" t="s">
        <v>209</v>
      </c>
      <c r="K8" s="138" t="s">
        <v>234</v>
      </c>
      <c r="L8" s="138" t="s">
        <v>222</v>
      </c>
      <c r="M8" s="139" t="s">
        <v>241</v>
      </c>
      <c r="N8" s="138" t="s">
        <v>166</v>
      </c>
      <c r="O8" s="138" t="s">
        <v>203</v>
      </c>
      <c r="P8" s="138" t="s">
        <v>223</v>
      </c>
      <c r="Q8" s="139"/>
      <c r="R8" s="139"/>
      <c r="S8" s="212">
        <v>46249</v>
      </c>
      <c r="T8" s="138"/>
    </row>
    <row r="9" spans="1:20" ht="34.950000000000003" customHeight="1" outlineLevel="1" x14ac:dyDescent="0.3">
      <c r="A9" s="136" t="s">
        <v>242</v>
      </c>
      <c r="B9" s="212">
        <v>46247</v>
      </c>
      <c r="C9" s="138" t="s">
        <v>232</v>
      </c>
      <c r="D9" s="138" t="s">
        <v>243</v>
      </c>
      <c r="E9" s="138" t="s">
        <v>244</v>
      </c>
      <c r="F9" s="138" t="s">
        <v>195</v>
      </c>
      <c r="G9" s="138" t="s">
        <v>245</v>
      </c>
      <c r="H9" s="139" t="s">
        <v>246</v>
      </c>
      <c r="I9" s="138" t="s">
        <v>197</v>
      </c>
      <c r="J9" s="138" t="s">
        <v>198</v>
      </c>
      <c r="K9" s="138" t="s">
        <v>247</v>
      </c>
      <c r="L9" s="138" t="s">
        <v>200</v>
      </c>
      <c r="M9" s="139" t="s">
        <v>248</v>
      </c>
      <c r="N9" s="138" t="s">
        <v>202</v>
      </c>
      <c r="O9" s="138" t="s">
        <v>203</v>
      </c>
      <c r="P9" s="138" t="s">
        <v>223</v>
      </c>
      <c r="Q9" s="139"/>
      <c r="R9" s="139"/>
      <c r="S9" s="212">
        <v>46248</v>
      </c>
      <c r="T9" s="138"/>
    </row>
    <row r="10" spans="1:20" ht="34.950000000000003" customHeight="1" outlineLevel="1" x14ac:dyDescent="0.3">
      <c r="A10" s="136" t="s">
        <v>249</v>
      </c>
      <c r="B10" s="212">
        <v>46247</v>
      </c>
      <c r="C10" s="138" t="s">
        <v>232</v>
      </c>
      <c r="D10" s="138" t="s">
        <v>250</v>
      </c>
      <c r="E10" s="138" t="s">
        <v>244</v>
      </c>
      <c r="F10" s="138" t="s">
        <v>195</v>
      </c>
      <c r="G10" s="138" t="s">
        <v>245</v>
      </c>
      <c r="H10" s="139" t="s">
        <v>251</v>
      </c>
      <c r="I10" s="138" t="s">
        <v>197</v>
      </c>
      <c r="J10" s="138" t="s">
        <v>198</v>
      </c>
      <c r="K10" s="138" t="s">
        <v>247</v>
      </c>
      <c r="L10" s="138" t="s">
        <v>200</v>
      </c>
      <c r="M10" s="139" t="s">
        <v>248</v>
      </c>
      <c r="N10" s="138" t="s">
        <v>202</v>
      </c>
      <c r="O10" s="138" t="s">
        <v>203</v>
      </c>
      <c r="P10" s="138" t="s">
        <v>223</v>
      </c>
      <c r="Q10" s="139"/>
      <c r="R10" s="139"/>
      <c r="S10" s="212">
        <v>46249</v>
      </c>
      <c r="T10" s="138"/>
    </row>
    <row r="11" spans="1:20" ht="28.05" customHeight="1" outlineLevel="1" x14ac:dyDescent="0.3">
      <c r="A11" s="136" t="s">
        <v>252</v>
      </c>
      <c r="B11" s="212">
        <v>46247</v>
      </c>
      <c r="C11" s="138" t="s">
        <v>232</v>
      </c>
      <c r="D11" s="138" t="s">
        <v>253</v>
      </c>
      <c r="E11" s="138" t="s">
        <v>254</v>
      </c>
      <c r="F11" s="138" t="s">
        <v>195</v>
      </c>
      <c r="G11" s="138" t="s">
        <v>255</v>
      </c>
      <c r="H11" s="139" t="s">
        <v>256</v>
      </c>
      <c r="I11" s="138" t="s">
        <v>208</v>
      </c>
      <c r="J11" s="138" t="s">
        <v>198</v>
      </c>
      <c r="K11" s="138" t="s">
        <v>234</v>
      </c>
      <c r="L11" s="138" t="s">
        <v>200</v>
      </c>
      <c r="M11" s="139" t="s">
        <v>257</v>
      </c>
      <c r="N11" s="138" t="s">
        <v>166</v>
      </c>
      <c r="O11" s="138" t="s">
        <v>203</v>
      </c>
      <c r="P11" s="138" t="s">
        <v>223</v>
      </c>
      <c r="Q11" s="139"/>
      <c r="R11" s="139"/>
      <c r="S11" s="212">
        <v>46248</v>
      </c>
      <c r="T11" s="138"/>
    </row>
    <row r="12" spans="1:20" ht="49.5" customHeight="1" outlineLevel="1" x14ac:dyDescent="0.3">
      <c r="A12" s="136" t="s">
        <v>258</v>
      </c>
      <c r="B12" s="212">
        <v>46247</v>
      </c>
      <c r="C12" s="138" t="s">
        <v>232</v>
      </c>
      <c r="D12" s="138" t="s">
        <v>259</v>
      </c>
      <c r="E12" s="138" t="s">
        <v>260</v>
      </c>
      <c r="F12" s="138" t="s">
        <v>195</v>
      </c>
      <c r="G12" s="138" t="s">
        <v>227</v>
      </c>
      <c r="H12" s="139" t="s">
        <v>261</v>
      </c>
      <c r="I12" s="138" t="s">
        <v>208</v>
      </c>
      <c r="J12" s="138" t="s">
        <v>262</v>
      </c>
      <c r="K12" s="138" t="s">
        <v>263</v>
      </c>
      <c r="L12" s="138" t="s">
        <v>200</v>
      </c>
      <c r="M12" s="139" t="s">
        <v>257</v>
      </c>
      <c r="N12" s="138" t="s">
        <v>230</v>
      </c>
      <c r="O12" s="138" t="s">
        <v>236</v>
      </c>
      <c r="P12" s="138" t="s">
        <v>264</v>
      </c>
      <c r="Q12" s="139"/>
      <c r="R12" s="139"/>
      <c r="S12" s="212"/>
      <c r="T12" s="138"/>
    </row>
    <row r="13" spans="1:20" ht="34.950000000000003" customHeight="1" outlineLevel="1" x14ac:dyDescent="0.3">
      <c r="A13" s="136" t="s">
        <v>265</v>
      </c>
      <c r="B13" s="212">
        <v>46247</v>
      </c>
      <c r="C13" s="138" t="s">
        <v>232</v>
      </c>
      <c r="D13" s="138" t="s">
        <v>266</v>
      </c>
      <c r="E13" s="138" t="s">
        <v>267</v>
      </c>
      <c r="F13" s="138" t="s">
        <v>195</v>
      </c>
      <c r="G13" s="138" t="s">
        <v>255</v>
      </c>
      <c r="H13" s="139" t="s">
        <v>268</v>
      </c>
      <c r="I13" s="138" t="s">
        <v>208</v>
      </c>
      <c r="J13" s="138" t="s">
        <v>198</v>
      </c>
      <c r="K13" s="138" t="s">
        <v>269</v>
      </c>
      <c r="L13" s="138" t="s">
        <v>200</v>
      </c>
      <c r="M13" s="139" t="s">
        <v>248</v>
      </c>
      <c r="N13" s="138" t="s">
        <v>202</v>
      </c>
      <c r="O13" s="138" t="s">
        <v>203</v>
      </c>
      <c r="P13" s="138" t="s">
        <v>264</v>
      </c>
      <c r="Q13" s="139"/>
      <c r="R13" s="139"/>
      <c r="S13" s="212">
        <v>46253</v>
      </c>
      <c r="T13" s="138"/>
    </row>
    <row r="14" spans="1:20" ht="49.5" customHeight="1" outlineLevel="1" x14ac:dyDescent="0.3">
      <c r="A14" s="136" t="s">
        <v>270</v>
      </c>
      <c r="B14" s="212">
        <v>46247</v>
      </c>
      <c r="C14" s="138" t="s">
        <v>232</v>
      </c>
      <c r="D14" s="138" t="s">
        <v>259</v>
      </c>
      <c r="E14" s="138" t="s">
        <v>260</v>
      </c>
      <c r="F14" s="138" t="s">
        <v>195</v>
      </c>
      <c r="G14" s="138" t="s">
        <v>227</v>
      </c>
      <c r="H14" s="139" t="s">
        <v>271</v>
      </c>
      <c r="I14" s="138" t="s">
        <v>208</v>
      </c>
      <c r="J14" s="138" t="s">
        <v>209</v>
      </c>
      <c r="K14" s="138" t="s">
        <v>210</v>
      </c>
      <c r="L14" s="138" t="s">
        <v>222</v>
      </c>
      <c r="M14" s="139" t="s">
        <v>272</v>
      </c>
      <c r="N14" s="138" t="s">
        <v>230</v>
      </c>
      <c r="O14" s="138" t="s">
        <v>236</v>
      </c>
      <c r="P14" s="138" t="s">
        <v>264</v>
      </c>
      <c r="Q14" s="139"/>
      <c r="R14" s="139"/>
      <c r="S14" s="212"/>
      <c r="T14" s="138"/>
    </row>
    <row r="15" spans="1:20" ht="34.950000000000003" customHeight="1" outlineLevel="1" x14ac:dyDescent="0.3">
      <c r="A15" s="136" t="s">
        <v>273</v>
      </c>
      <c r="B15" s="212">
        <v>46248</v>
      </c>
      <c r="C15" s="138" t="s">
        <v>232</v>
      </c>
      <c r="D15" s="138" t="s">
        <v>225</v>
      </c>
      <c r="E15" s="138" t="s">
        <v>213</v>
      </c>
      <c r="F15" s="138" t="s">
        <v>214</v>
      </c>
      <c r="G15" s="138" t="s">
        <v>213</v>
      </c>
      <c r="H15" s="139" t="s">
        <v>274</v>
      </c>
      <c r="I15" s="138" t="s">
        <v>275</v>
      </c>
      <c r="J15" s="138" t="s">
        <v>198</v>
      </c>
      <c r="K15" s="138" t="s">
        <v>217</v>
      </c>
      <c r="L15" s="138" t="s">
        <v>200</v>
      </c>
      <c r="M15" s="139" t="s">
        <v>182</v>
      </c>
      <c r="N15" s="138" t="s">
        <v>230</v>
      </c>
      <c r="O15" s="138" t="s">
        <v>203</v>
      </c>
      <c r="P15" s="138" t="s">
        <v>204</v>
      </c>
      <c r="Q15" s="139"/>
      <c r="R15" s="139"/>
      <c r="S15" s="212">
        <v>46248</v>
      </c>
      <c r="T15" s="138"/>
    </row>
    <row r="16" spans="1:20" ht="34.950000000000003" customHeight="1" outlineLevel="1" x14ac:dyDescent="0.3">
      <c r="A16" s="136" t="s">
        <v>276</v>
      </c>
      <c r="B16" s="212">
        <v>46248</v>
      </c>
      <c r="C16" s="138" t="s">
        <v>232</v>
      </c>
      <c r="D16" s="138" t="s">
        <v>277</v>
      </c>
      <c r="E16" s="138" t="s">
        <v>206</v>
      </c>
      <c r="F16" s="138" t="s">
        <v>195</v>
      </c>
      <c r="G16" s="138" t="s">
        <v>255</v>
      </c>
      <c r="H16" s="139" t="s">
        <v>278</v>
      </c>
      <c r="I16" s="138" t="s">
        <v>275</v>
      </c>
      <c r="J16" s="138" t="s">
        <v>279</v>
      </c>
      <c r="K16" s="138" t="s">
        <v>199</v>
      </c>
      <c r="L16" s="138" t="s">
        <v>200</v>
      </c>
      <c r="M16" s="139" t="s">
        <v>182</v>
      </c>
      <c r="N16" s="138" t="s">
        <v>230</v>
      </c>
      <c r="O16" s="138" t="s">
        <v>203</v>
      </c>
      <c r="P16" s="138" t="s">
        <v>223</v>
      </c>
      <c r="Q16" s="139"/>
      <c r="R16" s="139"/>
      <c r="S16" s="212">
        <v>46249</v>
      </c>
      <c r="T16" s="138"/>
    </row>
    <row r="17" spans="1:20" ht="34.950000000000003" customHeight="1" outlineLevel="1" x14ac:dyDescent="0.3">
      <c r="A17" s="136" t="s">
        <v>280</v>
      </c>
      <c r="B17" s="212">
        <v>46249</v>
      </c>
      <c r="C17" s="138" t="s">
        <v>232</v>
      </c>
      <c r="D17" s="138" t="s">
        <v>277</v>
      </c>
      <c r="E17" s="138" t="s">
        <v>281</v>
      </c>
      <c r="F17" s="138" t="s">
        <v>195</v>
      </c>
      <c r="G17" s="138" t="s">
        <v>206</v>
      </c>
      <c r="H17" s="139" t="s">
        <v>282</v>
      </c>
      <c r="I17" s="138" t="s">
        <v>208</v>
      </c>
      <c r="J17" s="138" t="s">
        <v>279</v>
      </c>
      <c r="K17" s="138" t="s">
        <v>199</v>
      </c>
      <c r="L17" s="138" t="s">
        <v>200</v>
      </c>
      <c r="M17" s="139" t="s">
        <v>257</v>
      </c>
      <c r="N17" s="138" t="s">
        <v>230</v>
      </c>
      <c r="O17" s="138" t="s">
        <v>203</v>
      </c>
      <c r="P17" s="138" t="s">
        <v>223</v>
      </c>
      <c r="Q17" s="139"/>
      <c r="R17" s="139"/>
      <c r="S17" s="212">
        <v>46250</v>
      </c>
      <c r="T17" s="138"/>
    </row>
    <row r="18" spans="1:20" ht="34.950000000000003" customHeight="1" outlineLevel="1" x14ac:dyDescent="0.3">
      <c r="A18" s="136" t="s">
        <v>283</v>
      </c>
      <c r="B18" s="212">
        <v>46249</v>
      </c>
      <c r="C18" s="138" t="s">
        <v>232</v>
      </c>
      <c r="D18" s="138" t="s">
        <v>284</v>
      </c>
      <c r="E18" s="138" t="s">
        <v>285</v>
      </c>
      <c r="F18" s="138" t="s">
        <v>195</v>
      </c>
      <c r="G18" s="138" t="s">
        <v>220</v>
      </c>
      <c r="H18" s="139" t="s">
        <v>286</v>
      </c>
      <c r="I18" s="138" t="s">
        <v>208</v>
      </c>
      <c r="J18" s="138" t="s">
        <v>209</v>
      </c>
      <c r="K18" s="138" t="s">
        <v>234</v>
      </c>
      <c r="L18" s="138" t="s">
        <v>200</v>
      </c>
      <c r="M18" s="139" t="s">
        <v>272</v>
      </c>
      <c r="N18" s="138" t="s">
        <v>230</v>
      </c>
      <c r="O18" s="138" t="s">
        <v>236</v>
      </c>
      <c r="P18" s="138" t="s">
        <v>223</v>
      </c>
      <c r="Q18" s="139"/>
      <c r="R18" s="139"/>
      <c r="S18" s="212"/>
      <c r="T18" s="138"/>
    </row>
    <row r="19" spans="1:20" ht="34.950000000000003" customHeight="1" outlineLevel="1" x14ac:dyDescent="0.3">
      <c r="A19" s="136" t="s">
        <v>287</v>
      </c>
      <c r="B19" s="212">
        <v>46249</v>
      </c>
      <c r="C19" s="138" t="s">
        <v>232</v>
      </c>
      <c r="D19" s="138" t="s">
        <v>288</v>
      </c>
      <c r="E19" s="138" t="s">
        <v>194</v>
      </c>
      <c r="F19" s="138" t="s">
        <v>195</v>
      </c>
      <c r="G19" s="138" t="s">
        <v>194</v>
      </c>
      <c r="H19" s="139" t="s">
        <v>289</v>
      </c>
      <c r="I19" s="138" t="s">
        <v>208</v>
      </c>
      <c r="J19" s="138" t="s">
        <v>209</v>
      </c>
      <c r="K19" s="138" t="s">
        <v>199</v>
      </c>
      <c r="L19" s="138" t="s">
        <v>222</v>
      </c>
      <c r="M19" s="139" t="s">
        <v>257</v>
      </c>
      <c r="N19" s="138" t="s">
        <v>230</v>
      </c>
      <c r="O19" s="138" t="s">
        <v>203</v>
      </c>
      <c r="P19" s="138" t="s">
        <v>223</v>
      </c>
      <c r="Q19" s="139"/>
      <c r="R19" s="139"/>
      <c r="S19" s="212">
        <v>46249</v>
      </c>
      <c r="T19" s="138"/>
    </row>
    <row r="20" spans="1:20" ht="34.950000000000003" customHeight="1" outlineLevel="1" x14ac:dyDescent="0.3">
      <c r="A20" s="136" t="s">
        <v>290</v>
      </c>
      <c r="B20" s="212">
        <v>46252</v>
      </c>
      <c r="C20" s="138" t="s">
        <v>232</v>
      </c>
      <c r="D20" s="138" t="s">
        <v>291</v>
      </c>
      <c r="E20" s="138" t="s">
        <v>194</v>
      </c>
      <c r="F20" s="138" t="s">
        <v>195</v>
      </c>
      <c r="G20" s="138" t="s">
        <v>194</v>
      </c>
      <c r="H20" s="139" t="s">
        <v>268</v>
      </c>
      <c r="I20" s="138" t="s">
        <v>208</v>
      </c>
      <c r="J20" s="138" t="s">
        <v>198</v>
      </c>
      <c r="K20" s="138" t="s">
        <v>269</v>
      </c>
      <c r="L20" s="138" t="s">
        <v>200</v>
      </c>
      <c r="M20" s="139" t="s">
        <v>292</v>
      </c>
      <c r="N20" s="138" t="s">
        <v>230</v>
      </c>
      <c r="O20" s="138" t="s">
        <v>203</v>
      </c>
      <c r="P20" s="138" t="s">
        <v>264</v>
      </c>
      <c r="Q20" s="139"/>
      <c r="R20" s="139"/>
      <c r="S20" s="212">
        <v>46252</v>
      </c>
      <c r="T20" s="138"/>
    </row>
    <row r="21" spans="1:20" ht="28.05" customHeight="1" outlineLevel="1" x14ac:dyDescent="0.3">
      <c r="A21" s="136" t="s">
        <v>293</v>
      </c>
      <c r="B21" s="212">
        <v>46252</v>
      </c>
      <c r="C21" s="138" t="s">
        <v>232</v>
      </c>
      <c r="D21" s="138" t="s">
        <v>294</v>
      </c>
      <c r="E21" s="138" t="s">
        <v>220</v>
      </c>
      <c r="F21" s="138" t="s">
        <v>195</v>
      </c>
      <c r="G21" s="138" t="s">
        <v>227</v>
      </c>
      <c r="H21" s="139" t="s">
        <v>295</v>
      </c>
      <c r="I21" s="138" t="s">
        <v>197</v>
      </c>
      <c r="J21" s="138" t="s">
        <v>279</v>
      </c>
      <c r="K21" s="138" t="s">
        <v>234</v>
      </c>
      <c r="L21" s="138" t="s">
        <v>200</v>
      </c>
      <c r="M21" s="139" t="s">
        <v>182</v>
      </c>
      <c r="N21" s="138" t="s">
        <v>202</v>
      </c>
      <c r="O21" s="138" t="s">
        <v>203</v>
      </c>
      <c r="P21" s="138" t="s">
        <v>264</v>
      </c>
      <c r="Q21" s="139"/>
      <c r="R21" s="139"/>
      <c r="S21" s="212">
        <v>46254</v>
      </c>
      <c r="T21" s="138"/>
    </row>
    <row r="22" spans="1:20" ht="28.05" customHeight="1" outlineLevel="1" x14ac:dyDescent="0.3">
      <c r="A22" s="136" t="s">
        <v>296</v>
      </c>
      <c r="B22" s="212">
        <v>46252</v>
      </c>
      <c r="C22" s="138" t="s">
        <v>232</v>
      </c>
      <c r="D22" s="138" t="s">
        <v>294</v>
      </c>
      <c r="E22" s="138" t="s">
        <v>220</v>
      </c>
      <c r="F22" s="138" t="s">
        <v>195</v>
      </c>
      <c r="G22" s="138" t="s">
        <v>227</v>
      </c>
      <c r="H22" s="139" t="s">
        <v>297</v>
      </c>
      <c r="I22" s="138" t="s">
        <v>197</v>
      </c>
      <c r="J22" s="138"/>
      <c r="K22" s="138" t="s">
        <v>234</v>
      </c>
      <c r="L22" s="138" t="s">
        <v>200</v>
      </c>
      <c r="M22" s="139" t="s">
        <v>182</v>
      </c>
      <c r="N22" s="138" t="s">
        <v>202</v>
      </c>
      <c r="O22" s="138" t="s">
        <v>236</v>
      </c>
      <c r="P22" s="138" t="s">
        <v>223</v>
      </c>
      <c r="Q22" s="139"/>
      <c r="R22" s="139"/>
      <c r="S22" s="212"/>
      <c r="T22" s="138"/>
    </row>
    <row r="23" spans="1:20" ht="28.05" customHeight="1" outlineLevel="1" x14ac:dyDescent="0.3">
      <c r="A23" s="136" t="s">
        <v>298</v>
      </c>
      <c r="B23" s="212">
        <v>46252</v>
      </c>
      <c r="C23" s="138" t="s">
        <v>232</v>
      </c>
      <c r="D23" s="138" t="s">
        <v>284</v>
      </c>
      <c r="E23" s="138" t="s">
        <v>285</v>
      </c>
      <c r="F23" s="138" t="s">
        <v>299</v>
      </c>
      <c r="G23" s="138" t="s">
        <v>245</v>
      </c>
      <c r="H23" s="139" t="s">
        <v>300</v>
      </c>
      <c r="I23" s="138" t="s">
        <v>197</v>
      </c>
      <c r="J23" s="138" t="s">
        <v>301</v>
      </c>
      <c r="K23" s="138" t="s">
        <v>302</v>
      </c>
      <c r="L23" s="138" t="s">
        <v>200</v>
      </c>
      <c r="M23" s="139" t="s">
        <v>303</v>
      </c>
      <c r="N23" s="138" t="s">
        <v>183</v>
      </c>
      <c r="O23" s="138" t="s">
        <v>203</v>
      </c>
      <c r="P23" s="138" t="s">
        <v>223</v>
      </c>
      <c r="Q23" s="139"/>
      <c r="R23" s="139"/>
      <c r="S23" s="212">
        <v>46252</v>
      </c>
      <c r="T23" s="138"/>
    </row>
    <row r="24" spans="1:20" ht="49.5" customHeight="1" outlineLevel="1" x14ac:dyDescent="0.3">
      <c r="A24" s="136" t="s">
        <v>304</v>
      </c>
      <c r="B24" s="212">
        <v>46252</v>
      </c>
      <c r="C24" s="138" t="s">
        <v>232</v>
      </c>
      <c r="D24" s="138" t="s">
        <v>294</v>
      </c>
      <c r="E24" s="138" t="s">
        <v>206</v>
      </c>
      <c r="F24" s="138" t="s">
        <v>195</v>
      </c>
      <c r="G24" s="138" t="s">
        <v>206</v>
      </c>
      <c r="H24" s="139" t="s">
        <v>305</v>
      </c>
      <c r="I24" s="138" t="s">
        <v>208</v>
      </c>
      <c r="J24" s="138" t="s">
        <v>209</v>
      </c>
      <c r="K24" s="138" t="s">
        <v>210</v>
      </c>
      <c r="L24" s="138" t="s">
        <v>200</v>
      </c>
      <c r="M24" s="139" t="s">
        <v>306</v>
      </c>
      <c r="N24" s="138" t="s">
        <v>230</v>
      </c>
      <c r="O24" s="138" t="s">
        <v>203</v>
      </c>
      <c r="P24" s="138" t="s">
        <v>223</v>
      </c>
      <c r="Q24" s="139"/>
      <c r="R24" s="139"/>
      <c r="S24" s="212">
        <v>46254</v>
      </c>
      <c r="T24" s="138"/>
    </row>
    <row r="25" spans="1:20" ht="34.950000000000003" customHeight="1" outlineLevel="1" x14ac:dyDescent="0.3">
      <c r="A25" s="136" t="s">
        <v>307</v>
      </c>
      <c r="B25" s="212">
        <v>46252</v>
      </c>
      <c r="C25" s="138" t="s">
        <v>232</v>
      </c>
      <c r="D25" s="138" t="s">
        <v>308</v>
      </c>
      <c r="E25" s="138" t="s">
        <v>309</v>
      </c>
      <c r="F25" s="138" t="s">
        <v>195</v>
      </c>
      <c r="G25" s="138" t="s">
        <v>194</v>
      </c>
      <c r="H25" s="139" t="s">
        <v>310</v>
      </c>
      <c r="I25" s="138" t="s">
        <v>208</v>
      </c>
      <c r="J25" s="138" t="s">
        <v>209</v>
      </c>
      <c r="K25" s="138" t="s">
        <v>311</v>
      </c>
      <c r="L25" s="138" t="s">
        <v>222</v>
      </c>
      <c r="M25" s="139" t="s">
        <v>272</v>
      </c>
      <c r="N25" s="138" t="s">
        <v>230</v>
      </c>
      <c r="O25" s="138" t="s">
        <v>236</v>
      </c>
      <c r="P25" s="138" t="s">
        <v>223</v>
      </c>
      <c r="Q25" s="139"/>
      <c r="R25" s="139"/>
      <c r="S25" s="212"/>
      <c r="T25" s="138"/>
    </row>
    <row r="26" spans="1:20" ht="28.05" customHeight="1" outlineLevel="1" x14ac:dyDescent="0.3">
      <c r="A26" s="136" t="s">
        <v>312</v>
      </c>
      <c r="B26" s="212">
        <v>46252</v>
      </c>
      <c r="C26" s="138" t="s">
        <v>232</v>
      </c>
      <c r="D26" s="138" t="s">
        <v>308</v>
      </c>
      <c r="E26" s="138" t="s">
        <v>309</v>
      </c>
      <c r="F26" s="138" t="s">
        <v>195</v>
      </c>
      <c r="G26" s="138" t="s">
        <v>194</v>
      </c>
      <c r="H26" s="139" t="s">
        <v>313</v>
      </c>
      <c r="I26" s="138" t="s">
        <v>208</v>
      </c>
      <c r="J26" s="138" t="s">
        <v>209</v>
      </c>
      <c r="K26" s="138" t="s">
        <v>234</v>
      </c>
      <c r="L26" s="138" t="s">
        <v>200</v>
      </c>
      <c r="M26" s="139" t="s">
        <v>272</v>
      </c>
      <c r="N26" s="138" t="s">
        <v>230</v>
      </c>
      <c r="O26" s="138" t="s">
        <v>203</v>
      </c>
      <c r="P26" s="138" t="s">
        <v>223</v>
      </c>
      <c r="Q26" s="139"/>
      <c r="R26" s="139"/>
      <c r="S26" s="212">
        <v>46253</v>
      </c>
      <c r="T26" s="138"/>
    </row>
    <row r="27" spans="1:20" ht="34.950000000000003" customHeight="1" outlineLevel="1" x14ac:dyDescent="0.3">
      <c r="A27" s="136" t="s">
        <v>314</v>
      </c>
      <c r="B27" s="212">
        <v>46252</v>
      </c>
      <c r="C27" s="138" t="s">
        <v>232</v>
      </c>
      <c r="D27" s="138" t="s">
        <v>315</v>
      </c>
      <c r="E27" s="138" t="s">
        <v>220</v>
      </c>
      <c r="F27" s="138" t="s">
        <v>195</v>
      </c>
      <c r="G27" s="138" t="s">
        <v>220</v>
      </c>
      <c r="H27" s="139" t="s">
        <v>316</v>
      </c>
      <c r="I27" s="138" t="s">
        <v>208</v>
      </c>
      <c r="J27" s="138" t="s">
        <v>198</v>
      </c>
      <c r="K27" s="138" t="s">
        <v>269</v>
      </c>
      <c r="L27" s="138" t="s">
        <v>200</v>
      </c>
      <c r="M27" s="139" t="s">
        <v>317</v>
      </c>
      <c r="N27" s="138" t="s">
        <v>230</v>
      </c>
      <c r="O27" s="138" t="s">
        <v>203</v>
      </c>
      <c r="P27" s="138" t="s">
        <v>223</v>
      </c>
      <c r="Q27" s="139"/>
      <c r="R27" s="139"/>
      <c r="S27" s="212">
        <v>46253</v>
      </c>
      <c r="T27" s="138"/>
    </row>
    <row r="28" spans="1:20" ht="34.950000000000003" customHeight="1" outlineLevel="1" x14ac:dyDescent="0.3">
      <c r="A28" s="136" t="s">
        <v>318</v>
      </c>
      <c r="B28" s="212">
        <v>46252</v>
      </c>
      <c r="C28" s="138" t="s">
        <v>232</v>
      </c>
      <c r="D28" s="138" t="s">
        <v>291</v>
      </c>
      <c r="E28" s="138" t="s">
        <v>194</v>
      </c>
      <c r="F28" s="138" t="s">
        <v>195</v>
      </c>
      <c r="G28" s="138" t="s">
        <v>194</v>
      </c>
      <c r="H28" s="139" t="s">
        <v>319</v>
      </c>
      <c r="I28" s="138" t="s">
        <v>208</v>
      </c>
      <c r="J28" s="138" t="s">
        <v>198</v>
      </c>
      <c r="K28" s="138" t="s">
        <v>269</v>
      </c>
      <c r="L28" s="138" t="s">
        <v>200</v>
      </c>
      <c r="M28" s="139" t="s">
        <v>257</v>
      </c>
      <c r="N28" s="138" t="s">
        <v>230</v>
      </c>
      <c r="O28" s="138" t="s">
        <v>203</v>
      </c>
      <c r="P28" s="138" t="s">
        <v>223</v>
      </c>
      <c r="Q28" s="139"/>
      <c r="R28" s="139"/>
      <c r="S28" s="212">
        <v>46253</v>
      </c>
      <c r="T28" s="138"/>
    </row>
    <row r="29" spans="1:20" ht="28.05" customHeight="1" outlineLevel="1" x14ac:dyDescent="0.3">
      <c r="A29" s="136" t="s">
        <v>320</v>
      </c>
      <c r="B29" s="212">
        <v>46253</v>
      </c>
      <c r="C29" s="138" t="s">
        <v>232</v>
      </c>
      <c r="D29" s="138" t="s">
        <v>294</v>
      </c>
      <c r="E29" s="138" t="s">
        <v>321</v>
      </c>
      <c r="F29" s="138" t="s">
        <v>195</v>
      </c>
      <c r="G29" s="138" t="s">
        <v>322</v>
      </c>
      <c r="H29" s="139" t="s">
        <v>323</v>
      </c>
      <c r="I29" s="138" t="s">
        <v>324</v>
      </c>
      <c r="J29" s="138" t="s">
        <v>198</v>
      </c>
      <c r="K29" s="138" t="s">
        <v>302</v>
      </c>
      <c r="L29" s="138" t="s">
        <v>200</v>
      </c>
      <c r="M29" s="139" t="s">
        <v>303</v>
      </c>
      <c r="N29" s="138" t="s">
        <v>183</v>
      </c>
      <c r="O29" s="138" t="s">
        <v>203</v>
      </c>
      <c r="P29" s="138" t="s">
        <v>223</v>
      </c>
      <c r="Q29" s="139"/>
      <c r="R29" s="139"/>
      <c r="S29" s="212">
        <v>46254</v>
      </c>
      <c r="T29" s="138"/>
    </row>
    <row r="30" spans="1:20" ht="49.5" customHeight="1" outlineLevel="1" x14ac:dyDescent="0.3">
      <c r="A30" s="136" t="s">
        <v>325</v>
      </c>
      <c r="B30" s="212">
        <v>46253</v>
      </c>
      <c r="C30" s="138" t="s">
        <v>232</v>
      </c>
      <c r="D30" s="138" t="s">
        <v>294</v>
      </c>
      <c r="E30" s="138" t="s">
        <v>321</v>
      </c>
      <c r="F30" s="138" t="s">
        <v>195</v>
      </c>
      <c r="G30" s="138" t="s">
        <v>322</v>
      </c>
      <c r="H30" s="139" t="s">
        <v>326</v>
      </c>
      <c r="I30" s="138" t="s">
        <v>208</v>
      </c>
      <c r="J30" s="138" t="s">
        <v>198</v>
      </c>
      <c r="K30" s="138" t="s">
        <v>210</v>
      </c>
      <c r="L30" s="138" t="s">
        <v>200</v>
      </c>
      <c r="M30" s="139" t="s">
        <v>306</v>
      </c>
      <c r="N30" s="138" t="s">
        <v>230</v>
      </c>
      <c r="O30" s="138" t="s">
        <v>203</v>
      </c>
      <c r="P30" s="138" t="s">
        <v>223</v>
      </c>
      <c r="Q30" s="139"/>
      <c r="R30" s="139"/>
      <c r="S30" s="212">
        <v>46255</v>
      </c>
      <c r="T30" s="138"/>
    </row>
    <row r="31" spans="1:20" ht="34.950000000000003" customHeight="1" outlineLevel="1" x14ac:dyDescent="0.3">
      <c r="A31" s="136" t="s">
        <v>327</v>
      </c>
      <c r="B31" s="212">
        <v>46254</v>
      </c>
      <c r="C31" s="138" t="s">
        <v>232</v>
      </c>
      <c r="D31" s="138" t="s">
        <v>328</v>
      </c>
      <c r="E31" s="138" t="s">
        <v>220</v>
      </c>
      <c r="F31" s="138" t="s">
        <v>195</v>
      </c>
      <c r="G31" s="138" t="s">
        <v>227</v>
      </c>
      <c r="H31" s="139" t="s">
        <v>329</v>
      </c>
      <c r="I31" s="138" t="s">
        <v>208</v>
      </c>
      <c r="J31" s="138" t="s">
        <v>198</v>
      </c>
      <c r="K31" s="138" t="s">
        <v>269</v>
      </c>
      <c r="L31" s="138" t="s">
        <v>200</v>
      </c>
      <c r="M31" s="139" t="s">
        <v>248</v>
      </c>
      <c r="N31" s="138" t="s">
        <v>202</v>
      </c>
      <c r="O31" s="138" t="s">
        <v>203</v>
      </c>
      <c r="P31" s="138" t="s">
        <v>264</v>
      </c>
      <c r="Q31" s="139"/>
      <c r="R31" s="139"/>
      <c r="S31" s="212">
        <v>46254</v>
      </c>
      <c r="T31" s="138"/>
    </row>
    <row r="32" spans="1:20" ht="34.950000000000003" customHeight="1" outlineLevel="1" x14ac:dyDescent="0.3">
      <c r="A32" s="136" t="s">
        <v>330</v>
      </c>
      <c r="B32" s="212">
        <v>46254</v>
      </c>
      <c r="C32" s="138" t="s">
        <v>232</v>
      </c>
      <c r="D32" s="138" t="s">
        <v>308</v>
      </c>
      <c r="E32" s="138" t="s">
        <v>285</v>
      </c>
      <c r="F32" s="138" t="s">
        <v>195</v>
      </c>
      <c r="G32" s="138" t="s">
        <v>194</v>
      </c>
      <c r="H32" s="139" t="s">
        <v>331</v>
      </c>
      <c r="I32" s="138" t="s">
        <v>324</v>
      </c>
      <c r="J32" s="138" t="s">
        <v>332</v>
      </c>
      <c r="K32" s="138" t="s">
        <v>234</v>
      </c>
      <c r="L32" s="138" t="s">
        <v>200</v>
      </c>
      <c r="M32" s="139" t="s">
        <v>272</v>
      </c>
      <c r="N32" s="138" t="s">
        <v>230</v>
      </c>
      <c r="O32" s="138" t="s">
        <v>203</v>
      </c>
      <c r="P32" s="138" t="s">
        <v>204</v>
      </c>
      <c r="Q32" s="139"/>
      <c r="R32" s="139"/>
      <c r="S32" s="212">
        <v>46254</v>
      </c>
      <c r="T32" s="138"/>
    </row>
    <row r="33" spans="1:20" ht="49.5" customHeight="1" outlineLevel="1" x14ac:dyDescent="0.3">
      <c r="A33" s="136" t="s">
        <v>333</v>
      </c>
      <c r="B33" s="212">
        <v>46254</v>
      </c>
      <c r="C33" s="138" t="s">
        <v>232</v>
      </c>
      <c r="D33" s="138" t="s">
        <v>334</v>
      </c>
      <c r="E33" s="138" t="s">
        <v>244</v>
      </c>
      <c r="F33" s="138" t="s">
        <v>195</v>
      </c>
      <c r="G33" s="138" t="s">
        <v>245</v>
      </c>
      <c r="H33" s="139" t="s">
        <v>335</v>
      </c>
      <c r="I33" s="138" t="s">
        <v>208</v>
      </c>
      <c r="J33" s="138" t="s">
        <v>332</v>
      </c>
      <c r="K33" s="138" t="s">
        <v>263</v>
      </c>
      <c r="L33" s="138" t="s">
        <v>222</v>
      </c>
      <c r="M33" s="139" t="s">
        <v>317</v>
      </c>
      <c r="N33" s="138" t="s">
        <v>230</v>
      </c>
      <c r="O33" s="138" t="s">
        <v>203</v>
      </c>
      <c r="P33" s="138" t="s">
        <v>204</v>
      </c>
      <c r="Q33" s="139"/>
      <c r="R33" s="139"/>
      <c r="S33" s="212">
        <v>46254</v>
      </c>
      <c r="T33" s="138"/>
    </row>
    <row r="34" spans="1:20" ht="34.950000000000003" customHeight="1" outlineLevel="1" x14ac:dyDescent="0.3">
      <c r="A34" s="136" t="s">
        <v>336</v>
      </c>
      <c r="B34" s="212">
        <v>46254</v>
      </c>
      <c r="C34" s="138" t="s">
        <v>232</v>
      </c>
      <c r="D34" s="138" t="s">
        <v>337</v>
      </c>
      <c r="E34" s="138" t="s">
        <v>338</v>
      </c>
      <c r="F34" s="138" t="s">
        <v>195</v>
      </c>
      <c r="G34" s="138" t="s">
        <v>339</v>
      </c>
      <c r="H34" s="139" t="s">
        <v>340</v>
      </c>
      <c r="I34" s="138" t="s">
        <v>341</v>
      </c>
      <c r="J34" s="138" t="s">
        <v>332</v>
      </c>
      <c r="K34" s="138" t="s">
        <v>269</v>
      </c>
      <c r="L34" s="138" t="s">
        <v>200</v>
      </c>
      <c r="M34" s="139" t="s">
        <v>342</v>
      </c>
      <c r="N34" s="138" t="s">
        <v>166</v>
      </c>
      <c r="O34" s="138" t="s">
        <v>203</v>
      </c>
      <c r="P34" s="138" t="s">
        <v>223</v>
      </c>
      <c r="Q34" s="139"/>
      <c r="R34" s="139"/>
      <c r="S34" s="212">
        <v>38950</v>
      </c>
      <c r="T34" s="138"/>
    </row>
    <row r="35" spans="1:20" ht="49.5" customHeight="1" outlineLevel="1" x14ac:dyDescent="0.3">
      <c r="A35" s="136" t="s">
        <v>343</v>
      </c>
      <c r="B35" s="212">
        <v>46255</v>
      </c>
      <c r="C35" s="138" t="s">
        <v>232</v>
      </c>
      <c r="D35" s="138" t="s">
        <v>344</v>
      </c>
      <c r="E35" s="138" t="s">
        <v>194</v>
      </c>
      <c r="F35" s="138" t="s">
        <v>195</v>
      </c>
      <c r="G35" s="138" t="s">
        <v>194</v>
      </c>
      <c r="H35" s="139" t="s">
        <v>345</v>
      </c>
      <c r="I35" s="138" t="s">
        <v>208</v>
      </c>
      <c r="J35" s="138" t="s">
        <v>198</v>
      </c>
      <c r="K35" s="138" t="s">
        <v>210</v>
      </c>
      <c r="L35" s="138" t="s">
        <v>200</v>
      </c>
      <c r="M35" s="139" t="s">
        <v>306</v>
      </c>
      <c r="N35" s="138" t="s">
        <v>230</v>
      </c>
      <c r="O35" s="138" t="s">
        <v>203</v>
      </c>
      <c r="P35" s="138" t="s">
        <v>223</v>
      </c>
      <c r="Q35" s="139"/>
      <c r="R35" s="139"/>
      <c r="S35" s="212">
        <v>46255</v>
      </c>
      <c r="T35" s="138"/>
    </row>
    <row r="36" spans="1:20" ht="28.05" customHeight="1" outlineLevel="1" x14ac:dyDescent="0.3">
      <c r="A36" s="136" t="s">
        <v>346</v>
      </c>
      <c r="B36" s="212">
        <v>46255</v>
      </c>
      <c r="C36" s="138" t="s">
        <v>232</v>
      </c>
      <c r="D36" s="138" t="s">
        <v>344</v>
      </c>
      <c r="E36" s="138" t="s">
        <v>220</v>
      </c>
      <c r="F36" s="138" t="s">
        <v>195</v>
      </c>
      <c r="G36" s="138" t="s">
        <v>194</v>
      </c>
      <c r="H36" s="139" t="s">
        <v>347</v>
      </c>
      <c r="I36" s="138" t="s">
        <v>208</v>
      </c>
      <c r="J36" s="138" t="s">
        <v>198</v>
      </c>
      <c r="K36" s="138" t="s">
        <v>234</v>
      </c>
      <c r="L36" s="138" t="s">
        <v>200</v>
      </c>
      <c r="M36" s="139" t="s">
        <v>272</v>
      </c>
      <c r="N36" s="138" t="s">
        <v>230</v>
      </c>
      <c r="O36" s="138" t="s">
        <v>203</v>
      </c>
      <c r="P36" s="138" t="s">
        <v>223</v>
      </c>
      <c r="Q36" s="139"/>
      <c r="R36" s="139"/>
      <c r="S36" s="212">
        <v>46255</v>
      </c>
      <c r="T36" s="138"/>
    </row>
    <row r="37" spans="1:20" ht="34.950000000000003" customHeight="1" x14ac:dyDescent="0.3">
      <c r="A37" s="136" t="s">
        <v>348</v>
      </c>
      <c r="B37" s="212">
        <v>46275</v>
      </c>
      <c r="C37" s="138" t="s">
        <v>349</v>
      </c>
      <c r="D37" s="138" t="s">
        <v>350</v>
      </c>
      <c r="E37" s="138" t="s">
        <v>194</v>
      </c>
      <c r="F37" s="138" t="s">
        <v>195</v>
      </c>
      <c r="G37" s="138" t="s">
        <v>351</v>
      </c>
      <c r="H37" s="139" t="s">
        <v>352</v>
      </c>
      <c r="I37" s="138" t="s">
        <v>353</v>
      </c>
      <c r="J37" s="138" t="s">
        <v>198</v>
      </c>
      <c r="K37" s="138" t="s">
        <v>234</v>
      </c>
      <c r="L37" s="138" t="s">
        <v>200</v>
      </c>
      <c r="M37" s="139" t="s">
        <v>292</v>
      </c>
      <c r="N37" s="138" t="s">
        <v>230</v>
      </c>
      <c r="O37" s="138" t="s">
        <v>203</v>
      </c>
      <c r="P37" s="138" t="s">
        <v>204</v>
      </c>
      <c r="Q37" s="139"/>
      <c r="R37" s="139"/>
      <c r="S37" s="212"/>
      <c r="T37" s="138"/>
    </row>
    <row r="38" spans="1:20" ht="34.950000000000003" customHeight="1" x14ac:dyDescent="0.3">
      <c r="A38" s="136" t="s">
        <v>354</v>
      </c>
      <c r="B38" s="212">
        <v>46277</v>
      </c>
      <c r="C38" s="138" t="s">
        <v>349</v>
      </c>
      <c r="D38" s="138" t="s">
        <v>355</v>
      </c>
      <c r="E38" s="138" t="s">
        <v>260</v>
      </c>
      <c r="F38" s="138" t="s">
        <v>195</v>
      </c>
      <c r="G38" s="138" t="s">
        <v>356</v>
      </c>
      <c r="H38" s="139" t="s">
        <v>357</v>
      </c>
      <c r="I38" s="138" t="s">
        <v>353</v>
      </c>
      <c r="J38" s="138" t="s">
        <v>262</v>
      </c>
      <c r="K38" s="138" t="s">
        <v>199</v>
      </c>
      <c r="L38" s="138" t="s">
        <v>200</v>
      </c>
      <c r="M38" s="139" t="s">
        <v>257</v>
      </c>
      <c r="N38" s="138" t="s">
        <v>230</v>
      </c>
      <c r="O38" s="138" t="s">
        <v>358</v>
      </c>
      <c r="P38" s="138" t="s">
        <v>204</v>
      </c>
      <c r="Q38" s="139"/>
      <c r="R38" s="139"/>
      <c r="S38" s="212"/>
      <c r="T38" s="138"/>
    </row>
    <row r="39" spans="1:20" ht="34.950000000000003" customHeight="1" x14ac:dyDescent="0.3">
      <c r="A39" s="136" t="s">
        <v>359</v>
      </c>
      <c r="B39" s="212">
        <v>46277</v>
      </c>
      <c r="C39" s="138" t="s">
        <v>349</v>
      </c>
      <c r="D39" s="138" t="s">
        <v>291</v>
      </c>
      <c r="E39" s="138" t="s">
        <v>360</v>
      </c>
      <c r="F39" s="138" t="s">
        <v>195</v>
      </c>
      <c r="G39" s="138" t="s">
        <v>361</v>
      </c>
      <c r="H39" s="139" t="s">
        <v>362</v>
      </c>
      <c r="I39" s="138" t="s">
        <v>363</v>
      </c>
      <c r="J39" s="138" t="s">
        <v>198</v>
      </c>
      <c r="K39" s="138" t="s">
        <v>364</v>
      </c>
      <c r="L39" s="138" t="s">
        <v>200</v>
      </c>
      <c r="M39" s="139" t="s">
        <v>292</v>
      </c>
      <c r="N39" s="138" t="s">
        <v>230</v>
      </c>
      <c r="O39" s="138" t="s">
        <v>203</v>
      </c>
      <c r="P39" s="138" t="s">
        <v>204</v>
      </c>
      <c r="Q39" s="139"/>
      <c r="R39" s="139"/>
      <c r="S39" s="212"/>
      <c r="T39" s="138"/>
    </row>
    <row r="40" spans="1:20" ht="34.950000000000003" customHeight="1" x14ac:dyDescent="0.3">
      <c r="A40" s="136" t="s">
        <v>365</v>
      </c>
      <c r="B40" s="212">
        <v>46277</v>
      </c>
      <c r="C40" s="138" t="s">
        <v>349</v>
      </c>
      <c r="D40" s="138" t="s">
        <v>366</v>
      </c>
      <c r="E40" s="138" t="s">
        <v>367</v>
      </c>
      <c r="F40" s="138" t="s">
        <v>175</v>
      </c>
      <c r="G40" s="138" t="s">
        <v>368</v>
      </c>
      <c r="H40" s="139" t="s">
        <v>369</v>
      </c>
      <c r="I40" s="138" t="s">
        <v>363</v>
      </c>
      <c r="J40" s="138" t="s">
        <v>198</v>
      </c>
      <c r="K40" s="138" t="s">
        <v>311</v>
      </c>
      <c r="L40" s="138" t="s">
        <v>200</v>
      </c>
      <c r="M40" s="139" t="s">
        <v>272</v>
      </c>
      <c r="N40" s="138" t="s">
        <v>230</v>
      </c>
      <c r="O40" s="138" t="s">
        <v>358</v>
      </c>
      <c r="P40" s="138"/>
      <c r="Q40" s="139"/>
      <c r="R40" s="139"/>
      <c r="S40" s="212"/>
      <c r="T40" s="138"/>
    </row>
    <row r="41" spans="1:20" ht="34.950000000000003" customHeight="1" x14ac:dyDescent="0.3">
      <c r="A41" s="136" t="s">
        <v>370</v>
      </c>
      <c r="B41" s="212">
        <v>46279</v>
      </c>
      <c r="C41" s="138" t="s">
        <v>349</v>
      </c>
      <c r="D41" s="138" t="s">
        <v>371</v>
      </c>
      <c r="E41" s="138" t="s">
        <v>194</v>
      </c>
      <c r="F41" s="138" t="s">
        <v>195</v>
      </c>
      <c r="G41" s="138" t="s">
        <v>351</v>
      </c>
      <c r="H41" s="139" t="s">
        <v>372</v>
      </c>
      <c r="I41" s="138" t="s">
        <v>353</v>
      </c>
      <c r="J41" s="138" t="s">
        <v>262</v>
      </c>
      <c r="K41" s="138" t="s">
        <v>217</v>
      </c>
      <c r="L41" s="138" t="s">
        <v>200</v>
      </c>
      <c r="M41" s="139" t="s">
        <v>257</v>
      </c>
      <c r="N41" s="138" t="s">
        <v>230</v>
      </c>
      <c r="O41" s="138" t="s">
        <v>203</v>
      </c>
      <c r="P41" s="138" t="s">
        <v>204</v>
      </c>
      <c r="Q41" s="139"/>
      <c r="R41" s="139"/>
      <c r="S41" s="212"/>
      <c r="T41" s="138"/>
    </row>
    <row r="42" spans="1:20" ht="49.5" customHeight="1" x14ac:dyDescent="0.3">
      <c r="A42" s="136" t="s">
        <v>373</v>
      </c>
      <c r="B42" s="212">
        <v>46279</v>
      </c>
      <c r="C42" s="138" t="s">
        <v>349</v>
      </c>
      <c r="D42" s="138" t="s">
        <v>374</v>
      </c>
      <c r="E42" s="138" t="s">
        <v>194</v>
      </c>
      <c r="F42" s="138" t="s">
        <v>195</v>
      </c>
      <c r="G42" s="138" t="s">
        <v>351</v>
      </c>
      <c r="H42" s="139" t="s">
        <v>375</v>
      </c>
      <c r="I42" s="138" t="s">
        <v>363</v>
      </c>
      <c r="J42" s="138" t="s">
        <v>262</v>
      </c>
      <c r="K42" s="138" t="s">
        <v>263</v>
      </c>
      <c r="L42" s="138" t="s">
        <v>222</v>
      </c>
      <c r="M42" s="139" t="s">
        <v>248</v>
      </c>
      <c r="N42" s="138" t="s">
        <v>230</v>
      </c>
      <c r="O42" s="138" t="s">
        <v>203</v>
      </c>
      <c r="P42" s="138" t="s">
        <v>223</v>
      </c>
      <c r="Q42" s="139"/>
      <c r="R42" s="139"/>
      <c r="S42" s="212"/>
      <c r="T42" s="138"/>
    </row>
    <row r="43" spans="1:20" ht="34.950000000000003" customHeight="1" x14ac:dyDescent="0.3">
      <c r="A43" s="136" t="s">
        <v>376</v>
      </c>
      <c r="B43" s="212">
        <v>46281</v>
      </c>
      <c r="C43" s="138" t="s">
        <v>349</v>
      </c>
      <c r="D43" s="138" t="s">
        <v>371</v>
      </c>
      <c r="E43" s="138" t="s">
        <v>206</v>
      </c>
      <c r="F43" s="138" t="s">
        <v>195</v>
      </c>
      <c r="G43" s="138" t="s">
        <v>377</v>
      </c>
      <c r="H43" s="139" t="s">
        <v>378</v>
      </c>
      <c r="I43" s="138" t="s">
        <v>275</v>
      </c>
      <c r="J43" s="138" t="s">
        <v>379</v>
      </c>
      <c r="K43" s="138" t="s">
        <v>380</v>
      </c>
      <c r="L43" s="138" t="s">
        <v>200</v>
      </c>
      <c r="M43" s="139" t="s">
        <v>201</v>
      </c>
      <c r="N43" s="138" t="s">
        <v>230</v>
      </c>
      <c r="O43" s="138" t="s">
        <v>203</v>
      </c>
      <c r="P43" s="138"/>
      <c r="Q43" s="139"/>
      <c r="R43" s="139"/>
      <c r="S43" s="212"/>
      <c r="T43" s="138"/>
    </row>
    <row r="44" spans="1:20" ht="64.05" customHeight="1" x14ac:dyDescent="0.3">
      <c r="A44" s="136" t="s">
        <v>381</v>
      </c>
      <c r="B44" s="212">
        <v>46281</v>
      </c>
      <c r="C44" s="138" t="s">
        <v>349</v>
      </c>
      <c r="D44" s="138" t="s">
        <v>382</v>
      </c>
      <c r="E44" s="138" t="s">
        <v>194</v>
      </c>
      <c r="F44" s="138" t="s">
        <v>195</v>
      </c>
      <c r="G44" s="138" t="s">
        <v>351</v>
      </c>
      <c r="H44" s="139" t="s">
        <v>383</v>
      </c>
      <c r="I44" s="138" t="s">
        <v>353</v>
      </c>
      <c r="J44" s="138" t="s">
        <v>262</v>
      </c>
      <c r="K44" s="138" t="s">
        <v>217</v>
      </c>
      <c r="L44" s="138" t="s">
        <v>222</v>
      </c>
      <c r="M44" s="139" t="s">
        <v>272</v>
      </c>
      <c r="N44" s="138" t="s">
        <v>230</v>
      </c>
      <c r="O44" s="138" t="s">
        <v>358</v>
      </c>
      <c r="P44" s="138"/>
      <c r="Q44" s="139"/>
      <c r="R44" s="139"/>
      <c r="S44" s="212"/>
      <c r="T44" s="138"/>
    </row>
    <row r="45" spans="1:20" ht="34.950000000000003" customHeight="1" x14ac:dyDescent="0.3">
      <c r="A45" s="136" t="s">
        <v>384</v>
      </c>
      <c r="B45" s="212">
        <v>46282</v>
      </c>
      <c r="C45" s="138" t="s">
        <v>349</v>
      </c>
      <c r="D45" s="138" t="s">
        <v>385</v>
      </c>
      <c r="E45" s="138" t="s">
        <v>386</v>
      </c>
      <c r="F45" s="138" t="s">
        <v>195</v>
      </c>
      <c r="G45" s="138" t="s">
        <v>387</v>
      </c>
      <c r="H45" s="139" t="s">
        <v>388</v>
      </c>
      <c r="I45" s="138" t="s">
        <v>353</v>
      </c>
      <c r="J45" s="138" t="s">
        <v>379</v>
      </c>
      <c r="K45" s="138" t="s">
        <v>302</v>
      </c>
      <c r="L45" s="138" t="s">
        <v>200</v>
      </c>
      <c r="M45" s="139" t="s">
        <v>389</v>
      </c>
      <c r="N45" s="138" t="s">
        <v>230</v>
      </c>
      <c r="O45" s="138" t="s">
        <v>203</v>
      </c>
      <c r="P45" s="138" t="s">
        <v>223</v>
      </c>
      <c r="Q45" s="139"/>
      <c r="R45" s="139"/>
      <c r="S45" s="212"/>
      <c r="T45" s="138"/>
    </row>
    <row r="46" spans="1:20" ht="34.950000000000003" customHeight="1" x14ac:dyDescent="0.3">
      <c r="A46" s="136" t="s">
        <v>390</v>
      </c>
      <c r="B46" s="212">
        <v>46282</v>
      </c>
      <c r="C46" s="138" t="s">
        <v>349</v>
      </c>
      <c r="D46" s="138" t="s">
        <v>371</v>
      </c>
      <c r="E46" s="138" t="s">
        <v>194</v>
      </c>
      <c r="F46" s="138" t="s">
        <v>195</v>
      </c>
      <c r="G46" s="138" t="s">
        <v>351</v>
      </c>
      <c r="H46" s="139" t="s">
        <v>391</v>
      </c>
      <c r="I46" s="138" t="s">
        <v>353</v>
      </c>
      <c r="J46" s="138" t="s">
        <v>379</v>
      </c>
      <c r="K46" s="138" t="s">
        <v>199</v>
      </c>
      <c r="L46" s="138" t="s">
        <v>200</v>
      </c>
      <c r="M46" s="139" t="s">
        <v>257</v>
      </c>
      <c r="N46" s="138" t="s">
        <v>230</v>
      </c>
      <c r="O46" s="138" t="s">
        <v>203</v>
      </c>
      <c r="P46" s="138" t="s">
        <v>223</v>
      </c>
      <c r="Q46" s="139" t="s">
        <v>392</v>
      </c>
      <c r="R46" s="139"/>
      <c r="S46" s="212"/>
      <c r="T46" s="138"/>
    </row>
    <row r="47" spans="1:20" ht="49.5" customHeight="1" x14ac:dyDescent="0.3">
      <c r="A47" s="136" t="s">
        <v>393</v>
      </c>
      <c r="B47" s="212">
        <v>46276</v>
      </c>
      <c r="C47" s="138" t="s">
        <v>394</v>
      </c>
      <c r="D47" s="138" t="s">
        <v>395</v>
      </c>
      <c r="E47" s="138" t="s">
        <v>194</v>
      </c>
      <c r="F47" s="138" t="s">
        <v>195</v>
      </c>
      <c r="G47" s="138" t="s">
        <v>396</v>
      </c>
      <c r="H47" s="139" t="s">
        <v>397</v>
      </c>
      <c r="I47" s="138" t="s">
        <v>353</v>
      </c>
      <c r="J47" s="138" t="s">
        <v>198</v>
      </c>
      <c r="K47" s="138" t="s">
        <v>199</v>
      </c>
      <c r="L47" s="138" t="s">
        <v>200</v>
      </c>
      <c r="M47" s="139" t="s">
        <v>257</v>
      </c>
      <c r="N47" s="138" t="s">
        <v>230</v>
      </c>
      <c r="O47" s="138" t="s">
        <v>358</v>
      </c>
      <c r="P47" s="138" t="s">
        <v>204</v>
      </c>
      <c r="Q47" s="139"/>
      <c r="R47" s="139"/>
      <c r="S47" s="212"/>
      <c r="T47" s="138"/>
    </row>
    <row r="48" spans="1:20" ht="49.5" customHeight="1" x14ac:dyDescent="0.3">
      <c r="A48" s="136" t="s">
        <v>398</v>
      </c>
      <c r="B48" s="212">
        <v>46277</v>
      </c>
      <c r="C48" s="138" t="s">
        <v>394</v>
      </c>
      <c r="D48" s="138" t="s">
        <v>399</v>
      </c>
      <c r="E48" s="138" t="s">
        <v>255</v>
      </c>
      <c r="F48" s="138" t="s">
        <v>195</v>
      </c>
      <c r="G48" s="138" t="s">
        <v>322</v>
      </c>
      <c r="H48" s="139" t="s">
        <v>400</v>
      </c>
      <c r="I48" s="138" t="s">
        <v>363</v>
      </c>
      <c r="J48" s="138" t="s">
        <v>198</v>
      </c>
      <c r="K48" s="138" t="s">
        <v>269</v>
      </c>
      <c r="L48" s="138" t="s">
        <v>200</v>
      </c>
      <c r="M48" s="139" t="s">
        <v>248</v>
      </c>
      <c r="N48" s="138" t="s">
        <v>230</v>
      </c>
      <c r="O48" s="138" t="s">
        <v>203</v>
      </c>
      <c r="P48" s="138" t="s">
        <v>223</v>
      </c>
      <c r="Q48" s="139"/>
      <c r="R48" s="139"/>
      <c r="S48" s="212"/>
      <c r="T48" s="138"/>
    </row>
    <row r="49" spans="1:20" ht="49.5" customHeight="1" x14ac:dyDescent="0.3">
      <c r="A49" s="136" t="s">
        <v>401</v>
      </c>
      <c r="B49" s="212">
        <v>46277</v>
      </c>
      <c r="C49" s="138" t="s">
        <v>394</v>
      </c>
      <c r="D49" s="138" t="s">
        <v>395</v>
      </c>
      <c r="E49" s="138" t="s">
        <v>255</v>
      </c>
      <c r="F49" s="138" t="s">
        <v>195</v>
      </c>
      <c r="G49" s="138" t="s">
        <v>322</v>
      </c>
      <c r="H49" s="139" t="s">
        <v>402</v>
      </c>
      <c r="I49" s="138" t="s">
        <v>363</v>
      </c>
      <c r="J49" s="138" t="s">
        <v>198</v>
      </c>
      <c r="K49" s="138" t="s">
        <v>311</v>
      </c>
      <c r="L49" s="138" t="s">
        <v>222</v>
      </c>
      <c r="M49" s="139" t="s">
        <v>272</v>
      </c>
      <c r="N49" s="138" t="s">
        <v>230</v>
      </c>
      <c r="O49" s="138" t="s">
        <v>358</v>
      </c>
      <c r="P49" s="138" t="s">
        <v>223</v>
      </c>
      <c r="Q49" s="139"/>
      <c r="R49" s="139"/>
      <c r="S49" s="212"/>
      <c r="T49" s="138"/>
    </row>
    <row r="50" spans="1:20" ht="49.5" customHeight="1" x14ac:dyDescent="0.3">
      <c r="A50" s="136" t="s">
        <v>403</v>
      </c>
      <c r="B50" s="212">
        <v>46280</v>
      </c>
      <c r="C50" s="138" t="s">
        <v>394</v>
      </c>
      <c r="D50" s="138" t="s">
        <v>399</v>
      </c>
      <c r="E50" s="138" t="s">
        <v>213</v>
      </c>
      <c r="F50" s="138" t="s">
        <v>195</v>
      </c>
      <c r="G50" s="138" t="s">
        <v>322</v>
      </c>
      <c r="H50" s="139" t="s">
        <v>404</v>
      </c>
      <c r="I50" s="138" t="s">
        <v>363</v>
      </c>
      <c r="J50" s="138" t="s">
        <v>405</v>
      </c>
      <c r="K50" s="138" t="s">
        <v>302</v>
      </c>
      <c r="L50" s="138" t="s">
        <v>200</v>
      </c>
      <c r="M50" s="139" t="s">
        <v>406</v>
      </c>
      <c r="N50" s="138" t="s">
        <v>230</v>
      </c>
      <c r="O50" s="138" t="s">
        <v>203</v>
      </c>
      <c r="P50" s="138" t="s">
        <v>223</v>
      </c>
      <c r="Q50" s="139"/>
      <c r="R50" s="139"/>
      <c r="S50" s="212"/>
      <c r="T50" s="138"/>
    </row>
    <row r="51" spans="1:20" ht="49.5" customHeight="1" x14ac:dyDescent="0.3">
      <c r="A51" s="136" t="s">
        <v>407</v>
      </c>
      <c r="B51" s="212">
        <v>46281</v>
      </c>
      <c r="C51" s="138" t="s">
        <v>394</v>
      </c>
      <c r="D51" s="138" t="s">
        <v>395</v>
      </c>
      <c r="E51" s="138" t="s">
        <v>194</v>
      </c>
      <c r="F51" s="138" t="s">
        <v>195</v>
      </c>
      <c r="G51" s="138" t="s">
        <v>322</v>
      </c>
      <c r="H51" s="139" t="s">
        <v>408</v>
      </c>
      <c r="I51" s="138" t="s">
        <v>363</v>
      </c>
      <c r="J51" s="138" t="s">
        <v>198</v>
      </c>
      <c r="K51" s="138" t="s">
        <v>311</v>
      </c>
      <c r="L51" s="138" t="s">
        <v>222</v>
      </c>
      <c r="M51" s="139" t="s">
        <v>406</v>
      </c>
      <c r="N51" s="138" t="s">
        <v>230</v>
      </c>
      <c r="O51" s="138" t="s">
        <v>358</v>
      </c>
      <c r="P51" s="138" t="s">
        <v>223</v>
      </c>
      <c r="Q51" s="139"/>
      <c r="R51" s="139"/>
      <c r="S51" s="212"/>
      <c r="T51" s="138"/>
    </row>
    <row r="52" spans="1:20" ht="49.5" customHeight="1" x14ac:dyDescent="0.3">
      <c r="A52" s="136" t="s">
        <v>409</v>
      </c>
      <c r="B52" s="212">
        <v>46281</v>
      </c>
      <c r="C52" s="138" t="s">
        <v>394</v>
      </c>
      <c r="D52" s="138" t="s">
        <v>395</v>
      </c>
      <c r="E52" s="138" t="s">
        <v>194</v>
      </c>
      <c r="F52" s="138" t="s">
        <v>195</v>
      </c>
      <c r="G52" s="138" t="s">
        <v>396</v>
      </c>
      <c r="H52" s="139" t="s">
        <v>397</v>
      </c>
      <c r="I52" s="138" t="s">
        <v>353</v>
      </c>
      <c r="J52" s="138" t="s">
        <v>198</v>
      </c>
      <c r="K52" s="138" t="s">
        <v>199</v>
      </c>
      <c r="L52" s="138" t="s">
        <v>200</v>
      </c>
      <c r="M52" s="139" t="s">
        <v>257</v>
      </c>
      <c r="N52" s="138" t="s">
        <v>230</v>
      </c>
      <c r="O52" s="138" t="s">
        <v>203</v>
      </c>
      <c r="P52" s="138" t="s">
        <v>204</v>
      </c>
      <c r="Q52" s="139"/>
      <c r="R52" s="139"/>
      <c r="S52" s="212"/>
      <c r="T52" s="138"/>
    </row>
    <row r="53" spans="1:20" ht="49.5" customHeight="1" x14ac:dyDescent="0.3">
      <c r="A53" s="136" t="s">
        <v>410</v>
      </c>
      <c r="B53" s="212">
        <v>46283</v>
      </c>
      <c r="C53" s="138" t="s">
        <v>394</v>
      </c>
      <c r="D53" s="138" t="s">
        <v>395</v>
      </c>
      <c r="E53" s="138" t="s">
        <v>194</v>
      </c>
      <c r="F53" s="138" t="s">
        <v>195</v>
      </c>
      <c r="G53" s="138" t="s">
        <v>396</v>
      </c>
      <c r="H53" s="139" t="s">
        <v>411</v>
      </c>
      <c r="I53" s="138" t="s">
        <v>412</v>
      </c>
      <c r="J53" s="138" t="s">
        <v>379</v>
      </c>
      <c r="K53" s="138" t="s">
        <v>199</v>
      </c>
      <c r="L53" s="138" t="s">
        <v>200</v>
      </c>
      <c r="M53" s="139" t="s">
        <v>342</v>
      </c>
      <c r="N53" s="138" t="s">
        <v>230</v>
      </c>
      <c r="O53" s="138" t="s">
        <v>203</v>
      </c>
      <c r="P53" s="138" t="s">
        <v>204</v>
      </c>
      <c r="Q53" s="139"/>
      <c r="R53" s="139"/>
      <c r="S53" s="212"/>
      <c r="T53" s="138"/>
    </row>
    <row r="54" spans="1:20" ht="49.5" customHeight="1" x14ac:dyDescent="0.3">
      <c r="A54" s="136" t="s">
        <v>413</v>
      </c>
      <c r="B54" s="212">
        <v>46284</v>
      </c>
      <c r="C54" s="138" t="s">
        <v>394</v>
      </c>
      <c r="D54" s="138" t="s">
        <v>395</v>
      </c>
      <c r="E54" s="138" t="s">
        <v>194</v>
      </c>
      <c r="F54" s="138" t="s">
        <v>195</v>
      </c>
      <c r="G54" s="138" t="s">
        <v>396</v>
      </c>
      <c r="H54" s="139" t="s">
        <v>414</v>
      </c>
      <c r="I54" s="138" t="s">
        <v>412</v>
      </c>
      <c r="J54" s="138" t="s">
        <v>379</v>
      </c>
      <c r="K54" s="138" t="s">
        <v>199</v>
      </c>
      <c r="L54" s="138" t="s">
        <v>200</v>
      </c>
      <c r="M54" s="139" t="s">
        <v>342</v>
      </c>
      <c r="N54" s="138" t="s">
        <v>230</v>
      </c>
      <c r="O54" s="138" t="s">
        <v>203</v>
      </c>
      <c r="P54" s="138" t="s">
        <v>204</v>
      </c>
      <c r="Q54" s="139"/>
      <c r="R54" s="139"/>
      <c r="S54" s="212"/>
      <c r="T54" s="138"/>
    </row>
    <row r="55" spans="1:20" ht="93" customHeight="1" x14ac:dyDescent="0.3">
      <c r="A55" s="136" t="s">
        <v>415</v>
      </c>
      <c r="B55" s="212">
        <v>46287</v>
      </c>
      <c r="C55" s="138" t="s">
        <v>394</v>
      </c>
      <c r="D55" s="138" t="s">
        <v>416</v>
      </c>
      <c r="E55" s="138" t="s">
        <v>206</v>
      </c>
      <c r="F55" s="138" t="s">
        <v>195</v>
      </c>
      <c r="G55" s="138" t="s">
        <v>417</v>
      </c>
      <c r="H55" s="139" t="s">
        <v>418</v>
      </c>
      <c r="I55" s="138" t="s">
        <v>363</v>
      </c>
      <c r="J55" s="138" t="s">
        <v>419</v>
      </c>
      <c r="K55" s="138" t="s">
        <v>420</v>
      </c>
      <c r="L55" s="138" t="s">
        <v>222</v>
      </c>
      <c r="M55" s="139" t="s">
        <v>421</v>
      </c>
      <c r="N55" s="138" t="s">
        <v>230</v>
      </c>
      <c r="O55" s="138" t="s">
        <v>203</v>
      </c>
      <c r="P55" s="138" t="s">
        <v>223</v>
      </c>
      <c r="Q55" s="139"/>
      <c r="R55" s="139"/>
      <c r="S55" s="212" t="s">
        <v>422</v>
      </c>
      <c r="T55" s="138"/>
    </row>
    <row r="56" spans="1:20" ht="78.45" customHeight="1" x14ac:dyDescent="0.3">
      <c r="A56" s="136" t="s">
        <v>423</v>
      </c>
      <c r="B56" s="212">
        <v>46288</v>
      </c>
      <c r="C56" s="138" t="s">
        <v>394</v>
      </c>
      <c r="D56" s="138" t="s">
        <v>424</v>
      </c>
      <c r="E56" s="138" t="s">
        <v>260</v>
      </c>
      <c r="F56" s="138" t="s">
        <v>195</v>
      </c>
      <c r="G56" s="138" t="s">
        <v>396</v>
      </c>
      <c r="H56" s="139" t="s">
        <v>425</v>
      </c>
      <c r="I56" s="138" t="s">
        <v>363</v>
      </c>
      <c r="J56" s="138" t="s">
        <v>419</v>
      </c>
      <c r="K56" s="138" t="s">
        <v>311</v>
      </c>
      <c r="L56" s="138" t="s">
        <v>222</v>
      </c>
      <c r="M56" s="139" t="s">
        <v>406</v>
      </c>
      <c r="N56" s="138" t="s">
        <v>230</v>
      </c>
      <c r="O56" s="138" t="s">
        <v>203</v>
      </c>
      <c r="P56" s="138" t="s">
        <v>204</v>
      </c>
      <c r="Q56" s="139"/>
      <c r="R56" s="139"/>
      <c r="S56" s="212" t="s">
        <v>426</v>
      </c>
      <c r="T56" s="138"/>
    </row>
    <row r="57" spans="1:20" ht="49.5" customHeight="1" x14ac:dyDescent="0.3">
      <c r="A57" s="136" t="s">
        <v>427</v>
      </c>
      <c r="B57" s="212">
        <v>46287</v>
      </c>
      <c r="C57" s="138" t="s">
        <v>232</v>
      </c>
      <c r="D57" s="138" t="s">
        <v>428</v>
      </c>
      <c r="E57" s="138" t="s">
        <v>206</v>
      </c>
      <c r="F57" s="138" t="s">
        <v>195</v>
      </c>
      <c r="G57" s="138" t="s">
        <v>429</v>
      </c>
      <c r="H57" s="139" t="s">
        <v>430</v>
      </c>
      <c r="I57" s="138" t="s">
        <v>208</v>
      </c>
      <c r="J57" s="138" t="s">
        <v>332</v>
      </c>
      <c r="K57" s="138" t="s">
        <v>431</v>
      </c>
      <c r="L57" s="138" t="s">
        <v>200</v>
      </c>
      <c r="M57" s="139" t="s">
        <v>201</v>
      </c>
      <c r="N57" s="138" t="s">
        <v>230</v>
      </c>
      <c r="O57" s="138" t="s">
        <v>203</v>
      </c>
      <c r="P57" s="138" t="s">
        <v>204</v>
      </c>
      <c r="Q57" s="139"/>
      <c r="R57" s="139"/>
      <c r="S57" s="212">
        <v>46287</v>
      </c>
      <c r="T57" s="138"/>
    </row>
    <row r="58" spans="1:20" ht="49.5" customHeight="1" x14ac:dyDescent="0.3">
      <c r="A58" s="136" t="s">
        <v>432</v>
      </c>
      <c r="B58" s="212">
        <v>46287</v>
      </c>
      <c r="C58" s="138" t="s">
        <v>232</v>
      </c>
      <c r="D58" s="138" t="s">
        <v>433</v>
      </c>
      <c r="E58" s="138" t="s">
        <v>194</v>
      </c>
      <c r="F58" s="138" t="s">
        <v>195</v>
      </c>
      <c r="G58" s="138" t="s">
        <v>194</v>
      </c>
      <c r="H58" s="139" t="s">
        <v>434</v>
      </c>
      <c r="I58" s="138" t="s">
        <v>208</v>
      </c>
      <c r="J58" s="138" t="s">
        <v>332</v>
      </c>
      <c r="K58" s="138" t="s">
        <v>431</v>
      </c>
      <c r="L58" s="138" t="s">
        <v>200</v>
      </c>
      <c r="M58" s="139" t="s">
        <v>201</v>
      </c>
      <c r="N58" s="138" t="s">
        <v>230</v>
      </c>
      <c r="O58" s="138" t="s">
        <v>203</v>
      </c>
      <c r="P58" s="138" t="s">
        <v>223</v>
      </c>
      <c r="Q58" s="139"/>
      <c r="R58" s="139"/>
      <c r="S58" s="212" t="s">
        <v>435</v>
      </c>
      <c r="T58" s="138"/>
    </row>
    <row r="59" spans="1:20" ht="49.5" customHeight="1" x14ac:dyDescent="0.3">
      <c r="A59" s="136" t="s">
        <v>436</v>
      </c>
      <c r="B59" s="212">
        <v>46287</v>
      </c>
      <c r="C59" s="138" t="s">
        <v>232</v>
      </c>
      <c r="D59" s="138" t="s">
        <v>308</v>
      </c>
      <c r="E59" s="138" t="s">
        <v>194</v>
      </c>
      <c r="F59" s="138" t="s">
        <v>195</v>
      </c>
      <c r="G59" s="138" t="s">
        <v>437</v>
      </c>
      <c r="H59" s="139" t="s">
        <v>438</v>
      </c>
      <c r="I59" s="138" t="s">
        <v>208</v>
      </c>
      <c r="J59" s="138" t="s">
        <v>379</v>
      </c>
      <c r="K59" s="138" t="s">
        <v>199</v>
      </c>
      <c r="L59" s="138" t="s">
        <v>200</v>
      </c>
      <c r="M59" s="139" t="s">
        <v>257</v>
      </c>
      <c r="N59" s="138" t="s">
        <v>230</v>
      </c>
      <c r="O59" s="138" t="s">
        <v>203</v>
      </c>
      <c r="P59" s="138" t="s">
        <v>223</v>
      </c>
      <c r="Q59" s="139"/>
      <c r="R59" s="139"/>
      <c r="S59" s="212" t="s">
        <v>435</v>
      </c>
      <c r="T59" s="138"/>
    </row>
    <row r="60" spans="1:20" ht="34.950000000000003" customHeight="1" x14ac:dyDescent="0.3">
      <c r="A60" s="136" t="s">
        <v>439</v>
      </c>
      <c r="B60" s="212">
        <v>46287</v>
      </c>
      <c r="C60" s="138" t="s">
        <v>232</v>
      </c>
      <c r="D60" s="138" t="s">
        <v>294</v>
      </c>
      <c r="E60" s="138" t="s">
        <v>206</v>
      </c>
      <c r="F60" s="138" t="s">
        <v>195</v>
      </c>
      <c r="G60" s="138" t="s">
        <v>440</v>
      </c>
      <c r="H60" s="139" t="s">
        <v>441</v>
      </c>
      <c r="I60" s="138" t="s">
        <v>208</v>
      </c>
      <c r="J60" s="138" t="s">
        <v>279</v>
      </c>
      <c r="K60" s="138" t="s">
        <v>234</v>
      </c>
      <c r="L60" s="138" t="s">
        <v>222</v>
      </c>
      <c r="M60" s="139" t="s">
        <v>241</v>
      </c>
      <c r="N60" s="138" t="s">
        <v>230</v>
      </c>
      <c r="O60" s="138" t="s">
        <v>203</v>
      </c>
      <c r="P60" s="138" t="s">
        <v>223</v>
      </c>
      <c r="Q60" s="139"/>
      <c r="R60" s="139"/>
      <c r="S60" s="212">
        <v>46287</v>
      </c>
      <c r="T60" s="138"/>
    </row>
    <row r="61" spans="1:20" ht="49.5" customHeight="1" x14ac:dyDescent="0.3">
      <c r="A61" s="136" t="s">
        <v>442</v>
      </c>
      <c r="B61" s="212">
        <v>46288</v>
      </c>
      <c r="C61" s="138" t="s">
        <v>232</v>
      </c>
      <c r="D61" s="138" t="s">
        <v>443</v>
      </c>
      <c r="E61" s="138" t="s">
        <v>444</v>
      </c>
      <c r="F61" s="138" t="s">
        <v>195</v>
      </c>
      <c r="G61" s="138" t="s">
        <v>445</v>
      </c>
      <c r="H61" s="139" t="s">
        <v>446</v>
      </c>
      <c r="I61" s="138" t="s">
        <v>324</v>
      </c>
      <c r="J61" s="138" t="s">
        <v>209</v>
      </c>
      <c r="K61" s="138" t="s">
        <v>234</v>
      </c>
      <c r="L61" s="138" t="s">
        <v>200</v>
      </c>
      <c r="M61" s="139" t="s">
        <v>248</v>
      </c>
      <c r="N61" s="138" t="s">
        <v>230</v>
      </c>
      <c r="O61" s="138" t="s">
        <v>203</v>
      </c>
      <c r="P61" s="138" t="s">
        <v>204</v>
      </c>
      <c r="Q61" s="139"/>
      <c r="R61" s="139"/>
      <c r="S61" s="212">
        <v>46287</v>
      </c>
      <c r="T61" s="138"/>
    </row>
    <row r="62" spans="1:20" ht="34.950000000000003" customHeight="1" x14ac:dyDescent="0.3">
      <c r="A62" s="136" t="s">
        <v>447</v>
      </c>
      <c r="B62" s="212">
        <v>46288</v>
      </c>
      <c r="C62" s="138" t="s">
        <v>232</v>
      </c>
      <c r="D62" s="138" t="s">
        <v>443</v>
      </c>
      <c r="E62" s="138" t="s">
        <v>444</v>
      </c>
      <c r="F62" s="138" t="s">
        <v>195</v>
      </c>
      <c r="G62" s="138" t="s">
        <v>445</v>
      </c>
      <c r="H62" s="139" t="s">
        <v>448</v>
      </c>
      <c r="I62" s="138" t="s">
        <v>324</v>
      </c>
      <c r="J62" s="138" t="s">
        <v>209</v>
      </c>
      <c r="K62" s="138" t="s">
        <v>234</v>
      </c>
      <c r="L62" s="138" t="s">
        <v>200</v>
      </c>
      <c r="M62" s="139" t="s">
        <v>248</v>
      </c>
      <c r="N62" s="138" t="s">
        <v>230</v>
      </c>
      <c r="O62" s="138" t="s">
        <v>203</v>
      </c>
      <c r="P62" s="138" t="s">
        <v>204</v>
      </c>
      <c r="Q62" s="139"/>
      <c r="R62" s="139"/>
      <c r="S62" s="212">
        <v>46288</v>
      </c>
      <c r="T62" s="138"/>
    </row>
    <row r="63" spans="1:20" ht="49.5" customHeight="1" x14ac:dyDescent="0.3">
      <c r="A63" s="136" t="s">
        <v>449</v>
      </c>
      <c r="B63" s="212">
        <v>46288</v>
      </c>
      <c r="C63" s="138" t="s">
        <v>232</v>
      </c>
      <c r="D63" s="138" t="s">
        <v>294</v>
      </c>
      <c r="E63" s="138" t="s">
        <v>444</v>
      </c>
      <c r="F63" s="138" t="s">
        <v>195</v>
      </c>
      <c r="G63" s="138" t="s">
        <v>445</v>
      </c>
      <c r="H63" s="139" t="s">
        <v>450</v>
      </c>
      <c r="I63" s="138" t="s">
        <v>208</v>
      </c>
      <c r="J63" s="138" t="s">
        <v>279</v>
      </c>
      <c r="K63" s="138" t="s">
        <v>199</v>
      </c>
      <c r="L63" s="138" t="s">
        <v>200</v>
      </c>
      <c r="M63" s="139" t="s">
        <v>257</v>
      </c>
      <c r="N63" s="138" t="s">
        <v>166</v>
      </c>
      <c r="O63" s="138" t="s">
        <v>203</v>
      </c>
      <c r="P63" s="138" t="s">
        <v>204</v>
      </c>
      <c r="Q63" s="139"/>
      <c r="R63" s="139"/>
      <c r="S63" s="212">
        <v>46288</v>
      </c>
      <c r="T63" s="138"/>
    </row>
    <row r="64" spans="1:20" ht="34.950000000000003" customHeight="1" x14ac:dyDescent="0.3">
      <c r="A64" s="136" t="s">
        <v>451</v>
      </c>
      <c r="B64" s="212">
        <v>46290</v>
      </c>
      <c r="C64" s="138" t="s">
        <v>232</v>
      </c>
      <c r="D64" s="138" t="s">
        <v>443</v>
      </c>
      <c r="E64" s="138" t="s">
        <v>444</v>
      </c>
      <c r="F64" s="138" t="s">
        <v>195</v>
      </c>
      <c r="G64" s="138" t="s">
        <v>445</v>
      </c>
      <c r="H64" s="139" t="s">
        <v>452</v>
      </c>
      <c r="I64" s="138" t="s">
        <v>324</v>
      </c>
      <c r="J64" s="138" t="s">
        <v>209</v>
      </c>
      <c r="K64" s="138" t="s">
        <v>453</v>
      </c>
      <c r="L64" s="138" t="s">
        <v>200</v>
      </c>
      <c r="M64" s="139" t="s">
        <v>248</v>
      </c>
      <c r="N64" s="138" t="s">
        <v>230</v>
      </c>
      <c r="O64" s="138" t="s">
        <v>203</v>
      </c>
      <c r="P64" s="138" t="s">
        <v>204</v>
      </c>
      <c r="Q64" s="139"/>
      <c r="R64" s="139"/>
      <c r="S64" s="212">
        <v>46290</v>
      </c>
      <c r="T64" s="138"/>
    </row>
    <row r="65" spans="1:20" ht="49.5" customHeight="1" x14ac:dyDescent="0.3">
      <c r="A65" s="136" t="s">
        <v>454</v>
      </c>
      <c r="B65" s="212">
        <v>46291</v>
      </c>
      <c r="C65" s="138" t="s">
        <v>232</v>
      </c>
      <c r="D65" s="138" t="s">
        <v>308</v>
      </c>
      <c r="E65" s="138" t="s">
        <v>194</v>
      </c>
      <c r="F65" s="138" t="s">
        <v>195</v>
      </c>
      <c r="G65" s="138" t="s">
        <v>437</v>
      </c>
      <c r="H65" s="139" t="s">
        <v>455</v>
      </c>
      <c r="I65" s="138" t="s">
        <v>208</v>
      </c>
      <c r="J65" s="138" t="s">
        <v>209</v>
      </c>
      <c r="K65" s="138" t="s">
        <v>234</v>
      </c>
      <c r="L65" s="138" t="s">
        <v>200</v>
      </c>
      <c r="M65" s="139" t="s">
        <v>257</v>
      </c>
      <c r="N65" s="138" t="s">
        <v>166</v>
      </c>
      <c r="O65" s="138" t="s">
        <v>203</v>
      </c>
      <c r="P65" s="138" t="s">
        <v>204</v>
      </c>
      <c r="Q65" s="139"/>
      <c r="R65" s="139"/>
      <c r="S65" s="213">
        <v>46291.0</v>
      </c>
      <c r="T65" s="138"/>
    </row>
    <row r="66" spans="1:20" ht="34.950000000000003" customHeight="1" x14ac:dyDescent="0.3">
      <c r="A66" s="136" t="s">
        <v>457</v>
      </c>
      <c r="B66" s="212">
        <v>46291</v>
      </c>
      <c r="C66" s="138" t="s">
        <v>232</v>
      </c>
      <c r="D66" s="138" t="s">
        <v>308</v>
      </c>
      <c r="E66" s="138" t="s">
        <v>194</v>
      </c>
      <c r="F66" s="138" t="s">
        <v>195</v>
      </c>
      <c r="G66" s="138" t="s">
        <v>458</v>
      </c>
      <c r="H66" s="139" t="s">
        <v>459</v>
      </c>
      <c r="I66" s="138" t="s">
        <v>208</v>
      </c>
      <c r="J66" s="138" t="s">
        <v>209</v>
      </c>
      <c r="K66" s="138" t="s">
        <v>234</v>
      </c>
      <c r="L66" s="138" t="s">
        <v>200</v>
      </c>
      <c r="M66" s="139" t="s">
        <v>306</v>
      </c>
      <c r="N66" s="138" t="s">
        <v>166</v>
      </c>
      <c r="O66" s="138" t="s">
        <v>203</v>
      </c>
      <c r="P66" s="138" t="s">
        <v>223</v>
      </c>
      <c r="Q66" s="139"/>
      <c r="R66" s="139"/>
      <c r="S66" s="212">
        <v>46291</v>
      </c>
      <c r="T66" s="138"/>
    </row>
    <row r="67" spans="1:20" ht="34.950000000000003" customHeight="1" x14ac:dyDescent="0.3">
      <c r="A67" s="136" t="s">
        <v>460</v>
      </c>
      <c r="B67" s="212">
        <v>46291</v>
      </c>
      <c r="C67" s="138" t="s">
        <v>232</v>
      </c>
      <c r="D67" s="138" t="s">
        <v>308</v>
      </c>
      <c r="E67" s="138" t="s">
        <v>194</v>
      </c>
      <c r="F67" s="138" t="s">
        <v>195</v>
      </c>
      <c r="G67" s="138" t="s">
        <v>458</v>
      </c>
      <c r="H67" s="139" t="s">
        <v>461</v>
      </c>
      <c r="I67" s="138" t="s">
        <v>208</v>
      </c>
      <c r="J67" s="138" t="s">
        <v>379</v>
      </c>
      <c r="K67" s="138" t="s">
        <v>199</v>
      </c>
      <c r="L67" s="138" t="s">
        <v>200</v>
      </c>
      <c r="M67" s="139" t="s">
        <v>257</v>
      </c>
      <c r="N67" s="138" t="s">
        <v>166</v>
      </c>
      <c r="O67" s="138" t="s">
        <v>203</v>
      </c>
      <c r="P67" s="138" t="s">
        <v>204</v>
      </c>
      <c r="Q67" s="139"/>
      <c r="R67" s="139"/>
      <c r="S67" s="212">
        <v>46293</v>
      </c>
      <c r="T67" s="138"/>
    </row>
    <row r="68" spans="1:20" ht="34.950000000000003" customHeight="1" x14ac:dyDescent="0.3">
      <c r="A68" s="136" t="s">
        <v>462</v>
      </c>
      <c r="B68" s="212">
        <v>46291</v>
      </c>
      <c r="C68" s="138" t="s">
        <v>232</v>
      </c>
      <c r="D68" s="138" t="s">
        <v>308</v>
      </c>
      <c r="E68" s="138" t="s">
        <v>321</v>
      </c>
      <c r="F68" s="138" t="s">
        <v>195</v>
      </c>
      <c r="G68" s="138" t="s">
        <v>458</v>
      </c>
      <c r="H68" s="139" t="s">
        <v>463</v>
      </c>
      <c r="I68" s="138" t="s">
        <v>208</v>
      </c>
      <c r="J68" s="138" t="s">
        <v>332</v>
      </c>
      <c r="K68" s="138" t="s">
        <v>234</v>
      </c>
      <c r="L68" s="138" t="s">
        <v>200</v>
      </c>
      <c r="M68" s="139" t="s">
        <v>306</v>
      </c>
      <c r="N68" s="138" t="s">
        <v>166</v>
      </c>
      <c r="O68" s="138" t="s">
        <v>203</v>
      </c>
      <c r="P68" s="138" t="s">
        <v>223</v>
      </c>
      <c r="Q68" s="139"/>
      <c r="R68" s="139"/>
      <c r="S68" s="212">
        <v>46291</v>
      </c>
      <c r="T68" s="138"/>
    </row>
    <row r="69" spans="1:20" ht="49.5" customHeight="1" x14ac:dyDescent="0.3">
      <c r="A69" s="136" t="s">
        <v>464</v>
      </c>
      <c r="B69" s="212">
        <v>46296</v>
      </c>
      <c r="C69" s="138" t="s">
        <v>394</v>
      </c>
      <c r="D69" s="138" t="s">
        <v>395</v>
      </c>
      <c r="E69" s="138" t="s">
        <v>213</v>
      </c>
      <c r="F69" s="138" t="s">
        <v>195</v>
      </c>
      <c r="G69" s="138" t="s">
        <v>465</v>
      </c>
      <c r="H69" s="139" t="s">
        <v>466</v>
      </c>
      <c r="I69" s="138" t="s">
        <v>363</v>
      </c>
      <c r="J69" s="138" t="s">
        <v>229</v>
      </c>
      <c r="K69" s="138" t="s">
        <v>311</v>
      </c>
      <c r="L69" s="138" t="s">
        <v>467</v>
      </c>
      <c r="M69" s="139" t="s">
        <v>200</v>
      </c>
      <c r="N69" s="138" t="s">
        <v>182</v>
      </c>
      <c r="O69" s="138" t="s">
        <v>203</v>
      </c>
      <c r="P69" s="138" t="s">
        <v>204</v>
      </c>
      <c r="Q69" s="139"/>
      <c r="R69" s="214">
        <v>46296</v>
      </c>
      <c r="S69" s="212"/>
      <c r="T69" s="138"/>
    </row>
    <row r="70" spans="1:20" ht="49.5" customHeight="1" x14ac:dyDescent="0.3">
      <c r="A70" s="136" t="s">
        <v>468</v>
      </c>
      <c r="B70" s="212">
        <v>46296</v>
      </c>
      <c r="C70" s="138" t="s">
        <v>394</v>
      </c>
      <c r="D70" s="138" t="s">
        <v>395</v>
      </c>
      <c r="E70" s="138" t="s">
        <v>194</v>
      </c>
      <c r="F70" s="138" t="s">
        <v>195</v>
      </c>
      <c r="G70" s="138" t="s">
        <v>396</v>
      </c>
      <c r="H70" s="139" t="s">
        <v>469</v>
      </c>
      <c r="I70" s="138" t="s">
        <v>363</v>
      </c>
      <c r="J70" s="138" t="s">
        <v>229</v>
      </c>
      <c r="K70" s="138" t="s">
        <v>311</v>
      </c>
      <c r="L70" s="138" t="s">
        <v>467</v>
      </c>
      <c r="M70" s="139" t="s">
        <v>200</v>
      </c>
      <c r="N70" s="138" t="s">
        <v>182</v>
      </c>
      <c r="O70" s="138" t="s">
        <v>203</v>
      </c>
      <c r="P70" s="138"/>
      <c r="Q70" s="139"/>
      <c r="R70" s="214">
        <v>46296</v>
      </c>
      <c r="S70" s="212"/>
      <c r="T70" s="138"/>
    </row>
    <row r="71" spans="1:20" ht="78.45" customHeight="1" x14ac:dyDescent="0.3">
      <c r="A71" s="136" t="s">
        <v>470</v>
      </c>
      <c r="B71" s="212">
        <v>46296</v>
      </c>
      <c r="C71" s="138" t="s">
        <v>394</v>
      </c>
      <c r="D71" s="138" t="s">
        <v>471</v>
      </c>
      <c r="E71" s="138" t="s">
        <v>213</v>
      </c>
      <c r="F71" s="138" t="s">
        <v>195</v>
      </c>
      <c r="G71" s="138" t="s">
        <v>465</v>
      </c>
      <c r="H71" s="139" t="s">
        <v>472</v>
      </c>
      <c r="I71" s="138" t="s">
        <v>363</v>
      </c>
      <c r="J71" s="138" t="s">
        <v>405</v>
      </c>
      <c r="K71" s="138" t="s">
        <v>217</v>
      </c>
      <c r="L71" s="138" t="s">
        <v>467</v>
      </c>
      <c r="M71" s="139" t="s">
        <v>222</v>
      </c>
      <c r="N71" s="138" t="s">
        <v>182</v>
      </c>
      <c r="O71" s="138" t="s">
        <v>203</v>
      </c>
      <c r="P71" s="138" t="s">
        <v>223</v>
      </c>
      <c r="Q71" s="139"/>
      <c r="R71" s="214">
        <v>46296</v>
      </c>
      <c r="S71" s="212"/>
      <c r="T71" s="138"/>
    </row>
    <row r="72" spans="1:20" ht="12.75" customHeight="1" x14ac:dyDescent="0.3">
      <c r="A72" s="136"/>
      <c r="B72" s="212"/>
      <c r="C72" s="138"/>
      <c r="D72" s="138"/>
      <c r="E72" s="138"/>
      <c r="F72" s="138"/>
      <c r="G72" s="138"/>
      <c r="H72" s="139"/>
      <c r="I72" s="138"/>
      <c r="J72" s="138"/>
      <c r="K72" s="138"/>
      <c r="L72" s="138"/>
      <c r="M72" s="139"/>
      <c r="N72" s="138"/>
      <c r="O72" s="138"/>
      <c r="P72" s="138"/>
      <c r="Q72" s="139"/>
      <c r="R72" s="139"/>
      <c r="S72" s="212"/>
      <c r="T72" s="138"/>
    </row>
    <row r="73" spans="1:20" ht="12.75" customHeight="1" x14ac:dyDescent="0.3">
      <c r="A73" s="136"/>
      <c r="B73" s="212"/>
      <c r="C73" s="138"/>
      <c r="D73" s="138"/>
      <c r="E73" s="138"/>
      <c r="F73" s="138"/>
      <c r="G73" s="138"/>
      <c r="H73" s="139"/>
      <c r="I73" s="138"/>
      <c r="J73" s="138"/>
      <c r="K73" s="138"/>
      <c r="L73" s="138"/>
      <c r="M73" s="139"/>
      <c r="N73" s="138"/>
      <c r="O73" s="138"/>
      <c r="P73" s="138"/>
      <c r="Q73" s="139"/>
      <c r="R73" s="139"/>
      <c r="S73" s="212"/>
      <c r="T73" s="138"/>
    </row>
    <row r="74" spans="1:20" ht="12.75" customHeight="1" x14ac:dyDescent="0.3">
      <c r="A74" s="136"/>
      <c r="B74" s="212"/>
      <c r="C74" s="138"/>
      <c r="D74" s="138"/>
      <c r="E74" s="138"/>
      <c r="F74" s="138"/>
      <c r="G74" s="138"/>
      <c r="H74" s="139"/>
      <c r="I74" s="138"/>
      <c r="J74" s="138"/>
      <c r="K74" s="138"/>
      <c r="L74" s="138"/>
      <c r="M74" s="139"/>
      <c r="N74" s="138"/>
      <c r="O74" s="138"/>
      <c r="P74" s="138"/>
      <c r="Q74" s="139"/>
      <c r="R74" s="139"/>
      <c r="S74" s="212"/>
      <c r="T74" s="138"/>
    </row>
    <row r="75" spans="1:20" ht="12.75" customHeight="1" x14ac:dyDescent="0.3">
      <c r="A75" s="136"/>
      <c r="B75" s="212"/>
      <c r="C75" s="138"/>
      <c r="D75" s="138"/>
      <c r="E75" s="138"/>
      <c r="F75" s="138"/>
      <c r="G75" s="138"/>
      <c r="H75" s="139"/>
      <c r="I75" s="138"/>
      <c r="J75" s="138"/>
      <c r="K75" s="138"/>
      <c r="L75" s="138"/>
      <c r="M75" s="139"/>
      <c r="N75" s="138"/>
      <c r="O75" s="138"/>
      <c r="P75" s="138"/>
      <c r="Q75" s="139"/>
      <c r="R75" s="139"/>
      <c r="S75" s="212"/>
      <c r="T75" s="138"/>
    </row>
    <row r="76" spans="1:20" ht="12.75" customHeight="1" x14ac:dyDescent="0.3">
      <c r="A76" s="136"/>
      <c r="B76" s="212"/>
      <c r="C76" s="138"/>
      <c r="D76" s="138"/>
      <c r="E76" s="138"/>
      <c r="F76" s="138"/>
      <c r="G76" s="138"/>
      <c r="H76" s="139"/>
      <c r="I76" s="138"/>
      <c r="J76" s="138"/>
      <c r="K76" s="138"/>
      <c r="L76" s="138"/>
      <c r="M76" s="139"/>
      <c r="N76" s="138"/>
      <c r="O76" s="138"/>
      <c r="P76" s="138"/>
      <c r="Q76" s="139"/>
      <c r="R76" s="139"/>
      <c r="S76" s="212"/>
      <c r="T76" s="138"/>
    </row>
    <row r="77" spans="1:20" ht="12.75" customHeight="1" x14ac:dyDescent="0.3">
      <c r="A77" s="136"/>
      <c r="B77" s="212"/>
      <c r="C77" s="138"/>
      <c r="D77" s="138"/>
      <c r="E77" s="138"/>
      <c r="F77" s="138"/>
      <c r="G77" s="138"/>
      <c r="H77" s="139"/>
      <c r="I77" s="138"/>
      <c r="J77" s="138"/>
      <c r="K77" s="138"/>
      <c r="L77" s="138"/>
      <c r="M77" s="139"/>
      <c r="N77" s="138"/>
      <c r="O77" s="138"/>
      <c r="P77" s="138"/>
      <c r="Q77" s="139"/>
      <c r="R77" s="139"/>
      <c r="S77" s="212"/>
      <c r="T77" s="138"/>
    </row>
    <row r="78" spans="1:20" ht="12.75" customHeight="1" x14ac:dyDescent="0.3">
      <c r="A78" s="136"/>
      <c r="B78" s="212"/>
      <c r="C78" s="138"/>
      <c r="D78" s="138"/>
      <c r="E78" s="138"/>
      <c r="F78" s="138"/>
      <c r="G78" s="138"/>
      <c r="H78" s="139"/>
      <c r="I78" s="138"/>
      <c r="J78" s="138"/>
      <c r="K78" s="138"/>
      <c r="L78" s="138"/>
      <c r="M78" s="139"/>
      <c r="N78" s="138"/>
      <c r="O78" s="138"/>
      <c r="P78" s="138"/>
      <c r="Q78" s="139"/>
      <c r="R78" s="139"/>
      <c r="S78" s="212"/>
      <c r="T78" s="138"/>
    </row>
    <row r="79" spans="1:20" ht="12.75" customHeight="1" x14ac:dyDescent="0.3">
      <c r="A79" s="136"/>
      <c r="B79" s="212"/>
      <c r="C79" s="138"/>
      <c r="D79" s="138"/>
      <c r="E79" s="138"/>
      <c r="F79" s="138"/>
      <c r="G79" s="138"/>
      <c r="H79" s="139"/>
      <c r="I79" s="138"/>
      <c r="J79" s="138"/>
      <c r="K79" s="138"/>
      <c r="L79" s="138"/>
      <c r="M79" s="139"/>
      <c r="N79" s="138"/>
      <c r="O79" s="138"/>
      <c r="P79" s="138"/>
      <c r="Q79" s="139"/>
      <c r="R79" s="139"/>
      <c r="S79" s="212"/>
      <c r="T79" s="138"/>
    </row>
    <row r="80" spans="1:20" ht="12.75" customHeight="1" x14ac:dyDescent="0.3">
      <c r="A80" s="136"/>
      <c r="B80" s="212"/>
      <c r="C80" s="138"/>
      <c r="D80" s="138"/>
      <c r="E80" s="138"/>
      <c r="F80" s="138"/>
      <c r="G80" s="138"/>
      <c r="H80" s="139"/>
      <c r="I80" s="138"/>
      <c r="J80" s="138"/>
      <c r="K80" s="138"/>
      <c r="L80" s="138"/>
      <c r="M80" s="139"/>
      <c r="N80" s="138"/>
      <c r="O80" s="138"/>
      <c r="P80" s="138"/>
      <c r="Q80" s="139"/>
      <c r="R80" s="139"/>
      <c r="S80" s="212"/>
      <c r="T80" s="138"/>
    </row>
    <row r="81" spans="1:20" ht="12.75" customHeight="1" x14ac:dyDescent="0.3">
      <c r="A81" s="136"/>
      <c r="B81" s="212"/>
      <c r="C81" s="138"/>
      <c r="D81" s="138"/>
      <c r="E81" s="138"/>
      <c r="F81" s="138"/>
      <c r="G81" s="138"/>
      <c r="H81" s="139"/>
      <c r="I81" s="138"/>
      <c r="J81" s="138"/>
      <c r="K81" s="138"/>
      <c r="L81" s="138"/>
      <c r="M81" s="139"/>
      <c r="N81" s="138"/>
      <c r="O81" s="138"/>
      <c r="P81" s="138"/>
      <c r="Q81" s="139"/>
      <c r="R81" s="139"/>
      <c r="S81" s="212"/>
      <c r="T81" s="138"/>
    </row>
    <row r="82" spans="1:20" ht="12.75" customHeight="1" x14ac:dyDescent="0.3">
      <c r="A82" s="136"/>
      <c r="B82" s="212"/>
      <c r="C82" s="138"/>
      <c r="D82" s="138"/>
      <c r="E82" s="138"/>
      <c r="F82" s="138"/>
      <c r="G82" s="138"/>
      <c r="H82" s="139"/>
      <c r="I82" s="138"/>
      <c r="J82" s="138"/>
      <c r="K82" s="138"/>
      <c r="L82" s="138"/>
      <c r="M82" s="139"/>
      <c r="N82" s="138"/>
      <c r="O82" s="138"/>
      <c r="P82" s="138"/>
      <c r="Q82" s="139"/>
      <c r="R82" s="139"/>
      <c r="S82" s="212"/>
      <c r="T82" s="138"/>
    </row>
    <row r="83" spans="1:20" ht="12.75" customHeight="1" x14ac:dyDescent="0.3">
      <c r="A83" s="136"/>
      <c r="B83" s="212"/>
      <c r="C83" s="138"/>
      <c r="D83" s="138"/>
      <c r="E83" s="138"/>
      <c r="F83" s="138"/>
      <c r="G83" s="138"/>
      <c r="H83" s="139"/>
      <c r="I83" s="138"/>
      <c r="J83" s="138"/>
      <c r="K83" s="138"/>
      <c r="L83" s="138"/>
      <c r="M83" s="139"/>
      <c r="N83" s="138"/>
      <c r="O83" s="138"/>
      <c r="P83" s="138"/>
      <c r="Q83" s="139"/>
      <c r="R83" s="139"/>
      <c r="S83" s="212"/>
      <c r="T83" s="138"/>
    </row>
    <row r="84" spans="1:20" ht="12.75" customHeight="1" x14ac:dyDescent="0.3">
      <c r="A84" s="136"/>
      <c r="B84" s="212"/>
      <c r="C84" s="138"/>
      <c r="D84" s="138"/>
      <c r="E84" s="138"/>
      <c r="F84" s="138"/>
      <c r="G84" s="138"/>
      <c r="H84" s="139"/>
      <c r="I84" s="138"/>
      <c r="J84" s="138"/>
      <c r="K84" s="138"/>
      <c r="L84" s="138"/>
      <c r="M84" s="139"/>
      <c r="N84" s="138"/>
      <c r="O84" s="138"/>
      <c r="P84" s="138"/>
      <c r="Q84" s="139"/>
      <c r="R84" s="139"/>
      <c r="S84" s="212"/>
      <c r="T84" s="138"/>
    </row>
    <row r="85" spans="1:20" ht="12.75" customHeight="1" x14ac:dyDescent="0.3">
      <c r="A85" s="136"/>
      <c r="B85" s="212"/>
      <c r="C85" s="138"/>
      <c r="D85" s="138"/>
      <c r="E85" s="138"/>
      <c r="F85" s="138"/>
      <c r="G85" s="138"/>
      <c r="H85" s="139"/>
      <c r="I85" s="138"/>
      <c r="J85" s="138"/>
      <c r="K85" s="138"/>
      <c r="L85" s="138"/>
      <c r="M85" s="139"/>
      <c r="N85" s="138"/>
      <c r="O85" s="138"/>
      <c r="P85" s="138"/>
      <c r="Q85" s="139"/>
      <c r="R85" s="139"/>
      <c r="S85" s="212"/>
      <c r="T85" s="138"/>
    </row>
    <row r="86" spans="1:20" ht="12.75" customHeight="1" x14ac:dyDescent="0.3">
      <c r="A86" s="136"/>
      <c r="B86" s="212"/>
      <c r="C86" s="138"/>
      <c r="D86" s="138"/>
      <c r="E86" s="138"/>
      <c r="F86" s="138"/>
      <c r="G86" s="138"/>
      <c r="H86" s="139"/>
      <c r="I86" s="138"/>
      <c r="J86" s="138"/>
      <c r="K86" s="138"/>
      <c r="L86" s="138"/>
      <c r="M86" s="139"/>
      <c r="N86" s="138"/>
      <c r="O86" s="138"/>
      <c r="P86" s="138"/>
      <c r="Q86" s="139"/>
      <c r="R86" s="139"/>
      <c r="S86" s="212"/>
      <c r="T86" s="138"/>
    </row>
    <row r="87" spans="1:20" ht="12.75" customHeight="1" x14ac:dyDescent="0.3">
      <c r="A87" s="136"/>
      <c r="B87" s="212"/>
      <c r="C87" s="138"/>
      <c r="D87" s="138"/>
      <c r="E87" s="138"/>
      <c r="F87" s="138"/>
      <c r="G87" s="138"/>
      <c r="H87" s="139"/>
      <c r="I87" s="138"/>
      <c r="J87" s="138"/>
      <c r="K87" s="138"/>
      <c r="L87" s="138"/>
      <c r="M87" s="139"/>
      <c r="N87" s="138"/>
      <c r="O87" s="138"/>
      <c r="P87" s="138"/>
      <c r="Q87" s="139"/>
      <c r="R87" s="139"/>
      <c r="S87" s="212"/>
      <c r="T87" s="138"/>
    </row>
    <row r="88" spans="1:20" ht="12.75" customHeight="1" x14ac:dyDescent="0.3">
      <c r="A88" s="136"/>
      <c r="B88" s="212"/>
      <c r="C88" s="138"/>
      <c r="D88" s="138"/>
      <c r="E88" s="138"/>
      <c r="F88" s="138"/>
      <c r="G88" s="138"/>
      <c r="H88" s="139"/>
      <c r="I88" s="138"/>
      <c r="J88" s="138"/>
      <c r="K88" s="138"/>
      <c r="L88" s="138"/>
      <c r="M88" s="139"/>
      <c r="N88" s="138"/>
      <c r="O88" s="138"/>
      <c r="P88" s="138"/>
      <c r="Q88" s="139"/>
      <c r="R88" s="139"/>
      <c r="S88" s="212"/>
      <c r="T88" s="138"/>
    </row>
    <row r="89" spans="1:20" ht="12.75" customHeight="1" x14ac:dyDescent="0.3">
      <c r="A89" s="136"/>
      <c r="B89" s="212"/>
      <c r="C89" s="138"/>
      <c r="D89" s="138"/>
      <c r="E89" s="138"/>
      <c r="F89" s="138"/>
      <c r="G89" s="138"/>
      <c r="H89" s="139"/>
      <c r="I89" s="138"/>
      <c r="J89" s="138"/>
      <c r="K89" s="138"/>
      <c r="L89" s="138"/>
      <c r="M89" s="139"/>
      <c r="N89" s="138"/>
      <c r="O89" s="138"/>
      <c r="P89" s="138"/>
      <c r="Q89" s="139"/>
      <c r="R89" s="139"/>
      <c r="S89" s="212"/>
      <c r="T89" s="138"/>
    </row>
    <row r="90" spans="1:20" ht="12.75" customHeight="1" x14ac:dyDescent="0.3">
      <c r="A90" s="136"/>
      <c r="B90" s="212"/>
      <c r="C90" s="138"/>
      <c r="D90" s="138"/>
      <c r="E90" s="138"/>
      <c r="F90" s="138"/>
      <c r="G90" s="138"/>
      <c r="H90" s="139"/>
      <c r="I90" s="138"/>
      <c r="J90" s="138"/>
      <c r="K90" s="138"/>
      <c r="L90" s="138"/>
      <c r="M90" s="139"/>
      <c r="N90" s="138"/>
      <c r="O90" s="138"/>
      <c r="P90" s="138"/>
      <c r="Q90" s="139"/>
      <c r="R90" s="139"/>
      <c r="S90" s="212"/>
      <c r="T90" s="138"/>
    </row>
    <row r="91" spans="1:20" ht="12.75" customHeight="1" x14ac:dyDescent="0.3">
      <c r="A91" s="136"/>
      <c r="B91" s="212"/>
      <c r="C91" s="138"/>
      <c r="D91" s="138"/>
      <c r="E91" s="138"/>
      <c r="F91" s="138"/>
      <c r="G91" s="138"/>
      <c r="H91" s="139"/>
      <c r="I91" s="138"/>
      <c r="J91" s="138"/>
      <c r="K91" s="138"/>
      <c r="L91" s="138"/>
      <c r="M91" s="139"/>
      <c r="N91" s="138"/>
      <c r="O91" s="138"/>
      <c r="P91" s="138"/>
      <c r="Q91" s="139"/>
      <c r="R91" s="139"/>
      <c r="S91" s="212"/>
      <c r="T91" s="138"/>
    </row>
    <row r="92" spans="1:20" ht="12.75" customHeight="1" x14ac:dyDescent="0.3">
      <c r="A92" s="136"/>
      <c r="B92" s="212"/>
      <c r="C92" s="138"/>
      <c r="D92" s="138"/>
      <c r="E92" s="138"/>
      <c r="F92" s="138"/>
      <c r="G92" s="138"/>
      <c r="H92" s="139"/>
      <c r="I92" s="138"/>
      <c r="J92" s="138"/>
      <c r="K92" s="138"/>
      <c r="L92" s="138"/>
      <c r="M92" s="139"/>
      <c r="N92" s="138"/>
      <c r="O92" s="138"/>
      <c r="P92" s="138"/>
      <c r="Q92" s="139"/>
      <c r="R92" s="139"/>
      <c r="S92" s="212"/>
      <c r="T92" s="138"/>
    </row>
    <row r="93" spans="1:20" ht="12.75" customHeight="1" x14ac:dyDescent="0.3">
      <c r="A93" s="136"/>
      <c r="B93" s="212"/>
      <c r="C93" s="138"/>
      <c r="D93" s="138"/>
      <c r="E93" s="138"/>
      <c r="F93" s="138"/>
      <c r="G93" s="138"/>
      <c r="H93" s="139"/>
      <c r="I93" s="138"/>
      <c r="J93" s="138"/>
      <c r="K93" s="138"/>
      <c r="L93" s="138"/>
      <c r="M93" s="139"/>
      <c r="N93" s="138"/>
      <c r="O93" s="138"/>
      <c r="P93" s="138"/>
      <c r="Q93" s="139"/>
      <c r="R93" s="139"/>
      <c r="S93" s="212"/>
      <c r="T93" s="138"/>
    </row>
    <row r="94" spans="1:20" ht="12.75" customHeight="1" x14ac:dyDescent="0.3">
      <c r="A94" s="136"/>
      <c r="B94" s="212"/>
      <c r="C94" s="138"/>
      <c r="D94" s="138"/>
      <c r="E94" s="138"/>
      <c r="F94" s="138"/>
      <c r="G94" s="138"/>
      <c r="H94" s="139"/>
      <c r="I94" s="138"/>
      <c r="J94" s="138"/>
      <c r="K94" s="138"/>
      <c r="L94" s="138"/>
      <c r="M94" s="139"/>
      <c r="N94" s="138"/>
      <c r="O94" s="138"/>
      <c r="P94" s="138"/>
      <c r="Q94" s="139"/>
      <c r="R94" s="139"/>
      <c r="S94" s="212"/>
      <c r="T94" s="138"/>
    </row>
    <row r="95" spans="1:20" ht="12.75" customHeight="1" x14ac:dyDescent="0.3">
      <c r="A95" s="136"/>
      <c r="B95" s="212"/>
      <c r="C95" s="138"/>
      <c r="D95" s="138"/>
      <c r="E95" s="138"/>
      <c r="F95" s="138"/>
      <c r="G95" s="138"/>
      <c r="H95" s="139"/>
      <c r="I95" s="138"/>
      <c r="J95" s="138"/>
      <c r="K95" s="138"/>
      <c r="L95" s="138"/>
      <c r="M95" s="139"/>
      <c r="N95" s="138"/>
      <c r="O95" s="138"/>
      <c r="P95" s="138"/>
      <c r="Q95" s="139"/>
      <c r="R95" s="139"/>
      <c r="S95" s="212"/>
      <c r="T95" s="138"/>
    </row>
    <row r="96" spans="1:20" ht="12.75" customHeight="1" x14ac:dyDescent="0.3">
      <c r="A96" s="136"/>
      <c r="B96" s="212"/>
      <c r="C96" s="138"/>
      <c r="D96" s="138"/>
      <c r="E96" s="138"/>
      <c r="F96" s="138"/>
      <c r="G96" s="138"/>
      <c r="H96" s="139"/>
      <c r="I96" s="138"/>
      <c r="J96" s="138"/>
      <c r="K96" s="138"/>
      <c r="L96" s="138"/>
      <c r="M96" s="139"/>
      <c r="N96" s="138"/>
      <c r="O96" s="138"/>
      <c r="P96" s="138"/>
      <c r="Q96" s="139"/>
      <c r="R96" s="139"/>
      <c r="S96" s="212"/>
      <c r="T96" s="138"/>
    </row>
    <row r="97" spans="1:20" ht="12.75" customHeight="1" x14ac:dyDescent="0.3">
      <c r="A97" s="136"/>
      <c r="B97" s="212"/>
      <c r="C97" s="138"/>
      <c r="D97" s="138"/>
      <c r="E97" s="138"/>
      <c r="F97" s="138"/>
      <c r="G97" s="138"/>
      <c r="H97" s="139"/>
      <c r="I97" s="138"/>
      <c r="J97" s="138"/>
      <c r="K97" s="138"/>
      <c r="L97" s="138"/>
      <c r="M97" s="139"/>
      <c r="N97" s="138"/>
      <c r="O97" s="138"/>
      <c r="P97" s="138"/>
      <c r="Q97" s="139"/>
      <c r="R97" s="139"/>
      <c r="S97" s="212"/>
      <c r="T97" s="138"/>
    </row>
    <row r="98" spans="1:20" ht="12.75" customHeight="1" x14ac:dyDescent="0.3">
      <c r="A98" s="136"/>
      <c r="B98" s="212"/>
      <c r="C98" s="138"/>
      <c r="D98" s="138"/>
      <c r="E98" s="138"/>
      <c r="F98" s="138"/>
      <c r="G98" s="138"/>
      <c r="H98" s="139"/>
      <c r="I98" s="138"/>
      <c r="J98" s="138"/>
      <c r="K98" s="138"/>
      <c r="L98" s="138"/>
      <c r="M98" s="139"/>
      <c r="N98" s="138"/>
      <c r="O98" s="138"/>
      <c r="P98" s="138"/>
      <c r="Q98" s="139"/>
      <c r="R98" s="139"/>
      <c r="S98" s="212"/>
      <c r="T98" s="138"/>
    </row>
    <row r="99" spans="1:20" ht="12.75" customHeight="1" x14ac:dyDescent="0.3">
      <c r="A99" s="136"/>
      <c r="B99" s="212"/>
      <c r="C99" s="138"/>
      <c r="D99" s="138"/>
      <c r="E99" s="138"/>
      <c r="F99" s="138"/>
      <c r="G99" s="138"/>
      <c r="H99" s="139"/>
      <c r="I99" s="138"/>
      <c r="J99" s="138"/>
      <c r="K99" s="138"/>
      <c r="L99" s="138"/>
      <c r="M99" s="139"/>
      <c r="N99" s="138"/>
      <c r="O99" s="138"/>
      <c r="P99" s="138"/>
      <c r="Q99" s="139"/>
      <c r="R99" s="139"/>
      <c r="S99" s="212"/>
      <c r="T99" s="138"/>
    </row>
    <row r="100" spans="1:20" ht="12.75" customHeight="1" x14ac:dyDescent="0.3">
      <c r="A100" s="136"/>
      <c r="B100" s="212"/>
      <c r="C100" s="138"/>
      <c r="D100" s="138"/>
      <c r="E100" s="138"/>
      <c r="F100" s="138"/>
      <c r="G100" s="138"/>
      <c r="H100" s="139"/>
      <c r="I100" s="138"/>
      <c r="J100" s="138"/>
      <c r="K100" s="138"/>
      <c r="L100" s="138"/>
      <c r="M100" s="139"/>
      <c r="N100" s="138"/>
      <c r="O100" s="138"/>
      <c r="P100" s="138"/>
      <c r="Q100" s="139"/>
      <c r="R100" s="139"/>
      <c r="S100" s="212"/>
      <c r="T100" s="138"/>
    </row>
    <row r="101" spans="1:20" ht="12.75" customHeight="1" x14ac:dyDescent="0.3">
      <c r="A101" s="136"/>
      <c r="B101" s="212"/>
      <c r="C101" s="138"/>
      <c r="D101" s="138"/>
      <c r="E101" s="138"/>
      <c r="F101" s="138"/>
      <c r="G101" s="138"/>
      <c r="H101" s="139"/>
      <c r="I101" s="138"/>
      <c r="J101" s="138"/>
      <c r="K101" s="138"/>
      <c r="L101" s="138"/>
      <c r="M101" s="139"/>
      <c r="N101" s="138"/>
      <c r="O101" s="138"/>
      <c r="P101" s="138"/>
      <c r="Q101" s="139"/>
      <c r="R101" s="139"/>
      <c r="S101" s="212"/>
      <c r="T101" s="138"/>
    </row>
    <row r="102" spans="1:20" ht="12.75" customHeight="1" x14ac:dyDescent="0.3">
      <c r="A102" s="136"/>
      <c r="B102" s="212"/>
      <c r="C102" s="138"/>
      <c r="D102" s="138"/>
      <c r="E102" s="138"/>
      <c r="F102" s="138"/>
      <c r="G102" s="138"/>
      <c r="H102" s="139"/>
      <c r="I102" s="138"/>
      <c r="J102" s="138"/>
      <c r="K102" s="138"/>
      <c r="L102" s="138"/>
      <c r="M102" s="139"/>
      <c r="N102" s="138"/>
      <c r="O102" s="138"/>
      <c r="P102" s="138"/>
      <c r="Q102" s="139"/>
      <c r="R102" s="139"/>
      <c r="S102" s="212"/>
      <c r="T102" s="138"/>
    </row>
    <row r="103" spans="1:20" ht="12.75" customHeight="1" x14ac:dyDescent="0.3">
      <c r="A103" s="136"/>
      <c r="B103" s="212"/>
      <c r="C103" s="138"/>
      <c r="D103" s="138"/>
      <c r="E103" s="138"/>
      <c r="F103" s="138"/>
      <c r="G103" s="138"/>
      <c r="H103" s="139"/>
      <c r="I103" s="138"/>
      <c r="J103" s="138"/>
      <c r="K103" s="138"/>
      <c r="L103" s="138"/>
      <c r="M103" s="139"/>
      <c r="N103" s="138"/>
      <c r="O103" s="138"/>
      <c r="P103" s="138"/>
      <c r="Q103" s="139"/>
      <c r="R103" s="139"/>
      <c r="S103" s="212"/>
      <c r="T103" s="138"/>
    </row>
    <row r="104" spans="1:20" ht="12.75" customHeight="1" x14ac:dyDescent="0.3">
      <c r="A104" s="136"/>
      <c r="B104" s="212"/>
      <c r="C104" s="138"/>
      <c r="D104" s="138"/>
      <c r="E104" s="138"/>
      <c r="F104" s="138"/>
      <c r="G104" s="138"/>
      <c r="H104" s="139"/>
      <c r="I104" s="138"/>
      <c r="J104" s="138"/>
      <c r="K104" s="138"/>
      <c r="L104" s="138"/>
      <c r="M104" s="139"/>
      <c r="N104" s="138"/>
      <c r="O104" s="138"/>
      <c r="P104" s="138"/>
      <c r="Q104" s="139"/>
      <c r="R104" s="139"/>
      <c r="S104" s="212"/>
      <c r="T104" s="138"/>
    </row>
    <row r="105" spans="1:20" ht="12.75" customHeight="1" x14ac:dyDescent="0.3">
      <c r="A105" s="136"/>
      <c r="B105" s="212"/>
      <c r="C105" s="138"/>
      <c r="D105" s="138"/>
      <c r="E105" s="138"/>
      <c r="F105" s="138"/>
      <c r="G105" s="138"/>
      <c r="H105" s="139"/>
      <c r="I105" s="138"/>
      <c r="J105" s="138"/>
      <c r="K105" s="138"/>
      <c r="L105" s="138"/>
      <c r="M105" s="139"/>
      <c r="N105" s="138"/>
      <c r="O105" s="138"/>
      <c r="P105" s="138"/>
      <c r="Q105" s="139"/>
      <c r="R105" s="139"/>
      <c r="S105" s="212"/>
      <c r="T105" s="138"/>
    </row>
    <row r="106" spans="1:20" ht="12.75" customHeight="1" x14ac:dyDescent="0.3">
      <c r="A106" s="136"/>
      <c r="B106" s="212"/>
      <c r="C106" s="138"/>
      <c r="D106" s="138"/>
      <c r="E106" s="138"/>
      <c r="F106" s="138"/>
      <c r="G106" s="138"/>
      <c r="H106" s="139"/>
      <c r="I106" s="138"/>
      <c r="J106" s="138"/>
      <c r="K106" s="138"/>
      <c r="L106" s="138"/>
      <c r="M106" s="139"/>
      <c r="N106" s="138"/>
      <c r="O106" s="138"/>
      <c r="P106" s="138"/>
      <c r="Q106" s="139"/>
      <c r="R106" s="139"/>
      <c r="S106" s="212"/>
      <c r="T106" s="138"/>
    </row>
    <row r="107" spans="1:20" ht="12.75" customHeight="1" x14ac:dyDescent="0.3">
      <c r="A107" s="136"/>
      <c r="B107" s="212"/>
      <c r="C107" s="138"/>
      <c r="D107" s="138"/>
      <c r="E107" s="138"/>
      <c r="F107" s="138"/>
      <c r="G107" s="138"/>
      <c r="H107" s="139"/>
      <c r="I107" s="138"/>
      <c r="J107" s="138"/>
      <c r="K107" s="138"/>
      <c r="L107" s="138"/>
      <c r="M107" s="139"/>
      <c r="N107" s="138"/>
      <c r="O107" s="138"/>
      <c r="P107" s="138"/>
      <c r="Q107" s="139"/>
      <c r="R107" s="139"/>
      <c r="S107" s="212"/>
      <c r="T107" s="138"/>
    </row>
    <row r="108" spans="1:20" ht="12.75" customHeight="1" x14ac:dyDescent="0.3">
      <c r="A108" s="136"/>
      <c r="B108" s="212"/>
      <c r="C108" s="138"/>
      <c r="D108" s="138"/>
      <c r="E108" s="138"/>
      <c r="F108" s="138"/>
      <c r="G108" s="138"/>
      <c r="H108" s="139"/>
      <c r="I108" s="138"/>
      <c r="J108" s="138"/>
      <c r="K108" s="138"/>
      <c r="L108" s="138"/>
      <c r="M108" s="139"/>
      <c r="N108" s="138"/>
      <c r="O108" s="138"/>
      <c r="P108" s="138"/>
      <c r="Q108" s="139"/>
      <c r="R108" s="139"/>
      <c r="S108" s="212"/>
      <c r="T108" s="138"/>
    </row>
    <row r="109" spans="1:20" ht="12.75" customHeight="1" x14ac:dyDescent="0.3">
      <c r="A109" s="136"/>
      <c r="B109" s="212"/>
      <c r="C109" s="138"/>
      <c r="D109" s="138"/>
      <c r="E109" s="138"/>
      <c r="F109" s="138"/>
      <c r="G109" s="138"/>
      <c r="H109" s="139"/>
      <c r="I109" s="138"/>
      <c r="J109" s="138"/>
      <c r="K109" s="138"/>
      <c r="L109" s="138"/>
      <c r="M109" s="139"/>
      <c r="N109" s="138"/>
      <c r="O109" s="138"/>
      <c r="P109" s="138"/>
      <c r="Q109" s="139"/>
      <c r="R109" s="139"/>
      <c r="S109" s="212"/>
      <c r="T109" s="138"/>
    </row>
    <row r="110" spans="1:20" ht="12.75" customHeight="1" x14ac:dyDescent="0.3">
      <c r="A110" s="136"/>
      <c r="B110" s="212"/>
      <c r="C110" s="138"/>
      <c r="D110" s="138"/>
      <c r="E110" s="138"/>
      <c r="F110" s="138"/>
      <c r="G110" s="138"/>
      <c r="H110" s="139"/>
      <c r="I110" s="138"/>
      <c r="J110" s="138"/>
      <c r="K110" s="138"/>
      <c r="L110" s="138"/>
      <c r="M110" s="139"/>
      <c r="N110" s="138"/>
      <c r="O110" s="138"/>
      <c r="P110" s="138"/>
      <c r="Q110" s="139"/>
      <c r="R110" s="139"/>
      <c r="S110" s="212"/>
      <c r="T110" s="138"/>
    </row>
    <row r="111" spans="1:20" ht="12.75" customHeight="1" x14ac:dyDescent="0.3">
      <c r="A111" s="136"/>
      <c r="B111" s="212"/>
      <c r="C111" s="138"/>
      <c r="D111" s="138"/>
      <c r="E111" s="138"/>
      <c r="F111" s="138"/>
      <c r="G111" s="138"/>
      <c r="H111" s="139"/>
      <c r="I111" s="138"/>
      <c r="J111" s="138"/>
      <c r="K111" s="138"/>
      <c r="L111" s="138"/>
      <c r="M111" s="139"/>
      <c r="N111" s="138"/>
      <c r="O111" s="138"/>
      <c r="P111" s="138"/>
      <c r="Q111" s="139"/>
      <c r="R111" s="139"/>
      <c r="S111" s="212"/>
      <c r="T111" s="138"/>
    </row>
    <row r="112" spans="1:20" ht="12.75" customHeight="1" x14ac:dyDescent="0.3">
      <c r="A112" s="136"/>
      <c r="B112" s="212"/>
      <c r="C112" s="138"/>
      <c r="D112" s="138"/>
      <c r="E112" s="138"/>
      <c r="F112" s="138"/>
      <c r="G112" s="138"/>
      <c r="H112" s="139"/>
      <c r="I112" s="138"/>
      <c r="J112" s="138"/>
      <c r="K112" s="138"/>
      <c r="L112" s="138"/>
      <c r="M112" s="139"/>
      <c r="N112" s="138"/>
      <c r="O112" s="138"/>
      <c r="P112" s="138"/>
      <c r="Q112" s="139"/>
      <c r="R112" s="139"/>
      <c r="S112" s="212"/>
      <c r="T112" s="138"/>
    </row>
    <row r="113" spans="1:20" ht="12.75" customHeight="1" x14ac:dyDescent="0.3">
      <c r="A113" s="136"/>
      <c r="B113" s="212"/>
      <c r="C113" s="138"/>
      <c r="D113" s="138"/>
      <c r="E113" s="138"/>
      <c r="F113" s="138"/>
      <c r="G113" s="138"/>
      <c r="H113" s="139"/>
      <c r="I113" s="138"/>
      <c r="J113" s="138"/>
      <c r="K113" s="138"/>
      <c r="L113" s="138"/>
      <c r="M113" s="139"/>
      <c r="N113" s="138"/>
      <c r="O113" s="138"/>
      <c r="P113" s="138"/>
      <c r="Q113" s="139"/>
      <c r="R113" s="139"/>
      <c r="S113" s="212"/>
      <c r="T113" s="138"/>
    </row>
    <row r="114" spans="1:20" ht="12.75" customHeight="1" x14ac:dyDescent="0.3">
      <c r="A114" s="136"/>
      <c r="B114" s="212"/>
      <c r="C114" s="138"/>
      <c r="D114" s="138"/>
      <c r="E114" s="138"/>
      <c r="F114" s="138"/>
      <c r="G114" s="138"/>
      <c r="H114" s="139"/>
      <c r="I114" s="138"/>
      <c r="J114" s="138"/>
      <c r="K114" s="138"/>
      <c r="L114" s="138"/>
      <c r="M114" s="139"/>
      <c r="N114" s="138"/>
      <c r="O114" s="138"/>
      <c r="P114" s="138"/>
      <c r="Q114" s="139"/>
      <c r="R114" s="139"/>
      <c r="S114" s="212"/>
      <c r="T114" s="138"/>
    </row>
    <row r="115" spans="1:20" ht="12.75" customHeight="1" x14ac:dyDescent="0.3">
      <c r="A115" s="136"/>
      <c r="B115" s="212"/>
      <c r="C115" s="138"/>
      <c r="D115" s="138"/>
      <c r="E115" s="138"/>
      <c r="F115" s="138"/>
      <c r="G115" s="138"/>
      <c r="H115" s="139"/>
      <c r="I115" s="138"/>
      <c r="J115" s="138"/>
      <c r="K115" s="138"/>
      <c r="L115" s="138"/>
      <c r="M115" s="139"/>
      <c r="N115" s="138"/>
      <c r="O115" s="138"/>
      <c r="P115" s="138"/>
      <c r="Q115" s="139"/>
      <c r="R115" s="139"/>
      <c r="S115" s="212"/>
      <c r="T115" s="138"/>
    </row>
    <row r="116" spans="1:20" ht="12.75" customHeight="1" x14ac:dyDescent="0.3">
      <c r="A116" s="136"/>
      <c r="B116" s="212"/>
      <c r="C116" s="138"/>
      <c r="D116" s="138"/>
      <c r="E116" s="138"/>
      <c r="F116" s="138"/>
      <c r="G116" s="138"/>
      <c r="H116" s="139"/>
      <c r="I116" s="138"/>
      <c r="J116" s="138"/>
      <c r="K116" s="138"/>
      <c r="L116" s="138"/>
      <c r="M116" s="139"/>
      <c r="N116" s="138"/>
      <c r="O116" s="138"/>
      <c r="P116" s="138"/>
      <c r="Q116" s="139"/>
      <c r="R116" s="139"/>
      <c r="S116" s="212"/>
      <c r="T116" s="138"/>
    </row>
    <row r="117" spans="1:20" ht="12.75" customHeight="1" x14ac:dyDescent="0.3">
      <c r="A117" s="136"/>
      <c r="B117" s="212"/>
      <c r="C117" s="138"/>
      <c r="D117" s="138"/>
      <c r="E117" s="138"/>
      <c r="F117" s="138"/>
      <c r="G117" s="138"/>
      <c r="H117" s="139"/>
      <c r="I117" s="138"/>
      <c r="J117" s="138"/>
      <c r="K117" s="138"/>
      <c r="L117" s="138"/>
      <c r="M117" s="139"/>
      <c r="N117" s="138"/>
      <c r="O117" s="138"/>
      <c r="P117" s="138"/>
      <c r="Q117" s="139"/>
      <c r="R117" s="139"/>
      <c r="S117" s="212"/>
      <c r="T117" s="138"/>
    </row>
    <row r="118" spans="1:20" ht="12.75" customHeight="1" x14ac:dyDescent="0.3">
      <c r="A118" s="136"/>
      <c r="B118" s="212"/>
      <c r="C118" s="138"/>
      <c r="D118" s="138"/>
      <c r="E118" s="138"/>
      <c r="F118" s="138"/>
      <c r="G118" s="138"/>
      <c r="H118" s="139"/>
      <c r="I118" s="138"/>
      <c r="J118" s="138"/>
      <c r="K118" s="138"/>
      <c r="L118" s="138"/>
      <c r="M118" s="139"/>
      <c r="N118" s="138"/>
      <c r="O118" s="138"/>
      <c r="P118" s="138"/>
      <c r="Q118" s="139"/>
      <c r="R118" s="139"/>
      <c r="S118" s="212"/>
      <c r="T118" s="138"/>
    </row>
    <row r="119" spans="1:20" ht="12.75" customHeight="1" x14ac:dyDescent="0.3">
      <c r="A119" s="136"/>
      <c r="B119" s="212"/>
      <c r="C119" s="138"/>
      <c r="D119" s="138"/>
      <c r="E119" s="138"/>
      <c r="F119" s="138"/>
      <c r="G119" s="138"/>
      <c r="H119" s="139"/>
      <c r="I119" s="138"/>
      <c r="J119" s="138"/>
      <c r="K119" s="138"/>
      <c r="L119" s="138"/>
      <c r="M119" s="139"/>
      <c r="N119" s="138"/>
      <c r="O119" s="138"/>
      <c r="P119" s="138"/>
      <c r="Q119" s="139"/>
      <c r="R119" s="139"/>
      <c r="S119" s="212"/>
      <c r="T119" s="138"/>
    </row>
    <row r="120" spans="1:20" ht="12.75" customHeight="1" x14ac:dyDescent="0.3">
      <c r="A120" s="136"/>
      <c r="B120" s="212"/>
      <c r="C120" s="138"/>
      <c r="D120" s="138"/>
      <c r="E120" s="138"/>
      <c r="F120" s="138"/>
      <c r="G120" s="138"/>
      <c r="H120" s="139"/>
      <c r="I120" s="138"/>
      <c r="J120" s="138"/>
      <c r="K120" s="138"/>
      <c r="L120" s="138"/>
      <c r="M120" s="139"/>
      <c r="N120" s="138"/>
      <c r="O120" s="138"/>
      <c r="P120" s="138"/>
      <c r="Q120" s="139"/>
      <c r="R120" s="139"/>
      <c r="S120" s="212"/>
      <c r="T120" s="138"/>
    </row>
    <row r="121" spans="1:20" ht="12.75" customHeight="1" x14ac:dyDescent="0.3">
      <c r="A121" s="136"/>
      <c r="B121" s="212"/>
      <c r="C121" s="138"/>
      <c r="D121" s="138"/>
      <c r="E121" s="138"/>
      <c r="F121" s="138"/>
      <c r="G121" s="138"/>
      <c r="H121" s="139"/>
      <c r="I121" s="138"/>
      <c r="J121" s="138"/>
      <c r="K121" s="138"/>
      <c r="L121" s="138"/>
      <c r="M121" s="139"/>
      <c r="N121" s="138"/>
      <c r="O121" s="138"/>
      <c r="P121" s="138"/>
      <c r="Q121" s="139"/>
      <c r="R121" s="139"/>
      <c r="S121" s="212"/>
      <c r="T121" s="138"/>
    </row>
    <row r="122" spans="1:20" ht="12.75" customHeight="1" x14ac:dyDescent="0.3">
      <c r="A122" s="136"/>
      <c r="B122" s="212"/>
      <c r="C122" s="138"/>
      <c r="D122" s="138"/>
      <c r="E122" s="138"/>
      <c r="F122" s="138"/>
      <c r="G122" s="138"/>
      <c r="H122" s="139"/>
      <c r="I122" s="138"/>
      <c r="J122" s="138"/>
      <c r="K122" s="138"/>
      <c r="L122" s="138"/>
      <c r="M122" s="139"/>
      <c r="N122" s="138"/>
      <c r="O122" s="138"/>
      <c r="P122" s="138"/>
      <c r="Q122" s="139"/>
      <c r="R122" s="139"/>
      <c r="S122" s="212"/>
      <c r="T122" s="138"/>
    </row>
    <row r="123" spans="1:20" ht="12.75" customHeight="1" x14ac:dyDescent="0.3">
      <c r="A123" s="136"/>
      <c r="B123" s="212"/>
      <c r="C123" s="138"/>
      <c r="D123" s="138"/>
      <c r="E123" s="138"/>
      <c r="F123" s="138"/>
      <c r="G123" s="138"/>
      <c r="H123" s="139"/>
      <c r="I123" s="138"/>
      <c r="J123" s="138"/>
      <c r="K123" s="138"/>
      <c r="L123" s="138"/>
      <c r="M123" s="139"/>
      <c r="N123" s="138"/>
      <c r="O123" s="138"/>
      <c r="P123" s="138"/>
      <c r="Q123" s="139"/>
      <c r="R123" s="139"/>
      <c r="S123" s="212"/>
      <c r="T123" s="138"/>
    </row>
    <row r="124" spans="1:20" ht="12.75" customHeight="1" x14ac:dyDescent="0.3">
      <c r="A124" s="136"/>
      <c r="B124" s="212"/>
      <c r="C124" s="138"/>
      <c r="D124" s="138"/>
      <c r="E124" s="138"/>
      <c r="F124" s="138"/>
      <c r="G124" s="138"/>
      <c r="H124" s="139"/>
      <c r="I124" s="138"/>
      <c r="J124" s="138"/>
      <c r="K124" s="138"/>
      <c r="L124" s="138"/>
      <c r="M124" s="139"/>
      <c r="N124" s="138"/>
      <c r="O124" s="138"/>
      <c r="P124" s="138"/>
      <c r="Q124" s="139"/>
      <c r="R124" s="139"/>
      <c r="S124" s="212"/>
      <c r="T124" s="138"/>
    </row>
    <row r="125" spans="1:20" ht="12.75" customHeight="1" x14ac:dyDescent="0.3">
      <c r="A125" s="136"/>
      <c r="B125" s="212"/>
      <c r="C125" s="138"/>
      <c r="D125" s="138"/>
      <c r="E125" s="138"/>
      <c r="F125" s="138"/>
      <c r="G125" s="138"/>
      <c r="H125" s="139"/>
      <c r="I125" s="138"/>
      <c r="J125" s="138"/>
      <c r="K125" s="138"/>
      <c r="L125" s="138"/>
      <c r="M125" s="139"/>
      <c r="N125" s="138"/>
      <c r="O125" s="138"/>
      <c r="P125" s="138"/>
      <c r="Q125" s="139"/>
      <c r="R125" s="139"/>
      <c r="S125" s="212"/>
      <c r="T125" s="138"/>
    </row>
    <row r="126" spans="1:20" ht="12.75" customHeight="1" x14ac:dyDescent="0.3">
      <c r="A126" s="136"/>
      <c r="B126" s="212"/>
      <c r="C126" s="138"/>
      <c r="D126" s="138"/>
      <c r="E126" s="138"/>
      <c r="F126" s="138"/>
      <c r="G126" s="138"/>
      <c r="H126" s="139"/>
      <c r="I126" s="138"/>
      <c r="J126" s="138"/>
      <c r="K126" s="138"/>
      <c r="L126" s="138"/>
      <c r="M126" s="139"/>
      <c r="N126" s="138"/>
      <c r="O126" s="138"/>
      <c r="P126" s="138"/>
      <c r="Q126" s="139"/>
      <c r="R126" s="139"/>
      <c r="S126" s="212"/>
      <c r="T126" s="138"/>
    </row>
    <row r="127" spans="1:20" ht="12.75" customHeight="1" x14ac:dyDescent="0.3">
      <c r="A127" s="136"/>
      <c r="B127" s="212"/>
      <c r="C127" s="138"/>
      <c r="D127" s="138"/>
      <c r="E127" s="138"/>
      <c r="F127" s="138"/>
      <c r="G127" s="138"/>
      <c r="H127" s="139"/>
      <c r="I127" s="138"/>
      <c r="J127" s="138"/>
      <c r="K127" s="138"/>
      <c r="L127" s="138"/>
      <c r="M127" s="139"/>
      <c r="N127" s="138"/>
      <c r="O127" s="138"/>
      <c r="P127" s="138"/>
      <c r="Q127" s="139"/>
      <c r="R127" s="139"/>
      <c r="S127" s="212"/>
      <c r="T127" s="138"/>
    </row>
    <row r="128" spans="1:20" ht="12.75" customHeight="1" x14ac:dyDescent="0.3">
      <c r="A128" s="136"/>
      <c r="B128" s="212"/>
      <c r="C128" s="138"/>
      <c r="D128" s="138"/>
      <c r="E128" s="138"/>
      <c r="F128" s="138"/>
      <c r="G128" s="138"/>
      <c r="H128" s="139"/>
      <c r="I128" s="138"/>
      <c r="J128" s="138"/>
      <c r="K128" s="138"/>
      <c r="L128" s="138"/>
      <c r="M128" s="139"/>
      <c r="N128" s="138"/>
      <c r="O128" s="138"/>
      <c r="P128" s="138"/>
      <c r="Q128" s="139"/>
      <c r="R128" s="139"/>
      <c r="S128" s="212"/>
      <c r="T128" s="138"/>
    </row>
    <row r="129" spans="1:20" ht="12.75" customHeight="1" x14ac:dyDescent="0.3">
      <c r="A129" s="136"/>
      <c r="B129" s="212"/>
      <c r="C129" s="138"/>
      <c r="D129" s="138"/>
      <c r="E129" s="138"/>
      <c r="F129" s="138"/>
      <c r="G129" s="138"/>
      <c r="H129" s="139"/>
      <c r="I129" s="138"/>
      <c r="J129" s="138"/>
      <c r="K129" s="138"/>
      <c r="L129" s="138"/>
      <c r="M129" s="139"/>
      <c r="N129" s="138"/>
      <c r="O129" s="138"/>
      <c r="P129" s="138"/>
      <c r="Q129" s="139"/>
      <c r="R129" s="139"/>
      <c r="S129" s="212"/>
      <c r="T129" s="138"/>
    </row>
    <row r="130" spans="1:20" ht="12.75" customHeight="1" x14ac:dyDescent="0.3">
      <c r="A130" s="136"/>
      <c r="B130" s="212"/>
      <c r="C130" s="138"/>
      <c r="D130" s="138"/>
      <c r="E130" s="138"/>
      <c r="F130" s="138"/>
      <c r="G130" s="138"/>
      <c r="H130" s="139"/>
      <c r="I130" s="138"/>
      <c r="J130" s="138"/>
      <c r="K130" s="138"/>
      <c r="L130" s="138"/>
      <c r="M130" s="139"/>
      <c r="N130" s="138"/>
      <c r="O130" s="138"/>
      <c r="P130" s="138"/>
      <c r="Q130" s="139"/>
      <c r="R130" s="139"/>
      <c r="S130" s="212"/>
      <c r="T130" s="138"/>
    </row>
    <row r="131" spans="1:20" ht="12.75" customHeight="1" x14ac:dyDescent="0.3">
      <c r="A131" s="136"/>
      <c r="B131" s="212"/>
      <c r="C131" s="138"/>
      <c r="D131" s="138"/>
      <c r="E131" s="138"/>
      <c r="F131" s="138"/>
      <c r="G131" s="138"/>
      <c r="H131" s="139"/>
      <c r="I131" s="138"/>
      <c r="J131" s="138"/>
      <c r="K131" s="138"/>
      <c r="L131" s="138"/>
      <c r="M131" s="139"/>
      <c r="N131" s="138"/>
      <c r="O131" s="138"/>
      <c r="P131" s="138"/>
      <c r="Q131" s="139"/>
      <c r="R131" s="139"/>
      <c r="S131" s="212"/>
      <c r="T131" s="138"/>
    </row>
    <row r="132" spans="1:20" ht="12.75" customHeight="1" x14ac:dyDescent="0.3">
      <c r="A132" s="136"/>
      <c r="B132" s="212"/>
      <c r="C132" s="138"/>
      <c r="D132" s="138"/>
      <c r="E132" s="138"/>
      <c r="F132" s="138"/>
      <c r="G132" s="138"/>
      <c r="H132" s="139"/>
      <c r="I132" s="138"/>
      <c r="J132" s="138"/>
      <c r="K132" s="138"/>
      <c r="L132" s="138"/>
      <c r="M132" s="139"/>
      <c r="N132" s="138"/>
      <c r="O132" s="138"/>
      <c r="P132" s="138"/>
      <c r="Q132" s="139"/>
      <c r="R132" s="139"/>
      <c r="S132" s="212"/>
      <c r="T132" s="138"/>
    </row>
    <row r="133" spans="1:20" ht="12.75" customHeight="1" x14ac:dyDescent="0.3">
      <c r="A133" s="136"/>
      <c r="B133" s="212"/>
      <c r="C133" s="138"/>
      <c r="D133" s="138"/>
      <c r="E133" s="138"/>
      <c r="F133" s="138"/>
      <c r="G133" s="138"/>
      <c r="H133" s="139"/>
      <c r="I133" s="138"/>
      <c r="J133" s="138"/>
      <c r="K133" s="138"/>
      <c r="L133" s="138"/>
      <c r="M133" s="139"/>
      <c r="N133" s="138"/>
      <c r="O133" s="138"/>
      <c r="P133" s="138"/>
      <c r="Q133" s="139"/>
      <c r="R133" s="139"/>
      <c r="S133" s="212"/>
      <c r="T133" s="138"/>
    </row>
    <row r="134" spans="1:20" ht="12.75" customHeight="1" x14ac:dyDescent="0.3">
      <c r="A134" s="136"/>
      <c r="B134" s="212"/>
      <c r="C134" s="138"/>
      <c r="D134" s="138"/>
      <c r="E134" s="138"/>
      <c r="F134" s="138"/>
      <c r="G134" s="138"/>
      <c r="H134" s="139"/>
      <c r="I134" s="138"/>
      <c r="J134" s="138"/>
      <c r="K134" s="138"/>
      <c r="L134" s="138"/>
      <c r="M134" s="139"/>
      <c r="N134" s="138"/>
      <c r="O134" s="138"/>
      <c r="P134" s="138"/>
      <c r="Q134" s="139"/>
      <c r="R134" s="139"/>
      <c r="S134" s="212"/>
      <c r="T134" s="138"/>
    </row>
    <row r="135" spans="1:20" ht="12.75" customHeight="1" x14ac:dyDescent="0.3">
      <c r="A135" s="136"/>
      <c r="B135" s="212"/>
      <c r="C135" s="138"/>
      <c r="D135" s="138"/>
      <c r="E135" s="138"/>
      <c r="F135" s="138"/>
      <c r="G135" s="138"/>
      <c r="H135" s="139"/>
      <c r="I135" s="138"/>
      <c r="J135" s="138"/>
      <c r="K135" s="138"/>
      <c r="L135" s="138"/>
      <c r="M135" s="139"/>
      <c r="N135" s="138"/>
      <c r="O135" s="138"/>
      <c r="P135" s="138"/>
      <c r="Q135" s="139"/>
      <c r="R135" s="139"/>
      <c r="S135" s="212"/>
      <c r="T135" s="138"/>
    </row>
    <row r="136" spans="1:20" ht="12.75" customHeight="1" x14ac:dyDescent="0.3">
      <c r="A136" s="136"/>
      <c r="B136" s="212"/>
      <c r="C136" s="138"/>
      <c r="D136" s="138"/>
      <c r="E136" s="138"/>
      <c r="F136" s="138"/>
      <c r="G136" s="138"/>
      <c r="H136" s="139"/>
      <c r="I136" s="138"/>
      <c r="J136" s="138"/>
      <c r="K136" s="138"/>
      <c r="L136" s="138"/>
      <c r="M136" s="139"/>
      <c r="N136" s="138"/>
      <c r="O136" s="138"/>
      <c r="P136" s="138"/>
      <c r="Q136" s="139"/>
      <c r="R136" s="139"/>
      <c r="S136" s="212"/>
      <c r="T136" s="138"/>
    </row>
    <row r="137" spans="1:20" ht="12.75" customHeight="1" x14ac:dyDescent="0.3">
      <c r="A137" s="136"/>
      <c r="B137" s="212"/>
      <c r="C137" s="138"/>
      <c r="D137" s="138"/>
      <c r="E137" s="138"/>
      <c r="F137" s="138"/>
      <c r="G137" s="138"/>
      <c r="H137" s="139"/>
      <c r="I137" s="138"/>
      <c r="J137" s="138"/>
      <c r="K137" s="138"/>
      <c r="L137" s="138"/>
      <c r="M137" s="139"/>
      <c r="N137" s="138"/>
      <c r="O137" s="138"/>
      <c r="P137" s="138"/>
      <c r="Q137" s="139"/>
      <c r="R137" s="139"/>
      <c r="S137" s="212"/>
      <c r="T137" s="138"/>
    </row>
    <row r="138" spans="1:20" ht="12.75" customHeight="1" x14ac:dyDescent="0.3">
      <c r="A138" s="136"/>
      <c r="B138" s="212"/>
      <c r="C138" s="138"/>
      <c r="D138" s="138"/>
      <c r="E138" s="138"/>
      <c r="F138" s="138"/>
      <c r="G138" s="138"/>
      <c r="H138" s="139"/>
      <c r="I138" s="138"/>
      <c r="J138" s="138"/>
      <c r="K138" s="138"/>
      <c r="L138" s="138"/>
      <c r="M138" s="139"/>
      <c r="N138" s="138"/>
      <c r="O138" s="138"/>
      <c r="P138" s="138"/>
      <c r="Q138" s="139"/>
      <c r="R138" s="139"/>
      <c r="S138" s="212"/>
      <c r="T138" s="138"/>
    </row>
    <row r="139" spans="1:20" ht="12.75" customHeight="1" x14ac:dyDescent="0.3">
      <c r="A139" s="136"/>
      <c r="B139" s="212"/>
      <c r="C139" s="138"/>
      <c r="D139" s="138"/>
      <c r="E139" s="138"/>
      <c r="F139" s="138"/>
      <c r="G139" s="138"/>
      <c r="H139" s="139"/>
      <c r="I139" s="138"/>
      <c r="J139" s="138"/>
      <c r="K139" s="138"/>
      <c r="L139" s="138"/>
      <c r="M139" s="139"/>
      <c r="N139" s="138"/>
      <c r="O139" s="138"/>
      <c r="P139" s="138"/>
      <c r="Q139" s="139"/>
      <c r="R139" s="139"/>
      <c r="S139" s="212"/>
      <c r="T139" s="138"/>
    </row>
    <row r="140" spans="1:20" ht="12.75" customHeight="1" x14ac:dyDescent="0.3">
      <c r="A140" s="136"/>
      <c r="B140" s="212"/>
      <c r="C140" s="138"/>
      <c r="D140" s="138"/>
      <c r="E140" s="138"/>
      <c r="F140" s="138"/>
      <c r="G140" s="138"/>
      <c r="H140" s="139"/>
      <c r="I140" s="138"/>
      <c r="J140" s="138"/>
      <c r="K140" s="138"/>
      <c r="L140" s="138"/>
      <c r="M140" s="139"/>
      <c r="N140" s="138"/>
      <c r="O140" s="138"/>
      <c r="P140" s="138"/>
      <c r="Q140" s="139"/>
      <c r="R140" s="139"/>
      <c r="S140" s="212"/>
      <c r="T140" s="138"/>
    </row>
    <row r="141" spans="1:20" ht="12.75" customHeight="1" x14ac:dyDescent="0.3">
      <c r="A141" s="136"/>
      <c r="B141" s="212"/>
      <c r="C141" s="138"/>
      <c r="D141" s="138"/>
      <c r="E141" s="138"/>
      <c r="F141" s="138"/>
      <c r="G141" s="138"/>
      <c r="H141" s="139"/>
      <c r="I141" s="138"/>
      <c r="J141" s="138"/>
      <c r="K141" s="138"/>
      <c r="L141" s="138"/>
      <c r="M141" s="139"/>
      <c r="N141" s="138"/>
      <c r="O141" s="138"/>
      <c r="P141" s="138"/>
      <c r="Q141" s="139"/>
      <c r="R141" s="139"/>
      <c r="S141" s="212"/>
      <c r="T141" s="138"/>
    </row>
    <row r="142" spans="1:20" ht="12.75" customHeight="1" x14ac:dyDescent="0.3">
      <c r="A142" s="136"/>
      <c r="B142" s="212"/>
      <c r="C142" s="138"/>
      <c r="D142" s="138"/>
      <c r="E142" s="138"/>
      <c r="F142" s="138"/>
      <c r="G142" s="138"/>
      <c r="H142" s="139"/>
      <c r="I142" s="138"/>
      <c r="J142" s="138"/>
      <c r="K142" s="138"/>
      <c r="L142" s="138"/>
      <c r="M142" s="139"/>
      <c r="N142" s="138"/>
      <c r="O142" s="138"/>
      <c r="P142" s="138"/>
      <c r="Q142" s="139"/>
      <c r="R142" s="139"/>
      <c r="S142" s="212"/>
      <c r="T142" s="138"/>
    </row>
    <row r="143" spans="1:20" ht="12.75" customHeight="1" x14ac:dyDescent="0.3">
      <c r="A143" s="136"/>
      <c r="B143" s="212"/>
      <c r="C143" s="138"/>
      <c r="D143" s="138"/>
      <c r="E143" s="138"/>
      <c r="F143" s="138"/>
      <c r="G143" s="138"/>
      <c r="H143" s="139"/>
      <c r="I143" s="138"/>
      <c r="J143" s="138"/>
      <c r="K143" s="138"/>
      <c r="L143" s="138"/>
      <c r="M143" s="139"/>
      <c r="N143" s="138"/>
      <c r="O143" s="138"/>
      <c r="P143" s="138"/>
      <c r="Q143" s="139"/>
      <c r="R143" s="139"/>
      <c r="S143" s="212"/>
      <c r="T143" s="138"/>
    </row>
    <row r="144" spans="1:20" ht="12.75" customHeight="1" x14ac:dyDescent="0.3">
      <c r="A144" s="136"/>
      <c r="B144" s="212"/>
      <c r="C144" s="138"/>
      <c r="D144" s="138"/>
      <c r="E144" s="138"/>
      <c r="F144" s="138"/>
      <c r="G144" s="138"/>
      <c r="H144" s="139"/>
      <c r="I144" s="138"/>
      <c r="J144" s="138"/>
      <c r="K144" s="138"/>
      <c r="L144" s="138"/>
      <c r="M144" s="139"/>
      <c r="N144" s="138"/>
      <c r="O144" s="138"/>
      <c r="P144" s="138"/>
      <c r="Q144" s="139"/>
      <c r="R144" s="139"/>
      <c r="S144" s="212"/>
      <c r="T144" s="138"/>
    </row>
    <row r="145" spans="1:20" ht="12.75" customHeight="1" x14ac:dyDescent="0.3">
      <c r="A145" s="136"/>
      <c r="B145" s="212"/>
      <c r="C145" s="138"/>
      <c r="D145" s="138"/>
      <c r="E145" s="138"/>
      <c r="F145" s="138"/>
      <c r="G145" s="138"/>
      <c r="H145" s="139"/>
      <c r="I145" s="138"/>
      <c r="J145" s="138"/>
      <c r="K145" s="138"/>
      <c r="L145" s="138"/>
      <c r="M145" s="139"/>
      <c r="N145" s="138"/>
      <c r="O145" s="138"/>
      <c r="P145" s="138"/>
      <c r="Q145" s="139"/>
      <c r="R145" s="139"/>
      <c r="S145" s="212"/>
      <c r="T145" s="138"/>
    </row>
    <row r="146" spans="1:20" ht="12.75" customHeight="1" x14ac:dyDescent="0.3">
      <c r="A146" s="136"/>
      <c r="B146" s="212"/>
      <c r="C146" s="138"/>
      <c r="D146" s="138"/>
      <c r="E146" s="138"/>
      <c r="F146" s="138"/>
      <c r="G146" s="138"/>
      <c r="H146" s="139"/>
      <c r="I146" s="138"/>
      <c r="J146" s="138"/>
      <c r="K146" s="138"/>
      <c r="L146" s="138"/>
      <c r="M146" s="139"/>
      <c r="N146" s="138"/>
      <c r="O146" s="138"/>
      <c r="P146" s="138"/>
      <c r="Q146" s="139"/>
      <c r="R146" s="139"/>
      <c r="S146" s="212"/>
      <c r="T146" s="138"/>
    </row>
    <row r="147" spans="1:20" ht="12.75" customHeight="1" x14ac:dyDescent="0.3">
      <c r="A147" s="136"/>
      <c r="B147" s="212"/>
      <c r="C147" s="138"/>
      <c r="D147" s="138"/>
      <c r="E147" s="138"/>
      <c r="F147" s="138"/>
      <c r="G147" s="138"/>
      <c r="H147" s="139"/>
      <c r="I147" s="138"/>
      <c r="J147" s="138"/>
      <c r="K147" s="138"/>
      <c r="L147" s="138"/>
      <c r="M147" s="139"/>
      <c r="N147" s="138"/>
      <c r="O147" s="138"/>
      <c r="P147" s="138"/>
      <c r="Q147" s="139"/>
      <c r="R147" s="139"/>
      <c r="S147" s="212"/>
      <c r="T147" s="138"/>
    </row>
    <row r="148" spans="1:20" ht="12.75" customHeight="1" x14ac:dyDescent="0.3">
      <c r="A148" s="136"/>
      <c r="B148" s="212"/>
      <c r="C148" s="138"/>
      <c r="D148" s="138"/>
      <c r="E148" s="138"/>
      <c r="F148" s="138"/>
      <c r="G148" s="138"/>
      <c r="H148" s="139"/>
      <c r="I148" s="138"/>
      <c r="J148" s="138"/>
      <c r="K148" s="138"/>
      <c r="L148" s="138"/>
      <c r="M148" s="139"/>
      <c r="N148" s="138"/>
      <c r="O148" s="138"/>
      <c r="P148" s="138"/>
      <c r="Q148" s="139"/>
      <c r="R148" s="139"/>
      <c r="S148" s="212"/>
      <c r="T148" s="138"/>
    </row>
    <row r="149" spans="1:20" ht="12.75" customHeight="1" x14ac:dyDescent="0.3">
      <c r="A149" s="136"/>
      <c r="B149" s="212"/>
      <c r="C149" s="138"/>
      <c r="D149" s="138"/>
      <c r="E149" s="138"/>
      <c r="F149" s="138"/>
      <c r="G149" s="138"/>
      <c r="H149" s="139"/>
      <c r="I149" s="138"/>
      <c r="J149" s="138"/>
      <c r="K149" s="138"/>
      <c r="L149" s="138"/>
      <c r="M149" s="139"/>
      <c r="N149" s="138"/>
      <c r="O149" s="138"/>
      <c r="P149" s="138"/>
      <c r="Q149" s="139"/>
      <c r="R149" s="139"/>
      <c r="S149" s="212"/>
      <c r="T149" s="138"/>
    </row>
    <row r="150" spans="1:20" ht="12.75" customHeight="1" x14ac:dyDescent="0.3">
      <c r="A150" s="136"/>
      <c r="B150" s="212"/>
      <c r="C150" s="138"/>
      <c r="D150" s="138"/>
      <c r="E150" s="138"/>
      <c r="F150" s="138"/>
      <c r="G150" s="138"/>
      <c r="H150" s="139"/>
      <c r="I150" s="138"/>
      <c r="J150" s="138"/>
      <c r="K150" s="138"/>
      <c r="L150" s="138"/>
      <c r="M150" s="139"/>
      <c r="N150" s="138"/>
      <c r="O150" s="138"/>
      <c r="P150" s="138"/>
      <c r="Q150" s="139"/>
      <c r="R150" s="139"/>
      <c r="S150" s="212"/>
      <c r="T150" s="138"/>
    </row>
    <row r="151" spans="1:20" ht="12.75" customHeight="1" x14ac:dyDescent="0.3">
      <c r="A151" s="136"/>
      <c r="B151" s="212"/>
      <c r="C151" s="138"/>
      <c r="D151" s="138"/>
      <c r="E151" s="138"/>
      <c r="F151" s="138"/>
      <c r="G151" s="138"/>
      <c r="H151" s="139"/>
      <c r="I151" s="138"/>
      <c r="J151" s="138"/>
      <c r="K151" s="138"/>
      <c r="L151" s="138"/>
      <c r="M151" s="139"/>
      <c r="N151" s="138"/>
      <c r="O151" s="138"/>
      <c r="P151" s="138"/>
      <c r="Q151" s="139"/>
      <c r="R151" s="139"/>
      <c r="S151" s="212"/>
      <c r="T151" s="138"/>
    </row>
    <row r="152" spans="1:20" ht="12.75" customHeight="1" x14ac:dyDescent="0.3">
      <c r="A152" s="136"/>
      <c r="B152" s="212"/>
      <c r="C152" s="138"/>
      <c r="D152" s="138"/>
      <c r="E152" s="138"/>
      <c r="F152" s="138"/>
      <c r="G152" s="138"/>
      <c r="H152" s="139"/>
      <c r="I152" s="138"/>
      <c r="J152" s="138"/>
      <c r="K152" s="138"/>
      <c r="L152" s="138"/>
      <c r="M152" s="139"/>
      <c r="N152" s="138"/>
      <c r="O152" s="138"/>
      <c r="P152" s="138"/>
      <c r="Q152" s="139"/>
      <c r="R152" s="139"/>
      <c r="S152" s="212"/>
      <c r="T152" s="138"/>
    </row>
    <row r="153" spans="1:20" ht="12.75" customHeight="1" x14ac:dyDescent="0.3">
      <c r="A153" s="136"/>
      <c r="B153" s="212"/>
      <c r="C153" s="138"/>
      <c r="D153" s="138"/>
      <c r="E153" s="138"/>
      <c r="F153" s="138"/>
      <c r="G153" s="138"/>
      <c r="H153" s="139"/>
      <c r="I153" s="138"/>
      <c r="J153" s="138"/>
      <c r="K153" s="138"/>
      <c r="L153" s="138"/>
      <c r="M153" s="139"/>
      <c r="N153" s="138"/>
      <c r="O153" s="138"/>
      <c r="P153" s="138"/>
      <c r="Q153" s="139"/>
      <c r="R153" s="139"/>
      <c r="S153" s="212"/>
      <c r="T153" s="138"/>
    </row>
    <row r="154" spans="1:20" ht="12.75" customHeight="1" x14ac:dyDescent="0.3">
      <c r="A154" s="136"/>
      <c r="B154" s="212"/>
      <c r="C154" s="138"/>
      <c r="D154" s="138"/>
      <c r="E154" s="138"/>
      <c r="F154" s="138"/>
      <c r="G154" s="138"/>
      <c r="H154" s="139"/>
      <c r="I154" s="138"/>
      <c r="J154" s="138"/>
      <c r="K154" s="138"/>
      <c r="L154" s="138"/>
      <c r="M154" s="139"/>
      <c r="N154" s="138"/>
      <c r="O154" s="138"/>
      <c r="P154" s="138"/>
      <c r="Q154" s="139"/>
      <c r="R154" s="139"/>
      <c r="S154" s="212"/>
      <c r="T154" s="138"/>
    </row>
    <row r="155" spans="1:20" ht="12.75" customHeight="1" x14ac:dyDescent="0.3">
      <c r="A155" s="136"/>
      <c r="B155" s="212"/>
      <c r="C155" s="138"/>
      <c r="D155" s="138"/>
      <c r="E155" s="138"/>
      <c r="F155" s="138"/>
      <c r="G155" s="138"/>
      <c r="H155" s="139"/>
      <c r="I155" s="138"/>
      <c r="J155" s="138"/>
      <c r="K155" s="138"/>
      <c r="L155" s="138"/>
      <c r="M155" s="139"/>
      <c r="N155" s="138"/>
      <c r="O155" s="138"/>
      <c r="P155" s="138"/>
      <c r="Q155" s="139"/>
      <c r="R155" s="139"/>
      <c r="S155" s="212"/>
      <c r="T155" s="138"/>
    </row>
    <row r="156" spans="1:20" ht="12.75" customHeight="1" x14ac:dyDescent="0.3">
      <c r="A156" s="136"/>
      <c r="B156" s="212"/>
      <c r="C156" s="138"/>
      <c r="D156" s="138"/>
      <c r="E156" s="138"/>
      <c r="F156" s="138"/>
      <c r="G156" s="138"/>
      <c r="H156" s="139"/>
      <c r="I156" s="138"/>
      <c r="J156" s="138"/>
      <c r="K156" s="138"/>
      <c r="L156" s="138"/>
      <c r="M156" s="139"/>
      <c r="N156" s="138"/>
      <c r="O156" s="138"/>
      <c r="P156" s="138"/>
      <c r="Q156" s="139"/>
      <c r="R156" s="139"/>
      <c r="S156" s="212"/>
      <c r="T156" s="138"/>
    </row>
    <row r="157" spans="1:20" ht="12.75" customHeight="1" x14ac:dyDescent="0.3">
      <c r="A157" s="136"/>
      <c r="B157" s="212"/>
      <c r="C157" s="138"/>
      <c r="D157" s="138"/>
      <c r="E157" s="138"/>
      <c r="F157" s="138"/>
      <c r="G157" s="138"/>
      <c r="H157" s="139"/>
      <c r="I157" s="138"/>
      <c r="J157" s="138"/>
      <c r="K157" s="138"/>
      <c r="L157" s="138"/>
      <c r="M157" s="139"/>
      <c r="N157" s="138"/>
      <c r="O157" s="138"/>
      <c r="P157" s="138"/>
      <c r="Q157" s="139"/>
      <c r="R157" s="139"/>
      <c r="S157" s="212"/>
      <c r="T157" s="138"/>
    </row>
    <row r="158" spans="1:20" ht="12.75" customHeight="1" x14ac:dyDescent="0.3">
      <c r="A158" s="136"/>
      <c r="B158" s="212"/>
      <c r="C158" s="138"/>
      <c r="D158" s="138"/>
      <c r="E158" s="138"/>
      <c r="F158" s="138"/>
      <c r="G158" s="138"/>
      <c r="H158" s="139"/>
      <c r="I158" s="138"/>
      <c r="J158" s="138"/>
      <c r="K158" s="138"/>
      <c r="L158" s="138"/>
      <c r="M158" s="139"/>
      <c r="N158" s="138"/>
      <c r="O158" s="138"/>
      <c r="P158" s="138"/>
      <c r="Q158" s="139"/>
      <c r="R158" s="139"/>
      <c r="S158" s="212"/>
      <c r="T158" s="138"/>
    </row>
    <row r="159" spans="1:20" ht="12.75" customHeight="1" x14ac:dyDescent="0.3">
      <c r="A159" s="136"/>
      <c r="B159" s="212"/>
      <c r="C159" s="138"/>
      <c r="D159" s="138"/>
      <c r="E159" s="138"/>
      <c r="F159" s="138"/>
      <c r="G159" s="138"/>
      <c r="H159" s="139"/>
      <c r="I159" s="138"/>
      <c r="J159" s="138"/>
      <c r="K159" s="138"/>
      <c r="L159" s="138"/>
      <c r="M159" s="139"/>
      <c r="N159" s="138"/>
      <c r="O159" s="138"/>
      <c r="P159" s="138"/>
      <c r="Q159" s="139"/>
      <c r="R159" s="139"/>
      <c r="S159" s="212"/>
      <c r="T159" s="138"/>
    </row>
    <row r="160" spans="1:20" ht="12.75" customHeight="1" x14ac:dyDescent="0.3">
      <c r="A160" s="136"/>
      <c r="B160" s="212"/>
      <c r="C160" s="138"/>
      <c r="D160" s="138"/>
      <c r="E160" s="138"/>
      <c r="F160" s="138"/>
      <c r="G160" s="138"/>
      <c r="H160" s="139"/>
      <c r="I160" s="138"/>
      <c r="J160" s="138"/>
      <c r="K160" s="138"/>
      <c r="L160" s="138"/>
      <c r="M160" s="139"/>
      <c r="N160" s="138"/>
      <c r="O160" s="138"/>
      <c r="P160" s="138"/>
      <c r="Q160" s="139"/>
      <c r="R160" s="139"/>
      <c r="S160" s="212"/>
      <c r="T160" s="138"/>
    </row>
    <row r="161" spans="1:20" ht="12.75" customHeight="1" x14ac:dyDescent="0.3">
      <c r="A161" s="136"/>
      <c r="B161" s="212"/>
      <c r="C161" s="138"/>
      <c r="D161" s="138"/>
      <c r="E161" s="138"/>
      <c r="F161" s="138"/>
      <c r="G161" s="138"/>
      <c r="H161" s="139"/>
      <c r="I161" s="138"/>
      <c r="J161" s="138"/>
      <c r="K161" s="138"/>
      <c r="L161" s="138"/>
      <c r="M161" s="139"/>
      <c r="N161" s="138"/>
      <c r="O161" s="138"/>
      <c r="P161" s="138"/>
      <c r="Q161" s="139"/>
      <c r="R161" s="139"/>
      <c r="S161" s="212"/>
      <c r="T161" s="138"/>
    </row>
    <row r="162" spans="1:20" ht="12.75" customHeight="1" x14ac:dyDescent="0.3">
      <c r="A162" s="136"/>
      <c r="B162" s="212"/>
      <c r="C162" s="138"/>
      <c r="D162" s="138"/>
      <c r="E162" s="138"/>
      <c r="F162" s="138"/>
      <c r="G162" s="138"/>
      <c r="H162" s="139"/>
      <c r="I162" s="138"/>
      <c r="J162" s="138"/>
      <c r="K162" s="138"/>
      <c r="L162" s="138"/>
      <c r="M162" s="139"/>
      <c r="N162" s="138"/>
      <c r="O162" s="138"/>
      <c r="P162" s="138"/>
      <c r="Q162" s="139"/>
      <c r="R162" s="139"/>
      <c r="S162" s="212"/>
      <c r="T162" s="138"/>
    </row>
    <row r="163" spans="1:20" ht="12.75" customHeight="1" x14ac:dyDescent="0.3">
      <c r="A163" s="136"/>
      <c r="B163" s="212"/>
      <c r="C163" s="138"/>
      <c r="D163" s="138"/>
      <c r="E163" s="138"/>
      <c r="F163" s="138"/>
      <c r="G163" s="138"/>
      <c r="H163" s="139"/>
      <c r="I163" s="138"/>
      <c r="J163" s="138"/>
      <c r="K163" s="138"/>
      <c r="L163" s="138"/>
      <c r="M163" s="139"/>
      <c r="N163" s="138"/>
      <c r="O163" s="138"/>
      <c r="P163" s="138"/>
      <c r="Q163" s="139"/>
      <c r="R163" s="139"/>
      <c r="S163" s="212"/>
      <c r="T163" s="138"/>
    </row>
    <row r="164" spans="1:20" ht="12.75" customHeight="1" x14ac:dyDescent="0.3">
      <c r="A164" s="136"/>
      <c r="B164" s="212"/>
      <c r="C164" s="138"/>
      <c r="D164" s="138"/>
      <c r="E164" s="138"/>
      <c r="F164" s="138"/>
      <c r="G164" s="138"/>
      <c r="H164" s="139"/>
      <c r="I164" s="138"/>
      <c r="J164" s="138"/>
      <c r="K164" s="138"/>
      <c r="L164" s="138"/>
      <c r="M164" s="139"/>
      <c r="N164" s="138"/>
      <c r="O164" s="138"/>
      <c r="P164" s="138"/>
      <c r="Q164" s="139"/>
      <c r="R164" s="139"/>
      <c r="S164" s="212"/>
      <c r="T164" s="138"/>
    </row>
    <row r="165" spans="1:20" ht="12.75" customHeight="1" x14ac:dyDescent="0.3">
      <c r="A165" s="136"/>
      <c r="B165" s="212"/>
      <c r="C165" s="138"/>
      <c r="D165" s="138"/>
      <c r="E165" s="138"/>
      <c r="F165" s="138"/>
      <c r="G165" s="138"/>
      <c r="H165" s="139"/>
      <c r="I165" s="138"/>
      <c r="J165" s="138"/>
      <c r="K165" s="138"/>
      <c r="L165" s="138"/>
      <c r="M165" s="139"/>
      <c r="N165" s="138"/>
      <c r="O165" s="138"/>
      <c r="P165" s="138"/>
      <c r="Q165" s="139"/>
      <c r="R165" s="139"/>
      <c r="S165" s="212"/>
      <c r="T165" s="138"/>
    </row>
    <row r="166" spans="1:20" ht="12.75" customHeight="1" x14ac:dyDescent="0.3">
      <c r="A166" s="136"/>
      <c r="B166" s="212"/>
      <c r="C166" s="138"/>
      <c r="D166" s="138"/>
      <c r="E166" s="138"/>
      <c r="F166" s="138"/>
      <c r="G166" s="138"/>
      <c r="H166" s="139"/>
      <c r="I166" s="138"/>
      <c r="J166" s="138"/>
      <c r="K166" s="138"/>
      <c r="L166" s="138"/>
      <c r="M166" s="139"/>
      <c r="N166" s="138"/>
      <c r="O166" s="138"/>
      <c r="P166" s="138"/>
      <c r="Q166" s="139"/>
      <c r="R166" s="139"/>
      <c r="S166" s="212"/>
      <c r="T166" s="138"/>
    </row>
    <row r="167" spans="1:20" ht="12.75" customHeight="1" x14ac:dyDescent="0.3">
      <c r="A167" s="136"/>
      <c r="B167" s="212"/>
      <c r="C167" s="138"/>
      <c r="D167" s="138"/>
      <c r="E167" s="138"/>
      <c r="F167" s="138"/>
      <c r="G167" s="138"/>
      <c r="H167" s="139"/>
      <c r="I167" s="138"/>
      <c r="J167" s="138"/>
      <c r="K167" s="138"/>
      <c r="L167" s="138"/>
      <c r="M167" s="139"/>
      <c r="N167" s="138"/>
      <c r="O167" s="138"/>
      <c r="P167" s="138"/>
      <c r="Q167" s="139"/>
      <c r="R167" s="139"/>
      <c r="S167" s="212"/>
      <c r="T167" s="138"/>
    </row>
    <row r="168" spans="1:20" ht="12.75" customHeight="1" x14ac:dyDescent="0.3">
      <c r="A168" s="136"/>
      <c r="B168" s="212"/>
      <c r="C168" s="138"/>
      <c r="D168" s="138"/>
      <c r="E168" s="138"/>
      <c r="F168" s="138"/>
      <c r="G168" s="138"/>
      <c r="H168" s="139"/>
      <c r="I168" s="138"/>
      <c r="J168" s="138"/>
      <c r="K168" s="138"/>
      <c r="L168" s="138"/>
      <c r="M168" s="139"/>
      <c r="N168" s="138"/>
      <c r="O168" s="138"/>
      <c r="P168" s="138"/>
      <c r="Q168" s="139"/>
      <c r="R168" s="139"/>
      <c r="S168" s="212"/>
      <c r="T168" s="138"/>
    </row>
    <row r="169" spans="1:20" ht="12.75" customHeight="1" x14ac:dyDescent="0.3">
      <c r="A169" s="136"/>
      <c r="B169" s="212"/>
      <c r="C169" s="138"/>
      <c r="D169" s="138"/>
      <c r="E169" s="138"/>
      <c r="F169" s="138"/>
      <c r="G169" s="138"/>
      <c r="H169" s="139"/>
      <c r="I169" s="138"/>
      <c r="J169" s="138"/>
      <c r="K169" s="138"/>
      <c r="L169" s="138"/>
      <c r="M169" s="139"/>
      <c r="N169" s="138"/>
      <c r="O169" s="138"/>
      <c r="P169" s="138"/>
      <c r="Q169" s="139"/>
      <c r="R169" s="139"/>
      <c r="S169" s="212"/>
      <c r="T169" s="138"/>
    </row>
    <row r="170" spans="1:20" ht="12.75" customHeight="1" x14ac:dyDescent="0.3">
      <c r="A170" s="136"/>
      <c r="B170" s="212"/>
      <c r="C170" s="138"/>
      <c r="D170" s="138"/>
      <c r="E170" s="138"/>
      <c r="F170" s="138"/>
      <c r="G170" s="138"/>
      <c r="H170" s="139"/>
      <c r="I170" s="138"/>
      <c r="J170" s="138"/>
      <c r="K170" s="138"/>
      <c r="L170" s="138"/>
      <c r="M170" s="139"/>
      <c r="N170" s="138"/>
      <c r="O170" s="138"/>
      <c r="P170" s="138"/>
      <c r="Q170" s="139"/>
      <c r="R170" s="139"/>
      <c r="S170" s="212"/>
      <c r="T170" s="138"/>
    </row>
    <row r="171" spans="1:20" ht="12.75" customHeight="1" x14ac:dyDescent="0.3">
      <c r="A171" s="136"/>
      <c r="B171" s="212"/>
      <c r="C171" s="138"/>
      <c r="D171" s="138"/>
      <c r="E171" s="138"/>
      <c r="F171" s="138"/>
      <c r="G171" s="138"/>
      <c r="H171" s="139"/>
      <c r="I171" s="138"/>
      <c r="J171" s="138"/>
      <c r="K171" s="138"/>
      <c r="L171" s="138"/>
      <c r="M171" s="139"/>
      <c r="N171" s="138"/>
      <c r="O171" s="138"/>
      <c r="P171" s="138"/>
      <c r="Q171" s="139"/>
      <c r="R171" s="139"/>
      <c r="S171" s="212"/>
      <c r="T171" s="138"/>
    </row>
    <row r="172" spans="1:20" ht="12.75" customHeight="1" x14ac:dyDescent="0.3">
      <c r="A172" s="136"/>
      <c r="B172" s="212"/>
      <c r="C172" s="138"/>
      <c r="D172" s="138"/>
      <c r="E172" s="138"/>
      <c r="F172" s="138"/>
      <c r="G172" s="138"/>
      <c r="H172" s="139"/>
      <c r="I172" s="138"/>
      <c r="J172" s="138"/>
      <c r="K172" s="138"/>
      <c r="L172" s="138"/>
      <c r="M172" s="139"/>
      <c r="N172" s="138"/>
      <c r="O172" s="138"/>
      <c r="P172" s="138"/>
      <c r="Q172" s="139"/>
      <c r="R172" s="139"/>
      <c r="S172" s="212"/>
      <c r="T172" s="138"/>
    </row>
    <row r="173" spans="1:20" ht="12.75" customHeight="1" x14ac:dyDescent="0.3">
      <c r="A173" s="136"/>
      <c r="B173" s="212"/>
      <c r="C173" s="138"/>
      <c r="D173" s="138"/>
      <c r="E173" s="138"/>
      <c r="F173" s="138"/>
      <c r="G173" s="138"/>
      <c r="H173" s="139"/>
      <c r="I173" s="138"/>
      <c r="J173" s="138"/>
      <c r="K173" s="138"/>
      <c r="L173" s="138"/>
      <c r="M173" s="139"/>
      <c r="N173" s="138"/>
      <c r="O173" s="138"/>
      <c r="P173" s="138"/>
      <c r="Q173" s="139"/>
      <c r="R173" s="139"/>
      <c r="S173" s="212"/>
      <c r="T173" s="138"/>
    </row>
    <row r="174" spans="1:20" ht="12.75" customHeight="1" x14ac:dyDescent="0.3">
      <c r="A174" s="136"/>
      <c r="B174" s="212"/>
      <c r="C174" s="138"/>
      <c r="D174" s="138"/>
      <c r="E174" s="138"/>
      <c r="F174" s="138"/>
      <c r="G174" s="138"/>
      <c r="H174" s="139"/>
      <c r="I174" s="138"/>
      <c r="J174" s="138"/>
      <c r="K174" s="138"/>
      <c r="L174" s="138"/>
      <c r="M174" s="139"/>
      <c r="N174" s="138"/>
      <c r="O174" s="138"/>
      <c r="P174" s="138"/>
      <c r="Q174" s="139"/>
      <c r="R174" s="139"/>
      <c r="S174" s="212"/>
      <c r="T174" s="138"/>
    </row>
    <row r="175" spans="1:20" ht="12.75" customHeight="1" x14ac:dyDescent="0.3">
      <c r="A175" s="136"/>
      <c r="B175" s="212"/>
      <c r="C175" s="138"/>
      <c r="D175" s="138"/>
      <c r="E175" s="138"/>
      <c r="F175" s="138"/>
      <c r="G175" s="138"/>
      <c r="H175" s="139"/>
      <c r="I175" s="138"/>
      <c r="J175" s="138"/>
      <c r="K175" s="138"/>
      <c r="L175" s="138"/>
      <c r="M175" s="139"/>
      <c r="N175" s="138"/>
      <c r="O175" s="138"/>
      <c r="P175" s="138"/>
      <c r="Q175" s="139"/>
      <c r="R175" s="139"/>
      <c r="S175" s="212"/>
      <c r="T175" s="138"/>
    </row>
    <row r="176" spans="1:20" ht="12.75" customHeight="1" x14ac:dyDescent="0.3">
      <c r="A176" s="136"/>
      <c r="B176" s="212"/>
      <c r="C176" s="138"/>
      <c r="D176" s="138"/>
      <c r="E176" s="138"/>
      <c r="F176" s="138"/>
      <c r="G176" s="138"/>
      <c r="H176" s="139"/>
      <c r="I176" s="138"/>
      <c r="J176" s="138"/>
      <c r="K176" s="138"/>
      <c r="L176" s="138"/>
      <c r="M176" s="139"/>
      <c r="N176" s="138"/>
      <c r="O176" s="138"/>
      <c r="P176" s="138"/>
      <c r="Q176" s="139"/>
      <c r="R176" s="139"/>
      <c r="S176" s="212"/>
      <c r="T176" s="138"/>
    </row>
    <row r="177" spans="1:20" ht="12.75" customHeight="1" x14ac:dyDescent="0.3">
      <c r="A177" s="136"/>
      <c r="B177" s="212"/>
      <c r="C177" s="138"/>
      <c r="D177" s="138"/>
      <c r="E177" s="138"/>
      <c r="F177" s="138"/>
      <c r="G177" s="138"/>
      <c r="H177" s="139"/>
      <c r="I177" s="138"/>
      <c r="J177" s="138"/>
      <c r="K177" s="138"/>
      <c r="L177" s="138"/>
      <c r="M177" s="139"/>
      <c r="N177" s="138"/>
      <c r="O177" s="138"/>
      <c r="P177" s="138"/>
      <c r="Q177" s="139"/>
      <c r="R177" s="139"/>
      <c r="S177" s="212"/>
      <c r="T177" s="138"/>
    </row>
    <row r="178" spans="1:20" ht="12.75" customHeight="1" x14ac:dyDescent="0.3">
      <c r="A178" s="136"/>
      <c r="B178" s="212"/>
      <c r="C178" s="138"/>
      <c r="D178" s="138"/>
      <c r="E178" s="138"/>
      <c r="F178" s="138"/>
      <c r="G178" s="138"/>
      <c r="H178" s="139"/>
      <c r="I178" s="138"/>
      <c r="J178" s="138"/>
      <c r="K178" s="138"/>
      <c r="L178" s="138"/>
      <c r="M178" s="139"/>
      <c r="N178" s="138"/>
      <c r="O178" s="138"/>
      <c r="P178" s="138"/>
      <c r="Q178" s="139"/>
      <c r="R178" s="139"/>
      <c r="S178" s="212"/>
      <c r="T178" s="138"/>
    </row>
    <row r="179" spans="1:20" ht="12.75" customHeight="1" x14ac:dyDescent="0.3">
      <c r="A179" s="136"/>
      <c r="B179" s="212"/>
      <c r="C179" s="138"/>
      <c r="D179" s="138"/>
      <c r="E179" s="138"/>
      <c r="F179" s="138"/>
      <c r="G179" s="138"/>
      <c r="H179" s="139"/>
      <c r="I179" s="138"/>
      <c r="J179" s="138"/>
      <c r="K179" s="138"/>
      <c r="L179" s="138"/>
      <c r="M179" s="139"/>
      <c r="N179" s="138"/>
      <c r="O179" s="138"/>
      <c r="P179" s="138"/>
      <c r="Q179" s="139"/>
      <c r="R179" s="139"/>
      <c r="S179" s="212"/>
      <c r="T179" s="138"/>
    </row>
    <row r="180" spans="1:20" ht="12.75" customHeight="1" x14ac:dyDescent="0.3">
      <c r="A180" s="136"/>
      <c r="B180" s="212"/>
      <c r="C180" s="138"/>
      <c r="D180" s="138"/>
      <c r="E180" s="138"/>
      <c r="F180" s="138"/>
      <c r="G180" s="138"/>
      <c r="H180" s="139"/>
      <c r="I180" s="138"/>
      <c r="J180" s="138"/>
      <c r="K180" s="138"/>
      <c r="L180" s="138"/>
      <c r="M180" s="139"/>
      <c r="N180" s="138"/>
      <c r="O180" s="138"/>
      <c r="P180" s="138"/>
      <c r="Q180" s="139"/>
      <c r="R180" s="139"/>
      <c r="S180" s="212"/>
      <c r="T180" s="138"/>
    </row>
    <row r="181" spans="1:20" ht="12.75" customHeight="1" x14ac:dyDescent="0.3">
      <c r="A181" s="136"/>
      <c r="B181" s="212"/>
      <c r="C181" s="138"/>
      <c r="D181" s="138"/>
      <c r="E181" s="138"/>
      <c r="F181" s="138"/>
      <c r="G181" s="138"/>
      <c r="H181" s="139"/>
      <c r="I181" s="138"/>
      <c r="J181" s="138"/>
      <c r="K181" s="138"/>
      <c r="L181" s="138"/>
      <c r="M181" s="139"/>
      <c r="N181" s="138"/>
      <c r="O181" s="138"/>
      <c r="P181" s="138"/>
      <c r="Q181" s="139"/>
      <c r="R181" s="139"/>
      <c r="S181" s="212"/>
      <c r="T181" s="138"/>
    </row>
    <row r="182" spans="1:20" ht="12.75" customHeight="1" x14ac:dyDescent="0.3">
      <c r="A182" s="136"/>
      <c r="B182" s="212"/>
      <c r="C182" s="138"/>
      <c r="D182" s="138"/>
      <c r="E182" s="138"/>
      <c r="F182" s="138"/>
      <c r="G182" s="138"/>
      <c r="H182" s="139"/>
      <c r="I182" s="138"/>
      <c r="J182" s="138"/>
      <c r="K182" s="138"/>
      <c r="L182" s="138"/>
      <c r="M182" s="139"/>
      <c r="N182" s="138"/>
      <c r="O182" s="138"/>
      <c r="P182" s="138"/>
      <c r="Q182" s="139"/>
      <c r="R182" s="139"/>
      <c r="S182" s="212"/>
      <c r="T182" s="138"/>
    </row>
    <row r="183" spans="1:20" ht="12.75" customHeight="1" x14ac:dyDescent="0.3">
      <c r="A183" s="136"/>
      <c r="B183" s="212"/>
      <c r="C183" s="138"/>
      <c r="D183" s="138"/>
      <c r="E183" s="138"/>
      <c r="F183" s="138"/>
      <c r="G183" s="138"/>
      <c r="H183" s="139"/>
      <c r="I183" s="138"/>
      <c r="J183" s="138"/>
      <c r="K183" s="138"/>
      <c r="L183" s="138"/>
      <c r="M183" s="139"/>
      <c r="N183" s="138"/>
      <c r="O183" s="138"/>
      <c r="P183" s="138"/>
      <c r="Q183" s="139"/>
      <c r="R183" s="139"/>
      <c r="S183" s="212"/>
      <c r="T183" s="138"/>
    </row>
    <row r="184" spans="1:20" ht="12.75" customHeight="1" x14ac:dyDescent="0.3">
      <c r="A184" s="136"/>
      <c r="B184" s="212"/>
      <c r="C184" s="138"/>
      <c r="D184" s="138"/>
      <c r="E184" s="138"/>
      <c r="F184" s="138"/>
      <c r="G184" s="138"/>
      <c r="H184" s="139"/>
      <c r="I184" s="138"/>
      <c r="J184" s="138"/>
      <c r="K184" s="138"/>
      <c r="L184" s="138"/>
      <c r="M184" s="139"/>
      <c r="N184" s="138"/>
      <c r="O184" s="138"/>
      <c r="P184" s="138"/>
      <c r="Q184" s="139"/>
      <c r="R184" s="139"/>
      <c r="S184" s="212"/>
      <c r="T184" s="138"/>
    </row>
    <row r="185" spans="1:20" ht="12.75" customHeight="1" x14ac:dyDescent="0.3">
      <c r="A185" s="136"/>
      <c r="B185" s="212"/>
      <c r="C185" s="138"/>
      <c r="D185" s="138"/>
      <c r="E185" s="138"/>
      <c r="F185" s="138"/>
      <c r="G185" s="138"/>
      <c r="H185" s="139"/>
      <c r="I185" s="138"/>
      <c r="J185" s="138"/>
      <c r="K185" s="138"/>
      <c r="L185" s="138"/>
      <c r="M185" s="139"/>
      <c r="N185" s="138"/>
      <c r="O185" s="138"/>
      <c r="P185" s="138"/>
      <c r="Q185" s="139"/>
      <c r="R185" s="139"/>
      <c r="S185" s="212"/>
      <c r="T185" s="138"/>
    </row>
    <row r="186" spans="1:20" ht="12.75" customHeight="1" x14ac:dyDescent="0.3">
      <c r="A186" s="136"/>
      <c r="B186" s="212"/>
      <c r="C186" s="138"/>
      <c r="D186" s="138"/>
      <c r="E186" s="138"/>
      <c r="F186" s="138"/>
      <c r="G186" s="138"/>
      <c r="H186" s="139"/>
      <c r="I186" s="138"/>
      <c r="J186" s="138"/>
      <c r="K186" s="138"/>
      <c r="L186" s="138"/>
      <c r="M186" s="139"/>
      <c r="N186" s="138"/>
      <c r="O186" s="138"/>
      <c r="P186" s="138"/>
      <c r="Q186" s="139"/>
      <c r="R186" s="139"/>
      <c r="S186" s="212"/>
      <c r="T186" s="138"/>
    </row>
    <row r="187" spans="1:20" ht="12.75" customHeight="1" x14ac:dyDescent="0.3">
      <c r="A187" s="136"/>
      <c r="B187" s="212"/>
      <c r="C187" s="138"/>
      <c r="D187" s="138"/>
      <c r="E187" s="138"/>
      <c r="F187" s="138"/>
      <c r="G187" s="138"/>
      <c r="H187" s="139"/>
      <c r="I187" s="138"/>
      <c r="J187" s="138"/>
      <c r="K187" s="138"/>
      <c r="L187" s="138"/>
      <c r="M187" s="139"/>
      <c r="N187" s="138"/>
      <c r="O187" s="138"/>
      <c r="P187" s="138"/>
      <c r="Q187" s="139"/>
      <c r="R187" s="139"/>
      <c r="S187" s="212"/>
      <c r="T187" s="138"/>
    </row>
    <row r="188" spans="1:20" ht="12.75" customHeight="1" x14ac:dyDescent="0.3">
      <c r="A188" s="136"/>
      <c r="B188" s="212"/>
      <c r="C188" s="138"/>
      <c r="D188" s="138"/>
      <c r="E188" s="138"/>
      <c r="F188" s="138"/>
      <c r="G188" s="138"/>
      <c r="H188" s="139"/>
      <c r="I188" s="138"/>
      <c r="J188" s="138"/>
      <c r="K188" s="138"/>
      <c r="L188" s="138"/>
      <c r="M188" s="139"/>
      <c r="N188" s="138"/>
      <c r="O188" s="138"/>
      <c r="P188" s="138"/>
      <c r="Q188" s="139"/>
      <c r="R188" s="139"/>
      <c r="S188" s="212"/>
      <c r="T188" s="138"/>
    </row>
    <row r="189" spans="1:20" ht="12.75" customHeight="1" x14ac:dyDescent="0.3">
      <c r="A189" s="136"/>
      <c r="B189" s="212"/>
      <c r="C189" s="138"/>
      <c r="D189" s="138"/>
      <c r="E189" s="138"/>
      <c r="F189" s="138"/>
      <c r="G189" s="138"/>
      <c r="H189" s="139"/>
      <c r="I189" s="138"/>
      <c r="J189" s="138"/>
      <c r="K189" s="138"/>
      <c r="L189" s="138"/>
      <c r="M189" s="139"/>
      <c r="N189" s="138"/>
      <c r="O189" s="138"/>
      <c r="P189" s="138"/>
      <c r="Q189" s="139"/>
      <c r="R189" s="139"/>
      <c r="S189" s="212"/>
      <c r="T189" s="138"/>
    </row>
    <row r="190" spans="1:20" ht="12.75" customHeight="1" x14ac:dyDescent="0.3">
      <c r="A190" s="136"/>
      <c r="B190" s="212"/>
      <c r="C190" s="138"/>
      <c r="D190" s="138"/>
      <c r="E190" s="138"/>
      <c r="F190" s="138"/>
      <c r="G190" s="138"/>
      <c r="H190" s="139"/>
      <c r="I190" s="138"/>
      <c r="J190" s="138"/>
      <c r="K190" s="138"/>
      <c r="L190" s="138"/>
      <c r="M190" s="139"/>
      <c r="N190" s="138"/>
      <c r="O190" s="138"/>
      <c r="P190" s="138"/>
      <c r="Q190" s="139"/>
      <c r="R190" s="139"/>
      <c r="S190" s="212"/>
      <c r="T190" s="138"/>
    </row>
    <row r="191" spans="1:20" ht="12.75" customHeight="1" x14ac:dyDescent="0.3">
      <c r="A191" s="136"/>
      <c r="B191" s="212"/>
      <c r="C191" s="138"/>
      <c r="D191" s="138"/>
      <c r="E191" s="138"/>
      <c r="F191" s="138"/>
      <c r="G191" s="138"/>
      <c r="H191" s="139"/>
      <c r="I191" s="138"/>
      <c r="J191" s="138"/>
      <c r="K191" s="138"/>
      <c r="L191" s="138"/>
      <c r="M191" s="139"/>
      <c r="N191" s="138"/>
      <c r="O191" s="138"/>
      <c r="P191" s="138"/>
      <c r="Q191" s="139"/>
      <c r="R191" s="139"/>
      <c r="S191" s="212"/>
      <c r="T191" s="138"/>
    </row>
    <row r="192" spans="1:20" ht="12.75" customHeight="1" x14ac:dyDescent="0.3">
      <c r="A192" s="136"/>
      <c r="B192" s="212"/>
      <c r="C192" s="138"/>
      <c r="D192" s="138"/>
      <c r="E192" s="138"/>
      <c r="F192" s="138"/>
      <c r="G192" s="138"/>
      <c r="H192" s="139"/>
      <c r="I192" s="138"/>
      <c r="J192" s="138"/>
      <c r="K192" s="138"/>
      <c r="L192" s="138"/>
      <c r="M192" s="139"/>
      <c r="N192" s="138"/>
      <c r="O192" s="138"/>
      <c r="P192" s="138"/>
      <c r="Q192" s="139"/>
      <c r="R192" s="139"/>
      <c r="S192" s="212"/>
      <c r="T192" s="138"/>
    </row>
    <row r="193" spans="1:20" ht="12.75" customHeight="1" x14ac:dyDescent="0.3">
      <c r="A193" s="136"/>
      <c r="B193" s="212"/>
      <c r="C193" s="138"/>
      <c r="D193" s="138"/>
      <c r="E193" s="138"/>
      <c r="F193" s="138"/>
      <c r="G193" s="138"/>
      <c r="H193" s="139"/>
      <c r="I193" s="138"/>
      <c r="J193" s="138"/>
      <c r="K193" s="138"/>
      <c r="L193" s="138"/>
      <c r="M193" s="139"/>
      <c r="N193" s="138"/>
      <c r="O193" s="138"/>
      <c r="P193" s="138"/>
      <c r="Q193" s="139"/>
      <c r="R193" s="139"/>
      <c r="S193" s="212"/>
      <c r="T193" s="138"/>
    </row>
    <row r="194" spans="1:20" ht="12.75" customHeight="1" x14ac:dyDescent="0.3">
      <c r="A194" s="136"/>
      <c r="B194" s="212"/>
      <c r="C194" s="138"/>
      <c r="D194" s="138"/>
      <c r="E194" s="138"/>
      <c r="F194" s="138"/>
      <c r="G194" s="138"/>
      <c r="H194" s="139"/>
      <c r="I194" s="138"/>
      <c r="J194" s="138"/>
      <c r="K194" s="138"/>
      <c r="L194" s="138"/>
      <c r="M194" s="139"/>
      <c r="N194" s="138"/>
      <c r="O194" s="138"/>
      <c r="P194" s="138"/>
      <c r="Q194" s="139"/>
      <c r="R194" s="139"/>
      <c r="S194" s="212"/>
      <c r="T194" s="138"/>
    </row>
    <row r="195" spans="1:20" ht="12.75" customHeight="1" x14ac:dyDescent="0.3">
      <c r="A195" s="136"/>
      <c r="B195" s="212"/>
      <c r="C195" s="138"/>
      <c r="D195" s="138"/>
      <c r="E195" s="138"/>
      <c r="F195" s="138"/>
      <c r="G195" s="138"/>
      <c r="H195" s="139"/>
      <c r="I195" s="138"/>
      <c r="J195" s="138"/>
      <c r="K195" s="138"/>
      <c r="L195" s="138"/>
      <c r="M195" s="139"/>
      <c r="N195" s="138"/>
      <c r="O195" s="138"/>
      <c r="P195" s="138"/>
      <c r="Q195" s="139"/>
      <c r="R195" s="139"/>
      <c r="S195" s="212"/>
      <c r="T195" s="138"/>
    </row>
    <row r="196" spans="1:20" ht="12.75" customHeight="1" x14ac:dyDescent="0.3">
      <c r="A196" s="136"/>
      <c r="B196" s="212"/>
      <c r="C196" s="138"/>
      <c r="D196" s="138"/>
      <c r="E196" s="138"/>
      <c r="F196" s="138"/>
      <c r="G196" s="138"/>
      <c r="H196" s="139"/>
      <c r="I196" s="138"/>
      <c r="J196" s="138"/>
      <c r="K196" s="138"/>
      <c r="L196" s="138"/>
      <c r="M196" s="139"/>
      <c r="N196" s="138"/>
      <c r="O196" s="138"/>
      <c r="P196" s="138"/>
      <c r="Q196" s="139"/>
      <c r="R196" s="139"/>
      <c r="S196" s="212"/>
      <c r="T196" s="138"/>
    </row>
    <row r="197" spans="1:20" ht="12.75" customHeight="1" x14ac:dyDescent="0.3">
      <c r="A197" s="136"/>
      <c r="B197" s="212"/>
      <c r="C197" s="138"/>
      <c r="D197" s="138"/>
      <c r="E197" s="138"/>
      <c r="F197" s="138"/>
      <c r="G197" s="138"/>
      <c r="H197" s="139"/>
      <c r="I197" s="138"/>
      <c r="J197" s="138"/>
      <c r="K197" s="138"/>
      <c r="L197" s="138"/>
      <c r="M197" s="139"/>
      <c r="N197" s="138"/>
      <c r="O197" s="138"/>
      <c r="P197" s="138"/>
      <c r="Q197" s="139"/>
      <c r="R197" s="139"/>
      <c r="S197" s="212"/>
      <c r="T197" s="138"/>
    </row>
    <row r="198" spans="1:20" ht="12.75" customHeight="1" x14ac:dyDescent="0.3">
      <c r="A198" s="136"/>
      <c r="B198" s="212"/>
      <c r="C198" s="138"/>
      <c r="D198" s="138"/>
      <c r="E198" s="138"/>
      <c r="F198" s="138"/>
      <c r="G198" s="138"/>
      <c r="H198" s="139"/>
      <c r="I198" s="138"/>
      <c r="J198" s="138"/>
      <c r="K198" s="138"/>
      <c r="L198" s="138"/>
      <c r="M198" s="139"/>
      <c r="N198" s="138"/>
      <c r="O198" s="138"/>
      <c r="P198" s="138"/>
      <c r="Q198" s="139"/>
      <c r="R198" s="139"/>
      <c r="S198" s="212"/>
      <c r="T198" s="138"/>
    </row>
    <row r="199" spans="1:20" ht="12.75" customHeight="1" x14ac:dyDescent="0.3">
      <c r="A199" s="136"/>
      <c r="B199" s="212"/>
      <c r="C199" s="138"/>
      <c r="D199" s="138"/>
      <c r="E199" s="138"/>
      <c r="F199" s="138"/>
      <c r="G199" s="138"/>
      <c r="H199" s="139"/>
      <c r="I199" s="138"/>
      <c r="J199" s="138"/>
      <c r="K199" s="138"/>
      <c r="L199" s="138"/>
      <c r="M199" s="139"/>
      <c r="N199" s="138"/>
      <c r="O199" s="138"/>
      <c r="P199" s="138"/>
      <c r="Q199" s="139"/>
      <c r="R199" s="139"/>
      <c r="S199" s="212"/>
      <c r="T199" s="138"/>
    </row>
    <row r="200" spans="1:20" ht="12.75" customHeight="1" x14ac:dyDescent="0.3">
      <c r="A200" s="136"/>
      <c r="B200" s="212"/>
      <c r="C200" s="138"/>
      <c r="D200" s="138"/>
      <c r="E200" s="138"/>
      <c r="F200" s="138"/>
      <c r="G200" s="138"/>
      <c r="H200" s="139"/>
      <c r="I200" s="138"/>
      <c r="J200" s="138"/>
      <c r="K200" s="138"/>
      <c r="L200" s="138"/>
      <c r="M200" s="139"/>
      <c r="N200" s="138"/>
      <c r="O200" s="138"/>
      <c r="P200" s="138"/>
      <c r="Q200" s="139"/>
      <c r="R200" s="139"/>
      <c r="S200" s="212"/>
      <c r="T200" s="138"/>
    </row>
    <row r="201" spans="1:20" ht="12.75" customHeight="1" x14ac:dyDescent="0.3">
      <c r="A201" s="136"/>
      <c r="B201" s="212"/>
      <c r="C201" s="138"/>
      <c r="D201" s="138"/>
      <c r="E201" s="138"/>
      <c r="F201" s="138"/>
      <c r="G201" s="138"/>
      <c r="H201" s="139"/>
      <c r="I201" s="138"/>
      <c r="J201" s="138"/>
      <c r="K201" s="138"/>
      <c r="L201" s="138"/>
      <c r="M201" s="139"/>
      <c r="N201" s="138"/>
      <c r="O201" s="138"/>
      <c r="P201" s="138"/>
      <c r="Q201" s="139"/>
      <c r="R201" s="139"/>
      <c r="S201" s="212"/>
      <c r="T201" s="138"/>
    </row>
    <row r="202" spans="1:20" ht="14.25" customHeight="1" x14ac:dyDescent="0.3">
      <c r="A202" s="136"/>
      <c r="B202" s="212"/>
      <c r="C202" s="138"/>
      <c r="D202" s="138"/>
      <c r="E202" s="138"/>
      <c r="F202" s="138"/>
      <c r="G202" s="138"/>
      <c r="H202" s="139"/>
      <c r="I202" s="138"/>
      <c r="J202" s="138"/>
      <c r="K202" s="138"/>
      <c r="L202" s="138"/>
      <c r="M202" s="139"/>
      <c r="N202" s="138"/>
      <c r="O202" s="138"/>
      <c r="P202" s="138"/>
      <c r="Q202" s="139"/>
      <c r="R202" s="139"/>
      <c r="S202" s="212"/>
      <c r="T202" s="138"/>
    </row>
    <row r="203" spans="1:20" ht="14.25" customHeight="1" x14ac:dyDescent="0.3">
      <c r="A203" s="136"/>
      <c r="B203" s="212"/>
      <c r="C203" s="138"/>
      <c r="D203" s="138"/>
      <c r="E203" s="138"/>
      <c r="F203" s="138"/>
      <c r="G203" s="138"/>
      <c r="H203" s="139"/>
      <c r="I203" s="138"/>
      <c r="J203" s="138"/>
      <c r="K203" s="138"/>
      <c r="L203" s="138"/>
      <c r="M203" s="139"/>
      <c r="N203" s="138"/>
      <c r="O203" s="138"/>
      <c r="P203" s="138"/>
      <c r="Q203" s="139"/>
      <c r="R203" s="139"/>
      <c r="S203" s="212"/>
      <c r="T203" s="138"/>
    </row>
    <row r="204" spans="1:20" ht="14.25" customHeight="1" x14ac:dyDescent="0.3">
      <c r="A204" s="136"/>
      <c r="B204" s="212"/>
      <c r="C204" s="138"/>
      <c r="D204" s="138"/>
      <c r="E204" s="138"/>
      <c r="F204" s="138"/>
      <c r="G204" s="138"/>
      <c r="H204" s="139"/>
      <c r="I204" s="138"/>
      <c r="J204" s="138"/>
      <c r="K204" s="138"/>
      <c r="L204" s="138"/>
      <c r="M204" s="139"/>
      <c r="N204" s="138"/>
      <c r="O204" s="138"/>
      <c r="P204" s="138"/>
      <c r="Q204" s="139"/>
      <c r="R204" s="139"/>
      <c r="S204" s="212"/>
      <c r="T204" s="138"/>
    </row>
    <row r="205" spans="1:20" ht="14.25" customHeight="1" x14ac:dyDescent="0.3">
      <c r="A205" s="136"/>
      <c r="B205" s="212"/>
      <c r="C205" s="138"/>
      <c r="D205" s="138"/>
      <c r="E205" s="138"/>
      <c r="F205" s="138"/>
      <c r="G205" s="138"/>
      <c r="H205" s="139"/>
      <c r="I205" s="138"/>
      <c r="J205" s="138"/>
      <c r="K205" s="138"/>
      <c r="L205" s="138"/>
      <c r="M205" s="139"/>
      <c r="N205" s="138"/>
      <c r="O205" s="138"/>
      <c r="P205" s="138"/>
      <c r="Q205" s="139"/>
      <c r="R205" s="139"/>
      <c r="S205" s="212"/>
      <c r="T205" s="138"/>
    </row>
    <row r="206" spans="1:20" ht="14.25" customHeight="1" x14ac:dyDescent="0.3">
      <c r="A206" s="136"/>
      <c r="B206" s="212"/>
      <c r="C206" s="138"/>
      <c r="D206" s="138"/>
      <c r="E206" s="138"/>
      <c r="F206" s="138"/>
      <c r="G206" s="138"/>
      <c r="H206" s="139"/>
      <c r="I206" s="138"/>
      <c r="J206" s="138"/>
      <c r="K206" s="138"/>
      <c r="L206" s="138"/>
      <c r="M206" s="139"/>
      <c r="N206" s="138"/>
      <c r="O206" s="138"/>
      <c r="P206" s="138"/>
      <c r="Q206" s="139"/>
      <c r="R206" s="139"/>
      <c r="S206" s="212"/>
      <c r="T206" s="138"/>
    </row>
    <row r="207" spans="1:20" ht="14.25" customHeight="1" x14ac:dyDescent="0.3">
      <c r="A207" s="136"/>
      <c r="B207" s="212"/>
      <c r="C207" s="138"/>
      <c r="D207" s="138"/>
      <c r="E207" s="138"/>
      <c r="F207" s="138"/>
      <c r="G207" s="138"/>
      <c r="H207" s="139"/>
      <c r="I207" s="138"/>
      <c r="J207" s="138"/>
      <c r="K207" s="138"/>
      <c r="L207" s="138"/>
      <c r="M207" s="139"/>
      <c r="N207" s="138"/>
      <c r="O207" s="138"/>
      <c r="P207" s="138"/>
      <c r="Q207" s="139"/>
      <c r="R207" s="139"/>
      <c r="S207" s="212"/>
      <c r="T207" s="138"/>
    </row>
    <row r="208" spans="1:20" ht="14.25" customHeight="1" x14ac:dyDescent="0.3">
      <c r="A208" s="136"/>
      <c r="B208" s="212"/>
      <c r="C208" s="138"/>
      <c r="D208" s="138"/>
      <c r="E208" s="138"/>
      <c r="F208" s="138"/>
      <c r="G208" s="138"/>
      <c r="H208" s="139"/>
      <c r="I208" s="138"/>
      <c r="J208" s="138"/>
      <c r="K208" s="138"/>
      <c r="L208" s="138"/>
      <c r="M208" s="139"/>
      <c r="N208" s="138"/>
      <c r="O208" s="138"/>
      <c r="P208" s="138"/>
      <c r="Q208" s="139"/>
      <c r="R208" s="139"/>
      <c r="S208" s="212"/>
      <c r="T208" s="138"/>
    </row>
    <row r="209" spans="1:20" ht="14.25" customHeight="1" x14ac:dyDescent="0.3">
      <c r="A209" s="136"/>
      <c r="B209" s="212"/>
      <c r="C209" s="138"/>
      <c r="D209" s="138"/>
      <c r="E209" s="138"/>
      <c r="F209" s="138"/>
      <c r="G209" s="138"/>
      <c r="H209" s="139"/>
      <c r="I209" s="138"/>
      <c r="J209" s="138"/>
      <c r="K209" s="138"/>
      <c r="L209" s="138"/>
      <c r="M209" s="139"/>
      <c r="N209" s="138"/>
      <c r="O209" s="138"/>
      <c r="P209" s="138"/>
      <c r="Q209" s="139"/>
      <c r="R209" s="139"/>
      <c r="S209" s="212"/>
      <c r="T209" s="138"/>
    </row>
    <row r="210" spans="1:20" ht="14.25" customHeight="1" x14ac:dyDescent="0.3">
      <c r="A210" s="136"/>
      <c r="B210" s="212"/>
      <c r="C210" s="138"/>
      <c r="D210" s="138"/>
      <c r="E210" s="138"/>
      <c r="F210" s="138"/>
      <c r="G210" s="138"/>
      <c r="H210" s="139"/>
      <c r="I210" s="138"/>
      <c r="J210" s="138"/>
      <c r="K210" s="138"/>
      <c r="L210" s="138"/>
      <c r="M210" s="139"/>
      <c r="N210" s="138"/>
      <c r="O210" s="138"/>
      <c r="P210" s="138"/>
      <c r="Q210" s="139"/>
      <c r="R210" s="139"/>
      <c r="S210" s="212"/>
      <c r="T210" s="138"/>
    </row>
    <row r="211" spans="1:20" ht="14.25" customHeight="1" x14ac:dyDescent="0.3">
      <c r="A211" s="136"/>
      <c r="B211" s="212"/>
      <c r="C211" s="138"/>
      <c r="D211" s="138"/>
      <c r="E211" s="138"/>
      <c r="F211" s="138"/>
      <c r="G211" s="138"/>
      <c r="H211" s="139"/>
      <c r="I211" s="138"/>
      <c r="J211" s="138"/>
      <c r="K211" s="138"/>
      <c r="L211" s="138"/>
      <c r="M211" s="139"/>
      <c r="N211" s="138"/>
      <c r="O211" s="138"/>
      <c r="P211" s="138"/>
      <c r="Q211" s="139"/>
      <c r="R211" s="139"/>
      <c r="S211" s="212"/>
      <c r="T211" s="138"/>
    </row>
    <row r="212" spans="1:20" ht="14.25" customHeight="1" x14ac:dyDescent="0.3">
      <c r="A212" s="136"/>
      <c r="B212" s="212"/>
      <c r="C212" s="138"/>
      <c r="D212" s="138"/>
      <c r="E212" s="138"/>
      <c r="F212" s="138"/>
      <c r="G212" s="138"/>
      <c r="H212" s="139"/>
      <c r="I212" s="138"/>
      <c r="J212" s="138"/>
      <c r="K212" s="138"/>
      <c r="L212" s="138"/>
      <c r="M212" s="139"/>
      <c r="N212" s="138"/>
      <c r="O212" s="138"/>
      <c r="P212" s="138"/>
      <c r="Q212" s="139"/>
      <c r="R212" s="139"/>
      <c r="S212" s="212"/>
      <c r="T212" s="138"/>
    </row>
    <row r="213" spans="1:20" ht="14.25" customHeight="1" x14ac:dyDescent="0.3">
      <c r="A213" s="136"/>
      <c r="B213" s="212"/>
      <c r="C213" s="138"/>
      <c r="D213" s="138"/>
      <c r="E213" s="138"/>
      <c r="F213" s="138"/>
      <c r="G213" s="138"/>
      <c r="H213" s="139"/>
      <c r="I213" s="138"/>
      <c r="J213" s="138"/>
      <c r="K213" s="138"/>
      <c r="L213" s="138"/>
      <c r="M213" s="139"/>
      <c r="N213" s="138"/>
      <c r="O213" s="138"/>
      <c r="P213" s="138"/>
      <c r="Q213" s="139"/>
      <c r="R213" s="139"/>
      <c r="S213" s="212"/>
      <c r="T213" s="138"/>
    </row>
    <row r="214" spans="1:20" ht="14.25" customHeight="1" x14ac:dyDescent="0.3">
      <c r="A214" s="136"/>
      <c r="B214" s="212"/>
      <c r="C214" s="138"/>
      <c r="D214" s="138"/>
      <c r="E214" s="138"/>
      <c r="F214" s="138"/>
      <c r="G214" s="138"/>
      <c r="H214" s="139"/>
      <c r="I214" s="138"/>
      <c r="J214" s="138"/>
      <c r="K214" s="138"/>
      <c r="L214" s="138"/>
      <c r="M214" s="139"/>
      <c r="N214" s="138"/>
      <c r="O214" s="138"/>
      <c r="P214" s="138"/>
      <c r="Q214" s="139"/>
      <c r="R214" s="139"/>
      <c r="S214" s="212"/>
      <c r="T214" s="138"/>
    </row>
    <row r="215" spans="1:20" ht="14.25" customHeight="1" x14ac:dyDescent="0.3">
      <c r="A215" s="136"/>
      <c r="B215" s="212"/>
      <c r="C215" s="138"/>
      <c r="D215" s="138"/>
      <c r="E215" s="138"/>
      <c r="F215" s="138"/>
      <c r="G215" s="138"/>
      <c r="H215" s="139"/>
      <c r="I215" s="138"/>
      <c r="J215" s="138"/>
      <c r="K215" s="138"/>
      <c r="L215" s="138"/>
      <c r="M215" s="139"/>
      <c r="N215" s="138"/>
      <c r="O215" s="138"/>
      <c r="P215" s="138"/>
      <c r="Q215" s="139"/>
      <c r="R215" s="139"/>
      <c r="S215" s="212"/>
      <c r="T215" s="138"/>
    </row>
    <row r="216" spans="1:20" ht="14.25" customHeight="1" x14ac:dyDescent="0.3">
      <c r="A216" s="136"/>
      <c r="B216" s="212"/>
      <c r="C216" s="138"/>
      <c r="D216" s="138"/>
      <c r="E216" s="138"/>
      <c r="F216" s="138"/>
      <c r="G216" s="138"/>
      <c r="H216" s="139"/>
      <c r="I216" s="138"/>
      <c r="J216" s="138"/>
      <c r="K216" s="138"/>
      <c r="L216" s="138"/>
      <c r="M216" s="139"/>
      <c r="N216" s="138"/>
      <c r="O216" s="138"/>
      <c r="P216" s="138"/>
      <c r="Q216" s="139"/>
      <c r="R216" s="139"/>
      <c r="S216" s="212"/>
      <c r="T216" s="138"/>
    </row>
    <row r="217" spans="1:20" ht="14.25" customHeight="1" x14ac:dyDescent="0.3">
      <c r="A217" s="136"/>
      <c r="B217" s="212"/>
      <c r="C217" s="138"/>
      <c r="D217" s="138"/>
      <c r="E217" s="138"/>
      <c r="F217" s="138"/>
      <c r="G217" s="138"/>
      <c r="H217" s="139"/>
      <c r="I217" s="138"/>
      <c r="J217" s="138"/>
      <c r="K217" s="138"/>
      <c r="L217" s="138"/>
      <c r="M217" s="139"/>
      <c r="N217" s="138"/>
      <c r="O217" s="138"/>
      <c r="P217" s="138"/>
      <c r="Q217" s="139"/>
      <c r="R217" s="139"/>
      <c r="S217" s="212"/>
      <c r="T217" s="138"/>
    </row>
    <row r="218" spans="1:20" ht="14.25" customHeight="1" x14ac:dyDescent="0.3">
      <c r="A218" s="136"/>
      <c r="B218" s="212"/>
      <c r="C218" s="138"/>
      <c r="D218" s="138"/>
      <c r="E218" s="138"/>
      <c r="F218" s="138"/>
      <c r="G218" s="138"/>
      <c r="H218" s="139"/>
      <c r="I218" s="138"/>
      <c r="J218" s="138"/>
      <c r="K218" s="138"/>
      <c r="L218" s="138"/>
      <c r="M218" s="139"/>
      <c r="N218" s="138"/>
      <c r="O218" s="138"/>
      <c r="P218" s="138"/>
      <c r="Q218" s="139"/>
      <c r="R218" s="139"/>
      <c r="S218" s="212"/>
      <c r="T218" s="138"/>
    </row>
    <row r="219" spans="1:20" ht="14.25" customHeight="1" x14ac:dyDescent="0.3">
      <c r="A219" s="136"/>
      <c r="B219" s="212"/>
      <c r="C219" s="138"/>
      <c r="D219" s="138"/>
      <c r="E219" s="138"/>
      <c r="F219" s="138"/>
      <c r="G219" s="138"/>
      <c r="H219" s="139"/>
      <c r="I219" s="138"/>
      <c r="J219" s="138"/>
      <c r="K219" s="138"/>
      <c r="L219" s="138"/>
      <c r="M219" s="139"/>
      <c r="N219" s="138"/>
      <c r="O219" s="138"/>
      <c r="P219" s="138"/>
      <c r="Q219" s="139"/>
      <c r="R219" s="139"/>
      <c r="S219" s="212"/>
      <c r="T219" s="138"/>
    </row>
    <row r="220" spans="1:20" ht="14.25" customHeight="1" x14ac:dyDescent="0.3">
      <c r="A220" s="136"/>
      <c r="B220" s="212"/>
      <c r="C220" s="138"/>
      <c r="D220" s="138"/>
      <c r="E220" s="138"/>
      <c r="F220" s="138"/>
      <c r="G220" s="138"/>
      <c r="H220" s="139"/>
      <c r="I220" s="138"/>
      <c r="J220" s="138"/>
      <c r="K220" s="138"/>
      <c r="L220" s="138"/>
      <c r="M220" s="139"/>
      <c r="N220" s="138"/>
      <c r="O220" s="138"/>
      <c r="P220" s="138"/>
      <c r="Q220" s="139"/>
      <c r="R220" s="139"/>
      <c r="S220" s="212"/>
      <c r="T220" s="138"/>
    </row>
    <row r="221" spans="1:20" ht="14.25" customHeight="1" x14ac:dyDescent="0.3">
      <c r="A221" s="136"/>
      <c r="B221" s="212"/>
      <c r="C221" s="138"/>
      <c r="D221" s="138"/>
      <c r="E221" s="138"/>
      <c r="F221" s="138"/>
      <c r="G221" s="138"/>
      <c r="H221" s="139"/>
      <c r="I221" s="138"/>
      <c r="J221" s="138"/>
      <c r="K221" s="138"/>
      <c r="L221" s="138"/>
      <c r="M221" s="139"/>
      <c r="N221" s="138"/>
      <c r="O221" s="138"/>
      <c r="P221" s="138"/>
      <c r="Q221" s="139"/>
      <c r="R221" s="139"/>
      <c r="S221" s="212"/>
      <c r="T221" s="138"/>
    </row>
    <row r="222" spans="1:20" ht="14.25" customHeight="1" x14ac:dyDescent="0.3">
      <c r="A222" s="136"/>
      <c r="B222" s="212"/>
      <c r="C222" s="138"/>
      <c r="D222" s="138"/>
      <c r="E222" s="138"/>
      <c r="F222" s="138"/>
      <c r="G222" s="138"/>
      <c r="H222" s="139"/>
      <c r="I222" s="138"/>
      <c r="J222" s="138"/>
      <c r="K222" s="138"/>
      <c r="L222" s="138"/>
      <c r="M222" s="139"/>
      <c r="N222" s="138"/>
      <c r="O222" s="138"/>
      <c r="P222" s="138"/>
      <c r="Q222" s="139"/>
      <c r="R222" s="139"/>
      <c r="S222" s="212"/>
      <c r="T222" s="138"/>
    </row>
    <row r="223" spans="1:20" ht="14.25" customHeight="1" x14ac:dyDescent="0.3">
      <c r="A223" s="136"/>
      <c r="B223" s="212"/>
      <c r="C223" s="138"/>
      <c r="D223" s="138"/>
      <c r="E223" s="138"/>
      <c r="F223" s="138"/>
      <c r="G223" s="138"/>
      <c r="H223" s="139"/>
      <c r="I223" s="138"/>
      <c r="J223" s="138"/>
      <c r="K223" s="138"/>
      <c r="L223" s="138"/>
      <c r="M223" s="139"/>
      <c r="N223" s="138"/>
      <c r="O223" s="138"/>
      <c r="P223" s="138"/>
      <c r="Q223" s="139"/>
      <c r="R223" s="139"/>
      <c r="S223" s="212"/>
      <c r="T223" s="138"/>
    </row>
    <row r="224" spans="1:20" ht="14.25" customHeight="1" x14ac:dyDescent="0.3">
      <c r="A224" s="136"/>
      <c r="B224" s="212"/>
      <c r="C224" s="138"/>
      <c r="D224" s="138"/>
      <c r="E224" s="138"/>
      <c r="F224" s="138"/>
      <c r="G224" s="138"/>
      <c r="H224" s="139"/>
      <c r="I224" s="138"/>
      <c r="J224" s="138"/>
      <c r="K224" s="138"/>
      <c r="L224" s="138"/>
      <c r="M224" s="139"/>
      <c r="N224" s="138"/>
      <c r="O224" s="138"/>
      <c r="P224" s="138"/>
      <c r="Q224" s="139"/>
      <c r="R224" s="139"/>
      <c r="S224" s="212"/>
      <c r="T224" s="138"/>
    </row>
    <row r="225" spans="1:20" ht="14.25" customHeight="1" x14ac:dyDescent="0.3">
      <c r="A225" s="136"/>
      <c r="B225" s="212"/>
      <c r="C225" s="138"/>
      <c r="D225" s="138"/>
      <c r="E225" s="138"/>
      <c r="F225" s="138"/>
      <c r="G225" s="138"/>
      <c r="H225" s="139"/>
      <c r="I225" s="138"/>
      <c r="J225" s="138"/>
      <c r="K225" s="138"/>
      <c r="L225" s="138"/>
      <c r="M225" s="139"/>
      <c r="N225" s="138"/>
      <c r="O225" s="138"/>
      <c r="P225" s="138"/>
      <c r="Q225" s="139"/>
      <c r="R225" s="139"/>
      <c r="S225" s="212"/>
      <c r="T225" s="138"/>
    </row>
    <row r="226" spans="1:20" ht="14.25" customHeight="1" x14ac:dyDescent="0.3">
      <c r="A226" s="136"/>
      <c r="B226" s="212"/>
      <c r="C226" s="138"/>
      <c r="D226" s="138"/>
      <c r="E226" s="138"/>
      <c r="F226" s="138"/>
      <c r="G226" s="138"/>
      <c r="H226" s="139"/>
      <c r="I226" s="138"/>
      <c r="J226" s="138"/>
      <c r="K226" s="138"/>
      <c r="L226" s="138"/>
      <c r="M226" s="139"/>
      <c r="N226" s="138"/>
      <c r="O226" s="138"/>
      <c r="P226" s="138"/>
      <c r="Q226" s="139"/>
      <c r="R226" s="139"/>
      <c r="S226" s="212"/>
      <c r="T226" s="138"/>
    </row>
    <row r="227" spans="1:20" ht="14.25" customHeight="1" x14ac:dyDescent="0.3">
      <c r="A227" s="136"/>
      <c r="B227" s="212"/>
      <c r="C227" s="138"/>
      <c r="D227" s="138"/>
      <c r="E227" s="138"/>
      <c r="F227" s="138"/>
      <c r="G227" s="138"/>
      <c r="H227" s="139"/>
      <c r="I227" s="138"/>
      <c r="J227" s="138"/>
      <c r="K227" s="138"/>
      <c r="L227" s="138"/>
      <c r="M227" s="139"/>
      <c r="N227" s="138"/>
      <c r="O227" s="138"/>
      <c r="P227" s="138"/>
      <c r="Q227" s="139"/>
      <c r="R227" s="139"/>
      <c r="S227" s="212"/>
      <c r="T227" s="138"/>
    </row>
    <row r="228" spans="1:20" ht="14.25" customHeight="1" x14ac:dyDescent="0.3">
      <c r="A228" s="136"/>
      <c r="B228" s="212"/>
      <c r="C228" s="138"/>
      <c r="D228" s="138"/>
      <c r="E228" s="138"/>
      <c r="F228" s="138"/>
      <c r="G228" s="138"/>
      <c r="H228" s="139"/>
      <c r="I228" s="138"/>
      <c r="J228" s="138"/>
      <c r="K228" s="138"/>
      <c r="L228" s="138"/>
      <c r="M228" s="139"/>
      <c r="N228" s="138"/>
      <c r="O228" s="138"/>
      <c r="P228" s="138"/>
      <c r="Q228" s="139"/>
      <c r="R228" s="139"/>
      <c r="S228" s="212"/>
      <c r="T228" s="138"/>
    </row>
    <row r="229" spans="1:20" ht="14.25" customHeight="1" x14ac:dyDescent="0.3">
      <c r="A229" s="136"/>
      <c r="B229" s="212"/>
      <c r="C229" s="138"/>
      <c r="D229" s="138"/>
      <c r="E229" s="138"/>
      <c r="F229" s="138"/>
      <c r="G229" s="138"/>
      <c r="H229" s="139"/>
      <c r="I229" s="138"/>
      <c r="J229" s="138"/>
      <c r="K229" s="138"/>
      <c r="L229" s="138"/>
      <c r="M229" s="139"/>
      <c r="N229" s="138"/>
      <c r="O229" s="138"/>
      <c r="P229" s="138"/>
      <c r="Q229" s="139"/>
      <c r="R229" s="139"/>
      <c r="S229" s="212"/>
      <c r="T229" s="138"/>
    </row>
    <row r="230" spans="1:20" ht="14.25" customHeight="1" x14ac:dyDescent="0.3">
      <c r="A230" s="136"/>
      <c r="B230" s="212"/>
      <c r="C230" s="138"/>
      <c r="D230" s="138"/>
      <c r="E230" s="138"/>
      <c r="F230" s="138"/>
      <c r="G230" s="138"/>
      <c r="H230" s="139"/>
      <c r="I230" s="138"/>
      <c r="J230" s="138"/>
      <c r="K230" s="138"/>
      <c r="L230" s="138"/>
      <c r="M230" s="139"/>
      <c r="N230" s="138"/>
      <c r="O230" s="138"/>
      <c r="P230" s="138"/>
      <c r="Q230" s="139"/>
      <c r="R230" s="139"/>
      <c r="S230" s="212"/>
      <c r="T230" s="138"/>
    </row>
    <row r="231" spans="1:20" ht="14.25" customHeight="1" x14ac:dyDescent="0.3">
      <c r="A231" s="136"/>
      <c r="B231" s="212"/>
      <c r="C231" s="138"/>
      <c r="D231" s="138"/>
      <c r="E231" s="138"/>
      <c r="F231" s="138"/>
      <c r="G231" s="138"/>
      <c r="H231" s="139"/>
      <c r="I231" s="138"/>
      <c r="J231" s="138"/>
      <c r="K231" s="138"/>
      <c r="L231" s="138"/>
      <c r="M231" s="139"/>
      <c r="N231" s="138"/>
      <c r="O231" s="138"/>
      <c r="P231" s="138"/>
      <c r="Q231" s="139"/>
      <c r="R231" s="139"/>
      <c r="S231" s="212"/>
      <c r="T231" s="138"/>
    </row>
    <row r="232" spans="1:20" ht="14.25" customHeight="1" x14ac:dyDescent="0.3">
      <c r="A232" s="136"/>
      <c r="B232" s="212"/>
      <c r="C232" s="138"/>
      <c r="D232" s="138"/>
      <c r="E232" s="138"/>
      <c r="F232" s="138"/>
      <c r="G232" s="138"/>
      <c r="H232" s="139"/>
      <c r="I232" s="138"/>
      <c r="J232" s="138"/>
      <c r="K232" s="138"/>
      <c r="L232" s="138"/>
      <c r="M232" s="139"/>
      <c r="N232" s="138"/>
      <c r="O232" s="138"/>
      <c r="P232" s="138"/>
      <c r="Q232" s="139"/>
      <c r="R232" s="139"/>
      <c r="S232" s="212"/>
      <c r="T232" s="138"/>
    </row>
    <row r="233" spans="1:20" ht="14.25" customHeight="1" x14ac:dyDescent="0.3">
      <c r="A233" s="136"/>
      <c r="B233" s="212"/>
      <c r="C233" s="138"/>
      <c r="D233" s="138"/>
      <c r="E233" s="138"/>
      <c r="F233" s="138"/>
      <c r="G233" s="138"/>
      <c r="H233" s="139"/>
      <c r="I233" s="138"/>
      <c r="J233" s="138"/>
      <c r="K233" s="138"/>
      <c r="L233" s="138"/>
      <c r="M233" s="139"/>
      <c r="N233" s="138"/>
      <c r="O233" s="138"/>
      <c r="P233" s="138"/>
      <c r="Q233" s="139"/>
      <c r="R233" s="139"/>
      <c r="S233" s="212"/>
      <c r="T233" s="138"/>
    </row>
    <row r="234" spans="1:20" ht="14.25" customHeight="1" x14ac:dyDescent="0.3">
      <c r="A234" s="136"/>
      <c r="B234" s="212"/>
      <c r="C234" s="138"/>
      <c r="D234" s="138"/>
      <c r="E234" s="138"/>
      <c r="F234" s="138"/>
      <c r="G234" s="138"/>
      <c r="H234" s="139"/>
      <c r="I234" s="138"/>
      <c r="J234" s="138"/>
      <c r="K234" s="138"/>
      <c r="L234" s="138"/>
      <c r="M234" s="139"/>
      <c r="N234" s="138"/>
      <c r="O234" s="138"/>
      <c r="P234" s="138"/>
      <c r="Q234" s="139"/>
      <c r="R234" s="139"/>
      <c r="S234" s="212"/>
      <c r="T234" s="138"/>
    </row>
    <row r="235" spans="1:20" ht="14.25" customHeight="1" x14ac:dyDescent="0.3">
      <c r="A235" s="136"/>
      <c r="B235" s="212"/>
      <c r="C235" s="138"/>
      <c r="D235" s="138"/>
      <c r="E235" s="138"/>
      <c r="F235" s="138"/>
      <c r="G235" s="138"/>
      <c r="H235" s="139"/>
      <c r="I235" s="138"/>
      <c r="J235" s="138"/>
      <c r="K235" s="138"/>
      <c r="L235" s="138"/>
      <c r="M235" s="139"/>
      <c r="N235" s="138"/>
      <c r="O235" s="138"/>
      <c r="P235" s="138"/>
      <c r="Q235" s="139"/>
      <c r="R235" s="139"/>
      <c r="S235" s="212"/>
      <c r="T235" s="138"/>
    </row>
    <row r="236" spans="1:20" ht="14.25" customHeight="1" x14ac:dyDescent="0.3">
      <c r="A236" s="136"/>
      <c r="B236" s="212"/>
      <c r="C236" s="138"/>
      <c r="D236" s="138"/>
      <c r="E236" s="138"/>
      <c r="F236" s="138"/>
      <c r="G236" s="138"/>
      <c r="H236" s="139"/>
      <c r="I236" s="138"/>
      <c r="J236" s="138"/>
      <c r="K236" s="138"/>
      <c r="L236" s="138"/>
      <c r="M236" s="139"/>
      <c r="N236" s="138"/>
      <c r="O236" s="138"/>
      <c r="P236" s="138"/>
      <c r="Q236" s="139"/>
      <c r="R236" s="139"/>
      <c r="S236" s="212"/>
      <c r="T236" s="138"/>
    </row>
    <row r="237" spans="1:20" ht="14.25" customHeight="1" x14ac:dyDescent="0.3">
      <c r="A237" s="136"/>
      <c r="B237" s="212"/>
      <c r="C237" s="138"/>
      <c r="D237" s="138"/>
      <c r="E237" s="138"/>
      <c r="F237" s="138"/>
      <c r="G237" s="138"/>
      <c r="H237" s="139"/>
      <c r="I237" s="138"/>
      <c r="J237" s="138"/>
      <c r="K237" s="138"/>
      <c r="L237" s="138"/>
      <c r="M237" s="139"/>
      <c r="N237" s="138"/>
      <c r="O237" s="138"/>
      <c r="P237" s="138"/>
      <c r="Q237" s="139"/>
      <c r="R237" s="139"/>
      <c r="S237" s="212"/>
      <c r="T237" s="138"/>
    </row>
    <row r="238" spans="1:20" ht="14.25" customHeight="1" x14ac:dyDescent="0.3">
      <c r="A238" s="136"/>
      <c r="B238" s="212"/>
      <c r="C238" s="138"/>
      <c r="D238" s="138"/>
      <c r="E238" s="138"/>
      <c r="F238" s="138"/>
      <c r="G238" s="138"/>
      <c r="H238" s="139"/>
      <c r="I238" s="138"/>
      <c r="J238" s="138"/>
      <c r="K238" s="138"/>
      <c r="L238" s="138"/>
      <c r="M238" s="139"/>
      <c r="N238" s="138"/>
      <c r="O238" s="138"/>
      <c r="P238" s="138"/>
      <c r="Q238" s="139"/>
      <c r="R238" s="139"/>
      <c r="S238" s="212"/>
      <c r="T238" s="138"/>
    </row>
    <row r="239" spans="1:20" ht="14.25" customHeight="1" x14ac:dyDescent="0.3">
      <c r="A239" s="136"/>
      <c r="B239" s="212"/>
      <c r="C239" s="138"/>
      <c r="D239" s="138"/>
      <c r="E239" s="138"/>
      <c r="F239" s="138"/>
      <c r="G239" s="138"/>
      <c r="H239" s="139"/>
      <c r="I239" s="138"/>
      <c r="J239" s="138"/>
      <c r="K239" s="138"/>
      <c r="L239" s="138"/>
      <c r="M239" s="139"/>
      <c r="N239" s="138"/>
      <c r="O239" s="138"/>
      <c r="P239" s="138"/>
      <c r="Q239" s="139"/>
      <c r="R239" s="139"/>
      <c r="S239" s="212"/>
      <c r="T239" s="138"/>
    </row>
    <row r="240" spans="1:20" ht="14.25" customHeight="1" x14ac:dyDescent="0.3">
      <c r="A240" s="136"/>
      <c r="B240" s="212"/>
      <c r="C240" s="138"/>
      <c r="D240" s="138"/>
      <c r="E240" s="138"/>
      <c r="F240" s="138"/>
      <c r="G240" s="138"/>
      <c r="H240" s="139"/>
      <c r="I240" s="138"/>
      <c r="J240" s="138"/>
      <c r="K240" s="138"/>
      <c r="L240" s="138"/>
      <c r="M240" s="139"/>
      <c r="N240" s="138"/>
      <c r="O240" s="138"/>
      <c r="P240" s="138"/>
      <c r="Q240" s="139"/>
      <c r="R240" s="139"/>
      <c r="S240" s="212"/>
      <c r="T240" s="138"/>
    </row>
    <row r="241" spans="1:20" ht="14.25" customHeight="1" x14ac:dyDescent="0.3">
      <c r="A241" s="136"/>
      <c r="B241" s="212"/>
      <c r="C241" s="138"/>
      <c r="D241" s="138"/>
      <c r="E241" s="138"/>
      <c r="F241" s="138"/>
      <c r="G241" s="138"/>
      <c r="H241" s="139"/>
      <c r="I241" s="138"/>
      <c r="J241" s="138"/>
      <c r="K241" s="138"/>
      <c r="L241" s="138"/>
      <c r="M241" s="139"/>
      <c r="N241" s="138"/>
      <c r="O241" s="138"/>
      <c r="P241" s="138"/>
      <c r="Q241" s="139"/>
      <c r="R241" s="139"/>
      <c r="S241" s="212"/>
      <c r="T241" s="138"/>
    </row>
    <row r="242" spans="1:20" ht="14.25" customHeight="1" x14ac:dyDescent="0.3">
      <c r="A242" s="136"/>
      <c r="B242" s="212"/>
      <c r="C242" s="138"/>
      <c r="D242" s="138"/>
      <c r="E242" s="138"/>
      <c r="F242" s="138"/>
      <c r="G242" s="138"/>
      <c r="H242" s="139"/>
      <c r="I242" s="138"/>
      <c r="J242" s="138"/>
      <c r="K242" s="138"/>
      <c r="L242" s="138"/>
      <c r="M242" s="139"/>
      <c r="N242" s="138"/>
      <c r="O242" s="138"/>
      <c r="P242" s="138"/>
      <c r="Q242" s="139"/>
      <c r="R242" s="139"/>
      <c r="S242" s="212"/>
      <c r="T242" s="138"/>
    </row>
    <row r="243" spans="1:20" ht="14.25" customHeight="1" x14ac:dyDescent="0.3">
      <c r="A243" s="136"/>
      <c r="B243" s="212"/>
      <c r="C243" s="138"/>
      <c r="D243" s="138"/>
      <c r="E243" s="138"/>
      <c r="F243" s="138"/>
      <c r="G243" s="138"/>
      <c r="H243" s="139"/>
      <c r="I243" s="138"/>
      <c r="J243" s="138"/>
      <c r="K243" s="138"/>
      <c r="L243" s="138"/>
      <c r="M243" s="139"/>
      <c r="N243" s="138"/>
      <c r="O243" s="138"/>
      <c r="P243" s="138"/>
      <c r="Q243" s="139"/>
      <c r="R243" s="139"/>
      <c r="S243" s="212"/>
      <c r="T243" s="138"/>
    </row>
    <row r="244" spans="1:20" ht="14.25" customHeight="1" x14ac:dyDescent="0.3">
      <c r="A244" s="136"/>
      <c r="B244" s="212"/>
      <c r="C244" s="138"/>
      <c r="D244" s="138"/>
      <c r="E244" s="138"/>
      <c r="F244" s="138"/>
      <c r="G244" s="138"/>
      <c r="H244" s="139"/>
      <c r="I244" s="138"/>
      <c r="J244" s="138"/>
      <c r="K244" s="138"/>
      <c r="L244" s="138"/>
      <c r="M244" s="139"/>
      <c r="N244" s="138"/>
      <c r="O244" s="138"/>
      <c r="P244" s="138"/>
      <c r="Q244" s="139"/>
      <c r="R244" s="139"/>
      <c r="S244" s="212"/>
      <c r="T244" s="138"/>
    </row>
    <row r="245" spans="1:20" ht="14.25" customHeight="1" x14ac:dyDescent="0.3">
      <c r="A245" s="136"/>
      <c r="B245" s="212"/>
      <c r="C245" s="138"/>
      <c r="D245" s="138"/>
      <c r="E245" s="138"/>
      <c r="F245" s="138"/>
      <c r="G245" s="138"/>
      <c r="H245" s="139"/>
      <c r="I245" s="138"/>
      <c r="J245" s="138"/>
      <c r="K245" s="138"/>
      <c r="L245" s="138"/>
      <c r="M245" s="139"/>
      <c r="N245" s="138"/>
      <c r="O245" s="138"/>
      <c r="P245" s="138"/>
      <c r="Q245" s="139"/>
      <c r="R245" s="139"/>
      <c r="S245" s="212"/>
      <c r="T245" s="138"/>
    </row>
    <row r="246" spans="1:20" ht="14.25" customHeight="1" x14ac:dyDescent="0.3">
      <c r="A246" s="136"/>
      <c r="B246" s="212"/>
      <c r="C246" s="138"/>
      <c r="D246" s="138"/>
      <c r="E246" s="138"/>
      <c r="F246" s="138"/>
      <c r="G246" s="138"/>
      <c r="H246" s="139"/>
      <c r="I246" s="138"/>
      <c r="J246" s="138"/>
      <c r="K246" s="138"/>
      <c r="L246" s="138"/>
      <c r="M246" s="139"/>
      <c r="N246" s="138"/>
      <c r="O246" s="138"/>
      <c r="P246" s="138"/>
      <c r="Q246" s="139"/>
      <c r="R246" s="139"/>
      <c r="S246" s="212"/>
      <c r="T246" s="138"/>
    </row>
    <row r="247" spans="1:20" ht="14.25" customHeight="1" x14ac:dyDescent="0.3">
      <c r="A247" s="136"/>
      <c r="B247" s="212"/>
      <c r="C247" s="138"/>
      <c r="D247" s="138"/>
      <c r="E247" s="138"/>
      <c r="F247" s="138"/>
      <c r="G247" s="138"/>
      <c r="H247" s="139"/>
      <c r="I247" s="138"/>
      <c r="J247" s="138"/>
      <c r="K247" s="138"/>
      <c r="L247" s="138"/>
      <c r="M247" s="139"/>
      <c r="N247" s="138"/>
      <c r="O247" s="138"/>
      <c r="P247" s="138"/>
      <c r="Q247" s="139"/>
      <c r="R247" s="139"/>
      <c r="S247" s="212"/>
      <c r="T247" s="138"/>
    </row>
    <row r="248" spans="1:20" ht="14.25" customHeight="1" x14ac:dyDescent="0.3">
      <c r="A248" s="136"/>
      <c r="B248" s="212"/>
      <c r="C248" s="138"/>
      <c r="D248" s="138"/>
      <c r="E248" s="138"/>
      <c r="F248" s="138"/>
      <c r="G248" s="138"/>
      <c r="H248" s="139"/>
      <c r="I248" s="138"/>
      <c r="J248" s="138"/>
      <c r="K248" s="138"/>
      <c r="L248" s="138"/>
      <c r="M248" s="139"/>
      <c r="N248" s="138"/>
      <c r="O248" s="138"/>
      <c r="P248" s="138"/>
      <c r="Q248" s="139"/>
      <c r="R248" s="139"/>
      <c r="S248" s="212"/>
      <c r="T248" s="138"/>
    </row>
    <row r="249" spans="1:20" ht="14.25" customHeight="1" x14ac:dyDescent="0.3">
      <c r="A249" s="136"/>
      <c r="B249" s="212"/>
      <c r="C249" s="138"/>
      <c r="D249" s="138"/>
      <c r="E249" s="138"/>
      <c r="F249" s="138"/>
      <c r="G249" s="138"/>
      <c r="H249" s="139"/>
      <c r="I249" s="138"/>
      <c r="J249" s="138"/>
      <c r="K249" s="138"/>
      <c r="L249" s="138"/>
      <c r="M249" s="139"/>
      <c r="N249" s="138"/>
      <c r="O249" s="138"/>
      <c r="P249" s="138"/>
      <c r="Q249" s="139"/>
      <c r="R249" s="139"/>
      <c r="S249" s="212"/>
      <c r="T249" s="138"/>
    </row>
    <row r="250" spans="1:20" ht="14.25" customHeight="1" x14ac:dyDescent="0.3">
      <c r="A250" s="136"/>
      <c r="B250" s="212"/>
      <c r="C250" s="138"/>
      <c r="D250" s="138"/>
      <c r="E250" s="138"/>
      <c r="F250" s="138"/>
      <c r="G250" s="138"/>
      <c r="H250" s="139"/>
      <c r="I250" s="138"/>
      <c r="J250" s="138"/>
      <c r="K250" s="138"/>
      <c r="L250" s="138"/>
      <c r="M250" s="139"/>
      <c r="N250" s="138"/>
      <c r="O250" s="138"/>
      <c r="P250" s="138"/>
      <c r="Q250" s="139"/>
      <c r="R250" s="139"/>
      <c r="S250" s="212"/>
      <c r="T250" s="138"/>
    </row>
    <row r="251" spans="1:20" ht="14.25" customHeight="1" x14ac:dyDescent="0.3">
      <c r="A251" s="136"/>
      <c r="B251" s="212"/>
      <c r="C251" s="138"/>
      <c r="D251" s="138"/>
      <c r="E251" s="138"/>
      <c r="F251" s="138"/>
      <c r="G251" s="138"/>
      <c r="H251" s="139"/>
      <c r="I251" s="138"/>
      <c r="J251" s="138"/>
      <c r="K251" s="138"/>
      <c r="L251" s="138"/>
      <c r="M251" s="139"/>
      <c r="N251" s="138"/>
      <c r="O251" s="138"/>
      <c r="P251" s="138"/>
      <c r="Q251" s="139"/>
      <c r="R251" s="139"/>
      <c r="S251" s="212"/>
      <c r="T251" s="138"/>
    </row>
    <row r="252" spans="1:20" ht="14.25" customHeight="1" x14ac:dyDescent="0.3">
      <c r="A252" s="136"/>
      <c r="B252" s="212"/>
      <c r="C252" s="138"/>
      <c r="D252" s="138"/>
      <c r="E252" s="138"/>
      <c r="F252" s="138"/>
      <c r="G252" s="138"/>
      <c r="H252" s="139"/>
      <c r="I252" s="138"/>
      <c r="J252" s="138"/>
      <c r="K252" s="138"/>
      <c r="L252" s="138"/>
      <c r="M252" s="139"/>
      <c r="N252" s="138"/>
      <c r="O252" s="138"/>
      <c r="P252" s="138"/>
      <c r="Q252" s="139"/>
      <c r="R252" s="139"/>
      <c r="S252" s="212"/>
      <c r="T252" s="138"/>
    </row>
    <row r="253" spans="1:20" ht="14.25" customHeight="1" x14ac:dyDescent="0.3">
      <c r="A253" s="136"/>
      <c r="B253" s="212"/>
      <c r="C253" s="138"/>
      <c r="D253" s="138"/>
      <c r="E253" s="138"/>
      <c r="F253" s="138"/>
      <c r="G253" s="138"/>
      <c r="H253" s="139"/>
      <c r="I253" s="138"/>
      <c r="J253" s="138"/>
      <c r="K253" s="138"/>
      <c r="L253" s="138"/>
      <c r="M253" s="139"/>
      <c r="N253" s="138"/>
      <c r="O253" s="138"/>
      <c r="P253" s="138"/>
      <c r="Q253" s="139"/>
      <c r="R253" s="139"/>
      <c r="S253" s="212"/>
      <c r="T253" s="138"/>
    </row>
    <row r="254" spans="1:20" ht="14.25" customHeight="1" x14ac:dyDescent="0.3">
      <c r="A254" s="136"/>
      <c r="B254" s="212"/>
      <c r="C254" s="138"/>
      <c r="D254" s="138"/>
      <c r="E254" s="138"/>
      <c r="F254" s="138"/>
      <c r="G254" s="138"/>
      <c r="H254" s="139"/>
      <c r="I254" s="138"/>
      <c r="J254" s="138"/>
      <c r="K254" s="138"/>
      <c r="L254" s="138"/>
      <c r="M254" s="139"/>
      <c r="N254" s="138"/>
      <c r="O254" s="138"/>
      <c r="P254" s="138"/>
      <c r="Q254" s="139"/>
      <c r="R254" s="139"/>
      <c r="S254" s="212"/>
      <c r="T254" s="138"/>
    </row>
    <row r="255" spans="1:20" ht="14.25" customHeight="1" x14ac:dyDescent="0.3">
      <c r="A255" s="136"/>
      <c r="B255" s="212"/>
      <c r="C255" s="138"/>
      <c r="D255" s="138"/>
      <c r="E255" s="138"/>
      <c r="F255" s="138"/>
      <c r="G255" s="138"/>
      <c r="H255" s="139"/>
      <c r="I255" s="138"/>
      <c r="J255" s="138"/>
      <c r="K255" s="138"/>
      <c r="L255" s="138"/>
      <c r="M255" s="139"/>
      <c r="N255" s="138"/>
      <c r="O255" s="138"/>
      <c r="P255" s="138"/>
      <c r="Q255" s="139"/>
      <c r="R255" s="139"/>
      <c r="S255" s="212"/>
      <c r="T255" s="138"/>
    </row>
    <row r="256" spans="1:20" ht="14.25" customHeight="1" x14ac:dyDescent="0.3">
      <c r="A256" s="136"/>
      <c r="B256" s="212"/>
      <c r="C256" s="138"/>
      <c r="D256" s="138"/>
      <c r="E256" s="138"/>
      <c r="F256" s="138"/>
      <c r="G256" s="138"/>
      <c r="H256" s="139"/>
      <c r="I256" s="138"/>
      <c r="J256" s="138"/>
      <c r="K256" s="138"/>
      <c r="L256" s="138"/>
      <c r="M256" s="139"/>
      <c r="N256" s="138"/>
      <c r="O256" s="138"/>
      <c r="P256" s="138"/>
      <c r="Q256" s="139"/>
      <c r="R256" s="139"/>
      <c r="S256" s="212"/>
      <c r="T256" s="138"/>
    </row>
    <row r="257" spans="1:20" ht="14.25" customHeight="1" x14ac:dyDescent="0.3">
      <c r="A257" s="136"/>
      <c r="B257" s="212"/>
      <c r="C257" s="138"/>
      <c r="D257" s="138"/>
      <c r="E257" s="138"/>
      <c r="F257" s="138"/>
      <c r="G257" s="138"/>
      <c r="H257" s="139"/>
      <c r="I257" s="138"/>
      <c r="J257" s="138"/>
      <c r="K257" s="138"/>
      <c r="L257" s="138"/>
      <c r="M257" s="139"/>
      <c r="N257" s="138"/>
      <c r="O257" s="138"/>
      <c r="P257" s="138"/>
      <c r="Q257" s="139"/>
      <c r="R257" s="139"/>
      <c r="S257" s="212"/>
      <c r="T257" s="138"/>
    </row>
    <row r="258" spans="1:20" ht="14.25" customHeight="1" x14ac:dyDescent="0.3">
      <c r="A258" s="136"/>
      <c r="B258" s="212"/>
      <c r="C258" s="138"/>
      <c r="D258" s="138"/>
      <c r="E258" s="138"/>
      <c r="F258" s="138"/>
      <c r="G258" s="138"/>
      <c r="H258" s="139"/>
      <c r="I258" s="138"/>
      <c r="J258" s="138"/>
      <c r="K258" s="138"/>
      <c r="L258" s="138"/>
      <c r="M258" s="139"/>
      <c r="N258" s="138"/>
      <c r="O258" s="138"/>
      <c r="P258" s="138"/>
      <c r="Q258" s="139"/>
      <c r="R258" s="139"/>
      <c r="S258" s="212"/>
      <c r="T258" s="138"/>
    </row>
    <row r="259" spans="1:20" ht="14.25" customHeight="1" x14ac:dyDescent="0.3">
      <c r="A259" s="136"/>
      <c r="B259" s="212"/>
      <c r="C259" s="138"/>
      <c r="D259" s="138"/>
      <c r="E259" s="138"/>
      <c r="F259" s="138"/>
      <c r="G259" s="138"/>
      <c r="H259" s="139"/>
      <c r="I259" s="138"/>
      <c r="J259" s="138"/>
      <c r="K259" s="138"/>
      <c r="L259" s="138"/>
      <c r="M259" s="139"/>
      <c r="N259" s="138"/>
      <c r="O259" s="138"/>
      <c r="P259" s="138"/>
      <c r="Q259" s="139"/>
      <c r="R259" s="139"/>
      <c r="S259" s="212"/>
      <c r="T259" s="138"/>
    </row>
    <row r="260" spans="1:20" ht="14.25" customHeight="1" x14ac:dyDescent="0.3">
      <c r="A260" s="136"/>
      <c r="B260" s="212"/>
      <c r="C260" s="138"/>
      <c r="D260" s="138"/>
      <c r="E260" s="138"/>
      <c r="F260" s="138"/>
      <c r="G260" s="138"/>
      <c r="H260" s="139"/>
      <c r="I260" s="138"/>
      <c r="J260" s="138"/>
      <c r="K260" s="138"/>
      <c r="L260" s="138"/>
      <c r="M260" s="139"/>
      <c r="N260" s="138"/>
      <c r="O260" s="138"/>
      <c r="P260" s="138"/>
      <c r="Q260" s="139"/>
      <c r="R260" s="139"/>
      <c r="S260" s="212"/>
      <c r="T260" s="138"/>
    </row>
    <row r="261" spans="1:20" ht="14.25" customHeight="1" x14ac:dyDescent="0.3">
      <c r="A261" s="136"/>
      <c r="B261" s="212"/>
      <c r="C261" s="138"/>
      <c r="D261" s="138"/>
      <c r="E261" s="138"/>
      <c r="F261" s="138"/>
      <c r="G261" s="138"/>
      <c r="H261" s="139"/>
      <c r="I261" s="138"/>
      <c r="J261" s="138"/>
      <c r="K261" s="138"/>
      <c r="L261" s="138"/>
      <c r="M261" s="139"/>
      <c r="N261" s="138"/>
      <c r="O261" s="138"/>
      <c r="P261" s="138"/>
      <c r="Q261" s="139"/>
      <c r="R261" s="139"/>
      <c r="S261" s="212"/>
      <c r="T261" s="138"/>
    </row>
    <row r="262" spans="1:20" ht="14.25" customHeight="1" x14ac:dyDescent="0.3">
      <c r="A262" s="136"/>
      <c r="B262" s="212"/>
      <c r="C262" s="138"/>
      <c r="D262" s="138"/>
      <c r="E262" s="138"/>
      <c r="F262" s="138"/>
      <c r="G262" s="138"/>
      <c r="H262" s="139"/>
      <c r="I262" s="138"/>
      <c r="J262" s="138"/>
      <c r="K262" s="138"/>
      <c r="L262" s="138"/>
      <c r="M262" s="139"/>
      <c r="N262" s="138"/>
      <c r="O262" s="138"/>
      <c r="P262" s="138"/>
      <c r="Q262" s="139"/>
      <c r="R262" s="139"/>
      <c r="S262" s="212"/>
      <c r="T262" s="138"/>
    </row>
    <row r="263" spans="1:20" ht="14.25" customHeight="1" x14ac:dyDescent="0.3">
      <c r="A263" s="136"/>
      <c r="B263" s="212"/>
      <c r="C263" s="138"/>
      <c r="D263" s="138"/>
      <c r="E263" s="138"/>
      <c r="F263" s="138"/>
      <c r="G263" s="138"/>
      <c r="H263" s="139"/>
      <c r="I263" s="138"/>
      <c r="J263" s="138"/>
      <c r="K263" s="138"/>
      <c r="L263" s="138"/>
      <c r="M263" s="139"/>
      <c r="N263" s="138"/>
      <c r="O263" s="138"/>
      <c r="P263" s="138"/>
      <c r="Q263" s="139"/>
      <c r="R263" s="139"/>
      <c r="S263" s="212"/>
      <c r="T263" s="138"/>
    </row>
    <row r="264" spans="1:20" ht="14.25" customHeight="1" x14ac:dyDescent="0.3">
      <c r="A264" s="136"/>
      <c r="B264" s="212"/>
      <c r="C264" s="138"/>
      <c r="D264" s="138"/>
      <c r="E264" s="138"/>
      <c r="F264" s="138"/>
      <c r="G264" s="138"/>
      <c r="H264" s="139"/>
      <c r="I264" s="138"/>
      <c r="J264" s="138"/>
      <c r="K264" s="138"/>
      <c r="L264" s="138"/>
      <c r="M264" s="139"/>
      <c r="N264" s="138"/>
      <c r="O264" s="138"/>
      <c r="P264" s="138"/>
      <c r="Q264" s="139"/>
      <c r="R264" s="139"/>
      <c r="S264" s="212"/>
      <c r="T264" s="138"/>
    </row>
    <row r="265" spans="1:20" ht="14.25" customHeight="1" x14ac:dyDescent="0.3">
      <c r="A265" s="136"/>
      <c r="B265" s="212"/>
      <c r="C265" s="138"/>
      <c r="D265" s="138"/>
      <c r="E265" s="138"/>
      <c r="F265" s="138"/>
      <c r="G265" s="138"/>
      <c r="H265" s="139"/>
      <c r="I265" s="138"/>
      <c r="J265" s="138"/>
      <c r="K265" s="138"/>
      <c r="L265" s="138"/>
      <c r="M265" s="139"/>
      <c r="N265" s="138"/>
      <c r="O265" s="138"/>
      <c r="P265" s="138"/>
      <c r="Q265" s="139"/>
      <c r="R265" s="139"/>
      <c r="S265" s="212"/>
      <c r="T265" s="138"/>
    </row>
    <row r="266" spans="1:20" ht="14.25" customHeight="1" x14ac:dyDescent="0.3">
      <c r="A266" s="136"/>
      <c r="B266" s="212"/>
      <c r="C266" s="138"/>
      <c r="D266" s="138"/>
      <c r="E266" s="138"/>
      <c r="F266" s="138"/>
      <c r="G266" s="138"/>
      <c r="H266" s="139"/>
      <c r="I266" s="138"/>
      <c r="J266" s="138"/>
      <c r="K266" s="138"/>
      <c r="L266" s="138"/>
      <c r="M266" s="139"/>
      <c r="N266" s="138"/>
      <c r="O266" s="138"/>
      <c r="P266" s="138"/>
      <c r="Q266" s="139"/>
      <c r="R266" s="139"/>
      <c r="S266" s="212"/>
      <c r="T266" s="138"/>
    </row>
    <row r="267" spans="1:20" ht="14.25" customHeight="1" x14ac:dyDescent="0.3">
      <c r="A267" s="136"/>
      <c r="B267" s="212"/>
      <c r="C267" s="138"/>
      <c r="D267" s="138"/>
      <c r="E267" s="138"/>
      <c r="F267" s="138"/>
      <c r="G267" s="138"/>
      <c r="H267" s="139"/>
      <c r="I267" s="138"/>
      <c r="J267" s="138"/>
      <c r="K267" s="138"/>
      <c r="L267" s="138"/>
      <c r="M267" s="139"/>
      <c r="N267" s="138"/>
      <c r="O267" s="138"/>
      <c r="P267" s="138"/>
      <c r="Q267" s="139"/>
      <c r="R267" s="139"/>
      <c r="S267" s="212"/>
      <c r="T267" s="138"/>
    </row>
    <row r="268" spans="1:20" ht="14.25" customHeight="1" x14ac:dyDescent="0.3">
      <c r="A268" s="136"/>
      <c r="B268" s="212"/>
      <c r="C268" s="138"/>
      <c r="D268" s="138"/>
      <c r="E268" s="138"/>
      <c r="F268" s="138"/>
      <c r="G268" s="138"/>
      <c r="H268" s="139"/>
      <c r="I268" s="138"/>
      <c r="J268" s="138"/>
      <c r="K268" s="138"/>
      <c r="L268" s="138"/>
      <c r="M268" s="139"/>
      <c r="N268" s="138"/>
      <c r="O268" s="138"/>
      <c r="P268" s="138"/>
      <c r="Q268" s="139"/>
      <c r="R268" s="139"/>
      <c r="S268" s="212"/>
      <c r="T268" s="138"/>
    </row>
    <row r="269" spans="1:20" ht="14.25" customHeight="1" x14ac:dyDescent="0.3">
      <c r="A269" s="136"/>
      <c r="B269" s="212"/>
      <c r="C269" s="138"/>
      <c r="D269" s="138"/>
      <c r="E269" s="138"/>
      <c r="F269" s="138"/>
      <c r="G269" s="138"/>
      <c r="H269" s="139"/>
      <c r="I269" s="138"/>
      <c r="J269" s="138"/>
      <c r="K269" s="138"/>
      <c r="L269" s="138"/>
      <c r="M269" s="139"/>
      <c r="N269" s="138"/>
      <c r="O269" s="138"/>
      <c r="P269" s="138"/>
      <c r="Q269" s="139"/>
      <c r="R269" s="139"/>
      <c r="S269" s="212"/>
      <c r="T269" s="138"/>
    </row>
    <row r="270" spans="1:20" ht="14.25" customHeight="1" x14ac:dyDescent="0.3">
      <c r="A270" s="136"/>
      <c r="B270" s="212"/>
      <c r="C270" s="138"/>
      <c r="D270" s="138"/>
      <c r="E270" s="138"/>
      <c r="F270" s="138"/>
      <c r="G270" s="138"/>
      <c r="H270" s="139"/>
      <c r="I270" s="138"/>
      <c r="J270" s="138"/>
      <c r="K270" s="138"/>
      <c r="L270" s="138"/>
      <c r="M270" s="139"/>
      <c r="N270" s="138"/>
      <c r="O270" s="138"/>
      <c r="P270" s="138"/>
      <c r="Q270" s="139"/>
      <c r="R270" s="139"/>
      <c r="S270" s="212"/>
      <c r="T270" s="138"/>
    </row>
    <row r="271" spans="1:20" ht="14.25" customHeight="1" x14ac:dyDescent="0.3">
      <c r="A271" s="136"/>
      <c r="B271" s="212"/>
      <c r="C271" s="138"/>
      <c r="D271" s="138"/>
      <c r="E271" s="138"/>
      <c r="F271" s="138"/>
      <c r="G271" s="138"/>
      <c r="H271" s="139"/>
      <c r="I271" s="138"/>
      <c r="J271" s="138"/>
      <c r="K271" s="138"/>
      <c r="L271" s="138"/>
      <c r="M271" s="139"/>
      <c r="N271" s="138"/>
      <c r="O271" s="138"/>
      <c r="P271" s="138"/>
      <c r="Q271" s="139"/>
      <c r="R271" s="139"/>
      <c r="S271" s="212"/>
      <c r="T271" s="138"/>
    </row>
    <row r="272" spans="1:20" ht="14.25" customHeight="1" x14ac:dyDescent="0.3">
      <c r="A272" s="136"/>
      <c r="B272" s="212"/>
      <c r="C272" s="138"/>
      <c r="D272" s="138"/>
      <c r="E272" s="138"/>
      <c r="F272" s="138"/>
      <c r="G272" s="138"/>
      <c r="H272" s="139"/>
      <c r="I272" s="138"/>
      <c r="J272" s="138"/>
      <c r="K272" s="138"/>
      <c r="L272" s="138"/>
      <c r="M272" s="139"/>
      <c r="N272" s="138"/>
      <c r="O272" s="138"/>
      <c r="P272" s="138"/>
      <c r="Q272" s="139"/>
      <c r="R272" s="139"/>
      <c r="S272" s="212"/>
      <c r="T272" s="138"/>
    </row>
    <row r="273" spans="1:20" ht="14.25" customHeight="1" x14ac:dyDescent="0.3">
      <c r="A273" s="136"/>
      <c r="B273" s="212"/>
      <c r="C273" s="138"/>
      <c r="D273" s="138"/>
      <c r="E273" s="138"/>
      <c r="F273" s="138"/>
      <c r="G273" s="138"/>
      <c r="H273" s="139"/>
      <c r="I273" s="138"/>
      <c r="J273" s="138"/>
      <c r="K273" s="138"/>
      <c r="L273" s="138"/>
      <c r="M273" s="139"/>
      <c r="N273" s="138"/>
      <c r="O273" s="138"/>
      <c r="P273" s="138"/>
      <c r="Q273" s="139"/>
      <c r="R273" s="139"/>
      <c r="S273" s="212"/>
      <c r="T273" s="138"/>
    </row>
    <row r="274" spans="1:20" ht="14.25" customHeight="1" x14ac:dyDescent="0.3">
      <c r="A274" s="136"/>
      <c r="B274" s="212"/>
      <c r="C274" s="138"/>
      <c r="D274" s="138"/>
      <c r="E274" s="138"/>
      <c r="F274" s="138"/>
      <c r="G274" s="138"/>
      <c r="H274" s="139"/>
      <c r="I274" s="138"/>
      <c r="J274" s="138"/>
      <c r="K274" s="138"/>
      <c r="L274" s="138"/>
      <c r="M274" s="139"/>
      <c r="N274" s="138"/>
      <c r="O274" s="138"/>
      <c r="P274" s="138"/>
      <c r="Q274" s="139"/>
      <c r="R274" s="139"/>
      <c r="S274" s="212"/>
      <c r="T274" s="138"/>
    </row>
    <row r="275" spans="1:20" ht="14.25" customHeight="1" x14ac:dyDescent="0.3">
      <c r="A275" s="136"/>
      <c r="B275" s="212"/>
      <c r="C275" s="138"/>
      <c r="D275" s="138"/>
      <c r="E275" s="138"/>
      <c r="F275" s="138"/>
      <c r="G275" s="138"/>
      <c r="H275" s="139"/>
      <c r="I275" s="138"/>
      <c r="J275" s="138"/>
      <c r="K275" s="138"/>
      <c r="L275" s="138"/>
      <c r="M275" s="139"/>
      <c r="N275" s="138"/>
      <c r="O275" s="138"/>
      <c r="P275" s="138"/>
      <c r="Q275" s="139"/>
      <c r="R275" s="139"/>
      <c r="S275" s="212"/>
      <c r="T275" s="138"/>
    </row>
    <row r="276" spans="1:20" ht="14.25" customHeight="1" x14ac:dyDescent="0.3">
      <c r="A276" s="136"/>
      <c r="B276" s="212"/>
      <c r="C276" s="138"/>
      <c r="D276" s="138"/>
      <c r="E276" s="138"/>
      <c r="F276" s="138"/>
      <c r="G276" s="138"/>
      <c r="H276" s="139"/>
      <c r="I276" s="138"/>
      <c r="J276" s="138"/>
      <c r="K276" s="138"/>
      <c r="L276" s="138"/>
      <c r="M276" s="139"/>
      <c r="N276" s="138"/>
      <c r="O276" s="138"/>
      <c r="P276" s="138"/>
      <c r="Q276" s="139"/>
      <c r="R276" s="139"/>
      <c r="S276" s="212"/>
      <c r="T276" s="138"/>
    </row>
    <row r="277" spans="1:20" ht="14.25" customHeight="1" x14ac:dyDescent="0.3">
      <c r="A277" s="136"/>
      <c r="B277" s="212"/>
      <c r="C277" s="138"/>
      <c r="D277" s="138"/>
      <c r="E277" s="138"/>
      <c r="F277" s="138"/>
      <c r="G277" s="138"/>
      <c r="H277" s="139"/>
      <c r="I277" s="138"/>
      <c r="J277" s="138"/>
      <c r="K277" s="138"/>
      <c r="L277" s="138"/>
      <c r="M277" s="139"/>
      <c r="N277" s="138"/>
      <c r="O277" s="138"/>
      <c r="P277" s="138"/>
      <c r="Q277" s="139"/>
      <c r="R277" s="139"/>
      <c r="S277" s="212"/>
      <c r="T277" s="138"/>
    </row>
    <row r="278" spans="1:20" ht="14.25" customHeight="1" x14ac:dyDescent="0.3">
      <c r="A278" s="136"/>
      <c r="B278" s="212"/>
      <c r="C278" s="138"/>
      <c r="D278" s="138"/>
      <c r="E278" s="138"/>
      <c r="F278" s="138"/>
      <c r="G278" s="138"/>
      <c r="H278" s="139"/>
      <c r="I278" s="138"/>
      <c r="J278" s="138"/>
      <c r="K278" s="138"/>
      <c r="L278" s="138"/>
      <c r="M278" s="139"/>
      <c r="N278" s="138"/>
      <c r="O278" s="138"/>
      <c r="P278" s="138"/>
      <c r="Q278" s="139"/>
      <c r="R278" s="139"/>
      <c r="S278" s="212"/>
      <c r="T278" s="138"/>
    </row>
    <row r="279" spans="1:20" ht="14.25" customHeight="1" x14ac:dyDescent="0.3">
      <c r="A279" s="136"/>
      <c r="B279" s="212"/>
      <c r="C279" s="138"/>
      <c r="D279" s="138"/>
      <c r="E279" s="138"/>
      <c r="F279" s="138"/>
      <c r="G279" s="138"/>
      <c r="H279" s="139"/>
      <c r="I279" s="138"/>
      <c r="J279" s="138"/>
      <c r="K279" s="138"/>
      <c r="L279" s="138"/>
      <c r="M279" s="139"/>
      <c r="N279" s="138"/>
      <c r="O279" s="138"/>
      <c r="P279" s="138"/>
      <c r="Q279" s="139"/>
      <c r="R279" s="139"/>
      <c r="S279" s="212"/>
      <c r="T279" s="138"/>
    </row>
    <row r="280" spans="1:20" ht="14.25" customHeight="1" x14ac:dyDescent="0.3">
      <c r="A280" s="136"/>
      <c r="B280" s="212"/>
      <c r="C280" s="138"/>
      <c r="D280" s="138"/>
      <c r="E280" s="138"/>
      <c r="F280" s="138"/>
      <c r="G280" s="138"/>
      <c r="H280" s="139"/>
      <c r="I280" s="138"/>
      <c r="J280" s="138"/>
      <c r="K280" s="138"/>
      <c r="L280" s="138"/>
      <c r="M280" s="139"/>
      <c r="N280" s="138"/>
      <c r="O280" s="138"/>
      <c r="P280" s="138"/>
      <c r="Q280" s="139"/>
      <c r="R280" s="139"/>
      <c r="S280" s="212"/>
      <c r="T280" s="138"/>
    </row>
    <row r="281" spans="1:20" ht="14.25" customHeight="1" x14ac:dyDescent="0.3">
      <c r="A281" s="136"/>
      <c r="B281" s="212"/>
      <c r="C281" s="138"/>
      <c r="D281" s="138"/>
      <c r="E281" s="138"/>
      <c r="F281" s="138"/>
      <c r="G281" s="138"/>
      <c r="H281" s="139"/>
      <c r="I281" s="138"/>
      <c r="J281" s="138"/>
      <c r="K281" s="138"/>
      <c r="L281" s="138"/>
      <c r="M281" s="139"/>
      <c r="N281" s="138"/>
      <c r="O281" s="138"/>
      <c r="P281" s="138"/>
      <c r="Q281" s="139"/>
      <c r="R281" s="139"/>
      <c r="S281" s="212"/>
      <c r="T281" s="138"/>
    </row>
    <row r="282" spans="1:20" ht="14.25" customHeight="1" x14ac:dyDescent="0.3">
      <c r="A282" s="136"/>
      <c r="B282" s="212"/>
      <c r="C282" s="138"/>
      <c r="D282" s="138"/>
      <c r="E282" s="138"/>
      <c r="F282" s="138"/>
      <c r="G282" s="138"/>
      <c r="H282" s="139"/>
      <c r="I282" s="138"/>
      <c r="J282" s="138"/>
      <c r="K282" s="138"/>
      <c r="L282" s="138"/>
      <c r="M282" s="139"/>
      <c r="N282" s="138"/>
      <c r="O282" s="138"/>
      <c r="P282" s="138"/>
      <c r="Q282" s="139"/>
      <c r="R282" s="139"/>
      <c r="S282" s="212"/>
      <c r="T282" s="138"/>
    </row>
    <row r="283" spans="1:20" ht="14.25" customHeight="1" x14ac:dyDescent="0.3">
      <c r="A283" s="136"/>
      <c r="B283" s="212"/>
      <c r="C283" s="138"/>
      <c r="D283" s="138"/>
      <c r="E283" s="138"/>
      <c r="F283" s="138"/>
      <c r="G283" s="138"/>
      <c r="H283" s="139"/>
      <c r="I283" s="138"/>
      <c r="J283" s="138"/>
      <c r="K283" s="138"/>
      <c r="L283" s="138"/>
      <c r="M283" s="139"/>
      <c r="N283" s="138"/>
      <c r="O283" s="138"/>
      <c r="P283" s="138"/>
      <c r="Q283" s="139"/>
      <c r="R283" s="139"/>
      <c r="S283" s="212"/>
      <c r="T283" s="138"/>
    </row>
    <row r="284" spans="1:20" ht="14.25" customHeight="1" x14ac:dyDescent="0.3">
      <c r="A284" s="136"/>
      <c r="B284" s="212"/>
      <c r="C284" s="138"/>
      <c r="D284" s="138"/>
      <c r="E284" s="138"/>
      <c r="F284" s="138"/>
      <c r="G284" s="138"/>
      <c r="H284" s="139"/>
      <c r="I284" s="138"/>
      <c r="J284" s="138"/>
      <c r="K284" s="138"/>
      <c r="L284" s="138"/>
      <c r="M284" s="139"/>
      <c r="N284" s="138"/>
      <c r="O284" s="138"/>
      <c r="P284" s="138"/>
      <c r="Q284" s="139"/>
      <c r="R284" s="139"/>
      <c r="S284" s="212"/>
      <c r="T284" s="138"/>
    </row>
    <row r="285" spans="1:20" ht="14.25" customHeight="1" x14ac:dyDescent="0.3">
      <c r="A285" s="136"/>
      <c r="B285" s="212"/>
      <c r="C285" s="138"/>
      <c r="D285" s="138"/>
      <c r="E285" s="138"/>
      <c r="F285" s="138"/>
      <c r="G285" s="138"/>
      <c r="H285" s="139"/>
      <c r="I285" s="138"/>
      <c r="J285" s="138"/>
      <c r="K285" s="138"/>
      <c r="L285" s="138"/>
      <c r="M285" s="139"/>
      <c r="N285" s="138"/>
      <c r="O285" s="138"/>
      <c r="P285" s="138"/>
      <c r="Q285" s="139"/>
      <c r="R285" s="139"/>
      <c r="S285" s="212"/>
      <c r="T285" s="138"/>
    </row>
    <row r="286" spans="1:20" ht="14.25" customHeight="1" x14ac:dyDescent="0.3">
      <c r="A286" s="136"/>
      <c r="B286" s="212"/>
      <c r="C286" s="138"/>
      <c r="D286" s="138"/>
      <c r="E286" s="138"/>
      <c r="F286" s="138"/>
      <c r="G286" s="138"/>
      <c r="H286" s="139"/>
      <c r="I286" s="138"/>
      <c r="J286" s="138"/>
      <c r="K286" s="138"/>
      <c r="L286" s="138"/>
      <c r="M286" s="139"/>
      <c r="N286" s="138"/>
      <c r="O286" s="138"/>
      <c r="P286" s="138"/>
      <c r="Q286" s="139"/>
      <c r="R286" s="139"/>
      <c r="S286" s="212"/>
      <c r="T286" s="138"/>
    </row>
    <row r="287" spans="1:20" ht="14.25" customHeight="1" x14ac:dyDescent="0.3">
      <c r="A287" s="136"/>
      <c r="B287" s="212"/>
      <c r="C287" s="138"/>
      <c r="D287" s="138"/>
      <c r="E287" s="138"/>
      <c r="F287" s="138"/>
      <c r="G287" s="138"/>
      <c r="H287" s="139"/>
      <c r="I287" s="138"/>
      <c r="J287" s="138"/>
      <c r="K287" s="138"/>
      <c r="L287" s="138"/>
      <c r="M287" s="139"/>
      <c r="N287" s="138"/>
      <c r="O287" s="138"/>
      <c r="P287" s="138"/>
      <c r="Q287" s="139"/>
      <c r="R287" s="139"/>
      <c r="S287" s="212"/>
      <c r="T287" s="138"/>
    </row>
    <row r="288" spans="1:20" ht="14.25" customHeight="1" x14ac:dyDescent="0.3">
      <c r="A288" s="136"/>
      <c r="B288" s="212"/>
      <c r="C288" s="138"/>
      <c r="D288" s="138"/>
      <c r="E288" s="138"/>
      <c r="F288" s="138"/>
      <c r="G288" s="138"/>
      <c r="H288" s="139"/>
      <c r="I288" s="138"/>
      <c r="J288" s="138"/>
      <c r="K288" s="138"/>
      <c r="L288" s="138"/>
      <c r="M288" s="139"/>
      <c r="N288" s="138"/>
      <c r="O288" s="138"/>
      <c r="P288" s="138"/>
      <c r="Q288" s="139"/>
      <c r="R288" s="139"/>
      <c r="S288" s="212"/>
      <c r="T288" s="138"/>
    </row>
    <row r="289" spans="1:20" ht="14.25" customHeight="1" x14ac:dyDescent="0.3">
      <c r="A289" s="136"/>
      <c r="B289" s="212"/>
      <c r="C289" s="138"/>
      <c r="D289" s="138"/>
      <c r="E289" s="138"/>
      <c r="F289" s="138"/>
      <c r="G289" s="138"/>
      <c r="H289" s="139"/>
      <c r="I289" s="138"/>
      <c r="J289" s="138"/>
      <c r="K289" s="138"/>
      <c r="L289" s="138"/>
      <c r="M289" s="139"/>
      <c r="N289" s="138"/>
      <c r="O289" s="138"/>
      <c r="P289" s="138"/>
      <c r="Q289" s="139"/>
      <c r="R289" s="139"/>
      <c r="S289" s="212"/>
      <c r="T289" s="138"/>
    </row>
    <row r="290" spans="1:20" ht="14.25" customHeight="1" x14ac:dyDescent="0.3">
      <c r="A290" s="136"/>
      <c r="B290" s="212"/>
      <c r="C290" s="138"/>
      <c r="D290" s="138"/>
      <c r="E290" s="138"/>
      <c r="F290" s="138"/>
      <c r="G290" s="138"/>
      <c r="H290" s="139"/>
      <c r="I290" s="138"/>
      <c r="J290" s="138"/>
      <c r="K290" s="138"/>
      <c r="L290" s="138"/>
      <c r="M290" s="139"/>
      <c r="N290" s="138"/>
      <c r="O290" s="138"/>
      <c r="P290" s="138"/>
      <c r="Q290" s="139"/>
      <c r="R290" s="139"/>
      <c r="S290" s="212"/>
      <c r="T290" s="138"/>
    </row>
    <row r="291" spans="1:20" ht="14.25" customHeight="1" x14ac:dyDescent="0.3">
      <c r="A291" s="136"/>
      <c r="B291" s="212"/>
      <c r="C291" s="138"/>
      <c r="D291" s="138"/>
      <c r="E291" s="138"/>
      <c r="F291" s="138"/>
      <c r="G291" s="138"/>
      <c r="H291" s="139"/>
      <c r="I291" s="138"/>
      <c r="J291" s="138"/>
      <c r="K291" s="138"/>
      <c r="L291" s="138"/>
      <c r="M291" s="139"/>
      <c r="N291" s="138"/>
      <c r="O291" s="138"/>
      <c r="P291" s="138"/>
      <c r="Q291" s="139"/>
      <c r="R291" s="139"/>
      <c r="S291" s="212"/>
      <c r="T291" s="138"/>
    </row>
    <row r="292" spans="1:20" ht="14.25" customHeight="1" x14ac:dyDescent="0.3">
      <c r="A292" s="136"/>
      <c r="B292" s="212"/>
      <c r="C292" s="138"/>
      <c r="D292" s="138"/>
      <c r="E292" s="138"/>
      <c r="F292" s="138"/>
      <c r="G292" s="138"/>
      <c r="H292" s="139"/>
      <c r="I292" s="138"/>
      <c r="J292" s="138"/>
      <c r="K292" s="138"/>
      <c r="L292" s="138"/>
      <c r="M292" s="139"/>
      <c r="N292" s="138"/>
      <c r="O292" s="138"/>
      <c r="P292" s="138"/>
      <c r="Q292" s="139"/>
      <c r="R292" s="139"/>
      <c r="S292" s="212"/>
      <c r="T292" s="138"/>
    </row>
    <row r="293" spans="1:20" ht="14.25" customHeight="1" x14ac:dyDescent="0.3">
      <c r="A293" s="136"/>
      <c r="B293" s="212"/>
      <c r="C293" s="138"/>
      <c r="D293" s="138"/>
      <c r="E293" s="138"/>
      <c r="F293" s="138"/>
      <c r="G293" s="138"/>
      <c r="H293" s="139"/>
      <c r="I293" s="138"/>
      <c r="J293" s="138"/>
      <c r="K293" s="138"/>
      <c r="L293" s="138"/>
      <c r="M293" s="139"/>
      <c r="N293" s="138"/>
      <c r="O293" s="138"/>
      <c r="P293" s="138"/>
      <c r="Q293" s="139"/>
      <c r="R293" s="139"/>
      <c r="S293" s="212"/>
      <c r="T293" s="138"/>
    </row>
    <row r="294" spans="1:20" ht="14.25" customHeight="1" x14ac:dyDescent="0.3">
      <c r="A294" s="136"/>
      <c r="B294" s="212"/>
      <c r="C294" s="138"/>
      <c r="D294" s="138"/>
      <c r="E294" s="138"/>
      <c r="F294" s="138"/>
      <c r="G294" s="138"/>
      <c r="H294" s="139"/>
      <c r="I294" s="138"/>
      <c r="J294" s="138"/>
      <c r="K294" s="138"/>
      <c r="L294" s="138"/>
      <c r="M294" s="139"/>
      <c r="N294" s="138"/>
      <c r="O294" s="138"/>
      <c r="P294" s="138"/>
      <c r="Q294" s="139"/>
      <c r="R294" s="139"/>
      <c r="S294" s="212"/>
      <c r="T294" s="138"/>
    </row>
    <row r="295" spans="1:20" ht="14.25" customHeight="1" x14ac:dyDescent="0.3">
      <c r="A295" s="136"/>
      <c r="B295" s="212"/>
      <c r="C295" s="138"/>
      <c r="D295" s="138"/>
      <c r="E295" s="138"/>
      <c r="F295" s="138"/>
      <c r="G295" s="138"/>
      <c r="H295" s="139"/>
      <c r="I295" s="138"/>
      <c r="J295" s="138"/>
      <c r="K295" s="138"/>
      <c r="L295" s="138"/>
      <c r="M295" s="139"/>
      <c r="N295" s="138"/>
      <c r="O295" s="138"/>
      <c r="P295" s="138"/>
      <c r="Q295" s="139"/>
      <c r="R295" s="139"/>
      <c r="S295" s="212"/>
      <c r="T295" s="138"/>
    </row>
    <row r="296" spans="1:20" ht="14.25" customHeight="1" x14ac:dyDescent="0.3">
      <c r="A296" s="136"/>
      <c r="B296" s="212"/>
      <c r="C296" s="138"/>
      <c r="D296" s="138"/>
      <c r="E296" s="138"/>
      <c r="F296" s="138"/>
      <c r="G296" s="138"/>
      <c r="H296" s="139"/>
      <c r="I296" s="138"/>
      <c r="J296" s="138"/>
      <c r="K296" s="138"/>
      <c r="L296" s="138"/>
      <c r="M296" s="139"/>
      <c r="N296" s="138"/>
      <c r="O296" s="138"/>
      <c r="P296" s="138"/>
      <c r="Q296" s="139"/>
      <c r="R296" s="139"/>
      <c r="S296" s="212"/>
      <c r="T296" s="138"/>
    </row>
    <row r="297" spans="1:20" ht="14.25" customHeight="1" x14ac:dyDescent="0.3">
      <c r="A297" s="136"/>
      <c r="B297" s="212"/>
      <c r="C297" s="138"/>
      <c r="D297" s="138"/>
      <c r="E297" s="138"/>
      <c r="F297" s="138"/>
      <c r="G297" s="138"/>
      <c r="H297" s="139"/>
      <c r="I297" s="138"/>
      <c r="J297" s="138"/>
      <c r="K297" s="138"/>
      <c r="L297" s="138"/>
      <c r="M297" s="139"/>
      <c r="N297" s="138"/>
      <c r="O297" s="138"/>
      <c r="P297" s="138"/>
      <c r="Q297" s="139"/>
      <c r="R297" s="139"/>
      <c r="S297" s="212"/>
      <c r="T297" s="138"/>
    </row>
    <row r="298" spans="1:20" ht="14.25" customHeight="1" x14ac:dyDescent="0.3">
      <c r="A298" s="136"/>
      <c r="B298" s="212"/>
      <c r="C298" s="138"/>
      <c r="D298" s="138"/>
      <c r="E298" s="138"/>
      <c r="F298" s="138"/>
      <c r="G298" s="138"/>
      <c r="H298" s="139"/>
      <c r="I298" s="138"/>
      <c r="J298" s="138"/>
      <c r="K298" s="138"/>
      <c r="L298" s="138"/>
      <c r="M298" s="139"/>
      <c r="N298" s="138"/>
      <c r="O298" s="138"/>
      <c r="P298" s="138"/>
      <c r="Q298" s="139"/>
      <c r="R298" s="139"/>
      <c r="S298" s="212"/>
      <c r="T298" s="138"/>
    </row>
    <row r="299" spans="1:20" ht="14.25" customHeight="1" x14ac:dyDescent="0.3">
      <c r="A299" s="136"/>
      <c r="B299" s="212"/>
      <c r="C299" s="138"/>
      <c r="D299" s="138"/>
      <c r="E299" s="138"/>
      <c r="F299" s="138"/>
      <c r="G299" s="138"/>
      <c r="H299" s="139"/>
      <c r="I299" s="138"/>
      <c r="J299" s="138"/>
      <c r="K299" s="138"/>
      <c r="L299" s="138"/>
      <c r="M299" s="139"/>
      <c r="N299" s="138"/>
      <c r="O299" s="138"/>
      <c r="P299" s="138"/>
      <c r="Q299" s="139"/>
      <c r="R299" s="139"/>
      <c r="S299" s="212"/>
      <c r="T299" s="138"/>
    </row>
    <row r="300" spans="1:20" ht="14.25" customHeight="1" x14ac:dyDescent="0.3">
      <c r="A300" s="136"/>
      <c r="B300" s="212"/>
      <c r="C300" s="138"/>
      <c r="D300" s="138"/>
      <c r="E300" s="138"/>
      <c r="F300" s="138"/>
      <c r="G300" s="138"/>
      <c r="H300" s="139"/>
      <c r="I300" s="138"/>
      <c r="J300" s="138"/>
      <c r="K300" s="138"/>
      <c r="L300" s="138"/>
      <c r="M300" s="139"/>
      <c r="N300" s="138"/>
      <c r="O300" s="138"/>
      <c r="P300" s="138"/>
      <c r="Q300" s="139"/>
      <c r="R300" s="139"/>
      <c r="S300" s="212"/>
      <c r="T300" s="138"/>
    </row>
    <row r="301" spans="1:20" ht="14.25" customHeight="1" x14ac:dyDescent="0.3">
      <c r="A301" s="136"/>
      <c r="B301" s="212"/>
      <c r="C301" s="138"/>
      <c r="D301" s="138"/>
      <c r="E301" s="138"/>
      <c r="F301" s="138"/>
      <c r="G301" s="138"/>
      <c r="H301" s="139"/>
      <c r="I301" s="138"/>
      <c r="J301" s="138"/>
      <c r="K301" s="138"/>
      <c r="L301" s="138"/>
      <c r="M301" s="139"/>
      <c r="N301" s="138"/>
      <c r="O301" s="138"/>
      <c r="P301" s="138"/>
      <c r="Q301" s="139"/>
      <c r="R301" s="139"/>
      <c r="S301" s="212"/>
      <c r="T301" s="138"/>
    </row>
    <row r="302" spans="1:20" ht="14.25" customHeight="1" x14ac:dyDescent="0.3">
      <c r="A302" s="136"/>
      <c r="B302" s="212"/>
      <c r="C302" s="138"/>
      <c r="D302" s="138"/>
      <c r="E302" s="138"/>
      <c r="F302" s="138"/>
      <c r="G302" s="138"/>
      <c r="H302" s="139"/>
      <c r="I302" s="138"/>
      <c r="J302" s="138"/>
      <c r="K302" s="138"/>
      <c r="L302" s="138"/>
      <c r="M302" s="139"/>
      <c r="N302" s="138"/>
      <c r="O302" s="138"/>
      <c r="P302" s="138"/>
      <c r="Q302" s="139"/>
      <c r="R302" s="139"/>
      <c r="S302" s="212"/>
      <c r="T302" s="138"/>
    </row>
    <row r="303" spans="1:20" ht="14.25" customHeight="1" x14ac:dyDescent="0.3">
      <c r="A303" s="136"/>
      <c r="B303" s="212"/>
      <c r="C303" s="138"/>
      <c r="D303" s="138"/>
      <c r="E303" s="138"/>
      <c r="F303" s="138"/>
      <c r="G303" s="138"/>
      <c r="H303" s="139"/>
      <c r="I303" s="138"/>
      <c r="J303" s="138"/>
      <c r="K303" s="138"/>
      <c r="L303" s="138"/>
      <c r="M303" s="139"/>
      <c r="N303" s="138"/>
      <c r="O303" s="138"/>
      <c r="P303" s="138"/>
      <c r="Q303" s="139"/>
      <c r="R303" s="139"/>
      <c r="S303" s="212"/>
      <c r="T303" s="138"/>
    </row>
    <row r="304" spans="1:20" ht="14.25" customHeight="1" x14ac:dyDescent="0.3">
      <c r="A304" s="136"/>
      <c r="B304" s="212"/>
      <c r="C304" s="138"/>
      <c r="D304" s="138"/>
      <c r="E304" s="138"/>
      <c r="F304" s="138"/>
      <c r="G304" s="138"/>
      <c r="H304" s="139"/>
      <c r="I304" s="138"/>
      <c r="J304" s="138"/>
      <c r="K304" s="138"/>
      <c r="L304" s="138"/>
      <c r="M304" s="139"/>
      <c r="N304" s="138"/>
      <c r="O304" s="138"/>
      <c r="P304" s="138"/>
      <c r="Q304" s="139"/>
      <c r="R304" s="139"/>
      <c r="S304" s="212"/>
      <c r="T304" s="138"/>
    </row>
    <row r="305" spans="1:20" ht="14.25" customHeight="1" x14ac:dyDescent="0.3">
      <c r="A305" s="136"/>
      <c r="B305" s="212"/>
      <c r="C305" s="138"/>
      <c r="D305" s="138"/>
      <c r="E305" s="138"/>
      <c r="F305" s="138"/>
      <c r="G305" s="138"/>
      <c r="H305" s="139"/>
      <c r="I305" s="138"/>
      <c r="J305" s="138"/>
      <c r="K305" s="138"/>
      <c r="L305" s="138"/>
      <c r="M305" s="139"/>
      <c r="N305" s="138"/>
      <c r="O305" s="138"/>
      <c r="P305" s="138"/>
      <c r="Q305" s="139"/>
      <c r="R305" s="139"/>
      <c r="S305" s="212"/>
      <c r="T305" s="138"/>
    </row>
    <row r="306" spans="1:20" ht="14.25" customHeight="1" x14ac:dyDescent="0.3">
      <c r="A306" s="136"/>
      <c r="B306" s="212"/>
      <c r="C306" s="138"/>
      <c r="D306" s="138"/>
      <c r="E306" s="138"/>
      <c r="F306" s="138"/>
      <c r="G306" s="138"/>
      <c r="H306" s="139"/>
      <c r="I306" s="138"/>
      <c r="J306" s="138"/>
      <c r="K306" s="138"/>
      <c r="L306" s="138"/>
      <c r="M306" s="139"/>
      <c r="N306" s="138"/>
      <c r="O306" s="138"/>
      <c r="P306" s="138"/>
      <c r="Q306" s="139"/>
      <c r="R306" s="139"/>
      <c r="S306" s="212"/>
      <c r="T306" s="138"/>
    </row>
    <row r="307" spans="1:20" ht="14.25" customHeight="1" x14ac:dyDescent="0.3">
      <c r="A307" s="136"/>
      <c r="B307" s="212"/>
      <c r="C307" s="138"/>
      <c r="D307" s="138"/>
      <c r="E307" s="138"/>
      <c r="F307" s="138"/>
      <c r="G307" s="138"/>
      <c r="H307" s="139"/>
      <c r="I307" s="138"/>
      <c r="J307" s="138"/>
      <c r="K307" s="138"/>
      <c r="L307" s="138"/>
      <c r="M307" s="139"/>
      <c r="N307" s="138"/>
      <c r="O307" s="138"/>
      <c r="P307" s="138"/>
      <c r="Q307" s="139"/>
      <c r="R307" s="139"/>
      <c r="S307" s="212"/>
      <c r="T307" s="138"/>
    </row>
    <row r="308" spans="1:20" ht="14.25" customHeight="1" x14ac:dyDescent="0.3">
      <c r="A308" s="136"/>
      <c r="B308" s="212"/>
      <c r="C308" s="138"/>
      <c r="D308" s="138"/>
      <c r="E308" s="138"/>
      <c r="F308" s="138"/>
      <c r="G308" s="138"/>
      <c r="H308" s="139"/>
      <c r="I308" s="138"/>
      <c r="J308" s="138"/>
      <c r="K308" s="138"/>
      <c r="L308" s="138"/>
      <c r="M308" s="139"/>
      <c r="N308" s="138"/>
      <c r="O308" s="138"/>
      <c r="P308" s="138"/>
      <c r="Q308" s="139"/>
      <c r="R308" s="139"/>
      <c r="S308" s="212"/>
      <c r="T308" s="138"/>
    </row>
    <row r="309" spans="1:20" ht="14.25" customHeight="1" x14ac:dyDescent="0.3">
      <c r="A309" s="136"/>
      <c r="B309" s="212"/>
      <c r="C309" s="138"/>
      <c r="D309" s="138"/>
      <c r="E309" s="138"/>
      <c r="F309" s="138"/>
      <c r="G309" s="138"/>
      <c r="H309" s="139"/>
      <c r="I309" s="138"/>
      <c r="J309" s="138"/>
      <c r="K309" s="138"/>
      <c r="L309" s="138"/>
      <c r="M309" s="139"/>
      <c r="N309" s="138"/>
      <c r="O309" s="138"/>
      <c r="P309" s="138"/>
      <c r="Q309" s="139"/>
      <c r="R309" s="139"/>
      <c r="S309" s="212"/>
      <c r="T309" s="138"/>
    </row>
    <row r="310" spans="1:20" ht="14.25" customHeight="1" x14ac:dyDescent="0.3">
      <c r="A310" s="136"/>
      <c r="B310" s="212"/>
      <c r="C310" s="138"/>
      <c r="D310" s="138"/>
      <c r="E310" s="138"/>
      <c r="F310" s="138"/>
      <c r="G310" s="138"/>
      <c r="H310" s="139"/>
      <c r="I310" s="138"/>
      <c r="J310" s="138"/>
      <c r="K310" s="138"/>
      <c r="L310" s="138"/>
      <c r="M310" s="139"/>
      <c r="N310" s="138"/>
      <c r="O310" s="138"/>
      <c r="P310" s="138"/>
      <c r="Q310" s="139"/>
      <c r="R310" s="139"/>
      <c r="S310" s="212"/>
      <c r="T310" s="138"/>
    </row>
    <row r="311" spans="1:20" ht="14.25" customHeight="1" x14ac:dyDescent="0.3">
      <c r="A311" s="136"/>
      <c r="B311" s="212"/>
      <c r="C311" s="138"/>
      <c r="D311" s="138"/>
      <c r="E311" s="138"/>
      <c r="F311" s="138"/>
      <c r="G311" s="138"/>
      <c r="H311" s="139"/>
      <c r="I311" s="138"/>
      <c r="J311" s="138"/>
      <c r="K311" s="138"/>
      <c r="L311" s="138"/>
      <c r="M311" s="139"/>
      <c r="N311" s="138"/>
      <c r="O311" s="138"/>
      <c r="P311" s="138"/>
      <c r="Q311" s="139"/>
      <c r="R311" s="139"/>
      <c r="S311" s="212"/>
      <c r="T311" s="138"/>
    </row>
    <row r="312" spans="1:20" ht="14.25" customHeight="1" x14ac:dyDescent="0.3">
      <c r="A312" s="136"/>
      <c r="B312" s="212"/>
      <c r="C312" s="138"/>
      <c r="D312" s="138"/>
      <c r="E312" s="138"/>
      <c r="F312" s="138"/>
      <c r="G312" s="138"/>
      <c r="H312" s="139"/>
      <c r="I312" s="138"/>
      <c r="J312" s="138"/>
      <c r="K312" s="138"/>
      <c r="L312" s="138"/>
      <c r="M312" s="139"/>
      <c r="N312" s="138"/>
      <c r="O312" s="138"/>
      <c r="P312" s="138"/>
      <c r="Q312" s="139"/>
      <c r="R312" s="139"/>
      <c r="S312" s="212"/>
      <c r="T312" s="138"/>
    </row>
    <row r="313" spans="1:20" ht="14.25" customHeight="1" x14ac:dyDescent="0.3">
      <c r="A313" s="136"/>
      <c r="B313" s="212"/>
      <c r="C313" s="138"/>
      <c r="D313" s="138"/>
      <c r="E313" s="138"/>
      <c r="F313" s="138"/>
      <c r="G313" s="138"/>
      <c r="H313" s="139"/>
      <c r="I313" s="138"/>
      <c r="J313" s="138"/>
      <c r="K313" s="138"/>
      <c r="L313" s="138"/>
      <c r="M313" s="139"/>
      <c r="N313" s="138"/>
      <c r="O313" s="138"/>
      <c r="P313" s="138"/>
      <c r="Q313" s="139"/>
      <c r="R313" s="139"/>
      <c r="S313" s="212"/>
      <c r="T313" s="138"/>
    </row>
    <row r="314" spans="1:20" ht="14.25" customHeight="1" x14ac:dyDescent="0.3">
      <c r="A314" s="136"/>
      <c r="B314" s="212"/>
      <c r="C314" s="138"/>
      <c r="D314" s="138"/>
      <c r="E314" s="138"/>
      <c r="F314" s="138"/>
      <c r="G314" s="138"/>
      <c r="H314" s="139"/>
      <c r="I314" s="138"/>
      <c r="J314" s="138"/>
      <c r="K314" s="138"/>
      <c r="L314" s="138"/>
      <c r="M314" s="139"/>
      <c r="N314" s="138"/>
      <c r="O314" s="138"/>
      <c r="P314" s="138"/>
      <c r="Q314" s="139"/>
      <c r="R314" s="139"/>
      <c r="S314" s="212"/>
      <c r="T314" s="138"/>
    </row>
    <row r="315" spans="1:20" ht="14.25" customHeight="1" x14ac:dyDescent="0.3">
      <c r="A315" s="136"/>
      <c r="B315" s="212"/>
      <c r="C315" s="138"/>
      <c r="D315" s="138"/>
      <c r="E315" s="138"/>
      <c r="F315" s="138"/>
      <c r="G315" s="138"/>
      <c r="H315" s="139"/>
      <c r="I315" s="138"/>
      <c r="J315" s="138"/>
      <c r="K315" s="138"/>
      <c r="L315" s="138"/>
      <c r="M315" s="139"/>
      <c r="N315" s="138"/>
      <c r="O315" s="138"/>
      <c r="P315" s="138"/>
      <c r="Q315" s="139"/>
      <c r="R315" s="139"/>
      <c r="S315" s="212"/>
      <c r="T315" s="138"/>
    </row>
    <row r="316" spans="1:20" ht="14.25" customHeight="1" x14ac:dyDescent="0.3">
      <c r="A316" s="136"/>
      <c r="B316" s="212"/>
      <c r="C316" s="138"/>
      <c r="D316" s="138"/>
      <c r="E316" s="138"/>
      <c r="F316" s="138"/>
      <c r="G316" s="138"/>
      <c r="H316" s="139"/>
      <c r="I316" s="138"/>
      <c r="J316" s="138"/>
      <c r="K316" s="138"/>
      <c r="L316" s="138"/>
      <c r="M316" s="139"/>
      <c r="N316" s="138"/>
      <c r="O316" s="138"/>
      <c r="P316" s="138"/>
      <c r="Q316" s="139"/>
      <c r="R316" s="139"/>
      <c r="S316" s="212"/>
      <c r="T316" s="138"/>
    </row>
    <row r="317" spans="1:20" ht="14.25" customHeight="1" x14ac:dyDescent="0.3">
      <c r="A317" s="136"/>
      <c r="B317" s="212"/>
      <c r="C317" s="138"/>
      <c r="D317" s="138"/>
      <c r="E317" s="138"/>
      <c r="F317" s="138"/>
      <c r="G317" s="138"/>
      <c r="H317" s="139"/>
      <c r="I317" s="138"/>
      <c r="J317" s="138"/>
      <c r="K317" s="138"/>
      <c r="L317" s="138"/>
      <c r="M317" s="139"/>
      <c r="N317" s="138"/>
      <c r="O317" s="138"/>
      <c r="P317" s="138"/>
      <c r="Q317" s="139"/>
      <c r="R317" s="139"/>
      <c r="S317" s="212"/>
      <c r="T317" s="138"/>
    </row>
    <row r="318" spans="1:20" ht="14.25" customHeight="1" x14ac:dyDescent="0.3">
      <c r="A318" s="136"/>
      <c r="B318" s="212"/>
      <c r="C318" s="138"/>
      <c r="D318" s="138"/>
      <c r="E318" s="138"/>
      <c r="F318" s="138"/>
      <c r="G318" s="138"/>
      <c r="H318" s="139"/>
      <c r="I318" s="138"/>
      <c r="J318" s="138"/>
      <c r="K318" s="138"/>
      <c r="L318" s="138"/>
      <c r="M318" s="139"/>
      <c r="N318" s="138"/>
      <c r="O318" s="138"/>
      <c r="P318" s="138"/>
      <c r="Q318" s="139"/>
      <c r="R318" s="139"/>
      <c r="S318" s="212"/>
      <c r="T318" s="138"/>
    </row>
    <row r="319" spans="1:20" ht="14.25" customHeight="1" x14ac:dyDescent="0.3">
      <c r="A319" s="136"/>
      <c r="B319" s="212"/>
      <c r="C319" s="138"/>
      <c r="D319" s="138"/>
      <c r="E319" s="138"/>
      <c r="F319" s="138"/>
      <c r="G319" s="138"/>
      <c r="H319" s="139"/>
      <c r="I319" s="138"/>
      <c r="J319" s="138"/>
      <c r="K319" s="138"/>
      <c r="L319" s="138"/>
      <c r="M319" s="139"/>
      <c r="N319" s="138"/>
      <c r="O319" s="138"/>
      <c r="P319" s="138"/>
      <c r="Q319" s="139"/>
      <c r="R319" s="139"/>
      <c r="S319" s="212"/>
      <c r="T319" s="138"/>
    </row>
    <row r="320" spans="1:20" ht="14.25" customHeight="1" x14ac:dyDescent="0.3">
      <c r="A320" s="136"/>
      <c r="B320" s="212"/>
      <c r="C320" s="138"/>
      <c r="D320" s="138"/>
      <c r="E320" s="138"/>
      <c r="F320" s="138"/>
      <c r="G320" s="138"/>
      <c r="H320" s="139"/>
      <c r="I320" s="138"/>
      <c r="J320" s="138"/>
      <c r="K320" s="138"/>
      <c r="L320" s="138"/>
      <c r="M320" s="139"/>
      <c r="N320" s="138"/>
      <c r="O320" s="138"/>
      <c r="P320" s="138"/>
      <c r="Q320" s="139"/>
      <c r="R320" s="139"/>
      <c r="S320" s="212"/>
      <c r="T320" s="138"/>
    </row>
    <row r="321" spans="1:20" ht="14.25" customHeight="1" x14ac:dyDescent="0.3">
      <c r="A321" s="136"/>
      <c r="B321" s="212"/>
      <c r="C321" s="138"/>
      <c r="D321" s="138"/>
      <c r="E321" s="138"/>
      <c r="F321" s="138"/>
      <c r="G321" s="138"/>
      <c r="H321" s="139"/>
      <c r="I321" s="138"/>
      <c r="J321" s="138"/>
      <c r="K321" s="138"/>
      <c r="L321" s="138"/>
      <c r="M321" s="139"/>
      <c r="N321" s="138"/>
      <c r="O321" s="138"/>
      <c r="P321" s="138"/>
      <c r="Q321" s="139"/>
      <c r="R321" s="139"/>
      <c r="S321" s="212"/>
      <c r="T321" s="138"/>
    </row>
    <row r="322" spans="1:20" ht="14.25" customHeight="1" x14ac:dyDescent="0.3">
      <c r="A322" s="136"/>
      <c r="B322" s="212"/>
      <c r="C322" s="138"/>
      <c r="D322" s="138"/>
      <c r="E322" s="138"/>
      <c r="F322" s="138"/>
      <c r="G322" s="138"/>
      <c r="H322" s="139"/>
      <c r="I322" s="138"/>
      <c r="J322" s="138"/>
      <c r="K322" s="138"/>
      <c r="L322" s="138"/>
      <c r="M322" s="139"/>
      <c r="N322" s="138"/>
      <c r="O322" s="138"/>
      <c r="P322" s="138"/>
      <c r="Q322" s="139"/>
      <c r="R322" s="139"/>
      <c r="S322" s="212"/>
      <c r="T322" s="138"/>
    </row>
    <row r="323" spans="1:20" ht="14.25" customHeight="1" x14ac:dyDescent="0.3">
      <c r="A323" s="136"/>
      <c r="B323" s="212"/>
      <c r="C323" s="138"/>
      <c r="D323" s="138"/>
      <c r="E323" s="138"/>
      <c r="F323" s="138"/>
      <c r="G323" s="138"/>
      <c r="H323" s="139"/>
      <c r="I323" s="138"/>
      <c r="J323" s="138"/>
      <c r="K323" s="138"/>
      <c r="L323" s="138"/>
      <c r="M323" s="139"/>
      <c r="N323" s="138"/>
      <c r="O323" s="138"/>
      <c r="P323" s="138"/>
      <c r="Q323" s="139"/>
      <c r="R323" s="139"/>
      <c r="S323" s="212"/>
      <c r="T323" s="138"/>
    </row>
    <row r="324" spans="1:20" ht="14.25" customHeight="1" x14ac:dyDescent="0.3">
      <c r="A324" s="136"/>
      <c r="B324" s="212"/>
      <c r="C324" s="138"/>
      <c r="D324" s="138"/>
      <c r="E324" s="138"/>
      <c r="F324" s="138"/>
      <c r="G324" s="138"/>
      <c r="H324" s="139"/>
      <c r="I324" s="138"/>
      <c r="J324" s="138"/>
      <c r="K324" s="138"/>
      <c r="L324" s="138"/>
      <c r="M324" s="139"/>
      <c r="N324" s="138"/>
      <c r="O324" s="138"/>
      <c r="P324" s="138"/>
      <c r="Q324" s="139"/>
      <c r="R324" s="139"/>
      <c r="S324" s="212"/>
      <c r="T324" s="138"/>
    </row>
    <row r="325" spans="1:20" ht="14.25" customHeight="1" x14ac:dyDescent="0.3">
      <c r="A325" s="136"/>
      <c r="B325" s="212"/>
      <c r="C325" s="138"/>
      <c r="D325" s="138"/>
      <c r="E325" s="138"/>
      <c r="F325" s="138"/>
      <c r="G325" s="138"/>
      <c r="H325" s="139"/>
      <c r="I325" s="138"/>
      <c r="J325" s="138"/>
      <c r="K325" s="138"/>
      <c r="L325" s="138"/>
      <c r="M325" s="139"/>
      <c r="N325" s="138"/>
      <c r="O325" s="138"/>
      <c r="P325" s="138"/>
      <c r="Q325" s="139"/>
      <c r="R325" s="139"/>
      <c r="S325" s="212"/>
      <c r="T325" s="138"/>
    </row>
    <row r="326" spans="1:20" ht="14.25" customHeight="1" x14ac:dyDescent="0.3">
      <c r="A326" s="136"/>
      <c r="B326" s="212"/>
      <c r="C326" s="138"/>
      <c r="D326" s="138"/>
      <c r="E326" s="138"/>
      <c r="F326" s="138"/>
      <c r="G326" s="138"/>
      <c r="H326" s="139"/>
      <c r="I326" s="138"/>
      <c r="J326" s="138"/>
      <c r="K326" s="138"/>
      <c r="L326" s="138"/>
      <c r="M326" s="139"/>
      <c r="N326" s="138"/>
      <c r="O326" s="138"/>
      <c r="P326" s="138"/>
      <c r="Q326" s="139"/>
      <c r="R326" s="139"/>
      <c r="S326" s="212"/>
      <c r="T326" s="138"/>
    </row>
    <row r="327" spans="1:20" ht="14.25" customHeight="1" x14ac:dyDescent="0.3">
      <c r="A327" s="136"/>
      <c r="B327" s="212"/>
      <c r="C327" s="138"/>
      <c r="D327" s="138"/>
      <c r="E327" s="138"/>
      <c r="F327" s="138"/>
      <c r="G327" s="138"/>
      <c r="H327" s="139"/>
      <c r="I327" s="138"/>
      <c r="J327" s="138"/>
      <c r="K327" s="138"/>
      <c r="L327" s="138"/>
      <c r="M327" s="139"/>
      <c r="N327" s="138"/>
      <c r="O327" s="138"/>
      <c r="P327" s="138"/>
      <c r="Q327" s="139"/>
      <c r="R327" s="139"/>
      <c r="S327" s="212"/>
      <c r="T327" s="138"/>
    </row>
    <row r="328" spans="1:20" ht="14.25" customHeight="1" x14ac:dyDescent="0.3">
      <c r="A328" s="136"/>
      <c r="B328" s="212"/>
      <c r="C328" s="138"/>
      <c r="D328" s="138"/>
      <c r="E328" s="138"/>
      <c r="F328" s="138"/>
      <c r="G328" s="138"/>
      <c r="H328" s="139"/>
      <c r="I328" s="138"/>
      <c r="J328" s="138"/>
      <c r="K328" s="138"/>
      <c r="L328" s="138"/>
      <c r="M328" s="139"/>
      <c r="N328" s="138"/>
      <c r="O328" s="138"/>
      <c r="P328" s="138"/>
      <c r="Q328" s="139"/>
      <c r="R328" s="139"/>
      <c r="S328" s="212"/>
      <c r="T328" s="138"/>
    </row>
    <row r="329" spans="1:20" ht="14.25" customHeight="1" x14ac:dyDescent="0.3">
      <c r="A329" s="136"/>
      <c r="B329" s="212"/>
      <c r="C329" s="138"/>
      <c r="D329" s="138"/>
      <c r="E329" s="138"/>
      <c r="F329" s="138"/>
      <c r="G329" s="138"/>
      <c r="H329" s="139"/>
      <c r="I329" s="138"/>
      <c r="J329" s="138"/>
      <c r="K329" s="138"/>
      <c r="L329" s="138"/>
      <c r="M329" s="139"/>
      <c r="N329" s="138"/>
      <c r="O329" s="138"/>
      <c r="P329" s="138"/>
      <c r="Q329" s="139"/>
      <c r="R329" s="139"/>
      <c r="S329" s="212"/>
      <c r="T329" s="138"/>
    </row>
    <row r="330" spans="1:20" ht="14.25" customHeight="1" x14ac:dyDescent="0.3">
      <c r="A330" s="136"/>
      <c r="B330" s="212"/>
      <c r="C330" s="138"/>
      <c r="D330" s="138"/>
      <c r="E330" s="138"/>
      <c r="F330" s="138"/>
      <c r="G330" s="138"/>
      <c r="H330" s="139"/>
      <c r="I330" s="138"/>
      <c r="J330" s="138"/>
      <c r="K330" s="138"/>
      <c r="L330" s="138"/>
      <c r="M330" s="139"/>
      <c r="N330" s="138"/>
      <c r="O330" s="138"/>
      <c r="P330" s="138"/>
      <c r="Q330" s="139"/>
      <c r="R330" s="139"/>
      <c r="S330" s="212"/>
      <c r="T330" s="138"/>
    </row>
    <row r="331" spans="1:20" ht="14.25" customHeight="1" x14ac:dyDescent="0.3">
      <c r="A331" s="136"/>
      <c r="B331" s="212"/>
      <c r="C331" s="138"/>
      <c r="D331" s="138"/>
      <c r="E331" s="138"/>
      <c r="F331" s="138"/>
      <c r="G331" s="138"/>
      <c r="H331" s="139"/>
      <c r="I331" s="138"/>
      <c r="J331" s="138"/>
      <c r="K331" s="138"/>
      <c r="L331" s="138"/>
      <c r="M331" s="139"/>
      <c r="N331" s="138"/>
      <c r="O331" s="138"/>
      <c r="P331" s="138"/>
      <c r="Q331" s="139"/>
      <c r="R331" s="139"/>
      <c r="S331" s="212"/>
      <c r="T331" s="138"/>
    </row>
    <row r="332" spans="1:20" ht="14.25" customHeight="1" x14ac:dyDescent="0.3">
      <c r="A332" s="136"/>
      <c r="B332" s="212"/>
      <c r="C332" s="138"/>
      <c r="D332" s="138"/>
      <c r="E332" s="138"/>
      <c r="F332" s="138"/>
      <c r="G332" s="138"/>
      <c r="H332" s="139"/>
      <c r="I332" s="138"/>
      <c r="J332" s="138"/>
      <c r="K332" s="138"/>
      <c r="L332" s="138"/>
      <c r="M332" s="139"/>
      <c r="N332" s="138"/>
      <c r="O332" s="138"/>
      <c r="P332" s="138"/>
      <c r="Q332" s="139"/>
      <c r="R332" s="139"/>
      <c r="S332" s="212"/>
      <c r="T332" s="138"/>
    </row>
    <row r="333" spans="1:20" ht="14.25" customHeight="1" x14ac:dyDescent="0.3">
      <c r="A333" s="136"/>
      <c r="B333" s="212"/>
      <c r="C333" s="138"/>
      <c r="D333" s="138"/>
      <c r="E333" s="138"/>
      <c r="F333" s="138"/>
      <c r="G333" s="138"/>
      <c r="H333" s="139"/>
      <c r="I333" s="138"/>
      <c r="J333" s="138"/>
      <c r="K333" s="138"/>
      <c r="L333" s="138"/>
      <c r="M333" s="139"/>
      <c r="N333" s="138"/>
      <c r="O333" s="138"/>
      <c r="P333" s="138"/>
      <c r="Q333" s="139"/>
      <c r="R333" s="139"/>
      <c r="S333" s="212"/>
      <c r="T333" s="138"/>
    </row>
    <row r="334" spans="1:20" ht="14.25" customHeight="1" x14ac:dyDescent="0.3">
      <c r="A334" s="136"/>
      <c r="B334" s="212"/>
      <c r="C334" s="138"/>
      <c r="D334" s="138"/>
      <c r="E334" s="138"/>
      <c r="F334" s="138"/>
      <c r="G334" s="138"/>
      <c r="H334" s="139"/>
      <c r="I334" s="138"/>
      <c r="J334" s="138"/>
      <c r="K334" s="138"/>
      <c r="L334" s="138"/>
      <c r="M334" s="139"/>
      <c r="N334" s="138"/>
      <c r="O334" s="138"/>
      <c r="P334" s="138"/>
      <c r="Q334" s="139"/>
      <c r="R334" s="139"/>
      <c r="S334" s="212"/>
      <c r="T334" s="138"/>
    </row>
    <row r="335" spans="1:20" ht="14.25" customHeight="1" x14ac:dyDescent="0.3">
      <c r="A335" s="136"/>
      <c r="B335" s="212"/>
      <c r="C335" s="138"/>
      <c r="D335" s="138"/>
      <c r="E335" s="138"/>
      <c r="F335" s="138"/>
      <c r="G335" s="138"/>
      <c r="H335" s="139"/>
      <c r="I335" s="138"/>
      <c r="J335" s="138"/>
      <c r="K335" s="138"/>
      <c r="L335" s="138"/>
      <c r="M335" s="139"/>
      <c r="N335" s="138"/>
      <c r="O335" s="138"/>
      <c r="P335" s="138"/>
      <c r="Q335" s="139"/>
      <c r="R335" s="139"/>
      <c r="S335" s="212"/>
      <c r="T335" s="138"/>
    </row>
    <row r="336" spans="1:20" ht="14.25" customHeight="1" x14ac:dyDescent="0.3">
      <c r="A336" s="136"/>
      <c r="B336" s="212"/>
      <c r="C336" s="138"/>
      <c r="D336" s="138"/>
      <c r="E336" s="138"/>
      <c r="F336" s="138"/>
      <c r="G336" s="138"/>
      <c r="H336" s="139"/>
      <c r="I336" s="138"/>
      <c r="J336" s="138"/>
      <c r="K336" s="138"/>
      <c r="L336" s="138"/>
      <c r="M336" s="139"/>
      <c r="N336" s="138"/>
      <c r="O336" s="138"/>
      <c r="P336" s="138"/>
      <c r="Q336" s="139"/>
      <c r="R336" s="139"/>
      <c r="S336" s="212"/>
      <c r="T336" s="138"/>
    </row>
    <row r="337" spans="1:20" ht="14.25" customHeight="1" x14ac:dyDescent="0.3">
      <c r="A337" s="136"/>
      <c r="B337" s="212"/>
      <c r="C337" s="138"/>
      <c r="D337" s="138"/>
      <c r="E337" s="138"/>
      <c r="F337" s="138"/>
      <c r="G337" s="138"/>
      <c r="H337" s="139"/>
      <c r="I337" s="138"/>
      <c r="J337" s="138"/>
      <c r="K337" s="138"/>
      <c r="L337" s="138"/>
      <c r="M337" s="139"/>
      <c r="N337" s="138"/>
      <c r="O337" s="138"/>
      <c r="P337" s="138"/>
      <c r="Q337" s="139"/>
      <c r="R337" s="139"/>
      <c r="S337" s="212"/>
      <c r="T337" s="138"/>
    </row>
    <row r="338" spans="1:20" ht="14.25" customHeight="1" x14ac:dyDescent="0.3">
      <c r="A338" s="136"/>
      <c r="B338" s="212"/>
      <c r="C338" s="138"/>
      <c r="D338" s="138"/>
      <c r="E338" s="138"/>
      <c r="F338" s="138"/>
      <c r="G338" s="138"/>
      <c r="H338" s="139"/>
      <c r="I338" s="138"/>
      <c r="J338" s="138"/>
      <c r="K338" s="138"/>
      <c r="L338" s="138"/>
      <c r="M338" s="139"/>
      <c r="N338" s="138"/>
      <c r="O338" s="138"/>
      <c r="P338" s="138"/>
      <c r="Q338" s="139"/>
      <c r="R338" s="139"/>
      <c r="S338" s="212"/>
      <c r="T338" s="138"/>
    </row>
    <row r="339" spans="1:20" ht="14.25" customHeight="1" x14ac:dyDescent="0.3">
      <c r="A339" s="136"/>
      <c r="B339" s="212"/>
      <c r="C339" s="138"/>
      <c r="D339" s="138"/>
      <c r="E339" s="138"/>
      <c r="F339" s="138"/>
      <c r="G339" s="138"/>
      <c r="H339" s="139"/>
      <c r="I339" s="138"/>
      <c r="J339" s="138"/>
      <c r="K339" s="138"/>
      <c r="L339" s="138"/>
      <c r="M339" s="139"/>
      <c r="N339" s="138"/>
      <c r="O339" s="138"/>
      <c r="P339" s="138"/>
      <c r="Q339" s="139"/>
      <c r="R339" s="139"/>
      <c r="S339" s="212"/>
      <c r="T339" s="138"/>
    </row>
    <row r="340" spans="1:20" ht="14.25" customHeight="1" x14ac:dyDescent="0.3">
      <c r="A340" s="136"/>
      <c r="B340" s="212"/>
      <c r="C340" s="138"/>
      <c r="D340" s="138"/>
      <c r="E340" s="138"/>
      <c r="F340" s="138"/>
      <c r="G340" s="138"/>
      <c r="H340" s="139"/>
      <c r="I340" s="138"/>
      <c r="J340" s="138"/>
      <c r="K340" s="138"/>
      <c r="L340" s="138"/>
      <c r="M340" s="139"/>
      <c r="N340" s="138"/>
      <c r="O340" s="138"/>
      <c r="P340" s="138"/>
      <c r="Q340" s="139"/>
      <c r="R340" s="139"/>
      <c r="S340" s="212"/>
      <c r="T340" s="138"/>
    </row>
    <row r="341" spans="1:20" ht="14.25" customHeight="1" x14ac:dyDescent="0.3">
      <c r="A341" s="136"/>
      <c r="B341" s="212"/>
      <c r="C341" s="138"/>
      <c r="D341" s="138"/>
      <c r="E341" s="138"/>
      <c r="F341" s="138"/>
      <c r="G341" s="138"/>
      <c r="H341" s="139"/>
      <c r="I341" s="138"/>
      <c r="J341" s="138"/>
      <c r="K341" s="138"/>
      <c r="L341" s="138"/>
      <c r="M341" s="139"/>
      <c r="N341" s="138"/>
      <c r="O341" s="138"/>
      <c r="P341" s="138"/>
      <c r="Q341" s="139"/>
      <c r="R341" s="139"/>
      <c r="S341" s="212"/>
      <c r="T341" s="138"/>
    </row>
    <row r="342" spans="1:20" ht="14.25" customHeight="1" x14ac:dyDescent="0.3">
      <c r="A342" s="136"/>
      <c r="B342" s="212"/>
      <c r="C342" s="138"/>
      <c r="D342" s="138"/>
      <c r="E342" s="138"/>
      <c r="F342" s="138"/>
      <c r="G342" s="138"/>
      <c r="H342" s="139"/>
      <c r="I342" s="138"/>
      <c r="J342" s="138"/>
      <c r="K342" s="138"/>
      <c r="L342" s="138"/>
      <c r="M342" s="139"/>
      <c r="N342" s="138"/>
      <c r="O342" s="138"/>
      <c r="P342" s="138"/>
      <c r="Q342" s="139"/>
      <c r="R342" s="139"/>
      <c r="S342" s="212"/>
      <c r="T342" s="138"/>
    </row>
    <row r="343" spans="1:20" ht="14.25" customHeight="1" x14ac:dyDescent="0.3">
      <c r="A343" s="136"/>
      <c r="B343" s="212"/>
      <c r="C343" s="138"/>
      <c r="D343" s="138"/>
      <c r="E343" s="138"/>
      <c r="F343" s="138"/>
      <c r="G343" s="138"/>
      <c r="H343" s="139"/>
      <c r="I343" s="138"/>
      <c r="J343" s="138"/>
      <c r="K343" s="138"/>
      <c r="L343" s="138"/>
      <c r="M343" s="139"/>
      <c r="N343" s="138"/>
      <c r="O343" s="138"/>
      <c r="P343" s="138"/>
      <c r="Q343" s="139"/>
      <c r="R343" s="139"/>
      <c r="S343" s="212"/>
      <c r="T343" s="138"/>
    </row>
    <row r="344" spans="1:20" ht="14.25" customHeight="1" x14ac:dyDescent="0.3">
      <c r="A344" s="136"/>
      <c r="B344" s="212"/>
      <c r="C344" s="138"/>
      <c r="D344" s="138"/>
      <c r="E344" s="138"/>
      <c r="F344" s="138"/>
      <c r="G344" s="138"/>
      <c r="H344" s="139"/>
      <c r="I344" s="138"/>
      <c r="J344" s="138"/>
      <c r="K344" s="138"/>
      <c r="L344" s="138"/>
      <c r="M344" s="139"/>
      <c r="N344" s="138"/>
      <c r="O344" s="138"/>
      <c r="P344" s="138"/>
      <c r="Q344" s="139"/>
      <c r="R344" s="139"/>
      <c r="S344" s="212"/>
      <c r="T344" s="138"/>
    </row>
    <row r="345" spans="1:20" ht="14.25" customHeight="1" x14ac:dyDescent="0.3">
      <c r="A345" s="136"/>
      <c r="B345" s="212"/>
      <c r="C345" s="138"/>
      <c r="D345" s="138"/>
      <c r="E345" s="138"/>
      <c r="F345" s="138"/>
      <c r="G345" s="138"/>
      <c r="H345" s="139"/>
      <c r="I345" s="138"/>
      <c r="J345" s="138"/>
      <c r="K345" s="138"/>
      <c r="L345" s="138"/>
      <c r="M345" s="139"/>
      <c r="N345" s="138"/>
      <c r="O345" s="138"/>
      <c r="P345" s="138"/>
      <c r="Q345" s="139"/>
      <c r="R345" s="139"/>
      <c r="S345" s="212"/>
      <c r="T345" s="138"/>
    </row>
    <row r="346" spans="1:20" ht="14.25" customHeight="1" x14ac:dyDescent="0.3">
      <c r="A346" s="136"/>
      <c r="B346" s="212"/>
      <c r="C346" s="138"/>
      <c r="D346" s="138"/>
      <c r="E346" s="138"/>
      <c r="F346" s="138"/>
      <c r="G346" s="138"/>
      <c r="H346" s="139"/>
      <c r="I346" s="138"/>
      <c r="J346" s="138"/>
      <c r="K346" s="138"/>
      <c r="L346" s="138"/>
      <c r="M346" s="139"/>
      <c r="N346" s="138"/>
      <c r="O346" s="138"/>
      <c r="P346" s="138"/>
      <c r="Q346" s="139"/>
      <c r="R346" s="139"/>
      <c r="S346" s="212"/>
      <c r="T346" s="138"/>
    </row>
    <row r="347" spans="1:20" ht="14.25" customHeight="1" x14ac:dyDescent="0.3">
      <c r="A347" s="136"/>
      <c r="B347" s="212"/>
      <c r="C347" s="138"/>
      <c r="D347" s="138"/>
      <c r="E347" s="138"/>
      <c r="F347" s="138"/>
      <c r="G347" s="138"/>
      <c r="H347" s="139"/>
      <c r="I347" s="138"/>
      <c r="J347" s="138"/>
      <c r="K347" s="138"/>
      <c r="L347" s="138"/>
      <c r="M347" s="139"/>
      <c r="N347" s="138"/>
      <c r="O347" s="138"/>
      <c r="P347" s="138"/>
      <c r="Q347" s="139"/>
      <c r="R347" s="139"/>
      <c r="S347" s="212"/>
      <c r="T347" s="138"/>
    </row>
    <row r="348" spans="1:20" ht="14.25" customHeight="1" x14ac:dyDescent="0.3">
      <c r="A348" s="136"/>
      <c r="B348" s="212"/>
      <c r="C348" s="138"/>
      <c r="D348" s="138"/>
      <c r="E348" s="138"/>
      <c r="F348" s="138"/>
      <c r="G348" s="138"/>
      <c r="H348" s="139"/>
      <c r="I348" s="138"/>
      <c r="J348" s="138"/>
      <c r="K348" s="138"/>
      <c r="L348" s="138"/>
      <c r="M348" s="139"/>
      <c r="N348" s="138"/>
      <c r="O348" s="138"/>
      <c r="P348" s="138"/>
      <c r="Q348" s="139"/>
      <c r="R348" s="139"/>
      <c r="S348" s="212"/>
      <c r="T348" s="138"/>
    </row>
    <row r="349" spans="1:20" ht="14.25" customHeight="1" x14ac:dyDescent="0.3">
      <c r="A349" s="136"/>
      <c r="B349" s="212"/>
      <c r="C349" s="138"/>
      <c r="D349" s="138"/>
      <c r="E349" s="138"/>
      <c r="F349" s="138"/>
      <c r="G349" s="138"/>
      <c r="H349" s="139"/>
      <c r="I349" s="138"/>
      <c r="J349" s="138"/>
      <c r="K349" s="138"/>
      <c r="L349" s="138"/>
      <c r="M349" s="139"/>
      <c r="N349" s="138"/>
      <c r="O349" s="138"/>
      <c r="P349" s="138"/>
      <c r="Q349" s="139"/>
      <c r="R349" s="139"/>
      <c r="S349" s="212"/>
      <c r="T349" s="138"/>
    </row>
    <row r="350" spans="1:20" ht="14.25" customHeight="1" x14ac:dyDescent="0.3">
      <c r="A350" s="136"/>
      <c r="B350" s="212"/>
      <c r="C350" s="138"/>
      <c r="D350" s="138"/>
      <c r="E350" s="138"/>
      <c r="F350" s="138"/>
      <c r="G350" s="138"/>
      <c r="H350" s="139"/>
      <c r="I350" s="138"/>
      <c r="J350" s="138"/>
      <c r="K350" s="138"/>
      <c r="L350" s="138"/>
      <c r="M350" s="139"/>
      <c r="N350" s="138"/>
      <c r="O350" s="138"/>
      <c r="P350" s="138"/>
      <c r="Q350" s="139"/>
      <c r="R350" s="139"/>
      <c r="S350" s="212"/>
      <c r="T350" s="138"/>
    </row>
    <row r="351" spans="1:20" ht="14.25" customHeight="1" x14ac:dyDescent="0.3">
      <c r="A351" s="136"/>
      <c r="B351" s="212"/>
      <c r="C351" s="138"/>
      <c r="D351" s="138"/>
      <c r="E351" s="138"/>
      <c r="F351" s="138"/>
      <c r="G351" s="138"/>
      <c r="H351" s="139"/>
      <c r="I351" s="138"/>
      <c r="J351" s="138"/>
      <c r="K351" s="138"/>
      <c r="L351" s="138"/>
      <c r="M351" s="139"/>
      <c r="N351" s="138"/>
      <c r="O351" s="138"/>
      <c r="P351" s="138"/>
      <c r="Q351" s="139"/>
      <c r="R351" s="139"/>
      <c r="S351" s="212"/>
      <c r="T351" s="138"/>
    </row>
    <row r="352" spans="1:20" ht="14.25" customHeight="1" x14ac:dyDescent="0.3">
      <c r="A352" s="136"/>
      <c r="B352" s="212"/>
      <c r="C352" s="138"/>
      <c r="D352" s="138"/>
      <c r="E352" s="138"/>
      <c r="F352" s="138"/>
      <c r="G352" s="138"/>
      <c r="H352" s="139"/>
      <c r="I352" s="138"/>
      <c r="J352" s="138"/>
      <c r="K352" s="138"/>
      <c r="L352" s="138"/>
      <c r="M352" s="139"/>
      <c r="N352" s="138"/>
      <c r="O352" s="138"/>
      <c r="P352" s="138"/>
      <c r="Q352" s="139"/>
      <c r="R352" s="139"/>
      <c r="S352" s="212"/>
      <c r="T352" s="138"/>
    </row>
    <row r="353" spans="1:20" ht="14.25" customHeight="1" x14ac:dyDescent="0.3">
      <c r="A353" s="136"/>
      <c r="B353" s="212"/>
      <c r="C353" s="138"/>
      <c r="D353" s="138"/>
      <c r="E353" s="138"/>
      <c r="F353" s="138"/>
      <c r="G353" s="138"/>
      <c r="H353" s="139"/>
      <c r="I353" s="138"/>
      <c r="J353" s="138"/>
      <c r="K353" s="138"/>
      <c r="L353" s="138"/>
      <c r="M353" s="139"/>
      <c r="N353" s="138"/>
      <c r="O353" s="138"/>
      <c r="P353" s="138"/>
      <c r="Q353" s="139"/>
      <c r="R353" s="139"/>
      <c r="S353" s="212"/>
      <c r="T353" s="138"/>
    </row>
    <row r="354" spans="1:20" ht="14.25" customHeight="1" x14ac:dyDescent="0.3">
      <c r="A354" s="136"/>
      <c r="B354" s="212"/>
      <c r="C354" s="138"/>
      <c r="D354" s="138"/>
      <c r="E354" s="138"/>
      <c r="F354" s="138"/>
      <c r="G354" s="138"/>
      <c r="H354" s="139"/>
      <c r="I354" s="138"/>
      <c r="J354" s="138"/>
      <c r="K354" s="138"/>
      <c r="L354" s="138"/>
      <c r="M354" s="139"/>
      <c r="N354" s="138"/>
      <c r="O354" s="138"/>
      <c r="P354" s="138"/>
      <c r="Q354" s="139"/>
      <c r="R354" s="139"/>
      <c r="S354" s="212"/>
      <c r="T354" s="138"/>
    </row>
    <row r="355" spans="1:20" ht="14.25" customHeight="1" x14ac:dyDescent="0.3">
      <c r="A355" s="136"/>
      <c r="B355" s="212"/>
      <c r="C355" s="138"/>
      <c r="D355" s="138"/>
      <c r="E355" s="138"/>
      <c r="F355" s="138"/>
      <c r="G355" s="138"/>
      <c r="H355" s="139"/>
      <c r="I355" s="138"/>
      <c r="J355" s="138"/>
      <c r="K355" s="138"/>
      <c r="L355" s="138"/>
      <c r="M355" s="139"/>
      <c r="N355" s="138"/>
      <c r="O355" s="138"/>
      <c r="P355" s="138"/>
      <c r="Q355" s="139"/>
      <c r="R355" s="139"/>
      <c r="S355" s="212"/>
      <c r="T355" s="138"/>
    </row>
    <row r="356" spans="1:20" ht="14.25" customHeight="1" x14ac:dyDescent="0.3">
      <c r="A356" s="136"/>
      <c r="B356" s="212"/>
      <c r="C356" s="138"/>
      <c r="D356" s="138"/>
      <c r="E356" s="138"/>
      <c r="F356" s="138"/>
      <c r="G356" s="138"/>
      <c r="H356" s="139"/>
      <c r="I356" s="138"/>
      <c r="J356" s="138"/>
      <c r="K356" s="138"/>
      <c r="L356" s="138"/>
      <c r="M356" s="139"/>
      <c r="N356" s="138"/>
      <c r="O356" s="138"/>
      <c r="P356" s="138"/>
      <c r="Q356" s="139"/>
      <c r="R356" s="139"/>
      <c r="S356" s="212"/>
      <c r="T356" s="138"/>
    </row>
    <row r="357" spans="1:20" ht="14.25" customHeight="1" x14ac:dyDescent="0.3">
      <c r="A357" s="136"/>
      <c r="B357" s="212"/>
      <c r="C357" s="138"/>
      <c r="D357" s="138"/>
      <c r="E357" s="138"/>
      <c r="F357" s="138"/>
      <c r="G357" s="138"/>
      <c r="H357" s="139"/>
      <c r="I357" s="138"/>
      <c r="J357" s="138"/>
      <c r="K357" s="138"/>
      <c r="L357" s="138"/>
      <c r="M357" s="139"/>
      <c r="N357" s="138"/>
      <c r="O357" s="138"/>
      <c r="P357" s="138"/>
      <c r="Q357" s="139"/>
      <c r="R357" s="139"/>
      <c r="S357" s="212"/>
      <c r="T357" s="138"/>
    </row>
    <row r="358" spans="1:20" ht="14.25" customHeight="1" x14ac:dyDescent="0.3">
      <c r="A358" s="136"/>
      <c r="B358" s="212"/>
      <c r="C358" s="138"/>
      <c r="D358" s="138"/>
      <c r="E358" s="138"/>
      <c r="F358" s="138"/>
      <c r="G358" s="138"/>
      <c r="H358" s="139"/>
      <c r="I358" s="138"/>
      <c r="J358" s="138"/>
      <c r="K358" s="138"/>
      <c r="L358" s="138"/>
      <c r="M358" s="139"/>
      <c r="N358" s="138"/>
      <c r="O358" s="138"/>
      <c r="P358" s="138"/>
      <c r="Q358" s="139"/>
      <c r="R358" s="139"/>
      <c r="S358" s="212"/>
      <c r="T358" s="138"/>
    </row>
    <row r="359" spans="1:20" ht="14.25" customHeight="1" x14ac:dyDescent="0.3">
      <c r="A359" s="136"/>
      <c r="B359" s="212"/>
      <c r="C359" s="138"/>
      <c r="D359" s="138"/>
      <c r="E359" s="138"/>
      <c r="F359" s="138"/>
      <c r="G359" s="138"/>
      <c r="H359" s="139"/>
      <c r="I359" s="138"/>
      <c r="J359" s="138"/>
      <c r="K359" s="138"/>
      <c r="L359" s="138"/>
      <c r="M359" s="139"/>
      <c r="N359" s="138"/>
      <c r="O359" s="138"/>
      <c r="P359" s="138"/>
      <c r="Q359" s="139"/>
      <c r="R359" s="139"/>
      <c r="S359" s="212"/>
      <c r="T359" s="138"/>
    </row>
    <row r="360" spans="1:20" ht="14.25" customHeight="1" x14ac:dyDescent="0.3">
      <c r="A360" s="136"/>
      <c r="B360" s="212"/>
      <c r="C360" s="138"/>
      <c r="D360" s="138"/>
      <c r="E360" s="138"/>
      <c r="F360" s="138"/>
      <c r="G360" s="138"/>
      <c r="H360" s="139"/>
      <c r="I360" s="138"/>
      <c r="J360" s="138"/>
      <c r="K360" s="138"/>
      <c r="L360" s="138"/>
      <c r="M360" s="139"/>
      <c r="N360" s="138"/>
      <c r="O360" s="138"/>
      <c r="P360" s="138"/>
      <c r="Q360" s="139"/>
      <c r="R360" s="139"/>
      <c r="S360" s="212"/>
      <c r="T360" s="138"/>
    </row>
    <row r="361" spans="1:20" ht="14.25" customHeight="1" x14ac:dyDescent="0.3">
      <c r="A361" s="136"/>
      <c r="B361" s="212"/>
      <c r="C361" s="138"/>
      <c r="D361" s="138"/>
      <c r="E361" s="138"/>
      <c r="F361" s="138"/>
      <c r="G361" s="138"/>
      <c r="H361" s="139"/>
      <c r="I361" s="138"/>
      <c r="J361" s="138"/>
      <c r="K361" s="138"/>
      <c r="L361" s="138"/>
      <c r="M361" s="139"/>
      <c r="N361" s="138"/>
      <c r="O361" s="138"/>
      <c r="P361" s="138"/>
      <c r="Q361" s="139"/>
      <c r="R361" s="139"/>
      <c r="S361" s="212"/>
      <c r="T361" s="138"/>
    </row>
    <row r="362" spans="1:20" ht="14.25" customHeight="1" x14ac:dyDescent="0.3">
      <c r="A362" s="136"/>
      <c r="B362" s="212"/>
      <c r="C362" s="138"/>
      <c r="D362" s="138"/>
      <c r="E362" s="138"/>
      <c r="F362" s="138"/>
      <c r="G362" s="138"/>
      <c r="H362" s="139"/>
      <c r="I362" s="138"/>
      <c r="J362" s="138"/>
      <c r="K362" s="138"/>
      <c r="L362" s="138"/>
      <c r="M362" s="139"/>
      <c r="N362" s="138"/>
      <c r="O362" s="138"/>
      <c r="P362" s="138"/>
      <c r="Q362" s="139"/>
      <c r="R362" s="139"/>
      <c r="S362" s="212"/>
      <c r="T362" s="138"/>
    </row>
    <row r="363" spans="1:20" ht="14.25" customHeight="1" x14ac:dyDescent="0.3">
      <c r="A363" s="136"/>
      <c r="B363" s="212"/>
      <c r="C363" s="138"/>
      <c r="D363" s="138"/>
      <c r="E363" s="138"/>
      <c r="F363" s="138"/>
      <c r="G363" s="138"/>
      <c r="H363" s="139"/>
      <c r="I363" s="138"/>
      <c r="J363" s="138"/>
      <c r="K363" s="138"/>
      <c r="L363" s="138"/>
      <c r="M363" s="139"/>
      <c r="N363" s="138"/>
      <c r="O363" s="138"/>
      <c r="P363" s="138"/>
      <c r="Q363" s="139"/>
      <c r="R363" s="139"/>
      <c r="S363" s="212"/>
      <c r="T363" s="138"/>
    </row>
    <row r="364" spans="1:20" ht="14.25" customHeight="1" x14ac:dyDescent="0.3">
      <c r="A364" s="136"/>
      <c r="B364" s="212"/>
      <c r="C364" s="138"/>
      <c r="D364" s="138"/>
      <c r="E364" s="138"/>
      <c r="F364" s="138"/>
      <c r="G364" s="138"/>
      <c r="H364" s="139"/>
      <c r="I364" s="138"/>
      <c r="J364" s="138"/>
      <c r="K364" s="138"/>
      <c r="L364" s="138"/>
      <c r="M364" s="139"/>
      <c r="N364" s="138"/>
      <c r="O364" s="138"/>
      <c r="P364" s="138"/>
      <c r="Q364" s="139"/>
      <c r="R364" s="139"/>
      <c r="S364" s="212"/>
      <c r="T364" s="138"/>
    </row>
    <row r="365" spans="1:20" ht="14.25" customHeight="1" x14ac:dyDescent="0.3">
      <c r="A365" s="136"/>
      <c r="B365" s="212"/>
      <c r="C365" s="138"/>
      <c r="D365" s="138"/>
      <c r="E365" s="138"/>
      <c r="F365" s="138"/>
      <c r="G365" s="138"/>
      <c r="H365" s="139"/>
      <c r="I365" s="138"/>
      <c r="J365" s="138"/>
      <c r="K365" s="138"/>
      <c r="L365" s="138"/>
      <c r="M365" s="139"/>
      <c r="N365" s="138"/>
      <c r="O365" s="138"/>
      <c r="P365" s="138"/>
      <c r="Q365" s="139"/>
      <c r="R365" s="139"/>
      <c r="S365" s="212"/>
      <c r="T365" s="138"/>
    </row>
    <row r="366" spans="1:20" ht="14.25" customHeight="1" x14ac:dyDescent="0.3">
      <c r="A366" s="136"/>
      <c r="B366" s="212"/>
      <c r="C366" s="138"/>
      <c r="D366" s="138"/>
      <c r="E366" s="138"/>
      <c r="F366" s="138"/>
      <c r="G366" s="138"/>
      <c r="H366" s="139"/>
      <c r="I366" s="138"/>
      <c r="J366" s="138"/>
      <c r="K366" s="138"/>
      <c r="L366" s="138"/>
      <c r="M366" s="139"/>
      <c r="N366" s="138"/>
      <c r="O366" s="138"/>
      <c r="P366" s="138"/>
      <c r="Q366" s="139"/>
      <c r="R366" s="139"/>
      <c r="S366" s="212"/>
      <c r="T366" s="138"/>
    </row>
    <row r="367" spans="1:20" ht="14.25" customHeight="1" x14ac:dyDescent="0.3">
      <c r="A367" s="136"/>
      <c r="B367" s="212"/>
      <c r="C367" s="138"/>
      <c r="D367" s="138"/>
      <c r="E367" s="138"/>
      <c r="F367" s="138"/>
      <c r="G367" s="138"/>
      <c r="H367" s="139"/>
      <c r="I367" s="138"/>
      <c r="J367" s="138"/>
      <c r="K367" s="138"/>
      <c r="L367" s="138"/>
      <c r="M367" s="139"/>
      <c r="N367" s="138"/>
      <c r="O367" s="138"/>
      <c r="P367" s="138"/>
      <c r="Q367" s="139"/>
      <c r="R367" s="139"/>
      <c r="S367" s="212"/>
      <c r="T367" s="138"/>
    </row>
    <row r="368" spans="1:20" ht="14.25" customHeight="1" x14ac:dyDescent="0.3">
      <c r="A368" s="136"/>
      <c r="B368" s="212"/>
      <c r="C368" s="138"/>
      <c r="D368" s="138"/>
      <c r="E368" s="138"/>
      <c r="F368" s="138"/>
      <c r="G368" s="138"/>
      <c r="H368" s="139"/>
      <c r="I368" s="138"/>
      <c r="J368" s="138"/>
      <c r="K368" s="138"/>
      <c r="L368" s="138"/>
      <c r="M368" s="139"/>
      <c r="N368" s="138"/>
      <c r="O368" s="138"/>
      <c r="P368" s="138"/>
      <c r="Q368" s="139"/>
      <c r="R368" s="139"/>
      <c r="S368" s="212"/>
      <c r="T368" s="138"/>
    </row>
    <row r="369" spans="1:20" ht="14.25" customHeight="1" x14ac:dyDescent="0.3">
      <c r="A369" s="136"/>
      <c r="B369" s="212"/>
      <c r="C369" s="138"/>
      <c r="D369" s="138"/>
      <c r="E369" s="138"/>
      <c r="F369" s="138"/>
      <c r="G369" s="138"/>
      <c r="H369" s="139"/>
      <c r="I369" s="138"/>
      <c r="J369" s="138"/>
      <c r="K369" s="138"/>
      <c r="L369" s="138"/>
      <c r="M369" s="139"/>
      <c r="N369" s="138"/>
      <c r="O369" s="138"/>
      <c r="P369" s="138"/>
      <c r="Q369" s="139"/>
      <c r="R369" s="139"/>
      <c r="S369" s="212"/>
      <c r="T369" s="138"/>
    </row>
    <row r="370" spans="1:20" ht="14.25" customHeight="1" x14ac:dyDescent="0.3">
      <c r="A370" s="136"/>
      <c r="B370" s="212"/>
      <c r="C370" s="138"/>
      <c r="D370" s="138"/>
      <c r="E370" s="138"/>
      <c r="F370" s="138"/>
      <c r="G370" s="138"/>
      <c r="H370" s="139"/>
      <c r="I370" s="138"/>
      <c r="J370" s="138"/>
      <c r="K370" s="138"/>
      <c r="L370" s="138"/>
      <c r="M370" s="139"/>
      <c r="N370" s="138"/>
      <c r="O370" s="138"/>
      <c r="P370" s="138"/>
      <c r="Q370" s="139"/>
      <c r="R370" s="139"/>
      <c r="S370" s="212"/>
      <c r="T370" s="138"/>
    </row>
    <row r="371" spans="1:20" ht="14.25" customHeight="1" x14ac:dyDescent="0.3">
      <c r="A371" s="136"/>
      <c r="B371" s="212"/>
      <c r="C371" s="138"/>
      <c r="D371" s="138"/>
      <c r="E371" s="138"/>
      <c r="F371" s="138"/>
      <c r="G371" s="138"/>
      <c r="H371" s="139"/>
      <c r="I371" s="138"/>
      <c r="J371" s="138"/>
      <c r="K371" s="138"/>
      <c r="L371" s="138"/>
      <c r="M371" s="139"/>
      <c r="N371" s="138"/>
      <c r="O371" s="138"/>
      <c r="P371" s="138"/>
      <c r="Q371" s="139"/>
      <c r="R371" s="139"/>
      <c r="S371" s="212"/>
      <c r="T371" s="138"/>
    </row>
    <row r="372" spans="1:20" ht="14.25" customHeight="1" x14ac:dyDescent="0.3">
      <c r="A372" s="136"/>
      <c r="B372" s="212"/>
      <c r="C372" s="138"/>
      <c r="D372" s="138"/>
      <c r="E372" s="138"/>
      <c r="F372" s="138"/>
      <c r="G372" s="138"/>
      <c r="H372" s="139"/>
      <c r="I372" s="138"/>
      <c r="J372" s="138"/>
      <c r="K372" s="138"/>
      <c r="L372" s="138"/>
      <c r="M372" s="139"/>
      <c r="N372" s="138"/>
      <c r="O372" s="138"/>
      <c r="P372" s="138"/>
      <c r="Q372" s="139"/>
      <c r="R372" s="139"/>
      <c r="S372" s="212"/>
      <c r="T372" s="138"/>
    </row>
    <row r="373" spans="1:20" ht="14.25" customHeight="1" x14ac:dyDescent="0.3">
      <c r="A373" s="136"/>
      <c r="B373" s="212"/>
      <c r="C373" s="138"/>
      <c r="D373" s="138"/>
      <c r="E373" s="138"/>
      <c r="F373" s="138"/>
      <c r="G373" s="138"/>
      <c r="H373" s="139"/>
      <c r="I373" s="138"/>
      <c r="J373" s="138"/>
      <c r="K373" s="138"/>
      <c r="L373" s="138"/>
      <c r="M373" s="139"/>
      <c r="N373" s="138"/>
      <c r="O373" s="138"/>
      <c r="P373" s="138"/>
      <c r="Q373" s="139"/>
      <c r="R373" s="139"/>
      <c r="S373" s="212"/>
      <c r="T373" s="138"/>
    </row>
    <row r="374" spans="1:20" ht="14.25" customHeight="1" x14ac:dyDescent="0.3">
      <c r="A374" s="136"/>
      <c r="B374" s="212"/>
      <c r="C374" s="138"/>
      <c r="D374" s="138"/>
      <c r="E374" s="138"/>
      <c r="F374" s="138"/>
      <c r="G374" s="138"/>
      <c r="H374" s="139"/>
      <c r="I374" s="138"/>
      <c r="J374" s="138"/>
      <c r="K374" s="138"/>
      <c r="L374" s="138"/>
      <c r="M374" s="139"/>
      <c r="N374" s="138"/>
      <c r="O374" s="138"/>
      <c r="P374" s="138"/>
      <c r="Q374" s="139"/>
      <c r="R374" s="139"/>
      <c r="S374" s="212"/>
      <c r="T374" s="138"/>
    </row>
    <row r="375" spans="1:20" ht="14.25" customHeight="1" x14ac:dyDescent="0.3">
      <c r="A375" s="136"/>
      <c r="B375" s="212"/>
      <c r="C375" s="138"/>
      <c r="D375" s="138"/>
      <c r="E375" s="138"/>
      <c r="F375" s="138"/>
      <c r="G375" s="138"/>
      <c r="H375" s="139"/>
      <c r="I375" s="138"/>
      <c r="J375" s="138"/>
      <c r="K375" s="138"/>
      <c r="L375" s="138"/>
      <c r="M375" s="139"/>
      <c r="N375" s="138"/>
      <c r="O375" s="138"/>
      <c r="P375" s="138"/>
      <c r="Q375" s="139"/>
      <c r="R375" s="139"/>
      <c r="S375" s="212"/>
      <c r="T375" s="138"/>
    </row>
    <row r="376" spans="1:20" ht="14.25" customHeight="1" x14ac:dyDescent="0.3">
      <c r="A376" s="136"/>
      <c r="B376" s="212"/>
      <c r="C376" s="138"/>
      <c r="D376" s="138"/>
      <c r="E376" s="138"/>
      <c r="F376" s="138"/>
      <c r="G376" s="138"/>
      <c r="H376" s="139"/>
      <c r="I376" s="138"/>
      <c r="J376" s="138"/>
      <c r="K376" s="138"/>
      <c r="L376" s="138"/>
      <c r="M376" s="139"/>
      <c r="N376" s="138"/>
      <c r="O376" s="138"/>
      <c r="P376" s="138"/>
      <c r="Q376" s="139"/>
      <c r="R376" s="139"/>
      <c r="S376" s="212"/>
      <c r="T376" s="138"/>
    </row>
    <row r="377" spans="1:20" ht="14.25" customHeight="1" x14ac:dyDescent="0.3">
      <c r="A377" s="136"/>
      <c r="B377" s="212"/>
      <c r="C377" s="138"/>
      <c r="D377" s="138"/>
      <c r="E377" s="138"/>
      <c r="F377" s="138"/>
      <c r="G377" s="138"/>
      <c r="H377" s="139"/>
      <c r="I377" s="138"/>
      <c r="J377" s="138"/>
      <c r="K377" s="138"/>
      <c r="L377" s="138"/>
      <c r="M377" s="139"/>
      <c r="N377" s="138"/>
      <c r="O377" s="138"/>
      <c r="P377" s="138"/>
      <c r="Q377" s="139"/>
      <c r="R377" s="139"/>
      <c r="S377" s="212"/>
      <c r="T377" s="138"/>
    </row>
    <row r="378" spans="1:20" ht="14.25" customHeight="1" x14ac:dyDescent="0.3">
      <c r="A378" s="136"/>
      <c r="B378" s="212"/>
      <c r="C378" s="138"/>
      <c r="D378" s="138"/>
      <c r="E378" s="138"/>
      <c r="F378" s="138"/>
      <c r="G378" s="138"/>
      <c r="H378" s="139"/>
      <c r="I378" s="138"/>
      <c r="J378" s="138"/>
      <c r="K378" s="138"/>
      <c r="L378" s="138"/>
      <c r="M378" s="139"/>
      <c r="N378" s="138"/>
      <c r="O378" s="138"/>
      <c r="P378" s="138"/>
      <c r="Q378" s="139"/>
      <c r="R378" s="139"/>
      <c r="S378" s="212"/>
      <c r="T378" s="138"/>
    </row>
    <row r="379" spans="1:20" ht="14.25" customHeight="1" x14ac:dyDescent="0.3">
      <c r="A379" s="136"/>
      <c r="B379" s="212"/>
      <c r="C379" s="138"/>
      <c r="D379" s="138"/>
      <c r="E379" s="138"/>
      <c r="F379" s="138"/>
      <c r="G379" s="138"/>
      <c r="H379" s="139"/>
      <c r="I379" s="138"/>
      <c r="J379" s="138"/>
      <c r="K379" s="138"/>
      <c r="L379" s="138"/>
      <c r="M379" s="139"/>
      <c r="N379" s="138"/>
      <c r="O379" s="138"/>
      <c r="P379" s="138"/>
      <c r="Q379" s="139"/>
      <c r="R379" s="139"/>
      <c r="S379" s="212"/>
      <c r="T379" s="138"/>
    </row>
    <row r="380" spans="1:20" ht="14.25" customHeight="1" x14ac:dyDescent="0.3">
      <c r="A380" s="136"/>
      <c r="B380" s="212"/>
      <c r="C380" s="138"/>
      <c r="D380" s="138"/>
      <c r="E380" s="138"/>
      <c r="F380" s="138"/>
      <c r="G380" s="138"/>
      <c r="H380" s="139"/>
      <c r="I380" s="138"/>
      <c r="J380" s="138"/>
      <c r="K380" s="138"/>
      <c r="L380" s="138"/>
      <c r="M380" s="139"/>
      <c r="N380" s="138"/>
      <c r="O380" s="138"/>
      <c r="P380" s="138"/>
      <c r="Q380" s="139"/>
      <c r="R380" s="139"/>
      <c r="S380" s="212"/>
      <c r="T380" s="138"/>
    </row>
    <row r="381" spans="1:20" ht="14.25" customHeight="1" x14ac:dyDescent="0.3">
      <c r="A381" s="136"/>
      <c r="B381" s="212"/>
      <c r="C381" s="138"/>
      <c r="D381" s="138"/>
      <c r="E381" s="138"/>
      <c r="F381" s="138"/>
      <c r="G381" s="138"/>
      <c r="H381" s="139"/>
      <c r="I381" s="138"/>
      <c r="J381" s="138"/>
      <c r="K381" s="138"/>
      <c r="L381" s="138"/>
      <c r="M381" s="139"/>
      <c r="N381" s="138"/>
      <c r="O381" s="138"/>
      <c r="P381" s="138"/>
      <c r="Q381" s="139"/>
      <c r="R381" s="139"/>
      <c r="S381" s="212"/>
      <c r="T381" s="138"/>
    </row>
    <row r="382" spans="1:20" ht="14.25" customHeight="1" x14ac:dyDescent="0.3">
      <c r="A382" s="136"/>
      <c r="B382" s="212"/>
      <c r="C382" s="138"/>
      <c r="D382" s="138"/>
      <c r="E382" s="138"/>
      <c r="F382" s="138"/>
      <c r="G382" s="138"/>
      <c r="H382" s="139"/>
      <c r="I382" s="138"/>
      <c r="J382" s="138"/>
      <c r="K382" s="138"/>
      <c r="L382" s="138"/>
      <c r="M382" s="139"/>
      <c r="N382" s="138"/>
      <c r="O382" s="138"/>
      <c r="P382" s="138"/>
      <c r="Q382" s="139"/>
      <c r="R382" s="139"/>
      <c r="S382" s="212"/>
      <c r="T382" s="138"/>
    </row>
    <row r="383" spans="1:20" ht="14.25" customHeight="1" x14ac:dyDescent="0.3">
      <c r="A383" s="136"/>
      <c r="B383" s="212"/>
      <c r="C383" s="138"/>
      <c r="D383" s="138"/>
      <c r="E383" s="138"/>
      <c r="F383" s="138"/>
      <c r="G383" s="138"/>
      <c r="H383" s="139"/>
      <c r="I383" s="138"/>
      <c r="J383" s="138"/>
      <c r="K383" s="138"/>
      <c r="L383" s="138"/>
      <c r="M383" s="139"/>
      <c r="N383" s="138"/>
      <c r="O383" s="138"/>
      <c r="P383" s="138"/>
      <c r="Q383" s="139"/>
      <c r="R383" s="139"/>
      <c r="S383" s="212"/>
      <c r="T383" s="138"/>
    </row>
    <row r="384" spans="1:20" ht="14.25" customHeight="1" x14ac:dyDescent="0.3">
      <c r="A384" s="136"/>
      <c r="B384" s="212"/>
      <c r="C384" s="138"/>
      <c r="D384" s="138"/>
      <c r="E384" s="138"/>
      <c r="F384" s="138"/>
      <c r="G384" s="138"/>
      <c r="H384" s="139"/>
      <c r="I384" s="138"/>
      <c r="J384" s="138"/>
      <c r="K384" s="138"/>
      <c r="L384" s="138"/>
      <c r="M384" s="139"/>
      <c r="N384" s="138"/>
      <c r="O384" s="138"/>
      <c r="P384" s="138"/>
      <c r="Q384" s="139"/>
      <c r="R384" s="139"/>
      <c r="S384" s="212"/>
      <c r="T384" s="138"/>
    </row>
    <row r="385" spans="1:20" ht="14.25" customHeight="1" x14ac:dyDescent="0.3">
      <c r="A385" s="136"/>
      <c r="B385" s="212"/>
      <c r="C385" s="138"/>
      <c r="D385" s="138"/>
      <c r="E385" s="138"/>
      <c r="F385" s="138"/>
      <c r="G385" s="138"/>
      <c r="H385" s="139"/>
      <c r="I385" s="138"/>
      <c r="J385" s="138"/>
      <c r="K385" s="138"/>
      <c r="L385" s="138"/>
      <c r="M385" s="139"/>
      <c r="N385" s="138"/>
      <c r="O385" s="138"/>
      <c r="P385" s="138"/>
      <c r="Q385" s="139"/>
      <c r="R385" s="139"/>
      <c r="S385" s="212"/>
      <c r="T385" s="138"/>
    </row>
    <row r="386" spans="1:20" ht="14.25" customHeight="1" x14ac:dyDescent="0.3">
      <c r="A386" s="136"/>
      <c r="B386" s="212"/>
      <c r="C386" s="138"/>
      <c r="D386" s="138"/>
      <c r="E386" s="138"/>
      <c r="F386" s="138"/>
      <c r="G386" s="138"/>
      <c r="H386" s="139"/>
      <c r="I386" s="138"/>
      <c r="J386" s="138"/>
      <c r="K386" s="138"/>
      <c r="L386" s="138"/>
      <c r="M386" s="139"/>
      <c r="N386" s="138"/>
      <c r="O386" s="138"/>
      <c r="P386" s="138"/>
      <c r="Q386" s="139"/>
      <c r="R386" s="139"/>
      <c r="S386" s="212"/>
      <c r="T386" s="138"/>
    </row>
    <row r="387" spans="1:20" ht="14.25" customHeight="1" x14ac:dyDescent="0.3">
      <c r="A387" s="136"/>
      <c r="B387" s="212"/>
      <c r="C387" s="138"/>
      <c r="D387" s="138"/>
      <c r="E387" s="138"/>
      <c r="F387" s="138"/>
      <c r="G387" s="138"/>
      <c r="H387" s="139"/>
      <c r="I387" s="138"/>
      <c r="J387" s="138"/>
      <c r="K387" s="138"/>
      <c r="L387" s="138"/>
      <c r="M387" s="139"/>
      <c r="N387" s="138"/>
      <c r="O387" s="138"/>
      <c r="P387" s="138"/>
      <c r="Q387" s="139"/>
      <c r="R387" s="139"/>
      <c r="S387" s="212"/>
      <c r="T387" s="138"/>
    </row>
    <row r="388" spans="1:20" ht="14.25" customHeight="1" x14ac:dyDescent="0.3">
      <c r="A388" s="136"/>
      <c r="B388" s="212"/>
      <c r="C388" s="138"/>
      <c r="D388" s="138"/>
      <c r="E388" s="138"/>
      <c r="F388" s="138"/>
      <c r="G388" s="138"/>
      <c r="H388" s="139"/>
      <c r="I388" s="138"/>
      <c r="J388" s="138"/>
      <c r="K388" s="138"/>
      <c r="L388" s="138"/>
      <c r="M388" s="139"/>
      <c r="N388" s="138"/>
      <c r="O388" s="138"/>
      <c r="P388" s="138"/>
      <c r="Q388" s="139"/>
      <c r="R388" s="139"/>
      <c r="S388" s="212"/>
      <c r="T388" s="138"/>
    </row>
    <row r="389" spans="1:20" ht="14.25" customHeight="1" x14ac:dyDescent="0.3">
      <c r="A389" s="136"/>
      <c r="B389" s="212"/>
      <c r="C389" s="138"/>
      <c r="D389" s="138"/>
      <c r="E389" s="138"/>
      <c r="F389" s="138"/>
      <c r="G389" s="138"/>
      <c r="H389" s="139"/>
      <c r="I389" s="138"/>
      <c r="J389" s="138"/>
      <c r="K389" s="138"/>
      <c r="L389" s="138"/>
      <c r="M389" s="139"/>
      <c r="N389" s="138"/>
      <c r="O389" s="138"/>
      <c r="P389" s="138"/>
      <c r="Q389" s="139"/>
      <c r="R389" s="139"/>
      <c r="S389" s="212"/>
      <c r="T389" s="138"/>
    </row>
    <row r="390" spans="1:20" ht="14.25" customHeight="1" x14ac:dyDescent="0.3">
      <c r="A390" s="136"/>
      <c r="B390" s="212"/>
      <c r="C390" s="138"/>
      <c r="D390" s="138"/>
      <c r="E390" s="138"/>
      <c r="F390" s="138"/>
      <c r="G390" s="138"/>
      <c r="H390" s="139"/>
      <c r="I390" s="138"/>
      <c r="J390" s="138"/>
      <c r="K390" s="138"/>
      <c r="L390" s="138"/>
      <c r="M390" s="139"/>
      <c r="N390" s="138"/>
      <c r="O390" s="138"/>
      <c r="P390" s="138"/>
      <c r="Q390" s="139"/>
      <c r="R390" s="139"/>
      <c r="S390" s="212"/>
      <c r="T390" s="138"/>
    </row>
    <row r="391" spans="1:20" ht="14.25" customHeight="1" x14ac:dyDescent="0.3">
      <c r="A391" s="136"/>
      <c r="B391" s="212"/>
      <c r="C391" s="138"/>
      <c r="D391" s="138"/>
      <c r="E391" s="138"/>
      <c r="F391" s="138"/>
      <c r="G391" s="138"/>
      <c r="H391" s="139"/>
      <c r="I391" s="138"/>
      <c r="J391" s="138"/>
      <c r="K391" s="138"/>
      <c r="L391" s="138"/>
      <c r="M391" s="139"/>
      <c r="N391" s="138"/>
      <c r="O391" s="138"/>
      <c r="P391" s="138"/>
      <c r="Q391" s="139"/>
      <c r="R391" s="139"/>
      <c r="S391" s="212"/>
      <c r="T391" s="138"/>
    </row>
    <row r="392" spans="1:20" ht="14.25" customHeight="1" x14ac:dyDescent="0.3">
      <c r="A392" s="136"/>
      <c r="B392" s="212"/>
      <c r="C392" s="138"/>
      <c r="D392" s="138"/>
      <c r="E392" s="138"/>
      <c r="F392" s="138"/>
      <c r="G392" s="138"/>
      <c r="H392" s="139"/>
      <c r="I392" s="138"/>
      <c r="J392" s="138"/>
      <c r="K392" s="138"/>
      <c r="L392" s="138"/>
      <c r="M392" s="139"/>
      <c r="N392" s="138"/>
      <c r="O392" s="138"/>
      <c r="P392" s="138"/>
      <c r="Q392" s="139"/>
      <c r="R392" s="139"/>
      <c r="S392" s="212"/>
      <c r="T392" s="138"/>
    </row>
    <row r="393" spans="1:20" ht="14.25" customHeight="1" x14ac:dyDescent="0.3">
      <c r="A393" s="136"/>
      <c r="B393" s="212"/>
      <c r="C393" s="138"/>
      <c r="D393" s="138"/>
      <c r="E393" s="138"/>
      <c r="F393" s="138"/>
      <c r="G393" s="138"/>
      <c r="H393" s="139"/>
      <c r="I393" s="138"/>
      <c r="J393" s="138"/>
      <c r="K393" s="138"/>
      <c r="L393" s="138"/>
      <c r="M393" s="139"/>
      <c r="N393" s="138"/>
      <c r="O393" s="138"/>
      <c r="P393" s="138"/>
      <c r="Q393" s="139"/>
      <c r="R393" s="139"/>
      <c r="S393" s="212"/>
      <c r="T393" s="138"/>
    </row>
    <row r="394" spans="1:20" ht="14.25" customHeight="1" x14ac:dyDescent="0.3">
      <c r="A394" s="136"/>
      <c r="B394" s="212"/>
      <c r="C394" s="138"/>
      <c r="D394" s="138"/>
      <c r="E394" s="138"/>
      <c r="F394" s="138"/>
      <c r="G394" s="138"/>
      <c r="H394" s="139"/>
      <c r="I394" s="138"/>
      <c r="J394" s="138"/>
      <c r="K394" s="138"/>
      <c r="L394" s="138"/>
      <c r="M394" s="139"/>
      <c r="N394" s="138"/>
      <c r="O394" s="138"/>
      <c r="P394" s="138"/>
      <c r="Q394" s="139"/>
      <c r="R394" s="139"/>
      <c r="S394" s="212"/>
      <c r="T394" s="138"/>
    </row>
    <row r="395" spans="1:20" ht="14.25" customHeight="1" x14ac:dyDescent="0.3">
      <c r="A395" s="136"/>
      <c r="B395" s="212"/>
      <c r="C395" s="138"/>
      <c r="D395" s="138"/>
      <c r="E395" s="138"/>
      <c r="F395" s="138"/>
      <c r="G395" s="138"/>
      <c r="H395" s="139"/>
      <c r="I395" s="138"/>
      <c r="J395" s="138"/>
      <c r="K395" s="138"/>
      <c r="L395" s="138"/>
      <c r="M395" s="139"/>
      <c r="N395" s="138"/>
      <c r="O395" s="138"/>
      <c r="P395" s="138"/>
      <c r="Q395" s="139"/>
      <c r="R395" s="139"/>
      <c r="S395" s="212"/>
      <c r="T395" s="138"/>
    </row>
    <row r="396" spans="1:20" ht="14.25" customHeight="1" x14ac:dyDescent="0.3">
      <c r="A396" s="136"/>
      <c r="B396" s="212"/>
      <c r="C396" s="138"/>
      <c r="D396" s="138"/>
      <c r="E396" s="138"/>
      <c r="F396" s="138"/>
      <c r="G396" s="138"/>
      <c r="H396" s="139"/>
      <c r="I396" s="138"/>
      <c r="J396" s="138"/>
      <c r="K396" s="138"/>
      <c r="L396" s="138"/>
      <c r="M396" s="139"/>
      <c r="N396" s="138"/>
      <c r="O396" s="138"/>
      <c r="P396" s="138"/>
      <c r="Q396" s="139"/>
      <c r="R396" s="139"/>
      <c r="S396" s="212"/>
      <c r="T396" s="138"/>
    </row>
    <row r="397" spans="1:20" ht="14.25" customHeight="1" x14ac:dyDescent="0.3">
      <c r="A397" s="136"/>
      <c r="B397" s="212"/>
      <c r="C397" s="138"/>
      <c r="D397" s="138"/>
      <c r="E397" s="138"/>
      <c r="F397" s="138"/>
      <c r="G397" s="138"/>
      <c r="H397" s="139"/>
      <c r="I397" s="138"/>
      <c r="J397" s="138"/>
      <c r="K397" s="138"/>
      <c r="L397" s="138"/>
      <c r="M397" s="139"/>
      <c r="N397" s="138"/>
      <c r="O397" s="138"/>
      <c r="P397" s="138"/>
      <c r="Q397" s="139"/>
      <c r="R397" s="139"/>
      <c r="S397" s="212"/>
      <c r="T397" s="138"/>
    </row>
    <row r="398" spans="1:20" ht="14.25" customHeight="1" x14ac:dyDescent="0.3">
      <c r="A398" s="136"/>
      <c r="B398" s="212"/>
      <c r="C398" s="138"/>
      <c r="D398" s="138"/>
      <c r="E398" s="138"/>
      <c r="F398" s="138"/>
      <c r="G398" s="138"/>
      <c r="H398" s="139"/>
      <c r="I398" s="138"/>
      <c r="J398" s="138"/>
      <c r="K398" s="138"/>
      <c r="L398" s="138"/>
      <c r="M398" s="139"/>
      <c r="N398" s="138"/>
      <c r="O398" s="138"/>
      <c r="P398" s="138"/>
      <c r="Q398" s="139"/>
      <c r="R398" s="139"/>
      <c r="S398" s="212"/>
      <c r="T398" s="138"/>
    </row>
    <row r="399" spans="1:20" ht="14.25" customHeight="1" x14ac:dyDescent="0.3">
      <c r="A399" s="136"/>
      <c r="B399" s="212"/>
      <c r="C399" s="138"/>
      <c r="D399" s="138"/>
      <c r="E399" s="138"/>
      <c r="F399" s="138"/>
      <c r="G399" s="138"/>
      <c r="H399" s="139"/>
      <c r="I399" s="138"/>
      <c r="J399" s="138"/>
      <c r="K399" s="138"/>
      <c r="L399" s="138"/>
      <c r="M399" s="139"/>
      <c r="N399" s="138"/>
      <c r="O399" s="138"/>
      <c r="P399" s="138"/>
      <c r="Q399" s="139"/>
      <c r="R399" s="139"/>
      <c r="S399" s="212"/>
      <c r="T399" s="138"/>
    </row>
    <row r="400" spans="1:20" ht="14.25" customHeight="1" x14ac:dyDescent="0.3">
      <c r="A400" s="136"/>
      <c r="B400" s="212"/>
      <c r="C400" s="138"/>
      <c r="D400" s="138"/>
      <c r="E400" s="138"/>
      <c r="F400" s="138"/>
      <c r="G400" s="138"/>
      <c r="H400" s="139"/>
      <c r="I400" s="138"/>
      <c r="J400" s="138"/>
      <c r="K400" s="138"/>
      <c r="L400" s="138"/>
      <c r="M400" s="139"/>
      <c r="N400" s="138"/>
      <c r="O400" s="138"/>
      <c r="P400" s="138"/>
      <c r="Q400" s="139"/>
      <c r="R400" s="139"/>
      <c r="S400" s="212"/>
      <c r="T400" s="138"/>
    </row>
    <row r="401" spans="1:20" ht="14.25" customHeight="1" x14ac:dyDescent="0.3">
      <c r="A401" s="136"/>
      <c r="B401" s="212"/>
      <c r="C401" s="138"/>
      <c r="D401" s="138"/>
      <c r="E401" s="138"/>
      <c r="F401" s="138"/>
      <c r="G401" s="138"/>
      <c r="H401" s="139"/>
      <c r="I401" s="138"/>
      <c r="J401" s="138"/>
      <c r="K401" s="138"/>
      <c r="L401" s="138"/>
      <c r="M401" s="139"/>
      <c r="N401" s="138"/>
      <c r="O401" s="138"/>
      <c r="P401" s="138"/>
      <c r="Q401" s="139"/>
      <c r="R401" s="139"/>
      <c r="S401" s="212"/>
      <c r="T401" s="138"/>
    </row>
    <row r="402" spans="1:20" ht="14.25" customHeight="1" x14ac:dyDescent="0.3">
      <c r="A402" s="136"/>
      <c r="B402" s="212"/>
      <c r="C402" s="138"/>
      <c r="D402" s="138"/>
      <c r="E402" s="138"/>
      <c r="F402" s="138"/>
      <c r="G402" s="138"/>
      <c r="H402" s="139"/>
      <c r="I402" s="138"/>
      <c r="J402" s="138"/>
      <c r="K402" s="138"/>
      <c r="L402" s="138"/>
      <c r="M402" s="139"/>
      <c r="N402" s="138"/>
      <c r="O402" s="138"/>
      <c r="P402" s="138"/>
      <c r="Q402" s="139"/>
      <c r="R402" s="139"/>
      <c r="S402" s="212"/>
      <c r="T402" s="138"/>
    </row>
    <row r="403" spans="1:20" ht="14.25" customHeight="1" x14ac:dyDescent="0.3">
      <c r="A403" s="136"/>
      <c r="B403" s="212"/>
      <c r="C403" s="138"/>
      <c r="D403" s="138"/>
      <c r="E403" s="138"/>
      <c r="F403" s="138"/>
      <c r="G403" s="138"/>
      <c r="H403" s="139"/>
      <c r="I403" s="138"/>
      <c r="J403" s="138"/>
      <c r="K403" s="138"/>
      <c r="L403" s="138"/>
      <c r="M403" s="139"/>
      <c r="N403" s="138"/>
      <c r="O403" s="138"/>
      <c r="P403" s="138"/>
      <c r="Q403" s="139"/>
      <c r="R403" s="139"/>
      <c r="S403" s="212"/>
      <c r="T403" s="138"/>
    </row>
    <row r="404" spans="1:20" ht="14.25" customHeight="1" x14ac:dyDescent="0.3">
      <c r="A404" s="136"/>
      <c r="B404" s="212"/>
      <c r="C404" s="138"/>
      <c r="D404" s="138"/>
      <c r="E404" s="138"/>
      <c r="F404" s="138"/>
      <c r="G404" s="138"/>
      <c r="H404" s="139"/>
      <c r="I404" s="138"/>
      <c r="J404" s="138"/>
      <c r="K404" s="138"/>
      <c r="L404" s="138"/>
      <c r="M404" s="139"/>
      <c r="N404" s="138"/>
      <c r="O404" s="138"/>
      <c r="P404" s="138"/>
      <c r="Q404" s="139"/>
      <c r="R404" s="139"/>
      <c r="S404" s="212"/>
      <c r="T404" s="138"/>
    </row>
    <row r="405" spans="1:20" ht="14.25" customHeight="1" x14ac:dyDescent="0.3">
      <c r="A405" s="136"/>
      <c r="B405" s="212"/>
      <c r="C405" s="138"/>
      <c r="D405" s="138"/>
      <c r="E405" s="138"/>
      <c r="F405" s="138"/>
      <c r="G405" s="138"/>
      <c r="H405" s="139"/>
      <c r="I405" s="138"/>
      <c r="J405" s="138"/>
      <c r="K405" s="138"/>
      <c r="L405" s="138"/>
      <c r="M405" s="139"/>
      <c r="N405" s="138"/>
      <c r="O405" s="138"/>
      <c r="P405" s="138"/>
      <c r="Q405" s="139"/>
      <c r="R405" s="139"/>
      <c r="S405" s="212"/>
      <c r="T405" s="138"/>
    </row>
    <row r="406" spans="1:20" ht="14.25" customHeight="1" x14ac:dyDescent="0.3">
      <c r="A406" s="136"/>
      <c r="B406" s="212"/>
      <c r="C406" s="138"/>
      <c r="D406" s="138"/>
      <c r="E406" s="138"/>
      <c r="F406" s="138"/>
      <c r="G406" s="138"/>
      <c r="H406" s="139"/>
      <c r="I406" s="138"/>
      <c r="J406" s="138"/>
      <c r="K406" s="138"/>
      <c r="L406" s="138"/>
      <c r="M406" s="139"/>
      <c r="N406" s="138"/>
      <c r="O406" s="138"/>
      <c r="P406" s="138"/>
      <c r="Q406" s="139"/>
      <c r="R406" s="139"/>
      <c r="S406" s="212"/>
      <c r="T406" s="138"/>
    </row>
    <row r="407" spans="1:20" ht="14.25" customHeight="1" x14ac:dyDescent="0.3">
      <c r="A407" s="136"/>
      <c r="B407" s="212"/>
      <c r="C407" s="138"/>
      <c r="D407" s="138"/>
      <c r="E407" s="138"/>
      <c r="F407" s="138"/>
      <c r="G407" s="138"/>
      <c r="H407" s="139"/>
      <c r="I407" s="138"/>
      <c r="J407" s="138"/>
      <c r="K407" s="138"/>
      <c r="L407" s="138"/>
      <c r="M407" s="139"/>
      <c r="N407" s="138"/>
      <c r="O407" s="138"/>
      <c r="P407" s="138"/>
      <c r="Q407" s="139"/>
      <c r="R407" s="139"/>
      <c r="S407" s="212"/>
      <c r="T407" s="138"/>
    </row>
    <row r="408" spans="1:20" ht="14.25" customHeight="1" x14ac:dyDescent="0.3">
      <c r="A408" s="136"/>
      <c r="B408" s="212"/>
      <c r="C408" s="138"/>
      <c r="D408" s="138"/>
      <c r="E408" s="138"/>
      <c r="F408" s="138"/>
      <c r="G408" s="138"/>
      <c r="H408" s="139"/>
      <c r="I408" s="138"/>
      <c r="J408" s="138"/>
      <c r="K408" s="138"/>
      <c r="L408" s="138"/>
      <c r="M408" s="139"/>
      <c r="N408" s="138"/>
      <c r="O408" s="138"/>
      <c r="P408" s="138"/>
      <c r="Q408" s="139"/>
      <c r="R408" s="139"/>
      <c r="S408" s="212"/>
      <c r="T408" s="138"/>
    </row>
    <row r="409" spans="1:20" ht="14.25" customHeight="1" x14ac:dyDescent="0.3">
      <c r="A409" s="136"/>
      <c r="B409" s="212"/>
      <c r="C409" s="138"/>
      <c r="D409" s="138"/>
      <c r="E409" s="138"/>
      <c r="F409" s="138"/>
      <c r="G409" s="138"/>
      <c r="H409" s="139"/>
      <c r="I409" s="138"/>
      <c r="J409" s="138"/>
      <c r="K409" s="138"/>
      <c r="L409" s="138"/>
      <c r="M409" s="139"/>
      <c r="N409" s="138"/>
      <c r="O409" s="138"/>
      <c r="P409" s="138"/>
      <c r="Q409" s="139"/>
      <c r="R409" s="139"/>
      <c r="S409" s="212"/>
      <c r="T409" s="138"/>
    </row>
    <row r="410" spans="1:20" ht="14.25" customHeight="1" x14ac:dyDescent="0.3">
      <c r="A410" s="136"/>
      <c r="B410" s="212"/>
      <c r="C410" s="138"/>
      <c r="D410" s="138"/>
      <c r="E410" s="138"/>
      <c r="F410" s="138"/>
      <c r="G410" s="138"/>
      <c r="H410" s="139"/>
      <c r="I410" s="138"/>
      <c r="J410" s="138"/>
      <c r="K410" s="138"/>
      <c r="L410" s="138"/>
      <c r="M410" s="139"/>
      <c r="N410" s="138"/>
      <c r="O410" s="138"/>
      <c r="P410" s="138"/>
      <c r="Q410" s="139"/>
      <c r="R410" s="139"/>
      <c r="S410" s="212"/>
      <c r="T410" s="138"/>
    </row>
    <row r="411" spans="1:20" ht="14.25" customHeight="1" x14ac:dyDescent="0.3">
      <c r="A411" s="136"/>
      <c r="B411" s="212"/>
      <c r="C411" s="138"/>
      <c r="D411" s="138"/>
      <c r="E411" s="138"/>
      <c r="F411" s="138"/>
      <c r="G411" s="138"/>
      <c r="H411" s="139"/>
      <c r="I411" s="138"/>
      <c r="J411" s="138"/>
      <c r="K411" s="138"/>
      <c r="L411" s="138"/>
      <c r="M411" s="139"/>
      <c r="N411" s="138"/>
      <c r="O411" s="138"/>
      <c r="P411" s="138"/>
      <c r="Q411" s="139"/>
      <c r="R411" s="139"/>
      <c r="S411" s="212"/>
      <c r="T411" s="138"/>
    </row>
    <row r="412" spans="1:20" ht="14.25" customHeight="1" x14ac:dyDescent="0.3">
      <c r="A412" s="136"/>
      <c r="B412" s="212"/>
      <c r="C412" s="138"/>
      <c r="D412" s="138"/>
      <c r="E412" s="138"/>
      <c r="F412" s="138"/>
      <c r="G412" s="138"/>
      <c r="H412" s="139"/>
      <c r="I412" s="138"/>
      <c r="J412" s="138"/>
      <c r="K412" s="138"/>
      <c r="L412" s="138"/>
      <c r="M412" s="139"/>
      <c r="N412" s="138"/>
      <c r="O412" s="138"/>
      <c r="P412" s="138"/>
      <c r="Q412" s="139"/>
      <c r="R412" s="139"/>
      <c r="S412" s="212"/>
      <c r="T412" s="138"/>
    </row>
    <row r="413" spans="1:20" ht="14.25" customHeight="1" x14ac:dyDescent="0.3">
      <c r="A413" s="136"/>
      <c r="B413" s="212"/>
      <c r="C413" s="138"/>
      <c r="D413" s="138"/>
      <c r="E413" s="138"/>
      <c r="F413" s="138"/>
      <c r="G413" s="138"/>
      <c r="H413" s="139"/>
      <c r="I413" s="138"/>
      <c r="J413" s="138"/>
      <c r="K413" s="138"/>
      <c r="L413" s="138"/>
      <c r="M413" s="139"/>
      <c r="N413" s="138"/>
      <c r="O413" s="138"/>
      <c r="P413" s="138"/>
      <c r="Q413" s="139"/>
      <c r="R413" s="139"/>
      <c r="S413" s="212"/>
      <c r="T413" s="138"/>
    </row>
    <row r="414" spans="1:20" ht="14.25" customHeight="1" x14ac:dyDescent="0.3">
      <c r="A414" s="136"/>
      <c r="B414" s="212"/>
      <c r="C414" s="138"/>
      <c r="D414" s="138"/>
      <c r="E414" s="138"/>
      <c r="F414" s="138"/>
      <c r="G414" s="138"/>
      <c r="H414" s="139"/>
      <c r="I414" s="138"/>
      <c r="J414" s="138"/>
      <c r="K414" s="138"/>
      <c r="L414" s="138"/>
      <c r="M414" s="139"/>
      <c r="N414" s="138"/>
      <c r="O414" s="138"/>
      <c r="P414" s="138"/>
      <c r="Q414" s="139"/>
      <c r="R414" s="139"/>
      <c r="S414" s="212"/>
      <c r="T414" s="138"/>
    </row>
    <row r="415" spans="1:20" ht="14.25" customHeight="1" x14ac:dyDescent="0.3">
      <c r="A415" s="136"/>
      <c r="B415" s="212"/>
      <c r="C415" s="138"/>
      <c r="D415" s="138"/>
      <c r="E415" s="138"/>
      <c r="F415" s="138"/>
      <c r="G415" s="138"/>
      <c r="H415" s="139"/>
      <c r="I415" s="138"/>
      <c r="J415" s="138"/>
      <c r="K415" s="138"/>
      <c r="L415" s="138"/>
      <c r="M415" s="139"/>
      <c r="N415" s="138"/>
      <c r="O415" s="138"/>
      <c r="P415" s="138"/>
      <c r="Q415" s="139"/>
      <c r="R415" s="139"/>
      <c r="S415" s="212"/>
      <c r="T415" s="138"/>
    </row>
    <row r="416" spans="1:20" ht="14.25" customHeight="1" x14ac:dyDescent="0.3">
      <c r="A416" s="136"/>
      <c r="B416" s="212"/>
      <c r="C416" s="138"/>
      <c r="D416" s="138"/>
      <c r="E416" s="138"/>
      <c r="F416" s="138"/>
      <c r="G416" s="138"/>
      <c r="H416" s="139"/>
      <c r="I416" s="138"/>
      <c r="J416" s="138"/>
      <c r="K416" s="138"/>
      <c r="L416" s="138"/>
      <c r="M416" s="139"/>
      <c r="N416" s="138"/>
      <c r="O416" s="138"/>
      <c r="P416" s="138"/>
      <c r="Q416" s="139"/>
      <c r="R416" s="139"/>
      <c r="S416" s="212"/>
      <c r="T416" s="138"/>
    </row>
    <row r="417" spans="1:20" ht="14.25" customHeight="1" x14ac:dyDescent="0.3">
      <c r="A417" s="136"/>
      <c r="B417" s="212"/>
      <c r="C417" s="138"/>
      <c r="D417" s="138"/>
      <c r="E417" s="138"/>
      <c r="F417" s="138"/>
      <c r="G417" s="138"/>
      <c r="H417" s="139"/>
      <c r="I417" s="138"/>
      <c r="J417" s="138"/>
      <c r="K417" s="138"/>
      <c r="L417" s="138"/>
      <c r="M417" s="139"/>
      <c r="N417" s="138"/>
      <c r="O417" s="138"/>
      <c r="P417" s="138"/>
      <c r="Q417" s="139"/>
      <c r="R417" s="139"/>
      <c r="S417" s="212"/>
      <c r="T417" s="138"/>
    </row>
    <row r="418" spans="1:20" ht="14.25" customHeight="1" x14ac:dyDescent="0.3">
      <c r="A418" s="136"/>
      <c r="B418" s="212"/>
      <c r="C418" s="138"/>
      <c r="D418" s="138"/>
      <c r="E418" s="138"/>
      <c r="F418" s="138"/>
      <c r="G418" s="138"/>
      <c r="H418" s="139"/>
      <c r="I418" s="138"/>
      <c r="J418" s="138"/>
      <c r="K418" s="138"/>
      <c r="L418" s="138"/>
      <c r="M418" s="139"/>
      <c r="N418" s="138"/>
      <c r="O418" s="138"/>
      <c r="P418" s="138"/>
      <c r="Q418" s="139"/>
      <c r="R418" s="139"/>
      <c r="S418" s="212"/>
      <c r="T418" s="138"/>
    </row>
    <row r="419" spans="1:20" ht="14.25" customHeight="1" x14ac:dyDescent="0.3">
      <c r="A419" s="136"/>
      <c r="B419" s="212"/>
      <c r="C419" s="138"/>
      <c r="D419" s="138"/>
      <c r="E419" s="138"/>
      <c r="F419" s="138"/>
      <c r="G419" s="138"/>
      <c r="H419" s="139"/>
      <c r="I419" s="138"/>
      <c r="J419" s="138"/>
      <c r="K419" s="138"/>
      <c r="L419" s="138"/>
      <c r="M419" s="139"/>
      <c r="N419" s="138"/>
      <c r="O419" s="138"/>
      <c r="P419" s="138"/>
      <c r="Q419" s="139"/>
      <c r="R419" s="139"/>
      <c r="S419" s="212"/>
      <c r="T419" s="138"/>
    </row>
    <row r="420" spans="1:20" ht="14.25" customHeight="1" x14ac:dyDescent="0.3">
      <c r="A420" s="136"/>
      <c r="B420" s="212"/>
      <c r="C420" s="138"/>
      <c r="D420" s="138"/>
      <c r="E420" s="138"/>
      <c r="F420" s="138"/>
      <c r="G420" s="138"/>
      <c r="H420" s="139"/>
      <c r="I420" s="138"/>
      <c r="J420" s="138"/>
      <c r="K420" s="138"/>
      <c r="L420" s="138"/>
      <c r="M420" s="139"/>
      <c r="N420" s="138"/>
      <c r="O420" s="138"/>
      <c r="P420" s="138"/>
      <c r="Q420" s="139"/>
      <c r="R420" s="139"/>
      <c r="S420" s="212"/>
      <c r="T420" s="138"/>
    </row>
    <row r="421" spans="1:20" ht="14.25" customHeight="1" x14ac:dyDescent="0.3">
      <c r="A421" s="136"/>
      <c r="B421" s="212"/>
      <c r="C421" s="138"/>
      <c r="D421" s="138"/>
      <c r="E421" s="138"/>
      <c r="F421" s="138"/>
      <c r="G421" s="138"/>
      <c r="H421" s="139"/>
      <c r="I421" s="138"/>
      <c r="J421" s="138"/>
      <c r="K421" s="138"/>
      <c r="L421" s="138"/>
      <c r="M421" s="139"/>
      <c r="N421" s="138"/>
      <c r="O421" s="138"/>
      <c r="P421" s="138"/>
      <c r="Q421" s="139"/>
      <c r="R421" s="139"/>
      <c r="S421" s="212"/>
      <c r="T421" s="138"/>
    </row>
    <row r="422" spans="1:20" ht="14.25" customHeight="1" x14ac:dyDescent="0.3">
      <c r="A422" s="136"/>
      <c r="B422" s="212"/>
      <c r="C422" s="138"/>
      <c r="D422" s="138"/>
      <c r="E422" s="138"/>
      <c r="F422" s="138"/>
      <c r="G422" s="138"/>
      <c r="H422" s="139"/>
      <c r="I422" s="138"/>
      <c r="J422" s="138"/>
      <c r="K422" s="138"/>
      <c r="L422" s="138"/>
      <c r="M422" s="139"/>
      <c r="N422" s="138"/>
      <c r="O422" s="138"/>
      <c r="P422" s="138"/>
      <c r="Q422" s="139"/>
      <c r="R422" s="139"/>
      <c r="S422" s="212"/>
      <c r="T422" s="138"/>
    </row>
    <row r="423" spans="1:20" ht="14.25" customHeight="1" x14ac:dyDescent="0.3">
      <c r="A423" s="136"/>
      <c r="B423" s="212"/>
      <c r="C423" s="138"/>
      <c r="D423" s="138"/>
      <c r="E423" s="138"/>
      <c r="F423" s="138"/>
      <c r="G423" s="138"/>
      <c r="H423" s="139"/>
      <c r="I423" s="138"/>
      <c r="J423" s="138"/>
      <c r="K423" s="138"/>
      <c r="L423" s="138"/>
      <c r="M423" s="139"/>
      <c r="N423" s="138"/>
      <c r="O423" s="138"/>
      <c r="P423" s="138"/>
      <c r="Q423" s="139"/>
      <c r="R423" s="139"/>
      <c r="S423" s="212"/>
      <c r="T423" s="138"/>
    </row>
    <row r="424" spans="1:20" ht="14.25" customHeight="1" x14ac:dyDescent="0.3">
      <c r="A424" s="136"/>
      <c r="B424" s="212"/>
      <c r="C424" s="138"/>
      <c r="D424" s="138"/>
      <c r="E424" s="138"/>
      <c r="F424" s="138"/>
      <c r="G424" s="138"/>
      <c r="H424" s="139"/>
      <c r="I424" s="138"/>
      <c r="J424" s="138"/>
      <c r="K424" s="138"/>
      <c r="L424" s="138"/>
      <c r="M424" s="139"/>
      <c r="N424" s="138"/>
      <c r="O424" s="138"/>
      <c r="P424" s="138"/>
      <c r="Q424" s="139"/>
      <c r="R424" s="139"/>
      <c r="S424" s="212"/>
      <c r="T424" s="138"/>
    </row>
    <row r="425" spans="1:20" ht="14.25" customHeight="1" x14ac:dyDescent="0.3">
      <c r="A425" s="136"/>
      <c r="B425" s="212"/>
      <c r="C425" s="138"/>
      <c r="D425" s="138"/>
      <c r="E425" s="138"/>
      <c r="F425" s="138"/>
      <c r="G425" s="138"/>
      <c r="H425" s="139"/>
      <c r="I425" s="138"/>
      <c r="J425" s="138"/>
      <c r="K425" s="138"/>
      <c r="L425" s="138"/>
      <c r="M425" s="139"/>
      <c r="N425" s="138"/>
      <c r="O425" s="138"/>
      <c r="P425" s="138"/>
      <c r="Q425" s="139"/>
      <c r="R425" s="139"/>
      <c r="S425" s="212"/>
      <c r="T425" s="138"/>
    </row>
    <row r="426" spans="1:20" ht="14.25" customHeight="1" x14ac:dyDescent="0.3">
      <c r="A426" s="136"/>
      <c r="B426" s="212"/>
      <c r="C426" s="138"/>
      <c r="D426" s="138"/>
      <c r="E426" s="138"/>
      <c r="F426" s="138"/>
      <c r="G426" s="138"/>
      <c r="H426" s="139"/>
      <c r="I426" s="138"/>
      <c r="J426" s="138"/>
      <c r="K426" s="138"/>
      <c r="L426" s="138"/>
      <c r="M426" s="139"/>
      <c r="N426" s="138"/>
      <c r="O426" s="138"/>
      <c r="P426" s="138"/>
      <c r="Q426" s="139"/>
      <c r="R426" s="139"/>
      <c r="S426" s="212"/>
      <c r="T426" s="138"/>
    </row>
    <row r="427" spans="1:20" ht="14.25" customHeight="1" x14ac:dyDescent="0.3">
      <c r="A427" s="136"/>
      <c r="B427" s="212"/>
      <c r="C427" s="138"/>
      <c r="D427" s="138"/>
      <c r="E427" s="138"/>
      <c r="F427" s="138"/>
      <c r="G427" s="138"/>
      <c r="H427" s="139"/>
      <c r="I427" s="138"/>
      <c r="J427" s="138"/>
      <c r="K427" s="138"/>
      <c r="L427" s="138"/>
      <c r="M427" s="139"/>
      <c r="N427" s="138"/>
      <c r="O427" s="138"/>
      <c r="P427" s="138"/>
      <c r="Q427" s="139"/>
      <c r="R427" s="139"/>
      <c r="S427" s="212"/>
      <c r="T427" s="138"/>
    </row>
    <row r="428" spans="1:20" ht="14.25" customHeight="1" x14ac:dyDescent="0.3">
      <c r="A428" s="136"/>
      <c r="B428" s="212"/>
      <c r="C428" s="138"/>
      <c r="D428" s="138"/>
      <c r="E428" s="138"/>
      <c r="F428" s="138"/>
      <c r="G428" s="138"/>
      <c r="H428" s="139"/>
      <c r="I428" s="138"/>
      <c r="J428" s="138"/>
      <c r="K428" s="138"/>
      <c r="L428" s="138"/>
      <c r="M428" s="139"/>
      <c r="N428" s="138"/>
      <c r="O428" s="138"/>
      <c r="P428" s="138"/>
      <c r="Q428" s="139"/>
      <c r="R428" s="139"/>
      <c r="S428" s="212"/>
      <c r="T428" s="138"/>
    </row>
    <row r="429" spans="1:20" ht="14.25" customHeight="1" x14ac:dyDescent="0.3">
      <c r="A429" s="136"/>
      <c r="B429" s="212"/>
      <c r="C429" s="138"/>
      <c r="D429" s="138"/>
      <c r="E429" s="138"/>
      <c r="F429" s="138"/>
      <c r="G429" s="138"/>
      <c r="H429" s="139"/>
      <c r="I429" s="138"/>
      <c r="J429" s="138"/>
      <c r="K429" s="138"/>
      <c r="L429" s="138"/>
      <c r="M429" s="139"/>
      <c r="N429" s="138"/>
      <c r="O429" s="138"/>
      <c r="P429" s="138"/>
      <c r="Q429" s="139"/>
      <c r="R429" s="139"/>
      <c r="S429" s="212"/>
      <c r="T429" s="138"/>
    </row>
    <row r="430" spans="1:20" ht="14.25" customHeight="1" x14ac:dyDescent="0.3">
      <c r="A430" s="136"/>
      <c r="B430" s="212"/>
      <c r="C430" s="138"/>
      <c r="D430" s="138"/>
      <c r="E430" s="138"/>
      <c r="F430" s="138"/>
      <c r="G430" s="138"/>
      <c r="H430" s="139"/>
      <c r="I430" s="138"/>
      <c r="J430" s="138"/>
      <c r="K430" s="138"/>
      <c r="L430" s="138"/>
      <c r="M430" s="139"/>
      <c r="N430" s="138"/>
      <c r="O430" s="138"/>
      <c r="P430" s="138"/>
      <c r="Q430" s="139"/>
      <c r="R430" s="139"/>
      <c r="S430" s="212"/>
      <c r="T430" s="138"/>
    </row>
    <row r="431" spans="1:20" ht="14.25" customHeight="1" x14ac:dyDescent="0.3">
      <c r="A431" s="136"/>
      <c r="B431" s="212"/>
      <c r="C431" s="138"/>
      <c r="D431" s="138"/>
      <c r="E431" s="138"/>
      <c r="F431" s="138"/>
      <c r="G431" s="138"/>
      <c r="H431" s="139"/>
      <c r="I431" s="138"/>
      <c r="J431" s="138"/>
      <c r="K431" s="138"/>
      <c r="L431" s="138"/>
      <c r="M431" s="139"/>
      <c r="N431" s="138"/>
      <c r="O431" s="138"/>
      <c r="P431" s="138"/>
      <c r="Q431" s="139"/>
      <c r="R431" s="139"/>
      <c r="S431" s="212"/>
      <c r="T431" s="138"/>
    </row>
    <row r="432" spans="1:20" ht="14.25" customHeight="1" x14ac:dyDescent="0.3">
      <c r="A432" s="136"/>
      <c r="B432" s="212"/>
      <c r="C432" s="138"/>
      <c r="D432" s="138"/>
      <c r="E432" s="138"/>
      <c r="F432" s="138"/>
      <c r="G432" s="138"/>
      <c r="H432" s="139"/>
      <c r="I432" s="138"/>
      <c r="J432" s="138"/>
      <c r="K432" s="138"/>
      <c r="L432" s="138"/>
      <c r="M432" s="139"/>
      <c r="N432" s="138"/>
      <c r="O432" s="138"/>
      <c r="P432" s="138"/>
      <c r="Q432" s="139"/>
      <c r="R432" s="139"/>
      <c r="S432" s="212"/>
      <c r="T432" s="138"/>
    </row>
    <row r="433" spans="1:20" ht="14.25" customHeight="1" x14ac:dyDescent="0.3">
      <c r="A433" s="136"/>
      <c r="B433" s="212"/>
      <c r="C433" s="138"/>
      <c r="D433" s="138"/>
      <c r="E433" s="138"/>
      <c r="F433" s="138"/>
      <c r="G433" s="138"/>
      <c r="H433" s="139"/>
      <c r="I433" s="138"/>
      <c r="J433" s="138"/>
      <c r="K433" s="138"/>
      <c r="L433" s="138"/>
      <c r="M433" s="139"/>
      <c r="N433" s="138"/>
      <c r="O433" s="138"/>
      <c r="P433" s="138"/>
      <c r="Q433" s="139"/>
      <c r="R433" s="139"/>
      <c r="S433" s="212"/>
      <c r="T433" s="138"/>
    </row>
    <row r="434" spans="1:20" ht="14.25" customHeight="1" x14ac:dyDescent="0.3">
      <c r="A434" s="136"/>
      <c r="B434" s="212"/>
      <c r="C434" s="138"/>
      <c r="D434" s="138"/>
      <c r="E434" s="138"/>
      <c r="F434" s="138"/>
      <c r="G434" s="138"/>
      <c r="H434" s="139"/>
      <c r="I434" s="138"/>
      <c r="J434" s="138"/>
      <c r="K434" s="138"/>
      <c r="L434" s="138"/>
      <c r="M434" s="139"/>
      <c r="N434" s="138"/>
      <c r="O434" s="138"/>
      <c r="P434" s="138"/>
      <c r="Q434" s="139"/>
      <c r="R434" s="139"/>
      <c r="S434" s="212"/>
      <c r="T434" s="138"/>
    </row>
    <row r="435" spans="1:20" ht="14.25" customHeight="1" x14ac:dyDescent="0.3">
      <c r="A435" s="136"/>
      <c r="B435" s="212"/>
      <c r="C435" s="138"/>
      <c r="D435" s="138"/>
      <c r="E435" s="138"/>
      <c r="F435" s="138"/>
      <c r="G435" s="138"/>
      <c r="H435" s="139"/>
      <c r="I435" s="138"/>
      <c r="J435" s="138"/>
      <c r="K435" s="138"/>
      <c r="L435" s="138"/>
      <c r="M435" s="139"/>
      <c r="N435" s="138"/>
      <c r="O435" s="138"/>
      <c r="P435" s="138"/>
      <c r="Q435" s="139"/>
      <c r="R435" s="139"/>
      <c r="S435" s="212"/>
      <c r="T435" s="138"/>
    </row>
    <row r="436" spans="1:20" ht="14.25" customHeight="1" x14ac:dyDescent="0.3">
      <c r="A436" s="136"/>
      <c r="B436" s="212"/>
      <c r="C436" s="138"/>
      <c r="D436" s="138"/>
      <c r="E436" s="138"/>
      <c r="F436" s="138"/>
      <c r="G436" s="138"/>
      <c r="H436" s="139"/>
      <c r="I436" s="138"/>
      <c r="J436" s="138"/>
      <c r="K436" s="138"/>
      <c r="L436" s="138"/>
      <c r="M436" s="139"/>
      <c r="N436" s="138"/>
      <c r="O436" s="138"/>
      <c r="P436" s="138"/>
      <c r="Q436" s="139"/>
      <c r="R436" s="139"/>
      <c r="S436" s="212"/>
      <c r="T436" s="138"/>
    </row>
    <row r="437" spans="1:20" ht="14.25" customHeight="1" x14ac:dyDescent="0.3">
      <c r="A437" s="136"/>
      <c r="B437" s="212"/>
      <c r="C437" s="138"/>
      <c r="D437" s="138"/>
      <c r="E437" s="138"/>
      <c r="F437" s="138"/>
      <c r="G437" s="138"/>
      <c r="H437" s="139"/>
      <c r="I437" s="138"/>
      <c r="J437" s="138"/>
      <c r="K437" s="138"/>
      <c r="L437" s="138"/>
      <c r="M437" s="139"/>
      <c r="N437" s="138"/>
      <c r="O437" s="138"/>
      <c r="P437" s="138"/>
      <c r="Q437" s="139"/>
      <c r="R437" s="139"/>
      <c r="S437" s="212"/>
      <c r="T437" s="138"/>
    </row>
    <row r="438" spans="1:20" ht="14.25" customHeight="1" x14ac:dyDescent="0.3">
      <c r="A438" s="136"/>
      <c r="B438" s="212"/>
      <c r="C438" s="138"/>
      <c r="D438" s="138"/>
      <c r="E438" s="138"/>
      <c r="F438" s="138"/>
      <c r="G438" s="138"/>
      <c r="H438" s="139"/>
      <c r="I438" s="138"/>
      <c r="J438" s="138"/>
      <c r="K438" s="138"/>
      <c r="L438" s="138"/>
      <c r="M438" s="139"/>
      <c r="N438" s="138"/>
      <c r="O438" s="138"/>
      <c r="P438" s="138"/>
      <c r="Q438" s="139"/>
      <c r="R438" s="139"/>
      <c r="S438" s="212"/>
      <c r="T438" s="138"/>
    </row>
    <row r="439" spans="1:20" ht="14.25" customHeight="1" x14ac:dyDescent="0.3">
      <c r="A439" s="136"/>
      <c r="B439" s="212"/>
      <c r="C439" s="138"/>
      <c r="D439" s="138"/>
      <c r="E439" s="138"/>
      <c r="F439" s="138"/>
      <c r="G439" s="138"/>
      <c r="H439" s="139"/>
      <c r="I439" s="138"/>
      <c r="J439" s="138"/>
      <c r="K439" s="138"/>
      <c r="L439" s="138"/>
      <c r="M439" s="139"/>
      <c r="N439" s="138"/>
      <c r="O439" s="138"/>
      <c r="P439" s="138"/>
      <c r="Q439" s="139"/>
      <c r="R439" s="139"/>
      <c r="S439" s="212"/>
      <c r="T439" s="138"/>
    </row>
    <row r="440" spans="1:20" ht="14.25" customHeight="1" x14ac:dyDescent="0.3">
      <c r="A440" s="136"/>
      <c r="B440" s="212"/>
      <c r="C440" s="138"/>
      <c r="D440" s="138"/>
      <c r="E440" s="138"/>
      <c r="F440" s="138"/>
      <c r="G440" s="138"/>
      <c r="H440" s="139"/>
      <c r="I440" s="138"/>
      <c r="J440" s="138"/>
      <c r="K440" s="138"/>
      <c r="L440" s="138"/>
      <c r="M440" s="139"/>
      <c r="N440" s="138"/>
      <c r="O440" s="138"/>
      <c r="P440" s="138"/>
      <c r="Q440" s="139"/>
      <c r="R440" s="139"/>
      <c r="S440" s="212"/>
      <c r="T440" s="138"/>
    </row>
    <row r="441" spans="1:20" ht="14.25" customHeight="1" x14ac:dyDescent="0.3">
      <c r="A441" s="136"/>
      <c r="B441" s="212"/>
      <c r="C441" s="138"/>
      <c r="D441" s="138"/>
      <c r="E441" s="138"/>
      <c r="F441" s="138"/>
      <c r="G441" s="138"/>
      <c r="H441" s="139"/>
      <c r="I441" s="138"/>
      <c r="J441" s="138"/>
      <c r="K441" s="138"/>
      <c r="L441" s="138"/>
      <c r="M441" s="139"/>
      <c r="N441" s="138"/>
      <c r="O441" s="138"/>
      <c r="P441" s="138"/>
      <c r="Q441" s="139"/>
      <c r="R441" s="139"/>
      <c r="S441" s="212"/>
      <c r="T441" s="138"/>
    </row>
    <row r="442" spans="1:20" ht="14.25" customHeight="1" x14ac:dyDescent="0.3">
      <c r="A442" s="136"/>
      <c r="B442" s="212"/>
      <c r="C442" s="138"/>
      <c r="D442" s="138"/>
      <c r="E442" s="138"/>
      <c r="F442" s="138"/>
      <c r="G442" s="138"/>
      <c r="H442" s="139"/>
      <c r="I442" s="138"/>
      <c r="J442" s="138"/>
      <c r="K442" s="138"/>
      <c r="L442" s="138"/>
      <c r="M442" s="139"/>
      <c r="N442" s="138"/>
      <c r="O442" s="138"/>
      <c r="P442" s="138"/>
      <c r="Q442" s="139"/>
      <c r="R442" s="139"/>
      <c r="S442" s="212"/>
      <c r="T442" s="138"/>
    </row>
    <row r="443" spans="1:20" ht="14.25" customHeight="1" x14ac:dyDescent="0.3">
      <c r="A443" s="136"/>
      <c r="B443" s="212"/>
      <c r="C443" s="138"/>
      <c r="D443" s="138"/>
      <c r="E443" s="138"/>
      <c r="F443" s="138"/>
      <c r="G443" s="138"/>
      <c r="H443" s="139"/>
      <c r="I443" s="138"/>
      <c r="J443" s="138"/>
      <c r="K443" s="138"/>
      <c r="L443" s="138"/>
      <c r="M443" s="139"/>
      <c r="N443" s="138"/>
      <c r="O443" s="138"/>
      <c r="P443" s="138"/>
      <c r="Q443" s="139"/>
      <c r="R443" s="139"/>
      <c r="S443" s="212"/>
      <c r="T443" s="138"/>
    </row>
    <row r="444" spans="1:20" ht="14.25" customHeight="1" x14ac:dyDescent="0.3">
      <c r="A444" s="136"/>
      <c r="B444" s="212"/>
      <c r="C444" s="138"/>
      <c r="D444" s="138"/>
      <c r="E444" s="138"/>
      <c r="F444" s="138"/>
      <c r="G444" s="138"/>
      <c r="H444" s="139"/>
      <c r="I444" s="138"/>
      <c r="J444" s="138"/>
      <c r="K444" s="138"/>
      <c r="L444" s="138"/>
      <c r="M444" s="139"/>
      <c r="N444" s="138"/>
      <c r="O444" s="138"/>
      <c r="P444" s="138"/>
      <c r="Q444" s="139"/>
      <c r="R444" s="139"/>
      <c r="S444" s="212"/>
      <c r="T444" s="138"/>
    </row>
    <row r="445" spans="1:20" ht="14.25" customHeight="1" x14ac:dyDescent="0.3">
      <c r="A445" s="136"/>
      <c r="B445" s="212"/>
      <c r="C445" s="138"/>
      <c r="D445" s="138"/>
      <c r="E445" s="138"/>
      <c r="F445" s="138"/>
      <c r="G445" s="138"/>
      <c r="H445" s="139"/>
      <c r="I445" s="138"/>
      <c r="J445" s="138"/>
      <c r="K445" s="138"/>
      <c r="L445" s="138"/>
      <c r="M445" s="139"/>
      <c r="N445" s="138"/>
      <c r="O445" s="138"/>
      <c r="P445" s="138"/>
      <c r="Q445" s="139"/>
      <c r="R445" s="139"/>
      <c r="S445" s="212"/>
      <c r="T445" s="138"/>
    </row>
    <row r="446" spans="1:20" ht="14.25" customHeight="1" x14ac:dyDescent="0.3">
      <c r="A446" s="136"/>
      <c r="B446" s="212"/>
      <c r="C446" s="138"/>
      <c r="D446" s="138"/>
      <c r="E446" s="138"/>
      <c r="F446" s="138"/>
      <c r="G446" s="138"/>
      <c r="H446" s="139"/>
      <c r="I446" s="138"/>
      <c r="J446" s="138"/>
      <c r="K446" s="138"/>
      <c r="L446" s="138"/>
      <c r="M446" s="139"/>
      <c r="N446" s="138"/>
      <c r="O446" s="138"/>
      <c r="P446" s="138"/>
      <c r="Q446" s="139"/>
      <c r="R446" s="139"/>
      <c r="S446" s="212"/>
      <c r="T446" s="138"/>
    </row>
    <row r="447" spans="1:20" ht="14.25" customHeight="1" x14ac:dyDescent="0.3">
      <c r="A447" s="136"/>
      <c r="B447" s="212"/>
      <c r="C447" s="138"/>
      <c r="D447" s="138"/>
      <c r="E447" s="138"/>
      <c r="F447" s="138"/>
      <c r="G447" s="138"/>
      <c r="H447" s="139"/>
      <c r="I447" s="138"/>
      <c r="J447" s="138"/>
      <c r="K447" s="138"/>
      <c r="L447" s="138"/>
      <c r="M447" s="139"/>
      <c r="N447" s="138"/>
      <c r="O447" s="138"/>
      <c r="P447" s="138"/>
      <c r="Q447" s="139"/>
      <c r="R447" s="139"/>
      <c r="S447" s="212"/>
      <c r="T447" s="138"/>
    </row>
    <row r="448" spans="1:20" ht="14.25" customHeight="1" x14ac:dyDescent="0.3">
      <c r="A448" s="136"/>
      <c r="B448" s="212"/>
      <c r="C448" s="138"/>
      <c r="D448" s="138"/>
      <c r="E448" s="138"/>
      <c r="F448" s="138"/>
      <c r="G448" s="138"/>
      <c r="H448" s="139"/>
      <c r="I448" s="138"/>
      <c r="J448" s="138"/>
      <c r="K448" s="138"/>
      <c r="L448" s="138"/>
      <c r="M448" s="139"/>
      <c r="N448" s="138"/>
      <c r="O448" s="138"/>
      <c r="P448" s="138"/>
      <c r="Q448" s="139"/>
      <c r="R448" s="139"/>
      <c r="S448" s="212"/>
      <c r="T448" s="138"/>
    </row>
    <row r="449" spans="1:20" ht="14.25" customHeight="1" x14ac:dyDescent="0.3">
      <c r="A449" s="136"/>
      <c r="B449" s="212"/>
      <c r="C449" s="138"/>
      <c r="D449" s="138"/>
      <c r="E449" s="138"/>
      <c r="F449" s="138"/>
      <c r="G449" s="138"/>
      <c r="H449" s="139"/>
      <c r="I449" s="138"/>
      <c r="J449" s="138"/>
      <c r="K449" s="138"/>
      <c r="L449" s="138"/>
      <c r="M449" s="139"/>
      <c r="N449" s="138"/>
      <c r="O449" s="138"/>
      <c r="P449" s="138"/>
      <c r="Q449" s="139"/>
      <c r="R449" s="139"/>
      <c r="S449" s="212"/>
      <c r="T449" s="138"/>
    </row>
    <row r="450" spans="1:20" ht="14.25" customHeight="1" x14ac:dyDescent="0.3">
      <c r="A450" s="136"/>
      <c r="B450" s="212"/>
      <c r="C450" s="138"/>
      <c r="D450" s="138"/>
      <c r="E450" s="138"/>
      <c r="F450" s="138"/>
      <c r="G450" s="138"/>
      <c r="H450" s="139"/>
      <c r="I450" s="138"/>
      <c r="J450" s="138"/>
      <c r="K450" s="138"/>
      <c r="L450" s="138"/>
      <c r="M450" s="139"/>
      <c r="N450" s="138"/>
      <c r="O450" s="138"/>
      <c r="P450" s="138"/>
      <c r="Q450" s="139"/>
      <c r="R450" s="139"/>
      <c r="S450" s="212"/>
      <c r="T450" s="138"/>
    </row>
    <row r="451" spans="1:20" ht="14.25" customHeight="1" x14ac:dyDescent="0.3">
      <c r="A451" s="136"/>
      <c r="B451" s="212"/>
      <c r="C451" s="138"/>
      <c r="D451" s="138"/>
      <c r="E451" s="138"/>
      <c r="F451" s="138"/>
      <c r="G451" s="138"/>
      <c r="H451" s="139"/>
      <c r="I451" s="138"/>
      <c r="J451" s="138"/>
      <c r="K451" s="138"/>
      <c r="L451" s="138"/>
      <c r="M451" s="139"/>
      <c r="N451" s="138"/>
      <c r="O451" s="138"/>
      <c r="P451" s="138"/>
      <c r="Q451" s="139"/>
      <c r="R451" s="139"/>
      <c r="S451" s="212"/>
      <c r="T451" s="138"/>
    </row>
    <row r="452" spans="1:20" ht="14.25" customHeight="1" x14ac:dyDescent="0.3">
      <c r="A452" s="136"/>
      <c r="B452" s="212"/>
      <c r="C452" s="138"/>
      <c r="D452" s="138"/>
      <c r="E452" s="138"/>
      <c r="F452" s="138"/>
      <c r="G452" s="138"/>
      <c r="H452" s="139"/>
      <c r="I452" s="138"/>
      <c r="J452" s="138"/>
      <c r="K452" s="138"/>
      <c r="L452" s="138"/>
      <c r="M452" s="139"/>
      <c r="N452" s="138"/>
      <c r="O452" s="138"/>
      <c r="P452" s="138"/>
      <c r="Q452" s="139"/>
      <c r="R452" s="139"/>
      <c r="S452" s="212"/>
      <c r="T452" s="138"/>
    </row>
    <row r="453" spans="1:20" ht="14.25" customHeight="1" x14ac:dyDescent="0.3">
      <c r="A453" s="136"/>
      <c r="B453" s="212"/>
      <c r="C453" s="138"/>
      <c r="D453" s="138"/>
      <c r="E453" s="138"/>
      <c r="F453" s="138"/>
      <c r="G453" s="138"/>
      <c r="H453" s="139"/>
      <c r="I453" s="138"/>
      <c r="J453" s="138"/>
      <c r="K453" s="138"/>
      <c r="L453" s="138"/>
      <c r="M453" s="139"/>
      <c r="N453" s="138"/>
      <c r="O453" s="138"/>
      <c r="P453" s="138"/>
      <c r="Q453" s="139"/>
      <c r="R453" s="139"/>
      <c r="S453" s="212"/>
      <c r="T453" s="138"/>
    </row>
    <row r="454" spans="1:20" ht="14.25" customHeight="1" x14ac:dyDescent="0.3">
      <c r="A454" s="136"/>
      <c r="B454" s="212"/>
      <c r="C454" s="138"/>
      <c r="D454" s="138"/>
      <c r="E454" s="138"/>
      <c r="F454" s="138"/>
      <c r="G454" s="138"/>
      <c r="H454" s="139"/>
      <c r="I454" s="138"/>
      <c r="J454" s="138"/>
      <c r="K454" s="138"/>
      <c r="L454" s="138"/>
      <c r="M454" s="139"/>
      <c r="N454" s="138"/>
      <c r="O454" s="138"/>
      <c r="P454" s="138"/>
      <c r="Q454" s="139"/>
      <c r="R454" s="139"/>
      <c r="S454" s="212"/>
      <c r="T454" s="138"/>
    </row>
    <row r="455" spans="1:20" ht="14.25" customHeight="1" x14ac:dyDescent="0.3">
      <c r="A455" s="136"/>
      <c r="B455" s="212"/>
      <c r="C455" s="138"/>
      <c r="D455" s="138"/>
      <c r="E455" s="138"/>
      <c r="F455" s="138"/>
      <c r="G455" s="138"/>
      <c r="H455" s="139"/>
      <c r="I455" s="138"/>
      <c r="J455" s="138"/>
      <c r="K455" s="138"/>
      <c r="L455" s="138"/>
      <c r="M455" s="139"/>
      <c r="N455" s="138"/>
      <c r="O455" s="138"/>
      <c r="P455" s="138"/>
      <c r="Q455" s="139"/>
      <c r="R455" s="139"/>
      <c r="S455" s="212"/>
      <c r="T455" s="138"/>
    </row>
    <row r="456" spans="1:20" ht="14.25" customHeight="1" x14ac:dyDescent="0.3">
      <c r="A456" s="136"/>
      <c r="B456" s="212"/>
      <c r="C456" s="138"/>
      <c r="D456" s="138"/>
      <c r="E456" s="138"/>
      <c r="F456" s="138"/>
      <c r="G456" s="138"/>
      <c r="H456" s="139"/>
      <c r="I456" s="138"/>
      <c r="J456" s="138"/>
      <c r="K456" s="138"/>
      <c r="L456" s="138"/>
      <c r="M456" s="139"/>
      <c r="N456" s="138"/>
      <c r="O456" s="138"/>
      <c r="P456" s="138"/>
      <c r="Q456" s="139"/>
      <c r="R456" s="139"/>
      <c r="S456" s="212"/>
      <c r="T456" s="138"/>
    </row>
    <row r="457" spans="1:20" ht="14.25" customHeight="1" x14ac:dyDescent="0.3">
      <c r="A457" s="136"/>
      <c r="B457" s="212"/>
      <c r="C457" s="138"/>
      <c r="D457" s="138"/>
      <c r="E457" s="138"/>
      <c r="F457" s="138"/>
      <c r="G457" s="138"/>
      <c r="H457" s="139"/>
      <c r="I457" s="138"/>
      <c r="J457" s="138"/>
      <c r="K457" s="138"/>
      <c r="L457" s="138"/>
      <c r="M457" s="139"/>
      <c r="N457" s="138"/>
      <c r="O457" s="138"/>
      <c r="P457" s="138"/>
      <c r="Q457" s="139"/>
      <c r="R457" s="139"/>
      <c r="S457" s="212"/>
      <c r="T457" s="138"/>
    </row>
    <row r="458" spans="1:20" ht="14.25" customHeight="1" x14ac:dyDescent="0.3">
      <c r="A458" s="136"/>
      <c r="B458" s="212"/>
      <c r="C458" s="138"/>
      <c r="D458" s="138"/>
      <c r="E458" s="138"/>
      <c r="F458" s="138"/>
      <c r="G458" s="138"/>
      <c r="H458" s="139"/>
      <c r="I458" s="138"/>
      <c r="J458" s="138"/>
      <c r="K458" s="138"/>
      <c r="L458" s="138"/>
      <c r="M458" s="139"/>
      <c r="N458" s="138"/>
      <c r="O458" s="138"/>
      <c r="P458" s="138"/>
      <c r="Q458" s="139"/>
      <c r="R458" s="139"/>
      <c r="S458" s="212"/>
      <c r="T458" s="138"/>
    </row>
    <row r="459" spans="1:20" ht="14.25" customHeight="1" x14ac:dyDescent="0.3">
      <c r="A459" s="136"/>
      <c r="B459" s="212"/>
      <c r="C459" s="138"/>
      <c r="D459" s="138"/>
      <c r="E459" s="138"/>
      <c r="F459" s="138"/>
      <c r="G459" s="138"/>
      <c r="H459" s="139"/>
      <c r="I459" s="138"/>
      <c r="J459" s="138"/>
      <c r="K459" s="138"/>
      <c r="L459" s="138"/>
      <c r="M459" s="139"/>
      <c r="N459" s="138"/>
      <c r="O459" s="138"/>
      <c r="P459" s="138"/>
      <c r="Q459" s="139"/>
      <c r="R459" s="139"/>
      <c r="S459" s="212"/>
      <c r="T459" s="138"/>
    </row>
    <row r="460" spans="1:20" ht="14.25" customHeight="1" x14ac:dyDescent="0.3">
      <c r="A460" s="136"/>
      <c r="B460" s="212"/>
      <c r="C460" s="138"/>
      <c r="D460" s="138"/>
      <c r="E460" s="138"/>
      <c r="F460" s="138"/>
      <c r="G460" s="138"/>
      <c r="H460" s="139"/>
      <c r="I460" s="138"/>
      <c r="J460" s="138"/>
      <c r="K460" s="138"/>
      <c r="L460" s="138"/>
      <c r="M460" s="139"/>
      <c r="N460" s="138"/>
      <c r="O460" s="138"/>
      <c r="P460" s="138"/>
      <c r="Q460" s="139"/>
      <c r="R460" s="139"/>
      <c r="S460" s="212"/>
      <c r="T460" s="138"/>
    </row>
    <row r="461" spans="1:20" ht="14.25" customHeight="1" x14ac:dyDescent="0.3">
      <c r="A461" s="136"/>
      <c r="B461" s="212"/>
      <c r="C461" s="138"/>
      <c r="D461" s="138"/>
      <c r="E461" s="138"/>
      <c r="F461" s="138"/>
      <c r="G461" s="138"/>
      <c r="H461" s="139"/>
      <c r="I461" s="138"/>
      <c r="J461" s="138"/>
      <c r="K461" s="138"/>
      <c r="L461" s="138"/>
      <c r="M461" s="139"/>
      <c r="N461" s="138"/>
      <c r="O461" s="138"/>
      <c r="P461" s="138"/>
      <c r="Q461" s="139"/>
      <c r="R461" s="139"/>
      <c r="S461" s="212"/>
      <c r="T461" s="138"/>
    </row>
    <row r="462" spans="1:20" ht="14.25" customHeight="1" x14ac:dyDescent="0.3">
      <c r="A462" s="136"/>
      <c r="B462" s="212"/>
      <c r="C462" s="138"/>
      <c r="D462" s="138"/>
      <c r="E462" s="138"/>
      <c r="F462" s="138"/>
      <c r="G462" s="138"/>
      <c r="H462" s="139"/>
      <c r="I462" s="138"/>
      <c r="J462" s="138"/>
      <c r="K462" s="138"/>
      <c r="L462" s="138"/>
      <c r="M462" s="139"/>
      <c r="N462" s="138"/>
      <c r="O462" s="138"/>
      <c r="P462" s="138"/>
      <c r="Q462" s="139"/>
      <c r="R462" s="139"/>
      <c r="S462" s="212"/>
      <c r="T462" s="138"/>
    </row>
    <row r="463" spans="1:20" ht="14.25" customHeight="1" x14ac:dyDescent="0.3">
      <c r="A463" s="136"/>
      <c r="B463" s="212"/>
      <c r="C463" s="138"/>
      <c r="D463" s="138"/>
      <c r="E463" s="138"/>
      <c r="F463" s="138"/>
      <c r="G463" s="138"/>
      <c r="H463" s="139"/>
      <c r="I463" s="138"/>
      <c r="J463" s="138"/>
      <c r="K463" s="138"/>
      <c r="L463" s="138"/>
      <c r="M463" s="139"/>
      <c r="N463" s="138"/>
      <c r="O463" s="138"/>
      <c r="P463" s="138"/>
      <c r="Q463" s="139"/>
      <c r="R463" s="139"/>
      <c r="S463" s="212"/>
      <c r="T463" s="138"/>
    </row>
    <row r="464" spans="1:20" ht="14.25" customHeight="1" x14ac:dyDescent="0.3">
      <c r="A464" s="136"/>
      <c r="B464" s="212"/>
      <c r="C464" s="138"/>
      <c r="D464" s="138"/>
      <c r="E464" s="138"/>
      <c r="F464" s="138"/>
      <c r="G464" s="138"/>
      <c r="H464" s="139"/>
      <c r="I464" s="138"/>
      <c r="J464" s="138"/>
      <c r="K464" s="138"/>
      <c r="L464" s="138"/>
      <c r="M464" s="139"/>
      <c r="N464" s="138"/>
      <c r="O464" s="138"/>
      <c r="P464" s="138"/>
      <c r="Q464" s="139"/>
      <c r="R464" s="139"/>
      <c r="S464" s="212"/>
      <c r="T464" s="138"/>
    </row>
    <row r="465" spans="1:20" ht="14.25" customHeight="1" x14ac:dyDescent="0.3">
      <c r="A465" s="136"/>
      <c r="B465" s="212"/>
      <c r="C465" s="138"/>
      <c r="D465" s="138"/>
      <c r="E465" s="138"/>
      <c r="F465" s="138"/>
      <c r="G465" s="138"/>
      <c r="H465" s="139"/>
      <c r="I465" s="138"/>
      <c r="J465" s="138"/>
      <c r="K465" s="138"/>
      <c r="L465" s="138"/>
      <c r="M465" s="139"/>
      <c r="N465" s="138"/>
      <c r="O465" s="138"/>
      <c r="P465" s="138"/>
      <c r="Q465" s="139"/>
      <c r="R465" s="139"/>
      <c r="S465" s="212"/>
      <c r="T465" s="138"/>
    </row>
    <row r="466" spans="1:20" ht="14.25" customHeight="1" x14ac:dyDescent="0.3">
      <c r="A466" s="136"/>
      <c r="B466" s="212"/>
      <c r="C466" s="138"/>
      <c r="D466" s="138"/>
      <c r="E466" s="138"/>
      <c r="F466" s="138"/>
      <c r="G466" s="138"/>
      <c r="H466" s="139"/>
      <c r="I466" s="138"/>
      <c r="J466" s="138"/>
      <c r="K466" s="138"/>
      <c r="L466" s="138"/>
      <c r="M466" s="139"/>
      <c r="N466" s="138"/>
      <c r="O466" s="138"/>
      <c r="P466" s="138"/>
      <c r="Q466" s="139"/>
      <c r="R466" s="139"/>
      <c r="S466" s="212"/>
      <c r="T466" s="138"/>
    </row>
    <row r="467" spans="1:20" ht="14.25" customHeight="1" x14ac:dyDescent="0.3">
      <c r="A467" s="136"/>
      <c r="B467" s="212"/>
      <c r="C467" s="138"/>
      <c r="D467" s="138"/>
      <c r="E467" s="138"/>
      <c r="F467" s="138"/>
      <c r="G467" s="138"/>
      <c r="H467" s="139"/>
      <c r="I467" s="138"/>
      <c r="J467" s="138"/>
      <c r="K467" s="138"/>
      <c r="L467" s="138"/>
      <c r="M467" s="139"/>
      <c r="N467" s="138"/>
      <c r="O467" s="138"/>
      <c r="P467" s="138"/>
      <c r="Q467" s="139"/>
      <c r="R467" s="139"/>
      <c r="S467" s="212"/>
      <c r="T467" s="138"/>
    </row>
    <row r="468" spans="1:20" ht="14.25" customHeight="1" x14ac:dyDescent="0.3">
      <c r="A468" s="136"/>
      <c r="B468" s="212"/>
      <c r="C468" s="138"/>
      <c r="D468" s="138"/>
      <c r="E468" s="138"/>
      <c r="F468" s="138"/>
      <c r="G468" s="138"/>
      <c r="H468" s="139"/>
      <c r="I468" s="138"/>
      <c r="J468" s="138"/>
      <c r="K468" s="138"/>
      <c r="L468" s="138"/>
      <c r="M468" s="139"/>
      <c r="N468" s="138"/>
      <c r="O468" s="138"/>
      <c r="P468" s="138"/>
      <c r="Q468" s="139"/>
      <c r="R468" s="139"/>
      <c r="S468" s="212"/>
      <c r="T468" s="138"/>
    </row>
    <row r="469" spans="1:20" ht="14.25" customHeight="1" x14ac:dyDescent="0.3">
      <c r="A469" s="136"/>
      <c r="B469" s="212"/>
      <c r="C469" s="138"/>
      <c r="D469" s="138"/>
      <c r="E469" s="138"/>
      <c r="F469" s="138"/>
      <c r="G469" s="138"/>
      <c r="H469" s="139"/>
      <c r="I469" s="138"/>
      <c r="J469" s="138"/>
      <c r="K469" s="138"/>
      <c r="L469" s="138"/>
      <c r="M469" s="139"/>
      <c r="N469" s="138"/>
      <c r="O469" s="138"/>
      <c r="P469" s="138"/>
      <c r="Q469" s="139"/>
      <c r="R469" s="139"/>
      <c r="S469" s="212"/>
      <c r="T469" s="138"/>
    </row>
    <row r="470" spans="1:20" ht="14.25" customHeight="1" x14ac:dyDescent="0.3">
      <c r="A470" s="136"/>
      <c r="B470" s="212"/>
      <c r="C470" s="138"/>
      <c r="D470" s="138"/>
      <c r="E470" s="138"/>
      <c r="F470" s="138"/>
      <c r="G470" s="138"/>
      <c r="H470" s="139"/>
      <c r="I470" s="138"/>
      <c r="J470" s="138"/>
      <c r="K470" s="138"/>
      <c r="L470" s="138"/>
      <c r="M470" s="139"/>
      <c r="N470" s="138"/>
      <c r="O470" s="138"/>
      <c r="P470" s="138"/>
      <c r="Q470" s="139"/>
      <c r="R470" s="139"/>
      <c r="S470" s="212"/>
      <c r="T470" s="138"/>
    </row>
    <row r="471" spans="1:20" ht="14.25" customHeight="1" x14ac:dyDescent="0.3">
      <c r="A471" s="136"/>
      <c r="B471" s="212"/>
      <c r="C471" s="138"/>
      <c r="D471" s="138"/>
      <c r="E471" s="138"/>
      <c r="F471" s="138"/>
      <c r="G471" s="138"/>
      <c r="H471" s="139"/>
      <c r="I471" s="138"/>
      <c r="J471" s="138"/>
      <c r="K471" s="138"/>
      <c r="L471" s="138"/>
      <c r="M471" s="139"/>
      <c r="N471" s="138"/>
      <c r="O471" s="138"/>
      <c r="P471" s="138"/>
      <c r="Q471" s="139"/>
      <c r="R471" s="139"/>
      <c r="S471" s="212"/>
      <c r="T471" s="138"/>
    </row>
    <row r="472" spans="1:20" ht="14.25" customHeight="1" x14ac:dyDescent="0.3">
      <c r="A472" s="136"/>
      <c r="B472" s="212"/>
      <c r="C472" s="138"/>
      <c r="D472" s="138"/>
      <c r="E472" s="138"/>
      <c r="F472" s="138"/>
      <c r="G472" s="138"/>
      <c r="H472" s="139"/>
      <c r="I472" s="138"/>
      <c r="J472" s="138"/>
      <c r="K472" s="138"/>
      <c r="L472" s="138"/>
      <c r="M472" s="139"/>
      <c r="N472" s="138"/>
      <c r="O472" s="138"/>
      <c r="P472" s="138"/>
      <c r="Q472" s="139"/>
      <c r="R472" s="139"/>
      <c r="S472" s="212"/>
      <c r="T472" s="138"/>
    </row>
    <row r="473" spans="1:20" ht="14.25" customHeight="1" x14ac:dyDescent="0.3">
      <c r="A473" s="136"/>
      <c r="B473" s="212"/>
      <c r="C473" s="138"/>
      <c r="D473" s="138"/>
      <c r="E473" s="138"/>
      <c r="F473" s="138"/>
      <c r="G473" s="138"/>
      <c r="H473" s="139"/>
      <c r="I473" s="138"/>
      <c r="J473" s="138"/>
      <c r="K473" s="138"/>
      <c r="L473" s="138"/>
      <c r="M473" s="139"/>
      <c r="N473" s="138"/>
      <c r="O473" s="138"/>
      <c r="P473" s="138"/>
      <c r="Q473" s="139"/>
      <c r="R473" s="139"/>
      <c r="S473" s="212"/>
      <c r="T473" s="138"/>
    </row>
    <row r="474" spans="1:20" ht="14.25" customHeight="1" x14ac:dyDescent="0.3">
      <c r="A474" s="136"/>
      <c r="B474" s="212"/>
      <c r="C474" s="138"/>
      <c r="D474" s="138"/>
      <c r="E474" s="138"/>
      <c r="F474" s="138"/>
      <c r="G474" s="138"/>
      <c r="H474" s="139"/>
      <c r="I474" s="138"/>
      <c r="J474" s="138"/>
      <c r="K474" s="138"/>
      <c r="L474" s="138"/>
      <c r="M474" s="139"/>
      <c r="N474" s="138"/>
      <c r="O474" s="138"/>
      <c r="P474" s="138"/>
      <c r="Q474" s="139"/>
      <c r="R474" s="139"/>
      <c r="S474" s="212"/>
      <c r="T474" s="138"/>
    </row>
    <row r="475" spans="1:20" ht="14.25" customHeight="1" x14ac:dyDescent="0.3">
      <c r="A475" s="136"/>
      <c r="B475" s="212"/>
      <c r="C475" s="138"/>
      <c r="D475" s="138"/>
      <c r="E475" s="138"/>
      <c r="F475" s="138"/>
      <c r="G475" s="138"/>
      <c r="H475" s="139"/>
      <c r="I475" s="138"/>
      <c r="J475" s="138"/>
      <c r="K475" s="138"/>
      <c r="L475" s="138"/>
      <c r="M475" s="139"/>
      <c r="N475" s="138"/>
      <c r="O475" s="138"/>
      <c r="P475" s="138"/>
      <c r="Q475" s="139"/>
      <c r="R475" s="139"/>
      <c r="S475" s="212"/>
      <c r="T475" s="138"/>
    </row>
    <row r="476" spans="1:20" ht="14.25" customHeight="1" x14ac:dyDescent="0.3">
      <c r="A476" s="136"/>
      <c r="B476" s="212"/>
      <c r="C476" s="138"/>
      <c r="D476" s="138"/>
      <c r="E476" s="138"/>
      <c r="F476" s="138"/>
      <c r="G476" s="138"/>
      <c r="H476" s="139"/>
      <c r="I476" s="138"/>
      <c r="J476" s="138"/>
      <c r="K476" s="138"/>
      <c r="L476" s="138"/>
      <c r="M476" s="139"/>
      <c r="N476" s="138"/>
      <c r="O476" s="138"/>
      <c r="P476" s="138"/>
      <c r="Q476" s="139"/>
      <c r="R476" s="139"/>
      <c r="S476" s="212"/>
      <c r="T476" s="138"/>
    </row>
    <row r="477" spans="1:20" ht="14.25" customHeight="1" x14ac:dyDescent="0.3">
      <c r="A477" s="136"/>
      <c r="B477" s="212"/>
      <c r="C477" s="138"/>
      <c r="D477" s="138"/>
      <c r="E477" s="138"/>
      <c r="F477" s="138"/>
      <c r="G477" s="138"/>
      <c r="H477" s="139"/>
      <c r="I477" s="138"/>
      <c r="J477" s="138"/>
      <c r="K477" s="138"/>
      <c r="L477" s="138"/>
      <c r="M477" s="139"/>
      <c r="N477" s="138"/>
      <c r="O477" s="138"/>
      <c r="P477" s="138"/>
      <c r="Q477" s="139"/>
      <c r="R477" s="139"/>
      <c r="S477" s="212"/>
      <c r="T477" s="138"/>
    </row>
    <row r="478" spans="1:20" ht="14.25" customHeight="1" x14ac:dyDescent="0.3">
      <c r="A478" s="136"/>
      <c r="B478" s="212"/>
      <c r="C478" s="138"/>
      <c r="D478" s="138"/>
      <c r="E478" s="138"/>
      <c r="F478" s="138"/>
      <c r="G478" s="138"/>
      <c r="H478" s="139"/>
      <c r="I478" s="138"/>
      <c r="J478" s="138"/>
      <c r="K478" s="138"/>
      <c r="L478" s="138"/>
      <c r="M478" s="139"/>
      <c r="N478" s="138"/>
      <c r="O478" s="138"/>
      <c r="P478" s="138"/>
      <c r="Q478" s="139"/>
      <c r="R478" s="139"/>
      <c r="S478" s="212"/>
      <c r="T478" s="138"/>
    </row>
    <row r="479" spans="1:20" ht="14.25" customHeight="1" x14ac:dyDescent="0.3">
      <c r="A479" s="136"/>
      <c r="B479" s="212"/>
      <c r="C479" s="138"/>
      <c r="D479" s="138"/>
      <c r="E479" s="138"/>
      <c r="F479" s="138"/>
      <c r="G479" s="138"/>
      <c r="H479" s="139"/>
      <c r="I479" s="138"/>
      <c r="J479" s="138"/>
      <c r="K479" s="138"/>
      <c r="L479" s="138"/>
      <c r="M479" s="139"/>
      <c r="N479" s="138"/>
      <c r="O479" s="138"/>
      <c r="P479" s="138"/>
      <c r="Q479" s="139"/>
      <c r="R479" s="139"/>
      <c r="S479" s="212"/>
      <c r="T479" s="138"/>
    </row>
    <row r="480" spans="1:20" ht="14.25" customHeight="1" x14ac:dyDescent="0.3">
      <c r="A480" s="136"/>
      <c r="B480" s="212"/>
      <c r="C480" s="138"/>
      <c r="D480" s="138"/>
      <c r="E480" s="138"/>
      <c r="F480" s="138"/>
      <c r="G480" s="138"/>
      <c r="H480" s="139"/>
      <c r="I480" s="138"/>
      <c r="J480" s="138"/>
      <c r="K480" s="138"/>
      <c r="L480" s="138"/>
      <c r="M480" s="139"/>
      <c r="N480" s="138"/>
      <c r="O480" s="138"/>
      <c r="P480" s="138"/>
      <c r="Q480" s="139"/>
      <c r="R480" s="139"/>
      <c r="S480" s="212"/>
      <c r="T480" s="138"/>
    </row>
    <row r="481" spans="1:20" ht="14.25" customHeight="1" x14ac:dyDescent="0.3">
      <c r="A481" s="136"/>
      <c r="B481" s="212"/>
      <c r="C481" s="138"/>
      <c r="D481" s="138"/>
      <c r="E481" s="138"/>
      <c r="F481" s="138"/>
      <c r="G481" s="138"/>
      <c r="H481" s="139"/>
      <c r="I481" s="138"/>
      <c r="J481" s="138"/>
      <c r="K481" s="138"/>
      <c r="L481" s="138"/>
      <c r="M481" s="139"/>
      <c r="N481" s="138"/>
      <c r="O481" s="138"/>
      <c r="P481" s="138"/>
      <c r="Q481" s="139"/>
      <c r="R481" s="139"/>
      <c r="S481" s="212"/>
      <c r="T481" s="138"/>
    </row>
    <row r="482" spans="1:20" ht="14.25" customHeight="1" x14ac:dyDescent="0.3">
      <c r="A482" s="136"/>
      <c r="B482" s="212"/>
      <c r="C482" s="138"/>
      <c r="D482" s="138"/>
      <c r="E482" s="138"/>
      <c r="F482" s="138"/>
      <c r="G482" s="138"/>
      <c r="H482" s="139"/>
      <c r="I482" s="138"/>
      <c r="J482" s="138"/>
      <c r="K482" s="138"/>
      <c r="L482" s="138"/>
      <c r="M482" s="139"/>
      <c r="N482" s="138"/>
      <c r="O482" s="138"/>
      <c r="P482" s="138"/>
      <c r="Q482" s="139"/>
      <c r="R482" s="139"/>
      <c r="S482" s="212"/>
      <c r="T482" s="138"/>
    </row>
    <row r="483" spans="1:20" ht="14.25" customHeight="1" x14ac:dyDescent="0.3">
      <c r="A483" s="136"/>
      <c r="B483" s="212"/>
      <c r="C483" s="138"/>
      <c r="D483" s="138"/>
      <c r="E483" s="138"/>
      <c r="F483" s="138"/>
      <c r="G483" s="138"/>
      <c r="H483" s="139"/>
      <c r="I483" s="138"/>
      <c r="J483" s="138"/>
      <c r="K483" s="138"/>
      <c r="L483" s="138"/>
      <c r="M483" s="139"/>
      <c r="N483" s="138"/>
      <c r="O483" s="138"/>
      <c r="P483" s="138"/>
      <c r="Q483" s="139"/>
      <c r="R483" s="139"/>
      <c r="S483" s="212"/>
      <c r="T483" s="138"/>
    </row>
    <row r="484" spans="1:20" ht="14.25" customHeight="1" x14ac:dyDescent="0.3">
      <c r="A484" s="136"/>
      <c r="B484" s="212"/>
      <c r="C484" s="138"/>
      <c r="D484" s="138"/>
      <c r="E484" s="138"/>
      <c r="F484" s="138"/>
      <c r="G484" s="138"/>
      <c r="H484" s="139"/>
      <c r="I484" s="138"/>
      <c r="J484" s="138"/>
      <c r="K484" s="138"/>
      <c r="L484" s="138"/>
      <c r="M484" s="139"/>
      <c r="N484" s="138"/>
      <c r="O484" s="138"/>
      <c r="P484" s="138"/>
      <c r="Q484" s="139"/>
      <c r="R484" s="139"/>
      <c r="S484" s="212"/>
      <c r="T484" s="138"/>
    </row>
    <row r="485" spans="1:20" ht="14.25" customHeight="1" x14ac:dyDescent="0.3">
      <c r="A485" s="136"/>
      <c r="B485" s="212"/>
      <c r="C485" s="138"/>
      <c r="D485" s="138"/>
      <c r="E485" s="138"/>
      <c r="F485" s="138"/>
      <c r="G485" s="138"/>
      <c r="H485" s="139"/>
      <c r="I485" s="138"/>
      <c r="J485" s="138"/>
      <c r="K485" s="138"/>
      <c r="L485" s="138"/>
      <c r="M485" s="139"/>
      <c r="N485" s="138"/>
      <c r="O485" s="138"/>
      <c r="P485" s="138"/>
      <c r="Q485" s="139"/>
      <c r="R485" s="139"/>
      <c r="S485" s="212"/>
      <c r="T485" s="138"/>
    </row>
    <row r="486" spans="1:20" ht="14.25" customHeight="1" x14ac:dyDescent="0.3">
      <c r="A486" s="136"/>
      <c r="B486" s="212"/>
      <c r="C486" s="138"/>
      <c r="D486" s="138"/>
      <c r="E486" s="138"/>
      <c r="F486" s="138"/>
      <c r="G486" s="138"/>
      <c r="H486" s="139"/>
      <c r="I486" s="138"/>
      <c r="J486" s="138"/>
      <c r="K486" s="138"/>
      <c r="L486" s="138"/>
      <c r="M486" s="139"/>
      <c r="N486" s="138"/>
      <c r="O486" s="138"/>
      <c r="P486" s="138"/>
      <c r="Q486" s="139"/>
      <c r="R486" s="139"/>
      <c r="S486" s="212"/>
      <c r="T486" s="138"/>
    </row>
    <row r="487" spans="1:20" ht="14.25" customHeight="1" x14ac:dyDescent="0.3">
      <c r="A487" s="136"/>
      <c r="B487" s="212"/>
      <c r="C487" s="138"/>
      <c r="D487" s="138"/>
      <c r="E487" s="138"/>
      <c r="F487" s="138"/>
      <c r="G487" s="138"/>
      <c r="H487" s="139"/>
      <c r="I487" s="138"/>
      <c r="J487" s="138"/>
      <c r="K487" s="138"/>
      <c r="L487" s="138"/>
      <c r="M487" s="139"/>
      <c r="N487" s="138"/>
      <c r="O487" s="138"/>
      <c r="P487" s="138"/>
      <c r="Q487" s="139"/>
      <c r="R487" s="139"/>
      <c r="S487" s="212"/>
      <c r="T487" s="138"/>
    </row>
    <row r="488" spans="1:20" ht="14.25" customHeight="1" x14ac:dyDescent="0.3">
      <c r="A488" s="136"/>
      <c r="B488" s="212"/>
      <c r="C488" s="138"/>
      <c r="D488" s="138"/>
      <c r="E488" s="138"/>
      <c r="F488" s="138"/>
      <c r="G488" s="138"/>
      <c r="H488" s="139"/>
      <c r="I488" s="138"/>
      <c r="J488" s="138"/>
      <c r="K488" s="138"/>
      <c r="L488" s="138"/>
      <c r="M488" s="139"/>
      <c r="N488" s="138"/>
      <c r="O488" s="138"/>
      <c r="P488" s="138"/>
      <c r="Q488" s="139"/>
      <c r="R488" s="139"/>
      <c r="S488" s="212"/>
      <c r="T488" s="138"/>
    </row>
    <row r="489" spans="1:20" ht="14.25" customHeight="1" x14ac:dyDescent="0.3">
      <c r="A489" s="136"/>
      <c r="B489" s="212"/>
      <c r="C489" s="138"/>
      <c r="D489" s="138"/>
      <c r="E489" s="138"/>
      <c r="F489" s="138"/>
      <c r="G489" s="138"/>
      <c r="H489" s="139"/>
      <c r="I489" s="138"/>
      <c r="J489" s="138"/>
      <c r="K489" s="138"/>
      <c r="L489" s="138"/>
      <c r="M489" s="139"/>
      <c r="N489" s="138"/>
      <c r="O489" s="138"/>
      <c r="P489" s="138"/>
      <c r="Q489" s="139"/>
      <c r="R489" s="139"/>
      <c r="S489" s="212"/>
      <c r="T489" s="138"/>
    </row>
    <row r="490" spans="1:20" ht="14.25" customHeight="1" x14ac:dyDescent="0.3">
      <c r="A490" s="136"/>
      <c r="B490" s="212"/>
      <c r="C490" s="138"/>
      <c r="D490" s="138"/>
      <c r="E490" s="138"/>
      <c r="F490" s="138"/>
      <c r="G490" s="138"/>
      <c r="H490" s="139"/>
      <c r="I490" s="138"/>
      <c r="J490" s="138"/>
      <c r="K490" s="138"/>
      <c r="L490" s="138"/>
      <c r="M490" s="139"/>
      <c r="N490" s="138"/>
      <c r="O490" s="138"/>
      <c r="P490" s="138"/>
      <c r="Q490" s="139"/>
      <c r="R490" s="139"/>
      <c r="S490" s="212"/>
      <c r="T490" s="138"/>
    </row>
    <row r="491" spans="1:20" ht="14.25" customHeight="1" x14ac:dyDescent="0.3">
      <c r="A491" s="136"/>
      <c r="B491" s="212"/>
      <c r="C491" s="138"/>
      <c r="D491" s="138"/>
      <c r="E491" s="138"/>
      <c r="F491" s="138"/>
      <c r="G491" s="138"/>
      <c r="H491" s="139"/>
      <c r="I491" s="138"/>
      <c r="J491" s="138"/>
      <c r="K491" s="138"/>
      <c r="L491" s="138"/>
      <c r="M491" s="139"/>
      <c r="N491" s="138"/>
      <c r="O491" s="138"/>
      <c r="P491" s="138"/>
      <c r="Q491" s="139"/>
      <c r="R491" s="139"/>
      <c r="S491" s="212"/>
      <c r="T491" s="138"/>
    </row>
    <row r="492" spans="1:20" ht="14.25" customHeight="1" x14ac:dyDescent="0.3">
      <c r="A492" s="136"/>
      <c r="B492" s="212"/>
      <c r="C492" s="138"/>
      <c r="D492" s="138"/>
      <c r="E492" s="138"/>
      <c r="F492" s="138"/>
      <c r="G492" s="138"/>
      <c r="H492" s="139"/>
      <c r="I492" s="138"/>
      <c r="J492" s="138"/>
      <c r="K492" s="138"/>
      <c r="L492" s="138"/>
      <c r="M492" s="139"/>
      <c r="N492" s="138"/>
      <c r="O492" s="138"/>
      <c r="P492" s="138"/>
      <c r="Q492" s="139"/>
      <c r="R492" s="139"/>
      <c r="S492" s="212"/>
      <c r="T492" s="138"/>
    </row>
    <row r="493" spans="1:20" ht="14.25" customHeight="1" x14ac:dyDescent="0.3">
      <c r="A493" s="136"/>
      <c r="B493" s="212"/>
      <c r="C493" s="138"/>
      <c r="D493" s="138"/>
      <c r="E493" s="138"/>
      <c r="F493" s="138"/>
      <c r="G493" s="138"/>
      <c r="H493" s="139"/>
      <c r="I493" s="138"/>
      <c r="J493" s="138"/>
      <c r="K493" s="138"/>
      <c r="L493" s="138"/>
      <c r="M493" s="139"/>
      <c r="N493" s="138"/>
      <c r="O493" s="138"/>
      <c r="P493" s="138"/>
      <c r="Q493" s="139"/>
      <c r="R493" s="139"/>
      <c r="S493" s="212"/>
      <c r="T493" s="138"/>
    </row>
    <row r="494" spans="1:20" ht="14.25" customHeight="1" x14ac:dyDescent="0.3">
      <c r="A494" s="136"/>
      <c r="B494" s="212"/>
      <c r="C494" s="138"/>
      <c r="D494" s="138"/>
      <c r="E494" s="138"/>
      <c r="F494" s="138"/>
      <c r="G494" s="138"/>
      <c r="H494" s="139"/>
      <c r="I494" s="138"/>
      <c r="J494" s="138"/>
      <c r="K494" s="138"/>
      <c r="L494" s="138"/>
      <c r="M494" s="139"/>
      <c r="N494" s="138"/>
      <c r="O494" s="138"/>
      <c r="P494" s="138"/>
      <c r="Q494" s="139"/>
      <c r="R494" s="139"/>
      <c r="S494" s="212"/>
      <c r="T494" s="138"/>
    </row>
    <row r="495" spans="1:20" ht="14.25" customHeight="1" x14ac:dyDescent="0.3">
      <c r="A495" s="136"/>
      <c r="B495" s="212"/>
      <c r="C495" s="138"/>
      <c r="D495" s="138"/>
      <c r="E495" s="138"/>
      <c r="F495" s="138"/>
      <c r="G495" s="138"/>
      <c r="H495" s="139"/>
      <c r="I495" s="138"/>
      <c r="J495" s="138"/>
      <c r="K495" s="138"/>
      <c r="L495" s="138"/>
      <c r="M495" s="139"/>
      <c r="N495" s="138"/>
      <c r="O495" s="138"/>
      <c r="P495" s="138"/>
      <c r="Q495" s="139"/>
      <c r="R495" s="139"/>
      <c r="S495" s="212"/>
      <c r="T495" s="138"/>
    </row>
    <row r="496" spans="1:20" ht="14.25" customHeight="1" x14ac:dyDescent="0.3">
      <c r="A496" s="136"/>
      <c r="B496" s="212"/>
      <c r="C496" s="138"/>
      <c r="D496" s="138"/>
      <c r="E496" s="138"/>
      <c r="F496" s="138"/>
      <c r="G496" s="138"/>
      <c r="H496" s="139"/>
      <c r="I496" s="138"/>
      <c r="J496" s="138"/>
      <c r="K496" s="138"/>
      <c r="L496" s="138"/>
      <c r="M496" s="139"/>
      <c r="N496" s="138"/>
      <c r="O496" s="138"/>
      <c r="P496" s="138"/>
      <c r="Q496" s="139"/>
      <c r="R496" s="139"/>
      <c r="S496" s="212"/>
      <c r="T496" s="138"/>
    </row>
    <row r="497" spans="1:20" ht="14.25" customHeight="1" x14ac:dyDescent="0.3">
      <c r="A497" s="136"/>
      <c r="B497" s="212"/>
      <c r="C497" s="138"/>
      <c r="D497" s="138"/>
      <c r="E497" s="138"/>
      <c r="F497" s="138"/>
      <c r="G497" s="138"/>
      <c r="H497" s="139"/>
      <c r="I497" s="138"/>
      <c r="J497" s="138"/>
      <c r="K497" s="138"/>
      <c r="L497" s="138"/>
      <c r="M497" s="139"/>
      <c r="N497" s="138"/>
      <c r="O497" s="138"/>
      <c r="P497" s="138"/>
      <c r="Q497" s="139"/>
      <c r="R497" s="139"/>
      <c r="S497" s="212"/>
      <c r="T497" s="138"/>
    </row>
    <row r="498" spans="1:20" ht="14.25" customHeight="1" x14ac:dyDescent="0.3">
      <c r="A498" s="136"/>
      <c r="B498" s="212"/>
      <c r="C498" s="138"/>
      <c r="D498" s="138"/>
      <c r="E498" s="138"/>
      <c r="F498" s="138"/>
      <c r="G498" s="138"/>
      <c r="H498" s="139"/>
      <c r="I498" s="138"/>
      <c r="J498" s="138"/>
      <c r="K498" s="138"/>
      <c r="L498" s="138"/>
      <c r="M498" s="139"/>
      <c r="N498" s="138"/>
      <c r="O498" s="138"/>
      <c r="P498" s="138"/>
      <c r="Q498" s="139"/>
      <c r="R498" s="139"/>
      <c r="S498" s="212"/>
      <c r="T498" s="138"/>
    </row>
    <row r="499" spans="1:20" ht="14.25" customHeight="1" x14ac:dyDescent="0.3">
      <c r="A499" s="136"/>
      <c r="B499" s="212"/>
      <c r="C499" s="138"/>
      <c r="D499" s="138"/>
      <c r="E499" s="138"/>
      <c r="F499" s="138"/>
      <c r="G499" s="138"/>
      <c r="H499" s="139"/>
      <c r="I499" s="138"/>
      <c r="J499" s="138"/>
      <c r="K499" s="138"/>
      <c r="L499" s="138"/>
      <c r="M499" s="139"/>
      <c r="N499" s="138"/>
      <c r="O499" s="138"/>
      <c r="P499" s="138"/>
      <c r="Q499" s="139"/>
      <c r="R499" s="139"/>
      <c r="S499" s="212"/>
      <c r="T499" s="138"/>
    </row>
    <row r="500" spans="1:20" ht="14.25" customHeight="1" x14ac:dyDescent="0.3">
      <c r="A500" s="136"/>
      <c r="B500" s="212"/>
      <c r="C500" s="138"/>
      <c r="D500" s="138"/>
      <c r="E500" s="138"/>
      <c r="F500" s="138"/>
      <c r="G500" s="138"/>
      <c r="H500" s="139"/>
      <c r="I500" s="138"/>
      <c r="J500" s="138"/>
      <c r="K500" s="138"/>
      <c r="L500" s="138"/>
      <c r="M500" s="139"/>
      <c r="N500" s="138"/>
      <c r="O500" s="138"/>
      <c r="P500" s="138"/>
      <c r="Q500" s="139"/>
      <c r="R500" s="139"/>
      <c r="S500" s="212"/>
      <c r="T500" s="138"/>
    </row>
    <row r="501" spans="1:20" ht="14.25" customHeight="1" x14ac:dyDescent="0.3">
      <c r="A501" s="136"/>
      <c r="B501" s="212"/>
      <c r="C501" s="138"/>
      <c r="D501" s="138"/>
      <c r="E501" s="138"/>
      <c r="F501" s="138"/>
      <c r="G501" s="138"/>
      <c r="H501" s="139"/>
      <c r="I501" s="138"/>
      <c r="J501" s="138"/>
      <c r="K501" s="138"/>
      <c r="L501" s="138"/>
      <c r="M501" s="139"/>
      <c r="N501" s="138"/>
      <c r="O501" s="138"/>
      <c r="P501" s="138"/>
      <c r="Q501" s="139"/>
      <c r="R501" s="139"/>
      <c r="S501" s="212"/>
      <c r="T501" s="138"/>
    </row>
    <row r="502" spans="1:20" ht="14.25" customHeight="1" x14ac:dyDescent="0.3">
      <c r="A502" s="136"/>
      <c r="B502" s="212"/>
      <c r="C502" s="138"/>
      <c r="D502" s="138"/>
      <c r="E502" s="138"/>
      <c r="F502" s="138"/>
      <c r="G502" s="138"/>
      <c r="H502" s="139"/>
      <c r="I502" s="138"/>
      <c r="J502" s="138"/>
      <c r="K502" s="138"/>
      <c r="L502" s="138"/>
      <c r="M502" s="139"/>
      <c r="N502" s="138"/>
      <c r="O502" s="138"/>
      <c r="P502" s="138"/>
      <c r="Q502" s="139"/>
      <c r="R502" s="139"/>
      <c r="S502" s="212"/>
      <c r="T502" s="138"/>
    </row>
    <row r="503" spans="1:20" ht="14.25" customHeight="1" x14ac:dyDescent="0.3">
      <c r="A503" s="136"/>
      <c r="B503" s="212"/>
      <c r="C503" s="138"/>
      <c r="D503" s="138"/>
      <c r="E503" s="138"/>
      <c r="F503" s="138"/>
      <c r="G503" s="138"/>
      <c r="H503" s="139"/>
      <c r="I503" s="138"/>
      <c r="J503" s="138"/>
      <c r="K503" s="138"/>
      <c r="L503" s="138"/>
      <c r="M503" s="139"/>
      <c r="N503" s="138"/>
      <c r="O503" s="138"/>
      <c r="P503" s="138"/>
      <c r="Q503" s="139"/>
      <c r="R503" s="139"/>
      <c r="S503" s="212"/>
      <c r="T503" s="138"/>
    </row>
    <row r="504" spans="1:20" ht="14.25" customHeight="1" x14ac:dyDescent="0.3">
      <c r="A504" s="136"/>
      <c r="B504" s="212"/>
      <c r="C504" s="138"/>
      <c r="D504" s="138"/>
      <c r="E504" s="138"/>
      <c r="F504" s="138"/>
      <c r="G504" s="138"/>
      <c r="H504" s="139"/>
      <c r="I504" s="138"/>
      <c r="J504" s="138"/>
      <c r="K504" s="138"/>
      <c r="L504" s="138"/>
      <c r="M504" s="139"/>
      <c r="N504" s="138"/>
      <c r="O504" s="138"/>
      <c r="P504" s="138"/>
      <c r="Q504" s="139"/>
      <c r="R504" s="139"/>
      <c r="S504" s="212"/>
      <c r="T504" s="138"/>
    </row>
    <row r="505" spans="1:20" ht="14.25" customHeight="1" x14ac:dyDescent="0.3">
      <c r="A505" s="136"/>
      <c r="B505" s="212"/>
      <c r="C505" s="138"/>
      <c r="D505" s="138"/>
      <c r="E505" s="138"/>
      <c r="F505" s="138"/>
      <c r="G505" s="138"/>
      <c r="H505" s="139"/>
      <c r="I505" s="138"/>
      <c r="J505" s="138"/>
      <c r="K505" s="138"/>
      <c r="L505" s="138"/>
      <c r="M505" s="139"/>
      <c r="N505" s="138"/>
      <c r="O505" s="138"/>
      <c r="P505" s="138"/>
      <c r="Q505" s="139"/>
      <c r="R505" s="139"/>
      <c r="S505" s="212"/>
      <c r="T505" s="138"/>
    </row>
    <row r="506" spans="1:20" ht="14.25" customHeight="1" x14ac:dyDescent="0.3">
      <c r="A506" s="136"/>
      <c r="B506" s="212"/>
      <c r="C506" s="138"/>
      <c r="D506" s="138"/>
      <c r="E506" s="138"/>
      <c r="F506" s="138"/>
      <c r="G506" s="138"/>
      <c r="H506" s="139"/>
      <c r="I506" s="138"/>
      <c r="J506" s="138"/>
      <c r="K506" s="138"/>
      <c r="L506" s="138"/>
      <c r="M506" s="139"/>
      <c r="N506" s="138"/>
      <c r="O506" s="138"/>
      <c r="P506" s="138"/>
      <c r="Q506" s="139"/>
      <c r="R506" s="139"/>
      <c r="S506" s="212"/>
      <c r="T506" s="138"/>
    </row>
    <row r="507" spans="1:20" ht="14.25" customHeight="1" x14ac:dyDescent="0.3">
      <c r="A507" s="136"/>
      <c r="B507" s="212"/>
      <c r="C507" s="138"/>
      <c r="D507" s="138"/>
      <c r="E507" s="138"/>
      <c r="F507" s="138"/>
      <c r="G507" s="138"/>
      <c r="H507" s="139"/>
      <c r="I507" s="138"/>
      <c r="J507" s="138"/>
      <c r="K507" s="138"/>
      <c r="L507" s="138"/>
      <c r="M507" s="139"/>
      <c r="N507" s="138"/>
      <c r="O507" s="138"/>
      <c r="P507" s="138"/>
      <c r="Q507" s="139"/>
      <c r="R507" s="139"/>
      <c r="S507" s="212"/>
      <c r="T507" s="138"/>
    </row>
    <row r="508" spans="1:20" ht="14.25" customHeight="1" x14ac:dyDescent="0.3">
      <c r="A508" s="136"/>
      <c r="B508" s="212"/>
      <c r="C508" s="138"/>
      <c r="D508" s="138"/>
      <c r="E508" s="138"/>
      <c r="F508" s="138"/>
      <c r="G508" s="138"/>
      <c r="H508" s="139"/>
      <c r="I508" s="138"/>
      <c r="J508" s="138"/>
      <c r="K508" s="138"/>
      <c r="L508" s="138"/>
      <c r="M508" s="139"/>
      <c r="N508" s="138"/>
      <c r="O508" s="138"/>
      <c r="P508" s="138"/>
      <c r="Q508" s="139"/>
      <c r="R508" s="139"/>
      <c r="S508" s="212"/>
      <c r="T508" s="138"/>
    </row>
    <row r="509" spans="1:20" ht="14.25" customHeight="1" x14ac:dyDescent="0.3">
      <c r="A509" s="136"/>
      <c r="B509" s="212"/>
      <c r="C509" s="138"/>
      <c r="D509" s="138"/>
      <c r="E509" s="138"/>
      <c r="F509" s="138"/>
      <c r="G509" s="138"/>
      <c r="H509" s="139"/>
      <c r="I509" s="138"/>
      <c r="J509" s="138"/>
      <c r="K509" s="138"/>
      <c r="L509" s="138"/>
      <c r="M509" s="139"/>
      <c r="N509" s="138"/>
      <c r="O509" s="138"/>
      <c r="P509" s="138"/>
      <c r="Q509" s="139"/>
      <c r="R509" s="139"/>
      <c r="S509" s="212"/>
      <c r="T509" s="138"/>
    </row>
    <row r="510" spans="1:20" ht="14.25" customHeight="1" x14ac:dyDescent="0.3">
      <c r="A510" s="136"/>
      <c r="B510" s="212"/>
      <c r="C510" s="138"/>
      <c r="D510" s="138"/>
      <c r="E510" s="138"/>
      <c r="F510" s="138"/>
      <c r="G510" s="138"/>
      <c r="H510" s="139"/>
      <c r="I510" s="138"/>
      <c r="J510" s="138"/>
      <c r="K510" s="138"/>
      <c r="L510" s="138"/>
      <c r="M510" s="139"/>
      <c r="N510" s="138"/>
      <c r="O510" s="138"/>
      <c r="P510" s="138"/>
      <c r="Q510" s="139"/>
      <c r="R510" s="139"/>
      <c r="S510" s="212"/>
      <c r="T510" s="138"/>
    </row>
    <row r="511" spans="1:20" ht="14.25" customHeight="1" x14ac:dyDescent="0.3">
      <c r="A511" s="136"/>
      <c r="B511" s="212"/>
      <c r="C511" s="138"/>
      <c r="D511" s="138"/>
      <c r="E511" s="138"/>
      <c r="F511" s="138"/>
      <c r="G511" s="138"/>
      <c r="H511" s="139"/>
      <c r="I511" s="138"/>
      <c r="J511" s="138"/>
      <c r="K511" s="138"/>
      <c r="L511" s="138"/>
      <c r="M511" s="139"/>
      <c r="N511" s="138"/>
      <c r="O511" s="138"/>
      <c r="P511" s="138"/>
      <c r="Q511" s="139"/>
      <c r="R511" s="139"/>
      <c r="S511" s="212"/>
      <c r="T511" s="138"/>
    </row>
    <row r="512" spans="1:20" ht="14.25" customHeight="1" x14ac:dyDescent="0.3">
      <c r="A512" s="136"/>
      <c r="B512" s="212"/>
      <c r="C512" s="138"/>
      <c r="D512" s="138"/>
      <c r="E512" s="138"/>
      <c r="F512" s="138"/>
      <c r="G512" s="138"/>
      <c r="H512" s="139"/>
      <c r="I512" s="138"/>
      <c r="J512" s="138"/>
      <c r="K512" s="138"/>
      <c r="L512" s="138"/>
      <c r="M512" s="139"/>
      <c r="N512" s="138"/>
      <c r="O512" s="138"/>
      <c r="P512" s="138"/>
      <c r="Q512" s="139"/>
      <c r="R512" s="139"/>
      <c r="S512" s="212"/>
      <c r="T512" s="138"/>
    </row>
    <row r="513" spans="1:20" ht="14.25" customHeight="1" x14ac:dyDescent="0.3">
      <c r="A513" s="136"/>
      <c r="B513" s="212"/>
      <c r="C513" s="138"/>
      <c r="D513" s="138"/>
      <c r="E513" s="138"/>
      <c r="F513" s="138"/>
      <c r="G513" s="138"/>
      <c r="H513" s="139"/>
      <c r="I513" s="138"/>
      <c r="J513" s="138"/>
      <c r="K513" s="138"/>
      <c r="L513" s="138"/>
      <c r="M513" s="139"/>
      <c r="N513" s="138"/>
      <c r="O513" s="138"/>
      <c r="P513" s="138"/>
      <c r="Q513" s="139"/>
      <c r="R513" s="139"/>
      <c r="S513" s="212"/>
      <c r="T513" s="138"/>
    </row>
    <row r="514" spans="1:20" ht="14.25" customHeight="1" x14ac:dyDescent="0.3">
      <c r="A514" s="136"/>
      <c r="B514" s="212"/>
      <c r="C514" s="138"/>
      <c r="D514" s="138"/>
      <c r="E514" s="138"/>
      <c r="F514" s="138"/>
      <c r="G514" s="138"/>
      <c r="H514" s="139"/>
      <c r="I514" s="138"/>
      <c r="J514" s="138"/>
      <c r="K514" s="138"/>
      <c r="L514" s="138"/>
      <c r="M514" s="139"/>
      <c r="N514" s="138"/>
      <c r="O514" s="138"/>
      <c r="P514" s="138"/>
      <c r="Q514" s="139"/>
      <c r="R514" s="139"/>
      <c r="S514" s="212"/>
      <c r="T514" s="138"/>
    </row>
    <row r="515" spans="1:20" ht="14.25" customHeight="1" x14ac:dyDescent="0.3">
      <c r="A515" s="136"/>
      <c r="B515" s="212"/>
      <c r="C515" s="138"/>
      <c r="D515" s="138"/>
      <c r="E515" s="138"/>
      <c r="F515" s="138"/>
      <c r="G515" s="138"/>
      <c r="H515" s="139"/>
      <c r="I515" s="138"/>
      <c r="J515" s="138"/>
      <c r="K515" s="138"/>
      <c r="L515" s="138"/>
      <c r="M515" s="139"/>
      <c r="N515" s="138"/>
      <c r="O515" s="138"/>
      <c r="P515" s="138"/>
      <c r="Q515" s="139"/>
      <c r="R515" s="139"/>
      <c r="S515" s="212"/>
      <c r="T515" s="138"/>
    </row>
    <row r="516" spans="1:20" ht="14.25" customHeight="1" x14ac:dyDescent="0.3">
      <c r="A516" s="136"/>
      <c r="B516" s="212"/>
      <c r="C516" s="138"/>
      <c r="D516" s="138"/>
      <c r="E516" s="138"/>
      <c r="F516" s="138"/>
      <c r="G516" s="138"/>
      <c r="H516" s="139"/>
      <c r="I516" s="138"/>
      <c r="J516" s="138"/>
      <c r="K516" s="138"/>
      <c r="L516" s="138"/>
      <c r="M516" s="139"/>
      <c r="N516" s="138"/>
      <c r="O516" s="138"/>
      <c r="P516" s="138"/>
      <c r="Q516" s="139"/>
      <c r="R516" s="139"/>
      <c r="S516" s="212"/>
      <c r="T516" s="138"/>
    </row>
    <row r="517" spans="1:20" ht="14.25" customHeight="1" x14ac:dyDescent="0.3">
      <c r="A517" s="136"/>
      <c r="B517" s="212"/>
      <c r="C517" s="138"/>
      <c r="D517" s="138"/>
      <c r="E517" s="138"/>
      <c r="F517" s="138"/>
      <c r="G517" s="138"/>
      <c r="H517" s="139"/>
      <c r="I517" s="138"/>
      <c r="J517" s="138"/>
      <c r="K517" s="138"/>
      <c r="L517" s="138"/>
      <c r="M517" s="139"/>
      <c r="N517" s="138"/>
      <c r="O517" s="138"/>
      <c r="P517" s="138"/>
      <c r="Q517" s="139"/>
      <c r="R517" s="139"/>
      <c r="S517" s="212"/>
      <c r="T517" s="138"/>
    </row>
    <row r="518" spans="1:20" ht="14.25" customHeight="1" x14ac:dyDescent="0.3">
      <c r="A518" s="136"/>
      <c r="B518" s="212"/>
      <c r="C518" s="138"/>
      <c r="D518" s="138"/>
      <c r="E518" s="138"/>
      <c r="F518" s="138"/>
      <c r="G518" s="138"/>
      <c r="H518" s="139"/>
      <c r="I518" s="138"/>
      <c r="J518" s="138"/>
      <c r="K518" s="138"/>
      <c r="L518" s="138"/>
      <c r="M518" s="139"/>
      <c r="N518" s="138"/>
      <c r="O518" s="138"/>
      <c r="P518" s="138"/>
      <c r="Q518" s="139"/>
      <c r="R518" s="139"/>
      <c r="S518" s="212"/>
      <c r="T518" s="138"/>
    </row>
    <row r="519" spans="1:20" ht="14.25" customHeight="1" x14ac:dyDescent="0.3">
      <c r="A519" s="136"/>
      <c r="B519" s="212"/>
      <c r="C519" s="138"/>
      <c r="D519" s="138"/>
      <c r="E519" s="138"/>
      <c r="F519" s="138"/>
      <c r="G519" s="138"/>
      <c r="H519" s="139"/>
      <c r="I519" s="138"/>
      <c r="J519" s="138"/>
      <c r="K519" s="138"/>
      <c r="L519" s="138"/>
      <c r="M519" s="139"/>
      <c r="N519" s="138"/>
      <c r="O519" s="138"/>
      <c r="P519" s="138"/>
      <c r="Q519" s="139"/>
      <c r="R519" s="139"/>
      <c r="S519" s="212"/>
      <c r="T519" s="138"/>
    </row>
    <row r="520" spans="1:20" ht="14.25" customHeight="1" x14ac:dyDescent="0.3">
      <c r="A520" s="136"/>
      <c r="B520" s="212"/>
      <c r="C520" s="138"/>
      <c r="D520" s="138"/>
      <c r="E520" s="138"/>
      <c r="F520" s="138"/>
      <c r="G520" s="138"/>
      <c r="H520" s="139"/>
      <c r="I520" s="138"/>
      <c r="J520" s="138"/>
      <c r="K520" s="138"/>
      <c r="L520" s="138"/>
      <c r="M520" s="139"/>
      <c r="N520" s="138"/>
      <c r="O520" s="138"/>
      <c r="P520" s="138"/>
      <c r="Q520" s="139"/>
      <c r="R520" s="139"/>
      <c r="S520" s="212"/>
      <c r="T520" s="138"/>
    </row>
    <row r="521" spans="1:20" ht="14.25" customHeight="1" x14ac:dyDescent="0.3">
      <c r="A521" s="136"/>
      <c r="B521" s="212"/>
      <c r="C521" s="138"/>
      <c r="D521" s="138"/>
      <c r="E521" s="138"/>
      <c r="F521" s="138"/>
      <c r="G521" s="138"/>
      <c r="H521" s="139"/>
      <c r="I521" s="138"/>
      <c r="J521" s="138"/>
      <c r="K521" s="138"/>
      <c r="L521" s="138"/>
      <c r="M521" s="139"/>
      <c r="N521" s="138"/>
      <c r="O521" s="138"/>
      <c r="P521" s="138"/>
      <c r="Q521" s="139"/>
      <c r="R521" s="139"/>
      <c r="S521" s="212"/>
      <c r="T521" s="138"/>
    </row>
    <row r="522" spans="1:20" ht="14.25" customHeight="1" x14ac:dyDescent="0.3">
      <c r="A522" s="136"/>
      <c r="B522" s="212"/>
      <c r="C522" s="138"/>
      <c r="D522" s="138"/>
      <c r="E522" s="138"/>
      <c r="F522" s="138"/>
      <c r="G522" s="138"/>
      <c r="H522" s="139"/>
      <c r="I522" s="138"/>
      <c r="J522" s="138"/>
      <c r="K522" s="138"/>
      <c r="L522" s="138"/>
      <c r="M522" s="139"/>
      <c r="N522" s="138"/>
      <c r="O522" s="138"/>
      <c r="P522" s="138"/>
      <c r="Q522" s="139"/>
      <c r="R522" s="139"/>
      <c r="S522" s="212"/>
      <c r="T522" s="138"/>
    </row>
    <row r="523" spans="1:20" ht="14.25" customHeight="1" x14ac:dyDescent="0.3">
      <c r="A523" s="136"/>
      <c r="B523" s="212"/>
      <c r="C523" s="138"/>
      <c r="D523" s="138"/>
      <c r="E523" s="138"/>
      <c r="F523" s="138"/>
      <c r="G523" s="138"/>
      <c r="H523" s="139"/>
      <c r="I523" s="138"/>
      <c r="J523" s="138"/>
      <c r="K523" s="138"/>
      <c r="L523" s="138"/>
      <c r="M523" s="139"/>
      <c r="N523" s="138"/>
      <c r="O523" s="138"/>
      <c r="P523" s="138"/>
      <c r="Q523" s="139"/>
      <c r="R523" s="139"/>
      <c r="S523" s="212"/>
      <c r="T523" s="138"/>
    </row>
    <row r="524" spans="1:20" ht="14.25" customHeight="1" x14ac:dyDescent="0.3">
      <c r="A524" s="136"/>
      <c r="B524" s="212"/>
      <c r="C524" s="138"/>
      <c r="D524" s="138"/>
      <c r="E524" s="138"/>
      <c r="F524" s="138"/>
      <c r="G524" s="138"/>
      <c r="H524" s="139"/>
      <c r="I524" s="138"/>
      <c r="J524" s="138"/>
      <c r="K524" s="138"/>
      <c r="L524" s="138"/>
      <c r="M524" s="139"/>
      <c r="N524" s="138"/>
      <c r="O524" s="138"/>
      <c r="P524" s="138"/>
      <c r="Q524" s="139"/>
      <c r="R524" s="139"/>
      <c r="S524" s="212"/>
      <c r="T524" s="138"/>
    </row>
    <row r="525" spans="1:20" ht="14.25" customHeight="1" x14ac:dyDescent="0.3">
      <c r="A525" s="136"/>
      <c r="B525" s="212"/>
      <c r="C525" s="138"/>
      <c r="D525" s="138"/>
      <c r="E525" s="138"/>
      <c r="F525" s="138"/>
      <c r="G525" s="138"/>
      <c r="H525" s="139"/>
      <c r="I525" s="138"/>
      <c r="J525" s="138"/>
      <c r="K525" s="138"/>
      <c r="L525" s="138"/>
      <c r="M525" s="139"/>
      <c r="N525" s="138"/>
      <c r="O525" s="138"/>
      <c r="P525" s="138"/>
      <c r="Q525" s="139"/>
      <c r="R525" s="139"/>
      <c r="S525" s="212"/>
      <c r="T525" s="138"/>
    </row>
    <row r="526" spans="1:20" ht="14.25" customHeight="1" x14ac:dyDescent="0.3">
      <c r="A526" s="136"/>
      <c r="B526" s="212"/>
      <c r="C526" s="138"/>
      <c r="D526" s="138"/>
      <c r="E526" s="138"/>
      <c r="F526" s="138"/>
      <c r="G526" s="138"/>
      <c r="H526" s="139"/>
      <c r="I526" s="138"/>
      <c r="J526" s="138"/>
      <c r="K526" s="138"/>
      <c r="L526" s="138"/>
      <c r="M526" s="139"/>
      <c r="N526" s="138"/>
      <c r="O526" s="138"/>
      <c r="P526" s="138"/>
      <c r="Q526" s="139"/>
      <c r="R526" s="139"/>
      <c r="S526" s="212"/>
      <c r="T526" s="138"/>
    </row>
    <row r="527" spans="1:20" ht="14.25" customHeight="1" x14ac:dyDescent="0.3">
      <c r="A527" s="136"/>
      <c r="B527" s="212"/>
      <c r="C527" s="138"/>
      <c r="D527" s="138"/>
      <c r="E527" s="138"/>
      <c r="F527" s="138"/>
      <c r="G527" s="138"/>
      <c r="H527" s="139"/>
      <c r="I527" s="138"/>
      <c r="J527" s="138"/>
      <c r="K527" s="138"/>
      <c r="L527" s="138"/>
      <c r="M527" s="139"/>
      <c r="N527" s="138"/>
      <c r="O527" s="138"/>
      <c r="P527" s="138"/>
      <c r="Q527" s="139"/>
      <c r="R527" s="139"/>
      <c r="S527" s="212"/>
      <c r="T527" s="138"/>
    </row>
    <row r="528" spans="1:20" ht="14.25" customHeight="1" x14ac:dyDescent="0.3">
      <c r="A528" s="136"/>
      <c r="B528" s="212"/>
      <c r="C528" s="138"/>
      <c r="D528" s="138"/>
      <c r="E528" s="138"/>
      <c r="F528" s="138"/>
      <c r="G528" s="138"/>
      <c r="H528" s="139"/>
      <c r="I528" s="138"/>
      <c r="J528" s="138"/>
      <c r="K528" s="138"/>
      <c r="L528" s="138"/>
      <c r="M528" s="139"/>
      <c r="N528" s="138"/>
      <c r="O528" s="138"/>
      <c r="P528" s="138"/>
      <c r="Q528" s="139"/>
      <c r="R528" s="139"/>
      <c r="S528" s="212"/>
      <c r="T528" s="138"/>
    </row>
    <row r="529" spans="1:20" ht="14.25" customHeight="1" x14ac:dyDescent="0.3">
      <c r="A529" s="136"/>
      <c r="B529" s="212"/>
      <c r="C529" s="138"/>
      <c r="D529" s="138"/>
      <c r="E529" s="138"/>
      <c r="F529" s="138"/>
      <c r="G529" s="138"/>
      <c r="H529" s="139"/>
      <c r="I529" s="138"/>
      <c r="J529" s="138"/>
      <c r="K529" s="138"/>
      <c r="L529" s="138"/>
      <c r="M529" s="139"/>
      <c r="N529" s="138"/>
      <c r="O529" s="138"/>
      <c r="P529" s="138"/>
      <c r="Q529" s="139"/>
      <c r="R529" s="139"/>
      <c r="S529" s="212"/>
      <c r="T529" s="138"/>
    </row>
    <row r="530" spans="1:20" ht="14.25" customHeight="1" x14ac:dyDescent="0.3">
      <c r="A530" s="136"/>
      <c r="B530" s="212"/>
      <c r="C530" s="138"/>
      <c r="D530" s="138"/>
      <c r="E530" s="138"/>
      <c r="F530" s="138"/>
      <c r="G530" s="138"/>
      <c r="H530" s="139"/>
      <c r="I530" s="138"/>
      <c r="J530" s="138"/>
      <c r="K530" s="138"/>
      <c r="L530" s="138"/>
      <c r="M530" s="139"/>
      <c r="N530" s="138"/>
      <c r="O530" s="138"/>
      <c r="P530" s="138"/>
      <c r="Q530" s="139"/>
      <c r="R530" s="139"/>
      <c r="S530" s="212"/>
      <c r="T530" s="138"/>
    </row>
    <row r="531" spans="1:20" ht="14.25" customHeight="1" x14ac:dyDescent="0.3">
      <c r="A531" s="136"/>
      <c r="B531" s="212"/>
      <c r="C531" s="138"/>
      <c r="D531" s="138"/>
      <c r="E531" s="138"/>
      <c r="F531" s="138"/>
      <c r="G531" s="138"/>
      <c r="H531" s="139"/>
      <c r="I531" s="138"/>
      <c r="J531" s="138"/>
      <c r="K531" s="138"/>
      <c r="L531" s="138"/>
      <c r="M531" s="139"/>
      <c r="N531" s="138"/>
      <c r="O531" s="138"/>
      <c r="P531" s="138"/>
      <c r="Q531" s="139"/>
      <c r="R531" s="139"/>
      <c r="S531" s="212"/>
      <c r="T531" s="138"/>
    </row>
    <row r="532" spans="1:20" ht="14.25" customHeight="1" x14ac:dyDescent="0.3">
      <c r="A532" s="136"/>
      <c r="B532" s="212"/>
      <c r="C532" s="138"/>
      <c r="D532" s="138"/>
      <c r="E532" s="138"/>
      <c r="F532" s="138"/>
      <c r="G532" s="138"/>
      <c r="H532" s="139"/>
      <c r="I532" s="138"/>
      <c r="J532" s="138"/>
      <c r="K532" s="138"/>
      <c r="L532" s="138"/>
      <c r="M532" s="139"/>
      <c r="N532" s="138"/>
      <c r="O532" s="138"/>
      <c r="P532" s="138"/>
      <c r="Q532" s="139"/>
      <c r="R532" s="139"/>
      <c r="S532" s="212"/>
      <c r="T532" s="138"/>
    </row>
    <row r="533" spans="1:20" ht="14.25" customHeight="1" x14ac:dyDescent="0.3">
      <c r="A533" s="136"/>
      <c r="B533" s="212"/>
      <c r="C533" s="138"/>
      <c r="D533" s="138"/>
      <c r="E533" s="138"/>
      <c r="F533" s="138"/>
      <c r="G533" s="138"/>
      <c r="H533" s="139"/>
      <c r="I533" s="138"/>
      <c r="J533" s="138"/>
      <c r="K533" s="138"/>
      <c r="L533" s="138"/>
      <c r="M533" s="139"/>
      <c r="N533" s="138"/>
      <c r="O533" s="138"/>
      <c r="P533" s="138"/>
      <c r="Q533" s="139"/>
      <c r="R533" s="139"/>
      <c r="S533" s="212"/>
      <c r="T533" s="138"/>
    </row>
    <row r="534" spans="1:20" ht="14.25" customHeight="1" x14ac:dyDescent="0.3">
      <c r="A534" s="136"/>
      <c r="B534" s="212"/>
      <c r="C534" s="138"/>
      <c r="D534" s="138"/>
      <c r="E534" s="138"/>
      <c r="F534" s="138"/>
      <c r="G534" s="138"/>
      <c r="H534" s="139"/>
      <c r="I534" s="138"/>
      <c r="J534" s="138"/>
      <c r="K534" s="138"/>
      <c r="L534" s="138"/>
      <c r="M534" s="139"/>
      <c r="N534" s="138"/>
      <c r="O534" s="138"/>
      <c r="P534" s="138"/>
      <c r="Q534" s="139"/>
      <c r="R534" s="139"/>
      <c r="S534" s="212"/>
      <c r="T534" s="138"/>
    </row>
    <row r="535" spans="1:20" ht="14.25" customHeight="1" x14ac:dyDescent="0.3">
      <c r="A535" s="136"/>
      <c r="B535" s="212"/>
      <c r="C535" s="138"/>
      <c r="D535" s="138"/>
      <c r="E535" s="138"/>
      <c r="F535" s="138"/>
      <c r="G535" s="138"/>
      <c r="H535" s="139"/>
      <c r="I535" s="138"/>
      <c r="J535" s="138"/>
      <c r="K535" s="138"/>
      <c r="L535" s="138"/>
      <c r="M535" s="139"/>
      <c r="N535" s="138"/>
      <c r="O535" s="138"/>
      <c r="P535" s="138"/>
      <c r="Q535" s="139"/>
      <c r="R535" s="139"/>
      <c r="S535" s="212"/>
      <c r="T535" s="138"/>
    </row>
    <row r="536" spans="1:20" ht="14.25" customHeight="1" x14ac:dyDescent="0.3">
      <c r="A536" s="136"/>
      <c r="B536" s="212"/>
      <c r="C536" s="138"/>
      <c r="D536" s="138"/>
      <c r="E536" s="138"/>
      <c r="F536" s="138"/>
      <c r="G536" s="138"/>
      <c r="H536" s="139"/>
      <c r="I536" s="138"/>
      <c r="J536" s="138"/>
      <c r="K536" s="138"/>
      <c r="L536" s="138"/>
      <c r="M536" s="139"/>
      <c r="N536" s="138"/>
      <c r="O536" s="138"/>
      <c r="P536" s="138"/>
      <c r="Q536" s="139"/>
      <c r="R536" s="139"/>
      <c r="S536" s="212"/>
      <c r="T536" s="138"/>
    </row>
    <row r="537" spans="1:20" ht="14.25" customHeight="1" x14ac:dyDescent="0.3">
      <c r="A537" s="136"/>
      <c r="B537" s="212"/>
      <c r="C537" s="138"/>
      <c r="D537" s="138"/>
      <c r="E537" s="138"/>
      <c r="F537" s="138"/>
      <c r="G537" s="138"/>
      <c r="H537" s="139"/>
      <c r="I537" s="138"/>
      <c r="J537" s="138"/>
      <c r="K537" s="138"/>
      <c r="L537" s="138"/>
      <c r="M537" s="139"/>
      <c r="N537" s="138"/>
      <c r="O537" s="138"/>
      <c r="P537" s="138"/>
      <c r="Q537" s="139"/>
      <c r="R537" s="139"/>
      <c r="S537" s="212"/>
      <c r="T537" s="138"/>
    </row>
    <row r="538" spans="1:20" ht="14.25" customHeight="1" x14ac:dyDescent="0.3">
      <c r="A538" s="136"/>
      <c r="B538" s="212"/>
      <c r="C538" s="138"/>
      <c r="D538" s="138"/>
      <c r="E538" s="138"/>
      <c r="F538" s="138"/>
      <c r="G538" s="138"/>
      <c r="H538" s="139"/>
      <c r="I538" s="138"/>
      <c r="J538" s="138"/>
      <c r="K538" s="138"/>
      <c r="L538" s="138"/>
      <c r="M538" s="139"/>
      <c r="N538" s="138"/>
      <c r="O538" s="138"/>
      <c r="P538" s="138"/>
      <c r="Q538" s="139"/>
      <c r="R538" s="139"/>
      <c r="S538" s="212"/>
      <c r="T538" s="138"/>
    </row>
    <row r="539" spans="1:20" ht="14.25" customHeight="1" x14ac:dyDescent="0.3">
      <c r="A539" s="136"/>
      <c r="B539" s="212"/>
      <c r="C539" s="138"/>
      <c r="D539" s="138"/>
      <c r="E539" s="138"/>
      <c r="F539" s="138"/>
      <c r="G539" s="138"/>
      <c r="H539" s="139"/>
      <c r="I539" s="138"/>
      <c r="J539" s="138"/>
      <c r="K539" s="138"/>
      <c r="L539" s="138"/>
      <c r="M539" s="139"/>
      <c r="N539" s="138"/>
      <c r="O539" s="138"/>
      <c r="P539" s="138"/>
      <c r="Q539" s="139"/>
      <c r="R539" s="139"/>
      <c r="S539" s="212"/>
      <c r="T539" s="138"/>
    </row>
    <row r="540" spans="1:20" ht="14.25" customHeight="1" x14ac:dyDescent="0.3">
      <c r="A540" s="136"/>
      <c r="B540" s="212"/>
      <c r="C540" s="138"/>
      <c r="D540" s="138"/>
      <c r="E540" s="138"/>
      <c r="F540" s="138"/>
      <c r="G540" s="138"/>
      <c r="H540" s="139"/>
      <c r="I540" s="138"/>
      <c r="J540" s="138"/>
      <c r="K540" s="138"/>
      <c r="L540" s="138"/>
      <c r="M540" s="139"/>
      <c r="N540" s="138"/>
      <c r="O540" s="138"/>
      <c r="P540" s="138"/>
      <c r="Q540" s="139"/>
      <c r="R540" s="139"/>
      <c r="S540" s="212"/>
      <c r="T540" s="138"/>
    </row>
    <row r="541" spans="1:20" ht="14.25" customHeight="1" x14ac:dyDescent="0.3">
      <c r="A541" s="136"/>
      <c r="B541" s="212"/>
      <c r="C541" s="138"/>
      <c r="D541" s="138"/>
      <c r="E541" s="138"/>
      <c r="F541" s="138"/>
      <c r="G541" s="138"/>
      <c r="H541" s="139"/>
      <c r="I541" s="138"/>
      <c r="J541" s="138"/>
      <c r="K541" s="138"/>
      <c r="L541" s="138"/>
      <c r="M541" s="139"/>
      <c r="N541" s="138"/>
      <c r="O541" s="138"/>
      <c r="P541" s="138"/>
      <c r="Q541" s="139"/>
      <c r="R541" s="139"/>
      <c r="S541" s="212"/>
      <c r="T541" s="138"/>
    </row>
    <row r="542" spans="1:20" ht="14.25" customHeight="1" x14ac:dyDescent="0.3">
      <c r="A542" s="136"/>
      <c r="B542" s="212"/>
      <c r="C542" s="138"/>
      <c r="D542" s="138"/>
      <c r="E542" s="138"/>
      <c r="F542" s="138"/>
      <c r="G542" s="138"/>
      <c r="H542" s="139"/>
      <c r="I542" s="138"/>
      <c r="J542" s="138"/>
      <c r="K542" s="138"/>
      <c r="L542" s="138"/>
      <c r="M542" s="139"/>
      <c r="N542" s="138"/>
      <c r="O542" s="138"/>
      <c r="P542" s="138"/>
      <c r="Q542" s="139"/>
      <c r="R542" s="139"/>
      <c r="S542" s="212"/>
      <c r="T542" s="138"/>
    </row>
    <row r="543" spans="1:20" ht="14.25" customHeight="1" x14ac:dyDescent="0.3">
      <c r="A543" s="136"/>
      <c r="B543" s="212"/>
      <c r="C543" s="138"/>
      <c r="D543" s="138"/>
      <c r="E543" s="138"/>
      <c r="F543" s="138"/>
      <c r="G543" s="138"/>
      <c r="H543" s="139"/>
      <c r="I543" s="138"/>
      <c r="J543" s="138"/>
      <c r="K543" s="138"/>
      <c r="L543" s="138"/>
      <c r="M543" s="139"/>
      <c r="N543" s="138"/>
      <c r="O543" s="138"/>
      <c r="P543" s="138"/>
      <c r="Q543" s="139"/>
      <c r="R543" s="139"/>
      <c r="S543" s="212"/>
      <c r="T543" s="138"/>
    </row>
    <row r="544" spans="1:20" ht="14.25" customHeight="1" x14ac:dyDescent="0.3">
      <c r="A544" s="136"/>
      <c r="B544" s="212"/>
      <c r="C544" s="138"/>
      <c r="D544" s="138"/>
      <c r="E544" s="138"/>
      <c r="F544" s="138"/>
      <c r="G544" s="138"/>
      <c r="H544" s="139"/>
      <c r="I544" s="138"/>
      <c r="J544" s="138"/>
      <c r="K544" s="138"/>
      <c r="L544" s="138"/>
      <c r="M544" s="139"/>
      <c r="N544" s="138"/>
      <c r="O544" s="138"/>
      <c r="P544" s="138"/>
      <c r="Q544" s="139"/>
      <c r="R544" s="139"/>
      <c r="S544" s="212"/>
      <c r="T544" s="138"/>
    </row>
    <row r="545" spans="1:20" ht="14.25" customHeight="1" x14ac:dyDescent="0.3">
      <c r="A545" s="136"/>
      <c r="B545" s="212"/>
      <c r="C545" s="138"/>
      <c r="D545" s="138"/>
      <c r="E545" s="138"/>
      <c r="F545" s="138"/>
      <c r="G545" s="138"/>
      <c r="H545" s="139"/>
      <c r="I545" s="138"/>
      <c r="J545" s="138"/>
      <c r="K545" s="138"/>
      <c r="L545" s="138"/>
      <c r="M545" s="139"/>
      <c r="N545" s="138"/>
      <c r="O545" s="138"/>
      <c r="P545" s="138"/>
      <c r="Q545" s="139"/>
      <c r="R545" s="139"/>
      <c r="S545" s="212"/>
      <c r="T545" s="138"/>
    </row>
    <row r="546" spans="1:20" ht="14.25" customHeight="1" x14ac:dyDescent="0.3">
      <c r="A546" s="136"/>
      <c r="B546" s="212"/>
      <c r="C546" s="138"/>
      <c r="D546" s="138"/>
      <c r="E546" s="138"/>
      <c r="F546" s="138"/>
      <c r="G546" s="138"/>
      <c r="H546" s="139"/>
      <c r="I546" s="138"/>
      <c r="J546" s="138"/>
      <c r="K546" s="138"/>
      <c r="L546" s="138"/>
      <c r="M546" s="139"/>
      <c r="N546" s="138"/>
      <c r="O546" s="138"/>
      <c r="P546" s="138"/>
      <c r="Q546" s="139"/>
      <c r="R546" s="139"/>
      <c r="S546" s="212"/>
      <c r="T546" s="138"/>
    </row>
    <row r="547" spans="1:20" ht="14.25" customHeight="1" x14ac:dyDescent="0.3">
      <c r="A547" s="136"/>
      <c r="B547" s="212"/>
      <c r="C547" s="138"/>
      <c r="D547" s="138"/>
      <c r="E547" s="138"/>
      <c r="F547" s="138"/>
      <c r="G547" s="138"/>
      <c r="H547" s="139"/>
      <c r="I547" s="138"/>
      <c r="J547" s="138"/>
      <c r="K547" s="138"/>
      <c r="L547" s="138"/>
      <c r="M547" s="139"/>
      <c r="N547" s="138"/>
      <c r="O547" s="138"/>
      <c r="P547" s="138"/>
      <c r="Q547" s="139"/>
      <c r="R547" s="139"/>
      <c r="S547" s="212"/>
      <c r="T547" s="138"/>
    </row>
    <row r="548" spans="1:20" ht="14.25" customHeight="1" x14ac:dyDescent="0.3">
      <c r="A548" s="136"/>
      <c r="B548" s="212"/>
      <c r="C548" s="138"/>
      <c r="D548" s="138"/>
      <c r="E548" s="138"/>
      <c r="F548" s="138"/>
      <c r="G548" s="138"/>
      <c r="H548" s="139"/>
      <c r="I548" s="138"/>
      <c r="J548" s="138"/>
      <c r="K548" s="138"/>
      <c r="L548" s="138"/>
      <c r="M548" s="139"/>
      <c r="N548" s="138"/>
      <c r="O548" s="138"/>
      <c r="P548" s="138"/>
      <c r="Q548" s="139"/>
      <c r="R548" s="139"/>
      <c r="S548" s="212"/>
      <c r="T548" s="138"/>
    </row>
    <row r="549" spans="1:20" ht="14.25" customHeight="1" x14ac:dyDescent="0.3">
      <c r="A549" s="136"/>
      <c r="B549" s="212"/>
      <c r="C549" s="138"/>
      <c r="D549" s="138"/>
      <c r="E549" s="138"/>
      <c r="F549" s="138"/>
      <c r="G549" s="138"/>
      <c r="H549" s="139"/>
      <c r="I549" s="138"/>
      <c r="J549" s="138"/>
      <c r="K549" s="138"/>
      <c r="L549" s="138"/>
      <c r="M549" s="139"/>
      <c r="N549" s="138"/>
      <c r="O549" s="138"/>
      <c r="P549" s="138"/>
      <c r="Q549" s="139"/>
      <c r="R549" s="139"/>
      <c r="S549" s="212"/>
      <c r="T549" s="138"/>
    </row>
    <row r="550" spans="1:20" ht="14.25" customHeight="1" x14ac:dyDescent="0.3">
      <c r="A550" s="136"/>
      <c r="B550" s="212"/>
      <c r="C550" s="138"/>
      <c r="D550" s="138"/>
      <c r="E550" s="138"/>
      <c r="F550" s="138"/>
      <c r="G550" s="138"/>
      <c r="H550" s="139"/>
      <c r="I550" s="138"/>
      <c r="J550" s="138"/>
      <c r="K550" s="138"/>
      <c r="L550" s="138"/>
      <c r="M550" s="139"/>
      <c r="N550" s="138"/>
      <c r="O550" s="138"/>
      <c r="P550" s="138"/>
      <c r="Q550" s="139"/>
      <c r="R550" s="139"/>
      <c r="S550" s="212"/>
      <c r="T550" s="138"/>
    </row>
    <row r="551" spans="1:20" ht="14.25" customHeight="1" x14ac:dyDescent="0.3">
      <c r="A551" s="136"/>
      <c r="B551" s="212"/>
      <c r="C551" s="138"/>
      <c r="D551" s="138"/>
      <c r="E551" s="138"/>
      <c r="F551" s="138"/>
      <c r="G551" s="138"/>
      <c r="H551" s="139"/>
      <c r="I551" s="138"/>
      <c r="J551" s="138"/>
      <c r="K551" s="138"/>
      <c r="L551" s="138"/>
      <c r="M551" s="139"/>
      <c r="N551" s="138"/>
      <c r="O551" s="138"/>
      <c r="P551" s="138"/>
      <c r="Q551" s="139"/>
      <c r="R551" s="139"/>
      <c r="S551" s="212"/>
      <c r="T551" s="138"/>
    </row>
    <row r="552" spans="1:20" ht="14.25" customHeight="1" x14ac:dyDescent="0.3">
      <c r="A552" s="136"/>
      <c r="B552" s="212"/>
      <c r="C552" s="138"/>
      <c r="D552" s="138"/>
      <c r="E552" s="138"/>
      <c r="F552" s="138"/>
      <c r="G552" s="138"/>
      <c r="H552" s="139"/>
      <c r="I552" s="138"/>
      <c r="J552" s="138"/>
      <c r="K552" s="138"/>
      <c r="L552" s="138"/>
      <c r="M552" s="139"/>
      <c r="N552" s="138"/>
      <c r="O552" s="138"/>
      <c r="P552" s="138"/>
      <c r="Q552" s="139"/>
      <c r="R552" s="139"/>
      <c r="S552" s="212"/>
      <c r="T552" s="138"/>
    </row>
    <row r="553" spans="1:20" ht="14.25" customHeight="1" x14ac:dyDescent="0.3">
      <c r="A553" s="136"/>
      <c r="B553" s="212"/>
      <c r="C553" s="138"/>
      <c r="D553" s="138"/>
      <c r="E553" s="138"/>
      <c r="F553" s="138"/>
      <c r="G553" s="138"/>
      <c r="H553" s="139"/>
      <c r="I553" s="138"/>
      <c r="J553" s="138"/>
      <c r="K553" s="138"/>
      <c r="L553" s="138"/>
      <c r="M553" s="139"/>
      <c r="N553" s="138"/>
      <c r="O553" s="138"/>
      <c r="P553" s="138"/>
      <c r="Q553" s="139"/>
      <c r="R553" s="139"/>
      <c r="S553" s="212"/>
      <c r="T553" s="138"/>
    </row>
    <row r="554" spans="1:20" ht="14.25" customHeight="1" x14ac:dyDescent="0.3">
      <c r="A554" s="136"/>
      <c r="B554" s="212"/>
      <c r="C554" s="138"/>
      <c r="D554" s="138"/>
      <c r="E554" s="138"/>
      <c r="F554" s="138"/>
      <c r="G554" s="138"/>
      <c r="H554" s="139"/>
      <c r="I554" s="138"/>
      <c r="J554" s="138"/>
      <c r="K554" s="138"/>
      <c r="L554" s="138"/>
      <c r="M554" s="139"/>
      <c r="N554" s="138"/>
      <c r="O554" s="138"/>
      <c r="P554" s="138"/>
      <c r="Q554" s="139"/>
      <c r="R554" s="139"/>
      <c r="S554" s="212"/>
      <c r="T554" s="138"/>
    </row>
    <row r="555" spans="1:20" ht="14.25" customHeight="1" x14ac:dyDescent="0.3">
      <c r="A555" s="136"/>
      <c r="B555" s="212"/>
      <c r="C555" s="138"/>
      <c r="D555" s="138"/>
      <c r="E555" s="138"/>
      <c r="F555" s="138"/>
      <c r="G555" s="138"/>
      <c r="H555" s="139"/>
      <c r="I555" s="138"/>
      <c r="J555" s="138"/>
      <c r="K555" s="138"/>
      <c r="L555" s="138"/>
      <c r="M555" s="139"/>
      <c r="N555" s="138"/>
      <c r="O555" s="138"/>
      <c r="P555" s="138"/>
      <c r="Q555" s="139"/>
      <c r="R555" s="139"/>
      <c r="S555" s="212"/>
      <c r="T555" s="138"/>
    </row>
    <row r="556" spans="1:20" ht="14.25" customHeight="1" x14ac:dyDescent="0.3">
      <c r="A556" s="136"/>
      <c r="B556" s="212"/>
      <c r="C556" s="138"/>
      <c r="D556" s="138"/>
      <c r="E556" s="138"/>
      <c r="F556" s="138"/>
      <c r="G556" s="138"/>
      <c r="H556" s="139"/>
      <c r="I556" s="138"/>
      <c r="J556" s="138"/>
      <c r="K556" s="138"/>
      <c r="L556" s="138"/>
      <c r="M556" s="139"/>
      <c r="N556" s="138"/>
      <c r="O556" s="138"/>
      <c r="P556" s="138"/>
      <c r="Q556" s="139"/>
      <c r="R556" s="139"/>
      <c r="S556" s="212"/>
      <c r="T556" s="138"/>
    </row>
    <row r="557" spans="1:20" ht="14.25" customHeight="1" x14ac:dyDescent="0.3">
      <c r="A557" s="136"/>
      <c r="B557" s="212"/>
      <c r="C557" s="138"/>
      <c r="D557" s="138"/>
      <c r="E557" s="138"/>
      <c r="F557" s="138"/>
      <c r="G557" s="138"/>
      <c r="H557" s="139"/>
      <c r="I557" s="138"/>
      <c r="J557" s="138"/>
      <c r="K557" s="138"/>
      <c r="L557" s="138"/>
      <c r="M557" s="139"/>
      <c r="N557" s="138"/>
      <c r="O557" s="138"/>
      <c r="P557" s="138"/>
      <c r="Q557" s="139"/>
      <c r="R557" s="139"/>
      <c r="S557" s="212"/>
      <c r="T557" s="138"/>
    </row>
    <row r="558" spans="1:20" ht="14.25" customHeight="1" x14ac:dyDescent="0.3">
      <c r="A558" s="136"/>
      <c r="B558" s="212"/>
      <c r="C558" s="138"/>
      <c r="D558" s="138"/>
      <c r="E558" s="138"/>
      <c r="F558" s="138"/>
      <c r="G558" s="138"/>
      <c r="H558" s="139"/>
      <c r="I558" s="138"/>
      <c r="J558" s="138"/>
      <c r="K558" s="138"/>
      <c r="L558" s="138"/>
      <c r="M558" s="139"/>
      <c r="N558" s="138"/>
      <c r="O558" s="138"/>
      <c r="P558" s="138"/>
      <c r="Q558" s="139"/>
      <c r="R558" s="139"/>
      <c r="S558" s="212"/>
      <c r="T558" s="138"/>
    </row>
    <row r="559" spans="1:20" ht="14.25" customHeight="1" x14ac:dyDescent="0.3">
      <c r="A559" s="136"/>
      <c r="B559" s="212"/>
      <c r="C559" s="138"/>
      <c r="D559" s="138"/>
      <c r="E559" s="138"/>
      <c r="F559" s="138"/>
      <c r="G559" s="138"/>
      <c r="H559" s="139"/>
      <c r="I559" s="138"/>
      <c r="J559" s="138"/>
      <c r="K559" s="138"/>
      <c r="L559" s="138"/>
      <c r="M559" s="139"/>
      <c r="N559" s="138"/>
      <c r="O559" s="138"/>
      <c r="P559" s="138"/>
      <c r="Q559" s="139"/>
      <c r="R559" s="139"/>
      <c r="S559" s="212"/>
      <c r="T559" s="138"/>
    </row>
    <row r="560" spans="1:20" ht="14.25" customHeight="1" x14ac:dyDescent="0.3">
      <c r="A560" s="136"/>
      <c r="B560" s="212"/>
      <c r="C560" s="138"/>
      <c r="D560" s="138"/>
      <c r="E560" s="138"/>
      <c r="F560" s="138"/>
      <c r="G560" s="138"/>
      <c r="H560" s="139"/>
      <c r="I560" s="138"/>
      <c r="J560" s="138"/>
      <c r="K560" s="138"/>
      <c r="L560" s="138"/>
      <c r="M560" s="139"/>
      <c r="N560" s="138"/>
      <c r="O560" s="138"/>
      <c r="P560" s="138"/>
      <c r="Q560" s="139"/>
      <c r="R560" s="139"/>
      <c r="S560" s="212"/>
      <c r="T560" s="138"/>
    </row>
    <row r="561" spans="1:20" ht="14.25" customHeight="1" x14ac:dyDescent="0.3">
      <c r="A561" s="136"/>
      <c r="B561" s="212"/>
      <c r="C561" s="138"/>
      <c r="D561" s="138"/>
      <c r="E561" s="138"/>
      <c r="F561" s="138"/>
      <c r="G561" s="138"/>
      <c r="H561" s="139"/>
      <c r="I561" s="138"/>
      <c r="J561" s="138"/>
      <c r="K561" s="138"/>
      <c r="L561" s="138"/>
      <c r="M561" s="139"/>
      <c r="N561" s="138"/>
      <c r="O561" s="138"/>
      <c r="P561" s="138"/>
      <c r="Q561" s="139"/>
      <c r="R561" s="139"/>
      <c r="S561" s="212"/>
      <c r="T561" s="138"/>
    </row>
    <row r="562" spans="1:20" ht="14.25" customHeight="1" x14ac:dyDescent="0.3">
      <c r="A562" s="136"/>
      <c r="B562" s="212"/>
      <c r="C562" s="138"/>
      <c r="D562" s="138"/>
      <c r="E562" s="138"/>
      <c r="F562" s="138"/>
      <c r="G562" s="138"/>
      <c r="H562" s="139"/>
      <c r="I562" s="138"/>
      <c r="J562" s="138"/>
      <c r="K562" s="138"/>
      <c r="L562" s="138"/>
      <c r="M562" s="139"/>
      <c r="N562" s="138"/>
      <c r="O562" s="138"/>
      <c r="P562" s="138"/>
      <c r="Q562" s="139"/>
      <c r="R562" s="139"/>
      <c r="S562" s="212"/>
      <c r="T562" s="138"/>
    </row>
    <row r="563" spans="1:20" ht="14.25" customHeight="1" x14ac:dyDescent="0.3">
      <c r="A563" s="136"/>
      <c r="B563" s="212"/>
      <c r="C563" s="138"/>
      <c r="D563" s="138"/>
      <c r="E563" s="138"/>
      <c r="F563" s="138"/>
      <c r="G563" s="138"/>
      <c r="H563" s="139"/>
      <c r="I563" s="138"/>
      <c r="J563" s="138"/>
      <c r="K563" s="138"/>
      <c r="L563" s="138"/>
      <c r="M563" s="139"/>
      <c r="N563" s="138"/>
      <c r="O563" s="138"/>
      <c r="P563" s="138"/>
      <c r="Q563" s="139"/>
      <c r="R563" s="139"/>
      <c r="S563" s="212"/>
      <c r="T563" s="138"/>
    </row>
    <row r="564" spans="1:20" ht="14.25" customHeight="1" x14ac:dyDescent="0.3">
      <c r="A564" s="136"/>
      <c r="B564" s="212"/>
      <c r="C564" s="138"/>
      <c r="D564" s="138"/>
      <c r="E564" s="138"/>
      <c r="F564" s="138"/>
      <c r="G564" s="138"/>
      <c r="H564" s="139"/>
      <c r="I564" s="138"/>
      <c r="J564" s="138"/>
      <c r="K564" s="138"/>
      <c r="L564" s="138"/>
      <c r="M564" s="139"/>
      <c r="N564" s="138"/>
      <c r="O564" s="138"/>
      <c r="P564" s="138"/>
      <c r="Q564" s="139"/>
      <c r="R564" s="139"/>
      <c r="S564" s="212"/>
      <c r="T564" s="138"/>
    </row>
    <row r="565" spans="1:20" ht="14.25" customHeight="1" x14ac:dyDescent="0.3">
      <c r="A565" s="136"/>
      <c r="B565" s="212"/>
      <c r="C565" s="138"/>
      <c r="D565" s="138"/>
      <c r="E565" s="138"/>
      <c r="F565" s="138"/>
      <c r="G565" s="138"/>
      <c r="H565" s="139"/>
      <c r="I565" s="138"/>
      <c r="J565" s="138"/>
      <c r="K565" s="138"/>
      <c r="L565" s="138"/>
      <c r="M565" s="139"/>
      <c r="N565" s="138"/>
      <c r="O565" s="138"/>
      <c r="P565" s="138"/>
      <c r="Q565" s="139"/>
      <c r="R565" s="139"/>
      <c r="S565" s="212"/>
      <c r="T565" s="138"/>
    </row>
    <row r="566" spans="1:20" ht="14.25" customHeight="1" x14ac:dyDescent="0.3">
      <c r="A566" s="136"/>
      <c r="B566" s="212"/>
      <c r="C566" s="138"/>
      <c r="D566" s="138"/>
      <c r="E566" s="138"/>
      <c r="F566" s="138"/>
      <c r="G566" s="138"/>
      <c r="H566" s="139"/>
      <c r="I566" s="138"/>
      <c r="J566" s="138"/>
      <c r="K566" s="138"/>
      <c r="L566" s="138"/>
      <c r="M566" s="139"/>
      <c r="N566" s="138"/>
      <c r="O566" s="138"/>
      <c r="P566" s="138"/>
      <c r="Q566" s="139"/>
      <c r="R566" s="139"/>
      <c r="S566" s="212"/>
      <c r="T566" s="138"/>
    </row>
    <row r="567" spans="1:20" ht="14.25" customHeight="1" x14ac:dyDescent="0.3">
      <c r="A567" s="136"/>
      <c r="B567" s="212"/>
      <c r="C567" s="138"/>
      <c r="D567" s="138"/>
      <c r="E567" s="138"/>
      <c r="F567" s="138"/>
      <c r="G567" s="138"/>
      <c r="H567" s="139"/>
      <c r="I567" s="138"/>
      <c r="J567" s="138"/>
      <c r="K567" s="138"/>
      <c r="L567" s="138"/>
      <c r="M567" s="139"/>
      <c r="N567" s="138"/>
      <c r="O567" s="138"/>
      <c r="P567" s="138"/>
      <c r="Q567" s="139"/>
      <c r="R567" s="139"/>
      <c r="S567" s="212"/>
      <c r="T567" s="138"/>
    </row>
    <row r="568" spans="1:20" ht="14.25" customHeight="1" x14ac:dyDescent="0.3">
      <c r="A568" s="136"/>
      <c r="B568" s="212"/>
      <c r="C568" s="138"/>
      <c r="D568" s="138"/>
      <c r="E568" s="138"/>
      <c r="F568" s="138"/>
      <c r="G568" s="138"/>
      <c r="H568" s="139"/>
      <c r="I568" s="138"/>
      <c r="J568" s="138"/>
      <c r="K568" s="138"/>
      <c r="L568" s="138"/>
      <c r="M568" s="139"/>
      <c r="N568" s="138"/>
      <c r="O568" s="138"/>
      <c r="P568" s="138"/>
      <c r="Q568" s="139"/>
      <c r="R568" s="139"/>
      <c r="S568" s="212"/>
      <c r="T568" s="138"/>
    </row>
    <row r="569" spans="1:20" ht="14.25" customHeight="1" x14ac:dyDescent="0.3">
      <c r="A569" s="136"/>
      <c r="B569" s="212"/>
      <c r="C569" s="138"/>
      <c r="D569" s="138"/>
      <c r="E569" s="138"/>
      <c r="F569" s="138"/>
      <c r="G569" s="138"/>
      <c r="H569" s="139"/>
      <c r="I569" s="138"/>
      <c r="J569" s="138"/>
      <c r="K569" s="138"/>
      <c r="L569" s="138"/>
      <c r="M569" s="139"/>
      <c r="N569" s="138"/>
      <c r="O569" s="138"/>
      <c r="P569" s="138"/>
      <c r="Q569" s="139"/>
      <c r="R569" s="139"/>
      <c r="S569" s="212"/>
      <c r="T569" s="138"/>
    </row>
    <row r="570" spans="1:20" ht="14.25" customHeight="1" x14ac:dyDescent="0.3">
      <c r="A570" s="136"/>
      <c r="B570" s="212"/>
      <c r="C570" s="138"/>
      <c r="D570" s="138"/>
      <c r="E570" s="138"/>
      <c r="F570" s="138"/>
      <c r="G570" s="138"/>
      <c r="H570" s="139"/>
      <c r="I570" s="138"/>
      <c r="J570" s="138"/>
      <c r="K570" s="138"/>
      <c r="L570" s="138"/>
      <c r="M570" s="139"/>
      <c r="N570" s="138"/>
      <c r="O570" s="138"/>
      <c r="P570" s="138"/>
      <c r="Q570" s="139"/>
      <c r="R570" s="139"/>
      <c r="S570" s="212"/>
      <c r="T570" s="138"/>
    </row>
    <row r="571" spans="1:20" ht="14.25" customHeight="1" x14ac:dyDescent="0.3">
      <c r="A571" s="136"/>
      <c r="B571" s="212"/>
      <c r="C571" s="138"/>
      <c r="D571" s="138"/>
      <c r="E571" s="138"/>
      <c r="F571" s="138"/>
      <c r="G571" s="138"/>
      <c r="H571" s="139"/>
      <c r="I571" s="138"/>
      <c r="J571" s="138"/>
      <c r="K571" s="138"/>
      <c r="L571" s="138"/>
      <c r="M571" s="139"/>
      <c r="N571" s="138"/>
      <c r="O571" s="138"/>
      <c r="P571" s="138"/>
      <c r="Q571" s="139"/>
      <c r="R571" s="139"/>
      <c r="S571" s="212"/>
      <c r="T571" s="138"/>
    </row>
    <row r="572" spans="1:20" ht="14.25" customHeight="1" x14ac:dyDescent="0.3">
      <c r="A572" s="136"/>
      <c r="B572" s="212"/>
      <c r="C572" s="138"/>
      <c r="D572" s="138"/>
      <c r="E572" s="138"/>
      <c r="F572" s="138"/>
      <c r="G572" s="138"/>
      <c r="H572" s="139"/>
      <c r="I572" s="138"/>
      <c r="J572" s="138"/>
      <c r="K572" s="138"/>
      <c r="L572" s="138"/>
      <c r="M572" s="139"/>
      <c r="N572" s="138"/>
      <c r="O572" s="138"/>
      <c r="P572" s="138"/>
      <c r="Q572" s="139"/>
      <c r="R572" s="139"/>
      <c r="S572" s="212"/>
      <c r="T572" s="138"/>
    </row>
    <row r="573" spans="1:20" ht="14.25" customHeight="1" x14ac:dyDescent="0.3">
      <c r="A573" s="136"/>
      <c r="B573" s="212"/>
      <c r="C573" s="138"/>
      <c r="D573" s="138"/>
      <c r="E573" s="138"/>
      <c r="F573" s="138"/>
      <c r="G573" s="138"/>
      <c r="H573" s="139"/>
      <c r="I573" s="138"/>
      <c r="J573" s="138"/>
      <c r="K573" s="138"/>
      <c r="L573" s="138"/>
      <c r="M573" s="139"/>
      <c r="N573" s="138"/>
      <c r="O573" s="138"/>
      <c r="P573" s="138"/>
      <c r="Q573" s="139"/>
      <c r="R573" s="139"/>
      <c r="S573" s="212"/>
      <c r="T573" s="138"/>
    </row>
    <row r="574" spans="1:20" ht="14.25" customHeight="1" x14ac:dyDescent="0.3">
      <c r="A574" s="136"/>
      <c r="B574" s="212"/>
      <c r="C574" s="138"/>
      <c r="D574" s="138"/>
      <c r="E574" s="138"/>
      <c r="F574" s="138"/>
      <c r="G574" s="138"/>
      <c r="H574" s="139"/>
      <c r="I574" s="138"/>
      <c r="J574" s="138"/>
      <c r="K574" s="138"/>
      <c r="L574" s="138"/>
      <c r="M574" s="139"/>
      <c r="N574" s="138"/>
      <c r="O574" s="138"/>
      <c r="P574" s="138"/>
      <c r="Q574" s="139"/>
      <c r="R574" s="139"/>
      <c r="S574" s="212"/>
      <c r="T574" s="138"/>
    </row>
    <row r="575" spans="1:20" ht="14.25" customHeight="1" x14ac:dyDescent="0.3">
      <c r="A575" s="136"/>
      <c r="B575" s="212"/>
      <c r="C575" s="138"/>
      <c r="D575" s="138"/>
      <c r="E575" s="138"/>
      <c r="F575" s="138"/>
      <c r="G575" s="138"/>
      <c r="H575" s="139"/>
      <c r="I575" s="138"/>
      <c r="J575" s="138"/>
      <c r="K575" s="138"/>
      <c r="L575" s="138"/>
      <c r="M575" s="139"/>
      <c r="N575" s="138"/>
      <c r="O575" s="138"/>
      <c r="P575" s="138"/>
      <c r="Q575" s="139"/>
      <c r="R575" s="139"/>
      <c r="S575" s="212"/>
      <c r="T575" s="138"/>
    </row>
    <row r="576" spans="1:20" ht="14.25" customHeight="1" x14ac:dyDescent="0.3">
      <c r="A576" s="136"/>
      <c r="B576" s="212"/>
      <c r="C576" s="138"/>
      <c r="D576" s="138"/>
      <c r="E576" s="138"/>
      <c r="F576" s="138"/>
      <c r="G576" s="138"/>
      <c r="H576" s="139"/>
      <c r="I576" s="138"/>
      <c r="J576" s="138"/>
      <c r="K576" s="138"/>
      <c r="L576" s="138"/>
      <c r="M576" s="139"/>
      <c r="N576" s="138"/>
      <c r="O576" s="138"/>
      <c r="P576" s="138"/>
      <c r="Q576" s="139"/>
      <c r="R576" s="139"/>
      <c r="S576" s="212"/>
      <c r="T576" s="138"/>
    </row>
    <row r="577" spans="1:20" ht="14.25" customHeight="1" x14ac:dyDescent="0.3">
      <c r="A577" s="136"/>
      <c r="B577" s="212"/>
      <c r="C577" s="138"/>
      <c r="D577" s="138"/>
      <c r="E577" s="138"/>
      <c r="F577" s="138"/>
      <c r="G577" s="138"/>
      <c r="H577" s="139"/>
      <c r="I577" s="138"/>
      <c r="J577" s="138"/>
      <c r="K577" s="138"/>
      <c r="L577" s="138"/>
      <c r="M577" s="139"/>
      <c r="N577" s="138"/>
      <c r="O577" s="138"/>
      <c r="P577" s="138"/>
      <c r="Q577" s="139"/>
      <c r="R577" s="139"/>
      <c r="S577" s="212"/>
      <c r="T577" s="138"/>
    </row>
    <row r="578" spans="1:20" ht="14.25" customHeight="1" x14ac:dyDescent="0.3">
      <c r="A578" s="136"/>
      <c r="B578" s="212"/>
      <c r="C578" s="138"/>
      <c r="D578" s="138"/>
      <c r="E578" s="138"/>
      <c r="F578" s="138"/>
      <c r="G578" s="138"/>
      <c r="H578" s="139"/>
      <c r="I578" s="138"/>
      <c r="J578" s="138"/>
      <c r="K578" s="138"/>
      <c r="L578" s="138"/>
      <c r="M578" s="139"/>
      <c r="N578" s="138"/>
      <c r="O578" s="138"/>
      <c r="P578" s="138"/>
      <c r="Q578" s="139"/>
      <c r="R578" s="139"/>
      <c r="S578" s="212"/>
      <c r="T578" s="138"/>
    </row>
    <row r="579" spans="1:20" ht="14.25" customHeight="1" x14ac:dyDescent="0.3">
      <c r="A579" s="136"/>
      <c r="B579" s="212"/>
      <c r="C579" s="138"/>
      <c r="D579" s="138"/>
      <c r="E579" s="138"/>
      <c r="F579" s="138"/>
      <c r="G579" s="138"/>
      <c r="H579" s="139"/>
      <c r="I579" s="138"/>
      <c r="J579" s="138"/>
      <c r="K579" s="138"/>
      <c r="L579" s="138"/>
      <c r="M579" s="139"/>
      <c r="N579" s="138"/>
      <c r="O579" s="138"/>
      <c r="P579" s="138"/>
      <c r="Q579" s="139"/>
      <c r="R579" s="139"/>
      <c r="S579" s="212"/>
      <c r="T579" s="138"/>
    </row>
    <row r="580" spans="1:20" ht="14.25" customHeight="1" x14ac:dyDescent="0.3">
      <c r="A580" s="136"/>
      <c r="B580" s="212"/>
      <c r="C580" s="138"/>
      <c r="D580" s="138"/>
      <c r="E580" s="138"/>
      <c r="F580" s="138"/>
      <c r="G580" s="138"/>
      <c r="H580" s="139"/>
      <c r="I580" s="138"/>
      <c r="J580" s="138"/>
      <c r="K580" s="138"/>
      <c r="L580" s="138"/>
      <c r="M580" s="139"/>
      <c r="N580" s="138"/>
      <c r="O580" s="138"/>
      <c r="P580" s="138"/>
      <c r="Q580" s="139"/>
      <c r="R580" s="139"/>
      <c r="S580" s="212"/>
      <c r="T580" s="138"/>
    </row>
    <row r="581" spans="1:20" ht="14.25" customHeight="1" x14ac:dyDescent="0.3">
      <c r="A581" s="136"/>
      <c r="B581" s="212"/>
      <c r="C581" s="138"/>
      <c r="D581" s="138"/>
      <c r="E581" s="138"/>
      <c r="F581" s="138"/>
      <c r="G581" s="138"/>
      <c r="H581" s="139"/>
      <c r="I581" s="138"/>
      <c r="J581" s="138"/>
      <c r="K581" s="138"/>
      <c r="L581" s="138"/>
      <c r="M581" s="139"/>
      <c r="N581" s="138"/>
      <c r="O581" s="138"/>
      <c r="P581" s="138"/>
      <c r="Q581" s="139"/>
      <c r="R581" s="139"/>
      <c r="S581" s="212"/>
      <c r="T581" s="138"/>
    </row>
    <row r="582" spans="1:20" ht="14.25" customHeight="1" x14ac:dyDescent="0.3">
      <c r="A582" s="136"/>
      <c r="B582" s="212"/>
      <c r="C582" s="138"/>
      <c r="D582" s="138"/>
      <c r="E582" s="138"/>
      <c r="F582" s="138"/>
      <c r="G582" s="138"/>
      <c r="H582" s="139"/>
      <c r="I582" s="138"/>
      <c r="J582" s="138"/>
      <c r="K582" s="138"/>
      <c r="L582" s="138"/>
      <c r="M582" s="139"/>
      <c r="N582" s="138"/>
      <c r="O582" s="138"/>
      <c r="P582" s="138"/>
      <c r="Q582" s="139"/>
      <c r="R582" s="139"/>
      <c r="S582" s="212"/>
      <c r="T582" s="138"/>
    </row>
    <row r="583" spans="1:20" ht="14.25" customHeight="1" x14ac:dyDescent="0.3">
      <c r="A583" s="136"/>
      <c r="B583" s="212"/>
      <c r="C583" s="138"/>
      <c r="D583" s="138"/>
      <c r="E583" s="138"/>
      <c r="F583" s="138"/>
      <c r="G583" s="138"/>
      <c r="H583" s="139"/>
      <c r="I583" s="138"/>
      <c r="J583" s="138"/>
      <c r="K583" s="138"/>
      <c r="L583" s="138"/>
      <c r="M583" s="139"/>
      <c r="N583" s="138"/>
      <c r="O583" s="138"/>
      <c r="P583" s="138"/>
      <c r="Q583" s="139"/>
      <c r="R583" s="139"/>
      <c r="S583" s="212"/>
      <c r="T583" s="138"/>
    </row>
    <row r="584" spans="1:20" ht="14.25" customHeight="1" x14ac:dyDescent="0.3">
      <c r="A584" s="136"/>
      <c r="B584" s="212"/>
      <c r="C584" s="138"/>
      <c r="D584" s="138"/>
      <c r="E584" s="138"/>
      <c r="F584" s="138"/>
      <c r="G584" s="138"/>
      <c r="H584" s="139"/>
      <c r="I584" s="138"/>
      <c r="J584" s="138"/>
      <c r="K584" s="138"/>
      <c r="L584" s="138"/>
      <c r="M584" s="139"/>
      <c r="N584" s="138"/>
      <c r="O584" s="138"/>
      <c r="P584" s="138"/>
      <c r="Q584" s="139"/>
      <c r="R584" s="139"/>
      <c r="S584" s="212"/>
      <c r="T584" s="138"/>
    </row>
    <row r="585" spans="1:20" ht="14.25" customHeight="1" x14ac:dyDescent="0.3">
      <c r="A585" s="136"/>
      <c r="B585" s="212"/>
      <c r="C585" s="138"/>
      <c r="D585" s="138"/>
      <c r="E585" s="138"/>
      <c r="F585" s="138"/>
      <c r="G585" s="138"/>
      <c r="H585" s="139"/>
      <c r="I585" s="138"/>
      <c r="J585" s="138"/>
      <c r="K585" s="138"/>
      <c r="L585" s="138"/>
      <c r="M585" s="139"/>
      <c r="N585" s="138"/>
      <c r="O585" s="138"/>
      <c r="P585" s="138"/>
      <c r="Q585" s="139"/>
      <c r="R585" s="139"/>
      <c r="S585" s="212"/>
      <c r="T585" s="138"/>
    </row>
    <row r="586" spans="1:20" ht="14.25" customHeight="1" x14ac:dyDescent="0.3">
      <c r="A586" s="136"/>
      <c r="B586" s="212"/>
      <c r="C586" s="138"/>
      <c r="D586" s="138"/>
      <c r="E586" s="138"/>
      <c r="F586" s="138"/>
      <c r="G586" s="138"/>
      <c r="H586" s="139"/>
      <c r="I586" s="138"/>
      <c r="J586" s="138"/>
      <c r="K586" s="138"/>
      <c r="L586" s="138"/>
      <c r="M586" s="139"/>
      <c r="N586" s="138"/>
      <c r="O586" s="138"/>
      <c r="P586" s="138"/>
      <c r="Q586" s="139"/>
      <c r="R586" s="139"/>
      <c r="S586" s="212"/>
      <c r="T586" s="138"/>
    </row>
    <row r="587" spans="1:20" ht="14.25" customHeight="1" x14ac:dyDescent="0.3">
      <c r="A587" s="136"/>
      <c r="B587" s="212"/>
      <c r="C587" s="138"/>
      <c r="D587" s="138"/>
      <c r="E587" s="138"/>
      <c r="F587" s="138"/>
      <c r="G587" s="138"/>
      <c r="H587" s="139"/>
      <c r="I587" s="138"/>
      <c r="J587" s="138"/>
      <c r="K587" s="138"/>
      <c r="L587" s="138"/>
      <c r="M587" s="139"/>
      <c r="N587" s="138"/>
      <c r="O587" s="138"/>
      <c r="P587" s="138"/>
      <c r="Q587" s="139"/>
      <c r="R587" s="139"/>
      <c r="S587" s="212"/>
      <c r="T587" s="138"/>
    </row>
    <row r="588" spans="1:20" ht="14.25" customHeight="1" x14ac:dyDescent="0.3">
      <c r="A588" s="136"/>
      <c r="B588" s="212"/>
      <c r="C588" s="138"/>
      <c r="D588" s="138"/>
      <c r="E588" s="138"/>
      <c r="F588" s="138"/>
      <c r="G588" s="138"/>
      <c r="H588" s="139"/>
      <c r="I588" s="138"/>
      <c r="J588" s="138"/>
      <c r="K588" s="138"/>
      <c r="L588" s="138"/>
      <c r="M588" s="139"/>
      <c r="N588" s="138"/>
      <c r="O588" s="138"/>
      <c r="P588" s="138"/>
      <c r="Q588" s="139"/>
      <c r="R588" s="139"/>
      <c r="S588" s="212"/>
      <c r="T588" s="138"/>
    </row>
    <row r="589" spans="1:20" ht="14.25" customHeight="1" x14ac:dyDescent="0.3">
      <c r="A589" s="136"/>
      <c r="B589" s="212"/>
      <c r="C589" s="138"/>
      <c r="D589" s="138"/>
      <c r="E589" s="138"/>
      <c r="F589" s="138"/>
      <c r="G589" s="138"/>
      <c r="H589" s="139"/>
      <c r="I589" s="138"/>
      <c r="J589" s="138"/>
      <c r="K589" s="138"/>
      <c r="L589" s="138"/>
      <c r="M589" s="139"/>
      <c r="N589" s="138"/>
      <c r="O589" s="138"/>
      <c r="P589" s="138"/>
      <c r="Q589" s="139"/>
      <c r="R589" s="139"/>
      <c r="S589" s="212"/>
      <c r="T589" s="138"/>
    </row>
    <row r="590" spans="1:20" ht="14.25" customHeight="1" x14ac:dyDescent="0.3">
      <c r="A590" s="136"/>
      <c r="B590" s="212"/>
      <c r="C590" s="138"/>
      <c r="D590" s="138"/>
      <c r="E590" s="138"/>
      <c r="F590" s="138"/>
      <c r="G590" s="138"/>
      <c r="H590" s="139"/>
      <c r="I590" s="138"/>
      <c r="J590" s="138"/>
      <c r="K590" s="138"/>
      <c r="L590" s="138"/>
      <c r="M590" s="139"/>
      <c r="N590" s="138"/>
      <c r="O590" s="138"/>
      <c r="P590" s="138"/>
      <c r="Q590" s="139"/>
      <c r="R590" s="139"/>
      <c r="S590" s="212"/>
      <c r="T590" s="138"/>
    </row>
    <row r="591" spans="1:20" ht="14.25" customHeight="1" x14ac:dyDescent="0.3">
      <c r="A591" s="136"/>
      <c r="B591" s="212"/>
      <c r="C591" s="138"/>
      <c r="D591" s="138"/>
      <c r="E591" s="138"/>
      <c r="F591" s="138"/>
      <c r="G591" s="138"/>
      <c r="H591" s="139"/>
      <c r="I591" s="138"/>
      <c r="J591" s="138"/>
      <c r="K591" s="138"/>
      <c r="L591" s="138"/>
      <c r="M591" s="139"/>
      <c r="N591" s="138"/>
      <c r="O591" s="138"/>
      <c r="P591" s="138"/>
      <c r="Q591" s="139"/>
      <c r="R591" s="139"/>
      <c r="S591" s="212"/>
      <c r="T591" s="138"/>
    </row>
    <row r="592" spans="1:20" ht="14.25" customHeight="1" x14ac:dyDescent="0.3">
      <c r="A592" s="136"/>
      <c r="B592" s="212"/>
      <c r="C592" s="138"/>
      <c r="D592" s="138"/>
      <c r="E592" s="138"/>
      <c r="F592" s="138"/>
      <c r="G592" s="138"/>
      <c r="H592" s="139"/>
      <c r="I592" s="138"/>
      <c r="J592" s="138"/>
      <c r="K592" s="138"/>
      <c r="L592" s="138"/>
      <c r="M592" s="139"/>
      <c r="N592" s="138"/>
      <c r="O592" s="138"/>
      <c r="P592" s="138"/>
      <c r="Q592" s="139"/>
      <c r="R592" s="139"/>
      <c r="S592" s="212"/>
      <c r="T592" s="138"/>
    </row>
    <row r="593" spans="1:20" ht="14.25" customHeight="1" x14ac:dyDescent="0.3">
      <c r="A593" s="136"/>
      <c r="B593" s="212"/>
      <c r="C593" s="138"/>
      <c r="D593" s="138"/>
      <c r="E593" s="138"/>
      <c r="F593" s="138"/>
      <c r="G593" s="138"/>
      <c r="H593" s="139"/>
      <c r="I593" s="138"/>
      <c r="J593" s="138"/>
      <c r="K593" s="138"/>
      <c r="L593" s="138"/>
      <c r="M593" s="139"/>
      <c r="N593" s="138"/>
      <c r="O593" s="138"/>
      <c r="P593" s="138"/>
      <c r="Q593" s="139"/>
      <c r="R593" s="139"/>
      <c r="S593" s="212"/>
      <c r="T593" s="138"/>
    </row>
    <row r="594" spans="1:20" ht="14.25" customHeight="1" x14ac:dyDescent="0.3">
      <c r="A594" s="136"/>
      <c r="B594" s="212"/>
      <c r="C594" s="138"/>
      <c r="D594" s="138"/>
      <c r="E594" s="138"/>
      <c r="F594" s="138"/>
      <c r="G594" s="138"/>
      <c r="H594" s="139"/>
      <c r="I594" s="138"/>
      <c r="J594" s="138"/>
      <c r="K594" s="138"/>
      <c r="L594" s="138"/>
      <c r="M594" s="139"/>
      <c r="N594" s="138"/>
      <c r="O594" s="138"/>
      <c r="P594" s="138"/>
      <c r="Q594" s="139"/>
      <c r="R594" s="139"/>
      <c r="S594" s="212"/>
      <c r="T594" s="138"/>
    </row>
    <row r="595" spans="1:20" ht="14.25" customHeight="1" x14ac:dyDescent="0.3">
      <c r="A595" s="136"/>
      <c r="B595" s="212"/>
      <c r="C595" s="138"/>
      <c r="D595" s="138"/>
      <c r="E595" s="138"/>
      <c r="F595" s="138"/>
      <c r="G595" s="138"/>
      <c r="H595" s="139"/>
      <c r="I595" s="138"/>
      <c r="J595" s="138"/>
      <c r="K595" s="138"/>
      <c r="L595" s="138"/>
      <c r="M595" s="139"/>
      <c r="N595" s="138"/>
      <c r="O595" s="138"/>
      <c r="P595" s="138"/>
      <c r="Q595" s="139"/>
      <c r="R595" s="139"/>
      <c r="S595" s="212"/>
      <c r="T595" s="138"/>
    </row>
    <row r="596" spans="1:20" ht="14.25" customHeight="1" x14ac:dyDescent="0.3">
      <c r="A596" s="136"/>
      <c r="B596" s="212"/>
      <c r="C596" s="138"/>
      <c r="D596" s="138"/>
      <c r="E596" s="138"/>
      <c r="F596" s="138"/>
      <c r="G596" s="138"/>
      <c r="H596" s="139"/>
      <c r="I596" s="138"/>
      <c r="J596" s="138"/>
      <c r="K596" s="138"/>
      <c r="L596" s="138"/>
      <c r="M596" s="139"/>
      <c r="N596" s="138"/>
      <c r="O596" s="138"/>
      <c r="P596" s="138"/>
      <c r="Q596" s="139"/>
      <c r="R596" s="139"/>
      <c r="S596" s="212"/>
      <c r="T596" s="138"/>
    </row>
    <row r="597" spans="1:20" ht="14.25" customHeight="1" x14ac:dyDescent="0.3">
      <c r="A597" s="136"/>
      <c r="B597" s="212"/>
      <c r="C597" s="138"/>
      <c r="D597" s="138"/>
      <c r="E597" s="138"/>
      <c r="F597" s="138"/>
      <c r="G597" s="138"/>
      <c r="H597" s="139"/>
      <c r="I597" s="138"/>
      <c r="J597" s="138"/>
      <c r="K597" s="138"/>
      <c r="L597" s="138"/>
      <c r="M597" s="139"/>
      <c r="N597" s="138"/>
      <c r="O597" s="138"/>
      <c r="P597" s="138"/>
      <c r="Q597" s="139"/>
      <c r="R597" s="139"/>
      <c r="S597" s="212"/>
      <c r="T597" s="138"/>
    </row>
    <row r="598" spans="1:20" ht="14.25" customHeight="1" x14ac:dyDescent="0.3">
      <c r="A598" s="136"/>
      <c r="B598" s="212"/>
      <c r="C598" s="138"/>
      <c r="D598" s="138"/>
      <c r="E598" s="138"/>
      <c r="F598" s="138"/>
      <c r="G598" s="138"/>
      <c r="H598" s="139"/>
      <c r="I598" s="138"/>
      <c r="J598" s="138"/>
      <c r="K598" s="138"/>
      <c r="L598" s="138"/>
      <c r="M598" s="139"/>
      <c r="N598" s="138"/>
      <c r="O598" s="138"/>
      <c r="P598" s="138"/>
      <c r="Q598" s="139"/>
      <c r="R598" s="139"/>
      <c r="S598" s="212"/>
      <c r="T598" s="138"/>
    </row>
    <row r="599" spans="1:20" ht="14.25" customHeight="1" x14ac:dyDescent="0.3">
      <c r="A599" s="136"/>
      <c r="B599" s="212"/>
      <c r="C599" s="138"/>
      <c r="D599" s="138"/>
      <c r="E599" s="138"/>
      <c r="F599" s="138"/>
      <c r="G599" s="138"/>
      <c r="H599" s="139"/>
      <c r="I599" s="138"/>
      <c r="J599" s="138"/>
      <c r="K599" s="138"/>
      <c r="L599" s="138"/>
      <c r="M599" s="139"/>
      <c r="N599" s="138"/>
      <c r="O599" s="138"/>
      <c r="P599" s="138"/>
      <c r="Q599" s="139"/>
      <c r="R599" s="139"/>
      <c r="S599" s="212"/>
      <c r="T599" s="138"/>
    </row>
    <row r="600" spans="1:20" ht="14.25" customHeight="1" x14ac:dyDescent="0.3">
      <c r="A600" s="136"/>
      <c r="B600" s="212"/>
      <c r="C600" s="138"/>
      <c r="D600" s="138"/>
      <c r="E600" s="138"/>
      <c r="F600" s="138"/>
      <c r="G600" s="138"/>
      <c r="H600" s="139"/>
      <c r="I600" s="138"/>
      <c r="J600" s="138"/>
      <c r="K600" s="138"/>
      <c r="L600" s="138"/>
      <c r="M600" s="139"/>
      <c r="N600" s="138"/>
      <c r="O600" s="138"/>
      <c r="P600" s="138"/>
      <c r="Q600" s="139"/>
      <c r="R600" s="139"/>
      <c r="S600" s="212"/>
      <c r="T600" s="138"/>
    </row>
    <row r="601" spans="1:20" ht="14.25" customHeight="1" x14ac:dyDescent="0.3">
      <c r="A601" s="136"/>
      <c r="B601" s="212"/>
      <c r="C601" s="138"/>
      <c r="D601" s="138"/>
      <c r="E601" s="138"/>
      <c r="F601" s="138"/>
      <c r="G601" s="138"/>
      <c r="H601" s="139"/>
      <c r="I601" s="138"/>
      <c r="J601" s="138"/>
      <c r="K601" s="138"/>
      <c r="L601" s="138"/>
      <c r="M601" s="139"/>
      <c r="N601" s="138"/>
      <c r="O601" s="138"/>
      <c r="P601" s="138"/>
      <c r="Q601" s="139"/>
      <c r="R601" s="139"/>
      <c r="S601" s="212"/>
      <c r="T601" s="138"/>
    </row>
    <row r="602" spans="1:20" ht="14.25" customHeight="1" x14ac:dyDescent="0.3">
      <c r="A602" s="136"/>
      <c r="B602" s="212"/>
      <c r="C602" s="138"/>
      <c r="D602" s="138"/>
      <c r="E602" s="138"/>
      <c r="F602" s="138"/>
      <c r="G602" s="138"/>
      <c r="H602" s="139"/>
      <c r="I602" s="138"/>
      <c r="J602" s="138"/>
      <c r="K602" s="138"/>
      <c r="L602" s="138"/>
      <c r="M602" s="139"/>
      <c r="N602" s="138"/>
      <c r="O602" s="138"/>
      <c r="P602" s="138"/>
      <c r="Q602" s="139"/>
      <c r="R602" s="139"/>
      <c r="S602" s="212"/>
      <c r="T602" s="138"/>
    </row>
    <row r="603" spans="1:20" ht="14.25" customHeight="1" x14ac:dyDescent="0.3">
      <c r="A603" s="136"/>
      <c r="B603" s="212"/>
      <c r="C603" s="138"/>
      <c r="D603" s="138"/>
      <c r="E603" s="138"/>
      <c r="F603" s="138"/>
      <c r="G603" s="138"/>
      <c r="H603" s="139"/>
      <c r="I603" s="138"/>
      <c r="J603" s="138"/>
      <c r="K603" s="138"/>
      <c r="L603" s="138"/>
      <c r="M603" s="139"/>
      <c r="N603" s="138"/>
      <c r="O603" s="138"/>
      <c r="P603" s="138"/>
      <c r="Q603" s="139"/>
      <c r="R603" s="139"/>
      <c r="S603" s="212"/>
      <c r="T603" s="138"/>
    </row>
    <row r="604" spans="1:20" ht="14.25" customHeight="1" x14ac:dyDescent="0.3">
      <c r="A604" s="136"/>
      <c r="B604" s="212"/>
      <c r="C604" s="138"/>
      <c r="D604" s="138"/>
      <c r="E604" s="138"/>
      <c r="F604" s="138"/>
      <c r="G604" s="138"/>
      <c r="H604" s="139"/>
      <c r="I604" s="138"/>
      <c r="J604" s="138"/>
      <c r="K604" s="138"/>
      <c r="L604" s="138"/>
      <c r="M604" s="139"/>
      <c r="N604" s="138"/>
      <c r="O604" s="138"/>
      <c r="P604" s="138"/>
      <c r="Q604" s="139"/>
      <c r="R604" s="139"/>
      <c r="S604" s="212"/>
      <c r="T604" s="138"/>
    </row>
    <row r="605" spans="1:20" ht="14.25" customHeight="1" x14ac:dyDescent="0.3">
      <c r="A605" s="136"/>
      <c r="B605" s="212"/>
      <c r="C605" s="138"/>
      <c r="D605" s="138"/>
      <c r="E605" s="138"/>
      <c r="F605" s="138"/>
      <c r="G605" s="138"/>
      <c r="H605" s="139"/>
      <c r="I605" s="138"/>
      <c r="J605" s="138"/>
      <c r="K605" s="138"/>
      <c r="L605" s="138"/>
      <c r="M605" s="139"/>
      <c r="N605" s="138"/>
      <c r="O605" s="138"/>
      <c r="P605" s="138"/>
      <c r="Q605" s="139"/>
      <c r="R605" s="139"/>
      <c r="S605" s="212"/>
      <c r="T605" s="138"/>
    </row>
    <row r="606" spans="1:20" ht="14.25" customHeight="1" x14ac:dyDescent="0.3">
      <c r="A606" s="136"/>
      <c r="B606" s="212"/>
      <c r="C606" s="138"/>
      <c r="D606" s="138"/>
      <c r="E606" s="138"/>
      <c r="F606" s="138"/>
      <c r="G606" s="138"/>
      <c r="H606" s="139"/>
      <c r="I606" s="138"/>
      <c r="J606" s="138"/>
      <c r="K606" s="138"/>
      <c r="L606" s="138"/>
      <c r="M606" s="139"/>
      <c r="N606" s="138"/>
      <c r="O606" s="138"/>
      <c r="P606" s="138"/>
      <c r="Q606" s="139"/>
      <c r="R606" s="139"/>
      <c r="S606" s="212"/>
      <c r="T606" s="138"/>
    </row>
    <row r="607" spans="1:20" ht="14.25" customHeight="1" x14ac:dyDescent="0.3">
      <c r="A607" s="136"/>
      <c r="B607" s="212"/>
      <c r="C607" s="138"/>
      <c r="D607" s="138"/>
      <c r="E607" s="138"/>
      <c r="F607" s="138"/>
      <c r="G607" s="138"/>
      <c r="H607" s="139"/>
      <c r="I607" s="138"/>
      <c r="J607" s="138"/>
      <c r="K607" s="138"/>
      <c r="L607" s="138"/>
      <c r="M607" s="139"/>
      <c r="N607" s="138"/>
      <c r="O607" s="138"/>
      <c r="P607" s="138"/>
      <c r="Q607" s="139"/>
      <c r="R607" s="139"/>
      <c r="S607" s="212"/>
      <c r="T607" s="138"/>
    </row>
    <row r="608" spans="1:20" ht="14.25" customHeight="1" x14ac:dyDescent="0.3">
      <c r="A608" s="136"/>
      <c r="B608" s="212"/>
      <c r="C608" s="138"/>
      <c r="D608" s="138"/>
      <c r="E608" s="138"/>
      <c r="F608" s="138"/>
      <c r="G608" s="138"/>
      <c r="H608" s="139"/>
      <c r="I608" s="138"/>
      <c r="J608" s="138"/>
      <c r="K608" s="138"/>
      <c r="L608" s="138"/>
      <c r="M608" s="139"/>
      <c r="N608" s="138"/>
      <c r="O608" s="138"/>
      <c r="P608" s="138"/>
      <c r="Q608" s="139"/>
      <c r="R608" s="139"/>
      <c r="S608" s="212"/>
      <c r="T608" s="138"/>
    </row>
    <row r="609" spans="1:20" ht="14.25" customHeight="1" x14ac:dyDescent="0.3">
      <c r="A609" s="136"/>
      <c r="B609" s="212"/>
      <c r="C609" s="138"/>
      <c r="D609" s="138"/>
      <c r="E609" s="138"/>
      <c r="F609" s="138"/>
      <c r="G609" s="138"/>
      <c r="H609" s="139"/>
      <c r="I609" s="138"/>
      <c r="J609" s="138"/>
      <c r="K609" s="138"/>
      <c r="L609" s="138"/>
      <c r="M609" s="139"/>
      <c r="N609" s="138"/>
      <c r="O609" s="138"/>
      <c r="P609" s="138"/>
      <c r="Q609" s="139"/>
      <c r="R609" s="139"/>
      <c r="S609" s="212"/>
      <c r="T609" s="138"/>
    </row>
    <row r="610" spans="1:20" ht="14.25" customHeight="1" x14ac:dyDescent="0.3">
      <c r="A610" s="136"/>
      <c r="B610" s="212"/>
      <c r="C610" s="138"/>
      <c r="D610" s="138"/>
      <c r="E610" s="138"/>
      <c r="F610" s="138"/>
      <c r="G610" s="138"/>
      <c r="H610" s="139"/>
      <c r="I610" s="138"/>
      <c r="J610" s="138"/>
      <c r="K610" s="138"/>
      <c r="L610" s="138"/>
      <c r="M610" s="139"/>
      <c r="N610" s="138"/>
      <c r="O610" s="138"/>
      <c r="P610" s="138"/>
      <c r="Q610" s="139"/>
      <c r="R610" s="139"/>
      <c r="S610" s="212"/>
      <c r="T610" s="138"/>
    </row>
    <row r="611" spans="1:20" ht="14.25" customHeight="1" x14ac:dyDescent="0.3">
      <c r="A611" s="136"/>
      <c r="B611" s="212"/>
      <c r="C611" s="138"/>
      <c r="D611" s="138"/>
      <c r="E611" s="138"/>
      <c r="F611" s="138"/>
      <c r="G611" s="138"/>
      <c r="H611" s="139"/>
      <c r="I611" s="138"/>
      <c r="J611" s="138"/>
      <c r="K611" s="138"/>
      <c r="L611" s="138"/>
      <c r="M611" s="139"/>
      <c r="N611" s="138"/>
      <c r="O611" s="138"/>
      <c r="P611" s="138"/>
      <c r="Q611" s="139"/>
      <c r="R611" s="139"/>
      <c r="S611" s="212"/>
      <c r="T611" s="138"/>
    </row>
    <row r="612" spans="1:20" ht="14.25" customHeight="1" x14ac:dyDescent="0.3">
      <c r="A612" s="136"/>
      <c r="B612" s="212"/>
      <c r="C612" s="138"/>
      <c r="D612" s="138"/>
      <c r="E612" s="138"/>
      <c r="F612" s="138"/>
      <c r="G612" s="138"/>
      <c r="H612" s="139"/>
      <c r="I612" s="138"/>
      <c r="J612" s="138"/>
      <c r="K612" s="138"/>
      <c r="L612" s="138"/>
      <c r="M612" s="139"/>
      <c r="N612" s="138"/>
      <c r="O612" s="138"/>
      <c r="P612" s="138"/>
      <c r="Q612" s="139"/>
      <c r="R612" s="139"/>
      <c r="S612" s="212"/>
      <c r="T612" s="138"/>
    </row>
    <row r="613" spans="1:20" ht="14.25" customHeight="1" x14ac:dyDescent="0.3">
      <c r="A613" s="136"/>
      <c r="B613" s="212"/>
      <c r="C613" s="138"/>
      <c r="D613" s="138"/>
      <c r="E613" s="138"/>
      <c r="F613" s="138"/>
      <c r="G613" s="138"/>
      <c r="H613" s="139"/>
      <c r="I613" s="138"/>
      <c r="J613" s="138"/>
      <c r="K613" s="138"/>
      <c r="L613" s="138"/>
      <c r="M613" s="139"/>
      <c r="N613" s="138"/>
      <c r="O613" s="138"/>
      <c r="P613" s="138"/>
      <c r="Q613" s="139"/>
      <c r="R613" s="139"/>
      <c r="S613" s="212"/>
      <c r="T613" s="138"/>
    </row>
    <row r="614" spans="1:20" ht="14.25" customHeight="1" x14ac:dyDescent="0.3">
      <c r="A614" s="136"/>
      <c r="B614" s="212"/>
      <c r="C614" s="138"/>
      <c r="D614" s="138"/>
      <c r="E614" s="138"/>
      <c r="F614" s="138"/>
      <c r="G614" s="138"/>
      <c r="H614" s="139"/>
      <c r="I614" s="138"/>
      <c r="J614" s="138"/>
      <c r="K614" s="138"/>
      <c r="L614" s="138"/>
      <c r="M614" s="139"/>
      <c r="N614" s="138"/>
      <c r="O614" s="138"/>
      <c r="P614" s="138"/>
      <c r="Q614" s="139"/>
      <c r="R614" s="139"/>
      <c r="S614" s="212"/>
      <c r="T614" s="138"/>
    </row>
    <row r="615" spans="1:20" ht="14.25" customHeight="1" x14ac:dyDescent="0.3">
      <c r="A615" s="136"/>
      <c r="B615" s="212"/>
      <c r="C615" s="138"/>
      <c r="D615" s="138"/>
      <c r="E615" s="138"/>
      <c r="F615" s="138"/>
      <c r="G615" s="138"/>
      <c r="H615" s="139"/>
      <c r="I615" s="138"/>
      <c r="J615" s="138"/>
      <c r="K615" s="138"/>
      <c r="L615" s="138"/>
      <c r="M615" s="139"/>
      <c r="N615" s="138"/>
      <c r="O615" s="138"/>
      <c r="P615" s="138"/>
      <c r="Q615" s="139"/>
      <c r="R615" s="139"/>
      <c r="S615" s="212"/>
      <c r="T615" s="138"/>
    </row>
    <row r="616" spans="1:20" ht="14.25" customHeight="1" x14ac:dyDescent="0.3">
      <c r="A616" s="136"/>
      <c r="B616" s="212"/>
      <c r="C616" s="138"/>
      <c r="D616" s="138"/>
      <c r="E616" s="138"/>
      <c r="F616" s="138"/>
      <c r="G616" s="138"/>
      <c r="H616" s="139"/>
      <c r="I616" s="138"/>
      <c r="J616" s="138"/>
      <c r="K616" s="138"/>
      <c r="L616" s="138"/>
      <c r="M616" s="139"/>
      <c r="N616" s="138"/>
      <c r="O616" s="138"/>
      <c r="P616" s="138"/>
      <c r="Q616" s="139"/>
      <c r="R616" s="139"/>
      <c r="S616" s="212"/>
      <c r="T616" s="138"/>
    </row>
    <row r="617" spans="1:20" ht="14.25" customHeight="1" x14ac:dyDescent="0.3">
      <c r="A617" s="136"/>
      <c r="B617" s="212"/>
      <c r="C617" s="138"/>
      <c r="D617" s="138"/>
      <c r="E617" s="138"/>
      <c r="F617" s="138"/>
      <c r="G617" s="138"/>
      <c r="H617" s="139"/>
      <c r="I617" s="138"/>
      <c r="J617" s="138"/>
      <c r="K617" s="138"/>
      <c r="L617" s="138"/>
      <c r="M617" s="139"/>
      <c r="N617" s="138"/>
      <c r="O617" s="138"/>
      <c r="P617" s="138"/>
      <c r="Q617" s="139"/>
      <c r="R617" s="139"/>
      <c r="S617" s="212"/>
      <c r="T617" s="138"/>
    </row>
    <row r="618" spans="1:20" ht="14.25" customHeight="1" x14ac:dyDescent="0.3">
      <c r="A618" s="136"/>
      <c r="B618" s="212"/>
      <c r="C618" s="138"/>
      <c r="D618" s="138"/>
      <c r="E618" s="138"/>
      <c r="F618" s="138"/>
      <c r="G618" s="138"/>
      <c r="H618" s="139"/>
      <c r="I618" s="138"/>
      <c r="J618" s="138"/>
      <c r="K618" s="138"/>
      <c r="L618" s="138"/>
      <c r="M618" s="139"/>
      <c r="N618" s="138"/>
      <c r="O618" s="138"/>
      <c r="P618" s="138"/>
      <c r="Q618" s="139"/>
      <c r="R618" s="139"/>
      <c r="S618" s="212"/>
      <c r="T618" s="138"/>
    </row>
    <row r="619" spans="1:20" ht="14.25" customHeight="1" x14ac:dyDescent="0.3">
      <c r="A619" s="136"/>
      <c r="B619" s="212"/>
      <c r="C619" s="138"/>
      <c r="D619" s="138"/>
      <c r="E619" s="138"/>
      <c r="F619" s="138"/>
      <c r="G619" s="138"/>
      <c r="H619" s="139"/>
      <c r="I619" s="138"/>
      <c r="J619" s="138"/>
      <c r="K619" s="138"/>
      <c r="L619" s="138"/>
      <c r="M619" s="139"/>
      <c r="N619" s="138"/>
      <c r="O619" s="138"/>
      <c r="P619" s="138"/>
      <c r="Q619" s="139"/>
      <c r="R619" s="139"/>
      <c r="S619" s="212"/>
      <c r="T619" s="138"/>
    </row>
    <row r="620" spans="1:20" ht="14.25" customHeight="1" x14ac:dyDescent="0.3">
      <c r="A620" s="136"/>
      <c r="B620" s="212"/>
      <c r="C620" s="138"/>
      <c r="D620" s="138"/>
      <c r="E620" s="138"/>
      <c r="F620" s="138"/>
      <c r="G620" s="138"/>
      <c r="H620" s="139"/>
      <c r="I620" s="138"/>
      <c r="J620" s="138"/>
      <c r="K620" s="138"/>
      <c r="L620" s="138"/>
      <c r="M620" s="139"/>
      <c r="N620" s="138"/>
      <c r="O620" s="138"/>
      <c r="P620" s="138"/>
      <c r="Q620" s="139"/>
      <c r="R620" s="139"/>
      <c r="S620" s="212"/>
      <c r="T620" s="138"/>
    </row>
    <row r="621" spans="1:20" ht="14.25" customHeight="1" x14ac:dyDescent="0.3">
      <c r="A621" s="136"/>
      <c r="B621" s="212"/>
      <c r="C621" s="138"/>
      <c r="D621" s="138"/>
      <c r="E621" s="138"/>
      <c r="F621" s="138"/>
      <c r="G621" s="138"/>
      <c r="H621" s="139"/>
      <c r="I621" s="138"/>
      <c r="J621" s="138"/>
      <c r="K621" s="138"/>
      <c r="L621" s="138"/>
      <c r="M621" s="139"/>
      <c r="N621" s="138"/>
      <c r="O621" s="138"/>
      <c r="P621" s="138"/>
      <c r="Q621" s="139"/>
      <c r="R621" s="139"/>
      <c r="S621" s="212"/>
      <c r="T621" s="138"/>
    </row>
    <row r="622" spans="1:20" ht="14.25" customHeight="1" x14ac:dyDescent="0.3">
      <c r="A622" s="136"/>
      <c r="B622" s="212"/>
      <c r="C622" s="138"/>
      <c r="D622" s="138"/>
      <c r="E622" s="138"/>
      <c r="F622" s="138"/>
      <c r="G622" s="138"/>
      <c r="H622" s="139"/>
      <c r="I622" s="138"/>
      <c r="J622" s="138"/>
      <c r="K622" s="138"/>
      <c r="L622" s="138"/>
      <c r="M622" s="139"/>
      <c r="N622" s="138"/>
      <c r="O622" s="138"/>
      <c r="P622" s="138"/>
      <c r="Q622" s="139"/>
      <c r="R622" s="139"/>
      <c r="S622" s="212"/>
      <c r="T622" s="138"/>
    </row>
    <row r="623" spans="1:20" ht="14.25" customHeight="1" x14ac:dyDescent="0.3">
      <c r="A623" s="136"/>
      <c r="B623" s="212"/>
      <c r="C623" s="138"/>
      <c r="D623" s="138"/>
      <c r="E623" s="138"/>
      <c r="F623" s="138"/>
      <c r="G623" s="138"/>
      <c r="H623" s="139"/>
      <c r="I623" s="138"/>
      <c r="J623" s="138"/>
      <c r="K623" s="138"/>
      <c r="L623" s="138"/>
      <c r="M623" s="139"/>
      <c r="N623" s="138"/>
      <c r="O623" s="138"/>
      <c r="P623" s="138"/>
      <c r="Q623" s="139"/>
      <c r="R623" s="139"/>
      <c r="S623" s="212"/>
      <c r="T623" s="138"/>
    </row>
    <row r="624" spans="1:20" ht="14.25" customHeight="1" x14ac:dyDescent="0.3">
      <c r="A624" s="136"/>
      <c r="B624" s="212"/>
      <c r="C624" s="138"/>
      <c r="D624" s="138"/>
      <c r="E624" s="138"/>
      <c r="F624" s="138"/>
      <c r="G624" s="138"/>
      <c r="H624" s="139"/>
      <c r="I624" s="138"/>
      <c r="J624" s="138"/>
      <c r="K624" s="138"/>
      <c r="L624" s="138"/>
      <c r="M624" s="139"/>
      <c r="N624" s="138"/>
      <c r="O624" s="138"/>
      <c r="P624" s="138"/>
      <c r="Q624" s="139"/>
      <c r="R624" s="139"/>
      <c r="S624" s="212"/>
      <c r="T624" s="138"/>
    </row>
    <row r="625" spans="1:20" ht="14.25" customHeight="1" x14ac:dyDescent="0.3">
      <c r="A625" s="136"/>
      <c r="B625" s="212"/>
      <c r="C625" s="138"/>
      <c r="D625" s="138"/>
      <c r="E625" s="138"/>
      <c r="F625" s="138"/>
      <c r="G625" s="138"/>
      <c r="H625" s="139"/>
      <c r="I625" s="138"/>
      <c r="J625" s="138"/>
      <c r="K625" s="138"/>
      <c r="L625" s="138"/>
      <c r="M625" s="139"/>
      <c r="N625" s="138"/>
      <c r="O625" s="138"/>
      <c r="P625" s="138"/>
      <c r="Q625" s="139"/>
      <c r="R625" s="139"/>
      <c r="S625" s="212"/>
      <c r="T625" s="138"/>
    </row>
    <row r="626" spans="1:20" ht="14.25" customHeight="1" x14ac:dyDescent="0.3">
      <c r="A626" s="136"/>
      <c r="B626" s="212"/>
      <c r="C626" s="138"/>
      <c r="D626" s="138"/>
      <c r="E626" s="138"/>
      <c r="F626" s="138"/>
      <c r="G626" s="138"/>
      <c r="H626" s="139"/>
      <c r="I626" s="138"/>
      <c r="J626" s="138"/>
      <c r="K626" s="138"/>
      <c r="L626" s="138"/>
      <c r="M626" s="139"/>
      <c r="N626" s="138"/>
      <c r="O626" s="138"/>
      <c r="P626" s="138"/>
      <c r="Q626" s="139"/>
      <c r="R626" s="139"/>
      <c r="S626" s="212"/>
      <c r="T626" s="138"/>
    </row>
    <row r="627" spans="1:20" ht="14.25" customHeight="1" x14ac:dyDescent="0.3">
      <c r="A627" s="136"/>
      <c r="B627" s="212"/>
      <c r="C627" s="138"/>
      <c r="D627" s="138"/>
      <c r="E627" s="138"/>
      <c r="F627" s="138"/>
      <c r="G627" s="138"/>
      <c r="H627" s="139"/>
      <c r="I627" s="138"/>
      <c r="J627" s="138"/>
      <c r="K627" s="138"/>
      <c r="L627" s="138"/>
      <c r="M627" s="139"/>
      <c r="N627" s="138"/>
      <c r="O627" s="138"/>
      <c r="P627" s="138"/>
      <c r="Q627" s="139"/>
      <c r="R627" s="139"/>
      <c r="S627" s="212"/>
      <c r="T627" s="138"/>
    </row>
    <row r="628" spans="1:20" ht="14.25" customHeight="1" x14ac:dyDescent="0.3">
      <c r="A628" s="136"/>
      <c r="B628" s="212"/>
      <c r="C628" s="138"/>
      <c r="D628" s="138"/>
      <c r="E628" s="138"/>
      <c r="F628" s="138"/>
      <c r="G628" s="138"/>
      <c r="H628" s="139"/>
      <c r="I628" s="138"/>
      <c r="J628" s="138"/>
      <c r="K628" s="138"/>
      <c r="L628" s="138"/>
      <c r="M628" s="139"/>
      <c r="N628" s="138"/>
      <c r="O628" s="138"/>
      <c r="P628" s="138"/>
      <c r="Q628" s="139"/>
      <c r="R628" s="139"/>
      <c r="S628" s="212"/>
      <c r="T628" s="138"/>
    </row>
    <row r="629" spans="1:20" ht="14.25" customHeight="1" x14ac:dyDescent="0.3">
      <c r="A629" s="136"/>
      <c r="B629" s="212"/>
      <c r="C629" s="138"/>
      <c r="D629" s="138"/>
      <c r="E629" s="138"/>
      <c r="F629" s="138"/>
      <c r="G629" s="138"/>
      <c r="H629" s="139"/>
      <c r="I629" s="138"/>
      <c r="J629" s="138"/>
      <c r="K629" s="138"/>
      <c r="L629" s="138"/>
      <c r="M629" s="139"/>
      <c r="N629" s="138"/>
      <c r="O629" s="138"/>
      <c r="P629" s="138"/>
      <c r="Q629" s="139"/>
      <c r="R629" s="139"/>
      <c r="S629" s="212"/>
      <c r="T629" s="138"/>
    </row>
    <row r="630" spans="1:20" ht="14.25" customHeight="1" x14ac:dyDescent="0.3">
      <c r="A630" s="136"/>
      <c r="B630" s="212"/>
      <c r="C630" s="138"/>
      <c r="D630" s="138"/>
      <c r="E630" s="138"/>
      <c r="F630" s="138"/>
      <c r="G630" s="138"/>
      <c r="H630" s="139"/>
      <c r="I630" s="138"/>
      <c r="J630" s="138"/>
      <c r="K630" s="138"/>
      <c r="L630" s="138"/>
      <c r="M630" s="139"/>
      <c r="N630" s="138"/>
      <c r="O630" s="138"/>
      <c r="P630" s="138"/>
      <c r="Q630" s="139"/>
      <c r="R630" s="139"/>
      <c r="S630" s="212"/>
      <c r="T630" s="138"/>
    </row>
    <row r="631" spans="1:20" ht="14.25" customHeight="1" x14ac:dyDescent="0.3">
      <c r="A631" s="136"/>
      <c r="B631" s="212"/>
      <c r="C631" s="138"/>
      <c r="D631" s="138"/>
      <c r="E631" s="138"/>
      <c r="F631" s="138"/>
      <c r="G631" s="138"/>
      <c r="H631" s="139"/>
      <c r="I631" s="138"/>
      <c r="J631" s="138"/>
      <c r="K631" s="138"/>
      <c r="L631" s="138"/>
      <c r="M631" s="139"/>
      <c r="N631" s="138"/>
      <c r="O631" s="138"/>
      <c r="P631" s="138"/>
      <c r="Q631" s="139"/>
      <c r="R631" s="139"/>
      <c r="S631" s="212"/>
      <c r="T631" s="138"/>
    </row>
    <row r="632" spans="1:20" ht="14.25" customHeight="1" x14ac:dyDescent="0.3">
      <c r="A632" s="136"/>
      <c r="B632" s="212"/>
      <c r="C632" s="138"/>
      <c r="D632" s="138"/>
      <c r="E632" s="138"/>
      <c r="F632" s="138"/>
      <c r="G632" s="138"/>
      <c r="H632" s="139"/>
      <c r="I632" s="138"/>
      <c r="J632" s="138"/>
      <c r="K632" s="138"/>
      <c r="L632" s="138"/>
      <c r="M632" s="139"/>
      <c r="N632" s="138"/>
      <c r="O632" s="138"/>
      <c r="P632" s="138"/>
      <c r="Q632" s="139"/>
      <c r="R632" s="139"/>
      <c r="S632" s="212"/>
      <c r="T632" s="138"/>
    </row>
    <row r="633" spans="1:20" ht="14.25" customHeight="1" x14ac:dyDescent="0.3">
      <c r="A633" s="136"/>
      <c r="B633" s="212"/>
      <c r="C633" s="138"/>
      <c r="D633" s="138"/>
      <c r="E633" s="138"/>
      <c r="F633" s="138"/>
      <c r="G633" s="138"/>
      <c r="H633" s="139"/>
      <c r="I633" s="138"/>
      <c r="J633" s="138"/>
      <c r="K633" s="138"/>
      <c r="L633" s="138"/>
      <c r="M633" s="139"/>
      <c r="N633" s="138"/>
      <c r="O633" s="138"/>
      <c r="P633" s="138"/>
      <c r="Q633" s="139"/>
      <c r="R633" s="139"/>
      <c r="S633" s="212"/>
      <c r="T633" s="138"/>
    </row>
    <row r="634" spans="1:20" ht="14.25" customHeight="1" x14ac:dyDescent="0.3">
      <c r="A634" s="136"/>
      <c r="B634" s="212"/>
      <c r="C634" s="138"/>
      <c r="D634" s="138"/>
      <c r="E634" s="138"/>
      <c r="F634" s="138"/>
      <c r="G634" s="138"/>
      <c r="H634" s="139"/>
      <c r="I634" s="138"/>
      <c r="J634" s="138"/>
      <c r="K634" s="138"/>
      <c r="L634" s="138"/>
      <c r="M634" s="139"/>
      <c r="N634" s="138"/>
      <c r="O634" s="138"/>
      <c r="P634" s="138"/>
      <c r="Q634" s="139"/>
      <c r="R634" s="139"/>
      <c r="S634" s="212"/>
      <c r="T634" s="138"/>
    </row>
    <row r="635" spans="1:20" ht="14.25" customHeight="1" x14ac:dyDescent="0.3">
      <c r="A635" s="136"/>
      <c r="B635" s="212"/>
      <c r="C635" s="138"/>
      <c r="D635" s="138"/>
      <c r="E635" s="138"/>
      <c r="F635" s="138"/>
      <c r="G635" s="138"/>
      <c r="H635" s="139"/>
      <c r="I635" s="138"/>
      <c r="J635" s="138"/>
      <c r="K635" s="138"/>
      <c r="L635" s="138"/>
      <c r="M635" s="139"/>
      <c r="N635" s="138"/>
      <c r="O635" s="138"/>
      <c r="P635" s="138"/>
      <c r="Q635" s="139"/>
      <c r="R635" s="139"/>
      <c r="S635" s="212"/>
      <c r="T635" s="138"/>
    </row>
    <row r="636" spans="1:20" ht="14.25" customHeight="1" x14ac:dyDescent="0.3">
      <c r="A636" s="136"/>
      <c r="B636" s="212"/>
      <c r="C636" s="138"/>
      <c r="D636" s="138"/>
      <c r="E636" s="138"/>
      <c r="F636" s="138"/>
      <c r="G636" s="138"/>
      <c r="H636" s="139"/>
      <c r="I636" s="138"/>
      <c r="J636" s="138"/>
      <c r="K636" s="138"/>
      <c r="L636" s="138"/>
      <c r="M636" s="139"/>
      <c r="N636" s="138"/>
      <c r="O636" s="138"/>
      <c r="P636" s="138"/>
      <c r="Q636" s="139"/>
      <c r="R636" s="139"/>
      <c r="S636" s="212"/>
      <c r="T636" s="138"/>
    </row>
    <row r="637" spans="1:20" ht="14.25" customHeight="1" x14ac:dyDescent="0.3">
      <c r="A637" s="136"/>
      <c r="B637" s="212"/>
      <c r="C637" s="138"/>
      <c r="D637" s="138"/>
      <c r="E637" s="138"/>
      <c r="F637" s="138"/>
      <c r="G637" s="138"/>
      <c r="H637" s="139"/>
      <c r="I637" s="138"/>
      <c r="J637" s="138"/>
      <c r="K637" s="138"/>
      <c r="L637" s="138"/>
      <c r="M637" s="139"/>
      <c r="N637" s="138"/>
      <c r="O637" s="138"/>
      <c r="P637" s="138"/>
      <c r="Q637" s="139"/>
      <c r="R637" s="139"/>
      <c r="S637" s="212"/>
      <c r="T637" s="138"/>
    </row>
    <row r="638" spans="1:20" ht="14.25" customHeight="1" x14ac:dyDescent="0.3">
      <c r="A638" s="136"/>
      <c r="B638" s="212"/>
      <c r="C638" s="138"/>
      <c r="D638" s="138"/>
      <c r="E638" s="138"/>
      <c r="F638" s="138"/>
      <c r="G638" s="138"/>
      <c r="H638" s="139"/>
      <c r="I638" s="138"/>
      <c r="J638" s="138"/>
      <c r="K638" s="138"/>
      <c r="L638" s="138"/>
      <c r="M638" s="139"/>
      <c r="N638" s="138"/>
      <c r="O638" s="138"/>
      <c r="P638" s="138"/>
      <c r="Q638" s="139"/>
      <c r="R638" s="139"/>
      <c r="S638" s="212"/>
      <c r="T638" s="138"/>
    </row>
    <row r="639" spans="1:20" ht="14.25" customHeight="1" x14ac:dyDescent="0.3">
      <c r="A639" s="136"/>
      <c r="B639" s="212"/>
      <c r="C639" s="138"/>
      <c r="D639" s="138"/>
      <c r="E639" s="138"/>
      <c r="F639" s="138"/>
      <c r="G639" s="138"/>
      <c r="H639" s="139"/>
      <c r="I639" s="138"/>
      <c r="J639" s="138"/>
      <c r="K639" s="138"/>
      <c r="L639" s="138"/>
      <c r="M639" s="139"/>
      <c r="N639" s="138"/>
      <c r="O639" s="138"/>
      <c r="P639" s="138"/>
      <c r="Q639" s="139"/>
      <c r="R639" s="139"/>
      <c r="S639" s="212"/>
      <c r="T639" s="138"/>
    </row>
    <row r="640" spans="1:20" ht="14.25" customHeight="1" x14ac:dyDescent="0.3">
      <c r="A640" s="136"/>
      <c r="B640" s="212"/>
      <c r="C640" s="138"/>
      <c r="D640" s="138"/>
      <c r="E640" s="138"/>
      <c r="F640" s="138"/>
      <c r="G640" s="138"/>
      <c r="H640" s="139"/>
      <c r="I640" s="138"/>
      <c r="J640" s="138"/>
      <c r="K640" s="138"/>
      <c r="L640" s="138"/>
      <c r="M640" s="139"/>
      <c r="N640" s="138"/>
      <c r="O640" s="138"/>
      <c r="P640" s="138"/>
      <c r="Q640" s="139"/>
      <c r="R640" s="139"/>
      <c r="S640" s="212"/>
      <c r="T640" s="138"/>
    </row>
    <row r="641" spans="1:20" ht="14.25" customHeight="1" x14ac:dyDescent="0.3">
      <c r="A641" s="136"/>
      <c r="B641" s="212"/>
      <c r="C641" s="138"/>
      <c r="D641" s="138"/>
      <c r="E641" s="138"/>
      <c r="F641" s="138"/>
      <c r="G641" s="138"/>
      <c r="H641" s="139"/>
      <c r="I641" s="138"/>
      <c r="J641" s="138"/>
      <c r="K641" s="138"/>
      <c r="L641" s="138"/>
      <c r="M641" s="139"/>
      <c r="N641" s="138"/>
      <c r="O641" s="138"/>
      <c r="P641" s="138"/>
      <c r="Q641" s="139"/>
      <c r="R641" s="139"/>
      <c r="S641" s="212"/>
      <c r="T641" s="138"/>
    </row>
    <row r="642" spans="1:20" ht="14.25" customHeight="1" x14ac:dyDescent="0.3">
      <c r="A642" s="136"/>
      <c r="B642" s="212"/>
      <c r="C642" s="138"/>
      <c r="D642" s="138"/>
      <c r="E642" s="138"/>
      <c r="F642" s="138"/>
      <c r="G642" s="138"/>
      <c r="H642" s="139"/>
      <c r="I642" s="138"/>
      <c r="J642" s="138"/>
      <c r="K642" s="138"/>
      <c r="L642" s="138"/>
      <c r="M642" s="139"/>
      <c r="N642" s="138"/>
      <c r="O642" s="138"/>
      <c r="P642" s="138"/>
      <c r="Q642" s="139"/>
      <c r="R642" s="139"/>
      <c r="S642" s="212"/>
      <c r="T642" s="138"/>
    </row>
    <row r="643" spans="1:20" ht="14.25" customHeight="1" x14ac:dyDescent="0.3">
      <c r="A643" s="136"/>
      <c r="B643" s="212"/>
      <c r="C643" s="138"/>
      <c r="D643" s="138"/>
      <c r="E643" s="138"/>
      <c r="F643" s="138"/>
      <c r="G643" s="138"/>
      <c r="H643" s="139"/>
      <c r="I643" s="138"/>
      <c r="J643" s="138"/>
      <c r="K643" s="138"/>
      <c r="L643" s="138"/>
      <c r="M643" s="139"/>
      <c r="N643" s="138"/>
      <c r="O643" s="138"/>
      <c r="P643" s="138"/>
      <c r="Q643" s="139"/>
      <c r="R643" s="139"/>
      <c r="S643" s="212"/>
      <c r="T643" s="138"/>
    </row>
    <row r="644" spans="1:20" ht="14.25" customHeight="1" x14ac:dyDescent="0.3">
      <c r="A644" s="136"/>
      <c r="B644" s="212"/>
      <c r="C644" s="138"/>
      <c r="D644" s="138"/>
      <c r="E644" s="138"/>
      <c r="F644" s="138"/>
      <c r="G644" s="138"/>
      <c r="H644" s="139"/>
      <c r="I644" s="138"/>
      <c r="J644" s="138"/>
      <c r="K644" s="138"/>
      <c r="L644" s="138"/>
      <c r="M644" s="139"/>
      <c r="N644" s="138"/>
      <c r="O644" s="138"/>
      <c r="P644" s="138"/>
      <c r="Q644" s="139"/>
      <c r="R644" s="139"/>
      <c r="S644" s="212"/>
      <c r="T644" s="138"/>
    </row>
    <row r="645" spans="1:20" ht="14.25" customHeight="1" x14ac:dyDescent="0.3">
      <c r="A645" s="136"/>
      <c r="B645" s="212"/>
      <c r="C645" s="138"/>
      <c r="D645" s="138"/>
      <c r="E645" s="138"/>
      <c r="F645" s="138"/>
      <c r="G645" s="138"/>
      <c r="H645" s="139"/>
      <c r="I645" s="138"/>
      <c r="J645" s="138"/>
      <c r="K645" s="138"/>
      <c r="L645" s="138"/>
      <c r="M645" s="139"/>
      <c r="N645" s="138"/>
      <c r="O645" s="138"/>
      <c r="P645" s="138"/>
      <c r="Q645" s="139"/>
      <c r="R645" s="139"/>
      <c r="S645" s="212"/>
      <c r="T645" s="138"/>
    </row>
    <row r="646" spans="1:20" ht="14.25" customHeight="1" x14ac:dyDescent="0.3">
      <c r="A646" s="136"/>
      <c r="B646" s="212"/>
      <c r="C646" s="138"/>
      <c r="D646" s="138"/>
      <c r="E646" s="138"/>
      <c r="F646" s="138"/>
      <c r="G646" s="138"/>
      <c r="H646" s="139"/>
      <c r="I646" s="138"/>
      <c r="J646" s="138"/>
      <c r="K646" s="138"/>
      <c r="L646" s="138"/>
      <c r="M646" s="139"/>
      <c r="N646" s="138"/>
      <c r="O646" s="138"/>
      <c r="P646" s="138"/>
      <c r="Q646" s="139"/>
      <c r="R646" s="139"/>
      <c r="S646" s="212"/>
      <c r="T646" s="138"/>
    </row>
    <row r="647" spans="1:20" ht="14.25" customHeight="1" x14ac:dyDescent="0.3">
      <c r="A647" s="136"/>
      <c r="B647" s="212"/>
      <c r="C647" s="138"/>
      <c r="D647" s="138"/>
      <c r="E647" s="138"/>
      <c r="F647" s="138"/>
      <c r="G647" s="138"/>
      <c r="H647" s="139"/>
      <c r="I647" s="138"/>
      <c r="J647" s="138"/>
      <c r="K647" s="138"/>
      <c r="L647" s="138"/>
      <c r="M647" s="139"/>
      <c r="N647" s="138"/>
      <c r="O647" s="138"/>
      <c r="P647" s="138"/>
      <c r="Q647" s="139"/>
      <c r="R647" s="139"/>
      <c r="S647" s="212"/>
      <c r="T647" s="138"/>
    </row>
    <row r="648" spans="1:20" ht="14.25" customHeight="1" x14ac:dyDescent="0.3">
      <c r="A648" s="136"/>
      <c r="B648" s="212"/>
      <c r="C648" s="138"/>
      <c r="D648" s="138"/>
      <c r="E648" s="138"/>
      <c r="F648" s="138"/>
      <c r="G648" s="138"/>
      <c r="H648" s="139"/>
      <c r="I648" s="138"/>
      <c r="J648" s="138"/>
      <c r="K648" s="138"/>
      <c r="L648" s="138"/>
      <c r="M648" s="139"/>
      <c r="N648" s="138"/>
      <c r="O648" s="138"/>
      <c r="P648" s="138"/>
      <c r="Q648" s="139"/>
      <c r="R648" s="139"/>
      <c r="S648" s="212"/>
      <c r="T648" s="138"/>
    </row>
    <row r="649" spans="1:20" ht="14.25" customHeight="1" x14ac:dyDescent="0.3">
      <c r="A649" s="136"/>
      <c r="B649" s="212"/>
      <c r="C649" s="138"/>
      <c r="D649" s="138"/>
      <c r="E649" s="138"/>
      <c r="F649" s="138"/>
      <c r="G649" s="138"/>
      <c r="H649" s="139"/>
      <c r="I649" s="138"/>
      <c r="J649" s="138"/>
      <c r="K649" s="138"/>
      <c r="L649" s="138"/>
      <c r="M649" s="139"/>
      <c r="N649" s="138"/>
      <c r="O649" s="138"/>
      <c r="P649" s="138"/>
      <c r="Q649" s="139"/>
      <c r="R649" s="139"/>
      <c r="S649" s="212"/>
      <c r="T649" s="138"/>
    </row>
    <row r="650" spans="1:20" ht="14.25" customHeight="1" x14ac:dyDescent="0.3">
      <c r="A650" s="136"/>
      <c r="B650" s="212"/>
      <c r="C650" s="138"/>
      <c r="D650" s="138"/>
      <c r="E650" s="138"/>
      <c r="F650" s="138"/>
      <c r="G650" s="138"/>
      <c r="H650" s="139"/>
      <c r="I650" s="138"/>
      <c r="J650" s="138"/>
      <c r="K650" s="138"/>
      <c r="L650" s="138"/>
      <c r="M650" s="139"/>
      <c r="N650" s="138"/>
      <c r="O650" s="138"/>
      <c r="P650" s="138"/>
      <c r="Q650" s="139"/>
      <c r="R650" s="139"/>
      <c r="S650" s="212"/>
      <c r="T650" s="138"/>
    </row>
    <row r="651" spans="1:20" ht="14.25" customHeight="1" x14ac:dyDescent="0.3">
      <c r="A651" s="136"/>
      <c r="B651" s="212"/>
      <c r="C651" s="138"/>
      <c r="D651" s="138"/>
      <c r="E651" s="138"/>
      <c r="F651" s="138"/>
      <c r="G651" s="138"/>
      <c r="H651" s="139"/>
      <c r="I651" s="138"/>
      <c r="J651" s="138"/>
      <c r="K651" s="138"/>
      <c r="L651" s="138"/>
      <c r="M651" s="139"/>
      <c r="N651" s="138"/>
      <c r="O651" s="138"/>
      <c r="P651" s="138"/>
      <c r="Q651" s="139"/>
      <c r="R651" s="139"/>
      <c r="S651" s="212"/>
      <c r="T651" s="138"/>
    </row>
    <row r="652" spans="1:20" ht="14.25" customHeight="1" x14ac:dyDescent="0.3">
      <c r="A652" s="136"/>
      <c r="B652" s="212"/>
      <c r="C652" s="138"/>
      <c r="D652" s="138"/>
      <c r="E652" s="138"/>
      <c r="F652" s="138"/>
      <c r="G652" s="138"/>
      <c r="H652" s="139"/>
      <c r="I652" s="138"/>
      <c r="J652" s="138"/>
      <c r="K652" s="138"/>
      <c r="L652" s="138"/>
      <c r="M652" s="139"/>
      <c r="N652" s="138"/>
      <c r="O652" s="138"/>
      <c r="P652" s="138"/>
      <c r="Q652" s="139"/>
      <c r="R652" s="139"/>
      <c r="S652" s="212"/>
      <c r="T652" s="138"/>
    </row>
    <row r="653" spans="1:20" ht="14.25" customHeight="1" x14ac:dyDescent="0.3">
      <c r="A653" s="136"/>
      <c r="B653" s="212"/>
      <c r="C653" s="138"/>
      <c r="D653" s="138"/>
      <c r="E653" s="138"/>
      <c r="F653" s="138"/>
      <c r="G653" s="138"/>
      <c r="H653" s="139"/>
      <c r="I653" s="138"/>
      <c r="J653" s="138"/>
      <c r="K653" s="138"/>
      <c r="L653" s="138"/>
      <c r="M653" s="139"/>
      <c r="N653" s="138"/>
      <c r="O653" s="138"/>
      <c r="P653" s="138"/>
      <c r="Q653" s="139"/>
      <c r="R653" s="139"/>
      <c r="S653" s="212"/>
      <c r="T653" s="138"/>
    </row>
    <row r="654" spans="1:20" ht="14.25" customHeight="1" x14ac:dyDescent="0.3">
      <c r="A654" s="136"/>
      <c r="B654" s="212"/>
      <c r="C654" s="138"/>
      <c r="D654" s="138"/>
      <c r="E654" s="138"/>
      <c r="F654" s="138"/>
      <c r="G654" s="138"/>
      <c r="H654" s="139"/>
      <c r="I654" s="138"/>
      <c r="J654" s="138"/>
      <c r="K654" s="138"/>
      <c r="L654" s="138"/>
      <c r="M654" s="139"/>
      <c r="N654" s="138"/>
      <c r="O654" s="138"/>
      <c r="P654" s="138"/>
      <c r="Q654" s="139"/>
      <c r="R654" s="139"/>
      <c r="S654" s="212"/>
      <c r="T654" s="138"/>
    </row>
    <row r="655" spans="1:20" ht="14.25" customHeight="1" x14ac:dyDescent="0.3">
      <c r="A655" s="136"/>
      <c r="B655" s="212"/>
      <c r="C655" s="138"/>
      <c r="D655" s="138"/>
      <c r="E655" s="138"/>
      <c r="F655" s="138"/>
      <c r="G655" s="138"/>
      <c r="H655" s="139"/>
      <c r="I655" s="138"/>
      <c r="J655" s="138"/>
      <c r="K655" s="138"/>
      <c r="L655" s="138"/>
      <c r="M655" s="139"/>
      <c r="N655" s="138"/>
      <c r="O655" s="138"/>
      <c r="P655" s="138"/>
      <c r="Q655" s="139"/>
      <c r="R655" s="139"/>
      <c r="S655" s="212"/>
      <c r="T655" s="138"/>
    </row>
    <row r="656" spans="1:20" ht="14.25" customHeight="1" x14ac:dyDescent="0.3">
      <c r="A656" s="136"/>
      <c r="B656" s="212"/>
      <c r="C656" s="138"/>
      <c r="D656" s="138"/>
      <c r="E656" s="138"/>
      <c r="F656" s="138"/>
      <c r="G656" s="138"/>
      <c r="H656" s="139"/>
      <c r="I656" s="138"/>
      <c r="J656" s="138"/>
      <c r="K656" s="138"/>
      <c r="L656" s="138"/>
      <c r="M656" s="139"/>
      <c r="N656" s="138"/>
      <c r="O656" s="138"/>
      <c r="P656" s="138"/>
      <c r="Q656" s="139"/>
      <c r="R656" s="139"/>
      <c r="S656" s="212"/>
      <c r="T656" s="138"/>
    </row>
    <row r="657" spans="1:20" ht="14.25" customHeight="1" x14ac:dyDescent="0.3">
      <c r="A657" s="136"/>
      <c r="B657" s="212"/>
      <c r="C657" s="138"/>
      <c r="D657" s="138"/>
      <c r="E657" s="138"/>
      <c r="F657" s="138"/>
      <c r="G657" s="138"/>
      <c r="H657" s="139"/>
      <c r="I657" s="138"/>
      <c r="J657" s="138"/>
      <c r="K657" s="138"/>
      <c r="L657" s="138"/>
      <c r="M657" s="139"/>
      <c r="N657" s="138"/>
      <c r="O657" s="138"/>
      <c r="P657" s="138"/>
      <c r="Q657" s="139"/>
      <c r="R657" s="139"/>
      <c r="S657" s="212"/>
      <c r="T657" s="138"/>
    </row>
    <row r="658" spans="1:20" ht="14.25" customHeight="1" x14ac:dyDescent="0.3">
      <c r="A658" s="136"/>
      <c r="B658" s="212"/>
      <c r="C658" s="138"/>
      <c r="D658" s="138"/>
      <c r="E658" s="138"/>
      <c r="F658" s="138"/>
      <c r="G658" s="138"/>
      <c r="H658" s="139"/>
      <c r="I658" s="138"/>
      <c r="J658" s="138"/>
      <c r="K658" s="138"/>
      <c r="L658" s="138"/>
      <c r="M658" s="139"/>
      <c r="N658" s="138"/>
      <c r="O658" s="138"/>
      <c r="P658" s="138"/>
      <c r="Q658" s="139"/>
      <c r="R658" s="139"/>
      <c r="S658" s="212"/>
      <c r="T658" s="138"/>
    </row>
    <row r="659" spans="1:20" ht="14.25" customHeight="1" x14ac:dyDescent="0.3">
      <c r="A659" s="136"/>
      <c r="B659" s="212"/>
      <c r="C659" s="138"/>
      <c r="D659" s="138"/>
      <c r="E659" s="138"/>
      <c r="F659" s="138"/>
      <c r="G659" s="138"/>
      <c r="H659" s="139"/>
      <c r="I659" s="138"/>
      <c r="J659" s="138"/>
      <c r="K659" s="138"/>
      <c r="L659" s="138"/>
      <c r="M659" s="139"/>
      <c r="N659" s="138"/>
      <c r="O659" s="138"/>
      <c r="P659" s="138"/>
      <c r="Q659" s="139"/>
      <c r="R659" s="139"/>
      <c r="S659" s="212"/>
      <c r="T659" s="138"/>
    </row>
    <row r="660" spans="1:20" ht="14.25" customHeight="1" x14ac:dyDescent="0.3">
      <c r="A660" s="136"/>
      <c r="B660" s="212"/>
      <c r="C660" s="138"/>
      <c r="D660" s="138"/>
      <c r="E660" s="138"/>
      <c r="F660" s="138"/>
      <c r="G660" s="138"/>
      <c r="H660" s="139"/>
      <c r="I660" s="138"/>
      <c r="J660" s="138"/>
      <c r="K660" s="138"/>
      <c r="L660" s="138"/>
      <c r="M660" s="139"/>
      <c r="N660" s="138"/>
      <c r="O660" s="138"/>
      <c r="P660" s="138"/>
      <c r="Q660" s="139"/>
      <c r="R660" s="139"/>
      <c r="S660" s="212"/>
      <c r="T660" s="138"/>
    </row>
    <row r="661" spans="1:20" ht="14.25" customHeight="1" x14ac:dyDescent="0.3">
      <c r="A661" s="136"/>
      <c r="B661" s="212"/>
      <c r="C661" s="138"/>
      <c r="D661" s="138"/>
      <c r="E661" s="138"/>
      <c r="F661" s="138"/>
      <c r="G661" s="138"/>
      <c r="H661" s="139"/>
      <c r="I661" s="138"/>
      <c r="J661" s="138"/>
      <c r="K661" s="138"/>
      <c r="L661" s="138"/>
      <c r="M661" s="139"/>
      <c r="N661" s="138"/>
      <c r="O661" s="138"/>
      <c r="P661" s="138"/>
      <c r="Q661" s="139"/>
      <c r="R661" s="139"/>
      <c r="S661" s="212"/>
      <c r="T661" s="138"/>
    </row>
    <row r="662" spans="1:20" ht="14.25" customHeight="1" x14ac:dyDescent="0.3">
      <c r="A662" s="136"/>
      <c r="B662" s="212"/>
      <c r="C662" s="138"/>
      <c r="D662" s="138"/>
      <c r="E662" s="138"/>
      <c r="F662" s="138"/>
      <c r="G662" s="138"/>
      <c r="H662" s="139"/>
      <c r="I662" s="138"/>
      <c r="J662" s="138"/>
      <c r="K662" s="138"/>
      <c r="L662" s="138"/>
      <c r="M662" s="139"/>
      <c r="N662" s="138"/>
      <c r="O662" s="138"/>
      <c r="P662" s="138"/>
      <c r="Q662" s="139"/>
      <c r="R662" s="139"/>
      <c r="S662" s="212"/>
      <c r="T662" s="138"/>
    </row>
    <row r="663" spans="1:20" ht="14.25" customHeight="1" x14ac:dyDescent="0.3">
      <c r="A663" s="136"/>
      <c r="B663" s="212"/>
      <c r="C663" s="138"/>
      <c r="D663" s="138"/>
      <c r="E663" s="138"/>
      <c r="F663" s="138"/>
      <c r="G663" s="138"/>
      <c r="H663" s="139"/>
      <c r="I663" s="138"/>
      <c r="J663" s="138"/>
      <c r="K663" s="138"/>
      <c r="L663" s="138"/>
      <c r="M663" s="139"/>
      <c r="N663" s="138"/>
      <c r="O663" s="138"/>
      <c r="P663" s="138"/>
      <c r="Q663" s="139"/>
      <c r="R663" s="139"/>
      <c r="S663" s="212"/>
      <c r="T663" s="138"/>
    </row>
    <row r="664" spans="1:20" ht="14.25" customHeight="1" x14ac:dyDescent="0.3">
      <c r="A664" s="136"/>
      <c r="B664" s="212"/>
      <c r="C664" s="138"/>
      <c r="D664" s="138"/>
      <c r="E664" s="138"/>
      <c r="F664" s="138"/>
      <c r="G664" s="138"/>
      <c r="H664" s="139"/>
      <c r="I664" s="138"/>
      <c r="J664" s="138"/>
      <c r="K664" s="138"/>
      <c r="L664" s="138"/>
      <c r="M664" s="139"/>
      <c r="N664" s="138"/>
      <c r="O664" s="138"/>
      <c r="P664" s="138"/>
      <c r="Q664" s="139"/>
      <c r="R664" s="139"/>
      <c r="S664" s="212"/>
      <c r="T664" s="138"/>
    </row>
    <row r="665" spans="1:20" ht="14.25" customHeight="1" x14ac:dyDescent="0.3">
      <c r="A665" s="136"/>
      <c r="B665" s="212"/>
      <c r="C665" s="138"/>
      <c r="D665" s="138"/>
      <c r="E665" s="138"/>
      <c r="F665" s="138"/>
      <c r="G665" s="138"/>
      <c r="H665" s="139"/>
      <c r="I665" s="138"/>
      <c r="J665" s="138"/>
      <c r="K665" s="138"/>
      <c r="L665" s="138"/>
      <c r="M665" s="139"/>
      <c r="N665" s="138"/>
      <c r="O665" s="138"/>
      <c r="P665" s="138"/>
      <c r="Q665" s="139"/>
      <c r="R665" s="139"/>
      <c r="S665" s="212"/>
      <c r="T665" s="138"/>
    </row>
    <row r="666" spans="1:20" ht="14.25" customHeight="1" x14ac:dyDescent="0.3">
      <c r="A666" s="136"/>
      <c r="B666" s="212"/>
      <c r="C666" s="138"/>
      <c r="D666" s="138"/>
      <c r="E666" s="138"/>
      <c r="F666" s="138"/>
      <c r="G666" s="138"/>
      <c r="H666" s="139"/>
      <c r="I666" s="138"/>
      <c r="J666" s="138"/>
      <c r="K666" s="138"/>
      <c r="L666" s="138"/>
      <c r="M666" s="139"/>
      <c r="N666" s="138"/>
      <c r="O666" s="138"/>
      <c r="P666" s="138"/>
      <c r="Q666" s="139"/>
      <c r="R666" s="139"/>
      <c r="S666" s="212"/>
      <c r="T666" s="138"/>
    </row>
    <row r="667" spans="1:20" ht="14.25" customHeight="1" x14ac:dyDescent="0.3">
      <c r="A667" s="136"/>
      <c r="B667" s="212"/>
      <c r="C667" s="138"/>
      <c r="D667" s="138"/>
      <c r="E667" s="138"/>
      <c r="F667" s="138"/>
      <c r="G667" s="138"/>
      <c r="H667" s="139"/>
      <c r="I667" s="138"/>
      <c r="J667" s="138"/>
      <c r="K667" s="138"/>
      <c r="L667" s="138"/>
      <c r="M667" s="139"/>
      <c r="N667" s="138"/>
      <c r="O667" s="138"/>
      <c r="P667" s="138"/>
      <c r="Q667" s="139"/>
      <c r="R667" s="139"/>
      <c r="S667" s="212"/>
      <c r="T667" s="138"/>
    </row>
    <row r="668" spans="1:20" ht="14.25" customHeight="1" x14ac:dyDescent="0.3">
      <c r="A668" s="136"/>
      <c r="B668" s="212"/>
      <c r="C668" s="138"/>
      <c r="D668" s="138"/>
      <c r="E668" s="138"/>
      <c r="F668" s="138"/>
      <c r="G668" s="138"/>
      <c r="H668" s="139"/>
      <c r="I668" s="138"/>
      <c r="J668" s="138"/>
      <c r="K668" s="138"/>
      <c r="L668" s="138"/>
      <c r="M668" s="139"/>
      <c r="N668" s="138"/>
      <c r="O668" s="138"/>
      <c r="P668" s="138"/>
      <c r="Q668" s="139"/>
      <c r="R668" s="139"/>
      <c r="S668" s="212"/>
      <c r="T668" s="138"/>
    </row>
    <row r="669" spans="1:20" ht="14.25" customHeight="1" x14ac:dyDescent="0.3">
      <c r="A669" s="136"/>
      <c r="B669" s="212"/>
      <c r="C669" s="138"/>
      <c r="D669" s="138"/>
      <c r="E669" s="138"/>
      <c r="F669" s="138"/>
      <c r="G669" s="138"/>
      <c r="H669" s="139"/>
      <c r="I669" s="138"/>
      <c r="J669" s="138"/>
      <c r="K669" s="138"/>
      <c r="L669" s="138"/>
      <c r="M669" s="139"/>
      <c r="N669" s="138"/>
      <c r="O669" s="138"/>
      <c r="P669" s="138"/>
      <c r="Q669" s="139"/>
      <c r="R669" s="139"/>
      <c r="S669" s="212"/>
      <c r="T669" s="138"/>
    </row>
    <row r="670" spans="1:20" ht="14.25" customHeight="1" x14ac:dyDescent="0.3">
      <c r="A670" s="136"/>
      <c r="B670" s="212"/>
      <c r="C670" s="138"/>
      <c r="D670" s="138"/>
      <c r="E670" s="138"/>
      <c r="F670" s="138"/>
      <c r="G670" s="138"/>
      <c r="H670" s="139"/>
      <c r="I670" s="138"/>
      <c r="J670" s="138"/>
      <c r="K670" s="138"/>
      <c r="L670" s="138"/>
      <c r="M670" s="139"/>
      <c r="N670" s="138"/>
      <c r="O670" s="138"/>
      <c r="P670" s="138"/>
      <c r="Q670" s="139"/>
      <c r="R670" s="139"/>
      <c r="S670" s="212"/>
      <c r="T670" s="138"/>
    </row>
    <row r="671" spans="1:20" ht="14.25" customHeight="1" x14ac:dyDescent="0.3">
      <c r="A671" s="136"/>
      <c r="B671" s="212"/>
      <c r="C671" s="138"/>
      <c r="D671" s="138"/>
      <c r="E671" s="138"/>
      <c r="F671" s="138"/>
      <c r="G671" s="138"/>
      <c r="H671" s="139"/>
      <c r="I671" s="138"/>
      <c r="J671" s="138"/>
      <c r="K671" s="138"/>
      <c r="L671" s="138"/>
      <c r="M671" s="139"/>
      <c r="N671" s="138"/>
      <c r="O671" s="138"/>
      <c r="P671" s="138"/>
      <c r="Q671" s="139"/>
      <c r="R671" s="139"/>
      <c r="S671" s="212"/>
      <c r="T671" s="138"/>
    </row>
    <row r="672" spans="1:20" ht="14.25" customHeight="1" x14ac:dyDescent="0.3">
      <c r="A672" s="136"/>
      <c r="B672" s="212"/>
      <c r="C672" s="138"/>
      <c r="D672" s="138"/>
      <c r="E672" s="138"/>
      <c r="F672" s="138"/>
      <c r="G672" s="138"/>
      <c r="H672" s="139"/>
      <c r="I672" s="138"/>
      <c r="J672" s="138"/>
      <c r="K672" s="138"/>
      <c r="L672" s="138"/>
      <c r="M672" s="139"/>
      <c r="N672" s="138"/>
      <c r="O672" s="138"/>
      <c r="P672" s="138"/>
      <c r="Q672" s="139"/>
      <c r="R672" s="139"/>
      <c r="S672" s="212"/>
      <c r="T672" s="138"/>
    </row>
    <row r="673" spans="1:20" ht="14.25" customHeight="1" x14ac:dyDescent="0.3">
      <c r="A673" s="136"/>
      <c r="B673" s="212"/>
      <c r="C673" s="138"/>
      <c r="D673" s="138"/>
      <c r="E673" s="138"/>
      <c r="F673" s="138"/>
      <c r="G673" s="138"/>
      <c r="H673" s="139"/>
      <c r="I673" s="138"/>
      <c r="J673" s="138"/>
      <c r="K673" s="138"/>
      <c r="L673" s="138"/>
      <c r="M673" s="139"/>
      <c r="N673" s="138"/>
      <c r="O673" s="138"/>
      <c r="P673" s="138"/>
      <c r="Q673" s="139"/>
      <c r="R673" s="139"/>
      <c r="S673" s="212"/>
      <c r="T673" s="138"/>
    </row>
    <row r="674" spans="1:20" ht="14.25" customHeight="1" x14ac:dyDescent="0.3">
      <c r="A674" s="136"/>
      <c r="B674" s="212"/>
      <c r="C674" s="138"/>
      <c r="D674" s="138"/>
      <c r="E674" s="138"/>
      <c r="F674" s="138"/>
      <c r="G674" s="138"/>
      <c r="H674" s="139"/>
      <c r="I674" s="138"/>
      <c r="J674" s="138"/>
      <c r="K674" s="138"/>
      <c r="L674" s="138"/>
      <c r="M674" s="139"/>
      <c r="N674" s="138"/>
      <c r="O674" s="138"/>
      <c r="P674" s="138"/>
      <c r="Q674" s="139"/>
      <c r="R674" s="139"/>
      <c r="S674" s="212"/>
      <c r="T674" s="138"/>
    </row>
    <row r="675" spans="1:20" ht="14.25" customHeight="1" x14ac:dyDescent="0.3">
      <c r="A675" s="136"/>
      <c r="B675" s="212"/>
      <c r="C675" s="138"/>
      <c r="D675" s="138"/>
      <c r="E675" s="138"/>
      <c r="F675" s="138"/>
      <c r="G675" s="138"/>
      <c r="H675" s="139"/>
      <c r="I675" s="138"/>
      <c r="J675" s="138"/>
      <c r="K675" s="138"/>
      <c r="L675" s="138"/>
      <c r="M675" s="139"/>
      <c r="N675" s="138"/>
      <c r="O675" s="138"/>
      <c r="P675" s="138"/>
      <c r="Q675" s="139"/>
      <c r="R675" s="139"/>
      <c r="S675" s="212"/>
      <c r="T675" s="138"/>
    </row>
    <row r="676" spans="1:20" ht="14.25" customHeight="1" x14ac:dyDescent="0.3">
      <c r="A676" s="136"/>
      <c r="B676" s="212"/>
      <c r="C676" s="138"/>
      <c r="D676" s="138"/>
      <c r="E676" s="138"/>
      <c r="F676" s="138"/>
      <c r="G676" s="138"/>
      <c r="H676" s="139"/>
      <c r="I676" s="138"/>
      <c r="J676" s="138"/>
      <c r="K676" s="138"/>
      <c r="L676" s="138"/>
      <c r="M676" s="139"/>
      <c r="N676" s="138"/>
      <c r="O676" s="138"/>
      <c r="P676" s="138"/>
      <c r="Q676" s="139"/>
      <c r="R676" s="139"/>
      <c r="S676" s="212"/>
      <c r="T676" s="138"/>
    </row>
    <row r="677" spans="1:20" ht="14.25" customHeight="1" x14ac:dyDescent="0.3">
      <c r="A677" s="136"/>
      <c r="B677" s="212"/>
      <c r="C677" s="138"/>
      <c r="D677" s="138"/>
      <c r="E677" s="138"/>
      <c r="F677" s="138"/>
      <c r="G677" s="138"/>
      <c r="H677" s="139"/>
      <c r="I677" s="138"/>
      <c r="J677" s="138"/>
      <c r="K677" s="138"/>
      <c r="L677" s="138"/>
      <c r="M677" s="139"/>
      <c r="N677" s="138"/>
      <c r="O677" s="138"/>
      <c r="P677" s="138"/>
      <c r="Q677" s="139"/>
      <c r="R677" s="139"/>
      <c r="S677" s="212"/>
      <c r="T677" s="138"/>
    </row>
    <row r="678" spans="1:20" ht="14.25" customHeight="1" x14ac:dyDescent="0.3">
      <c r="A678" s="136"/>
      <c r="B678" s="212"/>
      <c r="C678" s="138"/>
      <c r="D678" s="138"/>
      <c r="E678" s="138"/>
      <c r="F678" s="138"/>
      <c r="G678" s="138"/>
      <c r="H678" s="139"/>
      <c r="I678" s="138"/>
      <c r="J678" s="138"/>
      <c r="K678" s="138"/>
      <c r="L678" s="138"/>
      <c r="M678" s="139"/>
      <c r="N678" s="138"/>
      <c r="O678" s="138"/>
      <c r="P678" s="138"/>
      <c r="Q678" s="139"/>
      <c r="R678" s="139"/>
      <c r="S678" s="212"/>
      <c r="T678" s="138"/>
    </row>
    <row r="679" spans="1:20" ht="14.25" customHeight="1" x14ac:dyDescent="0.3">
      <c r="A679" s="136"/>
      <c r="B679" s="212"/>
      <c r="C679" s="138"/>
      <c r="D679" s="138"/>
      <c r="E679" s="138"/>
      <c r="F679" s="138"/>
      <c r="G679" s="138"/>
      <c r="H679" s="139"/>
      <c r="I679" s="138"/>
      <c r="J679" s="138"/>
      <c r="K679" s="138"/>
      <c r="L679" s="138"/>
      <c r="M679" s="139"/>
      <c r="N679" s="138"/>
      <c r="O679" s="138"/>
      <c r="P679" s="138"/>
      <c r="Q679" s="139"/>
      <c r="R679" s="139"/>
      <c r="S679" s="212"/>
      <c r="T679" s="138"/>
    </row>
    <row r="680" spans="1:20" ht="14.25" customHeight="1" x14ac:dyDescent="0.3">
      <c r="A680" s="136"/>
      <c r="B680" s="212"/>
      <c r="C680" s="138"/>
      <c r="D680" s="138"/>
      <c r="E680" s="138"/>
      <c r="F680" s="138"/>
      <c r="G680" s="138"/>
      <c r="H680" s="139"/>
      <c r="I680" s="138"/>
      <c r="J680" s="138"/>
      <c r="K680" s="138"/>
      <c r="L680" s="138"/>
      <c r="M680" s="139"/>
      <c r="N680" s="138"/>
      <c r="O680" s="138"/>
      <c r="P680" s="138"/>
      <c r="Q680" s="139"/>
      <c r="R680" s="139"/>
      <c r="S680" s="212"/>
      <c r="T680" s="138"/>
    </row>
    <row r="681" spans="1:20" ht="14.25" customHeight="1" x14ac:dyDescent="0.3">
      <c r="A681" s="136"/>
      <c r="B681" s="212"/>
      <c r="C681" s="138"/>
      <c r="D681" s="138"/>
      <c r="E681" s="138"/>
      <c r="F681" s="138"/>
      <c r="G681" s="138"/>
      <c r="H681" s="139"/>
      <c r="I681" s="138"/>
      <c r="J681" s="138"/>
      <c r="K681" s="138"/>
      <c r="L681" s="138"/>
      <c r="M681" s="139"/>
      <c r="N681" s="138"/>
      <c r="O681" s="138"/>
      <c r="P681" s="138"/>
      <c r="Q681" s="139"/>
      <c r="R681" s="139"/>
      <c r="S681" s="212"/>
      <c r="T681" s="138"/>
    </row>
    <row r="682" spans="1:20" ht="14.25" customHeight="1" x14ac:dyDescent="0.3">
      <c r="A682" s="136"/>
      <c r="B682" s="212"/>
      <c r="C682" s="138"/>
      <c r="D682" s="138"/>
      <c r="E682" s="138"/>
      <c r="F682" s="138"/>
      <c r="G682" s="138"/>
      <c r="H682" s="139"/>
      <c r="I682" s="138"/>
      <c r="J682" s="138"/>
      <c r="K682" s="138"/>
      <c r="L682" s="138"/>
      <c r="M682" s="139"/>
      <c r="N682" s="138"/>
      <c r="O682" s="138"/>
      <c r="P682" s="138"/>
      <c r="Q682" s="139"/>
      <c r="R682" s="139"/>
      <c r="S682" s="212"/>
      <c r="T682" s="138"/>
    </row>
    <row r="683" spans="1:20" ht="14.25" customHeight="1" x14ac:dyDescent="0.3">
      <c r="A683" s="136"/>
      <c r="B683" s="212"/>
      <c r="C683" s="138"/>
      <c r="D683" s="138"/>
      <c r="E683" s="138"/>
      <c r="F683" s="138"/>
      <c r="G683" s="138"/>
      <c r="H683" s="139"/>
      <c r="I683" s="138"/>
      <c r="J683" s="138"/>
      <c r="K683" s="138"/>
      <c r="L683" s="138"/>
      <c r="M683" s="139"/>
      <c r="N683" s="138"/>
      <c r="O683" s="138"/>
      <c r="P683" s="138"/>
      <c r="Q683" s="139"/>
      <c r="R683" s="139"/>
      <c r="S683" s="212"/>
      <c r="T683" s="138"/>
    </row>
    <row r="684" spans="1:20" ht="14.25" customHeight="1" x14ac:dyDescent="0.3">
      <c r="A684" s="136"/>
      <c r="B684" s="212"/>
      <c r="C684" s="138"/>
      <c r="D684" s="138"/>
      <c r="E684" s="138"/>
      <c r="F684" s="138"/>
      <c r="G684" s="138"/>
      <c r="H684" s="139"/>
      <c r="I684" s="138"/>
      <c r="J684" s="138"/>
      <c r="K684" s="138"/>
      <c r="L684" s="138"/>
      <c r="M684" s="139"/>
      <c r="N684" s="138"/>
      <c r="O684" s="138"/>
      <c r="P684" s="138"/>
      <c r="Q684" s="139"/>
      <c r="R684" s="139"/>
      <c r="S684" s="212"/>
      <c r="T684" s="138"/>
    </row>
    <row r="685" spans="1:20" ht="14.25" customHeight="1" x14ac:dyDescent="0.3">
      <c r="A685" s="136"/>
      <c r="B685" s="212"/>
      <c r="C685" s="138"/>
      <c r="D685" s="138"/>
      <c r="E685" s="138"/>
      <c r="F685" s="138"/>
      <c r="G685" s="138"/>
      <c r="H685" s="139"/>
      <c r="I685" s="138"/>
      <c r="J685" s="138"/>
      <c r="K685" s="138"/>
      <c r="L685" s="138"/>
      <c r="M685" s="139"/>
      <c r="N685" s="138"/>
      <c r="O685" s="138"/>
      <c r="P685" s="138"/>
      <c r="Q685" s="139"/>
      <c r="R685" s="139"/>
      <c r="S685" s="212"/>
      <c r="T685" s="138"/>
    </row>
    <row r="686" spans="1:20" ht="14.25" customHeight="1" x14ac:dyDescent="0.3">
      <c r="A686" s="136"/>
      <c r="B686" s="212"/>
      <c r="C686" s="138"/>
      <c r="D686" s="138"/>
      <c r="E686" s="138"/>
      <c r="F686" s="138"/>
      <c r="G686" s="138"/>
      <c r="H686" s="139"/>
      <c r="I686" s="138"/>
      <c r="J686" s="138"/>
      <c r="K686" s="138"/>
      <c r="L686" s="138"/>
      <c r="M686" s="139"/>
      <c r="N686" s="138"/>
      <c r="O686" s="138"/>
      <c r="P686" s="138"/>
      <c r="Q686" s="139"/>
      <c r="R686" s="139"/>
      <c r="S686" s="212"/>
      <c r="T686" s="138"/>
    </row>
    <row r="687" spans="1:20" ht="14.25" customHeight="1" x14ac:dyDescent="0.3">
      <c r="A687" s="136"/>
      <c r="B687" s="212"/>
      <c r="C687" s="138"/>
      <c r="D687" s="138"/>
      <c r="E687" s="138"/>
      <c r="F687" s="138"/>
      <c r="G687" s="138"/>
      <c r="H687" s="139"/>
      <c r="I687" s="138"/>
      <c r="J687" s="138"/>
      <c r="K687" s="138"/>
      <c r="L687" s="138"/>
      <c r="M687" s="139"/>
      <c r="N687" s="138"/>
      <c r="O687" s="138"/>
      <c r="P687" s="138"/>
      <c r="Q687" s="139"/>
      <c r="R687" s="139"/>
      <c r="S687" s="212"/>
      <c r="T687" s="138"/>
    </row>
    <row r="688" spans="1:20" ht="14.25" customHeight="1" x14ac:dyDescent="0.3">
      <c r="A688" s="136"/>
      <c r="B688" s="212"/>
      <c r="C688" s="138"/>
      <c r="D688" s="138"/>
      <c r="E688" s="138"/>
      <c r="F688" s="138"/>
      <c r="G688" s="138"/>
      <c r="H688" s="139"/>
      <c r="I688" s="138"/>
      <c r="J688" s="138"/>
      <c r="K688" s="138"/>
      <c r="L688" s="138"/>
      <c r="M688" s="139"/>
      <c r="N688" s="138"/>
      <c r="O688" s="138"/>
      <c r="P688" s="138"/>
      <c r="Q688" s="139"/>
      <c r="R688" s="139"/>
      <c r="S688" s="212"/>
      <c r="T688" s="138"/>
    </row>
    <row r="689" spans="1:20" ht="14.25" customHeight="1" x14ac:dyDescent="0.3">
      <c r="A689" s="136"/>
      <c r="B689" s="212"/>
      <c r="C689" s="138"/>
      <c r="D689" s="138"/>
      <c r="E689" s="138"/>
      <c r="F689" s="138"/>
      <c r="G689" s="138"/>
      <c r="H689" s="139"/>
      <c r="I689" s="138"/>
      <c r="J689" s="138"/>
      <c r="K689" s="138"/>
      <c r="L689" s="138"/>
      <c r="M689" s="139"/>
      <c r="N689" s="138"/>
      <c r="O689" s="138"/>
      <c r="P689" s="138"/>
      <c r="Q689" s="139"/>
      <c r="R689" s="139"/>
      <c r="S689" s="212"/>
      <c r="T689" s="138"/>
    </row>
    <row r="690" spans="1:20" ht="14.25" customHeight="1" x14ac:dyDescent="0.3">
      <c r="A690" s="136"/>
      <c r="B690" s="212"/>
      <c r="C690" s="138"/>
      <c r="D690" s="138"/>
      <c r="E690" s="138"/>
      <c r="F690" s="138"/>
      <c r="G690" s="138"/>
      <c r="H690" s="139"/>
      <c r="I690" s="138"/>
      <c r="J690" s="138"/>
      <c r="K690" s="138"/>
      <c r="L690" s="138"/>
      <c r="M690" s="139"/>
      <c r="N690" s="138"/>
      <c r="O690" s="138"/>
      <c r="P690" s="138"/>
      <c r="Q690" s="139"/>
      <c r="R690" s="139"/>
      <c r="S690" s="212"/>
      <c r="T690" s="138"/>
    </row>
    <row r="691" spans="1:20" ht="14.25" customHeight="1" x14ac:dyDescent="0.3">
      <c r="A691" s="136"/>
      <c r="B691" s="212"/>
      <c r="C691" s="138"/>
      <c r="D691" s="138"/>
      <c r="E691" s="138"/>
      <c r="F691" s="138"/>
      <c r="G691" s="138"/>
      <c r="H691" s="139"/>
      <c r="I691" s="138"/>
      <c r="J691" s="138"/>
      <c r="K691" s="138"/>
      <c r="L691" s="138"/>
      <c r="M691" s="139"/>
      <c r="N691" s="138"/>
      <c r="O691" s="138"/>
      <c r="P691" s="138"/>
      <c r="Q691" s="139"/>
      <c r="R691" s="139"/>
      <c r="S691" s="212"/>
      <c r="T691" s="138"/>
    </row>
    <row r="692" spans="1:20" ht="14.25" customHeight="1" x14ac:dyDescent="0.3">
      <c r="A692" s="136"/>
      <c r="B692" s="212"/>
      <c r="C692" s="138"/>
      <c r="D692" s="138"/>
      <c r="E692" s="138"/>
      <c r="F692" s="138"/>
      <c r="G692" s="138"/>
      <c r="H692" s="139"/>
      <c r="I692" s="138"/>
      <c r="J692" s="138"/>
      <c r="K692" s="138"/>
      <c r="L692" s="138"/>
      <c r="M692" s="139"/>
      <c r="N692" s="138"/>
      <c r="O692" s="138"/>
      <c r="P692" s="138"/>
      <c r="Q692" s="139"/>
      <c r="R692" s="139"/>
      <c r="S692" s="212"/>
      <c r="T692" s="138"/>
    </row>
    <row r="693" spans="1:20" ht="14.25" customHeight="1" x14ac:dyDescent="0.3">
      <c r="A693" s="136"/>
      <c r="B693" s="212"/>
      <c r="C693" s="138"/>
      <c r="D693" s="138"/>
      <c r="E693" s="138"/>
      <c r="F693" s="138"/>
      <c r="G693" s="138"/>
      <c r="H693" s="139"/>
      <c r="I693" s="138"/>
      <c r="J693" s="138"/>
      <c r="K693" s="138"/>
      <c r="L693" s="138"/>
      <c r="M693" s="139"/>
      <c r="N693" s="138"/>
      <c r="O693" s="138"/>
      <c r="P693" s="138"/>
      <c r="Q693" s="139"/>
      <c r="R693" s="139"/>
      <c r="S693" s="212"/>
      <c r="T693" s="138"/>
    </row>
    <row r="694" spans="1:20" ht="14.25" customHeight="1" x14ac:dyDescent="0.3">
      <c r="A694" s="136"/>
      <c r="B694" s="212"/>
      <c r="C694" s="138"/>
      <c r="D694" s="138"/>
      <c r="E694" s="138"/>
      <c r="F694" s="138"/>
      <c r="G694" s="138"/>
      <c r="H694" s="139"/>
      <c r="I694" s="138"/>
      <c r="J694" s="138"/>
      <c r="K694" s="138"/>
      <c r="L694" s="138"/>
      <c r="M694" s="139"/>
      <c r="N694" s="138"/>
      <c r="O694" s="138"/>
      <c r="P694" s="138"/>
      <c r="Q694" s="139"/>
      <c r="R694" s="139"/>
      <c r="S694" s="212"/>
      <c r="T694" s="138"/>
    </row>
    <row r="695" spans="1:20" ht="14.25" customHeight="1" x14ac:dyDescent="0.3">
      <c r="A695" s="136"/>
      <c r="B695" s="212"/>
      <c r="C695" s="138"/>
      <c r="D695" s="138"/>
      <c r="E695" s="138"/>
      <c r="F695" s="138"/>
      <c r="G695" s="138"/>
      <c r="H695" s="139"/>
      <c r="I695" s="138"/>
      <c r="J695" s="138"/>
      <c r="K695" s="138"/>
      <c r="L695" s="138"/>
      <c r="M695" s="139"/>
      <c r="N695" s="138"/>
      <c r="O695" s="138"/>
      <c r="P695" s="138"/>
      <c r="Q695" s="139"/>
      <c r="R695" s="139"/>
      <c r="S695" s="212"/>
      <c r="T695" s="138"/>
    </row>
    <row r="696" spans="1:20" ht="14.25" customHeight="1" x14ac:dyDescent="0.3">
      <c r="A696" s="136"/>
      <c r="B696" s="212"/>
      <c r="C696" s="138"/>
      <c r="D696" s="138"/>
      <c r="E696" s="138"/>
      <c r="F696" s="138"/>
      <c r="G696" s="138"/>
      <c r="H696" s="139"/>
      <c r="I696" s="138"/>
      <c r="J696" s="138"/>
      <c r="K696" s="138"/>
      <c r="L696" s="138"/>
      <c r="M696" s="139"/>
      <c r="N696" s="138"/>
      <c r="O696" s="138"/>
      <c r="P696" s="138"/>
      <c r="Q696" s="139"/>
      <c r="R696" s="139"/>
      <c r="S696" s="212"/>
      <c r="T696" s="138"/>
    </row>
    <row r="697" spans="1:20" ht="14.25" customHeight="1" x14ac:dyDescent="0.3">
      <c r="A697" s="136"/>
      <c r="B697" s="212"/>
      <c r="C697" s="138"/>
      <c r="D697" s="138"/>
      <c r="E697" s="138"/>
      <c r="F697" s="138"/>
      <c r="G697" s="138"/>
      <c r="H697" s="139"/>
      <c r="I697" s="138"/>
      <c r="J697" s="138"/>
      <c r="K697" s="138"/>
      <c r="L697" s="138"/>
      <c r="M697" s="139"/>
      <c r="N697" s="138"/>
      <c r="O697" s="138"/>
      <c r="P697" s="138"/>
      <c r="Q697" s="139"/>
      <c r="R697" s="139"/>
      <c r="S697" s="212"/>
      <c r="T697" s="138"/>
    </row>
    <row r="698" spans="1:20" ht="14.25" customHeight="1" x14ac:dyDescent="0.3">
      <c r="A698" s="136"/>
      <c r="B698" s="212"/>
      <c r="C698" s="138"/>
      <c r="D698" s="138"/>
      <c r="E698" s="138"/>
      <c r="F698" s="138"/>
      <c r="G698" s="138"/>
      <c r="H698" s="139"/>
      <c r="I698" s="138"/>
      <c r="J698" s="138"/>
      <c r="K698" s="138"/>
      <c r="L698" s="138"/>
      <c r="M698" s="139"/>
      <c r="N698" s="138"/>
      <c r="O698" s="138"/>
      <c r="P698" s="138"/>
      <c r="Q698" s="139"/>
      <c r="R698" s="139"/>
      <c r="S698" s="212"/>
      <c r="T698" s="138"/>
    </row>
    <row r="699" spans="1:20" ht="14.25" customHeight="1" x14ac:dyDescent="0.3">
      <c r="A699" s="136"/>
      <c r="B699" s="212"/>
      <c r="C699" s="138"/>
      <c r="D699" s="138"/>
      <c r="E699" s="138"/>
      <c r="F699" s="138"/>
      <c r="G699" s="138"/>
      <c r="H699" s="139"/>
      <c r="I699" s="138"/>
      <c r="J699" s="138"/>
      <c r="K699" s="138"/>
      <c r="L699" s="138"/>
      <c r="M699" s="139"/>
      <c r="N699" s="138"/>
      <c r="O699" s="138"/>
      <c r="P699" s="138"/>
      <c r="Q699" s="139"/>
      <c r="R699" s="139"/>
      <c r="S699" s="212"/>
      <c r="T699" s="138"/>
    </row>
    <row r="700" spans="1:20" ht="14.25" customHeight="1" x14ac:dyDescent="0.3">
      <c r="A700" s="136"/>
      <c r="B700" s="212"/>
      <c r="C700" s="138"/>
      <c r="D700" s="138"/>
      <c r="E700" s="138"/>
      <c r="F700" s="138"/>
      <c r="G700" s="138"/>
      <c r="H700" s="139"/>
      <c r="I700" s="138"/>
      <c r="J700" s="138"/>
      <c r="K700" s="138"/>
      <c r="L700" s="138"/>
      <c r="M700" s="139"/>
      <c r="N700" s="138"/>
      <c r="O700" s="138"/>
      <c r="P700" s="138"/>
      <c r="Q700" s="139"/>
      <c r="R700" s="139"/>
      <c r="S700" s="212"/>
      <c r="T700" s="138"/>
    </row>
    <row r="701" spans="1:20" ht="14.25" customHeight="1" x14ac:dyDescent="0.3">
      <c r="A701" s="136"/>
      <c r="B701" s="212"/>
      <c r="C701" s="138"/>
      <c r="D701" s="138"/>
      <c r="E701" s="138"/>
      <c r="F701" s="138"/>
      <c r="G701" s="138"/>
      <c r="H701" s="139"/>
      <c r="I701" s="138"/>
      <c r="J701" s="138"/>
      <c r="K701" s="138"/>
      <c r="L701" s="138"/>
      <c r="M701" s="139"/>
      <c r="N701" s="138"/>
      <c r="O701" s="138"/>
      <c r="P701" s="138"/>
      <c r="Q701" s="139"/>
      <c r="R701" s="139"/>
      <c r="S701" s="212"/>
      <c r="T701" s="138"/>
    </row>
    <row r="702" spans="1:20" ht="14.25" customHeight="1" x14ac:dyDescent="0.3">
      <c r="A702" s="136"/>
      <c r="B702" s="212"/>
      <c r="C702" s="138"/>
      <c r="D702" s="138"/>
      <c r="E702" s="138"/>
      <c r="F702" s="138"/>
      <c r="G702" s="138"/>
      <c r="H702" s="139"/>
      <c r="I702" s="138"/>
      <c r="J702" s="138"/>
      <c r="K702" s="138"/>
      <c r="L702" s="138"/>
      <c r="M702" s="139"/>
      <c r="N702" s="138"/>
      <c r="O702" s="138"/>
      <c r="P702" s="138"/>
      <c r="Q702" s="139"/>
      <c r="R702" s="139"/>
      <c r="S702" s="212"/>
      <c r="T702" s="138"/>
    </row>
    <row r="703" spans="1:20" ht="14.25" customHeight="1" x14ac:dyDescent="0.3">
      <c r="A703" s="136"/>
      <c r="B703" s="212"/>
      <c r="C703" s="138"/>
      <c r="D703" s="138"/>
      <c r="E703" s="138"/>
      <c r="F703" s="138"/>
      <c r="G703" s="138"/>
      <c r="H703" s="139"/>
      <c r="I703" s="138"/>
      <c r="J703" s="138"/>
      <c r="K703" s="138"/>
      <c r="L703" s="138"/>
      <c r="M703" s="139"/>
      <c r="N703" s="138"/>
      <c r="O703" s="138"/>
      <c r="P703" s="138"/>
      <c r="Q703" s="139"/>
      <c r="R703" s="139"/>
      <c r="S703" s="212"/>
      <c r="T703" s="138"/>
    </row>
    <row r="704" spans="1:20" ht="14.25" customHeight="1" x14ac:dyDescent="0.3">
      <c r="A704" s="136"/>
      <c r="B704" s="212"/>
      <c r="C704" s="138"/>
      <c r="D704" s="138"/>
      <c r="E704" s="138"/>
      <c r="F704" s="138"/>
      <c r="G704" s="138"/>
      <c r="H704" s="139"/>
      <c r="I704" s="138"/>
      <c r="J704" s="138"/>
      <c r="K704" s="138"/>
      <c r="L704" s="138"/>
      <c r="M704" s="139"/>
      <c r="N704" s="138"/>
      <c r="O704" s="138"/>
      <c r="P704" s="138"/>
      <c r="Q704" s="139"/>
      <c r="R704" s="139"/>
      <c r="S704" s="212"/>
      <c r="T704" s="138"/>
    </row>
    <row r="705" spans="1:20" ht="14.25" customHeight="1" x14ac:dyDescent="0.3">
      <c r="A705" s="136"/>
      <c r="B705" s="212"/>
      <c r="C705" s="138"/>
      <c r="D705" s="138"/>
      <c r="E705" s="138"/>
      <c r="F705" s="138"/>
      <c r="G705" s="138"/>
      <c r="H705" s="139"/>
      <c r="I705" s="138"/>
      <c r="J705" s="138"/>
      <c r="K705" s="138"/>
      <c r="L705" s="138"/>
      <c r="M705" s="139"/>
      <c r="N705" s="138"/>
      <c r="O705" s="138"/>
      <c r="P705" s="138"/>
      <c r="Q705" s="139"/>
      <c r="R705" s="139"/>
      <c r="S705" s="212"/>
      <c r="T705" s="138"/>
    </row>
    <row r="706" spans="1:20" ht="14.25" customHeight="1" x14ac:dyDescent="0.3">
      <c r="A706" s="136"/>
      <c r="B706" s="212"/>
      <c r="C706" s="138"/>
      <c r="D706" s="138"/>
      <c r="E706" s="138"/>
      <c r="F706" s="138"/>
      <c r="G706" s="138"/>
      <c r="H706" s="139"/>
      <c r="I706" s="138"/>
      <c r="J706" s="138"/>
      <c r="K706" s="138"/>
      <c r="L706" s="138"/>
      <c r="M706" s="139"/>
      <c r="N706" s="138"/>
      <c r="O706" s="138"/>
      <c r="P706" s="138"/>
      <c r="Q706" s="139"/>
      <c r="R706" s="139"/>
      <c r="S706" s="212"/>
      <c r="T706" s="138"/>
    </row>
    <row r="707" spans="1:20" ht="14.25" customHeight="1" x14ac:dyDescent="0.3">
      <c r="A707" s="136"/>
      <c r="B707" s="212"/>
      <c r="C707" s="138"/>
      <c r="D707" s="138"/>
      <c r="E707" s="138"/>
      <c r="F707" s="138"/>
      <c r="G707" s="138"/>
      <c r="H707" s="139"/>
      <c r="I707" s="138"/>
      <c r="J707" s="138"/>
      <c r="K707" s="138"/>
      <c r="L707" s="138"/>
      <c r="M707" s="139"/>
      <c r="N707" s="138"/>
      <c r="O707" s="138"/>
      <c r="P707" s="138"/>
      <c r="Q707" s="139"/>
      <c r="R707" s="139"/>
      <c r="S707" s="212"/>
      <c r="T707" s="138"/>
    </row>
    <row r="708" spans="1:20" ht="14.25" customHeight="1" x14ac:dyDescent="0.3">
      <c r="A708" s="136"/>
      <c r="B708" s="212"/>
      <c r="C708" s="138"/>
      <c r="D708" s="138"/>
      <c r="E708" s="138"/>
      <c r="F708" s="138"/>
      <c r="G708" s="138"/>
      <c r="H708" s="139"/>
      <c r="I708" s="138"/>
      <c r="J708" s="138"/>
      <c r="K708" s="138"/>
      <c r="L708" s="138"/>
      <c r="M708" s="139"/>
      <c r="N708" s="138"/>
      <c r="O708" s="138"/>
      <c r="P708" s="138"/>
      <c r="Q708" s="139"/>
      <c r="R708" s="139"/>
      <c r="S708" s="212"/>
      <c r="T708" s="138"/>
    </row>
    <row r="709" spans="1:20" ht="14.25" customHeight="1" x14ac:dyDescent="0.3">
      <c r="A709" s="136"/>
      <c r="B709" s="212"/>
      <c r="C709" s="138"/>
      <c r="D709" s="138"/>
      <c r="E709" s="138"/>
      <c r="F709" s="138"/>
      <c r="G709" s="138"/>
      <c r="H709" s="139"/>
      <c r="I709" s="138"/>
      <c r="J709" s="138"/>
      <c r="K709" s="138"/>
      <c r="L709" s="138"/>
      <c r="M709" s="139"/>
      <c r="N709" s="138"/>
      <c r="O709" s="138"/>
      <c r="P709" s="138"/>
      <c r="Q709" s="139"/>
      <c r="R709" s="139"/>
      <c r="S709" s="212"/>
      <c r="T709" s="138"/>
    </row>
    <row r="710" spans="1:20" ht="14.25" customHeight="1" x14ac:dyDescent="0.3">
      <c r="A710" s="136"/>
      <c r="B710" s="212"/>
      <c r="C710" s="138"/>
      <c r="D710" s="138"/>
      <c r="E710" s="138"/>
      <c r="F710" s="138"/>
      <c r="G710" s="138"/>
      <c r="H710" s="139"/>
      <c r="I710" s="138"/>
      <c r="J710" s="138"/>
      <c r="K710" s="138"/>
      <c r="L710" s="138"/>
      <c r="M710" s="139"/>
      <c r="N710" s="138"/>
      <c r="O710" s="138"/>
      <c r="P710" s="138"/>
      <c r="Q710" s="139"/>
      <c r="R710" s="139"/>
      <c r="S710" s="212"/>
      <c r="T710" s="138"/>
    </row>
    <row r="711" spans="1:20" ht="14.25" customHeight="1" x14ac:dyDescent="0.3">
      <c r="A711" s="136"/>
      <c r="B711" s="212"/>
      <c r="C711" s="138"/>
      <c r="D711" s="138"/>
      <c r="E711" s="138"/>
      <c r="F711" s="138"/>
      <c r="G711" s="138"/>
      <c r="H711" s="139"/>
      <c r="I711" s="138"/>
      <c r="J711" s="138"/>
      <c r="K711" s="138"/>
      <c r="L711" s="138"/>
      <c r="M711" s="139"/>
      <c r="N711" s="138"/>
      <c r="O711" s="138"/>
      <c r="P711" s="138"/>
      <c r="Q711" s="139"/>
      <c r="R711" s="139"/>
      <c r="S711" s="212"/>
      <c r="T711" s="138"/>
    </row>
    <row r="712" spans="1:20" ht="14.25" customHeight="1" x14ac:dyDescent="0.3">
      <c r="A712" s="136"/>
      <c r="B712" s="212"/>
      <c r="C712" s="138"/>
      <c r="D712" s="138"/>
      <c r="E712" s="138"/>
      <c r="F712" s="138"/>
      <c r="G712" s="138"/>
      <c r="H712" s="139"/>
      <c r="I712" s="138"/>
      <c r="J712" s="138"/>
      <c r="K712" s="138"/>
      <c r="L712" s="138"/>
      <c r="M712" s="139"/>
      <c r="N712" s="138"/>
      <c r="O712" s="138"/>
      <c r="P712" s="138"/>
      <c r="Q712" s="139"/>
      <c r="R712" s="139"/>
      <c r="S712" s="212"/>
      <c r="T712" s="138"/>
    </row>
    <row r="713" spans="1:20" ht="14.25" customHeight="1" x14ac:dyDescent="0.3">
      <c r="A713" s="136"/>
      <c r="B713" s="212"/>
      <c r="C713" s="138"/>
      <c r="D713" s="138"/>
      <c r="E713" s="138"/>
      <c r="F713" s="138"/>
      <c r="G713" s="138"/>
      <c r="H713" s="139"/>
      <c r="I713" s="138"/>
      <c r="J713" s="138"/>
      <c r="K713" s="138"/>
      <c r="L713" s="138"/>
      <c r="M713" s="139"/>
      <c r="N713" s="138"/>
      <c r="O713" s="138"/>
      <c r="P713" s="138"/>
      <c r="Q713" s="139"/>
      <c r="R713" s="139"/>
      <c r="S713" s="212"/>
      <c r="T713" s="138"/>
    </row>
    <row r="714" spans="1:20" ht="14.25" customHeight="1" x14ac:dyDescent="0.3">
      <c r="A714" s="136"/>
      <c r="B714" s="212"/>
      <c r="C714" s="138"/>
      <c r="D714" s="138"/>
      <c r="E714" s="138"/>
      <c r="F714" s="138"/>
      <c r="G714" s="138"/>
      <c r="H714" s="139"/>
      <c r="I714" s="138"/>
      <c r="J714" s="138"/>
      <c r="K714" s="138"/>
      <c r="L714" s="138"/>
      <c r="M714" s="139"/>
      <c r="N714" s="138"/>
      <c r="O714" s="138"/>
      <c r="P714" s="138"/>
      <c r="Q714" s="139"/>
      <c r="R714" s="139"/>
      <c r="S714" s="212"/>
      <c r="T714" s="138"/>
    </row>
    <row r="715" spans="1:20" ht="14.25" customHeight="1" x14ac:dyDescent="0.3">
      <c r="A715" s="136"/>
      <c r="B715" s="212"/>
      <c r="C715" s="138"/>
      <c r="D715" s="138"/>
      <c r="E715" s="138"/>
      <c r="F715" s="138"/>
      <c r="G715" s="138"/>
      <c r="H715" s="139"/>
      <c r="I715" s="138"/>
      <c r="J715" s="138"/>
      <c r="K715" s="138"/>
      <c r="L715" s="138"/>
      <c r="M715" s="139"/>
      <c r="N715" s="138"/>
      <c r="O715" s="138"/>
      <c r="P715" s="138"/>
      <c r="Q715" s="139"/>
      <c r="R715" s="139"/>
      <c r="S715" s="212"/>
      <c r="T715" s="138"/>
    </row>
    <row r="716" spans="1:20" ht="14.25" customHeight="1" x14ac:dyDescent="0.3">
      <c r="A716" s="136"/>
      <c r="B716" s="212"/>
      <c r="C716" s="138"/>
      <c r="D716" s="138"/>
      <c r="E716" s="138"/>
      <c r="F716" s="138"/>
      <c r="G716" s="138"/>
      <c r="H716" s="139"/>
      <c r="I716" s="138"/>
      <c r="J716" s="138"/>
      <c r="K716" s="138"/>
      <c r="L716" s="138"/>
      <c r="M716" s="139"/>
      <c r="N716" s="138"/>
      <c r="O716" s="138"/>
      <c r="P716" s="138"/>
      <c r="Q716" s="139"/>
      <c r="R716" s="139"/>
      <c r="S716" s="212"/>
      <c r="T716" s="138"/>
    </row>
    <row r="717" spans="1:20" ht="14.25" customHeight="1" x14ac:dyDescent="0.3">
      <c r="A717" s="136"/>
      <c r="B717" s="212"/>
      <c r="C717" s="138"/>
      <c r="D717" s="138"/>
      <c r="E717" s="138"/>
      <c r="F717" s="138"/>
      <c r="G717" s="138"/>
      <c r="H717" s="139"/>
      <c r="I717" s="138"/>
      <c r="J717" s="138"/>
      <c r="K717" s="138"/>
      <c r="L717" s="138"/>
      <c r="M717" s="139"/>
      <c r="N717" s="138"/>
      <c r="O717" s="138"/>
      <c r="P717" s="138"/>
      <c r="Q717" s="139"/>
      <c r="R717" s="139"/>
      <c r="S717" s="212"/>
      <c r="T717" s="138"/>
    </row>
    <row r="718" spans="1:20" ht="14.25" customHeight="1" x14ac:dyDescent="0.3">
      <c r="A718" s="136"/>
      <c r="B718" s="212"/>
      <c r="C718" s="138"/>
      <c r="D718" s="138"/>
      <c r="E718" s="138"/>
      <c r="F718" s="138"/>
      <c r="G718" s="138"/>
      <c r="H718" s="139"/>
      <c r="I718" s="138"/>
      <c r="J718" s="138"/>
      <c r="K718" s="138"/>
      <c r="L718" s="138"/>
      <c r="M718" s="139"/>
      <c r="N718" s="138"/>
      <c r="O718" s="138"/>
      <c r="P718" s="138"/>
      <c r="Q718" s="139"/>
      <c r="R718" s="139"/>
      <c r="S718" s="212"/>
      <c r="T718" s="138"/>
    </row>
    <row r="719" spans="1:20" ht="14.25" customHeight="1" x14ac:dyDescent="0.3">
      <c r="A719" s="136"/>
      <c r="B719" s="212"/>
      <c r="C719" s="138"/>
      <c r="D719" s="138"/>
      <c r="E719" s="138"/>
      <c r="F719" s="138"/>
      <c r="G719" s="138"/>
      <c r="H719" s="139"/>
      <c r="I719" s="138"/>
      <c r="J719" s="138"/>
      <c r="K719" s="138"/>
      <c r="L719" s="138"/>
      <c r="M719" s="139"/>
      <c r="N719" s="138"/>
      <c r="O719" s="138"/>
      <c r="P719" s="138"/>
      <c r="Q719" s="139"/>
      <c r="R719" s="139"/>
      <c r="S719" s="212"/>
      <c r="T719" s="138"/>
    </row>
    <row r="720" spans="1:20" ht="14.25" customHeight="1" x14ac:dyDescent="0.3">
      <c r="A720" s="136"/>
      <c r="B720" s="212"/>
      <c r="C720" s="138"/>
      <c r="D720" s="138"/>
      <c r="E720" s="138"/>
      <c r="F720" s="138"/>
      <c r="G720" s="138"/>
      <c r="H720" s="139"/>
      <c r="I720" s="138"/>
      <c r="J720" s="138"/>
      <c r="K720" s="138"/>
      <c r="L720" s="138"/>
      <c r="M720" s="139"/>
      <c r="N720" s="138"/>
      <c r="O720" s="138"/>
      <c r="P720" s="138"/>
      <c r="Q720" s="139"/>
      <c r="R720" s="139"/>
      <c r="S720" s="212"/>
      <c r="T720" s="138"/>
    </row>
    <row r="721" spans="1:20" ht="14.25" customHeight="1" x14ac:dyDescent="0.3">
      <c r="A721" s="136"/>
      <c r="B721" s="212"/>
      <c r="C721" s="138"/>
      <c r="D721" s="138"/>
      <c r="E721" s="138"/>
      <c r="F721" s="138"/>
      <c r="G721" s="138"/>
      <c r="H721" s="139"/>
      <c r="I721" s="138"/>
      <c r="J721" s="138"/>
      <c r="K721" s="138"/>
      <c r="L721" s="138"/>
      <c r="M721" s="139"/>
      <c r="N721" s="138"/>
      <c r="O721" s="138"/>
      <c r="P721" s="138"/>
      <c r="Q721" s="139"/>
      <c r="R721" s="139"/>
      <c r="S721" s="212"/>
      <c r="T721" s="138"/>
    </row>
    <row r="722" spans="1:20" ht="14.25" customHeight="1" x14ac:dyDescent="0.3">
      <c r="A722" s="136"/>
      <c r="B722" s="212"/>
      <c r="C722" s="138"/>
      <c r="D722" s="138"/>
      <c r="E722" s="138"/>
      <c r="F722" s="138"/>
      <c r="G722" s="138"/>
      <c r="H722" s="139"/>
      <c r="I722" s="138"/>
      <c r="J722" s="138"/>
      <c r="K722" s="138"/>
      <c r="L722" s="138"/>
      <c r="M722" s="139"/>
      <c r="N722" s="138"/>
      <c r="O722" s="138"/>
      <c r="P722" s="138"/>
      <c r="Q722" s="139"/>
      <c r="R722" s="139"/>
      <c r="S722" s="212"/>
      <c r="T722" s="138"/>
    </row>
    <row r="723" spans="1:20" ht="14.25" customHeight="1" x14ac:dyDescent="0.3">
      <c r="A723" s="136"/>
      <c r="B723" s="212"/>
      <c r="C723" s="138"/>
      <c r="D723" s="138"/>
      <c r="E723" s="138"/>
      <c r="F723" s="138"/>
      <c r="G723" s="138"/>
      <c r="H723" s="139"/>
      <c r="I723" s="138"/>
      <c r="J723" s="138"/>
      <c r="K723" s="138"/>
      <c r="L723" s="138"/>
      <c r="M723" s="139"/>
      <c r="N723" s="138"/>
      <c r="O723" s="138"/>
      <c r="P723" s="138"/>
      <c r="Q723" s="139"/>
      <c r="R723" s="139"/>
      <c r="S723" s="212"/>
      <c r="T723" s="138"/>
    </row>
    <row r="724" spans="1:20" ht="14.25" customHeight="1" x14ac:dyDescent="0.3">
      <c r="A724" s="136"/>
      <c r="B724" s="212"/>
      <c r="C724" s="138"/>
      <c r="D724" s="138"/>
      <c r="E724" s="138"/>
      <c r="F724" s="138"/>
      <c r="G724" s="138"/>
      <c r="H724" s="139"/>
      <c r="I724" s="138"/>
      <c r="J724" s="138"/>
      <c r="K724" s="138"/>
      <c r="L724" s="138"/>
      <c r="M724" s="139"/>
      <c r="N724" s="138"/>
      <c r="O724" s="138"/>
      <c r="P724" s="138"/>
      <c r="Q724" s="139"/>
      <c r="R724" s="139"/>
      <c r="S724" s="212"/>
      <c r="T724" s="138"/>
    </row>
    <row r="725" spans="1:20" ht="14.25" customHeight="1" x14ac:dyDescent="0.3">
      <c r="A725" s="136"/>
      <c r="B725" s="212"/>
      <c r="C725" s="138"/>
      <c r="D725" s="138"/>
      <c r="E725" s="138"/>
      <c r="F725" s="138"/>
      <c r="G725" s="138"/>
      <c r="H725" s="139"/>
      <c r="I725" s="138"/>
      <c r="J725" s="138"/>
      <c r="K725" s="138"/>
      <c r="L725" s="138"/>
      <c r="M725" s="139"/>
      <c r="N725" s="138"/>
      <c r="O725" s="138"/>
      <c r="P725" s="138"/>
      <c r="Q725" s="139"/>
      <c r="R725" s="139"/>
      <c r="S725" s="212"/>
      <c r="T725" s="138"/>
    </row>
    <row r="726" spans="1:20" ht="14.25" customHeight="1" x14ac:dyDescent="0.3">
      <c r="A726" s="136"/>
      <c r="B726" s="212"/>
      <c r="C726" s="138"/>
      <c r="D726" s="138"/>
      <c r="E726" s="138"/>
      <c r="F726" s="138"/>
      <c r="G726" s="138"/>
      <c r="H726" s="139"/>
      <c r="I726" s="138"/>
      <c r="J726" s="138"/>
      <c r="K726" s="138"/>
      <c r="L726" s="138"/>
      <c r="M726" s="139"/>
      <c r="N726" s="138"/>
      <c r="O726" s="138"/>
      <c r="P726" s="138"/>
      <c r="Q726" s="139"/>
      <c r="R726" s="139"/>
      <c r="S726" s="212"/>
      <c r="T726" s="138"/>
    </row>
    <row r="727" spans="1:20" ht="14.25" customHeight="1" x14ac:dyDescent="0.3">
      <c r="A727" s="136"/>
      <c r="B727" s="212"/>
      <c r="C727" s="138"/>
      <c r="D727" s="138"/>
      <c r="E727" s="138"/>
      <c r="F727" s="138"/>
      <c r="G727" s="138"/>
      <c r="H727" s="139"/>
      <c r="I727" s="138"/>
      <c r="J727" s="138"/>
      <c r="K727" s="138"/>
      <c r="L727" s="138"/>
      <c r="M727" s="139"/>
      <c r="N727" s="138"/>
      <c r="O727" s="138"/>
      <c r="P727" s="138"/>
      <c r="Q727" s="139"/>
      <c r="R727" s="139"/>
      <c r="S727" s="212"/>
      <c r="T727" s="138"/>
    </row>
    <row r="728" spans="1:20" ht="14.25" customHeight="1" x14ac:dyDescent="0.3">
      <c r="A728" s="136"/>
      <c r="B728" s="212"/>
      <c r="C728" s="138"/>
      <c r="D728" s="138"/>
      <c r="E728" s="138"/>
      <c r="F728" s="138"/>
      <c r="G728" s="138"/>
      <c r="H728" s="139"/>
      <c r="I728" s="138"/>
      <c r="J728" s="138"/>
      <c r="K728" s="138"/>
      <c r="L728" s="138"/>
      <c r="M728" s="139"/>
      <c r="N728" s="138"/>
      <c r="O728" s="138"/>
      <c r="P728" s="138"/>
      <c r="Q728" s="139"/>
      <c r="R728" s="139"/>
      <c r="S728" s="212"/>
      <c r="T728" s="138"/>
    </row>
    <row r="729" spans="1:20" ht="14.25" customHeight="1" x14ac:dyDescent="0.3">
      <c r="A729" s="136"/>
      <c r="B729" s="212"/>
      <c r="C729" s="138"/>
      <c r="D729" s="138"/>
      <c r="E729" s="138"/>
      <c r="F729" s="138"/>
      <c r="G729" s="138"/>
      <c r="H729" s="139"/>
      <c r="I729" s="138"/>
      <c r="J729" s="138"/>
      <c r="K729" s="138"/>
      <c r="L729" s="138"/>
      <c r="M729" s="139"/>
      <c r="N729" s="138"/>
      <c r="O729" s="138"/>
      <c r="P729" s="138"/>
      <c r="Q729" s="139"/>
      <c r="R729" s="139"/>
      <c r="S729" s="212"/>
      <c r="T729" s="138"/>
    </row>
    <row r="730" spans="1:20" ht="14.25" customHeight="1" x14ac:dyDescent="0.3">
      <c r="A730" s="136"/>
      <c r="B730" s="212"/>
      <c r="C730" s="138"/>
      <c r="D730" s="138"/>
      <c r="E730" s="138"/>
      <c r="F730" s="138"/>
      <c r="G730" s="138"/>
      <c r="H730" s="139"/>
      <c r="I730" s="138"/>
      <c r="J730" s="138"/>
      <c r="K730" s="138"/>
      <c r="L730" s="138"/>
      <c r="M730" s="139"/>
      <c r="N730" s="138"/>
      <c r="O730" s="138"/>
      <c r="P730" s="138"/>
      <c r="Q730" s="139"/>
      <c r="R730" s="139"/>
      <c r="S730" s="212"/>
      <c r="T730" s="138"/>
    </row>
    <row r="731" spans="1:20" ht="14.25" customHeight="1" x14ac:dyDescent="0.3">
      <c r="A731" s="136"/>
      <c r="B731" s="212"/>
      <c r="C731" s="138"/>
      <c r="D731" s="138"/>
      <c r="E731" s="138"/>
      <c r="F731" s="138"/>
      <c r="G731" s="138"/>
      <c r="H731" s="139"/>
      <c r="I731" s="138"/>
      <c r="J731" s="138"/>
      <c r="K731" s="138"/>
      <c r="L731" s="138"/>
      <c r="M731" s="139"/>
      <c r="N731" s="138"/>
      <c r="O731" s="138"/>
      <c r="P731" s="138"/>
      <c r="Q731" s="139"/>
      <c r="R731" s="139"/>
      <c r="S731" s="212"/>
      <c r="T731" s="138"/>
    </row>
    <row r="732" spans="1:20" ht="14.25" customHeight="1" x14ac:dyDescent="0.3">
      <c r="A732" s="136"/>
      <c r="B732" s="212"/>
      <c r="C732" s="138"/>
      <c r="D732" s="138"/>
      <c r="E732" s="138"/>
      <c r="F732" s="138"/>
      <c r="G732" s="138"/>
      <c r="H732" s="139"/>
      <c r="I732" s="138"/>
      <c r="J732" s="138"/>
      <c r="K732" s="138"/>
      <c r="L732" s="138"/>
      <c r="M732" s="139"/>
      <c r="N732" s="138"/>
      <c r="O732" s="138"/>
      <c r="P732" s="138"/>
      <c r="Q732" s="139"/>
      <c r="R732" s="139"/>
      <c r="S732" s="212"/>
      <c r="T732" s="138"/>
    </row>
    <row r="733" spans="1:20" ht="14.25" customHeight="1" x14ac:dyDescent="0.3">
      <c r="A733" s="136"/>
      <c r="B733" s="212"/>
      <c r="C733" s="138"/>
      <c r="D733" s="138"/>
      <c r="E733" s="138"/>
      <c r="F733" s="138"/>
      <c r="G733" s="138"/>
      <c r="H733" s="139"/>
      <c r="I733" s="138"/>
      <c r="J733" s="138"/>
      <c r="K733" s="138"/>
      <c r="L733" s="138"/>
      <c r="M733" s="139"/>
      <c r="N733" s="138"/>
      <c r="O733" s="138"/>
      <c r="P733" s="138"/>
      <c r="Q733" s="139"/>
      <c r="R733" s="139"/>
      <c r="S733" s="212"/>
      <c r="T733" s="138"/>
    </row>
    <row r="734" spans="1:20" ht="14.25" customHeight="1" x14ac:dyDescent="0.3">
      <c r="A734" s="136"/>
      <c r="B734" s="212"/>
      <c r="C734" s="138"/>
      <c r="D734" s="138"/>
      <c r="E734" s="138"/>
      <c r="F734" s="138"/>
      <c r="G734" s="138"/>
      <c r="H734" s="139"/>
      <c r="I734" s="138"/>
      <c r="J734" s="138"/>
      <c r="K734" s="138"/>
      <c r="L734" s="138"/>
      <c r="M734" s="139"/>
      <c r="N734" s="138"/>
      <c r="O734" s="138"/>
      <c r="P734" s="138"/>
      <c r="Q734" s="139"/>
      <c r="R734" s="139"/>
      <c r="S734" s="212"/>
      <c r="T734" s="138"/>
    </row>
    <row r="735" spans="1:20" ht="14.25" customHeight="1" x14ac:dyDescent="0.3">
      <c r="A735" s="136"/>
      <c r="B735" s="212"/>
      <c r="C735" s="138"/>
      <c r="D735" s="138"/>
      <c r="E735" s="138"/>
      <c r="F735" s="138"/>
      <c r="G735" s="138"/>
      <c r="H735" s="139"/>
      <c r="I735" s="138"/>
      <c r="J735" s="138"/>
      <c r="K735" s="138"/>
      <c r="L735" s="138"/>
      <c r="M735" s="139"/>
      <c r="N735" s="138"/>
      <c r="O735" s="138"/>
      <c r="P735" s="138"/>
      <c r="Q735" s="139"/>
      <c r="R735" s="139"/>
      <c r="S735" s="212"/>
      <c r="T735" s="138"/>
    </row>
    <row r="736" spans="1:20" ht="14.25" customHeight="1" x14ac:dyDescent="0.3">
      <c r="A736" s="136"/>
      <c r="B736" s="212"/>
      <c r="C736" s="138"/>
      <c r="D736" s="138"/>
      <c r="E736" s="138"/>
      <c r="F736" s="138"/>
      <c r="G736" s="138"/>
      <c r="H736" s="139"/>
      <c r="I736" s="138"/>
      <c r="J736" s="138"/>
      <c r="K736" s="138"/>
      <c r="L736" s="138"/>
      <c r="M736" s="139"/>
      <c r="N736" s="138"/>
      <c r="O736" s="138"/>
      <c r="P736" s="138"/>
      <c r="Q736" s="139"/>
      <c r="R736" s="139"/>
      <c r="S736" s="212"/>
      <c r="T736" s="138"/>
    </row>
    <row r="737" spans="1:20" ht="14.25" customHeight="1" x14ac:dyDescent="0.3">
      <c r="A737" s="136"/>
      <c r="B737" s="212"/>
      <c r="C737" s="138"/>
      <c r="D737" s="138"/>
      <c r="E737" s="138"/>
      <c r="F737" s="138"/>
      <c r="G737" s="138"/>
      <c r="H737" s="139"/>
      <c r="I737" s="138"/>
      <c r="J737" s="138"/>
      <c r="K737" s="138"/>
      <c r="L737" s="138"/>
      <c r="M737" s="139"/>
      <c r="N737" s="138"/>
      <c r="O737" s="138"/>
      <c r="P737" s="138"/>
      <c r="Q737" s="139"/>
      <c r="R737" s="139"/>
      <c r="S737" s="212"/>
      <c r="T737" s="138"/>
    </row>
    <row r="738" spans="1:20" ht="14.25" customHeight="1" x14ac:dyDescent="0.3">
      <c r="A738" s="136"/>
      <c r="B738" s="212"/>
      <c r="C738" s="138"/>
      <c r="D738" s="138"/>
      <c r="E738" s="138"/>
      <c r="F738" s="138"/>
      <c r="G738" s="138"/>
      <c r="H738" s="139"/>
      <c r="I738" s="138"/>
      <c r="J738" s="138"/>
      <c r="K738" s="138"/>
      <c r="L738" s="138"/>
      <c r="M738" s="139"/>
      <c r="N738" s="138"/>
      <c r="O738" s="138"/>
      <c r="P738" s="138"/>
      <c r="Q738" s="139"/>
      <c r="R738" s="139"/>
      <c r="S738" s="212"/>
      <c r="T738" s="138"/>
    </row>
    <row r="739" spans="1:20" ht="14.25" customHeight="1" x14ac:dyDescent="0.3">
      <c r="A739" s="136"/>
      <c r="B739" s="212"/>
      <c r="C739" s="138"/>
      <c r="D739" s="138"/>
      <c r="E739" s="138"/>
      <c r="F739" s="138"/>
      <c r="G739" s="138"/>
      <c r="H739" s="139"/>
      <c r="I739" s="138"/>
      <c r="J739" s="138"/>
      <c r="K739" s="138"/>
      <c r="L739" s="138"/>
      <c r="M739" s="139"/>
      <c r="N739" s="138"/>
      <c r="O739" s="138"/>
      <c r="P739" s="138"/>
      <c r="Q739" s="139"/>
      <c r="R739" s="139"/>
      <c r="S739" s="212"/>
      <c r="T739" s="138"/>
    </row>
    <row r="740" spans="1:20" ht="14.25" customHeight="1" x14ac:dyDescent="0.3">
      <c r="A740" s="136"/>
      <c r="B740" s="212"/>
      <c r="C740" s="138"/>
      <c r="D740" s="138"/>
      <c r="E740" s="138"/>
      <c r="F740" s="138"/>
      <c r="G740" s="138"/>
      <c r="H740" s="139"/>
      <c r="I740" s="138"/>
      <c r="J740" s="138"/>
      <c r="K740" s="138"/>
      <c r="L740" s="138"/>
      <c r="M740" s="139"/>
      <c r="N740" s="138"/>
      <c r="O740" s="138"/>
      <c r="P740" s="138"/>
      <c r="Q740" s="139"/>
      <c r="R740" s="139"/>
      <c r="S740" s="212"/>
      <c r="T740" s="138"/>
    </row>
    <row r="741" spans="1:20" ht="14.25" customHeight="1" x14ac:dyDescent="0.3">
      <c r="A741" s="136"/>
      <c r="B741" s="212"/>
      <c r="C741" s="138"/>
      <c r="D741" s="138"/>
      <c r="E741" s="138"/>
      <c r="F741" s="138"/>
      <c r="G741" s="138"/>
      <c r="H741" s="139"/>
      <c r="I741" s="138"/>
      <c r="J741" s="138"/>
      <c r="K741" s="138"/>
      <c r="L741" s="138"/>
      <c r="M741" s="139"/>
      <c r="N741" s="138"/>
      <c r="O741" s="138"/>
      <c r="P741" s="138"/>
      <c r="Q741" s="139"/>
      <c r="R741" s="139"/>
      <c r="S741" s="212"/>
      <c r="T741" s="138"/>
    </row>
    <row r="742" spans="1:20" ht="14.25" customHeight="1" x14ac:dyDescent="0.3">
      <c r="A742" s="136"/>
      <c r="B742" s="212"/>
      <c r="C742" s="138"/>
      <c r="D742" s="138"/>
      <c r="E742" s="138"/>
      <c r="F742" s="138"/>
      <c r="G742" s="138"/>
      <c r="H742" s="139"/>
      <c r="I742" s="138"/>
      <c r="J742" s="138"/>
      <c r="K742" s="138"/>
      <c r="L742" s="138"/>
      <c r="M742" s="139"/>
      <c r="N742" s="138"/>
      <c r="O742" s="138"/>
      <c r="P742" s="138"/>
      <c r="Q742" s="139"/>
      <c r="R742" s="139"/>
      <c r="S742" s="212"/>
      <c r="T742" s="138"/>
    </row>
    <row r="743" spans="1:20" ht="14.25" customHeight="1" x14ac:dyDescent="0.3">
      <c r="A743" s="136"/>
      <c r="B743" s="212"/>
      <c r="C743" s="138"/>
      <c r="D743" s="138"/>
      <c r="E743" s="138"/>
      <c r="F743" s="138"/>
      <c r="G743" s="138"/>
      <c r="H743" s="139"/>
      <c r="I743" s="138"/>
      <c r="J743" s="138"/>
      <c r="K743" s="138"/>
      <c r="L743" s="138"/>
      <c r="M743" s="139"/>
      <c r="N743" s="138"/>
      <c r="O743" s="138"/>
      <c r="P743" s="138"/>
      <c r="Q743" s="139"/>
      <c r="R743" s="139"/>
      <c r="S743" s="212"/>
      <c r="T743" s="138"/>
    </row>
    <row r="744" spans="1:20" ht="14.25" customHeight="1" x14ac:dyDescent="0.3">
      <c r="A744" s="136"/>
      <c r="B744" s="212"/>
      <c r="C744" s="138"/>
      <c r="D744" s="138"/>
      <c r="E744" s="138"/>
      <c r="F744" s="138"/>
      <c r="G744" s="138"/>
      <c r="H744" s="139"/>
      <c r="I744" s="138"/>
      <c r="J744" s="138"/>
      <c r="K744" s="138"/>
      <c r="L744" s="138"/>
      <c r="M744" s="139"/>
      <c r="N744" s="138"/>
      <c r="O744" s="138"/>
      <c r="P744" s="138"/>
      <c r="Q744" s="139"/>
      <c r="R744" s="139"/>
      <c r="S744" s="212"/>
      <c r="T744" s="138"/>
    </row>
    <row r="745" spans="1:20" ht="14.25" customHeight="1" x14ac:dyDescent="0.3">
      <c r="A745" s="136"/>
      <c r="B745" s="212"/>
      <c r="C745" s="138"/>
      <c r="D745" s="138"/>
      <c r="E745" s="138"/>
      <c r="F745" s="138"/>
      <c r="G745" s="138"/>
      <c r="H745" s="139"/>
      <c r="I745" s="138"/>
      <c r="J745" s="138"/>
      <c r="K745" s="138"/>
      <c r="L745" s="138"/>
      <c r="M745" s="139"/>
      <c r="N745" s="138"/>
      <c r="O745" s="138"/>
      <c r="P745" s="138"/>
      <c r="Q745" s="139"/>
      <c r="R745" s="139"/>
      <c r="S745" s="212"/>
      <c r="T745" s="138"/>
    </row>
    <row r="746" spans="1:20" ht="14.25" customHeight="1" x14ac:dyDescent="0.3">
      <c r="A746" s="136"/>
      <c r="B746" s="212"/>
      <c r="C746" s="138"/>
      <c r="D746" s="138"/>
      <c r="E746" s="138"/>
      <c r="F746" s="138"/>
      <c r="G746" s="138"/>
      <c r="H746" s="139"/>
      <c r="I746" s="138"/>
      <c r="J746" s="138"/>
      <c r="K746" s="138"/>
      <c r="L746" s="138"/>
      <c r="M746" s="139"/>
      <c r="N746" s="138"/>
      <c r="O746" s="138"/>
      <c r="P746" s="138"/>
      <c r="Q746" s="139"/>
      <c r="R746" s="139"/>
      <c r="S746" s="212"/>
      <c r="T746" s="138"/>
    </row>
    <row r="747" spans="1:20" ht="14.25" customHeight="1" x14ac:dyDescent="0.3">
      <c r="A747" s="136"/>
      <c r="B747" s="212"/>
      <c r="C747" s="138"/>
      <c r="D747" s="138"/>
      <c r="E747" s="138"/>
      <c r="F747" s="138"/>
      <c r="G747" s="138"/>
      <c r="H747" s="139"/>
      <c r="I747" s="138"/>
      <c r="J747" s="138"/>
      <c r="K747" s="138"/>
      <c r="L747" s="138"/>
      <c r="M747" s="139"/>
      <c r="N747" s="138"/>
      <c r="O747" s="138"/>
      <c r="P747" s="138"/>
      <c r="Q747" s="139"/>
      <c r="R747" s="139"/>
      <c r="S747" s="212"/>
      <c r="T747" s="138"/>
    </row>
    <row r="748" spans="1:20" ht="14.25" customHeight="1" x14ac:dyDescent="0.3">
      <c r="A748" s="136"/>
      <c r="B748" s="212"/>
      <c r="C748" s="138"/>
      <c r="D748" s="138"/>
      <c r="E748" s="138"/>
      <c r="F748" s="138"/>
      <c r="G748" s="138"/>
      <c r="H748" s="139"/>
      <c r="I748" s="138"/>
      <c r="J748" s="138"/>
      <c r="K748" s="138"/>
      <c r="L748" s="138"/>
      <c r="M748" s="139"/>
      <c r="N748" s="138"/>
      <c r="O748" s="138"/>
      <c r="P748" s="138"/>
      <c r="Q748" s="139"/>
      <c r="R748" s="139"/>
      <c r="S748" s="212"/>
      <c r="T748" s="138"/>
    </row>
    <row r="749" spans="1:20" ht="14.25" customHeight="1" x14ac:dyDescent="0.3">
      <c r="A749" s="136"/>
      <c r="B749" s="212"/>
      <c r="C749" s="138"/>
      <c r="D749" s="138"/>
      <c r="E749" s="138"/>
      <c r="F749" s="138"/>
      <c r="G749" s="138"/>
      <c r="H749" s="139"/>
      <c r="I749" s="138"/>
      <c r="J749" s="138"/>
      <c r="K749" s="138"/>
      <c r="L749" s="138"/>
      <c r="M749" s="139"/>
      <c r="N749" s="138"/>
      <c r="O749" s="138"/>
      <c r="P749" s="138"/>
      <c r="Q749" s="139"/>
      <c r="R749" s="139"/>
      <c r="S749" s="212"/>
      <c r="T749" s="138"/>
    </row>
    <row r="750" spans="1:20" ht="14.25" customHeight="1" x14ac:dyDescent="0.3">
      <c r="A750" s="136"/>
      <c r="B750" s="212"/>
      <c r="C750" s="138"/>
      <c r="D750" s="138"/>
      <c r="E750" s="138"/>
      <c r="F750" s="138"/>
      <c r="G750" s="138"/>
      <c r="H750" s="139"/>
      <c r="I750" s="138"/>
      <c r="J750" s="138"/>
      <c r="K750" s="138"/>
      <c r="L750" s="138"/>
      <c r="M750" s="139"/>
      <c r="N750" s="138"/>
      <c r="O750" s="138"/>
      <c r="P750" s="138"/>
      <c r="Q750" s="139"/>
      <c r="R750" s="139"/>
      <c r="S750" s="212"/>
      <c r="T750" s="138"/>
    </row>
    <row r="751" spans="1:20" ht="14.25" customHeight="1" x14ac:dyDescent="0.3">
      <c r="A751" s="136"/>
      <c r="B751" s="212"/>
      <c r="C751" s="138"/>
      <c r="D751" s="138"/>
      <c r="E751" s="138"/>
      <c r="F751" s="138"/>
      <c r="G751" s="138"/>
      <c r="H751" s="139"/>
      <c r="I751" s="138"/>
      <c r="J751" s="138"/>
      <c r="K751" s="138"/>
      <c r="L751" s="138"/>
      <c r="M751" s="139"/>
      <c r="N751" s="138"/>
      <c r="O751" s="138"/>
      <c r="P751" s="138"/>
      <c r="Q751" s="139"/>
      <c r="R751" s="139"/>
      <c r="S751" s="212"/>
      <c r="T751" s="138"/>
    </row>
    <row r="752" spans="1:20" ht="14.25" customHeight="1" x14ac:dyDescent="0.3">
      <c r="A752" s="136"/>
      <c r="B752" s="212"/>
      <c r="C752" s="138"/>
      <c r="D752" s="138"/>
      <c r="E752" s="138"/>
      <c r="F752" s="138"/>
      <c r="G752" s="138"/>
      <c r="H752" s="139"/>
      <c r="I752" s="138"/>
      <c r="J752" s="138"/>
      <c r="K752" s="138"/>
      <c r="L752" s="138"/>
      <c r="M752" s="139"/>
      <c r="N752" s="138"/>
      <c r="O752" s="138"/>
      <c r="P752" s="138"/>
      <c r="Q752" s="139"/>
      <c r="R752" s="139"/>
      <c r="S752" s="212"/>
      <c r="T752" s="138"/>
    </row>
    <row r="753" spans="1:20" ht="14.25" customHeight="1" x14ac:dyDescent="0.3">
      <c r="A753" s="136"/>
      <c r="B753" s="212"/>
      <c r="C753" s="138"/>
      <c r="D753" s="138"/>
      <c r="E753" s="138"/>
      <c r="F753" s="138"/>
      <c r="G753" s="138"/>
      <c r="H753" s="139"/>
      <c r="I753" s="138"/>
      <c r="J753" s="138"/>
      <c r="K753" s="138"/>
      <c r="L753" s="138"/>
      <c r="M753" s="139"/>
      <c r="N753" s="138"/>
      <c r="O753" s="138"/>
      <c r="P753" s="138"/>
      <c r="Q753" s="139"/>
      <c r="R753" s="139"/>
      <c r="S753" s="212"/>
      <c r="T753" s="138"/>
    </row>
    <row r="754" spans="1:20" ht="14.25" customHeight="1" x14ac:dyDescent="0.3">
      <c r="A754" s="136"/>
      <c r="B754" s="212"/>
      <c r="C754" s="138"/>
      <c r="D754" s="138"/>
      <c r="E754" s="138"/>
      <c r="F754" s="138"/>
      <c r="G754" s="138"/>
      <c r="H754" s="139"/>
      <c r="I754" s="138"/>
      <c r="J754" s="138"/>
      <c r="K754" s="138"/>
      <c r="L754" s="138"/>
      <c r="M754" s="139"/>
      <c r="N754" s="138"/>
      <c r="O754" s="138"/>
      <c r="P754" s="138"/>
      <c r="Q754" s="139"/>
      <c r="R754" s="139"/>
      <c r="S754" s="212"/>
      <c r="T754" s="138"/>
    </row>
    <row r="755" spans="1:20" ht="14.25" customHeight="1" x14ac:dyDescent="0.3">
      <c r="A755" s="136"/>
      <c r="B755" s="212"/>
      <c r="C755" s="138"/>
      <c r="D755" s="138"/>
      <c r="E755" s="138"/>
      <c r="F755" s="138"/>
      <c r="G755" s="138"/>
      <c r="H755" s="139"/>
      <c r="I755" s="138"/>
      <c r="J755" s="138"/>
      <c r="K755" s="138"/>
      <c r="L755" s="138"/>
      <c r="M755" s="139"/>
      <c r="N755" s="138"/>
      <c r="O755" s="138"/>
      <c r="P755" s="138"/>
      <c r="Q755" s="139"/>
      <c r="R755" s="139"/>
      <c r="S755" s="212"/>
      <c r="T755" s="138"/>
    </row>
    <row r="756" spans="1:20" ht="14.25" customHeight="1" x14ac:dyDescent="0.3">
      <c r="A756" s="136"/>
      <c r="B756" s="212"/>
      <c r="C756" s="138"/>
      <c r="D756" s="138"/>
      <c r="E756" s="138"/>
      <c r="F756" s="138"/>
      <c r="G756" s="138"/>
      <c r="H756" s="139"/>
      <c r="I756" s="138"/>
      <c r="J756" s="138"/>
      <c r="K756" s="138"/>
      <c r="L756" s="138"/>
      <c r="M756" s="139"/>
      <c r="N756" s="138"/>
      <c r="O756" s="138"/>
      <c r="P756" s="138"/>
      <c r="Q756" s="139"/>
      <c r="R756" s="139"/>
      <c r="S756" s="212"/>
      <c r="T756" s="138"/>
    </row>
    <row r="757" spans="1:20" ht="14.25" customHeight="1" x14ac:dyDescent="0.3">
      <c r="A757" s="136"/>
      <c r="B757" s="212"/>
      <c r="C757" s="138"/>
      <c r="D757" s="138"/>
      <c r="E757" s="138"/>
      <c r="F757" s="138"/>
      <c r="G757" s="138"/>
      <c r="H757" s="139"/>
      <c r="I757" s="138"/>
      <c r="J757" s="138"/>
      <c r="K757" s="138"/>
      <c r="L757" s="138"/>
      <c r="M757" s="139"/>
      <c r="N757" s="138"/>
      <c r="O757" s="138"/>
      <c r="P757" s="138"/>
      <c r="Q757" s="139"/>
      <c r="R757" s="139"/>
      <c r="S757" s="212"/>
      <c r="T757" s="138"/>
    </row>
    <row r="758" spans="1:20" ht="14.25" customHeight="1" x14ac:dyDescent="0.3">
      <c r="A758" s="136"/>
      <c r="B758" s="212"/>
      <c r="C758" s="138"/>
      <c r="D758" s="138"/>
      <c r="E758" s="138"/>
      <c r="F758" s="138"/>
      <c r="G758" s="138"/>
      <c r="H758" s="139"/>
      <c r="I758" s="138"/>
      <c r="J758" s="138"/>
      <c r="K758" s="138"/>
      <c r="L758" s="138"/>
      <c r="M758" s="139"/>
      <c r="N758" s="138"/>
      <c r="O758" s="138"/>
      <c r="P758" s="138"/>
      <c r="Q758" s="139"/>
      <c r="R758" s="139"/>
      <c r="S758" s="212"/>
      <c r="T758" s="138"/>
    </row>
    <row r="759" spans="1:20" ht="14.25" customHeight="1" x14ac:dyDescent="0.3">
      <c r="A759" s="136"/>
      <c r="B759" s="212"/>
      <c r="C759" s="138"/>
      <c r="D759" s="138"/>
      <c r="E759" s="138"/>
      <c r="F759" s="138"/>
      <c r="G759" s="138"/>
      <c r="H759" s="139"/>
      <c r="I759" s="138"/>
      <c r="J759" s="138"/>
      <c r="K759" s="138"/>
      <c r="L759" s="138"/>
      <c r="M759" s="139"/>
      <c r="N759" s="138"/>
      <c r="O759" s="138"/>
      <c r="P759" s="138"/>
      <c r="Q759" s="139"/>
      <c r="R759" s="139"/>
      <c r="S759" s="212"/>
      <c r="T759" s="138"/>
    </row>
    <row r="760" spans="1:20" ht="14.25" customHeight="1" x14ac:dyDescent="0.3">
      <c r="A760" s="136"/>
      <c r="B760" s="212"/>
      <c r="C760" s="138"/>
      <c r="D760" s="138"/>
      <c r="E760" s="138"/>
      <c r="F760" s="138"/>
      <c r="G760" s="138"/>
      <c r="H760" s="139"/>
      <c r="I760" s="138"/>
      <c r="J760" s="138"/>
      <c r="K760" s="138"/>
      <c r="L760" s="138"/>
      <c r="M760" s="139"/>
      <c r="N760" s="138"/>
      <c r="O760" s="138"/>
      <c r="P760" s="138"/>
      <c r="Q760" s="139"/>
      <c r="R760" s="139"/>
      <c r="S760" s="212"/>
      <c r="T760" s="138"/>
    </row>
    <row r="761" spans="1:20" ht="14.25" customHeight="1" x14ac:dyDescent="0.3">
      <c r="A761" s="136"/>
      <c r="B761" s="212"/>
      <c r="C761" s="138"/>
      <c r="D761" s="138"/>
      <c r="E761" s="138"/>
      <c r="F761" s="138"/>
      <c r="G761" s="138"/>
      <c r="H761" s="139"/>
      <c r="I761" s="138"/>
      <c r="J761" s="138"/>
      <c r="K761" s="138"/>
      <c r="L761" s="138"/>
      <c r="M761" s="139"/>
      <c r="N761" s="138"/>
      <c r="O761" s="138"/>
      <c r="P761" s="138"/>
      <c r="Q761" s="139"/>
      <c r="R761" s="139"/>
      <c r="S761" s="212"/>
      <c r="T761" s="138"/>
    </row>
    <row r="762" spans="1:20" ht="14.25" customHeight="1" x14ac:dyDescent="0.3">
      <c r="A762" s="136"/>
      <c r="B762" s="212"/>
      <c r="C762" s="138"/>
      <c r="D762" s="138"/>
      <c r="E762" s="138"/>
      <c r="F762" s="138"/>
      <c r="G762" s="138"/>
      <c r="H762" s="139"/>
      <c r="I762" s="138"/>
      <c r="J762" s="138"/>
      <c r="K762" s="138"/>
      <c r="L762" s="138"/>
      <c r="M762" s="139"/>
      <c r="N762" s="138"/>
      <c r="O762" s="138"/>
      <c r="P762" s="138"/>
      <c r="Q762" s="139"/>
      <c r="R762" s="139"/>
      <c r="S762" s="212"/>
      <c r="T762" s="138"/>
    </row>
    <row r="763" spans="1:20" ht="14.25" customHeight="1" x14ac:dyDescent="0.3">
      <c r="A763" s="136"/>
      <c r="B763" s="212"/>
      <c r="C763" s="138"/>
      <c r="D763" s="138"/>
      <c r="E763" s="138"/>
      <c r="F763" s="138"/>
      <c r="G763" s="138"/>
      <c r="H763" s="139"/>
      <c r="I763" s="138"/>
      <c r="J763" s="138"/>
      <c r="K763" s="138"/>
      <c r="L763" s="138"/>
      <c r="M763" s="139"/>
      <c r="N763" s="138"/>
      <c r="O763" s="138"/>
      <c r="P763" s="138"/>
      <c r="Q763" s="139"/>
      <c r="R763" s="139"/>
      <c r="S763" s="212"/>
      <c r="T763" s="138"/>
    </row>
    <row r="764" spans="1:20" ht="14.25" customHeight="1" x14ac:dyDescent="0.3">
      <c r="A764" s="136"/>
      <c r="B764" s="212"/>
      <c r="C764" s="138"/>
      <c r="D764" s="138"/>
      <c r="E764" s="138"/>
      <c r="F764" s="138"/>
      <c r="G764" s="138"/>
      <c r="H764" s="139"/>
      <c r="I764" s="138"/>
      <c r="J764" s="138"/>
      <c r="K764" s="138"/>
      <c r="L764" s="138"/>
      <c r="M764" s="139"/>
      <c r="N764" s="138"/>
      <c r="O764" s="138"/>
      <c r="P764" s="138"/>
      <c r="Q764" s="139"/>
      <c r="R764" s="139"/>
      <c r="S764" s="212"/>
      <c r="T764" s="138"/>
    </row>
    <row r="765" spans="1:20" ht="14.25" customHeight="1" x14ac:dyDescent="0.3">
      <c r="A765" s="136"/>
      <c r="B765" s="212"/>
      <c r="C765" s="138"/>
      <c r="D765" s="138"/>
      <c r="E765" s="138"/>
      <c r="F765" s="138"/>
      <c r="G765" s="138"/>
      <c r="H765" s="139"/>
      <c r="I765" s="138"/>
      <c r="J765" s="138"/>
      <c r="K765" s="138"/>
      <c r="L765" s="138"/>
      <c r="M765" s="139"/>
      <c r="N765" s="138"/>
      <c r="O765" s="138"/>
      <c r="P765" s="138"/>
      <c r="Q765" s="139"/>
      <c r="R765" s="139"/>
      <c r="S765" s="212"/>
      <c r="T765" s="138"/>
    </row>
    <row r="766" spans="1:20" ht="14.25" customHeight="1" x14ac:dyDescent="0.3">
      <c r="A766" s="136"/>
      <c r="B766" s="212"/>
      <c r="C766" s="138"/>
      <c r="D766" s="138"/>
      <c r="E766" s="138"/>
      <c r="F766" s="138"/>
      <c r="G766" s="138"/>
      <c r="H766" s="139"/>
      <c r="I766" s="138"/>
      <c r="J766" s="138"/>
      <c r="K766" s="138"/>
      <c r="L766" s="138"/>
      <c r="M766" s="139"/>
      <c r="N766" s="138"/>
      <c r="O766" s="138"/>
      <c r="P766" s="138"/>
      <c r="Q766" s="139"/>
      <c r="R766" s="139"/>
      <c r="S766" s="212"/>
      <c r="T766" s="138"/>
    </row>
    <row r="767" spans="1:20" ht="14.25" customHeight="1" x14ac:dyDescent="0.3">
      <c r="A767" s="136"/>
      <c r="B767" s="212"/>
      <c r="C767" s="138"/>
      <c r="D767" s="138"/>
      <c r="E767" s="138"/>
      <c r="F767" s="138"/>
      <c r="G767" s="138"/>
      <c r="H767" s="139"/>
      <c r="I767" s="138"/>
      <c r="J767" s="138"/>
      <c r="K767" s="138"/>
      <c r="L767" s="138"/>
      <c r="M767" s="139"/>
      <c r="N767" s="138"/>
      <c r="O767" s="138"/>
      <c r="P767" s="138"/>
      <c r="Q767" s="139"/>
      <c r="R767" s="139"/>
      <c r="S767" s="212"/>
      <c r="T767" s="138"/>
    </row>
    <row r="768" spans="1:20" ht="14.25" customHeight="1" x14ac:dyDescent="0.3">
      <c r="A768" s="136"/>
      <c r="B768" s="212"/>
      <c r="C768" s="138"/>
      <c r="D768" s="138"/>
      <c r="E768" s="138"/>
      <c r="F768" s="138"/>
      <c r="G768" s="138"/>
      <c r="H768" s="139"/>
      <c r="I768" s="138"/>
      <c r="J768" s="138"/>
      <c r="K768" s="138"/>
      <c r="L768" s="138"/>
      <c r="M768" s="139"/>
      <c r="N768" s="138"/>
      <c r="O768" s="138"/>
      <c r="P768" s="138"/>
      <c r="Q768" s="139"/>
      <c r="R768" s="139"/>
      <c r="S768" s="212"/>
      <c r="T768" s="138"/>
    </row>
    <row r="769" spans="1:20" ht="14.25" customHeight="1" x14ac:dyDescent="0.3">
      <c r="A769" s="136"/>
      <c r="B769" s="212"/>
      <c r="C769" s="138"/>
      <c r="D769" s="138"/>
      <c r="E769" s="138"/>
      <c r="F769" s="138"/>
      <c r="G769" s="138"/>
      <c r="H769" s="139"/>
      <c r="I769" s="138"/>
      <c r="J769" s="138"/>
      <c r="K769" s="138"/>
      <c r="L769" s="138"/>
      <c r="M769" s="139"/>
      <c r="N769" s="138"/>
      <c r="O769" s="138"/>
      <c r="P769" s="138"/>
      <c r="Q769" s="139"/>
      <c r="R769" s="139"/>
      <c r="S769" s="212"/>
      <c r="T769" s="138"/>
    </row>
    <row r="770" spans="1:20" ht="14.25" customHeight="1" x14ac:dyDescent="0.3">
      <c r="A770" s="136"/>
      <c r="B770" s="212"/>
      <c r="C770" s="138"/>
      <c r="D770" s="138"/>
      <c r="E770" s="138"/>
      <c r="F770" s="138"/>
      <c r="G770" s="138"/>
      <c r="H770" s="139"/>
      <c r="I770" s="138"/>
      <c r="J770" s="138"/>
      <c r="K770" s="138"/>
      <c r="L770" s="138"/>
      <c r="M770" s="139"/>
      <c r="N770" s="138"/>
      <c r="O770" s="138"/>
      <c r="P770" s="138"/>
      <c r="Q770" s="139"/>
      <c r="R770" s="139"/>
      <c r="S770" s="212"/>
      <c r="T770" s="138"/>
    </row>
    <row r="771" spans="1:20" ht="14.25" customHeight="1" x14ac:dyDescent="0.3">
      <c r="A771" s="136"/>
      <c r="B771" s="212"/>
      <c r="C771" s="138"/>
      <c r="D771" s="138"/>
      <c r="E771" s="138"/>
      <c r="F771" s="138"/>
      <c r="G771" s="138"/>
      <c r="H771" s="139"/>
      <c r="I771" s="138"/>
      <c r="J771" s="138"/>
      <c r="K771" s="138"/>
      <c r="L771" s="138"/>
      <c r="M771" s="139"/>
      <c r="N771" s="138"/>
      <c r="O771" s="138"/>
      <c r="P771" s="138"/>
      <c r="Q771" s="139"/>
      <c r="R771" s="139"/>
      <c r="S771" s="212"/>
      <c r="T771" s="138"/>
    </row>
    <row r="772" spans="1:20" ht="14.25" customHeight="1" x14ac:dyDescent="0.3">
      <c r="A772" s="136"/>
      <c r="B772" s="212"/>
      <c r="C772" s="138"/>
      <c r="D772" s="138"/>
      <c r="E772" s="138"/>
      <c r="F772" s="138"/>
      <c r="G772" s="138"/>
      <c r="H772" s="139"/>
      <c r="I772" s="138"/>
      <c r="J772" s="138"/>
      <c r="K772" s="138"/>
      <c r="L772" s="138"/>
      <c r="M772" s="139"/>
      <c r="N772" s="138"/>
      <c r="O772" s="138"/>
      <c r="P772" s="138"/>
      <c r="Q772" s="139"/>
      <c r="R772" s="139"/>
      <c r="S772" s="212"/>
      <c r="T772" s="138"/>
    </row>
    <row r="773" spans="1:20" ht="14.25" customHeight="1" x14ac:dyDescent="0.3">
      <c r="A773" s="136"/>
      <c r="B773" s="212"/>
      <c r="C773" s="138"/>
      <c r="D773" s="138"/>
      <c r="E773" s="138"/>
      <c r="F773" s="138"/>
      <c r="G773" s="138"/>
      <c r="H773" s="139"/>
      <c r="I773" s="138"/>
      <c r="J773" s="138"/>
      <c r="K773" s="138"/>
      <c r="L773" s="138"/>
      <c r="M773" s="139"/>
      <c r="N773" s="138"/>
      <c r="O773" s="138"/>
      <c r="P773" s="138"/>
      <c r="Q773" s="139"/>
      <c r="R773" s="139"/>
      <c r="S773" s="212"/>
      <c r="T773" s="138"/>
    </row>
    <row r="774" spans="1:20" ht="14.25" customHeight="1" x14ac:dyDescent="0.3">
      <c r="A774" s="136"/>
      <c r="B774" s="212"/>
      <c r="C774" s="138"/>
      <c r="D774" s="138"/>
      <c r="E774" s="138"/>
      <c r="F774" s="138"/>
      <c r="G774" s="138"/>
      <c r="H774" s="139"/>
      <c r="I774" s="138"/>
      <c r="J774" s="138"/>
      <c r="K774" s="138"/>
      <c r="L774" s="138"/>
      <c r="M774" s="139"/>
      <c r="N774" s="138"/>
      <c r="O774" s="138"/>
      <c r="P774" s="138"/>
      <c r="Q774" s="139"/>
      <c r="R774" s="139"/>
      <c r="S774" s="212"/>
      <c r="T774" s="138"/>
    </row>
    <row r="775" spans="1:20" ht="14.25" customHeight="1" x14ac:dyDescent="0.3">
      <c r="A775" s="136"/>
      <c r="B775" s="212"/>
      <c r="C775" s="138"/>
      <c r="D775" s="138"/>
      <c r="E775" s="138"/>
      <c r="F775" s="138"/>
      <c r="G775" s="138"/>
      <c r="H775" s="139"/>
      <c r="I775" s="138"/>
      <c r="J775" s="138"/>
      <c r="K775" s="138"/>
      <c r="L775" s="138"/>
      <c r="M775" s="139"/>
      <c r="N775" s="138"/>
      <c r="O775" s="138"/>
      <c r="P775" s="138"/>
      <c r="Q775" s="139"/>
      <c r="R775" s="139"/>
      <c r="S775" s="212"/>
      <c r="T775" s="138"/>
    </row>
    <row r="776" spans="1:20" ht="14.25" customHeight="1" x14ac:dyDescent="0.3">
      <c r="A776" s="136"/>
      <c r="B776" s="212"/>
      <c r="C776" s="138"/>
      <c r="D776" s="138"/>
      <c r="E776" s="138"/>
      <c r="F776" s="138"/>
      <c r="G776" s="138"/>
      <c r="H776" s="139"/>
      <c r="I776" s="138"/>
      <c r="J776" s="138"/>
      <c r="K776" s="138"/>
      <c r="L776" s="138"/>
      <c r="M776" s="139"/>
      <c r="N776" s="138"/>
      <c r="O776" s="138"/>
      <c r="P776" s="138"/>
      <c r="Q776" s="139"/>
      <c r="R776" s="139"/>
      <c r="S776" s="212"/>
      <c r="T776" s="138"/>
    </row>
    <row r="777" spans="1:20" ht="14.25" customHeight="1" x14ac:dyDescent="0.3">
      <c r="A777" s="136"/>
      <c r="B777" s="212"/>
      <c r="C777" s="138"/>
      <c r="D777" s="138"/>
      <c r="E777" s="138"/>
      <c r="F777" s="138"/>
      <c r="G777" s="138"/>
      <c r="H777" s="139"/>
      <c r="I777" s="138"/>
      <c r="J777" s="138"/>
      <c r="K777" s="138"/>
      <c r="L777" s="138"/>
      <c r="M777" s="139"/>
      <c r="N777" s="138"/>
      <c r="O777" s="138"/>
      <c r="P777" s="138"/>
      <c r="Q777" s="139"/>
      <c r="R777" s="139"/>
      <c r="S777" s="212"/>
      <c r="T777" s="138"/>
    </row>
    <row r="778" spans="1:20" ht="14.25" customHeight="1" x14ac:dyDescent="0.3">
      <c r="A778" s="136"/>
      <c r="B778" s="212"/>
      <c r="C778" s="138"/>
      <c r="D778" s="138"/>
      <c r="E778" s="138"/>
      <c r="F778" s="138"/>
      <c r="G778" s="138"/>
      <c r="H778" s="139"/>
      <c r="I778" s="138"/>
      <c r="J778" s="138"/>
      <c r="K778" s="138"/>
      <c r="L778" s="138"/>
      <c r="M778" s="139"/>
      <c r="N778" s="138"/>
      <c r="O778" s="138"/>
      <c r="P778" s="138"/>
      <c r="Q778" s="139"/>
      <c r="R778" s="139"/>
      <c r="S778" s="212"/>
      <c r="T778" s="138"/>
    </row>
    <row r="779" spans="1:20" ht="14.25" customHeight="1" x14ac:dyDescent="0.3">
      <c r="A779" s="136"/>
      <c r="B779" s="212"/>
      <c r="C779" s="138"/>
      <c r="D779" s="138"/>
      <c r="E779" s="138"/>
      <c r="F779" s="138"/>
      <c r="G779" s="138"/>
      <c r="H779" s="139"/>
      <c r="I779" s="138"/>
      <c r="J779" s="138"/>
      <c r="K779" s="138"/>
      <c r="L779" s="138"/>
      <c r="M779" s="139"/>
      <c r="N779" s="138"/>
      <c r="O779" s="138"/>
      <c r="P779" s="138"/>
      <c r="Q779" s="139"/>
      <c r="R779" s="139"/>
      <c r="S779" s="212"/>
      <c r="T779" s="138"/>
    </row>
    <row r="780" spans="1:20" ht="14.25" customHeight="1" x14ac:dyDescent="0.3">
      <c r="A780" s="136"/>
      <c r="B780" s="212"/>
      <c r="C780" s="138"/>
      <c r="D780" s="138"/>
      <c r="E780" s="138"/>
      <c r="F780" s="138"/>
      <c r="G780" s="138"/>
      <c r="H780" s="139"/>
      <c r="I780" s="138"/>
      <c r="J780" s="138"/>
      <c r="K780" s="138"/>
      <c r="L780" s="138"/>
      <c r="M780" s="139"/>
      <c r="N780" s="138"/>
      <c r="O780" s="138"/>
      <c r="P780" s="138"/>
      <c r="Q780" s="139"/>
      <c r="R780" s="139"/>
      <c r="S780" s="212"/>
      <c r="T780" s="138"/>
    </row>
    <row r="781" spans="1:20" ht="14.25" customHeight="1" x14ac:dyDescent="0.3">
      <c r="A781" s="136"/>
      <c r="B781" s="212"/>
      <c r="C781" s="138"/>
      <c r="D781" s="138"/>
      <c r="E781" s="138"/>
      <c r="F781" s="138"/>
      <c r="G781" s="138"/>
      <c r="H781" s="139"/>
      <c r="I781" s="138"/>
      <c r="J781" s="138"/>
      <c r="K781" s="138"/>
      <c r="L781" s="138"/>
      <c r="M781" s="139"/>
      <c r="N781" s="138"/>
      <c r="O781" s="138"/>
      <c r="P781" s="138"/>
      <c r="Q781" s="139"/>
      <c r="R781" s="139"/>
      <c r="S781" s="212"/>
      <c r="T781" s="138"/>
    </row>
    <row r="782" spans="1:20" ht="14.25" customHeight="1" x14ac:dyDescent="0.3">
      <c r="A782" s="136"/>
      <c r="B782" s="212"/>
      <c r="C782" s="138"/>
      <c r="D782" s="138"/>
      <c r="E782" s="138"/>
      <c r="F782" s="138"/>
      <c r="G782" s="138"/>
      <c r="H782" s="139"/>
      <c r="I782" s="138"/>
      <c r="J782" s="138"/>
      <c r="K782" s="138"/>
      <c r="L782" s="138"/>
      <c r="M782" s="139"/>
      <c r="N782" s="138"/>
      <c r="O782" s="138"/>
      <c r="P782" s="138"/>
      <c r="Q782" s="139"/>
      <c r="R782" s="139"/>
      <c r="S782" s="212"/>
      <c r="T782" s="138"/>
    </row>
    <row r="783" spans="1:20" ht="14.25" customHeight="1" x14ac:dyDescent="0.3">
      <c r="A783" s="136"/>
      <c r="B783" s="212"/>
      <c r="C783" s="138"/>
      <c r="D783" s="138"/>
      <c r="E783" s="138"/>
      <c r="F783" s="138"/>
      <c r="G783" s="138"/>
      <c r="H783" s="139"/>
      <c r="I783" s="138"/>
      <c r="J783" s="138"/>
      <c r="K783" s="138"/>
      <c r="L783" s="138"/>
      <c r="M783" s="139"/>
      <c r="N783" s="138"/>
      <c r="O783" s="138"/>
      <c r="P783" s="138"/>
      <c r="Q783" s="139"/>
      <c r="R783" s="139"/>
      <c r="S783" s="212"/>
      <c r="T783" s="138"/>
    </row>
    <row r="784" spans="1:20" ht="14.25" customHeight="1" x14ac:dyDescent="0.3">
      <c r="A784" s="136"/>
      <c r="B784" s="212"/>
      <c r="C784" s="138"/>
      <c r="D784" s="138"/>
      <c r="E784" s="138"/>
      <c r="F784" s="138"/>
      <c r="G784" s="138"/>
      <c r="H784" s="139"/>
      <c r="I784" s="138"/>
      <c r="J784" s="138"/>
      <c r="K784" s="138"/>
      <c r="L784" s="138"/>
      <c r="M784" s="139"/>
      <c r="N784" s="138"/>
      <c r="O784" s="138"/>
      <c r="P784" s="138"/>
      <c r="Q784" s="139"/>
      <c r="R784" s="139"/>
      <c r="S784" s="212"/>
      <c r="T784" s="138"/>
    </row>
    <row r="785" spans="1:20" ht="14.25" customHeight="1" x14ac:dyDescent="0.3">
      <c r="A785" s="136"/>
      <c r="B785" s="212"/>
      <c r="C785" s="138"/>
      <c r="D785" s="138"/>
      <c r="E785" s="138"/>
      <c r="F785" s="138"/>
      <c r="G785" s="138"/>
      <c r="H785" s="139"/>
      <c r="I785" s="138"/>
      <c r="J785" s="138"/>
      <c r="K785" s="138"/>
      <c r="L785" s="138"/>
      <c r="M785" s="139"/>
      <c r="N785" s="138"/>
      <c r="O785" s="138"/>
      <c r="P785" s="138"/>
      <c r="Q785" s="139"/>
      <c r="R785" s="139"/>
      <c r="S785" s="212"/>
      <c r="T785" s="138"/>
    </row>
    <row r="786" spans="1:20" ht="14.25" customHeight="1" x14ac:dyDescent="0.3">
      <c r="A786" s="136"/>
      <c r="B786" s="212"/>
      <c r="C786" s="138"/>
      <c r="D786" s="138"/>
      <c r="E786" s="138"/>
      <c r="F786" s="138"/>
      <c r="G786" s="138"/>
      <c r="H786" s="139"/>
      <c r="I786" s="138"/>
      <c r="J786" s="138"/>
      <c r="K786" s="138"/>
      <c r="L786" s="138"/>
      <c r="M786" s="139"/>
      <c r="N786" s="138"/>
      <c r="O786" s="138"/>
      <c r="P786" s="138"/>
      <c r="Q786" s="139"/>
      <c r="R786" s="139"/>
      <c r="S786" s="212"/>
      <c r="T786" s="138"/>
    </row>
    <row r="787" spans="1:20" ht="14.25" customHeight="1" x14ac:dyDescent="0.3">
      <c r="A787" s="136"/>
      <c r="B787" s="212"/>
      <c r="C787" s="138"/>
      <c r="D787" s="138"/>
      <c r="E787" s="138"/>
      <c r="F787" s="138"/>
      <c r="G787" s="138"/>
      <c r="H787" s="139"/>
      <c r="I787" s="138"/>
      <c r="J787" s="138"/>
      <c r="K787" s="138"/>
      <c r="L787" s="138"/>
      <c r="M787" s="139"/>
      <c r="N787" s="138"/>
      <c r="O787" s="138"/>
      <c r="P787" s="138"/>
      <c r="Q787" s="139"/>
      <c r="R787" s="139"/>
      <c r="S787" s="212"/>
      <c r="T787" s="138"/>
    </row>
    <row r="788" spans="1:20" ht="14.25" customHeight="1" x14ac:dyDescent="0.3">
      <c r="A788" s="136"/>
      <c r="B788" s="212"/>
      <c r="C788" s="138"/>
      <c r="D788" s="138"/>
      <c r="E788" s="138"/>
      <c r="F788" s="138"/>
      <c r="G788" s="138"/>
      <c r="H788" s="139"/>
      <c r="I788" s="138"/>
      <c r="J788" s="138"/>
      <c r="K788" s="138"/>
      <c r="L788" s="138"/>
      <c r="M788" s="139"/>
      <c r="N788" s="138"/>
      <c r="O788" s="138"/>
      <c r="P788" s="138"/>
      <c r="Q788" s="139"/>
      <c r="R788" s="139"/>
      <c r="S788" s="212"/>
      <c r="T788" s="138"/>
    </row>
    <row r="789" spans="1:20" ht="14.25" customHeight="1" x14ac:dyDescent="0.3">
      <c r="A789" s="136"/>
      <c r="B789" s="212"/>
      <c r="C789" s="138"/>
      <c r="D789" s="138"/>
      <c r="E789" s="138"/>
      <c r="F789" s="138"/>
      <c r="G789" s="138"/>
      <c r="H789" s="139"/>
      <c r="I789" s="138"/>
      <c r="J789" s="138"/>
      <c r="K789" s="138"/>
      <c r="L789" s="138"/>
      <c r="M789" s="139"/>
      <c r="N789" s="138"/>
      <c r="O789" s="138"/>
      <c r="P789" s="138"/>
      <c r="Q789" s="139"/>
      <c r="R789" s="139"/>
      <c r="S789" s="212"/>
      <c r="T789" s="138"/>
    </row>
    <row r="790" spans="1:20" ht="14.25" customHeight="1" x14ac:dyDescent="0.3">
      <c r="A790" s="136"/>
      <c r="B790" s="212"/>
      <c r="C790" s="138"/>
      <c r="D790" s="138"/>
      <c r="E790" s="138"/>
      <c r="F790" s="138"/>
      <c r="G790" s="138"/>
      <c r="H790" s="139"/>
      <c r="I790" s="138"/>
      <c r="J790" s="138"/>
      <c r="K790" s="138"/>
      <c r="L790" s="138"/>
      <c r="M790" s="139"/>
      <c r="N790" s="138"/>
      <c r="O790" s="138"/>
      <c r="P790" s="138"/>
      <c r="Q790" s="139"/>
      <c r="R790" s="139"/>
      <c r="S790" s="212"/>
      <c r="T790" s="138"/>
    </row>
    <row r="791" spans="1:20" ht="14.25" customHeight="1" x14ac:dyDescent="0.3">
      <c r="A791" s="136"/>
      <c r="B791" s="212"/>
      <c r="C791" s="138"/>
      <c r="D791" s="138"/>
      <c r="E791" s="138"/>
      <c r="F791" s="138"/>
      <c r="G791" s="138"/>
      <c r="H791" s="139"/>
      <c r="I791" s="138"/>
      <c r="J791" s="138"/>
      <c r="K791" s="138"/>
      <c r="L791" s="138"/>
      <c r="M791" s="139"/>
      <c r="N791" s="138"/>
      <c r="O791" s="138"/>
      <c r="P791" s="138"/>
      <c r="Q791" s="139"/>
      <c r="R791" s="139"/>
      <c r="S791" s="212"/>
      <c r="T791" s="138"/>
    </row>
    <row r="792" spans="1:20" ht="14.25" customHeight="1" x14ac:dyDescent="0.3">
      <c r="A792" s="136"/>
      <c r="B792" s="212"/>
      <c r="C792" s="138"/>
      <c r="D792" s="138"/>
      <c r="E792" s="138"/>
      <c r="F792" s="138"/>
      <c r="G792" s="138"/>
      <c r="H792" s="139"/>
      <c r="I792" s="138"/>
      <c r="J792" s="138"/>
      <c r="K792" s="138"/>
      <c r="L792" s="138"/>
      <c r="M792" s="139"/>
      <c r="N792" s="138"/>
      <c r="O792" s="138"/>
      <c r="P792" s="138"/>
      <c r="Q792" s="139"/>
      <c r="R792" s="139"/>
      <c r="S792" s="212"/>
      <c r="T792" s="138"/>
    </row>
    <row r="793" spans="1:20" ht="14.25" customHeight="1" x14ac:dyDescent="0.3">
      <c r="A793" s="136"/>
      <c r="B793" s="212"/>
      <c r="C793" s="138"/>
      <c r="D793" s="138"/>
      <c r="E793" s="138"/>
      <c r="F793" s="138"/>
      <c r="G793" s="138"/>
      <c r="H793" s="139"/>
      <c r="I793" s="138"/>
      <c r="J793" s="138"/>
      <c r="K793" s="138"/>
      <c r="L793" s="138"/>
      <c r="M793" s="139"/>
      <c r="N793" s="138"/>
      <c r="O793" s="138"/>
      <c r="P793" s="138"/>
      <c r="Q793" s="139"/>
      <c r="R793" s="139"/>
      <c r="S793" s="212"/>
      <c r="T793" s="138"/>
    </row>
    <row r="794" spans="1:20" ht="14.25" customHeight="1" x14ac:dyDescent="0.3">
      <c r="A794" s="136"/>
      <c r="B794" s="212"/>
      <c r="C794" s="138"/>
      <c r="D794" s="138"/>
      <c r="E794" s="138"/>
      <c r="F794" s="138"/>
      <c r="G794" s="138"/>
      <c r="H794" s="139"/>
      <c r="I794" s="138"/>
      <c r="J794" s="138"/>
      <c r="K794" s="138"/>
      <c r="L794" s="138"/>
      <c r="M794" s="139"/>
      <c r="N794" s="138"/>
      <c r="O794" s="138"/>
      <c r="P794" s="138"/>
      <c r="Q794" s="139"/>
      <c r="R794" s="139"/>
      <c r="S794" s="212"/>
      <c r="T794" s="138"/>
    </row>
    <row r="795" spans="1:20" ht="14.25" customHeight="1" x14ac:dyDescent="0.3">
      <c r="A795" s="136"/>
      <c r="B795" s="212"/>
      <c r="C795" s="138"/>
      <c r="D795" s="138"/>
      <c r="E795" s="138"/>
      <c r="F795" s="138"/>
      <c r="G795" s="138"/>
      <c r="H795" s="139"/>
      <c r="I795" s="138"/>
      <c r="J795" s="138"/>
      <c r="K795" s="138"/>
      <c r="L795" s="138"/>
      <c r="M795" s="139"/>
      <c r="N795" s="138"/>
      <c r="O795" s="138"/>
      <c r="P795" s="138"/>
      <c r="Q795" s="139"/>
      <c r="R795" s="139"/>
      <c r="S795" s="212"/>
      <c r="T795" s="138"/>
    </row>
    <row r="796" spans="1:20" ht="14.25" customHeight="1" x14ac:dyDescent="0.3">
      <c r="A796" s="136"/>
      <c r="B796" s="212"/>
      <c r="C796" s="138"/>
      <c r="D796" s="138"/>
      <c r="E796" s="138"/>
      <c r="F796" s="138"/>
      <c r="G796" s="138"/>
      <c r="H796" s="139"/>
      <c r="I796" s="138"/>
      <c r="J796" s="138"/>
      <c r="K796" s="138"/>
      <c r="L796" s="138"/>
      <c r="M796" s="139"/>
      <c r="N796" s="138"/>
      <c r="O796" s="138"/>
      <c r="P796" s="138"/>
      <c r="Q796" s="139"/>
      <c r="R796" s="139"/>
      <c r="S796" s="212"/>
      <c r="T796" s="138"/>
    </row>
    <row r="797" spans="1:20" ht="14.25" customHeight="1" x14ac:dyDescent="0.3">
      <c r="A797" s="136"/>
      <c r="B797" s="212"/>
      <c r="C797" s="138"/>
      <c r="D797" s="138"/>
      <c r="E797" s="138"/>
      <c r="F797" s="138"/>
      <c r="G797" s="138"/>
      <c r="H797" s="139"/>
      <c r="I797" s="138"/>
      <c r="J797" s="138"/>
      <c r="K797" s="138"/>
      <c r="L797" s="138"/>
      <c r="M797" s="139"/>
      <c r="N797" s="138"/>
      <c r="O797" s="138"/>
      <c r="P797" s="138"/>
      <c r="Q797" s="139"/>
      <c r="R797" s="139"/>
      <c r="S797" s="212"/>
      <c r="T797" s="138"/>
    </row>
    <row r="798" spans="1:20" ht="14.25" customHeight="1" x14ac:dyDescent="0.3">
      <c r="A798" s="136"/>
      <c r="B798" s="212"/>
      <c r="C798" s="138"/>
      <c r="D798" s="138"/>
      <c r="E798" s="138"/>
      <c r="F798" s="138"/>
      <c r="G798" s="138"/>
      <c r="H798" s="139"/>
      <c r="I798" s="138"/>
      <c r="J798" s="138"/>
      <c r="K798" s="138"/>
      <c r="L798" s="138"/>
      <c r="M798" s="139"/>
      <c r="N798" s="138"/>
      <c r="O798" s="138"/>
      <c r="P798" s="138"/>
      <c r="Q798" s="139"/>
      <c r="R798" s="139"/>
      <c r="S798" s="212"/>
      <c r="T798" s="138"/>
    </row>
    <row r="799" spans="1:20" ht="14.25" customHeight="1" x14ac:dyDescent="0.3">
      <c r="A799" s="136"/>
      <c r="B799" s="212"/>
      <c r="C799" s="138"/>
      <c r="D799" s="138"/>
      <c r="E799" s="138"/>
      <c r="F799" s="138"/>
      <c r="G799" s="138"/>
      <c r="H799" s="139"/>
      <c r="I799" s="138"/>
      <c r="J799" s="138"/>
      <c r="K799" s="138"/>
      <c r="L799" s="138"/>
      <c r="M799" s="139"/>
      <c r="N799" s="138"/>
      <c r="O799" s="138"/>
      <c r="P799" s="138"/>
      <c r="Q799" s="139"/>
      <c r="R799" s="139"/>
      <c r="S799" s="212"/>
      <c r="T799" s="138"/>
    </row>
    <row r="800" spans="1:20" ht="14.25" customHeight="1" x14ac:dyDescent="0.3">
      <c r="A800" s="136"/>
      <c r="B800" s="212"/>
      <c r="C800" s="138"/>
      <c r="D800" s="138"/>
      <c r="E800" s="138"/>
      <c r="F800" s="138"/>
      <c r="G800" s="138"/>
      <c r="H800" s="139"/>
      <c r="I800" s="138"/>
      <c r="J800" s="138"/>
      <c r="K800" s="138"/>
      <c r="L800" s="138"/>
      <c r="M800" s="139"/>
      <c r="N800" s="138"/>
      <c r="O800" s="138"/>
      <c r="P800" s="138"/>
      <c r="Q800" s="139"/>
      <c r="R800" s="139"/>
      <c r="S800" s="212"/>
      <c r="T800" s="138"/>
    </row>
    <row r="801" spans="1:20" ht="14.25" customHeight="1" x14ac:dyDescent="0.3">
      <c r="A801" s="136"/>
      <c r="B801" s="212"/>
      <c r="C801" s="138"/>
      <c r="D801" s="138"/>
      <c r="E801" s="138"/>
      <c r="F801" s="138"/>
      <c r="G801" s="138"/>
      <c r="H801" s="139"/>
      <c r="I801" s="138"/>
      <c r="J801" s="138"/>
      <c r="K801" s="138"/>
      <c r="L801" s="138"/>
      <c r="M801" s="139"/>
      <c r="N801" s="138"/>
      <c r="O801" s="138"/>
      <c r="P801" s="138"/>
      <c r="Q801" s="139"/>
      <c r="R801" s="139"/>
      <c r="S801" s="212"/>
      <c r="T801" s="138"/>
    </row>
    <row r="802" spans="1:20" ht="14.25" customHeight="1" x14ac:dyDescent="0.3">
      <c r="A802" s="136"/>
      <c r="B802" s="212"/>
      <c r="C802" s="138"/>
      <c r="D802" s="138"/>
      <c r="E802" s="138"/>
      <c r="F802" s="138"/>
      <c r="G802" s="138"/>
      <c r="H802" s="139"/>
      <c r="I802" s="138"/>
      <c r="J802" s="138"/>
      <c r="K802" s="138"/>
      <c r="L802" s="138"/>
      <c r="M802" s="139"/>
      <c r="N802" s="138"/>
      <c r="O802" s="138"/>
      <c r="P802" s="138"/>
      <c r="Q802" s="139"/>
      <c r="R802" s="139"/>
      <c r="S802" s="212"/>
      <c r="T802" s="138"/>
    </row>
    <row r="803" spans="1:20" ht="14.25" customHeight="1" x14ac:dyDescent="0.3">
      <c r="A803" s="136"/>
      <c r="B803" s="212"/>
      <c r="C803" s="138"/>
      <c r="D803" s="138"/>
      <c r="E803" s="138"/>
      <c r="F803" s="138"/>
      <c r="G803" s="138"/>
      <c r="H803" s="139"/>
      <c r="I803" s="138"/>
      <c r="J803" s="138"/>
      <c r="K803" s="138"/>
      <c r="L803" s="138"/>
      <c r="M803" s="139"/>
      <c r="N803" s="138"/>
      <c r="O803" s="138"/>
      <c r="P803" s="138"/>
      <c r="Q803" s="139"/>
      <c r="R803" s="139"/>
      <c r="S803" s="212"/>
      <c r="T803" s="138"/>
    </row>
    <row r="804" spans="1:20" ht="14.25" customHeight="1" x14ac:dyDescent="0.3">
      <c r="A804" s="136"/>
      <c r="B804" s="212"/>
      <c r="C804" s="138"/>
      <c r="D804" s="138"/>
      <c r="E804" s="138"/>
      <c r="F804" s="138"/>
      <c r="G804" s="138"/>
      <c r="H804" s="139"/>
      <c r="I804" s="138"/>
      <c r="J804" s="138"/>
      <c r="K804" s="138"/>
      <c r="L804" s="138"/>
      <c r="M804" s="139"/>
      <c r="N804" s="138"/>
      <c r="O804" s="138"/>
      <c r="P804" s="138"/>
      <c r="Q804" s="139"/>
      <c r="R804" s="139"/>
      <c r="S804" s="212"/>
      <c r="T804" s="138"/>
    </row>
    <row r="805" spans="1:20" ht="14.25" customHeight="1" x14ac:dyDescent="0.3">
      <c r="A805" s="136"/>
      <c r="B805" s="212"/>
      <c r="C805" s="138"/>
      <c r="D805" s="138"/>
      <c r="E805" s="138"/>
      <c r="F805" s="138"/>
      <c r="G805" s="138"/>
      <c r="H805" s="139"/>
      <c r="I805" s="138"/>
      <c r="J805" s="138"/>
      <c r="K805" s="138"/>
      <c r="L805" s="138"/>
      <c r="M805" s="139"/>
      <c r="N805" s="138"/>
      <c r="O805" s="138"/>
      <c r="P805" s="138"/>
      <c r="Q805" s="139"/>
      <c r="R805" s="139"/>
      <c r="S805" s="212"/>
      <c r="T805" s="138"/>
    </row>
    <row r="806" spans="1:20" ht="14.25" customHeight="1" x14ac:dyDescent="0.3">
      <c r="A806" s="136"/>
      <c r="B806" s="212"/>
      <c r="C806" s="138"/>
      <c r="D806" s="138"/>
      <c r="E806" s="138"/>
      <c r="F806" s="138"/>
      <c r="G806" s="138"/>
      <c r="H806" s="139"/>
      <c r="I806" s="138"/>
      <c r="J806" s="138"/>
      <c r="K806" s="138"/>
      <c r="L806" s="138"/>
      <c r="M806" s="139"/>
      <c r="N806" s="138"/>
      <c r="O806" s="138"/>
      <c r="P806" s="138"/>
      <c r="Q806" s="139"/>
      <c r="R806" s="139"/>
      <c r="S806" s="212"/>
      <c r="T806" s="138"/>
    </row>
    <row r="807" spans="1:20" ht="14.25" customHeight="1" x14ac:dyDescent="0.3">
      <c r="A807" s="136"/>
      <c r="B807" s="212"/>
      <c r="C807" s="138"/>
      <c r="D807" s="138"/>
      <c r="E807" s="138"/>
      <c r="F807" s="138"/>
      <c r="G807" s="138"/>
      <c r="H807" s="139"/>
      <c r="I807" s="138"/>
      <c r="J807" s="138"/>
      <c r="K807" s="138"/>
      <c r="L807" s="138"/>
      <c r="M807" s="139"/>
      <c r="N807" s="138"/>
      <c r="O807" s="138"/>
      <c r="P807" s="138"/>
      <c r="Q807" s="139"/>
      <c r="R807" s="139"/>
      <c r="S807" s="212"/>
      <c r="T807" s="138"/>
    </row>
    <row r="808" spans="1:20" ht="14.25" customHeight="1" x14ac:dyDescent="0.3">
      <c r="A808" s="136"/>
      <c r="B808" s="212"/>
      <c r="C808" s="138"/>
      <c r="D808" s="138"/>
      <c r="E808" s="138"/>
      <c r="F808" s="138"/>
      <c r="G808" s="138"/>
      <c r="H808" s="139"/>
      <c r="I808" s="138"/>
      <c r="J808" s="138"/>
      <c r="K808" s="138"/>
      <c r="L808" s="138"/>
      <c r="M808" s="139"/>
      <c r="N808" s="138"/>
      <c r="O808" s="138"/>
      <c r="P808" s="138"/>
      <c r="Q808" s="139"/>
      <c r="R808" s="139"/>
      <c r="S808" s="212"/>
      <c r="T808" s="138"/>
    </row>
    <row r="809" spans="1:20" ht="14.25" customHeight="1" x14ac:dyDescent="0.3">
      <c r="A809" s="136"/>
      <c r="B809" s="212"/>
      <c r="C809" s="138"/>
      <c r="D809" s="138"/>
      <c r="E809" s="138"/>
      <c r="F809" s="138"/>
      <c r="G809" s="138"/>
      <c r="H809" s="139"/>
      <c r="I809" s="138"/>
      <c r="J809" s="138"/>
      <c r="K809" s="138"/>
      <c r="L809" s="138"/>
      <c r="M809" s="139"/>
      <c r="N809" s="138"/>
      <c r="O809" s="138"/>
      <c r="P809" s="138"/>
      <c r="Q809" s="139"/>
      <c r="R809" s="139"/>
      <c r="S809" s="212"/>
      <c r="T809" s="138"/>
    </row>
    <row r="810" spans="1:20" ht="14.25" customHeight="1" x14ac:dyDescent="0.3">
      <c r="A810" s="136"/>
      <c r="B810" s="212"/>
      <c r="C810" s="138"/>
      <c r="D810" s="138"/>
      <c r="E810" s="138"/>
      <c r="F810" s="138"/>
      <c r="G810" s="138"/>
      <c r="H810" s="139"/>
      <c r="I810" s="138"/>
      <c r="J810" s="138"/>
      <c r="K810" s="138"/>
      <c r="L810" s="138"/>
      <c r="M810" s="139"/>
      <c r="N810" s="138"/>
      <c r="O810" s="138"/>
      <c r="P810" s="138"/>
      <c r="Q810" s="139"/>
      <c r="R810" s="139"/>
      <c r="S810" s="212"/>
      <c r="T810" s="138"/>
    </row>
    <row r="811" spans="1:20" ht="14.25" customHeight="1" x14ac:dyDescent="0.3">
      <c r="A811" s="136"/>
      <c r="B811" s="212"/>
      <c r="C811" s="138"/>
      <c r="D811" s="138"/>
      <c r="E811" s="138"/>
      <c r="F811" s="138"/>
      <c r="G811" s="138"/>
      <c r="H811" s="139"/>
      <c r="I811" s="138"/>
      <c r="J811" s="138"/>
      <c r="K811" s="138"/>
      <c r="L811" s="138"/>
      <c r="M811" s="139"/>
      <c r="N811" s="138"/>
      <c r="O811" s="138"/>
      <c r="P811" s="138"/>
      <c r="Q811" s="139"/>
      <c r="R811" s="139"/>
      <c r="S811" s="212"/>
      <c r="T811" s="138"/>
    </row>
    <row r="812" spans="1:20" ht="14.25" customHeight="1" x14ac:dyDescent="0.3">
      <c r="A812" s="136"/>
      <c r="B812" s="212"/>
      <c r="C812" s="138"/>
      <c r="D812" s="138"/>
      <c r="E812" s="138"/>
      <c r="F812" s="138"/>
      <c r="G812" s="138"/>
      <c r="H812" s="139"/>
      <c r="I812" s="138"/>
      <c r="J812" s="138"/>
      <c r="K812" s="138"/>
      <c r="L812" s="138"/>
      <c r="M812" s="139"/>
      <c r="N812" s="138"/>
      <c r="O812" s="138"/>
      <c r="P812" s="138"/>
      <c r="Q812" s="139"/>
      <c r="R812" s="139"/>
      <c r="S812" s="212"/>
      <c r="T812" s="138"/>
    </row>
    <row r="813" spans="1:20" ht="14.25" customHeight="1" x14ac:dyDescent="0.3">
      <c r="A813" s="136"/>
      <c r="B813" s="212"/>
      <c r="C813" s="138"/>
      <c r="D813" s="138"/>
      <c r="E813" s="138"/>
      <c r="F813" s="138"/>
      <c r="G813" s="138"/>
      <c r="H813" s="139"/>
      <c r="I813" s="138"/>
      <c r="J813" s="138"/>
      <c r="K813" s="138"/>
      <c r="L813" s="138"/>
      <c r="M813" s="139"/>
      <c r="N813" s="138"/>
      <c r="O813" s="138"/>
      <c r="P813" s="138"/>
      <c r="Q813" s="139"/>
      <c r="R813" s="139"/>
      <c r="S813" s="212"/>
      <c r="T813" s="138"/>
    </row>
    <row r="814" spans="1:20" ht="14.25" customHeight="1" x14ac:dyDescent="0.3">
      <c r="A814" s="136"/>
      <c r="B814" s="212"/>
      <c r="C814" s="138"/>
      <c r="D814" s="138"/>
      <c r="E814" s="138"/>
      <c r="F814" s="138"/>
      <c r="G814" s="138"/>
      <c r="H814" s="139"/>
      <c r="I814" s="138"/>
      <c r="J814" s="138"/>
      <c r="K814" s="138"/>
      <c r="L814" s="138"/>
      <c r="M814" s="139"/>
      <c r="N814" s="138"/>
      <c r="O814" s="138"/>
      <c r="P814" s="138"/>
      <c r="Q814" s="139"/>
      <c r="R814" s="139"/>
      <c r="S814" s="212"/>
      <c r="T814" s="138"/>
    </row>
    <row r="815" spans="1:20" ht="14.25" customHeight="1" x14ac:dyDescent="0.3">
      <c r="A815" s="136"/>
      <c r="B815" s="212"/>
      <c r="C815" s="138"/>
      <c r="D815" s="138"/>
      <c r="E815" s="138"/>
      <c r="F815" s="138"/>
      <c r="G815" s="138"/>
      <c r="H815" s="139"/>
      <c r="I815" s="138"/>
      <c r="J815" s="138"/>
      <c r="K815" s="138"/>
      <c r="L815" s="138"/>
      <c r="M815" s="139"/>
      <c r="N815" s="138"/>
      <c r="O815" s="138"/>
      <c r="P815" s="138"/>
      <c r="Q815" s="139"/>
      <c r="R815" s="139"/>
      <c r="S815" s="212"/>
      <c r="T815" s="138"/>
    </row>
    <row r="816" spans="1:20" ht="14.25" customHeight="1" x14ac:dyDescent="0.3">
      <c r="A816" s="136"/>
      <c r="B816" s="212"/>
      <c r="C816" s="138"/>
      <c r="D816" s="138"/>
      <c r="E816" s="138"/>
      <c r="F816" s="138"/>
      <c r="G816" s="138"/>
      <c r="H816" s="139"/>
      <c r="I816" s="138"/>
      <c r="J816" s="138"/>
      <c r="K816" s="138"/>
      <c r="L816" s="138"/>
      <c r="M816" s="139"/>
      <c r="N816" s="138"/>
      <c r="O816" s="138"/>
      <c r="P816" s="138"/>
      <c r="Q816" s="139"/>
      <c r="R816" s="139"/>
      <c r="S816" s="212"/>
      <c r="T816" s="138"/>
    </row>
    <row r="817" spans="1:20" ht="14.25" customHeight="1" x14ac:dyDescent="0.3">
      <c r="A817" s="136"/>
      <c r="B817" s="212"/>
      <c r="C817" s="138"/>
      <c r="D817" s="138"/>
      <c r="E817" s="138"/>
      <c r="F817" s="138"/>
      <c r="G817" s="138"/>
      <c r="H817" s="139"/>
      <c r="I817" s="138"/>
      <c r="J817" s="138"/>
      <c r="K817" s="138"/>
      <c r="L817" s="138"/>
      <c r="M817" s="139"/>
      <c r="N817" s="138"/>
      <c r="O817" s="138"/>
      <c r="P817" s="138"/>
      <c r="Q817" s="139"/>
      <c r="R817" s="139"/>
      <c r="S817" s="212"/>
      <c r="T817" s="138"/>
    </row>
    <row r="818" spans="1:20" ht="14.25" customHeight="1" x14ac:dyDescent="0.3">
      <c r="A818" s="136"/>
      <c r="B818" s="212"/>
      <c r="C818" s="138"/>
      <c r="D818" s="138"/>
      <c r="E818" s="138"/>
      <c r="F818" s="138"/>
      <c r="G818" s="138"/>
      <c r="H818" s="139"/>
      <c r="I818" s="138"/>
      <c r="J818" s="138"/>
      <c r="K818" s="138"/>
      <c r="L818" s="138"/>
      <c r="M818" s="139"/>
      <c r="N818" s="138"/>
      <c r="O818" s="138"/>
      <c r="P818" s="138"/>
      <c r="Q818" s="139"/>
      <c r="R818" s="139"/>
      <c r="S818" s="212"/>
      <c r="T818" s="138"/>
    </row>
    <row r="819" spans="1:20" ht="14.25" customHeight="1" x14ac:dyDescent="0.3">
      <c r="A819" s="136"/>
      <c r="B819" s="212"/>
      <c r="C819" s="138"/>
      <c r="D819" s="138"/>
      <c r="E819" s="138"/>
      <c r="F819" s="138"/>
      <c r="G819" s="138"/>
      <c r="H819" s="139"/>
      <c r="I819" s="138"/>
      <c r="J819" s="138"/>
      <c r="K819" s="138"/>
      <c r="L819" s="138"/>
      <c r="M819" s="139"/>
      <c r="N819" s="138"/>
      <c r="O819" s="138"/>
      <c r="P819" s="138"/>
      <c r="Q819" s="139"/>
      <c r="R819" s="139"/>
      <c r="S819" s="212"/>
      <c r="T819" s="138"/>
    </row>
    <row r="820" spans="1:20" ht="14.25" customHeight="1" x14ac:dyDescent="0.3">
      <c r="A820" s="136"/>
      <c r="B820" s="212"/>
      <c r="C820" s="138"/>
      <c r="D820" s="138"/>
      <c r="E820" s="138"/>
      <c r="F820" s="138"/>
      <c r="G820" s="138"/>
      <c r="H820" s="139"/>
      <c r="I820" s="138"/>
      <c r="J820" s="138"/>
      <c r="K820" s="138"/>
      <c r="L820" s="138"/>
      <c r="M820" s="139"/>
      <c r="N820" s="138"/>
      <c r="O820" s="138"/>
      <c r="P820" s="138"/>
      <c r="Q820" s="139"/>
      <c r="R820" s="139"/>
      <c r="S820" s="212"/>
      <c r="T820" s="138"/>
    </row>
    <row r="821" spans="1:20" ht="14.25" customHeight="1" x14ac:dyDescent="0.3">
      <c r="A821" s="136"/>
      <c r="B821" s="212"/>
      <c r="C821" s="138"/>
      <c r="D821" s="138"/>
      <c r="E821" s="138"/>
      <c r="F821" s="138"/>
      <c r="G821" s="138"/>
      <c r="H821" s="139"/>
      <c r="I821" s="138"/>
      <c r="J821" s="138"/>
      <c r="K821" s="138"/>
      <c r="L821" s="138"/>
      <c r="M821" s="139"/>
      <c r="N821" s="138"/>
      <c r="O821" s="138"/>
      <c r="P821" s="138"/>
      <c r="Q821" s="139"/>
      <c r="R821" s="139"/>
      <c r="S821" s="212"/>
      <c r="T821" s="138"/>
    </row>
    <row r="822" spans="1:20" ht="14.25" customHeight="1" x14ac:dyDescent="0.3">
      <c r="A822" s="136"/>
      <c r="B822" s="212"/>
      <c r="C822" s="138"/>
      <c r="D822" s="138"/>
      <c r="E822" s="138"/>
      <c r="F822" s="138"/>
      <c r="G822" s="138"/>
      <c r="H822" s="139"/>
      <c r="I822" s="138"/>
      <c r="J822" s="138"/>
      <c r="K822" s="138"/>
      <c r="L822" s="138"/>
      <c r="M822" s="139"/>
      <c r="N822" s="138"/>
      <c r="O822" s="138"/>
      <c r="P822" s="138"/>
      <c r="Q822" s="139"/>
      <c r="R822" s="139"/>
      <c r="S822" s="212"/>
      <c r="T822" s="138"/>
    </row>
    <row r="823" spans="1:20" ht="14.25" customHeight="1" x14ac:dyDescent="0.3">
      <c r="A823" s="136"/>
      <c r="B823" s="212"/>
      <c r="C823" s="138"/>
      <c r="D823" s="138"/>
      <c r="E823" s="138"/>
      <c r="F823" s="138"/>
      <c r="G823" s="138"/>
      <c r="H823" s="139"/>
      <c r="I823" s="138"/>
      <c r="J823" s="138"/>
      <c r="K823" s="138"/>
      <c r="L823" s="138"/>
      <c r="M823" s="139"/>
      <c r="N823" s="138"/>
      <c r="O823" s="138"/>
      <c r="P823" s="138"/>
      <c r="Q823" s="139"/>
      <c r="R823" s="139"/>
      <c r="S823" s="212"/>
      <c r="T823" s="138"/>
    </row>
    <row r="824" spans="1:20" ht="14.25" customHeight="1" x14ac:dyDescent="0.3">
      <c r="A824" s="136"/>
      <c r="B824" s="212"/>
      <c r="C824" s="138"/>
      <c r="D824" s="138"/>
      <c r="E824" s="138"/>
      <c r="F824" s="138"/>
      <c r="G824" s="138"/>
      <c r="H824" s="139"/>
      <c r="I824" s="138"/>
      <c r="J824" s="138"/>
      <c r="K824" s="138"/>
      <c r="L824" s="138"/>
      <c r="M824" s="139"/>
      <c r="N824" s="138"/>
      <c r="O824" s="138"/>
      <c r="P824" s="138"/>
      <c r="Q824" s="139"/>
      <c r="R824" s="139"/>
      <c r="S824" s="212"/>
      <c r="T824" s="138"/>
    </row>
    <row r="825" spans="1:20" ht="14.25" customHeight="1" x14ac:dyDescent="0.3">
      <c r="A825" s="136"/>
      <c r="B825" s="212"/>
      <c r="C825" s="138"/>
      <c r="D825" s="138"/>
      <c r="E825" s="138"/>
      <c r="F825" s="138"/>
      <c r="G825" s="138"/>
      <c r="H825" s="139"/>
      <c r="I825" s="138"/>
      <c r="J825" s="138"/>
      <c r="K825" s="138"/>
      <c r="L825" s="138"/>
      <c r="M825" s="139"/>
      <c r="N825" s="138"/>
      <c r="O825" s="138"/>
      <c r="P825" s="138"/>
      <c r="Q825" s="139"/>
      <c r="R825" s="139"/>
      <c r="S825" s="212"/>
      <c r="T825" s="138"/>
    </row>
    <row r="826" spans="1:20" ht="14.25" customHeight="1" x14ac:dyDescent="0.3">
      <c r="A826" s="136"/>
      <c r="B826" s="212"/>
      <c r="C826" s="138"/>
      <c r="D826" s="138"/>
      <c r="E826" s="138"/>
      <c r="F826" s="138"/>
      <c r="G826" s="138"/>
      <c r="H826" s="139"/>
      <c r="I826" s="138"/>
      <c r="J826" s="138"/>
      <c r="K826" s="138"/>
      <c r="L826" s="138"/>
      <c r="M826" s="139"/>
      <c r="N826" s="138"/>
      <c r="O826" s="138"/>
      <c r="P826" s="138"/>
      <c r="Q826" s="139"/>
      <c r="R826" s="139"/>
      <c r="S826" s="212"/>
      <c r="T826" s="138"/>
    </row>
    <row r="827" spans="1:20" ht="14.25" customHeight="1" x14ac:dyDescent="0.3">
      <c r="A827" s="136"/>
      <c r="B827" s="212"/>
      <c r="C827" s="138"/>
      <c r="D827" s="138"/>
      <c r="E827" s="138"/>
      <c r="F827" s="138"/>
      <c r="G827" s="138"/>
      <c r="H827" s="139"/>
      <c r="I827" s="138"/>
      <c r="J827" s="138"/>
      <c r="K827" s="138"/>
      <c r="L827" s="138"/>
      <c r="M827" s="139"/>
      <c r="N827" s="138"/>
      <c r="O827" s="138"/>
      <c r="P827" s="138"/>
      <c r="Q827" s="139"/>
      <c r="R827" s="139"/>
      <c r="S827" s="212"/>
      <c r="T827" s="138"/>
    </row>
    <row r="828" spans="1:20" ht="14.25" customHeight="1" x14ac:dyDescent="0.3">
      <c r="A828" s="136"/>
      <c r="B828" s="212"/>
      <c r="C828" s="138"/>
      <c r="D828" s="138"/>
      <c r="E828" s="138"/>
      <c r="F828" s="138"/>
      <c r="G828" s="138"/>
      <c r="H828" s="139"/>
      <c r="I828" s="138"/>
      <c r="J828" s="138"/>
      <c r="K828" s="138"/>
      <c r="L828" s="138"/>
      <c r="M828" s="139"/>
      <c r="N828" s="138"/>
      <c r="O828" s="138"/>
      <c r="P828" s="138"/>
      <c r="Q828" s="139"/>
      <c r="R828" s="139"/>
      <c r="S828" s="212"/>
      <c r="T828" s="138"/>
    </row>
    <row r="829" spans="1:20" ht="14.25" customHeight="1" x14ac:dyDescent="0.3">
      <c r="A829" s="136"/>
      <c r="B829" s="212"/>
      <c r="C829" s="138"/>
      <c r="D829" s="138"/>
      <c r="E829" s="138"/>
      <c r="F829" s="138"/>
      <c r="G829" s="138"/>
      <c r="H829" s="139"/>
      <c r="I829" s="138"/>
      <c r="J829" s="138"/>
      <c r="K829" s="138"/>
      <c r="L829" s="138"/>
      <c r="M829" s="139"/>
      <c r="N829" s="138"/>
      <c r="O829" s="138"/>
      <c r="P829" s="138"/>
      <c r="Q829" s="139"/>
      <c r="R829" s="139"/>
      <c r="S829" s="212"/>
      <c r="T829" s="138"/>
    </row>
    <row r="830" spans="1:20" ht="14.25" customHeight="1" x14ac:dyDescent="0.3">
      <c r="A830" s="136"/>
      <c r="B830" s="212"/>
      <c r="C830" s="138"/>
      <c r="D830" s="138"/>
      <c r="E830" s="138"/>
      <c r="F830" s="138"/>
      <c r="G830" s="138"/>
      <c r="H830" s="139"/>
      <c r="I830" s="138"/>
      <c r="J830" s="138"/>
      <c r="K830" s="138"/>
      <c r="L830" s="138"/>
      <c r="M830" s="139"/>
      <c r="N830" s="138"/>
      <c r="O830" s="138"/>
      <c r="P830" s="138"/>
      <c r="Q830" s="139"/>
      <c r="R830" s="139"/>
      <c r="S830" s="212"/>
      <c r="T830" s="138"/>
    </row>
    <row r="831" spans="1:20" ht="14.25" customHeight="1" x14ac:dyDescent="0.3">
      <c r="A831" s="136"/>
      <c r="B831" s="212"/>
      <c r="C831" s="138"/>
      <c r="D831" s="138"/>
      <c r="E831" s="138"/>
      <c r="F831" s="138"/>
      <c r="G831" s="138"/>
      <c r="H831" s="139"/>
      <c r="I831" s="138"/>
      <c r="J831" s="138"/>
      <c r="K831" s="138"/>
      <c r="L831" s="138"/>
      <c r="M831" s="139"/>
      <c r="N831" s="138"/>
      <c r="O831" s="138"/>
      <c r="P831" s="138"/>
      <c r="Q831" s="139"/>
      <c r="R831" s="139"/>
      <c r="S831" s="212"/>
      <c r="T831" s="138"/>
    </row>
    <row r="832" spans="1:20" ht="14.25" customHeight="1" x14ac:dyDescent="0.3">
      <c r="A832" s="136"/>
      <c r="B832" s="212"/>
      <c r="C832" s="138"/>
      <c r="D832" s="138"/>
      <c r="E832" s="138"/>
      <c r="F832" s="138"/>
      <c r="G832" s="138"/>
      <c r="H832" s="139"/>
      <c r="I832" s="138"/>
      <c r="J832" s="138"/>
      <c r="K832" s="138"/>
      <c r="L832" s="138"/>
      <c r="M832" s="139"/>
      <c r="N832" s="138"/>
      <c r="O832" s="138"/>
      <c r="P832" s="138"/>
      <c r="Q832" s="139"/>
      <c r="R832" s="139"/>
      <c r="S832" s="212"/>
      <c r="T832" s="138"/>
    </row>
    <row r="833" spans="1:20" ht="14.25" customHeight="1" x14ac:dyDescent="0.3">
      <c r="A833" s="136"/>
      <c r="B833" s="212"/>
      <c r="C833" s="138"/>
      <c r="D833" s="138"/>
      <c r="E833" s="138"/>
      <c r="F833" s="138"/>
      <c r="G833" s="138"/>
      <c r="H833" s="139"/>
      <c r="I833" s="138"/>
      <c r="J833" s="138"/>
      <c r="K833" s="138"/>
      <c r="L833" s="138"/>
      <c r="M833" s="139"/>
      <c r="N833" s="138"/>
      <c r="O833" s="138"/>
      <c r="P833" s="138"/>
      <c r="Q833" s="139"/>
      <c r="R833" s="139"/>
      <c r="S833" s="212"/>
      <c r="T833" s="138"/>
    </row>
    <row r="834" spans="1:20" ht="14.25" customHeight="1" x14ac:dyDescent="0.3">
      <c r="A834" s="136"/>
      <c r="B834" s="212"/>
      <c r="C834" s="138"/>
      <c r="D834" s="138"/>
      <c r="E834" s="138"/>
      <c r="F834" s="138"/>
      <c r="G834" s="138"/>
      <c r="H834" s="139"/>
      <c r="I834" s="138"/>
      <c r="J834" s="138"/>
      <c r="K834" s="138"/>
      <c r="L834" s="138"/>
      <c r="M834" s="139"/>
      <c r="N834" s="138"/>
      <c r="O834" s="138"/>
      <c r="P834" s="138"/>
      <c r="Q834" s="139"/>
      <c r="R834" s="139"/>
      <c r="S834" s="212"/>
      <c r="T834" s="138"/>
    </row>
    <row r="835" spans="1:20" ht="14.25" customHeight="1" x14ac:dyDescent="0.3">
      <c r="A835" s="136"/>
      <c r="B835" s="212"/>
      <c r="C835" s="138"/>
      <c r="D835" s="138"/>
      <c r="E835" s="138"/>
      <c r="F835" s="138"/>
      <c r="G835" s="138"/>
      <c r="H835" s="139"/>
      <c r="I835" s="138"/>
      <c r="J835" s="138"/>
      <c r="K835" s="138"/>
      <c r="L835" s="138"/>
      <c r="M835" s="139"/>
      <c r="N835" s="138"/>
      <c r="O835" s="138"/>
      <c r="P835" s="138"/>
      <c r="Q835" s="139"/>
      <c r="R835" s="139"/>
      <c r="S835" s="212"/>
      <c r="T835" s="138"/>
    </row>
    <row r="836" spans="1:20" ht="14.25" customHeight="1" x14ac:dyDescent="0.3">
      <c r="A836" s="136"/>
      <c r="B836" s="212"/>
      <c r="C836" s="138"/>
      <c r="D836" s="138"/>
      <c r="E836" s="138"/>
      <c r="F836" s="138"/>
      <c r="G836" s="138"/>
      <c r="H836" s="139"/>
      <c r="I836" s="138"/>
      <c r="J836" s="138"/>
      <c r="K836" s="138"/>
      <c r="L836" s="138"/>
      <c r="M836" s="139"/>
      <c r="N836" s="138"/>
      <c r="O836" s="138"/>
      <c r="P836" s="138"/>
      <c r="Q836" s="139"/>
      <c r="R836" s="139"/>
      <c r="S836" s="212"/>
      <c r="T836" s="138"/>
    </row>
    <row r="837" spans="1:20" ht="14.25" customHeight="1" x14ac:dyDescent="0.3">
      <c r="A837" s="136"/>
      <c r="B837" s="212"/>
      <c r="C837" s="138"/>
      <c r="D837" s="138"/>
      <c r="E837" s="138"/>
      <c r="F837" s="138"/>
      <c r="G837" s="138"/>
      <c r="H837" s="139"/>
      <c r="I837" s="138"/>
      <c r="J837" s="138"/>
      <c r="K837" s="138"/>
      <c r="L837" s="138"/>
      <c r="M837" s="139"/>
      <c r="N837" s="138"/>
      <c r="O837" s="138"/>
      <c r="P837" s="138"/>
      <c r="Q837" s="139"/>
      <c r="R837" s="139"/>
      <c r="S837" s="212"/>
      <c r="T837" s="138"/>
    </row>
    <row r="838" spans="1:20" ht="14.25" customHeight="1" x14ac:dyDescent="0.3">
      <c r="A838" s="136"/>
      <c r="B838" s="212"/>
      <c r="C838" s="138"/>
      <c r="D838" s="138"/>
      <c r="E838" s="138"/>
      <c r="F838" s="138"/>
      <c r="G838" s="138"/>
      <c r="H838" s="139"/>
      <c r="I838" s="138"/>
      <c r="J838" s="138"/>
      <c r="K838" s="138"/>
      <c r="L838" s="138"/>
      <c r="M838" s="139"/>
      <c r="N838" s="138"/>
      <c r="O838" s="138"/>
      <c r="P838" s="138"/>
      <c r="Q838" s="139"/>
      <c r="R838" s="139"/>
      <c r="S838" s="212"/>
      <c r="T838" s="138"/>
    </row>
    <row r="839" spans="1:20" ht="14.25" customHeight="1" x14ac:dyDescent="0.3">
      <c r="A839" s="136"/>
      <c r="B839" s="212"/>
      <c r="C839" s="138"/>
      <c r="D839" s="138"/>
      <c r="E839" s="138"/>
      <c r="F839" s="138"/>
      <c r="G839" s="138"/>
      <c r="H839" s="139"/>
      <c r="I839" s="138"/>
      <c r="J839" s="138"/>
      <c r="K839" s="138"/>
      <c r="L839" s="138"/>
      <c r="M839" s="139"/>
      <c r="N839" s="138"/>
      <c r="O839" s="138"/>
      <c r="P839" s="138"/>
      <c r="Q839" s="139"/>
      <c r="R839" s="139"/>
      <c r="S839" s="212"/>
      <c r="T839" s="138"/>
    </row>
    <row r="840" spans="1:20" ht="14.25" customHeight="1" x14ac:dyDescent="0.3">
      <c r="A840" s="136"/>
      <c r="B840" s="212"/>
      <c r="C840" s="138"/>
      <c r="D840" s="138"/>
      <c r="E840" s="138"/>
      <c r="F840" s="138"/>
      <c r="G840" s="138"/>
      <c r="H840" s="139"/>
      <c r="I840" s="138"/>
      <c r="J840" s="138"/>
      <c r="K840" s="138"/>
      <c r="L840" s="138"/>
      <c r="M840" s="139"/>
      <c r="N840" s="138"/>
      <c r="O840" s="138"/>
      <c r="P840" s="138"/>
      <c r="Q840" s="139"/>
      <c r="R840" s="139"/>
      <c r="S840" s="212"/>
      <c r="T840" s="138"/>
    </row>
    <row r="841" spans="1:20" ht="14.25" customHeight="1" x14ac:dyDescent="0.3">
      <c r="A841" s="136"/>
      <c r="B841" s="212"/>
      <c r="C841" s="138"/>
      <c r="D841" s="138"/>
      <c r="E841" s="138"/>
      <c r="F841" s="138"/>
      <c r="G841" s="138"/>
      <c r="H841" s="139"/>
      <c r="I841" s="138"/>
      <c r="J841" s="138"/>
      <c r="K841" s="138"/>
      <c r="L841" s="138"/>
      <c r="M841" s="139"/>
      <c r="N841" s="138"/>
      <c r="O841" s="138"/>
      <c r="P841" s="138"/>
      <c r="Q841" s="139"/>
      <c r="R841" s="139"/>
      <c r="S841" s="212"/>
      <c r="T841" s="138"/>
    </row>
    <row r="842" spans="1:20" ht="14.25" customHeight="1" x14ac:dyDescent="0.3">
      <c r="A842" s="136"/>
      <c r="B842" s="212"/>
      <c r="C842" s="138"/>
      <c r="D842" s="138"/>
      <c r="E842" s="138"/>
      <c r="F842" s="138"/>
      <c r="G842" s="138"/>
      <c r="H842" s="139"/>
      <c r="I842" s="138"/>
      <c r="J842" s="138"/>
      <c r="K842" s="138"/>
      <c r="L842" s="138"/>
      <c r="M842" s="139"/>
      <c r="N842" s="138"/>
      <c r="O842" s="138"/>
      <c r="P842" s="138"/>
      <c r="Q842" s="139"/>
      <c r="R842" s="139"/>
      <c r="S842" s="212"/>
      <c r="T842" s="138"/>
    </row>
    <row r="843" spans="1:20" ht="14.25" customHeight="1" x14ac:dyDescent="0.3">
      <c r="A843" s="136"/>
      <c r="B843" s="212"/>
      <c r="C843" s="138"/>
      <c r="D843" s="138"/>
      <c r="E843" s="138"/>
      <c r="F843" s="138"/>
      <c r="G843" s="138"/>
      <c r="H843" s="139"/>
      <c r="I843" s="138"/>
      <c r="J843" s="138"/>
      <c r="K843" s="138"/>
      <c r="L843" s="138"/>
      <c r="M843" s="139"/>
      <c r="N843" s="138"/>
      <c r="O843" s="138"/>
      <c r="P843" s="138"/>
      <c r="Q843" s="139"/>
      <c r="R843" s="139"/>
      <c r="S843" s="212"/>
      <c r="T843" s="138"/>
    </row>
    <row r="844" spans="1:20" ht="14.25" customHeight="1" x14ac:dyDescent="0.3">
      <c r="A844" s="136"/>
      <c r="B844" s="212"/>
      <c r="C844" s="138"/>
      <c r="D844" s="138"/>
      <c r="E844" s="138"/>
      <c r="F844" s="138"/>
      <c r="G844" s="138"/>
      <c r="H844" s="139"/>
      <c r="I844" s="138"/>
      <c r="J844" s="138"/>
      <c r="K844" s="138"/>
      <c r="L844" s="138"/>
      <c r="M844" s="139"/>
      <c r="N844" s="138"/>
      <c r="O844" s="138"/>
      <c r="P844" s="138"/>
      <c r="Q844" s="139"/>
      <c r="R844" s="139"/>
      <c r="S844" s="212"/>
      <c r="T844" s="138"/>
    </row>
    <row r="845" spans="1:20" ht="14.25" customHeight="1" x14ac:dyDescent="0.3">
      <c r="A845" s="136"/>
      <c r="B845" s="212"/>
      <c r="C845" s="138"/>
      <c r="D845" s="138"/>
      <c r="E845" s="138"/>
      <c r="F845" s="138"/>
      <c r="G845" s="138"/>
      <c r="H845" s="139"/>
      <c r="I845" s="138"/>
      <c r="J845" s="138"/>
      <c r="K845" s="138"/>
      <c r="L845" s="138"/>
      <c r="M845" s="139"/>
      <c r="N845" s="138"/>
      <c r="O845" s="138"/>
      <c r="P845" s="138"/>
      <c r="Q845" s="139"/>
      <c r="R845" s="139"/>
      <c r="S845" s="212"/>
      <c r="T845" s="138"/>
    </row>
    <row r="846" spans="1:20" ht="14.25" customHeight="1" x14ac:dyDescent="0.3">
      <c r="A846" s="136"/>
      <c r="B846" s="212"/>
      <c r="C846" s="138"/>
      <c r="D846" s="138"/>
      <c r="E846" s="138"/>
      <c r="F846" s="138"/>
      <c r="G846" s="138"/>
      <c r="H846" s="139"/>
      <c r="I846" s="138"/>
      <c r="J846" s="138"/>
      <c r="K846" s="138"/>
      <c r="L846" s="138"/>
      <c r="M846" s="139"/>
      <c r="N846" s="138"/>
      <c r="O846" s="138"/>
      <c r="P846" s="138"/>
      <c r="Q846" s="139"/>
      <c r="R846" s="139"/>
      <c r="S846" s="212"/>
      <c r="T846" s="138"/>
    </row>
    <row r="847" spans="1:20" ht="14.25" customHeight="1" x14ac:dyDescent="0.3">
      <c r="A847" s="136"/>
      <c r="B847" s="212"/>
      <c r="C847" s="138"/>
      <c r="D847" s="138"/>
      <c r="E847" s="138"/>
      <c r="F847" s="138"/>
      <c r="G847" s="138"/>
      <c r="H847" s="139"/>
      <c r="I847" s="138"/>
      <c r="J847" s="138"/>
      <c r="K847" s="138"/>
      <c r="L847" s="138"/>
      <c r="M847" s="139"/>
      <c r="N847" s="138"/>
      <c r="O847" s="138"/>
      <c r="P847" s="138"/>
      <c r="Q847" s="139"/>
      <c r="R847" s="139"/>
      <c r="S847" s="212"/>
      <c r="T847" s="138"/>
    </row>
    <row r="848" spans="1:20" ht="14.25" customHeight="1" x14ac:dyDescent="0.3">
      <c r="A848" s="136"/>
      <c r="B848" s="212"/>
      <c r="C848" s="138"/>
      <c r="D848" s="138"/>
      <c r="E848" s="138"/>
      <c r="F848" s="138"/>
      <c r="G848" s="138"/>
      <c r="H848" s="139"/>
      <c r="I848" s="138"/>
      <c r="J848" s="138"/>
      <c r="K848" s="138"/>
      <c r="L848" s="138"/>
      <c r="M848" s="139"/>
      <c r="N848" s="138"/>
      <c r="O848" s="138"/>
      <c r="P848" s="138"/>
      <c r="Q848" s="139"/>
      <c r="R848" s="139"/>
      <c r="S848" s="212"/>
      <c r="T848" s="138"/>
    </row>
    <row r="849" spans="1:20" ht="14.25" customHeight="1" x14ac:dyDescent="0.3">
      <c r="A849" s="136"/>
      <c r="B849" s="212"/>
      <c r="C849" s="138"/>
      <c r="D849" s="138"/>
      <c r="E849" s="138"/>
      <c r="F849" s="138"/>
      <c r="G849" s="138"/>
      <c r="H849" s="139"/>
      <c r="I849" s="138"/>
      <c r="J849" s="138"/>
      <c r="K849" s="138"/>
      <c r="L849" s="138"/>
      <c r="M849" s="139"/>
      <c r="N849" s="138"/>
      <c r="O849" s="138"/>
      <c r="P849" s="138"/>
      <c r="Q849" s="139"/>
      <c r="R849" s="139"/>
      <c r="S849" s="212"/>
      <c r="T849" s="138"/>
    </row>
    <row r="850" spans="1:20" ht="14.25" customHeight="1" x14ac:dyDescent="0.3">
      <c r="A850" s="136"/>
      <c r="B850" s="212"/>
      <c r="C850" s="138"/>
      <c r="D850" s="138"/>
      <c r="E850" s="138"/>
      <c r="F850" s="138"/>
      <c r="G850" s="138"/>
      <c r="H850" s="139"/>
      <c r="I850" s="138"/>
      <c r="J850" s="138"/>
      <c r="K850" s="138"/>
      <c r="L850" s="138"/>
      <c r="M850" s="139"/>
      <c r="N850" s="138"/>
      <c r="O850" s="138"/>
      <c r="P850" s="138"/>
      <c r="Q850" s="139"/>
      <c r="R850" s="139"/>
      <c r="S850" s="212"/>
      <c r="T850" s="138"/>
    </row>
    <row r="851" spans="1:20" ht="14.25" customHeight="1" x14ac:dyDescent="0.3">
      <c r="A851" s="136"/>
      <c r="B851" s="212"/>
      <c r="C851" s="138"/>
      <c r="D851" s="138"/>
      <c r="E851" s="138"/>
      <c r="F851" s="138"/>
      <c r="G851" s="138"/>
      <c r="H851" s="139"/>
      <c r="I851" s="138"/>
      <c r="J851" s="138"/>
      <c r="K851" s="138"/>
      <c r="L851" s="138"/>
      <c r="M851" s="139"/>
      <c r="N851" s="138"/>
      <c r="O851" s="138"/>
      <c r="P851" s="138"/>
      <c r="Q851" s="139"/>
      <c r="R851" s="139"/>
      <c r="S851" s="212"/>
      <c r="T851" s="138"/>
    </row>
    <row r="852" spans="1:20" ht="14.25" customHeight="1" x14ac:dyDescent="0.3">
      <c r="A852" s="136"/>
      <c r="B852" s="212"/>
      <c r="C852" s="138"/>
      <c r="D852" s="138"/>
      <c r="E852" s="138"/>
      <c r="F852" s="138"/>
      <c r="G852" s="138"/>
      <c r="H852" s="139"/>
      <c r="I852" s="138"/>
      <c r="J852" s="138"/>
      <c r="K852" s="138"/>
      <c r="L852" s="138"/>
      <c r="M852" s="139"/>
      <c r="N852" s="138"/>
      <c r="O852" s="138"/>
      <c r="P852" s="138"/>
      <c r="Q852" s="139"/>
      <c r="R852" s="139"/>
      <c r="S852" s="212"/>
      <c r="T852" s="138"/>
    </row>
    <row r="853" spans="1:20" ht="14.25" customHeight="1" x14ac:dyDescent="0.3">
      <c r="A853" s="136"/>
      <c r="B853" s="212"/>
      <c r="C853" s="138"/>
      <c r="D853" s="138"/>
      <c r="E853" s="138"/>
      <c r="F853" s="138"/>
      <c r="G853" s="138"/>
      <c r="H853" s="139"/>
      <c r="I853" s="138"/>
      <c r="J853" s="138"/>
      <c r="K853" s="138"/>
      <c r="L853" s="138"/>
      <c r="M853" s="139"/>
      <c r="N853" s="138"/>
      <c r="O853" s="138"/>
      <c r="P853" s="138"/>
      <c r="Q853" s="139"/>
      <c r="R853" s="139"/>
      <c r="S853" s="212"/>
      <c r="T853" s="138"/>
    </row>
    <row r="854" spans="1:20" ht="14.25" customHeight="1" x14ac:dyDescent="0.3">
      <c r="A854" s="136"/>
      <c r="B854" s="212"/>
      <c r="C854" s="138"/>
      <c r="D854" s="138"/>
      <c r="E854" s="138"/>
      <c r="F854" s="138"/>
      <c r="G854" s="138"/>
      <c r="H854" s="139"/>
      <c r="I854" s="138"/>
      <c r="J854" s="138"/>
      <c r="K854" s="138"/>
      <c r="L854" s="138"/>
      <c r="M854" s="139"/>
      <c r="N854" s="138"/>
      <c r="O854" s="138"/>
      <c r="P854" s="138"/>
      <c r="Q854" s="139"/>
      <c r="R854" s="139"/>
      <c r="S854" s="212"/>
      <c r="T854" s="138"/>
    </row>
    <row r="855" spans="1:20" ht="14.25" customHeight="1" x14ac:dyDescent="0.3">
      <c r="A855" s="136"/>
      <c r="B855" s="212"/>
      <c r="C855" s="138"/>
      <c r="D855" s="138"/>
      <c r="E855" s="138"/>
      <c r="F855" s="138"/>
      <c r="G855" s="138"/>
      <c r="H855" s="139"/>
      <c r="I855" s="138"/>
      <c r="J855" s="138"/>
      <c r="K855" s="138"/>
      <c r="L855" s="138"/>
      <c r="M855" s="139"/>
      <c r="N855" s="138"/>
      <c r="O855" s="138"/>
      <c r="P855" s="138"/>
      <c r="Q855" s="139"/>
      <c r="R855" s="139"/>
      <c r="S855" s="212"/>
      <c r="T855" s="138"/>
    </row>
    <row r="856" spans="1:20" ht="14.25" customHeight="1" x14ac:dyDescent="0.3">
      <c r="A856" s="136"/>
      <c r="B856" s="212"/>
      <c r="C856" s="138"/>
      <c r="D856" s="138"/>
      <c r="E856" s="138"/>
      <c r="F856" s="138"/>
      <c r="G856" s="138"/>
      <c r="H856" s="139"/>
      <c r="I856" s="138"/>
      <c r="J856" s="138"/>
      <c r="K856" s="138"/>
      <c r="L856" s="138"/>
      <c r="M856" s="139"/>
      <c r="N856" s="138"/>
      <c r="O856" s="138"/>
      <c r="P856" s="138"/>
      <c r="Q856" s="139"/>
      <c r="R856" s="139"/>
      <c r="S856" s="212"/>
      <c r="T856" s="138"/>
    </row>
    <row r="857" spans="1:20" ht="14.25" customHeight="1" x14ac:dyDescent="0.3">
      <c r="A857" s="136"/>
      <c r="B857" s="212"/>
      <c r="C857" s="138"/>
      <c r="D857" s="138"/>
      <c r="E857" s="138"/>
      <c r="F857" s="138"/>
      <c r="G857" s="138"/>
      <c r="H857" s="139"/>
      <c r="I857" s="138"/>
      <c r="J857" s="138"/>
      <c r="K857" s="138"/>
      <c r="L857" s="138"/>
      <c r="M857" s="139"/>
      <c r="N857" s="138"/>
      <c r="O857" s="138"/>
      <c r="P857" s="138"/>
      <c r="Q857" s="139"/>
      <c r="R857" s="139"/>
      <c r="S857" s="212"/>
      <c r="T857" s="138"/>
    </row>
    <row r="858" spans="1:20" ht="14.25" customHeight="1" x14ac:dyDescent="0.3">
      <c r="A858" s="136"/>
      <c r="B858" s="212"/>
      <c r="C858" s="138"/>
      <c r="D858" s="138"/>
      <c r="E858" s="138"/>
      <c r="F858" s="138"/>
      <c r="G858" s="138"/>
      <c r="H858" s="139"/>
      <c r="I858" s="138"/>
      <c r="J858" s="138"/>
      <c r="K858" s="138"/>
      <c r="L858" s="138"/>
      <c r="M858" s="139"/>
      <c r="N858" s="138"/>
      <c r="O858" s="138"/>
      <c r="P858" s="138"/>
      <c r="Q858" s="139"/>
      <c r="R858" s="139"/>
      <c r="S858" s="212"/>
      <c r="T858" s="138"/>
    </row>
    <row r="859" spans="1:20" ht="14.25" customHeight="1" x14ac:dyDescent="0.3">
      <c r="A859" s="136"/>
      <c r="B859" s="212"/>
      <c r="C859" s="138"/>
      <c r="D859" s="138"/>
      <c r="E859" s="138"/>
      <c r="F859" s="138"/>
      <c r="G859" s="138"/>
      <c r="H859" s="139"/>
      <c r="I859" s="138"/>
      <c r="J859" s="138"/>
      <c r="K859" s="138"/>
      <c r="L859" s="138"/>
      <c r="M859" s="139"/>
      <c r="N859" s="138"/>
      <c r="O859" s="138"/>
      <c r="P859" s="138"/>
      <c r="Q859" s="139"/>
      <c r="R859" s="139"/>
      <c r="S859" s="212"/>
      <c r="T859" s="138"/>
    </row>
    <row r="860" spans="1:20" ht="14.25" customHeight="1" x14ac:dyDescent="0.3">
      <c r="A860" s="136"/>
      <c r="B860" s="212"/>
      <c r="C860" s="138"/>
      <c r="D860" s="138"/>
      <c r="E860" s="138"/>
      <c r="F860" s="138"/>
      <c r="G860" s="138"/>
      <c r="H860" s="139"/>
      <c r="I860" s="138"/>
      <c r="J860" s="138"/>
      <c r="K860" s="138"/>
      <c r="L860" s="138"/>
      <c r="M860" s="139"/>
      <c r="N860" s="138"/>
      <c r="O860" s="138"/>
      <c r="P860" s="138"/>
      <c r="Q860" s="139"/>
      <c r="R860" s="139"/>
      <c r="S860" s="212"/>
      <c r="T860" s="138"/>
    </row>
    <row r="861" spans="1:20" ht="14.25" customHeight="1" x14ac:dyDescent="0.3">
      <c r="A861" s="136"/>
      <c r="B861" s="212"/>
      <c r="C861" s="138"/>
      <c r="D861" s="138"/>
      <c r="E861" s="138"/>
      <c r="F861" s="138"/>
      <c r="G861" s="138"/>
      <c r="H861" s="139"/>
      <c r="I861" s="138"/>
      <c r="J861" s="138"/>
      <c r="K861" s="138"/>
      <c r="L861" s="138"/>
      <c r="M861" s="139"/>
      <c r="N861" s="138"/>
      <c r="O861" s="138"/>
      <c r="P861" s="138"/>
      <c r="Q861" s="139"/>
      <c r="R861" s="139"/>
      <c r="S861" s="212"/>
      <c r="T861" s="138"/>
    </row>
    <row r="862" spans="1:20" ht="14.25" customHeight="1" x14ac:dyDescent="0.3">
      <c r="A862" s="136"/>
      <c r="B862" s="212"/>
      <c r="C862" s="138"/>
      <c r="D862" s="138"/>
      <c r="E862" s="138"/>
      <c r="F862" s="138"/>
      <c r="G862" s="138"/>
      <c r="H862" s="139"/>
      <c r="I862" s="138"/>
      <c r="J862" s="138"/>
      <c r="K862" s="138"/>
      <c r="L862" s="138"/>
      <c r="M862" s="139"/>
      <c r="N862" s="138"/>
      <c r="O862" s="138"/>
      <c r="P862" s="138"/>
      <c r="Q862" s="139"/>
      <c r="R862" s="139"/>
      <c r="S862" s="212"/>
      <c r="T862" s="138"/>
    </row>
    <row r="863" spans="1:20" ht="14.25" customHeight="1" x14ac:dyDescent="0.3">
      <c r="A863" s="136"/>
      <c r="B863" s="212"/>
      <c r="C863" s="138"/>
      <c r="D863" s="138"/>
      <c r="E863" s="138"/>
      <c r="F863" s="138"/>
      <c r="G863" s="138"/>
      <c r="H863" s="139"/>
      <c r="I863" s="138"/>
      <c r="J863" s="138"/>
      <c r="K863" s="138"/>
      <c r="L863" s="138"/>
      <c r="M863" s="139"/>
      <c r="N863" s="138"/>
      <c r="O863" s="138"/>
      <c r="P863" s="138"/>
      <c r="Q863" s="139"/>
      <c r="R863" s="139"/>
      <c r="S863" s="212"/>
      <c r="T863" s="138"/>
    </row>
    <row r="864" spans="1:20" ht="14.25" customHeight="1" x14ac:dyDescent="0.3">
      <c r="A864" s="136"/>
      <c r="B864" s="212"/>
      <c r="C864" s="138"/>
      <c r="D864" s="138"/>
      <c r="E864" s="138"/>
      <c r="F864" s="138"/>
      <c r="G864" s="138"/>
      <c r="H864" s="139"/>
      <c r="I864" s="138"/>
      <c r="J864" s="138"/>
      <c r="K864" s="138"/>
      <c r="L864" s="138"/>
      <c r="M864" s="139"/>
      <c r="N864" s="138"/>
      <c r="O864" s="138"/>
      <c r="P864" s="138"/>
      <c r="Q864" s="139"/>
      <c r="R864" s="139"/>
      <c r="S864" s="212"/>
      <c r="T864" s="138"/>
    </row>
    <row r="865" spans="1:20" ht="14.25" customHeight="1" x14ac:dyDescent="0.3">
      <c r="A865" s="136"/>
      <c r="B865" s="212"/>
      <c r="C865" s="138"/>
      <c r="D865" s="138"/>
      <c r="E865" s="138"/>
      <c r="F865" s="138"/>
      <c r="G865" s="138"/>
      <c r="H865" s="139"/>
      <c r="I865" s="138"/>
      <c r="J865" s="138"/>
      <c r="K865" s="138"/>
      <c r="L865" s="138"/>
      <c r="M865" s="139"/>
      <c r="N865" s="138"/>
      <c r="O865" s="138"/>
      <c r="P865" s="138"/>
      <c r="Q865" s="139"/>
      <c r="R865" s="139"/>
      <c r="S865" s="212"/>
      <c r="T865" s="138"/>
    </row>
    <row r="866" spans="1:20" ht="14.25" customHeight="1" x14ac:dyDescent="0.3">
      <c r="A866" s="136"/>
      <c r="B866" s="212"/>
      <c r="C866" s="138"/>
      <c r="D866" s="138"/>
      <c r="E866" s="138"/>
      <c r="F866" s="138"/>
      <c r="G866" s="138"/>
      <c r="H866" s="139"/>
      <c r="I866" s="138"/>
      <c r="J866" s="138"/>
      <c r="K866" s="138"/>
      <c r="L866" s="138"/>
      <c r="M866" s="139"/>
      <c r="N866" s="138"/>
      <c r="O866" s="138"/>
      <c r="P866" s="138"/>
      <c r="Q866" s="139"/>
      <c r="R866" s="139"/>
      <c r="S866" s="212"/>
      <c r="T866" s="138"/>
    </row>
    <row r="867" spans="1:20" ht="14.25" customHeight="1" x14ac:dyDescent="0.3">
      <c r="A867" s="136"/>
      <c r="B867" s="212"/>
      <c r="C867" s="138"/>
      <c r="D867" s="138"/>
      <c r="E867" s="138"/>
      <c r="F867" s="138"/>
      <c r="G867" s="138"/>
      <c r="H867" s="139"/>
      <c r="I867" s="138"/>
      <c r="J867" s="138"/>
      <c r="K867" s="138"/>
      <c r="L867" s="138"/>
      <c r="M867" s="139"/>
      <c r="N867" s="138"/>
      <c r="O867" s="138"/>
      <c r="P867" s="138"/>
      <c r="Q867" s="139"/>
      <c r="R867" s="139"/>
      <c r="S867" s="212"/>
      <c r="T867" s="138"/>
    </row>
    <row r="868" spans="1:20" ht="14.25" customHeight="1" x14ac:dyDescent="0.3">
      <c r="A868" s="136"/>
      <c r="B868" s="212"/>
      <c r="C868" s="138"/>
      <c r="D868" s="138"/>
      <c r="E868" s="138"/>
      <c r="F868" s="138"/>
      <c r="G868" s="138"/>
      <c r="H868" s="139"/>
      <c r="I868" s="138"/>
      <c r="J868" s="138"/>
      <c r="K868" s="138"/>
      <c r="L868" s="138"/>
      <c r="M868" s="139"/>
      <c r="N868" s="138"/>
      <c r="O868" s="138"/>
      <c r="P868" s="138"/>
      <c r="Q868" s="139"/>
      <c r="R868" s="139"/>
      <c r="S868" s="212"/>
      <c r="T868" s="138"/>
    </row>
    <row r="869" spans="1:20" ht="14.25" customHeight="1" x14ac:dyDescent="0.3">
      <c r="A869" s="136"/>
      <c r="B869" s="212"/>
      <c r="C869" s="138"/>
      <c r="D869" s="138"/>
      <c r="E869" s="138"/>
      <c r="F869" s="138"/>
      <c r="G869" s="138"/>
      <c r="H869" s="139"/>
      <c r="I869" s="138"/>
      <c r="J869" s="138"/>
      <c r="K869" s="138"/>
      <c r="L869" s="138"/>
      <c r="M869" s="139"/>
      <c r="N869" s="138"/>
      <c r="O869" s="138"/>
      <c r="P869" s="138"/>
      <c r="Q869" s="139"/>
      <c r="R869" s="139"/>
      <c r="S869" s="212"/>
      <c r="T869" s="138"/>
    </row>
    <row r="870" spans="1:20" ht="14.25" customHeight="1" x14ac:dyDescent="0.3">
      <c r="A870" s="136"/>
      <c r="B870" s="212"/>
      <c r="C870" s="138"/>
      <c r="D870" s="138"/>
      <c r="E870" s="138"/>
      <c r="F870" s="138"/>
      <c r="G870" s="138"/>
      <c r="H870" s="139"/>
      <c r="I870" s="138"/>
      <c r="J870" s="138"/>
      <c r="K870" s="138"/>
      <c r="L870" s="138"/>
      <c r="M870" s="139"/>
      <c r="N870" s="138"/>
      <c r="O870" s="138"/>
      <c r="P870" s="138"/>
      <c r="Q870" s="139"/>
      <c r="R870" s="139"/>
      <c r="S870" s="212"/>
      <c r="T870" s="138"/>
    </row>
    <row r="871" spans="1:20" ht="14.25" customHeight="1" x14ac:dyDescent="0.3">
      <c r="A871" s="136"/>
      <c r="B871" s="212"/>
      <c r="C871" s="138"/>
      <c r="D871" s="138"/>
      <c r="E871" s="138"/>
      <c r="F871" s="138"/>
      <c r="G871" s="138"/>
      <c r="H871" s="139"/>
      <c r="I871" s="138"/>
      <c r="J871" s="138"/>
      <c r="K871" s="138"/>
      <c r="L871" s="138"/>
      <c r="M871" s="139"/>
      <c r="N871" s="138"/>
      <c r="O871" s="138"/>
      <c r="P871" s="138"/>
      <c r="Q871" s="139"/>
      <c r="R871" s="139"/>
      <c r="S871" s="212"/>
      <c r="T871" s="138"/>
    </row>
    <row r="872" spans="1:20" ht="14.25" customHeight="1" x14ac:dyDescent="0.3">
      <c r="A872" s="136"/>
      <c r="B872" s="212"/>
      <c r="C872" s="138"/>
      <c r="D872" s="138"/>
      <c r="E872" s="138"/>
      <c r="F872" s="138"/>
      <c r="G872" s="138"/>
      <c r="H872" s="139"/>
      <c r="I872" s="138"/>
      <c r="J872" s="138"/>
      <c r="K872" s="138"/>
      <c r="L872" s="138"/>
      <c r="M872" s="139"/>
      <c r="N872" s="138"/>
      <c r="O872" s="138"/>
      <c r="P872" s="138"/>
      <c r="Q872" s="139"/>
      <c r="R872" s="139"/>
      <c r="S872" s="212"/>
      <c r="T872" s="138"/>
    </row>
    <row r="873" spans="1:20" ht="14.25" customHeight="1" x14ac:dyDescent="0.3">
      <c r="A873" s="136"/>
      <c r="B873" s="212"/>
      <c r="C873" s="138"/>
      <c r="D873" s="138"/>
      <c r="E873" s="138"/>
      <c r="F873" s="138"/>
      <c r="G873" s="138"/>
      <c r="H873" s="139"/>
      <c r="I873" s="138"/>
      <c r="J873" s="138"/>
      <c r="K873" s="138"/>
      <c r="L873" s="138"/>
      <c r="M873" s="139"/>
      <c r="N873" s="138"/>
      <c r="O873" s="138"/>
      <c r="P873" s="138"/>
      <c r="Q873" s="139"/>
      <c r="R873" s="139"/>
      <c r="S873" s="212"/>
      <c r="T873" s="138"/>
    </row>
    <row r="874" spans="1:20" ht="14.25" customHeight="1" x14ac:dyDescent="0.3">
      <c r="A874" s="136"/>
      <c r="B874" s="212"/>
      <c r="C874" s="138"/>
      <c r="D874" s="138"/>
      <c r="E874" s="138"/>
      <c r="F874" s="138"/>
      <c r="G874" s="138"/>
      <c r="H874" s="139"/>
      <c r="I874" s="138"/>
      <c r="J874" s="138"/>
      <c r="K874" s="138"/>
      <c r="L874" s="138"/>
      <c r="M874" s="139"/>
      <c r="N874" s="138"/>
      <c r="O874" s="138"/>
      <c r="P874" s="138"/>
      <c r="Q874" s="139"/>
      <c r="R874" s="139"/>
      <c r="S874" s="212"/>
      <c r="T874" s="138"/>
    </row>
    <row r="875" spans="1:20" ht="14.25" customHeight="1" x14ac:dyDescent="0.3">
      <c r="A875" s="136"/>
      <c r="B875" s="212"/>
      <c r="C875" s="138"/>
      <c r="D875" s="138"/>
      <c r="E875" s="138"/>
      <c r="F875" s="138"/>
      <c r="G875" s="138"/>
      <c r="H875" s="139"/>
      <c r="I875" s="138"/>
      <c r="J875" s="138"/>
      <c r="K875" s="138"/>
      <c r="L875" s="138"/>
      <c r="M875" s="139"/>
      <c r="N875" s="138"/>
      <c r="O875" s="138"/>
      <c r="P875" s="138"/>
      <c r="Q875" s="139"/>
      <c r="R875" s="139"/>
      <c r="S875" s="212"/>
      <c r="T875" s="138"/>
    </row>
    <row r="876" spans="1:20" ht="14.25" customHeight="1" x14ac:dyDescent="0.3">
      <c r="A876" s="136"/>
      <c r="B876" s="212"/>
      <c r="C876" s="138"/>
      <c r="D876" s="138"/>
      <c r="E876" s="138"/>
      <c r="F876" s="138"/>
      <c r="G876" s="138"/>
      <c r="H876" s="139"/>
      <c r="I876" s="138"/>
      <c r="J876" s="138"/>
      <c r="K876" s="138"/>
      <c r="L876" s="138"/>
      <c r="M876" s="139"/>
      <c r="N876" s="138"/>
      <c r="O876" s="138"/>
      <c r="P876" s="138"/>
      <c r="Q876" s="139"/>
      <c r="R876" s="139"/>
      <c r="S876" s="212"/>
      <c r="T876" s="138"/>
    </row>
    <row r="877" spans="1:20" ht="14.25" customHeight="1" x14ac:dyDescent="0.3">
      <c r="A877" s="136"/>
      <c r="B877" s="212"/>
      <c r="C877" s="138"/>
      <c r="D877" s="138"/>
      <c r="E877" s="138"/>
      <c r="F877" s="138"/>
      <c r="G877" s="138"/>
      <c r="H877" s="139"/>
      <c r="I877" s="138"/>
      <c r="J877" s="138"/>
      <c r="K877" s="138"/>
      <c r="L877" s="138"/>
      <c r="M877" s="139"/>
      <c r="N877" s="138"/>
      <c r="O877" s="138"/>
      <c r="P877" s="138"/>
      <c r="Q877" s="139"/>
      <c r="R877" s="139"/>
      <c r="S877" s="212"/>
      <c r="T877" s="138"/>
    </row>
    <row r="878" spans="1:20" ht="14.25" customHeight="1" x14ac:dyDescent="0.3">
      <c r="A878" s="136"/>
      <c r="B878" s="212"/>
      <c r="C878" s="138"/>
      <c r="D878" s="138"/>
      <c r="E878" s="138"/>
      <c r="F878" s="138"/>
      <c r="G878" s="138"/>
      <c r="H878" s="139"/>
      <c r="I878" s="138"/>
      <c r="J878" s="138"/>
      <c r="K878" s="138"/>
      <c r="L878" s="138"/>
      <c r="M878" s="139"/>
      <c r="N878" s="138"/>
      <c r="O878" s="138"/>
      <c r="P878" s="138"/>
      <c r="Q878" s="139"/>
      <c r="R878" s="139"/>
      <c r="S878" s="212"/>
      <c r="T878" s="138"/>
    </row>
    <row r="879" spans="1:20" ht="14.25" customHeight="1" x14ac:dyDescent="0.3">
      <c r="A879" s="136"/>
      <c r="B879" s="212"/>
      <c r="C879" s="138"/>
      <c r="D879" s="138"/>
      <c r="E879" s="138"/>
      <c r="F879" s="138"/>
      <c r="G879" s="138"/>
      <c r="H879" s="139"/>
      <c r="I879" s="138"/>
      <c r="J879" s="138"/>
      <c r="K879" s="138"/>
      <c r="L879" s="138"/>
      <c r="M879" s="139"/>
      <c r="N879" s="138"/>
      <c r="O879" s="138"/>
      <c r="P879" s="138"/>
      <c r="Q879" s="139"/>
      <c r="R879" s="139"/>
      <c r="S879" s="212"/>
      <c r="T879" s="138"/>
    </row>
    <row r="880" spans="1:20" ht="14.25" customHeight="1" x14ac:dyDescent="0.3">
      <c r="A880" s="136"/>
      <c r="B880" s="212"/>
      <c r="C880" s="138"/>
      <c r="D880" s="138"/>
      <c r="E880" s="138"/>
      <c r="F880" s="138"/>
      <c r="G880" s="138"/>
      <c r="H880" s="139"/>
      <c r="I880" s="138"/>
      <c r="J880" s="138"/>
      <c r="K880" s="138"/>
      <c r="L880" s="138"/>
      <c r="M880" s="139"/>
      <c r="N880" s="138"/>
      <c r="O880" s="138"/>
      <c r="P880" s="138"/>
      <c r="Q880" s="139"/>
      <c r="R880" s="139"/>
      <c r="S880" s="212"/>
      <c r="T880" s="138"/>
    </row>
    <row r="881" spans="1:20" ht="14.25" customHeight="1" x14ac:dyDescent="0.3">
      <c r="A881" s="136"/>
      <c r="B881" s="212"/>
      <c r="C881" s="138"/>
      <c r="D881" s="138"/>
      <c r="E881" s="138"/>
      <c r="F881" s="138"/>
      <c r="G881" s="138"/>
      <c r="H881" s="139"/>
      <c r="I881" s="138"/>
      <c r="J881" s="138"/>
      <c r="K881" s="138"/>
      <c r="L881" s="138"/>
      <c r="M881" s="139"/>
      <c r="N881" s="138"/>
      <c r="O881" s="138"/>
      <c r="P881" s="138"/>
      <c r="Q881" s="139"/>
      <c r="R881" s="139"/>
      <c r="S881" s="212"/>
      <c r="T881" s="138"/>
    </row>
    <row r="882" spans="1:20" ht="14.25" customHeight="1" x14ac:dyDescent="0.3">
      <c r="A882" s="136"/>
      <c r="B882" s="212"/>
      <c r="C882" s="138"/>
      <c r="D882" s="138"/>
      <c r="E882" s="138"/>
      <c r="F882" s="138"/>
      <c r="G882" s="138"/>
      <c r="H882" s="139"/>
      <c r="I882" s="138"/>
      <c r="J882" s="138"/>
      <c r="K882" s="138"/>
      <c r="L882" s="138"/>
      <c r="M882" s="139"/>
      <c r="N882" s="138"/>
      <c r="O882" s="138"/>
      <c r="P882" s="138"/>
      <c r="Q882" s="139"/>
      <c r="R882" s="139"/>
      <c r="S882" s="212"/>
      <c r="T882" s="138"/>
    </row>
    <row r="883" spans="1:20" ht="14.25" customHeight="1" x14ac:dyDescent="0.3">
      <c r="A883" s="136"/>
      <c r="B883" s="212"/>
      <c r="C883" s="138"/>
      <c r="D883" s="138"/>
      <c r="E883" s="138"/>
      <c r="F883" s="138"/>
      <c r="G883" s="138"/>
      <c r="H883" s="139"/>
      <c r="I883" s="138"/>
      <c r="J883" s="138"/>
      <c r="K883" s="138"/>
      <c r="L883" s="138"/>
      <c r="M883" s="139"/>
      <c r="N883" s="138"/>
      <c r="O883" s="138"/>
      <c r="P883" s="138"/>
      <c r="Q883" s="139"/>
      <c r="R883" s="139"/>
      <c r="S883" s="212"/>
      <c r="T883" s="138"/>
    </row>
    <row r="884" spans="1:20" ht="14.25" customHeight="1" x14ac:dyDescent="0.3">
      <c r="A884" s="136"/>
      <c r="B884" s="212"/>
      <c r="C884" s="138"/>
      <c r="D884" s="138"/>
      <c r="E884" s="138"/>
      <c r="F884" s="138"/>
      <c r="G884" s="138"/>
      <c r="H884" s="139"/>
      <c r="I884" s="138"/>
      <c r="J884" s="138"/>
      <c r="K884" s="138"/>
      <c r="L884" s="138"/>
      <c r="M884" s="139"/>
      <c r="N884" s="138"/>
      <c r="O884" s="138"/>
      <c r="P884" s="138"/>
      <c r="Q884" s="139"/>
      <c r="R884" s="139"/>
      <c r="S884" s="212"/>
      <c r="T884" s="138"/>
    </row>
    <row r="885" spans="1:20" ht="14.25" customHeight="1" x14ac:dyDescent="0.3">
      <c r="A885" s="136"/>
      <c r="B885" s="212"/>
      <c r="C885" s="138"/>
      <c r="D885" s="138"/>
      <c r="E885" s="138"/>
      <c r="F885" s="138"/>
      <c r="G885" s="138"/>
      <c r="H885" s="139"/>
      <c r="I885" s="138"/>
      <c r="J885" s="138"/>
      <c r="K885" s="138"/>
      <c r="L885" s="138"/>
      <c r="M885" s="139"/>
      <c r="N885" s="138"/>
      <c r="O885" s="138"/>
      <c r="P885" s="138"/>
      <c r="Q885" s="139"/>
      <c r="R885" s="139"/>
      <c r="S885" s="212"/>
      <c r="T885" s="138"/>
    </row>
    <row r="886" spans="1:20" ht="14.25" customHeight="1" x14ac:dyDescent="0.3">
      <c r="A886" s="136"/>
      <c r="B886" s="212"/>
      <c r="C886" s="138"/>
      <c r="D886" s="138"/>
      <c r="E886" s="138"/>
      <c r="F886" s="138"/>
      <c r="G886" s="138"/>
      <c r="H886" s="139"/>
      <c r="I886" s="138"/>
      <c r="J886" s="138"/>
      <c r="K886" s="138"/>
      <c r="L886" s="138"/>
      <c r="M886" s="139"/>
      <c r="N886" s="138"/>
      <c r="O886" s="138"/>
      <c r="P886" s="138"/>
      <c r="Q886" s="139"/>
      <c r="R886" s="139"/>
      <c r="S886" s="212"/>
      <c r="T886" s="138"/>
    </row>
    <row r="887" spans="1:20" ht="14.25" customHeight="1" x14ac:dyDescent="0.3">
      <c r="A887" s="136"/>
      <c r="B887" s="212"/>
      <c r="C887" s="138"/>
      <c r="D887" s="138"/>
      <c r="E887" s="138"/>
      <c r="F887" s="138"/>
      <c r="G887" s="138"/>
      <c r="H887" s="139"/>
      <c r="I887" s="138"/>
      <c r="J887" s="138"/>
      <c r="K887" s="138"/>
      <c r="L887" s="138"/>
      <c r="M887" s="139"/>
      <c r="N887" s="138"/>
      <c r="O887" s="138"/>
      <c r="P887" s="138"/>
      <c r="Q887" s="139"/>
      <c r="R887" s="139"/>
      <c r="S887" s="212"/>
      <c r="T887" s="138"/>
    </row>
    <row r="888" spans="1:20" ht="14.25" customHeight="1" x14ac:dyDescent="0.3">
      <c r="A888" s="136"/>
      <c r="B888" s="212"/>
      <c r="C888" s="138"/>
      <c r="D888" s="138"/>
      <c r="E888" s="138"/>
      <c r="F888" s="138"/>
      <c r="G888" s="138"/>
      <c r="H888" s="139"/>
      <c r="I888" s="138"/>
      <c r="J888" s="138"/>
      <c r="K888" s="138"/>
      <c r="L888" s="138"/>
      <c r="M888" s="139"/>
      <c r="N888" s="138"/>
      <c r="O888" s="138"/>
      <c r="P888" s="138"/>
      <c r="Q888" s="139"/>
      <c r="R888" s="139"/>
      <c r="S888" s="212"/>
      <c r="T888" s="138"/>
    </row>
    <row r="889" spans="1:20" ht="14.25" customHeight="1" x14ac:dyDescent="0.3">
      <c r="A889" s="136"/>
      <c r="B889" s="212"/>
      <c r="C889" s="138"/>
      <c r="D889" s="138"/>
      <c r="E889" s="138"/>
      <c r="F889" s="138"/>
      <c r="G889" s="138"/>
      <c r="H889" s="139"/>
      <c r="I889" s="138"/>
      <c r="J889" s="138"/>
      <c r="K889" s="138"/>
      <c r="L889" s="138"/>
      <c r="M889" s="139"/>
      <c r="N889" s="138"/>
      <c r="O889" s="138"/>
      <c r="P889" s="138"/>
      <c r="Q889" s="139"/>
      <c r="R889" s="139"/>
      <c r="S889" s="212"/>
      <c r="T889" s="138"/>
    </row>
    <row r="890" spans="1:20" ht="14.25" customHeight="1" x14ac:dyDescent="0.3">
      <c r="A890" s="136"/>
      <c r="B890" s="212"/>
      <c r="C890" s="138"/>
      <c r="D890" s="138"/>
      <c r="E890" s="138"/>
      <c r="F890" s="138"/>
      <c r="G890" s="138"/>
      <c r="H890" s="139"/>
      <c r="I890" s="138"/>
      <c r="J890" s="138"/>
      <c r="K890" s="138"/>
      <c r="L890" s="138"/>
      <c r="M890" s="139"/>
      <c r="N890" s="138"/>
      <c r="O890" s="138"/>
      <c r="P890" s="138"/>
      <c r="Q890" s="139"/>
      <c r="R890" s="139"/>
      <c r="S890" s="212"/>
      <c r="T890" s="138"/>
    </row>
    <row r="891" spans="1:20" ht="14.25" customHeight="1" x14ac:dyDescent="0.3">
      <c r="A891" s="136"/>
      <c r="B891" s="212"/>
      <c r="C891" s="138"/>
      <c r="D891" s="138"/>
      <c r="E891" s="138"/>
      <c r="F891" s="138"/>
      <c r="G891" s="138"/>
      <c r="H891" s="139"/>
      <c r="I891" s="138"/>
      <c r="J891" s="138"/>
      <c r="K891" s="138"/>
      <c r="L891" s="138"/>
      <c r="M891" s="139"/>
      <c r="N891" s="138"/>
      <c r="O891" s="138"/>
      <c r="P891" s="138"/>
      <c r="Q891" s="139"/>
      <c r="R891" s="139"/>
      <c r="S891" s="212"/>
      <c r="T891" s="138"/>
    </row>
    <row r="892" spans="1:20" ht="14.25" customHeight="1" x14ac:dyDescent="0.3">
      <c r="A892" s="136"/>
      <c r="B892" s="212"/>
      <c r="C892" s="138"/>
      <c r="D892" s="138"/>
      <c r="E892" s="138"/>
      <c r="F892" s="138"/>
      <c r="G892" s="138"/>
      <c r="H892" s="139"/>
      <c r="I892" s="138"/>
      <c r="J892" s="138"/>
      <c r="K892" s="138"/>
      <c r="L892" s="138"/>
      <c r="M892" s="139"/>
      <c r="N892" s="138"/>
      <c r="O892" s="138"/>
      <c r="P892" s="138"/>
      <c r="Q892" s="139"/>
      <c r="R892" s="139"/>
      <c r="S892" s="212"/>
      <c r="T892" s="138"/>
    </row>
    <row r="893" spans="1:20" ht="14.25" customHeight="1" x14ac:dyDescent="0.3">
      <c r="A893" s="136"/>
      <c r="B893" s="212"/>
      <c r="C893" s="138"/>
      <c r="D893" s="138"/>
      <c r="E893" s="138"/>
      <c r="F893" s="138"/>
      <c r="G893" s="138"/>
      <c r="H893" s="139"/>
      <c r="I893" s="138"/>
      <c r="J893" s="138"/>
      <c r="K893" s="138"/>
      <c r="L893" s="138"/>
      <c r="M893" s="139"/>
      <c r="N893" s="138"/>
      <c r="O893" s="138"/>
      <c r="P893" s="138"/>
      <c r="Q893" s="139"/>
      <c r="R893" s="139"/>
      <c r="S893" s="212"/>
      <c r="T893" s="138"/>
    </row>
    <row r="894" spans="1:20" ht="14.25" customHeight="1" x14ac:dyDescent="0.3">
      <c r="A894" s="136"/>
      <c r="B894" s="212"/>
      <c r="C894" s="138"/>
      <c r="D894" s="138"/>
      <c r="E894" s="138"/>
      <c r="F894" s="138"/>
      <c r="G894" s="138"/>
      <c r="H894" s="139"/>
      <c r="I894" s="138"/>
      <c r="J894" s="138"/>
      <c r="K894" s="138"/>
      <c r="L894" s="138"/>
      <c r="M894" s="139"/>
      <c r="N894" s="138"/>
      <c r="O894" s="138"/>
      <c r="P894" s="138"/>
      <c r="Q894" s="139"/>
      <c r="R894" s="139"/>
      <c r="S894" s="212"/>
      <c r="T894" s="138"/>
    </row>
    <row r="895" spans="1:20" ht="14.25" customHeight="1" x14ac:dyDescent="0.3">
      <c r="A895" s="136"/>
      <c r="B895" s="212"/>
      <c r="C895" s="138"/>
      <c r="D895" s="138"/>
      <c r="E895" s="138"/>
      <c r="F895" s="138"/>
      <c r="G895" s="138"/>
      <c r="H895" s="139"/>
      <c r="I895" s="138"/>
      <c r="J895" s="138"/>
      <c r="K895" s="138"/>
      <c r="L895" s="138"/>
      <c r="M895" s="139"/>
      <c r="N895" s="138"/>
      <c r="O895" s="138"/>
      <c r="P895" s="138"/>
      <c r="Q895" s="139"/>
      <c r="R895" s="139"/>
      <c r="S895" s="212"/>
      <c r="T895" s="138"/>
    </row>
    <row r="896" spans="1:20" ht="14.25" customHeight="1" x14ac:dyDescent="0.3">
      <c r="A896" s="136"/>
      <c r="B896" s="212"/>
      <c r="C896" s="138"/>
      <c r="D896" s="138"/>
      <c r="E896" s="138"/>
      <c r="F896" s="138"/>
      <c r="G896" s="138"/>
      <c r="H896" s="139"/>
      <c r="I896" s="138"/>
      <c r="J896" s="138"/>
      <c r="K896" s="138"/>
      <c r="L896" s="138"/>
      <c r="M896" s="139"/>
      <c r="N896" s="138"/>
      <c r="O896" s="138"/>
      <c r="P896" s="138"/>
      <c r="Q896" s="139"/>
      <c r="R896" s="139"/>
      <c r="S896" s="212"/>
      <c r="T896" s="138"/>
    </row>
    <row r="897" spans="1:20" ht="14.25" customHeight="1" x14ac:dyDescent="0.3">
      <c r="A897" s="136"/>
      <c r="B897" s="212"/>
      <c r="C897" s="138"/>
      <c r="D897" s="138"/>
      <c r="E897" s="138"/>
      <c r="F897" s="138"/>
      <c r="G897" s="138"/>
      <c r="H897" s="139"/>
      <c r="I897" s="138"/>
      <c r="J897" s="138"/>
      <c r="K897" s="138"/>
      <c r="L897" s="138"/>
      <c r="M897" s="139"/>
      <c r="N897" s="138"/>
      <c r="O897" s="138"/>
      <c r="P897" s="138"/>
      <c r="Q897" s="139"/>
      <c r="R897" s="139"/>
      <c r="S897" s="212"/>
      <c r="T897" s="138"/>
    </row>
    <row r="898" spans="1:20" ht="14.25" customHeight="1" x14ac:dyDescent="0.3">
      <c r="A898" s="136"/>
      <c r="B898" s="212"/>
      <c r="C898" s="138"/>
      <c r="D898" s="138"/>
      <c r="E898" s="138"/>
      <c r="F898" s="138"/>
      <c r="G898" s="138"/>
      <c r="H898" s="139"/>
      <c r="I898" s="138"/>
      <c r="J898" s="138"/>
      <c r="K898" s="138"/>
      <c r="L898" s="138"/>
      <c r="M898" s="139"/>
      <c r="N898" s="138"/>
      <c r="O898" s="138"/>
      <c r="P898" s="138"/>
      <c r="Q898" s="139"/>
      <c r="R898" s="139"/>
      <c r="S898" s="212"/>
      <c r="T898" s="138"/>
    </row>
    <row r="899" spans="1:20" ht="14.25" customHeight="1" x14ac:dyDescent="0.3">
      <c r="A899" s="136"/>
      <c r="B899" s="212"/>
      <c r="C899" s="138"/>
      <c r="D899" s="138"/>
      <c r="E899" s="138"/>
      <c r="F899" s="138"/>
      <c r="G899" s="138"/>
      <c r="H899" s="139"/>
      <c r="I899" s="138"/>
      <c r="J899" s="138"/>
      <c r="K899" s="138"/>
      <c r="L899" s="138"/>
      <c r="M899" s="139"/>
      <c r="N899" s="138"/>
      <c r="O899" s="138"/>
      <c r="P899" s="138"/>
      <c r="Q899" s="139"/>
      <c r="R899" s="139"/>
      <c r="S899" s="212"/>
      <c r="T899" s="138"/>
    </row>
    <row r="900" spans="1:20" ht="14.25" customHeight="1" x14ac:dyDescent="0.3">
      <c r="A900" s="136"/>
      <c r="B900" s="212"/>
      <c r="C900" s="138"/>
      <c r="D900" s="138"/>
      <c r="E900" s="138"/>
      <c r="F900" s="138"/>
      <c r="G900" s="138"/>
      <c r="H900" s="139"/>
      <c r="I900" s="138"/>
      <c r="J900" s="138"/>
      <c r="K900" s="138"/>
      <c r="L900" s="138"/>
      <c r="M900" s="139"/>
      <c r="N900" s="138"/>
      <c r="O900" s="138"/>
      <c r="P900" s="138"/>
      <c r="Q900" s="139"/>
      <c r="R900" s="139"/>
      <c r="S900" s="212"/>
      <c r="T900" s="138"/>
    </row>
    <row r="901" spans="1:20" ht="14.25" customHeight="1" x14ac:dyDescent="0.3">
      <c r="A901" s="136"/>
      <c r="B901" s="212"/>
      <c r="C901" s="138"/>
      <c r="D901" s="138"/>
      <c r="E901" s="138"/>
      <c r="F901" s="138"/>
      <c r="G901" s="138"/>
      <c r="H901" s="139"/>
      <c r="I901" s="138"/>
      <c r="J901" s="138"/>
      <c r="K901" s="138"/>
      <c r="L901" s="138"/>
      <c r="M901" s="139"/>
      <c r="N901" s="138"/>
      <c r="O901" s="138"/>
      <c r="P901" s="138"/>
      <c r="Q901" s="139"/>
      <c r="R901" s="139"/>
      <c r="S901" s="212"/>
      <c r="T901" s="138"/>
    </row>
    <row r="902" spans="1:20" ht="14.25" customHeight="1" x14ac:dyDescent="0.3">
      <c r="A902" s="136"/>
      <c r="B902" s="212"/>
      <c r="C902" s="138"/>
      <c r="D902" s="138"/>
      <c r="E902" s="138"/>
      <c r="F902" s="138"/>
      <c r="G902" s="138"/>
      <c r="H902" s="139"/>
      <c r="I902" s="138"/>
      <c r="J902" s="138"/>
      <c r="K902" s="138"/>
      <c r="L902" s="138"/>
      <c r="M902" s="139"/>
      <c r="N902" s="138"/>
      <c r="O902" s="138"/>
      <c r="P902" s="138"/>
      <c r="Q902" s="139"/>
      <c r="R902" s="139"/>
      <c r="S902" s="212"/>
      <c r="T902" s="138"/>
    </row>
    <row r="903" spans="1:20" ht="14.25" customHeight="1" x14ac:dyDescent="0.3">
      <c r="A903" s="136"/>
      <c r="B903" s="212"/>
      <c r="C903" s="138"/>
      <c r="D903" s="138"/>
      <c r="E903" s="138"/>
      <c r="F903" s="138"/>
      <c r="G903" s="138"/>
      <c r="H903" s="139"/>
      <c r="I903" s="138"/>
      <c r="J903" s="138"/>
      <c r="K903" s="138"/>
      <c r="L903" s="138"/>
      <c r="M903" s="139"/>
      <c r="N903" s="138"/>
      <c r="O903" s="138"/>
      <c r="P903" s="138"/>
      <c r="Q903" s="139"/>
      <c r="R903" s="139"/>
      <c r="S903" s="212"/>
      <c r="T903" s="138"/>
    </row>
    <row r="904" spans="1:20" ht="14.25" customHeight="1" x14ac:dyDescent="0.3">
      <c r="A904" s="136"/>
      <c r="B904" s="212"/>
      <c r="C904" s="138"/>
      <c r="D904" s="138"/>
      <c r="E904" s="138"/>
      <c r="F904" s="138"/>
      <c r="G904" s="138"/>
      <c r="H904" s="139"/>
      <c r="I904" s="138"/>
      <c r="J904" s="138"/>
      <c r="K904" s="138"/>
      <c r="L904" s="138"/>
      <c r="M904" s="139"/>
      <c r="N904" s="138"/>
      <c r="O904" s="138"/>
      <c r="P904" s="138"/>
      <c r="Q904" s="139"/>
      <c r="R904" s="139"/>
      <c r="S904" s="212"/>
      <c r="T904" s="138"/>
    </row>
    <row r="905" spans="1:20" ht="14.25" customHeight="1" x14ac:dyDescent="0.3">
      <c r="A905" s="136"/>
      <c r="B905" s="212"/>
      <c r="C905" s="138"/>
      <c r="D905" s="138"/>
      <c r="E905" s="138"/>
      <c r="F905" s="138"/>
      <c r="G905" s="138"/>
      <c r="H905" s="139"/>
      <c r="I905" s="138"/>
      <c r="J905" s="138"/>
      <c r="K905" s="138"/>
      <c r="L905" s="138"/>
      <c r="M905" s="139"/>
      <c r="N905" s="138"/>
      <c r="O905" s="138"/>
      <c r="P905" s="138"/>
      <c r="Q905" s="139"/>
      <c r="R905" s="139"/>
      <c r="S905" s="212"/>
      <c r="T905" s="138"/>
    </row>
    <row r="906" spans="1:20" ht="14.25" customHeight="1" x14ac:dyDescent="0.3">
      <c r="A906" s="136"/>
      <c r="B906" s="212"/>
      <c r="C906" s="138"/>
      <c r="D906" s="138"/>
      <c r="E906" s="138"/>
      <c r="F906" s="138"/>
      <c r="G906" s="138"/>
      <c r="H906" s="139"/>
      <c r="I906" s="138"/>
      <c r="J906" s="138"/>
      <c r="K906" s="138"/>
      <c r="L906" s="138"/>
      <c r="M906" s="139"/>
      <c r="N906" s="138"/>
      <c r="O906" s="138"/>
      <c r="P906" s="138"/>
      <c r="Q906" s="139"/>
      <c r="R906" s="139"/>
      <c r="S906" s="212"/>
      <c r="T906" s="138"/>
    </row>
    <row r="907" spans="1:20" ht="14.25" customHeight="1" x14ac:dyDescent="0.3">
      <c r="A907" s="136"/>
      <c r="B907" s="212"/>
      <c r="C907" s="138"/>
      <c r="D907" s="138"/>
      <c r="E907" s="138"/>
      <c r="F907" s="138"/>
      <c r="G907" s="138"/>
      <c r="H907" s="139"/>
      <c r="I907" s="138"/>
      <c r="J907" s="138"/>
      <c r="K907" s="138"/>
      <c r="L907" s="138"/>
      <c r="M907" s="139"/>
      <c r="N907" s="138"/>
      <c r="O907" s="138"/>
      <c r="P907" s="138"/>
      <c r="Q907" s="139"/>
      <c r="R907" s="139"/>
      <c r="S907" s="212"/>
      <c r="T907" s="138"/>
    </row>
    <row r="908" spans="1:20" ht="14.25" customHeight="1" x14ac:dyDescent="0.3">
      <c r="A908" s="136"/>
      <c r="B908" s="212"/>
      <c r="C908" s="138"/>
      <c r="D908" s="138"/>
      <c r="E908" s="138"/>
      <c r="F908" s="138"/>
      <c r="G908" s="138"/>
      <c r="H908" s="139"/>
      <c r="I908" s="138"/>
      <c r="J908" s="138"/>
      <c r="K908" s="138"/>
      <c r="L908" s="138"/>
      <c r="M908" s="139"/>
      <c r="N908" s="138"/>
      <c r="O908" s="138"/>
      <c r="P908" s="138"/>
      <c r="Q908" s="139"/>
      <c r="R908" s="139"/>
      <c r="S908" s="212"/>
      <c r="T908" s="138"/>
    </row>
    <row r="909" spans="1:20" ht="14.25" customHeight="1" x14ac:dyDescent="0.3">
      <c r="A909" s="136"/>
      <c r="B909" s="212"/>
      <c r="C909" s="138"/>
      <c r="D909" s="138"/>
      <c r="E909" s="138"/>
      <c r="F909" s="138"/>
      <c r="G909" s="138"/>
      <c r="H909" s="139"/>
      <c r="I909" s="138"/>
      <c r="J909" s="138"/>
      <c r="K909" s="138"/>
      <c r="L909" s="138"/>
      <c r="M909" s="139"/>
      <c r="N909" s="138"/>
      <c r="O909" s="138"/>
      <c r="P909" s="138"/>
      <c r="Q909" s="139"/>
      <c r="R909" s="139"/>
      <c r="S909" s="212"/>
      <c r="T909" s="138"/>
    </row>
    <row r="910" spans="1:20" ht="14.25" customHeight="1" x14ac:dyDescent="0.3">
      <c r="A910" s="136"/>
      <c r="B910" s="212"/>
      <c r="C910" s="138"/>
      <c r="D910" s="138"/>
      <c r="E910" s="138"/>
      <c r="F910" s="138"/>
      <c r="G910" s="138"/>
      <c r="H910" s="139"/>
      <c r="I910" s="138"/>
      <c r="J910" s="138"/>
      <c r="K910" s="138"/>
      <c r="L910" s="138"/>
      <c r="M910" s="139"/>
      <c r="N910" s="138"/>
      <c r="O910" s="138"/>
      <c r="P910" s="138"/>
      <c r="Q910" s="139"/>
      <c r="R910" s="139"/>
      <c r="S910" s="212"/>
      <c r="T910" s="138"/>
    </row>
    <row r="911" spans="1:20" ht="14.25" customHeight="1" x14ac:dyDescent="0.3">
      <c r="A911" s="136"/>
      <c r="B911" s="212"/>
      <c r="C911" s="138"/>
      <c r="D911" s="138"/>
      <c r="E911" s="138"/>
      <c r="F911" s="138"/>
      <c r="G911" s="138"/>
      <c r="H911" s="139"/>
      <c r="I911" s="138"/>
      <c r="J911" s="138"/>
      <c r="K911" s="138"/>
      <c r="L911" s="138"/>
      <c r="M911" s="139"/>
      <c r="N911" s="138"/>
      <c r="O911" s="138"/>
      <c r="P911" s="138"/>
      <c r="Q911" s="139"/>
      <c r="R911" s="139"/>
      <c r="S911" s="212"/>
      <c r="T911" s="138"/>
    </row>
    <row r="912" spans="1:20" ht="14.25" customHeight="1" x14ac:dyDescent="0.3">
      <c r="A912" s="136"/>
      <c r="B912" s="212"/>
      <c r="C912" s="138"/>
      <c r="D912" s="138"/>
      <c r="E912" s="138"/>
      <c r="F912" s="138"/>
      <c r="G912" s="138"/>
      <c r="H912" s="139"/>
      <c r="I912" s="138"/>
      <c r="J912" s="138"/>
      <c r="K912" s="138"/>
      <c r="L912" s="138"/>
      <c r="M912" s="139"/>
      <c r="N912" s="138"/>
      <c r="O912" s="138"/>
      <c r="P912" s="138"/>
      <c r="Q912" s="139"/>
      <c r="R912" s="139"/>
      <c r="S912" s="212"/>
      <c r="T912" s="138"/>
    </row>
    <row r="913" spans="1:20" ht="14.25" customHeight="1" x14ac:dyDescent="0.3">
      <c r="A913" s="136"/>
      <c r="B913" s="212"/>
      <c r="C913" s="138"/>
      <c r="D913" s="138"/>
      <c r="E913" s="138"/>
      <c r="F913" s="138"/>
      <c r="G913" s="138"/>
      <c r="H913" s="139"/>
      <c r="I913" s="138"/>
      <c r="J913" s="138"/>
      <c r="K913" s="138"/>
      <c r="L913" s="138"/>
      <c r="M913" s="139"/>
      <c r="N913" s="138"/>
      <c r="O913" s="138"/>
      <c r="P913" s="138"/>
      <c r="Q913" s="139"/>
      <c r="R913" s="139"/>
      <c r="S913" s="212"/>
      <c r="T913" s="138"/>
    </row>
    <row r="914" spans="1:20" ht="14.25" customHeight="1" x14ac:dyDescent="0.3">
      <c r="A914" s="136"/>
      <c r="B914" s="212"/>
      <c r="C914" s="138"/>
      <c r="D914" s="138"/>
      <c r="E914" s="138"/>
      <c r="F914" s="138"/>
      <c r="G914" s="138"/>
      <c r="H914" s="139"/>
      <c r="I914" s="138"/>
      <c r="J914" s="138"/>
      <c r="K914" s="138"/>
      <c r="L914" s="138"/>
      <c r="M914" s="139"/>
      <c r="N914" s="138"/>
      <c r="O914" s="138"/>
      <c r="P914" s="138"/>
      <c r="Q914" s="139"/>
      <c r="R914" s="139"/>
      <c r="S914" s="212"/>
      <c r="T914" s="138"/>
    </row>
    <row r="915" spans="1:20" ht="14.25" customHeight="1" x14ac:dyDescent="0.3">
      <c r="A915" s="136"/>
      <c r="B915" s="212"/>
      <c r="C915" s="138"/>
      <c r="D915" s="138"/>
      <c r="E915" s="138"/>
      <c r="F915" s="138"/>
      <c r="G915" s="138"/>
      <c r="H915" s="139"/>
      <c r="I915" s="138"/>
      <c r="J915" s="138"/>
      <c r="K915" s="138"/>
      <c r="L915" s="138"/>
      <c r="M915" s="139"/>
      <c r="N915" s="138"/>
      <c r="O915" s="138"/>
      <c r="P915" s="138"/>
      <c r="Q915" s="139"/>
      <c r="R915" s="139"/>
      <c r="S915" s="212"/>
      <c r="T915" s="138"/>
    </row>
    <row r="916" spans="1:20" ht="14.25" customHeight="1" x14ac:dyDescent="0.3">
      <c r="A916" s="136"/>
      <c r="B916" s="212"/>
      <c r="C916" s="138"/>
      <c r="D916" s="138"/>
      <c r="E916" s="138"/>
      <c r="F916" s="138"/>
      <c r="G916" s="138"/>
      <c r="H916" s="139"/>
      <c r="I916" s="138"/>
      <c r="J916" s="138"/>
      <c r="K916" s="138"/>
      <c r="L916" s="138"/>
      <c r="M916" s="139"/>
      <c r="N916" s="138"/>
      <c r="O916" s="138"/>
      <c r="P916" s="138"/>
      <c r="Q916" s="139"/>
      <c r="R916" s="139"/>
      <c r="S916" s="212"/>
      <c r="T916" s="138"/>
    </row>
    <row r="917" spans="1:20" ht="14.25" customHeight="1" x14ac:dyDescent="0.3">
      <c r="A917" s="136"/>
      <c r="B917" s="212"/>
      <c r="C917" s="138"/>
      <c r="D917" s="138"/>
      <c r="E917" s="138"/>
      <c r="F917" s="138"/>
      <c r="G917" s="138"/>
      <c r="H917" s="139"/>
      <c r="I917" s="138"/>
      <c r="J917" s="138"/>
      <c r="K917" s="138"/>
      <c r="L917" s="138"/>
      <c r="M917" s="139"/>
      <c r="N917" s="138"/>
      <c r="O917" s="138"/>
      <c r="P917" s="138"/>
      <c r="Q917" s="139"/>
      <c r="R917" s="139"/>
      <c r="S917" s="212"/>
      <c r="T917" s="138"/>
    </row>
    <row r="918" spans="1:20" ht="14.25" customHeight="1" x14ac:dyDescent="0.3">
      <c r="A918" s="136"/>
      <c r="B918" s="212"/>
      <c r="C918" s="138"/>
      <c r="D918" s="138"/>
      <c r="E918" s="138"/>
      <c r="F918" s="138"/>
      <c r="G918" s="138"/>
      <c r="H918" s="139"/>
      <c r="I918" s="138"/>
      <c r="J918" s="138"/>
      <c r="K918" s="138"/>
      <c r="L918" s="138"/>
      <c r="M918" s="139"/>
      <c r="N918" s="138"/>
      <c r="O918" s="138"/>
      <c r="P918" s="138"/>
      <c r="Q918" s="139"/>
      <c r="R918" s="139"/>
      <c r="S918" s="212"/>
      <c r="T918" s="138"/>
    </row>
    <row r="919" spans="1:20" ht="14.25" customHeight="1" x14ac:dyDescent="0.3">
      <c r="A919" s="136"/>
      <c r="B919" s="212"/>
      <c r="C919" s="138"/>
      <c r="D919" s="138"/>
      <c r="E919" s="138"/>
      <c r="F919" s="138"/>
      <c r="G919" s="138"/>
      <c r="H919" s="139"/>
      <c r="I919" s="138"/>
      <c r="J919" s="138"/>
      <c r="K919" s="138"/>
      <c r="L919" s="138"/>
      <c r="M919" s="139"/>
      <c r="N919" s="138"/>
      <c r="O919" s="138"/>
      <c r="P919" s="138"/>
      <c r="Q919" s="139"/>
      <c r="R919" s="139"/>
      <c r="S919" s="212"/>
      <c r="T919" s="138"/>
    </row>
    <row r="920" spans="1:20" ht="14.25" customHeight="1" x14ac:dyDescent="0.3">
      <c r="A920" s="136"/>
      <c r="B920" s="212"/>
      <c r="C920" s="138"/>
      <c r="D920" s="138"/>
      <c r="E920" s="138"/>
      <c r="F920" s="138"/>
      <c r="G920" s="138"/>
      <c r="H920" s="139"/>
      <c r="I920" s="138"/>
      <c r="J920" s="138"/>
      <c r="K920" s="138"/>
      <c r="L920" s="138"/>
      <c r="M920" s="139"/>
      <c r="N920" s="138"/>
      <c r="O920" s="138"/>
      <c r="P920" s="138"/>
      <c r="Q920" s="139"/>
      <c r="R920" s="139"/>
      <c r="S920" s="212"/>
      <c r="T920" s="138"/>
    </row>
    <row r="921" spans="1:20" ht="14.25" customHeight="1" x14ac:dyDescent="0.3">
      <c r="A921" s="136"/>
      <c r="B921" s="212"/>
      <c r="C921" s="138"/>
      <c r="D921" s="138"/>
      <c r="E921" s="138"/>
      <c r="F921" s="138"/>
      <c r="G921" s="138"/>
      <c r="H921" s="139"/>
      <c r="I921" s="138"/>
      <c r="J921" s="138"/>
      <c r="K921" s="138"/>
      <c r="L921" s="138"/>
      <c r="M921" s="139"/>
      <c r="N921" s="138"/>
      <c r="O921" s="138"/>
      <c r="P921" s="138"/>
      <c r="Q921" s="139"/>
      <c r="R921" s="139"/>
      <c r="S921" s="212"/>
      <c r="T921" s="138"/>
    </row>
    <row r="922" spans="1:20" ht="14.25" customHeight="1" x14ac:dyDescent="0.3">
      <c r="A922" s="136"/>
      <c r="B922" s="212"/>
      <c r="C922" s="138"/>
      <c r="D922" s="138"/>
      <c r="E922" s="138"/>
      <c r="F922" s="138"/>
      <c r="G922" s="138"/>
      <c r="H922" s="139"/>
      <c r="I922" s="138"/>
      <c r="J922" s="138"/>
      <c r="K922" s="138"/>
      <c r="L922" s="138"/>
      <c r="M922" s="139"/>
      <c r="N922" s="138"/>
      <c r="O922" s="138"/>
      <c r="P922" s="138"/>
      <c r="Q922" s="139"/>
      <c r="R922" s="139"/>
      <c r="S922" s="212"/>
      <c r="T922" s="138"/>
    </row>
    <row r="923" spans="1:20" ht="14.25" customHeight="1" x14ac:dyDescent="0.3">
      <c r="A923" s="136"/>
      <c r="B923" s="212"/>
      <c r="C923" s="138"/>
      <c r="D923" s="138"/>
      <c r="E923" s="138"/>
      <c r="F923" s="138"/>
      <c r="G923" s="138"/>
      <c r="H923" s="139"/>
      <c r="I923" s="138"/>
      <c r="J923" s="138"/>
      <c r="K923" s="138"/>
      <c r="L923" s="138"/>
      <c r="M923" s="139"/>
      <c r="N923" s="138"/>
      <c r="O923" s="138"/>
      <c r="P923" s="138"/>
      <c r="Q923" s="139"/>
      <c r="R923" s="139"/>
      <c r="S923" s="212"/>
      <c r="T923" s="138"/>
    </row>
    <row r="924" spans="1:20" ht="14.25" customHeight="1" x14ac:dyDescent="0.3">
      <c r="A924" s="136"/>
      <c r="B924" s="212"/>
      <c r="C924" s="138"/>
      <c r="D924" s="138"/>
      <c r="E924" s="138"/>
      <c r="F924" s="138"/>
      <c r="G924" s="138"/>
      <c r="H924" s="139"/>
      <c r="I924" s="138"/>
      <c r="J924" s="138"/>
      <c r="K924" s="138"/>
      <c r="L924" s="138"/>
      <c r="M924" s="139"/>
      <c r="N924" s="138"/>
      <c r="O924" s="138"/>
      <c r="P924" s="138"/>
      <c r="Q924" s="139"/>
      <c r="R924" s="139"/>
      <c r="S924" s="212"/>
      <c r="T924" s="138"/>
    </row>
    <row r="925" spans="1:20" ht="14.25" customHeight="1" x14ac:dyDescent="0.3">
      <c r="A925" s="136"/>
      <c r="B925" s="212"/>
      <c r="C925" s="138"/>
      <c r="D925" s="138"/>
      <c r="E925" s="138"/>
      <c r="F925" s="138"/>
      <c r="G925" s="138"/>
      <c r="H925" s="139"/>
      <c r="I925" s="138"/>
      <c r="J925" s="138"/>
      <c r="K925" s="138"/>
      <c r="L925" s="138"/>
      <c r="M925" s="139"/>
      <c r="N925" s="138"/>
      <c r="O925" s="138"/>
      <c r="P925" s="138"/>
      <c r="Q925" s="139"/>
      <c r="R925" s="139"/>
      <c r="S925" s="212"/>
      <c r="T925" s="138"/>
    </row>
    <row r="926" spans="1:20" ht="14.25" customHeight="1" x14ac:dyDescent="0.3">
      <c r="A926" s="136"/>
      <c r="B926" s="212"/>
      <c r="C926" s="138"/>
      <c r="D926" s="138"/>
      <c r="E926" s="138"/>
      <c r="F926" s="138"/>
      <c r="G926" s="138"/>
      <c r="H926" s="139"/>
      <c r="I926" s="138"/>
      <c r="J926" s="138"/>
      <c r="K926" s="138"/>
      <c r="L926" s="138"/>
      <c r="M926" s="139"/>
      <c r="N926" s="138"/>
      <c r="O926" s="138"/>
      <c r="P926" s="138"/>
      <c r="Q926" s="139"/>
      <c r="R926" s="139"/>
      <c r="S926" s="212"/>
      <c r="T926" s="138"/>
    </row>
    <row r="927" spans="1:20" ht="14.25" customHeight="1" x14ac:dyDescent="0.3">
      <c r="A927" s="136"/>
      <c r="B927" s="212"/>
      <c r="C927" s="138"/>
      <c r="D927" s="138"/>
      <c r="E927" s="138"/>
      <c r="F927" s="138"/>
      <c r="G927" s="138"/>
      <c r="H927" s="139"/>
      <c r="I927" s="138"/>
      <c r="J927" s="138"/>
      <c r="K927" s="138"/>
      <c r="L927" s="138"/>
      <c r="M927" s="139"/>
      <c r="N927" s="138"/>
      <c r="O927" s="138"/>
      <c r="P927" s="138"/>
      <c r="Q927" s="139"/>
      <c r="R927" s="139"/>
      <c r="S927" s="212"/>
      <c r="T927" s="138"/>
    </row>
    <row r="928" spans="1:20" ht="14.25" customHeight="1" x14ac:dyDescent="0.3">
      <c r="A928" s="136"/>
      <c r="B928" s="212"/>
      <c r="C928" s="138"/>
      <c r="D928" s="138"/>
      <c r="E928" s="138"/>
      <c r="F928" s="138"/>
      <c r="G928" s="138"/>
      <c r="H928" s="139"/>
      <c r="I928" s="138"/>
      <c r="J928" s="138"/>
      <c r="K928" s="138"/>
      <c r="L928" s="138"/>
      <c r="M928" s="139"/>
      <c r="N928" s="138"/>
      <c r="O928" s="138"/>
      <c r="P928" s="138"/>
      <c r="Q928" s="139"/>
      <c r="R928" s="139"/>
      <c r="S928" s="212"/>
      <c r="T928" s="138"/>
    </row>
    <row r="929" spans="1:20" ht="14.25" customHeight="1" x14ac:dyDescent="0.3">
      <c r="A929" s="136"/>
      <c r="B929" s="212"/>
      <c r="C929" s="138"/>
      <c r="D929" s="138"/>
      <c r="E929" s="138"/>
      <c r="F929" s="138"/>
      <c r="G929" s="138"/>
      <c r="H929" s="139"/>
      <c r="I929" s="138"/>
      <c r="J929" s="138"/>
      <c r="K929" s="138"/>
      <c r="L929" s="138"/>
      <c r="M929" s="139"/>
      <c r="N929" s="138"/>
      <c r="O929" s="138"/>
      <c r="P929" s="138"/>
      <c r="Q929" s="139"/>
      <c r="R929" s="139"/>
      <c r="S929" s="212"/>
      <c r="T929" s="138"/>
    </row>
    <row r="930" spans="1:20" ht="14.25" customHeight="1" x14ac:dyDescent="0.3">
      <c r="A930" s="136"/>
      <c r="B930" s="212"/>
      <c r="C930" s="138"/>
      <c r="D930" s="138"/>
      <c r="E930" s="138"/>
      <c r="F930" s="138"/>
      <c r="G930" s="138"/>
      <c r="H930" s="139"/>
      <c r="I930" s="138"/>
      <c r="J930" s="138"/>
      <c r="K930" s="138"/>
      <c r="L930" s="138"/>
      <c r="M930" s="139"/>
      <c r="N930" s="138"/>
      <c r="O930" s="138"/>
      <c r="P930" s="138"/>
      <c r="Q930" s="139"/>
      <c r="R930" s="139"/>
      <c r="S930" s="212"/>
      <c r="T930" s="138"/>
    </row>
    <row r="931" spans="1:20" ht="14.25" customHeight="1" x14ac:dyDescent="0.3">
      <c r="A931" s="136"/>
      <c r="B931" s="212"/>
      <c r="C931" s="138"/>
      <c r="D931" s="138"/>
      <c r="E931" s="138"/>
      <c r="F931" s="138"/>
      <c r="G931" s="138"/>
      <c r="H931" s="139"/>
      <c r="I931" s="138"/>
      <c r="J931" s="138"/>
      <c r="K931" s="138"/>
      <c r="L931" s="138"/>
      <c r="M931" s="139"/>
      <c r="N931" s="138"/>
      <c r="O931" s="138"/>
      <c r="P931" s="138"/>
      <c r="Q931" s="139"/>
      <c r="R931" s="139"/>
      <c r="S931" s="212"/>
      <c r="T931" s="138"/>
    </row>
    <row r="932" spans="1:20" ht="14.25" customHeight="1" x14ac:dyDescent="0.3">
      <c r="A932" s="136"/>
      <c r="B932" s="212"/>
      <c r="C932" s="138"/>
      <c r="D932" s="138"/>
      <c r="E932" s="138"/>
      <c r="F932" s="138"/>
      <c r="G932" s="138"/>
      <c r="H932" s="139"/>
      <c r="I932" s="138"/>
      <c r="J932" s="138"/>
      <c r="K932" s="138"/>
      <c r="L932" s="138"/>
      <c r="M932" s="139"/>
      <c r="N932" s="138"/>
      <c r="O932" s="138"/>
      <c r="P932" s="138"/>
      <c r="Q932" s="139"/>
      <c r="R932" s="139"/>
      <c r="S932" s="212"/>
      <c r="T932" s="138"/>
    </row>
    <row r="933" spans="1:20" ht="14.25" customHeight="1" x14ac:dyDescent="0.3">
      <c r="A933" s="136"/>
      <c r="B933" s="212"/>
      <c r="C933" s="138"/>
      <c r="D933" s="138"/>
      <c r="E933" s="138"/>
      <c r="F933" s="138"/>
      <c r="G933" s="138"/>
      <c r="H933" s="139"/>
      <c r="I933" s="138"/>
      <c r="J933" s="138"/>
      <c r="K933" s="138"/>
      <c r="L933" s="138"/>
      <c r="M933" s="139"/>
      <c r="N933" s="138"/>
      <c r="O933" s="138"/>
      <c r="P933" s="138"/>
      <c r="Q933" s="139"/>
      <c r="R933" s="139"/>
      <c r="S933" s="212"/>
      <c r="T933" s="138"/>
    </row>
    <row r="934" spans="1:20" ht="14.25" customHeight="1" x14ac:dyDescent="0.3">
      <c r="A934" s="136"/>
      <c r="B934" s="212"/>
      <c r="C934" s="138"/>
      <c r="D934" s="138"/>
      <c r="E934" s="138"/>
      <c r="F934" s="138"/>
      <c r="G934" s="138"/>
      <c r="H934" s="139"/>
      <c r="I934" s="138"/>
      <c r="J934" s="138"/>
      <c r="K934" s="138"/>
      <c r="L934" s="138"/>
      <c r="M934" s="139"/>
      <c r="N934" s="138"/>
      <c r="O934" s="138"/>
      <c r="P934" s="138"/>
      <c r="Q934" s="139"/>
      <c r="R934" s="139"/>
      <c r="S934" s="212"/>
      <c r="T934" s="138"/>
    </row>
    <row r="935" spans="1:20" ht="14.25" customHeight="1" x14ac:dyDescent="0.3">
      <c r="A935" s="136"/>
      <c r="B935" s="212"/>
      <c r="C935" s="138"/>
      <c r="D935" s="138"/>
      <c r="E935" s="138"/>
      <c r="F935" s="138"/>
      <c r="G935" s="138"/>
      <c r="H935" s="139"/>
      <c r="I935" s="138"/>
      <c r="J935" s="138"/>
      <c r="K935" s="138"/>
      <c r="L935" s="138"/>
      <c r="M935" s="139"/>
      <c r="N935" s="138"/>
      <c r="O935" s="138"/>
      <c r="P935" s="138"/>
      <c r="Q935" s="139"/>
      <c r="R935" s="139"/>
      <c r="S935" s="212"/>
      <c r="T935" s="138"/>
    </row>
    <row r="936" spans="1:20" ht="14.25" customHeight="1" x14ac:dyDescent="0.3">
      <c r="A936" s="136"/>
      <c r="B936" s="212"/>
      <c r="C936" s="138"/>
      <c r="D936" s="138"/>
      <c r="E936" s="138"/>
      <c r="F936" s="138"/>
      <c r="G936" s="138"/>
      <c r="H936" s="139"/>
      <c r="I936" s="138"/>
      <c r="J936" s="138"/>
      <c r="K936" s="138"/>
      <c r="L936" s="138"/>
      <c r="M936" s="139"/>
      <c r="N936" s="138"/>
      <c r="O936" s="138"/>
      <c r="P936" s="138"/>
      <c r="Q936" s="139"/>
      <c r="R936" s="139"/>
      <c r="S936" s="212"/>
      <c r="T936" s="138"/>
    </row>
    <row r="937" spans="1:20" ht="14.25" customHeight="1" x14ac:dyDescent="0.3">
      <c r="A937" s="136"/>
      <c r="B937" s="212"/>
      <c r="C937" s="138"/>
      <c r="D937" s="138"/>
      <c r="E937" s="138"/>
      <c r="F937" s="138"/>
      <c r="G937" s="138"/>
      <c r="H937" s="139"/>
      <c r="I937" s="138"/>
      <c r="J937" s="138"/>
      <c r="K937" s="138"/>
      <c r="L937" s="138"/>
      <c r="M937" s="139"/>
      <c r="N937" s="138"/>
      <c r="O937" s="138"/>
      <c r="P937" s="138"/>
      <c r="Q937" s="139"/>
      <c r="R937" s="139"/>
      <c r="S937" s="212"/>
      <c r="T937" s="138"/>
    </row>
    <row r="938" spans="1:20" ht="14.25" customHeight="1" x14ac:dyDescent="0.3">
      <c r="A938" s="136"/>
      <c r="B938" s="212"/>
      <c r="C938" s="138"/>
      <c r="D938" s="138"/>
      <c r="E938" s="138"/>
      <c r="F938" s="138"/>
      <c r="G938" s="138"/>
      <c r="H938" s="139"/>
      <c r="I938" s="138"/>
      <c r="J938" s="138"/>
      <c r="K938" s="138"/>
      <c r="L938" s="138"/>
      <c r="M938" s="139"/>
      <c r="N938" s="138"/>
      <c r="O938" s="138"/>
      <c r="P938" s="138"/>
      <c r="Q938" s="139"/>
      <c r="R938" s="139"/>
      <c r="S938" s="212"/>
      <c r="T938" s="138"/>
    </row>
    <row r="939" spans="1:20" ht="14.25" customHeight="1" x14ac:dyDescent="0.3">
      <c r="A939" s="136"/>
      <c r="B939" s="212"/>
      <c r="C939" s="138"/>
      <c r="D939" s="138"/>
      <c r="E939" s="138"/>
      <c r="F939" s="138"/>
      <c r="G939" s="138"/>
      <c r="H939" s="139"/>
      <c r="I939" s="138"/>
      <c r="J939" s="138"/>
      <c r="K939" s="138"/>
      <c r="L939" s="138"/>
      <c r="M939" s="139"/>
      <c r="N939" s="138"/>
      <c r="O939" s="138"/>
      <c r="P939" s="138"/>
      <c r="Q939" s="139"/>
      <c r="R939" s="139"/>
      <c r="S939" s="212"/>
      <c r="T939" s="138"/>
    </row>
    <row r="940" spans="1:20" ht="14.25" customHeight="1" x14ac:dyDescent="0.3">
      <c r="A940" s="136"/>
      <c r="B940" s="212"/>
      <c r="C940" s="138"/>
      <c r="D940" s="138"/>
      <c r="E940" s="138"/>
      <c r="F940" s="138"/>
      <c r="G940" s="138"/>
      <c r="H940" s="139"/>
      <c r="I940" s="138"/>
      <c r="J940" s="138"/>
      <c r="K940" s="138"/>
      <c r="L940" s="138"/>
      <c r="M940" s="139"/>
      <c r="N940" s="138"/>
      <c r="O940" s="138"/>
      <c r="P940" s="138"/>
      <c r="Q940" s="139"/>
      <c r="R940" s="139"/>
      <c r="S940" s="212"/>
      <c r="T940" s="138"/>
    </row>
    <row r="941" spans="1:20" ht="14.25" customHeight="1" x14ac:dyDescent="0.3">
      <c r="A941" s="136"/>
      <c r="B941" s="212"/>
      <c r="C941" s="138"/>
      <c r="D941" s="138"/>
      <c r="E941" s="138"/>
      <c r="F941" s="138"/>
      <c r="G941" s="138"/>
      <c r="H941" s="139"/>
      <c r="I941" s="138"/>
      <c r="J941" s="138"/>
      <c r="K941" s="138"/>
      <c r="L941" s="138"/>
      <c r="M941" s="139"/>
      <c r="N941" s="138"/>
      <c r="O941" s="138"/>
      <c r="P941" s="138"/>
      <c r="Q941" s="139"/>
      <c r="R941" s="139"/>
      <c r="S941" s="212"/>
      <c r="T941" s="138"/>
    </row>
    <row r="942" spans="1:20" ht="14.25" customHeight="1" x14ac:dyDescent="0.3">
      <c r="A942" s="136"/>
      <c r="B942" s="212"/>
      <c r="C942" s="138"/>
      <c r="D942" s="138"/>
      <c r="E942" s="138"/>
      <c r="F942" s="138"/>
      <c r="G942" s="138"/>
      <c r="H942" s="139"/>
      <c r="I942" s="138"/>
      <c r="J942" s="138"/>
      <c r="K942" s="138"/>
      <c r="L942" s="138"/>
      <c r="M942" s="139"/>
      <c r="N942" s="138"/>
      <c r="O942" s="138"/>
      <c r="P942" s="138"/>
      <c r="Q942" s="139"/>
      <c r="R942" s="139"/>
      <c r="S942" s="212"/>
      <c r="T942" s="138"/>
    </row>
    <row r="943" spans="1:20" ht="14.25" customHeight="1" x14ac:dyDescent="0.3">
      <c r="A943" s="136"/>
      <c r="B943" s="212"/>
      <c r="C943" s="138"/>
      <c r="D943" s="138"/>
      <c r="E943" s="138"/>
      <c r="F943" s="138"/>
      <c r="G943" s="138"/>
      <c r="H943" s="139"/>
      <c r="I943" s="138"/>
      <c r="J943" s="138"/>
      <c r="K943" s="138"/>
      <c r="L943" s="138"/>
      <c r="M943" s="139"/>
      <c r="N943" s="138"/>
      <c r="O943" s="138"/>
      <c r="P943" s="138"/>
      <c r="Q943" s="139"/>
      <c r="R943" s="139"/>
      <c r="S943" s="212"/>
      <c r="T943" s="138"/>
    </row>
    <row r="944" spans="1:20" ht="14.25" customHeight="1" x14ac:dyDescent="0.3">
      <c r="A944" s="136"/>
      <c r="B944" s="212"/>
      <c r="C944" s="138"/>
      <c r="D944" s="138"/>
      <c r="E944" s="138"/>
      <c r="F944" s="138"/>
      <c r="G944" s="138"/>
      <c r="H944" s="139"/>
      <c r="I944" s="138"/>
      <c r="J944" s="138"/>
      <c r="K944" s="138"/>
      <c r="L944" s="138"/>
      <c r="M944" s="139"/>
      <c r="N944" s="138"/>
      <c r="O944" s="138"/>
      <c r="P944" s="138"/>
      <c r="Q944" s="139"/>
      <c r="R944" s="139"/>
      <c r="S944" s="212"/>
      <c r="T944" s="138"/>
    </row>
    <row r="945" spans="1:20" ht="14.25" customHeight="1" x14ac:dyDescent="0.3">
      <c r="A945" s="136"/>
      <c r="B945" s="212"/>
      <c r="C945" s="138"/>
      <c r="D945" s="138"/>
      <c r="E945" s="138"/>
      <c r="F945" s="138"/>
      <c r="G945" s="138"/>
      <c r="H945" s="139"/>
      <c r="I945" s="138"/>
      <c r="J945" s="138"/>
      <c r="K945" s="138"/>
      <c r="L945" s="138"/>
      <c r="M945" s="139"/>
      <c r="N945" s="138"/>
      <c r="O945" s="138"/>
      <c r="P945" s="138"/>
      <c r="Q945" s="139"/>
      <c r="R945" s="139"/>
      <c r="S945" s="212"/>
      <c r="T945" s="138"/>
    </row>
    <row r="946" spans="1:20" ht="14.25" customHeight="1" x14ac:dyDescent="0.3">
      <c r="A946" s="136"/>
      <c r="B946" s="212"/>
      <c r="C946" s="138"/>
      <c r="D946" s="138"/>
      <c r="E946" s="138"/>
      <c r="F946" s="138"/>
      <c r="G946" s="138"/>
      <c r="H946" s="139"/>
      <c r="I946" s="138"/>
      <c r="J946" s="138"/>
      <c r="K946" s="138"/>
      <c r="L946" s="138"/>
      <c r="M946" s="139"/>
      <c r="N946" s="138"/>
      <c r="O946" s="138"/>
      <c r="P946" s="138"/>
      <c r="Q946" s="139"/>
      <c r="R946" s="139"/>
      <c r="S946" s="212"/>
      <c r="T946" s="138"/>
    </row>
    <row r="947" spans="1:20" ht="14.25" customHeight="1" x14ac:dyDescent="0.3">
      <c r="A947" s="136"/>
      <c r="B947" s="212"/>
      <c r="C947" s="138"/>
      <c r="D947" s="138"/>
      <c r="E947" s="138"/>
      <c r="F947" s="138"/>
      <c r="G947" s="138"/>
      <c r="H947" s="139"/>
      <c r="I947" s="138"/>
      <c r="J947" s="138"/>
      <c r="K947" s="138"/>
      <c r="L947" s="138"/>
      <c r="M947" s="139"/>
      <c r="N947" s="138"/>
      <c r="O947" s="138"/>
      <c r="P947" s="138"/>
      <c r="Q947" s="139"/>
      <c r="R947" s="139"/>
      <c r="S947" s="212"/>
      <c r="T947" s="138"/>
    </row>
    <row r="948" spans="1:20" ht="14.25" customHeight="1" x14ac:dyDescent="0.3">
      <c r="A948" s="136"/>
      <c r="B948" s="212"/>
      <c r="C948" s="138"/>
      <c r="D948" s="138"/>
      <c r="E948" s="138"/>
      <c r="F948" s="138"/>
      <c r="G948" s="138"/>
      <c r="H948" s="139"/>
      <c r="I948" s="138"/>
      <c r="J948" s="138"/>
      <c r="K948" s="138"/>
      <c r="L948" s="138"/>
      <c r="M948" s="139"/>
      <c r="N948" s="138"/>
      <c r="O948" s="138"/>
      <c r="P948" s="138"/>
      <c r="Q948" s="139"/>
      <c r="R948" s="139"/>
      <c r="S948" s="212"/>
      <c r="T948" s="138"/>
    </row>
    <row r="949" spans="1:20" ht="14.25" customHeight="1" x14ac:dyDescent="0.3">
      <c r="A949" s="136"/>
      <c r="B949" s="212"/>
      <c r="C949" s="138"/>
      <c r="D949" s="138"/>
      <c r="E949" s="138"/>
      <c r="F949" s="138"/>
      <c r="G949" s="138"/>
      <c r="H949" s="139"/>
      <c r="I949" s="138"/>
      <c r="J949" s="138"/>
      <c r="K949" s="138"/>
      <c r="L949" s="138"/>
      <c r="M949" s="139"/>
      <c r="N949" s="138"/>
      <c r="O949" s="138"/>
      <c r="P949" s="138"/>
      <c r="Q949" s="139"/>
      <c r="R949" s="139"/>
      <c r="S949" s="212"/>
      <c r="T949" s="138"/>
    </row>
    <row r="950" spans="1:20" ht="14.25" customHeight="1" x14ac:dyDescent="0.3">
      <c r="A950" s="136"/>
      <c r="B950" s="212"/>
      <c r="C950" s="138"/>
      <c r="D950" s="138"/>
      <c r="E950" s="138"/>
      <c r="F950" s="138"/>
      <c r="G950" s="138"/>
      <c r="H950" s="139"/>
      <c r="I950" s="138"/>
      <c r="J950" s="138"/>
      <c r="K950" s="138"/>
      <c r="L950" s="138"/>
      <c r="M950" s="139"/>
      <c r="N950" s="138"/>
      <c r="O950" s="138"/>
      <c r="P950" s="138"/>
      <c r="Q950" s="139"/>
      <c r="R950" s="139"/>
      <c r="S950" s="212"/>
      <c r="T950" s="138"/>
    </row>
    <row r="951" spans="1:20" ht="14.25" customHeight="1" x14ac:dyDescent="0.3">
      <c r="A951" s="136"/>
      <c r="B951" s="212"/>
      <c r="C951" s="138"/>
      <c r="D951" s="138"/>
      <c r="E951" s="138"/>
      <c r="F951" s="138"/>
      <c r="G951" s="138"/>
      <c r="H951" s="139"/>
      <c r="I951" s="138"/>
      <c r="J951" s="138"/>
      <c r="K951" s="138"/>
      <c r="L951" s="138"/>
      <c r="M951" s="139"/>
      <c r="N951" s="138"/>
      <c r="O951" s="138"/>
      <c r="P951" s="138"/>
      <c r="Q951" s="139"/>
      <c r="R951" s="139"/>
      <c r="S951" s="212"/>
      <c r="T951" s="138"/>
    </row>
    <row r="952" spans="1:20" ht="14.25" customHeight="1" x14ac:dyDescent="0.3">
      <c r="A952" s="136"/>
      <c r="B952" s="212"/>
      <c r="C952" s="138"/>
      <c r="D952" s="138"/>
      <c r="E952" s="138"/>
      <c r="F952" s="138"/>
      <c r="G952" s="138"/>
      <c r="H952" s="139"/>
      <c r="I952" s="138"/>
      <c r="J952" s="138"/>
      <c r="K952" s="138"/>
      <c r="L952" s="138"/>
      <c r="M952" s="139"/>
      <c r="N952" s="138"/>
      <c r="O952" s="138"/>
      <c r="P952" s="138"/>
      <c r="Q952" s="139"/>
      <c r="R952" s="139"/>
      <c r="S952" s="212"/>
      <c r="T952" s="138"/>
    </row>
    <row r="953" spans="1:20" ht="14.25" customHeight="1" x14ac:dyDescent="0.3">
      <c r="A953" s="136"/>
      <c r="B953" s="212"/>
      <c r="C953" s="138"/>
      <c r="D953" s="138"/>
      <c r="E953" s="138"/>
      <c r="F953" s="138"/>
      <c r="G953" s="138"/>
      <c r="H953" s="139"/>
      <c r="I953" s="138"/>
      <c r="J953" s="138"/>
      <c r="K953" s="138"/>
      <c r="L953" s="138"/>
      <c r="M953" s="139"/>
      <c r="N953" s="138"/>
      <c r="O953" s="138"/>
      <c r="P953" s="138"/>
      <c r="Q953" s="139"/>
      <c r="R953" s="139"/>
      <c r="S953" s="212"/>
      <c r="T953" s="138"/>
    </row>
    <row r="954" spans="1:20" ht="14.25" customHeight="1" x14ac:dyDescent="0.3">
      <c r="A954" s="136"/>
      <c r="B954" s="212"/>
      <c r="C954" s="138"/>
      <c r="D954" s="138"/>
      <c r="E954" s="138"/>
      <c r="F954" s="138"/>
      <c r="G954" s="138"/>
      <c r="H954" s="139"/>
      <c r="I954" s="138"/>
      <c r="J954" s="138"/>
      <c r="K954" s="138"/>
      <c r="L954" s="138"/>
      <c r="M954" s="139"/>
      <c r="N954" s="138"/>
      <c r="O954" s="138"/>
      <c r="P954" s="138"/>
      <c r="Q954" s="139"/>
      <c r="R954" s="139"/>
      <c r="S954" s="212"/>
      <c r="T954" s="138"/>
    </row>
    <row r="955" spans="1:20" ht="14.25" customHeight="1" x14ac:dyDescent="0.3">
      <c r="A955" s="136"/>
      <c r="B955" s="212"/>
      <c r="C955" s="138"/>
      <c r="D955" s="138"/>
      <c r="E955" s="138"/>
      <c r="F955" s="138"/>
      <c r="G955" s="138"/>
      <c r="H955" s="139"/>
      <c r="I955" s="138"/>
      <c r="J955" s="138"/>
      <c r="K955" s="138"/>
      <c r="L955" s="138"/>
      <c r="M955" s="139"/>
      <c r="N955" s="138"/>
      <c r="O955" s="138"/>
      <c r="P955" s="138"/>
      <c r="Q955" s="139"/>
      <c r="R955" s="139"/>
      <c r="S955" s="212"/>
      <c r="T955" s="138"/>
    </row>
    <row r="956" spans="1:20" ht="14.25" customHeight="1" x14ac:dyDescent="0.3">
      <c r="A956" s="136"/>
      <c r="B956" s="212"/>
      <c r="C956" s="138"/>
      <c r="D956" s="138"/>
      <c r="E956" s="138"/>
      <c r="F956" s="138"/>
      <c r="G956" s="138"/>
      <c r="H956" s="139"/>
      <c r="I956" s="138"/>
      <c r="J956" s="138"/>
      <c r="K956" s="138"/>
      <c r="L956" s="138"/>
      <c r="M956" s="139"/>
      <c r="N956" s="138"/>
      <c r="O956" s="138"/>
      <c r="P956" s="138"/>
      <c r="Q956" s="139"/>
      <c r="R956" s="139"/>
      <c r="S956" s="212"/>
      <c r="T956" s="138"/>
    </row>
    <row r="957" spans="1:20" ht="14.25" customHeight="1" x14ac:dyDescent="0.3">
      <c r="A957" s="136"/>
      <c r="B957" s="212"/>
      <c r="C957" s="138"/>
      <c r="D957" s="138"/>
      <c r="E957" s="138"/>
      <c r="F957" s="138"/>
      <c r="G957" s="138"/>
      <c r="H957" s="139"/>
      <c r="I957" s="138"/>
      <c r="J957" s="138"/>
      <c r="K957" s="138"/>
      <c r="L957" s="138"/>
      <c r="M957" s="139"/>
      <c r="N957" s="138"/>
      <c r="O957" s="138"/>
      <c r="P957" s="138"/>
      <c r="Q957" s="139"/>
      <c r="R957" s="139"/>
      <c r="S957" s="212"/>
      <c r="T957" s="138"/>
    </row>
    <row r="958" spans="1:20" ht="14.25" customHeight="1" x14ac:dyDescent="0.3">
      <c r="A958" s="136"/>
      <c r="B958" s="212"/>
      <c r="C958" s="138"/>
      <c r="D958" s="138"/>
      <c r="E958" s="138"/>
      <c r="F958" s="138"/>
      <c r="G958" s="138"/>
      <c r="H958" s="139"/>
      <c r="I958" s="138"/>
      <c r="J958" s="138"/>
      <c r="K958" s="138"/>
      <c r="L958" s="138"/>
      <c r="M958" s="139"/>
      <c r="N958" s="138"/>
      <c r="O958" s="138"/>
      <c r="P958" s="138"/>
      <c r="Q958" s="139"/>
      <c r="R958" s="139"/>
      <c r="S958" s="212"/>
      <c r="T958" s="138"/>
    </row>
    <row r="959" spans="1:20" ht="14.25" customHeight="1" x14ac:dyDescent="0.3">
      <c r="A959" s="136"/>
      <c r="B959" s="212"/>
      <c r="C959" s="138"/>
      <c r="D959" s="138"/>
      <c r="E959" s="138"/>
      <c r="F959" s="138"/>
      <c r="G959" s="138"/>
      <c r="H959" s="139"/>
      <c r="I959" s="138"/>
      <c r="J959" s="138"/>
      <c r="K959" s="138"/>
      <c r="L959" s="138"/>
      <c r="M959" s="139"/>
      <c r="N959" s="138"/>
      <c r="O959" s="138"/>
      <c r="P959" s="138"/>
      <c r="Q959" s="139"/>
      <c r="R959" s="139"/>
      <c r="S959" s="212"/>
      <c r="T959" s="138"/>
    </row>
    <row r="960" spans="1:20" ht="14.25" customHeight="1" x14ac:dyDescent="0.3">
      <c r="A960" s="136"/>
      <c r="B960" s="212"/>
      <c r="C960" s="138"/>
      <c r="D960" s="138"/>
      <c r="E960" s="138"/>
      <c r="F960" s="138"/>
      <c r="G960" s="138"/>
      <c r="H960" s="139"/>
      <c r="I960" s="138"/>
      <c r="J960" s="138"/>
      <c r="K960" s="138"/>
      <c r="L960" s="138"/>
      <c r="M960" s="139"/>
      <c r="N960" s="138"/>
      <c r="O960" s="138"/>
      <c r="P960" s="138"/>
      <c r="Q960" s="139"/>
      <c r="R960" s="139"/>
      <c r="S960" s="212"/>
      <c r="T960" s="138"/>
    </row>
    <row r="961" spans="1:20" ht="14.25" customHeight="1" x14ac:dyDescent="0.3">
      <c r="A961" s="136"/>
      <c r="B961" s="212"/>
      <c r="C961" s="138"/>
      <c r="D961" s="138"/>
      <c r="E961" s="138"/>
      <c r="F961" s="138"/>
      <c r="G961" s="138"/>
      <c r="H961" s="139"/>
      <c r="I961" s="138"/>
      <c r="J961" s="138"/>
      <c r="K961" s="138"/>
      <c r="L961" s="138"/>
      <c r="M961" s="139"/>
      <c r="N961" s="138"/>
      <c r="O961" s="138"/>
      <c r="P961" s="138"/>
      <c r="Q961" s="139"/>
      <c r="R961" s="139"/>
      <c r="S961" s="212"/>
      <c r="T961" s="138"/>
    </row>
    <row r="962" spans="1:20" ht="14.25" customHeight="1" x14ac:dyDescent="0.3">
      <c r="A962" s="136"/>
      <c r="B962" s="212"/>
      <c r="C962" s="138"/>
      <c r="D962" s="138"/>
      <c r="E962" s="138"/>
      <c r="F962" s="138"/>
      <c r="G962" s="138"/>
      <c r="H962" s="139"/>
      <c r="I962" s="138"/>
      <c r="J962" s="138"/>
      <c r="K962" s="138"/>
      <c r="L962" s="138"/>
      <c r="M962" s="139"/>
      <c r="N962" s="138"/>
      <c r="O962" s="138"/>
      <c r="P962" s="138"/>
      <c r="Q962" s="139"/>
      <c r="R962" s="139"/>
      <c r="S962" s="212"/>
      <c r="T962" s="138"/>
    </row>
    <row r="963" spans="1:20" ht="14.25" customHeight="1" x14ac:dyDescent="0.3">
      <c r="A963" s="136"/>
      <c r="B963" s="212"/>
      <c r="C963" s="138"/>
      <c r="D963" s="138"/>
      <c r="E963" s="138"/>
      <c r="F963" s="138"/>
      <c r="G963" s="138"/>
      <c r="H963" s="139"/>
      <c r="I963" s="138"/>
      <c r="J963" s="138"/>
      <c r="K963" s="138"/>
      <c r="L963" s="138"/>
      <c r="M963" s="139"/>
      <c r="N963" s="138"/>
      <c r="O963" s="138"/>
      <c r="P963" s="138"/>
      <c r="Q963" s="139"/>
      <c r="R963" s="139"/>
      <c r="S963" s="212"/>
      <c r="T963" s="138"/>
    </row>
    <row r="964" spans="1:20" ht="14.25" customHeight="1" x14ac:dyDescent="0.3">
      <c r="A964" s="136"/>
      <c r="B964" s="212"/>
      <c r="C964" s="138"/>
      <c r="D964" s="138"/>
      <c r="E964" s="138"/>
      <c r="F964" s="138"/>
      <c r="G964" s="138"/>
      <c r="H964" s="139"/>
      <c r="I964" s="138"/>
      <c r="J964" s="138"/>
      <c r="K964" s="138"/>
      <c r="L964" s="138"/>
      <c r="M964" s="139"/>
      <c r="N964" s="138"/>
      <c r="O964" s="138"/>
      <c r="P964" s="138"/>
      <c r="Q964" s="139"/>
      <c r="R964" s="139"/>
      <c r="S964" s="212"/>
      <c r="T964" s="138"/>
    </row>
    <row r="965" spans="1:20" ht="14.25" customHeight="1" x14ac:dyDescent="0.3">
      <c r="A965" s="136"/>
      <c r="B965" s="212"/>
      <c r="C965" s="138"/>
      <c r="D965" s="138"/>
      <c r="E965" s="138"/>
      <c r="F965" s="138"/>
      <c r="G965" s="138"/>
      <c r="H965" s="139"/>
      <c r="I965" s="138"/>
      <c r="J965" s="138"/>
      <c r="K965" s="138"/>
      <c r="L965" s="138"/>
      <c r="M965" s="139"/>
      <c r="N965" s="138"/>
      <c r="O965" s="138"/>
      <c r="P965" s="138"/>
      <c r="Q965" s="139"/>
      <c r="R965" s="139"/>
      <c r="S965" s="212"/>
      <c r="T965" s="138"/>
    </row>
    <row r="966" spans="1:20" ht="14.25" customHeight="1" x14ac:dyDescent="0.3">
      <c r="A966" s="136"/>
      <c r="B966" s="212"/>
      <c r="C966" s="138"/>
      <c r="D966" s="138"/>
      <c r="E966" s="138"/>
      <c r="F966" s="138"/>
      <c r="G966" s="138"/>
      <c r="H966" s="139"/>
      <c r="I966" s="138"/>
      <c r="J966" s="138"/>
      <c r="K966" s="138"/>
      <c r="L966" s="138"/>
      <c r="M966" s="139"/>
      <c r="N966" s="138"/>
      <c r="O966" s="138"/>
      <c r="P966" s="138"/>
      <c r="Q966" s="139"/>
      <c r="R966" s="139"/>
      <c r="S966" s="212"/>
      <c r="T966" s="138"/>
    </row>
    <row r="967" spans="1:20" ht="14.25" customHeight="1" x14ac:dyDescent="0.3">
      <c r="A967" s="136"/>
      <c r="B967" s="212"/>
      <c r="C967" s="138"/>
      <c r="D967" s="138"/>
      <c r="E967" s="138"/>
      <c r="F967" s="138"/>
      <c r="G967" s="138"/>
      <c r="H967" s="139"/>
      <c r="I967" s="138"/>
      <c r="J967" s="138"/>
      <c r="K967" s="138"/>
      <c r="L967" s="138"/>
      <c r="M967" s="139"/>
      <c r="N967" s="138"/>
      <c r="O967" s="138"/>
      <c r="P967" s="138"/>
      <c r="Q967" s="139"/>
      <c r="R967" s="139"/>
      <c r="S967" s="212"/>
      <c r="T967" s="138"/>
    </row>
    <row r="968" spans="1:20" ht="14.25" customHeight="1" x14ac:dyDescent="0.3">
      <c r="A968" s="136"/>
      <c r="B968" s="212"/>
      <c r="C968" s="138"/>
      <c r="D968" s="138"/>
      <c r="E968" s="138"/>
      <c r="F968" s="138"/>
      <c r="G968" s="138"/>
      <c r="H968" s="139"/>
      <c r="I968" s="138"/>
      <c r="J968" s="138"/>
      <c r="K968" s="138"/>
      <c r="L968" s="138"/>
      <c r="M968" s="139"/>
      <c r="N968" s="138"/>
      <c r="O968" s="138"/>
      <c r="P968" s="138"/>
      <c r="Q968" s="139"/>
      <c r="R968" s="139"/>
      <c r="S968" s="212"/>
      <c r="T968" s="138"/>
    </row>
    <row r="969" spans="1:20" ht="14.25" customHeight="1" x14ac:dyDescent="0.3">
      <c r="A969" s="136"/>
      <c r="B969" s="212"/>
      <c r="C969" s="138"/>
      <c r="D969" s="138"/>
      <c r="E969" s="138"/>
      <c r="F969" s="138"/>
      <c r="G969" s="138"/>
      <c r="H969" s="139"/>
      <c r="I969" s="138"/>
      <c r="J969" s="138"/>
      <c r="K969" s="138"/>
      <c r="L969" s="138"/>
      <c r="M969" s="139"/>
      <c r="N969" s="138"/>
      <c r="O969" s="138"/>
      <c r="P969" s="138"/>
      <c r="Q969" s="139"/>
      <c r="R969" s="139"/>
      <c r="S969" s="212"/>
      <c r="T969" s="138"/>
    </row>
    <row r="970" spans="1:20" ht="14.25" customHeight="1" x14ac:dyDescent="0.3">
      <c r="A970" s="136"/>
      <c r="B970" s="212"/>
      <c r="C970" s="138"/>
      <c r="D970" s="138"/>
      <c r="E970" s="138"/>
      <c r="F970" s="138"/>
      <c r="G970" s="138"/>
      <c r="H970" s="139"/>
      <c r="I970" s="138"/>
      <c r="J970" s="138"/>
      <c r="K970" s="138"/>
      <c r="L970" s="138"/>
      <c r="M970" s="139"/>
      <c r="N970" s="138"/>
      <c r="O970" s="138"/>
      <c r="P970" s="138"/>
      <c r="Q970" s="139"/>
      <c r="R970" s="139"/>
      <c r="S970" s="212"/>
      <c r="T970" s="138"/>
    </row>
    <row r="971" spans="1:20" ht="14.25" customHeight="1" x14ac:dyDescent="0.3">
      <c r="A971" s="136"/>
      <c r="B971" s="212"/>
      <c r="C971" s="138"/>
      <c r="D971" s="138"/>
      <c r="E971" s="138"/>
      <c r="F971" s="138"/>
      <c r="G971" s="138"/>
      <c r="H971" s="139"/>
      <c r="I971" s="138"/>
      <c r="J971" s="138"/>
      <c r="K971" s="138"/>
      <c r="L971" s="138"/>
      <c r="M971" s="139"/>
      <c r="N971" s="138"/>
      <c r="O971" s="138"/>
      <c r="P971" s="138"/>
      <c r="Q971" s="139"/>
      <c r="R971" s="139"/>
      <c r="S971" s="212"/>
      <c r="T971" s="138"/>
    </row>
    <row r="972" spans="1:20" ht="14.25" customHeight="1" x14ac:dyDescent="0.3">
      <c r="A972" s="136"/>
      <c r="B972" s="212"/>
      <c r="C972" s="138"/>
      <c r="D972" s="138"/>
      <c r="E972" s="138"/>
      <c r="F972" s="138"/>
      <c r="G972" s="138"/>
      <c r="H972" s="139"/>
      <c r="I972" s="138"/>
      <c r="J972" s="138"/>
      <c r="K972" s="138"/>
      <c r="L972" s="138"/>
      <c r="M972" s="139"/>
      <c r="N972" s="138"/>
      <c r="O972" s="138"/>
      <c r="P972" s="138"/>
      <c r="Q972" s="139"/>
      <c r="R972" s="139"/>
      <c r="S972" s="212"/>
      <c r="T972" s="138"/>
    </row>
    <row r="973" spans="1:20" ht="14.25" customHeight="1" x14ac:dyDescent="0.3">
      <c r="A973" s="136"/>
      <c r="B973" s="212"/>
      <c r="C973" s="138"/>
      <c r="D973" s="138"/>
      <c r="E973" s="138"/>
      <c r="F973" s="138"/>
      <c r="G973" s="138"/>
      <c r="H973" s="139"/>
      <c r="I973" s="138"/>
      <c r="J973" s="138"/>
      <c r="K973" s="138"/>
      <c r="L973" s="138"/>
      <c r="M973" s="139"/>
      <c r="N973" s="138"/>
      <c r="O973" s="138"/>
      <c r="P973" s="138"/>
      <c r="Q973" s="139"/>
      <c r="R973" s="139"/>
      <c r="S973" s="212"/>
      <c r="T973" s="138"/>
    </row>
    <row r="974" spans="1:20" ht="14.25" customHeight="1" x14ac:dyDescent="0.3">
      <c r="A974" s="136"/>
      <c r="B974" s="212"/>
      <c r="C974" s="138"/>
      <c r="D974" s="138"/>
      <c r="E974" s="138"/>
      <c r="F974" s="138"/>
      <c r="G974" s="138"/>
      <c r="H974" s="139"/>
      <c r="I974" s="138"/>
      <c r="J974" s="138"/>
      <c r="K974" s="138"/>
      <c r="L974" s="138"/>
      <c r="M974" s="139"/>
      <c r="N974" s="138"/>
      <c r="O974" s="138"/>
      <c r="P974" s="138"/>
      <c r="Q974" s="139"/>
      <c r="R974" s="139"/>
      <c r="S974" s="212"/>
      <c r="T974" s="138"/>
    </row>
    <row r="975" spans="1:20" ht="14.25" customHeight="1" x14ac:dyDescent="0.3">
      <c r="A975" s="136"/>
      <c r="B975" s="212"/>
      <c r="C975" s="138"/>
      <c r="D975" s="138"/>
      <c r="E975" s="138"/>
      <c r="F975" s="138"/>
      <c r="G975" s="138"/>
      <c r="H975" s="139"/>
      <c r="I975" s="138"/>
      <c r="J975" s="138"/>
      <c r="K975" s="138"/>
      <c r="L975" s="138"/>
      <c r="M975" s="139"/>
      <c r="N975" s="138"/>
      <c r="O975" s="138"/>
      <c r="P975" s="138"/>
      <c r="Q975" s="139"/>
      <c r="R975" s="139"/>
      <c r="S975" s="212"/>
      <c r="T975" s="138"/>
    </row>
    <row r="976" spans="1:20" ht="14.25" customHeight="1" x14ac:dyDescent="0.3">
      <c r="A976" s="136"/>
      <c r="B976" s="212"/>
      <c r="C976" s="138"/>
      <c r="D976" s="138"/>
      <c r="E976" s="138"/>
      <c r="F976" s="138"/>
      <c r="G976" s="138"/>
      <c r="H976" s="139"/>
      <c r="I976" s="138"/>
      <c r="J976" s="138"/>
      <c r="K976" s="138"/>
      <c r="L976" s="138"/>
      <c r="M976" s="139"/>
      <c r="N976" s="138"/>
      <c r="O976" s="138"/>
      <c r="P976" s="138"/>
      <c r="Q976" s="139"/>
      <c r="R976" s="139"/>
      <c r="S976" s="212"/>
      <c r="T976" s="138"/>
    </row>
    <row r="977" spans="1:20" ht="14.25" customHeight="1" x14ac:dyDescent="0.3">
      <c r="A977" s="136"/>
      <c r="B977" s="212"/>
      <c r="C977" s="138"/>
      <c r="D977" s="138"/>
      <c r="E977" s="138"/>
      <c r="F977" s="138"/>
      <c r="G977" s="138"/>
      <c r="H977" s="139"/>
      <c r="I977" s="138"/>
      <c r="J977" s="138"/>
      <c r="K977" s="138"/>
      <c r="L977" s="138"/>
      <c r="M977" s="139"/>
      <c r="N977" s="138"/>
      <c r="O977" s="138"/>
      <c r="P977" s="138"/>
      <c r="Q977" s="139"/>
      <c r="R977" s="139"/>
      <c r="S977" s="212"/>
      <c r="T977" s="138"/>
    </row>
    <row r="978" spans="1:20" ht="14.25" customHeight="1" x14ac:dyDescent="0.3">
      <c r="A978" s="136"/>
      <c r="B978" s="212"/>
      <c r="C978" s="138"/>
      <c r="D978" s="138"/>
      <c r="E978" s="138"/>
      <c r="F978" s="138"/>
      <c r="G978" s="138"/>
      <c r="H978" s="139"/>
      <c r="I978" s="138"/>
      <c r="J978" s="138"/>
      <c r="K978" s="138"/>
      <c r="L978" s="138"/>
      <c r="M978" s="139"/>
      <c r="N978" s="138"/>
      <c r="O978" s="138"/>
      <c r="P978" s="138"/>
      <c r="Q978" s="139"/>
      <c r="R978" s="139"/>
      <c r="S978" s="212"/>
      <c r="T978" s="138"/>
    </row>
    <row r="979" spans="1:20" ht="14.25" customHeight="1" x14ac:dyDescent="0.3">
      <c r="A979" s="136"/>
      <c r="B979" s="212"/>
      <c r="C979" s="138"/>
      <c r="D979" s="138"/>
      <c r="E979" s="138"/>
      <c r="F979" s="138"/>
      <c r="G979" s="138"/>
      <c r="H979" s="139"/>
      <c r="I979" s="138"/>
      <c r="J979" s="138"/>
      <c r="K979" s="138"/>
      <c r="L979" s="138"/>
      <c r="M979" s="139"/>
      <c r="N979" s="138"/>
      <c r="O979" s="138"/>
      <c r="P979" s="138"/>
      <c r="Q979" s="139"/>
      <c r="R979" s="139"/>
      <c r="S979" s="212"/>
      <c r="T979" s="138"/>
    </row>
    <row r="980" spans="1:20" ht="14.25" customHeight="1" x14ac:dyDescent="0.3">
      <c r="A980" s="136"/>
      <c r="B980" s="212"/>
      <c r="C980" s="138"/>
      <c r="D980" s="138"/>
      <c r="E980" s="138"/>
      <c r="F980" s="138"/>
      <c r="G980" s="138"/>
      <c r="H980" s="139"/>
      <c r="I980" s="138"/>
      <c r="J980" s="138"/>
      <c r="K980" s="138"/>
      <c r="L980" s="138"/>
      <c r="M980" s="139"/>
      <c r="N980" s="138"/>
      <c r="O980" s="138"/>
      <c r="P980" s="138"/>
      <c r="Q980" s="139"/>
      <c r="R980" s="139"/>
      <c r="S980" s="212"/>
      <c r="T980" s="138"/>
    </row>
    <row r="981" spans="1:20" ht="14.25" customHeight="1" x14ac:dyDescent="0.3">
      <c r="A981" s="136"/>
      <c r="B981" s="212"/>
      <c r="C981" s="138"/>
      <c r="D981" s="138"/>
      <c r="E981" s="138"/>
      <c r="F981" s="138"/>
      <c r="G981" s="138"/>
      <c r="H981" s="139"/>
      <c r="I981" s="138"/>
      <c r="J981" s="138"/>
      <c r="K981" s="138"/>
      <c r="L981" s="138"/>
      <c r="M981" s="139"/>
      <c r="N981" s="138"/>
      <c r="O981" s="138"/>
      <c r="P981" s="138"/>
      <c r="Q981" s="139"/>
      <c r="R981" s="139"/>
      <c r="S981" s="212"/>
      <c r="T981" s="138"/>
    </row>
    <row r="982" spans="1:20" ht="14.25" customHeight="1" x14ac:dyDescent="0.3">
      <c r="A982" s="136"/>
      <c r="B982" s="212"/>
      <c r="C982" s="138"/>
      <c r="D982" s="138"/>
      <c r="E982" s="138"/>
      <c r="F982" s="138"/>
      <c r="G982" s="138"/>
      <c r="H982" s="139"/>
      <c r="I982" s="138"/>
      <c r="J982" s="138"/>
      <c r="K982" s="138"/>
      <c r="L982" s="138"/>
      <c r="M982" s="139"/>
      <c r="N982" s="138"/>
      <c r="O982" s="138"/>
      <c r="P982" s="138"/>
      <c r="Q982" s="139"/>
      <c r="R982" s="139"/>
      <c r="S982" s="212"/>
      <c r="T982" s="138"/>
    </row>
    <row r="983" spans="1:20" ht="14.25" customHeight="1" x14ac:dyDescent="0.3">
      <c r="A983" s="136"/>
      <c r="B983" s="212"/>
      <c r="C983" s="138"/>
      <c r="D983" s="138"/>
      <c r="E983" s="138"/>
      <c r="F983" s="138"/>
      <c r="G983" s="138"/>
      <c r="H983" s="139"/>
      <c r="I983" s="138"/>
      <c r="J983" s="138"/>
      <c r="K983" s="138"/>
      <c r="L983" s="138"/>
      <c r="M983" s="139"/>
      <c r="N983" s="138"/>
      <c r="O983" s="138"/>
      <c r="P983" s="138"/>
      <c r="Q983" s="139"/>
      <c r="R983" s="139"/>
      <c r="S983" s="212"/>
      <c r="T983" s="138"/>
    </row>
    <row r="984" spans="1:20" ht="14.25" customHeight="1" x14ac:dyDescent="0.3">
      <c r="A984" s="136"/>
      <c r="B984" s="212"/>
      <c r="C984" s="138"/>
      <c r="D984" s="138"/>
      <c r="E984" s="138"/>
      <c r="F984" s="138"/>
      <c r="G984" s="138"/>
      <c r="H984" s="139"/>
      <c r="I984" s="138"/>
      <c r="J984" s="138"/>
      <c r="K984" s="138"/>
      <c r="L984" s="138"/>
      <c r="M984" s="139"/>
      <c r="N984" s="138"/>
      <c r="O984" s="138"/>
      <c r="P984" s="138"/>
      <c r="Q984" s="139"/>
      <c r="R984" s="139"/>
      <c r="S984" s="212"/>
      <c r="T984" s="138"/>
    </row>
    <row r="985" spans="1:20" ht="14.25" customHeight="1" x14ac:dyDescent="0.3">
      <c r="A985" s="136"/>
      <c r="B985" s="212"/>
      <c r="C985" s="138"/>
      <c r="D985" s="138"/>
      <c r="E985" s="138"/>
      <c r="F985" s="138"/>
      <c r="G985" s="138"/>
      <c r="H985" s="139"/>
      <c r="I985" s="138"/>
      <c r="J985" s="138"/>
      <c r="K985" s="138"/>
      <c r="L985" s="138"/>
      <c r="M985" s="139"/>
      <c r="N985" s="138"/>
      <c r="O985" s="138"/>
      <c r="P985" s="138"/>
      <c r="Q985" s="139"/>
      <c r="R985" s="139"/>
      <c r="S985" s="212"/>
      <c r="T985" s="138"/>
    </row>
    <row r="986" spans="1:20" ht="14.25" customHeight="1" x14ac:dyDescent="0.3">
      <c r="A986" s="136"/>
      <c r="B986" s="212"/>
      <c r="C986" s="138"/>
      <c r="D986" s="138"/>
      <c r="E986" s="138"/>
      <c r="F986" s="138"/>
      <c r="G986" s="138"/>
      <c r="H986" s="139"/>
      <c r="I986" s="138"/>
      <c r="J986" s="138"/>
      <c r="K986" s="138"/>
      <c r="L986" s="138"/>
      <c r="M986" s="139"/>
      <c r="N986" s="138"/>
      <c r="O986" s="138"/>
      <c r="P986" s="138"/>
      <c r="Q986" s="139"/>
      <c r="R986" s="139"/>
      <c r="S986" s="212"/>
      <c r="T986" s="138"/>
    </row>
    <row r="987" spans="1:20" ht="14.25" customHeight="1" x14ac:dyDescent="0.3">
      <c r="A987" s="136"/>
      <c r="B987" s="212"/>
      <c r="C987" s="138"/>
      <c r="D987" s="138"/>
      <c r="E987" s="138"/>
      <c r="F987" s="138"/>
      <c r="G987" s="138"/>
      <c r="H987" s="139"/>
      <c r="I987" s="138"/>
      <c r="J987" s="138"/>
      <c r="K987" s="138"/>
      <c r="L987" s="138"/>
      <c r="M987" s="139"/>
      <c r="N987" s="138"/>
      <c r="O987" s="138"/>
      <c r="P987" s="138"/>
      <c r="Q987" s="139"/>
      <c r="R987" s="139"/>
      <c r="S987" s="212"/>
      <c r="T987" s="138"/>
    </row>
    <row r="988" spans="1:20" ht="14.25" customHeight="1" x14ac:dyDescent="0.3">
      <c r="A988" s="136"/>
      <c r="B988" s="212"/>
      <c r="C988" s="138"/>
      <c r="D988" s="138"/>
      <c r="E988" s="138"/>
      <c r="F988" s="138"/>
      <c r="G988" s="138"/>
      <c r="H988" s="139"/>
      <c r="I988" s="138"/>
      <c r="J988" s="138"/>
      <c r="K988" s="138"/>
      <c r="L988" s="138"/>
      <c r="M988" s="139"/>
      <c r="N988" s="138"/>
      <c r="O988" s="138"/>
      <c r="P988" s="138"/>
      <c r="Q988" s="139"/>
      <c r="R988" s="139"/>
      <c r="S988" s="212"/>
      <c r="T988" s="138"/>
    </row>
    <row r="989" spans="1:20" ht="14.25" customHeight="1" x14ac:dyDescent="0.3">
      <c r="A989" s="136"/>
      <c r="B989" s="212"/>
      <c r="C989" s="138"/>
      <c r="D989" s="138"/>
      <c r="E989" s="138"/>
      <c r="F989" s="138"/>
      <c r="G989" s="138"/>
      <c r="H989" s="139"/>
      <c r="I989" s="138"/>
      <c r="J989" s="138"/>
      <c r="K989" s="138"/>
      <c r="L989" s="138"/>
      <c r="M989" s="139"/>
      <c r="N989" s="138"/>
      <c r="O989" s="138"/>
      <c r="P989" s="138"/>
      <c r="Q989" s="139"/>
      <c r="R989" s="139"/>
      <c r="S989" s="212"/>
      <c r="T989" s="138"/>
    </row>
    <row r="990" spans="1:20" ht="14.25" customHeight="1" x14ac:dyDescent="0.3">
      <c r="A990" s="136"/>
      <c r="B990" s="212"/>
      <c r="C990" s="138"/>
      <c r="D990" s="138"/>
      <c r="E990" s="138"/>
      <c r="F990" s="138"/>
      <c r="G990" s="138"/>
      <c r="H990" s="139"/>
      <c r="I990" s="138"/>
      <c r="J990" s="138"/>
      <c r="K990" s="138"/>
      <c r="L990" s="138"/>
      <c r="M990" s="139"/>
      <c r="N990" s="138"/>
      <c r="O990" s="138"/>
      <c r="P990" s="138"/>
      <c r="Q990" s="139"/>
      <c r="R990" s="139"/>
      <c r="S990" s="212"/>
      <c r="T990" s="138"/>
    </row>
    <row r="991" spans="1:20" ht="14.25" customHeight="1" x14ac:dyDescent="0.3">
      <c r="A991" s="136"/>
      <c r="B991" s="212"/>
      <c r="C991" s="138"/>
      <c r="D991" s="138"/>
      <c r="E991" s="138"/>
      <c r="F991" s="138"/>
      <c r="G991" s="138"/>
      <c r="H991" s="139"/>
      <c r="I991" s="138"/>
      <c r="J991" s="138"/>
      <c r="K991" s="138"/>
      <c r="L991" s="138"/>
      <c r="M991" s="139"/>
      <c r="N991" s="138"/>
      <c r="O991" s="138"/>
      <c r="P991" s="138"/>
      <c r="Q991" s="139"/>
      <c r="R991" s="139"/>
      <c r="S991" s="212"/>
      <c r="T991" s="138"/>
    </row>
    <row r="992" spans="1:20" ht="14.25" customHeight="1" x14ac:dyDescent="0.3">
      <c r="A992" s="136"/>
      <c r="B992" s="212"/>
      <c r="C992" s="138"/>
      <c r="D992" s="138"/>
      <c r="E992" s="138"/>
      <c r="F992" s="138"/>
      <c r="G992" s="138"/>
      <c r="H992" s="139"/>
      <c r="I992" s="138"/>
      <c r="J992" s="138"/>
      <c r="K992" s="138"/>
      <c r="L992" s="138"/>
      <c r="M992" s="139"/>
      <c r="N992" s="138"/>
      <c r="O992" s="138"/>
      <c r="P992" s="138"/>
      <c r="Q992" s="139"/>
      <c r="R992" s="139"/>
      <c r="S992" s="212"/>
      <c r="T992" s="138"/>
    </row>
    <row r="993" spans="1:20" ht="14.25" customHeight="1" x14ac:dyDescent="0.3">
      <c r="A993" s="136"/>
      <c r="B993" s="212"/>
      <c r="C993" s="138"/>
      <c r="D993" s="138"/>
      <c r="E993" s="138"/>
      <c r="F993" s="138"/>
      <c r="G993" s="138"/>
      <c r="H993" s="139"/>
      <c r="I993" s="138"/>
      <c r="J993" s="138"/>
      <c r="K993" s="138"/>
      <c r="L993" s="138"/>
      <c r="M993" s="139"/>
      <c r="N993" s="138"/>
      <c r="O993" s="138"/>
      <c r="P993" s="138"/>
      <c r="Q993" s="139"/>
      <c r="R993" s="139"/>
      <c r="S993" s="212"/>
      <c r="T993" s="138"/>
    </row>
    <row r="994" spans="1:20" ht="14.25" customHeight="1" x14ac:dyDescent="0.3">
      <c r="A994" s="136"/>
      <c r="B994" s="212"/>
      <c r="C994" s="138"/>
      <c r="D994" s="138"/>
      <c r="E994" s="138"/>
      <c r="F994" s="138"/>
      <c r="G994" s="138"/>
      <c r="H994" s="139"/>
      <c r="I994" s="138"/>
      <c r="J994" s="138"/>
      <c r="K994" s="138"/>
      <c r="L994" s="138"/>
      <c r="M994" s="139"/>
      <c r="N994" s="138"/>
      <c r="O994" s="138"/>
      <c r="P994" s="138"/>
      <c r="Q994" s="139"/>
      <c r="R994" s="139"/>
      <c r="S994" s="212"/>
      <c r="T994" s="138"/>
    </row>
    <row r="995" spans="1:20" ht="14.25" customHeight="1" x14ac:dyDescent="0.3">
      <c r="A995" s="136"/>
      <c r="B995" s="212"/>
      <c r="C995" s="138"/>
      <c r="D995" s="138"/>
      <c r="E995" s="138"/>
      <c r="F995" s="138"/>
      <c r="G995" s="138"/>
      <c r="H995" s="139"/>
      <c r="I995" s="138"/>
      <c r="J995" s="138"/>
      <c r="K995" s="138"/>
      <c r="L995" s="138"/>
      <c r="M995" s="139"/>
      <c r="N995" s="138"/>
      <c r="O995" s="138"/>
      <c r="P995" s="138"/>
      <c r="Q995" s="139"/>
      <c r="R995" s="139"/>
      <c r="S995" s="212"/>
      <c r="T995" s="138"/>
    </row>
    <row r="996" spans="1:20" ht="14.25" customHeight="1" x14ac:dyDescent="0.3">
      <c r="A996" s="136"/>
      <c r="B996" s="212"/>
      <c r="C996" s="138"/>
      <c r="D996" s="138"/>
      <c r="E996" s="138"/>
      <c r="F996" s="138"/>
      <c r="G996" s="138"/>
      <c r="H996" s="139"/>
      <c r="I996" s="138"/>
      <c r="J996" s="138"/>
      <c r="K996" s="138"/>
      <c r="L996" s="138"/>
      <c r="M996" s="139"/>
      <c r="N996" s="138"/>
      <c r="O996" s="138"/>
      <c r="P996" s="138"/>
      <c r="Q996" s="139"/>
      <c r="R996" s="139"/>
      <c r="S996" s="212"/>
      <c r="T996" s="138"/>
    </row>
    <row r="997" spans="1:20" ht="14.25" customHeight="1" x14ac:dyDescent="0.3">
      <c r="A997" s="136"/>
      <c r="B997" s="212"/>
      <c r="C997" s="138"/>
      <c r="D997" s="138"/>
      <c r="E997" s="138"/>
      <c r="F997" s="138"/>
      <c r="G997" s="138"/>
      <c r="H997" s="139"/>
      <c r="I997" s="138"/>
      <c r="J997" s="138"/>
      <c r="K997" s="138"/>
      <c r="L997" s="138"/>
      <c r="M997" s="139"/>
      <c r="N997" s="138"/>
      <c r="O997" s="138"/>
      <c r="P997" s="138"/>
      <c r="Q997" s="139"/>
      <c r="R997" s="139"/>
      <c r="S997" s="212"/>
      <c r="T997" s="138"/>
    </row>
    <row r="998" spans="1:20" ht="14.25" customHeight="1" x14ac:dyDescent="0.3">
      <c r="A998" s="136"/>
      <c r="B998" s="212"/>
      <c r="C998" s="138"/>
      <c r="D998" s="138"/>
      <c r="E998" s="138"/>
      <c r="F998" s="138"/>
      <c r="G998" s="138"/>
      <c r="H998" s="139"/>
      <c r="I998" s="138"/>
      <c r="J998" s="138"/>
      <c r="K998" s="138"/>
      <c r="L998" s="138"/>
      <c r="M998" s="139"/>
      <c r="N998" s="138"/>
      <c r="O998" s="138"/>
      <c r="P998" s="138"/>
      <c r="Q998" s="139"/>
      <c r="R998" s="139"/>
      <c r="S998" s="212"/>
      <c r="T998" s="138"/>
    </row>
    <row r="999" spans="1:20" ht="14.25" customHeight="1" x14ac:dyDescent="0.3">
      <c r="A999" s="136"/>
      <c r="B999" s="212"/>
      <c r="C999" s="138"/>
      <c r="D999" s="138"/>
      <c r="E999" s="138"/>
      <c r="F999" s="138"/>
      <c r="G999" s="138"/>
      <c r="H999" s="139"/>
      <c r="I999" s="138"/>
      <c r="J999" s="138"/>
      <c r="K999" s="138"/>
      <c r="L999" s="138"/>
      <c r="M999" s="139"/>
      <c r="N999" s="138"/>
      <c r="O999" s="138"/>
      <c r="P999" s="138"/>
      <c r="Q999" s="139"/>
      <c r="R999" s="139"/>
      <c r="S999" s="212"/>
      <c r="T999" s="138"/>
    </row>
    <row r="1000" spans="1:20" ht="14.25" customHeight="1" x14ac:dyDescent="0.3">
      <c r="A1000" s="136"/>
      <c r="B1000" s="212"/>
      <c r="C1000" s="138"/>
      <c r="D1000" s="138"/>
      <c r="E1000" s="138"/>
      <c r="F1000" s="138"/>
      <c r="G1000" s="138"/>
      <c r="H1000" s="139"/>
      <c r="I1000" s="138"/>
      <c r="J1000" s="138"/>
      <c r="K1000" s="138"/>
      <c r="L1000" s="138"/>
      <c r="M1000" s="139"/>
      <c r="N1000" s="138"/>
      <c r="O1000" s="138"/>
      <c r="P1000" s="138"/>
      <c r="Q1000" s="139"/>
      <c r="R1000" s="139"/>
      <c r="S1000" s="212"/>
      <c r="T1000" s="138"/>
    </row>
    <row r="1001" spans="1:20" ht="14.25" customHeight="1" x14ac:dyDescent="0.3">
      <c r="A1001" s="136"/>
      <c r="B1001" s="212"/>
      <c r="C1001" s="138"/>
      <c r="D1001" s="138"/>
      <c r="E1001" s="138"/>
      <c r="F1001" s="138"/>
      <c r="G1001" s="138"/>
      <c r="H1001" s="139"/>
      <c r="I1001" s="138"/>
      <c r="J1001" s="138"/>
      <c r="K1001" s="138"/>
      <c r="L1001" s="138"/>
      <c r="M1001" s="139"/>
      <c r="N1001" s="138"/>
      <c r="O1001" s="138"/>
      <c r="P1001" s="138"/>
      <c r="Q1001" s="139"/>
      <c r="R1001" s="139"/>
      <c r="S1001" s="212"/>
      <c r="T1001" s="138"/>
    </row>
  </sheetData>
  <sheetProtection sheet="1" objects="1" scenarios="1" formatCells="1" formatColumns="1" formatRows="1" insertColumns="1" insertRows="1" insertHyperlinks="0" deleteColumns="1" deleteRows="1" selectLockedCells="0" selectUnlockedCells="0" sort="0" autoFilter="0" pivotTables="1" password="9F52"/>
  <autoFilter ref="A1:T1001" xr:uid="{00000000-0009-0000-0000-000004000000}"/>
  <conditionalFormatting sqref="B2:B1001">
    <cfRule type="expression" dxfId="197" priority="10">
      <formula>AND(B2&lt;&gt;"",NOT(ISNUMBER(B2)))</formula>
    </cfRule>
  </conditionalFormatting>
  <conditionalFormatting sqref="O2:O1001">
    <cfRule type="expression" dxfId="196" priority="4">
      <formula>O2="Abierto"</formula>
    </cfRule>
    <cfRule type="expression" dxfId="195" priority="5">
      <formula>O2="En proceso"</formula>
    </cfRule>
    <cfRule type="expression" dxfId="194" priority="6">
      <formula>O2="Cerrado"</formula>
    </cfRule>
  </conditionalFormatting>
  <conditionalFormatting sqref="S2:S1001">
    <cfRule type="expression" dxfId="193" priority="7">
      <formula>AND(TRIM(O2)="Cerrado",S2="")</formula>
    </cfRule>
    <cfRule type="expression" dxfId="192" priority="8">
      <formula>AND(ISNUMBER(S2),ISNUMBER(B2),S2&lt;B2)</formula>
    </cfRule>
    <cfRule type="expression" dxfId="191" priority="9">
      <formula>AND(S2&lt;&gt;"",NOT(ISNUMBER(S2)))</formula>
    </cfRule>
  </conditionalFormatting>
  <dataValidations count="9">
    <dataValidation operator="equal" allowBlank="1" showInputMessage="1" promptTitle="Fecha de apertura" prompt="Fecha en que se detectó. Define el mes del hallazgo." sqref="B1" xr:uid="{00000000-0002-0000-0400-000000000000}">
      <formula1>0</formula1>
      <formula2>0</formula2>
    </dataValidation>
    <dataValidation operator="equal" allowBlank="1" showInputMessage="1" promptTitle="Estado" prompt="Si está Cerrado, cargá la fecha de cierre." sqref="O1" xr:uid="{00000000-0002-0000-0400-000001000000}">
      <formula1>0</formula1>
      <formula2>0</formula2>
    </dataValidation>
    <dataValidation operator="equal" allowBlank="1" showInputMessage="1" promptTitle="Fecha de cierre" prompt="Define en qué mes cuenta el cierre." sqref="S1" xr:uid="{00000000-0002-0000-0400-000002000000}">
      <formula1>0</formula1>
      <formula2>0</formula2>
    </dataValidation>
    <dataValidation operator="equal" allowBlank="1" showInputMessage="1" promptTitle="¿Alto potencial?" prompt="Sí / No. Indicar si el hallazgo es de alto potencial." sqref="T1" xr:uid="{00000000-0002-0000-04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400-000009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400-00000A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400-00000B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400-00000C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400-00000D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400-00000E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400-00000F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400-000010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400-000011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400-000012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400-000013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400-000014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400-000015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400-000016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400-000017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400-000018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400-000019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400-00001A000000}">
          <x14:formula1>
            <xm:f>OFFSET(Listas!$M$2,0,0,MAX(1,COUNTA(Listas!$M$2:$M$200)),1)</xm:f>
          </x14:formula1>
          <x14:formula2>
            <xm:f>0</xm:f>
          </x14:formula2>
          <xm:sqref>P2:P1001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6036-CA35-468B-84EB-ED4604512B71}">
  <sheetPr>
    <tabColor rgb="FF4472C4"/>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4" t="s">
        <v>17</v>
      </c>
      <c r="B1" s="135" t="s">
        <v>171</v>
      </c>
      <c r="C1" s="134" t="s">
        <v>172</v>
      </c>
      <c r="D1" s="134" t="s">
        <v>173</v>
      </c>
      <c r="E1" s="134" t="s">
        <v>174</v>
      </c>
      <c r="F1" s="134" t="s">
        <v>175</v>
      </c>
      <c r="G1" s="134" t="s">
        <v>176</v>
      </c>
      <c r="H1" s="134" t="s">
        <v>177</v>
      </c>
      <c r="I1" s="134" t="s">
        <v>178</v>
      </c>
      <c r="J1" s="134" t="s">
        <v>179</v>
      </c>
      <c r="K1" s="134" t="s">
        <v>180</v>
      </c>
      <c r="L1" s="134" t="s">
        <v>181</v>
      </c>
      <c r="M1" s="134" t="s">
        <v>182</v>
      </c>
      <c r="N1" s="134" t="s">
        <v>183</v>
      </c>
      <c r="O1" s="134" t="s">
        <v>21</v>
      </c>
      <c r="P1" s="134" t="s">
        <v>184</v>
      </c>
      <c r="Q1" s="134" t="s">
        <v>185</v>
      </c>
      <c r="R1" s="134" t="s">
        <v>186</v>
      </c>
      <c r="S1" s="135" t="s">
        <v>187</v>
      </c>
      <c r="T1" s="134" t="s">
        <v>1712</v>
      </c>
    </row>
    <row r="2" spans="1:20" ht="34.950000000000003" customHeight="1" x14ac:dyDescent="0.3">
      <c r="A2" s="136"/>
      <c r="B2" s="212"/>
      <c r="C2" s="138"/>
      <c r="D2" s="138"/>
      <c r="E2" s="138"/>
      <c r="F2" s="138"/>
      <c r="G2" s="138"/>
      <c r="H2" s="139"/>
      <c r="I2" s="138"/>
      <c r="J2" s="138"/>
      <c r="K2" s="138"/>
      <c r="L2" s="138"/>
      <c r="M2" s="139"/>
      <c r="N2" s="138"/>
      <c r="O2" s="138"/>
      <c r="P2" s="138"/>
      <c r="Q2" s="139"/>
      <c r="R2" s="139"/>
      <c r="S2" s="212"/>
      <c r="T2" s="138"/>
    </row>
    <row r="3" spans="1:20" ht="34.950000000000003" customHeight="1" x14ac:dyDescent="0.3">
      <c r="A3" s="136"/>
      <c r="B3" s="212"/>
      <c r="C3" s="138"/>
      <c r="D3" s="138"/>
      <c r="E3" s="138"/>
      <c r="F3" s="138"/>
      <c r="G3" s="138"/>
      <c r="H3" s="139"/>
      <c r="I3" s="138"/>
      <c r="J3" s="138"/>
      <c r="K3" s="138"/>
      <c r="L3" s="138"/>
      <c r="M3" s="139"/>
      <c r="N3" s="138"/>
      <c r="O3" s="138"/>
      <c r="P3" s="138"/>
      <c r="Q3" s="139"/>
      <c r="R3" s="139"/>
      <c r="S3" s="212"/>
      <c r="T3" s="138"/>
    </row>
    <row r="4" spans="1:20" ht="34.950000000000003" customHeight="1" x14ac:dyDescent="0.3">
      <c r="A4" s="136"/>
      <c r="B4" s="212"/>
      <c r="C4" s="138"/>
      <c r="D4" s="138"/>
      <c r="E4" s="138"/>
      <c r="F4" s="138"/>
      <c r="G4" s="138"/>
      <c r="H4" s="139"/>
      <c r="I4" s="138"/>
      <c r="J4" s="138"/>
      <c r="K4" s="138"/>
      <c r="L4" s="138"/>
      <c r="M4" s="139"/>
      <c r="N4" s="138"/>
      <c r="O4" s="138"/>
      <c r="P4" s="138"/>
      <c r="Q4" s="139"/>
      <c r="R4" s="139"/>
      <c r="S4" s="212"/>
      <c r="T4" s="138"/>
    </row>
    <row r="5" spans="1:20" ht="34.950000000000003" customHeight="1" x14ac:dyDescent="0.3">
      <c r="A5" s="136"/>
      <c r="B5" s="212"/>
      <c r="C5" s="138"/>
      <c r="D5" s="138"/>
      <c r="E5" s="138"/>
      <c r="F5" s="138"/>
      <c r="G5" s="138"/>
      <c r="H5" s="139"/>
      <c r="I5" s="138"/>
      <c r="J5" s="138"/>
      <c r="K5" s="138"/>
      <c r="L5" s="138"/>
      <c r="M5" s="139"/>
      <c r="N5" s="138"/>
      <c r="O5" s="138"/>
      <c r="P5" s="138"/>
      <c r="Q5" s="139"/>
      <c r="R5" s="139"/>
      <c r="S5" s="212"/>
      <c r="T5" s="138"/>
    </row>
    <row r="6" spans="1:20" ht="34.950000000000003" customHeight="1" x14ac:dyDescent="0.3">
      <c r="A6" s="136"/>
      <c r="B6" s="212"/>
      <c r="C6" s="138"/>
      <c r="D6" s="138"/>
      <c r="E6" s="138"/>
      <c r="F6" s="138"/>
      <c r="G6" s="138"/>
      <c r="H6" s="139"/>
      <c r="I6" s="138"/>
      <c r="J6" s="138"/>
      <c r="K6" s="138"/>
      <c r="L6" s="138"/>
      <c r="M6" s="139"/>
      <c r="N6" s="138"/>
      <c r="O6" s="138"/>
      <c r="P6" s="138"/>
      <c r="Q6" s="139"/>
      <c r="R6" s="139"/>
      <c r="S6" s="212"/>
      <c r="T6" s="138"/>
    </row>
    <row r="7" spans="1:20" ht="34.950000000000003" customHeight="1" x14ac:dyDescent="0.3">
      <c r="A7" s="136"/>
      <c r="B7" s="212"/>
      <c r="C7" s="138"/>
      <c r="D7" s="138"/>
      <c r="E7" s="138"/>
      <c r="F7" s="138"/>
      <c r="G7" s="138"/>
      <c r="H7" s="139"/>
      <c r="I7" s="138"/>
      <c r="J7" s="138"/>
      <c r="K7" s="138"/>
      <c r="L7" s="138"/>
      <c r="M7" s="139"/>
      <c r="N7" s="138"/>
      <c r="O7" s="138"/>
      <c r="P7" s="138"/>
      <c r="Q7" s="139"/>
      <c r="R7" s="139"/>
      <c r="S7" s="212"/>
      <c r="T7" s="138"/>
    </row>
    <row r="8" spans="1:20" ht="34.950000000000003" customHeight="1" x14ac:dyDescent="0.3">
      <c r="A8" s="136"/>
      <c r="B8" s="212"/>
      <c r="C8" s="138"/>
      <c r="D8" s="138"/>
      <c r="E8" s="138"/>
      <c r="F8" s="138"/>
      <c r="G8" s="138"/>
      <c r="H8" s="139"/>
      <c r="I8" s="138"/>
      <c r="J8" s="138"/>
      <c r="K8" s="138"/>
      <c r="L8" s="138"/>
      <c r="M8" s="139"/>
      <c r="N8" s="138"/>
      <c r="O8" s="138"/>
      <c r="P8" s="138"/>
      <c r="Q8" s="139"/>
      <c r="R8" s="139"/>
      <c r="S8" s="212"/>
      <c r="T8" s="138"/>
    </row>
    <row r="9" spans="1:20" ht="34.950000000000003" customHeight="1" x14ac:dyDescent="0.3">
      <c r="A9" s="136"/>
      <c r="B9" s="212"/>
      <c r="C9" s="138"/>
      <c r="D9" s="138"/>
      <c r="E9" s="138"/>
      <c r="F9" s="138"/>
      <c r="G9" s="138"/>
      <c r="H9" s="139"/>
      <c r="I9" s="138"/>
      <c r="J9" s="138"/>
      <c r="K9" s="138"/>
      <c r="L9" s="138"/>
      <c r="M9" s="139"/>
      <c r="N9" s="138"/>
      <c r="O9" s="138"/>
      <c r="P9" s="138"/>
      <c r="Q9" s="139"/>
      <c r="R9" s="139"/>
      <c r="S9" s="212"/>
      <c r="T9" s="138"/>
    </row>
    <row r="10" spans="1:20" ht="34.950000000000003" customHeight="1" x14ac:dyDescent="0.3">
      <c r="A10" s="136"/>
      <c r="B10" s="212"/>
      <c r="C10" s="138"/>
      <c r="D10" s="138"/>
      <c r="E10" s="138"/>
      <c r="F10" s="138"/>
      <c r="G10" s="138"/>
      <c r="H10" s="139"/>
      <c r="I10" s="138"/>
      <c r="J10" s="138"/>
      <c r="K10" s="138"/>
      <c r="L10" s="138"/>
      <c r="M10" s="139"/>
      <c r="N10" s="138"/>
      <c r="O10" s="138"/>
      <c r="P10" s="138"/>
      <c r="Q10" s="139"/>
      <c r="R10" s="139"/>
      <c r="S10" s="212"/>
      <c r="T10" s="138"/>
    </row>
    <row r="11" spans="1:20" ht="34.950000000000003" customHeight="1" x14ac:dyDescent="0.3">
      <c r="A11" s="136"/>
      <c r="B11" s="212"/>
      <c r="C11" s="138"/>
      <c r="D11" s="138"/>
      <c r="E11" s="138"/>
      <c r="F11" s="138"/>
      <c r="G11" s="138"/>
      <c r="H11" s="139"/>
      <c r="I11" s="138"/>
      <c r="J11" s="138"/>
      <c r="K11" s="138"/>
      <c r="L11" s="138"/>
      <c r="M11" s="139"/>
      <c r="N11" s="138"/>
      <c r="O11" s="138"/>
      <c r="P11" s="138"/>
      <c r="Q11" s="139"/>
      <c r="R11" s="139"/>
      <c r="S11" s="212"/>
      <c r="T11" s="138"/>
    </row>
    <row r="12" spans="1:20" ht="34.950000000000003" customHeight="1" x14ac:dyDescent="0.3">
      <c r="A12" s="136"/>
      <c r="B12" s="212"/>
      <c r="C12" s="138"/>
      <c r="D12" s="138"/>
      <c r="E12" s="138"/>
      <c r="F12" s="138"/>
      <c r="G12" s="138"/>
      <c r="H12" s="139"/>
      <c r="I12" s="138"/>
      <c r="J12" s="138"/>
      <c r="K12" s="138"/>
      <c r="L12" s="138"/>
      <c r="M12" s="139"/>
      <c r="N12" s="138"/>
      <c r="O12" s="138"/>
      <c r="P12" s="138"/>
      <c r="Q12" s="139"/>
      <c r="R12" s="139"/>
      <c r="S12" s="212"/>
      <c r="T12" s="138"/>
    </row>
    <row r="13" spans="1:20" ht="34.950000000000003" customHeight="1" x14ac:dyDescent="0.3">
      <c r="A13" s="136"/>
      <c r="B13" s="212"/>
      <c r="C13" s="138"/>
      <c r="D13" s="138"/>
      <c r="E13" s="138"/>
      <c r="F13" s="138"/>
      <c r="G13" s="138"/>
      <c r="H13" s="139"/>
      <c r="I13" s="138"/>
      <c r="J13" s="138"/>
      <c r="K13" s="138"/>
      <c r="L13" s="138"/>
      <c r="M13" s="139"/>
      <c r="N13" s="138"/>
      <c r="O13" s="138"/>
      <c r="P13" s="138"/>
      <c r="Q13" s="139"/>
      <c r="R13" s="139"/>
      <c r="S13" s="212"/>
      <c r="T13" s="138"/>
    </row>
    <row r="14" spans="1:20" ht="34.950000000000003" customHeight="1" x14ac:dyDescent="0.3">
      <c r="A14" s="136"/>
      <c r="B14" s="212"/>
      <c r="C14" s="138"/>
      <c r="D14" s="138"/>
      <c r="E14" s="138"/>
      <c r="F14" s="138"/>
      <c r="G14" s="138"/>
      <c r="H14" s="139"/>
      <c r="I14" s="138"/>
      <c r="J14" s="138"/>
      <c r="K14" s="138"/>
      <c r="L14" s="138"/>
      <c r="M14" s="139"/>
      <c r="N14" s="138"/>
      <c r="O14" s="138"/>
      <c r="P14" s="138"/>
      <c r="Q14" s="139"/>
      <c r="R14" s="139"/>
      <c r="S14" s="212"/>
      <c r="T14" s="138"/>
    </row>
    <row r="15" spans="1:20" ht="34.950000000000003" customHeight="1" x14ac:dyDescent="0.3">
      <c r="A15" s="136"/>
      <c r="B15" s="212"/>
      <c r="C15" s="138"/>
      <c r="D15" s="138"/>
      <c r="E15" s="138"/>
      <c r="F15" s="138"/>
      <c r="G15" s="138"/>
      <c r="H15" s="139"/>
      <c r="I15" s="138"/>
      <c r="J15" s="138"/>
      <c r="K15" s="138"/>
      <c r="L15" s="138"/>
      <c r="M15" s="139"/>
      <c r="N15" s="138"/>
      <c r="O15" s="138"/>
      <c r="P15" s="138"/>
      <c r="Q15" s="139"/>
      <c r="R15" s="139"/>
      <c r="S15" s="212"/>
      <c r="T15" s="138"/>
    </row>
    <row r="16" spans="1:20" ht="34.950000000000003" customHeight="1" x14ac:dyDescent="0.3">
      <c r="A16" s="136"/>
      <c r="B16" s="212"/>
      <c r="C16" s="138"/>
      <c r="D16" s="138"/>
      <c r="E16" s="138"/>
      <c r="F16" s="138"/>
      <c r="G16" s="138"/>
      <c r="H16" s="139"/>
      <c r="I16" s="138"/>
      <c r="J16" s="138"/>
      <c r="K16" s="138"/>
      <c r="L16" s="138"/>
      <c r="M16" s="139"/>
      <c r="N16" s="138"/>
      <c r="O16" s="138"/>
      <c r="P16" s="138"/>
      <c r="Q16" s="139"/>
      <c r="R16" s="139"/>
      <c r="S16" s="212"/>
      <c r="T16" s="138"/>
    </row>
    <row r="17" spans="1:20" ht="34.950000000000003" customHeight="1" x14ac:dyDescent="0.3">
      <c r="A17" s="136"/>
      <c r="B17" s="212"/>
      <c r="C17" s="138"/>
      <c r="D17" s="138"/>
      <c r="E17" s="138"/>
      <c r="F17" s="138"/>
      <c r="G17" s="138"/>
      <c r="H17" s="139"/>
      <c r="I17" s="138"/>
      <c r="J17" s="138"/>
      <c r="K17" s="138"/>
      <c r="L17" s="138"/>
      <c r="M17" s="139"/>
      <c r="N17" s="138"/>
      <c r="O17" s="138"/>
      <c r="P17" s="138"/>
      <c r="Q17" s="139"/>
      <c r="R17" s="139"/>
      <c r="S17" s="212"/>
      <c r="T17" s="138"/>
    </row>
    <row r="18" spans="1:20" ht="34.950000000000003" customHeight="1" x14ac:dyDescent="0.3">
      <c r="A18" s="136"/>
      <c r="B18" s="212"/>
      <c r="C18" s="138"/>
      <c r="D18" s="138"/>
      <c r="E18" s="138"/>
      <c r="F18" s="138"/>
      <c r="G18" s="138"/>
      <c r="H18" s="139"/>
      <c r="I18" s="138"/>
      <c r="J18" s="138"/>
      <c r="K18" s="138"/>
      <c r="L18" s="138"/>
      <c r="M18" s="139"/>
      <c r="N18" s="138"/>
      <c r="O18" s="138"/>
      <c r="P18" s="138"/>
      <c r="Q18" s="139"/>
      <c r="R18" s="139"/>
      <c r="S18" s="212"/>
      <c r="T18" s="138"/>
    </row>
    <row r="19" spans="1:20" ht="34.950000000000003" customHeight="1" x14ac:dyDescent="0.3">
      <c r="A19" s="136"/>
      <c r="B19" s="212"/>
      <c r="C19" s="138"/>
      <c r="D19" s="138"/>
      <c r="E19" s="138"/>
      <c r="F19" s="138"/>
      <c r="G19" s="138"/>
      <c r="H19" s="139"/>
      <c r="I19" s="138"/>
      <c r="J19" s="138"/>
      <c r="K19" s="138"/>
      <c r="L19" s="138"/>
      <c r="M19" s="139"/>
      <c r="N19" s="138"/>
      <c r="O19" s="138"/>
      <c r="P19" s="138"/>
      <c r="Q19" s="139"/>
      <c r="R19" s="139"/>
      <c r="S19" s="212"/>
      <c r="T19" s="138"/>
    </row>
    <row r="20" spans="1:20" ht="34.950000000000003" customHeight="1" x14ac:dyDescent="0.3">
      <c r="A20" s="136"/>
      <c r="B20" s="212"/>
      <c r="C20" s="138"/>
      <c r="D20" s="138"/>
      <c r="E20" s="138"/>
      <c r="F20" s="138"/>
      <c r="G20" s="138"/>
      <c r="H20" s="139"/>
      <c r="I20" s="138"/>
      <c r="J20" s="138"/>
      <c r="K20" s="138"/>
      <c r="L20" s="138"/>
      <c r="M20" s="139"/>
      <c r="N20" s="138"/>
      <c r="O20" s="138"/>
      <c r="P20" s="138"/>
      <c r="Q20" s="139"/>
      <c r="R20" s="139"/>
      <c r="S20" s="212"/>
      <c r="T20" s="138"/>
    </row>
    <row r="21" spans="1:20" ht="34.950000000000003" customHeight="1" x14ac:dyDescent="0.3">
      <c r="A21" s="136"/>
      <c r="B21" s="212"/>
      <c r="C21" s="138"/>
      <c r="D21" s="138"/>
      <c r="E21" s="138"/>
      <c r="F21" s="138"/>
      <c r="G21" s="138"/>
      <c r="H21" s="139"/>
      <c r="I21" s="138"/>
      <c r="J21" s="138"/>
      <c r="K21" s="138"/>
      <c r="L21" s="138"/>
      <c r="M21" s="139"/>
      <c r="N21" s="138"/>
      <c r="O21" s="138"/>
      <c r="P21" s="138"/>
      <c r="Q21" s="139"/>
      <c r="R21" s="139"/>
      <c r="S21" s="212"/>
      <c r="T21" s="138"/>
    </row>
    <row r="22" spans="1:20" ht="34.950000000000003" customHeight="1" x14ac:dyDescent="0.3">
      <c r="A22" s="136"/>
      <c r="B22" s="212"/>
      <c r="C22" s="138"/>
      <c r="D22" s="138"/>
      <c r="E22" s="138"/>
      <c r="F22" s="138"/>
      <c r="G22" s="138"/>
      <c r="H22" s="139"/>
      <c r="I22" s="138"/>
      <c r="J22" s="138"/>
      <c r="K22" s="138"/>
      <c r="L22" s="138"/>
      <c r="M22" s="139"/>
      <c r="N22" s="138"/>
      <c r="O22" s="138"/>
      <c r="P22" s="138"/>
      <c r="Q22" s="139"/>
      <c r="R22" s="139"/>
      <c r="S22" s="212"/>
      <c r="T22" s="138"/>
    </row>
    <row r="23" spans="1:20" ht="34.950000000000003" customHeight="1" x14ac:dyDescent="0.3">
      <c r="A23" s="136"/>
      <c r="B23" s="212"/>
      <c r="C23" s="138"/>
      <c r="D23" s="138"/>
      <c r="E23" s="138"/>
      <c r="F23" s="138"/>
      <c r="G23" s="138"/>
      <c r="H23" s="139"/>
      <c r="I23" s="138"/>
      <c r="J23" s="138"/>
      <c r="K23" s="138"/>
      <c r="L23" s="138"/>
      <c r="M23" s="139"/>
      <c r="N23" s="138"/>
      <c r="O23" s="138"/>
      <c r="P23" s="138"/>
      <c r="Q23" s="139"/>
      <c r="R23" s="139"/>
      <c r="S23" s="212"/>
      <c r="T23" s="138"/>
    </row>
    <row r="24" spans="1:20" ht="34.950000000000003" customHeight="1" x14ac:dyDescent="0.3">
      <c r="A24" s="136"/>
      <c r="B24" s="212"/>
      <c r="C24" s="138"/>
      <c r="D24" s="138"/>
      <c r="E24" s="138"/>
      <c r="F24" s="138"/>
      <c r="G24" s="138"/>
      <c r="H24" s="139"/>
      <c r="I24" s="138"/>
      <c r="J24" s="138"/>
      <c r="K24" s="138"/>
      <c r="L24" s="138"/>
      <c r="M24" s="139"/>
      <c r="N24" s="138"/>
      <c r="O24" s="138"/>
      <c r="P24" s="138"/>
      <c r="Q24" s="139"/>
      <c r="R24" s="139"/>
      <c r="S24" s="212"/>
      <c r="T24" s="138"/>
    </row>
    <row r="25" spans="1:20" ht="34.950000000000003" customHeight="1" x14ac:dyDescent="0.3">
      <c r="A25" s="136"/>
      <c r="B25" s="212"/>
      <c r="C25" s="138"/>
      <c r="D25" s="138"/>
      <c r="E25" s="138"/>
      <c r="F25" s="138"/>
      <c r="G25" s="138"/>
      <c r="H25" s="139"/>
      <c r="I25" s="138"/>
      <c r="J25" s="138"/>
      <c r="K25" s="138"/>
      <c r="L25" s="138"/>
      <c r="M25" s="139"/>
      <c r="N25" s="138"/>
      <c r="O25" s="138"/>
      <c r="P25" s="138"/>
      <c r="Q25" s="139"/>
      <c r="R25" s="139"/>
      <c r="S25" s="212"/>
      <c r="T25" s="138"/>
    </row>
    <row r="26" spans="1:20" ht="34.950000000000003" customHeight="1" x14ac:dyDescent="0.3">
      <c r="A26" s="136"/>
      <c r="B26" s="212"/>
      <c r="C26" s="138"/>
      <c r="D26" s="138"/>
      <c r="E26" s="138"/>
      <c r="F26" s="138"/>
      <c r="G26" s="138"/>
      <c r="H26" s="139"/>
      <c r="I26" s="138"/>
      <c r="J26" s="138"/>
      <c r="K26" s="138"/>
      <c r="L26" s="138"/>
      <c r="M26" s="139"/>
      <c r="N26" s="138"/>
      <c r="O26" s="138"/>
      <c r="P26" s="138"/>
      <c r="Q26" s="139"/>
      <c r="R26" s="139"/>
      <c r="S26" s="212"/>
      <c r="T26" s="138"/>
    </row>
    <row r="27" spans="1:20" ht="34.950000000000003" customHeight="1" x14ac:dyDescent="0.3">
      <c r="A27" s="136"/>
      <c r="B27" s="212"/>
      <c r="C27" s="138"/>
      <c r="D27" s="138"/>
      <c r="E27" s="138"/>
      <c r="F27" s="138"/>
      <c r="G27" s="138"/>
      <c r="H27" s="139"/>
      <c r="I27" s="138"/>
      <c r="J27" s="138"/>
      <c r="K27" s="138"/>
      <c r="L27" s="138"/>
      <c r="M27" s="139"/>
      <c r="N27" s="138"/>
      <c r="O27" s="138"/>
      <c r="P27" s="138"/>
      <c r="Q27" s="139"/>
      <c r="R27" s="139"/>
      <c r="S27" s="212"/>
      <c r="T27" s="138"/>
    </row>
    <row r="28" spans="1:20" ht="34.950000000000003" customHeight="1" x14ac:dyDescent="0.3">
      <c r="A28" s="136"/>
      <c r="B28" s="212"/>
      <c r="C28" s="138"/>
      <c r="D28" s="138"/>
      <c r="E28" s="138"/>
      <c r="F28" s="138"/>
      <c r="G28" s="138"/>
      <c r="H28" s="139"/>
      <c r="I28" s="138"/>
      <c r="J28" s="138"/>
      <c r="K28" s="138"/>
      <c r="L28" s="138"/>
      <c r="M28" s="139"/>
      <c r="N28" s="138"/>
      <c r="O28" s="138"/>
      <c r="P28" s="138"/>
      <c r="Q28" s="139"/>
      <c r="R28" s="139"/>
      <c r="S28" s="212"/>
      <c r="T28" s="138"/>
    </row>
    <row r="29" spans="1:20" ht="34.950000000000003" customHeight="1" x14ac:dyDescent="0.3">
      <c r="A29" s="136"/>
      <c r="B29" s="212"/>
      <c r="C29" s="138"/>
      <c r="D29" s="138"/>
      <c r="E29" s="138"/>
      <c r="F29" s="138"/>
      <c r="G29" s="138"/>
      <c r="H29" s="139"/>
      <c r="I29" s="138"/>
      <c r="J29" s="138"/>
      <c r="K29" s="138"/>
      <c r="L29" s="138"/>
      <c r="M29" s="139"/>
      <c r="N29" s="138"/>
      <c r="O29" s="138"/>
      <c r="P29" s="138"/>
      <c r="Q29" s="139"/>
      <c r="R29" s="139"/>
      <c r="S29" s="212"/>
      <c r="T29" s="138"/>
    </row>
    <row r="30" spans="1:20" ht="34.950000000000003" customHeight="1" x14ac:dyDescent="0.3">
      <c r="A30" s="136"/>
      <c r="B30" s="212"/>
      <c r="C30" s="138"/>
      <c r="D30" s="138"/>
      <c r="E30" s="138"/>
      <c r="F30" s="138"/>
      <c r="G30" s="138"/>
      <c r="H30" s="139"/>
      <c r="I30" s="138"/>
      <c r="J30" s="138"/>
      <c r="K30" s="138"/>
      <c r="L30" s="138"/>
      <c r="M30" s="139"/>
      <c r="N30" s="138"/>
      <c r="O30" s="138"/>
      <c r="P30" s="138"/>
      <c r="Q30" s="139"/>
      <c r="R30" s="139"/>
      <c r="S30" s="212"/>
      <c r="T30" s="138"/>
    </row>
    <row r="31" spans="1:20" ht="34.950000000000003" customHeight="1" x14ac:dyDescent="0.3">
      <c r="A31" s="136"/>
      <c r="B31" s="212"/>
      <c r="C31" s="138"/>
      <c r="D31" s="138"/>
      <c r="E31" s="138"/>
      <c r="F31" s="138"/>
      <c r="G31" s="138"/>
      <c r="H31" s="139"/>
      <c r="I31" s="138"/>
      <c r="J31" s="138"/>
      <c r="K31" s="138"/>
      <c r="L31" s="138"/>
      <c r="M31" s="139"/>
      <c r="N31" s="138"/>
      <c r="O31" s="138"/>
      <c r="P31" s="138"/>
      <c r="Q31" s="139"/>
      <c r="R31" s="139"/>
      <c r="S31" s="212"/>
      <c r="T31" s="138"/>
    </row>
    <row r="32" spans="1:20" ht="34.950000000000003" customHeight="1" x14ac:dyDescent="0.3">
      <c r="A32" s="136"/>
      <c r="B32" s="212"/>
      <c r="C32" s="138"/>
      <c r="D32" s="138"/>
      <c r="E32" s="138"/>
      <c r="F32" s="138"/>
      <c r="G32" s="138"/>
      <c r="H32" s="139"/>
      <c r="I32" s="138"/>
      <c r="J32" s="138"/>
      <c r="K32" s="138"/>
      <c r="L32" s="138"/>
      <c r="M32" s="139"/>
      <c r="N32" s="138"/>
      <c r="O32" s="138"/>
      <c r="P32" s="138"/>
      <c r="Q32" s="139"/>
      <c r="R32" s="139"/>
      <c r="S32" s="212"/>
      <c r="T32" s="138"/>
    </row>
    <row r="33" spans="1:20" ht="34.950000000000003" customHeight="1" x14ac:dyDescent="0.3">
      <c r="A33" s="136"/>
      <c r="B33" s="212"/>
      <c r="C33" s="138"/>
      <c r="D33" s="138"/>
      <c r="E33" s="138"/>
      <c r="F33" s="138"/>
      <c r="G33" s="138"/>
      <c r="H33" s="139"/>
      <c r="I33" s="138"/>
      <c r="J33" s="138"/>
      <c r="K33" s="138"/>
      <c r="L33" s="138"/>
      <c r="M33" s="139"/>
      <c r="N33" s="138"/>
      <c r="O33" s="138"/>
      <c r="P33" s="138"/>
      <c r="Q33" s="139"/>
      <c r="R33" s="139"/>
      <c r="S33" s="212"/>
      <c r="T33" s="138"/>
    </row>
    <row r="34" spans="1:20" ht="34.950000000000003" customHeight="1" x14ac:dyDescent="0.3">
      <c r="A34" s="136"/>
      <c r="B34" s="212"/>
      <c r="C34" s="138"/>
      <c r="D34" s="138"/>
      <c r="E34" s="138"/>
      <c r="F34" s="138"/>
      <c r="G34" s="138"/>
      <c r="H34" s="139"/>
      <c r="I34" s="138"/>
      <c r="J34" s="138"/>
      <c r="K34" s="138"/>
      <c r="L34" s="138"/>
      <c r="M34" s="139"/>
      <c r="N34" s="138"/>
      <c r="O34" s="138"/>
      <c r="P34" s="138"/>
      <c r="Q34" s="139"/>
      <c r="R34" s="139"/>
      <c r="S34" s="212"/>
      <c r="T34" s="138"/>
    </row>
    <row r="35" spans="1:20" ht="34.950000000000003" customHeight="1" x14ac:dyDescent="0.3">
      <c r="A35" s="136"/>
      <c r="B35" s="212"/>
      <c r="C35" s="138"/>
      <c r="D35" s="138"/>
      <c r="E35" s="138"/>
      <c r="F35" s="138"/>
      <c r="G35" s="138"/>
      <c r="H35" s="139"/>
      <c r="I35" s="138"/>
      <c r="J35" s="138"/>
      <c r="K35" s="138"/>
      <c r="L35" s="138"/>
      <c r="M35" s="139"/>
      <c r="N35" s="138"/>
      <c r="O35" s="138"/>
      <c r="P35" s="138"/>
      <c r="Q35" s="139"/>
      <c r="R35" s="139"/>
      <c r="S35" s="212"/>
      <c r="T35" s="138"/>
    </row>
    <row r="36" spans="1:20" ht="34.950000000000003" customHeight="1" x14ac:dyDescent="0.3">
      <c r="A36" s="136"/>
      <c r="B36" s="212"/>
      <c r="C36" s="138"/>
      <c r="D36" s="138"/>
      <c r="E36" s="138"/>
      <c r="F36" s="138"/>
      <c r="G36" s="138"/>
      <c r="H36" s="139"/>
      <c r="I36" s="138"/>
      <c r="J36" s="138"/>
      <c r="K36" s="138"/>
      <c r="L36" s="138"/>
      <c r="M36" s="139"/>
      <c r="N36" s="138"/>
      <c r="O36" s="138"/>
      <c r="P36" s="138"/>
      <c r="Q36" s="139"/>
      <c r="R36" s="139"/>
      <c r="S36" s="212"/>
      <c r="T36" s="138"/>
    </row>
    <row r="37" spans="1:20" ht="34.950000000000003" customHeight="1" x14ac:dyDescent="0.3">
      <c r="A37" s="136"/>
      <c r="B37" s="212"/>
      <c r="C37" s="138"/>
      <c r="D37" s="138"/>
      <c r="E37" s="138"/>
      <c r="F37" s="138"/>
      <c r="G37" s="138"/>
      <c r="H37" s="139"/>
      <c r="I37" s="138"/>
      <c r="J37" s="138"/>
      <c r="K37" s="138"/>
      <c r="L37" s="138"/>
      <c r="M37" s="139"/>
      <c r="N37" s="138"/>
      <c r="O37" s="138"/>
      <c r="P37" s="138"/>
      <c r="Q37" s="139"/>
      <c r="R37" s="139"/>
      <c r="S37" s="212"/>
      <c r="T37" s="138"/>
    </row>
    <row r="38" spans="1:20" ht="34.950000000000003" customHeight="1" x14ac:dyDescent="0.3">
      <c r="A38" s="136"/>
      <c r="B38" s="212"/>
      <c r="C38" s="138"/>
      <c r="D38" s="138"/>
      <c r="E38" s="138"/>
      <c r="F38" s="138"/>
      <c r="G38" s="138"/>
      <c r="H38" s="139"/>
      <c r="I38" s="138"/>
      <c r="J38" s="138"/>
      <c r="K38" s="138"/>
      <c r="L38" s="138"/>
      <c r="M38" s="139"/>
      <c r="N38" s="138"/>
      <c r="O38" s="138"/>
      <c r="P38" s="138"/>
      <c r="Q38" s="139"/>
      <c r="R38" s="139"/>
      <c r="S38" s="212"/>
      <c r="T38" s="138"/>
    </row>
    <row r="39" spans="1:20" ht="34.950000000000003" customHeight="1" x14ac:dyDescent="0.3">
      <c r="A39" s="136"/>
      <c r="B39" s="212"/>
      <c r="C39" s="138"/>
      <c r="D39" s="138"/>
      <c r="E39" s="138"/>
      <c r="F39" s="138"/>
      <c r="G39" s="138"/>
      <c r="H39" s="139"/>
      <c r="I39" s="138"/>
      <c r="J39" s="138"/>
      <c r="K39" s="138"/>
      <c r="L39" s="138"/>
      <c r="M39" s="139"/>
      <c r="N39" s="138"/>
      <c r="O39" s="138"/>
      <c r="P39" s="138"/>
      <c r="Q39" s="139"/>
      <c r="R39" s="139"/>
      <c r="S39" s="212"/>
      <c r="T39" s="138"/>
    </row>
    <row r="40" spans="1:20" ht="34.950000000000003" customHeight="1" x14ac:dyDescent="0.3">
      <c r="A40" s="136"/>
      <c r="B40" s="212"/>
      <c r="C40" s="138"/>
      <c r="D40" s="138"/>
      <c r="E40" s="138"/>
      <c r="F40" s="138"/>
      <c r="G40" s="138"/>
      <c r="H40" s="139"/>
      <c r="I40" s="138"/>
      <c r="J40" s="138"/>
      <c r="K40" s="138"/>
      <c r="L40" s="138"/>
      <c r="M40" s="139"/>
      <c r="N40" s="138"/>
      <c r="O40" s="138"/>
      <c r="P40" s="138"/>
      <c r="Q40" s="139"/>
      <c r="R40" s="139"/>
      <c r="S40" s="212"/>
      <c r="T40" s="138"/>
    </row>
    <row r="41" spans="1:20" ht="34.950000000000003" customHeight="1" x14ac:dyDescent="0.3">
      <c r="A41" s="136"/>
      <c r="B41" s="212"/>
      <c r="C41" s="138"/>
      <c r="D41" s="138"/>
      <c r="E41" s="138"/>
      <c r="F41" s="138"/>
      <c r="G41" s="138"/>
      <c r="H41" s="139"/>
      <c r="I41" s="138"/>
      <c r="J41" s="138"/>
      <c r="K41" s="138"/>
      <c r="L41" s="138"/>
      <c r="M41" s="139"/>
      <c r="N41" s="138"/>
      <c r="O41" s="138"/>
      <c r="P41" s="138"/>
      <c r="Q41" s="139"/>
      <c r="R41" s="139"/>
      <c r="S41" s="212"/>
      <c r="T41" s="138"/>
    </row>
    <row r="42" spans="1:20" ht="34.950000000000003" customHeight="1" x14ac:dyDescent="0.3">
      <c r="A42" s="136"/>
      <c r="B42" s="212"/>
      <c r="C42" s="138"/>
      <c r="D42" s="138"/>
      <c r="E42" s="138"/>
      <c r="F42" s="138"/>
      <c r="G42" s="138"/>
      <c r="H42" s="139"/>
      <c r="I42" s="138"/>
      <c r="J42" s="138"/>
      <c r="K42" s="138"/>
      <c r="L42" s="138"/>
      <c r="M42" s="139"/>
      <c r="N42" s="138"/>
      <c r="O42" s="138"/>
      <c r="P42" s="138"/>
      <c r="Q42" s="139"/>
      <c r="R42" s="139"/>
      <c r="S42" s="212"/>
      <c r="T42" s="138"/>
    </row>
    <row r="43" spans="1:20" ht="34.950000000000003" customHeight="1" x14ac:dyDescent="0.3">
      <c r="A43" s="136"/>
      <c r="B43" s="212"/>
      <c r="C43" s="138"/>
      <c r="D43" s="138"/>
      <c r="E43" s="138"/>
      <c r="F43" s="138"/>
      <c r="G43" s="138"/>
      <c r="H43" s="139"/>
      <c r="I43" s="138"/>
      <c r="J43" s="138"/>
      <c r="K43" s="138"/>
      <c r="L43" s="138"/>
      <c r="M43" s="139"/>
      <c r="N43" s="138"/>
      <c r="O43" s="138"/>
      <c r="P43" s="138"/>
      <c r="Q43" s="139"/>
      <c r="R43" s="139"/>
      <c r="S43" s="212"/>
      <c r="T43" s="138"/>
    </row>
    <row r="44" spans="1:20" ht="34.950000000000003" customHeight="1" x14ac:dyDescent="0.3">
      <c r="A44" s="136"/>
      <c r="B44" s="212"/>
      <c r="C44" s="138"/>
      <c r="D44" s="138"/>
      <c r="E44" s="138"/>
      <c r="F44" s="138"/>
      <c r="G44" s="138"/>
      <c r="H44" s="139"/>
      <c r="I44" s="138"/>
      <c r="J44" s="138"/>
      <c r="K44" s="138"/>
      <c r="L44" s="138"/>
      <c r="M44" s="139"/>
      <c r="N44" s="138"/>
      <c r="O44" s="138"/>
      <c r="P44" s="138"/>
      <c r="Q44" s="139"/>
      <c r="R44" s="139"/>
      <c r="S44" s="212"/>
      <c r="T44" s="138"/>
    </row>
    <row r="45" spans="1:20" ht="34.950000000000003" customHeight="1" x14ac:dyDescent="0.3">
      <c r="A45" s="136"/>
      <c r="B45" s="212"/>
      <c r="C45" s="138"/>
      <c r="D45" s="138"/>
      <c r="E45" s="138"/>
      <c r="F45" s="138"/>
      <c r="G45" s="138"/>
      <c r="H45" s="139"/>
      <c r="I45" s="138"/>
      <c r="J45" s="138"/>
      <c r="K45" s="138"/>
      <c r="L45" s="138"/>
      <c r="M45" s="139"/>
      <c r="N45" s="138"/>
      <c r="O45" s="138"/>
      <c r="P45" s="138"/>
      <c r="Q45" s="139"/>
      <c r="R45" s="139"/>
      <c r="S45" s="212"/>
      <c r="T45" s="138"/>
    </row>
    <row r="46" spans="1:20" ht="34.950000000000003" customHeight="1" x14ac:dyDescent="0.3">
      <c r="A46" s="136"/>
      <c r="B46" s="212"/>
      <c r="C46" s="138"/>
      <c r="D46" s="138"/>
      <c r="E46" s="138"/>
      <c r="F46" s="138"/>
      <c r="G46" s="138"/>
      <c r="H46" s="139"/>
      <c r="I46" s="138"/>
      <c r="J46" s="138"/>
      <c r="K46" s="138"/>
      <c r="L46" s="138"/>
      <c r="M46" s="139"/>
      <c r="N46" s="138"/>
      <c r="O46" s="138"/>
      <c r="P46" s="138"/>
      <c r="Q46" s="139"/>
      <c r="R46" s="139"/>
      <c r="S46" s="212"/>
      <c r="T46" s="138"/>
    </row>
    <row r="47" spans="1:20" ht="34.950000000000003" customHeight="1" x14ac:dyDescent="0.3">
      <c r="A47" s="136"/>
      <c r="B47" s="212"/>
      <c r="C47" s="138"/>
      <c r="D47" s="138"/>
      <c r="E47" s="138"/>
      <c r="F47" s="138"/>
      <c r="G47" s="138"/>
      <c r="H47" s="139"/>
      <c r="I47" s="138"/>
      <c r="J47" s="138"/>
      <c r="K47" s="138"/>
      <c r="L47" s="138"/>
      <c r="M47" s="139"/>
      <c r="N47" s="138"/>
      <c r="O47" s="138"/>
      <c r="P47" s="138"/>
      <c r="Q47" s="139"/>
      <c r="R47" s="139"/>
      <c r="S47" s="212"/>
      <c r="T47" s="138"/>
    </row>
    <row r="48" spans="1:20" ht="34.950000000000003" customHeight="1" x14ac:dyDescent="0.3">
      <c r="A48" s="136"/>
      <c r="B48" s="212"/>
      <c r="C48" s="138"/>
      <c r="D48" s="138"/>
      <c r="E48" s="138"/>
      <c r="F48" s="138"/>
      <c r="G48" s="138"/>
      <c r="H48" s="139"/>
      <c r="I48" s="138"/>
      <c r="J48" s="138"/>
      <c r="K48" s="138"/>
      <c r="L48" s="138"/>
      <c r="M48" s="139"/>
      <c r="N48" s="138"/>
      <c r="O48" s="138"/>
      <c r="P48" s="138"/>
      <c r="Q48" s="139"/>
      <c r="R48" s="139"/>
      <c r="S48" s="212"/>
      <c r="T48" s="138"/>
    </row>
    <row r="49" spans="1:20" ht="34.950000000000003" customHeight="1" x14ac:dyDescent="0.3">
      <c r="A49" s="136"/>
      <c r="B49" s="212"/>
      <c r="C49" s="138"/>
      <c r="D49" s="138"/>
      <c r="E49" s="138"/>
      <c r="F49" s="138"/>
      <c r="G49" s="138"/>
      <c r="H49" s="139"/>
      <c r="I49" s="138"/>
      <c r="J49" s="138"/>
      <c r="K49" s="138"/>
      <c r="L49" s="138"/>
      <c r="M49" s="139"/>
      <c r="N49" s="138"/>
      <c r="O49" s="138"/>
      <c r="P49" s="138"/>
      <c r="Q49" s="139"/>
      <c r="R49" s="139"/>
      <c r="S49" s="212"/>
      <c r="T49" s="138"/>
    </row>
    <row r="50" spans="1:20" ht="34.950000000000003" customHeight="1" x14ac:dyDescent="0.3">
      <c r="A50" s="136"/>
      <c r="B50" s="212"/>
      <c r="C50" s="138"/>
      <c r="D50" s="138"/>
      <c r="E50" s="138"/>
      <c r="F50" s="138"/>
      <c r="G50" s="138"/>
      <c r="H50" s="139"/>
      <c r="I50" s="138"/>
      <c r="J50" s="138"/>
      <c r="K50" s="138"/>
      <c r="L50" s="138"/>
      <c r="M50" s="139"/>
      <c r="N50" s="138"/>
      <c r="O50" s="138"/>
      <c r="P50" s="138"/>
      <c r="Q50" s="139"/>
      <c r="R50" s="139"/>
      <c r="S50" s="212"/>
      <c r="T50" s="138"/>
    </row>
    <row r="51" spans="1:20" ht="34.950000000000003" customHeight="1" x14ac:dyDescent="0.3">
      <c r="A51" s="136"/>
      <c r="B51" s="212"/>
      <c r="C51" s="138"/>
      <c r="D51" s="138"/>
      <c r="E51" s="138"/>
      <c r="F51" s="138"/>
      <c r="G51" s="138"/>
      <c r="H51" s="139"/>
      <c r="I51" s="138"/>
      <c r="J51" s="138"/>
      <c r="K51" s="138"/>
      <c r="L51" s="138"/>
      <c r="M51" s="139"/>
      <c r="N51" s="138"/>
      <c r="O51" s="138"/>
      <c r="P51" s="138"/>
      <c r="Q51" s="139"/>
      <c r="R51" s="139"/>
      <c r="S51" s="212"/>
      <c r="T51" s="138"/>
    </row>
    <row r="52" spans="1:20" ht="34.950000000000003" customHeight="1" x14ac:dyDescent="0.3">
      <c r="A52" s="136"/>
      <c r="B52" s="212"/>
      <c r="C52" s="138"/>
      <c r="D52" s="138"/>
      <c r="E52" s="138"/>
      <c r="F52" s="138"/>
      <c r="G52" s="138"/>
      <c r="H52" s="139"/>
      <c r="I52" s="138"/>
      <c r="J52" s="138"/>
      <c r="K52" s="138"/>
      <c r="L52" s="138"/>
      <c r="M52" s="139"/>
      <c r="N52" s="138"/>
      <c r="O52" s="138"/>
      <c r="P52" s="138"/>
      <c r="Q52" s="139"/>
      <c r="R52" s="139"/>
      <c r="S52" s="212"/>
      <c r="T52" s="138"/>
    </row>
    <row r="53" spans="1:20" ht="34.950000000000003" customHeight="1" x14ac:dyDescent="0.3">
      <c r="A53" s="136"/>
      <c r="B53" s="212"/>
      <c r="C53" s="138"/>
      <c r="D53" s="138"/>
      <c r="E53" s="138"/>
      <c r="F53" s="138"/>
      <c r="G53" s="138"/>
      <c r="H53" s="139"/>
      <c r="I53" s="138"/>
      <c r="J53" s="138"/>
      <c r="K53" s="138"/>
      <c r="L53" s="138"/>
      <c r="M53" s="139"/>
      <c r="N53" s="138"/>
      <c r="O53" s="138"/>
      <c r="P53" s="138"/>
      <c r="Q53" s="139"/>
      <c r="R53" s="139"/>
      <c r="S53" s="212"/>
      <c r="T53" s="138"/>
    </row>
    <row r="54" spans="1:20" ht="34.950000000000003" customHeight="1" x14ac:dyDescent="0.3">
      <c r="A54" s="136"/>
      <c r="B54" s="212"/>
      <c r="C54" s="138"/>
      <c r="D54" s="138"/>
      <c r="E54" s="138"/>
      <c r="F54" s="138"/>
      <c r="G54" s="138"/>
      <c r="H54" s="139"/>
      <c r="I54" s="138"/>
      <c r="J54" s="138"/>
      <c r="K54" s="138"/>
      <c r="L54" s="138"/>
      <c r="M54" s="139"/>
      <c r="N54" s="138"/>
      <c r="O54" s="138"/>
      <c r="P54" s="138"/>
      <c r="Q54" s="139"/>
      <c r="R54" s="139"/>
      <c r="S54" s="212"/>
      <c r="T54" s="138"/>
    </row>
    <row r="55" spans="1:20" ht="34.950000000000003" customHeight="1" x14ac:dyDescent="0.3">
      <c r="A55" s="136"/>
      <c r="B55" s="212"/>
      <c r="C55" s="138"/>
      <c r="D55" s="138"/>
      <c r="E55" s="138"/>
      <c r="F55" s="138"/>
      <c r="G55" s="138"/>
      <c r="H55" s="139"/>
      <c r="I55" s="138"/>
      <c r="J55" s="138"/>
      <c r="K55" s="138"/>
      <c r="L55" s="138"/>
      <c r="M55" s="139"/>
      <c r="N55" s="138"/>
      <c r="O55" s="138"/>
      <c r="P55" s="138"/>
      <c r="Q55" s="139"/>
      <c r="R55" s="139"/>
      <c r="S55" s="212"/>
      <c r="T55" s="138"/>
    </row>
    <row r="56" spans="1:20" ht="34.950000000000003" customHeight="1" x14ac:dyDescent="0.3">
      <c r="A56" s="136"/>
      <c r="B56" s="212"/>
      <c r="C56" s="138"/>
      <c r="D56" s="138"/>
      <c r="E56" s="138"/>
      <c r="F56" s="138"/>
      <c r="G56" s="138"/>
      <c r="H56" s="139"/>
      <c r="I56" s="138"/>
      <c r="J56" s="138"/>
      <c r="K56" s="138"/>
      <c r="L56" s="138"/>
      <c r="M56" s="139"/>
      <c r="N56" s="138"/>
      <c r="O56" s="138"/>
      <c r="P56" s="138"/>
      <c r="Q56" s="139"/>
      <c r="R56" s="139"/>
      <c r="S56" s="212"/>
      <c r="T56" s="138"/>
    </row>
    <row r="57" spans="1:20" ht="34.950000000000003" customHeight="1" x14ac:dyDescent="0.3">
      <c r="A57" s="136"/>
      <c r="B57" s="212"/>
      <c r="C57" s="138"/>
      <c r="D57" s="138"/>
      <c r="E57" s="138"/>
      <c r="F57" s="138"/>
      <c r="G57" s="138"/>
      <c r="H57" s="139"/>
      <c r="I57" s="138"/>
      <c r="J57" s="138"/>
      <c r="K57" s="138"/>
      <c r="L57" s="138"/>
      <c r="M57" s="139"/>
      <c r="N57" s="138"/>
      <c r="O57" s="138"/>
      <c r="P57" s="138"/>
      <c r="Q57" s="139"/>
      <c r="R57" s="139"/>
      <c r="S57" s="212"/>
      <c r="T57" s="138"/>
    </row>
    <row r="58" spans="1:20" ht="34.950000000000003" customHeight="1" x14ac:dyDescent="0.3">
      <c r="A58" s="136"/>
      <c r="B58" s="212"/>
      <c r="C58" s="138"/>
      <c r="D58" s="138"/>
      <c r="E58" s="138"/>
      <c r="F58" s="138"/>
      <c r="G58" s="138"/>
      <c r="H58" s="139"/>
      <c r="I58" s="138"/>
      <c r="J58" s="138"/>
      <c r="K58" s="138"/>
      <c r="L58" s="138"/>
      <c r="M58" s="139"/>
      <c r="N58" s="138"/>
      <c r="O58" s="138"/>
      <c r="P58" s="138"/>
      <c r="Q58" s="139"/>
      <c r="R58" s="139"/>
      <c r="S58" s="212"/>
      <c r="T58" s="138"/>
    </row>
    <row r="59" spans="1:20" ht="34.950000000000003" customHeight="1" x14ac:dyDescent="0.3">
      <c r="A59" s="136"/>
      <c r="B59" s="212"/>
      <c r="C59" s="138"/>
      <c r="D59" s="138"/>
      <c r="E59" s="138"/>
      <c r="F59" s="138"/>
      <c r="G59" s="138"/>
      <c r="H59" s="139"/>
      <c r="I59" s="138"/>
      <c r="J59" s="138"/>
      <c r="K59" s="138"/>
      <c r="L59" s="138"/>
      <c r="M59" s="139"/>
      <c r="N59" s="138"/>
      <c r="O59" s="138"/>
      <c r="P59" s="138"/>
      <c r="Q59" s="139"/>
      <c r="R59" s="139"/>
      <c r="S59" s="212"/>
      <c r="T59" s="138"/>
    </row>
    <row r="60" spans="1:20" ht="34.950000000000003" customHeight="1" x14ac:dyDescent="0.3">
      <c r="A60" s="136"/>
      <c r="B60" s="212"/>
      <c r="C60" s="138"/>
      <c r="D60" s="138"/>
      <c r="E60" s="138"/>
      <c r="F60" s="138"/>
      <c r="G60" s="138"/>
      <c r="H60" s="139"/>
      <c r="I60" s="138"/>
      <c r="J60" s="138"/>
      <c r="K60" s="138"/>
      <c r="L60" s="138"/>
      <c r="M60" s="139"/>
      <c r="N60" s="138"/>
      <c r="O60" s="138"/>
      <c r="P60" s="138"/>
      <c r="Q60" s="139"/>
      <c r="R60" s="139"/>
      <c r="S60" s="212"/>
      <c r="T60" s="138"/>
    </row>
    <row r="61" spans="1:20" ht="34.950000000000003" customHeight="1" x14ac:dyDescent="0.3">
      <c r="A61" s="136"/>
      <c r="B61" s="212"/>
      <c r="C61" s="138"/>
      <c r="D61" s="138"/>
      <c r="E61" s="138"/>
      <c r="F61" s="138"/>
      <c r="G61" s="138"/>
      <c r="H61" s="139"/>
      <c r="I61" s="138"/>
      <c r="J61" s="138"/>
      <c r="K61" s="138"/>
      <c r="L61" s="138"/>
      <c r="M61" s="139"/>
      <c r="N61" s="138"/>
      <c r="O61" s="138"/>
      <c r="P61" s="138"/>
      <c r="Q61" s="139"/>
      <c r="R61" s="139"/>
      <c r="S61" s="212"/>
      <c r="T61" s="138"/>
    </row>
    <row r="62" spans="1:20" ht="34.950000000000003" customHeight="1" x14ac:dyDescent="0.3">
      <c r="A62" s="136"/>
      <c r="B62" s="212"/>
      <c r="C62" s="138"/>
      <c r="D62" s="138"/>
      <c r="E62" s="138"/>
      <c r="F62" s="138"/>
      <c r="G62" s="138"/>
      <c r="H62" s="139"/>
      <c r="I62" s="138"/>
      <c r="J62" s="138"/>
      <c r="K62" s="138"/>
      <c r="L62" s="138"/>
      <c r="M62" s="139"/>
      <c r="N62" s="138"/>
      <c r="O62" s="138"/>
      <c r="P62" s="138"/>
      <c r="Q62" s="139"/>
      <c r="R62" s="139"/>
      <c r="S62" s="212"/>
      <c r="T62" s="138"/>
    </row>
    <row r="63" spans="1:20" ht="34.950000000000003" customHeight="1" x14ac:dyDescent="0.3">
      <c r="A63" s="136"/>
      <c r="B63" s="212"/>
      <c r="C63" s="138"/>
      <c r="D63" s="138"/>
      <c r="E63" s="138"/>
      <c r="F63" s="138"/>
      <c r="G63" s="138"/>
      <c r="H63" s="139"/>
      <c r="I63" s="138"/>
      <c r="J63" s="138"/>
      <c r="K63" s="138"/>
      <c r="L63" s="138"/>
      <c r="M63" s="139"/>
      <c r="N63" s="138"/>
      <c r="O63" s="138"/>
      <c r="P63" s="138"/>
      <c r="Q63" s="139"/>
      <c r="R63" s="139"/>
      <c r="S63" s="212"/>
      <c r="T63" s="138"/>
    </row>
    <row r="64" spans="1:20" ht="34.950000000000003" customHeight="1" x14ac:dyDescent="0.3">
      <c r="A64" s="136"/>
      <c r="B64" s="212"/>
      <c r="C64" s="138"/>
      <c r="D64" s="138"/>
      <c r="E64" s="138"/>
      <c r="F64" s="138"/>
      <c r="G64" s="138"/>
      <c r="H64" s="139"/>
      <c r="I64" s="138"/>
      <c r="J64" s="138"/>
      <c r="K64" s="138"/>
      <c r="L64" s="138"/>
      <c r="M64" s="139"/>
      <c r="N64" s="138"/>
      <c r="O64" s="138"/>
      <c r="P64" s="138"/>
      <c r="Q64" s="139"/>
      <c r="R64" s="139"/>
      <c r="S64" s="212"/>
      <c r="T64" s="138"/>
    </row>
    <row r="65" spans="1:20" ht="34.950000000000003" customHeight="1" x14ac:dyDescent="0.3">
      <c r="A65" s="136"/>
      <c r="B65" s="212"/>
      <c r="C65" s="138"/>
      <c r="D65" s="138"/>
      <c r="E65" s="138"/>
      <c r="F65" s="138"/>
      <c r="G65" s="138"/>
      <c r="H65" s="139"/>
      <c r="I65" s="138"/>
      <c r="J65" s="138"/>
      <c r="K65" s="138"/>
      <c r="L65" s="138"/>
      <c r="M65" s="139"/>
      <c r="N65" s="138"/>
      <c r="O65" s="138"/>
      <c r="P65" s="138"/>
      <c r="Q65" s="139"/>
      <c r="R65" s="139"/>
      <c r="S65" s="212"/>
      <c r="T65" s="138"/>
    </row>
    <row r="66" spans="1:20" ht="34.950000000000003" customHeight="1" x14ac:dyDescent="0.3">
      <c r="A66" s="136"/>
      <c r="B66" s="212"/>
      <c r="C66" s="138"/>
      <c r="D66" s="138"/>
      <c r="E66" s="138"/>
      <c r="F66" s="138"/>
      <c r="G66" s="138"/>
      <c r="H66" s="139"/>
      <c r="I66" s="138"/>
      <c r="J66" s="138"/>
      <c r="K66" s="138"/>
      <c r="L66" s="138"/>
      <c r="M66" s="139"/>
      <c r="N66" s="138"/>
      <c r="O66" s="138"/>
      <c r="P66" s="138"/>
      <c r="Q66" s="139"/>
      <c r="R66" s="139"/>
      <c r="S66" s="212"/>
      <c r="T66" s="138"/>
    </row>
    <row r="67" spans="1:20" ht="34.950000000000003" customHeight="1" x14ac:dyDescent="0.3">
      <c r="A67" s="136"/>
      <c r="B67" s="212"/>
      <c r="C67" s="138"/>
      <c r="D67" s="138"/>
      <c r="E67" s="138"/>
      <c r="F67" s="138"/>
      <c r="G67" s="138"/>
      <c r="H67" s="139"/>
      <c r="I67" s="138"/>
      <c r="J67" s="138"/>
      <c r="K67" s="138"/>
      <c r="L67" s="138"/>
      <c r="M67" s="139"/>
      <c r="N67" s="138"/>
      <c r="O67" s="138"/>
      <c r="P67" s="138"/>
      <c r="Q67" s="139"/>
      <c r="R67" s="139"/>
      <c r="S67" s="212"/>
      <c r="T67" s="138"/>
    </row>
    <row r="68" spans="1:20" ht="34.950000000000003" customHeight="1" x14ac:dyDescent="0.3">
      <c r="A68" s="136"/>
      <c r="B68" s="212"/>
      <c r="C68" s="138"/>
      <c r="D68" s="138"/>
      <c r="E68" s="138"/>
      <c r="F68" s="138"/>
      <c r="G68" s="138"/>
      <c r="H68" s="139"/>
      <c r="I68" s="138"/>
      <c r="J68" s="138"/>
      <c r="K68" s="138"/>
      <c r="L68" s="138"/>
      <c r="M68" s="139"/>
      <c r="N68" s="138"/>
      <c r="O68" s="138"/>
      <c r="P68" s="138"/>
      <c r="Q68" s="139"/>
      <c r="R68" s="139"/>
      <c r="S68" s="212"/>
      <c r="T68" s="138"/>
    </row>
    <row r="69" spans="1:20" ht="34.950000000000003" customHeight="1" x14ac:dyDescent="0.3">
      <c r="A69" s="136"/>
      <c r="B69" s="212"/>
      <c r="C69" s="138"/>
      <c r="D69" s="138"/>
      <c r="E69" s="138"/>
      <c r="F69" s="138"/>
      <c r="G69" s="138"/>
      <c r="H69" s="139"/>
      <c r="I69" s="138"/>
      <c r="J69" s="138"/>
      <c r="K69" s="138"/>
      <c r="L69" s="138"/>
      <c r="M69" s="139"/>
      <c r="N69" s="138"/>
      <c r="O69" s="138"/>
      <c r="P69" s="138"/>
      <c r="Q69" s="139"/>
      <c r="R69" s="214"/>
      <c r="S69" s="212"/>
      <c r="T69" s="138"/>
    </row>
    <row r="70" spans="1:20" ht="34.950000000000003" customHeight="1" x14ac:dyDescent="0.3">
      <c r="A70" s="136"/>
      <c r="B70" s="212"/>
      <c r="C70" s="138"/>
      <c r="D70" s="138"/>
      <c r="E70" s="138"/>
      <c r="F70" s="138"/>
      <c r="G70" s="138"/>
      <c r="H70" s="139"/>
      <c r="I70" s="138"/>
      <c r="J70" s="138"/>
      <c r="K70" s="138"/>
      <c r="L70" s="138"/>
      <c r="M70" s="139"/>
      <c r="N70" s="138"/>
      <c r="O70" s="138"/>
      <c r="P70" s="138"/>
      <c r="Q70" s="139"/>
      <c r="R70" s="214"/>
      <c r="S70" s="212"/>
      <c r="T70" s="138"/>
    </row>
    <row r="71" spans="1:20" ht="34.950000000000003" customHeight="1" x14ac:dyDescent="0.3">
      <c r="A71" s="136"/>
      <c r="B71" s="212"/>
      <c r="C71" s="138"/>
      <c r="D71" s="138"/>
      <c r="E71" s="138"/>
      <c r="F71" s="138"/>
      <c r="G71" s="138"/>
      <c r="H71" s="139"/>
      <c r="I71" s="138"/>
      <c r="J71" s="138"/>
      <c r="K71" s="138"/>
      <c r="L71" s="138"/>
      <c r="M71" s="139"/>
      <c r="N71" s="138"/>
      <c r="O71" s="138"/>
      <c r="P71" s="138"/>
      <c r="Q71" s="139"/>
      <c r="R71" s="214"/>
      <c r="S71" s="212"/>
      <c r="T71" s="138"/>
    </row>
    <row r="72" spans="1:20" ht="34.950000000000003" customHeight="1" x14ac:dyDescent="0.3">
      <c r="A72" s="136"/>
      <c r="B72" s="212"/>
      <c r="C72" s="138"/>
      <c r="D72" s="138"/>
      <c r="E72" s="138"/>
      <c r="F72" s="138"/>
      <c r="G72" s="138"/>
      <c r="H72" s="139"/>
      <c r="I72" s="138"/>
      <c r="J72" s="138"/>
      <c r="K72" s="138"/>
      <c r="L72" s="138"/>
      <c r="M72" s="139"/>
      <c r="N72" s="138"/>
      <c r="O72" s="138"/>
      <c r="P72" s="138"/>
      <c r="Q72" s="139"/>
      <c r="R72" s="139"/>
      <c r="S72" s="212"/>
      <c r="T72" s="138"/>
    </row>
    <row r="73" spans="1:20" ht="34.950000000000003" customHeight="1" x14ac:dyDescent="0.3">
      <c r="A73" s="136"/>
      <c r="B73" s="212"/>
      <c r="C73" s="138"/>
      <c r="D73" s="138"/>
      <c r="E73" s="138"/>
      <c r="F73" s="138"/>
      <c r="G73" s="138"/>
      <c r="H73" s="139"/>
      <c r="I73" s="138"/>
      <c r="J73" s="138"/>
      <c r="K73" s="138"/>
      <c r="L73" s="138"/>
      <c r="M73" s="139"/>
      <c r="N73" s="138"/>
      <c r="O73" s="138"/>
      <c r="P73" s="138"/>
      <c r="Q73" s="139"/>
      <c r="R73" s="139"/>
      <c r="S73" s="212"/>
      <c r="T73" s="138"/>
    </row>
    <row r="74" spans="1:20" ht="34.950000000000003" customHeight="1" x14ac:dyDescent="0.3">
      <c r="A74" s="136"/>
      <c r="B74" s="212"/>
      <c r="C74" s="138"/>
      <c r="D74" s="138"/>
      <c r="E74" s="138"/>
      <c r="F74" s="138"/>
      <c r="G74" s="138"/>
      <c r="H74" s="139"/>
      <c r="I74" s="138"/>
      <c r="J74" s="138"/>
      <c r="K74" s="138"/>
      <c r="L74" s="138"/>
      <c r="M74" s="139"/>
      <c r="N74" s="138"/>
      <c r="O74" s="138"/>
      <c r="P74" s="138"/>
      <c r="Q74" s="139"/>
      <c r="R74" s="139"/>
      <c r="S74" s="212"/>
      <c r="T74" s="138"/>
    </row>
    <row r="75" spans="1:20" ht="34.950000000000003" customHeight="1" x14ac:dyDescent="0.3">
      <c r="A75" s="136"/>
      <c r="B75" s="212"/>
      <c r="C75" s="138"/>
      <c r="D75" s="138"/>
      <c r="E75" s="138"/>
      <c r="F75" s="138"/>
      <c r="G75" s="138"/>
      <c r="H75" s="139"/>
      <c r="I75" s="138"/>
      <c r="J75" s="138"/>
      <c r="K75" s="138"/>
      <c r="L75" s="138"/>
      <c r="M75" s="139"/>
      <c r="N75" s="138"/>
      <c r="O75" s="138"/>
      <c r="P75" s="138"/>
      <c r="Q75" s="139"/>
      <c r="R75" s="139"/>
      <c r="S75" s="212"/>
      <c r="T75" s="138"/>
    </row>
    <row r="76" spans="1:20" ht="34.950000000000003" customHeight="1" x14ac:dyDescent="0.3">
      <c r="A76" s="136"/>
      <c r="B76" s="212"/>
      <c r="C76" s="138"/>
      <c r="D76" s="138"/>
      <c r="E76" s="138"/>
      <c r="F76" s="138"/>
      <c r="G76" s="138"/>
      <c r="H76" s="139"/>
      <c r="I76" s="138"/>
      <c r="J76" s="138"/>
      <c r="K76" s="138"/>
      <c r="L76" s="138"/>
      <c r="M76" s="139"/>
      <c r="N76" s="138"/>
      <c r="O76" s="138"/>
      <c r="P76" s="138"/>
      <c r="Q76" s="139"/>
      <c r="R76" s="139"/>
      <c r="S76" s="212"/>
      <c r="T76" s="138"/>
    </row>
    <row r="77" spans="1:20" ht="34.950000000000003" customHeight="1" x14ac:dyDescent="0.3">
      <c r="A77" s="136"/>
      <c r="B77" s="212"/>
      <c r="C77" s="138"/>
      <c r="D77" s="138"/>
      <c r="E77" s="138"/>
      <c r="F77" s="138"/>
      <c r="G77" s="138"/>
      <c r="H77" s="139"/>
      <c r="I77" s="138"/>
      <c r="J77" s="138"/>
      <c r="K77" s="138"/>
      <c r="L77" s="138"/>
      <c r="M77" s="139"/>
      <c r="N77" s="138"/>
      <c r="O77" s="138"/>
      <c r="P77" s="138"/>
      <c r="Q77" s="139"/>
      <c r="R77" s="139"/>
      <c r="S77" s="212"/>
      <c r="T77" s="138"/>
    </row>
    <row r="78" spans="1:20" ht="34.950000000000003" customHeight="1" x14ac:dyDescent="0.3">
      <c r="A78" s="136"/>
      <c r="B78" s="212"/>
      <c r="C78" s="138"/>
      <c r="D78" s="138"/>
      <c r="E78" s="138"/>
      <c r="F78" s="138"/>
      <c r="G78" s="138"/>
      <c r="H78" s="139"/>
      <c r="I78" s="138"/>
      <c r="J78" s="138"/>
      <c r="K78" s="138"/>
      <c r="L78" s="138"/>
      <c r="M78" s="139"/>
      <c r="N78" s="138"/>
      <c r="O78" s="138"/>
      <c r="P78" s="138"/>
      <c r="Q78" s="139"/>
      <c r="R78" s="139"/>
      <c r="S78" s="212"/>
      <c r="T78" s="138"/>
    </row>
    <row r="79" spans="1:20" ht="34.950000000000003" customHeight="1" x14ac:dyDescent="0.3">
      <c r="A79" s="136"/>
      <c r="B79" s="212"/>
      <c r="C79" s="138"/>
      <c r="D79" s="138"/>
      <c r="E79" s="138"/>
      <c r="F79" s="138"/>
      <c r="G79" s="138"/>
      <c r="H79" s="139"/>
      <c r="I79" s="138"/>
      <c r="J79" s="138"/>
      <c r="K79" s="138"/>
      <c r="L79" s="138"/>
      <c r="M79" s="139"/>
      <c r="N79" s="138"/>
      <c r="O79" s="138"/>
      <c r="P79" s="138"/>
      <c r="Q79" s="139"/>
      <c r="R79" s="139"/>
      <c r="S79" s="212"/>
      <c r="T79" s="138"/>
    </row>
    <row r="80" spans="1:20" ht="34.950000000000003" customHeight="1" x14ac:dyDescent="0.3">
      <c r="A80" s="136"/>
      <c r="B80" s="212"/>
      <c r="C80" s="138"/>
      <c r="D80" s="138"/>
      <c r="E80" s="138"/>
      <c r="F80" s="138"/>
      <c r="G80" s="138"/>
      <c r="H80" s="139"/>
      <c r="I80" s="138"/>
      <c r="J80" s="138"/>
      <c r="K80" s="138"/>
      <c r="L80" s="138"/>
      <c r="M80" s="139"/>
      <c r="N80" s="138"/>
      <c r="O80" s="138"/>
      <c r="P80" s="138"/>
      <c r="Q80" s="139"/>
      <c r="R80" s="139"/>
      <c r="S80" s="212"/>
      <c r="T80" s="138"/>
    </row>
    <row r="81" spans="1:20" ht="34.950000000000003" customHeight="1" x14ac:dyDescent="0.3">
      <c r="A81" s="136"/>
      <c r="B81" s="212"/>
      <c r="C81" s="138"/>
      <c r="D81" s="138"/>
      <c r="E81" s="138"/>
      <c r="F81" s="138"/>
      <c r="G81" s="138"/>
      <c r="H81" s="139"/>
      <c r="I81" s="138"/>
      <c r="J81" s="138"/>
      <c r="K81" s="138"/>
      <c r="L81" s="138"/>
      <c r="M81" s="139"/>
      <c r="N81" s="138"/>
      <c r="O81" s="138"/>
      <c r="P81" s="138"/>
      <c r="Q81" s="139"/>
      <c r="R81" s="139"/>
      <c r="S81" s="212"/>
      <c r="T81" s="138"/>
    </row>
    <row r="82" spans="1:20" ht="34.950000000000003" customHeight="1" x14ac:dyDescent="0.3">
      <c r="A82" s="136"/>
      <c r="B82" s="212"/>
      <c r="C82" s="138"/>
      <c r="D82" s="138"/>
      <c r="E82" s="138"/>
      <c r="F82" s="138"/>
      <c r="G82" s="138"/>
      <c r="H82" s="139"/>
      <c r="I82" s="138"/>
      <c r="J82" s="138"/>
      <c r="K82" s="138"/>
      <c r="L82" s="138"/>
      <c r="M82" s="139"/>
      <c r="N82" s="138"/>
      <c r="O82" s="138"/>
      <c r="P82" s="138"/>
      <c r="Q82" s="139"/>
      <c r="R82" s="139"/>
      <c r="S82" s="212"/>
      <c r="T82" s="138"/>
    </row>
    <row r="83" spans="1:20" ht="34.950000000000003" customHeight="1" x14ac:dyDescent="0.3">
      <c r="A83" s="136"/>
      <c r="B83" s="212"/>
      <c r="C83" s="138"/>
      <c r="D83" s="138"/>
      <c r="E83" s="138"/>
      <c r="F83" s="138"/>
      <c r="G83" s="138"/>
      <c r="H83" s="139"/>
      <c r="I83" s="138"/>
      <c r="J83" s="138"/>
      <c r="K83" s="138"/>
      <c r="L83" s="138"/>
      <c r="M83" s="139"/>
      <c r="N83" s="138"/>
      <c r="O83" s="138"/>
      <c r="P83" s="138"/>
      <c r="Q83" s="139"/>
      <c r="R83" s="139"/>
      <c r="S83" s="212"/>
      <c r="T83" s="138"/>
    </row>
    <row r="84" spans="1:20" ht="34.950000000000003" customHeight="1" x14ac:dyDescent="0.3">
      <c r="A84" s="136"/>
      <c r="B84" s="212"/>
      <c r="C84" s="138"/>
      <c r="D84" s="138"/>
      <c r="E84" s="138"/>
      <c r="F84" s="138"/>
      <c r="G84" s="138"/>
      <c r="H84" s="139"/>
      <c r="I84" s="138"/>
      <c r="J84" s="138"/>
      <c r="K84" s="138"/>
      <c r="L84" s="138"/>
      <c r="M84" s="139"/>
      <c r="N84" s="138"/>
      <c r="O84" s="138"/>
      <c r="P84" s="138"/>
      <c r="Q84" s="139"/>
      <c r="R84" s="139"/>
      <c r="S84" s="212"/>
      <c r="T84" s="138"/>
    </row>
    <row r="85" spans="1:20" ht="34.950000000000003" customHeight="1" x14ac:dyDescent="0.3">
      <c r="A85" s="136"/>
      <c r="B85" s="212"/>
      <c r="C85" s="138"/>
      <c r="D85" s="138"/>
      <c r="E85" s="138"/>
      <c r="F85" s="138"/>
      <c r="G85" s="138"/>
      <c r="H85" s="139"/>
      <c r="I85" s="138"/>
      <c r="J85" s="138"/>
      <c r="K85" s="138"/>
      <c r="L85" s="138"/>
      <c r="M85" s="139"/>
      <c r="N85" s="138"/>
      <c r="O85" s="138"/>
      <c r="P85" s="138"/>
      <c r="Q85" s="139"/>
      <c r="R85" s="139"/>
      <c r="S85" s="212"/>
      <c r="T85" s="138"/>
    </row>
    <row r="86" spans="1:20" ht="34.950000000000003" customHeight="1" x14ac:dyDescent="0.3">
      <c r="A86" s="136"/>
      <c r="B86" s="212"/>
      <c r="C86" s="138"/>
      <c r="D86" s="138"/>
      <c r="E86" s="138"/>
      <c r="F86" s="138"/>
      <c r="G86" s="138"/>
      <c r="H86" s="139"/>
      <c r="I86" s="138"/>
      <c r="J86" s="138"/>
      <c r="K86" s="138"/>
      <c r="L86" s="138"/>
      <c r="M86" s="139"/>
      <c r="N86" s="138"/>
      <c r="O86" s="138"/>
      <c r="P86" s="138"/>
      <c r="Q86" s="139"/>
      <c r="R86" s="139"/>
      <c r="S86" s="212"/>
      <c r="T86" s="138"/>
    </row>
    <row r="87" spans="1:20" ht="34.950000000000003" customHeight="1" x14ac:dyDescent="0.3">
      <c r="A87" s="136"/>
      <c r="B87" s="212"/>
      <c r="C87" s="138"/>
      <c r="D87" s="138"/>
      <c r="E87" s="138"/>
      <c r="F87" s="138"/>
      <c r="G87" s="138"/>
      <c r="H87" s="139"/>
      <c r="I87" s="138"/>
      <c r="J87" s="138"/>
      <c r="K87" s="138"/>
      <c r="L87" s="138"/>
      <c r="M87" s="139"/>
      <c r="N87" s="138"/>
      <c r="O87" s="138"/>
      <c r="P87" s="138"/>
      <c r="Q87" s="139"/>
      <c r="R87" s="139"/>
      <c r="S87" s="212"/>
      <c r="T87" s="138"/>
    </row>
    <row r="88" spans="1:20" ht="34.950000000000003" customHeight="1" x14ac:dyDescent="0.3">
      <c r="A88" s="136"/>
      <c r="B88" s="212"/>
      <c r="C88" s="138"/>
      <c r="D88" s="138"/>
      <c r="E88" s="138"/>
      <c r="F88" s="138"/>
      <c r="G88" s="138"/>
      <c r="H88" s="139"/>
      <c r="I88" s="138"/>
      <c r="J88" s="138"/>
      <c r="K88" s="138"/>
      <c r="L88" s="138"/>
      <c r="M88" s="139"/>
      <c r="N88" s="138"/>
      <c r="O88" s="138"/>
      <c r="P88" s="138"/>
      <c r="Q88" s="139"/>
      <c r="R88" s="139"/>
      <c r="S88" s="212"/>
      <c r="T88" s="138"/>
    </row>
    <row r="89" spans="1:20" ht="34.950000000000003" customHeight="1" x14ac:dyDescent="0.3">
      <c r="A89" s="136"/>
      <c r="B89" s="212"/>
      <c r="C89" s="138"/>
      <c r="D89" s="138"/>
      <c r="E89" s="138"/>
      <c r="F89" s="138"/>
      <c r="G89" s="138"/>
      <c r="H89" s="139"/>
      <c r="I89" s="138"/>
      <c r="J89" s="138"/>
      <c r="K89" s="138"/>
      <c r="L89" s="138"/>
      <c r="M89" s="139"/>
      <c r="N89" s="138"/>
      <c r="O89" s="138"/>
      <c r="P89" s="138"/>
      <c r="Q89" s="139"/>
      <c r="R89" s="139"/>
      <c r="S89" s="212"/>
      <c r="T89" s="138"/>
    </row>
    <row r="90" spans="1:20" ht="34.950000000000003" customHeight="1" x14ac:dyDescent="0.3">
      <c r="A90" s="136"/>
      <c r="B90" s="212"/>
      <c r="C90" s="138"/>
      <c r="D90" s="138"/>
      <c r="E90" s="138"/>
      <c r="F90" s="138"/>
      <c r="G90" s="138"/>
      <c r="H90" s="139"/>
      <c r="I90" s="138"/>
      <c r="J90" s="138"/>
      <c r="K90" s="138"/>
      <c r="L90" s="138"/>
      <c r="M90" s="139"/>
      <c r="N90" s="138"/>
      <c r="O90" s="138"/>
      <c r="P90" s="138"/>
      <c r="Q90" s="139"/>
      <c r="R90" s="139"/>
      <c r="S90" s="212"/>
      <c r="T90" s="138"/>
    </row>
    <row r="91" spans="1:20" ht="34.950000000000003" customHeight="1" x14ac:dyDescent="0.3">
      <c r="A91" s="136"/>
      <c r="B91" s="212"/>
      <c r="C91" s="138"/>
      <c r="D91" s="138"/>
      <c r="E91" s="138"/>
      <c r="F91" s="138"/>
      <c r="G91" s="138"/>
      <c r="H91" s="139"/>
      <c r="I91" s="138"/>
      <c r="J91" s="138"/>
      <c r="K91" s="138"/>
      <c r="L91" s="138"/>
      <c r="M91" s="139"/>
      <c r="N91" s="138"/>
      <c r="O91" s="138"/>
      <c r="P91" s="138"/>
      <c r="Q91" s="139"/>
      <c r="R91" s="139"/>
      <c r="S91" s="212"/>
      <c r="T91" s="138"/>
    </row>
    <row r="92" spans="1:20" ht="34.950000000000003" customHeight="1" x14ac:dyDescent="0.3">
      <c r="A92" s="136"/>
      <c r="B92" s="212"/>
      <c r="C92" s="138"/>
      <c r="D92" s="138"/>
      <c r="E92" s="138"/>
      <c r="F92" s="138"/>
      <c r="G92" s="138"/>
      <c r="H92" s="139"/>
      <c r="I92" s="138"/>
      <c r="J92" s="138"/>
      <c r="K92" s="138"/>
      <c r="L92" s="138"/>
      <c r="M92" s="139"/>
      <c r="N92" s="138"/>
      <c r="O92" s="138"/>
      <c r="P92" s="138"/>
      <c r="Q92" s="139"/>
      <c r="R92" s="139"/>
      <c r="S92" s="212"/>
      <c r="T92" s="138"/>
    </row>
    <row r="93" spans="1:20" ht="34.950000000000003" customHeight="1" x14ac:dyDescent="0.3">
      <c r="A93" s="136"/>
      <c r="B93" s="212"/>
      <c r="C93" s="138"/>
      <c r="D93" s="138"/>
      <c r="E93" s="138"/>
      <c r="F93" s="138"/>
      <c r="G93" s="138"/>
      <c r="H93" s="139"/>
      <c r="I93" s="138"/>
      <c r="J93" s="138"/>
      <c r="K93" s="138"/>
      <c r="L93" s="138"/>
      <c r="M93" s="139"/>
      <c r="N93" s="138"/>
      <c r="O93" s="138"/>
      <c r="P93" s="138"/>
      <c r="Q93" s="139"/>
      <c r="R93" s="139"/>
      <c r="S93" s="212"/>
      <c r="T93" s="138"/>
    </row>
    <row r="94" spans="1:20" ht="34.950000000000003" customHeight="1" x14ac:dyDescent="0.3">
      <c r="A94" s="136"/>
      <c r="B94" s="212"/>
      <c r="C94" s="138"/>
      <c r="D94" s="138"/>
      <c r="E94" s="138"/>
      <c r="F94" s="138"/>
      <c r="G94" s="138"/>
      <c r="H94" s="139"/>
      <c r="I94" s="138"/>
      <c r="J94" s="138"/>
      <c r="K94" s="138"/>
      <c r="L94" s="138"/>
      <c r="M94" s="139"/>
      <c r="N94" s="138"/>
      <c r="O94" s="138"/>
      <c r="P94" s="138"/>
      <c r="Q94" s="139"/>
      <c r="R94" s="139"/>
      <c r="S94" s="212"/>
      <c r="T94" s="138"/>
    </row>
    <row r="95" spans="1:20" ht="34.950000000000003" customHeight="1" x14ac:dyDescent="0.3">
      <c r="A95" s="136"/>
      <c r="B95" s="212"/>
      <c r="C95" s="138"/>
      <c r="D95" s="138"/>
      <c r="E95" s="138"/>
      <c r="F95" s="138"/>
      <c r="G95" s="138"/>
      <c r="H95" s="139"/>
      <c r="I95" s="138"/>
      <c r="J95" s="138"/>
      <c r="K95" s="138"/>
      <c r="L95" s="138"/>
      <c r="M95" s="139"/>
      <c r="N95" s="138"/>
      <c r="O95" s="138"/>
      <c r="P95" s="138"/>
      <c r="Q95" s="139"/>
      <c r="R95" s="139"/>
      <c r="S95" s="212"/>
      <c r="T95" s="138"/>
    </row>
    <row r="96" spans="1:20" ht="34.950000000000003" customHeight="1" x14ac:dyDescent="0.3">
      <c r="A96" s="136"/>
      <c r="B96" s="212"/>
      <c r="C96" s="138"/>
      <c r="D96" s="138"/>
      <c r="E96" s="138"/>
      <c r="F96" s="138"/>
      <c r="G96" s="138"/>
      <c r="H96" s="139"/>
      <c r="I96" s="138"/>
      <c r="J96" s="138"/>
      <c r="K96" s="138"/>
      <c r="L96" s="138"/>
      <c r="M96" s="139"/>
      <c r="N96" s="138"/>
      <c r="O96" s="138"/>
      <c r="P96" s="138"/>
      <c r="Q96" s="139"/>
      <c r="R96" s="139"/>
      <c r="S96" s="212"/>
      <c r="T96" s="138"/>
    </row>
    <row r="97" spans="1:20" ht="34.950000000000003" customHeight="1" x14ac:dyDescent="0.3">
      <c r="A97" s="136"/>
      <c r="B97" s="212"/>
      <c r="C97" s="138"/>
      <c r="D97" s="138"/>
      <c r="E97" s="138"/>
      <c r="F97" s="138"/>
      <c r="G97" s="138"/>
      <c r="H97" s="139"/>
      <c r="I97" s="138"/>
      <c r="J97" s="138"/>
      <c r="K97" s="138"/>
      <c r="L97" s="138"/>
      <c r="M97" s="139"/>
      <c r="N97" s="138"/>
      <c r="O97" s="138"/>
      <c r="P97" s="138"/>
      <c r="Q97" s="139"/>
      <c r="R97" s="139"/>
      <c r="S97" s="212"/>
      <c r="T97" s="138"/>
    </row>
    <row r="98" spans="1:20" ht="34.950000000000003" customHeight="1" x14ac:dyDescent="0.3">
      <c r="A98" s="136"/>
      <c r="B98" s="212"/>
      <c r="C98" s="138"/>
      <c r="D98" s="138"/>
      <c r="E98" s="138"/>
      <c r="F98" s="138"/>
      <c r="G98" s="138"/>
      <c r="H98" s="139"/>
      <c r="I98" s="138"/>
      <c r="J98" s="138"/>
      <c r="K98" s="138"/>
      <c r="L98" s="138"/>
      <c r="M98" s="139"/>
      <c r="N98" s="138"/>
      <c r="O98" s="138"/>
      <c r="P98" s="138"/>
      <c r="Q98" s="139"/>
      <c r="R98" s="139"/>
      <c r="S98" s="212"/>
      <c r="T98" s="138"/>
    </row>
    <row r="99" spans="1:20" ht="34.950000000000003" customHeight="1" x14ac:dyDescent="0.3">
      <c r="A99" s="136"/>
      <c r="B99" s="212"/>
      <c r="C99" s="138"/>
      <c r="D99" s="138"/>
      <c r="E99" s="138"/>
      <c r="F99" s="138"/>
      <c r="G99" s="138"/>
      <c r="H99" s="139"/>
      <c r="I99" s="138"/>
      <c r="J99" s="138"/>
      <c r="K99" s="138"/>
      <c r="L99" s="138"/>
      <c r="M99" s="139"/>
      <c r="N99" s="138"/>
      <c r="O99" s="138"/>
      <c r="P99" s="138"/>
      <c r="Q99" s="139"/>
      <c r="R99" s="139"/>
      <c r="S99" s="212"/>
      <c r="T99" s="138"/>
    </row>
    <row r="100" spans="1:20" ht="34.950000000000003" customHeight="1" x14ac:dyDescent="0.3">
      <c r="A100" s="136"/>
      <c r="B100" s="212"/>
      <c r="C100" s="138"/>
      <c r="D100" s="138"/>
      <c r="E100" s="138"/>
      <c r="F100" s="138"/>
      <c r="G100" s="138"/>
      <c r="H100" s="139"/>
      <c r="I100" s="138"/>
      <c r="J100" s="138"/>
      <c r="K100" s="138"/>
      <c r="L100" s="138"/>
      <c r="M100" s="139"/>
      <c r="N100" s="138"/>
      <c r="O100" s="138"/>
      <c r="P100" s="138"/>
      <c r="Q100" s="139"/>
      <c r="R100" s="139"/>
      <c r="S100" s="212"/>
      <c r="T100" s="138"/>
    </row>
    <row r="101" spans="1:20" ht="34.950000000000003" customHeight="1" x14ac:dyDescent="0.3">
      <c r="A101" s="136"/>
      <c r="B101" s="212"/>
      <c r="C101" s="138"/>
      <c r="D101" s="138"/>
      <c r="E101" s="138"/>
      <c r="F101" s="138"/>
      <c r="G101" s="138"/>
      <c r="H101" s="139"/>
      <c r="I101" s="138"/>
      <c r="J101" s="138"/>
      <c r="K101" s="138"/>
      <c r="L101" s="138"/>
      <c r="M101" s="139"/>
      <c r="N101" s="138"/>
      <c r="O101" s="138"/>
      <c r="P101" s="138"/>
      <c r="Q101" s="139"/>
      <c r="R101" s="139"/>
      <c r="S101" s="212"/>
      <c r="T101" s="138"/>
    </row>
    <row r="102" spans="1:20" ht="34.950000000000003" customHeight="1" x14ac:dyDescent="0.3">
      <c r="A102" s="136"/>
      <c r="B102" s="212"/>
      <c r="C102" s="138"/>
      <c r="D102" s="138"/>
      <c r="E102" s="138"/>
      <c r="F102" s="138"/>
      <c r="G102" s="138"/>
      <c r="H102" s="139"/>
      <c r="I102" s="138"/>
      <c r="J102" s="138"/>
      <c r="K102" s="138"/>
      <c r="L102" s="138"/>
      <c r="M102" s="139"/>
      <c r="N102" s="138"/>
      <c r="O102" s="138"/>
      <c r="P102" s="138"/>
      <c r="Q102" s="139"/>
      <c r="R102" s="139"/>
      <c r="S102" s="212"/>
      <c r="T102" s="138"/>
    </row>
    <row r="103" spans="1:20" ht="34.950000000000003" customHeight="1" x14ac:dyDescent="0.3">
      <c r="A103" s="136"/>
      <c r="B103" s="212"/>
      <c r="C103" s="138"/>
      <c r="D103" s="138"/>
      <c r="E103" s="138"/>
      <c r="F103" s="138"/>
      <c r="G103" s="138"/>
      <c r="H103" s="139"/>
      <c r="I103" s="138"/>
      <c r="J103" s="138"/>
      <c r="K103" s="138"/>
      <c r="L103" s="138"/>
      <c r="M103" s="139"/>
      <c r="N103" s="138"/>
      <c r="O103" s="138"/>
      <c r="P103" s="138"/>
      <c r="Q103" s="139"/>
      <c r="R103" s="139"/>
      <c r="S103" s="212"/>
      <c r="T103" s="138"/>
    </row>
    <row r="104" spans="1:20" ht="34.950000000000003" customHeight="1" x14ac:dyDescent="0.3">
      <c r="A104" s="136"/>
      <c r="B104" s="212"/>
      <c r="C104" s="138"/>
      <c r="D104" s="138"/>
      <c r="E104" s="138"/>
      <c r="F104" s="138"/>
      <c r="G104" s="138"/>
      <c r="H104" s="139"/>
      <c r="I104" s="138"/>
      <c r="J104" s="138"/>
      <c r="K104" s="138"/>
      <c r="L104" s="138"/>
      <c r="M104" s="139"/>
      <c r="N104" s="138"/>
      <c r="O104" s="138"/>
      <c r="P104" s="138"/>
      <c r="Q104" s="139"/>
      <c r="R104" s="139"/>
      <c r="S104" s="212"/>
      <c r="T104" s="138"/>
    </row>
    <row r="105" spans="1:20" ht="34.950000000000003" customHeight="1" x14ac:dyDescent="0.3">
      <c r="A105" s="136"/>
      <c r="B105" s="212"/>
      <c r="C105" s="138"/>
      <c r="D105" s="138"/>
      <c r="E105" s="138"/>
      <c r="F105" s="138"/>
      <c r="G105" s="138"/>
      <c r="H105" s="139"/>
      <c r="I105" s="138"/>
      <c r="J105" s="138"/>
      <c r="K105" s="138"/>
      <c r="L105" s="138"/>
      <c r="M105" s="139"/>
      <c r="N105" s="138"/>
      <c r="O105" s="138"/>
      <c r="P105" s="138"/>
      <c r="Q105" s="139"/>
      <c r="R105" s="139"/>
      <c r="S105" s="212"/>
      <c r="T105" s="138"/>
    </row>
    <row r="106" spans="1:20" ht="34.950000000000003" customHeight="1" x14ac:dyDescent="0.3">
      <c r="A106" s="136"/>
      <c r="B106" s="212"/>
      <c r="C106" s="138"/>
      <c r="D106" s="138"/>
      <c r="E106" s="138"/>
      <c r="F106" s="138"/>
      <c r="G106" s="138"/>
      <c r="H106" s="139"/>
      <c r="I106" s="138"/>
      <c r="J106" s="138"/>
      <c r="K106" s="138"/>
      <c r="L106" s="138"/>
      <c r="M106" s="139"/>
      <c r="N106" s="138"/>
      <c r="O106" s="138"/>
      <c r="P106" s="138"/>
      <c r="Q106" s="139"/>
      <c r="R106" s="139"/>
      <c r="S106" s="212"/>
      <c r="T106" s="138"/>
    </row>
    <row r="107" spans="1:20" ht="34.950000000000003" customHeight="1" x14ac:dyDescent="0.3">
      <c r="A107" s="136"/>
      <c r="B107" s="212"/>
      <c r="C107" s="138"/>
      <c r="D107" s="138"/>
      <c r="E107" s="138"/>
      <c r="F107" s="138"/>
      <c r="G107" s="138"/>
      <c r="H107" s="139"/>
      <c r="I107" s="138"/>
      <c r="J107" s="138"/>
      <c r="K107" s="138"/>
      <c r="L107" s="138"/>
      <c r="M107" s="139"/>
      <c r="N107" s="138"/>
      <c r="O107" s="138"/>
      <c r="P107" s="138"/>
      <c r="Q107" s="139"/>
      <c r="R107" s="139"/>
      <c r="S107" s="212"/>
      <c r="T107" s="138"/>
    </row>
    <row r="108" spans="1:20" ht="34.950000000000003" customHeight="1" x14ac:dyDescent="0.3">
      <c r="A108" s="136"/>
      <c r="B108" s="212"/>
      <c r="C108" s="138"/>
      <c r="D108" s="138"/>
      <c r="E108" s="138"/>
      <c r="F108" s="138"/>
      <c r="G108" s="138"/>
      <c r="H108" s="139"/>
      <c r="I108" s="138"/>
      <c r="J108" s="138"/>
      <c r="K108" s="138"/>
      <c r="L108" s="138"/>
      <c r="M108" s="139"/>
      <c r="N108" s="138"/>
      <c r="O108" s="138"/>
      <c r="P108" s="138"/>
      <c r="Q108" s="139"/>
      <c r="R108" s="139"/>
      <c r="S108" s="212"/>
      <c r="T108" s="138"/>
    </row>
    <row r="109" spans="1:20" ht="34.950000000000003" customHeight="1" x14ac:dyDescent="0.3">
      <c r="A109" s="136"/>
      <c r="B109" s="212"/>
      <c r="C109" s="138"/>
      <c r="D109" s="138"/>
      <c r="E109" s="138"/>
      <c r="F109" s="138"/>
      <c r="G109" s="138"/>
      <c r="H109" s="139"/>
      <c r="I109" s="138"/>
      <c r="J109" s="138"/>
      <c r="K109" s="138"/>
      <c r="L109" s="138"/>
      <c r="M109" s="139"/>
      <c r="N109" s="138"/>
      <c r="O109" s="138"/>
      <c r="P109" s="138"/>
      <c r="Q109" s="139"/>
      <c r="R109" s="139"/>
      <c r="S109" s="212"/>
      <c r="T109" s="138"/>
    </row>
    <row r="110" spans="1:20" ht="34.950000000000003" customHeight="1" x14ac:dyDescent="0.3">
      <c r="A110" s="136"/>
      <c r="B110" s="212"/>
      <c r="C110" s="138"/>
      <c r="D110" s="138"/>
      <c r="E110" s="138"/>
      <c r="F110" s="138"/>
      <c r="G110" s="138"/>
      <c r="H110" s="139"/>
      <c r="I110" s="138"/>
      <c r="J110" s="138"/>
      <c r="K110" s="138"/>
      <c r="L110" s="138"/>
      <c r="M110" s="139"/>
      <c r="N110" s="138"/>
      <c r="O110" s="138"/>
      <c r="P110" s="138"/>
      <c r="Q110" s="139"/>
      <c r="R110" s="139"/>
      <c r="S110" s="212"/>
      <c r="T110" s="138"/>
    </row>
    <row r="111" spans="1:20" ht="34.950000000000003" customHeight="1" x14ac:dyDescent="0.3">
      <c r="A111" s="136"/>
      <c r="B111" s="212"/>
      <c r="C111" s="138"/>
      <c r="D111" s="138"/>
      <c r="E111" s="138"/>
      <c r="F111" s="138"/>
      <c r="G111" s="138"/>
      <c r="H111" s="139"/>
      <c r="I111" s="138"/>
      <c r="J111" s="138"/>
      <c r="K111" s="138"/>
      <c r="L111" s="138"/>
      <c r="M111" s="139"/>
      <c r="N111" s="138"/>
      <c r="O111" s="138"/>
      <c r="P111" s="138"/>
      <c r="Q111" s="139"/>
      <c r="R111" s="139"/>
      <c r="S111" s="212"/>
      <c r="T111" s="138"/>
    </row>
    <row r="112" spans="1:20" ht="34.950000000000003" customHeight="1" x14ac:dyDescent="0.3">
      <c r="A112" s="136"/>
      <c r="B112" s="212"/>
      <c r="C112" s="138"/>
      <c r="D112" s="138"/>
      <c r="E112" s="138"/>
      <c r="F112" s="138"/>
      <c r="G112" s="138"/>
      <c r="H112" s="139"/>
      <c r="I112" s="138"/>
      <c r="J112" s="138"/>
      <c r="K112" s="138"/>
      <c r="L112" s="138"/>
      <c r="M112" s="139"/>
      <c r="N112" s="138"/>
      <c r="O112" s="138"/>
      <c r="P112" s="138"/>
      <c r="Q112" s="139"/>
      <c r="R112" s="139"/>
      <c r="S112" s="212"/>
      <c r="T112" s="138"/>
    </row>
    <row r="113" spans="1:20" ht="34.950000000000003" customHeight="1" x14ac:dyDescent="0.3">
      <c r="A113" s="136"/>
      <c r="B113" s="212"/>
      <c r="C113" s="138"/>
      <c r="D113" s="138"/>
      <c r="E113" s="138"/>
      <c r="F113" s="138"/>
      <c r="G113" s="138"/>
      <c r="H113" s="139"/>
      <c r="I113" s="138"/>
      <c r="J113" s="138"/>
      <c r="K113" s="138"/>
      <c r="L113" s="138"/>
      <c r="M113" s="139"/>
      <c r="N113" s="138"/>
      <c r="O113" s="138"/>
      <c r="P113" s="138"/>
      <c r="Q113" s="139"/>
      <c r="R113" s="139"/>
      <c r="S113" s="212"/>
      <c r="T113" s="138"/>
    </row>
    <row r="114" spans="1:20" ht="34.950000000000003" customHeight="1" x14ac:dyDescent="0.3">
      <c r="A114" s="136"/>
      <c r="B114" s="212"/>
      <c r="C114" s="138"/>
      <c r="D114" s="138"/>
      <c r="E114" s="138"/>
      <c r="F114" s="138"/>
      <c r="G114" s="138"/>
      <c r="H114" s="139"/>
      <c r="I114" s="138"/>
      <c r="J114" s="138"/>
      <c r="K114" s="138"/>
      <c r="L114" s="138"/>
      <c r="M114" s="139"/>
      <c r="N114" s="138"/>
      <c r="O114" s="138"/>
      <c r="P114" s="138"/>
      <c r="Q114" s="139"/>
      <c r="R114" s="139"/>
      <c r="S114" s="212"/>
      <c r="T114" s="138"/>
    </row>
    <row r="115" spans="1:20" ht="34.950000000000003" customHeight="1" x14ac:dyDescent="0.3">
      <c r="A115" s="136"/>
      <c r="B115" s="212"/>
      <c r="C115" s="138"/>
      <c r="D115" s="138"/>
      <c r="E115" s="138"/>
      <c r="F115" s="138"/>
      <c r="G115" s="138"/>
      <c r="H115" s="139"/>
      <c r="I115" s="138"/>
      <c r="J115" s="138"/>
      <c r="K115" s="138"/>
      <c r="L115" s="138"/>
      <c r="M115" s="139"/>
      <c r="N115" s="138"/>
      <c r="O115" s="138"/>
      <c r="P115" s="138"/>
      <c r="Q115" s="139"/>
      <c r="R115" s="139"/>
      <c r="S115" s="212"/>
      <c r="T115" s="138"/>
    </row>
    <row r="116" spans="1:20" ht="34.950000000000003" customHeight="1" x14ac:dyDescent="0.3">
      <c r="A116" s="136"/>
      <c r="B116" s="212"/>
      <c r="C116" s="138"/>
      <c r="D116" s="138"/>
      <c r="E116" s="138"/>
      <c r="F116" s="138"/>
      <c r="G116" s="138"/>
      <c r="H116" s="139"/>
      <c r="I116" s="138"/>
      <c r="J116" s="138"/>
      <c r="K116" s="138"/>
      <c r="L116" s="138"/>
      <c r="M116" s="139"/>
      <c r="N116" s="138"/>
      <c r="O116" s="138"/>
      <c r="P116" s="138"/>
      <c r="Q116" s="139"/>
      <c r="R116" s="139"/>
      <c r="S116" s="212"/>
      <c r="T116" s="138"/>
    </row>
    <row r="117" spans="1:20" ht="34.950000000000003" customHeight="1" x14ac:dyDescent="0.3">
      <c r="A117" s="136"/>
      <c r="B117" s="212"/>
      <c r="C117" s="138"/>
      <c r="D117" s="138"/>
      <c r="E117" s="138"/>
      <c r="F117" s="138"/>
      <c r="G117" s="138"/>
      <c r="H117" s="139"/>
      <c r="I117" s="138"/>
      <c r="J117" s="138"/>
      <c r="K117" s="138"/>
      <c r="L117" s="138"/>
      <c r="M117" s="139"/>
      <c r="N117" s="138"/>
      <c r="O117" s="138"/>
      <c r="P117" s="138"/>
      <c r="Q117" s="139"/>
      <c r="R117" s="139"/>
      <c r="S117" s="212"/>
      <c r="T117" s="138"/>
    </row>
    <row r="118" spans="1:20" ht="34.950000000000003" customHeight="1" x14ac:dyDescent="0.3">
      <c r="A118" s="136"/>
      <c r="B118" s="212"/>
      <c r="C118" s="138"/>
      <c r="D118" s="138"/>
      <c r="E118" s="138"/>
      <c r="F118" s="138"/>
      <c r="G118" s="138"/>
      <c r="H118" s="139"/>
      <c r="I118" s="138"/>
      <c r="J118" s="138"/>
      <c r="K118" s="138"/>
      <c r="L118" s="138"/>
      <c r="M118" s="139"/>
      <c r="N118" s="138"/>
      <c r="O118" s="138"/>
      <c r="P118" s="138"/>
      <c r="Q118" s="139"/>
      <c r="R118" s="139"/>
      <c r="S118" s="212"/>
      <c r="T118" s="138"/>
    </row>
    <row r="119" spans="1:20" ht="34.950000000000003" customHeight="1" x14ac:dyDescent="0.3">
      <c r="A119" s="136"/>
      <c r="B119" s="212"/>
      <c r="C119" s="138"/>
      <c r="D119" s="138"/>
      <c r="E119" s="138"/>
      <c r="F119" s="138"/>
      <c r="G119" s="138"/>
      <c r="H119" s="139"/>
      <c r="I119" s="138"/>
      <c r="J119" s="138"/>
      <c r="K119" s="138"/>
      <c r="L119" s="138"/>
      <c r="M119" s="139"/>
      <c r="N119" s="138"/>
      <c r="O119" s="138"/>
      <c r="P119" s="138"/>
      <c r="Q119" s="139"/>
      <c r="R119" s="139"/>
      <c r="S119" s="212"/>
      <c r="T119" s="138"/>
    </row>
    <row r="120" spans="1:20" ht="34.950000000000003" customHeight="1" x14ac:dyDescent="0.3">
      <c r="A120" s="136"/>
      <c r="B120" s="212"/>
      <c r="C120" s="138"/>
      <c r="D120" s="138"/>
      <c r="E120" s="138"/>
      <c r="F120" s="138"/>
      <c r="G120" s="138"/>
      <c r="H120" s="139"/>
      <c r="I120" s="138"/>
      <c r="J120" s="138"/>
      <c r="K120" s="138"/>
      <c r="L120" s="138"/>
      <c r="M120" s="139"/>
      <c r="N120" s="138"/>
      <c r="O120" s="138"/>
      <c r="P120" s="138"/>
      <c r="Q120" s="139"/>
      <c r="R120" s="139"/>
      <c r="S120" s="212"/>
      <c r="T120" s="138"/>
    </row>
    <row r="121" spans="1:20" ht="34.950000000000003" customHeight="1" x14ac:dyDescent="0.3">
      <c r="A121" s="136"/>
      <c r="B121" s="212"/>
      <c r="C121" s="138"/>
      <c r="D121" s="138"/>
      <c r="E121" s="138"/>
      <c r="F121" s="138"/>
      <c r="G121" s="138"/>
      <c r="H121" s="139"/>
      <c r="I121" s="138"/>
      <c r="J121" s="138"/>
      <c r="K121" s="138"/>
      <c r="L121" s="138"/>
      <c r="M121" s="139"/>
      <c r="N121" s="138"/>
      <c r="O121" s="138"/>
      <c r="P121" s="138"/>
      <c r="Q121" s="139"/>
      <c r="R121" s="139"/>
      <c r="S121" s="212"/>
      <c r="T121" s="138"/>
    </row>
    <row r="122" spans="1:20" ht="34.950000000000003" customHeight="1" x14ac:dyDescent="0.3">
      <c r="A122" s="136"/>
      <c r="B122" s="212"/>
      <c r="C122" s="138"/>
      <c r="D122" s="138"/>
      <c r="E122" s="138"/>
      <c r="F122" s="138"/>
      <c r="G122" s="138"/>
      <c r="H122" s="139"/>
      <c r="I122" s="138"/>
      <c r="J122" s="138"/>
      <c r="K122" s="138"/>
      <c r="L122" s="138"/>
      <c r="M122" s="139"/>
      <c r="N122" s="138"/>
      <c r="O122" s="138"/>
      <c r="P122" s="138"/>
      <c r="Q122" s="139"/>
      <c r="R122" s="139"/>
      <c r="S122" s="212"/>
      <c r="T122" s="138"/>
    </row>
    <row r="123" spans="1:20" ht="34.950000000000003" customHeight="1" x14ac:dyDescent="0.3">
      <c r="A123" s="136"/>
      <c r="B123" s="212"/>
      <c r="C123" s="138"/>
      <c r="D123" s="138"/>
      <c r="E123" s="138"/>
      <c r="F123" s="138"/>
      <c r="G123" s="138"/>
      <c r="H123" s="139"/>
      <c r="I123" s="138"/>
      <c r="J123" s="138"/>
      <c r="K123" s="138"/>
      <c r="L123" s="138"/>
      <c r="M123" s="139"/>
      <c r="N123" s="138"/>
      <c r="O123" s="138"/>
      <c r="P123" s="138"/>
      <c r="Q123" s="139"/>
      <c r="R123" s="139"/>
      <c r="S123" s="212"/>
      <c r="T123" s="138"/>
    </row>
    <row r="124" spans="1:20" ht="34.950000000000003" customHeight="1" x14ac:dyDescent="0.3">
      <c r="A124" s="136"/>
      <c r="B124" s="212"/>
      <c r="C124" s="138"/>
      <c r="D124" s="138"/>
      <c r="E124" s="138"/>
      <c r="F124" s="138"/>
      <c r="G124" s="138"/>
      <c r="H124" s="139"/>
      <c r="I124" s="138"/>
      <c r="J124" s="138"/>
      <c r="K124" s="138"/>
      <c r="L124" s="138"/>
      <c r="M124" s="139"/>
      <c r="N124" s="138"/>
      <c r="O124" s="138"/>
      <c r="P124" s="138"/>
      <c r="Q124" s="139"/>
      <c r="R124" s="139"/>
      <c r="S124" s="212"/>
      <c r="T124" s="138"/>
    </row>
    <row r="125" spans="1:20" ht="34.950000000000003" customHeight="1" x14ac:dyDescent="0.3">
      <c r="A125" s="136"/>
      <c r="B125" s="212"/>
      <c r="C125" s="138"/>
      <c r="D125" s="138"/>
      <c r="E125" s="138"/>
      <c r="F125" s="138"/>
      <c r="G125" s="138"/>
      <c r="H125" s="139"/>
      <c r="I125" s="138"/>
      <c r="J125" s="138"/>
      <c r="K125" s="138"/>
      <c r="L125" s="138"/>
      <c r="M125" s="139"/>
      <c r="N125" s="138"/>
      <c r="O125" s="138"/>
      <c r="P125" s="138"/>
      <c r="Q125" s="139"/>
      <c r="R125" s="139"/>
      <c r="S125" s="212"/>
      <c r="T125" s="138"/>
    </row>
    <row r="126" spans="1:20" ht="34.950000000000003" customHeight="1" x14ac:dyDescent="0.3">
      <c r="A126" s="136"/>
      <c r="B126" s="212"/>
      <c r="C126" s="138"/>
      <c r="D126" s="138"/>
      <c r="E126" s="138"/>
      <c r="F126" s="138"/>
      <c r="G126" s="138"/>
      <c r="H126" s="139"/>
      <c r="I126" s="138"/>
      <c r="J126" s="138"/>
      <c r="K126" s="138"/>
      <c r="L126" s="138"/>
      <c r="M126" s="139"/>
      <c r="N126" s="138"/>
      <c r="O126" s="138"/>
      <c r="P126" s="138"/>
      <c r="Q126" s="139"/>
      <c r="R126" s="139"/>
      <c r="S126" s="212"/>
      <c r="T126" s="138"/>
    </row>
    <row r="127" spans="1:20" ht="34.950000000000003" customHeight="1" x14ac:dyDescent="0.3">
      <c r="A127" s="136"/>
      <c r="B127" s="212"/>
      <c r="C127" s="138"/>
      <c r="D127" s="138"/>
      <c r="E127" s="138"/>
      <c r="F127" s="138"/>
      <c r="G127" s="138"/>
      <c r="H127" s="139"/>
      <c r="I127" s="138"/>
      <c r="J127" s="138"/>
      <c r="K127" s="138"/>
      <c r="L127" s="138"/>
      <c r="M127" s="139"/>
      <c r="N127" s="138"/>
      <c r="O127" s="138"/>
      <c r="P127" s="138"/>
      <c r="Q127" s="139"/>
      <c r="R127" s="139"/>
      <c r="S127" s="212"/>
      <c r="T127" s="138"/>
    </row>
    <row r="128" spans="1:20" ht="34.950000000000003" customHeight="1" x14ac:dyDescent="0.3">
      <c r="A128" s="136"/>
      <c r="B128" s="212"/>
      <c r="C128" s="138"/>
      <c r="D128" s="138"/>
      <c r="E128" s="138"/>
      <c r="F128" s="138"/>
      <c r="G128" s="138"/>
      <c r="H128" s="139"/>
      <c r="I128" s="138"/>
      <c r="J128" s="138"/>
      <c r="K128" s="138"/>
      <c r="L128" s="138"/>
      <c r="M128" s="139"/>
      <c r="N128" s="138"/>
      <c r="O128" s="138"/>
      <c r="P128" s="138"/>
      <c r="Q128" s="139"/>
      <c r="R128" s="139"/>
      <c r="S128" s="212"/>
      <c r="T128" s="138"/>
    </row>
    <row r="129" spans="1:20" ht="34.950000000000003" customHeight="1" x14ac:dyDescent="0.3">
      <c r="A129" s="136"/>
      <c r="B129" s="212"/>
      <c r="C129" s="138"/>
      <c r="D129" s="138"/>
      <c r="E129" s="138"/>
      <c r="F129" s="138"/>
      <c r="G129" s="138"/>
      <c r="H129" s="139"/>
      <c r="I129" s="138"/>
      <c r="J129" s="138"/>
      <c r="K129" s="138"/>
      <c r="L129" s="138"/>
      <c r="M129" s="139"/>
      <c r="N129" s="138"/>
      <c r="O129" s="138"/>
      <c r="P129" s="138"/>
      <c r="Q129" s="139"/>
      <c r="R129" s="139"/>
      <c r="S129" s="212"/>
      <c r="T129" s="138"/>
    </row>
    <row r="130" spans="1:20" ht="34.950000000000003" customHeight="1" x14ac:dyDescent="0.3">
      <c r="A130" s="136"/>
      <c r="B130" s="212"/>
      <c r="C130" s="138"/>
      <c r="D130" s="138"/>
      <c r="E130" s="138"/>
      <c r="F130" s="138"/>
      <c r="G130" s="138"/>
      <c r="H130" s="139"/>
      <c r="I130" s="138"/>
      <c r="J130" s="138"/>
      <c r="K130" s="138"/>
      <c r="L130" s="138"/>
      <c r="M130" s="139"/>
      <c r="N130" s="138"/>
      <c r="O130" s="138"/>
      <c r="P130" s="138"/>
      <c r="Q130" s="139"/>
      <c r="R130" s="139"/>
      <c r="S130" s="212"/>
      <c r="T130" s="138"/>
    </row>
    <row r="131" spans="1:20" ht="34.950000000000003" customHeight="1" x14ac:dyDescent="0.3">
      <c r="A131" s="136"/>
      <c r="B131" s="212"/>
      <c r="C131" s="138"/>
      <c r="D131" s="138"/>
      <c r="E131" s="138"/>
      <c r="F131" s="138"/>
      <c r="G131" s="138"/>
      <c r="H131" s="139"/>
      <c r="I131" s="138"/>
      <c r="J131" s="138"/>
      <c r="K131" s="138"/>
      <c r="L131" s="138"/>
      <c r="M131" s="139"/>
      <c r="N131" s="138"/>
      <c r="O131" s="138"/>
      <c r="P131" s="138"/>
      <c r="Q131" s="139"/>
      <c r="R131" s="139"/>
      <c r="S131" s="212"/>
      <c r="T131" s="138"/>
    </row>
    <row r="132" spans="1:20" ht="34.950000000000003" customHeight="1" x14ac:dyDescent="0.3">
      <c r="A132" s="136"/>
      <c r="B132" s="212"/>
      <c r="C132" s="138"/>
      <c r="D132" s="138"/>
      <c r="E132" s="138"/>
      <c r="F132" s="138"/>
      <c r="G132" s="138"/>
      <c r="H132" s="139"/>
      <c r="I132" s="138"/>
      <c r="J132" s="138"/>
      <c r="K132" s="138"/>
      <c r="L132" s="138"/>
      <c r="M132" s="139"/>
      <c r="N132" s="138"/>
      <c r="O132" s="138"/>
      <c r="P132" s="138"/>
      <c r="Q132" s="139"/>
      <c r="R132" s="139"/>
      <c r="S132" s="212"/>
      <c r="T132" s="138"/>
    </row>
    <row r="133" spans="1:20" ht="34.950000000000003" customHeight="1" x14ac:dyDescent="0.3">
      <c r="A133" s="136"/>
      <c r="B133" s="212"/>
      <c r="C133" s="138"/>
      <c r="D133" s="138"/>
      <c r="E133" s="138"/>
      <c r="F133" s="138"/>
      <c r="G133" s="138"/>
      <c r="H133" s="139"/>
      <c r="I133" s="138"/>
      <c r="J133" s="138"/>
      <c r="K133" s="138"/>
      <c r="L133" s="138"/>
      <c r="M133" s="139"/>
      <c r="N133" s="138"/>
      <c r="O133" s="138"/>
      <c r="P133" s="138"/>
      <c r="Q133" s="139"/>
      <c r="R133" s="139"/>
      <c r="S133" s="212"/>
      <c r="T133" s="138"/>
    </row>
    <row r="134" spans="1:20" ht="34.950000000000003" customHeight="1" x14ac:dyDescent="0.3">
      <c r="A134" s="136"/>
      <c r="B134" s="212"/>
      <c r="C134" s="138"/>
      <c r="D134" s="138"/>
      <c r="E134" s="138"/>
      <c r="F134" s="138"/>
      <c r="G134" s="138"/>
      <c r="H134" s="139"/>
      <c r="I134" s="138"/>
      <c r="J134" s="138"/>
      <c r="K134" s="138"/>
      <c r="L134" s="138"/>
      <c r="M134" s="139"/>
      <c r="N134" s="138"/>
      <c r="O134" s="138"/>
      <c r="P134" s="138"/>
      <c r="Q134" s="139"/>
      <c r="R134" s="139"/>
      <c r="S134" s="212"/>
      <c r="T134" s="138"/>
    </row>
    <row r="135" spans="1:20" ht="34.950000000000003" customHeight="1" x14ac:dyDescent="0.3">
      <c r="A135" s="136"/>
      <c r="B135" s="212"/>
      <c r="C135" s="138"/>
      <c r="D135" s="138"/>
      <c r="E135" s="138"/>
      <c r="F135" s="138"/>
      <c r="G135" s="138"/>
      <c r="H135" s="139"/>
      <c r="I135" s="138"/>
      <c r="J135" s="138"/>
      <c r="K135" s="138"/>
      <c r="L135" s="138"/>
      <c r="M135" s="139"/>
      <c r="N135" s="138"/>
      <c r="O135" s="138"/>
      <c r="P135" s="138"/>
      <c r="Q135" s="139"/>
      <c r="R135" s="139"/>
      <c r="S135" s="212"/>
      <c r="T135" s="138"/>
    </row>
    <row r="136" spans="1:20" ht="34.950000000000003" customHeight="1" x14ac:dyDescent="0.3">
      <c r="A136" s="136"/>
      <c r="B136" s="212"/>
      <c r="C136" s="138"/>
      <c r="D136" s="138"/>
      <c r="E136" s="138"/>
      <c r="F136" s="138"/>
      <c r="G136" s="138"/>
      <c r="H136" s="139"/>
      <c r="I136" s="138"/>
      <c r="J136" s="138"/>
      <c r="K136" s="138"/>
      <c r="L136" s="138"/>
      <c r="M136" s="139"/>
      <c r="N136" s="138"/>
      <c r="O136" s="138"/>
      <c r="P136" s="138"/>
      <c r="Q136" s="139"/>
      <c r="R136" s="139"/>
      <c r="S136" s="212"/>
      <c r="T136" s="138"/>
    </row>
    <row r="137" spans="1:20" ht="34.950000000000003" customHeight="1" x14ac:dyDescent="0.3">
      <c r="A137" s="136"/>
      <c r="B137" s="212"/>
      <c r="C137" s="138"/>
      <c r="D137" s="138"/>
      <c r="E137" s="138"/>
      <c r="F137" s="138"/>
      <c r="G137" s="138"/>
      <c r="H137" s="139"/>
      <c r="I137" s="138"/>
      <c r="J137" s="138"/>
      <c r="K137" s="138"/>
      <c r="L137" s="138"/>
      <c r="M137" s="139"/>
      <c r="N137" s="138"/>
      <c r="O137" s="138"/>
      <c r="P137" s="138"/>
      <c r="Q137" s="139"/>
      <c r="R137" s="139"/>
      <c r="S137" s="212"/>
      <c r="T137" s="138"/>
    </row>
    <row r="138" spans="1:20" ht="34.950000000000003" customHeight="1" x14ac:dyDescent="0.3">
      <c r="A138" s="136"/>
      <c r="B138" s="212"/>
      <c r="C138" s="138"/>
      <c r="D138" s="138"/>
      <c r="E138" s="138"/>
      <c r="F138" s="138"/>
      <c r="G138" s="138"/>
      <c r="H138" s="139"/>
      <c r="I138" s="138"/>
      <c r="J138" s="138"/>
      <c r="K138" s="138"/>
      <c r="L138" s="138"/>
      <c r="M138" s="139"/>
      <c r="N138" s="138"/>
      <c r="O138" s="138"/>
      <c r="P138" s="138"/>
      <c r="Q138" s="139"/>
      <c r="R138" s="139"/>
      <c r="S138" s="212"/>
      <c r="T138" s="138"/>
    </row>
    <row r="139" spans="1:20" ht="34.950000000000003" customHeight="1" x14ac:dyDescent="0.3">
      <c r="A139" s="136"/>
      <c r="B139" s="212"/>
      <c r="C139" s="138"/>
      <c r="D139" s="138"/>
      <c r="E139" s="138"/>
      <c r="F139" s="138"/>
      <c r="G139" s="138"/>
      <c r="H139" s="139"/>
      <c r="I139" s="138"/>
      <c r="J139" s="138"/>
      <c r="K139" s="138"/>
      <c r="L139" s="138"/>
      <c r="M139" s="139"/>
      <c r="N139" s="138"/>
      <c r="O139" s="138"/>
      <c r="P139" s="138"/>
      <c r="Q139" s="139"/>
      <c r="R139" s="139"/>
      <c r="S139" s="212"/>
      <c r="T139" s="138"/>
    </row>
    <row r="140" spans="1:20" ht="34.950000000000003" customHeight="1" x14ac:dyDescent="0.3">
      <c r="A140" s="136"/>
      <c r="B140" s="212"/>
      <c r="C140" s="138"/>
      <c r="D140" s="138"/>
      <c r="E140" s="138"/>
      <c r="F140" s="138"/>
      <c r="G140" s="138"/>
      <c r="H140" s="139"/>
      <c r="I140" s="138"/>
      <c r="J140" s="138"/>
      <c r="K140" s="138"/>
      <c r="L140" s="138"/>
      <c r="M140" s="139"/>
      <c r="N140" s="138"/>
      <c r="O140" s="138"/>
      <c r="P140" s="138"/>
      <c r="Q140" s="139"/>
      <c r="R140" s="139"/>
      <c r="S140" s="212"/>
      <c r="T140" s="138"/>
    </row>
    <row r="141" spans="1:20" ht="34.950000000000003" customHeight="1" x14ac:dyDescent="0.3">
      <c r="A141" s="136"/>
      <c r="B141" s="212"/>
      <c r="C141" s="138"/>
      <c r="D141" s="138"/>
      <c r="E141" s="138"/>
      <c r="F141" s="138"/>
      <c r="G141" s="138"/>
      <c r="H141" s="139"/>
      <c r="I141" s="138"/>
      <c r="J141" s="138"/>
      <c r="K141" s="138"/>
      <c r="L141" s="138"/>
      <c r="M141" s="139"/>
      <c r="N141" s="138"/>
      <c r="O141" s="138"/>
      <c r="P141" s="138"/>
      <c r="Q141" s="139"/>
      <c r="R141" s="139"/>
      <c r="S141" s="212"/>
      <c r="T141" s="138"/>
    </row>
    <row r="142" spans="1:20" ht="34.950000000000003" customHeight="1" x14ac:dyDescent="0.3">
      <c r="A142" s="136"/>
      <c r="B142" s="212"/>
      <c r="C142" s="138"/>
      <c r="D142" s="138"/>
      <c r="E142" s="138"/>
      <c r="F142" s="138"/>
      <c r="G142" s="138"/>
      <c r="H142" s="139"/>
      <c r="I142" s="138"/>
      <c r="J142" s="138"/>
      <c r="K142" s="138"/>
      <c r="L142" s="138"/>
      <c r="M142" s="139"/>
      <c r="N142" s="138"/>
      <c r="O142" s="138"/>
      <c r="P142" s="138"/>
      <c r="Q142" s="139"/>
      <c r="R142" s="139"/>
      <c r="S142" s="212"/>
      <c r="T142" s="138"/>
    </row>
    <row r="143" spans="1:20" ht="34.950000000000003" customHeight="1" x14ac:dyDescent="0.3">
      <c r="A143" s="136"/>
      <c r="B143" s="212"/>
      <c r="C143" s="138"/>
      <c r="D143" s="138"/>
      <c r="E143" s="138"/>
      <c r="F143" s="138"/>
      <c r="G143" s="138"/>
      <c r="H143" s="139"/>
      <c r="I143" s="138"/>
      <c r="J143" s="138"/>
      <c r="K143" s="138"/>
      <c r="L143" s="138"/>
      <c r="M143" s="139"/>
      <c r="N143" s="138"/>
      <c r="O143" s="138"/>
      <c r="P143" s="138"/>
      <c r="Q143" s="139"/>
      <c r="R143" s="139"/>
      <c r="S143" s="212"/>
      <c r="T143" s="138"/>
    </row>
    <row r="144" spans="1:20" ht="34.950000000000003" customHeight="1" x14ac:dyDescent="0.3">
      <c r="A144" s="136"/>
      <c r="B144" s="212"/>
      <c r="C144" s="138"/>
      <c r="D144" s="138"/>
      <c r="E144" s="138"/>
      <c r="F144" s="138"/>
      <c r="G144" s="138"/>
      <c r="H144" s="139"/>
      <c r="I144" s="138"/>
      <c r="J144" s="138"/>
      <c r="K144" s="138"/>
      <c r="L144" s="138"/>
      <c r="M144" s="139"/>
      <c r="N144" s="138"/>
      <c r="O144" s="138"/>
      <c r="P144" s="138"/>
      <c r="Q144" s="139"/>
      <c r="R144" s="139"/>
      <c r="S144" s="212"/>
      <c r="T144" s="138"/>
    </row>
    <row r="145" spans="1:20" ht="34.950000000000003" customHeight="1" x14ac:dyDescent="0.3">
      <c r="A145" s="136"/>
      <c r="B145" s="212"/>
      <c r="C145" s="138"/>
      <c r="D145" s="138"/>
      <c r="E145" s="138"/>
      <c r="F145" s="138"/>
      <c r="G145" s="138"/>
      <c r="H145" s="139"/>
      <c r="I145" s="138"/>
      <c r="J145" s="138"/>
      <c r="K145" s="138"/>
      <c r="L145" s="138"/>
      <c r="M145" s="139"/>
      <c r="N145" s="138"/>
      <c r="O145" s="138"/>
      <c r="P145" s="138"/>
      <c r="Q145" s="139"/>
      <c r="R145" s="139"/>
      <c r="S145" s="212"/>
      <c r="T145" s="138"/>
    </row>
    <row r="146" spans="1:20" ht="34.950000000000003" customHeight="1" x14ac:dyDescent="0.3">
      <c r="A146" s="136"/>
      <c r="B146" s="212"/>
      <c r="C146" s="138"/>
      <c r="D146" s="138"/>
      <c r="E146" s="138"/>
      <c r="F146" s="138"/>
      <c r="G146" s="138"/>
      <c r="H146" s="139"/>
      <c r="I146" s="138"/>
      <c r="J146" s="138"/>
      <c r="K146" s="138"/>
      <c r="L146" s="138"/>
      <c r="M146" s="139"/>
      <c r="N146" s="138"/>
      <c r="O146" s="138"/>
      <c r="P146" s="138"/>
      <c r="Q146" s="139"/>
      <c r="R146" s="139"/>
      <c r="S146" s="212"/>
      <c r="T146" s="138"/>
    </row>
    <row r="147" spans="1:20" ht="34.950000000000003" customHeight="1" x14ac:dyDescent="0.3">
      <c r="A147" s="136"/>
      <c r="B147" s="212"/>
      <c r="C147" s="138"/>
      <c r="D147" s="138"/>
      <c r="E147" s="138"/>
      <c r="F147" s="138"/>
      <c r="G147" s="138"/>
      <c r="H147" s="139"/>
      <c r="I147" s="138"/>
      <c r="J147" s="138"/>
      <c r="K147" s="138"/>
      <c r="L147" s="138"/>
      <c r="M147" s="139"/>
      <c r="N147" s="138"/>
      <c r="O147" s="138"/>
      <c r="P147" s="138"/>
      <c r="Q147" s="139"/>
      <c r="R147" s="139"/>
      <c r="S147" s="212"/>
      <c r="T147" s="138"/>
    </row>
    <row r="148" spans="1:20" ht="34.950000000000003" customHeight="1" x14ac:dyDescent="0.3">
      <c r="A148" s="136"/>
      <c r="B148" s="212"/>
      <c r="C148" s="138"/>
      <c r="D148" s="138"/>
      <c r="E148" s="138"/>
      <c r="F148" s="138"/>
      <c r="G148" s="138"/>
      <c r="H148" s="139"/>
      <c r="I148" s="138"/>
      <c r="J148" s="138"/>
      <c r="K148" s="138"/>
      <c r="L148" s="138"/>
      <c r="M148" s="139"/>
      <c r="N148" s="138"/>
      <c r="O148" s="138"/>
      <c r="P148" s="138"/>
      <c r="Q148" s="139"/>
      <c r="R148" s="139"/>
      <c r="S148" s="212"/>
      <c r="T148" s="138"/>
    </row>
    <row r="149" spans="1:20" ht="34.950000000000003" customHeight="1" x14ac:dyDescent="0.3">
      <c r="A149" s="136"/>
      <c r="B149" s="212"/>
      <c r="C149" s="138"/>
      <c r="D149" s="138"/>
      <c r="E149" s="138"/>
      <c r="F149" s="138"/>
      <c r="G149" s="138"/>
      <c r="H149" s="139"/>
      <c r="I149" s="138"/>
      <c r="J149" s="138"/>
      <c r="K149" s="138"/>
      <c r="L149" s="138"/>
      <c r="M149" s="139"/>
      <c r="N149" s="138"/>
      <c r="O149" s="138"/>
      <c r="P149" s="138"/>
      <c r="Q149" s="139"/>
      <c r="R149" s="139"/>
      <c r="S149" s="212"/>
      <c r="T149" s="138"/>
    </row>
    <row r="150" spans="1:20" ht="34.950000000000003" customHeight="1" x14ac:dyDescent="0.3">
      <c r="A150" s="136"/>
      <c r="B150" s="212"/>
      <c r="C150" s="138"/>
      <c r="D150" s="138"/>
      <c r="E150" s="138"/>
      <c r="F150" s="138"/>
      <c r="G150" s="138"/>
      <c r="H150" s="139"/>
      <c r="I150" s="138"/>
      <c r="J150" s="138"/>
      <c r="K150" s="138"/>
      <c r="L150" s="138"/>
      <c r="M150" s="139"/>
      <c r="N150" s="138"/>
      <c r="O150" s="138"/>
      <c r="P150" s="138"/>
      <c r="Q150" s="139"/>
      <c r="R150" s="139"/>
      <c r="S150" s="212"/>
      <c r="T150" s="138"/>
    </row>
    <row r="151" spans="1:20" ht="34.950000000000003" customHeight="1" x14ac:dyDescent="0.3">
      <c r="A151" s="136"/>
      <c r="B151" s="212"/>
      <c r="C151" s="138"/>
      <c r="D151" s="138"/>
      <c r="E151" s="138"/>
      <c r="F151" s="138"/>
      <c r="G151" s="138"/>
      <c r="H151" s="139"/>
      <c r="I151" s="138"/>
      <c r="J151" s="138"/>
      <c r="K151" s="138"/>
      <c r="L151" s="138"/>
      <c r="M151" s="139"/>
      <c r="N151" s="138"/>
      <c r="O151" s="138"/>
      <c r="P151" s="138"/>
      <c r="Q151" s="139"/>
      <c r="R151" s="139"/>
      <c r="S151" s="212"/>
      <c r="T151" s="138"/>
    </row>
    <row r="152" spans="1:20" ht="34.950000000000003" customHeight="1" x14ac:dyDescent="0.3">
      <c r="A152" s="136"/>
      <c r="B152" s="212"/>
      <c r="C152" s="138"/>
      <c r="D152" s="138"/>
      <c r="E152" s="138"/>
      <c r="F152" s="138"/>
      <c r="G152" s="138"/>
      <c r="H152" s="139"/>
      <c r="I152" s="138"/>
      <c r="J152" s="138"/>
      <c r="K152" s="138"/>
      <c r="L152" s="138"/>
      <c r="M152" s="139"/>
      <c r="N152" s="138"/>
      <c r="O152" s="138"/>
      <c r="P152" s="138"/>
      <c r="Q152" s="139"/>
      <c r="R152" s="139"/>
      <c r="S152" s="212"/>
      <c r="T152" s="138"/>
    </row>
    <row r="153" spans="1:20" ht="34.950000000000003" customHeight="1" x14ac:dyDescent="0.3">
      <c r="A153" s="136"/>
      <c r="B153" s="212"/>
      <c r="C153" s="138"/>
      <c r="D153" s="138"/>
      <c r="E153" s="138"/>
      <c r="F153" s="138"/>
      <c r="G153" s="138"/>
      <c r="H153" s="139"/>
      <c r="I153" s="138"/>
      <c r="J153" s="138"/>
      <c r="K153" s="138"/>
      <c r="L153" s="138"/>
      <c r="M153" s="139"/>
      <c r="N153" s="138"/>
      <c r="O153" s="138"/>
      <c r="P153" s="138"/>
      <c r="Q153" s="139"/>
      <c r="R153" s="139"/>
      <c r="S153" s="212"/>
      <c r="T153" s="138"/>
    </row>
    <row r="154" spans="1:20" ht="34.950000000000003" customHeight="1" x14ac:dyDescent="0.3">
      <c r="A154" s="136"/>
      <c r="B154" s="212"/>
      <c r="C154" s="138"/>
      <c r="D154" s="138"/>
      <c r="E154" s="138"/>
      <c r="F154" s="138"/>
      <c r="G154" s="138"/>
      <c r="H154" s="139"/>
      <c r="I154" s="138"/>
      <c r="J154" s="138"/>
      <c r="K154" s="138"/>
      <c r="L154" s="138"/>
      <c r="M154" s="139"/>
      <c r="N154" s="138"/>
      <c r="O154" s="138"/>
      <c r="P154" s="138"/>
      <c r="Q154" s="139"/>
      <c r="R154" s="139"/>
      <c r="S154" s="212"/>
      <c r="T154" s="138"/>
    </row>
    <row r="155" spans="1:20" ht="34.950000000000003" customHeight="1" x14ac:dyDescent="0.3">
      <c r="A155" s="136"/>
      <c r="B155" s="212"/>
      <c r="C155" s="138"/>
      <c r="D155" s="138"/>
      <c r="E155" s="138"/>
      <c r="F155" s="138"/>
      <c r="G155" s="138"/>
      <c r="H155" s="139"/>
      <c r="I155" s="138"/>
      <c r="J155" s="138"/>
      <c r="K155" s="138"/>
      <c r="L155" s="138"/>
      <c r="M155" s="139"/>
      <c r="N155" s="138"/>
      <c r="O155" s="138"/>
      <c r="P155" s="138"/>
      <c r="Q155" s="139"/>
      <c r="R155" s="139"/>
      <c r="S155" s="212"/>
      <c r="T155" s="138"/>
    </row>
    <row r="156" spans="1:20" ht="34.950000000000003" customHeight="1" x14ac:dyDescent="0.3">
      <c r="A156" s="136"/>
      <c r="B156" s="212"/>
      <c r="C156" s="138"/>
      <c r="D156" s="138"/>
      <c r="E156" s="138"/>
      <c r="F156" s="138"/>
      <c r="G156" s="138"/>
      <c r="H156" s="139"/>
      <c r="I156" s="138"/>
      <c r="J156" s="138"/>
      <c r="K156" s="138"/>
      <c r="L156" s="138"/>
      <c r="M156" s="139"/>
      <c r="N156" s="138"/>
      <c r="O156" s="138"/>
      <c r="P156" s="138"/>
      <c r="Q156" s="139"/>
      <c r="R156" s="139"/>
      <c r="S156" s="212"/>
      <c r="T156" s="138"/>
    </row>
    <row r="157" spans="1:20" ht="34.950000000000003" customHeight="1" x14ac:dyDescent="0.3">
      <c r="A157" s="136"/>
      <c r="B157" s="212"/>
      <c r="C157" s="138"/>
      <c r="D157" s="138"/>
      <c r="E157" s="138"/>
      <c r="F157" s="138"/>
      <c r="G157" s="138"/>
      <c r="H157" s="139"/>
      <c r="I157" s="138"/>
      <c r="J157" s="138"/>
      <c r="K157" s="138"/>
      <c r="L157" s="138"/>
      <c r="M157" s="139"/>
      <c r="N157" s="138"/>
      <c r="O157" s="138"/>
      <c r="P157" s="138"/>
      <c r="Q157" s="139"/>
      <c r="R157" s="139"/>
      <c r="S157" s="212"/>
      <c r="T157" s="138"/>
    </row>
    <row r="158" spans="1:20" ht="34.950000000000003" customHeight="1" x14ac:dyDescent="0.3">
      <c r="A158" s="136"/>
      <c r="B158" s="212"/>
      <c r="C158" s="138"/>
      <c r="D158" s="138"/>
      <c r="E158" s="138"/>
      <c r="F158" s="138"/>
      <c r="G158" s="138"/>
      <c r="H158" s="139"/>
      <c r="I158" s="138"/>
      <c r="J158" s="138"/>
      <c r="K158" s="138"/>
      <c r="L158" s="138"/>
      <c r="M158" s="139"/>
      <c r="N158" s="138"/>
      <c r="O158" s="138"/>
      <c r="P158" s="138"/>
      <c r="Q158" s="139"/>
      <c r="R158" s="139"/>
      <c r="S158" s="212"/>
      <c r="T158" s="138"/>
    </row>
    <row r="159" spans="1:20" ht="34.950000000000003" customHeight="1" x14ac:dyDescent="0.3">
      <c r="A159" s="136"/>
      <c r="B159" s="212"/>
      <c r="C159" s="138"/>
      <c r="D159" s="138"/>
      <c r="E159" s="138"/>
      <c r="F159" s="138"/>
      <c r="G159" s="138"/>
      <c r="H159" s="139"/>
      <c r="I159" s="138"/>
      <c r="J159" s="138"/>
      <c r="K159" s="138"/>
      <c r="L159" s="138"/>
      <c r="M159" s="139"/>
      <c r="N159" s="138"/>
      <c r="O159" s="138"/>
      <c r="P159" s="138"/>
      <c r="Q159" s="139"/>
      <c r="R159" s="139"/>
      <c r="S159" s="212"/>
      <c r="T159" s="138"/>
    </row>
    <row r="160" spans="1:20" ht="34.950000000000003" customHeight="1" x14ac:dyDescent="0.3">
      <c r="A160" s="136"/>
      <c r="B160" s="212"/>
      <c r="C160" s="138"/>
      <c r="D160" s="138"/>
      <c r="E160" s="138"/>
      <c r="F160" s="138"/>
      <c r="G160" s="138"/>
      <c r="H160" s="139"/>
      <c r="I160" s="138"/>
      <c r="J160" s="138"/>
      <c r="K160" s="138"/>
      <c r="L160" s="138"/>
      <c r="M160" s="139"/>
      <c r="N160" s="138"/>
      <c r="O160" s="138"/>
      <c r="P160" s="138"/>
      <c r="Q160" s="139"/>
      <c r="R160" s="139"/>
      <c r="S160" s="212"/>
      <c r="T160" s="138"/>
    </row>
    <row r="161" spans="1:20" ht="34.950000000000003" customHeight="1" x14ac:dyDescent="0.3">
      <c r="A161" s="136"/>
      <c r="B161" s="212"/>
      <c r="C161" s="138"/>
      <c r="D161" s="138"/>
      <c r="E161" s="138"/>
      <c r="F161" s="138"/>
      <c r="G161" s="138"/>
      <c r="H161" s="139"/>
      <c r="I161" s="138"/>
      <c r="J161" s="138"/>
      <c r="K161" s="138"/>
      <c r="L161" s="138"/>
      <c r="M161" s="139"/>
      <c r="N161" s="138"/>
      <c r="O161" s="138"/>
      <c r="P161" s="138"/>
      <c r="Q161" s="139"/>
      <c r="R161" s="139"/>
      <c r="S161" s="212"/>
      <c r="T161" s="138"/>
    </row>
    <row r="162" spans="1:20" ht="34.950000000000003" customHeight="1" x14ac:dyDescent="0.3">
      <c r="A162" s="136"/>
      <c r="B162" s="212"/>
      <c r="C162" s="138"/>
      <c r="D162" s="138"/>
      <c r="E162" s="138"/>
      <c r="F162" s="138"/>
      <c r="G162" s="138"/>
      <c r="H162" s="139"/>
      <c r="I162" s="138"/>
      <c r="J162" s="138"/>
      <c r="K162" s="138"/>
      <c r="L162" s="138"/>
      <c r="M162" s="139"/>
      <c r="N162" s="138"/>
      <c r="O162" s="138"/>
      <c r="P162" s="138"/>
      <c r="Q162" s="139"/>
      <c r="R162" s="139"/>
      <c r="S162" s="212"/>
      <c r="T162" s="138"/>
    </row>
    <row r="163" spans="1:20" ht="34.950000000000003" customHeight="1" x14ac:dyDescent="0.3">
      <c r="A163" s="136"/>
      <c r="B163" s="212"/>
      <c r="C163" s="138"/>
      <c r="D163" s="138"/>
      <c r="E163" s="138"/>
      <c r="F163" s="138"/>
      <c r="G163" s="138"/>
      <c r="H163" s="139"/>
      <c r="I163" s="138"/>
      <c r="J163" s="138"/>
      <c r="K163" s="138"/>
      <c r="L163" s="138"/>
      <c r="M163" s="139"/>
      <c r="N163" s="138"/>
      <c r="O163" s="138"/>
      <c r="P163" s="138"/>
      <c r="Q163" s="139"/>
      <c r="R163" s="139"/>
      <c r="S163" s="212"/>
      <c r="T163" s="138"/>
    </row>
    <row r="164" spans="1:20" ht="34.950000000000003" customHeight="1" x14ac:dyDescent="0.3">
      <c r="A164" s="136"/>
      <c r="B164" s="212"/>
      <c r="C164" s="138"/>
      <c r="D164" s="138"/>
      <c r="E164" s="138"/>
      <c r="F164" s="138"/>
      <c r="G164" s="138"/>
      <c r="H164" s="139"/>
      <c r="I164" s="138"/>
      <c r="J164" s="138"/>
      <c r="K164" s="138"/>
      <c r="L164" s="138"/>
      <c r="M164" s="139"/>
      <c r="N164" s="138"/>
      <c r="O164" s="138"/>
      <c r="P164" s="138"/>
      <c r="Q164" s="139"/>
      <c r="R164" s="139"/>
      <c r="S164" s="212"/>
      <c r="T164" s="138"/>
    </row>
    <row r="165" spans="1:20" ht="34.950000000000003" customHeight="1" x14ac:dyDescent="0.3">
      <c r="A165" s="136"/>
      <c r="B165" s="212"/>
      <c r="C165" s="138"/>
      <c r="D165" s="138"/>
      <c r="E165" s="138"/>
      <c r="F165" s="138"/>
      <c r="G165" s="138"/>
      <c r="H165" s="139"/>
      <c r="I165" s="138"/>
      <c r="J165" s="138"/>
      <c r="K165" s="138"/>
      <c r="L165" s="138"/>
      <c r="M165" s="139"/>
      <c r="N165" s="138"/>
      <c r="O165" s="138"/>
      <c r="P165" s="138"/>
      <c r="Q165" s="139"/>
      <c r="R165" s="139"/>
      <c r="S165" s="212"/>
      <c r="T165" s="138"/>
    </row>
    <row r="166" spans="1:20" ht="34.950000000000003" customHeight="1" x14ac:dyDescent="0.3">
      <c r="A166" s="136"/>
      <c r="B166" s="212"/>
      <c r="C166" s="138"/>
      <c r="D166" s="138"/>
      <c r="E166" s="138"/>
      <c r="F166" s="138"/>
      <c r="G166" s="138"/>
      <c r="H166" s="139"/>
      <c r="I166" s="138"/>
      <c r="J166" s="138"/>
      <c r="K166" s="138"/>
      <c r="L166" s="138"/>
      <c r="M166" s="139"/>
      <c r="N166" s="138"/>
      <c r="O166" s="138"/>
      <c r="P166" s="138"/>
      <c r="Q166" s="139"/>
      <c r="R166" s="139"/>
      <c r="S166" s="212"/>
      <c r="T166" s="138"/>
    </row>
    <row r="167" spans="1:20" ht="34.950000000000003" customHeight="1" x14ac:dyDescent="0.3">
      <c r="A167" s="136"/>
      <c r="B167" s="212"/>
      <c r="C167" s="138"/>
      <c r="D167" s="138"/>
      <c r="E167" s="138"/>
      <c r="F167" s="138"/>
      <c r="G167" s="138"/>
      <c r="H167" s="139"/>
      <c r="I167" s="138"/>
      <c r="J167" s="138"/>
      <c r="K167" s="138"/>
      <c r="L167" s="138"/>
      <c r="M167" s="139"/>
      <c r="N167" s="138"/>
      <c r="O167" s="138"/>
      <c r="P167" s="138"/>
      <c r="Q167" s="139"/>
      <c r="R167" s="139"/>
      <c r="S167" s="212"/>
      <c r="T167" s="138"/>
    </row>
    <row r="168" spans="1:20" ht="34.950000000000003" customHeight="1" x14ac:dyDescent="0.3">
      <c r="A168" s="136"/>
      <c r="B168" s="212"/>
      <c r="C168" s="138"/>
      <c r="D168" s="138"/>
      <c r="E168" s="138"/>
      <c r="F168" s="138"/>
      <c r="G168" s="138"/>
      <c r="H168" s="139"/>
      <c r="I168" s="138"/>
      <c r="J168" s="138"/>
      <c r="K168" s="138"/>
      <c r="L168" s="138"/>
      <c r="M168" s="139"/>
      <c r="N168" s="138"/>
      <c r="O168" s="138"/>
      <c r="P168" s="138"/>
      <c r="Q168" s="139"/>
      <c r="R168" s="139"/>
      <c r="S168" s="212"/>
      <c r="T168" s="138"/>
    </row>
    <row r="169" spans="1:20" ht="34.950000000000003" customHeight="1" x14ac:dyDescent="0.3">
      <c r="A169" s="136"/>
      <c r="B169" s="212"/>
      <c r="C169" s="138"/>
      <c r="D169" s="138"/>
      <c r="E169" s="138"/>
      <c r="F169" s="138"/>
      <c r="G169" s="138"/>
      <c r="H169" s="139"/>
      <c r="I169" s="138"/>
      <c r="J169" s="138"/>
      <c r="K169" s="138"/>
      <c r="L169" s="138"/>
      <c r="M169" s="139"/>
      <c r="N169" s="138"/>
      <c r="O169" s="138"/>
      <c r="P169" s="138"/>
      <c r="Q169" s="139"/>
      <c r="R169" s="139"/>
      <c r="S169" s="212"/>
      <c r="T169" s="138"/>
    </row>
    <row r="170" spans="1:20" ht="34.950000000000003" customHeight="1" x14ac:dyDescent="0.3">
      <c r="A170" s="136"/>
      <c r="B170" s="212"/>
      <c r="C170" s="138"/>
      <c r="D170" s="138"/>
      <c r="E170" s="138"/>
      <c r="F170" s="138"/>
      <c r="G170" s="138"/>
      <c r="H170" s="139"/>
      <c r="I170" s="138"/>
      <c r="J170" s="138"/>
      <c r="K170" s="138"/>
      <c r="L170" s="138"/>
      <c r="M170" s="139"/>
      <c r="N170" s="138"/>
      <c r="O170" s="138"/>
      <c r="P170" s="138"/>
      <c r="Q170" s="139"/>
      <c r="R170" s="139"/>
      <c r="S170" s="212"/>
      <c r="T170" s="138"/>
    </row>
    <row r="171" spans="1:20" ht="34.950000000000003" customHeight="1" x14ac:dyDescent="0.3">
      <c r="A171" s="136"/>
      <c r="B171" s="212"/>
      <c r="C171" s="138"/>
      <c r="D171" s="138"/>
      <c r="E171" s="138"/>
      <c r="F171" s="138"/>
      <c r="G171" s="138"/>
      <c r="H171" s="139"/>
      <c r="I171" s="138"/>
      <c r="J171" s="138"/>
      <c r="K171" s="138"/>
      <c r="L171" s="138"/>
      <c r="M171" s="139"/>
      <c r="N171" s="138"/>
      <c r="O171" s="138"/>
      <c r="P171" s="138"/>
      <c r="Q171" s="139"/>
      <c r="R171" s="139"/>
      <c r="S171" s="212"/>
      <c r="T171" s="138"/>
    </row>
    <row r="172" spans="1:20" ht="34.950000000000003" customHeight="1" x14ac:dyDescent="0.3">
      <c r="A172" s="136"/>
      <c r="B172" s="212"/>
      <c r="C172" s="138"/>
      <c r="D172" s="138"/>
      <c r="E172" s="138"/>
      <c r="F172" s="138"/>
      <c r="G172" s="138"/>
      <c r="H172" s="139"/>
      <c r="I172" s="138"/>
      <c r="J172" s="138"/>
      <c r="K172" s="138"/>
      <c r="L172" s="138"/>
      <c r="M172" s="139"/>
      <c r="N172" s="138"/>
      <c r="O172" s="138"/>
      <c r="P172" s="138"/>
      <c r="Q172" s="139"/>
      <c r="R172" s="139"/>
      <c r="S172" s="212"/>
      <c r="T172" s="138"/>
    </row>
    <row r="173" spans="1:20" ht="34.950000000000003" customHeight="1" x14ac:dyDescent="0.3">
      <c r="A173" s="136"/>
      <c r="B173" s="212"/>
      <c r="C173" s="138"/>
      <c r="D173" s="138"/>
      <c r="E173" s="138"/>
      <c r="F173" s="138"/>
      <c r="G173" s="138"/>
      <c r="H173" s="139"/>
      <c r="I173" s="138"/>
      <c r="J173" s="138"/>
      <c r="K173" s="138"/>
      <c r="L173" s="138"/>
      <c r="M173" s="139"/>
      <c r="N173" s="138"/>
      <c r="O173" s="138"/>
      <c r="P173" s="138"/>
      <c r="Q173" s="139"/>
      <c r="R173" s="139"/>
      <c r="S173" s="212"/>
      <c r="T173" s="138"/>
    </row>
    <row r="174" spans="1:20" ht="34.950000000000003" customHeight="1" x14ac:dyDescent="0.3">
      <c r="A174" s="136"/>
      <c r="B174" s="212"/>
      <c r="C174" s="138"/>
      <c r="D174" s="138"/>
      <c r="E174" s="138"/>
      <c r="F174" s="138"/>
      <c r="G174" s="138"/>
      <c r="H174" s="139"/>
      <c r="I174" s="138"/>
      <c r="J174" s="138"/>
      <c r="K174" s="138"/>
      <c r="L174" s="138"/>
      <c r="M174" s="139"/>
      <c r="N174" s="138"/>
      <c r="O174" s="138"/>
      <c r="P174" s="138"/>
      <c r="Q174" s="139"/>
      <c r="R174" s="139"/>
      <c r="S174" s="212"/>
      <c r="T174" s="138"/>
    </row>
    <row r="175" spans="1:20" ht="34.950000000000003" customHeight="1" x14ac:dyDescent="0.3">
      <c r="A175" s="136"/>
      <c r="B175" s="212"/>
      <c r="C175" s="138"/>
      <c r="D175" s="138"/>
      <c r="E175" s="138"/>
      <c r="F175" s="138"/>
      <c r="G175" s="138"/>
      <c r="H175" s="139"/>
      <c r="I175" s="138"/>
      <c r="J175" s="138"/>
      <c r="K175" s="138"/>
      <c r="L175" s="138"/>
      <c r="M175" s="139"/>
      <c r="N175" s="138"/>
      <c r="O175" s="138"/>
      <c r="P175" s="138"/>
      <c r="Q175" s="139"/>
      <c r="R175" s="139"/>
      <c r="S175" s="212"/>
      <c r="T175" s="138"/>
    </row>
    <row r="176" spans="1:20" ht="34.950000000000003" customHeight="1" x14ac:dyDescent="0.3">
      <c r="A176" s="136"/>
      <c r="B176" s="212"/>
      <c r="C176" s="138"/>
      <c r="D176" s="138"/>
      <c r="E176" s="138"/>
      <c r="F176" s="138"/>
      <c r="G176" s="138"/>
      <c r="H176" s="139"/>
      <c r="I176" s="138"/>
      <c r="J176" s="138"/>
      <c r="K176" s="138"/>
      <c r="L176" s="138"/>
      <c r="M176" s="139"/>
      <c r="N176" s="138"/>
      <c r="O176" s="138"/>
      <c r="P176" s="138"/>
      <c r="Q176" s="139"/>
      <c r="R176" s="139"/>
      <c r="S176" s="212"/>
      <c r="T176" s="138"/>
    </row>
    <row r="177" spans="1:20" ht="34.950000000000003" customHeight="1" x14ac:dyDescent="0.3">
      <c r="A177" s="136"/>
      <c r="B177" s="212"/>
      <c r="C177" s="138"/>
      <c r="D177" s="138"/>
      <c r="E177" s="138"/>
      <c r="F177" s="138"/>
      <c r="G177" s="138"/>
      <c r="H177" s="139"/>
      <c r="I177" s="138"/>
      <c r="J177" s="138"/>
      <c r="K177" s="138"/>
      <c r="L177" s="138"/>
      <c r="M177" s="139"/>
      <c r="N177" s="138"/>
      <c r="O177" s="138"/>
      <c r="P177" s="138"/>
      <c r="Q177" s="139"/>
      <c r="R177" s="139"/>
      <c r="S177" s="212"/>
      <c r="T177" s="138"/>
    </row>
    <row r="178" spans="1:20" ht="34.950000000000003" customHeight="1" x14ac:dyDescent="0.3">
      <c r="A178" s="136"/>
      <c r="B178" s="212"/>
      <c r="C178" s="138"/>
      <c r="D178" s="138"/>
      <c r="E178" s="138"/>
      <c r="F178" s="138"/>
      <c r="G178" s="138"/>
      <c r="H178" s="139"/>
      <c r="I178" s="138"/>
      <c r="J178" s="138"/>
      <c r="K178" s="138"/>
      <c r="L178" s="138"/>
      <c r="M178" s="139"/>
      <c r="N178" s="138"/>
      <c r="O178" s="138"/>
      <c r="P178" s="138"/>
      <c r="Q178" s="139"/>
      <c r="R178" s="139"/>
      <c r="S178" s="212"/>
      <c r="T178" s="138"/>
    </row>
    <row r="179" spans="1:20" ht="34.950000000000003" customHeight="1" x14ac:dyDescent="0.3">
      <c r="A179" s="136"/>
      <c r="B179" s="212"/>
      <c r="C179" s="138"/>
      <c r="D179" s="138"/>
      <c r="E179" s="138"/>
      <c r="F179" s="138"/>
      <c r="G179" s="138"/>
      <c r="H179" s="139"/>
      <c r="I179" s="138"/>
      <c r="J179" s="138"/>
      <c r="K179" s="138"/>
      <c r="L179" s="138"/>
      <c r="M179" s="139"/>
      <c r="N179" s="138"/>
      <c r="O179" s="138"/>
      <c r="P179" s="138"/>
      <c r="Q179" s="139"/>
      <c r="R179" s="139"/>
      <c r="S179" s="212"/>
      <c r="T179" s="138"/>
    </row>
    <row r="180" spans="1:20" ht="34.950000000000003" customHeight="1" x14ac:dyDescent="0.3">
      <c r="A180" s="136"/>
      <c r="B180" s="212"/>
      <c r="C180" s="138"/>
      <c r="D180" s="138"/>
      <c r="E180" s="138"/>
      <c r="F180" s="138"/>
      <c r="G180" s="138"/>
      <c r="H180" s="139"/>
      <c r="I180" s="138"/>
      <c r="J180" s="138"/>
      <c r="K180" s="138"/>
      <c r="L180" s="138"/>
      <c r="M180" s="139"/>
      <c r="N180" s="138"/>
      <c r="O180" s="138"/>
      <c r="P180" s="138"/>
      <c r="Q180" s="139"/>
      <c r="R180" s="139"/>
      <c r="S180" s="212"/>
      <c r="T180" s="138"/>
    </row>
    <row r="181" spans="1:20" ht="34.950000000000003" customHeight="1" x14ac:dyDescent="0.3">
      <c r="A181" s="136"/>
      <c r="B181" s="212"/>
      <c r="C181" s="138"/>
      <c r="D181" s="138"/>
      <c r="E181" s="138"/>
      <c r="F181" s="138"/>
      <c r="G181" s="138"/>
      <c r="H181" s="139"/>
      <c r="I181" s="138"/>
      <c r="J181" s="138"/>
      <c r="K181" s="138"/>
      <c r="L181" s="138"/>
      <c r="M181" s="139"/>
      <c r="N181" s="138"/>
      <c r="O181" s="138"/>
      <c r="P181" s="138"/>
      <c r="Q181" s="139"/>
      <c r="R181" s="139"/>
      <c r="S181" s="212"/>
      <c r="T181" s="138"/>
    </row>
    <row r="182" spans="1:20" ht="34.950000000000003" customHeight="1" x14ac:dyDescent="0.3">
      <c r="A182" s="136"/>
      <c r="B182" s="212"/>
      <c r="C182" s="138"/>
      <c r="D182" s="138"/>
      <c r="E182" s="138"/>
      <c r="F182" s="138"/>
      <c r="G182" s="138"/>
      <c r="H182" s="139"/>
      <c r="I182" s="138"/>
      <c r="J182" s="138"/>
      <c r="K182" s="138"/>
      <c r="L182" s="138"/>
      <c r="M182" s="139"/>
      <c r="N182" s="138"/>
      <c r="O182" s="138"/>
      <c r="P182" s="138"/>
      <c r="Q182" s="139"/>
      <c r="R182" s="139"/>
      <c r="S182" s="212"/>
      <c r="T182" s="138"/>
    </row>
    <row r="183" spans="1:20" ht="34.950000000000003" customHeight="1" x14ac:dyDescent="0.3">
      <c r="A183" s="136"/>
      <c r="B183" s="212"/>
      <c r="C183" s="138"/>
      <c r="D183" s="138"/>
      <c r="E183" s="138"/>
      <c r="F183" s="138"/>
      <c r="G183" s="138"/>
      <c r="H183" s="139"/>
      <c r="I183" s="138"/>
      <c r="J183" s="138"/>
      <c r="K183" s="138"/>
      <c r="L183" s="138"/>
      <c r="M183" s="139"/>
      <c r="N183" s="138"/>
      <c r="O183" s="138"/>
      <c r="P183" s="138"/>
      <c r="Q183" s="139"/>
      <c r="R183" s="139"/>
      <c r="S183" s="212"/>
      <c r="T183" s="138"/>
    </row>
    <row r="184" spans="1:20" ht="34.950000000000003" customHeight="1" x14ac:dyDescent="0.3">
      <c r="A184" s="136"/>
      <c r="B184" s="212"/>
      <c r="C184" s="138"/>
      <c r="D184" s="138"/>
      <c r="E184" s="138"/>
      <c r="F184" s="138"/>
      <c r="G184" s="138"/>
      <c r="H184" s="139"/>
      <c r="I184" s="138"/>
      <c r="J184" s="138"/>
      <c r="K184" s="138"/>
      <c r="L184" s="138"/>
      <c r="M184" s="139"/>
      <c r="N184" s="138"/>
      <c r="O184" s="138"/>
      <c r="P184" s="138"/>
      <c r="Q184" s="139"/>
      <c r="R184" s="139"/>
      <c r="S184" s="212"/>
      <c r="T184" s="138"/>
    </row>
    <row r="185" spans="1:20" ht="34.950000000000003" customHeight="1" x14ac:dyDescent="0.3">
      <c r="A185" s="136"/>
      <c r="B185" s="212"/>
      <c r="C185" s="138"/>
      <c r="D185" s="138"/>
      <c r="E185" s="138"/>
      <c r="F185" s="138"/>
      <c r="G185" s="138"/>
      <c r="H185" s="139"/>
      <c r="I185" s="138"/>
      <c r="J185" s="138"/>
      <c r="K185" s="138"/>
      <c r="L185" s="138"/>
      <c r="M185" s="139"/>
      <c r="N185" s="138"/>
      <c r="O185" s="138"/>
      <c r="P185" s="138"/>
      <c r="Q185" s="139"/>
      <c r="R185" s="139"/>
      <c r="S185" s="212"/>
      <c r="T185" s="138"/>
    </row>
    <row r="186" spans="1:20" ht="34.950000000000003" customHeight="1" x14ac:dyDescent="0.3">
      <c r="A186" s="136"/>
      <c r="B186" s="212"/>
      <c r="C186" s="138"/>
      <c r="D186" s="138"/>
      <c r="E186" s="138"/>
      <c r="F186" s="138"/>
      <c r="G186" s="138"/>
      <c r="H186" s="139"/>
      <c r="I186" s="138"/>
      <c r="J186" s="138"/>
      <c r="K186" s="138"/>
      <c r="L186" s="138"/>
      <c r="M186" s="139"/>
      <c r="N186" s="138"/>
      <c r="O186" s="138"/>
      <c r="P186" s="138"/>
      <c r="Q186" s="139"/>
      <c r="R186" s="139"/>
      <c r="S186" s="212"/>
      <c r="T186" s="138"/>
    </row>
    <row r="187" spans="1:20" ht="34.950000000000003" customHeight="1" x14ac:dyDescent="0.3">
      <c r="A187" s="136"/>
      <c r="B187" s="212"/>
      <c r="C187" s="138"/>
      <c r="D187" s="138"/>
      <c r="E187" s="138"/>
      <c r="F187" s="138"/>
      <c r="G187" s="138"/>
      <c r="H187" s="139"/>
      <c r="I187" s="138"/>
      <c r="J187" s="138"/>
      <c r="K187" s="138"/>
      <c r="L187" s="138"/>
      <c r="M187" s="139"/>
      <c r="N187" s="138"/>
      <c r="O187" s="138"/>
      <c r="P187" s="138"/>
      <c r="Q187" s="139"/>
      <c r="R187" s="139"/>
      <c r="S187" s="212"/>
      <c r="T187" s="138"/>
    </row>
    <row r="188" spans="1:20" ht="34.950000000000003" customHeight="1" x14ac:dyDescent="0.3">
      <c r="A188" s="136"/>
      <c r="B188" s="212"/>
      <c r="C188" s="138"/>
      <c r="D188" s="138"/>
      <c r="E188" s="138"/>
      <c r="F188" s="138"/>
      <c r="G188" s="138"/>
      <c r="H188" s="139"/>
      <c r="I188" s="138"/>
      <c r="J188" s="138"/>
      <c r="K188" s="138"/>
      <c r="L188" s="138"/>
      <c r="M188" s="139"/>
      <c r="N188" s="138"/>
      <c r="O188" s="138"/>
      <c r="P188" s="138"/>
      <c r="Q188" s="139"/>
      <c r="R188" s="139"/>
      <c r="S188" s="212"/>
      <c r="T188" s="138"/>
    </row>
    <row r="189" spans="1:20" ht="34.950000000000003" customHeight="1" x14ac:dyDescent="0.3">
      <c r="A189" s="136"/>
      <c r="B189" s="212"/>
      <c r="C189" s="138"/>
      <c r="D189" s="138"/>
      <c r="E189" s="138"/>
      <c r="F189" s="138"/>
      <c r="G189" s="138"/>
      <c r="H189" s="139"/>
      <c r="I189" s="138"/>
      <c r="J189" s="138"/>
      <c r="K189" s="138"/>
      <c r="L189" s="138"/>
      <c r="M189" s="139"/>
      <c r="N189" s="138"/>
      <c r="O189" s="138"/>
      <c r="P189" s="138"/>
      <c r="Q189" s="139"/>
      <c r="R189" s="139"/>
      <c r="S189" s="212"/>
      <c r="T189" s="138"/>
    </row>
    <row r="190" spans="1:20" ht="34.950000000000003" customHeight="1" x14ac:dyDescent="0.3">
      <c r="A190" s="136"/>
      <c r="B190" s="212"/>
      <c r="C190" s="138"/>
      <c r="D190" s="138"/>
      <c r="E190" s="138"/>
      <c r="F190" s="138"/>
      <c r="G190" s="138"/>
      <c r="H190" s="139"/>
      <c r="I190" s="138"/>
      <c r="J190" s="138"/>
      <c r="K190" s="138"/>
      <c r="L190" s="138"/>
      <c r="M190" s="139"/>
      <c r="N190" s="138"/>
      <c r="O190" s="138"/>
      <c r="P190" s="138"/>
      <c r="Q190" s="139"/>
      <c r="R190" s="139"/>
      <c r="S190" s="212"/>
      <c r="T190" s="138"/>
    </row>
    <row r="191" spans="1:20" ht="34.950000000000003" customHeight="1" x14ac:dyDescent="0.3">
      <c r="A191" s="136"/>
      <c r="B191" s="212"/>
      <c r="C191" s="138"/>
      <c r="D191" s="138"/>
      <c r="E191" s="138"/>
      <c r="F191" s="138"/>
      <c r="G191" s="138"/>
      <c r="H191" s="139"/>
      <c r="I191" s="138"/>
      <c r="J191" s="138"/>
      <c r="K191" s="138"/>
      <c r="L191" s="138"/>
      <c r="M191" s="139"/>
      <c r="N191" s="138"/>
      <c r="O191" s="138"/>
      <c r="P191" s="138"/>
      <c r="Q191" s="139"/>
      <c r="R191" s="139"/>
      <c r="S191" s="212"/>
      <c r="T191" s="138"/>
    </row>
    <row r="192" spans="1:20" ht="34.950000000000003" customHeight="1" x14ac:dyDescent="0.3">
      <c r="A192" s="136"/>
      <c r="B192" s="212"/>
      <c r="C192" s="138"/>
      <c r="D192" s="138"/>
      <c r="E192" s="138"/>
      <c r="F192" s="138"/>
      <c r="G192" s="138"/>
      <c r="H192" s="139"/>
      <c r="I192" s="138"/>
      <c r="J192" s="138"/>
      <c r="K192" s="138"/>
      <c r="L192" s="138"/>
      <c r="M192" s="139"/>
      <c r="N192" s="138"/>
      <c r="O192" s="138"/>
      <c r="P192" s="138"/>
      <c r="Q192" s="139"/>
      <c r="R192" s="139"/>
      <c r="S192" s="212"/>
      <c r="T192" s="138"/>
    </row>
    <row r="193" spans="1:20" ht="34.950000000000003" customHeight="1" x14ac:dyDescent="0.3">
      <c r="A193" s="136"/>
      <c r="B193" s="212"/>
      <c r="C193" s="138"/>
      <c r="D193" s="138"/>
      <c r="E193" s="138"/>
      <c r="F193" s="138"/>
      <c r="G193" s="138"/>
      <c r="H193" s="139"/>
      <c r="I193" s="138"/>
      <c r="J193" s="138"/>
      <c r="K193" s="138"/>
      <c r="L193" s="138"/>
      <c r="M193" s="139"/>
      <c r="N193" s="138"/>
      <c r="O193" s="138"/>
      <c r="P193" s="138"/>
      <c r="Q193" s="139"/>
      <c r="R193" s="139"/>
      <c r="S193" s="212"/>
      <c r="T193" s="138"/>
    </row>
    <row r="194" spans="1:20" ht="34.950000000000003" customHeight="1" x14ac:dyDescent="0.3">
      <c r="A194" s="136"/>
      <c r="B194" s="212"/>
      <c r="C194" s="138"/>
      <c r="D194" s="138"/>
      <c r="E194" s="138"/>
      <c r="F194" s="138"/>
      <c r="G194" s="138"/>
      <c r="H194" s="139"/>
      <c r="I194" s="138"/>
      <c r="J194" s="138"/>
      <c r="K194" s="138"/>
      <c r="L194" s="138"/>
      <c r="M194" s="139"/>
      <c r="N194" s="138"/>
      <c r="O194" s="138"/>
      <c r="P194" s="138"/>
      <c r="Q194" s="139"/>
      <c r="R194" s="139"/>
      <c r="S194" s="212"/>
      <c r="T194" s="138"/>
    </row>
    <row r="195" spans="1:20" ht="34.950000000000003" customHeight="1" x14ac:dyDescent="0.3">
      <c r="A195" s="136"/>
      <c r="B195" s="212"/>
      <c r="C195" s="138"/>
      <c r="D195" s="138"/>
      <c r="E195" s="138"/>
      <c r="F195" s="138"/>
      <c r="G195" s="138"/>
      <c r="H195" s="139"/>
      <c r="I195" s="138"/>
      <c r="J195" s="138"/>
      <c r="K195" s="138"/>
      <c r="L195" s="138"/>
      <c r="M195" s="139"/>
      <c r="N195" s="138"/>
      <c r="O195" s="138"/>
      <c r="P195" s="138"/>
      <c r="Q195" s="139"/>
      <c r="R195" s="139"/>
      <c r="S195" s="212"/>
      <c r="T195" s="138"/>
    </row>
    <row r="196" spans="1:20" ht="34.950000000000003" customHeight="1" x14ac:dyDescent="0.3">
      <c r="A196" s="136"/>
      <c r="B196" s="212"/>
      <c r="C196" s="138"/>
      <c r="D196" s="138"/>
      <c r="E196" s="138"/>
      <c r="F196" s="138"/>
      <c r="G196" s="138"/>
      <c r="H196" s="139"/>
      <c r="I196" s="138"/>
      <c r="J196" s="138"/>
      <c r="K196" s="138"/>
      <c r="L196" s="138"/>
      <c r="M196" s="139"/>
      <c r="N196" s="138"/>
      <c r="O196" s="138"/>
      <c r="P196" s="138"/>
      <c r="Q196" s="139"/>
      <c r="R196" s="139"/>
      <c r="S196" s="212"/>
      <c r="T196" s="138"/>
    </row>
    <row r="197" spans="1:20" ht="34.950000000000003" customHeight="1" x14ac:dyDescent="0.3">
      <c r="A197" s="136"/>
      <c r="B197" s="212"/>
      <c r="C197" s="138"/>
      <c r="D197" s="138"/>
      <c r="E197" s="138"/>
      <c r="F197" s="138"/>
      <c r="G197" s="138"/>
      <c r="H197" s="139"/>
      <c r="I197" s="138"/>
      <c r="J197" s="138"/>
      <c r="K197" s="138"/>
      <c r="L197" s="138"/>
      <c r="M197" s="139"/>
      <c r="N197" s="138"/>
      <c r="O197" s="138"/>
      <c r="P197" s="138"/>
      <c r="Q197" s="139"/>
      <c r="R197" s="139"/>
      <c r="S197" s="212"/>
      <c r="T197" s="138"/>
    </row>
    <row r="198" spans="1:20" ht="34.950000000000003" customHeight="1" x14ac:dyDescent="0.3">
      <c r="A198" s="136"/>
      <c r="B198" s="212"/>
      <c r="C198" s="138"/>
      <c r="D198" s="138"/>
      <c r="E198" s="138"/>
      <c r="F198" s="138"/>
      <c r="G198" s="138"/>
      <c r="H198" s="139"/>
      <c r="I198" s="138"/>
      <c r="J198" s="138"/>
      <c r="K198" s="138"/>
      <c r="L198" s="138"/>
      <c r="M198" s="139"/>
      <c r="N198" s="138"/>
      <c r="O198" s="138"/>
      <c r="P198" s="138"/>
      <c r="Q198" s="139"/>
      <c r="R198" s="139"/>
      <c r="S198" s="212"/>
      <c r="T198" s="138"/>
    </row>
    <row r="199" spans="1:20" ht="34.950000000000003" customHeight="1" x14ac:dyDescent="0.3">
      <c r="A199" s="136"/>
      <c r="B199" s="212"/>
      <c r="C199" s="138"/>
      <c r="D199" s="138"/>
      <c r="E199" s="138"/>
      <c r="F199" s="138"/>
      <c r="G199" s="138"/>
      <c r="H199" s="139"/>
      <c r="I199" s="138"/>
      <c r="J199" s="138"/>
      <c r="K199" s="138"/>
      <c r="L199" s="138"/>
      <c r="M199" s="139"/>
      <c r="N199" s="138"/>
      <c r="O199" s="138"/>
      <c r="P199" s="138"/>
      <c r="Q199" s="139"/>
      <c r="R199" s="139"/>
      <c r="S199" s="212"/>
      <c r="T199" s="138"/>
    </row>
    <row r="200" spans="1:20" ht="34.950000000000003" customHeight="1" x14ac:dyDescent="0.3">
      <c r="A200" s="136"/>
      <c r="B200" s="212"/>
      <c r="C200" s="138"/>
      <c r="D200" s="138"/>
      <c r="E200" s="138"/>
      <c r="F200" s="138"/>
      <c r="G200" s="138"/>
      <c r="H200" s="139"/>
      <c r="I200" s="138"/>
      <c r="J200" s="138"/>
      <c r="K200" s="138"/>
      <c r="L200" s="138"/>
      <c r="M200" s="139"/>
      <c r="N200" s="138"/>
      <c r="O200" s="138"/>
      <c r="P200" s="138"/>
      <c r="Q200" s="139"/>
      <c r="R200" s="139"/>
      <c r="S200" s="212"/>
      <c r="T200" s="138"/>
    </row>
    <row r="201" spans="1:20" ht="34.950000000000003" customHeight="1" x14ac:dyDescent="0.3">
      <c r="A201" s="136"/>
      <c r="B201" s="212"/>
      <c r="C201" s="138"/>
      <c r="D201" s="138"/>
      <c r="E201" s="138"/>
      <c r="F201" s="138"/>
      <c r="G201" s="138"/>
      <c r="H201" s="139"/>
      <c r="I201" s="138"/>
      <c r="J201" s="138"/>
      <c r="K201" s="138"/>
      <c r="L201" s="138"/>
      <c r="M201" s="139"/>
      <c r="N201" s="138"/>
      <c r="O201" s="138"/>
      <c r="P201" s="138"/>
      <c r="Q201" s="139"/>
      <c r="R201" s="139"/>
      <c r="S201" s="212"/>
      <c r="T201" s="138"/>
    </row>
    <row r="202" spans="1:20" ht="34.950000000000003" customHeight="1" x14ac:dyDescent="0.3">
      <c r="A202" s="136"/>
      <c r="B202" s="212"/>
      <c r="C202" s="138"/>
      <c r="D202" s="138"/>
      <c r="E202" s="138"/>
      <c r="F202" s="138"/>
      <c r="G202" s="138"/>
      <c r="H202" s="139"/>
      <c r="I202" s="138"/>
      <c r="J202" s="138"/>
      <c r="K202" s="138"/>
      <c r="L202" s="138"/>
      <c r="M202" s="139"/>
      <c r="N202" s="138"/>
      <c r="O202" s="138"/>
      <c r="P202" s="138"/>
      <c r="Q202" s="139"/>
      <c r="R202" s="139"/>
      <c r="S202" s="212"/>
      <c r="T202" s="138"/>
    </row>
    <row r="203" spans="1:20" ht="34.950000000000003" customHeight="1" x14ac:dyDescent="0.3">
      <c r="A203" s="136"/>
      <c r="B203" s="212"/>
      <c r="C203" s="138"/>
      <c r="D203" s="138"/>
      <c r="E203" s="138"/>
      <c r="F203" s="138"/>
      <c r="G203" s="138"/>
      <c r="H203" s="139"/>
      <c r="I203" s="138"/>
      <c r="J203" s="138"/>
      <c r="K203" s="138"/>
      <c r="L203" s="138"/>
      <c r="M203" s="139"/>
      <c r="N203" s="138"/>
      <c r="O203" s="138"/>
      <c r="P203" s="138"/>
      <c r="Q203" s="139"/>
      <c r="R203" s="139"/>
      <c r="S203" s="212"/>
      <c r="T203" s="138"/>
    </row>
    <row r="204" spans="1:20" ht="34.950000000000003" customHeight="1" x14ac:dyDescent="0.3">
      <c r="A204" s="136"/>
      <c r="B204" s="212"/>
      <c r="C204" s="138"/>
      <c r="D204" s="138"/>
      <c r="E204" s="138"/>
      <c r="F204" s="138"/>
      <c r="G204" s="138"/>
      <c r="H204" s="139"/>
      <c r="I204" s="138"/>
      <c r="J204" s="138"/>
      <c r="K204" s="138"/>
      <c r="L204" s="138"/>
      <c r="M204" s="139"/>
      <c r="N204" s="138"/>
      <c r="O204" s="138"/>
      <c r="P204" s="138"/>
      <c r="Q204" s="139"/>
      <c r="R204" s="139"/>
      <c r="S204" s="212"/>
      <c r="T204" s="138"/>
    </row>
    <row r="205" spans="1:20" ht="34.950000000000003" customHeight="1" x14ac:dyDescent="0.3">
      <c r="A205" s="136"/>
      <c r="B205" s="212"/>
      <c r="C205" s="138"/>
      <c r="D205" s="138"/>
      <c r="E205" s="138"/>
      <c r="F205" s="138"/>
      <c r="G205" s="138"/>
      <c r="H205" s="139"/>
      <c r="I205" s="138"/>
      <c r="J205" s="138"/>
      <c r="K205" s="138"/>
      <c r="L205" s="138"/>
      <c r="M205" s="139"/>
      <c r="N205" s="138"/>
      <c r="O205" s="138"/>
      <c r="P205" s="138"/>
      <c r="Q205" s="139"/>
      <c r="R205" s="139"/>
      <c r="S205" s="212"/>
      <c r="T205" s="138"/>
    </row>
    <row r="206" spans="1:20" ht="34.950000000000003" customHeight="1" x14ac:dyDescent="0.3">
      <c r="A206" s="136"/>
      <c r="B206" s="212"/>
      <c r="C206" s="138"/>
      <c r="D206" s="138"/>
      <c r="E206" s="138"/>
      <c r="F206" s="138"/>
      <c r="G206" s="138"/>
      <c r="H206" s="139"/>
      <c r="I206" s="138"/>
      <c r="J206" s="138"/>
      <c r="K206" s="138"/>
      <c r="L206" s="138"/>
      <c r="M206" s="139"/>
      <c r="N206" s="138"/>
      <c r="O206" s="138"/>
      <c r="P206" s="138"/>
      <c r="Q206" s="139"/>
      <c r="R206" s="139"/>
      <c r="S206" s="212"/>
      <c r="T206" s="138"/>
    </row>
    <row r="207" spans="1:20" ht="34.950000000000003" customHeight="1" x14ac:dyDescent="0.3">
      <c r="A207" s="136"/>
      <c r="B207" s="212"/>
      <c r="C207" s="138"/>
      <c r="D207" s="138"/>
      <c r="E207" s="138"/>
      <c r="F207" s="138"/>
      <c r="G207" s="138"/>
      <c r="H207" s="139"/>
      <c r="I207" s="138"/>
      <c r="J207" s="138"/>
      <c r="K207" s="138"/>
      <c r="L207" s="138"/>
      <c r="M207" s="139"/>
      <c r="N207" s="138"/>
      <c r="O207" s="138"/>
      <c r="P207" s="138"/>
      <c r="Q207" s="139"/>
      <c r="R207" s="139"/>
      <c r="S207" s="212"/>
      <c r="T207" s="138"/>
    </row>
    <row r="208" spans="1:20" ht="34.950000000000003" customHeight="1" x14ac:dyDescent="0.3">
      <c r="A208" s="136"/>
      <c r="B208" s="212"/>
      <c r="C208" s="138"/>
      <c r="D208" s="138"/>
      <c r="E208" s="138"/>
      <c r="F208" s="138"/>
      <c r="G208" s="138"/>
      <c r="H208" s="139"/>
      <c r="I208" s="138"/>
      <c r="J208" s="138"/>
      <c r="K208" s="138"/>
      <c r="L208" s="138"/>
      <c r="M208" s="139"/>
      <c r="N208" s="138"/>
      <c r="O208" s="138"/>
      <c r="P208" s="138"/>
      <c r="Q208" s="139"/>
      <c r="R208" s="139"/>
      <c r="S208" s="212"/>
      <c r="T208" s="138"/>
    </row>
    <row r="209" spans="1:20" ht="34.950000000000003" customHeight="1" x14ac:dyDescent="0.3">
      <c r="A209" s="136"/>
      <c r="B209" s="212"/>
      <c r="C209" s="138"/>
      <c r="D209" s="138"/>
      <c r="E209" s="138"/>
      <c r="F209" s="138"/>
      <c r="G209" s="138"/>
      <c r="H209" s="139"/>
      <c r="I209" s="138"/>
      <c r="J209" s="138"/>
      <c r="K209" s="138"/>
      <c r="L209" s="138"/>
      <c r="M209" s="139"/>
      <c r="N209" s="138"/>
      <c r="O209" s="138"/>
      <c r="P209" s="138"/>
      <c r="Q209" s="139"/>
      <c r="R209" s="139"/>
      <c r="S209" s="212"/>
      <c r="T209" s="138"/>
    </row>
    <row r="210" spans="1:20" ht="34.950000000000003" customHeight="1" x14ac:dyDescent="0.3">
      <c r="A210" s="136"/>
      <c r="B210" s="212"/>
      <c r="C210" s="138"/>
      <c r="D210" s="138"/>
      <c r="E210" s="138"/>
      <c r="F210" s="138"/>
      <c r="G210" s="138"/>
      <c r="H210" s="139"/>
      <c r="I210" s="138"/>
      <c r="J210" s="138"/>
      <c r="K210" s="138"/>
      <c r="L210" s="138"/>
      <c r="M210" s="139"/>
      <c r="N210" s="138"/>
      <c r="O210" s="138"/>
      <c r="P210" s="138"/>
      <c r="Q210" s="139"/>
      <c r="R210" s="139"/>
      <c r="S210" s="212"/>
      <c r="T210" s="138"/>
    </row>
    <row r="211" spans="1:20" ht="34.950000000000003" customHeight="1" x14ac:dyDescent="0.3">
      <c r="A211" s="136"/>
      <c r="B211" s="212"/>
      <c r="C211" s="138"/>
      <c r="D211" s="138"/>
      <c r="E211" s="138"/>
      <c r="F211" s="138"/>
      <c r="G211" s="138"/>
      <c r="H211" s="139"/>
      <c r="I211" s="138"/>
      <c r="J211" s="138"/>
      <c r="K211" s="138"/>
      <c r="L211" s="138"/>
      <c r="M211" s="139"/>
      <c r="N211" s="138"/>
      <c r="O211" s="138"/>
      <c r="P211" s="138"/>
      <c r="Q211" s="139"/>
      <c r="R211" s="139"/>
      <c r="S211" s="212"/>
      <c r="T211" s="138"/>
    </row>
    <row r="212" spans="1:20" ht="34.950000000000003" customHeight="1" x14ac:dyDescent="0.3">
      <c r="A212" s="136"/>
      <c r="B212" s="212"/>
      <c r="C212" s="138"/>
      <c r="D212" s="138"/>
      <c r="E212" s="138"/>
      <c r="F212" s="138"/>
      <c r="G212" s="138"/>
      <c r="H212" s="139"/>
      <c r="I212" s="138"/>
      <c r="J212" s="138"/>
      <c r="K212" s="138"/>
      <c r="L212" s="138"/>
      <c r="M212" s="139"/>
      <c r="N212" s="138"/>
      <c r="O212" s="138"/>
      <c r="P212" s="138"/>
      <c r="Q212" s="139"/>
      <c r="R212" s="139"/>
      <c r="S212" s="212"/>
      <c r="T212" s="138"/>
    </row>
    <row r="213" spans="1:20" ht="34.950000000000003" customHeight="1" x14ac:dyDescent="0.3">
      <c r="A213" s="136"/>
      <c r="B213" s="212"/>
      <c r="C213" s="138"/>
      <c r="D213" s="138"/>
      <c r="E213" s="138"/>
      <c r="F213" s="138"/>
      <c r="G213" s="138"/>
      <c r="H213" s="139"/>
      <c r="I213" s="138"/>
      <c r="J213" s="138"/>
      <c r="K213" s="138"/>
      <c r="L213" s="138"/>
      <c r="M213" s="139"/>
      <c r="N213" s="138"/>
      <c r="O213" s="138"/>
      <c r="P213" s="138"/>
      <c r="Q213" s="139"/>
      <c r="R213" s="139"/>
      <c r="S213" s="212"/>
      <c r="T213" s="138"/>
    </row>
    <row r="214" spans="1:20" ht="34.950000000000003" customHeight="1" x14ac:dyDescent="0.3">
      <c r="A214" s="136"/>
      <c r="B214" s="212"/>
      <c r="C214" s="138"/>
      <c r="D214" s="138"/>
      <c r="E214" s="138"/>
      <c r="F214" s="138"/>
      <c r="G214" s="138"/>
      <c r="H214" s="139"/>
      <c r="I214" s="138"/>
      <c r="J214" s="138"/>
      <c r="K214" s="138"/>
      <c r="L214" s="138"/>
      <c r="M214" s="139"/>
      <c r="N214" s="138"/>
      <c r="O214" s="138"/>
      <c r="P214" s="138"/>
      <c r="Q214" s="139"/>
      <c r="R214" s="139"/>
      <c r="S214" s="212"/>
      <c r="T214" s="138"/>
    </row>
    <row r="215" spans="1:20" ht="34.950000000000003" customHeight="1" x14ac:dyDescent="0.3">
      <c r="A215" s="136"/>
      <c r="B215" s="212"/>
      <c r="C215" s="138"/>
      <c r="D215" s="138"/>
      <c r="E215" s="138"/>
      <c r="F215" s="138"/>
      <c r="G215" s="138"/>
      <c r="H215" s="139"/>
      <c r="I215" s="138"/>
      <c r="J215" s="138"/>
      <c r="K215" s="138"/>
      <c r="L215" s="138"/>
      <c r="M215" s="139"/>
      <c r="N215" s="138"/>
      <c r="O215" s="138"/>
      <c r="P215" s="138"/>
      <c r="Q215" s="139"/>
      <c r="R215" s="139"/>
      <c r="S215" s="212"/>
      <c r="T215" s="138"/>
    </row>
    <row r="216" spans="1:20" ht="34.950000000000003" customHeight="1" x14ac:dyDescent="0.3">
      <c r="A216" s="136"/>
      <c r="B216" s="212"/>
      <c r="C216" s="138"/>
      <c r="D216" s="138"/>
      <c r="E216" s="138"/>
      <c r="F216" s="138"/>
      <c r="G216" s="138"/>
      <c r="H216" s="139"/>
      <c r="I216" s="138"/>
      <c r="J216" s="138"/>
      <c r="K216" s="138"/>
      <c r="L216" s="138"/>
      <c r="M216" s="139"/>
      <c r="N216" s="138"/>
      <c r="O216" s="138"/>
      <c r="P216" s="138"/>
      <c r="Q216" s="139"/>
      <c r="R216" s="139"/>
      <c r="S216" s="212"/>
      <c r="T216" s="138"/>
    </row>
    <row r="217" spans="1:20" ht="34.950000000000003" customHeight="1" x14ac:dyDescent="0.3">
      <c r="A217" s="136"/>
      <c r="B217" s="212"/>
      <c r="C217" s="138"/>
      <c r="D217" s="138"/>
      <c r="E217" s="138"/>
      <c r="F217" s="138"/>
      <c r="G217" s="138"/>
      <c r="H217" s="139"/>
      <c r="I217" s="138"/>
      <c r="J217" s="138"/>
      <c r="K217" s="138"/>
      <c r="L217" s="138"/>
      <c r="M217" s="139"/>
      <c r="N217" s="138"/>
      <c r="O217" s="138"/>
      <c r="P217" s="138"/>
      <c r="Q217" s="139"/>
      <c r="R217" s="139"/>
      <c r="S217" s="212"/>
      <c r="T217" s="138"/>
    </row>
    <row r="218" spans="1:20" ht="34.950000000000003" customHeight="1" x14ac:dyDescent="0.3">
      <c r="A218" s="136"/>
      <c r="B218" s="212"/>
      <c r="C218" s="138"/>
      <c r="D218" s="138"/>
      <c r="E218" s="138"/>
      <c r="F218" s="138"/>
      <c r="G218" s="138"/>
      <c r="H218" s="139"/>
      <c r="I218" s="138"/>
      <c r="J218" s="138"/>
      <c r="K218" s="138"/>
      <c r="L218" s="138"/>
      <c r="M218" s="139"/>
      <c r="N218" s="138"/>
      <c r="O218" s="138"/>
      <c r="P218" s="138"/>
      <c r="Q218" s="139"/>
      <c r="R218" s="139"/>
      <c r="S218" s="212"/>
      <c r="T218" s="138"/>
    </row>
    <row r="219" spans="1:20" ht="34.950000000000003" customHeight="1" x14ac:dyDescent="0.3">
      <c r="A219" s="136"/>
      <c r="B219" s="212"/>
      <c r="C219" s="138"/>
      <c r="D219" s="138"/>
      <c r="E219" s="138"/>
      <c r="F219" s="138"/>
      <c r="G219" s="138"/>
      <c r="H219" s="139"/>
      <c r="I219" s="138"/>
      <c r="J219" s="138"/>
      <c r="K219" s="138"/>
      <c r="L219" s="138"/>
      <c r="M219" s="139"/>
      <c r="N219" s="138"/>
      <c r="O219" s="138"/>
      <c r="P219" s="138"/>
      <c r="Q219" s="139"/>
      <c r="R219" s="139"/>
      <c r="S219" s="212"/>
      <c r="T219" s="138"/>
    </row>
    <row r="220" spans="1:20" ht="34.950000000000003" customHeight="1" x14ac:dyDescent="0.3">
      <c r="A220" s="136"/>
      <c r="B220" s="212"/>
      <c r="C220" s="138"/>
      <c r="D220" s="138"/>
      <c r="E220" s="138"/>
      <c r="F220" s="138"/>
      <c r="G220" s="138"/>
      <c r="H220" s="139"/>
      <c r="I220" s="138"/>
      <c r="J220" s="138"/>
      <c r="K220" s="138"/>
      <c r="L220" s="138"/>
      <c r="M220" s="139"/>
      <c r="N220" s="138"/>
      <c r="O220" s="138"/>
      <c r="P220" s="138"/>
      <c r="Q220" s="139"/>
      <c r="R220" s="139"/>
      <c r="S220" s="212"/>
      <c r="T220" s="138"/>
    </row>
    <row r="221" spans="1:20" ht="34.950000000000003" customHeight="1" x14ac:dyDescent="0.3">
      <c r="A221" s="136"/>
      <c r="B221" s="212"/>
      <c r="C221" s="138"/>
      <c r="D221" s="138"/>
      <c r="E221" s="138"/>
      <c r="F221" s="138"/>
      <c r="G221" s="138"/>
      <c r="H221" s="139"/>
      <c r="I221" s="138"/>
      <c r="J221" s="138"/>
      <c r="K221" s="138"/>
      <c r="L221" s="138"/>
      <c r="M221" s="139"/>
      <c r="N221" s="138"/>
      <c r="O221" s="138"/>
      <c r="P221" s="138"/>
      <c r="Q221" s="139"/>
      <c r="R221" s="139"/>
      <c r="S221" s="212"/>
      <c r="T221" s="138"/>
    </row>
    <row r="222" spans="1:20" ht="34.950000000000003" customHeight="1" x14ac:dyDescent="0.3">
      <c r="A222" s="136"/>
      <c r="B222" s="212"/>
      <c r="C222" s="138"/>
      <c r="D222" s="138"/>
      <c r="E222" s="138"/>
      <c r="F222" s="138"/>
      <c r="G222" s="138"/>
      <c r="H222" s="139"/>
      <c r="I222" s="138"/>
      <c r="J222" s="138"/>
      <c r="K222" s="138"/>
      <c r="L222" s="138"/>
      <c r="M222" s="139"/>
      <c r="N222" s="138"/>
      <c r="O222" s="138"/>
      <c r="P222" s="138"/>
      <c r="Q222" s="139"/>
      <c r="R222" s="139"/>
      <c r="S222" s="212"/>
      <c r="T222" s="138"/>
    </row>
    <row r="223" spans="1:20" ht="34.950000000000003" customHeight="1" x14ac:dyDescent="0.3">
      <c r="A223" s="136"/>
      <c r="B223" s="212"/>
      <c r="C223" s="138"/>
      <c r="D223" s="138"/>
      <c r="E223" s="138"/>
      <c r="F223" s="138"/>
      <c r="G223" s="138"/>
      <c r="H223" s="139"/>
      <c r="I223" s="138"/>
      <c r="J223" s="138"/>
      <c r="K223" s="138"/>
      <c r="L223" s="138"/>
      <c r="M223" s="139"/>
      <c r="N223" s="138"/>
      <c r="O223" s="138"/>
      <c r="P223" s="138"/>
      <c r="Q223" s="139"/>
      <c r="R223" s="139"/>
      <c r="S223" s="212"/>
      <c r="T223" s="138"/>
    </row>
    <row r="224" spans="1:20" ht="34.950000000000003" customHeight="1" x14ac:dyDescent="0.3">
      <c r="A224" s="136"/>
      <c r="B224" s="212"/>
      <c r="C224" s="138"/>
      <c r="D224" s="138"/>
      <c r="E224" s="138"/>
      <c r="F224" s="138"/>
      <c r="G224" s="138"/>
      <c r="H224" s="139"/>
      <c r="I224" s="138"/>
      <c r="J224" s="138"/>
      <c r="K224" s="138"/>
      <c r="L224" s="138"/>
      <c r="M224" s="139"/>
      <c r="N224" s="138"/>
      <c r="O224" s="138"/>
      <c r="P224" s="138"/>
      <c r="Q224" s="139"/>
      <c r="R224" s="139"/>
      <c r="S224" s="212"/>
      <c r="T224" s="138"/>
    </row>
    <row r="225" spans="1:20" ht="34.950000000000003" customHeight="1" x14ac:dyDescent="0.3">
      <c r="A225" s="136"/>
      <c r="B225" s="212"/>
      <c r="C225" s="138"/>
      <c r="D225" s="138"/>
      <c r="E225" s="138"/>
      <c r="F225" s="138"/>
      <c r="G225" s="138"/>
      <c r="H225" s="139"/>
      <c r="I225" s="138"/>
      <c r="J225" s="138"/>
      <c r="K225" s="138"/>
      <c r="L225" s="138"/>
      <c r="M225" s="139"/>
      <c r="N225" s="138"/>
      <c r="O225" s="138"/>
      <c r="P225" s="138"/>
      <c r="Q225" s="139"/>
      <c r="R225" s="139"/>
      <c r="S225" s="212"/>
      <c r="T225" s="138"/>
    </row>
    <row r="226" spans="1:20" ht="34.950000000000003" customHeight="1" x14ac:dyDescent="0.3">
      <c r="A226" s="136"/>
      <c r="B226" s="212"/>
      <c r="C226" s="138"/>
      <c r="D226" s="138"/>
      <c r="E226" s="138"/>
      <c r="F226" s="138"/>
      <c r="G226" s="138"/>
      <c r="H226" s="139"/>
      <c r="I226" s="138"/>
      <c r="J226" s="138"/>
      <c r="K226" s="138"/>
      <c r="L226" s="138"/>
      <c r="M226" s="139"/>
      <c r="N226" s="138"/>
      <c r="O226" s="138"/>
      <c r="P226" s="138"/>
      <c r="Q226" s="139"/>
      <c r="R226" s="139"/>
      <c r="S226" s="212"/>
      <c r="T226" s="138"/>
    </row>
    <row r="227" spans="1:20" ht="34.950000000000003" customHeight="1" x14ac:dyDescent="0.3">
      <c r="A227" s="136"/>
      <c r="B227" s="212"/>
      <c r="C227" s="138"/>
      <c r="D227" s="138"/>
      <c r="E227" s="138"/>
      <c r="F227" s="138"/>
      <c r="G227" s="138"/>
      <c r="H227" s="139"/>
      <c r="I227" s="138"/>
      <c r="J227" s="138"/>
      <c r="K227" s="138"/>
      <c r="L227" s="138"/>
      <c r="M227" s="139"/>
      <c r="N227" s="138"/>
      <c r="O227" s="138"/>
      <c r="P227" s="138"/>
      <c r="Q227" s="139"/>
      <c r="R227" s="139"/>
      <c r="S227" s="212"/>
      <c r="T227" s="138"/>
    </row>
    <row r="228" spans="1:20" ht="34.950000000000003" customHeight="1" x14ac:dyDescent="0.3">
      <c r="A228" s="136"/>
      <c r="B228" s="212"/>
      <c r="C228" s="138"/>
      <c r="D228" s="138"/>
      <c r="E228" s="138"/>
      <c r="F228" s="138"/>
      <c r="G228" s="138"/>
      <c r="H228" s="139"/>
      <c r="I228" s="138"/>
      <c r="J228" s="138"/>
      <c r="K228" s="138"/>
      <c r="L228" s="138"/>
      <c r="M228" s="139"/>
      <c r="N228" s="138"/>
      <c r="O228" s="138"/>
      <c r="P228" s="138"/>
      <c r="Q228" s="139"/>
      <c r="R228" s="139"/>
      <c r="S228" s="212"/>
      <c r="T228" s="138"/>
    </row>
    <row r="229" spans="1:20" ht="34.950000000000003" customHeight="1" x14ac:dyDescent="0.3">
      <c r="A229" s="136"/>
      <c r="B229" s="212"/>
      <c r="C229" s="138"/>
      <c r="D229" s="138"/>
      <c r="E229" s="138"/>
      <c r="F229" s="138"/>
      <c r="G229" s="138"/>
      <c r="H229" s="139"/>
      <c r="I229" s="138"/>
      <c r="J229" s="138"/>
      <c r="K229" s="138"/>
      <c r="L229" s="138"/>
      <c r="M229" s="139"/>
      <c r="N229" s="138"/>
      <c r="O229" s="138"/>
      <c r="P229" s="138"/>
      <c r="Q229" s="139"/>
      <c r="R229" s="139"/>
      <c r="S229" s="212"/>
      <c r="T229" s="138"/>
    </row>
    <row r="230" spans="1:20" ht="34.950000000000003" customHeight="1" x14ac:dyDescent="0.3">
      <c r="A230" s="136"/>
      <c r="B230" s="212"/>
      <c r="C230" s="138"/>
      <c r="D230" s="138"/>
      <c r="E230" s="138"/>
      <c r="F230" s="138"/>
      <c r="G230" s="138"/>
      <c r="H230" s="139"/>
      <c r="I230" s="138"/>
      <c r="J230" s="138"/>
      <c r="K230" s="138"/>
      <c r="L230" s="138"/>
      <c r="M230" s="139"/>
      <c r="N230" s="138"/>
      <c r="O230" s="138"/>
      <c r="P230" s="138"/>
      <c r="Q230" s="139"/>
      <c r="R230" s="139"/>
      <c r="S230" s="212"/>
      <c r="T230" s="138"/>
    </row>
    <row r="231" spans="1:20" ht="34.950000000000003" customHeight="1" x14ac:dyDescent="0.3">
      <c r="A231" s="136"/>
      <c r="B231" s="212"/>
      <c r="C231" s="138"/>
      <c r="D231" s="138"/>
      <c r="E231" s="138"/>
      <c r="F231" s="138"/>
      <c r="G231" s="138"/>
      <c r="H231" s="139"/>
      <c r="I231" s="138"/>
      <c r="J231" s="138"/>
      <c r="K231" s="138"/>
      <c r="L231" s="138"/>
      <c r="M231" s="139"/>
      <c r="N231" s="138"/>
      <c r="O231" s="138"/>
      <c r="P231" s="138"/>
      <c r="Q231" s="139"/>
      <c r="R231" s="139"/>
      <c r="S231" s="212"/>
      <c r="T231" s="138"/>
    </row>
    <row r="232" spans="1:20" ht="34.950000000000003" customHeight="1" x14ac:dyDescent="0.3">
      <c r="A232" s="136"/>
      <c r="B232" s="212"/>
      <c r="C232" s="138"/>
      <c r="D232" s="138"/>
      <c r="E232" s="138"/>
      <c r="F232" s="138"/>
      <c r="G232" s="138"/>
      <c r="H232" s="139"/>
      <c r="I232" s="138"/>
      <c r="J232" s="138"/>
      <c r="K232" s="138"/>
      <c r="L232" s="138"/>
      <c r="M232" s="139"/>
      <c r="N232" s="138"/>
      <c r="O232" s="138"/>
      <c r="P232" s="138"/>
      <c r="Q232" s="139"/>
      <c r="R232" s="139"/>
      <c r="S232" s="212"/>
      <c r="T232" s="138"/>
    </row>
    <row r="233" spans="1:20" ht="34.950000000000003" customHeight="1" x14ac:dyDescent="0.3">
      <c r="A233" s="136"/>
      <c r="B233" s="212"/>
      <c r="C233" s="138"/>
      <c r="D233" s="138"/>
      <c r="E233" s="138"/>
      <c r="F233" s="138"/>
      <c r="G233" s="138"/>
      <c r="H233" s="139"/>
      <c r="I233" s="138"/>
      <c r="J233" s="138"/>
      <c r="K233" s="138"/>
      <c r="L233" s="138"/>
      <c r="M233" s="139"/>
      <c r="N233" s="138"/>
      <c r="O233" s="138"/>
      <c r="P233" s="138"/>
      <c r="Q233" s="139"/>
      <c r="R233" s="139"/>
      <c r="S233" s="212"/>
      <c r="T233" s="138"/>
    </row>
    <row r="234" spans="1:20" ht="34.950000000000003" customHeight="1" x14ac:dyDescent="0.3">
      <c r="A234" s="136"/>
      <c r="B234" s="212"/>
      <c r="C234" s="138"/>
      <c r="D234" s="138"/>
      <c r="E234" s="138"/>
      <c r="F234" s="138"/>
      <c r="G234" s="138"/>
      <c r="H234" s="139"/>
      <c r="I234" s="138"/>
      <c r="J234" s="138"/>
      <c r="K234" s="138"/>
      <c r="L234" s="138"/>
      <c r="M234" s="139"/>
      <c r="N234" s="138"/>
      <c r="O234" s="138"/>
      <c r="P234" s="138"/>
      <c r="Q234" s="139"/>
      <c r="R234" s="139"/>
      <c r="S234" s="212"/>
      <c r="T234" s="138"/>
    </row>
    <row r="235" spans="1:20" ht="34.950000000000003" customHeight="1" x14ac:dyDescent="0.3">
      <c r="A235" s="136"/>
      <c r="B235" s="212"/>
      <c r="C235" s="138"/>
      <c r="D235" s="138"/>
      <c r="E235" s="138"/>
      <c r="F235" s="138"/>
      <c r="G235" s="138"/>
      <c r="H235" s="139"/>
      <c r="I235" s="138"/>
      <c r="J235" s="138"/>
      <c r="K235" s="138"/>
      <c r="L235" s="138"/>
      <c r="M235" s="139"/>
      <c r="N235" s="138"/>
      <c r="O235" s="138"/>
      <c r="P235" s="138"/>
      <c r="Q235" s="139"/>
      <c r="R235" s="139"/>
      <c r="S235" s="212"/>
      <c r="T235" s="138"/>
    </row>
    <row r="236" spans="1:20" ht="34.950000000000003" customHeight="1" x14ac:dyDescent="0.3">
      <c r="A236" s="136"/>
      <c r="B236" s="212"/>
      <c r="C236" s="138"/>
      <c r="D236" s="138"/>
      <c r="E236" s="138"/>
      <c r="F236" s="138"/>
      <c r="G236" s="138"/>
      <c r="H236" s="139"/>
      <c r="I236" s="138"/>
      <c r="J236" s="138"/>
      <c r="K236" s="138"/>
      <c r="L236" s="138"/>
      <c r="M236" s="139"/>
      <c r="N236" s="138"/>
      <c r="O236" s="138"/>
      <c r="P236" s="138"/>
      <c r="Q236" s="139"/>
      <c r="R236" s="139"/>
      <c r="S236" s="212"/>
      <c r="T236" s="138"/>
    </row>
    <row r="237" spans="1:20" ht="34.950000000000003" customHeight="1" x14ac:dyDescent="0.3">
      <c r="A237" s="136"/>
      <c r="B237" s="212"/>
      <c r="C237" s="138"/>
      <c r="D237" s="138"/>
      <c r="E237" s="138"/>
      <c r="F237" s="138"/>
      <c r="G237" s="138"/>
      <c r="H237" s="139"/>
      <c r="I237" s="138"/>
      <c r="J237" s="138"/>
      <c r="K237" s="138"/>
      <c r="L237" s="138"/>
      <c r="M237" s="139"/>
      <c r="N237" s="138"/>
      <c r="O237" s="138"/>
      <c r="P237" s="138"/>
      <c r="Q237" s="139"/>
      <c r="R237" s="139"/>
      <c r="S237" s="212"/>
      <c r="T237" s="138"/>
    </row>
    <row r="238" spans="1:20" ht="34.950000000000003" customHeight="1" x14ac:dyDescent="0.3">
      <c r="A238" s="136"/>
      <c r="B238" s="212"/>
      <c r="C238" s="138"/>
      <c r="D238" s="138"/>
      <c r="E238" s="138"/>
      <c r="F238" s="138"/>
      <c r="G238" s="138"/>
      <c r="H238" s="139"/>
      <c r="I238" s="138"/>
      <c r="J238" s="138"/>
      <c r="K238" s="138"/>
      <c r="L238" s="138"/>
      <c r="M238" s="139"/>
      <c r="N238" s="138"/>
      <c r="O238" s="138"/>
      <c r="P238" s="138"/>
      <c r="Q238" s="139"/>
      <c r="R238" s="139"/>
      <c r="S238" s="212"/>
      <c r="T238" s="138"/>
    </row>
    <row r="239" spans="1:20" ht="34.950000000000003" customHeight="1" x14ac:dyDescent="0.3">
      <c r="A239" s="136"/>
      <c r="B239" s="212"/>
      <c r="C239" s="138"/>
      <c r="D239" s="138"/>
      <c r="E239" s="138"/>
      <c r="F239" s="138"/>
      <c r="G239" s="138"/>
      <c r="H239" s="139"/>
      <c r="I239" s="138"/>
      <c r="J239" s="138"/>
      <c r="K239" s="138"/>
      <c r="L239" s="138"/>
      <c r="M239" s="139"/>
      <c r="N239" s="138"/>
      <c r="O239" s="138"/>
      <c r="P239" s="138"/>
      <c r="Q239" s="139"/>
      <c r="R239" s="139"/>
      <c r="S239" s="212"/>
      <c r="T239" s="138"/>
    </row>
    <row r="240" spans="1:20" ht="34.950000000000003" customHeight="1" x14ac:dyDescent="0.3">
      <c r="A240" s="136"/>
      <c r="B240" s="212"/>
      <c r="C240" s="138"/>
      <c r="D240" s="138"/>
      <c r="E240" s="138"/>
      <c r="F240" s="138"/>
      <c r="G240" s="138"/>
      <c r="H240" s="139"/>
      <c r="I240" s="138"/>
      <c r="J240" s="138"/>
      <c r="K240" s="138"/>
      <c r="L240" s="138"/>
      <c r="M240" s="139"/>
      <c r="N240" s="138"/>
      <c r="O240" s="138"/>
      <c r="P240" s="138"/>
      <c r="Q240" s="139"/>
      <c r="R240" s="139"/>
      <c r="S240" s="212"/>
      <c r="T240" s="138"/>
    </row>
    <row r="241" spans="1:20" ht="34.950000000000003" customHeight="1" x14ac:dyDescent="0.3">
      <c r="A241" s="136"/>
      <c r="B241" s="212"/>
      <c r="C241" s="138"/>
      <c r="D241" s="138"/>
      <c r="E241" s="138"/>
      <c r="F241" s="138"/>
      <c r="G241" s="138"/>
      <c r="H241" s="139"/>
      <c r="I241" s="138"/>
      <c r="J241" s="138"/>
      <c r="K241" s="138"/>
      <c r="L241" s="138"/>
      <c r="M241" s="139"/>
      <c r="N241" s="138"/>
      <c r="O241" s="138"/>
      <c r="P241" s="138"/>
      <c r="Q241" s="139"/>
      <c r="R241" s="139"/>
      <c r="S241" s="212"/>
      <c r="T241" s="138"/>
    </row>
    <row r="242" spans="1:20" ht="34.950000000000003" customHeight="1" x14ac:dyDescent="0.3">
      <c r="A242" s="136"/>
      <c r="B242" s="212"/>
      <c r="C242" s="138"/>
      <c r="D242" s="138"/>
      <c r="E242" s="138"/>
      <c r="F242" s="138"/>
      <c r="G242" s="138"/>
      <c r="H242" s="139"/>
      <c r="I242" s="138"/>
      <c r="J242" s="138"/>
      <c r="K242" s="138"/>
      <c r="L242" s="138"/>
      <c r="M242" s="139"/>
      <c r="N242" s="138"/>
      <c r="O242" s="138"/>
      <c r="P242" s="138"/>
      <c r="Q242" s="139"/>
      <c r="R242" s="139"/>
      <c r="S242" s="212"/>
      <c r="T242" s="138"/>
    </row>
    <row r="243" spans="1:20" ht="34.950000000000003" customHeight="1" x14ac:dyDescent="0.3">
      <c r="A243" s="136"/>
      <c r="B243" s="212"/>
      <c r="C243" s="138"/>
      <c r="D243" s="138"/>
      <c r="E243" s="138"/>
      <c r="F243" s="138"/>
      <c r="G243" s="138"/>
      <c r="H243" s="139"/>
      <c r="I243" s="138"/>
      <c r="J243" s="138"/>
      <c r="K243" s="138"/>
      <c r="L243" s="138"/>
      <c r="M243" s="139"/>
      <c r="N243" s="138"/>
      <c r="O243" s="138"/>
      <c r="P243" s="138"/>
      <c r="Q243" s="139"/>
      <c r="R243" s="139"/>
      <c r="S243" s="212"/>
      <c r="T243" s="138"/>
    </row>
    <row r="244" spans="1:20" ht="34.950000000000003" customHeight="1" x14ac:dyDescent="0.3">
      <c r="A244" s="136"/>
      <c r="B244" s="212"/>
      <c r="C244" s="138"/>
      <c r="D244" s="138"/>
      <c r="E244" s="138"/>
      <c r="F244" s="138"/>
      <c r="G244" s="138"/>
      <c r="H244" s="139"/>
      <c r="I244" s="138"/>
      <c r="J244" s="138"/>
      <c r="K244" s="138"/>
      <c r="L244" s="138"/>
      <c r="M244" s="139"/>
      <c r="N244" s="138"/>
      <c r="O244" s="138"/>
      <c r="P244" s="138"/>
      <c r="Q244" s="139"/>
      <c r="R244" s="139"/>
      <c r="S244" s="212"/>
      <c r="T244" s="138"/>
    </row>
    <row r="245" spans="1:20" ht="34.950000000000003" customHeight="1" x14ac:dyDescent="0.3">
      <c r="A245" s="136"/>
      <c r="B245" s="212"/>
      <c r="C245" s="138"/>
      <c r="D245" s="138"/>
      <c r="E245" s="138"/>
      <c r="F245" s="138"/>
      <c r="G245" s="138"/>
      <c r="H245" s="139"/>
      <c r="I245" s="138"/>
      <c r="J245" s="138"/>
      <c r="K245" s="138"/>
      <c r="L245" s="138"/>
      <c r="M245" s="139"/>
      <c r="N245" s="138"/>
      <c r="O245" s="138"/>
      <c r="P245" s="138"/>
      <c r="Q245" s="139"/>
      <c r="R245" s="139"/>
      <c r="S245" s="212"/>
      <c r="T245" s="138"/>
    </row>
    <row r="246" spans="1:20" ht="34.950000000000003" customHeight="1" x14ac:dyDescent="0.3">
      <c r="A246" s="136"/>
      <c r="B246" s="212"/>
      <c r="C246" s="138"/>
      <c r="D246" s="138"/>
      <c r="E246" s="138"/>
      <c r="F246" s="138"/>
      <c r="G246" s="138"/>
      <c r="H246" s="139"/>
      <c r="I246" s="138"/>
      <c r="J246" s="138"/>
      <c r="K246" s="138"/>
      <c r="L246" s="138"/>
      <c r="M246" s="139"/>
      <c r="N246" s="138"/>
      <c r="O246" s="138"/>
      <c r="P246" s="138"/>
      <c r="Q246" s="139"/>
      <c r="R246" s="139"/>
      <c r="S246" s="212"/>
      <c r="T246" s="138"/>
    </row>
    <row r="247" spans="1:20" ht="34.950000000000003" customHeight="1" x14ac:dyDescent="0.3">
      <c r="A247" s="136"/>
      <c r="B247" s="212"/>
      <c r="C247" s="138"/>
      <c r="D247" s="138"/>
      <c r="E247" s="138"/>
      <c r="F247" s="138"/>
      <c r="G247" s="138"/>
      <c r="H247" s="139"/>
      <c r="I247" s="138"/>
      <c r="J247" s="138"/>
      <c r="K247" s="138"/>
      <c r="L247" s="138"/>
      <c r="M247" s="139"/>
      <c r="N247" s="138"/>
      <c r="O247" s="138"/>
      <c r="P247" s="138"/>
      <c r="Q247" s="139"/>
      <c r="R247" s="139"/>
      <c r="S247" s="212"/>
      <c r="T247" s="138"/>
    </row>
    <row r="248" spans="1:20" ht="34.950000000000003" customHeight="1" x14ac:dyDescent="0.3">
      <c r="A248" s="136"/>
      <c r="B248" s="212"/>
      <c r="C248" s="138"/>
      <c r="D248" s="138"/>
      <c r="E248" s="138"/>
      <c r="F248" s="138"/>
      <c r="G248" s="138"/>
      <c r="H248" s="139"/>
      <c r="I248" s="138"/>
      <c r="J248" s="138"/>
      <c r="K248" s="138"/>
      <c r="L248" s="138"/>
      <c r="M248" s="139"/>
      <c r="N248" s="138"/>
      <c r="O248" s="138"/>
      <c r="P248" s="138"/>
      <c r="Q248" s="139"/>
      <c r="R248" s="139"/>
      <c r="S248" s="212"/>
      <c r="T248" s="138"/>
    </row>
    <row r="249" spans="1:20" ht="34.950000000000003" customHeight="1" x14ac:dyDescent="0.3">
      <c r="A249" s="136"/>
      <c r="B249" s="212"/>
      <c r="C249" s="138"/>
      <c r="D249" s="138"/>
      <c r="E249" s="138"/>
      <c r="F249" s="138"/>
      <c r="G249" s="138"/>
      <c r="H249" s="139"/>
      <c r="I249" s="138"/>
      <c r="J249" s="138"/>
      <c r="K249" s="138"/>
      <c r="L249" s="138"/>
      <c r="M249" s="139"/>
      <c r="N249" s="138"/>
      <c r="O249" s="138"/>
      <c r="P249" s="138"/>
      <c r="Q249" s="139"/>
      <c r="R249" s="139"/>
      <c r="S249" s="212"/>
      <c r="T249" s="138"/>
    </row>
    <row r="250" spans="1:20" ht="34.950000000000003" customHeight="1" x14ac:dyDescent="0.3">
      <c r="A250" s="136"/>
      <c r="B250" s="212"/>
      <c r="C250" s="138"/>
      <c r="D250" s="138"/>
      <c r="E250" s="138"/>
      <c r="F250" s="138"/>
      <c r="G250" s="138"/>
      <c r="H250" s="139"/>
      <c r="I250" s="138"/>
      <c r="J250" s="138"/>
      <c r="K250" s="138"/>
      <c r="L250" s="138"/>
      <c r="M250" s="139"/>
      <c r="N250" s="138"/>
      <c r="O250" s="138"/>
      <c r="P250" s="138"/>
      <c r="Q250" s="139"/>
      <c r="R250" s="139"/>
      <c r="S250" s="212"/>
      <c r="T250" s="138"/>
    </row>
    <row r="251" spans="1:20" ht="34.950000000000003" customHeight="1" x14ac:dyDescent="0.3">
      <c r="A251" s="136"/>
      <c r="B251" s="212"/>
      <c r="C251" s="138"/>
      <c r="D251" s="138"/>
      <c r="E251" s="138"/>
      <c r="F251" s="138"/>
      <c r="G251" s="138"/>
      <c r="H251" s="139"/>
      <c r="I251" s="138"/>
      <c r="J251" s="138"/>
      <c r="K251" s="138"/>
      <c r="L251" s="138"/>
      <c r="M251" s="139"/>
      <c r="N251" s="138"/>
      <c r="O251" s="138"/>
      <c r="P251" s="138"/>
      <c r="Q251" s="139"/>
      <c r="R251" s="139"/>
      <c r="S251" s="212"/>
      <c r="T251" s="138"/>
    </row>
    <row r="252" spans="1:20" ht="34.950000000000003" customHeight="1" x14ac:dyDescent="0.3">
      <c r="A252" s="136"/>
      <c r="B252" s="212"/>
      <c r="C252" s="138"/>
      <c r="D252" s="138"/>
      <c r="E252" s="138"/>
      <c r="F252" s="138"/>
      <c r="G252" s="138"/>
      <c r="H252" s="139"/>
      <c r="I252" s="138"/>
      <c r="J252" s="138"/>
      <c r="K252" s="138"/>
      <c r="L252" s="138"/>
      <c r="M252" s="139"/>
      <c r="N252" s="138"/>
      <c r="O252" s="138"/>
      <c r="P252" s="138"/>
      <c r="Q252" s="139"/>
      <c r="R252" s="139"/>
      <c r="S252" s="212"/>
      <c r="T252" s="138"/>
    </row>
    <row r="253" spans="1:20" ht="34.950000000000003" customHeight="1" x14ac:dyDescent="0.3">
      <c r="A253" s="136"/>
      <c r="B253" s="212"/>
      <c r="C253" s="138"/>
      <c r="D253" s="138"/>
      <c r="E253" s="138"/>
      <c r="F253" s="138"/>
      <c r="G253" s="138"/>
      <c r="H253" s="139"/>
      <c r="I253" s="138"/>
      <c r="J253" s="138"/>
      <c r="K253" s="138"/>
      <c r="L253" s="138"/>
      <c r="M253" s="139"/>
      <c r="N253" s="138"/>
      <c r="O253" s="138"/>
      <c r="P253" s="138"/>
      <c r="Q253" s="139"/>
      <c r="R253" s="139"/>
      <c r="S253" s="212"/>
      <c r="T253" s="138"/>
    </row>
    <row r="254" spans="1:20" ht="34.950000000000003" customHeight="1" x14ac:dyDescent="0.3">
      <c r="A254" s="136"/>
      <c r="B254" s="212"/>
      <c r="C254" s="138"/>
      <c r="D254" s="138"/>
      <c r="E254" s="138"/>
      <c r="F254" s="138"/>
      <c r="G254" s="138"/>
      <c r="H254" s="139"/>
      <c r="I254" s="138"/>
      <c r="J254" s="138"/>
      <c r="K254" s="138"/>
      <c r="L254" s="138"/>
      <c r="M254" s="139"/>
      <c r="N254" s="138"/>
      <c r="O254" s="138"/>
      <c r="P254" s="138"/>
      <c r="Q254" s="139"/>
      <c r="R254" s="139"/>
      <c r="S254" s="212"/>
      <c r="T254" s="138"/>
    </row>
    <row r="255" spans="1:20" ht="34.950000000000003" customHeight="1" x14ac:dyDescent="0.3">
      <c r="A255" s="136"/>
      <c r="B255" s="212"/>
      <c r="C255" s="138"/>
      <c r="D255" s="138"/>
      <c r="E255" s="138"/>
      <c r="F255" s="138"/>
      <c r="G255" s="138"/>
      <c r="H255" s="139"/>
      <c r="I255" s="138"/>
      <c r="J255" s="138"/>
      <c r="K255" s="138"/>
      <c r="L255" s="138"/>
      <c r="M255" s="139"/>
      <c r="N255" s="138"/>
      <c r="O255" s="138"/>
      <c r="P255" s="138"/>
      <c r="Q255" s="139"/>
      <c r="R255" s="139"/>
      <c r="S255" s="212"/>
      <c r="T255" s="138"/>
    </row>
    <row r="256" spans="1:20" ht="34.950000000000003" customHeight="1" x14ac:dyDescent="0.3">
      <c r="A256" s="136"/>
      <c r="B256" s="212"/>
      <c r="C256" s="138"/>
      <c r="D256" s="138"/>
      <c r="E256" s="138"/>
      <c r="F256" s="138"/>
      <c r="G256" s="138"/>
      <c r="H256" s="139"/>
      <c r="I256" s="138"/>
      <c r="J256" s="138"/>
      <c r="K256" s="138"/>
      <c r="L256" s="138"/>
      <c r="M256" s="139"/>
      <c r="N256" s="138"/>
      <c r="O256" s="138"/>
      <c r="P256" s="138"/>
      <c r="Q256" s="139"/>
      <c r="R256" s="139"/>
      <c r="S256" s="212"/>
      <c r="T256" s="138"/>
    </row>
    <row r="257" spans="1:20" ht="34.950000000000003" customHeight="1" x14ac:dyDescent="0.3">
      <c r="A257" s="136"/>
      <c r="B257" s="212"/>
      <c r="C257" s="138"/>
      <c r="D257" s="138"/>
      <c r="E257" s="138"/>
      <c r="F257" s="138"/>
      <c r="G257" s="138"/>
      <c r="H257" s="139"/>
      <c r="I257" s="138"/>
      <c r="J257" s="138"/>
      <c r="K257" s="138"/>
      <c r="L257" s="138"/>
      <c r="M257" s="139"/>
      <c r="N257" s="138"/>
      <c r="O257" s="138"/>
      <c r="P257" s="138"/>
      <c r="Q257" s="139"/>
      <c r="R257" s="139"/>
      <c r="S257" s="212"/>
      <c r="T257" s="138"/>
    </row>
    <row r="258" spans="1:20" ht="34.950000000000003" customHeight="1" x14ac:dyDescent="0.3">
      <c r="A258" s="136"/>
      <c r="B258" s="212"/>
      <c r="C258" s="138"/>
      <c r="D258" s="138"/>
      <c r="E258" s="138"/>
      <c r="F258" s="138"/>
      <c r="G258" s="138"/>
      <c r="H258" s="139"/>
      <c r="I258" s="138"/>
      <c r="J258" s="138"/>
      <c r="K258" s="138"/>
      <c r="L258" s="138"/>
      <c r="M258" s="139"/>
      <c r="N258" s="138"/>
      <c r="O258" s="138"/>
      <c r="P258" s="138"/>
      <c r="Q258" s="139"/>
      <c r="R258" s="139"/>
      <c r="S258" s="212"/>
      <c r="T258" s="138"/>
    </row>
    <row r="259" spans="1:20" ht="34.950000000000003" customHeight="1" x14ac:dyDescent="0.3">
      <c r="A259" s="136"/>
      <c r="B259" s="212"/>
      <c r="C259" s="138"/>
      <c r="D259" s="138"/>
      <c r="E259" s="138"/>
      <c r="F259" s="138"/>
      <c r="G259" s="138"/>
      <c r="H259" s="139"/>
      <c r="I259" s="138"/>
      <c r="J259" s="138"/>
      <c r="K259" s="138"/>
      <c r="L259" s="138"/>
      <c r="M259" s="139"/>
      <c r="N259" s="138"/>
      <c r="O259" s="138"/>
      <c r="P259" s="138"/>
      <c r="Q259" s="139"/>
      <c r="R259" s="139"/>
      <c r="S259" s="212"/>
      <c r="T259" s="138"/>
    </row>
    <row r="260" spans="1:20" ht="34.950000000000003" customHeight="1" x14ac:dyDescent="0.3">
      <c r="A260" s="136"/>
      <c r="B260" s="212"/>
      <c r="C260" s="138"/>
      <c r="D260" s="138"/>
      <c r="E260" s="138"/>
      <c r="F260" s="138"/>
      <c r="G260" s="138"/>
      <c r="H260" s="139"/>
      <c r="I260" s="138"/>
      <c r="J260" s="138"/>
      <c r="K260" s="138"/>
      <c r="L260" s="138"/>
      <c r="M260" s="139"/>
      <c r="N260" s="138"/>
      <c r="O260" s="138"/>
      <c r="P260" s="138"/>
      <c r="Q260" s="139"/>
      <c r="R260" s="139"/>
      <c r="S260" s="212"/>
      <c r="T260" s="138"/>
    </row>
    <row r="261" spans="1:20" ht="34.950000000000003" customHeight="1" x14ac:dyDescent="0.3">
      <c r="A261" s="136"/>
      <c r="B261" s="212"/>
      <c r="C261" s="138"/>
      <c r="D261" s="138"/>
      <c r="E261" s="138"/>
      <c r="F261" s="138"/>
      <c r="G261" s="138"/>
      <c r="H261" s="139"/>
      <c r="I261" s="138"/>
      <c r="J261" s="138"/>
      <c r="K261" s="138"/>
      <c r="L261" s="138"/>
      <c r="M261" s="139"/>
      <c r="N261" s="138"/>
      <c r="O261" s="138"/>
      <c r="P261" s="138"/>
      <c r="Q261" s="139"/>
      <c r="R261" s="139"/>
      <c r="S261" s="212"/>
      <c r="T261" s="138"/>
    </row>
    <row r="262" spans="1:20" ht="34.950000000000003" customHeight="1" x14ac:dyDescent="0.3">
      <c r="A262" s="136"/>
      <c r="B262" s="212"/>
      <c r="C262" s="138"/>
      <c r="D262" s="138"/>
      <c r="E262" s="138"/>
      <c r="F262" s="138"/>
      <c r="G262" s="138"/>
      <c r="H262" s="139"/>
      <c r="I262" s="138"/>
      <c r="J262" s="138"/>
      <c r="K262" s="138"/>
      <c r="L262" s="138"/>
      <c r="M262" s="139"/>
      <c r="N262" s="138"/>
      <c r="O262" s="138"/>
      <c r="P262" s="138"/>
      <c r="Q262" s="139"/>
      <c r="R262" s="139"/>
      <c r="S262" s="212"/>
      <c r="T262" s="138"/>
    </row>
    <row r="263" spans="1:20" ht="34.950000000000003" customHeight="1" x14ac:dyDescent="0.3">
      <c r="A263" s="136"/>
      <c r="B263" s="212"/>
      <c r="C263" s="138"/>
      <c r="D263" s="138"/>
      <c r="E263" s="138"/>
      <c r="F263" s="138"/>
      <c r="G263" s="138"/>
      <c r="H263" s="139"/>
      <c r="I263" s="138"/>
      <c r="J263" s="138"/>
      <c r="K263" s="138"/>
      <c r="L263" s="138"/>
      <c r="M263" s="139"/>
      <c r="N263" s="138"/>
      <c r="O263" s="138"/>
      <c r="P263" s="138"/>
      <c r="Q263" s="139"/>
      <c r="R263" s="139"/>
      <c r="S263" s="212"/>
      <c r="T263" s="138"/>
    </row>
    <row r="264" spans="1:20" ht="34.950000000000003" customHeight="1" x14ac:dyDescent="0.3">
      <c r="A264" s="136"/>
      <c r="B264" s="212"/>
      <c r="C264" s="138"/>
      <c r="D264" s="138"/>
      <c r="E264" s="138"/>
      <c r="F264" s="138"/>
      <c r="G264" s="138"/>
      <c r="H264" s="139"/>
      <c r="I264" s="138"/>
      <c r="J264" s="138"/>
      <c r="K264" s="138"/>
      <c r="L264" s="138"/>
      <c r="M264" s="139"/>
      <c r="N264" s="138"/>
      <c r="O264" s="138"/>
      <c r="P264" s="138"/>
      <c r="Q264" s="139"/>
      <c r="R264" s="139"/>
      <c r="S264" s="212"/>
      <c r="T264" s="138"/>
    </row>
    <row r="265" spans="1:20" ht="34.950000000000003" customHeight="1" x14ac:dyDescent="0.3">
      <c r="A265" s="136"/>
      <c r="B265" s="212"/>
      <c r="C265" s="138"/>
      <c r="D265" s="138"/>
      <c r="E265" s="138"/>
      <c r="F265" s="138"/>
      <c r="G265" s="138"/>
      <c r="H265" s="139"/>
      <c r="I265" s="138"/>
      <c r="J265" s="138"/>
      <c r="K265" s="138"/>
      <c r="L265" s="138"/>
      <c r="M265" s="139"/>
      <c r="N265" s="138"/>
      <c r="O265" s="138"/>
      <c r="P265" s="138"/>
      <c r="Q265" s="139"/>
      <c r="R265" s="139"/>
      <c r="S265" s="212"/>
      <c r="T265" s="138"/>
    </row>
    <row r="266" spans="1:20" ht="34.950000000000003" customHeight="1" x14ac:dyDescent="0.3">
      <c r="A266" s="136"/>
      <c r="B266" s="212"/>
      <c r="C266" s="138"/>
      <c r="D266" s="138"/>
      <c r="E266" s="138"/>
      <c r="F266" s="138"/>
      <c r="G266" s="138"/>
      <c r="H266" s="139"/>
      <c r="I266" s="138"/>
      <c r="J266" s="138"/>
      <c r="K266" s="138"/>
      <c r="L266" s="138"/>
      <c r="M266" s="139"/>
      <c r="N266" s="138"/>
      <c r="O266" s="138"/>
      <c r="P266" s="138"/>
      <c r="Q266" s="139"/>
      <c r="R266" s="139"/>
      <c r="S266" s="212"/>
      <c r="T266" s="138"/>
    </row>
    <row r="267" spans="1:20" ht="34.950000000000003" customHeight="1" x14ac:dyDescent="0.3">
      <c r="A267" s="136"/>
      <c r="B267" s="212"/>
      <c r="C267" s="138"/>
      <c r="D267" s="138"/>
      <c r="E267" s="138"/>
      <c r="F267" s="138"/>
      <c r="G267" s="138"/>
      <c r="H267" s="139"/>
      <c r="I267" s="138"/>
      <c r="J267" s="138"/>
      <c r="K267" s="138"/>
      <c r="L267" s="138"/>
      <c r="M267" s="139"/>
      <c r="N267" s="138"/>
      <c r="O267" s="138"/>
      <c r="P267" s="138"/>
      <c r="Q267" s="139"/>
      <c r="R267" s="139"/>
      <c r="S267" s="212"/>
      <c r="T267" s="138"/>
    </row>
    <row r="268" spans="1:20" ht="34.950000000000003" customHeight="1" x14ac:dyDescent="0.3">
      <c r="A268" s="136"/>
      <c r="B268" s="212"/>
      <c r="C268" s="138"/>
      <c r="D268" s="138"/>
      <c r="E268" s="138"/>
      <c r="F268" s="138"/>
      <c r="G268" s="138"/>
      <c r="H268" s="139"/>
      <c r="I268" s="138"/>
      <c r="J268" s="138"/>
      <c r="K268" s="138"/>
      <c r="L268" s="138"/>
      <c r="M268" s="139"/>
      <c r="N268" s="138"/>
      <c r="O268" s="138"/>
      <c r="P268" s="138"/>
      <c r="Q268" s="139"/>
      <c r="R268" s="139"/>
      <c r="S268" s="212"/>
      <c r="T268" s="138"/>
    </row>
    <row r="269" spans="1:20" ht="34.950000000000003" customHeight="1" x14ac:dyDescent="0.3">
      <c r="A269" s="136"/>
      <c r="B269" s="212"/>
      <c r="C269" s="138"/>
      <c r="D269" s="138"/>
      <c r="E269" s="138"/>
      <c r="F269" s="138"/>
      <c r="G269" s="138"/>
      <c r="H269" s="139"/>
      <c r="I269" s="138"/>
      <c r="J269" s="138"/>
      <c r="K269" s="138"/>
      <c r="L269" s="138"/>
      <c r="M269" s="139"/>
      <c r="N269" s="138"/>
      <c r="O269" s="138"/>
      <c r="P269" s="138"/>
      <c r="Q269" s="139"/>
      <c r="R269" s="139"/>
      <c r="S269" s="212"/>
      <c r="T269" s="138"/>
    </row>
    <row r="270" spans="1:20" ht="34.950000000000003" customHeight="1" x14ac:dyDescent="0.3">
      <c r="A270" s="136"/>
      <c r="B270" s="212"/>
      <c r="C270" s="138"/>
      <c r="D270" s="138"/>
      <c r="E270" s="138"/>
      <c r="F270" s="138"/>
      <c r="G270" s="138"/>
      <c r="H270" s="139"/>
      <c r="I270" s="138"/>
      <c r="J270" s="138"/>
      <c r="K270" s="138"/>
      <c r="L270" s="138"/>
      <c r="M270" s="139"/>
      <c r="N270" s="138"/>
      <c r="O270" s="138"/>
      <c r="P270" s="138"/>
      <c r="Q270" s="139"/>
      <c r="R270" s="139"/>
      <c r="S270" s="212"/>
      <c r="T270" s="138"/>
    </row>
    <row r="271" spans="1:20" ht="34.950000000000003" customHeight="1" x14ac:dyDescent="0.3">
      <c r="A271" s="136"/>
      <c r="B271" s="212"/>
      <c r="C271" s="138"/>
      <c r="D271" s="138"/>
      <c r="E271" s="138"/>
      <c r="F271" s="138"/>
      <c r="G271" s="138"/>
      <c r="H271" s="139"/>
      <c r="I271" s="138"/>
      <c r="J271" s="138"/>
      <c r="K271" s="138"/>
      <c r="L271" s="138"/>
      <c r="M271" s="139"/>
      <c r="N271" s="138"/>
      <c r="O271" s="138"/>
      <c r="P271" s="138"/>
      <c r="Q271" s="139"/>
      <c r="R271" s="139"/>
      <c r="S271" s="212"/>
      <c r="T271" s="138"/>
    </row>
    <row r="272" spans="1:20" ht="34.950000000000003" customHeight="1" x14ac:dyDescent="0.3">
      <c r="A272" s="136"/>
      <c r="B272" s="212"/>
      <c r="C272" s="138"/>
      <c r="D272" s="138"/>
      <c r="E272" s="138"/>
      <c r="F272" s="138"/>
      <c r="G272" s="138"/>
      <c r="H272" s="139"/>
      <c r="I272" s="138"/>
      <c r="J272" s="138"/>
      <c r="K272" s="138"/>
      <c r="L272" s="138"/>
      <c r="M272" s="139"/>
      <c r="N272" s="138"/>
      <c r="O272" s="138"/>
      <c r="P272" s="138"/>
      <c r="Q272" s="139"/>
      <c r="R272" s="139"/>
      <c r="S272" s="212"/>
      <c r="T272" s="138"/>
    </row>
    <row r="273" spans="1:20" ht="34.950000000000003" customHeight="1" x14ac:dyDescent="0.3">
      <c r="A273" s="136"/>
      <c r="B273" s="212"/>
      <c r="C273" s="138"/>
      <c r="D273" s="138"/>
      <c r="E273" s="138"/>
      <c r="F273" s="138"/>
      <c r="G273" s="138"/>
      <c r="H273" s="139"/>
      <c r="I273" s="138"/>
      <c r="J273" s="138"/>
      <c r="K273" s="138"/>
      <c r="L273" s="138"/>
      <c r="M273" s="139"/>
      <c r="N273" s="138"/>
      <c r="O273" s="138"/>
      <c r="P273" s="138"/>
      <c r="Q273" s="139"/>
      <c r="R273" s="139"/>
      <c r="S273" s="212"/>
      <c r="T273" s="138"/>
    </row>
    <row r="274" spans="1:20" ht="34.950000000000003" customHeight="1" x14ac:dyDescent="0.3">
      <c r="A274" s="136"/>
      <c r="B274" s="212"/>
      <c r="C274" s="138"/>
      <c r="D274" s="138"/>
      <c r="E274" s="138"/>
      <c r="F274" s="138"/>
      <c r="G274" s="138"/>
      <c r="H274" s="139"/>
      <c r="I274" s="138"/>
      <c r="J274" s="138"/>
      <c r="K274" s="138"/>
      <c r="L274" s="138"/>
      <c r="M274" s="139"/>
      <c r="N274" s="138"/>
      <c r="O274" s="138"/>
      <c r="P274" s="138"/>
      <c r="Q274" s="139"/>
      <c r="R274" s="139"/>
      <c r="S274" s="212"/>
      <c r="T274" s="138"/>
    </row>
    <row r="275" spans="1:20" ht="34.950000000000003" customHeight="1" x14ac:dyDescent="0.3">
      <c r="A275" s="136"/>
      <c r="B275" s="212"/>
      <c r="C275" s="138"/>
      <c r="D275" s="138"/>
      <c r="E275" s="138"/>
      <c r="F275" s="138"/>
      <c r="G275" s="138"/>
      <c r="H275" s="139"/>
      <c r="I275" s="138"/>
      <c r="J275" s="138"/>
      <c r="K275" s="138"/>
      <c r="L275" s="138"/>
      <c r="M275" s="139"/>
      <c r="N275" s="138"/>
      <c r="O275" s="138"/>
      <c r="P275" s="138"/>
      <c r="Q275" s="139"/>
      <c r="R275" s="139"/>
      <c r="S275" s="212"/>
      <c r="T275" s="138"/>
    </row>
    <row r="276" spans="1:20" ht="34.950000000000003" customHeight="1" x14ac:dyDescent="0.3">
      <c r="A276" s="136"/>
      <c r="B276" s="212"/>
      <c r="C276" s="138"/>
      <c r="D276" s="138"/>
      <c r="E276" s="138"/>
      <c r="F276" s="138"/>
      <c r="G276" s="138"/>
      <c r="H276" s="139"/>
      <c r="I276" s="138"/>
      <c r="J276" s="138"/>
      <c r="K276" s="138"/>
      <c r="L276" s="138"/>
      <c r="M276" s="139"/>
      <c r="N276" s="138"/>
      <c r="O276" s="138"/>
      <c r="P276" s="138"/>
      <c r="Q276" s="139"/>
      <c r="R276" s="139"/>
      <c r="S276" s="212"/>
      <c r="T276" s="138"/>
    </row>
    <row r="277" spans="1:20" ht="34.950000000000003" customHeight="1" x14ac:dyDescent="0.3">
      <c r="A277" s="136"/>
      <c r="B277" s="212"/>
      <c r="C277" s="138"/>
      <c r="D277" s="138"/>
      <c r="E277" s="138"/>
      <c r="F277" s="138"/>
      <c r="G277" s="138"/>
      <c r="H277" s="139"/>
      <c r="I277" s="138"/>
      <c r="J277" s="138"/>
      <c r="K277" s="138"/>
      <c r="L277" s="138"/>
      <c r="M277" s="139"/>
      <c r="N277" s="138"/>
      <c r="O277" s="138"/>
      <c r="P277" s="138"/>
      <c r="Q277" s="139"/>
      <c r="R277" s="139"/>
      <c r="S277" s="212"/>
      <c r="T277" s="138"/>
    </row>
    <row r="278" spans="1:20" ht="34.950000000000003" customHeight="1" x14ac:dyDescent="0.3">
      <c r="A278" s="136"/>
      <c r="B278" s="212"/>
      <c r="C278" s="138"/>
      <c r="D278" s="138"/>
      <c r="E278" s="138"/>
      <c r="F278" s="138"/>
      <c r="G278" s="138"/>
      <c r="H278" s="139"/>
      <c r="I278" s="138"/>
      <c r="J278" s="138"/>
      <c r="K278" s="138"/>
      <c r="L278" s="138"/>
      <c r="M278" s="139"/>
      <c r="N278" s="138"/>
      <c r="O278" s="138"/>
      <c r="P278" s="138"/>
      <c r="Q278" s="139"/>
      <c r="R278" s="139"/>
      <c r="S278" s="212"/>
      <c r="T278" s="138"/>
    </row>
    <row r="279" spans="1:20" ht="34.950000000000003" customHeight="1" x14ac:dyDescent="0.3">
      <c r="A279" s="136"/>
      <c r="B279" s="212"/>
      <c r="C279" s="138"/>
      <c r="D279" s="138"/>
      <c r="E279" s="138"/>
      <c r="F279" s="138"/>
      <c r="G279" s="138"/>
      <c r="H279" s="139"/>
      <c r="I279" s="138"/>
      <c r="J279" s="138"/>
      <c r="K279" s="138"/>
      <c r="L279" s="138"/>
      <c r="M279" s="139"/>
      <c r="N279" s="138"/>
      <c r="O279" s="138"/>
      <c r="P279" s="138"/>
      <c r="Q279" s="139"/>
      <c r="R279" s="139"/>
      <c r="S279" s="212"/>
      <c r="T279" s="138"/>
    </row>
    <row r="280" spans="1:20" ht="34.950000000000003" customHeight="1" x14ac:dyDescent="0.3">
      <c r="A280" s="136"/>
      <c r="B280" s="212"/>
      <c r="C280" s="138"/>
      <c r="D280" s="138"/>
      <c r="E280" s="138"/>
      <c r="F280" s="138"/>
      <c r="G280" s="138"/>
      <c r="H280" s="139"/>
      <c r="I280" s="138"/>
      <c r="J280" s="138"/>
      <c r="K280" s="138"/>
      <c r="L280" s="138"/>
      <c r="M280" s="139"/>
      <c r="N280" s="138"/>
      <c r="O280" s="138"/>
      <c r="P280" s="138"/>
      <c r="Q280" s="139"/>
      <c r="R280" s="139"/>
      <c r="S280" s="212"/>
      <c r="T280" s="138"/>
    </row>
    <row r="281" spans="1:20" ht="34.950000000000003" customHeight="1" x14ac:dyDescent="0.3">
      <c r="A281" s="136"/>
      <c r="B281" s="212"/>
      <c r="C281" s="138"/>
      <c r="D281" s="138"/>
      <c r="E281" s="138"/>
      <c r="F281" s="138"/>
      <c r="G281" s="138"/>
      <c r="H281" s="139"/>
      <c r="I281" s="138"/>
      <c r="J281" s="138"/>
      <c r="K281" s="138"/>
      <c r="L281" s="138"/>
      <c r="M281" s="139"/>
      <c r="N281" s="138"/>
      <c r="O281" s="138"/>
      <c r="P281" s="138"/>
      <c r="Q281" s="139"/>
      <c r="R281" s="139"/>
      <c r="S281" s="212"/>
      <c r="T281" s="138"/>
    </row>
    <row r="282" spans="1:20" ht="34.950000000000003" customHeight="1" x14ac:dyDescent="0.3">
      <c r="A282" s="136"/>
      <c r="B282" s="212"/>
      <c r="C282" s="138"/>
      <c r="D282" s="138"/>
      <c r="E282" s="138"/>
      <c r="F282" s="138"/>
      <c r="G282" s="138"/>
      <c r="H282" s="139"/>
      <c r="I282" s="138"/>
      <c r="J282" s="138"/>
      <c r="K282" s="138"/>
      <c r="L282" s="138"/>
      <c r="M282" s="139"/>
      <c r="N282" s="138"/>
      <c r="O282" s="138"/>
      <c r="P282" s="138"/>
      <c r="Q282" s="139"/>
      <c r="R282" s="139"/>
      <c r="S282" s="212"/>
      <c r="T282" s="138"/>
    </row>
    <row r="283" spans="1:20" ht="34.950000000000003" customHeight="1" x14ac:dyDescent="0.3">
      <c r="A283" s="136"/>
      <c r="B283" s="212"/>
      <c r="C283" s="138"/>
      <c r="D283" s="138"/>
      <c r="E283" s="138"/>
      <c r="F283" s="138"/>
      <c r="G283" s="138"/>
      <c r="H283" s="139"/>
      <c r="I283" s="138"/>
      <c r="J283" s="138"/>
      <c r="K283" s="138"/>
      <c r="L283" s="138"/>
      <c r="M283" s="139"/>
      <c r="N283" s="138"/>
      <c r="O283" s="138"/>
      <c r="P283" s="138"/>
      <c r="Q283" s="139"/>
      <c r="R283" s="139"/>
      <c r="S283" s="212"/>
      <c r="T283" s="138"/>
    </row>
    <row r="284" spans="1:20" ht="34.950000000000003" customHeight="1" x14ac:dyDescent="0.3">
      <c r="A284" s="136"/>
      <c r="B284" s="212"/>
      <c r="C284" s="138"/>
      <c r="D284" s="138"/>
      <c r="E284" s="138"/>
      <c r="F284" s="138"/>
      <c r="G284" s="138"/>
      <c r="H284" s="139"/>
      <c r="I284" s="138"/>
      <c r="J284" s="138"/>
      <c r="K284" s="138"/>
      <c r="L284" s="138"/>
      <c r="M284" s="139"/>
      <c r="N284" s="138"/>
      <c r="O284" s="138"/>
      <c r="P284" s="138"/>
      <c r="Q284" s="139"/>
      <c r="R284" s="139"/>
      <c r="S284" s="212"/>
      <c r="T284" s="138"/>
    </row>
    <row r="285" spans="1:20" ht="34.950000000000003" customHeight="1" x14ac:dyDescent="0.3">
      <c r="A285" s="136"/>
      <c r="B285" s="212"/>
      <c r="C285" s="138"/>
      <c r="D285" s="138"/>
      <c r="E285" s="138"/>
      <c r="F285" s="138"/>
      <c r="G285" s="138"/>
      <c r="H285" s="139"/>
      <c r="I285" s="138"/>
      <c r="J285" s="138"/>
      <c r="K285" s="138"/>
      <c r="L285" s="138"/>
      <c r="M285" s="139"/>
      <c r="N285" s="138"/>
      <c r="O285" s="138"/>
      <c r="P285" s="138"/>
      <c r="Q285" s="139"/>
      <c r="R285" s="139"/>
      <c r="S285" s="212"/>
      <c r="T285" s="138"/>
    </row>
    <row r="286" spans="1:20" ht="34.950000000000003" customHeight="1" x14ac:dyDescent="0.3">
      <c r="A286" s="136"/>
      <c r="B286" s="212"/>
      <c r="C286" s="138"/>
      <c r="D286" s="138"/>
      <c r="E286" s="138"/>
      <c r="F286" s="138"/>
      <c r="G286" s="138"/>
      <c r="H286" s="139"/>
      <c r="I286" s="138"/>
      <c r="J286" s="138"/>
      <c r="K286" s="138"/>
      <c r="L286" s="138"/>
      <c r="M286" s="139"/>
      <c r="N286" s="138"/>
      <c r="O286" s="138"/>
      <c r="P286" s="138"/>
      <c r="Q286" s="139"/>
      <c r="R286" s="139"/>
      <c r="S286" s="212"/>
      <c r="T286" s="138"/>
    </row>
    <row r="287" spans="1:20" ht="34.950000000000003" customHeight="1" x14ac:dyDescent="0.3">
      <c r="A287" s="136"/>
      <c r="B287" s="212"/>
      <c r="C287" s="138"/>
      <c r="D287" s="138"/>
      <c r="E287" s="138"/>
      <c r="F287" s="138"/>
      <c r="G287" s="138"/>
      <c r="H287" s="139"/>
      <c r="I287" s="138"/>
      <c r="J287" s="138"/>
      <c r="K287" s="138"/>
      <c r="L287" s="138"/>
      <c r="M287" s="139"/>
      <c r="N287" s="138"/>
      <c r="O287" s="138"/>
      <c r="P287" s="138"/>
      <c r="Q287" s="139"/>
      <c r="R287" s="139"/>
      <c r="S287" s="212"/>
      <c r="T287" s="138"/>
    </row>
    <row r="288" spans="1:20" ht="34.950000000000003" customHeight="1" x14ac:dyDescent="0.3">
      <c r="A288" s="136"/>
      <c r="B288" s="212"/>
      <c r="C288" s="138"/>
      <c r="D288" s="138"/>
      <c r="E288" s="138"/>
      <c r="F288" s="138"/>
      <c r="G288" s="138"/>
      <c r="H288" s="139"/>
      <c r="I288" s="138"/>
      <c r="J288" s="138"/>
      <c r="K288" s="138"/>
      <c r="L288" s="138"/>
      <c r="M288" s="139"/>
      <c r="N288" s="138"/>
      <c r="O288" s="138"/>
      <c r="P288" s="138"/>
      <c r="Q288" s="139"/>
      <c r="R288" s="139"/>
      <c r="S288" s="212"/>
      <c r="T288" s="138"/>
    </row>
    <row r="289" spans="1:20" ht="34.950000000000003" customHeight="1" x14ac:dyDescent="0.3">
      <c r="A289" s="136"/>
      <c r="B289" s="212"/>
      <c r="C289" s="138"/>
      <c r="D289" s="138"/>
      <c r="E289" s="138"/>
      <c r="F289" s="138"/>
      <c r="G289" s="138"/>
      <c r="H289" s="139"/>
      <c r="I289" s="138"/>
      <c r="J289" s="138"/>
      <c r="K289" s="138"/>
      <c r="L289" s="138"/>
      <c r="M289" s="139"/>
      <c r="N289" s="138"/>
      <c r="O289" s="138"/>
      <c r="P289" s="138"/>
      <c r="Q289" s="139"/>
      <c r="R289" s="139"/>
      <c r="S289" s="212"/>
      <c r="T289" s="138"/>
    </row>
    <row r="290" spans="1:20" ht="34.950000000000003" customHeight="1" x14ac:dyDescent="0.3">
      <c r="A290" s="136"/>
      <c r="B290" s="212"/>
      <c r="C290" s="138"/>
      <c r="D290" s="138"/>
      <c r="E290" s="138"/>
      <c r="F290" s="138"/>
      <c r="G290" s="138"/>
      <c r="H290" s="139"/>
      <c r="I290" s="138"/>
      <c r="J290" s="138"/>
      <c r="K290" s="138"/>
      <c r="L290" s="138"/>
      <c r="M290" s="139"/>
      <c r="N290" s="138"/>
      <c r="O290" s="138"/>
      <c r="P290" s="138"/>
      <c r="Q290" s="139"/>
      <c r="R290" s="139"/>
      <c r="S290" s="212"/>
      <c r="T290" s="138"/>
    </row>
    <row r="291" spans="1:20" ht="34.950000000000003" customHeight="1" x14ac:dyDescent="0.3">
      <c r="A291" s="136"/>
      <c r="B291" s="212"/>
      <c r="C291" s="138"/>
      <c r="D291" s="138"/>
      <c r="E291" s="138"/>
      <c r="F291" s="138"/>
      <c r="G291" s="138"/>
      <c r="H291" s="139"/>
      <c r="I291" s="138"/>
      <c r="J291" s="138"/>
      <c r="K291" s="138"/>
      <c r="L291" s="138"/>
      <c r="M291" s="139"/>
      <c r="N291" s="138"/>
      <c r="O291" s="138"/>
      <c r="P291" s="138"/>
      <c r="Q291" s="139"/>
      <c r="R291" s="139"/>
      <c r="S291" s="212"/>
      <c r="T291" s="138"/>
    </row>
    <row r="292" spans="1:20" ht="34.950000000000003" customHeight="1" x14ac:dyDescent="0.3">
      <c r="A292" s="136"/>
      <c r="B292" s="212"/>
      <c r="C292" s="138"/>
      <c r="D292" s="138"/>
      <c r="E292" s="138"/>
      <c r="F292" s="138"/>
      <c r="G292" s="138"/>
      <c r="H292" s="139"/>
      <c r="I292" s="138"/>
      <c r="J292" s="138"/>
      <c r="K292" s="138"/>
      <c r="L292" s="138"/>
      <c r="M292" s="139"/>
      <c r="N292" s="138"/>
      <c r="O292" s="138"/>
      <c r="P292" s="138"/>
      <c r="Q292" s="139"/>
      <c r="R292" s="139"/>
      <c r="S292" s="212"/>
      <c r="T292" s="138"/>
    </row>
    <row r="293" spans="1:20" ht="34.950000000000003" customHeight="1" x14ac:dyDescent="0.3">
      <c r="A293" s="136"/>
      <c r="B293" s="212"/>
      <c r="C293" s="138"/>
      <c r="D293" s="138"/>
      <c r="E293" s="138"/>
      <c r="F293" s="138"/>
      <c r="G293" s="138"/>
      <c r="H293" s="139"/>
      <c r="I293" s="138"/>
      <c r="J293" s="138"/>
      <c r="K293" s="138"/>
      <c r="L293" s="138"/>
      <c r="M293" s="139"/>
      <c r="N293" s="138"/>
      <c r="O293" s="138"/>
      <c r="P293" s="138"/>
      <c r="Q293" s="139"/>
      <c r="R293" s="139"/>
      <c r="S293" s="212"/>
      <c r="T293" s="138"/>
    </row>
    <row r="294" spans="1:20" ht="34.950000000000003" customHeight="1" x14ac:dyDescent="0.3">
      <c r="A294" s="136"/>
      <c r="B294" s="212"/>
      <c r="C294" s="138"/>
      <c r="D294" s="138"/>
      <c r="E294" s="138"/>
      <c r="F294" s="138"/>
      <c r="G294" s="138"/>
      <c r="H294" s="139"/>
      <c r="I294" s="138"/>
      <c r="J294" s="138"/>
      <c r="K294" s="138"/>
      <c r="L294" s="138"/>
      <c r="M294" s="139"/>
      <c r="N294" s="138"/>
      <c r="O294" s="138"/>
      <c r="P294" s="138"/>
      <c r="Q294" s="139"/>
      <c r="R294" s="139"/>
      <c r="S294" s="212"/>
      <c r="T294" s="138"/>
    </row>
    <row r="295" spans="1:20" ht="34.950000000000003" customHeight="1" x14ac:dyDescent="0.3">
      <c r="A295" s="136"/>
      <c r="B295" s="212"/>
      <c r="C295" s="138"/>
      <c r="D295" s="138"/>
      <c r="E295" s="138"/>
      <c r="F295" s="138"/>
      <c r="G295" s="138"/>
      <c r="H295" s="139"/>
      <c r="I295" s="138"/>
      <c r="J295" s="138"/>
      <c r="K295" s="138"/>
      <c r="L295" s="138"/>
      <c r="M295" s="139"/>
      <c r="N295" s="138"/>
      <c r="O295" s="138"/>
      <c r="P295" s="138"/>
      <c r="Q295" s="139"/>
      <c r="R295" s="139"/>
      <c r="S295" s="212"/>
      <c r="T295" s="138"/>
    </row>
    <row r="296" spans="1:20" ht="34.950000000000003" customHeight="1" x14ac:dyDescent="0.3">
      <c r="A296" s="136"/>
      <c r="B296" s="212"/>
      <c r="C296" s="138"/>
      <c r="D296" s="138"/>
      <c r="E296" s="138"/>
      <c r="F296" s="138"/>
      <c r="G296" s="138"/>
      <c r="H296" s="139"/>
      <c r="I296" s="138"/>
      <c r="J296" s="138"/>
      <c r="K296" s="138"/>
      <c r="L296" s="138"/>
      <c r="M296" s="139"/>
      <c r="N296" s="138"/>
      <c r="O296" s="138"/>
      <c r="P296" s="138"/>
      <c r="Q296" s="139"/>
      <c r="R296" s="139"/>
      <c r="S296" s="212"/>
      <c r="T296" s="138"/>
    </row>
    <row r="297" spans="1:20" ht="34.950000000000003" customHeight="1" x14ac:dyDescent="0.3">
      <c r="A297" s="136"/>
      <c r="B297" s="212"/>
      <c r="C297" s="138"/>
      <c r="D297" s="138"/>
      <c r="E297" s="138"/>
      <c r="F297" s="138"/>
      <c r="G297" s="138"/>
      <c r="H297" s="139"/>
      <c r="I297" s="138"/>
      <c r="J297" s="138"/>
      <c r="K297" s="138"/>
      <c r="L297" s="138"/>
      <c r="M297" s="139"/>
      <c r="N297" s="138"/>
      <c r="O297" s="138"/>
      <c r="P297" s="138"/>
      <c r="Q297" s="139"/>
      <c r="R297" s="139"/>
      <c r="S297" s="212"/>
      <c r="T297" s="138"/>
    </row>
    <row r="298" spans="1:20" ht="34.950000000000003" customHeight="1" x14ac:dyDescent="0.3">
      <c r="A298" s="136"/>
      <c r="B298" s="212"/>
      <c r="C298" s="138"/>
      <c r="D298" s="138"/>
      <c r="E298" s="138"/>
      <c r="F298" s="138"/>
      <c r="G298" s="138"/>
      <c r="H298" s="139"/>
      <c r="I298" s="138"/>
      <c r="J298" s="138"/>
      <c r="K298" s="138"/>
      <c r="L298" s="138"/>
      <c r="M298" s="139"/>
      <c r="N298" s="138"/>
      <c r="O298" s="138"/>
      <c r="P298" s="138"/>
      <c r="Q298" s="139"/>
      <c r="R298" s="139"/>
      <c r="S298" s="212"/>
      <c r="T298" s="138"/>
    </row>
    <row r="299" spans="1:20" ht="34.950000000000003" customHeight="1" x14ac:dyDescent="0.3">
      <c r="A299" s="136"/>
      <c r="B299" s="212"/>
      <c r="C299" s="138"/>
      <c r="D299" s="138"/>
      <c r="E299" s="138"/>
      <c r="F299" s="138"/>
      <c r="G299" s="138"/>
      <c r="H299" s="139"/>
      <c r="I299" s="138"/>
      <c r="J299" s="138"/>
      <c r="K299" s="138"/>
      <c r="L299" s="138"/>
      <c r="M299" s="139"/>
      <c r="N299" s="138"/>
      <c r="O299" s="138"/>
      <c r="P299" s="138"/>
      <c r="Q299" s="139"/>
      <c r="R299" s="139"/>
      <c r="S299" s="212"/>
      <c r="T299" s="138"/>
    </row>
    <row r="300" spans="1:20" ht="34.950000000000003" customHeight="1" x14ac:dyDescent="0.3">
      <c r="A300" s="136"/>
      <c r="B300" s="212"/>
      <c r="C300" s="138"/>
      <c r="D300" s="138"/>
      <c r="E300" s="138"/>
      <c r="F300" s="138"/>
      <c r="G300" s="138"/>
      <c r="H300" s="139"/>
      <c r="I300" s="138"/>
      <c r="J300" s="138"/>
      <c r="K300" s="138"/>
      <c r="L300" s="138"/>
      <c r="M300" s="139"/>
      <c r="N300" s="138"/>
      <c r="O300" s="138"/>
      <c r="P300" s="138"/>
      <c r="Q300" s="139"/>
      <c r="R300" s="139"/>
      <c r="S300" s="212"/>
      <c r="T300" s="138"/>
    </row>
    <row r="301" spans="1:20" ht="34.950000000000003" customHeight="1" x14ac:dyDescent="0.3">
      <c r="A301" s="136"/>
      <c r="B301" s="212"/>
      <c r="C301" s="138"/>
      <c r="D301" s="138"/>
      <c r="E301" s="138"/>
      <c r="F301" s="138"/>
      <c r="G301" s="138"/>
      <c r="H301" s="139"/>
      <c r="I301" s="138"/>
      <c r="J301" s="138"/>
      <c r="K301" s="138"/>
      <c r="L301" s="138"/>
      <c r="M301" s="139"/>
      <c r="N301" s="138"/>
      <c r="O301" s="138"/>
      <c r="P301" s="138"/>
      <c r="Q301" s="139"/>
      <c r="R301" s="139"/>
      <c r="S301" s="212"/>
      <c r="T301" s="138"/>
    </row>
    <row r="302" spans="1:20" ht="34.950000000000003" customHeight="1" x14ac:dyDescent="0.3">
      <c r="A302" s="136"/>
      <c r="B302" s="212"/>
      <c r="C302" s="138"/>
      <c r="D302" s="138"/>
      <c r="E302" s="138"/>
      <c r="F302" s="138"/>
      <c r="G302" s="138"/>
      <c r="H302" s="139"/>
      <c r="I302" s="138"/>
      <c r="J302" s="138"/>
      <c r="K302" s="138"/>
      <c r="L302" s="138"/>
      <c r="M302" s="139"/>
      <c r="N302" s="138"/>
      <c r="O302" s="138"/>
      <c r="P302" s="138"/>
      <c r="Q302" s="139"/>
      <c r="R302" s="139"/>
      <c r="S302" s="212"/>
      <c r="T302" s="138"/>
    </row>
    <row r="303" spans="1:20" ht="34.950000000000003" customHeight="1" x14ac:dyDescent="0.3">
      <c r="A303" s="136"/>
      <c r="B303" s="212"/>
      <c r="C303" s="138"/>
      <c r="D303" s="138"/>
      <c r="E303" s="138"/>
      <c r="F303" s="138"/>
      <c r="G303" s="138"/>
      <c r="H303" s="139"/>
      <c r="I303" s="138"/>
      <c r="J303" s="138"/>
      <c r="K303" s="138"/>
      <c r="L303" s="138"/>
      <c r="M303" s="139"/>
      <c r="N303" s="138"/>
      <c r="O303" s="138"/>
      <c r="P303" s="138"/>
      <c r="Q303" s="139"/>
      <c r="R303" s="139"/>
      <c r="S303" s="212"/>
      <c r="T303" s="138"/>
    </row>
    <row r="304" spans="1:20" ht="34.950000000000003" customHeight="1" x14ac:dyDescent="0.3">
      <c r="A304" s="136"/>
      <c r="B304" s="212"/>
      <c r="C304" s="138"/>
      <c r="D304" s="138"/>
      <c r="E304" s="138"/>
      <c r="F304" s="138"/>
      <c r="G304" s="138"/>
      <c r="H304" s="139"/>
      <c r="I304" s="138"/>
      <c r="J304" s="138"/>
      <c r="K304" s="138"/>
      <c r="L304" s="138"/>
      <c r="M304" s="139"/>
      <c r="N304" s="138"/>
      <c r="O304" s="138"/>
      <c r="P304" s="138"/>
      <c r="Q304" s="139"/>
      <c r="R304" s="139"/>
      <c r="S304" s="212"/>
      <c r="T304" s="138"/>
    </row>
    <row r="305" spans="1:20" ht="34.950000000000003" customHeight="1" x14ac:dyDescent="0.3">
      <c r="A305" s="136"/>
      <c r="B305" s="212"/>
      <c r="C305" s="138"/>
      <c r="D305" s="138"/>
      <c r="E305" s="138"/>
      <c r="F305" s="138"/>
      <c r="G305" s="138"/>
      <c r="H305" s="139"/>
      <c r="I305" s="138"/>
      <c r="J305" s="138"/>
      <c r="K305" s="138"/>
      <c r="L305" s="138"/>
      <c r="M305" s="139"/>
      <c r="N305" s="138"/>
      <c r="O305" s="138"/>
      <c r="P305" s="138"/>
      <c r="Q305" s="139"/>
      <c r="R305" s="139"/>
      <c r="S305" s="212"/>
      <c r="T305" s="138"/>
    </row>
    <row r="306" spans="1:20" ht="34.950000000000003" customHeight="1" x14ac:dyDescent="0.3">
      <c r="A306" s="136"/>
      <c r="B306" s="212"/>
      <c r="C306" s="138"/>
      <c r="D306" s="138"/>
      <c r="E306" s="138"/>
      <c r="F306" s="138"/>
      <c r="G306" s="138"/>
      <c r="H306" s="139"/>
      <c r="I306" s="138"/>
      <c r="J306" s="138"/>
      <c r="K306" s="138"/>
      <c r="L306" s="138"/>
      <c r="M306" s="139"/>
      <c r="N306" s="138"/>
      <c r="O306" s="138"/>
      <c r="P306" s="138"/>
      <c r="Q306" s="139"/>
      <c r="R306" s="139"/>
      <c r="S306" s="212"/>
      <c r="T306" s="138"/>
    </row>
    <row r="307" spans="1:20" ht="34.950000000000003" customHeight="1" x14ac:dyDescent="0.3">
      <c r="A307" s="136"/>
      <c r="B307" s="212"/>
      <c r="C307" s="138"/>
      <c r="D307" s="138"/>
      <c r="E307" s="138"/>
      <c r="F307" s="138"/>
      <c r="G307" s="138"/>
      <c r="H307" s="139"/>
      <c r="I307" s="138"/>
      <c r="J307" s="138"/>
      <c r="K307" s="138"/>
      <c r="L307" s="138"/>
      <c r="M307" s="139"/>
      <c r="N307" s="138"/>
      <c r="O307" s="138"/>
      <c r="P307" s="138"/>
      <c r="Q307" s="139"/>
      <c r="R307" s="139"/>
      <c r="S307" s="212"/>
      <c r="T307" s="138"/>
    </row>
    <row r="308" spans="1:20" ht="34.950000000000003" customHeight="1" x14ac:dyDescent="0.3">
      <c r="A308" s="136"/>
      <c r="B308" s="212"/>
      <c r="C308" s="138"/>
      <c r="D308" s="138"/>
      <c r="E308" s="138"/>
      <c r="F308" s="138"/>
      <c r="G308" s="138"/>
      <c r="H308" s="139"/>
      <c r="I308" s="138"/>
      <c r="J308" s="138"/>
      <c r="K308" s="138"/>
      <c r="L308" s="138"/>
      <c r="M308" s="139"/>
      <c r="N308" s="138"/>
      <c r="O308" s="138"/>
      <c r="P308" s="138"/>
      <c r="Q308" s="139"/>
      <c r="R308" s="139"/>
      <c r="S308" s="212"/>
      <c r="T308" s="138"/>
    </row>
    <row r="309" spans="1:20" ht="34.950000000000003" customHeight="1" x14ac:dyDescent="0.3">
      <c r="A309" s="136"/>
      <c r="B309" s="212"/>
      <c r="C309" s="138"/>
      <c r="D309" s="138"/>
      <c r="E309" s="138"/>
      <c r="F309" s="138"/>
      <c r="G309" s="138"/>
      <c r="H309" s="139"/>
      <c r="I309" s="138"/>
      <c r="J309" s="138"/>
      <c r="K309" s="138"/>
      <c r="L309" s="138"/>
      <c r="M309" s="139"/>
      <c r="N309" s="138"/>
      <c r="O309" s="138"/>
      <c r="P309" s="138"/>
      <c r="Q309" s="139"/>
      <c r="R309" s="139"/>
      <c r="S309" s="212"/>
      <c r="T309" s="138"/>
    </row>
    <row r="310" spans="1:20" ht="34.950000000000003" customHeight="1" x14ac:dyDescent="0.3">
      <c r="A310" s="136"/>
      <c r="B310" s="212"/>
      <c r="C310" s="138"/>
      <c r="D310" s="138"/>
      <c r="E310" s="138"/>
      <c r="F310" s="138"/>
      <c r="G310" s="138"/>
      <c r="H310" s="139"/>
      <c r="I310" s="138"/>
      <c r="J310" s="138"/>
      <c r="K310" s="138"/>
      <c r="L310" s="138"/>
      <c r="M310" s="139"/>
      <c r="N310" s="138"/>
      <c r="O310" s="138"/>
      <c r="P310" s="138"/>
      <c r="Q310" s="139"/>
      <c r="R310" s="139"/>
      <c r="S310" s="212"/>
      <c r="T310" s="138"/>
    </row>
    <row r="311" spans="1:20" ht="34.950000000000003" customHeight="1" x14ac:dyDescent="0.3">
      <c r="A311" s="136"/>
      <c r="B311" s="212"/>
      <c r="C311" s="138"/>
      <c r="D311" s="138"/>
      <c r="E311" s="138"/>
      <c r="F311" s="138"/>
      <c r="G311" s="138"/>
      <c r="H311" s="139"/>
      <c r="I311" s="138"/>
      <c r="J311" s="138"/>
      <c r="K311" s="138"/>
      <c r="L311" s="138"/>
      <c r="M311" s="139"/>
      <c r="N311" s="138"/>
      <c r="O311" s="138"/>
      <c r="P311" s="138"/>
      <c r="Q311" s="139"/>
      <c r="R311" s="139"/>
      <c r="S311" s="212"/>
      <c r="T311" s="138"/>
    </row>
    <row r="312" spans="1:20" ht="34.950000000000003" customHeight="1" x14ac:dyDescent="0.3">
      <c r="A312" s="136"/>
      <c r="B312" s="212"/>
      <c r="C312" s="138"/>
      <c r="D312" s="138"/>
      <c r="E312" s="138"/>
      <c r="F312" s="138"/>
      <c r="G312" s="138"/>
      <c r="H312" s="139"/>
      <c r="I312" s="138"/>
      <c r="J312" s="138"/>
      <c r="K312" s="138"/>
      <c r="L312" s="138"/>
      <c r="M312" s="139"/>
      <c r="N312" s="138"/>
      <c r="O312" s="138"/>
      <c r="P312" s="138"/>
      <c r="Q312" s="139"/>
      <c r="R312" s="139"/>
      <c r="S312" s="212"/>
      <c r="T312" s="138"/>
    </row>
    <row r="313" spans="1:20" ht="34.950000000000003" customHeight="1" x14ac:dyDescent="0.3">
      <c r="A313" s="136"/>
      <c r="B313" s="212"/>
      <c r="C313" s="138"/>
      <c r="D313" s="138"/>
      <c r="E313" s="138"/>
      <c r="F313" s="138"/>
      <c r="G313" s="138"/>
      <c r="H313" s="139"/>
      <c r="I313" s="138"/>
      <c r="J313" s="138"/>
      <c r="K313" s="138"/>
      <c r="L313" s="138"/>
      <c r="M313" s="139"/>
      <c r="N313" s="138"/>
      <c r="O313" s="138"/>
      <c r="P313" s="138"/>
      <c r="Q313" s="139"/>
      <c r="R313" s="139"/>
      <c r="S313" s="212"/>
      <c r="T313" s="138"/>
    </row>
    <row r="314" spans="1:20" ht="34.950000000000003" customHeight="1" x14ac:dyDescent="0.3">
      <c r="A314" s="136"/>
      <c r="B314" s="212"/>
      <c r="C314" s="138"/>
      <c r="D314" s="138"/>
      <c r="E314" s="138"/>
      <c r="F314" s="138"/>
      <c r="G314" s="138"/>
      <c r="H314" s="139"/>
      <c r="I314" s="138"/>
      <c r="J314" s="138"/>
      <c r="K314" s="138"/>
      <c r="L314" s="138"/>
      <c r="M314" s="139"/>
      <c r="N314" s="138"/>
      <c r="O314" s="138"/>
      <c r="P314" s="138"/>
      <c r="Q314" s="139"/>
      <c r="R314" s="139"/>
      <c r="S314" s="212"/>
      <c r="T314" s="138"/>
    </row>
    <row r="315" spans="1:20" ht="34.950000000000003" customHeight="1" x14ac:dyDescent="0.3">
      <c r="A315" s="136"/>
      <c r="B315" s="212"/>
      <c r="C315" s="138"/>
      <c r="D315" s="138"/>
      <c r="E315" s="138"/>
      <c r="F315" s="138"/>
      <c r="G315" s="138"/>
      <c r="H315" s="139"/>
      <c r="I315" s="138"/>
      <c r="J315" s="138"/>
      <c r="K315" s="138"/>
      <c r="L315" s="138"/>
      <c r="M315" s="139"/>
      <c r="N315" s="138"/>
      <c r="O315" s="138"/>
      <c r="P315" s="138"/>
      <c r="Q315" s="139"/>
      <c r="R315" s="139"/>
      <c r="S315" s="212"/>
      <c r="T315" s="138"/>
    </row>
    <row r="316" spans="1:20" ht="34.950000000000003" customHeight="1" x14ac:dyDescent="0.3">
      <c r="A316" s="136"/>
      <c r="B316" s="212"/>
      <c r="C316" s="138"/>
      <c r="D316" s="138"/>
      <c r="E316" s="138"/>
      <c r="F316" s="138"/>
      <c r="G316" s="138"/>
      <c r="H316" s="139"/>
      <c r="I316" s="138"/>
      <c r="J316" s="138"/>
      <c r="K316" s="138"/>
      <c r="L316" s="138"/>
      <c r="M316" s="139"/>
      <c r="N316" s="138"/>
      <c r="O316" s="138"/>
      <c r="P316" s="138"/>
      <c r="Q316" s="139"/>
      <c r="R316" s="139"/>
      <c r="S316" s="212"/>
      <c r="T316" s="138"/>
    </row>
    <row r="317" spans="1:20" ht="34.950000000000003" customHeight="1" x14ac:dyDescent="0.3">
      <c r="A317" s="136"/>
      <c r="B317" s="212"/>
      <c r="C317" s="138"/>
      <c r="D317" s="138"/>
      <c r="E317" s="138"/>
      <c r="F317" s="138"/>
      <c r="G317" s="138"/>
      <c r="H317" s="139"/>
      <c r="I317" s="138"/>
      <c r="J317" s="138"/>
      <c r="K317" s="138"/>
      <c r="L317" s="138"/>
      <c r="M317" s="139"/>
      <c r="N317" s="138"/>
      <c r="O317" s="138"/>
      <c r="P317" s="138"/>
      <c r="Q317" s="139"/>
      <c r="R317" s="139"/>
      <c r="S317" s="212"/>
      <c r="T317" s="138"/>
    </row>
    <row r="318" spans="1:20" ht="34.950000000000003" customHeight="1" x14ac:dyDescent="0.3">
      <c r="A318" s="136"/>
      <c r="B318" s="212"/>
      <c r="C318" s="138"/>
      <c r="D318" s="138"/>
      <c r="E318" s="138"/>
      <c r="F318" s="138"/>
      <c r="G318" s="138"/>
      <c r="H318" s="139"/>
      <c r="I318" s="138"/>
      <c r="J318" s="138"/>
      <c r="K318" s="138"/>
      <c r="L318" s="138"/>
      <c r="M318" s="139"/>
      <c r="N318" s="138"/>
      <c r="O318" s="138"/>
      <c r="P318" s="138"/>
      <c r="Q318" s="139"/>
      <c r="R318" s="139"/>
      <c r="S318" s="212"/>
      <c r="T318" s="138"/>
    </row>
    <row r="319" spans="1:20" ht="34.950000000000003" customHeight="1" x14ac:dyDescent="0.3">
      <c r="A319" s="136"/>
      <c r="B319" s="212"/>
      <c r="C319" s="138"/>
      <c r="D319" s="138"/>
      <c r="E319" s="138"/>
      <c r="F319" s="138"/>
      <c r="G319" s="138"/>
      <c r="H319" s="139"/>
      <c r="I319" s="138"/>
      <c r="J319" s="138"/>
      <c r="K319" s="138"/>
      <c r="L319" s="138"/>
      <c r="M319" s="139"/>
      <c r="N319" s="138"/>
      <c r="O319" s="138"/>
      <c r="P319" s="138"/>
      <c r="Q319" s="139"/>
      <c r="R319" s="139"/>
      <c r="S319" s="212"/>
      <c r="T319" s="138"/>
    </row>
    <row r="320" spans="1:20" ht="34.950000000000003" customHeight="1" x14ac:dyDescent="0.3">
      <c r="A320" s="136"/>
      <c r="B320" s="212"/>
      <c r="C320" s="138"/>
      <c r="D320" s="138"/>
      <c r="E320" s="138"/>
      <c r="F320" s="138"/>
      <c r="G320" s="138"/>
      <c r="H320" s="139"/>
      <c r="I320" s="138"/>
      <c r="J320" s="138"/>
      <c r="K320" s="138"/>
      <c r="L320" s="138"/>
      <c r="M320" s="139"/>
      <c r="N320" s="138"/>
      <c r="O320" s="138"/>
      <c r="P320" s="138"/>
      <c r="Q320" s="139"/>
      <c r="R320" s="139"/>
      <c r="S320" s="212"/>
      <c r="T320" s="138"/>
    </row>
    <row r="321" spans="1:20" ht="34.950000000000003" customHeight="1" x14ac:dyDescent="0.3">
      <c r="A321" s="136"/>
      <c r="B321" s="212"/>
      <c r="C321" s="138"/>
      <c r="D321" s="138"/>
      <c r="E321" s="138"/>
      <c r="F321" s="138"/>
      <c r="G321" s="138"/>
      <c r="H321" s="139"/>
      <c r="I321" s="138"/>
      <c r="J321" s="138"/>
      <c r="K321" s="138"/>
      <c r="L321" s="138"/>
      <c r="M321" s="139"/>
      <c r="N321" s="138"/>
      <c r="O321" s="138"/>
      <c r="P321" s="138"/>
      <c r="Q321" s="139"/>
      <c r="R321" s="139"/>
      <c r="S321" s="212"/>
      <c r="T321" s="138"/>
    </row>
    <row r="322" spans="1:20" ht="34.950000000000003" customHeight="1" x14ac:dyDescent="0.3">
      <c r="A322" s="136"/>
      <c r="B322" s="212"/>
      <c r="C322" s="138"/>
      <c r="D322" s="138"/>
      <c r="E322" s="138"/>
      <c r="F322" s="138"/>
      <c r="G322" s="138"/>
      <c r="H322" s="139"/>
      <c r="I322" s="138"/>
      <c r="J322" s="138"/>
      <c r="K322" s="138"/>
      <c r="L322" s="138"/>
      <c r="M322" s="139"/>
      <c r="N322" s="138"/>
      <c r="O322" s="138"/>
      <c r="P322" s="138"/>
      <c r="Q322" s="139"/>
      <c r="R322" s="139"/>
      <c r="S322" s="212"/>
      <c r="T322" s="138"/>
    </row>
    <row r="323" spans="1:20" ht="34.950000000000003" customHeight="1" x14ac:dyDescent="0.3">
      <c r="A323" s="136"/>
      <c r="B323" s="212"/>
      <c r="C323" s="138"/>
      <c r="D323" s="138"/>
      <c r="E323" s="138"/>
      <c r="F323" s="138"/>
      <c r="G323" s="138"/>
      <c r="H323" s="139"/>
      <c r="I323" s="138"/>
      <c r="J323" s="138"/>
      <c r="K323" s="138"/>
      <c r="L323" s="138"/>
      <c r="M323" s="139"/>
      <c r="N323" s="138"/>
      <c r="O323" s="138"/>
      <c r="P323" s="138"/>
      <c r="Q323" s="139"/>
      <c r="R323" s="139"/>
      <c r="S323" s="212"/>
      <c r="T323" s="138"/>
    </row>
    <row r="324" spans="1:20" ht="34.950000000000003" customHeight="1" x14ac:dyDescent="0.3">
      <c r="A324" s="136"/>
      <c r="B324" s="212"/>
      <c r="C324" s="138"/>
      <c r="D324" s="138"/>
      <c r="E324" s="138"/>
      <c r="F324" s="138"/>
      <c r="G324" s="138"/>
      <c r="H324" s="139"/>
      <c r="I324" s="138"/>
      <c r="J324" s="138"/>
      <c r="K324" s="138"/>
      <c r="L324" s="138"/>
      <c r="M324" s="139"/>
      <c r="N324" s="138"/>
      <c r="O324" s="138"/>
      <c r="P324" s="138"/>
      <c r="Q324" s="139"/>
      <c r="R324" s="139"/>
      <c r="S324" s="212"/>
      <c r="T324" s="138"/>
    </row>
    <row r="325" spans="1:20" ht="34.950000000000003" customHeight="1" x14ac:dyDescent="0.3">
      <c r="A325" s="136"/>
      <c r="B325" s="212"/>
      <c r="C325" s="138"/>
      <c r="D325" s="138"/>
      <c r="E325" s="138"/>
      <c r="F325" s="138"/>
      <c r="G325" s="138"/>
      <c r="H325" s="139"/>
      <c r="I325" s="138"/>
      <c r="J325" s="138"/>
      <c r="K325" s="138"/>
      <c r="L325" s="138"/>
      <c r="M325" s="139"/>
      <c r="N325" s="138"/>
      <c r="O325" s="138"/>
      <c r="P325" s="138"/>
      <c r="Q325" s="139"/>
      <c r="R325" s="139"/>
      <c r="S325" s="212"/>
      <c r="T325" s="138"/>
    </row>
    <row r="326" spans="1:20" ht="34.950000000000003" customHeight="1" x14ac:dyDescent="0.3">
      <c r="A326" s="136"/>
      <c r="B326" s="212"/>
      <c r="C326" s="138"/>
      <c r="D326" s="138"/>
      <c r="E326" s="138"/>
      <c r="F326" s="138"/>
      <c r="G326" s="138"/>
      <c r="H326" s="139"/>
      <c r="I326" s="138"/>
      <c r="J326" s="138"/>
      <c r="K326" s="138"/>
      <c r="L326" s="138"/>
      <c r="M326" s="139"/>
      <c r="N326" s="138"/>
      <c r="O326" s="138"/>
      <c r="P326" s="138"/>
      <c r="Q326" s="139"/>
      <c r="R326" s="139"/>
      <c r="S326" s="212"/>
      <c r="T326" s="138"/>
    </row>
    <row r="327" spans="1:20" ht="34.950000000000003" customHeight="1" x14ac:dyDescent="0.3">
      <c r="A327" s="136"/>
      <c r="B327" s="212"/>
      <c r="C327" s="138"/>
      <c r="D327" s="138"/>
      <c r="E327" s="138"/>
      <c r="F327" s="138"/>
      <c r="G327" s="138"/>
      <c r="H327" s="139"/>
      <c r="I327" s="138"/>
      <c r="J327" s="138"/>
      <c r="K327" s="138"/>
      <c r="L327" s="138"/>
      <c r="M327" s="139"/>
      <c r="N327" s="138"/>
      <c r="O327" s="138"/>
      <c r="P327" s="138"/>
      <c r="Q327" s="139"/>
      <c r="R327" s="139"/>
      <c r="S327" s="212"/>
      <c r="T327" s="138"/>
    </row>
    <row r="328" spans="1:20" ht="34.950000000000003" customHeight="1" x14ac:dyDescent="0.3">
      <c r="A328" s="136"/>
      <c r="B328" s="212"/>
      <c r="C328" s="138"/>
      <c r="D328" s="138"/>
      <c r="E328" s="138"/>
      <c r="F328" s="138"/>
      <c r="G328" s="138"/>
      <c r="H328" s="139"/>
      <c r="I328" s="138"/>
      <c r="J328" s="138"/>
      <c r="K328" s="138"/>
      <c r="L328" s="138"/>
      <c r="M328" s="139"/>
      <c r="N328" s="138"/>
      <c r="O328" s="138"/>
      <c r="P328" s="138"/>
      <c r="Q328" s="139"/>
      <c r="R328" s="139"/>
      <c r="S328" s="212"/>
      <c r="T328" s="138"/>
    </row>
    <row r="329" spans="1:20" ht="34.950000000000003" customHeight="1" x14ac:dyDescent="0.3">
      <c r="A329" s="136"/>
      <c r="B329" s="212"/>
      <c r="C329" s="138"/>
      <c r="D329" s="138"/>
      <c r="E329" s="138"/>
      <c r="F329" s="138"/>
      <c r="G329" s="138"/>
      <c r="H329" s="139"/>
      <c r="I329" s="138"/>
      <c r="J329" s="138"/>
      <c r="K329" s="138"/>
      <c r="L329" s="138"/>
      <c r="M329" s="139"/>
      <c r="N329" s="138"/>
      <c r="O329" s="138"/>
      <c r="P329" s="138"/>
      <c r="Q329" s="139"/>
      <c r="R329" s="139"/>
      <c r="S329" s="212"/>
      <c r="T329" s="138"/>
    </row>
    <row r="330" spans="1:20" ht="34.950000000000003" customHeight="1" x14ac:dyDescent="0.3">
      <c r="A330" s="136"/>
      <c r="B330" s="212"/>
      <c r="C330" s="138"/>
      <c r="D330" s="138"/>
      <c r="E330" s="138"/>
      <c r="F330" s="138"/>
      <c r="G330" s="138"/>
      <c r="H330" s="139"/>
      <c r="I330" s="138"/>
      <c r="J330" s="138"/>
      <c r="K330" s="138"/>
      <c r="L330" s="138"/>
      <c r="M330" s="139"/>
      <c r="N330" s="138"/>
      <c r="O330" s="138"/>
      <c r="P330" s="138"/>
      <c r="Q330" s="139"/>
      <c r="R330" s="139"/>
      <c r="S330" s="212"/>
      <c r="T330" s="138"/>
    </row>
    <row r="331" spans="1:20" ht="34.950000000000003" customHeight="1" x14ac:dyDescent="0.3">
      <c r="A331" s="136"/>
      <c r="B331" s="212"/>
      <c r="C331" s="138"/>
      <c r="D331" s="138"/>
      <c r="E331" s="138"/>
      <c r="F331" s="138"/>
      <c r="G331" s="138"/>
      <c r="H331" s="139"/>
      <c r="I331" s="138"/>
      <c r="J331" s="138"/>
      <c r="K331" s="138"/>
      <c r="L331" s="138"/>
      <c r="M331" s="139"/>
      <c r="N331" s="138"/>
      <c r="O331" s="138"/>
      <c r="P331" s="138"/>
      <c r="Q331" s="139"/>
      <c r="R331" s="139"/>
      <c r="S331" s="212"/>
      <c r="T331" s="138"/>
    </row>
    <row r="332" spans="1:20" ht="34.950000000000003" customHeight="1" x14ac:dyDescent="0.3">
      <c r="A332" s="136"/>
      <c r="B332" s="212"/>
      <c r="C332" s="138"/>
      <c r="D332" s="138"/>
      <c r="E332" s="138"/>
      <c r="F332" s="138"/>
      <c r="G332" s="138"/>
      <c r="H332" s="139"/>
      <c r="I332" s="138"/>
      <c r="J332" s="138"/>
      <c r="K332" s="138"/>
      <c r="L332" s="138"/>
      <c r="M332" s="139"/>
      <c r="N332" s="138"/>
      <c r="O332" s="138"/>
      <c r="P332" s="138"/>
      <c r="Q332" s="139"/>
      <c r="R332" s="139"/>
      <c r="S332" s="212"/>
      <c r="T332" s="138"/>
    </row>
    <row r="333" spans="1:20" ht="34.950000000000003" customHeight="1" x14ac:dyDescent="0.3">
      <c r="A333" s="136"/>
      <c r="B333" s="212"/>
      <c r="C333" s="138"/>
      <c r="D333" s="138"/>
      <c r="E333" s="138"/>
      <c r="F333" s="138"/>
      <c r="G333" s="138"/>
      <c r="H333" s="139"/>
      <c r="I333" s="138"/>
      <c r="J333" s="138"/>
      <c r="K333" s="138"/>
      <c r="L333" s="138"/>
      <c r="M333" s="139"/>
      <c r="N333" s="138"/>
      <c r="O333" s="138"/>
      <c r="P333" s="138"/>
      <c r="Q333" s="139"/>
      <c r="R333" s="139"/>
      <c r="S333" s="212"/>
      <c r="T333" s="138"/>
    </row>
    <row r="334" spans="1:20" ht="34.950000000000003" customHeight="1" x14ac:dyDescent="0.3">
      <c r="A334" s="136"/>
      <c r="B334" s="212"/>
      <c r="C334" s="138"/>
      <c r="D334" s="138"/>
      <c r="E334" s="138"/>
      <c r="F334" s="138"/>
      <c r="G334" s="138"/>
      <c r="H334" s="139"/>
      <c r="I334" s="138"/>
      <c r="J334" s="138"/>
      <c r="K334" s="138"/>
      <c r="L334" s="138"/>
      <c r="M334" s="139"/>
      <c r="N334" s="138"/>
      <c r="O334" s="138"/>
      <c r="P334" s="138"/>
      <c r="Q334" s="139"/>
      <c r="R334" s="139"/>
      <c r="S334" s="212"/>
      <c r="T334" s="138"/>
    </row>
    <row r="335" spans="1:20" ht="34.950000000000003" customHeight="1" x14ac:dyDescent="0.3">
      <c r="A335" s="136"/>
      <c r="B335" s="212"/>
      <c r="C335" s="138"/>
      <c r="D335" s="138"/>
      <c r="E335" s="138"/>
      <c r="F335" s="138"/>
      <c r="G335" s="138"/>
      <c r="H335" s="139"/>
      <c r="I335" s="138"/>
      <c r="J335" s="138"/>
      <c r="K335" s="138"/>
      <c r="L335" s="138"/>
      <c r="M335" s="139"/>
      <c r="N335" s="138"/>
      <c r="O335" s="138"/>
      <c r="P335" s="138"/>
      <c r="Q335" s="139"/>
      <c r="R335" s="139"/>
      <c r="S335" s="212"/>
      <c r="T335" s="138"/>
    </row>
    <row r="336" spans="1:20" ht="34.950000000000003" customHeight="1" x14ac:dyDescent="0.3">
      <c r="A336" s="136"/>
      <c r="B336" s="212"/>
      <c r="C336" s="138"/>
      <c r="D336" s="138"/>
      <c r="E336" s="138"/>
      <c r="F336" s="138"/>
      <c r="G336" s="138"/>
      <c r="H336" s="139"/>
      <c r="I336" s="138"/>
      <c r="J336" s="138"/>
      <c r="K336" s="138"/>
      <c r="L336" s="138"/>
      <c r="M336" s="139"/>
      <c r="N336" s="138"/>
      <c r="O336" s="138"/>
      <c r="P336" s="138"/>
      <c r="Q336" s="139"/>
      <c r="R336" s="139"/>
      <c r="S336" s="212"/>
      <c r="T336" s="138"/>
    </row>
    <row r="337" spans="1:20" ht="34.950000000000003" customHeight="1" x14ac:dyDescent="0.3">
      <c r="A337" s="136"/>
      <c r="B337" s="212"/>
      <c r="C337" s="138"/>
      <c r="D337" s="138"/>
      <c r="E337" s="138"/>
      <c r="F337" s="138"/>
      <c r="G337" s="138"/>
      <c r="H337" s="139"/>
      <c r="I337" s="138"/>
      <c r="J337" s="138"/>
      <c r="K337" s="138"/>
      <c r="L337" s="138"/>
      <c r="M337" s="139"/>
      <c r="N337" s="138"/>
      <c r="O337" s="138"/>
      <c r="P337" s="138"/>
      <c r="Q337" s="139"/>
      <c r="R337" s="139"/>
      <c r="S337" s="212"/>
      <c r="T337" s="138"/>
    </row>
    <row r="338" spans="1:20" ht="34.950000000000003" customHeight="1" x14ac:dyDescent="0.3">
      <c r="A338" s="136"/>
      <c r="B338" s="212"/>
      <c r="C338" s="138"/>
      <c r="D338" s="138"/>
      <c r="E338" s="138"/>
      <c r="F338" s="138"/>
      <c r="G338" s="138"/>
      <c r="H338" s="139"/>
      <c r="I338" s="138"/>
      <c r="J338" s="138"/>
      <c r="K338" s="138"/>
      <c r="L338" s="138"/>
      <c r="M338" s="139"/>
      <c r="N338" s="138"/>
      <c r="O338" s="138"/>
      <c r="P338" s="138"/>
      <c r="Q338" s="139"/>
      <c r="R338" s="139"/>
      <c r="S338" s="212"/>
      <c r="T338" s="138"/>
    </row>
    <row r="339" spans="1:20" ht="34.950000000000003" customHeight="1" x14ac:dyDescent="0.3">
      <c r="A339" s="136"/>
      <c r="B339" s="212"/>
      <c r="C339" s="138"/>
      <c r="D339" s="138"/>
      <c r="E339" s="138"/>
      <c r="F339" s="138"/>
      <c r="G339" s="138"/>
      <c r="H339" s="139"/>
      <c r="I339" s="138"/>
      <c r="J339" s="138"/>
      <c r="K339" s="138"/>
      <c r="L339" s="138"/>
      <c r="M339" s="139"/>
      <c r="N339" s="138"/>
      <c r="O339" s="138"/>
      <c r="P339" s="138"/>
      <c r="Q339" s="139"/>
      <c r="R339" s="139"/>
      <c r="S339" s="212"/>
      <c r="T339" s="138"/>
    </row>
    <row r="340" spans="1:20" ht="34.950000000000003" customHeight="1" x14ac:dyDescent="0.3">
      <c r="A340" s="136"/>
      <c r="B340" s="212"/>
      <c r="C340" s="138"/>
      <c r="D340" s="138"/>
      <c r="E340" s="138"/>
      <c r="F340" s="138"/>
      <c r="G340" s="138"/>
      <c r="H340" s="139"/>
      <c r="I340" s="138"/>
      <c r="J340" s="138"/>
      <c r="K340" s="138"/>
      <c r="L340" s="138"/>
      <c r="M340" s="139"/>
      <c r="N340" s="138"/>
      <c r="O340" s="138"/>
      <c r="P340" s="138"/>
      <c r="Q340" s="139"/>
      <c r="R340" s="139"/>
      <c r="S340" s="212"/>
      <c r="T340" s="138"/>
    </row>
    <row r="341" spans="1:20" ht="34.950000000000003" customHeight="1" x14ac:dyDescent="0.3">
      <c r="A341" s="136"/>
      <c r="B341" s="212"/>
      <c r="C341" s="138"/>
      <c r="D341" s="138"/>
      <c r="E341" s="138"/>
      <c r="F341" s="138"/>
      <c r="G341" s="138"/>
      <c r="H341" s="139"/>
      <c r="I341" s="138"/>
      <c r="J341" s="138"/>
      <c r="K341" s="138"/>
      <c r="L341" s="138"/>
      <c r="M341" s="139"/>
      <c r="N341" s="138"/>
      <c r="O341" s="138"/>
      <c r="P341" s="138"/>
      <c r="Q341" s="139"/>
      <c r="R341" s="139"/>
      <c r="S341" s="212"/>
      <c r="T341" s="138"/>
    </row>
    <row r="342" spans="1:20" ht="34.950000000000003" customHeight="1" x14ac:dyDescent="0.3">
      <c r="A342" s="136"/>
      <c r="B342" s="212"/>
      <c r="C342" s="138"/>
      <c r="D342" s="138"/>
      <c r="E342" s="138"/>
      <c r="F342" s="138"/>
      <c r="G342" s="138"/>
      <c r="H342" s="139"/>
      <c r="I342" s="138"/>
      <c r="J342" s="138"/>
      <c r="K342" s="138"/>
      <c r="L342" s="138"/>
      <c r="M342" s="139"/>
      <c r="N342" s="138"/>
      <c r="O342" s="138"/>
      <c r="P342" s="138"/>
      <c r="Q342" s="139"/>
      <c r="R342" s="139"/>
      <c r="S342" s="212"/>
      <c r="T342" s="138"/>
    </row>
    <row r="343" spans="1:20" ht="34.950000000000003" customHeight="1" x14ac:dyDescent="0.3">
      <c r="A343" s="136"/>
      <c r="B343" s="212"/>
      <c r="C343" s="138"/>
      <c r="D343" s="138"/>
      <c r="E343" s="138"/>
      <c r="F343" s="138"/>
      <c r="G343" s="138"/>
      <c r="H343" s="139"/>
      <c r="I343" s="138"/>
      <c r="J343" s="138"/>
      <c r="K343" s="138"/>
      <c r="L343" s="138"/>
      <c r="M343" s="139"/>
      <c r="N343" s="138"/>
      <c r="O343" s="138"/>
      <c r="P343" s="138"/>
      <c r="Q343" s="139"/>
      <c r="R343" s="139"/>
      <c r="S343" s="212"/>
      <c r="T343" s="138"/>
    </row>
    <row r="344" spans="1:20" ht="34.950000000000003" customHeight="1" x14ac:dyDescent="0.3">
      <c r="A344" s="136"/>
      <c r="B344" s="212"/>
      <c r="C344" s="138"/>
      <c r="D344" s="138"/>
      <c r="E344" s="138"/>
      <c r="F344" s="138"/>
      <c r="G344" s="138"/>
      <c r="H344" s="139"/>
      <c r="I344" s="138"/>
      <c r="J344" s="138"/>
      <c r="K344" s="138"/>
      <c r="L344" s="138"/>
      <c r="M344" s="139"/>
      <c r="N344" s="138"/>
      <c r="O344" s="138"/>
      <c r="P344" s="138"/>
      <c r="Q344" s="139"/>
      <c r="R344" s="139"/>
      <c r="S344" s="212"/>
      <c r="T344" s="138"/>
    </row>
    <row r="345" spans="1:20" ht="34.950000000000003" customHeight="1" x14ac:dyDescent="0.3">
      <c r="A345" s="136"/>
      <c r="B345" s="212"/>
      <c r="C345" s="138"/>
      <c r="D345" s="138"/>
      <c r="E345" s="138"/>
      <c r="F345" s="138"/>
      <c r="G345" s="138"/>
      <c r="H345" s="139"/>
      <c r="I345" s="138"/>
      <c r="J345" s="138"/>
      <c r="K345" s="138"/>
      <c r="L345" s="138"/>
      <c r="M345" s="139"/>
      <c r="N345" s="138"/>
      <c r="O345" s="138"/>
      <c r="P345" s="138"/>
      <c r="Q345" s="139"/>
      <c r="R345" s="139"/>
      <c r="S345" s="212"/>
      <c r="T345" s="138"/>
    </row>
    <row r="346" spans="1:20" ht="34.950000000000003" customHeight="1" x14ac:dyDescent="0.3">
      <c r="A346" s="136"/>
      <c r="B346" s="212"/>
      <c r="C346" s="138"/>
      <c r="D346" s="138"/>
      <c r="E346" s="138"/>
      <c r="F346" s="138"/>
      <c r="G346" s="138"/>
      <c r="H346" s="139"/>
      <c r="I346" s="138"/>
      <c r="J346" s="138"/>
      <c r="K346" s="138"/>
      <c r="L346" s="138"/>
      <c r="M346" s="139"/>
      <c r="N346" s="138"/>
      <c r="O346" s="138"/>
      <c r="P346" s="138"/>
      <c r="Q346" s="139"/>
      <c r="R346" s="139"/>
      <c r="S346" s="212"/>
      <c r="T346" s="138"/>
    </row>
    <row r="347" spans="1:20" ht="34.950000000000003" customHeight="1" x14ac:dyDescent="0.3">
      <c r="A347" s="136"/>
      <c r="B347" s="212"/>
      <c r="C347" s="138"/>
      <c r="D347" s="138"/>
      <c r="E347" s="138"/>
      <c r="F347" s="138"/>
      <c r="G347" s="138"/>
      <c r="H347" s="139"/>
      <c r="I347" s="138"/>
      <c r="J347" s="138"/>
      <c r="K347" s="138"/>
      <c r="L347" s="138"/>
      <c r="M347" s="139"/>
      <c r="N347" s="138"/>
      <c r="O347" s="138"/>
      <c r="P347" s="138"/>
      <c r="Q347" s="139"/>
      <c r="R347" s="139"/>
      <c r="S347" s="212"/>
      <c r="T347" s="138"/>
    </row>
    <row r="348" spans="1:20" ht="34.950000000000003" customHeight="1" x14ac:dyDescent="0.3">
      <c r="A348" s="136"/>
      <c r="B348" s="212"/>
      <c r="C348" s="138"/>
      <c r="D348" s="138"/>
      <c r="E348" s="138"/>
      <c r="F348" s="138"/>
      <c r="G348" s="138"/>
      <c r="H348" s="139"/>
      <c r="I348" s="138"/>
      <c r="J348" s="138"/>
      <c r="K348" s="138"/>
      <c r="L348" s="138"/>
      <c r="M348" s="139"/>
      <c r="N348" s="138"/>
      <c r="O348" s="138"/>
      <c r="P348" s="138"/>
      <c r="Q348" s="139"/>
      <c r="R348" s="139"/>
      <c r="S348" s="212"/>
      <c r="T348" s="138"/>
    </row>
    <row r="349" spans="1:20" ht="34.950000000000003" customHeight="1" x14ac:dyDescent="0.3">
      <c r="A349" s="136"/>
      <c r="B349" s="212"/>
      <c r="C349" s="138"/>
      <c r="D349" s="138"/>
      <c r="E349" s="138"/>
      <c r="F349" s="138"/>
      <c r="G349" s="138"/>
      <c r="H349" s="139"/>
      <c r="I349" s="138"/>
      <c r="J349" s="138"/>
      <c r="K349" s="138"/>
      <c r="L349" s="138"/>
      <c r="M349" s="139"/>
      <c r="N349" s="138"/>
      <c r="O349" s="138"/>
      <c r="P349" s="138"/>
      <c r="Q349" s="139"/>
      <c r="R349" s="139"/>
      <c r="S349" s="212"/>
      <c r="T349" s="138"/>
    </row>
    <row r="350" spans="1:20" ht="34.950000000000003" customHeight="1" x14ac:dyDescent="0.3">
      <c r="A350" s="136"/>
      <c r="B350" s="212"/>
      <c r="C350" s="138"/>
      <c r="D350" s="138"/>
      <c r="E350" s="138"/>
      <c r="F350" s="138"/>
      <c r="G350" s="138"/>
      <c r="H350" s="139"/>
      <c r="I350" s="138"/>
      <c r="J350" s="138"/>
      <c r="K350" s="138"/>
      <c r="L350" s="138"/>
      <c r="M350" s="139"/>
      <c r="N350" s="138"/>
      <c r="O350" s="138"/>
      <c r="P350" s="138"/>
      <c r="Q350" s="139"/>
      <c r="R350" s="139"/>
      <c r="S350" s="212"/>
      <c r="T350" s="138"/>
    </row>
    <row r="351" spans="1:20" ht="34.950000000000003" customHeight="1" x14ac:dyDescent="0.3">
      <c r="A351" s="136"/>
      <c r="B351" s="212"/>
      <c r="C351" s="138"/>
      <c r="D351" s="138"/>
      <c r="E351" s="138"/>
      <c r="F351" s="138"/>
      <c r="G351" s="138"/>
      <c r="H351" s="139"/>
      <c r="I351" s="138"/>
      <c r="J351" s="138"/>
      <c r="K351" s="138"/>
      <c r="L351" s="138"/>
      <c r="M351" s="139"/>
      <c r="N351" s="138"/>
      <c r="O351" s="138"/>
      <c r="P351" s="138"/>
      <c r="Q351" s="139"/>
      <c r="R351" s="139"/>
      <c r="S351" s="212"/>
      <c r="T351" s="138"/>
    </row>
    <row r="352" spans="1:20" ht="34.950000000000003" customHeight="1" x14ac:dyDescent="0.3">
      <c r="A352" s="136"/>
      <c r="B352" s="212"/>
      <c r="C352" s="138"/>
      <c r="D352" s="138"/>
      <c r="E352" s="138"/>
      <c r="F352" s="138"/>
      <c r="G352" s="138"/>
      <c r="H352" s="139"/>
      <c r="I352" s="138"/>
      <c r="J352" s="138"/>
      <c r="K352" s="138"/>
      <c r="L352" s="138"/>
      <c r="M352" s="139"/>
      <c r="N352" s="138"/>
      <c r="O352" s="138"/>
      <c r="P352" s="138"/>
      <c r="Q352" s="139"/>
      <c r="R352" s="139"/>
      <c r="S352" s="212"/>
      <c r="T352" s="138"/>
    </row>
    <row r="353" spans="1:20" ht="34.950000000000003" customHeight="1" x14ac:dyDescent="0.3">
      <c r="A353" s="136"/>
      <c r="B353" s="212"/>
      <c r="C353" s="138"/>
      <c r="D353" s="138"/>
      <c r="E353" s="138"/>
      <c r="F353" s="138"/>
      <c r="G353" s="138"/>
      <c r="H353" s="139"/>
      <c r="I353" s="138"/>
      <c r="J353" s="138"/>
      <c r="K353" s="138"/>
      <c r="L353" s="138"/>
      <c r="M353" s="139"/>
      <c r="N353" s="138"/>
      <c r="O353" s="138"/>
      <c r="P353" s="138"/>
      <c r="Q353" s="139"/>
      <c r="R353" s="139"/>
      <c r="S353" s="212"/>
      <c r="T353" s="138"/>
    </row>
    <row r="354" spans="1:20" ht="34.950000000000003" customHeight="1" x14ac:dyDescent="0.3">
      <c r="A354" s="136"/>
      <c r="B354" s="212"/>
      <c r="C354" s="138"/>
      <c r="D354" s="138"/>
      <c r="E354" s="138"/>
      <c r="F354" s="138"/>
      <c r="G354" s="138"/>
      <c r="H354" s="139"/>
      <c r="I354" s="138"/>
      <c r="J354" s="138"/>
      <c r="K354" s="138"/>
      <c r="L354" s="138"/>
      <c r="M354" s="139"/>
      <c r="N354" s="138"/>
      <c r="O354" s="138"/>
      <c r="P354" s="138"/>
      <c r="Q354" s="139"/>
      <c r="R354" s="139"/>
      <c r="S354" s="212"/>
      <c r="T354" s="138"/>
    </row>
    <row r="355" spans="1:20" ht="34.950000000000003" customHeight="1" x14ac:dyDescent="0.3">
      <c r="A355" s="136"/>
      <c r="B355" s="212"/>
      <c r="C355" s="138"/>
      <c r="D355" s="138"/>
      <c r="E355" s="138"/>
      <c r="F355" s="138"/>
      <c r="G355" s="138"/>
      <c r="H355" s="139"/>
      <c r="I355" s="138"/>
      <c r="J355" s="138"/>
      <c r="K355" s="138"/>
      <c r="L355" s="138"/>
      <c r="M355" s="139"/>
      <c r="N355" s="138"/>
      <c r="O355" s="138"/>
      <c r="P355" s="138"/>
      <c r="Q355" s="139"/>
      <c r="R355" s="139"/>
      <c r="S355" s="212"/>
      <c r="T355" s="138"/>
    </row>
    <row r="356" spans="1:20" ht="34.950000000000003" customHeight="1" x14ac:dyDescent="0.3">
      <c r="A356" s="136"/>
      <c r="B356" s="212"/>
      <c r="C356" s="138"/>
      <c r="D356" s="138"/>
      <c r="E356" s="138"/>
      <c r="F356" s="138"/>
      <c r="G356" s="138"/>
      <c r="H356" s="139"/>
      <c r="I356" s="138"/>
      <c r="J356" s="138"/>
      <c r="K356" s="138"/>
      <c r="L356" s="138"/>
      <c r="M356" s="139"/>
      <c r="N356" s="138"/>
      <c r="O356" s="138"/>
      <c r="P356" s="138"/>
      <c r="Q356" s="139"/>
      <c r="R356" s="139"/>
      <c r="S356" s="212"/>
      <c r="T356" s="138"/>
    </row>
    <row r="357" spans="1:20" ht="34.950000000000003" customHeight="1" x14ac:dyDescent="0.3">
      <c r="A357" s="136"/>
      <c r="B357" s="212"/>
      <c r="C357" s="138"/>
      <c r="D357" s="138"/>
      <c r="E357" s="138"/>
      <c r="F357" s="138"/>
      <c r="G357" s="138"/>
      <c r="H357" s="139"/>
      <c r="I357" s="138"/>
      <c r="J357" s="138"/>
      <c r="K357" s="138"/>
      <c r="L357" s="138"/>
      <c r="M357" s="139"/>
      <c r="N357" s="138"/>
      <c r="O357" s="138"/>
      <c r="P357" s="138"/>
      <c r="Q357" s="139"/>
      <c r="R357" s="139"/>
      <c r="S357" s="212"/>
      <c r="T357" s="138"/>
    </row>
    <row r="358" spans="1:20" ht="34.950000000000003" customHeight="1" x14ac:dyDescent="0.3">
      <c r="A358" s="136"/>
      <c r="B358" s="212"/>
      <c r="C358" s="138"/>
      <c r="D358" s="138"/>
      <c r="E358" s="138"/>
      <c r="F358" s="138"/>
      <c r="G358" s="138"/>
      <c r="H358" s="139"/>
      <c r="I358" s="138"/>
      <c r="J358" s="138"/>
      <c r="K358" s="138"/>
      <c r="L358" s="138"/>
      <c r="M358" s="139"/>
      <c r="N358" s="138"/>
      <c r="O358" s="138"/>
      <c r="P358" s="138"/>
      <c r="Q358" s="139"/>
      <c r="R358" s="139"/>
      <c r="S358" s="212"/>
      <c r="T358" s="138"/>
    </row>
    <row r="359" spans="1:20" ht="34.950000000000003" customHeight="1" x14ac:dyDescent="0.3">
      <c r="A359" s="136"/>
      <c r="B359" s="212"/>
      <c r="C359" s="138"/>
      <c r="D359" s="138"/>
      <c r="E359" s="138"/>
      <c r="F359" s="138"/>
      <c r="G359" s="138"/>
      <c r="H359" s="139"/>
      <c r="I359" s="138"/>
      <c r="J359" s="138"/>
      <c r="K359" s="138"/>
      <c r="L359" s="138"/>
      <c r="M359" s="139"/>
      <c r="N359" s="138"/>
      <c r="O359" s="138"/>
      <c r="P359" s="138"/>
      <c r="Q359" s="139"/>
      <c r="R359" s="139"/>
      <c r="S359" s="212"/>
      <c r="T359" s="138"/>
    </row>
    <row r="360" spans="1:20" ht="34.950000000000003" customHeight="1" x14ac:dyDescent="0.3">
      <c r="A360" s="136"/>
      <c r="B360" s="212"/>
      <c r="C360" s="138"/>
      <c r="D360" s="138"/>
      <c r="E360" s="138"/>
      <c r="F360" s="138"/>
      <c r="G360" s="138"/>
      <c r="H360" s="139"/>
      <c r="I360" s="138"/>
      <c r="J360" s="138"/>
      <c r="K360" s="138"/>
      <c r="L360" s="138"/>
      <c r="M360" s="139"/>
      <c r="N360" s="138"/>
      <c r="O360" s="138"/>
      <c r="P360" s="138"/>
      <c r="Q360" s="139"/>
      <c r="R360" s="139"/>
      <c r="S360" s="212"/>
      <c r="T360" s="138"/>
    </row>
    <row r="361" spans="1:20" ht="34.950000000000003" customHeight="1" x14ac:dyDescent="0.3">
      <c r="A361" s="136"/>
      <c r="B361" s="212"/>
      <c r="C361" s="138"/>
      <c r="D361" s="138"/>
      <c r="E361" s="138"/>
      <c r="F361" s="138"/>
      <c r="G361" s="138"/>
      <c r="H361" s="139"/>
      <c r="I361" s="138"/>
      <c r="J361" s="138"/>
      <c r="K361" s="138"/>
      <c r="L361" s="138"/>
      <c r="M361" s="139"/>
      <c r="N361" s="138"/>
      <c r="O361" s="138"/>
      <c r="P361" s="138"/>
      <c r="Q361" s="139"/>
      <c r="R361" s="139"/>
      <c r="S361" s="212"/>
      <c r="T361" s="138"/>
    </row>
    <row r="362" spans="1:20" ht="34.950000000000003" customHeight="1" x14ac:dyDescent="0.3">
      <c r="A362" s="136"/>
      <c r="B362" s="212"/>
      <c r="C362" s="138"/>
      <c r="D362" s="138"/>
      <c r="E362" s="138"/>
      <c r="F362" s="138"/>
      <c r="G362" s="138"/>
      <c r="H362" s="139"/>
      <c r="I362" s="138"/>
      <c r="J362" s="138"/>
      <c r="K362" s="138"/>
      <c r="L362" s="138"/>
      <c r="M362" s="139"/>
      <c r="N362" s="138"/>
      <c r="O362" s="138"/>
      <c r="P362" s="138"/>
      <c r="Q362" s="139"/>
      <c r="R362" s="139"/>
      <c r="S362" s="212"/>
      <c r="T362" s="138"/>
    </row>
    <row r="363" spans="1:20" ht="34.950000000000003" customHeight="1" x14ac:dyDescent="0.3">
      <c r="A363" s="136"/>
      <c r="B363" s="212"/>
      <c r="C363" s="138"/>
      <c r="D363" s="138"/>
      <c r="E363" s="138"/>
      <c r="F363" s="138"/>
      <c r="G363" s="138"/>
      <c r="H363" s="139"/>
      <c r="I363" s="138"/>
      <c r="J363" s="138"/>
      <c r="K363" s="138"/>
      <c r="L363" s="138"/>
      <c r="M363" s="139"/>
      <c r="N363" s="138"/>
      <c r="O363" s="138"/>
      <c r="P363" s="138"/>
      <c r="Q363" s="139"/>
      <c r="R363" s="139"/>
      <c r="S363" s="212"/>
      <c r="T363" s="138"/>
    </row>
    <row r="364" spans="1:20" ht="34.950000000000003" customHeight="1" x14ac:dyDescent="0.3">
      <c r="A364" s="136"/>
      <c r="B364" s="212"/>
      <c r="C364" s="138"/>
      <c r="D364" s="138"/>
      <c r="E364" s="138"/>
      <c r="F364" s="138"/>
      <c r="G364" s="138"/>
      <c r="H364" s="139"/>
      <c r="I364" s="138"/>
      <c r="J364" s="138"/>
      <c r="K364" s="138"/>
      <c r="L364" s="138"/>
      <c r="M364" s="139"/>
      <c r="N364" s="138"/>
      <c r="O364" s="138"/>
      <c r="P364" s="138"/>
      <c r="Q364" s="139"/>
      <c r="R364" s="139"/>
      <c r="S364" s="212"/>
      <c r="T364" s="138"/>
    </row>
    <row r="365" spans="1:20" ht="34.950000000000003" customHeight="1" x14ac:dyDescent="0.3">
      <c r="A365" s="136"/>
      <c r="B365" s="212"/>
      <c r="C365" s="138"/>
      <c r="D365" s="138"/>
      <c r="E365" s="138"/>
      <c r="F365" s="138"/>
      <c r="G365" s="138"/>
      <c r="H365" s="139"/>
      <c r="I365" s="138"/>
      <c r="J365" s="138"/>
      <c r="K365" s="138"/>
      <c r="L365" s="138"/>
      <c r="M365" s="139"/>
      <c r="N365" s="138"/>
      <c r="O365" s="138"/>
      <c r="P365" s="138"/>
      <c r="Q365" s="139"/>
      <c r="R365" s="139"/>
      <c r="S365" s="212"/>
      <c r="T365" s="138"/>
    </row>
    <row r="366" spans="1:20" ht="34.950000000000003" customHeight="1" x14ac:dyDescent="0.3">
      <c r="A366" s="136"/>
      <c r="B366" s="212"/>
      <c r="C366" s="138"/>
      <c r="D366" s="138"/>
      <c r="E366" s="138"/>
      <c r="F366" s="138"/>
      <c r="G366" s="138"/>
      <c r="H366" s="139"/>
      <c r="I366" s="138"/>
      <c r="J366" s="138"/>
      <c r="K366" s="138"/>
      <c r="L366" s="138"/>
      <c r="M366" s="139"/>
      <c r="N366" s="138"/>
      <c r="O366" s="138"/>
      <c r="P366" s="138"/>
      <c r="Q366" s="139"/>
      <c r="R366" s="139"/>
      <c r="S366" s="212"/>
      <c r="T366" s="138"/>
    </row>
    <row r="367" spans="1:20" ht="34.950000000000003" customHeight="1" x14ac:dyDescent="0.3">
      <c r="A367" s="136"/>
      <c r="B367" s="212"/>
      <c r="C367" s="138"/>
      <c r="D367" s="138"/>
      <c r="E367" s="138"/>
      <c r="F367" s="138"/>
      <c r="G367" s="138"/>
      <c r="H367" s="139"/>
      <c r="I367" s="138"/>
      <c r="J367" s="138"/>
      <c r="K367" s="138"/>
      <c r="L367" s="138"/>
      <c r="M367" s="139"/>
      <c r="N367" s="138"/>
      <c r="O367" s="138"/>
      <c r="P367" s="138"/>
      <c r="Q367" s="139"/>
      <c r="R367" s="139"/>
      <c r="S367" s="212"/>
      <c r="T367" s="138"/>
    </row>
    <row r="368" spans="1:20" ht="34.950000000000003" customHeight="1" x14ac:dyDescent="0.3">
      <c r="A368" s="136"/>
      <c r="B368" s="212"/>
      <c r="C368" s="138"/>
      <c r="D368" s="138"/>
      <c r="E368" s="138"/>
      <c r="F368" s="138"/>
      <c r="G368" s="138"/>
      <c r="H368" s="139"/>
      <c r="I368" s="138"/>
      <c r="J368" s="138"/>
      <c r="K368" s="138"/>
      <c r="L368" s="138"/>
      <c r="M368" s="139"/>
      <c r="N368" s="138"/>
      <c r="O368" s="138"/>
      <c r="P368" s="138"/>
      <c r="Q368" s="139"/>
      <c r="R368" s="139"/>
      <c r="S368" s="212"/>
      <c r="T368" s="138"/>
    </row>
    <row r="369" spans="1:20" ht="34.950000000000003" customHeight="1" x14ac:dyDescent="0.3">
      <c r="A369" s="136"/>
      <c r="B369" s="212"/>
      <c r="C369" s="138"/>
      <c r="D369" s="138"/>
      <c r="E369" s="138"/>
      <c r="F369" s="138"/>
      <c r="G369" s="138"/>
      <c r="H369" s="139"/>
      <c r="I369" s="138"/>
      <c r="J369" s="138"/>
      <c r="K369" s="138"/>
      <c r="L369" s="138"/>
      <c r="M369" s="139"/>
      <c r="N369" s="138"/>
      <c r="O369" s="138"/>
      <c r="P369" s="138"/>
      <c r="Q369" s="139"/>
      <c r="R369" s="139"/>
      <c r="S369" s="212"/>
      <c r="T369" s="138"/>
    </row>
    <row r="370" spans="1:20" ht="34.950000000000003" customHeight="1" x14ac:dyDescent="0.3">
      <c r="A370" s="136"/>
      <c r="B370" s="212"/>
      <c r="C370" s="138"/>
      <c r="D370" s="138"/>
      <c r="E370" s="138"/>
      <c r="F370" s="138"/>
      <c r="G370" s="138"/>
      <c r="H370" s="139"/>
      <c r="I370" s="138"/>
      <c r="J370" s="138"/>
      <c r="K370" s="138"/>
      <c r="L370" s="138"/>
      <c r="M370" s="139"/>
      <c r="N370" s="138"/>
      <c r="O370" s="138"/>
      <c r="P370" s="138"/>
      <c r="Q370" s="139"/>
      <c r="R370" s="139"/>
      <c r="S370" s="212"/>
      <c r="T370" s="138"/>
    </row>
    <row r="371" spans="1:20" ht="34.950000000000003" customHeight="1" x14ac:dyDescent="0.3">
      <c r="A371" s="136"/>
      <c r="B371" s="212"/>
      <c r="C371" s="138"/>
      <c r="D371" s="138"/>
      <c r="E371" s="138"/>
      <c r="F371" s="138"/>
      <c r="G371" s="138"/>
      <c r="H371" s="139"/>
      <c r="I371" s="138"/>
      <c r="J371" s="138"/>
      <c r="K371" s="138"/>
      <c r="L371" s="138"/>
      <c r="M371" s="139"/>
      <c r="N371" s="138"/>
      <c r="O371" s="138"/>
      <c r="P371" s="138"/>
      <c r="Q371" s="139"/>
      <c r="R371" s="139"/>
      <c r="S371" s="212"/>
      <c r="T371" s="138"/>
    </row>
    <row r="372" spans="1:20" ht="34.950000000000003" customHeight="1" x14ac:dyDescent="0.3">
      <c r="A372" s="136"/>
      <c r="B372" s="212"/>
      <c r="C372" s="138"/>
      <c r="D372" s="138"/>
      <c r="E372" s="138"/>
      <c r="F372" s="138"/>
      <c r="G372" s="138"/>
      <c r="H372" s="139"/>
      <c r="I372" s="138"/>
      <c r="J372" s="138"/>
      <c r="K372" s="138"/>
      <c r="L372" s="138"/>
      <c r="M372" s="139"/>
      <c r="N372" s="138"/>
      <c r="O372" s="138"/>
      <c r="P372" s="138"/>
      <c r="Q372" s="139"/>
      <c r="R372" s="139"/>
      <c r="S372" s="212"/>
      <c r="T372" s="138"/>
    </row>
    <row r="373" spans="1:20" ht="34.950000000000003" customHeight="1" x14ac:dyDescent="0.3">
      <c r="A373" s="136"/>
      <c r="B373" s="212"/>
      <c r="C373" s="138"/>
      <c r="D373" s="138"/>
      <c r="E373" s="138"/>
      <c r="F373" s="138"/>
      <c r="G373" s="138"/>
      <c r="H373" s="139"/>
      <c r="I373" s="138"/>
      <c r="J373" s="138"/>
      <c r="K373" s="138"/>
      <c r="L373" s="138"/>
      <c r="M373" s="139"/>
      <c r="N373" s="138"/>
      <c r="O373" s="138"/>
      <c r="P373" s="138"/>
      <c r="Q373" s="139"/>
      <c r="R373" s="139"/>
      <c r="S373" s="212"/>
      <c r="T373" s="138"/>
    </row>
    <row r="374" spans="1:20" ht="34.950000000000003" customHeight="1" x14ac:dyDescent="0.3">
      <c r="A374" s="136"/>
      <c r="B374" s="212"/>
      <c r="C374" s="138"/>
      <c r="D374" s="138"/>
      <c r="E374" s="138"/>
      <c r="F374" s="138"/>
      <c r="G374" s="138"/>
      <c r="H374" s="139"/>
      <c r="I374" s="138"/>
      <c r="J374" s="138"/>
      <c r="K374" s="138"/>
      <c r="L374" s="138"/>
      <c r="M374" s="139"/>
      <c r="N374" s="138"/>
      <c r="O374" s="138"/>
      <c r="P374" s="138"/>
      <c r="Q374" s="139"/>
      <c r="R374" s="139"/>
      <c r="S374" s="212"/>
      <c r="T374" s="138"/>
    </row>
    <row r="375" spans="1:20" ht="34.950000000000003" customHeight="1" x14ac:dyDescent="0.3">
      <c r="A375" s="136"/>
      <c r="B375" s="212"/>
      <c r="C375" s="138"/>
      <c r="D375" s="138"/>
      <c r="E375" s="138"/>
      <c r="F375" s="138"/>
      <c r="G375" s="138"/>
      <c r="H375" s="139"/>
      <c r="I375" s="138"/>
      <c r="J375" s="138"/>
      <c r="K375" s="138"/>
      <c r="L375" s="138"/>
      <c r="M375" s="139"/>
      <c r="N375" s="138"/>
      <c r="O375" s="138"/>
      <c r="P375" s="138"/>
      <c r="Q375" s="139"/>
      <c r="R375" s="139"/>
      <c r="S375" s="212"/>
      <c r="T375" s="138"/>
    </row>
    <row r="376" spans="1:20" ht="34.950000000000003" customHeight="1" x14ac:dyDescent="0.3">
      <c r="A376" s="136"/>
      <c r="B376" s="212"/>
      <c r="C376" s="138"/>
      <c r="D376" s="138"/>
      <c r="E376" s="138"/>
      <c r="F376" s="138"/>
      <c r="G376" s="138"/>
      <c r="H376" s="139"/>
      <c r="I376" s="138"/>
      <c r="J376" s="138"/>
      <c r="K376" s="138"/>
      <c r="L376" s="138"/>
      <c r="M376" s="139"/>
      <c r="N376" s="138"/>
      <c r="O376" s="138"/>
      <c r="P376" s="138"/>
      <c r="Q376" s="139"/>
      <c r="R376" s="139"/>
      <c r="S376" s="212"/>
      <c r="T376" s="138"/>
    </row>
    <row r="377" spans="1:20" ht="34.950000000000003" customHeight="1" x14ac:dyDescent="0.3">
      <c r="A377" s="136"/>
      <c r="B377" s="212"/>
      <c r="C377" s="138"/>
      <c r="D377" s="138"/>
      <c r="E377" s="138"/>
      <c r="F377" s="138"/>
      <c r="G377" s="138"/>
      <c r="H377" s="139"/>
      <c r="I377" s="138"/>
      <c r="J377" s="138"/>
      <c r="K377" s="138"/>
      <c r="L377" s="138"/>
      <c r="M377" s="139"/>
      <c r="N377" s="138"/>
      <c r="O377" s="138"/>
      <c r="P377" s="138"/>
      <c r="Q377" s="139"/>
      <c r="R377" s="139"/>
      <c r="S377" s="212"/>
      <c r="T377" s="138"/>
    </row>
    <row r="378" spans="1:20" ht="34.950000000000003" customHeight="1" x14ac:dyDescent="0.3">
      <c r="A378" s="136"/>
      <c r="B378" s="212"/>
      <c r="C378" s="138"/>
      <c r="D378" s="138"/>
      <c r="E378" s="138"/>
      <c r="F378" s="138"/>
      <c r="G378" s="138"/>
      <c r="H378" s="139"/>
      <c r="I378" s="138"/>
      <c r="J378" s="138"/>
      <c r="K378" s="138"/>
      <c r="L378" s="138"/>
      <c r="M378" s="139"/>
      <c r="N378" s="138"/>
      <c r="O378" s="138"/>
      <c r="P378" s="138"/>
      <c r="Q378" s="139"/>
      <c r="R378" s="139"/>
      <c r="S378" s="212"/>
      <c r="T378" s="138"/>
    </row>
    <row r="379" spans="1:20" ht="34.950000000000003" customHeight="1" x14ac:dyDescent="0.3">
      <c r="A379" s="136"/>
      <c r="B379" s="212"/>
      <c r="C379" s="138"/>
      <c r="D379" s="138"/>
      <c r="E379" s="138"/>
      <c r="F379" s="138"/>
      <c r="G379" s="138"/>
      <c r="H379" s="139"/>
      <c r="I379" s="138"/>
      <c r="J379" s="138"/>
      <c r="K379" s="138"/>
      <c r="L379" s="138"/>
      <c r="M379" s="139"/>
      <c r="N379" s="138"/>
      <c r="O379" s="138"/>
      <c r="P379" s="138"/>
      <c r="Q379" s="139"/>
      <c r="R379" s="139"/>
      <c r="S379" s="212"/>
      <c r="T379" s="138"/>
    </row>
    <row r="380" spans="1:20" ht="34.950000000000003" customHeight="1" x14ac:dyDescent="0.3">
      <c r="A380" s="136"/>
      <c r="B380" s="212"/>
      <c r="C380" s="138"/>
      <c r="D380" s="138"/>
      <c r="E380" s="138"/>
      <c r="F380" s="138"/>
      <c r="G380" s="138"/>
      <c r="H380" s="139"/>
      <c r="I380" s="138"/>
      <c r="J380" s="138"/>
      <c r="K380" s="138"/>
      <c r="L380" s="138"/>
      <c r="M380" s="139"/>
      <c r="N380" s="138"/>
      <c r="O380" s="138"/>
      <c r="P380" s="138"/>
      <c r="Q380" s="139"/>
      <c r="R380" s="139"/>
      <c r="S380" s="212"/>
      <c r="T380" s="138"/>
    </row>
    <row r="381" spans="1:20" ht="34.950000000000003" customHeight="1" x14ac:dyDescent="0.3">
      <c r="A381" s="136"/>
      <c r="B381" s="212"/>
      <c r="C381" s="138"/>
      <c r="D381" s="138"/>
      <c r="E381" s="138"/>
      <c r="F381" s="138"/>
      <c r="G381" s="138"/>
      <c r="H381" s="139"/>
      <c r="I381" s="138"/>
      <c r="J381" s="138"/>
      <c r="K381" s="138"/>
      <c r="L381" s="138"/>
      <c r="M381" s="139"/>
      <c r="N381" s="138"/>
      <c r="O381" s="138"/>
      <c r="P381" s="138"/>
      <c r="Q381" s="139"/>
      <c r="R381" s="139"/>
      <c r="S381" s="212"/>
      <c r="T381" s="138"/>
    </row>
    <row r="382" spans="1:20" ht="34.950000000000003" customHeight="1" x14ac:dyDescent="0.3">
      <c r="A382" s="136"/>
      <c r="B382" s="212"/>
      <c r="C382" s="138"/>
      <c r="D382" s="138"/>
      <c r="E382" s="138"/>
      <c r="F382" s="138"/>
      <c r="G382" s="138"/>
      <c r="H382" s="139"/>
      <c r="I382" s="138"/>
      <c r="J382" s="138"/>
      <c r="K382" s="138"/>
      <c r="L382" s="138"/>
      <c r="M382" s="139"/>
      <c r="N382" s="138"/>
      <c r="O382" s="138"/>
      <c r="P382" s="138"/>
      <c r="Q382" s="139"/>
      <c r="R382" s="139"/>
      <c r="S382" s="212"/>
      <c r="T382" s="138"/>
    </row>
    <row r="383" spans="1:20" ht="34.950000000000003" customHeight="1" x14ac:dyDescent="0.3">
      <c r="A383" s="136"/>
      <c r="B383" s="212"/>
      <c r="C383" s="138"/>
      <c r="D383" s="138"/>
      <c r="E383" s="138"/>
      <c r="F383" s="138"/>
      <c r="G383" s="138"/>
      <c r="H383" s="139"/>
      <c r="I383" s="138"/>
      <c r="J383" s="138"/>
      <c r="K383" s="138"/>
      <c r="L383" s="138"/>
      <c r="M383" s="139"/>
      <c r="N383" s="138"/>
      <c r="O383" s="138"/>
      <c r="P383" s="138"/>
      <c r="Q383" s="139"/>
      <c r="R383" s="139"/>
      <c r="S383" s="212"/>
      <c r="T383" s="138"/>
    </row>
    <row r="384" spans="1:20" ht="34.950000000000003" customHeight="1" x14ac:dyDescent="0.3">
      <c r="A384" s="136"/>
      <c r="B384" s="212"/>
      <c r="C384" s="138"/>
      <c r="D384" s="138"/>
      <c r="E384" s="138"/>
      <c r="F384" s="138"/>
      <c r="G384" s="138"/>
      <c r="H384" s="139"/>
      <c r="I384" s="138"/>
      <c r="J384" s="138"/>
      <c r="K384" s="138"/>
      <c r="L384" s="138"/>
      <c r="M384" s="139"/>
      <c r="N384" s="138"/>
      <c r="O384" s="138"/>
      <c r="P384" s="138"/>
      <c r="Q384" s="139"/>
      <c r="R384" s="139"/>
      <c r="S384" s="212"/>
      <c r="T384" s="138"/>
    </row>
    <row r="385" spans="1:20" ht="34.950000000000003" customHeight="1" x14ac:dyDescent="0.3">
      <c r="A385" s="136"/>
      <c r="B385" s="212"/>
      <c r="C385" s="138"/>
      <c r="D385" s="138"/>
      <c r="E385" s="138"/>
      <c r="F385" s="138"/>
      <c r="G385" s="138"/>
      <c r="H385" s="139"/>
      <c r="I385" s="138"/>
      <c r="J385" s="138"/>
      <c r="K385" s="138"/>
      <c r="L385" s="138"/>
      <c r="M385" s="139"/>
      <c r="N385" s="138"/>
      <c r="O385" s="138"/>
      <c r="P385" s="138"/>
      <c r="Q385" s="139"/>
      <c r="R385" s="139"/>
      <c r="S385" s="212"/>
      <c r="T385" s="138"/>
    </row>
    <row r="386" spans="1:20" ht="34.950000000000003" customHeight="1" x14ac:dyDescent="0.3">
      <c r="A386" s="136"/>
      <c r="B386" s="212"/>
      <c r="C386" s="138"/>
      <c r="D386" s="138"/>
      <c r="E386" s="138"/>
      <c r="F386" s="138"/>
      <c r="G386" s="138"/>
      <c r="H386" s="139"/>
      <c r="I386" s="138"/>
      <c r="J386" s="138"/>
      <c r="K386" s="138"/>
      <c r="L386" s="138"/>
      <c r="M386" s="139"/>
      <c r="N386" s="138"/>
      <c r="O386" s="138"/>
      <c r="P386" s="138"/>
      <c r="Q386" s="139"/>
      <c r="R386" s="139"/>
      <c r="S386" s="212"/>
      <c r="T386" s="138"/>
    </row>
    <row r="387" spans="1:20" ht="34.950000000000003" customHeight="1" x14ac:dyDescent="0.3">
      <c r="A387" s="136"/>
      <c r="B387" s="212"/>
      <c r="C387" s="138"/>
      <c r="D387" s="138"/>
      <c r="E387" s="138"/>
      <c r="F387" s="138"/>
      <c r="G387" s="138"/>
      <c r="H387" s="139"/>
      <c r="I387" s="138"/>
      <c r="J387" s="138"/>
      <c r="K387" s="138"/>
      <c r="L387" s="138"/>
      <c r="M387" s="139"/>
      <c r="N387" s="138"/>
      <c r="O387" s="138"/>
      <c r="P387" s="138"/>
      <c r="Q387" s="139"/>
      <c r="R387" s="139"/>
      <c r="S387" s="212"/>
      <c r="T387" s="138"/>
    </row>
    <row r="388" spans="1:20" ht="34.950000000000003" customHeight="1" x14ac:dyDescent="0.3">
      <c r="A388" s="136"/>
      <c r="B388" s="212"/>
      <c r="C388" s="138"/>
      <c r="D388" s="138"/>
      <c r="E388" s="138"/>
      <c r="F388" s="138"/>
      <c r="G388" s="138"/>
      <c r="H388" s="139"/>
      <c r="I388" s="138"/>
      <c r="J388" s="138"/>
      <c r="K388" s="138"/>
      <c r="L388" s="138"/>
      <c r="M388" s="139"/>
      <c r="N388" s="138"/>
      <c r="O388" s="138"/>
      <c r="P388" s="138"/>
      <c r="Q388" s="139"/>
      <c r="R388" s="139"/>
      <c r="S388" s="212"/>
      <c r="T388" s="138"/>
    </row>
    <row r="389" spans="1:20" ht="34.950000000000003" customHeight="1" x14ac:dyDescent="0.3">
      <c r="A389" s="136"/>
      <c r="B389" s="212"/>
      <c r="C389" s="138"/>
      <c r="D389" s="138"/>
      <c r="E389" s="138"/>
      <c r="F389" s="138"/>
      <c r="G389" s="138"/>
      <c r="H389" s="139"/>
      <c r="I389" s="138"/>
      <c r="J389" s="138"/>
      <c r="K389" s="138"/>
      <c r="L389" s="138"/>
      <c r="M389" s="139"/>
      <c r="N389" s="138"/>
      <c r="O389" s="138"/>
      <c r="P389" s="138"/>
      <c r="Q389" s="139"/>
      <c r="R389" s="139"/>
      <c r="S389" s="212"/>
      <c r="T389" s="138"/>
    </row>
    <row r="390" spans="1:20" ht="34.950000000000003" customHeight="1" x14ac:dyDescent="0.3">
      <c r="A390" s="136"/>
      <c r="B390" s="212"/>
      <c r="C390" s="138"/>
      <c r="D390" s="138"/>
      <c r="E390" s="138"/>
      <c r="F390" s="138"/>
      <c r="G390" s="138"/>
      <c r="H390" s="139"/>
      <c r="I390" s="138"/>
      <c r="J390" s="138"/>
      <c r="K390" s="138"/>
      <c r="L390" s="138"/>
      <c r="M390" s="139"/>
      <c r="N390" s="138"/>
      <c r="O390" s="138"/>
      <c r="P390" s="138"/>
      <c r="Q390" s="139"/>
      <c r="R390" s="139"/>
      <c r="S390" s="212"/>
      <c r="T390" s="138"/>
    </row>
    <row r="391" spans="1:20" ht="34.950000000000003" customHeight="1" x14ac:dyDescent="0.3">
      <c r="A391" s="136"/>
      <c r="B391" s="212"/>
      <c r="C391" s="138"/>
      <c r="D391" s="138"/>
      <c r="E391" s="138"/>
      <c r="F391" s="138"/>
      <c r="G391" s="138"/>
      <c r="H391" s="139"/>
      <c r="I391" s="138"/>
      <c r="J391" s="138"/>
      <c r="K391" s="138"/>
      <c r="L391" s="138"/>
      <c r="M391" s="139"/>
      <c r="N391" s="138"/>
      <c r="O391" s="138"/>
      <c r="P391" s="138"/>
      <c r="Q391" s="139"/>
      <c r="R391" s="139"/>
      <c r="S391" s="212"/>
      <c r="T391" s="138"/>
    </row>
    <row r="392" spans="1:20" ht="34.950000000000003" customHeight="1" x14ac:dyDescent="0.3">
      <c r="A392" s="136"/>
      <c r="B392" s="212"/>
      <c r="C392" s="138"/>
      <c r="D392" s="138"/>
      <c r="E392" s="138"/>
      <c r="F392" s="138"/>
      <c r="G392" s="138"/>
      <c r="H392" s="139"/>
      <c r="I392" s="138"/>
      <c r="J392" s="138"/>
      <c r="K392" s="138"/>
      <c r="L392" s="138"/>
      <c r="M392" s="139"/>
      <c r="N392" s="138"/>
      <c r="O392" s="138"/>
      <c r="P392" s="138"/>
      <c r="Q392" s="139"/>
      <c r="R392" s="139"/>
      <c r="S392" s="212"/>
      <c r="T392" s="138"/>
    </row>
    <row r="393" spans="1:20" ht="34.950000000000003" customHeight="1" x14ac:dyDescent="0.3">
      <c r="A393" s="136"/>
      <c r="B393" s="212"/>
      <c r="C393" s="138"/>
      <c r="D393" s="138"/>
      <c r="E393" s="138"/>
      <c r="F393" s="138"/>
      <c r="G393" s="138"/>
      <c r="H393" s="139"/>
      <c r="I393" s="138"/>
      <c r="J393" s="138"/>
      <c r="K393" s="138"/>
      <c r="L393" s="138"/>
      <c r="M393" s="139"/>
      <c r="N393" s="138"/>
      <c r="O393" s="138"/>
      <c r="P393" s="138"/>
      <c r="Q393" s="139"/>
      <c r="R393" s="139"/>
      <c r="S393" s="212"/>
      <c r="T393" s="138"/>
    </row>
    <row r="394" spans="1:20" ht="34.950000000000003" customHeight="1" x14ac:dyDescent="0.3">
      <c r="A394" s="136"/>
      <c r="B394" s="212"/>
      <c r="C394" s="138"/>
      <c r="D394" s="138"/>
      <c r="E394" s="138"/>
      <c r="F394" s="138"/>
      <c r="G394" s="138"/>
      <c r="H394" s="139"/>
      <c r="I394" s="138"/>
      <c r="J394" s="138"/>
      <c r="K394" s="138"/>
      <c r="L394" s="138"/>
      <c r="M394" s="139"/>
      <c r="N394" s="138"/>
      <c r="O394" s="138"/>
      <c r="P394" s="138"/>
      <c r="Q394" s="139"/>
      <c r="R394" s="139"/>
      <c r="S394" s="212"/>
      <c r="T394" s="138"/>
    </row>
    <row r="395" spans="1:20" ht="34.950000000000003" customHeight="1" x14ac:dyDescent="0.3">
      <c r="A395" s="136"/>
      <c r="B395" s="212"/>
      <c r="C395" s="138"/>
      <c r="D395" s="138"/>
      <c r="E395" s="138"/>
      <c r="F395" s="138"/>
      <c r="G395" s="138"/>
      <c r="H395" s="139"/>
      <c r="I395" s="138"/>
      <c r="J395" s="138"/>
      <c r="K395" s="138"/>
      <c r="L395" s="138"/>
      <c r="M395" s="139"/>
      <c r="N395" s="138"/>
      <c r="O395" s="138"/>
      <c r="P395" s="138"/>
      <c r="Q395" s="139"/>
      <c r="R395" s="139"/>
      <c r="S395" s="212"/>
      <c r="T395" s="138"/>
    </row>
    <row r="396" spans="1:20" ht="34.950000000000003" customHeight="1" x14ac:dyDescent="0.3">
      <c r="A396" s="136"/>
      <c r="B396" s="212"/>
      <c r="C396" s="138"/>
      <c r="D396" s="138"/>
      <c r="E396" s="138"/>
      <c r="F396" s="138"/>
      <c r="G396" s="138"/>
      <c r="H396" s="139"/>
      <c r="I396" s="138"/>
      <c r="J396" s="138"/>
      <c r="K396" s="138"/>
      <c r="L396" s="138"/>
      <c r="M396" s="139"/>
      <c r="N396" s="138"/>
      <c r="O396" s="138"/>
      <c r="P396" s="138"/>
      <c r="Q396" s="139"/>
      <c r="R396" s="139"/>
      <c r="S396" s="212"/>
      <c r="T396" s="138"/>
    </row>
    <row r="397" spans="1:20" ht="34.950000000000003" customHeight="1" x14ac:dyDescent="0.3">
      <c r="A397" s="136"/>
      <c r="B397" s="212"/>
      <c r="C397" s="138"/>
      <c r="D397" s="138"/>
      <c r="E397" s="138"/>
      <c r="F397" s="138"/>
      <c r="G397" s="138"/>
      <c r="H397" s="139"/>
      <c r="I397" s="138"/>
      <c r="J397" s="138"/>
      <c r="K397" s="138"/>
      <c r="L397" s="138"/>
      <c r="M397" s="139"/>
      <c r="N397" s="138"/>
      <c r="O397" s="138"/>
      <c r="P397" s="138"/>
      <c r="Q397" s="139"/>
      <c r="R397" s="139"/>
      <c r="S397" s="212"/>
      <c r="T397" s="138"/>
    </row>
    <row r="398" spans="1:20" ht="34.950000000000003" customHeight="1" x14ac:dyDescent="0.3">
      <c r="A398" s="136"/>
      <c r="B398" s="212"/>
      <c r="C398" s="138"/>
      <c r="D398" s="138"/>
      <c r="E398" s="138"/>
      <c r="F398" s="138"/>
      <c r="G398" s="138"/>
      <c r="H398" s="139"/>
      <c r="I398" s="138"/>
      <c r="J398" s="138"/>
      <c r="K398" s="138"/>
      <c r="L398" s="138"/>
      <c r="M398" s="139"/>
      <c r="N398" s="138"/>
      <c r="O398" s="138"/>
      <c r="P398" s="138"/>
      <c r="Q398" s="139"/>
      <c r="R398" s="139"/>
      <c r="S398" s="212"/>
      <c r="T398" s="138"/>
    </row>
    <row r="399" spans="1:20" ht="34.950000000000003" customHeight="1" x14ac:dyDescent="0.3">
      <c r="A399" s="136"/>
      <c r="B399" s="212"/>
      <c r="C399" s="138"/>
      <c r="D399" s="138"/>
      <c r="E399" s="138"/>
      <c r="F399" s="138"/>
      <c r="G399" s="138"/>
      <c r="H399" s="139"/>
      <c r="I399" s="138"/>
      <c r="J399" s="138"/>
      <c r="K399" s="138"/>
      <c r="L399" s="138"/>
      <c r="M399" s="139"/>
      <c r="N399" s="138"/>
      <c r="O399" s="138"/>
      <c r="P399" s="138"/>
      <c r="Q399" s="139"/>
      <c r="R399" s="139"/>
      <c r="S399" s="212"/>
      <c r="T399" s="138"/>
    </row>
    <row r="400" spans="1:20" ht="34.950000000000003" customHeight="1" x14ac:dyDescent="0.3">
      <c r="A400" s="136"/>
      <c r="B400" s="212"/>
      <c r="C400" s="138"/>
      <c r="D400" s="138"/>
      <c r="E400" s="138"/>
      <c r="F400" s="138"/>
      <c r="G400" s="138"/>
      <c r="H400" s="139"/>
      <c r="I400" s="138"/>
      <c r="J400" s="138"/>
      <c r="K400" s="138"/>
      <c r="L400" s="138"/>
      <c r="M400" s="139"/>
      <c r="N400" s="138"/>
      <c r="O400" s="138"/>
      <c r="P400" s="138"/>
      <c r="Q400" s="139"/>
      <c r="R400" s="139"/>
      <c r="S400" s="212"/>
      <c r="T400" s="138"/>
    </row>
    <row r="401" spans="1:20" ht="34.950000000000003" customHeight="1" x14ac:dyDescent="0.3">
      <c r="A401" s="136"/>
      <c r="B401" s="212"/>
      <c r="C401" s="138"/>
      <c r="D401" s="138"/>
      <c r="E401" s="138"/>
      <c r="F401" s="138"/>
      <c r="G401" s="138"/>
      <c r="H401" s="139"/>
      <c r="I401" s="138"/>
      <c r="J401" s="138"/>
      <c r="K401" s="138"/>
      <c r="L401" s="138"/>
      <c r="M401" s="139"/>
      <c r="N401" s="138"/>
      <c r="O401" s="138"/>
      <c r="P401" s="138"/>
      <c r="Q401" s="139"/>
      <c r="R401" s="139"/>
      <c r="S401" s="212"/>
      <c r="T401" s="138"/>
    </row>
    <row r="402" spans="1:20" ht="34.950000000000003" customHeight="1" x14ac:dyDescent="0.3">
      <c r="A402" s="136"/>
      <c r="B402" s="212"/>
      <c r="C402" s="138"/>
      <c r="D402" s="138"/>
      <c r="E402" s="138"/>
      <c r="F402" s="138"/>
      <c r="G402" s="138"/>
      <c r="H402" s="139"/>
      <c r="I402" s="138"/>
      <c r="J402" s="138"/>
      <c r="K402" s="138"/>
      <c r="L402" s="138"/>
      <c r="M402" s="139"/>
      <c r="N402" s="138"/>
      <c r="O402" s="138"/>
      <c r="P402" s="138"/>
      <c r="Q402" s="139"/>
      <c r="R402" s="139"/>
      <c r="S402" s="212"/>
      <c r="T402" s="138"/>
    </row>
    <row r="403" spans="1:20" ht="34.950000000000003" customHeight="1" x14ac:dyDescent="0.3">
      <c r="A403" s="136"/>
      <c r="B403" s="212"/>
      <c r="C403" s="138"/>
      <c r="D403" s="138"/>
      <c r="E403" s="138"/>
      <c r="F403" s="138"/>
      <c r="G403" s="138"/>
      <c r="H403" s="139"/>
      <c r="I403" s="138"/>
      <c r="J403" s="138"/>
      <c r="K403" s="138"/>
      <c r="L403" s="138"/>
      <c r="M403" s="139"/>
      <c r="N403" s="138"/>
      <c r="O403" s="138"/>
      <c r="P403" s="138"/>
      <c r="Q403" s="139"/>
      <c r="R403" s="139"/>
      <c r="S403" s="212"/>
      <c r="T403" s="138"/>
    </row>
    <row r="404" spans="1:20" ht="34.950000000000003" customHeight="1" x14ac:dyDescent="0.3">
      <c r="A404" s="136"/>
      <c r="B404" s="212"/>
      <c r="C404" s="138"/>
      <c r="D404" s="138"/>
      <c r="E404" s="138"/>
      <c r="F404" s="138"/>
      <c r="G404" s="138"/>
      <c r="H404" s="139"/>
      <c r="I404" s="138"/>
      <c r="J404" s="138"/>
      <c r="K404" s="138"/>
      <c r="L404" s="138"/>
      <c r="M404" s="139"/>
      <c r="N404" s="138"/>
      <c r="O404" s="138"/>
      <c r="P404" s="138"/>
      <c r="Q404" s="139"/>
      <c r="R404" s="139"/>
      <c r="S404" s="212"/>
      <c r="T404" s="138"/>
    </row>
    <row r="405" spans="1:20" ht="34.950000000000003" customHeight="1" x14ac:dyDescent="0.3">
      <c r="A405" s="136"/>
      <c r="B405" s="212"/>
      <c r="C405" s="138"/>
      <c r="D405" s="138"/>
      <c r="E405" s="138"/>
      <c r="F405" s="138"/>
      <c r="G405" s="138"/>
      <c r="H405" s="139"/>
      <c r="I405" s="138"/>
      <c r="J405" s="138"/>
      <c r="K405" s="138"/>
      <c r="L405" s="138"/>
      <c r="M405" s="139"/>
      <c r="N405" s="138"/>
      <c r="O405" s="138"/>
      <c r="P405" s="138"/>
      <c r="Q405" s="139"/>
      <c r="R405" s="139"/>
      <c r="S405" s="212"/>
      <c r="T405" s="138"/>
    </row>
    <row r="406" spans="1:20" ht="34.950000000000003" customHeight="1" x14ac:dyDescent="0.3">
      <c r="A406" s="136"/>
      <c r="B406" s="212"/>
      <c r="C406" s="138"/>
      <c r="D406" s="138"/>
      <c r="E406" s="138"/>
      <c r="F406" s="138"/>
      <c r="G406" s="138"/>
      <c r="H406" s="139"/>
      <c r="I406" s="138"/>
      <c r="J406" s="138"/>
      <c r="K406" s="138"/>
      <c r="L406" s="138"/>
      <c r="M406" s="139"/>
      <c r="N406" s="138"/>
      <c r="O406" s="138"/>
      <c r="P406" s="138"/>
      <c r="Q406" s="139"/>
      <c r="R406" s="139"/>
      <c r="S406" s="212"/>
      <c r="T406" s="138"/>
    </row>
    <row r="407" spans="1:20" ht="34.950000000000003" customHeight="1" x14ac:dyDescent="0.3">
      <c r="A407" s="136"/>
      <c r="B407" s="212"/>
      <c r="C407" s="138"/>
      <c r="D407" s="138"/>
      <c r="E407" s="138"/>
      <c r="F407" s="138"/>
      <c r="G407" s="138"/>
      <c r="H407" s="139"/>
      <c r="I407" s="138"/>
      <c r="J407" s="138"/>
      <c r="K407" s="138"/>
      <c r="L407" s="138"/>
      <c r="M407" s="139"/>
      <c r="N407" s="138"/>
      <c r="O407" s="138"/>
      <c r="P407" s="138"/>
      <c r="Q407" s="139"/>
      <c r="R407" s="139"/>
      <c r="S407" s="212"/>
      <c r="T407" s="138"/>
    </row>
    <row r="408" spans="1:20" ht="34.950000000000003" customHeight="1" x14ac:dyDescent="0.3">
      <c r="A408" s="136"/>
      <c r="B408" s="212"/>
      <c r="C408" s="138"/>
      <c r="D408" s="138"/>
      <c r="E408" s="138"/>
      <c r="F408" s="138"/>
      <c r="G408" s="138"/>
      <c r="H408" s="139"/>
      <c r="I408" s="138"/>
      <c r="J408" s="138"/>
      <c r="K408" s="138"/>
      <c r="L408" s="138"/>
      <c r="M408" s="139"/>
      <c r="N408" s="138"/>
      <c r="O408" s="138"/>
      <c r="P408" s="138"/>
      <c r="Q408" s="139"/>
      <c r="R408" s="139"/>
      <c r="S408" s="212"/>
      <c r="T408" s="138"/>
    </row>
    <row r="409" spans="1:20" ht="34.950000000000003" customHeight="1" x14ac:dyDescent="0.3">
      <c r="A409" s="136"/>
      <c r="B409" s="212"/>
      <c r="C409" s="138"/>
      <c r="D409" s="138"/>
      <c r="E409" s="138"/>
      <c r="F409" s="138"/>
      <c r="G409" s="138"/>
      <c r="H409" s="139"/>
      <c r="I409" s="138"/>
      <c r="J409" s="138"/>
      <c r="K409" s="138"/>
      <c r="L409" s="138"/>
      <c r="M409" s="139"/>
      <c r="N409" s="138"/>
      <c r="O409" s="138"/>
      <c r="P409" s="138"/>
      <c r="Q409" s="139"/>
      <c r="R409" s="139"/>
      <c r="S409" s="212"/>
      <c r="T409" s="138"/>
    </row>
    <row r="410" spans="1:20" ht="34.950000000000003" customHeight="1" x14ac:dyDescent="0.3">
      <c r="A410" s="136"/>
      <c r="B410" s="212"/>
      <c r="C410" s="138"/>
      <c r="D410" s="138"/>
      <c r="E410" s="138"/>
      <c r="F410" s="138"/>
      <c r="G410" s="138"/>
      <c r="H410" s="139"/>
      <c r="I410" s="138"/>
      <c r="J410" s="138"/>
      <c r="K410" s="138"/>
      <c r="L410" s="138"/>
      <c r="M410" s="139"/>
      <c r="N410" s="138"/>
      <c r="O410" s="138"/>
      <c r="P410" s="138"/>
      <c r="Q410" s="139"/>
      <c r="R410" s="139"/>
      <c r="S410" s="212"/>
      <c r="T410" s="138"/>
    </row>
    <row r="411" spans="1:20" ht="34.950000000000003" customHeight="1" x14ac:dyDescent="0.3">
      <c r="A411" s="136"/>
      <c r="B411" s="212"/>
      <c r="C411" s="138"/>
      <c r="D411" s="138"/>
      <c r="E411" s="138"/>
      <c r="F411" s="138"/>
      <c r="G411" s="138"/>
      <c r="H411" s="139"/>
      <c r="I411" s="138"/>
      <c r="J411" s="138"/>
      <c r="K411" s="138"/>
      <c r="L411" s="138"/>
      <c r="M411" s="139"/>
      <c r="N411" s="138"/>
      <c r="O411" s="138"/>
      <c r="P411" s="138"/>
      <c r="Q411" s="139"/>
      <c r="R411" s="139"/>
      <c r="S411" s="212"/>
      <c r="T411" s="138"/>
    </row>
    <row r="412" spans="1:20" ht="34.950000000000003" customHeight="1" x14ac:dyDescent="0.3">
      <c r="A412" s="136"/>
      <c r="B412" s="212"/>
      <c r="C412" s="138"/>
      <c r="D412" s="138"/>
      <c r="E412" s="138"/>
      <c r="F412" s="138"/>
      <c r="G412" s="138"/>
      <c r="H412" s="139"/>
      <c r="I412" s="138"/>
      <c r="J412" s="138"/>
      <c r="K412" s="138"/>
      <c r="L412" s="138"/>
      <c r="M412" s="139"/>
      <c r="N412" s="138"/>
      <c r="O412" s="138"/>
      <c r="P412" s="138"/>
      <c r="Q412" s="139"/>
      <c r="R412" s="139"/>
      <c r="S412" s="212"/>
      <c r="T412" s="138"/>
    </row>
    <row r="413" spans="1:20" ht="34.950000000000003" customHeight="1" x14ac:dyDescent="0.3">
      <c r="A413" s="136"/>
      <c r="B413" s="212"/>
      <c r="C413" s="138"/>
      <c r="D413" s="138"/>
      <c r="E413" s="138"/>
      <c r="F413" s="138"/>
      <c r="G413" s="138"/>
      <c r="H413" s="139"/>
      <c r="I413" s="138"/>
      <c r="J413" s="138"/>
      <c r="K413" s="138"/>
      <c r="L413" s="138"/>
      <c r="M413" s="139"/>
      <c r="N413" s="138"/>
      <c r="O413" s="138"/>
      <c r="P413" s="138"/>
      <c r="Q413" s="139"/>
      <c r="R413" s="139"/>
      <c r="S413" s="212"/>
      <c r="T413" s="138"/>
    </row>
    <row r="414" spans="1:20" ht="34.950000000000003" customHeight="1" x14ac:dyDescent="0.3">
      <c r="A414" s="136"/>
      <c r="B414" s="212"/>
      <c r="C414" s="138"/>
      <c r="D414" s="138"/>
      <c r="E414" s="138"/>
      <c r="F414" s="138"/>
      <c r="G414" s="138"/>
      <c r="H414" s="139"/>
      <c r="I414" s="138"/>
      <c r="J414" s="138"/>
      <c r="K414" s="138"/>
      <c r="L414" s="138"/>
      <c r="M414" s="139"/>
      <c r="N414" s="138"/>
      <c r="O414" s="138"/>
      <c r="P414" s="138"/>
      <c r="Q414" s="139"/>
      <c r="R414" s="139"/>
      <c r="S414" s="212"/>
      <c r="T414" s="138"/>
    </row>
    <row r="415" spans="1:20" ht="34.950000000000003" customHeight="1" x14ac:dyDescent="0.3">
      <c r="A415" s="136"/>
      <c r="B415" s="212"/>
      <c r="C415" s="138"/>
      <c r="D415" s="138"/>
      <c r="E415" s="138"/>
      <c r="F415" s="138"/>
      <c r="G415" s="138"/>
      <c r="H415" s="139"/>
      <c r="I415" s="138"/>
      <c r="J415" s="138"/>
      <c r="K415" s="138"/>
      <c r="L415" s="138"/>
      <c r="M415" s="139"/>
      <c r="N415" s="138"/>
      <c r="O415" s="138"/>
      <c r="P415" s="138"/>
      <c r="Q415" s="139"/>
      <c r="R415" s="139"/>
      <c r="S415" s="212"/>
      <c r="T415" s="138"/>
    </row>
    <row r="416" spans="1:20" ht="34.950000000000003" customHeight="1" x14ac:dyDescent="0.3">
      <c r="A416" s="136"/>
      <c r="B416" s="212"/>
      <c r="C416" s="138"/>
      <c r="D416" s="138"/>
      <c r="E416" s="138"/>
      <c r="F416" s="138"/>
      <c r="G416" s="138"/>
      <c r="H416" s="139"/>
      <c r="I416" s="138"/>
      <c r="J416" s="138"/>
      <c r="K416" s="138"/>
      <c r="L416" s="138"/>
      <c r="M416" s="139"/>
      <c r="N416" s="138"/>
      <c r="O416" s="138"/>
      <c r="P416" s="138"/>
      <c r="Q416" s="139"/>
      <c r="R416" s="139"/>
      <c r="S416" s="212"/>
      <c r="T416" s="138"/>
    </row>
    <row r="417" spans="1:20" ht="34.950000000000003" customHeight="1" x14ac:dyDescent="0.3">
      <c r="A417" s="136"/>
      <c r="B417" s="212"/>
      <c r="C417" s="138"/>
      <c r="D417" s="138"/>
      <c r="E417" s="138"/>
      <c r="F417" s="138"/>
      <c r="G417" s="138"/>
      <c r="H417" s="139"/>
      <c r="I417" s="138"/>
      <c r="J417" s="138"/>
      <c r="K417" s="138"/>
      <c r="L417" s="138"/>
      <c r="M417" s="139"/>
      <c r="N417" s="138"/>
      <c r="O417" s="138"/>
      <c r="P417" s="138"/>
      <c r="Q417" s="139"/>
      <c r="R417" s="139"/>
      <c r="S417" s="212"/>
      <c r="T417" s="138"/>
    </row>
    <row r="418" spans="1:20" ht="34.950000000000003" customHeight="1" x14ac:dyDescent="0.3">
      <c r="A418" s="136"/>
      <c r="B418" s="212"/>
      <c r="C418" s="138"/>
      <c r="D418" s="138"/>
      <c r="E418" s="138"/>
      <c r="F418" s="138"/>
      <c r="G418" s="138"/>
      <c r="H418" s="139"/>
      <c r="I418" s="138"/>
      <c r="J418" s="138"/>
      <c r="K418" s="138"/>
      <c r="L418" s="138"/>
      <c r="M418" s="139"/>
      <c r="N418" s="138"/>
      <c r="O418" s="138"/>
      <c r="P418" s="138"/>
      <c r="Q418" s="139"/>
      <c r="R418" s="139"/>
      <c r="S418" s="212"/>
      <c r="T418" s="138"/>
    </row>
    <row r="419" spans="1:20" ht="34.950000000000003" customHeight="1" x14ac:dyDescent="0.3">
      <c r="A419" s="136"/>
      <c r="B419" s="212"/>
      <c r="C419" s="138"/>
      <c r="D419" s="138"/>
      <c r="E419" s="138"/>
      <c r="F419" s="138"/>
      <c r="G419" s="138"/>
      <c r="H419" s="139"/>
      <c r="I419" s="138"/>
      <c r="J419" s="138"/>
      <c r="K419" s="138"/>
      <c r="L419" s="138"/>
      <c r="M419" s="139"/>
      <c r="N419" s="138"/>
      <c r="O419" s="138"/>
      <c r="P419" s="138"/>
      <c r="Q419" s="139"/>
      <c r="R419" s="139"/>
      <c r="S419" s="212"/>
      <c r="T419" s="138"/>
    </row>
    <row r="420" spans="1:20" ht="34.950000000000003" customHeight="1" x14ac:dyDescent="0.3">
      <c r="A420" s="136"/>
      <c r="B420" s="212"/>
      <c r="C420" s="138"/>
      <c r="D420" s="138"/>
      <c r="E420" s="138"/>
      <c r="F420" s="138"/>
      <c r="G420" s="138"/>
      <c r="H420" s="139"/>
      <c r="I420" s="138"/>
      <c r="J420" s="138"/>
      <c r="K420" s="138"/>
      <c r="L420" s="138"/>
      <c r="M420" s="139"/>
      <c r="N420" s="138"/>
      <c r="O420" s="138"/>
      <c r="P420" s="138"/>
      <c r="Q420" s="139"/>
      <c r="R420" s="139"/>
      <c r="S420" s="212"/>
      <c r="T420" s="138"/>
    </row>
    <row r="421" spans="1:20" ht="34.950000000000003" customHeight="1" x14ac:dyDescent="0.3">
      <c r="A421" s="136"/>
      <c r="B421" s="212"/>
      <c r="C421" s="138"/>
      <c r="D421" s="138"/>
      <c r="E421" s="138"/>
      <c r="F421" s="138"/>
      <c r="G421" s="138"/>
      <c r="H421" s="139"/>
      <c r="I421" s="138"/>
      <c r="J421" s="138"/>
      <c r="K421" s="138"/>
      <c r="L421" s="138"/>
      <c r="M421" s="139"/>
      <c r="N421" s="138"/>
      <c r="O421" s="138"/>
      <c r="P421" s="138"/>
      <c r="Q421" s="139"/>
      <c r="R421" s="139"/>
      <c r="S421" s="212"/>
      <c r="T421" s="138"/>
    </row>
    <row r="422" spans="1:20" ht="34.950000000000003" customHeight="1" x14ac:dyDescent="0.3">
      <c r="A422" s="136"/>
      <c r="B422" s="212"/>
      <c r="C422" s="138"/>
      <c r="D422" s="138"/>
      <c r="E422" s="138"/>
      <c r="F422" s="138"/>
      <c r="G422" s="138"/>
      <c r="H422" s="139"/>
      <c r="I422" s="138"/>
      <c r="J422" s="138"/>
      <c r="K422" s="138"/>
      <c r="L422" s="138"/>
      <c r="M422" s="139"/>
      <c r="N422" s="138"/>
      <c r="O422" s="138"/>
      <c r="P422" s="138"/>
      <c r="Q422" s="139"/>
      <c r="R422" s="139"/>
      <c r="S422" s="212"/>
      <c r="T422" s="138"/>
    </row>
    <row r="423" spans="1:20" ht="34.950000000000003" customHeight="1" x14ac:dyDescent="0.3">
      <c r="A423" s="136"/>
      <c r="B423" s="212"/>
      <c r="C423" s="138"/>
      <c r="D423" s="138"/>
      <c r="E423" s="138"/>
      <c r="F423" s="138"/>
      <c r="G423" s="138"/>
      <c r="H423" s="139"/>
      <c r="I423" s="138"/>
      <c r="J423" s="138"/>
      <c r="K423" s="138"/>
      <c r="L423" s="138"/>
      <c r="M423" s="139"/>
      <c r="N423" s="138"/>
      <c r="O423" s="138"/>
      <c r="P423" s="138"/>
      <c r="Q423" s="139"/>
      <c r="R423" s="139"/>
      <c r="S423" s="212"/>
      <c r="T423" s="138"/>
    </row>
    <row r="424" spans="1:20" ht="34.950000000000003" customHeight="1" x14ac:dyDescent="0.3">
      <c r="A424" s="136"/>
      <c r="B424" s="212"/>
      <c r="C424" s="138"/>
      <c r="D424" s="138"/>
      <c r="E424" s="138"/>
      <c r="F424" s="138"/>
      <c r="G424" s="138"/>
      <c r="H424" s="139"/>
      <c r="I424" s="138"/>
      <c r="J424" s="138"/>
      <c r="K424" s="138"/>
      <c r="L424" s="138"/>
      <c r="M424" s="139"/>
      <c r="N424" s="138"/>
      <c r="O424" s="138"/>
      <c r="P424" s="138"/>
      <c r="Q424" s="139"/>
      <c r="R424" s="139"/>
      <c r="S424" s="212"/>
      <c r="T424" s="138"/>
    </row>
    <row r="425" spans="1:20" ht="34.950000000000003" customHeight="1" x14ac:dyDescent="0.3">
      <c r="A425" s="136"/>
      <c r="B425" s="212"/>
      <c r="C425" s="138"/>
      <c r="D425" s="138"/>
      <c r="E425" s="138"/>
      <c r="F425" s="138"/>
      <c r="G425" s="138"/>
      <c r="H425" s="139"/>
      <c r="I425" s="138"/>
      <c r="J425" s="138"/>
      <c r="K425" s="138"/>
      <c r="L425" s="138"/>
      <c r="M425" s="139"/>
      <c r="N425" s="138"/>
      <c r="O425" s="138"/>
      <c r="P425" s="138"/>
      <c r="Q425" s="139"/>
      <c r="R425" s="139"/>
      <c r="S425" s="212"/>
      <c r="T425" s="138"/>
    </row>
    <row r="426" spans="1:20" ht="34.950000000000003" customHeight="1" x14ac:dyDescent="0.3">
      <c r="A426" s="136"/>
      <c r="B426" s="212"/>
      <c r="C426" s="138"/>
      <c r="D426" s="138"/>
      <c r="E426" s="138"/>
      <c r="F426" s="138"/>
      <c r="G426" s="138"/>
      <c r="H426" s="139"/>
      <c r="I426" s="138"/>
      <c r="J426" s="138"/>
      <c r="K426" s="138"/>
      <c r="L426" s="138"/>
      <c r="M426" s="139"/>
      <c r="N426" s="138"/>
      <c r="O426" s="138"/>
      <c r="P426" s="138"/>
      <c r="Q426" s="139"/>
      <c r="R426" s="139"/>
      <c r="S426" s="212"/>
      <c r="T426" s="138"/>
    </row>
    <row r="427" spans="1:20" ht="34.950000000000003" customHeight="1" x14ac:dyDescent="0.3">
      <c r="A427" s="136"/>
      <c r="B427" s="212"/>
      <c r="C427" s="138"/>
      <c r="D427" s="138"/>
      <c r="E427" s="138"/>
      <c r="F427" s="138"/>
      <c r="G427" s="138"/>
      <c r="H427" s="139"/>
      <c r="I427" s="138"/>
      <c r="J427" s="138"/>
      <c r="K427" s="138"/>
      <c r="L427" s="138"/>
      <c r="M427" s="139"/>
      <c r="N427" s="138"/>
      <c r="O427" s="138"/>
      <c r="P427" s="138"/>
      <c r="Q427" s="139"/>
      <c r="R427" s="139"/>
      <c r="S427" s="212"/>
      <c r="T427" s="138"/>
    </row>
    <row r="428" spans="1:20" ht="34.950000000000003" customHeight="1" x14ac:dyDescent="0.3">
      <c r="A428" s="136"/>
      <c r="B428" s="212"/>
      <c r="C428" s="138"/>
      <c r="D428" s="138"/>
      <c r="E428" s="138"/>
      <c r="F428" s="138"/>
      <c r="G428" s="138"/>
      <c r="H428" s="139"/>
      <c r="I428" s="138"/>
      <c r="J428" s="138"/>
      <c r="K428" s="138"/>
      <c r="L428" s="138"/>
      <c r="M428" s="139"/>
      <c r="N428" s="138"/>
      <c r="O428" s="138"/>
      <c r="P428" s="138"/>
      <c r="Q428" s="139"/>
      <c r="R428" s="139"/>
      <c r="S428" s="212"/>
      <c r="T428" s="138"/>
    </row>
    <row r="429" spans="1:20" ht="34.950000000000003" customHeight="1" x14ac:dyDescent="0.3">
      <c r="A429" s="136"/>
      <c r="B429" s="212"/>
      <c r="C429" s="138"/>
      <c r="D429" s="138"/>
      <c r="E429" s="138"/>
      <c r="F429" s="138"/>
      <c r="G429" s="138"/>
      <c r="H429" s="139"/>
      <c r="I429" s="138"/>
      <c r="J429" s="138"/>
      <c r="K429" s="138"/>
      <c r="L429" s="138"/>
      <c r="M429" s="139"/>
      <c r="N429" s="138"/>
      <c r="O429" s="138"/>
      <c r="P429" s="138"/>
      <c r="Q429" s="139"/>
      <c r="R429" s="139"/>
      <c r="S429" s="212"/>
      <c r="T429" s="138"/>
    </row>
    <row r="430" spans="1:20" ht="34.950000000000003" customHeight="1" x14ac:dyDescent="0.3">
      <c r="A430" s="136"/>
      <c r="B430" s="212"/>
      <c r="C430" s="138"/>
      <c r="D430" s="138"/>
      <c r="E430" s="138"/>
      <c r="F430" s="138"/>
      <c r="G430" s="138"/>
      <c r="H430" s="139"/>
      <c r="I430" s="138"/>
      <c r="J430" s="138"/>
      <c r="K430" s="138"/>
      <c r="L430" s="138"/>
      <c r="M430" s="139"/>
      <c r="N430" s="138"/>
      <c r="O430" s="138"/>
      <c r="P430" s="138"/>
      <c r="Q430" s="139"/>
      <c r="R430" s="139"/>
      <c r="S430" s="212"/>
      <c r="T430" s="138"/>
    </row>
    <row r="431" spans="1:20" ht="34.950000000000003" customHeight="1" x14ac:dyDescent="0.3">
      <c r="A431" s="136"/>
      <c r="B431" s="212"/>
      <c r="C431" s="138"/>
      <c r="D431" s="138"/>
      <c r="E431" s="138"/>
      <c r="F431" s="138"/>
      <c r="G431" s="138"/>
      <c r="H431" s="139"/>
      <c r="I431" s="138"/>
      <c r="J431" s="138"/>
      <c r="K431" s="138"/>
      <c r="L431" s="138"/>
      <c r="M431" s="139"/>
      <c r="N431" s="138"/>
      <c r="O431" s="138"/>
      <c r="P431" s="138"/>
      <c r="Q431" s="139"/>
      <c r="R431" s="139"/>
      <c r="S431" s="212"/>
      <c r="T431" s="138"/>
    </row>
    <row r="432" spans="1:20" ht="34.950000000000003" customHeight="1" x14ac:dyDescent="0.3">
      <c r="A432" s="136"/>
      <c r="B432" s="212"/>
      <c r="C432" s="138"/>
      <c r="D432" s="138"/>
      <c r="E432" s="138"/>
      <c r="F432" s="138"/>
      <c r="G432" s="138"/>
      <c r="H432" s="139"/>
      <c r="I432" s="138"/>
      <c r="J432" s="138"/>
      <c r="K432" s="138"/>
      <c r="L432" s="138"/>
      <c r="M432" s="139"/>
      <c r="N432" s="138"/>
      <c r="O432" s="138"/>
      <c r="P432" s="138"/>
      <c r="Q432" s="139"/>
      <c r="R432" s="139"/>
      <c r="S432" s="212"/>
      <c r="T432" s="138"/>
    </row>
    <row r="433" spans="1:20" ht="34.950000000000003" customHeight="1" x14ac:dyDescent="0.3">
      <c r="A433" s="136"/>
      <c r="B433" s="212"/>
      <c r="C433" s="138"/>
      <c r="D433" s="138"/>
      <c r="E433" s="138"/>
      <c r="F433" s="138"/>
      <c r="G433" s="138"/>
      <c r="H433" s="139"/>
      <c r="I433" s="138"/>
      <c r="J433" s="138"/>
      <c r="K433" s="138"/>
      <c r="L433" s="138"/>
      <c r="M433" s="139"/>
      <c r="N433" s="138"/>
      <c r="O433" s="138"/>
      <c r="P433" s="138"/>
      <c r="Q433" s="139"/>
      <c r="R433" s="139"/>
      <c r="S433" s="212"/>
      <c r="T433" s="138"/>
    </row>
    <row r="434" spans="1:20" ht="34.950000000000003" customHeight="1" x14ac:dyDescent="0.3">
      <c r="A434" s="136"/>
      <c r="B434" s="212"/>
      <c r="C434" s="138"/>
      <c r="D434" s="138"/>
      <c r="E434" s="138"/>
      <c r="F434" s="138"/>
      <c r="G434" s="138"/>
      <c r="H434" s="139"/>
      <c r="I434" s="138"/>
      <c r="J434" s="138"/>
      <c r="K434" s="138"/>
      <c r="L434" s="138"/>
      <c r="M434" s="139"/>
      <c r="N434" s="138"/>
      <c r="O434" s="138"/>
      <c r="P434" s="138"/>
      <c r="Q434" s="139"/>
      <c r="R434" s="139"/>
      <c r="S434" s="212"/>
      <c r="T434" s="138"/>
    </row>
    <row r="435" spans="1:20" ht="34.950000000000003" customHeight="1" x14ac:dyDescent="0.3">
      <c r="A435" s="136"/>
      <c r="B435" s="212"/>
      <c r="C435" s="138"/>
      <c r="D435" s="138"/>
      <c r="E435" s="138"/>
      <c r="F435" s="138"/>
      <c r="G435" s="138"/>
      <c r="H435" s="139"/>
      <c r="I435" s="138"/>
      <c r="J435" s="138"/>
      <c r="K435" s="138"/>
      <c r="L435" s="138"/>
      <c r="M435" s="139"/>
      <c r="N435" s="138"/>
      <c r="O435" s="138"/>
      <c r="P435" s="138"/>
      <c r="Q435" s="139"/>
      <c r="R435" s="139"/>
      <c r="S435" s="212"/>
      <c r="T435" s="138"/>
    </row>
    <row r="436" spans="1:20" ht="34.950000000000003" customHeight="1" x14ac:dyDescent="0.3">
      <c r="A436" s="136"/>
      <c r="B436" s="212"/>
      <c r="C436" s="138"/>
      <c r="D436" s="138"/>
      <c r="E436" s="138"/>
      <c r="F436" s="138"/>
      <c r="G436" s="138"/>
      <c r="H436" s="139"/>
      <c r="I436" s="138"/>
      <c r="J436" s="138"/>
      <c r="K436" s="138"/>
      <c r="L436" s="138"/>
      <c r="M436" s="139"/>
      <c r="N436" s="138"/>
      <c r="O436" s="138"/>
      <c r="P436" s="138"/>
      <c r="Q436" s="139"/>
      <c r="R436" s="139"/>
      <c r="S436" s="212"/>
      <c r="T436" s="138"/>
    </row>
    <row r="437" spans="1:20" ht="34.950000000000003" customHeight="1" x14ac:dyDescent="0.3">
      <c r="A437" s="136"/>
      <c r="B437" s="212"/>
      <c r="C437" s="138"/>
      <c r="D437" s="138"/>
      <c r="E437" s="138"/>
      <c r="F437" s="138"/>
      <c r="G437" s="138"/>
      <c r="H437" s="139"/>
      <c r="I437" s="138"/>
      <c r="J437" s="138"/>
      <c r="K437" s="138"/>
      <c r="L437" s="138"/>
      <c r="M437" s="139"/>
      <c r="N437" s="138"/>
      <c r="O437" s="138"/>
      <c r="P437" s="138"/>
      <c r="Q437" s="139"/>
      <c r="R437" s="139"/>
      <c r="S437" s="212"/>
      <c r="T437" s="138"/>
    </row>
    <row r="438" spans="1:20" ht="34.950000000000003" customHeight="1" x14ac:dyDescent="0.3">
      <c r="A438" s="136"/>
      <c r="B438" s="212"/>
      <c r="C438" s="138"/>
      <c r="D438" s="138"/>
      <c r="E438" s="138"/>
      <c r="F438" s="138"/>
      <c r="G438" s="138"/>
      <c r="H438" s="139"/>
      <c r="I438" s="138"/>
      <c r="J438" s="138"/>
      <c r="K438" s="138"/>
      <c r="L438" s="138"/>
      <c r="M438" s="139"/>
      <c r="N438" s="138"/>
      <c r="O438" s="138"/>
      <c r="P438" s="138"/>
      <c r="Q438" s="139"/>
      <c r="R438" s="139"/>
      <c r="S438" s="212"/>
      <c r="T438" s="138"/>
    </row>
    <row r="439" spans="1:20" ht="34.950000000000003" customHeight="1" x14ac:dyDescent="0.3">
      <c r="A439" s="136"/>
      <c r="B439" s="212"/>
      <c r="C439" s="138"/>
      <c r="D439" s="138"/>
      <c r="E439" s="138"/>
      <c r="F439" s="138"/>
      <c r="G439" s="138"/>
      <c r="H439" s="139"/>
      <c r="I439" s="138"/>
      <c r="J439" s="138"/>
      <c r="K439" s="138"/>
      <c r="L439" s="138"/>
      <c r="M439" s="139"/>
      <c r="N439" s="138"/>
      <c r="O439" s="138"/>
      <c r="P439" s="138"/>
      <c r="Q439" s="139"/>
      <c r="R439" s="139"/>
      <c r="S439" s="212"/>
      <c r="T439" s="138"/>
    </row>
    <row r="440" spans="1:20" ht="34.950000000000003" customHeight="1" x14ac:dyDescent="0.3">
      <c r="A440" s="136"/>
      <c r="B440" s="212"/>
      <c r="C440" s="138"/>
      <c r="D440" s="138"/>
      <c r="E440" s="138"/>
      <c r="F440" s="138"/>
      <c r="G440" s="138"/>
      <c r="H440" s="139"/>
      <c r="I440" s="138"/>
      <c r="J440" s="138"/>
      <c r="K440" s="138"/>
      <c r="L440" s="138"/>
      <c r="M440" s="139"/>
      <c r="N440" s="138"/>
      <c r="O440" s="138"/>
      <c r="P440" s="138"/>
      <c r="Q440" s="139"/>
      <c r="R440" s="139"/>
      <c r="S440" s="212"/>
      <c r="T440" s="138"/>
    </row>
    <row r="441" spans="1:20" ht="34.950000000000003" customHeight="1" x14ac:dyDescent="0.3">
      <c r="A441" s="136"/>
      <c r="B441" s="212"/>
      <c r="C441" s="138"/>
      <c r="D441" s="138"/>
      <c r="E441" s="138"/>
      <c r="F441" s="138"/>
      <c r="G441" s="138"/>
      <c r="H441" s="139"/>
      <c r="I441" s="138"/>
      <c r="J441" s="138"/>
      <c r="K441" s="138"/>
      <c r="L441" s="138"/>
      <c r="M441" s="139"/>
      <c r="N441" s="138"/>
      <c r="O441" s="138"/>
      <c r="P441" s="138"/>
      <c r="Q441" s="139"/>
      <c r="R441" s="139"/>
      <c r="S441" s="212"/>
      <c r="T441" s="138"/>
    </row>
    <row r="442" spans="1:20" ht="34.950000000000003" customHeight="1" x14ac:dyDescent="0.3">
      <c r="A442" s="136"/>
      <c r="B442" s="212"/>
      <c r="C442" s="138"/>
      <c r="D442" s="138"/>
      <c r="E442" s="138"/>
      <c r="F442" s="138"/>
      <c r="G442" s="138"/>
      <c r="H442" s="139"/>
      <c r="I442" s="138"/>
      <c r="J442" s="138"/>
      <c r="K442" s="138"/>
      <c r="L442" s="138"/>
      <c r="M442" s="139"/>
      <c r="N442" s="138"/>
      <c r="O442" s="138"/>
      <c r="P442" s="138"/>
      <c r="Q442" s="139"/>
      <c r="R442" s="139"/>
      <c r="S442" s="212"/>
      <c r="T442" s="138"/>
    </row>
    <row r="443" spans="1:20" ht="34.950000000000003" customHeight="1" x14ac:dyDescent="0.3">
      <c r="A443" s="136"/>
      <c r="B443" s="212"/>
      <c r="C443" s="138"/>
      <c r="D443" s="138"/>
      <c r="E443" s="138"/>
      <c r="F443" s="138"/>
      <c r="G443" s="138"/>
      <c r="H443" s="139"/>
      <c r="I443" s="138"/>
      <c r="J443" s="138"/>
      <c r="K443" s="138"/>
      <c r="L443" s="138"/>
      <c r="M443" s="139"/>
      <c r="N443" s="138"/>
      <c r="O443" s="138"/>
      <c r="P443" s="138"/>
      <c r="Q443" s="139"/>
      <c r="R443" s="139"/>
      <c r="S443" s="212"/>
      <c r="T443" s="138"/>
    </row>
    <row r="444" spans="1:20" ht="34.950000000000003" customHeight="1" x14ac:dyDescent="0.3">
      <c r="A444" s="136"/>
      <c r="B444" s="212"/>
      <c r="C444" s="138"/>
      <c r="D444" s="138"/>
      <c r="E444" s="138"/>
      <c r="F444" s="138"/>
      <c r="G444" s="138"/>
      <c r="H444" s="139"/>
      <c r="I444" s="138"/>
      <c r="J444" s="138"/>
      <c r="K444" s="138"/>
      <c r="L444" s="138"/>
      <c r="M444" s="139"/>
      <c r="N444" s="138"/>
      <c r="O444" s="138"/>
      <c r="P444" s="138"/>
      <c r="Q444" s="139"/>
      <c r="R444" s="139"/>
      <c r="S444" s="212"/>
      <c r="T444" s="138"/>
    </row>
    <row r="445" spans="1:20" ht="34.950000000000003" customHeight="1" x14ac:dyDescent="0.3">
      <c r="A445" s="136"/>
      <c r="B445" s="212"/>
      <c r="C445" s="138"/>
      <c r="D445" s="138"/>
      <c r="E445" s="138"/>
      <c r="F445" s="138"/>
      <c r="G445" s="138"/>
      <c r="H445" s="139"/>
      <c r="I445" s="138"/>
      <c r="J445" s="138"/>
      <c r="K445" s="138"/>
      <c r="L445" s="138"/>
      <c r="M445" s="139"/>
      <c r="N445" s="138"/>
      <c r="O445" s="138"/>
      <c r="P445" s="138"/>
      <c r="Q445" s="139"/>
      <c r="R445" s="139"/>
      <c r="S445" s="212"/>
      <c r="T445" s="138"/>
    </row>
    <row r="446" spans="1:20" ht="34.950000000000003" customHeight="1" x14ac:dyDescent="0.3">
      <c r="A446" s="136"/>
      <c r="B446" s="212"/>
      <c r="C446" s="138"/>
      <c r="D446" s="138"/>
      <c r="E446" s="138"/>
      <c r="F446" s="138"/>
      <c r="G446" s="138"/>
      <c r="H446" s="139"/>
      <c r="I446" s="138"/>
      <c r="J446" s="138"/>
      <c r="K446" s="138"/>
      <c r="L446" s="138"/>
      <c r="M446" s="139"/>
      <c r="N446" s="138"/>
      <c r="O446" s="138"/>
      <c r="P446" s="138"/>
      <c r="Q446" s="139"/>
      <c r="R446" s="139"/>
      <c r="S446" s="212"/>
      <c r="T446" s="138"/>
    </row>
    <row r="447" spans="1:20" ht="34.950000000000003" customHeight="1" x14ac:dyDescent="0.3">
      <c r="A447" s="136"/>
      <c r="B447" s="212"/>
      <c r="C447" s="138"/>
      <c r="D447" s="138"/>
      <c r="E447" s="138"/>
      <c r="F447" s="138"/>
      <c r="G447" s="138"/>
      <c r="H447" s="139"/>
      <c r="I447" s="138"/>
      <c r="J447" s="138"/>
      <c r="K447" s="138"/>
      <c r="L447" s="138"/>
      <c r="M447" s="139"/>
      <c r="N447" s="138"/>
      <c r="O447" s="138"/>
      <c r="P447" s="138"/>
      <c r="Q447" s="139"/>
      <c r="R447" s="139"/>
      <c r="S447" s="212"/>
      <c r="T447" s="138"/>
    </row>
    <row r="448" spans="1:20" ht="34.950000000000003" customHeight="1" x14ac:dyDescent="0.3">
      <c r="A448" s="136"/>
      <c r="B448" s="212"/>
      <c r="C448" s="138"/>
      <c r="D448" s="138"/>
      <c r="E448" s="138"/>
      <c r="F448" s="138"/>
      <c r="G448" s="138"/>
      <c r="H448" s="139"/>
      <c r="I448" s="138"/>
      <c r="J448" s="138"/>
      <c r="K448" s="138"/>
      <c r="L448" s="138"/>
      <c r="M448" s="139"/>
      <c r="N448" s="138"/>
      <c r="O448" s="138"/>
      <c r="P448" s="138"/>
      <c r="Q448" s="139"/>
      <c r="R448" s="139"/>
      <c r="S448" s="212"/>
      <c r="T448" s="138"/>
    </row>
    <row r="449" spans="1:20" ht="34.950000000000003" customHeight="1" x14ac:dyDescent="0.3">
      <c r="A449" s="136"/>
      <c r="B449" s="212"/>
      <c r="C449" s="138"/>
      <c r="D449" s="138"/>
      <c r="E449" s="138"/>
      <c r="F449" s="138"/>
      <c r="G449" s="138"/>
      <c r="H449" s="139"/>
      <c r="I449" s="138"/>
      <c r="J449" s="138"/>
      <c r="K449" s="138"/>
      <c r="L449" s="138"/>
      <c r="M449" s="139"/>
      <c r="N449" s="138"/>
      <c r="O449" s="138"/>
      <c r="P449" s="138"/>
      <c r="Q449" s="139"/>
      <c r="R449" s="139"/>
      <c r="S449" s="212"/>
      <c r="T449" s="138"/>
    </row>
    <row r="450" spans="1:20" ht="34.950000000000003" customHeight="1" x14ac:dyDescent="0.3">
      <c r="A450" s="136"/>
      <c r="B450" s="212"/>
      <c r="C450" s="138"/>
      <c r="D450" s="138"/>
      <c r="E450" s="138"/>
      <c r="F450" s="138"/>
      <c r="G450" s="138"/>
      <c r="H450" s="139"/>
      <c r="I450" s="138"/>
      <c r="J450" s="138"/>
      <c r="K450" s="138"/>
      <c r="L450" s="138"/>
      <c r="M450" s="139"/>
      <c r="N450" s="138"/>
      <c r="O450" s="138"/>
      <c r="P450" s="138"/>
      <c r="Q450" s="139"/>
      <c r="R450" s="139"/>
      <c r="S450" s="212"/>
      <c r="T450" s="138"/>
    </row>
    <row r="451" spans="1:20" ht="34.950000000000003" customHeight="1" x14ac:dyDescent="0.3">
      <c r="A451" s="136"/>
      <c r="B451" s="212"/>
      <c r="C451" s="138"/>
      <c r="D451" s="138"/>
      <c r="E451" s="138"/>
      <c r="F451" s="138"/>
      <c r="G451" s="138"/>
      <c r="H451" s="139"/>
      <c r="I451" s="138"/>
      <c r="J451" s="138"/>
      <c r="K451" s="138"/>
      <c r="L451" s="138"/>
      <c r="M451" s="139"/>
      <c r="N451" s="138"/>
      <c r="O451" s="138"/>
      <c r="P451" s="138"/>
      <c r="Q451" s="139"/>
      <c r="R451" s="139"/>
      <c r="S451" s="212"/>
      <c r="T451" s="138"/>
    </row>
    <row r="452" spans="1:20" ht="34.950000000000003" customHeight="1" x14ac:dyDescent="0.3">
      <c r="A452" s="136"/>
      <c r="B452" s="212"/>
      <c r="C452" s="138"/>
      <c r="D452" s="138"/>
      <c r="E452" s="138"/>
      <c r="F452" s="138"/>
      <c r="G452" s="138"/>
      <c r="H452" s="139"/>
      <c r="I452" s="138"/>
      <c r="J452" s="138"/>
      <c r="K452" s="138"/>
      <c r="L452" s="138"/>
      <c r="M452" s="139"/>
      <c r="N452" s="138"/>
      <c r="O452" s="138"/>
      <c r="P452" s="138"/>
      <c r="Q452" s="139"/>
      <c r="R452" s="139"/>
      <c r="S452" s="212"/>
      <c r="T452" s="138"/>
    </row>
    <row r="453" spans="1:20" ht="34.950000000000003" customHeight="1" x14ac:dyDescent="0.3">
      <c r="A453" s="136"/>
      <c r="B453" s="212"/>
      <c r="C453" s="138"/>
      <c r="D453" s="138"/>
      <c r="E453" s="138"/>
      <c r="F453" s="138"/>
      <c r="G453" s="138"/>
      <c r="H453" s="139"/>
      <c r="I453" s="138"/>
      <c r="J453" s="138"/>
      <c r="K453" s="138"/>
      <c r="L453" s="138"/>
      <c r="M453" s="139"/>
      <c r="N453" s="138"/>
      <c r="O453" s="138"/>
      <c r="P453" s="138"/>
      <c r="Q453" s="139"/>
      <c r="R453" s="139"/>
      <c r="S453" s="212"/>
      <c r="T453" s="138"/>
    </row>
    <row r="454" spans="1:20" ht="34.950000000000003" customHeight="1" x14ac:dyDescent="0.3">
      <c r="A454" s="136"/>
      <c r="B454" s="212"/>
      <c r="C454" s="138"/>
      <c r="D454" s="138"/>
      <c r="E454" s="138"/>
      <c r="F454" s="138"/>
      <c r="G454" s="138"/>
      <c r="H454" s="139"/>
      <c r="I454" s="138"/>
      <c r="J454" s="138"/>
      <c r="K454" s="138"/>
      <c r="L454" s="138"/>
      <c r="M454" s="139"/>
      <c r="N454" s="138"/>
      <c r="O454" s="138"/>
      <c r="P454" s="138"/>
      <c r="Q454" s="139"/>
      <c r="R454" s="139"/>
      <c r="S454" s="212"/>
      <c r="T454" s="138"/>
    </row>
    <row r="455" spans="1:20" ht="34.950000000000003" customHeight="1" x14ac:dyDescent="0.3">
      <c r="A455" s="136"/>
      <c r="B455" s="212"/>
      <c r="C455" s="138"/>
      <c r="D455" s="138"/>
      <c r="E455" s="138"/>
      <c r="F455" s="138"/>
      <c r="G455" s="138"/>
      <c r="H455" s="139"/>
      <c r="I455" s="138"/>
      <c r="J455" s="138"/>
      <c r="K455" s="138"/>
      <c r="L455" s="138"/>
      <c r="M455" s="139"/>
      <c r="N455" s="138"/>
      <c r="O455" s="138"/>
      <c r="P455" s="138"/>
      <c r="Q455" s="139"/>
      <c r="R455" s="139"/>
      <c r="S455" s="212"/>
      <c r="T455" s="138"/>
    </row>
    <row r="456" spans="1:20" ht="34.950000000000003" customHeight="1" x14ac:dyDescent="0.3">
      <c r="A456" s="136"/>
      <c r="B456" s="212"/>
      <c r="C456" s="138"/>
      <c r="D456" s="138"/>
      <c r="E456" s="138"/>
      <c r="F456" s="138"/>
      <c r="G456" s="138"/>
      <c r="H456" s="139"/>
      <c r="I456" s="138"/>
      <c r="J456" s="138"/>
      <c r="K456" s="138"/>
      <c r="L456" s="138"/>
      <c r="M456" s="139"/>
      <c r="N456" s="138"/>
      <c r="O456" s="138"/>
      <c r="P456" s="138"/>
      <c r="Q456" s="139"/>
      <c r="R456" s="139"/>
      <c r="S456" s="212"/>
      <c r="T456" s="138"/>
    </row>
    <row r="457" spans="1:20" ht="34.950000000000003" customHeight="1" x14ac:dyDescent="0.3">
      <c r="A457" s="136"/>
      <c r="B457" s="212"/>
      <c r="C457" s="138"/>
      <c r="D457" s="138"/>
      <c r="E457" s="138"/>
      <c r="F457" s="138"/>
      <c r="G457" s="138"/>
      <c r="H457" s="139"/>
      <c r="I457" s="138"/>
      <c r="J457" s="138"/>
      <c r="K457" s="138"/>
      <c r="L457" s="138"/>
      <c r="M457" s="139"/>
      <c r="N457" s="138"/>
      <c r="O457" s="138"/>
      <c r="P457" s="138"/>
      <c r="Q457" s="139"/>
      <c r="R457" s="139"/>
      <c r="S457" s="212"/>
      <c r="T457" s="138"/>
    </row>
    <row r="458" spans="1:20" ht="34.950000000000003" customHeight="1" x14ac:dyDescent="0.3">
      <c r="A458" s="136"/>
      <c r="B458" s="212"/>
      <c r="C458" s="138"/>
      <c r="D458" s="138"/>
      <c r="E458" s="138"/>
      <c r="F458" s="138"/>
      <c r="G458" s="138"/>
      <c r="H458" s="139"/>
      <c r="I458" s="138"/>
      <c r="J458" s="138"/>
      <c r="K458" s="138"/>
      <c r="L458" s="138"/>
      <c r="M458" s="139"/>
      <c r="N458" s="138"/>
      <c r="O458" s="138"/>
      <c r="P458" s="138"/>
      <c r="Q458" s="139"/>
      <c r="R458" s="139"/>
      <c r="S458" s="212"/>
      <c r="T458" s="138"/>
    </row>
    <row r="459" spans="1:20" ht="34.950000000000003" customHeight="1" x14ac:dyDescent="0.3">
      <c r="A459" s="136"/>
      <c r="B459" s="212"/>
      <c r="C459" s="138"/>
      <c r="D459" s="138"/>
      <c r="E459" s="138"/>
      <c r="F459" s="138"/>
      <c r="G459" s="138"/>
      <c r="H459" s="139"/>
      <c r="I459" s="138"/>
      <c r="J459" s="138"/>
      <c r="K459" s="138"/>
      <c r="L459" s="138"/>
      <c r="M459" s="139"/>
      <c r="N459" s="138"/>
      <c r="O459" s="138"/>
      <c r="P459" s="138"/>
      <c r="Q459" s="139"/>
      <c r="R459" s="139"/>
      <c r="S459" s="212"/>
      <c r="T459" s="138"/>
    </row>
    <row r="460" spans="1:20" ht="34.950000000000003" customHeight="1" x14ac:dyDescent="0.3">
      <c r="A460" s="136"/>
      <c r="B460" s="212"/>
      <c r="C460" s="138"/>
      <c r="D460" s="138"/>
      <c r="E460" s="138"/>
      <c r="F460" s="138"/>
      <c r="G460" s="138"/>
      <c r="H460" s="139"/>
      <c r="I460" s="138"/>
      <c r="J460" s="138"/>
      <c r="K460" s="138"/>
      <c r="L460" s="138"/>
      <c r="M460" s="139"/>
      <c r="N460" s="138"/>
      <c r="O460" s="138"/>
      <c r="P460" s="138"/>
      <c r="Q460" s="139"/>
      <c r="R460" s="139"/>
      <c r="S460" s="212"/>
      <c r="T460" s="138"/>
    </row>
    <row r="461" spans="1:20" ht="34.950000000000003" customHeight="1" x14ac:dyDescent="0.3">
      <c r="A461" s="136"/>
      <c r="B461" s="212"/>
      <c r="C461" s="138"/>
      <c r="D461" s="138"/>
      <c r="E461" s="138"/>
      <c r="F461" s="138"/>
      <c r="G461" s="138"/>
      <c r="H461" s="139"/>
      <c r="I461" s="138"/>
      <c r="J461" s="138"/>
      <c r="K461" s="138"/>
      <c r="L461" s="138"/>
      <c r="M461" s="139"/>
      <c r="N461" s="138"/>
      <c r="O461" s="138"/>
      <c r="P461" s="138"/>
      <c r="Q461" s="139"/>
      <c r="R461" s="139"/>
      <c r="S461" s="212"/>
      <c r="T461" s="138"/>
    </row>
    <row r="462" spans="1:20" ht="34.950000000000003" customHeight="1" x14ac:dyDescent="0.3">
      <c r="A462" s="136"/>
      <c r="B462" s="212"/>
      <c r="C462" s="138"/>
      <c r="D462" s="138"/>
      <c r="E462" s="138"/>
      <c r="F462" s="138"/>
      <c r="G462" s="138"/>
      <c r="H462" s="139"/>
      <c r="I462" s="138"/>
      <c r="J462" s="138"/>
      <c r="K462" s="138"/>
      <c r="L462" s="138"/>
      <c r="M462" s="139"/>
      <c r="N462" s="138"/>
      <c r="O462" s="138"/>
      <c r="P462" s="138"/>
      <c r="Q462" s="139"/>
      <c r="R462" s="139"/>
      <c r="S462" s="212"/>
      <c r="T462" s="138"/>
    </row>
    <row r="463" spans="1:20" ht="34.950000000000003" customHeight="1" x14ac:dyDescent="0.3">
      <c r="A463" s="136"/>
      <c r="B463" s="212"/>
      <c r="C463" s="138"/>
      <c r="D463" s="138"/>
      <c r="E463" s="138"/>
      <c r="F463" s="138"/>
      <c r="G463" s="138"/>
      <c r="H463" s="139"/>
      <c r="I463" s="138"/>
      <c r="J463" s="138"/>
      <c r="K463" s="138"/>
      <c r="L463" s="138"/>
      <c r="M463" s="139"/>
      <c r="N463" s="138"/>
      <c r="O463" s="138"/>
      <c r="P463" s="138"/>
      <c r="Q463" s="139"/>
      <c r="R463" s="139"/>
      <c r="S463" s="212"/>
      <c r="T463" s="138"/>
    </row>
    <row r="464" spans="1:20" ht="34.950000000000003" customHeight="1" x14ac:dyDescent="0.3">
      <c r="A464" s="136"/>
      <c r="B464" s="212"/>
      <c r="C464" s="138"/>
      <c r="D464" s="138"/>
      <c r="E464" s="138"/>
      <c r="F464" s="138"/>
      <c r="G464" s="138"/>
      <c r="H464" s="139"/>
      <c r="I464" s="138"/>
      <c r="J464" s="138"/>
      <c r="K464" s="138"/>
      <c r="L464" s="138"/>
      <c r="M464" s="139"/>
      <c r="N464" s="138"/>
      <c r="O464" s="138"/>
      <c r="P464" s="138"/>
      <c r="Q464" s="139"/>
      <c r="R464" s="139"/>
      <c r="S464" s="212"/>
      <c r="T464" s="138"/>
    </row>
    <row r="465" spans="1:20" ht="34.950000000000003" customHeight="1" x14ac:dyDescent="0.3">
      <c r="A465" s="136"/>
      <c r="B465" s="212"/>
      <c r="C465" s="138"/>
      <c r="D465" s="138"/>
      <c r="E465" s="138"/>
      <c r="F465" s="138"/>
      <c r="G465" s="138"/>
      <c r="H465" s="139"/>
      <c r="I465" s="138"/>
      <c r="J465" s="138"/>
      <c r="K465" s="138"/>
      <c r="L465" s="138"/>
      <c r="M465" s="139"/>
      <c r="N465" s="138"/>
      <c r="O465" s="138"/>
      <c r="P465" s="138"/>
      <c r="Q465" s="139"/>
      <c r="R465" s="139"/>
      <c r="S465" s="212"/>
      <c r="T465" s="138"/>
    </row>
    <row r="466" spans="1:20" ht="34.950000000000003" customHeight="1" x14ac:dyDescent="0.3">
      <c r="A466" s="136"/>
      <c r="B466" s="212"/>
      <c r="C466" s="138"/>
      <c r="D466" s="138"/>
      <c r="E466" s="138"/>
      <c r="F466" s="138"/>
      <c r="G466" s="138"/>
      <c r="H466" s="139"/>
      <c r="I466" s="138"/>
      <c r="J466" s="138"/>
      <c r="K466" s="138"/>
      <c r="L466" s="138"/>
      <c r="M466" s="139"/>
      <c r="N466" s="138"/>
      <c r="O466" s="138"/>
      <c r="P466" s="138"/>
      <c r="Q466" s="139"/>
      <c r="R466" s="139"/>
      <c r="S466" s="212"/>
      <c r="T466" s="138"/>
    </row>
    <row r="467" spans="1:20" ht="34.950000000000003" customHeight="1" x14ac:dyDescent="0.3">
      <c r="A467" s="136"/>
      <c r="B467" s="212"/>
      <c r="C467" s="138"/>
      <c r="D467" s="138"/>
      <c r="E467" s="138"/>
      <c r="F467" s="138"/>
      <c r="G467" s="138"/>
      <c r="H467" s="139"/>
      <c r="I467" s="138"/>
      <c r="J467" s="138"/>
      <c r="K467" s="138"/>
      <c r="L467" s="138"/>
      <c r="M467" s="139"/>
      <c r="N467" s="138"/>
      <c r="O467" s="138"/>
      <c r="P467" s="138"/>
      <c r="Q467" s="139"/>
      <c r="R467" s="139"/>
      <c r="S467" s="212"/>
      <c r="T467" s="138"/>
    </row>
    <row r="468" spans="1:20" ht="34.950000000000003" customHeight="1" x14ac:dyDescent="0.3">
      <c r="A468" s="136"/>
      <c r="B468" s="212"/>
      <c r="C468" s="138"/>
      <c r="D468" s="138"/>
      <c r="E468" s="138"/>
      <c r="F468" s="138"/>
      <c r="G468" s="138"/>
      <c r="H468" s="139"/>
      <c r="I468" s="138"/>
      <c r="J468" s="138"/>
      <c r="K468" s="138"/>
      <c r="L468" s="138"/>
      <c r="M468" s="139"/>
      <c r="N468" s="138"/>
      <c r="O468" s="138"/>
      <c r="P468" s="138"/>
      <c r="Q468" s="139"/>
      <c r="R468" s="139"/>
      <c r="S468" s="212"/>
      <c r="T468" s="138"/>
    </row>
    <row r="469" spans="1:20" ht="34.950000000000003" customHeight="1" x14ac:dyDescent="0.3">
      <c r="A469" s="136"/>
      <c r="B469" s="212"/>
      <c r="C469" s="138"/>
      <c r="D469" s="138"/>
      <c r="E469" s="138"/>
      <c r="F469" s="138"/>
      <c r="G469" s="138"/>
      <c r="H469" s="139"/>
      <c r="I469" s="138"/>
      <c r="J469" s="138"/>
      <c r="K469" s="138"/>
      <c r="L469" s="138"/>
      <c r="M469" s="139"/>
      <c r="N469" s="138"/>
      <c r="O469" s="138"/>
      <c r="P469" s="138"/>
      <c r="Q469" s="139"/>
      <c r="R469" s="139"/>
      <c r="S469" s="212"/>
      <c r="T469" s="138"/>
    </row>
    <row r="470" spans="1:20" ht="34.950000000000003" customHeight="1" x14ac:dyDescent="0.3">
      <c r="A470" s="136"/>
      <c r="B470" s="212"/>
      <c r="C470" s="138"/>
      <c r="D470" s="138"/>
      <c r="E470" s="138"/>
      <c r="F470" s="138"/>
      <c r="G470" s="138"/>
      <c r="H470" s="139"/>
      <c r="I470" s="138"/>
      <c r="J470" s="138"/>
      <c r="K470" s="138"/>
      <c r="L470" s="138"/>
      <c r="M470" s="139"/>
      <c r="N470" s="138"/>
      <c r="O470" s="138"/>
      <c r="P470" s="138"/>
      <c r="Q470" s="139"/>
      <c r="R470" s="139"/>
      <c r="S470" s="212"/>
      <c r="T470" s="138"/>
    </row>
    <row r="471" spans="1:20" ht="34.950000000000003" customHeight="1" x14ac:dyDescent="0.3">
      <c r="A471" s="136"/>
      <c r="B471" s="212"/>
      <c r="C471" s="138"/>
      <c r="D471" s="138"/>
      <c r="E471" s="138"/>
      <c r="F471" s="138"/>
      <c r="G471" s="138"/>
      <c r="H471" s="139"/>
      <c r="I471" s="138"/>
      <c r="J471" s="138"/>
      <c r="K471" s="138"/>
      <c r="L471" s="138"/>
      <c r="M471" s="139"/>
      <c r="N471" s="138"/>
      <c r="O471" s="138"/>
      <c r="P471" s="138"/>
      <c r="Q471" s="139"/>
      <c r="R471" s="139"/>
      <c r="S471" s="212"/>
      <c r="T471" s="138"/>
    </row>
    <row r="472" spans="1:20" ht="34.950000000000003" customHeight="1" x14ac:dyDescent="0.3">
      <c r="A472" s="136"/>
      <c r="B472" s="212"/>
      <c r="C472" s="138"/>
      <c r="D472" s="138"/>
      <c r="E472" s="138"/>
      <c r="F472" s="138"/>
      <c r="G472" s="138"/>
      <c r="H472" s="139"/>
      <c r="I472" s="138"/>
      <c r="J472" s="138"/>
      <c r="K472" s="138"/>
      <c r="L472" s="138"/>
      <c r="M472" s="139"/>
      <c r="N472" s="138"/>
      <c r="O472" s="138"/>
      <c r="P472" s="138"/>
      <c r="Q472" s="139"/>
      <c r="R472" s="139"/>
      <c r="S472" s="212"/>
      <c r="T472" s="138"/>
    </row>
    <row r="473" spans="1:20" ht="34.950000000000003" customHeight="1" x14ac:dyDescent="0.3">
      <c r="A473" s="136"/>
      <c r="B473" s="212"/>
      <c r="C473" s="138"/>
      <c r="D473" s="138"/>
      <c r="E473" s="138"/>
      <c r="F473" s="138"/>
      <c r="G473" s="138"/>
      <c r="H473" s="139"/>
      <c r="I473" s="138"/>
      <c r="J473" s="138"/>
      <c r="K473" s="138"/>
      <c r="L473" s="138"/>
      <c r="M473" s="139"/>
      <c r="N473" s="138"/>
      <c r="O473" s="138"/>
      <c r="P473" s="138"/>
      <c r="Q473" s="139"/>
      <c r="R473" s="139"/>
      <c r="S473" s="212"/>
      <c r="T473" s="138"/>
    </row>
    <row r="474" spans="1:20" ht="34.950000000000003" customHeight="1" x14ac:dyDescent="0.3">
      <c r="A474" s="136"/>
      <c r="B474" s="212"/>
      <c r="C474" s="138"/>
      <c r="D474" s="138"/>
      <c r="E474" s="138"/>
      <c r="F474" s="138"/>
      <c r="G474" s="138"/>
      <c r="H474" s="139"/>
      <c r="I474" s="138"/>
      <c r="J474" s="138"/>
      <c r="K474" s="138"/>
      <c r="L474" s="138"/>
      <c r="M474" s="139"/>
      <c r="N474" s="138"/>
      <c r="O474" s="138"/>
      <c r="P474" s="138"/>
      <c r="Q474" s="139"/>
      <c r="R474" s="139"/>
      <c r="S474" s="212"/>
      <c r="T474" s="138"/>
    </row>
    <row r="475" spans="1:20" ht="34.950000000000003" customHeight="1" x14ac:dyDescent="0.3">
      <c r="A475" s="136"/>
      <c r="B475" s="212"/>
      <c r="C475" s="138"/>
      <c r="D475" s="138"/>
      <c r="E475" s="138"/>
      <c r="F475" s="138"/>
      <c r="G475" s="138"/>
      <c r="H475" s="139"/>
      <c r="I475" s="138"/>
      <c r="J475" s="138"/>
      <c r="K475" s="138"/>
      <c r="L475" s="138"/>
      <c r="M475" s="139"/>
      <c r="N475" s="138"/>
      <c r="O475" s="138"/>
      <c r="P475" s="138"/>
      <c r="Q475" s="139"/>
      <c r="R475" s="139"/>
      <c r="S475" s="212"/>
      <c r="T475" s="138"/>
    </row>
    <row r="476" spans="1:20" ht="34.950000000000003" customHeight="1" x14ac:dyDescent="0.3">
      <c r="A476" s="136"/>
      <c r="B476" s="212"/>
      <c r="C476" s="138"/>
      <c r="D476" s="138"/>
      <c r="E476" s="138"/>
      <c r="F476" s="138"/>
      <c r="G476" s="138"/>
      <c r="H476" s="139"/>
      <c r="I476" s="138"/>
      <c r="J476" s="138"/>
      <c r="K476" s="138"/>
      <c r="L476" s="138"/>
      <c r="M476" s="139"/>
      <c r="N476" s="138"/>
      <c r="O476" s="138"/>
      <c r="P476" s="138"/>
      <c r="Q476" s="139"/>
      <c r="R476" s="139"/>
      <c r="S476" s="212"/>
      <c r="T476" s="138"/>
    </row>
    <row r="477" spans="1:20" ht="34.950000000000003" customHeight="1" x14ac:dyDescent="0.3">
      <c r="A477" s="136"/>
      <c r="B477" s="212"/>
      <c r="C477" s="138"/>
      <c r="D477" s="138"/>
      <c r="E477" s="138"/>
      <c r="F477" s="138"/>
      <c r="G477" s="138"/>
      <c r="H477" s="139"/>
      <c r="I477" s="138"/>
      <c r="J477" s="138"/>
      <c r="K477" s="138"/>
      <c r="L477" s="138"/>
      <c r="M477" s="139"/>
      <c r="N477" s="138"/>
      <c r="O477" s="138"/>
      <c r="P477" s="138"/>
      <c r="Q477" s="139"/>
      <c r="R477" s="139"/>
      <c r="S477" s="212"/>
      <c r="T477" s="138"/>
    </row>
    <row r="478" spans="1:20" ht="34.950000000000003" customHeight="1" x14ac:dyDescent="0.3">
      <c r="A478" s="136"/>
      <c r="B478" s="212"/>
      <c r="C478" s="138"/>
      <c r="D478" s="138"/>
      <c r="E478" s="138"/>
      <c r="F478" s="138"/>
      <c r="G478" s="138"/>
      <c r="H478" s="139"/>
      <c r="I478" s="138"/>
      <c r="J478" s="138"/>
      <c r="K478" s="138"/>
      <c r="L478" s="138"/>
      <c r="M478" s="139"/>
      <c r="N478" s="138"/>
      <c r="O478" s="138"/>
      <c r="P478" s="138"/>
      <c r="Q478" s="139"/>
      <c r="R478" s="139"/>
      <c r="S478" s="212"/>
      <c r="T478" s="138"/>
    </row>
    <row r="479" spans="1:20" ht="34.950000000000003" customHeight="1" x14ac:dyDescent="0.3">
      <c r="A479" s="136"/>
      <c r="B479" s="212"/>
      <c r="C479" s="138"/>
      <c r="D479" s="138"/>
      <c r="E479" s="138"/>
      <c r="F479" s="138"/>
      <c r="G479" s="138"/>
      <c r="H479" s="139"/>
      <c r="I479" s="138"/>
      <c r="J479" s="138"/>
      <c r="K479" s="138"/>
      <c r="L479" s="138"/>
      <c r="M479" s="139"/>
      <c r="N479" s="138"/>
      <c r="O479" s="138"/>
      <c r="P479" s="138"/>
      <c r="Q479" s="139"/>
      <c r="R479" s="139"/>
      <c r="S479" s="212"/>
      <c r="T479" s="138"/>
    </row>
    <row r="480" spans="1:20" ht="34.950000000000003" customHeight="1" x14ac:dyDescent="0.3">
      <c r="A480" s="136"/>
      <c r="B480" s="212"/>
      <c r="C480" s="138"/>
      <c r="D480" s="138"/>
      <c r="E480" s="138"/>
      <c r="F480" s="138"/>
      <c r="G480" s="138"/>
      <c r="H480" s="139"/>
      <c r="I480" s="138"/>
      <c r="J480" s="138"/>
      <c r="K480" s="138"/>
      <c r="L480" s="138"/>
      <c r="M480" s="139"/>
      <c r="N480" s="138"/>
      <c r="O480" s="138"/>
      <c r="P480" s="138"/>
      <c r="Q480" s="139"/>
      <c r="R480" s="139"/>
      <c r="S480" s="212"/>
      <c r="T480" s="138"/>
    </row>
    <row r="481" spans="1:20" ht="34.950000000000003" customHeight="1" x14ac:dyDescent="0.3">
      <c r="A481" s="136"/>
      <c r="B481" s="212"/>
      <c r="C481" s="138"/>
      <c r="D481" s="138"/>
      <c r="E481" s="138"/>
      <c r="F481" s="138"/>
      <c r="G481" s="138"/>
      <c r="H481" s="139"/>
      <c r="I481" s="138"/>
      <c r="J481" s="138"/>
      <c r="K481" s="138"/>
      <c r="L481" s="138"/>
      <c r="M481" s="139"/>
      <c r="N481" s="138"/>
      <c r="O481" s="138"/>
      <c r="P481" s="138"/>
      <c r="Q481" s="139"/>
      <c r="R481" s="139"/>
      <c r="S481" s="212"/>
      <c r="T481" s="138"/>
    </row>
    <row r="482" spans="1:20" ht="34.950000000000003" customHeight="1" x14ac:dyDescent="0.3">
      <c r="A482" s="136"/>
      <c r="B482" s="212"/>
      <c r="C482" s="138"/>
      <c r="D482" s="138"/>
      <c r="E482" s="138"/>
      <c r="F482" s="138"/>
      <c r="G482" s="138"/>
      <c r="H482" s="139"/>
      <c r="I482" s="138"/>
      <c r="J482" s="138"/>
      <c r="K482" s="138"/>
      <c r="L482" s="138"/>
      <c r="M482" s="139"/>
      <c r="N482" s="138"/>
      <c r="O482" s="138"/>
      <c r="P482" s="138"/>
      <c r="Q482" s="139"/>
      <c r="R482" s="139"/>
      <c r="S482" s="212"/>
      <c r="T482" s="138"/>
    </row>
    <row r="483" spans="1:20" ht="34.950000000000003" customHeight="1" x14ac:dyDescent="0.3">
      <c r="A483" s="136"/>
      <c r="B483" s="212"/>
      <c r="C483" s="138"/>
      <c r="D483" s="138"/>
      <c r="E483" s="138"/>
      <c r="F483" s="138"/>
      <c r="G483" s="138"/>
      <c r="H483" s="139"/>
      <c r="I483" s="138"/>
      <c r="J483" s="138"/>
      <c r="K483" s="138"/>
      <c r="L483" s="138"/>
      <c r="M483" s="139"/>
      <c r="N483" s="138"/>
      <c r="O483" s="138"/>
      <c r="P483" s="138"/>
      <c r="Q483" s="139"/>
      <c r="R483" s="139"/>
      <c r="S483" s="212"/>
      <c r="T483" s="138"/>
    </row>
    <row r="484" spans="1:20" ht="34.950000000000003" customHeight="1" x14ac:dyDescent="0.3">
      <c r="A484" s="136"/>
      <c r="B484" s="212"/>
      <c r="C484" s="138"/>
      <c r="D484" s="138"/>
      <c r="E484" s="138"/>
      <c r="F484" s="138"/>
      <c r="G484" s="138"/>
      <c r="H484" s="139"/>
      <c r="I484" s="138"/>
      <c r="J484" s="138"/>
      <c r="K484" s="138"/>
      <c r="L484" s="138"/>
      <c r="M484" s="139"/>
      <c r="N484" s="138"/>
      <c r="O484" s="138"/>
      <c r="P484" s="138"/>
      <c r="Q484" s="139"/>
      <c r="R484" s="139"/>
      <c r="S484" s="212"/>
      <c r="T484" s="138"/>
    </row>
    <row r="485" spans="1:20" ht="34.950000000000003" customHeight="1" x14ac:dyDescent="0.3">
      <c r="A485" s="136"/>
      <c r="B485" s="212"/>
      <c r="C485" s="138"/>
      <c r="D485" s="138"/>
      <c r="E485" s="138"/>
      <c r="F485" s="138"/>
      <c r="G485" s="138"/>
      <c r="H485" s="139"/>
      <c r="I485" s="138"/>
      <c r="J485" s="138"/>
      <c r="K485" s="138"/>
      <c r="L485" s="138"/>
      <c r="M485" s="139"/>
      <c r="N485" s="138"/>
      <c r="O485" s="138"/>
      <c r="P485" s="138"/>
      <c r="Q485" s="139"/>
      <c r="R485" s="139"/>
      <c r="S485" s="212"/>
      <c r="T485" s="138"/>
    </row>
    <row r="486" spans="1:20" ht="34.950000000000003" customHeight="1" x14ac:dyDescent="0.3">
      <c r="A486" s="136"/>
      <c r="B486" s="212"/>
      <c r="C486" s="138"/>
      <c r="D486" s="138"/>
      <c r="E486" s="138"/>
      <c r="F486" s="138"/>
      <c r="G486" s="138"/>
      <c r="H486" s="139"/>
      <c r="I486" s="138"/>
      <c r="J486" s="138"/>
      <c r="K486" s="138"/>
      <c r="L486" s="138"/>
      <c r="M486" s="139"/>
      <c r="N486" s="138"/>
      <c r="O486" s="138"/>
      <c r="P486" s="138"/>
      <c r="Q486" s="139"/>
      <c r="R486" s="139"/>
      <c r="S486" s="212"/>
      <c r="T486" s="138"/>
    </row>
    <row r="487" spans="1:20" ht="34.950000000000003" customHeight="1" x14ac:dyDescent="0.3">
      <c r="A487" s="136"/>
      <c r="B487" s="212"/>
      <c r="C487" s="138"/>
      <c r="D487" s="138"/>
      <c r="E487" s="138"/>
      <c r="F487" s="138"/>
      <c r="G487" s="138"/>
      <c r="H487" s="139"/>
      <c r="I487" s="138"/>
      <c r="J487" s="138"/>
      <c r="K487" s="138"/>
      <c r="L487" s="138"/>
      <c r="M487" s="139"/>
      <c r="N487" s="138"/>
      <c r="O487" s="138"/>
      <c r="P487" s="138"/>
      <c r="Q487" s="139"/>
      <c r="R487" s="139"/>
      <c r="S487" s="212"/>
      <c r="T487" s="138"/>
    </row>
    <row r="488" spans="1:20" ht="34.950000000000003" customHeight="1" x14ac:dyDescent="0.3">
      <c r="A488" s="136"/>
      <c r="B488" s="212"/>
      <c r="C488" s="138"/>
      <c r="D488" s="138"/>
      <c r="E488" s="138"/>
      <c r="F488" s="138"/>
      <c r="G488" s="138"/>
      <c r="H488" s="139"/>
      <c r="I488" s="138"/>
      <c r="J488" s="138"/>
      <c r="K488" s="138"/>
      <c r="L488" s="138"/>
      <c r="M488" s="139"/>
      <c r="N488" s="138"/>
      <c r="O488" s="138"/>
      <c r="P488" s="138"/>
      <c r="Q488" s="139"/>
      <c r="R488" s="139"/>
      <c r="S488" s="212"/>
      <c r="T488" s="138"/>
    </row>
    <row r="489" spans="1:20" ht="34.950000000000003" customHeight="1" x14ac:dyDescent="0.3">
      <c r="A489" s="136"/>
      <c r="B489" s="212"/>
      <c r="C489" s="138"/>
      <c r="D489" s="138"/>
      <c r="E489" s="138"/>
      <c r="F489" s="138"/>
      <c r="G489" s="138"/>
      <c r="H489" s="139"/>
      <c r="I489" s="138"/>
      <c r="J489" s="138"/>
      <c r="K489" s="138"/>
      <c r="L489" s="138"/>
      <c r="M489" s="139"/>
      <c r="N489" s="138"/>
      <c r="O489" s="138"/>
      <c r="P489" s="138"/>
      <c r="Q489" s="139"/>
      <c r="R489" s="139"/>
      <c r="S489" s="212"/>
      <c r="T489" s="138"/>
    </row>
    <row r="490" spans="1:20" ht="34.950000000000003" customHeight="1" x14ac:dyDescent="0.3">
      <c r="A490" s="136"/>
      <c r="B490" s="212"/>
      <c r="C490" s="138"/>
      <c r="D490" s="138"/>
      <c r="E490" s="138"/>
      <c r="F490" s="138"/>
      <c r="G490" s="138"/>
      <c r="H490" s="139"/>
      <c r="I490" s="138"/>
      <c r="J490" s="138"/>
      <c r="K490" s="138"/>
      <c r="L490" s="138"/>
      <c r="M490" s="139"/>
      <c r="N490" s="138"/>
      <c r="O490" s="138"/>
      <c r="P490" s="138"/>
      <c r="Q490" s="139"/>
      <c r="R490" s="139"/>
      <c r="S490" s="212"/>
      <c r="T490" s="138"/>
    </row>
    <row r="491" spans="1:20" ht="34.950000000000003" customHeight="1" x14ac:dyDescent="0.3">
      <c r="A491" s="136"/>
      <c r="B491" s="212"/>
      <c r="C491" s="138"/>
      <c r="D491" s="138"/>
      <c r="E491" s="138"/>
      <c r="F491" s="138"/>
      <c r="G491" s="138"/>
      <c r="H491" s="139"/>
      <c r="I491" s="138"/>
      <c r="J491" s="138"/>
      <c r="K491" s="138"/>
      <c r="L491" s="138"/>
      <c r="M491" s="139"/>
      <c r="N491" s="138"/>
      <c r="O491" s="138"/>
      <c r="P491" s="138"/>
      <c r="Q491" s="139"/>
      <c r="R491" s="139"/>
      <c r="S491" s="212"/>
      <c r="T491" s="138"/>
    </row>
    <row r="492" spans="1:20" ht="34.950000000000003" customHeight="1" x14ac:dyDescent="0.3">
      <c r="A492" s="136"/>
      <c r="B492" s="212"/>
      <c r="C492" s="138"/>
      <c r="D492" s="138"/>
      <c r="E492" s="138"/>
      <c r="F492" s="138"/>
      <c r="G492" s="138"/>
      <c r="H492" s="139"/>
      <c r="I492" s="138"/>
      <c r="J492" s="138"/>
      <c r="K492" s="138"/>
      <c r="L492" s="138"/>
      <c r="M492" s="139"/>
      <c r="N492" s="138"/>
      <c r="O492" s="138"/>
      <c r="P492" s="138"/>
      <c r="Q492" s="139"/>
      <c r="R492" s="139"/>
      <c r="S492" s="212"/>
      <c r="T492" s="138"/>
    </row>
    <row r="493" spans="1:20" ht="34.950000000000003" customHeight="1" x14ac:dyDescent="0.3">
      <c r="A493" s="136"/>
      <c r="B493" s="212"/>
      <c r="C493" s="138"/>
      <c r="D493" s="138"/>
      <c r="E493" s="138"/>
      <c r="F493" s="138"/>
      <c r="G493" s="138"/>
      <c r="H493" s="139"/>
      <c r="I493" s="138"/>
      <c r="J493" s="138"/>
      <c r="K493" s="138"/>
      <c r="L493" s="138"/>
      <c r="M493" s="139"/>
      <c r="N493" s="138"/>
      <c r="O493" s="138"/>
      <c r="P493" s="138"/>
      <c r="Q493" s="139"/>
      <c r="R493" s="139"/>
      <c r="S493" s="212"/>
      <c r="T493" s="138"/>
    </row>
    <row r="494" spans="1:20" ht="34.950000000000003" customHeight="1" x14ac:dyDescent="0.3">
      <c r="A494" s="136"/>
      <c r="B494" s="212"/>
      <c r="C494" s="138"/>
      <c r="D494" s="138"/>
      <c r="E494" s="138"/>
      <c r="F494" s="138"/>
      <c r="G494" s="138"/>
      <c r="H494" s="139"/>
      <c r="I494" s="138"/>
      <c r="J494" s="138"/>
      <c r="K494" s="138"/>
      <c r="L494" s="138"/>
      <c r="M494" s="139"/>
      <c r="N494" s="138"/>
      <c r="O494" s="138"/>
      <c r="P494" s="138"/>
      <c r="Q494" s="139"/>
      <c r="R494" s="139"/>
      <c r="S494" s="212"/>
      <c r="T494" s="138"/>
    </row>
    <row r="495" spans="1:20" ht="34.950000000000003" customHeight="1" x14ac:dyDescent="0.3">
      <c r="A495" s="136"/>
      <c r="B495" s="212"/>
      <c r="C495" s="138"/>
      <c r="D495" s="138"/>
      <c r="E495" s="138"/>
      <c r="F495" s="138"/>
      <c r="G495" s="138"/>
      <c r="H495" s="139"/>
      <c r="I495" s="138"/>
      <c r="J495" s="138"/>
      <c r="K495" s="138"/>
      <c r="L495" s="138"/>
      <c r="M495" s="139"/>
      <c r="N495" s="138"/>
      <c r="O495" s="138"/>
      <c r="P495" s="138"/>
      <c r="Q495" s="139"/>
      <c r="R495" s="139"/>
      <c r="S495" s="212"/>
      <c r="T495" s="138"/>
    </row>
    <row r="496" spans="1:20" ht="34.950000000000003" customHeight="1" x14ac:dyDescent="0.3">
      <c r="A496" s="136"/>
      <c r="B496" s="212"/>
      <c r="C496" s="138"/>
      <c r="D496" s="138"/>
      <c r="E496" s="138"/>
      <c r="F496" s="138"/>
      <c r="G496" s="138"/>
      <c r="H496" s="139"/>
      <c r="I496" s="138"/>
      <c r="J496" s="138"/>
      <c r="K496" s="138"/>
      <c r="L496" s="138"/>
      <c r="M496" s="139"/>
      <c r="N496" s="138"/>
      <c r="O496" s="138"/>
      <c r="P496" s="138"/>
      <c r="Q496" s="139"/>
      <c r="R496" s="139"/>
      <c r="S496" s="212"/>
      <c r="T496" s="138"/>
    </row>
    <row r="497" spans="1:20" ht="34.950000000000003" customHeight="1" x14ac:dyDescent="0.3">
      <c r="A497" s="136"/>
      <c r="B497" s="212"/>
      <c r="C497" s="138"/>
      <c r="D497" s="138"/>
      <c r="E497" s="138"/>
      <c r="F497" s="138"/>
      <c r="G497" s="138"/>
      <c r="H497" s="139"/>
      <c r="I497" s="138"/>
      <c r="J497" s="138"/>
      <c r="K497" s="138"/>
      <c r="L497" s="138"/>
      <c r="M497" s="139"/>
      <c r="N497" s="138"/>
      <c r="O497" s="138"/>
      <c r="P497" s="138"/>
      <c r="Q497" s="139"/>
      <c r="R497" s="139"/>
      <c r="S497" s="212"/>
      <c r="T497" s="138"/>
    </row>
    <row r="498" spans="1:20" ht="34.950000000000003" customHeight="1" x14ac:dyDescent="0.3">
      <c r="A498" s="136"/>
      <c r="B498" s="212"/>
      <c r="C498" s="138"/>
      <c r="D498" s="138"/>
      <c r="E498" s="138"/>
      <c r="F498" s="138"/>
      <c r="G498" s="138"/>
      <c r="H498" s="139"/>
      <c r="I498" s="138"/>
      <c r="J498" s="138"/>
      <c r="K498" s="138"/>
      <c r="L498" s="138"/>
      <c r="M498" s="139"/>
      <c r="N498" s="138"/>
      <c r="O498" s="138"/>
      <c r="P498" s="138"/>
      <c r="Q498" s="139"/>
      <c r="R498" s="139"/>
      <c r="S498" s="212"/>
      <c r="T498" s="138"/>
    </row>
    <row r="499" spans="1:20" ht="34.950000000000003" customHeight="1" x14ac:dyDescent="0.3">
      <c r="A499" s="136"/>
      <c r="B499" s="212"/>
      <c r="C499" s="138"/>
      <c r="D499" s="138"/>
      <c r="E499" s="138"/>
      <c r="F499" s="138"/>
      <c r="G499" s="138"/>
      <c r="H499" s="139"/>
      <c r="I499" s="138"/>
      <c r="J499" s="138"/>
      <c r="K499" s="138"/>
      <c r="L499" s="138"/>
      <c r="M499" s="139"/>
      <c r="N499" s="138"/>
      <c r="O499" s="138"/>
      <c r="P499" s="138"/>
      <c r="Q499" s="139"/>
      <c r="R499" s="139"/>
      <c r="S499" s="212"/>
      <c r="T499" s="138"/>
    </row>
    <row r="500" spans="1:20" ht="34.950000000000003" customHeight="1" x14ac:dyDescent="0.3">
      <c r="A500" s="136"/>
      <c r="B500" s="212"/>
      <c r="C500" s="138"/>
      <c r="D500" s="138"/>
      <c r="E500" s="138"/>
      <c r="F500" s="138"/>
      <c r="G500" s="138"/>
      <c r="H500" s="139"/>
      <c r="I500" s="138"/>
      <c r="J500" s="138"/>
      <c r="K500" s="138"/>
      <c r="L500" s="138"/>
      <c r="M500" s="139"/>
      <c r="N500" s="138"/>
      <c r="O500" s="138"/>
      <c r="P500" s="138"/>
      <c r="Q500" s="139"/>
      <c r="R500" s="139"/>
      <c r="S500" s="212"/>
      <c r="T500" s="138"/>
    </row>
    <row r="501" spans="1:20" ht="34.950000000000003" customHeight="1" x14ac:dyDescent="0.3">
      <c r="A501" s="136"/>
      <c r="B501" s="212"/>
      <c r="C501" s="138"/>
      <c r="D501" s="138"/>
      <c r="E501" s="138"/>
      <c r="F501" s="138"/>
      <c r="G501" s="138"/>
      <c r="H501" s="139"/>
      <c r="I501" s="138"/>
      <c r="J501" s="138"/>
      <c r="K501" s="138"/>
      <c r="L501" s="138"/>
      <c r="M501" s="139"/>
      <c r="N501" s="138"/>
      <c r="O501" s="138"/>
      <c r="P501" s="138"/>
      <c r="Q501" s="139"/>
      <c r="R501" s="139"/>
      <c r="S501" s="212"/>
      <c r="T501" s="138"/>
    </row>
    <row r="502" spans="1:20" ht="34.950000000000003" customHeight="1" x14ac:dyDescent="0.3">
      <c r="A502" s="136"/>
      <c r="B502" s="212"/>
      <c r="C502" s="138"/>
      <c r="D502" s="138"/>
      <c r="E502" s="138"/>
      <c r="F502" s="138"/>
      <c r="G502" s="138"/>
      <c r="H502" s="139"/>
      <c r="I502" s="138"/>
      <c r="J502" s="138"/>
      <c r="K502" s="138"/>
      <c r="L502" s="138"/>
      <c r="M502" s="139"/>
      <c r="N502" s="138"/>
      <c r="O502" s="138"/>
      <c r="P502" s="138"/>
      <c r="Q502" s="139"/>
      <c r="R502" s="139"/>
      <c r="S502" s="212"/>
      <c r="T502" s="138"/>
    </row>
    <row r="503" spans="1:20" ht="34.950000000000003" customHeight="1" x14ac:dyDescent="0.3">
      <c r="A503" s="136"/>
      <c r="B503" s="212"/>
      <c r="C503" s="138"/>
      <c r="D503" s="138"/>
      <c r="E503" s="138"/>
      <c r="F503" s="138"/>
      <c r="G503" s="138"/>
      <c r="H503" s="139"/>
      <c r="I503" s="138"/>
      <c r="J503" s="138"/>
      <c r="K503" s="138"/>
      <c r="L503" s="138"/>
      <c r="M503" s="139"/>
      <c r="N503" s="138"/>
      <c r="O503" s="138"/>
      <c r="P503" s="138"/>
      <c r="Q503" s="139"/>
      <c r="R503" s="139"/>
      <c r="S503" s="212"/>
      <c r="T503" s="138"/>
    </row>
    <row r="504" spans="1:20" ht="34.950000000000003" customHeight="1" x14ac:dyDescent="0.3">
      <c r="A504" s="136"/>
      <c r="B504" s="212"/>
      <c r="C504" s="138"/>
      <c r="D504" s="138"/>
      <c r="E504" s="138"/>
      <c r="F504" s="138"/>
      <c r="G504" s="138"/>
      <c r="H504" s="139"/>
      <c r="I504" s="138"/>
      <c r="J504" s="138"/>
      <c r="K504" s="138"/>
      <c r="L504" s="138"/>
      <c r="M504" s="139"/>
      <c r="N504" s="138"/>
      <c r="O504" s="138"/>
      <c r="P504" s="138"/>
      <c r="Q504" s="139"/>
      <c r="R504" s="139"/>
      <c r="S504" s="212"/>
      <c r="T504" s="138"/>
    </row>
    <row r="505" spans="1:20" ht="34.950000000000003" customHeight="1" x14ac:dyDescent="0.3">
      <c r="A505" s="136"/>
      <c r="B505" s="212"/>
      <c r="C505" s="138"/>
      <c r="D505" s="138"/>
      <c r="E505" s="138"/>
      <c r="F505" s="138"/>
      <c r="G505" s="138"/>
      <c r="H505" s="139"/>
      <c r="I505" s="138"/>
      <c r="J505" s="138"/>
      <c r="K505" s="138"/>
      <c r="L505" s="138"/>
      <c r="M505" s="139"/>
      <c r="N505" s="138"/>
      <c r="O505" s="138"/>
      <c r="P505" s="138"/>
      <c r="Q505" s="139"/>
      <c r="R505" s="139"/>
      <c r="S505" s="212"/>
      <c r="T505" s="138"/>
    </row>
    <row r="506" spans="1:20" ht="34.950000000000003" customHeight="1" x14ac:dyDescent="0.3">
      <c r="A506" s="136"/>
      <c r="B506" s="212"/>
      <c r="C506" s="138"/>
      <c r="D506" s="138"/>
      <c r="E506" s="138"/>
      <c r="F506" s="138"/>
      <c r="G506" s="138"/>
      <c r="H506" s="139"/>
      <c r="I506" s="138"/>
      <c r="J506" s="138"/>
      <c r="K506" s="138"/>
      <c r="L506" s="138"/>
      <c r="M506" s="139"/>
      <c r="N506" s="138"/>
      <c r="O506" s="138"/>
      <c r="P506" s="138"/>
      <c r="Q506" s="139"/>
      <c r="R506" s="139"/>
      <c r="S506" s="212"/>
      <c r="T506" s="138"/>
    </row>
    <row r="507" spans="1:20" ht="34.950000000000003" customHeight="1" x14ac:dyDescent="0.3">
      <c r="A507" s="136"/>
      <c r="B507" s="212"/>
      <c r="C507" s="138"/>
      <c r="D507" s="138"/>
      <c r="E507" s="138"/>
      <c r="F507" s="138"/>
      <c r="G507" s="138"/>
      <c r="H507" s="139"/>
      <c r="I507" s="138"/>
      <c r="J507" s="138"/>
      <c r="K507" s="138"/>
      <c r="L507" s="138"/>
      <c r="M507" s="139"/>
      <c r="N507" s="138"/>
      <c r="O507" s="138"/>
      <c r="P507" s="138"/>
      <c r="Q507" s="139"/>
      <c r="R507" s="139"/>
      <c r="S507" s="212"/>
      <c r="T507" s="138"/>
    </row>
    <row r="508" spans="1:20" ht="34.950000000000003" customHeight="1" x14ac:dyDescent="0.3">
      <c r="A508" s="136"/>
      <c r="B508" s="212"/>
      <c r="C508" s="138"/>
      <c r="D508" s="138"/>
      <c r="E508" s="138"/>
      <c r="F508" s="138"/>
      <c r="G508" s="138"/>
      <c r="H508" s="139"/>
      <c r="I508" s="138"/>
      <c r="J508" s="138"/>
      <c r="K508" s="138"/>
      <c r="L508" s="138"/>
      <c r="M508" s="139"/>
      <c r="N508" s="138"/>
      <c r="O508" s="138"/>
      <c r="P508" s="138"/>
      <c r="Q508" s="139"/>
      <c r="R508" s="139"/>
      <c r="S508" s="212"/>
      <c r="T508" s="138"/>
    </row>
    <row r="509" spans="1:20" ht="34.950000000000003" customHeight="1" x14ac:dyDescent="0.3">
      <c r="A509" s="136"/>
      <c r="B509" s="212"/>
      <c r="C509" s="138"/>
      <c r="D509" s="138"/>
      <c r="E509" s="138"/>
      <c r="F509" s="138"/>
      <c r="G509" s="138"/>
      <c r="H509" s="139"/>
      <c r="I509" s="138"/>
      <c r="J509" s="138"/>
      <c r="K509" s="138"/>
      <c r="L509" s="138"/>
      <c r="M509" s="139"/>
      <c r="N509" s="138"/>
      <c r="O509" s="138"/>
      <c r="P509" s="138"/>
      <c r="Q509" s="139"/>
      <c r="R509" s="139"/>
      <c r="S509" s="212"/>
      <c r="T509" s="138"/>
    </row>
    <row r="510" spans="1:20" ht="34.950000000000003" customHeight="1" x14ac:dyDescent="0.3">
      <c r="A510" s="136"/>
      <c r="B510" s="212"/>
      <c r="C510" s="138"/>
      <c r="D510" s="138"/>
      <c r="E510" s="138"/>
      <c r="F510" s="138"/>
      <c r="G510" s="138"/>
      <c r="H510" s="139"/>
      <c r="I510" s="138"/>
      <c r="J510" s="138"/>
      <c r="K510" s="138"/>
      <c r="L510" s="138"/>
      <c r="M510" s="139"/>
      <c r="N510" s="138"/>
      <c r="O510" s="138"/>
      <c r="P510" s="138"/>
      <c r="Q510" s="139"/>
      <c r="R510" s="139"/>
      <c r="S510" s="212"/>
      <c r="T510" s="138"/>
    </row>
    <row r="511" spans="1:20" ht="34.950000000000003" customHeight="1" x14ac:dyDescent="0.3">
      <c r="A511" s="136"/>
      <c r="B511" s="212"/>
      <c r="C511" s="138"/>
      <c r="D511" s="138"/>
      <c r="E511" s="138"/>
      <c r="F511" s="138"/>
      <c r="G511" s="138"/>
      <c r="H511" s="139"/>
      <c r="I511" s="138"/>
      <c r="J511" s="138"/>
      <c r="K511" s="138"/>
      <c r="L511" s="138"/>
      <c r="M511" s="139"/>
      <c r="N511" s="138"/>
      <c r="O511" s="138"/>
      <c r="P511" s="138"/>
      <c r="Q511" s="139"/>
      <c r="R511" s="139"/>
      <c r="S511" s="212"/>
      <c r="T511" s="138"/>
    </row>
    <row r="512" spans="1:20" ht="34.950000000000003" customHeight="1" x14ac:dyDescent="0.3">
      <c r="A512" s="136"/>
      <c r="B512" s="212"/>
      <c r="C512" s="138"/>
      <c r="D512" s="138"/>
      <c r="E512" s="138"/>
      <c r="F512" s="138"/>
      <c r="G512" s="138"/>
      <c r="H512" s="139"/>
      <c r="I512" s="138"/>
      <c r="J512" s="138"/>
      <c r="K512" s="138"/>
      <c r="L512" s="138"/>
      <c r="M512" s="139"/>
      <c r="N512" s="138"/>
      <c r="O512" s="138"/>
      <c r="P512" s="138"/>
      <c r="Q512" s="139"/>
      <c r="R512" s="139"/>
      <c r="S512" s="212"/>
      <c r="T512" s="138"/>
    </row>
    <row r="513" spans="1:20" ht="34.950000000000003" customHeight="1" x14ac:dyDescent="0.3">
      <c r="A513" s="136"/>
      <c r="B513" s="212"/>
      <c r="C513" s="138"/>
      <c r="D513" s="138"/>
      <c r="E513" s="138"/>
      <c r="F513" s="138"/>
      <c r="G513" s="138"/>
      <c r="H513" s="139"/>
      <c r="I513" s="138"/>
      <c r="J513" s="138"/>
      <c r="K513" s="138"/>
      <c r="L513" s="138"/>
      <c r="M513" s="139"/>
      <c r="N513" s="138"/>
      <c r="O513" s="138"/>
      <c r="P513" s="138"/>
      <c r="Q513" s="139"/>
      <c r="R513" s="139"/>
      <c r="S513" s="212"/>
      <c r="T513" s="138"/>
    </row>
    <row r="514" spans="1:20" ht="34.950000000000003" customHeight="1" x14ac:dyDescent="0.3">
      <c r="A514" s="136"/>
      <c r="B514" s="212"/>
      <c r="C514" s="138"/>
      <c r="D514" s="138"/>
      <c r="E514" s="138"/>
      <c r="F514" s="138"/>
      <c r="G514" s="138"/>
      <c r="H514" s="139"/>
      <c r="I514" s="138"/>
      <c r="J514" s="138"/>
      <c r="K514" s="138"/>
      <c r="L514" s="138"/>
      <c r="M514" s="139"/>
      <c r="N514" s="138"/>
      <c r="O514" s="138"/>
      <c r="P514" s="138"/>
      <c r="Q514" s="139"/>
      <c r="R514" s="139"/>
      <c r="S514" s="212"/>
      <c r="T514" s="138"/>
    </row>
    <row r="515" spans="1:20" ht="34.950000000000003" customHeight="1" x14ac:dyDescent="0.3">
      <c r="A515" s="136"/>
      <c r="B515" s="212"/>
      <c r="C515" s="138"/>
      <c r="D515" s="138"/>
      <c r="E515" s="138"/>
      <c r="F515" s="138"/>
      <c r="G515" s="138"/>
      <c r="H515" s="139"/>
      <c r="I515" s="138"/>
      <c r="J515" s="138"/>
      <c r="K515" s="138"/>
      <c r="L515" s="138"/>
      <c r="M515" s="139"/>
      <c r="N515" s="138"/>
      <c r="O515" s="138"/>
      <c r="P515" s="138"/>
      <c r="Q515" s="139"/>
      <c r="R515" s="139"/>
      <c r="S515" s="212"/>
      <c r="T515" s="138"/>
    </row>
    <row r="516" spans="1:20" ht="34.950000000000003" customHeight="1" x14ac:dyDescent="0.3">
      <c r="A516" s="136"/>
      <c r="B516" s="212"/>
      <c r="C516" s="138"/>
      <c r="D516" s="138"/>
      <c r="E516" s="138"/>
      <c r="F516" s="138"/>
      <c r="G516" s="138"/>
      <c r="H516" s="139"/>
      <c r="I516" s="138"/>
      <c r="J516" s="138"/>
      <c r="K516" s="138"/>
      <c r="L516" s="138"/>
      <c r="M516" s="139"/>
      <c r="N516" s="138"/>
      <c r="O516" s="138"/>
      <c r="P516" s="138"/>
      <c r="Q516" s="139"/>
      <c r="R516" s="139"/>
      <c r="S516" s="212"/>
      <c r="T516" s="138"/>
    </row>
    <row r="517" spans="1:20" ht="34.950000000000003" customHeight="1" x14ac:dyDescent="0.3">
      <c r="A517" s="136"/>
      <c r="B517" s="212"/>
      <c r="C517" s="138"/>
      <c r="D517" s="138"/>
      <c r="E517" s="138"/>
      <c r="F517" s="138"/>
      <c r="G517" s="138"/>
      <c r="H517" s="139"/>
      <c r="I517" s="138"/>
      <c r="J517" s="138"/>
      <c r="K517" s="138"/>
      <c r="L517" s="138"/>
      <c r="M517" s="139"/>
      <c r="N517" s="138"/>
      <c r="O517" s="138"/>
      <c r="P517" s="138"/>
      <c r="Q517" s="139"/>
      <c r="R517" s="139"/>
      <c r="S517" s="212"/>
      <c r="T517" s="138"/>
    </row>
    <row r="518" spans="1:20" ht="34.950000000000003" customHeight="1" x14ac:dyDescent="0.3">
      <c r="A518" s="136"/>
      <c r="B518" s="212"/>
      <c r="C518" s="138"/>
      <c r="D518" s="138"/>
      <c r="E518" s="138"/>
      <c r="F518" s="138"/>
      <c r="G518" s="138"/>
      <c r="H518" s="139"/>
      <c r="I518" s="138"/>
      <c r="J518" s="138"/>
      <c r="K518" s="138"/>
      <c r="L518" s="138"/>
      <c r="M518" s="139"/>
      <c r="N518" s="138"/>
      <c r="O518" s="138"/>
      <c r="P518" s="138"/>
      <c r="Q518" s="139"/>
      <c r="R518" s="139"/>
      <c r="S518" s="212"/>
      <c r="T518" s="138"/>
    </row>
    <row r="519" spans="1:20" ht="34.950000000000003" customHeight="1" x14ac:dyDescent="0.3">
      <c r="A519" s="136"/>
      <c r="B519" s="212"/>
      <c r="C519" s="138"/>
      <c r="D519" s="138"/>
      <c r="E519" s="138"/>
      <c r="F519" s="138"/>
      <c r="G519" s="138"/>
      <c r="H519" s="139"/>
      <c r="I519" s="138"/>
      <c r="J519" s="138"/>
      <c r="K519" s="138"/>
      <c r="L519" s="138"/>
      <c r="M519" s="139"/>
      <c r="N519" s="138"/>
      <c r="O519" s="138"/>
      <c r="P519" s="138"/>
      <c r="Q519" s="139"/>
      <c r="R519" s="139"/>
      <c r="S519" s="212"/>
      <c r="T519" s="138"/>
    </row>
    <row r="520" spans="1:20" ht="34.950000000000003" customHeight="1" x14ac:dyDescent="0.3">
      <c r="A520" s="136"/>
      <c r="B520" s="212"/>
      <c r="C520" s="138"/>
      <c r="D520" s="138"/>
      <c r="E520" s="138"/>
      <c r="F520" s="138"/>
      <c r="G520" s="138"/>
      <c r="H520" s="139"/>
      <c r="I520" s="138"/>
      <c r="J520" s="138"/>
      <c r="K520" s="138"/>
      <c r="L520" s="138"/>
      <c r="M520" s="139"/>
      <c r="N520" s="138"/>
      <c r="O520" s="138"/>
      <c r="P520" s="138"/>
      <c r="Q520" s="139"/>
      <c r="R520" s="139"/>
      <c r="S520" s="212"/>
      <c r="T520" s="138"/>
    </row>
    <row r="521" spans="1:20" ht="34.950000000000003" customHeight="1" x14ac:dyDescent="0.3">
      <c r="A521" s="136"/>
      <c r="B521" s="212"/>
      <c r="C521" s="138"/>
      <c r="D521" s="138"/>
      <c r="E521" s="138"/>
      <c r="F521" s="138"/>
      <c r="G521" s="138"/>
      <c r="H521" s="139"/>
      <c r="I521" s="138"/>
      <c r="J521" s="138"/>
      <c r="K521" s="138"/>
      <c r="L521" s="138"/>
      <c r="M521" s="139"/>
      <c r="N521" s="138"/>
      <c r="O521" s="138"/>
      <c r="P521" s="138"/>
      <c r="Q521" s="139"/>
      <c r="R521" s="139"/>
      <c r="S521" s="212"/>
      <c r="T521" s="138"/>
    </row>
    <row r="522" spans="1:20" ht="34.950000000000003" customHeight="1" x14ac:dyDescent="0.3">
      <c r="A522" s="136"/>
      <c r="B522" s="212"/>
      <c r="C522" s="138"/>
      <c r="D522" s="138"/>
      <c r="E522" s="138"/>
      <c r="F522" s="138"/>
      <c r="G522" s="138"/>
      <c r="H522" s="139"/>
      <c r="I522" s="138"/>
      <c r="J522" s="138"/>
      <c r="K522" s="138"/>
      <c r="L522" s="138"/>
      <c r="M522" s="139"/>
      <c r="N522" s="138"/>
      <c r="O522" s="138"/>
      <c r="P522" s="138"/>
      <c r="Q522" s="139"/>
      <c r="R522" s="139"/>
      <c r="S522" s="212"/>
      <c r="T522" s="138"/>
    </row>
    <row r="523" spans="1:20" ht="34.950000000000003" customHeight="1" x14ac:dyDescent="0.3">
      <c r="A523" s="136"/>
      <c r="B523" s="212"/>
      <c r="C523" s="138"/>
      <c r="D523" s="138"/>
      <c r="E523" s="138"/>
      <c r="F523" s="138"/>
      <c r="G523" s="138"/>
      <c r="H523" s="139"/>
      <c r="I523" s="138"/>
      <c r="J523" s="138"/>
      <c r="K523" s="138"/>
      <c r="L523" s="138"/>
      <c r="M523" s="139"/>
      <c r="N523" s="138"/>
      <c r="O523" s="138"/>
      <c r="P523" s="138"/>
      <c r="Q523" s="139"/>
      <c r="R523" s="139"/>
      <c r="S523" s="212"/>
      <c r="T523" s="138"/>
    </row>
    <row r="524" spans="1:20" ht="34.950000000000003" customHeight="1" x14ac:dyDescent="0.3">
      <c r="A524" s="136"/>
      <c r="B524" s="212"/>
      <c r="C524" s="138"/>
      <c r="D524" s="138"/>
      <c r="E524" s="138"/>
      <c r="F524" s="138"/>
      <c r="G524" s="138"/>
      <c r="H524" s="139"/>
      <c r="I524" s="138"/>
      <c r="J524" s="138"/>
      <c r="K524" s="138"/>
      <c r="L524" s="138"/>
      <c r="M524" s="139"/>
      <c r="N524" s="138"/>
      <c r="O524" s="138"/>
      <c r="P524" s="138"/>
      <c r="Q524" s="139"/>
      <c r="R524" s="139"/>
      <c r="S524" s="212"/>
      <c r="T524" s="138"/>
    </row>
    <row r="525" spans="1:20" ht="34.950000000000003" customHeight="1" x14ac:dyDescent="0.3">
      <c r="A525" s="136"/>
      <c r="B525" s="212"/>
      <c r="C525" s="138"/>
      <c r="D525" s="138"/>
      <c r="E525" s="138"/>
      <c r="F525" s="138"/>
      <c r="G525" s="138"/>
      <c r="H525" s="139"/>
      <c r="I525" s="138"/>
      <c r="J525" s="138"/>
      <c r="K525" s="138"/>
      <c r="L525" s="138"/>
      <c r="M525" s="139"/>
      <c r="N525" s="138"/>
      <c r="O525" s="138"/>
      <c r="P525" s="138"/>
      <c r="Q525" s="139"/>
      <c r="R525" s="139"/>
      <c r="S525" s="212"/>
      <c r="T525" s="138"/>
    </row>
    <row r="526" spans="1:20" ht="34.950000000000003" customHeight="1" x14ac:dyDescent="0.3">
      <c r="A526" s="136"/>
      <c r="B526" s="212"/>
      <c r="C526" s="138"/>
      <c r="D526" s="138"/>
      <c r="E526" s="138"/>
      <c r="F526" s="138"/>
      <c r="G526" s="138"/>
      <c r="H526" s="139"/>
      <c r="I526" s="138"/>
      <c r="J526" s="138"/>
      <c r="K526" s="138"/>
      <c r="L526" s="138"/>
      <c r="M526" s="139"/>
      <c r="N526" s="138"/>
      <c r="O526" s="138"/>
      <c r="P526" s="138"/>
      <c r="Q526" s="139"/>
      <c r="R526" s="139"/>
      <c r="S526" s="212"/>
      <c r="T526" s="138"/>
    </row>
    <row r="527" spans="1:20" ht="34.950000000000003" customHeight="1" x14ac:dyDescent="0.3">
      <c r="A527" s="136"/>
      <c r="B527" s="212"/>
      <c r="C527" s="138"/>
      <c r="D527" s="138"/>
      <c r="E527" s="138"/>
      <c r="F527" s="138"/>
      <c r="G527" s="138"/>
      <c r="H527" s="139"/>
      <c r="I527" s="138"/>
      <c r="J527" s="138"/>
      <c r="K527" s="138"/>
      <c r="L527" s="138"/>
      <c r="M527" s="139"/>
      <c r="N527" s="138"/>
      <c r="O527" s="138"/>
      <c r="P527" s="138"/>
      <c r="Q527" s="139"/>
      <c r="R527" s="139"/>
      <c r="S527" s="212"/>
      <c r="T527" s="138"/>
    </row>
    <row r="528" spans="1:20" ht="34.950000000000003" customHeight="1" x14ac:dyDescent="0.3">
      <c r="A528" s="136"/>
      <c r="B528" s="212"/>
      <c r="C528" s="138"/>
      <c r="D528" s="138"/>
      <c r="E528" s="138"/>
      <c r="F528" s="138"/>
      <c r="G528" s="138"/>
      <c r="H528" s="139"/>
      <c r="I528" s="138"/>
      <c r="J528" s="138"/>
      <c r="K528" s="138"/>
      <c r="L528" s="138"/>
      <c r="M528" s="139"/>
      <c r="N528" s="138"/>
      <c r="O528" s="138"/>
      <c r="P528" s="138"/>
      <c r="Q528" s="139"/>
      <c r="R528" s="139"/>
      <c r="S528" s="212"/>
      <c r="T528" s="138"/>
    </row>
    <row r="529" spans="1:20" ht="34.950000000000003" customHeight="1" x14ac:dyDescent="0.3">
      <c r="A529" s="136"/>
      <c r="B529" s="212"/>
      <c r="C529" s="138"/>
      <c r="D529" s="138"/>
      <c r="E529" s="138"/>
      <c r="F529" s="138"/>
      <c r="G529" s="138"/>
      <c r="H529" s="139"/>
      <c r="I529" s="138"/>
      <c r="J529" s="138"/>
      <c r="K529" s="138"/>
      <c r="L529" s="138"/>
      <c r="M529" s="139"/>
      <c r="N529" s="138"/>
      <c r="O529" s="138"/>
      <c r="P529" s="138"/>
      <c r="Q529" s="139"/>
      <c r="R529" s="139"/>
      <c r="S529" s="212"/>
      <c r="T529" s="138"/>
    </row>
    <row r="530" spans="1:20" ht="34.950000000000003" customHeight="1" x14ac:dyDescent="0.3">
      <c r="A530" s="136"/>
      <c r="B530" s="212"/>
      <c r="C530" s="138"/>
      <c r="D530" s="138"/>
      <c r="E530" s="138"/>
      <c r="F530" s="138"/>
      <c r="G530" s="138"/>
      <c r="H530" s="139"/>
      <c r="I530" s="138"/>
      <c r="J530" s="138"/>
      <c r="K530" s="138"/>
      <c r="L530" s="138"/>
      <c r="M530" s="139"/>
      <c r="N530" s="138"/>
      <c r="O530" s="138"/>
      <c r="P530" s="138"/>
      <c r="Q530" s="139"/>
      <c r="R530" s="139"/>
      <c r="S530" s="212"/>
      <c r="T530" s="138"/>
    </row>
    <row r="531" spans="1:20" ht="34.950000000000003" customHeight="1" x14ac:dyDescent="0.3">
      <c r="A531" s="136"/>
      <c r="B531" s="212"/>
      <c r="C531" s="138"/>
      <c r="D531" s="138"/>
      <c r="E531" s="138"/>
      <c r="F531" s="138"/>
      <c r="G531" s="138"/>
      <c r="H531" s="139"/>
      <c r="I531" s="138"/>
      <c r="J531" s="138"/>
      <c r="K531" s="138"/>
      <c r="L531" s="138"/>
      <c r="M531" s="139"/>
      <c r="N531" s="138"/>
      <c r="O531" s="138"/>
      <c r="P531" s="138"/>
      <c r="Q531" s="139"/>
      <c r="R531" s="139"/>
      <c r="S531" s="212"/>
      <c r="T531" s="138"/>
    </row>
    <row r="532" spans="1:20" ht="34.950000000000003" customHeight="1" x14ac:dyDescent="0.3">
      <c r="A532" s="136"/>
      <c r="B532" s="212"/>
      <c r="C532" s="138"/>
      <c r="D532" s="138"/>
      <c r="E532" s="138"/>
      <c r="F532" s="138"/>
      <c r="G532" s="138"/>
      <c r="H532" s="139"/>
      <c r="I532" s="138"/>
      <c r="J532" s="138"/>
      <c r="K532" s="138"/>
      <c r="L532" s="138"/>
      <c r="M532" s="139"/>
      <c r="N532" s="138"/>
      <c r="O532" s="138"/>
      <c r="P532" s="138"/>
      <c r="Q532" s="139"/>
      <c r="R532" s="139"/>
      <c r="S532" s="212"/>
      <c r="T532" s="138"/>
    </row>
    <row r="533" spans="1:20" ht="34.950000000000003" customHeight="1" x14ac:dyDescent="0.3">
      <c r="A533" s="136"/>
      <c r="B533" s="212"/>
      <c r="C533" s="138"/>
      <c r="D533" s="138"/>
      <c r="E533" s="138"/>
      <c r="F533" s="138"/>
      <c r="G533" s="138"/>
      <c r="H533" s="139"/>
      <c r="I533" s="138"/>
      <c r="J533" s="138"/>
      <c r="K533" s="138"/>
      <c r="L533" s="138"/>
      <c r="M533" s="139"/>
      <c r="N533" s="138"/>
      <c r="O533" s="138"/>
      <c r="P533" s="138"/>
      <c r="Q533" s="139"/>
      <c r="R533" s="139"/>
      <c r="S533" s="212"/>
      <c r="T533" s="138"/>
    </row>
    <row r="534" spans="1:20" ht="34.950000000000003" customHeight="1" x14ac:dyDescent="0.3">
      <c r="A534" s="136"/>
      <c r="B534" s="212"/>
      <c r="C534" s="138"/>
      <c r="D534" s="138"/>
      <c r="E534" s="138"/>
      <c r="F534" s="138"/>
      <c r="G534" s="138"/>
      <c r="H534" s="139"/>
      <c r="I534" s="138"/>
      <c r="J534" s="138"/>
      <c r="K534" s="138"/>
      <c r="L534" s="138"/>
      <c r="M534" s="139"/>
      <c r="N534" s="138"/>
      <c r="O534" s="138"/>
      <c r="P534" s="138"/>
      <c r="Q534" s="139"/>
      <c r="R534" s="139"/>
      <c r="S534" s="212"/>
      <c r="T534" s="138"/>
    </row>
    <row r="535" spans="1:20" ht="34.950000000000003" customHeight="1" x14ac:dyDescent="0.3">
      <c r="A535" s="136"/>
      <c r="B535" s="212"/>
      <c r="C535" s="138"/>
      <c r="D535" s="138"/>
      <c r="E535" s="138"/>
      <c r="F535" s="138"/>
      <c r="G535" s="138"/>
      <c r="H535" s="139"/>
      <c r="I535" s="138"/>
      <c r="J535" s="138"/>
      <c r="K535" s="138"/>
      <c r="L535" s="138"/>
      <c r="M535" s="139"/>
      <c r="N535" s="138"/>
      <c r="O535" s="138"/>
      <c r="P535" s="138"/>
      <c r="Q535" s="139"/>
      <c r="R535" s="139"/>
      <c r="S535" s="212"/>
      <c r="T535" s="138"/>
    </row>
    <row r="536" spans="1:20" ht="34.950000000000003" customHeight="1" x14ac:dyDescent="0.3">
      <c r="A536" s="136"/>
      <c r="B536" s="212"/>
      <c r="C536" s="138"/>
      <c r="D536" s="138"/>
      <c r="E536" s="138"/>
      <c r="F536" s="138"/>
      <c r="G536" s="138"/>
      <c r="H536" s="139"/>
      <c r="I536" s="138"/>
      <c r="J536" s="138"/>
      <c r="K536" s="138"/>
      <c r="L536" s="138"/>
      <c r="M536" s="139"/>
      <c r="N536" s="138"/>
      <c r="O536" s="138"/>
      <c r="P536" s="138"/>
      <c r="Q536" s="139"/>
      <c r="R536" s="139"/>
      <c r="S536" s="212"/>
      <c r="T536" s="138"/>
    </row>
    <row r="537" spans="1:20" ht="34.950000000000003" customHeight="1" x14ac:dyDescent="0.3">
      <c r="A537" s="136"/>
      <c r="B537" s="212"/>
      <c r="C537" s="138"/>
      <c r="D537" s="138"/>
      <c r="E537" s="138"/>
      <c r="F537" s="138"/>
      <c r="G537" s="138"/>
      <c r="H537" s="139"/>
      <c r="I537" s="138"/>
      <c r="J537" s="138"/>
      <c r="K537" s="138"/>
      <c r="L537" s="138"/>
      <c r="M537" s="139"/>
      <c r="N537" s="138"/>
      <c r="O537" s="138"/>
      <c r="P537" s="138"/>
      <c r="Q537" s="139"/>
      <c r="R537" s="139"/>
      <c r="S537" s="212"/>
      <c r="T537" s="138"/>
    </row>
    <row r="538" spans="1:20" ht="34.950000000000003" customHeight="1" x14ac:dyDescent="0.3">
      <c r="A538" s="136"/>
      <c r="B538" s="212"/>
      <c r="C538" s="138"/>
      <c r="D538" s="138"/>
      <c r="E538" s="138"/>
      <c r="F538" s="138"/>
      <c r="G538" s="138"/>
      <c r="H538" s="139"/>
      <c r="I538" s="138"/>
      <c r="J538" s="138"/>
      <c r="K538" s="138"/>
      <c r="L538" s="138"/>
      <c r="M538" s="139"/>
      <c r="N538" s="138"/>
      <c r="O538" s="138"/>
      <c r="P538" s="138"/>
      <c r="Q538" s="139"/>
      <c r="R538" s="139"/>
      <c r="S538" s="212"/>
      <c r="T538" s="138"/>
    </row>
    <row r="539" spans="1:20" ht="34.950000000000003" customHeight="1" x14ac:dyDescent="0.3">
      <c r="A539" s="136"/>
      <c r="B539" s="212"/>
      <c r="C539" s="138"/>
      <c r="D539" s="138"/>
      <c r="E539" s="138"/>
      <c r="F539" s="138"/>
      <c r="G539" s="138"/>
      <c r="H539" s="139"/>
      <c r="I539" s="138"/>
      <c r="J539" s="138"/>
      <c r="K539" s="138"/>
      <c r="L539" s="138"/>
      <c r="M539" s="139"/>
      <c r="N539" s="138"/>
      <c r="O539" s="138"/>
      <c r="P539" s="138"/>
      <c r="Q539" s="139"/>
      <c r="R539" s="139"/>
      <c r="S539" s="212"/>
      <c r="T539" s="138"/>
    </row>
    <row r="540" spans="1:20" ht="34.950000000000003" customHeight="1" x14ac:dyDescent="0.3">
      <c r="A540" s="136"/>
      <c r="B540" s="212"/>
      <c r="C540" s="138"/>
      <c r="D540" s="138"/>
      <c r="E540" s="138"/>
      <c r="F540" s="138"/>
      <c r="G540" s="138"/>
      <c r="H540" s="139"/>
      <c r="I540" s="138"/>
      <c r="J540" s="138"/>
      <c r="K540" s="138"/>
      <c r="L540" s="138"/>
      <c r="M540" s="139"/>
      <c r="N540" s="138"/>
      <c r="O540" s="138"/>
      <c r="P540" s="138"/>
      <c r="Q540" s="139"/>
      <c r="R540" s="139"/>
      <c r="S540" s="212"/>
      <c r="T540" s="138"/>
    </row>
    <row r="541" spans="1:20" ht="34.950000000000003" customHeight="1" x14ac:dyDescent="0.3">
      <c r="A541" s="136"/>
      <c r="B541" s="212"/>
      <c r="C541" s="138"/>
      <c r="D541" s="138"/>
      <c r="E541" s="138"/>
      <c r="F541" s="138"/>
      <c r="G541" s="138"/>
      <c r="H541" s="139"/>
      <c r="I541" s="138"/>
      <c r="J541" s="138"/>
      <c r="K541" s="138"/>
      <c r="L541" s="138"/>
      <c r="M541" s="139"/>
      <c r="N541" s="138"/>
      <c r="O541" s="138"/>
      <c r="P541" s="138"/>
      <c r="Q541" s="139"/>
      <c r="R541" s="139"/>
      <c r="S541" s="212"/>
      <c r="T541" s="138"/>
    </row>
    <row r="542" spans="1:20" ht="34.950000000000003" customHeight="1" x14ac:dyDescent="0.3">
      <c r="A542" s="136"/>
      <c r="B542" s="212"/>
      <c r="C542" s="138"/>
      <c r="D542" s="138"/>
      <c r="E542" s="138"/>
      <c r="F542" s="138"/>
      <c r="G542" s="138"/>
      <c r="H542" s="139"/>
      <c r="I542" s="138"/>
      <c r="J542" s="138"/>
      <c r="K542" s="138"/>
      <c r="L542" s="138"/>
      <c r="M542" s="139"/>
      <c r="N542" s="138"/>
      <c r="O542" s="138"/>
      <c r="P542" s="138"/>
      <c r="Q542" s="139"/>
      <c r="R542" s="139"/>
      <c r="S542" s="212"/>
      <c r="T542" s="138"/>
    </row>
    <row r="543" spans="1:20" ht="34.950000000000003" customHeight="1" x14ac:dyDescent="0.3">
      <c r="A543" s="136"/>
      <c r="B543" s="212"/>
      <c r="C543" s="138"/>
      <c r="D543" s="138"/>
      <c r="E543" s="138"/>
      <c r="F543" s="138"/>
      <c r="G543" s="138"/>
      <c r="H543" s="139"/>
      <c r="I543" s="138"/>
      <c r="J543" s="138"/>
      <c r="K543" s="138"/>
      <c r="L543" s="138"/>
      <c r="M543" s="139"/>
      <c r="N543" s="138"/>
      <c r="O543" s="138"/>
      <c r="P543" s="138"/>
      <c r="Q543" s="139"/>
      <c r="R543" s="139"/>
      <c r="S543" s="212"/>
      <c r="T543" s="138"/>
    </row>
    <row r="544" spans="1:20" ht="34.950000000000003" customHeight="1" x14ac:dyDescent="0.3">
      <c r="A544" s="136"/>
      <c r="B544" s="212"/>
      <c r="C544" s="138"/>
      <c r="D544" s="138"/>
      <c r="E544" s="138"/>
      <c r="F544" s="138"/>
      <c r="G544" s="138"/>
      <c r="H544" s="139"/>
      <c r="I544" s="138"/>
      <c r="J544" s="138"/>
      <c r="K544" s="138"/>
      <c r="L544" s="138"/>
      <c r="M544" s="139"/>
      <c r="N544" s="138"/>
      <c r="O544" s="138"/>
      <c r="P544" s="138"/>
      <c r="Q544" s="139"/>
      <c r="R544" s="139"/>
      <c r="S544" s="212"/>
      <c r="T544" s="138"/>
    </row>
    <row r="545" spans="1:20" ht="34.950000000000003" customHeight="1" x14ac:dyDescent="0.3">
      <c r="A545" s="136"/>
      <c r="B545" s="212"/>
      <c r="C545" s="138"/>
      <c r="D545" s="138"/>
      <c r="E545" s="138"/>
      <c r="F545" s="138"/>
      <c r="G545" s="138"/>
      <c r="H545" s="139"/>
      <c r="I545" s="138"/>
      <c r="J545" s="138"/>
      <c r="K545" s="138"/>
      <c r="L545" s="138"/>
      <c r="M545" s="139"/>
      <c r="N545" s="138"/>
      <c r="O545" s="138"/>
      <c r="P545" s="138"/>
      <c r="Q545" s="139"/>
      <c r="R545" s="139"/>
      <c r="S545" s="212"/>
      <c r="T545" s="138"/>
    </row>
    <row r="546" spans="1:20" ht="34.950000000000003" customHeight="1" x14ac:dyDescent="0.3">
      <c r="A546" s="136"/>
      <c r="B546" s="212"/>
      <c r="C546" s="138"/>
      <c r="D546" s="138"/>
      <c r="E546" s="138"/>
      <c r="F546" s="138"/>
      <c r="G546" s="138"/>
      <c r="H546" s="139"/>
      <c r="I546" s="138"/>
      <c r="J546" s="138"/>
      <c r="K546" s="138"/>
      <c r="L546" s="138"/>
      <c r="M546" s="139"/>
      <c r="N546" s="138"/>
      <c r="O546" s="138"/>
      <c r="P546" s="138"/>
      <c r="Q546" s="139"/>
      <c r="R546" s="139"/>
      <c r="S546" s="212"/>
      <c r="T546" s="138"/>
    </row>
    <row r="547" spans="1:20" ht="34.950000000000003" customHeight="1" x14ac:dyDescent="0.3">
      <c r="A547" s="136"/>
      <c r="B547" s="212"/>
      <c r="C547" s="138"/>
      <c r="D547" s="138"/>
      <c r="E547" s="138"/>
      <c r="F547" s="138"/>
      <c r="G547" s="138"/>
      <c r="H547" s="139"/>
      <c r="I547" s="138"/>
      <c r="J547" s="138"/>
      <c r="K547" s="138"/>
      <c r="L547" s="138"/>
      <c r="M547" s="139"/>
      <c r="N547" s="138"/>
      <c r="O547" s="138"/>
      <c r="P547" s="138"/>
      <c r="Q547" s="139"/>
      <c r="R547" s="139"/>
      <c r="S547" s="212"/>
      <c r="T547" s="138"/>
    </row>
    <row r="548" spans="1:20" ht="34.950000000000003" customHeight="1" x14ac:dyDescent="0.3">
      <c r="A548" s="136"/>
      <c r="B548" s="212"/>
      <c r="C548" s="138"/>
      <c r="D548" s="138"/>
      <c r="E548" s="138"/>
      <c r="F548" s="138"/>
      <c r="G548" s="138"/>
      <c r="H548" s="139"/>
      <c r="I548" s="138"/>
      <c r="J548" s="138"/>
      <c r="K548" s="138"/>
      <c r="L548" s="138"/>
      <c r="M548" s="139"/>
      <c r="N548" s="138"/>
      <c r="O548" s="138"/>
      <c r="P548" s="138"/>
      <c r="Q548" s="139"/>
      <c r="R548" s="139"/>
      <c r="S548" s="212"/>
      <c r="T548" s="138"/>
    </row>
    <row r="549" spans="1:20" ht="34.950000000000003" customHeight="1" x14ac:dyDescent="0.3">
      <c r="A549" s="136"/>
      <c r="B549" s="212"/>
      <c r="C549" s="138"/>
      <c r="D549" s="138"/>
      <c r="E549" s="138"/>
      <c r="F549" s="138"/>
      <c r="G549" s="138"/>
      <c r="H549" s="139"/>
      <c r="I549" s="138"/>
      <c r="J549" s="138"/>
      <c r="K549" s="138"/>
      <c r="L549" s="138"/>
      <c r="M549" s="139"/>
      <c r="N549" s="138"/>
      <c r="O549" s="138"/>
      <c r="P549" s="138"/>
      <c r="Q549" s="139"/>
      <c r="R549" s="139"/>
      <c r="S549" s="212"/>
      <c r="T549" s="138"/>
    </row>
    <row r="550" spans="1:20" ht="34.950000000000003" customHeight="1" x14ac:dyDescent="0.3">
      <c r="A550" s="136"/>
      <c r="B550" s="212"/>
      <c r="C550" s="138"/>
      <c r="D550" s="138"/>
      <c r="E550" s="138"/>
      <c r="F550" s="138"/>
      <c r="G550" s="138"/>
      <c r="H550" s="139"/>
      <c r="I550" s="138"/>
      <c r="J550" s="138"/>
      <c r="K550" s="138"/>
      <c r="L550" s="138"/>
      <c r="M550" s="139"/>
      <c r="N550" s="138"/>
      <c r="O550" s="138"/>
      <c r="P550" s="138"/>
      <c r="Q550" s="139"/>
      <c r="R550" s="139"/>
      <c r="S550" s="212"/>
      <c r="T550" s="138"/>
    </row>
    <row r="551" spans="1:20" ht="34.950000000000003" customHeight="1" x14ac:dyDescent="0.3">
      <c r="A551" s="136"/>
      <c r="B551" s="212"/>
      <c r="C551" s="138"/>
      <c r="D551" s="138"/>
      <c r="E551" s="138"/>
      <c r="F551" s="138"/>
      <c r="G551" s="138"/>
      <c r="H551" s="139"/>
      <c r="I551" s="138"/>
      <c r="J551" s="138"/>
      <c r="K551" s="138"/>
      <c r="L551" s="138"/>
      <c r="M551" s="139"/>
      <c r="N551" s="138"/>
      <c r="O551" s="138"/>
      <c r="P551" s="138"/>
      <c r="Q551" s="139"/>
      <c r="R551" s="139"/>
      <c r="S551" s="212"/>
      <c r="T551" s="138"/>
    </row>
    <row r="552" spans="1:20" ht="34.950000000000003" customHeight="1" x14ac:dyDescent="0.3">
      <c r="A552" s="136"/>
      <c r="B552" s="212"/>
      <c r="C552" s="138"/>
      <c r="D552" s="138"/>
      <c r="E552" s="138"/>
      <c r="F552" s="138"/>
      <c r="G552" s="138"/>
      <c r="H552" s="139"/>
      <c r="I552" s="138"/>
      <c r="J552" s="138"/>
      <c r="K552" s="138"/>
      <c r="L552" s="138"/>
      <c r="M552" s="139"/>
      <c r="N552" s="138"/>
      <c r="O552" s="138"/>
      <c r="P552" s="138"/>
      <c r="Q552" s="139"/>
      <c r="R552" s="139"/>
      <c r="S552" s="212"/>
      <c r="T552" s="138"/>
    </row>
    <row r="553" spans="1:20" ht="34.950000000000003" customHeight="1" x14ac:dyDescent="0.3">
      <c r="A553" s="136"/>
      <c r="B553" s="212"/>
      <c r="C553" s="138"/>
      <c r="D553" s="138"/>
      <c r="E553" s="138"/>
      <c r="F553" s="138"/>
      <c r="G553" s="138"/>
      <c r="H553" s="139"/>
      <c r="I553" s="138"/>
      <c r="J553" s="138"/>
      <c r="K553" s="138"/>
      <c r="L553" s="138"/>
      <c r="M553" s="139"/>
      <c r="N553" s="138"/>
      <c r="O553" s="138"/>
      <c r="P553" s="138"/>
      <c r="Q553" s="139"/>
      <c r="R553" s="139"/>
      <c r="S553" s="212"/>
      <c r="T553" s="138"/>
    </row>
    <row r="554" spans="1:20" ht="34.950000000000003" customHeight="1" x14ac:dyDescent="0.3">
      <c r="A554" s="136"/>
      <c r="B554" s="212"/>
      <c r="C554" s="138"/>
      <c r="D554" s="138"/>
      <c r="E554" s="138"/>
      <c r="F554" s="138"/>
      <c r="G554" s="138"/>
      <c r="H554" s="139"/>
      <c r="I554" s="138"/>
      <c r="J554" s="138"/>
      <c r="K554" s="138"/>
      <c r="L554" s="138"/>
      <c r="M554" s="139"/>
      <c r="N554" s="138"/>
      <c r="O554" s="138"/>
      <c r="P554" s="138"/>
      <c r="Q554" s="139"/>
      <c r="R554" s="139"/>
      <c r="S554" s="212"/>
      <c r="T554" s="138"/>
    </row>
    <row r="555" spans="1:20" ht="34.950000000000003" customHeight="1" x14ac:dyDescent="0.3">
      <c r="A555" s="136"/>
      <c r="B555" s="212"/>
      <c r="C555" s="138"/>
      <c r="D555" s="138"/>
      <c r="E555" s="138"/>
      <c r="F555" s="138"/>
      <c r="G555" s="138"/>
      <c r="H555" s="139"/>
      <c r="I555" s="138"/>
      <c r="J555" s="138"/>
      <c r="K555" s="138"/>
      <c r="L555" s="138"/>
      <c r="M555" s="139"/>
      <c r="N555" s="138"/>
      <c r="O555" s="138"/>
      <c r="P555" s="138"/>
      <c r="Q555" s="139"/>
      <c r="R555" s="139"/>
      <c r="S555" s="212"/>
      <c r="T555" s="138"/>
    </row>
    <row r="556" spans="1:20" ht="34.950000000000003" customHeight="1" x14ac:dyDescent="0.3">
      <c r="A556" s="136"/>
      <c r="B556" s="212"/>
      <c r="C556" s="138"/>
      <c r="D556" s="138"/>
      <c r="E556" s="138"/>
      <c r="F556" s="138"/>
      <c r="G556" s="138"/>
      <c r="H556" s="139"/>
      <c r="I556" s="138"/>
      <c r="J556" s="138"/>
      <c r="K556" s="138"/>
      <c r="L556" s="138"/>
      <c r="M556" s="139"/>
      <c r="N556" s="138"/>
      <c r="O556" s="138"/>
      <c r="P556" s="138"/>
      <c r="Q556" s="139"/>
      <c r="R556" s="139"/>
      <c r="S556" s="212"/>
      <c r="T556" s="138"/>
    </row>
    <row r="557" spans="1:20" ht="34.950000000000003" customHeight="1" x14ac:dyDescent="0.3">
      <c r="A557" s="136"/>
      <c r="B557" s="212"/>
      <c r="C557" s="138"/>
      <c r="D557" s="138"/>
      <c r="E557" s="138"/>
      <c r="F557" s="138"/>
      <c r="G557" s="138"/>
      <c r="H557" s="139"/>
      <c r="I557" s="138"/>
      <c r="J557" s="138"/>
      <c r="K557" s="138"/>
      <c r="L557" s="138"/>
      <c r="M557" s="139"/>
      <c r="N557" s="138"/>
      <c r="O557" s="138"/>
      <c r="P557" s="138"/>
      <c r="Q557" s="139"/>
      <c r="R557" s="139"/>
      <c r="S557" s="212"/>
      <c r="T557" s="138"/>
    </row>
    <row r="558" spans="1:20" ht="34.950000000000003" customHeight="1" x14ac:dyDescent="0.3">
      <c r="A558" s="136"/>
      <c r="B558" s="212"/>
      <c r="C558" s="138"/>
      <c r="D558" s="138"/>
      <c r="E558" s="138"/>
      <c r="F558" s="138"/>
      <c r="G558" s="138"/>
      <c r="H558" s="139"/>
      <c r="I558" s="138"/>
      <c r="J558" s="138"/>
      <c r="K558" s="138"/>
      <c r="L558" s="138"/>
      <c r="M558" s="139"/>
      <c r="N558" s="138"/>
      <c r="O558" s="138"/>
      <c r="P558" s="138"/>
      <c r="Q558" s="139"/>
      <c r="R558" s="139"/>
      <c r="S558" s="212"/>
      <c r="T558" s="138"/>
    </row>
    <row r="559" spans="1:20" ht="34.950000000000003" customHeight="1" x14ac:dyDescent="0.3">
      <c r="A559" s="136"/>
      <c r="B559" s="212"/>
      <c r="C559" s="138"/>
      <c r="D559" s="138"/>
      <c r="E559" s="138"/>
      <c r="F559" s="138"/>
      <c r="G559" s="138"/>
      <c r="H559" s="139"/>
      <c r="I559" s="138"/>
      <c r="J559" s="138"/>
      <c r="K559" s="138"/>
      <c r="L559" s="138"/>
      <c r="M559" s="139"/>
      <c r="N559" s="138"/>
      <c r="O559" s="138"/>
      <c r="P559" s="138"/>
      <c r="Q559" s="139"/>
      <c r="R559" s="139"/>
      <c r="S559" s="212"/>
      <c r="T559" s="138"/>
    </row>
    <row r="560" spans="1:20" ht="34.950000000000003" customHeight="1" x14ac:dyDescent="0.3">
      <c r="A560" s="136"/>
      <c r="B560" s="212"/>
      <c r="C560" s="138"/>
      <c r="D560" s="138"/>
      <c r="E560" s="138"/>
      <c r="F560" s="138"/>
      <c r="G560" s="138"/>
      <c r="H560" s="139"/>
      <c r="I560" s="138"/>
      <c r="J560" s="138"/>
      <c r="K560" s="138"/>
      <c r="L560" s="138"/>
      <c r="M560" s="139"/>
      <c r="N560" s="138"/>
      <c r="O560" s="138"/>
      <c r="P560" s="138"/>
      <c r="Q560" s="139"/>
      <c r="R560" s="139"/>
      <c r="S560" s="212"/>
      <c r="T560" s="138"/>
    </row>
    <row r="561" spans="1:20" ht="34.950000000000003" customHeight="1" x14ac:dyDescent="0.3">
      <c r="A561" s="136"/>
      <c r="B561" s="212"/>
      <c r="C561" s="138"/>
      <c r="D561" s="138"/>
      <c r="E561" s="138"/>
      <c r="F561" s="138"/>
      <c r="G561" s="138"/>
      <c r="H561" s="139"/>
      <c r="I561" s="138"/>
      <c r="J561" s="138"/>
      <c r="K561" s="138"/>
      <c r="L561" s="138"/>
      <c r="M561" s="139"/>
      <c r="N561" s="138"/>
      <c r="O561" s="138"/>
      <c r="P561" s="138"/>
      <c r="Q561" s="139"/>
      <c r="R561" s="139"/>
      <c r="S561" s="212"/>
      <c r="T561" s="138"/>
    </row>
    <row r="562" spans="1:20" ht="34.950000000000003" customHeight="1" x14ac:dyDescent="0.3">
      <c r="A562" s="136"/>
      <c r="B562" s="212"/>
      <c r="C562" s="138"/>
      <c r="D562" s="138"/>
      <c r="E562" s="138"/>
      <c r="F562" s="138"/>
      <c r="G562" s="138"/>
      <c r="H562" s="139"/>
      <c r="I562" s="138"/>
      <c r="J562" s="138"/>
      <c r="K562" s="138"/>
      <c r="L562" s="138"/>
      <c r="M562" s="139"/>
      <c r="N562" s="138"/>
      <c r="O562" s="138"/>
      <c r="P562" s="138"/>
      <c r="Q562" s="139"/>
      <c r="R562" s="139"/>
      <c r="S562" s="212"/>
      <c r="T562" s="138"/>
    </row>
    <row r="563" spans="1:20" ht="34.950000000000003" customHeight="1" x14ac:dyDescent="0.3">
      <c r="A563" s="136"/>
      <c r="B563" s="212"/>
      <c r="C563" s="138"/>
      <c r="D563" s="138"/>
      <c r="E563" s="138"/>
      <c r="F563" s="138"/>
      <c r="G563" s="138"/>
      <c r="H563" s="139"/>
      <c r="I563" s="138"/>
      <c r="J563" s="138"/>
      <c r="K563" s="138"/>
      <c r="L563" s="138"/>
      <c r="M563" s="139"/>
      <c r="N563" s="138"/>
      <c r="O563" s="138"/>
      <c r="P563" s="138"/>
      <c r="Q563" s="139"/>
      <c r="R563" s="139"/>
      <c r="S563" s="212"/>
      <c r="T563" s="138"/>
    </row>
    <row r="564" spans="1:20" ht="34.950000000000003" customHeight="1" x14ac:dyDescent="0.3">
      <c r="A564" s="136"/>
      <c r="B564" s="212"/>
      <c r="C564" s="138"/>
      <c r="D564" s="138"/>
      <c r="E564" s="138"/>
      <c r="F564" s="138"/>
      <c r="G564" s="138"/>
      <c r="H564" s="139"/>
      <c r="I564" s="138"/>
      <c r="J564" s="138"/>
      <c r="K564" s="138"/>
      <c r="L564" s="138"/>
      <c r="M564" s="139"/>
      <c r="N564" s="138"/>
      <c r="O564" s="138"/>
      <c r="P564" s="138"/>
      <c r="Q564" s="139"/>
      <c r="R564" s="139"/>
      <c r="S564" s="212"/>
      <c r="T564" s="138"/>
    </row>
    <row r="565" spans="1:20" ht="34.950000000000003" customHeight="1" x14ac:dyDescent="0.3">
      <c r="A565" s="136"/>
      <c r="B565" s="212"/>
      <c r="C565" s="138"/>
      <c r="D565" s="138"/>
      <c r="E565" s="138"/>
      <c r="F565" s="138"/>
      <c r="G565" s="138"/>
      <c r="H565" s="139"/>
      <c r="I565" s="138"/>
      <c r="J565" s="138"/>
      <c r="K565" s="138"/>
      <c r="L565" s="138"/>
      <c r="M565" s="139"/>
      <c r="N565" s="138"/>
      <c r="O565" s="138"/>
      <c r="P565" s="138"/>
      <c r="Q565" s="139"/>
      <c r="R565" s="139"/>
      <c r="S565" s="212"/>
      <c r="T565" s="138"/>
    </row>
    <row r="566" spans="1:20" ht="34.950000000000003" customHeight="1" x14ac:dyDescent="0.3">
      <c r="A566" s="136"/>
      <c r="B566" s="212"/>
      <c r="C566" s="138"/>
      <c r="D566" s="138"/>
      <c r="E566" s="138"/>
      <c r="F566" s="138"/>
      <c r="G566" s="138"/>
      <c r="H566" s="139"/>
      <c r="I566" s="138"/>
      <c r="J566" s="138"/>
      <c r="K566" s="138"/>
      <c r="L566" s="138"/>
      <c r="M566" s="139"/>
      <c r="N566" s="138"/>
      <c r="O566" s="138"/>
      <c r="P566" s="138"/>
      <c r="Q566" s="139"/>
      <c r="R566" s="139"/>
      <c r="S566" s="212"/>
      <c r="T566" s="138"/>
    </row>
    <row r="567" spans="1:20" ht="34.950000000000003" customHeight="1" x14ac:dyDescent="0.3">
      <c r="A567" s="136"/>
      <c r="B567" s="212"/>
      <c r="C567" s="138"/>
      <c r="D567" s="138"/>
      <c r="E567" s="138"/>
      <c r="F567" s="138"/>
      <c r="G567" s="138"/>
      <c r="H567" s="139"/>
      <c r="I567" s="138"/>
      <c r="J567" s="138"/>
      <c r="K567" s="138"/>
      <c r="L567" s="138"/>
      <c r="M567" s="139"/>
      <c r="N567" s="138"/>
      <c r="O567" s="138"/>
      <c r="P567" s="138"/>
      <c r="Q567" s="139"/>
      <c r="R567" s="139"/>
      <c r="S567" s="212"/>
      <c r="T567" s="138"/>
    </row>
    <row r="568" spans="1:20" ht="34.950000000000003" customHeight="1" x14ac:dyDescent="0.3">
      <c r="A568" s="136"/>
      <c r="B568" s="212"/>
      <c r="C568" s="138"/>
      <c r="D568" s="138"/>
      <c r="E568" s="138"/>
      <c r="F568" s="138"/>
      <c r="G568" s="138"/>
      <c r="H568" s="139"/>
      <c r="I568" s="138"/>
      <c r="J568" s="138"/>
      <c r="K568" s="138"/>
      <c r="L568" s="138"/>
      <c r="M568" s="139"/>
      <c r="N568" s="138"/>
      <c r="O568" s="138"/>
      <c r="P568" s="138"/>
      <c r="Q568" s="139"/>
      <c r="R568" s="139"/>
      <c r="S568" s="212"/>
      <c r="T568" s="138"/>
    </row>
    <row r="569" spans="1:20" ht="34.950000000000003" customHeight="1" x14ac:dyDescent="0.3">
      <c r="A569" s="136"/>
      <c r="B569" s="212"/>
      <c r="C569" s="138"/>
      <c r="D569" s="138"/>
      <c r="E569" s="138"/>
      <c r="F569" s="138"/>
      <c r="G569" s="138"/>
      <c r="H569" s="139"/>
      <c r="I569" s="138"/>
      <c r="J569" s="138"/>
      <c r="K569" s="138"/>
      <c r="L569" s="138"/>
      <c r="M569" s="139"/>
      <c r="N569" s="138"/>
      <c r="O569" s="138"/>
      <c r="P569" s="138"/>
      <c r="Q569" s="139"/>
      <c r="R569" s="139"/>
      <c r="S569" s="212"/>
      <c r="T569" s="138"/>
    </row>
    <row r="570" spans="1:20" ht="34.950000000000003" customHeight="1" x14ac:dyDescent="0.3">
      <c r="A570" s="136"/>
      <c r="B570" s="212"/>
      <c r="C570" s="138"/>
      <c r="D570" s="138"/>
      <c r="E570" s="138"/>
      <c r="F570" s="138"/>
      <c r="G570" s="138"/>
      <c r="H570" s="139"/>
      <c r="I570" s="138"/>
      <c r="J570" s="138"/>
      <c r="K570" s="138"/>
      <c r="L570" s="138"/>
      <c r="M570" s="139"/>
      <c r="N570" s="138"/>
      <c r="O570" s="138"/>
      <c r="P570" s="138"/>
      <c r="Q570" s="139"/>
      <c r="R570" s="139"/>
      <c r="S570" s="212"/>
      <c r="T570" s="138"/>
    </row>
    <row r="571" spans="1:20" ht="34.950000000000003" customHeight="1" x14ac:dyDescent="0.3">
      <c r="A571" s="136"/>
      <c r="B571" s="212"/>
      <c r="C571" s="138"/>
      <c r="D571" s="138"/>
      <c r="E571" s="138"/>
      <c r="F571" s="138"/>
      <c r="G571" s="138"/>
      <c r="H571" s="139"/>
      <c r="I571" s="138"/>
      <c r="J571" s="138"/>
      <c r="K571" s="138"/>
      <c r="L571" s="138"/>
      <c r="M571" s="139"/>
      <c r="N571" s="138"/>
      <c r="O571" s="138"/>
      <c r="P571" s="138"/>
      <c r="Q571" s="139"/>
      <c r="R571" s="139"/>
      <c r="S571" s="212"/>
      <c r="T571" s="138"/>
    </row>
    <row r="572" spans="1:20" ht="34.950000000000003" customHeight="1" x14ac:dyDescent="0.3">
      <c r="A572" s="136"/>
      <c r="B572" s="212"/>
      <c r="C572" s="138"/>
      <c r="D572" s="138"/>
      <c r="E572" s="138"/>
      <c r="F572" s="138"/>
      <c r="G572" s="138"/>
      <c r="H572" s="139"/>
      <c r="I572" s="138"/>
      <c r="J572" s="138"/>
      <c r="K572" s="138"/>
      <c r="L572" s="138"/>
      <c r="M572" s="139"/>
      <c r="N572" s="138"/>
      <c r="O572" s="138"/>
      <c r="P572" s="138"/>
      <c r="Q572" s="139"/>
      <c r="R572" s="139"/>
      <c r="S572" s="212"/>
      <c r="T572" s="138"/>
    </row>
    <row r="573" spans="1:20" ht="34.950000000000003" customHeight="1" x14ac:dyDescent="0.3">
      <c r="A573" s="136"/>
      <c r="B573" s="212"/>
      <c r="C573" s="138"/>
      <c r="D573" s="138"/>
      <c r="E573" s="138"/>
      <c r="F573" s="138"/>
      <c r="G573" s="138"/>
      <c r="H573" s="139"/>
      <c r="I573" s="138"/>
      <c r="J573" s="138"/>
      <c r="K573" s="138"/>
      <c r="L573" s="138"/>
      <c r="M573" s="139"/>
      <c r="N573" s="138"/>
      <c r="O573" s="138"/>
      <c r="P573" s="138"/>
      <c r="Q573" s="139"/>
      <c r="R573" s="139"/>
      <c r="S573" s="212"/>
      <c r="T573" s="138"/>
    </row>
    <row r="574" spans="1:20" ht="34.950000000000003" customHeight="1" x14ac:dyDescent="0.3">
      <c r="A574" s="136"/>
      <c r="B574" s="212"/>
      <c r="C574" s="138"/>
      <c r="D574" s="138"/>
      <c r="E574" s="138"/>
      <c r="F574" s="138"/>
      <c r="G574" s="138"/>
      <c r="H574" s="139"/>
      <c r="I574" s="138"/>
      <c r="J574" s="138"/>
      <c r="K574" s="138"/>
      <c r="L574" s="138"/>
      <c r="M574" s="139"/>
      <c r="N574" s="138"/>
      <c r="O574" s="138"/>
      <c r="P574" s="138"/>
      <c r="Q574" s="139"/>
      <c r="R574" s="139"/>
      <c r="S574" s="212"/>
      <c r="T574" s="138"/>
    </row>
    <row r="575" spans="1:20" ht="34.950000000000003" customHeight="1" x14ac:dyDescent="0.3">
      <c r="A575" s="136"/>
      <c r="B575" s="212"/>
      <c r="C575" s="138"/>
      <c r="D575" s="138"/>
      <c r="E575" s="138"/>
      <c r="F575" s="138"/>
      <c r="G575" s="138"/>
      <c r="H575" s="139"/>
      <c r="I575" s="138"/>
      <c r="J575" s="138"/>
      <c r="K575" s="138"/>
      <c r="L575" s="138"/>
      <c r="M575" s="139"/>
      <c r="N575" s="138"/>
      <c r="O575" s="138"/>
      <c r="P575" s="138"/>
      <c r="Q575" s="139"/>
      <c r="R575" s="139"/>
      <c r="S575" s="212"/>
      <c r="T575" s="138"/>
    </row>
    <row r="576" spans="1:20" ht="34.950000000000003" customHeight="1" x14ac:dyDescent="0.3">
      <c r="A576" s="136"/>
      <c r="B576" s="212"/>
      <c r="C576" s="138"/>
      <c r="D576" s="138"/>
      <c r="E576" s="138"/>
      <c r="F576" s="138"/>
      <c r="G576" s="138"/>
      <c r="H576" s="139"/>
      <c r="I576" s="138"/>
      <c r="J576" s="138"/>
      <c r="K576" s="138"/>
      <c r="L576" s="138"/>
      <c r="M576" s="139"/>
      <c r="N576" s="138"/>
      <c r="O576" s="138"/>
      <c r="P576" s="138"/>
      <c r="Q576" s="139"/>
      <c r="R576" s="139"/>
      <c r="S576" s="212"/>
      <c r="T576" s="138"/>
    </row>
    <row r="577" spans="1:20" ht="34.950000000000003" customHeight="1" x14ac:dyDescent="0.3">
      <c r="A577" s="136"/>
      <c r="B577" s="212"/>
      <c r="C577" s="138"/>
      <c r="D577" s="138"/>
      <c r="E577" s="138"/>
      <c r="F577" s="138"/>
      <c r="G577" s="138"/>
      <c r="H577" s="139"/>
      <c r="I577" s="138"/>
      <c r="J577" s="138"/>
      <c r="K577" s="138"/>
      <c r="L577" s="138"/>
      <c r="M577" s="139"/>
      <c r="N577" s="138"/>
      <c r="O577" s="138"/>
      <c r="P577" s="138"/>
      <c r="Q577" s="139"/>
      <c r="R577" s="139"/>
      <c r="S577" s="212"/>
      <c r="T577" s="138"/>
    </row>
    <row r="578" spans="1:20" ht="34.950000000000003" customHeight="1" x14ac:dyDescent="0.3">
      <c r="A578" s="136"/>
      <c r="B578" s="212"/>
      <c r="C578" s="138"/>
      <c r="D578" s="138"/>
      <c r="E578" s="138"/>
      <c r="F578" s="138"/>
      <c r="G578" s="138"/>
      <c r="H578" s="139"/>
      <c r="I578" s="138"/>
      <c r="J578" s="138"/>
      <c r="K578" s="138"/>
      <c r="L578" s="138"/>
      <c r="M578" s="139"/>
      <c r="N578" s="138"/>
      <c r="O578" s="138"/>
      <c r="P578" s="138"/>
      <c r="Q578" s="139"/>
      <c r="R578" s="139"/>
      <c r="S578" s="212"/>
      <c r="T578" s="138"/>
    </row>
    <row r="579" spans="1:20" ht="34.950000000000003" customHeight="1" x14ac:dyDescent="0.3">
      <c r="A579" s="136"/>
      <c r="B579" s="212"/>
      <c r="C579" s="138"/>
      <c r="D579" s="138"/>
      <c r="E579" s="138"/>
      <c r="F579" s="138"/>
      <c r="G579" s="138"/>
      <c r="H579" s="139"/>
      <c r="I579" s="138"/>
      <c r="J579" s="138"/>
      <c r="K579" s="138"/>
      <c r="L579" s="138"/>
      <c r="M579" s="139"/>
      <c r="N579" s="138"/>
      <c r="O579" s="138"/>
      <c r="P579" s="138"/>
      <c r="Q579" s="139"/>
      <c r="R579" s="139"/>
      <c r="S579" s="212"/>
      <c r="T579" s="138"/>
    </row>
    <row r="580" spans="1:20" ht="34.950000000000003" customHeight="1" x14ac:dyDescent="0.3">
      <c r="A580" s="136"/>
      <c r="B580" s="212"/>
      <c r="C580" s="138"/>
      <c r="D580" s="138"/>
      <c r="E580" s="138"/>
      <c r="F580" s="138"/>
      <c r="G580" s="138"/>
      <c r="H580" s="139"/>
      <c r="I580" s="138"/>
      <c r="J580" s="138"/>
      <c r="K580" s="138"/>
      <c r="L580" s="138"/>
      <c r="M580" s="139"/>
      <c r="N580" s="138"/>
      <c r="O580" s="138"/>
      <c r="P580" s="138"/>
      <c r="Q580" s="139"/>
      <c r="R580" s="139"/>
      <c r="S580" s="212"/>
      <c r="T580" s="138"/>
    </row>
    <row r="581" spans="1:20" ht="34.950000000000003" customHeight="1" x14ac:dyDescent="0.3">
      <c r="A581" s="136"/>
      <c r="B581" s="212"/>
      <c r="C581" s="138"/>
      <c r="D581" s="138"/>
      <c r="E581" s="138"/>
      <c r="F581" s="138"/>
      <c r="G581" s="138"/>
      <c r="H581" s="139"/>
      <c r="I581" s="138"/>
      <c r="J581" s="138"/>
      <c r="K581" s="138"/>
      <c r="L581" s="138"/>
      <c r="M581" s="139"/>
      <c r="N581" s="138"/>
      <c r="O581" s="138"/>
      <c r="P581" s="138"/>
      <c r="Q581" s="139"/>
      <c r="R581" s="139"/>
      <c r="S581" s="212"/>
      <c r="T581" s="138"/>
    </row>
    <row r="582" spans="1:20" ht="34.950000000000003" customHeight="1" x14ac:dyDescent="0.3">
      <c r="A582" s="136"/>
      <c r="B582" s="212"/>
      <c r="C582" s="138"/>
      <c r="D582" s="138"/>
      <c r="E582" s="138"/>
      <c r="F582" s="138"/>
      <c r="G582" s="138"/>
      <c r="H582" s="139"/>
      <c r="I582" s="138"/>
      <c r="J582" s="138"/>
      <c r="K582" s="138"/>
      <c r="L582" s="138"/>
      <c r="M582" s="139"/>
      <c r="N582" s="138"/>
      <c r="O582" s="138"/>
      <c r="P582" s="138"/>
      <c r="Q582" s="139"/>
      <c r="R582" s="139"/>
      <c r="S582" s="212"/>
      <c r="T582" s="138"/>
    </row>
    <row r="583" spans="1:20" ht="34.950000000000003" customHeight="1" x14ac:dyDescent="0.3">
      <c r="A583" s="136"/>
      <c r="B583" s="212"/>
      <c r="C583" s="138"/>
      <c r="D583" s="138"/>
      <c r="E583" s="138"/>
      <c r="F583" s="138"/>
      <c r="G583" s="138"/>
      <c r="H583" s="139"/>
      <c r="I583" s="138"/>
      <c r="J583" s="138"/>
      <c r="K583" s="138"/>
      <c r="L583" s="138"/>
      <c r="M583" s="139"/>
      <c r="N583" s="138"/>
      <c r="O583" s="138"/>
      <c r="P583" s="138"/>
      <c r="Q583" s="139"/>
      <c r="R583" s="139"/>
      <c r="S583" s="212"/>
      <c r="T583" s="138"/>
    </row>
    <row r="584" spans="1:20" ht="34.950000000000003" customHeight="1" x14ac:dyDescent="0.3">
      <c r="A584" s="136"/>
      <c r="B584" s="212"/>
      <c r="C584" s="138"/>
      <c r="D584" s="138"/>
      <c r="E584" s="138"/>
      <c r="F584" s="138"/>
      <c r="G584" s="138"/>
      <c r="H584" s="139"/>
      <c r="I584" s="138"/>
      <c r="J584" s="138"/>
      <c r="K584" s="138"/>
      <c r="L584" s="138"/>
      <c r="M584" s="139"/>
      <c r="N584" s="138"/>
      <c r="O584" s="138"/>
      <c r="P584" s="138"/>
      <c r="Q584" s="139"/>
      <c r="R584" s="139"/>
      <c r="S584" s="212"/>
      <c r="T584" s="138"/>
    </row>
    <row r="585" spans="1:20" ht="34.950000000000003" customHeight="1" x14ac:dyDescent="0.3">
      <c r="A585" s="136"/>
      <c r="B585" s="212"/>
      <c r="C585" s="138"/>
      <c r="D585" s="138"/>
      <c r="E585" s="138"/>
      <c r="F585" s="138"/>
      <c r="G585" s="138"/>
      <c r="H585" s="139"/>
      <c r="I585" s="138"/>
      <c r="J585" s="138"/>
      <c r="K585" s="138"/>
      <c r="L585" s="138"/>
      <c r="M585" s="139"/>
      <c r="N585" s="138"/>
      <c r="O585" s="138"/>
      <c r="P585" s="138"/>
      <c r="Q585" s="139"/>
      <c r="R585" s="139"/>
      <c r="S585" s="212"/>
      <c r="T585" s="138"/>
    </row>
    <row r="586" spans="1:20" ht="34.950000000000003" customHeight="1" x14ac:dyDescent="0.3">
      <c r="A586" s="136"/>
      <c r="B586" s="212"/>
      <c r="C586" s="138"/>
      <c r="D586" s="138"/>
      <c r="E586" s="138"/>
      <c r="F586" s="138"/>
      <c r="G586" s="138"/>
      <c r="H586" s="139"/>
      <c r="I586" s="138"/>
      <c r="J586" s="138"/>
      <c r="K586" s="138"/>
      <c r="L586" s="138"/>
      <c r="M586" s="139"/>
      <c r="N586" s="138"/>
      <c r="O586" s="138"/>
      <c r="P586" s="138"/>
      <c r="Q586" s="139"/>
      <c r="R586" s="139"/>
      <c r="S586" s="212"/>
      <c r="T586" s="138"/>
    </row>
    <row r="587" spans="1:20" ht="34.950000000000003" customHeight="1" x14ac:dyDescent="0.3">
      <c r="A587" s="136"/>
      <c r="B587" s="212"/>
      <c r="C587" s="138"/>
      <c r="D587" s="138"/>
      <c r="E587" s="138"/>
      <c r="F587" s="138"/>
      <c r="G587" s="138"/>
      <c r="H587" s="139"/>
      <c r="I587" s="138"/>
      <c r="J587" s="138"/>
      <c r="K587" s="138"/>
      <c r="L587" s="138"/>
      <c r="M587" s="139"/>
      <c r="N587" s="138"/>
      <c r="O587" s="138"/>
      <c r="P587" s="138"/>
      <c r="Q587" s="139"/>
      <c r="R587" s="139"/>
      <c r="S587" s="212"/>
      <c r="T587" s="138"/>
    </row>
    <row r="588" spans="1:20" ht="34.950000000000003" customHeight="1" x14ac:dyDescent="0.3">
      <c r="A588" s="136"/>
      <c r="B588" s="212"/>
      <c r="C588" s="138"/>
      <c r="D588" s="138"/>
      <c r="E588" s="138"/>
      <c r="F588" s="138"/>
      <c r="G588" s="138"/>
      <c r="H588" s="139"/>
      <c r="I588" s="138"/>
      <c r="J588" s="138"/>
      <c r="K588" s="138"/>
      <c r="L588" s="138"/>
      <c r="M588" s="139"/>
      <c r="N588" s="138"/>
      <c r="O588" s="138"/>
      <c r="P588" s="138"/>
      <c r="Q588" s="139"/>
      <c r="R588" s="139"/>
      <c r="S588" s="212"/>
      <c r="T588" s="138"/>
    </row>
    <row r="589" spans="1:20" ht="34.950000000000003" customHeight="1" x14ac:dyDescent="0.3">
      <c r="A589" s="136"/>
      <c r="B589" s="212"/>
      <c r="C589" s="138"/>
      <c r="D589" s="138"/>
      <c r="E589" s="138"/>
      <c r="F589" s="138"/>
      <c r="G589" s="138"/>
      <c r="H589" s="139"/>
      <c r="I589" s="138"/>
      <c r="J589" s="138"/>
      <c r="K589" s="138"/>
      <c r="L589" s="138"/>
      <c r="M589" s="139"/>
      <c r="N589" s="138"/>
      <c r="O589" s="138"/>
      <c r="P589" s="138"/>
      <c r="Q589" s="139"/>
      <c r="R589" s="139"/>
      <c r="S589" s="212"/>
      <c r="T589" s="138"/>
    </row>
    <row r="590" spans="1:20" ht="34.950000000000003" customHeight="1" x14ac:dyDescent="0.3">
      <c r="A590" s="136"/>
      <c r="B590" s="212"/>
      <c r="C590" s="138"/>
      <c r="D590" s="138"/>
      <c r="E590" s="138"/>
      <c r="F590" s="138"/>
      <c r="G590" s="138"/>
      <c r="H590" s="139"/>
      <c r="I590" s="138"/>
      <c r="J590" s="138"/>
      <c r="K590" s="138"/>
      <c r="L590" s="138"/>
      <c r="M590" s="139"/>
      <c r="N590" s="138"/>
      <c r="O590" s="138"/>
      <c r="P590" s="138"/>
      <c r="Q590" s="139"/>
      <c r="R590" s="139"/>
      <c r="S590" s="212"/>
      <c r="T590" s="138"/>
    </row>
    <row r="591" spans="1:20" ht="34.950000000000003" customHeight="1" x14ac:dyDescent="0.3">
      <c r="A591" s="136"/>
      <c r="B591" s="212"/>
      <c r="C591" s="138"/>
      <c r="D591" s="138"/>
      <c r="E591" s="138"/>
      <c r="F591" s="138"/>
      <c r="G591" s="138"/>
      <c r="H591" s="139"/>
      <c r="I591" s="138"/>
      <c r="J591" s="138"/>
      <c r="K591" s="138"/>
      <c r="L591" s="138"/>
      <c r="M591" s="139"/>
      <c r="N591" s="138"/>
      <c r="O591" s="138"/>
      <c r="P591" s="138"/>
      <c r="Q591" s="139"/>
      <c r="R591" s="139"/>
      <c r="S591" s="212"/>
      <c r="T591" s="138"/>
    </row>
    <row r="592" spans="1:20" ht="34.950000000000003" customHeight="1" x14ac:dyDescent="0.3">
      <c r="A592" s="136"/>
      <c r="B592" s="212"/>
      <c r="C592" s="138"/>
      <c r="D592" s="138"/>
      <c r="E592" s="138"/>
      <c r="F592" s="138"/>
      <c r="G592" s="138"/>
      <c r="H592" s="139"/>
      <c r="I592" s="138"/>
      <c r="J592" s="138"/>
      <c r="K592" s="138"/>
      <c r="L592" s="138"/>
      <c r="M592" s="139"/>
      <c r="N592" s="138"/>
      <c r="O592" s="138"/>
      <c r="P592" s="138"/>
      <c r="Q592" s="139"/>
      <c r="R592" s="139"/>
      <c r="S592" s="212"/>
      <c r="T592" s="138"/>
    </row>
    <row r="593" spans="1:20" ht="34.950000000000003" customHeight="1" x14ac:dyDescent="0.3">
      <c r="A593" s="136"/>
      <c r="B593" s="212"/>
      <c r="C593" s="138"/>
      <c r="D593" s="138"/>
      <c r="E593" s="138"/>
      <c r="F593" s="138"/>
      <c r="G593" s="138"/>
      <c r="H593" s="139"/>
      <c r="I593" s="138"/>
      <c r="J593" s="138"/>
      <c r="K593" s="138"/>
      <c r="L593" s="138"/>
      <c r="M593" s="139"/>
      <c r="N593" s="138"/>
      <c r="O593" s="138"/>
      <c r="P593" s="138"/>
      <c r="Q593" s="139"/>
      <c r="R593" s="139"/>
      <c r="S593" s="212"/>
      <c r="T593" s="138"/>
    </row>
    <row r="594" spans="1:20" ht="34.950000000000003" customHeight="1" x14ac:dyDescent="0.3">
      <c r="A594" s="136"/>
      <c r="B594" s="212"/>
      <c r="C594" s="138"/>
      <c r="D594" s="138"/>
      <c r="E594" s="138"/>
      <c r="F594" s="138"/>
      <c r="G594" s="138"/>
      <c r="H594" s="139"/>
      <c r="I594" s="138"/>
      <c r="J594" s="138"/>
      <c r="K594" s="138"/>
      <c r="L594" s="138"/>
      <c r="M594" s="139"/>
      <c r="N594" s="138"/>
      <c r="O594" s="138"/>
      <c r="P594" s="138"/>
      <c r="Q594" s="139"/>
      <c r="R594" s="139"/>
      <c r="S594" s="212"/>
      <c r="T594" s="138"/>
    </row>
    <row r="595" spans="1:20" ht="34.950000000000003" customHeight="1" x14ac:dyDescent="0.3">
      <c r="A595" s="136"/>
      <c r="B595" s="212"/>
      <c r="C595" s="138"/>
      <c r="D595" s="138"/>
      <c r="E595" s="138"/>
      <c r="F595" s="138"/>
      <c r="G595" s="138"/>
      <c r="H595" s="139"/>
      <c r="I595" s="138"/>
      <c r="J595" s="138"/>
      <c r="K595" s="138"/>
      <c r="L595" s="138"/>
      <c r="M595" s="139"/>
      <c r="N595" s="138"/>
      <c r="O595" s="138"/>
      <c r="P595" s="138"/>
      <c r="Q595" s="139"/>
      <c r="R595" s="139"/>
      <c r="S595" s="212"/>
      <c r="T595" s="138"/>
    </row>
    <row r="596" spans="1:20" ht="34.950000000000003" customHeight="1" x14ac:dyDescent="0.3">
      <c r="A596" s="136"/>
      <c r="B596" s="212"/>
      <c r="C596" s="138"/>
      <c r="D596" s="138"/>
      <c r="E596" s="138"/>
      <c r="F596" s="138"/>
      <c r="G596" s="138"/>
      <c r="H596" s="139"/>
      <c r="I596" s="138"/>
      <c r="J596" s="138"/>
      <c r="K596" s="138"/>
      <c r="L596" s="138"/>
      <c r="M596" s="139"/>
      <c r="N596" s="138"/>
      <c r="O596" s="138"/>
      <c r="P596" s="138"/>
      <c r="Q596" s="139"/>
      <c r="R596" s="139"/>
      <c r="S596" s="212"/>
      <c r="T596" s="138"/>
    </row>
    <row r="597" spans="1:20" ht="34.950000000000003" customHeight="1" x14ac:dyDescent="0.3">
      <c r="A597" s="136"/>
      <c r="B597" s="212"/>
      <c r="C597" s="138"/>
      <c r="D597" s="138"/>
      <c r="E597" s="138"/>
      <c r="F597" s="138"/>
      <c r="G597" s="138"/>
      <c r="H597" s="139"/>
      <c r="I597" s="138"/>
      <c r="J597" s="138"/>
      <c r="K597" s="138"/>
      <c r="L597" s="138"/>
      <c r="M597" s="139"/>
      <c r="N597" s="138"/>
      <c r="O597" s="138"/>
      <c r="P597" s="138"/>
      <c r="Q597" s="139"/>
      <c r="R597" s="139"/>
      <c r="S597" s="212"/>
      <c r="T597" s="138"/>
    </row>
    <row r="598" spans="1:20" ht="34.950000000000003" customHeight="1" x14ac:dyDescent="0.3">
      <c r="A598" s="136"/>
      <c r="B598" s="212"/>
      <c r="C598" s="138"/>
      <c r="D598" s="138"/>
      <c r="E598" s="138"/>
      <c r="F598" s="138"/>
      <c r="G598" s="138"/>
      <c r="H598" s="139"/>
      <c r="I598" s="138"/>
      <c r="J598" s="138"/>
      <c r="K598" s="138"/>
      <c r="L598" s="138"/>
      <c r="M598" s="139"/>
      <c r="N598" s="138"/>
      <c r="O598" s="138"/>
      <c r="P598" s="138"/>
      <c r="Q598" s="139"/>
      <c r="R598" s="139"/>
      <c r="S598" s="212"/>
      <c r="T598" s="138"/>
    </row>
    <row r="599" spans="1:20" ht="34.950000000000003" customHeight="1" x14ac:dyDescent="0.3">
      <c r="A599" s="136"/>
      <c r="B599" s="212"/>
      <c r="C599" s="138"/>
      <c r="D599" s="138"/>
      <c r="E599" s="138"/>
      <c r="F599" s="138"/>
      <c r="G599" s="138"/>
      <c r="H599" s="139"/>
      <c r="I599" s="138"/>
      <c r="J599" s="138"/>
      <c r="K599" s="138"/>
      <c r="L599" s="138"/>
      <c r="M599" s="139"/>
      <c r="N599" s="138"/>
      <c r="O599" s="138"/>
      <c r="P599" s="138"/>
      <c r="Q599" s="139"/>
      <c r="R599" s="139"/>
      <c r="S599" s="212"/>
      <c r="T599" s="138"/>
    </row>
    <row r="600" spans="1:20" ht="34.950000000000003" customHeight="1" x14ac:dyDescent="0.3">
      <c r="A600" s="136"/>
      <c r="B600" s="212"/>
      <c r="C600" s="138"/>
      <c r="D600" s="138"/>
      <c r="E600" s="138"/>
      <c r="F600" s="138"/>
      <c r="G600" s="138"/>
      <c r="H600" s="139"/>
      <c r="I600" s="138"/>
      <c r="J600" s="138"/>
      <c r="K600" s="138"/>
      <c r="L600" s="138"/>
      <c r="M600" s="139"/>
      <c r="N600" s="138"/>
      <c r="O600" s="138"/>
      <c r="P600" s="138"/>
      <c r="Q600" s="139"/>
      <c r="R600" s="139"/>
      <c r="S600" s="212"/>
      <c r="T600" s="138"/>
    </row>
    <row r="601" spans="1:20" ht="34.950000000000003" customHeight="1" x14ac:dyDescent="0.3">
      <c r="A601" s="136"/>
      <c r="B601" s="212"/>
      <c r="C601" s="138"/>
      <c r="D601" s="138"/>
      <c r="E601" s="138"/>
      <c r="F601" s="138"/>
      <c r="G601" s="138"/>
      <c r="H601" s="139"/>
      <c r="I601" s="138"/>
      <c r="J601" s="138"/>
      <c r="K601" s="138"/>
      <c r="L601" s="138"/>
      <c r="M601" s="139"/>
      <c r="N601" s="138"/>
      <c r="O601" s="138"/>
      <c r="P601" s="138"/>
      <c r="Q601" s="139"/>
      <c r="R601" s="139"/>
      <c r="S601" s="212"/>
      <c r="T601" s="138"/>
    </row>
    <row r="602" spans="1:20" ht="34.950000000000003" customHeight="1" x14ac:dyDescent="0.3">
      <c r="A602" s="136"/>
      <c r="B602" s="212"/>
      <c r="C602" s="138"/>
      <c r="D602" s="138"/>
      <c r="E602" s="138"/>
      <c r="F602" s="138"/>
      <c r="G602" s="138"/>
      <c r="H602" s="139"/>
      <c r="I602" s="138"/>
      <c r="J602" s="138"/>
      <c r="K602" s="138"/>
      <c r="L602" s="138"/>
      <c r="M602" s="139"/>
      <c r="N602" s="138"/>
      <c r="O602" s="138"/>
      <c r="P602" s="138"/>
      <c r="Q602" s="139"/>
      <c r="R602" s="139"/>
      <c r="S602" s="212"/>
      <c r="T602" s="138"/>
    </row>
    <row r="603" spans="1:20" ht="34.950000000000003" customHeight="1" x14ac:dyDescent="0.3">
      <c r="A603" s="136"/>
      <c r="B603" s="212"/>
      <c r="C603" s="138"/>
      <c r="D603" s="138"/>
      <c r="E603" s="138"/>
      <c r="F603" s="138"/>
      <c r="G603" s="138"/>
      <c r="H603" s="139"/>
      <c r="I603" s="138"/>
      <c r="J603" s="138"/>
      <c r="K603" s="138"/>
      <c r="L603" s="138"/>
      <c r="M603" s="139"/>
      <c r="N603" s="138"/>
      <c r="O603" s="138"/>
      <c r="P603" s="138"/>
      <c r="Q603" s="139"/>
      <c r="R603" s="139"/>
      <c r="S603" s="212"/>
      <c r="T603" s="138"/>
    </row>
    <row r="604" spans="1:20" ht="34.950000000000003" customHeight="1" x14ac:dyDescent="0.3">
      <c r="A604" s="136"/>
      <c r="B604" s="212"/>
      <c r="C604" s="138"/>
      <c r="D604" s="138"/>
      <c r="E604" s="138"/>
      <c r="F604" s="138"/>
      <c r="G604" s="138"/>
      <c r="H604" s="139"/>
      <c r="I604" s="138"/>
      <c r="J604" s="138"/>
      <c r="K604" s="138"/>
      <c r="L604" s="138"/>
      <c r="M604" s="139"/>
      <c r="N604" s="138"/>
      <c r="O604" s="138"/>
      <c r="P604" s="138"/>
      <c r="Q604" s="139"/>
      <c r="R604" s="139"/>
      <c r="S604" s="212"/>
      <c r="T604" s="138"/>
    </row>
    <row r="605" spans="1:20" ht="34.950000000000003" customHeight="1" x14ac:dyDescent="0.3">
      <c r="A605" s="136"/>
      <c r="B605" s="212"/>
      <c r="C605" s="138"/>
      <c r="D605" s="138"/>
      <c r="E605" s="138"/>
      <c r="F605" s="138"/>
      <c r="G605" s="138"/>
      <c r="H605" s="139"/>
      <c r="I605" s="138"/>
      <c r="J605" s="138"/>
      <c r="K605" s="138"/>
      <c r="L605" s="138"/>
      <c r="M605" s="139"/>
      <c r="N605" s="138"/>
      <c r="O605" s="138"/>
      <c r="P605" s="138"/>
      <c r="Q605" s="139"/>
      <c r="R605" s="139"/>
      <c r="S605" s="212"/>
      <c r="T605" s="138"/>
    </row>
    <row r="606" spans="1:20" ht="34.950000000000003" customHeight="1" x14ac:dyDescent="0.3">
      <c r="A606" s="136"/>
      <c r="B606" s="212"/>
      <c r="C606" s="138"/>
      <c r="D606" s="138"/>
      <c r="E606" s="138"/>
      <c r="F606" s="138"/>
      <c r="G606" s="138"/>
      <c r="H606" s="139"/>
      <c r="I606" s="138"/>
      <c r="J606" s="138"/>
      <c r="K606" s="138"/>
      <c r="L606" s="138"/>
      <c r="M606" s="139"/>
      <c r="N606" s="138"/>
      <c r="O606" s="138"/>
      <c r="P606" s="138"/>
      <c r="Q606" s="139"/>
      <c r="R606" s="139"/>
      <c r="S606" s="212"/>
      <c r="T606" s="138"/>
    </row>
    <row r="607" spans="1:20" ht="34.950000000000003" customHeight="1" x14ac:dyDescent="0.3">
      <c r="A607" s="136"/>
      <c r="B607" s="212"/>
      <c r="C607" s="138"/>
      <c r="D607" s="138"/>
      <c r="E607" s="138"/>
      <c r="F607" s="138"/>
      <c r="G607" s="138"/>
      <c r="H607" s="139"/>
      <c r="I607" s="138"/>
      <c r="J607" s="138"/>
      <c r="K607" s="138"/>
      <c r="L607" s="138"/>
      <c r="M607" s="139"/>
      <c r="N607" s="138"/>
      <c r="O607" s="138"/>
      <c r="P607" s="138"/>
      <c r="Q607" s="139"/>
      <c r="R607" s="139"/>
      <c r="S607" s="212"/>
      <c r="T607" s="138"/>
    </row>
    <row r="608" spans="1:20" ht="34.950000000000003" customHeight="1" x14ac:dyDescent="0.3">
      <c r="A608" s="136"/>
      <c r="B608" s="212"/>
      <c r="C608" s="138"/>
      <c r="D608" s="138"/>
      <c r="E608" s="138"/>
      <c r="F608" s="138"/>
      <c r="G608" s="138"/>
      <c r="H608" s="139"/>
      <c r="I608" s="138"/>
      <c r="J608" s="138"/>
      <c r="K608" s="138"/>
      <c r="L608" s="138"/>
      <c r="M608" s="139"/>
      <c r="N608" s="138"/>
      <c r="O608" s="138"/>
      <c r="P608" s="138"/>
      <c r="Q608" s="139"/>
      <c r="R608" s="139"/>
      <c r="S608" s="212"/>
      <c r="T608" s="138"/>
    </row>
    <row r="609" spans="1:20" ht="34.950000000000003" customHeight="1" x14ac:dyDescent="0.3">
      <c r="A609" s="136"/>
      <c r="B609" s="212"/>
      <c r="C609" s="138"/>
      <c r="D609" s="138"/>
      <c r="E609" s="138"/>
      <c r="F609" s="138"/>
      <c r="G609" s="138"/>
      <c r="H609" s="139"/>
      <c r="I609" s="138"/>
      <c r="J609" s="138"/>
      <c r="K609" s="138"/>
      <c r="L609" s="138"/>
      <c r="M609" s="139"/>
      <c r="N609" s="138"/>
      <c r="O609" s="138"/>
      <c r="P609" s="138"/>
      <c r="Q609" s="139"/>
      <c r="R609" s="139"/>
      <c r="S609" s="212"/>
      <c r="T609" s="138"/>
    </row>
    <row r="610" spans="1:20" ht="34.950000000000003" customHeight="1" x14ac:dyDescent="0.3">
      <c r="A610" s="136"/>
      <c r="B610" s="212"/>
      <c r="C610" s="138"/>
      <c r="D610" s="138"/>
      <c r="E610" s="138"/>
      <c r="F610" s="138"/>
      <c r="G610" s="138"/>
      <c r="H610" s="139"/>
      <c r="I610" s="138"/>
      <c r="J610" s="138"/>
      <c r="K610" s="138"/>
      <c r="L610" s="138"/>
      <c r="M610" s="139"/>
      <c r="N610" s="138"/>
      <c r="O610" s="138"/>
      <c r="P610" s="138"/>
      <c r="Q610" s="139"/>
      <c r="R610" s="139"/>
      <c r="S610" s="212"/>
      <c r="T610" s="138"/>
    </row>
    <row r="611" spans="1:20" ht="34.950000000000003" customHeight="1" x14ac:dyDescent="0.3">
      <c r="A611" s="136"/>
      <c r="B611" s="212"/>
      <c r="C611" s="138"/>
      <c r="D611" s="138"/>
      <c r="E611" s="138"/>
      <c r="F611" s="138"/>
      <c r="G611" s="138"/>
      <c r="H611" s="139"/>
      <c r="I611" s="138"/>
      <c r="J611" s="138"/>
      <c r="K611" s="138"/>
      <c r="L611" s="138"/>
      <c r="M611" s="139"/>
      <c r="N611" s="138"/>
      <c r="O611" s="138"/>
      <c r="P611" s="138"/>
      <c r="Q611" s="139"/>
      <c r="R611" s="139"/>
      <c r="S611" s="212"/>
      <c r="T611" s="138"/>
    </row>
    <row r="612" spans="1:20" ht="34.950000000000003" customHeight="1" x14ac:dyDescent="0.3">
      <c r="A612" s="136"/>
      <c r="B612" s="212"/>
      <c r="C612" s="138"/>
      <c r="D612" s="138"/>
      <c r="E612" s="138"/>
      <c r="F612" s="138"/>
      <c r="G612" s="138"/>
      <c r="H612" s="139"/>
      <c r="I612" s="138"/>
      <c r="J612" s="138"/>
      <c r="K612" s="138"/>
      <c r="L612" s="138"/>
      <c r="M612" s="139"/>
      <c r="N612" s="138"/>
      <c r="O612" s="138"/>
      <c r="P612" s="138"/>
      <c r="Q612" s="139"/>
      <c r="R612" s="139"/>
      <c r="S612" s="212"/>
      <c r="T612" s="138"/>
    </row>
    <row r="613" spans="1:20" ht="34.950000000000003" customHeight="1" x14ac:dyDescent="0.3">
      <c r="A613" s="136"/>
      <c r="B613" s="212"/>
      <c r="C613" s="138"/>
      <c r="D613" s="138"/>
      <c r="E613" s="138"/>
      <c r="F613" s="138"/>
      <c r="G613" s="138"/>
      <c r="H613" s="139"/>
      <c r="I613" s="138"/>
      <c r="J613" s="138"/>
      <c r="K613" s="138"/>
      <c r="L613" s="138"/>
      <c r="M613" s="139"/>
      <c r="N613" s="138"/>
      <c r="O613" s="138"/>
      <c r="P613" s="138"/>
      <c r="Q613" s="139"/>
      <c r="R613" s="139"/>
      <c r="S613" s="212"/>
      <c r="T613" s="138"/>
    </row>
    <row r="614" spans="1:20" ht="34.950000000000003" customHeight="1" x14ac:dyDescent="0.3">
      <c r="A614" s="136"/>
      <c r="B614" s="212"/>
      <c r="C614" s="138"/>
      <c r="D614" s="138"/>
      <c r="E614" s="138"/>
      <c r="F614" s="138"/>
      <c r="G614" s="138"/>
      <c r="H614" s="139"/>
      <c r="I614" s="138"/>
      <c r="J614" s="138"/>
      <c r="K614" s="138"/>
      <c r="L614" s="138"/>
      <c r="M614" s="139"/>
      <c r="N614" s="138"/>
      <c r="O614" s="138"/>
      <c r="P614" s="138"/>
      <c r="Q614" s="139"/>
      <c r="R614" s="139"/>
      <c r="S614" s="212"/>
      <c r="T614" s="138"/>
    </row>
    <row r="615" spans="1:20" ht="34.950000000000003" customHeight="1" x14ac:dyDescent="0.3">
      <c r="A615" s="136"/>
      <c r="B615" s="212"/>
      <c r="C615" s="138"/>
      <c r="D615" s="138"/>
      <c r="E615" s="138"/>
      <c r="F615" s="138"/>
      <c r="G615" s="138"/>
      <c r="H615" s="139"/>
      <c r="I615" s="138"/>
      <c r="J615" s="138"/>
      <c r="K615" s="138"/>
      <c r="L615" s="138"/>
      <c r="M615" s="139"/>
      <c r="N615" s="138"/>
      <c r="O615" s="138"/>
      <c r="P615" s="138"/>
      <c r="Q615" s="139"/>
      <c r="R615" s="139"/>
      <c r="S615" s="212"/>
      <c r="T615" s="138"/>
    </row>
    <row r="616" spans="1:20" ht="34.950000000000003" customHeight="1" x14ac:dyDescent="0.3">
      <c r="A616" s="136"/>
      <c r="B616" s="212"/>
      <c r="C616" s="138"/>
      <c r="D616" s="138"/>
      <c r="E616" s="138"/>
      <c r="F616" s="138"/>
      <c r="G616" s="138"/>
      <c r="H616" s="139"/>
      <c r="I616" s="138"/>
      <c r="J616" s="138"/>
      <c r="K616" s="138"/>
      <c r="L616" s="138"/>
      <c r="M616" s="139"/>
      <c r="N616" s="138"/>
      <c r="O616" s="138"/>
      <c r="P616" s="138"/>
      <c r="Q616" s="139"/>
      <c r="R616" s="139"/>
      <c r="S616" s="212"/>
      <c r="T616" s="138"/>
    </row>
    <row r="617" spans="1:20" ht="34.950000000000003" customHeight="1" x14ac:dyDescent="0.3">
      <c r="A617" s="136"/>
      <c r="B617" s="212"/>
      <c r="C617" s="138"/>
      <c r="D617" s="138"/>
      <c r="E617" s="138"/>
      <c r="F617" s="138"/>
      <c r="G617" s="138"/>
      <c r="H617" s="139"/>
      <c r="I617" s="138"/>
      <c r="J617" s="138"/>
      <c r="K617" s="138"/>
      <c r="L617" s="138"/>
      <c r="M617" s="139"/>
      <c r="N617" s="138"/>
      <c r="O617" s="138"/>
      <c r="P617" s="138"/>
      <c r="Q617" s="139"/>
      <c r="R617" s="139"/>
      <c r="S617" s="212"/>
      <c r="T617" s="138"/>
    </row>
    <row r="618" spans="1:20" ht="34.950000000000003" customHeight="1" x14ac:dyDescent="0.3">
      <c r="A618" s="136"/>
      <c r="B618" s="212"/>
      <c r="C618" s="138"/>
      <c r="D618" s="138"/>
      <c r="E618" s="138"/>
      <c r="F618" s="138"/>
      <c r="G618" s="138"/>
      <c r="H618" s="139"/>
      <c r="I618" s="138"/>
      <c r="J618" s="138"/>
      <c r="K618" s="138"/>
      <c r="L618" s="138"/>
      <c r="M618" s="139"/>
      <c r="N618" s="138"/>
      <c r="O618" s="138"/>
      <c r="P618" s="138"/>
      <c r="Q618" s="139"/>
      <c r="R618" s="139"/>
      <c r="S618" s="212"/>
      <c r="T618" s="138"/>
    </row>
    <row r="619" spans="1:20" ht="34.950000000000003" customHeight="1" x14ac:dyDescent="0.3">
      <c r="A619" s="136"/>
      <c r="B619" s="212"/>
      <c r="C619" s="138"/>
      <c r="D619" s="138"/>
      <c r="E619" s="138"/>
      <c r="F619" s="138"/>
      <c r="G619" s="138"/>
      <c r="H619" s="139"/>
      <c r="I619" s="138"/>
      <c r="J619" s="138"/>
      <c r="K619" s="138"/>
      <c r="L619" s="138"/>
      <c r="M619" s="139"/>
      <c r="N619" s="138"/>
      <c r="O619" s="138"/>
      <c r="P619" s="138"/>
      <c r="Q619" s="139"/>
      <c r="R619" s="139"/>
      <c r="S619" s="212"/>
      <c r="T619" s="138"/>
    </row>
    <row r="620" spans="1:20" ht="34.950000000000003" customHeight="1" x14ac:dyDescent="0.3">
      <c r="A620" s="136"/>
      <c r="B620" s="212"/>
      <c r="C620" s="138"/>
      <c r="D620" s="138"/>
      <c r="E620" s="138"/>
      <c r="F620" s="138"/>
      <c r="G620" s="138"/>
      <c r="H620" s="139"/>
      <c r="I620" s="138"/>
      <c r="J620" s="138"/>
      <c r="K620" s="138"/>
      <c r="L620" s="138"/>
      <c r="M620" s="139"/>
      <c r="N620" s="138"/>
      <c r="O620" s="138"/>
      <c r="P620" s="138"/>
      <c r="Q620" s="139"/>
      <c r="R620" s="139"/>
      <c r="S620" s="212"/>
      <c r="T620" s="138"/>
    </row>
    <row r="621" spans="1:20" ht="34.950000000000003" customHeight="1" x14ac:dyDescent="0.3">
      <c r="A621" s="136"/>
      <c r="B621" s="212"/>
      <c r="C621" s="138"/>
      <c r="D621" s="138"/>
      <c r="E621" s="138"/>
      <c r="F621" s="138"/>
      <c r="G621" s="138"/>
      <c r="H621" s="139"/>
      <c r="I621" s="138"/>
      <c r="J621" s="138"/>
      <c r="K621" s="138"/>
      <c r="L621" s="138"/>
      <c r="M621" s="139"/>
      <c r="N621" s="138"/>
      <c r="O621" s="138"/>
      <c r="P621" s="138"/>
      <c r="Q621" s="139"/>
      <c r="R621" s="139"/>
      <c r="S621" s="212"/>
      <c r="T621" s="138"/>
    </row>
    <row r="622" spans="1:20" ht="34.950000000000003" customHeight="1" x14ac:dyDescent="0.3">
      <c r="A622" s="136"/>
      <c r="B622" s="212"/>
      <c r="C622" s="138"/>
      <c r="D622" s="138"/>
      <c r="E622" s="138"/>
      <c r="F622" s="138"/>
      <c r="G622" s="138"/>
      <c r="H622" s="139"/>
      <c r="I622" s="138"/>
      <c r="J622" s="138"/>
      <c r="K622" s="138"/>
      <c r="L622" s="138"/>
      <c r="M622" s="139"/>
      <c r="N622" s="138"/>
      <c r="O622" s="138"/>
      <c r="P622" s="138"/>
      <c r="Q622" s="139"/>
      <c r="R622" s="139"/>
      <c r="S622" s="212"/>
      <c r="T622" s="138"/>
    </row>
    <row r="623" spans="1:20" ht="34.950000000000003" customHeight="1" x14ac:dyDescent="0.3">
      <c r="A623" s="136"/>
      <c r="B623" s="212"/>
      <c r="C623" s="138"/>
      <c r="D623" s="138"/>
      <c r="E623" s="138"/>
      <c r="F623" s="138"/>
      <c r="G623" s="138"/>
      <c r="H623" s="139"/>
      <c r="I623" s="138"/>
      <c r="J623" s="138"/>
      <c r="K623" s="138"/>
      <c r="L623" s="138"/>
      <c r="M623" s="139"/>
      <c r="N623" s="138"/>
      <c r="O623" s="138"/>
      <c r="P623" s="138"/>
      <c r="Q623" s="139"/>
      <c r="R623" s="139"/>
      <c r="S623" s="212"/>
      <c r="T623" s="138"/>
    </row>
    <row r="624" spans="1:20" ht="34.950000000000003" customHeight="1" x14ac:dyDescent="0.3">
      <c r="A624" s="136"/>
      <c r="B624" s="212"/>
      <c r="C624" s="138"/>
      <c r="D624" s="138"/>
      <c r="E624" s="138"/>
      <c r="F624" s="138"/>
      <c r="G624" s="138"/>
      <c r="H624" s="139"/>
      <c r="I624" s="138"/>
      <c r="J624" s="138"/>
      <c r="K624" s="138"/>
      <c r="L624" s="138"/>
      <c r="M624" s="139"/>
      <c r="N624" s="138"/>
      <c r="O624" s="138"/>
      <c r="P624" s="138"/>
      <c r="Q624" s="139"/>
      <c r="R624" s="139"/>
      <c r="S624" s="212"/>
      <c r="T624" s="138"/>
    </row>
    <row r="625" spans="1:20" ht="34.950000000000003" customHeight="1" x14ac:dyDescent="0.3">
      <c r="A625" s="136"/>
      <c r="B625" s="212"/>
      <c r="C625" s="138"/>
      <c r="D625" s="138"/>
      <c r="E625" s="138"/>
      <c r="F625" s="138"/>
      <c r="G625" s="138"/>
      <c r="H625" s="139"/>
      <c r="I625" s="138"/>
      <c r="J625" s="138"/>
      <c r="K625" s="138"/>
      <c r="L625" s="138"/>
      <c r="M625" s="139"/>
      <c r="N625" s="138"/>
      <c r="O625" s="138"/>
      <c r="P625" s="138"/>
      <c r="Q625" s="139"/>
      <c r="R625" s="139"/>
      <c r="S625" s="212"/>
      <c r="T625" s="138"/>
    </row>
    <row r="626" spans="1:20" ht="34.950000000000003" customHeight="1" x14ac:dyDescent="0.3">
      <c r="A626" s="136"/>
      <c r="B626" s="212"/>
      <c r="C626" s="138"/>
      <c r="D626" s="138"/>
      <c r="E626" s="138"/>
      <c r="F626" s="138"/>
      <c r="G626" s="138"/>
      <c r="H626" s="139"/>
      <c r="I626" s="138"/>
      <c r="J626" s="138"/>
      <c r="K626" s="138"/>
      <c r="L626" s="138"/>
      <c r="M626" s="139"/>
      <c r="N626" s="138"/>
      <c r="O626" s="138"/>
      <c r="P626" s="138"/>
      <c r="Q626" s="139"/>
      <c r="R626" s="139"/>
      <c r="S626" s="212"/>
      <c r="T626" s="138"/>
    </row>
    <row r="627" spans="1:20" ht="34.950000000000003" customHeight="1" x14ac:dyDescent="0.3">
      <c r="A627" s="136"/>
      <c r="B627" s="212"/>
      <c r="C627" s="138"/>
      <c r="D627" s="138"/>
      <c r="E627" s="138"/>
      <c r="F627" s="138"/>
      <c r="G627" s="138"/>
      <c r="H627" s="139"/>
      <c r="I627" s="138"/>
      <c r="J627" s="138"/>
      <c r="K627" s="138"/>
      <c r="L627" s="138"/>
      <c r="M627" s="139"/>
      <c r="N627" s="138"/>
      <c r="O627" s="138"/>
      <c r="P627" s="138"/>
      <c r="Q627" s="139"/>
      <c r="R627" s="139"/>
      <c r="S627" s="212"/>
      <c r="T627" s="138"/>
    </row>
    <row r="628" spans="1:20" ht="34.950000000000003" customHeight="1" x14ac:dyDescent="0.3">
      <c r="A628" s="136"/>
      <c r="B628" s="212"/>
      <c r="C628" s="138"/>
      <c r="D628" s="138"/>
      <c r="E628" s="138"/>
      <c r="F628" s="138"/>
      <c r="G628" s="138"/>
      <c r="H628" s="139"/>
      <c r="I628" s="138"/>
      <c r="J628" s="138"/>
      <c r="K628" s="138"/>
      <c r="L628" s="138"/>
      <c r="M628" s="139"/>
      <c r="N628" s="138"/>
      <c r="O628" s="138"/>
      <c r="P628" s="138"/>
      <c r="Q628" s="139"/>
      <c r="R628" s="139"/>
      <c r="S628" s="212"/>
      <c r="T628" s="138"/>
    </row>
    <row r="629" spans="1:20" ht="34.950000000000003" customHeight="1" x14ac:dyDescent="0.3">
      <c r="A629" s="136"/>
      <c r="B629" s="212"/>
      <c r="C629" s="138"/>
      <c r="D629" s="138"/>
      <c r="E629" s="138"/>
      <c r="F629" s="138"/>
      <c r="G629" s="138"/>
      <c r="H629" s="139"/>
      <c r="I629" s="138"/>
      <c r="J629" s="138"/>
      <c r="K629" s="138"/>
      <c r="L629" s="138"/>
      <c r="M629" s="139"/>
      <c r="N629" s="138"/>
      <c r="O629" s="138"/>
      <c r="P629" s="138"/>
      <c r="Q629" s="139"/>
      <c r="R629" s="139"/>
      <c r="S629" s="212"/>
      <c r="T629" s="138"/>
    </row>
    <row r="630" spans="1:20" ht="34.950000000000003" customHeight="1" x14ac:dyDescent="0.3">
      <c r="A630" s="136"/>
      <c r="B630" s="212"/>
      <c r="C630" s="138"/>
      <c r="D630" s="138"/>
      <c r="E630" s="138"/>
      <c r="F630" s="138"/>
      <c r="G630" s="138"/>
      <c r="H630" s="139"/>
      <c r="I630" s="138"/>
      <c r="J630" s="138"/>
      <c r="K630" s="138"/>
      <c r="L630" s="138"/>
      <c r="M630" s="139"/>
      <c r="N630" s="138"/>
      <c r="O630" s="138"/>
      <c r="P630" s="138"/>
      <c r="Q630" s="139"/>
      <c r="R630" s="139"/>
      <c r="S630" s="212"/>
      <c r="T630" s="138"/>
    </row>
    <row r="631" spans="1:20" ht="34.950000000000003" customHeight="1" x14ac:dyDescent="0.3">
      <c r="A631" s="136"/>
      <c r="B631" s="212"/>
      <c r="C631" s="138"/>
      <c r="D631" s="138"/>
      <c r="E631" s="138"/>
      <c r="F631" s="138"/>
      <c r="G631" s="138"/>
      <c r="H631" s="139"/>
      <c r="I631" s="138"/>
      <c r="J631" s="138"/>
      <c r="K631" s="138"/>
      <c r="L631" s="138"/>
      <c r="M631" s="139"/>
      <c r="N631" s="138"/>
      <c r="O631" s="138"/>
      <c r="P631" s="138"/>
      <c r="Q631" s="139"/>
      <c r="R631" s="139"/>
      <c r="S631" s="212"/>
      <c r="T631" s="138"/>
    </row>
    <row r="632" spans="1:20" ht="34.950000000000003" customHeight="1" x14ac:dyDescent="0.3">
      <c r="A632" s="136"/>
      <c r="B632" s="212"/>
      <c r="C632" s="138"/>
      <c r="D632" s="138"/>
      <c r="E632" s="138"/>
      <c r="F632" s="138"/>
      <c r="G632" s="138"/>
      <c r="H632" s="139"/>
      <c r="I632" s="138"/>
      <c r="J632" s="138"/>
      <c r="K632" s="138"/>
      <c r="L632" s="138"/>
      <c r="M632" s="139"/>
      <c r="N632" s="138"/>
      <c r="O632" s="138"/>
      <c r="P632" s="138"/>
      <c r="Q632" s="139"/>
      <c r="R632" s="139"/>
      <c r="S632" s="212"/>
      <c r="T632" s="138"/>
    </row>
    <row r="633" spans="1:20" ht="34.950000000000003" customHeight="1" x14ac:dyDescent="0.3">
      <c r="A633" s="136"/>
      <c r="B633" s="212"/>
      <c r="C633" s="138"/>
      <c r="D633" s="138"/>
      <c r="E633" s="138"/>
      <c r="F633" s="138"/>
      <c r="G633" s="138"/>
      <c r="H633" s="139"/>
      <c r="I633" s="138"/>
      <c r="J633" s="138"/>
      <c r="K633" s="138"/>
      <c r="L633" s="138"/>
      <c r="M633" s="139"/>
      <c r="N633" s="138"/>
      <c r="O633" s="138"/>
      <c r="P633" s="138"/>
      <c r="Q633" s="139"/>
      <c r="R633" s="139"/>
      <c r="S633" s="212"/>
      <c r="T633" s="138"/>
    </row>
    <row r="634" spans="1:20" ht="34.950000000000003" customHeight="1" x14ac:dyDescent="0.3">
      <c r="A634" s="136"/>
      <c r="B634" s="212"/>
      <c r="C634" s="138"/>
      <c r="D634" s="138"/>
      <c r="E634" s="138"/>
      <c r="F634" s="138"/>
      <c r="G634" s="138"/>
      <c r="H634" s="139"/>
      <c r="I634" s="138"/>
      <c r="J634" s="138"/>
      <c r="K634" s="138"/>
      <c r="L634" s="138"/>
      <c r="M634" s="139"/>
      <c r="N634" s="138"/>
      <c r="O634" s="138"/>
      <c r="P634" s="138"/>
      <c r="Q634" s="139"/>
      <c r="R634" s="139"/>
      <c r="S634" s="212"/>
      <c r="T634" s="138"/>
    </row>
    <row r="635" spans="1:20" ht="34.950000000000003" customHeight="1" x14ac:dyDescent="0.3">
      <c r="A635" s="136"/>
      <c r="B635" s="212"/>
      <c r="C635" s="138"/>
      <c r="D635" s="138"/>
      <c r="E635" s="138"/>
      <c r="F635" s="138"/>
      <c r="G635" s="138"/>
      <c r="H635" s="139"/>
      <c r="I635" s="138"/>
      <c r="J635" s="138"/>
      <c r="K635" s="138"/>
      <c r="L635" s="138"/>
      <c r="M635" s="139"/>
      <c r="N635" s="138"/>
      <c r="O635" s="138"/>
      <c r="P635" s="138"/>
      <c r="Q635" s="139"/>
      <c r="R635" s="139"/>
      <c r="S635" s="212"/>
      <c r="T635" s="138"/>
    </row>
    <row r="636" spans="1:20" ht="34.950000000000003" customHeight="1" x14ac:dyDescent="0.3">
      <c r="A636" s="136"/>
      <c r="B636" s="212"/>
      <c r="C636" s="138"/>
      <c r="D636" s="138"/>
      <c r="E636" s="138"/>
      <c r="F636" s="138"/>
      <c r="G636" s="138"/>
      <c r="H636" s="139"/>
      <c r="I636" s="138"/>
      <c r="J636" s="138"/>
      <c r="K636" s="138"/>
      <c r="L636" s="138"/>
      <c r="M636" s="139"/>
      <c r="N636" s="138"/>
      <c r="O636" s="138"/>
      <c r="P636" s="138"/>
      <c r="Q636" s="139"/>
      <c r="R636" s="139"/>
      <c r="S636" s="212"/>
      <c r="T636" s="138"/>
    </row>
    <row r="637" spans="1:20" ht="34.950000000000003" customHeight="1" x14ac:dyDescent="0.3">
      <c r="A637" s="136"/>
      <c r="B637" s="212"/>
      <c r="C637" s="138"/>
      <c r="D637" s="138"/>
      <c r="E637" s="138"/>
      <c r="F637" s="138"/>
      <c r="G637" s="138"/>
      <c r="H637" s="139"/>
      <c r="I637" s="138"/>
      <c r="J637" s="138"/>
      <c r="K637" s="138"/>
      <c r="L637" s="138"/>
      <c r="M637" s="139"/>
      <c r="N637" s="138"/>
      <c r="O637" s="138"/>
      <c r="P637" s="138"/>
      <c r="Q637" s="139"/>
      <c r="R637" s="139"/>
      <c r="S637" s="212"/>
      <c r="T637" s="138"/>
    </row>
    <row r="638" spans="1:20" ht="34.950000000000003" customHeight="1" x14ac:dyDescent="0.3">
      <c r="A638" s="136"/>
      <c r="B638" s="212"/>
      <c r="C638" s="138"/>
      <c r="D638" s="138"/>
      <c r="E638" s="138"/>
      <c r="F638" s="138"/>
      <c r="G638" s="138"/>
      <c r="H638" s="139"/>
      <c r="I638" s="138"/>
      <c r="J638" s="138"/>
      <c r="K638" s="138"/>
      <c r="L638" s="138"/>
      <c r="M638" s="139"/>
      <c r="N638" s="138"/>
      <c r="O638" s="138"/>
      <c r="P638" s="138"/>
      <c r="Q638" s="139"/>
      <c r="R638" s="139"/>
      <c r="S638" s="212"/>
      <c r="T638" s="138"/>
    </row>
    <row r="639" spans="1:20" ht="34.950000000000003" customHeight="1" x14ac:dyDescent="0.3">
      <c r="A639" s="136"/>
      <c r="B639" s="212"/>
      <c r="C639" s="138"/>
      <c r="D639" s="138"/>
      <c r="E639" s="138"/>
      <c r="F639" s="138"/>
      <c r="G639" s="138"/>
      <c r="H639" s="139"/>
      <c r="I639" s="138"/>
      <c r="J639" s="138"/>
      <c r="K639" s="138"/>
      <c r="L639" s="138"/>
      <c r="M639" s="139"/>
      <c r="N639" s="138"/>
      <c r="O639" s="138"/>
      <c r="P639" s="138"/>
      <c r="Q639" s="139"/>
      <c r="R639" s="139"/>
      <c r="S639" s="212"/>
      <c r="T639" s="138"/>
    </row>
    <row r="640" spans="1:20" ht="34.950000000000003" customHeight="1" x14ac:dyDescent="0.3">
      <c r="A640" s="136"/>
      <c r="B640" s="212"/>
      <c r="C640" s="138"/>
      <c r="D640" s="138"/>
      <c r="E640" s="138"/>
      <c r="F640" s="138"/>
      <c r="G640" s="138"/>
      <c r="H640" s="139"/>
      <c r="I640" s="138"/>
      <c r="J640" s="138"/>
      <c r="K640" s="138"/>
      <c r="L640" s="138"/>
      <c r="M640" s="139"/>
      <c r="N640" s="138"/>
      <c r="O640" s="138"/>
      <c r="P640" s="138"/>
      <c r="Q640" s="139"/>
      <c r="R640" s="139"/>
      <c r="S640" s="212"/>
      <c r="T640" s="138"/>
    </row>
    <row r="641" spans="1:20" ht="34.950000000000003" customHeight="1" x14ac:dyDescent="0.3">
      <c r="A641" s="136"/>
      <c r="B641" s="212"/>
      <c r="C641" s="138"/>
      <c r="D641" s="138"/>
      <c r="E641" s="138"/>
      <c r="F641" s="138"/>
      <c r="G641" s="138"/>
      <c r="H641" s="139"/>
      <c r="I641" s="138"/>
      <c r="J641" s="138"/>
      <c r="K641" s="138"/>
      <c r="L641" s="138"/>
      <c r="M641" s="139"/>
      <c r="N641" s="138"/>
      <c r="O641" s="138"/>
      <c r="P641" s="138"/>
      <c r="Q641" s="139"/>
      <c r="R641" s="139"/>
      <c r="S641" s="212"/>
      <c r="T641" s="138"/>
    </row>
    <row r="642" spans="1:20" ht="34.950000000000003" customHeight="1" x14ac:dyDescent="0.3">
      <c r="A642" s="136"/>
      <c r="B642" s="212"/>
      <c r="C642" s="138"/>
      <c r="D642" s="138"/>
      <c r="E642" s="138"/>
      <c r="F642" s="138"/>
      <c r="G642" s="138"/>
      <c r="H642" s="139"/>
      <c r="I642" s="138"/>
      <c r="J642" s="138"/>
      <c r="K642" s="138"/>
      <c r="L642" s="138"/>
      <c r="M642" s="139"/>
      <c r="N642" s="138"/>
      <c r="O642" s="138"/>
      <c r="P642" s="138"/>
      <c r="Q642" s="139"/>
      <c r="R642" s="139"/>
      <c r="S642" s="212"/>
      <c r="T642" s="138"/>
    </row>
    <row r="643" spans="1:20" ht="34.950000000000003" customHeight="1" x14ac:dyDescent="0.3">
      <c r="A643" s="136"/>
      <c r="B643" s="212"/>
      <c r="C643" s="138"/>
      <c r="D643" s="138"/>
      <c r="E643" s="138"/>
      <c r="F643" s="138"/>
      <c r="G643" s="138"/>
      <c r="H643" s="139"/>
      <c r="I643" s="138"/>
      <c r="J643" s="138"/>
      <c r="K643" s="138"/>
      <c r="L643" s="138"/>
      <c r="M643" s="139"/>
      <c r="N643" s="138"/>
      <c r="O643" s="138"/>
      <c r="P643" s="138"/>
      <c r="Q643" s="139"/>
      <c r="R643" s="139"/>
      <c r="S643" s="212"/>
      <c r="T643" s="138"/>
    </row>
    <row r="644" spans="1:20" ht="34.950000000000003" customHeight="1" x14ac:dyDescent="0.3">
      <c r="A644" s="136"/>
      <c r="B644" s="212"/>
      <c r="C644" s="138"/>
      <c r="D644" s="138"/>
      <c r="E644" s="138"/>
      <c r="F644" s="138"/>
      <c r="G644" s="138"/>
      <c r="H644" s="139"/>
      <c r="I644" s="138"/>
      <c r="J644" s="138"/>
      <c r="K644" s="138"/>
      <c r="L644" s="138"/>
      <c r="M644" s="139"/>
      <c r="N644" s="138"/>
      <c r="O644" s="138"/>
      <c r="P644" s="138"/>
      <c r="Q644" s="139"/>
      <c r="R644" s="139"/>
      <c r="S644" s="212"/>
      <c r="T644" s="138"/>
    </row>
    <row r="645" spans="1:20" ht="34.950000000000003" customHeight="1" x14ac:dyDescent="0.3">
      <c r="A645" s="136"/>
      <c r="B645" s="212"/>
      <c r="C645" s="138"/>
      <c r="D645" s="138"/>
      <c r="E645" s="138"/>
      <c r="F645" s="138"/>
      <c r="G645" s="138"/>
      <c r="H645" s="139"/>
      <c r="I645" s="138"/>
      <c r="J645" s="138"/>
      <c r="K645" s="138"/>
      <c r="L645" s="138"/>
      <c r="M645" s="139"/>
      <c r="N645" s="138"/>
      <c r="O645" s="138"/>
      <c r="P645" s="138"/>
      <c r="Q645" s="139"/>
      <c r="R645" s="139"/>
      <c r="S645" s="212"/>
      <c r="T645" s="138"/>
    </row>
    <row r="646" spans="1:20" ht="34.950000000000003" customHeight="1" x14ac:dyDescent="0.3">
      <c r="A646" s="136"/>
      <c r="B646" s="212"/>
      <c r="C646" s="138"/>
      <c r="D646" s="138"/>
      <c r="E646" s="138"/>
      <c r="F646" s="138"/>
      <c r="G646" s="138"/>
      <c r="H646" s="139"/>
      <c r="I646" s="138"/>
      <c r="J646" s="138"/>
      <c r="K646" s="138"/>
      <c r="L646" s="138"/>
      <c r="M646" s="139"/>
      <c r="N646" s="138"/>
      <c r="O646" s="138"/>
      <c r="P646" s="138"/>
      <c r="Q646" s="139"/>
      <c r="R646" s="139"/>
      <c r="S646" s="212"/>
      <c r="T646" s="138"/>
    </row>
    <row r="647" spans="1:20" ht="34.950000000000003" customHeight="1" x14ac:dyDescent="0.3">
      <c r="A647" s="136"/>
      <c r="B647" s="212"/>
      <c r="C647" s="138"/>
      <c r="D647" s="138"/>
      <c r="E647" s="138"/>
      <c r="F647" s="138"/>
      <c r="G647" s="138"/>
      <c r="H647" s="139"/>
      <c r="I647" s="138"/>
      <c r="J647" s="138"/>
      <c r="K647" s="138"/>
      <c r="L647" s="138"/>
      <c r="M647" s="139"/>
      <c r="N647" s="138"/>
      <c r="O647" s="138"/>
      <c r="P647" s="138"/>
      <c r="Q647" s="139"/>
      <c r="R647" s="139"/>
      <c r="S647" s="212"/>
      <c r="T647" s="138"/>
    </row>
    <row r="648" spans="1:20" ht="34.950000000000003" customHeight="1" x14ac:dyDescent="0.3">
      <c r="A648" s="136"/>
      <c r="B648" s="212"/>
      <c r="C648" s="138"/>
      <c r="D648" s="138"/>
      <c r="E648" s="138"/>
      <c r="F648" s="138"/>
      <c r="G648" s="138"/>
      <c r="H648" s="139"/>
      <c r="I648" s="138"/>
      <c r="J648" s="138"/>
      <c r="K648" s="138"/>
      <c r="L648" s="138"/>
      <c r="M648" s="139"/>
      <c r="N648" s="138"/>
      <c r="O648" s="138"/>
      <c r="P648" s="138"/>
      <c r="Q648" s="139"/>
      <c r="R648" s="139"/>
      <c r="S648" s="212"/>
      <c r="T648" s="138"/>
    </row>
    <row r="649" spans="1:20" ht="34.950000000000003" customHeight="1" x14ac:dyDescent="0.3">
      <c r="A649" s="136"/>
      <c r="B649" s="212"/>
      <c r="C649" s="138"/>
      <c r="D649" s="138"/>
      <c r="E649" s="138"/>
      <c r="F649" s="138"/>
      <c r="G649" s="138"/>
      <c r="H649" s="139"/>
      <c r="I649" s="138"/>
      <c r="J649" s="138"/>
      <c r="K649" s="138"/>
      <c r="L649" s="138"/>
      <c r="M649" s="139"/>
      <c r="N649" s="138"/>
      <c r="O649" s="138"/>
      <c r="P649" s="138"/>
      <c r="Q649" s="139"/>
      <c r="R649" s="139"/>
      <c r="S649" s="212"/>
      <c r="T649" s="138"/>
    </row>
    <row r="650" spans="1:20" ht="34.950000000000003" customHeight="1" x14ac:dyDescent="0.3">
      <c r="A650" s="136"/>
      <c r="B650" s="212"/>
      <c r="C650" s="138"/>
      <c r="D650" s="138"/>
      <c r="E650" s="138"/>
      <c r="F650" s="138"/>
      <c r="G650" s="138"/>
      <c r="H650" s="139"/>
      <c r="I650" s="138"/>
      <c r="J650" s="138"/>
      <c r="K650" s="138"/>
      <c r="L650" s="138"/>
      <c r="M650" s="139"/>
      <c r="N650" s="138"/>
      <c r="O650" s="138"/>
      <c r="P650" s="138"/>
      <c r="Q650" s="139"/>
      <c r="R650" s="139"/>
      <c r="S650" s="212"/>
      <c r="T650" s="138"/>
    </row>
    <row r="651" spans="1:20" ht="34.950000000000003" customHeight="1" x14ac:dyDescent="0.3">
      <c r="A651" s="136"/>
      <c r="B651" s="212"/>
      <c r="C651" s="138"/>
      <c r="D651" s="138"/>
      <c r="E651" s="138"/>
      <c r="F651" s="138"/>
      <c r="G651" s="138"/>
      <c r="H651" s="139"/>
      <c r="I651" s="138"/>
      <c r="J651" s="138"/>
      <c r="K651" s="138"/>
      <c r="L651" s="138"/>
      <c r="M651" s="139"/>
      <c r="N651" s="138"/>
      <c r="O651" s="138"/>
      <c r="P651" s="138"/>
      <c r="Q651" s="139"/>
      <c r="R651" s="139"/>
      <c r="S651" s="212"/>
      <c r="T651" s="138"/>
    </row>
    <row r="652" spans="1:20" ht="34.950000000000003" customHeight="1" x14ac:dyDescent="0.3">
      <c r="A652" s="136"/>
      <c r="B652" s="212"/>
      <c r="C652" s="138"/>
      <c r="D652" s="138"/>
      <c r="E652" s="138"/>
      <c r="F652" s="138"/>
      <c r="G652" s="138"/>
      <c r="H652" s="139"/>
      <c r="I652" s="138"/>
      <c r="J652" s="138"/>
      <c r="K652" s="138"/>
      <c r="L652" s="138"/>
      <c r="M652" s="139"/>
      <c r="N652" s="138"/>
      <c r="O652" s="138"/>
      <c r="P652" s="138"/>
      <c r="Q652" s="139"/>
      <c r="R652" s="139"/>
      <c r="S652" s="212"/>
      <c r="T652" s="138"/>
    </row>
    <row r="653" spans="1:20" ht="34.950000000000003" customHeight="1" x14ac:dyDescent="0.3">
      <c r="A653" s="136"/>
      <c r="B653" s="212"/>
      <c r="C653" s="138"/>
      <c r="D653" s="138"/>
      <c r="E653" s="138"/>
      <c r="F653" s="138"/>
      <c r="G653" s="138"/>
      <c r="H653" s="139"/>
      <c r="I653" s="138"/>
      <c r="J653" s="138"/>
      <c r="K653" s="138"/>
      <c r="L653" s="138"/>
      <c r="M653" s="139"/>
      <c r="N653" s="138"/>
      <c r="O653" s="138"/>
      <c r="P653" s="138"/>
      <c r="Q653" s="139"/>
      <c r="R653" s="139"/>
      <c r="S653" s="212"/>
      <c r="T653" s="138"/>
    </row>
    <row r="654" spans="1:20" ht="34.950000000000003" customHeight="1" x14ac:dyDescent="0.3">
      <c r="A654" s="136"/>
      <c r="B654" s="212"/>
      <c r="C654" s="138"/>
      <c r="D654" s="138"/>
      <c r="E654" s="138"/>
      <c r="F654" s="138"/>
      <c r="G654" s="138"/>
      <c r="H654" s="139"/>
      <c r="I654" s="138"/>
      <c r="J654" s="138"/>
      <c r="K654" s="138"/>
      <c r="L654" s="138"/>
      <c r="M654" s="139"/>
      <c r="N654" s="138"/>
      <c r="O654" s="138"/>
      <c r="P654" s="138"/>
      <c r="Q654" s="139"/>
      <c r="R654" s="139"/>
      <c r="S654" s="212"/>
      <c r="T654" s="138"/>
    </row>
    <row r="655" spans="1:20" ht="34.950000000000003" customHeight="1" x14ac:dyDescent="0.3">
      <c r="A655" s="136"/>
      <c r="B655" s="212"/>
      <c r="C655" s="138"/>
      <c r="D655" s="138"/>
      <c r="E655" s="138"/>
      <c r="F655" s="138"/>
      <c r="G655" s="138"/>
      <c r="H655" s="139"/>
      <c r="I655" s="138"/>
      <c r="J655" s="138"/>
      <c r="K655" s="138"/>
      <c r="L655" s="138"/>
      <c r="M655" s="139"/>
      <c r="N655" s="138"/>
      <c r="O655" s="138"/>
      <c r="P655" s="138"/>
      <c r="Q655" s="139"/>
      <c r="R655" s="139"/>
      <c r="S655" s="212"/>
      <c r="T655" s="138"/>
    </row>
    <row r="656" spans="1:20" ht="34.950000000000003" customHeight="1" x14ac:dyDescent="0.3">
      <c r="A656" s="136"/>
      <c r="B656" s="212"/>
      <c r="C656" s="138"/>
      <c r="D656" s="138"/>
      <c r="E656" s="138"/>
      <c r="F656" s="138"/>
      <c r="G656" s="138"/>
      <c r="H656" s="139"/>
      <c r="I656" s="138"/>
      <c r="J656" s="138"/>
      <c r="K656" s="138"/>
      <c r="L656" s="138"/>
      <c r="M656" s="139"/>
      <c r="N656" s="138"/>
      <c r="O656" s="138"/>
      <c r="P656" s="138"/>
      <c r="Q656" s="139"/>
      <c r="R656" s="139"/>
      <c r="S656" s="212"/>
      <c r="T656" s="138"/>
    </row>
    <row r="657" spans="1:20" ht="34.950000000000003" customHeight="1" x14ac:dyDescent="0.3">
      <c r="A657" s="136"/>
      <c r="B657" s="212"/>
      <c r="C657" s="138"/>
      <c r="D657" s="138"/>
      <c r="E657" s="138"/>
      <c r="F657" s="138"/>
      <c r="G657" s="138"/>
      <c r="H657" s="139"/>
      <c r="I657" s="138"/>
      <c r="J657" s="138"/>
      <c r="K657" s="138"/>
      <c r="L657" s="138"/>
      <c r="M657" s="139"/>
      <c r="N657" s="138"/>
      <c r="O657" s="138"/>
      <c r="P657" s="138"/>
      <c r="Q657" s="139"/>
      <c r="R657" s="139"/>
      <c r="S657" s="212"/>
      <c r="T657" s="138"/>
    </row>
    <row r="658" spans="1:20" ht="34.950000000000003" customHeight="1" x14ac:dyDescent="0.3">
      <c r="A658" s="136"/>
      <c r="B658" s="212"/>
      <c r="C658" s="138"/>
      <c r="D658" s="138"/>
      <c r="E658" s="138"/>
      <c r="F658" s="138"/>
      <c r="G658" s="138"/>
      <c r="H658" s="139"/>
      <c r="I658" s="138"/>
      <c r="J658" s="138"/>
      <c r="K658" s="138"/>
      <c r="L658" s="138"/>
      <c r="M658" s="139"/>
      <c r="N658" s="138"/>
      <c r="O658" s="138"/>
      <c r="P658" s="138"/>
      <c r="Q658" s="139"/>
      <c r="R658" s="139"/>
      <c r="S658" s="212"/>
      <c r="T658" s="138"/>
    </row>
    <row r="659" spans="1:20" ht="34.950000000000003" customHeight="1" x14ac:dyDescent="0.3">
      <c r="A659" s="136"/>
      <c r="B659" s="212"/>
      <c r="C659" s="138"/>
      <c r="D659" s="138"/>
      <c r="E659" s="138"/>
      <c r="F659" s="138"/>
      <c r="G659" s="138"/>
      <c r="H659" s="139"/>
      <c r="I659" s="138"/>
      <c r="J659" s="138"/>
      <c r="K659" s="138"/>
      <c r="L659" s="138"/>
      <c r="M659" s="139"/>
      <c r="N659" s="138"/>
      <c r="O659" s="138"/>
      <c r="P659" s="138"/>
      <c r="Q659" s="139"/>
      <c r="R659" s="139"/>
      <c r="S659" s="212"/>
      <c r="T659" s="138"/>
    </row>
    <row r="660" spans="1:20" ht="34.950000000000003" customHeight="1" x14ac:dyDescent="0.3">
      <c r="A660" s="136"/>
      <c r="B660" s="212"/>
      <c r="C660" s="138"/>
      <c r="D660" s="138"/>
      <c r="E660" s="138"/>
      <c r="F660" s="138"/>
      <c r="G660" s="138"/>
      <c r="H660" s="139"/>
      <c r="I660" s="138"/>
      <c r="J660" s="138"/>
      <c r="K660" s="138"/>
      <c r="L660" s="138"/>
      <c r="M660" s="139"/>
      <c r="N660" s="138"/>
      <c r="O660" s="138"/>
      <c r="P660" s="138"/>
      <c r="Q660" s="139"/>
      <c r="R660" s="139"/>
      <c r="S660" s="212"/>
      <c r="T660" s="138"/>
    </row>
    <row r="661" spans="1:20" ht="34.950000000000003" customHeight="1" x14ac:dyDescent="0.3">
      <c r="A661" s="136"/>
      <c r="B661" s="212"/>
      <c r="C661" s="138"/>
      <c r="D661" s="138"/>
      <c r="E661" s="138"/>
      <c r="F661" s="138"/>
      <c r="G661" s="138"/>
      <c r="H661" s="139"/>
      <c r="I661" s="138"/>
      <c r="J661" s="138"/>
      <c r="K661" s="138"/>
      <c r="L661" s="138"/>
      <c r="M661" s="139"/>
      <c r="N661" s="138"/>
      <c r="O661" s="138"/>
      <c r="P661" s="138"/>
      <c r="Q661" s="139"/>
      <c r="R661" s="139"/>
      <c r="S661" s="212"/>
      <c r="T661" s="138"/>
    </row>
    <row r="662" spans="1:20" ht="34.950000000000003" customHeight="1" x14ac:dyDescent="0.3">
      <c r="A662" s="136"/>
      <c r="B662" s="212"/>
      <c r="C662" s="138"/>
      <c r="D662" s="138"/>
      <c r="E662" s="138"/>
      <c r="F662" s="138"/>
      <c r="G662" s="138"/>
      <c r="H662" s="139"/>
      <c r="I662" s="138"/>
      <c r="J662" s="138"/>
      <c r="K662" s="138"/>
      <c r="L662" s="138"/>
      <c r="M662" s="139"/>
      <c r="N662" s="138"/>
      <c r="O662" s="138"/>
      <c r="P662" s="138"/>
      <c r="Q662" s="139"/>
      <c r="R662" s="139"/>
      <c r="S662" s="212"/>
      <c r="T662" s="138"/>
    </row>
    <row r="663" spans="1:20" ht="34.950000000000003" customHeight="1" x14ac:dyDescent="0.3">
      <c r="A663" s="136"/>
      <c r="B663" s="212"/>
      <c r="C663" s="138"/>
      <c r="D663" s="138"/>
      <c r="E663" s="138"/>
      <c r="F663" s="138"/>
      <c r="G663" s="138"/>
      <c r="H663" s="139"/>
      <c r="I663" s="138"/>
      <c r="J663" s="138"/>
      <c r="K663" s="138"/>
      <c r="L663" s="138"/>
      <c r="M663" s="139"/>
      <c r="N663" s="138"/>
      <c r="O663" s="138"/>
      <c r="P663" s="138"/>
      <c r="Q663" s="139"/>
      <c r="R663" s="139"/>
      <c r="S663" s="212"/>
      <c r="T663" s="138"/>
    </row>
    <row r="664" spans="1:20" ht="34.950000000000003" customHeight="1" x14ac:dyDescent="0.3">
      <c r="A664" s="136"/>
      <c r="B664" s="212"/>
      <c r="C664" s="138"/>
      <c r="D664" s="138"/>
      <c r="E664" s="138"/>
      <c r="F664" s="138"/>
      <c r="G664" s="138"/>
      <c r="H664" s="139"/>
      <c r="I664" s="138"/>
      <c r="J664" s="138"/>
      <c r="K664" s="138"/>
      <c r="L664" s="138"/>
      <c r="M664" s="139"/>
      <c r="N664" s="138"/>
      <c r="O664" s="138"/>
      <c r="P664" s="138"/>
      <c r="Q664" s="139"/>
      <c r="R664" s="139"/>
      <c r="S664" s="212"/>
      <c r="T664" s="138"/>
    </row>
    <row r="665" spans="1:20" ht="34.950000000000003" customHeight="1" x14ac:dyDescent="0.3">
      <c r="A665" s="136"/>
      <c r="B665" s="212"/>
      <c r="C665" s="138"/>
      <c r="D665" s="138"/>
      <c r="E665" s="138"/>
      <c r="F665" s="138"/>
      <c r="G665" s="138"/>
      <c r="H665" s="139"/>
      <c r="I665" s="138"/>
      <c r="J665" s="138"/>
      <c r="K665" s="138"/>
      <c r="L665" s="138"/>
      <c r="M665" s="139"/>
      <c r="N665" s="138"/>
      <c r="O665" s="138"/>
      <c r="P665" s="138"/>
      <c r="Q665" s="139"/>
      <c r="R665" s="139"/>
      <c r="S665" s="212"/>
      <c r="T665" s="138"/>
    </row>
    <row r="666" spans="1:20" ht="34.950000000000003" customHeight="1" x14ac:dyDescent="0.3">
      <c r="A666" s="136"/>
      <c r="B666" s="212"/>
      <c r="C666" s="138"/>
      <c r="D666" s="138"/>
      <c r="E666" s="138"/>
      <c r="F666" s="138"/>
      <c r="G666" s="138"/>
      <c r="H666" s="139"/>
      <c r="I666" s="138"/>
      <c r="J666" s="138"/>
      <c r="K666" s="138"/>
      <c r="L666" s="138"/>
      <c r="M666" s="139"/>
      <c r="N666" s="138"/>
      <c r="O666" s="138"/>
      <c r="P666" s="138"/>
      <c r="Q666" s="139"/>
      <c r="R666" s="139"/>
      <c r="S666" s="212"/>
      <c r="T666" s="138"/>
    </row>
    <row r="667" spans="1:20" ht="34.950000000000003" customHeight="1" x14ac:dyDescent="0.3">
      <c r="A667" s="136"/>
      <c r="B667" s="212"/>
      <c r="C667" s="138"/>
      <c r="D667" s="138"/>
      <c r="E667" s="138"/>
      <c r="F667" s="138"/>
      <c r="G667" s="138"/>
      <c r="H667" s="139"/>
      <c r="I667" s="138"/>
      <c r="J667" s="138"/>
      <c r="K667" s="138"/>
      <c r="L667" s="138"/>
      <c r="M667" s="139"/>
      <c r="N667" s="138"/>
      <c r="O667" s="138"/>
      <c r="P667" s="138"/>
      <c r="Q667" s="139"/>
      <c r="R667" s="139"/>
      <c r="S667" s="212"/>
      <c r="T667" s="138"/>
    </row>
    <row r="668" spans="1:20" ht="34.950000000000003" customHeight="1" x14ac:dyDescent="0.3">
      <c r="A668" s="136"/>
      <c r="B668" s="212"/>
      <c r="C668" s="138"/>
      <c r="D668" s="138"/>
      <c r="E668" s="138"/>
      <c r="F668" s="138"/>
      <c r="G668" s="138"/>
      <c r="H668" s="139"/>
      <c r="I668" s="138"/>
      <c r="J668" s="138"/>
      <c r="K668" s="138"/>
      <c r="L668" s="138"/>
      <c r="M668" s="139"/>
      <c r="N668" s="138"/>
      <c r="O668" s="138"/>
      <c r="P668" s="138"/>
      <c r="Q668" s="139"/>
      <c r="R668" s="139"/>
      <c r="S668" s="212"/>
      <c r="T668" s="138"/>
    </row>
    <row r="669" spans="1:20" ht="34.950000000000003" customHeight="1" x14ac:dyDescent="0.3">
      <c r="A669" s="136"/>
      <c r="B669" s="212"/>
      <c r="C669" s="138"/>
      <c r="D669" s="138"/>
      <c r="E669" s="138"/>
      <c r="F669" s="138"/>
      <c r="G669" s="138"/>
      <c r="H669" s="139"/>
      <c r="I669" s="138"/>
      <c r="J669" s="138"/>
      <c r="K669" s="138"/>
      <c r="L669" s="138"/>
      <c r="M669" s="139"/>
      <c r="N669" s="138"/>
      <c r="O669" s="138"/>
      <c r="P669" s="138"/>
      <c r="Q669" s="139"/>
      <c r="R669" s="139"/>
      <c r="S669" s="212"/>
      <c r="T669" s="138"/>
    </row>
    <row r="670" spans="1:20" ht="34.950000000000003" customHeight="1" x14ac:dyDescent="0.3">
      <c r="A670" s="136"/>
      <c r="B670" s="212"/>
      <c r="C670" s="138"/>
      <c r="D670" s="138"/>
      <c r="E670" s="138"/>
      <c r="F670" s="138"/>
      <c r="G670" s="138"/>
      <c r="H670" s="139"/>
      <c r="I670" s="138"/>
      <c r="J670" s="138"/>
      <c r="K670" s="138"/>
      <c r="L670" s="138"/>
      <c r="M670" s="139"/>
      <c r="N670" s="138"/>
      <c r="O670" s="138"/>
      <c r="P670" s="138"/>
      <c r="Q670" s="139"/>
      <c r="R670" s="139"/>
      <c r="S670" s="212"/>
      <c r="T670" s="138"/>
    </row>
    <row r="671" spans="1:20" ht="34.950000000000003" customHeight="1" x14ac:dyDescent="0.3">
      <c r="A671" s="136"/>
      <c r="B671" s="212"/>
      <c r="C671" s="138"/>
      <c r="D671" s="138"/>
      <c r="E671" s="138"/>
      <c r="F671" s="138"/>
      <c r="G671" s="138"/>
      <c r="H671" s="139"/>
      <c r="I671" s="138"/>
      <c r="J671" s="138"/>
      <c r="K671" s="138"/>
      <c r="L671" s="138"/>
      <c r="M671" s="139"/>
      <c r="N671" s="138"/>
      <c r="O671" s="138"/>
      <c r="P671" s="138"/>
      <c r="Q671" s="139"/>
      <c r="R671" s="139"/>
      <c r="S671" s="212"/>
      <c r="T671" s="138"/>
    </row>
    <row r="672" spans="1:20" ht="34.950000000000003" customHeight="1" x14ac:dyDescent="0.3">
      <c r="A672" s="136"/>
      <c r="B672" s="212"/>
      <c r="C672" s="138"/>
      <c r="D672" s="138"/>
      <c r="E672" s="138"/>
      <c r="F672" s="138"/>
      <c r="G672" s="138"/>
      <c r="H672" s="139"/>
      <c r="I672" s="138"/>
      <c r="J672" s="138"/>
      <c r="K672" s="138"/>
      <c r="L672" s="138"/>
      <c r="M672" s="139"/>
      <c r="N672" s="138"/>
      <c r="O672" s="138"/>
      <c r="P672" s="138"/>
      <c r="Q672" s="139"/>
      <c r="R672" s="139"/>
      <c r="S672" s="212"/>
      <c r="T672" s="138"/>
    </row>
    <row r="673" spans="1:20" ht="34.950000000000003" customHeight="1" x14ac:dyDescent="0.3">
      <c r="A673" s="136"/>
      <c r="B673" s="212"/>
      <c r="C673" s="138"/>
      <c r="D673" s="138"/>
      <c r="E673" s="138"/>
      <c r="F673" s="138"/>
      <c r="G673" s="138"/>
      <c r="H673" s="139"/>
      <c r="I673" s="138"/>
      <c r="J673" s="138"/>
      <c r="K673" s="138"/>
      <c r="L673" s="138"/>
      <c r="M673" s="139"/>
      <c r="N673" s="138"/>
      <c r="O673" s="138"/>
      <c r="P673" s="138"/>
      <c r="Q673" s="139"/>
      <c r="R673" s="139"/>
      <c r="S673" s="212"/>
      <c r="T673" s="138"/>
    </row>
    <row r="674" spans="1:20" ht="34.950000000000003" customHeight="1" x14ac:dyDescent="0.3">
      <c r="A674" s="136"/>
      <c r="B674" s="212"/>
      <c r="C674" s="138"/>
      <c r="D674" s="138"/>
      <c r="E674" s="138"/>
      <c r="F674" s="138"/>
      <c r="G674" s="138"/>
      <c r="H674" s="139"/>
      <c r="I674" s="138"/>
      <c r="J674" s="138"/>
      <c r="K674" s="138"/>
      <c r="L674" s="138"/>
      <c r="M674" s="139"/>
      <c r="N674" s="138"/>
      <c r="O674" s="138"/>
      <c r="P674" s="138"/>
      <c r="Q674" s="139"/>
      <c r="R674" s="139"/>
      <c r="S674" s="212"/>
      <c r="T674" s="138"/>
    </row>
    <row r="675" spans="1:20" ht="34.950000000000003" customHeight="1" x14ac:dyDescent="0.3">
      <c r="A675" s="136"/>
      <c r="B675" s="212"/>
      <c r="C675" s="138"/>
      <c r="D675" s="138"/>
      <c r="E675" s="138"/>
      <c r="F675" s="138"/>
      <c r="G675" s="138"/>
      <c r="H675" s="139"/>
      <c r="I675" s="138"/>
      <c r="J675" s="138"/>
      <c r="K675" s="138"/>
      <c r="L675" s="138"/>
      <c r="M675" s="139"/>
      <c r="N675" s="138"/>
      <c r="O675" s="138"/>
      <c r="P675" s="138"/>
      <c r="Q675" s="139"/>
      <c r="R675" s="139"/>
      <c r="S675" s="212"/>
      <c r="T675" s="138"/>
    </row>
    <row r="676" spans="1:20" ht="34.950000000000003" customHeight="1" x14ac:dyDescent="0.3">
      <c r="A676" s="136"/>
      <c r="B676" s="212"/>
      <c r="C676" s="138"/>
      <c r="D676" s="138"/>
      <c r="E676" s="138"/>
      <c r="F676" s="138"/>
      <c r="G676" s="138"/>
      <c r="H676" s="139"/>
      <c r="I676" s="138"/>
      <c r="J676" s="138"/>
      <c r="K676" s="138"/>
      <c r="L676" s="138"/>
      <c r="M676" s="139"/>
      <c r="N676" s="138"/>
      <c r="O676" s="138"/>
      <c r="P676" s="138"/>
      <c r="Q676" s="139"/>
      <c r="R676" s="139"/>
      <c r="S676" s="212"/>
      <c r="T676" s="138"/>
    </row>
    <row r="677" spans="1:20" ht="34.950000000000003" customHeight="1" x14ac:dyDescent="0.3">
      <c r="A677" s="136"/>
      <c r="B677" s="212"/>
      <c r="C677" s="138"/>
      <c r="D677" s="138"/>
      <c r="E677" s="138"/>
      <c r="F677" s="138"/>
      <c r="G677" s="138"/>
      <c r="H677" s="139"/>
      <c r="I677" s="138"/>
      <c r="J677" s="138"/>
      <c r="K677" s="138"/>
      <c r="L677" s="138"/>
      <c r="M677" s="139"/>
      <c r="N677" s="138"/>
      <c r="O677" s="138"/>
      <c r="P677" s="138"/>
      <c r="Q677" s="139"/>
      <c r="R677" s="139"/>
      <c r="S677" s="212"/>
      <c r="T677" s="138"/>
    </row>
    <row r="678" spans="1:20" ht="34.950000000000003" customHeight="1" x14ac:dyDescent="0.3">
      <c r="A678" s="136"/>
      <c r="B678" s="212"/>
      <c r="C678" s="138"/>
      <c r="D678" s="138"/>
      <c r="E678" s="138"/>
      <c r="F678" s="138"/>
      <c r="G678" s="138"/>
      <c r="H678" s="139"/>
      <c r="I678" s="138"/>
      <c r="J678" s="138"/>
      <c r="K678" s="138"/>
      <c r="L678" s="138"/>
      <c r="M678" s="139"/>
      <c r="N678" s="138"/>
      <c r="O678" s="138"/>
      <c r="P678" s="138"/>
      <c r="Q678" s="139"/>
      <c r="R678" s="139"/>
      <c r="S678" s="212"/>
      <c r="T678" s="138"/>
    </row>
    <row r="679" spans="1:20" ht="34.950000000000003" customHeight="1" x14ac:dyDescent="0.3">
      <c r="A679" s="136"/>
      <c r="B679" s="212"/>
      <c r="C679" s="138"/>
      <c r="D679" s="138"/>
      <c r="E679" s="138"/>
      <c r="F679" s="138"/>
      <c r="G679" s="138"/>
      <c r="H679" s="139"/>
      <c r="I679" s="138"/>
      <c r="J679" s="138"/>
      <c r="K679" s="138"/>
      <c r="L679" s="138"/>
      <c r="M679" s="139"/>
      <c r="N679" s="138"/>
      <c r="O679" s="138"/>
      <c r="P679" s="138"/>
      <c r="Q679" s="139"/>
      <c r="R679" s="139"/>
      <c r="S679" s="212"/>
      <c r="T679" s="138"/>
    </row>
    <row r="680" spans="1:20" ht="34.950000000000003" customHeight="1" x14ac:dyDescent="0.3">
      <c r="A680" s="136"/>
      <c r="B680" s="212"/>
      <c r="C680" s="138"/>
      <c r="D680" s="138"/>
      <c r="E680" s="138"/>
      <c r="F680" s="138"/>
      <c r="G680" s="138"/>
      <c r="H680" s="139"/>
      <c r="I680" s="138"/>
      <c r="J680" s="138"/>
      <c r="K680" s="138"/>
      <c r="L680" s="138"/>
      <c r="M680" s="139"/>
      <c r="N680" s="138"/>
      <c r="O680" s="138"/>
      <c r="P680" s="138"/>
      <c r="Q680" s="139"/>
      <c r="R680" s="139"/>
      <c r="S680" s="212"/>
      <c r="T680" s="138"/>
    </row>
    <row r="681" spans="1:20" ht="34.950000000000003" customHeight="1" x14ac:dyDescent="0.3">
      <c r="A681" s="136"/>
      <c r="B681" s="212"/>
      <c r="C681" s="138"/>
      <c r="D681" s="138"/>
      <c r="E681" s="138"/>
      <c r="F681" s="138"/>
      <c r="G681" s="138"/>
      <c r="H681" s="139"/>
      <c r="I681" s="138"/>
      <c r="J681" s="138"/>
      <c r="K681" s="138"/>
      <c r="L681" s="138"/>
      <c r="M681" s="139"/>
      <c r="N681" s="138"/>
      <c r="O681" s="138"/>
      <c r="P681" s="138"/>
      <c r="Q681" s="139"/>
      <c r="R681" s="139"/>
      <c r="S681" s="212"/>
      <c r="T681" s="138"/>
    </row>
    <row r="682" spans="1:20" ht="34.950000000000003" customHeight="1" x14ac:dyDescent="0.3">
      <c r="A682" s="136"/>
      <c r="B682" s="212"/>
      <c r="C682" s="138"/>
      <c r="D682" s="138"/>
      <c r="E682" s="138"/>
      <c r="F682" s="138"/>
      <c r="G682" s="138"/>
      <c r="H682" s="139"/>
      <c r="I682" s="138"/>
      <c r="J682" s="138"/>
      <c r="K682" s="138"/>
      <c r="L682" s="138"/>
      <c r="M682" s="139"/>
      <c r="N682" s="138"/>
      <c r="O682" s="138"/>
      <c r="P682" s="138"/>
      <c r="Q682" s="139"/>
      <c r="R682" s="139"/>
      <c r="S682" s="212"/>
      <c r="T682" s="138"/>
    </row>
    <row r="683" spans="1:20" ht="34.950000000000003" customHeight="1" x14ac:dyDescent="0.3">
      <c r="A683" s="136"/>
      <c r="B683" s="212"/>
      <c r="C683" s="138"/>
      <c r="D683" s="138"/>
      <c r="E683" s="138"/>
      <c r="F683" s="138"/>
      <c r="G683" s="138"/>
      <c r="H683" s="139"/>
      <c r="I683" s="138"/>
      <c r="J683" s="138"/>
      <c r="K683" s="138"/>
      <c r="L683" s="138"/>
      <c r="M683" s="139"/>
      <c r="N683" s="138"/>
      <c r="O683" s="138"/>
      <c r="P683" s="138"/>
      <c r="Q683" s="139"/>
      <c r="R683" s="139"/>
      <c r="S683" s="212"/>
      <c r="T683" s="138"/>
    </row>
    <row r="684" spans="1:20" ht="34.950000000000003" customHeight="1" x14ac:dyDescent="0.3">
      <c r="A684" s="136"/>
      <c r="B684" s="212"/>
      <c r="C684" s="138"/>
      <c r="D684" s="138"/>
      <c r="E684" s="138"/>
      <c r="F684" s="138"/>
      <c r="G684" s="138"/>
      <c r="H684" s="139"/>
      <c r="I684" s="138"/>
      <c r="J684" s="138"/>
      <c r="K684" s="138"/>
      <c r="L684" s="138"/>
      <c r="M684" s="139"/>
      <c r="N684" s="138"/>
      <c r="O684" s="138"/>
      <c r="P684" s="138"/>
      <c r="Q684" s="139"/>
      <c r="R684" s="139"/>
      <c r="S684" s="212"/>
      <c r="T684" s="138"/>
    </row>
    <row r="685" spans="1:20" ht="34.950000000000003" customHeight="1" x14ac:dyDescent="0.3">
      <c r="A685" s="136"/>
      <c r="B685" s="212"/>
      <c r="C685" s="138"/>
      <c r="D685" s="138"/>
      <c r="E685" s="138"/>
      <c r="F685" s="138"/>
      <c r="G685" s="138"/>
      <c r="H685" s="139"/>
      <c r="I685" s="138"/>
      <c r="J685" s="138"/>
      <c r="K685" s="138"/>
      <c r="L685" s="138"/>
      <c r="M685" s="139"/>
      <c r="N685" s="138"/>
      <c r="O685" s="138"/>
      <c r="P685" s="138"/>
      <c r="Q685" s="139"/>
      <c r="R685" s="139"/>
      <c r="S685" s="212"/>
      <c r="T685" s="138"/>
    </row>
    <row r="686" spans="1:20" ht="34.950000000000003" customHeight="1" x14ac:dyDescent="0.3">
      <c r="A686" s="136"/>
      <c r="B686" s="212"/>
      <c r="C686" s="138"/>
      <c r="D686" s="138"/>
      <c r="E686" s="138"/>
      <c r="F686" s="138"/>
      <c r="G686" s="138"/>
      <c r="H686" s="139"/>
      <c r="I686" s="138"/>
      <c r="J686" s="138"/>
      <c r="K686" s="138"/>
      <c r="L686" s="138"/>
      <c r="M686" s="139"/>
      <c r="N686" s="138"/>
      <c r="O686" s="138"/>
      <c r="P686" s="138"/>
      <c r="Q686" s="139"/>
      <c r="R686" s="139"/>
      <c r="S686" s="212"/>
      <c r="T686" s="138"/>
    </row>
    <row r="687" spans="1:20" ht="34.950000000000003" customHeight="1" x14ac:dyDescent="0.3">
      <c r="A687" s="136"/>
      <c r="B687" s="212"/>
      <c r="C687" s="138"/>
      <c r="D687" s="138"/>
      <c r="E687" s="138"/>
      <c r="F687" s="138"/>
      <c r="G687" s="138"/>
      <c r="H687" s="139"/>
      <c r="I687" s="138"/>
      <c r="J687" s="138"/>
      <c r="K687" s="138"/>
      <c r="L687" s="138"/>
      <c r="M687" s="139"/>
      <c r="N687" s="138"/>
      <c r="O687" s="138"/>
      <c r="P687" s="138"/>
      <c r="Q687" s="139"/>
      <c r="R687" s="139"/>
      <c r="S687" s="212"/>
      <c r="T687" s="138"/>
    </row>
    <row r="688" spans="1:20" ht="34.950000000000003" customHeight="1" x14ac:dyDescent="0.3">
      <c r="A688" s="136"/>
      <c r="B688" s="212"/>
      <c r="C688" s="138"/>
      <c r="D688" s="138"/>
      <c r="E688" s="138"/>
      <c r="F688" s="138"/>
      <c r="G688" s="138"/>
      <c r="H688" s="139"/>
      <c r="I688" s="138"/>
      <c r="J688" s="138"/>
      <c r="K688" s="138"/>
      <c r="L688" s="138"/>
      <c r="M688" s="139"/>
      <c r="N688" s="138"/>
      <c r="O688" s="138"/>
      <c r="P688" s="138"/>
      <c r="Q688" s="139"/>
      <c r="R688" s="139"/>
      <c r="S688" s="212"/>
      <c r="T688" s="138"/>
    </row>
    <row r="689" spans="1:20" ht="34.950000000000003" customHeight="1" x14ac:dyDescent="0.3">
      <c r="A689" s="136"/>
      <c r="B689" s="212"/>
      <c r="C689" s="138"/>
      <c r="D689" s="138"/>
      <c r="E689" s="138"/>
      <c r="F689" s="138"/>
      <c r="G689" s="138"/>
      <c r="H689" s="139"/>
      <c r="I689" s="138"/>
      <c r="J689" s="138"/>
      <c r="K689" s="138"/>
      <c r="L689" s="138"/>
      <c r="M689" s="139"/>
      <c r="N689" s="138"/>
      <c r="O689" s="138"/>
      <c r="P689" s="138"/>
      <c r="Q689" s="139"/>
      <c r="R689" s="139"/>
      <c r="S689" s="212"/>
      <c r="T689" s="138"/>
    </row>
    <row r="690" spans="1:20" ht="34.950000000000003" customHeight="1" x14ac:dyDescent="0.3">
      <c r="A690" s="136"/>
      <c r="B690" s="212"/>
      <c r="C690" s="138"/>
      <c r="D690" s="138"/>
      <c r="E690" s="138"/>
      <c r="F690" s="138"/>
      <c r="G690" s="138"/>
      <c r="H690" s="139"/>
      <c r="I690" s="138"/>
      <c r="J690" s="138"/>
      <c r="K690" s="138"/>
      <c r="L690" s="138"/>
      <c r="M690" s="139"/>
      <c r="N690" s="138"/>
      <c r="O690" s="138"/>
      <c r="P690" s="138"/>
      <c r="Q690" s="139"/>
      <c r="R690" s="139"/>
      <c r="S690" s="212"/>
      <c r="T690" s="138"/>
    </row>
    <row r="691" spans="1:20" ht="34.950000000000003" customHeight="1" x14ac:dyDescent="0.3">
      <c r="A691" s="136"/>
      <c r="B691" s="212"/>
      <c r="C691" s="138"/>
      <c r="D691" s="138"/>
      <c r="E691" s="138"/>
      <c r="F691" s="138"/>
      <c r="G691" s="138"/>
      <c r="H691" s="139"/>
      <c r="I691" s="138"/>
      <c r="J691" s="138"/>
      <c r="K691" s="138"/>
      <c r="L691" s="138"/>
      <c r="M691" s="139"/>
      <c r="N691" s="138"/>
      <c r="O691" s="138"/>
      <c r="P691" s="138"/>
      <c r="Q691" s="139"/>
      <c r="R691" s="139"/>
      <c r="S691" s="212"/>
      <c r="T691" s="138"/>
    </row>
    <row r="692" spans="1:20" ht="34.950000000000003" customHeight="1" x14ac:dyDescent="0.3">
      <c r="A692" s="136"/>
      <c r="B692" s="212"/>
      <c r="C692" s="138"/>
      <c r="D692" s="138"/>
      <c r="E692" s="138"/>
      <c r="F692" s="138"/>
      <c r="G692" s="138"/>
      <c r="H692" s="139"/>
      <c r="I692" s="138"/>
      <c r="J692" s="138"/>
      <c r="K692" s="138"/>
      <c r="L692" s="138"/>
      <c r="M692" s="139"/>
      <c r="N692" s="138"/>
      <c r="O692" s="138"/>
      <c r="P692" s="138"/>
      <c r="Q692" s="139"/>
      <c r="R692" s="139"/>
      <c r="S692" s="212"/>
      <c r="T692" s="138"/>
    </row>
    <row r="693" spans="1:20" ht="34.950000000000003" customHeight="1" x14ac:dyDescent="0.3">
      <c r="A693" s="136"/>
      <c r="B693" s="212"/>
      <c r="C693" s="138"/>
      <c r="D693" s="138"/>
      <c r="E693" s="138"/>
      <c r="F693" s="138"/>
      <c r="G693" s="138"/>
      <c r="H693" s="139"/>
      <c r="I693" s="138"/>
      <c r="J693" s="138"/>
      <c r="K693" s="138"/>
      <c r="L693" s="138"/>
      <c r="M693" s="139"/>
      <c r="N693" s="138"/>
      <c r="O693" s="138"/>
      <c r="P693" s="138"/>
      <c r="Q693" s="139"/>
      <c r="R693" s="139"/>
      <c r="S693" s="212"/>
      <c r="T693" s="138"/>
    </row>
    <row r="694" spans="1:20" ht="34.950000000000003" customHeight="1" x14ac:dyDescent="0.3">
      <c r="A694" s="136"/>
      <c r="B694" s="212"/>
      <c r="C694" s="138"/>
      <c r="D694" s="138"/>
      <c r="E694" s="138"/>
      <c r="F694" s="138"/>
      <c r="G694" s="138"/>
      <c r="H694" s="139"/>
      <c r="I694" s="138"/>
      <c r="J694" s="138"/>
      <c r="K694" s="138"/>
      <c r="L694" s="138"/>
      <c r="M694" s="139"/>
      <c r="N694" s="138"/>
      <c r="O694" s="138"/>
      <c r="P694" s="138"/>
      <c r="Q694" s="139"/>
      <c r="R694" s="139"/>
      <c r="S694" s="212"/>
      <c r="T694" s="138"/>
    </row>
    <row r="695" spans="1:20" ht="34.950000000000003" customHeight="1" x14ac:dyDescent="0.3">
      <c r="A695" s="136"/>
      <c r="B695" s="212"/>
      <c r="C695" s="138"/>
      <c r="D695" s="138"/>
      <c r="E695" s="138"/>
      <c r="F695" s="138"/>
      <c r="G695" s="138"/>
      <c r="H695" s="139"/>
      <c r="I695" s="138"/>
      <c r="J695" s="138"/>
      <c r="K695" s="138"/>
      <c r="L695" s="138"/>
      <c r="M695" s="139"/>
      <c r="N695" s="138"/>
      <c r="O695" s="138"/>
      <c r="P695" s="138"/>
      <c r="Q695" s="139"/>
      <c r="R695" s="139"/>
      <c r="S695" s="212"/>
      <c r="T695" s="138"/>
    </row>
    <row r="696" spans="1:20" ht="34.950000000000003" customHeight="1" x14ac:dyDescent="0.3">
      <c r="A696" s="136"/>
      <c r="B696" s="212"/>
      <c r="C696" s="138"/>
      <c r="D696" s="138"/>
      <c r="E696" s="138"/>
      <c r="F696" s="138"/>
      <c r="G696" s="138"/>
      <c r="H696" s="139"/>
      <c r="I696" s="138"/>
      <c r="J696" s="138"/>
      <c r="K696" s="138"/>
      <c r="L696" s="138"/>
      <c r="M696" s="139"/>
      <c r="N696" s="138"/>
      <c r="O696" s="138"/>
      <c r="P696" s="138"/>
      <c r="Q696" s="139"/>
      <c r="R696" s="139"/>
      <c r="S696" s="212"/>
      <c r="T696" s="138"/>
    </row>
    <row r="697" spans="1:20" ht="34.950000000000003" customHeight="1" x14ac:dyDescent="0.3">
      <c r="A697" s="136"/>
      <c r="B697" s="212"/>
      <c r="C697" s="138"/>
      <c r="D697" s="138"/>
      <c r="E697" s="138"/>
      <c r="F697" s="138"/>
      <c r="G697" s="138"/>
      <c r="H697" s="139"/>
      <c r="I697" s="138"/>
      <c r="J697" s="138"/>
      <c r="K697" s="138"/>
      <c r="L697" s="138"/>
      <c r="M697" s="139"/>
      <c r="N697" s="138"/>
      <c r="O697" s="138"/>
      <c r="P697" s="138"/>
      <c r="Q697" s="139"/>
      <c r="R697" s="139"/>
      <c r="S697" s="212"/>
      <c r="T697" s="138"/>
    </row>
    <row r="698" spans="1:20" ht="34.950000000000003" customHeight="1" x14ac:dyDescent="0.3">
      <c r="A698" s="136"/>
      <c r="B698" s="212"/>
      <c r="C698" s="138"/>
      <c r="D698" s="138"/>
      <c r="E698" s="138"/>
      <c r="F698" s="138"/>
      <c r="G698" s="138"/>
      <c r="H698" s="139"/>
      <c r="I698" s="138"/>
      <c r="J698" s="138"/>
      <c r="K698" s="138"/>
      <c r="L698" s="138"/>
      <c r="M698" s="139"/>
      <c r="N698" s="138"/>
      <c r="O698" s="138"/>
      <c r="P698" s="138"/>
      <c r="Q698" s="139"/>
      <c r="R698" s="139"/>
      <c r="S698" s="212"/>
      <c r="T698" s="138"/>
    </row>
    <row r="699" spans="1:20" ht="34.950000000000003" customHeight="1" x14ac:dyDescent="0.3">
      <c r="A699" s="136"/>
      <c r="B699" s="212"/>
      <c r="C699" s="138"/>
      <c r="D699" s="138"/>
      <c r="E699" s="138"/>
      <c r="F699" s="138"/>
      <c r="G699" s="138"/>
      <c r="H699" s="139"/>
      <c r="I699" s="138"/>
      <c r="J699" s="138"/>
      <c r="K699" s="138"/>
      <c r="L699" s="138"/>
      <c r="M699" s="139"/>
      <c r="N699" s="138"/>
      <c r="O699" s="138"/>
      <c r="P699" s="138"/>
      <c r="Q699" s="139"/>
      <c r="R699" s="139"/>
      <c r="S699" s="212"/>
      <c r="T699" s="138"/>
    </row>
    <row r="700" spans="1:20" ht="34.950000000000003" customHeight="1" x14ac:dyDescent="0.3">
      <c r="A700" s="136"/>
      <c r="B700" s="212"/>
      <c r="C700" s="138"/>
      <c r="D700" s="138"/>
      <c r="E700" s="138"/>
      <c r="F700" s="138"/>
      <c r="G700" s="138"/>
      <c r="H700" s="139"/>
      <c r="I700" s="138"/>
      <c r="J700" s="138"/>
      <c r="K700" s="138"/>
      <c r="L700" s="138"/>
      <c r="M700" s="139"/>
      <c r="N700" s="138"/>
      <c r="O700" s="138"/>
      <c r="P700" s="138"/>
      <c r="Q700" s="139"/>
      <c r="R700" s="139"/>
      <c r="S700" s="212"/>
      <c r="T700" s="138"/>
    </row>
    <row r="701" spans="1:20" ht="34.950000000000003" customHeight="1" x14ac:dyDescent="0.3">
      <c r="A701" s="136"/>
      <c r="B701" s="212"/>
      <c r="C701" s="138"/>
      <c r="D701" s="138"/>
      <c r="E701" s="138"/>
      <c r="F701" s="138"/>
      <c r="G701" s="138"/>
      <c r="H701" s="139"/>
      <c r="I701" s="138"/>
      <c r="J701" s="138"/>
      <c r="K701" s="138"/>
      <c r="L701" s="138"/>
      <c r="M701" s="139"/>
      <c r="N701" s="138"/>
      <c r="O701" s="138"/>
      <c r="P701" s="138"/>
      <c r="Q701" s="139"/>
      <c r="R701" s="139"/>
      <c r="S701" s="212"/>
      <c r="T701" s="138"/>
    </row>
    <row r="702" spans="1:20" ht="34.950000000000003" customHeight="1" x14ac:dyDescent="0.3">
      <c r="A702" s="136"/>
      <c r="B702" s="212"/>
      <c r="C702" s="138"/>
      <c r="D702" s="138"/>
      <c r="E702" s="138"/>
      <c r="F702" s="138"/>
      <c r="G702" s="138"/>
      <c r="H702" s="139"/>
      <c r="I702" s="138"/>
      <c r="J702" s="138"/>
      <c r="K702" s="138"/>
      <c r="L702" s="138"/>
      <c r="M702" s="139"/>
      <c r="N702" s="138"/>
      <c r="O702" s="138"/>
      <c r="P702" s="138"/>
      <c r="Q702" s="139"/>
      <c r="R702" s="139"/>
      <c r="S702" s="212"/>
      <c r="T702" s="138"/>
    </row>
    <row r="703" spans="1:20" ht="34.950000000000003" customHeight="1" x14ac:dyDescent="0.3">
      <c r="A703" s="136"/>
      <c r="B703" s="212"/>
      <c r="C703" s="138"/>
      <c r="D703" s="138"/>
      <c r="E703" s="138"/>
      <c r="F703" s="138"/>
      <c r="G703" s="138"/>
      <c r="H703" s="139"/>
      <c r="I703" s="138"/>
      <c r="J703" s="138"/>
      <c r="K703" s="138"/>
      <c r="L703" s="138"/>
      <c r="M703" s="139"/>
      <c r="N703" s="138"/>
      <c r="O703" s="138"/>
      <c r="P703" s="138"/>
      <c r="Q703" s="139"/>
      <c r="R703" s="139"/>
      <c r="S703" s="212"/>
      <c r="T703" s="138"/>
    </row>
    <row r="704" spans="1:20" ht="34.950000000000003" customHeight="1" x14ac:dyDescent="0.3">
      <c r="A704" s="136"/>
      <c r="B704" s="212"/>
      <c r="C704" s="138"/>
      <c r="D704" s="138"/>
      <c r="E704" s="138"/>
      <c r="F704" s="138"/>
      <c r="G704" s="138"/>
      <c r="H704" s="139"/>
      <c r="I704" s="138"/>
      <c r="J704" s="138"/>
      <c r="K704" s="138"/>
      <c r="L704" s="138"/>
      <c r="M704" s="139"/>
      <c r="N704" s="138"/>
      <c r="O704" s="138"/>
      <c r="P704" s="138"/>
      <c r="Q704" s="139"/>
      <c r="R704" s="139"/>
      <c r="S704" s="212"/>
      <c r="T704" s="138"/>
    </row>
    <row r="705" spans="1:20" ht="34.950000000000003" customHeight="1" x14ac:dyDescent="0.3">
      <c r="A705" s="136"/>
      <c r="B705" s="212"/>
      <c r="C705" s="138"/>
      <c r="D705" s="138"/>
      <c r="E705" s="138"/>
      <c r="F705" s="138"/>
      <c r="G705" s="138"/>
      <c r="H705" s="139"/>
      <c r="I705" s="138"/>
      <c r="J705" s="138"/>
      <c r="K705" s="138"/>
      <c r="L705" s="138"/>
      <c r="M705" s="139"/>
      <c r="N705" s="138"/>
      <c r="O705" s="138"/>
      <c r="P705" s="138"/>
      <c r="Q705" s="139"/>
      <c r="R705" s="139"/>
      <c r="S705" s="212"/>
      <c r="T705" s="138"/>
    </row>
    <row r="706" spans="1:20" ht="34.950000000000003" customHeight="1" x14ac:dyDescent="0.3">
      <c r="A706" s="136"/>
      <c r="B706" s="212"/>
      <c r="C706" s="138"/>
      <c r="D706" s="138"/>
      <c r="E706" s="138"/>
      <c r="F706" s="138"/>
      <c r="G706" s="138"/>
      <c r="H706" s="139"/>
      <c r="I706" s="138"/>
      <c r="J706" s="138"/>
      <c r="K706" s="138"/>
      <c r="L706" s="138"/>
      <c r="M706" s="139"/>
      <c r="N706" s="138"/>
      <c r="O706" s="138"/>
      <c r="P706" s="138"/>
      <c r="Q706" s="139"/>
      <c r="R706" s="139"/>
      <c r="S706" s="212"/>
      <c r="T706" s="138"/>
    </row>
    <row r="707" spans="1:20" ht="34.950000000000003" customHeight="1" x14ac:dyDescent="0.3">
      <c r="A707" s="136"/>
      <c r="B707" s="212"/>
      <c r="C707" s="138"/>
      <c r="D707" s="138"/>
      <c r="E707" s="138"/>
      <c r="F707" s="138"/>
      <c r="G707" s="138"/>
      <c r="H707" s="139"/>
      <c r="I707" s="138"/>
      <c r="J707" s="138"/>
      <c r="K707" s="138"/>
      <c r="L707" s="138"/>
      <c r="M707" s="139"/>
      <c r="N707" s="138"/>
      <c r="O707" s="138"/>
      <c r="P707" s="138"/>
      <c r="Q707" s="139"/>
      <c r="R707" s="139"/>
      <c r="S707" s="212"/>
      <c r="T707" s="138"/>
    </row>
    <row r="708" spans="1:20" ht="34.950000000000003" customHeight="1" x14ac:dyDescent="0.3">
      <c r="A708" s="136"/>
      <c r="B708" s="212"/>
      <c r="C708" s="138"/>
      <c r="D708" s="138"/>
      <c r="E708" s="138"/>
      <c r="F708" s="138"/>
      <c r="G708" s="138"/>
      <c r="H708" s="139"/>
      <c r="I708" s="138"/>
      <c r="J708" s="138"/>
      <c r="K708" s="138"/>
      <c r="L708" s="138"/>
      <c r="M708" s="139"/>
      <c r="N708" s="138"/>
      <c r="O708" s="138"/>
      <c r="P708" s="138"/>
      <c r="Q708" s="139"/>
      <c r="R708" s="139"/>
      <c r="S708" s="212"/>
      <c r="T708" s="138"/>
    </row>
    <row r="709" spans="1:20" ht="34.950000000000003" customHeight="1" x14ac:dyDescent="0.3">
      <c r="A709" s="136"/>
      <c r="B709" s="212"/>
      <c r="C709" s="138"/>
      <c r="D709" s="138"/>
      <c r="E709" s="138"/>
      <c r="F709" s="138"/>
      <c r="G709" s="138"/>
      <c r="H709" s="139"/>
      <c r="I709" s="138"/>
      <c r="J709" s="138"/>
      <c r="K709" s="138"/>
      <c r="L709" s="138"/>
      <c r="M709" s="139"/>
      <c r="N709" s="138"/>
      <c r="O709" s="138"/>
      <c r="P709" s="138"/>
      <c r="Q709" s="139"/>
      <c r="R709" s="139"/>
      <c r="S709" s="212"/>
      <c r="T709" s="138"/>
    </row>
    <row r="710" spans="1:20" ht="34.950000000000003" customHeight="1" x14ac:dyDescent="0.3">
      <c r="A710" s="136"/>
      <c r="B710" s="212"/>
      <c r="C710" s="138"/>
      <c r="D710" s="138"/>
      <c r="E710" s="138"/>
      <c r="F710" s="138"/>
      <c r="G710" s="138"/>
      <c r="H710" s="139"/>
      <c r="I710" s="138"/>
      <c r="J710" s="138"/>
      <c r="K710" s="138"/>
      <c r="L710" s="138"/>
      <c r="M710" s="139"/>
      <c r="N710" s="138"/>
      <c r="O710" s="138"/>
      <c r="P710" s="138"/>
      <c r="Q710" s="139"/>
      <c r="R710" s="139"/>
      <c r="S710" s="212"/>
      <c r="T710" s="138"/>
    </row>
    <row r="711" spans="1:20" ht="34.950000000000003" customHeight="1" x14ac:dyDescent="0.3">
      <c r="A711" s="136"/>
      <c r="B711" s="212"/>
      <c r="C711" s="138"/>
      <c r="D711" s="138"/>
      <c r="E711" s="138"/>
      <c r="F711" s="138"/>
      <c r="G711" s="138"/>
      <c r="H711" s="139"/>
      <c r="I711" s="138"/>
      <c r="J711" s="138"/>
      <c r="K711" s="138"/>
      <c r="L711" s="138"/>
      <c r="M711" s="139"/>
      <c r="N711" s="138"/>
      <c r="O711" s="138"/>
      <c r="P711" s="138"/>
      <c r="Q711" s="139"/>
      <c r="R711" s="139"/>
      <c r="S711" s="212"/>
      <c r="T711" s="138"/>
    </row>
    <row r="712" spans="1:20" ht="34.950000000000003" customHeight="1" x14ac:dyDescent="0.3">
      <c r="A712" s="136"/>
      <c r="B712" s="212"/>
      <c r="C712" s="138"/>
      <c r="D712" s="138"/>
      <c r="E712" s="138"/>
      <c r="F712" s="138"/>
      <c r="G712" s="138"/>
      <c r="H712" s="139"/>
      <c r="I712" s="138"/>
      <c r="J712" s="138"/>
      <c r="K712" s="138"/>
      <c r="L712" s="138"/>
      <c r="M712" s="139"/>
      <c r="N712" s="138"/>
      <c r="O712" s="138"/>
      <c r="P712" s="138"/>
      <c r="Q712" s="139"/>
      <c r="R712" s="139"/>
      <c r="S712" s="212"/>
      <c r="T712" s="138"/>
    </row>
    <row r="713" spans="1:20" ht="34.950000000000003" customHeight="1" x14ac:dyDescent="0.3">
      <c r="A713" s="136"/>
      <c r="B713" s="212"/>
      <c r="C713" s="138"/>
      <c r="D713" s="138"/>
      <c r="E713" s="138"/>
      <c r="F713" s="138"/>
      <c r="G713" s="138"/>
      <c r="H713" s="139"/>
      <c r="I713" s="138"/>
      <c r="J713" s="138"/>
      <c r="K713" s="138"/>
      <c r="L713" s="138"/>
      <c r="M713" s="139"/>
      <c r="N713" s="138"/>
      <c r="O713" s="138"/>
      <c r="P713" s="138"/>
      <c r="Q713" s="139"/>
      <c r="R713" s="139"/>
      <c r="S713" s="212"/>
      <c r="T713" s="138"/>
    </row>
    <row r="714" spans="1:20" ht="34.950000000000003" customHeight="1" x14ac:dyDescent="0.3">
      <c r="A714" s="136"/>
      <c r="B714" s="212"/>
      <c r="C714" s="138"/>
      <c r="D714" s="138"/>
      <c r="E714" s="138"/>
      <c r="F714" s="138"/>
      <c r="G714" s="138"/>
      <c r="H714" s="139"/>
      <c r="I714" s="138"/>
      <c r="J714" s="138"/>
      <c r="K714" s="138"/>
      <c r="L714" s="138"/>
      <c r="M714" s="139"/>
      <c r="N714" s="138"/>
      <c r="O714" s="138"/>
      <c r="P714" s="138"/>
      <c r="Q714" s="139"/>
      <c r="R714" s="139"/>
      <c r="S714" s="212"/>
      <c r="T714" s="138"/>
    </row>
    <row r="715" spans="1:20" ht="34.950000000000003" customHeight="1" x14ac:dyDescent="0.3">
      <c r="A715" s="136"/>
      <c r="B715" s="212"/>
      <c r="C715" s="138"/>
      <c r="D715" s="138"/>
      <c r="E715" s="138"/>
      <c r="F715" s="138"/>
      <c r="G715" s="138"/>
      <c r="H715" s="139"/>
      <c r="I715" s="138"/>
      <c r="J715" s="138"/>
      <c r="K715" s="138"/>
      <c r="L715" s="138"/>
      <c r="M715" s="139"/>
      <c r="N715" s="138"/>
      <c r="O715" s="138"/>
      <c r="P715" s="138"/>
      <c r="Q715" s="139"/>
      <c r="R715" s="139"/>
      <c r="S715" s="212"/>
      <c r="T715" s="138"/>
    </row>
    <row r="716" spans="1:20" ht="34.950000000000003" customHeight="1" x14ac:dyDescent="0.3">
      <c r="A716" s="136"/>
      <c r="B716" s="212"/>
      <c r="C716" s="138"/>
      <c r="D716" s="138"/>
      <c r="E716" s="138"/>
      <c r="F716" s="138"/>
      <c r="G716" s="138"/>
      <c r="H716" s="139"/>
      <c r="I716" s="138"/>
      <c r="J716" s="138"/>
      <c r="K716" s="138"/>
      <c r="L716" s="138"/>
      <c r="M716" s="139"/>
      <c r="N716" s="138"/>
      <c r="O716" s="138"/>
      <c r="P716" s="138"/>
      <c r="Q716" s="139"/>
      <c r="R716" s="139"/>
      <c r="S716" s="212"/>
      <c r="T716" s="138"/>
    </row>
    <row r="717" spans="1:20" ht="34.950000000000003" customHeight="1" x14ac:dyDescent="0.3">
      <c r="A717" s="136"/>
      <c r="B717" s="212"/>
      <c r="C717" s="138"/>
      <c r="D717" s="138"/>
      <c r="E717" s="138"/>
      <c r="F717" s="138"/>
      <c r="G717" s="138"/>
      <c r="H717" s="139"/>
      <c r="I717" s="138"/>
      <c r="J717" s="138"/>
      <c r="K717" s="138"/>
      <c r="L717" s="138"/>
      <c r="M717" s="139"/>
      <c r="N717" s="138"/>
      <c r="O717" s="138"/>
      <c r="P717" s="138"/>
      <c r="Q717" s="139"/>
      <c r="R717" s="139"/>
      <c r="S717" s="212"/>
      <c r="T717" s="138"/>
    </row>
    <row r="718" spans="1:20" ht="34.950000000000003" customHeight="1" x14ac:dyDescent="0.3">
      <c r="A718" s="136"/>
      <c r="B718" s="212"/>
      <c r="C718" s="138"/>
      <c r="D718" s="138"/>
      <c r="E718" s="138"/>
      <c r="F718" s="138"/>
      <c r="G718" s="138"/>
      <c r="H718" s="139"/>
      <c r="I718" s="138"/>
      <c r="J718" s="138"/>
      <c r="K718" s="138"/>
      <c r="L718" s="138"/>
      <c r="M718" s="139"/>
      <c r="N718" s="138"/>
      <c r="O718" s="138"/>
      <c r="P718" s="138"/>
      <c r="Q718" s="139"/>
      <c r="R718" s="139"/>
      <c r="S718" s="212"/>
      <c r="T718" s="138"/>
    </row>
    <row r="719" spans="1:20" ht="34.950000000000003" customHeight="1" x14ac:dyDescent="0.3">
      <c r="A719" s="136"/>
      <c r="B719" s="212"/>
      <c r="C719" s="138"/>
      <c r="D719" s="138"/>
      <c r="E719" s="138"/>
      <c r="F719" s="138"/>
      <c r="G719" s="138"/>
      <c r="H719" s="139"/>
      <c r="I719" s="138"/>
      <c r="J719" s="138"/>
      <c r="K719" s="138"/>
      <c r="L719" s="138"/>
      <c r="M719" s="139"/>
      <c r="N719" s="138"/>
      <c r="O719" s="138"/>
      <c r="P719" s="138"/>
      <c r="Q719" s="139"/>
      <c r="R719" s="139"/>
      <c r="S719" s="212"/>
      <c r="T719" s="138"/>
    </row>
    <row r="720" spans="1:20" ht="34.950000000000003" customHeight="1" x14ac:dyDescent="0.3">
      <c r="A720" s="136"/>
      <c r="B720" s="212"/>
      <c r="C720" s="138"/>
      <c r="D720" s="138"/>
      <c r="E720" s="138"/>
      <c r="F720" s="138"/>
      <c r="G720" s="138"/>
      <c r="H720" s="139"/>
      <c r="I720" s="138"/>
      <c r="J720" s="138"/>
      <c r="K720" s="138"/>
      <c r="L720" s="138"/>
      <c r="M720" s="139"/>
      <c r="N720" s="138"/>
      <c r="O720" s="138"/>
      <c r="P720" s="138"/>
      <c r="Q720" s="139"/>
      <c r="R720" s="139"/>
      <c r="S720" s="212"/>
      <c r="T720" s="138"/>
    </row>
    <row r="721" spans="1:20" ht="34.950000000000003" customHeight="1" x14ac:dyDescent="0.3">
      <c r="A721" s="136"/>
      <c r="B721" s="212"/>
      <c r="C721" s="138"/>
      <c r="D721" s="138"/>
      <c r="E721" s="138"/>
      <c r="F721" s="138"/>
      <c r="G721" s="138"/>
      <c r="H721" s="139"/>
      <c r="I721" s="138"/>
      <c r="J721" s="138"/>
      <c r="K721" s="138"/>
      <c r="L721" s="138"/>
      <c r="M721" s="139"/>
      <c r="N721" s="138"/>
      <c r="O721" s="138"/>
      <c r="P721" s="138"/>
      <c r="Q721" s="139"/>
      <c r="R721" s="139"/>
      <c r="S721" s="212"/>
      <c r="T721" s="138"/>
    </row>
    <row r="722" spans="1:20" ht="34.950000000000003" customHeight="1" x14ac:dyDescent="0.3">
      <c r="A722" s="136"/>
      <c r="B722" s="212"/>
      <c r="C722" s="138"/>
      <c r="D722" s="138"/>
      <c r="E722" s="138"/>
      <c r="F722" s="138"/>
      <c r="G722" s="138"/>
      <c r="H722" s="139"/>
      <c r="I722" s="138"/>
      <c r="J722" s="138"/>
      <c r="K722" s="138"/>
      <c r="L722" s="138"/>
      <c r="M722" s="139"/>
      <c r="N722" s="138"/>
      <c r="O722" s="138"/>
      <c r="P722" s="138"/>
      <c r="Q722" s="139"/>
      <c r="R722" s="139"/>
      <c r="S722" s="212"/>
      <c r="T722" s="138"/>
    </row>
    <row r="723" spans="1:20" ht="34.950000000000003" customHeight="1" x14ac:dyDescent="0.3">
      <c r="A723" s="136"/>
      <c r="B723" s="212"/>
      <c r="C723" s="138"/>
      <c r="D723" s="138"/>
      <c r="E723" s="138"/>
      <c r="F723" s="138"/>
      <c r="G723" s="138"/>
      <c r="H723" s="139"/>
      <c r="I723" s="138"/>
      <c r="J723" s="138"/>
      <c r="K723" s="138"/>
      <c r="L723" s="138"/>
      <c r="M723" s="139"/>
      <c r="N723" s="138"/>
      <c r="O723" s="138"/>
      <c r="P723" s="138"/>
      <c r="Q723" s="139"/>
      <c r="R723" s="139"/>
      <c r="S723" s="212"/>
      <c r="T723" s="138"/>
    </row>
    <row r="724" spans="1:20" ht="34.950000000000003" customHeight="1" x14ac:dyDescent="0.3">
      <c r="A724" s="136"/>
      <c r="B724" s="212"/>
      <c r="C724" s="138"/>
      <c r="D724" s="138"/>
      <c r="E724" s="138"/>
      <c r="F724" s="138"/>
      <c r="G724" s="138"/>
      <c r="H724" s="139"/>
      <c r="I724" s="138"/>
      <c r="J724" s="138"/>
      <c r="K724" s="138"/>
      <c r="L724" s="138"/>
      <c r="M724" s="139"/>
      <c r="N724" s="138"/>
      <c r="O724" s="138"/>
      <c r="P724" s="138"/>
      <c r="Q724" s="139"/>
      <c r="R724" s="139"/>
      <c r="S724" s="212"/>
      <c r="T724" s="138"/>
    </row>
    <row r="725" spans="1:20" ht="34.950000000000003" customHeight="1" x14ac:dyDescent="0.3">
      <c r="A725" s="136"/>
      <c r="B725" s="212"/>
      <c r="C725" s="138"/>
      <c r="D725" s="138"/>
      <c r="E725" s="138"/>
      <c r="F725" s="138"/>
      <c r="G725" s="138"/>
      <c r="H725" s="139"/>
      <c r="I725" s="138"/>
      <c r="J725" s="138"/>
      <c r="K725" s="138"/>
      <c r="L725" s="138"/>
      <c r="M725" s="139"/>
      <c r="N725" s="138"/>
      <c r="O725" s="138"/>
      <c r="P725" s="138"/>
      <c r="Q725" s="139"/>
      <c r="R725" s="139"/>
      <c r="S725" s="212"/>
      <c r="T725" s="138"/>
    </row>
    <row r="726" spans="1:20" ht="34.950000000000003" customHeight="1" x14ac:dyDescent="0.3">
      <c r="A726" s="136"/>
      <c r="B726" s="212"/>
      <c r="C726" s="138"/>
      <c r="D726" s="138"/>
      <c r="E726" s="138"/>
      <c r="F726" s="138"/>
      <c r="G726" s="138"/>
      <c r="H726" s="139"/>
      <c r="I726" s="138"/>
      <c r="J726" s="138"/>
      <c r="K726" s="138"/>
      <c r="L726" s="138"/>
      <c r="M726" s="139"/>
      <c r="N726" s="138"/>
      <c r="O726" s="138"/>
      <c r="P726" s="138"/>
      <c r="Q726" s="139"/>
      <c r="R726" s="139"/>
      <c r="S726" s="212"/>
      <c r="T726" s="138"/>
    </row>
    <row r="727" spans="1:20" ht="34.950000000000003" customHeight="1" x14ac:dyDescent="0.3">
      <c r="A727" s="136"/>
      <c r="B727" s="212"/>
      <c r="C727" s="138"/>
      <c r="D727" s="138"/>
      <c r="E727" s="138"/>
      <c r="F727" s="138"/>
      <c r="G727" s="138"/>
      <c r="H727" s="139"/>
      <c r="I727" s="138"/>
      <c r="J727" s="138"/>
      <c r="K727" s="138"/>
      <c r="L727" s="138"/>
      <c r="M727" s="139"/>
      <c r="N727" s="138"/>
      <c r="O727" s="138"/>
      <c r="P727" s="138"/>
      <c r="Q727" s="139"/>
      <c r="R727" s="139"/>
      <c r="S727" s="212"/>
      <c r="T727" s="138"/>
    </row>
    <row r="728" spans="1:20" ht="34.950000000000003" customHeight="1" x14ac:dyDescent="0.3">
      <c r="A728" s="136"/>
      <c r="B728" s="212"/>
      <c r="C728" s="138"/>
      <c r="D728" s="138"/>
      <c r="E728" s="138"/>
      <c r="F728" s="138"/>
      <c r="G728" s="138"/>
      <c r="H728" s="139"/>
      <c r="I728" s="138"/>
      <c r="J728" s="138"/>
      <c r="K728" s="138"/>
      <c r="L728" s="138"/>
      <c r="M728" s="139"/>
      <c r="N728" s="138"/>
      <c r="O728" s="138"/>
      <c r="P728" s="138"/>
      <c r="Q728" s="139"/>
      <c r="R728" s="139"/>
      <c r="S728" s="212"/>
      <c r="T728" s="138"/>
    </row>
    <row r="729" spans="1:20" ht="34.950000000000003" customHeight="1" x14ac:dyDescent="0.3">
      <c r="A729" s="136"/>
      <c r="B729" s="212"/>
      <c r="C729" s="138"/>
      <c r="D729" s="138"/>
      <c r="E729" s="138"/>
      <c r="F729" s="138"/>
      <c r="G729" s="138"/>
      <c r="H729" s="139"/>
      <c r="I729" s="138"/>
      <c r="J729" s="138"/>
      <c r="K729" s="138"/>
      <c r="L729" s="138"/>
      <c r="M729" s="139"/>
      <c r="N729" s="138"/>
      <c r="O729" s="138"/>
      <c r="P729" s="138"/>
      <c r="Q729" s="139"/>
      <c r="R729" s="139"/>
      <c r="S729" s="212"/>
      <c r="T729" s="138"/>
    </row>
    <row r="730" spans="1:20" ht="34.950000000000003" customHeight="1" x14ac:dyDescent="0.3">
      <c r="A730" s="136"/>
      <c r="B730" s="212"/>
      <c r="C730" s="138"/>
      <c r="D730" s="138"/>
      <c r="E730" s="138"/>
      <c r="F730" s="138"/>
      <c r="G730" s="138"/>
      <c r="H730" s="139"/>
      <c r="I730" s="138"/>
      <c r="J730" s="138"/>
      <c r="K730" s="138"/>
      <c r="L730" s="138"/>
      <c r="M730" s="139"/>
      <c r="N730" s="138"/>
      <c r="O730" s="138"/>
      <c r="P730" s="138"/>
      <c r="Q730" s="139"/>
      <c r="R730" s="139"/>
      <c r="S730" s="212"/>
      <c r="T730" s="138"/>
    </row>
    <row r="731" spans="1:20" ht="34.950000000000003" customHeight="1" x14ac:dyDescent="0.3">
      <c r="A731" s="136"/>
      <c r="B731" s="212"/>
      <c r="C731" s="138"/>
      <c r="D731" s="138"/>
      <c r="E731" s="138"/>
      <c r="F731" s="138"/>
      <c r="G731" s="138"/>
      <c r="H731" s="139"/>
      <c r="I731" s="138"/>
      <c r="J731" s="138"/>
      <c r="K731" s="138"/>
      <c r="L731" s="138"/>
      <c r="M731" s="139"/>
      <c r="N731" s="138"/>
      <c r="O731" s="138"/>
      <c r="P731" s="138"/>
      <c r="Q731" s="139"/>
      <c r="R731" s="139"/>
      <c r="S731" s="212"/>
      <c r="T731" s="138"/>
    </row>
    <row r="732" spans="1:20" ht="34.950000000000003" customHeight="1" x14ac:dyDescent="0.3">
      <c r="A732" s="136"/>
      <c r="B732" s="212"/>
      <c r="C732" s="138"/>
      <c r="D732" s="138"/>
      <c r="E732" s="138"/>
      <c r="F732" s="138"/>
      <c r="G732" s="138"/>
      <c r="H732" s="139"/>
      <c r="I732" s="138"/>
      <c r="J732" s="138"/>
      <c r="K732" s="138"/>
      <c r="L732" s="138"/>
      <c r="M732" s="139"/>
      <c r="N732" s="138"/>
      <c r="O732" s="138"/>
      <c r="P732" s="138"/>
      <c r="Q732" s="139"/>
      <c r="R732" s="139"/>
      <c r="S732" s="212"/>
      <c r="T732" s="138"/>
    </row>
    <row r="733" spans="1:20" ht="34.950000000000003" customHeight="1" x14ac:dyDescent="0.3">
      <c r="A733" s="136"/>
      <c r="B733" s="212"/>
      <c r="C733" s="138"/>
      <c r="D733" s="138"/>
      <c r="E733" s="138"/>
      <c r="F733" s="138"/>
      <c r="G733" s="138"/>
      <c r="H733" s="139"/>
      <c r="I733" s="138"/>
      <c r="J733" s="138"/>
      <c r="K733" s="138"/>
      <c r="L733" s="138"/>
      <c r="M733" s="139"/>
      <c r="N733" s="138"/>
      <c r="O733" s="138"/>
      <c r="P733" s="138"/>
      <c r="Q733" s="139"/>
      <c r="R733" s="139"/>
      <c r="S733" s="212"/>
      <c r="T733" s="138"/>
    </row>
    <row r="734" spans="1:20" ht="34.950000000000003" customHeight="1" x14ac:dyDescent="0.3">
      <c r="A734" s="136"/>
      <c r="B734" s="212"/>
      <c r="C734" s="138"/>
      <c r="D734" s="138"/>
      <c r="E734" s="138"/>
      <c r="F734" s="138"/>
      <c r="G734" s="138"/>
      <c r="H734" s="139"/>
      <c r="I734" s="138"/>
      <c r="J734" s="138"/>
      <c r="K734" s="138"/>
      <c r="L734" s="138"/>
      <c r="M734" s="139"/>
      <c r="N734" s="138"/>
      <c r="O734" s="138"/>
      <c r="P734" s="138"/>
      <c r="Q734" s="139"/>
      <c r="R734" s="139"/>
      <c r="S734" s="212"/>
      <c r="T734" s="138"/>
    </row>
    <row r="735" spans="1:20" ht="34.950000000000003" customHeight="1" x14ac:dyDescent="0.3">
      <c r="A735" s="136"/>
      <c r="B735" s="212"/>
      <c r="C735" s="138"/>
      <c r="D735" s="138"/>
      <c r="E735" s="138"/>
      <c r="F735" s="138"/>
      <c r="G735" s="138"/>
      <c r="H735" s="139"/>
      <c r="I735" s="138"/>
      <c r="J735" s="138"/>
      <c r="K735" s="138"/>
      <c r="L735" s="138"/>
      <c r="M735" s="139"/>
      <c r="N735" s="138"/>
      <c r="O735" s="138"/>
      <c r="P735" s="138"/>
      <c r="Q735" s="139"/>
      <c r="R735" s="139"/>
      <c r="S735" s="212"/>
      <c r="T735" s="138"/>
    </row>
    <row r="736" spans="1:20" ht="34.950000000000003" customHeight="1" x14ac:dyDescent="0.3">
      <c r="A736" s="136"/>
      <c r="B736" s="212"/>
      <c r="C736" s="138"/>
      <c r="D736" s="138"/>
      <c r="E736" s="138"/>
      <c r="F736" s="138"/>
      <c r="G736" s="138"/>
      <c r="H736" s="139"/>
      <c r="I736" s="138"/>
      <c r="J736" s="138"/>
      <c r="K736" s="138"/>
      <c r="L736" s="138"/>
      <c r="M736" s="139"/>
      <c r="N736" s="138"/>
      <c r="O736" s="138"/>
      <c r="P736" s="138"/>
      <c r="Q736" s="139"/>
      <c r="R736" s="139"/>
      <c r="S736" s="212"/>
      <c r="T736" s="138"/>
    </row>
    <row r="737" spans="1:20" ht="34.950000000000003" customHeight="1" x14ac:dyDescent="0.3">
      <c r="A737" s="136"/>
      <c r="B737" s="212"/>
      <c r="C737" s="138"/>
      <c r="D737" s="138"/>
      <c r="E737" s="138"/>
      <c r="F737" s="138"/>
      <c r="G737" s="138"/>
      <c r="H737" s="139"/>
      <c r="I737" s="138"/>
      <c r="J737" s="138"/>
      <c r="K737" s="138"/>
      <c r="L737" s="138"/>
      <c r="M737" s="139"/>
      <c r="N737" s="138"/>
      <c r="O737" s="138"/>
      <c r="P737" s="138"/>
      <c r="Q737" s="139"/>
      <c r="R737" s="139"/>
      <c r="S737" s="212"/>
      <c r="T737" s="138"/>
    </row>
    <row r="738" spans="1:20" ht="34.950000000000003" customHeight="1" x14ac:dyDescent="0.3">
      <c r="A738" s="136"/>
      <c r="B738" s="212"/>
      <c r="C738" s="138"/>
      <c r="D738" s="138"/>
      <c r="E738" s="138"/>
      <c r="F738" s="138"/>
      <c r="G738" s="138"/>
      <c r="H738" s="139"/>
      <c r="I738" s="138"/>
      <c r="J738" s="138"/>
      <c r="K738" s="138"/>
      <c r="L738" s="138"/>
      <c r="M738" s="139"/>
      <c r="N738" s="138"/>
      <c r="O738" s="138"/>
      <c r="P738" s="138"/>
      <c r="Q738" s="139"/>
      <c r="R738" s="139"/>
      <c r="S738" s="212"/>
      <c r="T738" s="138"/>
    </row>
    <row r="739" spans="1:20" ht="34.950000000000003" customHeight="1" x14ac:dyDescent="0.3">
      <c r="A739" s="136"/>
      <c r="B739" s="212"/>
      <c r="C739" s="138"/>
      <c r="D739" s="138"/>
      <c r="E739" s="138"/>
      <c r="F739" s="138"/>
      <c r="G739" s="138"/>
      <c r="H739" s="139"/>
      <c r="I739" s="138"/>
      <c r="J739" s="138"/>
      <c r="K739" s="138"/>
      <c r="L739" s="138"/>
      <c r="M739" s="139"/>
      <c r="N739" s="138"/>
      <c r="O739" s="138"/>
      <c r="P739" s="138"/>
      <c r="Q739" s="139"/>
      <c r="R739" s="139"/>
      <c r="S739" s="212"/>
      <c r="T739" s="138"/>
    </row>
    <row r="740" spans="1:20" ht="34.950000000000003" customHeight="1" x14ac:dyDescent="0.3">
      <c r="A740" s="136"/>
      <c r="B740" s="212"/>
      <c r="C740" s="138"/>
      <c r="D740" s="138"/>
      <c r="E740" s="138"/>
      <c r="F740" s="138"/>
      <c r="G740" s="138"/>
      <c r="H740" s="139"/>
      <c r="I740" s="138"/>
      <c r="J740" s="138"/>
      <c r="K740" s="138"/>
      <c r="L740" s="138"/>
      <c r="M740" s="139"/>
      <c r="N740" s="138"/>
      <c r="O740" s="138"/>
      <c r="P740" s="138"/>
      <c r="Q740" s="139"/>
      <c r="R740" s="139"/>
      <c r="S740" s="212"/>
      <c r="T740" s="138"/>
    </row>
    <row r="741" spans="1:20" ht="34.950000000000003" customHeight="1" x14ac:dyDescent="0.3">
      <c r="A741" s="136"/>
      <c r="B741" s="212"/>
      <c r="C741" s="138"/>
      <c r="D741" s="138"/>
      <c r="E741" s="138"/>
      <c r="F741" s="138"/>
      <c r="G741" s="138"/>
      <c r="H741" s="139"/>
      <c r="I741" s="138"/>
      <c r="J741" s="138"/>
      <c r="K741" s="138"/>
      <c r="L741" s="138"/>
      <c r="M741" s="139"/>
      <c r="N741" s="138"/>
      <c r="O741" s="138"/>
      <c r="P741" s="138"/>
      <c r="Q741" s="139"/>
      <c r="R741" s="139"/>
      <c r="S741" s="212"/>
      <c r="T741" s="138"/>
    </row>
    <row r="742" spans="1:20" ht="34.950000000000003" customHeight="1" x14ac:dyDescent="0.3">
      <c r="A742" s="136"/>
      <c r="B742" s="212"/>
      <c r="C742" s="138"/>
      <c r="D742" s="138"/>
      <c r="E742" s="138"/>
      <c r="F742" s="138"/>
      <c r="G742" s="138"/>
      <c r="H742" s="139"/>
      <c r="I742" s="138"/>
      <c r="J742" s="138"/>
      <c r="K742" s="138"/>
      <c r="L742" s="138"/>
      <c r="M742" s="139"/>
      <c r="N742" s="138"/>
      <c r="O742" s="138"/>
      <c r="P742" s="138"/>
      <c r="Q742" s="139"/>
      <c r="R742" s="139"/>
      <c r="S742" s="212"/>
      <c r="T742" s="138"/>
    </row>
    <row r="743" spans="1:20" ht="34.950000000000003" customHeight="1" x14ac:dyDescent="0.3">
      <c r="A743" s="136"/>
      <c r="B743" s="212"/>
      <c r="C743" s="138"/>
      <c r="D743" s="138"/>
      <c r="E743" s="138"/>
      <c r="F743" s="138"/>
      <c r="G743" s="138"/>
      <c r="H743" s="139"/>
      <c r="I743" s="138"/>
      <c r="J743" s="138"/>
      <c r="K743" s="138"/>
      <c r="L743" s="138"/>
      <c r="M743" s="139"/>
      <c r="N743" s="138"/>
      <c r="O743" s="138"/>
      <c r="P743" s="138"/>
      <c r="Q743" s="139"/>
      <c r="R743" s="139"/>
      <c r="S743" s="212"/>
      <c r="T743" s="138"/>
    </row>
    <row r="744" spans="1:20" ht="34.950000000000003" customHeight="1" x14ac:dyDescent="0.3">
      <c r="A744" s="136"/>
      <c r="B744" s="212"/>
      <c r="C744" s="138"/>
      <c r="D744" s="138"/>
      <c r="E744" s="138"/>
      <c r="F744" s="138"/>
      <c r="G744" s="138"/>
      <c r="H744" s="139"/>
      <c r="I744" s="138"/>
      <c r="J744" s="138"/>
      <c r="K744" s="138"/>
      <c r="L744" s="138"/>
      <c r="M744" s="139"/>
      <c r="N744" s="138"/>
      <c r="O744" s="138"/>
      <c r="P744" s="138"/>
      <c r="Q744" s="139"/>
      <c r="R744" s="139"/>
      <c r="S744" s="212"/>
      <c r="T744" s="138"/>
    </row>
    <row r="745" spans="1:20" ht="34.950000000000003" customHeight="1" x14ac:dyDescent="0.3">
      <c r="A745" s="136"/>
      <c r="B745" s="212"/>
      <c r="C745" s="138"/>
      <c r="D745" s="138"/>
      <c r="E745" s="138"/>
      <c r="F745" s="138"/>
      <c r="G745" s="138"/>
      <c r="H745" s="139"/>
      <c r="I745" s="138"/>
      <c r="J745" s="138"/>
      <c r="K745" s="138"/>
      <c r="L745" s="138"/>
      <c r="M745" s="139"/>
      <c r="N745" s="138"/>
      <c r="O745" s="138"/>
      <c r="P745" s="138"/>
      <c r="Q745" s="139"/>
      <c r="R745" s="139"/>
      <c r="S745" s="212"/>
      <c r="T745" s="138"/>
    </row>
    <row r="746" spans="1:20" ht="34.950000000000003" customHeight="1" x14ac:dyDescent="0.3">
      <c r="A746" s="136"/>
      <c r="B746" s="212"/>
      <c r="C746" s="138"/>
      <c r="D746" s="138"/>
      <c r="E746" s="138"/>
      <c r="F746" s="138"/>
      <c r="G746" s="138"/>
      <c r="H746" s="139"/>
      <c r="I746" s="138"/>
      <c r="J746" s="138"/>
      <c r="K746" s="138"/>
      <c r="L746" s="138"/>
      <c r="M746" s="139"/>
      <c r="N746" s="138"/>
      <c r="O746" s="138"/>
      <c r="P746" s="138"/>
      <c r="Q746" s="139"/>
      <c r="R746" s="139"/>
      <c r="S746" s="212"/>
      <c r="T746" s="138"/>
    </row>
    <row r="747" spans="1:20" ht="34.950000000000003" customHeight="1" x14ac:dyDescent="0.3">
      <c r="A747" s="136"/>
      <c r="B747" s="212"/>
      <c r="C747" s="138"/>
      <c r="D747" s="138"/>
      <c r="E747" s="138"/>
      <c r="F747" s="138"/>
      <c r="G747" s="138"/>
      <c r="H747" s="139"/>
      <c r="I747" s="138"/>
      <c r="J747" s="138"/>
      <c r="K747" s="138"/>
      <c r="L747" s="138"/>
      <c r="M747" s="139"/>
      <c r="N747" s="138"/>
      <c r="O747" s="138"/>
      <c r="P747" s="138"/>
      <c r="Q747" s="139"/>
      <c r="R747" s="139"/>
      <c r="S747" s="212"/>
      <c r="T747" s="138"/>
    </row>
    <row r="748" spans="1:20" ht="34.950000000000003" customHeight="1" x14ac:dyDescent="0.3">
      <c r="A748" s="136"/>
      <c r="B748" s="212"/>
      <c r="C748" s="138"/>
      <c r="D748" s="138"/>
      <c r="E748" s="138"/>
      <c r="F748" s="138"/>
      <c r="G748" s="138"/>
      <c r="H748" s="139"/>
      <c r="I748" s="138"/>
      <c r="J748" s="138"/>
      <c r="K748" s="138"/>
      <c r="L748" s="138"/>
      <c r="M748" s="139"/>
      <c r="N748" s="138"/>
      <c r="O748" s="138"/>
      <c r="P748" s="138"/>
      <c r="Q748" s="139"/>
      <c r="R748" s="139"/>
      <c r="S748" s="212"/>
      <c r="T748" s="138"/>
    </row>
    <row r="749" spans="1:20" ht="34.950000000000003" customHeight="1" x14ac:dyDescent="0.3">
      <c r="A749" s="136"/>
      <c r="B749" s="212"/>
      <c r="C749" s="138"/>
      <c r="D749" s="138"/>
      <c r="E749" s="138"/>
      <c r="F749" s="138"/>
      <c r="G749" s="138"/>
      <c r="H749" s="139"/>
      <c r="I749" s="138"/>
      <c r="J749" s="138"/>
      <c r="K749" s="138"/>
      <c r="L749" s="138"/>
      <c r="M749" s="139"/>
      <c r="N749" s="138"/>
      <c r="O749" s="138"/>
      <c r="P749" s="138"/>
      <c r="Q749" s="139"/>
      <c r="R749" s="139"/>
      <c r="S749" s="212"/>
      <c r="T749" s="138"/>
    </row>
    <row r="750" spans="1:20" ht="34.950000000000003" customHeight="1" x14ac:dyDescent="0.3">
      <c r="A750" s="136"/>
      <c r="B750" s="212"/>
      <c r="C750" s="138"/>
      <c r="D750" s="138"/>
      <c r="E750" s="138"/>
      <c r="F750" s="138"/>
      <c r="G750" s="138"/>
      <c r="H750" s="139"/>
      <c r="I750" s="138"/>
      <c r="J750" s="138"/>
      <c r="K750" s="138"/>
      <c r="L750" s="138"/>
      <c r="M750" s="139"/>
      <c r="N750" s="138"/>
      <c r="O750" s="138"/>
      <c r="P750" s="138"/>
      <c r="Q750" s="139"/>
      <c r="R750" s="139"/>
      <c r="S750" s="212"/>
      <c r="T750" s="138"/>
    </row>
    <row r="751" spans="1:20" ht="34.950000000000003" customHeight="1" x14ac:dyDescent="0.3">
      <c r="A751" s="136"/>
      <c r="B751" s="212"/>
      <c r="C751" s="138"/>
      <c r="D751" s="138"/>
      <c r="E751" s="138"/>
      <c r="F751" s="138"/>
      <c r="G751" s="138"/>
      <c r="H751" s="139"/>
      <c r="I751" s="138"/>
      <c r="J751" s="138"/>
      <c r="K751" s="138"/>
      <c r="L751" s="138"/>
      <c r="M751" s="139"/>
      <c r="N751" s="138"/>
      <c r="O751" s="138"/>
      <c r="P751" s="138"/>
      <c r="Q751" s="139"/>
      <c r="R751" s="139"/>
      <c r="S751" s="212"/>
      <c r="T751" s="138"/>
    </row>
    <row r="752" spans="1:20" ht="34.950000000000003" customHeight="1" x14ac:dyDescent="0.3">
      <c r="A752" s="136"/>
      <c r="B752" s="212"/>
      <c r="C752" s="138"/>
      <c r="D752" s="138"/>
      <c r="E752" s="138"/>
      <c r="F752" s="138"/>
      <c r="G752" s="138"/>
      <c r="H752" s="139"/>
      <c r="I752" s="138"/>
      <c r="J752" s="138"/>
      <c r="K752" s="138"/>
      <c r="L752" s="138"/>
      <c r="M752" s="139"/>
      <c r="N752" s="138"/>
      <c r="O752" s="138"/>
      <c r="P752" s="138"/>
      <c r="Q752" s="139"/>
      <c r="R752" s="139"/>
      <c r="S752" s="212"/>
      <c r="T752" s="138"/>
    </row>
    <row r="753" spans="1:20" ht="34.950000000000003" customHeight="1" x14ac:dyDescent="0.3">
      <c r="A753" s="136"/>
      <c r="B753" s="212"/>
      <c r="C753" s="138"/>
      <c r="D753" s="138"/>
      <c r="E753" s="138"/>
      <c r="F753" s="138"/>
      <c r="G753" s="138"/>
      <c r="H753" s="139"/>
      <c r="I753" s="138"/>
      <c r="J753" s="138"/>
      <c r="K753" s="138"/>
      <c r="L753" s="138"/>
      <c r="M753" s="139"/>
      <c r="N753" s="138"/>
      <c r="O753" s="138"/>
      <c r="P753" s="138"/>
      <c r="Q753" s="139"/>
      <c r="R753" s="139"/>
      <c r="S753" s="212"/>
      <c r="T753" s="138"/>
    </row>
    <row r="754" spans="1:20" ht="34.950000000000003" customHeight="1" x14ac:dyDescent="0.3">
      <c r="A754" s="136"/>
      <c r="B754" s="212"/>
      <c r="C754" s="138"/>
      <c r="D754" s="138"/>
      <c r="E754" s="138"/>
      <c r="F754" s="138"/>
      <c r="G754" s="138"/>
      <c r="H754" s="139"/>
      <c r="I754" s="138"/>
      <c r="J754" s="138"/>
      <c r="K754" s="138"/>
      <c r="L754" s="138"/>
      <c r="M754" s="139"/>
      <c r="N754" s="138"/>
      <c r="O754" s="138"/>
      <c r="P754" s="138"/>
      <c r="Q754" s="139"/>
      <c r="R754" s="139"/>
      <c r="S754" s="212"/>
      <c r="T754" s="138"/>
    </row>
    <row r="755" spans="1:20" ht="34.950000000000003" customHeight="1" x14ac:dyDescent="0.3">
      <c r="A755" s="136"/>
      <c r="B755" s="212"/>
      <c r="C755" s="138"/>
      <c r="D755" s="138"/>
      <c r="E755" s="138"/>
      <c r="F755" s="138"/>
      <c r="G755" s="138"/>
      <c r="H755" s="139"/>
      <c r="I755" s="138"/>
      <c r="J755" s="138"/>
      <c r="K755" s="138"/>
      <c r="L755" s="138"/>
      <c r="M755" s="139"/>
      <c r="N755" s="138"/>
      <c r="O755" s="138"/>
      <c r="P755" s="138"/>
      <c r="Q755" s="139"/>
      <c r="R755" s="139"/>
      <c r="S755" s="212"/>
      <c r="T755" s="138"/>
    </row>
    <row r="756" spans="1:20" ht="34.950000000000003" customHeight="1" x14ac:dyDescent="0.3">
      <c r="A756" s="136"/>
      <c r="B756" s="212"/>
      <c r="C756" s="138"/>
      <c r="D756" s="138"/>
      <c r="E756" s="138"/>
      <c r="F756" s="138"/>
      <c r="G756" s="138"/>
      <c r="H756" s="139"/>
      <c r="I756" s="138"/>
      <c r="J756" s="138"/>
      <c r="K756" s="138"/>
      <c r="L756" s="138"/>
      <c r="M756" s="139"/>
      <c r="N756" s="138"/>
      <c r="O756" s="138"/>
      <c r="P756" s="138"/>
      <c r="Q756" s="139"/>
      <c r="R756" s="139"/>
      <c r="S756" s="212"/>
      <c r="T756" s="138"/>
    </row>
    <row r="757" spans="1:20" ht="34.950000000000003" customHeight="1" x14ac:dyDescent="0.3">
      <c r="A757" s="136"/>
      <c r="B757" s="212"/>
      <c r="C757" s="138"/>
      <c r="D757" s="138"/>
      <c r="E757" s="138"/>
      <c r="F757" s="138"/>
      <c r="G757" s="138"/>
      <c r="H757" s="139"/>
      <c r="I757" s="138"/>
      <c r="J757" s="138"/>
      <c r="K757" s="138"/>
      <c r="L757" s="138"/>
      <c r="M757" s="139"/>
      <c r="N757" s="138"/>
      <c r="O757" s="138"/>
      <c r="P757" s="138"/>
      <c r="Q757" s="139"/>
      <c r="R757" s="139"/>
      <c r="S757" s="212"/>
      <c r="T757" s="138"/>
    </row>
    <row r="758" spans="1:20" ht="34.950000000000003" customHeight="1" x14ac:dyDescent="0.3">
      <c r="A758" s="136"/>
      <c r="B758" s="212"/>
      <c r="C758" s="138"/>
      <c r="D758" s="138"/>
      <c r="E758" s="138"/>
      <c r="F758" s="138"/>
      <c r="G758" s="138"/>
      <c r="H758" s="139"/>
      <c r="I758" s="138"/>
      <c r="J758" s="138"/>
      <c r="K758" s="138"/>
      <c r="L758" s="138"/>
      <c r="M758" s="139"/>
      <c r="N758" s="138"/>
      <c r="O758" s="138"/>
      <c r="P758" s="138"/>
      <c r="Q758" s="139"/>
      <c r="R758" s="139"/>
      <c r="S758" s="212"/>
      <c r="T758" s="138"/>
    </row>
    <row r="759" spans="1:20" ht="34.950000000000003" customHeight="1" x14ac:dyDescent="0.3">
      <c r="A759" s="136"/>
      <c r="B759" s="212"/>
      <c r="C759" s="138"/>
      <c r="D759" s="138"/>
      <c r="E759" s="138"/>
      <c r="F759" s="138"/>
      <c r="G759" s="138"/>
      <c r="H759" s="139"/>
      <c r="I759" s="138"/>
      <c r="J759" s="138"/>
      <c r="K759" s="138"/>
      <c r="L759" s="138"/>
      <c r="M759" s="139"/>
      <c r="N759" s="138"/>
      <c r="O759" s="138"/>
      <c r="P759" s="138"/>
      <c r="Q759" s="139"/>
      <c r="R759" s="139"/>
      <c r="S759" s="212"/>
      <c r="T759" s="138"/>
    </row>
    <row r="760" spans="1:20" ht="34.950000000000003" customHeight="1" x14ac:dyDescent="0.3">
      <c r="A760" s="136"/>
      <c r="B760" s="212"/>
      <c r="C760" s="138"/>
      <c r="D760" s="138"/>
      <c r="E760" s="138"/>
      <c r="F760" s="138"/>
      <c r="G760" s="138"/>
      <c r="H760" s="139"/>
      <c r="I760" s="138"/>
      <c r="J760" s="138"/>
      <c r="K760" s="138"/>
      <c r="L760" s="138"/>
      <c r="M760" s="139"/>
      <c r="N760" s="138"/>
      <c r="O760" s="138"/>
      <c r="P760" s="138"/>
      <c r="Q760" s="139"/>
      <c r="R760" s="139"/>
      <c r="S760" s="212"/>
      <c r="T760" s="138"/>
    </row>
    <row r="761" spans="1:20" ht="34.950000000000003" customHeight="1" x14ac:dyDescent="0.3">
      <c r="A761" s="136"/>
      <c r="B761" s="212"/>
      <c r="C761" s="138"/>
      <c r="D761" s="138"/>
      <c r="E761" s="138"/>
      <c r="F761" s="138"/>
      <c r="G761" s="138"/>
      <c r="H761" s="139"/>
      <c r="I761" s="138"/>
      <c r="J761" s="138"/>
      <c r="K761" s="138"/>
      <c r="L761" s="138"/>
      <c r="M761" s="139"/>
      <c r="N761" s="138"/>
      <c r="O761" s="138"/>
      <c r="P761" s="138"/>
      <c r="Q761" s="139"/>
      <c r="R761" s="139"/>
      <c r="S761" s="212"/>
      <c r="T761" s="138"/>
    </row>
    <row r="762" spans="1:20" ht="34.950000000000003" customHeight="1" x14ac:dyDescent="0.3">
      <c r="A762" s="136"/>
      <c r="B762" s="212"/>
      <c r="C762" s="138"/>
      <c r="D762" s="138"/>
      <c r="E762" s="138"/>
      <c r="F762" s="138"/>
      <c r="G762" s="138"/>
      <c r="H762" s="139"/>
      <c r="I762" s="138"/>
      <c r="J762" s="138"/>
      <c r="K762" s="138"/>
      <c r="L762" s="138"/>
      <c r="M762" s="139"/>
      <c r="N762" s="138"/>
      <c r="O762" s="138"/>
      <c r="P762" s="138"/>
      <c r="Q762" s="139"/>
      <c r="R762" s="139"/>
      <c r="S762" s="212"/>
      <c r="T762" s="138"/>
    </row>
    <row r="763" spans="1:20" ht="34.950000000000003" customHeight="1" x14ac:dyDescent="0.3">
      <c r="A763" s="136"/>
      <c r="B763" s="212"/>
      <c r="C763" s="138"/>
      <c r="D763" s="138"/>
      <c r="E763" s="138"/>
      <c r="F763" s="138"/>
      <c r="G763" s="138"/>
      <c r="H763" s="139"/>
      <c r="I763" s="138"/>
      <c r="J763" s="138"/>
      <c r="K763" s="138"/>
      <c r="L763" s="138"/>
      <c r="M763" s="139"/>
      <c r="N763" s="138"/>
      <c r="O763" s="138"/>
      <c r="P763" s="138"/>
      <c r="Q763" s="139"/>
      <c r="R763" s="139"/>
      <c r="S763" s="212"/>
      <c r="T763" s="138"/>
    </row>
    <row r="764" spans="1:20" ht="34.950000000000003" customHeight="1" x14ac:dyDescent="0.3">
      <c r="A764" s="136"/>
      <c r="B764" s="212"/>
      <c r="C764" s="138"/>
      <c r="D764" s="138"/>
      <c r="E764" s="138"/>
      <c r="F764" s="138"/>
      <c r="G764" s="138"/>
      <c r="H764" s="139"/>
      <c r="I764" s="138"/>
      <c r="J764" s="138"/>
      <c r="K764" s="138"/>
      <c r="L764" s="138"/>
      <c r="M764" s="139"/>
      <c r="N764" s="138"/>
      <c r="O764" s="138"/>
      <c r="P764" s="138"/>
      <c r="Q764" s="139"/>
      <c r="R764" s="139"/>
      <c r="S764" s="212"/>
      <c r="T764" s="138"/>
    </row>
    <row r="765" spans="1:20" ht="34.950000000000003" customHeight="1" x14ac:dyDescent="0.3">
      <c r="A765" s="136"/>
      <c r="B765" s="212"/>
      <c r="C765" s="138"/>
      <c r="D765" s="138"/>
      <c r="E765" s="138"/>
      <c r="F765" s="138"/>
      <c r="G765" s="138"/>
      <c r="H765" s="139"/>
      <c r="I765" s="138"/>
      <c r="J765" s="138"/>
      <c r="K765" s="138"/>
      <c r="L765" s="138"/>
      <c r="M765" s="139"/>
      <c r="N765" s="138"/>
      <c r="O765" s="138"/>
      <c r="P765" s="138"/>
      <c r="Q765" s="139"/>
      <c r="R765" s="139"/>
      <c r="S765" s="212"/>
      <c r="T765" s="138"/>
    </row>
    <row r="766" spans="1:20" ht="34.950000000000003" customHeight="1" x14ac:dyDescent="0.3">
      <c r="A766" s="136"/>
      <c r="B766" s="212"/>
      <c r="C766" s="138"/>
      <c r="D766" s="138"/>
      <c r="E766" s="138"/>
      <c r="F766" s="138"/>
      <c r="G766" s="138"/>
      <c r="H766" s="139"/>
      <c r="I766" s="138"/>
      <c r="J766" s="138"/>
      <c r="K766" s="138"/>
      <c r="L766" s="138"/>
      <c r="M766" s="139"/>
      <c r="N766" s="138"/>
      <c r="O766" s="138"/>
      <c r="P766" s="138"/>
      <c r="Q766" s="139"/>
      <c r="R766" s="139"/>
      <c r="S766" s="212"/>
      <c r="T766" s="138"/>
    </row>
    <row r="767" spans="1:20" ht="34.950000000000003" customHeight="1" x14ac:dyDescent="0.3">
      <c r="A767" s="136"/>
      <c r="B767" s="212"/>
      <c r="C767" s="138"/>
      <c r="D767" s="138"/>
      <c r="E767" s="138"/>
      <c r="F767" s="138"/>
      <c r="G767" s="138"/>
      <c r="H767" s="139"/>
      <c r="I767" s="138"/>
      <c r="J767" s="138"/>
      <c r="K767" s="138"/>
      <c r="L767" s="138"/>
      <c r="M767" s="139"/>
      <c r="N767" s="138"/>
      <c r="O767" s="138"/>
      <c r="P767" s="138"/>
      <c r="Q767" s="139"/>
      <c r="R767" s="139"/>
      <c r="S767" s="212"/>
      <c r="T767" s="138"/>
    </row>
    <row r="768" spans="1:20" ht="34.950000000000003" customHeight="1" x14ac:dyDescent="0.3">
      <c r="A768" s="136"/>
      <c r="B768" s="212"/>
      <c r="C768" s="138"/>
      <c r="D768" s="138"/>
      <c r="E768" s="138"/>
      <c r="F768" s="138"/>
      <c r="G768" s="138"/>
      <c r="H768" s="139"/>
      <c r="I768" s="138"/>
      <c r="J768" s="138"/>
      <c r="K768" s="138"/>
      <c r="L768" s="138"/>
      <c r="M768" s="139"/>
      <c r="N768" s="138"/>
      <c r="O768" s="138"/>
      <c r="P768" s="138"/>
      <c r="Q768" s="139"/>
      <c r="R768" s="139"/>
      <c r="S768" s="212"/>
      <c r="T768" s="138"/>
    </row>
    <row r="769" spans="1:20" ht="34.950000000000003" customHeight="1" x14ac:dyDescent="0.3">
      <c r="A769" s="136"/>
      <c r="B769" s="212"/>
      <c r="C769" s="138"/>
      <c r="D769" s="138"/>
      <c r="E769" s="138"/>
      <c r="F769" s="138"/>
      <c r="G769" s="138"/>
      <c r="H769" s="139"/>
      <c r="I769" s="138"/>
      <c r="J769" s="138"/>
      <c r="K769" s="138"/>
      <c r="L769" s="138"/>
      <c r="M769" s="139"/>
      <c r="N769" s="138"/>
      <c r="O769" s="138"/>
      <c r="P769" s="138"/>
      <c r="Q769" s="139"/>
      <c r="R769" s="139"/>
      <c r="S769" s="212"/>
      <c r="T769" s="138"/>
    </row>
    <row r="770" spans="1:20" ht="34.950000000000003" customHeight="1" x14ac:dyDescent="0.3">
      <c r="A770" s="136"/>
      <c r="B770" s="212"/>
      <c r="C770" s="138"/>
      <c r="D770" s="138"/>
      <c r="E770" s="138"/>
      <c r="F770" s="138"/>
      <c r="G770" s="138"/>
      <c r="H770" s="139"/>
      <c r="I770" s="138"/>
      <c r="J770" s="138"/>
      <c r="K770" s="138"/>
      <c r="L770" s="138"/>
      <c r="M770" s="139"/>
      <c r="N770" s="138"/>
      <c r="O770" s="138"/>
      <c r="P770" s="138"/>
      <c r="Q770" s="139"/>
      <c r="R770" s="139"/>
      <c r="S770" s="212"/>
      <c r="T770" s="138"/>
    </row>
    <row r="771" spans="1:20" ht="34.950000000000003" customHeight="1" x14ac:dyDescent="0.3">
      <c r="A771" s="136"/>
      <c r="B771" s="212"/>
      <c r="C771" s="138"/>
      <c r="D771" s="138"/>
      <c r="E771" s="138"/>
      <c r="F771" s="138"/>
      <c r="G771" s="138"/>
      <c r="H771" s="139"/>
      <c r="I771" s="138"/>
      <c r="J771" s="138"/>
      <c r="K771" s="138"/>
      <c r="L771" s="138"/>
      <c r="M771" s="139"/>
      <c r="N771" s="138"/>
      <c r="O771" s="138"/>
      <c r="P771" s="138"/>
      <c r="Q771" s="139"/>
      <c r="R771" s="139"/>
      <c r="S771" s="212"/>
      <c r="T771" s="138"/>
    </row>
    <row r="772" spans="1:20" ht="34.950000000000003" customHeight="1" x14ac:dyDescent="0.3">
      <c r="A772" s="136"/>
      <c r="B772" s="212"/>
      <c r="C772" s="138"/>
      <c r="D772" s="138"/>
      <c r="E772" s="138"/>
      <c r="F772" s="138"/>
      <c r="G772" s="138"/>
      <c r="H772" s="139"/>
      <c r="I772" s="138"/>
      <c r="J772" s="138"/>
      <c r="K772" s="138"/>
      <c r="L772" s="138"/>
      <c r="M772" s="139"/>
      <c r="N772" s="138"/>
      <c r="O772" s="138"/>
      <c r="P772" s="138"/>
      <c r="Q772" s="139"/>
      <c r="R772" s="139"/>
      <c r="S772" s="212"/>
      <c r="T772" s="138"/>
    </row>
    <row r="773" spans="1:20" ht="34.950000000000003" customHeight="1" x14ac:dyDescent="0.3">
      <c r="A773" s="136"/>
      <c r="B773" s="212"/>
      <c r="C773" s="138"/>
      <c r="D773" s="138"/>
      <c r="E773" s="138"/>
      <c r="F773" s="138"/>
      <c r="G773" s="138"/>
      <c r="H773" s="139"/>
      <c r="I773" s="138"/>
      <c r="J773" s="138"/>
      <c r="K773" s="138"/>
      <c r="L773" s="138"/>
      <c r="M773" s="139"/>
      <c r="N773" s="138"/>
      <c r="O773" s="138"/>
      <c r="P773" s="138"/>
      <c r="Q773" s="139"/>
      <c r="R773" s="139"/>
      <c r="S773" s="212"/>
      <c r="T773" s="138"/>
    </row>
    <row r="774" spans="1:20" ht="34.950000000000003" customHeight="1" x14ac:dyDescent="0.3">
      <c r="A774" s="136"/>
      <c r="B774" s="212"/>
      <c r="C774" s="138"/>
      <c r="D774" s="138"/>
      <c r="E774" s="138"/>
      <c r="F774" s="138"/>
      <c r="G774" s="138"/>
      <c r="H774" s="139"/>
      <c r="I774" s="138"/>
      <c r="J774" s="138"/>
      <c r="K774" s="138"/>
      <c r="L774" s="138"/>
      <c r="M774" s="139"/>
      <c r="N774" s="138"/>
      <c r="O774" s="138"/>
      <c r="P774" s="138"/>
      <c r="Q774" s="139"/>
      <c r="R774" s="139"/>
      <c r="S774" s="212"/>
      <c r="T774" s="138"/>
    </row>
    <row r="775" spans="1:20" ht="34.950000000000003" customHeight="1" x14ac:dyDescent="0.3">
      <c r="A775" s="136"/>
      <c r="B775" s="212"/>
      <c r="C775" s="138"/>
      <c r="D775" s="138"/>
      <c r="E775" s="138"/>
      <c r="F775" s="138"/>
      <c r="G775" s="138"/>
      <c r="H775" s="139"/>
      <c r="I775" s="138"/>
      <c r="J775" s="138"/>
      <c r="K775" s="138"/>
      <c r="L775" s="138"/>
      <c r="M775" s="139"/>
      <c r="N775" s="138"/>
      <c r="O775" s="138"/>
      <c r="P775" s="138"/>
      <c r="Q775" s="139"/>
      <c r="R775" s="139"/>
      <c r="S775" s="212"/>
      <c r="T775" s="138"/>
    </row>
    <row r="776" spans="1:20" ht="34.950000000000003" customHeight="1" x14ac:dyDescent="0.3">
      <c r="A776" s="136"/>
      <c r="B776" s="212"/>
      <c r="C776" s="138"/>
      <c r="D776" s="138"/>
      <c r="E776" s="138"/>
      <c r="F776" s="138"/>
      <c r="G776" s="138"/>
      <c r="H776" s="139"/>
      <c r="I776" s="138"/>
      <c r="J776" s="138"/>
      <c r="K776" s="138"/>
      <c r="L776" s="138"/>
      <c r="M776" s="139"/>
      <c r="N776" s="138"/>
      <c r="O776" s="138"/>
      <c r="P776" s="138"/>
      <c r="Q776" s="139"/>
      <c r="R776" s="139"/>
      <c r="S776" s="212"/>
      <c r="T776" s="138"/>
    </row>
    <row r="777" spans="1:20" ht="34.950000000000003" customHeight="1" x14ac:dyDescent="0.3">
      <c r="A777" s="136"/>
      <c r="B777" s="212"/>
      <c r="C777" s="138"/>
      <c r="D777" s="138"/>
      <c r="E777" s="138"/>
      <c r="F777" s="138"/>
      <c r="G777" s="138"/>
      <c r="H777" s="139"/>
      <c r="I777" s="138"/>
      <c r="J777" s="138"/>
      <c r="K777" s="138"/>
      <c r="L777" s="138"/>
      <c r="M777" s="139"/>
      <c r="N777" s="138"/>
      <c r="O777" s="138"/>
      <c r="P777" s="138"/>
      <c r="Q777" s="139"/>
      <c r="R777" s="139"/>
      <c r="S777" s="212"/>
      <c r="T777" s="138"/>
    </row>
    <row r="778" spans="1:20" ht="34.950000000000003" customHeight="1" x14ac:dyDescent="0.3">
      <c r="A778" s="136"/>
      <c r="B778" s="212"/>
      <c r="C778" s="138"/>
      <c r="D778" s="138"/>
      <c r="E778" s="138"/>
      <c r="F778" s="138"/>
      <c r="G778" s="138"/>
      <c r="H778" s="139"/>
      <c r="I778" s="138"/>
      <c r="J778" s="138"/>
      <c r="K778" s="138"/>
      <c r="L778" s="138"/>
      <c r="M778" s="139"/>
      <c r="N778" s="138"/>
      <c r="O778" s="138"/>
      <c r="P778" s="138"/>
      <c r="Q778" s="139"/>
      <c r="R778" s="139"/>
      <c r="S778" s="212"/>
      <c r="T778" s="138"/>
    </row>
    <row r="779" spans="1:20" ht="34.950000000000003" customHeight="1" x14ac:dyDescent="0.3">
      <c r="A779" s="136"/>
      <c r="B779" s="212"/>
      <c r="C779" s="138"/>
      <c r="D779" s="138"/>
      <c r="E779" s="138"/>
      <c r="F779" s="138"/>
      <c r="G779" s="138"/>
      <c r="H779" s="139"/>
      <c r="I779" s="138"/>
      <c r="J779" s="138"/>
      <c r="K779" s="138"/>
      <c r="L779" s="138"/>
      <c r="M779" s="139"/>
      <c r="N779" s="138"/>
      <c r="O779" s="138"/>
      <c r="P779" s="138"/>
      <c r="Q779" s="139"/>
      <c r="R779" s="139"/>
      <c r="S779" s="212"/>
      <c r="T779" s="138"/>
    </row>
    <row r="780" spans="1:20" ht="34.950000000000003" customHeight="1" x14ac:dyDescent="0.3">
      <c r="A780" s="136"/>
      <c r="B780" s="212"/>
      <c r="C780" s="138"/>
      <c r="D780" s="138"/>
      <c r="E780" s="138"/>
      <c r="F780" s="138"/>
      <c r="G780" s="138"/>
      <c r="H780" s="139"/>
      <c r="I780" s="138"/>
      <c r="J780" s="138"/>
      <c r="K780" s="138"/>
      <c r="L780" s="138"/>
      <c r="M780" s="139"/>
      <c r="N780" s="138"/>
      <c r="O780" s="138"/>
      <c r="P780" s="138"/>
      <c r="Q780" s="139"/>
      <c r="R780" s="139"/>
      <c r="S780" s="212"/>
      <c r="T780" s="138"/>
    </row>
    <row r="781" spans="1:20" ht="34.950000000000003" customHeight="1" x14ac:dyDescent="0.3">
      <c r="A781" s="136"/>
      <c r="B781" s="212"/>
      <c r="C781" s="138"/>
      <c r="D781" s="138"/>
      <c r="E781" s="138"/>
      <c r="F781" s="138"/>
      <c r="G781" s="138"/>
      <c r="H781" s="139"/>
      <c r="I781" s="138"/>
      <c r="J781" s="138"/>
      <c r="K781" s="138"/>
      <c r="L781" s="138"/>
      <c r="M781" s="139"/>
      <c r="N781" s="138"/>
      <c r="O781" s="138"/>
      <c r="P781" s="138"/>
      <c r="Q781" s="139"/>
      <c r="R781" s="139"/>
      <c r="S781" s="212"/>
      <c r="T781" s="138"/>
    </row>
    <row r="782" spans="1:20" ht="34.950000000000003" customHeight="1" x14ac:dyDescent="0.3">
      <c r="A782" s="136"/>
      <c r="B782" s="212"/>
      <c r="C782" s="138"/>
      <c r="D782" s="138"/>
      <c r="E782" s="138"/>
      <c r="F782" s="138"/>
      <c r="G782" s="138"/>
      <c r="H782" s="139"/>
      <c r="I782" s="138"/>
      <c r="J782" s="138"/>
      <c r="K782" s="138"/>
      <c r="L782" s="138"/>
      <c r="M782" s="139"/>
      <c r="N782" s="138"/>
      <c r="O782" s="138"/>
      <c r="P782" s="138"/>
      <c r="Q782" s="139"/>
      <c r="R782" s="139"/>
      <c r="S782" s="212"/>
      <c r="T782" s="138"/>
    </row>
    <row r="783" spans="1:20" ht="34.950000000000003" customHeight="1" x14ac:dyDescent="0.3">
      <c r="A783" s="136"/>
      <c r="B783" s="212"/>
      <c r="C783" s="138"/>
      <c r="D783" s="138"/>
      <c r="E783" s="138"/>
      <c r="F783" s="138"/>
      <c r="G783" s="138"/>
      <c r="H783" s="139"/>
      <c r="I783" s="138"/>
      <c r="J783" s="138"/>
      <c r="K783" s="138"/>
      <c r="L783" s="138"/>
      <c r="M783" s="139"/>
      <c r="N783" s="138"/>
      <c r="O783" s="138"/>
      <c r="P783" s="138"/>
      <c r="Q783" s="139"/>
      <c r="R783" s="139"/>
      <c r="S783" s="212"/>
      <c r="T783" s="138"/>
    </row>
    <row r="784" spans="1:20" ht="34.950000000000003" customHeight="1" x14ac:dyDescent="0.3">
      <c r="A784" s="136"/>
      <c r="B784" s="212"/>
      <c r="C784" s="138"/>
      <c r="D784" s="138"/>
      <c r="E784" s="138"/>
      <c r="F784" s="138"/>
      <c r="G784" s="138"/>
      <c r="H784" s="139"/>
      <c r="I784" s="138"/>
      <c r="J784" s="138"/>
      <c r="K784" s="138"/>
      <c r="L784" s="138"/>
      <c r="M784" s="139"/>
      <c r="N784" s="138"/>
      <c r="O784" s="138"/>
      <c r="P784" s="138"/>
      <c r="Q784" s="139"/>
      <c r="R784" s="139"/>
      <c r="S784" s="212"/>
      <c r="T784" s="138"/>
    </row>
    <row r="785" spans="1:20" ht="34.950000000000003" customHeight="1" x14ac:dyDescent="0.3">
      <c r="A785" s="136"/>
      <c r="B785" s="212"/>
      <c r="C785" s="138"/>
      <c r="D785" s="138"/>
      <c r="E785" s="138"/>
      <c r="F785" s="138"/>
      <c r="G785" s="138"/>
      <c r="H785" s="139"/>
      <c r="I785" s="138"/>
      <c r="J785" s="138"/>
      <c r="K785" s="138"/>
      <c r="L785" s="138"/>
      <c r="M785" s="139"/>
      <c r="N785" s="138"/>
      <c r="O785" s="138"/>
      <c r="P785" s="138"/>
      <c r="Q785" s="139"/>
      <c r="R785" s="139"/>
      <c r="S785" s="212"/>
      <c r="T785" s="138"/>
    </row>
    <row r="786" spans="1:20" ht="34.950000000000003" customHeight="1" x14ac:dyDescent="0.3">
      <c r="A786" s="136"/>
      <c r="B786" s="212"/>
      <c r="C786" s="138"/>
      <c r="D786" s="138"/>
      <c r="E786" s="138"/>
      <c r="F786" s="138"/>
      <c r="G786" s="138"/>
      <c r="H786" s="139"/>
      <c r="I786" s="138"/>
      <c r="J786" s="138"/>
      <c r="K786" s="138"/>
      <c r="L786" s="138"/>
      <c r="M786" s="139"/>
      <c r="N786" s="138"/>
      <c r="O786" s="138"/>
      <c r="P786" s="138"/>
      <c r="Q786" s="139"/>
      <c r="R786" s="139"/>
      <c r="S786" s="212"/>
      <c r="T786" s="138"/>
    </row>
    <row r="787" spans="1:20" ht="34.950000000000003" customHeight="1" x14ac:dyDescent="0.3">
      <c r="A787" s="136"/>
      <c r="B787" s="212"/>
      <c r="C787" s="138"/>
      <c r="D787" s="138"/>
      <c r="E787" s="138"/>
      <c r="F787" s="138"/>
      <c r="G787" s="138"/>
      <c r="H787" s="139"/>
      <c r="I787" s="138"/>
      <c r="J787" s="138"/>
      <c r="K787" s="138"/>
      <c r="L787" s="138"/>
      <c r="M787" s="139"/>
      <c r="N787" s="138"/>
      <c r="O787" s="138"/>
      <c r="P787" s="138"/>
      <c r="Q787" s="139"/>
      <c r="R787" s="139"/>
      <c r="S787" s="212"/>
      <c r="T787" s="138"/>
    </row>
    <row r="788" spans="1:20" ht="34.950000000000003" customHeight="1" x14ac:dyDescent="0.3">
      <c r="A788" s="136"/>
      <c r="B788" s="212"/>
      <c r="C788" s="138"/>
      <c r="D788" s="138"/>
      <c r="E788" s="138"/>
      <c r="F788" s="138"/>
      <c r="G788" s="138"/>
      <c r="H788" s="139"/>
      <c r="I788" s="138"/>
      <c r="J788" s="138"/>
      <c r="K788" s="138"/>
      <c r="L788" s="138"/>
      <c r="M788" s="139"/>
      <c r="N788" s="138"/>
      <c r="O788" s="138"/>
      <c r="P788" s="138"/>
      <c r="Q788" s="139"/>
      <c r="R788" s="139"/>
      <c r="S788" s="212"/>
      <c r="T788" s="138"/>
    </row>
    <row r="789" spans="1:20" ht="34.950000000000003" customHeight="1" x14ac:dyDescent="0.3">
      <c r="A789" s="136"/>
      <c r="B789" s="212"/>
      <c r="C789" s="138"/>
      <c r="D789" s="138"/>
      <c r="E789" s="138"/>
      <c r="F789" s="138"/>
      <c r="G789" s="138"/>
      <c r="H789" s="139"/>
      <c r="I789" s="138"/>
      <c r="J789" s="138"/>
      <c r="K789" s="138"/>
      <c r="L789" s="138"/>
      <c r="M789" s="139"/>
      <c r="N789" s="138"/>
      <c r="O789" s="138"/>
      <c r="P789" s="138"/>
      <c r="Q789" s="139"/>
      <c r="R789" s="139"/>
      <c r="S789" s="212"/>
      <c r="T789" s="138"/>
    </row>
    <row r="790" spans="1:20" ht="34.950000000000003" customHeight="1" x14ac:dyDescent="0.3">
      <c r="A790" s="136"/>
      <c r="B790" s="212"/>
      <c r="C790" s="138"/>
      <c r="D790" s="138"/>
      <c r="E790" s="138"/>
      <c r="F790" s="138"/>
      <c r="G790" s="138"/>
      <c r="H790" s="139"/>
      <c r="I790" s="138"/>
      <c r="J790" s="138"/>
      <c r="K790" s="138"/>
      <c r="L790" s="138"/>
      <c r="M790" s="139"/>
      <c r="N790" s="138"/>
      <c r="O790" s="138"/>
      <c r="P790" s="138"/>
      <c r="Q790" s="139"/>
      <c r="R790" s="139"/>
      <c r="S790" s="212"/>
      <c r="T790" s="138"/>
    </row>
    <row r="791" spans="1:20" ht="34.950000000000003" customHeight="1" x14ac:dyDescent="0.3">
      <c r="A791" s="136"/>
      <c r="B791" s="212"/>
      <c r="C791" s="138"/>
      <c r="D791" s="138"/>
      <c r="E791" s="138"/>
      <c r="F791" s="138"/>
      <c r="G791" s="138"/>
      <c r="H791" s="139"/>
      <c r="I791" s="138"/>
      <c r="J791" s="138"/>
      <c r="K791" s="138"/>
      <c r="L791" s="138"/>
      <c r="M791" s="139"/>
      <c r="N791" s="138"/>
      <c r="O791" s="138"/>
      <c r="P791" s="138"/>
      <c r="Q791" s="139"/>
      <c r="R791" s="139"/>
      <c r="S791" s="212"/>
      <c r="T791" s="138"/>
    </row>
    <row r="792" spans="1:20" ht="34.950000000000003" customHeight="1" x14ac:dyDescent="0.3">
      <c r="A792" s="136"/>
      <c r="B792" s="212"/>
      <c r="C792" s="138"/>
      <c r="D792" s="138"/>
      <c r="E792" s="138"/>
      <c r="F792" s="138"/>
      <c r="G792" s="138"/>
      <c r="H792" s="139"/>
      <c r="I792" s="138"/>
      <c r="J792" s="138"/>
      <c r="K792" s="138"/>
      <c r="L792" s="138"/>
      <c r="M792" s="139"/>
      <c r="N792" s="138"/>
      <c r="O792" s="138"/>
      <c r="P792" s="138"/>
      <c r="Q792" s="139"/>
      <c r="R792" s="139"/>
      <c r="S792" s="212"/>
      <c r="T792" s="138"/>
    </row>
    <row r="793" spans="1:20" ht="34.950000000000003" customHeight="1" x14ac:dyDescent="0.3">
      <c r="A793" s="136"/>
      <c r="B793" s="212"/>
      <c r="C793" s="138"/>
      <c r="D793" s="138"/>
      <c r="E793" s="138"/>
      <c r="F793" s="138"/>
      <c r="G793" s="138"/>
      <c r="H793" s="139"/>
      <c r="I793" s="138"/>
      <c r="J793" s="138"/>
      <c r="K793" s="138"/>
      <c r="L793" s="138"/>
      <c r="M793" s="139"/>
      <c r="N793" s="138"/>
      <c r="O793" s="138"/>
      <c r="P793" s="138"/>
      <c r="Q793" s="139"/>
      <c r="R793" s="139"/>
      <c r="S793" s="212"/>
      <c r="T793" s="138"/>
    </row>
    <row r="794" spans="1:20" ht="34.950000000000003" customHeight="1" x14ac:dyDescent="0.3">
      <c r="A794" s="136"/>
      <c r="B794" s="212"/>
      <c r="C794" s="138"/>
      <c r="D794" s="138"/>
      <c r="E794" s="138"/>
      <c r="F794" s="138"/>
      <c r="G794" s="138"/>
      <c r="H794" s="139"/>
      <c r="I794" s="138"/>
      <c r="J794" s="138"/>
      <c r="K794" s="138"/>
      <c r="L794" s="138"/>
      <c r="M794" s="139"/>
      <c r="N794" s="138"/>
      <c r="O794" s="138"/>
      <c r="P794" s="138"/>
      <c r="Q794" s="139"/>
      <c r="R794" s="139"/>
      <c r="S794" s="212"/>
      <c r="T794" s="138"/>
    </row>
    <row r="795" spans="1:20" ht="34.950000000000003" customHeight="1" x14ac:dyDescent="0.3">
      <c r="A795" s="136"/>
      <c r="B795" s="212"/>
      <c r="C795" s="138"/>
      <c r="D795" s="138"/>
      <c r="E795" s="138"/>
      <c r="F795" s="138"/>
      <c r="G795" s="138"/>
      <c r="H795" s="139"/>
      <c r="I795" s="138"/>
      <c r="J795" s="138"/>
      <c r="K795" s="138"/>
      <c r="L795" s="138"/>
      <c r="M795" s="139"/>
      <c r="N795" s="138"/>
      <c r="O795" s="138"/>
      <c r="P795" s="138"/>
      <c r="Q795" s="139"/>
      <c r="R795" s="139"/>
      <c r="S795" s="212"/>
      <c r="T795" s="138"/>
    </row>
    <row r="796" spans="1:20" ht="34.950000000000003" customHeight="1" x14ac:dyDescent="0.3">
      <c r="A796" s="136"/>
      <c r="B796" s="212"/>
      <c r="C796" s="138"/>
      <c r="D796" s="138"/>
      <c r="E796" s="138"/>
      <c r="F796" s="138"/>
      <c r="G796" s="138"/>
      <c r="H796" s="139"/>
      <c r="I796" s="138"/>
      <c r="J796" s="138"/>
      <c r="K796" s="138"/>
      <c r="L796" s="138"/>
      <c r="M796" s="139"/>
      <c r="N796" s="138"/>
      <c r="O796" s="138"/>
      <c r="P796" s="138"/>
      <c r="Q796" s="139"/>
      <c r="R796" s="139"/>
      <c r="S796" s="212"/>
      <c r="T796" s="138"/>
    </row>
    <row r="797" spans="1:20" ht="34.950000000000003" customHeight="1" x14ac:dyDescent="0.3">
      <c r="A797" s="136"/>
      <c r="B797" s="212"/>
      <c r="C797" s="138"/>
      <c r="D797" s="138"/>
      <c r="E797" s="138"/>
      <c r="F797" s="138"/>
      <c r="G797" s="138"/>
      <c r="H797" s="139"/>
      <c r="I797" s="138"/>
      <c r="J797" s="138"/>
      <c r="K797" s="138"/>
      <c r="L797" s="138"/>
      <c r="M797" s="139"/>
      <c r="N797" s="138"/>
      <c r="O797" s="138"/>
      <c r="P797" s="138"/>
      <c r="Q797" s="139"/>
      <c r="R797" s="139"/>
      <c r="S797" s="212"/>
      <c r="T797" s="138"/>
    </row>
    <row r="798" spans="1:20" ht="34.950000000000003" customHeight="1" x14ac:dyDescent="0.3">
      <c r="A798" s="136"/>
      <c r="B798" s="212"/>
      <c r="C798" s="138"/>
      <c r="D798" s="138"/>
      <c r="E798" s="138"/>
      <c r="F798" s="138"/>
      <c r="G798" s="138"/>
      <c r="H798" s="139"/>
      <c r="I798" s="138"/>
      <c r="J798" s="138"/>
      <c r="K798" s="138"/>
      <c r="L798" s="138"/>
      <c r="M798" s="139"/>
      <c r="N798" s="138"/>
      <c r="O798" s="138"/>
      <c r="P798" s="138"/>
      <c r="Q798" s="139"/>
      <c r="R798" s="139"/>
      <c r="S798" s="212"/>
      <c r="T798" s="138"/>
    </row>
    <row r="799" spans="1:20" ht="34.950000000000003" customHeight="1" x14ac:dyDescent="0.3">
      <c r="A799" s="136"/>
      <c r="B799" s="212"/>
      <c r="C799" s="138"/>
      <c r="D799" s="138"/>
      <c r="E799" s="138"/>
      <c r="F799" s="138"/>
      <c r="G799" s="138"/>
      <c r="H799" s="139"/>
      <c r="I799" s="138"/>
      <c r="J799" s="138"/>
      <c r="K799" s="138"/>
      <c r="L799" s="138"/>
      <c r="M799" s="139"/>
      <c r="N799" s="138"/>
      <c r="O799" s="138"/>
      <c r="P799" s="138"/>
      <c r="Q799" s="139"/>
      <c r="R799" s="139"/>
      <c r="S799" s="212"/>
      <c r="T799" s="138"/>
    </row>
    <row r="800" spans="1:20" ht="34.950000000000003" customHeight="1" x14ac:dyDescent="0.3">
      <c r="A800" s="136"/>
      <c r="B800" s="212"/>
      <c r="C800" s="138"/>
      <c r="D800" s="138"/>
      <c r="E800" s="138"/>
      <c r="F800" s="138"/>
      <c r="G800" s="138"/>
      <c r="H800" s="139"/>
      <c r="I800" s="138"/>
      <c r="J800" s="138"/>
      <c r="K800" s="138"/>
      <c r="L800" s="138"/>
      <c r="M800" s="139"/>
      <c r="N800" s="138"/>
      <c r="O800" s="138"/>
      <c r="P800" s="138"/>
      <c r="Q800" s="139"/>
      <c r="R800" s="139"/>
      <c r="S800" s="212"/>
      <c r="T800" s="138"/>
    </row>
    <row r="801" spans="1:20" ht="34.950000000000003" customHeight="1" x14ac:dyDescent="0.3">
      <c r="A801" s="136"/>
      <c r="B801" s="212"/>
      <c r="C801" s="138"/>
      <c r="D801" s="138"/>
      <c r="E801" s="138"/>
      <c r="F801" s="138"/>
      <c r="G801" s="138"/>
      <c r="H801" s="139"/>
      <c r="I801" s="138"/>
      <c r="J801" s="138"/>
      <c r="K801" s="138"/>
      <c r="L801" s="138"/>
      <c r="M801" s="139"/>
      <c r="N801" s="138"/>
      <c r="O801" s="138"/>
      <c r="P801" s="138"/>
      <c r="Q801" s="139"/>
      <c r="R801" s="139"/>
      <c r="S801" s="212"/>
      <c r="T801" s="138"/>
    </row>
    <row r="802" spans="1:20" ht="34.950000000000003" customHeight="1" x14ac:dyDescent="0.3">
      <c r="A802" s="136"/>
      <c r="B802" s="212"/>
      <c r="C802" s="138"/>
      <c r="D802" s="138"/>
      <c r="E802" s="138"/>
      <c r="F802" s="138"/>
      <c r="G802" s="138"/>
      <c r="H802" s="139"/>
      <c r="I802" s="138"/>
      <c r="J802" s="138"/>
      <c r="K802" s="138"/>
      <c r="L802" s="138"/>
      <c r="M802" s="139"/>
      <c r="N802" s="138"/>
      <c r="O802" s="138"/>
      <c r="P802" s="138"/>
      <c r="Q802" s="139"/>
      <c r="R802" s="139"/>
      <c r="S802" s="212"/>
      <c r="T802" s="138"/>
    </row>
    <row r="803" spans="1:20" ht="34.950000000000003" customHeight="1" x14ac:dyDescent="0.3">
      <c r="A803" s="136"/>
      <c r="B803" s="212"/>
      <c r="C803" s="138"/>
      <c r="D803" s="138"/>
      <c r="E803" s="138"/>
      <c r="F803" s="138"/>
      <c r="G803" s="138"/>
      <c r="H803" s="139"/>
      <c r="I803" s="138"/>
      <c r="J803" s="138"/>
      <c r="K803" s="138"/>
      <c r="L803" s="138"/>
      <c r="M803" s="139"/>
      <c r="N803" s="138"/>
      <c r="O803" s="138"/>
      <c r="P803" s="138"/>
      <c r="Q803" s="139"/>
      <c r="R803" s="139"/>
      <c r="S803" s="212"/>
      <c r="T803" s="138"/>
    </row>
    <row r="804" spans="1:20" ht="34.950000000000003" customHeight="1" x14ac:dyDescent="0.3">
      <c r="A804" s="136"/>
      <c r="B804" s="212"/>
      <c r="C804" s="138"/>
      <c r="D804" s="138"/>
      <c r="E804" s="138"/>
      <c r="F804" s="138"/>
      <c r="G804" s="138"/>
      <c r="H804" s="139"/>
      <c r="I804" s="138"/>
      <c r="J804" s="138"/>
      <c r="K804" s="138"/>
      <c r="L804" s="138"/>
      <c r="M804" s="139"/>
      <c r="N804" s="138"/>
      <c r="O804" s="138"/>
      <c r="P804" s="138"/>
      <c r="Q804" s="139"/>
      <c r="R804" s="139"/>
      <c r="S804" s="212"/>
      <c r="T804" s="138"/>
    </row>
    <row r="805" spans="1:20" ht="34.950000000000003" customHeight="1" x14ac:dyDescent="0.3">
      <c r="A805" s="136"/>
      <c r="B805" s="212"/>
      <c r="C805" s="138"/>
      <c r="D805" s="138"/>
      <c r="E805" s="138"/>
      <c r="F805" s="138"/>
      <c r="G805" s="138"/>
      <c r="H805" s="139"/>
      <c r="I805" s="138"/>
      <c r="J805" s="138"/>
      <c r="K805" s="138"/>
      <c r="L805" s="138"/>
      <c r="M805" s="139"/>
      <c r="N805" s="138"/>
      <c r="O805" s="138"/>
      <c r="P805" s="138"/>
      <c r="Q805" s="139"/>
      <c r="R805" s="139"/>
      <c r="S805" s="212"/>
      <c r="T805" s="138"/>
    </row>
    <row r="806" spans="1:20" ht="34.950000000000003" customHeight="1" x14ac:dyDescent="0.3">
      <c r="A806" s="136"/>
      <c r="B806" s="212"/>
      <c r="C806" s="138"/>
      <c r="D806" s="138"/>
      <c r="E806" s="138"/>
      <c r="F806" s="138"/>
      <c r="G806" s="138"/>
      <c r="H806" s="139"/>
      <c r="I806" s="138"/>
      <c r="J806" s="138"/>
      <c r="K806" s="138"/>
      <c r="L806" s="138"/>
      <c r="M806" s="139"/>
      <c r="N806" s="138"/>
      <c r="O806" s="138"/>
      <c r="P806" s="138"/>
      <c r="Q806" s="139"/>
      <c r="R806" s="139"/>
      <c r="S806" s="212"/>
      <c r="T806" s="138"/>
    </row>
    <row r="807" spans="1:20" ht="34.950000000000003" customHeight="1" x14ac:dyDescent="0.3">
      <c r="A807" s="136"/>
      <c r="B807" s="212"/>
      <c r="C807" s="138"/>
      <c r="D807" s="138"/>
      <c r="E807" s="138"/>
      <c r="F807" s="138"/>
      <c r="G807" s="138"/>
      <c r="H807" s="139"/>
      <c r="I807" s="138"/>
      <c r="J807" s="138"/>
      <c r="K807" s="138"/>
      <c r="L807" s="138"/>
      <c r="M807" s="139"/>
      <c r="N807" s="138"/>
      <c r="O807" s="138"/>
      <c r="P807" s="138"/>
      <c r="Q807" s="139"/>
      <c r="R807" s="139"/>
      <c r="S807" s="212"/>
      <c r="T807" s="138"/>
    </row>
    <row r="808" spans="1:20" ht="34.950000000000003" customHeight="1" x14ac:dyDescent="0.3">
      <c r="A808" s="136"/>
      <c r="B808" s="212"/>
      <c r="C808" s="138"/>
      <c r="D808" s="138"/>
      <c r="E808" s="138"/>
      <c r="F808" s="138"/>
      <c r="G808" s="138"/>
      <c r="H808" s="139"/>
      <c r="I808" s="138"/>
      <c r="J808" s="138"/>
      <c r="K808" s="138"/>
      <c r="L808" s="138"/>
      <c r="M808" s="139"/>
      <c r="N808" s="138"/>
      <c r="O808" s="138"/>
      <c r="P808" s="138"/>
      <c r="Q808" s="139"/>
      <c r="R808" s="139"/>
      <c r="S808" s="212"/>
      <c r="T808" s="138"/>
    </row>
    <row r="809" spans="1:20" ht="34.950000000000003" customHeight="1" x14ac:dyDescent="0.3">
      <c r="A809" s="136"/>
      <c r="B809" s="212"/>
      <c r="C809" s="138"/>
      <c r="D809" s="138"/>
      <c r="E809" s="138"/>
      <c r="F809" s="138"/>
      <c r="G809" s="138"/>
      <c r="H809" s="139"/>
      <c r="I809" s="138"/>
      <c r="J809" s="138"/>
      <c r="K809" s="138"/>
      <c r="L809" s="138"/>
      <c r="M809" s="139"/>
      <c r="N809" s="138"/>
      <c r="O809" s="138"/>
      <c r="P809" s="138"/>
      <c r="Q809" s="139"/>
      <c r="R809" s="139"/>
      <c r="S809" s="212"/>
      <c r="T809" s="138"/>
    </row>
    <row r="810" spans="1:20" ht="34.950000000000003" customHeight="1" x14ac:dyDescent="0.3">
      <c r="A810" s="136"/>
      <c r="B810" s="212"/>
      <c r="C810" s="138"/>
      <c r="D810" s="138"/>
      <c r="E810" s="138"/>
      <c r="F810" s="138"/>
      <c r="G810" s="138"/>
      <c r="H810" s="139"/>
      <c r="I810" s="138"/>
      <c r="J810" s="138"/>
      <c r="K810" s="138"/>
      <c r="L810" s="138"/>
      <c r="M810" s="139"/>
      <c r="N810" s="138"/>
      <c r="O810" s="138"/>
      <c r="P810" s="138"/>
      <c r="Q810" s="139"/>
      <c r="R810" s="139"/>
      <c r="S810" s="212"/>
      <c r="T810" s="138"/>
    </row>
    <row r="811" spans="1:20" ht="34.950000000000003" customHeight="1" x14ac:dyDescent="0.3">
      <c r="A811" s="136"/>
      <c r="B811" s="212"/>
      <c r="C811" s="138"/>
      <c r="D811" s="138"/>
      <c r="E811" s="138"/>
      <c r="F811" s="138"/>
      <c r="G811" s="138"/>
      <c r="H811" s="139"/>
      <c r="I811" s="138"/>
      <c r="J811" s="138"/>
      <c r="K811" s="138"/>
      <c r="L811" s="138"/>
      <c r="M811" s="139"/>
      <c r="N811" s="138"/>
      <c r="O811" s="138"/>
      <c r="P811" s="138"/>
      <c r="Q811" s="139"/>
      <c r="R811" s="139"/>
      <c r="S811" s="212"/>
      <c r="T811" s="138"/>
    </row>
    <row r="812" spans="1:20" ht="34.950000000000003" customHeight="1" x14ac:dyDescent="0.3">
      <c r="A812" s="136"/>
      <c r="B812" s="212"/>
      <c r="C812" s="138"/>
      <c r="D812" s="138"/>
      <c r="E812" s="138"/>
      <c r="F812" s="138"/>
      <c r="G812" s="138"/>
      <c r="H812" s="139"/>
      <c r="I812" s="138"/>
      <c r="J812" s="138"/>
      <c r="K812" s="138"/>
      <c r="L812" s="138"/>
      <c r="M812" s="139"/>
      <c r="N812" s="138"/>
      <c r="O812" s="138"/>
      <c r="P812" s="138"/>
      <c r="Q812" s="139"/>
      <c r="R812" s="139"/>
      <c r="S812" s="212"/>
      <c r="T812" s="138"/>
    </row>
    <row r="813" spans="1:20" ht="34.950000000000003" customHeight="1" x14ac:dyDescent="0.3">
      <c r="A813" s="136"/>
      <c r="B813" s="212"/>
      <c r="C813" s="138"/>
      <c r="D813" s="138"/>
      <c r="E813" s="138"/>
      <c r="F813" s="138"/>
      <c r="G813" s="138"/>
      <c r="H813" s="139"/>
      <c r="I813" s="138"/>
      <c r="J813" s="138"/>
      <c r="K813" s="138"/>
      <c r="L813" s="138"/>
      <c r="M813" s="139"/>
      <c r="N813" s="138"/>
      <c r="O813" s="138"/>
      <c r="P813" s="138"/>
      <c r="Q813" s="139"/>
      <c r="R813" s="139"/>
      <c r="S813" s="212"/>
      <c r="T813" s="138"/>
    </row>
    <row r="814" spans="1:20" ht="34.950000000000003" customHeight="1" x14ac:dyDescent="0.3">
      <c r="A814" s="136"/>
      <c r="B814" s="212"/>
      <c r="C814" s="138"/>
      <c r="D814" s="138"/>
      <c r="E814" s="138"/>
      <c r="F814" s="138"/>
      <c r="G814" s="138"/>
      <c r="H814" s="139"/>
      <c r="I814" s="138"/>
      <c r="J814" s="138"/>
      <c r="K814" s="138"/>
      <c r="L814" s="138"/>
      <c r="M814" s="139"/>
      <c r="N814" s="138"/>
      <c r="O814" s="138"/>
      <c r="P814" s="138"/>
      <c r="Q814" s="139"/>
      <c r="R814" s="139"/>
      <c r="S814" s="212"/>
      <c r="T814" s="138"/>
    </row>
    <row r="815" spans="1:20" ht="34.950000000000003" customHeight="1" x14ac:dyDescent="0.3">
      <c r="A815" s="136"/>
      <c r="B815" s="212"/>
      <c r="C815" s="138"/>
      <c r="D815" s="138"/>
      <c r="E815" s="138"/>
      <c r="F815" s="138"/>
      <c r="G815" s="138"/>
      <c r="H815" s="139"/>
      <c r="I815" s="138"/>
      <c r="J815" s="138"/>
      <c r="K815" s="138"/>
      <c r="L815" s="138"/>
      <c r="M815" s="139"/>
      <c r="N815" s="138"/>
      <c r="O815" s="138"/>
      <c r="P815" s="138"/>
      <c r="Q815" s="139"/>
      <c r="R815" s="139"/>
      <c r="S815" s="212"/>
      <c r="T815" s="138"/>
    </row>
    <row r="816" spans="1:20" ht="34.950000000000003" customHeight="1" x14ac:dyDescent="0.3">
      <c r="A816" s="136"/>
      <c r="B816" s="212"/>
      <c r="C816" s="138"/>
      <c r="D816" s="138"/>
      <c r="E816" s="138"/>
      <c r="F816" s="138"/>
      <c r="G816" s="138"/>
      <c r="H816" s="139"/>
      <c r="I816" s="138"/>
      <c r="J816" s="138"/>
      <c r="K816" s="138"/>
      <c r="L816" s="138"/>
      <c r="M816" s="139"/>
      <c r="N816" s="138"/>
      <c r="O816" s="138"/>
      <c r="P816" s="138"/>
      <c r="Q816" s="139"/>
      <c r="R816" s="139"/>
      <c r="S816" s="212"/>
      <c r="T816" s="138"/>
    </row>
    <row r="817" spans="1:20" ht="34.950000000000003" customHeight="1" x14ac:dyDescent="0.3">
      <c r="A817" s="136"/>
      <c r="B817" s="212"/>
      <c r="C817" s="138"/>
      <c r="D817" s="138"/>
      <c r="E817" s="138"/>
      <c r="F817" s="138"/>
      <c r="G817" s="138"/>
      <c r="H817" s="139"/>
      <c r="I817" s="138"/>
      <c r="J817" s="138"/>
      <c r="K817" s="138"/>
      <c r="L817" s="138"/>
      <c r="M817" s="139"/>
      <c r="N817" s="138"/>
      <c r="O817" s="138"/>
      <c r="P817" s="138"/>
      <c r="Q817" s="139"/>
      <c r="R817" s="139"/>
      <c r="S817" s="212"/>
      <c r="T817" s="138"/>
    </row>
    <row r="818" spans="1:20" ht="34.950000000000003" customHeight="1" x14ac:dyDescent="0.3">
      <c r="A818" s="136"/>
      <c r="B818" s="212"/>
      <c r="C818" s="138"/>
      <c r="D818" s="138"/>
      <c r="E818" s="138"/>
      <c r="F818" s="138"/>
      <c r="G818" s="138"/>
      <c r="H818" s="139"/>
      <c r="I818" s="138"/>
      <c r="J818" s="138"/>
      <c r="K818" s="138"/>
      <c r="L818" s="138"/>
      <c r="M818" s="139"/>
      <c r="N818" s="138"/>
      <c r="O818" s="138"/>
      <c r="P818" s="138"/>
      <c r="Q818" s="139"/>
      <c r="R818" s="139"/>
      <c r="S818" s="212"/>
      <c r="T818" s="138"/>
    </row>
    <row r="819" spans="1:20" ht="34.950000000000003" customHeight="1" x14ac:dyDescent="0.3">
      <c r="A819" s="136"/>
      <c r="B819" s="212"/>
      <c r="C819" s="138"/>
      <c r="D819" s="138"/>
      <c r="E819" s="138"/>
      <c r="F819" s="138"/>
      <c r="G819" s="138"/>
      <c r="H819" s="139"/>
      <c r="I819" s="138"/>
      <c r="J819" s="138"/>
      <c r="K819" s="138"/>
      <c r="L819" s="138"/>
      <c r="M819" s="139"/>
      <c r="N819" s="138"/>
      <c r="O819" s="138"/>
      <c r="P819" s="138"/>
      <c r="Q819" s="139"/>
      <c r="R819" s="139"/>
      <c r="S819" s="212"/>
      <c r="T819" s="138"/>
    </row>
    <row r="820" spans="1:20" ht="34.950000000000003" customHeight="1" x14ac:dyDescent="0.3">
      <c r="A820" s="136"/>
      <c r="B820" s="212"/>
      <c r="C820" s="138"/>
      <c r="D820" s="138"/>
      <c r="E820" s="138"/>
      <c r="F820" s="138"/>
      <c r="G820" s="138"/>
      <c r="H820" s="139"/>
      <c r="I820" s="138"/>
      <c r="J820" s="138"/>
      <c r="K820" s="138"/>
      <c r="L820" s="138"/>
      <c r="M820" s="139"/>
      <c r="N820" s="138"/>
      <c r="O820" s="138"/>
      <c r="P820" s="138"/>
      <c r="Q820" s="139"/>
      <c r="R820" s="139"/>
      <c r="S820" s="212"/>
      <c r="T820" s="138"/>
    </row>
    <row r="821" spans="1:20" ht="34.950000000000003" customHeight="1" x14ac:dyDescent="0.3">
      <c r="A821" s="136"/>
      <c r="B821" s="212"/>
      <c r="C821" s="138"/>
      <c r="D821" s="138"/>
      <c r="E821" s="138"/>
      <c r="F821" s="138"/>
      <c r="G821" s="138"/>
      <c r="H821" s="139"/>
      <c r="I821" s="138"/>
      <c r="J821" s="138"/>
      <c r="K821" s="138"/>
      <c r="L821" s="138"/>
      <c r="M821" s="139"/>
      <c r="N821" s="138"/>
      <c r="O821" s="138"/>
      <c r="P821" s="138"/>
      <c r="Q821" s="139"/>
      <c r="R821" s="139"/>
      <c r="S821" s="212"/>
      <c r="T821" s="138"/>
    </row>
    <row r="822" spans="1:20" ht="34.950000000000003" customHeight="1" x14ac:dyDescent="0.3">
      <c r="A822" s="136"/>
      <c r="B822" s="212"/>
      <c r="C822" s="138"/>
      <c r="D822" s="138"/>
      <c r="E822" s="138"/>
      <c r="F822" s="138"/>
      <c r="G822" s="138"/>
      <c r="H822" s="139"/>
      <c r="I822" s="138"/>
      <c r="J822" s="138"/>
      <c r="K822" s="138"/>
      <c r="L822" s="138"/>
      <c r="M822" s="139"/>
      <c r="N822" s="138"/>
      <c r="O822" s="138"/>
      <c r="P822" s="138"/>
      <c r="Q822" s="139"/>
      <c r="R822" s="139"/>
      <c r="S822" s="212"/>
      <c r="T822" s="138"/>
    </row>
    <row r="823" spans="1:20" ht="34.950000000000003" customHeight="1" x14ac:dyDescent="0.3">
      <c r="A823" s="136"/>
      <c r="B823" s="212"/>
      <c r="C823" s="138"/>
      <c r="D823" s="138"/>
      <c r="E823" s="138"/>
      <c r="F823" s="138"/>
      <c r="G823" s="138"/>
      <c r="H823" s="139"/>
      <c r="I823" s="138"/>
      <c r="J823" s="138"/>
      <c r="K823" s="138"/>
      <c r="L823" s="138"/>
      <c r="M823" s="139"/>
      <c r="N823" s="138"/>
      <c r="O823" s="138"/>
      <c r="P823" s="138"/>
      <c r="Q823" s="139"/>
      <c r="R823" s="139"/>
      <c r="S823" s="212"/>
      <c r="T823" s="138"/>
    </row>
    <row r="824" spans="1:20" ht="34.950000000000003" customHeight="1" x14ac:dyDescent="0.3">
      <c r="A824" s="136"/>
      <c r="B824" s="212"/>
      <c r="C824" s="138"/>
      <c r="D824" s="138"/>
      <c r="E824" s="138"/>
      <c r="F824" s="138"/>
      <c r="G824" s="138"/>
      <c r="H824" s="139"/>
      <c r="I824" s="138"/>
      <c r="J824" s="138"/>
      <c r="K824" s="138"/>
      <c r="L824" s="138"/>
      <c r="M824" s="139"/>
      <c r="N824" s="138"/>
      <c r="O824" s="138"/>
      <c r="P824" s="138"/>
      <c r="Q824" s="139"/>
      <c r="R824" s="139"/>
      <c r="S824" s="212"/>
      <c r="T824" s="138"/>
    </row>
    <row r="825" spans="1:20" ht="34.950000000000003" customHeight="1" x14ac:dyDescent="0.3">
      <c r="A825" s="136"/>
      <c r="B825" s="212"/>
      <c r="C825" s="138"/>
      <c r="D825" s="138"/>
      <c r="E825" s="138"/>
      <c r="F825" s="138"/>
      <c r="G825" s="138"/>
      <c r="H825" s="139"/>
      <c r="I825" s="138"/>
      <c r="J825" s="138"/>
      <c r="K825" s="138"/>
      <c r="L825" s="138"/>
      <c r="M825" s="139"/>
      <c r="N825" s="138"/>
      <c r="O825" s="138"/>
      <c r="P825" s="138"/>
      <c r="Q825" s="139"/>
      <c r="R825" s="139"/>
      <c r="S825" s="212"/>
      <c r="T825" s="138"/>
    </row>
    <row r="826" spans="1:20" ht="34.950000000000003" customHeight="1" x14ac:dyDescent="0.3">
      <c r="A826" s="136"/>
      <c r="B826" s="212"/>
      <c r="C826" s="138"/>
      <c r="D826" s="138"/>
      <c r="E826" s="138"/>
      <c r="F826" s="138"/>
      <c r="G826" s="138"/>
      <c r="H826" s="139"/>
      <c r="I826" s="138"/>
      <c r="J826" s="138"/>
      <c r="K826" s="138"/>
      <c r="L826" s="138"/>
      <c r="M826" s="139"/>
      <c r="N826" s="138"/>
      <c r="O826" s="138"/>
      <c r="P826" s="138"/>
      <c r="Q826" s="139"/>
      <c r="R826" s="139"/>
      <c r="S826" s="212"/>
      <c r="T826" s="138"/>
    </row>
    <row r="827" spans="1:20" ht="34.950000000000003" customHeight="1" x14ac:dyDescent="0.3">
      <c r="A827" s="136"/>
      <c r="B827" s="212"/>
      <c r="C827" s="138"/>
      <c r="D827" s="138"/>
      <c r="E827" s="138"/>
      <c r="F827" s="138"/>
      <c r="G827" s="138"/>
      <c r="H827" s="139"/>
      <c r="I827" s="138"/>
      <c r="J827" s="138"/>
      <c r="K827" s="138"/>
      <c r="L827" s="138"/>
      <c r="M827" s="139"/>
      <c r="N827" s="138"/>
      <c r="O827" s="138"/>
      <c r="P827" s="138"/>
      <c r="Q827" s="139"/>
      <c r="R827" s="139"/>
      <c r="S827" s="212"/>
      <c r="T827" s="138"/>
    </row>
    <row r="828" spans="1:20" ht="34.950000000000003" customHeight="1" x14ac:dyDescent="0.3">
      <c r="A828" s="136"/>
      <c r="B828" s="212"/>
      <c r="C828" s="138"/>
      <c r="D828" s="138"/>
      <c r="E828" s="138"/>
      <c r="F828" s="138"/>
      <c r="G828" s="138"/>
      <c r="H828" s="139"/>
      <c r="I828" s="138"/>
      <c r="J828" s="138"/>
      <c r="K828" s="138"/>
      <c r="L828" s="138"/>
      <c r="M828" s="139"/>
      <c r="N828" s="138"/>
      <c r="O828" s="138"/>
      <c r="P828" s="138"/>
      <c r="Q828" s="139"/>
      <c r="R828" s="139"/>
      <c r="S828" s="212"/>
      <c r="T828" s="138"/>
    </row>
    <row r="829" spans="1:20" ht="34.950000000000003" customHeight="1" x14ac:dyDescent="0.3">
      <c r="A829" s="136"/>
      <c r="B829" s="212"/>
      <c r="C829" s="138"/>
      <c r="D829" s="138"/>
      <c r="E829" s="138"/>
      <c r="F829" s="138"/>
      <c r="G829" s="138"/>
      <c r="H829" s="139"/>
      <c r="I829" s="138"/>
      <c r="J829" s="138"/>
      <c r="K829" s="138"/>
      <c r="L829" s="138"/>
      <c r="M829" s="139"/>
      <c r="N829" s="138"/>
      <c r="O829" s="138"/>
      <c r="P829" s="138"/>
      <c r="Q829" s="139"/>
      <c r="R829" s="139"/>
      <c r="S829" s="212"/>
      <c r="T829" s="138"/>
    </row>
    <row r="830" spans="1:20" ht="34.950000000000003" customHeight="1" x14ac:dyDescent="0.3">
      <c r="A830" s="136"/>
      <c r="B830" s="212"/>
      <c r="C830" s="138"/>
      <c r="D830" s="138"/>
      <c r="E830" s="138"/>
      <c r="F830" s="138"/>
      <c r="G830" s="138"/>
      <c r="H830" s="139"/>
      <c r="I830" s="138"/>
      <c r="J830" s="138"/>
      <c r="K830" s="138"/>
      <c r="L830" s="138"/>
      <c r="M830" s="139"/>
      <c r="N830" s="138"/>
      <c r="O830" s="138"/>
      <c r="P830" s="138"/>
      <c r="Q830" s="139"/>
      <c r="R830" s="139"/>
      <c r="S830" s="212"/>
      <c r="T830" s="138"/>
    </row>
    <row r="831" spans="1:20" ht="34.950000000000003" customHeight="1" x14ac:dyDescent="0.3">
      <c r="A831" s="136"/>
      <c r="B831" s="212"/>
      <c r="C831" s="138"/>
      <c r="D831" s="138"/>
      <c r="E831" s="138"/>
      <c r="F831" s="138"/>
      <c r="G831" s="138"/>
      <c r="H831" s="139"/>
      <c r="I831" s="138"/>
      <c r="J831" s="138"/>
      <c r="K831" s="138"/>
      <c r="L831" s="138"/>
      <c r="M831" s="139"/>
      <c r="N831" s="138"/>
      <c r="O831" s="138"/>
      <c r="P831" s="138"/>
      <c r="Q831" s="139"/>
      <c r="R831" s="139"/>
      <c r="S831" s="212"/>
      <c r="T831" s="138"/>
    </row>
    <row r="832" spans="1:20" ht="34.950000000000003" customHeight="1" x14ac:dyDescent="0.3">
      <c r="A832" s="136"/>
      <c r="B832" s="212"/>
      <c r="C832" s="138"/>
      <c r="D832" s="138"/>
      <c r="E832" s="138"/>
      <c r="F832" s="138"/>
      <c r="G832" s="138"/>
      <c r="H832" s="139"/>
      <c r="I832" s="138"/>
      <c r="J832" s="138"/>
      <c r="K832" s="138"/>
      <c r="L832" s="138"/>
      <c r="M832" s="139"/>
      <c r="N832" s="138"/>
      <c r="O832" s="138"/>
      <c r="P832" s="138"/>
      <c r="Q832" s="139"/>
      <c r="R832" s="139"/>
      <c r="S832" s="212"/>
      <c r="T832" s="138"/>
    </row>
    <row r="833" spans="1:20" ht="34.950000000000003" customHeight="1" x14ac:dyDescent="0.3">
      <c r="A833" s="136"/>
      <c r="B833" s="212"/>
      <c r="C833" s="138"/>
      <c r="D833" s="138"/>
      <c r="E833" s="138"/>
      <c r="F833" s="138"/>
      <c r="G833" s="138"/>
      <c r="H833" s="139"/>
      <c r="I833" s="138"/>
      <c r="J833" s="138"/>
      <c r="K833" s="138"/>
      <c r="L833" s="138"/>
      <c r="M833" s="139"/>
      <c r="N833" s="138"/>
      <c r="O833" s="138"/>
      <c r="P833" s="138"/>
      <c r="Q833" s="139"/>
      <c r="R833" s="139"/>
      <c r="S833" s="212"/>
      <c r="T833" s="138"/>
    </row>
    <row r="834" spans="1:20" ht="34.950000000000003" customHeight="1" x14ac:dyDescent="0.3">
      <c r="A834" s="136"/>
      <c r="B834" s="212"/>
      <c r="C834" s="138"/>
      <c r="D834" s="138"/>
      <c r="E834" s="138"/>
      <c r="F834" s="138"/>
      <c r="G834" s="138"/>
      <c r="H834" s="139"/>
      <c r="I834" s="138"/>
      <c r="J834" s="138"/>
      <c r="K834" s="138"/>
      <c r="L834" s="138"/>
      <c r="M834" s="139"/>
      <c r="N834" s="138"/>
      <c r="O834" s="138"/>
      <c r="P834" s="138"/>
      <c r="Q834" s="139"/>
      <c r="R834" s="139"/>
      <c r="S834" s="212"/>
      <c r="T834" s="138"/>
    </row>
    <row r="835" spans="1:20" ht="34.950000000000003" customHeight="1" x14ac:dyDescent="0.3">
      <c r="A835" s="136"/>
      <c r="B835" s="212"/>
      <c r="C835" s="138"/>
      <c r="D835" s="138"/>
      <c r="E835" s="138"/>
      <c r="F835" s="138"/>
      <c r="G835" s="138"/>
      <c r="H835" s="139"/>
      <c r="I835" s="138"/>
      <c r="J835" s="138"/>
      <c r="K835" s="138"/>
      <c r="L835" s="138"/>
      <c r="M835" s="139"/>
      <c r="N835" s="138"/>
      <c r="O835" s="138"/>
      <c r="P835" s="138"/>
      <c r="Q835" s="139"/>
      <c r="R835" s="139"/>
      <c r="S835" s="212"/>
      <c r="T835" s="138"/>
    </row>
    <row r="836" spans="1:20" ht="34.950000000000003" customHeight="1" x14ac:dyDescent="0.3">
      <c r="A836" s="136"/>
      <c r="B836" s="212"/>
      <c r="C836" s="138"/>
      <c r="D836" s="138"/>
      <c r="E836" s="138"/>
      <c r="F836" s="138"/>
      <c r="G836" s="138"/>
      <c r="H836" s="139"/>
      <c r="I836" s="138"/>
      <c r="J836" s="138"/>
      <c r="K836" s="138"/>
      <c r="L836" s="138"/>
      <c r="M836" s="139"/>
      <c r="N836" s="138"/>
      <c r="O836" s="138"/>
      <c r="P836" s="138"/>
      <c r="Q836" s="139"/>
      <c r="R836" s="139"/>
      <c r="S836" s="212"/>
      <c r="T836" s="138"/>
    </row>
    <row r="837" spans="1:20" ht="34.950000000000003" customHeight="1" x14ac:dyDescent="0.3">
      <c r="A837" s="136"/>
      <c r="B837" s="212"/>
      <c r="C837" s="138"/>
      <c r="D837" s="138"/>
      <c r="E837" s="138"/>
      <c r="F837" s="138"/>
      <c r="G837" s="138"/>
      <c r="H837" s="139"/>
      <c r="I837" s="138"/>
      <c r="J837" s="138"/>
      <c r="K837" s="138"/>
      <c r="L837" s="138"/>
      <c r="M837" s="139"/>
      <c r="N837" s="138"/>
      <c r="O837" s="138"/>
      <c r="P837" s="138"/>
      <c r="Q837" s="139"/>
      <c r="R837" s="139"/>
      <c r="S837" s="212"/>
      <c r="T837" s="138"/>
    </row>
    <row r="838" spans="1:20" ht="34.950000000000003" customHeight="1" x14ac:dyDescent="0.3">
      <c r="A838" s="136"/>
      <c r="B838" s="212"/>
      <c r="C838" s="138"/>
      <c r="D838" s="138"/>
      <c r="E838" s="138"/>
      <c r="F838" s="138"/>
      <c r="G838" s="138"/>
      <c r="H838" s="139"/>
      <c r="I838" s="138"/>
      <c r="J838" s="138"/>
      <c r="K838" s="138"/>
      <c r="L838" s="138"/>
      <c r="M838" s="139"/>
      <c r="N838" s="138"/>
      <c r="O838" s="138"/>
      <c r="P838" s="138"/>
      <c r="Q838" s="139"/>
      <c r="R838" s="139"/>
      <c r="S838" s="212"/>
      <c r="T838" s="138"/>
    </row>
    <row r="839" spans="1:20" ht="34.950000000000003" customHeight="1" x14ac:dyDescent="0.3">
      <c r="A839" s="136"/>
      <c r="B839" s="212"/>
      <c r="C839" s="138"/>
      <c r="D839" s="138"/>
      <c r="E839" s="138"/>
      <c r="F839" s="138"/>
      <c r="G839" s="138"/>
      <c r="H839" s="139"/>
      <c r="I839" s="138"/>
      <c r="J839" s="138"/>
      <c r="K839" s="138"/>
      <c r="L839" s="138"/>
      <c r="M839" s="139"/>
      <c r="N839" s="138"/>
      <c r="O839" s="138"/>
      <c r="P839" s="138"/>
      <c r="Q839" s="139"/>
      <c r="R839" s="139"/>
      <c r="S839" s="212"/>
      <c r="T839" s="138"/>
    </row>
    <row r="840" spans="1:20" ht="34.950000000000003" customHeight="1" x14ac:dyDescent="0.3">
      <c r="A840" s="136"/>
      <c r="B840" s="212"/>
      <c r="C840" s="138"/>
      <c r="D840" s="138"/>
      <c r="E840" s="138"/>
      <c r="F840" s="138"/>
      <c r="G840" s="138"/>
      <c r="H840" s="139"/>
      <c r="I840" s="138"/>
      <c r="J840" s="138"/>
      <c r="K840" s="138"/>
      <c r="L840" s="138"/>
      <c r="M840" s="139"/>
      <c r="N840" s="138"/>
      <c r="O840" s="138"/>
      <c r="P840" s="138"/>
      <c r="Q840" s="139"/>
      <c r="R840" s="139"/>
      <c r="S840" s="212"/>
      <c r="T840" s="138"/>
    </row>
    <row r="841" spans="1:20" ht="34.950000000000003" customHeight="1" x14ac:dyDescent="0.3">
      <c r="A841" s="136"/>
      <c r="B841" s="212"/>
      <c r="C841" s="138"/>
      <c r="D841" s="138"/>
      <c r="E841" s="138"/>
      <c r="F841" s="138"/>
      <c r="G841" s="138"/>
      <c r="H841" s="139"/>
      <c r="I841" s="138"/>
      <c r="J841" s="138"/>
      <c r="K841" s="138"/>
      <c r="L841" s="138"/>
      <c r="M841" s="139"/>
      <c r="N841" s="138"/>
      <c r="O841" s="138"/>
      <c r="P841" s="138"/>
      <c r="Q841" s="139"/>
      <c r="R841" s="139"/>
      <c r="S841" s="212"/>
      <c r="T841" s="138"/>
    </row>
    <row r="842" spans="1:20" ht="34.950000000000003" customHeight="1" x14ac:dyDescent="0.3">
      <c r="A842" s="136"/>
      <c r="B842" s="212"/>
      <c r="C842" s="138"/>
      <c r="D842" s="138"/>
      <c r="E842" s="138"/>
      <c r="F842" s="138"/>
      <c r="G842" s="138"/>
      <c r="H842" s="139"/>
      <c r="I842" s="138"/>
      <c r="J842" s="138"/>
      <c r="K842" s="138"/>
      <c r="L842" s="138"/>
      <c r="M842" s="139"/>
      <c r="N842" s="138"/>
      <c r="O842" s="138"/>
      <c r="P842" s="138"/>
      <c r="Q842" s="139"/>
      <c r="R842" s="139"/>
      <c r="S842" s="212"/>
      <c r="T842" s="138"/>
    </row>
    <row r="843" spans="1:20" ht="34.950000000000003" customHeight="1" x14ac:dyDescent="0.3">
      <c r="A843" s="136"/>
      <c r="B843" s="212"/>
      <c r="C843" s="138"/>
      <c r="D843" s="138"/>
      <c r="E843" s="138"/>
      <c r="F843" s="138"/>
      <c r="G843" s="138"/>
      <c r="H843" s="139"/>
      <c r="I843" s="138"/>
      <c r="J843" s="138"/>
      <c r="K843" s="138"/>
      <c r="L843" s="138"/>
      <c r="M843" s="139"/>
      <c r="N843" s="138"/>
      <c r="O843" s="138"/>
      <c r="P843" s="138"/>
      <c r="Q843" s="139"/>
      <c r="R843" s="139"/>
      <c r="S843" s="212"/>
      <c r="T843" s="138"/>
    </row>
    <row r="844" spans="1:20" ht="34.950000000000003" customHeight="1" x14ac:dyDescent="0.3">
      <c r="A844" s="136"/>
      <c r="B844" s="212"/>
      <c r="C844" s="138"/>
      <c r="D844" s="138"/>
      <c r="E844" s="138"/>
      <c r="F844" s="138"/>
      <c r="G844" s="138"/>
      <c r="H844" s="139"/>
      <c r="I844" s="138"/>
      <c r="J844" s="138"/>
      <c r="K844" s="138"/>
      <c r="L844" s="138"/>
      <c r="M844" s="139"/>
      <c r="N844" s="138"/>
      <c r="O844" s="138"/>
      <c r="P844" s="138"/>
      <c r="Q844" s="139"/>
      <c r="R844" s="139"/>
      <c r="S844" s="212"/>
      <c r="T844" s="138"/>
    </row>
    <row r="845" spans="1:20" ht="34.950000000000003" customHeight="1" x14ac:dyDescent="0.3">
      <c r="A845" s="136"/>
      <c r="B845" s="212"/>
      <c r="C845" s="138"/>
      <c r="D845" s="138"/>
      <c r="E845" s="138"/>
      <c r="F845" s="138"/>
      <c r="G845" s="138"/>
      <c r="H845" s="139"/>
      <c r="I845" s="138"/>
      <c r="J845" s="138"/>
      <c r="K845" s="138"/>
      <c r="L845" s="138"/>
      <c r="M845" s="139"/>
      <c r="N845" s="138"/>
      <c r="O845" s="138"/>
      <c r="P845" s="138"/>
      <c r="Q845" s="139"/>
      <c r="R845" s="139"/>
      <c r="S845" s="212"/>
      <c r="T845" s="138"/>
    </row>
    <row r="846" spans="1:20" ht="34.950000000000003" customHeight="1" x14ac:dyDescent="0.3">
      <c r="A846" s="136"/>
      <c r="B846" s="212"/>
      <c r="C846" s="138"/>
      <c r="D846" s="138"/>
      <c r="E846" s="138"/>
      <c r="F846" s="138"/>
      <c r="G846" s="138"/>
      <c r="H846" s="139"/>
      <c r="I846" s="138"/>
      <c r="J846" s="138"/>
      <c r="K846" s="138"/>
      <c r="L846" s="138"/>
      <c r="M846" s="139"/>
      <c r="N846" s="138"/>
      <c r="O846" s="138"/>
      <c r="P846" s="138"/>
      <c r="Q846" s="139"/>
      <c r="R846" s="139"/>
      <c r="S846" s="212"/>
      <c r="T846" s="138"/>
    </row>
    <row r="847" spans="1:20" ht="34.950000000000003" customHeight="1" x14ac:dyDescent="0.3">
      <c r="A847" s="136"/>
      <c r="B847" s="212"/>
      <c r="C847" s="138"/>
      <c r="D847" s="138"/>
      <c r="E847" s="138"/>
      <c r="F847" s="138"/>
      <c r="G847" s="138"/>
      <c r="H847" s="139"/>
      <c r="I847" s="138"/>
      <c r="J847" s="138"/>
      <c r="K847" s="138"/>
      <c r="L847" s="138"/>
      <c r="M847" s="139"/>
      <c r="N847" s="138"/>
      <c r="O847" s="138"/>
      <c r="P847" s="138"/>
      <c r="Q847" s="139"/>
      <c r="R847" s="139"/>
      <c r="S847" s="212"/>
      <c r="T847" s="138"/>
    </row>
    <row r="848" spans="1:20" ht="34.950000000000003" customHeight="1" x14ac:dyDescent="0.3">
      <c r="A848" s="136"/>
      <c r="B848" s="212"/>
      <c r="C848" s="138"/>
      <c r="D848" s="138"/>
      <c r="E848" s="138"/>
      <c r="F848" s="138"/>
      <c r="G848" s="138"/>
      <c r="H848" s="139"/>
      <c r="I848" s="138"/>
      <c r="J848" s="138"/>
      <c r="K848" s="138"/>
      <c r="L848" s="138"/>
      <c r="M848" s="139"/>
      <c r="N848" s="138"/>
      <c r="O848" s="138"/>
      <c r="P848" s="138"/>
      <c r="Q848" s="139"/>
      <c r="R848" s="139"/>
      <c r="S848" s="212"/>
      <c r="T848" s="138"/>
    </row>
    <row r="849" spans="1:20" ht="34.950000000000003" customHeight="1" x14ac:dyDescent="0.3">
      <c r="A849" s="136"/>
      <c r="B849" s="212"/>
      <c r="C849" s="138"/>
      <c r="D849" s="138"/>
      <c r="E849" s="138"/>
      <c r="F849" s="138"/>
      <c r="G849" s="138"/>
      <c r="H849" s="139"/>
      <c r="I849" s="138"/>
      <c r="J849" s="138"/>
      <c r="K849" s="138"/>
      <c r="L849" s="138"/>
      <c r="M849" s="139"/>
      <c r="N849" s="138"/>
      <c r="O849" s="138"/>
      <c r="P849" s="138"/>
      <c r="Q849" s="139"/>
      <c r="R849" s="139"/>
      <c r="S849" s="212"/>
      <c r="T849" s="138"/>
    </row>
    <row r="850" spans="1:20" ht="34.950000000000003" customHeight="1" x14ac:dyDescent="0.3">
      <c r="A850" s="136"/>
      <c r="B850" s="212"/>
      <c r="C850" s="138"/>
      <c r="D850" s="138"/>
      <c r="E850" s="138"/>
      <c r="F850" s="138"/>
      <c r="G850" s="138"/>
      <c r="H850" s="139"/>
      <c r="I850" s="138"/>
      <c r="J850" s="138"/>
      <c r="K850" s="138"/>
      <c r="L850" s="138"/>
      <c r="M850" s="139"/>
      <c r="N850" s="138"/>
      <c r="O850" s="138"/>
      <c r="P850" s="138"/>
      <c r="Q850" s="139"/>
      <c r="R850" s="139"/>
      <c r="S850" s="212"/>
      <c r="T850" s="138"/>
    </row>
    <row r="851" spans="1:20" ht="34.950000000000003" customHeight="1" x14ac:dyDescent="0.3">
      <c r="A851" s="136"/>
      <c r="B851" s="212"/>
      <c r="C851" s="138"/>
      <c r="D851" s="138"/>
      <c r="E851" s="138"/>
      <c r="F851" s="138"/>
      <c r="G851" s="138"/>
      <c r="H851" s="139"/>
      <c r="I851" s="138"/>
      <c r="J851" s="138"/>
      <c r="K851" s="138"/>
      <c r="L851" s="138"/>
      <c r="M851" s="139"/>
      <c r="N851" s="138"/>
      <c r="O851" s="138"/>
      <c r="P851" s="138"/>
      <c r="Q851" s="139"/>
      <c r="R851" s="139"/>
      <c r="S851" s="212"/>
      <c r="T851" s="138"/>
    </row>
    <row r="852" spans="1:20" ht="34.950000000000003" customHeight="1" x14ac:dyDescent="0.3">
      <c r="A852" s="136"/>
      <c r="B852" s="212"/>
      <c r="C852" s="138"/>
      <c r="D852" s="138"/>
      <c r="E852" s="138"/>
      <c r="F852" s="138"/>
      <c r="G852" s="138"/>
      <c r="H852" s="139"/>
      <c r="I852" s="138"/>
      <c r="J852" s="138"/>
      <c r="K852" s="138"/>
      <c r="L852" s="138"/>
      <c r="M852" s="139"/>
      <c r="N852" s="138"/>
      <c r="O852" s="138"/>
      <c r="P852" s="138"/>
      <c r="Q852" s="139"/>
      <c r="R852" s="139"/>
      <c r="S852" s="212"/>
      <c r="T852" s="138"/>
    </row>
    <row r="853" spans="1:20" ht="34.950000000000003" customHeight="1" x14ac:dyDescent="0.3">
      <c r="A853" s="136"/>
      <c r="B853" s="212"/>
      <c r="C853" s="138"/>
      <c r="D853" s="138"/>
      <c r="E853" s="138"/>
      <c r="F853" s="138"/>
      <c r="G853" s="138"/>
      <c r="H853" s="139"/>
      <c r="I853" s="138"/>
      <c r="J853" s="138"/>
      <c r="K853" s="138"/>
      <c r="L853" s="138"/>
      <c r="M853" s="139"/>
      <c r="N853" s="138"/>
      <c r="O853" s="138"/>
      <c r="P853" s="138"/>
      <c r="Q853" s="139"/>
      <c r="R853" s="139"/>
      <c r="S853" s="212"/>
      <c r="T853" s="138"/>
    </row>
    <row r="854" spans="1:20" ht="34.950000000000003" customHeight="1" x14ac:dyDescent="0.3">
      <c r="A854" s="136"/>
      <c r="B854" s="212"/>
      <c r="C854" s="138"/>
      <c r="D854" s="138"/>
      <c r="E854" s="138"/>
      <c r="F854" s="138"/>
      <c r="G854" s="138"/>
      <c r="H854" s="139"/>
      <c r="I854" s="138"/>
      <c r="J854" s="138"/>
      <c r="K854" s="138"/>
      <c r="L854" s="138"/>
      <c r="M854" s="139"/>
      <c r="N854" s="138"/>
      <c r="O854" s="138"/>
      <c r="P854" s="138"/>
      <c r="Q854" s="139"/>
      <c r="R854" s="139"/>
      <c r="S854" s="212"/>
      <c r="T854" s="138"/>
    </row>
    <row r="855" spans="1:20" ht="34.950000000000003" customHeight="1" x14ac:dyDescent="0.3">
      <c r="A855" s="136"/>
      <c r="B855" s="212"/>
      <c r="C855" s="138"/>
      <c r="D855" s="138"/>
      <c r="E855" s="138"/>
      <c r="F855" s="138"/>
      <c r="G855" s="138"/>
      <c r="H855" s="139"/>
      <c r="I855" s="138"/>
      <c r="J855" s="138"/>
      <c r="K855" s="138"/>
      <c r="L855" s="138"/>
      <c r="M855" s="139"/>
      <c r="N855" s="138"/>
      <c r="O855" s="138"/>
      <c r="P855" s="138"/>
      <c r="Q855" s="139"/>
      <c r="R855" s="139"/>
      <c r="S855" s="212"/>
      <c r="T855" s="138"/>
    </row>
    <row r="856" spans="1:20" ht="34.950000000000003" customHeight="1" x14ac:dyDescent="0.3">
      <c r="A856" s="136"/>
      <c r="B856" s="212"/>
      <c r="C856" s="138"/>
      <c r="D856" s="138"/>
      <c r="E856" s="138"/>
      <c r="F856" s="138"/>
      <c r="G856" s="138"/>
      <c r="H856" s="139"/>
      <c r="I856" s="138"/>
      <c r="J856" s="138"/>
      <c r="K856" s="138"/>
      <c r="L856" s="138"/>
      <c r="M856" s="139"/>
      <c r="N856" s="138"/>
      <c r="O856" s="138"/>
      <c r="P856" s="138"/>
      <c r="Q856" s="139"/>
      <c r="R856" s="139"/>
      <c r="S856" s="212"/>
      <c r="T856" s="138"/>
    </row>
    <row r="857" spans="1:20" ht="34.950000000000003" customHeight="1" x14ac:dyDescent="0.3">
      <c r="A857" s="136"/>
      <c r="B857" s="212"/>
      <c r="C857" s="138"/>
      <c r="D857" s="138"/>
      <c r="E857" s="138"/>
      <c r="F857" s="138"/>
      <c r="G857" s="138"/>
      <c r="H857" s="139"/>
      <c r="I857" s="138"/>
      <c r="J857" s="138"/>
      <c r="K857" s="138"/>
      <c r="L857" s="138"/>
      <c r="M857" s="139"/>
      <c r="N857" s="138"/>
      <c r="O857" s="138"/>
      <c r="P857" s="138"/>
      <c r="Q857" s="139"/>
      <c r="R857" s="139"/>
      <c r="S857" s="212"/>
      <c r="T857" s="138"/>
    </row>
    <row r="858" spans="1:20" ht="34.950000000000003" customHeight="1" x14ac:dyDescent="0.3">
      <c r="A858" s="136"/>
      <c r="B858" s="212"/>
      <c r="C858" s="138"/>
      <c r="D858" s="138"/>
      <c r="E858" s="138"/>
      <c r="F858" s="138"/>
      <c r="G858" s="138"/>
      <c r="H858" s="139"/>
      <c r="I858" s="138"/>
      <c r="J858" s="138"/>
      <c r="K858" s="138"/>
      <c r="L858" s="138"/>
      <c r="M858" s="139"/>
      <c r="N858" s="138"/>
      <c r="O858" s="138"/>
      <c r="P858" s="138"/>
      <c r="Q858" s="139"/>
      <c r="R858" s="139"/>
      <c r="S858" s="212"/>
      <c r="T858" s="138"/>
    </row>
    <row r="859" spans="1:20" ht="34.950000000000003" customHeight="1" x14ac:dyDescent="0.3">
      <c r="A859" s="136"/>
      <c r="B859" s="212"/>
      <c r="C859" s="138"/>
      <c r="D859" s="138"/>
      <c r="E859" s="138"/>
      <c r="F859" s="138"/>
      <c r="G859" s="138"/>
      <c r="H859" s="139"/>
      <c r="I859" s="138"/>
      <c r="J859" s="138"/>
      <c r="K859" s="138"/>
      <c r="L859" s="138"/>
      <c r="M859" s="139"/>
      <c r="N859" s="138"/>
      <c r="O859" s="138"/>
      <c r="P859" s="138"/>
      <c r="Q859" s="139"/>
      <c r="R859" s="139"/>
      <c r="S859" s="212"/>
      <c r="T859" s="138"/>
    </row>
    <row r="860" spans="1:20" ht="34.950000000000003" customHeight="1" x14ac:dyDescent="0.3">
      <c r="A860" s="136"/>
      <c r="B860" s="212"/>
      <c r="C860" s="138"/>
      <c r="D860" s="138"/>
      <c r="E860" s="138"/>
      <c r="F860" s="138"/>
      <c r="G860" s="138"/>
      <c r="H860" s="139"/>
      <c r="I860" s="138"/>
      <c r="J860" s="138"/>
      <c r="K860" s="138"/>
      <c r="L860" s="138"/>
      <c r="M860" s="139"/>
      <c r="N860" s="138"/>
      <c r="O860" s="138"/>
      <c r="P860" s="138"/>
      <c r="Q860" s="139"/>
      <c r="R860" s="139"/>
      <c r="S860" s="212"/>
      <c r="T860" s="138"/>
    </row>
    <row r="861" spans="1:20" ht="34.950000000000003" customHeight="1" x14ac:dyDescent="0.3">
      <c r="A861" s="136"/>
      <c r="B861" s="212"/>
      <c r="C861" s="138"/>
      <c r="D861" s="138"/>
      <c r="E861" s="138"/>
      <c r="F861" s="138"/>
      <c r="G861" s="138"/>
      <c r="H861" s="139"/>
      <c r="I861" s="138"/>
      <c r="J861" s="138"/>
      <c r="K861" s="138"/>
      <c r="L861" s="138"/>
      <c r="M861" s="139"/>
      <c r="N861" s="138"/>
      <c r="O861" s="138"/>
      <c r="P861" s="138"/>
      <c r="Q861" s="139"/>
      <c r="R861" s="139"/>
      <c r="S861" s="212"/>
      <c r="T861" s="138"/>
    </row>
    <row r="862" spans="1:20" ht="34.950000000000003" customHeight="1" x14ac:dyDescent="0.3">
      <c r="A862" s="136"/>
      <c r="B862" s="212"/>
      <c r="C862" s="138"/>
      <c r="D862" s="138"/>
      <c r="E862" s="138"/>
      <c r="F862" s="138"/>
      <c r="G862" s="138"/>
      <c r="H862" s="139"/>
      <c r="I862" s="138"/>
      <c r="J862" s="138"/>
      <c r="K862" s="138"/>
      <c r="L862" s="138"/>
      <c r="M862" s="139"/>
      <c r="N862" s="138"/>
      <c r="O862" s="138"/>
      <c r="P862" s="138"/>
      <c r="Q862" s="139"/>
      <c r="R862" s="139"/>
      <c r="S862" s="212"/>
      <c r="T862" s="138"/>
    </row>
    <row r="863" spans="1:20" ht="34.950000000000003" customHeight="1" x14ac:dyDescent="0.3">
      <c r="A863" s="136"/>
      <c r="B863" s="212"/>
      <c r="C863" s="138"/>
      <c r="D863" s="138"/>
      <c r="E863" s="138"/>
      <c r="F863" s="138"/>
      <c r="G863" s="138"/>
      <c r="H863" s="139"/>
      <c r="I863" s="138"/>
      <c r="J863" s="138"/>
      <c r="K863" s="138"/>
      <c r="L863" s="138"/>
      <c r="M863" s="139"/>
      <c r="N863" s="138"/>
      <c r="O863" s="138"/>
      <c r="P863" s="138"/>
      <c r="Q863" s="139"/>
      <c r="R863" s="139"/>
      <c r="S863" s="212"/>
      <c r="T863" s="138"/>
    </row>
    <row r="864" spans="1:20" ht="34.950000000000003" customHeight="1" x14ac:dyDescent="0.3">
      <c r="A864" s="136"/>
      <c r="B864" s="212"/>
      <c r="C864" s="138"/>
      <c r="D864" s="138"/>
      <c r="E864" s="138"/>
      <c r="F864" s="138"/>
      <c r="G864" s="138"/>
      <c r="H864" s="139"/>
      <c r="I864" s="138"/>
      <c r="J864" s="138"/>
      <c r="K864" s="138"/>
      <c r="L864" s="138"/>
      <c r="M864" s="139"/>
      <c r="N864" s="138"/>
      <c r="O864" s="138"/>
      <c r="P864" s="138"/>
      <c r="Q864" s="139"/>
      <c r="R864" s="139"/>
      <c r="S864" s="212"/>
      <c r="T864" s="138"/>
    </row>
    <row r="865" spans="1:20" ht="34.950000000000003" customHeight="1" x14ac:dyDescent="0.3">
      <c r="A865" s="136"/>
      <c r="B865" s="212"/>
      <c r="C865" s="138"/>
      <c r="D865" s="138"/>
      <c r="E865" s="138"/>
      <c r="F865" s="138"/>
      <c r="G865" s="138"/>
      <c r="H865" s="139"/>
      <c r="I865" s="138"/>
      <c r="J865" s="138"/>
      <c r="K865" s="138"/>
      <c r="L865" s="138"/>
      <c r="M865" s="139"/>
      <c r="N865" s="138"/>
      <c r="O865" s="138"/>
      <c r="P865" s="138"/>
      <c r="Q865" s="139"/>
      <c r="R865" s="139"/>
      <c r="S865" s="212"/>
      <c r="T865" s="138"/>
    </row>
    <row r="866" spans="1:20" ht="34.950000000000003" customHeight="1" x14ac:dyDescent="0.3">
      <c r="A866" s="136"/>
      <c r="B866" s="212"/>
      <c r="C866" s="138"/>
      <c r="D866" s="138"/>
      <c r="E866" s="138"/>
      <c r="F866" s="138"/>
      <c r="G866" s="138"/>
      <c r="H866" s="139"/>
      <c r="I866" s="138"/>
      <c r="J866" s="138"/>
      <c r="K866" s="138"/>
      <c r="L866" s="138"/>
      <c r="M866" s="139"/>
      <c r="N866" s="138"/>
      <c r="O866" s="138"/>
      <c r="P866" s="138"/>
      <c r="Q866" s="139"/>
      <c r="R866" s="139"/>
      <c r="S866" s="212"/>
      <c r="T866" s="138"/>
    </row>
    <row r="867" spans="1:20" ht="34.950000000000003" customHeight="1" x14ac:dyDescent="0.3">
      <c r="A867" s="136"/>
      <c r="B867" s="212"/>
      <c r="C867" s="138"/>
      <c r="D867" s="138"/>
      <c r="E867" s="138"/>
      <c r="F867" s="138"/>
      <c r="G867" s="138"/>
      <c r="H867" s="139"/>
      <c r="I867" s="138"/>
      <c r="J867" s="138"/>
      <c r="K867" s="138"/>
      <c r="L867" s="138"/>
      <c r="M867" s="139"/>
      <c r="N867" s="138"/>
      <c r="O867" s="138"/>
      <c r="P867" s="138"/>
      <c r="Q867" s="139"/>
      <c r="R867" s="139"/>
      <c r="S867" s="212"/>
      <c r="T867" s="138"/>
    </row>
    <row r="868" spans="1:20" ht="34.950000000000003" customHeight="1" x14ac:dyDescent="0.3">
      <c r="A868" s="136"/>
      <c r="B868" s="212"/>
      <c r="C868" s="138"/>
      <c r="D868" s="138"/>
      <c r="E868" s="138"/>
      <c r="F868" s="138"/>
      <c r="G868" s="138"/>
      <c r="H868" s="139"/>
      <c r="I868" s="138"/>
      <c r="J868" s="138"/>
      <c r="K868" s="138"/>
      <c r="L868" s="138"/>
      <c r="M868" s="139"/>
      <c r="N868" s="138"/>
      <c r="O868" s="138"/>
      <c r="P868" s="138"/>
      <c r="Q868" s="139"/>
      <c r="R868" s="139"/>
      <c r="S868" s="212"/>
      <c r="T868" s="138"/>
    </row>
    <row r="869" spans="1:20" ht="34.950000000000003" customHeight="1" x14ac:dyDescent="0.3">
      <c r="A869" s="136"/>
      <c r="B869" s="212"/>
      <c r="C869" s="138"/>
      <c r="D869" s="138"/>
      <c r="E869" s="138"/>
      <c r="F869" s="138"/>
      <c r="G869" s="138"/>
      <c r="H869" s="139"/>
      <c r="I869" s="138"/>
      <c r="J869" s="138"/>
      <c r="K869" s="138"/>
      <c r="L869" s="138"/>
      <c r="M869" s="139"/>
      <c r="N869" s="138"/>
      <c r="O869" s="138"/>
      <c r="P869" s="138"/>
      <c r="Q869" s="139"/>
      <c r="R869" s="139"/>
      <c r="S869" s="212"/>
      <c r="T869" s="138"/>
    </row>
    <row r="870" spans="1:20" ht="34.950000000000003" customHeight="1" x14ac:dyDescent="0.3">
      <c r="A870" s="136"/>
      <c r="B870" s="212"/>
      <c r="C870" s="138"/>
      <c r="D870" s="138"/>
      <c r="E870" s="138"/>
      <c r="F870" s="138"/>
      <c r="G870" s="138"/>
      <c r="H870" s="139"/>
      <c r="I870" s="138"/>
      <c r="J870" s="138"/>
      <c r="K870" s="138"/>
      <c r="L870" s="138"/>
      <c r="M870" s="139"/>
      <c r="N870" s="138"/>
      <c r="O870" s="138"/>
      <c r="P870" s="138"/>
      <c r="Q870" s="139"/>
      <c r="R870" s="139"/>
      <c r="S870" s="212"/>
      <c r="T870" s="138"/>
    </row>
    <row r="871" spans="1:20" ht="34.950000000000003" customHeight="1" x14ac:dyDescent="0.3">
      <c r="A871" s="136"/>
      <c r="B871" s="212"/>
      <c r="C871" s="138"/>
      <c r="D871" s="138"/>
      <c r="E871" s="138"/>
      <c r="F871" s="138"/>
      <c r="G871" s="138"/>
      <c r="H871" s="139"/>
      <c r="I871" s="138"/>
      <c r="J871" s="138"/>
      <c r="K871" s="138"/>
      <c r="L871" s="138"/>
      <c r="M871" s="139"/>
      <c r="N871" s="138"/>
      <c r="O871" s="138"/>
      <c r="P871" s="138"/>
      <c r="Q871" s="139"/>
      <c r="R871" s="139"/>
      <c r="S871" s="212"/>
      <c r="T871" s="138"/>
    </row>
    <row r="872" spans="1:20" ht="34.950000000000003" customHeight="1" x14ac:dyDescent="0.3">
      <c r="A872" s="136"/>
      <c r="B872" s="212"/>
      <c r="C872" s="138"/>
      <c r="D872" s="138"/>
      <c r="E872" s="138"/>
      <c r="F872" s="138"/>
      <c r="G872" s="138"/>
      <c r="H872" s="139"/>
      <c r="I872" s="138"/>
      <c r="J872" s="138"/>
      <c r="K872" s="138"/>
      <c r="L872" s="138"/>
      <c r="M872" s="139"/>
      <c r="N872" s="138"/>
      <c r="O872" s="138"/>
      <c r="P872" s="138"/>
      <c r="Q872" s="139"/>
      <c r="R872" s="139"/>
      <c r="S872" s="212"/>
      <c r="T872" s="138"/>
    </row>
    <row r="873" spans="1:20" ht="34.950000000000003" customHeight="1" x14ac:dyDescent="0.3">
      <c r="A873" s="136"/>
      <c r="B873" s="212"/>
      <c r="C873" s="138"/>
      <c r="D873" s="138"/>
      <c r="E873" s="138"/>
      <c r="F873" s="138"/>
      <c r="G873" s="138"/>
      <c r="H873" s="139"/>
      <c r="I873" s="138"/>
      <c r="J873" s="138"/>
      <c r="K873" s="138"/>
      <c r="L873" s="138"/>
      <c r="M873" s="139"/>
      <c r="N873" s="138"/>
      <c r="O873" s="138"/>
      <c r="P873" s="138"/>
      <c r="Q873" s="139"/>
      <c r="R873" s="139"/>
      <c r="S873" s="212"/>
      <c r="T873" s="138"/>
    </row>
    <row r="874" spans="1:20" ht="34.950000000000003" customHeight="1" x14ac:dyDescent="0.3">
      <c r="A874" s="136"/>
      <c r="B874" s="212"/>
      <c r="C874" s="138"/>
      <c r="D874" s="138"/>
      <c r="E874" s="138"/>
      <c r="F874" s="138"/>
      <c r="G874" s="138"/>
      <c r="H874" s="139"/>
      <c r="I874" s="138"/>
      <c r="J874" s="138"/>
      <c r="K874" s="138"/>
      <c r="L874" s="138"/>
      <c r="M874" s="139"/>
      <c r="N874" s="138"/>
      <c r="O874" s="138"/>
      <c r="P874" s="138"/>
      <c r="Q874" s="139"/>
      <c r="R874" s="139"/>
      <c r="S874" s="212"/>
      <c r="T874" s="138"/>
    </row>
    <row r="875" spans="1:20" ht="34.950000000000003" customHeight="1" x14ac:dyDescent="0.3">
      <c r="A875" s="136"/>
      <c r="B875" s="212"/>
      <c r="C875" s="138"/>
      <c r="D875" s="138"/>
      <c r="E875" s="138"/>
      <c r="F875" s="138"/>
      <c r="G875" s="138"/>
      <c r="H875" s="139"/>
      <c r="I875" s="138"/>
      <c r="J875" s="138"/>
      <c r="K875" s="138"/>
      <c r="L875" s="138"/>
      <c r="M875" s="139"/>
      <c r="N875" s="138"/>
      <c r="O875" s="138"/>
      <c r="P875" s="138"/>
      <c r="Q875" s="139"/>
      <c r="R875" s="139"/>
      <c r="S875" s="212"/>
      <c r="T875" s="138"/>
    </row>
    <row r="876" spans="1:20" ht="34.950000000000003" customHeight="1" x14ac:dyDescent="0.3">
      <c r="A876" s="136"/>
      <c r="B876" s="212"/>
      <c r="C876" s="138"/>
      <c r="D876" s="138"/>
      <c r="E876" s="138"/>
      <c r="F876" s="138"/>
      <c r="G876" s="138"/>
      <c r="H876" s="139"/>
      <c r="I876" s="138"/>
      <c r="J876" s="138"/>
      <c r="K876" s="138"/>
      <c r="L876" s="138"/>
      <c r="M876" s="139"/>
      <c r="N876" s="138"/>
      <c r="O876" s="138"/>
      <c r="P876" s="138"/>
      <c r="Q876" s="139"/>
      <c r="R876" s="139"/>
      <c r="S876" s="212"/>
      <c r="T876" s="138"/>
    </row>
    <row r="877" spans="1:20" ht="34.950000000000003" customHeight="1" x14ac:dyDescent="0.3">
      <c r="A877" s="136"/>
      <c r="B877" s="212"/>
      <c r="C877" s="138"/>
      <c r="D877" s="138"/>
      <c r="E877" s="138"/>
      <c r="F877" s="138"/>
      <c r="G877" s="138"/>
      <c r="H877" s="139"/>
      <c r="I877" s="138"/>
      <c r="J877" s="138"/>
      <c r="K877" s="138"/>
      <c r="L877" s="138"/>
      <c r="M877" s="139"/>
      <c r="N877" s="138"/>
      <c r="O877" s="138"/>
      <c r="P877" s="138"/>
      <c r="Q877" s="139"/>
      <c r="R877" s="139"/>
      <c r="S877" s="212"/>
      <c r="T877" s="138"/>
    </row>
    <row r="878" spans="1:20" ht="34.950000000000003" customHeight="1" x14ac:dyDescent="0.3">
      <c r="A878" s="136"/>
      <c r="B878" s="212"/>
      <c r="C878" s="138"/>
      <c r="D878" s="138"/>
      <c r="E878" s="138"/>
      <c r="F878" s="138"/>
      <c r="G878" s="138"/>
      <c r="H878" s="139"/>
      <c r="I878" s="138"/>
      <c r="J878" s="138"/>
      <c r="K878" s="138"/>
      <c r="L878" s="138"/>
      <c r="M878" s="139"/>
      <c r="N878" s="138"/>
      <c r="O878" s="138"/>
      <c r="P878" s="138"/>
      <c r="Q878" s="139"/>
      <c r="R878" s="139"/>
      <c r="S878" s="212"/>
      <c r="T878" s="138"/>
    </row>
    <row r="879" spans="1:20" ht="34.950000000000003" customHeight="1" x14ac:dyDescent="0.3">
      <c r="A879" s="136"/>
      <c r="B879" s="212"/>
      <c r="C879" s="138"/>
      <c r="D879" s="138"/>
      <c r="E879" s="138"/>
      <c r="F879" s="138"/>
      <c r="G879" s="138"/>
      <c r="H879" s="139"/>
      <c r="I879" s="138"/>
      <c r="J879" s="138"/>
      <c r="K879" s="138"/>
      <c r="L879" s="138"/>
      <c r="M879" s="139"/>
      <c r="N879" s="138"/>
      <c r="O879" s="138"/>
      <c r="P879" s="138"/>
      <c r="Q879" s="139"/>
      <c r="R879" s="139"/>
      <c r="S879" s="212"/>
      <c r="T879" s="138"/>
    </row>
    <row r="880" spans="1:20" ht="34.950000000000003" customHeight="1" x14ac:dyDescent="0.3">
      <c r="A880" s="136"/>
      <c r="B880" s="212"/>
      <c r="C880" s="138"/>
      <c r="D880" s="138"/>
      <c r="E880" s="138"/>
      <c r="F880" s="138"/>
      <c r="G880" s="138"/>
      <c r="H880" s="139"/>
      <c r="I880" s="138"/>
      <c r="J880" s="138"/>
      <c r="K880" s="138"/>
      <c r="L880" s="138"/>
      <c r="M880" s="139"/>
      <c r="N880" s="138"/>
      <c r="O880" s="138"/>
      <c r="P880" s="138"/>
      <c r="Q880" s="139"/>
      <c r="R880" s="139"/>
      <c r="S880" s="212"/>
      <c r="T880" s="138"/>
    </row>
    <row r="881" spans="1:20" ht="34.950000000000003" customHeight="1" x14ac:dyDescent="0.3">
      <c r="A881" s="136"/>
      <c r="B881" s="212"/>
      <c r="C881" s="138"/>
      <c r="D881" s="138"/>
      <c r="E881" s="138"/>
      <c r="F881" s="138"/>
      <c r="G881" s="138"/>
      <c r="H881" s="139"/>
      <c r="I881" s="138"/>
      <c r="J881" s="138"/>
      <c r="K881" s="138"/>
      <c r="L881" s="138"/>
      <c r="M881" s="139"/>
      <c r="N881" s="138"/>
      <c r="O881" s="138"/>
      <c r="P881" s="138"/>
      <c r="Q881" s="139"/>
      <c r="R881" s="139"/>
      <c r="S881" s="212"/>
      <c r="T881" s="138"/>
    </row>
    <row r="882" spans="1:20" ht="34.950000000000003" customHeight="1" x14ac:dyDescent="0.3">
      <c r="A882" s="136"/>
      <c r="B882" s="212"/>
      <c r="C882" s="138"/>
      <c r="D882" s="138"/>
      <c r="E882" s="138"/>
      <c r="F882" s="138"/>
      <c r="G882" s="138"/>
      <c r="H882" s="139"/>
      <c r="I882" s="138"/>
      <c r="J882" s="138"/>
      <c r="K882" s="138"/>
      <c r="L882" s="138"/>
      <c r="M882" s="139"/>
      <c r="N882" s="138"/>
      <c r="O882" s="138"/>
      <c r="P882" s="138"/>
      <c r="Q882" s="139"/>
      <c r="R882" s="139"/>
      <c r="S882" s="212"/>
      <c r="T882" s="138"/>
    </row>
    <row r="883" spans="1:20" ht="34.950000000000003" customHeight="1" x14ac:dyDescent="0.3">
      <c r="A883" s="136"/>
      <c r="B883" s="212"/>
      <c r="C883" s="138"/>
      <c r="D883" s="138"/>
      <c r="E883" s="138"/>
      <c r="F883" s="138"/>
      <c r="G883" s="138"/>
      <c r="H883" s="139"/>
      <c r="I883" s="138"/>
      <c r="J883" s="138"/>
      <c r="K883" s="138"/>
      <c r="L883" s="138"/>
      <c r="M883" s="139"/>
      <c r="N883" s="138"/>
      <c r="O883" s="138"/>
      <c r="P883" s="138"/>
      <c r="Q883" s="139"/>
      <c r="R883" s="139"/>
      <c r="S883" s="212"/>
      <c r="T883" s="138"/>
    </row>
    <row r="884" spans="1:20" ht="34.950000000000003" customHeight="1" x14ac:dyDescent="0.3">
      <c r="A884" s="136"/>
      <c r="B884" s="212"/>
      <c r="C884" s="138"/>
      <c r="D884" s="138"/>
      <c r="E884" s="138"/>
      <c r="F884" s="138"/>
      <c r="G884" s="138"/>
      <c r="H884" s="139"/>
      <c r="I884" s="138"/>
      <c r="J884" s="138"/>
      <c r="K884" s="138"/>
      <c r="L884" s="138"/>
      <c r="M884" s="139"/>
      <c r="N884" s="138"/>
      <c r="O884" s="138"/>
      <c r="P884" s="138"/>
      <c r="Q884" s="139"/>
      <c r="R884" s="139"/>
      <c r="S884" s="212"/>
      <c r="T884" s="138"/>
    </row>
    <row r="885" spans="1:20" ht="34.950000000000003" customHeight="1" x14ac:dyDescent="0.3">
      <c r="A885" s="136"/>
      <c r="B885" s="212"/>
      <c r="C885" s="138"/>
      <c r="D885" s="138"/>
      <c r="E885" s="138"/>
      <c r="F885" s="138"/>
      <c r="G885" s="138"/>
      <c r="H885" s="139"/>
      <c r="I885" s="138"/>
      <c r="J885" s="138"/>
      <c r="K885" s="138"/>
      <c r="L885" s="138"/>
      <c r="M885" s="139"/>
      <c r="N885" s="138"/>
      <c r="O885" s="138"/>
      <c r="P885" s="138"/>
      <c r="Q885" s="139"/>
      <c r="R885" s="139"/>
      <c r="S885" s="212"/>
      <c r="T885" s="138"/>
    </row>
    <row r="886" spans="1:20" ht="34.950000000000003" customHeight="1" x14ac:dyDescent="0.3">
      <c r="A886" s="136"/>
      <c r="B886" s="212"/>
      <c r="C886" s="138"/>
      <c r="D886" s="138"/>
      <c r="E886" s="138"/>
      <c r="F886" s="138"/>
      <c r="G886" s="138"/>
      <c r="H886" s="139"/>
      <c r="I886" s="138"/>
      <c r="J886" s="138"/>
      <c r="K886" s="138"/>
      <c r="L886" s="138"/>
      <c r="M886" s="139"/>
      <c r="N886" s="138"/>
      <c r="O886" s="138"/>
      <c r="P886" s="138"/>
      <c r="Q886" s="139"/>
      <c r="R886" s="139"/>
      <c r="S886" s="212"/>
      <c r="T886" s="138"/>
    </row>
    <row r="887" spans="1:20" ht="34.950000000000003" customHeight="1" x14ac:dyDescent="0.3">
      <c r="A887" s="136"/>
      <c r="B887" s="212"/>
      <c r="C887" s="138"/>
      <c r="D887" s="138"/>
      <c r="E887" s="138"/>
      <c r="F887" s="138"/>
      <c r="G887" s="138"/>
      <c r="H887" s="139"/>
      <c r="I887" s="138"/>
      <c r="J887" s="138"/>
      <c r="K887" s="138"/>
      <c r="L887" s="138"/>
      <c r="M887" s="139"/>
      <c r="N887" s="138"/>
      <c r="O887" s="138"/>
      <c r="P887" s="138"/>
      <c r="Q887" s="139"/>
      <c r="R887" s="139"/>
      <c r="S887" s="212"/>
      <c r="T887" s="138"/>
    </row>
    <row r="888" spans="1:20" ht="34.950000000000003" customHeight="1" x14ac:dyDescent="0.3">
      <c r="A888" s="136"/>
      <c r="B888" s="212"/>
      <c r="C888" s="138"/>
      <c r="D888" s="138"/>
      <c r="E888" s="138"/>
      <c r="F888" s="138"/>
      <c r="G888" s="138"/>
      <c r="H888" s="139"/>
      <c r="I888" s="138"/>
      <c r="J888" s="138"/>
      <c r="K888" s="138"/>
      <c r="L888" s="138"/>
      <c r="M888" s="139"/>
      <c r="N888" s="138"/>
      <c r="O888" s="138"/>
      <c r="P888" s="138"/>
      <c r="Q888" s="139"/>
      <c r="R888" s="139"/>
      <c r="S888" s="212"/>
      <c r="T888" s="138"/>
    </row>
    <row r="889" spans="1:20" ht="34.950000000000003" customHeight="1" x14ac:dyDescent="0.3">
      <c r="A889" s="136"/>
      <c r="B889" s="212"/>
      <c r="C889" s="138"/>
      <c r="D889" s="138"/>
      <c r="E889" s="138"/>
      <c r="F889" s="138"/>
      <c r="G889" s="138"/>
      <c r="H889" s="139"/>
      <c r="I889" s="138"/>
      <c r="J889" s="138"/>
      <c r="K889" s="138"/>
      <c r="L889" s="138"/>
      <c r="M889" s="139"/>
      <c r="N889" s="138"/>
      <c r="O889" s="138"/>
      <c r="P889" s="138"/>
      <c r="Q889" s="139"/>
      <c r="R889" s="139"/>
      <c r="S889" s="212"/>
      <c r="T889" s="138"/>
    </row>
    <row r="890" spans="1:20" ht="34.950000000000003" customHeight="1" x14ac:dyDescent="0.3">
      <c r="A890" s="136"/>
      <c r="B890" s="212"/>
      <c r="C890" s="138"/>
      <c r="D890" s="138"/>
      <c r="E890" s="138"/>
      <c r="F890" s="138"/>
      <c r="G890" s="138"/>
      <c r="H890" s="139"/>
      <c r="I890" s="138"/>
      <c r="J890" s="138"/>
      <c r="K890" s="138"/>
      <c r="L890" s="138"/>
      <c r="M890" s="139"/>
      <c r="N890" s="138"/>
      <c r="O890" s="138"/>
      <c r="P890" s="138"/>
      <c r="Q890" s="139"/>
      <c r="R890" s="139"/>
      <c r="S890" s="212"/>
      <c r="T890" s="138"/>
    </row>
    <row r="891" spans="1:20" ht="34.950000000000003" customHeight="1" x14ac:dyDescent="0.3">
      <c r="A891" s="136"/>
      <c r="B891" s="212"/>
      <c r="C891" s="138"/>
      <c r="D891" s="138"/>
      <c r="E891" s="138"/>
      <c r="F891" s="138"/>
      <c r="G891" s="138"/>
      <c r="H891" s="139"/>
      <c r="I891" s="138"/>
      <c r="J891" s="138"/>
      <c r="K891" s="138"/>
      <c r="L891" s="138"/>
      <c r="M891" s="139"/>
      <c r="N891" s="138"/>
      <c r="O891" s="138"/>
      <c r="P891" s="138"/>
      <c r="Q891" s="139"/>
      <c r="R891" s="139"/>
      <c r="S891" s="212"/>
      <c r="T891" s="138"/>
    </row>
    <row r="892" spans="1:20" ht="34.950000000000003" customHeight="1" x14ac:dyDescent="0.3">
      <c r="A892" s="136"/>
      <c r="B892" s="212"/>
      <c r="C892" s="138"/>
      <c r="D892" s="138"/>
      <c r="E892" s="138"/>
      <c r="F892" s="138"/>
      <c r="G892" s="138"/>
      <c r="H892" s="139"/>
      <c r="I892" s="138"/>
      <c r="J892" s="138"/>
      <c r="K892" s="138"/>
      <c r="L892" s="138"/>
      <c r="M892" s="139"/>
      <c r="N892" s="138"/>
      <c r="O892" s="138"/>
      <c r="P892" s="138"/>
      <c r="Q892" s="139"/>
      <c r="R892" s="139"/>
      <c r="S892" s="212"/>
      <c r="T892" s="138"/>
    </row>
    <row r="893" spans="1:20" ht="34.950000000000003" customHeight="1" x14ac:dyDescent="0.3">
      <c r="A893" s="136"/>
      <c r="B893" s="212"/>
      <c r="C893" s="138"/>
      <c r="D893" s="138"/>
      <c r="E893" s="138"/>
      <c r="F893" s="138"/>
      <c r="G893" s="138"/>
      <c r="H893" s="139"/>
      <c r="I893" s="138"/>
      <c r="J893" s="138"/>
      <c r="K893" s="138"/>
      <c r="L893" s="138"/>
      <c r="M893" s="139"/>
      <c r="N893" s="138"/>
      <c r="O893" s="138"/>
      <c r="P893" s="138"/>
      <c r="Q893" s="139"/>
      <c r="R893" s="139"/>
      <c r="S893" s="212"/>
      <c r="T893" s="138"/>
    </row>
    <row r="894" spans="1:20" ht="34.950000000000003" customHeight="1" x14ac:dyDescent="0.3">
      <c r="A894" s="136"/>
      <c r="B894" s="212"/>
      <c r="C894" s="138"/>
      <c r="D894" s="138"/>
      <c r="E894" s="138"/>
      <c r="F894" s="138"/>
      <c r="G894" s="138"/>
      <c r="H894" s="139"/>
      <c r="I894" s="138"/>
      <c r="J894" s="138"/>
      <c r="K894" s="138"/>
      <c r="L894" s="138"/>
      <c r="M894" s="139"/>
      <c r="N894" s="138"/>
      <c r="O894" s="138"/>
      <c r="P894" s="138"/>
      <c r="Q894" s="139"/>
      <c r="R894" s="139"/>
      <c r="S894" s="212"/>
      <c r="T894" s="138"/>
    </row>
    <row r="895" spans="1:20" ht="34.950000000000003" customHeight="1" x14ac:dyDescent="0.3">
      <c r="A895" s="136"/>
      <c r="B895" s="212"/>
      <c r="C895" s="138"/>
      <c r="D895" s="138"/>
      <c r="E895" s="138"/>
      <c r="F895" s="138"/>
      <c r="G895" s="138"/>
      <c r="H895" s="139"/>
      <c r="I895" s="138"/>
      <c r="J895" s="138"/>
      <c r="K895" s="138"/>
      <c r="L895" s="138"/>
      <c r="M895" s="139"/>
      <c r="N895" s="138"/>
      <c r="O895" s="138"/>
      <c r="P895" s="138"/>
      <c r="Q895" s="139"/>
      <c r="R895" s="139"/>
      <c r="S895" s="212"/>
      <c r="T895" s="138"/>
    </row>
    <row r="896" spans="1:20" ht="34.950000000000003" customHeight="1" x14ac:dyDescent="0.3">
      <c r="A896" s="136"/>
      <c r="B896" s="212"/>
      <c r="C896" s="138"/>
      <c r="D896" s="138"/>
      <c r="E896" s="138"/>
      <c r="F896" s="138"/>
      <c r="G896" s="138"/>
      <c r="H896" s="139"/>
      <c r="I896" s="138"/>
      <c r="J896" s="138"/>
      <c r="K896" s="138"/>
      <c r="L896" s="138"/>
      <c r="M896" s="139"/>
      <c r="N896" s="138"/>
      <c r="O896" s="138"/>
      <c r="P896" s="138"/>
      <c r="Q896" s="139"/>
      <c r="R896" s="139"/>
      <c r="S896" s="212"/>
      <c r="T896" s="138"/>
    </row>
    <row r="897" spans="1:20" ht="34.950000000000003" customHeight="1" x14ac:dyDescent="0.3">
      <c r="A897" s="136"/>
      <c r="B897" s="212"/>
      <c r="C897" s="138"/>
      <c r="D897" s="138"/>
      <c r="E897" s="138"/>
      <c r="F897" s="138"/>
      <c r="G897" s="138"/>
      <c r="H897" s="139"/>
      <c r="I897" s="138"/>
      <c r="J897" s="138"/>
      <c r="K897" s="138"/>
      <c r="L897" s="138"/>
      <c r="M897" s="139"/>
      <c r="N897" s="138"/>
      <c r="O897" s="138"/>
      <c r="P897" s="138"/>
      <c r="Q897" s="139"/>
      <c r="R897" s="139"/>
      <c r="S897" s="212"/>
      <c r="T897" s="138"/>
    </row>
    <row r="898" spans="1:20" ht="34.950000000000003" customHeight="1" x14ac:dyDescent="0.3">
      <c r="A898" s="136"/>
      <c r="B898" s="212"/>
      <c r="C898" s="138"/>
      <c r="D898" s="138"/>
      <c r="E898" s="138"/>
      <c r="F898" s="138"/>
      <c r="G898" s="138"/>
      <c r="H898" s="139"/>
      <c r="I898" s="138"/>
      <c r="J898" s="138"/>
      <c r="K898" s="138"/>
      <c r="L898" s="138"/>
      <c r="M898" s="139"/>
      <c r="N898" s="138"/>
      <c r="O898" s="138"/>
      <c r="P898" s="138"/>
      <c r="Q898" s="139"/>
      <c r="R898" s="139"/>
      <c r="S898" s="212"/>
      <c r="T898" s="138"/>
    </row>
    <row r="899" spans="1:20" ht="34.950000000000003" customHeight="1" x14ac:dyDescent="0.3">
      <c r="A899" s="136"/>
      <c r="B899" s="212"/>
      <c r="C899" s="138"/>
      <c r="D899" s="138"/>
      <c r="E899" s="138"/>
      <c r="F899" s="138"/>
      <c r="G899" s="138"/>
      <c r="H899" s="139"/>
      <c r="I899" s="138"/>
      <c r="J899" s="138"/>
      <c r="K899" s="138"/>
      <c r="L899" s="138"/>
      <c r="M899" s="139"/>
      <c r="N899" s="138"/>
      <c r="O899" s="138"/>
      <c r="P899" s="138"/>
      <c r="Q899" s="139"/>
      <c r="R899" s="139"/>
      <c r="S899" s="212"/>
      <c r="T899" s="138"/>
    </row>
    <row r="900" spans="1:20" ht="34.950000000000003" customHeight="1" x14ac:dyDescent="0.3">
      <c r="A900" s="136"/>
      <c r="B900" s="212"/>
      <c r="C900" s="138"/>
      <c r="D900" s="138"/>
      <c r="E900" s="138"/>
      <c r="F900" s="138"/>
      <c r="G900" s="138"/>
      <c r="H900" s="139"/>
      <c r="I900" s="138"/>
      <c r="J900" s="138"/>
      <c r="K900" s="138"/>
      <c r="L900" s="138"/>
      <c r="M900" s="139"/>
      <c r="N900" s="138"/>
      <c r="O900" s="138"/>
      <c r="P900" s="138"/>
      <c r="Q900" s="139"/>
      <c r="R900" s="139"/>
      <c r="S900" s="212"/>
      <c r="T900" s="138"/>
    </row>
    <row r="901" spans="1:20" ht="34.950000000000003" customHeight="1" x14ac:dyDescent="0.3">
      <c r="A901" s="136"/>
      <c r="B901" s="212"/>
      <c r="C901" s="138"/>
      <c r="D901" s="138"/>
      <c r="E901" s="138"/>
      <c r="F901" s="138"/>
      <c r="G901" s="138"/>
      <c r="H901" s="139"/>
      <c r="I901" s="138"/>
      <c r="J901" s="138"/>
      <c r="K901" s="138"/>
      <c r="L901" s="138"/>
      <c r="M901" s="139"/>
      <c r="N901" s="138"/>
      <c r="O901" s="138"/>
      <c r="P901" s="138"/>
      <c r="Q901" s="139"/>
      <c r="R901" s="139"/>
      <c r="S901" s="212"/>
      <c r="T901" s="138"/>
    </row>
    <row r="902" spans="1:20" ht="34.950000000000003" customHeight="1" x14ac:dyDescent="0.3">
      <c r="A902" s="136"/>
      <c r="B902" s="212"/>
      <c r="C902" s="138"/>
      <c r="D902" s="138"/>
      <c r="E902" s="138"/>
      <c r="F902" s="138"/>
      <c r="G902" s="138"/>
      <c r="H902" s="139"/>
      <c r="I902" s="138"/>
      <c r="J902" s="138"/>
      <c r="K902" s="138"/>
      <c r="L902" s="138"/>
      <c r="M902" s="139"/>
      <c r="N902" s="138"/>
      <c r="O902" s="138"/>
      <c r="P902" s="138"/>
      <c r="Q902" s="139"/>
      <c r="R902" s="139"/>
      <c r="S902" s="212"/>
      <c r="T902" s="138"/>
    </row>
    <row r="903" spans="1:20" ht="34.950000000000003" customHeight="1" x14ac:dyDescent="0.3">
      <c r="A903" s="136"/>
      <c r="B903" s="212"/>
      <c r="C903" s="138"/>
      <c r="D903" s="138"/>
      <c r="E903" s="138"/>
      <c r="F903" s="138"/>
      <c r="G903" s="138"/>
      <c r="H903" s="139"/>
      <c r="I903" s="138"/>
      <c r="J903" s="138"/>
      <c r="K903" s="138"/>
      <c r="L903" s="138"/>
      <c r="M903" s="139"/>
      <c r="N903" s="138"/>
      <c r="O903" s="138"/>
      <c r="P903" s="138"/>
      <c r="Q903" s="139"/>
      <c r="R903" s="139"/>
      <c r="S903" s="212"/>
      <c r="T903" s="138"/>
    </row>
    <row r="904" spans="1:20" ht="34.950000000000003" customHeight="1" x14ac:dyDescent="0.3">
      <c r="A904" s="136"/>
      <c r="B904" s="212"/>
      <c r="C904" s="138"/>
      <c r="D904" s="138"/>
      <c r="E904" s="138"/>
      <c r="F904" s="138"/>
      <c r="G904" s="138"/>
      <c r="H904" s="139"/>
      <c r="I904" s="138"/>
      <c r="J904" s="138"/>
      <c r="K904" s="138"/>
      <c r="L904" s="138"/>
      <c r="M904" s="139"/>
      <c r="N904" s="138"/>
      <c r="O904" s="138"/>
      <c r="P904" s="138"/>
      <c r="Q904" s="139"/>
      <c r="R904" s="139"/>
      <c r="S904" s="212"/>
      <c r="T904" s="138"/>
    </row>
    <row r="905" spans="1:20" ht="34.950000000000003" customHeight="1" x14ac:dyDescent="0.3">
      <c r="A905" s="136"/>
      <c r="B905" s="212"/>
      <c r="C905" s="138"/>
      <c r="D905" s="138"/>
      <c r="E905" s="138"/>
      <c r="F905" s="138"/>
      <c r="G905" s="138"/>
      <c r="H905" s="139"/>
      <c r="I905" s="138"/>
      <c r="J905" s="138"/>
      <c r="K905" s="138"/>
      <c r="L905" s="138"/>
      <c r="M905" s="139"/>
      <c r="N905" s="138"/>
      <c r="O905" s="138"/>
      <c r="P905" s="138"/>
      <c r="Q905" s="139"/>
      <c r="R905" s="139"/>
      <c r="S905" s="212"/>
      <c r="T905" s="138"/>
    </row>
    <row r="906" spans="1:20" ht="34.950000000000003" customHeight="1" x14ac:dyDescent="0.3">
      <c r="A906" s="136"/>
      <c r="B906" s="212"/>
      <c r="C906" s="138"/>
      <c r="D906" s="138"/>
      <c r="E906" s="138"/>
      <c r="F906" s="138"/>
      <c r="G906" s="138"/>
      <c r="H906" s="139"/>
      <c r="I906" s="138"/>
      <c r="J906" s="138"/>
      <c r="K906" s="138"/>
      <c r="L906" s="138"/>
      <c r="M906" s="139"/>
      <c r="N906" s="138"/>
      <c r="O906" s="138"/>
      <c r="P906" s="138"/>
      <c r="Q906" s="139"/>
      <c r="R906" s="139"/>
      <c r="S906" s="212"/>
      <c r="T906" s="138"/>
    </row>
    <row r="907" spans="1:20" ht="34.950000000000003" customHeight="1" x14ac:dyDescent="0.3">
      <c r="A907" s="136"/>
      <c r="B907" s="212"/>
      <c r="C907" s="138"/>
      <c r="D907" s="138"/>
      <c r="E907" s="138"/>
      <c r="F907" s="138"/>
      <c r="G907" s="138"/>
      <c r="H907" s="139"/>
      <c r="I907" s="138"/>
      <c r="J907" s="138"/>
      <c r="K907" s="138"/>
      <c r="L907" s="138"/>
      <c r="M907" s="139"/>
      <c r="N907" s="138"/>
      <c r="O907" s="138"/>
      <c r="P907" s="138"/>
      <c r="Q907" s="139"/>
      <c r="R907" s="139"/>
      <c r="S907" s="212"/>
      <c r="T907" s="138"/>
    </row>
    <row r="908" spans="1:20" ht="34.950000000000003" customHeight="1" x14ac:dyDescent="0.3">
      <c r="A908" s="136"/>
      <c r="B908" s="212"/>
      <c r="C908" s="138"/>
      <c r="D908" s="138"/>
      <c r="E908" s="138"/>
      <c r="F908" s="138"/>
      <c r="G908" s="138"/>
      <c r="H908" s="139"/>
      <c r="I908" s="138"/>
      <c r="J908" s="138"/>
      <c r="K908" s="138"/>
      <c r="L908" s="138"/>
      <c r="M908" s="139"/>
      <c r="N908" s="138"/>
      <c r="O908" s="138"/>
      <c r="P908" s="138"/>
      <c r="Q908" s="139"/>
      <c r="R908" s="139"/>
      <c r="S908" s="212"/>
      <c r="T908" s="138"/>
    </row>
    <row r="909" spans="1:20" ht="34.950000000000003" customHeight="1" x14ac:dyDescent="0.3">
      <c r="A909" s="136"/>
      <c r="B909" s="212"/>
      <c r="C909" s="138"/>
      <c r="D909" s="138"/>
      <c r="E909" s="138"/>
      <c r="F909" s="138"/>
      <c r="G909" s="138"/>
      <c r="H909" s="139"/>
      <c r="I909" s="138"/>
      <c r="J909" s="138"/>
      <c r="K909" s="138"/>
      <c r="L909" s="138"/>
      <c r="M909" s="139"/>
      <c r="N909" s="138"/>
      <c r="O909" s="138"/>
      <c r="P909" s="138"/>
      <c r="Q909" s="139"/>
      <c r="R909" s="139"/>
      <c r="S909" s="212"/>
      <c r="T909" s="138"/>
    </row>
    <row r="910" spans="1:20" ht="34.950000000000003" customHeight="1" x14ac:dyDescent="0.3">
      <c r="A910" s="136"/>
      <c r="B910" s="212"/>
      <c r="C910" s="138"/>
      <c r="D910" s="138"/>
      <c r="E910" s="138"/>
      <c r="F910" s="138"/>
      <c r="G910" s="138"/>
      <c r="H910" s="139"/>
      <c r="I910" s="138"/>
      <c r="J910" s="138"/>
      <c r="K910" s="138"/>
      <c r="L910" s="138"/>
      <c r="M910" s="139"/>
      <c r="N910" s="138"/>
      <c r="O910" s="138"/>
      <c r="P910" s="138"/>
      <c r="Q910" s="139"/>
      <c r="R910" s="139"/>
      <c r="S910" s="212"/>
      <c r="T910" s="138"/>
    </row>
    <row r="911" spans="1:20" ht="34.950000000000003" customHeight="1" x14ac:dyDescent="0.3">
      <c r="A911" s="136"/>
      <c r="B911" s="212"/>
      <c r="C911" s="138"/>
      <c r="D911" s="138"/>
      <c r="E911" s="138"/>
      <c r="F911" s="138"/>
      <c r="G911" s="138"/>
      <c r="H911" s="139"/>
      <c r="I911" s="138"/>
      <c r="J911" s="138"/>
      <c r="K911" s="138"/>
      <c r="L911" s="138"/>
      <c r="M911" s="139"/>
      <c r="N911" s="138"/>
      <c r="O911" s="138"/>
      <c r="P911" s="138"/>
      <c r="Q911" s="139"/>
      <c r="R911" s="139"/>
      <c r="S911" s="212"/>
      <c r="T911" s="138"/>
    </row>
    <row r="912" spans="1:20" ht="34.950000000000003" customHeight="1" x14ac:dyDescent="0.3">
      <c r="A912" s="136"/>
      <c r="B912" s="212"/>
      <c r="C912" s="138"/>
      <c r="D912" s="138"/>
      <c r="E912" s="138"/>
      <c r="F912" s="138"/>
      <c r="G912" s="138"/>
      <c r="H912" s="139"/>
      <c r="I912" s="138"/>
      <c r="J912" s="138"/>
      <c r="K912" s="138"/>
      <c r="L912" s="138"/>
      <c r="M912" s="139"/>
      <c r="N912" s="138"/>
      <c r="O912" s="138"/>
      <c r="P912" s="138"/>
      <c r="Q912" s="139"/>
      <c r="R912" s="139"/>
      <c r="S912" s="212"/>
      <c r="T912" s="138"/>
    </row>
    <row r="913" spans="1:20" ht="34.950000000000003" customHeight="1" x14ac:dyDescent="0.3">
      <c r="A913" s="136"/>
      <c r="B913" s="212"/>
      <c r="C913" s="138"/>
      <c r="D913" s="138"/>
      <c r="E913" s="138"/>
      <c r="F913" s="138"/>
      <c r="G913" s="138"/>
      <c r="H913" s="139"/>
      <c r="I913" s="138"/>
      <c r="J913" s="138"/>
      <c r="K913" s="138"/>
      <c r="L913" s="138"/>
      <c r="M913" s="139"/>
      <c r="N913" s="138"/>
      <c r="O913" s="138"/>
      <c r="P913" s="138"/>
      <c r="Q913" s="139"/>
      <c r="R913" s="139"/>
      <c r="S913" s="212"/>
      <c r="T913" s="138"/>
    </row>
    <row r="914" spans="1:20" ht="34.950000000000003" customHeight="1" x14ac:dyDescent="0.3">
      <c r="A914" s="136"/>
      <c r="B914" s="212"/>
      <c r="C914" s="138"/>
      <c r="D914" s="138"/>
      <c r="E914" s="138"/>
      <c r="F914" s="138"/>
      <c r="G914" s="138"/>
      <c r="H914" s="139"/>
      <c r="I914" s="138"/>
      <c r="J914" s="138"/>
      <c r="K914" s="138"/>
      <c r="L914" s="138"/>
      <c r="M914" s="139"/>
      <c r="N914" s="138"/>
      <c r="O914" s="138"/>
      <c r="P914" s="138"/>
      <c r="Q914" s="139"/>
      <c r="R914" s="139"/>
      <c r="S914" s="212"/>
      <c r="T914" s="138"/>
    </row>
    <row r="915" spans="1:20" ht="34.950000000000003" customHeight="1" x14ac:dyDescent="0.3">
      <c r="A915" s="136"/>
      <c r="B915" s="212"/>
      <c r="C915" s="138"/>
      <c r="D915" s="138"/>
      <c r="E915" s="138"/>
      <c r="F915" s="138"/>
      <c r="G915" s="138"/>
      <c r="H915" s="139"/>
      <c r="I915" s="138"/>
      <c r="J915" s="138"/>
      <c r="K915" s="138"/>
      <c r="L915" s="138"/>
      <c r="M915" s="139"/>
      <c r="N915" s="138"/>
      <c r="O915" s="138"/>
      <c r="P915" s="138"/>
      <c r="Q915" s="139"/>
      <c r="R915" s="139"/>
      <c r="S915" s="212"/>
      <c r="T915" s="138"/>
    </row>
    <row r="916" spans="1:20" ht="34.950000000000003" customHeight="1" x14ac:dyDescent="0.3">
      <c r="A916" s="136"/>
      <c r="B916" s="212"/>
      <c r="C916" s="138"/>
      <c r="D916" s="138"/>
      <c r="E916" s="138"/>
      <c r="F916" s="138"/>
      <c r="G916" s="138"/>
      <c r="H916" s="139"/>
      <c r="I916" s="138"/>
      <c r="J916" s="138"/>
      <c r="K916" s="138"/>
      <c r="L916" s="138"/>
      <c r="M916" s="139"/>
      <c r="N916" s="138"/>
      <c r="O916" s="138"/>
      <c r="P916" s="138"/>
      <c r="Q916" s="139"/>
      <c r="R916" s="139"/>
      <c r="S916" s="212"/>
      <c r="T916" s="138"/>
    </row>
    <row r="917" spans="1:20" ht="34.950000000000003" customHeight="1" x14ac:dyDescent="0.3">
      <c r="A917" s="136"/>
      <c r="B917" s="212"/>
      <c r="C917" s="138"/>
      <c r="D917" s="138"/>
      <c r="E917" s="138"/>
      <c r="F917" s="138"/>
      <c r="G917" s="138"/>
      <c r="H917" s="139"/>
      <c r="I917" s="138"/>
      <c r="J917" s="138"/>
      <c r="K917" s="138"/>
      <c r="L917" s="138"/>
      <c r="M917" s="139"/>
      <c r="N917" s="138"/>
      <c r="O917" s="138"/>
      <c r="P917" s="138"/>
      <c r="Q917" s="139"/>
      <c r="R917" s="139"/>
      <c r="S917" s="212"/>
      <c r="T917" s="138"/>
    </row>
    <row r="918" spans="1:20" ht="34.950000000000003" customHeight="1" x14ac:dyDescent="0.3">
      <c r="A918" s="136"/>
      <c r="B918" s="212"/>
      <c r="C918" s="138"/>
      <c r="D918" s="138"/>
      <c r="E918" s="138"/>
      <c r="F918" s="138"/>
      <c r="G918" s="138"/>
      <c r="H918" s="139"/>
      <c r="I918" s="138"/>
      <c r="J918" s="138"/>
      <c r="K918" s="138"/>
      <c r="L918" s="138"/>
      <c r="M918" s="139"/>
      <c r="N918" s="138"/>
      <c r="O918" s="138"/>
      <c r="P918" s="138"/>
      <c r="Q918" s="139"/>
      <c r="R918" s="139"/>
      <c r="S918" s="212"/>
      <c r="T918" s="138"/>
    </row>
    <row r="919" spans="1:20" ht="34.950000000000003" customHeight="1" x14ac:dyDescent="0.3">
      <c r="A919" s="136"/>
      <c r="B919" s="212"/>
      <c r="C919" s="138"/>
      <c r="D919" s="138"/>
      <c r="E919" s="138"/>
      <c r="F919" s="138"/>
      <c r="G919" s="138"/>
      <c r="H919" s="139"/>
      <c r="I919" s="138"/>
      <c r="J919" s="138"/>
      <c r="K919" s="138"/>
      <c r="L919" s="138"/>
      <c r="M919" s="139"/>
      <c r="N919" s="138"/>
      <c r="O919" s="138"/>
      <c r="P919" s="138"/>
      <c r="Q919" s="139"/>
      <c r="R919" s="139"/>
      <c r="S919" s="212"/>
      <c r="T919" s="138"/>
    </row>
    <row r="920" spans="1:20" ht="34.950000000000003" customHeight="1" x14ac:dyDescent="0.3">
      <c r="A920" s="136"/>
      <c r="B920" s="212"/>
      <c r="C920" s="138"/>
      <c r="D920" s="138"/>
      <c r="E920" s="138"/>
      <c r="F920" s="138"/>
      <c r="G920" s="138"/>
      <c r="H920" s="139"/>
      <c r="I920" s="138"/>
      <c r="J920" s="138"/>
      <c r="K920" s="138"/>
      <c r="L920" s="138"/>
      <c r="M920" s="139"/>
      <c r="N920" s="138"/>
      <c r="O920" s="138"/>
      <c r="P920" s="138"/>
      <c r="Q920" s="139"/>
      <c r="R920" s="139"/>
      <c r="S920" s="212"/>
      <c r="T920" s="138"/>
    </row>
    <row r="921" spans="1:20" ht="34.950000000000003" customHeight="1" x14ac:dyDescent="0.3">
      <c r="A921" s="136"/>
      <c r="B921" s="212"/>
      <c r="C921" s="138"/>
      <c r="D921" s="138"/>
      <c r="E921" s="138"/>
      <c r="F921" s="138"/>
      <c r="G921" s="138"/>
      <c r="H921" s="139"/>
      <c r="I921" s="138"/>
      <c r="J921" s="138"/>
      <c r="K921" s="138"/>
      <c r="L921" s="138"/>
      <c r="M921" s="139"/>
      <c r="N921" s="138"/>
      <c r="O921" s="138"/>
      <c r="P921" s="138"/>
      <c r="Q921" s="139"/>
      <c r="R921" s="139"/>
      <c r="S921" s="212"/>
      <c r="T921" s="138"/>
    </row>
    <row r="922" spans="1:20" ht="34.950000000000003" customHeight="1" x14ac:dyDescent="0.3">
      <c r="A922" s="136"/>
      <c r="B922" s="212"/>
      <c r="C922" s="138"/>
      <c r="D922" s="138"/>
      <c r="E922" s="138"/>
      <c r="F922" s="138"/>
      <c r="G922" s="138"/>
      <c r="H922" s="139"/>
      <c r="I922" s="138"/>
      <c r="J922" s="138"/>
      <c r="K922" s="138"/>
      <c r="L922" s="138"/>
      <c r="M922" s="139"/>
      <c r="N922" s="138"/>
      <c r="O922" s="138"/>
      <c r="P922" s="138"/>
      <c r="Q922" s="139"/>
      <c r="R922" s="139"/>
      <c r="S922" s="212"/>
      <c r="T922" s="138"/>
    </row>
    <row r="923" spans="1:20" ht="34.950000000000003" customHeight="1" x14ac:dyDescent="0.3">
      <c r="A923" s="136"/>
      <c r="B923" s="212"/>
      <c r="C923" s="138"/>
      <c r="D923" s="138"/>
      <c r="E923" s="138"/>
      <c r="F923" s="138"/>
      <c r="G923" s="138"/>
      <c r="H923" s="139"/>
      <c r="I923" s="138"/>
      <c r="J923" s="138"/>
      <c r="K923" s="138"/>
      <c r="L923" s="138"/>
      <c r="M923" s="139"/>
      <c r="N923" s="138"/>
      <c r="O923" s="138"/>
      <c r="P923" s="138"/>
      <c r="Q923" s="139"/>
      <c r="R923" s="139"/>
      <c r="S923" s="212"/>
      <c r="T923" s="138"/>
    </row>
    <row r="924" spans="1:20" ht="34.950000000000003" customHeight="1" x14ac:dyDescent="0.3">
      <c r="A924" s="136"/>
      <c r="B924" s="212"/>
      <c r="C924" s="138"/>
      <c r="D924" s="138"/>
      <c r="E924" s="138"/>
      <c r="F924" s="138"/>
      <c r="G924" s="138"/>
      <c r="H924" s="139"/>
      <c r="I924" s="138"/>
      <c r="J924" s="138"/>
      <c r="K924" s="138"/>
      <c r="L924" s="138"/>
      <c r="M924" s="139"/>
      <c r="N924" s="138"/>
      <c r="O924" s="138"/>
      <c r="P924" s="138"/>
      <c r="Q924" s="139"/>
      <c r="R924" s="139"/>
      <c r="S924" s="212"/>
      <c r="T924" s="138"/>
    </row>
    <row r="925" spans="1:20" ht="34.950000000000003" customHeight="1" x14ac:dyDescent="0.3">
      <c r="A925" s="136"/>
      <c r="B925" s="212"/>
      <c r="C925" s="138"/>
      <c r="D925" s="138"/>
      <c r="E925" s="138"/>
      <c r="F925" s="138"/>
      <c r="G925" s="138"/>
      <c r="H925" s="139"/>
      <c r="I925" s="138"/>
      <c r="J925" s="138"/>
      <c r="K925" s="138"/>
      <c r="L925" s="138"/>
      <c r="M925" s="139"/>
      <c r="N925" s="138"/>
      <c r="O925" s="138"/>
      <c r="P925" s="138"/>
      <c r="Q925" s="139"/>
      <c r="R925" s="139"/>
      <c r="S925" s="212"/>
      <c r="T925" s="138"/>
    </row>
    <row r="926" spans="1:20" ht="34.950000000000003" customHeight="1" x14ac:dyDescent="0.3">
      <c r="A926" s="136"/>
      <c r="B926" s="212"/>
      <c r="C926" s="138"/>
      <c r="D926" s="138"/>
      <c r="E926" s="138"/>
      <c r="F926" s="138"/>
      <c r="G926" s="138"/>
      <c r="H926" s="139"/>
      <c r="I926" s="138"/>
      <c r="J926" s="138"/>
      <c r="K926" s="138"/>
      <c r="L926" s="138"/>
      <c r="M926" s="139"/>
      <c r="N926" s="138"/>
      <c r="O926" s="138"/>
      <c r="P926" s="138"/>
      <c r="Q926" s="139"/>
      <c r="R926" s="139"/>
      <c r="S926" s="212"/>
      <c r="T926" s="138"/>
    </row>
    <row r="927" spans="1:20" ht="34.950000000000003" customHeight="1" x14ac:dyDescent="0.3">
      <c r="A927" s="136"/>
      <c r="B927" s="212"/>
      <c r="C927" s="138"/>
      <c r="D927" s="138"/>
      <c r="E927" s="138"/>
      <c r="F927" s="138"/>
      <c r="G927" s="138"/>
      <c r="H927" s="139"/>
      <c r="I927" s="138"/>
      <c r="J927" s="138"/>
      <c r="K927" s="138"/>
      <c r="L927" s="138"/>
      <c r="M927" s="139"/>
      <c r="N927" s="138"/>
      <c r="O927" s="138"/>
      <c r="P927" s="138"/>
      <c r="Q927" s="139"/>
      <c r="R927" s="139"/>
      <c r="S927" s="212"/>
      <c r="T927" s="138"/>
    </row>
    <row r="928" spans="1:20" ht="34.950000000000003" customHeight="1" x14ac:dyDescent="0.3">
      <c r="A928" s="136"/>
      <c r="B928" s="212"/>
      <c r="C928" s="138"/>
      <c r="D928" s="138"/>
      <c r="E928" s="138"/>
      <c r="F928" s="138"/>
      <c r="G928" s="138"/>
      <c r="H928" s="139"/>
      <c r="I928" s="138"/>
      <c r="J928" s="138"/>
      <c r="K928" s="138"/>
      <c r="L928" s="138"/>
      <c r="M928" s="139"/>
      <c r="N928" s="138"/>
      <c r="O928" s="138"/>
      <c r="P928" s="138"/>
      <c r="Q928" s="139"/>
      <c r="R928" s="139"/>
      <c r="S928" s="212"/>
      <c r="T928" s="138"/>
    </row>
    <row r="929" spans="1:20" ht="34.950000000000003" customHeight="1" x14ac:dyDescent="0.3">
      <c r="A929" s="136"/>
      <c r="B929" s="212"/>
      <c r="C929" s="138"/>
      <c r="D929" s="138"/>
      <c r="E929" s="138"/>
      <c r="F929" s="138"/>
      <c r="G929" s="138"/>
      <c r="H929" s="139"/>
      <c r="I929" s="138"/>
      <c r="J929" s="138"/>
      <c r="K929" s="138"/>
      <c r="L929" s="138"/>
      <c r="M929" s="139"/>
      <c r="N929" s="138"/>
      <c r="O929" s="138"/>
      <c r="P929" s="138"/>
      <c r="Q929" s="139"/>
      <c r="R929" s="139"/>
      <c r="S929" s="212"/>
      <c r="T929" s="138"/>
    </row>
    <row r="930" spans="1:20" ht="34.950000000000003" customHeight="1" x14ac:dyDescent="0.3">
      <c r="A930" s="136"/>
      <c r="B930" s="212"/>
      <c r="C930" s="138"/>
      <c r="D930" s="138"/>
      <c r="E930" s="138"/>
      <c r="F930" s="138"/>
      <c r="G930" s="138"/>
      <c r="H930" s="139"/>
      <c r="I930" s="138"/>
      <c r="J930" s="138"/>
      <c r="K930" s="138"/>
      <c r="L930" s="138"/>
      <c r="M930" s="139"/>
      <c r="N930" s="138"/>
      <c r="O930" s="138"/>
      <c r="P930" s="138"/>
      <c r="Q930" s="139"/>
      <c r="R930" s="139"/>
      <c r="S930" s="212"/>
      <c r="T930" s="138"/>
    </row>
    <row r="931" spans="1:20" ht="34.950000000000003" customHeight="1" x14ac:dyDescent="0.3">
      <c r="A931" s="136"/>
      <c r="B931" s="212"/>
      <c r="C931" s="138"/>
      <c r="D931" s="138"/>
      <c r="E931" s="138"/>
      <c r="F931" s="138"/>
      <c r="G931" s="138"/>
      <c r="H931" s="139"/>
      <c r="I931" s="138"/>
      <c r="J931" s="138"/>
      <c r="K931" s="138"/>
      <c r="L931" s="138"/>
      <c r="M931" s="139"/>
      <c r="N931" s="138"/>
      <c r="O931" s="138"/>
      <c r="P931" s="138"/>
      <c r="Q931" s="139"/>
      <c r="R931" s="139"/>
      <c r="S931" s="212"/>
      <c r="T931" s="138"/>
    </row>
    <row r="932" spans="1:20" ht="34.950000000000003" customHeight="1" x14ac:dyDescent="0.3">
      <c r="A932" s="136"/>
      <c r="B932" s="212"/>
      <c r="C932" s="138"/>
      <c r="D932" s="138"/>
      <c r="E932" s="138"/>
      <c r="F932" s="138"/>
      <c r="G932" s="138"/>
      <c r="H932" s="139"/>
      <c r="I932" s="138"/>
      <c r="J932" s="138"/>
      <c r="K932" s="138"/>
      <c r="L932" s="138"/>
      <c r="M932" s="139"/>
      <c r="N932" s="138"/>
      <c r="O932" s="138"/>
      <c r="P932" s="138"/>
      <c r="Q932" s="139"/>
      <c r="R932" s="139"/>
      <c r="S932" s="212"/>
      <c r="T932" s="138"/>
    </row>
    <row r="933" spans="1:20" ht="34.950000000000003" customHeight="1" x14ac:dyDescent="0.3">
      <c r="A933" s="136"/>
      <c r="B933" s="212"/>
      <c r="C933" s="138"/>
      <c r="D933" s="138"/>
      <c r="E933" s="138"/>
      <c r="F933" s="138"/>
      <c r="G933" s="138"/>
      <c r="H933" s="139"/>
      <c r="I933" s="138"/>
      <c r="J933" s="138"/>
      <c r="K933" s="138"/>
      <c r="L933" s="138"/>
      <c r="M933" s="139"/>
      <c r="N933" s="138"/>
      <c r="O933" s="138"/>
      <c r="P933" s="138"/>
      <c r="Q933" s="139"/>
      <c r="R933" s="139"/>
      <c r="S933" s="212"/>
      <c r="T933" s="138"/>
    </row>
    <row r="934" spans="1:20" ht="34.950000000000003" customHeight="1" x14ac:dyDescent="0.3">
      <c r="A934" s="136"/>
      <c r="B934" s="212"/>
      <c r="C934" s="138"/>
      <c r="D934" s="138"/>
      <c r="E934" s="138"/>
      <c r="F934" s="138"/>
      <c r="G934" s="138"/>
      <c r="H934" s="139"/>
      <c r="I934" s="138"/>
      <c r="J934" s="138"/>
      <c r="K934" s="138"/>
      <c r="L934" s="138"/>
      <c r="M934" s="139"/>
      <c r="N934" s="138"/>
      <c r="O934" s="138"/>
      <c r="P934" s="138"/>
      <c r="Q934" s="139"/>
      <c r="R934" s="139"/>
      <c r="S934" s="212"/>
      <c r="T934" s="138"/>
    </row>
    <row r="935" spans="1:20" ht="34.950000000000003" customHeight="1" x14ac:dyDescent="0.3">
      <c r="A935" s="136"/>
      <c r="B935" s="212"/>
      <c r="C935" s="138"/>
      <c r="D935" s="138"/>
      <c r="E935" s="138"/>
      <c r="F935" s="138"/>
      <c r="G935" s="138"/>
      <c r="H935" s="139"/>
      <c r="I935" s="138"/>
      <c r="J935" s="138"/>
      <c r="K935" s="138"/>
      <c r="L935" s="138"/>
      <c r="M935" s="139"/>
      <c r="N935" s="138"/>
      <c r="O935" s="138"/>
      <c r="P935" s="138"/>
      <c r="Q935" s="139"/>
      <c r="R935" s="139"/>
      <c r="S935" s="212"/>
      <c r="T935" s="138"/>
    </row>
    <row r="936" spans="1:20" ht="34.950000000000003" customHeight="1" x14ac:dyDescent="0.3">
      <c r="A936" s="136"/>
      <c r="B936" s="212"/>
      <c r="C936" s="138"/>
      <c r="D936" s="138"/>
      <c r="E936" s="138"/>
      <c r="F936" s="138"/>
      <c r="G936" s="138"/>
      <c r="H936" s="139"/>
      <c r="I936" s="138"/>
      <c r="J936" s="138"/>
      <c r="K936" s="138"/>
      <c r="L936" s="138"/>
      <c r="M936" s="139"/>
      <c r="N936" s="138"/>
      <c r="O936" s="138"/>
      <c r="P936" s="138"/>
      <c r="Q936" s="139"/>
      <c r="R936" s="139"/>
      <c r="S936" s="212"/>
      <c r="T936" s="138"/>
    </row>
    <row r="937" spans="1:20" ht="34.950000000000003" customHeight="1" x14ac:dyDescent="0.3">
      <c r="A937" s="136"/>
      <c r="B937" s="212"/>
      <c r="C937" s="138"/>
      <c r="D937" s="138"/>
      <c r="E937" s="138"/>
      <c r="F937" s="138"/>
      <c r="G937" s="138"/>
      <c r="H937" s="139"/>
      <c r="I937" s="138"/>
      <c r="J937" s="138"/>
      <c r="K937" s="138"/>
      <c r="L937" s="138"/>
      <c r="M937" s="139"/>
      <c r="N937" s="138"/>
      <c r="O937" s="138"/>
      <c r="P937" s="138"/>
      <c r="Q937" s="139"/>
      <c r="R937" s="139"/>
      <c r="S937" s="212"/>
      <c r="T937" s="138"/>
    </row>
    <row r="938" spans="1:20" ht="34.950000000000003" customHeight="1" x14ac:dyDescent="0.3">
      <c r="A938" s="136"/>
      <c r="B938" s="212"/>
      <c r="C938" s="138"/>
      <c r="D938" s="138"/>
      <c r="E938" s="138"/>
      <c r="F938" s="138"/>
      <c r="G938" s="138"/>
      <c r="H938" s="139"/>
      <c r="I938" s="138"/>
      <c r="J938" s="138"/>
      <c r="K938" s="138"/>
      <c r="L938" s="138"/>
      <c r="M938" s="139"/>
      <c r="N938" s="138"/>
      <c r="O938" s="138"/>
      <c r="P938" s="138"/>
      <c r="Q938" s="139"/>
      <c r="R938" s="139"/>
      <c r="S938" s="212"/>
      <c r="T938" s="138"/>
    </row>
    <row r="939" spans="1:20" ht="34.950000000000003" customHeight="1" x14ac:dyDescent="0.3">
      <c r="A939" s="136"/>
      <c r="B939" s="212"/>
      <c r="C939" s="138"/>
      <c r="D939" s="138"/>
      <c r="E939" s="138"/>
      <c r="F939" s="138"/>
      <c r="G939" s="138"/>
      <c r="H939" s="139"/>
      <c r="I939" s="138"/>
      <c r="J939" s="138"/>
      <c r="K939" s="138"/>
      <c r="L939" s="138"/>
      <c r="M939" s="139"/>
      <c r="N939" s="138"/>
      <c r="O939" s="138"/>
      <c r="P939" s="138"/>
      <c r="Q939" s="139"/>
      <c r="R939" s="139"/>
      <c r="S939" s="212"/>
      <c r="T939" s="138"/>
    </row>
    <row r="940" spans="1:20" ht="34.950000000000003" customHeight="1" x14ac:dyDescent="0.3">
      <c r="A940" s="136"/>
      <c r="B940" s="212"/>
      <c r="C940" s="138"/>
      <c r="D940" s="138"/>
      <c r="E940" s="138"/>
      <c r="F940" s="138"/>
      <c r="G940" s="138"/>
      <c r="H940" s="139"/>
      <c r="I940" s="138"/>
      <c r="J940" s="138"/>
      <c r="K940" s="138"/>
      <c r="L940" s="138"/>
      <c r="M940" s="139"/>
      <c r="N940" s="138"/>
      <c r="O940" s="138"/>
      <c r="P940" s="138"/>
      <c r="Q940" s="139"/>
      <c r="R940" s="139"/>
      <c r="S940" s="212"/>
      <c r="T940" s="138"/>
    </row>
    <row r="941" spans="1:20" ht="34.950000000000003" customHeight="1" x14ac:dyDescent="0.3">
      <c r="A941" s="136"/>
      <c r="B941" s="212"/>
      <c r="C941" s="138"/>
      <c r="D941" s="138"/>
      <c r="E941" s="138"/>
      <c r="F941" s="138"/>
      <c r="G941" s="138"/>
      <c r="H941" s="139"/>
      <c r="I941" s="138"/>
      <c r="J941" s="138"/>
      <c r="K941" s="138"/>
      <c r="L941" s="138"/>
      <c r="M941" s="139"/>
      <c r="N941" s="138"/>
      <c r="O941" s="138"/>
      <c r="P941" s="138"/>
      <c r="Q941" s="139"/>
      <c r="R941" s="139"/>
      <c r="S941" s="212"/>
      <c r="T941" s="138"/>
    </row>
    <row r="942" spans="1:20" ht="34.950000000000003" customHeight="1" x14ac:dyDescent="0.3">
      <c r="A942" s="136"/>
      <c r="B942" s="212"/>
      <c r="C942" s="138"/>
      <c r="D942" s="138"/>
      <c r="E942" s="138"/>
      <c r="F942" s="138"/>
      <c r="G942" s="138"/>
      <c r="H942" s="139"/>
      <c r="I942" s="138"/>
      <c r="J942" s="138"/>
      <c r="K942" s="138"/>
      <c r="L942" s="138"/>
      <c r="M942" s="139"/>
      <c r="N942" s="138"/>
      <c r="O942" s="138"/>
      <c r="P942" s="138"/>
      <c r="Q942" s="139"/>
      <c r="R942" s="139"/>
      <c r="S942" s="212"/>
      <c r="T942" s="138"/>
    </row>
    <row r="943" spans="1:20" ht="34.950000000000003" customHeight="1" x14ac:dyDescent="0.3">
      <c r="A943" s="136"/>
      <c r="B943" s="212"/>
      <c r="C943" s="138"/>
      <c r="D943" s="138"/>
      <c r="E943" s="138"/>
      <c r="F943" s="138"/>
      <c r="G943" s="138"/>
      <c r="H943" s="139"/>
      <c r="I943" s="138"/>
      <c r="J943" s="138"/>
      <c r="K943" s="138"/>
      <c r="L943" s="138"/>
      <c r="M943" s="139"/>
      <c r="N943" s="138"/>
      <c r="O943" s="138"/>
      <c r="P943" s="138"/>
      <c r="Q943" s="139"/>
      <c r="R943" s="139"/>
      <c r="S943" s="212"/>
      <c r="T943" s="138"/>
    </row>
    <row r="944" spans="1:20" ht="34.950000000000003" customHeight="1" x14ac:dyDescent="0.3">
      <c r="A944" s="136"/>
      <c r="B944" s="212"/>
      <c r="C944" s="138"/>
      <c r="D944" s="138"/>
      <c r="E944" s="138"/>
      <c r="F944" s="138"/>
      <c r="G944" s="138"/>
      <c r="H944" s="139"/>
      <c r="I944" s="138"/>
      <c r="J944" s="138"/>
      <c r="K944" s="138"/>
      <c r="L944" s="138"/>
      <c r="M944" s="139"/>
      <c r="N944" s="138"/>
      <c r="O944" s="138"/>
      <c r="P944" s="138"/>
      <c r="Q944" s="139"/>
      <c r="R944" s="139"/>
      <c r="S944" s="212"/>
      <c r="T944" s="138"/>
    </row>
    <row r="945" spans="1:20" ht="34.950000000000003" customHeight="1" x14ac:dyDescent="0.3">
      <c r="A945" s="136"/>
      <c r="B945" s="212"/>
      <c r="C945" s="138"/>
      <c r="D945" s="138"/>
      <c r="E945" s="138"/>
      <c r="F945" s="138"/>
      <c r="G945" s="138"/>
      <c r="H945" s="139"/>
      <c r="I945" s="138"/>
      <c r="J945" s="138"/>
      <c r="K945" s="138"/>
      <c r="L945" s="138"/>
      <c r="M945" s="139"/>
      <c r="N945" s="138"/>
      <c r="O945" s="138"/>
      <c r="P945" s="138"/>
      <c r="Q945" s="139"/>
      <c r="R945" s="139"/>
      <c r="S945" s="212"/>
      <c r="T945" s="138"/>
    </row>
    <row r="946" spans="1:20" ht="34.950000000000003" customHeight="1" x14ac:dyDescent="0.3">
      <c r="A946" s="136"/>
      <c r="B946" s="212"/>
      <c r="C946" s="138"/>
      <c r="D946" s="138"/>
      <c r="E946" s="138"/>
      <c r="F946" s="138"/>
      <c r="G946" s="138"/>
      <c r="H946" s="139"/>
      <c r="I946" s="138"/>
      <c r="J946" s="138"/>
      <c r="K946" s="138"/>
      <c r="L946" s="138"/>
      <c r="M946" s="139"/>
      <c r="N946" s="138"/>
      <c r="O946" s="138"/>
      <c r="P946" s="138"/>
      <c r="Q946" s="139"/>
      <c r="R946" s="139"/>
      <c r="S946" s="212"/>
      <c r="T946" s="138"/>
    </row>
    <row r="947" spans="1:20" ht="34.950000000000003" customHeight="1" x14ac:dyDescent="0.3">
      <c r="A947" s="136"/>
      <c r="B947" s="212"/>
      <c r="C947" s="138"/>
      <c r="D947" s="138"/>
      <c r="E947" s="138"/>
      <c r="F947" s="138"/>
      <c r="G947" s="138"/>
      <c r="H947" s="139"/>
      <c r="I947" s="138"/>
      <c r="J947" s="138"/>
      <c r="K947" s="138"/>
      <c r="L947" s="138"/>
      <c r="M947" s="139"/>
      <c r="N947" s="138"/>
      <c r="O947" s="138"/>
      <c r="P947" s="138"/>
      <c r="Q947" s="139"/>
      <c r="R947" s="139"/>
      <c r="S947" s="212"/>
      <c r="T947" s="138"/>
    </row>
    <row r="948" spans="1:20" ht="34.950000000000003" customHeight="1" x14ac:dyDescent="0.3">
      <c r="A948" s="136"/>
      <c r="B948" s="212"/>
      <c r="C948" s="138"/>
      <c r="D948" s="138"/>
      <c r="E948" s="138"/>
      <c r="F948" s="138"/>
      <c r="G948" s="138"/>
      <c r="H948" s="139"/>
      <c r="I948" s="138"/>
      <c r="J948" s="138"/>
      <c r="K948" s="138"/>
      <c r="L948" s="138"/>
      <c r="M948" s="139"/>
      <c r="N948" s="138"/>
      <c r="O948" s="138"/>
      <c r="P948" s="138"/>
      <c r="Q948" s="139"/>
      <c r="R948" s="139"/>
      <c r="S948" s="212"/>
      <c r="T948" s="138"/>
    </row>
    <row r="949" spans="1:20" ht="34.950000000000003" customHeight="1" x14ac:dyDescent="0.3">
      <c r="A949" s="136"/>
      <c r="B949" s="212"/>
      <c r="C949" s="138"/>
      <c r="D949" s="138"/>
      <c r="E949" s="138"/>
      <c r="F949" s="138"/>
      <c r="G949" s="138"/>
      <c r="H949" s="139"/>
      <c r="I949" s="138"/>
      <c r="J949" s="138"/>
      <c r="K949" s="138"/>
      <c r="L949" s="138"/>
      <c r="M949" s="139"/>
      <c r="N949" s="138"/>
      <c r="O949" s="138"/>
      <c r="P949" s="138"/>
      <c r="Q949" s="139"/>
      <c r="R949" s="139"/>
      <c r="S949" s="212"/>
      <c r="T949" s="138"/>
    </row>
    <row r="950" spans="1:20" ht="34.950000000000003" customHeight="1" x14ac:dyDescent="0.3">
      <c r="A950" s="136"/>
      <c r="B950" s="212"/>
      <c r="C950" s="138"/>
      <c r="D950" s="138"/>
      <c r="E950" s="138"/>
      <c r="F950" s="138"/>
      <c r="G950" s="138"/>
      <c r="H950" s="139"/>
      <c r="I950" s="138"/>
      <c r="J950" s="138"/>
      <c r="K950" s="138"/>
      <c r="L950" s="138"/>
      <c r="M950" s="139"/>
      <c r="N950" s="138"/>
      <c r="O950" s="138"/>
      <c r="P950" s="138"/>
      <c r="Q950" s="139"/>
      <c r="R950" s="139"/>
      <c r="S950" s="212"/>
      <c r="T950" s="138"/>
    </row>
    <row r="951" spans="1:20" ht="34.950000000000003" customHeight="1" x14ac:dyDescent="0.3">
      <c r="A951" s="136"/>
      <c r="B951" s="212"/>
      <c r="C951" s="138"/>
      <c r="D951" s="138"/>
      <c r="E951" s="138"/>
      <c r="F951" s="138"/>
      <c r="G951" s="138"/>
      <c r="H951" s="139"/>
      <c r="I951" s="138"/>
      <c r="J951" s="138"/>
      <c r="K951" s="138"/>
      <c r="L951" s="138"/>
      <c r="M951" s="139"/>
      <c r="N951" s="138"/>
      <c r="O951" s="138"/>
      <c r="P951" s="138"/>
      <c r="Q951" s="139"/>
      <c r="R951" s="139"/>
      <c r="S951" s="212"/>
      <c r="T951" s="138"/>
    </row>
    <row r="952" spans="1:20" ht="34.950000000000003" customHeight="1" x14ac:dyDescent="0.3">
      <c r="A952" s="136"/>
      <c r="B952" s="212"/>
      <c r="C952" s="138"/>
      <c r="D952" s="138"/>
      <c r="E952" s="138"/>
      <c r="F952" s="138"/>
      <c r="G952" s="138"/>
      <c r="H952" s="139"/>
      <c r="I952" s="138"/>
      <c r="J952" s="138"/>
      <c r="K952" s="138"/>
      <c r="L952" s="138"/>
      <c r="M952" s="139"/>
      <c r="N952" s="138"/>
      <c r="O952" s="138"/>
      <c r="P952" s="138"/>
      <c r="Q952" s="139"/>
      <c r="R952" s="139"/>
      <c r="S952" s="212"/>
      <c r="T952" s="138"/>
    </row>
    <row r="953" spans="1:20" ht="34.950000000000003" customHeight="1" x14ac:dyDescent="0.3">
      <c r="A953" s="136"/>
      <c r="B953" s="212"/>
      <c r="C953" s="138"/>
      <c r="D953" s="138"/>
      <c r="E953" s="138"/>
      <c r="F953" s="138"/>
      <c r="G953" s="138"/>
      <c r="H953" s="139"/>
      <c r="I953" s="138"/>
      <c r="J953" s="138"/>
      <c r="K953" s="138"/>
      <c r="L953" s="138"/>
      <c r="M953" s="139"/>
      <c r="N953" s="138"/>
      <c r="O953" s="138"/>
      <c r="P953" s="138"/>
      <c r="Q953" s="139"/>
      <c r="R953" s="139"/>
      <c r="S953" s="212"/>
      <c r="T953" s="138"/>
    </row>
    <row r="954" spans="1:20" ht="34.950000000000003" customHeight="1" x14ac:dyDescent="0.3">
      <c r="A954" s="136"/>
      <c r="B954" s="212"/>
      <c r="C954" s="138"/>
      <c r="D954" s="138"/>
      <c r="E954" s="138"/>
      <c r="F954" s="138"/>
      <c r="G954" s="138"/>
      <c r="H954" s="139"/>
      <c r="I954" s="138"/>
      <c r="J954" s="138"/>
      <c r="K954" s="138"/>
      <c r="L954" s="138"/>
      <c r="M954" s="139"/>
      <c r="N954" s="138"/>
      <c r="O954" s="138"/>
      <c r="P954" s="138"/>
      <c r="Q954" s="139"/>
      <c r="R954" s="139"/>
      <c r="S954" s="212"/>
      <c r="T954" s="138"/>
    </row>
    <row r="955" spans="1:20" ht="34.950000000000003" customHeight="1" x14ac:dyDescent="0.3">
      <c r="A955" s="136"/>
      <c r="B955" s="212"/>
      <c r="C955" s="138"/>
      <c r="D955" s="138"/>
      <c r="E955" s="138"/>
      <c r="F955" s="138"/>
      <c r="G955" s="138"/>
      <c r="H955" s="139"/>
      <c r="I955" s="138"/>
      <c r="J955" s="138"/>
      <c r="K955" s="138"/>
      <c r="L955" s="138"/>
      <c r="M955" s="139"/>
      <c r="N955" s="138"/>
      <c r="O955" s="138"/>
      <c r="P955" s="138"/>
      <c r="Q955" s="139"/>
      <c r="R955" s="139"/>
      <c r="S955" s="212"/>
      <c r="T955" s="138"/>
    </row>
    <row r="956" spans="1:20" ht="34.950000000000003" customHeight="1" x14ac:dyDescent="0.3">
      <c r="A956" s="136"/>
      <c r="B956" s="212"/>
      <c r="C956" s="138"/>
      <c r="D956" s="138"/>
      <c r="E956" s="138"/>
      <c r="F956" s="138"/>
      <c r="G956" s="138"/>
      <c r="H956" s="139"/>
      <c r="I956" s="138"/>
      <c r="J956" s="138"/>
      <c r="K956" s="138"/>
      <c r="L956" s="138"/>
      <c r="M956" s="139"/>
      <c r="N956" s="138"/>
      <c r="O956" s="138"/>
      <c r="P956" s="138"/>
      <c r="Q956" s="139"/>
      <c r="R956" s="139"/>
      <c r="S956" s="212"/>
      <c r="T956" s="138"/>
    </row>
    <row r="957" spans="1:20" ht="34.950000000000003" customHeight="1" x14ac:dyDescent="0.3">
      <c r="A957" s="136"/>
      <c r="B957" s="212"/>
      <c r="C957" s="138"/>
      <c r="D957" s="138"/>
      <c r="E957" s="138"/>
      <c r="F957" s="138"/>
      <c r="G957" s="138"/>
      <c r="H957" s="139"/>
      <c r="I957" s="138"/>
      <c r="J957" s="138"/>
      <c r="K957" s="138"/>
      <c r="L957" s="138"/>
      <c r="M957" s="139"/>
      <c r="N957" s="138"/>
      <c r="O957" s="138"/>
      <c r="P957" s="138"/>
      <c r="Q957" s="139"/>
      <c r="R957" s="139"/>
      <c r="S957" s="212"/>
      <c r="T957" s="138"/>
    </row>
    <row r="958" spans="1:20" ht="34.950000000000003" customHeight="1" x14ac:dyDescent="0.3">
      <c r="A958" s="136"/>
      <c r="B958" s="212"/>
      <c r="C958" s="138"/>
      <c r="D958" s="138"/>
      <c r="E958" s="138"/>
      <c r="F958" s="138"/>
      <c r="G958" s="138"/>
      <c r="H958" s="139"/>
      <c r="I958" s="138"/>
      <c r="J958" s="138"/>
      <c r="K958" s="138"/>
      <c r="L958" s="138"/>
      <c r="M958" s="139"/>
      <c r="N958" s="138"/>
      <c r="O958" s="138"/>
      <c r="P958" s="138"/>
      <c r="Q958" s="139"/>
      <c r="R958" s="139"/>
      <c r="S958" s="212"/>
      <c r="T958" s="138"/>
    </row>
    <row r="959" spans="1:20" ht="34.950000000000003" customHeight="1" x14ac:dyDescent="0.3">
      <c r="A959" s="136"/>
      <c r="B959" s="212"/>
      <c r="C959" s="138"/>
      <c r="D959" s="138"/>
      <c r="E959" s="138"/>
      <c r="F959" s="138"/>
      <c r="G959" s="138"/>
      <c r="H959" s="139"/>
      <c r="I959" s="138"/>
      <c r="J959" s="138"/>
      <c r="K959" s="138"/>
      <c r="L959" s="138"/>
      <c r="M959" s="139"/>
      <c r="N959" s="138"/>
      <c r="O959" s="138"/>
      <c r="P959" s="138"/>
      <c r="Q959" s="139"/>
      <c r="R959" s="139"/>
      <c r="S959" s="212"/>
      <c r="T959" s="138"/>
    </row>
    <row r="960" spans="1:20" ht="34.950000000000003" customHeight="1" x14ac:dyDescent="0.3">
      <c r="A960" s="136"/>
      <c r="B960" s="212"/>
      <c r="C960" s="138"/>
      <c r="D960" s="138"/>
      <c r="E960" s="138"/>
      <c r="F960" s="138"/>
      <c r="G960" s="138"/>
      <c r="H960" s="139"/>
      <c r="I960" s="138"/>
      <c r="J960" s="138"/>
      <c r="K960" s="138"/>
      <c r="L960" s="138"/>
      <c r="M960" s="139"/>
      <c r="N960" s="138"/>
      <c r="O960" s="138"/>
      <c r="P960" s="138"/>
      <c r="Q960" s="139"/>
      <c r="R960" s="139"/>
      <c r="S960" s="212"/>
      <c r="T960" s="138"/>
    </row>
    <row r="961" spans="1:20" ht="34.950000000000003" customHeight="1" x14ac:dyDescent="0.3">
      <c r="A961" s="136"/>
      <c r="B961" s="212"/>
      <c r="C961" s="138"/>
      <c r="D961" s="138"/>
      <c r="E961" s="138"/>
      <c r="F961" s="138"/>
      <c r="G961" s="138"/>
      <c r="H961" s="139"/>
      <c r="I961" s="138"/>
      <c r="J961" s="138"/>
      <c r="K961" s="138"/>
      <c r="L961" s="138"/>
      <c r="M961" s="139"/>
      <c r="N961" s="138"/>
      <c r="O961" s="138"/>
      <c r="P961" s="138"/>
      <c r="Q961" s="139"/>
      <c r="R961" s="139"/>
      <c r="S961" s="212"/>
      <c r="T961" s="138"/>
    </row>
    <row r="962" spans="1:20" ht="34.950000000000003" customHeight="1" x14ac:dyDescent="0.3">
      <c r="A962" s="136"/>
      <c r="B962" s="212"/>
      <c r="C962" s="138"/>
      <c r="D962" s="138"/>
      <c r="E962" s="138"/>
      <c r="F962" s="138"/>
      <c r="G962" s="138"/>
      <c r="H962" s="139"/>
      <c r="I962" s="138"/>
      <c r="J962" s="138"/>
      <c r="K962" s="138"/>
      <c r="L962" s="138"/>
      <c r="M962" s="139"/>
      <c r="N962" s="138"/>
      <c r="O962" s="138"/>
      <c r="P962" s="138"/>
      <c r="Q962" s="139"/>
      <c r="R962" s="139"/>
      <c r="S962" s="212"/>
      <c r="T962" s="138"/>
    </row>
    <row r="963" spans="1:20" ht="34.950000000000003" customHeight="1" x14ac:dyDescent="0.3">
      <c r="A963" s="136"/>
      <c r="B963" s="212"/>
      <c r="C963" s="138"/>
      <c r="D963" s="138"/>
      <c r="E963" s="138"/>
      <c r="F963" s="138"/>
      <c r="G963" s="138"/>
      <c r="H963" s="139"/>
      <c r="I963" s="138"/>
      <c r="J963" s="138"/>
      <c r="K963" s="138"/>
      <c r="L963" s="138"/>
      <c r="M963" s="139"/>
      <c r="N963" s="138"/>
      <c r="O963" s="138"/>
      <c r="P963" s="138"/>
      <c r="Q963" s="139"/>
      <c r="R963" s="139"/>
      <c r="S963" s="212"/>
      <c r="T963" s="138"/>
    </row>
    <row r="964" spans="1:20" ht="34.950000000000003" customHeight="1" x14ac:dyDescent="0.3">
      <c r="A964" s="136"/>
      <c r="B964" s="212"/>
      <c r="C964" s="138"/>
      <c r="D964" s="138"/>
      <c r="E964" s="138"/>
      <c r="F964" s="138"/>
      <c r="G964" s="138"/>
      <c r="H964" s="139"/>
      <c r="I964" s="138"/>
      <c r="J964" s="138"/>
      <c r="K964" s="138"/>
      <c r="L964" s="138"/>
      <c r="M964" s="139"/>
      <c r="N964" s="138"/>
      <c r="O964" s="138"/>
      <c r="P964" s="138"/>
      <c r="Q964" s="139"/>
      <c r="R964" s="139"/>
      <c r="S964" s="212"/>
      <c r="T964" s="138"/>
    </row>
    <row r="965" spans="1:20" ht="34.950000000000003" customHeight="1" x14ac:dyDescent="0.3">
      <c r="A965" s="136"/>
      <c r="B965" s="212"/>
      <c r="C965" s="138"/>
      <c r="D965" s="138"/>
      <c r="E965" s="138"/>
      <c r="F965" s="138"/>
      <c r="G965" s="138"/>
      <c r="H965" s="139"/>
      <c r="I965" s="138"/>
      <c r="J965" s="138"/>
      <c r="K965" s="138"/>
      <c r="L965" s="138"/>
      <c r="M965" s="139"/>
      <c r="N965" s="138"/>
      <c r="O965" s="138"/>
      <c r="P965" s="138"/>
      <c r="Q965" s="139"/>
      <c r="R965" s="139"/>
      <c r="S965" s="212"/>
      <c r="T965" s="138"/>
    </row>
    <row r="966" spans="1:20" ht="34.950000000000003" customHeight="1" x14ac:dyDescent="0.3">
      <c r="A966" s="136"/>
      <c r="B966" s="212"/>
      <c r="C966" s="138"/>
      <c r="D966" s="138"/>
      <c r="E966" s="138"/>
      <c r="F966" s="138"/>
      <c r="G966" s="138"/>
      <c r="H966" s="139"/>
      <c r="I966" s="138"/>
      <c r="J966" s="138"/>
      <c r="K966" s="138"/>
      <c r="L966" s="138"/>
      <c r="M966" s="139"/>
      <c r="N966" s="138"/>
      <c r="O966" s="138"/>
      <c r="P966" s="138"/>
      <c r="Q966" s="139"/>
      <c r="R966" s="139"/>
      <c r="S966" s="212"/>
      <c r="T966" s="138"/>
    </row>
    <row r="967" spans="1:20" ht="34.950000000000003" customHeight="1" x14ac:dyDescent="0.3">
      <c r="A967" s="136"/>
      <c r="B967" s="212"/>
      <c r="C967" s="138"/>
      <c r="D967" s="138"/>
      <c r="E967" s="138"/>
      <c r="F967" s="138"/>
      <c r="G967" s="138"/>
      <c r="H967" s="139"/>
      <c r="I967" s="138"/>
      <c r="J967" s="138"/>
      <c r="K967" s="138"/>
      <c r="L967" s="138"/>
      <c r="M967" s="139"/>
      <c r="N967" s="138"/>
      <c r="O967" s="138"/>
      <c r="P967" s="138"/>
      <c r="Q967" s="139"/>
      <c r="R967" s="139"/>
      <c r="S967" s="212"/>
      <c r="T967" s="138"/>
    </row>
    <row r="968" spans="1:20" ht="34.950000000000003" customHeight="1" x14ac:dyDescent="0.3">
      <c r="A968" s="136"/>
      <c r="B968" s="212"/>
      <c r="C968" s="138"/>
      <c r="D968" s="138"/>
      <c r="E968" s="138"/>
      <c r="F968" s="138"/>
      <c r="G968" s="138"/>
      <c r="H968" s="139"/>
      <c r="I968" s="138"/>
      <c r="J968" s="138"/>
      <c r="K968" s="138"/>
      <c r="L968" s="138"/>
      <c r="M968" s="139"/>
      <c r="N968" s="138"/>
      <c r="O968" s="138"/>
      <c r="P968" s="138"/>
      <c r="Q968" s="139"/>
      <c r="R968" s="139"/>
      <c r="S968" s="212"/>
      <c r="T968" s="138"/>
    </row>
    <row r="969" spans="1:20" ht="34.950000000000003" customHeight="1" x14ac:dyDescent="0.3">
      <c r="A969" s="136"/>
      <c r="B969" s="212"/>
      <c r="C969" s="138"/>
      <c r="D969" s="138"/>
      <c r="E969" s="138"/>
      <c r="F969" s="138"/>
      <c r="G969" s="138"/>
      <c r="H969" s="139"/>
      <c r="I969" s="138"/>
      <c r="J969" s="138"/>
      <c r="K969" s="138"/>
      <c r="L969" s="138"/>
      <c r="M969" s="139"/>
      <c r="N969" s="138"/>
      <c r="O969" s="138"/>
      <c r="P969" s="138"/>
      <c r="Q969" s="139"/>
      <c r="R969" s="139"/>
      <c r="S969" s="212"/>
      <c r="T969" s="138"/>
    </row>
    <row r="970" spans="1:20" ht="34.950000000000003" customHeight="1" x14ac:dyDescent="0.3">
      <c r="A970" s="136"/>
      <c r="B970" s="212"/>
      <c r="C970" s="138"/>
      <c r="D970" s="138"/>
      <c r="E970" s="138"/>
      <c r="F970" s="138"/>
      <c r="G970" s="138"/>
      <c r="H970" s="139"/>
      <c r="I970" s="138"/>
      <c r="J970" s="138"/>
      <c r="K970" s="138"/>
      <c r="L970" s="138"/>
      <c r="M970" s="139"/>
      <c r="N970" s="138"/>
      <c r="O970" s="138"/>
      <c r="P970" s="138"/>
      <c r="Q970" s="139"/>
      <c r="R970" s="139"/>
      <c r="S970" s="212"/>
      <c r="T970" s="138"/>
    </row>
    <row r="971" spans="1:20" ht="34.950000000000003" customHeight="1" x14ac:dyDescent="0.3">
      <c r="A971" s="136"/>
      <c r="B971" s="212"/>
      <c r="C971" s="138"/>
      <c r="D971" s="138"/>
      <c r="E971" s="138"/>
      <c r="F971" s="138"/>
      <c r="G971" s="138"/>
      <c r="H971" s="139"/>
      <c r="I971" s="138"/>
      <c r="J971" s="138"/>
      <c r="K971" s="138"/>
      <c r="L971" s="138"/>
      <c r="M971" s="139"/>
      <c r="N971" s="138"/>
      <c r="O971" s="138"/>
      <c r="P971" s="138"/>
      <c r="Q971" s="139"/>
      <c r="R971" s="139"/>
      <c r="S971" s="212"/>
      <c r="T971" s="138"/>
    </row>
    <row r="972" spans="1:20" ht="34.950000000000003" customHeight="1" x14ac:dyDescent="0.3">
      <c r="A972" s="136"/>
      <c r="B972" s="212"/>
      <c r="C972" s="138"/>
      <c r="D972" s="138"/>
      <c r="E972" s="138"/>
      <c r="F972" s="138"/>
      <c r="G972" s="138"/>
      <c r="H972" s="139"/>
      <c r="I972" s="138"/>
      <c r="J972" s="138"/>
      <c r="K972" s="138"/>
      <c r="L972" s="138"/>
      <c r="M972" s="139"/>
      <c r="N972" s="138"/>
      <c r="O972" s="138"/>
      <c r="P972" s="138"/>
      <c r="Q972" s="139"/>
      <c r="R972" s="139"/>
      <c r="S972" s="212"/>
      <c r="T972" s="138"/>
    </row>
    <row r="973" spans="1:20" ht="34.950000000000003" customHeight="1" x14ac:dyDescent="0.3">
      <c r="A973" s="136"/>
      <c r="B973" s="212"/>
      <c r="C973" s="138"/>
      <c r="D973" s="138"/>
      <c r="E973" s="138"/>
      <c r="F973" s="138"/>
      <c r="G973" s="138"/>
      <c r="H973" s="139"/>
      <c r="I973" s="138"/>
      <c r="J973" s="138"/>
      <c r="K973" s="138"/>
      <c r="L973" s="138"/>
      <c r="M973" s="139"/>
      <c r="N973" s="138"/>
      <c r="O973" s="138"/>
      <c r="P973" s="138"/>
      <c r="Q973" s="139"/>
      <c r="R973" s="139"/>
      <c r="S973" s="212"/>
      <c r="T973" s="138"/>
    </row>
    <row r="974" spans="1:20" ht="34.950000000000003" customHeight="1" x14ac:dyDescent="0.3">
      <c r="A974" s="136"/>
      <c r="B974" s="212"/>
      <c r="C974" s="138"/>
      <c r="D974" s="138"/>
      <c r="E974" s="138"/>
      <c r="F974" s="138"/>
      <c r="G974" s="138"/>
      <c r="H974" s="139"/>
      <c r="I974" s="138"/>
      <c r="J974" s="138"/>
      <c r="K974" s="138"/>
      <c r="L974" s="138"/>
      <c r="M974" s="139"/>
      <c r="N974" s="138"/>
      <c r="O974" s="138"/>
      <c r="P974" s="138"/>
      <c r="Q974" s="139"/>
      <c r="R974" s="139"/>
      <c r="S974" s="212"/>
      <c r="T974" s="138"/>
    </row>
    <row r="975" spans="1:20" ht="34.950000000000003" customHeight="1" x14ac:dyDescent="0.3">
      <c r="A975" s="136"/>
      <c r="B975" s="212"/>
      <c r="C975" s="138"/>
      <c r="D975" s="138"/>
      <c r="E975" s="138"/>
      <c r="F975" s="138"/>
      <c r="G975" s="138"/>
      <c r="H975" s="139"/>
      <c r="I975" s="138"/>
      <c r="J975" s="138"/>
      <c r="K975" s="138"/>
      <c r="L975" s="138"/>
      <c r="M975" s="139"/>
      <c r="N975" s="138"/>
      <c r="O975" s="138"/>
      <c r="P975" s="138"/>
      <c r="Q975" s="139"/>
      <c r="R975" s="139"/>
      <c r="S975" s="212"/>
      <c r="T975" s="138"/>
    </row>
    <row r="976" spans="1:20" ht="34.950000000000003" customHeight="1" x14ac:dyDescent="0.3">
      <c r="A976" s="136"/>
      <c r="B976" s="212"/>
      <c r="C976" s="138"/>
      <c r="D976" s="138"/>
      <c r="E976" s="138"/>
      <c r="F976" s="138"/>
      <c r="G976" s="138"/>
      <c r="H976" s="139"/>
      <c r="I976" s="138"/>
      <c r="J976" s="138"/>
      <c r="K976" s="138"/>
      <c r="L976" s="138"/>
      <c r="M976" s="139"/>
      <c r="N976" s="138"/>
      <c r="O976" s="138"/>
      <c r="P976" s="138"/>
      <c r="Q976" s="139"/>
      <c r="R976" s="139"/>
      <c r="S976" s="212"/>
      <c r="T976" s="138"/>
    </row>
    <row r="977" spans="1:20" ht="34.950000000000003" customHeight="1" x14ac:dyDescent="0.3">
      <c r="A977" s="136"/>
      <c r="B977" s="212"/>
      <c r="C977" s="138"/>
      <c r="D977" s="138"/>
      <c r="E977" s="138"/>
      <c r="F977" s="138"/>
      <c r="G977" s="138"/>
      <c r="H977" s="139"/>
      <c r="I977" s="138"/>
      <c r="J977" s="138"/>
      <c r="K977" s="138"/>
      <c r="L977" s="138"/>
      <c r="M977" s="139"/>
      <c r="N977" s="138"/>
      <c r="O977" s="138"/>
      <c r="P977" s="138"/>
      <c r="Q977" s="139"/>
      <c r="R977" s="139"/>
      <c r="S977" s="212"/>
      <c r="T977" s="138"/>
    </row>
    <row r="978" spans="1:20" ht="34.950000000000003" customHeight="1" x14ac:dyDescent="0.3">
      <c r="A978" s="136"/>
      <c r="B978" s="212"/>
      <c r="C978" s="138"/>
      <c r="D978" s="138"/>
      <c r="E978" s="138"/>
      <c r="F978" s="138"/>
      <c r="G978" s="138"/>
      <c r="H978" s="139"/>
      <c r="I978" s="138"/>
      <c r="J978" s="138"/>
      <c r="K978" s="138"/>
      <c r="L978" s="138"/>
      <c r="M978" s="139"/>
      <c r="N978" s="138"/>
      <c r="O978" s="138"/>
      <c r="P978" s="138"/>
      <c r="Q978" s="139"/>
      <c r="R978" s="139"/>
      <c r="S978" s="212"/>
      <c r="T978" s="138"/>
    </row>
    <row r="979" spans="1:20" ht="34.950000000000003" customHeight="1" x14ac:dyDescent="0.3">
      <c r="A979" s="136"/>
      <c r="B979" s="212"/>
      <c r="C979" s="138"/>
      <c r="D979" s="138"/>
      <c r="E979" s="138"/>
      <c r="F979" s="138"/>
      <c r="G979" s="138"/>
      <c r="H979" s="139"/>
      <c r="I979" s="138"/>
      <c r="J979" s="138"/>
      <c r="K979" s="138"/>
      <c r="L979" s="138"/>
      <c r="M979" s="139"/>
      <c r="N979" s="138"/>
      <c r="O979" s="138"/>
      <c r="P979" s="138"/>
      <c r="Q979" s="139"/>
      <c r="R979" s="139"/>
      <c r="S979" s="212"/>
      <c r="T979" s="138"/>
    </row>
    <row r="980" spans="1:20" ht="34.950000000000003" customHeight="1" x14ac:dyDescent="0.3">
      <c r="A980" s="136"/>
      <c r="B980" s="212"/>
      <c r="C980" s="138"/>
      <c r="D980" s="138"/>
      <c r="E980" s="138"/>
      <c r="F980" s="138"/>
      <c r="G980" s="138"/>
      <c r="H980" s="139"/>
      <c r="I980" s="138"/>
      <c r="J980" s="138"/>
      <c r="K980" s="138"/>
      <c r="L980" s="138"/>
      <c r="M980" s="139"/>
      <c r="N980" s="138"/>
      <c r="O980" s="138"/>
      <c r="P980" s="138"/>
      <c r="Q980" s="139"/>
      <c r="R980" s="139"/>
      <c r="S980" s="212"/>
      <c r="T980" s="138"/>
    </row>
    <row r="981" spans="1:20" ht="34.950000000000003" customHeight="1" x14ac:dyDescent="0.3">
      <c r="A981" s="136"/>
      <c r="B981" s="212"/>
      <c r="C981" s="138"/>
      <c r="D981" s="138"/>
      <c r="E981" s="138"/>
      <c r="F981" s="138"/>
      <c r="G981" s="138"/>
      <c r="H981" s="139"/>
      <c r="I981" s="138"/>
      <c r="J981" s="138"/>
      <c r="K981" s="138"/>
      <c r="L981" s="138"/>
      <c r="M981" s="139"/>
      <c r="N981" s="138"/>
      <c r="O981" s="138"/>
      <c r="P981" s="138"/>
      <c r="Q981" s="139"/>
      <c r="R981" s="139"/>
      <c r="S981" s="212"/>
      <c r="T981" s="138"/>
    </row>
    <row r="982" spans="1:20" ht="34.950000000000003" customHeight="1" x14ac:dyDescent="0.3">
      <c r="A982" s="136"/>
      <c r="B982" s="212"/>
      <c r="C982" s="138"/>
      <c r="D982" s="138"/>
      <c r="E982" s="138"/>
      <c r="F982" s="138"/>
      <c r="G982" s="138"/>
      <c r="H982" s="139"/>
      <c r="I982" s="138"/>
      <c r="J982" s="138"/>
      <c r="K982" s="138"/>
      <c r="L982" s="138"/>
      <c r="M982" s="139"/>
      <c r="N982" s="138"/>
      <c r="O982" s="138"/>
      <c r="P982" s="138"/>
      <c r="Q982" s="139"/>
      <c r="R982" s="139"/>
      <c r="S982" s="212"/>
      <c r="T982" s="138"/>
    </row>
    <row r="983" spans="1:20" ht="34.950000000000003" customHeight="1" x14ac:dyDescent="0.3">
      <c r="A983" s="136"/>
      <c r="B983" s="212"/>
      <c r="C983" s="138"/>
      <c r="D983" s="138"/>
      <c r="E983" s="138"/>
      <c r="F983" s="138"/>
      <c r="G983" s="138"/>
      <c r="H983" s="139"/>
      <c r="I983" s="138"/>
      <c r="J983" s="138"/>
      <c r="K983" s="138"/>
      <c r="L983" s="138"/>
      <c r="M983" s="139"/>
      <c r="N983" s="138"/>
      <c r="O983" s="138"/>
      <c r="P983" s="138"/>
      <c r="Q983" s="139"/>
      <c r="R983" s="139"/>
      <c r="S983" s="212"/>
      <c r="T983" s="138"/>
    </row>
    <row r="984" spans="1:20" ht="34.950000000000003" customHeight="1" x14ac:dyDescent="0.3">
      <c r="A984" s="136"/>
      <c r="B984" s="212"/>
      <c r="C984" s="138"/>
      <c r="D984" s="138"/>
      <c r="E984" s="138"/>
      <c r="F984" s="138"/>
      <c r="G984" s="138"/>
      <c r="H984" s="139"/>
      <c r="I984" s="138"/>
      <c r="J984" s="138"/>
      <c r="K984" s="138"/>
      <c r="L984" s="138"/>
      <c r="M984" s="139"/>
      <c r="N984" s="138"/>
      <c r="O984" s="138"/>
      <c r="P984" s="138"/>
      <c r="Q984" s="139"/>
      <c r="R984" s="139"/>
      <c r="S984" s="212"/>
      <c r="T984" s="138"/>
    </row>
    <row r="985" spans="1:20" ht="34.950000000000003" customHeight="1" x14ac:dyDescent="0.3">
      <c r="A985" s="136"/>
      <c r="B985" s="212"/>
      <c r="C985" s="138"/>
      <c r="D985" s="138"/>
      <c r="E985" s="138"/>
      <c r="F985" s="138"/>
      <c r="G985" s="138"/>
      <c r="H985" s="139"/>
      <c r="I985" s="138"/>
      <c r="J985" s="138"/>
      <c r="K985" s="138"/>
      <c r="L985" s="138"/>
      <c r="M985" s="139"/>
      <c r="N985" s="138"/>
      <c r="O985" s="138"/>
      <c r="P985" s="138"/>
      <c r="Q985" s="139"/>
      <c r="R985" s="139"/>
      <c r="S985" s="212"/>
      <c r="T985" s="138"/>
    </row>
    <row r="986" spans="1:20" ht="34.950000000000003" customHeight="1" x14ac:dyDescent="0.3">
      <c r="A986" s="136"/>
      <c r="B986" s="212"/>
      <c r="C986" s="138"/>
      <c r="D986" s="138"/>
      <c r="E986" s="138"/>
      <c r="F986" s="138"/>
      <c r="G986" s="138"/>
      <c r="H986" s="139"/>
      <c r="I986" s="138"/>
      <c r="J986" s="138"/>
      <c r="K986" s="138"/>
      <c r="L986" s="138"/>
      <c r="M986" s="139"/>
      <c r="N986" s="138"/>
      <c r="O986" s="138"/>
      <c r="P986" s="138"/>
      <c r="Q986" s="139"/>
      <c r="R986" s="139"/>
      <c r="S986" s="212"/>
      <c r="T986" s="138"/>
    </row>
    <row r="987" spans="1:20" ht="34.950000000000003" customHeight="1" x14ac:dyDescent="0.3">
      <c r="A987" s="136"/>
      <c r="B987" s="212"/>
      <c r="C987" s="138"/>
      <c r="D987" s="138"/>
      <c r="E987" s="138"/>
      <c r="F987" s="138"/>
      <c r="G987" s="138"/>
      <c r="H987" s="139"/>
      <c r="I987" s="138"/>
      <c r="J987" s="138"/>
      <c r="K987" s="138"/>
      <c r="L987" s="138"/>
      <c r="M987" s="139"/>
      <c r="N987" s="138"/>
      <c r="O987" s="138"/>
      <c r="P987" s="138"/>
      <c r="Q987" s="139"/>
      <c r="R987" s="139"/>
      <c r="S987" s="212"/>
      <c r="T987" s="138"/>
    </row>
    <row r="988" spans="1:20" ht="34.950000000000003" customHeight="1" x14ac:dyDescent="0.3">
      <c r="A988" s="136"/>
      <c r="B988" s="212"/>
      <c r="C988" s="138"/>
      <c r="D988" s="138"/>
      <c r="E988" s="138"/>
      <c r="F988" s="138"/>
      <c r="G988" s="138"/>
      <c r="H988" s="139"/>
      <c r="I988" s="138"/>
      <c r="J988" s="138"/>
      <c r="K988" s="138"/>
      <c r="L988" s="138"/>
      <c r="M988" s="139"/>
      <c r="N988" s="138"/>
      <c r="O988" s="138"/>
      <c r="P988" s="138"/>
      <c r="Q988" s="139"/>
      <c r="R988" s="139"/>
      <c r="S988" s="212"/>
      <c r="T988" s="138"/>
    </row>
    <row r="989" spans="1:20" ht="34.950000000000003" customHeight="1" x14ac:dyDescent="0.3">
      <c r="A989" s="136"/>
      <c r="B989" s="212"/>
      <c r="C989" s="138"/>
      <c r="D989" s="138"/>
      <c r="E989" s="138"/>
      <c r="F989" s="138"/>
      <c r="G989" s="138"/>
      <c r="H989" s="139"/>
      <c r="I989" s="138"/>
      <c r="J989" s="138"/>
      <c r="K989" s="138"/>
      <c r="L989" s="138"/>
      <c r="M989" s="139"/>
      <c r="N989" s="138"/>
      <c r="O989" s="138"/>
      <c r="P989" s="138"/>
      <c r="Q989" s="139"/>
      <c r="R989" s="139"/>
      <c r="S989" s="212"/>
      <c r="T989" s="138"/>
    </row>
    <row r="990" spans="1:20" ht="34.950000000000003" customHeight="1" x14ac:dyDescent="0.3">
      <c r="A990" s="136"/>
      <c r="B990" s="212"/>
      <c r="C990" s="138"/>
      <c r="D990" s="138"/>
      <c r="E990" s="138"/>
      <c r="F990" s="138"/>
      <c r="G990" s="138"/>
      <c r="H990" s="139"/>
      <c r="I990" s="138"/>
      <c r="J990" s="138"/>
      <c r="K990" s="138"/>
      <c r="L990" s="138"/>
      <c r="M990" s="139"/>
      <c r="N990" s="138"/>
      <c r="O990" s="138"/>
      <c r="P990" s="138"/>
      <c r="Q990" s="139"/>
      <c r="R990" s="139"/>
      <c r="S990" s="212"/>
      <c r="T990" s="138"/>
    </row>
    <row r="991" spans="1:20" ht="34.950000000000003" customHeight="1" x14ac:dyDescent="0.3">
      <c r="A991" s="136"/>
      <c r="B991" s="212"/>
      <c r="C991" s="138"/>
      <c r="D991" s="138"/>
      <c r="E991" s="138"/>
      <c r="F991" s="138"/>
      <c r="G991" s="138"/>
      <c r="H991" s="139"/>
      <c r="I991" s="138"/>
      <c r="J991" s="138"/>
      <c r="K991" s="138"/>
      <c r="L991" s="138"/>
      <c r="M991" s="139"/>
      <c r="N991" s="138"/>
      <c r="O991" s="138"/>
      <c r="P991" s="138"/>
      <c r="Q991" s="139"/>
      <c r="R991" s="139"/>
      <c r="S991" s="212"/>
      <c r="T991" s="138"/>
    </row>
    <row r="992" spans="1:20" ht="34.950000000000003" customHeight="1" x14ac:dyDescent="0.3">
      <c r="A992" s="136"/>
      <c r="B992" s="212"/>
      <c r="C992" s="138"/>
      <c r="D992" s="138"/>
      <c r="E992" s="138"/>
      <c r="F992" s="138"/>
      <c r="G992" s="138"/>
      <c r="H992" s="139"/>
      <c r="I992" s="138"/>
      <c r="J992" s="138"/>
      <c r="K992" s="138"/>
      <c r="L992" s="138"/>
      <c r="M992" s="139"/>
      <c r="N992" s="138"/>
      <c r="O992" s="138"/>
      <c r="P992" s="138"/>
      <c r="Q992" s="139"/>
      <c r="R992" s="139"/>
      <c r="S992" s="212"/>
      <c r="T992" s="138"/>
    </row>
    <row r="993" spans="1:20" ht="34.950000000000003" customHeight="1" x14ac:dyDescent="0.3">
      <c r="A993" s="136"/>
      <c r="B993" s="212"/>
      <c r="C993" s="138"/>
      <c r="D993" s="138"/>
      <c r="E993" s="138"/>
      <c r="F993" s="138"/>
      <c r="G993" s="138"/>
      <c r="H993" s="139"/>
      <c r="I993" s="138"/>
      <c r="J993" s="138"/>
      <c r="K993" s="138"/>
      <c r="L993" s="138"/>
      <c r="M993" s="139"/>
      <c r="N993" s="138"/>
      <c r="O993" s="138"/>
      <c r="P993" s="138"/>
      <c r="Q993" s="139"/>
      <c r="R993" s="139"/>
      <c r="S993" s="212"/>
      <c r="T993" s="138"/>
    </row>
    <row r="994" spans="1:20" ht="34.950000000000003" customHeight="1" x14ac:dyDescent="0.3">
      <c r="A994" s="136"/>
      <c r="B994" s="212"/>
      <c r="C994" s="138"/>
      <c r="D994" s="138"/>
      <c r="E994" s="138"/>
      <c r="F994" s="138"/>
      <c r="G994" s="138"/>
      <c r="H994" s="139"/>
      <c r="I994" s="138"/>
      <c r="J994" s="138"/>
      <c r="K994" s="138"/>
      <c r="L994" s="138"/>
      <c r="M994" s="139"/>
      <c r="N994" s="138"/>
      <c r="O994" s="138"/>
      <c r="P994" s="138"/>
      <c r="Q994" s="139"/>
      <c r="R994" s="139"/>
      <c r="S994" s="212"/>
      <c r="T994" s="138"/>
    </row>
    <row r="995" spans="1:20" ht="34.950000000000003" customHeight="1" x14ac:dyDescent="0.3">
      <c r="A995" s="136"/>
      <c r="B995" s="212"/>
      <c r="C995" s="138"/>
      <c r="D995" s="138"/>
      <c r="E995" s="138"/>
      <c r="F995" s="138"/>
      <c r="G995" s="138"/>
      <c r="H995" s="139"/>
      <c r="I995" s="138"/>
      <c r="J995" s="138"/>
      <c r="K995" s="138"/>
      <c r="L995" s="138"/>
      <c r="M995" s="139"/>
      <c r="N995" s="138"/>
      <c r="O995" s="138"/>
      <c r="P995" s="138"/>
      <c r="Q995" s="139"/>
      <c r="R995" s="139"/>
      <c r="S995" s="212"/>
      <c r="T995" s="138"/>
    </row>
    <row r="996" spans="1:20" ht="34.950000000000003" customHeight="1" x14ac:dyDescent="0.3">
      <c r="A996" s="136"/>
      <c r="B996" s="212"/>
      <c r="C996" s="138"/>
      <c r="D996" s="138"/>
      <c r="E996" s="138"/>
      <c r="F996" s="138"/>
      <c r="G996" s="138"/>
      <c r="H996" s="139"/>
      <c r="I996" s="138"/>
      <c r="J996" s="138"/>
      <c r="K996" s="138"/>
      <c r="L996" s="138"/>
      <c r="M996" s="139"/>
      <c r="N996" s="138"/>
      <c r="O996" s="138"/>
      <c r="P996" s="138"/>
      <c r="Q996" s="139"/>
      <c r="R996" s="139"/>
      <c r="S996" s="212"/>
      <c r="T996" s="138"/>
    </row>
    <row r="997" spans="1:20" ht="34.950000000000003" customHeight="1" x14ac:dyDescent="0.3">
      <c r="A997" s="136"/>
      <c r="B997" s="212"/>
      <c r="C997" s="138"/>
      <c r="D997" s="138"/>
      <c r="E997" s="138"/>
      <c r="F997" s="138"/>
      <c r="G997" s="138"/>
      <c r="H997" s="139"/>
      <c r="I997" s="138"/>
      <c r="J997" s="138"/>
      <c r="K997" s="138"/>
      <c r="L997" s="138"/>
      <c r="M997" s="139"/>
      <c r="N997" s="138"/>
      <c r="O997" s="138"/>
      <c r="P997" s="138"/>
      <c r="Q997" s="139"/>
      <c r="R997" s="139"/>
      <c r="S997" s="212"/>
      <c r="T997" s="138"/>
    </row>
    <row r="998" spans="1:20" ht="34.950000000000003" customHeight="1" x14ac:dyDescent="0.3">
      <c r="A998" s="136"/>
      <c r="B998" s="212"/>
      <c r="C998" s="138"/>
      <c r="D998" s="138"/>
      <c r="E998" s="138"/>
      <c r="F998" s="138"/>
      <c r="G998" s="138"/>
      <c r="H998" s="139"/>
      <c r="I998" s="138"/>
      <c r="J998" s="138"/>
      <c r="K998" s="138"/>
      <c r="L998" s="138"/>
      <c r="M998" s="139"/>
      <c r="N998" s="138"/>
      <c r="O998" s="138"/>
      <c r="P998" s="138"/>
      <c r="Q998" s="139"/>
      <c r="R998" s="139"/>
      <c r="S998" s="212"/>
      <c r="T998" s="138"/>
    </row>
    <row r="999" spans="1:20" ht="34.950000000000003" customHeight="1" x14ac:dyDescent="0.3">
      <c r="A999" s="136"/>
      <c r="B999" s="212"/>
      <c r="C999" s="138"/>
      <c r="D999" s="138"/>
      <c r="E999" s="138"/>
      <c r="F999" s="138"/>
      <c r="G999" s="138"/>
      <c r="H999" s="139"/>
      <c r="I999" s="138"/>
      <c r="J999" s="138"/>
      <c r="K999" s="138"/>
      <c r="L999" s="138"/>
      <c r="M999" s="139"/>
      <c r="N999" s="138"/>
      <c r="O999" s="138"/>
      <c r="P999" s="138"/>
      <c r="Q999" s="139"/>
      <c r="R999" s="139"/>
      <c r="S999" s="212"/>
      <c r="T999" s="138"/>
    </row>
    <row r="1000" spans="1:20" ht="34.950000000000003" customHeight="1" x14ac:dyDescent="0.3">
      <c r="A1000" s="136"/>
      <c r="B1000" s="212"/>
      <c r="C1000" s="138"/>
      <c r="D1000" s="138"/>
      <c r="E1000" s="138"/>
      <c r="F1000" s="138"/>
      <c r="G1000" s="138"/>
      <c r="H1000" s="139"/>
      <c r="I1000" s="138"/>
      <c r="J1000" s="138"/>
      <c r="K1000" s="138"/>
      <c r="L1000" s="138"/>
      <c r="M1000" s="139"/>
      <c r="N1000" s="138"/>
      <c r="O1000" s="138"/>
      <c r="P1000" s="138"/>
      <c r="Q1000" s="139"/>
      <c r="R1000" s="139"/>
      <c r="S1000" s="212"/>
      <c r="T1000" s="138"/>
    </row>
    <row r="1001" spans="1:20" ht="34.950000000000003" customHeight="1" x14ac:dyDescent="0.3">
      <c r="A1001" s="136"/>
      <c r="B1001" s="212"/>
      <c r="C1001" s="138"/>
      <c r="D1001" s="138"/>
      <c r="E1001" s="138"/>
      <c r="F1001" s="138"/>
      <c r="G1001" s="138"/>
      <c r="H1001" s="139"/>
      <c r="I1001" s="138"/>
      <c r="J1001" s="138"/>
      <c r="K1001" s="138"/>
      <c r="L1001" s="138"/>
      <c r="M1001" s="139"/>
      <c r="N1001" s="138"/>
      <c r="O1001" s="138"/>
      <c r="P1001" s="138"/>
      <c r="Q1001" s="139"/>
      <c r="R1001" s="139"/>
      <c r="S1001" s="212"/>
      <c r="T1001" s="138"/>
    </row>
  </sheetData>
  <sheetProtection sheet="1" objects="1" scenarios="1" formatCells="1" formatColumns="1" formatRows="1" insertColumns="1" insertRows="1" insertHyperlinks="0" deleteColumns="1" deleteRows="1" selectLockedCells="0" selectUnlockedCells="0" sort="0" autoFilter="0" pivotTables="1" password="9F52"/>
  <autoFilter ref="A1:T1001" xr:uid="{00000000-0009-0000-0000-000005000000}"/>
  <conditionalFormatting sqref="B2:B1001">
    <cfRule type="expression" dxfId="190" priority="10">
      <formula>AND(B2&lt;&gt;"",NOT(ISNUMBER(B2)))</formula>
    </cfRule>
  </conditionalFormatting>
  <conditionalFormatting sqref="O2:O1001">
    <cfRule type="expression" dxfId="189" priority="4">
      <formula>O2="Abierto"</formula>
    </cfRule>
    <cfRule type="expression" dxfId="188" priority="5">
      <formula>O2="En proceso"</formula>
    </cfRule>
    <cfRule type="expression" dxfId="187" priority="6">
      <formula>O2="Cerrado"</formula>
    </cfRule>
  </conditionalFormatting>
  <conditionalFormatting sqref="S2:S1001">
    <cfRule type="expression" dxfId="186" priority="7">
      <formula>AND(TRIM(O2)="Cerrado",S2="")</formula>
    </cfRule>
    <cfRule type="expression" dxfId="185" priority="8">
      <formula>AND(ISNUMBER(S2),ISNUMBER(B2),S2&lt;B2)</formula>
    </cfRule>
    <cfRule type="expression" dxfId="184" priority="9">
      <formula>AND(S2&lt;&gt;"",NOT(ISNUMBER(S2)))</formula>
    </cfRule>
  </conditionalFormatting>
  <dataValidations count="9">
    <dataValidation operator="equal" allowBlank="1" showInputMessage="1" promptTitle="Fecha de apertura" prompt="Fecha en que se detectó. Define el mes del hallazgo." sqref="B1" xr:uid="{00000000-0002-0000-0500-000000000000}">
      <formula1>0</formula1>
      <formula2>0</formula2>
    </dataValidation>
    <dataValidation operator="equal" allowBlank="1" showInputMessage="1" promptTitle="Estado" prompt="Si está Cerrado, cargá la fecha de cierre." sqref="O1" xr:uid="{00000000-0002-0000-0500-000001000000}">
      <formula1>0</formula1>
      <formula2>0</formula2>
    </dataValidation>
    <dataValidation operator="equal" allowBlank="1" showInputMessage="1" promptTitle="Fecha de cierre" prompt="Define en qué mes cuenta el cierre." sqref="S1" xr:uid="{00000000-0002-0000-0500-000002000000}">
      <formula1>0</formula1>
      <formula2>0</formula2>
    </dataValidation>
    <dataValidation operator="equal" allowBlank="1" showInputMessage="1" promptTitle="¿Alto potencial?" prompt="Sí / No. Indicar si el hallazgo es de alto potencial." sqref="T1" xr:uid="{00000000-0002-0000-05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500-000004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500-000005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500-000006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500-000007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500-000008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500-000009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500-00000A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500-00000B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500-00000C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500-00000D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500-00000E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500-00000F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500-000010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500-000011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500-000012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500-000013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500-000014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500-000015000000}">
          <x14:formula1>
            <xm:f>OFFSET(Listas!$M$2,0,0,MAX(1,COUNTA(Listas!$M$2:$M$200)),1)</xm:f>
          </x14:formula1>
          <x14:formula2>
            <xm:f>0</xm:f>
          </x14:formula2>
          <xm:sqref>P2:P1001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3-D413-4A97-A2A1-BEE095CEBAEA}">
  <sheetPr>
    <pageSetUpPr fitToPage="1"/>
  </sheetPr>
  <dimension ref="A1:XEM58"/>
  <sheetViews>
    <sheetView workbookViewId="0">
      <selection sqref="A1:G1"/>
    </sheetView>
  </sheetViews>
  <sheetFormatPr baseColWidth="10" defaultColWidth="8.88671875" defaultRowHeight="14.4" x14ac:dyDescent="0.3"/>
  <cols>
    <col min="1" max="2" width="44" style="108" customWidth="1"/>
    <col min="3" max="4" width="13.77734375" style="108" customWidth="1"/>
    <col min="5" max="38" width="11.44140625" style="108" customWidth="1"/>
    <col min="16368" max="16384" width="11.5546875" style="108" customWidth="1"/>
  </cols>
  <sheetData>
    <row r="1" spans="1:38" ht="25.5" customHeight="1" x14ac:dyDescent="0.3">
      <c r="A1" s="150" t="s">
        <v>108</v>
      </c>
      <c r="B1" s="143"/>
      <c r="C1" s="143"/>
      <c r="D1" s="143"/>
      <c r="E1" s="143"/>
      <c r="F1" s="143"/>
      <c r="G1" s="143"/>
    </row>
    <row r="2" spans="1:38" ht="13.5" customHeight="1" x14ac:dyDescent="0.3">
      <c r="A2" s="48" t="inlineStr">
        <is>
          <t>Verde = cumple la meta · Rojo = no cumple · "-" = mes sin datos. Columna META automática; las metas de _TARGETS se modifican únicamente al desproteger con la clave. Violeta = meta de simulación.</t>
        </is>
      </c>
    </row>
    <row r="3" spans="1:38" ht="19.5" customHeight="1" x14ac:dyDescent="0.3">
      <c r="A3" s="144" t="s">
        <v>110</v>
      </c>
      <c r="B3" s="144" t="s">
        <v>111</v>
      </c>
      <c r="C3" s="144" t="s">
        <v>112</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5"/>
      <c r="B4" s="145"/>
      <c r="C4" s="145"/>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18" customHeight="1" x14ac:dyDescent="0.3">
      <c r="A5" s="151" t="s">
        <v>114</v>
      </c>
      <c r="B5" s="143"/>
      <c r="C5" s="143"/>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row>
    <row r="6" spans="1:38" ht="31.5" customHeight="1" x14ac:dyDescent="0.3">
      <c r="A6" s="50" t="s">
        <v>1676</v>
      </c>
      <c r="B6" s="51" t="s">
        <v>115</v>
      </c>
      <c r="C6" s="215">
        <f>INDEX(_TARGETS!$F$2:$F$17,MATCH("DAFWCF",_TARGETS!$A$2:$A$17,0))</f>
        <v>0</v>
      </c>
      <c r="D6" s="216">
        <f>IF(Datos!D14=0,"-",Datos!D33*1000000/Datos!D14)</f>
        <v>0</v>
      </c>
      <c r="E6" s="216">
        <f>IF(Datos!E14=0,"-",Datos!E33*1000000/Datos!E14)</f>
        <v>0</v>
      </c>
      <c r="F6" s="216" t="str">
        <f>IF(Datos!F14=0,"-",Datos!F33*1000000/Datos!F14)</f>
        <v>-</v>
      </c>
      <c r="G6" s="216" t="str">
        <f>IF(Datos!G14=0,"-",Datos!G33*1000000/Datos!G14)</f>
        <v>-</v>
      </c>
      <c r="H6" s="216" t="str">
        <f>IF(Datos!H14=0,"-",Datos!H33*1000000/Datos!H14)</f>
        <v>-</v>
      </c>
      <c r="I6" s="216" t="str">
        <f>IF(Datos!I14=0,"-",Datos!I33*1000000/Datos!I14)</f>
        <v>-</v>
      </c>
      <c r="J6" s="216" t="str">
        <f>IF(Datos!J14=0,"-",Datos!J33*1000000/Datos!J14)</f>
        <v>-</v>
      </c>
      <c r="K6" s="216" t="str">
        <f>IF(Datos!K14=0,"-",Datos!K33*1000000/Datos!K14)</f>
        <v>-</v>
      </c>
      <c r="L6" s="216" t="str">
        <f>IF(Datos!L14=0,"-",Datos!L33*1000000/Datos!L14)</f>
        <v>-</v>
      </c>
      <c r="M6" s="216" t="str">
        <f>IF(Datos!M14=0,"-",Datos!M33*1000000/Datos!M14)</f>
        <v>-</v>
      </c>
      <c r="N6" s="216" t="str">
        <f>IF(Datos!N14=0,"-",Datos!N33*1000000/Datos!N14)</f>
        <v>-</v>
      </c>
      <c r="O6" s="216" t="str">
        <f>IF(Datos!O14=0,"-",Datos!O33*1000000/Datos!O14)</f>
        <v>-</v>
      </c>
      <c r="P6" s="216" t="str">
        <f>IF(Datos!P14=0,"-",Datos!P33*1000000/Datos!P14)</f>
        <v>-</v>
      </c>
      <c r="Q6" s="216" t="str">
        <f>IF(Datos!Q14=0,"-",Datos!Q33*1000000/Datos!Q14)</f>
        <v>-</v>
      </c>
      <c r="R6" s="216" t="str">
        <f>IF(Datos!R14=0,"-",Datos!R33*1000000/Datos!R14)</f>
        <v>-</v>
      </c>
      <c r="S6" s="216" t="str">
        <f>IF(Datos!S14=0,"-",Datos!S33*1000000/Datos!S14)</f>
        <v>-</v>
      </c>
      <c r="T6" s="216" t="str">
        <f>IF(Datos!T14=0,"-",Datos!T33*1000000/Datos!T14)</f>
        <v>-</v>
      </c>
      <c r="U6" s="216" t="str">
        <f>IF(Datos!U14=0,"-",Datos!U33*1000000/Datos!U14)</f>
        <v>-</v>
      </c>
      <c r="V6" s="216" t="str">
        <f>IF(Datos!V14=0,"-",Datos!V33*1000000/Datos!V14)</f>
        <v>-</v>
      </c>
      <c r="W6" s="216" t="str">
        <f>IF(Datos!W14=0,"-",Datos!W33*1000000/Datos!W14)</f>
        <v>-</v>
      </c>
      <c r="X6" s="216" t="str">
        <f>IF(Datos!X14=0,"-",Datos!X33*1000000/Datos!X14)</f>
        <v>-</v>
      </c>
      <c r="Y6" s="216" t="str">
        <f>IF(Datos!Y14=0,"-",Datos!Y33*1000000/Datos!Y14)</f>
        <v>-</v>
      </c>
      <c r="Z6" s="216" t="str">
        <f>IF(Datos!Z14=0,"-",Datos!Z33*1000000/Datos!Z14)</f>
        <v>-</v>
      </c>
      <c r="AA6" s="216" t="str">
        <f>IF(Datos!AA14=0,"-",Datos!AA33*1000000/Datos!AA14)</f>
        <v>-</v>
      </c>
      <c r="AB6" s="216" t="str">
        <f>IF(Datos!AB14=0,"-",Datos!AB33*1000000/Datos!AB14)</f>
        <v>-</v>
      </c>
      <c r="AC6" s="216" t="str">
        <f>IF(Datos!AC14=0,"-",Datos!AC33*1000000/Datos!AC14)</f>
        <v>-</v>
      </c>
      <c r="AD6" s="216" t="str">
        <f>IF(Datos!AD14=0,"-",Datos!AD33*1000000/Datos!AD14)</f>
        <v>-</v>
      </c>
      <c r="AE6" s="216" t="str">
        <f>IF(Datos!AE14=0,"-",Datos!AE33*1000000/Datos!AE14)</f>
        <v>-</v>
      </c>
      <c r="AF6" s="216" t="str">
        <f>IF(Datos!AF14=0,"-",Datos!AF33*1000000/Datos!AF14)</f>
        <v>-</v>
      </c>
      <c r="AG6" s="216" t="str">
        <f>IF(Datos!AG14=0,"-",Datos!AG33*1000000/Datos!AG14)</f>
        <v>-</v>
      </c>
      <c r="AH6" s="216" t="str">
        <f>IF(Datos!AH14=0,"-",Datos!AH33*1000000/Datos!AH14)</f>
        <v>-</v>
      </c>
      <c r="AI6" s="216" t="str">
        <f>IF(Datos!AI14=0,"-",Datos!AI33*1000000/Datos!AI14)</f>
        <v>-</v>
      </c>
      <c r="AJ6" s="216" t="str">
        <f>IF(Datos!AJ14=0,"-",Datos!AJ33*1000000/Datos!AJ14)</f>
        <v>-</v>
      </c>
      <c r="AK6" s="216" t="str">
        <f>IF(Datos!AK14=0,"-",Datos!AK33*1000000/Datos!AK14)</f>
        <v>-</v>
      </c>
      <c r="AL6" s="216" t="str">
        <f>IF(Datos!AL14=0,"-",Datos!AL33*1000000/Datos!AL14)</f>
        <v>-</v>
      </c>
    </row>
    <row r="7" spans="1:38" ht="31.5" customHeight="1" x14ac:dyDescent="0.3">
      <c r="A7" s="50" t="s">
        <v>1677</v>
      </c>
      <c r="B7" s="51" t="s">
        <v>116</v>
      </c>
      <c r="C7" s="215">
        <f>INDEX(_TARGETS!$F$2:$F$17,MATCH("TRICF",_TARGETS!$A$2:$A$17,0))</f>
        <v>2.35</v>
      </c>
      <c r="D7" s="216">
        <f>IF(Datos!D14=0,"-",(Datos!D33+Datos!D34+Datos!D35+Datos!D36)*1000000/Datos!D14)</f>
        <v>0</v>
      </c>
      <c r="E7" s="216">
        <f>IF(Datos!E14=0,"-",(Datos!E33+Datos!E34+Datos!E35+Datos!E36)*1000000/Datos!E14)</f>
        <v>0</v>
      </c>
      <c r="F7" s="216" t="str">
        <f>IF(Datos!F14=0,"-",(Datos!F33+Datos!F34+Datos!F35+Datos!F36)*1000000/Datos!F14)</f>
        <v>-</v>
      </c>
      <c r="G7" s="216" t="str">
        <f>IF(Datos!G14=0,"-",(Datos!G33+Datos!G34+Datos!G35+Datos!G36)*1000000/Datos!G14)</f>
        <v>-</v>
      </c>
      <c r="H7" s="216" t="str">
        <f>IF(Datos!H14=0,"-",(Datos!H33+Datos!H34+Datos!H35+Datos!H36)*1000000/Datos!H14)</f>
        <v>-</v>
      </c>
      <c r="I7" s="216" t="str">
        <f>IF(Datos!I14=0,"-",(Datos!I33+Datos!I34+Datos!I35+Datos!I36)*1000000/Datos!I14)</f>
        <v>-</v>
      </c>
      <c r="J7" s="216" t="str">
        <f>IF(Datos!J14=0,"-",(Datos!J33+Datos!J34+Datos!J35+Datos!J36)*1000000/Datos!J14)</f>
        <v>-</v>
      </c>
      <c r="K7" s="216" t="str">
        <f>IF(Datos!K14=0,"-",(Datos!K33+Datos!K34+Datos!K35+Datos!K36)*1000000/Datos!K14)</f>
        <v>-</v>
      </c>
      <c r="L7" s="216" t="str">
        <f>IF(Datos!L14=0,"-",(Datos!L33+Datos!L34+Datos!L35+Datos!L36)*1000000/Datos!L14)</f>
        <v>-</v>
      </c>
      <c r="M7" s="216" t="str">
        <f>IF(Datos!M14=0,"-",(Datos!M33+Datos!M34+Datos!M35+Datos!M36)*1000000/Datos!M14)</f>
        <v>-</v>
      </c>
      <c r="N7" s="216" t="str">
        <f>IF(Datos!N14=0,"-",(Datos!N33+Datos!N34+Datos!N35+Datos!N36)*1000000/Datos!N14)</f>
        <v>-</v>
      </c>
      <c r="O7" s="216" t="str">
        <f>IF(Datos!O14=0,"-",(Datos!O33+Datos!O34+Datos!O35+Datos!O36)*1000000/Datos!O14)</f>
        <v>-</v>
      </c>
      <c r="P7" s="216" t="str">
        <f>IF(Datos!P14=0,"-",(Datos!P33+Datos!P34+Datos!P35+Datos!P36)*1000000/Datos!P14)</f>
        <v>-</v>
      </c>
      <c r="Q7" s="216" t="str">
        <f>IF(Datos!Q14=0,"-",(Datos!Q33+Datos!Q34+Datos!Q35+Datos!Q36)*1000000/Datos!Q14)</f>
        <v>-</v>
      </c>
      <c r="R7" s="216" t="str">
        <f>IF(Datos!R14=0,"-",(Datos!R33+Datos!R34+Datos!R35+Datos!R36)*1000000/Datos!R14)</f>
        <v>-</v>
      </c>
      <c r="S7" s="216" t="str">
        <f>IF(Datos!S14=0,"-",(Datos!S33+Datos!S34+Datos!S35+Datos!S36)*1000000/Datos!S14)</f>
        <v>-</v>
      </c>
      <c r="T7" s="216" t="str">
        <f>IF(Datos!T14=0,"-",(Datos!T33+Datos!T34+Datos!T35+Datos!T36)*1000000/Datos!T14)</f>
        <v>-</v>
      </c>
      <c r="U7" s="216" t="str">
        <f>IF(Datos!U14=0,"-",(Datos!U33+Datos!U34+Datos!U35+Datos!U36)*1000000/Datos!U14)</f>
        <v>-</v>
      </c>
      <c r="V7" s="216" t="str">
        <f>IF(Datos!V14=0,"-",(Datos!V33+Datos!V34+Datos!V35+Datos!V36)*1000000/Datos!V14)</f>
        <v>-</v>
      </c>
      <c r="W7" s="216" t="str">
        <f>IF(Datos!W14=0,"-",(Datos!W33+Datos!W34+Datos!W35+Datos!W36)*1000000/Datos!W14)</f>
        <v>-</v>
      </c>
      <c r="X7" s="216" t="str">
        <f>IF(Datos!X14=0,"-",(Datos!X33+Datos!X34+Datos!X35+Datos!X36)*1000000/Datos!X14)</f>
        <v>-</v>
      </c>
      <c r="Y7" s="216" t="str">
        <f>IF(Datos!Y14=0,"-",(Datos!Y33+Datos!Y34+Datos!Y35+Datos!Y36)*1000000/Datos!Y14)</f>
        <v>-</v>
      </c>
      <c r="Z7" s="216" t="str">
        <f>IF(Datos!Z14=0,"-",(Datos!Z33+Datos!Z34+Datos!Z35+Datos!Z36)*1000000/Datos!Z14)</f>
        <v>-</v>
      </c>
      <c r="AA7" s="216" t="str">
        <f>IF(Datos!AA14=0,"-",(Datos!AA33+Datos!AA34+Datos!AA35+Datos!AA36)*1000000/Datos!AA14)</f>
        <v>-</v>
      </c>
      <c r="AB7" s="216" t="str">
        <f>IF(Datos!AB14=0,"-",(Datos!AB33+Datos!AB34+Datos!AB35+Datos!AB36)*1000000/Datos!AB14)</f>
        <v>-</v>
      </c>
      <c r="AC7" s="216" t="str">
        <f>IF(Datos!AC14=0,"-",(Datos!AC33+Datos!AC34+Datos!AC35+Datos!AC36)*1000000/Datos!AC14)</f>
        <v>-</v>
      </c>
      <c r="AD7" s="216" t="str">
        <f>IF(Datos!AD14=0,"-",(Datos!AD33+Datos!AD34+Datos!AD35+Datos!AD36)*1000000/Datos!AD14)</f>
        <v>-</v>
      </c>
      <c r="AE7" s="216" t="str">
        <f>IF(Datos!AE14=0,"-",(Datos!AE33+Datos!AE34+Datos!AE35+Datos!AE36)*1000000/Datos!AE14)</f>
        <v>-</v>
      </c>
      <c r="AF7" s="216" t="str">
        <f>IF(Datos!AF14=0,"-",(Datos!AF33+Datos!AF34+Datos!AF35+Datos!AF36)*1000000/Datos!AF14)</f>
        <v>-</v>
      </c>
      <c r="AG7" s="216" t="str">
        <f>IF(Datos!AG14=0,"-",(Datos!AG33+Datos!AG34+Datos!AG35+Datos!AG36)*1000000/Datos!AG14)</f>
        <v>-</v>
      </c>
      <c r="AH7" s="216" t="str">
        <f>IF(Datos!AH14=0,"-",(Datos!AH33+Datos!AH34+Datos!AH35+Datos!AH36)*1000000/Datos!AH14)</f>
        <v>-</v>
      </c>
      <c r="AI7" s="216" t="str">
        <f>IF(Datos!AI14=0,"-",(Datos!AI33+Datos!AI34+Datos!AI35+Datos!AI36)*1000000/Datos!AI14)</f>
        <v>-</v>
      </c>
      <c r="AJ7" s="216" t="str">
        <f>IF(Datos!AJ14=0,"-",(Datos!AJ33+Datos!AJ34+Datos!AJ35+Datos!AJ36)*1000000/Datos!AJ14)</f>
        <v>-</v>
      </c>
      <c r="AK7" s="216" t="str">
        <f>IF(Datos!AK14=0,"-",(Datos!AK33+Datos!AK34+Datos!AK35+Datos!AK36)*1000000/Datos!AK14)</f>
        <v>-</v>
      </c>
      <c r="AL7" s="216" t="str">
        <f>IF(Datos!AL14=0,"-",(Datos!AL33+Datos!AL34+Datos!AL35+Datos!AL36)*1000000/Datos!AL14)</f>
        <v>-</v>
      </c>
    </row>
    <row r="8" spans="1:38" ht="31.5" customHeight="1" x14ac:dyDescent="0.3">
      <c r="A8" s="50" t="s">
        <v>1678</v>
      </c>
      <c r="B8" s="51" t="s">
        <v>117</v>
      </c>
      <c r="C8" s="217" t="str">
        <f>INDEX(_TARGETS!$F$2:$F$17,MATCH("FAC",_TARGETS!$A$2:$A$17,0))</f>
        <v>Reporte</v>
      </c>
      <c r="D8" s="218">
        <f>IF(Datos!D14=0,"-",Datos!D37)</f>
        <v>0</v>
      </c>
      <c r="E8" s="218">
        <f>IF(Datos!E14=0,"-",Datos!E37)</f>
        <v>0</v>
      </c>
      <c r="F8" s="218" t="str">
        <f>IF(Datos!F14=0,"-",Datos!F37)</f>
        <v>-</v>
      </c>
      <c r="G8" s="218" t="str">
        <f>IF(Datos!G14=0,"-",Datos!G37)</f>
        <v>-</v>
      </c>
      <c r="H8" s="218" t="str">
        <f>IF(Datos!H14=0,"-",Datos!H37)</f>
        <v>-</v>
      </c>
      <c r="I8" s="218" t="str">
        <f>IF(Datos!I14=0,"-",Datos!I37)</f>
        <v>-</v>
      </c>
      <c r="J8" s="218" t="str">
        <f>IF(Datos!J14=0,"-",Datos!J37)</f>
        <v>-</v>
      </c>
      <c r="K8" s="218" t="str">
        <f>IF(Datos!K14=0,"-",Datos!K37)</f>
        <v>-</v>
      </c>
      <c r="L8" s="218" t="str">
        <f>IF(Datos!L14=0,"-",Datos!L37)</f>
        <v>-</v>
      </c>
      <c r="M8" s="218" t="str">
        <f>IF(Datos!M14=0,"-",Datos!M37)</f>
        <v>-</v>
      </c>
      <c r="N8" s="218" t="str">
        <f>IF(Datos!N14=0,"-",Datos!N37)</f>
        <v>-</v>
      </c>
      <c r="O8" s="218" t="str">
        <f>IF(Datos!O14=0,"-",Datos!O37)</f>
        <v>-</v>
      </c>
      <c r="P8" s="218" t="str">
        <f>IF(Datos!P14=0,"-",Datos!P37)</f>
        <v>-</v>
      </c>
      <c r="Q8" s="218" t="str">
        <f>IF(Datos!Q14=0,"-",Datos!Q37)</f>
        <v>-</v>
      </c>
      <c r="R8" s="218" t="str">
        <f>IF(Datos!R14=0,"-",Datos!R37)</f>
        <v>-</v>
      </c>
      <c r="S8" s="218" t="str">
        <f>IF(Datos!S14=0,"-",Datos!S37)</f>
        <v>-</v>
      </c>
      <c r="T8" s="218" t="str">
        <f>IF(Datos!T14=0,"-",Datos!T37)</f>
        <v>-</v>
      </c>
      <c r="U8" s="218" t="str">
        <f>IF(Datos!U14=0,"-",Datos!U37)</f>
        <v>-</v>
      </c>
      <c r="V8" s="218" t="str">
        <f>IF(Datos!V14=0,"-",Datos!V37)</f>
        <v>-</v>
      </c>
      <c r="W8" s="218" t="str">
        <f>IF(Datos!W14=0,"-",Datos!W37)</f>
        <v>-</v>
      </c>
      <c r="X8" s="218" t="str">
        <f>IF(Datos!X14=0,"-",Datos!X37)</f>
        <v>-</v>
      </c>
      <c r="Y8" s="218" t="str">
        <f>IF(Datos!Y14=0,"-",Datos!Y37)</f>
        <v>-</v>
      </c>
      <c r="Z8" s="218" t="str">
        <f>IF(Datos!Z14=0,"-",Datos!Z37)</f>
        <v>-</v>
      </c>
      <c r="AA8" s="218" t="str">
        <f>IF(Datos!AA14=0,"-",Datos!AA37)</f>
        <v>-</v>
      </c>
      <c r="AB8" s="218" t="str">
        <f>IF(Datos!AB14=0,"-",Datos!AB37)</f>
        <v>-</v>
      </c>
      <c r="AC8" s="218" t="str">
        <f>IF(Datos!AC14=0,"-",Datos!AC37)</f>
        <v>-</v>
      </c>
      <c r="AD8" s="218" t="str">
        <f>IF(Datos!AD14=0,"-",Datos!AD37)</f>
        <v>-</v>
      </c>
      <c r="AE8" s="218" t="str">
        <f>IF(Datos!AE14=0,"-",Datos!AE37)</f>
        <v>-</v>
      </c>
      <c r="AF8" s="218" t="str">
        <f>IF(Datos!AF14=0,"-",Datos!AF37)</f>
        <v>-</v>
      </c>
      <c r="AG8" s="218" t="str">
        <f>IF(Datos!AG14=0,"-",Datos!AG37)</f>
        <v>-</v>
      </c>
      <c r="AH8" s="218" t="str">
        <f>IF(Datos!AH14=0,"-",Datos!AH37)</f>
        <v>-</v>
      </c>
      <c r="AI8" s="218" t="str">
        <f>IF(Datos!AI14=0,"-",Datos!AI37)</f>
        <v>-</v>
      </c>
      <c r="AJ8" s="218" t="str">
        <f>IF(Datos!AJ14=0,"-",Datos!AJ37)</f>
        <v>-</v>
      </c>
      <c r="AK8" s="218" t="str">
        <f>IF(Datos!AK14=0,"-",Datos!AK37)</f>
        <v>-</v>
      </c>
      <c r="AL8" s="218" t="str">
        <f>IF(Datos!AL14=0,"-",Datos!AL37)</f>
        <v>-</v>
      </c>
    </row>
    <row r="9" spans="1:38" ht="18" customHeight="1" x14ac:dyDescent="0.3">
      <c r="A9" s="151" t="s">
        <v>118</v>
      </c>
      <c r="B9" s="143"/>
      <c r="C9" s="143"/>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row>
    <row r="10" spans="1:38" ht="31.5" customHeight="1" x14ac:dyDescent="0.3">
      <c r="A10" s="50" t="s">
        <v>1679</v>
      </c>
      <c r="B10" s="51" t="s">
        <v>119</v>
      </c>
      <c r="C10" s="215" t="str">
        <f>INDEX(_TARGETS!$F$2:$F$17,MATCH("SVCR",_TARGETS!$A$2:$A$17,0))</f>
        <v>Reporte</v>
      </c>
      <c r="D10" s="216">
        <f>IF(Datos!D47=0,"-",(Datos!D39+Datos!D40+Datos!D41)*1000000/Datos!D47)</f>
        <v>0</v>
      </c>
      <c r="E10" s="216">
        <f>IF(Datos!E47=0,"-",(Datos!E39+Datos!E40+Datos!E41)*1000000/Datos!E47)</f>
        <v>0</v>
      </c>
      <c r="F10" s="216" t="str">
        <f>IF(Datos!F47=0,"-",(Datos!F39+Datos!F40+Datos!F41)*1000000/Datos!F47)</f>
        <v>-</v>
      </c>
      <c r="G10" s="216" t="str">
        <f>IF(Datos!G47=0,"-",(Datos!G39+Datos!G40+Datos!G41)*1000000/Datos!G47)</f>
        <v>-</v>
      </c>
      <c r="H10" s="216" t="str">
        <f>IF(Datos!H47=0,"-",(Datos!H39+Datos!H40+Datos!H41)*1000000/Datos!H47)</f>
        <v>-</v>
      </c>
      <c r="I10" s="216" t="str">
        <f>IF(Datos!I47=0,"-",(Datos!I39+Datos!I40+Datos!I41)*1000000/Datos!I47)</f>
        <v>-</v>
      </c>
      <c r="J10" s="216" t="str">
        <f>IF(Datos!J47=0,"-",(Datos!J39+Datos!J40+Datos!J41)*1000000/Datos!J47)</f>
        <v>-</v>
      </c>
      <c r="K10" s="216" t="str">
        <f>IF(Datos!K47=0,"-",(Datos!K39+Datos!K40+Datos!K41)*1000000/Datos!K47)</f>
        <v>-</v>
      </c>
      <c r="L10" s="216" t="str">
        <f>IF(Datos!L47=0,"-",(Datos!L39+Datos!L40+Datos!L41)*1000000/Datos!L47)</f>
        <v>-</v>
      </c>
      <c r="M10" s="216" t="str">
        <f>IF(Datos!M47=0,"-",(Datos!M39+Datos!M40+Datos!M41)*1000000/Datos!M47)</f>
        <v>-</v>
      </c>
      <c r="N10" s="216" t="str">
        <f>IF(Datos!N47=0,"-",(Datos!N39+Datos!N40+Datos!N41)*1000000/Datos!N47)</f>
        <v>-</v>
      </c>
      <c r="O10" s="216" t="str">
        <f>IF(Datos!O47=0,"-",(Datos!O39+Datos!O40+Datos!O41)*1000000/Datos!O47)</f>
        <v>-</v>
      </c>
      <c r="P10" s="216" t="str">
        <f>IF(Datos!P47=0,"-",(Datos!P39+Datos!P40+Datos!P41)*1000000/Datos!P47)</f>
        <v>-</v>
      </c>
      <c r="Q10" s="216" t="str">
        <f>IF(Datos!Q47=0,"-",(Datos!Q39+Datos!Q40+Datos!Q41)*1000000/Datos!Q47)</f>
        <v>-</v>
      </c>
      <c r="R10" s="216" t="str">
        <f>IF(Datos!R47=0,"-",(Datos!R39+Datos!R40+Datos!R41)*1000000/Datos!R47)</f>
        <v>-</v>
      </c>
      <c r="S10" s="216" t="str">
        <f>IF(Datos!S47=0,"-",(Datos!S39+Datos!S40+Datos!S41)*1000000/Datos!S47)</f>
        <v>-</v>
      </c>
      <c r="T10" s="216" t="str">
        <f>IF(Datos!T47=0,"-",(Datos!T39+Datos!T40+Datos!T41)*1000000/Datos!T47)</f>
        <v>-</v>
      </c>
      <c r="U10" s="216" t="str">
        <f>IF(Datos!U47=0,"-",(Datos!U39+Datos!U40+Datos!U41)*1000000/Datos!U47)</f>
        <v>-</v>
      </c>
      <c r="V10" s="216" t="str">
        <f>IF(Datos!V47=0,"-",(Datos!V39+Datos!V40+Datos!V41)*1000000/Datos!V47)</f>
        <v>-</v>
      </c>
      <c r="W10" s="216" t="str">
        <f>IF(Datos!W47=0,"-",(Datos!W39+Datos!W40+Datos!W41)*1000000/Datos!W47)</f>
        <v>-</v>
      </c>
      <c r="X10" s="216" t="str">
        <f>IF(Datos!X47=0,"-",(Datos!X39+Datos!X40+Datos!X41)*1000000/Datos!X47)</f>
        <v>-</v>
      </c>
      <c r="Y10" s="216" t="str">
        <f>IF(Datos!Y47=0,"-",(Datos!Y39+Datos!Y40+Datos!Y41)*1000000/Datos!Y47)</f>
        <v>-</v>
      </c>
      <c r="Z10" s="216" t="str">
        <f>IF(Datos!Z47=0,"-",(Datos!Z39+Datos!Z40+Datos!Z41)*1000000/Datos!Z47)</f>
        <v>-</v>
      </c>
      <c r="AA10" s="216" t="str">
        <f>IF(Datos!AA47=0,"-",(Datos!AA39+Datos!AA40+Datos!AA41)*1000000/Datos!AA47)</f>
        <v>-</v>
      </c>
      <c r="AB10" s="216" t="str">
        <f>IF(Datos!AB47=0,"-",(Datos!AB39+Datos!AB40+Datos!AB41)*1000000/Datos!AB47)</f>
        <v>-</v>
      </c>
      <c r="AC10" s="216" t="str">
        <f>IF(Datos!AC47=0,"-",(Datos!AC39+Datos!AC40+Datos!AC41)*1000000/Datos!AC47)</f>
        <v>-</v>
      </c>
      <c r="AD10" s="216" t="str">
        <f>IF(Datos!AD47=0,"-",(Datos!AD39+Datos!AD40+Datos!AD41)*1000000/Datos!AD47)</f>
        <v>-</v>
      </c>
      <c r="AE10" s="216" t="str">
        <f>IF(Datos!AE47=0,"-",(Datos!AE39+Datos!AE40+Datos!AE41)*1000000/Datos!AE47)</f>
        <v>-</v>
      </c>
      <c r="AF10" s="216" t="str">
        <f>IF(Datos!AF47=0,"-",(Datos!AF39+Datos!AF40+Datos!AF41)*1000000/Datos!AF47)</f>
        <v>-</v>
      </c>
      <c r="AG10" s="216" t="str">
        <f>IF(Datos!AG47=0,"-",(Datos!AG39+Datos!AG40+Datos!AG41)*1000000/Datos!AG47)</f>
        <v>-</v>
      </c>
      <c r="AH10" s="216" t="str">
        <f>IF(Datos!AH47=0,"-",(Datos!AH39+Datos!AH40+Datos!AH41)*1000000/Datos!AH47)</f>
        <v>-</v>
      </c>
      <c r="AI10" s="216" t="str">
        <f>IF(Datos!AI47=0,"-",(Datos!AI39+Datos!AI40+Datos!AI41)*1000000/Datos!AI47)</f>
        <v>-</v>
      </c>
      <c r="AJ10" s="216" t="str">
        <f>IF(Datos!AJ47=0,"-",(Datos!AJ39+Datos!AJ40+Datos!AJ41)*1000000/Datos!AJ47)</f>
        <v>-</v>
      </c>
      <c r="AK10" s="216" t="str">
        <f>IF(Datos!AK47=0,"-",(Datos!AK39+Datos!AK40+Datos!AK41)*1000000/Datos!AK47)</f>
        <v>-</v>
      </c>
      <c r="AL10" s="216" t="str">
        <f>IF(Datos!AL47=0,"-",(Datos!AL39+Datos!AL40+Datos!AL41)*1000000/Datos!AL47)</f>
        <v>-</v>
      </c>
    </row>
    <row r="11" spans="1:38" ht="31.5" customHeight="1" x14ac:dyDescent="0.3">
      <c r="A11" s="50" t="s">
        <v>1680</v>
      </c>
      <c r="B11" s="51" t="s">
        <v>120</v>
      </c>
      <c r="C11" s="215">
        <f>INDEX(_TARGETS!$F$2:$F$17,MATCH("TVCR",_TARGETS!$A$2:$A$17,0))</f>
        <v>0.79</v>
      </c>
      <c r="D11" s="216">
        <f>IF(Datos!D47=0,"-",(Datos!D39+Datos!D40+Datos!D41+Datos!D42)*1000000/Datos!D47)</f>
        <v>0</v>
      </c>
      <c r="E11" s="216">
        <f>IF(Datos!E47=0,"-",(Datos!E39+Datos!E40+Datos!E41+Datos!E42)*1000000/Datos!E47)</f>
        <v>0</v>
      </c>
      <c r="F11" s="216" t="str">
        <f>IF(Datos!F47=0,"-",(Datos!F39+Datos!F40+Datos!F41+Datos!F42)*1000000/Datos!F47)</f>
        <v>-</v>
      </c>
      <c r="G11" s="216" t="str">
        <f>IF(Datos!G47=0,"-",(Datos!G39+Datos!G40+Datos!G41+Datos!G42)*1000000/Datos!G47)</f>
        <v>-</v>
      </c>
      <c r="H11" s="216" t="str">
        <f>IF(Datos!H47=0,"-",(Datos!H39+Datos!H40+Datos!H41+Datos!H42)*1000000/Datos!H47)</f>
        <v>-</v>
      </c>
      <c r="I11" s="216" t="str">
        <f>IF(Datos!I47=0,"-",(Datos!I39+Datos!I40+Datos!I41+Datos!I42)*1000000/Datos!I47)</f>
        <v>-</v>
      </c>
      <c r="J11" s="216" t="str">
        <f>IF(Datos!J47=0,"-",(Datos!J39+Datos!J40+Datos!J41+Datos!J42)*1000000/Datos!J47)</f>
        <v>-</v>
      </c>
      <c r="K11" s="216" t="str">
        <f>IF(Datos!K47=0,"-",(Datos!K39+Datos!K40+Datos!K41+Datos!K42)*1000000/Datos!K47)</f>
        <v>-</v>
      </c>
      <c r="L11" s="216" t="str">
        <f>IF(Datos!L47=0,"-",(Datos!L39+Datos!L40+Datos!L41+Datos!L42)*1000000/Datos!L47)</f>
        <v>-</v>
      </c>
      <c r="M11" s="216" t="str">
        <f>IF(Datos!M47=0,"-",(Datos!M39+Datos!M40+Datos!M41+Datos!M42)*1000000/Datos!M47)</f>
        <v>-</v>
      </c>
      <c r="N11" s="216" t="str">
        <f>IF(Datos!N47=0,"-",(Datos!N39+Datos!N40+Datos!N41+Datos!N42)*1000000/Datos!N47)</f>
        <v>-</v>
      </c>
      <c r="O11" s="216" t="str">
        <f>IF(Datos!O47=0,"-",(Datos!O39+Datos!O40+Datos!O41+Datos!O42)*1000000/Datos!O47)</f>
        <v>-</v>
      </c>
      <c r="P11" s="216" t="str">
        <f>IF(Datos!P47=0,"-",(Datos!P39+Datos!P40+Datos!P41+Datos!P42)*1000000/Datos!P47)</f>
        <v>-</v>
      </c>
      <c r="Q11" s="216" t="str">
        <f>IF(Datos!Q47=0,"-",(Datos!Q39+Datos!Q40+Datos!Q41+Datos!Q42)*1000000/Datos!Q47)</f>
        <v>-</v>
      </c>
      <c r="R11" s="216" t="str">
        <f>IF(Datos!R47=0,"-",(Datos!R39+Datos!R40+Datos!R41+Datos!R42)*1000000/Datos!R47)</f>
        <v>-</v>
      </c>
      <c r="S11" s="216" t="str">
        <f>IF(Datos!S47=0,"-",(Datos!S39+Datos!S40+Datos!S41+Datos!S42)*1000000/Datos!S47)</f>
        <v>-</v>
      </c>
      <c r="T11" s="216" t="str">
        <f>IF(Datos!T47=0,"-",(Datos!T39+Datos!T40+Datos!T41+Datos!T42)*1000000/Datos!T47)</f>
        <v>-</v>
      </c>
      <c r="U11" s="216" t="str">
        <f>IF(Datos!U47=0,"-",(Datos!U39+Datos!U40+Datos!U41+Datos!U42)*1000000/Datos!U47)</f>
        <v>-</v>
      </c>
      <c r="V11" s="216" t="str">
        <f>IF(Datos!V47=0,"-",(Datos!V39+Datos!V40+Datos!V41+Datos!V42)*1000000/Datos!V47)</f>
        <v>-</v>
      </c>
      <c r="W11" s="216" t="str">
        <f>IF(Datos!W47=0,"-",(Datos!W39+Datos!W40+Datos!W41+Datos!W42)*1000000/Datos!W47)</f>
        <v>-</v>
      </c>
      <c r="X11" s="216" t="str">
        <f>IF(Datos!X47=0,"-",(Datos!X39+Datos!X40+Datos!X41+Datos!X42)*1000000/Datos!X47)</f>
        <v>-</v>
      </c>
      <c r="Y11" s="216" t="str">
        <f>IF(Datos!Y47=0,"-",(Datos!Y39+Datos!Y40+Datos!Y41+Datos!Y42)*1000000/Datos!Y47)</f>
        <v>-</v>
      </c>
      <c r="Z11" s="216" t="str">
        <f>IF(Datos!Z47=0,"-",(Datos!Z39+Datos!Z40+Datos!Z41+Datos!Z42)*1000000/Datos!Z47)</f>
        <v>-</v>
      </c>
      <c r="AA11" s="216" t="str">
        <f>IF(Datos!AA47=0,"-",(Datos!AA39+Datos!AA40+Datos!AA41+Datos!AA42)*1000000/Datos!AA47)</f>
        <v>-</v>
      </c>
      <c r="AB11" s="216" t="str">
        <f>IF(Datos!AB47=0,"-",(Datos!AB39+Datos!AB40+Datos!AB41+Datos!AB42)*1000000/Datos!AB47)</f>
        <v>-</v>
      </c>
      <c r="AC11" s="216" t="str">
        <f>IF(Datos!AC47=0,"-",(Datos!AC39+Datos!AC40+Datos!AC41+Datos!AC42)*1000000/Datos!AC47)</f>
        <v>-</v>
      </c>
      <c r="AD11" s="216" t="str">
        <f>IF(Datos!AD47=0,"-",(Datos!AD39+Datos!AD40+Datos!AD41+Datos!AD42)*1000000/Datos!AD47)</f>
        <v>-</v>
      </c>
      <c r="AE11" s="216" t="str">
        <f>IF(Datos!AE47=0,"-",(Datos!AE39+Datos!AE40+Datos!AE41+Datos!AE42)*1000000/Datos!AE47)</f>
        <v>-</v>
      </c>
      <c r="AF11" s="216" t="str">
        <f>IF(Datos!AF47=0,"-",(Datos!AF39+Datos!AF40+Datos!AF41+Datos!AF42)*1000000/Datos!AF47)</f>
        <v>-</v>
      </c>
      <c r="AG11" s="216" t="str">
        <f>IF(Datos!AG47=0,"-",(Datos!AG39+Datos!AG40+Datos!AG41+Datos!AG42)*1000000/Datos!AG47)</f>
        <v>-</v>
      </c>
      <c r="AH11" s="216" t="str">
        <f>IF(Datos!AH47=0,"-",(Datos!AH39+Datos!AH40+Datos!AH41+Datos!AH42)*1000000/Datos!AH47)</f>
        <v>-</v>
      </c>
      <c r="AI11" s="216" t="str">
        <f>IF(Datos!AI47=0,"-",(Datos!AI39+Datos!AI40+Datos!AI41+Datos!AI42)*1000000/Datos!AI47)</f>
        <v>-</v>
      </c>
      <c r="AJ11" s="216" t="str">
        <f>IF(Datos!AJ47=0,"-",(Datos!AJ39+Datos!AJ40+Datos!AJ41+Datos!AJ42)*1000000/Datos!AJ47)</f>
        <v>-</v>
      </c>
      <c r="AK11" s="216" t="str">
        <f>IF(Datos!AK47=0,"-",(Datos!AK39+Datos!AK40+Datos!AK41+Datos!AK42)*1000000/Datos!AK47)</f>
        <v>-</v>
      </c>
      <c r="AL11" s="216" t="str">
        <f>IF(Datos!AL47=0,"-",(Datos!AL39+Datos!AL40+Datos!AL41+Datos!AL42)*1000000/Datos!AL47)</f>
        <v>-</v>
      </c>
    </row>
    <row r="12" spans="1:38" ht="18" customHeight="1" x14ac:dyDescent="0.3">
      <c r="A12" s="151" t="s">
        <v>121</v>
      </c>
      <c r="B12" s="143"/>
      <c r="C12" s="143"/>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row>
    <row r="13" spans="1:38" ht="31.5" customHeight="1" x14ac:dyDescent="0.3">
      <c r="A13" s="50" t="s">
        <v>1681</v>
      </c>
      <c r="B13" s="51" t="s">
        <v>122</v>
      </c>
      <c r="C13" s="215">
        <f>INDEX(_TARGETS!$F$2:$F$17,MATCH("OBS",_TARGETS!$A$2:$A$17,0))</f>
        <v>1</v>
      </c>
      <c r="D13" s="216">
        <f>IF(OR(Datos!D11=0,COUNT(Datos!D28:D29)=0),"-",SUM(Datos!D28:D29)/Datos!D11)</f>
        <v>0.380434782608696</v>
      </c>
      <c r="E13" s="216">
        <f>IF(OR(Datos!E11=0,COUNT(Datos!E28:E29)=0),"-",SUM(Datos!E28:E29)/Datos!E11)</f>
        <v>1.4390243902439</v>
      </c>
      <c r="F13" s="216" t="str">
        <f>IF(OR(Datos!F11=0,COUNT(Datos!F28:F29)=0),"-",SUM(Datos!F28:F29)/Datos!F11)</f>
        <v>-</v>
      </c>
      <c r="G13" s="216" t="str">
        <f>IF(OR(Datos!G11=0,COUNT(Datos!G28:G29)=0),"-",SUM(Datos!G28:G29)/Datos!G11)</f>
        <v>-</v>
      </c>
      <c r="H13" s="216" t="str">
        <f>IF(OR(Datos!H11=0,COUNT(Datos!H28:H29)=0),"-",SUM(Datos!H28:H29)/Datos!H11)</f>
        <v>-</v>
      </c>
      <c r="I13" s="216" t="str">
        <f>IF(OR(Datos!I11=0,COUNT(Datos!I28:I29)=0),"-",SUM(Datos!I28:I29)/Datos!I11)</f>
        <v>-</v>
      </c>
      <c r="J13" s="216" t="str">
        <f>IF(OR(Datos!J11=0,COUNT(Datos!J28:J29)=0),"-",SUM(Datos!J28:J29)/Datos!J11)</f>
        <v>-</v>
      </c>
      <c r="K13" s="216" t="str">
        <f>IF(OR(Datos!K11=0,COUNT(Datos!K28:K29)=0),"-",SUM(Datos!K28:K29)/Datos!K11)</f>
        <v>-</v>
      </c>
      <c r="L13" s="216" t="str">
        <f>IF(OR(Datos!L11=0,COUNT(Datos!L28:L29)=0),"-",SUM(Datos!L28:L29)/Datos!L11)</f>
        <v>-</v>
      </c>
      <c r="M13" s="216" t="str">
        <f>IF(OR(Datos!M11=0,COUNT(Datos!M28:M29)=0),"-",SUM(Datos!M28:M29)/Datos!M11)</f>
        <v>-</v>
      </c>
      <c r="N13" s="216" t="str">
        <f>IF(OR(Datos!N11=0,COUNT(Datos!N28:N29)=0),"-",SUM(Datos!N28:N29)/Datos!N11)</f>
        <v>-</v>
      </c>
      <c r="O13" s="216" t="str">
        <f>IF(OR(Datos!O11=0,COUNT(Datos!O28:O29)=0),"-",SUM(Datos!O28:O29)/Datos!O11)</f>
        <v>-</v>
      </c>
      <c r="P13" s="216" t="str">
        <f>IF(OR(Datos!P11=0,COUNT(Datos!P28:P29)=0),"-",SUM(Datos!P28:P29)/Datos!P11)</f>
        <v>-</v>
      </c>
      <c r="Q13" s="216" t="str">
        <f>IF(OR(Datos!Q11=0,COUNT(Datos!Q28:Q29)=0),"-",SUM(Datos!Q28:Q29)/Datos!Q11)</f>
        <v>-</v>
      </c>
      <c r="R13" s="216" t="str">
        <f>IF(OR(Datos!R11=0,COUNT(Datos!R28:R29)=0),"-",SUM(Datos!R28:R29)/Datos!R11)</f>
        <v>-</v>
      </c>
      <c r="S13" s="216" t="str">
        <f>IF(OR(Datos!S11=0,COUNT(Datos!S28:S29)=0),"-",SUM(Datos!S28:S29)/Datos!S11)</f>
        <v>-</v>
      </c>
      <c r="T13" s="216" t="str">
        <f>IF(OR(Datos!T11=0,COUNT(Datos!T28:T29)=0),"-",SUM(Datos!T28:T29)/Datos!T11)</f>
        <v>-</v>
      </c>
      <c r="U13" s="216" t="str">
        <f>IF(OR(Datos!U11=0,COUNT(Datos!U28:U29)=0),"-",SUM(Datos!U28:U29)/Datos!U11)</f>
        <v>-</v>
      </c>
      <c r="V13" s="216" t="str">
        <f>IF(OR(Datos!V11=0,COUNT(Datos!V28:V29)=0),"-",SUM(Datos!V28:V29)/Datos!V11)</f>
        <v>-</v>
      </c>
      <c r="W13" s="216" t="str">
        <f>IF(OR(Datos!W11=0,COUNT(Datos!W28:W29)=0),"-",SUM(Datos!W28:W29)/Datos!W11)</f>
        <v>-</v>
      </c>
      <c r="X13" s="216" t="str">
        <f>IF(OR(Datos!X11=0,COUNT(Datos!X28:X29)=0),"-",SUM(Datos!X28:X29)/Datos!X11)</f>
        <v>-</v>
      </c>
      <c r="Y13" s="216" t="str">
        <f>IF(OR(Datos!Y11=0,COUNT(Datos!Y28:Y29)=0),"-",SUM(Datos!Y28:Y29)/Datos!Y11)</f>
        <v>-</v>
      </c>
      <c r="Z13" s="216" t="str">
        <f>IF(OR(Datos!Z11=0,COUNT(Datos!Z28:Z29)=0),"-",SUM(Datos!Z28:Z29)/Datos!Z11)</f>
        <v>-</v>
      </c>
      <c r="AA13" s="216" t="str">
        <f>IF(OR(Datos!AA11=0,COUNT(Datos!AA28:AA29)=0),"-",SUM(Datos!AA28:AA29)/Datos!AA11)</f>
        <v>-</v>
      </c>
      <c r="AB13" s="216" t="str">
        <f>IF(OR(Datos!AB11=0,COUNT(Datos!AB28:AB29)=0),"-",SUM(Datos!AB28:AB29)/Datos!AB11)</f>
        <v>-</v>
      </c>
      <c r="AC13" s="216" t="str">
        <f>IF(OR(Datos!AC11=0,COUNT(Datos!AC28:AC29)=0),"-",SUM(Datos!AC28:AC29)/Datos!AC11)</f>
        <v>-</v>
      </c>
      <c r="AD13" s="216" t="str">
        <f>IF(OR(Datos!AD11=0,COUNT(Datos!AD28:AD29)=0),"-",SUM(Datos!AD28:AD29)/Datos!AD11)</f>
        <v>-</v>
      </c>
      <c r="AE13" s="216" t="str">
        <f>IF(OR(Datos!AE11=0,COUNT(Datos!AE28:AE29)=0),"-",SUM(Datos!AE28:AE29)/Datos!AE11)</f>
        <v>-</v>
      </c>
      <c r="AF13" s="216" t="str">
        <f>IF(OR(Datos!AF11=0,COUNT(Datos!AF28:AF29)=0),"-",SUM(Datos!AF28:AF29)/Datos!AF11)</f>
        <v>-</v>
      </c>
      <c r="AG13" s="216" t="str">
        <f>IF(OR(Datos!AG11=0,COUNT(Datos!AG28:AG29)=0),"-",SUM(Datos!AG28:AG29)/Datos!AG11)</f>
        <v>-</v>
      </c>
      <c r="AH13" s="216" t="str">
        <f>IF(OR(Datos!AH11=0,COUNT(Datos!AH28:AH29)=0),"-",SUM(Datos!AH28:AH29)/Datos!AH11)</f>
        <v>-</v>
      </c>
      <c r="AI13" s="216" t="str">
        <f>IF(OR(Datos!AI11=0,COUNT(Datos!AI28:AI29)=0),"-",SUM(Datos!AI28:AI29)/Datos!AI11)</f>
        <v>-</v>
      </c>
      <c r="AJ13" s="216" t="str">
        <f>IF(OR(Datos!AJ11=0,COUNT(Datos!AJ28:AJ29)=0),"-",SUM(Datos!AJ28:AJ29)/Datos!AJ11)</f>
        <v>-</v>
      </c>
      <c r="AK13" s="216" t="str">
        <f>IF(OR(Datos!AK11=0,COUNT(Datos!AK28:AK29)=0),"-",SUM(Datos!AK28:AK29)/Datos!AK11)</f>
        <v>-</v>
      </c>
      <c r="AL13" s="216" t="str">
        <f>IF(OR(Datos!AL11=0,COUNT(Datos!AL28:AL29)=0),"-",SUM(Datos!AL28:AL29)/Datos!AL11)</f>
        <v>-</v>
      </c>
    </row>
    <row r="14" spans="1:38" ht="31.5" customHeight="1" x14ac:dyDescent="0.3">
      <c r="A14" s="50" t="s">
        <v>1682</v>
      </c>
      <c r="B14" s="51" t="s">
        <v>123</v>
      </c>
      <c r="C14" s="219">
        <f>INDEX(_TARGETS!$F$2:$F$17,MATCH("INV",_TARGETS!$A$2:$A$17,0))</f>
        <v>20</v>
      </c>
      <c r="D14" s="220" t="str">
        <f>IF(Datos!D30=0,"-",Datos!D31/Datos!D30)</f>
        <v>-</v>
      </c>
      <c r="E14" s="220" t="str">
        <f>IF(Datos!E30=0,"-",Datos!E31/Datos!E30)</f>
        <v>-</v>
      </c>
      <c r="F14" s="220" t="str">
        <f>IF(Datos!F30=0,"-",Datos!F31/Datos!F30)</f>
        <v>-</v>
      </c>
      <c r="G14" s="220" t="str">
        <f>IF(Datos!G30=0,"-",Datos!G31/Datos!G30)</f>
        <v>-</v>
      </c>
      <c r="H14" s="220" t="str">
        <f>IF(Datos!H30=0,"-",Datos!H31/Datos!H30)</f>
        <v>-</v>
      </c>
      <c r="I14" s="220" t="str">
        <f>IF(Datos!I30=0,"-",Datos!I31/Datos!I30)</f>
        <v>-</v>
      </c>
      <c r="J14" s="220" t="str">
        <f>IF(Datos!J30=0,"-",Datos!J31/Datos!J30)</f>
        <v>-</v>
      </c>
      <c r="K14" s="220" t="str">
        <f>IF(Datos!K30=0,"-",Datos!K31/Datos!K30)</f>
        <v>-</v>
      </c>
      <c r="L14" s="220" t="str">
        <f>IF(Datos!L30=0,"-",Datos!L31/Datos!L30)</f>
        <v>-</v>
      </c>
      <c r="M14" s="220" t="str">
        <f>IF(Datos!M30=0,"-",Datos!M31/Datos!M30)</f>
        <v>-</v>
      </c>
      <c r="N14" s="220" t="str">
        <f>IF(Datos!N30=0,"-",Datos!N31/Datos!N30)</f>
        <v>-</v>
      </c>
      <c r="O14" s="220" t="str">
        <f>IF(Datos!O30=0,"-",Datos!O31/Datos!O30)</f>
        <v>-</v>
      </c>
      <c r="P14" s="220" t="str">
        <f>IF(Datos!P30=0,"-",Datos!P31/Datos!P30)</f>
        <v>-</v>
      </c>
      <c r="Q14" s="220" t="str">
        <f>IF(Datos!Q30=0,"-",Datos!Q31/Datos!Q30)</f>
        <v>-</v>
      </c>
      <c r="R14" s="220" t="str">
        <f>IF(Datos!R30=0,"-",Datos!R31/Datos!R30)</f>
        <v>-</v>
      </c>
      <c r="S14" s="220" t="str">
        <f>IF(Datos!S30=0,"-",Datos!S31/Datos!S30)</f>
        <v>-</v>
      </c>
      <c r="T14" s="220" t="str">
        <f>IF(Datos!T30=0,"-",Datos!T31/Datos!T30)</f>
        <v>-</v>
      </c>
      <c r="U14" s="220" t="str">
        <f>IF(Datos!U30=0,"-",Datos!U31/Datos!U30)</f>
        <v>-</v>
      </c>
      <c r="V14" s="220" t="str">
        <f>IF(Datos!V30=0,"-",Datos!V31/Datos!V30)</f>
        <v>-</v>
      </c>
      <c r="W14" s="220" t="str">
        <f>IF(Datos!W30=0,"-",Datos!W31/Datos!W30)</f>
        <v>-</v>
      </c>
      <c r="X14" s="220" t="str">
        <f>IF(Datos!X30=0,"-",Datos!X31/Datos!X30)</f>
        <v>-</v>
      </c>
      <c r="Y14" s="220" t="str">
        <f>IF(Datos!Y30=0,"-",Datos!Y31/Datos!Y30)</f>
        <v>-</v>
      </c>
      <c r="Z14" s="220" t="str">
        <f>IF(Datos!Z30=0,"-",Datos!Z31/Datos!Z30)</f>
        <v>-</v>
      </c>
      <c r="AA14" s="220" t="str">
        <f>IF(Datos!AA30=0,"-",Datos!AA31/Datos!AA30)</f>
        <v>-</v>
      </c>
      <c r="AB14" s="220" t="str">
        <f>IF(Datos!AB30=0,"-",Datos!AB31/Datos!AB30)</f>
        <v>-</v>
      </c>
      <c r="AC14" s="220" t="str">
        <f>IF(Datos!AC30=0,"-",Datos!AC31/Datos!AC30)</f>
        <v>-</v>
      </c>
      <c r="AD14" s="220" t="str">
        <f>IF(Datos!AD30=0,"-",Datos!AD31/Datos!AD30)</f>
        <v>-</v>
      </c>
      <c r="AE14" s="220" t="str">
        <f>IF(Datos!AE30=0,"-",Datos!AE31/Datos!AE30)</f>
        <v>-</v>
      </c>
      <c r="AF14" s="220" t="str">
        <f>IF(Datos!AF30=0,"-",Datos!AF31/Datos!AF30)</f>
        <v>-</v>
      </c>
      <c r="AG14" s="220" t="str">
        <f>IF(Datos!AG30=0,"-",Datos!AG31/Datos!AG30)</f>
        <v>-</v>
      </c>
      <c r="AH14" s="220" t="str">
        <f>IF(Datos!AH30=0,"-",Datos!AH31/Datos!AH30)</f>
        <v>-</v>
      </c>
      <c r="AI14" s="220" t="str">
        <f>IF(Datos!AI30=0,"-",Datos!AI31/Datos!AI30)</f>
        <v>-</v>
      </c>
      <c r="AJ14" s="220" t="str">
        <f>IF(Datos!AJ30=0,"-",Datos!AJ31/Datos!AJ30)</f>
        <v>-</v>
      </c>
      <c r="AK14" s="220" t="str">
        <f>IF(Datos!AK30=0,"-",Datos!AK31/Datos!AK30)</f>
        <v>-</v>
      </c>
      <c r="AL14" s="220" t="str">
        <f>IF(Datos!AL30=0,"-",Datos!AL31/Datos!AL30)</f>
        <v>-</v>
      </c>
    </row>
    <row r="15" spans="1:38" ht="18" customHeight="1" x14ac:dyDescent="0.3">
      <c r="A15" s="152" t="s">
        <v>124</v>
      </c>
      <c r="B15" s="143"/>
      <c r="C15" s="143"/>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row>
    <row r="16" spans="1:38" ht="31.5" customHeight="1" x14ac:dyDescent="0.3">
      <c r="A16" s="59" t="s">
        <v>1683</v>
      </c>
      <c r="B16" s="60" t="s">
        <v>125</v>
      </c>
      <c r="C16" s="221">
        <f>INDEX(_TARGETS!$F$2:$F$17,MATCH("HCS",_TARGETS!$A$2:$A$17,0))</f>
        <v>0.01</v>
      </c>
      <c r="D16" s="222">
        <f>IF(Datos!D14=0,"-",Datos!D18/Datos!D14)</f>
        <v>0.0548112058465286</v>
      </c>
      <c r="E16" s="222">
        <f>IF(Datos!E14=0,"-",Datos!E18/Datos!E14)</f>
        <v>0.03515625</v>
      </c>
      <c r="F16" s="222" t="str">
        <f>IF(Datos!F14=0,"-",Datos!F18/Datos!F14)</f>
        <v>-</v>
      </c>
      <c r="G16" s="222" t="str">
        <f>IF(Datos!G14=0,"-",Datos!G18/Datos!G14)</f>
        <v>-</v>
      </c>
      <c r="H16" s="222" t="str">
        <f>IF(Datos!H14=0,"-",Datos!H18/Datos!H14)</f>
        <v>-</v>
      </c>
      <c r="I16" s="222" t="str">
        <f>IF(Datos!I14=0,"-",Datos!I18/Datos!I14)</f>
        <v>-</v>
      </c>
      <c r="J16" s="222" t="str">
        <f>IF(Datos!J14=0,"-",Datos!J18/Datos!J14)</f>
        <v>-</v>
      </c>
      <c r="K16" s="222" t="str">
        <f>IF(Datos!K14=0,"-",Datos!K18/Datos!K14)</f>
        <v>-</v>
      </c>
      <c r="L16" s="222" t="str">
        <f>IF(Datos!L14=0,"-",Datos!L18/Datos!L14)</f>
        <v>-</v>
      </c>
      <c r="M16" s="222" t="str">
        <f>IF(Datos!M14=0,"-",Datos!M18/Datos!M14)</f>
        <v>-</v>
      </c>
      <c r="N16" s="222" t="str">
        <f>IF(Datos!N14=0,"-",Datos!N18/Datos!N14)</f>
        <v>-</v>
      </c>
      <c r="O16" s="222" t="str">
        <f>IF(Datos!O14=0,"-",Datos!O18/Datos!O14)</f>
        <v>-</v>
      </c>
      <c r="P16" s="222" t="str">
        <f>IF(Datos!P14=0,"-",Datos!P18/Datos!P14)</f>
        <v>-</v>
      </c>
      <c r="Q16" s="222" t="str">
        <f>IF(Datos!Q14=0,"-",Datos!Q18/Datos!Q14)</f>
        <v>-</v>
      </c>
      <c r="R16" s="222" t="str">
        <f>IF(Datos!R14=0,"-",Datos!R18/Datos!R14)</f>
        <v>-</v>
      </c>
      <c r="S16" s="222" t="str">
        <f>IF(Datos!S14=0,"-",Datos!S18/Datos!S14)</f>
        <v>-</v>
      </c>
      <c r="T16" s="222" t="str">
        <f>IF(Datos!T14=0,"-",Datos!T18/Datos!T14)</f>
        <v>-</v>
      </c>
      <c r="U16" s="222" t="str">
        <f>IF(Datos!U14=0,"-",Datos!U18/Datos!U14)</f>
        <v>-</v>
      </c>
      <c r="V16" s="222" t="str">
        <f>IF(Datos!V14=0,"-",Datos!V18/Datos!V14)</f>
        <v>-</v>
      </c>
      <c r="W16" s="222" t="str">
        <f>IF(Datos!W14=0,"-",Datos!W18/Datos!W14)</f>
        <v>-</v>
      </c>
      <c r="X16" s="222" t="str">
        <f>IF(Datos!X14=0,"-",Datos!X18/Datos!X14)</f>
        <v>-</v>
      </c>
      <c r="Y16" s="222" t="str">
        <f>IF(Datos!Y14=0,"-",Datos!Y18/Datos!Y14)</f>
        <v>-</v>
      </c>
      <c r="Z16" s="222" t="str">
        <f>IF(Datos!Z14=0,"-",Datos!Z18/Datos!Z14)</f>
        <v>-</v>
      </c>
      <c r="AA16" s="222" t="str">
        <f>IF(Datos!AA14=0,"-",Datos!AA18/Datos!AA14)</f>
        <v>-</v>
      </c>
      <c r="AB16" s="222" t="str">
        <f>IF(Datos!AB14=0,"-",Datos!AB18/Datos!AB14)</f>
        <v>-</v>
      </c>
      <c r="AC16" s="222" t="str">
        <f>IF(Datos!AC14=0,"-",Datos!AC18/Datos!AC14)</f>
        <v>-</v>
      </c>
      <c r="AD16" s="222" t="str">
        <f>IF(Datos!AD14=0,"-",Datos!AD18/Datos!AD14)</f>
        <v>-</v>
      </c>
      <c r="AE16" s="222" t="str">
        <f>IF(Datos!AE14=0,"-",Datos!AE18/Datos!AE14)</f>
        <v>-</v>
      </c>
      <c r="AF16" s="222" t="str">
        <f>IF(Datos!AF14=0,"-",Datos!AF18/Datos!AF14)</f>
        <v>-</v>
      </c>
      <c r="AG16" s="222" t="str">
        <f>IF(Datos!AG14=0,"-",Datos!AG18/Datos!AG14)</f>
        <v>-</v>
      </c>
      <c r="AH16" s="222" t="str">
        <f>IF(Datos!AH14=0,"-",Datos!AH18/Datos!AH14)</f>
        <v>-</v>
      </c>
      <c r="AI16" s="222" t="str">
        <f>IF(Datos!AI14=0,"-",Datos!AI18/Datos!AI14)</f>
        <v>-</v>
      </c>
      <c r="AJ16" s="222" t="str">
        <f>IF(Datos!AJ14=0,"-",Datos!AJ18/Datos!AJ14)</f>
        <v>-</v>
      </c>
      <c r="AK16" s="222" t="str">
        <f>IF(Datos!AK14=0,"-",Datos!AK18/Datos!AK14)</f>
        <v>-</v>
      </c>
      <c r="AL16" s="222" t="str">
        <f>IF(Datos!AL14=0,"-",Datos!AL18/Datos!AL14)</f>
        <v>-</v>
      </c>
    </row>
    <row r="17" spans="1:38" ht="31.5" customHeight="1" x14ac:dyDescent="0.3">
      <c r="A17" s="59" t="s">
        <v>1684</v>
      </c>
      <c r="B17" s="60" t="s">
        <v>126</v>
      </c>
      <c r="C17" s="223" t="str">
        <f>INDEX(_TARGETS!$F$2:$F$17,MATCH("HCSA",_TARGETS!$A$2:$A$17,0))</f>
        <v>Reporte</v>
      </c>
      <c r="D17" s="216">
        <f>IF(Datos!D11=0,"-",Datos!D18/Datos!D11)</f>
        <v>13.695652173913</v>
      </c>
      <c r="E17" s="216">
        <f>IF(Datos!E11=0,"-",Datos!E18/Datos!E11)</f>
        <v>7.24390243902439</v>
      </c>
      <c r="F17" s="216" t="str">
        <f>IF(Datos!F11=0,"-",Datos!F18/Datos!F11)</f>
        <v>-</v>
      </c>
      <c r="G17" s="216" t="str">
        <f>IF(Datos!G11=0,"-",Datos!G18/Datos!G11)</f>
        <v>-</v>
      </c>
      <c r="H17" s="216" t="str">
        <f>IF(Datos!H11=0,"-",Datos!H18/Datos!H11)</f>
        <v>-</v>
      </c>
      <c r="I17" s="216" t="str">
        <f>IF(Datos!I11=0,"-",Datos!I18/Datos!I11)</f>
        <v>-</v>
      </c>
      <c r="J17" s="216" t="str">
        <f>IF(Datos!J11=0,"-",Datos!J18/Datos!J11)</f>
        <v>-</v>
      </c>
      <c r="K17" s="216" t="str">
        <f>IF(Datos!K11=0,"-",Datos!K18/Datos!K11)</f>
        <v>-</v>
      </c>
      <c r="L17" s="216" t="str">
        <f>IF(Datos!L11=0,"-",Datos!L18/Datos!L11)</f>
        <v>-</v>
      </c>
      <c r="M17" s="216" t="str">
        <f>IF(Datos!M11=0,"-",Datos!M18/Datos!M11)</f>
        <v>-</v>
      </c>
      <c r="N17" s="216" t="str">
        <f>IF(Datos!N11=0,"-",Datos!N18/Datos!N11)</f>
        <v>-</v>
      </c>
      <c r="O17" s="216" t="str">
        <f>IF(Datos!O11=0,"-",Datos!O18/Datos!O11)</f>
        <v>-</v>
      </c>
      <c r="P17" s="216" t="str">
        <f>IF(Datos!P11=0,"-",Datos!P18/Datos!P11)</f>
        <v>-</v>
      </c>
      <c r="Q17" s="216" t="str">
        <f>IF(Datos!Q11=0,"-",Datos!Q18/Datos!Q11)</f>
        <v>-</v>
      </c>
      <c r="R17" s="216" t="str">
        <f>IF(Datos!R11=0,"-",Datos!R18/Datos!R11)</f>
        <v>-</v>
      </c>
      <c r="S17" s="216" t="str">
        <f>IF(Datos!S11=0,"-",Datos!S18/Datos!S11)</f>
        <v>-</v>
      </c>
      <c r="T17" s="216" t="str">
        <f>IF(Datos!T11=0,"-",Datos!T18/Datos!T11)</f>
        <v>-</v>
      </c>
      <c r="U17" s="216" t="str">
        <f>IF(Datos!U11=0,"-",Datos!U18/Datos!U11)</f>
        <v>-</v>
      </c>
      <c r="V17" s="216" t="str">
        <f>IF(Datos!V11=0,"-",Datos!V18/Datos!V11)</f>
        <v>-</v>
      </c>
      <c r="W17" s="216" t="str">
        <f>IF(Datos!W11=0,"-",Datos!W18/Datos!W11)</f>
        <v>-</v>
      </c>
      <c r="X17" s="216" t="str">
        <f>IF(Datos!X11=0,"-",Datos!X18/Datos!X11)</f>
        <v>-</v>
      </c>
      <c r="Y17" s="216" t="str">
        <f>IF(Datos!Y11=0,"-",Datos!Y18/Datos!Y11)</f>
        <v>-</v>
      </c>
      <c r="Z17" s="216" t="str">
        <f>IF(Datos!Z11=0,"-",Datos!Z18/Datos!Z11)</f>
        <v>-</v>
      </c>
      <c r="AA17" s="216" t="str">
        <f>IF(Datos!AA11=0,"-",Datos!AA18/Datos!AA11)</f>
        <v>-</v>
      </c>
      <c r="AB17" s="216" t="str">
        <f>IF(Datos!AB11=0,"-",Datos!AB18/Datos!AB11)</f>
        <v>-</v>
      </c>
      <c r="AC17" s="216" t="str">
        <f>IF(Datos!AC11=0,"-",Datos!AC18/Datos!AC11)</f>
        <v>-</v>
      </c>
      <c r="AD17" s="216" t="str">
        <f>IF(Datos!AD11=0,"-",Datos!AD18/Datos!AD11)</f>
        <v>-</v>
      </c>
      <c r="AE17" s="216" t="str">
        <f>IF(Datos!AE11=0,"-",Datos!AE18/Datos!AE11)</f>
        <v>-</v>
      </c>
      <c r="AF17" s="216" t="str">
        <f>IF(Datos!AF11=0,"-",Datos!AF18/Datos!AF11)</f>
        <v>-</v>
      </c>
      <c r="AG17" s="216" t="str">
        <f>IF(Datos!AG11=0,"-",Datos!AG18/Datos!AG11)</f>
        <v>-</v>
      </c>
      <c r="AH17" s="216" t="str">
        <f>IF(Datos!AH11=0,"-",Datos!AH18/Datos!AH11)</f>
        <v>-</v>
      </c>
      <c r="AI17" s="216" t="str">
        <f>IF(Datos!AI11=0,"-",Datos!AI18/Datos!AI11)</f>
        <v>-</v>
      </c>
      <c r="AJ17" s="216" t="str">
        <f>IF(Datos!AJ11=0,"-",Datos!AJ18/Datos!AJ11)</f>
        <v>-</v>
      </c>
      <c r="AK17" s="216" t="str">
        <f>IF(Datos!AK11=0,"-",Datos!AK18/Datos!AK11)</f>
        <v>-</v>
      </c>
      <c r="AL17" s="216" t="str">
        <f>IF(Datos!AL11=0,"-",Datos!AL18/Datos!AL11)</f>
        <v>-</v>
      </c>
    </row>
    <row r="18" spans="1:38" ht="31.5" customHeight="1" x14ac:dyDescent="0.3">
      <c r="A18" s="59" t="s">
        <v>1685</v>
      </c>
      <c r="B18" s="60" t="s">
        <v>127</v>
      </c>
      <c r="C18" s="224">
        <f>INDEX(_TARGETS!$F$2:$F$17,MATCH("CPSE",_TARGETS!$A$2:$A$17,0))</f>
        <v>1</v>
      </c>
      <c r="D18" s="225">
        <f>IF(Datos!D21=0,"-",Datos!D20/Datos!D21)</f>
        <v>1</v>
      </c>
      <c r="E18" s="225">
        <f>IF(Datos!E21=0,"-",Datos!E20/Datos!E21)</f>
        <v>1</v>
      </c>
      <c r="F18" s="225" t="str">
        <f>IF(Datos!F21=0,"-",Datos!F20/Datos!F21)</f>
        <v>-</v>
      </c>
      <c r="G18" s="225" t="str">
        <f>IF(Datos!G21=0,"-",Datos!G20/Datos!G21)</f>
        <v>-</v>
      </c>
      <c r="H18" s="225" t="str">
        <f>IF(Datos!H21=0,"-",Datos!H20/Datos!H21)</f>
        <v>-</v>
      </c>
      <c r="I18" s="225" t="str">
        <f>IF(Datos!I21=0,"-",Datos!I20/Datos!I21)</f>
        <v>-</v>
      </c>
      <c r="J18" s="225" t="str">
        <f>IF(Datos!J21=0,"-",Datos!J20/Datos!J21)</f>
        <v>-</v>
      </c>
      <c r="K18" s="225" t="str">
        <f>IF(Datos!K21=0,"-",Datos!K20/Datos!K21)</f>
        <v>-</v>
      </c>
      <c r="L18" s="225" t="str">
        <f>IF(Datos!L21=0,"-",Datos!L20/Datos!L21)</f>
        <v>-</v>
      </c>
      <c r="M18" s="225" t="str">
        <f>IF(Datos!M21=0,"-",Datos!M20/Datos!M21)</f>
        <v>-</v>
      </c>
      <c r="N18" s="225" t="str">
        <f>IF(Datos!N21=0,"-",Datos!N20/Datos!N21)</f>
        <v>-</v>
      </c>
      <c r="O18" s="225" t="str">
        <f>IF(Datos!O21=0,"-",Datos!O20/Datos!O21)</f>
        <v>-</v>
      </c>
      <c r="P18" s="225" t="str">
        <f>IF(Datos!P21=0,"-",Datos!P20/Datos!P21)</f>
        <v>-</v>
      </c>
      <c r="Q18" s="225" t="str">
        <f>IF(Datos!Q21=0,"-",Datos!Q20/Datos!Q21)</f>
        <v>-</v>
      </c>
      <c r="R18" s="225" t="str">
        <f>IF(Datos!R21=0,"-",Datos!R20/Datos!R21)</f>
        <v>-</v>
      </c>
      <c r="S18" s="225" t="str">
        <f>IF(Datos!S21=0,"-",Datos!S20/Datos!S21)</f>
        <v>-</v>
      </c>
      <c r="T18" s="225" t="str">
        <f>IF(Datos!T21=0,"-",Datos!T20/Datos!T21)</f>
        <v>-</v>
      </c>
      <c r="U18" s="225" t="str">
        <f>IF(Datos!U21=0,"-",Datos!U20/Datos!U21)</f>
        <v>-</v>
      </c>
      <c r="V18" s="225" t="str">
        <f>IF(Datos!V21=0,"-",Datos!V20/Datos!V21)</f>
        <v>-</v>
      </c>
      <c r="W18" s="225" t="str">
        <f>IF(Datos!W21=0,"-",Datos!W20/Datos!W21)</f>
        <v>-</v>
      </c>
      <c r="X18" s="225" t="str">
        <f>IF(Datos!X21=0,"-",Datos!X20/Datos!X21)</f>
        <v>-</v>
      </c>
      <c r="Y18" s="225" t="str">
        <f>IF(Datos!Y21=0,"-",Datos!Y20/Datos!Y21)</f>
        <v>-</v>
      </c>
      <c r="Z18" s="225" t="str">
        <f>IF(Datos!Z21=0,"-",Datos!Z20/Datos!Z21)</f>
        <v>-</v>
      </c>
      <c r="AA18" s="225" t="str">
        <f>IF(Datos!AA21=0,"-",Datos!AA20/Datos!AA21)</f>
        <v>-</v>
      </c>
      <c r="AB18" s="225" t="str">
        <f>IF(Datos!AB21=0,"-",Datos!AB20/Datos!AB21)</f>
        <v>-</v>
      </c>
      <c r="AC18" s="225" t="str">
        <f>IF(Datos!AC21=0,"-",Datos!AC20/Datos!AC21)</f>
        <v>-</v>
      </c>
      <c r="AD18" s="225" t="str">
        <f>IF(Datos!AD21=0,"-",Datos!AD20/Datos!AD21)</f>
        <v>-</v>
      </c>
      <c r="AE18" s="225" t="str">
        <f>IF(Datos!AE21=0,"-",Datos!AE20/Datos!AE21)</f>
        <v>-</v>
      </c>
      <c r="AF18" s="225" t="str">
        <f>IF(Datos!AF21=0,"-",Datos!AF20/Datos!AF21)</f>
        <v>-</v>
      </c>
      <c r="AG18" s="225" t="str">
        <f>IF(Datos!AG21=0,"-",Datos!AG20/Datos!AG21)</f>
        <v>-</v>
      </c>
      <c r="AH18" s="225" t="str">
        <f>IF(Datos!AH21=0,"-",Datos!AH20/Datos!AH21)</f>
        <v>-</v>
      </c>
      <c r="AI18" s="225" t="str">
        <f>IF(Datos!AI21=0,"-",Datos!AI20/Datos!AI21)</f>
        <v>-</v>
      </c>
      <c r="AJ18" s="225" t="str">
        <f>IF(Datos!AJ21=0,"-",Datos!AJ20/Datos!AJ21)</f>
        <v>-</v>
      </c>
      <c r="AK18" s="225" t="str">
        <f>IF(Datos!AK21=0,"-",Datos!AK20/Datos!AK21)</f>
        <v>-</v>
      </c>
      <c r="AL18" s="225" t="str">
        <f>IF(Datos!AL21=0,"-",Datos!AL20/Datos!AL21)</f>
        <v>-</v>
      </c>
    </row>
    <row r="19" spans="1:38" ht="31.5" customHeight="1" x14ac:dyDescent="0.3">
      <c r="A19" s="59" t="s">
        <v>1686</v>
      </c>
      <c r="B19" s="60" t="s">
        <v>128</v>
      </c>
      <c r="C19" s="226" t="str">
        <f>INDEX(_TARGETS!$F$2:$F$17,MATCH("CAMS",_TARGETS!$A$2:$A$17,0))</f>
        <v>Reporte</v>
      </c>
      <c r="D19" s="225" t="str">
        <f>IF(Datos!D22=0,"-",Datos!D23/Datos!D22)</f>
        <v>-</v>
      </c>
      <c r="E19" s="225">
        <f>IF(Datos!E22=0,"-",Datos!E23/Datos!E22)</f>
        <v>1</v>
      </c>
      <c r="F19" s="225" t="str">
        <f>IF(Datos!F22=0,"-",Datos!F23/Datos!F22)</f>
        <v>-</v>
      </c>
      <c r="G19" s="225" t="str">
        <f>IF(Datos!G22=0,"-",Datos!G23/Datos!G22)</f>
        <v>-</v>
      </c>
      <c r="H19" s="225" t="str">
        <f>IF(Datos!H22=0,"-",Datos!H23/Datos!H22)</f>
        <v>-</v>
      </c>
      <c r="I19" s="225" t="str">
        <f>IF(Datos!I22=0,"-",Datos!I23/Datos!I22)</f>
        <v>-</v>
      </c>
      <c r="J19" s="225" t="str">
        <f>IF(Datos!J22=0,"-",Datos!J23/Datos!J22)</f>
        <v>-</v>
      </c>
      <c r="K19" s="225" t="str">
        <f>IF(Datos!K22=0,"-",Datos!K23/Datos!K22)</f>
        <v>-</v>
      </c>
      <c r="L19" s="225" t="str">
        <f>IF(Datos!L22=0,"-",Datos!L23/Datos!L22)</f>
        <v>-</v>
      </c>
      <c r="M19" s="225" t="str">
        <f>IF(Datos!M22=0,"-",Datos!M23/Datos!M22)</f>
        <v>-</v>
      </c>
      <c r="N19" s="225" t="str">
        <f>IF(Datos!N22=0,"-",Datos!N23/Datos!N22)</f>
        <v>-</v>
      </c>
      <c r="O19" s="225" t="str">
        <f>IF(Datos!O22=0,"-",Datos!O23/Datos!O22)</f>
        <v>-</v>
      </c>
      <c r="P19" s="225" t="str">
        <f>IF(Datos!P22=0,"-",Datos!P23/Datos!P22)</f>
        <v>-</v>
      </c>
      <c r="Q19" s="225" t="str">
        <f>IF(Datos!Q22=0,"-",Datos!Q23/Datos!Q22)</f>
        <v>-</v>
      </c>
      <c r="R19" s="225" t="str">
        <f>IF(Datos!R22=0,"-",Datos!R23/Datos!R22)</f>
        <v>-</v>
      </c>
      <c r="S19" s="225" t="str">
        <f>IF(Datos!S22=0,"-",Datos!S23/Datos!S22)</f>
        <v>-</v>
      </c>
      <c r="T19" s="225" t="str">
        <f>IF(Datos!T22=0,"-",Datos!T23/Datos!T22)</f>
        <v>-</v>
      </c>
      <c r="U19" s="225" t="str">
        <f>IF(Datos!U22=0,"-",Datos!U23/Datos!U22)</f>
        <v>-</v>
      </c>
      <c r="V19" s="225" t="str">
        <f>IF(Datos!V22=0,"-",Datos!V23/Datos!V22)</f>
        <v>-</v>
      </c>
      <c r="W19" s="225" t="str">
        <f>IF(Datos!W22=0,"-",Datos!W23/Datos!W22)</f>
        <v>-</v>
      </c>
      <c r="X19" s="225" t="str">
        <f>IF(Datos!X22=0,"-",Datos!X23/Datos!X22)</f>
        <v>-</v>
      </c>
      <c r="Y19" s="225" t="str">
        <f>IF(Datos!Y22=0,"-",Datos!Y23/Datos!Y22)</f>
        <v>-</v>
      </c>
      <c r="Z19" s="225" t="str">
        <f>IF(Datos!Z22=0,"-",Datos!Z23/Datos!Z22)</f>
        <v>-</v>
      </c>
      <c r="AA19" s="225" t="str">
        <f>IF(Datos!AA22=0,"-",Datos!AA23/Datos!AA22)</f>
        <v>-</v>
      </c>
      <c r="AB19" s="225" t="str">
        <f>IF(Datos!AB22=0,"-",Datos!AB23/Datos!AB22)</f>
        <v>-</v>
      </c>
      <c r="AC19" s="225" t="str">
        <f>IF(Datos!AC22=0,"-",Datos!AC23/Datos!AC22)</f>
        <v>-</v>
      </c>
      <c r="AD19" s="225" t="str">
        <f>IF(Datos!AD22=0,"-",Datos!AD23/Datos!AD22)</f>
        <v>-</v>
      </c>
      <c r="AE19" s="225" t="str">
        <f>IF(Datos!AE22=0,"-",Datos!AE23/Datos!AE22)</f>
        <v>-</v>
      </c>
      <c r="AF19" s="225" t="str">
        <f>IF(Datos!AF22=0,"-",Datos!AF23/Datos!AF22)</f>
        <v>-</v>
      </c>
      <c r="AG19" s="225" t="str">
        <f>IF(Datos!AG22=0,"-",Datos!AG23/Datos!AG22)</f>
        <v>-</v>
      </c>
      <c r="AH19" s="225" t="str">
        <f>IF(Datos!AH22=0,"-",Datos!AH23/Datos!AH22)</f>
        <v>-</v>
      </c>
      <c r="AI19" s="225" t="str">
        <f>IF(Datos!AI22=0,"-",Datos!AI23/Datos!AI22)</f>
        <v>-</v>
      </c>
      <c r="AJ19" s="225" t="str">
        <f>IF(Datos!AJ22=0,"-",Datos!AJ23/Datos!AJ22)</f>
        <v>-</v>
      </c>
      <c r="AK19" s="225" t="str">
        <f>IF(Datos!AK22=0,"-",Datos!AK23/Datos!AK22)</f>
        <v>-</v>
      </c>
      <c r="AL19" s="225" t="str">
        <f>IF(Datos!AL22=0,"-",Datos!AL23/Datos!AL22)</f>
        <v>-</v>
      </c>
    </row>
    <row r="20" spans="1:38" ht="18" customHeight="1" x14ac:dyDescent="0.3">
      <c r="A20" s="152" t="s">
        <v>129</v>
      </c>
      <c r="B20" s="143"/>
      <c r="C20" s="143"/>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row>
    <row r="21" spans="1:38" ht="31.5" customHeight="1" x14ac:dyDescent="0.3">
      <c r="A21" s="59" t="s">
        <v>1687</v>
      </c>
      <c r="B21" s="60" t="s">
        <v>130</v>
      </c>
      <c r="C21" s="226">
        <f>INDEX(_TARGETS!$F$2:$F$17,MATCH("ICCS",_TARGETS!$A$2:$A$17,0))</f>
        <v>1</v>
      </c>
      <c r="D21" s="225" t="str">
        <f>IF(Datos!D25=0,"-",Datos!D24/Datos!D25)</f>
        <v>-</v>
      </c>
      <c r="E21" s="225">
        <f>IF(Datos!E25=0,"-",Datos!E24/Datos!E25)</f>
        <v>1</v>
      </c>
      <c r="F21" s="225" t="str">
        <f>IF(Datos!F25=0,"-",Datos!F24/Datos!F25)</f>
        <v>-</v>
      </c>
      <c r="G21" s="225" t="str">
        <f>IF(Datos!G25=0,"-",Datos!G24/Datos!G25)</f>
        <v>-</v>
      </c>
      <c r="H21" s="225" t="str">
        <f>IF(Datos!H25=0,"-",Datos!H24/Datos!H25)</f>
        <v>-</v>
      </c>
      <c r="I21" s="225" t="str">
        <f>IF(Datos!I25=0,"-",Datos!I24/Datos!I25)</f>
        <v>-</v>
      </c>
      <c r="J21" s="225" t="str">
        <f>IF(Datos!J25=0,"-",Datos!J24/Datos!J25)</f>
        <v>-</v>
      </c>
      <c r="K21" s="225" t="str">
        <f>IF(Datos!K25=0,"-",Datos!K24/Datos!K25)</f>
        <v>-</v>
      </c>
      <c r="L21" s="225" t="str">
        <f>IF(Datos!L25=0,"-",Datos!L24/Datos!L25)</f>
        <v>-</v>
      </c>
      <c r="M21" s="225" t="str">
        <f>IF(Datos!M25=0,"-",Datos!M24/Datos!M25)</f>
        <v>-</v>
      </c>
      <c r="N21" s="225" t="str">
        <f>IF(Datos!N25=0,"-",Datos!N24/Datos!N25)</f>
        <v>-</v>
      </c>
      <c r="O21" s="225" t="str">
        <f>IF(Datos!O25=0,"-",Datos!O24/Datos!O25)</f>
        <v>-</v>
      </c>
      <c r="P21" s="225" t="str">
        <f>IF(Datos!P25=0,"-",Datos!P24/Datos!P25)</f>
        <v>-</v>
      </c>
      <c r="Q21" s="225" t="str">
        <f>IF(Datos!Q25=0,"-",Datos!Q24/Datos!Q25)</f>
        <v>-</v>
      </c>
      <c r="R21" s="225" t="str">
        <f>IF(Datos!R25=0,"-",Datos!R24/Datos!R25)</f>
        <v>-</v>
      </c>
      <c r="S21" s="225" t="str">
        <f>IF(Datos!S25=0,"-",Datos!S24/Datos!S25)</f>
        <v>-</v>
      </c>
      <c r="T21" s="225" t="str">
        <f>IF(Datos!T25=0,"-",Datos!T24/Datos!T25)</f>
        <v>-</v>
      </c>
      <c r="U21" s="225" t="str">
        <f>IF(Datos!U25=0,"-",Datos!U24/Datos!U25)</f>
        <v>-</v>
      </c>
      <c r="V21" s="225" t="str">
        <f>IF(Datos!V25=0,"-",Datos!V24/Datos!V25)</f>
        <v>-</v>
      </c>
      <c r="W21" s="225" t="str">
        <f>IF(Datos!W25=0,"-",Datos!W24/Datos!W25)</f>
        <v>-</v>
      </c>
      <c r="X21" s="225" t="str">
        <f>IF(Datos!X25=0,"-",Datos!X24/Datos!X25)</f>
        <v>-</v>
      </c>
      <c r="Y21" s="225" t="str">
        <f>IF(Datos!Y25=0,"-",Datos!Y24/Datos!Y25)</f>
        <v>-</v>
      </c>
      <c r="Z21" s="225" t="str">
        <f>IF(Datos!Z25=0,"-",Datos!Z24/Datos!Z25)</f>
        <v>-</v>
      </c>
      <c r="AA21" s="225" t="str">
        <f>IF(Datos!AA25=0,"-",Datos!AA24/Datos!AA25)</f>
        <v>-</v>
      </c>
      <c r="AB21" s="225" t="str">
        <f>IF(Datos!AB25=0,"-",Datos!AB24/Datos!AB25)</f>
        <v>-</v>
      </c>
      <c r="AC21" s="225" t="str">
        <f>IF(Datos!AC25=0,"-",Datos!AC24/Datos!AC25)</f>
        <v>-</v>
      </c>
      <c r="AD21" s="225" t="str">
        <f>IF(Datos!AD25=0,"-",Datos!AD24/Datos!AD25)</f>
        <v>-</v>
      </c>
      <c r="AE21" s="225" t="str">
        <f>IF(Datos!AE25=0,"-",Datos!AE24/Datos!AE25)</f>
        <v>-</v>
      </c>
      <c r="AF21" s="225" t="str">
        <f>IF(Datos!AF25=0,"-",Datos!AF24/Datos!AF25)</f>
        <v>-</v>
      </c>
      <c r="AG21" s="225" t="str">
        <f>IF(Datos!AG25=0,"-",Datos!AG24/Datos!AG25)</f>
        <v>-</v>
      </c>
      <c r="AH21" s="225" t="str">
        <f>IF(Datos!AH25=0,"-",Datos!AH24/Datos!AH25)</f>
        <v>-</v>
      </c>
      <c r="AI21" s="225" t="str">
        <f>IF(Datos!AI25=0,"-",Datos!AI24/Datos!AI25)</f>
        <v>-</v>
      </c>
      <c r="AJ21" s="225" t="str">
        <f>IF(Datos!AJ25=0,"-",Datos!AJ24/Datos!AJ25)</f>
        <v>-</v>
      </c>
      <c r="AK21" s="225" t="str">
        <f>IF(Datos!AK25=0,"-",Datos!AK24/Datos!AK25)</f>
        <v>-</v>
      </c>
      <c r="AL21" s="225" t="str">
        <f>IF(Datos!AL25=0,"-",Datos!AL24/Datos!AL25)</f>
        <v>-</v>
      </c>
    </row>
    <row r="22" spans="1:38" ht="31.5" customHeight="1" x14ac:dyDescent="0.3">
      <c r="A22" s="59" t="s">
        <v>1688</v>
      </c>
      <c r="B22" s="60" t="s">
        <v>131</v>
      </c>
      <c r="C22" s="226">
        <f>INDEX(_TARGETS!$F$2:$F$17,MATCH("CCS",_TARGETS!$A$2:$A$17,0))</f>
        <v>1</v>
      </c>
      <c r="D22" s="225" t="str">
        <f>IF(Datos!D27=0,"-",Datos!D26/Datos!D27)</f>
        <v>-</v>
      </c>
      <c r="E22" s="225">
        <f>IF(Datos!E27=0,"-",Datos!E26/Datos!E27)</f>
        <v>1</v>
      </c>
      <c r="F22" s="225" t="str">
        <f>IF(Datos!F27=0,"-",Datos!F26/Datos!F27)</f>
        <v>-</v>
      </c>
      <c r="G22" s="225" t="str">
        <f>IF(Datos!G27=0,"-",Datos!G26/Datos!G27)</f>
        <v>-</v>
      </c>
      <c r="H22" s="225" t="str">
        <f>IF(Datos!H27=0,"-",Datos!H26/Datos!H27)</f>
        <v>-</v>
      </c>
      <c r="I22" s="225" t="str">
        <f>IF(Datos!I27=0,"-",Datos!I26/Datos!I27)</f>
        <v>-</v>
      </c>
      <c r="J22" s="225" t="str">
        <f>IF(Datos!J27=0,"-",Datos!J26/Datos!J27)</f>
        <v>-</v>
      </c>
      <c r="K22" s="225" t="str">
        <f>IF(Datos!K27=0,"-",Datos!K26/Datos!K27)</f>
        <v>-</v>
      </c>
      <c r="L22" s="225" t="str">
        <f>IF(Datos!L27=0,"-",Datos!L26/Datos!L27)</f>
        <v>-</v>
      </c>
      <c r="M22" s="225" t="str">
        <f>IF(Datos!M27=0,"-",Datos!M26/Datos!M27)</f>
        <v>-</v>
      </c>
      <c r="N22" s="225" t="str">
        <f>IF(Datos!N27=0,"-",Datos!N26/Datos!N27)</f>
        <v>-</v>
      </c>
      <c r="O22" s="225" t="str">
        <f>IF(Datos!O27=0,"-",Datos!O26/Datos!O27)</f>
        <v>-</v>
      </c>
      <c r="P22" s="225" t="str">
        <f>IF(Datos!P27=0,"-",Datos!P26/Datos!P27)</f>
        <v>-</v>
      </c>
      <c r="Q22" s="225" t="str">
        <f>IF(Datos!Q27=0,"-",Datos!Q26/Datos!Q27)</f>
        <v>-</v>
      </c>
      <c r="R22" s="225" t="str">
        <f>IF(Datos!R27=0,"-",Datos!R26/Datos!R27)</f>
        <v>-</v>
      </c>
      <c r="S22" s="225" t="str">
        <f>IF(Datos!S27=0,"-",Datos!S26/Datos!S27)</f>
        <v>-</v>
      </c>
      <c r="T22" s="225" t="str">
        <f>IF(Datos!T27=0,"-",Datos!T26/Datos!T27)</f>
        <v>-</v>
      </c>
      <c r="U22" s="225" t="str">
        <f>IF(Datos!U27=0,"-",Datos!U26/Datos!U27)</f>
        <v>-</v>
      </c>
      <c r="V22" s="225" t="str">
        <f>IF(Datos!V27=0,"-",Datos!V26/Datos!V27)</f>
        <v>-</v>
      </c>
      <c r="W22" s="225" t="str">
        <f>IF(Datos!W27=0,"-",Datos!W26/Datos!W27)</f>
        <v>-</v>
      </c>
      <c r="X22" s="225" t="str">
        <f>IF(Datos!X27=0,"-",Datos!X26/Datos!X27)</f>
        <v>-</v>
      </c>
      <c r="Y22" s="225" t="str">
        <f>IF(Datos!Y27=0,"-",Datos!Y26/Datos!Y27)</f>
        <v>-</v>
      </c>
      <c r="Z22" s="225" t="str">
        <f>IF(Datos!Z27=0,"-",Datos!Z26/Datos!Z27)</f>
        <v>-</v>
      </c>
      <c r="AA22" s="225" t="str">
        <f>IF(Datos!AA27=0,"-",Datos!AA26/Datos!AA27)</f>
        <v>-</v>
      </c>
      <c r="AB22" s="225" t="str">
        <f>IF(Datos!AB27=0,"-",Datos!AB26/Datos!AB27)</f>
        <v>-</v>
      </c>
      <c r="AC22" s="225" t="str">
        <f>IF(Datos!AC27=0,"-",Datos!AC26/Datos!AC27)</f>
        <v>-</v>
      </c>
      <c r="AD22" s="225" t="str">
        <f>IF(Datos!AD27=0,"-",Datos!AD26/Datos!AD27)</f>
        <v>-</v>
      </c>
      <c r="AE22" s="225" t="str">
        <f>IF(Datos!AE27=0,"-",Datos!AE26/Datos!AE27)</f>
        <v>-</v>
      </c>
      <c r="AF22" s="225" t="str">
        <f>IF(Datos!AF27=0,"-",Datos!AF26/Datos!AF27)</f>
        <v>-</v>
      </c>
      <c r="AG22" s="225" t="str">
        <f>IF(Datos!AG27=0,"-",Datos!AG26/Datos!AG27)</f>
        <v>-</v>
      </c>
      <c r="AH22" s="225" t="str">
        <f>IF(Datos!AH27=0,"-",Datos!AH26/Datos!AH27)</f>
        <v>-</v>
      </c>
      <c r="AI22" s="225" t="str">
        <f>IF(Datos!AI27=0,"-",Datos!AI26/Datos!AI27)</f>
        <v>-</v>
      </c>
      <c r="AJ22" s="225" t="str">
        <f>IF(Datos!AJ27=0,"-",Datos!AJ26/Datos!AJ27)</f>
        <v>-</v>
      </c>
      <c r="AK22" s="225" t="str">
        <f>IF(Datos!AK27=0,"-",Datos!AK26/Datos!AK27)</f>
        <v>-</v>
      </c>
      <c r="AL22" s="225" t="str">
        <f>IF(Datos!AL27=0,"-",Datos!AL26/Datos!AL27)</f>
        <v>-</v>
      </c>
    </row>
    <row r="23" spans="1:38" ht="31.5" customHeight="1" x14ac:dyDescent="0.3">
      <c r="A23" s="59" t="s">
        <v>1689</v>
      </c>
      <c r="B23" s="60" t="s">
        <v>132</v>
      </c>
      <c r="C23" s="227" t="str">
        <f>INDEX(_TARGETS!$F$2:$F$17,MATCH("DPAS",_TARGETS!$A$2:$A$17,0))</f>
        <v>Medición 2026 (meta en 2027)</v>
      </c>
      <c r="D23" s="220">
        <f>IF(Datos!D67=0,"-",Datos!D68/Datos!D67)</f>
        <v>1.34615384615385</v>
      </c>
      <c r="E23" s="220">
        <f>IF(Datos!E67=0,"-",Datos!E68/Datos!E67)</f>
        <v>0.25</v>
      </c>
      <c r="F23" s="220" t="str">
        <f>IF(Datos!F67=0,"-",Datos!F68/Datos!F67)</f>
        <v>-</v>
      </c>
      <c r="G23" s="220" t="str">
        <f>IF(Datos!G67=0,"-",Datos!G68/Datos!G67)</f>
        <v>-</v>
      </c>
      <c r="H23" s="220" t="str">
        <f>IF(Datos!H67=0,"-",Datos!H68/Datos!H67)</f>
        <v>-</v>
      </c>
      <c r="I23" s="220" t="str">
        <f>IF(Datos!I67=0,"-",Datos!I68/Datos!I67)</f>
        <v>-</v>
      </c>
      <c r="J23" s="220" t="str">
        <f>IF(Datos!J67=0,"-",Datos!J68/Datos!J67)</f>
        <v>-</v>
      </c>
      <c r="K23" s="220" t="str">
        <f>IF(Datos!K67=0,"-",Datos!K68/Datos!K67)</f>
        <v>-</v>
      </c>
      <c r="L23" s="220" t="str">
        <f>IF(Datos!L67=0,"-",Datos!L68/Datos!L67)</f>
        <v>-</v>
      </c>
      <c r="M23" s="220" t="str">
        <f>IF(Datos!M67=0,"-",Datos!M68/Datos!M67)</f>
        <v>-</v>
      </c>
      <c r="N23" s="220" t="str">
        <f>IF(Datos!N67=0,"-",Datos!N68/Datos!N67)</f>
        <v>-</v>
      </c>
      <c r="O23" s="220" t="str">
        <f>IF(Datos!O67=0,"-",Datos!O68/Datos!O67)</f>
        <v>-</v>
      </c>
      <c r="P23" s="220" t="str">
        <f>IF(Datos!P67=0,"-",Datos!P68/Datos!P67)</f>
        <v>-</v>
      </c>
      <c r="Q23" s="220" t="str">
        <f>IF(Datos!Q67=0,"-",Datos!Q68/Datos!Q67)</f>
        <v>-</v>
      </c>
      <c r="R23" s="220" t="str">
        <f>IF(Datos!R67=0,"-",Datos!R68/Datos!R67)</f>
        <v>-</v>
      </c>
      <c r="S23" s="220" t="str">
        <f>IF(Datos!S67=0,"-",Datos!S68/Datos!S67)</f>
        <v>-</v>
      </c>
      <c r="T23" s="220" t="str">
        <f>IF(Datos!T67=0,"-",Datos!T68/Datos!T67)</f>
        <v>-</v>
      </c>
      <c r="U23" s="220" t="str">
        <f>IF(Datos!U67=0,"-",Datos!U68/Datos!U67)</f>
        <v>-</v>
      </c>
      <c r="V23" s="220" t="str">
        <f>IF(Datos!V67=0,"-",Datos!V68/Datos!V67)</f>
        <v>-</v>
      </c>
      <c r="W23" s="220" t="str">
        <f>IF(Datos!W67=0,"-",Datos!W68/Datos!W67)</f>
        <v>-</v>
      </c>
      <c r="X23" s="220" t="str">
        <f>IF(Datos!X67=0,"-",Datos!X68/Datos!X67)</f>
        <v>-</v>
      </c>
      <c r="Y23" s="220" t="str">
        <f>IF(Datos!Y67=0,"-",Datos!Y68/Datos!Y67)</f>
        <v>-</v>
      </c>
      <c r="Z23" s="220" t="str">
        <f>IF(Datos!Z67=0,"-",Datos!Z68/Datos!Z67)</f>
        <v>-</v>
      </c>
      <c r="AA23" s="220" t="str">
        <f>IF(Datos!AA67=0,"-",Datos!AA68/Datos!AA67)</f>
        <v>-</v>
      </c>
      <c r="AB23" s="220" t="str">
        <f>IF(Datos!AB67=0,"-",Datos!AB68/Datos!AB67)</f>
        <v>-</v>
      </c>
      <c r="AC23" s="220" t="str">
        <f>IF(Datos!AC67=0,"-",Datos!AC68/Datos!AC67)</f>
        <v>-</v>
      </c>
      <c r="AD23" s="220" t="str">
        <f>IF(Datos!AD67=0,"-",Datos!AD68/Datos!AD67)</f>
        <v>-</v>
      </c>
      <c r="AE23" s="220" t="str">
        <f>IF(Datos!AE67=0,"-",Datos!AE68/Datos!AE67)</f>
        <v>-</v>
      </c>
      <c r="AF23" s="220" t="str">
        <f>IF(Datos!AF67=0,"-",Datos!AF68/Datos!AF67)</f>
        <v>-</v>
      </c>
      <c r="AG23" s="220" t="str">
        <f>IF(Datos!AG67=0,"-",Datos!AG68/Datos!AG67)</f>
        <v>-</v>
      </c>
      <c r="AH23" s="220" t="str">
        <f>IF(Datos!AH67=0,"-",Datos!AH68/Datos!AH67)</f>
        <v>-</v>
      </c>
      <c r="AI23" s="220" t="str">
        <f>IF(Datos!AI67=0,"-",Datos!AI68/Datos!AI67)</f>
        <v>-</v>
      </c>
      <c r="AJ23" s="220" t="str">
        <f>IF(Datos!AJ67=0,"-",Datos!AJ68/Datos!AJ67)</f>
        <v>-</v>
      </c>
      <c r="AK23" s="220" t="str">
        <f>IF(Datos!AK67=0,"-",Datos!AK68/Datos!AK67)</f>
        <v>-</v>
      </c>
      <c r="AL23" s="220" t="str">
        <f>IF(Datos!AL67=0,"-",Datos!AL68/Datos!AL67)</f>
        <v>-</v>
      </c>
    </row>
    <row r="24" spans="1:38" ht="13.5" customHeight="1" x14ac:dyDescent="0.3"/>
    <row r="25" spans="1:38" ht="30" customHeight="1" x14ac:dyDescent="0.3">
      <c r="A25" s="149" t="s">
        <v>133</v>
      </c>
      <c r="B25" s="143"/>
      <c r="C25" s="143"/>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row>
    <row r="26" spans="1:38" ht="31.5" customHeight="1" x14ac:dyDescent="0.3">
      <c r="A26" s="69" t="s">
        <v>1690</v>
      </c>
      <c r="B26" s="70" t="s">
        <v>134</v>
      </c>
      <c r="C26" s="228">
        <f>IF(KPIs!C6="","",KPIs!C6)</f>
        <v>0</v>
      </c>
      <c r="D26" s="229">
        <f>IF(SUMPRODUCT((Datos!$D$3:$AL$3&lt;=Datos!D$3)*(Datos!$D$4:$AL$4=Datos!D$4)*((Datos!$D$33:$AL$33)&gt;0)*((Datos!$D$14:$AL$14)=0))&gt;0,"-",IF(Datos!D14=0,"-",(SUMIF(Datos!$D$4:D$4,Datos!D$4,Datos!$D$33:D33))*1000000/SUMIF(Datos!$D$4:D$4,Datos!D$4,Datos!$D$14:D14)))</f>
        <v>0</v>
      </c>
      <c r="E26" s="229">
        <f>IF(SUMPRODUCT((Datos!$D$3:$AL$3&lt;=Datos!E$3)*(Datos!$D$4:$AL$4=Datos!E$4)*((Datos!$D$33:$AL$33)&gt;0)*((Datos!$D$14:$AL$14)=0))&gt;0,"-",IF(Datos!E14=0,"-",(SUMIF(Datos!$D$4:E$4,Datos!E$4,Datos!$D$33:E33))*1000000/SUMIF(Datos!$D$4:E$4,Datos!E$4,Datos!$D$14:E14)))</f>
        <v>0</v>
      </c>
      <c r="F26" s="229" t="str">
        <f>IF(SUMPRODUCT((Datos!$D$3:$AL$3&lt;=Datos!F$3)*(Datos!$D$4:$AL$4=Datos!F$4)*((Datos!$D$33:$AL$33)&gt;0)*((Datos!$D$14:$AL$14)=0))&gt;0,"-",IF(Datos!F14=0,"-",(SUMIF(Datos!$D$4:F$4,Datos!F$4,Datos!$D$33:F33))*1000000/SUMIF(Datos!$D$4:F$4,Datos!F$4,Datos!$D$14:F14)))</f>
        <v>-</v>
      </c>
      <c r="G26" s="229" t="str">
        <f>IF(SUMPRODUCT((Datos!$D$3:$AL$3&lt;=Datos!G$3)*(Datos!$D$4:$AL$4=Datos!G$4)*((Datos!$D$33:$AL$33)&gt;0)*((Datos!$D$14:$AL$14)=0))&gt;0,"-",IF(Datos!G14=0,"-",(SUMIF(Datos!$D$4:G$4,Datos!G$4,Datos!$D$33:G33))*1000000/SUMIF(Datos!$D$4:G$4,Datos!G$4,Datos!$D$14:G14)))</f>
        <v>-</v>
      </c>
      <c r="H26" s="229" t="str">
        <f>IF(SUMPRODUCT((Datos!$D$3:$AL$3&lt;=Datos!H$3)*(Datos!$D$4:$AL$4=Datos!H$4)*((Datos!$D$33:$AL$33)&gt;0)*((Datos!$D$14:$AL$14)=0))&gt;0,"-",IF(Datos!H14=0,"-",(SUMIF(Datos!$D$4:H$4,Datos!H$4,Datos!$D$33:H33))*1000000/SUMIF(Datos!$D$4:H$4,Datos!H$4,Datos!$D$14:H14)))</f>
        <v>-</v>
      </c>
      <c r="I26" s="229" t="str">
        <f>IF(SUMPRODUCT((Datos!$D$3:$AL$3&lt;=Datos!I$3)*(Datos!$D$4:$AL$4=Datos!I$4)*((Datos!$D$33:$AL$33)&gt;0)*((Datos!$D$14:$AL$14)=0))&gt;0,"-",IF(Datos!I14=0,"-",(SUMIF(Datos!$D$4:I$4,Datos!I$4,Datos!$D$33:I33))*1000000/SUMIF(Datos!$D$4:I$4,Datos!I$4,Datos!$D$14:I14)))</f>
        <v>-</v>
      </c>
      <c r="J26" s="229" t="str">
        <f>IF(SUMPRODUCT((Datos!$D$3:$AL$3&lt;=Datos!J$3)*(Datos!$D$4:$AL$4=Datos!J$4)*((Datos!$D$33:$AL$33)&gt;0)*((Datos!$D$14:$AL$14)=0))&gt;0,"-",IF(Datos!J14=0,"-",(SUMIF(Datos!$D$4:J$4,Datos!J$4,Datos!$D$33:J33))*1000000/SUMIF(Datos!$D$4:J$4,Datos!J$4,Datos!$D$14:J14)))</f>
        <v>-</v>
      </c>
      <c r="K26" s="229" t="str">
        <f>IF(SUMPRODUCT((Datos!$D$3:$AL$3&lt;=Datos!K$3)*(Datos!$D$4:$AL$4=Datos!K$4)*((Datos!$D$33:$AL$33)&gt;0)*((Datos!$D$14:$AL$14)=0))&gt;0,"-",IF(Datos!K14=0,"-",(SUMIF(Datos!$D$4:K$4,Datos!K$4,Datos!$D$33:K33))*1000000/SUMIF(Datos!$D$4:K$4,Datos!K$4,Datos!$D$14:K14)))</f>
        <v>-</v>
      </c>
      <c r="L26" s="229" t="str">
        <f>IF(SUMPRODUCT((Datos!$D$3:$AL$3&lt;=Datos!L$3)*(Datos!$D$4:$AL$4=Datos!L$4)*((Datos!$D$33:$AL$33)&gt;0)*((Datos!$D$14:$AL$14)=0))&gt;0,"-",IF(Datos!L14=0,"-",(SUMIF(Datos!$D$4:L$4,Datos!L$4,Datos!$D$33:L33))*1000000/SUMIF(Datos!$D$4:L$4,Datos!L$4,Datos!$D$14:L14)))</f>
        <v>-</v>
      </c>
      <c r="M26" s="229" t="str">
        <f>IF(SUMPRODUCT((Datos!$D$3:$AL$3&lt;=Datos!M$3)*(Datos!$D$4:$AL$4=Datos!M$4)*((Datos!$D$33:$AL$33)&gt;0)*((Datos!$D$14:$AL$14)=0))&gt;0,"-",IF(Datos!M14=0,"-",(SUMIF(Datos!$D$4:M$4,Datos!M$4,Datos!$D$33:M33))*1000000/SUMIF(Datos!$D$4:M$4,Datos!M$4,Datos!$D$14:M14)))</f>
        <v>-</v>
      </c>
      <c r="N26" s="229" t="str">
        <f>IF(SUMPRODUCT((Datos!$D$3:$AL$3&lt;=Datos!N$3)*(Datos!$D$4:$AL$4=Datos!N$4)*((Datos!$D$33:$AL$33)&gt;0)*((Datos!$D$14:$AL$14)=0))&gt;0,"-",IF(Datos!N14=0,"-",(SUMIF(Datos!$D$4:N$4,Datos!N$4,Datos!$D$33:N33))*1000000/SUMIF(Datos!$D$4:N$4,Datos!N$4,Datos!$D$14:N14)))</f>
        <v>-</v>
      </c>
      <c r="O26" s="229" t="str">
        <f>IF(SUMPRODUCT((Datos!$D$3:$AL$3&lt;=Datos!O$3)*(Datos!$D$4:$AL$4=Datos!O$4)*((Datos!$D$33:$AL$33)&gt;0)*((Datos!$D$14:$AL$14)=0))&gt;0,"-",IF(Datos!O14=0,"-",(SUMIF(Datos!$D$4:O$4,Datos!O$4,Datos!$D$33:O33))*1000000/SUMIF(Datos!$D$4:O$4,Datos!O$4,Datos!$D$14:O14)))</f>
        <v>-</v>
      </c>
      <c r="P26" s="229" t="str">
        <f>IF(SUMPRODUCT((Datos!$D$3:$AL$3&lt;=Datos!P$3)*(Datos!$D$4:$AL$4=Datos!P$4)*((Datos!$D$33:$AL$33)&gt;0)*((Datos!$D$14:$AL$14)=0))&gt;0,"-",IF(Datos!P14=0,"-",(SUMIF(Datos!$D$4:P$4,Datos!P$4,Datos!$D$33:P33))*1000000/SUMIF(Datos!$D$4:P$4,Datos!P$4,Datos!$D$14:P14)))</f>
        <v>-</v>
      </c>
      <c r="Q26" s="229" t="str">
        <f>IF(SUMPRODUCT((Datos!$D$3:$AL$3&lt;=Datos!Q$3)*(Datos!$D$4:$AL$4=Datos!Q$4)*((Datos!$D$33:$AL$33)&gt;0)*((Datos!$D$14:$AL$14)=0))&gt;0,"-",IF(Datos!Q14=0,"-",(SUMIF(Datos!$D$4:Q$4,Datos!Q$4,Datos!$D$33:Q33))*1000000/SUMIF(Datos!$D$4:Q$4,Datos!Q$4,Datos!$D$14:Q14)))</f>
        <v>-</v>
      </c>
      <c r="R26" s="229" t="str">
        <f>IF(SUMPRODUCT((Datos!$D$3:$AL$3&lt;=Datos!R$3)*(Datos!$D$4:$AL$4=Datos!R$4)*((Datos!$D$33:$AL$33)&gt;0)*((Datos!$D$14:$AL$14)=0))&gt;0,"-",IF(Datos!R14=0,"-",(SUMIF(Datos!$D$4:R$4,Datos!R$4,Datos!$D$33:R33))*1000000/SUMIF(Datos!$D$4:R$4,Datos!R$4,Datos!$D$14:R14)))</f>
        <v>-</v>
      </c>
      <c r="S26" s="229" t="str">
        <f>IF(SUMPRODUCT((Datos!$D$3:$AL$3&lt;=Datos!S$3)*(Datos!$D$4:$AL$4=Datos!S$4)*((Datos!$D$33:$AL$33)&gt;0)*((Datos!$D$14:$AL$14)=0))&gt;0,"-",IF(Datos!S14=0,"-",(SUMIF(Datos!$D$4:S$4,Datos!S$4,Datos!$D$33:S33))*1000000/SUMIF(Datos!$D$4:S$4,Datos!S$4,Datos!$D$14:S14)))</f>
        <v>-</v>
      </c>
      <c r="T26" s="229" t="str">
        <f>IF(SUMPRODUCT((Datos!$D$3:$AL$3&lt;=Datos!T$3)*(Datos!$D$4:$AL$4=Datos!T$4)*((Datos!$D$33:$AL$33)&gt;0)*((Datos!$D$14:$AL$14)=0))&gt;0,"-",IF(Datos!T14=0,"-",(SUMIF(Datos!$D$4:T$4,Datos!T$4,Datos!$D$33:T33))*1000000/SUMIF(Datos!$D$4:T$4,Datos!T$4,Datos!$D$14:T14)))</f>
        <v>-</v>
      </c>
      <c r="U26" s="229" t="str">
        <f>IF(SUMPRODUCT((Datos!$D$3:$AL$3&lt;=Datos!U$3)*(Datos!$D$4:$AL$4=Datos!U$4)*((Datos!$D$33:$AL$33)&gt;0)*((Datos!$D$14:$AL$14)=0))&gt;0,"-",IF(Datos!U14=0,"-",(SUMIF(Datos!$D$4:U$4,Datos!U$4,Datos!$D$33:U33))*1000000/SUMIF(Datos!$D$4:U$4,Datos!U$4,Datos!$D$14:U14)))</f>
        <v>-</v>
      </c>
      <c r="V26" s="229" t="str">
        <f>IF(SUMPRODUCT((Datos!$D$3:$AL$3&lt;=Datos!V$3)*(Datos!$D$4:$AL$4=Datos!V$4)*((Datos!$D$33:$AL$33)&gt;0)*((Datos!$D$14:$AL$14)=0))&gt;0,"-",IF(Datos!V14=0,"-",(SUMIF(Datos!$D$4:V$4,Datos!V$4,Datos!$D$33:V33))*1000000/SUMIF(Datos!$D$4:V$4,Datos!V$4,Datos!$D$14:V14)))</f>
        <v>-</v>
      </c>
      <c r="W26" s="229" t="str">
        <f>IF(SUMPRODUCT((Datos!$D$3:$AL$3&lt;=Datos!W$3)*(Datos!$D$4:$AL$4=Datos!W$4)*((Datos!$D$33:$AL$33)&gt;0)*((Datos!$D$14:$AL$14)=0))&gt;0,"-",IF(Datos!W14=0,"-",(SUMIF(Datos!$D$4:W$4,Datos!W$4,Datos!$D$33:W33))*1000000/SUMIF(Datos!$D$4:W$4,Datos!W$4,Datos!$D$14:W14)))</f>
        <v>-</v>
      </c>
      <c r="X26" s="229" t="str">
        <f>IF(SUMPRODUCT((Datos!$D$3:$AL$3&lt;=Datos!X$3)*(Datos!$D$4:$AL$4=Datos!X$4)*((Datos!$D$33:$AL$33)&gt;0)*((Datos!$D$14:$AL$14)=0))&gt;0,"-",IF(Datos!X14=0,"-",(SUMIF(Datos!$D$4:X$4,Datos!X$4,Datos!$D$33:X33))*1000000/SUMIF(Datos!$D$4:X$4,Datos!X$4,Datos!$D$14:X14)))</f>
        <v>-</v>
      </c>
      <c r="Y26" s="229" t="str">
        <f>IF(SUMPRODUCT((Datos!$D$3:$AL$3&lt;=Datos!Y$3)*(Datos!$D$4:$AL$4=Datos!Y$4)*((Datos!$D$33:$AL$33)&gt;0)*((Datos!$D$14:$AL$14)=0))&gt;0,"-",IF(Datos!Y14=0,"-",(SUMIF(Datos!$D$4:Y$4,Datos!Y$4,Datos!$D$33:Y33))*1000000/SUMIF(Datos!$D$4:Y$4,Datos!Y$4,Datos!$D$14:Y14)))</f>
        <v>-</v>
      </c>
      <c r="Z26" s="229" t="str">
        <f>IF(SUMPRODUCT((Datos!$D$3:$AL$3&lt;=Datos!Z$3)*(Datos!$D$4:$AL$4=Datos!Z$4)*((Datos!$D$33:$AL$33)&gt;0)*((Datos!$D$14:$AL$14)=0))&gt;0,"-",IF(Datos!Z14=0,"-",(SUMIF(Datos!$D$4:Z$4,Datos!Z$4,Datos!$D$33:Z33))*1000000/SUMIF(Datos!$D$4:Z$4,Datos!Z$4,Datos!$D$14:Z14)))</f>
        <v>-</v>
      </c>
      <c r="AA26" s="229" t="str">
        <f>IF(SUMPRODUCT((Datos!$D$3:$AL$3&lt;=Datos!AA$3)*(Datos!$D$4:$AL$4=Datos!AA$4)*((Datos!$D$33:$AL$33)&gt;0)*((Datos!$D$14:$AL$14)=0))&gt;0,"-",IF(Datos!AA14=0,"-",(SUMIF(Datos!$D$4:AA$4,Datos!AA$4,Datos!$D$33:AA33))*1000000/SUMIF(Datos!$D$4:AA$4,Datos!AA$4,Datos!$D$14:AA14)))</f>
        <v>-</v>
      </c>
      <c r="AB26" s="229" t="str">
        <f>IF(SUMPRODUCT((Datos!$D$3:$AL$3&lt;=Datos!AB$3)*(Datos!$D$4:$AL$4=Datos!AB$4)*((Datos!$D$33:$AL$33)&gt;0)*((Datos!$D$14:$AL$14)=0))&gt;0,"-",IF(Datos!AB14=0,"-",(SUMIF(Datos!$D$4:AB$4,Datos!AB$4,Datos!$D$33:AB33))*1000000/SUMIF(Datos!$D$4:AB$4,Datos!AB$4,Datos!$D$14:AB14)))</f>
        <v>-</v>
      </c>
      <c r="AC26" s="229" t="str">
        <f>IF(SUMPRODUCT((Datos!$D$3:$AL$3&lt;=Datos!AC$3)*(Datos!$D$4:$AL$4=Datos!AC$4)*((Datos!$D$33:$AL$33)&gt;0)*((Datos!$D$14:$AL$14)=0))&gt;0,"-",IF(Datos!AC14=0,"-",(SUMIF(Datos!$D$4:AC$4,Datos!AC$4,Datos!$D$33:AC33))*1000000/SUMIF(Datos!$D$4:AC$4,Datos!AC$4,Datos!$D$14:AC14)))</f>
        <v>-</v>
      </c>
      <c r="AD26" s="229" t="str">
        <f>IF(SUMPRODUCT((Datos!$D$3:$AL$3&lt;=Datos!AD$3)*(Datos!$D$4:$AL$4=Datos!AD$4)*((Datos!$D$33:$AL$33)&gt;0)*((Datos!$D$14:$AL$14)=0))&gt;0,"-",IF(Datos!AD14=0,"-",(SUMIF(Datos!$D$4:AD$4,Datos!AD$4,Datos!$D$33:AD33))*1000000/SUMIF(Datos!$D$4:AD$4,Datos!AD$4,Datos!$D$14:AD14)))</f>
        <v>-</v>
      </c>
      <c r="AE26" s="229" t="str">
        <f>IF(SUMPRODUCT((Datos!$D$3:$AL$3&lt;=Datos!AE$3)*(Datos!$D$4:$AL$4=Datos!AE$4)*((Datos!$D$33:$AL$33)&gt;0)*((Datos!$D$14:$AL$14)=0))&gt;0,"-",IF(Datos!AE14=0,"-",(SUMIF(Datos!$D$4:AE$4,Datos!AE$4,Datos!$D$33:AE33))*1000000/SUMIF(Datos!$D$4:AE$4,Datos!AE$4,Datos!$D$14:AE14)))</f>
        <v>-</v>
      </c>
      <c r="AF26" s="229" t="str">
        <f>IF(SUMPRODUCT((Datos!$D$3:$AL$3&lt;=Datos!AF$3)*(Datos!$D$4:$AL$4=Datos!AF$4)*((Datos!$D$33:$AL$33)&gt;0)*((Datos!$D$14:$AL$14)=0))&gt;0,"-",IF(Datos!AF14=0,"-",(SUMIF(Datos!$D$4:AF$4,Datos!AF$4,Datos!$D$33:AF33))*1000000/SUMIF(Datos!$D$4:AF$4,Datos!AF$4,Datos!$D$14:AF14)))</f>
        <v>-</v>
      </c>
      <c r="AG26" s="229" t="str">
        <f>IF(SUMPRODUCT((Datos!$D$3:$AL$3&lt;=Datos!AG$3)*(Datos!$D$4:$AL$4=Datos!AG$4)*((Datos!$D$33:$AL$33)&gt;0)*((Datos!$D$14:$AL$14)=0))&gt;0,"-",IF(Datos!AG14=0,"-",(SUMIF(Datos!$D$4:AG$4,Datos!AG$4,Datos!$D$33:AG33))*1000000/SUMIF(Datos!$D$4:AG$4,Datos!AG$4,Datos!$D$14:AG14)))</f>
        <v>-</v>
      </c>
      <c r="AH26" s="229" t="str">
        <f>IF(SUMPRODUCT((Datos!$D$3:$AL$3&lt;=Datos!AH$3)*(Datos!$D$4:$AL$4=Datos!AH$4)*((Datos!$D$33:$AL$33)&gt;0)*((Datos!$D$14:$AL$14)=0))&gt;0,"-",IF(Datos!AH14=0,"-",(SUMIF(Datos!$D$4:AH$4,Datos!AH$4,Datos!$D$33:AH33))*1000000/SUMIF(Datos!$D$4:AH$4,Datos!AH$4,Datos!$D$14:AH14)))</f>
        <v>-</v>
      </c>
      <c r="AI26" s="229" t="str">
        <f>IF(SUMPRODUCT((Datos!$D$3:$AL$3&lt;=Datos!AI$3)*(Datos!$D$4:$AL$4=Datos!AI$4)*((Datos!$D$33:$AL$33)&gt;0)*((Datos!$D$14:$AL$14)=0))&gt;0,"-",IF(Datos!AI14=0,"-",(SUMIF(Datos!$D$4:AI$4,Datos!AI$4,Datos!$D$33:AI33))*1000000/SUMIF(Datos!$D$4:AI$4,Datos!AI$4,Datos!$D$14:AI14)))</f>
        <v>-</v>
      </c>
      <c r="AJ26" s="229" t="str">
        <f>IF(SUMPRODUCT((Datos!$D$3:$AL$3&lt;=Datos!AJ$3)*(Datos!$D$4:$AL$4=Datos!AJ$4)*((Datos!$D$33:$AL$33)&gt;0)*((Datos!$D$14:$AL$14)=0))&gt;0,"-",IF(Datos!AJ14=0,"-",(SUMIF(Datos!$D$4:AJ$4,Datos!AJ$4,Datos!$D$33:AJ33))*1000000/SUMIF(Datos!$D$4:AJ$4,Datos!AJ$4,Datos!$D$14:AJ14)))</f>
        <v>-</v>
      </c>
      <c r="AK26" s="229" t="str">
        <f>IF(SUMPRODUCT((Datos!$D$3:$AL$3&lt;=Datos!AK$3)*(Datos!$D$4:$AL$4=Datos!AK$4)*((Datos!$D$33:$AL$33)&gt;0)*((Datos!$D$14:$AL$14)=0))&gt;0,"-",IF(Datos!AK14=0,"-",(SUMIF(Datos!$D$4:AK$4,Datos!AK$4,Datos!$D$33:AK33))*1000000/SUMIF(Datos!$D$4:AK$4,Datos!AK$4,Datos!$D$14:AK14)))</f>
        <v>-</v>
      </c>
      <c r="AL26" s="229" t="str">
        <f>IF(SUMPRODUCT((Datos!$D$3:$AL$3&lt;=Datos!AL$3)*(Datos!$D$4:$AL$4=Datos!AL$4)*((Datos!$D$33:$AL$33)&gt;0)*((Datos!$D$14:$AL$14)=0))&gt;0,"-",IF(Datos!AL14=0,"-",(SUMIF(Datos!$D$4:AL$4,Datos!AL$4,Datos!$D$33:AL33))*1000000/SUMIF(Datos!$D$4:AL$4,Datos!AL$4,Datos!$D$14:AL14)))</f>
        <v>-</v>
      </c>
    </row>
    <row r="27" spans="1:38" ht="31.5" customHeight="1" x14ac:dyDescent="0.3">
      <c r="A27" s="69" t="s">
        <v>1691</v>
      </c>
      <c r="B27" s="70" t="s">
        <v>135</v>
      </c>
      <c r="C27" s="228">
        <f>IF(KPIs!C7="","",KPIs!C7)</f>
        <v>2.35</v>
      </c>
      <c r="D27" s="229">
        <f>IF(SUMPRODUCT((Datos!$D$3:$AL$3&lt;=Datos!D$3)*(Datos!$D$4:$AL$4=Datos!D$4)*((Datos!$D$33:$AL$33+Datos!$D$34:$AL$34+Datos!$D$35:$AL$35+Datos!$D$36:$AL$36)&gt;0)*((Datos!$D$14:$AL$14)=0))&gt;0,"-",IF(Datos!D14=0,"-",(SUMIF(Datos!$D$4:D$4,Datos!D$4,Datos!$D$33:D33)+SUMIF(Datos!$D$4:D$4,Datos!D$4,Datos!$D$34:D34)+SUMIF(Datos!$D$4:D$4,Datos!D$4,Datos!$D$35:D35)+SUMIF(Datos!$D$4:D$4,Datos!D$4,Datos!$D$36:D36))*1000000/SUMIF(Datos!$D$4:D$4,Datos!D$4,Datos!$D$14:D14)))</f>
        <v>0</v>
      </c>
      <c r="E27" s="229">
        <f>IF(SUMPRODUCT((Datos!$D$3:$AL$3&lt;=Datos!E$3)*(Datos!$D$4:$AL$4=Datos!E$4)*((Datos!$D$33:$AL$33+Datos!$D$34:$AL$34+Datos!$D$35:$AL$35+Datos!$D$36:$AL$36)&gt;0)*((Datos!$D$14:$AL$14)=0))&gt;0,"-",IF(Datos!E14=0,"-",(SUMIF(Datos!$D$4:E$4,Datos!E$4,Datos!$D$33:E33)+SUMIF(Datos!$D$4:E$4,Datos!E$4,Datos!$D$34:E34)+SUMIF(Datos!$D$4:E$4,Datos!E$4,Datos!$D$35:E35)+SUMIF(Datos!$D$4:E$4,Datos!E$4,Datos!$D$36:E36))*1000000/SUMIF(Datos!$D$4:E$4,Datos!E$4,Datos!$D$14:E14)))</f>
        <v>0</v>
      </c>
      <c r="F27" s="229" t="str">
        <f>IF(SUMPRODUCT((Datos!$D$3:$AL$3&lt;=Datos!F$3)*(Datos!$D$4:$AL$4=Datos!F$4)*((Datos!$D$33:$AL$33+Datos!$D$34:$AL$34+Datos!$D$35:$AL$35+Datos!$D$36:$AL$36)&gt;0)*((Datos!$D$14:$AL$14)=0))&gt;0,"-",IF(Datos!F14=0,"-",(SUMIF(Datos!$D$4:F$4,Datos!F$4,Datos!$D$33:F33)+SUMIF(Datos!$D$4:F$4,Datos!F$4,Datos!$D$34:F34)+SUMIF(Datos!$D$4:F$4,Datos!F$4,Datos!$D$35:F35)+SUMIF(Datos!$D$4:F$4,Datos!F$4,Datos!$D$36:F36))*1000000/SUMIF(Datos!$D$4:F$4,Datos!F$4,Datos!$D$14:F14)))</f>
        <v>-</v>
      </c>
      <c r="G27" s="229" t="str">
        <f>IF(SUMPRODUCT((Datos!$D$3:$AL$3&lt;=Datos!G$3)*(Datos!$D$4:$AL$4=Datos!G$4)*((Datos!$D$33:$AL$33+Datos!$D$34:$AL$34+Datos!$D$35:$AL$35+Datos!$D$36:$AL$36)&gt;0)*((Datos!$D$14:$AL$14)=0))&gt;0,"-",IF(Datos!G14=0,"-",(SUMIF(Datos!$D$4:G$4,Datos!G$4,Datos!$D$33:G33)+SUMIF(Datos!$D$4:G$4,Datos!G$4,Datos!$D$34:G34)+SUMIF(Datos!$D$4:G$4,Datos!G$4,Datos!$D$35:G35)+SUMIF(Datos!$D$4:G$4,Datos!G$4,Datos!$D$36:G36))*1000000/SUMIF(Datos!$D$4:G$4,Datos!G$4,Datos!$D$14:G14)))</f>
        <v>-</v>
      </c>
      <c r="H27" s="229" t="str">
        <f>IF(SUMPRODUCT((Datos!$D$3:$AL$3&lt;=Datos!H$3)*(Datos!$D$4:$AL$4=Datos!H$4)*((Datos!$D$33:$AL$33+Datos!$D$34:$AL$34+Datos!$D$35:$AL$35+Datos!$D$36:$AL$36)&gt;0)*((Datos!$D$14:$AL$14)=0))&gt;0,"-",IF(Datos!H14=0,"-",(SUMIF(Datos!$D$4:H$4,Datos!H$4,Datos!$D$33:H33)+SUMIF(Datos!$D$4:H$4,Datos!H$4,Datos!$D$34:H34)+SUMIF(Datos!$D$4:H$4,Datos!H$4,Datos!$D$35:H35)+SUMIF(Datos!$D$4:H$4,Datos!H$4,Datos!$D$36:H36))*1000000/SUMIF(Datos!$D$4:H$4,Datos!H$4,Datos!$D$14:H14)))</f>
        <v>-</v>
      </c>
      <c r="I27" s="229" t="str">
        <f>IF(SUMPRODUCT((Datos!$D$3:$AL$3&lt;=Datos!I$3)*(Datos!$D$4:$AL$4=Datos!I$4)*((Datos!$D$33:$AL$33+Datos!$D$34:$AL$34+Datos!$D$35:$AL$35+Datos!$D$36:$AL$36)&gt;0)*((Datos!$D$14:$AL$14)=0))&gt;0,"-",IF(Datos!I14=0,"-",(SUMIF(Datos!$D$4:I$4,Datos!I$4,Datos!$D$33:I33)+SUMIF(Datos!$D$4:I$4,Datos!I$4,Datos!$D$34:I34)+SUMIF(Datos!$D$4:I$4,Datos!I$4,Datos!$D$35:I35)+SUMIF(Datos!$D$4:I$4,Datos!I$4,Datos!$D$36:I36))*1000000/SUMIF(Datos!$D$4:I$4,Datos!I$4,Datos!$D$14:I14)))</f>
        <v>-</v>
      </c>
      <c r="J27" s="229" t="str">
        <f>IF(SUMPRODUCT((Datos!$D$3:$AL$3&lt;=Datos!J$3)*(Datos!$D$4:$AL$4=Datos!J$4)*((Datos!$D$33:$AL$33+Datos!$D$34:$AL$34+Datos!$D$35:$AL$35+Datos!$D$36:$AL$36)&gt;0)*((Datos!$D$14:$AL$14)=0))&gt;0,"-",IF(Datos!J14=0,"-",(SUMIF(Datos!$D$4:J$4,Datos!J$4,Datos!$D$33:J33)+SUMIF(Datos!$D$4:J$4,Datos!J$4,Datos!$D$34:J34)+SUMIF(Datos!$D$4:J$4,Datos!J$4,Datos!$D$35:J35)+SUMIF(Datos!$D$4:J$4,Datos!J$4,Datos!$D$36:J36))*1000000/SUMIF(Datos!$D$4:J$4,Datos!J$4,Datos!$D$14:J14)))</f>
        <v>-</v>
      </c>
      <c r="K27" s="229" t="str">
        <f>IF(SUMPRODUCT((Datos!$D$3:$AL$3&lt;=Datos!K$3)*(Datos!$D$4:$AL$4=Datos!K$4)*((Datos!$D$33:$AL$33+Datos!$D$34:$AL$34+Datos!$D$35:$AL$35+Datos!$D$36:$AL$36)&gt;0)*((Datos!$D$14:$AL$14)=0))&gt;0,"-",IF(Datos!K14=0,"-",(SUMIF(Datos!$D$4:K$4,Datos!K$4,Datos!$D$33:K33)+SUMIF(Datos!$D$4:K$4,Datos!K$4,Datos!$D$34:K34)+SUMIF(Datos!$D$4:K$4,Datos!K$4,Datos!$D$35:K35)+SUMIF(Datos!$D$4:K$4,Datos!K$4,Datos!$D$36:K36))*1000000/SUMIF(Datos!$D$4:K$4,Datos!K$4,Datos!$D$14:K14)))</f>
        <v>-</v>
      </c>
      <c r="L27" s="229" t="str">
        <f>IF(SUMPRODUCT((Datos!$D$3:$AL$3&lt;=Datos!L$3)*(Datos!$D$4:$AL$4=Datos!L$4)*((Datos!$D$33:$AL$33+Datos!$D$34:$AL$34+Datos!$D$35:$AL$35+Datos!$D$36:$AL$36)&gt;0)*((Datos!$D$14:$AL$14)=0))&gt;0,"-",IF(Datos!L14=0,"-",(SUMIF(Datos!$D$4:L$4,Datos!L$4,Datos!$D$33:L33)+SUMIF(Datos!$D$4:L$4,Datos!L$4,Datos!$D$34:L34)+SUMIF(Datos!$D$4:L$4,Datos!L$4,Datos!$D$35:L35)+SUMIF(Datos!$D$4:L$4,Datos!L$4,Datos!$D$36:L36))*1000000/SUMIF(Datos!$D$4:L$4,Datos!L$4,Datos!$D$14:L14)))</f>
        <v>-</v>
      </c>
      <c r="M27" s="229" t="str">
        <f>IF(SUMPRODUCT((Datos!$D$3:$AL$3&lt;=Datos!M$3)*(Datos!$D$4:$AL$4=Datos!M$4)*((Datos!$D$33:$AL$33+Datos!$D$34:$AL$34+Datos!$D$35:$AL$35+Datos!$D$36:$AL$36)&gt;0)*((Datos!$D$14:$AL$14)=0))&gt;0,"-",IF(Datos!M14=0,"-",(SUMIF(Datos!$D$4:M$4,Datos!M$4,Datos!$D$33:M33)+SUMIF(Datos!$D$4:M$4,Datos!M$4,Datos!$D$34:M34)+SUMIF(Datos!$D$4:M$4,Datos!M$4,Datos!$D$35:M35)+SUMIF(Datos!$D$4:M$4,Datos!M$4,Datos!$D$36:M36))*1000000/SUMIF(Datos!$D$4:M$4,Datos!M$4,Datos!$D$14:M14)))</f>
        <v>-</v>
      </c>
      <c r="N27" s="229" t="str">
        <f>IF(SUMPRODUCT((Datos!$D$3:$AL$3&lt;=Datos!N$3)*(Datos!$D$4:$AL$4=Datos!N$4)*((Datos!$D$33:$AL$33+Datos!$D$34:$AL$34+Datos!$D$35:$AL$35+Datos!$D$36:$AL$36)&gt;0)*((Datos!$D$14:$AL$14)=0))&gt;0,"-",IF(Datos!N14=0,"-",(SUMIF(Datos!$D$4:N$4,Datos!N$4,Datos!$D$33:N33)+SUMIF(Datos!$D$4:N$4,Datos!N$4,Datos!$D$34:N34)+SUMIF(Datos!$D$4:N$4,Datos!N$4,Datos!$D$35:N35)+SUMIF(Datos!$D$4:N$4,Datos!N$4,Datos!$D$36:N36))*1000000/SUMIF(Datos!$D$4:N$4,Datos!N$4,Datos!$D$14:N14)))</f>
        <v>-</v>
      </c>
      <c r="O27" s="229" t="str">
        <f>IF(SUMPRODUCT((Datos!$D$3:$AL$3&lt;=Datos!O$3)*(Datos!$D$4:$AL$4=Datos!O$4)*((Datos!$D$33:$AL$33+Datos!$D$34:$AL$34+Datos!$D$35:$AL$35+Datos!$D$36:$AL$36)&gt;0)*((Datos!$D$14:$AL$14)=0))&gt;0,"-",IF(Datos!O14=0,"-",(SUMIF(Datos!$D$4:O$4,Datos!O$4,Datos!$D$33:O33)+SUMIF(Datos!$D$4:O$4,Datos!O$4,Datos!$D$34:O34)+SUMIF(Datos!$D$4:O$4,Datos!O$4,Datos!$D$35:O35)+SUMIF(Datos!$D$4:O$4,Datos!O$4,Datos!$D$36:O36))*1000000/SUMIF(Datos!$D$4:O$4,Datos!O$4,Datos!$D$14:O14)))</f>
        <v>-</v>
      </c>
      <c r="P27" s="229" t="str">
        <f>IF(SUMPRODUCT((Datos!$D$3:$AL$3&lt;=Datos!P$3)*(Datos!$D$4:$AL$4=Datos!P$4)*((Datos!$D$33:$AL$33+Datos!$D$34:$AL$34+Datos!$D$35:$AL$35+Datos!$D$36:$AL$36)&gt;0)*((Datos!$D$14:$AL$14)=0))&gt;0,"-",IF(Datos!P14=0,"-",(SUMIF(Datos!$D$4:P$4,Datos!P$4,Datos!$D$33:P33)+SUMIF(Datos!$D$4:P$4,Datos!P$4,Datos!$D$34:P34)+SUMIF(Datos!$D$4:P$4,Datos!P$4,Datos!$D$35:P35)+SUMIF(Datos!$D$4:P$4,Datos!P$4,Datos!$D$36:P36))*1000000/SUMIF(Datos!$D$4:P$4,Datos!P$4,Datos!$D$14:P14)))</f>
        <v>-</v>
      </c>
      <c r="Q27" s="229" t="str">
        <f>IF(SUMPRODUCT((Datos!$D$3:$AL$3&lt;=Datos!Q$3)*(Datos!$D$4:$AL$4=Datos!Q$4)*((Datos!$D$33:$AL$33+Datos!$D$34:$AL$34+Datos!$D$35:$AL$35+Datos!$D$36:$AL$36)&gt;0)*((Datos!$D$14:$AL$14)=0))&gt;0,"-",IF(Datos!Q14=0,"-",(SUMIF(Datos!$D$4:Q$4,Datos!Q$4,Datos!$D$33:Q33)+SUMIF(Datos!$D$4:Q$4,Datos!Q$4,Datos!$D$34:Q34)+SUMIF(Datos!$D$4:Q$4,Datos!Q$4,Datos!$D$35:Q35)+SUMIF(Datos!$D$4:Q$4,Datos!Q$4,Datos!$D$36:Q36))*1000000/SUMIF(Datos!$D$4:Q$4,Datos!Q$4,Datos!$D$14:Q14)))</f>
        <v>-</v>
      </c>
      <c r="R27" s="229" t="str">
        <f>IF(SUMPRODUCT((Datos!$D$3:$AL$3&lt;=Datos!R$3)*(Datos!$D$4:$AL$4=Datos!R$4)*((Datos!$D$33:$AL$33+Datos!$D$34:$AL$34+Datos!$D$35:$AL$35+Datos!$D$36:$AL$36)&gt;0)*((Datos!$D$14:$AL$14)=0))&gt;0,"-",IF(Datos!R14=0,"-",(SUMIF(Datos!$D$4:R$4,Datos!R$4,Datos!$D$33:R33)+SUMIF(Datos!$D$4:R$4,Datos!R$4,Datos!$D$34:R34)+SUMIF(Datos!$D$4:R$4,Datos!R$4,Datos!$D$35:R35)+SUMIF(Datos!$D$4:R$4,Datos!R$4,Datos!$D$36:R36))*1000000/SUMIF(Datos!$D$4:R$4,Datos!R$4,Datos!$D$14:R14)))</f>
        <v>-</v>
      </c>
      <c r="S27" s="229" t="str">
        <f>IF(SUMPRODUCT((Datos!$D$3:$AL$3&lt;=Datos!S$3)*(Datos!$D$4:$AL$4=Datos!S$4)*((Datos!$D$33:$AL$33+Datos!$D$34:$AL$34+Datos!$D$35:$AL$35+Datos!$D$36:$AL$36)&gt;0)*((Datos!$D$14:$AL$14)=0))&gt;0,"-",IF(Datos!S14=0,"-",(SUMIF(Datos!$D$4:S$4,Datos!S$4,Datos!$D$33:S33)+SUMIF(Datos!$D$4:S$4,Datos!S$4,Datos!$D$34:S34)+SUMIF(Datos!$D$4:S$4,Datos!S$4,Datos!$D$35:S35)+SUMIF(Datos!$D$4:S$4,Datos!S$4,Datos!$D$36:S36))*1000000/SUMIF(Datos!$D$4:S$4,Datos!S$4,Datos!$D$14:S14)))</f>
        <v>-</v>
      </c>
      <c r="T27" s="229" t="str">
        <f>IF(SUMPRODUCT((Datos!$D$3:$AL$3&lt;=Datos!T$3)*(Datos!$D$4:$AL$4=Datos!T$4)*((Datos!$D$33:$AL$33+Datos!$D$34:$AL$34+Datos!$D$35:$AL$35+Datos!$D$36:$AL$36)&gt;0)*((Datos!$D$14:$AL$14)=0))&gt;0,"-",IF(Datos!T14=0,"-",(SUMIF(Datos!$D$4:T$4,Datos!T$4,Datos!$D$33:T33)+SUMIF(Datos!$D$4:T$4,Datos!T$4,Datos!$D$34:T34)+SUMIF(Datos!$D$4:T$4,Datos!T$4,Datos!$D$35:T35)+SUMIF(Datos!$D$4:T$4,Datos!T$4,Datos!$D$36:T36))*1000000/SUMIF(Datos!$D$4:T$4,Datos!T$4,Datos!$D$14:T14)))</f>
        <v>-</v>
      </c>
      <c r="U27" s="229" t="str">
        <f>IF(SUMPRODUCT((Datos!$D$3:$AL$3&lt;=Datos!U$3)*(Datos!$D$4:$AL$4=Datos!U$4)*((Datos!$D$33:$AL$33+Datos!$D$34:$AL$34+Datos!$D$35:$AL$35+Datos!$D$36:$AL$36)&gt;0)*((Datos!$D$14:$AL$14)=0))&gt;0,"-",IF(Datos!U14=0,"-",(SUMIF(Datos!$D$4:U$4,Datos!U$4,Datos!$D$33:U33)+SUMIF(Datos!$D$4:U$4,Datos!U$4,Datos!$D$34:U34)+SUMIF(Datos!$D$4:U$4,Datos!U$4,Datos!$D$35:U35)+SUMIF(Datos!$D$4:U$4,Datos!U$4,Datos!$D$36:U36))*1000000/SUMIF(Datos!$D$4:U$4,Datos!U$4,Datos!$D$14:U14)))</f>
        <v>-</v>
      </c>
      <c r="V27" s="229" t="str">
        <f>IF(SUMPRODUCT((Datos!$D$3:$AL$3&lt;=Datos!V$3)*(Datos!$D$4:$AL$4=Datos!V$4)*((Datos!$D$33:$AL$33+Datos!$D$34:$AL$34+Datos!$D$35:$AL$35+Datos!$D$36:$AL$36)&gt;0)*((Datos!$D$14:$AL$14)=0))&gt;0,"-",IF(Datos!V14=0,"-",(SUMIF(Datos!$D$4:V$4,Datos!V$4,Datos!$D$33:V33)+SUMIF(Datos!$D$4:V$4,Datos!V$4,Datos!$D$34:V34)+SUMIF(Datos!$D$4:V$4,Datos!V$4,Datos!$D$35:V35)+SUMIF(Datos!$D$4:V$4,Datos!V$4,Datos!$D$36:V36))*1000000/SUMIF(Datos!$D$4:V$4,Datos!V$4,Datos!$D$14:V14)))</f>
        <v>-</v>
      </c>
      <c r="W27" s="229" t="str">
        <f>IF(SUMPRODUCT((Datos!$D$3:$AL$3&lt;=Datos!W$3)*(Datos!$D$4:$AL$4=Datos!W$4)*((Datos!$D$33:$AL$33+Datos!$D$34:$AL$34+Datos!$D$35:$AL$35+Datos!$D$36:$AL$36)&gt;0)*((Datos!$D$14:$AL$14)=0))&gt;0,"-",IF(Datos!W14=0,"-",(SUMIF(Datos!$D$4:W$4,Datos!W$4,Datos!$D$33:W33)+SUMIF(Datos!$D$4:W$4,Datos!W$4,Datos!$D$34:W34)+SUMIF(Datos!$D$4:W$4,Datos!W$4,Datos!$D$35:W35)+SUMIF(Datos!$D$4:W$4,Datos!W$4,Datos!$D$36:W36))*1000000/SUMIF(Datos!$D$4:W$4,Datos!W$4,Datos!$D$14:W14)))</f>
        <v>-</v>
      </c>
      <c r="X27" s="229" t="str">
        <f>IF(SUMPRODUCT((Datos!$D$3:$AL$3&lt;=Datos!X$3)*(Datos!$D$4:$AL$4=Datos!X$4)*((Datos!$D$33:$AL$33+Datos!$D$34:$AL$34+Datos!$D$35:$AL$35+Datos!$D$36:$AL$36)&gt;0)*((Datos!$D$14:$AL$14)=0))&gt;0,"-",IF(Datos!X14=0,"-",(SUMIF(Datos!$D$4:X$4,Datos!X$4,Datos!$D$33:X33)+SUMIF(Datos!$D$4:X$4,Datos!X$4,Datos!$D$34:X34)+SUMIF(Datos!$D$4:X$4,Datos!X$4,Datos!$D$35:X35)+SUMIF(Datos!$D$4:X$4,Datos!X$4,Datos!$D$36:X36))*1000000/SUMIF(Datos!$D$4:X$4,Datos!X$4,Datos!$D$14:X14)))</f>
        <v>-</v>
      </c>
      <c r="Y27" s="229" t="str">
        <f>IF(SUMPRODUCT((Datos!$D$3:$AL$3&lt;=Datos!Y$3)*(Datos!$D$4:$AL$4=Datos!Y$4)*((Datos!$D$33:$AL$33+Datos!$D$34:$AL$34+Datos!$D$35:$AL$35+Datos!$D$36:$AL$36)&gt;0)*((Datos!$D$14:$AL$14)=0))&gt;0,"-",IF(Datos!Y14=0,"-",(SUMIF(Datos!$D$4:Y$4,Datos!Y$4,Datos!$D$33:Y33)+SUMIF(Datos!$D$4:Y$4,Datos!Y$4,Datos!$D$34:Y34)+SUMIF(Datos!$D$4:Y$4,Datos!Y$4,Datos!$D$35:Y35)+SUMIF(Datos!$D$4:Y$4,Datos!Y$4,Datos!$D$36:Y36))*1000000/SUMIF(Datos!$D$4:Y$4,Datos!Y$4,Datos!$D$14:Y14)))</f>
        <v>-</v>
      </c>
      <c r="Z27" s="229" t="str">
        <f>IF(SUMPRODUCT((Datos!$D$3:$AL$3&lt;=Datos!Z$3)*(Datos!$D$4:$AL$4=Datos!Z$4)*((Datos!$D$33:$AL$33+Datos!$D$34:$AL$34+Datos!$D$35:$AL$35+Datos!$D$36:$AL$36)&gt;0)*((Datos!$D$14:$AL$14)=0))&gt;0,"-",IF(Datos!Z14=0,"-",(SUMIF(Datos!$D$4:Z$4,Datos!Z$4,Datos!$D$33:Z33)+SUMIF(Datos!$D$4:Z$4,Datos!Z$4,Datos!$D$34:Z34)+SUMIF(Datos!$D$4:Z$4,Datos!Z$4,Datos!$D$35:Z35)+SUMIF(Datos!$D$4:Z$4,Datos!Z$4,Datos!$D$36:Z36))*1000000/SUMIF(Datos!$D$4:Z$4,Datos!Z$4,Datos!$D$14:Z14)))</f>
        <v>-</v>
      </c>
      <c r="AA27" s="229" t="str">
        <f>IF(SUMPRODUCT((Datos!$D$3:$AL$3&lt;=Datos!AA$3)*(Datos!$D$4:$AL$4=Datos!AA$4)*((Datos!$D$33:$AL$33+Datos!$D$34:$AL$34+Datos!$D$35:$AL$35+Datos!$D$36:$AL$36)&gt;0)*((Datos!$D$14:$AL$14)=0))&gt;0,"-",IF(Datos!AA14=0,"-",(SUMIF(Datos!$D$4:AA$4,Datos!AA$4,Datos!$D$33:AA33)+SUMIF(Datos!$D$4:AA$4,Datos!AA$4,Datos!$D$34:AA34)+SUMIF(Datos!$D$4:AA$4,Datos!AA$4,Datos!$D$35:AA35)+SUMIF(Datos!$D$4:AA$4,Datos!AA$4,Datos!$D$36:AA36))*1000000/SUMIF(Datos!$D$4:AA$4,Datos!AA$4,Datos!$D$14:AA14)))</f>
        <v>-</v>
      </c>
      <c r="AB27" s="229" t="str">
        <f>IF(SUMPRODUCT((Datos!$D$3:$AL$3&lt;=Datos!AB$3)*(Datos!$D$4:$AL$4=Datos!AB$4)*((Datos!$D$33:$AL$33+Datos!$D$34:$AL$34+Datos!$D$35:$AL$35+Datos!$D$36:$AL$36)&gt;0)*((Datos!$D$14:$AL$14)=0))&gt;0,"-",IF(Datos!AB14=0,"-",(SUMIF(Datos!$D$4:AB$4,Datos!AB$4,Datos!$D$33:AB33)+SUMIF(Datos!$D$4:AB$4,Datos!AB$4,Datos!$D$34:AB34)+SUMIF(Datos!$D$4:AB$4,Datos!AB$4,Datos!$D$35:AB35)+SUMIF(Datos!$D$4:AB$4,Datos!AB$4,Datos!$D$36:AB36))*1000000/SUMIF(Datos!$D$4:AB$4,Datos!AB$4,Datos!$D$14:AB14)))</f>
        <v>-</v>
      </c>
      <c r="AC27" s="229" t="str">
        <f>IF(SUMPRODUCT((Datos!$D$3:$AL$3&lt;=Datos!AC$3)*(Datos!$D$4:$AL$4=Datos!AC$4)*((Datos!$D$33:$AL$33+Datos!$D$34:$AL$34+Datos!$D$35:$AL$35+Datos!$D$36:$AL$36)&gt;0)*((Datos!$D$14:$AL$14)=0))&gt;0,"-",IF(Datos!AC14=0,"-",(SUMIF(Datos!$D$4:AC$4,Datos!AC$4,Datos!$D$33:AC33)+SUMIF(Datos!$D$4:AC$4,Datos!AC$4,Datos!$D$34:AC34)+SUMIF(Datos!$D$4:AC$4,Datos!AC$4,Datos!$D$35:AC35)+SUMIF(Datos!$D$4:AC$4,Datos!AC$4,Datos!$D$36:AC36))*1000000/SUMIF(Datos!$D$4:AC$4,Datos!AC$4,Datos!$D$14:AC14)))</f>
        <v>-</v>
      </c>
      <c r="AD27" s="229" t="str">
        <f>IF(SUMPRODUCT((Datos!$D$3:$AL$3&lt;=Datos!AD$3)*(Datos!$D$4:$AL$4=Datos!AD$4)*((Datos!$D$33:$AL$33+Datos!$D$34:$AL$34+Datos!$D$35:$AL$35+Datos!$D$36:$AL$36)&gt;0)*((Datos!$D$14:$AL$14)=0))&gt;0,"-",IF(Datos!AD14=0,"-",(SUMIF(Datos!$D$4:AD$4,Datos!AD$4,Datos!$D$33:AD33)+SUMIF(Datos!$D$4:AD$4,Datos!AD$4,Datos!$D$34:AD34)+SUMIF(Datos!$D$4:AD$4,Datos!AD$4,Datos!$D$35:AD35)+SUMIF(Datos!$D$4:AD$4,Datos!AD$4,Datos!$D$36:AD36))*1000000/SUMIF(Datos!$D$4:AD$4,Datos!AD$4,Datos!$D$14:AD14)))</f>
        <v>-</v>
      </c>
      <c r="AE27" s="229" t="str">
        <f>IF(SUMPRODUCT((Datos!$D$3:$AL$3&lt;=Datos!AE$3)*(Datos!$D$4:$AL$4=Datos!AE$4)*((Datos!$D$33:$AL$33+Datos!$D$34:$AL$34+Datos!$D$35:$AL$35+Datos!$D$36:$AL$36)&gt;0)*((Datos!$D$14:$AL$14)=0))&gt;0,"-",IF(Datos!AE14=0,"-",(SUMIF(Datos!$D$4:AE$4,Datos!AE$4,Datos!$D$33:AE33)+SUMIF(Datos!$D$4:AE$4,Datos!AE$4,Datos!$D$34:AE34)+SUMIF(Datos!$D$4:AE$4,Datos!AE$4,Datos!$D$35:AE35)+SUMIF(Datos!$D$4:AE$4,Datos!AE$4,Datos!$D$36:AE36))*1000000/SUMIF(Datos!$D$4:AE$4,Datos!AE$4,Datos!$D$14:AE14)))</f>
        <v>-</v>
      </c>
      <c r="AF27" s="229" t="str">
        <f>IF(SUMPRODUCT((Datos!$D$3:$AL$3&lt;=Datos!AF$3)*(Datos!$D$4:$AL$4=Datos!AF$4)*((Datos!$D$33:$AL$33+Datos!$D$34:$AL$34+Datos!$D$35:$AL$35+Datos!$D$36:$AL$36)&gt;0)*((Datos!$D$14:$AL$14)=0))&gt;0,"-",IF(Datos!AF14=0,"-",(SUMIF(Datos!$D$4:AF$4,Datos!AF$4,Datos!$D$33:AF33)+SUMIF(Datos!$D$4:AF$4,Datos!AF$4,Datos!$D$34:AF34)+SUMIF(Datos!$D$4:AF$4,Datos!AF$4,Datos!$D$35:AF35)+SUMIF(Datos!$D$4:AF$4,Datos!AF$4,Datos!$D$36:AF36))*1000000/SUMIF(Datos!$D$4:AF$4,Datos!AF$4,Datos!$D$14:AF14)))</f>
        <v>-</v>
      </c>
      <c r="AG27" s="229" t="str">
        <f>IF(SUMPRODUCT((Datos!$D$3:$AL$3&lt;=Datos!AG$3)*(Datos!$D$4:$AL$4=Datos!AG$4)*((Datos!$D$33:$AL$33+Datos!$D$34:$AL$34+Datos!$D$35:$AL$35+Datos!$D$36:$AL$36)&gt;0)*((Datos!$D$14:$AL$14)=0))&gt;0,"-",IF(Datos!AG14=0,"-",(SUMIF(Datos!$D$4:AG$4,Datos!AG$4,Datos!$D$33:AG33)+SUMIF(Datos!$D$4:AG$4,Datos!AG$4,Datos!$D$34:AG34)+SUMIF(Datos!$D$4:AG$4,Datos!AG$4,Datos!$D$35:AG35)+SUMIF(Datos!$D$4:AG$4,Datos!AG$4,Datos!$D$36:AG36))*1000000/SUMIF(Datos!$D$4:AG$4,Datos!AG$4,Datos!$D$14:AG14)))</f>
        <v>-</v>
      </c>
      <c r="AH27" s="229" t="str">
        <f>IF(SUMPRODUCT((Datos!$D$3:$AL$3&lt;=Datos!AH$3)*(Datos!$D$4:$AL$4=Datos!AH$4)*((Datos!$D$33:$AL$33+Datos!$D$34:$AL$34+Datos!$D$35:$AL$35+Datos!$D$36:$AL$36)&gt;0)*((Datos!$D$14:$AL$14)=0))&gt;0,"-",IF(Datos!AH14=0,"-",(SUMIF(Datos!$D$4:AH$4,Datos!AH$4,Datos!$D$33:AH33)+SUMIF(Datos!$D$4:AH$4,Datos!AH$4,Datos!$D$34:AH34)+SUMIF(Datos!$D$4:AH$4,Datos!AH$4,Datos!$D$35:AH35)+SUMIF(Datos!$D$4:AH$4,Datos!AH$4,Datos!$D$36:AH36))*1000000/SUMIF(Datos!$D$4:AH$4,Datos!AH$4,Datos!$D$14:AH14)))</f>
        <v>-</v>
      </c>
      <c r="AI27" s="229" t="str">
        <f>IF(SUMPRODUCT((Datos!$D$3:$AL$3&lt;=Datos!AI$3)*(Datos!$D$4:$AL$4=Datos!AI$4)*((Datos!$D$33:$AL$33+Datos!$D$34:$AL$34+Datos!$D$35:$AL$35+Datos!$D$36:$AL$36)&gt;0)*((Datos!$D$14:$AL$14)=0))&gt;0,"-",IF(Datos!AI14=0,"-",(SUMIF(Datos!$D$4:AI$4,Datos!AI$4,Datos!$D$33:AI33)+SUMIF(Datos!$D$4:AI$4,Datos!AI$4,Datos!$D$34:AI34)+SUMIF(Datos!$D$4:AI$4,Datos!AI$4,Datos!$D$35:AI35)+SUMIF(Datos!$D$4:AI$4,Datos!AI$4,Datos!$D$36:AI36))*1000000/SUMIF(Datos!$D$4:AI$4,Datos!AI$4,Datos!$D$14:AI14)))</f>
        <v>-</v>
      </c>
      <c r="AJ27" s="229" t="str">
        <f>IF(SUMPRODUCT((Datos!$D$3:$AL$3&lt;=Datos!AJ$3)*(Datos!$D$4:$AL$4=Datos!AJ$4)*((Datos!$D$33:$AL$33+Datos!$D$34:$AL$34+Datos!$D$35:$AL$35+Datos!$D$36:$AL$36)&gt;0)*((Datos!$D$14:$AL$14)=0))&gt;0,"-",IF(Datos!AJ14=0,"-",(SUMIF(Datos!$D$4:AJ$4,Datos!AJ$4,Datos!$D$33:AJ33)+SUMIF(Datos!$D$4:AJ$4,Datos!AJ$4,Datos!$D$34:AJ34)+SUMIF(Datos!$D$4:AJ$4,Datos!AJ$4,Datos!$D$35:AJ35)+SUMIF(Datos!$D$4:AJ$4,Datos!AJ$4,Datos!$D$36:AJ36))*1000000/SUMIF(Datos!$D$4:AJ$4,Datos!AJ$4,Datos!$D$14:AJ14)))</f>
        <v>-</v>
      </c>
      <c r="AK27" s="229" t="str">
        <f>IF(SUMPRODUCT((Datos!$D$3:$AL$3&lt;=Datos!AK$3)*(Datos!$D$4:$AL$4=Datos!AK$4)*((Datos!$D$33:$AL$33+Datos!$D$34:$AL$34+Datos!$D$35:$AL$35+Datos!$D$36:$AL$36)&gt;0)*((Datos!$D$14:$AL$14)=0))&gt;0,"-",IF(Datos!AK14=0,"-",(SUMIF(Datos!$D$4:AK$4,Datos!AK$4,Datos!$D$33:AK33)+SUMIF(Datos!$D$4:AK$4,Datos!AK$4,Datos!$D$34:AK34)+SUMIF(Datos!$D$4:AK$4,Datos!AK$4,Datos!$D$35:AK35)+SUMIF(Datos!$D$4:AK$4,Datos!AK$4,Datos!$D$36:AK36))*1000000/SUMIF(Datos!$D$4:AK$4,Datos!AK$4,Datos!$D$14:AK14)))</f>
        <v>-</v>
      </c>
      <c r="AL27" s="229" t="str">
        <f>IF(SUMPRODUCT((Datos!$D$3:$AL$3&lt;=Datos!AL$3)*(Datos!$D$4:$AL$4=Datos!AL$4)*((Datos!$D$33:$AL$33+Datos!$D$34:$AL$34+Datos!$D$35:$AL$35+Datos!$D$36:$AL$36)&gt;0)*((Datos!$D$14:$AL$14)=0))&gt;0,"-",IF(Datos!AL14=0,"-",(SUMIF(Datos!$D$4:AL$4,Datos!AL$4,Datos!$D$33:AL33)+SUMIF(Datos!$D$4:AL$4,Datos!AL$4,Datos!$D$34:AL34)+SUMIF(Datos!$D$4:AL$4,Datos!AL$4,Datos!$D$35:AL35)+SUMIF(Datos!$D$4:AL$4,Datos!AL$4,Datos!$D$36:AL36))*1000000/SUMIF(Datos!$D$4:AL$4,Datos!AL$4,Datos!$D$14:AL14)))</f>
        <v>-</v>
      </c>
    </row>
    <row r="28" spans="1:38" ht="31.5" customHeight="1" x14ac:dyDescent="0.3">
      <c r="A28" s="69" t="s">
        <v>1692</v>
      </c>
      <c r="B28" s="70" t="s">
        <v>136</v>
      </c>
      <c r="C28" s="230" t="str">
        <f>IF(KPIs!C8="","",KPIs!C8)</f>
        <v>Reporte</v>
      </c>
      <c r="D28" s="231">
        <f>IF(Datos!D14=0,"-",SUMIF(Datos!$D$4:D$4,Datos!D$4,Datos!$D$37:D37))</f>
        <v>0</v>
      </c>
      <c r="E28" s="231">
        <f>IF(Datos!E14=0,"-",SUMIF(Datos!$D$4:E$4,Datos!E$4,Datos!$D$37:E37))</f>
        <v>0</v>
      </c>
      <c r="F28" s="231" t="str">
        <f>IF(Datos!F14=0,"-",SUMIF(Datos!$D$4:F$4,Datos!F$4,Datos!$D$37:F37))</f>
        <v>-</v>
      </c>
      <c r="G28" s="231" t="str">
        <f>IF(Datos!G14=0,"-",SUMIF(Datos!$D$4:G$4,Datos!G$4,Datos!$D$37:G37))</f>
        <v>-</v>
      </c>
      <c r="H28" s="231" t="str">
        <f>IF(Datos!H14=0,"-",SUMIF(Datos!$D$4:H$4,Datos!H$4,Datos!$D$37:H37))</f>
        <v>-</v>
      </c>
      <c r="I28" s="231" t="str">
        <f>IF(Datos!I14=0,"-",SUMIF(Datos!$D$4:I$4,Datos!I$4,Datos!$D$37:I37))</f>
        <v>-</v>
      </c>
      <c r="J28" s="231" t="str">
        <f>IF(Datos!J14=0,"-",SUMIF(Datos!$D$4:J$4,Datos!J$4,Datos!$D$37:J37))</f>
        <v>-</v>
      </c>
      <c r="K28" s="231" t="str">
        <f>IF(Datos!K14=0,"-",SUMIF(Datos!$D$4:K$4,Datos!K$4,Datos!$D$37:K37))</f>
        <v>-</v>
      </c>
      <c r="L28" s="231" t="str">
        <f>IF(Datos!L14=0,"-",SUMIF(Datos!$D$4:L$4,Datos!L$4,Datos!$D$37:L37))</f>
        <v>-</v>
      </c>
      <c r="M28" s="231" t="str">
        <f>IF(Datos!M14=0,"-",SUMIF(Datos!$D$4:M$4,Datos!M$4,Datos!$D$37:M37))</f>
        <v>-</v>
      </c>
      <c r="N28" s="231" t="str">
        <f>IF(Datos!N14=0,"-",SUMIF(Datos!$D$4:N$4,Datos!N$4,Datos!$D$37:N37))</f>
        <v>-</v>
      </c>
      <c r="O28" s="231" t="str">
        <f>IF(Datos!O14=0,"-",SUMIF(Datos!$D$4:O$4,Datos!O$4,Datos!$D$37:O37))</f>
        <v>-</v>
      </c>
      <c r="P28" s="231" t="str">
        <f>IF(Datos!P14=0,"-",SUMIF(Datos!$D$4:P$4,Datos!P$4,Datos!$D$37:P37))</f>
        <v>-</v>
      </c>
      <c r="Q28" s="231" t="str">
        <f>IF(Datos!Q14=0,"-",SUMIF(Datos!$D$4:Q$4,Datos!Q$4,Datos!$D$37:Q37))</f>
        <v>-</v>
      </c>
      <c r="R28" s="231" t="str">
        <f>IF(Datos!R14=0,"-",SUMIF(Datos!$D$4:R$4,Datos!R$4,Datos!$D$37:R37))</f>
        <v>-</v>
      </c>
      <c r="S28" s="231" t="str">
        <f>IF(Datos!S14=0,"-",SUMIF(Datos!$D$4:S$4,Datos!S$4,Datos!$D$37:S37))</f>
        <v>-</v>
      </c>
      <c r="T28" s="231" t="str">
        <f>IF(Datos!T14=0,"-",SUMIF(Datos!$D$4:T$4,Datos!T$4,Datos!$D$37:T37))</f>
        <v>-</v>
      </c>
      <c r="U28" s="231" t="str">
        <f>IF(Datos!U14=0,"-",SUMIF(Datos!$D$4:U$4,Datos!U$4,Datos!$D$37:U37))</f>
        <v>-</v>
      </c>
      <c r="V28" s="231" t="str">
        <f>IF(Datos!V14=0,"-",SUMIF(Datos!$D$4:V$4,Datos!V$4,Datos!$D$37:V37))</f>
        <v>-</v>
      </c>
      <c r="W28" s="231" t="str">
        <f>IF(Datos!W14=0,"-",SUMIF(Datos!$D$4:W$4,Datos!W$4,Datos!$D$37:W37))</f>
        <v>-</v>
      </c>
      <c r="X28" s="231" t="str">
        <f>IF(Datos!X14=0,"-",SUMIF(Datos!$D$4:X$4,Datos!X$4,Datos!$D$37:X37))</f>
        <v>-</v>
      </c>
      <c r="Y28" s="231" t="str">
        <f>IF(Datos!Y14=0,"-",SUMIF(Datos!$D$4:Y$4,Datos!Y$4,Datos!$D$37:Y37))</f>
        <v>-</v>
      </c>
      <c r="Z28" s="231" t="str">
        <f>IF(Datos!Z14=0,"-",SUMIF(Datos!$D$4:Z$4,Datos!Z$4,Datos!$D$37:Z37))</f>
        <v>-</v>
      </c>
      <c r="AA28" s="231" t="str">
        <f>IF(Datos!AA14=0,"-",SUMIF(Datos!$D$4:AA$4,Datos!AA$4,Datos!$D$37:AA37))</f>
        <v>-</v>
      </c>
      <c r="AB28" s="231" t="str">
        <f>IF(Datos!AB14=0,"-",SUMIF(Datos!$D$4:AB$4,Datos!AB$4,Datos!$D$37:AB37))</f>
        <v>-</v>
      </c>
      <c r="AC28" s="231" t="str">
        <f>IF(Datos!AC14=0,"-",SUMIF(Datos!$D$4:AC$4,Datos!AC$4,Datos!$D$37:AC37))</f>
        <v>-</v>
      </c>
      <c r="AD28" s="231" t="str">
        <f>IF(Datos!AD14=0,"-",SUMIF(Datos!$D$4:AD$4,Datos!AD$4,Datos!$D$37:AD37))</f>
        <v>-</v>
      </c>
      <c r="AE28" s="231" t="str">
        <f>IF(Datos!AE14=0,"-",SUMIF(Datos!$D$4:AE$4,Datos!AE$4,Datos!$D$37:AE37))</f>
        <v>-</v>
      </c>
      <c r="AF28" s="231" t="str">
        <f>IF(Datos!AF14=0,"-",SUMIF(Datos!$D$4:AF$4,Datos!AF$4,Datos!$D$37:AF37))</f>
        <v>-</v>
      </c>
      <c r="AG28" s="231" t="str">
        <f>IF(Datos!AG14=0,"-",SUMIF(Datos!$D$4:AG$4,Datos!AG$4,Datos!$D$37:AG37))</f>
        <v>-</v>
      </c>
      <c r="AH28" s="231" t="str">
        <f>IF(Datos!AH14=0,"-",SUMIF(Datos!$D$4:AH$4,Datos!AH$4,Datos!$D$37:AH37))</f>
        <v>-</v>
      </c>
      <c r="AI28" s="231" t="str">
        <f>IF(Datos!AI14=0,"-",SUMIF(Datos!$D$4:AI$4,Datos!AI$4,Datos!$D$37:AI37))</f>
        <v>-</v>
      </c>
      <c r="AJ28" s="231" t="str">
        <f>IF(Datos!AJ14=0,"-",SUMIF(Datos!$D$4:AJ$4,Datos!AJ$4,Datos!$D$37:AJ37))</f>
        <v>-</v>
      </c>
      <c r="AK28" s="231" t="str">
        <f>IF(Datos!AK14=0,"-",SUMIF(Datos!$D$4:AK$4,Datos!AK$4,Datos!$D$37:AK37))</f>
        <v>-</v>
      </c>
      <c r="AL28" s="231" t="str">
        <f>IF(Datos!AL14=0,"-",SUMIF(Datos!$D$4:AL$4,Datos!AL$4,Datos!$D$37:AL37))</f>
        <v>-</v>
      </c>
    </row>
    <row r="29" spans="1:38" ht="31.5" customHeight="1" x14ac:dyDescent="0.3">
      <c r="A29" s="69" t="s">
        <v>1693</v>
      </c>
      <c r="B29" s="70" t="s">
        <v>137</v>
      </c>
      <c r="C29" s="228" t="str">
        <f>IF(KPIs!C10="","",KPIs!C10)</f>
        <v>Reporte</v>
      </c>
      <c r="D29" s="229">
        <f>IF(SUMPRODUCT((Datos!$D$3:$AL$3&lt;=Datos!D$3)*(Datos!$D$4:$AL$4=Datos!D$4)*((Datos!$D$39:$AL$39+Datos!$D$40:$AL$40+Datos!$D$41:$AL$41)&gt;0)*((Datos!$D$47:$AL$47)=0))&gt;0,"-",IF(Datos!D47=0,"-",(SUMIF(Datos!$D$4:D$4,Datos!D$4,Datos!$D$39:D39)+SUMIF(Datos!$D$4:D$4,Datos!D$4,Datos!$D$40:D40)+SUMIF(Datos!$D$4:D$4,Datos!D$4,Datos!$D$41:D41))*1000000/SUMIF(Datos!$D$4:D$4,Datos!D$4,Datos!$D$47:D47)))</f>
        <v>0</v>
      </c>
      <c r="E29" s="229">
        <f>IF(SUMPRODUCT((Datos!$D$3:$AL$3&lt;=Datos!E$3)*(Datos!$D$4:$AL$4=Datos!E$4)*((Datos!$D$39:$AL$39+Datos!$D$40:$AL$40+Datos!$D$41:$AL$41)&gt;0)*((Datos!$D$47:$AL$47)=0))&gt;0,"-",IF(Datos!E47=0,"-",(SUMIF(Datos!$D$4:E$4,Datos!E$4,Datos!$D$39:E39)+SUMIF(Datos!$D$4:E$4,Datos!E$4,Datos!$D$40:E40)+SUMIF(Datos!$D$4:E$4,Datos!E$4,Datos!$D$41:E41))*1000000/SUMIF(Datos!$D$4:E$4,Datos!E$4,Datos!$D$47:E47)))</f>
        <v>0</v>
      </c>
      <c r="F29" s="229" t="str">
        <f>IF(SUMPRODUCT((Datos!$D$3:$AL$3&lt;=Datos!F$3)*(Datos!$D$4:$AL$4=Datos!F$4)*((Datos!$D$39:$AL$39+Datos!$D$40:$AL$40+Datos!$D$41:$AL$41)&gt;0)*((Datos!$D$47:$AL$47)=0))&gt;0,"-",IF(Datos!F47=0,"-",(SUMIF(Datos!$D$4:F$4,Datos!F$4,Datos!$D$39:F39)+SUMIF(Datos!$D$4:F$4,Datos!F$4,Datos!$D$40:F40)+SUMIF(Datos!$D$4:F$4,Datos!F$4,Datos!$D$41:F41))*1000000/SUMIF(Datos!$D$4:F$4,Datos!F$4,Datos!$D$47:F47)))</f>
        <v>-</v>
      </c>
      <c r="G29" s="229" t="str">
        <f>IF(SUMPRODUCT((Datos!$D$3:$AL$3&lt;=Datos!G$3)*(Datos!$D$4:$AL$4=Datos!G$4)*((Datos!$D$39:$AL$39+Datos!$D$40:$AL$40+Datos!$D$41:$AL$41)&gt;0)*((Datos!$D$47:$AL$47)=0))&gt;0,"-",IF(Datos!G47=0,"-",(SUMIF(Datos!$D$4:G$4,Datos!G$4,Datos!$D$39:G39)+SUMIF(Datos!$D$4:G$4,Datos!G$4,Datos!$D$40:G40)+SUMIF(Datos!$D$4:G$4,Datos!G$4,Datos!$D$41:G41))*1000000/SUMIF(Datos!$D$4:G$4,Datos!G$4,Datos!$D$47:G47)))</f>
        <v>-</v>
      </c>
      <c r="H29" s="229" t="str">
        <f>IF(SUMPRODUCT((Datos!$D$3:$AL$3&lt;=Datos!H$3)*(Datos!$D$4:$AL$4=Datos!H$4)*((Datos!$D$39:$AL$39+Datos!$D$40:$AL$40+Datos!$D$41:$AL$41)&gt;0)*((Datos!$D$47:$AL$47)=0))&gt;0,"-",IF(Datos!H47=0,"-",(SUMIF(Datos!$D$4:H$4,Datos!H$4,Datos!$D$39:H39)+SUMIF(Datos!$D$4:H$4,Datos!H$4,Datos!$D$40:H40)+SUMIF(Datos!$D$4:H$4,Datos!H$4,Datos!$D$41:H41))*1000000/SUMIF(Datos!$D$4:H$4,Datos!H$4,Datos!$D$47:H47)))</f>
        <v>-</v>
      </c>
      <c r="I29" s="229" t="str">
        <f>IF(SUMPRODUCT((Datos!$D$3:$AL$3&lt;=Datos!I$3)*(Datos!$D$4:$AL$4=Datos!I$4)*((Datos!$D$39:$AL$39+Datos!$D$40:$AL$40+Datos!$D$41:$AL$41)&gt;0)*((Datos!$D$47:$AL$47)=0))&gt;0,"-",IF(Datos!I47=0,"-",(SUMIF(Datos!$D$4:I$4,Datos!I$4,Datos!$D$39:I39)+SUMIF(Datos!$D$4:I$4,Datos!I$4,Datos!$D$40:I40)+SUMIF(Datos!$D$4:I$4,Datos!I$4,Datos!$D$41:I41))*1000000/SUMIF(Datos!$D$4:I$4,Datos!I$4,Datos!$D$47:I47)))</f>
        <v>-</v>
      </c>
      <c r="J29" s="229" t="str">
        <f>IF(SUMPRODUCT((Datos!$D$3:$AL$3&lt;=Datos!J$3)*(Datos!$D$4:$AL$4=Datos!J$4)*((Datos!$D$39:$AL$39+Datos!$D$40:$AL$40+Datos!$D$41:$AL$41)&gt;0)*((Datos!$D$47:$AL$47)=0))&gt;0,"-",IF(Datos!J47=0,"-",(SUMIF(Datos!$D$4:J$4,Datos!J$4,Datos!$D$39:J39)+SUMIF(Datos!$D$4:J$4,Datos!J$4,Datos!$D$40:J40)+SUMIF(Datos!$D$4:J$4,Datos!J$4,Datos!$D$41:J41))*1000000/SUMIF(Datos!$D$4:J$4,Datos!J$4,Datos!$D$47:J47)))</f>
        <v>-</v>
      </c>
      <c r="K29" s="229" t="str">
        <f>IF(SUMPRODUCT((Datos!$D$3:$AL$3&lt;=Datos!K$3)*(Datos!$D$4:$AL$4=Datos!K$4)*((Datos!$D$39:$AL$39+Datos!$D$40:$AL$40+Datos!$D$41:$AL$41)&gt;0)*((Datos!$D$47:$AL$47)=0))&gt;0,"-",IF(Datos!K47=0,"-",(SUMIF(Datos!$D$4:K$4,Datos!K$4,Datos!$D$39:K39)+SUMIF(Datos!$D$4:K$4,Datos!K$4,Datos!$D$40:K40)+SUMIF(Datos!$D$4:K$4,Datos!K$4,Datos!$D$41:K41))*1000000/SUMIF(Datos!$D$4:K$4,Datos!K$4,Datos!$D$47:K47)))</f>
        <v>-</v>
      </c>
      <c r="L29" s="229" t="str">
        <f>IF(SUMPRODUCT((Datos!$D$3:$AL$3&lt;=Datos!L$3)*(Datos!$D$4:$AL$4=Datos!L$4)*((Datos!$D$39:$AL$39+Datos!$D$40:$AL$40+Datos!$D$41:$AL$41)&gt;0)*((Datos!$D$47:$AL$47)=0))&gt;0,"-",IF(Datos!L47=0,"-",(SUMIF(Datos!$D$4:L$4,Datos!L$4,Datos!$D$39:L39)+SUMIF(Datos!$D$4:L$4,Datos!L$4,Datos!$D$40:L40)+SUMIF(Datos!$D$4:L$4,Datos!L$4,Datos!$D$41:L41))*1000000/SUMIF(Datos!$D$4:L$4,Datos!L$4,Datos!$D$47:L47)))</f>
        <v>-</v>
      </c>
      <c r="M29" s="229" t="str">
        <f>IF(SUMPRODUCT((Datos!$D$3:$AL$3&lt;=Datos!M$3)*(Datos!$D$4:$AL$4=Datos!M$4)*((Datos!$D$39:$AL$39+Datos!$D$40:$AL$40+Datos!$D$41:$AL$41)&gt;0)*((Datos!$D$47:$AL$47)=0))&gt;0,"-",IF(Datos!M47=0,"-",(SUMIF(Datos!$D$4:M$4,Datos!M$4,Datos!$D$39:M39)+SUMIF(Datos!$D$4:M$4,Datos!M$4,Datos!$D$40:M40)+SUMIF(Datos!$D$4:M$4,Datos!M$4,Datos!$D$41:M41))*1000000/SUMIF(Datos!$D$4:M$4,Datos!M$4,Datos!$D$47:M47)))</f>
        <v>-</v>
      </c>
      <c r="N29" s="229" t="str">
        <f>IF(SUMPRODUCT((Datos!$D$3:$AL$3&lt;=Datos!N$3)*(Datos!$D$4:$AL$4=Datos!N$4)*((Datos!$D$39:$AL$39+Datos!$D$40:$AL$40+Datos!$D$41:$AL$41)&gt;0)*((Datos!$D$47:$AL$47)=0))&gt;0,"-",IF(Datos!N47=0,"-",(SUMIF(Datos!$D$4:N$4,Datos!N$4,Datos!$D$39:N39)+SUMIF(Datos!$D$4:N$4,Datos!N$4,Datos!$D$40:N40)+SUMIF(Datos!$D$4:N$4,Datos!N$4,Datos!$D$41:N41))*1000000/SUMIF(Datos!$D$4:N$4,Datos!N$4,Datos!$D$47:N47)))</f>
        <v>-</v>
      </c>
      <c r="O29" s="229" t="str">
        <f>IF(SUMPRODUCT((Datos!$D$3:$AL$3&lt;=Datos!O$3)*(Datos!$D$4:$AL$4=Datos!O$4)*((Datos!$D$39:$AL$39+Datos!$D$40:$AL$40+Datos!$D$41:$AL$41)&gt;0)*((Datos!$D$47:$AL$47)=0))&gt;0,"-",IF(Datos!O47=0,"-",(SUMIF(Datos!$D$4:O$4,Datos!O$4,Datos!$D$39:O39)+SUMIF(Datos!$D$4:O$4,Datos!O$4,Datos!$D$40:O40)+SUMIF(Datos!$D$4:O$4,Datos!O$4,Datos!$D$41:O41))*1000000/SUMIF(Datos!$D$4:O$4,Datos!O$4,Datos!$D$47:O47)))</f>
        <v>-</v>
      </c>
      <c r="P29" s="229" t="str">
        <f>IF(SUMPRODUCT((Datos!$D$3:$AL$3&lt;=Datos!P$3)*(Datos!$D$4:$AL$4=Datos!P$4)*((Datos!$D$39:$AL$39+Datos!$D$40:$AL$40+Datos!$D$41:$AL$41)&gt;0)*((Datos!$D$47:$AL$47)=0))&gt;0,"-",IF(Datos!P47=0,"-",(SUMIF(Datos!$D$4:P$4,Datos!P$4,Datos!$D$39:P39)+SUMIF(Datos!$D$4:P$4,Datos!P$4,Datos!$D$40:P40)+SUMIF(Datos!$D$4:P$4,Datos!P$4,Datos!$D$41:P41))*1000000/SUMIF(Datos!$D$4:P$4,Datos!P$4,Datos!$D$47:P47)))</f>
        <v>-</v>
      </c>
      <c r="Q29" s="229" t="str">
        <f>IF(SUMPRODUCT((Datos!$D$3:$AL$3&lt;=Datos!Q$3)*(Datos!$D$4:$AL$4=Datos!Q$4)*((Datos!$D$39:$AL$39+Datos!$D$40:$AL$40+Datos!$D$41:$AL$41)&gt;0)*((Datos!$D$47:$AL$47)=0))&gt;0,"-",IF(Datos!Q47=0,"-",(SUMIF(Datos!$D$4:Q$4,Datos!Q$4,Datos!$D$39:Q39)+SUMIF(Datos!$D$4:Q$4,Datos!Q$4,Datos!$D$40:Q40)+SUMIF(Datos!$D$4:Q$4,Datos!Q$4,Datos!$D$41:Q41))*1000000/SUMIF(Datos!$D$4:Q$4,Datos!Q$4,Datos!$D$47:Q47)))</f>
        <v>-</v>
      </c>
      <c r="R29" s="229" t="str">
        <f>IF(SUMPRODUCT((Datos!$D$3:$AL$3&lt;=Datos!R$3)*(Datos!$D$4:$AL$4=Datos!R$4)*((Datos!$D$39:$AL$39+Datos!$D$40:$AL$40+Datos!$D$41:$AL$41)&gt;0)*((Datos!$D$47:$AL$47)=0))&gt;0,"-",IF(Datos!R47=0,"-",(SUMIF(Datos!$D$4:R$4,Datos!R$4,Datos!$D$39:R39)+SUMIF(Datos!$D$4:R$4,Datos!R$4,Datos!$D$40:R40)+SUMIF(Datos!$D$4:R$4,Datos!R$4,Datos!$D$41:R41))*1000000/SUMIF(Datos!$D$4:R$4,Datos!R$4,Datos!$D$47:R47)))</f>
        <v>-</v>
      </c>
      <c r="S29" s="229" t="str">
        <f>IF(SUMPRODUCT((Datos!$D$3:$AL$3&lt;=Datos!S$3)*(Datos!$D$4:$AL$4=Datos!S$4)*((Datos!$D$39:$AL$39+Datos!$D$40:$AL$40+Datos!$D$41:$AL$41)&gt;0)*((Datos!$D$47:$AL$47)=0))&gt;0,"-",IF(Datos!S47=0,"-",(SUMIF(Datos!$D$4:S$4,Datos!S$4,Datos!$D$39:S39)+SUMIF(Datos!$D$4:S$4,Datos!S$4,Datos!$D$40:S40)+SUMIF(Datos!$D$4:S$4,Datos!S$4,Datos!$D$41:S41))*1000000/SUMIF(Datos!$D$4:S$4,Datos!S$4,Datos!$D$47:S47)))</f>
        <v>-</v>
      </c>
      <c r="T29" s="229" t="str">
        <f>IF(SUMPRODUCT((Datos!$D$3:$AL$3&lt;=Datos!T$3)*(Datos!$D$4:$AL$4=Datos!T$4)*((Datos!$D$39:$AL$39+Datos!$D$40:$AL$40+Datos!$D$41:$AL$41)&gt;0)*((Datos!$D$47:$AL$47)=0))&gt;0,"-",IF(Datos!T47=0,"-",(SUMIF(Datos!$D$4:T$4,Datos!T$4,Datos!$D$39:T39)+SUMIF(Datos!$D$4:T$4,Datos!T$4,Datos!$D$40:T40)+SUMIF(Datos!$D$4:T$4,Datos!T$4,Datos!$D$41:T41))*1000000/SUMIF(Datos!$D$4:T$4,Datos!T$4,Datos!$D$47:T47)))</f>
        <v>-</v>
      </c>
      <c r="U29" s="229" t="str">
        <f>IF(SUMPRODUCT((Datos!$D$3:$AL$3&lt;=Datos!U$3)*(Datos!$D$4:$AL$4=Datos!U$4)*((Datos!$D$39:$AL$39+Datos!$D$40:$AL$40+Datos!$D$41:$AL$41)&gt;0)*((Datos!$D$47:$AL$47)=0))&gt;0,"-",IF(Datos!U47=0,"-",(SUMIF(Datos!$D$4:U$4,Datos!U$4,Datos!$D$39:U39)+SUMIF(Datos!$D$4:U$4,Datos!U$4,Datos!$D$40:U40)+SUMIF(Datos!$D$4:U$4,Datos!U$4,Datos!$D$41:U41))*1000000/SUMIF(Datos!$D$4:U$4,Datos!U$4,Datos!$D$47:U47)))</f>
        <v>-</v>
      </c>
      <c r="V29" s="229" t="str">
        <f>IF(SUMPRODUCT((Datos!$D$3:$AL$3&lt;=Datos!V$3)*(Datos!$D$4:$AL$4=Datos!V$4)*((Datos!$D$39:$AL$39+Datos!$D$40:$AL$40+Datos!$D$41:$AL$41)&gt;0)*((Datos!$D$47:$AL$47)=0))&gt;0,"-",IF(Datos!V47=0,"-",(SUMIF(Datos!$D$4:V$4,Datos!V$4,Datos!$D$39:V39)+SUMIF(Datos!$D$4:V$4,Datos!V$4,Datos!$D$40:V40)+SUMIF(Datos!$D$4:V$4,Datos!V$4,Datos!$D$41:V41))*1000000/SUMIF(Datos!$D$4:V$4,Datos!V$4,Datos!$D$47:V47)))</f>
        <v>-</v>
      </c>
      <c r="W29" s="229" t="str">
        <f>IF(SUMPRODUCT((Datos!$D$3:$AL$3&lt;=Datos!W$3)*(Datos!$D$4:$AL$4=Datos!W$4)*((Datos!$D$39:$AL$39+Datos!$D$40:$AL$40+Datos!$D$41:$AL$41)&gt;0)*((Datos!$D$47:$AL$47)=0))&gt;0,"-",IF(Datos!W47=0,"-",(SUMIF(Datos!$D$4:W$4,Datos!W$4,Datos!$D$39:W39)+SUMIF(Datos!$D$4:W$4,Datos!W$4,Datos!$D$40:W40)+SUMIF(Datos!$D$4:W$4,Datos!W$4,Datos!$D$41:W41))*1000000/SUMIF(Datos!$D$4:W$4,Datos!W$4,Datos!$D$47:W47)))</f>
        <v>-</v>
      </c>
      <c r="X29" s="229" t="str">
        <f>IF(SUMPRODUCT((Datos!$D$3:$AL$3&lt;=Datos!X$3)*(Datos!$D$4:$AL$4=Datos!X$4)*((Datos!$D$39:$AL$39+Datos!$D$40:$AL$40+Datos!$D$41:$AL$41)&gt;0)*((Datos!$D$47:$AL$47)=0))&gt;0,"-",IF(Datos!X47=0,"-",(SUMIF(Datos!$D$4:X$4,Datos!X$4,Datos!$D$39:X39)+SUMIF(Datos!$D$4:X$4,Datos!X$4,Datos!$D$40:X40)+SUMIF(Datos!$D$4:X$4,Datos!X$4,Datos!$D$41:X41))*1000000/SUMIF(Datos!$D$4:X$4,Datos!X$4,Datos!$D$47:X47)))</f>
        <v>-</v>
      </c>
      <c r="Y29" s="229" t="str">
        <f>IF(SUMPRODUCT((Datos!$D$3:$AL$3&lt;=Datos!Y$3)*(Datos!$D$4:$AL$4=Datos!Y$4)*((Datos!$D$39:$AL$39+Datos!$D$40:$AL$40+Datos!$D$41:$AL$41)&gt;0)*((Datos!$D$47:$AL$47)=0))&gt;0,"-",IF(Datos!Y47=0,"-",(SUMIF(Datos!$D$4:Y$4,Datos!Y$4,Datos!$D$39:Y39)+SUMIF(Datos!$D$4:Y$4,Datos!Y$4,Datos!$D$40:Y40)+SUMIF(Datos!$D$4:Y$4,Datos!Y$4,Datos!$D$41:Y41))*1000000/SUMIF(Datos!$D$4:Y$4,Datos!Y$4,Datos!$D$47:Y47)))</f>
        <v>-</v>
      </c>
      <c r="Z29" s="229" t="str">
        <f>IF(SUMPRODUCT((Datos!$D$3:$AL$3&lt;=Datos!Z$3)*(Datos!$D$4:$AL$4=Datos!Z$4)*((Datos!$D$39:$AL$39+Datos!$D$40:$AL$40+Datos!$D$41:$AL$41)&gt;0)*((Datos!$D$47:$AL$47)=0))&gt;0,"-",IF(Datos!Z47=0,"-",(SUMIF(Datos!$D$4:Z$4,Datos!Z$4,Datos!$D$39:Z39)+SUMIF(Datos!$D$4:Z$4,Datos!Z$4,Datos!$D$40:Z40)+SUMIF(Datos!$D$4:Z$4,Datos!Z$4,Datos!$D$41:Z41))*1000000/SUMIF(Datos!$D$4:Z$4,Datos!Z$4,Datos!$D$47:Z47)))</f>
        <v>-</v>
      </c>
      <c r="AA29" s="229" t="str">
        <f>IF(SUMPRODUCT((Datos!$D$3:$AL$3&lt;=Datos!AA$3)*(Datos!$D$4:$AL$4=Datos!AA$4)*((Datos!$D$39:$AL$39+Datos!$D$40:$AL$40+Datos!$D$41:$AL$41)&gt;0)*((Datos!$D$47:$AL$47)=0))&gt;0,"-",IF(Datos!AA47=0,"-",(SUMIF(Datos!$D$4:AA$4,Datos!AA$4,Datos!$D$39:AA39)+SUMIF(Datos!$D$4:AA$4,Datos!AA$4,Datos!$D$40:AA40)+SUMIF(Datos!$D$4:AA$4,Datos!AA$4,Datos!$D$41:AA41))*1000000/SUMIF(Datos!$D$4:AA$4,Datos!AA$4,Datos!$D$47:AA47)))</f>
        <v>-</v>
      </c>
      <c r="AB29" s="229" t="str">
        <f>IF(SUMPRODUCT((Datos!$D$3:$AL$3&lt;=Datos!AB$3)*(Datos!$D$4:$AL$4=Datos!AB$4)*((Datos!$D$39:$AL$39+Datos!$D$40:$AL$40+Datos!$D$41:$AL$41)&gt;0)*((Datos!$D$47:$AL$47)=0))&gt;0,"-",IF(Datos!AB47=0,"-",(SUMIF(Datos!$D$4:AB$4,Datos!AB$4,Datos!$D$39:AB39)+SUMIF(Datos!$D$4:AB$4,Datos!AB$4,Datos!$D$40:AB40)+SUMIF(Datos!$D$4:AB$4,Datos!AB$4,Datos!$D$41:AB41))*1000000/SUMIF(Datos!$D$4:AB$4,Datos!AB$4,Datos!$D$47:AB47)))</f>
        <v>-</v>
      </c>
      <c r="AC29" s="229" t="str">
        <f>IF(SUMPRODUCT((Datos!$D$3:$AL$3&lt;=Datos!AC$3)*(Datos!$D$4:$AL$4=Datos!AC$4)*((Datos!$D$39:$AL$39+Datos!$D$40:$AL$40+Datos!$D$41:$AL$41)&gt;0)*((Datos!$D$47:$AL$47)=0))&gt;0,"-",IF(Datos!AC47=0,"-",(SUMIF(Datos!$D$4:AC$4,Datos!AC$4,Datos!$D$39:AC39)+SUMIF(Datos!$D$4:AC$4,Datos!AC$4,Datos!$D$40:AC40)+SUMIF(Datos!$D$4:AC$4,Datos!AC$4,Datos!$D$41:AC41))*1000000/SUMIF(Datos!$D$4:AC$4,Datos!AC$4,Datos!$D$47:AC47)))</f>
        <v>-</v>
      </c>
      <c r="AD29" s="229" t="str">
        <f>IF(SUMPRODUCT((Datos!$D$3:$AL$3&lt;=Datos!AD$3)*(Datos!$D$4:$AL$4=Datos!AD$4)*((Datos!$D$39:$AL$39+Datos!$D$40:$AL$40+Datos!$D$41:$AL$41)&gt;0)*((Datos!$D$47:$AL$47)=0))&gt;0,"-",IF(Datos!AD47=0,"-",(SUMIF(Datos!$D$4:AD$4,Datos!AD$4,Datos!$D$39:AD39)+SUMIF(Datos!$D$4:AD$4,Datos!AD$4,Datos!$D$40:AD40)+SUMIF(Datos!$D$4:AD$4,Datos!AD$4,Datos!$D$41:AD41))*1000000/SUMIF(Datos!$D$4:AD$4,Datos!AD$4,Datos!$D$47:AD47)))</f>
        <v>-</v>
      </c>
      <c r="AE29" s="229" t="str">
        <f>IF(SUMPRODUCT((Datos!$D$3:$AL$3&lt;=Datos!AE$3)*(Datos!$D$4:$AL$4=Datos!AE$4)*((Datos!$D$39:$AL$39+Datos!$D$40:$AL$40+Datos!$D$41:$AL$41)&gt;0)*((Datos!$D$47:$AL$47)=0))&gt;0,"-",IF(Datos!AE47=0,"-",(SUMIF(Datos!$D$4:AE$4,Datos!AE$4,Datos!$D$39:AE39)+SUMIF(Datos!$D$4:AE$4,Datos!AE$4,Datos!$D$40:AE40)+SUMIF(Datos!$D$4:AE$4,Datos!AE$4,Datos!$D$41:AE41))*1000000/SUMIF(Datos!$D$4:AE$4,Datos!AE$4,Datos!$D$47:AE47)))</f>
        <v>-</v>
      </c>
      <c r="AF29" s="229" t="str">
        <f>IF(SUMPRODUCT((Datos!$D$3:$AL$3&lt;=Datos!AF$3)*(Datos!$D$4:$AL$4=Datos!AF$4)*((Datos!$D$39:$AL$39+Datos!$D$40:$AL$40+Datos!$D$41:$AL$41)&gt;0)*((Datos!$D$47:$AL$47)=0))&gt;0,"-",IF(Datos!AF47=0,"-",(SUMIF(Datos!$D$4:AF$4,Datos!AF$4,Datos!$D$39:AF39)+SUMIF(Datos!$D$4:AF$4,Datos!AF$4,Datos!$D$40:AF40)+SUMIF(Datos!$D$4:AF$4,Datos!AF$4,Datos!$D$41:AF41))*1000000/SUMIF(Datos!$D$4:AF$4,Datos!AF$4,Datos!$D$47:AF47)))</f>
        <v>-</v>
      </c>
      <c r="AG29" s="229" t="str">
        <f>IF(SUMPRODUCT((Datos!$D$3:$AL$3&lt;=Datos!AG$3)*(Datos!$D$4:$AL$4=Datos!AG$4)*((Datos!$D$39:$AL$39+Datos!$D$40:$AL$40+Datos!$D$41:$AL$41)&gt;0)*((Datos!$D$47:$AL$47)=0))&gt;0,"-",IF(Datos!AG47=0,"-",(SUMIF(Datos!$D$4:AG$4,Datos!AG$4,Datos!$D$39:AG39)+SUMIF(Datos!$D$4:AG$4,Datos!AG$4,Datos!$D$40:AG40)+SUMIF(Datos!$D$4:AG$4,Datos!AG$4,Datos!$D$41:AG41))*1000000/SUMIF(Datos!$D$4:AG$4,Datos!AG$4,Datos!$D$47:AG47)))</f>
        <v>-</v>
      </c>
      <c r="AH29" s="229" t="str">
        <f>IF(SUMPRODUCT((Datos!$D$3:$AL$3&lt;=Datos!AH$3)*(Datos!$D$4:$AL$4=Datos!AH$4)*((Datos!$D$39:$AL$39+Datos!$D$40:$AL$40+Datos!$D$41:$AL$41)&gt;0)*((Datos!$D$47:$AL$47)=0))&gt;0,"-",IF(Datos!AH47=0,"-",(SUMIF(Datos!$D$4:AH$4,Datos!AH$4,Datos!$D$39:AH39)+SUMIF(Datos!$D$4:AH$4,Datos!AH$4,Datos!$D$40:AH40)+SUMIF(Datos!$D$4:AH$4,Datos!AH$4,Datos!$D$41:AH41))*1000000/SUMIF(Datos!$D$4:AH$4,Datos!AH$4,Datos!$D$47:AH47)))</f>
        <v>-</v>
      </c>
      <c r="AI29" s="229" t="str">
        <f>IF(SUMPRODUCT((Datos!$D$3:$AL$3&lt;=Datos!AI$3)*(Datos!$D$4:$AL$4=Datos!AI$4)*((Datos!$D$39:$AL$39+Datos!$D$40:$AL$40+Datos!$D$41:$AL$41)&gt;0)*((Datos!$D$47:$AL$47)=0))&gt;0,"-",IF(Datos!AI47=0,"-",(SUMIF(Datos!$D$4:AI$4,Datos!AI$4,Datos!$D$39:AI39)+SUMIF(Datos!$D$4:AI$4,Datos!AI$4,Datos!$D$40:AI40)+SUMIF(Datos!$D$4:AI$4,Datos!AI$4,Datos!$D$41:AI41))*1000000/SUMIF(Datos!$D$4:AI$4,Datos!AI$4,Datos!$D$47:AI47)))</f>
        <v>-</v>
      </c>
      <c r="AJ29" s="229" t="str">
        <f>IF(SUMPRODUCT((Datos!$D$3:$AL$3&lt;=Datos!AJ$3)*(Datos!$D$4:$AL$4=Datos!AJ$4)*((Datos!$D$39:$AL$39+Datos!$D$40:$AL$40+Datos!$D$41:$AL$41)&gt;0)*((Datos!$D$47:$AL$47)=0))&gt;0,"-",IF(Datos!AJ47=0,"-",(SUMIF(Datos!$D$4:AJ$4,Datos!AJ$4,Datos!$D$39:AJ39)+SUMIF(Datos!$D$4:AJ$4,Datos!AJ$4,Datos!$D$40:AJ40)+SUMIF(Datos!$D$4:AJ$4,Datos!AJ$4,Datos!$D$41:AJ41))*1000000/SUMIF(Datos!$D$4:AJ$4,Datos!AJ$4,Datos!$D$47:AJ47)))</f>
        <v>-</v>
      </c>
      <c r="AK29" s="229" t="str">
        <f>IF(SUMPRODUCT((Datos!$D$3:$AL$3&lt;=Datos!AK$3)*(Datos!$D$4:$AL$4=Datos!AK$4)*((Datos!$D$39:$AL$39+Datos!$D$40:$AL$40+Datos!$D$41:$AL$41)&gt;0)*((Datos!$D$47:$AL$47)=0))&gt;0,"-",IF(Datos!AK47=0,"-",(SUMIF(Datos!$D$4:AK$4,Datos!AK$4,Datos!$D$39:AK39)+SUMIF(Datos!$D$4:AK$4,Datos!AK$4,Datos!$D$40:AK40)+SUMIF(Datos!$D$4:AK$4,Datos!AK$4,Datos!$D$41:AK41))*1000000/SUMIF(Datos!$D$4:AK$4,Datos!AK$4,Datos!$D$47:AK47)))</f>
        <v>-</v>
      </c>
      <c r="AL29" s="229" t="str">
        <f>IF(SUMPRODUCT((Datos!$D$3:$AL$3&lt;=Datos!AL$3)*(Datos!$D$4:$AL$4=Datos!AL$4)*((Datos!$D$39:$AL$39+Datos!$D$40:$AL$40+Datos!$D$41:$AL$41)&gt;0)*((Datos!$D$47:$AL$47)=0))&gt;0,"-",IF(Datos!AL47=0,"-",(SUMIF(Datos!$D$4:AL$4,Datos!AL$4,Datos!$D$39:AL39)+SUMIF(Datos!$D$4:AL$4,Datos!AL$4,Datos!$D$40:AL40)+SUMIF(Datos!$D$4:AL$4,Datos!AL$4,Datos!$D$41:AL41))*1000000/SUMIF(Datos!$D$4:AL$4,Datos!AL$4,Datos!$D$47:AL47)))</f>
        <v>-</v>
      </c>
    </row>
    <row r="30" spans="1:38" ht="31.5" customHeight="1" x14ac:dyDescent="0.3">
      <c r="A30" s="69" t="s">
        <v>1694</v>
      </c>
      <c r="B30" s="70" t="s">
        <v>138</v>
      </c>
      <c r="C30" s="228">
        <f>IF(KPIs!C11="","",KPIs!C11)</f>
        <v>0.79</v>
      </c>
      <c r="D30" s="229">
        <f>IF(SUMPRODUCT((Datos!$D$3:$AL$3&lt;=Datos!D$3)*(Datos!$D$4:$AL$4=Datos!D$4)*((Datos!$D$39:$AL$39+Datos!$D$40:$AL$40+Datos!$D$41:$AL$41+Datos!$D$42:$AL$42)&gt;0)*((Datos!$D$47:$AL$47)=0))&gt;0,"-",IF(Datos!D47=0,"-",(SUMIF(Datos!$D$4:D$4,Datos!D$4,Datos!$D$39:D39)+SUMIF(Datos!$D$4:D$4,Datos!D$4,Datos!$D$40:D40)+SUMIF(Datos!$D$4:D$4,Datos!D$4,Datos!$D$41:D41)+SUMIF(Datos!$D$4:D$4,Datos!D$4,Datos!$D$42:D42))*1000000/SUMIF(Datos!$D$4:D$4,Datos!D$4,Datos!$D$47:D47)))</f>
        <v>0</v>
      </c>
      <c r="E30" s="229">
        <f>IF(SUMPRODUCT((Datos!$D$3:$AL$3&lt;=Datos!E$3)*(Datos!$D$4:$AL$4=Datos!E$4)*((Datos!$D$39:$AL$39+Datos!$D$40:$AL$40+Datos!$D$41:$AL$41+Datos!$D$42:$AL$42)&gt;0)*((Datos!$D$47:$AL$47)=0))&gt;0,"-",IF(Datos!E47=0,"-",(SUMIF(Datos!$D$4:E$4,Datos!E$4,Datos!$D$39:E39)+SUMIF(Datos!$D$4:E$4,Datos!E$4,Datos!$D$40:E40)+SUMIF(Datos!$D$4:E$4,Datos!E$4,Datos!$D$41:E41)+SUMIF(Datos!$D$4:E$4,Datos!E$4,Datos!$D$42:E42))*1000000/SUMIF(Datos!$D$4:E$4,Datos!E$4,Datos!$D$47:E47)))</f>
        <v>0</v>
      </c>
      <c r="F30" s="229" t="str">
        <f>IF(SUMPRODUCT((Datos!$D$3:$AL$3&lt;=Datos!F$3)*(Datos!$D$4:$AL$4=Datos!F$4)*((Datos!$D$39:$AL$39+Datos!$D$40:$AL$40+Datos!$D$41:$AL$41+Datos!$D$42:$AL$42)&gt;0)*((Datos!$D$47:$AL$47)=0))&gt;0,"-",IF(Datos!F47=0,"-",(SUMIF(Datos!$D$4:F$4,Datos!F$4,Datos!$D$39:F39)+SUMIF(Datos!$D$4:F$4,Datos!F$4,Datos!$D$40:F40)+SUMIF(Datos!$D$4:F$4,Datos!F$4,Datos!$D$41:F41)+SUMIF(Datos!$D$4:F$4,Datos!F$4,Datos!$D$42:F42))*1000000/SUMIF(Datos!$D$4:F$4,Datos!F$4,Datos!$D$47:F47)))</f>
        <v>-</v>
      </c>
      <c r="G30" s="229" t="str">
        <f>IF(SUMPRODUCT((Datos!$D$3:$AL$3&lt;=Datos!G$3)*(Datos!$D$4:$AL$4=Datos!G$4)*((Datos!$D$39:$AL$39+Datos!$D$40:$AL$40+Datos!$D$41:$AL$41+Datos!$D$42:$AL$42)&gt;0)*((Datos!$D$47:$AL$47)=0))&gt;0,"-",IF(Datos!G47=0,"-",(SUMIF(Datos!$D$4:G$4,Datos!G$4,Datos!$D$39:G39)+SUMIF(Datos!$D$4:G$4,Datos!G$4,Datos!$D$40:G40)+SUMIF(Datos!$D$4:G$4,Datos!G$4,Datos!$D$41:G41)+SUMIF(Datos!$D$4:G$4,Datos!G$4,Datos!$D$42:G42))*1000000/SUMIF(Datos!$D$4:G$4,Datos!G$4,Datos!$D$47:G47)))</f>
        <v>-</v>
      </c>
      <c r="H30" s="229" t="str">
        <f>IF(SUMPRODUCT((Datos!$D$3:$AL$3&lt;=Datos!H$3)*(Datos!$D$4:$AL$4=Datos!H$4)*((Datos!$D$39:$AL$39+Datos!$D$40:$AL$40+Datos!$D$41:$AL$41+Datos!$D$42:$AL$42)&gt;0)*((Datos!$D$47:$AL$47)=0))&gt;0,"-",IF(Datos!H47=0,"-",(SUMIF(Datos!$D$4:H$4,Datos!H$4,Datos!$D$39:H39)+SUMIF(Datos!$D$4:H$4,Datos!H$4,Datos!$D$40:H40)+SUMIF(Datos!$D$4:H$4,Datos!H$4,Datos!$D$41:H41)+SUMIF(Datos!$D$4:H$4,Datos!H$4,Datos!$D$42:H42))*1000000/SUMIF(Datos!$D$4:H$4,Datos!H$4,Datos!$D$47:H47)))</f>
        <v>-</v>
      </c>
      <c r="I30" s="229" t="str">
        <f>IF(SUMPRODUCT((Datos!$D$3:$AL$3&lt;=Datos!I$3)*(Datos!$D$4:$AL$4=Datos!I$4)*((Datos!$D$39:$AL$39+Datos!$D$40:$AL$40+Datos!$D$41:$AL$41+Datos!$D$42:$AL$42)&gt;0)*((Datos!$D$47:$AL$47)=0))&gt;0,"-",IF(Datos!I47=0,"-",(SUMIF(Datos!$D$4:I$4,Datos!I$4,Datos!$D$39:I39)+SUMIF(Datos!$D$4:I$4,Datos!I$4,Datos!$D$40:I40)+SUMIF(Datos!$D$4:I$4,Datos!I$4,Datos!$D$41:I41)+SUMIF(Datos!$D$4:I$4,Datos!I$4,Datos!$D$42:I42))*1000000/SUMIF(Datos!$D$4:I$4,Datos!I$4,Datos!$D$47:I47)))</f>
        <v>-</v>
      </c>
      <c r="J30" s="229" t="str">
        <f>IF(SUMPRODUCT((Datos!$D$3:$AL$3&lt;=Datos!J$3)*(Datos!$D$4:$AL$4=Datos!J$4)*((Datos!$D$39:$AL$39+Datos!$D$40:$AL$40+Datos!$D$41:$AL$41+Datos!$D$42:$AL$42)&gt;0)*((Datos!$D$47:$AL$47)=0))&gt;0,"-",IF(Datos!J47=0,"-",(SUMIF(Datos!$D$4:J$4,Datos!J$4,Datos!$D$39:J39)+SUMIF(Datos!$D$4:J$4,Datos!J$4,Datos!$D$40:J40)+SUMIF(Datos!$D$4:J$4,Datos!J$4,Datos!$D$41:J41)+SUMIF(Datos!$D$4:J$4,Datos!J$4,Datos!$D$42:J42))*1000000/SUMIF(Datos!$D$4:J$4,Datos!J$4,Datos!$D$47:J47)))</f>
        <v>-</v>
      </c>
      <c r="K30" s="229" t="str">
        <f>IF(SUMPRODUCT((Datos!$D$3:$AL$3&lt;=Datos!K$3)*(Datos!$D$4:$AL$4=Datos!K$4)*((Datos!$D$39:$AL$39+Datos!$D$40:$AL$40+Datos!$D$41:$AL$41+Datos!$D$42:$AL$42)&gt;0)*((Datos!$D$47:$AL$47)=0))&gt;0,"-",IF(Datos!K47=0,"-",(SUMIF(Datos!$D$4:K$4,Datos!K$4,Datos!$D$39:K39)+SUMIF(Datos!$D$4:K$4,Datos!K$4,Datos!$D$40:K40)+SUMIF(Datos!$D$4:K$4,Datos!K$4,Datos!$D$41:K41)+SUMIF(Datos!$D$4:K$4,Datos!K$4,Datos!$D$42:K42))*1000000/SUMIF(Datos!$D$4:K$4,Datos!K$4,Datos!$D$47:K47)))</f>
        <v>-</v>
      </c>
      <c r="L30" s="229" t="str">
        <f>IF(SUMPRODUCT((Datos!$D$3:$AL$3&lt;=Datos!L$3)*(Datos!$D$4:$AL$4=Datos!L$4)*((Datos!$D$39:$AL$39+Datos!$D$40:$AL$40+Datos!$D$41:$AL$41+Datos!$D$42:$AL$42)&gt;0)*((Datos!$D$47:$AL$47)=0))&gt;0,"-",IF(Datos!L47=0,"-",(SUMIF(Datos!$D$4:L$4,Datos!L$4,Datos!$D$39:L39)+SUMIF(Datos!$D$4:L$4,Datos!L$4,Datos!$D$40:L40)+SUMIF(Datos!$D$4:L$4,Datos!L$4,Datos!$D$41:L41)+SUMIF(Datos!$D$4:L$4,Datos!L$4,Datos!$D$42:L42))*1000000/SUMIF(Datos!$D$4:L$4,Datos!L$4,Datos!$D$47:L47)))</f>
        <v>-</v>
      </c>
      <c r="M30" s="229" t="str">
        <f>IF(SUMPRODUCT((Datos!$D$3:$AL$3&lt;=Datos!M$3)*(Datos!$D$4:$AL$4=Datos!M$4)*((Datos!$D$39:$AL$39+Datos!$D$40:$AL$40+Datos!$D$41:$AL$41+Datos!$D$42:$AL$42)&gt;0)*((Datos!$D$47:$AL$47)=0))&gt;0,"-",IF(Datos!M47=0,"-",(SUMIF(Datos!$D$4:M$4,Datos!M$4,Datos!$D$39:M39)+SUMIF(Datos!$D$4:M$4,Datos!M$4,Datos!$D$40:M40)+SUMIF(Datos!$D$4:M$4,Datos!M$4,Datos!$D$41:M41)+SUMIF(Datos!$D$4:M$4,Datos!M$4,Datos!$D$42:M42))*1000000/SUMIF(Datos!$D$4:M$4,Datos!M$4,Datos!$D$47:M47)))</f>
        <v>-</v>
      </c>
      <c r="N30" s="229" t="str">
        <f>IF(SUMPRODUCT((Datos!$D$3:$AL$3&lt;=Datos!N$3)*(Datos!$D$4:$AL$4=Datos!N$4)*((Datos!$D$39:$AL$39+Datos!$D$40:$AL$40+Datos!$D$41:$AL$41+Datos!$D$42:$AL$42)&gt;0)*((Datos!$D$47:$AL$47)=0))&gt;0,"-",IF(Datos!N47=0,"-",(SUMIF(Datos!$D$4:N$4,Datos!N$4,Datos!$D$39:N39)+SUMIF(Datos!$D$4:N$4,Datos!N$4,Datos!$D$40:N40)+SUMIF(Datos!$D$4:N$4,Datos!N$4,Datos!$D$41:N41)+SUMIF(Datos!$D$4:N$4,Datos!N$4,Datos!$D$42:N42))*1000000/SUMIF(Datos!$D$4:N$4,Datos!N$4,Datos!$D$47:N47)))</f>
        <v>-</v>
      </c>
      <c r="O30" s="229" t="str">
        <f>IF(SUMPRODUCT((Datos!$D$3:$AL$3&lt;=Datos!O$3)*(Datos!$D$4:$AL$4=Datos!O$4)*((Datos!$D$39:$AL$39+Datos!$D$40:$AL$40+Datos!$D$41:$AL$41+Datos!$D$42:$AL$42)&gt;0)*((Datos!$D$47:$AL$47)=0))&gt;0,"-",IF(Datos!O47=0,"-",(SUMIF(Datos!$D$4:O$4,Datos!O$4,Datos!$D$39:O39)+SUMIF(Datos!$D$4:O$4,Datos!O$4,Datos!$D$40:O40)+SUMIF(Datos!$D$4:O$4,Datos!O$4,Datos!$D$41:O41)+SUMIF(Datos!$D$4:O$4,Datos!O$4,Datos!$D$42:O42))*1000000/SUMIF(Datos!$D$4:O$4,Datos!O$4,Datos!$D$47:O47)))</f>
        <v>-</v>
      </c>
      <c r="P30" s="229" t="str">
        <f>IF(SUMPRODUCT((Datos!$D$3:$AL$3&lt;=Datos!P$3)*(Datos!$D$4:$AL$4=Datos!P$4)*((Datos!$D$39:$AL$39+Datos!$D$40:$AL$40+Datos!$D$41:$AL$41+Datos!$D$42:$AL$42)&gt;0)*((Datos!$D$47:$AL$47)=0))&gt;0,"-",IF(Datos!P47=0,"-",(SUMIF(Datos!$D$4:P$4,Datos!P$4,Datos!$D$39:P39)+SUMIF(Datos!$D$4:P$4,Datos!P$4,Datos!$D$40:P40)+SUMIF(Datos!$D$4:P$4,Datos!P$4,Datos!$D$41:P41)+SUMIF(Datos!$D$4:P$4,Datos!P$4,Datos!$D$42:P42))*1000000/SUMIF(Datos!$D$4:P$4,Datos!P$4,Datos!$D$47:P47)))</f>
        <v>-</v>
      </c>
      <c r="Q30" s="229" t="str">
        <f>IF(SUMPRODUCT((Datos!$D$3:$AL$3&lt;=Datos!Q$3)*(Datos!$D$4:$AL$4=Datos!Q$4)*((Datos!$D$39:$AL$39+Datos!$D$40:$AL$40+Datos!$D$41:$AL$41+Datos!$D$42:$AL$42)&gt;0)*((Datos!$D$47:$AL$47)=0))&gt;0,"-",IF(Datos!Q47=0,"-",(SUMIF(Datos!$D$4:Q$4,Datos!Q$4,Datos!$D$39:Q39)+SUMIF(Datos!$D$4:Q$4,Datos!Q$4,Datos!$D$40:Q40)+SUMIF(Datos!$D$4:Q$4,Datos!Q$4,Datos!$D$41:Q41)+SUMIF(Datos!$D$4:Q$4,Datos!Q$4,Datos!$D$42:Q42))*1000000/SUMIF(Datos!$D$4:Q$4,Datos!Q$4,Datos!$D$47:Q47)))</f>
        <v>-</v>
      </c>
      <c r="R30" s="229" t="str">
        <f>IF(SUMPRODUCT((Datos!$D$3:$AL$3&lt;=Datos!R$3)*(Datos!$D$4:$AL$4=Datos!R$4)*((Datos!$D$39:$AL$39+Datos!$D$40:$AL$40+Datos!$D$41:$AL$41+Datos!$D$42:$AL$42)&gt;0)*((Datos!$D$47:$AL$47)=0))&gt;0,"-",IF(Datos!R47=0,"-",(SUMIF(Datos!$D$4:R$4,Datos!R$4,Datos!$D$39:R39)+SUMIF(Datos!$D$4:R$4,Datos!R$4,Datos!$D$40:R40)+SUMIF(Datos!$D$4:R$4,Datos!R$4,Datos!$D$41:R41)+SUMIF(Datos!$D$4:R$4,Datos!R$4,Datos!$D$42:R42))*1000000/SUMIF(Datos!$D$4:R$4,Datos!R$4,Datos!$D$47:R47)))</f>
        <v>-</v>
      </c>
      <c r="S30" s="229" t="str">
        <f>IF(SUMPRODUCT((Datos!$D$3:$AL$3&lt;=Datos!S$3)*(Datos!$D$4:$AL$4=Datos!S$4)*((Datos!$D$39:$AL$39+Datos!$D$40:$AL$40+Datos!$D$41:$AL$41+Datos!$D$42:$AL$42)&gt;0)*((Datos!$D$47:$AL$47)=0))&gt;0,"-",IF(Datos!S47=0,"-",(SUMIF(Datos!$D$4:S$4,Datos!S$4,Datos!$D$39:S39)+SUMIF(Datos!$D$4:S$4,Datos!S$4,Datos!$D$40:S40)+SUMIF(Datos!$D$4:S$4,Datos!S$4,Datos!$D$41:S41)+SUMIF(Datos!$D$4:S$4,Datos!S$4,Datos!$D$42:S42))*1000000/SUMIF(Datos!$D$4:S$4,Datos!S$4,Datos!$D$47:S47)))</f>
        <v>-</v>
      </c>
      <c r="T30" s="229" t="str">
        <f>IF(SUMPRODUCT((Datos!$D$3:$AL$3&lt;=Datos!T$3)*(Datos!$D$4:$AL$4=Datos!T$4)*((Datos!$D$39:$AL$39+Datos!$D$40:$AL$40+Datos!$D$41:$AL$41+Datos!$D$42:$AL$42)&gt;0)*((Datos!$D$47:$AL$47)=0))&gt;0,"-",IF(Datos!T47=0,"-",(SUMIF(Datos!$D$4:T$4,Datos!T$4,Datos!$D$39:T39)+SUMIF(Datos!$D$4:T$4,Datos!T$4,Datos!$D$40:T40)+SUMIF(Datos!$D$4:T$4,Datos!T$4,Datos!$D$41:T41)+SUMIF(Datos!$D$4:T$4,Datos!T$4,Datos!$D$42:T42))*1000000/SUMIF(Datos!$D$4:T$4,Datos!T$4,Datos!$D$47:T47)))</f>
        <v>-</v>
      </c>
      <c r="U30" s="229" t="str">
        <f>IF(SUMPRODUCT((Datos!$D$3:$AL$3&lt;=Datos!U$3)*(Datos!$D$4:$AL$4=Datos!U$4)*((Datos!$D$39:$AL$39+Datos!$D$40:$AL$40+Datos!$D$41:$AL$41+Datos!$D$42:$AL$42)&gt;0)*((Datos!$D$47:$AL$47)=0))&gt;0,"-",IF(Datos!U47=0,"-",(SUMIF(Datos!$D$4:U$4,Datos!U$4,Datos!$D$39:U39)+SUMIF(Datos!$D$4:U$4,Datos!U$4,Datos!$D$40:U40)+SUMIF(Datos!$D$4:U$4,Datos!U$4,Datos!$D$41:U41)+SUMIF(Datos!$D$4:U$4,Datos!U$4,Datos!$D$42:U42))*1000000/SUMIF(Datos!$D$4:U$4,Datos!U$4,Datos!$D$47:U47)))</f>
        <v>-</v>
      </c>
      <c r="V30" s="229" t="str">
        <f>IF(SUMPRODUCT((Datos!$D$3:$AL$3&lt;=Datos!V$3)*(Datos!$D$4:$AL$4=Datos!V$4)*((Datos!$D$39:$AL$39+Datos!$D$40:$AL$40+Datos!$D$41:$AL$41+Datos!$D$42:$AL$42)&gt;0)*((Datos!$D$47:$AL$47)=0))&gt;0,"-",IF(Datos!V47=0,"-",(SUMIF(Datos!$D$4:V$4,Datos!V$4,Datos!$D$39:V39)+SUMIF(Datos!$D$4:V$4,Datos!V$4,Datos!$D$40:V40)+SUMIF(Datos!$D$4:V$4,Datos!V$4,Datos!$D$41:V41)+SUMIF(Datos!$D$4:V$4,Datos!V$4,Datos!$D$42:V42))*1000000/SUMIF(Datos!$D$4:V$4,Datos!V$4,Datos!$D$47:V47)))</f>
        <v>-</v>
      </c>
      <c r="W30" s="229" t="str">
        <f>IF(SUMPRODUCT((Datos!$D$3:$AL$3&lt;=Datos!W$3)*(Datos!$D$4:$AL$4=Datos!W$4)*((Datos!$D$39:$AL$39+Datos!$D$40:$AL$40+Datos!$D$41:$AL$41+Datos!$D$42:$AL$42)&gt;0)*((Datos!$D$47:$AL$47)=0))&gt;0,"-",IF(Datos!W47=0,"-",(SUMIF(Datos!$D$4:W$4,Datos!W$4,Datos!$D$39:W39)+SUMIF(Datos!$D$4:W$4,Datos!W$4,Datos!$D$40:W40)+SUMIF(Datos!$D$4:W$4,Datos!W$4,Datos!$D$41:W41)+SUMIF(Datos!$D$4:W$4,Datos!W$4,Datos!$D$42:W42))*1000000/SUMIF(Datos!$D$4:W$4,Datos!W$4,Datos!$D$47:W47)))</f>
        <v>-</v>
      </c>
      <c r="X30" s="229" t="str">
        <f>IF(SUMPRODUCT((Datos!$D$3:$AL$3&lt;=Datos!X$3)*(Datos!$D$4:$AL$4=Datos!X$4)*((Datos!$D$39:$AL$39+Datos!$D$40:$AL$40+Datos!$D$41:$AL$41+Datos!$D$42:$AL$42)&gt;0)*((Datos!$D$47:$AL$47)=0))&gt;0,"-",IF(Datos!X47=0,"-",(SUMIF(Datos!$D$4:X$4,Datos!X$4,Datos!$D$39:X39)+SUMIF(Datos!$D$4:X$4,Datos!X$4,Datos!$D$40:X40)+SUMIF(Datos!$D$4:X$4,Datos!X$4,Datos!$D$41:X41)+SUMIF(Datos!$D$4:X$4,Datos!X$4,Datos!$D$42:X42))*1000000/SUMIF(Datos!$D$4:X$4,Datos!X$4,Datos!$D$47:X47)))</f>
        <v>-</v>
      </c>
      <c r="Y30" s="229" t="str">
        <f>IF(SUMPRODUCT((Datos!$D$3:$AL$3&lt;=Datos!Y$3)*(Datos!$D$4:$AL$4=Datos!Y$4)*((Datos!$D$39:$AL$39+Datos!$D$40:$AL$40+Datos!$D$41:$AL$41+Datos!$D$42:$AL$42)&gt;0)*((Datos!$D$47:$AL$47)=0))&gt;0,"-",IF(Datos!Y47=0,"-",(SUMIF(Datos!$D$4:Y$4,Datos!Y$4,Datos!$D$39:Y39)+SUMIF(Datos!$D$4:Y$4,Datos!Y$4,Datos!$D$40:Y40)+SUMIF(Datos!$D$4:Y$4,Datos!Y$4,Datos!$D$41:Y41)+SUMIF(Datos!$D$4:Y$4,Datos!Y$4,Datos!$D$42:Y42))*1000000/SUMIF(Datos!$D$4:Y$4,Datos!Y$4,Datos!$D$47:Y47)))</f>
        <v>-</v>
      </c>
      <c r="Z30" s="229" t="str">
        <f>IF(SUMPRODUCT((Datos!$D$3:$AL$3&lt;=Datos!Z$3)*(Datos!$D$4:$AL$4=Datos!Z$4)*((Datos!$D$39:$AL$39+Datos!$D$40:$AL$40+Datos!$D$41:$AL$41+Datos!$D$42:$AL$42)&gt;0)*((Datos!$D$47:$AL$47)=0))&gt;0,"-",IF(Datos!Z47=0,"-",(SUMIF(Datos!$D$4:Z$4,Datos!Z$4,Datos!$D$39:Z39)+SUMIF(Datos!$D$4:Z$4,Datos!Z$4,Datos!$D$40:Z40)+SUMIF(Datos!$D$4:Z$4,Datos!Z$4,Datos!$D$41:Z41)+SUMIF(Datos!$D$4:Z$4,Datos!Z$4,Datos!$D$42:Z42))*1000000/SUMIF(Datos!$D$4:Z$4,Datos!Z$4,Datos!$D$47:Z47)))</f>
        <v>-</v>
      </c>
      <c r="AA30" s="229" t="str">
        <f>IF(SUMPRODUCT((Datos!$D$3:$AL$3&lt;=Datos!AA$3)*(Datos!$D$4:$AL$4=Datos!AA$4)*((Datos!$D$39:$AL$39+Datos!$D$40:$AL$40+Datos!$D$41:$AL$41+Datos!$D$42:$AL$42)&gt;0)*((Datos!$D$47:$AL$47)=0))&gt;0,"-",IF(Datos!AA47=0,"-",(SUMIF(Datos!$D$4:AA$4,Datos!AA$4,Datos!$D$39:AA39)+SUMIF(Datos!$D$4:AA$4,Datos!AA$4,Datos!$D$40:AA40)+SUMIF(Datos!$D$4:AA$4,Datos!AA$4,Datos!$D$41:AA41)+SUMIF(Datos!$D$4:AA$4,Datos!AA$4,Datos!$D$42:AA42))*1000000/SUMIF(Datos!$D$4:AA$4,Datos!AA$4,Datos!$D$47:AA47)))</f>
        <v>-</v>
      </c>
      <c r="AB30" s="229" t="str">
        <f>IF(SUMPRODUCT((Datos!$D$3:$AL$3&lt;=Datos!AB$3)*(Datos!$D$4:$AL$4=Datos!AB$4)*((Datos!$D$39:$AL$39+Datos!$D$40:$AL$40+Datos!$D$41:$AL$41+Datos!$D$42:$AL$42)&gt;0)*((Datos!$D$47:$AL$47)=0))&gt;0,"-",IF(Datos!AB47=0,"-",(SUMIF(Datos!$D$4:AB$4,Datos!AB$4,Datos!$D$39:AB39)+SUMIF(Datos!$D$4:AB$4,Datos!AB$4,Datos!$D$40:AB40)+SUMIF(Datos!$D$4:AB$4,Datos!AB$4,Datos!$D$41:AB41)+SUMIF(Datos!$D$4:AB$4,Datos!AB$4,Datos!$D$42:AB42))*1000000/SUMIF(Datos!$D$4:AB$4,Datos!AB$4,Datos!$D$47:AB47)))</f>
        <v>-</v>
      </c>
      <c r="AC30" s="229" t="str">
        <f>IF(SUMPRODUCT((Datos!$D$3:$AL$3&lt;=Datos!AC$3)*(Datos!$D$4:$AL$4=Datos!AC$4)*((Datos!$D$39:$AL$39+Datos!$D$40:$AL$40+Datos!$D$41:$AL$41+Datos!$D$42:$AL$42)&gt;0)*((Datos!$D$47:$AL$47)=0))&gt;0,"-",IF(Datos!AC47=0,"-",(SUMIF(Datos!$D$4:AC$4,Datos!AC$4,Datos!$D$39:AC39)+SUMIF(Datos!$D$4:AC$4,Datos!AC$4,Datos!$D$40:AC40)+SUMIF(Datos!$D$4:AC$4,Datos!AC$4,Datos!$D$41:AC41)+SUMIF(Datos!$D$4:AC$4,Datos!AC$4,Datos!$D$42:AC42))*1000000/SUMIF(Datos!$D$4:AC$4,Datos!AC$4,Datos!$D$47:AC47)))</f>
        <v>-</v>
      </c>
      <c r="AD30" s="229" t="str">
        <f>IF(SUMPRODUCT((Datos!$D$3:$AL$3&lt;=Datos!AD$3)*(Datos!$D$4:$AL$4=Datos!AD$4)*((Datos!$D$39:$AL$39+Datos!$D$40:$AL$40+Datos!$D$41:$AL$41+Datos!$D$42:$AL$42)&gt;0)*((Datos!$D$47:$AL$47)=0))&gt;0,"-",IF(Datos!AD47=0,"-",(SUMIF(Datos!$D$4:AD$4,Datos!AD$4,Datos!$D$39:AD39)+SUMIF(Datos!$D$4:AD$4,Datos!AD$4,Datos!$D$40:AD40)+SUMIF(Datos!$D$4:AD$4,Datos!AD$4,Datos!$D$41:AD41)+SUMIF(Datos!$D$4:AD$4,Datos!AD$4,Datos!$D$42:AD42))*1000000/SUMIF(Datos!$D$4:AD$4,Datos!AD$4,Datos!$D$47:AD47)))</f>
        <v>-</v>
      </c>
      <c r="AE30" s="229" t="str">
        <f>IF(SUMPRODUCT((Datos!$D$3:$AL$3&lt;=Datos!AE$3)*(Datos!$D$4:$AL$4=Datos!AE$4)*((Datos!$D$39:$AL$39+Datos!$D$40:$AL$40+Datos!$D$41:$AL$41+Datos!$D$42:$AL$42)&gt;0)*((Datos!$D$47:$AL$47)=0))&gt;0,"-",IF(Datos!AE47=0,"-",(SUMIF(Datos!$D$4:AE$4,Datos!AE$4,Datos!$D$39:AE39)+SUMIF(Datos!$D$4:AE$4,Datos!AE$4,Datos!$D$40:AE40)+SUMIF(Datos!$D$4:AE$4,Datos!AE$4,Datos!$D$41:AE41)+SUMIF(Datos!$D$4:AE$4,Datos!AE$4,Datos!$D$42:AE42))*1000000/SUMIF(Datos!$D$4:AE$4,Datos!AE$4,Datos!$D$47:AE47)))</f>
        <v>-</v>
      </c>
      <c r="AF30" s="229" t="str">
        <f>IF(SUMPRODUCT((Datos!$D$3:$AL$3&lt;=Datos!AF$3)*(Datos!$D$4:$AL$4=Datos!AF$4)*((Datos!$D$39:$AL$39+Datos!$D$40:$AL$40+Datos!$D$41:$AL$41+Datos!$D$42:$AL$42)&gt;0)*((Datos!$D$47:$AL$47)=0))&gt;0,"-",IF(Datos!AF47=0,"-",(SUMIF(Datos!$D$4:AF$4,Datos!AF$4,Datos!$D$39:AF39)+SUMIF(Datos!$D$4:AF$4,Datos!AF$4,Datos!$D$40:AF40)+SUMIF(Datos!$D$4:AF$4,Datos!AF$4,Datos!$D$41:AF41)+SUMIF(Datos!$D$4:AF$4,Datos!AF$4,Datos!$D$42:AF42))*1000000/SUMIF(Datos!$D$4:AF$4,Datos!AF$4,Datos!$D$47:AF47)))</f>
        <v>-</v>
      </c>
      <c r="AG30" s="229" t="str">
        <f>IF(SUMPRODUCT((Datos!$D$3:$AL$3&lt;=Datos!AG$3)*(Datos!$D$4:$AL$4=Datos!AG$4)*((Datos!$D$39:$AL$39+Datos!$D$40:$AL$40+Datos!$D$41:$AL$41+Datos!$D$42:$AL$42)&gt;0)*((Datos!$D$47:$AL$47)=0))&gt;0,"-",IF(Datos!AG47=0,"-",(SUMIF(Datos!$D$4:AG$4,Datos!AG$4,Datos!$D$39:AG39)+SUMIF(Datos!$D$4:AG$4,Datos!AG$4,Datos!$D$40:AG40)+SUMIF(Datos!$D$4:AG$4,Datos!AG$4,Datos!$D$41:AG41)+SUMIF(Datos!$D$4:AG$4,Datos!AG$4,Datos!$D$42:AG42))*1000000/SUMIF(Datos!$D$4:AG$4,Datos!AG$4,Datos!$D$47:AG47)))</f>
        <v>-</v>
      </c>
      <c r="AH30" s="229" t="str">
        <f>IF(SUMPRODUCT((Datos!$D$3:$AL$3&lt;=Datos!AH$3)*(Datos!$D$4:$AL$4=Datos!AH$4)*((Datos!$D$39:$AL$39+Datos!$D$40:$AL$40+Datos!$D$41:$AL$41+Datos!$D$42:$AL$42)&gt;0)*((Datos!$D$47:$AL$47)=0))&gt;0,"-",IF(Datos!AH47=0,"-",(SUMIF(Datos!$D$4:AH$4,Datos!AH$4,Datos!$D$39:AH39)+SUMIF(Datos!$D$4:AH$4,Datos!AH$4,Datos!$D$40:AH40)+SUMIF(Datos!$D$4:AH$4,Datos!AH$4,Datos!$D$41:AH41)+SUMIF(Datos!$D$4:AH$4,Datos!AH$4,Datos!$D$42:AH42))*1000000/SUMIF(Datos!$D$4:AH$4,Datos!AH$4,Datos!$D$47:AH47)))</f>
        <v>-</v>
      </c>
      <c r="AI30" s="229" t="str">
        <f>IF(SUMPRODUCT((Datos!$D$3:$AL$3&lt;=Datos!AI$3)*(Datos!$D$4:$AL$4=Datos!AI$4)*((Datos!$D$39:$AL$39+Datos!$D$40:$AL$40+Datos!$D$41:$AL$41+Datos!$D$42:$AL$42)&gt;0)*((Datos!$D$47:$AL$47)=0))&gt;0,"-",IF(Datos!AI47=0,"-",(SUMIF(Datos!$D$4:AI$4,Datos!AI$4,Datos!$D$39:AI39)+SUMIF(Datos!$D$4:AI$4,Datos!AI$4,Datos!$D$40:AI40)+SUMIF(Datos!$D$4:AI$4,Datos!AI$4,Datos!$D$41:AI41)+SUMIF(Datos!$D$4:AI$4,Datos!AI$4,Datos!$D$42:AI42))*1000000/SUMIF(Datos!$D$4:AI$4,Datos!AI$4,Datos!$D$47:AI47)))</f>
        <v>-</v>
      </c>
      <c r="AJ30" s="229" t="str">
        <f>IF(SUMPRODUCT((Datos!$D$3:$AL$3&lt;=Datos!AJ$3)*(Datos!$D$4:$AL$4=Datos!AJ$4)*((Datos!$D$39:$AL$39+Datos!$D$40:$AL$40+Datos!$D$41:$AL$41+Datos!$D$42:$AL$42)&gt;0)*((Datos!$D$47:$AL$47)=0))&gt;0,"-",IF(Datos!AJ47=0,"-",(SUMIF(Datos!$D$4:AJ$4,Datos!AJ$4,Datos!$D$39:AJ39)+SUMIF(Datos!$D$4:AJ$4,Datos!AJ$4,Datos!$D$40:AJ40)+SUMIF(Datos!$D$4:AJ$4,Datos!AJ$4,Datos!$D$41:AJ41)+SUMIF(Datos!$D$4:AJ$4,Datos!AJ$4,Datos!$D$42:AJ42))*1000000/SUMIF(Datos!$D$4:AJ$4,Datos!AJ$4,Datos!$D$47:AJ47)))</f>
        <v>-</v>
      </c>
      <c r="AK30" s="229" t="str">
        <f>IF(SUMPRODUCT((Datos!$D$3:$AL$3&lt;=Datos!AK$3)*(Datos!$D$4:$AL$4=Datos!AK$4)*((Datos!$D$39:$AL$39+Datos!$D$40:$AL$40+Datos!$D$41:$AL$41+Datos!$D$42:$AL$42)&gt;0)*((Datos!$D$47:$AL$47)=0))&gt;0,"-",IF(Datos!AK47=0,"-",(SUMIF(Datos!$D$4:AK$4,Datos!AK$4,Datos!$D$39:AK39)+SUMIF(Datos!$D$4:AK$4,Datos!AK$4,Datos!$D$40:AK40)+SUMIF(Datos!$D$4:AK$4,Datos!AK$4,Datos!$D$41:AK41)+SUMIF(Datos!$D$4:AK$4,Datos!AK$4,Datos!$D$42:AK42))*1000000/SUMIF(Datos!$D$4:AK$4,Datos!AK$4,Datos!$D$47:AK47)))</f>
        <v>-</v>
      </c>
      <c r="AL30" s="229" t="str">
        <f>IF(SUMPRODUCT((Datos!$D$3:$AL$3&lt;=Datos!AL$3)*(Datos!$D$4:$AL$4=Datos!AL$4)*((Datos!$D$39:$AL$39+Datos!$D$40:$AL$40+Datos!$D$41:$AL$41+Datos!$D$42:$AL$42)&gt;0)*((Datos!$D$47:$AL$47)=0))&gt;0,"-",IF(Datos!AL47=0,"-",(SUMIF(Datos!$D$4:AL$4,Datos!AL$4,Datos!$D$39:AL39)+SUMIF(Datos!$D$4:AL$4,Datos!AL$4,Datos!$D$40:AL40)+SUMIF(Datos!$D$4:AL$4,Datos!AL$4,Datos!$D$41:AL41)+SUMIF(Datos!$D$4:AL$4,Datos!AL$4,Datos!$D$42:AL42))*1000000/SUMIF(Datos!$D$4:AL$4,Datos!AL$4,Datos!$D$47:AL47)))</f>
        <v>-</v>
      </c>
    </row>
    <row r="31" spans="1:38" ht="13.5" customHeight="1" x14ac:dyDescent="0.3"/>
    <row r="32" spans="1:38" ht="18" customHeight="1" x14ac:dyDescent="0.3">
      <c r="A32" s="152" t="s">
        <v>139</v>
      </c>
      <c r="B32" s="143"/>
      <c r="C32" s="143"/>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row>
    <row r="33" spans="1:38" ht="31.5" customHeight="1" x14ac:dyDescent="0.3">
      <c r="A33" s="50" t="s">
        <v>1695</v>
      </c>
      <c r="B33" s="51" t="s">
        <v>140</v>
      </c>
      <c r="C33" s="217" t="str">
        <f>INDEX(_TARGETS!$F$2:$F$17,MATCH("HAL_ALTA_PCT",_TARGETS!$A$2:$A$17,0))</f>
        <v>Reporte</v>
      </c>
      <c r="D33" s="225" t="str">
        <f>IF((Datos!D71+Datos!D72+Datos!D73)=0,"-",Datos!D71/(Datos!D71+Datos!D72+Datos!D73))</f>
        <v>-</v>
      </c>
      <c r="E33" s="225" t="str">
        <f>IF((Datos!E71+Datos!E72+Datos!E73)=0,"-",Datos!E71/(Datos!E71+Datos!E72+Datos!E73))</f>
        <v>-</v>
      </c>
      <c r="F33" s="225" t="str">
        <f>IF((Datos!F71+Datos!F72+Datos!F73)=0,"-",Datos!F71/(Datos!F71+Datos!F72+Datos!F73))</f>
        <v>-</v>
      </c>
      <c r="G33" s="225" t="str">
        <f>IF((Datos!G71+Datos!G72+Datos!G73)=0,"-",Datos!G71/(Datos!G71+Datos!G72+Datos!G73))</f>
        <v>-</v>
      </c>
      <c r="H33" s="225" t="str">
        <f>IF((Datos!H71+Datos!H72+Datos!H73)=0,"-",Datos!H71/(Datos!H71+Datos!H72+Datos!H73))</f>
        <v>-</v>
      </c>
      <c r="I33" s="225" t="str">
        <f>IF((Datos!I71+Datos!I72+Datos!I73)=0,"-",Datos!I71/(Datos!I71+Datos!I72+Datos!I73))</f>
        <v>-</v>
      </c>
      <c r="J33" s="225" t="str">
        <f>IF((Datos!J71+Datos!J72+Datos!J73)=0,"-",Datos!J71/(Datos!J71+Datos!J72+Datos!J73))</f>
        <v>-</v>
      </c>
      <c r="K33" s="225" t="str">
        <f>IF((Datos!K71+Datos!K72+Datos!K73)=0,"-",Datos!K71/(Datos!K71+Datos!K72+Datos!K73))</f>
        <v>-</v>
      </c>
      <c r="L33" s="225" t="str">
        <f>IF((Datos!L71+Datos!L72+Datos!L73)=0,"-",Datos!L71/(Datos!L71+Datos!L72+Datos!L73))</f>
        <v>-</v>
      </c>
      <c r="M33" s="225" t="str">
        <f>IF((Datos!M71+Datos!M72+Datos!M73)=0,"-",Datos!M71/(Datos!M71+Datos!M72+Datos!M73))</f>
        <v>-</v>
      </c>
      <c r="N33" s="225" t="str">
        <f>IF((Datos!N71+Datos!N72+Datos!N73)=0,"-",Datos!N71/(Datos!N71+Datos!N72+Datos!N73))</f>
        <v>-</v>
      </c>
      <c r="O33" s="225" t="str">
        <f>IF((Datos!O71+Datos!O72+Datos!O73)=0,"-",Datos!O71/(Datos!O71+Datos!O72+Datos!O73))</f>
        <v>-</v>
      </c>
      <c r="P33" s="225" t="str">
        <f>IF((Datos!P71+Datos!P72+Datos!P73)=0,"-",Datos!P71/(Datos!P71+Datos!P72+Datos!P73))</f>
        <v>-</v>
      </c>
      <c r="Q33" s="225" t="str">
        <f>IF((Datos!Q71+Datos!Q72+Datos!Q73)=0,"-",Datos!Q71/(Datos!Q71+Datos!Q72+Datos!Q73))</f>
        <v>-</v>
      </c>
      <c r="R33" s="225" t="str">
        <f>IF((Datos!R71+Datos!R72+Datos!R73)=0,"-",Datos!R71/(Datos!R71+Datos!R72+Datos!R73))</f>
        <v>-</v>
      </c>
      <c r="S33" s="225" t="str">
        <f>IF((Datos!S71+Datos!S72+Datos!S73)=0,"-",Datos!S71/(Datos!S71+Datos!S72+Datos!S73))</f>
        <v>-</v>
      </c>
      <c r="T33" s="225" t="str">
        <f>IF((Datos!T71+Datos!T72+Datos!T73)=0,"-",Datos!T71/(Datos!T71+Datos!T72+Datos!T73))</f>
        <v>-</v>
      </c>
      <c r="U33" s="225" t="str">
        <f>IF((Datos!U71+Datos!U72+Datos!U73)=0,"-",Datos!U71/(Datos!U71+Datos!U72+Datos!U73))</f>
        <v>-</v>
      </c>
      <c r="V33" s="225" t="str">
        <f>IF((Datos!V71+Datos!V72+Datos!V73)=0,"-",Datos!V71/(Datos!V71+Datos!V72+Datos!V73))</f>
        <v>-</v>
      </c>
      <c r="W33" s="225" t="str">
        <f>IF((Datos!W71+Datos!W72+Datos!W73)=0,"-",Datos!W71/(Datos!W71+Datos!W72+Datos!W73))</f>
        <v>-</v>
      </c>
      <c r="X33" s="225" t="str">
        <f>IF((Datos!X71+Datos!X72+Datos!X73)=0,"-",Datos!X71/(Datos!X71+Datos!X72+Datos!X73))</f>
        <v>-</v>
      </c>
      <c r="Y33" s="225" t="str">
        <f>IF((Datos!Y71+Datos!Y72+Datos!Y73)=0,"-",Datos!Y71/(Datos!Y71+Datos!Y72+Datos!Y73))</f>
        <v>-</v>
      </c>
      <c r="Z33" s="225" t="str">
        <f>IF((Datos!Z71+Datos!Z72+Datos!Z73)=0,"-",Datos!Z71/(Datos!Z71+Datos!Z72+Datos!Z73))</f>
        <v>-</v>
      </c>
      <c r="AA33" s="225" t="str">
        <f>IF((Datos!AA71+Datos!AA72+Datos!AA73)=0,"-",Datos!AA71/(Datos!AA71+Datos!AA72+Datos!AA73))</f>
        <v>-</v>
      </c>
      <c r="AB33" s="225" t="str">
        <f>IF((Datos!AB71+Datos!AB72+Datos!AB73)=0,"-",Datos!AB71/(Datos!AB71+Datos!AB72+Datos!AB73))</f>
        <v>-</v>
      </c>
      <c r="AC33" s="225" t="str">
        <f>IF((Datos!AC71+Datos!AC72+Datos!AC73)=0,"-",Datos!AC71/(Datos!AC71+Datos!AC72+Datos!AC73))</f>
        <v>-</v>
      </c>
      <c r="AD33" s="225" t="str">
        <f>IF((Datos!AD71+Datos!AD72+Datos!AD73)=0,"-",Datos!AD71/(Datos!AD71+Datos!AD72+Datos!AD73))</f>
        <v>-</v>
      </c>
      <c r="AE33" s="225" t="str">
        <f>IF((Datos!AE71+Datos!AE72+Datos!AE73)=0,"-",Datos!AE71/(Datos!AE71+Datos!AE72+Datos!AE73))</f>
        <v>-</v>
      </c>
      <c r="AF33" s="225" t="str">
        <f>IF((Datos!AF71+Datos!AF72+Datos!AF73)=0,"-",Datos!AF71/(Datos!AF71+Datos!AF72+Datos!AF73))</f>
        <v>-</v>
      </c>
      <c r="AG33" s="225" t="str">
        <f>IF((Datos!AG71+Datos!AG72+Datos!AG73)=0,"-",Datos!AG71/(Datos!AG71+Datos!AG72+Datos!AG73))</f>
        <v>-</v>
      </c>
      <c r="AH33" s="225" t="str">
        <f>IF((Datos!AH71+Datos!AH72+Datos!AH73)=0,"-",Datos!AH71/(Datos!AH71+Datos!AH72+Datos!AH73))</f>
        <v>-</v>
      </c>
      <c r="AI33" s="225" t="str">
        <f>IF((Datos!AI71+Datos!AI72+Datos!AI73)=0,"-",Datos!AI71/(Datos!AI71+Datos!AI72+Datos!AI73))</f>
        <v>-</v>
      </c>
      <c r="AJ33" s="225" t="str">
        <f>IF((Datos!AJ71+Datos!AJ72+Datos!AJ73)=0,"-",Datos!AJ71/(Datos!AJ71+Datos!AJ72+Datos!AJ73))</f>
        <v>-</v>
      </c>
      <c r="AK33" s="225" t="str">
        <f>IF((Datos!AK71+Datos!AK72+Datos!AK73)=0,"-",Datos!AK71/(Datos!AK71+Datos!AK72+Datos!AK73))</f>
        <v>-</v>
      </c>
      <c r="AL33" s="225" t="str">
        <f>IF((Datos!AL71+Datos!AL72+Datos!AL73)=0,"-",Datos!AL71/(Datos!AL71+Datos!AL72+Datos!AL73))</f>
        <v>-</v>
      </c>
    </row>
    <row r="34" spans="1:38" ht="31.5" customHeight="1" x14ac:dyDescent="0.3">
      <c r="A34" s="50" t="s">
        <v>1696</v>
      </c>
      <c r="B34" s="51" t="s">
        <v>141</v>
      </c>
      <c r="C34" s="217" t="str">
        <f>INDEX(_TARGETS!$F$2:$F$17,MATCH("DET",_TARGETS!$A$2:$A$17,0))</f>
        <v>Reporte</v>
      </c>
      <c r="D34" s="218">
        <f>IF(Datos!D14=0,"-",Datos!D75)</f>
        <v>0</v>
      </c>
      <c r="E34" s="218">
        <f>IF(Datos!E14=0,"-",Datos!E75)</f>
        <v>0</v>
      </c>
      <c r="F34" s="218" t="str">
        <f>IF(Datos!F14=0,"-",Datos!F75)</f>
        <v>-</v>
      </c>
      <c r="G34" s="218" t="str">
        <f>IF(Datos!G14=0,"-",Datos!G75)</f>
        <v>-</v>
      </c>
      <c r="H34" s="218" t="str">
        <f>IF(Datos!H14=0,"-",Datos!H75)</f>
        <v>-</v>
      </c>
      <c r="I34" s="218" t="str">
        <f>IF(Datos!I14=0,"-",Datos!I75)</f>
        <v>-</v>
      </c>
      <c r="J34" s="218" t="str">
        <f>IF(Datos!J14=0,"-",Datos!J75)</f>
        <v>-</v>
      </c>
      <c r="K34" s="218" t="str">
        <f>IF(Datos!K14=0,"-",Datos!K75)</f>
        <v>-</v>
      </c>
      <c r="L34" s="218" t="str">
        <f>IF(Datos!L14=0,"-",Datos!L75)</f>
        <v>-</v>
      </c>
      <c r="M34" s="218" t="str">
        <f>IF(Datos!M14=0,"-",Datos!M75)</f>
        <v>-</v>
      </c>
      <c r="N34" s="218" t="str">
        <f>IF(Datos!N14=0,"-",Datos!N75)</f>
        <v>-</v>
      </c>
      <c r="O34" s="218" t="str">
        <f>IF(Datos!O14=0,"-",Datos!O75)</f>
        <v>-</v>
      </c>
      <c r="P34" s="218" t="str">
        <f>IF(Datos!P14=0,"-",Datos!P75)</f>
        <v>-</v>
      </c>
      <c r="Q34" s="218" t="str">
        <f>IF(Datos!Q14=0,"-",Datos!Q75)</f>
        <v>-</v>
      </c>
      <c r="R34" s="218" t="str">
        <f>IF(Datos!R14=0,"-",Datos!R75)</f>
        <v>-</v>
      </c>
      <c r="S34" s="218" t="str">
        <f>IF(Datos!S14=0,"-",Datos!S75)</f>
        <v>-</v>
      </c>
      <c r="T34" s="218" t="str">
        <f>IF(Datos!T14=0,"-",Datos!T75)</f>
        <v>-</v>
      </c>
      <c r="U34" s="218" t="str">
        <f>IF(Datos!U14=0,"-",Datos!U75)</f>
        <v>-</v>
      </c>
      <c r="V34" s="218" t="str">
        <f>IF(Datos!V14=0,"-",Datos!V75)</f>
        <v>-</v>
      </c>
      <c r="W34" s="218" t="str">
        <f>IF(Datos!W14=0,"-",Datos!W75)</f>
        <v>-</v>
      </c>
      <c r="X34" s="218" t="str">
        <f>IF(Datos!X14=0,"-",Datos!X75)</f>
        <v>-</v>
      </c>
      <c r="Y34" s="218" t="str">
        <f>IF(Datos!Y14=0,"-",Datos!Y75)</f>
        <v>-</v>
      </c>
      <c r="Z34" s="218" t="str">
        <f>IF(Datos!Z14=0,"-",Datos!Z75)</f>
        <v>-</v>
      </c>
      <c r="AA34" s="218" t="str">
        <f>IF(Datos!AA14=0,"-",Datos!AA75)</f>
        <v>-</v>
      </c>
      <c r="AB34" s="218" t="str">
        <f>IF(Datos!AB14=0,"-",Datos!AB75)</f>
        <v>-</v>
      </c>
      <c r="AC34" s="218" t="str">
        <f>IF(Datos!AC14=0,"-",Datos!AC75)</f>
        <v>-</v>
      </c>
      <c r="AD34" s="218" t="str">
        <f>IF(Datos!AD14=0,"-",Datos!AD75)</f>
        <v>-</v>
      </c>
      <c r="AE34" s="218" t="str">
        <f>IF(Datos!AE14=0,"-",Datos!AE75)</f>
        <v>-</v>
      </c>
      <c r="AF34" s="218" t="str">
        <f>IF(Datos!AF14=0,"-",Datos!AF75)</f>
        <v>-</v>
      </c>
      <c r="AG34" s="218" t="str">
        <f>IF(Datos!AG14=0,"-",Datos!AG75)</f>
        <v>-</v>
      </c>
      <c r="AH34" s="218" t="str">
        <f>IF(Datos!AH14=0,"-",Datos!AH75)</f>
        <v>-</v>
      </c>
      <c r="AI34" s="218" t="str">
        <f>IF(Datos!AI14=0,"-",Datos!AI75)</f>
        <v>-</v>
      </c>
      <c r="AJ34" s="218" t="str">
        <f>IF(Datos!AJ14=0,"-",Datos!AJ75)</f>
        <v>-</v>
      </c>
      <c r="AK34" s="218" t="str">
        <f>IF(Datos!AK14=0,"-",Datos!AK75)</f>
        <v>-</v>
      </c>
      <c r="AL34" s="218" t="str">
        <f>IF(Datos!AL14=0,"-",Datos!AL75)</f>
        <v>-</v>
      </c>
    </row>
    <row r="35" spans="1:38" ht="13.5" customHeight="1" x14ac:dyDescent="0.3"/>
    <row r="36" spans="1:38" ht="23.25" customHeight="1" x14ac:dyDescent="0.3">
      <c r="A36" s="149" t="s">
        <v>142</v>
      </c>
      <c r="B36" s="143"/>
      <c r="C36" s="143"/>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row>
    <row r="37" spans="1:38" ht="27.75" customHeight="1" x14ac:dyDescent="0.3">
      <c r="A37" s="232" t="str">
        <f>KPIs!$A$6&amp;" · YTD"</f>
        <v>1 · Frecuencia de casos con días perdidos · YTD</v>
      </c>
      <c r="B37" s="70" t="s">
        <v>143</v>
      </c>
      <c r="C37" s="228">
        <f>IF(KPIs!C6="","",KPIs!C6)</f>
        <v>0</v>
      </c>
      <c r="D37" s="229">
        <f>IF(SUMPRODUCT((YEAR(Datos!$D$3:$AL$3)=YEAR(Datos!D$3))*(Datos!$D$3:$AL$3&lt;=Datos!D$3)*((Datos!$D$33:$AL$33)&gt;0)*((Datos!$D$14:$AL$14)=0))&gt;0,"-",IF((Datos!D14)=0,"-",IF((SUMIFS(Datos!$D$14:$AL$14,Datos!$D$3:$AL$3,"&gt;="&amp;DATE(YEAR(Datos!D$3),1,1),Datos!$D$3:$AL$3,"&lt;="&amp;Datos!D$3))=0,"-",(SUMIFS(Datos!$D$33:$AL$33,Datos!$D$3:$AL$3,"&gt;="&amp;DATE(YEAR(Datos!D$3),1,1),Datos!$D$3:$AL$3,"&lt;="&amp;Datos!D$3))*1000000/(SUMIFS(Datos!$D$14:$AL$14,Datos!$D$3:$AL$3,"&gt;="&amp;DATE(YEAR(Datos!D$3),1,1),Datos!$D$3:$AL$3,"&lt;="&amp;Datos!D$3)))))</f>
        <v>0</v>
      </c>
      <c r="E37" s="229">
        <f>IF(SUMPRODUCT((YEAR(Datos!$D$3:$AL$3)=YEAR(Datos!E$3))*(Datos!$D$3:$AL$3&lt;=Datos!E$3)*((Datos!$D$33:$AL$33)&gt;0)*((Datos!$D$14:$AL$14)=0))&gt;0,"-",IF((Datos!E14)=0,"-",IF((SUMIFS(Datos!$D$14:$AL$14,Datos!$D$3:$AL$3,"&gt;="&amp;DATE(YEAR(Datos!E$3),1,1),Datos!$D$3:$AL$3,"&lt;="&amp;Datos!E$3))=0,"-",(SUMIFS(Datos!$D$33:$AL$33,Datos!$D$3:$AL$3,"&gt;="&amp;DATE(YEAR(Datos!E$3),1,1),Datos!$D$3:$AL$3,"&lt;="&amp;Datos!E$3))*1000000/(SUMIFS(Datos!$D$14:$AL$14,Datos!$D$3:$AL$3,"&gt;="&amp;DATE(YEAR(Datos!E$3),1,1),Datos!$D$3:$AL$3,"&lt;="&amp;Datos!E$3)))))</f>
        <v>0</v>
      </c>
      <c r="F37" s="229" t="str">
        <f>IF(SUMPRODUCT((YEAR(Datos!$D$3:$AL$3)=YEAR(Datos!F$3))*(Datos!$D$3:$AL$3&lt;=Datos!F$3)*((Datos!$D$33:$AL$33)&gt;0)*((Datos!$D$14:$AL$14)=0))&gt;0,"-",IF((Datos!F14)=0,"-",IF((SUMIFS(Datos!$D$14:$AL$14,Datos!$D$3:$AL$3,"&gt;="&amp;DATE(YEAR(Datos!F$3),1,1),Datos!$D$3:$AL$3,"&lt;="&amp;Datos!F$3))=0,"-",(SUMIFS(Datos!$D$33:$AL$33,Datos!$D$3:$AL$3,"&gt;="&amp;DATE(YEAR(Datos!F$3),1,1),Datos!$D$3:$AL$3,"&lt;="&amp;Datos!F$3))*1000000/(SUMIFS(Datos!$D$14:$AL$14,Datos!$D$3:$AL$3,"&gt;="&amp;DATE(YEAR(Datos!F$3),1,1),Datos!$D$3:$AL$3,"&lt;="&amp;Datos!F$3)))))</f>
        <v>-</v>
      </c>
      <c r="G37" s="229" t="str">
        <f>IF(SUMPRODUCT((YEAR(Datos!$D$3:$AL$3)=YEAR(Datos!G$3))*(Datos!$D$3:$AL$3&lt;=Datos!G$3)*((Datos!$D$33:$AL$33)&gt;0)*((Datos!$D$14:$AL$14)=0))&gt;0,"-",IF((Datos!G14)=0,"-",IF((SUMIFS(Datos!$D$14:$AL$14,Datos!$D$3:$AL$3,"&gt;="&amp;DATE(YEAR(Datos!G$3),1,1),Datos!$D$3:$AL$3,"&lt;="&amp;Datos!G$3))=0,"-",(SUMIFS(Datos!$D$33:$AL$33,Datos!$D$3:$AL$3,"&gt;="&amp;DATE(YEAR(Datos!G$3),1,1),Datos!$D$3:$AL$3,"&lt;="&amp;Datos!G$3))*1000000/(SUMIFS(Datos!$D$14:$AL$14,Datos!$D$3:$AL$3,"&gt;="&amp;DATE(YEAR(Datos!G$3),1,1),Datos!$D$3:$AL$3,"&lt;="&amp;Datos!G$3)))))</f>
        <v>-</v>
      </c>
      <c r="H37" s="229" t="str">
        <f>IF(SUMPRODUCT((YEAR(Datos!$D$3:$AL$3)=YEAR(Datos!H$3))*(Datos!$D$3:$AL$3&lt;=Datos!H$3)*((Datos!$D$33:$AL$33)&gt;0)*((Datos!$D$14:$AL$14)=0))&gt;0,"-",IF((Datos!H14)=0,"-",IF((SUMIFS(Datos!$D$14:$AL$14,Datos!$D$3:$AL$3,"&gt;="&amp;DATE(YEAR(Datos!H$3),1,1),Datos!$D$3:$AL$3,"&lt;="&amp;Datos!H$3))=0,"-",(SUMIFS(Datos!$D$33:$AL$33,Datos!$D$3:$AL$3,"&gt;="&amp;DATE(YEAR(Datos!H$3),1,1),Datos!$D$3:$AL$3,"&lt;="&amp;Datos!H$3))*1000000/(SUMIFS(Datos!$D$14:$AL$14,Datos!$D$3:$AL$3,"&gt;="&amp;DATE(YEAR(Datos!H$3),1,1),Datos!$D$3:$AL$3,"&lt;="&amp;Datos!H$3)))))</f>
        <v>-</v>
      </c>
      <c r="I37" s="229" t="str">
        <f>IF(SUMPRODUCT((YEAR(Datos!$D$3:$AL$3)=YEAR(Datos!I$3))*(Datos!$D$3:$AL$3&lt;=Datos!I$3)*((Datos!$D$33:$AL$33)&gt;0)*((Datos!$D$14:$AL$14)=0))&gt;0,"-",IF((Datos!I14)=0,"-",IF((SUMIFS(Datos!$D$14:$AL$14,Datos!$D$3:$AL$3,"&gt;="&amp;DATE(YEAR(Datos!I$3),1,1),Datos!$D$3:$AL$3,"&lt;="&amp;Datos!I$3))=0,"-",(SUMIFS(Datos!$D$33:$AL$33,Datos!$D$3:$AL$3,"&gt;="&amp;DATE(YEAR(Datos!I$3),1,1),Datos!$D$3:$AL$3,"&lt;="&amp;Datos!I$3))*1000000/(SUMIFS(Datos!$D$14:$AL$14,Datos!$D$3:$AL$3,"&gt;="&amp;DATE(YEAR(Datos!I$3),1,1),Datos!$D$3:$AL$3,"&lt;="&amp;Datos!I$3)))))</f>
        <v>-</v>
      </c>
      <c r="J37" s="229" t="str">
        <f>IF(SUMPRODUCT((YEAR(Datos!$D$3:$AL$3)=YEAR(Datos!J$3))*(Datos!$D$3:$AL$3&lt;=Datos!J$3)*((Datos!$D$33:$AL$33)&gt;0)*((Datos!$D$14:$AL$14)=0))&gt;0,"-",IF((Datos!J14)=0,"-",IF((SUMIFS(Datos!$D$14:$AL$14,Datos!$D$3:$AL$3,"&gt;="&amp;DATE(YEAR(Datos!J$3),1,1),Datos!$D$3:$AL$3,"&lt;="&amp;Datos!J$3))=0,"-",(SUMIFS(Datos!$D$33:$AL$33,Datos!$D$3:$AL$3,"&gt;="&amp;DATE(YEAR(Datos!J$3),1,1),Datos!$D$3:$AL$3,"&lt;="&amp;Datos!J$3))*1000000/(SUMIFS(Datos!$D$14:$AL$14,Datos!$D$3:$AL$3,"&gt;="&amp;DATE(YEAR(Datos!J$3),1,1),Datos!$D$3:$AL$3,"&lt;="&amp;Datos!J$3)))))</f>
        <v>-</v>
      </c>
      <c r="K37" s="229" t="str">
        <f>IF(SUMPRODUCT((YEAR(Datos!$D$3:$AL$3)=YEAR(Datos!K$3))*(Datos!$D$3:$AL$3&lt;=Datos!K$3)*((Datos!$D$33:$AL$33)&gt;0)*((Datos!$D$14:$AL$14)=0))&gt;0,"-",IF((Datos!K14)=0,"-",IF((SUMIFS(Datos!$D$14:$AL$14,Datos!$D$3:$AL$3,"&gt;="&amp;DATE(YEAR(Datos!K$3),1,1),Datos!$D$3:$AL$3,"&lt;="&amp;Datos!K$3))=0,"-",(SUMIFS(Datos!$D$33:$AL$33,Datos!$D$3:$AL$3,"&gt;="&amp;DATE(YEAR(Datos!K$3),1,1),Datos!$D$3:$AL$3,"&lt;="&amp;Datos!K$3))*1000000/(SUMIFS(Datos!$D$14:$AL$14,Datos!$D$3:$AL$3,"&gt;="&amp;DATE(YEAR(Datos!K$3),1,1),Datos!$D$3:$AL$3,"&lt;="&amp;Datos!K$3)))))</f>
        <v>-</v>
      </c>
      <c r="L37" s="229" t="str">
        <f>IF(SUMPRODUCT((YEAR(Datos!$D$3:$AL$3)=YEAR(Datos!L$3))*(Datos!$D$3:$AL$3&lt;=Datos!L$3)*((Datos!$D$33:$AL$33)&gt;0)*((Datos!$D$14:$AL$14)=0))&gt;0,"-",IF((Datos!L14)=0,"-",IF((SUMIFS(Datos!$D$14:$AL$14,Datos!$D$3:$AL$3,"&gt;="&amp;DATE(YEAR(Datos!L$3),1,1),Datos!$D$3:$AL$3,"&lt;="&amp;Datos!L$3))=0,"-",(SUMIFS(Datos!$D$33:$AL$33,Datos!$D$3:$AL$3,"&gt;="&amp;DATE(YEAR(Datos!L$3),1,1),Datos!$D$3:$AL$3,"&lt;="&amp;Datos!L$3))*1000000/(SUMIFS(Datos!$D$14:$AL$14,Datos!$D$3:$AL$3,"&gt;="&amp;DATE(YEAR(Datos!L$3),1,1),Datos!$D$3:$AL$3,"&lt;="&amp;Datos!L$3)))))</f>
        <v>-</v>
      </c>
      <c r="M37" s="229" t="str">
        <f>IF(SUMPRODUCT((YEAR(Datos!$D$3:$AL$3)=YEAR(Datos!M$3))*(Datos!$D$3:$AL$3&lt;=Datos!M$3)*((Datos!$D$33:$AL$33)&gt;0)*((Datos!$D$14:$AL$14)=0))&gt;0,"-",IF((Datos!M14)=0,"-",IF((SUMIFS(Datos!$D$14:$AL$14,Datos!$D$3:$AL$3,"&gt;="&amp;DATE(YEAR(Datos!M$3),1,1),Datos!$D$3:$AL$3,"&lt;="&amp;Datos!M$3))=0,"-",(SUMIFS(Datos!$D$33:$AL$33,Datos!$D$3:$AL$3,"&gt;="&amp;DATE(YEAR(Datos!M$3),1,1),Datos!$D$3:$AL$3,"&lt;="&amp;Datos!M$3))*1000000/(SUMIFS(Datos!$D$14:$AL$14,Datos!$D$3:$AL$3,"&gt;="&amp;DATE(YEAR(Datos!M$3),1,1),Datos!$D$3:$AL$3,"&lt;="&amp;Datos!M$3)))))</f>
        <v>-</v>
      </c>
      <c r="N37" s="229" t="str">
        <f>IF(SUMPRODUCT((YEAR(Datos!$D$3:$AL$3)=YEAR(Datos!N$3))*(Datos!$D$3:$AL$3&lt;=Datos!N$3)*((Datos!$D$33:$AL$33)&gt;0)*((Datos!$D$14:$AL$14)=0))&gt;0,"-",IF((Datos!N14)=0,"-",IF((SUMIFS(Datos!$D$14:$AL$14,Datos!$D$3:$AL$3,"&gt;="&amp;DATE(YEAR(Datos!N$3),1,1),Datos!$D$3:$AL$3,"&lt;="&amp;Datos!N$3))=0,"-",(SUMIFS(Datos!$D$33:$AL$33,Datos!$D$3:$AL$3,"&gt;="&amp;DATE(YEAR(Datos!N$3),1,1),Datos!$D$3:$AL$3,"&lt;="&amp;Datos!N$3))*1000000/(SUMIFS(Datos!$D$14:$AL$14,Datos!$D$3:$AL$3,"&gt;="&amp;DATE(YEAR(Datos!N$3),1,1),Datos!$D$3:$AL$3,"&lt;="&amp;Datos!N$3)))))</f>
        <v>-</v>
      </c>
      <c r="O37" s="229" t="str">
        <f>IF(SUMPRODUCT((YEAR(Datos!$D$3:$AL$3)=YEAR(Datos!O$3))*(Datos!$D$3:$AL$3&lt;=Datos!O$3)*((Datos!$D$33:$AL$33)&gt;0)*((Datos!$D$14:$AL$14)=0))&gt;0,"-",IF((Datos!O14)=0,"-",IF((SUMIFS(Datos!$D$14:$AL$14,Datos!$D$3:$AL$3,"&gt;="&amp;DATE(YEAR(Datos!O$3),1,1),Datos!$D$3:$AL$3,"&lt;="&amp;Datos!O$3))=0,"-",(SUMIFS(Datos!$D$33:$AL$33,Datos!$D$3:$AL$3,"&gt;="&amp;DATE(YEAR(Datos!O$3),1,1),Datos!$D$3:$AL$3,"&lt;="&amp;Datos!O$3))*1000000/(SUMIFS(Datos!$D$14:$AL$14,Datos!$D$3:$AL$3,"&gt;="&amp;DATE(YEAR(Datos!O$3),1,1),Datos!$D$3:$AL$3,"&lt;="&amp;Datos!O$3)))))</f>
        <v>-</v>
      </c>
      <c r="P37" s="229" t="str">
        <f>IF(SUMPRODUCT((YEAR(Datos!$D$3:$AL$3)=YEAR(Datos!P$3))*(Datos!$D$3:$AL$3&lt;=Datos!P$3)*((Datos!$D$33:$AL$33)&gt;0)*((Datos!$D$14:$AL$14)=0))&gt;0,"-",IF((Datos!P14)=0,"-",IF((SUMIFS(Datos!$D$14:$AL$14,Datos!$D$3:$AL$3,"&gt;="&amp;DATE(YEAR(Datos!P$3),1,1),Datos!$D$3:$AL$3,"&lt;="&amp;Datos!P$3))=0,"-",(SUMIFS(Datos!$D$33:$AL$33,Datos!$D$3:$AL$3,"&gt;="&amp;DATE(YEAR(Datos!P$3),1,1),Datos!$D$3:$AL$3,"&lt;="&amp;Datos!P$3))*1000000/(SUMIFS(Datos!$D$14:$AL$14,Datos!$D$3:$AL$3,"&gt;="&amp;DATE(YEAR(Datos!P$3),1,1),Datos!$D$3:$AL$3,"&lt;="&amp;Datos!P$3)))))</f>
        <v>-</v>
      </c>
      <c r="Q37" s="229" t="str">
        <f>IF(SUMPRODUCT((YEAR(Datos!$D$3:$AL$3)=YEAR(Datos!Q$3))*(Datos!$D$3:$AL$3&lt;=Datos!Q$3)*((Datos!$D$33:$AL$33)&gt;0)*((Datos!$D$14:$AL$14)=0))&gt;0,"-",IF((Datos!Q14)=0,"-",IF((SUMIFS(Datos!$D$14:$AL$14,Datos!$D$3:$AL$3,"&gt;="&amp;DATE(YEAR(Datos!Q$3),1,1),Datos!$D$3:$AL$3,"&lt;="&amp;Datos!Q$3))=0,"-",(SUMIFS(Datos!$D$33:$AL$33,Datos!$D$3:$AL$3,"&gt;="&amp;DATE(YEAR(Datos!Q$3),1,1),Datos!$D$3:$AL$3,"&lt;="&amp;Datos!Q$3))*1000000/(SUMIFS(Datos!$D$14:$AL$14,Datos!$D$3:$AL$3,"&gt;="&amp;DATE(YEAR(Datos!Q$3),1,1),Datos!$D$3:$AL$3,"&lt;="&amp;Datos!Q$3)))))</f>
        <v>-</v>
      </c>
      <c r="R37" s="229" t="str">
        <f>IF(SUMPRODUCT((YEAR(Datos!$D$3:$AL$3)=YEAR(Datos!R$3))*(Datos!$D$3:$AL$3&lt;=Datos!R$3)*((Datos!$D$33:$AL$33)&gt;0)*((Datos!$D$14:$AL$14)=0))&gt;0,"-",IF((Datos!R14)=0,"-",IF((SUMIFS(Datos!$D$14:$AL$14,Datos!$D$3:$AL$3,"&gt;="&amp;DATE(YEAR(Datos!R$3),1,1),Datos!$D$3:$AL$3,"&lt;="&amp;Datos!R$3))=0,"-",(SUMIFS(Datos!$D$33:$AL$33,Datos!$D$3:$AL$3,"&gt;="&amp;DATE(YEAR(Datos!R$3),1,1),Datos!$D$3:$AL$3,"&lt;="&amp;Datos!R$3))*1000000/(SUMIFS(Datos!$D$14:$AL$14,Datos!$D$3:$AL$3,"&gt;="&amp;DATE(YEAR(Datos!R$3),1,1),Datos!$D$3:$AL$3,"&lt;="&amp;Datos!R$3)))))</f>
        <v>-</v>
      </c>
      <c r="S37" s="229" t="str">
        <f>IF(SUMPRODUCT((YEAR(Datos!$D$3:$AL$3)=YEAR(Datos!S$3))*(Datos!$D$3:$AL$3&lt;=Datos!S$3)*((Datos!$D$33:$AL$33)&gt;0)*((Datos!$D$14:$AL$14)=0))&gt;0,"-",IF((Datos!S14)=0,"-",IF((SUMIFS(Datos!$D$14:$AL$14,Datos!$D$3:$AL$3,"&gt;="&amp;DATE(YEAR(Datos!S$3),1,1),Datos!$D$3:$AL$3,"&lt;="&amp;Datos!S$3))=0,"-",(SUMIFS(Datos!$D$33:$AL$33,Datos!$D$3:$AL$3,"&gt;="&amp;DATE(YEAR(Datos!S$3),1,1),Datos!$D$3:$AL$3,"&lt;="&amp;Datos!S$3))*1000000/(SUMIFS(Datos!$D$14:$AL$14,Datos!$D$3:$AL$3,"&gt;="&amp;DATE(YEAR(Datos!S$3),1,1),Datos!$D$3:$AL$3,"&lt;="&amp;Datos!S$3)))))</f>
        <v>-</v>
      </c>
      <c r="T37" s="229" t="str">
        <f>IF(SUMPRODUCT((YEAR(Datos!$D$3:$AL$3)=YEAR(Datos!T$3))*(Datos!$D$3:$AL$3&lt;=Datos!T$3)*((Datos!$D$33:$AL$33)&gt;0)*((Datos!$D$14:$AL$14)=0))&gt;0,"-",IF((Datos!T14)=0,"-",IF((SUMIFS(Datos!$D$14:$AL$14,Datos!$D$3:$AL$3,"&gt;="&amp;DATE(YEAR(Datos!T$3),1,1),Datos!$D$3:$AL$3,"&lt;="&amp;Datos!T$3))=0,"-",(SUMIFS(Datos!$D$33:$AL$33,Datos!$D$3:$AL$3,"&gt;="&amp;DATE(YEAR(Datos!T$3),1,1),Datos!$D$3:$AL$3,"&lt;="&amp;Datos!T$3))*1000000/(SUMIFS(Datos!$D$14:$AL$14,Datos!$D$3:$AL$3,"&gt;="&amp;DATE(YEAR(Datos!T$3),1,1),Datos!$D$3:$AL$3,"&lt;="&amp;Datos!T$3)))))</f>
        <v>-</v>
      </c>
      <c r="U37" s="229" t="str">
        <f>IF(SUMPRODUCT((YEAR(Datos!$D$3:$AL$3)=YEAR(Datos!U$3))*(Datos!$D$3:$AL$3&lt;=Datos!U$3)*((Datos!$D$33:$AL$33)&gt;0)*((Datos!$D$14:$AL$14)=0))&gt;0,"-",IF((Datos!U14)=0,"-",IF((SUMIFS(Datos!$D$14:$AL$14,Datos!$D$3:$AL$3,"&gt;="&amp;DATE(YEAR(Datos!U$3),1,1),Datos!$D$3:$AL$3,"&lt;="&amp;Datos!U$3))=0,"-",(SUMIFS(Datos!$D$33:$AL$33,Datos!$D$3:$AL$3,"&gt;="&amp;DATE(YEAR(Datos!U$3),1,1),Datos!$D$3:$AL$3,"&lt;="&amp;Datos!U$3))*1000000/(SUMIFS(Datos!$D$14:$AL$14,Datos!$D$3:$AL$3,"&gt;="&amp;DATE(YEAR(Datos!U$3),1,1),Datos!$D$3:$AL$3,"&lt;="&amp;Datos!U$3)))))</f>
        <v>-</v>
      </c>
      <c r="V37" s="229" t="str">
        <f>IF(SUMPRODUCT((YEAR(Datos!$D$3:$AL$3)=YEAR(Datos!V$3))*(Datos!$D$3:$AL$3&lt;=Datos!V$3)*((Datos!$D$33:$AL$33)&gt;0)*((Datos!$D$14:$AL$14)=0))&gt;0,"-",IF((Datos!V14)=0,"-",IF((SUMIFS(Datos!$D$14:$AL$14,Datos!$D$3:$AL$3,"&gt;="&amp;DATE(YEAR(Datos!V$3),1,1),Datos!$D$3:$AL$3,"&lt;="&amp;Datos!V$3))=0,"-",(SUMIFS(Datos!$D$33:$AL$33,Datos!$D$3:$AL$3,"&gt;="&amp;DATE(YEAR(Datos!V$3),1,1),Datos!$D$3:$AL$3,"&lt;="&amp;Datos!V$3))*1000000/(SUMIFS(Datos!$D$14:$AL$14,Datos!$D$3:$AL$3,"&gt;="&amp;DATE(YEAR(Datos!V$3),1,1),Datos!$D$3:$AL$3,"&lt;="&amp;Datos!V$3)))))</f>
        <v>-</v>
      </c>
      <c r="W37" s="229" t="str">
        <f>IF(SUMPRODUCT((YEAR(Datos!$D$3:$AL$3)=YEAR(Datos!W$3))*(Datos!$D$3:$AL$3&lt;=Datos!W$3)*((Datos!$D$33:$AL$33)&gt;0)*((Datos!$D$14:$AL$14)=0))&gt;0,"-",IF((Datos!W14)=0,"-",IF((SUMIFS(Datos!$D$14:$AL$14,Datos!$D$3:$AL$3,"&gt;="&amp;DATE(YEAR(Datos!W$3),1,1),Datos!$D$3:$AL$3,"&lt;="&amp;Datos!W$3))=0,"-",(SUMIFS(Datos!$D$33:$AL$33,Datos!$D$3:$AL$3,"&gt;="&amp;DATE(YEAR(Datos!W$3),1,1),Datos!$D$3:$AL$3,"&lt;="&amp;Datos!W$3))*1000000/(SUMIFS(Datos!$D$14:$AL$14,Datos!$D$3:$AL$3,"&gt;="&amp;DATE(YEAR(Datos!W$3),1,1),Datos!$D$3:$AL$3,"&lt;="&amp;Datos!W$3)))))</f>
        <v>-</v>
      </c>
      <c r="X37" s="229" t="str">
        <f>IF(SUMPRODUCT((YEAR(Datos!$D$3:$AL$3)=YEAR(Datos!X$3))*(Datos!$D$3:$AL$3&lt;=Datos!X$3)*((Datos!$D$33:$AL$33)&gt;0)*((Datos!$D$14:$AL$14)=0))&gt;0,"-",IF((Datos!X14)=0,"-",IF((SUMIFS(Datos!$D$14:$AL$14,Datos!$D$3:$AL$3,"&gt;="&amp;DATE(YEAR(Datos!X$3),1,1),Datos!$D$3:$AL$3,"&lt;="&amp;Datos!X$3))=0,"-",(SUMIFS(Datos!$D$33:$AL$33,Datos!$D$3:$AL$3,"&gt;="&amp;DATE(YEAR(Datos!X$3),1,1),Datos!$D$3:$AL$3,"&lt;="&amp;Datos!X$3))*1000000/(SUMIFS(Datos!$D$14:$AL$14,Datos!$D$3:$AL$3,"&gt;="&amp;DATE(YEAR(Datos!X$3),1,1),Datos!$D$3:$AL$3,"&lt;="&amp;Datos!X$3)))))</f>
        <v>-</v>
      </c>
      <c r="Y37" s="229" t="str">
        <f>IF(SUMPRODUCT((YEAR(Datos!$D$3:$AL$3)=YEAR(Datos!Y$3))*(Datos!$D$3:$AL$3&lt;=Datos!Y$3)*((Datos!$D$33:$AL$33)&gt;0)*((Datos!$D$14:$AL$14)=0))&gt;0,"-",IF((Datos!Y14)=0,"-",IF((SUMIFS(Datos!$D$14:$AL$14,Datos!$D$3:$AL$3,"&gt;="&amp;DATE(YEAR(Datos!Y$3),1,1),Datos!$D$3:$AL$3,"&lt;="&amp;Datos!Y$3))=0,"-",(SUMIFS(Datos!$D$33:$AL$33,Datos!$D$3:$AL$3,"&gt;="&amp;DATE(YEAR(Datos!Y$3),1,1),Datos!$D$3:$AL$3,"&lt;="&amp;Datos!Y$3))*1000000/(SUMIFS(Datos!$D$14:$AL$14,Datos!$D$3:$AL$3,"&gt;="&amp;DATE(YEAR(Datos!Y$3),1,1),Datos!$D$3:$AL$3,"&lt;="&amp;Datos!Y$3)))))</f>
        <v>-</v>
      </c>
      <c r="Z37" s="229" t="str">
        <f>IF(SUMPRODUCT((YEAR(Datos!$D$3:$AL$3)=YEAR(Datos!Z$3))*(Datos!$D$3:$AL$3&lt;=Datos!Z$3)*((Datos!$D$33:$AL$33)&gt;0)*((Datos!$D$14:$AL$14)=0))&gt;0,"-",IF((Datos!Z14)=0,"-",IF((SUMIFS(Datos!$D$14:$AL$14,Datos!$D$3:$AL$3,"&gt;="&amp;DATE(YEAR(Datos!Z$3),1,1),Datos!$D$3:$AL$3,"&lt;="&amp;Datos!Z$3))=0,"-",(SUMIFS(Datos!$D$33:$AL$33,Datos!$D$3:$AL$3,"&gt;="&amp;DATE(YEAR(Datos!Z$3),1,1),Datos!$D$3:$AL$3,"&lt;="&amp;Datos!Z$3))*1000000/(SUMIFS(Datos!$D$14:$AL$14,Datos!$D$3:$AL$3,"&gt;="&amp;DATE(YEAR(Datos!Z$3),1,1),Datos!$D$3:$AL$3,"&lt;="&amp;Datos!Z$3)))))</f>
        <v>-</v>
      </c>
      <c r="AA37" s="229" t="str">
        <f>IF(SUMPRODUCT((YEAR(Datos!$D$3:$AL$3)=YEAR(Datos!AA$3))*(Datos!$D$3:$AL$3&lt;=Datos!AA$3)*((Datos!$D$33:$AL$33)&gt;0)*((Datos!$D$14:$AL$14)=0))&gt;0,"-",IF((Datos!AA14)=0,"-",IF((SUMIFS(Datos!$D$14:$AL$14,Datos!$D$3:$AL$3,"&gt;="&amp;DATE(YEAR(Datos!AA$3),1,1),Datos!$D$3:$AL$3,"&lt;="&amp;Datos!AA$3))=0,"-",(SUMIFS(Datos!$D$33:$AL$33,Datos!$D$3:$AL$3,"&gt;="&amp;DATE(YEAR(Datos!AA$3),1,1),Datos!$D$3:$AL$3,"&lt;="&amp;Datos!AA$3))*1000000/(SUMIFS(Datos!$D$14:$AL$14,Datos!$D$3:$AL$3,"&gt;="&amp;DATE(YEAR(Datos!AA$3),1,1),Datos!$D$3:$AL$3,"&lt;="&amp;Datos!AA$3)))))</f>
        <v>-</v>
      </c>
      <c r="AB37" s="229" t="str">
        <f>IF(SUMPRODUCT((YEAR(Datos!$D$3:$AL$3)=YEAR(Datos!AB$3))*(Datos!$D$3:$AL$3&lt;=Datos!AB$3)*((Datos!$D$33:$AL$33)&gt;0)*((Datos!$D$14:$AL$14)=0))&gt;0,"-",IF((Datos!AB14)=0,"-",IF((SUMIFS(Datos!$D$14:$AL$14,Datos!$D$3:$AL$3,"&gt;="&amp;DATE(YEAR(Datos!AB$3),1,1),Datos!$D$3:$AL$3,"&lt;="&amp;Datos!AB$3))=0,"-",(SUMIFS(Datos!$D$33:$AL$33,Datos!$D$3:$AL$3,"&gt;="&amp;DATE(YEAR(Datos!AB$3),1,1),Datos!$D$3:$AL$3,"&lt;="&amp;Datos!AB$3))*1000000/(SUMIFS(Datos!$D$14:$AL$14,Datos!$D$3:$AL$3,"&gt;="&amp;DATE(YEAR(Datos!AB$3),1,1),Datos!$D$3:$AL$3,"&lt;="&amp;Datos!AB$3)))))</f>
        <v>-</v>
      </c>
      <c r="AC37" s="229" t="str">
        <f>IF(SUMPRODUCT((YEAR(Datos!$D$3:$AL$3)=YEAR(Datos!AC$3))*(Datos!$D$3:$AL$3&lt;=Datos!AC$3)*((Datos!$D$33:$AL$33)&gt;0)*((Datos!$D$14:$AL$14)=0))&gt;0,"-",IF((Datos!AC14)=0,"-",IF((SUMIFS(Datos!$D$14:$AL$14,Datos!$D$3:$AL$3,"&gt;="&amp;DATE(YEAR(Datos!AC$3),1,1),Datos!$D$3:$AL$3,"&lt;="&amp;Datos!AC$3))=0,"-",(SUMIFS(Datos!$D$33:$AL$33,Datos!$D$3:$AL$3,"&gt;="&amp;DATE(YEAR(Datos!AC$3),1,1),Datos!$D$3:$AL$3,"&lt;="&amp;Datos!AC$3))*1000000/(SUMIFS(Datos!$D$14:$AL$14,Datos!$D$3:$AL$3,"&gt;="&amp;DATE(YEAR(Datos!AC$3),1,1),Datos!$D$3:$AL$3,"&lt;="&amp;Datos!AC$3)))))</f>
        <v>-</v>
      </c>
      <c r="AD37" s="229" t="str">
        <f>IF(SUMPRODUCT((YEAR(Datos!$D$3:$AL$3)=YEAR(Datos!AD$3))*(Datos!$D$3:$AL$3&lt;=Datos!AD$3)*((Datos!$D$33:$AL$33)&gt;0)*((Datos!$D$14:$AL$14)=0))&gt;0,"-",IF((Datos!AD14)=0,"-",IF((SUMIFS(Datos!$D$14:$AL$14,Datos!$D$3:$AL$3,"&gt;="&amp;DATE(YEAR(Datos!AD$3),1,1),Datos!$D$3:$AL$3,"&lt;="&amp;Datos!AD$3))=0,"-",(SUMIFS(Datos!$D$33:$AL$33,Datos!$D$3:$AL$3,"&gt;="&amp;DATE(YEAR(Datos!AD$3),1,1),Datos!$D$3:$AL$3,"&lt;="&amp;Datos!AD$3))*1000000/(SUMIFS(Datos!$D$14:$AL$14,Datos!$D$3:$AL$3,"&gt;="&amp;DATE(YEAR(Datos!AD$3),1,1),Datos!$D$3:$AL$3,"&lt;="&amp;Datos!AD$3)))))</f>
        <v>-</v>
      </c>
      <c r="AE37" s="229" t="str">
        <f>IF(SUMPRODUCT((YEAR(Datos!$D$3:$AL$3)=YEAR(Datos!AE$3))*(Datos!$D$3:$AL$3&lt;=Datos!AE$3)*((Datos!$D$33:$AL$33)&gt;0)*((Datos!$D$14:$AL$14)=0))&gt;0,"-",IF((Datos!AE14)=0,"-",IF((SUMIFS(Datos!$D$14:$AL$14,Datos!$D$3:$AL$3,"&gt;="&amp;DATE(YEAR(Datos!AE$3),1,1),Datos!$D$3:$AL$3,"&lt;="&amp;Datos!AE$3))=0,"-",(SUMIFS(Datos!$D$33:$AL$33,Datos!$D$3:$AL$3,"&gt;="&amp;DATE(YEAR(Datos!AE$3),1,1),Datos!$D$3:$AL$3,"&lt;="&amp;Datos!AE$3))*1000000/(SUMIFS(Datos!$D$14:$AL$14,Datos!$D$3:$AL$3,"&gt;="&amp;DATE(YEAR(Datos!AE$3),1,1),Datos!$D$3:$AL$3,"&lt;="&amp;Datos!AE$3)))))</f>
        <v>-</v>
      </c>
      <c r="AF37" s="229" t="str">
        <f>IF(SUMPRODUCT((YEAR(Datos!$D$3:$AL$3)=YEAR(Datos!AF$3))*(Datos!$D$3:$AL$3&lt;=Datos!AF$3)*((Datos!$D$33:$AL$33)&gt;0)*((Datos!$D$14:$AL$14)=0))&gt;0,"-",IF((Datos!AF14)=0,"-",IF((SUMIFS(Datos!$D$14:$AL$14,Datos!$D$3:$AL$3,"&gt;="&amp;DATE(YEAR(Datos!AF$3),1,1),Datos!$D$3:$AL$3,"&lt;="&amp;Datos!AF$3))=0,"-",(SUMIFS(Datos!$D$33:$AL$33,Datos!$D$3:$AL$3,"&gt;="&amp;DATE(YEAR(Datos!AF$3),1,1),Datos!$D$3:$AL$3,"&lt;="&amp;Datos!AF$3))*1000000/(SUMIFS(Datos!$D$14:$AL$14,Datos!$D$3:$AL$3,"&gt;="&amp;DATE(YEAR(Datos!AF$3),1,1),Datos!$D$3:$AL$3,"&lt;="&amp;Datos!AF$3)))))</f>
        <v>-</v>
      </c>
      <c r="AG37" s="229" t="str">
        <f>IF(SUMPRODUCT((YEAR(Datos!$D$3:$AL$3)=YEAR(Datos!AG$3))*(Datos!$D$3:$AL$3&lt;=Datos!AG$3)*((Datos!$D$33:$AL$33)&gt;0)*((Datos!$D$14:$AL$14)=0))&gt;0,"-",IF((Datos!AG14)=0,"-",IF((SUMIFS(Datos!$D$14:$AL$14,Datos!$D$3:$AL$3,"&gt;="&amp;DATE(YEAR(Datos!AG$3),1,1),Datos!$D$3:$AL$3,"&lt;="&amp;Datos!AG$3))=0,"-",(SUMIFS(Datos!$D$33:$AL$33,Datos!$D$3:$AL$3,"&gt;="&amp;DATE(YEAR(Datos!AG$3),1,1),Datos!$D$3:$AL$3,"&lt;="&amp;Datos!AG$3))*1000000/(SUMIFS(Datos!$D$14:$AL$14,Datos!$D$3:$AL$3,"&gt;="&amp;DATE(YEAR(Datos!AG$3),1,1),Datos!$D$3:$AL$3,"&lt;="&amp;Datos!AG$3)))))</f>
        <v>-</v>
      </c>
      <c r="AH37" s="229" t="str">
        <f>IF(SUMPRODUCT((YEAR(Datos!$D$3:$AL$3)=YEAR(Datos!AH$3))*(Datos!$D$3:$AL$3&lt;=Datos!AH$3)*((Datos!$D$33:$AL$33)&gt;0)*((Datos!$D$14:$AL$14)=0))&gt;0,"-",IF((Datos!AH14)=0,"-",IF((SUMIFS(Datos!$D$14:$AL$14,Datos!$D$3:$AL$3,"&gt;="&amp;DATE(YEAR(Datos!AH$3),1,1),Datos!$D$3:$AL$3,"&lt;="&amp;Datos!AH$3))=0,"-",(SUMIFS(Datos!$D$33:$AL$33,Datos!$D$3:$AL$3,"&gt;="&amp;DATE(YEAR(Datos!AH$3),1,1),Datos!$D$3:$AL$3,"&lt;="&amp;Datos!AH$3))*1000000/(SUMIFS(Datos!$D$14:$AL$14,Datos!$D$3:$AL$3,"&gt;="&amp;DATE(YEAR(Datos!AH$3),1,1),Datos!$D$3:$AL$3,"&lt;="&amp;Datos!AH$3)))))</f>
        <v>-</v>
      </c>
      <c r="AI37" s="229" t="str">
        <f>IF(SUMPRODUCT((YEAR(Datos!$D$3:$AL$3)=YEAR(Datos!AI$3))*(Datos!$D$3:$AL$3&lt;=Datos!AI$3)*((Datos!$D$33:$AL$33)&gt;0)*((Datos!$D$14:$AL$14)=0))&gt;0,"-",IF((Datos!AI14)=0,"-",IF((SUMIFS(Datos!$D$14:$AL$14,Datos!$D$3:$AL$3,"&gt;="&amp;DATE(YEAR(Datos!AI$3),1,1),Datos!$D$3:$AL$3,"&lt;="&amp;Datos!AI$3))=0,"-",(SUMIFS(Datos!$D$33:$AL$33,Datos!$D$3:$AL$3,"&gt;="&amp;DATE(YEAR(Datos!AI$3),1,1),Datos!$D$3:$AL$3,"&lt;="&amp;Datos!AI$3))*1000000/(SUMIFS(Datos!$D$14:$AL$14,Datos!$D$3:$AL$3,"&gt;="&amp;DATE(YEAR(Datos!AI$3),1,1),Datos!$D$3:$AL$3,"&lt;="&amp;Datos!AI$3)))))</f>
        <v>-</v>
      </c>
      <c r="AJ37" s="229" t="str">
        <f>IF(SUMPRODUCT((YEAR(Datos!$D$3:$AL$3)=YEAR(Datos!AJ$3))*(Datos!$D$3:$AL$3&lt;=Datos!AJ$3)*((Datos!$D$33:$AL$33)&gt;0)*((Datos!$D$14:$AL$14)=0))&gt;0,"-",IF((Datos!AJ14)=0,"-",IF((SUMIFS(Datos!$D$14:$AL$14,Datos!$D$3:$AL$3,"&gt;="&amp;DATE(YEAR(Datos!AJ$3),1,1),Datos!$D$3:$AL$3,"&lt;="&amp;Datos!AJ$3))=0,"-",(SUMIFS(Datos!$D$33:$AL$33,Datos!$D$3:$AL$3,"&gt;="&amp;DATE(YEAR(Datos!AJ$3),1,1),Datos!$D$3:$AL$3,"&lt;="&amp;Datos!AJ$3))*1000000/(SUMIFS(Datos!$D$14:$AL$14,Datos!$D$3:$AL$3,"&gt;="&amp;DATE(YEAR(Datos!AJ$3),1,1),Datos!$D$3:$AL$3,"&lt;="&amp;Datos!AJ$3)))))</f>
        <v>-</v>
      </c>
      <c r="AK37" s="229" t="str">
        <f>IF(SUMPRODUCT((YEAR(Datos!$D$3:$AL$3)=YEAR(Datos!AK$3))*(Datos!$D$3:$AL$3&lt;=Datos!AK$3)*((Datos!$D$33:$AL$33)&gt;0)*((Datos!$D$14:$AL$14)=0))&gt;0,"-",IF((Datos!AK14)=0,"-",IF((SUMIFS(Datos!$D$14:$AL$14,Datos!$D$3:$AL$3,"&gt;="&amp;DATE(YEAR(Datos!AK$3),1,1),Datos!$D$3:$AL$3,"&lt;="&amp;Datos!AK$3))=0,"-",(SUMIFS(Datos!$D$33:$AL$33,Datos!$D$3:$AL$3,"&gt;="&amp;DATE(YEAR(Datos!AK$3),1,1),Datos!$D$3:$AL$3,"&lt;="&amp;Datos!AK$3))*1000000/(SUMIFS(Datos!$D$14:$AL$14,Datos!$D$3:$AL$3,"&gt;="&amp;DATE(YEAR(Datos!AK$3),1,1),Datos!$D$3:$AL$3,"&lt;="&amp;Datos!AK$3)))))</f>
        <v>-</v>
      </c>
      <c r="AL37" s="229" t="str">
        <f>IF(SUMPRODUCT((YEAR(Datos!$D$3:$AL$3)=YEAR(Datos!AL$3))*(Datos!$D$3:$AL$3&lt;=Datos!AL$3)*((Datos!$D$33:$AL$33)&gt;0)*((Datos!$D$14:$AL$14)=0))&gt;0,"-",IF((Datos!AL14)=0,"-",IF((SUMIFS(Datos!$D$14:$AL$14,Datos!$D$3:$AL$3,"&gt;="&amp;DATE(YEAR(Datos!AL$3),1,1),Datos!$D$3:$AL$3,"&lt;="&amp;Datos!AL$3))=0,"-",(SUMIFS(Datos!$D$33:$AL$33,Datos!$D$3:$AL$3,"&gt;="&amp;DATE(YEAR(Datos!AL$3),1,1),Datos!$D$3:$AL$3,"&lt;="&amp;Datos!AL$3))*1000000/(SUMIFS(Datos!$D$14:$AL$14,Datos!$D$3:$AL$3,"&gt;="&amp;DATE(YEAR(Datos!AL$3),1,1),Datos!$D$3:$AL$3,"&lt;="&amp;Datos!AL$3)))))</f>
        <v>-</v>
      </c>
    </row>
    <row r="38" spans="1:38" ht="21.75" customHeight="1" x14ac:dyDescent="0.3">
      <c r="A38" s="232" t="str">
        <f>KPIs!$A$7&amp;" · YTD"</f>
        <v>2 · Frecuencia de casos registrables · YTD</v>
      </c>
      <c r="B38" s="70" t="s">
        <v>143</v>
      </c>
      <c r="C38" s="228">
        <f>IF(KPIs!C7="","",KPIs!C7)</f>
        <v>2.35</v>
      </c>
      <c r="D38" s="229">
        <f>IF(SUMPRODUCT((YEAR(Datos!$D$3:$AL$3)=YEAR(Datos!D$3))*(Datos!$D$3:$AL$3&lt;=Datos!D$3)*((Datos!$D$33:$AL$33+Datos!$D$34:$AL$34+Datos!$D$35:$AL$35+Datos!$D$36:$AL$36)&gt;0)*((Datos!$D$14:$AL$14)=0))&gt;0,"-",IF((Datos!D14)=0,"-",IF((SUMIFS(Datos!$D$14:$AL$14,Datos!$D$3:$AL$3,"&gt;="&amp;DATE(YEAR(Datos!D$3),1,1),Datos!$D$3:$AL$3,"&lt;="&amp;Datos!D$3))=0,"-",(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1000000/(SUMIFS(Datos!$D$14:$AL$14,Datos!$D$3:$AL$3,"&gt;="&amp;DATE(YEAR(Datos!D$3),1,1),Datos!$D$3:$AL$3,"&lt;="&amp;Datos!D$3)))))</f>
        <v>0</v>
      </c>
      <c r="E38" s="229">
        <f>IF(SUMPRODUCT((YEAR(Datos!$D$3:$AL$3)=YEAR(Datos!E$3))*(Datos!$D$3:$AL$3&lt;=Datos!E$3)*((Datos!$D$33:$AL$33+Datos!$D$34:$AL$34+Datos!$D$35:$AL$35+Datos!$D$36:$AL$36)&gt;0)*((Datos!$D$14:$AL$14)=0))&gt;0,"-",IF((Datos!E14)=0,"-",IF((SUMIFS(Datos!$D$14:$AL$14,Datos!$D$3:$AL$3,"&gt;="&amp;DATE(YEAR(Datos!E$3),1,1),Datos!$D$3:$AL$3,"&lt;="&amp;Datos!E$3))=0,"-",(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1000000/(SUMIFS(Datos!$D$14:$AL$14,Datos!$D$3:$AL$3,"&gt;="&amp;DATE(YEAR(Datos!E$3),1,1),Datos!$D$3:$AL$3,"&lt;="&amp;Datos!E$3)))))</f>
        <v>0</v>
      </c>
      <c r="F38" s="229" t="str">
        <f>IF(SUMPRODUCT((YEAR(Datos!$D$3:$AL$3)=YEAR(Datos!F$3))*(Datos!$D$3:$AL$3&lt;=Datos!F$3)*((Datos!$D$33:$AL$33+Datos!$D$34:$AL$34+Datos!$D$35:$AL$35+Datos!$D$36:$AL$36)&gt;0)*((Datos!$D$14:$AL$14)=0))&gt;0,"-",IF((Datos!F14)=0,"-",IF((SUMIFS(Datos!$D$14:$AL$14,Datos!$D$3:$AL$3,"&gt;="&amp;DATE(YEAR(Datos!F$3),1,1),Datos!$D$3:$AL$3,"&lt;="&amp;Datos!F$3))=0,"-",(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1000000/(SUMIFS(Datos!$D$14:$AL$14,Datos!$D$3:$AL$3,"&gt;="&amp;DATE(YEAR(Datos!F$3),1,1),Datos!$D$3:$AL$3,"&lt;="&amp;Datos!F$3)))))</f>
        <v>-</v>
      </c>
      <c r="G38" s="229" t="str">
        <f>IF(SUMPRODUCT((YEAR(Datos!$D$3:$AL$3)=YEAR(Datos!G$3))*(Datos!$D$3:$AL$3&lt;=Datos!G$3)*((Datos!$D$33:$AL$33+Datos!$D$34:$AL$34+Datos!$D$35:$AL$35+Datos!$D$36:$AL$36)&gt;0)*((Datos!$D$14:$AL$14)=0))&gt;0,"-",IF((Datos!G14)=0,"-",IF((SUMIFS(Datos!$D$14:$AL$14,Datos!$D$3:$AL$3,"&gt;="&amp;DATE(YEAR(Datos!G$3),1,1),Datos!$D$3:$AL$3,"&lt;="&amp;Datos!G$3))=0,"-",(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1000000/(SUMIFS(Datos!$D$14:$AL$14,Datos!$D$3:$AL$3,"&gt;="&amp;DATE(YEAR(Datos!G$3),1,1),Datos!$D$3:$AL$3,"&lt;="&amp;Datos!G$3)))))</f>
        <v>-</v>
      </c>
      <c r="H38" s="229" t="str">
        <f>IF(SUMPRODUCT((YEAR(Datos!$D$3:$AL$3)=YEAR(Datos!H$3))*(Datos!$D$3:$AL$3&lt;=Datos!H$3)*((Datos!$D$33:$AL$33+Datos!$D$34:$AL$34+Datos!$D$35:$AL$35+Datos!$D$36:$AL$36)&gt;0)*((Datos!$D$14:$AL$14)=0))&gt;0,"-",IF((Datos!H14)=0,"-",IF((SUMIFS(Datos!$D$14:$AL$14,Datos!$D$3:$AL$3,"&gt;="&amp;DATE(YEAR(Datos!H$3),1,1),Datos!$D$3:$AL$3,"&lt;="&amp;Datos!H$3))=0,"-",(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1000000/(SUMIFS(Datos!$D$14:$AL$14,Datos!$D$3:$AL$3,"&gt;="&amp;DATE(YEAR(Datos!H$3),1,1),Datos!$D$3:$AL$3,"&lt;="&amp;Datos!H$3)))))</f>
        <v>-</v>
      </c>
      <c r="I38" s="229" t="str">
        <f>IF(SUMPRODUCT((YEAR(Datos!$D$3:$AL$3)=YEAR(Datos!I$3))*(Datos!$D$3:$AL$3&lt;=Datos!I$3)*((Datos!$D$33:$AL$33+Datos!$D$34:$AL$34+Datos!$D$35:$AL$35+Datos!$D$36:$AL$36)&gt;0)*((Datos!$D$14:$AL$14)=0))&gt;0,"-",IF((Datos!I14)=0,"-",IF((SUMIFS(Datos!$D$14:$AL$14,Datos!$D$3:$AL$3,"&gt;="&amp;DATE(YEAR(Datos!I$3),1,1),Datos!$D$3:$AL$3,"&lt;="&amp;Datos!I$3))=0,"-",(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1000000/(SUMIFS(Datos!$D$14:$AL$14,Datos!$D$3:$AL$3,"&gt;="&amp;DATE(YEAR(Datos!I$3),1,1),Datos!$D$3:$AL$3,"&lt;="&amp;Datos!I$3)))))</f>
        <v>-</v>
      </c>
      <c r="J38" s="229" t="str">
        <f>IF(SUMPRODUCT((YEAR(Datos!$D$3:$AL$3)=YEAR(Datos!J$3))*(Datos!$D$3:$AL$3&lt;=Datos!J$3)*((Datos!$D$33:$AL$33+Datos!$D$34:$AL$34+Datos!$D$35:$AL$35+Datos!$D$36:$AL$36)&gt;0)*((Datos!$D$14:$AL$14)=0))&gt;0,"-",IF((Datos!J14)=0,"-",IF((SUMIFS(Datos!$D$14:$AL$14,Datos!$D$3:$AL$3,"&gt;="&amp;DATE(YEAR(Datos!J$3),1,1),Datos!$D$3:$AL$3,"&lt;="&amp;Datos!J$3))=0,"-",(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1000000/(SUMIFS(Datos!$D$14:$AL$14,Datos!$D$3:$AL$3,"&gt;="&amp;DATE(YEAR(Datos!J$3),1,1),Datos!$D$3:$AL$3,"&lt;="&amp;Datos!J$3)))))</f>
        <v>-</v>
      </c>
      <c r="K38" s="229" t="str">
        <f>IF(SUMPRODUCT((YEAR(Datos!$D$3:$AL$3)=YEAR(Datos!K$3))*(Datos!$D$3:$AL$3&lt;=Datos!K$3)*((Datos!$D$33:$AL$33+Datos!$D$34:$AL$34+Datos!$D$35:$AL$35+Datos!$D$36:$AL$36)&gt;0)*((Datos!$D$14:$AL$14)=0))&gt;0,"-",IF((Datos!K14)=0,"-",IF((SUMIFS(Datos!$D$14:$AL$14,Datos!$D$3:$AL$3,"&gt;="&amp;DATE(YEAR(Datos!K$3),1,1),Datos!$D$3:$AL$3,"&lt;="&amp;Datos!K$3))=0,"-",(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1000000/(SUMIFS(Datos!$D$14:$AL$14,Datos!$D$3:$AL$3,"&gt;="&amp;DATE(YEAR(Datos!K$3),1,1),Datos!$D$3:$AL$3,"&lt;="&amp;Datos!K$3)))))</f>
        <v>-</v>
      </c>
      <c r="L38" s="229" t="str">
        <f>IF(SUMPRODUCT((YEAR(Datos!$D$3:$AL$3)=YEAR(Datos!L$3))*(Datos!$D$3:$AL$3&lt;=Datos!L$3)*((Datos!$D$33:$AL$33+Datos!$D$34:$AL$34+Datos!$D$35:$AL$35+Datos!$D$36:$AL$36)&gt;0)*((Datos!$D$14:$AL$14)=0))&gt;0,"-",IF((Datos!L14)=0,"-",IF((SUMIFS(Datos!$D$14:$AL$14,Datos!$D$3:$AL$3,"&gt;="&amp;DATE(YEAR(Datos!L$3),1,1),Datos!$D$3:$AL$3,"&lt;="&amp;Datos!L$3))=0,"-",(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1000000/(SUMIFS(Datos!$D$14:$AL$14,Datos!$D$3:$AL$3,"&gt;="&amp;DATE(YEAR(Datos!L$3),1,1),Datos!$D$3:$AL$3,"&lt;="&amp;Datos!L$3)))))</f>
        <v>-</v>
      </c>
      <c r="M38" s="229" t="str">
        <f>IF(SUMPRODUCT((YEAR(Datos!$D$3:$AL$3)=YEAR(Datos!M$3))*(Datos!$D$3:$AL$3&lt;=Datos!M$3)*((Datos!$D$33:$AL$33+Datos!$D$34:$AL$34+Datos!$D$35:$AL$35+Datos!$D$36:$AL$36)&gt;0)*((Datos!$D$14:$AL$14)=0))&gt;0,"-",IF((Datos!M14)=0,"-",IF((SUMIFS(Datos!$D$14:$AL$14,Datos!$D$3:$AL$3,"&gt;="&amp;DATE(YEAR(Datos!M$3),1,1),Datos!$D$3:$AL$3,"&lt;="&amp;Datos!M$3))=0,"-",(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1000000/(SUMIFS(Datos!$D$14:$AL$14,Datos!$D$3:$AL$3,"&gt;="&amp;DATE(YEAR(Datos!M$3),1,1),Datos!$D$3:$AL$3,"&lt;="&amp;Datos!M$3)))))</f>
        <v>-</v>
      </c>
      <c r="N38" s="229" t="str">
        <f>IF(SUMPRODUCT((YEAR(Datos!$D$3:$AL$3)=YEAR(Datos!N$3))*(Datos!$D$3:$AL$3&lt;=Datos!N$3)*((Datos!$D$33:$AL$33+Datos!$D$34:$AL$34+Datos!$D$35:$AL$35+Datos!$D$36:$AL$36)&gt;0)*((Datos!$D$14:$AL$14)=0))&gt;0,"-",IF((Datos!N14)=0,"-",IF((SUMIFS(Datos!$D$14:$AL$14,Datos!$D$3:$AL$3,"&gt;="&amp;DATE(YEAR(Datos!N$3),1,1),Datos!$D$3:$AL$3,"&lt;="&amp;Datos!N$3))=0,"-",(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1000000/(SUMIFS(Datos!$D$14:$AL$14,Datos!$D$3:$AL$3,"&gt;="&amp;DATE(YEAR(Datos!N$3),1,1),Datos!$D$3:$AL$3,"&lt;="&amp;Datos!N$3)))))</f>
        <v>-</v>
      </c>
      <c r="O38" s="229" t="str">
        <f>IF(SUMPRODUCT((YEAR(Datos!$D$3:$AL$3)=YEAR(Datos!O$3))*(Datos!$D$3:$AL$3&lt;=Datos!O$3)*((Datos!$D$33:$AL$33+Datos!$D$34:$AL$34+Datos!$D$35:$AL$35+Datos!$D$36:$AL$36)&gt;0)*((Datos!$D$14:$AL$14)=0))&gt;0,"-",IF((Datos!O14)=0,"-",IF((SUMIFS(Datos!$D$14:$AL$14,Datos!$D$3:$AL$3,"&gt;="&amp;DATE(YEAR(Datos!O$3),1,1),Datos!$D$3:$AL$3,"&lt;="&amp;Datos!O$3))=0,"-",(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1000000/(SUMIFS(Datos!$D$14:$AL$14,Datos!$D$3:$AL$3,"&gt;="&amp;DATE(YEAR(Datos!O$3),1,1),Datos!$D$3:$AL$3,"&lt;="&amp;Datos!O$3)))))</f>
        <v>-</v>
      </c>
      <c r="P38" s="229" t="str">
        <f>IF(SUMPRODUCT((YEAR(Datos!$D$3:$AL$3)=YEAR(Datos!P$3))*(Datos!$D$3:$AL$3&lt;=Datos!P$3)*((Datos!$D$33:$AL$33+Datos!$D$34:$AL$34+Datos!$D$35:$AL$35+Datos!$D$36:$AL$36)&gt;0)*((Datos!$D$14:$AL$14)=0))&gt;0,"-",IF((Datos!P14)=0,"-",IF((SUMIFS(Datos!$D$14:$AL$14,Datos!$D$3:$AL$3,"&gt;="&amp;DATE(YEAR(Datos!P$3),1,1),Datos!$D$3:$AL$3,"&lt;="&amp;Datos!P$3))=0,"-",(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1000000/(SUMIFS(Datos!$D$14:$AL$14,Datos!$D$3:$AL$3,"&gt;="&amp;DATE(YEAR(Datos!P$3),1,1),Datos!$D$3:$AL$3,"&lt;="&amp;Datos!P$3)))))</f>
        <v>-</v>
      </c>
      <c r="Q38" s="229" t="str">
        <f>IF(SUMPRODUCT((YEAR(Datos!$D$3:$AL$3)=YEAR(Datos!Q$3))*(Datos!$D$3:$AL$3&lt;=Datos!Q$3)*((Datos!$D$33:$AL$33+Datos!$D$34:$AL$34+Datos!$D$35:$AL$35+Datos!$D$36:$AL$36)&gt;0)*((Datos!$D$14:$AL$14)=0))&gt;0,"-",IF((Datos!Q14)=0,"-",IF((SUMIFS(Datos!$D$14:$AL$14,Datos!$D$3:$AL$3,"&gt;="&amp;DATE(YEAR(Datos!Q$3),1,1),Datos!$D$3:$AL$3,"&lt;="&amp;Datos!Q$3))=0,"-",(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1000000/(SUMIFS(Datos!$D$14:$AL$14,Datos!$D$3:$AL$3,"&gt;="&amp;DATE(YEAR(Datos!Q$3),1,1),Datos!$D$3:$AL$3,"&lt;="&amp;Datos!Q$3)))))</f>
        <v>-</v>
      </c>
      <c r="R38" s="229" t="str">
        <f>IF(SUMPRODUCT((YEAR(Datos!$D$3:$AL$3)=YEAR(Datos!R$3))*(Datos!$D$3:$AL$3&lt;=Datos!R$3)*((Datos!$D$33:$AL$33+Datos!$D$34:$AL$34+Datos!$D$35:$AL$35+Datos!$D$36:$AL$36)&gt;0)*((Datos!$D$14:$AL$14)=0))&gt;0,"-",IF((Datos!R14)=0,"-",IF((SUMIFS(Datos!$D$14:$AL$14,Datos!$D$3:$AL$3,"&gt;="&amp;DATE(YEAR(Datos!R$3),1,1),Datos!$D$3:$AL$3,"&lt;="&amp;Datos!R$3))=0,"-",(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1000000/(SUMIFS(Datos!$D$14:$AL$14,Datos!$D$3:$AL$3,"&gt;="&amp;DATE(YEAR(Datos!R$3),1,1),Datos!$D$3:$AL$3,"&lt;="&amp;Datos!R$3)))))</f>
        <v>-</v>
      </c>
      <c r="S38" s="229" t="str">
        <f>IF(SUMPRODUCT((YEAR(Datos!$D$3:$AL$3)=YEAR(Datos!S$3))*(Datos!$D$3:$AL$3&lt;=Datos!S$3)*((Datos!$D$33:$AL$33+Datos!$D$34:$AL$34+Datos!$D$35:$AL$35+Datos!$D$36:$AL$36)&gt;0)*((Datos!$D$14:$AL$14)=0))&gt;0,"-",IF((Datos!S14)=0,"-",IF((SUMIFS(Datos!$D$14:$AL$14,Datos!$D$3:$AL$3,"&gt;="&amp;DATE(YEAR(Datos!S$3),1,1),Datos!$D$3:$AL$3,"&lt;="&amp;Datos!S$3))=0,"-",(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1000000/(SUMIFS(Datos!$D$14:$AL$14,Datos!$D$3:$AL$3,"&gt;="&amp;DATE(YEAR(Datos!S$3),1,1),Datos!$D$3:$AL$3,"&lt;="&amp;Datos!S$3)))))</f>
        <v>-</v>
      </c>
      <c r="T38" s="229" t="str">
        <f>IF(SUMPRODUCT((YEAR(Datos!$D$3:$AL$3)=YEAR(Datos!T$3))*(Datos!$D$3:$AL$3&lt;=Datos!T$3)*((Datos!$D$33:$AL$33+Datos!$D$34:$AL$34+Datos!$D$35:$AL$35+Datos!$D$36:$AL$36)&gt;0)*((Datos!$D$14:$AL$14)=0))&gt;0,"-",IF((Datos!T14)=0,"-",IF((SUMIFS(Datos!$D$14:$AL$14,Datos!$D$3:$AL$3,"&gt;="&amp;DATE(YEAR(Datos!T$3),1,1),Datos!$D$3:$AL$3,"&lt;="&amp;Datos!T$3))=0,"-",(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1000000/(SUMIFS(Datos!$D$14:$AL$14,Datos!$D$3:$AL$3,"&gt;="&amp;DATE(YEAR(Datos!T$3),1,1),Datos!$D$3:$AL$3,"&lt;="&amp;Datos!T$3)))))</f>
        <v>-</v>
      </c>
      <c r="U38" s="229" t="str">
        <f>IF(SUMPRODUCT((YEAR(Datos!$D$3:$AL$3)=YEAR(Datos!U$3))*(Datos!$D$3:$AL$3&lt;=Datos!U$3)*((Datos!$D$33:$AL$33+Datos!$D$34:$AL$34+Datos!$D$35:$AL$35+Datos!$D$36:$AL$36)&gt;0)*((Datos!$D$14:$AL$14)=0))&gt;0,"-",IF((Datos!U14)=0,"-",IF((SUMIFS(Datos!$D$14:$AL$14,Datos!$D$3:$AL$3,"&gt;="&amp;DATE(YEAR(Datos!U$3),1,1),Datos!$D$3:$AL$3,"&lt;="&amp;Datos!U$3))=0,"-",(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1000000/(SUMIFS(Datos!$D$14:$AL$14,Datos!$D$3:$AL$3,"&gt;="&amp;DATE(YEAR(Datos!U$3),1,1),Datos!$D$3:$AL$3,"&lt;="&amp;Datos!U$3)))))</f>
        <v>-</v>
      </c>
      <c r="V38" s="229" t="str">
        <f>IF(SUMPRODUCT((YEAR(Datos!$D$3:$AL$3)=YEAR(Datos!V$3))*(Datos!$D$3:$AL$3&lt;=Datos!V$3)*((Datos!$D$33:$AL$33+Datos!$D$34:$AL$34+Datos!$D$35:$AL$35+Datos!$D$36:$AL$36)&gt;0)*((Datos!$D$14:$AL$14)=0))&gt;0,"-",IF((Datos!V14)=0,"-",IF((SUMIFS(Datos!$D$14:$AL$14,Datos!$D$3:$AL$3,"&gt;="&amp;DATE(YEAR(Datos!V$3),1,1),Datos!$D$3:$AL$3,"&lt;="&amp;Datos!V$3))=0,"-",(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1000000/(SUMIFS(Datos!$D$14:$AL$14,Datos!$D$3:$AL$3,"&gt;="&amp;DATE(YEAR(Datos!V$3),1,1),Datos!$D$3:$AL$3,"&lt;="&amp;Datos!V$3)))))</f>
        <v>-</v>
      </c>
      <c r="W38" s="229" t="str">
        <f>IF(SUMPRODUCT((YEAR(Datos!$D$3:$AL$3)=YEAR(Datos!W$3))*(Datos!$D$3:$AL$3&lt;=Datos!W$3)*((Datos!$D$33:$AL$33+Datos!$D$34:$AL$34+Datos!$D$35:$AL$35+Datos!$D$36:$AL$36)&gt;0)*((Datos!$D$14:$AL$14)=0))&gt;0,"-",IF((Datos!W14)=0,"-",IF((SUMIFS(Datos!$D$14:$AL$14,Datos!$D$3:$AL$3,"&gt;="&amp;DATE(YEAR(Datos!W$3),1,1),Datos!$D$3:$AL$3,"&lt;="&amp;Datos!W$3))=0,"-",(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1000000/(SUMIFS(Datos!$D$14:$AL$14,Datos!$D$3:$AL$3,"&gt;="&amp;DATE(YEAR(Datos!W$3),1,1),Datos!$D$3:$AL$3,"&lt;="&amp;Datos!W$3)))))</f>
        <v>-</v>
      </c>
      <c r="X38" s="229" t="str">
        <f>IF(SUMPRODUCT((YEAR(Datos!$D$3:$AL$3)=YEAR(Datos!X$3))*(Datos!$D$3:$AL$3&lt;=Datos!X$3)*((Datos!$D$33:$AL$33+Datos!$D$34:$AL$34+Datos!$D$35:$AL$35+Datos!$D$36:$AL$36)&gt;0)*((Datos!$D$14:$AL$14)=0))&gt;0,"-",IF((Datos!X14)=0,"-",IF((SUMIFS(Datos!$D$14:$AL$14,Datos!$D$3:$AL$3,"&gt;="&amp;DATE(YEAR(Datos!X$3),1,1),Datos!$D$3:$AL$3,"&lt;="&amp;Datos!X$3))=0,"-",(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1000000/(SUMIFS(Datos!$D$14:$AL$14,Datos!$D$3:$AL$3,"&gt;="&amp;DATE(YEAR(Datos!X$3),1,1),Datos!$D$3:$AL$3,"&lt;="&amp;Datos!X$3)))))</f>
        <v>-</v>
      </c>
      <c r="Y38" s="229" t="str">
        <f>IF(SUMPRODUCT((YEAR(Datos!$D$3:$AL$3)=YEAR(Datos!Y$3))*(Datos!$D$3:$AL$3&lt;=Datos!Y$3)*((Datos!$D$33:$AL$33+Datos!$D$34:$AL$34+Datos!$D$35:$AL$35+Datos!$D$36:$AL$36)&gt;0)*((Datos!$D$14:$AL$14)=0))&gt;0,"-",IF((Datos!Y14)=0,"-",IF((SUMIFS(Datos!$D$14:$AL$14,Datos!$D$3:$AL$3,"&gt;="&amp;DATE(YEAR(Datos!Y$3),1,1),Datos!$D$3:$AL$3,"&lt;="&amp;Datos!Y$3))=0,"-",(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1000000/(SUMIFS(Datos!$D$14:$AL$14,Datos!$D$3:$AL$3,"&gt;="&amp;DATE(YEAR(Datos!Y$3),1,1),Datos!$D$3:$AL$3,"&lt;="&amp;Datos!Y$3)))))</f>
        <v>-</v>
      </c>
      <c r="Z38" s="229" t="str">
        <f>IF(SUMPRODUCT((YEAR(Datos!$D$3:$AL$3)=YEAR(Datos!Z$3))*(Datos!$D$3:$AL$3&lt;=Datos!Z$3)*((Datos!$D$33:$AL$33+Datos!$D$34:$AL$34+Datos!$D$35:$AL$35+Datos!$D$36:$AL$36)&gt;0)*((Datos!$D$14:$AL$14)=0))&gt;0,"-",IF((Datos!Z14)=0,"-",IF((SUMIFS(Datos!$D$14:$AL$14,Datos!$D$3:$AL$3,"&gt;="&amp;DATE(YEAR(Datos!Z$3),1,1),Datos!$D$3:$AL$3,"&lt;="&amp;Datos!Z$3))=0,"-",(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1000000/(SUMIFS(Datos!$D$14:$AL$14,Datos!$D$3:$AL$3,"&gt;="&amp;DATE(YEAR(Datos!Z$3),1,1),Datos!$D$3:$AL$3,"&lt;="&amp;Datos!Z$3)))))</f>
        <v>-</v>
      </c>
      <c r="AA38" s="229" t="str">
        <f>IF(SUMPRODUCT((YEAR(Datos!$D$3:$AL$3)=YEAR(Datos!AA$3))*(Datos!$D$3:$AL$3&lt;=Datos!AA$3)*((Datos!$D$33:$AL$33+Datos!$D$34:$AL$34+Datos!$D$35:$AL$35+Datos!$D$36:$AL$36)&gt;0)*((Datos!$D$14:$AL$14)=0))&gt;0,"-",IF((Datos!AA14)=0,"-",IF((SUMIFS(Datos!$D$14:$AL$14,Datos!$D$3:$AL$3,"&gt;="&amp;DATE(YEAR(Datos!AA$3),1,1),Datos!$D$3:$AL$3,"&lt;="&amp;Datos!AA$3))=0,"-",(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1000000/(SUMIFS(Datos!$D$14:$AL$14,Datos!$D$3:$AL$3,"&gt;="&amp;DATE(YEAR(Datos!AA$3),1,1),Datos!$D$3:$AL$3,"&lt;="&amp;Datos!AA$3)))))</f>
        <v>-</v>
      </c>
      <c r="AB38" s="229" t="str">
        <f>IF(SUMPRODUCT((YEAR(Datos!$D$3:$AL$3)=YEAR(Datos!AB$3))*(Datos!$D$3:$AL$3&lt;=Datos!AB$3)*((Datos!$D$33:$AL$33+Datos!$D$34:$AL$34+Datos!$D$35:$AL$35+Datos!$D$36:$AL$36)&gt;0)*((Datos!$D$14:$AL$14)=0))&gt;0,"-",IF((Datos!AB14)=0,"-",IF((SUMIFS(Datos!$D$14:$AL$14,Datos!$D$3:$AL$3,"&gt;="&amp;DATE(YEAR(Datos!AB$3),1,1),Datos!$D$3:$AL$3,"&lt;="&amp;Datos!AB$3))=0,"-",(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1000000/(SUMIFS(Datos!$D$14:$AL$14,Datos!$D$3:$AL$3,"&gt;="&amp;DATE(YEAR(Datos!AB$3),1,1),Datos!$D$3:$AL$3,"&lt;="&amp;Datos!AB$3)))))</f>
        <v>-</v>
      </c>
      <c r="AC38" s="229" t="str">
        <f>IF(SUMPRODUCT((YEAR(Datos!$D$3:$AL$3)=YEAR(Datos!AC$3))*(Datos!$D$3:$AL$3&lt;=Datos!AC$3)*((Datos!$D$33:$AL$33+Datos!$D$34:$AL$34+Datos!$D$35:$AL$35+Datos!$D$36:$AL$36)&gt;0)*((Datos!$D$14:$AL$14)=0))&gt;0,"-",IF((Datos!AC14)=0,"-",IF((SUMIFS(Datos!$D$14:$AL$14,Datos!$D$3:$AL$3,"&gt;="&amp;DATE(YEAR(Datos!AC$3),1,1),Datos!$D$3:$AL$3,"&lt;="&amp;Datos!AC$3))=0,"-",(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1000000/(SUMIFS(Datos!$D$14:$AL$14,Datos!$D$3:$AL$3,"&gt;="&amp;DATE(YEAR(Datos!AC$3),1,1),Datos!$D$3:$AL$3,"&lt;="&amp;Datos!AC$3)))))</f>
        <v>-</v>
      </c>
      <c r="AD38" s="229" t="str">
        <f>IF(SUMPRODUCT((YEAR(Datos!$D$3:$AL$3)=YEAR(Datos!AD$3))*(Datos!$D$3:$AL$3&lt;=Datos!AD$3)*((Datos!$D$33:$AL$33+Datos!$D$34:$AL$34+Datos!$D$35:$AL$35+Datos!$D$36:$AL$36)&gt;0)*((Datos!$D$14:$AL$14)=0))&gt;0,"-",IF((Datos!AD14)=0,"-",IF((SUMIFS(Datos!$D$14:$AL$14,Datos!$D$3:$AL$3,"&gt;="&amp;DATE(YEAR(Datos!AD$3),1,1),Datos!$D$3:$AL$3,"&lt;="&amp;Datos!AD$3))=0,"-",(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1000000/(SUMIFS(Datos!$D$14:$AL$14,Datos!$D$3:$AL$3,"&gt;="&amp;DATE(YEAR(Datos!AD$3),1,1),Datos!$D$3:$AL$3,"&lt;="&amp;Datos!AD$3)))))</f>
        <v>-</v>
      </c>
      <c r="AE38" s="229" t="str">
        <f>IF(SUMPRODUCT((YEAR(Datos!$D$3:$AL$3)=YEAR(Datos!AE$3))*(Datos!$D$3:$AL$3&lt;=Datos!AE$3)*((Datos!$D$33:$AL$33+Datos!$D$34:$AL$34+Datos!$D$35:$AL$35+Datos!$D$36:$AL$36)&gt;0)*((Datos!$D$14:$AL$14)=0))&gt;0,"-",IF((Datos!AE14)=0,"-",IF((SUMIFS(Datos!$D$14:$AL$14,Datos!$D$3:$AL$3,"&gt;="&amp;DATE(YEAR(Datos!AE$3),1,1),Datos!$D$3:$AL$3,"&lt;="&amp;Datos!AE$3))=0,"-",(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1000000/(SUMIFS(Datos!$D$14:$AL$14,Datos!$D$3:$AL$3,"&gt;="&amp;DATE(YEAR(Datos!AE$3),1,1),Datos!$D$3:$AL$3,"&lt;="&amp;Datos!AE$3)))))</f>
        <v>-</v>
      </c>
      <c r="AF38" s="229" t="str">
        <f>IF(SUMPRODUCT((YEAR(Datos!$D$3:$AL$3)=YEAR(Datos!AF$3))*(Datos!$D$3:$AL$3&lt;=Datos!AF$3)*((Datos!$D$33:$AL$33+Datos!$D$34:$AL$34+Datos!$D$35:$AL$35+Datos!$D$36:$AL$36)&gt;0)*((Datos!$D$14:$AL$14)=0))&gt;0,"-",IF((Datos!AF14)=0,"-",IF((SUMIFS(Datos!$D$14:$AL$14,Datos!$D$3:$AL$3,"&gt;="&amp;DATE(YEAR(Datos!AF$3),1,1),Datos!$D$3:$AL$3,"&lt;="&amp;Datos!AF$3))=0,"-",(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1000000/(SUMIFS(Datos!$D$14:$AL$14,Datos!$D$3:$AL$3,"&gt;="&amp;DATE(YEAR(Datos!AF$3),1,1),Datos!$D$3:$AL$3,"&lt;="&amp;Datos!AF$3)))))</f>
        <v>-</v>
      </c>
      <c r="AG38" s="229" t="str">
        <f>IF(SUMPRODUCT((YEAR(Datos!$D$3:$AL$3)=YEAR(Datos!AG$3))*(Datos!$D$3:$AL$3&lt;=Datos!AG$3)*((Datos!$D$33:$AL$33+Datos!$D$34:$AL$34+Datos!$D$35:$AL$35+Datos!$D$36:$AL$36)&gt;0)*((Datos!$D$14:$AL$14)=0))&gt;0,"-",IF((Datos!AG14)=0,"-",IF((SUMIFS(Datos!$D$14:$AL$14,Datos!$D$3:$AL$3,"&gt;="&amp;DATE(YEAR(Datos!AG$3),1,1),Datos!$D$3:$AL$3,"&lt;="&amp;Datos!AG$3))=0,"-",(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1000000/(SUMIFS(Datos!$D$14:$AL$14,Datos!$D$3:$AL$3,"&gt;="&amp;DATE(YEAR(Datos!AG$3),1,1),Datos!$D$3:$AL$3,"&lt;="&amp;Datos!AG$3)))))</f>
        <v>-</v>
      </c>
      <c r="AH38" s="229" t="str">
        <f>IF(SUMPRODUCT((YEAR(Datos!$D$3:$AL$3)=YEAR(Datos!AH$3))*(Datos!$D$3:$AL$3&lt;=Datos!AH$3)*((Datos!$D$33:$AL$33+Datos!$D$34:$AL$34+Datos!$D$35:$AL$35+Datos!$D$36:$AL$36)&gt;0)*((Datos!$D$14:$AL$14)=0))&gt;0,"-",IF((Datos!AH14)=0,"-",IF((SUMIFS(Datos!$D$14:$AL$14,Datos!$D$3:$AL$3,"&gt;="&amp;DATE(YEAR(Datos!AH$3),1,1),Datos!$D$3:$AL$3,"&lt;="&amp;Datos!AH$3))=0,"-",(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1000000/(SUMIFS(Datos!$D$14:$AL$14,Datos!$D$3:$AL$3,"&gt;="&amp;DATE(YEAR(Datos!AH$3),1,1),Datos!$D$3:$AL$3,"&lt;="&amp;Datos!AH$3)))))</f>
        <v>-</v>
      </c>
      <c r="AI38" s="229" t="str">
        <f>IF(SUMPRODUCT((YEAR(Datos!$D$3:$AL$3)=YEAR(Datos!AI$3))*(Datos!$D$3:$AL$3&lt;=Datos!AI$3)*((Datos!$D$33:$AL$33+Datos!$D$34:$AL$34+Datos!$D$35:$AL$35+Datos!$D$36:$AL$36)&gt;0)*((Datos!$D$14:$AL$14)=0))&gt;0,"-",IF((Datos!AI14)=0,"-",IF((SUMIFS(Datos!$D$14:$AL$14,Datos!$D$3:$AL$3,"&gt;="&amp;DATE(YEAR(Datos!AI$3),1,1),Datos!$D$3:$AL$3,"&lt;="&amp;Datos!AI$3))=0,"-",(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1000000/(SUMIFS(Datos!$D$14:$AL$14,Datos!$D$3:$AL$3,"&gt;="&amp;DATE(YEAR(Datos!AI$3),1,1),Datos!$D$3:$AL$3,"&lt;="&amp;Datos!AI$3)))))</f>
        <v>-</v>
      </c>
      <c r="AJ38" s="229" t="str">
        <f>IF(SUMPRODUCT((YEAR(Datos!$D$3:$AL$3)=YEAR(Datos!AJ$3))*(Datos!$D$3:$AL$3&lt;=Datos!AJ$3)*((Datos!$D$33:$AL$33+Datos!$D$34:$AL$34+Datos!$D$35:$AL$35+Datos!$D$36:$AL$36)&gt;0)*((Datos!$D$14:$AL$14)=0))&gt;0,"-",IF((Datos!AJ14)=0,"-",IF((SUMIFS(Datos!$D$14:$AL$14,Datos!$D$3:$AL$3,"&gt;="&amp;DATE(YEAR(Datos!AJ$3),1,1),Datos!$D$3:$AL$3,"&lt;="&amp;Datos!AJ$3))=0,"-",(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1000000/(SUMIFS(Datos!$D$14:$AL$14,Datos!$D$3:$AL$3,"&gt;="&amp;DATE(YEAR(Datos!AJ$3),1,1),Datos!$D$3:$AL$3,"&lt;="&amp;Datos!AJ$3)))))</f>
        <v>-</v>
      </c>
      <c r="AK38" s="229" t="str">
        <f>IF(SUMPRODUCT((YEAR(Datos!$D$3:$AL$3)=YEAR(Datos!AK$3))*(Datos!$D$3:$AL$3&lt;=Datos!AK$3)*((Datos!$D$33:$AL$33+Datos!$D$34:$AL$34+Datos!$D$35:$AL$35+Datos!$D$36:$AL$36)&gt;0)*((Datos!$D$14:$AL$14)=0))&gt;0,"-",IF((Datos!AK14)=0,"-",IF((SUMIFS(Datos!$D$14:$AL$14,Datos!$D$3:$AL$3,"&gt;="&amp;DATE(YEAR(Datos!AK$3),1,1),Datos!$D$3:$AL$3,"&lt;="&amp;Datos!AK$3))=0,"-",(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1000000/(SUMIFS(Datos!$D$14:$AL$14,Datos!$D$3:$AL$3,"&gt;="&amp;DATE(YEAR(Datos!AK$3),1,1),Datos!$D$3:$AL$3,"&lt;="&amp;Datos!AK$3)))))</f>
        <v>-</v>
      </c>
      <c r="AL38" s="229" t="str">
        <f>IF(SUMPRODUCT((YEAR(Datos!$D$3:$AL$3)=YEAR(Datos!AL$3))*(Datos!$D$3:$AL$3&lt;=Datos!AL$3)*((Datos!$D$33:$AL$33+Datos!$D$34:$AL$34+Datos!$D$35:$AL$35+Datos!$D$36:$AL$36)&gt;0)*((Datos!$D$14:$AL$14)=0))&gt;0,"-",IF((Datos!AL14)=0,"-",IF((SUMIFS(Datos!$D$14:$AL$14,Datos!$D$3:$AL$3,"&gt;="&amp;DATE(YEAR(Datos!AL$3),1,1),Datos!$D$3:$AL$3,"&lt;="&amp;Datos!AL$3))=0,"-",(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1000000/(SUMIFS(Datos!$D$14:$AL$14,Datos!$D$3:$AL$3,"&gt;="&amp;DATE(YEAR(Datos!AL$3),1,1),Datos!$D$3:$AL$3,"&lt;="&amp;Datos!AL$3)))))</f>
        <v>-</v>
      </c>
    </row>
    <row r="39" spans="1:38" ht="21.75" customHeight="1" x14ac:dyDescent="0.3">
      <c r="A39" s="232" t="str">
        <f>KPIs!$A$8&amp;" · YTD"</f>
        <v>3 · Casos de primeros auxilios · YTD</v>
      </c>
      <c r="B39" s="70" t="s">
        <v>143</v>
      </c>
      <c r="C39" s="230" t="str">
        <f>IF(KPIs!C8="","",KPIs!C8)</f>
        <v>Reporte</v>
      </c>
      <c r="D39" s="231">
        <f>IF((Datos!D14)=0,"-",SUMIFS(Datos!$D$37:$AL$37,Datos!$D$3:$AL$3,"&gt;="&amp;DATE(YEAR(Datos!D$3),1,1),Datos!$D$3:$AL$3,"&lt;="&amp;Datos!D$3))</f>
        <v>0</v>
      </c>
      <c r="E39" s="231">
        <f>IF((Datos!E14)=0,"-",SUMIFS(Datos!$D$37:$AL$37,Datos!$D$3:$AL$3,"&gt;="&amp;DATE(YEAR(Datos!E$3),1,1),Datos!$D$3:$AL$3,"&lt;="&amp;Datos!E$3))</f>
        <v>0</v>
      </c>
      <c r="F39" s="231" t="str">
        <f>IF((Datos!F14)=0,"-",SUMIFS(Datos!$D$37:$AL$37,Datos!$D$3:$AL$3,"&gt;="&amp;DATE(YEAR(Datos!F$3),1,1),Datos!$D$3:$AL$3,"&lt;="&amp;Datos!F$3))</f>
        <v>-</v>
      </c>
      <c r="G39" s="231" t="str">
        <f>IF((Datos!G14)=0,"-",SUMIFS(Datos!$D$37:$AL$37,Datos!$D$3:$AL$3,"&gt;="&amp;DATE(YEAR(Datos!G$3),1,1),Datos!$D$3:$AL$3,"&lt;="&amp;Datos!G$3))</f>
        <v>-</v>
      </c>
      <c r="H39" s="231" t="str">
        <f>IF((Datos!H14)=0,"-",SUMIFS(Datos!$D$37:$AL$37,Datos!$D$3:$AL$3,"&gt;="&amp;DATE(YEAR(Datos!H$3),1,1),Datos!$D$3:$AL$3,"&lt;="&amp;Datos!H$3))</f>
        <v>-</v>
      </c>
      <c r="I39" s="231" t="str">
        <f>IF((Datos!I14)=0,"-",SUMIFS(Datos!$D$37:$AL$37,Datos!$D$3:$AL$3,"&gt;="&amp;DATE(YEAR(Datos!I$3),1,1),Datos!$D$3:$AL$3,"&lt;="&amp;Datos!I$3))</f>
        <v>-</v>
      </c>
      <c r="J39" s="231" t="str">
        <f>IF((Datos!J14)=0,"-",SUMIFS(Datos!$D$37:$AL$37,Datos!$D$3:$AL$3,"&gt;="&amp;DATE(YEAR(Datos!J$3),1,1),Datos!$D$3:$AL$3,"&lt;="&amp;Datos!J$3))</f>
        <v>-</v>
      </c>
      <c r="K39" s="231" t="str">
        <f>IF((Datos!K14)=0,"-",SUMIFS(Datos!$D$37:$AL$37,Datos!$D$3:$AL$3,"&gt;="&amp;DATE(YEAR(Datos!K$3),1,1),Datos!$D$3:$AL$3,"&lt;="&amp;Datos!K$3))</f>
        <v>-</v>
      </c>
      <c r="L39" s="231" t="str">
        <f>IF((Datos!L14)=0,"-",SUMIFS(Datos!$D$37:$AL$37,Datos!$D$3:$AL$3,"&gt;="&amp;DATE(YEAR(Datos!L$3),1,1),Datos!$D$3:$AL$3,"&lt;="&amp;Datos!L$3))</f>
        <v>-</v>
      </c>
      <c r="M39" s="231" t="str">
        <f>IF((Datos!M14)=0,"-",SUMIFS(Datos!$D$37:$AL$37,Datos!$D$3:$AL$3,"&gt;="&amp;DATE(YEAR(Datos!M$3),1,1),Datos!$D$3:$AL$3,"&lt;="&amp;Datos!M$3))</f>
        <v>-</v>
      </c>
      <c r="N39" s="231" t="str">
        <f>IF((Datos!N14)=0,"-",SUMIFS(Datos!$D$37:$AL$37,Datos!$D$3:$AL$3,"&gt;="&amp;DATE(YEAR(Datos!N$3),1,1),Datos!$D$3:$AL$3,"&lt;="&amp;Datos!N$3))</f>
        <v>-</v>
      </c>
      <c r="O39" s="231" t="str">
        <f>IF((Datos!O14)=0,"-",SUMIFS(Datos!$D$37:$AL$37,Datos!$D$3:$AL$3,"&gt;="&amp;DATE(YEAR(Datos!O$3),1,1),Datos!$D$3:$AL$3,"&lt;="&amp;Datos!O$3))</f>
        <v>-</v>
      </c>
      <c r="P39" s="231" t="str">
        <f>IF((Datos!P14)=0,"-",SUMIFS(Datos!$D$37:$AL$37,Datos!$D$3:$AL$3,"&gt;="&amp;DATE(YEAR(Datos!P$3),1,1),Datos!$D$3:$AL$3,"&lt;="&amp;Datos!P$3))</f>
        <v>-</v>
      </c>
      <c r="Q39" s="231" t="str">
        <f>IF((Datos!Q14)=0,"-",SUMIFS(Datos!$D$37:$AL$37,Datos!$D$3:$AL$3,"&gt;="&amp;DATE(YEAR(Datos!Q$3),1,1),Datos!$D$3:$AL$3,"&lt;="&amp;Datos!Q$3))</f>
        <v>-</v>
      </c>
      <c r="R39" s="231" t="str">
        <f>IF((Datos!R14)=0,"-",SUMIFS(Datos!$D$37:$AL$37,Datos!$D$3:$AL$3,"&gt;="&amp;DATE(YEAR(Datos!R$3),1,1),Datos!$D$3:$AL$3,"&lt;="&amp;Datos!R$3))</f>
        <v>-</v>
      </c>
      <c r="S39" s="231" t="str">
        <f>IF((Datos!S14)=0,"-",SUMIFS(Datos!$D$37:$AL$37,Datos!$D$3:$AL$3,"&gt;="&amp;DATE(YEAR(Datos!S$3),1,1),Datos!$D$3:$AL$3,"&lt;="&amp;Datos!S$3))</f>
        <v>-</v>
      </c>
      <c r="T39" s="231" t="str">
        <f>IF((Datos!T14)=0,"-",SUMIFS(Datos!$D$37:$AL$37,Datos!$D$3:$AL$3,"&gt;="&amp;DATE(YEAR(Datos!T$3),1,1),Datos!$D$3:$AL$3,"&lt;="&amp;Datos!T$3))</f>
        <v>-</v>
      </c>
      <c r="U39" s="231" t="str">
        <f>IF((Datos!U14)=0,"-",SUMIFS(Datos!$D$37:$AL$37,Datos!$D$3:$AL$3,"&gt;="&amp;DATE(YEAR(Datos!U$3),1,1),Datos!$D$3:$AL$3,"&lt;="&amp;Datos!U$3))</f>
        <v>-</v>
      </c>
      <c r="V39" s="231" t="str">
        <f>IF((Datos!V14)=0,"-",SUMIFS(Datos!$D$37:$AL$37,Datos!$D$3:$AL$3,"&gt;="&amp;DATE(YEAR(Datos!V$3),1,1),Datos!$D$3:$AL$3,"&lt;="&amp;Datos!V$3))</f>
        <v>-</v>
      </c>
      <c r="W39" s="231" t="str">
        <f>IF((Datos!W14)=0,"-",SUMIFS(Datos!$D$37:$AL$37,Datos!$D$3:$AL$3,"&gt;="&amp;DATE(YEAR(Datos!W$3),1,1),Datos!$D$3:$AL$3,"&lt;="&amp;Datos!W$3))</f>
        <v>-</v>
      </c>
      <c r="X39" s="231" t="str">
        <f>IF((Datos!X14)=0,"-",SUMIFS(Datos!$D$37:$AL$37,Datos!$D$3:$AL$3,"&gt;="&amp;DATE(YEAR(Datos!X$3),1,1),Datos!$D$3:$AL$3,"&lt;="&amp;Datos!X$3))</f>
        <v>-</v>
      </c>
      <c r="Y39" s="231" t="str">
        <f>IF((Datos!Y14)=0,"-",SUMIFS(Datos!$D$37:$AL$37,Datos!$D$3:$AL$3,"&gt;="&amp;DATE(YEAR(Datos!Y$3),1,1),Datos!$D$3:$AL$3,"&lt;="&amp;Datos!Y$3))</f>
        <v>-</v>
      </c>
      <c r="Z39" s="231" t="str">
        <f>IF((Datos!Z14)=0,"-",SUMIFS(Datos!$D$37:$AL$37,Datos!$D$3:$AL$3,"&gt;="&amp;DATE(YEAR(Datos!Z$3),1,1),Datos!$D$3:$AL$3,"&lt;="&amp;Datos!Z$3))</f>
        <v>-</v>
      </c>
      <c r="AA39" s="231" t="str">
        <f>IF((Datos!AA14)=0,"-",SUMIFS(Datos!$D$37:$AL$37,Datos!$D$3:$AL$3,"&gt;="&amp;DATE(YEAR(Datos!AA$3),1,1),Datos!$D$3:$AL$3,"&lt;="&amp;Datos!AA$3))</f>
        <v>-</v>
      </c>
      <c r="AB39" s="231" t="str">
        <f>IF((Datos!AB14)=0,"-",SUMIFS(Datos!$D$37:$AL$37,Datos!$D$3:$AL$3,"&gt;="&amp;DATE(YEAR(Datos!AB$3),1,1),Datos!$D$3:$AL$3,"&lt;="&amp;Datos!AB$3))</f>
        <v>-</v>
      </c>
      <c r="AC39" s="231" t="str">
        <f>IF((Datos!AC14)=0,"-",SUMIFS(Datos!$D$37:$AL$37,Datos!$D$3:$AL$3,"&gt;="&amp;DATE(YEAR(Datos!AC$3),1,1),Datos!$D$3:$AL$3,"&lt;="&amp;Datos!AC$3))</f>
        <v>-</v>
      </c>
      <c r="AD39" s="231" t="str">
        <f>IF((Datos!AD14)=0,"-",SUMIFS(Datos!$D$37:$AL$37,Datos!$D$3:$AL$3,"&gt;="&amp;DATE(YEAR(Datos!AD$3),1,1),Datos!$D$3:$AL$3,"&lt;="&amp;Datos!AD$3))</f>
        <v>-</v>
      </c>
      <c r="AE39" s="231" t="str">
        <f>IF((Datos!AE14)=0,"-",SUMIFS(Datos!$D$37:$AL$37,Datos!$D$3:$AL$3,"&gt;="&amp;DATE(YEAR(Datos!AE$3),1,1),Datos!$D$3:$AL$3,"&lt;="&amp;Datos!AE$3))</f>
        <v>-</v>
      </c>
      <c r="AF39" s="231" t="str">
        <f>IF((Datos!AF14)=0,"-",SUMIFS(Datos!$D$37:$AL$37,Datos!$D$3:$AL$3,"&gt;="&amp;DATE(YEAR(Datos!AF$3),1,1),Datos!$D$3:$AL$3,"&lt;="&amp;Datos!AF$3))</f>
        <v>-</v>
      </c>
      <c r="AG39" s="231" t="str">
        <f>IF((Datos!AG14)=0,"-",SUMIFS(Datos!$D$37:$AL$37,Datos!$D$3:$AL$3,"&gt;="&amp;DATE(YEAR(Datos!AG$3),1,1),Datos!$D$3:$AL$3,"&lt;="&amp;Datos!AG$3))</f>
        <v>-</v>
      </c>
      <c r="AH39" s="231" t="str">
        <f>IF((Datos!AH14)=0,"-",SUMIFS(Datos!$D$37:$AL$37,Datos!$D$3:$AL$3,"&gt;="&amp;DATE(YEAR(Datos!AH$3),1,1),Datos!$D$3:$AL$3,"&lt;="&amp;Datos!AH$3))</f>
        <v>-</v>
      </c>
      <c r="AI39" s="231" t="str">
        <f>IF((Datos!AI14)=0,"-",SUMIFS(Datos!$D$37:$AL$37,Datos!$D$3:$AL$3,"&gt;="&amp;DATE(YEAR(Datos!AI$3),1,1),Datos!$D$3:$AL$3,"&lt;="&amp;Datos!AI$3))</f>
        <v>-</v>
      </c>
      <c r="AJ39" s="231" t="str">
        <f>IF((Datos!AJ14)=0,"-",SUMIFS(Datos!$D$37:$AL$37,Datos!$D$3:$AL$3,"&gt;="&amp;DATE(YEAR(Datos!AJ$3),1,1),Datos!$D$3:$AL$3,"&lt;="&amp;Datos!AJ$3))</f>
        <v>-</v>
      </c>
      <c r="AK39" s="231" t="str">
        <f>IF((Datos!AK14)=0,"-",SUMIFS(Datos!$D$37:$AL$37,Datos!$D$3:$AL$3,"&gt;="&amp;DATE(YEAR(Datos!AK$3),1,1),Datos!$D$3:$AL$3,"&lt;="&amp;Datos!AK$3))</f>
        <v>-</v>
      </c>
      <c r="AL39" s="231" t="str">
        <f>IF((Datos!AL14)=0,"-",SUMIFS(Datos!$D$37:$AL$37,Datos!$D$3:$AL$3,"&gt;="&amp;DATE(YEAR(Datos!AL$3),1,1),Datos!$D$3:$AL$3,"&lt;="&amp;Datos!AL$3))</f>
        <v>-</v>
      </c>
    </row>
    <row r="40" spans="1:38" ht="27.75" customHeight="1" x14ac:dyDescent="0.3">
      <c r="A40" s="232" t="str">
        <f>KPIs!$A$10&amp;" · YTD"</f>
        <v>4 · Accidentes vehiculares severos por millón de km · YTD</v>
      </c>
      <c r="B40" s="70" t="s">
        <v>143</v>
      </c>
      <c r="C40" s="228" t="str">
        <f>IF(KPIs!C10="","",KPIs!C10)</f>
        <v>Reporte</v>
      </c>
      <c r="D40" s="229">
        <f>IF(SUMPRODUCT((YEAR(Datos!$D$3:$AL$3)=YEAR(Datos!D$3))*(Datos!$D$3:$AL$3&lt;=Datos!D$3)*((Datos!$D$39:$AL$39+Datos!$D$40:$AL$40+Datos!$D$41:$AL$41)&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1000000/(SUMIFS(Datos!$D$47:$AL$47,Datos!$D$3:$AL$3,"&gt;="&amp;DATE(YEAR(Datos!D$3),1,1),Datos!$D$3:$AL$3,"&lt;="&amp;Datos!D$3)))))</f>
        <v>0</v>
      </c>
      <c r="E40" s="229">
        <f>IF(SUMPRODUCT((YEAR(Datos!$D$3:$AL$3)=YEAR(Datos!E$3))*(Datos!$D$3:$AL$3&lt;=Datos!E$3)*((Datos!$D$39:$AL$39+Datos!$D$40:$AL$40+Datos!$D$41:$AL$41)&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1000000/(SUMIFS(Datos!$D$47:$AL$47,Datos!$D$3:$AL$3,"&gt;="&amp;DATE(YEAR(Datos!E$3),1,1),Datos!$D$3:$AL$3,"&lt;="&amp;Datos!E$3)))))</f>
        <v>0</v>
      </c>
      <c r="F40" s="229" t="str">
        <f>IF(SUMPRODUCT((YEAR(Datos!$D$3:$AL$3)=YEAR(Datos!F$3))*(Datos!$D$3:$AL$3&lt;=Datos!F$3)*((Datos!$D$39:$AL$39+Datos!$D$40:$AL$40+Datos!$D$41:$AL$41)&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1000000/(SUMIFS(Datos!$D$47:$AL$47,Datos!$D$3:$AL$3,"&gt;="&amp;DATE(YEAR(Datos!F$3),1,1),Datos!$D$3:$AL$3,"&lt;="&amp;Datos!F$3)))))</f>
        <v>-</v>
      </c>
      <c r="G40" s="229" t="str">
        <f>IF(SUMPRODUCT((YEAR(Datos!$D$3:$AL$3)=YEAR(Datos!G$3))*(Datos!$D$3:$AL$3&lt;=Datos!G$3)*((Datos!$D$39:$AL$39+Datos!$D$40:$AL$40+Datos!$D$41:$AL$41)&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1000000/(SUMIFS(Datos!$D$47:$AL$47,Datos!$D$3:$AL$3,"&gt;="&amp;DATE(YEAR(Datos!G$3),1,1),Datos!$D$3:$AL$3,"&lt;="&amp;Datos!G$3)))))</f>
        <v>-</v>
      </c>
      <c r="H40" s="229" t="str">
        <f>IF(SUMPRODUCT((YEAR(Datos!$D$3:$AL$3)=YEAR(Datos!H$3))*(Datos!$D$3:$AL$3&lt;=Datos!H$3)*((Datos!$D$39:$AL$39+Datos!$D$40:$AL$40+Datos!$D$41:$AL$41)&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1000000/(SUMIFS(Datos!$D$47:$AL$47,Datos!$D$3:$AL$3,"&gt;="&amp;DATE(YEAR(Datos!H$3),1,1),Datos!$D$3:$AL$3,"&lt;="&amp;Datos!H$3)))))</f>
        <v>-</v>
      </c>
      <c r="I40" s="229" t="str">
        <f>IF(SUMPRODUCT((YEAR(Datos!$D$3:$AL$3)=YEAR(Datos!I$3))*(Datos!$D$3:$AL$3&lt;=Datos!I$3)*((Datos!$D$39:$AL$39+Datos!$D$40:$AL$40+Datos!$D$41:$AL$41)&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1000000/(SUMIFS(Datos!$D$47:$AL$47,Datos!$D$3:$AL$3,"&gt;="&amp;DATE(YEAR(Datos!I$3),1,1),Datos!$D$3:$AL$3,"&lt;="&amp;Datos!I$3)))))</f>
        <v>-</v>
      </c>
      <c r="J40" s="229" t="str">
        <f>IF(SUMPRODUCT((YEAR(Datos!$D$3:$AL$3)=YEAR(Datos!J$3))*(Datos!$D$3:$AL$3&lt;=Datos!J$3)*((Datos!$D$39:$AL$39+Datos!$D$40:$AL$40+Datos!$D$41:$AL$41)&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1000000/(SUMIFS(Datos!$D$47:$AL$47,Datos!$D$3:$AL$3,"&gt;="&amp;DATE(YEAR(Datos!J$3),1,1),Datos!$D$3:$AL$3,"&lt;="&amp;Datos!J$3)))))</f>
        <v>-</v>
      </c>
      <c r="K40" s="229" t="str">
        <f>IF(SUMPRODUCT((YEAR(Datos!$D$3:$AL$3)=YEAR(Datos!K$3))*(Datos!$D$3:$AL$3&lt;=Datos!K$3)*((Datos!$D$39:$AL$39+Datos!$D$40:$AL$40+Datos!$D$41:$AL$41)&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1000000/(SUMIFS(Datos!$D$47:$AL$47,Datos!$D$3:$AL$3,"&gt;="&amp;DATE(YEAR(Datos!K$3),1,1),Datos!$D$3:$AL$3,"&lt;="&amp;Datos!K$3)))))</f>
        <v>-</v>
      </c>
      <c r="L40" s="229" t="str">
        <f>IF(SUMPRODUCT((YEAR(Datos!$D$3:$AL$3)=YEAR(Datos!L$3))*(Datos!$D$3:$AL$3&lt;=Datos!L$3)*((Datos!$D$39:$AL$39+Datos!$D$40:$AL$40+Datos!$D$41:$AL$41)&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1000000/(SUMIFS(Datos!$D$47:$AL$47,Datos!$D$3:$AL$3,"&gt;="&amp;DATE(YEAR(Datos!L$3),1,1),Datos!$D$3:$AL$3,"&lt;="&amp;Datos!L$3)))))</f>
        <v>-</v>
      </c>
      <c r="M40" s="229" t="str">
        <f>IF(SUMPRODUCT((YEAR(Datos!$D$3:$AL$3)=YEAR(Datos!M$3))*(Datos!$D$3:$AL$3&lt;=Datos!M$3)*((Datos!$D$39:$AL$39+Datos!$D$40:$AL$40+Datos!$D$41:$AL$41)&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1000000/(SUMIFS(Datos!$D$47:$AL$47,Datos!$D$3:$AL$3,"&gt;="&amp;DATE(YEAR(Datos!M$3),1,1),Datos!$D$3:$AL$3,"&lt;="&amp;Datos!M$3)))))</f>
        <v>-</v>
      </c>
      <c r="N40" s="229" t="str">
        <f>IF(SUMPRODUCT((YEAR(Datos!$D$3:$AL$3)=YEAR(Datos!N$3))*(Datos!$D$3:$AL$3&lt;=Datos!N$3)*((Datos!$D$39:$AL$39+Datos!$D$40:$AL$40+Datos!$D$41:$AL$41)&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1000000/(SUMIFS(Datos!$D$47:$AL$47,Datos!$D$3:$AL$3,"&gt;="&amp;DATE(YEAR(Datos!N$3),1,1),Datos!$D$3:$AL$3,"&lt;="&amp;Datos!N$3)))))</f>
        <v>-</v>
      </c>
      <c r="O40" s="229" t="str">
        <f>IF(SUMPRODUCT((YEAR(Datos!$D$3:$AL$3)=YEAR(Datos!O$3))*(Datos!$D$3:$AL$3&lt;=Datos!O$3)*((Datos!$D$39:$AL$39+Datos!$D$40:$AL$40+Datos!$D$41:$AL$41)&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1000000/(SUMIFS(Datos!$D$47:$AL$47,Datos!$D$3:$AL$3,"&gt;="&amp;DATE(YEAR(Datos!O$3),1,1),Datos!$D$3:$AL$3,"&lt;="&amp;Datos!O$3)))))</f>
        <v>-</v>
      </c>
      <c r="P40" s="229" t="str">
        <f>IF(SUMPRODUCT((YEAR(Datos!$D$3:$AL$3)=YEAR(Datos!P$3))*(Datos!$D$3:$AL$3&lt;=Datos!P$3)*((Datos!$D$39:$AL$39+Datos!$D$40:$AL$40+Datos!$D$41:$AL$41)&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1000000/(SUMIFS(Datos!$D$47:$AL$47,Datos!$D$3:$AL$3,"&gt;="&amp;DATE(YEAR(Datos!P$3),1,1),Datos!$D$3:$AL$3,"&lt;="&amp;Datos!P$3)))))</f>
        <v>-</v>
      </c>
      <c r="Q40" s="229" t="str">
        <f>IF(SUMPRODUCT((YEAR(Datos!$D$3:$AL$3)=YEAR(Datos!Q$3))*(Datos!$D$3:$AL$3&lt;=Datos!Q$3)*((Datos!$D$39:$AL$39+Datos!$D$40:$AL$40+Datos!$D$41:$AL$41)&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1000000/(SUMIFS(Datos!$D$47:$AL$47,Datos!$D$3:$AL$3,"&gt;="&amp;DATE(YEAR(Datos!Q$3),1,1),Datos!$D$3:$AL$3,"&lt;="&amp;Datos!Q$3)))))</f>
        <v>-</v>
      </c>
      <c r="R40" s="229" t="str">
        <f>IF(SUMPRODUCT((YEAR(Datos!$D$3:$AL$3)=YEAR(Datos!R$3))*(Datos!$D$3:$AL$3&lt;=Datos!R$3)*((Datos!$D$39:$AL$39+Datos!$D$40:$AL$40+Datos!$D$41:$AL$41)&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1000000/(SUMIFS(Datos!$D$47:$AL$47,Datos!$D$3:$AL$3,"&gt;="&amp;DATE(YEAR(Datos!R$3),1,1),Datos!$D$3:$AL$3,"&lt;="&amp;Datos!R$3)))))</f>
        <v>-</v>
      </c>
      <c r="S40" s="229" t="str">
        <f>IF(SUMPRODUCT((YEAR(Datos!$D$3:$AL$3)=YEAR(Datos!S$3))*(Datos!$D$3:$AL$3&lt;=Datos!S$3)*((Datos!$D$39:$AL$39+Datos!$D$40:$AL$40+Datos!$D$41:$AL$41)&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1000000/(SUMIFS(Datos!$D$47:$AL$47,Datos!$D$3:$AL$3,"&gt;="&amp;DATE(YEAR(Datos!S$3),1,1),Datos!$D$3:$AL$3,"&lt;="&amp;Datos!S$3)))))</f>
        <v>-</v>
      </c>
      <c r="T40" s="229" t="str">
        <f>IF(SUMPRODUCT((YEAR(Datos!$D$3:$AL$3)=YEAR(Datos!T$3))*(Datos!$D$3:$AL$3&lt;=Datos!T$3)*((Datos!$D$39:$AL$39+Datos!$D$40:$AL$40+Datos!$D$41:$AL$41)&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1000000/(SUMIFS(Datos!$D$47:$AL$47,Datos!$D$3:$AL$3,"&gt;="&amp;DATE(YEAR(Datos!T$3),1,1),Datos!$D$3:$AL$3,"&lt;="&amp;Datos!T$3)))))</f>
        <v>-</v>
      </c>
      <c r="U40" s="229" t="str">
        <f>IF(SUMPRODUCT((YEAR(Datos!$D$3:$AL$3)=YEAR(Datos!U$3))*(Datos!$D$3:$AL$3&lt;=Datos!U$3)*((Datos!$D$39:$AL$39+Datos!$D$40:$AL$40+Datos!$D$41:$AL$41)&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1000000/(SUMIFS(Datos!$D$47:$AL$47,Datos!$D$3:$AL$3,"&gt;="&amp;DATE(YEAR(Datos!U$3),1,1),Datos!$D$3:$AL$3,"&lt;="&amp;Datos!U$3)))))</f>
        <v>-</v>
      </c>
      <c r="V40" s="229" t="str">
        <f>IF(SUMPRODUCT((YEAR(Datos!$D$3:$AL$3)=YEAR(Datos!V$3))*(Datos!$D$3:$AL$3&lt;=Datos!V$3)*((Datos!$D$39:$AL$39+Datos!$D$40:$AL$40+Datos!$D$41:$AL$41)&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1000000/(SUMIFS(Datos!$D$47:$AL$47,Datos!$D$3:$AL$3,"&gt;="&amp;DATE(YEAR(Datos!V$3),1,1),Datos!$D$3:$AL$3,"&lt;="&amp;Datos!V$3)))))</f>
        <v>-</v>
      </c>
      <c r="W40" s="229" t="str">
        <f>IF(SUMPRODUCT((YEAR(Datos!$D$3:$AL$3)=YEAR(Datos!W$3))*(Datos!$D$3:$AL$3&lt;=Datos!W$3)*((Datos!$D$39:$AL$39+Datos!$D$40:$AL$40+Datos!$D$41:$AL$41)&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1000000/(SUMIFS(Datos!$D$47:$AL$47,Datos!$D$3:$AL$3,"&gt;="&amp;DATE(YEAR(Datos!W$3),1,1),Datos!$D$3:$AL$3,"&lt;="&amp;Datos!W$3)))))</f>
        <v>-</v>
      </c>
      <c r="X40" s="229" t="str">
        <f>IF(SUMPRODUCT((YEAR(Datos!$D$3:$AL$3)=YEAR(Datos!X$3))*(Datos!$D$3:$AL$3&lt;=Datos!X$3)*((Datos!$D$39:$AL$39+Datos!$D$40:$AL$40+Datos!$D$41:$AL$41)&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1000000/(SUMIFS(Datos!$D$47:$AL$47,Datos!$D$3:$AL$3,"&gt;="&amp;DATE(YEAR(Datos!X$3),1,1),Datos!$D$3:$AL$3,"&lt;="&amp;Datos!X$3)))))</f>
        <v>-</v>
      </c>
      <c r="Y40" s="229" t="str">
        <f>IF(SUMPRODUCT((YEAR(Datos!$D$3:$AL$3)=YEAR(Datos!Y$3))*(Datos!$D$3:$AL$3&lt;=Datos!Y$3)*((Datos!$D$39:$AL$39+Datos!$D$40:$AL$40+Datos!$D$41:$AL$41)&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1000000/(SUMIFS(Datos!$D$47:$AL$47,Datos!$D$3:$AL$3,"&gt;="&amp;DATE(YEAR(Datos!Y$3),1,1),Datos!$D$3:$AL$3,"&lt;="&amp;Datos!Y$3)))))</f>
        <v>-</v>
      </c>
      <c r="Z40" s="229" t="str">
        <f>IF(SUMPRODUCT((YEAR(Datos!$D$3:$AL$3)=YEAR(Datos!Z$3))*(Datos!$D$3:$AL$3&lt;=Datos!Z$3)*((Datos!$D$39:$AL$39+Datos!$D$40:$AL$40+Datos!$D$41:$AL$41)&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1000000/(SUMIFS(Datos!$D$47:$AL$47,Datos!$D$3:$AL$3,"&gt;="&amp;DATE(YEAR(Datos!Z$3),1,1),Datos!$D$3:$AL$3,"&lt;="&amp;Datos!Z$3)))))</f>
        <v>-</v>
      </c>
      <c r="AA40" s="229" t="str">
        <f>IF(SUMPRODUCT((YEAR(Datos!$D$3:$AL$3)=YEAR(Datos!AA$3))*(Datos!$D$3:$AL$3&lt;=Datos!AA$3)*((Datos!$D$39:$AL$39+Datos!$D$40:$AL$40+Datos!$D$41:$AL$41)&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1000000/(SUMIFS(Datos!$D$47:$AL$47,Datos!$D$3:$AL$3,"&gt;="&amp;DATE(YEAR(Datos!AA$3),1,1),Datos!$D$3:$AL$3,"&lt;="&amp;Datos!AA$3)))))</f>
        <v>-</v>
      </c>
      <c r="AB40" s="229" t="str">
        <f>IF(SUMPRODUCT((YEAR(Datos!$D$3:$AL$3)=YEAR(Datos!AB$3))*(Datos!$D$3:$AL$3&lt;=Datos!AB$3)*((Datos!$D$39:$AL$39+Datos!$D$40:$AL$40+Datos!$D$41:$AL$41)&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1000000/(SUMIFS(Datos!$D$47:$AL$47,Datos!$D$3:$AL$3,"&gt;="&amp;DATE(YEAR(Datos!AB$3),1,1),Datos!$D$3:$AL$3,"&lt;="&amp;Datos!AB$3)))))</f>
        <v>-</v>
      </c>
      <c r="AC40" s="229" t="str">
        <f>IF(SUMPRODUCT((YEAR(Datos!$D$3:$AL$3)=YEAR(Datos!AC$3))*(Datos!$D$3:$AL$3&lt;=Datos!AC$3)*((Datos!$D$39:$AL$39+Datos!$D$40:$AL$40+Datos!$D$41:$AL$41)&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1000000/(SUMIFS(Datos!$D$47:$AL$47,Datos!$D$3:$AL$3,"&gt;="&amp;DATE(YEAR(Datos!AC$3),1,1),Datos!$D$3:$AL$3,"&lt;="&amp;Datos!AC$3)))))</f>
        <v>-</v>
      </c>
      <c r="AD40" s="229" t="str">
        <f>IF(SUMPRODUCT((YEAR(Datos!$D$3:$AL$3)=YEAR(Datos!AD$3))*(Datos!$D$3:$AL$3&lt;=Datos!AD$3)*((Datos!$D$39:$AL$39+Datos!$D$40:$AL$40+Datos!$D$41:$AL$41)&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1000000/(SUMIFS(Datos!$D$47:$AL$47,Datos!$D$3:$AL$3,"&gt;="&amp;DATE(YEAR(Datos!AD$3),1,1),Datos!$D$3:$AL$3,"&lt;="&amp;Datos!AD$3)))))</f>
        <v>-</v>
      </c>
      <c r="AE40" s="229" t="str">
        <f>IF(SUMPRODUCT((YEAR(Datos!$D$3:$AL$3)=YEAR(Datos!AE$3))*(Datos!$D$3:$AL$3&lt;=Datos!AE$3)*((Datos!$D$39:$AL$39+Datos!$D$40:$AL$40+Datos!$D$41:$AL$41)&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1000000/(SUMIFS(Datos!$D$47:$AL$47,Datos!$D$3:$AL$3,"&gt;="&amp;DATE(YEAR(Datos!AE$3),1,1),Datos!$D$3:$AL$3,"&lt;="&amp;Datos!AE$3)))))</f>
        <v>-</v>
      </c>
      <c r="AF40" s="229" t="str">
        <f>IF(SUMPRODUCT((YEAR(Datos!$D$3:$AL$3)=YEAR(Datos!AF$3))*(Datos!$D$3:$AL$3&lt;=Datos!AF$3)*((Datos!$D$39:$AL$39+Datos!$D$40:$AL$40+Datos!$D$41:$AL$41)&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1000000/(SUMIFS(Datos!$D$47:$AL$47,Datos!$D$3:$AL$3,"&gt;="&amp;DATE(YEAR(Datos!AF$3),1,1),Datos!$D$3:$AL$3,"&lt;="&amp;Datos!AF$3)))))</f>
        <v>-</v>
      </c>
      <c r="AG40" s="229" t="str">
        <f>IF(SUMPRODUCT((YEAR(Datos!$D$3:$AL$3)=YEAR(Datos!AG$3))*(Datos!$D$3:$AL$3&lt;=Datos!AG$3)*((Datos!$D$39:$AL$39+Datos!$D$40:$AL$40+Datos!$D$41:$AL$41)&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1000000/(SUMIFS(Datos!$D$47:$AL$47,Datos!$D$3:$AL$3,"&gt;="&amp;DATE(YEAR(Datos!AG$3),1,1),Datos!$D$3:$AL$3,"&lt;="&amp;Datos!AG$3)))))</f>
        <v>-</v>
      </c>
      <c r="AH40" s="229" t="str">
        <f>IF(SUMPRODUCT((YEAR(Datos!$D$3:$AL$3)=YEAR(Datos!AH$3))*(Datos!$D$3:$AL$3&lt;=Datos!AH$3)*((Datos!$D$39:$AL$39+Datos!$D$40:$AL$40+Datos!$D$41:$AL$41)&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1000000/(SUMIFS(Datos!$D$47:$AL$47,Datos!$D$3:$AL$3,"&gt;="&amp;DATE(YEAR(Datos!AH$3),1,1),Datos!$D$3:$AL$3,"&lt;="&amp;Datos!AH$3)))))</f>
        <v>-</v>
      </c>
      <c r="AI40" s="229" t="str">
        <f>IF(SUMPRODUCT((YEAR(Datos!$D$3:$AL$3)=YEAR(Datos!AI$3))*(Datos!$D$3:$AL$3&lt;=Datos!AI$3)*((Datos!$D$39:$AL$39+Datos!$D$40:$AL$40+Datos!$D$41:$AL$41)&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1000000/(SUMIFS(Datos!$D$47:$AL$47,Datos!$D$3:$AL$3,"&gt;="&amp;DATE(YEAR(Datos!AI$3),1,1),Datos!$D$3:$AL$3,"&lt;="&amp;Datos!AI$3)))))</f>
        <v>-</v>
      </c>
      <c r="AJ40" s="229" t="str">
        <f>IF(SUMPRODUCT((YEAR(Datos!$D$3:$AL$3)=YEAR(Datos!AJ$3))*(Datos!$D$3:$AL$3&lt;=Datos!AJ$3)*((Datos!$D$39:$AL$39+Datos!$D$40:$AL$40+Datos!$D$41:$AL$41)&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1000000/(SUMIFS(Datos!$D$47:$AL$47,Datos!$D$3:$AL$3,"&gt;="&amp;DATE(YEAR(Datos!AJ$3),1,1),Datos!$D$3:$AL$3,"&lt;="&amp;Datos!AJ$3)))))</f>
        <v>-</v>
      </c>
      <c r="AK40" s="229" t="str">
        <f>IF(SUMPRODUCT((YEAR(Datos!$D$3:$AL$3)=YEAR(Datos!AK$3))*(Datos!$D$3:$AL$3&lt;=Datos!AK$3)*((Datos!$D$39:$AL$39+Datos!$D$40:$AL$40+Datos!$D$41:$AL$41)&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1000000/(SUMIFS(Datos!$D$47:$AL$47,Datos!$D$3:$AL$3,"&gt;="&amp;DATE(YEAR(Datos!AK$3),1,1),Datos!$D$3:$AL$3,"&lt;="&amp;Datos!AK$3)))))</f>
        <v>-</v>
      </c>
      <c r="AL40" s="229" t="str">
        <f>IF(SUMPRODUCT((YEAR(Datos!$D$3:$AL$3)=YEAR(Datos!AL$3))*(Datos!$D$3:$AL$3&lt;=Datos!AL$3)*((Datos!$D$39:$AL$39+Datos!$D$40:$AL$40+Datos!$D$41:$AL$41)&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1000000/(SUMIFS(Datos!$D$47:$AL$47,Datos!$D$3:$AL$3,"&gt;="&amp;DATE(YEAR(Datos!AL$3),1,1),Datos!$D$3:$AL$3,"&lt;="&amp;Datos!AL$3)))))</f>
        <v>-</v>
      </c>
    </row>
    <row r="41" spans="1:38" ht="27.75" customHeight="1" x14ac:dyDescent="0.3">
      <c r="A41" s="232" t="str">
        <f>KPIs!$A$11&amp;" · YTD"</f>
        <v>5 · Accidentes vehiculares totales por millón de km · YTD</v>
      </c>
      <c r="B41" s="70" t="s">
        <v>143</v>
      </c>
      <c r="C41" s="228">
        <f>IF(KPIs!C11="","",KPIs!C11)</f>
        <v>0.79</v>
      </c>
      <c r="D41" s="229">
        <f>IF(SUMPRODUCT((YEAR(Datos!$D$3:$AL$3)=YEAR(Datos!D$3))*(Datos!$D$3:$AL$3&lt;=Datos!D$3)*((Datos!$D$39:$AL$39+Datos!$D$40:$AL$40+Datos!$D$41:$AL$41+Datos!$D$42:$AL$42)&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1000000/(SUMIFS(Datos!$D$47:$AL$47,Datos!$D$3:$AL$3,"&gt;="&amp;DATE(YEAR(Datos!D$3),1,1),Datos!$D$3:$AL$3,"&lt;="&amp;Datos!D$3)))))</f>
        <v>0</v>
      </c>
      <c r="E41" s="229">
        <f>IF(SUMPRODUCT((YEAR(Datos!$D$3:$AL$3)=YEAR(Datos!E$3))*(Datos!$D$3:$AL$3&lt;=Datos!E$3)*((Datos!$D$39:$AL$39+Datos!$D$40:$AL$40+Datos!$D$41:$AL$41+Datos!$D$42:$AL$42)&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1000000/(SUMIFS(Datos!$D$47:$AL$47,Datos!$D$3:$AL$3,"&gt;="&amp;DATE(YEAR(Datos!E$3),1,1),Datos!$D$3:$AL$3,"&lt;="&amp;Datos!E$3)))))</f>
        <v>0</v>
      </c>
      <c r="F41" s="229" t="str">
        <f>IF(SUMPRODUCT((YEAR(Datos!$D$3:$AL$3)=YEAR(Datos!F$3))*(Datos!$D$3:$AL$3&lt;=Datos!F$3)*((Datos!$D$39:$AL$39+Datos!$D$40:$AL$40+Datos!$D$41:$AL$41+Datos!$D$42:$AL$42)&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1000000/(SUMIFS(Datos!$D$47:$AL$47,Datos!$D$3:$AL$3,"&gt;="&amp;DATE(YEAR(Datos!F$3),1,1),Datos!$D$3:$AL$3,"&lt;="&amp;Datos!F$3)))))</f>
        <v>-</v>
      </c>
      <c r="G41" s="229" t="str">
        <f>IF(SUMPRODUCT((YEAR(Datos!$D$3:$AL$3)=YEAR(Datos!G$3))*(Datos!$D$3:$AL$3&lt;=Datos!G$3)*((Datos!$D$39:$AL$39+Datos!$D$40:$AL$40+Datos!$D$41:$AL$41+Datos!$D$42:$AL$42)&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1000000/(SUMIFS(Datos!$D$47:$AL$47,Datos!$D$3:$AL$3,"&gt;="&amp;DATE(YEAR(Datos!G$3),1,1),Datos!$D$3:$AL$3,"&lt;="&amp;Datos!G$3)))))</f>
        <v>-</v>
      </c>
      <c r="H41" s="229" t="str">
        <f>IF(SUMPRODUCT((YEAR(Datos!$D$3:$AL$3)=YEAR(Datos!H$3))*(Datos!$D$3:$AL$3&lt;=Datos!H$3)*((Datos!$D$39:$AL$39+Datos!$D$40:$AL$40+Datos!$D$41:$AL$41+Datos!$D$42:$AL$42)&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1000000/(SUMIFS(Datos!$D$47:$AL$47,Datos!$D$3:$AL$3,"&gt;="&amp;DATE(YEAR(Datos!H$3),1,1),Datos!$D$3:$AL$3,"&lt;="&amp;Datos!H$3)))))</f>
        <v>-</v>
      </c>
      <c r="I41" s="229" t="str">
        <f>IF(SUMPRODUCT((YEAR(Datos!$D$3:$AL$3)=YEAR(Datos!I$3))*(Datos!$D$3:$AL$3&lt;=Datos!I$3)*((Datos!$D$39:$AL$39+Datos!$D$40:$AL$40+Datos!$D$41:$AL$41+Datos!$D$42:$AL$42)&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1000000/(SUMIFS(Datos!$D$47:$AL$47,Datos!$D$3:$AL$3,"&gt;="&amp;DATE(YEAR(Datos!I$3),1,1),Datos!$D$3:$AL$3,"&lt;="&amp;Datos!I$3)))))</f>
        <v>-</v>
      </c>
      <c r="J41" s="229" t="str">
        <f>IF(SUMPRODUCT((YEAR(Datos!$D$3:$AL$3)=YEAR(Datos!J$3))*(Datos!$D$3:$AL$3&lt;=Datos!J$3)*((Datos!$D$39:$AL$39+Datos!$D$40:$AL$40+Datos!$D$41:$AL$41+Datos!$D$42:$AL$42)&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1000000/(SUMIFS(Datos!$D$47:$AL$47,Datos!$D$3:$AL$3,"&gt;="&amp;DATE(YEAR(Datos!J$3),1,1),Datos!$D$3:$AL$3,"&lt;="&amp;Datos!J$3)))))</f>
        <v>-</v>
      </c>
      <c r="K41" s="229" t="str">
        <f>IF(SUMPRODUCT((YEAR(Datos!$D$3:$AL$3)=YEAR(Datos!K$3))*(Datos!$D$3:$AL$3&lt;=Datos!K$3)*((Datos!$D$39:$AL$39+Datos!$D$40:$AL$40+Datos!$D$41:$AL$41+Datos!$D$42:$AL$42)&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1000000/(SUMIFS(Datos!$D$47:$AL$47,Datos!$D$3:$AL$3,"&gt;="&amp;DATE(YEAR(Datos!K$3),1,1),Datos!$D$3:$AL$3,"&lt;="&amp;Datos!K$3)))))</f>
        <v>-</v>
      </c>
      <c r="L41" s="229" t="str">
        <f>IF(SUMPRODUCT((YEAR(Datos!$D$3:$AL$3)=YEAR(Datos!L$3))*(Datos!$D$3:$AL$3&lt;=Datos!L$3)*((Datos!$D$39:$AL$39+Datos!$D$40:$AL$40+Datos!$D$41:$AL$41+Datos!$D$42:$AL$42)&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1000000/(SUMIFS(Datos!$D$47:$AL$47,Datos!$D$3:$AL$3,"&gt;="&amp;DATE(YEAR(Datos!L$3),1,1),Datos!$D$3:$AL$3,"&lt;="&amp;Datos!L$3)))))</f>
        <v>-</v>
      </c>
      <c r="M41" s="229" t="str">
        <f>IF(SUMPRODUCT((YEAR(Datos!$D$3:$AL$3)=YEAR(Datos!M$3))*(Datos!$D$3:$AL$3&lt;=Datos!M$3)*((Datos!$D$39:$AL$39+Datos!$D$40:$AL$40+Datos!$D$41:$AL$41+Datos!$D$42:$AL$42)&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1000000/(SUMIFS(Datos!$D$47:$AL$47,Datos!$D$3:$AL$3,"&gt;="&amp;DATE(YEAR(Datos!M$3),1,1),Datos!$D$3:$AL$3,"&lt;="&amp;Datos!M$3)))))</f>
        <v>-</v>
      </c>
      <c r="N41" s="229" t="str">
        <f>IF(SUMPRODUCT((YEAR(Datos!$D$3:$AL$3)=YEAR(Datos!N$3))*(Datos!$D$3:$AL$3&lt;=Datos!N$3)*((Datos!$D$39:$AL$39+Datos!$D$40:$AL$40+Datos!$D$41:$AL$41+Datos!$D$42:$AL$42)&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1000000/(SUMIFS(Datos!$D$47:$AL$47,Datos!$D$3:$AL$3,"&gt;="&amp;DATE(YEAR(Datos!N$3),1,1),Datos!$D$3:$AL$3,"&lt;="&amp;Datos!N$3)))))</f>
        <v>-</v>
      </c>
      <c r="O41" s="229" t="str">
        <f>IF(SUMPRODUCT((YEAR(Datos!$D$3:$AL$3)=YEAR(Datos!O$3))*(Datos!$D$3:$AL$3&lt;=Datos!O$3)*((Datos!$D$39:$AL$39+Datos!$D$40:$AL$40+Datos!$D$41:$AL$41+Datos!$D$42:$AL$42)&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1000000/(SUMIFS(Datos!$D$47:$AL$47,Datos!$D$3:$AL$3,"&gt;="&amp;DATE(YEAR(Datos!O$3),1,1),Datos!$D$3:$AL$3,"&lt;="&amp;Datos!O$3)))))</f>
        <v>-</v>
      </c>
      <c r="P41" s="229" t="str">
        <f>IF(SUMPRODUCT((YEAR(Datos!$D$3:$AL$3)=YEAR(Datos!P$3))*(Datos!$D$3:$AL$3&lt;=Datos!P$3)*((Datos!$D$39:$AL$39+Datos!$D$40:$AL$40+Datos!$D$41:$AL$41+Datos!$D$42:$AL$42)&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1000000/(SUMIFS(Datos!$D$47:$AL$47,Datos!$D$3:$AL$3,"&gt;="&amp;DATE(YEAR(Datos!P$3),1,1),Datos!$D$3:$AL$3,"&lt;="&amp;Datos!P$3)))))</f>
        <v>-</v>
      </c>
      <c r="Q41" s="229" t="str">
        <f>IF(SUMPRODUCT((YEAR(Datos!$D$3:$AL$3)=YEAR(Datos!Q$3))*(Datos!$D$3:$AL$3&lt;=Datos!Q$3)*((Datos!$D$39:$AL$39+Datos!$D$40:$AL$40+Datos!$D$41:$AL$41+Datos!$D$42:$AL$42)&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1000000/(SUMIFS(Datos!$D$47:$AL$47,Datos!$D$3:$AL$3,"&gt;="&amp;DATE(YEAR(Datos!Q$3),1,1),Datos!$D$3:$AL$3,"&lt;="&amp;Datos!Q$3)))))</f>
        <v>-</v>
      </c>
      <c r="R41" s="229" t="str">
        <f>IF(SUMPRODUCT((YEAR(Datos!$D$3:$AL$3)=YEAR(Datos!R$3))*(Datos!$D$3:$AL$3&lt;=Datos!R$3)*((Datos!$D$39:$AL$39+Datos!$D$40:$AL$40+Datos!$D$41:$AL$41+Datos!$D$42:$AL$42)&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1000000/(SUMIFS(Datos!$D$47:$AL$47,Datos!$D$3:$AL$3,"&gt;="&amp;DATE(YEAR(Datos!R$3),1,1),Datos!$D$3:$AL$3,"&lt;="&amp;Datos!R$3)))))</f>
        <v>-</v>
      </c>
      <c r="S41" s="229" t="str">
        <f>IF(SUMPRODUCT((YEAR(Datos!$D$3:$AL$3)=YEAR(Datos!S$3))*(Datos!$D$3:$AL$3&lt;=Datos!S$3)*((Datos!$D$39:$AL$39+Datos!$D$40:$AL$40+Datos!$D$41:$AL$41+Datos!$D$42:$AL$42)&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1000000/(SUMIFS(Datos!$D$47:$AL$47,Datos!$D$3:$AL$3,"&gt;="&amp;DATE(YEAR(Datos!S$3),1,1),Datos!$D$3:$AL$3,"&lt;="&amp;Datos!S$3)))))</f>
        <v>-</v>
      </c>
      <c r="T41" s="229" t="str">
        <f>IF(SUMPRODUCT((YEAR(Datos!$D$3:$AL$3)=YEAR(Datos!T$3))*(Datos!$D$3:$AL$3&lt;=Datos!T$3)*((Datos!$D$39:$AL$39+Datos!$D$40:$AL$40+Datos!$D$41:$AL$41+Datos!$D$42:$AL$42)&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1000000/(SUMIFS(Datos!$D$47:$AL$47,Datos!$D$3:$AL$3,"&gt;="&amp;DATE(YEAR(Datos!T$3),1,1),Datos!$D$3:$AL$3,"&lt;="&amp;Datos!T$3)))))</f>
        <v>-</v>
      </c>
      <c r="U41" s="229" t="str">
        <f>IF(SUMPRODUCT((YEAR(Datos!$D$3:$AL$3)=YEAR(Datos!U$3))*(Datos!$D$3:$AL$3&lt;=Datos!U$3)*((Datos!$D$39:$AL$39+Datos!$D$40:$AL$40+Datos!$D$41:$AL$41+Datos!$D$42:$AL$42)&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1000000/(SUMIFS(Datos!$D$47:$AL$47,Datos!$D$3:$AL$3,"&gt;="&amp;DATE(YEAR(Datos!U$3),1,1),Datos!$D$3:$AL$3,"&lt;="&amp;Datos!U$3)))))</f>
        <v>-</v>
      </c>
      <c r="V41" s="229" t="str">
        <f>IF(SUMPRODUCT((YEAR(Datos!$D$3:$AL$3)=YEAR(Datos!V$3))*(Datos!$D$3:$AL$3&lt;=Datos!V$3)*((Datos!$D$39:$AL$39+Datos!$D$40:$AL$40+Datos!$D$41:$AL$41+Datos!$D$42:$AL$42)&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1000000/(SUMIFS(Datos!$D$47:$AL$47,Datos!$D$3:$AL$3,"&gt;="&amp;DATE(YEAR(Datos!V$3),1,1),Datos!$D$3:$AL$3,"&lt;="&amp;Datos!V$3)))))</f>
        <v>-</v>
      </c>
      <c r="W41" s="229" t="str">
        <f>IF(SUMPRODUCT((YEAR(Datos!$D$3:$AL$3)=YEAR(Datos!W$3))*(Datos!$D$3:$AL$3&lt;=Datos!W$3)*((Datos!$D$39:$AL$39+Datos!$D$40:$AL$40+Datos!$D$41:$AL$41+Datos!$D$42:$AL$42)&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1000000/(SUMIFS(Datos!$D$47:$AL$47,Datos!$D$3:$AL$3,"&gt;="&amp;DATE(YEAR(Datos!W$3),1,1),Datos!$D$3:$AL$3,"&lt;="&amp;Datos!W$3)))))</f>
        <v>-</v>
      </c>
      <c r="X41" s="229" t="str">
        <f>IF(SUMPRODUCT((YEAR(Datos!$D$3:$AL$3)=YEAR(Datos!X$3))*(Datos!$D$3:$AL$3&lt;=Datos!X$3)*((Datos!$D$39:$AL$39+Datos!$D$40:$AL$40+Datos!$D$41:$AL$41+Datos!$D$42:$AL$42)&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1000000/(SUMIFS(Datos!$D$47:$AL$47,Datos!$D$3:$AL$3,"&gt;="&amp;DATE(YEAR(Datos!X$3),1,1),Datos!$D$3:$AL$3,"&lt;="&amp;Datos!X$3)))))</f>
        <v>-</v>
      </c>
      <c r="Y41" s="229" t="str">
        <f>IF(SUMPRODUCT((YEAR(Datos!$D$3:$AL$3)=YEAR(Datos!Y$3))*(Datos!$D$3:$AL$3&lt;=Datos!Y$3)*((Datos!$D$39:$AL$39+Datos!$D$40:$AL$40+Datos!$D$41:$AL$41+Datos!$D$42:$AL$42)&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1000000/(SUMIFS(Datos!$D$47:$AL$47,Datos!$D$3:$AL$3,"&gt;="&amp;DATE(YEAR(Datos!Y$3),1,1),Datos!$D$3:$AL$3,"&lt;="&amp;Datos!Y$3)))))</f>
        <v>-</v>
      </c>
      <c r="Z41" s="229" t="str">
        <f>IF(SUMPRODUCT((YEAR(Datos!$D$3:$AL$3)=YEAR(Datos!Z$3))*(Datos!$D$3:$AL$3&lt;=Datos!Z$3)*((Datos!$D$39:$AL$39+Datos!$D$40:$AL$40+Datos!$D$41:$AL$41+Datos!$D$42:$AL$42)&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1000000/(SUMIFS(Datos!$D$47:$AL$47,Datos!$D$3:$AL$3,"&gt;="&amp;DATE(YEAR(Datos!Z$3),1,1),Datos!$D$3:$AL$3,"&lt;="&amp;Datos!Z$3)))))</f>
        <v>-</v>
      </c>
      <c r="AA41" s="229" t="str">
        <f>IF(SUMPRODUCT((YEAR(Datos!$D$3:$AL$3)=YEAR(Datos!AA$3))*(Datos!$D$3:$AL$3&lt;=Datos!AA$3)*((Datos!$D$39:$AL$39+Datos!$D$40:$AL$40+Datos!$D$41:$AL$41+Datos!$D$42:$AL$42)&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1000000/(SUMIFS(Datos!$D$47:$AL$47,Datos!$D$3:$AL$3,"&gt;="&amp;DATE(YEAR(Datos!AA$3),1,1),Datos!$D$3:$AL$3,"&lt;="&amp;Datos!AA$3)))))</f>
        <v>-</v>
      </c>
      <c r="AB41" s="229" t="str">
        <f>IF(SUMPRODUCT((YEAR(Datos!$D$3:$AL$3)=YEAR(Datos!AB$3))*(Datos!$D$3:$AL$3&lt;=Datos!AB$3)*((Datos!$D$39:$AL$39+Datos!$D$40:$AL$40+Datos!$D$41:$AL$41+Datos!$D$42:$AL$42)&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1000000/(SUMIFS(Datos!$D$47:$AL$47,Datos!$D$3:$AL$3,"&gt;="&amp;DATE(YEAR(Datos!AB$3),1,1),Datos!$D$3:$AL$3,"&lt;="&amp;Datos!AB$3)))))</f>
        <v>-</v>
      </c>
      <c r="AC41" s="229" t="str">
        <f>IF(SUMPRODUCT((YEAR(Datos!$D$3:$AL$3)=YEAR(Datos!AC$3))*(Datos!$D$3:$AL$3&lt;=Datos!AC$3)*((Datos!$D$39:$AL$39+Datos!$D$40:$AL$40+Datos!$D$41:$AL$41+Datos!$D$42:$AL$42)&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1000000/(SUMIFS(Datos!$D$47:$AL$47,Datos!$D$3:$AL$3,"&gt;="&amp;DATE(YEAR(Datos!AC$3),1,1),Datos!$D$3:$AL$3,"&lt;="&amp;Datos!AC$3)))))</f>
        <v>-</v>
      </c>
      <c r="AD41" s="229" t="str">
        <f>IF(SUMPRODUCT((YEAR(Datos!$D$3:$AL$3)=YEAR(Datos!AD$3))*(Datos!$D$3:$AL$3&lt;=Datos!AD$3)*((Datos!$D$39:$AL$39+Datos!$D$40:$AL$40+Datos!$D$41:$AL$41+Datos!$D$42:$AL$42)&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1000000/(SUMIFS(Datos!$D$47:$AL$47,Datos!$D$3:$AL$3,"&gt;="&amp;DATE(YEAR(Datos!AD$3),1,1),Datos!$D$3:$AL$3,"&lt;="&amp;Datos!AD$3)))))</f>
        <v>-</v>
      </c>
      <c r="AE41" s="229" t="str">
        <f>IF(SUMPRODUCT((YEAR(Datos!$D$3:$AL$3)=YEAR(Datos!AE$3))*(Datos!$D$3:$AL$3&lt;=Datos!AE$3)*((Datos!$D$39:$AL$39+Datos!$D$40:$AL$40+Datos!$D$41:$AL$41+Datos!$D$42:$AL$42)&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1000000/(SUMIFS(Datos!$D$47:$AL$47,Datos!$D$3:$AL$3,"&gt;="&amp;DATE(YEAR(Datos!AE$3),1,1),Datos!$D$3:$AL$3,"&lt;="&amp;Datos!AE$3)))))</f>
        <v>-</v>
      </c>
      <c r="AF41" s="229" t="str">
        <f>IF(SUMPRODUCT((YEAR(Datos!$D$3:$AL$3)=YEAR(Datos!AF$3))*(Datos!$D$3:$AL$3&lt;=Datos!AF$3)*((Datos!$D$39:$AL$39+Datos!$D$40:$AL$40+Datos!$D$41:$AL$41+Datos!$D$42:$AL$42)&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1000000/(SUMIFS(Datos!$D$47:$AL$47,Datos!$D$3:$AL$3,"&gt;="&amp;DATE(YEAR(Datos!AF$3),1,1),Datos!$D$3:$AL$3,"&lt;="&amp;Datos!AF$3)))))</f>
        <v>-</v>
      </c>
      <c r="AG41" s="229" t="str">
        <f>IF(SUMPRODUCT((YEAR(Datos!$D$3:$AL$3)=YEAR(Datos!AG$3))*(Datos!$D$3:$AL$3&lt;=Datos!AG$3)*((Datos!$D$39:$AL$39+Datos!$D$40:$AL$40+Datos!$D$41:$AL$41+Datos!$D$42:$AL$42)&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1000000/(SUMIFS(Datos!$D$47:$AL$47,Datos!$D$3:$AL$3,"&gt;="&amp;DATE(YEAR(Datos!AG$3),1,1),Datos!$D$3:$AL$3,"&lt;="&amp;Datos!AG$3)))))</f>
        <v>-</v>
      </c>
      <c r="AH41" s="229" t="str">
        <f>IF(SUMPRODUCT((YEAR(Datos!$D$3:$AL$3)=YEAR(Datos!AH$3))*(Datos!$D$3:$AL$3&lt;=Datos!AH$3)*((Datos!$D$39:$AL$39+Datos!$D$40:$AL$40+Datos!$D$41:$AL$41+Datos!$D$42:$AL$42)&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1000000/(SUMIFS(Datos!$D$47:$AL$47,Datos!$D$3:$AL$3,"&gt;="&amp;DATE(YEAR(Datos!AH$3),1,1),Datos!$D$3:$AL$3,"&lt;="&amp;Datos!AH$3)))))</f>
        <v>-</v>
      </c>
      <c r="AI41" s="229" t="str">
        <f>IF(SUMPRODUCT((YEAR(Datos!$D$3:$AL$3)=YEAR(Datos!AI$3))*(Datos!$D$3:$AL$3&lt;=Datos!AI$3)*((Datos!$D$39:$AL$39+Datos!$D$40:$AL$40+Datos!$D$41:$AL$41+Datos!$D$42:$AL$42)&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1000000/(SUMIFS(Datos!$D$47:$AL$47,Datos!$D$3:$AL$3,"&gt;="&amp;DATE(YEAR(Datos!AI$3),1,1),Datos!$D$3:$AL$3,"&lt;="&amp;Datos!AI$3)))))</f>
        <v>-</v>
      </c>
      <c r="AJ41" s="229" t="str">
        <f>IF(SUMPRODUCT((YEAR(Datos!$D$3:$AL$3)=YEAR(Datos!AJ$3))*(Datos!$D$3:$AL$3&lt;=Datos!AJ$3)*((Datos!$D$39:$AL$39+Datos!$D$40:$AL$40+Datos!$D$41:$AL$41+Datos!$D$42:$AL$42)&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1000000/(SUMIFS(Datos!$D$47:$AL$47,Datos!$D$3:$AL$3,"&gt;="&amp;DATE(YEAR(Datos!AJ$3),1,1),Datos!$D$3:$AL$3,"&lt;="&amp;Datos!AJ$3)))))</f>
        <v>-</v>
      </c>
      <c r="AK41" s="229" t="str">
        <f>IF(SUMPRODUCT((YEAR(Datos!$D$3:$AL$3)=YEAR(Datos!AK$3))*(Datos!$D$3:$AL$3&lt;=Datos!AK$3)*((Datos!$D$39:$AL$39+Datos!$D$40:$AL$40+Datos!$D$41:$AL$41+Datos!$D$42:$AL$42)&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1000000/(SUMIFS(Datos!$D$47:$AL$47,Datos!$D$3:$AL$3,"&gt;="&amp;DATE(YEAR(Datos!AK$3),1,1),Datos!$D$3:$AL$3,"&lt;="&amp;Datos!AK$3)))))</f>
        <v>-</v>
      </c>
      <c r="AL41" s="229" t="str">
        <f>IF(SUMPRODUCT((YEAR(Datos!$D$3:$AL$3)=YEAR(Datos!AL$3))*(Datos!$D$3:$AL$3&lt;=Datos!AL$3)*((Datos!$D$39:$AL$39+Datos!$D$40:$AL$40+Datos!$D$41:$AL$41+Datos!$D$42:$AL$42)&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1000000/(SUMIFS(Datos!$D$47:$AL$47,Datos!$D$3:$AL$3,"&gt;="&amp;DATE(YEAR(Datos!AL$3),1,1),Datos!$D$3:$AL$3,"&lt;="&amp;Datos!AL$3)))))</f>
        <v>-</v>
      </c>
    </row>
    <row r="42" spans="1:38" ht="27.75" customHeight="1" x14ac:dyDescent="0.3">
      <c r="A42" s="232" t="str">
        <f>KPIs!$A$14&amp;" · YTD"</f>
        <v>7 · Investigaciones de accidentes: días promedio de cierre · YTD</v>
      </c>
      <c r="B42" s="70" t="s">
        <v>143</v>
      </c>
      <c r="C42" s="233">
        <f>IF(KPIs!C14="","",KPIs!C14)</f>
        <v>20</v>
      </c>
      <c r="D42" s="234" t="str">
        <f>IF(SUMPRODUCT((YEAR(Datos!$D$3:$AL$3)=YEAR(Datos!D$3))*(Datos!$D$3:$AL$3&lt;=Datos!D$3)*((Datos!$D$31:$AL$31)&gt;0)*((Datos!$D$30:$AL$30)=0))&gt;0,"-",IF((Datos!D30)=0,"-",IF((SUMIFS(Datos!$D$30:$AL$30,Datos!$D$3:$AL$3,"&gt;="&amp;DATE(YEAR(Datos!D$3),1,1),Datos!$D$3:$AL$3,"&lt;="&amp;Datos!D$3))=0,"-",(SUMIFS(Datos!$D$31:$AL$31,Datos!$D$3:$AL$3,"&gt;="&amp;DATE(YEAR(Datos!D$3),1,1),Datos!$D$3:$AL$3,"&lt;="&amp;Datos!D$3))/(SUMIFS(Datos!$D$30:$AL$30,Datos!$D$3:$AL$3,"&gt;="&amp;DATE(YEAR(Datos!D$3),1,1),Datos!$D$3:$AL$3,"&lt;="&amp;Datos!D$3)))))</f>
        <v>-</v>
      </c>
      <c r="E42" s="234" t="str">
        <f>IF(SUMPRODUCT((YEAR(Datos!$D$3:$AL$3)=YEAR(Datos!E$3))*(Datos!$D$3:$AL$3&lt;=Datos!E$3)*((Datos!$D$31:$AL$31)&gt;0)*((Datos!$D$30:$AL$30)=0))&gt;0,"-",IF((Datos!E30)=0,"-",IF((SUMIFS(Datos!$D$30:$AL$30,Datos!$D$3:$AL$3,"&gt;="&amp;DATE(YEAR(Datos!E$3),1,1),Datos!$D$3:$AL$3,"&lt;="&amp;Datos!E$3))=0,"-",(SUMIFS(Datos!$D$31:$AL$31,Datos!$D$3:$AL$3,"&gt;="&amp;DATE(YEAR(Datos!E$3),1,1),Datos!$D$3:$AL$3,"&lt;="&amp;Datos!E$3))/(SUMIFS(Datos!$D$30:$AL$30,Datos!$D$3:$AL$3,"&gt;="&amp;DATE(YEAR(Datos!E$3),1,1),Datos!$D$3:$AL$3,"&lt;="&amp;Datos!E$3)))))</f>
        <v>-</v>
      </c>
      <c r="F42" s="234" t="str">
        <f>IF(SUMPRODUCT((YEAR(Datos!$D$3:$AL$3)=YEAR(Datos!F$3))*(Datos!$D$3:$AL$3&lt;=Datos!F$3)*((Datos!$D$31:$AL$31)&gt;0)*((Datos!$D$30:$AL$30)=0))&gt;0,"-",IF((Datos!F30)=0,"-",IF((SUMIFS(Datos!$D$30:$AL$30,Datos!$D$3:$AL$3,"&gt;="&amp;DATE(YEAR(Datos!F$3),1,1),Datos!$D$3:$AL$3,"&lt;="&amp;Datos!F$3))=0,"-",(SUMIFS(Datos!$D$31:$AL$31,Datos!$D$3:$AL$3,"&gt;="&amp;DATE(YEAR(Datos!F$3),1,1),Datos!$D$3:$AL$3,"&lt;="&amp;Datos!F$3))/(SUMIFS(Datos!$D$30:$AL$30,Datos!$D$3:$AL$3,"&gt;="&amp;DATE(YEAR(Datos!F$3),1,1),Datos!$D$3:$AL$3,"&lt;="&amp;Datos!F$3)))))</f>
        <v>-</v>
      </c>
      <c r="G42" s="234" t="str">
        <f>IF(SUMPRODUCT((YEAR(Datos!$D$3:$AL$3)=YEAR(Datos!G$3))*(Datos!$D$3:$AL$3&lt;=Datos!G$3)*((Datos!$D$31:$AL$31)&gt;0)*((Datos!$D$30:$AL$30)=0))&gt;0,"-",IF((Datos!G30)=0,"-",IF((SUMIFS(Datos!$D$30:$AL$30,Datos!$D$3:$AL$3,"&gt;="&amp;DATE(YEAR(Datos!G$3),1,1),Datos!$D$3:$AL$3,"&lt;="&amp;Datos!G$3))=0,"-",(SUMIFS(Datos!$D$31:$AL$31,Datos!$D$3:$AL$3,"&gt;="&amp;DATE(YEAR(Datos!G$3),1,1),Datos!$D$3:$AL$3,"&lt;="&amp;Datos!G$3))/(SUMIFS(Datos!$D$30:$AL$30,Datos!$D$3:$AL$3,"&gt;="&amp;DATE(YEAR(Datos!G$3),1,1),Datos!$D$3:$AL$3,"&lt;="&amp;Datos!G$3)))))</f>
        <v>-</v>
      </c>
      <c r="H42" s="234" t="str">
        <f>IF(SUMPRODUCT((YEAR(Datos!$D$3:$AL$3)=YEAR(Datos!H$3))*(Datos!$D$3:$AL$3&lt;=Datos!H$3)*((Datos!$D$31:$AL$31)&gt;0)*((Datos!$D$30:$AL$30)=0))&gt;0,"-",IF((Datos!H30)=0,"-",IF((SUMIFS(Datos!$D$30:$AL$30,Datos!$D$3:$AL$3,"&gt;="&amp;DATE(YEAR(Datos!H$3),1,1),Datos!$D$3:$AL$3,"&lt;="&amp;Datos!H$3))=0,"-",(SUMIFS(Datos!$D$31:$AL$31,Datos!$D$3:$AL$3,"&gt;="&amp;DATE(YEAR(Datos!H$3),1,1),Datos!$D$3:$AL$3,"&lt;="&amp;Datos!H$3))/(SUMIFS(Datos!$D$30:$AL$30,Datos!$D$3:$AL$3,"&gt;="&amp;DATE(YEAR(Datos!H$3),1,1),Datos!$D$3:$AL$3,"&lt;="&amp;Datos!H$3)))))</f>
        <v>-</v>
      </c>
      <c r="I42" s="234" t="str">
        <f>IF(SUMPRODUCT((YEAR(Datos!$D$3:$AL$3)=YEAR(Datos!I$3))*(Datos!$D$3:$AL$3&lt;=Datos!I$3)*((Datos!$D$31:$AL$31)&gt;0)*((Datos!$D$30:$AL$30)=0))&gt;0,"-",IF((Datos!I30)=0,"-",IF((SUMIFS(Datos!$D$30:$AL$30,Datos!$D$3:$AL$3,"&gt;="&amp;DATE(YEAR(Datos!I$3),1,1),Datos!$D$3:$AL$3,"&lt;="&amp;Datos!I$3))=0,"-",(SUMIFS(Datos!$D$31:$AL$31,Datos!$D$3:$AL$3,"&gt;="&amp;DATE(YEAR(Datos!I$3),1,1),Datos!$D$3:$AL$3,"&lt;="&amp;Datos!I$3))/(SUMIFS(Datos!$D$30:$AL$30,Datos!$D$3:$AL$3,"&gt;="&amp;DATE(YEAR(Datos!I$3),1,1),Datos!$D$3:$AL$3,"&lt;="&amp;Datos!I$3)))))</f>
        <v>-</v>
      </c>
      <c r="J42" s="234" t="str">
        <f>IF(SUMPRODUCT((YEAR(Datos!$D$3:$AL$3)=YEAR(Datos!J$3))*(Datos!$D$3:$AL$3&lt;=Datos!J$3)*((Datos!$D$31:$AL$31)&gt;0)*((Datos!$D$30:$AL$30)=0))&gt;0,"-",IF((Datos!J30)=0,"-",IF((SUMIFS(Datos!$D$30:$AL$30,Datos!$D$3:$AL$3,"&gt;="&amp;DATE(YEAR(Datos!J$3),1,1),Datos!$D$3:$AL$3,"&lt;="&amp;Datos!J$3))=0,"-",(SUMIFS(Datos!$D$31:$AL$31,Datos!$D$3:$AL$3,"&gt;="&amp;DATE(YEAR(Datos!J$3),1,1),Datos!$D$3:$AL$3,"&lt;="&amp;Datos!J$3))/(SUMIFS(Datos!$D$30:$AL$30,Datos!$D$3:$AL$3,"&gt;="&amp;DATE(YEAR(Datos!J$3),1,1),Datos!$D$3:$AL$3,"&lt;="&amp;Datos!J$3)))))</f>
        <v>-</v>
      </c>
      <c r="K42" s="234" t="str">
        <f>IF(SUMPRODUCT((YEAR(Datos!$D$3:$AL$3)=YEAR(Datos!K$3))*(Datos!$D$3:$AL$3&lt;=Datos!K$3)*((Datos!$D$31:$AL$31)&gt;0)*((Datos!$D$30:$AL$30)=0))&gt;0,"-",IF((Datos!K30)=0,"-",IF((SUMIFS(Datos!$D$30:$AL$30,Datos!$D$3:$AL$3,"&gt;="&amp;DATE(YEAR(Datos!K$3),1,1),Datos!$D$3:$AL$3,"&lt;="&amp;Datos!K$3))=0,"-",(SUMIFS(Datos!$D$31:$AL$31,Datos!$D$3:$AL$3,"&gt;="&amp;DATE(YEAR(Datos!K$3),1,1),Datos!$D$3:$AL$3,"&lt;="&amp;Datos!K$3))/(SUMIFS(Datos!$D$30:$AL$30,Datos!$D$3:$AL$3,"&gt;="&amp;DATE(YEAR(Datos!K$3),1,1),Datos!$D$3:$AL$3,"&lt;="&amp;Datos!K$3)))))</f>
        <v>-</v>
      </c>
      <c r="L42" s="234" t="str">
        <f>IF(SUMPRODUCT((YEAR(Datos!$D$3:$AL$3)=YEAR(Datos!L$3))*(Datos!$D$3:$AL$3&lt;=Datos!L$3)*((Datos!$D$31:$AL$31)&gt;0)*((Datos!$D$30:$AL$30)=0))&gt;0,"-",IF((Datos!L30)=0,"-",IF((SUMIFS(Datos!$D$30:$AL$30,Datos!$D$3:$AL$3,"&gt;="&amp;DATE(YEAR(Datos!L$3),1,1),Datos!$D$3:$AL$3,"&lt;="&amp;Datos!L$3))=0,"-",(SUMIFS(Datos!$D$31:$AL$31,Datos!$D$3:$AL$3,"&gt;="&amp;DATE(YEAR(Datos!L$3),1,1),Datos!$D$3:$AL$3,"&lt;="&amp;Datos!L$3))/(SUMIFS(Datos!$D$30:$AL$30,Datos!$D$3:$AL$3,"&gt;="&amp;DATE(YEAR(Datos!L$3),1,1),Datos!$D$3:$AL$3,"&lt;="&amp;Datos!L$3)))))</f>
        <v>-</v>
      </c>
      <c r="M42" s="234" t="str">
        <f>IF(SUMPRODUCT((YEAR(Datos!$D$3:$AL$3)=YEAR(Datos!M$3))*(Datos!$D$3:$AL$3&lt;=Datos!M$3)*((Datos!$D$31:$AL$31)&gt;0)*((Datos!$D$30:$AL$30)=0))&gt;0,"-",IF((Datos!M30)=0,"-",IF((SUMIFS(Datos!$D$30:$AL$30,Datos!$D$3:$AL$3,"&gt;="&amp;DATE(YEAR(Datos!M$3),1,1),Datos!$D$3:$AL$3,"&lt;="&amp;Datos!M$3))=0,"-",(SUMIFS(Datos!$D$31:$AL$31,Datos!$D$3:$AL$3,"&gt;="&amp;DATE(YEAR(Datos!M$3),1,1),Datos!$D$3:$AL$3,"&lt;="&amp;Datos!M$3))/(SUMIFS(Datos!$D$30:$AL$30,Datos!$D$3:$AL$3,"&gt;="&amp;DATE(YEAR(Datos!M$3),1,1),Datos!$D$3:$AL$3,"&lt;="&amp;Datos!M$3)))))</f>
        <v>-</v>
      </c>
      <c r="N42" s="234" t="str">
        <f>IF(SUMPRODUCT((YEAR(Datos!$D$3:$AL$3)=YEAR(Datos!N$3))*(Datos!$D$3:$AL$3&lt;=Datos!N$3)*((Datos!$D$31:$AL$31)&gt;0)*((Datos!$D$30:$AL$30)=0))&gt;0,"-",IF((Datos!N30)=0,"-",IF((SUMIFS(Datos!$D$30:$AL$30,Datos!$D$3:$AL$3,"&gt;="&amp;DATE(YEAR(Datos!N$3),1,1),Datos!$D$3:$AL$3,"&lt;="&amp;Datos!N$3))=0,"-",(SUMIFS(Datos!$D$31:$AL$31,Datos!$D$3:$AL$3,"&gt;="&amp;DATE(YEAR(Datos!N$3),1,1),Datos!$D$3:$AL$3,"&lt;="&amp;Datos!N$3))/(SUMIFS(Datos!$D$30:$AL$30,Datos!$D$3:$AL$3,"&gt;="&amp;DATE(YEAR(Datos!N$3),1,1),Datos!$D$3:$AL$3,"&lt;="&amp;Datos!N$3)))))</f>
        <v>-</v>
      </c>
      <c r="O42" s="234" t="str">
        <f>IF(SUMPRODUCT((YEAR(Datos!$D$3:$AL$3)=YEAR(Datos!O$3))*(Datos!$D$3:$AL$3&lt;=Datos!O$3)*((Datos!$D$31:$AL$31)&gt;0)*((Datos!$D$30:$AL$30)=0))&gt;0,"-",IF((Datos!O30)=0,"-",IF((SUMIFS(Datos!$D$30:$AL$30,Datos!$D$3:$AL$3,"&gt;="&amp;DATE(YEAR(Datos!O$3),1,1),Datos!$D$3:$AL$3,"&lt;="&amp;Datos!O$3))=0,"-",(SUMIFS(Datos!$D$31:$AL$31,Datos!$D$3:$AL$3,"&gt;="&amp;DATE(YEAR(Datos!O$3),1,1),Datos!$D$3:$AL$3,"&lt;="&amp;Datos!O$3))/(SUMIFS(Datos!$D$30:$AL$30,Datos!$D$3:$AL$3,"&gt;="&amp;DATE(YEAR(Datos!O$3),1,1),Datos!$D$3:$AL$3,"&lt;="&amp;Datos!O$3)))))</f>
        <v>-</v>
      </c>
      <c r="P42" s="234" t="str">
        <f>IF(SUMPRODUCT((YEAR(Datos!$D$3:$AL$3)=YEAR(Datos!P$3))*(Datos!$D$3:$AL$3&lt;=Datos!P$3)*((Datos!$D$31:$AL$31)&gt;0)*((Datos!$D$30:$AL$30)=0))&gt;0,"-",IF((Datos!P30)=0,"-",IF((SUMIFS(Datos!$D$30:$AL$30,Datos!$D$3:$AL$3,"&gt;="&amp;DATE(YEAR(Datos!P$3),1,1),Datos!$D$3:$AL$3,"&lt;="&amp;Datos!P$3))=0,"-",(SUMIFS(Datos!$D$31:$AL$31,Datos!$D$3:$AL$3,"&gt;="&amp;DATE(YEAR(Datos!P$3),1,1),Datos!$D$3:$AL$3,"&lt;="&amp;Datos!P$3))/(SUMIFS(Datos!$D$30:$AL$30,Datos!$D$3:$AL$3,"&gt;="&amp;DATE(YEAR(Datos!P$3),1,1),Datos!$D$3:$AL$3,"&lt;="&amp;Datos!P$3)))))</f>
        <v>-</v>
      </c>
      <c r="Q42" s="234" t="str">
        <f>IF(SUMPRODUCT((YEAR(Datos!$D$3:$AL$3)=YEAR(Datos!Q$3))*(Datos!$D$3:$AL$3&lt;=Datos!Q$3)*((Datos!$D$31:$AL$31)&gt;0)*((Datos!$D$30:$AL$30)=0))&gt;0,"-",IF((Datos!Q30)=0,"-",IF((SUMIFS(Datos!$D$30:$AL$30,Datos!$D$3:$AL$3,"&gt;="&amp;DATE(YEAR(Datos!Q$3),1,1),Datos!$D$3:$AL$3,"&lt;="&amp;Datos!Q$3))=0,"-",(SUMIFS(Datos!$D$31:$AL$31,Datos!$D$3:$AL$3,"&gt;="&amp;DATE(YEAR(Datos!Q$3),1,1),Datos!$D$3:$AL$3,"&lt;="&amp;Datos!Q$3))/(SUMIFS(Datos!$D$30:$AL$30,Datos!$D$3:$AL$3,"&gt;="&amp;DATE(YEAR(Datos!Q$3),1,1),Datos!$D$3:$AL$3,"&lt;="&amp;Datos!Q$3)))))</f>
        <v>-</v>
      </c>
      <c r="R42" s="234" t="str">
        <f>IF(SUMPRODUCT((YEAR(Datos!$D$3:$AL$3)=YEAR(Datos!R$3))*(Datos!$D$3:$AL$3&lt;=Datos!R$3)*((Datos!$D$31:$AL$31)&gt;0)*((Datos!$D$30:$AL$30)=0))&gt;0,"-",IF((Datos!R30)=0,"-",IF((SUMIFS(Datos!$D$30:$AL$30,Datos!$D$3:$AL$3,"&gt;="&amp;DATE(YEAR(Datos!R$3),1,1),Datos!$D$3:$AL$3,"&lt;="&amp;Datos!R$3))=0,"-",(SUMIFS(Datos!$D$31:$AL$31,Datos!$D$3:$AL$3,"&gt;="&amp;DATE(YEAR(Datos!R$3),1,1),Datos!$D$3:$AL$3,"&lt;="&amp;Datos!R$3))/(SUMIFS(Datos!$D$30:$AL$30,Datos!$D$3:$AL$3,"&gt;="&amp;DATE(YEAR(Datos!R$3),1,1),Datos!$D$3:$AL$3,"&lt;="&amp;Datos!R$3)))))</f>
        <v>-</v>
      </c>
      <c r="S42" s="234" t="str">
        <f>IF(SUMPRODUCT((YEAR(Datos!$D$3:$AL$3)=YEAR(Datos!S$3))*(Datos!$D$3:$AL$3&lt;=Datos!S$3)*((Datos!$D$31:$AL$31)&gt;0)*((Datos!$D$30:$AL$30)=0))&gt;0,"-",IF((Datos!S30)=0,"-",IF((SUMIFS(Datos!$D$30:$AL$30,Datos!$D$3:$AL$3,"&gt;="&amp;DATE(YEAR(Datos!S$3),1,1),Datos!$D$3:$AL$3,"&lt;="&amp;Datos!S$3))=0,"-",(SUMIFS(Datos!$D$31:$AL$31,Datos!$D$3:$AL$3,"&gt;="&amp;DATE(YEAR(Datos!S$3),1,1),Datos!$D$3:$AL$3,"&lt;="&amp;Datos!S$3))/(SUMIFS(Datos!$D$30:$AL$30,Datos!$D$3:$AL$3,"&gt;="&amp;DATE(YEAR(Datos!S$3),1,1),Datos!$D$3:$AL$3,"&lt;="&amp;Datos!S$3)))))</f>
        <v>-</v>
      </c>
      <c r="T42" s="234" t="str">
        <f>IF(SUMPRODUCT((YEAR(Datos!$D$3:$AL$3)=YEAR(Datos!T$3))*(Datos!$D$3:$AL$3&lt;=Datos!T$3)*((Datos!$D$31:$AL$31)&gt;0)*((Datos!$D$30:$AL$30)=0))&gt;0,"-",IF((Datos!T30)=0,"-",IF((SUMIFS(Datos!$D$30:$AL$30,Datos!$D$3:$AL$3,"&gt;="&amp;DATE(YEAR(Datos!T$3),1,1),Datos!$D$3:$AL$3,"&lt;="&amp;Datos!T$3))=0,"-",(SUMIFS(Datos!$D$31:$AL$31,Datos!$D$3:$AL$3,"&gt;="&amp;DATE(YEAR(Datos!T$3),1,1),Datos!$D$3:$AL$3,"&lt;="&amp;Datos!T$3))/(SUMIFS(Datos!$D$30:$AL$30,Datos!$D$3:$AL$3,"&gt;="&amp;DATE(YEAR(Datos!T$3),1,1),Datos!$D$3:$AL$3,"&lt;="&amp;Datos!T$3)))))</f>
        <v>-</v>
      </c>
      <c r="U42" s="234" t="str">
        <f>IF(SUMPRODUCT((YEAR(Datos!$D$3:$AL$3)=YEAR(Datos!U$3))*(Datos!$D$3:$AL$3&lt;=Datos!U$3)*((Datos!$D$31:$AL$31)&gt;0)*((Datos!$D$30:$AL$30)=0))&gt;0,"-",IF((Datos!U30)=0,"-",IF((SUMIFS(Datos!$D$30:$AL$30,Datos!$D$3:$AL$3,"&gt;="&amp;DATE(YEAR(Datos!U$3),1,1),Datos!$D$3:$AL$3,"&lt;="&amp;Datos!U$3))=0,"-",(SUMIFS(Datos!$D$31:$AL$31,Datos!$D$3:$AL$3,"&gt;="&amp;DATE(YEAR(Datos!U$3),1,1),Datos!$D$3:$AL$3,"&lt;="&amp;Datos!U$3))/(SUMIFS(Datos!$D$30:$AL$30,Datos!$D$3:$AL$3,"&gt;="&amp;DATE(YEAR(Datos!U$3),1,1),Datos!$D$3:$AL$3,"&lt;="&amp;Datos!U$3)))))</f>
        <v>-</v>
      </c>
      <c r="V42" s="234" t="str">
        <f>IF(SUMPRODUCT((YEAR(Datos!$D$3:$AL$3)=YEAR(Datos!V$3))*(Datos!$D$3:$AL$3&lt;=Datos!V$3)*((Datos!$D$31:$AL$31)&gt;0)*((Datos!$D$30:$AL$30)=0))&gt;0,"-",IF((Datos!V30)=0,"-",IF((SUMIFS(Datos!$D$30:$AL$30,Datos!$D$3:$AL$3,"&gt;="&amp;DATE(YEAR(Datos!V$3),1,1),Datos!$D$3:$AL$3,"&lt;="&amp;Datos!V$3))=0,"-",(SUMIFS(Datos!$D$31:$AL$31,Datos!$D$3:$AL$3,"&gt;="&amp;DATE(YEAR(Datos!V$3),1,1),Datos!$D$3:$AL$3,"&lt;="&amp;Datos!V$3))/(SUMIFS(Datos!$D$30:$AL$30,Datos!$D$3:$AL$3,"&gt;="&amp;DATE(YEAR(Datos!V$3),1,1),Datos!$D$3:$AL$3,"&lt;="&amp;Datos!V$3)))))</f>
        <v>-</v>
      </c>
      <c r="W42" s="234" t="str">
        <f>IF(SUMPRODUCT((YEAR(Datos!$D$3:$AL$3)=YEAR(Datos!W$3))*(Datos!$D$3:$AL$3&lt;=Datos!W$3)*((Datos!$D$31:$AL$31)&gt;0)*((Datos!$D$30:$AL$30)=0))&gt;0,"-",IF((Datos!W30)=0,"-",IF((SUMIFS(Datos!$D$30:$AL$30,Datos!$D$3:$AL$3,"&gt;="&amp;DATE(YEAR(Datos!W$3),1,1),Datos!$D$3:$AL$3,"&lt;="&amp;Datos!W$3))=0,"-",(SUMIFS(Datos!$D$31:$AL$31,Datos!$D$3:$AL$3,"&gt;="&amp;DATE(YEAR(Datos!W$3),1,1),Datos!$D$3:$AL$3,"&lt;="&amp;Datos!W$3))/(SUMIFS(Datos!$D$30:$AL$30,Datos!$D$3:$AL$3,"&gt;="&amp;DATE(YEAR(Datos!W$3),1,1),Datos!$D$3:$AL$3,"&lt;="&amp;Datos!W$3)))))</f>
        <v>-</v>
      </c>
      <c r="X42" s="234" t="str">
        <f>IF(SUMPRODUCT((YEAR(Datos!$D$3:$AL$3)=YEAR(Datos!X$3))*(Datos!$D$3:$AL$3&lt;=Datos!X$3)*((Datos!$D$31:$AL$31)&gt;0)*((Datos!$D$30:$AL$30)=0))&gt;0,"-",IF((Datos!X30)=0,"-",IF((SUMIFS(Datos!$D$30:$AL$30,Datos!$D$3:$AL$3,"&gt;="&amp;DATE(YEAR(Datos!X$3),1,1),Datos!$D$3:$AL$3,"&lt;="&amp;Datos!X$3))=0,"-",(SUMIFS(Datos!$D$31:$AL$31,Datos!$D$3:$AL$3,"&gt;="&amp;DATE(YEAR(Datos!X$3),1,1),Datos!$D$3:$AL$3,"&lt;="&amp;Datos!X$3))/(SUMIFS(Datos!$D$30:$AL$30,Datos!$D$3:$AL$3,"&gt;="&amp;DATE(YEAR(Datos!X$3),1,1),Datos!$D$3:$AL$3,"&lt;="&amp;Datos!X$3)))))</f>
        <v>-</v>
      </c>
      <c r="Y42" s="234" t="str">
        <f>IF(SUMPRODUCT((YEAR(Datos!$D$3:$AL$3)=YEAR(Datos!Y$3))*(Datos!$D$3:$AL$3&lt;=Datos!Y$3)*((Datos!$D$31:$AL$31)&gt;0)*((Datos!$D$30:$AL$30)=0))&gt;0,"-",IF((Datos!Y30)=0,"-",IF((SUMIFS(Datos!$D$30:$AL$30,Datos!$D$3:$AL$3,"&gt;="&amp;DATE(YEAR(Datos!Y$3),1,1),Datos!$D$3:$AL$3,"&lt;="&amp;Datos!Y$3))=0,"-",(SUMIFS(Datos!$D$31:$AL$31,Datos!$D$3:$AL$3,"&gt;="&amp;DATE(YEAR(Datos!Y$3),1,1),Datos!$D$3:$AL$3,"&lt;="&amp;Datos!Y$3))/(SUMIFS(Datos!$D$30:$AL$30,Datos!$D$3:$AL$3,"&gt;="&amp;DATE(YEAR(Datos!Y$3),1,1),Datos!$D$3:$AL$3,"&lt;="&amp;Datos!Y$3)))))</f>
        <v>-</v>
      </c>
      <c r="Z42" s="234" t="str">
        <f>IF(SUMPRODUCT((YEAR(Datos!$D$3:$AL$3)=YEAR(Datos!Z$3))*(Datos!$D$3:$AL$3&lt;=Datos!Z$3)*((Datos!$D$31:$AL$31)&gt;0)*((Datos!$D$30:$AL$30)=0))&gt;0,"-",IF((Datos!Z30)=0,"-",IF((SUMIFS(Datos!$D$30:$AL$30,Datos!$D$3:$AL$3,"&gt;="&amp;DATE(YEAR(Datos!Z$3),1,1),Datos!$D$3:$AL$3,"&lt;="&amp;Datos!Z$3))=0,"-",(SUMIFS(Datos!$D$31:$AL$31,Datos!$D$3:$AL$3,"&gt;="&amp;DATE(YEAR(Datos!Z$3),1,1),Datos!$D$3:$AL$3,"&lt;="&amp;Datos!Z$3))/(SUMIFS(Datos!$D$30:$AL$30,Datos!$D$3:$AL$3,"&gt;="&amp;DATE(YEAR(Datos!Z$3),1,1),Datos!$D$3:$AL$3,"&lt;="&amp;Datos!Z$3)))))</f>
        <v>-</v>
      </c>
      <c r="AA42" s="234" t="str">
        <f>IF(SUMPRODUCT((YEAR(Datos!$D$3:$AL$3)=YEAR(Datos!AA$3))*(Datos!$D$3:$AL$3&lt;=Datos!AA$3)*((Datos!$D$31:$AL$31)&gt;0)*((Datos!$D$30:$AL$30)=0))&gt;0,"-",IF((Datos!AA30)=0,"-",IF((SUMIFS(Datos!$D$30:$AL$30,Datos!$D$3:$AL$3,"&gt;="&amp;DATE(YEAR(Datos!AA$3),1,1),Datos!$D$3:$AL$3,"&lt;="&amp;Datos!AA$3))=0,"-",(SUMIFS(Datos!$D$31:$AL$31,Datos!$D$3:$AL$3,"&gt;="&amp;DATE(YEAR(Datos!AA$3),1,1),Datos!$D$3:$AL$3,"&lt;="&amp;Datos!AA$3))/(SUMIFS(Datos!$D$30:$AL$30,Datos!$D$3:$AL$3,"&gt;="&amp;DATE(YEAR(Datos!AA$3),1,1),Datos!$D$3:$AL$3,"&lt;="&amp;Datos!AA$3)))))</f>
        <v>-</v>
      </c>
      <c r="AB42" s="234" t="str">
        <f>IF(SUMPRODUCT((YEAR(Datos!$D$3:$AL$3)=YEAR(Datos!AB$3))*(Datos!$D$3:$AL$3&lt;=Datos!AB$3)*((Datos!$D$31:$AL$31)&gt;0)*((Datos!$D$30:$AL$30)=0))&gt;0,"-",IF((Datos!AB30)=0,"-",IF((SUMIFS(Datos!$D$30:$AL$30,Datos!$D$3:$AL$3,"&gt;="&amp;DATE(YEAR(Datos!AB$3),1,1),Datos!$D$3:$AL$3,"&lt;="&amp;Datos!AB$3))=0,"-",(SUMIFS(Datos!$D$31:$AL$31,Datos!$D$3:$AL$3,"&gt;="&amp;DATE(YEAR(Datos!AB$3),1,1),Datos!$D$3:$AL$3,"&lt;="&amp;Datos!AB$3))/(SUMIFS(Datos!$D$30:$AL$30,Datos!$D$3:$AL$3,"&gt;="&amp;DATE(YEAR(Datos!AB$3),1,1),Datos!$D$3:$AL$3,"&lt;="&amp;Datos!AB$3)))))</f>
        <v>-</v>
      </c>
      <c r="AC42" s="234" t="str">
        <f>IF(SUMPRODUCT((YEAR(Datos!$D$3:$AL$3)=YEAR(Datos!AC$3))*(Datos!$D$3:$AL$3&lt;=Datos!AC$3)*((Datos!$D$31:$AL$31)&gt;0)*((Datos!$D$30:$AL$30)=0))&gt;0,"-",IF((Datos!AC30)=0,"-",IF((SUMIFS(Datos!$D$30:$AL$30,Datos!$D$3:$AL$3,"&gt;="&amp;DATE(YEAR(Datos!AC$3),1,1),Datos!$D$3:$AL$3,"&lt;="&amp;Datos!AC$3))=0,"-",(SUMIFS(Datos!$D$31:$AL$31,Datos!$D$3:$AL$3,"&gt;="&amp;DATE(YEAR(Datos!AC$3),1,1),Datos!$D$3:$AL$3,"&lt;="&amp;Datos!AC$3))/(SUMIFS(Datos!$D$30:$AL$30,Datos!$D$3:$AL$3,"&gt;="&amp;DATE(YEAR(Datos!AC$3),1,1),Datos!$D$3:$AL$3,"&lt;="&amp;Datos!AC$3)))))</f>
        <v>-</v>
      </c>
      <c r="AD42" s="234" t="str">
        <f>IF(SUMPRODUCT((YEAR(Datos!$D$3:$AL$3)=YEAR(Datos!AD$3))*(Datos!$D$3:$AL$3&lt;=Datos!AD$3)*((Datos!$D$31:$AL$31)&gt;0)*((Datos!$D$30:$AL$30)=0))&gt;0,"-",IF((Datos!AD30)=0,"-",IF((SUMIFS(Datos!$D$30:$AL$30,Datos!$D$3:$AL$3,"&gt;="&amp;DATE(YEAR(Datos!AD$3),1,1),Datos!$D$3:$AL$3,"&lt;="&amp;Datos!AD$3))=0,"-",(SUMIFS(Datos!$D$31:$AL$31,Datos!$D$3:$AL$3,"&gt;="&amp;DATE(YEAR(Datos!AD$3),1,1),Datos!$D$3:$AL$3,"&lt;="&amp;Datos!AD$3))/(SUMIFS(Datos!$D$30:$AL$30,Datos!$D$3:$AL$3,"&gt;="&amp;DATE(YEAR(Datos!AD$3),1,1),Datos!$D$3:$AL$3,"&lt;="&amp;Datos!AD$3)))))</f>
        <v>-</v>
      </c>
      <c r="AE42" s="234" t="str">
        <f>IF(SUMPRODUCT((YEAR(Datos!$D$3:$AL$3)=YEAR(Datos!AE$3))*(Datos!$D$3:$AL$3&lt;=Datos!AE$3)*((Datos!$D$31:$AL$31)&gt;0)*((Datos!$D$30:$AL$30)=0))&gt;0,"-",IF((Datos!AE30)=0,"-",IF((SUMIFS(Datos!$D$30:$AL$30,Datos!$D$3:$AL$3,"&gt;="&amp;DATE(YEAR(Datos!AE$3),1,1),Datos!$D$3:$AL$3,"&lt;="&amp;Datos!AE$3))=0,"-",(SUMIFS(Datos!$D$31:$AL$31,Datos!$D$3:$AL$3,"&gt;="&amp;DATE(YEAR(Datos!AE$3),1,1),Datos!$D$3:$AL$3,"&lt;="&amp;Datos!AE$3))/(SUMIFS(Datos!$D$30:$AL$30,Datos!$D$3:$AL$3,"&gt;="&amp;DATE(YEAR(Datos!AE$3),1,1),Datos!$D$3:$AL$3,"&lt;="&amp;Datos!AE$3)))))</f>
        <v>-</v>
      </c>
      <c r="AF42" s="234" t="str">
        <f>IF(SUMPRODUCT((YEAR(Datos!$D$3:$AL$3)=YEAR(Datos!AF$3))*(Datos!$D$3:$AL$3&lt;=Datos!AF$3)*((Datos!$D$31:$AL$31)&gt;0)*((Datos!$D$30:$AL$30)=0))&gt;0,"-",IF((Datos!AF30)=0,"-",IF((SUMIFS(Datos!$D$30:$AL$30,Datos!$D$3:$AL$3,"&gt;="&amp;DATE(YEAR(Datos!AF$3),1,1),Datos!$D$3:$AL$3,"&lt;="&amp;Datos!AF$3))=0,"-",(SUMIFS(Datos!$D$31:$AL$31,Datos!$D$3:$AL$3,"&gt;="&amp;DATE(YEAR(Datos!AF$3),1,1),Datos!$D$3:$AL$3,"&lt;="&amp;Datos!AF$3))/(SUMIFS(Datos!$D$30:$AL$30,Datos!$D$3:$AL$3,"&gt;="&amp;DATE(YEAR(Datos!AF$3),1,1),Datos!$D$3:$AL$3,"&lt;="&amp;Datos!AF$3)))))</f>
        <v>-</v>
      </c>
      <c r="AG42" s="234" t="str">
        <f>IF(SUMPRODUCT((YEAR(Datos!$D$3:$AL$3)=YEAR(Datos!AG$3))*(Datos!$D$3:$AL$3&lt;=Datos!AG$3)*((Datos!$D$31:$AL$31)&gt;0)*((Datos!$D$30:$AL$30)=0))&gt;0,"-",IF((Datos!AG30)=0,"-",IF((SUMIFS(Datos!$D$30:$AL$30,Datos!$D$3:$AL$3,"&gt;="&amp;DATE(YEAR(Datos!AG$3),1,1),Datos!$D$3:$AL$3,"&lt;="&amp;Datos!AG$3))=0,"-",(SUMIFS(Datos!$D$31:$AL$31,Datos!$D$3:$AL$3,"&gt;="&amp;DATE(YEAR(Datos!AG$3),1,1),Datos!$D$3:$AL$3,"&lt;="&amp;Datos!AG$3))/(SUMIFS(Datos!$D$30:$AL$30,Datos!$D$3:$AL$3,"&gt;="&amp;DATE(YEAR(Datos!AG$3),1,1),Datos!$D$3:$AL$3,"&lt;="&amp;Datos!AG$3)))))</f>
        <v>-</v>
      </c>
      <c r="AH42" s="234" t="str">
        <f>IF(SUMPRODUCT((YEAR(Datos!$D$3:$AL$3)=YEAR(Datos!AH$3))*(Datos!$D$3:$AL$3&lt;=Datos!AH$3)*((Datos!$D$31:$AL$31)&gt;0)*((Datos!$D$30:$AL$30)=0))&gt;0,"-",IF((Datos!AH30)=0,"-",IF((SUMIFS(Datos!$D$30:$AL$30,Datos!$D$3:$AL$3,"&gt;="&amp;DATE(YEAR(Datos!AH$3),1,1),Datos!$D$3:$AL$3,"&lt;="&amp;Datos!AH$3))=0,"-",(SUMIFS(Datos!$D$31:$AL$31,Datos!$D$3:$AL$3,"&gt;="&amp;DATE(YEAR(Datos!AH$3),1,1),Datos!$D$3:$AL$3,"&lt;="&amp;Datos!AH$3))/(SUMIFS(Datos!$D$30:$AL$30,Datos!$D$3:$AL$3,"&gt;="&amp;DATE(YEAR(Datos!AH$3),1,1),Datos!$D$3:$AL$3,"&lt;="&amp;Datos!AH$3)))))</f>
        <v>-</v>
      </c>
      <c r="AI42" s="234" t="str">
        <f>IF(SUMPRODUCT((YEAR(Datos!$D$3:$AL$3)=YEAR(Datos!AI$3))*(Datos!$D$3:$AL$3&lt;=Datos!AI$3)*((Datos!$D$31:$AL$31)&gt;0)*((Datos!$D$30:$AL$30)=0))&gt;0,"-",IF((Datos!AI30)=0,"-",IF((SUMIFS(Datos!$D$30:$AL$30,Datos!$D$3:$AL$3,"&gt;="&amp;DATE(YEAR(Datos!AI$3),1,1),Datos!$D$3:$AL$3,"&lt;="&amp;Datos!AI$3))=0,"-",(SUMIFS(Datos!$D$31:$AL$31,Datos!$D$3:$AL$3,"&gt;="&amp;DATE(YEAR(Datos!AI$3),1,1),Datos!$D$3:$AL$3,"&lt;="&amp;Datos!AI$3))/(SUMIFS(Datos!$D$30:$AL$30,Datos!$D$3:$AL$3,"&gt;="&amp;DATE(YEAR(Datos!AI$3),1,1),Datos!$D$3:$AL$3,"&lt;="&amp;Datos!AI$3)))))</f>
        <v>-</v>
      </c>
      <c r="AJ42" s="234" t="str">
        <f>IF(SUMPRODUCT((YEAR(Datos!$D$3:$AL$3)=YEAR(Datos!AJ$3))*(Datos!$D$3:$AL$3&lt;=Datos!AJ$3)*((Datos!$D$31:$AL$31)&gt;0)*((Datos!$D$30:$AL$30)=0))&gt;0,"-",IF((Datos!AJ30)=0,"-",IF((SUMIFS(Datos!$D$30:$AL$30,Datos!$D$3:$AL$3,"&gt;="&amp;DATE(YEAR(Datos!AJ$3),1,1),Datos!$D$3:$AL$3,"&lt;="&amp;Datos!AJ$3))=0,"-",(SUMIFS(Datos!$D$31:$AL$31,Datos!$D$3:$AL$3,"&gt;="&amp;DATE(YEAR(Datos!AJ$3),1,1),Datos!$D$3:$AL$3,"&lt;="&amp;Datos!AJ$3))/(SUMIFS(Datos!$D$30:$AL$30,Datos!$D$3:$AL$3,"&gt;="&amp;DATE(YEAR(Datos!AJ$3),1,1),Datos!$D$3:$AL$3,"&lt;="&amp;Datos!AJ$3)))))</f>
        <v>-</v>
      </c>
      <c r="AK42" s="234" t="str">
        <f>IF(SUMPRODUCT((YEAR(Datos!$D$3:$AL$3)=YEAR(Datos!AK$3))*(Datos!$D$3:$AL$3&lt;=Datos!AK$3)*((Datos!$D$31:$AL$31)&gt;0)*((Datos!$D$30:$AL$30)=0))&gt;0,"-",IF((Datos!AK30)=0,"-",IF((SUMIFS(Datos!$D$30:$AL$30,Datos!$D$3:$AL$3,"&gt;="&amp;DATE(YEAR(Datos!AK$3),1,1),Datos!$D$3:$AL$3,"&lt;="&amp;Datos!AK$3))=0,"-",(SUMIFS(Datos!$D$31:$AL$31,Datos!$D$3:$AL$3,"&gt;="&amp;DATE(YEAR(Datos!AK$3),1,1),Datos!$D$3:$AL$3,"&lt;="&amp;Datos!AK$3))/(SUMIFS(Datos!$D$30:$AL$30,Datos!$D$3:$AL$3,"&gt;="&amp;DATE(YEAR(Datos!AK$3),1,1),Datos!$D$3:$AL$3,"&lt;="&amp;Datos!AK$3)))))</f>
        <v>-</v>
      </c>
      <c r="AL42" s="234" t="str">
        <f>IF(SUMPRODUCT((YEAR(Datos!$D$3:$AL$3)=YEAR(Datos!AL$3))*(Datos!$D$3:$AL$3&lt;=Datos!AL$3)*((Datos!$D$31:$AL$31)&gt;0)*((Datos!$D$30:$AL$30)=0))&gt;0,"-",IF((Datos!AL30)=0,"-",IF((SUMIFS(Datos!$D$30:$AL$30,Datos!$D$3:$AL$3,"&gt;="&amp;DATE(YEAR(Datos!AL$3),1,1),Datos!$D$3:$AL$3,"&lt;="&amp;Datos!AL$3))=0,"-",(SUMIFS(Datos!$D$31:$AL$31,Datos!$D$3:$AL$3,"&gt;="&amp;DATE(YEAR(Datos!AL$3),1,1),Datos!$D$3:$AL$3,"&lt;="&amp;Datos!AL$3))/(SUMIFS(Datos!$D$30:$AL$30,Datos!$D$3:$AL$3,"&gt;="&amp;DATE(YEAR(Datos!AL$3),1,1),Datos!$D$3:$AL$3,"&lt;="&amp;Datos!AL$3)))))</f>
        <v>-</v>
      </c>
    </row>
    <row r="43" spans="1:38" ht="21.75" customHeight="1" x14ac:dyDescent="0.3">
      <c r="A43" s="232" t="str">
        <f>KPIs!$A$16&amp;" · YTD"</f>
        <v>8 · % de capacitación en seguridad · YTD</v>
      </c>
      <c r="B43" s="70" t="s">
        <v>143</v>
      </c>
      <c r="C43" s="235">
        <f>IF(KPIs!C16="","",KPIs!C16)</f>
        <v>0.01</v>
      </c>
      <c r="D43" s="236">
        <f>IF(SUMPRODUCT((YEAR(Datos!$D$3:$AL$3)=YEAR(Datos!D$3))*(Datos!$D$3:$AL$3&lt;=Datos!D$3)*((Datos!$D$18:$AL$18)&gt;0)*((Datos!$D$14:$AL$14)=0))&gt;0,"-",IF((Datos!D14)=0,"-",IF((SUMIFS(Datos!$D$14:$AL$14,Datos!$D$3:$AL$3,"&gt;="&amp;DATE(YEAR(Datos!D$3),1,1),Datos!$D$3:$AL$3,"&lt;="&amp;Datos!D$3))=0,"-",(SUMIFS(Datos!$D$18:$AL$18,Datos!$D$3:$AL$3,"&gt;="&amp;DATE(YEAR(Datos!D$3),1,1),Datos!$D$3:$AL$3,"&lt;="&amp;Datos!D$3))/(SUMIFS(Datos!$D$14:$AL$14,Datos!$D$3:$AL$3,"&gt;="&amp;DATE(YEAR(Datos!D$3),1,1),Datos!$D$3:$AL$3,"&lt;="&amp;Datos!D$3)))))</f>
        <v>0.0548112058465286</v>
      </c>
      <c r="E43" s="236">
        <f>IF(SUMPRODUCT((YEAR(Datos!$D$3:$AL$3)=YEAR(Datos!E$3))*(Datos!$D$3:$AL$3&lt;=Datos!E$3)*((Datos!$D$18:$AL$18)&gt;0)*((Datos!$D$14:$AL$14)=0))&gt;0,"-",IF((Datos!E14)=0,"-",IF((SUMIFS(Datos!$D$14:$AL$14,Datos!$D$3:$AL$3,"&gt;="&amp;DATE(YEAR(Datos!E$3),1,1),Datos!$D$3:$AL$3,"&lt;="&amp;Datos!E$3))=0,"-",(SUMIFS(Datos!$D$18:$AL$18,Datos!$D$3:$AL$3,"&gt;="&amp;DATE(YEAR(Datos!E$3),1,1),Datos!$D$3:$AL$3,"&lt;="&amp;Datos!E$3))/(SUMIFS(Datos!$D$14:$AL$14,Datos!$D$3:$AL$3,"&gt;="&amp;DATE(YEAR(Datos!E$3),1,1),Datos!$D$3:$AL$3,"&lt;="&amp;Datos!E$3)))))</f>
        <v>0.0445046759910618</v>
      </c>
      <c r="F43" s="236" t="str">
        <f>IF(SUMPRODUCT((YEAR(Datos!$D$3:$AL$3)=YEAR(Datos!F$3))*(Datos!$D$3:$AL$3&lt;=Datos!F$3)*((Datos!$D$18:$AL$18)&gt;0)*((Datos!$D$14:$AL$14)=0))&gt;0,"-",IF((Datos!F14)=0,"-",IF((SUMIFS(Datos!$D$14:$AL$14,Datos!$D$3:$AL$3,"&gt;="&amp;DATE(YEAR(Datos!F$3),1,1),Datos!$D$3:$AL$3,"&lt;="&amp;Datos!F$3))=0,"-",(SUMIFS(Datos!$D$18:$AL$18,Datos!$D$3:$AL$3,"&gt;="&amp;DATE(YEAR(Datos!F$3),1,1),Datos!$D$3:$AL$3,"&lt;="&amp;Datos!F$3))/(SUMIFS(Datos!$D$14:$AL$14,Datos!$D$3:$AL$3,"&gt;="&amp;DATE(YEAR(Datos!F$3),1,1),Datos!$D$3:$AL$3,"&lt;="&amp;Datos!F$3)))))</f>
        <v>-</v>
      </c>
      <c r="G43" s="236" t="str">
        <f>IF(SUMPRODUCT((YEAR(Datos!$D$3:$AL$3)=YEAR(Datos!G$3))*(Datos!$D$3:$AL$3&lt;=Datos!G$3)*((Datos!$D$18:$AL$18)&gt;0)*((Datos!$D$14:$AL$14)=0))&gt;0,"-",IF((Datos!G14)=0,"-",IF((SUMIFS(Datos!$D$14:$AL$14,Datos!$D$3:$AL$3,"&gt;="&amp;DATE(YEAR(Datos!G$3),1,1),Datos!$D$3:$AL$3,"&lt;="&amp;Datos!G$3))=0,"-",(SUMIFS(Datos!$D$18:$AL$18,Datos!$D$3:$AL$3,"&gt;="&amp;DATE(YEAR(Datos!G$3),1,1),Datos!$D$3:$AL$3,"&lt;="&amp;Datos!G$3))/(SUMIFS(Datos!$D$14:$AL$14,Datos!$D$3:$AL$3,"&gt;="&amp;DATE(YEAR(Datos!G$3),1,1),Datos!$D$3:$AL$3,"&lt;="&amp;Datos!G$3)))))</f>
        <v>-</v>
      </c>
      <c r="H43" s="236" t="str">
        <f>IF(SUMPRODUCT((YEAR(Datos!$D$3:$AL$3)=YEAR(Datos!H$3))*(Datos!$D$3:$AL$3&lt;=Datos!H$3)*((Datos!$D$18:$AL$18)&gt;0)*((Datos!$D$14:$AL$14)=0))&gt;0,"-",IF((Datos!H14)=0,"-",IF((SUMIFS(Datos!$D$14:$AL$14,Datos!$D$3:$AL$3,"&gt;="&amp;DATE(YEAR(Datos!H$3),1,1),Datos!$D$3:$AL$3,"&lt;="&amp;Datos!H$3))=0,"-",(SUMIFS(Datos!$D$18:$AL$18,Datos!$D$3:$AL$3,"&gt;="&amp;DATE(YEAR(Datos!H$3),1,1),Datos!$D$3:$AL$3,"&lt;="&amp;Datos!H$3))/(SUMIFS(Datos!$D$14:$AL$14,Datos!$D$3:$AL$3,"&gt;="&amp;DATE(YEAR(Datos!H$3),1,1),Datos!$D$3:$AL$3,"&lt;="&amp;Datos!H$3)))))</f>
        <v>-</v>
      </c>
      <c r="I43" s="236" t="str">
        <f>IF(SUMPRODUCT((YEAR(Datos!$D$3:$AL$3)=YEAR(Datos!I$3))*(Datos!$D$3:$AL$3&lt;=Datos!I$3)*((Datos!$D$18:$AL$18)&gt;0)*((Datos!$D$14:$AL$14)=0))&gt;0,"-",IF((Datos!I14)=0,"-",IF((SUMIFS(Datos!$D$14:$AL$14,Datos!$D$3:$AL$3,"&gt;="&amp;DATE(YEAR(Datos!I$3),1,1),Datos!$D$3:$AL$3,"&lt;="&amp;Datos!I$3))=0,"-",(SUMIFS(Datos!$D$18:$AL$18,Datos!$D$3:$AL$3,"&gt;="&amp;DATE(YEAR(Datos!I$3),1,1),Datos!$D$3:$AL$3,"&lt;="&amp;Datos!I$3))/(SUMIFS(Datos!$D$14:$AL$14,Datos!$D$3:$AL$3,"&gt;="&amp;DATE(YEAR(Datos!I$3),1,1),Datos!$D$3:$AL$3,"&lt;="&amp;Datos!I$3)))))</f>
        <v>-</v>
      </c>
      <c r="J43" s="236" t="str">
        <f>IF(SUMPRODUCT((YEAR(Datos!$D$3:$AL$3)=YEAR(Datos!J$3))*(Datos!$D$3:$AL$3&lt;=Datos!J$3)*((Datos!$D$18:$AL$18)&gt;0)*((Datos!$D$14:$AL$14)=0))&gt;0,"-",IF((Datos!J14)=0,"-",IF((SUMIFS(Datos!$D$14:$AL$14,Datos!$D$3:$AL$3,"&gt;="&amp;DATE(YEAR(Datos!J$3),1,1),Datos!$D$3:$AL$3,"&lt;="&amp;Datos!J$3))=0,"-",(SUMIFS(Datos!$D$18:$AL$18,Datos!$D$3:$AL$3,"&gt;="&amp;DATE(YEAR(Datos!J$3),1,1),Datos!$D$3:$AL$3,"&lt;="&amp;Datos!J$3))/(SUMIFS(Datos!$D$14:$AL$14,Datos!$D$3:$AL$3,"&gt;="&amp;DATE(YEAR(Datos!J$3),1,1),Datos!$D$3:$AL$3,"&lt;="&amp;Datos!J$3)))))</f>
        <v>-</v>
      </c>
      <c r="K43" s="236" t="str">
        <f>IF(SUMPRODUCT((YEAR(Datos!$D$3:$AL$3)=YEAR(Datos!K$3))*(Datos!$D$3:$AL$3&lt;=Datos!K$3)*((Datos!$D$18:$AL$18)&gt;0)*((Datos!$D$14:$AL$14)=0))&gt;0,"-",IF((Datos!K14)=0,"-",IF((SUMIFS(Datos!$D$14:$AL$14,Datos!$D$3:$AL$3,"&gt;="&amp;DATE(YEAR(Datos!K$3),1,1),Datos!$D$3:$AL$3,"&lt;="&amp;Datos!K$3))=0,"-",(SUMIFS(Datos!$D$18:$AL$18,Datos!$D$3:$AL$3,"&gt;="&amp;DATE(YEAR(Datos!K$3),1,1),Datos!$D$3:$AL$3,"&lt;="&amp;Datos!K$3))/(SUMIFS(Datos!$D$14:$AL$14,Datos!$D$3:$AL$3,"&gt;="&amp;DATE(YEAR(Datos!K$3),1,1),Datos!$D$3:$AL$3,"&lt;="&amp;Datos!K$3)))))</f>
        <v>-</v>
      </c>
      <c r="L43" s="236" t="str">
        <f>IF(SUMPRODUCT((YEAR(Datos!$D$3:$AL$3)=YEAR(Datos!L$3))*(Datos!$D$3:$AL$3&lt;=Datos!L$3)*((Datos!$D$18:$AL$18)&gt;0)*((Datos!$D$14:$AL$14)=0))&gt;0,"-",IF((Datos!L14)=0,"-",IF((SUMIFS(Datos!$D$14:$AL$14,Datos!$D$3:$AL$3,"&gt;="&amp;DATE(YEAR(Datos!L$3),1,1),Datos!$D$3:$AL$3,"&lt;="&amp;Datos!L$3))=0,"-",(SUMIFS(Datos!$D$18:$AL$18,Datos!$D$3:$AL$3,"&gt;="&amp;DATE(YEAR(Datos!L$3),1,1),Datos!$D$3:$AL$3,"&lt;="&amp;Datos!L$3))/(SUMIFS(Datos!$D$14:$AL$14,Datos!$D$3:$AL$3,"&gt;="&amp;DATE(YEAR(Datos!L$3),1,1),Datos!$D$3:$AL$3,"&lt;="&amp;Datos!L$3)))))</f>
        <v>-</v>
      </c>
      <c r="M43" s="236" t="str">
        <f>IF(SUMPRODUCT((YEAR(Datos!$D$3:$AL$3)=YEAR(Datos!M$3))*(Datos!$D$3:$AL$3&lt;=Datos!M$3)*((Datos!$D$18:$AL$18)&gt;0)*((Datos!$D$14:$AL$14)=0))&gt;0,"-",IF((Datos!M14)=0,"-",IF((SUMIFS(Datos!$D$14:$AL$14,Datos!$D$3:$AL$3,"&gt;="&amp;DATE(YEAR(Datos!M$3),1,1),Datos!$D$3:$AL$3,"&lt;="&amp;Datos!M$3))=0,"-",(SUMIFS(Datos!$D$18:$AL$18,Datos!$D$3:$AL$3,"&gt;="&amp;DATE(YEAR(Datos!M$3),1,1),Datos!$D$3:$AL$3,"&lt;="&amp;Datos!M$3))/(SUMIFS(Datos!$D$14:$AL$14,Datos!$D$3:$AL$3,"&gt;="&amp;DATE(YEAR(Datos!M$3),1,1),Datos!$D$3:$AL$3,"&lt;="&amp;Datos!M$3)))))</f>
        <v>-</v>
      </c>
      <c r="N43" s="236" t="str">
        <f>IF(SUMPRODUCT((YEAR(Datos!$D$3:$AL$3)=YEAR(Datos!N$3))*(Datos!$D$3:$AL$3&lt;=Datos!N$3)*((Datos!$D$18:$AL$18)&gt;0)*((Datos!$D$14:$AL$14)=0))&gt;0,"-",IF((Datos!N14)=0,"-",IF((SUMIFS(Datos!$D$14:$AL$14,Datos!$D$3:$AL$3,"&gt;="&amp;DATE(YEAR(Datos!N$3),1,1),Datos!$D$3:$AL$3,"&lt;="&amp;Datos!N$3))=0,"-",(SUMIFS(Datos!$D$18:$AL$18,Datos!$D$3:$AL$3,"&gt;="&amp;DATE(YEAR(Datos!N$3),1,1),Datos!$D$3:$AL$3,"&lt;="&amp;Datos!N$3))/(SUMIFS(Datos!$D$14:$AL$14,Datos!$D$3:$AL$3,"&gt;="&amp;DATE(YEAR(Datos!N$3),1,1),Datos!$D$3:$AL$3,"&lt;="&amp;Datos!N$3)))))</f>
        <v>-</v>
      </c>
      <c r="O43" s="236" t="str">
        <f>IF(SUMPRODUCT((YEAR(Datos!$D$3:$AL$3)=YEAR(Datos!O$3))*(Datos!$D$3:$AL$3&lt;=Datos!O$3)*((Datos!$D$18:$AL$18)&gt;0)*((Datos!$D$14:$AL$14)=0))&gt;0,"-",IF((Datos!O14)=0,"-",IF((SUMIFS(Datos!$D$14:$AL$14,Datos!$D$3:$AL$3,"&gt;="&amp;DATE(YEAR(Datos!O$3),1,1),Datos!$D$3:$AL$3,"&lt;="&amp;Datos!O$3))=0,"-",(SUMIFS(Datos!$D$18:$AL$18,Datos!$D$3:$AL$3,"&gt;="&amp;DATE(YEAR(Datos!O$3),1,1),Datos!$D$3:$AL$3,"&lt;="&amp;Datos!O$3))/(SUMIFS(Datos!$D$14:$AL$14,Datos!$D$3:$AL$3,"&gt;="&amp;DATE(YEAR(Datos!O$3),1,1),Datos!$D$3:$AL$3,"&lt;="&amp;Datos!O$3)))))</f>
        <v>-</v>
      </c>
      <c r="P43" s="236" t="str">
        <f>IF(SUMPRODUCT((YEAR(Datos!$D$3:$AL$3)=YEAR(Datos!P$3))*(Datos!$D$3:$AL$3&lt;=Datos!P$3)*((Datos!$D$18:$AL$18)&gt;0)*((Datos!$D$14:$AL$14)=0))&gt;0,"-",IF((Datos!P14)=0,"-",IF((SUMIFS(Datos!$D$14:$AL$14,Datos!$D$3:$AL$3,"&gt;="&amp;DATE(YEAR(Datos!P$3),1,1),Datos!$D$3:$AL$3,"&lt;="&amp;Datos!P$3))=0,"-",(SUMIFS(Datos!$D$18:$AL$18,Datos!$D$3:$AL$3,"&gt;="&amp;DATE(YEAR(Datos!P$3),1,1),Datos!$D$3:$AL$3,"&lt;="&amp;Datos!P$3))/(SUMIFS(Datos!$D$14:$AL$14,Datos!$D$3:$AL$3,"&gt;="&amp;DATE(YEAR(Datos!P$3),1,1),Datos!$D$3:$AL$3,"&lt;="&amp;Datos!P$3)))))</f>
        <v>-</v>
      </c>
      <c r="Q43" s="236" t="str">
        <f>IF(SUMPRODUCT((YEAR(Datos!$D$3:$AL$3)=YEAR(Datos!Q$3))*(Datos!$D$3:$AL$3&lt;=Datos!Q$3)*((Datos!$D$18:$AL$18)&gt;0)*((Datos!$D$14:$AL$14)=0))&gt;0,"-",IF((Datos!Q14)=0,"-",IF((SUMIFS(Datos!$D$14:$AL$14,Datos!$D$3:$AL$3,"&gt;="&amp;DATE(YEAR(Datos!Q$3),1,1),Datos!$D$3:$AL$3,"&lt;="&amp;Datos!Q$3))=0,"-",(SUMIFS(Datos!$D$18:$AL$18,Datos!$D$3:$AL$3,"&gt;="&amp;DATE(YEAR(Datos!Q$3),1,1),Datos!$D$3:$AL$3,"&lt;="&amp;Datos!Q$3))/(SUMIFS(Datos!$D$14:$AL$14,Datos!$D$3:$AL$3,"&gt;="&amp;DATE(YEAR(Datos!Q$3),1,1),Datos!$D$3:$AL$3,"&lt;="&amp;Datos!Q$3)))))</f>
        <v>-</v>
      </c>
      <c r="R43" s="236" t="str">
        <f>IF(SUMPRODUCT((YEAR(Datos!$D$3:$AL$3)=YEAR(Datos!R$3))*(Datos!$D$3:$AL$3&lt;=Datos!R$3)*((Datos!$D$18:$AL$18)&gt;0)*((Datos!$D$14:$AL$14)=0))&gt;0,"-",IF((Datos!R14)=0,"-",IF((SUMIFS(Datos!$D$14:$AL$14,Datos!$D$3:$AL$3,"&gt;="&amp;DATE(YEAR(Datos!R$3),1,1),Datos!$D$3:$AL$3,"&lt;="&amp;Datos!R$3))=0,"-",(SUMIFS(Datos!$D$18:$AL$18,Datos!$D$3:$AL$3,"&gt;="&amp;DATE(YEAR(Datos!R$3),1,1),Datos!$D$3:$AL$3,"&lt;="&amp;Datos!R$3))/(SUMIFS(Datos!$D$14:$AL$14,Datos!$D$3:$AL$3,"&gt;="&amp;DATE(YEAR(Datos!R$3),1,1),Datos!$D$3:$AL$3,"&lt;="&amp;Datos!R$3)))))</f>
        <v>-</v>
      </c>
      <c r="S43" s="236" t="str">
        <f>IF(SUMPRODUCT((YEAR(Datos!$D$3:$AL$3)=YEAR(Datos!S$3))*(Datos!$D$3:$AL$3&lt;=Datos!S$3)*((Datos!$D$18:$AL$18)&gt;0)*((Datos!$D$14:$AL$14)=0))&gt;0,"-",IF((Datos!S14)=0,"-",IF((SUMIFS(Datos!$D$14:$AL$14,Datos!$D$3:$AL$3,"&gt;="&amp;DATE(YEAR(Datos!S$3),1,1),Datos!$D$3:$AL$3,"&lt;="&amp;Datos!S$3))=0,"-",(SUMIFS(Datos!$D$18:$AL$18,Datos!$D$3:$AL$3,"&gt;="&amp;DATE(YEAR(Datos!S$3),1,1),Datos!$D$3:$AL$3,"&lt;="&amp;Datos!S$3))/(SUMIFS(Datos!$D$14:$AL$14,Datos!$D$3:$AL$3,"&gt;="&amp;DATE(YEAR(Datos!S$3),1,1),Datos!$D$3:$AL$3,"&lt;="&amp;Datos!S$3)))))</f>
        <v>-</v>
      </c>
      <c r="T43" s="236" t="str">
        <f>IF(SUMPRODUCT((YEAR(Datos!$D$3:$AL$3)=YEAR(Datos!T$3))*(Datos!$D$3:$AL$3&lt;=Datos!T$3)*((Datos!$D$18:$AL$18)&gt;0)*((Datos!$D$14:$AL$14)=0))&gt;0,"-",IF((Datos!T14)=0,"-",IF((SUMIFS(Datos!$D$14:$AL$14,Datos!$D$3:$AL$3,"&gt;="&amp;DATE(YEAR(Datos!T$3),1,1),Datos!$D$3:$AL$3,"&lt;="&amp;Datos!T$3))=0,"-",(SUMIFS(Datos!$D$18:$AL$18,Datos!$D$3:$AL$3,"&gt;="&amp;DATE(YEAR(Datos!T$3),1,1),Datos!$D$3:$AL$3,"&lt;="&amp;Datos!T$3))/(SUMIFS(Datos!$D$14:$AL$14,Datos!$D$3:$AL$3,"&gt;="&amp;DATE(YEAR(Datos!T$3),1,1),Datos!$D$3:$AL$3,"&lt;="&amp;Datos!T$3)))))</f>
        <v>-</v>
      </c>
      <c r="U43" s="236" t="str">
        <f>IF(SUMPRODUCT((YEAR(Datos!$D$3:$AL$3)=YEAR(Datos!U$3))*(Datos!$D$3:$AL$3&lt;=Datos!U$3)*((Datos!$D$18:$AL$18)&gt;0)*((Datos!$D$14:$AL$14)=0))&gt;0,"-",IF((Datos!U14)=0,"-",IF((SUMIFS(Datos!$D$14:$AL$14,Datos!$D$3:$AL$3,"&gt;="&amp;DATE(YEAR(Datos!U$3),1,1),Datos!$D$3:$AL$3,"&lt;="&amp;Datos!U$3))=0,"-",(SUMIFS(Datos!$D$18:$AL$18,Datos!$D$3:$AL$3,"&gt;="&amp;DATE(YEAR(Datos!U$3),1,1),Datos!$D$3:$AL$3,"&lt;="&amp;Datos!U$3))/(SUMIFS(Datos!$D$14:$AL$14,Datos!$D$3:$AL$3,"&gt;="&amp;DATE(YEAR(Datos!U$3),1,1),Datos!$D$3:$AL$3,"&lt;="&amp;Datos!U$3)))))</f>
        <v>-</v>
      </c>
      <c r="V43" s="236" t="str">
        <f>IF(SUMPRODUCT((YEAR(Datos!$D$3:$AL$3)=YEAR(Datos!V$3))*(Datos!$D$3:$AL$3&lt;=Datos!V$3)*((Datos!$D$18:$AL$18)&gt;0)*((Datos!$D$14:$AL$14)=0))&gt;0,"-",IF((Datos!V14)=0,"-",IF((SUMIFS(Datos!$D$14:$AL$14,Datos!$D$3:$AL$3,"&gt;="&amp;DATE(YEAR(Datos!V$3),1,1),Datos!$D$3:$AL$3,"&lt;="&amp;Datos!V$3))=0,"-",(SUMIFS(Datos!$D$18:$AL$18,Datos!$D$3:$AL$3,"&gt;="&amp;DATE(YEAR(Datos!V$3),1,1),Datos!$D$3:$AL$3,"&lt;="&amp;Datos!V$3))/(SUMIFS(Datos!$D$14:$AL$14,Datos!$D$3:$AL$3,"&gt;="&amp;DATE(YEAR(Datos!V$3),1,1),Datos!$D$3:$AL$3,"&lt;="&amp;Datos!V$3)))))</f>
        <v>-</v>
      </c>
      <c r="W43" s="236" t="str">
        <f>IF(SUMPRODUCT((YEAR(Datos!$D$3:$AL$3)=YEAR(Datos!W$3))*(Datos!$D$3:$AL$3&lt;=Datos!W$3)*((Datos!$D$18:$AL$18)&gt;0)*((Datos!$D$14:$AL$14)=0))&gt;0,"-",IF((Datos!W14)=0,"-",IF((SUMIFS(Datos!$D$14:$AL$14,Datos!$D$3:$AL$3,"&gt;="&amp;DATE(YEAR(Datos!W$3),1,1),Datos!$D$3:$AL$3,"&lt;="&amp;Datos!W$3))=0,"-",(SUMIFS(Datos!$D$18:$AL$18,Datos!$D$3:$AL$3,"&gt;="&amp;DATE(YEAR(Datos!W$3),1,1),Datos!$D$3:$AL$3,"&lt;="&amp;Datos!W$3))/(SUMIFS(Datos!$D$14:$AL$14,Datos!$D$3:$AL$3,"&gt;="&amp;DATE(YEAR(Datos!W$3),1,1),Datos!$D$3:$AL$3,"&lt;="&amp;Datos!W$3)))))</f>
        <v>-</v>
      </c>
      <c r="X43" s="236" t="str">
        <f>IF(SUMPRODUCT((YEAR(Datos!$D$3:$AL$3)=YEAR(Datos!X$3))*(Datos!$D$3:$AL$3&lt;=Datos!X$3)*((Datos!$D$18:$AL$18)&gt;0)*((Datos!$D$14:$AL$14)=0))&gt;0,"-",IF((Datos!X14)=0,"-",IF((SUMIFS(Datos!$D$14:$AL$14,Datos!$D$3:$AL$3,"&gt;="&amp;DATE(YEAR(Datos!X$3),1,1),Datos!$D$3:$AL$3,"&lt;="&amp;Datos!X$3))=0,"-",(SUMIFS(Datos!$D$18:$AL$18,Datos!$D$3:$AL$3,"&gt;="&amp;DATE(YEAR(Datos!X$3),1,1),Datos!$D$3:$AL$3,"&lt;="&amp;Datos!X$3))/(SUMIFS(Datos!$D$14:$AL$14,Datos!$D$3:$AL$3,"&gt;="&amp;DATE(YEAR(Datos!X$3),1,1),Datos!$D$3:$AL$3,"&lt;="&amp;Datos!X$3)))))</f>
        <v>-</v>
      </c>
      <c r="Y43" s="236" t="str">
        <f>IF(SUMPRODUCT((YEAR(Datos!$D$3:$AL$3)=YEAR(Datos!Y$3))*(Datos!$D$3:$AL$3&lt;=Datos!Y$3)*((Datos!$D$18:$AL$18)&gt;0)*((Datos!$D$14:$AL$14)=0))&gt;0,"-",IF((Datos!Y14)=0,"-",IF((SUMIFS(Datos!$D$14:$AL$14,Datos!$D$3:$AL$3,"&gt;="&amp;DATE(YEAR(Datos!Y$3),1,1),Datos!$D$3:$AL$3,"&lt;="&amp;Datos!Y$3))=0,"-",(SUMIFS(Datos!$D$18:$AL$18,Datos!$D$3:$AL$3,"&gt;="&amp;DATE(YEAR(Datos!Y$3),1,1),Datos!$D$3:$AL$3,"&lt;="&amp;Datos!Y$3))/(SUMIFS(Datos!$D$14:$AL$14,Datos!$D$3:$AL$3,"&gt;="&amp;DATE(YEAR(Datos!Y$3),1,1),Datos!$D$3:$AL$3,"&lt;="&amp;Datos!Y$3)))))</f>
        <v>-</v>
      </c>
      <c r="Z43" s="236" t="str">
        <f>IF(SUMPRODUCT((YEAR(Datos!$D$3:$AL$3)=YEAR(Datos!Z$3))*(Datos!$D$3:$AL$3&lt;=Datos!Z$3)*((Datos!$D$18:$AL$18)&gt;0)*((Datos!$D$14:$AL$14)=0))&gt;0,"-",IF((Datos!Z14)=0,"-",IF((SUMIFS(Datos!$D$14:$AL$14,Datos!$D$3:$AL$3,"&gt;="&amp;DATE(YEAR(Datos!Z$3),1,1),Datos!$D$3:$AL$3,"&lt;="&amp;Datos!Z$3))=0,"-",(SUMIFS(Datos!$D$18:$AL$18,Datos!$D$3:$AL$3,"&gt;="&amp;DATE(YEAR(Datos!Z$3),1,1),Datos!$D$3:$AL$3,"&lt;="&amp;Datos!Z$3))/(SUMIFS(Datos!$D$14:$AL$14,Datos!$D$3:$AL$3,"&gt;="&amp;DATE(YEAR(Datos!Z$3),1,1),Datos!$D$3:$AL$3,"&lt;="&amp;Datos!Z$3)))))</f>
        <v>-</v>
      </c>
      <c r="AA43" s="236" t="str">
        <f>IF(SUMPRODUCT((YEAR(Datos!$D$3:$AL$3)=YEAR(Datos!AA$3))*(Datos!$D$3:$AL$3&lt;=Datos!AA$3)*((Datos!$D$18:$AL$18)&gt;0)*((Datos!$D$14:$AL$14)=0))&gt;0,"-",IF((Datos!AA14)=0,"-",IF((SUMIFS(Datos!$D$14:$AL$14,Datos!$D$3:$AL$3,"&gt;="&amp;DATE(YEAR(Datos!AA$3),1,1),Datos!$D$3:$AL$3,"&lt;="&amp;Datos!AA$3))=0,"-",(SUMIFS(Datos!$D$18:$AL$18,Datos!$D$3:$AL$3,"&gt;="&amp;DATE(YEAR(Datos!AA$3),1,1),Datos!$D$3:$AL$3,"&lt;="&amp;Datos!AA$3))/(SUMIFS(Datos!$D$14:$AL$14,Datos!$D$3:$AL$3,"&gt;="&amp;DATE(YEAR(Datos!AA$3),1,1),Datos!$D$3:$AL$3,"&lt;="&amp;Datos!AA$3)))))</f>
        <v>-</v>
      </c>
      <c r="AB43" s="236" t="str">
        <f>IF(SUMPRODUCT((YEAR(Datos!$D$3:$AL$3)=YEAR(Datos!AB$3))*(Datos!$D$3:$AL$3&lt;=Datos!AB$3)*((Datos!$D$18:$AL$18)&gt;0)*((Datos!$D$14:$AL$14)=0))&gt;0,"-",IF((Datos!AB14)=0,"-",IF((SUMIFS(Datos!$D$14:$AL$14,Datos!$D$3:$AL$3,"&gt;="&amp;DATE(YEAR(Datos!AB$3),1,1),Datos!$D$3:$AL$3,"&lt;="&amp;Datos!AB$3))=0,"-",(SUMIFS(Datos!$D$18:$AL$18,Datos!$D$3:$AL$3,"&gt;="&amp;DATE(YEAR(Datos!AB$3),1,1),Datos!$D$3:$AL$3,"&lt;="&amp;Datos!AB$3))/(SUMIFS(Datos!$D$14:$AL$14,Datos!$D$3:$AL$3,"&gt;="&amp;DATE(YEAR(Datos!AB$3),1,1),Datos!$D$3:$AL$3,"&lt;="&amp;Datos!AB$3)))))</f>
        <v>-</v>
      </c>
      <c r="AC43" s="236" t="str">
        <f>IF(SUMPRODUCT((YEAR(Datos!$D$3:$AL$3)=YEAR(Datos!AC$3))*(Datos!$D$3:$AL$3&lt;=Datos!AC$3)*((Datos!$D$18:$AL$18)&gt;0)*((Datos!$D$14:$AL$14)=0))&gt;0,"-",IF((Datos!AC14)=0,"-",IF((SUMIFS(Datos!$D$14:$AL$14,Datos!$D$3:$AL$3,"&gt;="&amp;DATE(YEAR(Datos!AC$3),1,1),Datos!$D$3:$AL$3,"&lt;="&amp;Datos!AC$3))=0,"-",(SUMIFS(Datos!$D$18:$AL$18,Datos!$D$3:$AL$3,"&gt;="&amp;DATE(YEAR(Datos!AC$3),1,1),Datos!$D$3:$AL$3,"&lt;="&amp;Datos!AC$3))/(SUMIFS(Datos!$D$14:$AL$14,Datos!$D$3:$AL$3,"&gt;="&amp;DATE(YEAR(Datos!AC$3),1,1),Datos!$D$3:$AL$3,"&lt;="&amp;Datos!AC$3)))))</f>
        <v>-</v>
      </c>
      <c r="AD43" s="236" t="str">
        <f>IF(SUMPRODUCT((YEAR(Datos!$D$3:$AL$3)=YEAR(Datos!AD$3))*(Datos!$D$3:$AL$3&lt;=Datos!AD$3)*((Datos!$D$18:$AL$18)&gt;0)*((Datos!$D$14:$AL$14)=0))&gt;0,"-",IF((Datos!AD14)=0,"-",IF((SUMIFS(Datos!$D$14:$AL$14,Datos!$D$3:$AL$3,"&gt;="&amp;DATE(YEAR(Datos!AD$3),1,1),Datos!$D$3:$AL$3,"&lt;="&amp;Datos!AD$3))=0,"-",(SUMIFS(Datos!$D$18:$AL$18,Datos!$D$3:$AL$3,"&gt;="&amp;DATE(YEAR(Datos!AD$3),1,1),Datos!$D$3:$AL$3,"&lt;="&amp;Datos!AD$3))/(SUMIFS(Datos!$D$14:$AL$14,Datos!$D$3:$AL$3,"&gt;="&amp;DATE(YEAR(Datos!AD$3),1,1),Datos!$D$3:$AL$3,"&lt;="&amp;Datos!AD$3)))))</f>
        <v>-</v>
      </c>
      <c r="AE43" s="236" t="str">
        <f>IF(SUMPRODUCT((YEAR(Datos!$D$3:$AL$3)=YEAR(Datos!AE$3))*(Datos!$D$3:$AL$3&lt;=Datos!AE$3)*((Datos!$D$18:$AL$18)&gt;0)*((Datos!$D$14:$AL$14)=0))&gt;0,"-",IF((Datos!AE14)=0,"-",IF((SUMIFS(Datos!$D$14:$AL$14,Datos!$D$3:$AL$3,"&gt;="&amp;DATE(YEAR(Datos!AE$3),1,1),Datos!$D$3:$AL$3,"&lt;="&amp;Datos!AE$3))=0,"-",(SUMIFS(Datos!$D$18:$AL$18,Datos!$D$3:$AL$3,"&gt;="&amp;DATE(YEAR(Datos!AE$3),1,1),Datos!$D$3:$AL$3,"&lt;="&amp;Datos!AE$3))/(SUMIFS(Datos!$D$14:$AL$14,Datos!$D$3:$AL$3,"&gt;="&amp;DATE(YEAR(Datos!AE$3),1,1),Datos!$D$3:$AL$3,"&lt;="&amp;Datos!AE$3)))))</f>
        <v>-</v>
      </c>
      <c r="AF43" s="236" t="str">
        <f>IF(SUMPRODUCT((YEAR(Datos!$D$3:$AL$3)=YEAR(Datos!AF$3))*(Datos!$D$3:$AL$3&lt;=Datos!AF$3)*((Datos!$D$18:$AL$18)&gt;0)*((Datos!$D$14:$AL$14)=0))&gt;0,"-",IF((Datos!AF14)=0,"-",IF((SUMIFS(Datos!$D$14:$AL$14,Datos!$D$3:$AL$3,"&gt;="&amp;DATE(YEAR(Datos!AF$3),1,1),Datos!$D$3:$AL$3,"&lt;="&amp;Datos!AF$3))=0,"-",(SUMIFS(Datos!$D$18:$AL$18,Datos!$D$3:$AL$3,"&gt;="&amp;DATE(YEAR(Datos!AF$3),1,1),Datos!$D$3:$AL$3,"&lt;="&amp;Datos!AF$3))/(SUMIFS(Datos!$D$14:$AL$14,Datos!$D$3:$AL$3,"&gt;="&amp;DATE(YEAR(Datos!AF$3),1,1),Datos!$D$3:$AL$3,"&lt;="&amp;Datos!AF$3)))))</f>
        <v>-</v>
      </c>
      <c r="AG43" s="236" t="str">
        <f>IF(SUMPRODUCT((YEAR(Datos!$D$3:$AL$3)=YEAR(Datos!AG$3))*(Datos!$D$3:$AL$3&lt;=Datos!AG$3)*((Datos!$D$18:$AL$18)&gt;0)*((Datos!$D$14:$AL$14)=0))&gt;0,"-",IF((Datos!AG14)=0,"-",IF((SUMIFS(Datos!$D$14:$AL$14,Datos!$D$3:$AL$3,"&gt;="&amp;DATE(YEAR(Datos!AG$3),1,1),Datos!$D$3:$AL$3,"&lt;="&amp;Datos!AG$3))=0,"-",(SUMIFS(Datos!$D$18:$AL$18,Datos!$D$3:$AL$3,"&gt;="&amp;DATE(YEAR(Datos!AG$3),1,1),Datos!$D$3:$AL$3,"&lt;="&amp;Datos!AG$3))/(SUMIFS(Datos!$D$14:$AL$14,Datos!$D$3:$AL$3,"&gt;="&amp;DATE(YEAR(Datos!AG$3),1,1),Datos!$D$3:$AL$3,"&lt;="&amp;Datos!AG$3)))))</f>
        <v>-</v>
      </c>
      <c r="AH43" s="236" t="str">
        <f>IF(SUMPRODUCT((YEAR(Datos!$D$3:$AL$3)=YEAR(Datos!AH$3))*(Datos!$D$3:$AL$3&lt;=Datos!AH$3)*((Datos!$D$18:$AL$18)&gt;0)*((Datos!$D$14:$AL$14)=0))&gt;0,"-",IF((Datos!AH14)=0,"-",IF((SUMIFS(Datos!$D$14:$AL$14,Datos!$D$3:$AL$3,"&gt;="&amp;DATE(YEAR(Datos!AH$3),1,1),Datos!$D$3:$AL$3,"&lt;="&amp;Datos!AH$3))=0,"-",(SUMIFS(Datos!$D$18:$AL$18,Datos!$D$3:$AL$3,"&gt;="&amp;DATE(YEAR(Datos!AH$3),1,1),Datos!$D$3:$AL$3,"&lt;="&amp;Datos!AH$3))/(SUMIFS(Datos!$D$14:$AL$14,Datos!$D$3:$AL$3,"&gt;="&amp;DATE(YEAR(Datos!AH$3),1,1),Datos!$D$3:$AL$3,"&lt;="&amp;Datos!AH$3)))))</f>
        <v>-</v>
      </c>
      <c r="AI43" s="236" t="str">
        <f>IF(SUMPRODUCT((YEAR(Datos!$D$3:$AL$3)=YEAR(Datos!AI$3))*(Datos!$D$3:$AL$3&lt;=Datos!AI$3)*((Datos!$D$18:$AL$18)&gt;0)*((Datos!$D$14:$AL$14)=0))&gt;0,"-",IF((Datos!AI14)=0,"-",IF((SUMIFS(Datos!$D$14:$AL$14,Datos!$D$3:$AL$3,"&gt;="&amp;DATE(YEAR(Datos!AI$3),1,1),Datos!$D$3:$AL$3,"&lt;="&amp;Datos!AI$3))=0,"-",(SUMIFS(Datos!$D$18:$AL$18,Datos!$D$3:$AL$3,"&gt;="&amp;DATE(YEAR(Datos!AI$3),1,1),Datos!$D$3:$AL$3,"&lt;="&amp;Datos!AI$3))/(SUMIFS(Datos!$D$14:$AL$14,Datos!$D$3:$AL$3,"&gt;="&amp;DATE(YEAR(Datos!AI$3),1,1),Datos!$D$3:$AL$3,"&lt;="&amp;Datos!AI$3)))))</f>
        <v>-</v>
      </c>
      <c r="AJ43" s="236" t="str">
        <f>IF(SUMPRODUCT((YEAR(Datos!$D$3:$AL$3)=YEAR(Datos!AJ$3))*(Datos!$D$3:$AL$3&lt;=Datos!AJ$3)*((Datos!$D$18:$AL$18)&gt;0)*((Datos!$D$14:$AL$14)=0))&gt;0,"-",IF((Datos!AJ14)=0,"-",IF((SUMIFS(Datos!$D$14:$AL$14,Datos!$D$3:$AL$3,"&gt;="&amp;DATE(YEAR(Datos!AJ$3),1,1),Datos!$D$3:$AL$3,"&lt;="&amp;Datos!AJ$3))=0,"-",(SUMIFS(Datos!$D$18:$AL$18,Datos!$D$3:$AL$3,"&gt;="&amp;DATE(YEAR(Datos!AJ$3),1,1),Datos!$D$3:$AL$3,"&lt;="&amp;Datos!AJ$3))/(SUMIFS(Datos!$D$14:$AL$14,Datos!$D$3:$AL$3,"&gt;="&amp;DATE(YEAR(Datos!AJ$3),1,1),Datos!$D$3:$AL$3,"&lt;="&amp;Datos!AJ$3)))))</f>
        <v>-</v>
      </c>
      <c r="AK43" s="236" t="str">
        <f>IF(SUMPRODUCT((YEAR(Datos!$D$3:$AL$3)=YEAR(Datos!AK$3))*(Datos!$D$3:$AL$3&lt;=Datos!AK$3)*((Datos!$D$18:$AL$18)&gt;0)*((Datos!$D$14:$AL$14)=0))&gt;0,"-",IF((Datos!AK14)=0,"-",IF((SUMIFS(Datos!$D$14:$AL$14,Datos!$D$3:$AL$3,"&gt;="&amp;DATE(YEAR(Datos!AK$3),1,1),Datos!$D$3:$AL$3,"&lt;="&amp;Datos!AK$3))=0,"-",(SUMIFS(Datos!$D$18:$AL$18,Datos!$D$3:$AL$3,"&gt;="&amp;DATE(YEAR(Datos!AK$3),1,1),Datos!$D$3:$AL$3,"&lt;="&amp;Datos!AK$3))/(SUMIFS(Datos!$D$14:$AL$14,Datos!$D$3:$AL$3,"&gt;="&amp;DATE(YEAR(Datos!AK$3),1,1),Datos!$D$3:$AL$3,"&lt;="&amp;Datos!AK$3)))))</f>
        <v>-</v>
      </c>
      <c r="AL43" s="236" t="str">
        <f>IF(SUMPRODUCT((YEAR(Datos!$D$3:$AL$3)=YEAR(Datos!AL$3))*(Datos!$D$3:$AL$3&lt;=Datos!AL$3)*((Datos!$D$18:$AL$18)&gt;0)*((Datos!$D$14:$AL$14)=0))&gt;0,"-",IF((Datos!AL14)=0,"-",IF((SUMIFS(Datos!$D$14:$AL$14,Datos!$D$3:$AL$3,"&gt;="&amp;DATE(YEAR(Datos!AL$3),1,1),Datos!$D$3:$AL$3,"&lt;="&amp;Datos!AL$3))=0,"-",(SUMIFS(Datos!$D$18:$AL$18,Datos!$D$3:$AL$3,"&gt;="&amp;DATE(YEAR(Datos!AL$3),1,1),Datos!$D$3:$AL$3,"&lt;="&amp;Datos!AL$3))/(SUMIFS(Datos!$D$14:$AL$14,Datos!$D$3:$AL$3,"&gt;="&amp;DATE(YEAR(Datos!AL$3),1,1),Datos!$D$3:$AL$3,"&lt;="&amp;Datos!AL$3)))))</f>
        <v>-</v>
      </c>
    </row>
    <row r="44" spans="1:38" ht="27.75" customHeight="1" x14ac:dyDescent="0.3">
      <c r="A44" s="232" t="str">
        <f>KPIs!$A$18&amp;" · YTD"</f>
        <v>10 · Cumplimiento de simulacros (emergencia y operativos) · YTD</v>
      </c>
      <c r="B44" s="70" t="s">
        <v>143</v>
      </c>
      <c r="C44" s="237">
        <f>IF(KPIs!C18="","",KPIs!C18)</f>
        <v>1</v>
      </c>
      <c r="D44" s="238">
        <f>IF(SUMPRODUCT((YEAR(Datos!$D$3:$AL$3)=YEAR(Datos!D$3))*(Datos!$D$3:$AL$3&lt;=Datos!D$3)*((Datos!$D$20:$AL$20)&gt;0)*((Datos!$D$21:$AL$21)=0))&gt;0,"-",IF((Datos!D21)=0,"-",IF((SUMIFS(Datos!$D$21:$AL$21,Datos!$D$3:$AL$3,"&gt;="&amp;DATE(YEAR(Datos!D$3),1,1),Datos!$D$3:$AL$3,"&lt;="&amp;Datos!D$3))=0,"-",(SUMIFS(Datos!$D$20:$AL$20,Datos!$D$3:$AL$3,"&gt;="&amp;DATE(YEAR(Datos!D$3),1,1),Datos!$D$3:$AL$3,"&lt;="&amp;Datos!D$3))/(SUMIFS(Datos!$D$21:$AL$21,Datos!$D$3:$AL$3,"&gt;="&amp;DATE(YEAR(Datos!D$3),1,1),Datos!$D$3:$AL$3,"&lt;="&amp;Datos!D$3)))))</f>
        <v>1</v>
      </c>
      <c r="E44" s="238">
        <f>IF(SUMPRODUCT((YEAR(Datos!$D$3:$AL$3)=YEAR(Datos!E$3))*(Datos!$D$3:$AL$3&lt;=Datos!E$3)*((Datos!$D$20:$AL$20)&gt;0)*((Datos!$D$21:$AL$21)=0))&gt;0,"-",IF((Datos!E21)=0,"-",IF((SUMIFS(Datos!$D$21:$AL$21,Datos!$D$3:$AL$3,"&gt;="&amp;DATE(YEAR(Datos!E$3),1,1),Datos!$D$3:$AL$3,"&lt;="&amp;Datos!E$3))=0,"-",(SUMIFS(Datos!$D$20:$AL$20,Datos!$D$3:$AL$3,"&gt;="&amp;DATE(YEAR(Datos!E$3),1,1),Datos!$D$3:$AL$3,"&lt;="&amp;Datos!E$3))/(SUMIFS(Datos!$D$21:$AL$21,Datos!$D$3:$AL$3,"&gt;="&amp;DATE(YEAR(Datos!E$3),1,1),Datos!$D$3:$AL$3,"&lt;="&amp;Datos!E$3)))))</f>
        <v>1</v>
      </c>
      <c r="F44" s="238" t="str">
        <f>IF(SUMPRODUCT((YEAR(Datos!$D$3:$AL$3)=YEAR(Datos!F$3))*(Datos!$D$3:$AL$3&lt;=Datos!F$3)*((Datos!$D$20:$AL$20)&gt;0)*((Datos!$D$21:$AL$21)=0))&gt;0,"-",IF((Datos!F21)=0,"-",IF((SUMIFS(Datos!$D$21:$AL$21,Datos!$D$3:$AL$3,"&gt;="&amp;DATE(YEAR(Datos!F$3),1,1),Datos!$D$3:$AL$3,"&lt;="&amp;Datos!F$3))=0,"-",(SUMIFS(Datos!$D$20:$AL$20,Datos!$D$3:$AL$3,"&gt;="&amp;DATE(YEAR(Datos!F$3),1,1),Datos!$D$3:$AL$3,"&lt;="&amp;Datos!F$3))/(SUMIFS(Datos!$D$21:$AL$21,Datos!$D$3:$AL$3,"&gt;="&amp;DATE(YEAR(Datos!F$3),1,1),Datos!$D$3:$AL$3,"&lt;="&amp;Datos!F$3)))))</f>
        <v>-</v>
      </c>
      <c r="G44" s="238" t="str">
        <f>IF(SUMPRODUCT((YEAR(Datos!$D$3:$AL$3)=YEAR(Datos!G$3))*(Datos!$D$3:$AL$3&lt;=Datos!G$3)*((Datos!$D$20:$AL$20)&gt;0)*((Datos!$D$21:$AL$21)=0))&gt;0,"-",IF((Datos!G21)=0,"-",IF((SUMIFS(Datos!$D$21:$AL$21,Datos!$D$3:$AL$3,"&gt;="&amp;DATE(YEAR(Datos!G$3),1,1),Datos!$D$3:$AL$3,"&lt;="&amp;Datos!G$3))=0,"-",(SUMIFS(Datos!$D$20:$AL$20,Datos!$D$3:$AL$3,"&gt;="&amp;DATE(YEAR(Datos!G$3),1,1),Datos!$D$3:$AL$3,"&lt;="&amp;Datos!G$3))/(SUMIFS(Datos!$D$21:$AL$21,Datos!$D$3:$AL$3,"&gt;="&amp;DATE(YEAR(Datos!G$3),1,1),Datos!$D$3:$AL$3,"&lt;="&amp;Datos!G$3)))))</f>
        <v>-</v>
      </c>
      <c r="H44" s="238" t="str">
        <f>IF(SUMPRODUCT((YEAR(Datos!$D$3:$AL$3)=YEAR(Datos!H$3))*(Datos!$D$3:$AL$3&lt;=Datos!H$3)*((Datos!$D$20:$AL$20)&gt;0)*((Datos!$D$21:$AL$21)=0))&gt;0,"-",IF((Datos!H21)=0,"-",IF((SUMIFS(Datos!$D$21:$AL$21,Datos!$D$3:$AL$3,"&gt;="&amp;DATE(YEAR(Datos!H$3),1,1),Datos!$D$3:$AL$3,"&lt;="&amp;Datos!H$3))=0,"-",(SUMIFS(Datos!$D$20:$AL$20,Datos!$D$3:$AL$3,"&gt;="&amp;DATE(YEAR(Datos!H$3),1,1),Datos!$D$3:$AL$3,"&lt;="&amp;Datos!H$3))/(SUMIFS(Datos!$D$21:$AL$21,Datos!$D$3:$AL$3,"&gt;="&amp;DATE(YEAR(Datos!H$3),1,1),Datos!$D$3:$AL$3,"&lt;="&amp;Datos!H$3)))))</f>
        <v>-</v>
      </c>
      <c r="I44" s="238" t="str">
        <f>IF(SUMPRODUCT((YEAR(Datos!$D$3:$AL$3)=YEAR(Datos!I$3))*(Datos!$D$3:$AL$3&lt;=Datos!I$3)*((Datos!$D$20:$AL$20)&gt;0)*((Datos!$D$21:$AL$21)=0))&gt;0,"-",IF((Datos!I21)=0,"-",IF((SUMIFS(Datos!$D$21:$AL$21,Datos!$D$3:$AL$3,"&gt;="&amp;DATE(YEAR(Datos!I$3),1,1),Datos!$D$3:$AL$3,"&lt;="&amp;Datos!I$3))=0,"-",(SUMIFS(Datos!$D$20:$AL$20,Datos!$D$3:$AL$3,"&gt;="&amp;DATE(YEAR(Datos!I$3),1,1),Datos!$D$3:$AL$3,"&lt;="&amp;Datos!I$3))/(SUMIFS(Datos!$D$21:$AL$21,Datos!$D$3:$AL$3,"&gt;="&amp;DATE(YEAR(Datos!I$3),1,1),Datos!$D$3:$AL$3,"&lt;="&amp;Datos!I$3)))))</f>
        <v>-</v>
      </c>
      <c r="J44" s="238" t="str">
        <f>IF(SUMPRODUCT((YEAR(Datos!$D$3:$AL$3)=YEAR(Datos!J$3))*(Datos!$D$3:$AL$3&lt;=Datos!J$3)*((Datos!$D$20:$AL$20)&gt;0)*((Datos!$D$21:$AL$21)=0))&gt;0,"-",IF((Datos!J21)=0,"-",IF((SUMIFS(Datos!$D$21:$AL$21,Datos!$D$3:$AL$3,"&gt;="&amp;DATE(YEAR(Datos!J$3),1,1),Datos!$D$3:$AL$3,"&lt;="&amp;Datos!J$3))=0,"-",(SUMIFS(Datos!$D$20:$AL$20,Datos!$D$3:$AL$3,"&gt;="&amp;DATE(YEAR(Datos!J$3),1,1),Datos!$D$3:$AL$3,"&lt;="&amp;Datos!J$3))/(SUMIFS(Datos!$D$21:$AL$21,Datos!$D$3:$AL$3,"&gt;="&amp;DATE(YEAR(Datos!J$3),1,1),Datos!$D$3:$AL$3,"&lt;="&amp;Datos!J$3)))))</f>
        <v>-</v>
      </c>
      <c r="K44" s="238" t="str">
        <f>IF(SUMPRODUCT((YEAR(Datos!$D$3:$AL$3)=YEAR(Datos!K$3))*(Datos!$D$3:$AL$3&lt;=Datos!K$3)*((Datos!$D$20:$AL$20)&gt;0)*((Datos!$D$21:$AL$21)=0))&gt;0,"-",IF((Datos!K21)=0,"-",IF((SUMIFS(Datos!$D$21:$AL$21,Datos!$D$3:$AL$3,"&gt;="&amp;DATE(YEAR(Datos!K$3),1,1),Datos!$D$3:$AL$3,"&lt;="&amp;Datos!K$3))=0,"-",(SUMIFS(Datos!$D$20:$AL$20,Datos!$D$3:$AL$3,"&gt;="&amp;DATE(YEAR(Datos!K$3),1,1),Datos!$D$3:$AL$3,"&lt;="&amp;Datos!K$3))/(SUMIFS(Datos!$D$21:$AL$21,Datos!$D$3:$AL$3,"&gt;="&amp;DATE(YEAR(Datos!K$3),1,1),Datos!$D$3:$AL$3,"&lt;="&amp;Datos!K$3)))))</f>
        <v>-</v>
      </c>
      <c r="L44" s="238" t="str">
        <f>IF(SUMPRODUCT((YEAR(Datos!$D$3:$AL$3)=YEAR(Datos!L$3))*(Datos!$D$3:$AL$3&lt;=Datos!L$3)*((Datos!$D$20:$AL$20)&gt;0)*((Datos!$D$21:$AL$21)=0))&gt;0,"-",IF((Datos!L21)=0,"-",IF((SUMIFS(Datos!$D$21:$AL$21,Datos!$D$3:$AL$3,"&gt;="&amp;DATE(YEAR(Datos!L$3),1,1),Datos!$D$3:$AL$3,"&lt;="&amp;Datos!L$3))=0,"-",(SUMIFS(Datos!$D$20:$AL$20,Datos!$D$3:$AL$3,"&gt;="&amp;DATE(YEAR(Datos!L$3),1,1),Datos!$D$3:$AL$3,"&lt;="&amp;Datos!L$3))/(SUMIFS(Datos!$D$21:$AL$21,Datos!$D$3:$AL$3,"&gt;="&amp;DATE(YEAR(Datos!L$3),1,1),Datos!$D$3:$AL$3,"&lt;="&amp;Datos!L$3)))))</f>
        <v>-</v>
      </c>
      <c r="M44" s="238" t="str">
        <f>IF(SUMPRODUCT((YEAR(Datos!$D$3:$AL$3)=YEAR(Datos!M$3))*(Datos!$D$3:$AL$3&lt;=Datos!M$3)*((Datos!$D$20:$AL$20)&gt;0)*((Datos!$D$21:$AL$21)=0))&gt;0,"-",IF((Datos!M21)=0,"-",IF((SUMIFS(Datos!$D$21:$AL$21,Datos!$D$3:$AL$3,"&gt;="&amp;DATE(YEAR(Datos!M$3),1,1),Datos!$D$3:$AL$3,"&lt;="&amp;Datos!M$3))=0,"-",(SUMIFS(Datos!$D$20:$AL$20,Datos!$D$3:$AL$3,"&gt;="&amp;DATE(YEAR(Datos!M$3),1,1),Datos!$D$3:$AL$3,"&lt;="&amp;Datos!M$3))/(SUMIFS(Datos!$D$21:$AL$21,Datos!$D$3:$AL$3,"&gt;="&amp;DATE(YEAR(Datos!M$3),1,1),Datos!$D$3:$AL$3,"&lt;="&amp;Datos!M$3)))))</f>
        <v>-</v>
      </c>
      <c r="N44" s="238" t="str">
        <f>IF(SUMPRODUCT((YEAR(Datos!$D$3:$AL$3)=YEAR(Datos!N$3))*(Datos!$D$3:$AL$3&lt;=Datos!N$3)*((Datos!$D$20:$AL$20)&gt;0)*((Datos!$D$21:$AL$21)=0))&gt;0,"-",IF((Datos!N21)=0,"-",IF((SUMIFS(Datos!$D$21:$AL$21,Datos!$D$3:$AL$3,"&gt;="&amp;DATE(YEAR(Datos!N$3),1,1),Datos!$D$3:$AL$3,"&lt;="&amp;Datos!N$3))=0,"-",(SUMIFS(Datos!$D$20:$AL$20,Datos!$D$3:$AL$3,"&gt;="&amp;DATE(YEAR(Datos!N$3),1,1),Datos!$D$3:$AL$3,"&lt;="&amp;Datos!N$3))/(SUMIFS(Datos!$D$21:$AL$21,Datos!$D$3:$AL$3,"&gt;="&amp;DATE(YEAR(Datos!N$3),1,1),Datos!$D$3:$AL$3,"&lt;="&amp;Datos!N$3)))))</f>
        <v>-</v>
      </c>
      <c r="O44" s="238" t="str">
        <f>IF(SUMPRODUCT((YEAR(Datos!$D$3:$AL$3)=YEAR(Datos!O$3))*(Datos!$D$3:$AL$3&lt;=Datos!O$3)*((Datos!$D$20:$AL$20)&gt;0)*((Datos!$D$21:$AL$21)=0))&gt;0,"-",IF((Datos!O21)=0,"-",IF((SUMIFS(Datos!$D$21:$AL$21,Datos!$D$3:$AL$3,"&gt;="&amp;DATE(YEAR(Datos!O$3),1,1),Datos!$D$3:$AL$3,"&lt;="&amp;Datos!O$3))=0,"-",(SUMIFS(Datos!$D$20:$AL$20,Datos!$D$3:$AL$3,"&gt;="&amp;DATE(YEAR(Datos!O$3),1,1),Datos!$D$3:$AL$3,"&lt;="&amp;Datos!O$3))/(SUMIFS(Datos!$D$21:$AL$21,Datos!$D$3:$AL$3,"&gt;="&amp;DATE(YEAR(Datos!O$3),1,1),Datos!$D$3:$AL$3,"&lt;="&amp;Datos!O$3)))))</f>
        <v>-</v>
      </c>
      <c r="P44" s="238" t="str">
        <f>IF(SUMPRODUCT((YEAR(Datos!$D$3:$AL$3)=YEAR(Datos!P$3))*(Datos!$D$3:$AL$3&lt;=Datos!P$3)*((Datos!$D$20:$AL$20)&gt;0)*((Datos!$D$21:$AL$21)=0))&gt;0,"-",IF((Datos!P21)=0,"-",IF((SUMIFS(Datos!$D$21:$AL$21,Datos!$D$3:$AL$3,"&gt;="&amp;DATE(YEAR(Datos!P$3),1,1),Datos!$D$3:$AL$3,"&lt;="&amp;Datos!P$3))=0,"-",(SUMIFS(Datos!$D$20:$AL$20,Datos!$D$3:$AL$3,"&gt;="&amp;DATE(YEAR(Datos!P$3),1,1),Datos!$D$3:$AL$3,"&lt;="&amp;Datos!P$3))/(SUMIFS(Datos!$D$21:$AL$21,Datos!$D$3:$AL$3,"&gt;="&amp;DATE(YEAR(Datos!P$3),1,1),Datos!$D$3:$AL$3,"&lt;="&amp;Datos!P$3)))))</f>
        <v>-</v>
      </c>
      <c r="Q44" s="238" t="str">
        <f>IF(SUMPRODUCT((YEAR(Datos!$D$3:$AL$3)=YEAR(Datos!Q$3))*(Datos!$D$3:$AL$3&lt;=Datos!Q$3)*((Datos!$D$20:$AL$20)&gt;0)*((Datos!$D$21:$AL$21)=0))&gt;0,"-",IF((Datos!Q21)=0,"-",IF((SUMIFS(Datos!$D$21:$AL$21,Datos!$D$3:$AL$3,"&gt;="&amp;DATE(YEAR(Datos!Q$3),1,1),Datos!$D$3:$AL$3,"&lt;="&amp;Datos!Q$3))=0,"-",(SUMIFS(Datos!$D$20:$AL$20,Datos!$D$3:$AL$3,"&gt;="&amp;DATE(YEAR(Datos!Q$3),1,1),Datos!$D$3:$AL$3,"&lt;="&amp;Datos!Q$3))/(SUMIFS(Datos!$D$21:$AL$21,Datos!$D$3:$AL$3,"&gt;="&amp;DATE(YEAR(Datos!Q$3),1,1),Datos!$D$3:$AL$3,"&lt;="&amp;Datos!Q$3)))))</f>
        <v>-</v>
      </c>
      <c r="R44" s="238" t="str">
        <f>IF(SUMPRODUCT((YEAR(Datos!$D$3:$AL$3)=YEAR(Datos!R$3))*(Datos!$D$3:$AL$3&lt;=Datos!R$3)*((Datos!$D$20:$AL$20)&gt;0)*((Datos!$D$21:$AL$21)=0))&gt;0,"-",IF((Datos!R21)=0,"-",IF((SUMIFS(Datos!$D$21:$AL$21,Datos!$D$3:$AL$3,"&gt;="&amp;DATE(YEAR(Datos!R$3),1,1),Datos!$D$3:$AL$3,"&lt;="&amp;Datos!R$3))=0,"-",(SUMIFS(Datos!$D$20:$AL$20,Datos!$D$3:$AL$3,"&gt;="&amp;DATE(YEAR(Datos!R$3),1,1),Datos!$D$3:$AL$3,"&lt;="&amp;Datos!R$3))/(SUMIFS(Datos!$D$21:$AL$21,Datos!$D$3:$AL$3,"&gt;="&amp;DATE(YEAR(Datos!R$3),1,1),Datos!$D$3:$AL$3,"&lt;="&amp;Datos!R$3)))))</f>
        <v>-</v>
      </c>
      <c r="S44" s="238" t="str">
        <f>IF(SUMPRODUCT((YEAR(Datos!$D$3:$AL$3)=YEAR(Datos!S$3))*(Datos!$D$3:$AL$3&lt;=Datos!S$3)*((Datos!$D$20:$AL$20)&gt;0)*((Datos!$D$21:$AL$21)=0))&gt;0,"-",IF((Datos!S21)=0,"-",IF((SUMIFS(Datos!$D$21:$AL$21,Datos!$D$3:$AL$3,"&gt;="&amp;DATE(YEAR(Datos!S$3),1,1),Datos!$D$3:$AL$3,"&lt;="&amp;Datos!S$3))=0,"-",(SUMIFS(Datos!$D$20:$AL$20,Datos!$D$3:$AL$3,"&gt;="&amp;DATE(YEAR(Datos!S$3),1,1),Datos!$D$3:$AL$3,"&lt;="&amp;Datos!S$3))/(SUMIFS(Datos!$D$21:$AL$21,Datos!$D$3:$AL$3,"&gt;="&amp;DATE(YEAR(Datos!S$3),1,1),Datos!$D$3:$AL$3,"&lt;="&amp;Datos!S$3)))))</f>
        <v>-</v>
      </c>
      <c r="T44" s="238" t="str">
        <f>IF(SUMPRODUCT((YEAR(Datos!$D$3:$AL$3)=YEAR(Datos!T$3))*(Datos!$D$3:$AL$3&lt;=Datos!T$3)*((Datos!$D$20:$AL$20)&gt;0)*((Datos!$D$21:$AL$21)=0))&gt;0,"-",IF((Datos!T21)=0,"-",IF((SUMIFS(Datos!$D$21:$AL$21,Datos!$D$3:$AL$3,"&gt;="&amp;DATE(YEAR(Datos!T$3),1,1),Datos!$D$3:$AL$3,"&lt;="&amp;Datos!T$3))=0,"-",(SUMIFS(Datos!$D$20:$AL$20,Datos!$D$3:$AL$3,"&gt;="&amp;DATE(YEAR(Datos!T$3),1,1),Datos!$D$3:$AL$3,"&lt;="&amp;Datos!T$3))/(SUMIFS(Datos!$D$21:$AL$21,Datos!$D$3:$AL$3,"&gt;="&amp;DATE(YEAR(Datos!T$3),1,1),Datos!$D$3:$AL$3,"&lt;="&amp;Datos!T$3)))))</f>
        <v>-</v>
      </c>
      <c r="U44" s="238" t="str">
        <f>IF(SUMPRODUCT((YEAR(Datos!$D$3:$AL$3)=YEAR(Datos!U$3))*(Datos!$D$3:$AL$3&lt;=Datos!U$3)*((Datos!$D$20:$AL$20)&gt;0)*((Datos!$D$21:$AL$21)=0))&gt;0,"-",IF((Datos!U21)=0,"-",IF((SUMIFS(Datos!$D$21:$AL$21,Datos!$D$3:$AL$3,"&gt;="&amp;DATE(YEAR(Datos!U$3),1,1),Datos!$D$3:$AL$3,"&lt;="&amp;Datos!U$3))=0,"-",(SUMIFS(Datos!$D$20:$AL$20,Datos!$D$3:$AL$3,"&gt;="&amp;DATE(YEAR(Datos!U$3),1,1),Datos!$D$3:$AL$3,"&lt;="&amp;Datos!U$3))/(SUMIFS(Datos!$D$21:$AL$21,Datos!$D$3:$AL$3,"&gt;="&amp;DATE(YEAR(Datos!U$3),1,1),Datos!$D$3:$AL$3,"&lt;="&amp;Datos!U$3)))))</f>
        <v>-</v>
      </c>
      <c r="V44" s="238" t="str">
        <f>IF(SUMPRODUCT((YEAR(Datos!$D$3:$AL$3)=YEAR(Datos!V$3))*(Datos!$D$3:$AL$3&lt;=Datos!V$3)*((Datos!$D$20:$AL$20)&gt;0)*((Datos!$D$21:$AL$21)=0))&gt;0,"-",IF((Datos!V21)=0,"-",IF((SUMIFS(Datos!$D$21:$AL$21,Datos!$D$3:$AL$3,"&gt;="&amp;DATE(YEAR(Datos!V$3),1,1),Datos!$D$3:$AL$3,"&lt;="&amp;Datos!V$3))=0,"-",(SUMIFS(Datos!$D$20:$AL$20,Datos!$D$3:$AL$3,"&gt;="&amp;DATE(YEAR(Datos!V$3),1,1),Datos!$D$3:$AL$3,"&lt;="&amp;Datos!V$3))/(SUMIFS(Datos!$D$21:$AL$21,Datos!$D$3:$AL$3,"&gt;="&amp;DATE(YEAR(Datos!V$3),1,1),Datos!$D$3:$AL$3,"&lt;="&amp;Datos!V$3)))))</f>
        <v>-</v>
      </c>
      <c r="W44" s="238" t="str">
        <f>IF(SUMPRODUCT((YEAR(Datos!$D$3:$AL$3)=YEAR(Datos!W$3))*(Datos!$D$3:$AL$3&lt;=Datos!W$3)*((Datos!$D$20:$AL$20)&gt;0)*((Datos!$D$21:$AL$21)=0))&gt;0,"-",IF((Datos!W21)=0,"-",IF((SUMIFS(Datos!$D$21:$AL$21,Datos!$D$3:$AL$3,"&gt;="&amp;DATE(YEAR(Datos!W$3),1,1),Datos!$D$3:$AL$3,"&lt;="&amp;Datos!W$3))=0,"-",(SUMIFS(Datos!$D$20:$AL$20,Datos!$D$3:$AL$3,"&gt;="&amp;DATE(YEAR(Datos!W$3),1,1),Datos!$D$3:$AL$3,"&lt;="&amp;Datos!W$3))/(SUMIFS(Datos!$D$21:$AL$21,Datos!$D$3:$AL$3,"&gt;="&amp;DATE(YEAR(Datos!W$3),1,1),Datos!$D$3:$AL$3,"&lt;="&amp;Datos!W$3)))))</f>
        <v>-</v>
      </c>
      <c r="X44" s="238" t="str">
        <f>IF(SUMPRODUCT((YEAR(Datos!$D$3:$AL$3)=YEAR(Datos!X$3))*(Datos!$D$3:$AL$3&lt;=Datos!X$3)*((Datos!$D$20:$AL$20)&gt;0)*((Datos!$D$21:$AL$21)=0))&gt;0,"-",IF((Datos!X21)=0,"-",IF((SUMIFS(Datos!$D$21:$AL$21,Datos!$D$3:$AL$3,"&gt;="&amp;DATE(YEAR(Datos!X$3),1,1),Datos!$D$3:$AL$3,"&lt;="&amp;Datos!X$3))=0,"-",(SUMIFS(Datos!$D$20:$AL$20,Datos!$D$3:$AL$3,"&gt;="&amp;DATE(YEAR(Datos!X$3),1,1),Datos!$D$3:$AL$3,"&lt;="&amp;Datos!X$3))/(SUMIFS(Datos!$D$21:$AL$21,Datos!$D$3:$AL$3,"&gt;="&amp;DATE(YEAR(Datos!X$3),1,1),Datos!$D$3:$AL$3,"&lt;="&amp;Datos!X$3)))))</f>
        <v>-</v>
      </c>
      <c r="Y44" s="238" t="str">
        <f>IF(SUMPRODUCT((YEAR(Datos!$D$3:$AL$3)=YEAR(Datos!Y$3))*(Datos!$D$3:$AL$3&lt;=Datos!Y$3)*((Datos!$D$20:$AL$20)&gt;0)*((Datos!$D$21:$AL$21)=0))&gt;0,"-",IF((Datos!Y21)=0,"-",IF((SUMIFS(Datos!$D$21:$AL$21,Datos!$D$3:$AL$3,"&gt;="&amp;DATE(YEAR(Datos!Y$3),1,1),Datos!$D$3:$AL$3,"&lt;="&amp;Datos!Y$3))=0,"-",(SUMIFS(Datos!$D$20:$AL$20,Datos!$D$3:$AL$3,"&gt;="&amp;DATE(YEAR(Datos!Y$3),1,1),Datos!$D$3:$AL$3,"&lt;="&amp;Datos!Y$3))/(SUMIFS(Datos!$D$21:$AL$21,Datos!$D$3:$AL$3,"&gt;="&amp;DATE(YEAR(Datos!Y$3),1,1),Datos!$D$3:$AL$3,"&lt;="&amp;Datos!Y$3)))))</f>
        <v>-</v>
      </c>
      <c r="Z44" s="238" t="str">
        <f>IF(SUMPRODUCT((YEAR(Datos!$D$3:$AL$3)=YEAR(Datos!Z$3))*(Datos!$D$3:$AL$3&lt;=Datos!Z$3)*((Datos!$D$20:$AL$20)&gt;0)*((Datos!$D$21:$AL$21)=0))&gt;0,"-",IF((Datos!Z21)=0,"-",IF((SUMIFS(Datos!$D$21:$AL$21,Datos!$D$3:$AL$3,"&gt;="&amp;DATE(YEAR(Datos!Z$3),1,1),Datos!$D$3:$AL$3,"&lt;="&amp;Datos!Z$3))=0,"-",(SUMIFS(Datos!$D$20:$AL$20,Datos!$D$3:$AL$3,"&gt;="&amp;DATE(YEAR(Datos!Z$3),1,1),Datos!$D$3:$AL$3,"&lt;="&amp;Datos!Z$3))/(SUMIFS(Datos!$D$21:$AL$21,Datos!$D$3:$AL$3,"&gt;="&amp;DATE(YEAR(Datos!Z$3),1,1),Datos!$D$3:$AL$3,"&lt;="&amp;Datos!Z$3)))))</f>
        <v>-</v>
      </c>
      <c r="AA44" s="238" t="str">
        <f>IF(SUMPRODUCT((YEAR(Datos!$D$3:$AL$3)=YEAR(Datos!AA$3))*(Datos!$D$3:$AL$3&lt;=Datos!AA$3)*((Datos!$D$20:$AL$20)&gt;0)*((Datos!$D$21:$AL$21)=0))&gt;0,"-",IF((Datos!AA21)=0,"-",IF((SUMIFS(Datos!$D$21:$AL$21,Datos!$D$3:$AL$3,"&gt;="&amp;DATE(YEAR(Datos!AA$3),1,1),Datos!$D$3:$AL$3,"&lt;="&amp;Datos!AA$3))=0,"-",(SUMIFS(Datos!$D$20:$AL$20,Datos!$D$3:$AL$3,"&gt;="&amp;DATE(YEAR(Datos!AA$3),1,1),Datos!$D$3:$AL$3,"&lt;="&amp;Datos!AA$3))/(SUMIFS(Datos!$D$21:$AL$21,Datos!$D$3:$AL$3,"&gt;="&amp;DATE(YEAR(Datos!AA$3),1,1),Datos!$D$3:$AL$3,"&lt;="&amp;Datos!AA$3)))))</f>
        <v>-</v>
      </c>
      <c r="AB44" s="238" t="str">
        <f>IF(SUMPRODUCT((YEAR(Datos!$D$3:$AL$3)=YEAR(Datos!AB$3))*(Datos!$D$3:$AL$3&lt;=Datos!AB$3)*((Datos!$D$20:$AL$20)&gt;0)*((Datos!$D$21:$AL$21)=0))&gt;0,"-",IF((Datos!AB21)=0,"-",IF((SUMIFS(Datos!$D$21:$AL$21,Datos!$D$3:$AL$3,"&gt;="&amp;DATE(YEAR(Datos!AB$3),1,1),Datos!$D$3:$AL$3,"&lt;="&amp;Datos!AB$3))=0,"-",(SUMIFS(Datos!$D$20:$AL$20,Datos!$D$3:$AL$3,"&gt;="&amp;DATE(YEAR(Datos!AB$3),1,1),Datos!$D$3:$AL$3,"&lt;="&amp;Datos!AB$3))/(SUMIFS(Datos!$D$21:$AL$21,Datos!$D$3:$AL$3,"&gt;="&amp;DATE(YEAR(Datos!AB$3),1,1),Datos!$D$3:$AL$3,"&lt;="&amp;Datos!AB$3)))))</f>
        <v>-</v>
      </c>
      <c r="AC44" s="238" t="str">
        <f>IF(SUMPRODUCT((YEAR(Datos!$D$3:$AL$3)=YEAR(Datos!AC$3))*(Datos!$D$3:$AL$3&lt;=Datos!AC$3)*((Datos!$D$20:$AL$20)&gt;0)*((Datos!$D$21:$AL$21)=0))&gt;0,"-",IF((Datos!AC21)=0,"-",IF((SUMIFS(Datos!$D$21:$AL$21,Datos!$D$3:$AL$3,"&gt;="&amp;DATE(YEAR(Datos!AC$3),1,1),Datos!$D$3:$AL$3,"&lt;="&amp;Datos!AC$3))=0,"-",(SUMIFS(Datos!$D$20:$AL$20,Datos!$D$3:$AL$3,"&gt;="&amp;DATE(YEAR(Datos!AC$3),1,1),Datos!$D$3:$AL$3,"&lt;="&amp;Datos!AC$3))/(SUMIFS(Datos!$D$21:$AL$21,Datos!$D$3:$AL$3,"&gt;="&amp;DATE(YEAR(Datos!AC$3),1,1),Datos!$D$3:$AL$3,"&lt;="&amp;Datos!AC$3)))))</f>
        <v>-</v>
      </c>
      <c r="AD44" s="238" t="str">
        <f>IF(SUMPRODUCT((YEAR(Datos!$D$3:$AL$3)=YEAR(Datos!AD$3))*(Datos!$D$3:$AL$3&lt;=Datos!AD$3)*((Datos!$D$20:$AL$20)&gt;0)*((Datos!$D$21:$AL$21)=0))&gt;0,"-",IF((Datos!AD21)=0,"-",IF((SUMIFS(Datos!$D$21:$AL$21,Datos!$D$3:$AL$3,"&gt;="&amp;DATE(YEAR(Datos!AD$3),1,1),Datos!$D$3:$AL$3,"&lt;="&amp;Datos!AD$3))=0,"-",(SUMIFS(Datos!$D$20:$AL$20,Datos!$D$3:$AL$3,"&gt;="&amp;DATE(YEAR(Datos!AD$3),1,1),Datos!$D$3:$AL$3,"&lt;="&amp;Datos!AD$3))/(SUMIFS(Datos!$D$21:$AL$21,Datos!$D$3:$AL$3,"&gt;="&amp;DATE(YEAR(Datos!AD$3),1,1),Datos!$D$3:$AL$3,"&lt;="&amp;Datos!AD$3)))))</f>
        <v>-</v>
      </c>
      <c r="AE44" s="238" t="str">
        <f>IF(SUMPRODUCT((YEAR(Datos!$D$3:$AL$3)=YEAR(Datos!AE$3))*(Datos!$D$3:$AL$3&lt;=Datos!AE$3)*((Datos!$D$20:$AL$20)&gt;0)*((Datos!$D$21:$AL$21)=0))&gt;0,"-",IF((Datos!AE21)=0,"-",IF((SUMIFS(Datos!$D$21:$AL$21,Datos!$D$3:$AL$3,"&gt;="&amp;DATE(YEAR(Datos!AE$3),1,1),Datos!$D$3:$AL$3,"&lt;="&amp;Datos!AE$3))=0,"-",(SUMIFS(Datos!$D$20:$AL$20,Datos!$D$3:$AL$3,"&gt;="&amp;DATE(YEAR(Datos!AE$3),1,1),Datos!$D$3:$AL$3,"&lt;="&amp;Datos!AE$3))/(SUMIFS(Datos!$D$21:$AL$21,Datos!$D$3:$AL$3,"&gt;="&amp;DATE(YEAR(Datos!AE$3),1,1),Datos!$D$3:$AL$3,"&lt;="&amp;Datos!AE$3)))))</f>
        <v>-</v>
      </c>
      <c r="AF44" s="238" t="str">
        <f>IF(SUMPRODUCT((YEAR(Datos!$D$3:$AL$3)=YEAR(Datos!AF$3))*(Datos!$D$3:$AL$3&lt;=Datos!AF$3)*((Datos!$D$20:$AL$20)&gt;0)*((Datos!$D$21:$AL$21)=0))&gt;0,"-",IF((Datos!AF21)=0,"-",IF((SUMIFS(Datos!$D$21:$AL$21,Datos!$D$3:$AL$3,"&gt;="&amp;DATE(YEAR(Datos!AF$3),1,1),Datos!$D$3:$AL$3,"&lt;="&amp;Datos!AF$3))=0,"-",(SUMIFS(Datos!$D$20:$AL$20,Datos!$D$3:$AL$3,"&gt;="&amp;DATE(YEAR(Datos!AF$3),1,1),Datos!$D$3:$AL$3,"&lt;="&amp;Datos!AF$3))/(SUMIFS(Datos!$D$21:$AL$21,Datos!$D$3:$AL$3,"&gt;="&amp;DATE(YEAR(Datos!AF$3),1,1),Datos!$D$3:$AL$3,"&lt;="&amp;Datos!AF$3)))))</f>
        <v>-</v>
      </c>
      <c r="AG44" s="238" t="str">
        <f>IF(SUMPRODUCT((YEAR(Datos!$D$3:$AL$3)=YEAR(Datos!AG$3))*(Datos!$D$3:$AL$3&lt;=Datos!AG$3)*((Datos!$D$20:$AL$20)&gt;0)*((Datos!$D$21:$AL$21)=0))&gt;0,"-",IF((Datos!AG21)=0,"-",IF((SUMIFS(Datos!$D$21:$AL$21,Datos!$D$3:$AL$3,"&gt;="&amp;DATE(YEAR(Datos!AG$3),1,1),Datos!$D$3:$AL$3,"&lt;="&amp;Datos!AG$3))=0,"-",(SUMIFS(Datos!$D$20:$AL$20,Datos!$D$3:$AL$3,"&gt;="&amp;DATE(YEAR(Datos!AG$3),1,1),Datos!$D$3:$AL$3,"&lt;="&amp;Datos!AG$3))/(SUMIFS(Datos!$D$21:$AL$21,Datos!$D$3:$AL$3,"&gt;="&amp;DATE(YEAR(Datos!AG$3),1,1),Datos!$D$3:$AL$3,"&lt;="&amp;Datos!AG$3)))))</f>
        <v>-</v>
      </c>
      <c r="AH44" s="238" t="str">
        <f>IF(SUMPRODUCT((YEAR(Datos!$D$3:$AL$3)=YEAR(Datos!AH$3))*(Datos!$D$3:$AL$3&lt;=Datos!AH$3)*((Datos!$D$20:$AL$20)&gt;0)*((Datos!$D$21:$AL$21)=0))&gt;0,"-",IF((Datos!AH21)=0,"-",IF((SUMIFS(Datos!$D$21:$AL$21,Datos!$D$3:$AL$3,"&gt;="&amp;DATE(YEAR(Datos!AH$3),1,1),Datos!$D$3:$AL$3,"&lt;="&amp;Datos!AH$3))=0,"-",(SUMIFS(Datos!$D$20:$AL$20,Datos!$D$3:$AL$3,"&gt;="&amp;DATE(YEAR(Datos!AH$3),1,1),Datos!$D$3:$AL$3,"&lt;="&amp;Datos!AH$3))/(SUMIFS(Datos!$D$21:$AL$21,Datos!$D$3:$AL$3,"&gt;="&amp;DATE(YEAR(Datos!AH$3),1,1),Datos!$D$3:$AL$3,"&lt;="&amp;Datos!AH$3)))))</f>
        <v>-</v>
      </c>
      <c r="AI44" s="238" t="str">
        <f>IF(SUMPRODUCT((YEAR(Datos!$D$3:$AL$3)=YEAR(Datos!AI$3))*(Datos!$D$3:$AL$3&lt;=Datos!AI$3)*((Datos!$D$20:$AL$20)&gt;0)*((Datos!$D$21:$AL$21)=0))&gt;0,"-",IF((Datos!AI21)=0,"-",IF((SUMIFS(Datos!$D$21:$AL$21,Datos!$D$3:$AL$3,"&gt;="&amp;DATE(YEAR(Datos!AI$3),1,1),Datos!$D$3:$AL$3,"&lt;="&amp;Datos!AI$3))=0,"-",(SUMIFS(Datos!$D$20:$AL$20,Datos!$D$3:$AL$3,"&gt;="&amp;DATE(YEAR(Datos!AI$3),1,1),Datos!$D$3:$AL$3,"&lt;="&amp;Datos!AI$3))/(SUMIFS(Datos!$D$21:$AL$21,Datos!$D$3:$AL$3,"&gt;="&amp;DATE(YEAR(Datos!AI$3),1,1),Datos!$D$3:$AL$3,"&lt;="&amp;Datos!AI$3)))))</f>
        <v>-</v>
      </c>
      <c r="AJ44" s="238" t="str">
        <f>IF(SUMPRODUCT((YEAR(Datos!$D$3:$AL$3)=YEAR(Datos!AJ$3))*(Datos!$D$3:$AL$3&lt;=Datos!AJ$3)*((Datos!$D$20:$AL$20)&gt;0)*((Datos!$D$21:$AL$21)=0))&gt;0,"-",IF((Datos!AJ21)=0,"-",IF((SUMIFS(Datos!$D$21:$AL$21,Datos!$D$3:$AL$3,"&gt;="&amp;DATE(YEAR(Datos!AJ$3),1,1),Datos!$D$3:$AL$3,"&lt;="&amp;Datos!AJ$3))=0,"-",(SUMIFS(Datos!$D$20:$AL$20,Datos!$D$3:$AL$3,"&gt;="&amp;DATE(YEAR(Datos!AJ$3),1,1),Datos!$D$3:$AL$3,"&lt;="&amp;Datos!AJ$3))/(SUMIFS(Datos!$D$21:$AL$21,Datos!$D$3:$AL$3,"&gt;="&amp;DATE(YEAR(Datos!AJ$3),1,1),Datos!$D$3:$AL$3,"&lt;="&amp;Datos!AJ$3)))))</f>
        <v>-</v>
      </c>
      <c r="AK44" s="238" t="str">
        <f>IF(SUMPRODUCT((YEAR(Datos!$D$3:$AL$3)=YEAR(Datos!AK$3))*(Datos!$D$3:$AL$3&lt;=Datos!AK$3)*((Datos!$D$20:$AL$20)&gt;0)*((Datos!$D$21:$AL$21)=0))&gt;0,"-",IF((Datos!AK21)=0,"-",IF((SUMIFS(Datos!$D$21:$AL$21,Datos!$D$3:$AL$3,"&gt;="&amp;DATE(YEAR(Datos!AK$3),1,1),Datos!$D$3:$AL$3,"&lt;="&amp;Datos!AK$3))=0,"-",(SUMIFS(Datos!$D$20:$AL$20,Datos!$D$3:$AL$3,"&gt;="&amp;DATE(YEAR(Datos!AK$3),1,1),Datos!$D$3:$AL$3,"&lt;="&amp;Datos!AK$3))/(SUMIFS(Datos!$D$21:$AL$21,Datos!$D$3:$AL$3,"&gt;="&amp;DATE(YEAR(Datos!AK$3),1,1),Datos!$D$3:$AL$3,"&lt;="&amp;Datos!AK$3)))))</f>
        <v>-</v>
      </c>
      <c r="AL44" s="238" t="str">
        <f>IF(SUMPRODUCT((YEAR(Datos!$D$3:$AL$3)=YEAR(Datos!AL$3))*(Datos!$D$3:$AL$3&lt;=Datos!AL$3)*((Datos!$D$20:$AL$20)&gt;0)*((Datos!$D$21:$AL$21)=0))&gt;0,"-",IF((Datos!AL21)=0,"-",IF((SUMIFS(Datos!$D$21:$AL$21,Datos!$D$3:$AL$3,"&gt;="&amp;DATE(YEAR(Datos!AL$3),1,1),Datos!$D$3:$AL$3,"&lt;="&amp;Datos!AL$3))=0,"-",(SUMIFS(Datos!$D$20:$AL$20,Datos!$D$3:$AL$3,"&gt;="&amp;DATE(YEAR(Datos!AL$3),1,1),Datos!$D$3:$AL$3,"&lt;="&amp;Datos!AL$3))/(SUMIFS(Datos!$D$21:$AL$21,Datos!$D$3:$AL$3,"&gt;="&amp;DATE(YEAR(Datos!AL$3),1,1),Datos!$D$3:$AL$3,"&lt;="&amp;Datos!AL$3)))))</f>
        <v>-</v>
      </c>
    </row>
    <row r="45" spans="1:38" ht="27.75" customHeight="1" x14ac:dyDescent="0.3">
      <c r="A45" s="232" t="str">
        <f>KPIs!$A$19&amp;" · YTD"</f>
        <v>10b · Cumplimiento de acciones de mejora de simulacros · YTD</v>
      </c>
      <c r="B45" s="70" t="s">
        <v>143</v>
      </c>
      <c r="C45" s="239" t="str">
        <f>IF(KPIs!C19="","",KPIs!C19)</f>
        <v>Reporte</v>
      </c>
      <c r="D45" s="238" t="str">
        <f>IF(SUMPRODUCT((YEAR(Datos!$D$3:$AL$3)=YEAR(Datos!D$3))*(Datos!$D$3:$AL$3&lt;=Datos!D$3)*((Datos!$D$23:$AL$23)&gt;0)*((Datos!$D$22:$AL$22)=0))&gt;0,"-",IF((Datos!D22)=0,"-",IF((SUMIFS(Datos!$D$22:$AL$22,Datos!$D$3:$AL$3,"&gt;="&amp;DATE(YEAR(Datos!D$3),1,1),Datos!$D$3:$AL$3,"&lt;="&amp;Datos!D$3))=0,"-",(SUMIFS(Datos!$D$23:$AL$23,Datos!$D$3:$AL$3,"&gt;="&amp;DATE(YEAR(Datos!D$3),1,1),Datos!$D$3:$AL$3,"&lt;="&amp;Datos!D$3))/(SUMIFS(Datos!$D$22:$AL$22,Datos!$D$3:$AL$3,"&gt;="&amp;DATE(YEAR(Datos!D$3),1,1),Datos!$D$3:$AL$3,"&lt;="&amp;Datos!D$3)))))</f>
        <v>-</v>
      </c>
      <c r="E45" s="238">
        <f>IF(SUMPRODUCT((YEAR(Datos!$D$3:$AL$3)=YEAR(Datos!E$3))*(Datos!$D$3:$AL$3&lt;=Datos!E$3)*((Datos!$D$23:$AL$23)&gt;0)*((Datos!$D$22:$AL$22)=0))&gt;0,"-",IF((Datos!E22)=0,"-",IF((SUMIFS(Datos!$D$22:$AL$22,Datos!$D$3:$AL$3,"&gt;="&amp;DATE(YEAR(Datos!E$3),1,1),Datos!$D$3:$AL$3,"&lt;="&amp;Datos!E$3))=0,"-",(SUMIFS(Datos!$D$23:$AL$23,Datos!$D$3:$AL$3,"&gt;="&amp;DATE(YEAR(Datos!E$3),1,1),Datos!$D$3:$AL$3,"&lt;="&amp;Datos!E$3))/(SUMIFS(Datos!$D$22:$AL$22,Datos!$D$3:$AL$3,"&gt;="&amp;DATE(YEAR(Datos!E$3),1,1),Datos!$D$3:$AL$3,"&lt;="&amp;Datos!E$3)))))</f>
        <v>1</v>
      </c>
      <c r="F45" s="238" t="str">
        <f>IF(SUMPRODUCT((YEAR(Datos!$D$3:$AL$3)=YEAR(Datos!F$3))*(Datos!$D$3:$AL$3&lt;=Datos!F$3)*((Datos!$D$23:$AL$23)&gt;0)*((Datos!$D$22:$AL$22)=0))&gt;0,"-",IF((Datos!F22)=0,"-",IF((SUMIFS(Datos!$D$22:$AL$22,Datos!$D$3:$AL$3,"&gt;="&amp;DATE(YEAR(Datos!F$3),1,1),Datos!$D$3:$AL$3,"&lt;="&amp;Datos!F$3))=0,"-",(SUMIFS(Datos!$D$23:$AL$23,Datos!$D$3:$AL$3,"&gt;="&amp;DATE(YEAR(Datos!F$3),1,1),Datos!$D$3:$AL$3,"&lt;="&amp;Datos!F$3))/(SUMIFS(Datos!$D$22:$AL$22,Datos!$D$3:$AL$3,"&gt;="&amp;DATE(YEAR(Datos!F$3),1,1),Datos!$D$3:$AL$3,"&lt;="&amp;Datos!F$3)))))</f>
        <v>-</v>
      </c>
      <c r="G45" s="238" t="str">
        <f>IF(SUMPRODUCT((YEAR(Datos!$D$3:$AL$3)=YEAR(Datos!G$3))*(Datos!$D$3:$AL$3&lt;=Datos!G$3)*((Datos!$D$23:$AL$23)&gt;0)*((Datos!$D$22:$AL$22)=0))&gt;0,"-",IF((Datos!G22)=0,"-",IF((SUMIFS(Datos!$D$22:$AL$22,Datos!$D$3:$AL$3,"&gt;="&amp;DATE(YEAR(Datos!G$3),1,1),Datos!$D$3:$AL$3,"&lt;="&amp;Datos!G$3))=0,"-",(SUMIFS(Datos!$D$23:$AL$23,Datos!$D$3:$AL$3,"&gt;="&amp;DATE(YEAR(Datos!G$3),1,1),Datos!$D$3:$AL$3,"&lt;="&amp;Datos!G$3))/(SUMIFS(Datos!$D$22:$AL$22,Datos!$D$3:$AL$3,"&gt;="&amp;DATE(YEAR(Datos!G$3),1,1),Datos!$D$3:$AL$3,"&lt;="&amp;Datos!G$3)))))</f>
        <v>-</v>
      </c>
      <c r="H45" s="238" t="str">
        <f>IF(SUMPRODUCT((YEAR(Datos!$D$3:$AL$3)=YEAR(Datos!H$3))*(Datos!$D$3:$AL$3&lt;=Datos!H$3)*((Datos!$D$23:$AL$23)&gt;0)*((Datos!$D$22:$AL$22)=0))&gt;0,"-",IF((Datos!H22)=0,"-",IF((SUMIFS(Datos!$D$22:$AL$22,Datos!$D$3:$AL$3,"&gt;="&amp;DATE(YEAR(Datos!H$3),1,1),Datos!$D$3:$AL$3,"&lt;="&amp;Datos!H$3))=0,"-",(SUMIFS(Datos!$D$23:$AL$23,Datos!$D$3:$AL$3,"&gt;="&amp;DATE(YEAR(Datos!H$3),1,1),Datos!$D$3:$AL$3,"&lt;="&amp;Datos!H$3))/(SUMIFS(Datos!$D$22:$AL$22,Datos!$D$3:$AL$3,"&gt;="&amp;DATE(YEAR(Datos!H$3),1,1),Datos!$D$3:$AL$3,"&lt;="&amp;Datos!H$3)))))</f>
        <v>-</v>
      </c>
      <c r="I45" s="238" t="str">
        <f>IF(SUMPRODUCT((YEAR(Datos!$D$3:$AL$3)=YEAR(Datos!I$3))*(Datos!$D$3:$AL$3&lt;=Datos!I$3)*((Datos!$D$23:$AL$23)&gt;0)*((Datos!$D$22:$AL$22)=0))&gt;0,"-",IF((Datos!I22)=0,"-",IF((SUMIFS(Datos!$D$22:$AL$22,Datos!$D$3:$AL$3,"&gt;="&amp;DATE(YEAR(Datos!I$3),1,1),Datos!$D$3:$AL$3,"&lt;="&amp;Datos!I$3))=0,"-",(SUMIFS(Datos!$D$23:$AL$23,Datos!$D$3:$AL$3,"&gt;="&amp;DATE(YEAR(Datos!I$3),1,1),Datos!$D$3:$AL$3,"&lt;="&amp;Datos!I$3))/(SUMIFS(Datos!$D$22:$AL$22,Datos!$D$3:$AL$3,"&gt;="&amp;DATE(YEAR(Datos!I$3),1,1),Datos!$D$3:$AL$3,"&lt;="&amp;Datos!I$3)))))</f>
        <v>-</v>
      </c>
      <c r="J45" s="238" t="str">
        <f>IF(SUMPRODUCT((YEAR(Datos!$D$3:$AL$3)=YEAR(Datos!J$3))*(Datos!$D$3:$AL$3&lt;=Datos!J$3)*((Datos!$D$23:$AL$23)&gt;0)*((Datos!$D$22:$AL$22)=0))&gt;0,"-",IF((Datos!J22)=0,"-",IF((SUMIFS(Datos!$D$22:$AL$22,Datos!$D$3:$AL$3,"&gt;="&amp;DATE(YEAR(Datos!J$3),1,1),Datos!$D$3:$AL$3,"&lt;="&amp;Datos!J$3))=0,"-",(SUMIFS(Datos!$D$23:$AL$23,Datos!$D$3:$AL$3,"&gt;="&amp;DATE(YEAR(Datos!J$3),1,1),Datos!$D$3:$AL$3,"&lt;="&amp;Datos!J$3))/(SUMIFS(Datos!$D$22:$AL$22,Datos!$D$3:$AL$3,"&gt;="&amp;DATE(YEAR(Datos!J$3),1,1),Datos!$D$3:$AL$3,"&lt;="&amp;Datos!J$3)))))</f>
        <v>-</v>
      </c>
      <c r="K45" s="238" t="str">
        <f>IF(SUMPRODUCT((YEAR(Datos!$D$3:$AL$3)=YEAR(Datos!K$3))*(Datos!$D$3:$AL$3&lt;=Datos!K$3)*((Datos!$D$23:$AL$23)&gt;0)*((Datos!$D$22:$AL$22)=0))&gt;0,"-",IF((Datos!K22)=0,"-",IF((SUMIFS(Datos!$D$22:$AL$22,Datos!$D$3:$AL$3,"&gt;="&amp;DATE(YEAR(Datos!K$3),1,1),Datos!$D$3:$AL$3,"&lt;="&amp;Datos!K$3))=0,"-",(SUMIFS(Datos!$D$23:$AL$23,Datos!$D$3:$AL$3,"&gt;="&amp;DATE(YEAR(Datos!K$3),1,1),Datos!$D$3:$AL$3,"&lt;="&amp;Datos!K$3))/(SUMIFS(Datos!$D$22:$AL$22,Datos!$D$3:$AL$3,"&gt;="&amp;DATE(YEAR(Datos!K$3),1,1),Datos!$D$3:$AL$3,"&lt;="&amp;Datos!K$3)))))</f>
        <v>-</v>
      </c>
      <c r="L45" s="238" t="str">
        <f>IF(SUMPRODUCT((YEAR(Datos!$D$3:$AL$3)=YEAR(Datos!L$3))*(Datos!$D$3:$AL$3&lt;=Datos!L$3)*((Datos!$D$23:$AL$23)&gt;0)*((Datos!$D$22:$AL$22)=0))&gt;0,"-",IF((Datos!L22)=0,"-",IF((SUMIFS(Datos!$D$22:$AL$22,Datos!$D$3:$AL$3,"&gt;="&amp;DATE(YEAR(Datos!L$3),1,1),Datos!$D$3:$AL$3,"&lt;="&amp;Datos!L$3))=0,"-",(SUMIFS(Datos!$D$23:$AL$23,Datos!$D$3:$AL$3,"&gt;="&amp;DATE(YEAR(Datos!L$3),1,1),Datos!$D$3:$AL$3,"&lt;="&amp;Datos!L$3))/(SUMIFS(Datos!$D$22:$AL$22,Datos!$D$3:$AL$3,"&gt;="&amp;DATE(YEAR(Datos!L$3),1,1),Datos!$D$3:$AL$3,"&lt;="&amp;Datos!L$3)))))</f>
        <v>-</v>
      </c>
      <c r="M45" s="238" t="str">
        <f>IF(SUMPRODUCT((YEAR(Datos!$D$3:$AL$3)=YEAR(Datos!M$3))*(Datos!$D$3:$AL$3&lt;=Datos!M$3)*((Datos!$D$23:$AL$23)&gt;0)*((Datos!$D$22:$AL$22)=0))&gt;0,"-",IF((Datos!M22)=0,"-",IF((SUMIFS(Datos!$D$22:$AL$22,Datos!$D$3:$AL$3,"&gt;="&amp;DATE(YEAR(Datos!M$3),1,1),Datos!$D$3:$AL$3,"&lt;="&amp;Datos!M$3))=0,"-",(SUMIFS(Datos!$D$23:$AL$23,Datos!$D$3:$AL$3,"&gt;="&amp;DATE(YEAR(Datos!M$3),1,1),Datos!$D$3:$AL$3,"&lt;="&amp;Datos!M$3))/(SUMIFS(Datos!$D$22:$AL$22,Datos!$D$3:$AL$3,"&gt;="&amp;DATE(YEAR(Datos!M$3),1,1),Datos!$D$3:$AL$3,"&lt;="&amp;Datos!M$3)))))</f>
        <v>-</v>
      </c>
      <c r="N45" s="238" t="str">
        <f>IF(SUMPRODUCT((YEAR(Datos!$D$3:$AL$3)=YEAR(Datos!N$3))*(Datos!$D$3:$AL$3&lt;=Datos!N$3)*((Datos!$D$23:$AL$23)&gt;0)*((Datos!$D$22:$AL$22)=0))&gt;0,"-",IF((Datos!N22)=0,"-",IF((SUMIFS(Datos!$D$22:$AL$22,Datos!$D$3:$AL$3,"&gt;="&amp;DATE(YEAR(Datos!N$3),1,1),Datos!$D$3:$AL$3,"&lt;="&amp;Datos!N$3))=0,"-",(SUMIFS(Datos!$D$23:$AL$23,Datos!$D$3:$AL$3,"&gt;="&amp;DATE(YEAR(Datos!N$3),1,1),Datos!$D$3:$AL$3,"&lt;="&amp;Datos!N$3))/(SUMIFS(Datos!$D$22:$AL$22,Datos!$D$3:$AL$3,"&gt;="&amp;DATE(YEAR(Datos!N$3),1,1),Datos!$D$3:$AL$3,"&lt;="&amp;Datos!N$3)))))</f>
        <v>-</v>
      </c>
      <c r="O45" s="238" t="str">
        <f>IF(SUMPRODUCT((YEAR(Datos!$D$3:$AL$3)=YEAR(Datos!O$3))*(Datos!$D$3:$AL$3&lt;=Datos!O$3)*((Datos!$D$23:$AL$23)&gt;0)*((Datos!$D$22:$AL$22)=0))&gt;0,"-",IF((Datos!O22)=0,"-",IF((SUMIFS(Datos!$D$22:$AL$22,Datos!$D$3:$AL$3,"&gt;="&amp;DATE(YEAR(Datos!O$3),1,1),Datos!$D$3:$AL$3,"&lt;="&amp;Datos!O$3))=0,"-",(SUMIFS(Datos!$D$23:$AL$23,Datos!$D$3:$AL$3,"&gt;="&amp;DATE(YEAR(Datos!O$3),1,1),Datos!$D$3:$AL$3,"&lt;="&amp;Datos!O$3))/(SUMIFS(Datos!$D$22:$AL$22,Datos!$D$3:$AL$3,"&gt;="&amp;DATE(YEAR(Datos!O$3),1,1),Datos!$D$3:$AL$3,"&lt;="&amp;Datos!O$3)))))</f>
        <v>-</v>
      </c>
      <c r="P45" s="238" t="str">
        <f>IF(SUMPRODUCT((YEAR(Datos!$D$3:$AL$3)=YEAR(Datos!P$3))*(Datos!$D$3:$AL$3&lt;=Datos!P$3)*((Datos!$D$23:$AL$23)&gt;0)*((Datos!$D$22:$AL$22)=0))&gt;0,"-",IF((Datos!P22)=0,"-",IF((SUMIFS(Datos!$D$22:$AL$22,Datos!$D$3:$AL$3,"&gt;="&amp;DATE(YEAR(Datos!P$3),1,1),Datos!$D$3:$AL$3,"&lt;="&amp;Datos!P$3))=0,"-",(SUMIFS(Datos!$D$23:$AL$23,Datos!$D$3:$AL$3,"&gt;="&amp;DATE(YEAR(Datos!P$3),1,1),Datos!$D$3:$AL$3,"&lt;="&amp;Datos!P$3))/(SUMIFS(Datos!$D$22:$AL$22,Datos!$D$3:$AL$3,"&gt;="&amp;DATE(YEAR(Datos!P$3),1,1),Datos!$D$3:$AL$3,"&lt;="&amp;Datos!P$3)))))</f>
        <v>-</v>
      </c>
      <c r="Q45" s="238" t="str">
        <f>IF(SUMPRODUCT((YEAR(Datos!$D$3:$AL$3)=YEAR(Datos!Q$3))*(Datos!$D$3:$AL$3&lt;=Datos!Q$3)*((Datos!$D$23:$AL$23)&gt;0)*((Datos!$D$22:$AL$22)=0))&gt;0,"-",IF((Datos!Q22)=0,"-",IF((SUMIFS(Datos!$D$22:$AL$22,Datos!$D$3:$AL$3,"&gt;="&amp;DATE(YEAR(Datos!Q$3),1,1),Datos!$D$3:$AL$3,"&lt;="&amp;Datos!Q$3))=0,"-",(SUMIFS(Datos!$D$23:$AL$23,Datos!$D$3:$AL$3,"&gt;="&amp;DATE(YEAR(Datos!Q$3),1,1),Datos!$D$3:$AL$3,"&lt;="&amp;Datos!Q$3))/(SUMIFS(Datos!$D$22:$AL$22,Datos!$D$3:$AL$3,"&gt;="&amp;DATE(YEAR(Datos!Q$3),1,1),Datos!$D$3:$AL$3,"&lt;="&amp;Datos!Q$3)))))</f>
        <v>-</v>
      </c>
      <c r="R45" s="238" t="str">
        <f>IF(SUMPRODUCT((YEAR(Datos!$D$3:$AL$3)=YEAR(Datos!R$3))*(Datos!$D$3:$AL$3&lt;=Datos!R$3)*((Datos!$D$23:$AL$23)&gt;0)*((Datos!$D$22:$AL$22)=0))&gt;0,"-",IF((Datos!R22)=0,"-",IF((SUMIFS(Datos!$D$22:$AL$22,Datos!$D$3:$AL$3,"&gt;="&amp;DATE(YEAR(Datos!R$3),1,1),Datos!$D$3:$AL$3,"&lt;="&amp;Datos!R$3))=0,"-",(SUMIFS(Datos!$D$23:$AL$23,Datos!$D$3:$AL$3,"&gt;="&amp;DATE(YEAR(Datos!R$3),1,1),Datos!$D$3:$AL$3,"&lt;="&amp;Datos!R$3))/(SUMIFS(Datos!$D$22:$AL$22,Datos!$D$3:$AL$3,"&gt;="&amp;DATE(YEAR(Datos!R$3),1,1),Datos!$D$3:$AL$3,"&lt;="&amp;Datos!R$3)))))</f>
        <v>-</v>
      </c>
      <c r="S45" s="238" t="str">
        <f>IF(SUMPRODUCT((YEAR(Datos!$D$3:$AL$3)=YEAR(Datos!S$3))*(Datos!$D$3:$AL$3&lt;=Datos!S$3)*((Datos!$D$23:$AL$23)&gt;0)*((Datos!$D$22:$AL$22)=0))&gt;0,"-",IF((Datos!S22)=0,"-",IF((SUMIFS(Datos!$D$22:$AL$22,Datos!$D$3:$AL$3,"&gt;="&amp;DATE(YEAR(Datos!S$3),1,1),Datos!$D$3:$AL$3,"&lt;="&amp;Datos!S$3))=0,"-",(SUMIFS(Datos!$D$23:$AL$23,Datos!$D$3:$AL$3,"&gt;="&amp;DATE(YEAR(Datos!S$3),1,1),Datos!$D$3:$AL$3,"&lt;="&amp;Datos!S$3))/(SUMIFS(Datos!$D$22:$AL$22,Datos!$D$3:$AL$3,"&gt;="&amp;DATE(YEAR(Datos!S$3),1,1),Datos!$D$3:$AL$3,"&lt;="&amp;Datos!S$3)))))</f>
        <v>-</v>
      </c>
      <c r="T45" s="238" t="str">
        <f>IF(SUMPRODUCT((YEAR(Datos!$D$3:$AL$3)=YEAR(Datos!T$3))*(Datos!$D$3:$AL$3&lt;=Datos!T$3)*((Datos!$D$23:$AL$23)&gt;0)*((Datos!$D$22:$AL$22)=0))&gt;0,"-",IF((Datos!T22)=0,"-",IF((SUMIFS(Datos!$D$22:$AL$22,Datos!$D$3:$AL$3,"&gt;="&amp;DATE(YEAR(Datos!T$3),1,1),Datos!$D$3:$AL$3,"&lt;="&amp;Datos!T$3))=0,"-",(SUMIFS(Datos!$D$23:$AL$23,Datos!$D$3:$AL$3,"&gt;="&amp;DATE(YEAR(Datos!T$3),1,1),Datos!$D$3:$AL$3,"&lt;="&amp;Datos!T$3))/(SUMIFS(Datos!$D$22:$AL$22,Datos!$D$3:$AL$3,"&gt;="&amp;DATE(YEAR(Datos!T$3),1,1),Datos!$D$3:$AL$3,"&lt;="&amp;Datos!T$3)))))</f>
        <v>-</v>
      </c>
      <c r="U45" s="238" t="str">
        <f>IF(SUMPRODUCT((YEAR(Datos!$D$3:$AL$3)=YEAR(Datos!U$3))*(Datos!$D$3:$AL$3&lt;=Datos!U$3)*((Datos!$D$23:$AL$23)&gt;0)*((Datos!$D$22:$AL$22)=0))&gt;0,"-",IF((Datos!U22)=0,"-",IF((SUMIFS(Datos!$D$22:$AL$22,Datos!$D$3:$AL$3,"&gt;="&amp;DATE(YEAR(Datos!U$3),1,1),Datos!$D$3:$AL$3,"&lt;="&amp;Datos!U$3))=0,"-",(SUMIFS(Datos!$D$23:$AL$23,Datos!$D$3:$AL$3,"&gt;="&amp;DATE(YEAR(Datos!U$3),1,1),Datos!$D$3:$AL$3,"&lt;="&amp;Datos!U$3))/(SUMIFS(Datos!$D$22:$AL$22,Datos!$D$3:$AL$3,"&gt;="&amp;DATE(YEAR(Datos!U$3),1,1),Datos!$D$3:$AL$3,"&lt;="&amp;Datos!U$3)))))</f>
        <v>-</v>
      </c>
      <c r="V45" s="238" t="str">
        <f>IF(SUMPRODUCT((YEAR(Datos!$D$3:$AL$3)=YEAR(Datos!V$3))*(Datos!$D$3:$AL$3&lt;=Datos!V$3)*((Datos!$D$23:$AL$23)&gt;0)*((Datos!$D$22:$AL$22)=0))&gt;0,"-",IF((Datos!V22)=0,"-",IF((SUMIFS(Datos!$D$22:$AL$22,Datos!$D$3:$AL$3,"&gt;="&amp;DATE(YEAR(Datos!V$3),1,1),Datos!$D$3:$AL$3,"&lt;="&amp;Datos!V$3))=0,"-",(SUMIFS(Datos!$D$23:$AL$23,Datos!$D$3:$AL$3,"&gt;="&amp;DATE(YEAR(Datos!V$3),1,1),Datos!$D$3:$AL$3,"&lt;="&amp;Datos!V$3))/(SUMIFS(Datos!$D$22:$AL$22,Datos!$D$3:$AL$3,"&gt;="&amp;DATE(YEAR(Datos!V$3),1,1),Datos!$D$3:$AL$3,"&lt;="&amp;Datos!V$3)))))</f>
        <v>-</v>
      </c>
      <c r="W45" s="238" t="str">
        <f>IF(SUMPRODUCT((YEAR(Datos!$D$3:$AL$3)=YEAR(Datos!W$3))*(Datos!$D$3:$AL$3&lt;=Datos!W$3)*((Datos!$D$23:$AL$23)&gt;0)*((Datos!$D$22:$AL$22)=0))&gt;0,"-",IF((Datos!W22)=0,"-",IF((SUMIFS(Datos!$D$22:$AL$22,Datos!$D$3:$AL$3,"&gt;="&amp;DATE(YEAR(Datos!W$3),1,1),Datos!$D$3:$AL$3,"&lt;="&amp;Datos!W$3))=0,"-",(SUMIFS(Datos!$D$23:$AL$23,Datos!$D$3:$AL$3,"&gt;="&amp;DATE(YEAR(Datos!W$3),1,1),Datos!$D$3:$AL$3,"&lt;="&amp;Datos!W$3))/(SUMIFS(Datos!$D$22:$AL$22,Datos!$D$3:$AL$3,"&gt;="&amp;DATE(YEAR(Datos!W$3),1,1),Datos!$D$3:$AL$3,"&lt;="&amp;Datos!W$3)))))</f>
        <v>-</v>
      </c>
      <c r="X45" s="238" t="str">
        <f>IF(SUMPRODUCT((YEAR(Datos!$D$3:$AL$3)=YEAR(Datos!X$3))*(Datos!$D$3:$AL$3&lt;=Datos!X$3)*((Datos!$D$23:$AL$23)&gt;0)*((Datos!$D$22:$AL$22)=0))&gt;0,"-",IF((Datos!X22)=0,"-",IF((SUMIFS(Datos!$D$22:$AL$22,Datos!$D$3:$AL$3,"&gt;="&amp;DATE(YEAR(Datos!X$3),1,1),Datos!$D$3:$AL$3,"&lt;="&amp;Datos!X$3))=0,"-",(SUMIFS(Datos!$D$23:$AL$23,Datos!$D$3:$AL$3,"&gt;="&amp;DATE(YEAR(Datos!X$3),1,1),Datos!$D$3:$AL$3,"&lt;="&amp;Datos!X$3))/(SUMIFS(Datos!$D$22:$AL$22,Datos!$D$3:$AL$3,"&gt;="&amp;DATE(YEAR(Datos!X$3),1,1),Datos!$D$3:$AL$3,"&lt;="&amp;Datos!X$3)))))</f>
        <v>-</v>
      </c>
      <c r="Y45" s="238" t="str">
        <f>IF(SUMPRODUCT((YEAR(Datos!$D$3:$AL$3)=YEAR(Datos!Y$3))*(Datos!$D$3:$AL$3&lt;=Datos!Y$3)*((Datos!$D$23:$AL$23)&gt;0)*((Datos!$D$22:$AL$22)=0))&gt;0,"-",IF((Datos!Y22)=0,"-",IF((SUMIFS(Datos!$D$22:$AL$22,Datos!$D$3:$AL$3,"&gt;="&amp;DATE(YEAR(Datos!Y$3),1,1),Datos!$D$3:$AL$3,"&lt;="&amp;Datos!Y$3))=0,"-",(SUMIFS(Datos!$D$23:$AL$23,Datos!$D$3:$AL$3,"&gt;="&amp;DATE(YEAR(Datos!Y$3),1,1),Datos!$D$3:$AL$3,"&lt;="&amp;Datos!Y$3))/(SUMIFS(Datos!$D$22:$AL$22,Datos!$D$3:$AL$3,"&gt;="&amp;DATE(YEAR(Datos!Y$3),1,1),Datos!$D$3:$AL$3,"&lt;="&amp;Datos!Y$3)))))</f>
        <v>-</v>
      </c>
      <c r="Z45" s="238" t="str">
        <f>IF(SUMPRODUCT((YEAR(Datos!$D$3:$AL$3)=YEAR(Datos!Z$3))*(Datos!$D$3:$AL$3&lt;=Datos!Z$3)*((Datos!$D$23:$AL$23)&gt;0)*((Datos!$D$22:$AL$22)=0))&gt;0,"-",IF((Datos!Z22)=0,"-",IF((SUMIFS(Datos!$D$22:$AL$22,Datos!$D$3:$AL$3,"&gt;="&amp;DATE(YEAR(Datos!Z$3),1,1),Datos!$D$3:$AL$3,"&lt;="&amp;Datos!Z$3))=0,"-",(SUMIFS(Datos!$D$23:$AL$23,Datos!$D$3:$AL$3,"&gt;="&amp;DATE(YEAR(Datos!Z$3),1,1),Datos!$D$3:$AL$3,"&lt;="&amp;Datos!Z$3))/(SUMIFS(Datos!$D$22:$AL$22,Datos!$D$3:$AL$3,"&gt;="&amp;DATE(YEAR(Datos!Z$3),1,1),Datos!$D$3:$AL$3,"&lt;="&amp;Datos!Z$3)))))</f>
        <v>-</v>
      </c>
      <c r="AA45" s="238" t="str">
        <f>IF(SUMPRODUCT((YEAR(Datos!$D$3:$AL$3)=YEAR(Datos!AA$3))*(Datos!$D$3:$AL$3&lt;=Datos!AA$3)*((Datos!$D$23:$AL$23)&gt;0)*((Datos!$D$22:$AL$22)=0))&gt;0,"-",IF((Datos!AA22)=0,"-",IF((SUMIFS(Datos!$D$22:$AL$22,Datos!$D$3:$AL$3,"&gt;="&amp;DATE(YEAR(Datos!AA$3),1,1),Datos!$D$3:$AL$3,"&lt;="&amp;Datos!AA$3))=0,"-",(SUMIFS(Datos!$D$23:$AL$23,Datos!$D$3:$AL$3,"&gt;="&amp;DATE(YEAR(Datos!AA$3),1,1),Datos!$D$3:$AL$3,"&lt;="&amp;Datos!AA$3))/(SUMIFS(Datos!$D$22:$AL$22,Datos!$D$3:$AL$3,"&gt;="&amp;DATE(YEAR(Datos!AA$3),1,1),Datos!$D$3:$AL$3,"&lt;="&amp;Datos!AA$3)))))</f>
        <v>-</v>
      </c>
      <c r="AB45" s="238" t="str">
        <f>IF(SUMPRODUCT((YEAR(Datos!$D$3:$AL$3)=YEAR(Datos!AB$3))*(Datos!$D$3:$AL$3&lt;=Datos!AB$3)*((Datos!$D$23:$AL$23)&gt;0)*((Datos!$D$22:$AL$22)=0))&gt;0,"-",IF((Datos!AB22)=0,"-",IF((SUMIFS(Datos!$D$22:$AL$22,Datos!$D$3:$AL$3,"&gt;="&amp;DATE(YEAR(Datos!AB$3),1,1),Datos!$D$3:$AL$3,"&lt;="&amp;Datos!AB$3))=0,"-",(SUMIFS(Datos!$D$23:$AL$23,Datos!$D$3:$AL$3,"&gt;="&amp;DATE(YEAR(Datos!AB$3),1,1),Datos!$D$3:$AL$3,"&lt;="&amp;Datos!AB$3))/(SUMIFS(Datos!$D$22:$AL$22,Datos!$D$3:$AL$3,"&gt;="&amp;DATE(YEAR(Datos!AB$3),1,1),Datos!$D$3:$AL$3,"&lt;="&amp;Datos!AB$3)))))</f>
        <v>-</v>
      </c>
      <c r="AC45" s="238" t="str">
        <f>IF(SUMPRODUCT((YEAR(Datos!$D$3:$AL$3)=YEAR(Datos!AC$3))*(Datos!$D$3:$AL$3&lt;=Datos!AC$3)*((Datos!$D$23:$AL$23)&gt;0)*((Datos!$D$22:$AL$22)=0))&gt;0,"-",IF((Datos!AC22)=0,"-",IF((SUMIFS(Datos!$D$22:$AL$22,Datos!$D$3:$AL$3,"&gt;="&amp;DATE(YEAR(Datos!AC$3),1,1),Datos!$D$3:$AL$3,"&lt;="&amp;Datos!AC$3))=0,"-",(SUMIFS(Datos!$D$23:$AL$23,Datos!$D$3:$AL$3,"&gt;="&amp;DATE(YEAR(Datos!AC$3),1,1),Datos!$D$3:$AL$3,"&lt;="&amp;Datos!AC$3))/(SUMIFS(Datos!$D$22:$AL$22,Datos!$D$3:$AL$3,"&gt;="&amp;DATE(YEAR(Datos!AC$3),1,1),Datos!$D$3:$AL$3,"&lt;="&amp;Datos!AC$3)))))</f>
        <v>-</v>
      </c>
      <c r="AD45" s="238" t="str">
        <f>IF(SUMPRODUCT((YEAR(Datos!$D$3:$AL$3)=YEAR(Datos!AD$3))*(Datos!$D$3:$AL$3&lt;=Datos!AD$3)*((Datos!$D$23:$AL$23)&gt;0)*((Datos!$D$22:$AL$22)=0))&gt;0,"-",IF((Datos!AD22)=0,"-",IF((SUMIFS(Datos!$D$22:$AL$22,Datos!$D$3:$AL$3,"&gt;="&amp;DATE(YEAR(Datos!AD$3),1,1),Datos!$D$3:$AL$3,"&lt;="&amp;Datos!AD$3))=0,"-",(SUMIFS(Datos!$D$23:$AL$23,Datos!$D$3:$AL$3,"&gt;="&amp;DATE(YEAR(Datos!AD$3),1,1),Datos!$D$3:$AL$3,"&lt;="&amp;Datos!AD$3))/(SUMIFS(Datos!$D$22:$AL$22,Datos!$D$3:$AL$3,"&gt;="&amp;DATE(YEAR(Datos!AD$3),1,1),Datos!$D$3:$AL$3,"&lt;="&amp;Datos!AD$3)))))</f>
        <v>-</v>
      </c>
      <c r="AE45" s="238" t="str">
        <f>IF(SUMPRODUCT((YEAR(Datos!$D$3:$AL$3)=YEAR(Datos!AE$3))*(Datos!$D$3:$AL$3&lt;=Datos!AE$3)*((Datos!$D$23:$AL$23)&gt;0)*((Datos!$D$22:$AL$22)=0))&gt;0,"-",IF((Datos!AE22)=0,"-",IF((SUMIFS(Datos!$D$22:$AL$22,Datos!$D$3:$AL$3,"&gt;="&amp;DATE(YEAR(Datos!AE$3),1,1),Datos!$D$3:$AL$3,"&lt;="&amp;Datos!AE$3))=0,"-",(SUMIFS(Datos!$D$23:$AL$23,Datos!$D$3:$AL$3,"&gt;="&amp;DATE(YEAR(Datos!AE$3),1,1),Datos!$D$3:$AL$3,"&lt;="&amp;Datos!AE$3))/(SUMIFS(Datos!$D$22:$AL$22,Datos!$D$3:$AL$3,"&gt;="&amp;DATE(YEAR(Datos!AE$3),1,1),Datos!$D$3:$AL$3,"&lt;="&amp;Datos!AE$3)))))</f>
        <v>-</v>
      </c>
      <c r="AF45" s="238" t="str">
        <f>IF(SUMPRODUCT((YEAR(Datos!$D$3:$AL$3)=YEAR(Datos!AF$3))*(Datos!$D$3:$AL$3&lt;=Datos!AF$3)*((Datos!$D$23:$AL$23)&gt;0)*((Datos!$D$22:$AL$22)=0))&gt;0,"-",IF((Datos!AF22)=0,"-",IF((SUMIFS(Datos!$D$22:$AL$22,Datos!$D$3:$AL$3,"&gt;="&amp;DATE(YEAR(Datos!AF$3),1,1),Datos!$D$3:$AL$3,"&lt;="&amp;Datos!AF$3))=0,"-",(SUMIFS(Datos!$D$23:$AL$23,Datos!$D$3:$AL$3,"&gt;="&amp;DATE(YEAR(Datos!AF$3),1,1),Datos!$D$3:$AL$3,"&lt;="&amp;Datos!AF$3))/(SUMIFS(Datos!$D$22:$AL$22,Datos!$D$3:$AL$3,"&gt;="&amp;DATE(YEAR(Datos!AF$3),1,1),Datos!$D$3:$AL$3,"&lt;="&amp;Datos!AF$3)))))</f>
        <v>-</v>
      </c>
      <c r="AG45" s="238" t="str">
        <f>IF(SUMPRODUCT((YEAR(Datos!$D$3:$AL$3)=YEAR(Datos!AG$3))*(Datos!$D$3:$AL$3&lt;=Datos!AG$3)*((Datos!$D$23:$AL$23)&gt;0)*((Datos!$D$22:$AL$22)=0))&gt;0,"-",IF((Datos!AG22)=0,"-",IF((SUMIFS(Datos!$D$22:$AL$22,Datos!$D$3:$AL$3,"&gt;="&amp;DATE(YEAR(Datos!AG$3),1,1),Datos!$D$3:$AL$3,"&lt;="&amp;Datos!AG$3))=0,"-",(SUMIFS(Datos!$D$23:$AL$23,Datos!$D$3:$AL$3,"&gt;="&amp;DATE(YEAR(Datos!AG$3),1,1),Datos!$D$3:$AL$3,"&lt;="&amp;Datos!AG$3))/(SUMIFS(Datos!$D$22:$AL$22,Datos!$D$3:$AL$3,"&gt;="&amp;DATE(YEAR(Datos!AG$3),1,1),Datos!$D$3:$AL$3,"&lt;="&amp;Datos!AG$3)))))</f>
        <v>-</v>
      </c>
      <c r="AH45" s="238" t="str">
        <f>IF(SUMPRODUCT((YEAR(Datos!$D$3:$AL$3)=YEAR(Datos!AH$3))*(Datos!$D$3:$AL$3&lt;=Datos!AH$3)*((Datos!$D$23:$AL$23)&gt;0)*((Datos!$D$22:$AL$22)=0))&gt;0,"-",IF((Datos!AH22)=0,"-",IF((SUMIFS(Datos!$D$22:$AL$22,Datos!$D$3:$AL$3,"&gt;="&amp;DATE(YEAR(Datos!AH$3),1,1),Datos!$D$3:$AL$3,"&lt;="&amp;Datos!AH$3))=0,"-",(SUMIFS(Datos!$D$23:$AL$23,Datos!$D$3:$AL$3,"&gt;="&amp;DATE(YEAR(Datos!AH$3),1,1),Datos!$D$3:$AL$3,"&lt;="&amp;Datos!AH$3))/(SUMIFS(Datos!$D$22:$AL$22,Datos!$D$3:$AL$3,"&gt;="&amp;DATE(YEAR(Datos!AH$3),1,1),Datos!$D$3:$AL$3,"&lt;="&amp;Datos!AH$3)))))</f>
        <v>-</v>
      </c>
      <c r="AI45" s="238" t="str">
        <f>IF(SUMPRODUCT((YEAR(Datos!$D$3:$AL$3)=YEAR(Datos!AI$3))*(Datos!$D$3:$AL$3&lt;=Datos!AI$3)*((Datos!$D$23:$AL$23)&gt;0)*((Datos!$D$22:$AL$22)=0))&gt;0,"-",IF((Datos!AI22)=0,"-",IF((SUMIFS(Datos!$D$22:$AL$22,Datos!$D$3:$AL$3,"&gt;="&amp;DATE(YEAR(Datos!AI$3),1,1),Datos!$D$3:$AL$3,"&lt;="&amp;Datos!AI$3))=0,"-",(SUMIFS(Datos!$D$23:$AL$23,Datos!$D$3:$AL$3,"&gt;="&amp;DATE(YEAR(Datos!AI$3),1,1),Datos!$D$3:$AL$3,"&lt;="&amp;Datos!AI$3))/(SUMIFS(Datos!$D$22:$AL$22,Datos!$D$3:$AL$3,"&gt;="&amp;DATE(YEAR(Datos!AI$3),1,1),Datos!$D$3:$AL$3,"&lt;="&amp;Datos!AI$3)))))</f>
        <v>-</v>
      </c>
      <c r="AJ45" s="238" t="str">
        <f>IF(SUMPRODUCT((YEAR(Datos!$D$3:$AL$3)=YEAR(Datos!AJ$3))*(Datos!$D$3:$AL$3&lt;=Datos!AJ$3)*((Datos!$D$23:$AL$23)&gt;0)*((Datos!$D$22:$AL$22)=0))&gt;0,"-",IF((Datos!AJ22)=0,"-",IF((SUMIFS(Datos!$D$22:$AL$22,Datos!$D$3:$AL$3,"&gt;="&amp;DATE(YEAR(Datos!AJ$3),1,1),Datos!$D$3:$AL$3,"&lt;="&amp;Datos!AJ$3))=0,"-",(SUMIFS(Datos!$D$23:$AL$23,Datos!$D$3:$AL$3,"&gt;="&amp;DATE(YEAR(Datos!AJ$3),1,1),Datos!$D$3:$AL$3,"&lt;="&amp;Datos!AJ$3))/(SUMIFS(Datos!$D$22:$AL$22,Datos!$D$3:$AL$3,"&gt;="&amp;DATE(YEAR(Datos!AJ$3),1,1),Datos!$D$3:$AL$3,"&lt;="&amp;Datos!AJ$3)))))</f>
        <v>-</v>
      </c>
      <c r="AK45" s="238" t="str">
        <f>IF(SUMPRODUCT((YEAR(Datos!$D$3:$AL$3)=YEAR(Datos!AK$3))*(Datos!$D$3:$AL$3&lt;=Datos!AK$3)*((Datos!$D$23:$AL$23)&gt;0)*((Datos!$D$22:$AL$22)=0))&gt;0,"-",IF((Datos!AK22)=0,"-",IF((SUMIFS(Datos!$D$22:$AL$22,Datos!$D$3:$AL$3,"&gt;="&amp;DATE(YEAR(Datos!AK$3),1,1),Datos!$D$3:$AL$3,"&lt;="&amp;Datos!AK$3))=0,"-",(SUMIFS(Datos!$D$23:$AL$23,Datos!$D$3:$AL$3,"&gt;="&amp;DATE(YEAR(Datos!AK$3),1,1),Datos!$D$3:$AL$3,"&lt;="&amp;Datos!AK$3))/(SUMIFS(Datos!$D$22:$AL$22,Datos!$D$3:$AL$3,"&gt;="&amp;DATE(YEAR(Datos!AK$3),1,1),Datos!$D$3:$AL$3,"&lt;="&amp;Datos!AK$3)))))</f>
        <v>-</v>
      </c>
      <c r="AL45" s="238" t="str">
        <f>IF(SUMPRODUCT((YEAR(Datos!$D$3:$AL$3)=YEAR(Datos!AL$3))*(Datos!$D$3:$AL$3&lt;=Datos!AL$3)*((Datos!$D$23:$AL$23)&gt;0)*((Datos!$D$22:$AL$22)=0))&gt;0,"-",IF((Datos!AL22)=0,"-",IF((SUMIFS(Datos!$D$22:$AL$22,Datos!$D$3:$AL$3,"&gt;="&amp;DATE(YEAR(Datos!AL$3),1,1),Datos!$D$3:$AL$3,"&lt;="&amp;Datos!AL$3))=0,"-",(SUMIFS(Datos!$D$23:$AL$23,Datos!$D$3:$AL$3,"&gt;="&amp;DATE(YEAR(Datos!AL$3),1,1),Datos!$D$3:$AL$3,"&lt;="&amp;Datos!AL$3))/(SUMIFS(Datos!$D$22:$AL$22,Datos!$D$3:$AL$3,"&gt;="&amp;DATE(YEAR(Datos!AL$3),1,1),Datos!$D$3:$AL$3,"&lt;="&amp;Datos!AL$3)))))</f>
        <v>-</v>
      </c>
    </row>
    <row r="46" spans="1:38" ht="27.75" customHeight="1" x14ac:dyDescent="0.3">
      <c r="A46" s="232" t="str">
        <f>KPIs!$A$21&amp;" · YTD"</f>
        <v>11 · Cumplimiento de caminatas gerenciales · YTD</v>
      </c>
      <c r="B46" s="70" t="s">
        <v>143</v>
      </c>
      <c r="C46" s="239">
        <f>IF(KPIs!C21="","",KPIs!C21)</f>
        <v>1</v>
      </c>
      <c r="D46" s="238" t="str">
        <f>IF(SUMPRODUCT((YEAR(Datos!$D$3:$AL$3)=YEAR(Datos!D$3))*(Datos!$D$3:$AL$3&lt;=Datos!D$3)*((Datos!$D$24:$AL$24)&gt;0)*((Datos!$D$25:$AL$25)=0))&gt;0,"-",IF((Datos!D25)=0,"-",IF((SUMIFS(Datos!$D$25:$AL$25,Datos!$D$3:$AL$3,"&gt;="&amp;DATE(YEAR(Datos!D$3),1,1),Datos!$D$3:$AL$3,"&lt;="&amp;Datos!D$3))=0,"-",(SUMIFS(Datos!$D$24:$AL$24,Datos!$D$3:$AL$3,"&gt;="&amp;DATE(YEAR(Datos!D$3),1,1),Datos!$D$3:$AL$3,"&lt;="&amp;Datos!D$3))/(SUMIFS(Datos!$D$25:$AL$25,Datos!$D$3:$AL$3,"&gt;="&amp;DATE(YEAR(Datos!D$3),1,1),Datos!$D$3:$AL$3,"&lt;="&amp;Datos!D$3)))))</f>
        <v>-</v>
      </c>
      <c r="E46" s="238">
        <f>IF(SUMPRODUCT((YEAR(Datos!$D$3:$AL$3)=YEAR(Datos!E$3))*(Datos!$D$3:$AL$3&lt;=Datos!E$3)*((Datos!$D$24:$AL$24)&gt;0)*((Datos!$D$25:$AL$25)=0))&gt;0,"-",IF((Datos!E25)=0,"-",IF((SUMIFS(Datos!$D$25:$AL$25,Datos!$D$3:$AL$3,"&gt;="&amp;DATE(YEAR(Datos!E$3),1,1),Datos!$D$3:$AL$3,"&lt;="&amp;Datos!E$3))=0,"-",(SUMIFS(Datos!$D$24:$AL$24,Datos!$D$3:$AL$3,"&gt;="&amp;DATE(YEAR(Datos!E$3),1,1),Datos!$D$3:$AL$3,"&lt;="&amp;Datos!E$3))/(SUMIFS(Datos!$D$25:$AL$25,Datos!$D$3:$AL$3,"&gt;="&amp;DATE(YEAR(Datos!E$3),1,1),Datos!$D$3:$AL$3,"&lt;="&amp;Datos!E$3)))))</f>
        <v>1</v>
      </c>
      <c r="F46" s="238" t="str">
        <f>IF(SUMPRODUCT((YEAR(Datos!$D$3:$AL$3)=YEAR(Datos!F$3))*(Datos!$D$3:$AL$3&lt;=Datos!F$3)*((Datos!$D$24:$AL$24)&gt;0)*((Datos!$D$25:$AL$25)=0))&gt;0,"-",IF((Datos!F25)=0,"-",IF((SUMIFS(Datos!$D$25:$AL$25,Datos!$D$3:$AL$3,"&gt;="&amp;DATE(YEAR(Datos!F$3),1,1),Datos!$D$3:$AL$3,"&lt;="&amp;Datos!F$3))=0,"-",(SUMIFS(Datos!$D$24:$AL$24,Datos!$D$3:$AL$3,"&gt;="&amp;DATE(YEAR(Datos!F$3),1,1),Datos!$D$3:$AL$3,"&lt;="&amp;Datos!F$3))/(SUMIFS(Datos!$D$25:$AL$25,Datos!$D$3:$AL$3,"&gt;="&amp;DATE(YEAR(Datos!F$3),1,1),Datos!$D$3:$AL$3,"&lt;="&amp;Datos!F$3)))))</f>
        <v>-</v>
      </c>
      <c r="G46" s="238" t="str">
        <f>IF(SUMPRODUCT((YEAR(Datos!$D$3:$AL$3)=YEAR(Datos!G$3))*(Datos!$D$3:$AL$3&lt;=Datos!G$3)*((Datos!$D$24:$AL$24)&gt;0)*((Datos!$D$25:$AL$25)=0))&gt;0,"-",IF((Datos!G25)=0,"-",IF((SUMIFS(Datos!$D$25:$AL$25,Datos!$D$3:$AL$3,"&gt;="&amp;DATE(YEAR(Datos!G$3),1,1),Datos!$D$3:$AL$3,"&lt;="&amp;Datos!G$3))=0,"-",(SUMIFS(Datos!$D$24:$AL$24,Datos!$D$3:$AL$3,"&gt;="&amp;DATE(YEAR(Datos!G$3),1,1),Datos!$D$3:$AL$3,"&lt;="&amp;Datos!G$3))/(SUMIFS(Datos!$D$25:$AL$25,Datos!$D$3:$AL$3,"&gt;="&amp;DATE(YEAR(Datos!G$3),1,1),Datos!$D$3:$AL$3,"&lt;="&amp;Datos!G$3)))))</f>
        <v>-</v>
      </c>
      <c r="H46" s="238" t="str">
        <f>IF(SUMPRODUCT((YEAR(Datos!$D$3:$AL$3)=YEAR(Datos!H$3))*(Datos!$D$3:$AL$3&lt;=Datos!H$3)*((Datos!$D$24:$AL$24)&gt;0)*((Datos!$D$25:$AL$25)=0))&gt;0,"-",IF((Datos!H25)=0,"-",IF((SUMIFS(Datos!$D$25:$AL$25,Datos!$D$3:$AL$3,"&gt;="&amp;DATE(YEAR(Datos!H$3),1,1),Datos!$D$3:$AL$3,"&lt;="&amp;Datos!H$3))=0,"-",(SUMIFS(Datos!$D$24:$AL$24,Datos!$D$3:$AL$3,"&gt;="&amp;DATE(YEAR(Datos!H$3),1,1),Datos!$D$3:$AL$3,"&lt;="&amp;Datos!H$3))/(SUMIFS(Datos!$D$25:$AL$25,Datos!$D$3:$AL$3,"&gt;="&amp;DATE(YEAR(Datos!H$3),1,1),Datos!$D$3:$AL$3,"&lt;="&amp;Datos!H$3)))))</f>
        <v>-</v>
      </c>
      <c r="I46" s="238" t="str">
        <f>IF(SUMPRODUCT((YEAR(Datos!$D$3:$AL$3)=YEAR(Datos!I$3))*(Datos!$D$3:$AL$3&lt;=Datos!I$3)*((Datos!$D$24:$AL$24)&gt;0)*((Datos!$D$25:$AL$25)=0))&gt;0,"-",IF((Datos!I25)=0,"-",IF((SUMIFS(Datos!$D$25:$AL$25,Datos!$D$3:$AL$3,"&gt;="&amp;DATE(YEAR(Datos!I$3),1,1),Datos!$D$3:$AL$3,"&lt;="&amp;Datos!I$3))=0,"-",(SUMIFS(Datos!$D$24:$AL$24,Datos!$D$3:$AL$3,"&gt;="&amp;DATE(YEAR(Datos!I$3),1,1),Datos!$D$3:$AL$3,"&lt;="&amp;Datos!I$3))/(SUMIFS(Datos!$D$25:$AL$25,Datos!$D$3:$AL$3,"&gt;="&amp;DATE(YEAR(Datos!I$3),1,1),Datos!$D$3:$AL$3,"&lt;="&amp;Datos!I$3)))))</f>
        <v>-</v>
      </c>
      <c r="J46" s="238" t="str">
        <f>IF(SUMPRODUCT((YEAR(Datos!$D$3:$AL$3)=YEAR(Datos!J$3))*(Datos!$D$3:$AL$3&lt;=Datos!J$3)*((Datos!$D$24:$AL$24)&gt;0)*((Datos!$D$25:$AL$25)=0))&gt;0,"-",IF((Datos!J25)=0,"-",IF((SUMIFS(Datos!$D$25:$AL$25,Datos!$D$3:$AL$3,"&gt;="&amp;DATE(YEAR(Datos!J$3),1,1),Datos!$D$3:$AL$3,"&lt;="&amp;Datos!J$3))=0,"-",(SUMIFS(Datos!$D$24:$AL$24,Datos!$D$3:$AL$3,"&gt;="&amp;DATE(YEAR(Datos!J$3),1,1),Datos!$D$3:$AL$3,"&lt;="&amp;Datos!J$3))/(SUMIFS(Datos!$D$25:$AL$25,Datos!$D$3:$AL$3,"&gt;="&amp;DATE(YEAR(Datos!J$3),1,1),Datos!$D$3:$AL$3,"&lt;="&amp;Datos!J$3)))))</f>
        <v>-</v>
      </c>
      <c r="K46" s="238" t="str">
        <f>IF(SUMPRODUCT((YEAR(Datos!$D$3:$AL$3)=YEAR(Datos!K$3))*(Datos!$D$3:$AL$3&lt;=Datos!K$3)*((Datos!$D$24:$AL$24)&gt;0)*((Datos!$D$25:$AL$25)=0))&gt;0,"-",IF((Datos!K25)=0,"-",IF((SUMIFS(Datos!$D$25:$AL$25,Datos!$D$3:$AL$3,"&gt;="&amp;DATE(YEAR(Datos!K$3),1,1),Datos!$D$3:$AL$3,"&lt;="&amp;Datos!K$3))=0,"-",(SUMIFS(Datos!$D$24:$AL$24,Datos!$D$3:$AL$3,"&gt;="&amp;DATE(YEAR(Datos!K$3),1,1),Datos!$D$3:$AL$3,"&lt;="&amp;Datos!K$3))/(SUMIFS(Datos!$D$25:$AL$25,Datos!$D$3:$AL$3,"&gt;="&amp;DATE(YEAR(Datos!K$3),1,1),Datos!$D$3:$AL$3,"&lt;="&amp;Datos!K$3)))))</f>
        <v>-</v>
      </c>
      <c r="L46" s="238" t="str">
        <f>IF(SUMPRODUCT((YEAR(Datos!$D$3:$AL$3)=YEAR(Datos!L$3))*(Datos!$D$3:$AL$3&lt;=Datos!L$3)*((Datos!$D$24:$AL$24)&gt;0)*((Datos!$D$25:$AL$25)=0))&gt;0,"-",IF((Datos!L25)=0,"-",IF((SUMIFS(Datos!$D$25:$AL$25,Datos!$D$3:$AL$3,"&gt;="&amp;DATE(YEAR(Datos!L$3),1,1),Datos!$D$3:$AL$3,"&lt;="&amp;Datos!L$3))=0,"-",(SUMIFS(Datos!$D$24:$AL$24,Datos!$D$3:$AL$3,"&gt;="&amp;DATE(YEAR(Datos!L$3),1,1),Datos!$D$3:$AL$3,"&lt;="&amp;Datos!L$3))/(SUMIFS(Datos!$D$25:$AL$25,Datos!$D$3:$AL$3,"&gt;="&amp;DATE(YEAR(Datos!L$3),1,1),Datos!$D$3:$AL$3,"&lt;="&amp;Datos!L$3)))))</f>
        <v>-</v>
      </c>
      <c r="M46" s="238" t="str">
        <f>IF(SUMPRODUCT((YEAR(Datos!$D$3:$AL$3)=YEAR(Datos!M$3))*(Datos!$D$3:$AL$3&lt;=Datos!M$3)*((Datos!$D$24:$AL$24)&gt;0)*((Datos!$D$25:$AL$25)=0))&gt;0,"-",IF((Datos!M25)=0,"-",IF((SUMIFS(Datos!$D$25:$AL$25,Datos!$D$3:$AL$3,"&gt;="&amp;DATE(YEAR(Datos!M$3),1,1),Datos!$D$3:$AL$3,"&lt;="&amp;Datos!M$3))=0,"-",(SUMIFS(Datos!$D$24:$AL$24,Datos!$D$3:$AL$3,"&gt;="&amp;DATE(YEAR(Datos!M$3),1,1),Datos!$D$3:$AL$3,"&lt;="&amp;Datos!M$3))/(SUMIFS(Datos!$D$25:$AL$25,Datos!$D$3:$AL$3,"&gt;="&amp;DATE(YEAR(Datos!M$3),1,1),Datos!$D$3:$AL$3,"&lt;="&amp;Datos!M$3)))))</f>
        <v>-</v>
      </c>
      <c r="N46" s="238" t="str">
        <f>IF(SUMPRODUCT((YEAR(Datos!$D$3:$AL$3)=YEAR(Datos!N$3))*(Datos!$D$3:$AL$3&lt;=Datos!N$3)*((Datos!$D$24:$AL$24)&gt;0)*((Datos!$D$25:$AL$25)=0))&gt;0,"-",IF((Datos!N25)=0,"-",IF((SUMIFS(Datos!$D$25:$AL$25,Datos!$D$3:$AL$3,"&gt;="&amp;DATE(YEAR(Datos!N$3),1,1),Datos!$D$3:$AL$3,"&lt;="&amp;Datos!N$3))=0,"-",(SUMIFS(Datos!$D$24:$AL$24,Datos!$D$3:$AL$3,"&gt;="&amp;DATE(YEAR(Datos!N$3),1,1),Datos!$D$3:$AL$3,"&lt;="&amp;Datos!N$3))/(SUMIFS(Datos!$D$25:$AL$25,Datos!$D$3:$AL$3,"&gt;="&amp;DATE(YEAR(Datos!N$3),1,1),Datos!$D$3:$AL$3,"&lt;="&amp;Datos!N$3)))))</f>
        <v>-</v>
      </c>
      <c r="O46" s="238" t="str">
        <f>IF(SUMPRODUCT((YEAR(Datos!$D$3:$AL$3)=YEAR(Datos!O$3))*(Datos!$D$3:$AL$3&lt;=Datos!O$3)*((Datos!$D$24:$AL$24)&gt;0)*((Datos!$D$25:$AL$25)=0))&gt;0,"-",IF((Datos!O25)=0,"-",IF((SUMIFS(Datos!$D$25:$AL$25,Datos!$D$3:$AL$3,"&gt;="&amp;DATE(YEAR(Datos!O$3),1,1),Datos!$D$3:$AL$3,"&lt;="&amp;Datos!O$3))=0,"-",(SUMIFS(Datos!$D$24:$AL$24,Datos!$D$3:$AL$3,"&gt;="&amp;DATE(YEAR(Datos!O$3),1,1),Datos!$D$3:$AL$3,"&lt;="&amp;Datos!O$3))/(SUMIFS(Datos!$D$25:$AL$25,Datos!$D$3:$AL$3,"&gt;="&amp;DATE(YEAR(Datos!O$3),1,1),Datos!$D$3:$AL$3,"&lt;="&amp;Datos!O$3)))))</f>
        <v>-</v>
      </c>
      <c r="P46" s="238" t="str">
        <f>IF(SUMPRODUCT((YEAR(Datos!$D$3:$AL$3)=YEAR(Datos!P$3))*(Datos!$D$3:$AL$3&lt;=Datos!P$3)*((Datos!$D$24:$AL$24)&gt;0)*((Datos!$D$25:$AL$25)=0))&gt;0,"-",IF((Datos!P25)=0,"-",IF((SUMIFS(Datos!$D$25:$AL$25,Datos!$D$3:$AL$3,"&gt;="&amp;DATE(YEAR(Datos!P$3),1,1),Datos!$D$3:$AL$3,"&lt;="&amp;Datos!P$3))=0,"-",(SUMIFS(Datos!$D$24:$AL$24,Datos!$D$3:$AL$3,"&gt;="&amp;DATE(YEAR(Datos!P$3),1,1),Datos!$D$3:$AL$3,"&lt;="&amp;Datos!P$3))/(SUMIFS(Datos!$D$25:$AL$25,Datos!$D$3:$AL$3,"&gt;="&amp;DATE(YEAR(Datos!P$3),1,1),Datos!$D$3:$AL$3,"&lt;="&amp;Datos!P$3)))))</f>
        <v>-</v>
      </c>
      <c r="Q46" s="238" t="str">
        <f>IF(SUMPRODUCT((YEAR(Datos!$D$3:$AL$3)=YEAR(Datos!Q$3))*(Datos!$D$3:$AL$3&lt;=Datos!Q$3)*((Datos!$D$24:$AL$24)&gt;0)*((Datos!$D$25:$AL$25)=0))&gt;0,"-",IF((Datos!Q25)=0,"-",IF((SUMIFS(Datos!$D$25:$AL$25,Datos!$D$3:$AL$3,"&gt;="&amp;DATE(YEAR(Datos!Q$3),1,1),Datos!$D$3:$AL$3,"&lt;="&amp;Datos!Q$3))=0,"-",(SUMIFS(Datos!$D$24:$AL$24,Datos!$D$3:$AL$3,"&gt;="&amp;DATE(YEAR(Datos!Q$3),1,1),Datos!$D$3:$AL$3,"&lt;="&amp;Datos!Q$3))/(SUMIFS(Datos!$D$25:$AL$25,Datos!$D$3:$AL$3,"&gt;="&amp;DATE(YEAR(Datos!Q$3),1,1),Datos!$D$3:$AL$3,"&lt;="&amp;Datos!Q$3)))))</f>
        <v>-</v>
      </c>
      <c r="R46" s="238" t="str">
        <f>IF(SUMPRODUCT((YEAR(Datos!$D$3:$AL$3)=YEAR(Datos!R$3))*(Datos!$D$3:$AL$3&lt;=Datos!R$3)*((Datos!$D$24:$AL$24)&gt;0)*((Datos!$D$25:$AL$25)=0))&gt;0,"-",IF((Datos!R25)=0,"-",IF((SUMIFS(Datos!$D$25:$AL$25,Datos!$D$3:$AL$3,"&gt;="&amp;DATE(YEAR(Datos!R$3),1,1),Datos!$D$3:$AL$3,"&lt;="&amp;Datos!R$3))=0,"-",(SUMIFS(Datos!$D$24:$AL$24,Datos!$D$3:$AL$3,"&gt;="&amp;DATE(YEAR(Datos!R$3),1,1),Datos!$D$3:$AL$3,"&lt;="&amp;Datos!R$3))/(SUMIFS(Datos!$D$25:$AL$25,Datos!$D$3:$AL$3,"&gt;="&amp;DATE(YEAR(Datos!R$3),1,1),Datos!$D$3:$AL$3,"&lt;="&amp;Datos!R$3)))))</f>
        <v>-</v>
      </c>
      <c r="S46" s="238" t="str">
        <f>IF(SUMPRODUCT((YEAR(Datos!$D$3:$AL$3)=YEAR(Datos!S$3))*(Datos!$D$3:$AL$3&lt;=Datos!S$3)*((Datos!$D$24:$AL$24)&gt;0)*((Datos!$D$25:$AL$25)=0))&gt;0,"-",IF((Datos!S25)=0,"-",IF((SUMIFS(Datos!$D$25:$AL$25,Datos!$D$3:$AL$3,"&gt;="&amp;DATE(YEAR(Datos!S$3),1,1),Datos!$D$3:$AL$3,"&lt;="&amp;Datos!S$3))=0,"-",(SUMIFS(Datos!$D$24:$AL$24,Datos!$D$3:$AL$3,"&gt;="&amp;DATE(YEAR(Datos!S$3),1,1),Datos!$D$3:$AL$3,"&lt;="&amp;Datos!S$3))/(SUMIFS(Datos!$D$25:$AL$25,Datos!$D$3:$AL$3,"&gt;="&amp;DATE(YEAR(Datos!S$3),1,1),Datos!$D$3:$AL$3,"&lt;="&amp;Datos!S$3)))))</f>
        <v>-</v>
      </c>
      <c r="T46" s="238" t="str">
        <f>IF(SUMPRODUCT((YEAR(Datos!$D$3:$AL$3)=YEAR(Datos!T$3))*(Datos!$D$3:$AL$3&lt;=Datos!T$3)*((Datos!$D$24:$AL$24)&gt;0)*((Datos!$D$25:$AL$25)=0))&gt;0,"-",IF((Datos!T25)=0,"-",IF((SUMIFS(Datos!$D$25:$AL$25,Datos!$D$3:$AL$3,"&gt;="&amp;DATE(YEAR(Datos!T$3),1,1),Datos!$D$3:$AL$3,"&lt;="&amp;Datos!T$3))=0,"-",(SUMIFS(Datos!$D$24:$AL$24,Datos!$D$3:$AL$3,"&gt;="&amp;DATE(YEAR(Datos!T$3),1,1),Datos!$D$3:$AL$3,"&lt;="&amp;Datos!T$3))/(SUMIFS(Datos!$D$25:$AL$25,Datos!$D$3:$AL$3,"&gt;="&amp;DATE(YEAR(Datos!T$3),1,1),Datos!$D$3:$AL$3,"&lt;="&amp;Datos!T$3)))))</f>
        <v>-</v>
      </c>
      <c r="U46" s="238" t="str">
        <f>IF(SUMPRODUCT((YEAR(Datos!$D$3:$AL$3)=YEAR(Datos!U$3))*(Datos!$D$3:$AL$3&lt;=Datos!U$3)*((Datos!$D$24:$AL$24)&gt;0)*((Datos!$D$25:$AL$25)=0))&gt;0,"-",IF((Datos!U25)=0,"-",IF((SUMIFS(Datos!$D$25:$AL$25,Datos!$D$3:$AL$3,"&gt;="&amp;DATE(YEAR(Datos!U$3),1,1),Datos!$D$3:$AL$3,"&lt;="&amp;Datos!U$3))=0,"-",(SUMIFS(Datos!$D$24:$AL$24,Datos!$D$3:$AL$3,"&gt;="&amp;DATE(YEAR(Datos!U$3),1,1),Datos!$D$3:$AL$3,"&lt;="&amp;Datos!U$3))/(SUMIFS(Datos!$D$25:$AL$25,Datos!$D$3:$AL$3,"&gt;="&amp;DATE(YEAR(Datos!U$3),1,1),Datos!$D$3:$AL$3,"&lt;="&amp;Datos!U$3)))))</f>
        <v>-</v>
      </c>
      <c r="V46" s="238" t="str">
        <f>IF(SUMPRODUCT((YEAR(Datos!$D$3:$AL$3)=YEAR(Datos!V$3))*(Datos!$D$3:$AL$3&lt;=Datos!V$3)*((Datos!$D$24:$AL$24)&gt;0)*((Datos!$D$25:$AL$25)=0))&gt;0,"-",IF((Datos!V25)=0,"-",IF((SUMIFS(Datos!$D$25:$AL$25,Datos!$D$3:$AL$3,"&gt;="&amp;DATE(YEAR(Datos!V$3),1,1),Datos!$D$3:$AL$3,"&lt;="&amp;Datos!V$3))=0,"-",(SUMIFS(Datos!$D$24:$AL$24,Datos!$D$3:$AL$3,"&gt;="&amp;DATE(YEAR(Datos!V$3),1,1),Datos!$D$3:$AL$3,"&lt;="&amp;Datos!V$3))/(SUMIFS(Datos!$D$25:$AL$25,Datos!$D$3:$AL$3,"&gt;="&amp;DATE(YEAR(Datos!V$3),1,1),Datos!$D$3:$AL$3,"&lt;="&amp;Datos!V$3)))))</f>
        <v>-</v>
      </c>
      <c r="W46" s="238" t="str">
        <f>IF(SUMPRODUCT((YEAR(Datos!$D$3:$AL$3)=YEAR(Datos!W$3))*(Datos!$D$3:$AL$3&lt;=Datos!W$3)*((Datos!$D$24:$AL$24)&gt;0)*((Datos!$D$25:$AL$25)=0))&gt;0,"-",IF((Datos!W25)=0,"-",IF((SUMIFS(Datos!$D$25:$AL$25,Datos!$D$3:$AL$3,"&gt;="&amp;DATE(YEAR(Datos!W$3),1,1),Datos!$D$3:$AL$3,"&lt;="&amp;Datos!W$3))=0,"-",(SUMIFS(Datos!$D$24:$AL$24,Datos!$D$3:$AL$3,"&gt;="&amp;DATE(YEAR(Datos!W$3),1,1),Datos!$D$3:$AL$3,"&lt;="&amp;Datos!W$3))/(SUMIFS(Datos!$D$25:$AL$25,Datos!$D$3:$AL$3,"&gt;="&amp;DATE(YEAR(Datos!W$3),1,1),Datos!$D$3:$AL$3,"&lt;="&amp;Datos!W$3)))))</f>
        <v>-</v>
      </c>
      <c r="X46" s="238" t="str">
        <f>IF(SUMPRODUCT((YEAR(Datos!$D$3:$AL$3)=YEAR(Datos!X$3))*(Datos!$D$3:$AL$3&lt;=Datos!X$3)*((Datos!$D$24:$AL$24)&gt;0)*((Datos!$D$25:$AL$25)=0))&gt;0,"-",IF((Datos!X25)=0,"-",IF((SUMIFS(Datos!$D$25:$AL$25,Datos!$D$3:$AL$3,"&gt;="&amp;DATE(YEAR(Datos!X$3),1,1),Datos!$D$3:$AL$3,"&lt;="&amp;Datos!X$3))=0,"-",(SUMIFS(Datos!$D$24:$AL$24,Datos!$D$3:$AL$3,"&gt;="&amp;DATE(YEAR(Datos!X$3),1,1),Datos!$D$3:$AL$3,"&lt;="&amp;Datos!X$3))/(SUMIFS(Datos!$D$25:$AL$25,Datos!$D$3:$AL$3,"&gt;="&amp;DATE(YEAR(Datos!X$3),1,1),Datos!$D$3:$AL$3,"&lt;="&amp;Datos!X$3)))))</f>
        <v>-</v>
      </c>
      <c r="Y46" s="238" t="str">
        <f>IF(SUMPRODUCT((YEAR(Datos!$D$3:$AL$3)=YEAR(Datos!Y$3))*(Datos!$D$3:$AL$3&lt;=Datos!Y$3)*((Datos!$D$24:$AL$24)&gt;0)*((Datos!$D$25:$AL$25)=0))&gt;0,"-",IF((Datos!Y25)=0,"-",IF((SUMIFS(Datos!$D$25:$AL$25,Datos!$D$3:$AL$3,"&gt;="&amp;DATE(YEAR(Datos!Y$3),1,1),Datos!$D$3:$AL$3,"&lt;="&amp;Datos!Y$3))=0,"-",(SUMIFS(Datos!$D$24:$AL$24,Datos!$D$3:$AL$3,"&gt;="&amp;DATE(YEAR(Datos!Y$3),1,1),Datos!$D$3:$AL$3,"&lt;="&amp;Datos!Y$3))/(SUMIFS(Datos!$D$25:$AL$25,Datos!$D$3:$AL$3,"&gt;="&amp;DATE(YEAR(Datos!Y$3),1,1),Datos!$D$3:$AL$3,"&lt;="&amp;Datos!Y$3)))))</f>
        <v>-</v>
      </c>
      <c r="Z46" s="238" t="str">
        <f>IF(SUMPRODUCT((YEAR(Datos!$D$3:$AL$3)=YEAR(Datos!Z$3))*(Datos!$D$3:$AL$3&lt;=Datos!Z$3)*((Datos!$D$24:$AL$24)&gt;0)*((Datos!$D$25:$AL$25)=0))&gt;0,"-",IF((Datos!Z25)=0,"-",IF((SUMIFS(Datos!$D$25:$AL$25,Datos!$D$3:$AL$3,"&gt;="&amp;DATE(YEAR(Datos!Z$3),1,1),Datos!$D$3:$AL$3,"&lt;="&amp;Datos!Z$3))=0,"-",(SUMIFS(Datos!$D$24:$AL$24,Datos!$D$3:$AL$3,"&gt;="&amp;DATE(YEAR(Datos!Z$3),1,1),Datos!$D$3:$AL$3,"&lt;="&amp;Datos!Z$3))/(SUMIFS(Datos!$D$25:$AL$25,Datos!$D$3:$AL$3,"&gt;="&amp;DATE(YEAR(Datos!Z$3),1,1),Datos!$D$3:$AL$3,"&lt;="&amp;Datos!Z$3)))))</f>
        <v>-</v>
      </c>
      <c r="AA46" s="238" t="str">
        <f>IF(SUMPRODUCT((YEAR(Datos!$D$3:$AL$3)=YEAR(Datos!AA$3))*(Datos!$D$3:$AL$3&lt;=Datos!AA$3)*((Datos!$D$24:$AL$24)&gt;0)*((Datos!$D$25:$AL$25)=0))&gt;0,"-",IF((Datos!AA25)=0,"-",IF((SUMIFS(Datos!$D$25:$AL$25,Datos!$D$3:$AL$3,"&gt;="&amp;DATE(YEAR(Datos!AA$3),1,1),Datos!$D$3:$AL$3,"&lt;="&amp;Datos!AA$3))=0,"-",(SUMIFS(Datos!$D$24:$AL$24,Datos!$D$3:$AL$3,"&gt;="&amp;DATE(YEAR(Datos!AA$3),1,1),Datos!$D$3:$AL$3,"&lt;="&amp;Datos!AA$3))/(SUMIFS(Datos!$D$25:$AL$25,Datos!$D$3:$AL$3,"&gt;="&amp;DATE(YEAR(Datos!AA$3),1,1),Datos!$D$3:$AL$3,"&lt;="&amp;Datos!AA$3)))))</f>
        <v>-</v>
      </c>
      <c r="AB46" s="238" t="str">
        <f>IF(SUMPRODUCT((YEAR(Datos!$D$3:$AL$3)=YEAR(Datos!AB$3))*(Datos!$D$3:$AL$3&lt;=Datos!AB$3)*((Datos!$D$24:$AL$24)&gt;0)*((Datos!$D$25:$AL$25)=0))&gt;0,"-",IF((Datos!AB25)=0,"-",IF((SUMIFS(Datos!$D$25:$AL$25,Datos!$D$3:$AL$3,"&gt;="&amp;DATE(YEAR(Datos!AB$3),1,1),Datos!$D$3:$AL$3,"&lt;="&amp;Datos!AB$3))=0,"-",(SUMIFS(Datos!$D$24:$AL$24,Datos!$D$3:$AL$3,"&gt;="&amp;DATE(YEAR(Datos!AB$3),1,1),Datos!$D$3:$AL$3,"&lt;="&amp;Datos!AB$3))/(SUMIFS(Datos!$D$25:$AL$25,Datos!$D$3:$AL$3,"&gt;="&amp;DATE(YEAR(Datos!AB$3),1,1),Datos!$D$3:$AL$3,"&lt;="&amp;Datos!AB$3)))))</f>
        <v>-</v>
      </c>
      <c r="AC46" s="238" t="str">
        <f>IF(SUMPRODUCT((YEAR(Datos!$D$3:$AL$3)=YEAR(Datos!AC$3))*(Datos!$D$3:$AL$3&lt;=Datos!AC$3)*((Datos!$D$24:$AL$24)&gt;0)*((Datos!$D$25:$AL$25)=0))&gt;0,"-",IF((Datos!AC25)=0,"-",IF((SUMIFS(Datos!$D$25:$AL$25,Datos!$D$3:$AL$3,"&gt;="&amp;DATE(YEAR(Datos!AC$3),1,1),Datos!$D$3:$AL$3,"&lt;="&amp;Datos!AC$3))=0,"-",(SUMIFS(Datos!$D$24:$AL$24,Datos!$D$3:$AL$3,"&gt;="&amp;DATE(YEAR(Datos!AC$3),1,1),Datos!$D$3:$AL$3,"&lt;="&amp;Datos!AC$3))/(SUMIFS(Datos!$D$25:$AL$25,Datos!$D$3:$AL$3,"&gt;="&amp;DATE(YEAR(Datos!AC$3),1,1),Datos!$D$3:$AL$3,"&lt;="&amp;Datos!AC$3)))))</f>
        <v>-</v>
      </c>
      <c r="AD46" s="238" t="str">
        <f>IF(SUMPRODUCT((YEAR(Datos!$D$3:$AL$3)=YEAR(Datos!AD$3))*(Datos!$D$3:$AL$3&lt;=Datos!AD$3)*((Datos!$D$24:$AL$24)&gt;0)*((Datos!$D$25:$AL$25)=0))&gt;0,"-",IF((Datos!AD25)=0,"-",IF((SUMIFS(Datos!$D$25:$AL$25,Datos!$D$3:$AL$3,"&gt;="&amp;DATE(YEAR(Datos!AD$3),1,1),Datos!$D$3:$AL$3,"&lt;="&amp;Datos!AD$3))=0,"-",(SUMIFS(Datos!$D$24:$AL$24,Datos!$D$3:$AL$3,"&gt;="&amp;DATE(YEAR(Datos!AD$3),1,1),Datos!$D$3:$AL$3,"&lt;="&amp;Datos!AD$3))/(SUMIFS(Datos!$D$25:$AL$25,Datos!$D$3:$AL$3,"&gt;="&amp;DATE(YEAR(Datos!AD$3),1,1),Datos!$D$3:$AL$3,"&lt;="&amp;Datos!AD$3)))))</f>
        <v>-</v>
      </c>
      <c r="AE46" s="238" t="str">
        <f>IF(SUMPRODUCT((YEAR(Datos!$D$3:$AL$3)=YEAR(Datos!AE$3))*(Datos!$D$3:$AL$3&lt;=Datos!AE$3)*((Datos!$D$24:$AL$24)&gt;0)*((Datos!$D$25:$AL$25)=0))&gt;0,"-",IF((Datos!AE25)=0,"-",IF((SUMIFS(Datos!$D$25:$AL$25,Datos!$D$3:$AL$3,"&gt;="&amp;DATE(YEAR(Datos!AE$3),1,1),Datos!$D$3:$AL$3,"&lt;="&amp;Datos!AE$3))=0,"-",(SUMIFS(Datos!$D$24:$AL$24,Datos!$D$3:$AL$3,"&gt;="&amp;DATE(YEAR(Datos!AE$3),1,1),Datos!$D$3:$AL$3,"&lt;="&amp;Datos!AE$3))/(SUMIFS(Datos!$D$25:$AL$25,Datos!$D$3:$AL$3,"&gt;="&amp;DATE(YEAR(Datos!AE$3),1,1),Datos!$D$3:$AL$3,"&lt;="&amp;Datos!AE$3)))))</f>
        <v>-</v>
      </c>
      <c r="AF46" s="238" t="str">
        <f>IF(SUMPRODUCT((YEAR(Datos!$D$3:$AL$3)=YEAR(Datos!AF$3))*(Datos!$D$3:$AL$3&lt;=Datos!AF$3)*((Datos!$D$24:$AL$24)&gt;0)*((Datos!$D$25:$AL$25)=0))&gt;0,"-",IF((Datos!AF25)=0,"-",IF((SUMIFS(Datos!$D$25:$AL$25,Datos!$D$3:$AL$3,"&gt;="&amp;DATE(YEAR(Datos!AF$3),1,1),Datos!$D$3:$AL$3,"&lt;="&amp;Datos!AF$3))=0,"-",(SUMIFS(Datos!$D$24:$AL$24,Datos!$D$3:$AL$3,"&gt;="&amp;DATE(YEAR(Datos!AF$3),1,1),Datos!$D$3:$AL$3,"&lt;="&amp;Datos!AF$3))/(SUMIFS(Datos!$D$25:$AL$25,Datos!$D$3:$AL$3,"&gt;="&amp;DATE(YEAR(Datos!AF$3),1,1),Datos!$D$3:$AL$3,"&lt;="&amp;Datos!AF$3)))))</f>
        <v>-</v>
      </c>
      <c r="AG46" s="238" t="str">
        <f>IF(SUMPRODUCT((YEAR(Datos!$D$3:$AL$3)=YEAR(Datos!AG$3))*(Datos!$D$3:$AL$3&lt;=Datos!AG$3)*((Datos!$D$24:$AL$24)&gt;0)*((Datos!$D$25:$AL$25)=0))&gt;0,"-",IF((Datos!AG25)=0,"-",IF((SUMIFS(Datos!$D$25:$AL$25,Datos!$D$3:$AL$3,"&gt;="&amp;DATE(YEAR(Datos!AG$3),1,1),Datos!$D$3:$AL$3,"&lt;="&amp;Datos!AG$3))=0,"-",(SUMIFS(Datos!$D$24:$AL$24,Datos!$D$3:$AL$3,"&gt;="&amp;DATE(YEAR(Datos!AG$3),1,1),Datos!$D$3:$AL$3,"&lt;="&amp;Datos!AG$3))/(SUMIFS(Datos!$D$25:$AL$25,Datos!$D$3:$AL$3,"&gt;="&amp;DATE(YEAR(Datos!AG$3),1,1),Datos!$D$3:$AL$3,"&lt;="&amp;Datos!AG$3)))))</f>
        <v>-</v>
      </c>
      <c r="AH46" s="238" t="str">
        <f>IF(SUMPRODUCT((YEAR(Datos!$D$3:$AL$3)=YEAR(Datos!AH$3))*(Datos!$D$3:$AL$3&lt;=Datos!AH$3)*((Datos!$D$24:$AL$24)&gt;0)*((Datos!$D$25:$AL$25)=0))&gt;0,"-",IF((Datos!AH25)=0,"-",IF((SUMIFS(Datos!$D$25:$AL$25,Datos!$D$3:$AL$3,"&gt;="&amp;DATE(YEAR(Datos!AH$3),1,1),Datos!$D$3:$AL$3,"&lt;="&amp;Datos!AH$3))=0,"-",(SUMIFS(Datos!$D$24:$AL$24,Datos!$D$3:$AL$3,"&gt;="&amp;DATE(YEAR(Datos!AH$3),1,1),Datos!$D$3:$AL$3,"&lt;="&amp;Datos!AH$3))/(SUMIFS(Datos!$D$25:$AL$25,Datos!$D$3:$AL$3,"&gt;="&amp;DATE(YEAR(Datos!AH$3),1,1),Datos!$D$3:$AL$3,"&lt;="&amp;Datos!AH$3)))))</f>
        <v>-</v>
      </c>
      <c r="AI46" s="238" t="str">
        <f>IF(SUMPRODUCT((YEAR(Datos!$D$3:$AL$3)=YEAR(Datos!AI$3))*(Datos!$D$3:$AL$3&lt;=Datos!AI$3)*((Datos!$D$24:$AL$24)&gt;0)*((Datos!$D$25:$AL$25)=0))&gt;0,"-",IF((Datos!AI25)=0,"-",IF((SUMIFS(Datos!$D$25:$AL$25,Datos!$D$3:$AL$3,"&gt;="&amp;DATE(YEAR(Datos!AI$3),1,1),Datos!$D$3:$AL$3,"&lt;="&amp;Datos!AI$3))=0,"-",(SUMIFS(Datos!$D$24:$AL$24,Datos!$D$3:$AL$3,"&gt;="&amp;DATE(YEAR(Datos!AI$3),1,1),Datos!$D$3:$AL$3,"&lt;="&amp;Datos!AI$3))/(SUMIFS(Datos!$D$25:$AL$25,Datos!$D$3:$AL$3,"&gt;="&amp;DATE(YEAR(Datos!AI$3),1,1),Datos!$D$3:$AL$3,"&lt;="&amp;Datos!AI$3)))))</f>
        <v>-</v>
      </c>
      <c r="AJ46" s="238" t="str">
        <f>IF(SUMPRODUCT((YEAR(Datos!$D$3:$AL$3)=YEAR(Datos!AJ$3))*(Datos!$D$3:$AL$3&lt;=Datos!AJ$3)*((Datos!$D$24:$AL$24)&gt;0)*((Datos!$D$25:$AL$25)=0))&gt;0,"-",IF((Datos!AJ25)=0,"-",IF((SUMIFS(Datos!$D$25:$AL$25,Datos!$D$3:$AL$3,"&gt;="&amp;DATE(YEAR(Datos!AJ$3),1,1),Datos!$D$3:$AL$3,"&lt;="&amp;Datos!AJ$3))=0,"-",(SUMIFS(Datos!$D$24:$AL$24,Datos!$D$3:$AL$3,"&gt;="&amp;DATE(YEAR(Datos!AJ$3),1,1),Datos!$D$3:$AL$3,"&lt;="&amp;Datos!AJ$3))/(SUMIFS(Datos!$D$25:$AL$25,Datos!$D$3:$AL$3,"&gt;="&amp;DATE(YEAR(Datos!AJ$3),1,1),Datos!$D$3:$AL$3,"&lt;="&amp;Datos!AJ$3)))))</f>
        <v>-</v>
      </c>
      <c r="AK46" s="238" t="str">
        <f>IF(SUMPRODUCT((YEAR(Datos!$D$3:$AL$3)=YEAR(Datos!AK$3))*(Datos!$D$3:$AL$3&lt;=Datos!AK$3)*((Datos!$D$24:$AL$24)&gt;0)*((Datos!$D$25:$AL$25)=0))&gt;0,"-",IF((Datos!AK25)=0,"-",IF((SUMIFS(Datos!$D$25:$AL$25,Datos!$D$3:$AL$3,"&gt;="&amp;DATE(YEAR(Datos!AK$3),1,1),Datos!$D$3:$AL$3,"&lt;="&amp;Datos!AK$3))=0,"-",(SUMIFS(Datos!$D$24:$AL$24,Datos!$D$3:$AL$3,"&gt;="&amp;DATE(YEAR(Datos!AK$3),1,1),Datos!$D$3:$AL$3,"&lt;="&amp;Datos!AK$3))/(SUMIFS(Datos!$D$25:$AL$25,Datos!$D$3:$AL$3,"&gt;="&amp;DATE(YEAR(Datos!AK$3),1,1),Datos!$D$3:$AL$3,"&lt;="&amp;Datos!AK$3)))))</f>
        <v>-</v>
      </c>
      <c r="AL46" s="238" t="str">
        <f>IF(SUMPRODUCT((YEAR(Datos!$D$3:$AL$3)=YEAR(Datos!AL$3))*(Datos!$D$3:$AL$3&lt;=Datos!AL$3)*((Datos!$D$24:$AL$24)&gt;0)*((Datos!$D$25:$AL$25)=0))&gt;0,"-",IF((Datos!AL25)=0,"-",IF((SUMIFS(Datos!$D$25:$AL$25,Datos!$D$3:$AL$3,"&gt;="&amp;DATE(YEAR(Datos!AL$3),1,1),Datos!$D$3:$AL$3,"&lt;="&amp;Datos!AL$3))=0,"-",(SUMIFS(Datos!$D$24:$AL$24,Datos!$D$3:$AL$3,"&gt;="&amp;DATE(YEAR(Datos!AL$3),1,1),Datos!$D$3:$AL$3,"&lt;="&amp;Datos!AL$3))/(SUMIFS(Datos!$D$25:$AL$25,Datos!$D$3:$AL$3,"&gt;="&amp;DATE(YEAR(Datos!AL$3),1,1),Datos!$D$3:$AL$3,"&lt;="&amp;Datos!AL$3)))))</f>
        <v>-</v>
      </c>
    </row>
    <row r="47" spans="1:38" ht="27.75" customHeight="1" x14ac:dyDescent="0.3">
      <c r="A47" s="232" t="str">
        <f>KPIs!$A$22&amp;" · YTD"</f>
        <v>12 · Cumplimiento de comités y subcomités de seguridad · YTD</v>
      </c>
      <c r="B47" s="70" t="s">
        <v>143</v>
      </c>
      <c r="C47" s="239">
        <f>IF(KPIs!C22="","",KPIs!C22)</f>
        <v>1</v>
      </c>
      <c r="D47" s="238" t="str">
        <f>IF(SUMPRODUCT((YEAR(Datos!$D$3:$AL$3)=YEAR(Datos!D$3))*(Datos!$D$3:$AL$3&lt;=Datos!D$3)*((Datos!$D$26:$AL$26)&gt;0)*((Datos!$D$27:$AL$27)=0))&gt;0,"-",IF((Datos!D27)=0,"-",IF((SUMIFS(Datos!$D$27:$AL$27,Datos!$D$3:$AL$3,"&gt;="&amp;DATE(YEAR(Datos!D$3),1,1),Datos!$D$3:$AL$3,"&lt;="&amp;Datos!D$3))=0,"-",(SUMIFS(Datos!$D$26:$AL$26,Datos!$D$3:$AL$3,"&gt;="&amp;DATE(YEAR(Datos!D$3),1,1),Datos!$D$3:$AL$3,"&lt;="&amp;Datos!D$3))/(SUMIFS(Datos!$D$27:$AL$27,Datos!$D$3:$AL$3,"&gt;="&amp;DATE(YEAR(Datos!D$3),1,1),Datos!$D$3:$AL$3,"&lt;="&amp;Datos!D$3)))))</f>
        <v>-</v>
      </c>
      <c r="E47" s="238">
        <f>IF(SUMPRODUCT((YEAR(Datos!$D$3:$AL$3)=YEAR(Datos!E$3))*(Datos!$D$3:$AL$3&lt;=Datos!E$3)*((Datos!$D$26:$AL$26)&gt;0)*((Datos!$D$27:$AL$27)=0))&gt;0,"-",IF((Datos!E27)=0,"-",IF((SUMIFS(Datos!$D$27:$AL$27,Datos!$D$3:$AL$3,"&gt;="&amp;DATE(YEAR(Datos!E$3),1,1),Datos!$D$3:$AL$3,"&lt;="&amp;Datos!E$3))=0,"-",(SUMIFS(Datos!$D$26:$AL$26,Datos!$D$3:$AL$3,"&gt;="&amp;DATE(YEAR(Datos!E$3),1,1),Datos!$D$3:$AL$3,"&lt;="&amp;Datos!E$3))/(SUMIFS(Datos!$D$27:$AL$27,Datos!$D$3:$AL$3,"&gt;="&amp;DATE(YEAR(Datos!E$3),1,1),Datos!$D$3:$AL$3,"&lt;="&amp;Datos!E$3)))))</f>
        <v>1</v>
      </c>
      <c r="F47" s="238" t="str">
        <f>IF(SUMPRODUCT((YEAR(Datos!$D$3:$AL$3)=YEAR(Datos!F$3))*(Datos!$D$3:$AL$3&lt;=Datos!F$3)*((Datos!$D$26:$AL$26)&gt;0)*((Datos!$D$27:$AL$27)=0))&gt;0,"-",IF((Datos!F27)=0,"-",IF((SUMIFS(Datos!$D$27:$AL$27,Datos!$D$3:$AL$3,"&gt;="&amp;DATE(YEAR(Datos!F$3),1,1),Datos!$D$3:$AL$3,"&lt;="&amp;Datos!F$3))=0,"-",(SUMIFS(Datos!$D$26:$AL$26,Datos!$D$3:$AL$3,"&gt;="&amp;DATE(YEAR(Datos!F$3),1,1),Datos!$D$3:$AL$3,"&lt;="&amp;Datos!F$3))/(SUMIFS(Datos!$D$27:$AL$27,Datos!$D$3:$AL$3,"&gt;="&amp;DATE(YEAR(Datos!F$3),1,1),Datos!$D$3:$AL$3,"&lt;="&amp;Datos!F$3)))))</f>
        <v>-</v>
      </c>
      <c r="G47" s="238" t="str">
        <f>IF(SUMPRODUCT((YEAR(Datos!$D$3:$AL$3)=YEAR(Datos!G$3))*(Datos!$D$3:$AL$3&lt;=Datos!G$3)*((Datos!$D$26:$AL$26)&gt;0)*((Datos!$D$27:$AL$27)=0))&gt;0,"-",IF((Datos!G27)=0,"-",IF((SUMIFS(Datos!$D$27:$AL$27,Datos!$D$3:$AL$3,"&gt;="&amp;DATE(YEAR(Datos!G$3),1,1),Datos!$D$3:$AL$3,"&lt;="&amp;Datos!G$3))=0,"-",(SUMIFS(Datos!$D$26:$AL$26,Datos!$D$3:$AL$3,"&gt;="&amp;DATE(YEAR(Datos!G$3),1,1),Datos!$D$3:$AL$3,"&lt;="&amp;Datos!G$3))/(SUMIFS(Datos!$D$27:$AL$27,Datos!$D$3:$AL$3,"&gt;="&amp;DATE(YEAR(Datos!G$3),1,1),Datos!$D$3:$AL$3,"&lt;="&amp;Datos!G$3)))))</f>
        <v>-</v>
      </c>
      <c r="H47" s="238" t="str">
        <f>IF(SUMPRODUCT((YEAR(Datos!$D$3:$AL$3)=YEAR(Datos!H$3))*(Datos!$D$3:$AL$3&lt;=Datos!H$3)*((Datos!$D$26:$AL$26)&gt;0)*((Datos!$D$27:$AL$27)=0))&gt;0,"-",IF((Datos!H27)=0,"-",IF((SUMIFS(Datos!$D$27:$AL$27,Datos!$D$3:$AL$3,"&gt;="&amp;DATE(YEAR(Datos!H$3),1,1),Datos!$D$3:$AL$3,"&lt;="&amp;Datos!H$3))=0,"-",(SUMIFS(Datos!$D$26:$AL$26,Datos!$D$3:$AL$3,"&gt;="&amp;DATE(YEAR(Datos!H$3),1,1),Datos!$D$3:$AL$3,"&lt;="&amp;Datos!H$3))/(SUMIFS(Datos!$D$27:$AL$27,Datos!$D$3:$AL$3,"&gt;="&amp;DATE(YEAR(Datos!H$3),1,1),Datos!$D$3:$AL$3,"&lt;="&amp;Datos!H$3)))))</f>
        <v>-</v>
      </c>
      <c r="I47" s="238" t="str">
        <f>IF(SUMPRODUCT((YEAR(Datos!$D$3:$AL$3)=YEAR(Datos!I$3))*(Datos!$D$3:$AL$3&lt;=Datos!I$3)*((Datos!$D$26:$AL$26)&gt;0)*((Datos!$D$27:$AL$27)=0))&gt;0,"-",IF((Datos!I27)=0,"-",IF((SUMIFS(Datos!$D$27:$AL$27,Datos!$D$3:$AL$3,"&gt;="&amp;DATE(YEAR(Datos!I$3),1,1),Datos!$D$3:$AL$3,"&lt;="&amp;Datos!I$3))=0,"-",(SUMIFS(Datos!$D$26:$AL$26,Datos!$D$3:$AL$3,"&gt;="&amp;DATE(YEAR(Datos!I$3),1,1),Datos!$D$3:$AL$3,"&lt;="&amp;Datos!I$3))/(SUMIFS(Datos!$D$27:$AL$27,Datos!$D$3:$AL$3,"&gt;="&amp;DATE(YEAR(Datos!I$3),1,1),Datos!$D$3:$AL$3,"&lt;="&amp;Datos!I$3)))))</f>
        <v>-</v>
      </c>
      <c r="J47" s="238" t="str">
        <f>IF(SUMPRODUCT((YEAR(Datos!$D$3:$AL$3)=YEAR(Datos!J$3))*(Datos!$D$3:$AL$3&lt;=Datos!J$3)*((Datos!$D$26:$AL$26)&gt;0)*((Datos!$D$27:$AL$27)=0))&gt;0,"-",IF((Datos!J27)=0,"-",IF((SUMIFS(Datos!$D$27:$AL$27,Datos!$D$3:$AL$3,"&gt;="&amp;DATE(YEAR(Datos!J$3),1,1),Datos!$D$3:$AL$3,"&lt;="&amp;Datos!J$3))=0,"-",(SUMIFS(Datos!$D$26:$AL$26,Datos!$D$3:$AL$3,"&gt;="&amp;DATE(YEAR(Datos!J$3),1,1),Datos!$D$3:$AL$3,"&lt;="&amp;Datos!J$3))/(SUMIFS(Datos!$D$27:$AL$27,Datos!$D$3:$AL$3,"&gt;="&amp;DATE(YEAR(Datos!J$3),1,1),Datos!$D$3:$AL$3,"&lt;="&amp;Datos!J$3)))))</f>
        <v>-</v>
      </c>
      <c r="K47" s="238" t="str">
        <f>IF(SUMPRODUCT((YEAR(Datos!$D$3:$AL$3)=YEAR(Datos!K$3))*(Datos!$D$3:$AL$3&lt;=Datos!K$3)*((Datos!$D$26:$AL$26)&gt;0)*((Datos!$D$27:$AL$27)=0))&gt;0,"-",IF((Datos!K27)=0,"-",IF((SUMIFS(Datos!$D$27:$AL$27,Datos!$D$3:$AL$3,"&gt;="&amp;DATE(YEAR(Datos!K$3),1,1),Datos!$D$3:$AL$3,"&lt;="&amp;Datos!K$3))=0,"-",(SUMIFS(Datos!$D$26:$AL$26,Datos!$D$3:$AL$3,"&gt;="&amp;DATE(YEAR(Datos!K$3),1,1),Datos!$D$3:$AL$3,"&lt;="&amp;Datos!K$3))/(SUMIFS(Datos!$D$27:$AL$27,Datos!$D$3:$AL$3,"&gt;="&amp;DATE(YEAR(Datos!K$3),1,1),Datos!$D$3:$AL$3,"&lt;="&amp;Datos!K$3)))))</f>
        <v>-</v>
      </c>
      <c r="L47" s="238" t="str">
        <f>IF(SUMPRODUCT((YEAR(Datos!$D$3:$AL$3)=YEAR(Datos!L$3))*(Datos!$D$3:$AL$3&lt;=Datos!L$3)*((Datos!$D$26:$AL$26)&gt;0)*((Datos!$D$27:$AL$27)=0))&gt;0,"-",IF((Datos!L27)=0,"-",IF((SUMIFS(Datos!$D$27:$AL$27,Datos!$D$3:$AL$3,"&gt;="&amp;DATE(YEAR(Datos!L$3),1,1),Datos!$D$3:$AL$3,"&lt;="&amp;Datos!L$3))=0,"-",(SUMIFS(Datos!$D$26:$AL$26,Datos!$D$3:$AL$3,"&gt;="&amp;DATE(YEAR(Datos!L$3),1,1),Datos!$D$3:$AL$3,"&lt;="&amp;Datos!L$3))/(SUMIFS(Datos!$D$27:$AL$27,Datos!$D$3:$AL$3,"&gt;="&amp;DATE(YEAR(Datos!L$3),1,1),Datos!$D$3:$AL$3,"&lt;="&amp;Datos!L$3)))))</f>
        <v>-</v>
      </c>
      <c r="M47" s="238" t="str">
        <f>IF(SUMPRODUCT((YEAR(Datos!$D$3:$AL$3)=YEAR(Datos!M$3))*(Datos!$D$3:$AL$3&lt;=Datos!M$3)*((Datos!$D$26:$AL$26)&gt;0)*((Datos!$D$27:$AL$27)=0))&gt;0,"-",IF((Datos!M27)=0,"-",IF((SUMIFS(Datos!$D$27:$AL$27,Datos!$D$3:$AL$3,"&gt;="&amp;DATE(YEAR(Datos!M$3),1,1),Datos!$D$3:$AL$3,"&lt;="&amp;Datos!M$3))=0,"-",(SUMIFS(Datos!$D$26:$AL$26,Datos!$D$3:$AL$3,"&gt;="&amp;DATE(YEAR(Datos!M$3),1,1),Datos!$D$3:$AL$3,"&lt;="&amp;Datos!M$3))/(SUMIFS(Datos!$D$27:$AL$27,Datos!$D$3:$AL$3,"&gt;="&amp;DATE(YEAR(Datos!M$3),1,1),Datos!$D$3:$AL$3,"&lt;="&amp;Datos!M$3)))))</f>
        <v>-</v>
      </c>
      <c r="N47" s="238" t="str">
        <f>IF(SUMPRODUCT((YEAR(Datos!$D$3:$AL$3)=YEAR(Datos!N$3))*(Datos!$D$3:$AL$3&lt;=Datos!N$3)*((Datos!$D$26:$AL$26)&gt;0)*((Datos!$D$27:$AL$27)=0))&gt;0,"-",IF((Datos!N27)=0,"-",IF((SUMIFS(Datos!$D$27:$AL$27,Datos!$D$3:$AL$3,"&gt;="&amp;DATE(YEAR(Datos!N$3),1,1),Datos!$D$3:$AL$3,"&lt;="&amp;Datos!N$3))=0,"-",(SUMIFS(Datos!$D$26:$AL$26,Datos!$D$3:$AL$3,"&gt;="&amp;DATE(YEAR(Datos!N$3),1,1),Datos!$D$3:$AL$3,"&lt;="&amp;Datos!N$3))/(SUMIFS(Datos!$D$27:$AL$27,Datos!$D$3:$AL$3,"&gt;="&amp;DATE(YEAR(Datos!N$3),1,1),Datos!$D$3:$AL$3,"&lt;="&amp;Datos!N$3)))))</f>
        <v>-</v>
      </c>
      <c r="O47" s="238" t="str">
        <f>IF(SUMPRODUCT((YEAR(Datos!$D$3:$AL$3)=YEAR(Datos!O$3))*(Datos!$D$3:$AL$3&lt;=Datos!O$3)*((Datos!$D$26:$AL$26)&gt;0)*((Datos!$D$27:$AL$27)=0))&gt;0,"-",IF((Datos!O27)=0,"-",IF((SUMIFS(Datos!$D$27:$AL$27,Datos!$D$3:$AL$3,"&gt;="&amp;DATE(YEAR(Datos!O$3),1,1),Datos!$D$3:$AL$3,"&lt;="&amp;Datos!O$3))=0,"-",(SUMIFS(Datos!$D$26:$AL$26,Datos!$D$3:$AL$3,"&gt;="&amp;DATE(YEAR(Datos!O$3),1,1),Datos!$D$3:$AL$3,"&lt;="&amp;Datos!O$3))/(SUMIFS(Datos!$D$27:$AL$27,Datos!$D$3:$AL$3,"&gt;="&amp;DATE(YEAR(Datos!O$3),1,1),Datos!$D$3:$AL$3,"&lt;="&amp;Datos!O$3)))))</f>
        <v>-</v>
      </c>
      <c r="P47" s="238" t="str">
        <f>IF(SUMPRODUCT((YEAR(Datos!$D$3:$AL$3)=YEAR(Datos!P$3))*(Datos!$D$3:$AL$3&lt;=Datos!P$3)*((Datos!$D$26:$AL$26)&gt;0)*((Datos!$D$27:$AL$27)=0))&gt;0,"-",IF((Datos!P27)=0,"-",IF((SUMIFS(Datos!$D$27:$AL$27,Datos!$D$3:$AL$3,"&gt;="&amp;DATE(YEAR(Datos!P$3),1,1),Datos!$D$3:$AL$3,"&lt;="&amp;Datos!P$3))=0,"-",(SUMIFS(Datos!$D$26:$AL$26,Datos!$D$3:$AL$3,"&gt;="&amp;DATE(YEAR(Datos!P$3),1,1),Datos!$D$3:$AL$3,"&lt;="&amp;Datos!P$3))/(SUMIFS(Datos!$D$27:$AL$27,Datos!$D$3:$AL$3,"&gt;="&amp;DATE(YEAR(Datos!P$3),1,1),Datos!$D$3:$AL$3,"&lt;="&amp;Datos!P$3)))))</f>
        <v>-</v>
      </c>
      <c r="Q47" s="238" t="str">
        <f>IF(SUMPRODUCT((YEAR(Datos!$D$3:$AL$3)=YEAR(Datos!Q$3))*(Datos!$D$3:$AL$3&lt;=Datos!Q$3)*((Datos!$D$26:$AL$26)&gt;0)*((Datos!$D$27:$AL$27)=0))&gt;0,"-",IF((Datos!Q27)=0,"-",IF((SUMIFS(Datos!$D$27:$AL$27,Datos!$D$3:$AL$3,"&gt;="&amp;DATE(YEAR(Datos!Q$3),1,1),Datos!$D$3:$AL$3,"&lt;="&amp;Datos!Q$3))=0,"-",(SUMIFS(Datos!$D$26:$AL$26,Datos!$D$3:$AL$3,"&gt;="&amp;DATE(YEAR(Datos!Q$3),1,1),Datos!$D$3:$AL$3,"&lt;="&amp;Datos!Q$3))/(SUMIFS(Datos!$D$27:$AL$27,Datos!$D$3:$AL$3,"&gt;="&amp;DATE(YEAR(Datos!Q$3),1,1),Datos!$D$3:$AL$3,"&lt;="&amp;Datos!Q$3)))))</f>
        <v>-</v>
      </c>
      <c r="R47" s="238" t="str">
        <f>IF(SUMPRODUCT((YEAR(Datos!$D$3:$AL$3)=YEAR(Datos!R$3))*(Datos!$D$3:$AL$3&lt;=Datos!R$3)*((Datos!$D$26:$AL$26)&gt;0)*((Datos!$D$27:$AL$27)=0))&gt;0,"-",IF((Datos!R27)=0,"-",IF((SUMIFS(Datos!$D$27:$AL$27,Datos!$D$3:$AL$3,"&gt;="&amp;DATE(YEAR(Datos!R$3),1,1),Datos!$D$3:$AL$3,"&lt;="&amp;Datos!R$3))=0,"-",(SUMIFS(Datos!$D$26:$AL$26,Datos!$D$3:$AL$3,"&gt;="&amp;DATE(YEAR(Datos!R$3),1,1),Datos!$D$3:$AL$3,"&lt;="&amp;Datos!R$3))/(SUMIFS(Datos!$D$27:$AL$27,Datos!$D$3:$AL$3,"&gt;="&amp;DATE(YEAR(Datos!R$3),1,1),Datos!$D$3:$AL$3,"&lt;="&amp;Datos!R$3)))))</f>
        <v>-</v>
      </c>
      <c r="S47" s="238" t="str">
        <f>IF(SUMPRODUCT((YEAR(Datos!$D$3:$AL$3)=YEAR(Datos!S$3))*(Datos!$D$3:$AL$3&lt;=Datos!S$3)*((Datos!$D$26:$AL$26)&gt;0)*((Datos!$D$27:$AL$27)=0))&gt;0,"-",IF((Datos!S27)=0,"-",IF((SUMIFS(Datos!$D$27:$AL$27,Datos!$D$3:$AL$3,"&gt;="&amp;DATE(YEAR(Datos!S$3),1,1),Datos!$D$3:$AL$3,"&lt;="&amp;Datos!S$3))=0,"-",(SUMIFS(Datos!$D$26:$AL$26,Datos!$D$3:$AL$3,"&gt;="&amp;DATE(YEAR(Datos!S$3),1,1),Datos!$D$3:$AL$3,"&lt;="&amp;Datos!S$3))/(SUMIFS(Datos!$D$27:$AL$27,Datos!$D$3:$AL$3,"&gt;="&amp;DATE(YEAR(Datos!S$3),1,1),Datos!$D$3:$AL$3,"&lt;="&amp;Datos!S$3)))))</f>
        <v>-</v>
      </c>
      <c r="T47" s="238" t="str">
        <f>IF(SUMPRODUCT((YEAR(Datos!$D$3:$AL$3)=YEAR(Datos!T$3))*(Datos!$D$3:$AL$3&lt;=Datos!T$3)*((Datos!$D$26:$AL$26)&gt;0)*((Datos!$D$27:$AL$27)=0))&gt;0,"-",IF((Datos!T27)=0,"-",IF((SUMIFS(Datos!$D$27:$AL$27,Datos!$D$3:$AL$3,"&gt;="&amp;DATE(YEAR(Datos!T$3),1,1),Datos!$D$3:$AL$3,"&lt;="&amp;Datos!T$3))=0,"-",(SUMIFS(Datos!$D$26:$AL$26,Datos!$D$3:$AL$3,"&gt;="&amp;DATE(YEAR(Datos!T$3),1,1),Datos!$D$3:$AL$3,"&lt;="&amp;Datos!T$3))/(SUMIFS(Datos!$D$27:$AL$27,Datos!$D$3:$AL$3,"&gt;="&amp;DATE(YEAR(Datos!T$3),1,1),Datos!$D$3:$AL$3,"&lt;="&amp;Datos!T$3)))))</f>
        <v>-</v>
      </c>
      <c r="U47" s="238" t="str">
        <f>IF(SUMPRODUCT((YEAR(Datos!$D$3:$AL$3)=YEAR(Datos!U$3))*(Datos!$D$3:$AL$3&lt;=Datos!U$3)*((Datos!$D$26:$AL$26)&gt;0)*((Datos!$D$27:$AL$27)=0))&gt;0,"-",IF((Datos!U27)=0,"-",IF((SUMIFS(Datos!$D$27:$AL$27,Datos!$D$3:$AL$3,"&gt;="&amp;DATE(YEAR(Datos!U$3),1,1),Datos!$D$3:$AL$3,"&lt;="&amp;Datos!U$3))=0,"-",(SUMIFS(Datos!$D$26:$AL$26,Datos!$D$3:$AL$3,"&gt;="&amp;DATE(YEAR(Datos!U$3),1,1),Datos!$D$3:$AL$3,"&lt;="&amp;Datos!U$3))/(SUMIFS(Datos!$D$27:$AL$27,Datos!$D$3:$AL$3,"&gt;="&amp;DATE(YEAR(Datos!U$3),1,1),Datos!$D$3:$AL$3,"&lt;="&amp;Datos!U$3)))))</f>
        <v>-</v>
      </c>
      <c r="V47" s="238" t="str">
        <f>IF(SUMPRODUCT((YEAR(Datos!$D$3:$AL$3)=YEAR(Datos!V$3))*(Datos!$D$3:$AL$3&lt;=Datos!V$3)*((Datos!$D$26:$AL$26)&gt;0)*((Datos!$D$27:$AL$27)=0))&gt;0,"-",IF((Datos!V27)=0,"-",IF((SUMIFS(Datos!$D$27:$AL$27,Datos!$D$3:$AL$3,"&gt;="&amp;DATE(YEAR(Datos!V$3),1,1),Datos!$D$3:$AL$3,"&lt;="&amp;Datos!V$3))=0,"-",(SUMIFS(Datos!$D$26:$AL$26,Datos!$D$3:$AL$3,"&gt;="&amp;DATE(YEAR(Datos!V$3),1,1),Datos!$D$3:$AL$3,"&lt;="&amp;Datos!V$3))/(SUMIFS(Datos!$D$27:$AL$27,Datos!$D$3:$AL$3,"&gt;="&amp;DATE(YEAR(Datos!V$3),1,1),Datos!$D$3:$AL$3,"&lt;="&amp;Datos!V$3)))))</f>
        <v>-</v>
      </c>
      <c r="W47" s="238" t="str">
        <f>IF(SUMPRODUCT((YEAR(Datos!$D$3:$AL$3)=YEAR(Datos!W$3))*(Datos!$D$3:$AL$3&lt;=Datos!W$3)*((Datos!$D$26:$AL$26)&gt;0)*((Datos!$D$27:$AL$27)=0))&gt;0,"-",IF((Datos!W27)=0,"-",IF((SUMIFS(Datos!$D$27:$AL$27,Datos!$D$3:$AL$3,"&gt;="&amp;DATE(YEAR(Datos!W$3),1,1),Datos!$D$3:$AL$3,"&lt;="&amp;Datos!W$3))=0,"-",(SUMIFS(Datos!$D$26:$AL$26,Datos!$D$3:$AL$3,"&gt;="&amp;DATE(YEAR(Datos!W$3),1,1),Datos!$D$3:$AL$3,"&lt;="&amp;Datos!W$3))/(SUMIFS(Datos!$D$27:$AL$27,Datos!$D$3:$AL$3,"&gt;="&amp;DATE(YEAR(Datos!W$3),1,1),Datos!$D$3:$AL$3,"&lt;="&amp;Datos!W$3)))))</f>
        <v>-</v>
      </c>
      <c r="X47" s="238" t="str">
        <f>IF(SUMPRODUCT((YEAR(Datos!$D$3:$AL$3)=YEAR(Datos!X$3))*(Datos!$D$3:$AL$3&lt;=Datos!X$3)*((Datos!$D$26:$AL$26)&gt;0)*((Datos!$D$27:$AL$27)=0))&gt;0,"-",IF((Datos!X27)=0,"-",IF((SUMIFS(Datos!$D$27:$AL$27,Datos!$D$3:$AL$3,"&gt;="&amp;DATE(YEAR(Datos!X$3),1,1),Datos!$D$3:$AL$3,"&lt;="&amp;Datos!X$3))=0,"-",(SUMIFS(Datos!$D$26:$AL$26,Datos!$D$3:$AL$3,"&gt;="&amp;DATE(YEAR(Datos!X$3),1,1),Datos!$D$3:$AL$3,"&lt;="&amp;Datos!X$3))/(SUMIFS(Datos!$D$27:$AL$27,Datos!$D$3:$AL$3,"&gt;="&amp;DATE(YEAR(Datos!X$3),1,1),Datos!$D$3:$AL$3,"&lt;="&amp;Datos!X$3)))))</f>
        <v>-</v>
      </c>
      <c r="Y47" s="238" t="str">
        <f>IF(SUMPRODUCT((YEAR(Datos!$D$3:$AL$3)=YEAR(Datos!Y$3))*(Datos!$D$3:$AL$3&lt;=Datos!Y$3)*((Datos!$D$26:$AL$26)&gt;0)*((Datos!$D$27:$AL$27)=0))&gt;0,"-",IF((Datos!Y27)=0,"-",IF((SUMIFS(Datos!$D$27:$AL$27,Datos!$D$3:$AL$3,"&gt;="&amp;DATE(YEAR(Datos!Y$3),1,1),Datos!$D$3:$AL$3,"&lt;="&amp;Datos!Y$3))=0,"-",(SUMIFS(Datos!$D$26:$AL$26,Datos!$D$3:$AL$3,"&gt;="&amp;DATE(YEAR(Datos!Y$3),1,1),Datos!$D$3:$AL$3,"&lt;="&amp;Datos!Y$3))/(SUMIFS(Datos!$D$27:$AL$27,Datos!$D$3:$AL$3,"&gt;="&amp;DATE(YEAR(Datos!Y$3),1,1),Datos!$D$3:$AL$3,"&lt;="&amp;Datos!Y$3)))))</f>
        <v>-</v>
      </c>
      <c r="Z47" s="238" t="str">
        <f>IF(SUMPRODUCT((YEAR(Datos!$D$3:$AL$3)=YEAR(Datos!Z$3))*(Datos!$D$3:$AL$3&lt;=Datos!Z$3)*((Datos!$D$26:$AL$26)&gt;0)*((Datos!$D$27:$AL$27)=0))&gt;0,"-",IF((Datos!Z27)=0,"-",IF((SUMIFS(Datos!$D$27:$AL$27,Datos!$D$3:$AL$3,"&gt;="&amp;DATE(YEAR(Datos!Z$3),1,1),Datos!$D$3:$AL$3,"&lt;="&amp;Datos!Z$3))=0,"-",(SUMIFS(Datos!$D$26:$AL$26,Datos!$D$3:$AL$3,"&gt;="&amp;DATE(YEAR(Datos!Z$3),1,1),Datos!$D$3:$AL$3,"&lt;="&amp;Datos!Z$3))/(SUMIFS(Datos!$D$27:$AL$27,Datos!$D$3:$AL$3,"&gt;="&amp;DATE(YEAR(Datos!Z$3),1,1),Datos!$D$3:$AL$3,"&lt;="&amp;Datos!Z$3)))))</f>
        <v>-</v>
      </c>
      <c r="AA47" s="238" t="str">
        <f>IF(SUMPRODUCT((YEAR(Datos!$D$3:$AL$3)=YEAR(Datos!AA$3))*(Datos!$D$3:$AL$3&lt;=Datos!AA$3)*((Datos!$D$26:$AL$26)&gt;0)*((Datos!$D$27:$AL$27)=0))&gt;0,"-",IF((Datos!AA27)=0,"-",IF((SUMIFS(Datos!$D$27:$AL$27,Datos!$D$3:$AL$3,"&gt;="&amp;DATE(YEAR(Datos!AA$3),1,1),Datos!$D$3:$AL$3,"&lt;="&amp;Datos!AA$3))=0,"-",(SUMIFS(Datos!$D$26:$AL$26,Datos!$D$3:$AL$3,"&gt;="&amp;DATE(YEAR(Datos!AA$3),1,1),Datos!$D$3:$AL$3,"&lt;="&amp;Datos!AA$3))/(SUMIFS(Datos!$D$27:$AL$27,Datos!$D$3:$AL$3,"&gt;="&amp;DATE(YEAR(Datos!AA$3),1,1),Datos!$D$3:$AL$3,"&lt;="&amp;Datos!AA$3)))))</f>
        <v>-</v>
      </c>
      <c r="AB47" s="238" t="str">
        <f>IF(SUMPRODUCT((YEAR(Datos!$D$3:$AL$3)=YEAR(Datos!AB$3))*(Datos!$D$3:$AL$3&lt;=Datos!AB$3)*((Datos!$D$26:$AL$26)&gt;0)*((Datos!$D$27:$AL$27)=0))&gt;0,"-",IF((Datos!AB27)=0,"-",IF((SUMIFS(Datos!$D$27:$AL$27,Datos!$D$3:$AL$3,"&gt;="&amp;DATE(YEAR(Datos!AB$3),1,1),Datos!$D$3:$AL$3,"&lt;="&amp;Datos!AB$3))=0,"-",(SUMIFS(Datos!$D$26:$AL$26,Datos!$D$3:$AL$3,"&gt;="&amp;DATE(YEAR(Datos!AB$3),1,1),Datos!$D$3:$AL$3,"&lt;="&amp;Datos!AB$3))/(SUMIFS(Datos!$D$27:$AL$27,Datos!$D$3:$AL$3,"&gt;="&amp;DATE(YEAR(Datos!AB$3),1,1),Datos!$D$3:$AL$3,"&lt;="&amp;Datos!AB$3)))))</f>
        <v>-</v>
      </c>
      <c r="AC47" s="238" t="str">
        <f>IF(SUMPRODUCT((YEAR(Datos!$D$3:$AL$3)=YEAR(Datos!AC$3))*(Datos!$D$3:$AL$3&lt;=Datos!AC$3)*((Datos!$D$26:$AL$26)&gt;0)*((Datos!$D$27:$AL$27)=0))&gt;0,"-",IF((Datos!AC27)=0,"-",IF((SUMIFS(Datos!$D$27:$AL$27,Datos!$D$3:$AL$3,"&gt;="&amp;DATE(YEAR(Datos!AC$3),1,1),Datos!$D$3:$AL$3,"&lt;="&amp;Datos!AC$3))=0,"-",(SUMIFS(Datos!$D$26:$AL$26,Datos!$D$3:$AL$3,"&gt;="&amp;DATE(YEAR(Datos!AC$3),1,1),Datos!$D$3:$AL$3,"&lt;="&amp;Datos!AC$3))/(SUMIFS(Datos!$D$27:$AL$27,Datos!$D$3:$AL$3,"&gt;="&amp;DATE(YEAR(Datos!AC$3),1,1),Datos!$D$3:$AL$3,"&lt;="&amp;Datos!AC$3)))))</f>
        <v>-</v>
      </c>
      <c r="AD47" s="238" t="str">
        <f>IF(SUMPRODUCT((YEAR(Datos!$D$3:$AL$3)=YEAR(Datos!AD$3))*(Datos!$D$3:$AL$3&lt;=Datos!AD$3)*((Datos!$D$26:$AL$26)&gt;0)*((Datos!$D$27:$AL$27)=0))&gt;0,"-",IF((Datos!AD27)=0,"-",IF((SUMIFS(Datos!$D$27:$AL$27,Datos!$D$3:$AL$3,"&gt;="&amp;DATE(YEAR(Datos!AD$3),1,1),Datos!$D$3:$AL$3,"&lt;="&amp;Datos!AD$3))=0,"-",(SUMIFS(Datos!$D$26:$AL$26,Datos!$D$3:$AL$3,"&gt;="&amp;DATE(YEAR(Datos!AD$3),1,1),Datos!$D$3:$AL$3,"&lt;="&amp;Datos!AD$3))/(SUMIFS(Datos!$D$27:$AL$27,Datos!$D$3:$AL$3,"&gt;="&amp;DATE(YEAR(Datos!AD$3),1,1),Datos!$D$3:$AL$3,"&lt;="&amp;Datos!AD$3)))))</f>
        <v>-</v>
      </c>
      <c r="AE47" s="238" t="str">
        <f>IF(SUMPRODUCT((YEAR(Datos!$D$3:$AL$3)=YEAR(Datos!AE$3))*(Datos!$D$3:$AL$3&lt;=Datos!AE$3)*((Datos!$D$26:$AL$26)&gt;0)*((Datos!$D$27:$AL$27)=0))&gt;0,"-",IF((Datos!AE27)=0,"-",IF((SUMIFS(Datos!$D$27:$AL$27,Datos!$D$3:$AL$3,"&gt;="&amp;DATE(YEAR(Datos!AE$3),1,1),Datos!$D$3:$AL$3,"&lt;="&amp;Datos!AE$3))=0,"-",(SUMIFS(Datos!$D$26:$AL$26,Datos!$D$3:$AL$3,"&gt;="&amp;DATE(YEAR(Datos!AE$3),1,1),Datos!$D$3:$AL$3,"&lt;="&amp;Datos!AE$3))/(SUMIFS(Datos!$D$27:$AL$27,Datos!$D$3:$AL$3,"&gt;="&amp;DATE(YEAR(Datos!AE$3),1,1),Datos!$D$3:$AL$3,"&lt;="&amp;Datos!AE$3)))))</f>
        <v>-</v>
      </c>
      <c r="AF47" s="238" t="str">
        <f>IF(SUMPRODUCT((YEAR(Datos!$D$3:$AL$3)=YEAR(Datos!AF$3))*(Datos!$D$3:$AL$3&lt;=Datos!AF$3)*((Datos!$D$26:$AL$26)&gt;0)*((Datos!$D$27:$AL$27)=0))&gt;0,"-",IF((Datos!AF27)=0,"-",IF((SUMIFS(Datos!$D$27:$AL$27,Datos!$D$3:$AL$3,"&gt;="&amp;DATE(YEAR(Datos!AF$3),1,1),Datos!$D$3:$AL$3,"&lt;="&amp;Datos!AF$3))=0,"-",(SUMIFS(Datos!$D$26:$AL$26,Datos!$D$3:$AL$3,"&gt;="&amp;DATE(YEAR(Datos!AF$3),1,1),Datos!$D$3:$AL$3,"&lt;="&amp;Datos!AF$3))/(SUMIFS(Datos!$D$27:$AL$27,Datos!$D$3:$AL$3,"&gt;="&amp;DATE(YEAR(Datos!AF$3),1,1),Datos!$D$3:$AL$3,"&lt;="&amp;Datos!AF$3)))))</f>
        <v>-</v>
      </c>
      <c r="AG47" s="238" t="str">
        <f>IF(SUMPRODUCT((YEAR(Datos!$D$3:$AL$3)=YEAR(Datos!AG$3))*(Datos!$D$3:$AL$3&lt;=Datos!AG$3)*((Datos!$D$26:$AL$26)&gt;0)*((Datos!$D$27:$AL$27)=0))&gt;0,"-",IF((Datos!AG27)=0,"-",IF((SUMIFS(Datos!$D$27:$AL$27,Datos!$D$3:$AL$3,"&gt;="&amp;DATE(YEAR(Datos!AG$3),1,1),Datos!$D$3:$AL$3,"&lt;="&amp;Datos!AG$3))=0,"-",(SUMIFS(Datos!$D$26:$AL$26,Datos!$D$3:$AL$3,"&gt;="&amp;DATE(YEAR(Datos!AG$3),1,1),Datos!$D$3:$AL$3,"&lt;="&amp;Datos!AG$3))/(SUMIFS(Datos!$D$27:$AL$27,Datos!$D$3:$AL$3,"&gt;="&amp;DATE(YEAR(Datos!AG$3),1,1),Datos!$D$3:$AL$3,"&lt;="&amp;Datos!AG$3)))))</f>
        <v>-</v>
      </c>
      <c r="AH47" s="238" t="str">
        <f>IF(SUMPRODUCT((YEAR(Datos!$D$3:$AL$3)=YEAR(Datos!AH$3))*(Datos!$D$3:$AL$3&lt;=Datos!AH$3)*((Datos!$D$26:$AL$26)&gt;0)*((Datos!$D$27:$AL$27)=0))&gt;0,"-",IF((Datos!AH27)=0,"-",IF((SUMIFS(Datos!$D$27:$AL$27,Datos!$D$3:$AL$3,"&gt;="&amp;DATE(YEAR(Datos!AH$3),1,1),Datos!$D$3:$AL$3,"&lt;="&amp;Datos!AH$3))=0,"-",(SUMIFS(Datos!$D$26:$AL$26,Datos!$D$3:$AL$3,"&gt;="&amp;DATE(YEAR(Datos!AH$3),1,1),Datos!$D$3:$AL$3,"&lt;="&amp;Datos!AH$3))/(SUMIFS(Datos!$D$27:$AL$27,Datos!$D$3:$AL$3,"&gt;="&amp;DATE(YEAR(Datos!AH$3),1,1),Datos!$D$3:$AL$3,"&lt;="&amp;Datos!AH$3)))))</f>
        <v>-</v>
      </c>
      <c r="AI47" s="238" t="str">
        <f>IF(SUMPRODUCT((YEAR(Datos!$D$3:$AL$3)=YEAR(Datos!AI$3))*(Datos!$D$3:$AL$3&lt;=Datos!AI$3)*((Datos!$D$26:$AL$26)&gt;0)*((Datos!$D$27:$AL$27)=0))&gt;0,"-",IF((Datos!AI27)=0,"-",IF((SUMIFS(Datos!$D$27:$AL$27,Datos!$D$3:$AL$3,"&gt;="&amp;DATE(YEAR(Datos!AI$3),1,1),Datos!$D$3:$AL$3,"&lt;="&amp;Datos!AI$3))=0,"-",(SUMIFS(Datos!$D$26:$AL$26,Datos!$D$3:$AL$3,"&gt;="&amp;DATE(YEAR(Datos!AI$3),1,1),Datos!$D$3:$AL$3,"&lt;="&amp;Datos!AI$3))/(SUMIFS(Datos!$D$27:$AL$27,Datos!$D$3:$AL$3,"&gt;="&amp;DATE(YEAR(Datos!AI$3),1,1),Datos!$D$3:$AL$3,"&lt;="&amp;Datos!AI$3)))))</f>
        <v>-</v>
      </c>
      <c r="AJ47" s="238" t="str">
        <f>IF(SUMPRODUCT((YEAR(Datos!$D$3:$AL$3)=YEAR(Datos!AJ$3))*(Datos!$D$3:$AL$3&lt;=Datos!AJ$3)*((Datos!$D$26:$AL$26)&gt;0)*((Datos!$D$27:$AL$27)=0))&gt;0,"-",IF((Datos!AJ27)=0,"-",IF((SUMIFS(Datos!$D$27:$AL$27,Datos!$D$3:$AL$3,"&gt;="&amp;DATE(YEAR(Datos!AJ$3),1,1),Datos!$D$3:$AL$3,"&lt;="&amp;Datos!AJ$3))=0,"-",(SUMIFS(Datos!$D$26:$AL$26,Datos!$D$3:$AL$3,"&gt;="&amp;DATE(YEAR(Datos!AJ$3),1,1),Datos!$D$3:$AL$3,"&lt;="&amp;Datos!AJ$3))/(SUMIFS(Datos!$D$27:$AL$27,Datos!$D$3:$AL$3,"&gt;="&amp;DATE(YEAR(Datos!AJ$3),1,1),Datos!$D$3:$AL$3,"&lt;="&amp;Datos!AJ$3)))))</f>
        <v>-</v>
      </c>
      <c r="AK47" s="238" t="str">
        <f>IF(SUMPRODUCT((YEAR(Datos!$D$3:$AL$3)=YEAR(Datos!AK$3))*(Datos!$D$3:$AL$3&lt;=Datos!AK$3)*((Datos!$D$26:$AL$26)&gt;0)*((Datos!$D$27:$AL$27)=0))&gt;0,"-",IF((Datos!AK27)=0,"-",IF((SUMIFS(Datos!$D$27:$AL$27,Datos!$D$3:$AL$3,"&gt;="&amp;DATE(YEAR(Datos!AK$3),1,1),Datos!$D$3:$AL$3,"&lt;="&amp;Datos!AK$3))=0,"-",(SUMIFS(Datos!$D$26:$AL$26,Datos!$D$3:$AL$3,"&gt;="&amp;DATE(YEAR(Datos!AK$3),1,1),Datos!$D$3:$AL$3,"&lt;="&amp;Datos!AK$3))/(SUMIFS(Datos!$D$27:$AL$27,Datos!$D$3:$AL$3,"&gt;="&amp;DATE(YEAR(Datos!AK$3),1,1),Datos!$D$3:$AL$3,"&lt;="&amp;Datos!AK$3)))))</f>
        <v>-</v>
      </c>
      <c r="AL47" s="238" t="str">
        <f>IF(SUMPRODUCT((YEAR(Datos!$D$3:$AL$3)=YEAR(Datos!AL$3))*(Datos!$D$3:$AL$3&lt;=Datos!AL$3)*((Datos!$D$26:$AL$26)&gt;0)*((Datos!$D$27:$AL$27)=0))&gt;0,"-",IF((Datos!AL27)=0,"-",IF((SUMIFS(Datos!$D$27:$AL$27,Datos!$D$3:$AL$3,"&gt;="&amp;DATE(YEAR(Datos!AL$3),1,1),Datos!$D$3:$AL$3,"&lt;="&amp;Datos!AL$3))=0,"-",(SUMIFS(Datos!$D$26:$AL$26,Datos!$D$3:$AL$3,"&gt;="&amp;DATE(YEAR(Datos!AL$3),1,1),Datos!$D$3:$AL$3,"&lt;="&amp;Datos!AL$3))/(SUMIFS(Datos!$D$27:$AL$27,Datos!$D$3:$AL$3,"&gt;="&amp;DATE(YEAR(Datos!AL$3),1,1),Datos!$D$3:$AL$3,"&lt;="&amp;Datos!AL$3)))))</f>
        <v>-</v>
      </c>
    </row>
    <row r="48" spans="1:38" ht="27.75" customHeight="1" x14ac:dyDescent="0.3">
      <c r="A48" s="232" t="str">
        <f>KPIs!$A$23&amp;" · YTD"</f>
        <v>13 · Días promedio para cerrar hallazgos · YTD</v>
      </c>
      <c r="B48" s="70" t="s">
        <v>143</v>
      </c>
      <c r="C48" s="233" t="str">
        <f>IF(KPIs!C23="","",KPIs!C23)</f>
        <v>Medición 2026 (meta en 2027)</v>
      </c>
      <c r="D48" s="234">
        <f>IF((Datos!D67)=0,"-",IF((SUMIFS(Datos!$D$67:$AL$67,Datos!$D$3:$AL$3,"&gt;="&amp;DATE(YEAR(Datos!D$3),1,1),Datos!$D$3:$AL$3,"&lt;="&amp;Datos!D$3))=0,"-",(SUMIFS(Datos!$D$68:$AL$68,Datos!$D$3:$AL$3,"&gt;="&amp;DATE(YEAR(Datos!D$3),1,1),Datos!$D$3:$AL$3,"&lt;="&amp;Datos!D$3))/(SUMIFS(Datos!$D$67:$AL$67,Datos!$D$3:$AL$3,"&gt;="&amp;DATE(YEAR(Datos!D$3),1,1),Datos!$D$3:$AL$3,"&lt;="&amp;Datos!D$3))))</f>
        <v>1.34615384615385</v>
      </c>
      <c r="E48" s="234">
        <f>IF((Datos!E67)=0,"-",IF((SUMIFS(Datos!$D$67:$AL$67,Datos!$D$3:$AL$3,"&gt;="&amp;DATE(YEAR(Datos!E$3),1,1),Datos!$D$3:$AL$3,"&lt;="&amp;Datos!E$3))=0,"-",(SUMIFS(Datos!$D$68:$AL$68,Datos!$D$3:$AL$3,"&gt;="&amp;DATE(YEAR(Datos!E$3),1,1),Datos!$D$3:$AL$3,"&lt;="&amp;Datos!E$3))/(SUMIFS(Datos!$D$67:$AL$67,Datos!$D$3:$AL$3,"&gt;="&amp;DATE(YEAR(Datos!E$3),1,1),Datos!$D$3:$AL$3,"&lt;="&amp;Datos!E$3))))</f>
        <v>1.08823529411765</v>
      </c>
      <c r="F48" s="234" t="str">
        <f>IF((Datos!F67)=0,"-",IF((SUMIFS(Datos!$D$67:$AL$67,Datos!$D$3:$AL$3,"&gt;="&amp;DATE(YEAR(Datos!F$3),1,1),Datos!$D$3:$AL$3,"&lt;="&amp;Datos!F$3))=0,"-",(SUMIFS(Datos!$D$68:$AL$68,Datos!$D$3:$AL$3,"&gt;="&amp;DATE(YEAR(Datos!F$3),1,1),Datos!$D$3:$AL$3,"&lt;="&amp;Datos!F$3))/(SUMIFS(Datos!$D$67:$AL$67,Datos!$D$3:$AL$3,"&gt;="&amp;DATE(YEAR(Datos!F$3),1,1),Datos!$D$3:$AL$3,"&lt;="&amp;Datos!F$3))))</f>
        <v>-</v>
      </c>
      <c r="G48" s="234" t="str">
        <f>IF((Datos!G67)=0,"-",IF((SUMIFS(Datos!$D$67:$AL$67,Datos!$D$3:$AL$3,"&gt;="&amp;DATE(YEAR(Datos!G$3),1,1),Datos!$D$3:$AL$3,"&lt;="&amp;Datos!G$3))=0,"-",(SUMIFS(Datos!$D$68:$AL$68,Datos!$D$3:$AL$3,"&gt;="&amp;DATE(YEAR(Datos!G$3),1,1),Datos!$D$3:$AL$3,"&lt;="&amp;Datos!G$3))/(SUMIFS(Datos!$D$67:$AL$67,Datos!$D$3:$AL$3,"&gt;="&amp;DATE(YEAR(Datos!G$3),1,1),Datos!$D$3:$AL$3,"&lt;="&amp;Datos!G$3))))</f>
        <v>-</v>
      </c>
      <c r="H48" s="234" t="str">
        <f>IF((Datos!H67)=0,"-",IF((SUMIFS(Datos!$D$67:$AL$67,Datos!$D$3:$AL$3,"&gt;="&amp;DATE(YEAR(Datos!H$3),1,1),Datos!$D$3:$AL$3,"&lt;="&amp;Datos!H$3))=0,"-",(SUMIFS(Datos!$D$68:$AL$68,Datos!$D$3:$AL$3,"&gt;="&amp;DATE(YEAR(Datos!H$3),1,1),Datos!$D$3:$AL$3,"&lt;="&amp;Datos!H$3))/(SUMIFS(Datos!$D$67:$AL$67,Datos!$D$3:$AL$3,"&gt;="&amp;DATE(YEAR(Datos!H$3),1,1),Datos!$D$3:$AL$3,"&lt;="&amp;Datos!H$3))))</f>
        <v>-</v>
      </c>
      <c r="I48" s="234" t="str">
        <f>IF((Datos!I67)=0,"-",IF((SUMIFS(Datos!$D$67:$AL$67,Datos!$D$3:$AL$3,"&gt;="&amp;DATE(YEAR(Datos!I$3),1,1),Datos!$D$3:$AL$3,"&lt;="&amp;Datos!I$3))=0,"-",(SUMIFS(Datos!$D$68:$AL$68,Datos!$D$3:$AL$3,"&gt;="&amp;DATE(YEAR(Datos!I$3),1,1),Datos!$D$3:$AL$3,"&lt;="&amp;Datos!I$3))/(SUMIFS(Datos!$D$67:$AL$67,Datos!$D$3:$AL$3,"&gt;="&amp;DATE(YEAR(Datos!I$3),1,1),Datos!$D$3:$AL$3,"&lt;="&amp;Datos!I$3))))</f>
        <v>-</v>
      </c>
      <c r="J48" s="234" t="str">
        <f>IF((Datos!J67)=0,"-",IF((SUMIFS(Datos!$D$67:$AL$67,Datos!$D$3:$AL$3,"&gt;="&amp;DATE(YEAR(Datos!J$3),1,1),Datos!$D$3:$AL$3,"&lt;="&amp;Datos!J$3))=0,"-",(SUMIFS(Datos!$D$68:$AL$68,Datos!$D$3:$AL$3,"&gt;="&amp;DATE(YEAR(Datos!J$3),1,1),Datos!$D$3:$AL$3,"&lt;="&amp;Datos!J$3))/(SUMIFS(Datos!$D$67:$AL$67,Datos!$D$3:$AL$3,"&gt;="&amp;DATE(YEAR(Datos!J$3),1,1),Datos!$D$3:$AL$3,"&lt;="&amp;Datos!J$3))))</f>
        <v>-</v>
      </c>
      <c r="K48" s="234" t="str">
        <f>IF((Datos!K67)=0,"-",IF((SUMIFS(Datos!$D$67:$AL$67,Datos!$D$3:$AL$3,"&gt;="&amp;DATE(YEAR(Datos!K$3),1,1),Datos!$D$3:$AL$3,"&lt;="&amp;Datos!K$3))=0,"-",(SUMIFS(Datos!$D$68:$AL$68,Datos!$D$3:$AL$3,"&gt;="&amp;DATE(YEAR(Datos!K$3),1,1),Datos!$D$3:$AL$3,"&lt;="&amp;Datos!K$3))/(SUMIFS(Datos!$D$67:$AL$67,Datos!$D$3:$AL$3,"&gt;="&amp;DATE(YEAR(Datos!K$3),1,1),Datos!$D$3:$AL$3,"&lt;="&amp;Datos!K$3))))</f>
        <v>-</v>
      </c>
      <c r="L48" s="234" t="str">
        <f>IF((Datos!L67)=0,"-",IF((SUMIFS(Datos!$D$67:$AL$67,Datos!$D$3:$AL$3,"&gt;="&amp;DATE(YEAR(Datos!L$3),1,1),Datos!$D$3:$AL$3,"&lt;="&amp;Datos!L$3))=0,"-",(SUMIFS(Datos!$D$68:$AL$68,Datos!$D$3:$AL$3,"&gt;="&amp;DATE(YEAR(Datos!L$3),1,1),Datos!$D$3:$AL$3,"&lt;="&amp;Datos!L$3))/(SUMIFS(Datos!$D$67:$AL$67,Datos!$D$3:$AL$3,"&gt;="&amp;DATE(YEAR(Datos!L$3),1,1),Datos!$D$3:$AL$3,"&lt;="&amp;Datos!L$3))))</f>
        <v>-</v>
      </c>
      <c r="M48" s="234" t="str">
        <f>IF((Datos!M67)=0,"-",IF((SUMIFS(Datos!$D$67:$AL$67,Datos!$D$3:$AL$3,"&gt;="&amp;DATE(YEAR(Datos!M$3),1,1),Datos!$D$3:$AL$3,"&lt;="&amp;Datos!M$3))=0,"-",(SUMIFS(Datos!$D$68:$AL$68,Datos!$D$3:$AL$3,"&gt;="&amp;DATE(YEAR(Datos!M$3),1,1),Datos!$D$3:$AL$3,"&lt;="&amp;Datos!M$3))/(SUMIFS(Datos!$D$67:$AL$67,Datos!$D$3:$AL$3,"&gt;="&amp;DATE(YEAR(Datos!M$3),1,1),Datos!$D$3:$AL$3,"&lt;="&amp;Datos!M$3))))</f>
        <v>-</v>
      </c>
      <c r="N48" s="234" t="str">
        <f>IF((Datos!N67)=0,"-",IF((SUMIFS(Datos!$D$67:$AL$67,Datos!$D$3:$AL$3,"&gt;="&amp;DATE(YEAR(Datos!N$3),1,1),Datos!$D$3:$AL$3,"&lt;="&amp;Datos!N$3))=0,"-",(SUMIFS(Datos!$D$68:$AL$68,Datos!$D$3:$AL$3,"&gt;="&amp;DATE(YEAR(Datos!N$3),1,1),Datos!$D$3:$AL$3,"&lt;="&amp;Datos!N$3))/(SUMIFS(Datos!$D$67:$AL$67,Datos!$D$3:$AL$3,"&gt;="&amp;DATE(YEAR(Datos!N$3),1,1),Datos!$D$3:$AL$3,"&lt;="&amp;Datos!N$3))))</f>
        <v>-</v>
      </c>
      <c r="O48" s="234" t="str">
        <f>IF((Datos!O67)=0,"-",IF((SUMIFS(Datos!$D$67:$AL$67,Datos!$D$3:$AL$3,"&gt;="&amp;DATE(YEAR(Datos!O$3),1,1),Datos!$D$3:$AL$3,"&lt;="&amp;Datos!O$3))=0,"-",(SUMIFS(Datos!$D$68:$AL$68,Datos!$D$3:$AL$3,"&gt;="&amp;DATE(YEAR(Datos!O$3),1,1),Datos!$D$3:$AL$3,"&lt;="&amp;Datos!O$3))/(SUMIFS(Datos!$D$67:$AL$67,Datos!$D$3:$AL$3,"&gt;="&amp;DATE(YEAR(Datos!O$3),1,1),Datos!$D$3:$AL$3,"&lt;="&amp;Datos!O$3))))</f>
        <v>-</v>
      </c>
      <c r="P48" s="234" t="str">
        <f>IF((Datos!P67)=0,"-",IF((SUMIFS(Datos!$D$67:$AL$67,Datos!$D$3:$AL$3,"&gt;="&amp;DATE(YEAR(Datos!P$3),1,1),Datos!$D$3:$AL$3,"&lt;="&amp;Datos!P$3))=0,"-",(SUMIFS(Datos!$D$68:$AL$68,Datos!$D$3:$AL$3,"&gt;="&amp;DATE(YEAR(Datos!P$3),1,1),Datos!$D$3:$AL$3,"&lt;="&amp;Datos!P$3))/(SUMIFS(Datos!$D$67:$AL$67,Datos!$D$3:$AL$3,"&gt;="&amp;DATE(YEAR(Datos!P$3),1,1),Datos!$D$3:$AL$3,"&lt;="&amp;Datos!P$3))))</f>
        <v>-</v>
      </c>
      <c r="Q48" s="234" t="str">
        <f>IF((Datos!Q67)=0,"-",IF((SUMIFS(Datos!$D$67:$AL$67,Datos!$D$3:$AL$3,"&gt;="&amp;DATE(YEAR(Datos!Q$3),1,1),Datos!$D$3:$AL$3,"&lt;="&amp;Datos!Q$3))=0,"-",(SUMIFS(Datos!$D$68:$AL$68,Datos!$D$3:$AL$3,"&gt;="&amp;DATE(YEAR(Datos!Q$3),1,1),Datos!$D$3:$AL$3,"&lt;="&amp;Datos!Q$3))/(SUMIFS(Datos!$D$67:$AL$67,Datos!$D$3:$AL$3,"&gt;="&amp;DATE(YEAR(Datos!Q$3),1,1),Datos!$D$3:$AL$3,"&lt;="&amp;Datos!Q$3))))</f>
        <v>-</v>
      </c>
      <c r="R48" s="234" t="str">
        <f>IF((Datos!R67)=0,"-",IF((SUMIFS(Datos!$D$67:$AL$67,Datos!$D$3:$AL$3,"&gt;="&amp;DATE(YEAR(Datos!R$3),1,1),Datos!$D$3:$AL$3,"&lt;="&amp;Datos!R$3))=0,"-",(SUMIFS(Datos!$D$68:$AL$68,Datos!$D$3:$AL$3,"&gt;="&amp;DATE(YEAR(Datos!R$3),1,1),Datos!$D$3:$AL$3,"&lt;="&amp;Datos!R$3))/(SUMIFS(Datos!$D$67:$AL$67,Datos!$D$3:$AL$3,"&gt;="&amp;DATE(YEAR(Datos!R$3),1,1),Datos!$D$3:$AL$3,"&lt;="&amp;Datos!R$3))))</f>
        <v>-</v>
      </c>
      <c r="S48" s="234" t="str">
        <f>IF((Datos!S67)=0,"-",IF((SUMIFS(Datos!$D$67:$AL$67,Datos!$D$3:$AL$3,"&gt;="&amp;DATE(YEAR(Datos!S$3),1,1),Datos!$D$3:$AL$3,"&lt;="&amp;Datos!S$3))=0,"-",(SUMIFS(Datos!$D$68:$AL$68,Datos!$D$3:$AL$3,"&gt;="&amp;DATE(YEAR(Datos!S$3),1,1),Datos!$D$3:$AL$3,"&lt;="&amp;Datos!S$3))/(SUMIFS(Datos!$D$67:$AL$67,Datos!$D$3:$AL$3,"&gt;="&amp;DATE(YEAR(Datos!S$3),1,1),Datos!$D$3:$AL$3,"&lt;="&amp;Datos!S$3))))</f>
        <v>-</v>
      </c>
      <c r="T48" s="234" t="str">
        <f>IF((Datos!T67)=0,"-",IF((SUMIFS(Datos!$D$67:$AL$67,Datos!$D$3:$AL$3,"&gt;="&amp;DATE(YEAR(Datos!T$3),1,1),Datos!$D$3:$AL$3,"&lt;="&amp;Datos!T$3))=0,"-",(SUMIFS(Datos!$D$68:$AL$68,Datos!$D$3:$AL$3,"&gt;="&amp;DATE(YEAR(Datos!T$3),1,1),Datos!$D$3:$AL$3,"&lt;="&amp;Datos!T$3))/(SUMIFS(Datos!$D$67:$AL$67,Datos!$D$3:$AL$3,"&gt;="&amp;DATE(YEAR(Datos!T$3),1,1),Datos!$D$3:$AL$3,"&lt;="&amp;Datos!T$3))))</f>
        <v>-</v>
      </c>
      <c r="U48" s="234" t="str">
        <f>IF((Datos!U67)=0,"-",IF((SUMIFS(Datos!$D$67:$AL$67,Datos!$D$3:$AL$3,"&gt;="&amp;DATE(YEAR(Datos!U$3),1,1),Datos!$D$3:$AL$3,"&lt;="&amp;Datos!U$3))=0,"-",(SUMIFS(Datos!$D$68:$AL$68,Datos!$D$3:$AL$3,"&gt;="&amp;DATE(YEAR(Datos!U$3),1,1),Datos!$D$3:$AL$3,"&lt;="&amp;Datos!U$3))/(SUMIFS(Datos!$D$67:$AL$67,Datos!$D$3:$AL$3,"&gt;="&amp;DATE(YEAR(Datos!U$3),1,1),Datos!$D$3:$AL$3,"&lt;="&amp;Datos!U$3))))</f>
        <v>-</v>
      </c>
      <c r="V48" s="234" t="str">
        <f>IF((Datos!V67)=0,"-",IF((SUMIFS(Datos!$D$67:$AL$67,Datos!$D$3:$AL$3,"&gt;="&amp;DATE(YEAR(Datos!V$3),1,1),Datos!$D$3:$AL$3,"&lt;="&amp;Datos!V$3))=0,"-",(SUMIFS(Datos!$D$68:$AL$68,Datos!$D$3:$AL$3,"&gt;="&amp;DATE(YEAR(Datos!V$3),1,1),Datos!$D$3:$AL$3,"&lt;="&amp;Datos!V$3))/(SUMIFS(Datos!$D$67:$AL$67,Datos!$D$3:$AL$3,"&gt;="&amp;DATE(YEAR(Datos!V$3),1,1),Datos!$D$3:$AL$3,"&lt;="&amp;Datos!V$3))))</f>
        <v>-</v>
      </c>
      <c r="W48" s="234" t="str">
        <f>IF((Datos!W67)=0,"-",IF((SUMIFS(Datos!$D$67:$AL$67,Datos!$D$3:$AL$3,"&gt;="&amp;DATE(YEAR(Datos!W$3),1,1),Datos!$D$3:$AL$3,"&lt;="&amp;Datos!W$3))=0,"-",(SUMIFS(Datos!$D$68:$AL$68,Datos!$D$3:$AL$3,"&gt;="&amp;DATE(YEAR(Datos!W$3),1,1),Datos!$D$3:$AL$3,"&lt;="&amp;Datos!W$3))/(SUMIFS(Datos!$D$67:$AL$67,Datos!$D$3:$AL$3,"&gt;="&amp;DATE(YEAR(Datos!W$3),1,1),Datos!$D$3:$AL$3,"&lt;="&amp;Datos!W$3))))</f>
        <v>-</v>
      </c>
      <c r="X48" s="234" t="str">
        <f>IF((Datos!X67)=0,"-",IF((SUMIFS(Datos!$D$67:$AL$67,Datos!$D$3:$AL$3,"&gt;="&amp;DATE(YEAR(Datos!X$3),1,1),Datos!$D$3:$AL$3,"&lt;="&amp;Datos!X$3))=0,"-",(SUMIFS(Datos!$D$68:$AL$68,Datos!$D$3:$AL$3,"&gt;="&amp;DATE(YEAR(Datos!X$3),1,1),Datos!$D$3:$AL$3,"&lt;="&amp;Datos!X$3))/(SUMIFS(Datos!$D$67:$AL$67,Datos!$D$3:$AL$3,"&gt;="&amp;DATE(YEAR(Datos!X$3),1,1),Datos!$D$3:$AL$3,"&lt;="&amp;Datos!X$3))))</f>
        <v>-</v>
      </c>
      <c r="Y48" s="234" t="str">
        <f>IF((Datos!Y67)=0,"-",IF((SUMIFS(Datos!$D$67:$AL$67,Datos!$D$3:$AL$3,"&gt;="&amp;DATE(YEAR(Datos!Y$3),1,1),Datos!$D$3:$AL$3,"&lt;="&amp;Datos!Y$3))=0,"-",(SUMIFS(Datos!$D$68:$AL$68,Datos!$D$3:$AL$3,"&gt;="&amp;DATE(YEAR(Datos!Y$3),1,1),Datos!$D$3:$AL$3,"&lt;="&amp;Datos!Y$3))/(SUMIFS(Datos!$D$67:$AL$67,Datos!$D$3:$AL$3,"&gt;="&amp;DATE(YEAR(Datos!Y$3),1,1),Datos!$D$3:$AL$3,"&lt;="&amp;Datos!Y$3))))</f>
        <v>-</v>
      </c>
      <c r="Z48" s="234" t="str">
        <f>IF((Datos!Z67)=0,"-",IF((SUMIFS(Datos!$D$67:$AL$67,Datos!$D$3:$AL$3,"&gt;="&amp;DATE(YEAR(Datos!Z$3),1,1),Datos!$D$3:$AL$3,"&lt;="&amp;Datos!Z$3))=0,"-",(SUMIFS(Datos!$D$68:$AL$68,Datos!$D$3:$AL$3,"&gt;="&amp;DATE(YEAR(Datos!Z$3),1,1),Datos!$D$3:$AL$3,"&lt;="&amp;Datos!Z$3))/(SUMIFS(Datos!$D$67:$AL$67,Datos!$D$3:$AL$3,"&gt;="&amp;DATE(YEAR(Datos!Z$3),1,1),Datos!$D$3:$AL$3,"&lt;="&amp;Datos!Z$3))))</f>
        <v>-</v>
      </c>
      <c r="AA48" s="234" t="str">
        <f>IF((Datos!AA67)=0,"-",IF((SUMIFS(Datos!$D$67:$AL$67,Datos!$D$3:$AL$3,"&gt;="&amp;DATE(YEAR(Datos!AA$3),1,1),Datos!$D$3:$AL$3,"&lt;="&amp;Datos!AA$3))=0,"-",(SUMIFS(Datos!$D$68:$AL$68,Datos!$D$3:$AL$3,"&gt;="&amp;DATE(YEAR(Datos!AA$3),1,1),Datos!$D$3:$AL$3,"&lt;="&amp;Datos!AA$3))/(SUMIFS(Datos!$D$67:$AL$67,Datos!$D$3:$AL$3,"&gt;="&amp;DATE(YEAR(Datos!AA$3),1,1),Datos!$D$3:$AL$3,"&lt;="&amp;Datos!AA$3))))</f>
        <v>-</v>
      </c>
      <c r="AB48" s="234" t="str">
        <f>IF((Datos!AB67)=0,"-",IF((SUMIFS(Datos!$D$67:$AL$67,Datos!$D$3:$AL$3,"&gt;="&amp;DATE(YEAR(Datos!AB$3),1,1),Datos!$D$3:$AL$3,"&lt;="&amp;Datos!AB$3))=0,"-",(SUMIFS(Datos!$D$68:$AL$68,Datos!$D$3:$AL$3,"&gt;="&amp;DATE(YEAR(Datos!AB$3),1,1),Datos!$D$3:$AL$3,"&lt;="&amp;Datos!AB$3))/(SUMIFS(Datos!$D$67:$AL$67,Datos!$D$3:$AL$3,"&gt;="&amp;DATE(YEAR(Datos!AB$3),1,1),Datos!$D$3:$AL$3,"&lt;="&amp;Datos!AB$3))))</f>
        <v>-</v>
      </c>
      <c r="AC48" s="234" t="str">
        <f>IF((Datos!AC67)=0,"-",IF((SUMIFS(Datos!$D$67:$AL$67,Datos!$D$3:$AL$3,"&gt;="&amp;DATE(YEAR(Datos!AC$3),1,1),Datos!$D$3:$AL$3,"&lt;="&amp;Datos!AC$3))=0,"-",(SUMIFS(Datos!$D$68:$AL$68,Datos!$D$3:$AL$3,"&gt;="&amp;DATE(YEAR(Datos!AC$3),1,1),Datos!$D$3:$AL$3,"&lt;="&amp;Datos!AC$3))/(SUMIFS(Datos!$D$67:$AL$67,Datos!$D$3:$AL$3,"&gt;="&amp;DATE(YEAR(Datos!AC$3),1,1),Datos!$D$3:$AL$3,"&lt;="&amp;Datos!AC$3))))</f>
        <v>-</v>
      </c>
      <c r="AD48" s="234" t="str">
        <f>IF((Datos!AD67)=0,"-",IF((SUMIFS(Datos!$D$67:$AL$67,Datos!$D$3:$AL$3,"&gt;="&amp;DATE(YEAR(Datos!AD$3),1,1),Datos!$D$3:$AL$3,"&lt;="&amp;Datos!AD$3))=0,"-",(SUMIFS(Datos!$D$68:$AL$68,Datos!$D$3:$AL$3,"&gt;="&amp;DATE(YEAR(Datos!AD$3),1,1),Datos!$D$3:$AL$3,"&lt;="&amp;Datos!AD$3))/(SUMIFS(Datos!$D$67:$AL$67,Datos!$D$3:$AL$3,"&gt;="&amp;DATE(YEAR(Datos!AD$3),1,1),Datos!$D$3:$AL$3,"&lt;="&amp;Datos!AD$3))))</f>
        <v>-</v>
      </c>
      <c r="AE48" s="234" t="str">
        <f>IF((Datos!AE67)=0,"-",IF((SUMIFS(Datos!$D$67:$AL$67,Datos!$D$3:$AL$3,"&gt;="&amp;DATE(YEAR(Datos!AE$3),1,1),Datos!$D$3:$AL$3,"&lt;="&amp;Datos!AE$3))=0,"-",(SUMIFS(Datos!$D$68:$AL$68,Datos!$D$3:$AL$3,"&gt;="&amp;DATE(YEAR(Datos!AE$3),1,1),Datos!$D$3:$AL$3,"&lt;="&amp;Datos!AE$3))/(SUMIFS(Datos!$D$67:$AL$67,Datos!$D$3:$AL$3,"&gt;="&amp;DATE(YEAR(Datos!AE$3),1,1),Datos!$D$3:$AL$3,"&lt;="&amp;Datos!AE$3))))</f>
        <v>-</v>
      </c>
      <c r="AF48" s="234" t="str">
        <f>IF((Datos!AF67)=0,"-",IF((SUMIFS(Datos!$D$67:$AL$67,Datos!$D$3:$AL$3,"&gt;="&amp;DATE(YEAR(Datos!AF$3),1,1),Datos!$D$3:$AL$3,"&lt;="&amp;Datos!AF$3))=0,"-",(SUMIFS(Datos!$D$68:$AL$68,Datos!$D$3:$AL$3,"&gt;="&amp;DATE(YEAR(Datos!AF$3),1,1),Datos!$D$3:$AL$3,"&lt;="&amp;Datos!AF$3))/(SUMIFS(Datos!$D$67:$AL$67,Datos!$D$3:$AL$3,"&gt;="&amp;DATE(YEAR(Datos!AF$3),1,1),Datos!$D$3:$AL$3,"&lt;="&amp;Datos!AF$3))))</f>
        <v>-</v>
      </c>
      <c r="AG48" s="234" t="str">
        <f>IF((Datos!AG67)=0,"-",IF((SUMIFS(Datos!$D$67:$AL$67,Datos!$D$3:$AL$3,"&gt;="&amp;DATE(YEAR(Datos!AG$3),1,1),Datos!$D$3:$AL$3,"&lt;="&amp;Datos!AG$3))=0,"-",(SUMIFS(Datos!$D$68:$AL$68,Datos!$D$3:$AL$3,"&gt;="&amp;DATE(YEAR(Datos!AG$3),1,1),Datos!$D$3:$AL$3,"&lt;="&amp;Datos!AG$3))/(SUMIFS(Datos!$D$67:$AL$67,Datos!$D$3:$AL$3,"&gt;="&amp;DATE(YEAR(Datos!AG$3),1,1),Datos!$D$3:$AL$3,"&lt;="&amp;Datos!AG$3))))</f>
        <v>-</v>
      </c>
      <c r="AH48" s="234" t="str">
        <f>IF((Datos!AH67)=0,"-",IF((SUMIFS(Datos!$D$67:$AL$67,Datos!$D$3:$AL$3,"&gt;="&amp;DATE(YEAR(Datos!AH$3),1,1),Datos!$D$3:$AL$3,"&lt;="&amp;Datos!AH$3))=0,"-",(SUMIFS(Datos!$D$68:$AL$68,Datos!$D$3:$AL$3,"&gt;="&amp;DATE(YEAR(Datos!AH$3),1,1),Datos!$D$3:$AL$3,"&lt;="&amp;Datos!AH$3))/(SUMIFS(Datos!$D$67:$AL$67,Datos!$D$3:$AL$3,"&gt;="&amp;DATE(YEAR(Datos!AH$3),1,1),Datos!$D$3:$AL$3,"&lt;="&amp;Datos!AH$3))))</f>
        <v>-</v>
      </c>
      <c r="AI48" s="234" t="str">
        <f>IF((Datos!AI67)=0,"-",IF((SUMIFS(Datos!$D$67:$AL$67,Datos!$D$3:$AL$3,"&gt;="&amp;DATE(YEAR(Datos!AI$3),1,1),Datos!$D$3:$AL$3,"&lt;="&amp;Datos!AI$3))=0,"-",(SUMIFS(Datos!$D$68:$AL$68,Datos!$D$3:$AL$3,"&gt;="&amp;DATE(YEAR(Datos!AI$3),1,1),Datos!$D$3:$AL$3,"&lt;="&amp;Datos!AI$3))/(SUMIFS(Datos!$D$67:$AL$67,Datos!$D$3:$AL$3,"&gt;="&amp;DATE(YEAR(Datos!AI$3),1,1),Datos!$D$3:$AL$3,"&lt;="&amp;Datos!AI$3))))</f>
        <v>-</v>
      </c>
      <c r="AJ48" s="234" t="str">
        <f>IF((Datos!AJ67)=0,"-",IF((SUMIFS(Datos!$D$67:$AL$67,Datos!$D$3:$AL$3,"&gt;="&amp;DATE(YEAR(Datos!AJ$3),1,1),Datos!$D$3:$AL$3,"&lt;="&amp;Datos!AJ$3))=0,"-",(SUMIFS(Datos!$D$68:$AL$68,Datos!$D$3:$AL$3,"&gt;="&amp;DATE(YEAR(Datos!AJ$3),1,1),Datos!$D$3:$AL$3,"&lt;="&amp;Datos!AJ$3))/(SUMIFS(Datos!$D$67:$AL$67,Datos!$D$3:$AL$3,"&gt;="&amp;DATE(YEAR(Datos!AJ$3),1,1),Datos!$D$3:$AL$3,"&lt;="&amp;Datos!AJ$3))))</f>
        <v>-</v>
      </c>
      <c r="AK48" s="234" t="str">
        <f>IF((Datos!AK67)=0,"-",IF((SUMIFS(Datos!$D$67:$AL$67,Datos!$D$3:$AL$3,"&gt;="&amp;DATE(YEAR(Datos!AK$3),1,1),Datos!$D$3:$AL$3,"&lt;="&amp;Datos!AK$3))=0,"-",(SUMIFS(Datos!$D$68:$AL$68,Datos!$D$3:$AL$3,"&gt;="&amp;DATE(YEAR(Datos!AK$3),1,1),Datos!$D$3:$AL$3,"&lt;="&amp;Datos!AK$3))/(SUMIFS(Datos!$D$67:$AL$67,Datos!$D$3:$AL$3,"&gt;="&amp;DATE(YEAR(Datos!AK$3),1,1),Datos!$D$3:$AL$3,"&lt;="&amp;Datos!AK$3))))</f>
        <v>-</v>
      </c>
      <c r="AL48" s="234" t="str">
        <f>IF((Datos!AL67)=0,"-",IF((SUMIFS(Datos!$D$67:$AL$67,Datos!$D$3:$AL$3,"&gt;="&amp;DATE(YEAR(Datos!AL$3),1,1),Datos!$D$3:$AL$3,"&lt;="&amp;Datos!AL$3))=0,"-",(SUMIFS(Datos!$D$68:$AL$68,Datos!$D$3:$AL$3,"&gt;="&amp;DATE(YEAR(Datos!AL$3),1,1),Datos!$D$3:$AL$3,"&lt;="&amp;Datos!AL$3))/(SUMIFS(Datos!$D$67:$AL$67,Datos!$D$3:$AL$3,"&gt;="&amp;DATE(YEAR(Datos!AL$3),1,1),Datos!$D$3:$AL$3,"&lt;="&amp;Datos!AL$3))))</f>
        <v>-</v>
      </c>
    </row>
    <row r="49" spans="1:38" ht="27.75" customHeight="1" x14ac:dyDescent="0.3">
      <c r="A49" s="232" t="str">
        <f>KPIs!$A$33&amp;" · YTD"</f>
        <v>C1 · % de desvíos detectados de gravedad Alta · YTD</v>
      </c>
      <c r="B49" s="70" t="s">
        <v>143</v>
      </c>
      <c r="C49" s="230" t="str">
        <f>IF(KPIs!C33="","",KPIs!C33)</f>
        <v>Reporte</v>
      </c>
      <c r="D49" s="238" t="str">
        <f>IF((Datos!D71+Datos!D72+Datos!D73)=0,"-",IF((SUMIFS(Datos!$D$71:$AL$71,Datos!$D$3:$AL$3,"&gt;="&amp;DATE(YEAR(Datos!D$3),1,1),Datos!$D$3:$AL$3,"&lt;="&amp;Datos!D$3)+SUMIFS(Datos!$D$72:$AL$72,Datos!$D$3:$AL$3,"&gt;="&amp;DATE(YEAR(Datos!D$3),1,1),Datos!$D$3:$AL$3,"&lt;="&amp;Datos!D$3)+SUMIFS(Datos!$D$73:$AL$73,Datos!$D$3:$AL$3,"&gt;="&amp;DATE(YEAR(Datos!D$3),1,1),Datos!$D$3:$AL$3,"&lt;="&amp;Datos!D$3))=0,"-",(SUMIFS(Datos!$D$71:$AL$71,Datos!$D$3:$AL$3,"&gt;="&amp;DATE(YEAR(Datos!D$3),1,1),Datos!$D$3:$AL$3,"&lt;="&amp;Datos!D$3))/(SUMIFS(Datos!$D$71:$AL$71,Datos!$D$3:$AL$3,"&gt;="&amp;DATE(YEAR(Datos!D$3),1,1),Datos!$D$3:$AL$3,"&lt;="&amp;Datos!D$3)+SUMIFS(Datos!$D$72:$AL$72,Datos!$D$3:$AL$3,"&gt;="&amp;DATE(YEAR(Datos!D$3),1,1),Datos!$D$3:$AL$3,"&lt;="&amp;Datos!D$3)+SUMIFS(Datos!$D$73:$AL$73,Datos!$D$3:$AL$3,"&gt;="&amp;DATE(YEAR(Datos!D$3),1,1),Datos!$D$3:$AL$3,"&lt;="&amp;Datos!D$3))))</f>
        <v>-</v>
      </c>
      <c r="E49" s="238" t="str">
        <f>IF((Datos!E71+Datos!E72+Datos!E73)=0,"-",IF((SUMIFS(Datos!$D$71:$AL$71,Datos!$D$3:$AL$3,"&gt;="&amp;DATE(YEAR(Datos!E$3),1,1),Datos!$D$3:$AL$3,"&lt;="&amp;Datos!E$3)+SUMIFS(Datos!$D$72:$AL$72,Datos!$D$3:$AL$3,"&gt;="&amp;DATE(YEAR(Datos!E$3),1,1),Datos!$D$3:$AL$3,"&lt;="&amp;Datos!E$3)+SUMIFS(Datos!$D$73:$AL$73,Datos!$D$3:$AL$3,"&gt;="&amp;DATE(YEAR(Datos!E$3),1,1),Datos!$D$3:$AL$3,"&lt;="&amp;Datos!E$3))=0,"-",(SUMIFS(Datos!$D$71:$AL$71,Datos!$D$3:$AL$3,"&gt;="&amp;DATE(YEAR(Datos!E$3),1,1),Datos!$D$3:$AL$3,"&lt;="&amp;Datos!E$3))/(SUMIFS(Datos!$D$71:$AL$71,Datos!$D$3:$AL$3,"&gt;="&amp;DATE(YEAR(Datos!E$3),1,1),Datos!$D$3:$AL$3,"&lt;="&amp;Datos!E$3)+SUMIFS(Datos!$D$72:$AL$72,Datos!$D$3:$AL$3,"&gt;="&amp;DATE(YEAR(Datos!E$3),1,1),Datos!$D$3:$AL$3,"&lt;="&amp;Datos!E$3)+SUMIFS(Datos!$D$73:$AL$73,Datos!$D$3:$AL$3,"&gt;="&amp;DATE(YEAR(Datos!E$3),1,1),Datos!$D$3:$AL$3,"&lt;="&amp;Datos!E$3))))</f>
        <v>-</v>
      </c>
      <c r="F49" s="238" t="str">
        <f>IF((Datos!F71+Datos!F72+Datos!F73)=0,"-",IF((SUMIFS(Datos!$D$71:$AL$71,Datos!$D$3:$AL$3,"&gt;="&amp;DATE(YEAR(Datos!F$3),1,1),Datos!$D$3:$AL$3,"&lt;="&amp;Datos!F$3)+SUMIFS(Datos!$D$72:$AL$72,Datos!$D$3:$AL$3,"&gt;="&amp;DATE(YEAR(Datos!F$3),1,1),Datos!$D$3:$AL$3,"&lt;="&amp;Datos!F$3)+SUMIFS(Datos!$D$73:$AL$73,Datos!$D$3:$AL$3,"&gt;="&amp;DATE(YEAR(Datos!F$3),1,1),Datos!$D$3:$AL$3,"&lt;="&amp;Datos!F$3))=0,"-",(SUMIFS(Datos!$D$71:$AL$71,Datos!$D$3:$AL$3,"&gt;="&amp;DATE(YEAR(Datos!F$3),1,1),Datos!$D$3:$AL$3,"&lt;="&amp;Datos!F$3))/(SUMIFS(Datos!$D$71:$AL$71,Datos!$D$3:$AL$3,"&gt;="&amp;DATE(YEAR(Datos!F$3),1,1),Datos!$D$3:$AL$3,"&lt;="&amp;Datos!F$3)+SUMIFS(Datos!$D$72:$AL$72,Datos!$D$3:$AL$3,"&gt;="&amp;DATE(YEAR(Datos!F$3),1,1),Datos!$D$3:$AL$3,"&lt;="&amp;Datos!F$3)+SUMIFS(Datos!$D$73:$AL$73,Datos!$D$3:$AL$3,"&gt;="&amp;DATE(YEAR(Datos!F$3),1,1),Datos!$D$3:$AL$3,"&lt;="&amp;Datos!F$3))))</f>
        <v>-</v>
      </c>
      <c r="G49" s="238" t="str">
        <f>IF((Datos!G71+Datos!G72+Datos!G73)=0,"-",IF((SUMIFS(Datos!$D$71:$AL$71,Datos!$D$3:$AL$3,"&gt;="&amp;DATE(YEAR(Datos!G$3),1,1),Datos!$D$3:$AL$3,"&lt;="&amp;Datos!G$3)+SUMIFS(Datos!$D$72:$AL$72,Datos!$D$3:$AL$3,"&gt;="&amp;DATE(YEAR(Datos!G$3),1,1),Datos!$D$3:$AL$3,"&lt;="&amp;Datos!G$3)+SUMIFS(Datos!$D$73:$AL$73,Datos!$D$3:$AL$3,"&gt;="&amp;DATE(YEAR(Datos!G$3),1,1),Datos!$D$3:$AL$3,"&lt;="&amp;Datos!G$3))=0,"-",(SUMIFS(Datos!$D$71:$AL$71,Datos!$D$3:$AL$3,"&gt;="&amp;DATE(YEAR(Datos!G$3),1,1),Datos!$D$3:$AL$3,"&lt;="&amp;Datos!G$3))/(SUMIFS(Datos!$D$71:$AL$71,Datos!$D$3:$AL$3,"&gt;="&amp;DATE(YEAR(Datos!G$3),1,1),Datos!$D$3:$AL$3,"&lt;="&amp;Datos!G$3)+SUMIFS(Datos!$D$72:$AL$72,Datos!$D$3:$AL$3,"&gt;="&amp;DATE(YEAR(Datos!G$3),1,1),Datos!$D$3:$AL$3,"&lt;="&amp;Datos!G$3)+SUMIFS(Datos!$D$73:$AL$73,Datos!$D$3:$AL$3,"&gt;="&amp;DATE(YEAR(Datos!G$3),1,1),Datos!$D$3:$AL$3,"&lt;="&amp;Datos!G$3))))</f>
        <v>-</v>
      </c>
      <c r="H49" s="238" t="str">
        <f>IF((Datos!H71+Datos!H72+Datos!H73)=0,"-",IF((SUMIFS(Datos!$D$71:$AL$71,Datos!$D$3:$AL$3,"&gt;="&amp;DATE(YEAR(Datos!H$3),1,1),Datos!$D$3:$AL$3,"&lt;="&amp;Datos!H$3)+SUMIFS(Datos!$D$72:$AL$72,Datos!$D$3:$AL$3,"&gt;="&amp;DATE(YEAR(Datos!H$3),1,1),Datos!$D$3:$AL$3,"&lt;="&amp;Datos!H$3)+SUMIFS(Datos!$D$73:$AL$73,Datos!$D$3:$AL$3,"&gt;="&amp;DATE(YEAR(Datos!H$3),1,1),Datos!$D$3:$AL$3,"&lt;="&amp;Datos!H$3))=0,"-",(SUMIFS(Datos!$D$71:$AL$71,Datos!$D$3:$AL$3,"&gt;="&amp;DATE(YEAR(Datos!H$3),1,1),Datos!$D$3:$AL$3,"&lt;="&amp;Datos!H$3))/(SUMIFS(Datos!$D$71:$AL$71,Datos!$D$3:$AL$3,"&gt;="&amp;DATE(YEAR(Datos!H$3),1,1),Datos!$D$3:$AL$3,"&lt;="&amp;Datos!H$3)+SUMIFS(Datos!$D$72:$AL$72,Datos!$D$3:$AL$3,"&gt;="&amp;DATE(YEAR(Datos!H$3),1,1),Datos!$D$3:$AL$3,"&lt;="&amp;Datos!H$3)+SUMIFS(Datos!$D$73:$AL$73,Datos!$D$3:$AL$3,"&gt;="&amp;DATE(YEAR(Datos!H$3),1,1),Datos!$D$3:$AL$3,"&lt;="&amp;Datos!H$3))))</f>
        <v>-</v>
      </c>
      <c r="I49" s="238" t="str">
        <f>IF((Datos!I71+Datos!I72+Datos!I73)=0,"-",IF((SUMIFS(Datos!$D$71:$AL$71,Datos!$D$3:$AL$3,"&gt;="&amp;DATE(YEAR(Datos!I$3),1,1),Datos!$D$3:$AL$3,"&lt;="&amp;Datos!I$3)+SUMIFS(Datos!$D$72:$AL$72,Datos!$D$3:$AL$3,"&gt;="&amp;DATE(YEAR(Datos!I$3),1,1),Datos!$D$3:$AL$3,"&lt;="&amp;Datos!I$3)+SUMIFS(Datos!$D$73:$AL$73,Datos!$D$3:$AL$3,"&gt;="&amp;DATE(YEAR(Datos!I$3),1,1),Datos!$D$3:$AL$3,"&lt;="&amp;Datos!I$3))=0,"-",(SUMIFS(Datos!$D$71:$AL$71,Datos!$D$3:$AL$3,"&gt;="&amp;DATE(YEAR(Datos!I$3),1,1),Datos!$D$3:$AL$3,"&lt;="&amp;Datos!I$3))/(SUMIFS(Datos!$D$71:$AL$71,Datos!$D$3:$AL$3,"&gt;="&amp;DATE(YEAR(Datos!I$3),1,1),Datos!$D$3:$AL$3,"&lt;="&amp;Datos!I$3)+SUMIFS(Datos!$D$72:$AL$72,Datos!$D$3:$AL$3,"&gt;="&amp;DATE(YEAR(Datos!I$3),1,1),Datos!$D$3:$AL$3,"&lt;="&amp;Datos!I$3)+SUMIFS(Datos!$D$73:$AL$73,Datos!$D$3:$AL$3,"&gt;="&amp;DATE(YEAR(Datos!I$3),1,1),Datos!$D$3:$AL$3,"&lt;="&amp;Datos!I$3))))</f>
        <v>-</v>
      </c>
      <c r="J49" s="238" t="str">
        <f>IF((Datos!J71+Datos!J72+Datos!J73)=0,"-",IF((SUMIFS(Datos!$D$71:$AL$71,Datos!$D$3:$AL$3,"&gt;="&amp;DATE(YEAR(Datos!J$3),1,1),Datos!$D$3:$AL$3,"&lt;="&amp;Datos!J$3)+SUMIFS(Datos!$D$72:$AL$72,Datos!$D$3:$AL$3,"&gt;="&amp;DATE(YEAR(Datos!J$3),1,1),Datos!$D$3:$AL$3,"&lt;="&amp;Datos!J$3)+SUMIFS(Datos!$D$73:$AL$73,Datos!$D$3:$AL$3,"&gt;="&amp;DATE(YEAR(Datos!J$3),1,1),Datos!$D$3:$AL$3,"&lt;="&amp;Datos!J$3))=0,"-",(SUMIFS(Datos!$D$71:$AL$71,Datos!$D$3:$AL$3,"&gt;="&amp;DATE(YEAR(Datos!J$3),1,1),Datos!$D$3:$AL$3,"&lt;="&amp;Datos!J$3))/(SUMIFS(Datos!$D$71:$AL$71,Datos!$D$3:$AL$3,"&gt;="&amp;DATE(YEAR(Datos!J$3),1,1),Datos!$D$3:$AL$3,"&lt;="&amp;Datos!J$3)+SUMIFS(Datos!$D$72:$AL$72,Datos!$D$3:$AL$3,"&gt;="&amp;DATE(YEAR(Datos!J$3),1,1),Datos!$D$3:$AL$3,"&lt;="&amp;Datos!J$3)+SUMIFS(Datos!$D$73:$AL$73,Datos!$D$3:$AL$3,"&gt;="&amp;DATE(YEAR(Datos!J$3),1,1),Datos!$D$3:$AL$3,"&lt;="&amp;Datos!J$3))))</f>
        <v>-</v>
      </c>
      <c r="K49" s="238" t="str">
        <f>IF((Datos!K71+Datos!K72+Datos!K73)=0,"-",IF((SUMIFS(Datos!$D$71:$AL$71,Datos!$D$3:$AL$3,"&gt;="&amp;DATE(YEAR(Datos!K$3),1,1),Datos!$D$3:$AL$3,"&lt;="&amp;Datos!K$3)+SUMIFS(Datos!$D$72:$AL$72,Datos!$D$3:$AL$3,"&gt;="&amp;DATE(YEAR(Datos!K$3),1,1),Datos!$D$3:$AL$3,"&lt;="&amp;Datos!K$3)+SUMIFS(Datos!$D$73:$AL$73,Datos!$D$3:$AL$3,"&gt;="&amp;DATE(YEAR(Datos!K$3),1,1),Datos!$D$3:$AL$3,"&lt;="&amp;Datos!K$3))=0,"-",(SUMIFS(Datos!$D$71:$AL$71,Datos!$D$3:$AL$3,"&gt;="&amp;DATE(YEAR(Datos!K$3),1,1),Datos!$D$3:$AL$3,"&lt;="&amp;Datos!K$3))/(SUMIFS(Datos!$D$71:$AL$71,Datos!$D$3:$AL$3,"&gt;="&amp;DATE(YEAR(Datos!K$3),1,1),Datos!$D$3:$AL$3,"&lt;="&amp;Datos!K$3)+SUMIFS(Datos!$D$72:$AL$72,Datos!$D$3:$AL$3,"&gt;="&amp;DATE(YEAR(Datos!K$3),1,1),Datos!$D$3:$AL$3,"&lt;="&amp;Datos!K$3)+SUMIFS(Datos!$D$73:$AL$73,Datos!$D$3:$AL$3,"&gt;="&amp;DATE(YEAR(Datos!K$3),1,1),Datos!$D$3:$AL$3,"&lt;="&amp;Datos!K$3))))</f>
        <v>-</v>
      </c>
      <c r="L49" s="238" t="str">
        <f>IF((Datos!L71+Datos!L72+Datos!L73)=0,"-",IF((SUMIFS(Datos!$D$71:$AL$71,Datos!$D$3:$AL$3,"&gt;="&amp;DATE(YEAR(Datos!L$3),1,1),Datos!$D$3:$AL$3,"&lt;="&amp;Datos!L$3)+SUMIFS(Datos!$D$72:$AL$72,Datos!$D$3:$AL$3,"&gt;="&amp;DATE(YEAR(Datos!L$3),1,1),Datos!$D$3:$AL$3,"&lt;="&amp;Datos!L$3)+SUMIFS(Datos!$D$73:$AL$73,Datos!$D$3:$AL$3,"&gt;="&amp;DATE(YEAR(Datos!L$3),1,1),Datos!$D$3:$AL$3,"&lt;="&amp;Datos!L$3))=0,"-",(SUMIFS(Datos!$D$71:$AL$71,Datos!$D$3:$AL$3,"&gt;="&amp;DATE(YEAR(Datos!L$3),1,1),Datos!$D$3:$AL$3,"&lt;="&amp;Datos!L$3))/(SUMIFS(Datos!$D$71:$AL$71,Datos!$D$3:$AL$3,"&gt;="&amp;DATE(YEAR(Datos!L$3),1,1),Datos!$D$3:$AL$3,"&lt;="&amp;Datos!L$3)+SUMIFS(Datos!$D$72:$AL$72,Datos!$D$3:$AL$3,"&gt;="&amp;DATE(YEAR(Datos!L$3),1,1),Datos!$D$3:$AL$3,"&lt;="&amp;Datos!L$3)+SUMIFS(Datos!$D$73:$AL$73,Datos!$D$3:$AL$3,"&gt;="&amp;DATE(YEAR(Datos!L$3),1,1),Datos!$D$3:$AL$3,"&lt;="&amp;Datos!L$3))))</f>
        <v>-</v>
      </c>
      <c r="M49" s="238" t="str">
        <f>IF((Datos!M71+Datos!M72+Datos!M73)=0,"-",IF((SUMIFS(Datos!$D$71:$AL$71,Datos!$D$3:$AL$3,"&gt;="&amp;DATE(YEAR(Datos!M$3),1,1),Datos!$D$3:$AL$3,"&lt;="&amp;Datos!M$3)+SUMIFS(Datos!$D$72:$AL$72,Datos!$D$3:$AL$3,"&gt;="&amp;DATE(YEAR(Datos!M$3),1,1),Datos!$D$3:$AL$3,"&lt;="&amp;Datos!M$3)+SUMIFS(Datos!$D$73:$AL$73,Datos!$D$3:$AL$3,"&gt;="&amp;DATE(YEAR(Datos!M$3),1,1),Datos!$D$3:$AL$3,"&lt;="&amp;Datos!M$3))=0,"-",(SUMIFS(Datos!$D$71:$AL$71,Datos!$D$3:$AL$3,"&gt;="&amp;DATE(YEAR(Datos!M$3),1,1),Datos!$D$3:$AL$3,"&lt;="&amp;Datos!M$3))/(SUMIFS(Datos!$D$71:$AL$71,Datos!$D$3:$AL$3,"&gt;="&amp;DATE(YEAR(Datos!M$3),1,1),Datos!$D$3:$AL$3,"&lt;="&amp;Datos!M$3)+SUMIFS(Datos!$D$72:$AL$72,Datos!$D$3:$AL$3,"&gt;="&amp;DATE(YEAR(Datos!M$3),1,1),Datos!$D$3:$AL$3,"&lt;="&amp;Datos!M$3)+SUMIFS(Datos!$D$73:$AL$73,Datos!$D$3:$AL$3,"&gt;="&amp;DATE(YEAR(Datos!M$3),1,1),Datos!$D$3:$AL$3,"&lt;="&amp;Datos!M$3))))</f>
        <v>-</v>
      </c>
      <c r="N49" s="238" t="str">
        <f>IF((Datos!N71+Datos!N72+Datos!N73)=0,"-",IF((SUMIFS(Datos!$D$71:$AL$71,Datos!$D$3:$AL$3,"&gt;="&amp;DATE(YEAR(Datos!N$3),1,1),Datos!$D$3:$AL$3,"&lt;="&amp;Datos!N$3)+SUMIFS(Datos!$D$72:$AL$72,Datos!$D$3:$AL$3,"&gt;="&amp;DATE(YEAR(Datos!N$3),1,1),Datos!$D$3:$AL$3,"&lt;="&amp;Datos!N$3)+SUMIFS(Datos!$D$73:$AL$73,Datos!$D$3:$AL$3,"&gt;="&amp;DATE(YEAR(Datos!N$3),1,1),Datos!$D$3:$AL$3,"&lt;="&amp;Datos!N$3))=0,"-",(SUMIFS(Datos!$D$71:$AL$71,Datos!$D$3:$AL$3,"&gt;="&amp;DATE(YEAR(Datos!N$3),1,1),Datos!$D$3:$AL$3,"&lt;="&amp;Datos!N$3))/(SUMIFS(Datos!$D$71:$AL$71,Datos!$D$3:$AL$3,"&gt;="&amp;DATE(YEAR(Datos!N$3),1,1),Datos!$D$3:$AL$3,"&lt;="&amp;Datos!N$3)+SUMIFS(Datos!$D$72:$AL$72,Datos!$D$3:$AL$3,"&gt;="&amp;DATE(YEAR(Datos!N$3),1,1),Datos!$D$3:$AL$3,"&lt;="&amp;Datos!N$3)+SUMIFS(Datos!$D$73:$AL$73,Datos!$D$3:$AL$3,"&gt;="&amp;DATE(YEAR(Datos!N$3),1,1),Datos!$D$3:$AL$3,"&lt;="&amp;Datos!N$3))))</f>
        <v>-</v>
      </c>
      <c r="O49" s="238" t="str">
        <f>IF((Datos!O71+Datos!O72+Datos!O73)=0,"-",IF((SUMIFS(Datos!$D$71:$AL$71,Datos!$D$3:$AL$3,"&gt;="&amp;DATE(YEAR(Datos!O$3),1,1),Datos!$D$3:$AL$3,"&lt;="&amp;Datos!O$3)+SUMIFS(Datos!$D$72:$AL$72,Datos!$D$3:$AL$3,"&gt;="&amp;DATE(YEAR(Datos!O$3),1,1),Datos!$D$3:$AL$3,"&lt;="&amp;Datos!O$3)+SUMIFS(Datos!$D$73:$AL$73,Datos!$D$3:$AL$3,"&gt;="&amp;DATE(YEAR(Datos!O$3),1,1),Datos!$D$3:$AL$3,"&lt;="&amp;Datos!O$3))=0,"-",(SUMIFS(Datos!$D$71:$AL$71,Datos!$D$3:$AL$3,"&gt;="&amp;DATE(YEAR(Datos!O$3),1,1),Datos!$D$3:$AL$3,"&lt;="&amp;Datos!O$3))/(SUMIFS(Datos!$D$71:$AL$71,Datos!$D$3:$AL$3,"&gt;="&amp;DATE(YEAR(Datos!O$3),1,1),Datos!$D$3:$AL$3,"&lt;="&amp;Datos!O$3)+SUMIFS(Datos!$D$72:$AL$72,Datos!$D$3:$AL$3,"&gt;="&amp;DATE(YEAR(Datos!O$3),1,1),Datos!$D$3:$AL$3,"&lt;="&amp;Datos!O$3)+SUMIFS(Datos!$D$73:$AL$73,Datos!$D$3:$AL$3,"&gt;="&amp;DATE(YEAR(Datos!O$3),1,1),Datos!$D$3:$AL$3,"&lt;="&amp;Datos!O$3))))</f>
        <v>-</v>
      </c>
      <c r="P49" s="238" t="str">
        <f>IF((Datos!P71+Datos!P72+Datos!P73)=0,"-",IF((SUMIFS(Datos!$D$71:$AL$71,Datos!$D$3:$AL$3,"&gt;="&amp;DATE(YEAR(Datos!P$3),1,1),Datos!$D$3:$AL$3,"&lt;="&amp;Datos!P$3)+SUMIFS(Datos!$D$72:$AL$72,Datos!$D$3:$AL$3,"&gt;="&amp;DATE(YEAR(Datos!P$3),1,1),Datos!$D$3:$AL$3,"&lt;="&amp;Datos!P$3)+SUMIFS(Datos!$D$73:$AL$73,Datos!$D$3:$AL$3,"&gt;="&amp;DATE(YEAR(Datos!P$3),1,1),Datos!$D$3:$AL$3,"&lt;="&amp;Datos!P$3))=0,"-",(SUMIFS(Datos!$D$71:$AL$71,Datos!$D$3:$AL$3,"&gt;="&amp;DATE(YEAR(Datos!P$3),1,1),Datos!$D$3:$AL$3,"&lt;="&amp;Datos!P$3))/(SUMIFS(Datos!$D$71:$AL$71,Datos!$D$3:$AL$3,"&gt;="&amp;DATE(YEAR(Datos!P$3),1,1),Datos!$D$3:$AL$3,"&lt;="&amp;Datos!P$3)+SUMIFS(Datos!$D$72:$AL$72,Datos!$D$3:$AL$3,"&gt;="&amp;DATE(YEAR(Datos!P$3),1,1),Datos!$D$3:$AL$3,"&lt;="&amp;Datos!P$3)+SUMIFS(Datos!$D$73:$AL$73,Datos!$D$3:$AL$3,"&gt;="&amp;DATE(YEAR(Datos!P$3),1,1),Datos!$D$3:$AL$3,"&lt;="&amp;Datos!P$3))))</f>
        <v>-</v>
      </c>
      <c r="Q49" s="238" t="str">
        <f>IF((Datos!Q71+Datos!Q72+Datos!Q73)=0,"-",IF((SUMIFS(Datos!$D$71:$AL$71,Datos!$D$3:$AL$3,"&gt;="&amp;DATE(YEAR(Datos!Q$3),1,1),Datos!$D$3:$AL$3,"&lt;="&amp;Datos!Q$3)+SUMIFS(Datos!$D$72:$AL$72,Datos!$D$3:$AL$3,"&gt;="&amp;DATE(YEAR(Datos!Q$3),1,1),Datos!$D$3:$AL$3,"&lt;="&amp;Datos!Q$3)+SUMIFS(Datos!$D$73:$AL$73,Datos!$D$3:$AL$3,"&gt;="&amp;DATE(YEAR(Datos!Q$3),1,1),Datos!$D$3:$AL$3,"&lt;="&amp;Datos!Q$3))=0,"-",(SUMIFS(Datos!$D$71:$AL$71,Datos!$D$3:$AL$3,"&gt;="&amp;DATE(YEAR(Datos!Q$3),1,1),Datos!$D$3:$AL$3,"&lt;="&amp;Datos!Q$3))/(SUMIFS(Datos!$D$71:$AL$71,Datos!$D$3:$AL$3,"&gt;="&amp;DATE(YEAR(Datos!Q$3),1,1),Datos!$D$3:$AL$3,"&lt;="&amp;Datos!Q$3)+SUMIFS(Datos!$D$72:$AL$72,Datos!$D$3:$AL$3,"&gt;="&amp;DATE(YEAR(Datos!Q$3),1,1),Datos!$D$3:$AL$3,"&lt;="&amp;Datos!Q$3)+SUMIFS(Datos!$D$73:$AL$73,Datos!$D$3:$AL$3,"&gt;="&amp;DATE(YEAR(Datos!Q$3),1,1),Datos!$D$3:$AL$3,"&lt;="&amp;Datos!Q$3))))</f>
        <v>-</v>
      </c>
      <c r="R49" s="238" t="str">
        <f>IF((Datos!R71+Datos!R72+Datos!R73)=0,"-",IF((SUMIFS(Datos!$D$71:$AL$71,Datos!$D$3:$AL$3,"&gt;="&amp;DATE(YEAR(Datos!R$3),1,1),Datos!$D$3:$AL$3,"&lt;="&amp;Datos!R$3)+SUMIFS(Datos!$D$72:$AL$72,Datos!$D$3:$AL$3,"&gt;="&amp;DATE(YEAR(Datos!R$3),1,1),Datos!$D$3:$AL$3,"&lt;="&amp;Datos!R$3)+SUMIFS(Datos!$D$73:$AL$73,Datos!$D$3:$AL$3,"&gt;="&amp;DATE(YEAR(Datos!R$3),1,1),Datos!$D$3:$AL$3,"&lt;="&amp;Datos!R$3))=0,"-",(SUMIFS(Datos!$D$71:$AL$71,Datos!$D$3:$AL$3,"&gt;="&amp;DATE(YEAR(Datos!R$3),1,1),Datos!$D$3:$AL$3,"&lt;="&amp;Datos!R$3))/(SUMIFS(Datos!$D$71:$AL$71,Datos!$D$3:$AL$3,"&gt;="&amp;DATE(YEAR(Datos!R$3),1,1),Datos!$D$3:$AL$3,"&lt;="&amp;Datos!R$3)+SUMIFS(Datos!$D$72:$AL$72,Datos!$D$3:$AL$3,"&gt;="&amp;DATE(YEAR(Datos!R$3),1,1),Datos!$D$3:$AL$3,"&lt;="&amp;Datos!R$3)+SUMIFS(Datos!$D$73:$AL$73,Datos!$D$3:$AL$3,"&gt;="&amp;DATE(YEAR(Datos!R$3),1,1),Datos!$D$3:$AL$3,"&lt;="&amp;Datos!R$3))))</f>
        <v>-</v>
      </c>
      <c r="S49" s="238" t="str">
        <f>IF((Datos!S71+Datos!S72+Datos!S73)=0,"-",IF((SUMIFS(Datos!$D$71:$AL$71,Datos!$D$3:$AL$3,"&gt;="&amp;DATE(YEAR(Datos!S$3),1,1),Datos!$D$3:$AL$3,"&lt;="&amp;Datos!S$3)+SUMIFS(Datos!$D$72:$AL$72,Datos!$D$3:$AL$3,"&gt;="&amp;DATE(YEAR(Datos!S$3),1,1),Datos!$D$3:$AL$3,"&lt;="&amp;Datos!S$3)+SUMIFS(Datos!$D$73:$AL$73,Datos!$D$3:$AL$3,"&gt;="&amp;DATE(YEAR(Datos!S$3),1,1),Datos!$D$3:$AL$3,"&lt;="&amp;Datos!S$3))=0,"-",(SUMIFS(Datos!$D$71:$AL$71,Datos!$D$3:$AL$3,"&gt;="&amp;DATE(YEAR(Datos!S$3),1,1),Datos!$D$3:$AL$3,"&lt;="&amp;Datos!S$3))/(SUMIFS(Datos!$D$71:$AL$71,Datos!$D$3:$AL$3,"&gt;="&amp;DATE(YEAR(Datos!S$3),1,1),Datos!$D$3:$AL$3,"&lt;="&amp;Datos!S$3)+SUMIFS(Datos!$D$72:$AL$72,Datos!$D$3:$AL$3,"&gt;="&amp;DATE(YEAR(Datos!S$3),1,1),Datos!$D$3:$AL$3,"&lt;="&amp;Datos!S$3)+SUMIFS(Datos!$D$73:$AL$73,Datos!$D$3:$AL$3,"&gt;="&amp;DATE(YEAR(Datos!S$3),1,1),Datos!$D$3:$AL$3,"&lt;="&amp;Datos!S$3))))</f>
        <v>-</v>
      </c>
      <c r="T49" s="238" t="str">
        <f>IF((Datos!T71+Datos!T72+Datos!T73)=0,"-",IF((SUMIFS(Datos!$D$71:$AL$71,Datos!$D$3:$AL$3,"&gt;="&amp;DATE(YEAR(Datos!T$3),1,1),Datos!$D$3:$AL$3,"&lt;="&amp;Datos!T$3)+SUMIFS(Datos!$D$72:$AL$72,Datos!$D$3:$AL$3,"&gt;="&amp;DATE(YEAR(Datos!T$3),1,1),Datos!$D$3:$AL$3,"&lt;="&amp;Datos!T$3)+SUMIFS(Datos!$D$73:$AL$73,Datos!$D$3:$AL$3,"&gt;="&amp;DATE(YEAR(Datos!T$3),1,1),Datos!$D$3:$AL$3,"&lt;="&amp;Datos!T$3))=0,"-",(SUMIFS(Datos!$D$71:$AL$71,Datos!$D$3:$AL$3,"&gt;="&amp;DATE(YEAR(Datos!T$3),1,1),Datos!$D$3:$AL$3,"&lt;="&amp;Datos!T$3))/(SUMIFS(Datos!$D$71:$AL$71,Datos!$D$3:$AL$3,"&gt;="&amp;DATE(YEAR(Datos!T$3),1,1),Datos!$D$3:$AL$3,"&lt;="&amp;Datos!T$3)+SUMIFS(Datos!$D$72:$AL$72,Datos!$D$3:$AL$3,"&gt;="&amp;DATE(YEAR(Datos!T$3),1,1),Datos!$D$3:$AL$3,"&lt;="&amp;Datos!T$3)+SUMIFS(Datos!$D$73:$AL$73,Datos!$D$3:$AL$3,"&gt;="&amp;DATE(YEAR(Datos!T$3),1,1),Datos!$D$3:$AL$3,"&lt;="&amp;Datos!T$3))))</f>
        <v>-</v>
      </c>
      <c r="U49" s="238" t="str">
        <f>IF((Datos!U71+Datos!U72+Datos!U73)=0,"-",IF((SUMIFS(Datos!$D$71:$AL$71,Datos!$D$3:$AL$3,"&gt;="&amp;DATE(YEAR(Datos!U$3),1,1),Datos!$D$3:$AL$3,"&lt;="&amp;Datos!U$3)+SUMIFS(Datos!$D$72:$AL$72,Datos!$D$3:$AL$3,"&gt;="&amp;DATE(YEAR(Datos!U$3),1,1),Datos!$D$3:$AL$3,"&lt;="&amp;Datos!U$3)+SUMIFS(Datos!$D$73:$AL$73,Datos!$D$3:$AL$3,"&gt;="&amp;DATE(YEAR(Datos!U$3),1,1),Datos!$D$3:$AL$3,"&lt;="&amp;Datos!U$3))=0,"-",(SUMIFS(Datos!$D$71:$AL$71,Datos!$D$3:$AL$3,"&gt;="&amp;DATE(YEAR(Datos!U$3),1,1),Datos!$D$3:$AL$3,"&lt;="&amp;Datos!U$3))/(SUMIFS(Datos!$D$71:$AL$71,Datos!$D$3:$AL$3,"&gt;="&amp;DATE(YEAR(Datos!U$3),1,1),Datos!$D$3:$AL$3,"&lt;="&amp;Datos!U$3)+SUMIFS(Datos!$D$72:$AL$72,Datos!$D$3:$AL$3,"&gt;="&amp;DATE(YEAR(Datos!U$3),1,1),Datos!$D$3:$AL$3,"&lt;="&amp;Datos!U$3)+SUMIFS(Datos!$D$73:$AL$73,Datos!$D$3:$AL$3,"&gt;="&amp;DATE(YEAR(Datos!U$3),1,1),Datos!$D$3:$AL$3,"&lt;="&amp;Datos!U$3))))</f>
        <v>-</v>
      </c>
      <c r="V49" s="238" t="str">
        <f>IF((Datos!V71+Datos!V72+Datos!V73)=0,"-",IF((SUMIFS(Datos!$D$71:$AL$71,Datos!$D$3:$AL$3,"&gt;="&amp;DATE(YEAR(Datos!V$3),1,1),Datos!$D$3:$AL$3,"&lt;="&amp;Datos!V$3)+SUMIFS(Datos!$D$72:$AL$72,Datos!$D$3:$AL$3,"&gt;="&amp;DATE(YEAR(Datos!V$3),1,1),Datos!$D$3:$AL$3,"&lt;="&amp;Datos!V$3)+SUMIFS(Datos!$D$73:$AL$73,Datos!$D$3:$AL$3,"&gt;="&amp;DATE(YEAR(Datos!V$3),1,1),Datos!$D$3:$AL$3,"&lt;="&amp;Datos!V$3))=0,"-",(SUMIFS(Datos!$D$71:$AL$71,Datos!$D$3:$AL$3,"&gt;="&amp;DATE(YEAR(Datos!V$3),1,1),Datos!$D$3:$AL$3,"&lt;="&amp;Datos!V$3))/(SUMIFS(Datos!$D$71:$AL$71,Datos!$D$3:$AL$3,"&gt;="&amp;DATE(YEAR(Datos!V$3),1,1),Datos!$D$3:$AL$3,"&lt;="&amp;Datos!V$3)+SUMIFS(Datos!$D$72:$AL$72,Datos!$D$3:$AL$3,"&gt;="&amp;DATE(YEAR(Datos!V$3),1,1),Datos!$D$3:$AL$3,"&lt;="&amp;Datos!V$3)+SUMIFS(Datos!$D$73:$AL$73,Datos!$D$3:$AL$3,"&gt;="&amp;DATE(YEAR(Datos!V$3),1,1),Datos!$D$3:$AL$3,"&lt;="&amp;Datos!V$3))))</f>
        <v>-</v>
      </c>
      <c r="W49" s="238" t="str">
        <f>IF((Datos!W71+Datos!W72+Datos!W73)=0,"-",IF((SUMIFS(Datos!$D$71:$AL$71,Datos!$D$3:$AL$3,"&gt;="&amp;DATE(YEAR(Datos!W$3),1,1),Datos!$D$3:$AL$3,"&lt;="&amp;Datos!W$3)+SUMIFS(Datos!$D$72:$AL$72,Datos!$D$3:$AL$3,"&gt;="&amp;DATE(YEAR(Datos!W$3),1,1),Datos!$D$3:$AL$3,"&lt;="&amp;Datos!W$3)+SUMIFS(Datos!$D$73:$AL$73,Datos!$D$3:$AL$3,"&gt;="&amp;DATE(YEAR(Datos!W$3),1,1),Datos!$D$3:$AL$3,"&lt;="&amp;Datos!W$3))=0,"-",(SUMIFS(Datos!$D$71:$AL$71,Datos!$D$3:$AL$3,"&gt;="&amp;DATE(YEAR(Datos!W$3),1,1),Datos!$D$3:$AL$3,"&lt;="&amp;Datos!W$3))/(SUMIFS(Datos!$D$71:$AL$71,Datos!$D$3:$AL$3,"&gt;="&amp;DATE(YEAR(Datos!W$3),1,1),Datos!$D$3:$AL$3,"&lt;="&amp;Datos!W$3)+SUMIFS(Datos!$D$72:$AL$72,Datos!$D$3:$AL$3,"&gt;="&amp;DATE(YEAR(Datos!W$3),1,1),Datos!$D$3:$AL$3,"&lt;="&amp;Datos!W$3)+SUMIFS(Datos!$D$73:$AL$73,Datos!$D$3:$AL$3,"&gt;="&amp;DATE(YEAR(Datos!W$3),1,1),Datos!$D$3:$AL$3,"&lt;="&amp;Datos!W$3))))</f>
        <v>-</v>
      </c>
      <c r="X49" s="238" t="str">
        <f>IF((Datos!X71+Datos!X72+Datos!X73)=0,"-",IF((SUMIFS(Datos!$D$71:$AL$71,Datos!$D$3:$AL$3,"&gt;="&amp;DATE(YEAR(Datos!X$3),1,1),Datos!$D$3:$AL$3,"&lt;="&amp;Datos!X$3)+SUMIFS(Datos!$D$72:$AL$72,Datos!$D$3:$AL$3,"&gt;="&amp;DATE(YEAR(Datos!X$3),1,1),Datos!$D$3:$AL$3,"&lt;="&amp;Datos!X$3)+SUMIFS(Datos!$D$73:$AL$73,Datos!$D$3:$AL$3,"&gt;="&amp;DATE(YEAR(Datos!X$3),1,1),Datos!$D$3:$AL$3,"&lt;="&amp;Datos!X$3))=0,"-",(SUMIFS(Datos!$D$71:$AL$71,Datos!$D$3:$AL$3,"&gt;="&amp;DATE(YEAR(Datos!X$3),1,1),Datos!$D$3:$AL$3,"&lt;="&amp;Datos!X$3))/(SUMIFS(Datos!$D$71:$AL$71,Datos!$D$3:$AL$3,"&gt;="&amp;DATE(YEAR(Datos!X$3),1,1),Datos!$D$3:$AL$3,"&lt;="&amp;Datos!X$3)+SUMIFS(Datos!$D$72:$AL$72,Datos!$D$3:$AL$3,"&gt;="&amp;DATE(YEAR(Datos!X$3),1,1),Datos!$D$3:$AL$3,"&lt;="&amp;Datos!X$3)+SUMIFS(Datos!$D$73:$AL$73,Datos!$D$3:$AL$3,"&gt;="&amp;DATE(YEAR(Datos!X$3),1,1),Datos!$D$3:$AL$3,"&lt;="&amp;Datos!X$3))))</f>
        <v>-</v>
      </c>
      <c r="Y49" s="238" t="str">
        <f>IF((Datos!Y71+Datos!Y72+Datos!Y73)=0,"-",IF((SUMIFS(Datos!$D$71:$AL$71,Datos!$D$3:$AL$3,"&gt;="&amp;DATE(YEAR(Datos!Y$3),1,1),Datos!$D$3:$AL$3,"&lt;="&amp;Datos!Y$3)+SUMIFS(Datos!$D$72:$AL$72,Datos!$D$3:$AL$3,"&gt;="&amp;DATE(YEAR(Datos!Y$3),1,1),Datos!$D$3:$AL$3,"&lt;="&amp;Datos!Y$3)+SUMIFS(Datos!$D$73:$AL$73,Datos!$D$3:$AL$3,"&gt;="&amp;DATE(YEAR(Datos!Y$3),1,1),Datos!$D$3:$AL$3,"&lt;="&amp;Datos!Y$3))=0,"-",(SUMIFS(Datos!$D$71:$AL$71,Datos!$D$3:$AL$3,"&gt;="&amp;DATE(YEAR(Datos!Y$3),1,1),Datos!$D$3:$AL$3,"&lt;="&amp;Datos!Y$3))/(SUMIFS(Datos!$D$71:$AL$71,Datos!$D$3:$AL$3,"&gt;="&amp;DATE(YEAR(Datos!Y$3),1,1),Datos!$D$3:$AL$3,"&lt;="&amp;Datos!Y$3)+SUMIFS(Datos!$D$72:$AL$72,Datos!$D$3:$AL$3,"&gt;="&amp;DATE(YEAR(Datos!Y$3),1,1),Datos!$D$3:$AL$3,"&lt;="&amp;Datos!Y$3)+SUMIFS(Datos!$D$73:$AL$73,Datos!$D$3:$AL$3,"&gt;="&amp;DATE(YEAR(Datos!Y$3),1,1),Datos!$D$3:$AL$3,"&lt;="&amp;Datos!Y$3))))</f>
        <v>-</v>
      </c>
      <c r="Z49" s="238" t="str">
        <f>IF((Datos!Z71+Datos!Z72+Datos!Z73)=0,"-",IF((SUMIFS(Datos!$D$71:$AL$71,Datos!$D$3:$AL$3,"&gt;="&amp;DATE(YEAR(Datos!Z$3),1,1),Datos!$D$3:$AL$3,"&lt;="&amp;Datos!Z$3)+SUMIFS(Datos!$D$72:$AL$72,Datos!$D$3:$AL$3,"&gt;="&amp;DATE(YEAR(Datos!Z$3),1,1),Datos!$D$3:$AL$3,"&lt;="&amp;Datos!Z$3)+SUMIFS(Datos!$D$73:$AL$73,Datos!$D$3:$AL$3,"&gt;="&amp;DATE(YEAR(Datos!Z$3),1,1),Datos!$D$3:$AL$3,"&lt;="&amp;Datos!Z$3))=0,"-",(SUMIFS(Datos!$D$71:$AL$71,Datos!$D$3:$AL$3,"&gt;="&amp;DATE(YEAR(Datos!Z$3),1,1),Datos!$D$3:$AL$3,"&lt;="&amp;Datos!Z$3))/(SUMIFS(Datos!$D$71:$AL$71,Datos!$D$3:$AL$3,"&gt;="&amp;DATE(YEAR(Datos!Z$3),1,1),Datos!$D$3:$AL$3,"&lt;="&amp;Datos!Z$3)+SUMIFS(Datos!$D$72:$AL$72,Datos!$D$3:$AL$3,"&gt;="&amp;DATE(YEAR(Datos!Z$3),1,1),Datos!$D$3:$AL$3,"&lt;="&amp;Datos!Z$3)+SUMIFS(Datos!$D$73:$AL$73,Datos!$D$3:$AL$3,"&gt;="&amp;DATE(YEAR(Datos!Z$3),1,1),Datos!$D$3:$AL$3,"&lt;="&amp;Datos!Z$3))))</f>
        <v>-</v>
      </c>
      <c r="AA49" s="238" t="str">
        <f>IF((Datos!AA71+Datos!AA72+Datos!AA73)=0,"-",IF((SUMIFS(Datos!$D$71:$AL$71,Datos!$D$3:$AL$3,"&gt;="&amp;DATE(YEAR(Datos!AA$3),1,1),Datos!$D$3:$AL$3,"&lt;="&amp;Datos!AA$3)+SUMIFS(Datos!$D$72:$AL$72,Datos!$D$3:$AL$3,"&gt;="&amp;DATE(YEAR(Datos!AA$3),1,1),Datos!$D$3:$AL$3,"&lt;="&amp;Datos!AA$3)+SUMIFS(Datos!$D$73:$AL$73,Datos!$D$3:$AL$3,"&gt;="&amp;DATE(YEAR(Datos!AA$3),1,1),Datos!$D$3:$AL$3,"&lt;="&amp;Datos!AA$3))=0,"-",(SUMIFS(Datos!$D$71:$AL$71,Datos!$D$3:$AL$3,"&gt;="&amp;DATE(YEAR(Datos!AA$3),1,1),Datos!$D$3:$AL$3,"&lt;="&amp;Datos!AA$3))/(SUMIFS(Datos!$D$71:$AL$71,Datos!$D$3:$AL$3,"&gt;="&amp;DATE(YEAR(Datos!AA$3),1,1),Datos!$D$3:$AL$3,"&lt;="&amp;Datos!AA$3)+SUMIFS(Datos!$D$72:$AL$72,Datos!$D$3:$AL$3,"&gt;="&amp;DATE(YEAR(Datos!AA$3),1,1),Datos!$D$3:$AL$3,"&lt;="&amp;Datos!AA$3)+SUMIFS(Datos!$D$73:$AL$73,Datos!$D$3:$AL$3,"&gt;="&amp;DATE(YEAR(Datos!AA$3),1,1),Datos!$D$3:$AL$3,"&lt;="&amp;Datos!AA$3))))</f>
        <v>-</v>
      </c>
      <c r="AB49" s="238" t="str">
        <f>IF((Datos!AB71+Datos!AB72+Datos!AB73)=0,"-",IF((SUMIFS(Datos!$D$71:$AL$71,Datos!$D$3:$AL$3,"&gt;="&amp;DATE(YEAR(Datos!AB$3),1,1),Datos!$D$3:$AL$3,"&lt;="&amp;Datos!AB$3)+SUMIFS(Datos!$D$72:$AL$72,Datos!$D$3:$AL$3,"&gt;="&amp;DATE(YEAR(Datos!AB$3),1,1),Datos!$D$3:$AL$3,"&lt;="&amp;Datos!AB$3)+SUMIFS(Datos!$D$73:$AL$73,Datos!$D$3:$AL$3,"&gt;="&amp;DATE(YEAR(Datos!AB$3),1,1),Datos!$D$3:$AL$3,"&lt;="&amp;Datos!AB$3))=0,"-",(SUMIFS(Datos!$D$71:$AL$71,Datos!$D$3:$AL$3,"&gt;="&amp;DATE(YEAR(Datos!AB$3),1,1),Datos!$D$3:$AL$3,"&lt;="&amp;Datos!AB$3))/(SUMIFS(Datos!$D$71:$AL$71,Datos!$D$3:$AL$3,"&gt;="&amp;DATE(YEAR(Datos!AB$3),1,1),Datos!$D$3:$AL$3,"&lt;="&amp;Datos!AB$3)+SUMIFS(Datos!$D$72:$AL$72,Datos!$D$3:$AL$3,"&gt;="&amp;DATE(YEAR(Datos!AB$3),1,1),Datos!$D$3:$AL$3,"&lt;="&amp;Datos!AB$3)+SUMIFS(Datos!$D$73:$AL$73,Datos!$D$3:$AL$3,"&gt;="&amp;DATE(YEAR(Datos!AB$3),1,1),Datos!$D$3:$AL$3,"&lt;="&amp;Datos!AB$3))))</f>
        <v>-</v>
      </c>
      <c r="AC49" s="238" t="str">
        <f>IF((Datos!AC71+Datos!AC72+Datos!AC73)=0,"-",IF((SUMIFS(Datos!$D$71:$AL$71,Datos!$D$3:$AL$3,"&gt;="&amp;DATE(YEAR(Datos!AC$3),1,1),Datos!$D$3:$AL$3,"&lt;="&amp;Datos!AC$3)+SUMIFS(Datos!$D$72:$AL$72,Datos!$D$3:$AL$3,"&gt;="&amp;DATE(YEAR(Datos!AC$3),1,1),Datos!$D$3:$AL$3,"&lt;="&amp;Datos!AC$3)+SUMIFS(Datos!$D$73:$AL$73,Datos!$D$3:$AL$3,"&gt;="&amp;DATE(YEAR(Datos!AC$3),1,1),Datos!$D$3:$AL$3,"&lt;="&amp;Datos!AC$3))=0,"-",(SUMIFS(Datos!$D$71:$AL$71,Datos!$D$3:$AL$3,"&gt;="&amp;DATE(YEAR(Datos!AC$3),1,1),Datos!$D$3:$AL$3,"&lt;="&amp;Datos!AC$3))/(SUMIFS(Datos!$D$71:$AL$71,Datos!$D$3:$AL$3,"&gt;="&amp;DATE(YEAR(Datos!AC$3),1,1),Datos!$D$3:$AL$3,"&lt;="&amp;Datos!AC$3)+SUMIFS(Datos!$D$72:$AL$72,Datos!$D$3:$AL$3,"&gt;="&amp;DATE(YEAR(Datos!AC$3),1,1),Datos!$D$3:$AL$3,"&lt;="&amp;Datos!AC$3)+SUMIFS(Datos!$D$73:$AL$73,Datos!$D$3:$AL$3,"&gt;="&amp;DATE(YEAR(Datos!AC$3),1,1),Datos!$D$3:$AL$3,"&lt;="&amp;Datos!AC$3))))</f>
        <v>-</v>
      </c>
      <c r="AD49" s="238" t="str">
        <f>IF((Datos!AD71+Datos!AD72+Datos!AD73)=0,"-",IF((SUMIFS(Datos!$D$71:$AL$71,Datos!$D$3:$AL$3,"&gt;="&amp;DATE(YEAR(Datos!AD$3),1,1),Datos!$D$3:$AL$3,"&lt;="&amp;Datos!AD$3)+SUMIFS(Datos!$D$72:$AL$72,Datos!$D$3:$AL$3,"&gt;="&amp;DATE(YEAR(Datos!AD$3),1,1),Datos!$D$3:$AL$3,"&lt;="&amp;Datos!AD$3)+SUMIFS(Datos!$D$73:$AL$73,Datos!$D$3:$AL$3,"&gt;="&amp;DATE(YEAR(Datos!AD$3),1,1),Datos!$D$3:$AL$3,"&lt;="&amp;Datos!AD$3))=0,"-",(SUMIFS(Datos!$D$71:$AL$71,Datos!$D$3:$AL$3,"&gt;="&amp;DATE(YEAR(Datos!AD$3),1,1),Datos!$D$3:$AL$3,"&lt;="&amp;Datos!AD$3))/(SUMIFS(Datos!$D$71:$AL$71,Datos!$D$3:$AL$3,"&gt;="&amp;DATE(YEAR(Datos!AD$3),1,1),Datos!$D$3:$AL$3,"&lt;="&amp;Datos!AD$3)+SUMIFS(Datos!$D$72:$AL$72,Datos!$D$3:$AL$3,"&gt;="&amp;DATE(YEAR(Datos!AD$3),1,1),Datos!$D$3:$AL$3,"&lt;="&amp;Datos!AD$3)+SUMIFS(Datos!$D$73:$AL$73,Datos!$D$3:$AL$3,"&gt;="&amp;DATE(YEAR(Datos!AD$3),1,1),Datos!$D$3:$AL$3,"&lt;="&amp;Datos!AD$3))))</f>
        <v>-</v>
      </c>
      <c r="AE49" s="238" t="str">
        <f>IF((Datos!AE71+Datos!AE72+Datos!AE73)=0,"-",IF((SUMIFS(Datos!$D$71:$AL$71,Datos!$D$3:$AL$3,"&gt;="&amp;DATE(YEAR(Datos!AE$3),1,1),Datos!$D$3:$AL$3,"&lt;="&amp;Datos!AE$3)+SUMIFS(Datos!$D$72:$AL$72,Datos!$D$3:$AL$3,"&gt;="&amp;DATE(YEAR(Datos!AE$3),1,1),Datos!$D$3:$AL$3,"&lt;="&amp;Datos!AE$3)+SUMIFS(Datos!$D$73:$AL$73,Datos!$D$3:$AL$3,"&gt;="&amp;DATE(YEAR(Datos!AE$3),1,1),Datos!$D$3:$AL$3,"&lt;="&amp;Datos!AE$3))=0,"-",(SUMIFS(Datos!$D$71:$AL$71,Datos!$D$3:$AL$3,"&gt;="&amp;DATE(YEAR(Datos!AE$3),1,1),Datos!$D$3:$AL$3,"&lt;="&amp;Datos!AE$3))/(SUMIFS(Datos!$D$71:$AL$71,Datos!$D$3:$AL$3,"&gt;="&amp;DATE(YEAR(Datos!AE$3),1,1),Datos!$D$3:$AL$3,"&lt;="&amp;Datos!AE$3)+SUMIFS(Datos!$D$72:$AL$72,Datos!$D$3:$AL$3,"&gt;="&amp;DATE(YEAR(Datos!AE$3),1,1),Datos!$D$3:$AL$3,"&lt;="&amp;Datos!AE$3)+SUMIFS(Datos!$D$73:$AL$73,Datos!$D$3:$AL$3,"&gt;="&amp;DATE(YEAR(Datos!AE$3),1,1),Datos!$D$3:$AL$3,"&lt;="&amp;Datos!AE$3))))</f>
        <v>-</v>
      </c>
      <c r="AF49" s="238" t="str">
        <f>IF((Datos!AF71+Datos!AF72+Datos!AF73)=0,"-",IF((SUMIFS(Datos!$D$71:$AL$71,Datos!$D$3:$AL$3,"&gt;="&amp;DATE(YEAR(Datos!AF$3),1,1),Datos!$D$3:$AL$3,"&lt;="&amp;Datos!AF$3)+SUMIFS(Datos!$D$72:$AL$72,Datos!$D$3:$AL$3,"&gt;="&amp;DATE(YEAR(Datos!AF$3),1,1),Datos!$D$3:$AL$3,"&lt;="&amp;Datos!AF$3)+SUMIFS(Datos!$D$73:$AL$73,Datos!$D$3:$AL$3,"&gt;="&amp;DATE(YEAR(Datos!AF$3),1,1),Datos!$D$3:$AL$3,"&lt;="&amp;Datos!AF$3))=0,"-",(SUMIFS(Datos!$D$71:$AL$71,Datos!$D$3:$AL$3,"&gt;="&amp;DATE(YEAR(Datos!AF$3),1,1),Datos!$D$3:$AL$3,"&lt;="&amp;Datos!AF$3))/(SUMIFS(Datos!$D$71:$AL$71,Datos!$D$3:$AL$3,"&gt;="&amp;DATE(YEAR(Datos!AF$3),1,1),Datos!$D$3:$AL$3,"&lt;="&amp;Datos!AF$3)+SUMIFS(Datos!$D$72:$AL$72,Datos!$D$3:$AL$3,"&gt;="&amp;DATE(YEAR(Datos!AF$3),1,1),Datos!$D$3:$AL$3,"&lt;="&amp;Datos!AF$3)+SUMIFS(Datos!$D$73:$AL$73,Datos!$D$3:$AL$3,"&gt;="&amp;DATE(YEAR(Datos!AF$3),1,1),Datos!$D$3:$AL$3,"&lt;="&amp;Datos!AF$3))))</f>
        <v>-</v>
      </c>
      <c r="AG49" s="238" t="str">
        <f>IF((Datos!AG71+Datos!AG72+Datos!AG73)=0,"-",IF((SUMIFS(Datos!$D$71:$AL$71,Datos!$D$3:$AL$3,"&gt;="&amp;DATE(YEAR(Datos!AG$3),1,1),Datos!$D$3:$AL$3,"&lt;="&amp;Datos!AG$3)+SUMIFS(Datos!$D$72:$AL$72,Datos!$D$3:$AL$3,"&gt;="&amp;DATE(YEAR(Datos!AG$3),1,1),Datos!$D$3:$AL$3,"&lt;="&amp;Datos!AG$3)+SUMIFS(Datos!$D$73:$AL$73,Datos!$D$3:$AL$3,"&gt;="&amp;DATE(YEAR(Datos!AG$3),1,1),Datos!$D$3:$AL$3,"&lt;="&amp;Datos!AG$3))=0,"-",(SUMIFS(Datos!$D$71:$AL$71,Datos!$D$3:$AL$3,"&gt;="&amp;DATE(YEAR(Datos!AG$3),1,1),Datos!$D$3:$AL$3,"&lt;="&amp;Datos!AG$3))/(SUMIFS(Datos!$D$71:$AL$71,Datos!$D$3:$AL$3,"&gt;="&amp;DATE(YEAR(Datos!AG$3),1,1),Datos!$D$3:$AL$3,"&lt;="&amp;Datos!AG$3)+SUMIFS(Datos!$D$72:$AL$72,Datos!$D$3:$AL$3,"&gt;="&amp;DATE(YEAR(Datos!AG$3),1,1),Datos!$D$3:$AL$3,"&lt;="&amp;Datos!AG$3)+SUMIFS(Datos!$D$73:$AL$73,Datos!$D$3:$AL$3,"&gt;="&amp;DATE(YEAR(Datos!AG$3),1,1),Datos!$D$3:$AL$3,"&lt;="&amp;Datos!AG$3))))</f>
        <v>-</v>
      </c>
      <c r="AH49" s="238" t="str">
        <f>IF((Datos!AH71+Datos!AH72+Datos!AH73)=0,"-",IF((SUMIFS(Datos!$D$71:$AL$71,Datos!$D$3:$AL$3,"&gt;="&amp;DATE(YEAR(Datos!AH$3),1,1),Datos!$D$3:$AL$3,"&lt;="&amp;Datos!AH$3)+SUMIFS(Datos!$D$72:$AL$72,Datos!$D$3:$AL$3,"&gt;="&amp;DATE(YEAR(Datos!AH$3),1,1),Datos!$D$3:$AL$3,"&lt;="&amp;Datos!AH$3)+SUMIFS(Datos!$D$73:$AL$73,Datos!$D$3:$AL$3,"&gt;="&amp;DATE(YEAR(Datos!AH$3),1,1),Datos!$D$3:$AL$3,"&lt;="&amp;Datos!AH$3))=0,"-",(SUMIFS(Datos!$D$71:$AL$71,Datos!$D$3:$AL$3,"&gt;="&amp;DATE(YEAR(Datos!AH$3),1,1),Datos!$D$3:$AL$3,"&lt;="&amp;Datos!AH$3))/(SUMIFS(Datos!$D$71:$AL$71,Datos!$D$3:$AL$3,"&gt;="&amp;DATE(YEAR(Datos!AH$3),1,1),Datos!$D$3:$AL$3,"&lt;="&amp;Datos!AH$3)+SUMIFS(Datos!$D$72:$AL$72,Datos!$D$3:$AL$3,"&gt;="&amp;DATE(YEAR(Datos!AH$3),1,1),Datos!$D$3:$AL$3,"&lt;="&amp;Datos!AH$3)+SUMIFS(Datos!$D$73:$AL$73,Datos!$D$3:$AL$3,"&gt;="&amp;DATE(YEAR(Datos!AH$3),1,1),Datos!$D$3:$AL$3,"&lt;="&amp;Datos!AH$3))))</f>
        <v>-</v>
      </c>
      <c r="AI49" s="238" t="str">
        <f>IF((Datos!AI71+Datos!AI72+Datos!AI73)=0,"-",IF((SUMIFS(Datos!$D$71:$AL$71,Datos!$D$3:$AL$3,"&gt;="&amp;DATE(YEAR(Datos!AI$3),1,1),Datos!$D$3:$AL$3,"&lt;="&amp;Datos!AI$3)+SUMIFS(Datos!$D$72:$AL$72,Datos!$D$3:$AL$3,"&gt;="&amp;DATE(YEAR(Datos!AI$3),1,1),Datos!$D$3:$AL$3,"&lt;="&amp;Datos!AI$3)+SUMIFS(Datos!$D$73:$AL$73,Datos!$D$3:$AL$3,"&gt;="&amp;DATE(YEAR(Datos!AI$3),1,1),Datos!$D$3:$AL$3,"&lt;="&amp;Datos!AI$3))=0,"-",(SUMIFS(Datos!$D$71:$AL$71,Datos!$D$3:$AL$3,"&gt;="&amp;DATE(YEAR(Datos!AI$3),1,1),Datos!$D$3:$AL$3,"&lt;="&amp;Datos!AI$3))/(SUMIFS(Datos!$D$71:$AL$71,Datos!$D$3:$AL$3,"&gt;="&amp;DATE(YEAR(Datos!AI$3),1,1),Datos!$D$3:$AL$3,"&lt;="&amp;Datos!AI$3)+SUMIFS(Datos!$D$72:$AL$72,Datos!$D$3:$AL$3,"&gt;="&amp;DATE(YEAR(Datos!AI$3),1,1),Datos!$D$3:$AL$3,"&lt;="&amp;Datos!AI$3)+SUMIFS(Datos!$D$73:$AL$73,Datos!$D$3:$AL$3,"&gt;="&amp;DATE(YEAR(Datos!AI$3),1,1),Datos!$D$3:$AL$3,"&lt;="&amp;Datos!AI$3))))</f>
        <v>-</v>
      </c>
      <c r="AJ49" s="238" t="str">
        <f>IF((Datos!AJ71+Datos!AJ72+Datos!AJ73)=0,"-",IF((SUMIFS(Datos!$D$71:$AL$71,Datos!$D$3:$AL$3,"&gt;="&amp;DATE(YEAR(Datos!AJ$3),1,1),Datos!$D$3:$AL$3,"&lt;="&amp;Datos!AJ$3)+SUMIFS(Datos!$D$72:$AL$72,Datos!$D$3:$AL$3,"&gt;="&amp;DATE(YEAR(Datos!AJ$3),1,1),Datos!$D$3:$AL$3,"&lt;="&amp;Datos!AJ$3)+SUMIFS(Datos!$D$73:$AL$73,Datos!$D$3:$AL$3,"&gt;="&amp;DATE(YEAR(Datos!AJ$3),1,1),Datos!$D$3:$AL$3,"&lt;="&amp;Datos!AJ$3))=0,"-",(SUMIFS(Datos!$D$71:$AL$71,Datos!$D$3:$AL$3,"&gt;="&amp;DATE(YEAR(Datos!AJ$3),1,1),Datos!$D$3:$AL$3,"&lt;="&amp;Datos!AJ$3))/(SUMIFS(Datos!$D$71:$AL$71,Datos!$D$3:$AL$3,"&gt;="&amp;DATE(YEAR(Datos!AJ$3),1,1),Datos!$D$3:$AL$3,"&lt;="&amp;Datos!AJ$3)+SUMIFS(Datos!$D$72:$AL$72,Datos!$D$3:$AL$3,"&gt;="&amp;DATE(YEAR(Datos!AJ$3),1,1),Datos!$D$3:$AL$3,"&lt;="&amp;Datos!AJ$3)+SUMIFS(Datos!$D$73:$AL$73,Datos!$D$3:$AL$3,"&gt;="&amp;DATE(YEAR(Datos!AJ$3),1,1),Datos!$D$3:$AL$3,"&lt;="&amp;Datos!AJ$3))))</f>
        <v>-</v>
      </c>
      <c r="AK49" s="238" t="str">
        <f>IF((Datos!AK71+Datos!AK72+Datos!AK73)=0,"-",IF((SUMIFS(Datos!$D$71:$AL$71,Datos!$D$3:$AL$3,"&gt;="&amp;DATE(YEAR(Datos!AK$3),1,1),Datos!$D$3:$AL$3,"&lt;="&amp;Datos!AK$3)+SUMIFS(Datos!$D$72:$AL$72,Datos!$D$3:$AL$3,"&gt;="&amp;DATE(YEAR(Datos!AK$3),1,1),Datos!$D$3:$AL$3,"&lt;="&amp;Datos!AK$3)+SUMIFS(Datos!$D$73:$AL$73,Datos!$D$3:$AL$3,"&gt;="&amp;DATE(YEAR(Datos!AK$3),1,1),Datos!$D$3:$AL$3,"&lt;="&amp;Datos!AK$3))=0,"-",(SUMIFS(Datos!$D$71:$AL$71,Datos!$D$3:$AL$3,"&gt;="&amp;DATE(YEAR(Datos!AK$3),1,1),Datos!$D$3:$AL$3,"&lt;="&amp;Datos!AK$3))/(SUMIFS(Datos!$D$71:$AL$71,Datos!$D$3:$AL$3,"&gt;="&amp;DATE(YEAR(Datos!AK$3),1,1),Datos!$D$3:$AL$3,"&lt;="&amp;Datos!AK$3)+SUMIFS(Datos!$D$72:$AL$72,Datos!$D$3:$AL$3,"&gt;="&amp;DATE(YEAR(Datos!AK$3),1,1),Datos!$D$3:$AL$3,"&lt;="&amp;Datos!AK$3)+SUMIFS(Datos!$D$73:$AL$73,Datos!$D$3:$AL$3,"&gt;="&amp;DATE(YEAR(Datos!AK$3),1,1),Datos!$D$3:$AL$3,"&lt;="&amp;Datos!AK$3))))</f>
        <v>-</v>
      </c>
      <c r="AL49" s="238" t="str">
        <f>IF((Datos!AL71+Datos!AL72+Datos!AL73)=0,"-",IF((SUMIFS(Datos!$D$71:$AL$71,Datos!$D$3:$AL$3,"&gt;="&amp;DATE(YEAR(Datos!AL$3),1,1),Datos!$D$3:$AL$3,"&lt;="&amp;Datos!AL$3)+SUMIFS(Datos!$D$72:$AL$72,Datos!$D$3:$AL$3,"&gt;="&amp;DATE(YEAR(Datos!AL$3),1,1),Datos!$D$3:$AL$3,"&lt;="&amp;Datos!AL$3)+SUMIFS(Datos!$D$73:$AL$73,Datos!$D$3:$AL$3,"&gt;="&amp;DATE(YEAR(Datos!AL$3),1,1),Datos!$D$3:$AL$3,"&lt;="&amp;Datos!AL$3))=0,"-",(SUMIFS(Datos!$D$71:$AL$71,Datos!$D$3:$AL$3,"&gt;="&amp;DATE(YEAR(Datos!AL$3),1,1),Datos!$D$3:$AL$3,"&lt;="&amp;Datos!AL$3))/(SUMIFS(Datos!$D$71:$AL$71,Datos!$D$3:$AL$3,"&gt;="&amp;DATE(YEAR(Datos!AL$3),1,1),Datos!$D$3:$AL$3,"&lt;="&amp;Datos!AL$3)+SUMIFS(Datos!$D$72:$AL$72,Datos!$D$3:$AL$3,"&gt;="&amp;DATE(YEAR(Datos!AL$3),1,1),Datos!$D$3:$AL$3,"&lt;="&amp;Datos!AL$3)+SUMIFS(Datos!$D$73:$AL$73,Datos!$D$3:$AL$3,"&gt;="&amp;DATE(YEAR(Datos!AL$3),1,1),Datos!$D$3:$AL$3,"&lt;="&amp;Datos!AL$3))))</f>
        <v>-</v>
      </c>
    </row>
    <row r="50" spans="1:38" ht="21.75" customHeight="1" x14ac:dyDescent="0.3">
      <c r="A50" s="232" t="str">
        <f>KPIs!$A$34&amp;" · YTD"</f>
        <v>C2 · Detenciones de tareas aplicadas · YTD</v>
      </c>
      <c r="B50" s="70" t="s">
        <v>143</v>
      </c>
      <c r="C50" s="230" t="str">
        <f>IF(KPIs!C34="","",KPIs!C34)</f>
        <v>Reporte</v>
      </c>
      <c r="D50" s="231">
        <f>IF((Datos!D14)=0,"-",SUMIFS(Datos!$D$75:$AL$75,Datos!$D$3:$AL$3,"&gt;="&amp;DATE(YEAR(Datos!D$3),1,1),Datos!$D$3:$AL$3,"&lt;="&amp;Datos!D$3))</f>
        <v>0</v>
      </c>
      <c r="E50" s="231">
        <f>IF((Datos!E14)=0,"-",SUMIFS(Datos!$D$75:$AL$75,Datos!$D$3:$AL$3,"&gt;="&amp;DATE(YEAR(Datos!E$3),1,1),Datos!$D$3:$AL$3,"&lt;="&amp;Datos!E$3))</f>
        <v>0</v>
      </c>
      <c r="F50" s="231" t="str">
        <f>IF((Datos!F14)=0,"-",SUMIFS(Datos!$D$75:$AL$75,Datos!$D$3:$AL$3,"&gt;="&amp;DATE(YEAR(Datos!F$3),1,1),Datos!$D$3:$AL$3,"&lt;="&amp;Datos!F$3))</f>
        <v>-</v>
      </c>
      <c r="G50" s="231" t="str">
        <f>IF((Datos!G14)=0,"-",SUMIFS(Datos!$D$75:$AL$75,Datos!$D$3:$AL$3,"&gt;="&amp;DATE(YEAR(Datos!G$3),1,1),Datos!$D$3:$AL$3,"&lt;="&amp;Datos!G$3))</f>
        <v>-</v>
      </c>
      <c r="H50" s="231" t="str">
        <f>IF((Datos!H14)=0,"-",SUMIFS(Datos!$D$75:$AL$75,Datos!$D$3:$AL$3,"&gt;="&amp;DATE(YEAR(Datos!H$3),1,1),Datos!$D$3:$AL$3,"&lt;="&amp;Datos!H$3))</f>
        <v>-</v>
      </c>
      <c r="I50" s="231" t="str">
        <f>IF((Datos!I14)=0,"-",SUMIFS(Datos!$D$75:$AL$75,Datos!$D$3:$AL$3,"&gt;="&amp;DATE(YEAR(Datos!I$3),1,1),Datos!$D$3:$AL$3,"&lt;="&amp;Datos!I$3))</f>
        <v>-</v>
      </c>
      <c r="J50" s="231" t="str">
        <f>IF((Datos!J14)=0,"-",SUMIFS(Datos!$D$75:$AL$75,Datos!$D$3:$AL$3,"&gt;="&amp;DATE(YEAR(Datos!J$3),1,1),Datos!$D$3:$AL$3,"&lt;="&amp;Datos!J$3))</f>
        <v>-</v>
      </c>
      <c r="K50" s="231" t="str">
        <f>IF((Datos!K14)=0,"-",SUMIFS(Datos!$D$75:$AL$75,Datos!$D$3:$AL$3,"&gt;="&amp;DATE(YEAR(Datos!K$3),1,1),Datos!$D$3:$AL$3,"&lt;="&amp;Datos!K$3))</f>
        <v>-</v>
      </c>
      <c r="L50" s="231" t="str">
        <f>IF((Datos!L14)=0,"-",SUMIFS(Datos!$D$75:$AL$75,Datos!$D$3:$AL$3,"&gt;="&amp;DATE(YEAR(Datos!L$3),1,1),Datos!$D$3:$AL$3,"&lt;="&amp;Datos!L$3))</f>
        <v>-</v>
      </c>
      <c r="M50" s="231" t="str">
        <f>IF((Datos!M14)=0,"-",SUMIFS(Datos!$D$75:$AL$75,Datos!$D$3:$AL$3,"&gt;="&amp;DATE(YEAR(Datos!M$3),1,1),Datos!$D$3:$AL$3,"&lt;="&amp;Datos!M$3))</f>
        <v>-</v>
      </c>
      <c r="N50" s="231" t="str">
        <f>IF((Datos!N14)=0,"-",SUMIFS(Datos!$D$75:$AL$75,Datos!$D$3:$AL$3,"&gt;="&amp;DATE(YEAR(Datos!N$3),1,1),Datos!$D$3:$AL$3,"&lt;="&amp;Datos!N$3))</f>
        <v>-</v>
      </c>
      <c r="O50" s="231" t="str">
        <f>IF((Datos!O14)=0,"-",SUMIFS(Datos!$D$75:$AL$75,Datos!$D$3:$AL$3,"&gt;="&amp;DATE(YEAR(Datos!O$3),1,1),Datos!$D$3:$AL$3,"&lt;="&amp;Datos!O$3))</f>
        <v>-</v>
      </c>
      <c r="P50" s="231" t="str">
        <f>IF((Datos!P14)=0,"-",SUMIFS(Datos!$D$75:$AL$75,Datos!$D$3:$AL$3,"&gt;="&amp;DATE(YEAR(Datos!P$3),1,1),Datos!$D$3:$AL$3,"&lt;="&amp;Datos!P$3))</f>
        <v>-</v>
      </c>
      <c r="Q50" s="231" t="str">
        <f>IF((Datos!Q14)=0,"-",SUMIFS(Datos!$D$75:$AL$75,Datos!$D$3:$AL$3,"&gt;="&amp;DATE(YEAR(Datos!Q$3),1,1),Datos!$D$3:$AL$3,"&lt;="&amp;Datos!Q$3))</f>
        <v>-</v>
      </c>
      <c r="R50" s="231" t="str">
        <f>IF((Datos!R14)=0,"-",SUMIFS(Datos!$D$75:$AL$75,Datos!$D$3:$AL$3,"&gt;="&amp;DATE(YEAR(Datos!R$3),1,1),Datos!$D$3:$AL$3,"&lt;="&amp;Datos!R$3))</f>
        <v>-</v>
      </c>
      <c r="S50" s="231" t="str">
        <f>IF((Datos!S14)=0,"-",SUMIFS(Datos!$D$75:$AL$75,Datos!$D$3:$AL$3,"&gt;="&amp;DATE(YEAR(Datos!S$3),1,1),Datos!$D$3:$AL$3,"&lt;="&amp;Datos!S$3))</f>
        <v>-</v>
      </c>
      <c r="T50" s="231" t="str">
        <f>IF((Datos!T14)=0,"-",SUMIFS(Datos!$D$75:$AL$75,Datos!$D$3:$AL$3,"&gt;="&amp;DATE(YEAR(Datos!T$3),1,1),Datos!$D$3:$AL$3,"&lt;="&amp;Datos!T$3))</f>
        <v>-</v>
      </c>
      <c r="U50" s="231" t="str">
        <f>IF((Datos!U14)=0,"-",SUMIFS(Datos!$D$75:$AL$75,Datos!$D$3:$AL$3,"&gt;="&amp;DATE(YEAR(Datos!U$3),1,1),Datos!$D$3:$AL$3,"&lt;="&amp;Datos!U$3))</f>
        <v>-</v>
      </c>
      <c r="V50" s="231" t="str">
        <f>IF((Datos!V14)=0,"-",SUMIFS(Datos!$D$75:$AL$75,Datos!$D$3:$AL$3,"&gt;="&amp;DATE(YEAR(Datos!V$3),1,1),Datos!$D$3:$AL$3,"&lt;="&amp;Datos!V$3))</f>
        <v>-</v>
      </c>
      <c r="W50" s="231" t="str">
        <f>IF((Datos!W14)=0,"-",SUMIFS(Datos!$D$75:$AL$75,Datos!$D$3:$AL$3,"&gt;="&amp;DATE(YEAR(Datos!W$3),1,1),Datos!$D$3:$AL$3,"&lt;="&amp;Datos!W$3))</f>
        <v>-</v>
      </c>
      <c r="X50" s="231" t="str">
        <f>IF((Datos!X14)=0,"-",SUMIFS(Datos!$D$75:$AL$75,Datos!$D$3:$AL$3,"&gt;="&amp;DATE(YEAR(Datos!X$3),1,1),Datos!$D$3:$AL$3,"&lt;="&amp;Datos!X$3))</f>
        <v>-</v>
      </c>
      <c r="Y50" s="231" t="str">
        <f>IF((Datos!Y14)=0,"-",SUMIFS(Datos!$D$75:$AL$75,Datos!$D$3:$AL$3,"&gt;="&amp;DATE(YEAR(Datos!Y$3),1,1),Datos!$D$3:$AL$3,"&lt;="&amp;Datos!Y$3))</f>
        <v>-</v>
      </c>
      <c r="Z50" s="231" t="str">
        <f>IF((Datos!Z14)=0,"-",SUMIFS(Datos!$D$75:$AL$75,Datos!$D$3:$AL$3,"&gt;="&amp;DATE(YEAR(Datos!Z$3),1,1),Datos!$D$3:$AL$3,"&lt;="&amp;Datos!Z$3))</f>
        <v>-</v>
      </c>
      <c r="AA50" s="231" t="str">
        <f>IF((Datos!AA14)=0,"-",SUMIFS(Datos!$D$75:$AL$75,Datos!$D$3:$AL$3,"&gt;="&amp;DATE(YEAR(Datos!AA$3),1,1),Datos!$D$3:$AL$3,"&lt;="&amp;Datos!AA$3))</f>
        <v>-</v>
      </c>
      <c r="AB50" s="231" t="str">
        <f>IF((Datos!AB14)=0,"-",SUMIFS(Datos!$D$75:$AL$75,Datos!$D$3:$AL$3,"&gt;="&amp;DATE(YEAR(Datos!AB$3),1,1),Datos!$D$3:$AL$3,"&lt;="&amp;Datos!AB$3))</f>
        <v>-</v>
      </c>
      <c r="AC50" s="231" t="str">
        <f>IF((Datos!AC14)=0,"-",SUMIFS(Datos!$D$75:$AL$75,Datos!$D$3:$AL$3,"&gt;="&amp;DATE(YEAR(Datos!AC$3),1,1),Datos!$D$3:$AL$3,"&lt;="&amp;Datos!AC$3))</f>
        <v>-</v>
      </c>
      <c r="AD50" s="231" t="str">
        <f>IF((Datos!AD14)=0,"-",SUMIFS(Datos!$D$75:$AL$75,Datos!$D$3:$AL$3,"&gt;="&amp;DATE(YEAR(Datos!AD$3),1,1),Datos!$D$3:$AL$3,"&lt;="&amp;Datos!AD$3))</f>
        <v>-</v>
      </c>
      <c r="AE50" s="231" t="str">
        <f>IF((Datos!AE14)=0,"-",SUMIFS(Datos!$D$75:$AL$75,Datos!$D$3:$AL$3,"&gt;="&amp;DATE(YEAR(Datos!AE$3),1,1),Datos!$D$3:$AL$3,"&lt;="&amp;Datos!AE$3))</f>
        <v>-</v>
      </c>
      <c r="AF50" s="231" t="str">
        <f>IF((Datos!AF14)=0,"-",SUMIFS(Datos!$D$75:$AL$75,Datos!$D$3:$AL$3,"&gt;="&amp;DATE(YEAR(Datos!AF$3),1,1),Datos!$D$3:$AL$3,"&lt;="&amp;Datos!AF$3))</f>
        <v>-</v>
      </c>
      <c r="AG50" s="231" t="str">
        <f>IF((Datos!AG14)=0,"-",SUMIFS(Datos!$D$75:$AL$75,Datos!$D$3:$AL$3,"&gt;="&amp;DATE(YEAR(Datos!AG$3),1,1),Datos!$D$3:$AL$3,"&lt;="&amp;Datos!AG$3))</f>
        <v>-</v>
      </c>
      <c r="AH50" s="231" t="str">
        <f>IF((Datos!AH14)=0,"-",SUMIFS(Datos!$D$75:$AL$75,Datos!$D$3:$AL$3,"&gt;="&amp;DATE(YEAR(Datos!AH$3),1,1),Datos!$D$3:$AL$3,"&lt;="&amp;Datos!AH$3))</f>
        <v>-</v>
      </c>
      <c r="AI50" s="231" t="str">
        <f>IF((Datos!AI14)=0,"-",SUMIFS(Datos!$D$75:$AL$75,Datos!$D$3:$AL$3,"&gt;="&amp;DATE(YEAR(Datos!AI$3),1,1),Datos!$D$3:$AL$3,"&lt;="&amp;Datos!AI$3))</f>
        <v>-</v>
      </c>
      <c r="AJ50" s="231" t="str">
        <f>IF((Datos!AJ14)=0,"-",SUMIFS(Datos!$D$75:$AL$75,Datos!$D$3:$AL$3,"&gt;="&amp;DATE(YEAR(Datos!AJ$3),1,1),Datos!$D$3:$AL$3,"&lt;="&amp;Datos!AJ$3))</f>
        <v>-</v>
      </c>
      <c r="AK50" s="231" t="str">
        <f>IF((Datos!AK14)=0,"-",SUMIFS(Datos!$D$75:$AL$75,Datos!$D$3:$AL$3,"&gt;="&amp;DATE(YEAR(Datos!AK$3),1,1),Datos!$D$3:$AL$3,"&lt;="&amp;Datos!AK$3))</f>
        <v>-</v>
      </c>
      <c r="AL50" s="231" t="str">
        <f>IF((Datos!AL14)=0,"-",SUMIFS(Datos!$D$75:$AL$75,Datos!$D$3:$AL$3,"&gt;="&amp;DATE(YEAR(Datos!AL$3),1,1),Datos!$D$3:$AL$3,"&lt;="&amp;Datos!AL$3))</f>
        <v>-</v>
      </c>
    </row>
    <row r="52" spans="1:38" ht="18" customHeight="1" x14ac:dyDescent="0.3">
      <c r="A52" s="110" t="s">
        <v>144</v>
      </c>
      <c r="B52" s="110"/>
      <c r="C52" s="110"/>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row>
    <row r="53" spans="1:38" ht="31.5" customHeight="1" x14ac:dyDescent="0.3">
      <c r="A53" s="50" t="s">
        <v>145</v>
      </c>
      <c r="B53" s="51" t="s">
        <v>146</v>
      </c>
      <c r="C53" s="217" t="str">
        <f>INDEX(_TARGETS!$F$2:$F$30,MATCH("COB",_TARGETS!$A$2:$A$30,0))</f>
        <v>Reporte</v>
      </c>
      <c r="D53" s="225">
        <f>IF(OR(NOT(ISNUMBER(Datos!D51)),N(Datos!D11)=0),"-",Datos!D51/Datos!D11)</f>
        <v>1</v>
      </c>
      <c r="E53" s="225">
        <f>IF(OR(NOT(ISNUMBER(Datos!E51)),N(Datos!E11)=0),"-",Datos!E51/Datos!E11)</f>
        <v>1</v>
      </c>
      <c r="F53" s="225" t="str">
        <f>IF(OR(NOT(ISNUMBER(Datos!F51)),N(Datos!F11)=0),"-",Datos!F51/Datos!F11)</f>
        <v>-</v>
      </c>
      <c r="G53" s="225" t="str">
        <f>IF(OR(NOT(ISNUMBER(Datos!G51)),N(Datos!G11)=0),"-",Datos!G51/Datos!G11)</f>
        <v>-</v>
      </c>
      <c r="H53" s="225" t="str">
        <f>IF(OR(NOT(ISNUMBER(Datos!H51)),N(Datos!H11)=0),"-",Datos!H51/Datos!H11)</f>
        <v>-</v>
      </c>
      <c r="I53" s="225" t="str">
        <f>IF(OR(NOT(ISNUMBER(Datos!I51)),N(Datos!I11)=0),"-",Datos!I51/Datos!I11)</f>
        <v>-</v>
      </c>
      <c r="J53" s="225" t="str">
        <f>IF(OR(NOT(ISNUMBER(Datos!J51)),N(Datos!J11)=0),"-",Datos!J51/Datos!J11)</f>
        <v>-</v>
      </c>
      <c r="K53" s="225" t="str">
        <f>IF(OR(NOT(ISNUMBER(Datos!K51)),N(Datos!K11)=0),"-",Datos!K51/Datos!K11)</f>
        <v>-</v>
      </c>
      <c r="L53" s="225" t="str">
        <f>IF(OR(NOT(ISNUMBER(Datos!L51)),N(Datos!L11)=0),"-",Datos!L51/Datos!L11)</f>
        <v>-</v>
      </c>
      <c r="M53" s="225" t="str">
        <f>IF(OR(NOT(ISNUMBER(Datos!M51)),N(Datos!M11)=0),"-",Datos!M51/Datos!M11)</f>
        <v>-</v>
      </c>
      <c r="N53" s="225" t="str">
        <f>IF(OR(NOT(ISNUMBER(Datos!N51)),N(Datos!N11)=0),"-",Datos!N51/Datos!N11)</f>
        <v>-</v>
      </c>
      <c r="O53" s="225" t="str">
        <f>IF(OR(NOT(ISNUMBER(Datos!O51)),N(Datos!O11)=0),"-",Datos!O51/Datos!O11)</f>
        <v>-</v>
      </c>
      <c r="P53" s="225" t="str">
        <f>IF(OR(NOT(ISNUMBER(Datos!P51)),N(Datos!P11)=0),"-",Datos!P51/Datos!P11)</f>
        <v>-</v>
      </c>
      <c r="Q53" s="225" t="str">
        <f>IF(OR(NOT(ISNUMBER(Datos!Q51)),N(Datos!Q11)=0),"-",Datos!Q51/Datos!Q11)</f>
        <v>-</v>
      </c>
      <c r="R53" s="225" t="str">
        <f>IF(OR(NOT(ISNUMBER(Datos!R51)),N(Datos!R11)=0),"-",Datos!R51/Datos!R11)</f>
        <v>-</v>
      </c>
      <c r="S53" s="225" t="str">
        <f>IF(OR(NOT(ISNUMBER(Datos!S51)),N(Datos!S11)=0),"-",Datos!S51/Datos!S11)</f>
        <v>-</v>
      </c>
      <c r="T53" s="225" t="str">
        <f>IF(OR(NOT(ISNUMBER(Datos!T51)),N(Datos!T11)=0),"-",Datos!T51/Datos!T11)</f>
        <v>-</v>
      </c>
      <c r="U53" s="225" t="str">
        <f>IF(OR(NOT(ISNUMBER(Datos!U51)),N(Datos!U11)=0),"-",Datos!U51/Datos!U11)</f>
        <v>-</v>
      </c>
      <c r="V53" s="225" t="str">
        <f>IF(OR(NOT(ISNUMBER(Datos!V51)),N(Datos!V11)=0),"-",Datos!V51/Datos!V11)</f>
        <v>-</v>
      </c>
      <c r="W53" s="225" t="str">
        <f>IF(OR(NOT(ISNUMBER(Datos!W51)),N(Datos!W11)=0),"-",Datos!W51/Datos!W11)</f>
        <v>-</v>
      </c>
      <c r="X53" s="225" t="str">
        <f>IF(OR(NOT(ISNUMBER(Datos!X51)),N(Datos!X11)=0),"-",Datos!X51/Datos!X11)</f>
        <v>-</v>
      </c>
      <c r="Y53" s="225" t="str">
        <f>IF(OR(NOT(ISNUMBER(Datos!Y51)),N(Datos!Y11)=0),"-",Datos!Y51/Datos!Y11)</f>
        <v>-</v>
      </c>
      <c r="Z53" s="225" t="str">
        <f>IF(OR(NOT(ISNUMBER(Datos!Z51)),N(Datos!Z11)=0),"-",Datos!Z51/Datos!Z11)</f>
        <v>-</v>
      </c>
      <c r="AA53" s="225" t="str">
        <f>IF(OR(NOT(ISNUMBER(Datos!AA51)),N(Datos!AA11)=0),"-",Datos!AA51/Datos!AA11)</f>
        <v>-</v>
      </c>
      <c r="AB53" s="225" t="str">
        <f>IF(OR(NOT(ISNUMBER(Datos!AB51)),N(Datos!AB11)=0),"-",Datos!AB51/Datos!AB11)</f>
        <v>-</v>
      </c>
      <c r="AC53" s="225" t="str">
        <f>IF(OR(NOT(ISNUMBER(Datos!AC51)),N(Datos!AC11)=0),"-",Datos!AC51/Datos!AC11)</f>
        <v>-</v>
      </c>
      <c r="AD53" s="225" t="str">
        <f>IF(OR(NOT(ISNUMBER(Datos!AD51)),N(Datos!AD11)=0),"-",Datos!AD51/Datos!AD11)</f>
        <v>-</v>
      </c>
      <c r="AE53" s="225" t="str">
        <f>IF(OR(NOT(ISNUMBER(Datos!AE51)),N(Datos!AE11)=0),"-",Datos!AE51/Datos!AE11)</f>
        <v>-</v>
      </c>
      <c r="AF53" s="225" t="str">
        <f>IF(OR(NOT(ISNUMBER(Datos!AF51)),N(Datos!AF11)=0),"-",Datos!AF51/Datos!AF11)</f>
        <v>-</v>
      </c>
      <c r="AG53" s="225" t="str">
        <f>IF(OR(NOT(ISNUMBER(Datos!AG51)),N(Datos!AG11)=0),"-",Datos!AG51/Datos!AG11)</f>
        <v>-</v>
      </c>
      <c r="AH53" s="225" t="str">
        <f>IF(OR(NOT(ISNUMBER(Datos!AH51)),N(Datos!AH11)=0),"-",Datos!AH51/Datos!AH11)</f>
        <v>-</v>
      </c>
      <c r="AI53" s="225" t="str">
        <f>IF(OR(NOT(ISNUMBER(Datos!AI51)),N(Datos!AI11)=0),"-",Datos!AI51/Datos!AI11)</f>
        <v>-</v>
      </c>
      <c r="AJ53" s="225" t="str">
        <f>IF(OR(NOT(ISNUMBER(Datos!AJ51)),N(Datos!AJ11)=0),"-",Datos!AJ51/Datos!AJ11)</f>
        <v>-</v>
      </c>
      <c r="AK53" s="225" t="str">
        <f>IF(OR(NOT(ISNUMBER(Datos!AK51)),N(Datos!AK11)=0),"-",Datos!AK51/Datos!AK11)</f>
        <v>-</v>
      </c>
      <c r="AL53" s="225" t="str">
        <f>IF(OR(NOT(ISNUMBER(Datos!AL51)),N(Datos!AL11)=0),"-",Datos!AL51/Datos!AL11)</f>
        <v>-</v>
      </c>
    </row>
    <row r="54" spans="1:38" ht="31.5" customHeight="1" x14ac:dyDescent="0.3">
      <c r="A54" s="50" t="s">
        <v>147</v>
      </c>
      <c r="B54" s="51" t="s">
        <v>148</v>
      </c>
      <c r="C54" s="217" t="str">
        <f>INDEX(_TARGETS!$F$2:$F$30,MATCH("CAMPC",_TARGETS!$A$2:$A$30,0))</f>
        <v>Reporte</v>
      </c>
      <c r="D54" s="225" t="str">
        <f>IF(OR(NOT(ISNUMBER(Datos!D52)),N(Datos!D52)=0,NOT(ISNUMBER(Datos!D53))),"-",Datos!D53/Datos!D52)</f>
        <v>-</v>
      </c>
      <c r="E54" s="225">
        <f>IF(OR(NOT(ISNUMBER(Datos!E52)),N(Datos!E52)=0,NOT(ISNUMBER(Datos!E53))),"-",Datos!E53/Datos!E52)</f>
        <v>1</v>
      </c>
      <c r="F54" s="225" t="str">
        <f>IF(OR(NOT(ISNUMBER(Datos!F52)),N(Datos!F52)=0,NOT(ISNUMBER(Datos!F53))),"-",Datos!F53/Datos!F52)</f>
        <v>-</v>
      </c>
      <c r="G54" s="225" t="str">
        <f>IF(OR(NOT(ISNUMBER(Datos!G52)),N(Datos!G52)=0,NOT(ISNUMBER(Datos!G53))),"-",Datos!G53/Datos!G52)</f>
        <v>-</v>
      </c>
      <c r="H54" s="225" t="str">
        <f>IF(OR(NOT(ISNUMBER(Datos!H52)),N(Datos!H52)=0,NOT(ISNUMBER(Datos!H53))),"-",Datos!H53/Datos!H52)</f>
        <v>-</v>
      </c>
      <c r="I54" s="225" t="str">
        <f>IF(OR(NOT(ISNUMBER(Datos!I52)),N(Datos!I52)=0,NOT(ISNUMBER(Datos!I53))),"-",Datos!I53/Datos!I52)</f>
        <v>-</v>
      </c>
      <c r="J54" s="225" t="str">
        <f>IF(OR(NOT(ISNUMBER(Datos!J52)),N(Datos!J52)=0,NOT(ISNUMBER(Datos!J53))),"-",Datos!J53/Datos!J52)</f>
        <v>-</v>
      </c>
      <c r="K54" s="225" t="str">
        <f>IF(OR(NOT(ISNUMBER(Datos!K52)),N(Datos!K52)=0,NOT(ISNUMBER(Datos!K53))),"-",Datos!K53/Datos!K52)</f>
        <v>-</v>
      </c>
      <c r="L54" s="225" t="str">
        <f>IF(OR(NOT(ISNUMBER(Datos!L52)),N(Datos!L52)=0,NOT(ISNUMBER(Datos!L53))),"-",Datos!L53/Datos!L52)</f>
        <v>-</v>
      </c>
      <c r="M54" s="225" t="str">
        <f>IF(OR(NOT(ISNUMBER(Datos!M52)),N(Datos!M52)=0,NOT(ISNUMBER(Datos!M53))),"-",Datos!M53/Datos!M52)</f>
        <v>-</v>
      </c>
      <c r="N54" s="225" t="str">
        <f>IF(OR(NOT(ISNUMBER(Datos!N52)),N(Datos!N52)=0,NOT(ISNUMBER(Datos!N53))),"-",Datos!N53/Datos!N52)</f>
        <v>-</v>
      </c>
      <c r="O54" s="225" t="str">
        <f>IF(OR(NOT(ISNUMBER(Datos!O52)),N(Datos!O52)=0,NOT(ISNUMBER(Datos!O53))),"-",Datos!O53/Datos!O52)</f>
        <v>-</v>
      </c>
      <c r="P54" s="225" t="str">
        <f>IF(OR(NOT(ISNUMBER(Datos!P52)),N(Datos!P52)=0,NOT(ISNUMBER(Datos!P53))),"-",Datos!P53/Datos!P52)</f>
        <v>-</v>
      </c>
      <c r="Q54" s="225" t="str">
        <f>IF(OR(NOT(ISNUMBER(Datos!Q52)),N(Datos!Q52)=0,NOT(ISNUMBER(Datos!Q53))),"-",Datos!Q53/Datos!Q52)</f>
        <v>-</v>
      </c>
      <c r="R54" s="225" t="str">
        <f>IF(OR(NOT(ISNUMBER(Datos!R52)),N(Datos!R52)=0,NOT(ISNUMBER(Datos!R53))),"-",Datos!R53/Datos!R52)</f>
        <v>-</v>
      </c>
      <c r="S54" s="225" t="str">
        <f>IF(OR(NOT(ISNUMBER(Datos!S52)),N(Datos!S52)=0,NOT(ISNUMBER(Datos!S53))),"-",Datos!S53/Datos!S52)</f>
        <v>-</v>
      </c>
      <c r="T54" s="225" t="str">
        <f>IF(OR(NOT(ISNUMBER(Datos!T52)),N(Datos!T52)=0,NOT(ISNUMBER(Datos!T53))),"-",Datos!T53/Datos!T52)</f>
        <v>-</v>
      </c>
      <c r="U54" s="225" t="str">
        <f>IF(OR(NOT(ISNUMBER(Datos!U52)),N(Datos!U52)=0,NOT(ISNUMBER(Datos!U53))),"-",Datos!U53/Datos!U52)</f>
        <v>-</v>
      </c>
      <c r="V54" s="225" t="str">
        <f>IF(OR(NOT(ISNUMBER(Datos!V52)),N(Datos!V52)=0,NOT(ISNUMBER(Datos!V53))),"-",Datos!V53/Datos!V52)</f>
        <v>-</v>
      </c>
      <c r="W54" s="225" t="str">
        <f>IF(OR(NOT(ISNUMBER(Datos!W52)),N(Datos!W52)=0,NOT(ISNUMBER(Datos!W53))),"-",Datos!W53/Datos!W52)</f>
        <v>-</v>
      </c>
      <c r="X54" s="225" t="str">
        <f>IF(OR(NOT(ISNUMBER(Datos!X52)),N(Datos!X52)=0,NOT(ISNUMBER(Datos!X53))),"-",Datos!X53/Datos!X52)</f>
        <v>-</v>
      </c>
      <c r="Y54" s="225" t="str">
        <f>IF(OR(NOT(ISNUMBER(Datos!Y52)),N(Datos!Y52)=0,NOT(ISNUMBER(Datos!Y53))),"-",Datos!Y53/Datos!Y52)</f>
        <v>-</v>
      </c>
      <c r="Z54" s="225" t="str">
        <f>IF(OR(NOT(ISNUMBER(Datos!Z52)),N(Datos!Z52)=0,NOT(ISNUMBER(Datos!Z53))),"-",Datos!Z53/Datos!Z52)</f>
        <v>-</v>
      </c>
      <c r="AA54" s="225" t="str">
        <f>IF(OR(NOT(ISNUMBER(Datos!AA52)),N(Datos!AA52)=0,NOT(ISNUMBER(Datos!AA53))),"-",Datos!AA53/Datos!AA52)</f>
        <v>-</v>
      </c>
      <c r="AB54" s="225" t="str">
        <f>IF(OR(NOT(ISNUMBER(Datos!AB52)),N(Datos!AB52)=0,NOT(ISNUMBER(Datos!AB53))),"-",Datos!AB53/Datos!AB52)</f>
        <v>-</v>
      </c>
      <c r="AC54" s="225" t="str">
        <f>IF(OR(NOT(ISNUMBER(Datos!AC52)),N(Datos!AC52)=0,NOT(ISNUMBER(Datos!AC53))),"-",Datos!AC53/Datos!AC52)</f>
        <v>-</v>
      </c>
      <c r="AD54" s="225" t="str">
        <f>IF(OR(NOT(ISNUMBER(Datos!AD52)),N(Datos!AD52)=0,NOT(ISNUMBER(Datos!AD53))),"-",Datos!AD53/Datos!AD52)</f>
        <v>-</v>
      </c>
      <c r="AE54" s="225" t="str">
        <f>IF(OR(NOT(ISNUMBER(Datos!AE52)),N(Datos!AE52)=0,NOT(ISNUMBER(Datos!AE53))),"-",Datos!AE53/Datos!AE52)</f>
        <v>-</v>
      </c>
      <c r="AF54" s="225" t="str">
        <f>IF(OR(NOT(ISNUMBER(Datos!AF52)),N(Datos!AF52)=0,NOT(ISNUMBER(Datos!AF53))),"-",Datos!AF53/Datos!AF52)</f>
        <v>-</v>
      </c>
      <c r="AG54" s="225" t="str">
        <f>IF(OR(NOT(ISNUMBER(Datos!AG52)),N(Datos!AG52)=0,NOT(ISNUMBER(Datos!AG53))),"-",Datos!AG53/Datos!AG52)</f>
        <v>-</v>
      </c>
      <c r="AH54" s="225" t="str">
        <f>IF(OR(NOT(ISNUMBER(Datos!AH52)),N(Datos!AH52)=0,NOT(ISNUMBER(Datos!AH53))),"-",Datos!AH53/Datos!AH52)</f>
        <v>-</v>
      </c>
      <c r="AI54" s="225" t="str">
        <f>IF(OR(NOT(ISNUMBER(Datos!AI52)),N(Datos!AI52)=0,NOT(ISNUMBER(Datos!AI53))),"-",Datos!AI53/Datos!AI52)</f>
        <v>-</v>
      </c>
      <c r="AJ54" s="225" t="str">
        <f>IF(OR(NOT(ISNUMBER(Datos!AJ52)),N(Datos!AJ52)=0,NOT(ISNUMBER(Datos!AJ53))),"-",Datos!AJ53/Datos!AJ52)</f>
        <v>-</v>
      </c>
      <c r="AK54" s="225" t="str">
        <f>IF(OR(NOT(ISNUMBER(Datos!AK52)),N(Datos!AK52)=0,NOT(ISNUMBER(Datos!AK53))),"-",Datos!AK53/Datos!AK52)</f>
        <v>-</v>
      </c>
      <c r="AL54" s="225" t="str">
        <f>IF(OR(NOT(ISNUMBER(Datos!AL52)),N(Datos!AL52)=0,NOT(ISNUMBER(Datos!AL53))),"-",Datos!AL53/Datos!AL52)</f>
        <v>-</v>
      </c>
    </row>
    <row r="56" spans="1:38" ht="31.5" customHeight="1" x14ac:dyDescent="0.3">
      <c r="A56" s="110" t="s">
        <v>149</v>
      </c>
      <c r="B56" s="110"/>
      <c r="C56" s="110"/>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row>
    <row r="57" spans="1:38" ht="31.5" customHeight="1" x14ac:dyDescent="0.3">
      <c r="A57" s="50" t="s">
        <v>150</v>
      </c>
      <c r="B57" s="51" t="s">
        <v>151</v>
      </c>
      <c r="C57" s="54"/>
      <c r="D57" s="216" t="str">
        <f>IF(ISNUMBER(_INT_KPI!D5),_INT_KPI!D5,"-")</f>
        <v>-</v>
      </c>
      <c r="E57" s="216" t="str">
        <f>IF(ISNUMBER(_INT_KPI!E5),_INT_KPI!E5,"-")</f>
        <v>-</v>
      </c>
      <c r="F57" s="216" t="str">
        <f>IF(ISNUMBER(_INT_KPI!F5),_INT_KPI!F5,"-")</f>
        <v>-</v>
      </c>
      <c r="G57" s="216" t="str">
        <f>IF(ISNUMBER(_INT_KPI!G5),_INT_KPI!G5,"-")</f>
        <v>-</v>
      </c>
      <c r="H57" s="216" t="str">
        <f>IF(ISNUMBER(_INT_KPI!H5),_INT_KPI!H5,"-")</f>
        <v>-</v>
      </c>
      <c r="I57" s="216" t="str">
        <f>IF(ISNUMBER(_INT_KPI!I5),_INT_KPI!I5,"-")</f>
        <v>-</v>
      </c>
      <c r="J57" s="216" t="str">
        <f>IF(ISNUMBER(_INT_KPI!J5),_INT_KPI!J5,"-")</f>
        <v>-</v>
      </c>
      <c r="K57" s="216" t="str">
        <f>IF(ISNUMBER(_INT_KPI!K5),_INT_KPI!K5,"-")</f>
        <v>-</v>
      </c>
      <c r="L57" s="216" t="str">
        <f>IF(ISNUMBER(_INT_KPI!L5),_INT_KPI!L5,"-")</f>
        <v>-</v>
      </c>
      <c r="M57" s="216" t="str">
        <f>IF(ISNUMBER(_INT_KPI!M5),_INT_KPI!M5,"-")</f>
        <v>-</v>
      </c>
      <c r="N57" s="216" t="str">
        <f>IF(ISNUMBER(_INT_KPI!N5),_INT_KPI!N5,"-")</f>
        <v>-</v>
      </c>
      <c r="O57" s="216" t="str">
        <f>IF(ISNUMBER(_INT_KPI!O5),_INT_KPI!O5,"-")</f>
        <v>-</v>
      </c>
      <c r="P57" s="216" t="str">
        <f>IF(ISNUMBER(_INT_KPI!P5),_INT_KPI!P5,"-")</f>
        <v>-</v>
      </c>
      <c r="Q57" s="216" t="str">
        <f>IF(ISNUMBER(_INT_KPI!Q5),_INT_KPI!Q5,"-")</f>
        <v>-</v>
      </c>
      <c r="R57" s="216" t="str">
        <f>IF(ISNUMBER(_INT_KPI!R5),_INT_KPI!R5,"-")</f>
        <v>-</v>
      </c>
      <c r="S57" s="216" t="str">
        <f>IF(ISNUMBER(_INT_KPI!S5),_INT_KPI!S5,"-")</f>
        <v>-</v>
      </c>
      <c r="T57" s="216" t="str">
        <f>IF(ISNUMBER(_INT_KPI!T5),_INT_KPI!T5,"-")</f>
        <v>-</v>
      </c>
      <c r="U57" s="216" t="str">
        <f>IF(ISNUMBER(_INT_KPI!U5),_INT_KPI!U5,"-")</f>
        <v>-</v>
      </c>
      <c r="V57" s="216" t="str">
        <f>IF(ISNUMBER(_INT_KPI!V5),_INT_KPI!V5,"-")</f>
        <v>-</v>
      </c>
      <c r="W57" s="216" t="str">
        <f>IF(ISNUMBER(_INT_KPI!W5),_INT_KPI!W5,"-")</f>
        <v>-</v>
      </c>
      <c r="X57" s="216" t="str">
        <f>IF(ISNUMBER(_INT_KPI!X5),_INT_KPI!X5,"-")</f>
        <v>-</v>
      </c>
      <c r="Y57" s="216" t="str">
        <f>IF(ISNUMBER(_INT_KPI!Y5),_INT_KPI!Y5,"-")</f>
        <v>-</v>
      </c>
      <c r="Z57" s="216" t="str">
        <f>IF(ISNUMBER(_INT_KPI!Z5),_INT_KPI!Z5,"-")</f>
        <v>-</v>
      </c>
      <c r="AA57" s="216" t="str">
        <f>IF(ISNUMBER(_INT_KPI!AA5),_INT_KPI!AA5,"-")</f>
        <v>-</v>
      </c>
      <c r="AB57" s="216" t="str">
        <f>IF(ISNUMBER(_INT_KPI!AB5),_INT_KPI!AB5,"-")</f>
        <v>-</v>
      </c>
      <c r="AC57" s="216" t="str">
        <f>IF(ISNUMBER(_INT_KPI!AC5),_INT_KPI!AC5,"-")</f>
        <v>-</v>
      </c>
      <c r="AD57" s="216" t="str">
        <f>IF(ISNUMBER(_INT_KPI!AD5),_INT_KPI!AD5,"-")</f>
        <v>-</v>
      </c>
      <c r="AE57" s="216" t="str">
        <f>IF(ISNUMBER(_INT_KPI!AE5),_INT_KPI!AE5,"-")</f>
        <v>-</v>
      </c>
      <c r="AF57" s="216" t="str">
        <f>IF(ISNUMBER(_INT_KPI!AF5),_INT_KPI!AF5,"-")</f>
        <v>-</v>
      </c>
      <c r="AG57" s="216" t="str">
        <f>IF(ISNUMBER(_INT_KPI!AG5),_INT_KPI!AG5,"-")</f>
        <v>-</v>
      </c>
      <c r="AH57" s="216" t="str">
        <f>IF(ISNUMBER(_INT_KPI!AH5),_INT_KPI!AH5,"-")</f>
        <v>-</v>
      </c>
      <c r="AI57" s="216" t="str">
        <f>IF(ISNUMBER(_INT_KPI!AI5),_INT_KPI!AI5,"-")</f>
        <v>-</v>
      </c>
      <c r="AJ57" s="216" t="str">
        <f>IF(ISNUMBER(_INT_KPI!AJ5),_INT_KPI!AJ5,"-")</f>
        <v>-</v>
      </c>
      <c r="AK57" s="216" t="str">
        <f>IF(ISNUMBER(_INT_KPI!AK5),_INT_KPI!AK5,"-")</f>
        <v>-</v>
      </c>
      <c r="AL57" s="216" t="str">
        <f>IF(ISNUMBER(_INT_KPI!AL5),_INT_KPI!AL5,"-")</f>
        <v>-</v>
      </c>
    </row>
    <row r="58" spans="1:38" ht="31.5" customHeight="1" x14ac:dyDescent="0.3">
      <c r="A58" s="50" t="s">
        <v>152</v>
      </c>
      <c r="B58" s="51" t="s">
        <v>151</v>
      </c>
      <c r="C58" s="54"/>
      <c r="D58" s="216" t="str">
        <f>IF(ISNUMBER(_INT_KPI!D6),_INT_KPI!D6,"-")</f>
        <v>-</v>
      </c>
      <c r="E58" s="216" t="str">
        <f>IF(ISNUMBER(_INT_KPI!E6),_INT_KPI!E6,"-")</f>
        <v>-</v>
      </c>
      <c r="F58" s="216" t="str">
        <f>IF(ISNUMBER(_INT_KPI!F6),_INT_KPI!F6,"-")</f>
        <v>-</v>
      </c>
      <c r="G58" s="216" t="str">
        <f>IF(ISNUMBER(_INT_KPI!G6),_INT_KPI!G6,"-")</f>
        <v>-</v>
      </c>
      <c r="H58" s="216" t="str">
        <f>IF(ISNUMBER(_INT_KPI!H6),_INT_KPI!H6,"-")</f>
        <v>-</v>
      </c>
      <c r="I58" s="216" t="str">
        <f>IF(ISNUMBER(_INT_KPI!I6),_INT_KPI!I6,"-")</f>
        <v>-</v>
      </c>
      <c r="J58" s="216" t="str">
        <f>IF(ISNUMBER(_INT_KPI!J6),_INT_KPI!J6,"-")</f>
        <v>-</v>
      </c>
      <c r="K58" s="216" t="str">
        <f>IF(ISNUMBER(_INT_KPI!K6),_INT_KPI!K6,"-")</f>
        <v>-</v>
      </c>
      <c r="L58" s="216" t="str">
        <f>IF(ISNUMBER(_INT_KPI!L6),_INT_KPI!L6,"-")</f>
        <v>-</v>
      </c>
      <c r="M58" s="216" t="str">
        <f>IF(ISNUMBER(_INT_KPI!M6),_INT_KPI!M6,"-")</f>
        <v>-</v>
      </c>
      <c r="N58" s="216" t="str">
        <f>IF(ISNUMBER(_INT_KPI!N6),_INT_KPI!N6,"-")</f>
        <v>-</v>
      </c>
      <c r="O58" s="216" t="str">
        <f>IF(ISNUMBER(_INT_KPI!O6),_INT_KPI!O6,"-")</f>
        <v>-</v>
      </c>
      <c r="P58" s="216" t="str">
        <f>IF(ISNUMBER(_INT_KPI!P6),_INT_KPI!P6,"-")</f>
        <v>-</v>
      </c>
      <c r="Q58" s="216" t="str">
        <f>IF(ISNUMBER(_INT_KPI!Q6),_INT_KPI!Q6,"-")</f>
        <v>-</v>
      </c>
      <c r="R58" s="216" t="str">
        <f>IF(ISNUMBER(_INT_KPI!R6),_INT_KPI!R6,"-")</f>
        <v>-</v>
      </c>
      <c r="S58" s="216" t="str">
        <f>IF(ISNUMBER(_INT_KPI!S6),_INT_KPI!S6,"-")</f>
        <v>-</v>
      </c>
      <c r="T58" s="216" t="str">
        <f>IF(ISNUMBER(_INT_KPI!T6),_INT_KPI!T6,"-")</f>
        <v>-</v>
      </c>
      <c r="U58" s="216" t="str">
        <f>IF(ISNUMBER(_INT_KPI!U6),_INT_KPI!U6,"-")</f>
        <v>-</v>
      </c>
      <c r="V58" s="216" t="str">
        <f>IF(ISNUMBER(_INT_KPI!V6),_INT_KPI!V6,"-")</f>
        <v>-</v>
      </c>
      <c r="W58" s="216" t="str">
        <f>IF(ISNUMBER(_INT_KPI!W6),_INT_KPI!W6,"-")</f>
        <v>-</v>
      </c>
      <c r="X58" s="216" t="str">
        <f>IF(ISNUMBER(_INT_KPI!X6),_INT_KPI!X6,"-")</f>
        <v>-</v>
      </c>
      <c r="Y58" s="216" t="str">
        <f>IF(ISNUMBER(_INT_KPI!Y6),_INT_KPI!Y6,"-")</f>
        <v>-</v>
      </c>
      <c r="Z58" s="216" t="str">
        <f>IF(ISNUMBER(_INT_KPI!Z6),_INT_KPI!Z6,"-")</f>
        <v>-</v>
      </c>
      <c r="AA58" s="216" t="str">
        <f>IF(ISNUMBER(_INT_KPI!AA6),_INT_KPI!AA6,"-")</f>
        <v>-</v>
      </c>
      <c r="AB58" s="216" t="str">
        <f>IF(ISNUMBER(_INT_KPI!AB6),_INT_KPI!AB6,"-")</f>
        <v>-</v>
      </c>
      <c r="AC58" s="216" t="str">
        <f>IF(ISNUMBER(_INT_KPI!AC6),_INT_KPI!AC6,"-")</f>
        <v>-</v>
      </c>
      <c r="AD58" s="216" t="str">
        <f>IF(ISNUMBER(_INT_KPI!AD6),_INT_KPI!AD6,"-")</f>
        <v>-</v>
      </c>
      <c r="AE58" s="216" t="str">
        <f>IF(ISNUMBER(_INT_KPI!AE6),_INT_KPI!AE6,"-")</f>
        <v>-</v>
      </c>
      <c r="AF58" s="216" t="str">
        <f>IF(ISNUMBER(_INT_KPI!AF6),_INT_KPI!AF6,"-")</f>
        <v>-</v>
      </c>
      <c r="AG58" s="216" t="str">
        <f>IF(ISNUMBER(_INT_KPI!AG6),_INT_KPI!AG6,"-")</f>
        <v>-</v>
      </c>
      <c r="AH58" s="216" t="str">
        <f>IF(ISNUMBER(_INT_KPI!AH6),_INT_KPI!AH6,"-")</f>
        <v>-</v>
      </c>
      <c r="AI58" s="216" t="str">
        <f>IF(ISNUMBER(_INT_KPI!AI6),_INT_KPI!AI6,"-")</f>
        <v>-</v>
      </c>
      <c r="AJ58" s="216" t="str">
        <f>IF(ISNUMBER(_INT_KPI!AJ6),_INT_KPI!AJ6,"-")</f>
        <v>-</v>
      </c>
      <c r="AK58" s="216" t="str">
        <f>IF(ISNUMBER(_INT_KPI!AK6),_INT_KPI!AK6,"-")</f>
        <v>-</v>
      </c>
      <c r="AL58" s="216" t="str">
        <f>IF(ISNUMBER(_INT_KPI!AL6),_INT_KPI!AL6,"-")</f>
        <v>-</v>
      </c>
    </row>
  </sheetData>
  <sheetProtection sheet="1" objects="1" scenarios="1" formatCells="1" formatColumns="1" formatRows="1" insertColumns="1" insertRows="1" insertHyperlinks="0" deleteColumns="1" deleteRows="1" selectLockedCells="0" selectUnlockedCells="0" sort="0" autoFilter="0" pivotTables="1" password="9F52"/>
  <mergeCells count="12">
    <mergeCell ref="A25:C25"/>
    <mergeCell ref="A36:C36"/>
    <mergeCell ref="A1:G1"/>
    <mergeCell ref="A5:C5"/>
    <mergeCell ref="A32:C32"/>
    <mergeCell ref="C3:C4"/>
    <mergeCell ref="B3:B4"/>
    <mergeCell ref="A3:A4"/>
    <mergeCell ref="A9:C9"/>
    <mergeCell ref="A12:C12"/>
    <mergeCell ref="A20:C20"/>
    <mergeCell ref="A15:C15"/>
  </mergeCells>
  <conditionalFormatting sqref="D6:AL7">
    <cfRule type="expression" dxfId="183" priority="2">
      <formula>AND(ISNUMBER(D6),ISNUMBER($C6),D6&lt;=$C6)</formula>
    </cfRule>
    <cfRule type="expression" dxfId="182" priority="3">
      <formula>AND(ISNUMBER(D6),ISNUMBER($C6),D6&gt;$C6)</formula>
    </cfRule>
  </conditionalFormatting>
  <conditionalFormatting sqref="D11:AL11">
    <cfRule type="expression" dxfId="181" priority="6">
      <formula>AND(ISNUMBER(D11),ISNUMBER($C11),D11&lt;=$C11)</formula>
    </cfRule>
    <cfRule type="expression" dxfId="180" priority="7">
      <formula>AND(ISNUMBER(D11),ISNUMBER($C11),D11&gt;$C11)</formula>
    </cfRule>
  </conditionalFormatting>
  <conditionalFormatting sqref="D13:AL13">
    <cfRule type="expression" dxfId="179" priority="8">
      <formula>AND(ISNUMBER(D13),ISNUMBER($C13),D13&gt;=$C13)</formula>
    </cfRule>
    <cfRule type="expression" dxfId="178" priority="9">
      <formula>AND(ISNUMBER(D13),ISNUMBER($C13),D13&lt;$C13)</formula>
    </cfRule>
  </conditionalFormatting>
  <conditionalFormatting sqref="D14:AL14">
    <cfRule type="expression" dxfId="177" priority="10">
      <formula>AND(ISNUMBER(D14),ISNUMBER($C14),D14&lt;=$C14)</formula>
    </cfRule>
    <cfRule type="expression" dxfId="176" priority="11">
      <formula>AND(ISNUMBER(D14),ISNUMBER($C14),D14&gt;$C14)</formula>
    </cfRule>
  </conditionalFormatting>
  <conditionalFormatting sqref="D16:AL16">
    <cfRule type="expression" dxfId="175" priority="12">
      <formula>AND(ISNUMBER(D16),ISNUMBER($C16),D16&gt;=$C16)</formula>
    </cfRule>
    <cfRule type="expression" dxfId="174" priority="13">
      <formula>AND(ISNUMBER(D16),ISNUMBER($C16),D16&lt;$C16)</formula>
    </cfRule>
  </conditionalFormatting>
  <conditionalFormatting sqref="D18:AL19">
    <cfRule type="expression" dxfId="173" priority="14">
      <formula>AND(ISNUMBER(D18),ISNUMBER($C18),D18&gt;=$C18)</formula>
    </cfRule>
    <cfRule type="expression" dxfId="172" priority="15">
      <formula>AND(ISNUMBER(D18),ISNUMBER($C18),D18&lt;$C18)</formula>
    </cfRule>
  </conditionalFormatting>
  <conditionalFormatting sqref="D21:AL22">
    <cfRule type="expression" dxfId="171" priority="18">
      <formula>AND(ISNUMBER(D21),ISNUMBER($C21),D21&gt;=$C21)</formula>
    </cfRule>
    <cfRule type="expression" dxfId="170" priority="19">
      <formula>AND(ISNUMBER(D21),ISNUMBER($C21),D21&lt;$C21)</formula>
    </cfRule>
  </conditionalFormatting>
  <conditionalFormatting sqref="D23:AL23">
    <cfRule type="expression" dxfId="169" priority="22">
      <formula>AND(ISNUMBER(D23),ISNUMBER($C23),D23&lt;=$C23)</formula>
    </cfRule>
    <cfRule type="expression" dxfId="168" priority="23">
      <formula>AND(ISNUMBER(D23),ISNUMBER($C23),D23&gt;$C23)</formula>
    </cfRule>
  </conditionalFormatting>
  <conditionalFormatting sqref="D26:AL27">
    <cfRule type="expression" dxfId="167" priority="24">
      <formula>AND(ISNUMBER(D26),ISNUMBER($C26),D26&lt;=$C26)</formula>
    </cfRule>
    <cfRule type="expression" dxfId="166" priority="25">
      <formula>AND(ISNUMBER(D26),ISNUMBER($C26),D26&gt;$C26)</formula>
    </cfRule>
  </conditionalFormatting>
  <conditionalFormatting sqref="D30:AL30">
    <cfRule type="expression" dxfId="165" priority="28">
      <formula>AND(ISNUMBER(D30),ISNUMBER($C30),D30&lt;=$C30)</formula>
    </cfRule>
    <cfRule type="expression" dxfId="164" priority="29">
      <formula>AND(ISNUMBER(D30),ISNUMBER($C30),D30&gt;$C30)</formula>
    </cfRule>
  </conditionalFormatting>
  <conditionalFormatting sqref="D37:AL38">
    <cfRule type="expression" dxfId="163" priority="30">
      <formula>AND(ISNUMBER(D37),ISNUMBER($C6),D37&lt;=$C6)</formula>
    </cfRule>
    <cfRule type="expression" dxfId="162" priority="31">
      <formula>AND(ISNUMBER(D37),ISNUMBER($C6),D37&gt;$C6)</formula>
    </cfRule>
  </conditionalFormatting>
  <conditionalFormatting sqref="D41:AL41">
    <cfRule type="expression" dxfId="161" priority="34">
      <formula>AND(ISNUMBER(D41),ISNUMBER($C11),D41&lt;=$C11)</formula>
    </cfRule>
    <cfRule type="expression" dxfId="160" priority="35">
      <formula>AND(ISNUMBER(D41),ISNUMBER($C11),D41&gt;$C11)</formula>
    </cfRule>
  </conditionalFormatting>
  <conditionalFormatting sqref="D42:AL42">
    <cfRule type="expression" dxfId="159" priority="36">
      <formula>AND(ISNUMBER(D42),ISNUMBER($C14),D42&lt;=$C14)</formula>
    </cfRule>
    <cfRule type="expression" dxfId="158" priority="37">
      <formula>AND(ISNUMBER(D42),ISNUMBER($C14),D42&gt;$C14)</formula>
    </cfRule>
  </conditionalFormatting>
  <conditionalFormatting sqref="D43:AL43">
    <cfRule type="expression" dxfId="157" priority="38">
      <formula>AND(ISNUMBER(D43),ISNUMBER($C16),D43&gt;=$C16)</formula>
    </cfRule>
    <cfRule type="expression" dxfId="156" priority="39">
      <formula>AND(ISNUMBER(D43),ISNUMBER($C16),D43&lt;$C16)</formula>
    </cfRule>
  </conditionalFormatting>
  <conditionalFormatting sqref="D44:AL45">
    <cfRule type="expression" dxfId="155" priority="40">
      <formula>AND(ISNUMBER(D44),ISNUMBER($C18),D44&gt;=$C18)</formula>
    </cfRule>
    <cfRule type="expression" dxfId="154" priority="41">
      <formula>AND(ISNUMBER(D44),ISNUMBER($C18),D44&lt;$C18)</formula>
    </cfRule>
  </conditionalFormatting>
  <conditionalFormatting sqref="D46:AL47">
    <cfRule type="expression" dxfId="153" priority="44">
      <formula>AND(ISNUMBER(D46),ISNUMBER($C21),D46&gt;=$C21)</formula>
    </cfRule>
    <cfRule type="expression" dxfId="152" priority="45">
      <formula>AND(ISNUMBER(D46),ISNUMBER($C21),D46&lt;$C21)</formula>
    </cfRule>
  </conditionalFormatting>
  <conditionalFormatting sqref="D48:AL48">
    <cfRule type="expression" dxfId="151" priority="48">
      <formula>AND(ISNUMBER(D48),ISNUMBER($C23),D48&lt;=$C23)</formula>
    </cfRule>
    <cfRule type="expression" dxfId="150" priority="49">
      <formula>AND(ISNUMBER(D48),ISNUMBER($C23),D48&gt;$C23)</formula>
    </cfRule>
  </conditionalFormatting>
  <dataValidations count="28">
    <dataValidation operator="equal" allowBlank="1" showInputMessage="1" promptTitle="DAFWCF" prompt="Unidad: casos / 1.000.000 HHT." sqref="B6" xr:uid="{00000000-0002-0000-0200-000000000000}">
      <formula1>0</formula1>
      <formula2>0</formula2>
    </dataValidation>
    <dataValidation operator="equal" allowBlank="1" showInputMessage="1" promptTitle="Meta DAFWCF" prompt="Meta editable. Se compara con la fila ACUMULADO." sqref="C6" xr:uid="{00000000-0002-0000-0200-000001000000}">
      <formula1>0</formula1>
      <formula2>0</formula2>
    </dataValidation>
    <dataValidation operator="equal" allowBlank="1" showInputMessage="1" promptTitle="TRICF" prompt="Unidad: casos registrables / 1.000.000 HHT." sqref="B7" xr:uid="{00000000-0002-0000-0200-000002000000}">
      <formula1>0</formula1>
      <formula2>0</formula2>
    </dataValidation>
    <dataValidation operator="equal" allowBlank="1" showInputMessage="1" promptTitle="Meta TRICF" prompt="Meta editable. Se compara con la fila ACUMULADO." sqref="C7" xr:uid="{00000000-0002-0000-0200-000003000000}">
      <formula1>0</formula1>
      <formula2>0</formula2>
    </dataValidation>
    <dataValidation operator="equal" allowBlank="1" showInputMessage="1" promptTitle="FAC" prompt="Unidad: casos." sqref="B8" xr:uid="{00000000-0002-0000-0200-000004000000}">
      <formula1>0</formula1>
      <formula2>0</formula2>
    </dataValidation>
    <dataValidation operator="equal" allowBlank="1" showInputMessage="1" promptTitle="SVCR" prompt="Unidad: accidentes severos / 1.000.000 km." sqref="B10" xr:uid="{00000000-0002-0000-0200-000005000000}">
      <formula1>0</formula1>
      <formula2>0</formula2>
    </dataValidation>
    <dataValidation operator="equal" allowBlank="1" showInputMessage="1" promptTitle="TVCR" prompt="Unidad: accidentes totales / 1.000.000 km." sqref="B11" xr:uid="{00000000-0002-0000-0200-000006000000}">
      <formula1>0</formula1>
      <formula2>0</formula2>
    </dataValidation>
    <dataValidation operator="equal" allowBlank="1" showInputMessage="1" promptTitle="Meta TVCR" prompt="Meta editable. Se compara con la fila ACUMULADO." sqref="C11" xr:uid="{00000000-0002-0000-0200-000007000000}">
      <formula1>0</formula1>
      <formula2>0</formula2>
    </dataValidation>
    <dataValidation operator="equal" allowBlank="1" showInputMessage="1" promptTitle="OBS" prompt="Unidad: observaciones / persona." sqref="B13" xr:uid="{00000000-0002-0000-0200-000008000000}">
      <formula1>0</formula1>
      <formula2>0</formula2>
    </dataValidation>
    <dataValidation operator="equal" allowBlank="1" showInputMessage="1" promptTitle="INV" prompt="Unidad: días / investigación cerrada." sqref="B14" xr:uid="{00000000-0002-0000-0200-000009000000}">
      <formula1>0</formula1>
      <formula2>0</formula2>
    </dataValidation>
    <dataValidation operator="equal" allowBlank="1" showInputMessage="1" promptTitle="HCS" prompt="Unidad: %." sqref="B16" xr:uid="{00000000-0002-0000-0200-00000A000000}">
      <formula1>0</formula1>
      <formula2>0</formula2>
    </dataValidation>
    <dataValidation operator="equal" allowBlank="1" showInputMessage="1" promptTitle="HCSA" prompt="Unidad: horas / persona." sqref="B17" xr:uid="{00000000-0002-0000-0200-00000B000000}">
      <formula1>0</formula1>
      <formula2>0</formula2>
    </dataValidation>
    <dataValidation operator="equal" allowBlank="1" showInputMessage="1" promptTitle="CPSE" prompt="Unidad: % de cumplimiento." sqref="B18" xr:uid="{00000000-0002-0000-0200-00000C000000}">
      <formula1>0</formula1>
      <formula2>0</formula2>
    </dataValidation>
    <dataValidation operator="equal" allowBlank="1" showInputMessage="1" promptTitle="CAMS" prompt="Unidad: % de cumplimiento." sqref="B19" xr:uid="{00000000-0002-0000-0200-00000D000000}">
      <formula1>0</formula1>
      <formula2>0</formula2>
    </dataValidation>
    <dataValidation operator="equal" allowBlank="1" showInputMessage="1" promptTitle="Meta CAMS" prompt="Meta editable, pendiente de confirmar." sqref="C19" xr:uid="{00000000-0002-0000-0200-00000E000000}">
      <formula1>0</formula1>
      <formula2>0</formula2>
    </dataValidation>
    <dataValidation operator="equal" allowBlank="1" showInputMessage="1" promptTitle="ICCS" prompt="Unidad: % de cumplimiento." sqref="B21" xr:uid="{00000000-0002-0000-0200-00000F000000}">
      <formula1>0</formula1>
      <formula2>0</formula2>
    </dataValidation>
    <dataValidation operator="equal" allowBlank="1" showInputMessage="1" promptTitle="Meta ICCS" prompt="Meta editable, pendiente de confirmar." sqref="C21" xr:uid="{00000000-0002-0000-0200-000010000000}">
      <formula1>0</formula1>
      <formula2>0</formula2>
    </dataValidation>
    <dataValidation operator="equal" allowBlank="1" showInputMessage="1" promptTitle="CCS" prompt="Unidad: % de cumplimiento." sqref="B22" xr:uid="{00000000-0002-0000-0200-000011000000}">
      <formula1>0</formula1>
      <formula2>0</formula2>
    </dataValidation>
    <dataValidation operator="equal" allowBlank="1" showInputMessage="1" promptTitle="Meta CCS" prompt="Meta editable, pendiente de confirmar." sqref="C22" xr:uid="{00000000-0002-0000-0200-000012000000}">
      <formula1>0</formula1>
      <formula2>0</formula2>
    </dataValidation>
    <dataValidation operator="equal" allowBlank="1" showInputMessage="1" promptTitle="Meta DPAS" prompt="Meta a definir. Cargarla acá cuando se confirme." sqref="C23" xr:uid="{00000000-0002-0000-0200-000013000000}">
      <formula1>0</formula1>
      <formula2>0</formula2>
    </dataValidation>
    <dataValidation operator="equal" allowBlank="1" showInputMessage="1" promptTitle="Acumulado del proyecto" prompt="Suma desde el inicio del proyecto. Las metas de proyecto se leen en estas filas." sqref="A25 A36" xr:uid="{00000000-0002-0000-0200-000014000000}">
      <formula1>0</formula1>
      <formula2>0</formula2>
    </dataValidation>
    <dataValidation operator="equal" allowBlank="1" showInputMessage="1" promptTitle="Meta DAFWCF · acumulado" prompt="Toma la meta de la fila 6. Editable." sqref="C26 C37:C50" xr:uid="{00000000-0002-0000-0200-000015000000}">
      <formula1>0</formula1>
      <formula2>0</formula2>
    </dataValidation>
    <dataValidation operator="equal" allowBlank="1" showInputMessage="1" promptTitle="Meta TRICF · acumulado" prompt="Toma la meta de la fila 7. Editable." sqref="C27" xr:uid="{00000000-0002-0000-0200-000016000000}">
      <formula1>0</formula1>
      <formula2>0</formula2>
    </dataValidation>
    <dataValidation operator="equal" allowBlank="1" showInputMessage="1" promptTitle="Meta FAC · acumulado" prompt="Toma la meta de la fila 8. Editable." sqref="C28" xr:uid="{00000000-0002-0000-0200-000017000000}">
      <formula1>0</formula1>
      <formula2>0</formula2>
    </dataValidation>
    <dataValidation operator="equal" allowBlank="1" showInputMessage="1" promptTitle="Meta SVCR · acumulado" prompt="Toma la meta de la fila 10. Editable." sqref="C29" xr:uid="{00000000-0002-0000-0200-000018000000}">
      <formula1>0</formula1>
      <formula2>0</formula2>
    </dataValidation>
    <dataValidation operator="equal" allowBlank="1" showInputMessage="1" promptTitle="Meta TVCR · acumulado" prompt="Toma la meta de la fila 11. Editable." sqref="C30" xr:uid="{00000000-0002-0000-0200-000019000000}">
      <formula1>0</formula1>
      <formula2>0</formula2>
    </dataValidation>
    <dataValidation operator="equal" allowBlank="1" showInputMessage="1" promptTitle="HAL-A" prompt="Unidad: % sobre los desvíos del mes con gravedad cargada." sqref="B33" xr:uid="{00000000-0002-0000-0200-00001A000000}">
      <formula1>0</formula1>
      <formula2>0</formula2>
    </dataValidation>
    <dataValidation operator="equal" allowBlank="1" showInputMessage="1" promptTitle="DET" prompt="Unidad: detenciones de tareas en el mes." sqref="B34" xr:uid="{00000000-0002-0000-0200-00001B000000}">
      <formula1>0</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131E-9023-44B3-8A30-4C9C64648D5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Datos!D$3</f>
        <v>46235</v>
      </c>
      <c r="B1" s="241" t="str">
        <f>"FOTOS DEL MES · "&amp;UPPER(CHOOSE(MONTH($A$1),"enero","febrero","marzo","abril","mayo","junio","julio","agosto","septiembre","octubre","noviembre","diciembre"))&amp;" "&amp;YEAR($A$1)&amp;" · PLANTA COMPRESORA"</f>
        <v>FOTOS DEL MES · AGOSTO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9" priority="2">
      <formula>$A$1=RPT_MONTH</formula>
    </cfRule>
    <cfRule type="expression" dxfId="148" priority="3">
      <formula>$A$1&lt;&gt;RPT_MONTH</formula>
    </cfRule>
  </conditionalFormatting>
  <conditionalFormatting sqref="B24:N24">
    <cfRule type="expression" dxfId="147" priority="4">
      <formula>ISNUMBER(SEARCH("Faltan",$B$24))</formula>
    </cfRule>
    <cfRule type="expression" dxfId="1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EB2B-7D6A-4D27-87BC-9C5734858AD6}">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Datos!E$3</f>
        <v>46266</v>
      </c>
      <c r="B1" s="241" t="str">
        <f>"FOTOS DEL MES · "&amp;UPPER(CHOOSE(MONTH($A$1),"enero","febrero","marzo","abril","mayo","junio","julio","agosto","septiembre","octubre","noviembre","diciembre"))&amp;" "&amp;YEAR($A$1)&amp;" · PLANTA COMPRESORA"</f>
        <v>FOTOS DEL MES · SEPTIEMBRE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5" priority="2">
      <formula>$A$1=RPT_MONTH</formula>
    </cfRule>
    <cfRule type="expression" dxfId="144" priority="3">
      <formula>$A$1&lt;&gt;RPT_MONTH</formula>
    </cfRule>
  </conditionalFormatting>
  <conditionalFormatting sqref="B24:N24">
    <cfRule type="expression" dxfId="143" priority="4">
      <formula>ISNUMBER(SEARCH("Faltan",$B$24))</formula>
    </cfRule>
    <cfRule type="expression" dxfId="1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1B0-CFA6-4B82-BF89-6291AD0B7E3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Datos!F$3</f>
        <v>46296</v>
      </c>
      <c r="B1" s="241" t="str">
        <f>"FOTOS DEL MES · "&amp;UPPER(CHOOSE(MONTH($A$1),"enero","febrero","marzo","abril","mayo","junio","julio","agosto","septiembre","octubre","noviembre","diciembre"))&amp;" "&amp;YEAR($A$1)&amp;" · PLANTA COMPRESORA"</f>
        <v>FOTOS DEL MES · OCTUBRE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es el mes seleccionado en Datos: cargar las fotos acá</v>
      </c>
      <c r="C3" s="143"/>
      <c r="D3" s="143"/>
      <c r="E3" s="143"/>
      <c r="F3" s="143"/>
      <c r="G3" s="143"/>
      <c r="I3" s="243" t="str">
        <f>IF($A$1=RPT_MONTH,HYPERLINK("#Datos!F1","◄ Volver a Datos (cambiar mes)"),IFERROR(HYPERLINK("#'"&amp;_FOTOS_MAP!$K$2&amp;"'!A1","► Ir a las fotos del mes seleccionado"),"Elegir un mes válido en Datos!F1"))</f>
        <v>◄ Volver a Datos (cambiar mes)</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1" priority="2">
      <formula>$A$1=RPT_MONTH</formula>
    </cfRule>
    <cfRule type="expression" dxfId="140" priority="3">
      <formula>$A$1&lt;&gt;RPT_MONTH</formula>
    </cfRule>
  </conditionalFormatting>
  <conditionalFormatting sqref="B24:N24">
    <cfRule type="expression" dxfId="139" priority="4">
      <formula>ISNUMBER(SEARCH("Faltan",$B$24))</formula>
    </cfRule>
    <cfRule type="expression" dxfId="1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02B-243B-4709-86DF-69A4B0C5F4E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Datos!G$3</f>
        <v>46327</v>
      </c>
      <c r="B1" s="241" t="str">
        <f>"FOTOS DEL MES · "&amp;UPPER(CHOOSE(MONTH($A$1),"enero","febrero","marzo","abril","mayo","junio","julio","agosto","septiembre","octubre","noviembre","diciembre"))&amp;" "&amp;YEAR($A$1)&amp;" · PLANTA COMPRESORA"</f>
        <v>FOTOS DEL MES · NOVIEMBRE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7" priority="2">
      <formula>$A$1=RPT_MONTH</formula>
    </cfRule>
    <cfRule type="expression" dxfId="136" priority="3">
      <formula>$A$1&lt;&gt;RPT_MONTH</formula>
    </cfRule>
  </conditionalFormatting>
  <conditionalFormatting sqref="B24:N24">
    <cfRule type="expression" dxfId="135" priority="4">
      <formula>ISNUMBER(SEARCH("Faltan",$B$24))</formula>
    </cfRule>
    <cfRule type="expression" dxfId="1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3D2-0FEB-4E40-9379-6F3831FD92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Datos!H$3</f>
        <v>46357</v>
      </c>
      <c r="B1" s="241" t="str">
        <f>"FOTOS DEL MES · "&amp;UPPER(CHOOSE(MONTH($A$1),"enero","febrero","marzo","abril","mayo","junio","julio","agosto","septiembre","octubre","noviembre","diciembre"))&amp;" "&amp;YEAR($A$1)&amp;" · PLANTA COMPRESORA"</f>
        <v>FOTOS DEL MES · DICIEMBRE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3" priority="2">
      <formula>$A$1=RPT_MONTH</formula>
    </cfRule>
    <cfRule type="expression" dxfId="132" priority="3">
      <formula>$A$1&lt;&gt;RPT_MONTH</formula>
    </cfRule>
  </conditionalFormatting>
  <conditionalFormatting sqref="B24:N24">
    <cfRule type="expression" dxfId="131" priority="4">
      <formula>ISNUMBER(SEARCH("Faltan",$B$24))</formula>
    </cfRule>
    <cfRule type="expression" dxfId="1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0A25-3D64-44A5-B923-39811A6A2ED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Datos!I$3</f>
        <v>46388</v>
      </c>
      <c r="B1" s="241" t="str">
        <f>"FOTOS DEL MES · "&amp;UPPER(CHOOSE(MONTH($A$1),"enero","febrero","marzo","abril","mayo","junio","julio","agosto","septiembre","octubre","noviembre","diciembre"))&amp;" "&amp;YEAR($A$1)&amp;" · PLANTA COMPRESORA"</f>
        <v>FOTOS DEL MES · ENERO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9" priority="2">
      <formula>$A$1=RPT_MONTH</formula>
    </cfRule>
    <cfRule type="expression" dxfId="128" priority="3">
      <formula>$A$1&lt;&gt;RPT_MONTH</formula>
    </cfRule>
  </conditionalFormatting>
  <conditionalFormatting sqref="B24:N24">
    <cfRule type="expression" dxfId="127" priority="4">
      <formula>ISNUMBER(SEARCH("Faltan",$B$24))</formula>
    </cfRule>
    <cfRule type="expression" dxfId="1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029-4A4D-4BD3-8A26-527B6CA10B8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Datos!J$3</f>
        <v>46419</v>
      </c>
      <c r="B1" s="241" t="str">
        <f>"FOTOS DEL MES · "&amp;UPPER(CHOOSE(MONTH($A$1),"enero","febrero","marzo","abril","mayo","junio","julio","agosto","septiembre","octubre","noviembre","diciembre"))&amp;" "&amp;YEAR($A$1)&amp;" · PLANTA COMPRESORA"</f>
        <v>FOTOS DEL MES · FEBRERO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5" priority="2">
      <formula>$A$1=RPT_MONTH</formula>
    </cfRule>
    <cfRule type="expression" dxfId="124" priority="3">
      <formula>$A$1&lt;&gt;RPT_MONTH</formula>
    </cfRule>
  </conditionalFormatting>
  <conditionalFormatting sqref="B24:N24">
    <cfRule type="expression" dxfId="123" priority="4">
      <formula>ISNUMBER(SEARCH("Faltan",$B$24))</formula>
    </cfRule>
    <cfRule type="expression" dxfId="1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575-1927-4B02-ADE4-93F73698E8F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Datos!K$3</f>
        <v>46447</v>
      </c>
      <c r="B1" s="241" t="str">
        <f>"FOTOS DEL MES · "&amp;UPPER(CHOOSE(MONTH($A$1),"enero","febrero","marzo","abril","mayo","junio","julio","agosto","septiembre","octubre","noviembre","diciembre"))&amp;" "&amp;YEAR($A$1)&amp;" · PLANTA COMPRESORA"</f>
        <v>FOTOS DEL MES · MARZO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1" priority="2">
      <formula>$A$1=RPT_MONTH</formula>
    </cfRule>
    <cfRule type="expression" dxfId="120" priority="3">
      <formula>$A$1&lt;&gt;RPT_MONTH</formula>
    </cfRule>
  </conditionalFormatting>
  <conditionalFormatting sqref="B24:N24">
    <cfRule type="expression" dxfId="119" priority="4">
      <formula>ISNUMBER(SEARCH("Faltan",$B$24))</formula>
    </cfRule>
    <cfRule type="expression" dxfId="1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F94B-F536-4C7E-B2C2-D09A7438FA8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Datos!L$3</f>
        <v>46478</v>
      </c>
      <c r="B1" s="241" t="str">
        <f>"FOTOS DEL MES · "&amp;UPPER(CHOOSE(MONTH($A$1),"enero","febrero","marzo","abril","mayo","junio","julio","agosto","septiembre","octubre","noviembre","diciembre"))&amp;" "&amp;YEAR($A$1)&amp;" · PLANTA COMPRESORA"</f>
        <v>FOTOS DEL MES · ABRIL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7" priority="2">
      <formula>$A$1=RPT_MONTH</formula>
    </cfRule>
    <cfRule type="expression" dxfId="116" priority="3">
      <formula>$A$1&lt;&gt;RPT_MONTH</formula>
    </cfRule>
  </conditionalFormatting>
  <conditionalFormatting sqref="B24:N24">
    <cfRule type="expression" dxfId="115" priority="4">
      <formula>ISNUMBER(SEARCH("Faltan",$B$24))</formula>
    </cfRule>
    <cfRule type="expression" dxfId="1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E58-73E7-4FD9-A520-0649608D217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Datos!M$3</f>
        <v>46508</v>
      </c>
      <c r="B1" s="241" t="str">
        <f>"FOTOS DEL MES · "&amp;UPPER(CHOOSE(MONTH($A$1),"enero","febrero","marzo","abril","mayo","junio","julio","agosto","septiembre","octubre","noviembre","diciembre"))&amp;" "&amp;YEAR($A$1)&amp;" · PLANTA COMPRESORA"</f>
        <v>FOTOS DEL MES · MAYO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3" priority="2">
      <formula>$A$1=RPT_MONTH</formula>
    </cfRule>
    <cfRule type="expression" dxfId="112" priority="3">
      <formula>$A$1&lt;&gt;RPT_MONTH</formula>
    </cfRule>
  </conditionalFormatting>
  <conditionalFormatting sqref="B24:N24">
    <cfRule type="expression" dxfId="111" priority="4">
      <formula>ISNUMBER(SEARCH("Faltan",$B$24))</formula>
    </cfRule>
    <cfRule type="expression" dxfId="1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442-A5DD-4DD5-883D-F54404ACC1C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Datos!N$3</f>
        <v>46539</v>
      </c>
      <c r="B1" s="241" t="str">
        <f>"FOTOS DEL MES · "&amp;UPPER(CHOOSE(MONTH($A$1),"enero","febrero","marzo","abril","mayo","junio","julio","agosto","septiembre","octubre","noviembre","diciembre"))&amp;" "&amp;YEAR($A$1)&amp;" · PLANTA COMPRESORA"</f>
        <v>FOTOS DEL MES · JUNIO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9" priority="2">
      <formula>$A$1=RPT_MONTH</formula>
    </cfRule>
    <cfRule type="expression" dxfId="108" priority="3">
      <formula>$A$1&lt;&gt;RPT_MONTH</formula>
    </cfRule>
  </conditionalFormatting>
  <conditionalFormatting sqref="B24:N24">
    <cfRule type="expression" dxfId="107" priority="4">
      <formula>ISNUMBER(SEARCH("Faltan",$B$24))</formula>
    </cfRule>
    <cfRule type="expression" dxfId="10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2E69-71C6-4DC6-BDEA-C2F9335E5D3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Datos!O$3</f>
        <v>46569</v>
      </c>
      <c r="B1" s="241" t="str">
        <f>"FOTOS DEL MES · "&amp;UPPER(CHOOSE(MONTH($A$1),"enero","febrero","marzo","abril","mayo","junio","julio","agosto","septiembre","octubre","noviembre","diciembre"))&amp;" "&amp;YEAR($A$1)&amp;" · PLANTA COMPRESORA"</f>
        <v>FOTOS DEL MES · JULIO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5" priority="2">
      <formula>$A$1=RPT_MONTH</formula>
    </cfRule>
    <cfRule type="expression" dxfId="104" priority="3">
      <formula>$A$1&lt;&gt;RPT_MONTH</formula>
    </cfRule>
  </conditionalFormatting>
  <conditionalFormatting sqref="B24:N24">
    <cfRule type="expression" dxfId="103" priority="4">
      <formula>ISNUMBER(SEARCH("Faltan",$B$24))</formula>
    </cfRule>
    <cfRule type="expression" dxfId="10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65EA-EE5B-417C-9E75-982B28B2C27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Datos!P$3</f>
        <v>46600</v>
      </c>
      <c r="B1" s="241" t="str">
        <f>"FOTOS DEL MES · "&amp;UPPER(CHOOSE(MONTH($A$1),"enero","febrero","marzo","abril","mayo","junio","julio","agosto","septiembre","octubre","noviembre","diciembre"))&amp;" "&amp;YEAR($A$1)&amp;" · PLANTA COMPRESORA"</f>
        <v>FOTOS DEL MES · AGOSTO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1" priority="2">
      <formula>$A$1=RPT_MONTH</formula>
    </cfRule>
    <cfRule type="expression" dxfId="100" priority="3">
      <formula>$A$1&lt;&gt;RPT_MONTH</formula>
    </cfRule>
  </conditionalFormatting>
  <conditionalFormatting sqref="B24:N24">
    <cfRule type="expression" dxfId="99" priority="4">
      <formula>ISNUMBER(SEARCH("Faltan",$B$24))</formula>
    </cfRule>
    <cfRule type="expression" dxfId="9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4DE-048A-4673-8608-C06583FB37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Datos!Q$3</f>
        <v>46631</v>
      </c>
      <c r="B1" s="241" t="str">
        <f>"FOTOS DEL MES · "&amp;UPPER(CHOOSE(MONTH($A$1),"enero","febrero","marzo","abril","mayo","junio","julio","agosto","septiembre","octubre","noviembre","diciembre"))&amp;" "&amp;YEAR($A$1)&amp;" · PLANTA COMPRESORA"</f>
        <v>FOTOS DEL MES · SEPTIEMBRE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7" priority="2">
      <formula>$A$1=RPT_MONTH</formula>
    </cfRule>
    <cfRule type="expression" dxfId="96" priority="3">
      <formula>$A$1&lt;&gt;RPT_MONTH</formula>
    </cfRule>
  </conditionalFormatting>
  <conditionalFormatting sqref="B24:N24">
    <cfRule type="expression" dxfId="95" priority="4">
      <formula>ISNUMBER(SEARCH("Faltan",$B$24))</formula>
    </cfRule>
    <cfRule type="expression" dxfId="9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7256-5A31-4219-B8D4-3CCC0B8632A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Datos!R$3</f>
        <v>46661</v>
      </c>
      <c r="B1" s="241" t="str">
        <f>"FOTOS DEL MES · "&amp;UPPER(CHOOSE(MONTH($A$1),"enero","febrero","marzo","abril","mayo","junio","julio","agosto","septiembre","octubre","noviembre","diciembre"))&amp;" "&amp;YEAR($A$1)&amp;" · PLANTA COMPRESORA"</f>
        <v>FOTOS DEL MES · OCTUBRE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3" priority="2">
      <formula>$A$1=RPT_MONTH</formula>
    </cfRule>
    <cfRule type="expression" dxfId="92" priority="3">
      <formula>$A$1&lt;&gt;RPT_MONTH</formula>
    </cfRule>
  </conditionalFormatting>
  <conditionalFormatting sqref="B24:N24">
    <cfRule type="expression" dxfId="91" priority="4">
      <formula>ISNUMBER(SEARCH("Faltan",$B$24))</formula>
    </cfRule>
    <cfRule type="expression" dxfId="9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1CA5-B234-4035-A94C-3EE236D433B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Datos!S$3</f>
        <v>46692</v>
      </c>
      <c r="B1" s="241" t="str">
        <f>"FOTOS DEL MES · "&amp;UPPER(CHOOSE(MONTH($A$1),"enero","febrero","marzo","abril","mayo","junio","julio","agosto","septiembre","octubre","noviembre","diciembre"))&amp;" "&amp;YEAR($A$1)&amp;" · PLANTA COMPRESORA"</f>
        <v>FOTOS DEL MES · NOVIEMBRE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9" priority="2">
      <formula>$A$1=RPT_MONTH</formula>
    </cfRule>
    <cfRule type="expression" dxfId="88" priority="3">
      <formula>$A$1&lt;&gt;RPT_MONTH</formula>
    </cfRule>
  </conditionalFormatting>
  <conditionalFormatting sqref="B24:N24">
    <cfRule type="expression" dxfId="87" priority="4">
      <formula>ISNUMBER(SEARCH("Faltan",$B$24))</formula>
    </cfRule>
    <cfRule type="expression" dxfId="8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A0D1-9B25-4D49-9106-ED782CF6CA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Datos!T$3</f>
        <v>46722</v>
      </c>
      <c r="B1" s="241" t="str">
        <f>"FOTOS DEL MES · "&amp;UPPER(CHOOSE(MONTH($A$1),"enero","febrero","marzo","abril","mayo","junio","julio","agosto","septiembre","octubre","noviembre","diciembre"))&amp;" "&amp;YEAR($A$1)&amp;" · PLANTA COMPRESORA"</f>
        <v>FOTOS DEL MES · DICIEMBRE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5" priority="2">
      <formula>$A$1=RPT_MONTH</formula>
    </cfRule>
    <cfRule type="expression" dxfId="84" priority="3">
      <formula>$A$1&lt;&gt;RPT_MONTH</formula>
    </cfRule>
  </conditionalFormatting>
  <conditionalFormatting sqref="B24:N24">
    <cfRule type="expression" dxfId="83" priority="4">
      <formula>ISNUMBER(SEARCH("Faltan",$B$24))</formula>
    </cfRule>
    <cfRule type="expression" dxfId="8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B402-DA5C-4753-B3D3-F6EEC896E75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Datos!U$3</f>
        <v>46753</v>
      </c>
      <c r="B1" s="241" t="str">
        <f>"FOTOS DEL MES · "&amp;UPPER(CHOOSE(MONTH($A$1),"enero","febrero","marzo","abril","mayo","junio","julio","agosto","septiembre","octubre","noviembre","diciembre"))&amp;" "&amp;YEAR($A$1)&amp;" · PLANTA COMPRESORA"</f>
        <v>FOTOS DEL MES · ENERO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1" priority="2">
      <formula>$A$1=RPT_MONTH</formula>
    </cfRule>
    <cfRule type="expression" dxfId="80" priority="3">
      <formula>$A$1&lt;&gt;RPT_MONTH</formula>
    </cfRule>
  </conditionalFormatting>
  <conditionalFormatting sqref="B24:N24">
    <cfRule type="expression" dxfId="79" priority="4">
      <formula>ISNUMBER(SEARCH("Faltan",$B$24))</formula>
    </cfRule>
    <cfRule type="expression" dxfId="7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1FB-BA0C-4D8C-9FAA-C077A2DE32D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Datos!V$3</f>
        <v>46784</v>
      </c>
      <c r="B1" s="241" t="str">
        <f>"FOTOS DEL MES · "&amp;UPPER(CHOOSE(MONTH($A$1),"enero","febrero","marzo","abril","mayo","junio","julio","agosto","septiembre","octubre","noviembre","diciembre"))&amp;" "&amp;YEAR($A$1)&amp;" · PLANTA COMPRESORA"</f>
        <v>FOTOS DEL MES · FEBRERO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7" priority="2">
      <formula>$A$1=RPT_MONTH</formula>
    </cfRule>
    <cfRule type="expression" dxfId="76" priority="3">
      <formula>$A$1&lt;&gt;RPT_MONTH</formula>
    </cfRule>
  </conditionalFormatting>
  <conditionalFormatting sqref="B24:N24">
    <cfRule type="expression" dxfId="75" priority="4">
      <formula>ISNUMBER(SEARCH("Faltan",$B$24))</formula>
    </cfRule>
    <cfRule type="expression" dxfId="7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DB5-E4C8-4353-A4B5-EAC50A33E34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Datos!W$3</f>
        <v>46813</v>
      </c>
      <c r="B1" s="241" t="str">
        <f>"FOTOS DEL MES · "&amp;UPPER(CHOOSE(MONTH($A$1),"enero","febrero","marzo","abril","mayo","junio","julio","agosto","septiembre","octubre","noviembre","diciembre"))&amp;" "&amp;YEAR($A$1)&amp;" · PLANTA COMPRESORA"</f>
        <v>FOTOS DEL MES · MARZO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3" priority="2">
      <formula>$A$1=RPT_MONTH</formula>
    </cfRule>
    <cfRule type="expression" dxfId="72" priority="3">
      <formula>$A$1&lt;&gt;RPT_MONTH</formula>
    </cfRule>
  </conditionalFormatting>
  <conditionalFormatting sqref="B24:N24">
    <cfRule type="expression" dxfId="71" priority="4">
      <formula>ISNUMBER(SEARCH("Faltan",$B$24))</formula>
    </cfRule>
    <cfRule type="expression" dxfId="7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65D-0E88-458A-AEF6-D830B8F78510}">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Datos!X$3</f>
        <v>46844</v>
      </c>
      <c r="B1" s="241" t="str">
        <f>"FOTOS DEL MES · "&amp;UPPER(CHOOSE(MONTH($A$1),"enero","febrero","marzo","abril","mayo","junio","julio","agosto","septiembre","octubre","noviembre","diciembre"))&amp;" "&amp;YEAR($A$1)&amp;" · PLANTA COMPRESORA"</f>
        <v>FOTOS DEL MES · ABRIL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9" priority="2">
      <formula>$A$1=RPT_MONTH</formula>
    </cfRule>
    <cfRule type="expression" dxfId="68" priority="3">
      <formula>$A$1&lt;&gt;RPT_MONTH</formula>
    </cfRule>
  </conditionalFormatting>
  <conditionalFormatting sqref="B24:N24">
    <cfRule type="expression" dxfId="67" priority="4">
      <formula>ISNUMBER(SEARCH("Faltan",$B$24))</formula>
    </cfRule>
    <cfRule type="expression" dxfId="6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843D-92C8-42AC-87BD-3879B8E37DC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Datos!Y$3</f>
        <v>46874</v>
      </c>
      <c r="B1" s="241" t="str">
        <f>"FOTOS DEL MES · "&amp;UPPER(CHOOSE(MONTH($A$1),"enero","febrero","marzo","abril","mayo","junio","julio","agosto","septiembre","octubre","noviembre","diciembre"))&amp;" "&amp;YEAR($A$1)&amp;" · PLANTA COMPRESORA"</f>
        <v>FOTOS DEL MES · MAYO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5" priority="2">
      <formula>$A$1=RPT_MONTH</formula>
    </cfRule>
    <cfRule type="expression" dxfId="64" priority="3">
      <formula>$A$1&lt;&gt;RPT_MONTH</formula>
    </cfRule>
  </conditionalFormatting>
  <conditionalFormatting sqref="B24:N24">
    <cfRule type="expression" dxfId="63" priority="4">
      <formula>ISNUMBER(SEARCH("Faltan",$B$24))</formula>
    </cfRule>
    <cfRule type="expression" dxfId="6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DE75-FF53-4C21-B692-435355459F2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Datos!Z$3</f>
        <v>46905</v>
      </c>
      <c r="B1" s="241" t="str">
        <f>"FOTOS DEL MES · "&amp;UPPER(CHOOSE(MONTH($A$1),"enero","febrero","marzo","abril","mayo","junio","julio","agosto","septiembre","octubre","noviembre","diciembre"))&amp;" "&amp;YEAR($A$1)&amp;" · PLANTA COMPRESORA"</f>
        <v>FOTOS DEL MES · JUNIO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1" priority="2">
      <formula>$A$1=RPT_MONTH</formula>
    </cfRule>
    <cfRule type="expression" dxfId="60" priority="3">
      <formula>$A$1&lt;&gt;RPT_MONTH</formula>
    </cfRule>
  </conditionalFormatting>
  <conditionalFormatting sqref="B24:N24">
    <cfRule type="expression" dxfId="59" priority="4">
      <formula>ISNUMBER(SEARCH("Faltan",$B$24))</formula>
    </cfRule>
    <cfRule type="expression" dxfId="5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4634-FBD7-4B44-88F7-33EA5E0D3077}">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Datos!AA$3</f>
        <v>46935</v>
      </c>
      <c r="B1" s="241" t="str">
        <f>"FOTOS DEL MES · "&amp;UPPER(CHOOSE(MONTH($A$1),"enero","febrero","marzo","abril","mayo","junio","julio","agosto","septiembre","octubre","noviembre","diciembre"))&amp;" "&amp;YEAR($A$1)&amp;" · PLANTA COMPRESORA"</f>
        <v>FOTOS DEL MES · JULIO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7" priority="2">
      <formula>$A$1=RPT_MONTH</formula>
    </cfRule>
    <cfRule type="expression" dxfId="56" priority="3">
      <formula>$A$1&lt;&gt;RPT_MONTH</formula>
    </cfRule>
  </conditionalFormatting>
  <conditionalFormatting sqref="B24:N24">
    <cfRule type="expression" dxfId="55" priority="4">
      <formula>ISNUMBER(SEARCH("Faltan",$B$24))</formula>
    </cfRule>
    <cfRule type="expression" dxfId="5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E919-A90F-4595-9130-FEC4653A5C6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Datos!AB$3</f>
        <v>46966</v>
      </c>
      <c r="B1" s="241" t="str">
        <f>"FOTOS DEL MES · "&amp;UPPER(CHOOSE(MONTH($A$1),"enero","febrero","marzo","abril","mayo","junio","julio","agosto","septiembre","octubre","noviembre","diciembre"))&amp;" "&amp;YEAR($A$1)&amp;" · PLANTA COMPRESORA"</f>
        <v>FOTOS DEL MES · AGOSTO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3" priority="2">
      <formula>$A$1=RPT_MONTH</formula>
    </cfRule>
    <cfRule type="expression" dxfId="52" priority="3">
      <formula>$A$1&lt;&gt;RPT_MONTH</formula>
    </cfRule>
  </conditionalFormatting>
  <conditionalFormatting sqref="B24:N24">
    <cfRule type="expression" dxfId="51" priority="4">
      <formula>ISNUMBER(SEARCH("Faltan",$B$24))</formula>
    </cfRule>
    <cfRule type="expression" dxfId="5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52E-6496-482C-914A-916E92E03E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Datos!AC$3</f>
        <v>46997</v>
      </c>
      <c r="B1" s="241" t="str">
        <f>"FOTOS DEL MES · "&amp;UPPER(CHOOSE(MONTH($A$1),"enero","febrero","marzo","abril","mayo","junio","julio","agosto","septiembre","octubre","noviembre","diciembre"))&amp;" "&amp;YEAR($A$1)&amp;" · PLANTA COMPRESORA"</f>
        <v>FOTOS DEL MES · SEPTIEMBRE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9" priority="2">
      <formula>$A$1=RPT_MONTH</formula>
    </cfRule>
    <cfRule type="expression" dxfId="48" priority="3">
      <formula>$A$1&lt;&gt;RPT_MONTH</formula>
    </cfRule>
  </conditionalFormatting>
  <conditionalFormatting sqref="B24:N24">
    <cfRule type="expression" dxfId="47" priority="4">
      <formula>ISNUMBER(SEARCH("Faltan",$B$24))</formula>
    </cfRule>
    <cfRule type="expression" dxfId="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9C7F-4A54-44F1-99C7-BCF8579A8DE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Datos!AD$3</f>
        <v>47027</v>
      </c>
      <c r="B1" s="241" t="str">
        <f>"FOTOS DEL MES · "&amp;UPPER(CHOOSE(MONTH($A$1),"enero","febrero","marzo","abril","mayo","junio","julio","agosto","septiembre","octubre","noviembre","diciembre"))&amp;" "&amp;YEAR($A$1)&amp;" · PLANTA COMPRESORA"</f>
        <v>FOTOS DEL MES · OCTUBRE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5" priority="2">
      <formula>$A$1=RPT_MONTH</formula>
    </cfRule>
    <cfRule type="expression" dxfId="44" priority="3">
      <formula>$A$1&lt;&gt;RPT_MONTH</formula>
    </cfRule>
  </conditionalFormatting>
  <conditionalFormatting sqref="B24:N24">
    <cfRule type="expression" dxfId="43" priority="4">
      <formula>ISNUMBER(SEARCH("Faltan",$B$24))</formula>
    </cfRule>
    <cfRule type="expression" dxfId="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E31B-9FF2-4B52-B2EF-401696A557E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Datos!AE$3</f>
        <v>47058</v>
      </c>
      <c r="B1" s="241" t="str">
        <f>"FOTOS DEL MES · "&amp;UPPER(CHOOSE(MONTH($A$1),"enero","febrero","marzo","abril","mayo","junio","julio","agosto","septiembre","octubre","noviembre","diciembre"))&amp;" "&amp;YEAR($A$1)&amp;" · PLANTA COMPRESORA"</f>
        <v>FOTOS DEL MES · NOVIEMBRE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1" priority="2">
      <formula>$A$1=RPT_MONTH</formula>
    </cfRule>
    <cfRule type="expression" dxfId="40" priority="3">
      <formula>$A$1&lt;&gt;RPT_MONTH</formula>
    </cfRule>
  </conditionalFormatting>
  <conditionalFormatting sqref="B24:N24">
    <cfRule type="expression" dxfId="39" priority="4">
      <formula>ISNUMBER(SEARCH("Faltan",$B$24))</formula>
    </cfRule>
    <cfRule type="expression" dxfId="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B9C1-FBDB-4963-8A64-4AC62BB169E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Datos!AF$3</f>
        <v>47088</v>
      </c>
      <c r="B1" s="241" t="str">
        <f>"FOTOS DEL MES · "&amp;UPPER(CHOOSE(MONTH($A$1),"enero","febrero","marzo","abril","mayo","junio","julio","agosto","septiembre","octubre","noviembre","diciembre"))&amp;" "&amp;YEAR($A$1)&amp;" · PLANTA COMPRESORA"</f>
        <v>FOTOS DEL MES · DICIEMBRE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7" priority="2">
      <formula>$A$1=RPT_MONTH</formula>
    </cfRule>
    <cfRule type="expression" dxfId="36" priority="3">
      <formula>$A$1&lt;&gt;RPT_MONTH</formula>
    </cfRule>
  </conditionalFormatting>
  <conditionalFormatting sqref="B24:N24">
    <cfRule type="expression" dxfId="35" priority="4">
      <formula>ISNUMBER(SEARCH("Faltan",$B$24))</formula>
    </cfRule>
    <cfRule type="expression" dxfId="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B97A-98ED-40FD-9B30-68184353D69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Datos!AG$3</f>
        <v>47119</v>
      </c>
      <c r="B1" s="241" t="str">
        <f>"FOTOS DEL MES · "&amp;UPPER(CHOOSE(MONTH($A$1),"enero","febrero","marzo","abril","mayo","junio","julio","agosto","septiembre","octubre","noviembre","diciembre"))&amp;" "&amp;YEAR($A$1)&amp;" · PLANTA COMPRESORA"</f>
        <v>FOTOS DEL MES · ENERO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3" priority="2">
      <formula>$A$1=RPT_MONTH</formula>
    </cfRule>
    <cfRule type="expression" dxfId="32" priority="3">
      <formula>$A$1&lt;&gt;RPT_MONTH</formula>
    </cfRule>
  </conditionalFormatting>
  <conditionalFormatting sqref="B24:N24">
    <cfRule type="expression" dxfId="31" priority="4">
      <formula>ISNUMBER(SEARCH("Faltan",$B$24))</formula>
    </cfRule>
    <cfRule type="expression" dxfId="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2CA2-FE7E-440C-A932-347BD1EE87E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Datos!AH$3</f>
        <v>47150</v>
      </c>
      <c r="B1" s="241" t="str">
        <f>"FOTOS DEL MES · "&amp;UPPER(CHOOSE(MONTH($A$1),"enero","febrero","marzo","abril","mayo","junio","julio","agosto","septiembre","octubre","noviembre","diciembre"))&amp;" "&amp;YEAR($A$1)&amp;" · PLANTA COMPRESORA"</f>
        <v>FOTOS DEL MES · FEBRERO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9" priority="2">
      <formula>$A$1=RPT_MONTH</formula>
    </cfRule>
    <cfRule type="expression" dxfId="28" priority="3">
      <formula>$A$1&lt;&gt;RPT_MONTH</formula>
    </cfRule>
  </conditionalFormatting>
  <conditionalFormatting sqref="B24:N24">
    <cfRule type="expression" dxfId="27" priority="4">
      <formula>ISNUMBER(SEARCH("Faltan",$B$24))</formula>
    </cfRule>
    <cfRule type="expression" dxfId="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1803-2374-479B-AD32-FBFB5B9737F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Datos!AI$3</f>
        <v>47178</v>
      </c>
      <c r="B1" s="241" t="str">
        <f>"FOTOS DEL MES · "&amp;UPPER(CHOOSE(MONTH($A$1),"enero","febrero","marzo","abril","mayo","junio","julio","agosto","septiembre","octubre","noviembre","diciembre"))&amp;" "&amp;YEAR($A$1)&amp;" · PLANTA COMPRESORA"</f>
        <v>FOTOS DEL MES · MARZO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5" priority="2">
      <formula>$A$1=RPT_MONTH</formula>
    </cfRule>
    <cfRule type="expression" dxfId="24" priority="3">
      <formula>$A$1&lt;&gt;RPT_MONTH</formula>
    </cfRule>
  </conditionalFormatting>
  <conditionalFormatting sqref="B24:N24">
    <cfRule type="expression" dxfId="23" priority="4">
      <formula>ISNUMBER(SEARCH("Faltan",$B$24))</formula>
    </cfRule>
    <cfRule type="expression" dxfId="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1AE8-5C5A-4A8C-B528-E902041BE0A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Datos!AJ$3</f>
        <v>47209</v>
      </c>
      <c r="B1" s="241" t="str">
        <f>"FOTOS DEL MES · "&amp;UPPER(CHOOSE(MONTH($A$1),"enero","febrero","marzo","abril","mayo","junio","julio","agosto","septiembre","octubre","noviembre","diciembre"))&amp;" "&amp;YEAR($A$1)&amp;" · PLANTA COMPRESORA"</f>
        <v>FOTOS DEL MES · ABRIL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1" priority="2">
      <formula>$A$1=RPT_MONTH</formula>
    </cfRule>
    <cfRule type="expression" dxfId="20" priority="3">
      <formula>$A$1&lt;&gt;RPT_MONTH</formula>
    </cfRule>
  </conditionalFormatting>
  <conditionalFormatting sqref="B24:N24">
    <cfRule type="expression" dxfId="19" priority="4">
      <formula>ISNUMBER(SEARCH("Faltan",$B$24))</formula>
    </cfRule>
    <cfRule type="expression" dxfId="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F48-4A30-487D-9947-69E6E71E5AC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Datos!AK$3</f>
        <v>47239</v>
      </c>
      <c r="B1" s="241" t="str">
        <f>"FOTOS DEL MES · "&amp;UPPER(CHOOSE(MONTH($A$1),"enero","febrero","marzo","abril","mayo","junio","julio","agosto","septiembre","octubre","noviembre","diciembre"))&amp;" "&amp;YEAR($A$1)&amp;" · PLANTA COMPRESORA"</f>
        <v>FOTOS DEL MES · MAYO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7" priority="2">
      <formula>$A$1=RPT_MONTH</formula>
    </cfRule>
    <cfRule type="expression" dxfId="16" priority="3">
      <formula>$A$1&lt;&gt;RPT_MONTH</formula>
    </cfRule>
  </conditionalFormatting>
  <conditionalFormatting sqref="B24:N24">
    <cfRule type="expression" dxfId="15" priority="4">
      <formula>ISNUMBER(SEARCH("Faltan",$B$24))</formula>
    </cfRule>
    <cfRule type="expression" dxfId="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291-8D4C-49FB-9A39-C77F88C7ED8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Datos!AL$3</f>
        <v>47270</v>
      </c>
      <c r="B1" s="241" t="str">
        <f>"FOTOS DEL MES · "&amp;UPPER(CHOOSE(MONTH($A$1),"enero","febrero","marzo","abril","mayo","junio","julio","agosto","septiembre","octubre","noviembre","diciembre"))&amp;" "&amp;YEAR($A$1)&amp;" · PLANTA COMPRESORA"</f>
        <v>FOTOS DEL MES · JUNIO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 priority="2">
      <formula>$A$1=RPT_MONTH</formula>
    </cfRule>
    <cfRule type="expression" dxfId="12" priority="3">
      <formula>$A$1&lt;&gt;RPT_MONTH</formula>
    </cfRule>
  </conditionalFormatting>
  <conditionalFormatting sqref="B24:N24">
    <cfRule type="expression" dxfId="11" priority="4">
      <formula>ISNUMBER(SEARCH("Faltan",$B$24))</formula>
    </cfRule>
    <cfRule type="expression" dxfId="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07E1-F3E3-4351-95CF-46A6309B6A76}">
  <sheetPr>
    <pageSetUpPr fitToPage="1"/>
  </sheetPr>
  <dimension ref="A1:Q61"/>
  <sheetViews>
    <sheetView workbookViewId="0"/>
  </sheetViews>
  <sheetFormatPr baseColWidth="10" defaultColWidth="8.88671875" defaultRowHeight="14.4" x14ac:dyDescent="0.3"/>
  <cols>
    <col min="1" max="13" width="28" style="108" customWidth="1"/>
    <col min="15" max="16" width="16" style="108" customWidth="1"/>
    <col min="17" max="17" width="30" style="108" customWidth="1"/>
  </cols>
  <sheetData>
    <row r="1" spans="1:17" ht="26.25" customHeight="1" x14ac:dyDescent="0.3">
      <c r="A1" s="109" t="s">
        <v>172</v>
      </c>
      <c r="B1" s="109" t="s">
        <v>478</v>
      </c>
      <c r="C1" s="109" t="s">
        <v>174</v>
      </c>
      <c r="D1" s="109" t="s">
        <v>175</v>
      </c>
      <c r="E1" s="109" t="s">
        <v>176</v>
      </c>
      <c r="F1" s="109" t="s">
        <v>178</v>
      </c>
      <c r="G1" s="109" t="s">
        <v>179</v>
      </c>
      <c r="H1" s="109" t="s">
        <v>479</v>
      </c>
      <c r="I1" s="109" t="s">
        <v>181</v>
      </c>
      <c r="J1" s="109" t="s">
        <v>182</v>
      </c>
      <c r="K1" s="109" t="s">
        <v>183</v>
      </c>
      <c r="L1" s="109" t="s">
        <v>21</v>
      </c>
      <c r="M1" s="109" t="s">
        <v>184</v>
      </c>
      <c r="O1" s="109" t="s">
        <v>188</v>
      </c>
      <c r="P1" s="109" t="s">
        <v>189</v>
      </c>
      <c r="Q1" s="109" t="s">
        <v>190</v>
      </c>
    </row>
    <row r="2" spans="1:17" ht="13.5" customHeight="1" x14ac:dyDescent="0.3">
      <c r="A2" s="82" t="s">
        <v>232</v>
      </c>
      <c r="B2" s="82" t="s">
        <v>294</v>
      </c>
      <c r="C2" s="82" t="s">
        <v>194</v>
      </c>
      <c r="D2" s="82" t="s">
        <v>195</v>
      </c>
      <c r="E2" s="82" t="s">
        <v>227</v>
      </c>
      <c r="F2" s="82" t="s">
        <v>275</v>
      </c>
      <c r="G2" s="82" t="s">
        <v>198</v>
      </c>
      <c r="H2" s="82" t="s">
        <v>199</v>
      </c>
      <c r="I2" s="82" t="s">
        <v>480</v>
      </c>
      <c r="J2" s="82" t="s">
        <v>342</v>
      </c>
      <c r="K2" s="82" t="s">
        <v>202</v>
      </c>
      <c r="L2" s="82" t="s">
        <v>358</v>
      </c>
      <c r="M2" s="82" t="s">
        <v>204</v>
      </c>
      <c r="O2" s="83" t="s">
        <v>113</v>
      </c>
      <c r="P2" s="83" t="s">
        <v>480</v>
      </c>
      <c r="Q2" s="83" t="s">
        <v>481</v>
      </c>
    </row>
    <row r="3" spans="1:17" ht="13.5" customHeight="1" x14ac:dyDescent="0.3">
      <c r="A3" s="82" t="s">
        <v>192</v>
      </c>
      <c r="B3" s="82" t="s">
        <v>284</v>
      </c>
      <c r="C3" s="82" t="s">
        <v>255</v>
      </c>
      <c r="D3" s="82" t="s">
        <v>214</v>
      </c>
      <c r="E3" s="82" t="s">
        <v>322</v>
      </c>
      <c r="F3" s="82" t="s">
        <v>324</v>
      </c>
      <c r="G3" s="82" t="s">
        <v>482</v>
      </c>
      <c r="H3" s="82" t="s">
        <v>269</v>
      </c>
      <c r="I3" s="82" t="s">
        <v>222</v>
      </c>
      <c r="J3" s="82" t="s">
        <v>483</v>
      </c>
      <c r="K3" s="82" t="s">
        <v>230</v>
      </c>
      <c r="L3" s="82" t="s">
        <v>236</v>
      </c>
      <c r="M3" s="82" t="s">
        <v>264</v>
      </c>
      <c r="O3" s="83"/>
      <c r="P3" s="83" t="s">
        <v>222</v>
      </c>
      <c r="Q3" s="83" t="s">
        <v>230</v>
      </c>
    </row>
    <row r="4" spans="1:17" ht="13.5" customHeight="1" x14ac:dyDescent="0.3">
      <c r="A4" s="82" t="s">
        <v>484</v>
      </c>
      <c r="B4" s="82" t="s">
        <v>485</v>
      </c>
      <c r="C4" s="82" t="s">
        <v>206</v>
      </c>
      <c r="D4" s="82" t="s">
        <v>299</v>
      </c>
      <c r="E4" s="82" t="s">
        <v>486</v>
      </c>
      <c r="F4" s="82" t="s">
        <v>341</v>
      </c>
      <c r="G4" s="82" t="s">
        <v>229</v>
      </c>
      <c r="H4" s="82" t="s">
        <v>487</v>
      </c>
      <c r="I4" s="82" t="s">
        <v>200</v>
      </c>
      <c r="J4" s="82" t="s">
        <v>248</v>
      </c>
      <c r="K4" s="82" t="s">
        <v>166</v>
      </c>
      <c r="L4" s="82" t="s">
        <v>203</v>
      </c>
      <c r="M4" s="82" t="s">
        <v>488</v>
      </c>
      <c r="P4" s="83" t="s">
        <v>200</v>
      </c>
    </row>
    <row r="5" spans="1:17" ht="13.5" customHeight="1" x14ac:dyDescent="0.3">
      <c r="A5" s="82"/>
      <c r="B5" s="82" t="s">
        <v>277</v>
      </c>
      <c r="C5" s="82" t="s">
        <v>489</v>
      </c>
      <c r="D5" s="82"/>
      <c r="E5" s="82" t="s">
        <v>490</v>
      </c>
      <c r="F5" s="82" t="s">
        <v>208</v>
      </c>
      <c r="G5" s="82" t="s">
        <v>216</v>
      </c>
      <c r="H5" s="82" t="s">
        <v>302</v>
      </c>
      <c r="I5" s="82" t="s">
        <v>491</v>
      </c>
      <c r="J5" s="82" t="s">
        <v>492</v>
      </c>
      <c r="K5" s="82"/>
      <c r="L5" s="82"/>
      <c r="M5" s="82" t="s">
        <v>223</v>
      </c>
    </row>
    <row r="6" spans="1:17" ht="13.5" customHeight="1" x14ac:dyDescent="0.3">
      <c r="A6" s="82"/>
      <c r="B6" s="82" t="s">
        <v>334</v>
      </c>
      <c r="C6" s="82" t="s">
        <v>213</v>
      </c>
      <c r="D6" s="82"/>
      <c r="E6" s="82" t="s">
        <v>493</v>
      </c>
      <c r="F6" s="82" t="s">
        <v>197</v>
      </c>
      <c r="G6" s="82" t="s">
        <v>209</v>
      </c>
      <c r="H6" s="82" t="s">
        <v>494</v>
      </c>
      <c r="I6" s="82"/>
      <c r="J6" s="82" t="s">
        <v>495</v>
      </c>
      <c r="K6" s="82"/>
      <c r="L6" s="82"/>
      <c r="M6" s="82" t="s">
        <v>496</v>
      </c>
    </row>
    <row r="7" spans="1:17" ht="13.5" customHeight="1" x14ac:dyDescent="0.3">
      <c r="A7" s="82"/>
      <c r="B7" s="82" t="s">
        <v>315</v>
      </c>
      <c r="C7" s="82" t="s">
        <v>429</v>
      </c>
      <c r="D7" s="82"/>
      <c r="E7" s="82" t="s">
        <v>497</v>
      </c>
      <c r="F7" s="82" t="s">
        <v>498</v>
      </c>
      <c r="G7" s="82" t="s">
        <v>499</v>
      </c>
      <c r="H7" s="82" t="s">
        <v>500</v>
      </c>
      <c r="I7" s="82"/>
      <c r="J7" s="82" t="s">
        <v>201</v>
      </c>
      <c r="K7" s="82"/>
      <c r="L7" s="82"/>
      <c r="M7" s="82"/>
    </row>
    <row r="8" spans="1:17" ht="13.5" customHeight="1" x14ac:dyDescent="0.3">
      <c r="A8" s="82"/>
      <c r="B8" s="82" t="s">
        <v>428</v>
      </c>
      <c r="C8" s="82" t="s">
        <v>220</v>
      </c>
      <c r="D8" s="82"/>
      <c r="E8" s="82" t="s">
        <v>501</v>
      </c>
      <c r="F8" s="82" t="s">
        <v>502</v>
      </c>
      <c r="G8" s="82" t="s">
        <v>301</v>
      </c>
      <c r="H8" s="82" t="s">
        <v>210</v>
      </c>
      <c r="I8" s="82"/>
      <c r="J8" s="82" t="s">
        <v>235</v>
      </c>
      <c r="K8" s="82"/>
      <c r="L8" s="82"/>
      <c r="M8" s="82"/>
    </row>
    <row r="9" spans="1:17" ht="13.5" customHeight="1" x14ac:dyDescent="0.3">
      <c r="A9" s="82"/>
      <c r="B9" s="82" t="s">
        <v>291</v>
      </c>
      <c r="C9" s="82" t="s">
        <v>503</v>
      </c>
      <c r="D9" s="82"/>
      <c r="E9" s="82" t="s">
        <v>194</v>
      </c>
      <c r="F9" s="82"/>
      <c r="G9" s="82" t="s">
        <v>279</v>
      </c>
      <c r="H9" s="82" t="s">
        <v>504</v>
      </c>
      <c r="I9" s="82"/>
      <c r="J9" s="82" t="s">
        <v>241</v>
      </c>
      <c r="K9" s="82"/>
      <c r="L9" s="82"/>
      <c r="M9" s="82"/>
    </row>
    <row r="10" spans="1:17" ht="13.5" customHeight="1" x14ac:dyDescent="0.3">
      <c r="A10" s="82"/>
      <c r="B10" s="82" t="s">
        <v>288</v>
      </c>
      <c r="C10" s="82" t="s">
        <v>505</v>
      </c>
      <c r="D10" s="82"/>
      <c r="E10" s="82" t="s">
        <v>255</v>
      </c>
      <c r="F10" s="82"/>
      <c r="G10" s="82" t="s">
        <v>379</v>
      </c>
      <c r="H10" s="82" t="s">
        <v>311</v>
      </c>
      <c r="I10" s="82"/>
      <c r="J10" s="82" t="s">
        <v>257</v>
      </c>
      <c r="K10" s="82"/>
      <c r="L10" s="82"/>
      <c r="M10" s="82"/>
    </row>
    <row r="11" spans="1:17" ht="13.5" customHeight="1" x14ac:dyDescent="0.3">
      <c r="A11" s="82"/>
      <c r="B11" s="82" t="s">
        <v>344</v>
      </c>
      <c r="C11" s="82" t="s">
        <v>260</v>
      </c>
      <c r="D11" s="82"/>
      <c r="E11" s="82" t="s">
        <v>206</v>
      </c>
      <c r="F11" s="82"/>
      <c r="G11" s="82" t="s">
        <v>332</v>
      </c>
      <c r="H11" s="82" t="s">
        <v>453</v>
      </c>
      <c r="I11" s="82"/>
      <c r="J11" s="82" t="s">
        <v>272</v>
      </c>
      <c r="K11" s="82"/>
      <c r="L11" s="82"/>
      <c r="M11" s="82"/>
    </row>
    <row r="12" spans="1:17" ht="13.5" customHeight="1" x14ac:dyDescent="0.3">
      <c r="A12" s="82"/>
      <c r="B12" s="82" t="s">
        <v>308</v>
      </c>
      <c r="C12" s="82" t="s">
        <v>506</v>
      </c>
      <c r="D12" s="82"/>
      <c r="E12" s="82" t="s">
        <v>489</v>
      </c>
      <c r="F12" s="82"/>
      <c r="G12" s="82"/>
      <c r="H12" s="82" t="s">
        <v>380</v>
      </c>
      <c r="I12" s="82"/>
      <c r="J12" s="82" t="s">
        <v>292</v>
      </c>
      <c r="K12" s="82"/>
      <c r="L12" s="82"/>
      <c r="M12" s="82"/>
    </row>
    <row r="13" spans="1:17" ht="13.5" customHeight="1" x14ac:dyDescent="0.3">
      <c r="A13" s="82"/>
      <c r="B13" s="82" t="s">
        <v>328</v>
      </c>
      <c r="C13" s="82" t="s">
        <v>507</v>
      </c>
      <c r="D13" s="82"/>
      <c r="E13" s="82" t="s">
        <v>213</v>
      </c>
      <c r="F13" s="82"/>
      <c r="G13" s="82"/>
      <c r="H13" s="82" t="s">
        <v>508</v>
      </c>
      <c r="I13" s="82"/>
      <c r="J13" s="82" t="s">
        <v>303</v>
      </c>
      <c r="K13" s="82"/>
      <c r="L13" s="82"/>
      <c r="M13" s="82"/>
    </row>
    <row r="14" spans="1:17" ht="13.5" customHeight="1" x14ac:dyDescent="0.3">
      <c r="A14" s="82"/>
      <c r="B14" s="82" t="s">
        <v>337</v>
      </c>
      <c r="C14" s="82" t="s">
        <v>509</v>
      </c>
      <c r="D14" s="82"/>
      <c r="E14" s="82" t="s">
        <v>429</v>
      </c>
      <c r="F14" s="82"/>
      <c r="G14" s="82"/>
      <c r="H14" s="82" t="s">
        <v>364</v>
      </c>
      <c r="I14" s="82"/>
      <c r="J14" s="82" t="s">
        <v>306</v>
      </c>
      <c r="K14" s="82"/>
      <c r="L14" s="82"/>
      <c r="M14" s="82"/>
    </row>
    <row r="15" spans="1:17" ht="13.5" customHeight="1" x14ac:dyDescent="0.3">
      <c r="A15" s="82"/>
      <c r="B15" s="82" t="s">
        <v>510</v>
      </c>
      <c r="C15" s="82" t="s">
        <v>285</v>
      </c>
      <c r="D15" s="82"/>
      <c r="E15" s="82" t="s">
        <v>220</v>
      </c>
      <c r="F15" s="82"/>
      <c r="G15" s="82"/>
      <c r="H15" s="82" t="s">
        <v>509</v>
      </c>
      <c r="I15" s="82"/>
      <c r="J15" s="82" t="s">
        <v>317</v>
      </c>
      <c r="K15" s="82"/>
      <c r="L15" s="82"/>
      <c r="M15" s="82"/>
    </row>
    <row r="16" spans="1:17" ht="13.5" customHeight="1" x14ac:dyDescent="0.3">
      <c r="A16" s="82"/>
      <c r="B16" s="82" t="s">
        <v>511</v>
      </c>
      <c r="C16" s="82" t="s">
        <v>512</v>
      </c>
      <c r="D16" s="82"/>
      <c r="E16" s="82" t="s">
        <v>503</v>
      </c>
      <c r="F16" s="82"/>
      <c r="G16" s="82"/>
      <c r="H16" s="82" t="s">
        <v>263</v>
      </c>
      <c r="I16" s="82"/>
      <c r="J16" s="82"/>
      <c r="K16" s="82"/>
      <c r="L16" s="82"/>
      <c r="M16" s="82"/>
    </row>
    <row r="17" spans="1:13" ht="13.5" customHeight="1" x14ac:dyDescent="0.3">
      <c r="A17" s="82"/>
      <c r="B17" s="82" t="s">
        <v>513</v>
      </c>
      <c r="C17" s="82" t="s">
        <v>244</v>
      </c>
      <c r="D17" s="82"/>
      <c r="E17" s="82" t="s">
        <v>505</v>
      </c>
      <c r="F17" s="82"/>
      <c r="G17" s="82"/>
      <c r="H17" s="82" t="s">
        <v>514</v>
      </c>
      <c r="I17" s="82"/>
      <c r="J17" s="82"/>
      <c r="K17" s="82"/>
      <c r="L17" s="82"/>
      <c r="M17" s="82"/>
    </row>
    <row r="18" spans="1:13" ht="13.5" customHeight="1" x14ac:dyDescent="0.3">
      <c r="A18" s="82"/>
      <c r="B18" s="82" t="s">
        <v>515</v>
      </c>
      <c r="C18" s="82" t="s">
        <v>254</v>
      </c>
      <c r="D18" s="82"/>
      <c r="E18" s="82" t="s">
        <v>260</v>
      </c>
      <c r="F18" s="82"/>
      <c r="G18" s="82"/>
      <c r="H18" s="82" t="s">
        <v>247</v>
      </c>
      <c r="I18" s="82"/>
      <c r="J18" s="82"/>
      <c r="K18" s="82"/>
      <c r="L18" s="82"/>
      <c r="M18" s="82"/>
    </row>
    <row r="19" spans="1:13" ht="13.5" customHeight="1" x14ac:dyDescent="0.3">
      <c r="A19" s="82"/>
      <c r="B19" s="82" t="s">
        <v>516</v>
      </c>
      <c r="C19" s="82" t="s">
        <v>281</v>
      </c>
      <c r="D19" s="82"/>
      <c r="E19" s="82" t="s">
        <v>506</v>
      </c>
      <c r="F19" s="82"/>
      <c r="G19" s="82"/>
      <c r="H19" s="82" t="s">
        <v>517</v>
      </c>
      <c r="I19" s="82"/>
      <c r="J19" s="82"/>
      <c r="K19" s="82"/>
      <c r="L19" s="82"/>
      <c r="M19" s="82"/>
    </row>
    <row r="20" spans="1:13" ht="13.5" customHeight="1" x14ac:dyDescent="0.3">
      <c r="A20" s="82"/>
      <c r="B20" s="82" t="s">
        <v>518</v>
      </c>
      <c r="C20" s="82" t="s">
        <v>309</v>
      </c>
      <c r="D20" s="82"/>
      <c r="E20" s="82" t="s">
        <v>507</v>
      </c>
      <c r="F20" s="82"/>
      <c r="G20" s="82"/>
      <c r="H20" s="82" t="s">
        <v>519</v>
      </c>
      <c r="I20" s="82"/>
      <c r="J20" s="82"/>
      <c r="K20" s="82"/>
      <c r="L20" s="82"/>
      <c r="M20" s="82"/>
    </row>
    <row r="21" spans="1:13" ht="13.5" customHeight="1" x14ac:dyDescent="0.3">
      <c r="A21" s="82"/>
      <c r="B21" s="82" t="s">
        <v>520</v>
      </c>
      <c r="C21" s="82" t="s">
        <v>321</v>
      </c>
      <c r="D21" s="82"/>
      <c r="E21" s="82" t="s">
        <v>245</v>
      </c>
      <c r="F21" s="82"/>
      <c r="G21" s="82"/>
      <c r="H21" s="82" t="s">
        <v>521</v>
      </c>
      <c r="I21" s="82"/>
      <c r="J21" s="82"/>
      <c r="K21" s="82"/>
      <c r="L21" s="82"/>
      <c r="M21" s="82"/>
    </row>
    <row r="22" spans="1:13" ht="13.5" customHeight="1" x14ac:dyDescent="0.3">
      <c r="A22" s="82"/>
      <c r="B22" s="82" t="s">
        <v>522</v>
      </c>
      <c r="C22" s="82" t="s">
        <v>338</v>
      </c>
      <c r="D22" s="82"/>
      <c r="E22" s="82" t="s">
        <v>339</v>
      </c>
      <c r="F22" s="82"/>
      <c r="G22" s="82"/>
      <c r="H22" s="82" t="s">
        <v>523</v>
      </c>
      <c r="I22" s="82"/>
      <c r="J22" s="82"/>
      <c r="K22" s="82"/>
      <c r="L22" s="82"/>
      <c r="M22" s="82"/>
    </row>
    <row r="23" spans="1:13" ht="13.5" customHeight="1" x14ac:dyDescent="0.3">
      <c r="A23" s="82"/>
      <c r="B23" s="82" t="s">
        <v>524</v>
      </c>
      <c r="C23" s="82"/>
      <c r="D23" s="82"/>
      <c r="E23" s="82"/>
      <c r="F23" s="82"/>
      <c r="G23" s="82"/>
      <c r="H23" s="82" t="s">
        <v>234</v>
      </c>
      <c r="I23" s="82"/>
      <c r="J23" s="82"/>
      <c r="K23" s="82"/>
      <c r="L23" s="82"/>
      <c r="M23" s="82"/>
    </row>
    <row r="24" spans="1:13" ht="13.5" customHeight="1" x14ac:dyDescent="0.3">
      <c r="A24" s="82"/>
      <c r="B24" s="82" t="s">
        <v>525</v>
      </c>
      <c r="C24" s="82"/>
      <c r="D24" s="82"/>
      <c r="E24" s="82"/>
      <c r="F24" s="82"/>
      <c r="G24" s="82"/>
      <c r="H24" s="82" t="s">
        <v>217</v>
      </c>
      <c r="I24" s="82"/>
      <c r="J24" s="82"/>
      <c r="K24" s="82"/>
      <c r="L24" s="82"/>
      <c r="M24" s="82"/>
    </row>
    <row r="25" spans="1:13" ht="13.5" customHeight="1" x14ac:dyDescent="0.3">
      <c r="A25" s="82"/>
      <c r="B25" s="82" t="s">
        <v>526</v>
      </c>
      <c r="C25" s="82"/>
      <c r="D25" s="82"/>
      <c r="E25" s="82"/>
      <c r="F25" s="82"/>
      <c r="G25" s="82"/>
      <c r="H25" s="82" t="s">
        <v>527</v>
      </c>
      <c r="I25" s="82"/>
      <c r="J25" s="82"/>
      <c r="K25" s="82"/>
      <c r="L25" s="82"/>
      <c r="M25" s="82"/>
    </row>
    <row r="26" spans="1:13" ht="13.5" customHeight="1" x14ac:dyDescent="0.3">
      <c r="A26" s="82"/>
      <c r="B26" s="82" t="s">
        <v>528</v>
      </c>
      <c r="C26" s="82"/>
      <c r="D26" s="82"/>
      <c r="E26" s="82"/>
      <c r="F26" s="82"/>
      <c r="G26" s="82"/>
      <c r="H26" s="82" t="s">
        <v>529</v>
      </c>
      <c r="I26" s="82"/>
      <c r="J26" s="82"/>
      <c r="K26" s="82"/>
      <c r="L26" s="82"/>
      <c r="M26" s="82"/>
    </row>
    <row r="27" spans="1:13" ht="13.5" customHeight="1" x14ac:dyDescent="0.3">
      <c r="A27" s="82"/>
      <c r="B27" s="82"/>
      <c r="C27" s="82"/>
      <c r="D27" s="82"/>
      <c r="E27" s="82"/>
      <c r="F27" s="82"/>
      <c r="G27" s="82"/>
      <c r="H27" s="82" t="s">
        <v>530</v>
      </c>
      <c r="I27" s="82"/>
      <c r="J27" s="82"/>
      <c r="K27" s="82"/>
      <c r="L27" s="82"/>
      <c r="M27" s="82"/>
    </row>
    <row r="28" spans="1:13" ht="13.5" customHeight="1" x14ac:dyDescent="0.3">
      <c r="A28" s="82"/>
      <c r="B28" s="82"/>
      <c r="C28" s="82"/>
      <c r="D28" s="82"/>
      <c r="E28" s="82"/>
      <c r="F28" s="82"/>
      <c r="G28" s="82"/>
      <c r="H28" s="82"/>
      <c r="I28" s="82"/>
      <c r="J28" s="82"/>
      <c r="K28" s="82"/>
      <c r="L28" s="82"/>
      <c r="M28" s="82"/>
    </row>
    <row r="29" spans="1:13" ht="13.5" customHeight="1" x14ac:dyDescent="0.3">
      <c r="A29" s="82"/>
      <c r="B29" s="82"/>
      <c r="C29" s="82"/>
      <c r="D29" s="82"/>
      <c r="E29" s="82"/>
      <c r="F29" s="82"/>
      <c r="G29" s="82"/>
      <c r="H29" s="82"/>
      <c r="I29" s="82"/>
      <c r="J29" s="82"/>
      <c r="K29" s="82"/>
      <c r="L29" s="82"/>
      <c r="M29" s="82"/>
    </row>
    <row r="30" spans="1:13" ht="13.5" customHeight="1" x14ac:dyDescent="0.3">
      <c r="A30" s="82"/>
      <c r="B30" s="82"/>
      <c r="C30" s="82"/>
      <c r="D30" s="82"/>
      <c r="E30" s="82"/>
      <c r="F30" s="82"/>
      <c r="G30" s="82"/>
      <c r="H30" s="82"/>
      <c r="I30" s="82"/>
      <c r="J30" s="82"/>
      <c r="K30" s="82"/>
      <c r="L30" s="82"/>
      <c r="M30" s="82"/>
    </row>
    <row r="31" spans="1:13" ht="13.5" customHeight="1" x14ac:dyDescent="0.3">
      <c r="A31" s="82"/>
      <c r="B31" s="82"/>
      <c r="C31" s="82"/>
      <c r="D31" s="82"/>
      <c r="E31" s="82"/>
      <c r="F31" s="82"/>
      <c r="G31" s="82"/>
      <c r="H31" s="82"/>
      <c r="I31" s="82"/>
      <c r="J31" s="82"/>
      <c r="K31" s="82"/>
      <c r="L31" s="82"/>
      <c r="M31" s="82"/>
    </row>
    <row r="32" spans="1:13" ht="13.5" customHeight="1" x14ac:dyDescent="0.3">
      <c r="A32" s="82"/>
      <c r="B32" s="82"/>
      <c r="C32" s="82"/>
      <c r="D32" s="82"/>
      <c r="E32" s="82"/>
      <c r="F32" s="82"/>
      <c r="G32" s="82"/>
      <c r="H32" s="82"/>
      <c r="I32" s="82"/>
      <c r="J32" s="82"/>
      <c r="K32" s="82"/>
      <c r="L32" s="82"/>
      <c r="M32" s="82"/>
    </row>
    <row r="33" spans="1:13" ht="13.5" customHeight="1" x14ac:dyDescent="0.3">
      <c r="A33" s="82"/>
      <c r="B33" s="82"/>
      <c r="C33" s="82"/>
      <c r="D33" s="82"/>
      <c r="E33" s="82"/>
      <c r="F33" s="82"/>
      <c r="G33" s="82"/>
      <c r="H33" s="82"/>
      <c r="I33" s="82"/>
      <c r="J33" s="82"/>
      <c r="K33" s="82"/>
      <c r="L33" s="82"/>
      <c r="M33" s="82"/>
    </row>
    <row r="34" spans="1:13" ht="13.5" customHeight="1" x14ac:dyDescent="0.3">
      <c r="A34" s="82"/>
      <c r="B34" s="82"/>
      <c r="C34" s="82"/>
      <c r="D34" s="82"/>
      <c r="E34" s="82"/>
      <c r="F34" s="82"/>
      <c r="G34" s="82"/>
      <c r="H34" s="82"/>
      <c r="I34" s="82"/>
      <c r="J34" s="82"/>
      <c r="K34" s="82"/>
      <c r="L34" s="82"/>
      <c r="M34" s="82"/>
    </row>
    <row r="35" spans="1:13" ht="13.5" customHeight="1" x14ac:dyDescent="0.3">
      <c r="A35" s="82"/>
      <c r="B35" s="82"/>
      <c r="C35" s="82"/>
      <c r="D35" s="82"/>
      <c r="E35" s="82"/>
      <c r="F35" s="82"/>
      <c r="G35" s="82"/>
      <c r="H35" s="82"/>
      <c r="I35" s="82"/>
      <c r="J35" s="82"/>
      <c r="K35" s="82"/>
      <c r="L35" s="82"/>
      <c r="M35" s="82"/>
    </row>
    <row r="36" spans="1:13" ht="13.5" customHeight="1" x14ac:dyDescent="0.3">
      <c r="A36" s="82"/>
      <c r="B36" s="82"/>
      <c r="C36" s="82"/>
      <c r="D36" s="82"/>
      <c r="E36" s="82"/>
      <c r="F36" s="82"/>
      <c r="G36" s="82"/>
      <c r="H36" s="82"/>
      <c r="I36" s="82"/>
      <c r="J36" s="82"/>
      <c r="K36" s="82"/>
      <c r="L36" s="82"/>
      <c r="M36" s="82"/>
    </row>
    <row r="37" spans="1:13" ht="13.5" customHeight="1" x14ac:dyDescent="0.3">
      <c r="A37" s="82"/>
      <c r="B37" s="82"/>
      <c r="C37" s="82"/>
      <c r="D37" s="82"/>
      <c r="E37" s="82"/>
      <c r="F37" s="82"/>
      <c r="G37" s="82"/>
      <c r="H37" s="82"/>
      <c r="I37" s="82"/>
      <c r="J37" s="82"/>
      <c r="K37" s="82"/>
      <c r="L37" s="82"/>
      <c r="M37" s="82"/>
    </row>
    <row r="38" spans="1:13" ht="13.5" customHeight="1" x14ac:dyDescent="0.3">
      <c r="A38" s="82"/>
      <c r="B38" s="82"/>
      <c r="C38" s="82"/>
      <c r="D38" s="82"/>
      <c r="E38" s="82"/>
      <c r="F38" s="82"/>
      <c r="G38" s="82"/>
      <c r="H38" s="82"/>
      <c r="I38" s="82"/>
      <c r="J38" s="82"/>
      <c r="K38" s="82"/>
      <c r="L38" s="82"/>
      <c r="M38" s="82"/>
    </row>
    <row r="39" spans="1:13" ht="13.5" customHeight="1" x14ac:dyDescent="0.3">
      <c r="A39" s="82"/>
      <c r="B39" s="82"/>
      <c r="C39" s="82"/>
      <c r="D39" s="82"/>
      <c r="E39" s="82"/>
      <c r="F39" s="82"/>
      <c r="G39" s="82"/>
      <c r="H39" s="82"/>
      <c r="I39" s="82"/>
      <c r="J39" s="82"/>
      <c r="K39" s="82"/>
      <c r="L39" s="82"/>
      <c r="M39" s="82"/>
    </row>
    <row r="40" spans="1:13" ht="13.5" customHeight="1" x14ac:dyDescent="0.3">
      <c r="A40" s="82"/>
      <c r="B40" s="82"/>
      <c r="C40" s="82"/>
      <c r="D40" s="82"/>
      <c r="E40" s="82"/>
      <c r="F40" s="82"/>
      <c r="G40" s="82"/>
      <c r="H40" s="82"/>
      <c r="I40" s="82"/>
      <c r="J40" s="82"/>
      <c r="K40" s="82"/>
      <c r="L40" s="82"/>
      <c r="M40" s="82"/>
    </row>
    <row r="41" spans="1:13" ht="13.5" customHeight="1" x14ac:dyDescent="0.3">
      <c r="A41" s="82"/>
      <c r="B41" s="82"/>
      <c r="C41" s="82"/>
      <c r="D41" s="82"/>
      <c r="E41" s="82"/>
      <c r="F41" s="82"/>
      <c r="G41" s="82"/>
      <c r="H41" s="82"/>
      <c r="I41" s="82"/>
      <c r="J41" s="82"/>
      <c r="K41" s="82"/>
      <c r="L41" s="82"/>
      <c r="M41" s="82"/>
    </row>
    <row r="42" spans="1:13" ht="13.5" customHeight="1" x14ac:dyDescent="0.3">
      <c r="A42" s="82"/>
      <c r="B42" s="82"/>
      <c r="C42" s="82"/>
      <c r="D42" s="82"/>
      <c r="E42" s="82"/>
      <c r="F42" s="82"/>
      <c r="G42" s="82"/>
      <c r="H42" s="82"/>
      <c r="I42" s="82"/>
      <c r="J42" s="82"/>
      <c r="K42" s="82"/>
      <c r="L42" s="82"/>
      <c r="M42" s="82"/>
    </row>
    <row r="43" spans="1:13" ht="13.5" customHeight="1" x14ac:dyDescent="0.3">
      <c r="A43" s="82"/>
      <c r="B43" s="82"/>
      <c r="C43" s="82"/>
      <c r="D43" s="82"/>
      <c r="E43" s="82"/>
      <c r="F43" s="82"/>
      <c r="G43" s="82"/>
      <c r="H43" s="82"/>
      <c r="I43" s="82"/>
      <c r="J43" s="82"/>
      <c r="K43" s="82"/>
      <c r="L43" s="82"/>
      <c r="M43" s="82"/>
    </row>
    <row r="44" spans="1:13" ht="13.5" customHeight="1" x14ac:dyDescent="0.3">
      <c r="A44" s="82"/>
      <c r="B44" s="82"/>
      <c r="C44" s="82"/>
      <c r="D44" s="82"/>
      <c r="E44" s="82"/>
      <c r="F44" s="82"/>
      <c r="G44" s="82"/>
      <c r="H44" s="82"/>
      <c r="I44" s="82"/>
      <c r="J44" s="82"/>
      <c r="K44" s="82"/>
      <c r="L44" s="82"/>
      <c r="M44" s="82"/>
    </row>
    <row r="45" spans="1:13" ht="13.5" customHeight="1" x14ac:dyDescent="0.3">
      <c r="A45" s="82"/>
      <c r="B45" s="82"/>
      <c r="C45" s="82"/>
      <c r="D45" s="82"/>
      <c r="E45" s="82"/>
      <c r="F45" s="82"/>
      <c r="G45" s="82"/>
      <c r="H45" s="82"/>
      <c r="I45" s="82"/>
      <c r="J45" s="82"/>
      <c r="K45" s="82"/>
      <c r="L45" s="82"/>
      <c r="M45" s="82"/>
    </row>
    <row r="46" spans="1:13" ht="13.5" customHeight="1" x14ac:dyDescent="0.3">
      <c r="A46" s="82"/>
      <c r="B46" s="82"/>
      <c r="C46" s="82"/>
      <c r="D46" s="82"/>
      <c r="E46" s="82"/>
      <c r="F46" s="82"/>
      <c r="G46" s="82"/>
      <c r="H46" s="82"/>
      <c r="I46" s="82"/>
      <c r="J46" s="82"/>
      <c r="K46" s="82"/>
      <c r="L46" s="82"/>
      <c r="M46" s="82"/>
    </row>
    <row r="47" spans="1:13" ht="13.5" customHeight="1" x14ac:dyDescent="0.3">
      <c r="A47" s="82"/>
      <c r="B47" s="82"/>
      <c r="C47" s="82"/>
      <c r="D47" s="82"/>
      <c r="E47" s="82"/>
      <c r="F47" s="82"/>
      <c r="G47" s="82"/>
      <c r="H47" s="82"/>
      <c r="I47" s="82"/>
      <c r="J47" s="82"/>
      <c r="K47" s="82"/>
      <c r="L47" s="82"/>
      <c r="M47" s="82"/>
    </row>
    <row r="48" spans="1:13" ht="13.5" customHeight="1" x14ac:dyDescent="0.3">
      <c r="A48" s="82"/>
      <c r="B48" s="82"/>
      <c r="C48" s="82"/>
      <c r="D48" s="82"/>
      <c r="E48" s="82"/>
      <c r="F48" s="82"/>
      <c r="G48" s="82"/>
      <c r="H48" s="82"/>
      <c r="I48" s="82"/>
      <c r="J48" s="82"/>
      <c r="K48" s="82"/>
      <c r="L48" s="82"/>
      <c r="M48" s="82"/>
    </row>
    <row r="49" spans="1:13" ht="13.5" customHeight="1" x14ac:dyDescent="0.3">
      <c r="A49" s="82"/>
      <c r="B49" s="82"/>
      <c r="C49" s="82"/>
      <c r="D49" s="82"/>
      <c r="E49" s="82"/>
      <c r="F49" s="82"/>
      <c r="G49" s="82"/>
      <c r="H49" s="82"/>
      <c r="I49" s="82"/>
      <c r="J49" s="82"/>
      <c r="K49" s="82"/>
      <c r="L49" s="82"/>
      <c r="M49" s="82"/>
    </row>
    <row r="50" spans="1:13" ht="13.5" customHeight="1" x14ac:dyDescent="0.3">
      <c r="A50" s="82"/>
      <c r="B50" s="82"/>
      <c r="C50" s="82"/>
      <c r="D50" s="82"/>
      <c r="E50" s="82"/>
      <c r="F50" s="82"/>
      <c r="G50" s="82"/>
      <c r="H50" s="82"/>
      <c r="I50" s="82"/>
      <c r="J50" s="82"/>
      <c r="K50" s="82"/>
      <c r="L50" s="82"/>
      <c r="M50" s="82"/>
    </row>
    <row r="51" spans="1:13" ht="13.5" customHeight="1" x14ac:dyDescent="0.3">
      <c r="A51" s="82"/>
      <c r="B51" s="82"/>
      <c r="C51" s="82"/>
      <c r="D51" s="82"/>
      <c r="E51" s="82"/>
      <c r="F51" s="82"/>
      <c r="G51" s="82"/>
      <c r="H51" s="82"/>
      <c r="I51" s="82"/>
      <c r="J51" s="82"/>
      <c r="K51" s="82"/>
      <c r="L51" s="82"/>
      <c r="M51" s="82"/>
    </row>
    <row r="52" spans="1:13" ht="13.5" customHeight="1" x14ac:dyDescent="0.3">
      <c r="A52" s="82"/>
      <c r="B52" s="82"/>
      <c r="C52" s="82"/>
      <c r="D52" s="82"/>
      <c r="E52" s="82"/>
      <c r="F52" s="82"/>
      <c r="G52" s="82"/>
      <c r="H52" s="82"/>
      <c r="I52" s="82"/>
      <c r="J52" s="82"/>
      <c r="K52" s="82"/>
      <c r="L52" s="82"/>
      <c r="M52" s="82"/>
    </row>
    <row r="53" spans="1:13" ht="13.5" customHeight="1" x14ac:dyDescent="0.3">
      <c r="A53" s="82"/>
      <c r="B53" s="82"/>
      <c r="C53" s="82"/>
      <c r="D53" s="82"/>
      <c r="E53" s="82"/>
      <c r="F53" s="82"/>
      <c r="G53" s="82"/>
      <c r="H53" s="82"/>
      <c r="I53" s="82"/>
      <c r="J53" s="82"/>
      <c r="K53" s="82"/>
      <c r="L53" s="82"/>
      <c r="M53" s="82"/>
    </row>
    <row r="54" spans="1:13" ht="13.5" customHeight="1" x14ac:dyDescent="0.3">
      <c r="A54" s="82"/>
      <c r="B54" s="82"/>
      <c r="C54" s="82"/>
      <c r="D54" s="82"/>
      <c r="E54" s="82"/>
      <c r="F54" s="82"/>
      <c r="G54" s="82"/>
      <c r="H54" s="82"/>
      <c r="I54" s="82"/>
      <c r="J54" s="82"/>
      <c r="K54" s="82"/>
      <c r="L54" s="82"/>
      <c r="M54" s="82"/>
    </row>
    <row r="55" spans="1:13" ht="13.5" customHeight="1" x14ac:dyDescent="0.3">
      <c r="A55" s="82"/>
      <c r="B55" s="82"/>
      <c r="C55" s="82"/>
      <c r="D55" s="82"/>
      <c r="E55" s="82"/>
      <c r="F55" s="82"/>
      <c r="G55" s="82"/>
      <c r="H55" s="82"/>
      <c r="I55" s="82"/>
      <c r="J55" s="82"/>
      <c r="K55" s="82"/>
      <c r="L55" s="82"/>
      <c r="M55" s="82"/>
    </row>
    <row r="56" spans="1:13" ht="13.5" customHeight="1" x14ac:dyDescent="0.3">
      <c r="A56" s="82"/>
      <c r="B56" s="82"/>
      <c r="C56" s="82"/>
      <c r="D56" s="82"/>
      <c r="E56" s="82"/>
      <c r="F56" s="82"/>
      <c r="G56" s="82"/>
      <c r="H56" s="82"/>
      <c r="I56" s="82"/>
      <c r="J56" s="82"/>
      <c r="K56" s="82"/>
      <c r="L56" s="82"/>
      <c r="M56" s="82"/>
    </row>
    <row r="57" spans="1:13" ht="13.5" customHeight="1" x14ac:dyDescent="0.3">
      <c r="A57" s="82"/>
      <c r="B57" s="82"/>
      <c r="C57" s="82"/>
      <c r="D57" s="82"/>
      <c r="E57" s="82"/>
      <c r="F57" s="82"/>
      <c r="G57" s="82"/>
      <c r="H57" s="82"/>
      <c r="I57" s="82"/>
      <c r="J57" s="82"/>
      <c r="K57" s="82"/>
      <c r="L57" s="82"/>
      <c r="M57" s="82"/>
    </row>
    <row r="58" spans="1:13" ht="13.5" customHeight="1" x14ac:dyDescent="0.3">
      <c r="A58" s="82"/>
      <c r="B58" s="82"/>
      <c r="C58" s="82"/>
      <c r="D58" s="82"/>
      <c r="E58" s="82"/>
      <c r="F58" s="82"/>
      <c r="G58" s="82"/>
      <c r="H58" s="82"/>
      <c r="I58" s="82"/>
      <c r="J58" s="82"/>
      <c r="K58" s="82"/>
      <c r="L58" s="82"/>
      <c r="M58" s="82"/>
    </row>
    <row r="59" spans="1:13" ht="13.5" customHeight="1" x14ac:dyDescent="0.3">
      <c r="A59" s="82"/>
      <c r="B59" s="82"/>
      <c r="C59" s="82"/>
      <c r="D59" s="82"/>
      <c r="E59" s="82"/>
      <c r="F59" s="82"/>
      <c r="G59" s="82"/>
      <c r="H59" s="82"/>
      <c r="I59" s="82"/>
      <c r="J59" s="82"/>
      <c r="K59" s="82"/>
      <c r="L59" s="82"/>
      <c r="M59" s="82"/>
    </row>
    <row r="60" spans="1:13" ht="13.5" customHeight="1" x14ac:dyDescent="0.3">
      <c r="A60" s="82"/>
      <c r="B60" s="82"/>
      <c r="C60" s="82"/>
      <c r="D60" s="82"/>
      <c r="E60" s="82"/>
      <c r="F60" s="82"/>
      <c r="G60" s="82"/>
      <c r="H60" s="82"/>
      <c r="I60" s="82"/>
      <c r="J60" s="82"/>
      <c r="K60" s="82"/>
      <c r="L60" s="82"/>
      <c r="M60" s="82"/>
    </row>
    <row r="61" spans="1:13" ht="13.5" customHeight="1" x14ac:dyDescent="0.3">
      <c r="A61" s="82"/>
      <c r="B61" s="82"/>
      <c r="C61" s="82"/>
      <c r="D61" s="82"/>
      <c r="E61" s="82"/>
      <c r="F61" s="82"/>
      <c r="G61" s="82"/>
      <c r="H61" s="82"/>
      <c r="I61" s="82"/>
      <c r="J61" s="82"/>
      <c r="K61" s="82"/>
      <c r="L61" s="82"/>
      <c r="M61" s="82"/>
    </row>
  </sheetData>
  <sheetProtection sheet="1" objects="1" scenarios="1" formatCells="1" formatColumns="1" formatRows="1" insertColumns="1" insertRows="1" insertHyperlinks="0" deleteColumns="1" deleteRows="1" selectLockedCells="0" selectUnlockedCells="0" sort="0" autoFilter="0" pivotTables="1" password="9F52"/>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C666-01A7-4C4A-B2F8-6D6ACC4BE284}">
  <dimension ref="A1:H1048576"/>
  <sheetViews>
    <sheetView workbookViewId="0"/>
  </sheetViews>
  <sheetFormatPr baseColWidth="10" defaultColWidth="8.88671875" defaultRowHeight="14.4" x14ac:dyDescent="0.3"/>
  <cols>
    <col min="1" max="1" width="11" style="108" customWidth="1"/>
    <col min="2" max="2" width="12" style="108" customWidth="1"/>
    <col min="3" max="3" width="18" style="108" customWidth="1"/>
    <col min="4" max="4" width="62" style="108" customWidth="1"/>
    <col min="5" max="5" width="8" style="108" customWidth="1"/>
    <col min="6" max="6" width="11" style="108" customWidth="1"/>
    <col min="7" max="7" width="12" style="108" customWidth="1"/>
    <col min="8" max="8" width="16" style="108" customWidth="1"/>
  </cols>
  <sheetData>
    <row r="1" spans="1:8" ht="30" customHeight="1" x14ac:dyDescent="0.3">
      <c r="A1" s="84" t="s">
        <v>531</v>
      </c>
      <c r="B1" s="84" t="s">
        <v>188</v>
      </c>
      <c r="C1" s="84" t="s">
        <v>532</v>
      </c>
      <c r="D1" s="84" t="s">
        <v>533</v>
      </c>
      <c r="E1" s="84" t="s">
        <v>26</v>
      </c>
      <c r="F1" s="84" t="s">
        <v>534</v>
      </c>
      <c r="G1" s="84" t="s">
        <v>535</v>
      </c>
      <c r="H1" s="84" t="s">
        <v>536</v>
      </c>
    </row>
    <row r="2" spans="1:8" ht="12.75" customHeight="1" x14ac:dyDescent="0.3">
      <c r="A2" s="245">
        <f>Datos!$D$3</f>
        <v>46235</v>
      </c>
      <c r="B2" s="199" t="str">
        <f>Datos!D$4</f>
        <v>Compresora</v>
      </c>
      <c r="C2" s="31" t="s">
        <v>537</v>
      </c>
      <c r="D2" s="199" t="str">
        <f>Datos!$B$9</f>
        <v>Dotación promedio: Personal OPS</v>
      </c>
      <c r="E2" s="199" t="str">
        <f>Datos!$C$9</f>
        <v>pers</v>
      </c>
      <c r="F2" s="31" t="s">
        <v>538</v>
      </c>
      <c r="G2" s="246">
        <f>IF(ISNUMBER(Datos!D9),Datos!D9,"")</f>
        <v>83</v>
      </c>
      <c r="H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 spans="1:8" ht="12.75" customHeight="1" x14ac:dyDescent="0.3">
      <c r="A3" s="245">
        <f>Datos!$D$3</f>
        <v>46235</v>
      </c>
      <c r="B3" s="199" t="str">
        <f>Datos!D$4</f>
        <v>Compresora</v>
      </c>
      <c r="C3" s="31" t="s">
        <v>539</v>
      </c>
      <c r="D3" s="199" t="str">
        <f>Datos!$B$10</f>
        <v>Dotación promedio: Personal SMP(IEBC, PAE e YPF) </v>
      </c>
      <c r="E3" s="199" t="str">
        <f>Datos!$C$10</f>
        <v>pers</v>
      </c>
      <c r="F3" s="31" t="s">
        <v>538</v>
      </c>
      <c r="G3" s="246">
        <f>IF(ISNUMBER(Datos!D10),Datos!D10,"")</f>
        <v>9</v>
      </c>
      <c r="H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 spans="1:8" ht="12.75" customHeight="1" x14ac:dyDescent="0.3">
      <c r="A4" s="245">
        <f>Datos!$D$3</f>
        <v>46235</v>
      </c>
      <c r="B4" s="199" t="str">
        <f>Datos!D$4</f>
        <v>Compresora</v>
      </c>
      <c r="C4" s="31" t="s">
        <v>540</v>
      </c>
      <c r="D4" s="199" t="str">
        <f>Datos!$B$11</f>
        <v>Dotación promedio: TOTAL</v>
      </c>
      <c r="E4" s="199" t="str">
        <f>Datos!$C$11</f>
        <v>pers</v>
      </c>
      <c r="F4" s="31" t="s">
        <v>541</v>
      </c>
      <c r="G4" s="246">
        <f>IF(ISNUMBER(Datos!D11),Datos!D11,"")</f>
        <v>92</v>
      </c>
      <c r="H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5" spans="1:8" ht="12.75" customHeight="1" x14ac:dyDescent="0.3">
      <c r="A5" s="245">
        <f>Datos!$D$3</f>
        <v>46235</v>
      </c>
      <c r="B5" s="199" t="str">
        <f>Datos!D$4</f>
        <v>Compresora</v>
      </c>
      <c r="C5" s="31" t="s">
        <v>542</v>
      </c>
      <c r="D5" s="199" t="str">
        <f>Datos!$B$12</f>
        <v>Horas hombre trabajadas: Personal OPS</v>
      </c>
      <c r="E5" s="199" t="str">
        <f>Datos!$C$12</f>
        <v>h</v>
      </c>
      <c r="F5" s="31" t="s">
        <v>538</v>
      </c>
      <c r="G5" s="246">
        <f>IF(ISNUMBER(Datos!D12),Datos!D12,"")</f>
        <v>21008</v>
      </c>
      <c r="H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6" spans="1:8" ht="12.75" customHeight="1" x14ac:dyDescent="0.3">
      <c r="A6" s="245">
        <f>Datos!$D$3</f>
        <v>46235</v>
      </c>
      <c r="B6" s="199" t="str">
        <f>Datos!D$4</f>
        <v>Compresora</v>
      </c>
      <c r="C6" s="31" t="s">
        <v>543</v>
      </c>
      <c r="D6" s="199" t="str">
        <f>Datos!$B$13</f>
        <v>Horas hombre trabajadas: Personal SMP(IEBC, PAE e YPF) en campo</v>
      </c>
      <c r="E6" s="199" t="str">
        <f>Datos!$C$13</f>
        <v>h</v>
      </c>
      <c r="F6" s="31" t="s">
        <v>538</v>
      </c>
      <c r="G6" s="246">
        <f>IF(ISNUMBER(Datos!D13),Datos!D13,"")</f>
        <v>1980</v>
      </c>
      <c r="H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7" spans="1:8" ht="12.75" customHeight="1" x14ac:dyDescent="0.3">
      <c r="A7" s="245">
        <f>Datos!$D$3</f>
        <v>46235</v>
      </c>
      <c r="B7" s="199" t="str">
        <f>Datos!D$4</f>
        <v>Compresora</v>
      </c>
      <c r="C7" s="31" t="s">
        <v>544</v>
      </c>
      <c r="D7" s="199" t="str">
        <f>Datos!$B$14</f>
        <v>Horas hombre trabajadas: TOTAL</v>
      </c>
      <c r="E7" s="199" t="str">
        <f>Datos!$C$14</f>
        <v>h</v>
      </c>
      <c r="F7" s="31" t="s">
        <v>541</v>
      </c>
      <c r="G7" s="246">
        <f>IF(ISNUMBER(Datos!D14),Datos!D14,"")</f>
        <v>22988</v>
      </c>
      <c r="H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8" spans="1:8" ht="12.75" customHeight="1" x14ac:dyDescent="0.3">
      <c r="A8" s="245">
        <f>Datos!$D$3</f>
        <v>46235</v>
      </c>
      <c r="B8" s="199" t="str">
        <f>Datos!D$4</f>
        <v>Compresora</v>
      </c>
      <c r="C8" s="31" t="s">
        <v>545</v>
      </c>
      <c r="D8" s="199" t="str">
        <f>Datos!$B$16</f>
        <v>Horas hombre de formación en seguridad: Personal OPS</v>
      </c>
      <c r="E8" s="199" t="str">
        <f>Datos!$C$16</f>
        <v>h</v>
      </c>
      <c r="F8" s="31" t="s">
        <v>538</v>
      </c>
      <c r="G8" s="246">
        <f>IF(ISNUMBER(Datos!D16),Datos!D16,"")</f>
        <v>1143</v>
      </c>
      <c r="H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9" spans="1:8" ht="12.75" customHeight="1" x14ac:dyDescent="0.3">
      <c r="A9" s="245">
        <f>Datos!$D$3</f>
        <v>46235</v>
      </c>
      <c r="B9" s="199" t="str">
        <f>Datos!D$4</f>
        <v>Compresora</v>
      </c>
      <c r="C9" s="31" t="s">
        <v>546</v>
      </c>
      <c r="D9" s="199" t="str">
        <f>Datos!$B$17</f>
        <v>Horas hombre de formación en seguridad: Personal SMP(IEBC, PAE e YPF) </v>
      </c>
      <c r="E9" s="199" t="str">
        <f>Datos!$C$17</f>
        <v>h</v>
      </c>
      <c r="F9" s="31" t="s">
        <v>538</v>
      </c>
      <c r="G9" s="246">
        <f>IF(ISNUMBER(Datos!D17),Datos!D17,"")</f>
        <v>117</v>
      </c>
      <c r="H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0" spans="1:8" ht="12.75" customHeight="1" x14ac:dyDescent="0.3">
      <c r="A10" s="245">
        <f>Datos!$D$3</f>
        <v>46235</v>
      </c>
      <c r="B10" s="199" t="str">
        <f>Datos!D$4</f>
        <v>Compresora</v>
      </c>
      <c r="C10" s="31" t="s">
        <v>547</v>
      </c>
      <c r="D10" s="199" t="str">
        <f>Datos!$B$18</f>
        <v>Horas hombre de formación en seguridad: TOTAL</v>
      </c>
      <c r="E10" s="199" t="str">
        <f>Datos!$C$18</f>
        <v>h</v>
      </c>
      <c r="F10" s="31" t="s">
        <v>541</v>
      </c>
      <c r="G10" s="246">
        <f>IF(ISNUMBER(Datos!D18),Datos!D18,"")</f>
        <v>1260</v>
      </c>
      <c r="H1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1" spans="1:8" ht="12.75" customHeight="1" x14ac:dyDescent="0.3">
      <c r="A11" s="245">
        <f>Datos!$D$3</f>
        <v>46235</v>
      </c>
      <c r="B11" s="199" t="str">
        <f>Datos!D$4</f>
        <v>Compresora</v>
      </c>
      <c r="C11" s="31" t="s">
        <v>548</v>
      </c>
      <c r="D11" s="199" t="str">
        <f>Datos!$B$20</f>
        <v>SIMULACROS · Realizados (emergencia y operativos)</v>
      </c>
      <c r="E11" s="199" t="str">
        <f>Datos!$C$20</f>
        <v>u</v>
      </c>
      <c r="F11" s="31" t="s">
        <v>538</v>
      </c>
      <c r="G11" s="246">
        <f>IF(ISNUMBER(Datos!D20),Datos!D20,"")</f>
        <v>1</v>
      </c>
      <c r="H1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2" spans="1:8" ht="12.75" customHeight="1" x14ac:dyDescent="0.3">
      <c r="A12" s="245">
        <f>Datos!$D$3</f>
        <v>46235</v>
      </c>
      <c r="B12" s="199" t="str">
        <f>Datos!D$4</f>
        <v>Compresora</v>
      </c>
      <c r="C12" s="31" t="s">
        <v>549</v>
      </c>
      <c r="D12" s="199" t="str">
        <f>Datos!$B$21</f>
        <v>SIMULACROS · Programados (emergencia y operativos)</v>
      </c>
      <c r="E12" s="199" t="str">
        <f>Datos!$C$21</f>
        <v>u</v>
      </c>
      <c r="F12" s="31" t="s">
        <v>538</v>
      </c>
      <c r="G12" s="246">
        <f>IF(ISNUMBER(Datos!D21),Datos!D21,"")</f>
        <v>1</v>
      </c>
      <c r="H1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3" spans="1:8" ht="12.75" customHeight="1" x14ac:dyDescent="0.3">
      <c r="A13" s="245">
        <f>Datos!$D$3</f>
        <v>46235</v>
      </c>
      <c r="B13" s="199" t="str">
        <f>Datos!D$4</f>
        <v>Compresora</v>
      </c>
      <c r="C13" s="31" t="s">
        <v>550</v>
      </c>
      <c r="D13" s="199" t="str">
        <f>Datos!$B$22</f>
        <v>SIMULACROS · Acciones de mejora surgidas de los simulacros (en el mes informado)</v>
      </c>
      <c r="E13" s="199" t="str">
        <f>Datos!$C$22</f>
        <v>u</v>
      </c>
      <c r="F13" s="31" t="s">
        <v>538</v>
      </c>
      <c r="G13" s="246">
        <f>IF(ISNUMBER(Datos!D22),Datos!D22,"")</f>
        <v>0</v>
      </c>
      <c r="H1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4" spans="1:8" ht="12.75" customHeight="1" x14ac:dyDescent="0.3">
      <c r="A14" s="245">
        <f>Datos!$D$3</f>
        <v>46235</v>
      </c>
      <c r="B14" s="199" t="str">
        <f>Datos!D$4</f>
        <v>Compresora</v>
      </c>
      <c r="C14" s="31" t="s">
        <v>551</v>
      </c>
      <c r="D14" s="199" t="str">
        <f>Datos!$B$23</f>
        <v>SIMULACROS · Acciones de mejora implementadas surgidas de los simulacros (ICME) (en el mes informado)</v>
      </c>
      <c r="E14" s="199" t="str">
        <f>Datos!$C$23</f>
        <v>u</v>
      </c>
      <c r="F14" s="31" t="s">
        <v>538</v>
      </c>
      <c r="G14" s="246">
        <f>IF(ISNUMBER(Datos!D23),Datos!D23,"")</f>
        <v>0</v>
      </c>
      <c r="H1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 spans="1:8" ht="12.75" customHeight="1" x14ac:dyDescent="0.3">
      <c r="A15" s="245">
        <f>Datos!$D$3</f>
        <v>46235</v>
      </c>
      <c r="B15" s="199" t="str">
        <f>Datos!D$4</f>
        <v>Compresora</v>
      </c>
      <c r="C15" s="31" t="s">
        <v>552</v>
      </c>
      <c r="D15" s="199" t="str">
        <f>Datos!$B$24</f>
        <v>Caminatas gerenciales realizadas</v>
      </c>
      <c r="E15" s="199" t="str">
        <f>Datos!$C$24</f>
        <v>u</v>
      </c>
      <c r="F15" s="31" t="s">
        <v>538</v>
      </c>
      <c r="G15" s="246">
        <f>IF(ISNUMBER(Datos!D24),Datos!D24,"")</f>
        <v>0</v>
      </c>
      <c r="H1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6" spans="1:8" ht="12.75" customHeight="1" x14ac:dyDescent="0.3">
      <c r="A16" s="245">
        <f>Datos!$D$3</f>
        <v>46235</v>
      </c>
      <c r="B16" s="199" t="str">
        <f>Datos!D$4</f>
        <v>Compresora</v>
      </c>
      <c r="C16" s="31" t="s">
        <v>553</v>
      </c>
      <c r="D16" s="199" t="str">
        <f>Datos!$B$25</f>
        <v>Caminatas gerenciales planificadas</v>
      </c>
      <c r="E16" s="199" t="str">
        <f>Datos!$C$25</f>
        <v>u</v>
      </c>
      <c r="F16" s="31" t="s">
        <v>538</v>
      </c>
      <c r="G16" s="246">
        <f>IF(ISNUMBER(Datos!D25),Datos!D25,"")</f>
        <v>0</v>
      </c>
      <c r="H1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7" spans="1:8" ht="12.75" customHeight="1" x14ac:dyDescent="0.3">
      <c r="A17" s="245">
        <f>Datos!$D$3</f>
        <v>46235</v>
      </c>
      <c r="B17" s="199" t="str">
        <f>Datos!D$4</f>
        <v>Compresora</v>
      </c>
      <c r="C17" s="31" t="s">
        <v>554</v>
      </c>
      <c r="D17" s="199" t="str">
        <f>Datos!$B$26</f>
        <v>Comités y subcomités de seguridad realizados</v>
      </c>
      <c r="E17" s="199" t="str">
        <f>Datos!$C$26</f>
        <v>u</v>
      </c>
      <c r="F17" s="31" t="s">
        <v>538</v>
      </c>
      <c r="G17" s="246">
        <f>IF(ISNUMBER(Datos!D26),Datos!D26,"")</f>
        <v>0</v>
      </c>
      <c r="H1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8" spans="1:8" ht="12.75" customHeight="1" x14ac:dyDescent="0.3">
      <c r="A18" s="245">
        <f>Datos!$D$3</f>
        <v>46235</v>
      </c>
      <c r="B18" s="199" t="str">
        <f>Datos!D$4</f>
        <v>Compresora</v>
      </c>
      <c r="C18" s="31" t="s">
        <v>555</v>
      </c>
      <c r="D18" s="199" t="str">
        <f>Datos!$B$27</f>
        <v>Comités y subcomités de seguridad planificados</v>
      </c>
      <c r="E18" s="199" t="str">
        <f>Datos!$C$27</f>
        <v>u</v>
      </c>
      <c r="F18" s="31" t="s">
        <v>538</v>
      </c>
      <c r="G18" s="246">
        <f>IF(ISNUMBER(Datos!D27),Datos!D27,"")</f>
        <v>0</v>
      </c>
      <c r="H1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9" spans="1:8" ht="12.75" customHeight="1" x14ac:dyDescent="0.3">
      <c r="A19" s="245">
        <f>Datos!$D$3</f>
        <v>46235</v>
      </c>
      <c r="B19" s="199" t="str">
        <f>Datos!D$4</f>
        <v>Compresora</v>
      </c>
      <c r="C19" s="31" t="s">
        <v>556</v>
      </c>
      <c r="D19" s="31" t="inlineStr">
        <is>
          <t>Observaciones de comportamiento seguro: total del mes (OPS + SMP)</t>
        </is>
      </c>
      <c r="E19" s="199" t="str">
        <f>Datos!$C$28</f>
        <v>u</v>
      </c>
      <c r="F19" s="31" t="s">
        <v>538</v>
      </c>
      <c r="G19" s="246">
        <f>IF(COUNT(Datos!D28:D29)=0,"",SUM(Datos!D28:D29))</f>
        <v>35</v>
      </c>
      <c r="H1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0" spans="1:8" ht="12.75" customHeight="1" x14ac:dyDescent="0.3">
      <c r="A20" s="245">
        <f>Datos!$D$3</f>
        <v>46235</v>
      </c>
      <c r="B20" s="199" t="str">
        <f>Datos!D$4</f>
        <v>Compresora</v>
      </c>
      <c r="C20" s="31" t="s">
        <v>557</v>
      </c>
      <c r="D20" s="199" t="str">
        <f>Datos!$B$30</f>
        <v>Investigaciones de accidentes cerradas en el mes</v>
      </c>
      <c r="E20" s="199" t="str">
        <f>Datos!$C$30</f>
        <v>u</v>
      </c>
      <c r="F20" s="31" t="s">
        <v>538</v>
      </c>
      <c r="G20" s="246">
        <f>IF(ISNUMBER(Datos!D30),Datos!D30,"")</f>
        <v>0</v>
      </c>
      <c r="H2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1" spans="1:8" ht="12.75" customHeight="1" x14ac:dyDescent="0.3">
      <c r="A21" s="245">
        <f>Datos!$D$3</f>
        <v>46235</v>
      </c>
      <c r="B21" s="199" t="str">
        <f>Datos!D$4</f>
        <v>Compresora</v>
      </c>
      <c r="C21" s="31" t="s">
        <v>558</v>
      </c>
      <c r="D21" s="199" t="str">
        <f>Datos!$B$31</f>
        <v>Días que llevaron esas investigaciones (suma)</v>
      </c>
      <c r="E21" s="199" t="str">
        <f>Datos!$C$31</f>
        <v>días</v>
      </c>
      <c r="F21" s="31" t="s">
        <v>538</v>
      </c>
      <c r="G21" s="246">
        <f>IF(ISNUMBER(Datos!D31),Datos!D31,"")</f>
        <v>0</v>
      </c>
      <c r="H2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2" spans="1:8" ht="12.75" customHeight="1" x14ac:dyDescent="0.3">
      <c r="A22" s="245">
        <f>Datos!$D$3</f>
        <v>46235</v>
      </c>
      <c r="B22" s="199" t="str">
        <f>Datos!D$4</f>
        <v>Compresora</v>
      </c>
      <c r="C22" s="31" t="s">
        <v>559</v>
      </c>
      <c r="D22" s="199" t="str">
        <f>Datos!$B$33</f>
        <v>Casos con días perdidos</v>
      </c>
      <c r="E22" s="199" t="str">
        <f>Datos!$C$33</f>
        <v>u</v>
      </c>
      <c r="F22" s="31" t="s">
        <v>538</v>
      </c>
      <c r="G22" s="246">
        <f>IF(ISNUMBER(Datos!D33),Datos!D33,"")</f>
        <v>0</v>
      </c>
      <c r="H2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3" spans="1:8" ht="12.75" customHeight="1" x14ac:dyDescent="0.3">
      <c r="A23" s="245">
        <f>Datos!$D$3</f>
        <v>46235</v>
      </c>
      <c r="B23" s="199" t="str">
        <f>Datos!D$4</f>
        <v>Compresora</v>
      </c>
      <c r="C23" s="31" t="s">
        <v>560</v>
      </c>
      <c r="D23" s="199" t="str">
        <f>Datos!$B$34</f>
        <v>Casos con trabajo restringido</v>
      </c>
      <c r="E23" s="199" t="str">
        <f>Datos!$C$34</f>
        <v>u</v>
      </c>
      <c r="F23" s="31" t="s">
        <v>538</v>
      </c>
      <c r="G23" s="246">
        <f>IF(ISNUMBER(Datos!D34),Datos!D34,"")</f>
        <v>0</v>
      </c>
      <c r="H2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4" spans="1:8" ht="12.75" customHeight="1" x14ac:dyDescent="0.3">
      <c r="A24" s="245">
        <f>Datos!$D$3</f>
        <v>46235</v>
      </c>
      <c r="B24" s="199" t="str">
        <f>Datos!D$4</f>
        <v>Compresora</v>
      </c>
      <c r="C24" s="31" t="s">
        <v>561</v>
      </c>
      <c r="D24" s="199" t="str">
        <f>Datos!$B$35</f>
        <v>Casos con tratamiento médico</v>
      </c>
      <c r="E24" s="199" t="str">
        <f>Datos!$C$35</f>
        <v>u</v>
      </c>
      <c r="F24" s="31" t="s">
        <v>538</v>
      </c>
      <c r="G24" s="246">
        <f>IF(ISNUMBER(Datos!D35),Datos!D35,"")</f>
        <v>0</v>
      </c>
      <c r="H2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5" spans="1:8" ht="12.75" customHeight="1" x14ac:dyDescent="0.3">
      <c r="A25" s="245">
        <f>Datos!$D$3</f>
        <v>46235</v>
      </c>
      <c r="B25" s="199" t="str">
        <f>Datos!D$4</f>
        <v>Compresora</v>
      </c>
      <c r="C25" s="31" t="s">
        <v>562</v>
      </c>
      <c r="D25" s="199" t="str">
        <f>Datos!$B$36</f>
        <v>Fatalidades</v>
      </c>
      <c r="E25" s="199" t="str">
        <f>Datos!$C$36</f>
        <v>u</v>
      </c>
      <c r="F25" s="31" t="s">
        <v>538</v>
      </c>
      <c r="G25" s="246">
        <f>IF(ISNUMBER(Datos!D36),Datos!D36,"")</f>
        <v>0</v>
      </c>
      <c r="H2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6" spans="1:8" ht="12.75" customHeight="1" x14ac:dyDescent="0.3">
      <c r="A26" s="245">
        <f>Datos!$D$3</f>
        <v>46235</v>
      </c>
      <c r="B26" s="199" t="str">
        <f>Datos!D$4</f>
        <v>Compresora</v>
      </c>
      <c r="C26" s="31" t="s">
        <v>51</v>
      </c>
      <c r="D26" s="199" t="str">
        <f>Datos!$B$37</f>
        <v>Casos de primeros auxilios</v>
      </c>
      <c r="E26" s="199" t="str">
        <f>Datos!$C$37</f>
        <v>u</v>
      </c>
      <c r="F26" s="31" t="s">
        <v>538</v>
      </c>
      <c r="G26" s="246">
        <f>IF(ISNUMBER(Datos!D37),Datos!D37,"")</f>
        <v>0</v>
      </c>
      <c r="H2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7" spans="1:8" ht="12.75" customHeight="1" x14ac:dyDescent="0.3">
      <c r="A27" s="245">
        <f>Datos!$D$3</f>
        <v>46235</v>
      </c>
      <c r="B27" s="199" t="str">
        <f>Datos!D$4</f>
        <v>Compresora</v>
      </c>
      <c r="C27" s="31" t="s">
        <v>563</v>
      </c>
      <c r="D27" s="199" t="str">
        <f>Datos!$B$39</f>
        <v>CVM catastróficas</v>
      </c>
      <c r="E27" s="199" t="str">
        <f>Datos!$C$39</f>
        <v>u</v>
      </c>
      <c r="F27" s="31" t="s">
        <v>538</v>
      </c>
      <c r="G27" s="246">
        <f>IF(ISNUMBER(Datos!D39),Datos!D39,"")</f>
        <v>0</v>
      </c>
      <c r="H2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8" spans="1:8" ht="12.75" customHeight="1" x14ac:dyDescent="0.3">
      <c r="A28" s="245">
        <f>Datos!$D$3</f>
        <v>46235</v>
      </c>
      <c r="B28" s="199" t="str">
        <f>Datos!D$4</f>
        <v>Compresora</v>
      </c>
      <c r="C28" s="31" t="s">
        <v>564</v>
      </c>
      <c r="D28" s="199" t="str">
        <f>Datos!$B$40</f>
        <v>CVM mayores</v>
      </c>
      <c r="E28" s="199" t="str">
        <f>Datos!$C$40</f>
        <v>u</v>
      </c>
      <c r="F28" s="31" t="s">
        <v>538</v>
      </c>
      <c r="G28" s="246">
        <f>IF(ISNUMBER(Datos!D40),Datos!D40,"")</f>
        <v>0</v>
      </c>
      <c r="H2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9" spans="1:8" ht="12.75" customHeight="1" x14ac:dyDescent="0.3">
      <c r="A29" s="245">
        <f>Datos!$D$3</f>
        <v>46235</v>
      </c>
      <c r="B29" s="199" t="str">
        <f>Datos!D$4</f>
        <v>Compresora</v>
      </c>
      <c r="C29" s="31" t="s">
        <v>565</v>
      </c>
      <c r="D29" s="199" t="str">
        <f>Datos!$B$41</f>
        <v>CVM serias</v>
      </c>
      <c r="E29" s="199" t="str">
        <f>Datos!$C$41</f>
        <v>u</v>
      </c>
      <c r="F29" s="31" t="s">
        <v>538</v>
      </c>
      <c r="G29" s="246">
        <f>IF(ISNUMBER(Datos!D41),Datos!D41,"")</f>
        <v>0</v>
      </c>
      <c r="H2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0" spans="1:8" ht="12.75" customHeight="1" x14ac:dyDescent="0.3">
      <c r="A30" s="245">
        <f>Datos!$D$3</f>
        <v>46235</v>
      </c>
      <c r="B30" s="199" t="str">
        <f>Datos!D$4</f>
        <v>Compresora</v>
      </c>
      <c r="C30" s="31" t="s">
        <v>566</v>
      </c>
      <c r="D30" s="199" t="str">
        <f>Datos!$B$42</f>
        <v>CVM otras / menores</v>
      </c>
      <c r="E30" s="199" t="str">
        <f>Datos!$C$42</f>
        <v>u</v>
      </c>
      <c r="F30" s="31" t="s">
        <v>538</v>
      </c>
      <c r="G30" s="246">
        <f>IF(ISNUMBER(Datos!D42),Datos!D42,"")</f>
        <v>0</v>
      </c>
      <c r="H3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1" spans="1:8" ht="12.75" customHeight="1" x14ac:dyDescent="0.3">
      <c r="A31" s="245">
        <f>Datos!$D$3</f>
        <v>46235</v>
      </c>
      <c r="B31" s="199" t="str">
        <f>Datos!D$4</f>
        <v>Compresora</v>
      </c>
      <c r="C31" s="31" t="s">
        <v>567</v>
      </c>
      <c r="D31" s="199" t="str">
        <f>Datos!$B$44</f>
        <v>Km recorridos: vehículos livianos (camionetas)</v>
      </c>
      <c r="E31" s="199" t="str">
        <f>Datos!$C$44</f>
        <v>km</v>
      </c>
      <c r="F31" s="31" t="s">
        <v>538</v>
      </c>
      <c r="G31" s="246">
        <f>IF(ISNUMBER(Datos!D44),Datos!D44,"")</f>
        <v>17109</v>
      </c>
      <c r="H3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2" spans="1:8" ht="12.75" customHeight="1" x14ac:dyDescent="0.3">
      <c r="A32" s="245">
        <f>Datos!$D$3</f>
        <v>46235</v>
      </c>
      <c r="B32" s="199" t="str">
        <f>Datos!D$4</f>
        <v>Compresora</v>
      </c>
      <c r="C32" s="31" t="s">
        <v>568</v>
      </c>
      <c r="D32" s="199" t="str">
        <f>Datos!$B$45</f>
        <v>Km recorridos: vehículos pesados (camiones)</v>
      </c>
      <c r="E32" s="199" t="str">
        <f>Datos!$C$45</f>
        <v>km</v>
      </c>
      <c r="F32" s="31" t="s">
        <v>538</v>
      </c>
      <c r="G32" s="246">
        <f>IF(ISNUMBER(Datos!D45),Datos!D45,"")</f>
        <v>25000</v>
      </c>
      <c r="H3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3" spans="1:8" ht="12.75" customHeight="1" x14ac:dyDescent="0.3">
      <c r="A33" s="245">
        <f>Datos!$D$3</f>
        <v>46235</v>
      </c>
      <c r="B33" s="199" t="str">
        <f>Datos!D$4</f>
        <v>Compresora</v>
      </c>
      <c r="C33" s="31" t="s">
        <v>569</v>
      </c>
      <c r="D33" s="199" t="str">
        <f>Datos!$B$46</f>
        <v>Km recorridos: vehículos de transporte de personal (combis)</v>
      </c>
      <c r="E33" s="199" t="str">
        <f>Datos!$C$46</f>
        <v>km</v>
      </c>
      <c r="F33" s="31" t="s">
        <v>538</v>
      </c>
      <c r="G33" s="246">
        <f>IF(ISNUMBER(Datos!D46),Datos!D46,"")</f>
        <v>13948</v>
      </c>
      <c r="H3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4" spans="1:8" ht="12.75" customHeight="1" x14ac:dyDescent="0.3">
      <c r="A34" s="245">
        <f>Datos!$D$3</f>
        <v>46235</v>
      </c>
      <c r="B34" s="199" t="str">
        <f>Datos!D$4</f>
        <v>Compresora</v>
      </c>
      <c r="C34" s="31" t="s">
        <v>570</v>
      </c>
      <c r="D34" s="199" t="str">
        <f>Datos!$B$47</f>
        <v>Km recorridos: TOTAL</v>
      </c>
      <c r="E34" s="199" t="str">
        <f>Datos!$C$47</f>
        <v>km</v>
      </c>
      <c r="F34" s="31" t="s">
        <v>541</v>
      </c>
      <c r="G34" s="246">
        <f>IF(ISNUMBER(Datos!D47),Datos!D47,"")</f>
        <v>56057</v>
      </c>
      <c r="H3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5" spans="1:8" ht="12.75" customHeight="1" x14ac:dyDescent="0.3">
      <c r="A35" s="245">
        <f>Datos!$D$3</f>
        <v>46235</v>
      </c>
      <c r="B35" s="199" t="str">
        <f>Datos!D$4</f>
        <v>Compresora</v>
      </c>
      <c r="C35" s="31" t="s">
        <v>571</v>
      </c>
      <c r="D35" s="199" t="str">
        <f>Datos!$B$67</f>
        <v>Hallazgos (desvíos) cerrados en el mes</v>
      </c>
      <c r="E35" s="199" t="str">
        <f>Datos!$C$67</f>
        <v>u</v>
      </c>
      <c r="F35" s="31" t="s">
        <v>572</v>
      </c>
      <c r="G35" s="246">
        <f>IF(ISNUMBER(Datos!D67),Datos!D67,"")</f>
        <v>26</v>
      </c>
      <c r="H3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6" spans="1:8" ht="12.75" customHeight="1" x14ac:dyDescent="0.3">
      <c r="A36" s="245">
        <f>Datos!$D$3</f>
        <v>46235</v>
      </c>
      <c r="B36" s="199" t="str">
        <f>Datos!D$4</f>
        <v>Compresora</v>
      </c>
      <c r="C36" s="31" t="s">
        <v>573</v>
      </c>
      <c r="D36" s="199" t="str">
        <f>Datos!$B$68</f>
        <v>Días que llevaron esos hallazgos (suma)</v>
      </c>
      <c r="E36" s="199" t="str">
        <f>Datos!$C$68</f>
        <v>días</v>
      </c>
      <c r="F36" s="31" t="s">
        <v>572</v>
      </c>
      <c r="G36" s="246">
        <f>IF(ISNUMBER(Datos!D68),Datos!D68,"")</f>
        <v>35</v>
      </c>
      <c r="H3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7" spans="1:8" ht="12.75" customHeight="1" x14ac:dyDescent="0.3">
      <c r="A37" s="245">
        <f>Datos!$D$3</f>
        <v>46235</v>
      </c>
      <c r="B37" s="199" t="str">
        <f>Datos!D$4</f>
        <v>Compresora</v>
      </c>
      <c r="C37" s="31" t="s">
        <v>574</v>
      </c>
      <c r="D37" s="199" t="str">
        <f>Datos!$B$69</f>
        <v>Hallazgos (desvíos) abiertos a fin de mes</v>
      </c>
      <c r="E37" s="199" t="str">
        <f>Datos!$C$69</f>
        <v>u</v>
      </c>
      <c r="F37" s="31" t="s">
        <v>572</v>
      </c>
      <c r="G37" s="246">
        <f>IF(ISNUMBER(Datos!D69),Datos!D69,"")</f>
        <v>6</v>
      </c>
      <c r="H3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8" spans="1:8" ht="12.75" customHeight="1" x14ac:dyDescent="0.3">
      <c r="A38" s="245">
        <f>Datos!$D$3</f>
        <v>46235</v>
      </c>
      <c r="B38" s="199" t="str">
        <f>Datos!D$4</f>
        <v>Compresora</v>
      </c>
      <c r="C38" s="31" t="s">
        <v>575</v>
      </c>
      <c r="D38" s="199" t="str">
        <f>Datos!$B$70</f>
        <v>Hallazgos (desvíos) detectados en el mes</v>
      </c>
      <c r="E38" s="199" t="str">
        <f>Datos!$C$70</f>
        <v>u</v>
      </c>
      <c r="F38" s="31" t="s">
        <v>572</v>
      </c>
      <c r="G38" s="246">
        <f>IF(ISNUMBER(Datos!D70),Datos!D70,"")</f>
        <v>32</v>
      </c>
      <c r="H3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9" spans="1:8" ht="12.75" customHeight="1" x14ac:dyDescent="0.3">
      <c r="A39" s="245">
        <f>Datos!$D$3</f>
        <v>46235</v>
      </c>
      <c r="B39" s="199" t="str">
        <f>Datos!D$4</f>
        <v>Compresora</v>
      </c>
      <c r="C39" s="31" t="s">
        <v>576</v>
      </c>
      <c r="D39" s="199" t="str">
        <f>Datos!$B$71</f>
        <v>Desvíos detectados en el mes · gravedad Alta</v>
      </c>
      <c r="E39" s="199" t="str">
        <f>Datos!$C$71</f>
        <v>u</v>
      </c>
      <c r="F39" s="31" t="s">
        <v>572</v>
      </c>
      <c r="G39" s="246">
        <f>IF(ISNUMBER(Datos!D71),Datos!D71,"")</f>
        <v>0</v>
      </c>
      <c r="H3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0" spans="1:8" ht="12.75" customHeight="1" x14ac:dyDescent="0.3">
      <c r="A40" s="245">
        <f>Datos!$D$3</f>
        <v>46235</v>
      </c>
      <c r="B40" s="199" t="str">
        <f>Datos!D$4</f>
        <v>Compresora</v>
      </c>
      <c r="C40" s="31" t="s">
        <v>577</v>
      </c>
      <c r="D40" s="199" t="str">
        <f>Datos!$B$72</f>
        <v>Desvíos detectados en el mes · gravedad Media</v>
      </c>
      <c r="E40" s="199" t="str">
        <f>Datos!$C$72</f>
        <v>u</v>
      </c>
      <c r="F40" s="31" t="s">
        <v>572</v>
      </c>
      <c r="G40" s="246">
        <f>IF(ISNUMBER(Datos!D72),Datos!D72,"")</f>
        <v>0</v>
      </c>
      <c r="H4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1" spans="1:8" ht="12.75" customHeight="1" x14ac:dyDescent="0.3">
      <c r="A41" s="245">
        <f>Datos!$D$3</f>
        <v>46235</v>
      </c>
      <c r="B41" s="199" t="str">
        <f>Datos!D$4</f>
        <v>Compresora</v>
      </c>
      <c r="C41" s="31" t="s">
        <v>578</v>
      </c>
      <c r="D41" s="199" t="str">
        <f>Datos!$B$73</f>
        <v>Desvíos detectados en el mes · gravedad Baja</v>
      </c>
      <c r="E41" s="199" t="str">
        <f>Datos!$C$73</f>
        <v>u</v>
      </c>
      <c r="F41" s="31" t="s">
        <v>572</v>
      </c>
      <c r="G41" s="246">
        <f>IF(ISNUMBER(Datos!D73),Datos!D73,"")</f>
        <v>0</v>
      </c>
      <c r="H4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2" spans="1:8" ht="12.75" customHeight="1" x14ac:dyDescent="0.3">
      <c r="A42" s="245">
        <f>Datos!$D$3</f>
        <v>46235</v>
      </c>
      <c r="B42" s="199" t="str">
        <f>Datos!D$4</f>
        <v>Compresora</v>
      </c>
      <c r="C42" s="31" t="s">
        <v>579</v>
      </c>
      <c r="D42" s="199" t="str">
        <f>Datos!$B$74</f>
        <v>Desvíos detectados en el mes · sin gravedad cargada</v>
      </c>
      <c r="E42" s="199" t="str">
        <f>Datos!$C$74</f>
        <v>u</v>
      </c>
      <c r="F42" s="31" t="s">
        <v>572</v>
      </c>
      <c r="G42" s="246">
        <f>IF(ISNUMBER(Datos!D74),Datos!D74,"")</f>
        <v>32</v>
      </c>
      <c r="H4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3" spans="1:8" ht="12.75" customHeight="1" x14ac:dyDescent="0.3">
      <c r="A43" s="245">
        <f>Datos!$D$3</f>
        <v>46235</v>
      </c>
      <c r="B43" s="199" t="str">
        <f>Datos!D$4</f>
        <v>Compresora</v>
      </c>
      <c r="C43" s="31" t="s">
        <v>580</v>
      </c>
      <c r="D43" s="199" t="str">
        <f>Datos!$B$75</f>
        <v>Detenciones de tareas aplicadas en el mes (Política = Sí)</v>
      </c>
      <c r="E43" s="199" t="str">
        <f>Datos!$C$75</f>
        <v>u</v>
      </c>
      <c r="F43" s="31" t="s">
        <v>572</v>
      </c>
      <c r="G43" s="246">
        <f>IF(ISNUMBER(Datos!D75),Datos!D75,"")</f>
        <v>0</v>
      </c>
      <c r="H4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4" spans="1:8" ht="12.75" customHeight="1" x14ac:dyDescent="0.3">
      <c r="A44" s="245">
        <f>Datos!$D$3</f>
        <v>46235</v>
      </c>
      <c r="B44" s="199" t="str">
        <f>Datos!D$4</f>
        <v>Compresora</v>
      </c>
      <c r="C44" s="31" t="s">
        <v>581</v>
      </c>
      <c r="D44" s="199" t="str">
        <f>Datos!$B$76</f>
        <v>Desvíos de gravedad Alta abiertos a fin de mes</v>
      </c>
      <c r="E44" s="199" t="str">
        <f>Datos!$C$76</f>
        <v>u</v>
      </c>
      <c r="F44" s="31" t="s">
        <v>572</v>
      </c>
      <c r="G44" s="246">
        <f>IF(ISNUMBER(Datos!D76),Datos!D76,"")</f>
        <v>0</v>
      </c>
      <c r="H4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5" spans="1:8" ht="12.75" customHeight="1" x14ac:dyDescent="0.3">
      <c r="A45" s="245">
        <f>Datos!$E$3</f>
        <v>46266</v>
      </c>
      <c r="B45" s="199" t="str">
        <f>Datos!E$4</f>
        <v>Compresora</v>
      </c>
      <c r="C45" s="31" t="s">
        <v>537</v>
      </c>
      <c r="D45" s="199" t="str">
        <f>Datos!$B$9</f>
        <v>Dotación promedio: Personal OPS</v>
      </c>
      <c r="E45" s="199" t="str">
        <f>Datos!$C$9</f>
        <v>pers</v>
      </c>
      <c r="F45" s="31" t="s">
        <v>538</v>
      </c>
      <c r="G45" s="246">
        <f>IF(ISNUMBER(Datos!E9),Datos!E9,"")</f>
        <v>112</v>
      </c>
      <c r="H4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6" spans="1:8" ht="12.75" customHeight="1" x14ac:dyDescent="0.3">
      <c r="A46" s="245">
        <f>Datos!$E$3</f>
        <v>46266</v>
      </c>
      <c r="B46" s="199" t="str">
        <f>Datos!E$4</f>
        <v>Compresora</v>
      </c>
      <c r="C46" s="31" t="s">
        <v>539</v>
      </c>
      <c r="D46" s="199" t="str">
        <f>Datos!$B$10</f>
        <v>Dotación promedio: Personal SMP(IEBC, PAE e YPF) </v>
      </c>
      <c r="E46" s="199" t="str">
        <f>Datos!$C$10</f>
        <v>pers</v>
      </c>
      <c r="F46" s="31" t="s">
        <v>538</v>
      </c>
      <c r="G46" s="246">
        <f>IF(ISNUMBER(Datos!E10),Datos!E10,"")</f>
        <v>11</v>
      </c>
      <c r="H4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7" spans="1:8" ht="12.75" customHeight="1" x14ac:dyDescent="0.3">
      <c r="A47" s="245">
        <f>Datos!$E$3</f>
        <v>46266</v>
      </c>
      <c r="B47" s="199" t="str">
        <f>Datos!E$4</f>
        <v>Compresora</v>
      </c>
      <c r="C47" s="31" t="s">
        <v>540</v>
      </c>
      <c r="D47" s="199" t="str">
        <f>Datos!$B$11</f>
        <v>Dotación promedio: TOTAL</v>
      </c>
      <c r="E47" s="199" t="str">
        <f>Datos!$C$11</f>
        <v>pers</v>
      </c>
      <c r="F47" s="31" t="s">
        <v>541</v>
      </c>
      <c r="G47" s="246">
        <f>IF(ISNUMBER(Datos!E11),Datos!E11,"")</f>
        <v>123</v>
      </c>
      <c r="H4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8" spans="1:8" ht="12.75" customHeight="1" x14ac:dyDescent="0.3">
      <c r="A48" s="245">
        <f>Datos!$E$3</f>
        <v>46266</v>
      </c>
      <c r="B48" s="199" t="str">
        <f>Datos!E$4</f>
        <v>Compresora</v>
      </c>
      <c r="C48" s="31" t="s">
        <v>542</v>
      </c>
      <c r="D48" s="199" t="str">
        <f>Datos!$B$12</f>
        <v>Horas hombre trabajadas: Personal OPS</v>
      </c>
      <c r="E48" s="199" t="str">
        <f>Datos!$C$12</f>
        <v>h</v>
      </c>
      <c r="F48" s="31" t="s">
        <v>538</v>
      </c>
      <c r="G48" s="246">
        <f>IF(ISNUMBER(Datos!E12),Datos!E12,"")</f>
        <v>23166</v>
      </c>
      <c r="H4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9" spans="1:8" ht="12.75" customHeight="1" x14ac:dyDescent="0.3">
      <c r="A49" s="245">
        <f>Datos!$E$3</f>
        <v>46266</v>
      </c>
      <c r="B49" s="199" t="str">
        <f>Datos!E$4</f>
        <v>Compresora</v>
      </c>
      <c r="C49" s="31" t="s">
        <v>543</v>
      </c>
      <c r="D49" s="199" t="str">
        <f>Datos!$B$13</f>
        <v>Horas hombre trabajadas: Personal SMP(IEBC, PAE e YPF) en campo</v>
      </c>
      <c r="E49" s="199" t="str">
        <f>Datos!$C$13</f>
        <v>h</v>
      </c>
      <c r="F49" s="31" t="s">
        <v>538</v>
      </c>
      <c r="G49" s="246">
        <f>IF(ISNUMBER(Datos!E13),Datos!E13,"")</f>
        <v>2178</v>
      </c>
      <c r="H4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0" spans="1:8" ht="12.75" customHeight="1" x14ac:dyDescent="0.3">
      <c r="A50" s="245">
        <f>Datos!$E$3</f>
        <v>46266</v>
      </c>
      <c r="B50" s="199" t="str">
        <f>Datos!E$4</f>
        <v>Compresora</v>
      </c>
      <c r="C50" s="31" t="s">
        <v>544</v>
      </c>
      <c r="D50" s="199" t="str">
        <f>Datos!$B$14</f>
        <v>Horas hombre trabajadas: TOTAL</v>
      </c>
      <c r="E50" s="199" t="str">
        <f>Datos!$C$14</f>
        <v>h</v>
      </c>
      <c r="F50" s="31" t="s">
        <v>541</v>
      </c>
      <c r="G50" s="246">
        <f>IF(ISNUMBER(Datos!E14),Datos!E14,"")</f>
        <v>25344</v>
      </c>
      <c r="H5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1" spans="1:8" ht="12.75" customHeight="1" x14ac:dyDescent="0.3">
      <c r="A51" s="245">
        <f>Datos!$E$3</f>
        <v>46266</v>
      </c>
      <c r="B51" s="199" t="str">
        <f>Datos!E$4</f>
        <v>Compresora</v>
      </c>
      <c r="C51" s="31" t="s">
        <v>545</v>
      </c>
      <c r="D51" s="199" t="str">
        <f>Datos!$B$16</f>
        <v>Horas hombre de formación en seguridad: Personal OPS</v>
      </c>
      <c r="E51" s="199" t="str">
        <f>Datos!$C$16</f>
        <v>h</v>
      </c>
      <c r="F51" s="31" t="s">
        <v>538</v>
      </c>
      <c r="G51" s="246">
        <f>IF(ISNUMBER(Datos!E16),Datos!E16,"")</f>
        <v>781</v>
      </c>
      <c r="H5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2" spans="1:8" ht="12.75" customHeight="1" x14ac:dyDescent="0.3">
      <c r="A52" s="245">
        <f>Datos!$E$3</f>
        <v>46266</v>
      </c>
      <c r="B52" s="199" t="str">
        <f>Datos!E$4</f>
        <v>Compresora</v>
      </c>
      <c r="C52" s="31" t="s">
        <v>546</v>
      </c>
      <c r="D52" s="199" t="str">
        <f>Datos!$B$17</f>
        <v>Horas hombre de formación en seguridad: Personal SMP(IEBC, PAE e YPF) </v>
      </c>
      <c r="E52" s="199" t="str">
        <f>Datos!$C$17</f>
        <v>h</v>
      </c>
      <c r="F52" s="31" t="s">
        <v>538</v>
      </c>
      <c r="G52" s="246">
        <f>IF(ISNUMBER(Datos!E17),Datos!E17,"")</f>
        <v>110</v>
      </c>
      <c r="H5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3" spans="1:8" ht="12.75" customHeight="1" x14ac:dyDescent="0.3">
      <c r="A53" s="245">
        <f>Datos!$E$3</f>
        <v>46266</v>
      </c>
      <c r="B53" s="199" t="str">
        <f>Datos!E$4</f>
        <v>Compresora</v>
      </c>
      <c r="C53" s="31" t="s">
        <v>547</v>
      </c>
      <c r="D53" s="199" t="str">
        <f>Datos!$B$18</f>
        <v>Horas hombre de formación en seguridad: TOTAL</v>
      </c>
      <c r="E53" s="199" t="str">
        <f>Datos!$C$18</f>
        <v>h</v>
      </c>
      <c r="F53" s="31" t="s">
        <v>541</v>
      </c>
      <c r="G53" s="246">
        <f>IF(ISNUMBER(Datos!E18),Datos!E18,"")</f>
        <v>891</v>
      </c>
      <c r="H5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4" spans="1:8" ht="12.75" customHeight="1" x14ac:dyDescent="0.3">
      <c r="A54" s="245">
        <f>Datos!$E$3</f>
        <v>46266</v>
      </c>
      <c r="B54" s="199" t="str">
        <f>Datos!E$4</f>
        <v>Compresora</v>
      </c>
      <c r="C54" s="31" t="s">
        <v>548</v>
      </c>
      <c r="D54" s="199" t="str">
        <f>Datos!$B$20</f>
        <v>SIMULACROS · Realizados (emergencia y operativos)</v>
      </c>
      <c r="E54" s="199" t="str">
        <f>Datos!$C$20</f>
        <v>u</v>
      </c>
      <c r="F54" s="31" t="s">
        <v>538</v>
      </c>
      <c r="G54" s="246">
        <f>IF(ISNUMBER(Datos!E20),Datos!E20,"")</f>
        <v>2</v>
      </c>
      <c r="H5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5" spans="1:8" ht="12.75" customHeight="1" x14ac:dyDescent="0.3">
      <c r="A55" s="245">
        <f>Datos!$E$3</f>
        <v>46266</v>
      </c>
      <c r="B55" s="199" t="str">
        <f>Datos!E$4</f>
        <v>Compresora</v>
      </c>
      <c r="C55" s="31" t="s">
        <v>549</v>
      </c>
      <c r="D55" s="199" t="str">
        <f>Datos!$B$21</f>
        <v>SIMULACROS · Programados (emergencia y operativos)</v>
      </c>
      <c r="E55" s="199" t="str">
        <f>Datos!$C$21</f>
        <v>u</v>
      </c>
      <c r="F55" s="31" t="s">
        <v>538</v>
      </c>
      <c r="G55" s="246">
        <f>IF(ISNUMBER(Datos!E21),Datos!E21,"")</f>
        <v>2</v>
      </c>
      <c r="H5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6" spans="1:8" ht="12.75" customHeight="1" x14ac:dyDescent="0.3">
      <c r="A56" s="245">
        <f>Datos!$E$3</f>
        <v>46266</v>
      </c>
      <c r="B56" s="199" t="str">
        <f>Datos!E$4</f>
        <v>Compresora</v>
      </c>
      <c r="C56" s="31" t="s">
        <v>550</v>
      </c>
      <c r="D56" s="199" t="str">
        <f>Datos!$B$22</f>
        <v>SIMULACROS · Acciones de mejora surgidas de los simulacros (en el mes informado)</v>
      </c>
      <c r="E56" s="199" t="str">
        <f>Datos!$C$22</f>
        <v>u</v>
      </c>
      <c r="F56" s="31" t="s">
        <v>538</v>
      </c>
      <c r="G56" s="246">
        <f>IF(ISNUMBER(Datos!E22),Datos!E22,"")</f>
        <v>1</v>
      </c>
      <c r="H5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7" spans="1:8" ht="12.75" customHeight="1" x14ac:dyDescent="0.3">
      <c r="A57" s="245">
        <f>Datos!$E$3</f>
        <v>46266</v>
      </c>
      <c r="B57" s="199" t="str">
        <f>Datos!E$4</f>
        <v>Compresora</v>
      </c>
      <c r="C57" s="31" t="s">
        <v>551</v>
      </c>
      <c r="D57" s="199" t="str">
        <f>Datos!$B$23</f>
        <v>SIMULACROS · Acciones de mejora implementadas surgidas de los simulacros (ICME) (en el mes informado)</v>
      </c>
      <c r="E57" s="199" t="str">
        <f>Datos!$C$23</f>
        <v>u</v>
      </c>
      <c r="F57" s="31" t="s">
        <v>538</v>
      </c>
      <c r="G57" s="246">
        <f>IF(ISNUMBER(Datos!E23),Datos!E23,"")</f>
        <v>1</v>
      </c>
      <c r="H5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8" spans="1:8" ht="12.75" customHeight="1" x14ac:dyDescent="0.3">
      <c r="A58" s="245">
        <f>Datos!$E$3</f>
        <v>46266</v>
      </c>
      <c r="B58" s="199" t="str">
        <f>Datos!E$4</f>
        <v>Compresora</v>
      </c>
      <c r="C58" s="31" t="s">
        <v>552</v>
      </c>
      <c r="D58" s="199" t="str">
        <f>Datos!$B$24</f>
        <v>Caminatas gerenciales realizadas</v>
      </c>
      <c r="E58" s="199" t="str">
        <f>Datos!$C$24</f>
        <v>u</v>
      </c>
      <c r="F58" s="31" t="s">
        <v>538</v>
      </c>
      <c r="G58" s="246">
        <f>IF(ISNUMBER(Datos!E24),Datos!E24,"")</f>
        <v>3</v>
      </c>
      <c r="H5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9" spans="1:8" ht="12.75" customHeight="1" x14ac:dyDescent="0.3">
      <c r="A59" s="245">
        <f>Datos!$E$3</f>
        <v>46266</v>
      </c>
      <c r="B59" s="199" t="str">
        <f>Datos!E$4</f>
        <v>Compresora</v>
      </c>
      <c r="C59" s="31" t="s">
        <v>553</v>
      </c>
      <c r="D59" s="199" t="str">
        <f>Datos!$B$25</f>
        <v>Caminatas gerenciales planificadas</v>
      </c>
      <c r="E59" s="199" t="str">
        <f>Datos!$C$25</f>
        <v>u</v>
      </c>
      <c r="F59" s="31" t="s">
        <v>538</v>
      </c>
      <c r="G59" s="246">
        <f>IF(ISNUMBER(Datos!E25),Datos!E25,"")</f>
        <v>3</v>
      </c>
      <c r="H5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0" spans="1:8" ht="12.75" customHeight="1" x14ac:dyDescent="0.3">
      <c r="A60" s="245">
        <f>Datos!$E$3</f>
        <v>46266</v>
      </c>
      <c r="B60" s="199" t="str">
        <f>Datos!E$4</f>
        <v>Compresora</v>
      </c>
      <c r="C60" s="31" t="s">
        <v>554</v>
      </c>
      <c r="D60" s="199" t="str">
        <f>Datos!$B$26</f>
        <v>Comités y subcomités de seguridad realizados</v>
      </c>
      <c r="E60" s="199" t="str">
        <f>Datos!$C$26</f>
        <v>u</v>
      </c>
      <c r="F60" s="31" t="s">
        <v>538</v>
      </c>
      <c r="G60" s="246">
        <f>IF(ISNUMBER(Datos!E26),Datos!E26,"")</f>
        <v>1</v>
      </c>
      <c r="H6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1" spans="1:8" ht="12.75" customHeight="1" x14ac:dyDescent="0.3">
      <c r="A61" s="245">
        <f>Datos!$E$3</f>
        <v>46266</v>
      </c>
      <c r="B61" s="199" t="str">
        <f>Datos!E$4</f>
        <v>Compresora</v>
      </c>
      <c r="C61" s="31" t="s">
        <v>555</v>
      </c>
      <c r="D61" s="199" t="str">
        <f>Datos!$B$27</f>
        <v>Comités y subcomités de seguridad planificados</v>
      </c>
      <c r="E61" s="199" t="str">
        <f>Datos!$C$27</f>
        <v>u</v>
      </c>
      <c r="F61" s="31" t="s">
        <v>538</v>
      </c>
      <c r="G61" s="246">
        <f>IF(ISNUMBER(Datos!E27),Datos!E27,"")</f>
        <v>1</v>
      </c>
      <c r="H6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2" spans="1:8" ht="12.75" customHeight="1" x14ac:dyDescent="0.3">
      <c r="A62" s="245">
        <f>Datos!$E$3</f>
        <v>46266</v>
      </c>
      <c r="B62" s="199" t="str">
        <f>Datos!E$4</f>
        <v>Compresora</v>
      </c>
      <c r="C62" s="31" t="s">
        <v>556</v>
      </c>
      <c r="D62" s="31" t="inlineStr">
        <is>
          <t>Observaciones de comportamiento seguro: total del mes (OPS + SMP)</t>
        </is>
      </c>
      <c r="E62" s="199" t="str">
        <f>Datos!$C$28</f>
        <v>u</v>
      </c>
      <c r="F62" s="31" t="s">
        <v>538</v>
      </c>
      <c r="G62" s="246">
        <f>IF(COUNT(Datos!E28:E29)=0,"",SUM(Datos!E28:E29))</f>
        <v>177</v>
      </c>
      <c r="H6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3" spans="1:8" ht="12.75" customHeight="1" x14ac:dyDescent="0.3">
      <c r="A63" s="245">
        <f>Datos!$E$3</f>
        <v>46266</v>
      </c>
      <c r="B63" s="199" t="str">
        <f>Datos!E$4</f>
        <v>Compresora</v>
      </c>
      <c r="C63" s="31" t="s">
        <v>557</v>
      </c>
      <c r="D63" s="199" t="str">
        <f>Datos!$B$30</f>
        <v>Investigaciones de accidentes cerradas en el mes</v>
      </c>
      <c r="E63" s="199" t="str">
        <f>Datos!$C$30</f>
        <v>u</v>
      </c>
      <c r="F63" s="31" t="s">
        <v>538</v>
      </c>
      <c r="G63" s="246">
        <f>IF(ISNUMBER(Datos!E30),Datos!E30,"")</f>
        <v>0</v>
      </c>
      <c r="H6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4" spans="1:8" ht="12.75" customHeight="1" x14ac:dyDescent="0.3">
      <c r="A64" s="245">
        <f>Datos!$E$3</f>
        <v>46266</v>
      </c>
      <c r="B64" s="199" t="str">
        <f>Datos!E$4</f>
        <v>Compresora</v>
      </c>
      <c r="C64" s="31" t="s">
        <v>558</v>
      </c>
      <c r="D64" s="199" t="str">
        <f>Datos!$B$31</f>
        <v>Días que llevaron esas investigaciones (suma)</v>
      </c>
      <c r="E64" s="199" t="str">
        <f>Datos!$C$31</f>
        <v>días</v>
      </c>
      <c r="F64" s="31" t="s">
        <v>538</v>
      </c>
      <c r="G64" s="246">
        <f>IF(ISNUMBER(Datos!E31),Datos!E31,"")</f>
        <v>0</v>
      </c>
      <c r="H6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5" spans="1:8" ht="12.75" customHeight="1" x14ac:dyDescent="0.3">
      <c r="A65" s="245">
        <f>Datos!$E$3</f>
        <v>46266</v>
      </c>
      <c r="B65" s="199" t="str">
        <f>Datos!E$4</f>
        <v>Compresora</v>
      </c>
      <c r="C65" s="31" t="s">
        <v>559</v>
      </c>
      <c r="D65" s="199" t="str">
        <f>Datos!$B$33</f>
        <v>Casos con días perdidos</v>
      </c>
      <c r="E65" s="199" t="str">
        <f>Datos!$C$33</f>
        <v>u</v>
      </c>
      <c r="F65" s="31" t="s">
        <v>538</v>
      </c>
      <c r="G65" s="246">
        <f>IF(ISNUMBER(Datos!E33),Datos!E33,"")</f>
        <v>0</v>
      </c>
      <c r="H6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6" spans="1:8" ht="12.75" customHeight="1" x14ac:dyDescent="0.3">
      <c r="A66" s="245">
        <f>Datos!$E$3</f>
        <v>46266</v>
      </c>
      <c r="B66" s="199" t="str">
        <f>Datos!E$4</f>
        <v>Compresora</v>
      </c>
      <c r="C66" s="31" t="s">
        <v>560</v>
      </c>
      <c r="D66" s="199" t="str">
        <f>Datos!$B$34</f>
        <v>Casos con trabajo restringido</v>
      </c>
      <c r="E66" s="199" t="str">
        <f>Datos!$C$34</f>
        <v>u</v>
      </c>
      <c r="F66" s="31" t="s">
        <v>538</v>
      </c>
      <c r="G66" s="246">
        <f>IF(ISNUMBER(Datos!E34),Datos!E34,"")</f>
        <v>0</v>
      </c>
      <c r="H6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7" spans="1:8" ht="12.75" customHeight="1" x14ac:dyDescent="0.3">
      <c r="A67" s="245">
        <f>Datos!$E$3</f>
        <v>46266</v>
      </c>
      <c r="B67" s="199" t="str">
        <f>Datos!E$4</f>
        <v>Compresora</v>
      </c>
      <c r="C67" s="31" t="s">
        <v>561</v>
      </c>
      <c r="D67" s="199" t="str">
        <f>Datos!$B$35</f>
        <v>Casos con tratamiento médico</v>
      </c>
      <c r="E67" s="199" t="str">
        <f>Datos!$C$35</f>
        <v>u</v>
      </c>
      <c r="F67" s="31" t="s">
        <v>538</v>
      </c>
      <c r="G67" s="246">
        <f>IF(ISNUMBER(Datos!E35),Datos!E35,"")</f>
        <v>0</v>
      </c>
      <c r="H6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8" spans="1:8" ht="12.75" customHeight="1" x14ac:dyDescent="0.3">
      <c r="A68" s="245">
        <f>Datos!$E$3</f>
        <v>46266</v>
      </c>
      <c r="B68" s="199" t="str">
        <f>Datos!E$4</f>
        <v>Compresora</v>
      </c>
      <c r="C68" s="31" t="s">
        <v>562</v>
      </c>
      <c r="D68" s="199" t="str">
        <f>Datos!$B$36</f>
        <v>Fatalidades</v>
      </c>
      <c r="E68" s="199" t="str">
        <f>Datos!$C$36</f>
        <v>u</v>
      </c>
      <c r="F68" s="31" t="s">
        <v>538</v>
      </c>
      <c r="G68" s="246">
        <f>IF(ISNUMBER(Datos!E36),Datos!E36,"")</f>
        <v>0</v>
      </c>
      <c r="H6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9" spans="1:8" ht="12.75" customHeight="1" x14ac:dyDescent="0.3">
      <c r="A69" s="245">
        <f>Datos!$E$3</f>
        <v>46266</v>
      </c>
      <c r="B69" s="199" t="str">
        <f>Datos!E$4</f>
        <v>Compresora</v>
      </c>
      <c r="C69" s="31" t="s">
        <v>51</v>
      </c>
      <c r="D69" s="199" t="str">
        <f>Datos!$B$37</f>
        <v>Casos de primeros auxilios</v>
      </c>
      <c r="E69" s="199" t="str">
        <f>Datos!$C$37</f>
        <v>u</v>
      </c>
      <c r="F69" s="31" t="s">
        <v>538</v>
      </c>
      <c r="G69" s="246">
        <f>IF(ISNUMBER(Datos!E37),Datos!E37,"")</f>
        <v>0</v>
      </c>
      <c r="H6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0" spans="1:8" ht="12.75" customHeight="1" x14ac:dyDescent="0.3">
      <c r="A70" s="245">
        <f>Datos!$E$3</f>
        <v>46266</v>
      </c>
      <c r="B70" s="199" t="str">
        <f>Datos!E$4</f>
        <v>Compresora</v>
      </c>
      <c r="C70" s="31" t="s">
        <v>563</v>
      </c>
      <c r="D70" s="199" t="str">
        <f>Datos!$B$39</f>
        <v>CVM catastróficas</v>
      </c>
      <c r="E70" s="199" t="str">
        <f>Datos!$C$39</f>
        <v>u</v>
      </c>
      <c r="F70" s="31" t="s">
        <v>538</v>
      </c>
      <c r="G70" s="246">
        <f>IF(ISNUMBER(Datos!E39),Datos!E39,"")</f>
        <v>0</v>
      </c>
      <c r="H7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1" spans="1:8" ht="12.75" customHeight="1" x14ac:dyDescent="0.3">
      <c r="A71" s="245">
        <f>Datos!$E$3</f>
        <v>46266</v>
      </c>
      <c r="B71" s="199" t="str">
        <f>Datos!E$4</f>
        <v>Compresora</v>
      </c>
      <c r="C71" s="31" t="s">
        <v>564</v>
      </c>
      <c r="D71" s="199" t="str">
        <f>Datos!$B$40</f>
        <v>CVM mayores</v>
      </c>
      <c r="E71" s="199" t="str">
        <f>Datos!$C$40</f>
        <v>u</v>
      </c>
      <c r="F71" s="31" t="s">
        <v>538</v>
      </c>
      <c r="G71" s="246">
        <f>IF(ISNUMBER(Datos!E40),Datos!E40,"")</f>
        <v>0</v>
      </c>
      <c r="H7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2" spans="1:8" ht="12.75" customHeight="1" x14ac:dyDescent="0.3">
      <c r="A72" s="245">
        <f>Datos!$E$3</f>
        <v>46266</v>
      </c>
      <c r="B72" s="199" t="str">
        <f>Datos!E$4</f>
        <v>Compresora</v>
      </c>
      <c r="C72" s="31" t="s">
        <v>565</v>
      </c>
      <c r="D72" s="199" t="str">
        <f>Datos!$B$41</f>
        <v>CVM serias</v>
      </c>
      <c r="E72" s="199" t="str">
        <f>Datos!$C$41</f>
        <v>u</v>
      </c>
      <c r="F72" s="31" t="s">
        <v>538</v>
      </c>
      <c r="G72" s="246">
        <f>IF(ISNUMBER(Datos!E41),Datos!E41,"")</f>
        <v>0</v>
      </c>
      <c r="H7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3" spans="1:8" ht="12.75" customHeight="1" x14ac:dyDescent="0.3">
      <c r="A73" s="245">
        <f>Datos!$E$3</f>
        <v>46266</v>
      </c>
      <c r="B73" s="199" t="str">
        <f>Datos!E$4</f>
        <v>Compresora</v>
      </c>
      <c r="C73" s="31" t="s">
        <v>566</v>
      </c>
      <c r="D73" s="199" t="str">
        <f>Datos!$B$42</f>
        <v>CVM otras / menores</v>
      </c>
      <c r="E73" s="199" t="str">
        <f>Datos!$C$42</f>
        <v>u</v>
      </c>
      <c r="F73" s="31" t="s">
        <v>538</v>
      </c>
      <c r="G73" s="246">
        <f>IF(ISNUMBER(Datos!E42),Datos!E42,"")</f>
        <v>0</v>
      </c>
      <c r="H7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4" spans="1:8" ht="12.75" customHeight="1" x14ac:dyDescent="0.3">
      <c r="A74" s="245">
        <f>Datos!$E$3</f>
        <v>46266</v>
      </c>
      <c r="B74" s="199" t="str">
        <f>Datos!E$4</f>
        <v>Compresora</v>
      </c>
      <c r="C74" s="31" t="s">
        <v>567</v>
      </c>
      <c r="D74" s="199" t="str">
        <f>Datos!$B$44</f>
        <v>Km recorridos: vehículos livianos (camionetas)</v>
      </c>
      <c r="E74" s="199" t="str">
        <f>Datos!$C$44</f>
        <v>km</v>
      </c>
      <c r="F74" s="31" t="s">
        <v>538</v>
      </c>
      <c r="G74" s="246">
        <f>IF(ISNUMBER(Datos!E44),Datos!E44,"")</f>
        <v>23003</v>
      </c>
      <c r="H7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5" spans="1:8" ht="12.75" customHeight="1" x14ac:dyDescent="0.3">
      <c r="A75" s="245">
        <f>Datos!$E$3</f>
        <v>46266</v>
      </c>
      <c r="B75" s="199" t="str">
        <f>Datos!E$4</f>
        <v>Compresora</v>
      </c>
      <c r="C75" s="31" t="s">
        <v>568</v>
      </c>
      <c r="D75" s="199" t="str">
        <f>Datos!$B$45</f>
        <v>Km recorridos: vehículos pesados (camiones)</v>
      </c>
      <c r="E75" s="199" t="str">
        <f>Datos!$C$45</f>
        <v>km</v>
      </c>
      <c r="F75" s="31" t="s">
        <v>538</v>
      </c>
      <c r="G75" s="246">
        <f>IF(ISNUMBER(Datos!E45),Datos!E45,"")</f>
        <v>74513</v>
      </c>
      <c r="H7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6" spans="1:8" ht="12.75" customHeight="1" x14ac:dyDescent="0.3">
      <c r="A76" s="245">
        <f>Datos!$E$3</f>
        <v>46266</v>
      </c>
      <c r="B76" s="199" t="str">
        <f>Datos!E$4</f>
        <v>Compresora</v>
      </c>
      <c r="C76" s="31" t="s">
        <v>569</v>
      </c>
      <c r="D76" s="199" t="str">
        <f>Datos!$B$46</f>
        <v>Km recorridos: vehículos de transporte de personal (combis)</v>
      </c>
      <c r="E76" s="199" t="str">
        <f>Datos!$C$46</f>
        <v>km</v>
      </c>
      <c r="F76" s="31" t="s">
        <v>538</v>
      </c>
      <c r="G76" s="246">
        <f>IF(ISNUMBER(Datos!E46),Datos!E46,"")</f>
        <v>19251</v>
      </c>
      <c r="H7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7" spans="1:8" ht="12.75" customHeight="1" x14ac:dyDescent="0.3">
      <c r="A77" s="245">
        <f>Datos!$E$3</f>
        <v>46266</v>
      </c>
      <c r="B77" s="199" t="str">
        <f>Datos!E$4</f>
        <v>Compresora</v>
      </c>
      <c r="C77" s="31" t="s">
        <v>570</v>
      </c>
      <c r="D77" s="199" t="str">
        <f>Datos!$B$47</f>
        <v>Km recorridos: TOTAL</v>
      </c>
      <c r="E77" s="199" t="str">
        <f>Datos!$C$47</f>
        <v>km</v>
      </c>
      <c r="F77" s="31" t="s">
        <v>541</v>
      </c>
      <c r="G77" s="246">
        <f>IF(ISNUMBER(Datos!E47),Datos!E47,"")</f>
        <v>116767</v>
      </c>
      <c r="H7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8" spans="1:8" ht="12.75" customHeight="1" x14ac:dyDescent="0.3">
      <c r="A78" s="245">
        <f>Datos!$E$3</f>
        <v>46266</v>
      </c>
      <c r="B78" s="199" t="str">
        <f>Datos!E$4</f>
        <v>Compresora</v>
      </c>
      <c r="C78" s="31" t="s">
        <v>571</v>
      </c>
      <c r="D78" s="199" t="str">
        <f>Datos!$B$67</f>
        <v>Hallazgos (desvíos) cerrados en el mes</v>
      </c>
      <c r="E78" s="199" t="str">
        <f>Datos!$C$67</f>
        <v>u</v>
      </c>
      <c r="F78" s="31" t="s">
        <v>572</v>
      </c>
      <c r="G78" s="246">
        <f>IF(ISNUMBER(Datos!E67),Datos!E67,"")</f>
        <v>8</v>
      </c>
      <c r="H7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9" spans="1:8" ht="12.75" customHeight="1" x14ac:dyDescent="0.3">
      <c r="A79" s="245">
        <f>Datos!$E$3</f>
        <v>46266</v>
      </c>
      <c r="B79" s="199" t="str">
        <f>Datos!E$4</f>
        <v>Compresora</v>
      </c>
      <c r="C79" s="31" t="s">
        <v>573</v>
      </c>
      <c r="D79" s="199" t="str">
        <f>Datos!$B$68</f>
        <v>Días que llevaron esos hallazgos (suma)</v>
      </c>
      <c r="E79" s="199" t="str">
        <f>Datos!$C$68</f>
        <v>días</v>
      </c>
      <c r="F79" s="31" t="s">
        <v>572</v>
      </c>
      <c r="G79" s="246">
        <f>IF(ISNUMBER(Datos!E68),Datos!E68,"")</f>
        <v>2</v>
      </c>
      <c r="H7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0" spans="1:8" ht="12.75" customHeight="1" x14ac:dyDescent="0.3">
      <c r="A80" s="245">
        <f>Datos!$E$3</f>
        <v>46266</v>
      </c>
      <c r="B80" s="199" t="str">
        <f>Datos!E$4</f>
        <v>Compresora</v>
      </c>
      <c r="C80" s="31" t="s">
        <v>574</v>
      </c>
      <c r="D80" s="199" t="str">
        <f>Datos!$B$69</f>
        <v>Hallazgos (desvíos) abiertos a fin de mes</v>
      </c>
      <c r="E80" s="199" t="str">
        <f>Datos!$C$69</f>
        <v>u</v>
      </c>
      <c r="F80" s="31" t="s">
        <v>572</v>
      </c>
      <c r="G80" s="246">
        <f>IF(ISNUMBER(Datos!E69),Datos!E69,"")</f>
        <v>21</v>
      </c>
      <c r="H8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1" spans="1:8" ht="12.75" customHeight="1" x14ac:dyDescent="0.3">
      <c r="A81" s="245">
        <f>Datos!$E$3</f>
        <v>46266</v>
      </c>
      <c r="B81" s="199" t="str">
        <f>Datos!E$4</f>
        <v>Compresora</v>
      </c>
      <c r="C81" s="31" t="s">
        <v>575</v>
      </c>
      <c r="D81" s="199" t="str">
        <f>Datos!$B$70</f>
        <v>Hallazgos (desvíos) detectados en el mes</v>
      </c>
      <c r="E81" s="199" t="str">
        <f>Datos!$C$70</f>
        <v>u</v>
      </c>
      <c r="F81" s="31" t="s">
        <v>572</v>
      </c>
      <c r="G81" s="246">
        <f>IF(ISNUMBER(Datos!E70),Datos!E70,"")</f>
        <v>29</v>
      </c>
      <c r="H8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2" spans="1:8" ht="12.75" customHeight="1" x14ac:dyDescent="0.3">
      <c r="A82" s="245">
        <f>Datos!$E$3</f>
        <v>46266</v>
      </c>
      <c r="B82" s="199" t="str">
        <f>Datos!E$4</f>
        <v>Compresora</v>
      </c>
      <c r="C82" s="31" t="s">
        <v>576</v>
      </c>
      <c r="D82" s="199" t="str">
        <f>Datos!$B$71</f>
        <v>Desvíos detectados en el mes · gravedad Alta</v>
      </c>
      <c r="E82" s="199" t="str">
        <f>Datos!$C$71</f>
        <v>u</v>
      </c>
      <c r="F82" s="31" t="s">
        <v>572</v>
      </c>
      <c r="G82" s="246">
        <f>IF(ISNUMBER(Datos!E71),Datos!E71,"")</f>
        <v>0</v>
      </c>
      <c r="H8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3" spans="1:8" ht="12.75" customHeight="1" x14ac:dyDescent="0.3">
      <c r="A83" s="245">
        <f>Datos!$E$3</f>
        <v>46266</v>
      </c>
      <c r="B83" s="199" t="str">
        <f>Datos!E$4</f>
        <v>Compresora</v>
      </c>
      <c r="C83" s="31" t="s">
        <v>577</v>
      </c>
      <c r="D83" s="199" t="str">
        <f>Datos!$B$72</f>
        <v>Desvíos detectados en el mes · gravedad Media</v>
      </c>
      <c r="E83" s="199" t="str">
        <f>Datos!$C$72</f>
        <v>u</v>
      </c>
      <c r="F83" s="31" t="s">
        <v>572</v>
      </c>
      <c r="G83" s="246">
        <f>IF(ISNUMBER(Datos!E72),Datos!E72,"")</f>
        <v>0</v>
      </c>
      <c r="H8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4" spans="1:8" ht="12.75" customHeight="1" x14ac:dyDescent="0.3">
      <c r="A84" s="245">
        <f>Datos!$E$3</f>
        <v>46266</v>
      </c>
      <c r="B84" s="199" t="str">
        <f>Datos!E$4</f>
        <v>Compresora</v>
      </c>
      <c r="C84" s="31" t="s">
        <v>578</v>
      </c>
      <c r="D84" s="199" t="str">
        <f>Datos!$B$73</f>
        <v>Desvíos detectados en el mes · gravedad Baja</v>
      </c>
      <c r="E84" s="199" t="str">
        <f>Datos!$C$73</f>
        <v>u</v>
      </c>
      <c r="F84" s="31" t="s">
        <v>572</v>
      </c>
      <c r="G84" s="246">
        <f>IF(ISNUMBER(Datos!E73),Datos!E73,"")</f>
        <v>0</v>
      </c>
      <c r="H8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5" spans="1:8" ht="12.75" customHeight="1" x14ac:dyDescent="0.3">
      <c r="A85" s="245">
        <f>Datos!$E$3</f>
        <v>46266</v>
      </c>
      <c r="B85" s="199" t="str">
        <f>Datos!E$4</f>
        <v>Compresora</v>
      </c>
      <c r="C85" s="31" t="s">
        <v>579</v>
      </c>
      <c r="D85" s="199" t="str">
        <f>Datos!$B$74</f>
        <v>Desvíos detectados en el mes · sin gravedad cargada</v>
      </c>
      <c r="E85" s="199" t="str">
        <f>Datos!$C$74</f>
        <v>u</v>
      </c>
      <c r="F85" s="31" t="s">
        <v>572</v>
      </c>
      <c r="G85" s="246">
        <f>IF(ISNUMBER(Datos!E74),Datos!E74,"")</f>
        <v>29</v>
      </c>
      <c r="H8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6" spans="1:8" ht="12.75" customHeight="1" x14ac:dyDescent="0.3">
      <c r="A86" s="245">
        <f>Datos!$E$3</f>
        <v>46266</v>
      </c>
      <c r="B86" s="199" t="str">
        <f>Datos!E$4</f>
        <v>Compresora</v>
      </c>
      <c r="C86" s="31" t="s">
        <v>580</v>
      </c>
      <c r="D86" s="199" t="str">
        <f>Datos!$B$75</f>
        <v>Detenciones de tareas aplicadas en el mes (Política = Sí)</v>
      </c>
      <c r="E86" s="199" t="str">
        <f>Datos!$C$75</f>
        <v>u</v>
      </c>
      <c r="F86" s="31" t="s">
        <v>572</v>
      </c>
      <c r="G86" s="246">
        <f>IF(ISNUMBER(Datos!E75),Datos!E75,"")</f>
        <v>0</v>
      </c>
      <c r="H8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7" spans="1:8" ht="12.75" customHeight="1" x14ac:dyDescent="0.3">
      <c r="A87" s="245">
        <f>Datos!$E$3</f>
        <v>46266</v>
      </c>
      <c r="B87" s="199" t="str">
        <f>Datos!E$4</f>
        <v>Compresora</v>
      </c>
      <c r="C87" s="31" t="s">
        <v>581</v>
      </c>
      <c r="D87" s="199" t="str">
        <f>Datos!$B$76</f>
        <v>Desvíos de gravedad Alta abiertos a fin de mes</v>
      </c>
      <c r="E87" s="199" t="str">
        <f>Datos!$C$76</f>
        <v>u</v>
      </c>
      <c r="F87" s="31" t="s">
        <v>572</v>
      </c>
      <c r="G87" s="246">
        <f>IF(ISNUMBER(Datos!E76),Datos!E76,"")</f>
        <v>0</v>
      </c>
      <c r="H8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8" spans="1:8" ht="12.75" customHeight="1" x14ac:dyDescent="0.3">
      <c r="A88" s="245">
        <f>Datos!$F$3</f>
        <v>46296</v>
      </c>
      <c r="B88" s="199" t="str">
        <f>Datos!F$4</f>
        <v>Compresora</v>
      </c>
      <c r="C88" s="31" t="s">
        <v>537</v>
      </c>
      <c r="D88" s="199" t="str">
        <f>Datos!$B$9</f>
        <v>Dotación promedio: Personal OPS</v>
      </c>
      <c r="E88" s="199" t="str">
        <f>Datos!$C$9</f>
        <v>pers</v>
      </c>
      <c r="F88" s="31" t="s">
        <v>538</v>
      </c>
      <c r="G88" s="246" t="str">
        <f>IF(ISNUMBER(Datos!F9),Datos!F9,"")</f>
        <v/>
      </c>
      <c r="H8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89" spans="1:8" ht="12.75" customHeight="1" x14ac:dyDescent="0.3">
      <c r="A89" s="245">
        <f>Datos!$F$3</f>
        <v>46296</v>
      </c>
      <c r="B89" s="199" t="str">
        <f>Datos!F$4</f>
        <v>Compresora</v>
      </c>
      <c r="C89" s="31" t="s">
        <v>539</v>
      </c>
      <c r="D89" s="199" t="str">
        <f>Datos!$B$10</f>
        <v>Dotación promedio: Personal SMP(IEBC, PAE e YPF) </v>
      </c>
      <c r="E89" s="199" t="str">
        <f>Datos!$C$10</f>
        <v>pers</v>
      </c>
      <c r="F89" s="31" t="s">
        <v>538</v>
      </c>
      <c r="G89" s="246" t="str">
        <f>IF(ISNUMBER(Datos!F10),Datos!F10,"")</f>
        <v/>
      </c>
      <c r="H8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0" spans="1:8" ht="12.75" customHeight="1" x14ac:dyDescent="0.3">
      <c r="A90" s="245">
        <f>Datos!$F$3</f>
        <v>46296</v>
      </c>
      <c r="B90" s="199" t="str">
        <f>Datos!F$4</f>
        <v>Compresora</v>
      </c>
      <c r="C90" s="31" t="s">
        <v>540</v>
      </c>
      <c r="D90" s="199" t="str">
        <f>Datos!$B$11</f>
        <v>Dotación promedio: TOTAL</v>
      </c>
      <c r="E90" s="199" t="str">
        <f>Datos!$C$11</f>
        <v>pers</v>
      </c>
      <c r="F90" s="31" t="s">
        <v>541</v>
      </c>
      <c r="G90" s="246">
        <f>IF(ISNUMBER(Datos!F11),Datos!F11,"")</f>
        <v>0</v>
      </c>
      <c r="H9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1" spans="1:8" ht="12.75" customHeight="1" x14ac:dyDescent="0.3">
      <c r="A91" s="245">
        <f>Datos!$F$3</f>
        <v>46296</v>
      </c>
      <c r="B91" s="199" t="str">
        <f>Datos!F$4</f>
        <v>Compresora</v>
      </c>
      <c r="C91" s="31" t="s">
        <v>542</v>
      </c>
      <c r="D91" s="199" t="str">
        <f>Datos!$B$12</f>
        <v>Horas hombre trabajadas: Personal OPS</v>
      </c>
      <c r="E91" s="199" t="str">
        <f>Datos!$C$12</f>
        <v>h</v>
      </c>
      <c r="F91" s="31" t="s">
        <v>538</v>
      </c>
      <c r="G91" s="246" t="str">
        <f>IF(ISNUMBER(Datos!F12),Datos!F12,"")</f>
        <v/>
      </c>
      <c r="H9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2" spans="1:8" ht="12.75" customHeight="1" x14ac:dyDescent="0.3">
      <c r="A92" s="245">
        <f>Datos!$F$3</f>
        <v>46296</v>
      </c>
      <c r="B92" s="199" t="str">
        <f>Datos!F$4</f>
        <v>Compresora</v>
      </c>
      <c r="C92" s="31" t="s">
        <v>543</v>
      </c>
      <c r="D92" s="199" t="str">
        <f>Datos!$B$13</f>
        <v>Horas hombre trabajadas: Personal SMP(IEBC, PAE e YPF) en campo</v>
      </c>
      <c r="E92" s="199" t="str">
        <f>Datos!$C$13</f>
        <v>h</v>
      </c>
      <c r="F92" s="31" t="s">
        <v>538</v>
      </c>
      <c r="G92" s="246" t="str">
        <f>IF(ISNUMBER(Datos!F13),Datos!F13,"")</f>
        <v/>
      </c>
      <c r="H9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3" spans="1:8" ht="12.75" customHeight="1" x14ac:dyDescent="0.3">
      <c r="A93" s="245">
        <f>Datos!$F$3</f>
        <v>46296</v>
      </c>
      <c r="B93" s="199" t="str">
        <f>Datos!F$4</f>
        <v>Compresora</v>
      </c>
      <c r="C93" s="31" t="s">
        <v>544</v>
      </c>
      <c r="D93" s="199" t="str">
        <f>Datos!$B$14</f>
        <v>Horas hombre trabajadas: TOTAL</v>
      </c>
      <c r="E93" s="199" t="str">
        <f>Datos!$C$14</f>
        <v>h</v>
      </c>
      <c r="F93" s="31" t="s">
        <v>541</v>
      </c>
      <c r="G93" s="246">
        <f>IF(ISNUMBER(Datos!F14),Datos!F14,"")</f>
        <v>0</v>
      </c>
      <c r="H9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4" spans="1:8" ht="12.75" customHeight="1" x14ac:dyDescent="0.3">
      <c r="A94" s="245">
        <f>Datos!$F$3</f>
        <v>46296</v>
      </c>
      <c r="B94" s="199" t="str">
        <f>Datos!F$4</f>
        <v>Compresora</v>
      </c>
      <c r="C94" s="31" t="s">
        <v>545</v>
      </c>
      <c r="D94" s="199" t="str">
        <f>Datos!$B$16</f>
        <v>Horas hombre de formación en seguridad: Personal OPS</v>
      </c>
      <c r="E94" s="199" t="str">
        <f>Datos!$C$16</f>
        <v>h</v>
      </c>
      <c r="F94" s="31" t="s">
        <v>538</v>
      </c>
      <c r="G94" s="246" t="str">
        <f>IF(ISNUMBER(Datos!F16),Datos!F16,"")</f>
        <v/>
      </c>
      <c r="H9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5" spans="1:8" ht="12.75" customHeight="1" x14ac:dyDescent="0.3">
      <c r="A95" s="245">
        <f>Datos!$F$3</f>
        <v>46296</v>
      </c>
      <c r="B95" s="199" t="str">
        <f>Datos!F$4</f>
        <v>Compresora</v>
      </c>
      <c r="C95" s="31" t="s">
        <v>546</v>
      </c>
      <c r="D95" s="199" t="str">
        <f>Datos!$B$17</f>
        <v>Horas hombre de formación en seguridad: Personal SMP(IEBC, PAE e YPF) </v>
      </c>
      <c r="E95" s="199" t="str">
        <f>Datos!$C$17</f>
        <v>h</v>
      </c>
      <c r="F95" s="31" t="s">
        <v>538</v>
      </c>
      <c r="G95" s="246" t="str">
        <f>IF(ISNUMBER(Datos!F17),Datos!F17,"")</f>
        <v/>
      </c>
      <c r="H9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6" spans="1:8" ht="12.75" customHeight="1" x14ac:dyDescent="0.3">
      <c r="A96" s="245">
        <f>Datos!$F$3</f>
        <v>46296</v>
      </c>
      <c r="B96" s="199" t="str">
        <f>Datos!F$4</f>
        <v>Compresora</v>
      </c>
      <c r="C96" s="31" t="s">
        <v>547</v>
      </c>
      <c r="D96" s="199" t="str">
        <f>Datos!$B$18</f>
        <v>Horas hombre de formación en seguridad: TOTAL</v>
      </c>
      <c r="E96" s="199" t="str">
        <f>Datos!$C$18</f>
        <v>h</v>
      </c>
      <c r="F96" s="31" t="s">
        <v>541</v>
      </c>
      <c r="G96" s="246">
        <f>IF(ISNUMBER(Datos!F18),Datos!F18,"")</f>
        <v>0</v>
      </c>
      <c r="H9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7" spans="1:8" ht="12.75" customHeight="1" x14ac:dyDescent="0.3">
      <c r="A97" s="245">
        <f>Datos!$F$3</f>
        <v>46296</v>
      </c>
      <c r="B97" s="199" t="str">
        <f>Datos!F$4</f>
        <v>Compresora</v>
      </c>
      <c r="C97" s="31" t="s">
        <v>548</v>
      </c>
      <c r="D97" s="199" t="str">
        <f>Datos!$B$20</f>
        <v>SIMULACROS · Realizados (emergencia y operativos)</v>
      </c>
      <c r="E97" s="199" t="str">
        <f>Datos!$C$20</f>
        <v>u</v>
      </c>
      <c r="F97" s="31" t="s">
        <v>538</v>
      </c>
      <c r="G97" s="246" t="str">
        <f>IF(ISNUMBER(Datos!F20),Datos!F20,"")</f>
        <v/>
      </c>
      <c r="H9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8" spans="1:8" ht="12.75" customHeight="1" x14ac:dyDescent="0.3">
      <c r="A98" s="245">
        <f>Datos!$F$3</f>
        <v>46296</v>
      </c>
      <c r="B98" s="199" t="str">
        <f>Datos!F$4</f>
        <v>Compresora</v>
      </c>
      <c r="C98" s="31" t="s">
        <v>549</v>
      </c>
      <c r="D98" s="199" t="str">
        <f>Datos!$B$21</f>
        <v>SIMULACROS · Programados (emergencia y operativos)</v>
      </c>
      <c r="E98" s="199" t="str">
        <f>Datos!$C$21</f>
        <v>u</v>
      </c>
      <c r="F98" s="31" t="s">
        <v>538</v>
      </c>
      <c r="G98" s="246" t="str">
        <f>IF(ISNUMBER(Datos!F21),Datos!F21,"")</f>
        <v/>
      </c>
      <c r="H9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9" spans="1:8" ht="12.75" customHeight="1" x14ac:dyDescent="0.3">
      <c r="A99" s="245">
        <f>Datos!$F$3</f>
        <v>46296</v>
      </c>
      <c r="B99" s="199" t="str">
        <f>Datos!F$4</f>
        <v>Compresora</v>
      </c>
      <c r="C99" s="31" t="s">
        <v>550</v>
      </c>
      <c r="D99" s="199" t="str">
        <f>Datos!$B$22</f>
        <v>SIMULACROS · Acciones de mejora surgidas de los simulacros (en el mes informado)</v>
      </c>
      <c r="E99" s="199" t="str">
        <f>Datos!$C$22</f>
        <v>u</v>
      </c>
      <c r="F99" s="31" t="s">
        <v>538</v>
      </c>
      <c r="G99" s="246" t="str">
        <f>IF(ISNUMBER(Datos!F22),Datos!F22,"")</f>
        <v/>
      </c>
      <c r="H9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0" spans="1:8" ht="12.75" customHeight="1" x14ac:dyDescent="0.3">
      <c r="A100" s="245">
        <f>Datos!$F$3</f>
        <v>46296</v>
      </c>
      <c r="B100" s="199" t="str">
        <f>Datos!F$4</f>
        <v>Compresora</v>
      </c>
      <c r="C100" s="31" t="s">
        <v>551</v>
      </c>
      <c r="D100" s="199" t="str">
        <f>Datos!$B$23</f>
        <v>SIMULACROS · Acciones de mejora implementadas surgidas de los simulacros (ICME) (en el mes informado)</v>
      </c>
      <c r="E100" s="199" t="str">
        <f>Datos!$C$23</f>
        <v>u</v>
      </c>
      <c r="F100" s="31" t="s">
        <v>538</v>
      </c>
      <c r="G100" s="246" t="str">
        <f>IF(ISNUMBER(Datos!F23),Datos!F23,"")</f>
        <v/>
      </c>
      <c r="H10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1" spans="1:8" ht="12.75" customHeight="1" x14ac:dyDescent="0.3">
      <c r="A101" s="245">
        <f>Datos!$F$3</f>
        <v>46296</v>
      </c>
      <c r="B101" s="199" t="str">
        <f>Datos!F$4</f>
        <v>Compresora</v>
      </c>
      <c r="C101" s="31" t="s">
        <v>552</v>
      </c>
      <c r="D101" s="199" t="str">
        <f>Datos!$B$24</f>
        <v>Caminatas gerenciales realizadas</v>
      </c>
      <c r="E101" s="199" t="str">
        <f>Datos!$C$24</f>
        <v>u</v>
      </c>
      <c r="F101" s="31" t="s">
        <v>538</v>
      </c>
      <c r="G101" s="246" t="str">
        <f>IF(ISNUMBER(Datos!F24),Datos!F24,"")</f>
        <v/>
      </c>
      <c r="H10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2" spans="1:8" ht="12.75" customHeight="1" x14ac:dyDescent="0.3">
      <c r="A102" s="245">
        <f>Datos!$F$3</f>
        <v>46296</v>
      </c>
      <c r="B102" s="199" t="str">
        <f>Datos!F$4</f>
        <v>Compresora</v>
      </c>
      <c r="C102" s="31" t="s">
        <v>553</v>
      </c>
      <c r="D102" s="199" t="str">
        <f>Datos!$B$25</f>
        <v>Caminatas gerenciales planificadas</v>
      </c>
      <c r="E102" s="199" t="str">
        <f>Datos!$C$25</f>
        <v>u</v>
      </c>
      <c r="F102" s="31" t="s">
        <v>538</v>
      </c>
      <c r="G102" s="246" t="str">
        <f>IF(ISNUMBER(Datos!F25),Datos!F25,"")</f>
        <v/>
      </c>
      <c r="H10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3" spans="1:8" ht="12.75" customHeight="1" x14ac:dyDescent="0.3">
      <c r="A103" s="245">
        <f>Datos!$F$3</f>
        <v>46296</v>
      </c>
      <c r="B103" s="199" t="str">
        <f>Datos!F$4</f>
        <v>Compresora</v>
      </c>
      <c r="C103" s="31" t="s">
        <v>554</v>
      </c>
      <c r="D103" s="199" t="str">
        <f>Datos!$B$26</f>
        <v>Comités y subcomités de seguridad realizados</v>
      </c>
      <c r="E103" s="199" t="str">
        <f>Datos!$C$26</f>
        <v>u</v>
      </c>
      <c r="F103" s="31" t="s">
        <v>538</v>
      </c>
      <c r="G103" s="246" t="str">
        <f>IF(ISNUMBER(Datos!F26),Datos!F26,"")</f>
        <v/>
      </c>
      <c r="H10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4" spans="1:8" ht="12.75" customHeight="1" x14ac:dyDescent="0.3">
      <c r="A104" s="245">
        <f>Datos!$F$3</f>
        <v>46296</v>
      </c>
      <c r="B104" s="199" t="str">
        <f>Datos!F$4</f>
        <v>Compresora</v>
      </c>
      <c r="C104" s="31" t="s">
        <v>555</v>
      </c>
      <c r="D104" s="199" t="str">
        <f>Datos!$B$27</f>
        <v>Comités y subcomités de seguridad planificados</v>
      </c>
      <c r="E104" s="199" t="str">
        <f>Datos!$C$27</f>
        <v>u</v>
      </c>
      <c r="F104" s="31" t="s">
        <v>538</v>
      </c>
      <c r="G104" s="246" t="str">
        <f>IF(ISNUMBER(Datos!F27),Datos!F27,"")</f>
        <v/>
      </c>
      <c r="H10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5" spans="1:8" ht="12.75" customHeight="1" x14ac:dyDescent="0.3">
      <c r="A105" s="245">
        <f>Datos!$F$3</f>
        <v>46296</v>
      </c>
      <c r="B105" s="199" t="str">
        <f>Datos!F$4</f>
        <v>Compresora</v>
      </c>
      <c r="C105" s="31" t="s">
        <v>556</v>
      </c>
      <c r="D105" s="31" t="inlineStr">
        <is>
          <t>Observaciones de comportamiento seguro: total del mes (OPS + SMP)</t>
        </is>
      </c>
      <c r="E105" s="199" t="str">
        <f>Datos!$C$28</f>
        <v>u</v>
      </c>
      <c r="F105" s="31" t="s">
        <v>538</v>
      </c>
      <c r="G105" s="246">
        <f>IF(COUNT(Datos!F28:F29)=0,"",SUM(Datos!F28:F29))</f>
        <v>3</v>
      </c>
      <c r="H10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6" spans="1:8" ht="12.75" customHeight="1" x14ac:dyDescent="0.3">
      <c r="A106" s="245">
        <f>Datos!$F$3</f>
        <v>46296</v>
      </c>
      <c r="B106" s="199" t="str">
        <f>Datos!F$4</f>
        <v>Compresora</v>
      </c>
      <c r="C106" s="31" t="s">
        <v>557</v>
      </c>
      <c r="D106" s="199" t="str">
        <f>Datos!$B$30</f>
        <v>Investigaciones de accidentes cerradas en el mes</v>
      </c>
      <c r="E106" s="199" t="str">
        <f>Datos!$C$30</f>
        <v>u</v>
      </c>
      <c r="F106" s="31" t="s">
        <v>538</v>
      </c>
      <c r="G106" s="246" t="str">
        <f>IF(ISNUMBER(Datos!F30),Datos!F30,"")</f>
        <v/>
      </c>
      <c r="H10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7" spans="1:8" ht="12.75" customHeight="1" x14ac:dyDescent="0.3">
      <c r="A107" s="245">
        <f>Datos!$F$3</f>
        <v>46296</v>
      </c>
      <c r="B107" s="199" t="str">
        <f>Datos!F$4</f>
        <v>Compresora</v>
      </c>
      <c r="C107" s="31" t="s">
        <v>558</v>
      </c>
      <c r="D107" s="199" t="str">
        <f>Datos!$B$31</f>
        <v>Días que llevaron esas investigaciones (suma)</v>
      </c>
      <c r="E107" s="199" t="str">
        <f>Datos!$C$31</f>
        <v>días</v>
      </c>
      <c r="F107" s="31" t="s">
        <v>538</v>
      </c>
      <c r="G107" s="246" t="str">
        <f>IF(ISNUMBER(Datos!F31),Datos!F31,"")</f>
        <v/>
      </c>
      <c r="H10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8" spans="1:8" ht="12.75" customHeight="1" x14ac:dyDescent="0.3">
      <c r="A108" s="245">
        <f>Datos!$F$3</f>
        <v>46296</v>
      </c>
      <c r="B108" s="199" t="str">
        <f>Datos!F$4</f>
        <v>Compresora</v>
      </c>
      <c r="C108" s="31" t="s">
        <v>559</v>
      </c>
      <c r="D108" s="199" t="str">
        <f>Datos!$B$33</f>
        <v>Casos con días perdidos</v>
      </c>
      <c r="E108" s="199" t="str">
        <f>Datos!$C$33</f>
        <v>u</v>
      </c>
      <c r="F108" s="31" t="s">
        <v>538</v>
      </c>
      <c r="G108" s="246" t="str">
        <f>IF(ISNUMBER(Datos!F33),Datos!F33,"")</f>
        <v/>
      </c>
      <c r="H10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9" spans="1:8" ht="12.75" customHeight="1" x14ac:dyDescent="0.3">
      <c r="A109" s="245">
        <f>Datos!$F$3</f>
        <v>46296</v>
      </c>
      <c r="B109" s="199" t="str">
        <f>Datos!F$4</f>
        <v>Compresora</v>
      </c>
      <c r="C109" s="31" t="s">
        <v>560</v>
      </c>
      <c r="D109" s="199" t="str">
        <f>Datos!$B$34</f>
        <v>Casos con trabajo restringido</v>
      </c>
      <c r="E109" s="199" t="str">
        <f>Datos!$C$34</f>
        <v>u</v>
      </c>
      <c r="F109" s="31" t="s">
        <v>538</v>
      </c>
      <c r="G109" s="246" t="str">
        <f>IF(ISNUMBER(Datos!F34),Datos!F34,"")</f>
        <v/>
      </c>
      <c r="H10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0" spans="1:8" ht="12.75" customHeight="1" x14ac:dyDescent="0.3">
      <c r="A110" s="245">
        <f>Datos!$F$3</f>
        <v>46296</v>
      </c>
      <c r="B110" s="199" t="str">
        <f>Datos!F$4</f>
        <v>Compresora</v>
      </c>
      <c r="C110" s="31" t="s">
        <v>561</v>
      </c>
      <c r="D110" s="199" t="str">
        <f>Datos!$B$35</f>
        <v>Casos con tratamiento médico</v>
      </c>
      <c r="E110" s="199" t="str">
        <f>Datos!$C$35</f>
        <v>u</v>
      </c>
      <c r="F110" s="31" t="s">
        <v>538</v>
      </c>
      <c r="G110" s="246" t="str">
        <f>IF(ISNUMBER(Datos!F35),Datos!F35,"")</f>
        <v/>
      </c>
      <c r="H11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1" spans="1:8" ht="12.75" customHeight="1" x14ac:dyDescent="0.3">
      <c r="A111" s="245">
        <f>Datos!$F$3</f>
        <v>46296</v>
      </c>
      <c r="B111" s="199" t="str">
        <f>Datos!F$4</f>
        <v>Compresora</v>
      </c>
      <c r="C111" s="31" t="s">
        <v>562</v>
      </c>
      <c r="D111" s="199" t="str">
        <f>Datos!$B$36</f>
        <v>Fatalidades</v>
      </c>
      <c r="E111" s="199" t="str">
        <f>Datos!$C$36</f>
        <v>u</v>
      </c>
      <c r="F111" s="31" t="s">
        <v>538</v>
      </c>
      <c r="G111" s="246" t="str">
        <f>IF(ISNUMBER(Datos!F36),Datos!F36,"")</f>
        <v/>
      </c>
      <c r="H11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2" spans="1:8" ht="12.75" customHeight="1" x14ac:dyDescent="0.3">
      <c r="A112" s="245">
        <f>Datos!$F$3</f>
        <v>46296</v>
      </c>
      <c r="B112" s="199" t="str">
        <f>Datos!F$4</f>
        <v>Compresora</v>
      </c>
      <c r="C112" s="31" t="s">
        <v>51</v>
      </c>
      <c r="D112" s="199" t="str">
        <f>Datos!$B$37</f>
        <v>Casos de primeros auxilios</v>
      </c>
      <c r="E112" s="199" t="str">
        <f>Datos!$C$37</f>
        <v>u</v>
      </c>
      <c r="F112" s="31" t="s">
        <v>538</v>
      </c>
      <c r="G112" s="246" t="str">
        <f>IF(ISNUMBER(Datos!F37),Datos!F37,"")</f>
        <v/>
      </c>
      <c r="H11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3" spans="1:8" ht="12.75" customHeight="1" x14ac:dyDescent="0.3">
      <c r="A113" s="245">
        <f>Datos!$F$3</f>
        <v>46296</v>
      </c>
      <c r="B113" s="199" t="str">
        <f>Datos!F$4</f>
        <v>Compresora</v>
      </c>
      <c r="C113" s="31" t="s">
        <v>563</v>
      </c>
      <c r="D113" s="199" t="str">
        <f>Datos!$B$39</f>
        <v>CVM catastróficas</v>
      </c>
      <c r="E113" s="199" t="str">
        <f>Datos!$C$39</f>
        <v>u</v>
      </c>
      <c r="F113" s="31" t="s">
        <v>538</v>
      </c>
      <c r="G113" s="246" t="str">
        <f>IF(ISNUMBER(Datos!F39),Datos!F39,"")</f>
        <v/>
      </c>
      <c r="H11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4" spans="1:8" ht="12.75" customHeight="1" x14ac:dyDescent="0.3">
      <c r="A114" s="245">
        <f>Datos!$F$3</f>
        <v>46296</v>
      </c>
      <c r="B114" s="199" t="str">
        <f>Datos!F$4</f>
        <v>Compresora</v>
      </c>
      <c r="C114" s="31" t="s">
        <v>564</v>
      </c>
      <c r="D114" s="199" t="str">
        <f>Datos!$B$40</f>
        <v>CVM mayores</v>
      </c>
      <c r="E114" s="199" t="str">
        <f>Datos!$C$40</f>
        <v>u</v>
      </c>
      <c r="F114" s="31" t="s">
        <v>538</v>
      </c>
      <c r="G114" s="246" t="str">
        <f>IF(ISNUMBER(Datos!F40),Datos!F40,"")</f>
        <v/>
      </c>
      <c r="H11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5" spans="1:8" ht="12.75" customHeight="1" x14ac:dyDescent="0.3">
      <c r="A115" s="245">
        <f>Datos!$F$3</f>
        <v>46296</v>
      </c>
      <c r="B115" s="199" t="str">
        <f>Datos!F$4</f>
        <v>Compresora</v>
      </c>
      <c r="C115" s="31" t="s">
        <v>565</v>
      </c>
      <c r="D115" s="199" t="str">
        <f>Datos!$B$41</f>
        <v>CVM serias</v>
      </c>
      <c r="E115" s="199" t="str">
        <f>Datos!$C$41</f>
        <v>u</v>
      </c>
      <c r="F115" s="31" t="s">
        <v>538</v>
      </c>
      <c r="G115" s="246" t="str">
        <f>IF(ISNUMBER(Datos!F41),Datos!F41,"")</f>
        <v/>
      </c>
      <c r="H11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6" spans="1:8" ht="12.75" customHeight="1" x14ac:dyDescent="0.3">
      <c r="A116" s="245">
        <f>Datos!$F$3</f>
        <v>46296</v>
      </c>
      <c r="B116" s="199" t="str">
        <f>Datos!F$4</f>
        <v>Compresora</v>
      </c>
      <c r="C116" s="31" t="s">
        <v>566</v>
      </c>
      <c r="D116" s="199" t="str">
        <f>Datos!$B$42</f>
        <v>CVM otras / menores</v>
      </c>
      <c r="E116" s="199" t="str">
        <f>Datos!$C$42</f>
        <v>u</v>
      </c>
      <c r="F116" s="31" t="s">
        <v>538</v>
      </c>
      <c r="G116" s="246" t="str">
        <f>IF(ISNUMBER(Datos!F42),Datos!F42,"")</f>
        <v/>
      </c>
      <c r="H11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7" spans="1:8" ht="12.75" customHeight="1" x14ac:dyDescent="0.3">
      <c r="A117" s="245">
        <f>Datos!$F$3</f>
        <v>46296</v>
      </c>
      <c r="B117" s="199" t="str">
        <f>Datos!F$4</f>
        <v>Compresora</v>
      </c>
      <c r="C117" s="31" t="s">
        <v>567</v>
      </c>
      <c r="D117" s="199" t="str">
        <f>Datos!$B$44</f>
        <v>Km recorridos: vehículos livianos (camionetas)</v>
      </c>
      <c r="E117" s="199" t="str">
        <f>Datos!$C$44</f>
        <v>km</v>
      </c>
      <c r="F117" s="31" t="s">
        <v>538</v>
      </c>
      <c r="G117" s="246" t="str">
        <f>IF(ISNUMBER(Datos!F44),Datos!F44,"")</f>
        <v/>
      </c>
      <c r="H11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8" spans="1:8" ht="12.75" customHeight="1" x14ac:dyDescent="0.3">
      <c r="A118" s="245">
        <f>Datos!$F$3</f>
        <v>46296</v>
      </c>
      <c r="B118" s="199" t="str">
        <f>Datos!F$4</f>
        <v>Compresora</v>
      </c>
      <c r="C118" s="31" t="s">
        <v>568</v>
      </c>
      <c r="D118" s="199" t="str">
        <f>Datos!$B$45</f>
        <v>Km recorridos: vehículos pesados (camiones)</v>
      </c>
      <c r="E118" s="199" t="str">
        <f>Datos!$C$45</f>
        <v>km</v>
      </c>
      <c r="F118" s="31" t="s">
        <v>538</v>
      </c>
      <c r="G118" s="246" t="str">
        <f>IF(ISNUMBER(Datos!F45),Datos!F45,"")</f>
        <v/>
      </c>
      <c r="H11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9" spans="1:8" ht="12.75" customHeight="1" x14ac:dyDescent="0.3">
      <c r="A119" s="245">
        <f>Datos!$F$3</f>
        <v>46296</v>
      </c>
      <c r="B119" s="199" t="str">
        <f>Datos!F$4</f>
        <v>Compresora</v>
      </c>
      <c r="C119" s="31" t="s">
        <v>569</v>
      </c>
      <c r="D119" s="199" t="str">
        <f>Datos!$B$46</f>
        <v>Km recorridos: vehículos de transporte de personal (combis)</v>
      </c>
      <c r="E119" s="199" t="str">
        <f>Datos!$C$46</f>
        <v>km</v>
      </c>
      <c r="F119" s="31" t="s">
        <v>538</v>
      </c>
      <c r="G119" s="246" t="str">
        <f>IF(ISNUMBER(Datos!F46),Datos!F46,"")</f>
        <v/>
      </c>
      <c r="H11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0" spans="1:8" ht="12.75" customHeight="1" x14ac:dyDescent="0.3">
      <c r="A120" s="245">
        <f>Datos!$F$3</f>
        <v>46296</v>
      </c>
      <c r="B120" s="199" t="str">
        <f>Datos!F$4</f>
        <v>Compresora</v>
      </c>
      <c r="C120" s="31" t="s">
        <v>570</v>
      </c>
      <c r="D120" s="199" t="str">
        <f>Datos!$B$47</f>
        <v>Km recorridos: TOTAL</v>
      </c>
      <c r="E120" s="199" t="str">
        <f>Datos!$C$47</f>
        <v>km</v>
      </c>
      <c r="F120" s="31" t="s">
        <v>541</v>
      </c>
      <c r="G120" s="246">
        <f>IF(ISNUMBER(Datos!F47),Datos!F47,"")</f>
        <v>0</v>
      </c>
      <c r="H12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1" spans="1:8" ht="12.75" customHeight="1" x14ac:dyDescent="0.3">
      <c r="A121" s="245">
        <f>Datos!$F$3</f>
        <v>46296</v>
      </c>
      <c r="B121" s="199" t="str">
        <f>Datos!F$4</f>
        <v>Compresora</v>
      </c>
      <c r="C121" s="31" t="s">
        <v>571</v>
      </c>
      <c r="D121" s="199" t="str">
        <f>Datos!$B$67</f>
        <v>Hallazgos (desvíos) cerrados en el mes</v>
      </c>
      <c r="E121" s="199" t="str">
        <f>Datos!$C$67</f>
        <v>u</v>
      </c>
      <c r="F121" s="31" t="s">
        <v>572</v>
      </c>
      <c r="G121" s="246" t="str">
        <f>IF(ISNUMBER(Datos!F67),Datos!F67,"")</f>
        <v/>
      </c>
      <c r="H12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2" spans="1:8" ht="12.75" customHeight="1" x14ac:dyDescent="0.3">
      <c r="A122" s="245">
        <f>Datos!$F$3</f>
        <v>46296</v>
      </c>
      <c r="B122" s="199" t="str">
        <f>Datos!F$4</f>
        <v>Compresora</v>
      </c>
      <c r="C122" s="31" t="s">
        <v>573</v>
      </c>
      <c r="D122" s="199" t="str">
        <f>Datos!$B$68</f>
        <v>Días que llevaron esos hallazgos (suma)</v>
      </c>
      <c r="E122" s="199" t="str">
        <f>Datos!$C$68</f>
        <v>días</v>
      </c>
      <c r="F122" s="31" t="s">
        <v>572</v>
      </c>
      <c r="G122" s="246" t="str">
        <f>IF(ISNUMBER(Datos!F68),Datos!F68,"")</f>
        <v/>
      </c>
      <c r="H12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3" spans="1:8" ht="12.75" customHeight="1" x14ac:dyDescent="0.3">
      <c r="A123" s="245">
        <f>Datos!$F$3</f>
        <v>46296</v>
      </c>
      <c r="B123" s="199" t="str">
        <f>Datos!F$4</f>
        <v>Compresora</v>
      </c>
      <c r="C123" s="31" t="s">
        <v>574</v>
      </c>
      <c r="D123" s="199" t="str">
        <f>Datos!$B$69</f>
        <v>Hallazgos (desvíos) abiertos a fin de mes</v>
      </c>
      <c r="E123" s="199" t="str">
        <f>Datos!$C$69</f>
        <v>u</v>
      </c>
      <c r="F123" s="31" t="s">
        <v>572</v>
      </c>
      <c r="G123" s="246" t="str">
        <f>IF(ISNUMBER(Datos!F69),Datos!F69,"")</f>
        <v/>
      </c>
      <c r="H12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4" spans="1:8" ht="12.75" customHeight="1" x14ac:dyDescent="0.3">
      <c r="A124" s="245">
        <f>Datos!$F$3</f>
        <v>46296</v>
      </c>
      <c r="B124" s="199" t="str">
        <f>Datos!F$4</f>
        <v>Compresora</v>
      </c>
      <c r="C124" s="31" t="s">
        <v>575</v>
      </c>
      <c r="D124" s="199" t="str">
        <f>Datos!$B$70</f>
        <v>Hallazgos (desvíos) detectados en el mes</v>
      </c>
      <c r="E124" s="199" t="str">
        <f>Datos!$C$70</f>
        <v>u</v>
      </c>
      <c r="F124" s="31" t="s">
        <v>572</v>
      </c>
      <c r="G124" s="246" t="str">
        <f>IF(ISNUMBER(Datos!F70),Datos!F70,"")</f>
        <v/>
      </c>
      <c r="H12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5" spans="1:8" ht="12.75" customHeight="1" x14ac:dyDescent="0.3">
      <c r="A125" s="245">
        <f>Datos!$F$3</f>
        <v>46296</v>
      </c>
      <c r="B125" s="199" t="str">
        <f>Datos!F$4</f>
        <v>Compresora</v>
      </c>
      <c r="C125" s="31" t="s">
        <v>576</v>
      </c>
      <c r="D125" s="199" t="str">
        <f>Datos!$B$71</f>
        <v>Desvíos detectados en el mes · gravedad Alta</v>
      </c>
      <c r="E125" s="199" t="str">
        <f>Datos!$C$71</f>
        <v>u</v>
      </c>
      <c r="F125" s="31" t="s">
        <v>572</v>
      </c>
      <c r="G125" s="246" t="str">
        <f>IF(ISNUMBER(Datos!F71),Datos!F71,"")</f>
        <v/>
      </c>
      <c r="H12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6" spans="1:8" ht="12.75" customHeight="1" x14ac:dyDescent="0.3">
      <c r="A126" s="245">
        <f>Datos!$F$3</f>
        <v>46296</v>
      </c>
      <c r="B126" s="199" t="str">
        <f>Datos!F$4</f>
        <v>Compresora</v>
      </c>
      <c r="C126" s="31" t="s">
        <v>577</v>
      </c>
      <c r="D126" s="199" t="str">
        <f>Datos!$B$72</f>
        <v>Desvíos detectados en el mes · gravedad Media</v>
      </c>
      <c r="E126" s="199" t="str">
        <f>Datos!$C$72</f>
        <v>u</v>
      </c>
      <c r="F126" s="31" t="s">
        <v>572</v>
      </c>
      <c r="G126" s="246" t="str">
        <f>IF(ISNUMBER(Datos!F72),Datos!F72,"")</f>
        <v/>
      </c>
      <c r="H12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7" spans="1:8" ht="12.75" customHeight="1" x14ac:dyDescent="0.3">
      <c r="A127" s="245">
        <f>Datos!$F$3</f>
        <v>46296</v>
      </c>
      <c r="B127" s="199" t="str">
        <f>Datos!F$4</f>
        <v>Compresora</v>
      </c>
      <c r="C127" s="31" t="s">
        <v>578</v>
      </c>
      <c r="D127" s="199" t="str">
        <f>Datos!$B$73</f>
        <v>Desvíos detectados en el mes · gravedad Baja</v>
      </c>
      <c r="E127" s="199" t="str">
        <f>Datos!$C$73</f>
        <v>u</v>
      </c>
      <c r="F127" s="31" t="s">
        <v>572</v>
      </c>
      <c r="G127" s="246" t="str">
        <f>IF(ISNUMBER(Datos!F73),Datos!F73,"")</f>
        <v/>
      </c>
      <c r="H12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8" spans="1:8" ht="12.75" customHeight="1" x14ac:dyDescent="0.3">
      <c r="A128" s="245">
        <f>Datos!$F$3</f>
        <v>46296</v>
      </c>
      <c r="B128" s="199" t="str">
        <f>Datos!F$4</f>
        <v>Compresora</v>
      </c>
      <c r="C128" s="31" t="s">
        <v>579</v>
      </c>
      <c r="D128" s="199" t="str">
        <f>Datos!$B$74</f>
        <v>Desvíos detectados en el mes · sin gravedad cargada</v>
      </c>
      <c r="E128" s="199" t="str">
        <f>Datos!$C$74</f>
        <v>u</v>
      </c>
      <c r="F128" s="31" t="s">
        <v>572</v>
      </c>
      <c r="G128" s="246">
        <f>IF(ISNUMBER(Datos!F74),Datos!F74,"")</f>
        <v>0</v>
      </c>
      <c r="H12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9" spans="1:8" ht="12.75" customHeight="1" x14ac:dyDescent="0.3">
      <c r="A129" s="245">
        <f>Datos!$F$3</f>
        <v>46296</v>
      </c>
      <c r="B129" s="199" t="str">
        <f>Datos!F$4</f>
        <v>Compresora</v>
      </c>
      <c r="C129" s="31" t="s">
        <v>580</v>
      </c>
      <c r="D129" s="199" t="str">
        <f>Datos!$B$75</f>
        <v>Detenciones de tareas aplicadas en el mes (Política = Sí)</v>
      </c>
      <c r="E129" s="199" t="str">
        <f>Datos!$C$75</f>
        <v>u</v>
      </c>
      <c r="F129" s="31" t="s">
        <v>572</v>
      </c>
      <c r="G129" s="246" t="str">
        <f>IF(ISNUMBER(Datos!F75),Datos!F75,"")</f>
        <v/>
      </c>
      <c r="H12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0" spans="1:8" ht="12.75" customHeight="1" x14ac:dyDescent="0.3">
      <c r="A130" s="245">
        <f>Datos!$F$3</f>
        <v>46296</v>
      </c>
      <c r="B130" s="199" t="str">
        <f>Datos!F$4</f>
        <v>Compresora</v>
      </c>
      <c r="C130" s="31" t="s">
        <v>581</v>
      </c>
      <c r="D130" s="199" t="str">
        <f>Datos!$B$76</f>
        <v>Desvíos de gravedad Alta abiertos a fin de mes</v>
      </c>
      <c r="E130" s="199" t="str">
        <f>Datos!$C$76</f>
        <v>u</v>
      </c>
      <c r="F130" s="31" t="s">
        <v>572</v>
      </c>
      <c r="G130" s="246" t="str">
        <f>IF(ISNUMBER(Datos!F76),Datos!F76,"")</f>
        <v/>
      </c>
      <c r="H13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1" spans="1:8" ht="12.75" customHeight="1" x14ac:dyDescent="0.3">
      <c r="A131" s="245">
        <f>Datos!$G$3</f>
        <v>46327</v>
      </c>
      <c r="B131" s="199" t="str">
        <f>Datos!G$4</f>
        <v>Compresora</v>
      </c>
      <c r="C131" s="31" t="s">
        <v>537</v>
      </c>
      <c r="D131" s="199" t="str">
        <f>Datos!$B$9</f>
        <v>Dotación promedio: Personal OPS</v>
      </c>
      <c r="E131" s="199" t="str">
        <f>Datos!$C$9</f>
        <v>pers</v>
      </c>
      <c r="F131" s="31" t="s">
        <v>538</v>
      </c>
      <c r="G131" s="246" t="str">
        <f>IF(ISNUMBER(Datos!G9),Datos!G9,"")</f>
        <v/>
      </c>
      <c r="H13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2" spans="1:8" ht="12.75" customHeight="1" x14ac:dyDescent="0.3">
      <c r="A132" s="245">
        <f>Datos!$G$3</f>
        <v>46327</v>
      </c>
      <c r="B132" s="199" t="str">
        <f>Datos!G$4</f>
        <v>Compresora</v>
      </c>
      <c r="C132" s="31" t="s">
        <v>539</v>
      </c>
      <c r="D132" s="199" t="str">
        <f>Datos!$B$10</f>
        <v>Dotación promedio: Personal SMP(IEBC, PAE e YPF) </v>
      </c>
      <c r="E132" s="199" t="str">
        <f>Datos!$C$10</f>
        <v>pers</v>
      </c>
      <c r="F132" s="31" t="s">
        <v>538</v>
      </c>
      <c r="G132" s="246" t="str">
        <f>IF(ISNUMBER(Datos!G10),Datos!G10,"")</f>
        <v/>
      </c>
      <c r="H13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3" spans="1:8" ht="12.75" customHeight="1" x14ac:dyDescent="0.3">
      <c r="A133" s="245">
        <f>Datos!$G$3</f>
        <v>46327</v>
      </c>
      <c r="B133" s="199" t="str">
        <f>Datos!G$4</f>
        <v>Compresora</v>
      </c>
      <c r="C133" s="31" t="s">
        <v>540</v>
      </c>
      <c r="D133" s="199" t="str">
        <f>Datos!$B$11</f>
        <v>Dotación promedio: TOTAL</v>
      </c>
      <c r="E133" s="199" t="str">
        <f>Datos!$C$11</f>
        <v>pers</v>
      </c>
      <c r="F133" s="31" t="s">
        <v>541</v>
      </c>
      <c r="G133" s="246">
        <f>IF(ISNUMBER(Datos!G11),Datos!G11,"")</f>
        <v>0</v>
      </c>
      <c r="H13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4" spans="1:8" ht="12.75" customHeight="1" x14ac:dyDescent="0.3">
      <c r="A134" s="245">
        <f>Datos!$G$3</f>
        <v>46327</v>
      </c>
      <c r="B134" s="199" t="str">
        <f>Datos!G$4</f>
        <v>Compresora</v>
      </c>
      <c r="C134" s="31" t="s">
        <v>542</v>
      </c>
      <c r="D134" s="199" t="str">
        <f>Datos!$B$12</f>
        <v>Horas hombre trabajadas: Personal OPS</v>
      </c>
      <c r="E134" s="199" t="str">
        <f>Datos!$C$12</f>
        <v>h</v>
      </c>
      <c r="F134" s="31" t="s">
        <v>538</v>
      </c>
      <c r="G134" s="246" t="str">
        <f>IF(ISNUMBER(Datos!G12),Datos!G12,"")</f>
        <v/>
      </c>
      <c r="H13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5" spans="1:8" ht="12.75" customHeight="1" x14ac:dyDescent="0.3">
      <c r="A135" s="245">
        <f>Datos!$G$3</f>
        <v>46327</v>
      </c>
      <c r="B135" s="199" t="str">
        <f>Datos!G$4</f>
        <v>Compresora</v>
      </c>
      <c r="C135" s="31" t="s">
        <v>543</v>
      </c>
      <c r="D135" s="199" t="str">
        <f>Datos!$B$13</f>
        <v>Horas hombre trabajadas: Personal SMP(IEBC, PAE e YPF) en campo</v>
      </c>
      <c r="E135" s="199" t="str">
        <f>Datos!$C$13</f>
        <v>h</v>
      </c>
      <c r="F135" s="31" t="s">
        <v>538</v>
      </c>
      <c r="G135" s="246" t="str">
        <f>IF(ISNUMBER(Datos!G13),Datos!G13,"")</f>
        <v/>
      </c>
      <c r="H13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6" spans="1:8" ht="12.75" customHeight="1" x14ac:dyDescent="0.3">
      <c r="A136" s="245">
        <f>Datos!$G$3</f>
        <v>46327</v>
      </c>
      <c r="B136" s="199" t="str">
        <f>Datos!G$4</f>
        <v>Compresora</v>
      </c>
      <c r="C136" s="31" t="s">
        <v>544</v>
      </c>
      <c r="D136" s="199" t="str">
        <f>Datos!$B$14</f>
        <v>Horas hombre trabajadas: TOTAL</v>
      </c>
      <c r="E136" s="199" t="str">
        <f>Datos!$C$14</f>
        <v>h</v>
      </c>
      <c r="F136" s="31" t="s">
        <v>541</v>
      </c>
      <c r="G136" s="246">
        <f>IF(ISNUMBER(Datos!G14),Datos!G14,"")</f>
        <v>0</v>
      </c>
      <c r="H13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7" spans="1:8" ht="12.75" customHeight="1" x14ac:dyDescent="0.3">
      <c r="A137" s="245">
        <f>Datos!$G$3</f>
        <v>46327</v>
      </c>
      <c r="B137" s="199" t="str">
        <f>Datos!G$4</f>
        <v>Compresora</v>
      </c>
      <c r="C137" s="31" t="s">
        <v>545</v>
      </c>
      <c r="D137" s="199" t="str">
        <f>Datos!$B$16</f>
        <v>Horas hombre de formación en seguridad: Personal OPS</v>
      </c>
      <c r="E137" s="199" t="str">
        <f>Datos!$C$16</f>
        <v>h</v>
      </c>
      <c r="F137" s="31" t="s">
        <v>538</v>
      </c>
      <c r="G137" s="246" t="str">
        <f>IF(ISNUMBER(Datos!G16),Datos!G16,"")</f>
        <v/>
      </c>
      <c r="H13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8" spans="1:8" ht="12.75" customHeight="1" x14ac:dyDescent="0.3">
      <c r="A138" s="245">
        <f>Datos!$G$3</f>
        <v>46327</v>
      </c>
      <c r="B138" s="199" t="str">
        <f>Datos!G$4</f>
        <v>Compresora</v>
      </c>
      <c r="C138" s="31" t="s">
        <v>546</v>
      </c>
      <c r="D138" s="199" t="str">
        <f>Datos!$B$17</f>
        <v>Horas hombre de formación en seguridad: Personal SMP(IEBC, PAE e YPF) </v>
      </c>
      <c r="E138" s="199" t="str">
        <f>Datos!$C$17</f>
        <v>h</v>
      </c>
      <c r="F138" s="31" t="s">
        <v>538</v>
      </c>
      <c r="G138" s="246" t="str">
        <f>IF(ISNUMBER(Datos!G17),Datos!G17,"")</f>
        <v/>
      </c>
      <c r="H13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9" spans="1:8" ht="12.75" customHeight="1" x14ac:dyDescent="0.3">
      <c r="A139" s="245">
        <f>Datos!$G$3</f>
        <v>46327</v>
      </c>
      <c r="B139" s="199" t="str">
        <f>Datos!G$4</f>
        <v>Compresora</v>
      </c>
      <c r="C139" s="31" t="s">
        <v>547</v>
      </c>
      <c r="D139" s="199" t="str">
        <f>Datos!$B$18</f>
        <v>Horas hombre de formación en seguridad: TOTAL</v>
      </c>
      <c r="E139" s="199" t="str">
        <f>Datos!$C$18</f>
        <v>h</v>
      </c>
      <c r="F139" s="31" t="s">
        <v>541</v>
      </c>
      <c r="G139" s="246">
        <f>IF(ISNUMBER(Datos!G18),Datos!G18,"")</f>
        <v>0</v>
      </c>
      <c r="H13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0" spans="1:8" ht="12.75" customHeight="1" x14ac:dyDescent="0.3">
      <c r="A140" s="245">
        <f>Datos!$G$3</f>
        <v>46327</v>
      </c>
      <c r="B140" s="199" t="str">
        <f>Datos!G$4</f>
        <v>Compresora</v>
      </c>
      <c r="C140" s="31" t="s">
        <v>548</v>
      </c>
      <c r="D140" s="199" t="str">
        <f>Datos!$B$20</f>
        <v>SIMULACROS · Realizados (emergencia y operativos)</v>
      </c>
      <c r="E140" s="199" t="str">
        <f>Datos!$C$20</f>
        <v>u</v>
      </c>
      <c r="F140" s="31" t="s">
        <v>538</v>
      </c>
      <c r="G140" s="246" t="str">
        <f>IF(ISNUMBER(Datos!G20),Datos!G20,"")</f>
        <v/>
      </c>
      <c r="H14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1" spans="1:8" ht="12.75" customHeight="1" x14ac:dyDescent="0.3">
      <c r="A141" s="245">
        <f>Datos!$G$3</f>
        <v>46327</v>
      </c>
      <c r="B141" s="199" t="str">
        <f>Datos!G$4</f>
        <v>Compresora</v>
      </c>
      <c r="C141" s="31" t="s">
        <v>549</v>
      </c>
      <c r="D141" s="199" t="str">
        <f>Datos!$B$21</f>
        <v>SIMULACROS · Programados (emergencia y operativos)</v>
      </c>
      <c r="E141" s="199" t="str">
        <f>Datos!$C$21</f>
        <v>u</v>
      </c>
      <c r="F141" s="31" t="s">
        <v>538</v>
      </c>
      <c r="G141" s="246" t="str">
        <f>IF(ISNUMBER(Datos!G21),Datos!G21,"")</f>
        <v/>
      </c>
      <c r="H14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2" spans="1:8" ht="12.75" customHeight="1" x14ac:dyDescent="0.3">
      <c r="A142" s="245">
        <f>Datos!$G$3</f>
        <v>46327</v>
      </c>
      <c r="B142" s="199" t="str">
        <f>Datos!G$4</f>
        <v>Compresora</v>
      </c>
      <c r="C142" s="31" t="s">
        <v>550</v>
      </c>
      <c r="D142" s="199" t="str">
        <f>Datos!$B$22</f>
        <v>SIMULACROS · Acciones de mejora surgidas de los simulacros (en el mes informado)</v>
      </c>
      <c r="E142" s="199" t="str">
        <f>Datos!$C$22</f>
        <v>u</v>
      </c>
      <c r="F142" s="31" t="s">
        <v>538</v>
      </c>
      <c r="G142" s="246" t="str">
        <f>IF(ISNUMBER(Datos!G22),Datos!G22,"")</f>
        <v/>
      </c>
      <c r="H14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3" spans="1:8" ht="12.75" customHeight="1" x14ac:dyDescent="0.3">
      <c r="A143" s="245">
        <f>Datos!$G$3</f>
        <v>46327</v>
      </c>
      <c r="B143" s="199" t="str">
        <f>Datos!G$4</f>
        <v>Compresora</v>
      </c>
      <c r="C143" s="31" t="s">
        <v>551</v>
      </c>
      <c r="D143" s="199" t="str">
        <f>Datos!$B$23</f>
        <v>SIMULACROS · Acciones de mejora implementadas surgidas de los simulacros (ICME) (en el mes informado)</v>
      </c>
      <c r="E143" s="199" t="str">
        <f>Datos!$C$23</f>
        <v>u</v>
      </c>
      <c r="F143" s="31" t="s">
        <v>538</v>
      </c>
      <c r="G143" s="246" t="str">
        <f>IF(ISNUMBER(Datos!G23),Datos!G23,"")</f>
        <v/>
      </c>
      <c r="H14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4" spans="1:8" ht="12.75" customHeight="1" x14ac:dyDescent="0.3">
      <c r="A144" s="245">
        <f>Datos!$G$3</f>
        <v>46327</v>
      </c>
      <c r="B144" s="199" t="str">
        <f>Datos!G$4</f>
        <v>Compresora</v>
      </c>
      <c r="C144" s="31" t="s">
        <v>552</v>
      </c>
      <c r="D144" s="199" t="str">
        <f>Datos!$B$24</f>
        <v>Caminatas gerenciales realizadas</v>
      </c>
      <c r="E144" s="199" t="str">
        <f>Datos!$C$24</f>
        <v>u</v>
      </c>
      <c r="F144" s="31" t="s">
        <v>538</v>
      </c>
      <c r="G144" s="246" t="str">
        <f>IF(ISNUMBER(Datos!G24),Datos!G24,"")</f>
        <v/>
      </c>
      <c r="H14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5" spans="1:8" ht="12.75" customHeight="1" x14ac:dyDescent="0.3">
      <c r="A145" s="245">
        <f>Datos!$G$3</f>
        <v>46327</v>
      </c>
      <c r="B145" s="199" t="str">
        <f>Datos!G$4</f>
        <v>Compresora</v>
      </c>
      <c r="C145" s="31" t="s">
        <v>553</v>
      </c>
      <c r="D145" s="199" t="str">
        <f>Datos!$B$25</f>
        <v>Caminatas gerenciales planificadas</v>
      </c>
      <c r="E145" s="199" t="str">
        <f>Datos!$C$25</f>
        <v>u</v>
      </c>
      <c r="F145" s="31" t="s">
        <v>538</v>
      </c>
      <c r="G145" s="246" t="str">
        <f>IF(ISNUMBER(Datos!G25),Datos!G25,"")</f>
        <v/>
      </c>
      <c r="H14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6" spans="1:8" ht="12.75" customHeight="1" x14ac:dyDescent="0.3">
      <c r="A146" s="245">
        <f>Datos!$G$3</f>
        <v>46327</v>
      </c>
      <c r="B146" s="199" t="str">
        <f>Datos!G$4</f>
        <v>Compresora</v>
      </c>
      <c r="C146" s="31" t="s">
        <v>554</v>
      </c>
      <c r="D146" s="199" t="str">
        <f>Datos!$B$26</f>
        <v>Comités y subcomités de seguridad realizados</v>
      </c>
      <c r="E146" s="199" t="str">
        <f>Datos!$C$26</f>
        <v>u</v>
      </c>
      <c r="F146" s="31" t="s">
        <v>538</v>
      </c>
      <c r="G146" s="246" t="str">
        <f>IF(ISNUMBER(Datos!G26),Datos!G26,"")</f>
        <v/>
      </c>
      <c r="H14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7" spans="1:8" ht="12.75" customHeight="1" x14ac:dyDescent="0.3">
      <c r="A147" s="245">
        <f>Datos!$G$3</f>
        <v>46327</v>
      </c>
      <c r="B147" s="199" t="str">
        <f>Datos!G$4</f>
        <v>Compresora</v>
      </c>
      <c r="C147" s="31" t="s">
        <v>555</v>
      </c>
      <c r="D147" s="199" t="str">
        <f>Datos!$B$27</f>
        <v>Comités y subcomités de seguridad planificados</v>
      </c>
      <c r="E147" s="199" t="str">
        <f>Datos!$C$27</f>
        <v>u</v>
      </c>
      <c r="F147" s="31" t="s">
        <v>538</v>
      </c>
      <c r="G147" s="246" t="str">
        <f>IF(ISNUMBER(Datos!G27),Datos!G27,"")</f>
        <v/>
      </c>
      <c r="H14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8" spans="1:8" ht="12.75" customHeight="1" x14ac:dyDescent="0.3">
      <c r="A148" s="245">
        <f>Datos!$G$3</f>
        <v>46327</v>
      </c>
      <c r="B148" s="199" t="str">
        <f>Datos!G$4</f>
        <v>Compresora</v>
      </c>
      <c r="C148" s="31" t="s">
        <v>556</v>
      </c>
      <c r="D148" s="31" t="inlineStr">
        <is>
          <t>Observaciones de comportamiento seguro: total del mes (OPS + SMP)</t>
        </is>
      </c>
      <c r="E148" s="199" t="str">
        <f>Datos!$C$28</f>
        <v>u</v>
      </c>
      <c r="F148" s="31" t="s">
        <v>538</v>
      </c>
      <c r="G148" s="246" t="str">
        <f>IF(COUNT(Datos!G28:G29)=0,"",SUM(Datos!G28:G29))</f>
        <v/>
      </c>
      <c r="H14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9" spans="1:8" ht="12.75" customHeight="1" x14ac:dyDescent="0.3">
      <c r="A149" s="245">
        <f>Datos!$G$3</f>
        <v>46327</v>
      </c>
      <c r="B149" s="199" t="str">
        <f>Datos!G$4</f>
        <v>Compresora</v>
      </c>
      <c r="C149" s="31" t="s">
        <v>557</v>
      </c>
      <c r="D149" s="199" t="str">
        <f>Datos!$B$30</f>
        <v>Investigaciones de accidentes cerradas en el mes</v>
      </c>
      <c r="E149" s="199" t="str">
        <f>Datos!$C$30</f>
        <v>u</v>
      </c>
      <c r="F149" s="31" t="s">
        <v>538</v>
      </c>
      <c r="G149" s="246" t="str">
        <f>IF(ISNUMBER(Datos!G30),Datos!G30,"")</f>
        <v/>
      </c>
      <c r="H14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0" spans="1:8" ht="12.75" customHeight="1" x14ac:dyDescent="0.3">
      <c r="A150" s="245">
        <f>Datos!$G$3</f>
        <v>46327</v>
      </c>
      <c r="B150" s="199" t="str">
        <f>Datos!G$4</f>
        <v>Compresora</v>
      </c>
      <c r="C150" s="31" t="s">
        <v>558</v>
      </c>
      <c r="D150" s="199" t="str">
        <f>Datos!$B$31</f>
        <v>Días que llevaron esas investigaciones (suma)</v>
      </c>
      <c r="E150" s="199" t="str">
        <f>Datos!$C$31</f>
        <v>días</v>
      </c>
      <c r="F150" s="31" t="s">
        <v>538</v>
      </c>
      <c r="G150" s="246" t="str">
        <f>IF(ISNUMBER(Datos!G31),Datos!G31,"")</f>
        <v/>
      </c>
      <c r="H15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 spans="1:8" ht="12.75" customHeight="1" x14ac:dyDescent="0.3">
      <c r="A151" s="245">
        <f>Datos!$G$3</f>
        <v>46327</v>
      </c>
      <c r="B151" s="199" t="str">
        <f>Datos!G$4</f>
        <v>Compresora</v>
      </c>
      <c r="C151" s="31" t="s">
        <v>559</v>
      </c>
      <c r="D151" s="199" t="str">
        <f>Datos!$B$33</f>
        <v>Casos con días perdidos</v>
      </c>
      <c r="E151" s="199" t="str">
        <f>Datos!$C$33</f>
        <v>u</v>
      </c>
      <c r="F151" s="31" t="s">
        <v>538</v>
      </c>
      <c r="G151" s="246" t="str">
        <f>IF(ISNUMBER(Datos!G33),Datos!G33,"")</f>
        <v/>
      </c>
      <c r="H15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2" spans="1:8" ht="12.75" customHeight="1" x14ac:dyDescent="0.3">
      <c r="A152" s="245">
        <f>Datos!$G$3</f>
        <v>46327</v>
      </c>
      <c r="B152" s="199" t="str">
        <f>Datos!G$4</f>
        <v>Compresora</v>
      </c>
      <c r="C152" s="31" t="s">
        <v>560</v>
      </c>
      <c r="D152" s="199" t="str">
        <f>Datos!$B$34</f>
        <v>Casos con trabajo restringido</v>
      </c>
      <c r="E152" s="199" t="str">
        <f>Datos!$C$34</f>
        <v>u</v>
      </c>
      <c r="F152" s="31" t="s">
        <v>538</v>
      </c>
      <c r="G152" s="246" t="str">
        <f>IF(ISNUMBER(Datos!G34),Datos!G34,"")</f>
        <v/>
      </c>
      <c r="H15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3" spans="1:8" ht="12.75" customHeight="1" x14ac:dyDescent="0.3">
      <c r="A153" s="245">
        <f>Datos!$G$3</f>
        <v>46327</v>
      </c>
      <c r="B153" s="199" t="str">
        <f>Datos!G$4</f>
        <v>Compresora</v>
      </c>
      <c r="C153" s="31" t="s">
        <v>561</v>
      </c>
      <c r="D153" s="199" t="str">
        <f>Datos!$B$35</f>
        <v>Casos con tratamiento médico</v>
      </c>
      <c r="E153" s="199" t="str">
        <f>Datos!$C$35</f>
        <v>u</v>
      </c>
      <c r="F153" s="31" t="s">
        <v>538</v>
      </c>
      <c r="G153" s="246" t="str">
        <f>IF(ISNUMBER(Datos!G35),Datos!G35,"")</f>
        <v/>
      </c>
      <c r="H15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4" spans="1:8" ht="12.75" customHeight="1" x14ac:dyDescent="0.3">
      <c r="A154" s="245">
        <f>Datos!$G$3</f>
        <v>46327</v>
      </c>
      <c r="B154" s="199" t="str">
        <f>Datos!G$4</f>
        <v>Compresora</v>
      </c>
      <c r="C154" s="31" t="s">
        <v>562</v>
      </c>
      <c r="D154" s="199" t="str">
        <f>Datos!$B$36</f>
        <v>Fatalidades</v>
      </c>
      <c r="E154" s="199" t="str">
        <f>Datos!$C$36</f>
        <v>u</v>
      </c>
      <c r="F154" s="31" t="s">
        <v>538</v>
      </c>
      <c r="G154" s="246" t="str">
        <f>IF(ISNUMBER(Datos!G36),Datos!G36,"")</f>
        <v/>
      </c>
      <c r="H15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5" spans="1:8" ht="12.75" customHeight="1" x14ac:dyDescent="0.3">
      <c r="A155" s="245">
        <f>Datos!$G$3</f>
        <v>46327</v>
      </c>
      <c r="B155" s="199" t="str">
        <f>Datos!G$4</f>
        <v>Compresora</v>
      </c>
      <c r="C155" s="31" t="s">
        <v>51</v>
      </c>
      <c r="D155" s="199" t="str">
        <f>Datos!$B$37</f>
        <v>Casos de primeros auxilios</v>
      </c>
      <c r="E155" s="199" t="str">
        <f>Datos!$C$37</f>
        <v>u</v>
      </c>
      <c r="F155" s="31" t="s">
        <v>538</v>
      </c>
      <c r="G155" s="246" t="str">
        <f>IF(ISNUMBER(Datos!G37),Datos!G37,"")</f>
        <v/>
      </c>
      <c r="H15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6" spans="1:8" ht="12.75" customHeight="1" x14ac:dyDescent="0.3">
      <c r="A156" s="245">
        <f>Datos!$G$3</f>
        <v>46327</v>
      </c>
      <c r="B156" s="199" t="str">
        <f>Datos!G$4</f>
        <v>Compresora</v>
      </c>
      <c r="C156" s="31" t="s">
        <v>563</v>
      </c>
      <c r="D156" s="199" t="str">
        <f>Datos!$B$39</f>
        <v>CVM catastróficas</v>
      </c>
      <c r="E156" s="199" t="str">
        <f>Datos!$C$39</f>
        <v>u</v>
      </c>
      <c r="F156" s="31" t="s">
        <v>538</v>
      </c>
      <c r="G156" s="246" t="str">
        <f>IF(ISNUMBER(Datos!G39),Datos!G39,"")</f>
        <v/>
      </c>
      <c r="H15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7" spans="1:8" ht="12.75" customHeight="1" x14ac:dyDescent="0.3">
      <c r="A157" s="245">
        <f>Datos!$G$3</f>
        <v>46327</v>
      </c>
      <c r="B157" s="199" t="str">
        <f>Datos!G$4</f>
        <v>Compresora</v>
      </c>
      <c r="C157" s="31" t="s">
        <v>564</v>
      </c>
      <c r="D157" s="199" t="str">
        <f>Datos!$B$40</f>
        <v>CVM mayores</v>
      </c>
      <c r="E157" s="199" t="str">
        <f>Datos!$C$40</f>
        <v>u</v>
      </c>
      <c r="F157" s="31" t="s">
        <v>538</v>
      </c>
      <c r="G157" s="246" t="str">
        <f>IF(ISNUMBER(Datos!G40),Datos!G40,"")</f>
        <v/>
      </c>
      <c r="H15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8" spans="1:8" ht="12.75" customHeight="1" x14ac:dyDescent="0.3">
      <c r="A158" s="245">
        <f>Datos!$G$3</f>
        <v>46327</v>
      </c>
      <c r="B158" s="199" t="str">
        <f>Datos!G$4</f>
        <v>Compresora</v>
      </c>
      <c r="C158" s="31" t="s">
        <v>565</v>
      </c>
      <c r="D158" s="199" t="str">
        <f>Datos!$B$41</f>
        <v>CVM serias</v>
      </c>
      <c r="E158" s="199" t="str">
        <f>Datos!$C$41</f>
        <v>u</v>
      </c>
      <c r="F158" s="31" t="s">
        <v>538</v>
      </c>
      <c r="G158" s="246" t="str">
        <f>IF(ISNUMBER(Datos!G41),Datos!G41,"")</f>
        <v/>
      </c>
      <c r="H15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9" spans="1:8" ht="12.75" customHeight="1" x14ac:dyDescent="0.3">
      <c r="A159" s="245">
        <f>Datos!$G$3</f>
        <v>46327</v>
      </c>
      <c r="B159" s="199" t="str">
        <f>Datos!G$4</f>
        <v>Compresora</v>
      </c>
      <c r="C159" s="31" t="s">
        <v>566</v>
      </c>
      <c r="D159" s="199" t="str">
        <f>Datos!$B$42</f>
        <v>CVM otras / menores</v>
      </c>
      <c r="E159" s="199" t="str">
        <f>Datos!$C$42</f>
        <v>u</v>
      </c>
      <c r="F159" s="31" t="s">
        <v>538</v>
      </c>
      <c r="G159" s="246" t="str">
        <f>IF(ISNUMBER(Datos!G42),Datos!G42,"")</f>
        <v/>
      </c>
      <c r="H15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0" spans="1:8" ht="12.75" customHeight="1" x14ac:dyDescent="0.3">
      <c r="A160" s="245">
        <f>Datos!$G$3</f>
        <v>46327</v>
      </c>
      <c r="B160" s="199" t="str">
        <f>Datos!G$4</f>
        <v>Compresora</v>
      </c>
      <c r="C160" s="31" t="s">
        <v>567</v>
      </c>
      <c r="D160" s="199" t="str">
        <f>Datos!$B$44</f>
        <v>Km recorridos: vehículos livianos (camionetas)</v>
      </c>
      <c r="E160" s="199" t="str">
        <f>Datos!$C$44</f>
        <v>km</v>
      </c>
      <c r="F160" s="31" t="s">
        <v>538</v>
      </c>
      <c r="G160" s="246" t="str">
        <f>IF(ISNUMBER(Datos!G44),Datos!G44,"")</f>
        <v/>
      </c>
      <c r="H16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1" spans="1:8" ht="12.75" customHeight="1" x14ac:dyDescent="0.3">
      <c r="A161" s="245">
        <f>Datos!$G$3</f>
        <v>46327</v>
      </c>
      <c r="B161" s="199" t="str">
        <f>Datos!G$4</f>
        <v>Compresora</v>
      </c>
      <c r="C161" s="31" t="s">
        <v>568</v>
      </c>
      <c r="D161" s="199" t="str">
        <f>Datos!$B$45</f>
        <v>Km recorridos: vehículos pesados (camiones)</v>
      </c>
      <c r="E161" s="199" t="str">
        <f>Datos!$C$45</f>
        <v>km</v>
      </c>
      <c r="F161" s="31" t="s">
        <v>538</v>
      </c>
      <c r="G161" s="246" t="str">
        <f>IF(ISNUMBER(Datos!G45),Datos!G45,"")</f>
        <v/>
      </c>
      <c r="H16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2" spans="1:8" ht="12.75" customHeight="1" x14ac:dyDescent="0.3">
      <c r="A162" s="245">
        <f>Datos!$G$3</f>
        <v>46327</v>
      </c>
      <c r="B162" s="199" t="str">
        <f>Datos!G$4</f>
        <v>Compresora</v>
      </c>
      <c r="C162" s="31" t="s">
        <v>569</v>
      </c>
      <c r="D162" s="199" t="str">
        <f>Datos!$B$46</f>
        <v>Km recorridos: vehículos de transporte de personal (combis)</v>
      </c>
      <c r="E162" s="199" t="str">
        <f>Datos!$C$46</f>
        <v>km</v>
      </c>
      <c r="F162" s="31" t="s">
        <v>538</v>
      </c>
      <c r="G162" s="246" t="str">
        <f>IF(ISNUMBER(Datos!G46),Datos!G46,"")</f>
        <v/>
      </c>
      <c r="H16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3" spans="1:8" ht="12.75" customHeight="1" x14ac:dyDescent="0.3">
      <c r="A163" s="245">
        <f>Datos!$G$3</f>
        <v>46327</v>
      </c>
      <c r="B163" s="199" t="str">
        <f>Datos!G$4</f>
        <v>Compresora</v>
      </c>
      <c r="C163" s="31" t="s">
        <v>570</v>
      </c>
      <c r="D163" s="199" t="str">
        <f>Datos!$B$47</f>
        <v>Km recorridos: TOTAL</v>
      </c>
      <c r="E163" s="199" t="str">
        <f>Datos!$C$47</f>
        <v>km</v>
      </c>
      <c r="F163" s="31" t="s">
        <v>541</v>
      </c>
      <c r="G163" s="246">
        <f>IF(ISNUMBER(Datos!G47),Datos!G47,"")</f>
        <v>0</v>
      </c>
      <c r="H16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4" spans="1:8" ht="12.75" customHeight="1" x14ac:dyDescent="0.3">
      <c r="A164" s="245">
        <f>Datos!$G$3</f>
        <v>46327</v>
      </c>
      <c r="B164" s="199" t="str">
        <f>Datos!G$4</f>
        <v>Compresora</v>
      </c>
      <c r="C164" s="31" t="s">
        <v>571</v>
      </c>
      <c r="D164" s="199" t="str">
        <f>Datos!$B$67</f>
        <v>Hallazgos (desvíos) cerrados en el mes</v>
      </c>
      <c r="E164" s="199" t="str">
        <f>Datos!$C$67</f>
        <v>u</v>
      </c>
      <c r="F164" s="31" t="s">
        <v>572</v>
      </c>
      <c r="G164" s="246" t="str">
        <f>IF(ISNUMBER(Datos!G67),Datos!G67,"")</f>
        <v/>
      </c>
      <c r="H16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5" spans="1:8" ht="12.75" customHeight="1" x14ac:dyDescent="0.3">
      <c r="A165" s="245">
        <f>Datos!$G$3</f>
        <v>46327</v>
      </c>
      <c r="B165" s="199" t="str">
        <f>Datos!G$4</f>
        <v>Compresora</v>
      </c>
      <c r="C165" s="31" t="s">
        <v>573</v>
      </c>
      <c r="D165" s="199" t="str">
        <f>Datos!$B$68</f>
        <v>Días que llevaron esos hallazgos (suma)</v>
      </c>
      <c r="E165" s="199" t="str">
        <f>Datos!$C$68</f>
        <v>días</v>
      </c>
      <c r="F165" s="31" t="s">
        <v>572</v>
      </c>
      <c r="G165" s="246" t="str">
        <f>IF(ISNUMBER(Datos!G68),Datos!G68,"")</f>
        <v/>
      </c>
      <c r="H16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6" spans="1:8" ht="12.75" customHeight="1" x14ac:dyDescent="0.3">
      <c r="A166" s="245">
        <f>Datos!$G$3</f>
        <v>46327</v>
      </c>
      <c r="B166" s="199" t="str">
        <f>Datos!G$4</f>
        <v>Compresora</v>
      </c>
      <c r="C166" s="31" t="s">
        <v>574</v>
      </c>
      <c r="D166" s="199" t="str">
        <f>Datos!$B$69</f>
        <v>Hallazgos (desvíos) abiertos a fin de mes</v>
      </c>
      <c r="E166" s="199" t="str">
        <f>Datos!$C$69</f>
        <v>u</v>
      </c>
      <c r="F166" s="31" t="s">
        <v>572</v>
      </c>
      <c r="G166" s="246" t="str">
        <f>IF(ISNUMBER(Datos!G69),Datos!G69,"")</f>
        <v/>
      </c>
      <c r="H16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7" spans="1:8" ht="12.75" customHeight="1" x14ac:dyDescent="0.3">
      <c r="A167" s="245">
        <f>Datos!$G$3</f>
        <v>46327</v>
      </c>
      <c r="B167" s="199" t="str">
        <f>Datos!G$4</f>
        <v>Compresora</v>
      </c>
      <c r="C167" s="31" t="s">
        <v>575</v>
      </c>
      <c r="D167" s="199" t="str">
        <f>Datos!$B$70</f>
        <v>Hallazgos (desvíos) detectados en el mes</v>
      </c>
      <c r="E167" s="199" t="str">
        <f>Datos!$C$70</f>
        <v>u</v>
      </c>
      <c r="F167" s="31" t="s">
        <v>572</v>
      </c>
      <c r="G167" s="246" t="str">
        <f>IF(ISNUMBER(Datos!G70),Datos!G70,"")</f>
        <v/>
      </c>
      <c r="H16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8" spans="1:8" ht="12.75" customHeight="1" x14ac:dyDescent="0.3">
      <c r="A168" s="245">
        <f>Datos!$G$3</f>
        <v>46327</v>
      </c>
      <c r="B168" s="199" t="str">
        <f>Datos!G$4</f>
        <v>Compresora</v>
      </c>
      <c r="C168" s="31" t="s">
        <v>576</v>
      </c>
      <c r="D168" s="199" t="str">
        <f>Datos!$B$71</f>
        <v>Desvíos detectados en el mes · gravedad Alta</v>
      </c>
      <c r="E168" s="199" t="str">
        <f>Datos!$C$71</f>
        <v>u</v>
      </c>
      <c r="F168" s="31" t="s">
        <v>572</v>
      </c>
      <c r="G168" s="246" t="str">
        <f>IF(ISNUMBER(Datos!G71),Datos!G71,"")</f>
        <v/>
      </c>
      <c r="H16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9" spans="1:8" ht="12.75" customHeight="1" x14ac:dyDescent="0.3">
      <c r="A169" s="245">
        <f>Datos!$G$3</f>
        <v>46327</v>
      </c>
      <c r="B169" s="199" t="str">
        <f>Datos!G$4</f>
        <v>Compresora</v>
      </c>
      <c r="C169" s="31" t="s">
        <v>577</v>
      </c>
      <c r="D169" s="199" t="str">
        <f>Datos!$B$72</f>
        <v>Desvíos detectados en el mes · gravedad Media</v>
      </c>
      <c r="E169" s="199" t="str">
        <f>Datos!$C$72</f>
        <v>u</v>
      </c>
      <c r="F169" s="31" t="s">
        <v>572</v>
      </c>
      <c r="G169" s="246" t="str">
        <f>IF(ISNUMBER(Datos!G72),Datos!G72,"")</f>
        <v/>
      </c>
      <c r="H16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0" spans="1:8" ht="12.75" customHeight="1" x14ac:dyDescent="0.3">
      <c r="A170" s="245">
        <f>Datos!$G$3</f>
        <v>46327</v>
      </c>
      <c r="B170" s="199" t="str">
        <f>Datos!G$4</f>
        <v>Compresora</v>
      </c>
      <c r="C170" s="31" t="s">
        <v>578</v>
      </c>
      <c r="D170" s="199" t="str">
        <f>Datos!$B$73</f>
        <v>Desvíos detectados en el mes · gravedad Baja</v>
      </c>
      <c r="E170" s="199" t="str">
        <f>Datos!$C$73</f>
        <v>u</v>
      </c>
      <c r="F170" s="31" t="s">
        <v>572</v>
      </c>
      <c r="G170" s="246" t="str">
        <f>IF(ISNUMBER(Datos!G73),Datos!G73,"")</f>
        <v/>
      </c>
      <c r="H17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1" spans="1:8" ht="12.75" customHeight="1" x14ac:dyDescent="0.3">
      <c r="A171" s="245">
        <f>Datos!$G$3</f>
        <v>46327</v>
      </c>
      <c r="B171" s="199" t="str">
        <f>Datos!G$4</f>
        <v>Compresora</v>
      </c>
      <c r="C171" s="31" t="s">
        <v>579</v>
      </c>
      <c r="D171" s="199" t="str">
        <f>Datos!$B$74</f>
        <v>Desvíos detectados en el mes · sin gravedad cargada</v>
      </c>
      <c r="E171" s="199" t="str">
        <f>Datos!$C$74</f>
        <v>u</v>
      </c>
      <c r="F171" s="31" t="s">
        <v>572</v>
      </c>
      <c r="G171" s="246">
        <f>IF(ISNUMBER(Datos!G74),Datos!G74,"")</f>
        <v>0</v>
      </c>
      <c r="H17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2" spans="1:8" ht="12.75" customHeight="1" x14ac:dyDescent="0.3">
      <c r="A172" s="245">
        <f>Datos!$G$3</f>
        <v>46327</v>
      </c>
      <c r="B172" s="199" t="str">
        <f>Datos!G$4</f>
        <v>Compresora</v>
      </c>
      <c r="C172" s="31" t="s">
        <v>580</v>
      </c>
      <c r="D172" s="199" t="str">
        <f>Datos!$B$75</f>
        <v>Detenciones de tareas aplicadas en el mes (Política = Sí)</v>
      </c>
      <c r="E172" s="199" t="str">
        <f>Datos!$C$75</f>
        <v>u</v>
      </c>
      <c r="F172" s="31" t="s">
        <v>572</v>
      </c>
      <c r="G172" s="246" t="str">
        <f>IF(ISNUMBER(Datos!G75),Datos!G75,"")</f>
        <v/>
      </c>
      <c r="H17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3" spans="1:8" ht="12.75" customHeight="1" x14ac:dyDescent="0.3">
      <c r="A173" s="245">
        <f>Datos!$G$3</f>
        <v>46327</v>
      </c>
      <c r="B173" s="199" t="str">
        <f>Datos!G$4</f>
        <v>Compresora</v>
      </c>
      <c r="C173" s="31" t="s">
        <v>581</v>
      </c>
      <c r="D173" s="199" t="str">
        <f>Datos!$B$76</f>
        <v>Desvíos de gravedad Alta abiertos a fin de mes</v>
      </c>
      <c r="E173" s="199" t="str">
        <f>Datos!$C$76</f>
        <v>u</v>
      </c>
      <c r="F173" s="31" t="s">
        <v>572</v>
      </c>
      <c r="G173" s="246" t="str">
        <f>IF(ISNUMBER(Datos!G76),Datos!G76,"")</f>
        <v/>
      </c>
      <c r="H17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4" spans="1:8" ht="12.75" customHeight="1" x14ac:dyDescent="0.3">
      <c r="A174" s="245">
        <f>Datos!$H$3</f>
        <v>46357</v>
      </c>
      <c r="B174" s="199" t="str">
        <f>Datos!H$4</f>
        <v>Compresora</v>
      </c>
      <c r="C174" s="31" t="s">
        <v>537</v>
      </c>
      <c r="D174" s="199" t="str">
        <f>Datos!$B$9</f>
        <v>Dotación promedio: Personal OPS</v>
      </c>
      <c r="E174" s="199" t="str">
        <f>Datos!$C$9</f>
        <v>pers</v>
      </c>
      <c r="F174" s="31" t="s">
        <v>538</v>
      </c>
      <c r="G174" s="246" t="str">
        <f>IF(ISNUMBER(Datos!H9),Datos!H9,"")</f>
        <v/>
      </c>
      <c r="H17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5" spans="1:8" ht="12.75" customHeight="1" x14ac:dyDescent="0.3">
      <c r="A175" s="245">
        <f>Datos!$H$3</f>
        <v>46357</v>
      </c>
      <c r="B175" s="199" t="str">
        <f>Datos!H$4</f>
        <v>Compresora</v>
      </c>
      <c r="C175" s="31" t="s">
        <v>539</v>
      </c>
      <c r="D175" s="199" t="str">
        <f>Datos!$B$10</f>
        <v>Dotación promedio: Personal SMP(IEBC, PAE e YPF) </v>
      </c>
      <c r="E175" s="199" t="str">
        <f>Datos!$C$10</f>
        <v>pers</v>
      </c>
      <c r="F175" s="31" t="s">
        <v>538</v>
      </c>
      <c r="G175" s="246" t="str">
        <f>IF(ISNUMBER(Datos!H10),Datos!H10,"")</f>
        <v/>
      </c>
      <c r="H17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6" spans="1:8" ht="12.75" customHeight="1" x14ac:dyDescent="0.3">
      <c r="A176" s="245">
        <f>Datos!$H$3</f>
        <v>46357</v>
      </c>
      <c r="B176" s="199" t="str">
        <f>Datos!H$4</f>
        <v>Compresora</v>
      </c>
      <c r="C176" s="31" t="s">
        <v>540</v>
      </c>
      <c r="D176" s="199" t="str">
        <f>Datos!$B$11</f>
        <v>Dotación promedio: TOTAL</v>
      </c>
      <c r="E176" s="199" t="str">
        <f>Datos!$C$11</f>
        <v>pers</v>
      </c>
      <c r="F176" s="31" t="s">
        <v>541</v>
      </c>
      <c r="G176" s="246">
        <f>IF(ISNUMBER(Datos!H11),Datos!H11,"")</f>
        <v>0</v>
      </c>
      <c r="H17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7" spans="1:8" ht="12.75" customHeight="1" x14ac:dyDescent="0.3">
      <c r="A177" s="245">
        <f>Datos!$H$3</f>
        <v>46357</v>
      </c>
      <c r="B177" s="199" t="str">
        <f>Datos!H$4</f>
        <v>Compresora</v>
      </c>
      <c r="C177" s="31" t="s">
        <v>542</v>
      </c>
      <c r="D177" s="199" t="str">
        <f>Datos!$B$12</f>
        <v>Horas hombre trabajadas: Personal OPS</v>
      </c>
      <c r="E177" s="199" t="str">
        <f>Datos!$C$12</f>
        <v>h</v>
      </c>
      <c r="F177" s="31" t="s">
        <v>538</v>
      </c>
      <c r="G177" s="246" t="str">
        <f>IF(ISNUMBER(Datos!H12),Datos!H12,"")</f>
        <v/>
      </c>
      <c r="H17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8" spans="1:8" ht="12.75" customHeight="1" x14ac:dyDescent="0.3">
      <c r="A178" s="245">
        <f>Datos!$H$3</f>
        <v>46357</v>
      </c>
      <c r="B178" s="199" t="str">
        <f>Datos!H$4</f>
        <v>Compresora</v>
      </c>
      <c r="C178" s="31" t="s">
        <v>543</v>
      </c>
      <c r="D178" s="199" t="str">
        <f>Datos!$B$13</f>
        <v>Horas hombre trabajadas: Personal SMP(IEBC, PAE e YPF) en campo</v>
      </c>
      <c r="E178" s="199" t="str">
        <f>Datos!$C$13</f>
        <v>h</v>
      </c>
      <c r="F178" s="31" t="s">
        <v>538</v>
      </c>
      <c r="G178" s="246" t="str">
        <f>IF(ISNUMBER(Datos!H13),Datos!H13,"")</f>
        <v/>
      </c>
      <c r="H17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9" spans="1:8" ht="12.75" customHeight="1" x14ac:dyDescent="0.3">
      <c r="A179" s="245">
        <f>Datos!$H$3</f>
        <v>46357</v>
      </c>
      <c r="B179" s="199" t="str">
        <f>Datos!H$4</f>
        <v>Compresora</v>
      </c>
      <c r="C179" s="31" t="s">
        <v>544</v>
      </c>
      <c r="D179" s="199" t="str">
        <f>Datos!$B$14</f>
        <v>Horas hombre trabajadas: TOTAL</v>
      </c>
      <c r="E179" s="199" t="str">
        <f>Datos!$C$14</f>
        <v>h</v>
      </c>
      <c r="F179" s="31" t="s">
        <v>541</v>
      </c>
      <c r="G179" s="246">
        <f>IF(ISNUMBER(Datos!H14),Datos!H14,"")</f>
        <v>0</v>
      </c>
      <c r="H17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0" spans="1:8" ht="12.75" customHeight="1" x14ac:dyDescent="0.3">
      <c r="A180" s="245">
        <f>Datos!$H$3</f>
        <v>46357</v>
      </c>
      <c r="B180" s="199" t="str">
        <f>Datos!H$4</f>
        <v>Compresora</v>
      </c>
      <c r="C180" s="31" t="s">
        <v>545</v>
      </c>
      <c r="D180" s="199" t="str">
        <f>Datos!$B$16</f>
        <v>Horas hombre de formación en seguridad: Personal OPS</v>
      </c>
      <c r="E180" s="199" t="str">
        <f>Datos!$C$16</f>
        <v>h</v>
      </c>
      <c r="F180" s="31" t="s">
        <v>538</v>
      </c>
      <c r="G180" s="246" t="str">
        <f>IF(ISNUMBER(Datos!H16),Datos!H16,"")</f>
        <v/>
      </c>
      <c r="H18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1" spans="1:8" ht="12.75" customHeight="1" x14ac:dyDescent="0.3">
      <c r="A181" s="245">
        <f>Datos!$H$3</f>
        <v>46357</v>
      </c>
      <c r="B181" s="199" t="str">
        <f>Datos!H$4</f>
        <v>Compresora</v>
      </c>
      <c r="C181" s="31" t="s">
        <v>546</v>
      </c>
      <c r="D181" s="199" t="str">
        <f>Datos!$B$17</f>
        <v>Horas hombre de formación en seguridad: Personal SMP(IEBC, PAE e YPF) </v>
      </c>
      <c r="E181" s="199" t="str">
        <f>Datos!$C$17</f>
        <v>h</v>
      </c>
      <c r="F181" s="31" t="s">
        <v>538</v>
      </c>
      <c r="G181" s="246" t="str">
        <f>IF(ISNUMBER(Datos!H17),Datos!H17,"")</f>
        <v/>
      </c>
      <c r="H18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2" spans="1:8" ht="12.75" customHeight="1" x14ac:dyDescent="0.3">
      <c r="A182" s="245">
        <f>Datos!$H$3</f>
        <v>46357</v>
      </c>
      <c r="B182" s="199" t="str">
        <f>Datos!H$4</f>
        <v>Compresora</v>
      </c>
      <c r="C182" s="31" t="s">
        <v>547</v>
      </c>
      <c r="D182" s="199" t="str">
        <f>Datos!$B$18</f>
        <v>Horas hombre de formación en seguridad: TOTAL</v>
      </c>
      <c r="E182" s="199" t="str">
        <f>Datos!$C$18</f>
        <v>h</v>
      </c>
      <c r="F182" s="31" t="s">
        <v>541</v>
      </c>
      <c r="G182" s="246">
        <f>IF(ISNUMBER(Datos!H18),Datos!H18,"")</f>
        <v>0</v>
      </c>
      <c r="H18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3" spans="1:8" ht="12.75" customHeight="1" x14ac:dyDescent="0.3">
      <c r="A183" s="245">
        <f>Datos!$H$3</f>
        <v>46357</v>
      </c>
      <c r="B183" s="199" t="str">
        <f>Datos!H$4</f>
        <v>Compresora</v>
      </c>
      <c r="C183" s="31" t="s">
        <v>548</v>
      </c>
      <c r="D183" s="199" t="str">
        <f>Datos!$B$20</f>
        <v>SIMULACROS · Realizados (emergencia y operativos)</v>
      </c>
      <c r="E183" s="199" t="str">
        <f>Datos!$C$20</f>
        <v>u</v>
      </c>
      <c r="F183" s="31" t="s">
        <v>538</v>
      </c>
      <c r="G183" s="246" t="str">
        <f>IF(ISNUMBER(Datos!H20),Datos!H20,"")</f>
        <v/>
      </c>
      <c r="H18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4" spans="1:8" ht="12.75" customHeight="1" x14ac:dyDescent="0.3">
      <c r="A184" s="245">
        <f>Datos!$H$3</f>
        <v>46357</v>
      </c>
      <c r="B184" s="199" t="str">
        <f>Datos!H$4</f>
        <v>Compresora</v>
      </c>
      <c r="C184" s="31" t="s">
        <v>549</v>
      </c>
      <c r="D184" s="199" t="str">
        <f>Datos!$B$21</f>
        <v>SIMULACROS · Programados (emergencia y operativos)</v>
      </c>
      <c r="E184" s="199" t="str">
        <f>Datos!$C$21</f>
        <v>u</v>
      </c>
      <c r="F184" s="31" t="s">
        <v>538</v>
      </c>
      <c r="G184" s="246" t="str">
        <f>IF(ISNUMBER(Datos!H21),Datos!H21,"")</f>
        <v/>
      </c>
      <c r="H18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5" spans="1:8" ht="12.75" customHeight="1" x14ac:dyDescent="0.3">
      <c r="A185" s="245">
        <f>Datos!$H$3</f>
        <v>46357</v>
      </c>
      <c r="B185" s="199" t="str">
        <f>Datos!H$4</f>
        <v>Compresora</v>
      </c>
      <c r="C185" s="31" t="s">
        <v>550</v>
      </c>
      <c r="D185" s="199" t="str">
        <f>Datos!$B$22</f>
        <v>SIMULACROS · Acciones de mejora surgidas de los simulacros (en el mes informado)</v>
      </c>
      <c r="E185" s="199" t="str">
        <f>Datos!$C$22</f>
        <v>u</v>
      </c>
      <c r="F185" s="31" t="s">
        <v>538</v>
      </c>
      <c r="G185" s="246" t="str">
        <f>IF(ISNUMBER(Datos!H22),Datos!H22,"")</f>
        <v/>
      </c>
      <c r="H18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6" spans="1:8" ht="12.75" customHeight="1" x14ac:dyDescent="0.3">
      <c r="A186" s="245">
        <f>Datos!$H$3</f>
        <v>46357</v>
      </c>
      <c r="B186" s="199" t="str">
        <f>Datos!H$4</f>
        <v>Compresora</v>
      </c>
      <c r="C186" s="31" t="s">
        <v>551</v>
      </c>
      <c r="D186" s="199" t="str">
        <f>Datos!$B$23</f>
        <v>SIMULACROS · Acciones de mejora implementadas surgidas de los simulacros (ICME) (en el mes informado)</v>
      </c>
      <c r="E186" s="199" t="str">
        <f>Datos!$C$23</f>
        <v>u</v>
      </c>
      <c r="F186" s="31" t="s">
        <v>538</v>
      </c>
      <c r="G186" s="246" t="str">
        <f>IF(ISNUMBER(Datos!H23),Datos!H23,"")</f>
        <v/>
      </c>
      <c r="H18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7" spans="1:8" ht="12.75" customHeight="1" x14ac:dyDescent="0.3">
      <c r="A187" s="245">
        <f>Datos!$H$3</f>
        <v>46357</v>
      </c>
      <c r="B187" s="199" t="str">
        <f>Datos!H$4</f>
        <v>Compresora</v>
      </c>
      <c r="C187" s="31" t="s">
        <v>552</v>
      </c>
      <c r="D187" s="199" t="str">
        <f>Datos!$B$24</f>
        <v>Caminatas gerenciales realizadas</v>
      </c>
      <c r="E187" s="199" t="str">
        <f>Datos!$C$24</f>
        <v>u</v>
      </c>
      <c r="F187" s="31" t="s">
        <v>538</v>
      </c>
      <c r="G187" s="246" t="str">
        <f>IF(ISNUMBER(Datos!H24),Datos!H24,"")</f>
        <v/>
      </c>
      <c r="H18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8" spans="1:8" ht="12.75" customHeight="1" x14ac:dyDescent="0.3">
      <c r="A188" s="245">
        <f>Datos!$H$3</f>
        <v>46357</v>
      </c>
      <c r="B188" s="199" t="str">
        <f>Datos!H$4</f>
        <v>Compresora</v>
      </c>
      <c r="C188" s="31" t="s">
        <v>553</v>
      </c>
      <c r="D188" s="199" t="str">
        <f>Datos!$B$25</f>
        <v>Caminatas gerenciales planificadas</v>
      </c>
      <c r="E188" s="199" t="str">
        <f>Datos!$C$25</f>
        <v>u</v>
      </c>
      <c r="F188" s="31" t="s">
        <v>538</v>
      </c>
      <c r="G188" s="246" t="str">
        <f>IF(ISNUMBER(Datos!H25),Datos!H25,"")</f>
        <v/>
      </c>
      <c r="H18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9" spans="1:8" ht="12.75" customHeight="1" x14ac:dyDescent="0.3">
      <c r="A189" s="245">
        <f>Datos!$H$3</f>
        <v>46357</v>
      </c>
      <c r="B189" s="199" t="str">
        <f>Datos!H$4</f>
        <v>Compresora</v>
      </c>
      <c r="C189" s="31" t="s">
        <v>554</v>
      </c>
      <c r="D189" s="199" t="str">
        <f>Datos!$B$26</f>
        <v>Comités y subcomités de seguridad realizados</v>
      </c>
      <c r="E189" s="199" t="str">
        <f>Datos!$C$26</f>
        <v>u</v>
      </c>
      <c r="F189" s="31" t="s">
        <v>538</v>
      </c>
      <c r="G189" s="246" t="str">
        <f>IF(ISNUMBER(Datos!H26),Datos!H26,"")</f>
        <v/>
      </c>
      <c r="H18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0" spans="1:8" ht="12.75" customHeight="1" x14ac:dyDescent="0.3">
      <c r="A190" s="245">
        <f>Datos!$H$3</f>
        <v>46357</v>
      </c>
      <c r="B190" s="199" t="str">
        <f>Datos!H$4</f>
        <v>Compresora</v>
      </c>
      <c r="C190" s="31" t="s">
        <v>555</v>
      </c>
      <c r="D190" s="199" t="str">
        <f>Datos!$B$27</f>
        <v>Comités y subcomités de seguridad planificados</v>
      </c>
      <c r="E190" s="199" t="str">
        <f>Datos!$C$27</f>
        <v>u</v>
      </c>
      <c r="F190" s="31" t="s">
        <v>538</v>
      </c>
      <c r="G190" s="246" t="str">
        <f>IF(ISNUMBER(Datos!H27),Datos!H27,"")</f>
        <v/>
      </c>
      <c r="H19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1" spans="1:8" ht="12.75" customHeight="1" x14ac:dyDescent="0.3">
      <c r="A191" s="245">
        <f>Datos!$H$3</f>
        <v>46357</v>
      </c>
      <c r="B191" s="199" t="str">
        <f>Datos!H$4</f>
        <v>Compresora</v>
      </c>
      <c r="C191" s="31" t="s">
        <v>556</v>
      </c>
      <c r="D191" s="31" t="inlineStr">
        <is>
          <t>Observaciones de comportamiento seguro: total del mes (OPS + SMP)</t>
        </is>
      </c>
      <c r="E191" s="199" t="str">
        <f>Datos!$C$28</f>
        <v>u</v>
      </c>
      <c r="F191" s="31" t="s">
        <v>538</v>
      </c>
      <c r="G191" s="246" t="str">
        <f>IF(COUNT(Datos!H28:H29)=0,"",SUM(Datos!H28:H29))</f>
        <v/>
      </c>
      <c r="H19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2" spans="1:8" ht="12.75" customHeight="1" x14ac:dyDescent="0.3">
      <c r="A192" s="245">
        <f>Datos!$H$3</f>
        <v>46357</v>
      </c>
      <c r="B192" s="199" t="str">
        <f>Datos!H$4</f>
        <v>Compresora</v>
      </c>
      <c r="C192" s="31" t="s">
        <v>557</v>
      </c>
      <c r="D192" s="199" t="str">
        <f>Datos!$B$30</f>
        <v>Investigaciones de accidentes cerradas en el mes</v>
      </c>
      <c r="E192" s="199" t="str">
        <f>Datos!$C$30</f>
        <v>u</v>
      </c>
      <c r="F192" s="31" t="s">
        <v>538</v>
      </c>
      <c r="G192" s="246" t="str">
        <f>IF(ISNUMBER(Datos!H30),Datos!H30,"")</f>
        <v/>
      </c>
      <c r="H19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3" spans="1:8" ht="12.75" customHeight="1" x14ac:dyDescent="0.3">
      <c r="A193" s="245">
        <f>Datos!$H$3</f>
        <v>46357</v>
      </c>
      <c r="B193" s="199" t="str">
        <f>Datos!H$4</f>
        <v>Compresora</v>
      </c>
      <c r="C193" s="31" t="s">
        <v>558</v>
      </c>
      <c r="D193" s="199" t="str">
        <f>Datos!$B$31</f>
        <v>Días que llevaron esas investigaciones (suma)</v>
      </c>
      <c r="E193" s="199" t="str">
        <f>Datos!$C$31</f>
        <v>días</v>
      </c>
      <c r="F193" s="31" t="s">
        <v>538</v>
      </c>
      <c r="G193" s="246" t="str">
        <f>IF(ISNUMBER(Datos!H31),Datos!H31,"")</f>
        <v/>
      </c>
      <c r="H19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4" spans="1:8" ht="12.75" customHeight="1" x14ac:dyDescent="0.3">
      <c r="A194" s="245">
        <f>Datos!$H$3</f>
        <v>46357</v>
      </c>
      <c r="B194" s="199" t="str">
        <f>Datos!H$4</f>
        <v>Compresora</v>
      </c>
      <c r="C194" s="31" t="s">
        <v>559</v>
      </c>
      <c r="D194" s="199" t="str">
        <f>Datos!$B$33</f>
        <v>Casos con días perdidos</v>
      </c>
      <c r="E194" s="199" t="str">
        <f>Datos!$C$33</f>
        <v>u</v>
      </c>
      <c r="F194" s="31" t="s">
        <v>538</v>
      </c>
      <c r="G194" s="246" t="str">
        <f>IF(ISNUMBER(Datos!H33),Datos!H33,"")</f>
        <v/>
      </c>
      <c r="H19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5" spans="1:8" ht="12.75" customHeight="1" x14ac:dyDescent="0.3">
      <c r="A195" s="245">
        <f>Datos!$H$3</f>
        <v>46357</v>
      </c>
      <c r="B195" s="199" t="str">
        <f>Datos!H$4</f>
        <v>Compresora</v>
      </c>
      <c r="C195" s="31" t="s">
        <v>560</v>
      </c>
      <c r="D195" s="199" t="str">
        <f>Datos!$B$34</f>
        <v>Casos con trabajo restringido</v>
      </c>
      <c r="E195" s="199" t="str">
        <f>Datos!$C$34</f>
        <v>u</v>
      </c>
      <c r="F195" s="31" t="s">
        <v>538</v>
      </c>
      <c r="G195" s="246" t="str">
        <f>IF(ISNUMBER(Datos!H34),Datos!H34,"")</f>
        <v/>
      </c>
      <c r="H19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6" spans="1:8" ht="12.75" customHeight="1" x14ac:dyDescent="0.3">
      <c r="A196" s="245">
        <f>Datos!$H$3</f>
        <v>46357</v>
      </c>
      <c r="B196" s="199" t="str">
        <f>Datos!H$4</f>
        <v>Compresora</v>
      </c>
      <c r="C196" s="31" t="s">
        <v>561</v>
      </c>
      <c r="D196" s="199" t="str">
        <f>Datos!$B$35</f>
        <v>Casos con tratamiento médico</v>
      </c>
      <c r="E196" s="199" t="str">
        <f>Datos!$C$35</f>
        <v>u</v>
      </c>
      <c r="F196" s="31" t="s">
        <v>538</v>
      </c>
      <c r="G196" s="246" t="str">
        <f>IF(ISNUMBER(Datos!H35),Datos!H35,"")</f>
        <v/>
      </c>
      <c r="H19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7" spans="1:8" ht="12.75" customHeight="1" x14ac:dyDescent="0.3">
      <c r="A197" s="245">
        <f>Datos!$H$3</f>
        <v>46357</v>
      </c>
      <c r="B197" s="199" t="str">
        <f>Datos!H$4</f>
        <v>Compresora</v>
      </c>
      <c r="C197" s="31" t="s">
        <v>562</v>
      </c>
      <c r="D197" s="199" t="str">
        <f>Datos!$B$36</f>
        <v>Fatalidades</v>
      </c>
      <c r="E197" s="199" t="str">
        <f>Datos!$C$36</f>
        <v>u</v>
      </c>
      <c r="F197" s="31" t="s">
        <v>538</v>
      </c>
      <c r="G197" s="246" t="str">
        <f>IF(ISNUMBER(Datos!H36),Datos!H36,"")</f>
        <v/>
      </c>
      <c r="H19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8" spans="1:8" ht="12.75" customHeight="1" x14ac:dyDescent="0.3">
      <c r="A198" s="245">
        <f>Datos!$H$3</f>
        <v>46357</v>
      </c>
      <c r="B198" s="199" t="str">
        <f>Datos!H$4</f>
        <v>Compresora</v>
      </c>
      <c r="C198" s="31" t="s">
        <v>51</v>
      </c>
      <c r="D198" s="199" t="str">
        <f>Datos!$B$37</f>
        <v>Casos de primeros auxilios</v>
      </c>
      <c r="E198" s="199" t="str">
        <f>Datos!$C$37</f>
        <v>u</v>
      </c>
      <c r="F198" s="31" t="s">
        <v>538</v>
      </c>
      <c r="G198" s="246" t="str">
        <f>IF(ISNUMBER(Datos!H37),Datos!H37,"")</f>
        <v/>
      </c>
      <c r="H19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9" spans="1:8" ht="12.75" customHeight="1" x14ac:dyDescent="0.3">
      <c r="A199" s="245">
        <f>Datos!$H$3</f>
        <v>46357</v>
      </c>
      <c r="B199" s="199" t="str">
        <f>Datos!H$4</f>
        <v>Compresora</v>
      </c>
      <c r="C199" s="31" t="s">
        <v>563</v>
      </c>
      <c r="D199" s="199" t="str">
        <f>Datos!$B$39</f>
        <v>CVM catastróficas</v>
      </c>
      <c r="E199" s="199" t="str">
        <f>Datos!$C$39</f>
        <v>u</v>
      </c>
      <c r="F199" s="31" t="s">
        <v>538</v>
      </c>
      <c r="G199" s="246" t="str">
        <f>IF(ISNUMBER(Datos!H39),Datos!H39,"")</f>
        <v/>
      </c>
      <c r="H19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0" spans="1:8" ht="12.75" customHeight="1" x14ac:dyDescent="0.3">
      <c r="A200" s="245">
        <f>Datos!$H$3</f>
        <v>46357</v>
      </c>
      <c r="B200" s="199" t="str">
        <f>Datos!H$4</f>
        <v>Compresora</v>
      </c>
      <c r="C200" s="31" t="s">
        <v>564</v>
      </c>
      <c r="D200" s="199" t="str">
        <f>Datos!$B$40</f>
        <v>CVM mayores</v>
      </c>
      <c r="E200" s="199" t="str">
        <f>Datos!$C$40</f>
        <v>u</v>
      </c>
      <c r="F200" s="31" t="s">
        <v>538</v>
      </c>
      <c r="G200" s="246" t="str">
        <f>IF(ISNUMBER(Datos!H40),Datos!H40,"")</f>
        <v/>
      </c>
      <c r="H20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1" spans="1:8" ht="12.75" customHeight="1" x14ac:dyDescent="0.3">
      <c r="A201" s="245">
        <f>Datos!$H$3</f>
        <v>46357</v>
      </c>
      <c r="B201" s="199" t="str">
        <f>Datos!H$4</f>
        <v>Compresora</v>
      </c>
      <c r="C201" s="31" t="s">
        <v>565</v>
      </c>
      <c r="D201" s="199" t="str">
        <f>Datos!$B$41</f>
        <v>CVM serias</v>
      </c>
      <c r="E201" s="199" t="str">
        <f>Datos!$C$41</f>
        <v>u</v>
      </c>
      <c r="F201" s="31" t="s">
        <v>538</v>
      </c>
      <c r="G201" s="246" t="str">
        <f>IF(ISNUMBER(Datos!H41),Datos!H41,"")</f>
        <v/>
      </c>
      <c r="H20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2" spans="1:8" ht="14.25" customHeight="1" x14ac:dyDescent="0.3">
      <c r="A202" s="245">
        <f>Datos!$H$3</f>
        <v>46357</v>
      </c>
      <c r="B202" s="199" t="str">
        <f>Datos!H$4</f>
        <v>Compresora</v>
      </c>
      <c r="C202" s="31" t="s">
        <v>566</v>
      </c>
      <c r="D202" s="199" t="str">
        <f>Datos!$B$42</f>
        <v>CVM otras / menores</v>
      </c>
      <c r="E202" s="199" t="str">
        <f>Datos!$C$42</f>
        <v>u</v>
      </c>
      <c r="F202" s="31" t="s">
        <v>538</v>
      </c>
      <c r="G202" s="246" t="str">
        <f>IF(ISNUMBER(Datos!H42),Datos!H42,"")</f>
        <v/>
      </c>
      <c r="H20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3" spans="1:8" ht="14.25" customHeight="1" x14ac:dyDescent="0.3">
      <c r="A203" s="245">
        <f>Datos!$H$3</f>
        <v>46357</v>
      </c>
      <c r="B203" s="199" t="str">
        <f>Datos!H$4</f>
        <v>Compresora</v>
      </c>
      <c r="C203" s="31" t="s">
        <v>567</v>
      </c>
      <c r="D203" s="199" t="str">
        <f>Datos!$B$44</f>
        <v>Km recorridos: vehículos livianos (camionetas)</v>
      </c>
      <c r="E203" s="199" t="str">
        <f>Datos!$C$44</f>
        <v>km</v>
      </c>
      <c r="F203" s="31" t="s">
        <v>538</v>
      </c>
      <c r="G203" s="246" t="str">
        <f>IF(ISNUMBER(Datos!H44),Datos!H44,"")</f>
        <v/>
      </c>
      <c r="H20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4" spans="1:8" ht="14.25" customHeight="1" x14ac:dyDescent="0.3">
      <c r="A204" s="245">
        <f>Datos!$H$3</f>
        <v>46357</v>
      </c>
      <c r="B204" s="199" t="str">
        <f>Datos!H$4</f>
        <v>Compresora</v>
      </c>
      <c r="C204" s="31" t="s">
        <v>568</v>
      </c>
      <c r="D204" s="199" t="str">
        <f>Datos!$B$45</f>
        <v>Km recorridos: vehículos pesados (camiones)</v>
      </c>
      <c r="E204" s="199" t="str">
        <f>Datos!$C$45</f>
        <v>km</v>
      </c>
      <c r="F204" s="31" t="s">
        <v>538</v>
      </c>
      <c r="G204" s="246" t="str">
        <f>IF(ISNUMBER(Datos!H45),Datos!H45,"")</f>
        <v/>
      </c>
      <c r="H20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5" spans="1:8" ht="14.25" customHeight="1" x14ac:dyDescent="0.3">
      <c r="A205" s="245">
        <f>Datos!$H$3</f>
        <v>46357</v>
      </c>
      <c r="B205" s="199" t="str">
        <f>Datos!H$4</f>
        <v>Compresora</v>
      </c>
      <c r="C205" s="31" t="s">
        <v>569</v>
      </c>
      <c r="D205" s="199" t="str">
        <f>Datos!$B$46</f>
        <v>Km recorridos: vehículos de transporte de personal (combis)</v>
      </c>
      <c r="E205" s="199" t="str">
        <f>Datos!$C$46</f>
        <v>km</v>
      </c>
      <c r="F205" s="31" t="s">
        <v>538</v>
      </c>
      <c r="G205" s="246" t="str">
        <f>IF(ISNUMBER(Datos!H46),Datos!H46,"")</f>
        <v/>
      </c>
      <c r="H20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6" spans="1:8" ht="14.25" customHeight="1" x14ac:dyDescent="0.3">
      <c r="A206" s="245">
        <f>Datos!$H$3</f>
        <v>46357</v>
      </c>
      <c r="B206" s="199" t="str">
        <f>Datos!H$4</f>
        <v>Compresora</v>
      </c>
      <c r="C206" s="31" t="s">
        <v>570</v>
      </c>
      <c r="D206" s="199" t="str">
        <f>Datos!$B$47</f>
        <v>Km recorridos: TOTAL</v>
      </c>
      <c r="E206" s="199" t="str">
        <f>Datos!$C$47</f>
        <v>km</v>
      </c>
      <c r="F206" s="31" t="s">
        <v>541</v>
      </c>
      <c r="G206" s="246">
        <f>IF(ISNUMBER(Datos!H47),Datos!H47,"")</f>
        <v>0</v>
      </c>
      <c r="H20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7" spans="1:8" ht="14.25" customHeight="1" x14ac:dyDescent="0.3">
      <c r="A207" s="245">
        <f>Datos!$H$3</f>
        <v>46357</v>
      </c>
      <c r="B207" s="199" t="str">
        <f>Datos!H$4</f>
        <v>Compresora</v>
      </c>
      <c r="C207" s="31" t="s">
        <v>571</v>
      </c>
      <c r="D207" s="199" t="str">
        <f>Datos!$B$67</f>
        <v>Hallazgos (desvíos) cerrados en el mes</v>
      </c>
      <c r="E207" s="199" t="str">
        <f>Datos!$C$67</f>
        <v>u</v>
      </c>
      <c r="F207" s="31" t="s">
        <v>572</v>
      </c>
      <c r="G207" s="246" t="str">
        <f>IF(ISNUMBER(Datos!H67),Datos!H67,"")</f>
        <v/>
      </c>
      <c r="H20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8" spans="1:8" ht="14.25" customHeight="1" x14ac:dyDescent="0.3">
      <c r="A208" s="245">
        <f>Datos!$H$3</f>
        <v>46357</v>
      </c>
      <c r="B208" s="199" t="str">
        <f>Datos!H$4</f>
        <v>Compresora</v>
      </c>
      <c r="C208" s="31" t="s">
        <v>573</v>
      </c>
      <c r="D208" s="199" t="str">
        <f>Datos!$B$68</f>
        <v>Días que llevaron esos hallazgos (suma)</v>
      </c>
      <c r="E208" s="199" t="str">
        <f>Datos!$C$68</f>
        <v>días</v>
      </c>
      <c r="F208" s="31" t="s">
        <v>572</v>
      </c>
      <c r="G208" s="246" t="str">
        <f>IF(ISNUMBER(Datos!H68),Datos!H68,"")</f>
        <v/>
      </c>
      <c r="H20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9" spans="1:8" ht="14.25" customHeight="1" x14ac:dyDescent="0.3">
      <c r="A209" s="245">
        <f>Datos!$H$3</f>
        <v>46357</v>
      </c>
      <c r="B209" s="199" t="str">
        <f>Datos!H$4</f>
        <v>Compresora</v>
      </c>
      <c r="C209" s="31" t="s">
        <v>574</v>
      </c>
      <c r="D209" s="199" t="str">
        <f>Datos!$B$69</f>
        <v>Hallazgos (desvíos) abiertos a fin de mes</v>
      </c>
      <c r="E209" s="199" t="str">
        <f>Datos!$C$69</f>
        <v>u</v>
      </c>
      <c r="F209" s="31" t="s">
        <v>572</v>
      </c>
      <c r="G209" s="246" t="str">
        <f>IF(ISNUMBER(Datos!H69),Datos!H69,"")</f>
        <v/>
      </c>
      <c r="H20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0" spans="1:8" ht="14.25" customHeight="1" x14ac:dyDescent="0.3">
      <c r="A210" s="245">
        <f>Datos!$H$3</f>
        <v>46357</v>
      </c>
      <c r="B210" s="199" t="str">
        <f>Datos!H$4</f>
        <v>Compresora</v>
      </c>
      <c r="C210" s="31" t="s">
        <v>575</v>
      </c>
      <c r="D210" s="199" t="str">
        <f>Datos!$B$70</f>
        <v>Hallazgos (desvíos) detectados en el mes</v>
      </c>
      <c r="E210" s="199" t="str">
        <f>Datos!$C$70</f>
        <v>u</v>
      </c>
      <c r="F210" s="31" t="s">
        <v>572</v>
      </c>
      <c r="G210" s="246" t="str">
        <f>IF(ISNUMBER(Datos!H70),Datos!H70,"")</f>
        <v/>
      </c>
      <c r="H21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1" spans="1:8" ht="14.25" customHeight="1" x14ac:dyDescent="0.3">
      <c r="A211" s="245">
        <f>Datos!$H$3</f>
        <v>46357</v>
      </c>
      <c r="B211" s="199" t="str">
        <f>Datos!H$4</f>
        <v>Compresora</v>
      </c>
      <c r="C211" s="31" t="s">
        <v>576</v>
      </c>
      <c r="D211" s="199" t="str">
        <f>Datos!$B$71</f>
        <v>Desvíos detectados en el mes · gravedad Alta</v>
      </c>
      <c r="E211" s="199" t="str">
        <f>Datos!$C$71</f>
        <v>u</v>
      </c>
      <c r="F211" s="31" t="s">
        <v>572</v>
      </c>
      <c r="G211" s="246" t="str">
        <f>IF(ISNUMBER(Datos!H71),Datos!H71,"")</f>
        <v/>
      </c>
      <c r="H21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2" spans="1:8" ht="14.25" customHeight="1" x14ac:dyDescent="0.3">
      <c r="A212" s="245">
        <f>Datos!$H$3</f>
        <v>46357</v>
      </c>
      <c r="B212" s="199" t="str">
        <f>Datos!H$4</f>
        <v>Compresora</v>
      </c>
      <c r="C212" s="31" t="s">
        <v>577</v>
      </c>
      <c r="D212" s="199" t="str">
        <f>Datos!$B$72</f>
        <v>Desvíos detectados en el mes · gravedad Media</v>
      </c>
      <c r="E212" s="199" t="str">
        <f>Datos!$C$72</f>
        <v>u</v>
      </c>
      <c r="F212" s="31" t="s">
        <v>572</v>
      </c>
      <c r="G212" s="246" t="str">
        <f>IF(ISNUMBER(Datos!H72),Datos!H72,"")</f>
        <v/>
      </c>
      <c r="H21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3" spans="1:8" ht="14.25" customHeight="1" x14ac:dyDescent="0.3">
      <c r="A213" s="245">
        <f>Datos!$H$3</f>
        <v>46357</v>
      </c>
      <c r="B213" s="199" t="str">
        <f>Datos!H$4</f>
        <v>Compresora</v>
      </c>
      <c r="C213" s="31" t="s">
        <v>578</v>
      </c>
      <c r="D213" s="199" t="str">
        <f>Datos!$B$73</f>
        <v>Desvíos detectados en el mes · gravedad Baja</v>
      </c>
      <c r="E213" s="199" t="str">
        <f>Datos!$C$73</f>
        <v>u</v>
      </c>
      <c r="F213" s="31" t="s">
        <v>572</v>
      </c>
      <c r="G213" s="246" t="str">
        <f>IF(ISNUMBER(Datos!H73),Datos!H73,"")</f>
        <v/>
      </c>
      <c r="H21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4" spans="1:8" ht="14.25" customHeight="1" x14ac:dyDescent="0.3">
      <c r="A214" s="245">
        <f>Datos!$H$3</f>
        <v>46357</v>
      </c>
      <c r="B214" s="199" t="str">
        <f>Datos!H$4</f>
        <v>Compresora</v>
      </c>
      <c r="C214" s="31" t="s">
        <v>579</v>
      </c>
      <c r="D214" s="199" t="str">
        <f>Datos!$B$74</f>
        <v>Desvíos detectados en el mes · sin gravedad cargada</v>
      </c>
      <c r="E214" s="199" t="str">
        <f>Datos!$C$74</f>
        <v>u</v>
      </c>
      <c r="F214" s="31" t="s">
        <v>572</v>
      </c>
      <c r="G214" s="246">
        <f>IF(ISNUMBER(Datos!H74),Datos!H74,"")</f>
        <v>0</v>
      </c>
      <c r="H21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5" spans="1:8" ht="14.25" customHeight="1" x14ac:dyDescent="0.3">
      <c r="A215" s="245">
        <f>Datos!$H$3</f>
        <v>46357</v>
      </c>
      <c r="B215" s="199" t="str">
        <f>Datos!H$4</f>
        <v>Compresora</v>
      </c>
      <c r="C215" s="31" t="s">
        <v>580</v>
      </c>
      <c r="D215" s="199" t="str">
        <f>Datos!$B$75</f>
        <v>Detenciones de tareas aplicadas en el mes (Política = Sí)</v>
      </c>
      <c r="E215" s="199" t="str">
        <f>Datos!$C$75</f>
        <v>u</v>
      </c>
      <c r="F215" s="31" t="s">
        <v>572</v>
      </c>
      <c r="G215" s="246" t="str">
        <f>IF(ISNUMBER(Datos!H75),Datos!H75,"")</f>
        <v/>
      </c>
      <c r="H21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6" spans="1:8" ht="14.25" customHeight="1" x14ac:dyDescent="0.3">
      <c r="A216" s="245">
        <f>Datos!$H$3</f>
        <v>46357</v>
      </c>
      <c r="B216" s="199" t="str">
        <f>Datos!H$4</f>
        <v>Compresora</v>
      </c>
      <c r="C216" s="31" t="s">
        <v>581</v>
      </c>
      <c r="D216" s="199" t="str">
        <f>Datos!$B$76</f>
        <v>Desvíos de gravedad Alta abiertos a fin de mes</v>
      </c>
      <c r="E216" s="199" t="str">
        <f>Datos!$C$76</f>
        <v>u</v>
      </c>
      <c r="F216" s="31" t="s">
        <v>572</v>
      </c>
      <c r="G216" s="246" t="str">
        <f>IF(ISNUMBER(Datos!H76),Datos!H76,"")</f>
        <v/>
      </c>
      <c r="H21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7" spans="1:8" ht="14.25" customHeight="1" x14ac:dyDescent="0.3">
      <c r="A217" s="245">
        <f>Datos!$I$3</f>
        <v>46388</v>
      </c>
      <c r="B217" s="199" t="str">
        <f>Datos!I$4</f>
        <v>Compresora</v>
      </c>
      <c r="C217" s="31" t="s">
        <v>537</v>
      </c>
      <c r="D217" s="199" t="str">
        <f>Datos!$B$9</f>
        <v>Dotación promedio: Personal OPS</v>
      </c>
      <c r="E217" s="199" t="str">
        <f>Datos!$C$9</f>
        <v>pers</v>
      </c>
      <c r="F217" s="31" t="s">
        <v>538</v>
      </c>
      <c r="G217" s="246" t="str">
        <f>IF(ISNUMBER(Datos!I9),Datos!I9,"")</f>
        <v/>
      </c>
      <c r="H21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8" spans="1:8" ht="14.25" customHeight="1" x14ac:dyDescent="0.3">
      <c r="A218" s="245">
        <f>Datos!$I$3</f>
        <v>46388</v>
      </c>
      <c r="B218" s="199" t="str">
        <f>Datos!I$4</f>
        <v>Compresora</v>
      </c>
      <c r="C218" s="31" t="s">
        <v>539</v>
      </c>
      <c r="D218" s="199" t="str">
        <f>Datos!$B$10</f>
        <v>Dotación promedio: Personal SMP(IEBC, PAE e YPF) </v>
      </c>
      <c r="E218" s="199" t="str">
        <f>Datos!$C$10</f>
        <v>pers</v>
      </c>
      <c r="F218" s="31" t="s">
        <v>538</v>
      </c>
      <c r="G218" s="246" t="str">
        <f>IF(ISNUMBER(Datos!I10),Datos!I10,"")</f>
        <v/>
      </c>
      <c r="H21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9" spans="1:8" ht="14.25" customHeight="1" x14ac:dyDescent="0.3">
      <c r="A219" s="245">
        <f>Datos!$I$3</f>
        <v>46388</v>
      </c>
      <c r="B219" s="199" t="str">
        <f>Datos!I$4</f>
        <v>Compresora</v>
      </c>
      <c r="C219" s="31" t="s">
        <v>540</v>
      </c>
      <c r="D219" s="199" t="str">
        <f>Datos!$B$11</f>
        <v>Dotación promedio: TOTAL</v>
      </c>
      <c r="E219" s="199" t="str">
        <f>Datos!$C$11</f>
        <v>pers</v>
      </c>
      <c r="F219" s="31" t="s">
        <v>541</v>
      </c>
      <c r="G219" s="246">
        <f>IF(ISNUMBER(Datos!I11),Datos!I11,"")</f>
        <v>0</v>
      </c>
      <c r="H21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0" spans="1:8" ht="14.25" customHeight="1" x14ac:dyDescent="0.3">
      <c r="A220" s="245">
        <f>Datos!$I$3</f>
        <v>46388</v>
      </c>
      <c r="B220" s="199" t="str">
        <f>Datos!I$4</f>
        <v>Compresora</v>
      </c>
      <c r="C220" s="31" t="s">
        <v>542</v>
      </c>
      <c r="D220" s="199" t="str">
        <f>Datos!$B$12</f>
        <v>Horas hombre trabajadas: Personal OPS</v>
      </c>
      <c r="E220" s="199" t="str">
        <f>Datos!$C$12</f>
        <v>h</v>
      </c>
      <c r="F220" s="31" t="s">
        <v>538</v>
      </c>
      <c r="G220" s="246" t="str">
        <f>IF(ISNUMBER(Datos!I12),Datos!I12,"")</f>
        <v/>
      </c>
      <c r="H22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1" spans="1:8" ht="14.25" customHeight="1" x14ac:dyDescent="0.3">
      <c r="A221" s="245">
        <f>Datos!$I$3</f>
        <v>46388</v>
      </c>
      <c r="B221" s="199" t="str">
        <f>Datos!I$4</f>
        <v>Compresora</v>
      </c>
      <c r="C221" s="31" t="s">
        <v>543</v>
      </c>
      <c r="D221" s="199" t="str">
        <f>Datos!$B$13</f>
        <v>Horas hombre trabajadas: Personal SMP(IEBC, PAE e YPF) en campo</v>
      </c>
      <c r="E221" s="199" t="str">
        <f>Datos!$C$13</f>
        <v>h</v>
      </c>
      <c r="F221" s="31" t="s">
        <v>538</v>
      </c>
      <c r="G221" s="246" t="str">
        <f>IF(ISNUMBER(Datos!I13),Datos!I13,"")</f>
        <v/>
      </c>
      <c r="H22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2" spans="1:8" ht="14.25" customHeight="1" x14ac:dyDescent="0.3">
      <c r="A222" s="245">
        <f>Datos!$I$3</f>
        <v>46388</v>
      </c>
      <c r="B222" s="199" t="str">
        <f>Datos!I$4</f>
        <v>Compresora</v>
      </c>
      <c r="C222" s="31" t="s">
        <v>544</v>
      </c>
      <c r="D222" s="199" t="str">
        <f>Datos!$B$14</f>
        <v>Horas hombre trabajadas: TOTAL</v>
      </c>
      <c r="E222" s="199" t="str">
        <f>Datos!$C$14</f>
        <v>h</v>
      </c>
      <c r="F222" s="31" t="s">
        <v>541</v>
      </c>
      <c r="G222" s="246">
        <f>IF(ISNUMBER(Datos!I14),Datos!I14,"")</f>
        <v>0</v>
      </c>
      <c r="H22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3" spans="1:8" ht="14.25" customHeight="1" x14ac:dyDescent="0.3">
      <c r="A223" s="245">
        <f>Datos!$I$3</f>
        <v>46388</v>
      </c>
      <c r="B223" s="199" t="str">
        <f>Datos!I$4</f>
        <v>Compresora</v>
      </c>
      <c r="C223" s="31" t="s">
        <v>545</v>
      </c>
      <c r="D223" s="199" t="str">
        <f>Datos!$B$16</f>
        <v>Horas hombre de formación en seguridad: Personal OPS</v>
      </c>
      <c r="E223" s="199" t="str">
        <f>Datos!$C$16</f>
        <v>h</v>
      </c>
      <c r="F223" s="31" t="s">
        <v>538</v>
      </c>
      <c r="G223" s="246" t="str">
        <f>IF(ISNUMBER(Datos!I16),Datos!I16,"")</f>
        <v/>
      </c>
      <c r="H22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4" spans="1:8" ht="14.25" customHeight="1" x14ac:dyDescent="0.3">
      <c r="A224" s="245">
        <f>Datos!$I$3</f>
        <v>46388</v>
      </c>
      <c r="B224" s="199" t="str">
        <f>Datos!I$4</f>
        <v>Compresora</v>
      </c>
      <c r="C224" s="31" t="s">
        <v>546</v>
      </c>
      <c r="D224" s="199" t="str">
        <f>Datos!$B$17</f>
        <v>Horas hombre de formación en seguridad: Personal SMP(IEBC, PAE e YPF) </v>
      </c>
      <c r="E224" s="199" t="str">
        <f>Datos!$C$17</f>
        <v>h</v>
      </c>
      <c r="F224" s="31" t="s">
        <v>538</v>
      </c>
      <c r="G224" s="246" t="str">
        <f>IF(ISNUMBER(Datos!I17),Datos!I17,"")</f>
        <v/>
      </c>
      <c r="H22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5" spans="1:8" ht="14.25" customHeight="1" x14ac:dyDescent="0.3">
      <c r="A225" s="245">
        <f>Datos!$I$3</f>
        <v>46388</v>
      </c>
      <c r="B225" s="199" t="str">
        <f>Datos!I$4</f>
        <v>Compresora</v>
      </c>
      <c r="C225" s="31" t="s">
        <v>547</v>
      </c>
      <c r="D225" s="199" t="str">
        <f>Datos!$B$18</f>
        <v>Horas hombre de formación en seguridad: TOTAL</v>
      </c>
      <c r="E225" s="199" t="str">
        <f>Datos!$C$18</f>
        <v>h</v>
      </c>
      <c r="F225" s="31" t="s">
        <v>541</v>
      </c>
      <c r="G225" s="246">
        <f>IF(ISNUMBER(Datos!I18),Datos!I18,"")</f>
        <v>0</v>
      </c>
      <c r="H22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6" spans="1:8" ht="14.25" customHeight="1" x14ac:dyDescent="0.3">
      <c r="A226" s="245">
        <f>Datos!$I$3</f>
        <v>46388</v>
      </c>
      <c r="B226" s="199" t="str">
        <f>Datos!I$4</f>
        <v>Compresora</v>
      </c>
      <c r="C226" s="31" t="s">
        <v>548</v>
      </c>
      <c r="D226" s="199" t="str">
        <f>Datos!$B$20</f>
        <v>SIMULACROS · Realizados (emergencia y operativos)</v>
      </c>
      <c r="E226" s="199" t="str">
        <f>Datos!$C$20</f>
        <v>u</v>
      </c>
      <c r="F226" s="31" t="s">
        <v>538</v>
      </c>
      <c r="G226" s="246" t="str">
        <f>IF(ISNUMBER(Datos!I20),Datos!I20,"")</f>
        <v/>
      </c>
      <c r="H22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7" spans="1:8" ht="14.25" customHeight="1" x14ac:dyDescent="0.3">
      <c r="A227" s="245">
        <f>Datos!$I$3</f>
        <v>46388</v>
      </c>
      <c r="B227" s="199" t="str">
        <f>Datos!I$4</f>
        <v>Compresora</v>
      </c>
      <c r="C227" s="31" t="s">
        <v>549</v>
      </c>
      <c r="D227" s="199" t="str">
        <f>Datos!$B$21</f>
        <v>SIMULACROS · Programados (emergencia y operativos)</v>
      </c>
      <c r="E227" s="199" t="str">
        <f>Datos!$C$21</f>
        <v>u</v>
      </c>
      <c r="F227" s="31" t="s">
        <v>538</v>
      </c>
      <c r="G227" s="246" t="str">
        <f>IF(ISNUMBER(Datos!I21),Datos!I21,"")</f>
        <v/>
      </c>
      <c r="H22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8" spans="1:8" ht="14.25" customHeight="1" x14ac:dyDescent="0.3">
      <c r="A228" s="245">
        <f>Datos!$I$3</f>
        <v>46388</v>
      </c>
      <c r="B228" s="199" t="str">
        <f>Datos!I$4</f>
        <v>Compresora</v>
      </c>
      <c r="C228" s="31" t="s">
        <v>550</v>
      </c>
      <c r="D228" s="199" t="str">
        <f>Datos!$B$22</f>
        <v>SIMULACROS · Acciones de mejora surgidas de los simulacros (en el mes informado)</v>
      </c>
      <c r="E228" s="199" t="str">
        <f>Datos!$C$22</f>
        <v>u</v>
      </c>
      <c r="F228" s="31" t="s">
        <v>538</v>
      </c>
      <c r="G228" s="246" t="str">
        <f>IF(ISNUMBER(Datos!I22),Datos!I22,"")</f>
        <v/>
      </c>
      <c r="H22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9" spans="1:8" ht="14.25" customHeight="1" x14ac:dyDescent="0.3">
      <c r="A229" s="245">
        <f>Datos!$I$3</f>
        <v>46388</v>
      </c>
      <c r="B229" s="199" t="str">
        <f>Datos!I$4</f>
        <v>Compresora</v>
      </c>
      <c r="C229" s="31" t="s">
        <v>551</v>
      </c>
      <c r="D229" s="199" t="str">
        <f>Datos!$B$23</f>
        <v>SIMULACROS · Acciones de mejora implementadas surgidas de los simulacros (ICME) (en el mes informado)</v>
      </c>
      <c r="E229" s="199" t="str">
        <f>Datos!$C$23</f>
        <v>u</v>
      </c>
      <c r="F229" s="31" t="s">
        <v>538</v>
      </c>
      <c r="G229" s="246" t="str">
        <f>IF(ISNUMBER(Datos!I23),Datos!I23,"")</f>
        <v/>
      </c>
      <c r="H22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0" spans="1:8" ht="14.25" customHeight="1" x14ac:dyDescent="0.3">
      <c r="A230" s="245">
        <f>Datos!$I$3</f>
        <v>46388</v>
      </c>
      <c r="B230" s="199" t="str">
        <f>Datos!I$4</f>
        <v>Compresora</v>
      </c>
      <c r="C230" s="31" t="s">
        <v>552</v>
      </c>
      <c r="D230" s="199" t="str">
        <f>Datos!$B$24</f>
        <v>Caminatas gerenciales realizadas</v>
      </c>
      <c r="E230" s="199" t="str">
        <f>Datos!$C$24</f>
        <v>u</v>
      </c>
      <c r="F230" s="31" t="s">
        <v>538</v>
      </c>
      <c r="G230" s="246" t="str">
        <f>IF(ISNUMBER(Datos!I24),Datos!I24,"")</f>
        <v/>
      </c>
      <c r="H23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1" spans="1:8" ht="14.25" customHeight="1" x14ac:dyDescent="0.3">
      <c r="A231" s="245">
        <f>Datos!$I$3</f>
        <v>46388</v>
      </c>
      <c r="B231" s="199" t="str">
        <f>Datos!I$4</f>
        <v>Compresora</v>
      </c>
      <c r="C231" s="31" t="s">
        <v>553</v>
      </c>
      <c r="D231" s="199" t="str">
        <f>Datos!$B$25</f>
        <v>Caminatas gerenciales planificadas</v>
      </c>
      <c r="E231" s="199" t="str">
        <f>Datos!$C$25</f>
        <v>u</v>
      </c>
      <c r="F231" s="31" t="s">
        <v>538</v>
      </c>
      <c r="G231" s="246" t="str">
        <f>IF(ISNUMBER(Datos!I25),Datos!I25,"")</f>
        <v/>
      </c>
      <c r="H23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2" spans="1:8" ht="14.25" customHeight="1" x14ac:dyDescent="0.3">
      <c r="A232" s="245">
        <f>Datos!$I$3</f>
        <v>46388</v>
      </c>
      <c r="B232" s="199" t="str">
        <f>Datos!I$4</f>
        <v>Compresora</v>
      </c>
      <c r="C232" s="31" t="s">
        <v>554</v>
      </c>
      <c r="D232" s="199" t="str">
        <f>Datos!$B$26</f>
        <v>Comités y subcomités de seguridad realizados</v>
      </c>
      <c r="E232" s="199" t="str">
        <f>Datos!$C$26</f>
        <v>u</v>
      </c>
      <c r="F232" s="31" t="s">
        <v>538</v>
      </c>
      <c r="G232" s="246" t="str">
        <f>IF(ISNUMBER(Datos!I26),Datos!I26,"")</f>
        <v/>
      </c>
      <c r="H23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3" spans="1:8" ht="14.25" customHeight="1" x14ac:dyDescent="0.3">
      <c r="A233" s="245">
        <f>Datos!$I$3</f>
        <v>46388</v>
      </c>
      <c r="B233" s="199" t="str">
        <f>Datos!I$4</f>
        <v>Compresora</v>
      </c>
      <c r="C233" s="31" t="s">
        <v>555</v>
      </c>
      <c r="D233" s="199" t="str">
        <f>Datos!$B$27</f>
        <v>Comités y subcomités de seguridad planificados</v>
      </c>
      <c r="E233" s="199" t="str">
        <f>Datos!$C$27</f>
        <v>u</v>
      </c>
      <c r="F233" s="31" t="s">
        <v>538</v>
      </c>
      <c r="G233" s="246" t="str">
        <f>IF(ISNUMBER(Datos!I27),Datos!I27,"")</f>
        <v/>
      </c>
      <c r="H23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4" spans="1:8" ht="14.25" customHeight="1" x14ac:dyDescent="0.3">
      <c r="A234" s="245">
        <f>Datos!$I$3</f>
        <v>46388</v>
      </c>
      <c r="B234" s="199" t="str">
        <f>Datos!I$4</f>
        <v>Compresora</v>
      </c>
      <c r="C234" s="31" t="s">
        <v>556</v>
      </c>
      <c r="D234" s="31" t="inlineStr">
        <is>
          <t>Observaciones de comportamiento seguro: total del mes (OPS + SMP)</t>
        </is>
      </c>
      <c r="E234" s="199" t="str">
        <f>Datos!$C$28</f>
        <v>u</v>
      </c>
      <c r="F234" s="31" t="s">
        <v>538</v>
      </c>
      <c r="G234" s="246" t="str">
        <f>IF(COUNT(Datos!I28:I29)=0,"",SUM(Datos!I28:I29))</f>
        <v/>
      </c>
      <c r="H23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5" spans="1:8" ht="14.25" customHeight="1" x14ac:dyDescent="0.3">
      <c r="A235" s="245">
        <f>Datos!$I$3</f>
        <v>46388</v>
      </c>
      <c r="B235" s="199" t="str">
        <f>Datos!I$4</f>
        <v>Compresora</v>
      </c>
      <c r="C235" s="31" t="s">
        <v>557</v>
      </c>
      <c r="D235" s="199" t="str">
        <f>Datos!$B$30</f>
        <v>Investigaciones de accidentes cerradas en el mes</v>
      </c>
      <c r="E235" s="199" t="str">
        <f>Datos!$C$30</f>
        <v>u</v>
      </c>
      <c r="F235" s="31" t="s">
        <v>538</v>
      </c>
      <c r="G235" s="246" t="str">
        <f>IF(ISNUMBER(Datos!I30),Datos!I30,"")</f>
        <v/>
      </c>
      <c r="H23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6" spans="1:8" ht="14.25" customHeight="1" x14ac:dyDescent="0.3">
      <c r="A236" s="245">
        <f>Datos!$I$3</f>
        <v>46388</v>
      </c>
      <c r="B236" s="199" t="str">
        <f>Datos!I$4</f>
        <v>Compresora</v>
      </c>
      <c r="C236" s="31" t="s">
        <v>558</v>
      </c>
      <c r="D236" s="199" t="str">
        <f>Datos!$B$31</f>
        <v>Días que llevaron esas investigaciones (suma)</v>
      </c>
      <c r="E236" s="199" t="str">
        <f>Datos!$C$31</f>
        <v>días</v>
      </c>
      <c r="F236" s="31" t="s">
        <v>538</v>
      </c>
      <c r="G236" s="246" t="str">
        <f>IF(ISNUMBER(Datos!I31),Datos!I31,"")</f>
        <v/>
      </c>
      <c r="H23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7" spans="1:8" ht="14.25" customHeight="1" x14ac:dyDescent="0.3">
      <c r="A237" s="245">
        <f>Datos!$I$3</f>
        <v>46388</v>
      </c>
      <c r="B237" s="199" t="str">
        <f>Datos!I$4</f>
        <v>Compresora</v>
      </c>
      <c r="C237" s="31" t="s">
        <v>559</v>
      </c>
      <c r="D237" s="199" t="str">
        <f>Datos!$B$33</f>
        <v>Casos con días perdidos</v>
      </c>
      <c r="E237" s="199" t="str">
        <f>Datos!$C$33</f>
        <v>u</v>
      </c>
      <c r="F237" s="31" t="s">
        <v>538</v>
      </c>
      <c r="G237" s="246" t="str">
        <f>IF(ISNUMBER(Datos!I33),Datos!I33,"")</f>
        <v/>
      </c>
      <c r="H23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8" spans="1:8" ht="14.25" customHeight="1" x14ac:dyDescent="0.3">
      <c r="A238" s="245">
        <f>Datos!$I$3</f>
        <v>46388</v>
      </c>
      <c r="B238" s="199" t="str">
        <f>Datos!I$4</f>
        <v>Compresora</v>
      </c>
      <c r="C238" s="31" t="s">
        <v>560</v>
      </c>
      <c r="D238" s="199" t="str">
        <f>Datos!$B$34</f>
        <v>Casos con trabajo restringido</v>
      </c>
      <c r="E238" s="199" t="str">
        <f>Datos!$C$34</f>
        <v>u</v>
      </c>
      <c r="F238" s="31" t="s">
        <v>538</v>
      </c>
      <c r="G238" s="246" t="str">
        <f>IF(ISNUMBER(Datos!I34),Datos!I34,"")</f>
        <v/>
      </c>
      <c r="H23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9" spans="1:8" ht="14.25" customHeight="1" x14ac:dyDescent="0.3">
      <c r="A239" s="245">
        <f>Datos!$I$3</f>
        <v>46388</v>
      </c>
      <c r="B239" s="199" t="str">
        <f>Datos!I$4</f>
        <v>Compresora</v>
      </c>
      <c r="C239" s="31" t="s">
        <v>561</v>
      </c>
      <c r="D239" s="199" t="str">
        <f>Datos!$B$35</f>
        <v>Casos con tratamiento médico</v>
      </c>
      <c r="E239" s="199" t="str">
        <f>Datos!$C$35</f>
        <v>u</v>
      </c>
      <c r="F239" s="31" t="s">
        <v>538</v>
      </c>
      <c r="G239" s="246" t="str">
        <f>IF(ISNUMBER(Datos!I35),Datos!I35,"")</f>
        <v/>
      </c>
      <c r="H23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0" spans="1:8" ht="14.25" customHeight="1" x14ac:dyDescent="0.3">
      <c r="A240" s="245">
        <f>Datos!$I$3</f>
        <v>46388</v>
      </c>
      <c r="B240" s="199" t="str">
        <f>Datos!I$4</f>
        <v>Compresora</v>
      </c>
      <c r="C240" s="31" t="s">
        <v>562</v>
      </c>
      <c r="D240" s="199" t="str">
        <f>Datos!$B$36</f>
        <v>Fatalidades</v>
      </c>
      <c r="E240" s="199" t="str">
        <f>Datos!$C$36</f>
        <v>u</v>
      </c>
      <c r="F240" s="31" t="s">
        <v>538</v>
      </c>
      <c r="G240" s="246" t="str">
        <f>IF(ISNUMBER(Datos!I36),Datos!I36,"")</f>
        <v/>
      </c>
      <c r="H24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1" spans="1:8" ht="14.25" customHeight="1" x14ac:dyDescent="0.3">
      <c r="A241" s="245">
        <f>Datos!$I$3</f>
        <v>46388</v>
      </c>
      <c r="B241" s="199" t="str">
        <f>Datos!I$4</f>
        <v>Compresora</v>
      </c>
      <c r="C241" s="31" t="s">
        <v>51</v>
      </c>
      <c r="D241" s="199" t="str">
        <f>Datos!$B$37</f>
        <v>Casos de primeros auxilios</v>
      </c>
      <c r="E241" s="199" t="str">
        <f>Datos!$C$37</f>
        <v>u</v>
      </c>
      <c r="F241" s="31" t="s">
        <v>538</v>
      </c>
      <c r="G241" s="246" t="str">
        <f>IF(ISNUMBER(Datos!I37),Datos!I37,"")</f>
        <v/>
      </c>
      <c r="H24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2" spans="1:8" ht="14.25" customHeight="1" x14ac:dyDescent="0.3">
      <c r="A242" s="245">
        <f>Datos!$I$3</f>
        <v>46388</v>
      </c>
      <c r="B242" s="199" t="str">
        <f>Datos!I$4</f>
        <v>Compresora</v>
      </c>
      <c r="C242" s="31" t="s">
        <v>563</v>
      </c>
      <c r="D242" s="199" t="str">
        <f>Datos!$B$39</f>
        <v>CVM catastróficas</v>
      </c>
      <c r="E242" s="199" t="str">
        <f>Datos!$C$39</f>
        <v>u</v>
      </c>
      <c r="F242" s="31" t="s">
        <v>538</v>
      </c>
      <c r="G242" s="246" t="str">
        <f>IF(ISNUMBER(Datos!I39),Datos!I39,"")</f>
        <v/>
      </c>
      <c r="H24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3" spans="1:8" ht="14.25" customHeight="1" x14ac:dyDescent="0.3">
      <c r="A243" s="245">
        <f>Datos!$I$3</f>
        <v>46388</v>
      </c>
      <c r="B243" s="199" t="str">
        <f>Datos!I$4</f>
        <v>Compresora</v>
      </c>
      <c r="C243" s="31" t="s">
        <v>564</v>
      </c>
      <c r="D243" s="199" t="str">
        <f>Datos!$B$40</f>
        <v>CVM mayores</v>
      </c>
      <c r="E243" s="199" t="str">
        <f>Datos!$C$40</f>
        <v>u</v>
      </c>
      <c r="F243" s="31" t="s">
        <v>538</v>
      </c>
      <c r="G243" s="246" t="str">
        <f>IF(ISNUMBER(Datos!I40),Datos!I40,"")</f>
        <v/>
      </c>
      <c r="H24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4" spans="1:8" ht="14.25" customHeight="1" x14ac:dyDescent="0.3">
      <c r="A244" s="245">
        <f>Datos!$I$3</f>
        <v>46388</v>
      </c>
      <c r="B244" s="199" t="str">
        <f>Datos!I$4</f>
        <v>Compresora</v>
      </c>
      <c r="C244" s="31" t="s">
        <v>565</v>
      </c>
      <c r="D244" s="199" t="str">
        <f>Datos!$B$41</f>
        <v>CVM serias</v>
      </c>
      <c r="E244" s="199" t="str">
        <f>Datos!$C$41</f>
        <v>u</v>
      </c>
      <c r="F244" s="31" t="s">
        <v>538</v>
      </c>
      <c r="G244" s="246" t="str">
        <f>IF(ISNUMBER(Datos!I41),Datos!I41,"")</f>
        <v/>
      </c>
      <c r="H24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5" spans="1:8" ht="14.25" customHeight="1" x14ac:dyDescent="0.3">
      <c r="A245" s="245">
        <f>Datos!$I$3</f>
        <v>46388</v>
      </c>
      <c r="B245" s="199" t="str">
        <f>Datos!I$4</f>
        <v>Compresora</v>
      </c>
      <c r="C245" s="31" t="s">
        <v>566</v>
      </c>
      <c r="D245" s="199" t="str">
        <f>Datos!$B$42</f>
        <v>CVM otras / menores</v>
      </c>
      <c r="E245" s="199" t="str">
        <f>Datos!$C$42</f>
        <v>u</v>
      </c>
      <c r="F245" s="31" t="s">
        <v>538</v>
      </c>
      <c r="G245" s="246" t="str">
        <f>IF(ISNUMBER(Datos!I42),Datos!I42,"")</f>
        <v/>
      </c>
      <c r="H24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6" spans="1:8" ht="14.25" customHeight="1" x14ac:dyDescent="0.3">
      <c r="A246" s="245">
        <f>Datos!$I$3</f>
        <v>46388</v>
      </c>
      <c r="B246" s="199" t="str">
        <f>Datos!I$4</f>
        <v>Compresora</v>
      </c>
      <c r="C246" s="31" t="s">
        <v>567</v>
      </c>
      <c r="D246" s="199" t="str">
        <f>Datos!$B$44</f>
        <v>Km recorridos: vehículos livianos (camionetas)</v>
      </c>
      <c r="E246" s="199" t="str">
        <f>Datos!$C$44</f>
        <v>km</v>
      </c>
      <c r="F246" s="31" t="s">
        <v>538</v>
      </c>
      <c r="G246" s="246" t="str">
        <f>IF(ISNUMBER(Datos!I44),Datos!I44,"")</f>
        <v/>
      </c>
      <c r="H24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7" spans="1:8" ht="14.25" customHeight="1" x14ac:dyDescent="0.3">
      <c r="A247" s="245">
        <f>Datos!$I$3</f>
        <v>46388</v>
      </c>
      <c r="B247" s="199" t="str">
        <f>Datos!I$4</f>
        <v>Compresora</v>
      </c>
      <c r="C247" s="31" t="s">
        <v>568</v>
      </c>
      <c r="D247" s="199" t="str">
        <f>Datos!$B$45</f>
        <v>Km recorridos: vehículos pesados (camiones)</v>
      </c>
      <c r="E247" s="199" t="str">
        <f>Datos!$C$45</f>
        <v>km</v>
      </c>
      <c r="F247" s="31" t="s">
        <v>538</v>
      </c>
      <c r="G247" s="246" t="str">
        <f>IF(ISNUMBER(Datos!I45),Datos!I45,"")</f>
        <v/>
      </c>
      <c r="H24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8" spans="1:8" ht="14.25" customHeight="1" x14ac:dyDescent="0.3">
      <c r="A248" s="245">
        <f>Datos!$I$3</f>
        <v>46388</v>
      </c>
      <c r="B248" s="199" t="str">
        <f>Datos!I$4</f>
        <v>Compresora</v>
      </c>
      <c r="C248" s="31" t="s">
        <v>569</v>
      </c>
      <c r="D248" s="199" t="str">
        <f>Datos!$B$46</f>
        <v>Km recorridos: vehículos de transporte de personal (combis)</v>
      </c>
      <c r="E248" s="199" t="str">
        <f>Datos!$C$46</f>
        <v>km</v>
      </c>
      <c r="F248" s="31" t="s">
        <v>538</v>
      </c>
      <c r="G248" s="246" t="str">
        <f>IF(ISNUMBER(Datos!I46),Datos!I46,"")</f>
        <v/>
      </c>
      <c r="H24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9" spans="1:8" ht="14.25" customHeight="1" x14ac:dyDescent="0.3">
      <c r="A249" s="245">
        <f>Datos!$I$3</f>
        <v>46388</v>
      </c>
      <c r="B249" s="199" t="str">
        <f>Datos!I$4</f>
        <v>Compresora</v>
      </c>
      <c r="C249" s="31" t="s">
        <v>570</v>
      </c>
      <c r="D249" s="199" t="str">
        <f>Datos!$B$47</f>
        <v>Km recorridos: TOTAL</v>
      </c>
      <c r="E249" s="199" t="str">
        <f>Datos!$C$47</f>
        <v>km</v>
      </c>
      <c r="F249" s="31" t="s">
        <v>541</v>
      </c>
      <c r="G249" s="246">
        <f>IF(ISNUMBER(Datos!I47),Datos!I47,"")</f>
        <v>0</v>
      </c>
      <c r="H24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0" spans="1:8" ht="14.25" customHeight="1" x14ac:dyDescent="0.3">
      <c r="A250" s="245">
        <f>Datos!$I$3</f>
        <v>46388</v>
      </c>
      <c r="B250" s="199" t="str">
        <f>Datos!I$4</f>
        <v>Compresora</v>
      </c>
      <c r="C250" s="31" t="s">
        <v>571</v>
      </c>
      <c r="D250" s="199" t="str">
        <f>Datos!$B$67</f>
        <v>Hallazgos (desvíos) cerrados en el mes</v>
      </c>
      <c r="E250" s="199" t="str">
        <f>Datos!$C$67</f>
        <v>u</v>
      </c>
      <c r="F250" s="31" t="s">
        <v>572</v>
      </c>
      <c r="G250" s="246" t="str">
        <f>IF(ISNUMBER(Datos!I67),Datos!I67,"")</f>
        <v/>
      </c>
      <c r="H25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1" spans="1:8" ht="14.25" customHeight="1" x14ac:dyDescent="0.3">
      <c r="A251" s="245">
        <f>Datos!$I$3</f>
        <v>46388</v>
      </c>
      <c r="B251" s="199" t="str">
        <f>Datos!I$4</f>
        <v>Compresora</v>
      </c>
      <c r="C251" s="31" t="s">
        <v>573</v>
      </c>
      <c r="D251" s="199" t="str">
        <f>Datos!$B$68</f>
        <v>Días que llevaron esos hallazgos (suma)</v>
      </c>
      <c r="E251" s="199" t="str">
        <f>Datos!$C$68</f>
        <v>días</v>
      </c>
      <c r="F251" s="31" t="s">
        <v>572</v>
      </c>
      <c r="G251" s="246" t="str">
        <f>IF(ISNUMBER(Datos!I68),Datos!I68,"")</f>
        <v/>
      </c>
      <c r="H25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2" spans="1:8" ht="14.25" customHeight="1" x14ac:dyDescent="0.3">
      <c r="A252" s="245">
        <f>Datos!$I$3</f>
        <v>46388</v>
      </c>
      <c r="B252" s="199" t="str">
        <f>Datos!I$4</f>
        <v>Compresora</v>
      </c>
      <c r="C252" s="31" t="s">
        <v>574</v>
      </c>
      <c r="D252" s="199" t="str">
        <f>Datos!$B$69</f>
        <v>Hallazgos (desvíos) abiertos a fin de mes</v>
      </c>
      <c r="E252" s="199" t="str">
        <f>Datos!$C$69</f>
        <v>u</v>
      </c>
      <c r="F252" s="31" t="s">
        <v>572</v>
      </c>
      <c r="G252" s="246" t="str">
        <f>IF(ISNUMBER(Datos!I69),Datos!I69,"")</f>
        <v/>
      </c>
      <c r="H25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3" spans="1:8" ht="14.25" customHeight="1" x14ac:dyDescent="0.3">
      <c r="A253" s="245">
        <f>Datos!$I$3</f>
        <v>46388</v>
      </c>
      <c r="B253" s="199" t="str">
        <f>Datos!I$4</f>
        <v>Compresora</v>
      </c>
      <c r="C253" s="31" t="s">
        <v>575</v>
      </c>
      <c r="D253" s="199" t="str">
        <f>Datos!$B$70</f>
        <v>Hallazgos (desvíos) detectados en el mes</v>
      </c>
      <c r="E253" s="199" t="str">
        <f>Datos!$C$70</f>
        <v>u</v>
      </c>
      <c r="F253" s="31" t="s">
        <v>572</v>
      </c>
      <c r="G253" s="246" t="str">
        <f>IF(ISNUMBER(Datos!I70),Datos!I70,"")</f>
        <v/>
      </c>
      <c r="H25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4" spans="1:8" ht="14.25" customHeight="1" x14ac:dyDescent="0.3">
      <c r="A254" s="245">
        <f>Datos!$I$3</f>
        <v>46388</v>
      </c>
      <c r="B254" s="199" t="str">
        <f>Datos!I$4</f>
        <v>Compresora</v>
      </c>
      <c r="C254" s="31" t="s">
        <v>576</v>
      </c>
      <c r="D254" s="199" t="str">
        <f>Datos!$B$71</f>
        <v>Desvíos detectados en el mes · gravedad Alta</v>
      </c>
      <c r="E254" s="199" t="str">
        <f>Datos!$C$71</f>
        <v>u</v>
      </c>
      <c r="F254" s="31" t="s">
        <v>572</v>
      </c>
      <c r="G254" s="246" t="str">
        <f>IF(ISNUMBER(Datos!I71),Datos!I71,"")</f>
        <v/>
      </c>
      <c r="H25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5" spans="1:8" ht="14.25" customHeight="1" x14ac:dyDescent="0.3">
      <c r="A255" s="245">
        <f>Datos!$I$3</f>
        <v>46388</v>
      </c>
      <c r="B255" s="199" t="str">
        <f>Datos!I$4</f>
        <v>Compresora</v>
      </c>
      <c r="C255" s="31" t="s">
        <v>577</v>
      </c>
      <c r="D255" s="199" t="str">
        <f>Datos!$B$72</f>
        <v>Desvíos detectados en el mes · gravedad Media</v>
      </c>
      <c r="E255" s="199" t="str">
        <f>Datos!$C$72</f>
        <v>u</v>
      </c>
      <c r="F255" s="31" t="s">
        <v>572</v>
      </c>
      <c r="G255" s="246" t="str">
        <f>IF(ISNUMBER(Datos!I72),Datos!I72,"")</f>
        <v/>
      </c>
      <c r="H25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6" spans="1:8" ht="14.25" customHeight="1" x14ac:dyDescent="0.3">
      <c r="A256" s="245">
        <f>Datos!$I$3</f>
        <v>46388</v>
      </c>
      <c r="B256" s="199" t="str">
        <f>Datos!I$4</f>
        <v>Compresora</v>
      </c>
      <c r="C256" s="31" t="s">
        <v>578</v>
      </c>
      <c r="D256" s="199" t="str">
        <f>Datos!$B$73</f>
        <v>Desvíos detectados en el mes · gravedad Baja</v>
      </c>
      <c r="E256" s="199" t="str">
        <f>Datos!$C$73</f>
        <v>u</v>
      </c>
      <c r="F256" s="31" t="s">
        <v>572</v>
      </c>
      <c r="G256" s="246" t="str">
        <f>IF(ISNUMBER(Datos!I73),Datos!I73,"")</f>
        <v/>
      </c>
      <c r="H25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7" spans="1:8" ht="14.25" customHeight="1" x14ac:dyDescent="0.3">
      <c r="A257" s="245">
        <f>Datos!$I$3</f>
        <v>46388</v>
      </c>
      <c r="B257" s="199" t="str">
        <f>Datos!I$4</f>
        <v>Compresora</v>
      </c>
      <c r="C257" s="31" t="s">
        <v>579</v>
      </c>
      <c r="D257" s="199" t="str">
        <f>Datos!$B$74</f>
        <v>Desvíos detectados en el mes · sin gravedad cargada</v>
      </c>
      <c r="E257" s="199" t="str">
        <f>Datos!$C$74</f>
        <v>u</v>
      </c>
      <c r="F257" s="31" t="s">
        <v>572</v>
      </c>
      <c r="G257" s="246">
        <f>IF(ISNUMBER(Datos!I74),Datos!I74,"")</f>
        <v>0</v>
      </c>
      <c r="H25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8" spans="1:8" ht="14.25" customHeight="1" x14ac:dyDescent="0.3">
      <c r="A258" s="245">
        <f>Datos!$I$3</f>
        <v>46388</v>
      </c>
      <c r="B258" s="199" t="str">
        <f>Datos!I$4</f>
        <v>Compresora</v>
      </c>
      <c r="C258" s="31" t="s">
        <v>580</v>
      </c>
      <c r="D258" s="199" t="str">
        <f>Datos!$B$75</f>
        <v>Detenciones de tareas aplicadas en el mes (Política = Sí)</v>
      </c>
      <c r="E258" s="199" t="str">
        <f>Datos!$C$75</f>
        <v>u</v>
      </c>
      <c r="F258" s="31" t="s">
        <v>572</v>
      </c>
      <c r="G258" s="246" t="str">
        <f>IF(ISNUMBER(Datos!I75),Datos!I75,"")</f>
        <v/>
      </c>
      <c r="H25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9" spans="1:8" ht="14.25" customHeight="1" x14ac:dyDescent="0.3">
      <c r="A259" s="245">
        <f>Datos!$I$3</f>
        <v>46388</v>
      </c>
      <c r="B259" s="199" t="str">
        <f>Datos!I$4</f>
        <v>Compresora</v>
      </c>
      <c r="C259" s="31" t="s">
        <v>581</v>
      </c>
      <c r="D259" s="199" t="str">
        <f>Datos!$B$76</f>
        <v>Desvíos de gravedad Alta abiertos a fin de mes</v>
      </c>
      <c r="E259" s="199" t="str">
        <f>Datos!$C$76</f>
        <v>u</v>
      </c>
      <c r="F259" s="31" t="s">
        <v>572</v>
      </c>
      <c r="G259" s="246" t="str">
        <f>IF(ISNUMBER(Datos!I76),Datos!I76,"")</f>
        <v/>
      </c>
      <c r="H25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60" spans="1:8" ht="14.25" customHeight="1" x14ac:dyDescent="0.3">
      <c r="A260" s="245">
        <f>Datos!$J$3</f>
        <v>46419</v>
      </c>
      <c r="B260" s="199" t="str">
        <f>Datos!J$4</f>
        <v>Compresora</v>
      </c>
      <c r="C260" s="31" t="s">
        <v>537</v>
      </c>
      <c r="D260" s="199" t="str">
        <f>Datos!$B$9</f>
        <v>Dotación promedio: Personal OPS</v>
      </c>
      <c r="E260" s="199" t="str">
        <f>Datos!$C$9</f>
        <v>pers</v>
      </c>
      <c r="F260" s="31" t="s">
        <v>538</v>
      </c>
      <c r="G260" s="246" t="str">
        <f>IF(ISNUMBER(Datos!J9),Datos!J9,"")</f>
        <v/>
      </c>
      <c r="H26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1" spans="1:8" ht="14.25" customHeight="1" x14ac:dyDescent="0.3">
      <c r="A261" s="245">
        <f>Datos!$J$3</f>
        <v>46419</v>
      </c>
      <c r="B261" s="199" t="str">
        <f>Datos!J$4</f>
        <v>Compresora</v>
      </c>
      <c r="C261" s="31" t="s">
        <v>539</v>
      </c>
      <c r="D261" s="199" t="str">
        <f>Datos!$B$10</f>
        <v>Dotación promedio: Personal SMP(IEBC, PAE e YPF) </v>
      </c>
      <c r="E261" s="199" t="str">
        <f>Datos!$C$10</f>
        <v>pers</v>
      </c>
      <c r="F261" s="31" t="s">
        <v>538</v>
      </c>
      <c r="G261" s="246" t="str">
        <f>IF(ISNUMBER(Datos!J10),Datos!J10,"")</f>
        <v/>
      </c>
      <c r="H26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2" spans="1:8" ht="14.25" customHeight="1" x14ac:dyDescent="0.3">
      <c r="A262" s="245">
        <f>Datos!$J$3</f>
        <v>46419</v>
      </c>
      <c r="B262" s="199" t="str">
        <f>Datos!J$4</f>
        <v>Compresora</v>
      </c>
      <c r="C262" s="31" t="s">
        <v>540</v>
      </c>
      <c r="D262" s="199" t="str">
        <f>Datos!$B$11</f>
        <v>Dotación promedio: TOTAL</v>
      </c>
      <c r="E262" s="199" t="str">
        <f>Datos!$C$11</f>
        <v>pers</v>
      </c>
      <c r="F262" s="31" t="s">
        <v>541</v>
      </c>
      <c r="G262" s="246">
        <f>IF(ISNUMBER(Datos!J11),Datos!J11,"")</f>
        <v>0</v>
      </c>
      <c r="H26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3" spans="1:8" ht="14.25" customHeight="1" x14ac:dyDescent="0.3">
      <c r="A263" s="245">
        <f>Datos!$J$3</f>
        <v>46419</v>
      </c>
      <c r="B263" s="199" t="str">
        <f>Datos!J$4</f>
        <v>Compresora</v>
      </c>
      <c r="C263" s="31" t="s">
        <v>542</v>
      </c>
      <c r="D263" s="199" t="str">
        <f>Datos!$B$12</f>
        <v>Horas hombre trabajadas: Personal OPS</v>
      </c>
      <c r="E263" s="199" t="str">
        <f>Datos!$C$12</f>
        <v>h</v>
      </c>
      <c r="F263" s="31" t="s">
        <v>538</v>
      </c>
      <c r="G263" s="246" t="str">
        <f>IF(ISNUMBER(Datos!J12),Datos!J12,"")</f>
        <v/>
      </c>
      <c r="H26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4" spans="1:8" ht="14.25" customHeight="1" x14ac:dyDescent="0.3">
      <c r="A264" s="245">
        <f>Datos!$J$3</f>
        <v>46419</v>
      </c>
      <c r="B264" s="199" t="str">
        <f>Datos!J$4</f>
        <v>Compresora</v>
      </c>
      <c r="C264" s="31" t="s">
        <v>543</v>
      </c>
      <c r="D264" s="199" t="str">
        <f>Datos!$B$13</f>
        <v>Horas hombre trabajadas: Personal SMP(IEBC, PAE e YPF) en campo</v>
      </c>
      <c r="E264" s="199" t="str">
        <f>Datos!$C$13</f>
        <v>h</v>
      </c>
      <c r="F264" s="31" t="s">
        <v>538</v>
      </c>
      <c r="G264" s="246" t="str">
        <f>IF(ISNUMBER(Datos!J13),Datos!J13,"")</f>
        <v/>
      </c>
      <c r="H26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5" spans="1:8" ht="14.25" customHeight="1" x14ac:dyDescent="0.3">
      <c r="A265" s="245">
        <f>Datos!$J$3</f>
        <v>46419</v>
      </c>
      <c r="B265" s="199" t="str">
        <f>Datos!J$4</f>
        <v>Compresora</v>
      </c>
      <c r="C265" s="31" t="s">
        <v>544</v>
      </c>
      <c r="D265" s="199" t="str">
        <f>Datos!$B$14</f>
        <v>Horas hombre trabajadas: TOTAL</v>
      </c>
      <c r="E265" s="199" t="str">
        <f>Datos!$C$14</f>
        <v>h</v>
      </c>
      <c r="F265" s="31" t="s">
        <v>541</v>
      </c>
      <c r="G265" s="246">
        <f>IF(ISNUMBER(Datos!J14),Datos!J14,"")</f>
        <v>0</v>
      </c>
      <c r="H26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6" spans="1:8" ht="14.25" customHeight="1" x14ac:dyDescent="0.3">
      <c r="A266" s="245">
        <f>Datos!$J$3</f>
        <v>46419</v>
      </c>
      <c r="B266" s="199" t="str">
        <f>Datos!J$4</f>
        <v>Compresora</v>
      </c>
      <c r="C266" s="31" t="s">
        <v>545</v>
      </c>
      <c r="D266" s="199" t="str">
        <f>Datos!$B$16</f>
        <v>Horas hombre de formación en seguridad: Personal OPS</v>
      </c>
      <c r="E266" s="199" t="str">
        <f>Datos!$C$16</f>
        <v>h</v>
      </c>
      <c r="F266" s="31" t="s">
        <v>538</v>
      </c>
      <c r="G266" s="246" t="str">
        <f>IF(ISNUMBER(Datos!J16),Datos!J16,"")</f>
        <v/>
      </c>
      <c r="H26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7" spans="1:8" ht="14.25" customHeight="1" x14ac:dyDescent="0.3">
      <c r="A267" s="245">
        <f>Datos!$J$3</f>
        <v>46419</v>
      </c>
      <c r="B267" s="199" t="str">
        <f>Datos!J$4</f>
        <v>Compresora</v>
      </c>
      <c r="C267" s="31" t="s">
        <v>546</v>
      </c>
      <c r="D267" s="199" t="str">
        <f>Datos!$B$17</f>
        <v>Horas hombre de formación en seguridad: Personal SMP(IEBC, PAE e YPF) </v>
      </c>
      <c r="E267" s="199" t="str">
        <f>Datos!$C$17</f>
        <v>h</v>
      </c>
      <c r="F267" s="31" t="s">
        <v>538</v>
      </c>
      <c r="G267" s="246" t="str">
        <f>IF(ISNUMBER(Datos!J17),Datos!J17,"")</f>
        <v/>
      </c>
      <c r="H26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8" spans="1:8" ht="14.25" customHeight="1" x14ac:dyDescent="0.3">
      <c r="A268" s="245">
        <f>Datos!$J$3</f>
        <v>46419</v>
      </c>
      <c r="B268" s="199" t="str">
        <f>Datos!J$4</f>
        <v>Compresora</v>
      </c>
      <c r="C268" s="31" t="s">
        <v>547</v>
      </c>
      <c r="D268" s="199" t="str">
        <f>Datos!$B$18</f>
        <v>Horas hombre de formación en seguridad: TOTAL</v>
      </c>
      <c r="E268" s="199" t="str">
        <f>Datos!$C$18</f>
        <v>h</v>
      </c>
      <c r="F268" s="31" t="s">
        <v>541</v>
      </c>
      <c r="G268" s="246">
        <f>IF(ISNUMBER(Datos!J18),Datos!J18,"")</f>
        <v>0</v>
      </c>
      <c r="H26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9" spans="1:8" ht="14.25" customHeight="1" x14ac:dyDescent="0.3">
      <c r="A269" s="245">
        <f>Datos!$J$3</f>
        <v>46419</v>
      </c>
      <c r="B269" s="199" t="str">
        <f>Datos!J$4</f>
        <v>Compresora</v>
      </c>
      <c r="C269" s="31" t="s">
        <v>548</v>
      </c>
      <c r="D269" s="199" t="str">
        <f>Datos!$B$20</f>
        <v>SIMULACROS · Realizados (emergencia y operativos)</v>
      </c>
      <c r="E269" s="199" t="str">
        <f>Datos!$C$20</f>
        <v>u</v>
      </c>
      <c r="F269" s="31" t="s">
        <v>538</v>
      </c>
      <c r="G269" s="246" t="str">
        <f>IF(ISNUMBER(Datos!J20),Datos!J20,"")</f>
        <v/>
      </c>
      <c r="H26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0" spans="1:8" ht="14.25" customHeight="1" x14ac:dyDescent="0.3">
      <c r="A270" s="245">
        <f>Datos!$J$3</f>
        <v>46419</v>
      </c>
      <c r="B270" s="199" t="str">
        <f>Datos!J$4</f>
        <v>Compresora</v>
      </c>
      <c r="C270" s="31" t="s">
        <v>549</v>
      </c>
      <c r="D270" s="199" t="str">
        <f>Datos!$B$21</f>
        <v>SIMULACROS · Programados (emergencia y operativos)</v>
      </c>
      <c r="E270" s="199" t="str">
        <f>Datos!$C$21</f>
        <v>u</v>
      </c>
      <c r="F270" s="31" t="s">
        <v>538</v>
      </c>
      <c r="G270" s="246" t="str">
        <f>IF(ISNUMBER(Datos!J21),Datos!J21,"")</f>
        <v/>
      </c>
      <c r="H27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1" spans="1:8" ht="14.25" customHeight="1" x14ac:dyDescent="0.3">
      <c r="A271" s="245">
        <f>Datos!$J$3</f>
        <v>46419</v>
      </c>
      <c r="B271" s="199" t="str">
        <f>Datos!J$4</f>
        <v>Compresora</v>
      </c>
      <c r="C271" s="31" t="s">
        <v>550</v>
      </c>
      <c r="D271" s="199" t="str">
        <f>Datos!$B$22</f>
        <v>SIMULACROS · Acciones de mejora surgidas de los simulacros (en el mes informado)</v>
      </c>
      <c r="E271" s="199" t="str">
        <f>Datos!$C$22</f>
        <v>u</v>
      </c>
      <c r="F271" s="31" t="s">
        <v>538</v>
      </c>
      <c r="G271" s="246" t="str">
        <f>IF(ISNUMBER(Datos!J22),Datos!J22,"")</f>
        <v/>
      </c>
      <c r="H27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2" spans="1:8" ht="14.25" customHeight="1" x14ac:dyDescent="0.3">
      <c r="A272" s="245">
        <f>Datos!$J$3</f>
        <v>46419</v>
      </c>
      <c r="B272" s="199" t="str">
        <f>Datos!J$4</f>
        <v>Compresora</v>
      </c>
      <c r="C272" s="31" t="s">
        <v>551</v>
      </c>
      <c r="D272" s="199" t="str">
        <f>Datos!$B$23</f>
        <v>SIMULACROS · Acciones de mejora implementadas surgidas de los simulacros (ICME) (en el mes informado)</v>
      </c>
      <c r="E272" s="199" t="str">
        <f>Datos!$C$23</f>
        <v>u</v>
      </c>
      <c r="F272" s="31" t="s">
        <v>538</v>
      </c>
      <c r="G272" s="246" t="str">
        <f>IF(ISNUMBER(Datos!J23),Datos!J23,"")</f>
        <v/>
      </c>
      <c r="H27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3" spans="1:8" ht="14.25" customHeight="1" x14ac:dyDescent="0.3">
      <c r="A273" s="245">
        <f>Datos!$J$3</f>
        <v>46419</v>
      </c>
      <c r="B273" s="199" t="str">
        <f>Datos!J$4</f>
        <v>Compresora</v>
      </c>
      <c r="C273" s="31" t="s">
        <v>552</v>
      </c>
      <c r="D273" s="199" t="str">
        <f>Datos!$B$24</f>
        <v>Caminatas gerenciales realizadas</v>
      </c>
      <c r="E273" s="199" t="str">
        <f>Datos!$C$24</f>
        <v>u</v>
      </c>
      <c r="F273" s="31" t="s">
        <v>538</v>
      </c>
      <c r="G273" s="246" t="str">
        <f>IF(ISNUMBER(Datos!J24),Datos!J24,"")</f>
        <v/>
      </c>
      <c r="H27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4" spans="1:8" ht="14.25" customHeight="1" x14ac:dyDescent="0.3">
      <c r="A274" s="245">
        <f>Datos!$J$3</f>
        <v>46419</v>
      </c>
      <c r="B274" s="199" t="str">
        <f>Datos!J$4</f>
        <v>Compresora</v>
      </c>
      <c r="C274" s="31" t="s">
        <v>553</v>
      </c>
      <c r="D274" s="199" t="str">
        <f>Datos!$B$25</f>
        <v>Caminatas gerenciales planificadas</v>
      </c>
      <c r="E274" s="199" t="str">
        <f>Datos!$C$25</f>
        <v>u</v>
      </c>
      <c r="F274" s="31" t="s">
        <v>538</v>
      </c>
      <c r="G274" s="246" t="str">
        <f>IF(ISNUMBER(Datos!J25),Datos!J25,"")</f>
        <v/>
      </c>
      <c r="H27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5" spans="1:8" ht="14.25" customHeight="1" x14ac:dyDescent="0.3">
      <c r="A275" s="245">
        <f>Datos!$J$3</f>
        <v>46419</v>
      </c>
      <c r="B275" s="199" t="str">
        <f>Datos!J$4</f>
        <v>Compresora</v>
      </c>
      <c r="C275" s="31" t="s">
        <v>554</v>
      </c>
      <c r="D275" s="199" t="str">
        <f>Datos!$B$26</f>
        <v>Comités y subcomités de seguridad realizados</v>
      </c>
      <c r="E275" s="199" t="str">
        <f>Datos!$C$26</f>
        <v>u</v>
      </c>
      <c r="F275" s="31" t="s">
        <v>538</v>
      </c>
      <c r="G275" s="246" t="str">
        <f>IF(ISNUMBER(Datos!J26),Datos!J26,"")</f>
        <v/>
      </c>
      <c r="H27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6" spans="1:8" ht="14.25" customHeight="1" x14ac:dyDescent="0.3">
      <c r="A276" s="245">
        <f>Datos!$J$3</f>
        <v>46419</v>
      </c>
      <c r="B276" s="199" t="str">
        <f>Datos!J$4</f>
        <v>Compresora</v>
      </c>
      <c r="C276" s="31" t="s">
        <v>555</v>
      </c>
      <c r="D276" s="199" t="str">
        <f>Datos!$B$27</f>
        <v>Comités y subcomités de seguridad planificados</v>
      </c>
      <c r="E276" s="199" t="str">
        <f>Datos!$C$27</f>
        <v>u</v>
      </c>
      <c r="F276" s="31" t="s">
        <v>538</v>
      </c>
      <c r="G276" s="246" t="str">
        <f>IF(ISNUMBER(Datos!J27),Datos!J27,"")</f>
        <v/>
      </c>
      <c r="H27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7" spans="1:8" ht="14.25" customHeight="1" x14ac:dyDescent="0.3">
      <c r="A277" s="245">
        <f>Datos!$J$3</f>
        <v>46419</v>
      </c>
      <c r="B277" s="199" t="str">
        <f>Datos!J$4</f>
        <v>Compresora</v>
      </c>
      <c r="C277" s="31" t="s">
        <v>556</v>
      </c>
      <c r="D277" s="31" t="inlineStr">
        <is>
          <t>Observaciones de comportamiento seguro: total del mes (OPS + SMP)</t>
        </is>
      </c>
      <c r="E277" s="199" t="str">
        <f>Datos!$C$28</f>
        <v>u</v>
      </c>
      <c r="F277" s="31" t="s">
        <v>538</v>
      </c>
      <c r="G277" s="246" t="str">
        <f>IF(COUNT(Datos!J28:J29)=0,"",SUM(Datos!J28:J29))</f>
        <v/>
      </c>
      <c r="H27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8" spans="1:8" ht="14.25" customHeight="1" x14ac:dyDescent="0.3">
      <c r="A278" s="245">
        <f>Datos!$J$3</f>
        <v>46419</v>
      </c>
      <c r="B278" s="199" t="str">
        <f>Datos!J$4</f>
        <v>Compresora</v>
      </c>
      <c r="C278" s="31" t="s">
        <v>557</v>
      </c>
      <c r="D278" s="199" t="str">
        <f>Datos!$B$30</f>
        <v>Investigaciones de accidentes cerradas en el mes</v>
      </c>
      <c r="E278" s="199" t="str">
        <f>Datos!$C$30</f>
        <v>u</v>
      </c>
      <c r="F278" s="31" t="s">
        <v>538</v>
      </c>
      <c r="G278" s="246" t="str">
        <f>IF(ISNUMBER(Datos!J30),Datos!J30,"")</f>
        <v/>
      </c>
      <c r="H27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9" spans="1:8" ht="14.25" customHeight="1" x14ac:dyDescent="0.3">
      <c r="A279" s="245">
        <f>Datos!$J$3</f>
        <v>46419</v>
      </c>
      <c r="B279" s="199" t="str">
        <f>Datos!J$4</f>
        <v>Compresora</v>
      </c>
      <c r="C279" s="31" t="s">
        <v>558</v>
      </c>
      <c r="D279" s="199" t="str">
        <f>Datos!$B$31</f>
        <v>Días que llevaron esas investigaciones (suma)</v>
      </c>
      <c r="E279" s="199" t="str">
        <f>Datos!$C$31</f>
        <v>días</v>
      </c>
      <c r="F279" s="31" t="s">
        <v>538</v>
      </c>
      <c r="G279" s="246" t="str">
        <f>IF(ISNUMBER(Datos!J31),Datos!J31,"")</f>
        <v/>
      </c>
      <c r="H27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0" spans="1:8" ht="14.25" customHeight="1" x14ac:dyDescent="0.3">
      <c r="A280" s="245">
        <f>Datos!$J$3</f>
        <v>46419</v>
      </c>
      <c r="B280" s="199" t="str">
        <f>Datos!J$4</f>
        <v>Compresora</v>
      </c>
      <c r="C280" s="31" t="s">
        <v>559</v>
      </c>
      <c r="D280" s="199" t="str">
        <f>Datos!$B$33</f>
        <v>Casos con días perdidos</v>
      </c>
      <c r="E280" s="199" t="str">
        <f>Datos!$C$33</f>
        <v>u</v>
      </c>
      <c r="F280" s="31" t="s">
        <v>538</v>
      </c>
      <c r="G280" s="246" t="str">
        <f>IF(ISNUMBER(Datos!J33),Datos!J33,"")</f>
        <v/>
      </c>
      <c r="H28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1" spans="1:8" ht="14.25" customHeight="1" x14ac:dyDescent="0.3">
      <c r="A281" s="245">
        <f>Datos!$J$3</f>
        <v>46419</v>
      </c>
      <c r="B281" s="199" t="str">
        <f>Datos!J$4</f>
        <v>Compresora</v>
      </c>
      <c r="C281" s="31" t="s">
        <v>560</v>
      </c>
      <c r="D281" s="199" t="str">
        <f>Datos!$B$34</f>
        <v>Casos con trabajo restringido</v>
      </c>
      <c r="E281" s="199" t="str">
        <f>Datos!$C$34</f>
        <v>u</v>
      </c>
      <c r="F281" s="31" t="s">
        <v>538</v>
      </c>
      <c r="G281" s="246" t="str">
        <f>IF(ISNUMBER(Datos!J34),Datos!J34,"")</f>
        <v/>
      </c>
      <c r="H28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2" spans="1:8" ht="14.25" customHeight="1" x14ac:dyDescent="0.3">
      <c r="A282" s="245">
        <f>Datos!$J$3</f>
        <v>46419</v>
      </c>
      <c r="B282" s="199" t="str">
        <f>Datos!J$4</f>
        <v>Compresora</v>
      </c>
      <c r="C282" s="31" t="s">
        <v>561</v>
      </c>
      <c r="D282" s="199" t="str">
        <f>Datos!$B$35</f>
        <v>Casos con tratamiento médico</v>
      </c>
      <c r="E282" s="199" t="str">
        <f>Datos!$C$35</f>
        <v>u</v>
      </c>
      <c r="F282" s="31" t="s">
        <v>538</v>
      </c>
      <c r="G282" s="246" t="str">
        <f>IF(ISNUMBER(Datos!J35),Datos!J35,"")</f>
        <v/>
      </c>
      <c r="H28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3" spans="1:8" ht="14.25" customHeight="1" x14ac:dyDescent="0.3">
      <c r="A283" s="245">
        <f>Datos!$J$3</f>
        <v>46419</v>
      </c>
      <c r="B283" s="199" t="str">
        <f>Datos!J$4</f>
        <v>Compresora</v>
      </c>
      <c r="C283" s="31" t="s">
        <v>562</v>
      </c>
      <c r="D283" s="199" t="str">
        <f>Datos!$B$36</f>
        <v>Fatalidades</v>
      </c>
      <c r="E283" s="199" t="str">
        <f>Datos!$C$36</f>
        <v>u</v>
      </c>
      <c r="F283" s="31" t="s">
        <v>538</v>
      </c>
      <c r="G283" s="246" t="str">
        <f>IF(ISNUMBER(Datos!J36),Datos!J36,"")</f>
        <v/>
      </c>
      <c r="H28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4" spans="1:8" ht="14.25" customHeight="1" x14ac:dyDescent="0.3">
      <c r="A284" s="245">
        <f>Datos!$J$3</f>
        <v>46419</v>
      </c>
      <c r="B284" s="199" t="str">
        <f>Datos!J$4</f>
        <v>Compresora</v>
      </c>
      <c r="C284" s="31" t="s">
        <v>51</v>
      </c>
      <c r="D284" s="199" t="str">
        <f>Datos!$B$37</f>
        <v>Casos de primeros auxilios</v>
      </c>
      <c r="E284" s="199" t="str">
        <f>Datos!$C$37</f>
        <v>u</v>
      </c>
      <c r="F284" s="31" t="s">
        <v>538</v>
      </c>
      <c r="G284" s="246" t="str">
        <f>IF(ISNUMBER(Datos!J37),Datos!J37,"")</f>
        <v/>
      </c>
      <c r="H28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5" spans="1:8" ht="14.25" customHeight="1" x14ac:dyDescent="0.3">
      <c r="A285" s="245">
        <f>Datos!$J$3</f>
        <v>46419</v>
      </c>
      <c r="B285" s="199" t="str">
        <f>Datos!J$4</f>
        <v>Compresora</v>
      </c>
      <c r="C285" s="31" t="s">
        <v>563</v>
      </c>
      <c r="D285" s="199" t="str">
        <f>Datos!$B$39</f>
        <v>CVM catastróficas</v>
      </c>
      <c r="E285" s="199" t="str">
        <f>Datos!$C$39</f>
        <v>u</v>
      </c>
      <c r="F285" s="31" t="s">
        <v>538</v>
      </c>
      <c r="G285" s="246" t="str">
        <f>IF(ISNUMBER(Datos!J39),Datos!J39,"")</f>
        <v/>
      </c>
      <c r="H28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6" spans="1:8" ht="14.25" customHeight="1" x14ac:dyDescent="0.3">
      <c r="A286" s="245">
        <f>Datos!$J$3</f>
        <v>46419</v>
      </c>
      <c r="B286" s="199" t="str">
        <f>Datos!J$4</f>
        <v>Compresora</v>
      </c>
      <c r="C286" s="31" t="s">
        <v>564</v>
      </c>
      <c r="D286" s="199" t="str">
        <f>Datos!$B$40</f>
        <v>CVM mayores</v>
      </c>
      <c r="E286" s="199" t="str">
        <f>Datos!$C$40</f>
        <v>u</v>
      </c>
      <c r="F286" s="31" t="s">
        <v>538</v>
      </c>
      <c r="G286" s="246" t="str">
        <f>IF(ISNUMBER(Datos!J40),Datos!J40,"")</f>
        <v/>
      </c>
      <c r="H28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7" spans="1:8" ht="14.25" customHeight="1" x14ac:dyDescent="0.3">
      <c r="A287" s="245">
        <f>Datos!$J$3</f>
        <v>46419</v>
      </c>
      <c r="B287" s="199" t="str">
        <f>Datos!J$4</f>
        <v>Compresora</v>
      </c>
      <c r="C287" s="31" t="s">
        <v>565</v>
      </c>
      <c r="D287" s="199" t="str">
        <f>Datos!$B$41</f>
        <v>CVM serias</v>
      </c>
      <c r="E287" s="199" t="str">
        <f>Datos!$C$41</f>
        <v>u</v>
      </c>
      <c r="F287" s="31" t="s">
        <v>538</v>
      </c>
      <c r="G287" s="246" t="str">
        <f>IF(ISNUMBER(Datos!J41),Datos!J41,"")</f>
        <v/>
      </c>
      <c r="H28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8" spans="1:8" ht="14.25" customHeight="1" x14ac:dyDescent="0.3">
      <c r="A288" s="245">
        <f>Datos!$J$3</f>
        <v>46419</v>
      </c>
      <c r="B288" s="199" t="str">
        <f>Datos!J$4</f>
        <v>Compresora</v>
      </c>
      <c r="C288" s="31" t="s">
        <v>566</v>
      </c>
      <c r="D288" s="199" t="str">
        <f>Datos!$B$42</f>
        <v>CVM otras / menores</v>
      </c>
      <c r="E288" s="199" t="str">
        <f>Datos!$C$42</f>
        <v>u</v>
      </c>
      <c r="F288" s="31" t="s">
        <v>538</v>
      </c>
      <c r="G288" s="246" t="str">
        <f>IF(ISNUMBER(Datos!J42),Datos!J42,"")</f>
        <v/>
      </c>
      <c r="H28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9" spans="1:8" ht="14.25" customHeight="1" x14ac:dyDescent="0.3">
      <c r="A289" s="245">
        <f>Datos!$J$3</f>
        <v>46419</v>
      </c>
      <c r="B289" s="199" t="str">
        <f>Datos!J$4</f>
        <v>Compresora</v>
      </c>
      <c r="C289" s="31" t="s">
        <v>567</v>
      </c>
      <c r="D289" s="199" t="str">
        <f>Datos!$B$44</f>
        <v>Km recorridos: vehículos livianos (camionetas)</v>
      </c>
      <c r="E289" s="199" t="str">
        <f>Datos!$C$44</f>
        <v>km</v>
      </c>
      <c r="F289" s="31" t="s">
        <v>538</v>
      </c>
      <c r="G289" s="246" t="str">
        <f>IF(ISNUMBER(Datos!J44),Datos!J44,"")</f>
        <v/>
      </c>
      <c r="H28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0" spans="1:8" ht="14.25" customHeight="1" x14ac:dyDescent="0.3">
      <c r="A290" s="245">
        <f>Datos!$J$3</f>
        <v>46419</v>
      </c>
      <c r="B290" s="199" t="str">
        <f>Datos!J$4</f>
        <v>Compresora</v>
      </c>
      <c r="C290" s="31" t="s">
        <v>568</v>
      </c>
      <c r="D290" s="199" t="str">
        <f>Datos!$B$45</f>
        <v>Km recorridos: vehículos pesados (camiones)</v>
      </c>
      <c r="E290" s="199" t="str">
        <f>Datos!$C$45</f>
        <v>km</v>
      </c>
      <c r="F290" s="31" t="s">
        <v>538</v>
      </c>
      <c r="G290" s="246" t="str">
        <f>IF(ISNUMBER(Datos!J45),Datos!J45,"")</f>
        <v/>
      </c>
      <c r="H29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1" spans="1:8" ht="14.25" customHeight="1" x14ac:dyDescent="0.3">
      <c r="A291" s="245">
        <f>Datos!$J$3</f>
        <v>46419</v>
      </c>
      <c r="B291" s="199" t="str">
        <f>Datos!J$4</f>
        <v>Compresora</v>
      </c>
      <c r="C291" s="31" t="s">
        <v>569</v>
      </c>
      <c r="D291" s="199" t="str">
        <f>Datos!$B$46</f>
        <v>Km recorridos: vehículos de transporte de personal (combis)</v>
      </c>
      <c r="E291" s="199" t="str">
        <f>Datos!$C$46</f>
        <v>km</v>
      </c>
      <c r="F291" s="31" t="s">
        <v>538</v>
      </c>
      <c r="G291" s="246" t="str">
        <f>IF(ISNUMBER(Datos!J46),Datos!J46,"")</f>
        <v/>
      </c>
      <c r="H29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2" spans="1:8" ht="14.25" customHeight="1" x14ac:dyDescent="0.3">
      <c r="A292" s="245">
        <f>Datos!$J$3</f>
        <v>46419</v>
      </c>
      <c r="B292" s="199" t="str">
        <f>Datos!J$4</f>
        <v>Compresora</v>
      </c>
      <c r="C292" s="31" t="s">
        <v>570</v>
      </c>
      <c r="D292" s="199" t="str">
        <f>Datos!$B$47</f>
        <v>Km recorridos: TOTAL</v>
      </c>
      <c r="E292" s="199" t="str">
        <f>Datos!$C$47</f>
        <v>km</v>
      </c>
      <c r="F292" s="31" t="s">
        <v>541</v>
      </c>
      <c r="G292" s="246">
        <f>IF(ISNUMBER(Datos!J47),Datos!J47,"")</f>
        <v>0</v>
      </c>
      <c r="H29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3" spans="1:8" ht="14.25" customHeight="1" x14ac:dyDescent="0.3">
      <c r="A293" s="245">
        <f>Datos!$J$3</f>
        <v>46419</v>
      </c>
      <c r="B293" s="199" t="str">
        <f>Datos!J$4</f>
        <v>Compresora</v>
      </c>
      <c r="C293" s="31" t="s">
        <v>571</v>
      </c>
      <c r="D293" s="199" t="str">
        <f>Datos!$B$67</f>
        <v>Hallazgos (desvíos) cerrados en el mes</v>
      </c>
      <c r="E293" s="199" t="str">
        <f>Datos!$C$67</f>
        <v>u</v>
      </c>
      <c r="F293" s="31" t="s">
        <v>572</v>
      </c>
      <c r="G293" s="246" t="str">
        <f>IF(ISNUMBER(Datos!J67),Datos!J67,"")</f>
        <v/>
      </c>
      <c r="H29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4" spans="1:8" ht="14.25" customHeight="1" x14ac:dyDescent="0.3">
      <c r="A294" s="245">
        <f>Datos!$J$3</f>
        <v>46419</v>
      </c>
      <c r="B294" s="199" t="str">
        <f>Datos!J$4</f>
        <v>Compresora</v>
      </c>
      <c r="C294" s="31" t="s">
        <v>573</v>
      </c>
      <c r="D294" s="199" t="str">
        <f>Datos!$B$68</f>
        <v>Días que llevaron esos hallazgos (suma)</v>
      </c>
      <c r="E294" s="199" t="str">
        <f>Datos!$C$68</f>
        <v>días</v>
      </c>
      <c r="F294" s="31" t="s">
        <v>572</v>
      </c>
      <c r="G294" s="246" t="str">
        <f>IF(ISNUMBER(Datos!J68),Datos!J68,"")</f>
        <v/>
      </c>
      <c r="H29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5" spans="1:8" ht="14.25" customHeight="1" x14ac:dyDescent="0.3">
      <c r="A295" s="245">
        <f>Datos!$J$3</f>
        <v>46419</v>
      </c>
      <c r="B295" s="199" t="str">
        <f>Datos!J$4</f>
        <v>Compresora</v>
      </c>
      <c r="C295" s="31" t="s">
        <v>574</v>
      </c>
      <c r="D295" s="199" t="str">
        <f>Datos!$B$69</f>
        <v>Hallazgos (desvíos) abiertos a fin de mes</v>
      </c>
      <c r="E295" s="199" t="str">
        <f>Datos!$C$69</f>
        <v>u</v>
      </c>
      <c r="F295" s="31" t="s">
        <v>572</v>
      </c>
      <c r="G295" s="246" t="str">
        <f>IF(ISNUMBER(Datos!J69),Datos!J69,"")</f>
        <v/>
      </c>
      <c r="H29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6" spans="1:8" ht="14.25" customHeight="1" x14ac:dyDescent="0.3">
      <c r="A296" s="245">
        <f>Datos!$J$3</f>
        <v>46419</v>
      </c>
      <c r="B296" s="199" t="str">
        <f>Datos!J$4</f>
        <v>Compresora</v>
      </c>
      <c r="C296" s="31" t="s">
        <v>575</v>
      </c>
      <c r="D296" s="199" t="str">
        <f>Datos!$B$70</f>
        <v>Hallazgos (desvíos) detectados en el mes</v>
      </c>
      <c r="E296" s="199" t="str">
        <f>Datos!$C$70</f>
        <v>u</v>
      </c>
      <c r="F296" s="31" t="s">
        <v>572</v>
      </c>
      <c r="G296" s="246" t="str">
        <f>IF(ISNUMBER(Datos!J70),Datos!J70,"")</f>
        <v/>
      </c>
      <c r="H29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7" spans="1:8" ht="14.25" customHeight="1" x14ac:dyDescent="0.3">
      <c r="A297" s="245">
        <f>Datos!$J$3</f>
        <v>46419</v>
      </c>
      <c r="B297" s="199" t="str">
        <f>Datos!J$4</f>
        <v>Compresora</v>
      </c>
      <c r="C297" s="31" t="s">
        <v>576</v>
      </c>
      <c r="D297" s="199" t="str">
        <f>Datos!$B$71</f>
        <v>Desvíos detectados en el mes · gravedad Alta</v>
      </c>
      <c r="E297" s="199" t="str">
        <f>Datos!$C$71</f>
        <v>u</v>
      </c>
      <c r="F297" s="31" t="s">
        <v>572</v>
      </c>
      <c r="G297" s="246" t="str">
        <f>IF(ISNUMBER(Datos!J71),Datos!J71,"")</f>
        <v/>
      </c>
      <c r="H29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8" spans="1:8" ht="14.25" customHeight="1" x14ac:dyDescent="0.3">
      <c r="A298" s="245">
        <f>Datos!$J$3</f>
        <v>46419</v>
      </c>
      <c r="B298" s="199" t="str">
        <f>Datos!J$4</f>
        <v>Compresora</v>
      </c>
      <c r="C298" s="31" t="s">
        <v>577</v>
      </c>
      <c r="D298" s="199" t="str">
        <f>Datos!$B$72</f>
        <v>Desvíos detectados en el mes · gravedad Media</v>
      </c>
      <c r="E298" s="199" t="str">
        <f>Datos!$C$72</f>
        <v>u</v>
      </c>
      <c r="F298" s="31" t="s">
        <v>572</v>
      </c>
      <c r="G298" s="246" t="str">
        <f>IF(ISNUMBER(Datos!J72),Datos!J72,"")</f>
        <v/>
      </c>
      <c r="H29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9" spans="1:8" ht="14.25" customHeight="1" x14ac:dyDescent="0.3">
      <c r="A299" s="245">
        <f>Datos!$J$3</f>
        <v>46419</v>
      </c>
      <c r="B299" s="199" t="str">
        <f>Datos!J$4</f>
        <v>Compresora</v>
      </c>
      <c r="C299" s="31" t="s">
        <v>578</v>
      </c>
      <c r="D299" s="199" t="str">
        <f>Datos!$B$73</f>
        <v>Desvíos detectados en el mes · gravedad Baja</v>
      </c>
      <c r="E299" s="199" t="str">
        <f>Datos!$C$73</f>
        <v>u</v>
      </c>
      <c r="F299" s="31" t="s">
        <v>572</v>
      </c>
      <c r="G299" s="246" t="str">
        <f>IF(ISNUMBER(Datos!J73),Datos!J73,"")</f>
        <v/>
      </c>
      <c r="H29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0" spans="1:8" ht="14.25" customHeight="1" x14ac:dyDescent="0.3">
      <c r="A300" s="245">
        <f>Datos!$J$3</f>
        <v>46419</v>
      </c>
      <c r="B300" s="199" t="str">
        <f>Datos!J$4</f>
        <v>Compresora</v>
      </c>
      <c r="C300" s="31" t="s">
        <v>579</v>
      </c>
      <c r="D300" s="199" t="str">
        <f>Datos!$B$74</f>
        <v>Desvíos detectados en el mes · sin gravedad cargada</v>
      </c>
      <c r="E300" s="199" t="str">
        <f>Datos!$C$74</f>
        <v>u</v>
      </c>
      <c r="F300" s="31" t="s">
        <v>572</v>
      </c>
      <c r="G300" s="246">
        <f>IF(ISNUMBER(Datos!J74),Datos!J74,"")</f>
        <v>0</v>
      </c>
      <c r="H30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1" spans="1:8" ht="14.25" customHeight="1" x14ac:dyDescent="0.3">
      <c r="A301" s="245">
        <f>Datos!$J$3</f>
        <v>46419</v>
      </c>
      <c r="B301" s="199" t="str">
        <f>Datos!J$4</f>
        <v>Compresora</v>
      </c>
      <c r="C301" s="31" t="s">
        <v>580</v>
      </c>
      <c r="D301" s="199" t="str">
        <f>Datos!$B$75</f>
        <v>Detenciones de tareas aplicadas en el mes (Política = Sí)</v>
      </c>
      <c r="E301" s="199" t="str">
        <f>Datos!$C$75</f>
        <v>u</v>
      </c>
      <c r="F301" s="31" t="s">
        <v>572</v>
      </c>
      <c r="G301" s="246" t="str">
        <f>IF(ISNUMBER(Datos!J75),Datos!J75,"")</f>
        <v/>
      </c>
      <c r="H30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2" spans="1:8" ht="14.25" customHeight="1" x14ac:dyDescent="0.3">
      <c r="A302" s="245">
        <f>Datos!$J$3</f>
        <v>46419</v>
      </c>
      <c r="B302" s="199" t="str">
        <f>Datos!J$4</f>
        <v>Compresora</v>
      </c>
      <c r="C302" s="31" t="s">
        <v>581</v>
      </c>
      <c r="D302" s="199" t="str">
        <f>Datos!$B$76</f>
        <v>Desvíos de gravedad Alta abiertos a fin de mes</v>
      </c>
      <c r="E302" s="199" t="str">
        <f>Datos!$C$76</f>
        <v>u</v>
      </c>
      <c r="F302" s="31" t="s">
        <v>572</v>
      </c>
      <c r="G302" s="246" t="str">
        <f>IF(ISNUMBER(Datos!J76),Datos!J76,"")</f>
        <v/>
      </c>
      <c r="H30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3" spans="1:8" ht="14.25" customHeight="1" x14ac:dyDescent="0.3">
      <c r="A303" s="245">
        <f>Datos!$K$3</f>
        <v>46447</v>
      </c>
      <c r="B303" s="199" t="str">
        <f>Datos!K$4</f>
        <v>Compresora</v>
      </c>
      <c r="C303" s="31" t="s">
        <v>537</v>
      </c>
      <c r="D303" s="199" t="str">
        <f>Datos!$B$9</f>
        <v>Dotación promedio: Personal OPS</v>
      </c>
      <c r="E303" s="199" t="str">
        <f>Datos!$C$9</f>
        <v>pers</v>
      </c>
      <c r="F303" s="31" t="s">
        <v>538</v>
      </c>
      <c r="G303" s="246" t="str">
        <f>IF(ISNUMBER(Datos!K9),Datos!K9,"")</f>
        <v/>
      </c>
      <c r="H30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4" spans="1:8" ht="14.25" customHeight="1" x14ac:dyDescent="0.3">
      <c r="A304" s="245">
        <f>Datos!$K$3</f>
        <v>46447</v>
      </c>
      <c r="B304" s="199" t="str">
        <f>Datos!K$4</f>
        <v>Compresora</v>
      </c>
      <c r="C304" s="31" t="s">
        <v>539</v>
      </c>
      <c r="D304" s="199" t="str">
        <f>Datos!$B$10</f>
        <v>Dotación promedio: Personal SMP(IEBC, PAE e YPF) </v>
      </c>
      <c r="E304" s="199" t="str">
        <f>Datos!$C$10</f>
        <v>pers</v>
      </c>
      <c r="F304" s="31" t="s">
        <v>538</v>
      </c>
      <c r="G304" s="246" t="str">
        <f>IF(ISNUMBER(Datos!K10),Datos!K10,"")</f>
        <v/>
      </c>
      <c r="H30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5" spans="1:8" ht="14.25" customHeight="1" x14ac:dyDescent="0.3">
      <c r="A305" s="245">
        <f>Datos!$K$3</f>
        <v>46447</v>
      </c>
      <c r="B305" s="199" t="str">
        <f>Datos!K$4</f>
        <v>Compresora</v>
      </c>
      <c r="C305" s="31" t="s">
        <v>540</v>
      </c>
      <c r="D305" s="199" t="str">
        <f>Datos!$B$11</f>
        <v>Dotación promedio: TOTAL</v>
      </c>
      <c r="E305" s="199" t="str">
        <f>Datos!$C$11</f>
        <v>pers</v>
      </c>
      <c r="F305" s="31" t="s">
        <v>541</v>
      </c>
      <c r="G305" s="246">
        <f>IF(ISNUMBER(Datos!K11),Datos!K11,"")</f>
        <v>0</v>
      </c>
      <c r="H30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6" spans="1:8" ht="14.25" customHeight="1" x14ac:dyDescent="0.3">
      <c r="A306" s="245">
        <f>Datos!$K$3</f>
        <v>46447</v>
      </c>
      <c r="B306" s="199" t="str">
        <f>Datos!K$4</f>
        <v>Compresora</v>
      </c>
      <c r="C306" s="31" t="s">
        <v>542</v>
      </c>
      <c r="D306" s="199" t="str">
        <f>Datos!$B$12</f>
        <v>Horas hombre trabajadas: Personal OPS</v>
      </c>
      <c r="E306" s="199" t="str">
        <f>Datos!$C$12</f>
        <v>h</v>
      </c>
      <c r="F306" s="31" t="s">
        <v>538</v>
      </c>
      <c r="G306" s="246" t="str">
        <f>IF(ISNUMBER(Datos!K12),Datos!K12,"")</f>
        <v/>
      </c>
      <c r="H30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7" spans="1:8" ht="14.25" customHeight="1" x14ac:dyDescent="0.3">
      <c r="A307" s="245">
        <f>Datos!$K$3</f>
        <v>46447</v>
      </c>
      <c r="B307" s="199" t="str">
        <f>Datos!K$4</f>
        <v>Compresora</v>
      </c>
      <c r="C307" s="31" t="s">
        <v>543</v>
      </c>
      <c r="D307" s="199" t="str">
        <f>Datos!$B$13</f>
        <v>Horas hombre trabajadas: Personal SMP(IEBC, PAE e YPF) en campo</v>
      </c>
      <c r="E307" s="199" t="str">
        <f>Datos!$C$13</f>
        <v>h</v>
      </c>
      <c r="F307" s="31" t="s">
        <v>538</v>
      </c>
      <c r="G307" s="246" t="str">
        <f>IF(ISNUMBER(Datos!K13),Datos!K13,"")</f>
        <v/>
      </c>
      <c r="H30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8" spans="1:8" ht="14.25" customHeight="1" x14ac:dyDescent="0.3">
      <c r="A308" s="245">
        <f>Datos!$K$3</f>
        <v>46447</v>
      </c>
      <c r="B308" s="199" t="str">
        <f>Datos!K$4</f>
        <v>Compresora</v>
      </c>
      <c r="C308" s="31" t="s">
        <v>544</v>
      </c>
      <c r="D308" s="199" t="str">
        <f>Datos!$B$14</f>
        <v>Horas hombre trabajadas: TOTAL</v>
      </c>
      <c r="E308" s="199" t="str">
        <f>Datos!$C$14</f>
        <v>h</v>
      </c>
      <c r="F308" s="31" t="s">
        <v>541</v>
      </c>
      <c r="G308" s="246">
        <f>IF(ISNUMBER(Datos!K14),Datos!K14,"")</f>
        <v>0</v>
      </c>
      <c r="H30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9" spans="1:8" ht="14.25" customHeight="1" x14ac:dyDescent="0.3">
      <c r="A309" s="245">
        <f>Datos!$K$3</f>
        <v>46447</v>
      </c>
      <c r="B309" s="199" t="str">
        <f>Datos!K$4</f>
        <v>Compresora</v>
      </c>
      <c r="C309" s="31" t="s">
        <v>545</v>
      </c>
      <c r="D309" s="199" t="str">
        <f>Datos!$B$16</f>
        <v>Horas hombre de formación en seguridad: Personal OPS</v>
      </c>
      <c r="E309" s="199" t="str">
        <f>Datos!$C$16</f>
        <v>h</v>
      </c>
      <c r="F309" s="31" t="s">
        <v>538</v>
      </c>
      <c r="G309" s="246" t="str">
        <f>IF(ISNUMBER(Datos!K16),Datos!K16,"")</f>
        <v/>
      </c>
      <c r="H30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0" spans="1:8" ht="14.25" customHeight="1" x14ac:dyDescent="0.3">
      <c r="A310" s="245">
        <f>Datos!$K$3</f>
        <v>46447</v>
      </c>
      <c r="B310" s="199" t="str">
        <f>Datos!K$4</f>
        <v>Compresora</v>
      </c>
      <c r="C310" s="31" t="s">
        <v>546</v>
      </c>
      <c r="D310" s="199" t="str">
        <f>Datos!$B$17</f>
        <v>Horas hombre de formación en seguridad: Personal SMP(IEBC, PAE e YPF) </v>
      </c>
      <c r="E310" s="199" t="str">
        <f>Datos!$C$17</f>
        <v>h</v>
      </c>
      <c r="F310" s="31" t="s">
        <v>538</v>
      </c>
      <c r="G310" s="246" t="str">
        <f>IF(ISNUMBER(Datos!K17),Datos!K17,"")</f>
        <v/>
      </c>
      <c r="H31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1" spans="1:8" ht="14.25" customHeight="1" x14ac:dyDescent="0.3">
      <c r="A311" s="245">
        <f>Datos!$K$3</f>
        <v>46447</v>
      </c>
      <c r="B311" s="199" t="str">
        <f>Datos!K$4</f>
        <v>Compresora</v>
      </c>
      <c r="C311" s="31" t="s">
        <v>547</v>
      </c>
      <c r="D311" s="199" t="str">
        <f>Datos!$B$18</f>
        <v>Horas hombre de formación en seguridad: TOTAL</v>
      </c>
      <c r="E311" s="199" t="str">
        <f>Datos!$C$18</f>
        <v>h</v>
      </c>
      <c r="F311" s="31" t="s">
        <v>541</v>
      </c>
      <c r="G311" s="246">
        <f>IF(ISNUMBER(Datos!K18),Datos!K18,"")</f>
        <v>0</v>
      </c>
      <c r="H31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2" spans="1:8" ht="14.25" customHeight="1" x14ac:dyDescent="0.3">
      <c r="A312" s="245">
        <f>Datos!$K$3</f>
        <v>46447</v>
      </c>
      <c r="B312" s="199" t="str">
        <f>Datos!K$4</f>
        <v>Compresora</v>
      </c>
      <c r="C312" s="31" t="s">
        <v>548</v>
      </c>
      <c r="D312" s="199" t="str">
        <f>Datos!$B$20</f>
        <v>SIMULACROS · Realizados (emergencia y operativos)</v>
      </c>
      <c r="E312" s="199" t="str">
        <f>Datos!$C$20</f>
        <v>u</v>
      </c>
      <c r="F312" s="31" t="s">
        <v>538</v>
      </c>
      <c r="G312" s="246" t="str">
        <f>IF(ISNUMBER(Datos!K20),Datos!K20,"")</f>
        <v/>
      </c>
      <c r="H31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3" spans="1:8" ht="14.25" customHeight="1" x14ac:dyDescent="0.3">
      <c r="A313" s="245">
        <f>Datos!$K$3</f>
        <v>46447</v>
      </c>
      <c r="B313" s="199" t="str">
        <f>Datos!K$4</f>
        <v>Compresora</v>
      </c>
      <c r="C313" s="31" t="s">
        <v>549</v>
      </c>
      <c r="D313" s="199" t="str">
        <f>Datos!$B$21</f>
        <v>SIMULACROS · Programados (emergencia y operativos)</v>
      </c>
      <c r="E313" s="199" t="str">
        <f>Datos!$C$21</f>
        <v>u</v>
      </c>
      <c r="F313" s="31" t="s">
        <v>538</v>
      </c>
      <c r="G313" s="246" t="str">
        <f>IF(ISNUMBER(Datos!K21),Datos!K21,"")</f>
        <v/>
      </c>
      <c r="H31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4" spans="1:8" ht="14.25" customHeight="1" x14ac:dyDescent="0.3">
      <c r="A314" s="245">
        <f>Datos!$K$3</f>
        <v>46447</v>
      </c>
      <c r="B314" s="199" t="str">
        <f>Datos!K$4</f>
        <v>Compresora</v>
      </c>
      <c r="C314" s="31" t="s">
        <v>550</v>
      </c>
      <c r="D314" s="199" t="str">
        <f>Datos!$B$22</f>
        <v>SIMULACROS · Acciones de mejora surgidas de los simulacros (en el mes informado)</v>
      </c>
      <c r="E314" s="199" t="str">
        <f>Datos!$C$22</f>
        <v>u</v>
      </c>
      <c r="F314" s="31" t="s">
        <v>538</v>
      </c>
      <c r="G314" s="246" t="str">
        <f>IF(ISNUMBER(Datos!K22),Datos!K22,"")</f>
        <v/>
      </c>
      <c r="H31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5" spans="1:8" ht="14.25" customHeight="1" x14ac:dyDescent="0.3">
      <c r="A315" s="245">
        <f>Datos!$K$3</f>
        <v>46447</v>
      </c>
      <c r="B315" s="199" t="str">
        <f>Datos!K$4</f>
        <v>Compresora</v>
      </c>
      <c r="C315" s="31" t="s">
        <v>551</v>
      </c>
      <c r="D315" s="199" t="str">
        <f>Datos!$B$23</f>
        <v>SIMULACROS · Acciones de mejora implementadas surgidas de los simulacros (ICME) (en el mes informado)</v>
      </c>
      <c r="E315" s="199" t="str">
        <f>Datos!$C$23</f>
        <v>u</v>
      </c>
      <c r="F315" s="31" t="s">
        <v>538</v>
      </c>
      <c r="G315" s="246" t="str">
        <f>IF(ISNUMBER(Datos!K23),Datos!K23,"")</f>
        <v/>
      </c>
      <c r="H31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6" spans="1:8" ht="14.25" customHeight="1" x14ac:dyDescent="0.3">
      <c r="A316" s="245">
        <f>Datos!$K$3</f>
        <v>46447</v>
      </c>
      <c r="B316" s="199" t="str">
        <f>Datos!K$4</f>
        <v>Compresora</v>
      </c>
      <c r="C316" s="31" t="s">
        <v>552</v>
      </c>
      <c r="D316" s="199" t="str">
        <f>Datos!$B$24</f>
        <v>Caminatas gerenciales realizadas</v>
      </c>
      <c r="E316" s="199" t="str">
        <f>Datos!$C$24</f>
        <v>u</v>
      </c>
      <c r="F316" s="31" t="s">
        <v>538</v>
      </c>
      <c r="G316" s="246" t="str">
        <f>IF(ISNUMBER(Datos!K24),Datos!K24,"")</f>
        <v/>
      </c>
      <c r="H31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7" spans="1:8" ht="14.25" customHeight="1" x14ac:dyDescent="0.3">
      <c r="A317" s="245">
        <f>Datos!$K$3</f>
        <v>46447</v>
      </c>
      <c r="B317" s="199" t="str">
        <f>Datos!K$4</f>
        <v>Compresora</v>
      </c>
      <c r="C317" s="31" t="s">
        <v>553</v>
      </c>
      <c r="D317" s="199" t="str">
        <f>Datos!$B$25</f>
        <v>Caminatas gerenciales planificadas</v>
      </c>
      <c r="E317" s="199" t="str">
        <f>Datos!$C$25</f>
        <v>u</v>
      </c>
      <c r="F317" s="31" t="s">
        <v>538</v>
      </c>
      <c r="G317" s="246" t="str">
        <f>IF(ISNUMBER(Datos!K25),Datos!K25,"")</f>
        <v/>
      </c>
      <c r="H31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8" spans="1:8" ht="14.25" customHeight="1" x14ac:dyDescent="0.3">
      <c r="A318" s="245">
        <f>Datos!$K$3</f>
        <v>46447</v>
      </c>
      <c r="B318" s="199" t="str">
        <f>Datos!K$4</f>
        <v>Compresora</v>
      </c>
      <c r="C318" s="31" t="s">
        <v>554</v>
      </c>
      <c r="D318" s="199" t="str">
        <f>Datos!$B$26</f>
        <v>Comités y subcomités de seguridad realizados</v>
      </c>
      <c r="E318" s="199" t="str">
        <f>Datos!$C$26</f>
        <v>u</v>
      </c>
      <c r="F318" s="31" t="s">
        <v>538</v>
      </c>
      <c r="G318" s="246" t="str">
        <f>IF(ISNUMBER(Datos!K26),Datos!K26,"")</f>
        <v/>
      </c>
      <c r="H31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9" spans="1:8" ht="14.25" customHeight="1" x14ac:dyDescent="0.3">
      <c r="A319" s="245">
        <f>Datos!$K$3</f>
        <v>46447</v>
      </c>
      <c r="B319" s="199" t="str">
        <f>Datos!K$4</f>
        <v>Compresora</v>
      </c>
      <c r="C319" s="31" t="s">
        <v>555</v>
      </c>
      <c r="D319" s="199" t="str">
        <f>Datos!$B$27</f>
        <v>Comités y subcomités de seguridad planificados</v>
      </c>
      <c r="E319" s="199" t="str">
        <f>Datos!$C$27</f>
        <v>u</v>
      </c>
      <c r="F319" s="31" t="s">
        <v>538</v>
      </c>
      <c r="G319" s="246" t="str">
        <f>IF(ISNUMBER(Datos!K27),Datos!K27,"")</f>
        <v/>
      </c>
      <c r="H31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0" spans="1:8" ht="14.25" customHeight="1" x14ac:dyDescent="0.3">
      <c r="A320" s="245">
        <f>Datos!$K$3</f>
        <v>46447</v>
      </c>
      <c r="B320" s="199" t="str">
        <f>Datos!K$4</f>
        <v>Compresora</v>
      </c>
      <c r="C320" s="31" t="s">
        <v>556</v>
      </c>
      <c r="D320" s="31" t="inlineStr">
        <is>
          <t>Observaciones de comportamiento seguro: total del mes (OPS + SMP)</t>
        </is>
      </c>
      <c r="E320" s="199" t="str">
        <f>Datos!$C$28</f>
        <v>u</v>
      </c>
      <c r="F320" s="31" t="s">
        <v>538</v>
      </c>
      <c r="G320" s="246" t="str">
        <f>IF(COUNT(Datos!K28:K29)=0,"",SUM(Datos!K28:K29))</f>
        <v/>
      </c>
      <c r="H32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1" spans="1:8" ht="14.25" customHeight="1" x14ac:dyDescent="0.3">
      <c r="A321" s="245">
        <f>Datos!$K$3</f>
        <v>46447</v>
      </c>
      <c r="B321" s="199" t="str">
        <f>Datos!K$4</f>
        <v>Compresora</v>
      </c>
      <c r="C321" s="31" t="s">
        <v>557</v>
      </c>
      <c r="D321" s="199" t="str">
        <f>Datos!$B$30</f>
        <v>Investigaciones de accidentes cerradas en el mes</v>
      </c>
      <c r="E321" s="199" t="str">
        <f>Datos!$C$30</f>
        <v>u</v>
      </c>
      <c r="F321" s="31" t="s">
        <v>538</v>
      </c>
      <c r="G321" s="246" t="str">
        <f>IF(ISNUMBER(Datos!K30),Datos!K30,"")</f>
        <v/>
      </c>
      <c r="H32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2" spans="1:8" ht="14.25" customHeight="1" x14ac:dyDescent="0.3">
      <c r="A322" s="245">
        <f>Datos!$K$3</f>
        <v>46447</v>
      </c>
      <c r="B322" s="199" t="str">
        <f>Datos!K$4</f>
        <v>Compresora</v>
      </c>
      <c r="C322" s="31" t="s">
        <v>558</v>
      </c>
      <c r="D322" s="199" t="str">
        <f>Datos!$B$31</f>
        <v>Días que llevaron esas investigaciones (suma)</v>
      </c>
      <c r="E322" s="199" t="str">
        <f>Datos!$C$31</f>
        <v>días</v>
      </c>
      <c r="F322" s="31" t="s">
        <v>538</v>
      </c>
      <c r="G322" s="246" t="str">
        <f>IF(ISNUMBER(Datos!K31),Datos!K31,"")</f>
        <v/>
      </c>
      <c r="H32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3" spans="1:8" ht="14.25" customHeight="1" x14ac:dyDescent="0.3">
      <c r="A323" s="245">
        <f>Datos!$K$3</f>
        <v>46447</v>
      </c>
      <c r="B323" s="199" t="str">
        <f>Datos!K$4</f>
        <v>Compresora</v>
      </c>
      <c r="C323" s="31" t="s">
        <v>559</v>
      </c>
      <c r="D323" s="199" t="str">
        <f>Datos!$B$33</f>
        <v>Casos con días perdidos</v>
      </c>
      <c r="E323" s="199" t="str">
        <f>Datos!$C$33</f>
        <v>u</v>
      </c>
      <c r="F323" s="31" t="s">
        <v>538</v>
      </c>
      <c r="G323" s="246" t="str">
        <f>IF(ISNUMBER(Datos!K33),Datos!K33,"")</f>
        <v/>
      </c>
      <c r="H32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4" spans="1:8" ht="14.25" customHeight="1" x14ac:dyDescent="0.3">
      <c r="A324" s="245">
        <f>Datos!$K$3</f>
        <v>46447</v>
      </c>
      <c r="B324" s="199" t="str">
        <f>Datos!K$4</f>
        <v>Compresora</v>
      </c>
      <c r="C324" s="31" t="s">
        <v>560</v>
      </c>
      <c r="D324" s="199" t="str">
        <f>Datos!$B$34</f>
        <v>Casos con trabajo restringido</v>
      </c>
      <c r="E324" s="199" t="str">
        <f>Datos!$C$34</f>
        <v>u</v>
      </c>
      <c r="F324" s="31" t="s">
        <v>538</v>
      </c>
      <c r="G324" s="246" t="str">
        <f>IF(ISNUMBER(Datos!K34),Datos!K34,"")</f>
        <v/>
      </c>
      <c r="H32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5" spans="1:8" ht="14.25" customHeight="1" x14ac:dyDescent="0.3">
      <c r="A325" s="245">
        <f>Datos!$K$3</f>
        <v>46447</v>
      </c>
      <c r="B325" s="199" t="str">
        <f>Datos!K$4</f>
        <v>Compresora</v>
      </c>
      <c r="C325" s="31" t="s">
        <v>561</v>
      </c>
      <c r="D325" s="199" t="str">
        <f>Datos!$B$35</f>
        <v>Casos con tratamiento médico</v>
      </c>
      <c r="E325" s="199" t="str">
        <f>Datos!$C$35</f>
        <v>u</v>
      </c>
      <c r="F325" s="31" t="s">
        <v>538</v>
      </c>
      <c r="G325" s="246" t="str">
        <f>IF(ISNUMBER(Datos!K35),Datos!K35,"")</f>
        <v/>
      </c>
      <c r="H32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6" spans="1:8" ht="14.25" customHeight="1" x14ac:dyDescent="0.3">
      <c r="A326" s="245">
        <f>Datos!$K$3</f>
        <v>46447</v>
      </c>
      <c r="B326" s="199" t="str">
        <f>Datos!K$4</f>
        <v>Compresora</v>
      </c>
      <c r="C326" s="31" t="s">
        <v>562</v>
      </c>
      <c r="D326" s="199" t="str">
        <f>Datos!$B$36</f>
        <v>Fatalidades</v>
      </c>
      <c r="E326" s="199" t="str">
        <f>Datos!$C$36</f>
        <v>u</v>
      </c>
      <c r="F326" s="31" t="s">
        <v>538</v>
      </c>
      <c r="G326" s="246" t="str">
        <f>IF(ISNUMBER(Datos!K36),Datos!K36,"")</f>
        <v/>
      </c>
      <c r="H32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7" spans="1:8" ht="14.25" customHeight="1" x14ac:dyDescent="0.3">
      <c r="A327" s="245">
        <f>Datos!$K$3</f>
        <v>46447</v>
      </c>
      <c r="B327" s="199" t="str">
        <f>Datos!K$4</f>
        <v>Compresora</v>
      </c>
      <c r="C327" s="31" t="s">
        <v>51</v>
      </c>
      <c r="D327" s="199" t="str">
        <f>Datos!$B$37</f>
        <v>Casos de primeros auxilios</v>
      </c>
      <c r="E327" s="199" t="str">
        <f>Datos!$C$37</f>
        <v>u</v>
      </c>
      <c r="F327" s="31" t="s">
        <v>538</v>
      </c>
      <c r="G327" s="246" t="str">
        <f>IF(ISNUMBER(Datos!K37),Datos!K37,"")</f>
        <v/>
      </c>
      <c r="H32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8" spans="1:8" ht="14.25" customHeight="1" x14ac:dyDescent="0.3">
      <c r="A328" s="245">
        <f>Datos!$K$3</f>
        <v>46447</v>
      </c>
      <c r="B328" s="199" t="str">
        <f>Datos!K$4</f>
        <v>Compresora</v>
      </c>
      <c r="C328" s="31" t="s">
        <v>563</v>
      </c>
      <c r="D328" s="199" t="str">
        <f>Datos!$B$39</f>
        <v>CVM catastróficas</v>
      </c>
      <c r="E328" s="199" t="str">
        <f>Datos!$C$39</f>
        <v>u</v>
      </c>
      <c r="F328" s="31" t="s">
        <v>538</v>
      </c>
      <c r="G328" s="246" t="str">
        <f>IF(ISNUMBER(Datos!K39),Datos!K39,"")</f>
        <v/>
      </c>
      <c r="H32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9" spans="1:8" ht="14.25" customHeight="1" x14ac:dyDescent="0.3">
      <c r="A329" s="245">
        <f>Datos!$K$3</f>
        <v>46447</v>
      </c>
      <c r="B329" s="199" t="str">
        <f>Datos!K$4</f>
        <v>Compresora</v>
      </c>
      <c r="C329" s="31" t="s">
        <v>564</v>
      </c>
      <c r="D329" s="199" t="str">
        <f>Datos!$B$40</f>
        <v>CVM mayores</v>
      </c>
      <c r="E329" s="199" t="str">
        <f>Datos!$C$40</f>
        <v>u</v>
      </c>
      <c r="F329" s="31" t="s">
        <v>538</v>
      </c>
      <c r="G329" s="246" t="str">
        <f>IF(ISNUMBER(Datos!K40),Datos!K40,"")</f>
        <v/>
      </c>
      <c r="H32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0" spans="1:8" ht="14.25" customHeight="1" x14ac:dyDescent="0.3">
      <c r="A330" s="245">
        <f>Datos!$K$3</f>
        <v>46447</v>
      </c>
      <c r="B330" s="199" t="str">
        <f>Datos!K$4</f>
        <v>Compresora</v>
      </c>
      <c r="C330" s="31" t="s">
        <v>565</v>
      </c>
      <c r="D330" s="199" t="str">
        <f>Datos!$B$41</f>
        <v>CVM serias</v>
      </c>
      <c r="E330" s="199" t="str">
        <f>Datos!$C$41</f>
        <v>u</v>
      </c>
      <c r="F330" s="31" t="s">
        <v>538</v>
      </c>
      <c r="G330" s="246" t="str">
        <f>IF(ISNUMBER(Datos!K41),Datos!K41,"")</f>
        <v/>
      </c>
      <c r="H33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1" spans="1:8" ht="14.25" customHeight="1" x14ac:dyDescent="0.3">
      <c r="A331" s="245">
        <f>Datos!$K$3</f>
        <v>46447</v>
      </c>
      <c r="B331" s="199" t="str">
        <f>Datos!K$4</f>
        <v>Compresora</v>
      </c>
      <c r="C331" s="31" t="s">
        <v>566</v>
      </c>
      <c r="D331" s="199" t="str">
        <f>Datos!$B$42</f>
        <v>CVM otras / menores</v>
      </c>
      <c r="E331" s="199" t="str">
        <f>Datos!$C$42</f>
        <v>u</v>
      </c>
      <c r="F331" s="31" t="s">
        <v>538</v>
      </c>
      <c r="G331" s="246" t="str">
        <f>IF(ISNUMBER(Datos!K42),Datos!K42,"")</f>
        <v/>
      </c>
      <c r="H33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2" spans="1:8" ht="14.25" customHeight="1" x14ac:dyDescent="0.3">
      <c r="A332" s="245">
        <f>Datos!$K$3</f>
        <v>46447</v>
      </c>
      <c r="B332" s="199" t="str">
        <f>Datos!K$4</f>
        <v>Compresora</v>
      </c>
      <c r="C332" s="31" t="s">
        <v>567</v>
      </c>
      <c r="D332" s="199" t="str">
        <f>Datos!$B$44</f>
        <v>Km recorridos: vehículos livianos (camionetas)</v>
      </c>
      <c r="E332" s="199" t="str">
        <f>Datos!$C$44</f>
        <v>km</v>
      </c>
      <c r="F332" s="31" t="s">
        <v>538</v>
      </c>
      <c r="G332" s="246" t="str">
        <f>IF(ISNUMBER(Datos!K44),Datos!K44,"")</f>
        <v/>
      </c>
      <c r="H33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3" spans="1:8" ht="14.25" customHeight="1" x14ac:dyDescent="0.3">
      <c r="A333" s="245">
        <f>Datos!$K$3</f>
        <v>46447</v>
      </c>
      <c r="B333" s="199" t="str">
        <f>Datos!K$4</f>
        <v>Compresora</v>
      </c>
      <c r="C333" s="31" t="s">
        <v>568</v>
      </c>
      <c r="D333" s="199" t="str">
        <f>Datos!$B$45</f>
        <v>Km recorridos: vehículos pesados (camiones)</v>
      </c>
      <c r="E333" s="199" t="str">
        <f>Datos!$C$45</f>
        <v>km</v>
      </c>
      <c r="F333" s="31" t="s">
        <v>538</v>
      </c>
      <c r="G333" s="246" t="str">
        <f>IF(ISNUMBER(Datos!K45),Datos!K45,"")</f>
        <v/>
      </c>
      <c r="H33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4" spans="1:8" ht="14.25" customHeight="1" x14ac:dyDescent="0.3">
      <c r="A334" s="245">
        <f>Datos!$K$3</f>
        <v>46447</v>
      </c>
      <c r="B334" s="199" t="str">
        <f>Datos!K$4</f>
        <v>Compresora</v>
      </c>
      <c r="C334" s="31" t="s">
        <v>569</v>
      </c>
      <c r="D334" s="199" t="str">
        <f>Datos!$B$46</f>
        <v>Km recorridos: vehículos de transporte de personal (combis)</v>
      </c>
      <c r="E334" s="199" t="str">
        <f>Datos!$C$46</f>
        <v>km</v>
      </c>
      <c r="F334" s="31" t="s">
        <v>538</v>
      </c>
      <c r="G334" s="246" t="str">
        <f>IF(ISNUMBER(Datos!K46),Datos!K46,"")</f>
        <v/>
      </c>
      <c r="H33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5" spans="1:8" ht="14.25" customHeight="1" x14ac:dyDescent="0.3">
      <c r="A335" s="245">
        <f>Datos!$K$3</f>
        <v>46447</v>
      </c>
      <c r="B335" s="199" t="str">
        <f>Datos!K$4</f>
        <v>Compresora</v>
      </c>
      <c r="C335" s="31" t="s">
        <v>570</v>
      </c>
      <c r="D335" s="199" t="str">
        <f>Datos!$B$47</f>
        <v>Km recorridos: TOTAL</v>
      </c>
      <c r="E335" s="199" t="str">
        <f>Datos!$C$47</f>
        <v>km</v>
      </c>
      <c r="F335" s="31" t="s">
        <v>541</v>
      </c>
      <c r="G335" s="246">
        <f>IF(ISNUMBER(Datos!K47),Datos!K47,"")</f>
        <v>0</v>
      </c>
      <c r="H33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6" spans="1:8" ht="14.25" customHeight="1" x14ac:dyDescent="0.3">
      <c r="A336" s="245">
        <f>Datos!$K$3</f>
        <v>46447</v>
      </c>
      <c r="B336" s="199" t="str">
        <f>Datos!K$4</f>
        <v>Compresora</v>
      </c>
      <c r="C336" s="31" t="s">
        <v>571</v>
      </c>
      <c r="D336" s="199" t="str">
        <f>Datos!$B$67</f>
        <v>Hallazgos (desvíos) cerrados en el mes</v>
      </c>
      <c r="E336" s="199" t="str">
        <f>Datos!$C$67</f>
        <v>u</v>
      </c>
      <c r="F336" s="31" t="s">
        <v>572</v>
      </c>
      <c r="G336" s="246" t="str">
        <f>IF(ISNUMBER(Datos!K67),Datos!K67,"")</f>
        <v/>
      </c>
      <c r="H33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7" spans="1:8" ht="14.25" customHeight="1" x14ac:dyDescent="0.3">
      <c r="A337" s="245">
        <f>Datos!$K$3</f>
        <v>46447</v>
      </c>
      <c r="B337" s="199" t="str">
        <f>Datos!K$4</f>
        <v>Compresora</v>
      </c>
      <c r="C337" s="31" t="s">
        <v>573</v>
      </c>
      <c r="D337" s="199" t="str">
        <f>Datos!$B$68</f>
        <v>Días que llevaron esos hallazgos (suma)</v>
      </c>
      <c r="E337" s="199" t="str">
        <f>Datos!$C$68</f>
        <v>días</v>
      </c>
      <c r="F337" s="31" t="s">
        <v>572</v>
      </c>
      <c r="G337" s="246" t="str">
        <f>IF(ISNUMBER(Datos!K68),Datos!K68,"")</f>
        <v/>
      </c>
      <c r="H33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8" spans="1:8" ht="14.25" customHeight="1" x14ac:dyDescent="0.3">
      <c r="A338" s="245">
        <f>Datos!$K$3</f>
        <v>46447</v>
      </c>
      <c r="B338" s="199" t="str">
        <f>Datos!K$4</f>
        <v>Compresora</v>
      </c>
      <c r="C338" s="31" t="s">
        <v>574</v>
      </c>
      <c r="D338" s="199" t="str">
        <f>Datos!$B$69</f>
        <v>Hallazgos (desvíos) abiertos a fin de mes</v>
      </c>
      <c r="E338" s="199" t="str">
        <f>Datos!$C$69</f>
        <v>u</v>
      </c>
      <c r="F338" s="31" t="s">
        <v>572</v>
      </c>
      <c r="G338" s="246" t="str">
        <f>IF(ISNUMBER(Datos!K69),Datos!K69,"")</f>
        <v/>
      </c>
      <c r="H33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9" spans="1:8" ht="14.25" customHeight="1" x14ac:dyDescent="0.3">
      <c r="A339" s="245">
        <f>Datos!$K$3</f>
        <v>46447</v>
      </c>
      <c r="B339" s="199" t="str">
        <f>Datos!K$4</f>
        <v>Compresora</v>
      </c>
      <c r="C339" s="31" t="s">
        <v>575</v>
      </c>
      <c r="D339" s="199" t="str">
        <f>Datos!$B$70</f>
        <v>Hallazgos (desvíos) detectados en el mes</v>
      </c>
      <c r="E339" s="199" t="str">
        <f>Datos!$C$70</f>
        <v>u</v>
      </c>
      <c r="F339" s="31" t="s">
        <v>572</v>
      </c>
      <c r="G339" s="246" t="str">
        <f>IF(ISNUMBER(Datos!K70),Datos!K70,"")</f>
        <v/>
      </c>
      <c r="H33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0" spans="1:8" ht="14.25" customHeight="1" x14ac:dyDescent="0.3">
      <c r="A340" s="245">
        <f>Datos!$K$3</f>
        <v>46447</v>
      </c>
      <c r="B340" s="199" t="str">
        <f>Datos!K$4</f>
        <v>Compresora</v>
      </c>
      <c r="C340" s="31" t="s">
        <v>576</v>
      </c>
      <c r="D340" s="199" t="str">
        <f>Datos!$B$71</f>
        <v>Desvíos detectados en el mes · gravedad Alta</v>
      </c>
      <c r="E340" s="199" t="str">
        <f>Datos!$C$71</f>
        <v>u</v>
      </c>
      <c r="F340" s="31" t="s">
        <v>572</v>
      </c>
      <c r="G340" s="246" t="str">
        <f>IF(ISNUMBER(Datos!K71),Datos!K71,"")</f>
        <v/>
      </c>
      <c r="H34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1" spans="1:8" ht="14.25" customHeight="1" x14ac:dyDescent="0.3">
      <c r="A341" s="245">
        <f>Datos!$K$3</f>
        <v>46447</v>
      </c>
      <c r="B341" s="199" t="str">
        <f>Datos!K$4</f>
        <v>Compresora</v>
      </c>
      <c r="C341" s="31" t="s">
        <v>577</v>
      </c>
      <c r="D341" s="199" t="str">
        <f>Datos!$B$72</f>
        <v>Desvíos detectados en el mes · gravedad Media</v>
      </c>
      <c r="E341" s="199" t="str">
        <f>Datos!$C$72</f>
        <v>u</v>
      </c>
      <c r="F341" s="31" t="s">
        <v>572</v>
      </c>
      <c r="G341" s="246" t="str">
        <f>IF(ISNUMBER(Datos!K72),Datos!K72,"")</f>
        <v/>
      </c>
      <c r="H34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2" spans="1:8" ht="14.25" customHeight="1" x14ac:dyDescent="0.3">
      <c r="A342" s="245">
        <f>Datos!$K$3</f>
        <v>46447</v>
      </c>
      <c r="B342" s="199" t="str">
        <f>Datos!K$4</f>
        <v>Compresora</v>
      </c>
      <c r="C342" s="31" t="s">
        <v>578</v>
      </c>
      <c r="D342" s="199" t="str">
        <f>Datos!$B$73</f>
        <v>Desvíos detectados en el mes · gravedad Baja</v>
      </c>
      <c r="E342" s="199" t="str">
        <f>Datos!$C$73</f>
        <v>u</v>
      </c>
      <c r="F342" s="31" t="s">
        <v>572</v>
      </c>
      <c r="G342" s="246" t="str">
        <f>IF(ISNUMBER(Datos!K73),Datos!K73,"")</f>
        <v/>
      </c>
      <c r="H34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3" spans="1:8" ht="14.25" customHeight="1" x14ac:dyDescent="0.3">
      <c r="A343" s="245">
        <f>Datos!$K$3</f>
        <v>46447</v>
      </c>
      <c r="B343" s="199" t="str">
        <f>Datos!K$4</f>
        <v>Compresora</v>
      </c>
      <c r="C343" s="31" t="s">
        <v>579</v>
      </c>
      <c r="D343" s="199" t="str">
        <f>Datos!$B$74</f>
        <v>Desvíos detectados en el mes · sin gravedad cargada</v>
      </c>
      <c r="E343" s="199" t="str">
        <f>Datos!$C$74</f>
        <v>u</v>
      </c>
      <c r="F343" s="31" t="s">
        <v>572</v>
      </c>
      <c r="G343" s="246">
        <f>IF(ISNUMBER(Datos!K74),Datos!K74,"")</f>
        <v>0</v>
      </c>
      <c r="H34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4" spans="1:8" ht="14.25" customHeight="1" x14ac:dyDescent="0.3">
      <c r="A344" s="245">
        <f>Datos!$K$3</f>
        <v>46447</v>
      </c>
      <c r="B344" s="199" t="str">
        <f>Datos!K$4</f>
        <v>Compresora</v>
      </c>
      <c r="C344" s="31" t="s">
        <v>580</v>
      </c>
      <c r="D344" s="199" t="str">
        <f>Datos!$B$75</f>
        <v>Detenciones de tareas aplicadas en el mes (Política = Sí)</v>
      </c>
      <c r="E344" s="199" t="str">
        <f>Datos!$C$75</f>
        <v>u</v>
      </c>
      <c r="F344" s="31" t="s">
        <v>572</v>
      </c>
      <c r="G344" s="246" t="str">
        <f>IF(ISNUMBER(Datos!K75),Datos!K75,"")</f>
        <v/>
      </c>
      <c r="H34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5" spans="1:8" ht="14.25" customHeight="1" x14ac:dyDescent="0.3">
      <c r="A345" s="245">
        <f>Datos!$K$3</f>
        <v>46447</v>
      </c>
      <c r="B345" s="199" t="str">
        <f>Datos!K$4</f>
        <v>Compresora</v>
      </c>
      <c r="C345" s="31" t="s">
        <v>581</v>
      </c>
      <c r="D345" s="199" t="str">
        <f>Datos!$B$76</f>
        <v>Desvíos de gravedad Alta abiertos a fin de mes</v>
      </c>
      <c r="E345" s="199" t="str">
        <f>Datos!$C$76</f>
        <v>u</v>
      </c>
      <c r="F345" s="31" t="s">
        <v>572</v>
      </c>
      <c r="G345" s="246" t="str">
        <f>IF(ISNUMBER(Datos!K76),Datos!K76,"")</f>
        <v/>
      </c>
      <c r="H34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6" spans="1:8" ht="14.25" customHeight="1" x14ac:dyDescent="0.3">
      <c r="A346" s="245">
        <f>Datos!$L$3</f>
        <v>46478</v>
      </c>
      <c r="B346" s="199" t="str">
        <f>Datos!L$4</f>
        <v>Compresora</v>
      </c>
      <c r="C346" s="31" t="s">
        <v>537</v>
      </c>
      <c r="D346" s="199" t="str">
        <f>Datos!$B$9</f>
        <v>Dotación promedio: Personal OPS</v>
      </c>
      <c r="E346" s="199" t="str">
        <f>Datos!$C$9</f>
        <v>pers</v>
      </c>
      <c r="F346" s="31" t="s">
        <v>538</v>
      </c>
      <c r="G346" s="246" t="str">
        <f>IF(ISNUMBER(Datos!L9),Datos!L9,"")</f>
        <v/>
      </c>
      <c r="H34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7" spans="1:8" ht="14.25" customHeight="1" x14ac:dyDescent="0.3">
      <c r="A347" s="245">
        <f>Datos!$L$3</f>
        <v>46478</v>
      </c>
      <c r="B347" s="199" t="str">
        <f>Datos!L$4</f>
        <v>Compresora</v>
      </c>
      <c r="C347" s="31" t="s">
        <v>539</v>
      </c>
      <c r="D347" s="199" t="str">
        <f>Datos!$B$10</f>
        <v>Dotación promedio: Personal SMP(IEBC, PAE e YPF) </v>
      </c>
      <c r="E347" s="199" t="str">
        <f>Datos!$C$10</f>
        <v>pers</v>
      </c>
      <c r="F347" s="31" t="s">
        <v>538</v>
      </c>
      <c r="G347" s="246" t="str">
        <f>IF(ISNUMBER(Datos!L10),Datos!L10,"")</f>
        <v/>
      </c>
      <c r="H34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8" spans="1:8" ht="14.25" customHeight="1" x14ac:dyDescent="0.3">
      <c r="A348" s="245">
        <f>Datos!$L$3</f>
        <v>46478</v>
      </c>
      <c r="B348" s="199" t="str">
        <f>Datos!L$4</f>
        <v>Compresora</v>
      </c>
      <c r="C348" s="31" t="s">
        <v>540</v>
      </c>
      <c r="D348" s="199" t="str">
        <f>Datos!$B$11</f>
        <v>Dotación promedio: TOTAL</v>
      </c>
      <c r="E348" s="199" t="str">
        <f>Datos!$C$11</f>
        <v>pers</v>
      </c>
      <c r="F348" s="31" t="s">
        <v>541</v>
      </c>
      <c r="G348" s="246">
        <f>IF(ISNUMBER(Datos!L11),Datos!L11,"")</f>
        <v>0</v>
      </c>
      <c r="H34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9" spans="1:8" ht="14.25" customHeight="1" x14ac:dyDescent="0.3">
      <c r="A349" s="245">
        <f>Datos!$L$3</f>
        <v>46478</v>
      </c>
      <c r="B349" s="199" t="str">
        <f>Datos!L$4</f>
        <v>Compresora</v>
      </c>
      <c r="C349" s="31" t="s">
        <v>542</v>
      </c>
      <c r="D349" s="199" t="str">
        <f>Datos!$B$12</f>
        <v>Horas hombre trabajadas: Personal OPS</v>
      </c>
      <c r="E349" s="199" t="str">
        <f>Datos!$C$12</f>
        <v>h</v>
      </c>
      <c r="F349" s="31" t="s">
        <v>538</v>
      </c>
      <c r="G349" s="246" t="str">
        <f>IF(ISNUMBER(Datos!L12),Datos!L12,"")</f>
        <v/>
      </c>
      <c r="H34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0" spans="1:8" ht="14.25" customHeight="1" x14ac:dyDescent="0.3">
      <c r="A350" s="245">
        <f>Datos!$L$3</f>
        <v>46478</v>
      </c>
      <c r="B350" s="199" t="str">
        <f>Datos!L$4</f>
        <v>Compresora</v>
      </c>
      <c r="C350" s="31" t="s">
        <v>543</v>
      </c>
      <c r="D350" s="199" t="str">
        <f>Datos!$B$13</f>
        <v>Horas hombre trabajadas: Personal SMP(IEBC, PAE e YPF) en campo</v>
      </c>
      <c r="E350" s="199" t="str">
        <f>Datos!$C$13</f>
        <v>h</v>
      </c>
      <c r="F350" s="31" t="s">
        <v>538</v>
      </c>
      <c r="G350" s="246" t="str">
        <f>IF(ISNUMBER(Datos!L13),Datos!L13,"")</f>
        <v/>
      </c>
      <c r="H35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1" spans="1:8" ht="14.25" customHeight="1" x14ac:dyDescent="0.3">
      <c r="A351" s="245">
        <f>Datos!$L$3</f>
        <v>46478</v>
      </c>
      <c r="B351" s="199" t="str">
        <f>Datos!L$4</f>
        <v>Compresora</v>
      </c>
      <c r="C351" s="31" t="s">
        <v>544</v>
      </c>
      <c r="D351" s="199" t="str">
        <f>Datos!$B$14</f>
        <v>Horas hombre trabajadas: TOTAL</v>
      </c>
      <c r="E351" s="199" t="str">
        <f>Datos!$C$14</f>
        <v>h</v>
      </c>
      <c r="F351" s="31" t="s">
        <v>541</v>
      </c>
      <c r="G351" s="246">
        <f>IF(ISNUMBER(Datos!L14),Datos!L14,"")</f>
        <v>0</v>
      </c>
      <c r="H35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2" spans="1:8" ht="14.25" customHeight="1" x14ac:dyDescent="0.3">
      <c r="A352" s="245">
        <f>Datos!$L$3</f>
        <v>46478</v>
      </c>
      <c r="B352" s="199" t="str">
        <f>Datos!L$4</f>
        <v>Compresora</v>
      </c>
      <c r="C352" s="31" t="s">
        <v>545</v>
      </c>
      <c r="D352" s="199" t="str">
        <f>Datos!$B$16</f>
        <v>Horas hombre de formación en seguridad: Personal OPS</v>
      </c>
      <c r="E352" s="199" t="str">
        <f>Datos!$C$16</f>
        <v>h</v>
      </c>
      <c r="F352" s="31" t="s">
        <v>538</v>
      </c>
      <c r="G352" s="246" t="str">
        <f>IF(ISNUMBER(Datos!L16),Datos!L16,"")</f>
        <v/>
      </c>
      <c r="H35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3" spans="1:8" ht="14.25" customHeight="1" x14ac:dyDescent="0.3">
      <c r="A353" s="245">
        <f>Datos!$L$3</f>
        <v>46478</v>
      </c>
      <c r="B353" s="199" t="str">
        <f>Datos!L$4</f>
        <v>Compresora</v>
      </c>
      <c r="C353" s="31" t="s">
        <v>546</v>
      </c>
      <c r="D353" s="199" t="str">
        <f>Datos!$B$17</f>
        <v>Horas hombre de formación en seguridad: Personal SMP(IEBC, PAE e YPF) </v>
      </c>
      <c r="E353" s="199" t="str">
        <f>Datos!$C$17</f>
        <v>h</v>
      </c>
      <c r="F353" s="31" t="s">
        <v>538</v>
      </c>
      <c r="G353" s="246" t="str">
        <f>IF(ISNUMBER(Datos!L17),Datos!L17,"")</f>
        <v/>
      </c>
      <c r="H35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4" spans="1:8" ht="14.25" customHeight="1" x14ac:dyDescent="0.3">
      <c r="A354" s="245">
        <f>Datos!$L$3</f>
        <v>46478</v>
      </c>
      <c r="B354" s="199" t="str">
        <f>Datos!L$4</f>
        <v>Compresora</v>
      </c>
      <c r="C354" s="31" t="s">
        <v>547</v>
      </c>
      <c r="D354" s="199" t="str">
        <f>Datos!$B$18</f>
        <v>Horas hombre de formación en seguridad: TOTAL</v>
      </c>
      <c r="E354" s="199" t="str">
        <f>Datos!$C$18</f>
        <v>h</v>
      </c>
      <c r="F354" s="31" t="s">
        <v>541</v>
      </c>
      <c r="G354" s="246">
        <f>IF(ISNUMBER(Datos!L18),Datos!L18,"")</f>
        <v>0</v>
      </c>
      <c r="H35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5" spans="1:8" ht="14.25" customHeight="1" x14ac:dyDescent="0.3">
      <c r="A355" s="245">
        <f>Datos!$L$3</f>
        <v>46478</v>
      </c>
      <c r="B355" s="199" t="str">
        <f>Datos!L$4</f>
        <v>Compresora</v>
      </c>
      <c r="C355" s="31" t="s">
        <v>548</v>
      </c>
      <c r="D355" s="199" t="str">
        <f>Datos!$B$20</f>
        <v>SIMULACROS · Realizados (emergencia y operativos)</v>
      </c>
      <c r="E355" s="199" t="str">
        <f>Datos!$C$20</f>
        <v>u</v>
      </c>
      <c r="F355" s="31" t="s">
        <v>538</v>
      </c>
      <c r="G355" s="246" t="str">
        <f>IF(ISNUMBER(Datos!L20),Datos!L20,"")</f>
        <v/>
      </c>
      <c r="H35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6" spans="1:8" ht="14.25" customHeight="1" x14ac:dyDescent="0.3">
      <c r="A356" s="245">
        <f>Datos!$L$3</f>
        <v>46478</v>
      </c>
      <c r="B356" s="199" t="str">
        <f>Datos!L$4</f>
        <v>Compresora</v>
      </c>
      <c r="C356" s="31" t="s">
        <v>549</v>
      </c>
      <c r="D356" s="199" t="str">
        <f>Datos!$B$21</f>
        <v>SIMULACROS · Programados (emergencia y operativos)</v>
      </c>
      <c r="E356" s="199" t="str">
        <f>Datos!$C$21</f>
        <v>u</v>
      </c>
      <c r="F356" s="31" t="s">
        <v>538</v>
      </c>
      <c r="G356" s="246" t="str">
        <f>IF(ISNUMBER(Datos!L21),Datos!L21,"")</f>
        <v/>
      </c>
      <c r="H35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7" spans="1:8" ht="14.25" customHeight="1" x14ac:dyDescent="0.3">
      <c r="A357" s="245">
        <f>Datos!$L$3</f>
        <v>46478</v>
      </c>
      <c r="B357" s="199" t="str">
        <f>Datos!L$4</f>
        <v>Compresora</v>
      </c>
      <c r="C357" s="31" t="s">
        <v>550</v>
      </c>
      <c r="D357" s="199" t="str">
        <f>Datos!$B$22</f>
        <v>SIMULACROS · Acciones de mejora surgidas de los simulacros (en el mes informado)</v>
      </c>
      <c r="E357" s="199" t="str">
        <f>Datos!$C$22</f>
        <v>u</v>
      </c>
      <c r="F357" s="31" t="s">
        <v>538</v>
      </c>
      <c r="G357" s="246" t="str">
        <f>IF(ISNUMBER(Datos!L22),Datos!L22,"")</f>
        <v/>
      </c>
      <c r="H35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8" spans="1:8" ht="14.25" customHeight="1" x14ac:dyDescent="0.3">
      <c r="A358" s="245">
        <f>Datos!$L$3</f>
        <v>46478</v>
      </c>
      <c r="B358" s="199" t="str">
        <f>Datos!L$4</f>
        <v>Compresora</v>
      </c>
      <c r="C358" s="31" t="s">
        <v>551</v>
      </c>
      <c r="D358" s="199" t="str">
        <f>Datos!$B$23</f>
        <v>SIMULACROS · Acciones de mejora implementadas surgidas de los simulacros (ICME) (en el mes informado)</v>
      </c>
      <c r="E358" s="199" t="str">
        <f>Datos!$C$23</f>
        <v>u</v>
      </c>
      <c r="F358" s="31" t="s">
        <v>538</v>
      </c>
      <c r="G358" s="246" t="str">
        <f>IF(ISNUMBER(Datos!L23),Datos!L23,"")</f>
        <v/>
      </c>
      <c r="H35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9" spans="1:8" ht="14.25" customHeight="1" x14ac:dyDescent="0.3">
      <c r="A359" s="245">
        <f>Datos!$L$3</f>
        <v>46478</v>
      </c>
      <c r="B359" s="199" t="str">
        <f>Datos!L$4</f>
        <v>Compresora</v>
      </c>
      <c r="C359" s="31" t="s">
        <v>552</v>
      </c>
      <c r="D359" s="199" t="str">
        <f>Datos!$B$24</f>
        <v>Caminatas gerenciales realizadas</v>
      </c>
      <c r="E359" s="199" t="str">
        <f>Datos!$C$24</f>
        <v>u</v>
      </c>
      <c r="F359" s="31" t="s">
        <v>538</v>
      </c>
      <c r="G359" s="246" t="str">
        <f>IF(ISNUMBER(Datos!L24),Datos!L24,"")</f>
        <v/>
      </c>
      <c r="H35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0" spans="1:8" ht="14.25" customHeight="1" x14ac:dyDescent="0.3">
      <c r="A360" s="245">
        <f>Datos!$L$3</f>
        <v>46478</v>
      </c>
      <c r="B360" s="199" t="str">
        <f>Datos!L$4</f>
        <v>Compresora</v>
      </c>
      <c r="C360" s="31" t="s">
        <v>553</v>
      </c>
      <c r="D360" s="199" t="str">
        <f>Datos!$B$25</f>
        <v>Caminatas gerenciales planificadas</v>
      </c>
      <c r="E360" s="199" t="str">
        <f>Datos!$C$25</f>
        <v>u</v>
      </c>
      <c r="F360" s="31" t="s">
        <v>538</v>
      </c>
      <c r="G360" s="246" t="str">
        <f>IF(ISNUMBER(Datos!L25),Datos!L25,"")</f>
        <v/>
      </c>
      <c r="H36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1" spans="1:8" ht="14.25" customHeight="1" x14ac:dyDescent="0.3">
      <c r="A361" s="245">
        <f>Datos!$L$3</f>
        <v>46478</v>
      </c>
      <c r="B361" s="199" t="str">
        <f>Datos!L$4</f>
        <v>Compresora</v>
      </c>
      <c r="C361" s="31" t="s">
        <v>554</v>
      </c>
      <c r="D361" s="199" t="str">
        <f>Datos!$B$26</f>
        <v>Comités y subcomités de seguridad realizados</v>
      </c>
      <c r="E361" s="199" t="str">
        <f>Datos!$C$26</f>
        <v>u</v>
      </c>
      <c r="F361" s="31" t="s">
        <v>538</v>
      </c>
      <c r="G361" s="246" t="str">
        <f>IF(ISNUMBER(Datos!L26),Datos!L26,"")</f>
        <v/>
      </c>
      <c r="H36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2" spans="1:8" ht="14.25" customHeight="1" x14ac:dyDescent="0.3">
      <c r="A362" s="245">
        <f>Datos!$L$3</f>
        <v>46478</v>
      </c>
      <c r="B362" s="199" t="str">
        <f>Datos!L$4</f>
        <v>Compresora</v>
      </c>
      <c r="C362" s="31" t="s">
        <v>555</v>
      </c>
      <c r="D362" s="199" t="str">
        <f>Datos!$B$27</f>
        <v>Comités y subcomités de seguridad planificados</v>
      </c>
      <c r="E362" s="199" t="str">
        <f>Datos!$C$27</f>
        <v>u</v>
      </c>
      <c r="F362" s="31" t="s">
        <v>538</v>
      </c>
      <c r="G362" s="246" t="str">
        <f>IF(ISNUMBER(Datos!L27),Datos!L27,"")</f>
        <v/>
      </c>
      <c r="H36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3" spans="1:8" ht="14.25" customHeight="1" x14ac:dyDescent="0.3">
      <c r="A363" s="245">
        <f>Datos!$L$3</f>
        <v>46478</v>
      </c>
      <c r="B363" s="199" t="str">
        <f>Datos!L$4</f>
        <v>Compresora</v>
      </c>
      <c r="C363" s="31" t="s">
        <v>556</v>
      </c>
      <c r="D363" s="31" t="inlineStr">
        <is>
          <t>Observaciones de comportamiento seguro: total del mes (OPS + SMP)</t>
        </is>
      </c>
      <c r="E363" s="199" t="str">
        <f>Datos!$C$28</f>
        <v>u</v>
      </c>
      <c r="F363" s="31" t="s">
        <v>538</v>
      </c>
      <c r="G363" s="246" t="str">
        <f>IF(COUNT(Datos!L28:L29)=0,"",SUM(Datos!L28:L29))</f>
        <v/>
      </c>
      <c r="H36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4" spans="1:8" ht="14.25" customHeight="1" x14ac:dyDescent="0.3">
      <c r="A364" s="245">
        <f>Datos!$L$3</f>
        <v>46478</v>
      </c>
      <c r="B364" s="199" t="str">
        <f>Datos!L$4</f>
        <v>Compresora</v>
      </c>
      <c r="C364" s="31" t="s">
        <v>557</v>
      </c>
      <c r="D364" s="199" t="str">
        <f>Datos!$B$30</f>
        <v>Investigaciones de accidentes cerradas en el mes</v>
      </c>
      <c r="E364" s="199" t="str">
        <f>Datos!$C$30</f>
        <v>u</v>
      </c>
      <c r="F364" s="31" t="s">
        <v>538</v>
      </c>
      <c r="G364" s="246" t="str">
        <f>IF(ISNUMBER(Datos!L30),Datos!L30,"")</f>
        <v/>
      </c>
      <c r="H36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5" spans="1:8" ht="14.25" customHeight="1" x14ac:dyDescent="0.3">
      <c r="A365" s="245">
        <f>Datos!$L$3</f>
        <v>46478</v>
      </c>
      <c r="B365" s="199" t="str">
        <f>Datos!L$4</f>
        <v>Compresora</v>
      </c>
      <c r="C365" s="31" t="s">
        <v>558</v>
      </c>
      <c r="D365" s="199" t="str">
        <f>Datos!$B$31</f>
        <v>Días que llevaron esas investigaciones (suma)</v>
      </c>
      <c r="E365" s="199" t="str">
        <f>Datos!$C$31</f>
        <v>días</v>
      </c>
      <c r="F365" s="31" t="s">
        <v>538</v>
      </c>
      <c r="G365" s="246" t="str">
        <f>IF(ISNUMBER(Datos!L31),Datos!L31,"")</f>
        <v/>
      </c>
      <c r="H36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6" spans="1:8" ht="14.25" customHeight="1" x14ac:dyDescent="0.3">
      <c r="A366" s="245">
        <f>Datos!$L$3</f>
        <v>46478</v>
      </c>
      <c r="B366" s="199" t="str">
        <f>Datos!L$4</f>
        <v>Compresora</v>
      </c>
      <c r="C366" s="31" t="s">
        <v>559</v>
      </c>
      <c r="D366" s="199" t="str">
        <f>Datos!$B$33</f>
        <v>Casos con días perdidos</v>
      </c>
      <c r="E366" s="199" t="str">
        <f>Datos!$C$33</f>
        <v>u</v>
      </c>
      <c r="F366" s="31" t="s">
        <v>538</v>
      </c>
      <c r="G366" s="246" t="str">
        <f>IF(ISNUMBER(Datos!L33),Datos!L33,"")</f>
        <v/>
      </c>
      <c r="H36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7" spans="1:8" ht="14.25" customHeight="1" x14ac:dyDescent="0.3">
      <c r="A367" s="245">
        <f>Datos!$L$3</f>
        <v>46478</v>
      </c>
      <c r="B367" s="199" t="str">
        <f>Datos!L$4</f>
        <v>Compresora</v>
      </c>
      <c r="C367" s="31" t="s">
        <v>560</v>
      </c>
      <c r="D367" s="199" t="str">
        <f>Datos!$B$34</f>
        <v>Casos con trabajo restringido</v>
      </c>
      <c r="E367" s="199" t="str">
        <f>Datos!$C$34</f>
        <v>u</v>
      </c>
      <c r="F367" s="31" t="s">
        <v>538</v>
      </c>
      <c r="G367" s="246" t="str">
        <f>IF(ISNUMBER(Datos!L34),Datos!L34,"")</f>
        <v/>
      </c>
      <c r="H36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8" spans="1:8" ht="14.25" customHeight="1" x14ac:dyDescent="0.3">
      <c r="A368" s="245">
        <f>Datos!$L$3</f>
        <v>46478</v>
      </c>
      <c r="B368" s="199" t="str">
        <f>Datos!L$4</f>
        <v>Compresora</v>
      </c>
      <c r="C368" s="31" t="s">
        <v>561</v>
      </c>
      <c r="D368" s="199" t="str">
        <f>Datos!$B$35</f>
        <v>Casos con tratamiento médico</v>
      </c>
      <c r="E368" s="199" t="str">
        <f>Datos!$C$35</f>
        <v>u</v>
      </c>
      <c r="F368" s="31" t="s">
        <v>538</v>
      </c>
      <c r="G368" s="246" t="str">
        <f>IF(ISNUMBER(Datos!L35),Datos!L35,"")</f>
        <v/>
      </c>
      <c r="H36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9" spans="1:8" ht="14.25" customHeight="1" x14ac:dyDescent="0.3">
      <c r="A369" s="245">
        <f>Datos!$L$3</f>
        <v>46478</v>
      </c>
      <c r="B369" s="199" t="str">
        <f>Datos!L$4</f>
        <v>Compresora</v>
      </c>
      <c r="C369" s="31" t="s">
        <v>562</v>
      </c>
      <c r="D369" s="199" t="str">
        <f>Datos!$B$36</f>
        <v>Fatalidades</v>
      </c>
      <c r="E369" s="199" t="str">
        <f>Datos!$C$36</f>
        <v>u</v>
      </c>
      <c r="F369" s="31" t="s">
        <v>538</v>
      </c>
      <c r="G369" s="246" t="str">
        <f>IF(ISNUMBER(Datos!L36),Datos!L36,"")</f>
        <v/>
      </c>
      <c r="H36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0" spans="1:8" ht="14.25" customHeight="1" x14ac:dyDescent="0.3">
      <c r="A370" s="245">
        <f>Datos!$L$3</f>
        <v>46478</v>
      </c>
      <c r="B370" s="199" t="str">
        <f>Datos!L$4</f>
        <v>Compresora</v>
      </c>
      <c r="C370" s="31" t="s">
        <v>51</v>
      </c>
      <c r="D370" s="199" t="str">
        <f>Datos!$B$37</f>
        <v>Casos de primeros auxilios</v>
      </c>
      <c r="E370" s="199" t="str">
        <f>Datos!$C$37</f>
        <v>u</v>
      </c>
      <c r="F370" s="31" t="s">
        <v>538</v>
      </c>
      <c r="G370" s="246" t="str">
        <f>IF(ISNUMBER(Datos!L37),Datos!L37,"")</f>
        <v/>
      </c>
      <c r="H37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1" spans="1:8" ht="14.25" customHeight="1" x14ac:dyDescent="0.3">
      <c r="A371" s="245">
        <f>Datos!$L$3</f>
        <v>46478</v>
      </c>
      <c r="B371" s="199" t="str">
        <f>Datos!L$4</f>
        <v>Compresora</v>
      </c>
      <c r="C371" s="31" t="s">
        <v>563</v>
      </c>
      <c r="D371" s="199" t="str">
        <f>Datos!$B$39</f>
        <v>CVM catastróficas</v>
      </c>
      <c r="E371" s="199" t="str">
        <f>Datos!$C$39</f>
        <v>u</v>
      </c>
      <c r="F371" s="31" t="s">
        <v>538</v>
      </c>
      <c r="G371" s="246" t="str">
        <f>IF(ISNUMBER(Datos!L39),Datos!L39,"")</f>
        <v/>
      </c>
      <c r="H37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2" spans="1:8" ht="14.25" customHeight="1" x14ac:dyDescent="0.3">
      <c r="A372" s="245">
        <f>Datos!$L$3</f>
        <v>46478</v>
      </c>
      <c r="B372" s="199" t="str">
        <f>Datos!L$4</f>
        <v>Compresora</v>
      </c>
      <c r="C372" s="31" t="s">
        <v>564</v>
      </c>
      <c r="D372" s="199" t="str">
        <f>Datos!$B$40</f>
        <v>CVM mayores</v>
      </c>
      <c r="E372" s="199" t="str">
        <f>Datos!$C$40</f>
        <v>u</v>
      </c>
      <c r="F372" s="31" t="s">
        <v>538</v>
      </c>
      <c r="G372" s="246" t="str">
        <f>IF(ISNUMBER(Datos!L40),Datos!L40,"")</f>
        <v/>
      </c>
      <c r="H37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3" spans="1:8" ht="14.25" customHeight="1" x14ac:dyDescent="0.3">
      <c r="A373" s="245">
        <f>Datos!$L$3</f>
        <v>46478</v>
      </c>
      <c r="B373" s="199" t="str">
        <f>Datos!L$4</f>
        <v>Compresora</v>
      </c>
      <c r="C373" s="31" t="s">
        <v>565</v>
      </c>
      <c r="D373" s="199" t="str">
        <f>Datos!$B$41</f>
        <v>CVM serias</v>
      </c>
      <c r="E373" s="199" t="str">
        <f>Datos!$C$41</f>
        <v>u</v>
      </c>
      <c r="F373" s="31" t="s">
        <v>538</v>
      </c>
      <c r="G373" s="246" t="str">
        <f>IF(ISNUMBER(Datos!L41),Datos!L41,"")</f>
        <v/>
      </c>
      <c r="H37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4" spans="1:8" ht="14.25" customHeight="1" x14ac:dyDescent="0.3">
      <c r="A374" s="245">
        <f>Datos!$L$3</f>
        <v>46478</v>
      </c>
      <c r="B374" s="199" t="str">
        <f>Datos!L$4</f>
        <v>Compresora</v>
      </c>
      <c r="C374" s="31" t="s">
        <v>566</v>
      </c>
      <c r="D374" s="199" t="str">
        <f>Datos!$B$42</f>
        <v>CVM otras / menores</v>
      </c>
      <c r="E374" s="199" t="str">
        <f>Datos!$C$42</f>
        <v>u</v>
      </c>
      <c r="F374" s="31" t="s">
        <v>538</v>
      </c>
      <c r="G374" s="246" t="str">
        <f>IF(ISNUMBER(Datos!L42),Datos!L42,"")</f>
        <v/>
      </c>
      <c r="H37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5" spans="1:8" ht="14.25" customHeight="1" x14ac:dyDescent="0.3">
      <c r="A375" s="245">
        <f>Datos!$L$3</f>
        <v>46478</v>
      </c>
      <c r="B375" s="199" t="str">
        <f>Datos!L$4</f>
        <v>Compresora</v>
      </c>
      <c r="C375" s="31" t="s">
        <v>567</v>
      </c>
      <c r="D375" s="199" t="str">
        <f>Datos!$B$44</f>
        <v>Km recorridos: vehículos livianos (camionetas)</v>
      </c>
      <c r="E375" s="199" t="str">
        <f>Datos!$C$44</f>
        <v>km</v>
      </c>
      <c r="F375" s="31" t="s">
        <v>538</v>
      </c>
      <c r="G375" s="246" t="str">
        <f>IF(ISNUMBER(Datos!L44),Datos!L44,"")</f>
        <v/>
      </c>
      <c r="H37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6" spans="1:8" ht="14.25" customHeight="1" x14ac:dyDescent="0.3">
      <c r="A376" s="245">
        <f>Datos!$L$3</f>
        <v>46478</v>
      </c>
      <c r="B376" s="199" t="str">
        <f>Datos!L$4</f>
        <v>Compresora</v>
      </c>
      <c r="C376" s="31" t="s">
        <v>568</v>
      </c>
      <c r="D376" s="199" t="str">
        <f>Datos!$B$45</f>
        <v>Km recorridos: vehículos pesados (camiones)</v>
      </c>
      <c r="E376" s="199" t="str">
        <f>Datos!$C$45</f>
        <v>km</v>
      </c>
      <c r="F376" s="31" t="s">
        <v>538</v>
      </c>
      <c r="G376" s="246" t="str">
        <f>IF(ISNUMBER(Datos!L45),Datos!L45,"")</f>
        <v/>
      </c>
      <c r="H37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7" spans="1:8" ht="14.25" customHeight="1" x14ac:dyDescent="0.3">
      <c r="A377" s="245">
        <f>Datos!$L$3</f>
        <v>46478</v>
      </c>
      <c r="B377" s="199" t="str">
        <f>Datos!L$4</f>
        <v>Compresora</v>
      </c>
      <c r="C377" s="31" t="s">
        <v>569</v>
      </c>
      <c r="D377" s="199" t="str">
        <f>Datos!$B$46</f>
        <v>Km recorridos: vehículos de transporte de personal (combis)</v>
      </c>
      <c r="E377" s="199" t="str">
        <f>Datos!$C$46</f>
        <v>km</v>
      </c>
      <c r="F377" s="31" t="s">
        <v>538</v>
      </c>
      <c r="G377" s="246" t="str">
        <f>IF(ISNUMBER(Datos!L46),Datos!L46,"")</f>
        <v/>
      </c>
      <c r="H37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8" spans="1:8" ht="14.25" customHeight="1" x14ac:dyDescent="0.3">
      <c r="A378" s="245">
        <f>Datos!$L$3</f>
        <v>46478</v>
      </c>
      <c r="B378" s="199" t="str">
        <f>Datos!L$4</f>
        <v>Compresora</v>
      </c>
      <c r="C378" s="31" t="s">
        <v>570</v>
      </c>
      <c r="D378" s="199" t="str">
        <f>Datos!$B$47</f>
        <v>Km recorridos: TOTAL</v>
      </c>
      <c r="E378" s="199" t="str">
        <f>Datos!$C$47</f>
        <v>km</v>
      </c>
      <c r="F378" s="31" t="s">
        <v>541</v>
      </c>
      <c r="G378" s="246">
        <f>IF(ISNUMBER(Datos!L47),Datos!L47,"")</f>
        <v>0</v>
      </c>
      <c r="H37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9" spans="1:8" ht="14.25" customHeight="1" x14ac:dyDescent="0.3">
      <c r="A379" s="245">
        <f>Datos!$L$3</f>
        <v>46478</v>
      </c>
      <c r="B379" s="199" t="str">
        <f>Datos!L$4</f>
        <v>Compresora</v>
      </c>
      <c r="C379" s="31" t="s">
        <v>571</v>
      </c>
      <c r="D379" s="199" t="str">
        <f>Datos!$B$67</f>
        <v>Hallazgos (desvíos) cerrados en el mes</v>
      </c>
      <c r="E379" s="199" t="str">
        <f>Datos!$C$67</f>
        <v>u</v>
      </c>
      <c r="F379" s="31" t="s">
        <v>572</v>
      </c>
      <c r="G379" s="246" t="str">
        <f>IF(ISNUMBER(Datos!L67),Datos!L67,"")</f>
        <v/>
      </c>
      <c r="H37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0" spans="1:8" ht="14.25" customHeight="1" x14ac:dyDescent="0.3">
      <c r="A380" s="245">
        <f>Datos!$L$3</f>
        <v>46478</v>
      </c>
      <c r="B380" s="199" t="str">
        <f>Datos!L$4</f>
        <v>Compresora</v>
      </c>
      <c r="C380" s="31" t="s">
        <v>573</v>
      </c>
      <c r="D380" s="199" t="str">
        <f>Datos!$B$68</f>
        <v>Días que llevaron esos hallazgos (suma)</v>
      </c>
      <c r="E380" s="199" t="str">
        <f>Datos!$C$68</f>
        <v>días</v>
      </c>
      <c r="F380" s="31" t="s">
        <v>572</v>
      </c>
      <c r="G380" s="246" t="str">
        <f>IF(ISNUMBER(Datos!L68),Datos!L68,"")</f>
        <v/>
      </c>
      <c r="H38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1" spans="1:8" ht="14.25" customHeight="1" x14ac:dyDescent="0.3">
      <c r="A381" s="245">
        <f>Datos!$L$3</f>
        <v>46478</v>
      </c>
      <c r="B381" s="199" t="str">
        <f>Datos!L$4</f>
        <v>Compresora</v>
      </c>
      <c r="C381" s="31" t="s">
        <v>574</v>
      </c>
      <c r="D381" s="199" t="str">
        <f>Datos!$B$69</f>
        <v>Hallazgos (desvíos) abiertos a fin de mes</v>
      </c>
      <c r="E381" s="199" t="str">
        <f>Datos!$C$69</f>
        <v>u</v>
      </c>
      <c r="F381" s="31" t="s">
        <v>572</v>
      </c>
      <c r="G381" s="246" t="str">
        <f>IF(ISNUMBER(Datos!L69),Datos!L69,"")</f>
        <v/>
      </c>
      <c r="H38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2" spans="1:8" ht="14.25" customHeight="1" x14ac:dyDescent="0.3">
      <c r="A382" s="245">
        <f>Datos!$L$3</f>
        <v>46478</v>
      </c>
      <c r="B382" s="199" t="str">
        <f>Datos!L$4</f>
        <v>Compresora</v>
      </c>
      <c r="C382" s="31" t="s">
        <v>575</v>
      </c>
      <c r="D382" s="199" t="str">
        <f>Datos!$B$70</f>
        <v>Hallazgos (desvíos) detectados en el mes</v>
      </c>
      <c r="E382" s="199" t="str">
        <f>Datos!$C$70</f>
        <v>u</v>
      </c>
      <c r="F382" s="31" t="s">
        <v>572</v>
      </c>
      <c r="G382" s="246" t="str">
        <f>IF(ISNUMBER(Datos!L70),Datos!L70,"")</f>
        <v/>
      </c>
      <c r="H38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3" spans="1:8" ht="14.25" customHeight="1" x14ac:dyDescent="0.3">
      <c r="A383" s="245">
        <f>Datos!$L$3</f>
        <v>46478</v>
      </c>
      <c r="B383" s="199" t="str">
        <f>Datos!L$4</f>
        <v>Compresora</v>
      </c>
      <c r="C383" s="31" t="s">
        <v>576</v>
      </c>
      <c r="D383" s="199" t="str">
        <f>Datos!$B$71</f>
        <v>Desvíos detectados en el mes · gravedad Alta</v>
      </c>
      <c r="E383" s="199" t="str">
        <f>Datos!$C$71</f>
        <v>u</v>
      </c>
      <c r="F383" s="31" t="s">
        <v>572</v>
      </c>
      <c r="G383" s="246" t="str">
        <f>IF(ISNUMBER(Datos!L71),Datos!L71,"")</f>
        <v/>
      </c>
      <c r="H38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4" spans="1:8" ht="14.25" customHeight="1" x14ac:dyDescent="0.3">
      <c r="A384" s="245">
        <f>Datos!$L$3</f>
        <v>46478</v>
      </c>
      <c r="B384" s="199" t="str">
        <f>Datos!L$4</f>
        <v>Compresora</v>
      </c>
      <c r="C384" s="31" t="s">
        <v>577</v>
      </c>
      <c r="D384" s="199" t="str">
        <f>Datos!$B$72</f>
        <v>Desvíos detectados en el mes · gravedad Media</v>
      </c>
      <c r="E384" s="199" t="str">
        <f>Datos!$C$72</f>
        <v>u</v>
      </c>
      <c r="F384" s="31" t="s">
        <v>572</v>
      </c>
      <c r="G384" s="246" t="str">
        <f>IF(ISNUMBER(Datos!L72),Datos!L72,"")</f>
        <v/>
      </c>
      <c r="H38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5" spans="1:8" ht="14.25" customHeight="1" x14ac:dyDescent="0.3">
      <c r="A385" s="245">
        <f>Datos!$L$3</f>
        <v>46478</v>
      </c>
      <c r="B385" s="199" t="str">
        <f>Datos!L$4</f>
        <v>Compresora</v>
      </c>
      <c r="C385" s="31" t="s">
        <v>578</v>
      </c>
      <c r="D385" s="199" t="str">
        <f>Datos!$B$73</f>
        <v>Desvíos detectados en el mes · gravedad Baja</v>
      </c>
      <c r="E385" s="199" t="str">
        <f>Datos!$C$73</f>
        <v>u</v>
      </c>
      <c r="F385" s="31" t="s">
        <v>572</v>
      </c>
      <c r="G385" s="246" t="str">
        <f>IF(ISNUMBER(Datos!L73),Datos!L73,"")</f>
        <v/>
      </c>
      <c r="H38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6" spans="1:8" ht="14.25" customHeight="1" x14ac:dyDescent="0.3">
      <c r="A386" s="245">
        <f>Datos!$L$3</f>
        <v>46478</v>
      </c>
      <c r="B386" s="199" t="str">
        <f>Datos!L$4</f>
        <v>Compresora</v>
      </c>
      <c r="C386" s="31" t="s">
        <v>579</v>
      </c>
      <c r="D386" s="199" t="str">
        <f>Datos!$B$74</f>
        <v>Desvíos detectados en el mes · sin gravedad cargada</v>
      </c>
      <c r="E386" s="199" t="str">
        <f>Datos!$C$74</f>
        <v>u</v>
      </c>
      <c r="F386" s="31" t="s">
        <v>572</v>
      </c>
      <c r="G386" s="246">
        <f>IF(ISNUMBER(Datos!L74),Datos!L74,"")</f>
        <v>0</v>
      </c>
      <c r="H38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7" spans="1:8" ht="14.25" customHeight="1" x14ac:dyDescent="0.3">
      <c r="A387" s="245">
        <f>Datos!$L$3</f>
        <v>46478</v>
      </c>
      <c r="B387" s="199" t="str">
        <f>Datos!L$4</f>
        <v>Compresora</v>
      </c>
      <c r="C387" s="31" t="s">
        <v>580</v>
      </c>
      <c r="D387" s="199" t="str">
        <f>Datos!$B$75</f>
        <v>Detenciones de tareas aplicadas en el mes (Política = Sí)</v>
      </c>
      <c r="E387" s="199" t="str">
        <f>Datos!$C$75</f>
        <v>u</v>
      </c>
      <c r="F387" s="31" t="s">
        <v>572</v>
      </c>
      <c r="G387" s="246" t="str">
        <f>IF(ISNUMBER(Datos!L75),Datos!L75,"")</f>
        <v/>
      </c>
      <c r="H38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8" spans="1:8" ht="14.25" customHeight="1" x14ac:dyDescent="0.3">
      <c r="A388" s="245">
        <f>Datos!$L$3</f>
        <v>46478</v>
      </c>
      <c r="B388" s="199" t="str">
        <f>Datos!L$4</f>
        <v>Compresora</v>
      </c>
      <c r="C388" s="31" t="s">
        <v>581</v>
      </c>
      <c r="D388" s="199" t="str">
        <f>Datos!$B$76</f>
        <v>Desvíos de gravedad Alta abiertos a fin de mes</v>
      </c>
      <c r="E388" s="199" t="str">
        <f>Datos!$C$76</f>
        <v>u</v>
      </c>
      <c r="F388" s="31" t="s">
        <v>572</v>
      </c>
      <c r="G388" s="246" t="str">
        <f>IF(ISNUMBER(Datos!L76),Datos!L76,"")</f>
        <v/>
      </c>
      <c r="H38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9" spans="1:8" ht="14.25" customHeight="1" x14ac:dyDescent="0.3">
      <c r="A389" s="245">
        <f>Datos!$M$3</f>
        <v>46508</v>
      </c>
      <c r="B389" s="199" t="str">
        <f>Datos!M$4</f>
        <v>Compresora</v>
      </c>
      <c r="C389" s="31" t="s">
        <v>537</v>
      </c>
      <c r="D389" s="199" t="str">
        <f>Datos!$B$9</f>
        <v>Dotación promedio: Personal OPS</v>
      </c>
      <c r="E389" s="199" t="str">
        <f>Datos!$C$9</f>
        <v>pers</v>
      </c>
      <c r="F389" s="31" t="s">
        <v>538</v>
      </c>
      <c r="G389" s="246" t="str">
        <f>IF(ISNUMBER(Datos!M9),Datos!M9,"")</f>
        <v/>
      </c>
      <c r="H38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0" spans="1:8" ht="14.25" customHeight="1" x14ac:dyDescent="0.3">
      <c r="A390" s="245">
        <f>Datos!$M$3</f>
        <v>46508</v>
      </c>
      <c r="B390" s="199" t="str">
        <f>Datos!M$4</f>
        <v>Compresora</v>
      </c>
      <c r="C390" s="31" t="s">
        <v>539</v>
      </c>
      <c r="D390" s="199" t="str">
        <f>Datos!$B$10</f>
        <v>Dotación promedio: Personal SMP(IEBC, PAE e YPF) </v>
      </c>
      <c r="E390" s="199" t="str">
        <f>Datos!$C$10</f>
        <v>pers</v>
      </c>
      <c r="F390" s="31" t="s">
        <v>538</v>
      </c>
      <c r="G390" s="246" t="str">
        <f>IF(ISNUMBER(Datos!M10),Datos!M10,"")</f>
        <v/>
      </c>
      <c r="H39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1" spans="1:8" ht="14.25" customHeight="1" x14ac:dyDescent="0.3">
      <c r="A391" s="245">
        <f>Datos!$M$3</f>
        <v>46508</v>
      </c>
      <c r="B391" s="199" t="str">
        <f>Datos!M$4</f>
        <v>Compresora</v>
      </c>
      <c r="C391" s="31" t="s">
        <v>540</v>
      </c>
      <c r="D391" s="199" t="str">
        <f>Datos!$B$11</f>
        <v>Dotación promedio: TOTAL</v>
      </c>
      <c r="E391" s="199" t="str">
        <f>Datos!$C$11</f>
        <v>pers</v>
      </c>
      <c r="F391" s="31" t="s">
        <v>541</v>
      </c>
      <c r="G391" s="246">
        <f>IF(ISNUMBER(Datos!M11),Datos!M11,"")</f>
        <v>0</v>
      </c>
      <c r="H39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2" spans="1:8" ht="14.25" customHeight="1" x14ac:dyDescent="0.3">
      <c r="A392" s="245">
        <f>Datos!$M$3</f>
        <v>46508</v>
      </c>
      <c r="B392" s="199" t="str">
        <f>Datos!M$4</f>
        <v>Compresora</v>
      </c>
      <c r="C392" s="31" t="s">
        <v>542</v>
      </c>
      <c r="D392" s="199" t="str">
        <f>Datos!$B$12</f>
        <v>Horas hombre trabajadas: Personal OPS</v>
      </c>
      <c r="E392" s="199" t="str">
        <f>Datos!$C$12</f>
        <v>h</v>
      </c>
      <c r="F392" s="31" t="s">
        <v>538</v>
      </c>
      <c r="G392" s="246" t="str">
        <f>IF(ISNUMBER(Datos!M12),Datos!M12,"")</f>
        <v/>
      </c>
      <c r="H39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3" spans="1:8" ht="14.25" customHeight="1" x14ac:dyDescent="0.3">
      <c r="A393" s="245">
        <f>Datos!$M$3</f>
        <v>46508</v>
      </c>
      <c r="B393" s="199" t="str">
        <f>Datos!M$4</f>
        <v>Compresora</v>
      </c>
      <c r="C393" s="31" t="s">
        <v>543</v>
      </c>
      <c r="D393" s="199" t="str">
        <f>Datos!$B$13</f>
        <v>Horas hombre trabajadas: Personal SMP(IEBC, PAE e YPF) en campo</v>
      </c>
      <c r="E393" s="199" t="str">
        <f>Datos!$C$13</f>
        <v>h</v>
      </c>
      <c r="F393" s="31" t="s">
        <v>538</v>
      </c>
      <c r="G393" s="246" t="str">
        <f>IF(ISNUMBER(Datos!M13),Datos!M13,"")</f>
        <v/>
      </c>
      <c r="H39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4" spans="1:8" ht="14.25" customHeight="1" x14ac:dyDescent="0.3">
      <c r="A394" s="245">
        <f>Datos!$M$3</f>
        <v>46508</v>
      </c>
      <c r="B394" s="199" t="str">
        <f>Datos!M$4</f>
        <v>Compresora</v>
      </c>
      <c r="C394" s="31" t="s">
        <v>544</v>
      </c>
      <c r="D394" s="199" t="str">
        <f>Datos!$B$14</f>
        <v>Horas hombre trabajadas: TOTAL</v>
      </c>
      <c r="E394" s="199" t="str">
        <f>Datos!$C$14</f>
        <v>h</v>
      </c>
      <c r="F394" s="31" t="s">
        <v>541</v>
      </c>
      <c r="G394" s="246">
        <f>IF(ISNUMBER(Datos!M14),Datos!M14,"")</f>
        <v>0</v>
      </c>
      <c r="H39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5" spans="1:8" ht="14.25" customHeight="1" x14ac:dyDescent="0.3">
      <c r="A395" s="245">
        <f>Datos!$M$3</f>
        <v>46508</v>
      </c>
      <c r="B395" s="199" t="str">
        <f>Datos!M$4</f>
        <v>Compresora</v>
      </c>
      <c r="C395" s="31" t="s">
        <v>545</v>
      </c>
      <c r="D395" s="199" t="str">
        <f>Datos!$B$16</f>
        <v>Horas hombre de formación en seguridad: Personal OPS</v>
      </c>
      <c r="E395" s="199" t="str">
        <f>Datos!$C$16</f>
        <v>h</v>
      </c>
      <c r="F395" s="31" t="s">
        <v>538</v>
      </c>
      <c r="G395" s="246" t="str">
        <f>IF(ISNUMBER(Datos!M16),Datos!M16,"")</f>
        <v/>
      </c>
      <c r="H39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6" spans="1:8" ht="14.25" customHeight="1" x14ac:dyDescent="0.3">
      <c r="A396" s="245">
        <f>Datos!$M$3</f>
        <v>46508</v>
      </c>
      <c r="B396" s="199" t="str">
        <f>Datos!M$4</f>
        <v>Compresora</v>
      </c>
      <c r="C396" s="31" t="s">
        <v>546</v>
      </c>
      <c r="D396" s="199" t="str">
        <f>Datos!$B$17</f>
        <v>Horas hombre de formación en seguridad: Personal SMP(IEBC, PAE e YPF) </v>
      </c>
      <c r="E396" s="199" t="str">
        <f>Datos!$C$17</f>
        <v>h</v>
      </c>
      <c r="F396" s="31" t="s">
        <v>538</v>
      </c>
      <c r="G396" s="246" t="str">
        <f>IF(ISNUMBER(Datos!M17),Datos!M17,"")</f>
        <v/>
      </c>
      <c r="H39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7" spans="1:8" ht="14.25" customHeight="1" x14ac:dyDescent="0.3">
      <c r="A397" s="245">
        <f>Datos!$M$3</f>
        <v>46508</v>
      </c>
      <c r="B397" s="199" t="str">
        <f>Datos!M$4</f>
        <v>Compresora</v>
      </c>
      <c r="C397" s="31" t="s">
        <v>547</v>
      </c>
      <c r="D397" s="199" t="str">
        <f>Datos!$B$18</f>
        <v>Horas hombre de formación en seguridad: TOTAL</v>
      </c>
      <c r="E397" s="199" t="str">
        <f>Datos!$C$18</f>
        <v>h</v>
      </c>
      <c r="F397" s="31" t="s">
        <v>541</v>
      </c>
      <c r="G397" s="246">
        <f>IF(ISNUMBER(Datos!M18),Datos!M18,"")</f>
        <v>0</v>
      </c>
      <c r="H39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8" spans="1:8" ht="14.25" customHeight="1" x14ac:dyDescent="0.3">
      <c r="A398" s="245">
        <f>Datos!$M$3</f>
        <v>46508</v>
      </c>
      <c r="B398" s="199" t="str">
        <f>Datos!M$4</f>
        <v>Compresora</v>
      </c>
      <c r="C398" s="31" t="s">
        <v>548</v>
      </c>
      <c r="D398" s="199" t="str">
        <f>Datos!$B$20</f>
        <v>SIMULACROS · Realizados (emergencia y operativos)</v>
      </c>
      <c r="E398" s="199" t="str">
        <f>Datos!$C$20</f>
        <v>u</v>
      </c>
      <c r="F398" s="31" t="s">
        <v>538</v>
      </c>
      <c r="G398" s="246" t="str">
        <f>IF(ISNUMBER(Datos!M20),Datos!M20,"")</f>
        <v/>
      </c>
      <c r="H39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9" spans="1:8" ht="14.25" customHeight="1" x14ac:dyDescent="0.3">
      <c r="A399" s="245">
        <f>Datos!$M$3</f>
        <v>46508</v>
      </c>
      <c r="B399" s="199" t="str">
        <f>Datos!M$4</f>
        <v>Compresora</v>
      </c>
      <c r="C399" s="31" t="s">
        <v>549</v>
      </c>
      <c r="D399" s="199" t="str">
        <f>Datos!$B$21</f>
        <v>SIMULACROS · Programados (emergencia y operativos)</v>
      </c>
      <c r="E399" s="199" t="str">
        <f>Datos!$C$21</f>
        <v>u</v>
      </c>
      <c r="F399" s="31" t="s">
        <v>538</v>
      </c>
      <c r="G399" s="246" t="str">
        <f>IF(ISNUMBER(Datos!M21),Datos!M21,"")</f>
        <v/>
      </c>
      <c r="H39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0" spans="1:8" ht="14.25" customHeight="1" x14ac:dyDescent="0.3">
      <c r="A400" s="245">
        <f>Datos!$M$3</f>
        <v>46508</v>
      </c>
      <c r="B400" s="199" t="str">
        <f>Datos!M$4</f>
        <v>Compresora</v>
      </c>
      <c r="C400" s="31" t="s">
        <v>550</v>
      </c>
      <c r="D400" s="199" t="str">
        <f>Datos!$B$22</f>
        <v>SIMULACROS · Acciones de mejora surgidas de los simulacros (en el mes informado)</v>
      </c>
      <c r="E400" s="199" t="str">
        <f>Datos!$C$22</f>
        <v>u</v>
      </c>
      <c r="F400" s="31" t="s">
        <v>538</v>
      </c>
      <c r="G400" s="246" t="str">
        <f>IF(ISNUMBER(Datos!M22),Datos!M22,"")</f>
        <v/>
      </c>
      <c r="H40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1" spans="1:8" ht="14.25" customHeight="1" x14ac:dyDescent="0.3">
      <c r="A401" s="245">
        <f>Datos!$M$3</f>
        <v>46508</v>
      </c>
      <c r="B401" s="199" t="str">
        <f>Datos!M$4</f>
        <v>Compresora</v>
      </c>
      <c r="C401" s="31" t="s">
        <v>551</v>
      </c>
      <c r="D401" s="199" t="str">
        <f>Datos!$B$23</f>
        <v>SIMULACROS · Acciones de mejora implementadas surgidas de los simulacros (ICME) (en el mes informado)</v>
      </c>
      <c r="E401" s="199" t="str">
        <f>Datos!$C$23</f>
        <v>u</v>
      </c>
      <c r="F401" s="31" t="s">
        <v>538</v>
      </c>
      <c r="G401" s="246" t="str">
        <f>IF(ISNUMBER(Datos!M23),Datos!M23,"")</f>
        <v/>
      </c>
      <c r="H40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2" spans="1:8" ht="14.25" customHeight="1" x14ac:dyDescent="0.3">
      <c r="A402" s="245">
        <f>Datos!$M$3</f>
        <v>46508</v>
      </c>
      <c r="B402" s="199" t="str">
        <f>Datos!M$4</f>
        <v>Compresora</v>
      </c>
      <c r="C402" s="31" t="s">
        <v>552</v>
      </c>
      <c r="D402" s="199" t="str">
        <f>Datos!$B$24</f>
        <v>Caminatas gerenciales realizadas</v>
      </c>
      <c r="E402" s="199" t="str">
        <f>Datos!$C$24</f>
        <v>u</v>
      </c>
      <c r="F402" s="31" t="s">
        <v>538</v>
      </c>
      <c r="G402" s="246" t="str">
        <f>IF(ISNUMBER(Datos!M24),Datos!M24,"")</f>
        <v/>
      </c>
      <c r="H40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3" spans="1:8" ht="14.25" customHeight="1" x14ac:dyDescent="0.3">
      <c r="A403" s="245">
        <f>Datos!$M$3</f>
        <v>46508</v>
      </c>
      <c r="B403" s="199" t="str">
        <f>Datos!M$4</f>
        <v>Compresora</v>
      </c>
      <c r="C403" s="31" t="s">
        <v>553</v>
      </c>
      <c r="D403" s="199" t="str">
        <f>Datos!$B$25</f>
        <v>Caminatas gerenciales planificadas</v>
      </c>
      <c r="E403" s="199" t="str">
        <f>Datos!$C$25</f>
        <v>u</v>
      </c>
      <c r="F403" s="31" t="s">
        <v>538</v>
      </c>
      <c r="G403" s="246" t="str">
        <f>IF(ISNUMBER(Datos!M25),Datos!M25,"")</f>
        <v/>
      </c>
      <c r="H40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4" spans="1:8" ht="14.25" customHeight="1" x14ac:dyDescent="0.3">
      <c r="A404" s="245">
        <f>Datos!$M$3</f>
        <v>46508</v>
      </c>
      <c r="B404" s="199" t="str">
        <f>Datos!M$4</f>
        <v>Compresora</v>
      </c>
      <c r="C404" s="31" t="s">
        <v>554</v>
      </c>
      <c r="D404" s="199" t="str">
        <f>Datos!$B$26</f>
        <v>Comités y subcomités de seguridad realizados</v>
      </c>
      <c r="E404" s="199" t="str">
        <f>Datos!$C$26</f>
        <v>u</v>
      </c>
      <c r="F404" s="31" t="s">
        <v>538</v>
      </c>
      <c r="G404" s="246" t="str">
        <f>IF(ISNUMBER(Datos!M26),Datos!M26,"")</f>
        <v/>
      </c>
      <c r="H40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5" spans="1:8" ht="14.25" customHeight="1" x14ac:dyDescent="0.3">
      <c r="A405" s="245">
        <f>Datos!$M$3</f>
        <v>46508</v>
      </c>
      <c r="B405" s="199" t="str">
        <f>Datos!M$4</f>
        <v>Compresora</v>
      </c>
      <c r="C405" s="31" t="s">
        <v>555</v>
      </c>
      <c r="D405" s="199" t="str">
        <f>Datos!$B$27</f>
        <v>Comités y subcomités de seguridad planificados</v>
      </c>
      <c r="E405" s="199" t="str">
        <f>Datos!$C$27</f>
        <v>u</v>
      </c>
      <c r="F405" s="31" t="s">
        <v>538</v>
      </c>
      <c r="G405" s="246" t="str">
        <f>IF(ISNUMBER(Datos!M27),Datos!M27,"")</f>
        <v/>
      </c>
      <c r="H40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6" spans="1:8" ht="14.25" customHeight="1" x14ac:dyDescent="0.3">
      <c r="A406" s="245">
        <f>Datos!$M$3</f>
        <v>46508</v>
      </c>
      <c r="B406" s="199" t="str">
        <f>Datos!M$4</f>
        <v>Compresora</v>
      </c>
      <c r="C406" s="31" t="s">
        <v>556</v>
      </c>
      <c r="D406" s="31" t="inlineStr">
        <is>
          <t>Observaciones de comportamiento seguro: total del mes (OPS + SMP)</t>
        </is>
      </c>
      <c r="E406" s="199" t="str">
        <f>Datos!$C$28</f>
        <v>u</v>
      </c>
      <c r="F406" s="31" t="s">
        <v>538</v>
      </c>
      <c r="G406" s="246" t="str">
        <f>IF(COUNT(Datos!M28:M29)=0,"",SUM(Datos!M28:M29))</f>
        <v/>
      </c>
      <c r="H40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7" spans="1:8" ht="14.25" customHeight="1" x14ac:dyDescent="0.3">
      <c r="A407" s="245">
        <f>Datos!$M$3</f>
        <v>46508</v>
      </c>
      <c r="B407" s="199" t="str">
        <f>Datos!M$4</f>
        <v>Compresora</v>
      </c>
      <c r="C407" s="31" t="s">
        <v>557</v>
      </c>
      <c r="D407" s="199" t="str">
        <f>Datos!$B$30</f>
        <v>Investigaciones de accidentes cerradas en el mes</v>
      </c>
      <c r="E407" s="199" t="str">
        <f>Datos!$C$30</f>
        <v>u</v>
      </c>
      <c r="F407" s="31" t="s">
        <v>538</v>
      </c>
      <c r="G407" s="246" t="str">
        <f>IF(ISNUMBER(Datos!M30),Datos!M30,"")</f>
        <v/>
      </c>
      <c r="H40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8" spans="1:8" ht="14.25" customHeight="1" x14ac:dyDescent="0.3">
      <c r="A408" s="245">
        <f>Datos!$M$3</f>
        <v>46508</v>
      </c>
      <c r="B408" s="199" t="str">
        <f>Datos!M$4</f>
        <v>Compresora</v>
      </c>
      <c r="C408" s="31" t="s">
        <v>558</v>
      </c>
      <c r="D408" s="199" t="str">
        <f>Datos!$B$31</f>
        <v>Días que llevaron esas investigaciones (suma)</v>
      </c>
      <c r="E408" s="199" t="str">
        <f>Datos!$C$31</f>
        <v>días</v>
      </c>
      <c r="F408" s="31" t="s">
        <v>538</v>
      </c>
      <c r="G408" s="246" t="str">
        <f>IF(ISNUMBER(Datos!M31),Datos!M31,"")</f>
        <v/>
      </c>
      <c r="H40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9" spans="1:8" ht="14.25" customHeight="1" x14ac:dyDescent="0.3">
      <c r="A409" s="245">
        <f>Datos!$M$3</f>
        <v>46508</v>
      </c>
      <c r="B409" s="199" t="str">
        <f>Datos!M$4</f>
        <v>Compresora</v>
      </c>
      <c r="C409" s="31" t="s">
        <v>559</v>
      </c>
      <c r="D409" s="199" t="str">
        <f>Datos!$B$33</f>
        <v>Casos con días perdidos</v>
      </c>
      <c r="E409" s="199" t="str">
        <f>Datos!$C$33</f>
        <v>u</v>
      </c>
      <c r="F409" s="31" t="s">
        <v>538</v>
      </c>
      <c r="G409" s="246" t="str">
        <f>IF(ISNUMBER(Datos!M33),Datos!M33,"")</f>
        <v/>
      </c>
      <c r="H40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0" spans="1:8" ht="14.25" customHeight="1" x14ac:dyDescent="0.3">
      <c r="A410" s="245">
        <f>Datos!$M$3</f>
        <v>46508</v>
      </c>
      <c r="B410" s="199" t="str">
        <f>Datos!M$4</f>
        <v>Compresora</v>
      </c>
      <c r="C410" s="31" t="s">
        <v>560</v>
      </c>
      <c r="D410" s="199" t="str">
        <f>Datos!$B$34</f>
        <v>Casos con trabajo restringido</v>
      </c>
      <c r="E410" s="199" t="str">
        <f>Datos!$C$34</f>
        <v>u</v>
      </c>
      <c r="F410" s="31" t="s">
        <v>538</v>
      </c>
      <c r="G410" s="246" t="str">
        <f>IF(ISNUMBER(Datos!M34),Datos!M34,"")</f>
        <v/>
      </c>
      <c r="H41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1" spans="1:8" ht="14.25" customHeight="1" x14ac:dyDescent="0.3">
      <c r="A411" s="245">
        <f>Datos!$M$3</f>
        <v>46508</v>
      </c>
      <c r="B411" s="199" t="str">
        <f>Datos!M$4</f>
        <v>Compresora</v>
      </c>
      <c r="C411" s="31" t="s">
        <v>561</v>
      </c>
      <c r="D411" s="199" t="str">
        <f>Datos!$B$35</f>
        <v>Casos con tratamiento médico</v>
      </c>
      <c r="E411" s="199" t="str">
        <f>Datos!$C$35</f>
        <v>u</v>
      </c>
      <c r="F411" s="31" t="s">
        <v>538</v>
      </c>
      <c r="G411" s="246" t="str">
        <f>IF(ISNUMBER(Datos!M35),Datos!M35,"")</f>
        <v/>
      </c>
      <c r="H41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2" spans="1:8" ht="14.25" customHeight="1" x14ac:dyDescent="0.3">
      <c r="A412" s="245">
        <f>Datos!$M$3</f>
        <v>46508</v>
      </c>
      <c r="B412" s="199" t="str">
        <f>Datos!M$4</f>
        <v>Compresora</v>
      </c>
      <c r="C412" s="31" t="s">
        <v>562</v>
      </c>
      <c r="D412" s="199" t="str">
        <f>Datos!$B$36</f>
        <v>Fatalidades</v>
      </c>
      <c r="E412" s="199" t="str">
        <f>Datos!$C$36</f>
        <v>u</v>
      </c>
      <c r="F412" s="31" t="s">
        <v>538</v>
      </c>
      <c r="G412" s="246" t="str">
        <f>IF(ISNUMBER(Datos!M36),Datos!M36,"")</f>
        <v/>
      </c>
      <c r="H41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3" spans="1:8" ht="14.25" customHeight="1" x14ac:dyDescent="0.3">
      <c r="A413" s="245">
        <f>Datos!$M$3</f>
        <v>46508</v>
      </c>
      <c r="B413" s="199" t="str">
        <f>Datos!M$4</f>
        <v>Compresora</v>
      </c>
      <c r="C413" s="31" t="s">
        <v>51</v>
      </c>
      <c r="D413" s="199" t="str">
        <f>Datos!$B$37</f>
        <v>Casos de primeros auxilios</v>
      </c>
      <c r="E413" s="199" t="str">
        <f>Datos!$C$37</f>
        <v>u</v>
      </c>
      <c r="F413" s="31" t="s">
        <v>538</v>
      </c>
      <c r="G413" s="246" t="str">
        <f>IF(ISNUMBER(Datos!M37),Datos!M37,"")</f>
        <v/>
      </c>
      <c r="H41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4" spans="1:8" ht="14.25" customHeight="1" x14ac:dyDescent="0.3">
      <c r="A414" s="245">
        <f>Datos!$M$3</f>
        <v>46508</v>
      </c>
      <c r="B414" s="199" t="str">
        <f>Datos!M$4</f>
        <v>Compresora</v>
      </c>
      <c r="C414" s="31" t="s">
        <v>563</v>
      </c>
      <c r="D414" s="199" t="str">
        <f>Datos!$B$39</f>
        <v>CVM catastróficas</v>
      </c>
      <c r="E414" s="199" t="str">
        <f>Datos!$C$39</f>
        <v>u</v>
      </c>
      <c r="F414" s="31" t="s">
        <v>538</v>
      </c>
      <c r="G414" s="246" t="str">
        <f>IF(ISNUMBER(Datos!M39),Datos!M39,"")</f>
        <v/>
      </c>
      <c r="H41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5" spans="1:8" ht="14.25" customHeight="1" x14ac:dyDescent="0.3">
      <c r="A415" s="245">
        <f>Datos!$M$3</f>
        <v>46508</v>
      </c>
      <c r="B415" s="199" t="str">
        <f>Datos!M$4</f>
        <v>Compresora</v>
      </c>
      <c r="C415" s="31" t="s">
        <v>564</v>
      </c>
      <c r="D415" s="199" t="str">
        <f>Datos!$B$40</f>
        <v>CVM mayores</v>
      </c>
      <c r="E415" s="199" t="str">
        <f>Datos!$C$40</f>
        <v>u</v>
      </c>
      <c r="F415" s="31" t="s">
        <v>538</v>
      </c>
      <c r="G415" s="246" t="str">
        <f>IF(ISNUMBER(Datos!M40),Datos!M40,"")</f>
        <v/>
      </c>
      <c r="H41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6" spans="1:8" ht="14.25" customHeight="1" x14ac:dyDescent="0.3">
      <c r="A416" s="245">
        <f>Datos!$M$3</f>
        <v>46508</v>
      </c>
      <c r="B416" s="199" t="str">
        <f>Datos!M$4</f>
        <v>Compresora</v>
      </c>
      <c r="C416" s="31" t="s">
        <v>565</v>
      </c>
      <c r="D416" s="199" t="str">
        <f>Datos!$B$41</f>
        <v>CVM serias</v>
      </c>
      <c r="E416" s="199" t="str">
        <f>Datos!$C$41</f>
        <v>u</v>
      </c>
      <c r="F416" s="31" t="s">
        <v>538</v>
      </c>
      <c r="G416" s="246" t="str">
        <f>IF(ISNUMBER(Datos!M41),Datos!M41,"")</f>
        <v/>
      </c>
      <c r="H41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7" spans="1:8" ht="14.25" customHeight="1" x14ac:dyDescent="0.3">
      <c r="A417" s="245">
        <f>Datos!$M$3</f>
        <v>46508</v>
      </c>
      <c r="B417" s="199" t="str">
        <f>Datos!M$4</f>
        <v>Compresora</v>
      </c>
      <c r="C417" s="31" t="s">
        <v>566</v>
      </c>
      <c r="D417" s="199" t="str">
        <f>Datos!$B$42</f>
        <v>CVM otras / menores</v>
      </c>
      <c r="E417" s="199" t="str">
        <f>Datos!$C$42</f>
        <v>u</v>
      </c>
      <c r="F417" s="31" t="s">
        <v>538</v>
      </c>
      <c r="G417" s="246" t="str">
        <f>IF(ISNUMBER(Datos!M42),Datos!M42,"")</f>
        <v/>
      </c>
      <c r="H41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8" spans="1:8" ht="14.25" customHeight="1" x14ac:dyDescent="0.3">
      <c r="A418" s="245">
        <f>Datos!$M$3</f>
        <v>46508</v>
      </c>
      <c r="B418" s="199" t="str">
        <f>Datos!M$4</f>
        <v>Compresora</v>
      </c>
      <c r="C418" s="31" t="s">
        <v>567</v>
      </c>
      <c r="D418" s="199" t="str">
        <f>Datos!$B$44</f>
        <v>Km recorridos: vehículos livianos (camionetas)</v>
      </c>
      <c r="E418" s="199" t="str">
        <f>Datos!$C$44</f>
        <v>km</v>
      </c>
      <c r="F418" s="31" t="s">
        <v>538</v>
      </c>
      <c r="G418" s="246" t="str">
        <f>IF(ISNUMBER(Datos!M44),Datos!M44,"")</f>
        <v/>
      </c>
      <c r="H41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9" spans="1:8" ht="14.25" customHeight="1" x14ac:dyDescent="0.3">
      <c r="A419" s="245">
        <f>Datos!$M$3</f>
        <v>46508</v>
      </c>
      <c r="B419" s="199" t="str">
        <f>Datos!M$4</f>
        <v>Compresora</v>
      </c>
      <c r="C419" s="31" t="s">
        <v>568</v>
      </c>
      <c r="D419" s="199" t="str">
        <f>Datos!$B$45</f>
        <v>Km recorridos: vehículos pesados (camiones)</v>
      </c>
      <c r="E419" s="199" t="str">
        <f>Datos!$C$45</f>
        <v>km</v>
      </c>
      <c r="F419" s="31" t="s">
        <v>538</v>
      </c>
      <c r="G419" s="246" t="str">
        <f>IF(ISNUMBER(Datos!M45),Datos!M45,"")</f>
        <v/>
      </c>
      <c r="H41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0" spans="1:8" ht="14.25" customHeight="1" x14ac:dyDescent="0.3">
      <c r="A420" s="245">
        <f>Datos!$M$3</f>
        <v>46508</v>
      </c>
      <c r="B420" s="199" t="str">
        <f>Datos!M$4</f>
        <v>Compresora</v>
      </c>
      <c r="C420" s="31" t="s">
        <v>569</v>
      </c>
      <c r="D420" s="199" t="str">
        <f>Datos!$B$46</f>
        <v>Km recorridos: vehículos de transporte de personal (combis)</v>
      </c>
      <c r="E420" s="199" t="str">
        <f>Datos!$C$46</f>
        <v>km</v>
      </c>
      <c r="F420" s="31" t="s">
        <v>538</v>
      </c>
      <c r="G420" s="246" t="str">
        <f>IF(ISNUMBER(Datos!M46),Datos!M46,"")</f>
        <v/>
      </c>
      <c r="H42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1" spans="1:8" ht="14.25" customHeight="1" x14ac:dyDescent="0.3">
      <c r="A421" s="245">
        <f>Datos!$M$3</f>
        <v>46508</v>
      </c>
      <c r="B421" s="199" t="str">
        <f>Datos!M$4</f>
        <v>Compresora</v>
      </c>
      <c r="C421" s="31" t="s">
        <v>570</v>
      </c>
      <c r="D421" s="199" t="str">
        <f>Datos!$B$47</f>
        <v>Km recorridos: TOTAL</v>
      </c>
      <c r="E421" s="199" t="str">
        <f>Datos!$C$47</f>
        <v>km</v>
      </c>
      <c r="F421" s="31" t="s">
        <v>541</v>
      </c>
      <c r="G421" s="246">
        <f>IF(ISNUMBER(Datos!M47),Datos!M47,"")</f>
        <v>0</v>
      </c>
      <c r="H42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2" spans="1:8" ht="14.25" customHeight="1" x14ac:dyDescent="0.3">
      <c r="A422" s="245">
        <f>Datos!$M$3</f>
        <v>46508</v>
      </c>
      <c r="B422" s="199" t="str">
        <f>Datos!M$4</f>
        <v>Compresora</v>
      </c>
      <c r="C422" s="31" t="s">
        <v>571</v>
      </c>
      <c r="D422" s="199" t="str">
        <f>Datos!$B$67</f>
        <v>Hallazgos (desvíos) cerrados en el mes</v>
      </c>
      <c r="E422" s="199" t="str">
        <f>Datos!$C$67</f>
        <v>u</v>
      </c>
      <c r="F422" s="31" t="s">
        <v>572</v>
      </c>
      <c r="G422" s="246" t="str">
        <f>IF(ISNUMBER(Datos!M67),Datos!M67,"")</f>
        <v/>
      </c>
      <c r="H42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3" spans="1:8" ht="14.25" customHeight="1" x14ac:dyDescent="0.3">
      <c r="A423" s="245">
        <f>Datos!$M$3</f>
        <v>46508</v>
      </c>
      <c r="B423" s="199" t="str">
        <f>Datos!M$4</f>
        <v>Compresora</v>
      </c>
      <c r="C423" s="31" t="s">
        <v>573</v>
      </c>
      <c r="D423" s="199" t="str">
        <f>Datos!$B$68</f>
        <v>Días que llevaron esos hallazgos (suma)</v>
      </c>
      <c r="E423" s="199" t="str">
        <f>Datos!$C$68</f>
        <v>días</v>
      </c>
      <c r="F423" s="31" t="s">
        <v>572</v>
      </c>
      <c r="G423" s="246" t="str">
        <f>IF(ISNUMBER(Datos!M68),Datos!M68,"")</f>
        <v/>
      </c>
      <c r="H42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4" spans="1:8" ht="14.25" customHeight="1" x14ac:dyDescent="0.3">
      <c r="A424" s="245">
        <f>Datos!$M$3</f>
        <v>46508</v>
      </c>
      <c r="B424" s="199" t="str">
        <f>Datos!M$4</f>
        <v>Compresora</v>
      </c>
      <c r="C424" s="31" t="s">
        <v>574</v>
      </c>
      <c r="D424" s="199" t="str">
        <f>Datos!$B$69</f>
        <v>Hallazgos (desvíos) abiertos a fin de mes</v>
      </c>
      <c r="E424" s="199" t="str">
        <f>Datos!$C$69</f>
        <v>u</v>
      </c>
      <c r="F424" s="31" t="s">
        <v>572</v>
      </c>
      <c r="G424" s="246" t="str">
        <f>IF(ISNUMBER(Datos!M69),Datos!M69,"")</f>
        <v/>
      </c>
      <c r="H42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5" spans="1:8" ht="14.25" customHeight="1" x14ac:dyDescent="0.3">
      <c r="A425" s="245">
        <f>Datos!$M$3</f>
        <v>46508</v>
      </c>
      <c r="B425" s="199" t="str">
        <f>Datos!M$4</f>
        <v>Compresora</v>
      </c>
      <c r="C425" s="31" t="s">
        <v>575</v>
      </c>
      <c r="D425" s="199" t="str">
        <f>Datos!$B$70</f>
        <v>Hallazgos (desvíos) detectados en el mes</v>
      </c>
      <c r="E425" s="199" t="str">
        <f>Datos!$C$70</f>
        <v>u</v>
      </c>
      <c r="F425" s="31" t="s">
        <v>572</v>
      </c>
      <c r="G425" s="246" t="str">
        <f>IF(ISNUMBER(Datos!M70),Datos!M70,"")</f>
        <v/>
      </c>
      <c r="H42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6" spans="1:8" ht="14.25" customHeight="1" x14ac:dyDescent="0.3">
      <c r="A426" s="245">
        <f>Datos!$M$3</f>
        <v>46508</v>
      </c>
      <c r="B426" s="199" t="str">
        <f>Datos!M$4</f>
        <v>Compresora</v>
      </c>
      <c r="C426" s="31" t="s">
        <v>576</v>
      </c>
      <c r="D426" s="199" t="str">
        <f>Datos!$B$71</f>
        <v>Desvíos detectados en el mes · gravedad Alta</v>
      </c>
      <c r="E426" s="199" t="str">
        <f>Datos!$C$71</f>
        <v>u</v>
      </c>
      <c r="F426" s="31" t="s">
        <v>572</v>
      </c>
      <c r="G426" s="246" t="str">
        <f>IF(ISNUMBER(Datos!M71),Datos!M71,"")</f>
        <v/>
      </c>
      <c r="H42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7" spans="1:8" ht="14.25" customHeight="1" x14ac:dyDescent="0.3">
      <c r="A427" s="245">
        <f>Datos!$M$3</f>
        <v>46508</v>
      </c>
      <c r="B427" s="199" t="str">
        <f>Datos!M$4</f>
        <v>Compresora</v>
      </c>
      <c r="C427" s="31" t="s">
        <v>577</v>
      </c>
      <c r="D427" s="199" t="str">
        <f>Datos!$B$72</f>
        <v>Desvíos detectados en el mes · gravedad Media</v>
      </c>
      <c r="E427" s="199" t="str">
        <f>Datos!$C$72</f>
        <v>u</v>
      </c>
      <c r="F427" s="31" t="s">
        <v>572</v>
      </c>
      <c r="G427" s="246" t="str">
        <f>IF(ISNUMBER(Datos!M72),Datos!M72,"")</f>
        <v/>
      </c>
      <c r="H42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8" spans="1:8" ht="14.25" customHeight="1" x14ac:dyDescent="0.3">
      <c r="A428" s="245">
        <f>Datos!$M$3</f>
        <v>46508</v>
      </c>
      <c r="B428" s="199" t="str">
        <f>Datos!M$4</f>
        <v>Compresora</v>
      </c>
      <c r="C428" s="31" t="s">
        <v>578</v>
      </c>
      <c r="D428" s="199" t="str">
        <f>Datos!$B$73</f>
        <v>Desvíos detectados en el mes · gravedad Baja</v>
      </c>
      <c r="E428" s="199" t="str">
        <f>Datos!$C$73</f>
        <v>u</v>
      </c>
      <c r="F428" s="31" t="s">
        <v>572</v>
      </c>
      <c r="G428" s="246" t="str">
        <f>IF(ISNUMBER(Datos!M73),Datos!M73,"")</f>
        <v/>
      </c>
      <c r="H42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9" spans="1:8" ht="14.25" customHeight="1" x14ac:dyDescent="0.3">
      <c r="A429" s="245">
        <f>Datos!$M$3</f>
        <v>46508</v>
      </c>
      <c r="B429" s="199" t="str">
        <f>Datos!M$4</f>
        <v>Compresora</v>
      </c>
      <c r="C429" s="31" t="s">
        <v>579</v>
      </c>
      <c r="D429" s="199" t="str">
        <f>Datos!$B$74</f>
        <v>Desvíos detectados en el mes · sin gravedad cargada</v>
      </c>
      <c r="E429" s="199" t="str">
        <f>Datos!$C$74</f>
        <v>u</v>
      </c>
      <c r="F429" s="31" t="s">
        <v>572</v>
      </c>
      <c r="G429" s="246">
        <f>IF(ISNUMBER(Datos!M74),Datos!M74,"")</f>
        <v>0</v>
      </c>
      <c r="H42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0" spans="1:8" ht="14.25" customHeight="1" x14ac:dyDescent="0.3">
      <c r="A430" s="245">
        <f>Datos!$M$3</f>
        <v>46508</v>
      </c>
      <c r="B430" s="199" t="str">
        <f>Datos!M$4</f>
        <v>Compresora</v>
      </c>
      <c r="C430" s="31" t="s">
        <v>580</v>
      </c>
      <c r="D430" s="199" t="str">
        <f>Datos!$B$75</f>
        <v>Detenciones de tareas aplicadas en el mes (Política = Sí)</v>
      </c>
      <c r="E430" s="199" t="str">
        <f>Datos!$C$75</f>
        <v>u</v>
      </c>
      <c r="F430" s="31" t="s">
        <v>572</v>
      </c>
      <c r="G430" s="246" t="str">
        <f>IF(ISNUMBER(Datos!M75),Datos!M75,"")</f>
        <v/>
      </c>
      <c r="H43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1" spans="1:8" ht="14.25" customHeight="1" x14ac:dyDescent="0.3">
      <c r="A431" s="245">
        <f>Datos!$M$3</f>
        <v>46508</v>
      </c>
      <c r="B431" s="199" t="str">
        <f>Datos!M$4</f>
        <v>Compresora</v>
      </c>
      <c r="C431" s="31" t="s">
        <v>581</v>
      </c>
      <c r="D431" s="199" t="str">
        <f>Datos!$B$76</f>
        <v>Desvíos de gravedad Alta abiertos a fin de mes</v>
      </c>
      <c r="E431" s="199" t="str">
        <f>Datos!$C$76</f>
        <v>u</v>
      </c>
      <c r="F431" s="31" t="s">
        <v>572</v>
      </c>
      <c r="G431" s="246" t="str">
        <f>IF(ISNUMBER(Datos!M76),Datos!M76,"")</f>
        <v/>
      </c>
      <c r="H43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2" spans="1:8" ht="14.25" customHeight="1" x14ac:dyDescent="0.3">
      <c r="A432" s="245">
        <f>Datos!$N$3</f>
        <v>46539</v>
      </c>
      <c r="B432" s="199" t="str">
        <f>Datos!N$4</f>
        <v>Compresora</v>
      </c>
      <c r="C432" s="31" t="s">
        <v>537</v>
      </c>
      <c r="D432" s="199" t="str">
        <f>Datos!$B$9</f>
        <v>Dotación promedio: Personal OPS</v>
      </c>
      <c r="E432" s="199" t="str">
        <f>Datos!$C$9</f>
        <v>pers</v>
      </c>
      <c r="F432" s="31" t="s">
        <v>538</v>
      </c>
      <c r="G432" s="246" t="str">
        <f>IF(ISNUMBER(Datos!N9),Datos!N9,"")</f>
        <v/>
      </c>
      <c r="H43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3" spans="1:8" ht="14.25" customHeight="1" x14ac:dyDescent="0.3">
      <c r="A433" s="245">
        <f>Datos!$N$3</f>
        <v>46539</v>
      </c>
      <c r="B433" s="199" t="str">
        <f>Datos!N$4</f>
        <v>Compresora</v>
      </c>
      <c r="C433" s="31" t="s">
        <v>539</v>
      </c>
      <c r="D433" s="199" t="str">
        <f>Datos!$B$10</f>
        <v>Dotación promedio: Personal SMP(IEBC, PAE e YPF) </v>
      </c>
      <c r="E433" s="199" t="str">
        <f>Datos!$C$10</f>
        <v>pers</v>
      </c>
      <c r="F433" s="31" t="s">
        <v>538</v>
      </c>
      <c r="G433" s="246" t="str">
        <f>IF(ISNUMBER(Datos!N10),Datos!N10,"")</f>
        <v/>
      </c>
      <c r="H43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4" spans="1:8" ht="14.25" customHeight="1" x14ac:dyDescent="0.3">
      <c r="A434" s="245">
        <f>Datos!$N$3</f>
        <v>46539</v>
      </c>
      <c r="B434" s="199" t="str">
        <f>Datos!N$4</f>
        <v>Compresora</v>
      </c>
      <c r="C434" s="31" t="s">
        <v>540</v>
      </c>
      <c r="D434" s="199" t="str">
        <f>Datos!$B$11</f>
        <v>Dotación promedio: TOTAL</v>
      </c>
      <c r="E434" s="199" t="str">
        <f>Datos!$C$11</f>
        <v>pers</v>
      </c>
      <c r="F434" s="31" t="s">
        <v>541</v>
      </c>
      <c r="G434" s="246">
        <f>IF(ISNUMBER(Datos!N11),Datos!N11,"")</f>
        <v>0</v>
      </c>
      <c r="H43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5" spans="1:8" ht="14.25" customHeight="1" x14ac:dyDescent="0.3">
      <c r="A435" s="245">
        <f>Datos!$N$3</f>
        <v>46539</v>
      </c>
      <c r="B435" s="199" t="str">
        <f>Datos!N$4</f>
        <v>Compresora</v>
      </c>
      <c r="C435" s="31" t="s">
        <v>542</v>
      </c>
      <c r="D435" s="199" t="str">
        <f>Datos!$B$12</f>
        <v>Horas hombre trabajadas: Personal OPS</v>
      </c>
      <c r="E435" s="199" t="str">
        <f>Datos!$C$12</f>
        <v>h</v>
      </c>
      <c r="F435" s="31" t="s">
        <v>538</v>
      </c>
      <c r="G435" s="246" t="str">
        <f>IF(ISNUMBER(Datos!N12),Datos!N12,"")</f>
        <v/>
      </c>
      <c r="H43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6" spans="1:8" ht="14.25" customHeight="1" x14ac:dyDescent="0.3">
      <c r="A436" s="245">
        <f>Datos!$N$3</f>
        <v>46539</v>
      </c>
      <c r="B436" s="199" t="str">
        <f>Datos!N$4</f>
        <v>Compresora</v>
      </c>
      <c r="C436" s="31" t="s">
        <v>543</v>
      </c>
      <c r="D436" s="199" t="str">
        <f>Datos!$B$13</f>
        <v>Horas hombre trabajadas: Personal SMP(IEBC, PAE e YPF) en campo</v>
      </c>
      <c r="E436" s="199" t="str">
        <f>Datos!$C$13</f>
        <v>h</v>
      </c>
      <c r="F436" s="31" t="s">
        <v>538</v>
      </c>
      <c r="G436" s="246" t="str">
        <f>IF(ISNUMBER(Datos!N13),Datos!N13,"")</f>
        <v/>
      </c>
      <c r="H43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7" spans="1:8" ht="14.25" customHeight="1" x14ac:dyDescent="0.3">
      <c r="A437" s="245">
        <f>Datos!$N$3</f>
        <v>46539</v>
      </c>
      <c r="B437" s="199" t="str">
        <f>Datos!N$4</f>
        <v>Compresora</v>
      </c>
      <c r="C437" s="31" t="s">
        <v>544</v>
      </c>
      <c r="D437" s="199" t="str">
        <f>Datos!$B$14</f>
        <v>Horas hombre trabajadas: TOTAL</v>
      </c>
      <c r="E437" s="199" t="str">
        <f>Datos!$C$14</f>
        <v>h</v>
      </c>
      <c r="F437" s="31" t="s">
        <v>541</v>
      </c>
      <c r="G437" s="246">
        <f>IF(ISNUMBER(Datos!N14),Datos!N14,"")</f>
        <v>0</v>
      </c>
      <c r="H43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8" spans="1:8" ht="14.25" customHeight="1" x14ac:dyDescent="0.3">
      <c r="A438" s="245">
        <f>Datos!$N$3</f>
        <v>46539</v>
      </c>
      <c r="B438" s="199" t="str">
        <f>Datos!N$4</f>
        <v>Compresora</v>
      </c>
      <c r="C438" s="31" t="s">
        <v>545</v>
      </c>
      <c r="D438" s="199" t="str">
        <f>Datos!$B$16</f>
        <v>Horas hombre de formación en seguridad: Personal OPS</v>
      </c>
      <c r="E438" s="199" t="str">
        <f>Datos!$C$16</f>
        <v>h</v>
      </c>
      <c r="F438" s="31" t="s">
        <v>538</v>
      </c>
      <c r="G438" s="246" t="str">
        <f>IF(ISNUMBER(Datos!N16),Datos!N16,"")</f>
        <v/>
      </c>
      <c r="H43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9" spans="1:8" ht="14.25" customHeight="1" x14ac:dyDescent="0.3">
      <c r="A439" s="245">
        <f>Datos!$N$3</f>
        <v>46539</v>
      </c>
      <c r="B439" s="199" t="str">
        <f>Datos!N$4</f>
        <v>Compresora</v>
      </c>
      <c r="C439" s="31" t="s">
        <v>546</v>
      </c>
      <c r="D439" s="199" t="str">
        <f>Datos!$B$17</f>
        <v>Horas hombre de formación en seguridad: Personal SMP(IEBC, PAE e YPF) </v>
      </c>
      <c r="E439" s="199" t="str">
        <f>Datos!$C$17</f>
        <v>h</v>
      </c>
      <c r="F439" s="31" t="s">
        <v>538</v>
      </c>
      <c r="G439" s="246" t="str">
        <f>IF(ISNUMBER(Datos!N17),Datos!N17,"")</f>
        <v/>
      </c>
      <c r="H43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0" spans="1:8" ht="14.25" customHeight="1" x14ac:dyDescent="0.3">
      <c r="A440" s="245">
        <f>Datos!$N$3</f>
        <v>46539</v>
      </c>
      <c r="B440" s="199" t="str">
        <f>Datos!N$4</f>
        <v>Compresora</v>
      </c>
      <c r="C440" s="31" t="s">
        <v>547</v>
      </c>
      <c r="D440" s="199" t="str">
        <f>Datos!$B$18</f>
        <v>Horas hombre de formación en seguridad: TOTAL</v>
      </c>
      <c r="E440" s="199" t="str">
        <f>Datos!$C$18</f>
        <v>h</v>
      </c>
      <c r="F440" s="31" t="s">
        <v>541</v>
      </c>
      <c r="G440" s="246">
        <f>IF(ISNUMBER(Datos!N18),Datos!N18,"")</f>
        <v>0</v>
      </c>
      <c r="H44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1" spans="1:8" ht="14.25" customHeight="1" x14ac:dyDescent="0.3">
      <c r="A441" s="245">
        <f>Datos!$N$3</f>
        <v>46539</v>
      </c>
      <c r="B441" s="199" t="str">
        <f>Datos!N$4</f>
        <v>Compresora</v>
      </c>
      <c r="C441" s="31" t="s">
        <v>548</v>
      </c>
      <c r="D441" s="199" t="str">
        <f>Datos!$B$20</f>
        <v>SIMULACROS · Realizados (emergencia y operativos)</v>
      </c>
      <c r="E441" s="199" t="str">
        <f>Datos!$C$20</f>
        <v>u</v>
      </c>
      <c r="F441" s="31" t="s">
        <v>538</v>
      </c>
      <c r="G441" s="246" t="str">
        <f>IF(ISNUMBER(Datos!N20),Datos!N20,"")</f>
        <v/>
      </c>
      <c r="H44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2" spans="1:8" ht="14.25" customHeight="1" x14ac:dyDescent="0.3">
      <c r="A442" s="245">
        <f>Datos!$N$3</f>
        <v>46539</v>
      </c>
      <c r="B442" s="199" t="str">
        <f>Datos!N$4</f>
        <v>Compresora</v>
      </c>
      <c r="C442" s="31" t="s">
        <v>549</v>
      </c>
      <c r="D442" s="199" t="str">
        <f>Datos!$B$21</f>
        <v>SIMULACROS · Programados (emergencia y operativos)</v>
      </c>
      <c r="E442" s="199" t="str">
        <f>Datos!$C$21</f>
        <v>u</v>
      </c>
      <c r="F442" s="31" t="s">
        <v>538</v>
      </c>
      <c r="G442" s="246" t="str">
        <f>IF(ISNUMBER(Datos!N21),Datos!N21,"")</f>
        <v/>
      </c>
      <c r="H44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3" spans="1:8" ht="14.25" customHeight="1" x14ac:dyDescent="0.3">
      <c r="A443" s="245">
        <f>Datos!$N$3</f>
        <v>46539</v>
      </c>
      <c r="B443" s="199" t="str">
        <f>Datos!N$4</f>
        <v>Compresora</v>
      </c>
      <c r="C443" s="31" t="s">
        <v>550</v>
      </c>
      <c r="D443" s="199" t="str">
        <f>Datos!$B$22</f>
        <v>SIMULACROS · Acciones de mejora surgidas de los simulacros (en el mes informado)</v>
      </c>
      <c r="E443" s="199" t="str">
        <f>Datos!$C$22</f>
        <v>u</v>
      </c>
      <c r="F443" s="31" t="s">
        <v>538</v>
      </c>
      <c r="G443" s="246" t="str">
        <f>IF(ISNUMBER(Datos!N22),Datos!N22,"")</f>
        <v/>
      </c>
      <c r="H44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4" spans="1:8" ht="14.25" customHeight="1" x14ac:dyDescent="0.3">
      <c r="A444" s="245">
        <f>Datos!$N$3</f>
        <v>46539</v>
      </c>
      <c r="B444" s="199" t="str">
        <f>Datos!N$4</f>
        <v>Compresora</v>
      </c>
      <c r="C444" s="31" t="s">
        <v>551</v>
      </c>
      <c r="D444" s="199" t="str">
        <f>Datos!$B$23</f>
        <v>SIMULACROS · Acciones de mejora implementadas surgidas de los simulacros (ICME) (en el mes informado)</v>
      </c>
      <c r="E444" s="199" t="str">
        <f>Datos!$C$23</f>
        <v>u</v>
      </c>
      <c r="F444" s="31" t="s">
        <v>538</v>
      </c>
      <c r="G444" s="246" t="str">
        <f>IF(ISNUMBER(Datos!N23),Datos!N23,"")</f>
        <v/>
      </c>
      <c r="H44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5" spans="1:8" ht="14.25" customHeight="1" x14ac:dyDescent="0.3">
      <c r="A445" s="245">
        <f>Datos!$N$3</f>
        <v>46539</v>
      </c>
      <c r="B445" s="199" t="str">
        <f>Datos!N$4</f>
        <v>Compresora</v>
      </c>
      <c r="C445" s="31" t="s">
        <v>552</v>
      </c>
      <c r="D445" s="199" t="str">
        <f>Datos!$B$24</f>
        <v>Caminatas gerenciales realizadas</v>
      </c>
      <c r="E445" s="199" t="str">
        <f>Datos!$C$24</f>
        <v>u</v>
      </c>
      <c r="F445" s="31" t="s">
        <v>538</v>
      </c>
      <c r="G445" s="246" t="str">
        <f>IF(ISNUMBER(Datos!N24),Datos!N24,"")</f>
        <v/>
      </c>
      <c r="H44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6" spans="1:8" ht="14.25" customHeight="1" x14ac:dyDescent="0.3">
      <c r="A446" s="245">
        <f>Datos!$N$3</f>
        <v>46539</v>
      </c>
      <c r="B446" s="199" t="str">
        <f>Datos!N$4</f>
        <v>Compresora</v>
      </c>
      <c r="C446" s="31" t="s">
        <v>553</v>
      </c>
      <c r="D446" s="199" t="str">
        <f>Datos!$B$25</f>
        <v>Caminatas gerenciales planificadas</v>
      </c>
      <c r="E446" s="199" t="str">
        <f>Datos!$C$25</f>
        <v>u</v>
      </c>
      <c r="F446" s="31" t="s">
        <v>538</v>
      </c>
      <c r="G446" s="246" t="str">
        <f>IF(ISNUMBER(Datos!N25),Datos!N25,"")</f>
        <v/>
      </c>
      <c r="H44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7" spans="1:8" ht="14.25" customHeight="1" x14ac:dyDescent="0.3">
      <c r="A447" s="245">
        <f>Datos!$N$3</f>
        <v>46539</v>
      </c>
      <c r="B447" s="199" t="str">
        <f>Datos!N$4</f>
        <v>Compresora</v>
      </c>
      <c r="C447" s="31" t="s">
        <v>554</v>
      </c>
      <c r="D447" s="199" t="str">
        <f>Datos!$B$26</f>
        <v>Comités y subcomités de seguridad realizados</v>
      </c>
      <c r="E447" s="199" t="str">
        <f>Datos!$C$26</f>
        <v>u</v>
      </c>
      <c r="F447" s="31" t="s">
        <v>538</v>
      </c>
      <c r="G447" s="246" t="str">
        <f>IF(ISNUMBER(Datos!N26),Datos!N26,"")</f>
        <v/>
      </c>
      <c r="H44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8" spans="1:8" ht="14.25" customHeight="1" x14ac:dyDescent="0.3">
      <c r="A448" s="245">
        <f>Datos!$N$3</f>
        <v>46539</v>
      </c>
      <c r="B448" s="199" t="str">
        <f>Datos!N$4</f>
        <v>Compresora</v>
      </c>
      <c r="C448" s="31" t="s">
        <v>555</v>
      </c>
      <c r="D448" s="199" t="str">
        <f>Datos!$B$27</f>
        <v>Comités y subcomités de seguridad planificados</v>
      </c>
      <c r="E448" s="199" t="str">
        <f>Datos!$C$27</f>
        <v>u</v>
      </c>
      <c r="F448" s="31" t="s">
        <v>538</v>
      </c>
      <c r="G448" s="246" t="str">
        <f>IF(ISNUMBER(Datos!N27),Datos!N27,"")</f>
        <v/>
      </c>
      <c r="H44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9" spans="1:8" ht="14.25" customHeight="1" x14ac:dyDescent="0.3">
      <c r="A449" s="245">
        <f>Datos!$N$3</f>
        <v>46539</v>
      </c>
      <c r="B449" s="199" t="str">
        <f>Datos!N$4</f>
        <v>Compresora</v>
      </c>
      <c r="C449" s="31" t="s">
        <v>556</v>
      </c>
      <c r="D449" s="31" t="inlineStr">
        <is>
          <t>Observaciones de comportamiento seguro: total del mes (OPS + SMP)</t>
        </is>
      </c>
      <c r="E449" s="199" t="str">
        <f>Datos!$C$28</f>
        <v>u</v>
      </c>
      <c r="F449" s="31" t="s">
        <v>538</v>
      </c>
      <c r="G449" s="246" t="str">
        <f>IF(COUNT(Datos!N28:N29)=0,"",SUM(Datos!N28:N29))</f>
        <v/>
      </c>
      <c r="H44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0" spans="1:8" ht="14.25" customHeight="1" x14ac:dyDescent="0.3">
      <c r="A450" s="245">
        <f>Datos!$N$3</f>
        <v>46539</v>
      </c>
      <c r="B450" s="199" t="str">
        <f>Datos!N$4</f>
        <v>Compresora</v>
      </c>
      <c r="C450" s="31" t="s">
        <v>557</v>
      </c>
      <c r="D450" s="199" t="str">
        <f>Datos!$B$30</f>
        <v>Investigaciones de accidentes cerradas en el mes</v>
      </c>
      <c r="E450" s="199" t="str">
        <f>Datos!$C$30</f>
        <v>u</v>
      </c>
      <c r="F450" s="31" t="s">
        <v>538</v>
      </c>
      <c r="G450" s="246" t="str">
        <f>IF(ISNUMBER(Datos!N30),Datos!N30,"")</f>
        <v/>
      </c>
      <c r="H45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1" spans="1:8" ht="14.25" customHeight="1" x14ac:dyDescent="0.3">
      <c r="A451" s="245">
        <f>Datos!$N$3</f>
        <v>46539</v>
      </c>
      <c r="B451" s="199" t="str">
        <f>Datos!N$4</f>
        <v>Compresora</v>
      </c>
      <c r="C451" s="31" t="s">
        <v>558</v>
      </c>
      <c r="D451" s="199" t="str">
        <f>Datos!$B$31</f>
        <v>Días que llevaron esas investigaciones (suma)</v>
      </c>
      <c r="E451" s="199" t="str">
        <f>Datos!$C$31</f>
        <v>días</v>
      </c>
      <c r="F451" s="31" t="s">
        <v>538</v>
      </c>
      <c r="G451" s="246" t="str">
        <f>IF(ISNUMBER(Datos!N31),Datos!N31,"")</f>
        <v/>
      </c>
      <c r="H45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2" spans="1:8" ht="14.25" customHeight="1" x14ac:dyDescent="0.3">
      <c r="A452" s="245">
        <f>Datos!$N$3</f>
        <v>46539</v>
      </c>
      <c r="B452" s="199" t="str">
        <f>Datos!N$4</f>
        <v>Compresora</v>
      </c>
      <c r="C452" s="31" t="s">
        <v>559</v>
      </c>
      <c r="D452" s="199" t="str">
        <f>Datos!$B$33</f>
        <v>Casos con días perdidos</v>
      </c>
      <c r="E452" s="199" t="str">
        <f>Datos!$C$33</f>
        <v>u</v>
      </c>
      <c r="F452" s="31" t="s">
        <v>538</v>
      </c>
      <c r="G452" s="246" t="str">
        <f>IF(ISNUMBER(Datos!N33),Datos!N33,"")</f>
        <v/>
      </c>
      <c r="H45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3" spans="1:8" ht="14.25" customHeight="1" x14ac:dyDescent="0.3">
      <c r="A453" s="245">
        <f>Datos!$N$3</f>
        <v>46539</v>
      </c>
      <c r="B453" s="199" t="str">
        <f>Datos!N$4</f>
        <v>Compresora</v>
      </c>
      <c r="C453" s="31" t="s">
        <v>560</v>
      </c>
      <c r="D453" s="199" t="str">
        <f>Datos!$B$34</f>
        <v>Casos con trabajo restringido</v>
      </c>
      <c r="E453" s="199" t="str">
        <f>Datos!$C$34</f>
        <v>u</v>
      </c>
      <c r="F453" s="31" t="s">
        <v>538</v>
      </c>
      <c r="G453" s="246" t="str">
        <f>IF(ISNUMBER(Datos!N34),Datos!N34,"")</f>
        <v/>
      </c>
      <c r="H45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4" spans="1:8" ht="14.25" customHeight="1" x14ac:dyDescent="0.3">
      <c r="A454" s="245">
        <f>Datos!$N$3</f>
        <v>46539</v>
      </c>
      <c r="B454" s="199" t="str">
        <f>Datos!N$4</f>
        <v>Compresora</v>
      </c>
      <c r="C454" s="31" t="s">
        <v>561</v>
      </c>
      <c r="D454" s="199" t="str">
        <f>Datos!$B$35</f>
        <v>Casos con tratamiento médico</v>
      </c>
      <c r="E454" s="199" t="str">
        <f>Datos!$C$35</f>
        <v>u</v>
      </c>
      <c r="F454" s="31" t="s">
        <v>538</v>
      </c>
      <c r="G454" s="246" t="str">
        <f>IF(ISNUMBER(Datos!N35),Datos!N35,"")</f>
        <v/>
      </c>
      <c r="H45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5" spans="1:8" ht="14.25" customHeight="1" x14ac:dyDescent="0.3">
      <c r="A455" s="245">
        <f>Datos!$N$3</f>
        <v>46539</v>
      </c>
      <c r="B455" s="199" t="str">
        <f>Datos!N$4</f>
        <v>Compresora</v>
      </c>
      <c r="C455" s="31" t="s">
        <v>562</v>
      </c>
      <c r="D455" s="199" t="str">
        <f>Datos!$B$36</f>
        <v>Fatalidades</v>
      </c>
      <c r="E455" s="199" t="str">
        <f>Datos!$C$36</f>
        <v>u</v>
      </c>
      <c r="F455" s="31" t="s">
        <v>538</v>
      </c>
      <c r="G455" s="246" t="str">
        <f>IF(ISNUMBER(Datos!N36),Datos!N36,"")</f>
        <v/>
      </c>
      <c r="H45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6" spans="1:8" ht="14.25" customHeight="1" x14ac:dyDescent="0.3">
      <c r="A456" s="245">
        <f>Datos!$N$3</f>
        <v>46539</v>
      </c>
      <c r="B456" s="199" t="str">
        <f>Datos!N$4</f>
        <v>Compresora</v>
      </c>
      <c r="C456" s="31" t="s">
        <v>51</v>
      </c>
      <c r="D456" s="199" t="str">
        <f>Datos!$B$37</f>
        <v>Casos de primeros auxilios</v>
      </c>
      <c r="E456" s="199" t="str">
        <f>Datos!$C$37</f>
        <v>u</v>
      </c>
      <c r="F456" s="31" t="s">
        <v>538</v>
      </c>
      <c r="G456" s="246" t="str">
        <f>IF(ISNUMBER(Datos!N37),Datos!N37,"")</f>
        <v/>
      </c>
      <c r="H45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7" spans="1:8" ht="14.25" customHeight="1" x14ac:dyDescent="0.3">
      <c r="A457" s="245">
        <f>Datos!$N$3</f>
        <v>46539</v>
      </c>
      <c r="B457" s="199" t="str">
        <f>Datos!N$4</f>
        <v>Compresora</v>
      </c>
      <c r="C457" s="31" t="s">
        <v>563</v>
      </c>
      <c r="D457" s="199" t="str">
        <f>Datos!$B$39</f>
        <v>CVM catastróficas</v>
      </c>
      <c r="E457" s="199" t="str">
        <f>Datos!$C$39</f>
        <v>u</v>
      </c>
      <c r="F457" s="31" t="s">
        <v>538</v>
      </c>
      <c r="G457" s="246" t="str">
        <f>IF(ISNUMBER(Datos!N39),Datos!N39,"")</f>
        <v/>
      </c>
      <c r="H45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8" spans="1:8" ht="14.25" customHeight="1" x14ac:dyDescent="0.3">
      <c r="A458" s="245">
        <f>Datos!$N$3</f>
        <v>46539</v>
      </c>
      <c r="B458" s="199" t="str">
        <f>Datos!N$4</f>
        <v>Compresora</v>
      </c>
      <c r="C458" s="31" t="s">
        <v>564</v>
      </c>
      <c r="D458" s="199" t="str">
        <f>Datos!$B$40</f>
        <v>CVM mayores</v>
      </c>
      <c r="E458" s="199" t="str">
        <f>Datos!$C$40</f>
        <v>u</v>
      </c>
      <c r="F458" s="31" t="s">
        <v>538</v>
      </c>
      <c r="G458" s="246" t="str">
        <f>IF(ISNUMBER(Datos!N40),Datos!N40,"")</f>
        <v/>
      </c>
      <c r="H45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9" spans="1:8" ht="14.25" customHeight="1" x14ac:dyDescent="0.3">
      <c r="A459" s="245">
        <f>Datos!$N$3</f>
        <v>46539</v>
      </c>
      <c r="B459" s="199" t="str">
        <f>Datos!N$4</f>
        <v>Compresora</v>
      </c>
      <c r="C459" s="31" t="s">
        <v>565</v>
      </c>
      <c r="D459" s="199" t="str">
        <f>Datos!$B$41</f>
        <v>CVM serias</v>
      </c>
      <c r="E459" s="199" t="str">
        <f>Datos!$C$41</f>
        <v>u</v>
      </c>
      <c r="F459" s="31" t="s">
        <v>538</v>
      </c>
      <c r="G459" s="246" t="str">
        <f>IF(ISNUMBER(Datos!N41),Datos!N41,"")</f>
        <v/>
      </c>
      <c r="H45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0" spans="1:8" ht="14.25" customHeight="1" x14ac:dyDescent="0.3">
      <c r="A460" s="245">
        <f>Datos!$N$3</f>
        <v>46539</v>
      </c>
      <c r="B460" s="199" t="str">
        <f>Datos!N$4</f>
        <v>Compresora</v>
      </c>
      <c r="C460" s="31" t="s">
        <v>566</v>
      </c>
      <c r="D460" s="199" t="str">
        <f>Datos!$B$42</f>
        <v>CVM otras / menores</v>
      </c>
      <c r="E460" s="199" t="str">
        <f>Datos!$C$42</f>
        <v>u</v>
      </c>
      <c r="F460" s="31" t="s">
        <v>538</v>
      </c>
      <c r="G460" s="246" t="str">
        <f>IF(ISNUMBER(Datos!N42),Datos!N42,"")</f>
        <v/>
      </c>
      <c r="H46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1" spans="1:8" ht="14.25" customHeight="1" x14ac:dyDescent="0.3">
      <c r="A461" s="245">
        <f>Datos!$N$3</f>
        <v>46539</v>
      </c>
      <c r="B461" s="199" t="str">
        <f>Datos!N$4</f>
        <v>Compresora</v>
      </c>
      <c r="C461" s="31" t="s">
        <v>567</v>
      </c>
      <c r="D461" s="199" t="str">
        <f>Datos!$B$44</f>
        <v>Km recorridos: vehículos livianos (camionetas)</v>
      </c>
      <c r="E461" s="199" t="str">
        <f>Datos!$C$44</f>
        <v>km</v>
      </c>
      <c r="F461" s="31" t="s">
        <v>538</v>
      </c>
      <c r="G461" s="246" t="str">
        <f>IF(ISNUMBER(Datos!N44),Datos!N44,"")</f>
        <v/>
      </c>
      <c r="H46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2" spans="1:8" ht="14.25" customHeight="1" x14ac:dyDescent="0.3">
      <c r="A462" s="245">
        <f>Datos!$N$3</f>
        <v>46539</v>
      </c>
      <c r="B462" s="199" t="str">
        <f>Datos!N$4</f>
        <v>Compresora</v>
      </c>
      <c r="C462" s="31" t="s">
        <v>568</v>
      </c>
      <c r="D462" s="199" t="str">
        <f>Datos!$B$45</f>
        <v>Km recorridos: vehículos pesados (camiones)</v>
      </c>
      <c r="E462" s="199" t="str">
        <f>Datos!$C$45</f>
        <v>km</v>
      </c>
      <c r="F462" s="31" t="s">
        <v>538</v>
      </c>
      <c r="G462" s="246" t="str">
        <f>IF(ISNUMBER(Datos!N45),Datos!N45,"")</f>
        <v/>
      </c>
      <c r="H46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3" spans="1:8" ht="14.25" customHeight="1" x14ac:dyDescent="0.3">
      <c r="A463" s="245">
        <f>Datos!$N$3</f>
        <v>46539</v>
      </c>
      <c r="B463" s="199" t="str">
        <f>Datos!N$4</f>
        <v>Compresora</v>
      </c>
      <c r="C463" s="31" t="s">
        <v>569</v>
      </c>
      <c r="D463" s="199" t="str">
        <f>Datos!$B$46</f>
        <v>Km recorridos: vehículos de transporte de personal (combis)</v>
      </c>
      <c r="E463" s="199" t="str">
        <f>Datos!$C$46</f>
        <v>km</v>
      </c>
      <c r="F463" s="31" t="s">
        <v>538</v>
      </c>
      <c r="G463" s="246" t="str">
        <f>IF(ISNUMBER(Datos!N46),Datos!N46,"")</f>
        <v/>
      </c>
      <c r="H46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4" spans="1:8" ht="14.25" customHeight="1" x14ac:dyDescent="0.3">
      <c r="A464" s="245">
        <f>Datos!$N$3</f>
        <v>46539</v>
      </c>
      <c r="B464" s="199" t="str">
        <f>Datos!N$4</f>
        <v>Compresora</v>
      </c>
      <c r="C464" s="31" t="s">
        <v>570</v>
      </c>
      <c r="D464" s="199" t="str">
        <f>Datos!$B$47</f>
        <v>Km recorridos: TOTAL</v>
      </c>
      <c r="E464" s="199" t="str">
        <f>Datos!$C$47</f>
        <v>km</v>
      </c>
      <c r="F464" s="31" t="s">
        <v>541</v>
      </c>
      <c r="G464" s="246">
        <f>IF(ISNUMBER(Datos!N47),Datos!N47,"")</f>
        <v>0</v>
      </c>
      <c r="H46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5" spans="1:8" ht="14.25" customHeight="1" x14ac:dyDescent="0.3">
      <c r="A465" s="245">
        <f>Datos!$N$3</f>
        <v>46539</v>
      </c>
      <c r="B465" s="199" t="str">
        <f>Datos!N$4</f>
        <v>Compresora</v>
      </c>
      <c r="C465" s="31" t="s">
        <v>571</v>
      </c>
      <c r="D465" s="199" t="str">
        <f>Datos!$B$67</f>
        <v>Hallazgos (desvíos) cerrados en el mes</v>
      </c>
      <c r="E465" s="199" t="str">
        <f>Datos!$C$67</f>
        <v>u</v>
      </c>
      <c r="F465" s="31" t="s">
        <v>572</v>
      </c>
      <c r="G465" s="246" t="str">
        <f>IF(ISNUMBER(Datos!N67),Datos!N67,"")</f>
        <v/>
      </c>
      <c r="H46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6" spans="1:8" ht="14.25" customHeight="1" x14ac:dyDescent="0.3">
      <c r="A466" s="245">
        <f>Datos!$N$3</f>
        <v>46539</v>
      </c>
      <c r="B466" s="199" t="str">
        <f>Datos!N$4</f>
        <v>Compresora</v>
      </c>
      <c r="C466" s="31" t="s">
        <v>573</v>
      </c>
      <c r="D466" s="199" t="str">
        <f>Datos!$B$68</f>
        <v>Días que llevaron esos hallazgos (suma)</v>
      </c>
      <c r="E466" s="199" t="str">
        <f>Datos!$C$68</f>
        <v>días</v>
      </c>
      <c r="F466" s="31" t="s">
        <v>572</v>
      </c>
      <c r="G466" s="246" t="str">
        <f>IF(ISNUMBER(Datos!N68),Datos!N68,"")</f>
        <v/>
      </c>
      <c r="H46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7" spans="1:8" ht="14.25" customHeight="1" x14ac:dyDescent="0.3">
      <c r="A467" s="245">
        <f>Datos!$N$3</f>
        <v>46539</v>
      </c>
      <c r="B467" s="199" t="str">
        <f>Datos!N$4</f>
        <v>Compresora</v>
      </c>
      <c r="C467" s="31" t="s">
        <v>574</v>
      </c>
      <c r="D467" s="199" t="str">
        <f>Datos!$B$69</f>
        <v>Hallazgos (desvíos) abiertos a fin de mes</v>
      </c>
      <c r="E467" s="199" t="str">
        <f>Datos!$C$69</f>
        <v>u</v>
      </c>
      <c r="F467" s="31" t="s">
        <v>572</v>
      </c>
      <c r="G467" s="246" t="str">
        <f>IF(ISNUMBER(Datos!N69),Datos!N69,"")</f>
        <v/>
      </c>
      <c r="H46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8" spans="1:8" ht="14.25" customHeight="1" x14ac:dyDescent="0.3">
      <c r="A468" s="245">
        <f>Datos!$N$3</f>
        <v>46539</v>
      </c>
      <c r="B468" s="199" t="str">
        <f>Datos!N$4</f>
        <v>Compresora</v>
      </c>
      <c r="C468" s="31" t="s">
        <v>575</v>
      </c>
      <c r="D468" s="199" t="str">
        <f>Datos!$B$70</f>
        <v>Hallazgos (desvíos) detectados en el mes</v>
      </c>
      <c r="E468" s="199" t="str">
        <f>Datos!$C$70</f>
        <v>u</v>
      </c>
      <c r="F468" s="31" t="s">
        <v>572</v>
      </c>
      <c r="G468" s="246" t="str">
        <f>IF(ISNUMBER(Datos!N70),Datos!N70,"")</f>
        <v/>
      </c>
      <c r="H46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9" spans="1:8" ht="14.25" customHeight="1" x14ac:dyDescent="0.3">
      <c r="A469" s="245">
        <f>Datos!$N$3</f>
        <v>46539</v>
      </c>
      <c r="B469" s="199" t="str">
        <f>Datos!N$4</f>
        <v>Compresora</v>
      </c>
      <c r="C469" s="31" t="s">
        <v>576</v>
      </c>
      <c r="D469" s="199" t="str">
        <f>Datos!$B$71</f>
        <v>Desvíos detectados en el mes · gravedad Alta</v>
      </c>
      <c r="E469" s="199" t="str">
        <f>Datos!$C$71</f>
        <v>u</v>
      </c>
      <c r="F469" s="31" t="s">
        <v>572</v>
      </c>
      <c r="G469" s="246" t="str">
        <f>IF(ISNUMBER(Datos!N71),Datos!N71,"")</f>
        <v/>
      </c>
      <c r="H46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0" spans="1:8" ht="14.25" customHeight="1" x14ac:dyDescent="0.3">
      <c r="A470" s="245">
        <f>Datos!$N$3</f>
        <v>46539</v>
      </c>
      <c r="B470" s="199" t="str">
        <f>Datos!N$4</f>
        <v>Compresora</v>
      </c>
      <c r="C470" s="31" t="s">
        <v>577</v>
      </c>
      <c r="D470" s="199" t="str">
        <f>Datos!$B$72</f>
        <v>Desvíos detectados en el mes · gravedad Media</v>
      </c>
      <c r="E470" s="199" t="str">
        <f>Datos!$C$72</f>
        <v>u</v>
      </c>
      <c r="F470" s="31" t="s">
        <v>572</v>
      </c>
      <c r="G470" s="246" t="str">
        <f>IF(ISNUMBER(Datos!N72),Datos!N72,"")</f>
        <v/>
      </c>
      <c r="H47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1" spans="1:8" ht="14.25" customHeight="1" x14ac:dyDescent="0.3">
      <c r="A471" s="245">
        <f>Datos!$N$3</f>
        <v>46539</v>
      </c>
      <c r="B471" s="199" t="str">
        <f>Datos!N$4</f>
        <v>Compresora</v>
      </c>
      <c r="C471" s="31" t="s">
        <v>578</v>
      </c>
      <c r="D471" s="199" t="str">
        <f>Datos!$B$73</f>
        <v>Desvíos detectados en el mes · gravedad Baja</v>
      </c>
      <c r="E471" s="199" t="str">
        <f>Datos!$C$73</f>
        <v>u</v>
      </c>
      <c r="F471" s="31" t="s">
        <v>572</v>
      </c>
      <c r="G471" s="246" t="str">
        <f>IF(ISNUMBER(Datos!N73),Datos!N73,"")</f>
        <v/>
      </c>
      <c r="H47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2" spans="1:8" ht="14.25" customHeight="1" x14ac:dyDescent="0.3">
      <c r="A472" s="245">
        <f>Datos!$N$3</f>
        <v>46539</v>
      </c>
      <c r="B472" s="199" t="str">
        <f>Datos!N$4</f>
        <v>Compresora</v>
      </c>
      <c r="C472" s="31" t="s">
        <v>579</v>
      </c>
      <c r="D472" s="199" t="str">
        <f>Datos!$B$74</f>
        <v>Desvíos detectados en el mes · sin gravedad cargada</v>
      </c>
      <c r="E472" s="199" t="str">
        <f>Datos!$C$74</f>
        <v>u</v>
      </c>
      <c r="F472" s="31" t="s">
        <v>572</v>
      </c>
      <c r="G472" s="246">
        <f>IF(ISNUMBER(Datos!N74),Datos!N74,"")</f>
        <v>0</v>
      </c>
      <c r="H47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3" spans="1:8" ht="14.25" customHeight="1" x14ac:dyDescent="0.3">
      <c r="A473" s="245">
        <f>Datos!$N$3</f>
        <v>46539</v>
      </c>
      <c r="B473" s="199" t="str">
        <f>Datos!N$4</f>
        <v>Compresora</v>
      </c>
      <c r="C473" s="31" t="s">
        <v>580</v>
      </c>
      <c r="D473" s="199" t="str">
        <f>Datos!$B$75</f>
        <v>Detenciones de tareas aplicadas en el mes (Política = Sí)</v>
      </c>
      <c r="E473" s="199" t="str">
        <f>Datos!$C$75</f>
        <v>u</v>
      </c>
      <c r="F473" s="31" t="s">
        <v>572</v>
      </c>
      <c r="G473" s="246" t="str">
        <f>IF(ISNUMBER(Datos!N75),Datos!N75,"")</f>
        <v/>
      </c>
      <c r="H47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4" spans="1:8" ht="14.25" customHeight="1" x14ac:dyDescent="0.3">
      <c r="A474" s="245">
        <f>Datos!$N$3</f>
        <v>46539</v>
      </c>
      <c r="B474" s="199" t="str">
        <f>Datos!N$4</f>
        <v>Compresora</v>
      </c>
      <c r="C474" s="31" t="s">
        <v>581</v>
      </c>
      <c r="D474" s="199" t="str">
        <f>Datos!$B$76</f>
        <v>Desvíos de gravedad Alta abiertos a fin de mes</v>
      </c>
      <c r="E474" s="199" t="str">
        <f>Datos!$C$76</f>
        <v>u</v>
      </c>
      <c r="F474" s="31" t="s">
        <v>572</v>
      </c>
      <c r="G474" s="246" t="str">
        <f>IF(ISNUMBER(Datos!N76),Datos!N76,"")</f>
        <v/>
      </c>
      <c r="H47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5" spans="1:8" ht="14.25" customHeight="1" x14ac:dyDescent="0.3">
      <c r="A475" s="245">
        <f>Datos!$O$3</f>
        <v>46569</v>
      </c>
      <c r="B475" s="199" t="str">
        <f>Datos!O$4</f>
        <v>Compresora</v>
      </c>
      <c r="C475" s="31" t="s">
        <v>537</v>
      </c>
      <c r="D475" s="199" t="str">
        <f>Datos!$B$9</f>
        <v>Dotación promedio: Personal OPS</v>
      </c>
      <c r="E475" s="199" t="str">
        <f>Datos!$C$9</f>
        <v>pers</v>
      </c>
      <c r="F475" s="31" t="s">
        <v>538</v>
      </c>
      <c r="G475" s="246" t="str">
        <f>IF(ISNUMBER(Datos!O9),Datos!O9,"")</f>
        <v/>
      </c>
      <c r="H47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6" spans="1:8" ht="14.25" customHeight="1" x14ac:dyDescent="0.3">
      <c r="A476" s="245">
        <f>Datos!$O$3</f>
        <v>46569</v>
      </c>
      <c r="B476" s="199" t="str">
        <f>Datos!O$4</f>
        <v>Compresora</v>
      </c>
      <c r="C476" s="31" t="s">
        <v>539</v>
      </c>
      <c r="D476" s="199" t="str">
        <f>Datos!$B$10</f>
        <v>Dotación promedio: Personal SMP(IEBC, PAE e YPF) </v>
      </c>
      <c r="E476" s="199" t="str">
        <f>Datos!$C$10</f>
        <v>pers</v>
      </c>
      <c r="F476" s="31" t="s">
        <v>538</v>
      </c>
      <c r="G476" s="246" t="str">
        <f>IF(ISNUMBER(Datos!O10),Datos!O10,"")</f>
        <v/>
      </c>
      <c r="H47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7" spans="1:8" ht="14.25" customHeight="1" x14ac:dyDescent="0.3">
      <c r="A477" s="245">
        <f>Datos!$O$3</f>
        <v>46569</v>
      </c>
      <c r="B477" s="199" t="str">
        <f>Datos!O$4</f>
        <v>Compresora</v>
      </c>
      <c r="C477" s="31" t="s">
        <v>540</v>
      </c>
      <c r="D477" s="199" t="str">
        <f>Datos!$B$11</f>
        <v>Dotación promedio: TOTAL</v>
      </c>
      <c r="E477" s="199" t="str">
        <f>Datos!$C$11</f>
        <v>pers</v>
      </c>
      <c r="F477" s="31" t="s">
        <v>541</v>
      </c>
      <c r="G477" s="246">
        <f>IF(ISNUMBER(Datos!O11),Datos!O11,"")</f>
        <v>0</v>
      </c>
      <c r="H47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8" spans="1:8" ht="14.25" customHeight="1" x14ac:dyDescent="0.3">
      <c r="A478" s="245">
        <f>Datos!$O$3</f>
        <v>46569</v>
      </c>
      <c r="B478" s="199" t="str">
        <f>Datos!O$4</f>
        <v>Compresora</v>
      </c>
      <c r="C478" s="31" t="s">
        <v>542</v>
      </c>
      <c r="D478" s="199" t="str">
        <f>Datos!$B$12</f>
        <v>Horas hombre trabajadas: Personal OPS</v>
      </c>
      <c r="E478" s="199" t="str">
        <f>Datos!$C$12</f>
        <v>h</v>
      </c>
      <c r="F478" s="31" t="s">
        <v>538</v>
      </c>
      <c r="G478" s="246" t="str">
        <f>IF(ISNUMBER(Datos!O12),Datos!O12,"")</f>
        <v/>
      </c>
      <c r="H47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9" spans="1:8" ht="14.25" customHeight="1" x14ac:dyDescent="0.3">
      <c r="A479" s="245">
        <f>Datos!$O$3</f>
        <v>46569</v>
      </c>
      <c r="B479" s="199" t="str">
        <f>Datos!O$4</f>
        <v>Compresora</v>
      </c>
      <c r="C479" s="31" t="s">
        <v>543</v>
      </c>
      <c r="D479" s="199" t="str">
        <f>Datos!$B$13</f>
        <v>Horas hombre trabajadas: Personal SMP(IEBC, PAE e YPF) en campo</v>
      </c>
      <c r="E479" s="199" t="str">
        <f>Datos!$C$13</f>
        <v>h</v>
      </c>
      <c r="F479" s="31" t="s">
        <v>538</v>
      </c>
      <c r="G479" s="246" t="str">
        <f>IF(ISNUMBER(Datos!O13),Datos!O13,"")</f>
        <v/>
      </c>
      <c r="H47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0" spans="1:8" ht="14.25" customHeight="1" x14ac:dyDescent="0.3">
      <c r="A480" s="245">
        <f>Datos!$O$3</f>
        <v>46569</v>
      </c>
      <c r="B480" s="199" t="str">
        <f>Datos!O$4</f>
        <v>Compresora</v>
      </c>
      <c r="C480" s="31" t="s">
        <v>544</v>
      </c>
      <c r="D480" s="199" t="str">
        <f>Datos!$B$14</f>
        <v>Horas hombre trabajadas: TOTAL</v>
      </c>
      <c r="E480" s="199" t="str">
        <f>Datos!$C$14</f>
        <v>h</v>
      </c>
      <c r="F480" s="31" t="s">
        <v>541</v>
      </c>
      <c r="G480" s="246">
        <f>IF(ISNUMBER(Datos!O14),Datos!O14,"")</f>
        <v>0</v>
      </c>
      <c r="H48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1" spans="1:8" ht="14.25" customHeight="1" x14ac:dyDescent="0.3">
      <c r="A481" s="245">
        <f>Datos!$O$3</f>
        <v>46569</v>
      </c>
      <c r="B481" s="199" t="str">
        <f>Datos!O$4</f>
        <v>Compresora</v>
      </c>
      <c r="C481" s="31" t="s">
        <v>545</v>
      </c>
      <c r="D481" s="199" t="str">
        <f>Datos!$B$16</f>
        <v>Horas hombre de formación en seguridad: Personal OPS</v>
      </c>
      <c r="E481" s="199" t="str">
        <f>Datos!$C$16</f>
        <v>h</v>
      </c>
      <c r="F481" s="31" t="s">
        <v>538</v>
      </c>
      <c r="G481" s="246" t="str">
        <f>IF(ISNUMBER(Datos!O16),Datos!O16,"")</f>
        <v/>
      </c>
      <c r="H48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2" spans="1:8" ht="14.25" customHeight="1" x14ac:dyDescent="0.3">
      <c r="A482" s="245">
        <f>Datos!$O$3</f>
        <v>46569</v>
      </c>
      <c r="B482" s="199" t="str">
        <f>Datos!O$4</f>
        <v>Compresora</v>
      </c>
      <c r="C482" s="31" t="s">
        <v>546</v>
      </c>
      <c r="D482" s="199" t="str">
        <f>Datos!$B$17</f>
        <v>Horas hombre de formación en seguridad: Personal SMP(IEBC, PAE e YPF) </v>
      </c>
      <c r="E482" s="199" t="str">
        <f>Datos!$C$17</f>
        <v>h</v>
      </c>
      <c r="F482" s="31" t="s">
        <v>538</v>
      </c>
      <c r="G482" s="246" t="str">
        <f>IF(ISNUMBER(Datos!O17),Datos!O17,"")</f>
        <v/>
      </c>
      <c r="H48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3" spans="1:8" ht="14.25" customHeight="1" x14ac:dyDescent="0.3">
      <c r="A483" s="245">
        <f>Datos!$O$3</f>
        <v>46569</v>
      </c>
      <c r="B483" s="199" t="str">
        <f>Datos!O$4</f>
        <v>Compresora</v>
      </c>
      <c r="C483" s="31" t="s">
        <v>547</v>
      </c>
      <c r="D483" s="199" t="str">
        <f>Datos!$B$18</f>
        <v>Horas hombre de formación en seguridad: TOTAL</v>
      </c>
      <c r="E483" s="199" t="str">
        <f>Datos!$C$18</f>
        <v>h</v>
      </c>
      <c r="F483" s="31" t="s">
        <v>541</v>
      </c>
      <c r="G483" s="246">
        <f>IF(ISNUMBER(Datos!O18),Datos!O18,"")</f>
        <v>0</v>
      </c>
      <c r="H48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4" spans="1:8" ht="14.25" customHeight="1" x14ac:dyDescent="0.3">
      <c r="A484" s="245">
        <f>Datos!$O$3</f>
        <v>46569</v>
      </c>
      <c r="B484" s="199" t="str">
        <f>Datos!O$4</f>
        <v>Compresora</v>
      </c>
      <c r="C484" s="31" t="s">
        <v>548</v>
      </c>
      <c r="D484" s="199" t="str">
        <f>Datos!$B$20</f>
        <v>SIMULACROS · Realizados (emergencia y operativos)</v>
      </c>
      <c r="E484" s="199" t="str">
        <f>Datos!$C$20</f>
        <v>u</v>
      </c>
      <c r="F484" s="31" t="s">
        <v>538</v>
      </c>
      <c r="G484" s="246" t="str">
        <f>IF(ISNUMBER(Datos!O20),Datos!O20,"")</f>
        <v/>
      </c>
      <c r="H48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5" spans="1:8" ht="14.25" customHeight="1" x14ac:dyDescent="0.3">
      <c r="A485" s="245">
        <f>Datos!$O$3</f>
        <v>46569</v>
      </c>
      <c r="B485" s="199" t="str">
        <f>Datos!O$4</f>
        <v>Compresora</v>
      </c>
      <c r="C485" s="31" t="s">
        <v>549</v>
      </c>
      <c r="D485" s="199" t="str">
        <f>Datos!$B$21</f>
        <v>SIMULACROS · Programados (emergencia y operativos)</v>
      </c>
      <c r="E485" s="199" t="str">
        <f>Datos!$C$21</f>
        <v>u</v>
      </c>
      <c r="F485" s="31" t="s">
        <v>538</v>
      </c>
      <c r="G485" s="246" t="str">
        <f>IF(ISNUMBER(Datos!O21),Datos!O21,"")</f>
        <v/>
      </c>
      <c r="H48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6" spans="1:8" ht="14.25" customHeight="1" x14ac:dyDescent="0.3">
      <c r="A486" s="245">
        <f>Datos!$O$3</f>
        <v>46569</v>
      </c>
      <c r="B486" s="199" t="str">
        <f>Datos!O$4</f>
        <v>Compresora</v>
      </c>
      <c r="C486" s="31" t="s">
        <v>550</v>
      </c>
      <c r="D486" s="199" t="str">
        <f>Datos!$B$22</f>
        <v>SIMULACROS · Acciones de mejora surgidas de los simulacros (en el mes informado)</v>
      </c>
      <c r="E486" s="199" t="str">
        <f>Datos!$C$22</f>
        <v>u</v>
      </c>
      <c r="F486" s="31" t="s">
        <v>538</v>
      </c>
      <c r="G486" s="246" t="str">
        <f>IF(ISNUMBER(Datos!O22),Datos!O22,"")</f>
        <v/>
      </c>
      <c r="H48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7" spans="1:8" ht="14.25" customHeight="1" x14ac:dyDescent="0.3">
      <c r="A487" s="245">
        <f>Datos!$O$3</f>
        <v>46569</v>
      </c>
      <c r="B487" s="199" t="str">
        <f>Datos!O$4</f>
        <v>Compresora</v>
      </c>
      <c r="C487" s="31" t="s">
        <v>551</v>
      </c>
      <c r="D487" s="199" t="str">
        <f>Datos!$B$23</f>
        <v>SIMULACROS · Acciones de mejora implementadas surgidas de los simulacros (ICME) (en el mes informado)</v>
      </c>
      <c r="E487" s="199" t="str">
        <f>Datos!$C$23</f>
        <v>u</v>
      </c>
      <c r="F487" s="31" t="s">
        <v>538</v>
      </c>
      <c r="G487" s="246" t="str">
        <f>IF(ISNUMBER(Datos!O23),Datos!O23,"")</f>
        <v/>
      </c>
      <c r="H48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8" spans="1:8" ht="14.25" customHeight="1" x14ac:dyDescent="0.3">
      <c r="A488" s="245">
        <f>Datos!$O$3</f>
        <v>46569</v>
      </c>
      <c r="B488" s="199" t="str">
        <f>Datos!O$4</f>
        <v>Compresora</v>
      </c>
      <c r="C488" s="31" t="s">
        <v>552</v>
      </c>
      <c r="D488" s="199" t="str">
        <f>Datos!$B$24</f>
        <v>Caminatas gerenciales realizadas</v>
      </c>
      <c r="E488" s="199" t="str">
        <f>Datos!$C$24</f>
        <v>u</v>
      </c>
      <c r="F488" s="31" t="s">
        <v>538</v>
      </c>
      <c r="G488" s="246" t="str">
        <f>IF(ISNUMBER(Datos!O24),Datos!O24,"")</f>
        <v/>
      </c>
      <c r="H48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9" spans="1:8" ht="14.25" customHeight="1" x14ac:dyDescent="0.3">
      <c r="A489" s="245">
        <f>Datos!$O$3</f>
        <v>46569</v>
      </c>
      <c r="B489" s="199" t="str">
        <f>Datos!O$4</f>
        <v>Compresora</v>
      </c>
      <c r="C489" s="31" t="s">
        <v>553</v>
      </c>
      <c r="D489" s="199" t="str">
        <f>Datos!$B$25</f>
        <v>Caminatas gerenciales planificadas</v>
      </c>
      <c r="E489" s="199" t="str">
        <f>Datos!$C$25</f>
        <v>u</v>
      </c>
      <c r="F489" s="31" t="s">
        <v>538</v>
      </c>
      <c r="G489" s="246" t="str">
        <f>IF(ISNUMBER(Datos!O25),Datos!O25,"")</f>
        <v/>
      </c>
      <c r="H48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0" spans="1:8" ht="14.25" customHeight="1" x14ac:dyDescent="0.3">
      <c r="A490" s="245">
        <f>Datos!$O$3</f>
        <v>46569</v>
      </c>
      <c r="B490" s="199" t="str">
        <f>Datos!O$4</f>
        <v>Compresora</v>
      </c>
      <c r="C490" s="31" t="s">
        <v>554</v>
      </c>
      <c r="D490" s="199" t="str">
        <f>Datos!$B$26</f>
        <v>Comités y subcomités de seguridad realizados</v>
      </c>
      <c r="E490" s="199" t="str">
        <f>Datos!$C$26</f>
        <v>u</v>
      </c>
      <c r="F490" s="31" t="s">
        <v>538</v>
      </c>
      <c r="G490" s="246" t="str">
        <f>IF(ISNUMBER(Datos!O26),Datos!O26,"")</f>
        <v/>
      </c>
      <c r="H49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1" spans="1:8" ht="14.25" customHeight="1" x14ac:dyDescent="0.3">
      <c r="A491" s="245">
        <f>Datos!$O$3</f>
        <v>46569</v>
      </c>
      <c r="B491" s="199" t="str">
        <f>Datos!O$4</f>
        <v>Compresora</v>
      </c>
      <c r="C491" s="31" t="s">
        <v>555</v>
      </c>
      <c r="D491" s="199" t="str">
        <f>Datos!$B$27</f>
        <v>Comités y subcomités de seguridad planificados</v>
      </c>
      <c r="E491" s="199" t="str">
        <f>Datos!$C$27</f>
        <v>u</v>
      </c>
      <c r="F491" s="31" t="s">
        <v>538</v>
      </c>
      <c r="G491" s="246" t="str">
        <f>IF(ISNUMBER(Datos!O27),Datos!O27,"")</f>
        <v/>
      </c>
      <c r="H49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2" spans="1:8" ht="14.25" customHeight="1" x14ac:dyDescent="0.3">
      <c r="A492" s="245">
        <f>Datos!$O$3</f>
        <v>46569</v>
      </c>
      <c r="B492" s="199" t="str">
        <f>Datos!O$4</f>
        <v>Compresora</v>
      </c>
      <c r="C492" s="31" t="s">
        <v>556</v>
      </c>
      <c r="D492" s="31" t="inlineStr">
        <is>
          <t>Observaciones de comportamiento seguro: total del mes (OPS + SMP)</t>
        </is>
      </c>
      <c r="E492" s="199" t="str">
        <f>Datos!$C$28</f>
        <v>u</v>
      </c>
      <c r="F492" s="31" t="s">
        <v>538</v>
      </c>
      <c r="G492" s="246" t="str">
        <f>IF(COUNT(Datos!O28:O29)=0,"",SUM(Datos!O28:O29))</f>
        <v/>
      </c>
      <c r="H49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3" spans="1:8" ht="14.25" customHeight="1" x14ac:dyDescent="0.3">
      <c r="A493" s="245">
        <f>Datos!$O$3</f>
        <v>46569</v>
      </c>
      <c r="B493" s="199" t="str">
        <f>Datos!O$4</f>
        <v>Compresora</v>
      </c>
      <c r="C493" s="31" t="s">
        <v>557</v>
      </c>
      <c r="D493" s="199" t="str">
        <f>Datos!$B$30</f>
        <v>Investigaciones de accidentes cerradas en el mes</v>
      </c>
      <c r="E493" s="199" t="str">
        <f>Datos!$C$30</f>
        <v>u</v>
      </c>
      <c r="F493" s="31" t="s">
        <v>538</v>
      </c>
      <c r="G493" s="246" t="str">
        <f>IF(ISNUMBER(Datos!O30),Datos!O30,"")</f>
        <v/>
      </c>
      <c r="H49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4" spans="1:8" ht="14.25" customHeight="1" x14ac:dyDescent="0.3">
      <c r="A494" s="245">
        <f>Datos!$O$3</f>
        <v>46569</v>
      </c>
      <c r="B494" s="199" t="str">
        <f>Datos!O$4</f>
        <v>Compresora</v>
      </c>
      <c r="C494" s="31" t="s">
        <v>558</v>
      </c>
      <c r="D494" s="199" t="str">
        <f>Datos!$B$31</f>
        <v>Días que llevaron esas investigaciones (suma)</v>
      </c>
      <c r="E494" s="199" t="str">
        <f>Datos!$C$31</f>
        <v>días</v>
      </c>
      <c r="F494" s="31" t="s">
        <v>538</v>
      </c>
      <c r="G494" s="246" t="str">
        <f>IF(ISNUMBER(Datos!O31),Datos!O31,"")</f>
        <v/>
      </c>
      <c r="H49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5" spans="1:8" ht="14.25" customHeight="1" x14ac:dyDescent="0.3">
      <c r="A495" s="245">
        <f>Datos!$O$3</f>
        <v>46569</v>
      </c>
      <c r="B495" s="199" t="str">
        <f>Datos!O$4</f>
        <v>Compresora</v>
      </c>
      <c r="C495" s="31" t="s">
        <v>559</v>
      </c>
      <c r="D495" s="199" t="str">
        <f>Datos!$B$33</f>
        <v>Casos con días perdidos</v>
      </c>
      <c r="E495" s="199" t="str">
        <f>Datos!$C$33</f>
        <v>u</v>
      </c>
      <c r="F495" s="31" t="s">
        <v>538</v>
      </c>
      <c r="G495" s="246" t="str">
        <f>IF(ISNUMBER(Datos!O33),Datos!O33,"")</f>
        <v/>
      </c>
      <c r="H49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6" spans="1:8" ht="14.25" customHeight="1" x14ac:dyDescent="0.3">
      <c r="A496" s="245">
        <f>Datos!$O$3</f>
        <v>46569</v>
      </c>
      <c r="B496" s="199" t="str">
        <f>Datos!O$4</f>
        <v>Compresora</v>
      </c>
      <c r="C496" s="31" t="s">
        <v>560</v>
      </c>
      <c r="D496" s="199" t="str">
        <f>Datos!$B$34</f>
        <v>Casos con trabajo restringido</v>
      </c>
      <c r="E496" s="199" t="str">
        <f>Datos!$C$34</f>
        <v>u</v>
      </c>
      <c r="F496" s="31" t="s">
        <v>538</v>
      </c>
      <c r="G496" s="246" t="str">
        <f>IF(ISNUMBER(Datos!O34),Datos!O34,"")</f>
        <v/>
      </c>
      <c r="H49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7" spans="1:8" ht="14.25" customHeight="1" x14ac:dyDescent="0.3">
      <c r="A497" s="245">
        <f>Datos!$O$3</f>
        <v>46569</v>
      </c>
      <c r="B497" s="199" t="str">
        <f>Datos!O$4</f>
        <v>Compresora</v>
      </c>
      <c r="C497" s="31" t="s">
        <v>561</v>
      </c>
      <c r="D497" s="199" t="str">
        <f>Datos!$B$35</f>
        <v>Casos con tratamiento médico</v>
      </c>
      <c r="E497" s="199" t="str">
        <f>Datos!$C$35</f>
        <v>u</v>
      </c>
      <c r="F497" s="31" t="s">
        <v>538</v>
      </c>
      <c r="G497" s="246" t="str">
        <f>IF(ISNUMBER(Datos!O35),Datos!O35,"")</f>
        <v/>
      </c>
      <c r="H49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8" spans="1:8" ht="14.25" customHeight="1" x14ac:dyDescent="0.3">
      <c r="A498" s="245">
        <f>Datos!$O$3</f>
        <v>46569</v>
      </c>
      <c r="B498" s="199" t="str">
        <f>Datos!O$4</f>
        <v>Compresora</v>
      </c>
      <c r="C498" s="31" t="s">
        <v>562</v>
      </c>
      <c r="D498" s="199" t="str">
        <f>Datos!$B$36</f>
        <v>Fatalidades</v>
      </c>
      <c r="E498" s="199" t="str">
        <f>Datos!$C$36</f>
        <v>u</v>
      </c>
      <c r="F498" s="31" t="s">
        <v>538</v>
      </c>
      <c r="G498" s="246" t="str">
        <f>IF(ISNUMBER(Datos!O36),Datos!O36,"")</f>
        <v/>
      </c>
      <c r="H49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9" spans="1:8" ht="14.25" customHeight="1" x14ac:dyDescent="0.3">
      <c r="A499" s="245">
        <f>Datos!$O$3</f>
        <v>46569</v>
      </c>
      <c r="B499" s="199" t="str">
        <f>Datos!O$4</f>
        <v>Compresora</v>
      </c>
      <c r="C499" s="31" t="s">
        <v>51</v>
      </c>
      <c r="D499" s="199" t="str">
        <f>Datos!$B$37</f>
        <v>Casos de primeros auxilios</v>
      </c>
      <c r="E499" s="199" t="str">
        <f>Datos!$C$37</f>
        <v>u</v>
      </c>
      <c r="F499" s="31" t="s">
        <v>538</v>
      </c>
      <c r="G499" s="246" t="str">
        <f>IF(ISNUMBER(Datos!O37),Datos!O37,"")</f>
        <v/>
      </c>
      <c r="H49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0" spans="1:8" ht="14.25" customHeight="1" x14ac:dyDescent="0.3">
      <c r="A500" s="245">
        <f>Datos!$O$3</f>
        <v>46569</v>
      </c>
      <c r="B500" s="199" t="str">
        <f>Datos!O$4</f>
        <v>Compresora</v>
      </c>
      <c r="C500" s="31" t="s">
        <v>563</v>
      </c>
      <c r="D500" s="199" t="str">
        <f>Datos!$B$39</f>
        <v>CVM catastróficas</v>
      </c>
      <c r="E500" s="199" t="str">
        <f>Datos!$C$39</f>
        <v>u</v>
      </c>
      <c r="F500" s="31" t="s">
        <v>538</v>
      </c>
      <c r="G500" s="246" t="str">
        <f>IF(ISNUMBER(Datos!O39),Datos!O39,"")</f>
        <v/>
      </c>
      <c r="H50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1" spans="1:8" ht="14.25" customHeight="1" x14ac:dyDescent="0.3">
      <c r="A501" s="245">
        <f>Datos!$O$3</f>
        <v>46569</v>
      </c>
      <c r="B501" s="199" t="str">
        <f>Datos!O$4</f>
        <v>Compresora</v>
      </c>
      <c r="C501" s="31" t="s">
        <v>564</v>
      </c>
      <c r="D501" s="199" t="str">
        <f>Datos!$B$40</f>
        <v>CVM mayores</v>
      </c>
      <c r="E501" s="199" t="str">
        <f>Datos!$C$40</f>
        <v>u</v>
      </c>
      <c r="F501" s="31" t="s">
        <v>538</v>
      </c>
      <c r="G501" s="246" t="str">
        <f>IF(ISNUMBER(Datos!O40),Datos!O40,"")</f>
        <v/>
      </c>
      <c r="H50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2" spans="1:8" ht="14.25" customHeight="1" x14ac:dyDescent="0.3">
      <c r="A502" s="245">
        <f>Datos!$O$3</f>
        <v>46569</v>
      </c>
      <c r="B502" s="199" t="str">
        <f>Datos!O$4</f>
        <v>Compresora</v>
      </c>
      <c r="C502" s="31" t="s">
        <v>565</v>
      </c>
      <c r="D502" s="199" t="str">
        <f>Datos!$B$41</f>
        <v>CVM serias</v>
      </c>
      <c r="E502" s="199" t="str">
        <f>Datos!$C$41</f>
        <v>u</v>
      </c>
      <c r="F502" s="31" t="s">
        <v>538</v>
      </c>
      <c r="G502" s="246" t="str">
        <f>IF(ISNUMBER(Datos!O41),Datos!O41,"")</f>
        <v/>
      </c>
      <c r="H50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3" spans="1:8" ht="14.25" customHeight="1" x14ac:dyDescent="0.3">
      <c r="A503" s="245">
        <f>Datos!$O$3</f>
        <v>46569</v>
      </c>
      <c r="B503" s="199" t="str">
        <f>Datos!O$4</f>
        <v>Compresora</v>
      </c>
      <c r="C503" s="31" t="s">
        <v>566</v>
      </c>
      <c r="D503" s="199" t="str">
        <f>Datos!$B$42</f>
        <v>CVM otras / menores</v>
      </c>
      <c r="E503" s="199" t="str">
        <f>Datos!$C$42</f>
        <v>u</v>
      </c>
      <c r="F503" s="31" t="s">
        <v>538</v>
      </c>
      <c r="G503" s="246" t="str">
        <f>IF(ISNUMBER(Datos!O42),Datos!O42,"")</f>
        <v/>
      </c>
      <c r="H50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4" spans="1:8" ht="14.25" customHeight="1" x14ac:dyDescent="0.3">
      <c r="A504" s="245">
        <f>Datos!$O$3</f>
        <v>46569</v>
      </c>
      <c r="B504" s="199" t="str">
        <f>Datos!O$4</f>
        <v>Compresora</v>
      </c>
      <c r="C504" s="31" t="s">
        <v>567</v>
      </c>
      <c r="D504" s="199" t="str">
        <f>Datos!$B$44</f>
        <v>Km recorridos: vehículos livianos (camionetas)</v>
      </c>
      <c r="E504" s="199" t="str">
        <f>Datos!$C$44</f>
        <v>km</v>
      </c>
      <c r="F504" s="31" t="s">
        <v>538</v>
      </c>
      <c r="G504" s="246" t="str">
        <f>IF(ISNUMBER(Datos!O44),Datos!O44,"")</f>
        <v/>
      </c>
      <c r="H50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5" spans="1:8" ht="14.25" customHeight="1" x14ac:dyDescent="0.3">
      <c r="A505" s="245">
        <f>Datos!$O$3</f>
        <v>46569</v>
      </c>
      <c r="B505" s="199" t="str">
        <f>Datos!O$4</f>
        <v>Compresora</v>
      </c>
      <c r="C505" s="31" t="s">
        <v>568</v>
      </c>
      <c r="D505" s="199" t="str">
        <f>Datos!$B$45</f>
        <v>Km recorridos: vehículos pesados (camiones)</v>
      </c>
      <c r="E505" s="199" t="str">
        <f>Datos!$C$45</f>
        <v>km</v>
      </c>
      <c r="F505" s="31" t="s">
        <v>538</v>
      </c>
      <c r="G505" s="246" t="str">
        <f>IF(ISNUMBER(Datos!O45),Datos!O45,"")</f>
        <v/>
      </c>
      <c r="H50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6" spans="1:8" ht="14.25" customHeight="1" x14ac:dyDescent="0.3">
      <c r="A506" s="245">
        <f>Datos!$O$3</f>
        <v>46569</v>
      </c>
      <c r="B506" s="199" t="str">
        <f>Datos!O$4</f>
        <v>Compresora</v>
      </c>
      <c r="C506" s="31" t="s">
        <v>569</v>
      </c>
      <c r="D506" s="199" t="str">
        <f>Datos!$B$46</f>
        <v>Km recorridos: vehículos de transporte de personal (combis)</v>
      </c>
      <c r="E506" s="199" t="str">
        <f>Datos!$C$46</f>
        <v>km</v>
      </c>
      <c r="F506" s="31" t="s">
        <v>538</v>
      </c>
      <c r="G506" s="246" t="str">
        <f>IF(ISNUMBER(Datos!O46),Datos!O46,"")</f>
        <v/>
      </c>
      <c r="H50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7" spans="1:8" ht="14.25" customHeight="1" x14ac:dyDescent="0.3">
      <c r="A507" s="245">
        <f>Datos!$O$3</f>
        <v>46569</v>
      </c>
      <c r="B507" s="199" t="str">
        <f>Datos!O$4</f>
        <v>Compresora</v>
      </c>
      <c r="C507" s="31" t="s">
        <v>570</v>
      </c>
      <c r="D507" s="199" t="str">
        <f>Datos!$B$47</f>
        <v>Km recorridos: TOTAL</v>
      </c>
      <c r="E507" s="199" t="str">
        <f>Datos!$C$47</f>
        <v>km</v>
      </c>
      <c r="F507" s="31" t="s">
        <v>541</v>
      </c>
      <c r="G507" s="246">
        <f>IF(ISNUMBER(Datos!O47),Datos!O47,"")</f>
        <v>0</v>
      </c>
      <c r="H50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8" spans="1:8" ht="14.25" customHeight="1" x14ac:dyDescent="0.3">
      <c r="A508" s="245">
        <f>Datos!$O$3</f>
        <v>46569</v>
      </c>
      <c r="B508" s="199" t="str">
        <f>Datos!O$4</f>
        <v>Compresora</v>
      </c>
      <c r="C508" s="31" t="s">
        <v>571</v>
      </c>
      <c r="D508" s="199" t="str">
        <f>Datos!$B$67</f>
        <v>Hallazgos (desvíos) cerrados en el mes</v>
      </c>
      <c r="E508" s="199" t="str">
        <f>Datos!$C$67</f>
        <v>u</v>
      </c>
      <c r="F508" s="31" t="s">
        <v>572</v>
      </c>
      <c r="G508" s="246" t="str">
        <f>IF(ISNUMBER(Datos!O67),Datos!O67,"")</f>
        <v/>
      </c>
      <c r="H50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9" spans="1:8" ht="14.25" customHeight="1" x14ac:dyDescent="0.3">
      <c r="A509" s="245">
        <f>Datos!$O$3</f>
        <v>46569</v>
      </c>
      <c r="B509" s="199" t="str">
        <f>Datos!O$4</f>
        <v>Compresora</v>
      </c>
      <c r="C509" s="31" t="s">
        <v>573</v>
      </c>
      <c r="D509" s="199" t="str">
        <f>Datos!$B$68</f>
        <v>Días que llevaron esos hallazgos (suma)</v>
      </c>
      <c r="E509" s="199" t="str">
        <f>Datos!$C$68</f>
        <v>días</v>
      </c>
      <c r="F509" s="31" t="s">
        <v>572</v>
      </c>
      <c r="G509" s="246" t="str">
        <f>IF(ISNUMBER(Datos!O68),Datos!O68,"")</f>
        <v/>
      </c>
      <c r="H50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0" spans="1:8" ht="14.25" customHeight="1" x14ac:dyDescent="0.3">
      <c r="A510" s="245">
        <f>Datos!$O$3</f>
        <v>46569</v>
      </c>
      <c r="B510" s="199" t="str">
        <f>Datos!O$4</f>
        <v>Compresora</v>
      </c>
      <c r="C510" s="31" t="s">
        <v>574</v>
      </c>
      <c r="D510" s="199" t="str">
        <f>Datos!$B$69</f>
        <v>Hallazgos (desvíos) abiertos a fin de mes</v>
      </c>
      <c r="E510" s="199" t="str">
        <f>Datos!$C$69</f>
        <v>u</v>
      </c>
      <c r="F510" s="31" t="s">
        <v>572</v>
      </c>
      <c r="G510" s="246" t="str">
        <f>IF(ISNUMBER(Datos!O69),Datos!O69,"")</f>
        <v/>
      </c>
      <c r="H51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1" spans="1:8" ht="14.25" customHeight="1" x14ac:dyDescent="0.3">
      <c r="A511" s="245">
        <f>Datos!$O$3</f>
        <v>46569</v>
      </c>
      <c r="B511" s="199" t="str">
        <f>Datos!O$4</f>
        <v>Compresora</v>
      </c>
      <c r="C511" s="31" t="s">
        <v>575</v>
      </c>
      <c r="D511" s="199" t="str">
        <f>Datos!$B$70</f>
        <v>Hallazgos (desvíos) detectados en el mes</v>
      </c>
      <c r="E511" s="199" t="str">
        <f>Datos!$C$70</f>
        <v>u</v>
      </c>
      <c r="F511" s="31" t="s">
        <v>572</v>
      </c>
      <c r="G511" s="246" t="str">
        <f>IF(ISNUMBER(Datos!O70),Datos!O70,"")</f>
        <v/>
      </c>
      <c r="H51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2" spans="1:8" ht="14.25" customHeight="1" x14ac:dyDescent="0.3">
      <c r="A512" s="245">
        <f>Datos!$O$3</f>
        <v>46569</v>
      </c>
      <c r="B512" s="199" t="str">
        <f>Datos!O$4</f>
        <v>Compresora</v>
      </c>
      <c r="C512" s="31" t="s">
        <v>576</v>
      </c>
      <c r="D512" s="199" t="str">
        <f>Datos!$B$71</f>
        <v>Desvíos detectados en el mes · gravedad Alta</v>
      </c>
      <c r="E512" s="199" t="str">
        <f>Datos!$C$71</f>
        <v>u</v>
      </c>
      <c r="F512" s="31" t="s">
        <v>572</v>
      </c>
      <c r="G512" s="246" t="str">
        <f>IF(ISNUMBER(Datos!O71),Datos!O71,"")</f>
        <v/>
      </c>
      <c r="H51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3" spans="1:8" ht="14.25" customHeight="1" x14ac:dyDescent="0.3">
      <c r="A513" s="245">
        <f>Datos!$O$3</f>
        <v>46569</v>
      </c>
      <c r="B513" s="199" t="str">
        <f>Datos!O$4</f>
        <v>Compresora</v>
      </c>
      <c r="C513" s="31" t="s">
        <v>577</v>
      </c>
      <c r="D513" s="199" t="str">
        <f>Datos!$B$72</f>
        <v>Desvíos detectados en el mes · gravedad Media</v>
      </c>
      <c r="E513" s="199" t="str">
        <f>Datos!$C$72</f>
        <v>u</v>
      </c>
      <c r="F513" s="31" t="s">
        <v>572</v>
      </c>
      <c r="G513" s="246" t="str">
        <f>IF(ISNUMBER(Datos!O72),Datos!O72,"")</f>
        <v/>
      </c>
      <c r="H51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4" spans="1:8" ht="14.25" customHeight="1" x14ac:dyDescent="0.3">
      <c r="A514" s="245">
        <f>Datos!$O$3</f>
        <v>46569</v>
      </c>
      <c r="B514" s="199" t="str">
        <f>Datos!O$4</f>
        <v>Compresora</v>
      </c>
      <c r="C514" s="31" t="s">
        <v>578</v>
      </c>
      <c r="D514" s="199" t="str">
        <f>Datos!$B$73</f>
        <v>Desvíos detectados en el mes · gravedad Baja</v>
      </c>
      <c r="E514" s="199" t="str">
        <f>Datos!$C$73</f>
        <v>u</v>
      </c>
      <c r="F514" s="31" t="s">
        <v>572</v>
      </c>
      <c r="G514" s="246" t="str">
        <f>IF(ISNUMBER(Datos!O73),Datos!O73,"")</f>
        <v/>
      </c>
      <c r="H51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5" spans="1:8" ht="14.25" customHeight="1" x14ac:dyDescent="0.3">
      <c r="A515" s="245">
        <f>Datos!$O$3</f>
        <v>46569</v>
      </c>
      <c r="B515" s="199" t="str">
        <f>Datos!O$4</f>
        <v>Compresora</v>
      </c>
      <c r="C515" s="31" t="s">
        <v>579</v>
      </c>
      <c r="D515" s="199" t="str">
        <f>Datos!$B$74</f>
        <v>Desvíos detectados en el mes · sin gravedad cargada</v>
      </c>
      <c r="E515" s="199" t="str">
        <f>Datos!$C$74</f>
        <v>u</v>
      </c>
      <c r="F515" s="31" t="s">
        <v>572</v>
      </c>
      <c r="G515" s="246">
        <f>IF(ISNUMBER(Datos!O74),Datos!O74,"")</f>
        <v>0</v>
      </c>
      <c r="H51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6" spans="1:8" ht="14.25" customHeight="1" x14ac:dyDescent="0.3">
      <c r="A516" s="245">
        <f>Datos!$O$3</f>
        <v>46569</v>
      </c>
      <c r="B516" s="199" t="str">
        <f>Datos!O$4</f>
        <v>Compresora</v>
      </c>
      <c r="C516" s="31" t="s">
        <v>580</v>
      </c>
      <c r="D516" s="199" t="str">
        <f>Datos!$B$75</f>
        <v>Detenciones de tareas aplicadas en el mes (Política = Sí)</v>
      </c>
      <c r="E516" s="199" t="str">
        <f>Datos!$C$75</f>
        <v>u</v>
      </c>
      <c r="F516" s="31" t="s">
        <v>572</v>
      </c>
      <c r="G516" s="246" t="str">
        <f>IF(ISNUMBER(Datos!O75),Datos!O75,"")</f>
        <v/>
      </c>
      <c r="H51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7" spans="1:8" ht="14.25" customHeight="1" x14ac:dyDescent="0.3">
      <c r="A517" s="245">
        <f>Datos!$O$3</f>
        <v>46569</v>
      </c>
      <c r="B517" s="199" t="str">
        <f>Datos!O$4</f>
        <v>Compresora</v>
      </c>
      <c r="C517" s="31" t="s">
        <v>581</v>
      </c>
      <c r="D517" s="199" t="str">
        <f>Datos!$B$76</f>
        <v>Desvíos de gravedad Alta abiertos a fin de mes</v>
      </c>
      <c r="E517" s="199" t="str">
        <f>Datos!$C$76</f>
        <v>u</v>
      </c>
      <c r="F517" s="31" t="s">
        <v>572</v>
      </c>
      <c r="G517" s="246" t="str">
        <f>IF(ISNUMBER(Datos!O76),Datos!O76,"")</f>
        <v/>
      </c>
      <c r="H51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8" spans="1:8" ht="14.25" customHeight="1" x14ac:dyDescent="0.3">
      <c r="A518" s="245">
        <f>Datos!$P$3</f>
        <v>46600</v>
      </c>
      <c r="B518" s="199" t="str">
        <f>Datos!P$4</f>
        <v>Compresora</v>
      </c>
      <c r="C518" s="31" t="s">
        <v>537</v>
      </c>
      <c r="D518" s="199" t="str">
        <f>Datos!$B$9</f>
        <v>Dotación promedio: Personal OPS</v>
      </c>
      <c r="E518" s="199" t="str">
        <f>Datos!$C$9</f>
        <v>pers</v>
      </c>
      <c r="F518" s="31" t="s">
        <v>538</v>
      </c>
      <c r="G518" s="246" t="str">
        <f>IF(ISNUMBER(Datos!P9),Datos!P9,"")</f>
        <v/>
      </c>
      <c r="H51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19" spans="1:8" ht="14.25" customHeight="1" x14ac:dyDescent="0.3">
      <c r="A519" s="245">
        <f>Datos!$P$3</f>
        <v>46600</v>
      </c>
      <c r="B519" s="199" t="str">
        <f>Datos!P$4</f>
        <v>Compresora</v>
      </c>
      <c r="C519" s="31" t="s">
        <v>539</v>
      </c>
      <c r="D519" s="199" t="str">
        <f>Datos!$B$10</f>
        <v>Dotación promedio: Personal SMP(IEBC, PAE e YPF) </v>
      </c>
      <c r="E519" s="199" t="str">
        <f>Datos!$C$10</f>
        <v>pers</v>
      </c>
      <c r="F519" s="31" t="s">
        <v>538</v>
      </c>
      <c r="G519" s="246" t="str">
        <f>IF(ISNUMBER(Datos!P10),Datos!P10,"")</f>
        <v/>
      </c>
      <c r="H51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0" spans="1:8" ht="14.25" customHeight="1" x14ac:dyDescent="0.3">
      <c r="A520" s="245">
        <f>Datos!$P$3</f>
        <v>46600</v>
      </c>
      <c r="B520" s="199" t="str">
        <f>Datos!P$4</f>
        <v>Compresora</v>
      </c>
      <c r="C520" s="31" t="s">
        <v>540</v>
      </c>
      <c r="D520" s="199" t="str">
        <f>Datos!$B$11</f>
        <v>Dotación promedio: TOTAL</v>
      </c>
      <c r="E520" s="199" t="str">
        <f>Datos!$C$11</f>
        <v>pers</v>
      </c>
      <c r="F520" s="31" t="s">
        <v>541</v>
      </c>
      <c r="G520" s="246">
        <f>IF(ISNUMBER(Datos!P11),Datos!P11,"")</f>
        <v>0</v>
      </c>
      <c r="H52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1" spans="1:8" ht="14.25" customHeight="1" x14ac:dyDescent="0.3">
      <c r="A521" s="245">
        <f>Datos!$P$3</f>
        <v>46600</v>
      </c>
      <c r="B521" s="199" t="str">
        <f>Datos!P$4</f>
        <v>Compresora</v>
      </c>
      <c r="C521" s="31" t="s">
        <v>542</v>
      </c>
      <c r="D521" s="199" t="str">
        <f>Datos!$B$12</f>
        <v>Horas hombre trabajadas: Personal OPS</v>
      </c>
      <c r="E521" s="199" t="str">
        <f>Datos!$C$12</f>
        <v>h</v>
      </c>
      <c r="F521" s="31" t="s">
        <v>538</v>
      </c>
      <c r="G521" s="246" t="str">
        <f>IF(ISNUMBER(Datos!P12),Datos!P12,"")</f>
        <v/>
      </c>
      <c r="H52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2" spans="1:8" ht="14.25" customHeight="1" x14ac:dyDescent="0.3">
      <c r="A522" s="245">
        <f>Datos!$P$3</f>
        <v>46600</v>
      </c>
      <c r="B522" s="199" t="str">
        <f>Datos!P$4</f>
        <v>Compresora</v>
      </c>
      <c r="C522" s="31" t="s">
        <v>543</v>
      </c>
      <c r="D522" s="199" t="str">
        <f>Datos!$B$13</f>
        <v>Horas hombre trabajadas: Personal SMP(IEBC, PAE e YPF) en campo</v>
      </c>
      <c r="E522" s="199" t="str">
        <f>Datos!$C$13</f>
        <v>h</v>
      </c>
      <c r="F522" s="31" t="s">
        <v>538</v>
      </c>
      <c r="G522" s="246" t="str">
        <f>IF(ISNUMBER(Datos!P13),Datos!P13,"")</f>
        <v/>
      </c>
      <c r="H52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3" spans="1:8" ht="14.25" customHeight="1" x14ac:dyDescent="0.3">
      <c r="A523" s="245">
        <f>Datos!$P$3</f>
        <v>46600</v>
      </c>
      <c r="B523" s="199" t="str">
        <f>Datos!P$4</f>
        <v>Compresora</v>
      </c>
      <c r="C523" s="31" t="s">
        <v>544</v>
      </c>
      <c r="D523" s="199" t="str">
        <f>Datos!$B$14</f>
        <v>Horas hombre trabajadas: TOTAL</v>
      </c>
      <c r="E523" s="199" t="str">
        <f>Datos!$C$14</f>
        <v>h</v>
      </c>
      <c r="F523" s="31" t="s">
        <v>541</v>
      </c>
      <c r="G523" s="246">
        <f>IF(ISNUMBER(Datos!P14),Datos!P14,"")</f>
        <v>0</v>
      </c>
      <c r="H52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4" spans="1:8" ht="14.25" customHeight="1" x14ac:dyDescent="0.3">
      <c r="A524" s="245">
        <f>Datos!$P$3</f>
        <v>46600</v>
      </c>
      <c r="B524" s="199" t="str">
        <f>Datos!P$4</f>
        <v>Compresora</v>
      </c>
      <c r="C524" s="31" t="s">
        <v>545</v>
      </c>
      <c r="D524" s="199" t="str">
        <f>Datos!$B$16</f>
        <v>Horas hombre de formación en seguridad: Personal OPS</v>
      </c>
      <c r="E524" s="199" t="str">
        <f>Datos!$C$16</f>
        <v>h</v>
      </c>
      <c r="F524" s="31" t="s">
        <v>538</v>
      </c>
      <c r="G524" s="246" t="str">
        <f>IF(ISNUMBER(Datos!P16),Datos!P16,"")</f>
        <v/>
      </c>
      <c r="H52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5" spans="1:8" ht="14.25" customHeight="1" x14ac:dyDescent="0.3">
      <c r="A525" s="245">
        <f>Datos!$P$3</f>
        <v>46600</v>
      </c>
      <c r="B525" s="199" t="str">
        <f>Datos!P$4</f>
        <v>Compresora</v>
      </c>
      <c r="C525" s="31" t="s">
        <v>546</v>
      </c>
      <c r="D525" s="199" t="str">
        <f>Datos!$B$17</f>
        <v>Horas hombre de formación en seguridad: Personal SMP(IEBC, PAE e YPF) </v>
      </c>
      <c r="E525" s="199" t="str">
        <f>Datos!$C$17</f>
        <v>h</v>
      </c>
      <c r="F525" s="31" t="s">
        <v>538</v>
      </c>
      <c r="G525" s="246" t="str">
        <f>IF(ISNUMBER(Datos!P17),Datos!P17,"")</f>
        <v/>
      </c>
      <c r="H52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6" spans="1:8" ht="14.25" customHeight="1" x14ac:dyDescent="0.3">
      <c r="A526" s="245">
        <f>Datos!$P$3</f>
        <v>46600</v>
      </c>
      <c r="B526" s="199" t="str">
        <f>Datos!P$4</f>
        <v>Compresora</v>
      </c>
      <c r="C526" s="31" t="s">
        <v>547</v>
      </c>
      <c r="D526" s="199" t="str">
        <f>Datos!$B$18</f>
        <v>Horas hombre de formación en seguridad: TOTAL</v>
      </c>
      <c r="E526" s="199" t="str">
        <f>Datos!$C$18</f>
        <v>h</v>
      </c>
      <c r="F526" s="31" t="s">
        <v>541</v>
      </c>
      <c r="G526" s="246">
        <f>IF(ISNUMBER(Datos!P18),Datos!P18,"")</f>
        <v>0</v>
      </c>
      <c r="H52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7" spans="1:8" ht="14.25" customHeight="1" x14ac:dyDescent="0.3">
      <c r="A527" s="245">
        <f>Datos!$P$3</f>
        <v>46600</v>
      </c>
      <c r="B527" s="199" t="str">
        <f>Datos!P$4</f>
        <v>Compresora</v>
      </c>
      <c r="C527" s="31" t="s">
        <v>548</v>
      </c>
      <c r="D527" s="199" t="str">
        <f>Datos!$B$20</f>
        <v>SIMULACROS · Realizados (emergencia y operativos)</v>
      </c>
      <c r="E527" s="199" t="str">
        <f>Datos!$C$20</f>
        <v>u</v>
      </c>
      <c r="F527" s="31" t="s">
        <v>538</v>
      </c>
      <c r="G527" s="246" t="str">
        <f>IF(ISNUMBER(Datos!P20),Datos!P20,"")</f>
        <v/>
      </c>
      <c r="H52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8" spans="1:8" ht="14.25" customHeight="1" x14ac:dyDescent="0.3">
      <c r="A528" s="245">
        <f>Datos!$P$3</f>
        <v>46600</v>
      </c>
      <c r="B528" s="199" t="str">
        <f>Datos!P$4</f>
        <v>Compresora</v>
      </c>
      <c r="C528" s="31" t="s">
        <v>549</v>
      </c>
      <c r="D528" s="199" t="str">
        <f>Datos!$B$21</f>
        <v>SIMULACROS · Programados (emergencia y operativos)</v>
      </c>
      <c r="E528" s="199" t="str">
        <f>Datos!$C$21</f>
        <v>u</v>
      </c>
      <c r="F528" s="31" t="s">
        <v>538</v>
      </c>
      <c r="G528" s="246" t="str">
        <f>IF(ISNUMBER(Datos!P21),Datos!P21,"")</f>
        <v/>
      </c>
      <c r="H52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9" spans="1:8" ht="14.25" customHeight="1" x14ac:dyDescent="0.3">
      <c r="A529" s="245">
        <f>Datos!$P$3</f>
        <v>46600</v>
      </c>
      <c r="B529" s="199" t="str">
        <f>Datos!P$4</f>
        <v>Compresora</v>
      </c>
      <c r="C529" s="31" t="s">
        <v>550</v>
      </c>
      <c r="D529" s="199" t="str">
        <f>Datos!$B$22</f>
        <v>SIMULACROS · Acciones de mejora surgidas de los simulacros (en el mes informado)</v>
      </c>
      <c r="E529" s="199" t="str">
        <f>Datos!$C$22</f>
        <v>u</v>
      </c>
      <c r="F529" s="31" t="s">
        <v>538</v>
      </c>
      <c r="G529" s="246" t="str">
        <f>IF(ISNUMBER(Datos!P22),Datos!P22,"")</f>
        <v/>
      </c>
      <c r="H52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0" spans="1:8" ht="14.25" customHeight="1" x14ac:dyDescent="0.3">
      <c r="A530" s="245">
        <f>Datos!$P$3</f>
        <v>46600</v>
      </c>
      <c r="B530" s="199" t="str">
        <f>Datos!P$4</f>
        <v>Compresora</v>
      </c>
      <c r="C530" s="31" t="s">
        <v>551</v>
      </c>
      <c r="D530" s="199" t="str">
        <f>Datos!$B$23</f>
        <v>SIMULACROS · Acciones de mejora implementadas surgidas de los simulacros (ICME) (en el mes informado)</v>
      </c>
      <c r="E530" s="199" t="str">
        <f>Datos!$C$23</f>
        <v>u</v>
      </c>
      <c r="F530" s="31" t="s">
        <v>538</v>
      </c>
      <c r="G530" s="246" t="str">
        <f>IF(ISNUMBER(Datos!P23),Datos!P23,"")</f>
        <v/>
      </c>
      <c r="H53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1" spans="1:8" ht="14.25" customHeight="1" x14ac:dyDescent="0.3">
      <c r="A531" s="245">
        <f>Datos!$P$3</f>
        <v>46600</v>
      </c>
      <c r="B531" s="199" t="str">
        <f>Datos!P$4</f>
        <v>Compresora</v>
      </c>
      <c r="C531" s="31" t="s">
        <v>552</v>
      </c>
      <c r="D531" s="199" t="str">
        <f>Datos!$B$24</f>
        <v>Caminatas gerenciales realizadas</v>
      </c>
      <c r="E531" s="199" t="str">
        <f>Datos!$C$24</f>
        <v>u</v>
      </c>
      <c r="F531" s="31" t="s">
        <v>538</v>
      </c>
      <c r="G531" s="246" t="str">
        <f>IF(ISNUMBER(Datos!P24),Datos!P24,"")</f>
        <v/>
      </c>
      <c r="H53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2" spans="1:8" ht="14.25" customHeight="1" x14ac:dyDescent="0.3">
      <c r="A532" s="245">
        <f>Datos!$P$3</f>
        <v>46600</v>
      </c>
      <c r="B532" s="199" t="str">
        <f>Datos!P$4</f>
        <v>Compresora</v>
      </c>
      <c r="C532" s="31" t="s">
        <v>553</v>
      </c>
      <c r="D532" s="199" t="str">
        <f>Datos!$B$25</f>
        <v>Caminatas gerenciales planificadas</v>
      </c>
      <c r="E532" s="199" t="str">
        <f>Datos!$C$25</f>
        <v>u</v>
      </c>
      <c r="F532" s="31" t="s">
        <v>538</v>
      </c>
      <c r="G532" s="246" t="str">
        <f>IF(ISNUMBER(Datos!P25),Datos!P25,"")</f>
        <v/>
      </c>
      <c r="H53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3" spans="1:8" ht="14.25" customHeight="1" x14ac:dyDescent="0.3">
      <c r="A533" s="245">
        <f>Datos!$P$3</f>
        <v>46600</v>
      </c>
      <c r="B533" s="199" t="str">
        <f>Datos!P$4</f>
        <v>Compresora</v>
      </c>
      <c r="C533" s="31" t="s">
        <v>554</v>
      </c>
      <c r="D533" s="199" t="str">
        <f>Datos!$B$26</f>
        <v>Comités y subcomités de seguridad realizados</v>
      </c>
      <c r="E533" s="199" t="str">
        <f>Datos!$C$26</f>
        <v>u</v>
      </c>
      <c r="F533" s="31" t="s">
        <v>538</v>
      </c>
      <c r="G533" s="246" t="str">
        <f>IF(ISNUMBER(Datos!P26),Datos!P26,"")</f>
        <v/>
      </c>
      <c r="H53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4" spans="1:8" ht="14.25" customHeight="1" x14ac:dyDescent="0.3">
      <c r="A534" s="245">
        <f>Datos!$P$3</f>
        <v>46600</v>
      </c>
      <c r="B534" s="199" t="str">
        <f>Datos!P$4</f>
        <v>Compresora</v>
      </c>
      <c r="C534" s="31" t="s">
        <v>555</v>
      </c>
      <c r="D534" s="199" t="str">
        <f>Datos!$B$27</f>
        <v>Comités y subcomités de seguridad planificados</v>
      </c>
      <c r="E534" s="199" t="str">
        <f>Datos!$C$27</f>
        <v>u</v>
      </c>
      <c r="F534" s="31" t="s">
        <v>538</v>
      </c>
      <c r="G534" s="246" t="str">
        <f>IF(ISNUMBER(Datos!P27),Datos!P27,"")</f>
        <v/>
      </c>
      <c r="H53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5" spans="1:8" ht="14.25" customHeight="1" x14ac:dyDescent="0.3">
      <c r="A535" s="245">
        <f>Datos!$P$3</f>
        <v>46600</v>
      </c>
      <c r="B535" s="199" t="str">
        <f>Datos!P$4</f>
        <v>Compresora</v>
      </c>
      <c r="C535" s="31" t="s">
        <v>556</v>
      </c>
      <c r="D535" s="31" t="inlineStr">
        <is>
          <t>Observaciones de comportamiento seguro: total del mes (OPS + SMP)</t>
        </is>
      </c>
      <c r="E535" s="199" t="str">
        <f>Datos!$C$28</f>
        <v>u</v>
      </c>
      <c r="F535" s="31" t="s">
        <v>538</v>
      </c>
      <c r="G535" s="246" t="str">
        <f>IF(COUNT(Datos!P28:P29)=0,"",SUM(Datos!P28:P29))</f>
        <v/>
      </c>
      <c r="H53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6" spans="1:8" ht="14.25" customHeight="1" x14ac:dyDescent="0.3">
      <c r="A536" s="245">
        <f>Datos!$P$3</f>
        <v>46600</v>
      </c>
      <c r="B536" s="199" t="str">
        <f>Datos!P$4</f>
        <v>Compresora</v>
      </c>
      <c r="C536" s="31" t="s">
        <v>557</v>
      </c>
      <c r="D536" s="199" t="str">
        <f>Datos!$B$30</f>
        <v>Investigaciones de accidentes cerradas en el mes</v>
      </c>
      <c r="E536" s="199" t="str">
        <f>Datos!$C$30</f>
        <v>u</v>
      </c>
      <c r="F536" s="31" t="s">
        <v>538</v>
      </c>
      <c r="G536" s="246" t="str">
        <f>IF(ISNUMBER(Datos!P30),Datos!P30,"")</f>
        <v/>
      </c>
      <c r="H53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7" spans="1:8" ht="14.25" customHeight="1" x14ac:dyDescent="0.3">
      <c r="A537" s="245">
        <f>Datos!$P$3</f>
        <v>46600</v>
      </c>
      <c r="B537" s="199" t="str">
        <f>Datos!P$4</f>
        <v>Compresora</v>
      </c>
      <c r="C537" s="31" t="s">
        <v>558</v>
      </c>
      <c r="D537" s="199" t="str">
        <f>Datos!$B$31</f>
        <v>Días que llevaron esas investigaciones (suma)</v>
      </c>
      <c r="E537" s="199" t="str">
        <f>Datos!$C$31</f>
        <v>días</v>
      </c>
      <c r="F537" s="31" t="s">
        <v>538</v>
      </c>
      <c r="G537" s="246" t="str">
        <f>IF(ISNUMBER(Datos!P31),Datos!P31,"")</f>
        <v/>
      </c>
      <c r="H53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8" spans="1:8" ht="14.25" customHeight="1" x14ac:dyDescent="0.3">
      <c r="A538" s="245">
        <f>Datos!$P$3</f>
        <v>46600</v>
      </c>
      <c r="B538" s="199" t="str">
        <f>Datos!P$4</f>
        <v>Compresora</v>
      </c>
      <c r="C538" s="31" t="s">
        <v>559</v>
      </c>
      <c r="D538" s="199" t="str">
        <f>Datos!$B$33</f>
        <v>Casos con días perdidos</v>
      </c>
      <c r="E538" s="199" t="str">
        <f>Datos!$C$33</f>
        <v>u</v>
      </c>
      <c r="F538" s="31" t="s">
        <v>538</v>
      </c>
      <c r="G538" s="246" t="str">
        <f>IF(ISNUMBER(Datos!P33),Datos!P33,"")</f>
        <v/>
      </c>
      <c r="H53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9" spans="1:8" ht="14.25" customHeight="1" x14ac:dyDescent="0.3">
      <c r="A539" s="245">
        <f>Datos!$P$3</f>
        <v>46600</v>
      </c>
      <c r="B539" s="199" t="str">
        <f>Datos!P$4</f>
        <v>Compresora</v>
      </c>
      <c r="C539" s="31" t="s">
        <v>560</v>
      </c>
      <c r="D539" s="199" t="str">
        <f>Datos!$B$34</f>
        <v>Casos con trabajo restringido</v>
      </c>
      <c r="E539" s="199" t="str">
        <f>Datos!$C$34</f>
        <v>u</v>
      </c>
      <c r="F539" s="31" t="s">
        <v>538</v>
      </c>
      <c r="G539" s="246" t="str">
        <f>IF(ISNUMBER(Datos!P34),Datos!P34,"")</f>
        <v/>
      </c>
      <c r="H53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0" spans="1:8" ht="14.25" customHeight="1" x14ac:dyDescent="0.3">
      <c r="A540" s="245">
        <f>Datos!$P$3</f>
        <v>46600</v>
      </c>
      <c r="B540" s="199" t="str">
        <f>Datos!P$4</f>
        <v>Compresora</v>
      </c>
      <c r="C540" s="31" t="s">
        <v>561</v>
      </c>
      <c r="D540" s="199" t="str">
        <f>Datos!$B$35</f>
        <v>Casos con tratamiento médico</v>
      </c>
      <c r="E540" s="199" t="str">
        <f>Datos!$C$35</f>
        <v>u</v>
      </c>
      <c r="F540" s="31" t="s">
        <v>538</v>
      </c>
      <c r="G540" s="246" t="str">
        <f>IF(ISNUMBER(Datos!P35),Datos!P35,"")</f>
        <v/>
      </c>
      <c r="H54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1" spans="1:8" ht="14.25" customHeight="1" x14ac:dyDescent="0.3">
      <c r="A541" s="245">
        <f>Datos!$P$3</f>
        <v>46600</v>
      </c>
      <c r="B541" s="199" t="str">
        <f>Datos!P$4</f>
        <v>Compresora</v>
      </c>
      <c r="C541" s="31" t="s">
        <v>562</v>
      </c>
      <c r="D541" s="199" t="str">
        <f>Datos!$B$36</f>
        <v>Fatalidades</v>
      </c>
      <c r="E541" s="199" t="str">
        <f>Datos!$C$36</f>
        <v>u</v>
      </c>
      <c r="F541" s="31" t="s">
        <v>538</v>
      </c>
      <c r="G541" s="246" t="str">
        <f>IF(ISNUMBER(Datos!P36),Datos!P36,"")</f>
        <v/>
      </c>
      <c r="H54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2" spans="1:8" ht="14.25" customHeight="1" x14ac:dyDescent="0.3">
      <c r="A542" s="245">
        <f>Datos!$P$3</f>
        <v>46600</v>
      </c>
      <c r="B542" s="199" t="str">
        <f>Datos!P$4</f>
        <v>Compresora</v>
      </c>
      <c r="C542" s="31" t="s">
        <v>51</v>
      </c>
      <c r="D542" s="199" t="str">
        <f>Datos!$B$37</f>
        <v>Casos de primeros auxilios</v>
      </c>
      <c r="E542" s="199" t="str">
        <f>Datos!$C$37</f>
        <v>u</v>
      </c>
      <c r="F542" s="31" t="s">
        <v>538</v>
      </c>
      <c r="G542" s="246" t="str">
        <f>IF(ISNUMBER(Datos!P37),Datos!P37,"")</f>
        <v/>
      </c>
      <c r="H54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3" spans="1:8" ht="14.25" customHeight="1" x14ac:dyDescent="0.3">
      <c r="A543" s="245">
        <f>Datos!$P$3</f>
        <v>46600</v>
      </c>
      <c r="B543" s="199" t="str">
        <f>Datos!P$4</f>
        <v>Compresora</v>
      </c>
      <c r="C543" s="31" t="s">
        <v>563</v>
      </c>
      <c r="D543" s="199" t="str">
        <f>Datos!$B$39</f>
        <v>CVM catastróficas</v>
      </c>
      <c r="E543" s="199" t="str">
        <f>Datos!$C$39</f>
        <v>u</v>
      </c>
      <c r="F543" s="31" t="s">
        <v>538</v>
      </c>
      <c r="G543" s="246" t="str">
        <f>IF(ISNUMBER(Datos!P39),Datos!P39,"")</f>
        <v/>
      </c>
      <c r="H54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4" spans="1:8" ht="14.25" customHeight="1" x14ac:dyDescent="0.3">
      <c r="A544" s="245">
        <f>Datos!$P$3</f>
        <v>46600</v>
      </c>
      <c r="B544" s="199" t="str">
        <f>Datos!P$4</f>
        <v>Compresora</v>
      </c>
      <c r="C544" s="31" t="s">
        <v>564</v>
      </c>
      <c r="D544" s="199" t="str">
        <f>Datos!$B$40</f>
        <v>CVM mayores</v>
      </c>
      <c r="E544" s="199" t="str">
        <f>Datos!$C$40</f>
        <v>u</v>
      </c>
      <c r="F544" s="31" t="s">
        <v>538</v>
      </c>
      <c r="G544" s="246" t="str">
        <f>IF(ISNUMBER(Datos!P40),Datos!P40,"")</f>
        <v/>
      </c>
      <c r="H54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5" spans="1:8" ht="14.25" customHeight="1" x14ac:dyDescent="0.3">
      <c r="A545" s="245">
        <f>Datos!$P$3</f>
        <v>46600</v>
      </c>
      <c r="B545" s="199" t="str">
        <f>Datos!P$4</f>
        <v>Compresora</v>
      </c>
      <c r="C545" s="31" t="s">
        <v>565</v>
      </c>
      <c r="D545" s="199" t="str">
        <f>Datos!$B$41</f>
        <v>CVM serias</v>
      </c>
      <c r="E545" s="199" t="str">
        <f>Datos!$C$41</f>
        <v>u</v>
      </c>
      <c r="F545" s="31" t="s">
        <v>538</v>
      </c>
      <c r="G545" s="246" t="str">
        <f>IF(ISNUMBER(Datos!P41),Datos!P41,"")</f>
        <v/>
      </c>
      <c r="H54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6" spans="1:8" ht="14.25" customHeight="1" x14ac:dyDescent="0.3">
      <c r="A546" s="245">
        <f>Datos!$P$3</f>
        <v>46600</v>
      </c>
      <c r="B546" s="199" t="str">
        <f>Datos!P$4</f>
        <v>Compresora</v>
      </c>
      <c r="C546" s="31" t="s">
        <v>566</v>
      </c>
      <c r="D546" s="199" t="str">
        <f>Datos!$B$42</f>
        <v>CVM otras / menores</v>
      </c>
      <c r="E546" s="199" t="str">
        <f>Datos!$C$42</f>
        <v>u</v>
      </c>
      <c r="F546" s="31" t="s">
        <v>538</v>
      </c>
      <c r="G546" s="246" t="str">
        <f>IF(ISNUMBER(Datos!P42),Datos!P42,"")</f>
        <v/>
      </c>
      <c r="H54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7" spans="1:8" ht="14.25" customHeight="1" x14ac:dyDescent="0.3">
      <c r="A547" s="245">
        <f>Datos!$P$3</f>
        <v>46600</v>
      </c>
      <c r="B547" s="199" t="str">
        <f>Datos!P$4</f>
        <v>Compresora</v>
      </c>
      <c r="C547" s="31" t="s">
        <v>567</v>
      </c>
      <c r="D547" s="199" t="str">
        <f>Datos!$B$44</f>
        <v>Km recorridos: vehículos livianos (camionetas)</v>
      </c>
      <c r="E547" s="199" t="str">
        <f>Datos!$C$44</f>
        <v>km</v>
      </c>
      <c r="F547" s="31" t="s">
        <v>538</v>
      </c>
      <c r="G547" s="246" t="str">
        <f>IF(ISNUMBER(Datos!P44),Datos!P44,"")</f>
        <v/>
      </c>
      <c r="H54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8" spans="1:8" ht="14.25" customHeight="1" x14ac:dyDescent="0.3">
      <c r="A548" s="245">
        <f>Datos!$P$3</f>
        <v>46600</v>
      </c>
      <c r="B548" s="199" t="str">
        <f>Datos!P$4</f>
        <v>Compresora</v>
      </c>
      <c r="C548" s="31" t="s">
        <v>568</v>
      </c>
      <c r="D548" s="199" t="str">
        <f>Datos!$B$45</f>
        <v>Km recorridos: vehículos pesados (camiones)</v>
      </c>
      <c r="E548" s="199" t="str">
        <f>Datos!$C$45</f>
        <v>km</v>
      </c>
      <c r="F548" s="31" t="s">
        <v>538</v>
      </c>
      <c r="G548" s="246" t="str">
        <f>IF(ISNUMBER(Datos!P45),Datos!P45,"")</f>
        <v/>
      </c>
      <c r="H54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9" spans="1:8" ht="14.25" customHeight="1" x14ac:dyDescent="0.3">
      <c r="A549" s="245">
        <f>Datos!$P$3</f>
        <v>46600</v>
      </c>
      <c r="B549" s="199" t="str">
        <f>Datos!P$4</f>
        <v>Compresora</v>
      </c>
      <c r="C549" s="31" t="s">
        <v>569</v>
      </c>
      <c r="D549" s="199" t="str">
        <f>Datos!$B$46</f>
        <v>Km recorridos: vehículos de transporte de personal (combis)</v>
      </c>
      <c r="E549" s="199" t="str">
        <f>Datos!$C$46</f>
        <v>km</v>
      </c>
      <c r="F549" s="31" t="s">
        <v>538</v>
      </c>
      <c r="G549" s="246" t="str">
        <f>IF(ISNUMBER(Datos!P46),Datos!P46,"")</f>
        <v/>
      </c>
      <c r="H54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0" spans="1:8" ht="14.25" customHeight="1" x14ac:dyDescent="0.3">
      <c r="A550" s="245">
        <f>Datos!$P$3</f>
        <v>46600</v>
      </c>
      <c r="B550" s="199" t="str">
        <f>Datos!P$4</f>
        <v>Compresora</v>
      </c>
      <c r="C550" s="31" t="s">
        <v>570</v>
      </c>
      <c r="D550" s="199" t="str">
        <f>Datos!$B$47</f>
        <v>Km recorridos: TOTAL</v>
      </c>
      <c r="E550" s="199" t="str">
        <f>Datos!$C$47</f>
        <v>km</v>
      </c>
      <c r="F550" s="31" t="s">
        <v>541</v>
      </c>
      <c r="G550" s="246">
        <f>IF(ISNUMBER(Datos!P47),Datos!P47,"")</f>
        <v>0</v>
      </c>
      <c r="H55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1" spans="1:8" ht="14.25" customHeight="1" x14ac:dyDescent="0.3">
      <c r="A551" s="245">
        <f>Datos!$P$3</f>
        <v>46600</v>
      </c>
      <c r="B551" s="199" t="str">
        <f>Datos!P$4</f>
        <v>Compresora</v>
      </c>
      <c r="C551" s="31" t="s">
        <v>571</v>
      </c>
      <c r="D551" s="199" t="str">
        <f>Datos!$B$67</f>
        <v>Hallazgos (desvíos) cerrados en el mes</v>
      </c>
      <c r="E551" s="199" t="str">
        <f>Datos!$C$67</f>
        <v>u</v>
      </c>
      <c r="F551" s="31" t="s">
        <v>572</v>
      </c>
      <c r="G551" s="246" t="str">
        <f>IF(ISNUMBER(Datos!P67),Datos!P67,"")</f>
        <v/>
      </c>
      <c r="H55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2" spans="1:8" ht="14.25" customHeight="1" x14ac:dyDescent="0.3">
      <c r="A552" s="245">
        <f>Datos!$P$3</f>
        <v>46600</v>
      </c>
      <c r="B552" s="199" t="str">
        <f>Datos!P$4</f>
        <v>Compresora</v>
      </c>
      <c r="C552" s="31" t="s">
        <v>573</v>
      </c>
      <c r="D552" s="199" t="str">
        <f>Datos!$B$68</f>
        <v>Días que llevaron esos hallazgos (suma)</v>
      </c>
      <c r="E552" s="199" t="str">
        <f>Datos!$C$68</f>
        <v>días</v>
      </c>
      <c r="F552" s="31" t="s">
        <v>572</v>
      </c>
      <c r="G552" s="246" t="str">
        <f>IF(ISNUMBER(Datos!P68),Datos!P68,"")</f>
        <v/>
      </c>
      <c r="H55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3" spans="1:8" ht="14.25" customHeight="1" x14ac:dyDescent="0.3">
      <c r="A553" s="245">
        <f>Datos!$P$3</f>
        <v>46600</v>
      </c>
      <c r="B553" s="199" t="str">
        <f>Datos!P$4</f>
        <v>Compresora</v>
      </c>
      <c r="C553" s="31" t="s">
        <v>574</v>
      </c>
      <c r="D553" s="199" t="str">
        <f>Datos!$B$69</f>
        <v>Hallazgos (desvíos) abiertos a fin de mes</v>
      </c>
      <c r="E553" s="199" t="str">
        <f>Datos!$C$69</f>
        <v>u</v>
      </c>
      <c r="F553" s="31" t="s">
        <v>572</v>
      </c>
      <c r="G553" s="246" t="str">
        <f>IF(ISNUMBER(Datos!P69),Datos!P69,"")</f>
        <v/>
      </c>
      <c r="H55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4" spans="1:8" ht="14.25" customHeight="1" x14ac:dyDescent="0.3">
      <c r="A554" s="245">
        <f>Datos!$P$3</f>
        <v>46600</v>
      </c>
      <c r="B554" s="199" t="str">
        <f>Datos!P$4</f>
        <v>Compresora</v>
      </c>
      <c r="C554" s="31" t="s">
        <v>575</v>
      </c>
      <c r="D554" s="199" t="str">
        <f>Datos!$B$70</f>
        <v>Hallazgos (desvíos) detectados en el mes</v>
      </c>
      <c r="E554" s="199" t="str">
        <f>Datos!$C$70</f>
        <v>u</v>
      </c>
      <c r="F554" s="31" t="s">
        <v>572</v>
      </c>
      <c r="G554" s="246" t="str">
        <f>IF(ISNUMBER(Datos!P70),Datos!P70,"")</f>
        <v/>
      </c>
      <c r="H55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5" spans="1:8" ht="14.25" customHeight="1" x14ac:dyDescent="0.3">
      <c r="A555" s="245">
        <f>Datos!$P$3</f>
        <v>46600</v>
      </c>
      <c r="B555" s="199" t="str">
        <f>Datos!P$4</f>
        <v>Compresora</v>
      </c>
      <c r="C555" s="31" t="s">
        <v>576</v>
      </c>
      <c r="D555" s="199" t="str">
        <f>Datos!$B$71</f>
        <v>Desvíos detectados en el mes · gravedad Alta</v>
      </c>
      <c r="E555" s="199" t="str">
        <f>Datos!$C$71</f>
        <v>u</v>
      </c>
      <c r="F555" s="31" t="s">
        <v>572</v>
      </c>
      <c r="G555" s="246" t="str">
        <f>IF(ISNUMBER(Datos!P71),Datos!P71,"")</f>
        <v/>
      </c>
      <c r="H55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6" spans="1:8" ht="14.25" customHeight="1" x14ac:dyDescent="0.3">
      <c r="A556" s="245">
        <f>Datos!$P$3</f>
        <v>46600</v>
      </c>
      <c r="B556" s="199" t="str">
        <f>Datos!P$4</f>
        <v>Compresora</v>
      </c>
      <c r="C556" s="31" t="s">
        <v>577</v>
      </c>
      <c r="D556" s="199" t="str">
        <f>Datos!$B$72</f>
        <v>Desvíos detectados en el mes · gravedad Media</v>
      </c>
      <c r="E556" s="199" t="str">
        <f>Datos!$C$72</f>
        <v>u</v>
      </c>
      <c r="F556" s="31" t="s">
        <v>572</v>
      </c>
      <c r="G556" s="246" t="str">
        <f>IF(ISNUMBER(Datos!P72),Datos!P72,"")</f>
        <v/>
      </c>
      <c r="H55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7" spans="1:8" ht="14.25" customHeight="1" x14ac:dyDescent="0.3">
      <c r="A557" s="245">
        <f>Datos!$P$3</f>
        <v>46600</v>
      </c>
      <c r="B557" s="199" t="str">
        <f>Datos!P$4</f>
        <v>Compresora</v>
      </c>
      <c r="C557" s="31" t="s">
        <v>578</v>
      </c>
      <c r="D557" s="199" t="str">
        <f>Datos!$B$73</f>
        <v>Desvíos detectados en el mes · gravedad Baja</v>
      </c>
      <c r="E557" s="199" t="str">
        <f>Datos!$C$73</f>
        <v>u</v>
      </c>
      <c r="F557" s="31" t="s">
        <v>572</v>
      </c>
      <c r="G557" s="246" t="str">
        <f>IF(ISNUMBER(Datos!P73),Datos!P73,"")</f>
        <v/>
      </c>
      <c r="H55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8" spans="1:8" ht="14.25" customHeight="1" x14ac:dyDescent="0.3">
      <c r="A558" s="245">
        <f>Datos!$P$3</f>
        <v>46600</v>
      </c>
      <c r="B558" s="199" t="str">
        <f>Datos!P$4</f>
        <v>Compresora</v>
      </c>
      <c r="C558" s="31" t="s">
        <v>579</v>
      </c>
      <c r="D558" s="199" t="str">
        <f>Datos!$B$74</f>
        <v>Desvíos detectados en el mes · sin gravedad cargada</v>
      </c>
      <c r="E558" s="199" t="str">
        <f>Datos!$C$74</f>
        <v>u</v>
      </c>
      <c r="F558" s="31" t="s">
        <v>572</v>
      </c>
      <c r="G558" s="246">
        <f>IF(ISNUMBER(Datos!P74),Datos!P74,"")</f>
        <v>0</v>
      </c>
      <c r="H55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9" spans="1:8" ht="14.25" customHeight="1" x14ac:dyDescent="0.3">
      <c r="A559" s="245">
        <f>Datos!$P$3</f>
        <v>46600</v>
      </c>
      <c r="B559" s="199" t="str">
        <f>Datos!P$4</f>
        <v>Compresora</v>
      </c>
      <c r="C559" s="31" t="s">
        <v>580</v>
      </c>
      <c r="D559" s="199" t="str">
        <f>Datos!$B$75</f>
        <v>Detenciones de tareas aplicadas en el mes (Política = Sí)</v>
      </c>
      <c r="E559" s="199" t="str">
        <f>Datos!$C$75</f>
        <v>u</v>
      </c>
      <c r="F559" s="31" t="s">
        <v>572</v>
      </c>
      <c r="G559" s="246" t="str">
        <f>IF(ISNUMBER(Datos!P75),Datos!P75,"")</f>
        <v/>
      </c>
      <c r="H55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0" spans="1:8" ht="14.25" customHeight="1" x14ac:dyDescent="0.3">
      <c r="A560" s="245">
        <f>Datos!$P$3</f>
        <v>46600</v>
      </c>
      <c r="B560" s="199" t="str">
        <f>Datos!P$4</f>
        <v>Compresora</v>
      </c>
      <c r="C560" s="31" t="s">
        <v>581</v>
      </c>
      <c r="D560" s="199" t="str">
        <f>Datos!$B$76</f>
        <v>Desvíos de gravedad Alta abiertos a fin de mes</v>
      </c>
      <c r="E560" s="199" t="str">
        <f>Datos!$C$76</f>
        <v>u</v>
      </c>
      <c r="F560" s="31" t="s">
        <v>572</v>
      </c>
      <c r="G560" s="246" t="str">
        <f>IF(ISNUMBER(Datos!P76),Datos!P76,"")</f>
        <v/>
      </c>
      <c r="H56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1" spans="1:8" ht="14.25" customHeight="1" x14ac:dyDescent="0.3">
      <c r="A561" s="245">
        <f>Datos!$Q$3</f>
        <v>46631</v>
      </c>
      <c r="B561" s="199" t="str">
        <f>Datos!Q$4</f>
        <v>Compresora</v>
      </c>
      <c r="C561" s="31" t="s">
        <v>537</v>
      </c>
      <c r="D561" s="199" t="str">
        <f>Datos!$B$9</f>
        <v>Dotación promedio: Personal OPS</v>
      </c>
      <c r="E561" s="199" t="str">
        <f>Datos!$C$9</f>
        <v>pers</v>
      </c>
      <c r="F561" s="31" t="s">
        <v>538</v>
      </c>
      <c r="G561" s="246" t="str">
        <f>IF(ISNUMBER(Datos!Q9),Datos!Q9,"")</f>
        <v/>
      </c>
      <c r="H56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2" spans="1:8" ht="14.25" customHeight="1" x14ac:dyDescent="0.3">
      <c r="A562" s="245">
        <f>Datos!$Q$3</f>
        <v>46631</v>
      </c>
      <c r="B562" s="199" t="str">
        <f>Datos!Q$4</f>
        <v>Compresora</v>
      </c>
      <c r="C562" s="31" t="s">
        <v>539</v>
      </c>
      <c r="D562" s="199" t="str">
        <f>Datos!$B$10</f>
        <v>Dotación promedio: Personal SMP(IEBC, PAE e YPF) </v>
      </c>
      <c r="E562" s="199" t="str">
        <f>Datos!$C$10</f>
        <v>pers</v>
      </c>
      <c r="F562" s="31" t="s">
        <v>538</v>
      </c>
      <c r="G562" s="246" t="str">
        <f>IF(ISNUMBER(Datos!Q10),Datos!Q10,"")</f>
        <v/>
      </c>
      <c r="H56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3" spans="1:8" ht="14.25" customHeight="1" x14ac:dyDescent="0.3">
      <c r="A563" s="245">
        <f>Datos!$Q$3</f>
        <v>46631</v>
      </c>
      <c r="B563" s="199" t="str">
        <f>Datos!Q$4</f>
        <v>Compresora</v>
      </c>
      <c r="C563" s="31" t="s">
        <v>540</v>
      </c>
      <c r="D563" s="199" t="str">
        <f>Datos!$B$11</f>
        <v>Dotación promedio: TOTAL</v>
      </c>
      <c r="E563" s="199" t="str">
        <f>Datos!$C$11</f>
        <v>pers</v>
      </c>
      <c r="F563" s="31" t="s">
        <v>541</v>
      </c>
      <c r="G563" s="246">
        <f>IF(ISNUMBER(Datos!Q11),Datos!Q11,"")</f>
        <v>0</v>
      </c>
      <c r="H56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4" spans="1:8" ht="14.25" customHeight="1" x14ac:dyDescent="0.3">
      <c r="A564" s="245">
        <f>Datos!$Q$3</f>
        <v>46631</v>
      </c>
      <c r="B564" s="199" t="str">
        <f>Datos!Q$4</f>
        <v>Compresora</v>
      </c>
      <c r="C564" s="31" t="s">
        <v>542</v>
      </c>
      <c r="D564" s="199" t="str">
        <f>Datos!$B$12</f>
        <v>Horas hombre trabajadas: Personal OPS</v>
      </c>
      <c r="E564" s="199" t="str">
        <f>Datos!$C$12</f>
        <v>h</v>
      </c>
      <c r="F564" s="31" t="s">
        <v>538</v>
      </c>
      <c r="G564" s="246" t="str">
        <f>IF(ISNUMBER(Datos!Q12),Datos!Q12,"")</f>
        <v/>
      </c>
      <c r="H56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5" spans="1:8" ht="14.25" customHeight="1" x14ac:dyDescent="0.3">
      <c r="A565" s="245">
        <f>Datos!$Q$3</f>
        <v>46631</v>
      </c>
      <c r="B565" s="199" t="str">
        <f>Datos!Q$4</f>
        <v>Compresora</v>
      </c>
      <c r="C565" s="31" t="s">
        <v>543</v>
      </c>
      <c r="D565" s="199" t="str">
        <f>Datos!$B$13</f>
        <v>Horas hombre trabajadas: Personal SMP(IEBC, PAE e YPF) en campo</v>
      </c>
      <c r="E565" s="199" t="str">
        <f>Datos!$C$13</f>
        <v>h</v>
      </c>
      <c r="F565" s="31" t="s">
        <v>538</v>
      </c>
      <c r="G565" s="246" t="str">
        <f>IF(ISNUMBER(Datos!Q13),Datos!Q13,"")</f>
        <v/>
      </c>
      <c r="H56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6" spans="1:8" ht="14.25" customHeight="1" x14ac:dyDescent="0.3">
      <c r="A566" s="245">
        <f>Datos!$Q$3</f>
        <v>46631</v>
      </c>
      <c r="B566" s="199" t="str">
        <f>Datos!Q$4</f>
        <v>Compresora</v>
      </c>
      <c r="C566" s="31" t="s">
        <v>544</v>
      </c>
      <c r="D566" s="199" t="str">
        <f>Datos!$B$14</f>
        <v>Horas hombre trabajadas: TOTAL</v>
      </c>
      <c r="E566" s="199" t="str">
        <f>Datos!$C$14</f>
        <v>h</v>
      </c>
      <c r="F566" s="31" t="s">
        <v>541</v>
      </c>
      <c r="G566" s="246">
        <f>IF(ISNUMBER(Datos!Q14),Datos!Q14,"")</f>
        <v>0</v>
      </c>
      <c r="H56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7" spans="1:8" ht="14.25" customHeight="1" x14ac:dyDescent="0.3">
      <c r="A567" s="245">
        <f>Datos!$Q$3</f>
        <v>46631</v>
      </c>
      <c r="B567" s="199" t="str">
        <f>Datos!Q$4</f>
        <v>Compresora</v>
      </c>
      <c r="C567" s="31" t="s">
        <v>545</v>
      </c>
      <c r="D567" s="199" t="str">
        <f>Datos!$B$16</f>
        <v>Horas hombre de formación en seguridad: Personal OPS</v>
      </c>
      <c r="E567" s="199" t="str">
        <f>Datos!$C$16</f>
        <v>h</v>
      </c>
      <c r="F567" s="31" t="s">
        <v>538</v>
      </c>
      <c r="G567" s="246" t="str">
        <f>IF(ISNUMBER(Datos!Q16),Datos!Q16,"")</f>
        <v/>
      </c>
      <c r="H56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8" spans="1:8" ht="14.25" customHeight="1" x14ac:dyDescent="0.3">
      <c r="A568" s="245">
        <f>Datos!$Q$3</f>
        <v>46631</v>
      </c>
      <c r="B568" s="199" t="str">
        <f>Datos!Q$4</f>
        <v>Compresora</v>
      </c>
      <c r="C568" s="31" t="s">
        <v>546</v>
      </c>
      <c r="D568" s="199" t="str">
        <f>Datos!$B$17</f>
        <v>Horas hombre de formación en seguridad: Personal SMP(IEBC, PAE e YPF) </v>
      </c>
      <c r="E568" s="199" t="str">
        <f>Datos!$C$17</f>
        <v>h</v>
      </c>
      <c r="F568" s="31" t="s">
        <v>538</v>
      </c>
      <c r="G568" s="246" t="str">
        <f>IF(ISNUMBER(Datos!Q17),Datos!Q17,"")</f>
        <v/>
      </c>
      <c r="H56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9" spans="1:8" ht="14.25" customHeight="1" x14ac:dyDescent="0.3">
      <c r="A569" s="245">
        <f>Datos!$Q$3</f>
        <v>46631</v>
      </c>
      <c r="B569" s="199" t="str">
        <f>Datos!Q$4</f>
        <v>Compresora</v>
      </c>
      <c r="C569" s="31" t="s">
        <v>547</v>
      </c>
      <c r="D569" s="199" t="str">
        <f>Datos!$B$18</f>
        <v>Horas hombre de formación en seguridad: TOTAL</v>
      </c>
      <c r="E569" s="199" t="str">
        <f>Datos!$C$18</f>
        <v>h</v>
      </c>
      <c r="F569" s="31" t="s">
        <v>541</v>
      </c>
      <c r="G569" s="246">
        <f>IF(ISNUMBER(Datos!Q18),Datos!Q18,"")</f>
        <v>0</v>
      </c>
      <c r="H56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0" spans="1:8" ht="14.25" customHeight="1" x14ac:dyDescent="0.3">
      <c r="A570" s="245">
        <f>Datos!$Q$3</f>
        <v>46631</v>
      </c>
      <c r="B570" s="199" t="str">
        <f>Datos!Q$4</f>
        <v>Compresora</v>
      </c>
      <c r="C570" s="31" t="s">
        <v>548</v>
      </c>
      <c r="D570" s="199" t="str">
        <f>Datos!$B$20</f>
        <v>SIMULACROS · Realizados (emergencia y operativos)</v>
      </c>
      <c r="E570" s="199" t="str">
        <f>Datos!$C$20</f>
        <v>u</v>
      </c>
      <c r="F570" s="31" t="s">
        <v>538</v>
      </c>
      <c r="G570" s="246" t="str">
        <f>IF(ISNUMBER(Datos!Q20),Datos!Q20,"")</f>
        <v/>
      </c>
      <c r="H57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1" spans="1:8" ht="14.25" customHeight="1" x14ac:dyDescent="0.3">
      <c r="A571" s="245">
        <f>Datos!$Q$3</f>
        <v>46631</v>
      </c>
      <c r="B571" s="199" t="str">
        <f>Datos!Q$4</f>
        <v>Compresora</v>
      </c>
      <c r="C571" s="31" t="s">
        <v>549</v>
      </c>
      <c r="D571" s="199" t="str">
        <f>Datos!$B$21</f>
        <v>SIMULACROS · Programados (emergencia y operativos)</v>
      </c>
      <c r="E571" s="199" t="str">
        <f>Datos!$C$21</f>
        <v>u</v>
      </c>
      <c r="F571" s="31" t="s">
        <v>538</v>
      </c>
      <c r="G571" s="246" t="str">
        <f>IF(ISNUMBER(Datos!Q21),Datos!Q21,"")</f>
        <v/>
      </c>
      <c r="H57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2" spans="1:8" ht="14.25" customHeight="1" x14ac:dyDescent="0.3">
      <c r="A572" s="245">
        <f>Datos!$Q$3</f>
        <v>46631</v>
      </c>
      <c r="B572" s="199" t="str">
        <f>Datos!Q$4</f>
        <v>Compresora</v>
      </c>
      <c r="C572" s="31" t="s">
        <v>550</v>
      </c>
      <c r="D572" s="199" t="str">
        <f>Datos!$B$22</f>
        <v>SIMULACROS · Acciones de mejora surgidas de los simulacros (en el mes informado)</v>
      </c>
      <c r="E572" s="199" t="str">
        <f>Datos!$C$22</f>
        <v>u</v>
      </c>
      <c r="F572" s="31" t="s">
        <v>538</v>
      </c>
      <c r="G572" s="246" t="str">
        <f>IF(ISNUMBER(Datos!Q22),Datos!Q22,"")</f>
        <v/>
      </c>
      <c r="H57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3" spans="1:8" ht="14.25" customHeight="1" x14ac:dyDescent="0.3">
      <c r="A573" s="245">
        <f>Datos!$Q$3</f>
        <v>46631</v>
      </c>
      <c r="B573" s="199" t="str">
        <f>Datos!Q$4</f>
        <v>Compresora</v>
      </c>
      <c r="C573" s="31" t="s">
        <v>551</v>
      </c>
      <c r="D573" s="199" t="str">
        <f>Datos!$B$23</f>
        <v>SIMULACROS · Acciones de mejora implementadas surgidas de los simulacros (ICME) (en el mes informado)</v>
      </c>
      <c r="E573" s="199" t="str">
        <f>Datos!$C$23</f>
        <v>u</v>
      </c>
      <c r="F573" s="31" t="s">
        <v>538</v>
      </c>
      <c r="G573" s="246" t="str">
        <f>IF(ISNUMBER(Datos!Q23),Datos!Q23,"")</f>
        <v/>
      </c>
      <c r="H57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4" spans="1:8" ht="14.25" customHeight="1" x14ac:dyDescent="0.3">
      <c r="A574" s="245">
        <f>Datos!$Q$3</f>
        <v>46631</v>
      </c>
      <c r="B574" s="199" t="str">
        <f>Datos!Q$4</f>
        <v>Compresora</v>
      </c>
      <c r="C574" s="31" t="s">
        <v>552</v>
      </c>
      <c r="D574" s="199" t="str">
        <f>Datos!$B$24</f>
        <v>Caminatas gerenciales realizadas</v>
      </c>
      <c r="E574" s="199" t="str">
        <f>Datos!$C$24</f>
        <v>u</v>
      </c>
      <c r="F574" s="31" t="s">
        <v>538</v>
      </c>
      <c r="G574" s="246" t="str">
        <f>IF(ISNUMBER(Datos!Q24),Datos!Q24,"")</f>
        <v/>
      </c>
      <c r="H57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5" spans="1:8" ht="14.25" customHeight="1" x14ac:dyDescent="0.3">
      <c r="A575" s="245">
        <f>Datos!$Q$3</f>
        <v>46631</v>
      </c>
      <c r="B575" s="199" t="str">
        <f>Datos!Q$4</f>
        <v>Compresora</v>
      </c>
      <c r="C575" s="31" t="s">
        <v>553</v>
      </c>
      <c r="D575" s="199" t="str">
        <f>Datos!$B$25</f>
        <v>Caminatas gerenciales planificadas</v>
      </c>
      <c r="E575" s="199" t="str">
        <f>Datos!$C$25</f>
        <v>u</v>
      </c>
      <c r="F575" s="31" t="s">
        <v>538</v>
      </c>
      <c r="G575" s="246" t="str">
        <f>IF(ISNUMBER(Datos!Q25),Datos!Q25,"")</f>
        <v/>
      </c>
      <c r="H57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6" spans="1:8" ht="14.25" customHeight="1" x14ac:dyDescent="0.3">
      <c r="A576" s="245">
        <f>Datos!$Q$3</f>
        <v>46631</v>
      </c>
      <c r="B576" s="199" t="str">
        <f>Datos!Q$4</f>
        <v>Compresora</v>
      </c>
      <c r="C576" s="31" t="s">
        <v>554</v>
      </c>
      <c r="D576" s="199" t="str">
        <f>Datos!$B$26</f>
        <v>Comités y subcomités de seguridad realizados</v>
      </c>
      <c r="E576" s="199" t="str">
        <f>Datos!$C$26</f>
        <v>u</v>
      </c>
      <c r="F576" s="31" t="s">
        <v>538</v>
      </c>
      <c r="G576" s="246" t="str">
        <f>IF(ISNUMBER(Datos!Q26),Datos!Q26,"")</f>
        <v/>
      </c>
      <c r="H57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7" spans="1:8" ht="14.25" customHeight="1" x14ac:dyDescent="0.3">
      <c r="A577" s="245">
        <f>Datos!$Q$3</f>
        <v>46631</v>
      </c>
      <c r="B577" s="199" t="str">
        <f>Datos!Q$4</f>
        <v>Compresora</v>
      </c>
      <c r="C577" s="31" t="s">
        <v>555</v>
      </c>
      <c r="D577" s="199" t="str">
        <f>Datos!$B$27</f>
        <v>Comités y subcomités de seguridad planificados</v>
      </c>
      <c r="E577" s="199" t="str">
        <f>Datos!$C$27</f>
        <v>u</v>
      </c>
      <c r="F577" s="31" t="s">
        <v>538</v>
      </c>
      <c r="G577" s="246" t="str">
        <f>IF(ISNUMBER(Datos!Q27),Datos!Q27,"")</f>
        <v/>
      </c>
      <c r="H57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8" spans="1:8" ht="14.25" customHeight="1" x14ac:dyDescent="0.3">
      <c r="A578" s="245">
        <f>Datos!$Q$3</f>
        <v>46631</v>
      </c>
      <c r="B578" s="199" t="str">
        <f>Datos!Q$4</f>
        <v>Compresora</v>
      </c>
      <c r="C578" s="31" t="s">
        <v>556</v>
      </c>
      <c r="D578" s="31" t="inlineStr">
        <is>
          <t>Observaciones de comportamiento seguro: total del mes (OPS + SMP)</t>
        </is>
      </c>
      <c r="E578" s="199" t="str">
        <f>Datos!$C$28</f>
        <v>u</v>
      </c>
      <c r="F578" s="31" t="s">
        <v>538</v>
      </c>
      <c r="G578" s="246" t="str">
        <f>IF(COUNT(Datos!Q28:Q29)=0,"",SUM(Datos!Q28:Q29))</f>
        <v/>
      </c>
      <c r="H57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9" spans="1:8" ht="14.25" customHeight="1" x14ac:dyDescent="0.3">
      <c r="A579" s="245">
        <f>Datos!$Q$3</f>
        <v>46631</v>
      </c>
      <c r="B579" s="199" t="str">
        <f>Datos!Q$4</f>
        <v>Compresora</v>
      </c>
      <c r="C579" s="31" t="s">
        <v>557</v>
      </c>
      <c r="D579" s="199" t="str">
        <f>Datos!$B$30</f>
        <v>Investigaciones de accidentes cerradas en el mes</v>
      </c>
      <c r="E579" s="199" t="str">
        <f>Datos!$C$30</f>
        <v>u</v>
      </c>
      <c r="F579" s="31" t="s">
        <v>538</v>
      </c>
      <c r="G579" s="246" t="str">
        <f>IF(ISNUMBER(Datos!Q30),Datos!Q30,"")</f>
        <v/>
      </c>
      <c r="H57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0" spans="1:8" ht="14.25" customHeight="1" x14ac:dyDescent="0.3">
      <c r="A580" s="245">
        <f>Datos!$Q$3</f>
        <v>46631</v>
      </c>
      <c r="B580" s="199" t="str">
        <f>Datos!Q$4</f>
        <v>Compresora</v>
      </c>
      <c r="C580" s="31" t="s">
        <v>558</v>
      </c>
      <c r="D580" s="199" t="str">
        <f>Datos!$B$31</f>
        <v>Días que llevaron esas investigaciones (suma)</v>
      </c>
      <c r="E580" s="199" t="str">
        <f>Datos!$C$31</f>
        <v>días</v>
      </c>
      <c r="F580" s="31" t="s">
        <v>538</v>
      </c>
      <c r="G580" s="246" t="str">
        <f>IF(ISNUMBER(Datos!Q31),Datos!Q31,"")</f>
        <v/>
      </c>
      <c r="H58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1" spans="1:8" ht="14.25" customHeight="1" x14ac:dyDescent="0.3">
      <c r="A581" s="245">
        <f>Datos!$Q$3</f>
        <v>46631</v>
      </c>
      <c r="B581" s="199" t="str">
        <f>Datos!Q$4</f>
        <v>Compresora</v>
      </c>
      <c r="C581" s="31" t="s">
        <v>559</v>
      </c>
      <c r="D581" s="199" t="str">
        <f>Datos!$B$33</f>
        <v>Casos con días perdidos</v>
      </c>
      <c r="E581" s="199" t="str">
        <f>Datos!$C$33</f>
        <v>u</v>
      </c>
      <c r="F581" s="31" t="s">
        <v>538</v>
      </c>
      <c r="G581" s="246" t="str">
        <f>IF(ISNUMBER(Datos!Q33),Datos!Q33,"")</f>
        <v/>
      </c>
      <c r="H58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2" spans="1:8" ht="14.25" customHeight="1" x14ac:dyDescent="0.3">
      <c r="A582" s="245">
        <f>Datos!$Q$3</f>
        <v>46631</v>
      </c>
      <c r="B582" s="199" t="str">
        <f>Datos!Q$4</f>
        <v>Compresora</v>
      </c>
      <c r="C582" s="31" t="s">
        <v>560</v>
      </c>
      <c r="D582" s="199" t="str">
        <f>Datos!$B$34</f>
        <v>Casos con trabajo restringido</v>
      </c>
      <c r="E582" s="199" t="str">
        <f>Datos!$C$34</f>
        <v>u</v>
      </c>
      <c r="F582" s="31" t="s">
        <v>538</v>
      </c>
      <c r="G582" s="246" t="str">
        <f>IF(ISNUMBER(Datos!Q34),Datos!Q34,"")</f>
        <v/>
      </c>
      <c r="H58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3" spans="1:8" ht="14.25" customHeight="1" x14ac:dyDescent="0.3">
      <c r="A583" s="245">
        <f>Datos!$Q$3</f>
        <v>46631</v>
      </c>
      <c r="B583" s="199" t="str">
        <f>Datos!Q$4</f>
        <v>Compresora</v>
      </c>
      <c r="C583" s="31" t="s">
        <v>561</v>
      </c>
      <c r="D583" s="199" t="str">
        <f>Datos!$B$35</f>
        <v>Casos con tratamiento médico</v>
      </c>
      <c r="E583" s="199" t="str">
        <f>Datos!$C$35</f>
        <v>u</v>
      </c>
      <c r="F583" s="31" t="s">
        <v>538</v>
      </c>
      <c r="G583" s="246" t="str">
        <f>IF(ISNUMBER(Datos!Q35),Datos!Q35,"")</f>
        <v/>
      </c>
      <c r="H58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4" spans="1:8" ht="14.25" customHeight="1" x14ac:dyDescent="0.3">
      <c r="A584" s="245">
        <f>Datos!$Q$3</f>
        <v>46631</v>
      </c>
      <c r="B584" s="199" t="str">
        <f>Datos!Q$4</f>
        <v>Compresora</v>
      </c>
      <c r="C584" s="31" t="s">
        <v>562</v>
      </c>
      <c r="D584" s="199" t="str">
        <f>Datos!$B$36</f>
        <v>Fatalidades</v>
      </c>
      <c r="E584" s="199" t="str">
        <f>Datos!$C$36</f>
        <v>u</v>
      </c>
      <c r="F584" s="31" t="s">
        <v>538</v>
      </c>
      <c r="G584" s="246" t="str">
        <f>IF(ISNUMBER(Datos!Q36),Datos!Q36,"")</f>
        <v/>
      </c>
      <c r="H58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5" spans="1:8" ht="14.25" customHeight="1" x14ac:dyDescent="0.3">
      <c r="A585" s="245">
        <f>Datos!$Q$3</f>
        <v>46631</v>
      </c>
      <c r="B585" s="199" t="str">
        <f>Datos!Q$4</f>
        <v>Compresora</v>
      </c>
      <c r="C585" s="31" t="s">
        <v>51</v>
      </c>
      <c r="D585" s="199" t="str">
        <f>Datos!$B$37</f>
        <v>Casos de primeros auxilios</v>
      </c>
      <c r="E585" s="199" t="str">
        <f>Datos!$C$37</f>
        <v>u</v>
      </c>
      <c r="F585" s="31" t="s">
        <v>538</v>
      </c>
      <c r="G585" s="246" t="str">
        <f>IF(ISNUMBER(Datos!Q37),Datos!Q37,"")</f>
        <v/>
      </c>
      <c r="H58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6" spans="1:8" ht="14.25" customHeight="1" x14ac:dyDescent="0.3">
      <c r="A586" s="245">
        <f>Datos!$Q$3</f>
        <v>46631</v>
      </c>
      <c r="B586" s="199" t="str">
        <f>Datos!Q$4</f>
        <v>Compresora</v>
      </c>
      <c r="C586" s="31" t="s">
        <v>563</v>
      </c>
      <c r="D586" s="199" t="str">
        <f>Datos!$B$39</f>
        <v>CVM catastróficas</v>
      </c>
      <c r="E586" s="199" t="str">
        <f>Datos!$C$39</f>
        <v>u</v>
      </c>
      <c r="F586" s="31" t="s">
        <v>538</v>
      </c>
      <c r="G586" s="246" t="str">
        <f>IF(ISNUMBER(Datos!Q39),Datos!Q39,"")</f>
        <v/>
      </c>
      <c r="H58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7" spans="1:8" ht="14.25" customHeight="1" x14ac:dyDescent="0.3">
      <c r="A587" s="245">
        <f>Datos!$Q$3</f>
        <v>46631</v>
      </c>
      <c r="B587" s="199" t="str">
        <f>Datos!Q$4</f>
        <v>Compresora</v>
      </c>
      <c r="C587" s="31" t="s">
        <v>564</v>
      </c>
      <c r="D587" s="199" t="str">
        <f>Datos!$B$40</f>
        <v>CVM mayores</v>
      </c>
      <c r="E587" s="199" t="str">
        <f>Datos!$C$40</f>
        <v>u</v>
      </c>
      <c r="F587" s="31" t="s">
        <v>538</v>
      </c>
      <c r="G587" s="246" t="str">
        <f>IF(ISNUMBER(Datos!Q40),Datos!Q40,"")</f>
        <v/>
      </c>
      <c r="H58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8" spans="1:8" ht="14.25" customHeight="1" x14ac:dyDescent="0.3">
      <c r="A588" s="245">
        <f>Datos!$Q$3</f>
        <v>46631</v>
      </c>
      <c r="B588" s="199" t="str">
        <f>Datos!Q$4</f>
        <v>Compresora</v>
      </c>
      <c r="C588" s="31" t="s">
        <v>565</v>
      </c>
      <c r="D588" s="199" t="str">
        <f>Datos!$B$41</f>
        <v>CVM serias</v>
      </c>
      <c r="E588" s="199" t="str">
        <f>Datos!$C$41</f>
        <v>u</v>
      </c>
      <c r="F588" s="31" t="s">
        <v>538</v>
      </c>
      <c r="G588" s="246" t="str">
        <f>IF(ISNUMBER(Datos!Q41),Datos!Q41,"")</f>
        <v/>
      </c>
      <c r="H58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9" spans="1:8" ht="14.25" customHeight="1" x14ac:dyDescent="0.3">
      <c r="A589" s="245">
        <f>Datos!$Q$3</f>
        <v>46631</v>
      </c>
      <c r="B589" s="199" t="str">
        <f>Datos!Q$4</f>
        <v>Compresora</v>
      </c>
      <c r="C589" s="31" t="s">
        <v>566</v>
      </c>
      <c r="D589" s="199" t="str">
        <f>Datos!$B$42</f>
        <v>CVM otras / menores</v>
      </c>
      <c r="E589" s="199" t="str">
        <f>Datos!$C$42</f>
        <v>u</v>
      </c>
      <c r="F589" s="31" t="s">
        <v>538</v>
      </c>
      <c r="G589" s="246" t="str">
        <f>IF(ISNUMBER(Datos!Q42),Datos!Q42,"")</f>
        <v/>
      </c>
      <c r="H58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0" spans="1:8" ht="14.25" customHeight="1" x14ac:dyDescent="0.3">
      <c r="A590" s="245">
        <f>Datos!$Q$3</f>
        <v>46631</v>
      </c>
      <c r="B590" s="199" t="str">
        <f>Datos!Q$4</f>
        <v>Compresora</v>
      </c>
      <c r="C590" s="31" t="s">
        <v>567</v>
      </c>
      <c r="D590" s="199" t="str">
        <f>Datos!$B$44</f>
        <v>Km recorridos: vehículos livianos (camionetas)</v>
      </c>
      <c r="E590" s="199" t="str">
        <f>Datos!$C$44</f>
        <v>km</v>
      </c>
      <c r="F590" s="31" t="s">
        <v>538</v>
      </c>
      <c r="G590" s="246" t="str">
        <f>IF(ISNUMBER(Datos!Q44),Datos!Q44,"")</f>
        <v/>
      </c>
      <c r="H59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1" spans="1:8" ht="14.25" customHeight="1" x14ac:dyDescent="0.3">
      <c r="A591" s="245">
        <f>Datos!$Q$3</f>
        <v>46631</v>
      </c>
      <c r="B591" s="199" t="str">
        <f>Datos!Q$4</f>
        <v>Compresora</v>
      </c>
      <c r="C591" s="31" t="s">
        <v>568</v>
      </c>
      <c r="D591" s="199" t="str">
        <f>Datos!$B$45</f>
        <v>Km recorridos: vehículos pesados (camiones)</v>
      </c>
      <c r="E591" s="199" t="str">
        <f>Datos!$C$45</f>
        <v>km</v>
      </c>
      <c r="F591" s="31" t="s">
        <v>538</v>
      </c>
      <c r="G591" s="246" t="str">
        <f>IF(ISNUMBER(Datos!Q45),Datos!Q45,"")</f>
        <v/>
      </c>
      <c r="H59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2" spans="1:8" ht="14.25" customHeight="1" x14ac:dyDescent="0.3">
      <c r="A592" s="245">
        <f>Datos!$Q$3</f>
        <v>46631</v>
      </c>
      <c r="B592" s="199" t="str">
        <f>Datos!Q$4</f>
        <v>Compresora</v>
      </c>
      <c r="C592" s="31" t="s">
        <v>569</v>
      </c>
      <c r="D592" s="199" t="str">
        <f>Datos!$B$46</f>
        <v>Km recorridos: vehículos de transporte de personal (combis)</v>
      </c>
      <c r="E592" s="199" t="str">
        <f>Datos!$C$46</f>
        <v>km</v>
      </c>
      <c r="F592" s="31" t="s">
        <v>538</v>
      </c>
      <c r="G592" s="246" t="str">
        <f>IF(ISNUMBER(Datos!Q46),Datos!Q46,"")</f>
        <v/>
      </c>
      <c r="H59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3" spans="1:8" ht="14.25" customHeight="1" x14ac:dyDescent="0.3">
      <c r="A593" s="245">
        <f>Datos!$Q$3</f>
        <v>46631</v>
      </c>
      <c r="B593" s="199" t="str">
        <f>Datos!Q$4</f>
        <v>Compresora</v>
      </c>
      <c r="C593" s="31" t="s">
        <v>570</v>
      </c>
      <c r="D593" s="199" t="str">
        <f>Datos!$B$47</f>
        <v>Km recorridos: TOTAL</v>
      </c>
      <c r="E593" s="199" t="str">
        <f>Datos!$C$47</f>
        <v>km</v>
      </c>
      <c r="F593" s="31" t="s">
        <v>541</v>
      </c>
      <c r="G593" s="246">
        <f>IF(ISNUMBER(Datos!Q47),Datos!Q47,"")</f>
        <v>0</v>
      </c>
      <c r="H59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4" spans="1:8" ht="14.25" customHeight="1" x14ac:dyDescent="0.3">
      <c r="A594" s="245">
        <f>Datos!$Q$3</f>
        <v>46631</v>
      </c>
      <c r="B594" s="199" t="str">
        <f>Datos!Q$4</f>
        <v>Compresora</v>
      </c>
      <c r="C594" s="31" t="s">
        <v>571</v>
      </c>
      <c r="D594" s="199" t="str">
        <f>Datos!$B$67</f>
        <v>Hallazgos (desvíos) cerrados en el mes</v>
      </c>
      <c r="E594" s="199" t="str">
        <f>Datos!$C$67</f>
        <v>u</v>
      </c>
      <c r="F594" s="31" t="s">
        <v>572</v>
      </c>
      <c r="G594" s="246" t="str">
        <f>IF(ISNUMBER(Datos!Q67),Datos!Q67,"")</f>
        <v/>
      </c>
      <c r="H59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5" spans="1:8" ht="14.25" customHeight="1" x14ac:dyDescent="0.3">
      <c r="A595" s="245">
        <f>Datos!$Q$3</f>
        <v>46631</v>
      </c>
      <c r="B595" s="199" t="str">
        <f>Datos!Q$4</f>
        <v>Compresora</v>
      </c>
      <c r="C595" s="31" t="s">
        <v>573</v>
      </c>
      <c r="D595" s="199" t="str">
        <f>Datos!$B$68</f>
        <v>Días que llevaron esos hallazgos (suma)</v>
      </c>
      <c r="E595" s="199" t="str">
        <f>Datos!$C$68</f>
        <v>días</v>
      </c>
      <c r="F595" s="31" t="s">
        <v>572</v>
      </c>
      <c r="G595" s="246" t="str">
        <f>IF(ISNUMBER(Datos!Q68),Datos!Q68,"")</f>
        <v/>
      </c>
      <c r="H59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6" spans="1:8" ht="14.25" customHeight="1" x14ac:dyDescent="0.3">
      <c r="A596" s="245">
        <f>Datos!$Q$3</f>
        <v>46631</v>
      </c>
      <c r="B596" s="199" t="str">
        <f>Datos!Q$4</f>
        <v>Compresora</v>
      </c>
      <c r="C596" s="31" t="s">
        <v>574</v>
      </c>
      <c r="D596" s="199" t="str">
        <f>Datos!$B$69</f>
        <v>Hallazgos (desvíos) abiertos a fin de mes</v>
      </c>
      <c r="E596" s="199" t="str">
        <f>Datos!$C$69</f>
        <v>u</v>
      </c>
      <c r="F596" s="31" t="s">
        <v>572</v>
      </c>
      <c r="G596" s="246" t="str">
        <f>IF(ISNUMBER(Datos!Q69),Datos!Q69,"")</f>
        <v/>
      </c>
      <c r="H59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7" spans="1:8" ht="14.25" customHeight="1" x14ac:dyDescent="0.3">
      <c r="A597" s="245">
        <f>Datos!$Q$3</f>
        <v>46631</v>
      </c>
      <c r="B597" s="199" t="str">
        <f>Datos!Q$4</f>
        <v>Compresora</v>
      </c>
      <c r="C597" s="31" t="s">
        <v>575</v>
      </c>
      <c r="D597" s="199" t="str">
        <f>Datos!$B$70</f>
        <v>Hallazgos (desvíos) detectados en el mes</v>
      </c>
      <c r="E597" s="199" t="str">
        <f>Datos!$C$70</f>
        <v>u</v>
      </c>
      <c r="F597" s="31" t="s">
        <v>572</v>
      </c>
      <c r="G597" s="246" t="str">
        <f>IF(ISNUMBER(Datos!Q70),Datos!Q70,"")</f>
        <v/>
      </c>
      <c r="H59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8" spans="1:8" ht="14.25" customHeight="1" x14ac:dyDescent="0.3">
      <c r="A598" s="245">
        <f>Datos!$Q$3</f>
        <v>46631</v>
      </c>
      <c r="B598" s="199" t="str">
        <f>Datos!Q$4</f>
        <v>Compresora</v>
      </c>
      <c r="C598" s="31" t="s">
        <v>576</v>
      </c>
      <c r="D598" s="199" t="str">
        <f>Datos!$B$71</f>
        <v>Desvíos detectados en el mes · gravedad Alta</v>
      </c>
      <c r="E598" s="199" t="str">
        <f>Datos!$C$71</f>
        <v>u</v>
      </c>
      <c r="F598" s="31" t="s">
        <v>572</v>
      </c>
      <c r="G598" s="246" t="str">
        <f>IF(ISNUMBER(Datos!Q71),Datos!Q71,"")</f>
        <v/>
      </c>
      <c r="H59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9" spans="1:8" ht="14.25" customHeight="1" x14ac:dyDescent="0.3">
      <c r="A599" s="245">
        <f>Datos!$Q$3</f>
        <v>46631</v>
      </c>
      <c r="B599" s="199" t="str">
        <f>Datos!Q$4</f>
        <v>Compresora</v>
      </c>
      <c r="C599" s="31" t="s">
        <v>577</v>
      </c>
      <c r="D599" s="199" t="str">
        <f>Datos!$B$72</f>
        <v>Desvíos detectados en el mes · gravedad Media</v>
      </c>
      <c r="E599" s="199" t="str">
        <f>Datos!$C$72</f>
        <v>u</v>
      </c>
      <c r="F599" s="31" t="s">
        <v>572</v>
      </c>
      <c r="G599" s="246" t="str">
        <f>IF(ISNUMBER(Datos!Q72),Datos!Q72,"")</f>
        <v/>
      </c>
      <c r="H59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0" spans="1:8" ht="14.25" customHeight="1" x14ac:dyDescent="0.3">
      <c r="A600" s="245">
        <f>Datos!$Q$3</f>
        <v>46631</v>
      </c>
      <c r="B600" s="199" t="str">
        <f>Datos!Q$4</f>
        <v>Compresora</v>
      </c>
      <c r="C600" s="31" t="s">
        <v>578</v>
      </c>
      <c r="D600" s="199" t="str">
        <f>Datos!$B$73</f>
        <v>Desvíos detectados en el mes · gravedad Baja</v>
      </c>
      <c r="E600" s="199" t="str">
        <f>Datos!$C$73</f>
        <v>u</v>
      </c>
      <c r="F600" s="31" t="s">
        <v>572</v>
      </c>
      <c r="G600" s="246" t="str">
        <f>IF(ISNUMBER(Datos!Q73),Datos!Q73,"")</f>
        <v/>
      </c>
      <c r="H60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1" spans="1:8" ht="14.25" customHeight="1" x14ac:dyDescent="0.3">
      <c r="A601" s="245">
        <f>Datos!$Q$3</f>
        <v>46631</v>
      </c>
      <c r="B601" s="199" t="str">
        <f>Datos!Q$4</f>
        <v>Compresora</v>
      </c>
      <c r="C601" s="31" t="s">
        <v>579</v>
      </c>
      <c r="D601" s="199" t="str">
        <f>Datos!$B$74</f>
        <v>Desvíos detectados en el mes · sin gravedad cargada</v>
      </c>
      <c r="E601" s="199" t="str">
        <f>Datos!$C$74</f>
        <v>u</v>
      </c>
      <c r="F601" s="31" t="s">
        <v>572</v>
      </c>
      <c r="G601" s="246">
        <f>IF(ISNUMBER(Datos!Q74),Datos!Q74,"")</f>
        <v>0</v>
      </c>
      <c r="H60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2" spans="1:8" ht="14.25" customHeight="1" x14ac:dyDescent="0.3">
      <c r="A602" s="245">
        <f>Datos!$Q$3</f>
        <v>46631</v>
      </c>
      <c r="B602" s="199" t="str">
        <f>Datos!Q$4</f>
        <v>Compresora</v>
      </c>
      <c r="C602" s="31" t="s">
        <v>580</v>
      </c>
      <c r="D602" s="199" t="str">
        <f>Datos!$B$75</f>
        <v>Detenciones de tareas aplicadas en el mes (Política = Sí)</v>
      </c>
      <c r="E602" s="199" t="str">
        <f>Datos!$C$75</f>
        <v>u</v>
      </c>
      <c r="F602" s="31" t="s">
        <v>572</v>
      </c>
      <c r="G602" s="246" t="str">
        <f>IF(ISNUMBER(Datos!Q75),Datos!Q75,"")</f>
        <v/>
      </c>
      <c r="H60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3" spans="1:8" ht="14.25" customHeight="1" x14ac:dyDescent="0.3">
      <c r="A603" s="245">
        <f>Datos!$Q$3</f>
        <v>46631</v>
      </c>
      <c r="B603" s="199" t="str">
        <f>Datos!Q$4</f>
        <v>Compresora</v>
      </c>
      <c r="C603" s="31" t="s">
        <v>581</v>
      </c>
      <c r="D603" s="199" t="str">
        <f>Datos!$B$76</f>
        <v>Desvíos de gravedad Alta abiertos a fin de mes</v>
      </c>
      <c r="E603" s="199" t="str">
        <f>Datos!$C$76</f>
        <v>u</v>
      </c>
      <c r="F603" s="31" t="s">
        <v>572</v>
      </c>
      <c r="G603" s="246" t="str">
        <f>IF(ISNUMBER(Datos!Q76),Datos!Q76,"")</f>
        <v/>
      </c>
      <c r="H60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4" spans="1:8" ht="14.25" customHeight="1" x14ac:dyDescent="0.3">
      <c r="A604" s="245">
        <f>Datos!$R$3</f>
        <v>46661</v>
      </c>
      <c r="B604" s="199" t="str">
        <f>Datos!R$4</f>
        <v>Compresora</v>
      </c>
      <c r="C604" s="31" t="s">
        <v>537</v>
      </c>
      <c r="D604" s="199" t="str">
        <f>Datos!$B$9</f>
        <v>Dotación promedio: Personal OPS</v>
      </c>
      <c r="E604" s="199" t="str">
        <f>Datos!$C$9</f>
        <v>pers</v>
      </c>
      <c r="F604" s="31" t="s">
        <v>538</v>
      </c>
      <c r="G604" s="246" t="str">
        <f>IF(ISNUMBER(Datos!R9),Datos!R9,"")</f>
        <v/>
      </c>
      <c r="H60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5" spans="1:8" ht="14.25" customHeight="1" x14ac:dyDescent="0.3">
      <c r="A605" s="245">
        <f>Datos!$R$3</f>
        <v>46661</v>
      </c>
      <c r="B605" s="199" t="str">
        <f>Datos!R$4</f>
        <v>Compresora</v>
      </c>
      <c r="C605" s="31" t="s">
        <v>539</v>
      </c>
      <c r="D605" s="199" t="str">
        <f>Datos!$B$10</f>
        <v>Dotación promedio: Personal SMP(IEBC, PAE e YPF) </v>
      </c>
      <c r="E605" s="199" t="str">
        <f>Datos!$C$10</f>
        <v>pers</v>
      </c>
      <c r="F605" s="31" t="s">
        <v>538</v>
      </c>
      <c r="G605" s="246" t="str">
        <f>IF(ISNUMBER(Datos!R10),Datos!R10,"")</f>
        <v/>
      </c>
      <c r="H60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6" spans="1:8" ht="14.25" customHeight="1" x14ac:dyDescent="0.3">
      <c r="A606" s="245">
        <f>Datos!$R$3</f>
        <v>46661</v>
      </c>
      <c r="B606" s="199" t="str">
        <f>Datos!R$4</f>
        <v>Compresora</v>
      </c>
      <c r="C606" s="31" t="s">
        <v>540</v>
      </c>
      <c r="D606" s="199" t="str">
        <f>Datos!$B$11</f>
        <v>Dotación promedio: TOTAL</v>
      </c>
      <c r="E606" s="199" t="str">
        <f>Datos!$C$11</f>
        <v>pers</v>
      </c>
      <c r="F606" s="31" t="s">
        <v>541</v>
      </c>
      <c r="G606" s="246">
        <f>IF(ISNUMBER(Datos!R11),Datos!R11,"")</f>
        <v>0</v>
      </c>
      <c r="H60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7" spans="1:8" ht="14.25" customHeight="1" x14ac:dyDescent="0.3">
      <c r="A607" s="245">
        <f>Datos!$R$3</f>
        <v>46661</v>
      </c>
      <c r="B607" s="199" t="str">
        <f>Datos!R$4</f>
        <v>Compresora</v>
      </c>
      <c r="C607" s="31" t="s">
        <v>542</v>
      </c>
      <c r="D607" s="199" t="str">
        <f>Datos!$B$12</f>
        <v>Horas hombre trabajadas: Personal OPS</v>
      </c>
      <c r="E607" s="199" t="str">
        <f>Datos!$C$12</f>
        <v>h</v>
      </c>
      <c r="F607" s="31" t="s">
        <v>538</v>
      </c>
      <c r="G607" s="246" t="str">
        <f>IF(ISNUMBER(Datos!R12),Datos!R12,"")</f>
        <v/>
      </c>
      <c r="H60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8" spans="1:8" ht="14.25" customHeight="1" x14ac:dyDescent="0.3">
      <c r="A608" s="245">
        <f>Datos!$R$3</f>
        <v>46661</v>
      </c>
      <c r="B608" s="199" t="str">
        <f>Datos!R$4</f>
        <v>Compresora</v>
      </c>
      <c r="C608" s="31" t="s">
        <v>543</v>
      </c>
      <c r="D608" s="199" t="str">
        <f>Datos!$B$13</f>
        <v>Horas hombre trabajadas: Personal SMP(IEBC, PAE e YPF) en campo</v>
      </c>
      <c r="E608" s="199" t="str">
        <f>Datos!$C$13</f>
        <v>h</v>
      </c>
      <c r="F608" s="31" t="s">
        <v>538</v>
      </c>
      <c r="G608" s="246" t="str">
        <f>IF(ISNUMBER(Datos!R13),Datos!R13,"")</f>
        <v/>
      </c>
      <c r="H60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9" spans="1:8" ht="14.25" customHeight="1" x14ac:dyDescent="0.3">
      <c r="A609" s="245">
        <f>Datos!$R$3</f>
        <v>46661</v>
      </c>
      <c r="B609" s="199" t="str">
        <f>Datos!R$4</f>
        <v>Compresora</v>
      </c>
      <c r="C609" s="31" t="s">
        <v>544</v>
      </c>
      <c r="D609" s="199" t="str">
        <f>Datos!$B$14</f>
        <v>Horas hombre trabajadas: TOTAL</v>
      </c>
      <c r="E609" s="199" t="str">
        <f>Datos!$C$14</f>
        <v>h</v>
      </c>
      <c r="F609" s="31" t="s">
        <v>541</v>
      </c>
      <c r="G609" s="246">
        <f>IF(ISNUMBER(Datos!R14),Datos!R14,"")</f>
        <v>0</v>
      </c>
      <c r="H60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0" spans="1:8" ht="14.25" customHeight="1" x14ac:dyDescent="0.3">
      <c r="A610" s="245">
        <f>Datos!$R$3</f>
        <v>46661</v>
      </c>
      <c r="B610" s="199" t="str">
        <f>Datos!R$4</f>
        <v>Compresora</v>
      </c>
      <c r="C610" s="31" t="s">
        <v>545</v>
      </c>
      <c r="D610" s="199" t="str">
        <f>Datos!$B$16</f>
        <v>Horas hombre de formación en seguridad: Personal OPS</v>
      </c>
      <c r="E610" s="199" t="str">
        <f>Datos!$C$16</f>
        <v>h</v>
      </c>
      <c r="F610" s="31" t="s">
        <v>538</v>
      </c>
      <c r="G610" s="246" t="str">
        <f>IF(ISNUMBER(Datos!R16),Datos!R16,"")</f>
        <v/>
      </c>
      <c r="H61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1" spans="1:8" ht="14.25" customHeight="1" x14ac:dyDescent="0.3">
      <c r="A611" s="245">
        <f>Datos!$R$3</f>
        <v>46661</v>
      </c>
      <c r="B611" s="199" t="str">
        <f>Datos!R$4</f>
        <v>Compresora</v>
      </c>
      <c r="C611" s="31" t="s">
        <v>546</v>
      </c>
      <c r="D611" s="199" t="str">
        <f>Datos!$B$17</f>
        <v>Horas hombre de formación en seguridad: Personal SMP(IEBC, PAE e YPF) </v>
      </c>
      <c r="E611" s="199" t="str">
        <f>Datos!$C$17</f>
        <v>h</v>
      </c>
      <c r="F611" s="31" t="s">
        <v>538</v>
      </c>
      <c r="G611" s="246" t="str">
        <f>IF(ISNUMBER(Datos!R17),Datos!R17,"")</f>
        <v/>
      </c>
      <c r="H61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2" spans="1:8" ht="14.25" customHeight="1" x14ac:dyDescent="0.3">
      <c r="A612" s="245">
        <f>Datos!$R$3</f>
        <v>46661</v>
      </c>
      <c r="B612" s="199" t="str">
        <f>Datos!R$4</f>
        <v>Compresora</v>
      </c>
      <c r="C612" s="31" t="s">
        <v>547</v>
      </c>
      <c r="D612" s="199" t="str">
        <f>Datos!$B$18</f>
        <v>Horas hombre de formación en seguridad: TOTAL</v>
      </c>
      <c r="E612" s="199" t="str">
        <f>Datos!$C$18</f>
        <v>h</v>
      </c>
      <c r="F612" s="31" t="s">
        <v>541</v>
      </c>
      <c r="G612" s="246">
        <f>IF(ISNUMBER(Datos!R18),Datos!R18,"")</f>
        <v>0</v>
      </c>
      <c r="H61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3" spans="1:8" ht="14.25" customHeight="1" x14ac:dyDescent="0.3">
      <c r="A613" s="245">
        <f>Datos!$R$3</f>
        <v>46661</v>
      </c>
      <c r="B613" s="199" t="str">
        <f>Datos!R$4</f>
        <v>Compresora</v>
      </c>
      <c r="C613" s="31" t="s">
        <v>548</v>
      </c>
      <c r="D613" s="199" t="str">
        <f>Datos!$B$20</f>
        <v>SIMULACROS · Realizados (emergencia y operativos)</v>
      </c>
      <c r="E613" s="199" t="str">
        <f>Datos!$C$20</f>
        <v>u</v>
      </c>
      <c r="F613" s="31" t="s">
        <v>538</v>
      </c>
      <c r="G613" s="246" t="str">
        <f>IF(ISNUMBER(Datos!R20),Datos!R20,"")</f>
        <v/>
      </c>
      <c r="H61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4" spans="1:8" ht="14.25" customHeight="1" x14ac:dyDescent="0.3">
      <c r="A614" s="245">
        <f>Datos!$R$3</f>
        <v>46661</v>
      </c>
      <c r="B614" s="199" t="str">
        <f>Datos!R$4</f>
        <v>Compresora</v>
      </c>
      <c r="C614" s="31" t="s">
        <v>549</v>
      </c>
      <c r="D614" s="199" t="str">
        <f>Datos!$B$21</f>
        <v>SIMULACROS · Programados (emergencia y operativos)</v>
      </c>
      <c r="E614" s="199" t="str">
        <f>Datos!$C$21</f>
        <v>u</v>
      </c>
      <c r="F614" s="31" t="s">
        <v>538</v>
      </c>
      <c r="G614" s="246" t="str">
        <f>IF(ISNUMBER(Datos!R21),Datos!R21,"")</f>
        <v/>
      </c>
      <c r="H61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5" spans="1:8" ht="14.25" customHeight="1" x14ac:dyDescent="0.3">
      <c r="A615" s="245">
        <f>Datos!$R$3</f>
        <v>46661</v>
      </c>
      <c r="B615" s="199" t="str">
        <f>Datos!R$4</f>
        <v>Compresora</v>
      </c>
      <c r="C615" s="31" t="s">
        <v>550</v>
      </c>
      <c r="D615" s="199" t="str">
        <f>Datos!$B$22</f>
        <v>SIMULACROS · Acciones de mejora surgidas de los simulacros (en el mes informado)</v>
      </c>
      <c r="E615" s="199" t="str">
        <f>Datos!$C$22</f>
        <v>u</v>
      </c>
      <c r="F615" s="31" t="s">
        <v>538</v>
      </c>
      <c r="G615" s="246" t="str">
        <f>IF(ISNUMBER(Datos!R22),Datos!R22,"")</f>
        <v/>
      </c>
      <c r="H61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6" spans="1:8" ht="14.25" customHeight="1" x14ac:dyDescent="0.3">
      <c r="A616" s="245">
        <f>Datos!$R$3</f>
        <v>46661</v>
      </c>
      <c r="B616" s="199" t="str">
        <f>Datos!R$4</f>
        <v>Compresora</v>
      </c>
      <c r="C616" s="31" t="s">
        <v>551</v>
      </c>
      <c r="D616" s="199" t="str">
        <f>Datos!$B$23</f>
        <v>SIMULACROS · Acciones de mejora implementadas surgidas de los simulacros (ICME) (en el mes informado)</v>
      </c>
      <c r="E616" s="199" t="str">
        <f>Datos!$C$23</f>
        <v>u</v>
      </c>
      <c r="F616" s="31" t="s">
        <v>538</v>
      </c>
      <c r="G616" s="246" t="str">
        <f>IF(ISNUMBER(Datos!R23),Datos!R23,"")</f>
        <v/>
      </c>
      <c r="H61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7" spans="1:8" ht="14.25" customHeight="1" x14ac:dyDescent="0.3">
      <c r="A617" s="245">
        <f>Datos!$R$3</f>
        <v>46661</v>
      </c>
      <c r="B617" s="199" t="str">
        <f>Datos!R$4</f>
        <v>Compresora</v>
      </c>
      <c r="C617" s="31" t="s">
        <v>552</v>
      </c>
      <c r="D617" s="199" t="str">
        <f>Datos!$B$24</f>
        <v>Caminatas gerenciales realizadas</v>
      </c>
      <c r="E617" s="199" t="str">
        <f>Datos!$C$24</f>
        <v>u</v>
      </c>
      <c r="F617" s="31" t="s">
        <v>538</v>
      </c>
      <c r="G617" s="246" t="str">
        <f>IF(ISNUMBER(Datos!R24),Datos!R24,"")</f>
        <v/>
      </c>
      <c r="H61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8" spans="1:8" ht="14.25" customHeight="1" x14ac:dyDescent="0.3">
      <c r="A618" s="245">
        <f>Datos!$R$3</f>
        <v>46661</v>
      </c>
      <c r="B618" s="199" t="str">
        <f>Datos!R$4</f>
        <v>Compresora</v>
      </c>
      <c r="C618" s="31" t="s">
        <v>553</v>
      </c>
      <c r="D618" s="199" t="str">
        <f>Datos!$B$25</f>
        <v>Caminatas gerenciales planificadas</v>
      </c>
      <c r="E618" s="199" t="str">
        <f>Datos!$C$25</f>
        <v>u</v>
      </c>
      <c r="F618" s="31" t="s">
        <v>538</v>
      </c>
      <c r="G618" s="246" t="str">
        <f>IF(ISNUMBER(Datos!R25),Datos!R25,"")</f>
        <v/>
      </c>
      <c r="H61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9" spans="1:8" ht="14.25" customHeight="1" x14ac:dyDescent="0.3">
      <c r="A619" s="245">
        <f>Datos!$R$3</f>
        <v>46661</v>
      </c>
      <c r="B619" s="199" t="str">
        <f>Datos!R$4</f>
        <v>Compresora</v>
      </c>
      <c r="C619" s="31" t="s">
        <v>554</v>
      </c>
      <c r="D619" s="199" t="str">
        <f>Datos!$B$26</f>
        <v>Comités y subcomités de seguridad realizados</v>
      </c>
      <c r="E619" s="199" t="str">
        <f>Datos!$C$26</f>
        <v>u</v>
      </c>
      <c r="F619" s="31" t="s">
        <v>538</v>
      </c>
      <c r="G619" s="246" t="str">
        <f>IF(ISNUMBER(Datos!R26),Datos!R26,"")</f>
        <v/>
      </c>
      <c r="H61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0" spans="1:8" ht="14.25" customHeight="1" x14ac:dyDescent="0.3">
      <c r="A620" s="245">
        <f>Datos!$R$3</f>
        <v>46661</v>
      </c>
      <c r="B620" s="199" t="str">
        <f>Datos!R$4</f>
        <v>Compresora</v>
      </c>
      <c r="C620" s="31" t="s">
        <v>555</v>
      </c>
      <c r="D620" s="199" t="str">
        <f>Datos!$B$27</f>
        <v>Comités y subcomités de seguridad planificados</v>
      </c>
      <c r="E620" s="199" t="str">
        <f>Datos!$C$27</f>
        <v>u</v>
      </c>
      <c r="F620" s="31" t="s">
        <v>538</v>
      </c>
      <c r="G620" s="246" t="str">
        <f>IF(ISNUMBER(Datos!R27),Datos!R27,"")</f>
        <v/>
      </c>
      <c r="H62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1" spans="1:8" ht="14.25" customHeight="1" x14ac:dyDescent="0.3">
      <c r="A621" s="245">
        <f>Datos!$R$3</f>
        <v>46661</v>
      </c>
      <c r="B621" s="199" t="str">
        <f>Datos!R$4</f>
        <v>Compresora</v>
      </c>
      <c r="C621" s="31" t="s">
        <v>556</v>
      </c>
      <c r="D621" s="31" t="inlineStr">
        <is>
          <t>Observaciones de comportamiento seguro: total del mes (OPS + SMP)</t>
        </is>
      </c>
      <c r="E621" s="199" t="str">
        <f>Datos!$C$28</f>
        <v>u</v>
      </c>
      <c r="F621" s="31" t="s">
        <v>538</v>
      </c>
      <c r="G621" s="246" t="str">
        <f>IF(COUNT(Datos!R28:R29)=0,"",SUM(Datos!R28:R29))</f>
        <v/>
      </c>
      <c r="H62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2" spans="1:8" ht="14.25" customHeight="1" x14ac:dyDescent="0.3">
      <c r="A622" s="245">
        <f>Datos!$R$3</f>
        <v>46661</v>
      </c>
      <c r="B622" s="199" t="str">
        <f>Datos!R$4</f>
        <v>Compresora</v>
      </c>
      <c r="C622" s="31" t="s">
        <v>557</v>
      </c>
      <c r="D622" s="199" t="str">
        <f>Datos!$B$30</f>
        <v>Investigaciones de accidentes cerradas en el mes</v>
      </c>
      <c r="E622" s="199" t="str">
        <f>Datos!$C$30</f>
        <v>u</v>
      </c>
      <c r="F622" s="31" t="s">
        <v>538</v>
      </c>
      <c r="G622" s="246" t="str">
        <f>IF(ISNUMBER(Datos!R30),Datos!R30,"")</f>
        <v/>
      </c>
      <c r="H62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3" spans="1:8" ht="14.25" customHeight="1" x14ac:dyDescent="0.3">
      <c r="A623" s="245">
        <f>Datos!$R$3</f>
        <v>46661</v>
      </c>
      <c r="B623" s="199" t="str">
        <f>Datos!R$4</f>
        <v>Compresora</v>
      </c>
      <c r="C623" s="31" t="s">
        <v>558</v>
      </c>
      <c r="D623" s="199" t="str">
        <f>Datos!$B$31</f>
        <v>Días que llevaron esas investigaciones (suma)</v>
      </c>
      <c r="E623" s="199" t="str">
        <f>Datos!$C$31</f>
        <v>días</v>
      </c>
      <c r="F623" s="31" t="s">
        <v>538</v>
      </c>
      <c r="G623" s="246" t="str">
        <f>IF(ISNUMBER(Datos!R31),Datos!R31,"")</f>
        <v/>
      </c>
      <c r="H62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4" spans="1:8" ht="14.25" customHeight="1" x14ac:dyDescent="0.3">
      <c r="A624" s="245">
        <f>Datos!$R$3</f>
        <v>46661</v>
      </c>
      <c r="B624" s="199" t="str">
        <f>Datos!R$4</f>
        <v>Compresora</v>
      </c>
      <c r="C624" s="31" t="s">
        <v>559</v>
      </c>
      <c r="D624" s="199" t="str">
        <f>Datos!$B$33</f>
        <v>Casos con días perdidos</v>
      </c>
      <c r="E624" s="199" t="str">
        <f>Datos!$C$33</f>
        <v>u</v>
      </c>
      <c r="F624" s="31" t="s">
        <v>538</v>
      </c>
      <c r="G624" s="246" t="str">
        <f>IF(ISNUMBER(Datos!R33),Datos!R33,"")</f>
        <v/>
      </c>
      <c r="H62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5" spans="1:8" ht="14.25" customHeight="1" x14ac:dyDescent="0.3">
      <c r="A625" s="245">
        <f>Datos!$R$3</f>
        <v>46661</v>
      </c>
      <c r="B625" s="199" t="str">
        <f>Datos!R$4</f>
        <v>Compresora</v>
      </c>
      <c r="C625" s="31" t="s">
        <v>560</v>
      </c>
      <c r="D625" s="199" t="str">
        <f>Datos!$B$34</f>
        <v>Casos con trabajo restringido</v>
      </c>
      <c r="E625" s="199" t="str">
        <f>Datos!$C$34</f>
        <v>u</v>
      </c>
      <c r="F625" s="31" t="s">
        <v>538</v>
      </c>
      <c r="G625" s="246" t="str">
        <f>IF(ISNUMBER(Datos!R34),Datos!R34,"")</f>
        <v/>
      </c>
      <c r="H62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6" spans="1:8" ht="14.25" customHeight="1" x14ac:dyDescent="0.3">
      <c r="A626" s="245">
        <f>Datos!$R$3</f>
        <v>46661</v>
      </c>
      <c r="B626" s="199" t="str">
        <f>Datos!R$4</f>
        <v>Compresora</v>
      </c>
      <c r="C626" s="31" t="s">
        <v>561</v>
      </c>
      <c r="D626" s="199" t="str">
        <f>Datos!$B$35</f>
        <v>Casos con tratamiento médico</v>
      </c>
      <c r="E626" s="199" t="str">
        <f>Datos!$C$35</f>
        <v>u</v>
      </c>
      <c r="F626" s="31" t="s">
        <v>538</v>
      </c>
      <c r="G626" s="246" t="str">
        <f>IF(ISNUMBER(Datos!R35),Datos!R35,"")</f>
        <v/>
      </c>
      <c r="H62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7" spans="1:8" ht="14.25" customHeight="1" x14ac:dyDescent="0.3">
      <c r="A627" s="245">
        <f>Datos!$R$3</f>
        <v>46661</v>
      </c>
      <c r="B627" s="199" t="str">
        <f>Datos!R$4</f>
        <v>Compresora</v>
      </c>
      <c r="C627" s="31" t="s">
        <v>562</v>
      </c>
      <c r="D627" s="199" t="str">
        <f>Datos!$B$36</f>
        <v>Fatalidades</v>
      </c>
      <c r="E627" s="199" t="str">
        <f>Datos!$C$36</f>
        <v>u</v>
      </c>
      <c r="F627" s="31" t="s">
        <v>538</v>
      </c>
      <c r="G627" s="246" t="str">
        <f>IF(ISNUMBER(Datos!R36),Datos!R36,"")</f>
        <v/>
      </c>
      <c r="H62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8" spans="1:8" ht="14.25" customHeight="1" x14ac:dyDescent="0.3">
      <c r="A628" s="245">
        <f>Datos!$R$3</f>
        <v>46661</v>
      </c>
      <c r="B628" s="199" t="str">
        <f>Datos!R$4</f>
        <v>Compresora</v>
      </c>
      <c r="C628" s="31" t="s">
        <v>51</v>
      </c>
      <c r="D628" s="199" t="str">
        <f>Datos!$B$37</f>
        <v>Casos de primeros auxilios</v>
      </c>
      <c r="E628" s="199" t="str">
        <f>Datos!$C$37</f>
        <v>u</v>
      </c>
      <c r="F628" s="31" t="s">
        <v>538</v>
      </c>
      <c r="G628" s="246" t="str">
        <f>IF(ISNUMBER(Datos!R37),Datos!R37,"")</f>
        <v/>
      </c>
      <c r="H62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9" spans="1:8" ht="14.25" customHeight="1" x14ac:dyDescent="0.3">
      <c r="A629" s="245">
        <f>Datos!$R$3</f>
        <v>46661</v>
      </c>
      <c r="B629" s="199" t="str">
        <f>Datos!R$4</f>
        <v>Compresora</v>
      </c>
      <c r="C629" s="31" t="s">
        <v>563</v>
      </c>
      <c r="D629" s="199" t="str">
        <f>Datos!$B$39</f>
        <v>CVM catastróficas</v>
      </c>
      <c r="E629" s="199" t="str">
        <f>Datos!$C$39</f>
        <v>u</v>
      </c>
      <c r="F629" s="31" t="s">
        <v>538</v>
      </c>
      <c r="G629" s="246" t="str">
        <f>IF(ISNUMBER(Datos!R39),Datos!R39,"")</f>
        <v/>
      </c>
      <c r="H62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0" spans="1:8" ht="14.25" customHeight="1" x14ac:dyDescent="0.3">
      <c r="A630" s="245">
        <f>Datos!$R$3</f>
        <v>46661</v>
      </c>
      <c r="B630" s="199" t="str">
        <f>Datos!R$4</f>
        <v>Compresora</v>
      </c>
      <c r="C630" s="31" t="s">
        <v>564</v>
      </c>
      <c r="D630" s="199" t="str">
        <f>Datos!$B$40</f>
        <v>CVM mayores</v>
      </c>
      <c r="E630" s="199" t="str">
        <f>Datos!$C$40</f>
        <v>u</v>
      </c>
      <c r="F630" s="31" t="s">
        <v>538</v>
      </c>
      <c r="G630" s="246" t="str">
        <f>IF(ISNUMBER(Datos!R40),Datos!R40,"")</f>
        <v/>
      </c>
      <c r="H63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1" spans="1:8" ht="14.25" customHeight="1" x14ac:dyDescent="0.3">
      <c r="A631" s="245">
        <f>Datos!$R$3</f>
        <v>46661</v>
      </c>
      <c r="B631" s="199" t="str">
        <f>Datos!R$4</f>
        <v>Compresora</v>
      </c>
      <c r="C631" s="31" t="s">
        <v>565</v>
      </c>
      <c r="D631" s="199" t="str">
        <f>Datos!$B$41</f>
        <v>CVM serias</v>
      </c>
      <c r="E631" s="199" t="str">
        <f>Datos!$C$41</f>
        <v>u</v>
      </c>
      <c r="F631" s="31" t="s">
        <v>538</v>
      </c>
      <c r="G631" s="246" t="str">
        <f>IF(ISNUMBER(Datos!R41),Datos!R41,"")</f>
        <v/>
      </c>
      <c r="H63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2" spans="1:8" ht="14.25" customHeight="1" x14ac:dyDescent="0.3">
      <c r="A632" s="245">
        <f>Datos!$R$3</f>
        <v>46661</v>
      </c>
      <c r="B632" s="199" t="str">
        <f>Datos!R$4</f>
        <v>Compresora</v>
      </c>
      <c r="C632" s="31" t="s">
        <v>566</v>
      </c>
      <c r="D632" s="199" t="str">
        <f>Datos!$B$42</f>
        <v>CVM otras / menores</v>
      </c>
      <c r="E632" s="199" t="str">
        <f>Datos!$C$42</f>
        <v>u</v>
      </c>
      <c r="F632" s="31" t="s">
        <v>538</v>
      </c>
      <c r="G632" s="246" t="str">
        <f>IF(ISNUMBER(Datos!R42),Datos!R42,"")</f>
        <v/>
      </c>
      <c r="H63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3" spans="1:8" ht="14.25" customHeight="1" x14ac:dyDescent="0.3">
      <c r="A633" s="245">
        <f>Datos!$R$3</f>
        <v>46661</v>
      </c>
      <c r="B633" s="199" t="str">
        <f>Datos!R$4</f>
        <v>Compresora</v>
      </c>
      <c r="C633" s="31" t="s">
        <v>567</v>
      </c>
      <c r="D633" s="199" t="str">
        <f>Datos!$B$44</f>
        <v>Km recorridos: vehículos livianos (camionetas)</v>
      </c>
      <c r="E633" s="199" t="str">
        <f>Datos!$C$44</f>
        <v>km</v>
      </c>
      <c r="F633" s="31" t="s">
        <v>538</v>
      </c>
      <c r="G633" s="246" t="str">
        <f>IF(ISNUMBER(Datos!R44),Datos!R44,"")</f>
        <v/>
      </c>
      <c r="H63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4" spans="1:8" ht="14.25" customHeight="1" x14ac:dyDescent="0.3">
      <c r="A634" s="245">
        <f>Datos!$R$3</f>
        <v>46661</v>
      </c>
      <c r="B634" s="199" t="str">
        <f>Datos!R$4</f>
        <v>Compresora</v>
      </c>
      <c r="C634" s="31" t="s">
        <v>568</v>
      </c>
      <c r="D634" s="199" t="str">
        <f>Datos!$B$45</f>
        <v>Km recorridos: vehículos pesados (camiones)</v>
      </c>
      <c r="E634" s="199" t="str">
        <f>Datos!$C$45</f>
        <v>km</v>
      </c>
      <c r="F634" s="31" t="s">
        <v>538</v>
      </c>
      <c r="G634" s="246" t="str">
        <f>IF(ISNUMBER(Datos!R45),Datos!R45,"")</f>
        <v/>
      </c>
      <c r="H63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5" spans="1:8" ht="14.25" customHeight="1" x14ac:dyDescent="0.3">
      <c r="A635" s="245">
        <f>Datos!$R$3</f>
        <v>46661</v>
      </c>
      <c r="B635" s="199" t="str">
        <f>Datos!R$4</f>
        <v>Compresora</v>
      </c>
      <c r="C635" s="31" t="s">
        <v>569</v>
      </c>
      <c r="D635" s="199" t="str">
        <f>Datos!$B$46</f>
        <v>Km recorridos: vehículos de transporte de personal (combis)</v>
      </c>
      <c r="E635" s="199" t="str">
        <f>Datos!$C$46</f>
        <v>km</v>
      </c>
      <c r="F635" s="31" t="s">
        <v>538</v>
      </c>
      <c r="G635" s="246" t="str">
        <f>IF(ISNUMBER(Datos!R46),Datos!R46,"")</f>
        <v/>
      </c>
      <c r="H63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6" spans="1:8" ht="14.25" customHeight="1" x14ac:dyDescent="0.3">
      <c r="A636" s="245">
        <f>Datos!$R$3</f>
        <v>46661</v>
      </c>
      <c r="B636" s="199" t="str">
        <f>Datos!R$4</f>
        <v>Compresora</v>
      </c>
      <c r="C636" s="31" t="s">
        <v>570</v>
      </c>
      <c r="D636" s="199" t="str">
        <f>Datos!$B$47</f>
        <v>Km recorridos: TOTAL</v>
      </c>
      <c r="E636" s="199" t="str">
        <f>Datos!$C$47</f>
        <v>km</v>
      </c>
      <c r="F636" s="31" t="s">
        <v>541</v>
      </c>
      <c r="G636" s="246">
        <f>IF(ISNUMBER(Datos!R47),Datos!R47,"")</f>
        <v>0</v>
      </c>
      <c r="H63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7" spans="1:8" ht="14.25" customHeight="1" x14ac:dyDescent="0.3">
      <c r="A637" s="245">
        <f>Datos!$R$3</f>
        <v>46661</v>
      </c>
      <c r="B637" s="199" t="str">
        <f>Datos!R$4</f>
        <v>Compresora</v>
      </c>
      <c r="C637" s="31" t="s">
        <v>571</v>
      </c>
      <c r="D637" s="199" t="str">
        <f>Datos!$B$67</f>
        <v>Hallazgos (desvíos) cerrados en el mes</v>
      </c>
      <c r="E637" s="199" t="str">
        <f>Datos!$C$67</f>
        <v>u</v>
      </c>
      <c r="F637" s="31" t="s">
        <v>572</v>
      </c>
      <c r="G637" s="246" t="str">
        <f>IF(ISNUMBER(Datos!R67),Datos!R67,"")</f>
        <v/>
      </c>
      <c r="H63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8" spans="1:8" ht="14.25" customHeight="1" x14ac:dyDescent="0.3">
      <c r="A638" s="245">
        <f>Datos!$R$3</f>
        <v>46661</v>
      </c>
      <c r="B638" s="199" t="str">
        <f>Datos!R$4</f>
        <v>Compresora</v>
      </c>
      <c r="C638" s="31" t="s">
        <v>573</v>
      </c>
      <c r="D638" s="199" t="str">
        <f>Datos!$B$68</f>
        <v>Días que llevaron esos hallazgos (suma)</v>
      </c>
      <c r="E638" s="199" t="str">
        <f>Datos!$C$68</f>
        <v>días</v>
      </c>
      <c r="F638" s="31" t="s">
        <v>572</v>
      </c>
      <c r="G638" s="246" t="str">
        <f>IF(ISNUMBER(Datos!R68),Datos!R68,"")</f>
        <v/>
      </c>
      <c r="H63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9" spans="1:8" ht="14.25" customHeight="1" x14ac:dyDescent="0.3">
      <c r="A639" s="245">
        <f>Datos!$R$3</f>
        <v>46661</v>
      </c>
      <c r="B639" s="199" t="str">
        <f>Datos!R$4</f>
        <v>Compresora</v>
      </c>
      <c r="C639" s="31" t="s">
        <v>574</v>
      </c>
      <c r="D639" s="199" t="str">
        <f>Datos!$B$69</f>
        <v>Hallazgos (desvíos) abiertos a fin de mes</v>
      </c>
      <c r="E639" s="199" t="str">
        <f>Datos!$C$69</f>
        <v>u</v>
      </c>
      <c r="F639" s="31" t="s">
        <v>572</v>
      </c>
      <c r="G639" s="246" t="str">
        <f>IF(ISNUMBER(Datos!R69),Datos!R69,"")</f>
        <v/>
      </c>
      <c r="H63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0" spans="1:8" ht="14.25" customHeight="1" x14ac:dyDescent="0.3">
      <c r="A640" s="245">
        <f>Datos!$R$3</f>
        <v>46661</v>
      </c>
      <c r="B640" s="199" t="str">
        <f>Datos!R$4</f>
        <v>Compresora</v>
      </c>
      <c r="C640" s="31" t="s">
        <v>575</v>
      </c>
      <c r="D640" s="199" t="str">
        <f>Datos!$B$70</f>
        <v>Hallazgos (desvíos) detectados en el mes</v>
      </c>
      <c r="E640" s="199" t="str">
        <f>Datos!$C$70</f>
        <v>u</v>
      </c>
      <c r="F640" s="31" t="s">
        <v>572</v>
      </c>
      <c r="G640" s="246" t="str">
        <f>IF(ISNUMBER(Datos!R70),Datos!R70,"")</f>
        <v/>
      </c>
      <c r="H64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1" spans="1:8" ht="14.25" customHeight="1" x14ac:dyDescent="0.3">
      <c r="A641" s="245">
        <f>Datos!$R$3</f>
        <v>46661</v>
      </c>
      <c r="B641" s="199" t="str">
        <f>Datos!R$4</f>
        <v>Compresora</v>
      </c>
      <c r="C641" s="31" t="s">
        <v>576</v>
      </c>
      <c r="D641" s="199" t="str">
        <f>Datos!$B$71</f>
        <v>Desvíos detectados en el mes · gravedad Alta</v>
      </c>
      <c r="E641" s="199" t="str">
        <f>Datos!$C$71</f>
        <v>u</v>
      </c>
      <c r="F641" s="31" t="s">
        <v>572</v>
      </c>
      <c r="G641" s="246" t="str">
        <f>IF(ISNUMBER(Datos!R71),Datos!R71,"")</f>
        <v/>
      </c>
      <c r="H64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2" spans="1:8" ht="14.25" customHeight="1" x14ac:dyDescent="0.3">
      <c r="A642" s="245">
        <f>Datos!$R$3</f>
        <v>46661</v>
      </c>
      <c r="B642" s="199" t="str">
        <f>Datos!R$4</f>
        <v>Compresora</v>
      </c>
      <c r="C642" s="31" t="s">
        <v>577</v>
      </c>
      <c r="D642" s="199" t="str">
        <f>Datos!$B$72</f>
        <v>Desvíos detectados en el mes · gravedad Media</v>
      </c>
      <c r="E642" s="199" t="str">
        <f>Datos!$C$72</f>
        <v>u</v>
      </c>
      <c r="F642" s="31" t="s">
        <v>572</v>
      </c>
      <c r="G642" s="246" t="str">
        <f>IF(ISNUMBER(Datos!R72),Datos!R72,"")</f>
        <v/>
      </c>
      <c r="H64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3" spans="1:8" ht="14.25" customHeight="1" x14ac:dyDescent="0.3">
      <c r="A643" s="245">
        <f>Datos!$R$3</f>
        <v>46661</v>
      </c>
      <c r="B643" s="199" t="str">
        <f>Datos!R$4</f>
        <v>Compresora</v>
      </c>
      <c r="C643" s="31" t="s">
        <v>578</v>
      </c>
      <c r="D643" s="199" t="str">
        <f>Datos!$B$73</f>
        <v>Desvíos detectados en el mes · gravedad Baja</v>
      </c>
      <c r="E643" s="199" t="str">
        <f>Datos!$C$73</f>
        <v>u</v>
      </c>
      <c r="F643" s="31" t="s">
        <v>572</v>
      </c>
      <c r="G643" s="246" t="str">
        <f>IF(ISNUMBER(Datos!R73),Datos!R73,"")</f>
        <v/>
      </c>
      <c r="H64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4" spans="1:8" ht="14.25" customHeight="1" x14ac:dyDescent="0.3">
      <c r="A644" s="245">
        <f>Datos!$R$3</f>
        <v>46661</v>
      </c>
      <c r="B644" s="199" t="str">
        <f>Datos!R$4</f>
        <v>Compresora</v>
      </c>
      <c r="C644" s="31" t="s">
        <v>579</v>
      </c>
      <c r="D644" s="199" t="str">
        <f>Datos!$B$74</f>
        <v>Desvíos detectados en el mes · sin gravedad cargada</v>
      </c>
      <c r="E644" s="199" t="str">
        <f>Datos!$C$74</f>
        <v>u</v>
      </c>
      <c r="F644" s="31" t="s">
        <v>572</v>
      </c>
      <c r="G644" s="246">
        <f>IF(ISNUMBER(Datos!R74),Datos!R74,"")</f>
        <v>0</v>
      </c>
      <c r="H64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5" spans="1:8" ht="14.25" customHeight="1" x14ac:dyDescent="0.3">
      <c r="A645" s="245">
        <f>Datos!$R$3</f>
        <v>46661</v>
      </c>
      <c r="B645" s="199" t="str">
        <f>Datos!R$4</f>
        <v>Compresora</v>
      </c>
      <c r="C645" s="31" t="s">
        <v>580</v>
      </c>
      <c r="D645" s="199" t="str">
        <f>Datos!$B$75</f>
        <v>Detenciones de tareas aplicadas en el mes (Política = Sí)</v>
      </c>
      <c r="E645" s="199" t="str">
        <f>Datos!$C$75</f>
        <v>u</v>
      </c>
      <c r="F645" s="31" t="s">
        <v>572</v>
      </c>
      <c r="G645" s="246" t="str">
        <f>IF(ISNUMBER(Datos!R75),Datos!R75,"")</f>
        <v/>
      </c>
      <c r="H64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6" spans="1:8" ht="14.25" customHeight="1" x14ac:dyDescent="0.3">
      <c r="A646" s="245">
        <f>Datos!$R$3</f>
        <v>46661</v>
      </c>
      <c r="B646" s="199" t="str">
        <f>Datos!R$4</f>
        <v>Compresora</v>
      </c>
      <c r="C646" s="31" t="s">
        <v>581</v>
      </c>
      <c r="D646" s="199" t="str">
        <f>Datos!$B$76</f>
        <v>Desvíos de gravedad Alta abiertos a fin de mes</v>
      </c>
      <c r="E646" s="199" t="str">
        <f>Datos!$C$76</f>
        <v>u</v>
      </c>
      <c r="F646" s="31" t="s">
        <v>572</v>
      </c>
      <c r="G646" s="246" t="str">
        <f>IF(ISNUMBER(Datos!R76),Datos!R76,"")</f>
        <v/>
      </c>
      <c r="H64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7" spans="1:8" ht="14.25" customHeight="1" x14ac:dyDescent="0.3">
      <c r="A647" s="245">
        <f>Datos!$S$3</f>
        <v>46692</v>
      </c>
      <c r="B647" s="199" t="str">
        <f>Datos!S$4</f>
        <v>Compresora</v>
      </c>
      <c r="C647" s="31" t="s">
        <v>537</v>
      </c>
      <c r="D647" s="199" t="str">
        <f>Datos!$B$9</f>
        <v>Dotación promedio: Personal OPS</v>
      </c>
      <c r="E647" s="199" t="str">
        <f>Datos!$C$9</f>
        <v>pers</v>
      </c>
      <c r="F647" s="31" t="s">
        <v>538</v>
      </c>
      <c r="G647" s="246" t="str">
        <f>IF(ISNUMBER(Datos!S9),Datos!S9,"")</f>
        <v/>
      </c>
      <c r="H64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8" spans="1:8" ht="14.25" customHeight="1" x14ac:dyDescent="0.3">
      <c r="A648" s="245">
        <f>Datos!$S$3</f>
        <v>46692</v>
      </c>
      <c r="B648" s="199" t="str">
        <f>Datos!S$4</f>
        <v>Compresora</v>
      </c>
      <c r="C648" s="31" t="s">
        <v>539</v>
      </c>
      <c r="D648" s="199" t="str">
        <f>Datos!$B$10</f>
        <v>Dotación promedio: Personal SMP(IEBC, PAE e YPF) </v>
      </c>
      <c r="E648" s="199" t="str">
        <f>Datos!$C$10</f>
        <v>pers</v>
      </c>
      <c r="F648" s="31" t="s">
        <v>538</v>
      </c>
      <c r="G648" s="246" t="str">
        <f>IF(ISNUMBER(Datos!S10),Datos!S10,"")</f>
        <v/>
      </c>
      <c r="H64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9" spans="1:8" ht="14.25" customHeight="1" x14ac:dyDescent="0.3">
      <c r="A649" s="245">
        <f>Datos!$S$3</f>
        <v>46692</v>
      </c>
      <c r="B649" s="199" t="str">
        <f>Datos!S$4</f>
        <v>Compresora</v>
      </c>
      <c r="C649" s="31" t="s">
        <v>540</v>
      </c>
      <c r="D649" s="199" t="str">
        <f>Datos!$B$11</f>
        <v>Dotación promedio: TOTAL</v>
      </c>
      <c r="E649" s="199" t="str">
        <f>Datos!$C$11</f>
        <v>pers</v>
      </c>
      <c r="F649" s="31" t="s">
        <v>541</v>
      </c>
      <c r="G649" s="246">
        <f>IF(ISNUMBER(Datos!S11),Datos!S11,"")</f>
        <v>0</v>
      </c>
      <c r="H64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0" spans="1:8" ht="14.25" customHeight="1" x14ac:dyDescent="0.3">
      <c r="A650" s="245">
        <f>Datos!$S$3</f>
        <v>46692</v>
      </c>
      <c r="B650" s="199" t="str">
        <f>Datos!S$4</f>
        <v>Compresora</v>
      </c>
      <c r="C650" s="31" t="s">
        <v>542</v>
      </c>
      <c r="D650" s="199" t="str">
        <f>Datos!$B$12</f>
        <v>Horas hombre trabajadas: Personal OPS</v>
      </c>
      <c r="E650" s="199" t="str">
        <f>Datos!$C$12</f>
        <v>h</v>
      </c>
      <c r="F650" s="31" t="s">
        <v>538</v>
      </c>
      <c r="G650" s="246" t="str">
        <f>IF(ISNUMBER(Datos!S12),Datos!S12,"")</f>
        <v/>
      </c>
      <c r="H65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1" spans="1:8" ht="14.25" customHeight="1" x14ac:dyDescent="0.3">
      <c r="A651" s="245">
        <f>Datos!$S$3</f>
        <v>46692</v>
      </c>
      <c r="B651" s="199" t="str">
        <f>Datos!S$4</f>
        <v>Compresora</v>
      </c>
      <c r="C651" s="31" t="s">
        <v>543</v>
      </c>
      <c r="D651" s="199" t="str">
        <f>Datos!$B$13</f>
        <v>Horas hombre trabajadas: Personal SMP(IEBC, PAE e YPF) en campo</v>
      </c>
      <c r="E651" s="199" t="str">
        <f>Datos!$C$13</f>
        <v>h</v>
      </c>
      <c r="F651" s="31" t="s">
        <v>538</v>
      </c>
      <c r="G651" s="246" t="str">
        <f>IF(ISNUMBER(Datos!S13),Datos!S13,"")</f>
        <v/>
      </c>
      <c r="H65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2" spans="1:8" ht="14.25" customHeight="1" x14ac:dyDescent="0.3">
      <c r="A652" s="245">
        <f>Datos!$S$3</f>
        <v>46692</v>
      </c>
      <c r="B652" s="199" t="str">
        <f>Datos!S$4</f>
        <v>Compresora</v>
      </c>
      <c r="C652" s="31" t="s">
        <v>544</v>
      </c>
      <c r="D652" s="199" t="str">
        <f>Datos!$B$14</f>
        <v>Horas hombre trabajadas: TOTAL</v>
      </c>
      <c r="E652" s="199" t="str">
        <f>Datos!$C$14</f>
        <v>h</v>
      </c>
      <c r="F652" s="31" t="s">
        <v>541</v>
      </c>
      <c r="G652" s="246">
        <f>IF(ISNUMBER(Datos!S14),Datos!S14,"")</f>
        <v>0</v>
      </c>
      <c r="H65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3" spans="1:8" ht="14.25" customHeight="1" x14ac:dyDescent="0.3">
      <c r="A653" s="245">
        <f>Datos!$S$3</f>
        <v>46692</v>
      </c>
      <c r="B653" s="199" t="str">
        <f>Datos!S$4</f>
        <v>Compresora</v>
      </c>
      <c r="C653" s="31" t="s">
        <v>545</v>
      </c>
      <c r="D653" s="199" t="str">
        <f>Datos!$B$16</f>
        <v>Horas hombre de formación en seguridad: Personal OPS</v>
      </c>
      <c r="E653" s="199" t="str">
        <f>Datos!$C$16</f>
        <v>h</v>
      </c>
      <c r="F653" s="31" t="s">
        <v>538</v>
      </c>
      <c r="G653" s="246" t="str">
        <f>IF(ISNUMBER(Datos!S16),Datos!S16,"")</f>
        <v/>
      </c>
      <c r="H65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4" spans="1:8" ht="14.25" customHeight="1" x14ac:dyDescent="0.3">
      <c r="A654" s="245">
        <f>Datos!$S$3</f>
        <v>46692</v>
      </c>
      <c r="B654" s="199" t="str">
        <f>Datos!S$4</f>
        <v>Compresora</v>
      </c>
      <c r="C654" s="31" t="s">
        <v>546</v>
      </c>
      <c r="D654" s="199" t="str">
        <f>Datos!$B$17</f>
        <v>Horas hombre de formación en seguridad: Personal SMP(IEBC, PAE e YPF) </v>
      </c>
      <c r="E654" s="199" t="str">
        <f>Datos!$C$17</f>
        <v>h</v>
      </c>
      <c r="F654" s="31" t="s">
        <v>538</v>
      </c>
      <c r="G654" s="246" t="str">
        <f>IF(ISNUMBER(Datos!S17),Datos!S17,"")</f>
        <v/>
      </c>
      <c r="H65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5" spans="1:8" ht="14.25" customHeight="1" x14ac:dyDescent="0.3">
      <c r="A655" s="245">
        <f>Datos!$S$3</f>
        <v>46692</v>
      </c>
      <c r="B655" s="199" t="str">
        <f>Datos!S$4</f>
        <v>Compresora</v>
      </c>
      <c r="C655" s="31" t="s">
        <v>547</v>
      </c>
      <c r="D655" s="199" t="str">
        <f>Datos!$B$18</f>
        <v>Horas hombre de formación en seguridad: TOTAL</v>
      </c>
      <c r="E655" s="199" t="str">
        <f>Datos!$C$18</f>
        <v>h</v>
      </c>
      <c r="F655" s="31" t="s">
        <v>541</v>
      </c>
      <c r="G655" s="246">
        <f>IF(ISNUMBER(Datos!S18),Datos!S18,"")</f>
        <v>0</v>
      </c>
      <c r="H65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6" spans="1:8" ht="14.25" customHeight="1" x14ac:dyDescent="0.3">
      <c r="A656" s="245">
        <f>Datos!$S$3</f>
        <v>46692</v>
      </c>
      <c r="B656" s="199" t="str">
        <f>Datos!S$4</f>
        <v>Compresora</v>
      </c>
      <c r="C656" s="31" t="s">
        <v>548</v>
      </c>
      <c r="D656" s="199" t="str">
        <f>Datos!$B$20</f>
        <v>SIMULACROS · Realizados (emergencia y operativos)</v>
      </c>
      <c r="E656" s="199" t="str">
        <f>Datos!$C$20</f>
        <v>u</v>
      </c>
      <c r="F656" s="31" t="s">
        <v>538</v>
      </c>
      <c r="G656" s="246" t="str">
        <f>IF(ISNUMBER(Datos!S20),Datos!S20,"")</f>
        <v/>
      </c>
      <c r="H65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7" spans="1:8" ht="14.25" customHeight="1" x14ac:dyDescent="0.3">
      <c r="A657" s="245">
        <f>Datos!$S$3</f>
        <v>46692</v>
      </c>
      <c r="B657" s="199" t="str">
        <f>Datos!S$4</f>
        <v>Compresora</v>
      </c>
      <c r="C657" s="31" t="s">
        <v>549</v>
      </c>
      <c r="D657" s="199" t="str">
        <f>Datos!$B$21</f>
        <v>SIMULACROS · Programados (emergencia y operativos)</v>
      </c>
      <c r="E657" s="199" t="str">
        <f>Datos!$C$21</f>
        <v>u</v>
      </c>
      <c r="F657" s="31" t="s">
        <v>538</v>
      </c>
      <c r="G657" s="246" t="str">
        <f>IF(ISNUMBER(Datos!S21),Datos!S21,"")</f>
        <v/>
      </c>
      <c r="H65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8" spans="1:8" ht="14.25" customHeight="1" x14ac:dyDescent="0.3">
      <c r="A658" s="245">
        <f>Datos!$S$3</f>
        <v>46692</v>
      </c>
      <c r="B658" s="199" t="str">
        <f>Datos!S$4</f>
        <v>Compresora</v>
      </c>
      <c r="C658" s="31" t="s">
        <v>550</v>
      </c>
      <c r="D658" s="199" t="str">
        <f>Datos!$B$22</f>
        <v>SIMULACROS · Acciones de mejora surgidas de los simulacros (en el mes informado)</v>
      </c>
      <c r="E658" s="199" t="str">
        <f>Datos!$C$22</f>
        <v>u</v>
      </c>
      <c r="F658" s="31" t="s">
        <v>538</v>
      </c>
      <c r="G658" s="246" t="str">
        <f>IF(ISNUMBER(Datos!S22),Datos!S22,"")</f>
        <v/>
      </c>
      <c r="H65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9" spans="1:8" ht="14.25" customHeight="1" x14ac:dyDescent="0.3">
      <c r="A659" s="245">
        <f>Datos!$S$3</f>
        <v>46692</v>
      </c>
      <c r="B659" s="199" t="str">
        <f>Datos!S$4</f>
        <v>Compresora</v>
      </c>
      <c r="C659" s="31" t="s">
        <v>551</v>
      </c>
      <c r="D659" s="199" t="str">
        <f>Datos!$B$23</f>
        <v>SIMULACROS · Acciones de mejora implementadas surgidas de los simulacros (ICME) (en el mes informado)</v>
      </c>
      <c r="E659" s="199" t="str">
        <f>Datos!$C$23</f>
        <v>u</v>
      </c>
      <c r="F659" s="31" t="s">
        <v>538</v>
      </c>
      <c r="G659" s="246" t="str">
        <f>IF(ISNUMBER(Datos!S23),Datos!S23,"")</f>
        <v/>
      </c>
      <c r="H65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0" spans="1:8" ht="14.25" customHeight="1" x14ac:dyDescent="0.3">
      <c r="A660" s="245">
        <f>Datos!$S$3</f>
        <v>46692</v>
      </c>
      <c r="B660" s="199" t="str">
        <f>Datos!S$4</f>
        <v>Compresora</v>
      </c>
      <c r="C660" s="31" t="s">
        <v>552</v>
      </c>
      <c r="D660" s="199" t="str">
        <f>Datos!$B$24</f>
        <v>Caminatas gerenciales realizadas</v>
      </c>
      <c r="E660" s="199" t="str">
        <f>Datos!$C$24</f>
        <v>u</v>
      </c>
      <c r="F660" s="31" t="s">
        <v>538</v>
      </c>
      <c r="G660" s="246" t="str">
        <f>IF(ISNUMBER(Datos!S24),Datos!S24,"")</f>
        <v/>
      </c>
      <c r="H66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1" spans="1:8" ht="14.25" customHeight="1" x14ac:dyDescent="0.3">
      <c r="A661" s="245">
        <f>Datos!$S$3</f>
        <v>46692</v>
      </c>
      <c r="B661" s="199" t="str">
        <f>Datos!S$4</f>
        <v>Compresora</v>
      </c>
      <c r="C661" s="31" t="s">
        <v>553</v>
      </c>
      <c r="D661" s="199" t="str">
        <f>Datos!$B$25</f>
        <v>Caminatas gerenciales planificadas</v>
      </c>
      <c r="E661" s="199" t="str">
        <f>Datos!$C$25</f>
        <v>u</v>
      </c>
      <c r="F661" s="31" t="s">
        <v>538</v>
      </c>
      <c r="G661" s="246" t="str">
        <f>IF(ISNUMBER(Datos!S25),Datos!S25,"")</f>
        <v/>
      </c>
      <c r="H66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2" spans="1:8" ht="14.25" customHeight="1" x14ac:dyDescent="0.3">
      <c r="A662" s="245">
        <f>Datos!$S$3</f>
        <v>46692</v>
      </c>
      <c r="B662" s="199" t="str">
        <f>Datos!S$4</f>
        <v>Compresora</v>
      </c>
      <c r="C662" s="31" t="s">
        <v>554</v>
      </c>
      <c r="D662" s="199" t="str">
        <f>Datos!$B$26</f>
        <v>Comités y subcomités de seguridad realizados</v>
      </c>
      <c r="E662" s="199" t="str">
        <f>Datos!$C$26</f>
        <v>u</v>
      </c>
      <c r="F662" s="31" t="s">
        <v>538</v>
      </c>
      <c r="G662" s="246" t="str">
        <f>IF(ISNUMBER(Datos!S26),Datos!S26,"")</f>
        <v/>
      </c>
      <c r="H66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3" spans="1:8" ht="14.25" customHeight="1" x14ac:dyDescent="0.3">
      <c r="A663" s="245">
        <f>Datos!$S$3</f>
        <v>46692</v>
      </c>
      <c r="B663" s="199" t="str">
        <f>Datos!S$4</f>
        <v>Compresora</v>
      </c>
      <c r="C663" s="31" t="s">
        <v>555</v>
      </c>
      <c r="D663" s="199" t="str">
        <f>Datos!$B$27</f>
        <v>Comités y subcomités de seguridad planificados</v>
      </c>
      <c r="E663" s="199" t="str">
        <f>Datos!$C$27</f>
        <v>u</v>
      </c>
      <c r="F663" s="31" t="s">
        <v>538</v>
      </c>
      <c r="G663" s="246" t="str">
        <f>IF(ISNUMBER(Datos!S27),Datos!S27,"")</f>
        <v/>
      </c>
      <c r="H66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4" spans="1:8" ht="14.25" customHeight="1" x14ac:dyDescent="0.3">
      <c r="A664" s="245">
        <f>Datos!$S$3</f>
        <v>46692</v>
      </c>
      <c r="B664" s="199" t="str">
        <f>Datos!S$4</f>
        <v>Compresora</v>
      </c>
      <c r="C664" s="31" t="s">
        <v>556</v>
      </c>
      <c r="D664" s="31" t="inlineStr">
        <is>
          <t>Observaciones de comportamiento seguro: total del mes (OPS + SMP)</t>
        </is>
      </c>
      <c r="E664" s="199" t="str">
        <f>Datos!$C$28</f>
        <v>u</v>
      </c>
      <c r="F664" s="31" t="s">
        <v>538</v>
      </c>
      <c r="G664" s="246" t="str">
        <f>IF(COUNT(Datos!S28:S29)=0,"",SUM(Datos!S28:S29))</f>
        <v/>
      </c>
      <c r="H66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5" spans="1:8" ht="14.25" customHeight="1" x14ac:dyDescent="0.3">
      <c r="A665" s="245">
        <f>Datos!$S$3</f>
        <v>46692</v>
      </c>
      <c r="B665" s="199" t="str">
        <f>Datos!S$4</f>
        <v>Compresora</v>
      </c>
      <c r="C665" s="31" t="s">
        <v>557</v>
      </c>
      <c r="D665" s="199" t="str">
        <f>Datos!$B$30</f>
        <v>Investigaciones de accidentes cerradas en el mes</v>
      </c>
      <c r="E665" s="199" t="str">
        <f>Datos!$C$30</f>
        <v>u</v>
      </c>
      <c r="F665" s="31" t="s">
        <v>538</v>
      </c>
      <c r="G665" s="246" t="str">
        <f>IF(ISNUMBER(Datos!S30),Datos!S30,"")</f>
        <v/>
      </c>
      <c r="H66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6" spans="1:8" ht="14.25" customHeight="1" x14ac:dyDescent="0.3">
      <c r="A666" s="245">
        <f>Datos!$S$3</f>
        <v>46692</v>
      </c>
      <c r="B666" s="199" t="str">
        <f>Datos!S$4</f>
        <v>Compresora</v>
      </c>
      <c r="C666" s="31" t="s">
        <v>558</v>
      </c>
      <c r="D666" s="199" t="str">
        <f>Datos!$B$31</f>
        <v>Días que llevaron esas investigaciones (suma)</v>
      </c>
      <c r="E666" s="199" t="str">
        <f>Datos!$C$31</f>
        <v>días</v>
      </c>
      <c r="F666" s="31" t="s">
        <v>538</v>
      </c>
      <c r="G666" s="246" t="str">
        <f>IF(ISNUMBER(Datos!S31),Datos!S31,"")</f>
        <v/>
      </c>
      <c r="H66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7" spans="1:8" ht="14.25" customHeight="1" x14ac:dyDescent="0.3">
      <c r="A667" s="245">
        <f>Datos!$S$3</f>
        <v>46692</v>
      </c>
      <c r="B667" s="199" t="str">
        <f>Datos!S$4</f>
        <v>Compresora</v>
      </c>
      <c r="C667" s="31" t="s">
        <v>559</v>
      </c>
      <c r="D667" s="199" t="str">
        <f>Datos!$B$33</f>
        <v>Casos con días perdidos</v>
      </c>
      <c r="E667" s="199" t="str">
        <f>Datos!$C$33</f>
        <v>u</v>
      </c>
      <c r="F667" s="31" t="s">
        <v>538</v>
      </c>
      <c r="G667" s="246" t="str">
        <f>IF(ISNUMBER(Datos!S33),Datos!S33,"")</f>
        <v/>
      </c>
      <c r="H66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8" spans="1:8" ht="14.25" customHeight="1" x14ac:dyDescent="0.3">
      <c r="A668" s="245">
        <f>Datos!$S$3</f>
        <v>46692</v>
      </c>
      <c r="B668" s="199" t="str">
        <f>Datos!S$4</f>
        <v>Compresora</v>
      </c>
      <c r="C668" s="31" t="s">
        <v>560</v>
      </c>
      <c r="D668" s="199" t="str">
        <f>Datos!$B$34</f>
        <v>Casos con trabajo restringido</v>
      </c>
      <c r="E668" s="199" t="str">
        <f>Datos!$C$34</f>
        <v>u</v>
      </c>
      <c r="F668" s="31" t="s">
        <v>538</v>
      </c>
      <c r="G668" s="246" t="str">
        <f>IF(ISNUMBER(Datos!S34),Datos!S34,"")</f>
        <v/>
      </c>
      <c r="H66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9" spans="1:8" ht="14.25" customHeight="1" x14ac:dyDescent="0.3">
      <c r="A669" s="245">
        <f>Datos!$S$3</f>
        <v>46692</v>
      </c>
      <c r="B669" s="199" t="str">
        <f>Datos!S$4</f>
        <v>Compresora</v>
      </c>
      <c r="C669" s="31" t="s">
        <v>561</v>
      </c>
      <c r="D669" s="199" t="str">
        <f>Datos!$B$35</f>
        <v>Casos con tratamiento médico</v>
      </c>
      <c r="E669" s="199" t="str">
        <f>Datos!$C$35</f>
        <v>u</v>
      </c>
      <c r="F669" s="31" t="s">
        <v>538</v>
      </c>
      <c r="G669" s="246" t="str">
        <f>IF(ISNUMBER(Datos!S35),Datos!S35,"")</f>
        <v/>
      </c>
      <c r="H66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0" spans="1:8" ht="14.25" customHeight="1" x14ac:dyDescent="0.3">
      <c r="A670" s="245">
        <f>Datos!$S$3</f>
        <v>46692</v>
      </c>
      <c r="B670" s="199" t="str">
        <f>Datos!S$4</f>
        <v>Compresora</v>
      </c>
      <c r="C670" s="31" t="s">
        <v>562</v>
      </c>
      <c r="D670" s="199" t="str">
        <f>Datos!$B$36</f>
        <v>Fatalidades</v>
      </c>
      <c r="E670" s="199" t="str">
        <f>Datos!$C$36</f>
        <v>u</v>
      </c>
      <c r="F670" s="31" t="s">
        <v>538</v>
      </c>
      <c r="G670" s="246" t="str">
        <f>IF(ISNUMBER(Datos!S36),Datos!S36,"")</f>
        <v/>
      </c>
      <c r="H67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1" spans="1:8" ht="14.25" customHeight="1" x14ac:dyDescent="0.3">
      <c r="A671" s="245">
        <f>Datos!$S$3</f>
        <v>46692</v>
      </c>
      <c r="B671" s="199" t="str">
        <f>Datos!S$4</f>
        <v>Compresora</v>
      </c>
      <c r="C671" s="31" t="s">
        <v>51</v>
      </c>
      <c r="D671" s="199" t="str">
        <f>Datos!$B$37</f>
        <v>Casos de primeros auxilios</v>
      </c>
      <c r="E671" s="199" t="str">
        <f>Datos!$C$37</f>
        <v>u</v>
      </c>
      <c r="F671" s="31" t="s">
        <v>538</v>
      </c>
      <c r="G671" s="246" t="str">
        <f>IF(ISNUMBER(Datos!S37),Datos!S37,"")</f>
        <v/>
      </c>
      <c r="H67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2" spans="1:8" ht="14.25" customHeight="1" x14ac:dyDescent="0.3">
      <c r="A672" s="245">
        <f>Datos!$S$3</f>
        <v>46692</v>
      </c>
      <c r="B672" s="199" t="str">
        <f>Datos!S$4</f>
        <v>Compresora</v>
      </c>
      <c r="C672" s="31" t="s">
        <v>563</v>
      </c>
      <c r="D672" s="199" t="str">
        <f>Datos!$B$39</f>
        <v>CVM catastróficas</v>
      </c>
      <c r="E672" s="199" t="str">
        <f>Datos!$C$39</f>
        <v>u</v>
      </c>
      <c r="F672" s="31" t="s">
        <v>538</v>
      </c>
      <c r="G672" s="246" t="str">
        <f>IF(ISNUMBER(Datos!S39),Datos!S39,"")</f>
        <v/>
      </c>
      <c r="H67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3" spans="1:8" ht="14.25" customHeight="1" x14ac:dyDescent="0.3">
      <c r="A673" s="245">
        <f>Datos!$S$3</f>
        <v>46692</v>
      </c>
      <c r="B673" s="199" t="str">
        <f>Datos!S$4</f>
        <v>Compresora</v>
      </c>
      <c r="C673" s="31" t="s">
        <v>564</v>
      </c>
      <c r="D673" s="199" t="str">
        <f>Datos!$B$40</f>
        <v>CVM mayores</v>
      </c>
      <c r="E673" s="199" t="str">
        <f>Datos!$C$40</f>
        <v>u</v>
      </c>
      <c r="F673" s="31" t="s">
        <v>538</v>
      </c>
      <c r="G673" s="246" t="str">
        <f>IF(ISNUMBER(Datos!S40),Datos!S40,"")</f>
        <v/>
      </c>
      <c r="H67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4" spans="1:8" ht="14.25" customHeight="1" x14ac:dyDescent="0.3">
      <c r="A674" s="245">
        <f>Datos!$S$3</f>
        <v>46692</v>
      </c>
      <c r="B674" s="199" t="str">
        <f>Datos!S$4</f>
        <v>Compresora</v>
      </c>
      <c r="C674" s="31" t="s">
        <v>565</v>
      </c>
      <c r="D674" s="199" t="str">
        <f>Datos!$B$41</f>
        <v>CVM serias</v>
      </c>
      <c r="E674" s="199" t="str">
        <f>Datos!$C$41</f>
        <v>u</v>
      </c>
      <c r="F674" s="31" t="s">
        <v>538</v>
      </c>
      <c r="G674" s="246" t="str">
        <f>IF(ISNUMBER(Datos!S41),Datos!S41,"")</f>
        <v/>
      </c>
      <c r="H67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5" spans="1:8" ht="14.25" customHeight="1" x14ac:dyDescent="0.3">
      <c r="A675" s="245">
        <f>Datos!$S$3</f>
        <v>46692</v>
      </c>
      <c r="B675" s="199" t="str">
        <f>Datos!S$4</f>
        <v>Compresora</v>
      </c>
      <c r="C675" s="31" t="s">
        <v>566</v>
      </c>
      <c r="D675" s="199" t="str">
        <f>Datos!$B$42</f>
        <v>CVM otras / menores</v>
      </c>
      <c r="E675" s="199" t="str">
        <f>Datos!$C$42</f>
        <v>u</v>
      </c>
      <c r="F675" s="31" t="s">
        <v>538</v>
      </c>
      <c r="G675" s="246" t="str">
        <f>IF(ISNUMBER(Datos!S42),Datos!S42,"")</f>
        <v/>
      </c>
      <c r="H67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6" spans="1:8" ht="14.25" customHeight="1" x14ac:dyDescent="0.3">
      <c r="A676" s="245">
        <f>Datos!$S$3</f>
        <v>46692</v>
      </c>
      <c r="B676" s="199" t="str">
        <f>Datos!S$4</f>
        <v>Compresora</v>
      </c>
      <c r="C676" s="31" t="s">
        <v>567</v>
      </c>
      <c r="D676" s="199" t="str">
        <f>Datos!$B$44</f>
        <v>Km recorridos: vehículos livianos (camionetas)</v>
      </c>
      <c r="E676" s="199" t="str">
        <f>Datos!$C$44</f>
        <v>km</v>
      </c>
      <c r="F676" s="31" t="s">
        <v>538</v>
      </c>
      <c r="G676" s="246" t="str">
        <f>IF(ISNUMBER(Datos!S44),Datos!S44,"")</f>
        <v/>
      </c>
      <c r="H67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7" spans="1:8" ht="14.25" customHeight="1" x14ac:dyDescent="0.3">
      <c r="A677" s="245">
        <f>Datos!$S$3</f>
        <v>46692</v>
      </c>
      <c r="B677" s="199" t="str">
        <f>Datos!S$4</f>
        <v>Compresora</v>
      </c>
      <c r="C677" s="31" t="s">
        <v>568</v>
      </c>
      <c r="D677" s="199" t="str">
        <f>Datos!$B$45</f>
        <v>Km recorridos: vehículos pesados (camiones)</v>
      </c>
      <c r="E677" s="199" t="str">
        <f>Datos!$C$45</f>
        <v>km</v>
      </c>
      <c r="F677" s="31" t="s">
        <v>538</v>
      </c>
      <c r="G677" s="246" t="str">
        <f>IF(ISNUMBER(Datos!S45),Datos!S45,"")</f>
        <v/>
      </c>
      <c r="H67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8" spans="1:8" ht="14.25" customHeight="1" x14ac:dyDescent="0.3">
      <c r="A678" s="245">
        <f>Datos!$S$3</f>
        <v>46692</v>
      </c>
      <c r="B678" s="199" t="str">
        <f>Datos!S$4</f>
        <v>Compresora</v>
      </c>
      <c r="C678" s="31" t="s">
        <v>569</v>
      </c>
      <c r="D678" s="199" t="str">
        <f>Datos!$B$46</f>
        <v>Km recorridos: vehículos de transporte de personal (combis)</v>
      </c>
      <c r="E678" s="199" t="str">
        <f>Datos!$C$46</f>
        <v>km</v>
      </c>
      <c r="F678" s="31" t="s">
        <v>538</v>
      </c>
      <c r="G678" s="246" t="str">
        <f>IF(ISNUMBER(Datos!S46),Datos!S46,"")</f>
        <v/>
      </c>
      <c r="H67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9" spans="1:8" ht="14.25" customHeight="1" x14ac:dyDescent="0.3">
      <c r="A679" s="245">
        <f>Datos!$S$3</f>
        <v>46692</v>
      </c>
      <c r="B679" s="199" t="str">
        <f>Datos!S$4</f>
        <v>Compresora</v>
      </c>
      <c r="C679" s="31" t="s">
        <v>570</v>
      </c>
      <c r="D679" s="199" t="str">
        <f>Datos!$B$47</f>
        <v>Km recorridos: TOTAL</v>
      </c>
      <c r="E679" s="199" t="str">
        <f>Datos!$C$47</f>
        <v>km</v>
      </c>
      <c r="F679" s="31" t="s">
        <v>541</v>
      </c>
      <c r="G679" s="246">
        <f>IF(ISNUMBER(Datos!S47),Datos!S47,"")</f>
        <v>0</v>
      </c>
      <c r="H67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0" spans="1:8" ht="14.25" customHeight="1" x14ac:dyDescent="0.3">
      <c r="A680" s="245">
        <f>Datos!$S$3</f>
        <v>46692</v>
      </c>
      <c r="B680" s="199" t="str">
        <f>Datos!S$4</f>
        <v>Compresora</v>
      </c>
      <c r="C680" s="31" t="s">
        <v>571</v>
      </c>
      <c r="D680" s="199" t="str">
        <f>Datos!$B$67</f>
        <v>Hallazgos (desvíos) cerrados en el mes</v>
      </c>
      <c r="E680" s="199" t="str">
        <f>Datos!$C$67</f>
        <v>u</v>
      </c>
      <c r="F680" s="31" t="s">
        <v>572</v>
      </c>
      <c r="G680" s="246" t="str">
        <f>IF(ISNUMBER(Datos!S67),Datos!S67,"")</f>
        <v/>
      </c>
      <c r="H68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1" spans="1:8" ht="14.25" customHeight="1" x14ac:dyDescent="0.3">
      <c r="A681" s="245">
        <f>Datos!$S$3</f>
        <v>46692</v>
      </c>
      <c r="B681" s="199" t="str">
        <f>Datos!S$4</f>
        <v>Compresora</v>
      </c>
      <c r="C681" s="31" t="s">
        <v>573</v>
      </c>
      <c r="D681" s="199" t="str">
        <f>Datos!$B$68</f>
        <v>Días que llevaron esos hallazgos (suma)</v>
      </c>
      <c r="E681" s="199" t="str">
        <f>Datos!$C$68</f>
        <v>días</v>
      </c>
      <c r="F681" s="31" t="s">
        <v>572</v>
      </c>
      <c r="G681" s="246" t="str">
        <f>IF(ISNUMBER(Datos!S68),Datos!S68,"")</f>
        <v/>
      </c>
      <c r="H68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2" spans="1:8" ht="14.25" customHeight="1" x14ac:dyDescent="0.3">
      <c r="A682" s="245">
        <f>Datos!$S$3</f>
        <v>46692</v>
      </c>
      <c r="B682" s="199" t="str">
        <f>Datos!S$4</f>
        <v>Compresora</v>
      </c>
      <c r="C682" s="31" t="s">
        <v>574</v>
      </c>
      <c r="D682" s="199" t="str">
        <f>Datos!$B$69</f>
        <v>Hallazgos (desvíos) abiertos a fin de mes</v>
      </c>
      <c r="E682" s="199" t="str">
        <f>Datos!$C$69</f>
        <v>u</v>
      </c>
      <c r="F682" s="31" t="s">
        <v>572</v>
      </c>
      <c r="G682" s="246" t="str">
        <f>IF(ISNUMBER(Datos!S69),Datos!S69,"")</f>
        <v/>
      </c>
      <c r="H68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3" spans="1:8" ht="14.25" customHeight="1" x14ac:dyDescent="0.3">
      <c r="A683" s="245">
        <f>Datos!$S$3</f>
        <v>46692</v>
      </c>
      <c r="B683" s="199" t="str">
        <f>Datos!S$4</f>
        <v>Compresora</v>
      </c>
      <c r="C683" s="31" t="s">
        <v>575</v>
      </c>
      <c r="D683" s="199" t="str">
        <f>Datos!$B$70</f>
        <v>Hallazgos (desvíos) detectados en el mes</v>
      </c>
      <c r="E683" s="199" t="str">
        <f>Datos!$C$70</f>
        <v>u</v>
      </c>
      <c r="F683" s="31" t="s">
        <v>572</v>
      </c>
      <c r="G683" s="246" t="str">
        <f>IF(ISNUMBER(Datos!S70),Datos!S70,"")</f>
        <v/>
      </c>
      <c r="H68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4" spans="1:8" ht="14.25" customHeight="1" x14ac:dyDescent="0.3">
      <c r="A684" s="245">
        <f>Datos!$S$3</f>
        <v>46692</v>
      </c>
      <c r="B684" s="199" t="str">
        <f>Datos!S$4</f>
        <v>Compresora</v>
      </c>
      <c r="C684" s="31" t="s">
        <v>576</v>
      </c>
      <c r="D684" s="199" t="str">
        <f>Datos!$B$71</f>
        <v>Desvíos detectados en el mes · gravedad Alta</v>
      </c>
      <c r="E684" s="199" t="str">
        <f>Datos!$C$71</f>
        <v>u</v>
      </c>
      <c r="F684" s="31" t="s">
        <v>572</v>
      </c>
      <c r="G684" s="246" t="str">
        <f>IF(ISNUMBER(Datos!S71),Datos!S71,"")</f>
        <v/>
      </c>
      <c r="H68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5" spans="1:8" ht="14.25" customHeight="1" x14ac:dyDescent="0.3">
      <c r="A685" s="245">
        <f>Datos!$S$3</f>
        <v>46692</v>
      </c>
      <c r="B685" s="199" t="str">
        <f>Datos!S$4</f>
        <v>Compresora</v>
      </c>
      <c r="C685" s="31" t="s">
        <v>577</v>
      </c>
      <c r="D685" s="199" t="str">
        <f>Datos!$B$72</f>
        <v>Desvíos detectados en el mes · gravedad Media</v>
      </c>
      <c r="E685" s="199" t="str">
        <f>Datos!$C$72</f>
        <v>u</v>
      </c>
      <c r="F685" s="31" t="s">
        <v>572</v>
      </c>
      <c r="G685" s="246" t="str">
        <f>IF(ISNUMBER(Datos!S72),Datos!S72,"")</f>
        <v/>
      </c>
      <c r="H68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6" spans="1:8" ht="14.25" customHeight="1" x14ac:dyDescent="0.3">
      <c r="A686" s="245">
        <f>Datos!$S$3</f>
        <v>46692</v>
      </c>
      <c r="B686" s="199" t="str">
        <f>Datos!S$4</f>
        <v>Compresora</v>
      </c>
      <c r="C686" s="31" t="s">
        <v>578</v>
      </c>
      <c r="D686" s="199" t="str">
        <f>Datos!$B$73</f>
        <v>Desvíos detectados en el mes · gravedad Baja</v>
      </c>
      <c r="E686" s="199" t="str">
        <f>Datos!$C$73</f>
        <v>u</v>
      </c>
      <c r="F686" s="31" t="s">
        <v>572</v>
      </c>
      <c r="G686" s="246" t="str">
        <f>IF(ISNUMBER(Datos!S73),Datos!S73,"")</f>
        <v/>
      </c>
      <c r="H68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7" spans="1:8" ht="14.25" customHeight="1" x14ac:dyDescent="0.3">
      <c r="A687" s="245">
        <f>Datos!$S$3</f>
        <v>46692</v>
      </c>
      <c r="B687" s="199" t="str">
        <f>Datos!S$4</f>
        <v>Compresora</v>
      </c>
      <c r="C687" s="31" t="s">
        <v>579</v>
      </c>
      <c r="D687" s="199" t="str">
        <f>Datos!$B$74</f>
        <v>Desvíos detectados en el mes · sin gravedad cargada</v>
      </c>
      <c r="E687" s="199" t="str">
        <f>Datos!$C$74</f>
        <v>u</v>
      </c>
      <c r="F687" s="31" t="s">
        <v>572</v>
      </c>
      <c r="G687" s="246">
        <f>IF(ISNUMBER(Datos!S74),Datos!S74,"")</f>
        <v>0</v>
      </c>
      <c r="H68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8" spans="1:8" ht="14.25" customHeight="1" x14ac:dyDescent="0.3">
      <c r="A688" s="245">
        <f>Datos!$S$3</f>
        <v>46692</v>
      </c>
      <c r="B688" s="199" t="str">
        <f>Datos!S$4</f>
        <v>Compresora</v>
      </c>
      <c r="C688" s="31" t="s">
        <v>580</v>
      </c>
      <c r="D688" s="199" t="str">
        <f>Datos!$B$75</f>
        <v>Detenciones de tareas aplicadas en el mes (Política = Sí)</v>
      </c>
      <c r="E688" s="199" t="str">
        <f>Datos!$C$75</f>
        <v>u</v>
      </c>
      <c r="F688" s="31" t="s">
        <v>572</v>
      </c>
      <c r="G688" s="246" t="str">
        <f>IF(ISNUMBER(Datos!S75),Datos!S75,"")</f>
        <v/>
      </c>
      <c r="H68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9" spans="1:8" ht="14.25" customHeight="1" x14ac:dyDescent="0.3">
      <c r="A689" s="245">
        <f>Datos!$S$3</f>
        <v>46692</v>
      </c>
      <c r="B689" s="199" t="str">
        <f>Datos!S$4</f>
        <v>Compresora</v>
      </c>
      <c r="C689" s="31" t="s">
        <v>581</v>
      </c>
      <c r="D689" s="199" t="str">
        <f>Datos!$B$76</f>
        <v>Desvíos de gravedad Alta abiertos a fin de mes</v>
      </c>
      <c r="E689" s="199" t="str">
        <f>Datos!$C$76</f>
        <v>u</v>
      </c>
      <c r="F689" s="31" t="s">
        <v>572</v>
      </c>
      <c r="G689" s="246" t="str">
        <f>IF(ISNUMBER(Datos!S76),Datos!S76,"")</f>
        <v/>
      </c>
      <c r="H68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90" spans="1:8" ht="14.25" customHeight="1" x14ac:dyDescent="0.3">
      <c r="A690" s="245">
        <f>Datos!$T$3</f>
        <v>46722</v>
      </c>
      <c r="B690" s="199" t="str">
        <f>Datos!T$4</f>
        <v>Compresora</v>
      </c>
      <c r="C690" s="31" t="s">
        <v>537</v>
      </c>
      <c r="D690" s="199" t="str">
        <f>Datos!$B$9</f>
        <v>Dotación promedio: Personal OPS</v>
      </c>
      <c r="E690" s="199" t="str">
        <f>Datos!$C$9</f>
        <v>pers</v>
      </c>
      <c r="F690" s="31" t="s">
        <v>538</v>
      </c>
      <c r="G690" s="246" t="str">
        <f>IF(ISNUMBER(Datos!T9),Datos!T9,"")</f>
        <v/>
      </c>
      <c r="H69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1" spans="1:8" ht="14.25" customHeight="1" x14ac:dyDescent="0.3">
      <c r="A691" s="245">
        <f>Datos!$T$3</f>
        <v>46722</v>
      </c>
      <c r="B691" s="199" t="str">
        <f>Datos!T$4</f>
        <v>Compresora</v>
      </c>
      <c r="C691" s="31" t="s">
        <v>539</v>
      </c>
      <c r="D691" s="199" t="str">
        <f>Datos!$B$10</f>
        <v>Dotación promedio: Personal SMP(IEBC, PAE e YPF) </v>
      </c>
      <c r="E691" s="199" t="str">
        <f>Datos!$C$10</f>
        <v>pers</v>
      </c>
      <c r="F691" s="31" t="s">
        <v>538</v>
      </c>
      <c r="G691" s="246" t="str">
        <f>IF(ISNUMBER(Datos!T10),Datos!T10,"")</f>
        <v/>
      </c>
      <c r="H69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2" spans="1:8" ht="14.25" customHeight="1" x14ac:dyDescent="0.3">
      <c r="A692" s="245">
        <f>Datos!$T$3</f>
        <v>46722</v>
      </c>
      <c r="B692" s="199" t="str">
        <f>Datos!T$4</f>
        <v>Compresora</v>
      </c>
      <c r="C692" s="31" t="s">
        <v>540</v>
      </c>
      <c r="D692" s="199" t="str">
        <f>Datos!$B$11</f>
        <v>Dotación promedio: TOTAL</v>
      </c>
      <c r="E692" s="199" t="str">
        <f>Datos!$C$11</f>
        <v>pers</v>
      </c>
      <c r="F692" s="31" t="s">
        <v>541</v>
      </c>
      <c r="G692" s="246">
        <f>IF(ISNUMBER(Datos!T11),Datos!T11,"")</f>
        <v>0</v>
      </c>
      <c r="H69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3" spans="1:8" ht="14.25" customHeight="1" x14ac:dyDescent="0.3">
      <c r="A693" s="245">
        <f>Datos!$T$3</f>
        <v>46722</v>
      </c>
      <c r="B693" s="199" t="str">
        <f>Datos!T$4</f>
        <v>Compresora</v>
      </c>
      <c r="C693" s="31" t="s">
        <v>542</v>
      </c>
      <c r="D693" s="199" t="str">
        <f>Datos!$B$12</f>
        <v>Horas hombre trabajadas: Personal OPS</v>
      </c>
      <c r="E693" s="199" t="str">
        <f>Datos!$C$12</f>
        <v>h</v>
      </c>
      <c r="F693" s="31" t="s">
        <v>538</v>
      </c>
      <c r="G693" s="246" t="str">
        <f>IF(ISNUMBER(Datos!T12),Datos!T12,"")</f>
        <v/>
      </c>
      <c r="H69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4" spans="1:8" ht="14.25" customHeight="1" x14ac:dyDescent="0.3">
      <c r="A694" s="245">
        <f>Datos!$T$3</f>
        <v>46722</v>
      </c>
      <c r="B694" s="199" t="str">
        <f>Datos!T$4</f>
        <v>Compresora</v>
      </c>
      <c r="C694" s="31" t="s">
        <v>543</v>
      </c>
      <c r="D694" s="199" t="str">
        <f>Datos!$B$13</f>
        <v>Horas hombre trabajadas: Personal SMP(IEBC, PAE e YPF) en campo</v>
      </c>
      <c r="E694" s="199" t="str">
        <f>Datos!$C$13</f>
        <v>h</v>
      </c>
      <c r="F694" s="31" t="s">
        <v>538</v>
      </c>
      <c r="G694" s="246" t="str">
        <f>IF(ISNUMBER(Datos!T13),Datos!T13,"")</f>
        <v/>
      </c>
      <c r="H69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5" spans="1:8" ht="14.25" customHeight="1" x14ac:dyDescent="0.3">
      <c r="A695" s="245">
        <f>Datos!$T$3</f>
        <v>46722</v>
      </c>
      <c r="B695" s="199" t="str">
        <f>Datos!T$4</f>
        <v>Compresora</v>
      </c>
      <c r="C695" s="31" t="s">
        <v>544</v>
      </c>
      <c r="D695" s="199" t="str">
        <f>Datos!$B$14</f>
        <v>Horas hombre trabajadas: TOTAL</v>
      </c>
      <c r="E695" s="199" t="str">
        <f>Datos!$C$14</f>
        <v>h</v>
      </c>
      <c r="F695" s="31" t="s">
        <v>541</v>
      </c>
      <c r="G695" s="246">
        <f>IF(ISNUMBER(Datos!T14),Datos!T14,"")</f>
        <v>0</v>
      </c>
      <c r="H69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6" spans="1:8" ht="14.25" customHeight="1" x14ac:dyDescent="0.3">
      <c r="A696" s="245">
        <f>Datos!$T$3</f>
        <v>46722</v>
      </c>
      <c r="B696" s="199" t="str">
        <f>Datos!T$4</f>
        <v>Compresora</v>
      </c>
      <c r="C696" s="31" t="s">
        <v>545</v>
      </c>
      <c r="D696" s="199" t="str">
        <f>Datos!$B$16</f>
        <v>Horas hombre de formación en seguridad: Personal OPS</v>
      </c>
      <c r="E696" s="199" t="str">
        <f>Datos!$C$16</f>
        <v>h</v>
      </c>
      <c r="F696" s="31" t="s">
        <v>538</v>
      </c>
      <c r="G696" s="246" t="str">
        <f>IF(ISNUMBER(Datos!T16),Datos!T16,"")</f>
        <v/>
      </c>
      <c r="H69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7" spans="1:8" ht="14.25" customHeight="1" x14ac:dyDescent="0.3">
      <c r="A697" s="245">
        <f>Datos!$T$3</f>
        <v>46722</v>
      </c>
      <c r="B697" s="199" t="str">
        <f>Datos!T$4</f>
        <v>Compresora</v>
      </c>
      <c r="C697" s="31" t="s">
        <v>546</v>
      </c>
      <c r="D697" s="199" t="str">
        <f>Datos!$B$17</f>
        <v>Horas hombre de formación en seguridad: Personal SMP(IEBC, PAE e YPF) </v>
      </c>
      <c r="E697" s="199" t="str">
        <f>Datos!$C$17</f>
        <v>h</v>
      </c>
      <c r="F697" s="31" t="s">
        <v>538</v>
      </c>
      <c r="G697" s="246" t="str">
        <f>IF(ISNUMBER(Datos!T17),Datos!T17,"")</f>
        <v/>
      </c>
      <c r="H69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8" spans="1:8" ht="14.25" customHeight="1" x14ac:dyDescent="0.3">
      <c r="A698" s="245">
        <f>Datos!$T$3</f>
        <v>46722</v>
      </c>
      <c r="B698" s="199" t="str">
        <f>Datos!T$4</f>
        <v>Compresora</v>
      </c>
      <c r="C698" s="31" t="s">
        <v>547</v>
      </c>
      <c r="D698" s="199" t="str">
        <f>Datos!$B$18</f>
        <v>Horas hombre de formación en seguridad: TOTAL</v>
      </c>
      <c r="E698" s="199" t="str">
        <f>Datos!$C$18</f>
        <v>h</v>
      </c>
      <c r="F698" s="31" t="s">
        <v>541</v>
      </c>
      <c r="G698" s="246">
        <f>IF(ISNUMBER(Datos!T18),Datos!T18,"")</f>
        <v>0</v>
      </c>
      <c r="H69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9" spans="1:8" ht="14.25" customHeight="1" x14ac:dyDescent="0.3">
      <c r="A699" s="245">
        <f>Datos!$T$3</f>
        <v>46722</v>
      </c>
      <c r="B699" s="199" t="str">
        <f>Datos!T$4</f>
        <v>Compresora</v>
      </c>
      <c r="C699" s="31" t="s">
        <v>548</v>
      </c>
      <c r="D699" s="199" t="str">
        <f>Datos!$B$20</f>
        <v>SIMULACROS · Realizados (emergencia y operativos)</v>
      </c>
      <c r="E699" s="199" t="str">
        <f>Datos!$C$20</f>
        <v>u</v>
      </c>
      <c r="F699" s="31" t="s">
        <v>538</v>
      </c>
      <c r="G699" s="246" t="str">
        <f>IF(ISNUMBER(Datos!T20),Datos!T20,"")</f>
        <v/>
      </c>
      <c r="H69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0" spans="1:8" ht="14.25" customHeight="1" x14ac:dyDescent="0.3">
      <c r="A700" s="245">
        <f>Datos!$T$3</f>
        <v>46722</v>
      </c>
      <c r="B700" s="199" t="str">
        <f>Datos!T$4</f>
        <v>Compresora</v>
      </c>
      <c r="C700" s="31" t="s">
        <v>549</v>
      </c>
      <c r="D700" s="199" t="str">
        <f>Datos!$B$21</f>
        <v>SIMULACROS · Programados (emergencia y operativos)</v>
      </c>
      <c r="E700" s="199" t="str">
        <f>Datos!$C$21</f>
        <v>u</v>
      </c>
      <c r="F700" s="31" t="s">
        <v>538</v>
      </c>
      <c r="G700" s="246" t="str">
        <f>IF(ISNUMBER(Datos!T21),Datos!T21,"")</f>
        <v/>
      </c>
      <c r="H70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1" spans="1:8" ht="14.25" customHeight="1" x14ac:dyDescent="0.3">
      <c r="A701" s="245">
        <f>Datos!$T$3</f>
        <v>46722</v>
      </c>
      <c r="B701" s="199" t="str">
        <f>Datos!T$4</f>
        <v>Compresora</v>
      </c>
      <c r="C701" s="31" t="s">
        <v>550</v>
      </c>
      <c r="D701" s="199" t="str">
        <f>Datos!$B$22</f>
        <v>SIMULACROS · Acciones de mejora surgidas de los simulacros (en el mes informado)</v>
      </c>
      <c r="E701" s="199" t="str">
        <f>Datos!$C$22</f>
        <v>u</v>
      </c>
      <c r="F701" s="31" t="s">
        <v>538</v>
      </c>
      <c r="G701" s="246" t="str">
        <f>IF(ISNUMBER(Datos!T22),Datos!T22,"")</f>
        <v/>
      </c>
      <c r="H70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2" spans="1:8" ht="14.25" customHeight="1" x14ac:dyDescent="0.3">
      <c r="A702" s="245">
        <f>Datos!$T$3</f>
        <v>46722</v>
      </c>
      <c r="B702" s="199" t="str">
        <f>Datos!T$4</f>
        <v>Compresora</v>
      </c>
      <c r="C702" s="31" t="s">
        <v>551</v>
      </c>
      <c r="D702" s="199" t="str">
        <f>Datos!$B$23</f>
        <v>SIMULACROS · Acciones de mejora implementadas surgidas de los simulacros (ICME) (en el mes informado)</v>
      </c>
      <c r="E702" s="199" t="str">
        <f>Datos!$C$23</f>
        <v>u</v>
      </c>
      <c r="F702" s="31" t="s">
        <v>538</v>
      </c>
      <c r="G702" s="246" t="str">
        <f>IF(ISNUMBER(Datos!T23),Datos!T23,"")</f>
        <v/>
      </c>
      <c r="H70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3" spans="1:8" ht="14.25" customHeight="1" x14ac:dyDescent="0.3">
      <c r="A703" s="245">
        <f>Datos!$T$3</f>
        <v>46722</v>
      </c>
      <c r="B703" s="199" t="str">
        <f>Datos!T$4</f>
        <v>Compresora</v>
      </c>
      <c r="C703" s="31" t="s">
        <v>552</v>
      </c>
      <c r="D703" s="199" t="str">
        <f>Datos!$B$24</f>
        <v>Caminatas gerenciales realizadas</v>
      </c>
      <c r="E703" s="199" t="str">
        <f>Datos!$C$24</f>
        <v>u</v>
      </c>
      <c r="F703" s="31" t="s">
        <v>538</v>
      </c>
      <c r="G703" s="246" t="str">
        <f>IF(ISNUMBER(Datos!T24),Datos!T24,"")</f>
        <v/>
      </c>
      <c r="H70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4" spans="1:8" ht="14.25" customHeight="1" x14ac:dyDescent="0.3">
      <c r="A704" s="245">
        <f>Datos!$T$3</f>
        <v>46722</v>
      </c>
      <c r="B704" s="199" t="str">
        <f>Datos!T$4</f>
        <v>Compresora</v>
      </c>
      <c r="C704" s="31" t="s">
        <v>553</v>
      </c>
      <c r="D704" s="199" t="str">
        <f>Datos!$B$25</f>
        <v>Caminatas gerenciales planificadas</v>
      </c>
      <c r="E704" s="199" t="str">
        <f>Datos!$C$25</f>
        <v>u</v>
      </c>
      <c r="F704" s="31" t="s">
        <v>538</v>
      </c>
      <c r="G704" s="246" t="str">
        <f>IF(ISNUMBER(Datos!T25),Datos!T25,"")</f>
        <v/>
      </c>
      <c r="H70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5" spans="1:8" ht="14.25" customHeight="1" x14ac:dyDescent="0.3">
      <c r="A705" s="245">
        <f>Datos!$T$3</f>
        <v>46722</v>
      </c>
      <c r="B705" s="199" t="str">
        <f>Datos!T$4</f>
        <v>Compresora</v>
      </c>
      <c r="C705" s="31" t="s">
        <v>554</v>
      </c>
      <c r="D705" s="199" t="str">
        <f>Datos!$B$26</f>
        <v>Comités y subcomités de seguridad realizados</v>
      </c>
      <c r="E705" s="199" t="str">
        <f>Datos!$C$26</f>
        <v>u</v>
      </c>
      <c r="F705" s="31" t="s">
        <v>538</v>
      </c>
      <c r="G705" s="246" t="str">
        <f>IF(ISNUMBER(Datos!T26),Datos!T26,"")</f>
        <v/>
      </c>
      <c r="H70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6" spans="1:8" ht="14.25" customHeight="1" x14ac:dyDescent="0.3">
      <c r="A706" s="245">
        <f>Datos!$T$3</f>
        <v>46722</v>
      </c>
      <c r="B706" s="199" t="str">
        <f>Datos!T$4</f>
        <v>Compresora</v>
      </c>
      <c r="C706" s="31" t="s">
        <v>555</v>
      </c>
      <c r="D706" s="199" t="str">
        <f>Datos!$B$27</f>
        <v>Comités y subcomités de seguridad planificados</v>
      </c>
      <c r="E706" s="199" t="str">
        <f>Datos!$C$27</f>
        <v>u</v>
      </c>
      <c r="F706" s="31" t="s">
        <v>538</v>
      </c>
      <c r="G706" s="246" t="str">
        <f>IF(ISNUMBER(Datos!T27),Datos!T27,"")</f>
        <v/>
      </c>
      <c r="H70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7" spans="1:8" ht="14.25" customHeight="1" x14ac:dyDescent="0.3">
      <c r="A707" s="245">
        <f>Datos!$T$3</f>
        <v>46722</v>
      </c>
      <c r="B707" s="199" t="str">
        <f>Datos!T$4</f>
        <v>Compresora</v>
      </c>
      <c r="C707" s="31" t="s">
        <v>556</v>
      </c>
      <c r="D707" s="31" t="inlineStr">
        <is>
          <t>Observaciones de comportamiento seguro: total del mes (OPS + SMP)</t>
        </is>
      </c>
      <c r="E707" s="199" t="str">
        <f>Datos!$C$28</f>
        <v>u</v>
      </c>
      <c r="F707" s="31" t="s">
        <v>538</v>
      </c>
      <c r="G707" s="246" t="str">
        <f>IF(COUNT(Datos!T28:T29)=0,"",SUM(Datos!T28:T29))</f>
        <v/>
      </c>
      <c r="H70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8" spans="1:8" ht="14.25" customHeight="1" x14ac:dyDescent="0.3">
      <c r="A708" s="245">
        <f>Datos!$T$3</f>
        <v>46722</v>
      </c>
      <c r="B708" s="199" t="str">
        <f>Datos!T$4</f>
        <v>Compresora</v>
      </c>
      <c r="C708" s="31" t="s">
        <v>557</v>
      </c>
      <c r="D708" s="199" t="str">
        <f>Datos!$B$30</f>
        <v>Investigaciones de accidentes cerradas en el mes</v>
      </c>
      <c r="E708" s="199" t="str">
        <f>Datos!$C$30</f>
        <v>u</v>
      </c>
      <c r="F708" s="31" t="s">
        <v>538</v>
      </c>
      <c r="G708" s="246" t="str">
        <f>IF(ISNUMBER(Datos!T30),Datos!T30,"")</f>
        <v/>
      </c>
      <c r="H70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9" spans="1:8" ht="14.25" customHeight="1" x14ac:dyDescent="0.3">
      <c r="A709" s="245">
        <f>Datos!$T$3</f>
        <v>46722</v>
      </c>
      <c r="B709" s="199" t="str">
        <f>Datos!T$4</f>
        <v>Compresora</v>
      </c>
      <c r="C709" s="31" t="s">
        <v>558</v>
      </c>
      <c r="D709" s="199" t="str">
        <f>Datos!$B$31</f>
        <v>Días que llevaron esas investigaciones (suma)</v>
      </c>
      <c r="E709" s="199" t="str">
        <f>Datos!$C$31</f>
        <v>días</v>
      </c>
      <c r="F709" s="31" t="s">
        <v>538</v>
      </c>
      <c r="G709" s="246" t="str">
        <f>IF(ISNUMBER(Datos!T31),Datos!T31,"")</f>
        <v/>
      </c>
      <c r="H70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0" spans="1:8" ht="14.25" customHeight="1" x14ac:dyDescent="0.3">
      <c r="A710" s="245">
        <f>Datos!$T$3</f>
        <v>46722</v>
      </c>
      <c r="B710" s="199" t="str">
        <f>Datos!T$4</f>
        <v>Compresora</v>
      </c>
      <c r="C710" s="31" t="s">
        <v>559</v>
      </c>
      <c r="D710" s="199" t="str">
        <f>Datos!$B$33</f>
        <v>Casos con días perdidos</v>
      </c>
      <c r="E710" s="199" t="str">
        <f>Datos!$C$33</f>
        <v>u</v>
      </c>
      <c r="F710" s="31" t="s">
        <v>538</v>
      </c>
      <c r="G710" s="246" t="str">
        <f>IF(ISNUMBER(Datos!T33),Datos!T33,"")</f>
        <v/>
      </c>
      <c r="H71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1" spans="1:8" ht="14.25" customHeight="1" x14ac:dyDescent="0.3">
      <c r="A711" s="245">
        <f>Datos!$T$3</f>
        <v>46722</v>
      </c>
      <c r="B711" s="199" t="str">
        <f>Datos!T$4</f>
        <v>Compresora</v>
      </c>
      <c r="C711" s="31" t="s">
        <v>560</v>
      </c>
      <c r="D711" s="199" t="str">
        <f>Datos!$B$34</f>
        <v>Casos con trabajo restringido</v>
      </c>
      <c r="E711" s="199" t="str">
        <f>Datos!$C$34</f>
        <v>u</v>
      </c>
      <c r="F711" s="31" t="s">
        <v>538</v>
      </c>
      <c r="G711" s="246" t="str">
        <f>IF(ISNUMBER(Datos!T34),Datos!T34,"")</f>
        <v/>
      </c>
      <c r="H71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2" spans="1:8" ht="14.25" customHeight="1" x14ac:dyDescent="0.3">
      <c r="A712" s="245">
        <f>Datos!$T$3</f>
        <v>46722</v>
      </c>
      <c r="B712" s="199" t="str">
        <f>Datos!T$4</f>
        <v>Compresora</v>
      </c>
      <c r="C712" s="31" t="s">
        <v>561</v>
      </c>
      <c r="D712" s="199" t="str">
        <f>Datos!$B$35</f>
        <v>Casos con tratamiento médico</v>
      </c>
      <c r="E712" s="199" t="str">
        <f>Datos!$C$35</f>
        <v>u</v>
      </c>
      <c r="F712" s="31" t="s">
        <v>538</v>
      </c>
      <c r="G712" s="246" t="str">
        <f>IF(ISNUMBER(Datos!T35),Datos!T35,"")</f>
        <v/>
      </c>
      <c r="H71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3" spans="1:8" ht="14.25" customHeight="1" x14ac:dyDescent="0.3">
      <c r="A713" s="245">
        <f>Datos!$T$3</f>
        <v>46722</v>
      </c>
      <c r="B713" s="199" t="str">
        <f>Datos!T$4</f>
        <v>Compresora</v>
      </c>
      <c r="C713" s="31" t="s">
        <v>562</v>
      </c>
      <c r="D713" s="199" t="str">
        <f>Datos!$B$36</f>
        <v>Fatalidades</v>
      </c>
      <c r="E713" s="199" t="str">
        <f>Datos!$C$36</f>
        <v>u</v>
      </c>
      <c r="F713" s="31" t="s">
        <v>538</v>
      </c>
      <c r="G713" s="246" t="str">
        <f>IF(ISNUMBER(Datos!T36),Datos!T36,"")</f>
        <v/>
      </c>
      <c r="H71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4" spans="1:8" ht="14.25" customHeight="1" x14ac:dyDescent="0.3">
      <c r="A714" s="245">
        <f>Datos!$T$3</f>
        <v>46722</v>
      </c>
      <c r="B714" s="199" t="str">
        <f>Datos!T$4</f>
        <v>Compresora</v>
      </c>
      <c r="C714" s="31" t="s">
        <v>51</v>
      </c>
      <c r="D714" s="199" t="str">
        <f>Datos!$B$37</f>
        <v>Casos de primeros auxilios</v>
      </c>
      <c r="E714" s="199" t="str">
        <f>Datos!$C$37</f>
        <v>u</v>
      </c>
      <c r="F714" s="31" t="s">
        <v>538</v>
      </c>
      <c r="G714" s="246" t="str">
        <f>IF(ISNUMBER(Datos!T37),Datos!T37,"")</f>
        <v/>
      </c>
      <c r="H71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5" spans="1:8" ht="14.25" customHeight="1" x14ac:dyDescent="0.3">
      <c r="A715" s="245">
        <f>Datos!$T$3</f>
        <v>46722</v>
      </c>
      <c r="B715" s="199" t="str">
        <f>Datos!T$4</f>
        <v>Compresora</v>
      </c>
      <c r="C715" s="31" t="s">
        <v>563</v>
      </c>
      <c r="D715" s="199" t="str">
        <f>Datos!$B$39</f>
        <v>CVM catastróficas</v>
      </c>
      <c r="E715" s="199" t="str">
        <f>Datos!$C$39</f>
        <v>u</v>
      </c>
      <c r="F715" s="31" t="s">
        <v>538</v>
      </c>
      <c r="G715" s="246" t="str">
        <f>IF(ISNUMBER(Datos!T39),Datos!T39,"")</f>
        <v/>
      </c>
      <c r="H71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6" spans="1:8" ht="14.25" customHeight="1" x14ac:dyDescent="0.3">
      <c r="A716" s="245">
        <f>Datos!$T$3</f>
        <v>46722</v>
      </c>
      <c r="B716" s="199" t="str">
        <f>Datos!T$4</f>
        <v>Compresora</v>
      </c>
      <c r="C716" s="31" t="s">
        <v>564</v>
      </c>
      <c r="D716" s="199" t="str">
        <f>Datos!$B$40</f>
        <v>CVM mayores</v>
      </c>
      <c r="E716" s="199" t="str">
        <f>Datos!$C$40</f>
        <v>u</v>
      </c>
      <c r="F716" s="31" t="s">
        <v>538</v>
      </c>
      <c r="G716" s="246" t="str">
        <f>IF(ISNUMBER(Datos!T40),Datos!T40,"")</f>
        <v/>
      </c>
      <c r="H71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7" spans="1:8" ht="14.25" customHeight="1" x14ac:dyDescent="0.3">
      <c r="A717" s="245">
        <f>Datos!$T$3</f>
        <v>46722</v>
      </c>
      <c r="B717" s="199" t="str">
        <f>Datos!T$4</f>
        <v>Compresora</v>
      </c>
      <c r="C717" s="31" t="s">
        <v>565</v>
      </c>
      <c r="D717" s="199" t="str">
        <f>Datos!$B$41</f>
        <v>CVM serias</v>
      </c>
      <c r="E717" s="199" t="str">
        <f>Datos!$C$41</f>
        <v>u</v>
      </c>
      <c r="F717" s="31" t="s">
        <v>538</v>
      </c>
      <c r="G717" s="246" t="str">
        <f>IF(ISNUMBER(Datos!T41),Datos!T41,"")</f>
        <v/>
      </c>
      <c r="H71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8" spans="1:8" ht="14.25" customHeight="1" x14ac:dyDescent="0.3">
      <c r="A718" s="245">
        <f>Datos!$T$3</f>
        <v>46722</v>
      </c>
      <c r="B718" s="199" t="str">
        <f>Datos!T$4</f>
        <v>Compresora</v>
      </c>
      <c r="C718" s="31" t="s">
        <v>566</v>
      </c>
      <c r="D718" s="199" t="str">
        <f>Datos!$B$42</f>
        <v>CVM otras / menores</v>
      </c>
      <c r="E718" s="199" t="str">
        <f>Datos!$C$42</f>
        <v>u</v>
      </c>
      <c r="F718" s="31" t="s">
        <v>538</v>
      </c>
      <c r="G718" s="246" t="str">
        <f>IF(ISNUMBER(Datos!T42),Datos!T42,"")</f>
        <v/>
      </c>
      <c r="H71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9" spans="1:8" ht="14.25" customHeight="1" x14ac:dyDescent="0.3">
      <c r="A719" s="245">
        <f>Datos!$T$3</f>
        <v>46722</v>
      </c>
      <c r="B719" s="199" t="str">
        <f>Datos!T$4</f>
        <v>Compresora</v>
      </c>
      <c r="C719" s="31" t="s">
        <v>567</v>
      </c>
      <c r="D719" s="199" t="str">
        <f>Datos!$B$44</f>
        <v>Km recorridos: vehículos livianos (camionetas)</v>
      </c>
      <c r="E719" s="199" t="str">
        <f>Datos!$C$44</f>
        <v>km</v>
      </c>
      <c r="F719" s="31" t="s">
        <v>538</v>
      </c>
      <c r="G719" s="246" t="str">
        <f>IF(ISNUMBER(Datos!T44),Datos!T44,"")</f>
        <v/>
      </c>
      <c r="H71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0" spans="1:8" ht="14.25" customHeight="1" x14ac:dyDescent="0.3">
      <c r="A720" s="245">
        <f>Datos!$T$3</f>
        <v>46722</v>
      </c>
      <c r="B720" s="199" t="str">
        <f>Datos!T$4</f>
        <v>Compresora</v>
      </c>
      <c r="C720" s="31" t="s">
        <v>568</v>
      </c>
      <c r="D720" s="199" t="str">
        <f>Datos!$B$45</f>
        <v>Km recorridos: vehículos pesados (camiones)</v>
      </c>
      <c r="E720" s="199" t="str">
        <f>Datos!$C$45</f>
        <v>km</v>
      </c>
      <c r="F720" s="31" t="s">
        <v>538</v>
      </c>
      <c r="G720" s="246" t="str">
        <f>IF(ISNUMBER(Datos!T45),Datos!T45,"")</f>
        <v/>
      </c>
      <c r="H72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1" spans="1:8" ht="14.25" customHeight="1" x14ac:dyDescent="0.3">
      <c r="A721" s="245">
        <f>Datos!$T$3</f>
        <v>46722</v>
      </c>
      <c r="B721" s="199" t="str">
        <f>Datos!T$4</f>
        <v>Compresora</v>
      </c>
      <c r="C721" s="31" t="s">
        <v>569</v>
      </c>
      <c r="D721" s="199" t="str">
        <f>Datos!$B$46</f>
        <v>Km recorridos: vehículos de transporte de personal (combis)</v>
      </c>
      <c r="E721" s="199" t="str">
        <f>Datos!$C$46</f>
        <v>km</v>
      </c>
      <c r="F721" s="31" t="s">
        <v>538</v>
      </c>
      <c r="G721" s="246" t="str">
        <f>IF(ISNUMBER(Datos!T46),Datos!T46,"")</f>
        <v/>
      </c>
      <c r="H72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2" spans="1:8" ht="14.25" customHeight="1" x14ac:dyDescent="0.3">
      <c r="A722" s="245">
        <f>Datos!$T$3</f>
        <v>46722</v>
      </c>
      <c r="B722" s="199" t="str">
        <f>Datos!T$4</f>
        <v>Compresora</v>
      </c>
      <c r="C722" s="31" t="s">
        <v>570</v>
      </c>
      <c r="D722" s="199" t="str">
        <f>Datos!$B$47</f>
        <v>Km recorridos: TOTAL</v>
      </c>
      <c r="E722" s="199" t="str">
        <f>Datos!$C$47</f>
        <v>km</v>
      </c>
      <c r="F722" s="31" t="s">
        <v>541</v>
      </c>
      <c r="G722" s="246">
        <f>IF(ISNUMBER(Datos!T47),Datos!T47,"")</f>
        <v>0</v>
      </c>
      <c r="H72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3" spans="1:8" ht="14.25" customHeight="1" x14ac:dyDescent="0.3">
      <c r="A723" s="245">
        <f>Datos!$T$3</f>
        <v>46722</v>
      </c>
      <c r="B723" s="199" t="str">
        <f>Datos!T$4</f>
        <v>Compresora</v>
      </c>
      <c r="C723" s="31" t="s">
        <v>571</v>
      </c>
      <c r="D723" s="199" t="str">
        <f>Datos!$B$67</f>
        <v>Hallazgos (desvíos) cerrados en el mes</v>
      </c>
      <c r="E723" s="199" t="str">
        <f>Datos!$C$67</f>
        <v>u</v>
      </c>
      <c r="F723" s="31" t="s">
        <v>572</v>
      </c>
      <c r="G723" s="246" t="str">
        <f>IF(ISNUMBER(Datos!T67),Datos!T67,"")</f>
        <v/>
      </c>
      <c r="H72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4" spans="1:8" ht="14.25" customHeight="1" x14ac:dyDescent="0.3">
      <c r="A724" s="245">
        <f>Datos!$T$3</f>
        <v>46722</v>
      </c>
      <c r="B724" s="199" t="str">
        <f>Datos!T$4</f>
        <v>Compresora</v>
      </c>
      <c r="C724" s="31" t="s">
        <v>573</v>
      </c>
      <c r="D724" s="199" t="str">
        <f>Datos!$B$68</f>
        <v>Días que llevaron esos hallazgos (suma)</v>
      </c>
      <c r="E724" s="199" t="str">
        <f>Datos!$C$68</f>
        <v>días</v>
      </c>
      <c r="F724" s="31" t="s">
        <v>572</v>
      </c>
      <c r="G724" s="246" t="str">
        <f>IF(ISNUMBER(Datos!T68),Datos!T68,"")</f>
        <v/>
      </c>
      <c r="H72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5" spans="1:8" ht="14.25" customHeight="1" x14ac:dyDescent="0.3">
      <c r="A725" s="245">
        <f>Datos!$T$3</f>
        <v>46722</v>
      </c>
      <c r="B725" s="199" t="str">
        <f>Datos!T$4</f>
        <v>Compresora</v>
      </c>
      <c r="C725" s="31" t="s">
        <v>574</v>
      </c>
      <c r="D725" s="199" t="str">
        <f>Datos!$B$69</f>
        <v>Hallazgos (desvíos) abiertos a fin de mes</v>
      </c>
      <c r="E725" s="199" t="str">
        <f>Datos!$C$69</f>
        <v>u</v>
      </c>
      <c r="F725" s="31" t="s">
        <v>572</v>
      </c>
      <c r="G725" s="246" t="str">
        <f>IF(ISNUMBER(Datos!T69),Datos!T69,"")</f>
        <v/>
      </c>
      <c r="H72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6" spans="1:8" ht="14.25" customHeight="1" x14ac:dyDescent="0.3">
      <c r="A726" s="245">
        <f>Datos!$T$3</f>
        <v>46722</v>
      </c>
      <c r="B726" s="199" t="str">
        <f>Datos!T$4</f>
        <v>Compresora</v>
      </c>
      <c r="C726" s="31" t="s">
        <v>575</v>
      </c>
      <c r="D726" s="199" t="str">
        <f>Datos!$B$70</f>
        <v>Hallazgos (desvíos) detectados en el mes</v>
      </c>
      <c r="E726" s="199" t="str">
        <f>Datos!$C$70</f>
        <v>u</v>
      </c>
      <c r="F726" s="31" t="s">
        <v>572</v>
      </c>
      <c r="G726" s="246" t="str">
        <f>IF(ISNUMBER(Datos!T70),Datos!T70,"")</f>
        <v/>
      </c>
      <c r="H72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7" spans="1:8" ht="14.25" customHeight="1" x14ac:dyDescent="0.3">
      <c r="A727" s="245">
        <f>Datos!$T$3</f>
        <v>46722</v>
      </c>
      <c r="B727" s="199" t="str">
        <f>Datos!T$4</f>
        <v>Compresora</v>
      </c>
      <c r="C727" s="31" t="s">
        <v>576</v>
      </c>
      <c r="D727" s="199" t="str">
        <f>Datos!$B$71</f>
        <v>Desvíos detectados en el mes · gravedad Alta</v>
      </c>
      <c r="E727" s="199" t="str">
        <f>Datos!$C$71</f>
        <v>u</v>
      </c>
      <c r="F727" s="31" t="s">
        <v>572</v>
      </c>
      <c r="G727" s="246" t="str">
        <f>IF(ISNUMBER(Datos!T71),Datos!T71,"")</f>
        <v/>
      </c>
      <c r="H72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8" spans="1:8" ht="14.25" customHeight="1" x14ac:dyDescent="0.3">
      <c r="A728" s="245">
        <f>Datos!$T$3</f>
        <v>46722</v>
      </c>
      <c r="B728" s="199" t="str">
        <f>Datos!T$4</f>
        <v>Compresora</v>
      </c>
      <c r="C728" s="31" t="s">
        <v>577</v>
      </c>
      <c r="D728" s="199" t="str">
        <f>Datos!$B$72</f>
        <v>Desvíos detectados en el mes · gravedad Media</v>
      </c>
      <c r="E728" s="199" t="str">
        <f>Datos!$C$72</f>
        <v>u</v>
      </c>
      <c r="F728" s="31" t="s">
        <v>572</v>
      </c>
      <c r="G728" s="246" t="str">
        <f>IF(ISNUMBER(Datos!T72),Datos!T72,"")</f>
        <v/>
      </c>
      <c r="H72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9" spans="1:8" ht="14.25" customHeight="1" x14ac:dyDescent="0.3">
      <c r="A729" s="245">
        <f>Datos!$T$3</f>
        <v>46722</v>
      </c>
      <c r="B729" s="199" t="str">
        <f>Datos!T$4</f>
        <v>Compresora</v>
      </c>
      <c r="C729" s="31" t="s">
        <v>578</v>
      </c>
      <c r="D729" s="199" t="str">
        <f>Datos!$B$73</f>
        <v>Desvíos detectados en el mes · gravedad Baja</v>
      </c>
      <c r="E729" s="199" t="str">
        <f>Datos!$C$73</f>
        <v>u</v>
      </c>
      <c r="F729" s="31" t="s">
        <v>572</v>
      </c>
      <c r="G729" s="246" t="str">
        <f>IF(ISNUMBER(Datos!T73),Datos!T73,"")</f>
        <v/>
      </c>
      <c r="H72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0" spans="1:8" ht="14.25" customHeight="1" x14ac:dyDescent="0.3">
      <c r="A730" s="245">
        <f>Datos!$T$3</f>
        <v>46722</v>
      </c>
      <c r="B730" s="199" t="str">
        <f>Datos!T$4</f>
        <v>Compresora</v>
      </c>
      <c r="C730" s="31" t="s">
        <v>579</v>
      </c>
      <c r="D730" s="199" t="str">
        <f>Datos!$B$74</f>
        <v>Desvíos detectados en el mes · sin gravedad cargada</v>
      </c>
      <c r="E730" s="199" t="str">
        <f>Datos!$C$74</f>
        <v>u</v>
      </c>
      <c r="F730" s="31" t="s">
        <v>572</v>
      </c>
      <c r="G730" s="246">
        <f>IF(ISNUMBER(Datos!T74),Datos!T74,"")</f>
        <v>0</v>
      </c>
      <c r="H73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1" spans="1:8" ht="14.25" customHeight="1" x14ac:dyDescent="0.3">
      <c r="A731" s="245">
        <f>Datos!$T$3</f>
        <v>46722</v>
      </c>
      <c r="B731" s="199" t="str">
        <f>Datos!T$4</f>
        <v>Compresora</v>
      </c>
      <c r="C731" s="31" t="s">
        <v>580</v>
      </c>
      <c r="D731" s="199" t="str">
        <f>Datos!$B$75</f>
        <v>Detenciones de tareas aplicadas en el mes (Política = Sí)</v>
      </c>
      <c r="E731" s="199" t="str">
        <f>Datos!$C$75</f>
        <v>u</v>
      </c>
      <c r="F731" s="31" t="s">
        <v>572</v>
      </c>
      <c r="G731" s="246" t="str">
        <f>IF(ISNUMBER(Datos!T75),Datos!T75,"")</f>
        <v/>
      </c>
      <c r="H73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2" spans="1:8" ht="14.25" customHeight="1" x14ac:dyDescent="0.3">
      <c r="A732" s="245">
        <f>Datos!$T$3</f>
        <v>46722</v>
      </c>
      <c r="B732" s="199" t="str">
        <f>Datos!T$4</f>
        <v>Compresora</v>
      </c>
      <c r="C732" s="31" t="s">
        <v>581</v>
      </c>
      <c r="D732" s="199" t="str">
        <f>Datos!$B$76</f>
        <v>Desvíos de gravedad Alta abiertos a fin de mes</v>
      </c>
      <c r="E732" s="199" t="str">
        <f>Datos!$C$76</f>
        <v>u</v>
      </c>
      <c r="F732" s="31" t="s">
        <v>572</v>
      </c>
      <c r="G732" s="246" t="str">
        <f>IF(ISNUMBER(Datos!T76),Datos!T76,"")</f>
        <v/>
      </c>
      <c r="H73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3" spans="1:8" ht="14.25" customHeight="1" x14ac:dyDescent="0.3">
      <c r="A733" s="245">
        <f>Datos!$U$3</f>
        <v>46753</v>
      </c>
      <c r="B733" s="199" t="str">
        <f>Datos!U$4</f>
        <v>Compresora</v>
      </c>
      <c r="C733" s="31" t="s">
        <v>537</v>
      </c>
      <c r="D733" s="199" t="str">
        <f>Datos!$B$9</f>
        <v>Dotación promedio: Personal OPS</v>
      </c>
      <c r="E733" s="199" t="str">
        <f>Datos!$C$9</f>
        <v>pers</v>
      </c>
      <c r="F733" s="31" t="s">
        <v>538</v>
      </c>
      <c r="G733" s="246" t="str">
        <f>IF(ISNUMBER(Datos!U9),Datos!U9,"")</f>
        <v/>
      </c>
      <c r="H73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4" spans="1:8" ht="14.25" customHeight="1" x14ac:dyDescent="0.3">
      <c r="A734" s="245">
        <f>Datos!$U$3</f>
        <v>46753</v>
      </c>
      <c r="B734" s="199" t="str">
        <f>Datos!U$4</f>
        <v>Compresora</v>
      </c>
      <c r="C734" s="31" t="s">
        <v>539</v>
      </c>
      <c r="D734" s="199" t="str">
        <f>Datos!$B$10</f>
        <v>Dotación promedio: Personal SMP(IEBC, PAE e YPF) </v>
      </c>
      <c r="E734" s="199" t="str">
        <f>Datos!$C$10</f>
        <v>pers</v>
      </c>
      <c r="F734" s="31" t="s">
        <v>538</v>
      </c>
      <c r="G734" s="246" t="str">
        <f>IF(ISNUMBER(Datos!U10),Datos!U10,"")</f>
        <v/>
      </c>
      <c r="H73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5" spans="1:8" ht="14.25" customHeight="1" x14ac:dyDescent="0.3">
      <c r="A735" s="245">
        <f>Datos!$U$3</f>
        <v>46753</v>
      </c>
      <c r="B735" s="199" t="str">
        <f>Datos!U$4</f>
        <v>Compresora</v>
      </c>
      <c r="C735" s="31" t="s">
        <v>540</v>
      </c>
      <c r="D735" s="199" t="str">
        <f>Datos!$B$11</f>
        <v>Dotación promedio: TOTAL</v>
      </c>
      <c r="E735" s="199" t="str">
        <f>Datos!$C$11</f>
        <v>pers</v>
      </c>
      <c r="F735" s="31" t="s">
        <v>541</v>
      </c>
      <c r="G735" s="246">
        <f>IF(ISNUMBER(Datos!U11),Datos!U11,"")</f>
        <v>0</v>
      </c>
      <c r="H73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6" spans="1:8" ht="14.25" customHeight="1" x14ac:dyDescent="0.3">
      <c r="A736" s="245">
        <f>Datos!$U$3</f>
        <v>46753</v>
      </c>
      <c r="B736" s="199" t="str">
        <f>Datos!U$4</f>
        <v>Compresora</v>
      </c>
      <c r="C736" s="31" t="s">
        <v>542</v>
      </c>
      <c r="D736" s="199" t="str">
        <f>Datos!$B$12</f>
        <v>Horas hombre trabajadas: Personal OPS</v>
      </c>
      <c r="E736" s="199" t="str">
        <f>Datos!$C$12</f>
        <v>h</v>
      </c>
      <c r="F736" s="31" t="s">
        <v>538</v>
      </c>
      <c r="G736" s="246" t="str">
        <f>IF(ISNUMBER(Datos!U12),Datos!U12,"")</f>
        <v/>
      </c>
      <c r="H73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7" spans="1:8" ht="14.25" customHeight="1" x14ac:dyDescent="0.3">
      <c r="A737" s="245">
        <f>Datos!$U$3</f>
        <v>46753</v>
      </c>
      <c r="B737" s="199" t="str">
        <f>Datos!U$4</f>
        <v>Compresora</v>
      </c>
      <c r="C737" s="31" t="s">
        <v>543</v>
      </c>
      <c r="D737" s="199" t="str">
        <f>Datos!$B$13</f>
        <v>Horas hombre trabajadas: Personal SMP(IEBC, PAE e YPF) en campo</v>
      </c>
      <c r="E737" s="199" t="str">
        <f>Datos!$C$13</f>
        <v>h</v>
      </c>
      <c r="F737" s="31" t="s">
        <v>538</v>
      </c>
      <c r="G737" s="246" t="str">
        <f>IF(ISNUMBER(Datos!U13),Datos!U13,"")</f>
        <v/>
      </c>
      <c r="H73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8" spans="1:8" ht="14.25" customHeight="1" x14ac:dyDescent="0.3">
      <c r="A738" s="245">
        <f>Datos!$U$3</f>
        <v>46753</v>
      </c>
      <c r="B738" s="199" t="str">
        <f>Datos!U$4</f>
        <v>Compresora</v>
      </c>
      <c r="C738" s="31" t="s">
        <v>544</v>
      </c>
      <c r="D738" s="199" t="str">
        <f>Datos!$B$14</f>
        <v>Horas hombre trabajadas: TOTAL</v>
      </c>
      <c r="E738" s="199" t="str">
        <f>Datos!$C$14</f>
        <v>h</v>
      </c>
      <c r="F738" s="31" t="s">
        <v>541</v>
      </c>
      <c r="G738" s="246">
        <f>IF(ISNUMBER(Datos!U14),Datos!U14,"")</f>
        <v>0</v>
      </c>
      <c r="H73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9" spans="1:8" ht="14.25" customHeight="1" x14ac:dyDescent="0.3">
      <c r="A739" s="245">
        <f>Datos!$U$3</f>
        <v>46753</v>
      </c>
      <c r="B739" s="199" t="str">
        <f>Datos!U$4</f>
        <v>Compresora</v>
      </c>
      <c r="C739" s="31" t="s">
        <v>545</v>
      </c>
      <c r="D739" s="199" t="str">
        <f>Datos!$B$16</f>
        <v>Horas hombre de formación en seguridad: Personal OPS</v>
      </c>
      <c r="E739" s="199" t="str">
        <f>Datos!$C$16</f>
        <v>h</v>
      </c>
      <c r="F739" s="31" t="s">
        <v>538</v>
      </c>
      <c r="G739" s="246" t="str">
        <f>IF(ISNUMBER(Datos!U16),Datos!U16,"")</f>
        <v/>
      </c>
      <c r="H73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0" spans="1:8" ht="14.25" customHeight="1" x14ac:dyDescent="0.3">
      <c r="A740" s="245">
        <f>Datos!$U$3</f>
        <v>46753</v>
      </c>
      <c r="B740" s="199" t="str">
        <f>Datos!U$4</f>
        <v>Compresora</v>
      </c>
      <c r="C740" s="31" t="s">
        <v>546</v>
      </c>
      <c r="D740" s="199" t="str">
        <f>Datos!$B$17</f>
        <v>Horas hombre de formación en seguridad: Personal SMP(IEBC, PAE e YPF) </v>
      </c>
      <c r="E740" s="199" t="str">
        <f>Datos!$C$17</f>
        <v>h</v>
      </c>
      <c r="F740" s="31" t="s">
        <v>538</v>
      </c>
      <c r="G740" s="246" t="str">
        <f>IF(ISNUMBER(Datos!U17),Datos!U17,"")</f>
        <v/>
      </c>
      <c r="H74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1" spans="1:8" ht="14.25" customHeight="1" x14ac:dyDescent="0.3">
      <c r="A741" s="245">
        <f>Datos!$U$3</f>
        <v>46753</v>
      </c>
      <c r="B741" s="199" t="str">
        <f>Datos!U$4</f>
        <v>Compresora</v>
      </c>
      <c r="C741" s="31" t="s">
        <v>547</v>
      </c>
      <c r="D741" s="199" t="str">
        <f>Datos!$B$18</f>
        <v>Horas hombre de formación en seguridad: TOTAL</v>
      </c>
      <c r="E741" s="199" t="str">
        <f>Datos!$C$18</f>
        <v>h</v>
      </c>
      <c r="F741" s="31" t="s">
        <v>541</v>
      </c>
      <c r="G741" s="246">
        <f>IF(ISNUMBER(Datos!U18),Datos!U18,"")</f>
        <v>0</v>
      </c>
      <c r="H74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2" spans="1:8" ht="14.25" customHeight="1" x14ac:dyDescent="0.3">
      <c r="A742" s="245">
        <f>Datos!$U$3</f>
        <v>46753</v>
      </c>
      <c r="B742" s="199" t="str">
        <f>Datos!U$4</f>
        <v>Compresora</v>
      </c>
      <c r="C742" s="31" t="s">
        <v>548</v>
      </c>
      <c r="D742" s="199" t="str">
        <f>Datos!$B$20</f>
        <v>SIMULACROS · Realizados (emergencia y operativos)</v>
      </c>
      <c r="E742" s="199" t="str">
        <f>Datos!$C$20</f>
        <v>u</v>
      </c>
      <c r="F742" s="31" t="s">
        <v>538</v>
      </c>
      <c r="G742" s="246" t="str">
        <f>IF(ISNUMBER(Datos!U20),Datos!U20,"")</f>
        <v/>
      </c>
      <c r="H74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3" spans="1:8" ht="14.25" customHeight="1" x14ac:dyDescent="0.3">
      <c r="A743" s="245">
        <f>Datos!$U$3</f>
        <v>46753</v>
      </c>
      <c r="B743" s="199" t="str">
        <f>Datos!U$4</f>
        <v>Compresora</v>
      </c>
      <c r="C743" s="31" t="s">
        <v>549</v>
      </c>
      <c r="D743" s="199" t="str">
        <f>Datos!$B$21</f>
        <v>SIMULACROS · Programados (emergencia y operativos)</v>
      </c>
      <c r="E743" s="199" t="str">
        <f>Datos!$C$21</f>
        <v>u</v>
      </c>
      <c r="F743" s="31" t="s">
        <v>538</v>
      </c>
      <c r="G743" s="246" t="str">
        <f>IF(ISNUMBER(Datos!U21),Datos!U21,"")</f>
        <v/>
      </c>
      <c r="H74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4" spans="1:8" ht="14.25" customHeight="1" x14ac:dyDescent="0.3">
      <c r="A744" s="245">
        <f>Datos!$U$3</f>
        <v>46753</v>
      </c>
      <c r="B744" s="199" t="str">
        <f>Datos!U$4</f>
        <v>Compresora</v>
      </c>
      <c r="C744" s="31" t="s">
        <v>550</v>
      </c>
      <c r="D744" s="199" t="str">
        <f>Datos!$B$22</f>
        <v>SIMULACROS · Acciones de mejora surgidas de los simulacros (en el mes informado)</v>
      </c>
      <c r="E744" s="199" t="str">
        <f>Datos!$C$22</f>
        <v>u</v>
      </c>
      <c r="F744" s="31" t="s">
        <v>538</v>
      </c>
      <c r="G744" s="246" t="str">
        <f>IF(ISNUMBER(Datos!U22),Datos!U22,"")</f>
        <v/>
      </c>
      <c r="H74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5" spans="1:8" ht="14.25" customHeight="1" x14ac:dyDescent="0.3">
      <c r="A745" s="245">
        <f>Datos!$U$3</f>
        <v>46753</v>
      </c>
      <c r="B745" s="199" t="str">
        <f>Datos!U$4</f>
        <v>Compresora</v>
      </c>
      <c r="C745" s="31" t="s">
        <v>551</v>
      </c>
      <c r="D745" s="199" t="str">
        <f>Datos!$B$23</f>
        <v>SIMULACROS · Acciones de mejora implementadas surgidas de los simulacros (ICME) (en el mes informado)</v>
      </c>
      <c r="E745" s="199" t="str">
        <f>Datos!$C$23</f>
        <v>u</v>
      </c>
      <c r="F745" s="31" t="s">
        <v>538</v>
      </c>
      <c r="G745" s="246" t="str">
        <f>IF(ISNUMBER(Datos!U23),Datos!U23,"")</f>
        <v/>
      </c>
      <c r="H74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6" spans="1:8" ht="14.25" customHeight="1" x14ac:dyDescent="0.3">
      <c r="A746" s="245">
        <f>Datos!$U$3</f>
        <v>46753</v>
      </c>
      <c r="B746" s="199" t="str">
        <f>Datos!U$4</f>
        <v>Compresora</v>
      </c>
      <c r="C746" s="31" t="s">
        <v>552</v>
      </c>
      <c r="D746" s="199" t="str">
        <f>Datos!$B$24</f>
        <v>Caminatas gerenciales realizadas</v>
      </c>
      <c r="E746" s="199" t="str">
        <f>Datos!$C$24</f>
        <v>u</v>
      </c>
      <c r="F746" s="31" t="s">
        <v>538</v>
      </c>
      <c r="G746" s="246" t="str">
        <f>IF(ISNUMBER(Datos!U24),Datos!U24,"")</f>
        <v/>
      </c>
      <c r="H74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7" spans="1:8" ht="14.25" customHeight="1" x14ac:dyDescent="0.3">
      <c r="A747" s="245">
        <f>Datos!$U$3</f>
        <v>46753</v>
      </c>
      <c r="B747" s="199" t="str">
        <f>Datos!U$4</f>
        <v>Compresora</v>
      </c>
      <c r="C747" s="31" t="s">
        <v>553</v>
      </c>
      <c r="D747" s="199" t="str">
        <f>Datos!$B$25</f>
        <v>Caminatas gerenciales planificadas</v>
      </c>
      <c r="E747" s="199" t="str">
        <f>Datos!$C$25</f>
        <v>u</v>
      </c>
      <c r="F747" s="31" t="s">
        <v>538</v>
      </c>
      <c r="G747" s="246" t="str">
        <f>IF(ISNUMBER(Datos!U25),Datos!U25,"")</f>
        <v/>
      </c>
      <c r="H74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8" spans="1:8" ht="14.25" customHeight="1" x14ac:dyDescent="0.3">
      <c r="A748" s="245">
        <f>Datos!$U$3</f>
        <v>46753</v>
      </c>
      <c r="B748" s="199" t="str">
        <f>Datos!U$4</f>
        <v>Compresora</v>
      </c>
      <c r="C748" s="31" t="s">
        <v>554</v>
      </c>
      <c r="D748" s="199" t="str">
        <f>Datos!$B$26</f>
        <v>Comités y subcomités de seguridad realizados</v>
      </c>
      <c r="E748" s="199" t="str">
        <f>Datos!$C$26</f>
        <v>u</v>
      </c>
      <c r="F748" s="31" t="s">
        <v>538</v>
      </c>
      <c r="G748" s="246" t="str">
        <f>IF(ISNUMBER(Datos!U26),Datos!U26,"")</f>
        <v/>
      </c>
      <c r="H74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9" spans="1:8" ht="14.25" customHeight="1" x14ac:dyDescent="0.3">
      <c r="A749" s="245">
        <f>Datos!$U$3</f>
        <v>46753</v>
      </c>
      <c r="B749" s="199" t="str">
        <f>Datos!U$4</f>
        <v>Compresora</v>
      </c>
      <c r="C749" s="31" t="s">
        <v>555</v>
      </c>
      <c r="D749" s="199" t="str">
        <f>Datos!$B$27</f>
        <v>Comités y subcomités de seguridad planificados</v>
      </c>
      <c r="E749" s="199" t="str">
        <f>Datos!$C$27</f>
        <v>u</v>
      </c>
      <c r="F749" s="31" t="s">
        <v>538</v>
      </c>
      <c r="G749" s="246" t="str">
        <f>IF(ISNUMBER(Datos!U27),Datos!U27,"")</f>
        <v/>
      </c>
      <c r="H74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0" spans="1:8" ht="14.25" customHeight="1" x14ac:dyDescent="0.3">
      <c r="A750" s="245">
        <f>Datos!$U$3</f>
        <v>46753</v>
      </c>
      <c r="B750" s="199" t="str">
        <f>Datos!U$4</f>
        <v>Compresora</v>
      </c>
      <c r="C750" s="31" t="s">
        <v>556</v>
      </c>
      <c r="D750" s="31" t="inlineStr">
        <is>
          <t>Observaciones de comportamiento seguro: total del mes (OPS + SMP)</t>
        </is>
      </c>
      <c r="E750" s="199" t="str">
        <f>Datos!$C$28</f>
        <v>u</v>
      </c>
      <c r="F750" s="31" t="s">
        <v>538</v>
      </c>
      <c r="G750" s="246" t="str">
        <f>IF(COUNT(Datos!U28:U29)=0,"",SUM(Datos!U28:U29))</f>
        <v/>
      </c>
      <c r="H75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1" spans="1:8" ht="14.25" customHeight="1" x14ac:dyDescent="0.3">
      <c r="A751" s="245">
        <f>Datos!$U$3</f>
        <v>46753</v>
      </c>
      <c r="B751" s="199" t="str">
        <f>Datos!U$4</f>
        <v>Compresora</v>
      </c>
      <c r="C751" s="31" t="s">
        <v>557</v>
      </c>
      <c r="D751" s="199" t="str">
        <f>Datos!$B$30</f>
        <v>Investigaciones de accidentes cerradas en el mes</v>
      </c>
      <c r="E751" s="199" t="str">
        <f>Datos!$C$30</f>
        <v>u</v>
      </c>
      <c r="F751" s="31" t="s">
        <v>538</v>
      </c>
      <c r="G751" s="246" t="str">
        <f>IF(ISNUMBER(Datos!U30),Datos!U30,"")</f>
        <v/>
      </c>
      <c r="H75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2" spans="1:8" ht="14.25" customHeight="1" x14ac:dyDescent="0.3">
      <c r="A752" s="245">
        <f>Datos!$U$3</f>
        <v>46753</v>
      </c>
      <c r="B752" s="199" t="str">
        <f>Datos!U$4</f>
        <v>Compresora</v>
      </c>
      <c r="C752" s="31" t="s">
        <v>558</v>
      </c>
      <c r="D752" s="199" t="str">
        <f>Datos!$B$31</f>
        <v>Días que llevaron esas investigaciones (suma)</v>
      </c>
      <c r="E752" s="199" t="str">
        <f>Datos!$C$31</f>
        <v>días</v>
      </c>
      <c r="F752" s="31" t="s">
        <v>538</v>
      </c>
      <c r="G752" s="246" t="str">
        <f>IF(ISNUMBER(Datos!U31),Datos!U31,"")</f>
        <v/>
      </c>
      <c r="H75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3" spans="1:8" ht="14.25" customHeight="1" x14ac:dyDescent="0.3">
      <c r="A753" s="245">
        <f>Datos!$U$3</f>
        <v>46753</v>
      </c>
      <c r="B753" s="199" t="str">
        <f>Datos!U$4</f>
        <v>Compresora</v>
      </c>
      <c r="C753" s="31" t="s">
        <v>559</v>
      </c>
      <c r="D753" s="199" t="str">
        <f>Datos!$B$33</f>
        <v>Casos con días perdidos</v>
      </c>
      <c r="E753" s="199" t="str">
        <f>Datos!$C$33</f>
        <v>u</v>
      </c>
      <c r="F753" s="31" t="s">
        <v>538</v>
      </c>
      <c r="G753" s="246" t="str">
        <f>IF(ISNUMBER(Datos!U33),Datos!U33,"")</f>
        <v/>
      </c>
      <c r="H75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4" spans="1:8" ht="14.25" customHeight="1" x14ac:dyDescent="0.3">
      <c r="A754" s="245">
        <f>Datos!$U$3</f>
        <v>46753</v>
      </c>
      <c r="B754" s="199" t="str">
        <f>Datos!U$4</f>
        <v>Compresora</v>
      </c>
      <c r="C754" s="31" t="s">
        <v>560</v>
      </c>
      <c r="D754" s="199" t="str">
        <f>Datos!$B$34</f>
        <v>Casos con trabajo restringido</v>
      </c>
      <c r="E754" s="199" t="str">
        <f>Datos!$C$34</f>
        <v>u</v>
      </c>
      <c r="F754" s="31" t="s">
        <v>538</v>
      </c>
      <c r="G754" s="246" t="str">
        <f>IF(ISNUMBER(Datos!U34),Datos!U34,"")</f>
        <v/>
      </c>
      <c r="H75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5" spans="1:8" ht="14.25" customHeight="1" x14ac:dyDescent="0.3">
      <c r="A755" s="245">
        <f>Datos!$U$3</f>
        <v>46753</v>
      </c>
      <c r="B755" s="199" t="str">
        <f>Datos!U$4</f>
        <v>Compresora</v>
      </c>
      <c r="C755" s="31" t="s">
        <v>561</v>
      </c>
      <c r="D755" s="199" t="str">
        <f>Datos!$B$35</f>
        <v>Casos con tratamiento médico</v>
      </c>
      <c r="E755" s="199" t="str">
        <f>Datos!$C$35</f>
        <v>u</v>
      </c>
      <c r="F755" s="31" t="s">
        <v>538</v>
      </c>
      <c r="G755" s="246" t="str">
        <f>IF(ISNUMBER(Datos!U35),Datos!U35,"")</f>
        <v/>
      </c>
      <c r="H75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6" spans="1:8" ht="14.25" customHeight="1" x14ac:dyDescent="0.3">
      <c r="A756" s="245">
        <f>Datos!$U$3</f>
        <v>46753</v>
      </c>
      <c r="B756" s="199" t="str">
        <f>Datos!U$4</f>
        <v>Compresora</v>
      </c>
      <c r="C756" s="31" t="s">
        <v>562</v>
      </c>
      <c r="D756" s="199" t="str">
        <f>Datos!$B$36</f>
        <v>Fatalidades</v>
      </c>
      <c r="E756" s="199" t="str">
        <f>Datos!$C$36</f>
        <v>u</v>
      </c>
      <c r="F756" s="31" t="s">
        <v>538</v>
      </c>
      <c r="G756" s="246" t="str">
        <f>IF(ISNUMBER(Datos!U36),Datos!U36,"")</f>
        <v/>
      </c>
      <c r="H75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7" spans="1:8" ht="14.25" customHeight="1" x14ac:dyDescent="0.3">
      <c r="A757" s="245">
        <f>Datos!$U$3</f>
        <v>46753</v>
      </c>
      <c r="B757" s="199" t="str">
        <f>Datos!U$4</f>
        <v>Compresora</v>
      </c>
      <c r="C757" s="31" t="s">
        <v>51</v>
      </c>
      <c r="D757" s="199" t="str">
        <f>Datos!$B$37</f>
        <v>Casos de primeros auxilios</v>
      </c>
      <c r="E757" s="199" t="str">
        <f>Datos!$C$37</f>
        <v>u</v>
      </c>
      <c r="F757" s="31" t="s">
        <v>538</v>
      </c>
      <c r="G757" s="246" t="str">
        <f>IF(ISNUMBER(Datos!U37),Datos!U37,"")</f>
        <v/>
      </c>
      <c r="H75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8" spans="1:8" ht="14.25" customHeight="1" x14ac:dyDescent="0.3">
      <c r="A758" s="245">
        <f>Datos!$U$3</f>
        <v>46753</v>
      </c>
      <c r="B758" s="199" t="str">
        <f>Datos!U$4</f>
        <v>Compresora</v>
      </c>
      <c r="C758" s="31" t="s">
        <v>563</v>
      </c>
      <c r="D758" s="199" t="str">
        <f>Datos!$B$39</f>
        <v>CVM catastróficas</v>
      </c>
      <c r="E758" s="199" t="str">
        <f>Datos!$C$39</f>
        <v>u</v>
      </c>
      <c r="F758" s="31" t="s">
        <v>538</v>
      </c>
      <c r="G758" s="246" t="str">
        <f>IF(ISNUMBER(Datos!U39),Datos!U39,"")</f>
        <v/>
      </c>
      <c r="H75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9" spans="1:8" ht="14.25" customHeight="1" x14ac:dyDescent="0.3">
      <c r="A759" s="245">
        <f>Datos!$U$3</f>
        <v>46753</v>
      </c>
      <c r="B759" s="199" t="str">
        <f>Datos!U$4</f>
        <v>Compresora</v>
      </c>
      <c r="C759" s="31" t="s">
        <v>564</v>
      </c>
      <c r="D759" s="199" t="str">
        <f>Datos!$B$40</f>
        <v>CVM mayores</v>
      </c>
      <c r="E759" s="199" t="str">
        <f>Datos!$C$40</f>
        <v>u</v>
      </c>
      <c r="F759" s="31" t="s">
        <v>538</v>
      </c>
      <c r="G759" s="246" t="str">
        <f>IF(ISNUMBER(Datos!U40),Datos!U40,"")</f>
        <v/>
      </c>
      <c r="H75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0" spans="1:8" ht="14.25" customHeight="1" x14ac:dyDescent="0.3">
      <c r="A760" s="245">
        <f>Datos!$U$3</f>
        <v>46753</v>
      </c>
      <c r="B760" s="199" t="str">
        <f>Datos!U$4</f>
        <v>Compresora</v>
      </c>
      <c r="C760" s="31" t="s">
        <v>565</v>
      </c>
      <c r="D760" s="199" t="str">
        <f>Datos!$B$41</f>
        <v>CVM serias</v>
      </c>
      <c r="E760" s="199" t="str">
        <f>Datos!$C$41</f>
        <v>u</v>
      </c>
      <c r="F760" s="31" t="s">
        <v>538</v>
      </c>
      <c r="G760" s="246" t="str">
        <f>IF(ISNUMBER(Datos!U41),Datos!U41,"")</f>
        <v/>
      </c>
      <c r="H76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1" spans="1:8" ht="14.25" customHeight="1" x14ac:dyDescent="0.3">
      <c r="A761" s="245">
        <f>Datos!$U$3</f>
        <v>46753</v>
      </c>
      <c r="B761" s="199" t="str">
        <f>Datos!U$4</f>
        <v>Compresora</v>
      </c>
      <c r="C761" s="31" t="s">
        <v>566</v>
      </c>
      <c r="D761" s="199" t="str">
        <f>Datos!$B$42</f>
        <v>CVM otras / menores</v>
      </c>
      <c r="E761" s="199" t="str">
        <f>Datos!$C$42</f>
        <v>u</v>
      </c>
      <c r="F761" s="31" t="s">
        <v>538</v>
      </c>
      <c r="G761" s="246" t="str">
        <f>IF(ISNUMBER(Datos!U42),Datos!U42,"")</f>
        <v/>
      </c>
      <c r="H76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2" spans="1:8" ht="14.25" customHeight="1" x14ac:dyDescent="0.3">
      <c r="A762" s="245">
        <f>Datos!$U$3</f>
        <v>46753</v>
      </c>
      <c r="B762" s="199" t="str">
        <f>Datos!U$4</f>
        <v>Compresora</v>
      </c>
      <c r="C762" s="31" t="s">
        <v>567</v>
      </c>
      <c r="D762" s="199" t="str">
        <f>Datos!$B$44</f>
        <v>Km recorridos: vehículos livianos (camionetas)</v>
      </c>
      <c r="E762" s="199" t="str">
        <f>Datos!$C$44</f>
        <v>km</v>
      </c>
      <c r="F762" s="31" t="s">
        <v>538</v>
      </c>
      <c r="G762" s="246" t="str">
        <f>IF(ISNUMBER(Datos!U44),Datos!U44,"")</f>
        <v/>
      </c>
      <c r="H76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3" spans="1:8" ht="14.25" customHeight="1" x14ac:dyDescent="0.3">
      <c r="A763" s="245">
        <f>Datos!$U$3</f>
        <v>46753</v>
      </c>
      <c r="B763" s="199" t="str">
        <f>Datos!U$4</f>
        <v>Compresora</v>
      </c>
      <c r="C763" s="31" t="s">
        <v>568</v>
      </c>
      <c r="D763" s="199" t="str">
        <f>Datos!$B$45</f>
        <v>Km recorridos: vehículos pesados (camiones)</v>
      </c>
      <c r="E763" s="199" t="str">
        <f>Datos!$C$45</f>
        <v>km</v>
      </c>
      <c r="F763" s="31" t="s">
        <v>538</v>
      </c>
      <c r="G763" s="246" t="str">
        <f>IF(ISNUMBER(Datos!U45),Datos!U45,"")</f>
        <v/>
      </c>
      <c r="H76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4" spans="1:8" ht="14.25" customHeight="1" x14ac:dyDescent="0.3">
      <c r="A764" s="245">
        <f>Datos!$U$3</f>
        <v>46753</v>
      </c>
      <c r="B764" s="199" t="str">
        <f>Datos!U$4</f>
        <v>Compresora</v>
      </c>
      <c r="C764" s="31" t="s">
        <v>569</v>
      </c>
      <c r="D764" s="199" t="str">
        <f>Datos!$B$46</f>
        <v>Km recorridos: vehículos de transporte de personal (combis)</v>
      </c>
      <c r="E764" s="199" t="str">
        <f>Datos!$C$46</f>
        <v>km</v>
      </c>
      <c r="F764" s="31" t="s">
        <v>538</v>
      </c>
      <c r="G764" s="246" t="str">
        <f>IF(ISNUMBER(Datos!U46),Datos!U46,"")</f>
        <v/>
      </c>
      <c r="H76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5" spans="1:8" ht="14.25" customHeight="1" x14ac:dyDescent="0.3">
      <c r="A765" s="245">
        <f>Datos!$U$3</f>
        <v>46753</v>
      </c>
      <c r="B765" s="199" t="str">
        <f>Datos!U$4</f>
        <v>Compresora</v>
      </c>
      <c r="C765" s="31" t="s">
        <v>570</v>
      </c>
      <c r="D765" s="199" t="str">
        <f>Datos!$B$47</f>
        <v>Km recorridos: TOTAL</v>
      </c>
      <c r="E765" s="199" t="str">
        <f>Datos!$C$47</f>
        <v>km</v>
      </c>
      <c r="F765" s="31" t="s">
        <v>541</v>
      </c>
      <c r="G765" s="246">
        <f>IF(ISNUMBER(Datos!U47),Datos!U47,"")</f>
        <v>0</v>
      </c>
      <c r="H76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6" spans="1:8" ht="14.25" customHeight="1" x14ac:dyDescent="0.3">
      <c r="A766" s="245">
        <f>Datos!$U$3</f>
        <v>46753</v>
      </c>
      <c r="B766" s="199" t="str">
        <f>Datos!U$4</f>
        <v>Compresora</v>
      </c>
      <c r="C766" s="31" t="s">
        <v>571</v>
      </c>
      <c r="D766" s="199" t="str">
        <f>Datos!$B$67</f>
        <v>Hallazgos (desvíos) cerrados en el mes</v>
      </c>
      <c r="E766" s="199" t="str">
        <f>Datos!$C$67</f>
        <v>u</v>
      </c>
      <c r="F766" s="31" t="s">
        <v>572</v>
      </c>
      <c r="G766" s="246" t="str">
        <f>IF(ISNUMBER(Datos!U67),Datos!U67,"")</f>
        <v/>
      </c>
      <c r="H76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7" spans="1:8" ht="14.25" customHeight="1" x14ac:dyDescent="0.3">
      <c r="A767" s="245">
        <f>Datos!$U$3</f>
        <v>46753</v>
      </c>
      <c r="B767" s="199" t="str">
        <f>Datos!U$4</f>
        <v>Compresora</v>
      </c>
      <c r="C767" s="31" t="s">
        <v>573</v>
      </c>
      <c r="D767" s="199" t="str">
        <f>Datos!$B$68</f>
        <v>Días que llevaron esos hallazgos (suma)</v>
      </c>
      <c r="E767" s="199" t="str">
        <f>Datos!$C$68</f>
        <v>días</v>
      </c>
      <c r="F767" s="31" t="s">
        <v>572</v>
      </c>
      <c r="G767" s="246" t="str">
        <f>IF(ISNUMBER(Datos!U68),Datos!U68,"")</f>
        <v/>
      </c>
      <c r="H76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8" spans="1:8" ht="14.25" customHeight="1" x14ac:dyDescent="0.3">
      <c r="A768" s="245">
        <f>Datos!$U$3</f>
        <v>46753</v>
      </c>
      <c r="B768" s="199" t="str">
        <f>Datos!U$4</f>
        <v>Compresora</v>
      </c>
      <c r="C768" s="31" t="s">
        <v>574</v>
      </c>
      <c r="D768" s="199" t="str">
        <f>Datos!$B$69</f>
        <v>Hallazgos (desvíos) abiertos a fin de mes</v>
      </c>
      <c r="E768" s="199" t="str">
        <f>Datos!$C$69</f>
        <v>u</v>
      </c>
      <c r="F768" s="31" t="s">
        <v>572</v>
      </c>
      <c r="G768" s="246" t="str">
        <f>IF(ISNUMBER(Datos!U69),Datos!U69,"")</f>
        <v/>
      </c>
      <c r="H76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9" spans="1:8" ht="14.25" customHeight="1" x14ac:dyDescent="0.3">
      <c r="A769" s="245">
        <f>Datos!$U$3</f>
        <v>46753</v>
      </c>
      <c r="B769" s="199" t="str">
        <f>Datos!U$4</f>
        <v>Compresora</v>
      </c>
      <c r="C769" s="31" t="s">
        <v>575</v>
      </c>
      <c r="D769" s="199" t="str">
        <f>Datos!$B$70</f>
        <v>Hallazgos (desvíos) detectados en el mes</v>
      </c>
      <c r="E769" s="199" t="str">
        <f>Datos!$C$70</f>
        <v>u</v>
      </c>
      <c r="F769" s="31" t="s">
        <v>572</v>
      </c>
      <c r="G769" s="246" t="str">
        <f>IF(ISNUMBER(Datos!U70),Datos!U70,"")</f>
        <v/>
      </c>
      <c r="H76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0" spans="1:8" ht="14.25" customHeight="1" x14ac:dyDescent="0.3">
      <c r="A770" s="245">
        <f>Datos!$U$3</f>
        <v>46753</v>
      </c>
      <c r="B770" s="199" t="str">
        <f>Datos!U$4</f>
        <v>Compresora</v>
      </c>
      <c r="C770" s="31" t="s">
        <v>576</v>
      </c>
      <c r="D770" s="199" t="str">
        <f>Datos!$B$71</f>
        <v>Desvíos detectados en el mes · gravedad Alta</v>
      </c>
      <c r="E770" s="199" t="str">
        <f>Datos!$C$71</f>
        <v>u</v>
      </c>
      <c r="F770" s="31" t="s">
        <v>572</v>
      </c>
      <c r="G770" s="246" t="str">
        <f>IF(ISNUMBER(Datos!U71),Datos!U71,"")</f>
        <v/>
      </c>
      <c r="H77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1" spans="1:8" ht="14.25" customHeight="1" x14ac:dyDescent="0.3">
      <c r="A771" s="245">
        <f>Datos!$U$3</f>
        <v>46753</v>
      </c>
      <c r="B771" s="199" t="str">
        <f>Datos!U$4</f>
        <v>Compresora</v>
      </c>
      <c r="C771" s="31" t="s">
        <v>577</v>
      </c>
      <c r="D771" s="199" t="str">
        <f>Datos!$B$72</f>
        <v>Desvíos detectados en el mes · gravedad Media</v>
      </c>
      <c r="E771" s="199" t="str">
        <f>Datos!$C$72</f>
        <v>u</v>
      </c>
      <c r="F771" s="31" t="s">
        <v>572</v>
      </c>
      <c r="G771" s="246" t="str">
        <f>IF(ISNUMBER(Datos!U72),Datos!U72,"")</f>
        <v/>
      </c>
      <c r="H77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2" spans="1:8" ht="14.25" customHeight="1" x14ac:dyDescent="0.3">
      <c r="A772" s="245">
        <f>Datos!$U$3</f>
        <v>46753</v>
      </c>
      <c r="B772" s="199" t="str">
        <f>Datos!U$4</f>
        <v>Compresora</v>
      </c>
      <c r="C772" s="31" t="s">
        <v>578</v>
      </c>
      <c r="D772" s="199" t="str">
        <f>Datos!$B$73</f>
        <v>Desvíos detectados en el mes · gravedad Baja</v>
      </c>
      <c r="E772" s="199" t="str">
        <f>Datos!$C$73</f>
        <v>u</v>
      </c>
      <c r="F772" s="31" t="s">
        <v>572</v>
      </c>
      <c r="G772" s="246" t="str">
        <f>IF(ISNUMBER(Datos!U73),Datos!U73,"")</f>
        <v/>
      </c>
      <c r="H77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3" spans="1:8" ht="14.25" customHeight="1" x14ac:dyDescent="0.3">
      <c r="A773" s="245">
        <f>Datos!$U$3</f>
        <v>46753</v>
      </c>
      <c r="B773" s="199" t="str">
        <f>Datos!U$4</f>
        <v>Compresora</v>
      </c>
      <c r="C773" s="31" t="s">
        <v>579</v>
      </c>
      <c r="D773" s="199" t="str">
        <f>Datos!$B$74</f>
        <v>Desvíos detectados en el mes · sin gravedad cargada</v>
      </c>
      <c r="E773" s="199" t="str">
        <f>Datos!$C$74</f>
        <v>u</v>
      </c>
      <c r="F773" s="31" t="s">
        <v>572</v>
      </c>
      <c r="G773" s="246">
        <f>IF(ISNUMBER(Datos!U74),Datos!U74,"")</f>
        <v>0</v>
      </c>
      <c r="H77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4" spans="1:8" ht="14.25" customHeight="1" x14ac:dyDescent="0.3">
      <c r="A774" s="245">
        <f>Datos!$U$3</f>
        <v>46753</v>
      </c>
      <c r="B774" s="199" t="str">
        <f>Datos!U$4</f>
        <v>Compresora</v>
      </c>
      <c r="C774" s="31" t="s">
        <v>580</v>
      </c>
      <c r="D774" s="199" t="str">
        <f>Datos!$B$75</f>
        <v>Detenciones de tareas aplicadas en el mes (Política = Sí)</v>
      </c>
      <c r="E774" s="199" t="str">
        <f>Datos!$C$75</f>
        <v>u</v>
      </c>
      <c r="F774" s="31" t="s">
        <v>572</v>
      </c>
      <c r="G774" s="246" t="str">
        <f>IF(ISNUMBER(Datos!U75),Datos!U75,"")</f>
        <v/>
      </c>
      <c r="H77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5" spans="1:8" ht="14.25" customHeight="1" x14ac:dyDescent="0.3">
      <c r="A775" s="245">
        <f>Datos!$U$3</f>
        <v>46753</v>
      </c>
      <c r="B775" s="199" t="str">
        <f>Datos!U$4</f>
        <v>Compresora</v>
      </c>
      <c r="C775" s="31" t="s">
        <v>581</v>
      </c>
      <c r="D775" s="199" t="str">
        <f>Datos!$B$76</f>
        <v>Desvíos de gravedad Alta abiertos a fin de mes</v>
      </c>
      <c r="E775" s="199" t="str">
        <f>Datos!$C$76</f>
        <v>u</v>
      </c>
      <c r="F775" s="31" t="s">
        <v>572</v>
      </c>
      <c r="G775" s="246" t="str">
        <f>IF(ISNUMBER(Datos!U76),Datos!U76,"")</f>
        <v/>
      </c>
      <c r="H77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6" spans="1:8" ht="14.25" customHeight="1" x14ac:dyDescent="0.3">
      <c r="A776" s="245">
        <f>Datos!$V$3</f>
        <v>46784</v>
      </c>
      <c r="B776" s="199" t="str">
        <f>Datos!V$4</f>
        <v>Compresora</v>
      </c>
      <c r="C776" s="31" t="s">
        <v>537</v>
      </c>
      <c r="D776" s="199" t="str">
        <f>Datos!$B$9</f>
        <v>Dotación promedio: Personal OPS</v>
      </c>
      <c r="E776" s="199" t="str">
        <f>Datos!$C$9</f>
        <v>pers</v>
      </c>
      <c r="F776" s="31" t="s">
        <v>538</v>
      </c>
      <c r="G776" s="246" t="str">
        <f>IF(ISNUMBER(Datos!V9),Datos!V9,"")</f>
        <v/>
      </c>
      <c r="H77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7" spans="1:8" ht="14.25" customHeight="1" x14ac:dyDescent="0.3">
      <c r="A777" s="245">
        <f>Datos!$V$3</f>
        <v>46784</v>
      </c>
      <c r="B777" s="199" t="str">
        <f>Datos!V$4</f>
        <v>Compresora</v>
      </c>
      <c r="C777" s="31" t="s">
        <v>539</v>
      </c>
      <c r="D777" s="199" t="str">
        <f>Datos!$B$10</f>
        <v>Dotación promedio: Personal SMP(IEBC, PAE e YPF) </v>
      </c>
      <c r="E777" s="199" t="str">
        <f>Datos!$C$10</f>
        <v>pers</v>
      </c>
      <c r="F777" s="31" t="s">
        <v>538</v>
      </c>
      <c r="G777" s="246" t="str">
        <f>IF(ISNUMBER(Datos!V10),Datos!V10,"")</f>
        <v/>
      </c>
      <c r="H77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8" spans="1:8" ht="14.25" customHeight="1" x14ac:dyDescent="0.3">
      <c r="A778" s="245">
        <f>Datos!$V$3</f>
        <v>46784</v>
      </c>
      <c r="B778" s="199" t="str">
        <f>Datos!V$4</f>
        <v>Compresora</v>
      </c>
      <c r="C778" s="31" t="s">
        <v>540</v>
      </c>
      <c r="D778" s="199" t="str">
        <f>Datos!$B$11</f>
        <v>Dotación promedio: TOTAL</v>
      </c>
      <c r="E778" s="199" t="str">
        <f>Datos!$C$11</f>
        <v>pers</v>
      </c>
      <c r="F778" s="31" t="s">
        <v>541</v>
      </c>
      <c r="G778" s="246">
        <f>IF(ISNUMBER(Datos!V11),Datos!V11,"")</f>
        <v>0</v>
      </c>
      <c r="H77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9" spans="1:8" ht="14.25" customHeight="1" x14ac:dyDescent="0.3">
      <c r="A779" s="245">
        <f>Datos!$V$3</f>
        <v>46784</v>
      </c>
      <c r="B779" s="199" t="str">
        <f>Datos!V$4</f>
        <v>Compresora</v>
      </c>
      <c r="C779" s="31" t="s">
        <v>542</v>
      </c>
      <c r="D779" s="199" t="str">
        <f>Datos!$B$12</f>
        <v>Horas hombre trabajadas: Personal OPS</v>
      </c>
      <c r="E779" s="199" t="str">
        <f>Datos!$C$12</f>
        <v>h</v>
      </c>
      <c r="F779" s="31" t="s">
        <v>538</v>
      </c>
      <c r="G779" s="246" t="str">
        <f>IF(ISNUMBER(Datos!V12),Datos!V12,"")</f>
        <v/>
      </c>
      <c r="H77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0" spans="1:8" ht="14.25" customHeight="1" x14ac:dyDescent="0.3">
      <c r="A780" s="245">
        <f>Datos!$V$3</f>
        <v>46784</v>
      </c>
      <c r="B780" s="199" t="str">
        <f>Datos!V$4</f>
        <v>Compresora</v>
      </c>
      <c r="C780" s="31" t="s">
        <v>543</v>
      </c>
      <c r="D780" s="199" t="str">
        <f>Datos!$B$13</f>
        <v>Horas hombre trabajadas: Personal SMP(IEBC, PAE e YPF) en campo</v>
      </c>
      <c r="E780" s="199" t="str">
        <f>Datos!$C$13</f>
        <v>h</v>
      </c>
      <c r="F780" s="31" t="s">
        <v>538</v>
      </c>
      <c r="G780" s="246" t="str">
        <f>IF(ISNUMBER(Datos!V13),Datos!V13,"")</f>
        <v/>
      </c>
      <c r="H78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1" spans="1:8" ht="14.25" customHeight="1" x14ac:dyDescent="0.3">
      <c r="A781" s="245">
        <f>Datos!$V$3</f>
        <v>46784</v>
      </c>
      <c r="B781" s="199" t="str">
        <f>Datos!V$4</f>
        <v>Compresora</v>
      </c>
      <c r="C781" s="31" t="s">
        <v>544</v>
      </c>
      <c r="D781" s="199" t="str">
        <f>Datos!$B$14</f>
        <v>Horas hombre trabajadas: TOTAL</v>
      </c>
      <c r="E781" s="199" t="str">
        <f>Datos!$C$14</f>
        <v>h</v>
      </c>
      <c r="F781" s="31" t="s">
        <v>541</v>
      </c>
      <c r="G781" s="246">
        <f>IF(ISNUMBER(Datos!V14),Datos!V14,"")</f>
        <v>0</v>
      </c>
      <c r="H78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2" spans="1:8" ht="14.25" customHeight="1" x14ac:dyDescent="0.3">
      <c r="A782" s="245">
        <f>Datos!$V$3</f>
        <v>46784</v>
      </c>
      <c r="B782" s="199" t="str">
        <f>Datos!V$4</f>
        <v>Compresora</v>
      </c>
      <c r="C782" s="31" t="s">
        <v>545</v>
      </c>
      <c r="D782" s="199" t="str">
        <f>Datos!$B$16</f>
        <v>Horas hombre de formación en seguridad: Personal OPS</v>
      </c>
      <c r="E782" s="199" t="str">
        <f>Datos!$C$16</f>
        <v>h</v>
      </c>
      <c r="F782" s="31" t="s">
        <v>538</v>
      </c>
      <c r="G782" s="246" t="str">
        <f>IF(ISNUMBER(Datos!V16),Datos!V16,"")</f>
        <v/>
      </c>
      <c r="H78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3" spans="1:8" ht="14.25" customHeight="1" x14ac:dyDescent="0.3">
      <c r="A783" s="245">
        <f>Datos!$V$3</f>
        <v>46784</v>
      </c>
      <c r="B783" s="199" t="str">
        <f>Datos!V$4</f>
        <v>Compresora</v>
      </c>
      <c r="C783" s="31" t="s">
        <v>546</v>
      </c>
      <c r="D783" s="199" t="str">
        <f>Datos!$B$17</f>
        <v>Horas hombre de formación en seguridad: Personal SMP(IEBC, PAE e YPF) </v>
      </c>
      <c r="E783" s="199" t="str">
        <f>Datos!$C$17</f>
        <v>h</v>
      </c>
      <c r="F783" s="31" t="s">
        <v>538</v>
      </c>
      <c r="G783" s="246" t="str">
        <f>IF(ISNUMBER(Datos!V17),Datos!V17,"")</f>
        <v/>
      </c>
      <c r="H78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4" spans="1:8" x14ac:dyDescent="0.3">
      <c r="A784" s="245">
        <f>Datos!$V$3</f>
        <v>46784</v>
      </c>
      <c r="B784" s="199" t="str">
        <f>Datos!V$4</f>
        <v>Compresora</v>
      </c>
      <c r="C784" s="31" t="s">
        <v>547</v>
      </c>
      <c r="D784" s="199" t="str">
        <f>Datos!$B$18</f>
        <v>Horas hombre de formación en seguridad: TOTAL</v>
      </c>
      <c r="E784" s="199" t="str">
        <f>Datos!$C$18</f>
        <v>h</v>
      </c>
      <c r="F784" s="31" t="s">
        <v>541</v>
      </c>
      <c r="G784" s="246">
        <f>IF(ISNUMBER(Datos!V18),Datos!V18,"")</f>
        <v>0</v>
      </c>
      <c r="H78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5" spans="1:8" x14ac:dyDescent="0.3">
      <c r="A785" s="245">
        <f>Datos!$V$3</f>
        <v>46784</v>
      </c>
      <c r="B785" s="199" t="str">
        <f>Datos!V$4</f>
        <v>Compresora</v>
      </c>
      <c r="C785" s="31" t="s">
        <v>548</v>
      </c>
      <c r="D785" s="199" t="str">
        <f>Datos!$B$20</f>
        <v>SIMULACROS · Realizados (emergencia y operativos)</v>
      </c>
      <c r="E785" s="199" t="str">
        <f>Datos!$C$20</f>
        <v>u</v>
      </c>
      <c r="F785" s="31" t="s">
        <v>538</v>
      </c>
      <c r="G785" s="246" t="str">
        <f>IF(ISNUMBER(Datos!V20),Datos!V20,"")</f>
        <v/>
      </c>
      <c r="H78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6" spans="1:8" x14ac:dyDescent="0.3">
      <c r="A786" s="245">
        <f>Datos!$V$3</f>
        <v>46784</v>
      </c>
      <c r="B786" s="199" t="str">
        <f>Datos!V$4</f>
        <v>Compresora</v>
      </c>
      <c r="C786" s="31" t="s">
        <v>549</v>
      </c>
      <c r="D786" s="199" t="str">
        <f>Datos!$B$21</f>
        <v>SIMULACROS · Programados (emergencia y operativos)</v>
      </c>
      <c r="E786" s="199" t="str">
        <f>Datos!$C$21</f>
        <v>u</v>
      </c>
      <c r="F786" s="31" t="s">
        <v>538</v>
      </c>
      <c r="G786" s="246" t="str">
        <f>IF(ISNUMBER(Datos!V21),Datos!V21,"")</f>
        <v/>
      </c>
      <c r="H78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7" spans="1:8" x14ac:dyDescent="0.3">
      <c r="A787" s="245">
        <f>Datos!$V$3</f>
        <v>46784</v>
      </c>
      <c r="B787" s="199" t="str">
        <f>Datos!V$4</f>
        <v>Compresora</v>
      </c>
      <c r="C787" s="31" t="s">
        <v>550</v>
      </c>
      <c r="D787" s="199" t="str">
        <f>Datos!$B$22</f>
        <v>SIMULACROS · Acciones de mejora surgidas de los simulacros (en el mes informado)</v>
      </c>
      <c r="E787" s="199" t="str">
        <f>Datos!$C$22</f>
        <v>u</v>
      </c>
      <c r="F787" s="31" t="s">
        <v>538</v>
      </c>
      <c r="G787" s="246" t="str">
        <f>IF(ISNUMBER(Datos!V22),Datos!V22,"")</f>
        <v/>
      </c>
      <c r="H78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8" spans="1:8" x14ac:dyDescent="0.3">
      <c r="A788" s="245">
        <f>Datos!$V$3</f>
        <v>46784</v>
      </c>
      <c r="B788" s="199" t="str">
        <f>Datos!V$4</f>
        <v>Compresora</v>
      </c>
      <c r="C788" s="31" t="s">
        <v>551</v>
      </c>
      <c r="D788" s="199" t="str">
        <f>Datos!$B$23</f>
        <v>SIMULACROS · Acciones de mejora implementadas surgidas de los simulacros (ICME) (en el mes informado)</v>
      </c>
      <c r="E788" s="199" t="str">
        <f>Datos!$C$23</f>
        <v>u</v>
      </c>
      <c r="F788" s="31" t="s">
        <v>538</v>
      </c>
      <c r="G788" s="246" t="str">
        <f>IF(ISNUMBER(Datos!V23),Datos!V23,"")</f>
        <v/>
      </c>
      <c r="H78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9" spans="1:8" x14ac:dyDescent="0.3">
      <c r="A789" s="245">
        <f>Datos!$V$3</f>
        <v>46784</v>
      </c>
      <c r="B789" s="199" t="str">
        <f>Datos!V$4</f>
        <v>Compresora</v>
      </c>
      <c r="C789" s="31" t="s">
        <v>552</v>
      </c>
      <c r="D789" s="199" t="str">
        <f>Datos!$B$24</f>
        <v>Caminatas gerenciales realizadas</v>
      </c>
      <c r="E789" s="199" t="str">
        <f>Datos!$C$24</f>
        <v>u</v>
      </c>
      <c r="F789" s="31" t="s">
        <v>538</v>
      </c>
      <c r="G789" s="246" t="str">
        <f>IF(ISNUMBER(Datos!V24),Datos!V24,"")</f>
        <v/>
      </c>
      <c r="H78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0" spans="1:8" x14ac:dyDescent="0.3">
      <c r="A790" s="245">
        <f>Datos!$V$3</f>
        <v>46784</v>
      </c>
      <c r="B790" s="199" t="str">
        <f>Datos!V$4</f>
        <v>Compresora</v>
      </c>
      <c r="C790" s="31" t="s">
        <v>553</v>
      </c>
      <c r="D790" s="199" t="str">
        <f>Datos!$B$25</f>
        <v>Caminatas gerenciales planificadas</v>
      </c>
      <c r="E790" s="199" t="str">
        <f>Datos!$C$25</f>
        <v>u</v>
      </c>
      <c r="F790" s="31" t="s">
        <v>538</v>
      </c>
      <c r="G790" s="246" t="str">
        <f>IF(ISNUMBER(Datos!V25),Datos!V25,"")</f>
        <v/>
      </c>
      <c r="H79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1" spans="1:8" x14ac:dyDescent="0.3">
      <c r="A791" s="245">
        <f>Datos!$V$3</f>
        <v>46784</v>
      </c>
      <c r="B791" s="199" t="str">
        <f>Datos!V$4</f>
        <v>Compresora</v>
      </c>
      <c r="C791" s="31" t="s">
        <v>554</v>
      </c>
      <c r="D791" s="199" t="str">
        <f>Datos!$B$26</f>
        <v>Comités y subcomités de seguridad realizados</v>
      </c>
      <c r="E791" s="199" t="str">
        <f>Datos!$C$26</f>
        <v>u</v>
      </c>
      <c r="F791" s="31" t="s">
        <v>538</v>
      </c>
      <c r="G791" s="246" t="str">
        <f>IF(ISNUMBER(Datos!V26),Datos!V26,"")</f>
        <v/>
      </c>
      <c r="H79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2" spans="1:8" x14ac:dyDescent="0.3">
      <c r="A792" s="245">
        <f>Datos!$V$3</f>
        <v>46784</v>
      </c>
      <c r="B792" s="199" t="str">
        <f>Datos!V$4</f>
        <v>Compresora</v>
      </c>
      <c r="C792" s="31" t="s">
        <v>555</v>
      </c>
      <c r="D792" s="199" t="str">
        <f>Datos!$B$27</f>
        <v>Comités y subcomités de seguridad planificados</v>
      </c>
      <c r="E792" s="199" t="str">
        <f>Datos!$C$27</f>
        <v>u</v>
      </c>
      <c r="F792" s="31" t="s">
        <v>538</v>
      </c>
      <c r="G792" s="246" t="str">
        <f>IF(ISNUMBER(Datos!V27),Datos!V27,"")</f>
        <v/>
      </c>
      <c r="H79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3" spans="1:8" x14ac:dyDescent="0.3">
      <c r="A793" s="245">
        <f>Datos!$V$3</f>
        <v>46784</v>
      </c>
      <c r="B793" s="199" t="str">
        <f>Datos!V$4</f>
        <v>Compresora</v>
      </c>
      <c r="C793" s="31" t="s">
        <v>556</v>
      </c>
      <c r="D793" s="31" t="inlineStr">
        <is>
          <t>Observaciones de comportamiento seguro: total del mes (OPS + SMP)</t>
        </is>
      </c>
      <c r="E793" s="199" t="str">
        <f>Datos!$C$28</f>
        <v>u</v>
      </c>
      <c r="F793" s="31" t="s">
        <v>538</v>
      </c>
      <c r="G793" s="246" t="str">
        <f>IF(COUNT(Datos!V28:V29)=0,"",SUM(Datos!V28:V29))</f>
        <v/>
      </c>
      <c r="H79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4" spans="1:8" x14ac:dyDescent="0.3">
      <c r="A794" s="245">
        <f>Datos!$V$3</f>
        <v>46784</v>
      </c>
      <c r="B794" s="199" t="str">
        <f>Datos!V$4</f>
        <v>Compresora</v>
      </c>
      <c r="C794" s="31" t="s">
        <v>557</v>
      </c>
      <c r="D794" s="199" t="str">
        <f>Datos!$B$30</f>
        <v>Investigaciones de accidentes cerradas en el mes</v>
      </c>
      <c r="E794" s="199" t="str">
        <f>Datos!$C$30</f>
        <v>u</v>
      </c>
      <c r="F794" s="31" t="s">
        <v>538</v>
      </c>
      <c r="G794" s="246" t="str">
        <f>IF(ISNUMBER(Datos!V30),Datos!V30,"")</f>
        <v/>
      </c>
      <c r="H79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5" spans="1:8" x14ac:dyDescent="0.3">
      <c r="A795" s="245">
        <f>Datos!$V$3</f>
        <v>46784</v>
      </c>
      <c r="B795" s="199" t="str">
        <f>Datos!V$4</f>
        <v>Compresora</v>
      </c>
      <c r="C795" s="31" t="s">
        <v>558</v>
      </c>
      <c r="D795" s="199" t="str">
        <f>Datos!$B$31</f>
        <v>Días que llevaron esas investigaciones (suma)</v>
      </c>
      <c r="E795" s="199" t="str">
        <f>Datos!$C$31</f>
        <v>días</v>
      </c>
      <c r="F795" s="31" t="s">
        <v>538</v>
      </c>
      <c r="G795" s="246" t="str">
        <f>IF(ISNUMBER(Datos!V31),Datos!V31,"")</f>
        <v/>
      </c>
      <c r="H79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6" spans="1:8" x14ac:dyDescent="0.3">
      <c r="A796" s="245">
        <f>Datos!$V$3</f>
        <v>46784</v>
      </c>
      <c r="B796" s="199" t="str">
        <f>Datos!V$4</f>
        <v>Compresora</v>
      </c>
      <c r="C796" s="31" t="s">
        <v>559</v>
      </c>
      <c r="D796" s="199" t="str">
        <f>Datos!$B$33</f>
        <v>Casos con días perdidos</v>
      </c>
      <c r="E796" s="199" t="str">
        <f>Datos!$C$33</f>
        <v>u</v>
      </c>
      <c r="F796" s="31" t="s">
        <v>538</v>
      </c>
      <c r="G796" s="246" t="str">
        <f>IF(ISNUMBER(Datos!V33),Datos!V33,"")</f>
        <v/>
      </c>
      <c r="H79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7" spans="1:8" x14ac:dyDescent="0.3">
      <c r="A797" s="245">
        <f>Datos!$V$3</f>
        <v>46784</v>
      </c>
      <c r="B797" s="199" t="str">
        <f>Datos!V$4</f>
        <v>Compresora</v>
      </c>
      <c r="C797" s="31" t="s">
        <v>560</v>
      </c>
      <c r="D797" s="199" t="str">
        <f>Datos!$B$34</f>
        <v>Casos con trabajo restringido</v>
      </c>
      <c r="E797" s="199" t="str">
        <f>Datos!$C$34</f>
        <v>u</v>
      </c>
      <c r="F797" s="31" t="s">
        <v>538</v>
      </c>
      <c r="G797" s="246" t="str">
        <f>IF(ISNUMBER(Datos!V34),Datos!V34,"")</f>
        <v/>
      </c>
      <c r="H79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8" spans="1:8" x14ac:dyDescent="0.3">
      <c r="A798" s="245">
        <f>Datos!$V$3</f>
        <v>46784</v>
      </c>
      <c r="B798" s="199" t="str">
        <f>Datos!V$4</f>
        <v>Compresora</v>
      </c>
      <c r="C798" s="31" t="s">
        <v>561</v>
      </c>
      <c r="D798" s="199" t="str">
        <f>Datos!$B$35</f>
        <v>Casos con tratamiento médico</v>
      </c>
      <c r="E798" s="199" t="str">
        <f>Datos!$C$35</f>
        <v>u</v>
      </c>
      <c r="F798" s="31" t="s">
        <v>538</v>
      </c>
      <c r="G798" s="246" t="str">
        <f>IF(ISNUMBER(Datos!V35),Datos!V35,"")</f>
        <v/>
      </c>
      <c r="H79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9" spans="1:8" x14ac:dyDescent="0.3">
      <c r="A799" s="245">
        <f>Datos!$V$3</f>
        <v>46784</v>
      </c>
      <c r="B799" s="199" t="str">
        <f>Datos!V$4</f>
        <v>Compresora</v>
      </c>
      <c r="C799" s="31" t="s">
        <v>562</v>
      </c>
      <c r="D799" s="199" t="str">
        <f>Datos!$B$36</f>
        <v>Fatalidades</v>
      </c>
      <c r="E799" s="199" t="str">
        <f>Datos!$C$36</f>
        <v>u</v>
      </c>
      <c r="F799" s="31" t="s">
        <v>538</v>
      </c>
      <c r="G799" s="246" t="str">
        <f>IF(ISNUMBER(Datos!V36),Datos!V36,"")</f>
        <v/>
      </c>
      <c r="H79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0" spans="1:8" x14ac:dyDescent="0.3">
      <c r="A800" s="245">
        <f>Datos!$V$3</f>
        <v>46784</v>
      </c>
      <c r="B800" s="199" t="str">
        <f>Datos!V$4</f>
        <v>Compresora</v>
      </c>
      <c r="C800" s="31" t="s">
        <v>51</v>
      </c>
      <c r="D800" s="199" t="str">
        <f>Datos!$B$37</f>
        <v>Casos de primeros auxilios</v>
      </c>
      <c r="E800" s="199" t="str">
        <f>Datos!$C$37</f>
        <v>u</v>
      </c>
      <c r="F800" s="31" t="s">
        <v>538</v>
      </c>
      <c r="G800" s="246" t="str">
        <f>IF(ISNUMBER(Datos!V37),Datos!V37,"")</f>
        <v/>
      </c>
      <c r="H80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1" spans="1:8" x14ac:dyDescent="0.3">
      <c r="A801" s="245">
        <f>Datos!$V$3</f>
        <v>46784</v>
      </c>
      <c r="B801" s="199" t="str">
        <f>Datos!V$4</f>
        <v>Compresora</v>
      </c>
      <c r="C801" s="31" t="s">
        <v>563</v>
      </c>
      <c r="D801" s="199" t="str">
        <f>Datos!$B$39</f>
        <v>CVM catastróficas</v>
      </c>
      <c r="E801" s="199" t="str">
        <f>Datos!$C$39</f>
        <v>u</v>
      </c>
      <c r="F801" s="31" t="s">
        <v>538</v>
      </c>
      <c r="G801" s="246" t="str">
        <f>IF(ISNUMBER(Datos!V39),Datos!V39,"")</f>
        <v/>
      </c>
      <c r="H80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2" spans="1:8" x14ac:dyDescent="0.3">
      <c r="A802" s="245">
        <f>Datos!$V$3</f>
        <v>46784</v>
      </c>
      <c r="B802" s="199" t="str">
        <f>Datos!V$4</f>
        <v>Compresora</v>
      </c>
      <c r="C802" s="31" t="s">
        <v>564</v>
      </c>
      <c r="D802" s="199" t="str">
        <f>Datos!$B$40</f>
        <v>CVM mayores</v>
      </c>
      <c r="E802" s="199" t="str">
        <f>Datos!$C$40</f>
        <v>u</v>
      </c>
      <c r="F802" s="31" t="s">
        <v>538</v>
      </c>
      <c r="G802" s="246" t="str">
        <f>IF(ISNUMBER(Datos!V40),Datos!V40,"")</f>
        <v/>
      </c>
      <c r="H80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3" spans="1:8" x14ac:dyDescent="0.3">
      <c r="A803" s="245">
        <f>Datos!$V$3</f>
        <v>46784</v>
      </c>
      <c r="B803" s="199" t="str">
        <f>Datos!V$4</f>
        <v>Compresora</v>
      </c>
      <c r="C803" s="31" t="s">
        <v>565</v>
      </c>
      <c r="D803" s="199" t="str">
        <f>Datos!$B$41</f>
        <v>CVM serias</v>
      </c>
      <c r="E803" s="199" t="str">
        <f>Datos!$C$41</f>
        <v>u</v>
      </c>
      <c r="F803" s="31" t="s">
        <v>538</v>
      </c>
      <c r="G803" s="246" t="str">
        <f>IF(ISNUMBER(Datos!V41),Datos!V41,"")</f>
        <v/>
      </c>
      <c r="H80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4" spans="1:8" x14ac:dyDescent="0.3">
      <c r="A804" s="245">
        <f>Datos!$V$3</f>
        <v>46784</v>
      </c>
      <c r="B804" s="199" t="str">
        <f>Datos!V$4</f>
        <v>Compresora</v>
      </c>
      <c r="C804" s="31" t="s">
        <v>566</v>
      </c>
      <c r="D804" s="199" t="str">
        <f>Datos!$B$42</f>
        <v>CVM otras / menores</v>
      </c>
      <c r="E804" s="199" t="str">
        <f>Datos!$C$42</f>
        <v>u</v>
      </c>
      <c r="F804" s="31" t="s">
        <v>538</v>
      </c>
      <c r="G804" s="246" t="str">
        <f>IF(ISNUMBER(Datos!V42),Datos!V42,"")</f>
        <v/>
      </c>
      <c r="H80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5" spans="1:8" x14ac:dyDescent="0.3">
      <c r="A805" s="245">
        <f>Datos!$V$3</f>
        <v>46784</v>
      </c>
      <c r="B805" s="199" t="str">
        <f>Datos!V$4</f>
        <v>Compresora</v>
      </c>
      <c r="C805" s="31" t="s">
        <v>567</v>
      </c>
      <c r="D805" s="199" t="str">
        <f>Datos!$B$44</f>
        <v>Km recorridos: vehículos livianos (camionetas)</v>
      </c>
      <c r="E805" s="199" t="str">
        <f>Datos!$C$44</f>
        <v>km</v>
      </c>
      <c r="F805" s="31" t="s">
        <v>538</v>
      </c>
      <c r="G805" s="246" t="str">
        <f>IF(ISNUMBER(Datos!V44),Datos!V44,"")</f>
        <v/>
      </c>
      <c r="H80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6" spans="1:8" x14ac:dyDescent="0.3">
      <c r="A806" s="245">
        <f>Datos!$V$3</f>
        <v>46784</v>
      </c>
      <c r="B806" s="199" t="str">
        <f>Datos!V$4</f>
        <v>Compresora</v>
      </c>
      <c r="C806" s="31" t="s">
        <v>568</v>
      </c>
      <c r="D806" s="199" t="str">
        <f>Datos!$B$45</f>
        <v>Km recorridos: vehículos pesados (camiones)</v>
      </c>
      <c r="E806" s="199" t="str">
        <f>Datos!$C$45</f>
        <v>km</v>
      </c>
      <c r="F806" s="31" t="s">
        <v>538</v>
      </c>
      <c r="G806" s="246" t="str">
        <f>IF(ISNUMBER(Datos!V45),Datos!V45,"")</f>
        <v/>
      </c>
      <c r="H80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7" spans="1:8" x14ac:dyDescent="0.3">
      <c r="A807" s="245">
        <f>Datos!$V$3</f>
        <v>46784</v>
      </c>
      <c r="B807" s="199" t="str">
        <f>Datos!V$4</f>
        <v>Compresora</v>
      </c>
      <c r="C807" s="31" t="s">
        <v>569</v>
      </c>
      <c r="D807" s="199" t="str">
        <f>Datos!$B$46</f>
        <v>Km recorridos: vehículos de transporte de personal (combis)</v>
      </c>
      <c r="E807" s="199" t="str">
        <f>Datos!$C$46</f>
        <v>km</v>
      </c>
      <c r="F807" s="31" t="s">
        <v>538</v>
      </c>
      <c r="G807" s="246" t="str">
        <f>IF(ISNUMBER(Datos!V46),Datos!V46,"")</f>
        <v/>
      </c>
      <c r="H80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8" spans="1:8" x14ac:dyDescent="0.3">
      <c r="A808" s="245">
        <f>Datos!$V$3</f>
        <v>46784</v>
      </c>
      <c r="B808" s="199" t="str">
        <f>Datos!V$4</f>
        <v>Compresora</v>
      </c>
      <c r="C808" s="31" t="s">
        <v>570</v>
      </c>
      <c r="D808" s="199" t="str">
        <f>Datos!$B$47</f>
        <v>Km recorridos: TOTAL</v>
      </c>
      <c r="E808" s="199" t="str">
        <f>Datos!$C$47</f>
        <v>km</v>
      </c>
      <c r="F808" s="31" t="s">
        <v>541</v>
      </c>
      <c r="G808" s="246">
        <f>IF(ISNUMBER(Datos!V47),Datos!V47,"")</f>
        <v>0</v>
      </c>
      <c r="H80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9" spans="1:8" x14ac:dyDescent="0.3">
      <c r="A809" s="245">
        <f>Datos!$V$3</f>
        <v>46784</v>
      </c>
      <c r="B809" s="199" t="str">
        <f>Datos!V$4</f>
        <v>Compresora</v>
      </c>
      <c r="C809" s="31" t="s">
        <v>571</v>
      </c>
      <c r="D809" s="199" t="str">
        <f>Datos!$B$67</f>
        <v>Hallazgos (desvíos) cerrados en el mes</v>
      </c>
      <c r="E809" s="199" t="str">
        <f>Datos!$C$67</f>
        <v>u</v>
      </c>
      <c r="F809" s="31" t="s">
        <v>572</v>
      </c>
      <c r="G809" s="246" t="str">
        <f>IF(ISNUMBER(Datos!V67),Datos!V67,"")</f>
        <v/>
      </c>
      <c r="H80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0" spans="1:8" x14ac:dyDescent="0.3">
      <c r="A810" s="245">
        <f>Datos!$V$3</f>
        <v>46784</v>
      </c>
      <c r="B810" s="199" t="str">
        <f>Datos!V$4</f>
        <v>Compresora</v>
      </c>
      <c r="C810" s="31" t="s">
        <v>573</v>
      </c>
      <c r="D810" s="199" t="str">
        <f>Datos!$B$68</f>
        <v>Días que llevaron esos hallazgos (suma)</v>
      </c>
      <c r="E810" s="199" t="str">
        <f>Datos!$C$68</f>
        <v>días</v>
      </c>
      <c r="F810" s="31" t="s">
        <v>572</v>
      </c>
      <c r="G810" s="246" t="str">
        <f>IF(ISNUMBER(Datos!V68),Datos!V68,"")</f>
        <v/>
      </c>
      <c r="H81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1" spans="1:8" x14ac:dyDescent="0.3">
      <c r="A811" s="245">
        <f>Datos!$V$3</f>
        <v>46784</v>
      </c>
      <c r="B811" s="199" t="str">
        <f>Datos!V$4</f>
        <v>Compresora</v>
      </c>
      <c r="C811" s="31" t="s">
        <v>574</v>
      </c>
      <c r="D811" s="199" t="str">
        <f>Datos!$B$69</f>
        <v>Hallazgos (desvíos) abiertos a fin de mes</v>
      </c>
      <c r="E811" s="199" t="str">
        <f>Datos!$C$69</f>
        <v>u</v>
      </c>
      <c r="F811" s="31" t="s">
        <v>572</v>
      </c>
      <c r="G811" s="246" t="str">
        <f>IF(ISNUMBER(Datos!V69),Datos!V69,"")</f>
        <v/>
      </c>
      <c r="H81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2" spans="1:8" x14ac:dyDescent="0.3">
      <c r="A812" s="245">
        <f>Datos!$V$3</f>
        <v>46784</v>
      </c>
      <c r="B812" s="199" t="str">
        <f>Datos!V$4</f>
        <v>Compresora</v>
      </c>
      <c r="C812" s="31" t="s">
        <v>575</v>
      </c>
      <c r="D812" s="199" t="str">
        <f>Datos!$B$70</f>
        <v>Hallazgos (desvíos) detectados en el mes</v>
      </c>
      <c r="E812" s="199" t="str">
        <f>Datos!$C$70</f>
        <v>u</v>
      </c>
      <c r="F812" s="31" t="s">
        <v>572</v>
      </c>
      <c r="G812" s="246" t="str">
        <f>IF(ISNUMBER(Datos!V70),Datos!V70,"")</f>
        <v/>
      </c>
      <c r="H81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3" spans="1:8" x14ac:dyDescent="0.3">
      <c r="A813" s="245">
        <f>Datos!$V$3</f>
        <v>46784</v>
      </c>
      <c r="B813" s="199" t="str">
        <f>Datos!V$4</f>
        <v>Compresora</v>
      </c>
      <c r="C813" s="31" t="s">
        <v>576</v>
      </c>
      <c r="D813" s="199" t="str">
        <f>Datos!$B$71</f>
        <v>Desvíos detectados en el mes · gravedad Alta</v>
      </c>
      <c r="E813" s="199" t="str">
        <f>Datos!$C$71</f>
        <v>u</v>
      </c>
      <c r="F813" s="31" t="s">
        <v>572</v>
      </c>
      <c r="G813" s="246" t="str">
        <f>IF(ISNUMBER(Datos!V71),Datos!V71,"")</f>
        <v/>
      </c>
      <c r="H81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4" spans="1:8" x14ac:dyDescent="0.3">
      <c r="A814" s="245">
        <f>Datos!$V$3</f>
        <v>46784</v>
      </c>
      <c r="B814" s="199" t="str">
        <f>Datos!V$4</f>
        <v>Compresora</v>
      </c>
      <c r="C814" s="31" t="s">
        <v>577</v>
      </c>
      <c r="D814" s="199" t="str">
        <f>Datos!$B$72</f>
        <v>Desvíos detectados en el mes · gravedad Media</v>
      </c>
      <c r="E814" s="199" t="str">
        <f>Datos!$C$72</f>
        <v>u</v>
      </c>
      <c r="F814" s="31" t="s">
        <v>572</v>
      </c>
      <c r="G814" s="246" t="str">
        <f>IF(ISNUMBER(Datos!V72),Datos!V72,"")</f>
        <v/>
      </c>
      <c r="H81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5" spans="1:8" x14ac:dyDescent="0.3">
      <c r="A815" s="245">
        <f>Datos!$V$3</f>
        <v>46784</v>
      </c>
      <c r="B815" s="199" t="str">
        <f>Datos!V$4</f>
        <v>Compresora</v>
      </c>
      <c r="C815" s="31" t="s">
        <v>578</v>
      </c>
      <c r="D815" s="199" t="str">
        <f>Datos!$B$73</f>
        <v>Desvíos detectados en el mes · gravedad Baja</v>
      </c>
      <c r="E815" s="199" t="str">
        <f>Datos!$C$73</f>
        <v>u</v>
      </c>
      <c r="F815" s="31" t="s">
        <v>572</v>
      </c>
      <c r="G815" s="246" t="str">
        <f>IF(ISNUMBER(Datos!V73),Datos!V73,"")</f>
        <v/>
      </c>
      <c r="H81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6" spans="1:8" x14ac:dyDescent="0.3">
      <c r="A816" s="245">
        <f>Datos!$V$3</f>
        <v>46784</v>
      </c>
      <c r="B816" s="199" t="str">
        <f>Datos!V$4</f>
        <v>Compresora</v>
      </c>
      <c r="C816" s="31" t="s">
        <v>579</v>
      </c>
      <c r="D816" s="199" t="str">
        <f>Datos!$B$74</f>
        <v>Desvíos detectados en el mes · sin gravedad cargada</v>
      </c>
      <c r="E816" s="199" t="str">
        <f>Datos!$C$74</f>
        <v>u</v>
      </c>
      <c r="F816" s="31" t="s">
        <v>572</v>
      </c>
      <c r="G816" s="246">
        <f>IF(ISNUMBER(Datos!V74),Datos!V74,"")</f>
        <v>0</v>
      </c>
      <c r="H81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7" spans="1:8" x14ac:dyDescent="0.3">
      <c r="A817" s="245">
        <f>Datos!$V$3</f>
        <v>46784</v>
      </c>
      <c r="B817" s="199" t="str">
        <f>Datos!V$4</f>
        <v>Compresora</v>
      </c>
      <c r="C817" s="31" t="s">
        <v>580</v>
      </c>
      <c r="D817" s="199" t="str">
        <f>Datos!$B$75</f>
        <v>Detenciones de tareas aplicadas en el mes (Política = Sí)</v>
      </c>
      <c r="E817" s="199" t="str">
        <f>Datos!$C$75</f>
        <v>u</v>
      </c>
      <c r="F817" s="31" t="s">
        <v>572</v>
      </c>
      <c r="G817" s="246" t="str">
        <f>IF(ISNUMBER(Datos!V75),Datos!V75,"")</f>
        <v/>
      </c>
      <c r="H81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8" spans="1:8" x14ac:dyDescent="0.3">
      <c r="A818" s="245">
        <f>Datos!$V$3</f>
        <v>46784</v>
      </c>
      <c r="B818" s="199" t="str">
        <f>Datos!V$4</f>
        <v>Compresora</v>
      </c>
      <c r="C818" s="31" t="s">
        <v>581</v>
      </c>
      <c r="D818" s="199" t="str">
        <f>Datos!$B$76</f>
        <v>Desvíos de gravedad Alta abiertos a fin de mes</v>
      </c>
      <c r="E818" s="199" t="str">
        <f>Datos!$C$76</f>
        <v>u</v>
      </c>
      <c r="F818" s="31" t="s">
        <v>572</v>
      </c>
      <c r="G818" s="246" t="str">
        <f>IF(ISNUMBER(Datos!V76),Datos!V76,"")</f>
        <v/>
      </c>
      <c r="H81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9" spans="1:8" x14ac:dyDescent="0.3">
      <c r="A819" s="245">
        <f>Datos!$W$3</f>
        <v>46813</v>
      </c>
      <c r="B819" s="199" t="str">
        <f>Datos!W$4</f>
        <v>Compresora</v>
      </c>
      <c r="C819" s="31" t="s">
        <v>537</v>
      </c>
      <c r="D819" s="199" t="str">
        <f>Datos!$B$9</f>
        <v>Dotación promedio: Personal OPS</v>
      </c>
      <c r="E819" s="199" t="str">
        <f>Datos!$C$9</f>
        <v>pers</v>
      </c>
      <c r="F819" s="31" t="s">
        <v>538</v>
      </c>
      <c r="G819" s="246" t="str">
        <f>IF(ISNUMBER(Datos!W9),Datos!W9,"")</f>
        <v/>
      </c>
      <c r="H81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0" spans="1:8" x14ac:dyDescent="0.3">
      <c r="A820" s="245">
        <f>Datos!$W$3</f>
        <v>46813</v>
      </c>
      <c r="B820" s="199" t="str">
        <f>Datos!W$4</f>
        <v>Compresora</v>
      </c>
      <c r="C820" s="31" t="s">
        <v>539</v>
      </c>
      <c r="D820" s="199" t="str">
        <f>Datos!$B$10</f>
        <v>Dotación promedio: Personal SMP(IEBC, PAE e YPF) </v>
      </c>
      <c r="E820" s="199" t="str">
        <f>Datos!$C$10</f>
        <v>pers</v>
      </c>
      <c r="F820" s="31" t="s">
        <v>538</v>
      </c>
      <c r="G820" s="246" t="str">
        <f>IF(ISNUMBER(Datos!W10),Datos!W10,"")</f>
        <v/>
      </c>
      <c r="H82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1" spans="1:8" x14ac:dyDescent="0.3">
      <c r="A821" s="245">
        <f>Datos!$W$3</f>
        <v>46813</v>
      </c>
      <c r="B821" s="199" t="str">
        <f>Datos!W$4</f>
        <v>Compresora</v>
      </c>
      <c r="C821" s="31" t="s">
        <v>540</v>
      </c>
      <c r="D821" s="199" t="str">
        <f>Datos!$B$11</f>
        <v>Dotación promedio: TOTAL</v>
      </c>
      <c r="E821" s="199" t="str">
        <f>Datos!$C$11</f>
        <v>pers</v>
      </c>
      <c r="F821" s="31" t="s">
        <v>541</v>
      </c>
      <c r="G821" s="246">
        <f>IF(ISNUMBER(Datos!W11),Datos!W11,"")</f>
        <v>0</v>
      </c>
      <c r="H82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2" spans="1:8" x14ac:dyDescent="0.3">
      <c r="A822" s="245">
        <f>Datos!$W$3</f>
        <v>46813</v>
      </c>
      <c r="B822" s="199" t="str">
        <f>Datos!W$4</f>
        <v>Compresora</v>
      </c>
      <c r="C822" s="31" t="s">
        <v>542</v>
      </c>
      <c r="D822" s="199" t="str">
        <f>Datos!$B$12</f>
        <v>Horas hombre trabajadas: Personal OPS</v>
      </c>
      <c r="E822" s="199" t="str">
        <f>Datos!$C$12</f>
        <v>h</v>
      </c>
      <c r="F822" s="31" t="s">
        <v>538</v>
      </c>
      <c r="G822" s="246" t="str">
        <f>IF(ISNUMBER(Datos!W12),Datos!W12,"")</f>
        <v/>
      </c>
      <c r="H82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3" spans="1:8" x14ac:dyDescent="0.3">
      <c r="A823" s="245">
        <f>Datos!$W$3</f>
        <v>46813</v>
      </c>
      <c r="B823" s="199" t="str">
        <f>Datos!W$4</f>
        <v>Compresora</v>
      </c>
      <c r="C823" s="31" t="s">
        <v>543</v>
      </c>
      <c r="D823" s="199" t="str">
        <f>Datos!$B$13</f>
        <v>Horas hombre trabajadas: Personal SMP(IEBC, PAE e YPF) en campo</v>
      </c>
      <c r="E823" s="199" t="str">
        <f>Datos!$C$13</f>
        <v>h</v>
      </c>
      <c r="F823" s="31" t="s">
        <v>538</v>
      </c>
      <c r="G823" s="246" t="str">
        <f>IF(ISNUMBER(Datos!W13),Datos!W13,"")</f>
        <v/>
      </c>
      <c r="H82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4" spans="1:8" x14ac:dyDescent="0.3">
      <c r="A824" s="245">
        <f>Datos!$W$3</f>
        <v>46813</v>
      </c>
      <c r="B824" s="199" t="str">
        <f>Datos!W$4</f>
        <v>Compresora</v>
      </c>
      <c r="C824" s="31" t="s">
        <v>544</v>
      </c>
      <c r="D824" s="199" t="str">
        <f>Datos!$B$14</f>
        <v>Horas hombre trabajadas: TOTAL</v>
      </c>
      <c r="E824" s="199" t="str">
        <f>Datos!$C$14</f>
        <v>h</v>
      </c>
      <c r="F824" s="31" t="s">
        <v>541</v>
      </c>
      <c r="G824" s="246">
        <f>IF(ISNUMBER(Datos!W14),Datos!W14,"")</f>
        <v>0</v>
      </c>
      <c r="H82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5" spans="1:8" x14ac:dyDescent="0.3">
      <c r="A825" s="245">
        <f>Datos!$W$3</f>
        <v>46813</v>
      </c>
      <c r="B825" s="199" t="str">
        <f>Datos!W$4</f>
        <v>Compresora</v>
      </c>
      <c r="C825" s="31" t="s">
        <v>545</v>
      </c>
      <c r="D825" s="199" t="str">
        <f>Datos!$B$16</f>
        <v>Horas hombre de formación en seguridad: Personal OPS</v>
      </c>
      <c r="E825" s="199" t="str">
        <f>Datos!$C$16</f>
        <v>h</v>
      </c>
      <c r="F825" s="31" t="s">
        <v>538</v>
      </c>
      <c r="G825" s="246" t="str">
        <f>IF(ISNUMBER(Datos!W16),Datos!W16,"")</f>
        <v/>
      </c>
      <c r="H82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6" spans="1:8" x14ac:dyDescent="0.3">
      <c r="A826" s="245">
        <f>Datos!$W$3</f>
        <v>46813</v>
      </c>
      <c r="B826" s="199" t="str">
        <f>Datos!W$4</f>
        <v>Compresora</v>
      </c>
      <c r="C826" s="31" t="s">
        <v>546</v>
      </c>
      <c r="D826" s="199" t="str">
        <f>Datos!$B$17</f>
        <v>Horas hombre de formación en seguridad: Personal SMP(IEBC, PAE e YPF) </v>
      </c>
      <c r="E826" s="199" t="str">
        <f>Datos!$C$17</f>
        <v>h</v>
      </c>
      <c r="F826" s="31" t="s">
        <v>538</v>
      </c>
      <c r="G826" s="246" t="str">
        <f>IF(ISNUMBER(Datos!W17),Datos!W17,"")</f>
        <v/>
      </c>
      <c r="H82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7" spans="1:8" x14ac:dyDescent="0.3">
      <c r="A827" s="245">
        <f>Datos!$W$3</f>
        <v>46813</v>
      </c>
      <c r="B827" s="199" t="str">
        <f>Datos!W$4</f>
        <v>Compresora</v>
      </c>
      <c r="C827" s="31" t="s">
        <v>547</v>
      </c>
      <c r="D827" s="199" t="str">
        <f>Datos!$B$18</f>
        <v>Horas hombre de formación en seguridad: TOTAL</v>
      </c>
      <c r="E827" s="199" t="str">
        <f>Datos!$C$18</f>
        <v>h</v>
      </c>
      <c r="F827" s="31" t="s">
        <v>541</v>
      </c>
      <c r="G827" s="246">
        <f>IF(ISNUMBER(Datos!W18),Datos!W18,"")</f>
        <v>0</v>
      </c>
      <c r="H82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8" spans="1:8" x14ac:dyDescent="0.3">
      <c r="A828" s="245">
        <f>Datos!$W$3</f>
        <v>46813</v>
      </c>
      <c r="B828" s="199" t="str">
        <f>Datos!W$4</f>
        <v>Compresora</v>
      </c>
      <c r="C828" s="31" t="s">
        <v>548</v>
      </c>
      <c r="D828" s="199" t="str">
        <f>Datos!$B$20</f>
        <v>SIMULACROS · Realizados (emergencia y operativos)</v>
      </c>
      <c r="E828" s="199" t="str">
        <f>Datos!$C$20</f>
        <v>u</v>
      </c>
      <c r="F828" s="31" t="s">
        <v>538</v>
      </c>
      <c r="G828" s="246" t="str">
        <f>IF(ISNUMBER(Datos!W20),Datos!W20,"")</f>
        <v/>
      </c>
      <c r="H82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9" spans="1:8" x14ac:dyDescent="0.3">
      <c r="A829" s="245">
        <f>Datos!$W$3</f>
        <v>46813</v>
      </c>
      <c r="B829" s="199" t="str">
        <f>Datos!W$4</f>
        <v>Compresora</v>
      </c>
      <c r="C829" s="31" t="s">
        <v>549</v>
      </c>
      <c r="D829" s="199" t="str">
        <f>Datos!$B$21</f>
        <v>SIMULACROS · Programados (emergencia y operativos)</v>
      </c>
      <c r="E829" s="199" t="str">
        <f>Datos!$C$21</f>
        <v>u</v>
      </c>
      <c r="F829" s="31" t="s">
        <v>538</v>
      </c>
      <c r="G829" s="246" t="str">
        <f>IF(ISNUMBER(Datos!W21),Datos!W21,"")</f>
        <v/>
      </c>
      <c r="H82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0" spans="1:8" x14ac:dyDescent="0.3">
      <c r="A830" s="245">
        <f>Datos!$W$3</f>
        <v>46813</v>
      </c>
      <c r="B830" s="199" t="str">
        <f>Datos!W$4</f>
        <v>Compresora</v>
      </c>
      <c r="C830" s="31" t="s">
        <v>550</v>
      </c>
      <c r="D830" s="199" t="str">
        <f>Datos!$B$22</f>
        <v>SIMULACROS · Acciones de mejora surgidas de los simulacros (en el mes informado)</v>
      </c>
      <c r="E830" s="199" t="str">
        <f>Datos!$C$22</f>
        <v>u</v>
      </c>
      <c r="F830" s="31" t="s">
        <v>538</v>
      </c>
      <c r="G830" s="246" t="str">
        <f>IF(ISNUMBER(Datos!W22),Datos!W22,"")</f>
        <v/>
      </c>
      <c r="H83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1" spans="1:8" x14ac:dyDescent="0.3">
      <c r="A831" s="245">
        <f>Datos!$W$3</f>
        <v>46813</v>
      </c>
      <c r="B831" s="199" t="str">
        <f>Datos!W$4</f>
        <v>Compresora</v>
      </c>
      <c r="C831" s="31" t="s">
        <v>551</v>
      </c>
      <c r="D831" s="199" t="str">
        <f>Datos!$B$23</f>
        <v>SIMULACROS · Acciones de mejora implementadas surgidas de los simulacros (ICME) (en el mes informado)</v>
      </c>
      <c r="E831" s="199" t="str">
        <f>Datos!$C$23</f>
        <v>u</v>
      </c>
      <c r="F831" s="31" t="s">
        <v>538</v>
      </c>
      <c r="G831" s="246" t="str">
        <f>IF(ISNUMBER(Datos!W23),Datos!W23,"")</f>
        <v/>
      </c>
      <c r="H83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2" spans="1:8" x14ac:dyDescent="0.3">
      <c r="A832" s="245">
        <f>Datos!$W$3</f>
        <v>46813</v>
      </c>
      <c r="B832" s="199" t="str">
        <f>Datos!W$4</f>
        <v>Compresora</v>
      </c>
      <c r="C832" s="31" t="s">
        <v>552</v>
      </c>
      <c r="D832" s="199" t="str">
        <f>Datos!$B$24</f>
        <v>Caminatas gerenciales realizadas</v>
      </c>
      <c r="E832" s="199" t="str">
        <f>Datos!$C$24</f>
        <v>u</v>
      </c>
      <c r="F832" s="31" t="s">
        <v>538</v>
      </c>
      <c r="G832" s="246" t="str">
        <f>IF(ISNUMBER(Datos!W24),Datos!W24,"")</f>
        <v/>
      </c>
      <c r="H83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3" spans="1:8" x14ac:dyDescent="0.3">
      <c r="A833" s="245">
        <f>Datos!$W$3</f>
        <v>46813</v>
      </c>
      <c r="B833" s="199" t="str">
        <f>Datos!W$4</f>
        <v>Compresora</v>
      </c>
      <c r="C833" s="31" t="s">
        <v>553</v>
      </c>
      <c r="D833" s="199" t="str">
        <f>Datos!$B$25</f>
        <v>Caminatas gerenciales planificadas</v>
      </c>
      <c r="E833" s="199" t="str">
        <f>Datos!$C$25</f>
        <v>u</v>
      </c>
      <c r="F833" s="31" t="s">
        <v>538</v>
      </c>
      <c r="G833" s="246" t="str">
        <f>IF(ISNUMBER(Datos!W25),Datos!W25,"")</f>
        <v/>
      </c>
      <c r="H83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4" spans="1:8" x14ac:dyDescent="0.3">
      <c r="A834" s="245">
        <f>Datos!$W$3</f>
        <v>46813</v>
      </c>
      <c r="B834" s="199" t="str">
        <f>Datos!W$4</f>
        <v>Compresora</v>
      </c>
      <c r="C834" s="31" t="s">
        <v>554</v>
      </c>
      <c r="D834" s="199" t="str">
        <f>Datos!$B$26</f>
        <v>Comités y subcomités de seguridad realizados</v>
      </c>
      <c r="E834" s="199" t="str">
        <f>Datos!$C$26</f>
        <v>u</v>
      </c>
      <c r="F834" s="31" t="s">
        <v>538</v>
      </c>
      <c r="G834" s="246" t="str">
        <f>IF(ISNUMBER(Datos!W26),Datos!W26,"")</f>
        <v/>
      </c>
      <c r="H83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5" spans="1:8" x14ac:dyDescent="0.3">
      <c r="A835" s="245">
        <f>Datos!$W$3</f>
        <v>46813</v>
      </c>
      <c r="B835" s="199" t="str">
        <f>Datos!W$4</f>
        <v>Compresora</v>
      </c>
      <c r="C835" s="31" t="s">
        <v>555</v>
      </c>
      <c r="D835" s="199" t="str">
        <f>Datos!$B$27</f>
        <v>Comités y subcomités de seguridad planificados</v>
      </c>
      <c r="E835" s="199" t="str">
        <f>Datos!$C$27</f>
        <v>u</v>
      </c>
      <c r="F835" s="31" t="s">
        <v>538</v>
      </c>
      <c r="G835" s="246" t="str">
        <f>IF(ISNUMBER(Datos!W27),Datos!W27,"")</f>
        <v/>
      </c>
      <c r="H83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6" spans="1:8" x14ac:dyDescent="0.3">
      <c r="A836" s="245">
        <f>Datos!$W$3</f>
        <v>46813</v>
      </c>
      <c r="B836" s="199" t="str">
        <f>Datos!W$4</f>
        <v>Compresora</v>
      </c>
      <c r="C836" s="31" t="s">
        <v>556</v>
      </c>
      <c r="D836" s="31" t="inlineStr">
        <is>
          <t>Observaciones de comportamiento seguro: total del mes (OPS + SMP)</t>
        </is>
      </c>
      <c r="E836" s="199" t="str">
        <f>Datos!$C$28</f>
        <v>u</v>
      </c>
      <c r="F836" s="31" t="s">
        <v>538</v>
      </c>
      <c r="G836" s="246" t="str">
        <f>IF(COUNT(Datos!W28:W29)=0,"",SUM(Datos!W28:W29))</f>
        <v/>
      </c>
      <c r="H83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7" spans="1:8" x14ac:dyDescent="0.3">
      <c r="A837" s="245">
        <f>Datos!$W$3</f>
        <v>46813</v>
      </c>
      <c r="B837" s="199" t="str">
        <f>Datos!W$4</f>
        <v>Compresora</v>
      </c>
      <c r="C837" s="31" t="s">
        <v>557</v>
      </c>
      <c r="D837" s="199" t="str">
        <f>Datos!$B$30</f>
        <v>Investigaciones de accidentes cerradas en el mes</v>
      </c>
      <c r="E837" s="199" t="str">
        <f>Datos!$C$30</f>
        <v>u</v>
      </c>
      <c r="F837" s="31" t="s">
        <v>538</v>
      </c>
      <c r="G837" s="246" t="str">
        <f>IF(ISNUMBER(Datos!W30),Datos!W30,"")</f>
        <v/>
      </c>
      <c r="H83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8" spans="1:8" x14ac:dyDescent="0.3">
      <c r="A838" s="245">
        <f>Datos!$W$3</f>
        <v>46813</v>
      </c>
      <c r="B838" s="199" t="str">
        <f>Datos!W$4</f>
        <v>Compresora</v>
      </c>
      <c r="C838" s="31" t="s">
        <v>558</v>
      </c>
      <c r="D838" s="199" t="str">
        <f>Datos!$B$31</f>
        <v>Días que llevaron esas investigaciones (suma)</v>
      </c>
      <c r="E838" s="199" t="str">
        <f>Datos!$C$31</f>
        <v>días</v>
      </c>
      <c r="F838" s="31" t="s">
        <v>538</v>
      </c>
      <c r="G838" s="246" t="str">
        <f>IF(ISNUMBER(Datos!W31),Datos!W31,"")</f>
        <v/>
      </c>
      <c r="H83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9" spans="1:8" x14ac:dyDescent="0.3">
      <c r="A839" s="245">
        <f>Datos!$W$3</f>
        <v>46813</v>
      </c>
      <c r="B839" s="199" t="str">
        <f>Datos!W$4</f>
        <v>Compresora</v>
      </c>
      <c r="C839" s="31" t="s">
        <v>559</v>
      </c>
      <c r="D839" s="199" t="str">
        <f>Datos!$B$33</f>
        <v>Casos con días perdidos</v>
      </c>
      <c r="E839" s="199" t="str">
        <f>Datos!$C$33</f>
        <v>u</v>
      </c>
      <c r="F839" s="31" t="s">
        <v>538</v>
      </c>
      <c r="G839" s="246" t="str">
        <f>IF(ISNUMBER(Datos!W33),Datos!W33,"")</f>
        <v/>
      </c>
      <c r="H83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0" spans="1:8" x14ac:dyDescent="0.3">
      <c r="A840" s="245">
        <f>Datos!$W$3</f>
        <v>46813</v>
      </c>
      <c r="B840" s="199" t="str">
        <f>Datos!W$4</f>
        <v>Compresora</v>
      </c>
      <c r="C840" s="31" t="s">
        <v>560</v>
      </c>
      <c r="D840" s="199" t="str">
        <f>Datos!$B$34</f>
        <v>Casos con trabajo restringido</v>
      </c>
      <c r="E840" s="199" t="str">
        <f>Datos!$C$34</f>
        <v>u</v>
      </c>
      <c r="F840" s="31" t="s">
        <v>538</v>
      </c>
      <c r="G840" s="246" t="str">
        <f>IF(ISNUMBER(Datos!W34),Datos!W34,"")</f>
        <v/>
      </c>
      <c r="H84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1" spans="1:8" x14ac:dyDescent="0.3">
      <c r="A841" s="245">
        <f>Datos!$W$3</f>
        <v>46813</v>
      </c>
      <c r="B841" s="199" t="str">
        <f>Datos!W$4</f>
        <v>Compresora</v>
      </c>
      <c r="C841" s="31" t="s">
        <v>561</v>
      </c>
      <c r="D841" s="199" t="str">
        <f>Datos!$B$35</f>
        <v>Casos con tratamiento médico</v>
      </c>
      <c r="E841" s="199" t="str">
        <f>Datos!$C$35</f>
        <v>u</v>
      </c>
      <c r="F841" s="31" t="s">
        <v>538</v>
      </c>
      <c r="G841" s="246" t="str">
        <f>IF(ISNUMBER(Datos!W35),Datos!W35,"")</f>
        <v/>
      </c>
      <c r="H84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2" spans="1:8" x14ac:dyDescent="0.3">
      <c r="A842" s="245">
        <f>Datos!$W$3</f>
        <v>46813</v>
      </c>
      <c r="B842" s="199" t="str">
        <f>Datos!W$4</f>
        <v>Compresora</v>
      </c>
      <c r="C842" s="31" t="s">
        <v>562</v>
      </c>
      <c r="D842" s="199" t="str">
        <f>Datos!$B$36</f>
        <v>Fatalidades</v>
      </c>
      <c r="E842" s="199" t="str">
        <f>Datos!$C$36</f>
        <v>u</v>
      </c>
      <c r="F842" s="31" t="s">
        <v>538</v>
      </c>
      <c r="G842" s="246" t="str">
        <f>IF(ISNUMBER(Datos!W36),Datos!W36,"")</f>
        <v/>
      </c>
      <c r="H84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3" spans="1:8" x14ac:dyDescent="0.3">
      <c r="A843" s="245">
        <f>Datos!$W$3</f>
        <v>46813</v>
      </c>
      <c r="B843" s="199" t="str">
        <f>Datos!W$4</f>
        <v>Compresora</v>
      </c>
      <c r="C843" s="31" t="s">
        <v>51</v>
      </c>
      <c r="D843" s="199" t="str">
        <f>Datos!$B$37</f>
        <v>Casos de primeros auxilios</v>
      </c>
      <c r="E843" s="199" t="str">
        <f>Datos!$C$37</f>
        <v>u</v>
      </c>
      <c r="F843" s="31" t="s">
        <v>538</v>
      </c>
      <c r="G843" s="246" t="str">
        <f>IF(ISNUMBER(Datos!W37),Datos!W37,"")</f>
        <v/>
      </c>
      <c r="H84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4" spans="1:8" x14ac:dyDescent="0.3">
      <c r="A844" s="245">
        <f>Datos!$W$3</f>
        <v>46813</v>
      </c>
      <c r="B844" s="199" t="str">
        <f>Datos!W$4</f>
        <v>Compresora</v>
      </c>
      <c r="C844" s="31" t="s">
        <v>563</v>
      </c>
      <c r="D844" s="199" t="str">
        <f>Datos!$B$39</f>
        <v>CVM catastróficas</v>
      </c>
      <c r="E844" s="199" t="str">
        <f>Datos!$C$39</f>
        <v>u</v>
      </c>
      <c r="F844" s="31" t="s">
        <v>538</v>
      </c>
      <c r="G844" s="246" t="str">
        <f>IF(ISNUMBER(Datos!W39),Datos!W39,"")</f>
        <v/>
      </c>
      <c r="H84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5" spans="1:8" x14ac:dyDescent="0.3">
      <c r="A845" s="245">
        <f>Datos!$W$3</f>
        <v>46813</v>
      </c>
      <c r="B845" s="199" t="str">
        <f>Datos!W$4</f>
        <v>Compresora</v>
      </c>
      <c r="C845" s="31" t="s">
        <v>564</v>
      </c>
      <c r="D845" s="199" t="str">
        <f>Datos!$B$40</f>
        <v>CVM mayores</v>
      </c>
      <c r="E845" s="199" t="str">
        <f>Datos!$C$40</f>
        <v>u</v>
      </c>
      <c r="F845" s="31" t="s">
        <v>538</v>
      </c>
      <c r="G845" s="246" t="str">
        <f>IF(ISNUMBER(Datos!W40),Datos!W40,"")</f>
        <v/>
      </c>
      <c r="H84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6" spans="1:8" x14ac:dyDescent="0.3">
      <c r="A846" s="245">
        <f>Datos!$W$3</f>
        <v>46813</v>
      </c>
      <c r="B846" s="199" t="str">
        <f>Datos!W$4</f>
        <v>Compresora</v>
      </c>
      <c r="C846" s="31" t="s">
        <v>565</v>
      </c>
      <c r="D846" s="199" t="str">
        <f>Datos!$B$41</f>
        <v>CVM serias</v>
      </c>
      <c r="E846" s="199" t="str">
        <f>Datos!$C$41</f>
        <v>u</v>
      </c>
      <c r="F846" s="31" t="s">
        <v>538</v>
      </c>
      <c r="G846" s="246" t="str">
        <f>IF(ISNUMBER(Datos!W41),Datos!W41,"")</f>
        <v/>
      </c>
      <c r="H84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7" spans="1:8" x14ac:dyDescent="0.3">
      <c r="A847" s="245">
        <f>Datos!$W$3</f>
        <v>46813</v>
      </c>
      <c r="B847" s="199" t="str">
        <f>Datos!W$4</f>
        <v>Compresora</v>
      </c>
      <c r="C847" s="31" t="s">
        <v>566</v>
      </c>
      <c r="D847" s="199" t="str">
        <f>Datos!$B$42</f>
        <v>CVM otras / menores</v>
      </c>
      <c r="E847" s="199" t="str">
        <f>Datos!$C$42</f>
        <v>u</v>
      </c>
      <c r="F847" s="31" t="s">
        <v>538</v>
      </c>
      <c r="G847" s="246" t="str">
        <f>IF(ISNUMBER(Datos!W42),Datos!W42,"")</f>
        <v/>
      </c>
      <c r="H84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8" spans="1:8" x14ac:dyDescent="0.3">
      <c r="A848" s="245">
        <f>Datos!$W$3</f>
        <v>46813</v>
      </c>
      <c r="B848" s="199" t="str">
        <f>Datos!W$4</f>
        <v>Compresora</v>
      </c>
      <c r="C848" s="31" t="s">
        <v>567</v>
      </c>
      <c r="D848" s="199" t="str">
        <f>Datos!$B$44</f>
        <v>Km recorridos: vehículos livianos (camionetas)</v>
      </c>
      <c r="E848" s="199" t="str">
        <f>Datos!$C$44</f>
        <v>km</v>
      </c>
      <c r="F848" s="31" t="s">
        <v>538</v>
      </c>
      <c r="G848" s="246" t="str">
        <f>IF(ISNUMBER(Datos!W44),Datos!W44,"")</f>
        <v/>
      </c>
      <c r="H84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9" spans="1:8" x14ac:dyDescent="0.3">
      <c r="A849" s="245">
        <f>Datos!$W$3</f>
        <v>46813</v>
      </c>
      <c r="B849" s="199" t="str">
        <f>Datos!W$4</f>
        <v>Compresora</v>
      </c>
      <c r="C849" s="31" t="s">
        <v>568</v>
      </c>
      <c r="D849" s="199" t="str">
        <f>Datos!$B$45</f>
        <v>Km recorridos: vehículos pesados (camiones)</v>
      </c>
      <c r="E849" s="199" t="str">
        <f>Datos!$C$45</f>
        <v>km</v>
      </c>
      <c r="F849" s="31" t="s">
        <v>538</v>
      </c>
      <c r="G849" s="246" t="str">
        <f>IF(ISNUMBER(Datos!W45),Datos!W45,"")</f>
        <v/>
      </c>
      <c r="H84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0" spans="1:8" x14ac:dyDescent="0.3">
      <c r="A850" s="245">
        <f>Datos!$W$3</f>
        <v>46813</v>
      </c>
      <c r="B850" s="199" t="str">
        <f>Datos!W$4</f>
        <v>Compresora</v>
      </c>
      <c r="C850" s="31" t="s">
        <v>569</v>
      </c>
      <c r="D850" s="199" t="str">
        <f>Datos!$B$46</f>
        <v>Km recorridos: vehículos de transporte de personal (combis)</v>
      </c>
      <c r="E850" s="199" t="str">
        <f>Datos!$C$46</f>
        <v>km</v>
      </c>
      <c r="F850" s="31" t="s">
        <v>538</v>
      </c>
      <c r="G850" s="246" t="str">
        <f>IF(ISNUMBER(Datos!W46),Datos!W46,"")</f>
        <v/>
      </c>
      <c r="H85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1" spans="1:8" x14ac:dyDescent="0.3">
      <c r="A851" s="245">
        <f>Datos!$W$3</f>
        <v>46813</v>
      </c>
      <c r="B851" s="199" t="str">
        <f>Datos!W$4</f>
        <v>Compresora</v>
      </c>
      <c r="C851" s="31" t="s">
        <v>570</v>
      </c>
      <c r="D851" s="199" t="str">
        <f>Datos!$B$47</f>
        <v>Km recorridos: TOTAL</v>
      </c>
      <c r="E851" s="199" t="str">
        <f>Datos!$C$47</f>
        <v>km</v>
      </c>
      <c r="F851" s="31" t="s">
        <v>541</v>
      </c>
      <c r="G851" s="246">
        <f>IF(ISNUMBER(Datos!W47),Datos!W47,"")</f>
        <v>0</v>
      </c>
      <c r="H85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2" spans="1:8" x14ac:dyDescent="0.3">
      <c r="A852" s="245">
        <f>Datos!$W$3</f>
        <v>46813</v>
      </c>
      <c r="B852" s="199" t="str">
        <f>Datos!W$4</f>
        <v>Compresora</v>
      </c>
      <c r="C852" s="31" t="s">
        <v>571</v>
      </c>
      <c r="D852" s="199" t="str">
        <f>Datos!$B$67</f>
        <v>Hallazgos (desvíos) cerrados en el mes</v>
      </c>
      <c r="E852" s="199" t="str">
        <f>Datos!$C$67</f>
        <v>u</v>
      </c>
      <c r="F852" s="31" t="s">
        <v>572</v>
      </c>
      <c r="G852" s="246" t="str">
        <f>IF(ISNUMBER(Datos!W67),Datos!W67,"")</f>
        <v/>
      </c>
      <c r="H85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3" spans="1:8" x14ac:dyDescent="0.3">
      <c r="A853" s="245">
        <f>Datos!$W$3</f>
        <v>46813</v>
      </c>
      <c r="B853" s="199" t="str">
        <f>Datos!W$4</f>
        <v>Compresora</v>
      </c>
      <c r="C853" s="31" t="s">
        <v>573</v>
      </c>
      <c r="D853" s="199" t="str">
        <f>Datos!$B$68</f>
        <v>Días que llevaron esos hallazgos (suma)</v>
      </c>
      <c r="E853" s="199" t="str">
        <f>Datos!$C$68</f>
        <v>días</v>
      </c>
      <c r="F853" s="31" t="s">
        <v>572</v>
      </c>
      <c r="G853" s="246" t="str">
        <f>IF(ISNUMBER(Datos!W68),Datos!W68,"")</f>
        <v/>
      </c>
      <c r="H85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4" spans="1:8" x14ac:dyDescent="0.3">
      <c r="A854" s="245">
        <f>Datos!$W$3</f>
        <v>46813</v>
      </c>
      <c r="B854" s="199" t="str">
        <f>Datos!W$4</f>
        <v>Compresora</v>
      </c>
      <c r="C854" s="31" t="s">
        <v>574</v>
      </c>
      <c r="D854" s="199" t="str">
        <f>Datos!$B$69</f>
        <v>Hallazgos (desvíos) abiertos a fin de mes</v>
      </c>
      <c r="E854" s="199" t="str">
        <f>Datos!$C$69</f>
        <v>u</v>
      </c>
      <c r="F854" s="31" t="s">
        <v>572</v>
      </c>
      <c r="G854" s="246" t="str">
        <f>IF(ISNUMBER(Datos!W69),Datos!W69,"")</f>
        <v/>
      </c>
      <c r="H85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5" spans="1:8" x14ac:dyDescent="0.3">
      <c r="A855" s="245">
        <f>Datos!$W$3</f>
        <v>46813</v>
      </c>
      <c r="B855" s="199" t="str">
        <f>Datos!W$4</f>
        <v>Compresora</v>
      </c>
      <c r="C855" s="31" t="s">
        <v>575</v>
      </c>
      <c r="D855" s="199" t="str">
        <f>Datos!$B$70</f>
        <v>Hallazgos (desvíos) detectados en el mes</v>
      </c>
      <c r="E855" s="199" t="str">
        <f>Datos!$C$70</f>
        <v>u</v>
      </c>
      <c r="F855" s="31" t="s">
        <v>572</v>
      </c>
      <c r="G855" s="246" t="str">
        <f>IF(ISNUMBER(Datos!W70),Datos!W70,"")</f>
        <v/>
      </c>
      <c r="H85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6" spans="1:8" x14ac:dyDescent="0.3">
      <c r="A856" s="245">
        <f>Datos!$W$3</f>
        <v>46813</v>
      </c>
      <c r="B856" s="199" t="str">
        <f>Datos!W$4</f>
        <v>Compresora</v>
      </c>
      <c r="C856" s="31" t="s">
        <v>576</v>
      </c>
      <c r="D856" s="199" t="str">
        <f>Datos!$B$71</f>
        <v>Desvíos detectados en el mes · gravedad Alta</v>
      </c>
      <c r="E856" s="199" t="str">
        <f>Datos!$C$71</f>
        <v>u</v>
      </c>
      <c r="F856" s="31" t="s">
        <v>572</v>
      </c>
      <c r="G856" s="246" t="str">
        <f>IF(ISNUMBER(Datos!W71),Datos!W71,"")</f>
        <v/>
      </c>
      <c r="H85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7" spans="1:8" x14ac:dyDescent="0.3">
      <c r="A857" s="245">
        <f>Datos!$W$3</f>
        <v>46813</v>
      </c>
      <c r="B857" s="199" t="str">
        <f>Datos!W$4</f>
        <v>Compresora</v>
      </c>
      <c r="C857" s="31" t="s">
        <v>577</v>
      </c>
      <c r="D857" s="199" t="str">
        <f>Datos!$B$72</f>
        <v>Desvíos detectados en el mes · gravedad Media</v>
      </c>
      <c r="E857" s="199" t="str">
        <f>Datos!$C$72</f>
        <v>u</v>
      </c>
      <c r="F857" s="31" t="s">
        <v>572</v>
      </c>
      <c r="G857" s="246" t="str">
        <f>IF(ISNUMBER(Datos!W72),Datos!W72,"")</f>
        <v/>
      </c>
      <c r="H85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8" spans="1:8" x14ac:dyDescent="0.3">
      <c r="A858" s="245">
        <f>Datos!$W$3</f>
        <v>46813</v>
      </c>
      <c r="B858" s="199" t="str">
        <f>Datos!W$4</f>
        <v>Compresora</v>
      </c>
      <c r="C858" s="31" t="s">
        <v>578</v>
      </c>
      <c r="D858" s="199" t="str">
        <f>Datos!$B$73</f>
        <v>Desvíos detectados en el mes · gravedad Baja</v>
      </c>
      <c r="E858" s="199" t="str">
        <f>Datos!$C$73</f>
        <v>u</v>
      </c>
      <c r="F858" s="31" t="s">
        <v>572</v>
      </c>
      <c r="G858" s="246" t="str">
        <f>IF(ISNUMBER(Datos!W73),Datos!W73,"")</f>
        <v/>
      </c>
      <c r="H85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9" spans="1:8" x14ac:dyDescent="0.3">
      <c r="A859" s="245">
        <f>Datos!$W$3</f>
        <v>46813</v>
      </c>
      <c r="B859" s="199" t="str">
        <f>Datos!W$4</f>
        <v>Compresora</v>
      </c>
      <c r="C859" s="31" t="s">
        <v>579</v>
      </c>
      <c r="D859" s="199" t="str">
        <f>Datos!$B$74</f>
        <v>Desvíos detectados en el mes · sin gravedad cargada</v>
      </c>
      <c r="E859" s="199" t="str">
        <f>Datos!$C$74</f>
        <v>u</v>
      </c>
      <c r="F859" s="31" t="s">
        <v>572</v>
      </c>
      <c r="G859" s="246">
        <f>IF(ISNUMBER(Datos!W74),Datos!W74,"")</f>
        <v>0</v>
      </c>
      <c r="H85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0" spans="1:8" x14ac:dyDescent="0.3">
      <c r="A860" s="245">
        <f>Datos!$W$3</f>
        <v>46813</v>
      </c>
      <c r="B860" s="199" t="str">
        <f>Datos!W$4</f>
        <v>Compresora</v>
      </c>
      <c r="C860" s="31" t="s">
        <v>580</v>
      </c>
      <c r="D860" s="199" t="str">
        <f>Datos!$B$75</f>
        <v>Detenciones de tareas aplicadas en el mes (Política = Sí)</v>
      </c>
      <c r="E860" s="199" t="str">
        <f>Datos!$C$75</f>
        <v>u</v>
      </c>
      <c r="F860" s="31" t="s">
        <v>572</v>
      </c>
      <c r="G860" s="246" t="str">
        <f>IF(ISNUMBER(Datos!W75),Datos!W75,"")</f>
        <v/>
      </c>
      <c r="H86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1" spans="1:8" x14ac:dyDescent="0.3">
      <c r="A861" s="245">
        <f>Datos!$W$3</f>
        <v>46813</v>
      </c>
      <c r="B861" s="199" t="str">
        <f>Datos!W$4</f>
        <v>Compresora</v>
      </c>
      <c r="C861" s="31" t="s">
        <v>581</v>
      </c>
      <c r="D861" s="199" t="str">
        <f>Datos!$B$76</f>
        <v>Desvíos de gravedad Alta abiertos a fin de mes</v>
      </c>
      <c r="E861" s="199" t="str">
        <f>Datos!$C$76</f>
        <v>u</v>
      </c>
      <c r="F861" s="31" t="s">
        <v>572</v>
      </c>
      <c r="G861" s="246" t="str">
        <f>IF(ISNUMBER(Datos!W76),Datos!W76,"")</f>
        <v/>
      </c>
      <c r="H86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2" spans="1:8" x14ac:dyDescent="0.3">
      <c r="A862" s="245">
        <f>Datos!$X$3</f>
        <v>46844</v>
      </c>
      <c r="B862" s="199" t="str">
        <f>Datos!X$4</f>
        <v>Compresora</v>
      </c>
      <c r="C862" s="31" t="s">
        <v>537</v>
      </c>
      <c r="D862" s="199" t="str">
        <f>Datos!$B$9</f>
        <v>Dotación promedio: Personal OPS</v>
      </c>
      <c r="E862" s="199" t="str">
        <f>Datos!$C$9</f>
        <v>pers</v>
      </c>
      <c r="F862" s="31" t="s">
        <v>538</v>
      </c>
      <c r="G862" s="246" t="str">
        <f>IF(ISNUMBER(Datos!X9),Datos!X9,"")</f>
        <v/>
      </c>
      <c r="H86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3" spans="1:8" x14ac:dyDescent="0.3">
      <c r="A863" s="245">
        <f>Datos!$X$3</f>
        <v>46844</v>
      </c>
      <c r="B863" s="199" t="str">
        <f>Datos!X$4</f>
        <v>Compresora</v>
      </c>
      <c r="C863" s="31" t="s">
        <v>539</v>
      </c>
      <c r="D863" s="199" t="str">
        <f>Datos!$B$10</f>
        <v>Dotación promedio: Personal SMP(IEBC, PAE e YPF) </v>
      </c>
      <c r="E863" s="199" t="str">
        <f>Datos!$C$10</f>
        <v>pers</v>
      </c>
      <c r="F863" s="31" t="s">
        <v>538</v>
      </c>
      <c r="G863" s="246" t="str">
        <f>IF(ISNUMBER(Datos!X10),Datos!X10,"")</f>
        <v/>
      </c>
      <c r="H86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4" spans="1:8" x14ac:dyDescent="0.3">
      <c r="A864" s="245">
        <f>Datos!$X$3</f>
        <v>46844</v>
      </c>
      <c r="B864" s="199" t="str">
        <f>Datos!X$4</f>
        <v>Compresora</v>
      </c>
      <c r="C864" s="31" t="s">
        <v>540</v>
      </c>
      <c r="D864" s="199" t="str">
        <f>Datos!$B$11</f>
        <v>Dotación promedio: TOTAL</v>
      </c>
      <c r="E864" s="199" t="str">
        <f>Datos!$C$11</f>
        <v>pers</v>
      </c>
      <c r="F864" s="31" t="s">
        <v>541</v>
      </c>
      <c r="G864" s="246">
        <f>IF(ISNUMBER(Datos!X11),Datos!X11,"")</f>
        <v>0</v>
      </c>
      <c r="H86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5" spans="1:8" x14ac:dyDescent="0.3">
      <c r="A865" s="245">
        <f>Datos!$X$3</f>
        <v>46844</v>
      </c>
      <c r="B865" s="199" t="str">
        <f>Datos!X$4</f>
        <v>Compresora</v>
      </c>
      <c r="C865" s="31" t="s">
        <v>542</v>
      </c>
      <c r="D865" s="199" t="str">
        <f>Datos!$B$12</f>
        <v>Horas hombre trabajadas: Personal OPS</v>
      </c>
      <c r="E865" s="199" t="str">
        <f>Datos!$C$12</f>
        <v>h</v>
      </c>
      <c r="F865" s="31" t="s">
        <v>538</v>
      </c>
      <c r="G865" s="246" t="str">
        <f>IF(ISNUMBER(Datos!X12),Datos!X12,"")</f>
        <v/>
      </c>
      <c r="H86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6" spans="1:8" x14ac:dyDescent="0.3">
      <c r="A866" s="245">
        <f>Datos!$X$3</f>
        <v>46844</v>
      </c>
      <c r="B866" s="199" t="str">
        <f>Datos!X$4</f>
        <v>Compresora</v>
      </c>
      <c r="C866" s="31" t="s">
        <v>543</v>
      </c>
      <c r="D866" s="199" t="str">
        <f>Datos!$B$13</f>
        <v>Horas hombre trabajadas: Personal SMP(IEBC, PAE e YPF) en campo</v>
      </c>
      <c r="E866" s="199" t="str">
        <f>Datos!$C$13</f>
        <v>h</v>
      </c>
      <c r="F866" s="31" t="s">
        <v>538</v>
      </c>
      <c r="G866" s="246" t="str">
        <f>IF(ISNUMBER(Datos!X13),Datos!X13,"")</f>
        <v/>
      </c>
      <c r="H86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7" spans="1:8" x14ac:dyDescent="0.3">
      <c r="A867" s="245">
        <f>Datos!$X$3</f>
        <v>46844</v>
      </c>
      <c r="B867" s="199" t="str">
        <f>Datos!X$4</f>
        <v>Compresora</v>
      </c>
      <c r="C867" s="31" t="s">
        <v>544</v>
      </c>
      <c r="D867" s="199" t="str">
        <f>Datos!$B$14</f>
        <v>Horas hombre trabajadas: TOTAL</v>
      </c>
      <c r="E867" s="199" t="str">
        <f>Datos!$C$14</f>
        <v>h</v>
      </c>
      <c r="F867" s="31" t="s">
        <v>541</v>
      </c>
      <c r="G867" s="246">
        <f>IF(ISNUMBER(Datos!X14),Datos!X14,"")</f>
        <v>0</v>
      </c>
      <c r="H86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8" spans="1:8" x14ac:dyDescent="0.3">
      <c r="A868" s="245">
        <f>Datos!$X$3</f>
        <v>46844</v>
      </c>
      <c r="B868" s="199" t="str">
        <f>Datos!X$4</f>
        <v>Compresora</v>
      </c>
      <c r="C868" s="31" t="s">
        <v>545</v>
      </c>
      <c r="D868" s="199" t="str">
        <f>Datos!$B$16</f>
        <v>Horas hombre de formación en seguridad: Personal OPS</v>
      </c>
      <c r="E868" s="199" t="str">
        <f>Datos!$C$16</f>
        <v>h</v>
      </c>
      <c r="F868" s="31" t="s">
        <v>538</v>
      </c>
      <c r="G868" s="246" t="str">
        <f>IF(ISNUMBER(Datos!X16),Datos!X16,"")</f>
        <v/>
      </c>
      <c r="H86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9" spans="1:8" x14ac:dyDescent="0.3">
      <c r="A869" s="245">
        <f>Datos!$X$3</f>
        <v>46844</v>
      </c>
      <c r="B869" s="199" t="str">
        <f>Datos!X$4</f>
        <v>Compresora</v>
      </c>
      <c r="C869" s="31" t="s">
        <v>546</v>
      </c>
      <c r="D869" s="199" t="str">
        <f>Datos!$B$17</f>
        <v>Horas hombre de formación en seguridad: Personal SMP(IEBC, PAE e YPF) </v>
      </c>
      <c r="E869" s="199" t="str">
        <f>Datos!$C$17</f>
        <v>h</v>
      </c>
      <c r="F869" s="31" t="s">
        <v>538</v>
      </c>
      <c r="G869" s="246" t="str">
        <f>IF(ISNUMBER(Datos!X17),Datos!X17,"")</f>
        <v/>
      </c>
      <c r="H86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0" spans="1:8" x14ac:dyDescent="0.3">
      <c r="A870" s="245">
        <f>Datos!$X$3</f>
        <v>46844</v>
      </c>
      <c r="B870" s="199" t="str">
        <f>Datos!X$4</f>
        <v>Compresora</v>
      </c>
      <c r="C870" s="31" t="s">
        <v>547</v>
      </c>
      <c r="D870" s="199" t="str">
        <f>Datos!$B$18</f>
        <v>Horas hombre de formación en seguridad: TOTAL</v>
      </c>
      <c r="E870" s="199" t="str">
        <f>Datos!$C$18</f>
        <v>h</v>
      </c>
      <c r="F870" s="31" t="s">
        <v>541</v>
      </c>
      <c r="G870" s="246">
        <f>IF(ISNUMBER(Datos!X18),Datos!X18,"")</f>
        <v>0</v>
      </c>
      <c r="H87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1" spans="1:8" x14ac:dyDescent="0.3">
      <c r="A871" s="245">
        <f>Datos!$X$3</f>
        <v>46844</v>
      </c>
      <c r="B871" s="199" t="str">
        <f>Datos!X$4</f>
        <v>Compresora</v>
      </c>
      <c r="C871" s="31" t="s">
        <v>548</v>
      </c>
      <c r="D871" s="199" t="str">
        <f>Datos!$B$20</f>
        <v>SIMULACROS · Realizados (emergencia y operativos)</v>
      </c>
      <c r="E871" s="199" t="str">
        <f>Datos!$C$20</f>
        <v>u</v>
      </c>
      <c r="F871" s="31" t="s">
        <v>538</v>
      </c>
      <c r="G871" s="246" t="str">
        <f>IF(ISNUMBER(Datos!X20),Datos!X20,"")</f>
        <v/>
      </c>
      <c r="H87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2" spans="1:8" x14ac:dyDescent="0.3">
      <c r="A872" s="245">
        <f>Datos!$X$3</f>
        <v>46844</v>
      </c>
      <c r="B872" s="199" t="str">
        <f>Datos!X$4</f>
        <v>Compresora</v>
      </c>
      <c r="C872" s="31" t="s">
        <v>549</v>
      </c>
      <c r="D872" s="199" t="str">
        <f>Datos!$B$21</f>
        <v>SIMULACROS · Programados (emergencia y operativos)</v>
      </c>
      <c r="E872" s="199" t="str">
        <f>Datos!$C$21</f>
        <v>u</v>
      </c>
      <c r="F872" s="31" t="s">
        <v>538</v>
      </c>
      <c r="G872" s="246" t="str">
        <f>IF(ISNUMBER(Datos!X21),Datos!X21,"")</f>
        <v/>
      </c>
      <c r="H87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3" spans="1:8" x14ac:dyDescent="0.3">
      <c r="A873" s="245">
        <f>Datos!$X$3</f>
        <v>46844</v>
      </c>
      <c r="B873" s="199" t="str">
        <f>Datos!X$4</f>
        <v>Compresora</v>
      </c>
      <c r="C873" s="31" t="s">
        <v>550</v>
      </c>
      <c r="D873" s="199" t="str">
        <f>Datos!$B$22</f>
        <v>SIMULACROS · Acciones de mejora surgidas de los simulacros (en el mes informado)</v>
      </c>
      <c r="E873" s="199" t="str">
        <f>Datos!$C$22</f>
        <v>u</v>
      </c>
      <c r="F873" s="31" t="s">
        <v>538</v>
      </c>
      <c r="G873" s="246" t="str">
        <f>IF(ISNUMBER(Datos!X22),Datos!X22,"")</f>
        <v/>
      </c>
      <c r="H87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4" spans="1:8" x14ac:dyDescent="0.3">
      <c r="A874" s="245">
        <f>Datos!$X$3</f>
        <v>46844</v>
      </c>
      <c r="B874" s="199" t="str">
        <f>Datos!X$4</f>
        <v>Compresora</v>
      </c>
      <c r="C874" s="31" t="s">
        <v>551</v>
      </c>
      <c r="D874" s="199" t="str">
        <f>Datos!$B$23</f>
        <v>SIMULACROS · Acciones de mejora implementadas surgidas de los simulacros (ICME) (en el mes informado)</v>
      </c>
      <c r="E874" s="199" t="str">
        <f>Datos!$C$23</f>
        <v>u</v>
      </c>
      <c r="F874" s="31" t="s">
        <v>538</v>
      </c>
      <c r="G874" s="246" t="str">
        <f>IF(ISNUMBER(Datos!X23),Datos!X23,"")</f>
        <v/>
      </c>
      <c r="H87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5" spans="1:8" x14ac:dyDescent="0.3">
      <c r="A875" s="245">
        <f>Datos!$X$3</f>
        <v>46844</v>
      </c>
      <c r="B875" s="199" t="str">
        <f>Datos!X$4</f>
        <v>Compresora</v>
      </c>
      <c r="C875" s="31" t="s">
        <v>552</v>
      </c>
      <c r="D875" s="199" t="str">
        <f>Datos!$B$24</f>
        <v>Caminatas gerenciales realizadas</v>
      </c>
      <c r="E875" s="199" t="str">
        <f>Datos!$C$24</f>
        <v>u</v>
      </c>
      <c r="F875" s="31" t="s">
        <v>538</v>
      </c>
      <c r="G875" s="246" t="str">
        <f>IF(ISNUMBER(Datos!X24),Datos!X24,"")</f>
        <v/>
      </c>
      <c r="H87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6" spans="1:8" x14ac:dyDescent="0.3">
      <c r="A876" s="245">
        <f>Datos!$X$3</f>
        <v>46844</v>
      </c>
      <c r="B876" s="199" t="str">
        <f>Datos!X$4</f>
        <v>Compresora</v>
      </c>
      <c r="C876" s="31" t="s">
        <v>553</v>
      </c>
      <c r="D876" s="199" t="str">
        <f>Datos!$B$25</f>
        <v>Caminatas gerenciales planificadas</v>
      </c>
      <c r="E876" s="199" t="str">
        <f>Datos!$C$25</f>
        <v>u</v>
      </c>
      <c r="F876" s="31" t="s">
        <v>538</v>
      </c>
      <c r="G876" s="246" t="str">
        <f>IF(ISNUMBER(Datos!X25),Datos!X25,"")</f>
        <v/>
      </c>
      <c r="H87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7" spans="1:8" x14ac:dyDescent="0.3">
      <c r="A877" s="245">
        <f>Datos!$X$3</f>
        <v>46844</v>
      </c>
      <c r="B877" s="199" t="str">
        <f>Datos!X$4</f>
        <v>Compresora</v>
      </c>
      <c r="C877" s="31" t="s">
        <v>554</v>
      </c>
      <c r="D877" s="199" t="str">
        <f>Datos!$B$26</f>
        <v>Comités y subcomités de seguridad realizados</v>
      </c>
      <c r="E877" s="199" t="str">
        <f>Datos!$C$26</f>
        <v>u</v>
      </c>
      <c r="F877" s="31" t="s">
        <v>538</v>
      </c>
      <c r="G877" s="246" t="str">
        <f>IF(ISNUMBER(Datos!X26),Datos!X26,"")</f>
        <v/>
      </c>
      <c r="H87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8" spans="1:8" x14ac:dyDescent="0.3">
      <c r="A878" s="245">
        <f>Datos!$X$3</f>
        <v>46844</v>
      </c>
      <c r="B878" s="199" t="str">
        <f>Datos!X$4</f>
        <v>Compresora</v>
      </c>
      <c r="C878" s="31" t="s">
        <v>555</v>
      </c>
      <c r="D878" s="199" t="str">
        <f>Datos!$B$27</f>
        <v>Comités y subcomités de seguridad planificados</v>
      </c>
      <c r="E878" s="199" t="str">
        <f>Datos!$C$27</f>
        <v>u</v>
      </c>
      <c r="F878" s="31" t="s">
        <v>538</v>
      </c>
      <c r="G878" s="246" t="str">
        <f>IF(ISNUMBER(Datos!X27),Datos!X27,"")</f>
        <v/>
      </c>
      <c r="H87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9" spans="1:8" x14ac:dyDescent="0.3">
      <c r="A879" s="245">
        <f>Datos!$X$3</f>
        <v>46844</v>
      </c>
      <c r="B879" s="199" t="str">
        <f>Datos!X$4</f>
        <v>Compresora</v>
      </c>
      <c r="C879" s="31" t="s">
        <v>556</v>
      </c>
      <c r="D879" s="31" t="inlineStr">
        <is>
          <t>Observaciones de comportamiento seguro: total del mes (OPS + SMP)</t>
        </is>
      </c>
      <c r="E879" s="199" t="str">
        <f>Datos!$C$28</f>
        <v>u</v>
      </c>
      <c r="F879" s="31" t="s">
        <v>538</v>
      </c>
      <c r="G879" s="246" t="str">
        <f>IF(COUNT(Datos!X28:X29)=0,"",SUM(Datos!X28:X29))</f>
        <v/>
      </c>
      <c r="H87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0" spans="1:8" x14ac:dyDescent="0.3">
      <c r="A880" s="245">
        <f>Datos!$X$3</f>
        <v>46844</v>
      </c>
      <c r="B880" s="199" t="str">
        <f>Datos!X$4</f>
        <v>Compresora</v>
      </c>
      <c r="C880" s="31" t="s">
        <v>557</v>
      </c>
      <c r="D880" s="199" t="str">
        <f>Datos!$B$30</f>
        <v>Investigaciones de accidentes cerradas en el mes</v>
      </c>
      <c r="E880" s="199" t="str">
        <f>Datos!$C$30</f>
        <v>u</v>
      </c>
      <c r="F880" s="31" t="s">
        <v>538</v>
      </c>
      <c r="G880" s="246" t="str">
        <f>IF(ISNUMBER(Datos!X30),Datos!X30,"")</f>
        <v/>
      </c>
      <c r="H88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1" spans="1:8" x14ac:dyDescent="0.3">
      <c r="A881" s="245">
        <f>Datos!$X$3</f>
        <v>46844</v>
      </c>
      <c r="B881" s="199" t="str">
        <f>Datos!X$4</f>
        <v>Compresora</v>
      </c>
      <c r="C881" s="31" t="s">
        <v>558</v>
      </c>
      <c r="D881" s="199" t="str">
        <f>Datos!$B$31</f>
        <v>Días que llevaron esas investigaciones (suma)</v>
      </c>
      <c r="E881" s="199" t="str">
        <f>Datos!$C$31</f>
        <v>días</v>
      </c>
      <c r="F881" s="31" t="s">
        <v>538</v>
      </c>
      <c r="G881" s="246" t="str">
        <f>IF(ISNUMBER(Datos!X31),Datos!X31,"")</f>
        <v/>
      </c>
      <c r="H88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2" spans="1:8" x14ac:dyDescent="0.3">
      <c r="A882" s="245">
        <f>Datos!$X$3</f>
        <v>46844</v>
      </c>
      <c r="B882" s="199" t="str">
        <f>Datos!X$4</f>
        <v>Compresora</v>
      </c>
      <c r="C882" s="31" t="s">
        <v>559</v>
      </c>
      <c r="D882" s="199" t="str">
        <f>Datos!$B$33</f>
        <v>Casos con días perdidos</v>
      </c>
      <c r="E882" s="199" t="str">
        <f>Datos!$C$33</f>
        <v>u</v>
      </c>
      <c r="F882" s="31" t="s">
        <v>538</v>
      </c>
      <c r="G882" s="246" t="str">
        <f>IF(ISNUMBER(Datos!X33),Datos!X33,"")</f>
        <v/>
      </c>
      <c r="H88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3" spans="1:8" x14ac:dyDescent="0.3">
      <c r="A883" s="245">
        <f>Datos!$X$3</f>
        <v>46844</v>
      </c>
      <c r="B883" s="199" t="str">
        <f>Datos!X$4</f>
        <v>Compresora</v>
      </c>
      <c r="C883" s="31" t="s">
        <v>560</v>
      </c>
      <c r="D883" s="199" t="str">
        <f>Datos!$B$34</f>
        <v>Casos con trabajo restringido</v>
      </c>
      <c r="E883" s="199" t="str">
        <f>Datos!$C$34</f>
        <v>u</v>
      </c>
      <c r="F883" s="31" t="s">
        <v>538</v>
      </c>
      <c r="G883" s="246" t="str">
        <f>IF(ISNUMBER(Datos!X34),Datos!X34,"")</f>
        <v/>
      </c>
      <c r="H88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4" spans="1:8" x14ac:dyDescent="0.3">
      <c r="A884" s="245">
        <f>Datos!$X$3</f>
        <v>46844</v>
      </c>
      <c r="B884" s="199" t="str">
        <f>Datos!X$4</f>
        <v>Compresora</v>
      </c>
      <c r="C884" s="31" t="s">
        <v>561</v>
      </c>
      <c r="D884" s="199" t="str">
        <f>Datos!$B$35</f>
        <v>Casos con tratamiento médico</v>
      </c>
      <c r="E884" s="199" t="str">
        <f>Datos!$C$35</f>
        <v>u</v>
      </c>
      <c r="F884" s="31" t="s">
        <v>538</v>
      </c>
      <c r="G884" s="246" t="str">
        <f>IF(ISNUMBER(Datos!X35),Datos!X35,"")</f>
        <v/>
      </c>
      <c r="H88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5" spans="1:8" x14ac:dyDescent="0.3">
      <c r="A885" s="245">
        <f>Datos!$X$3</f>
        <v>46844</v>
      </c>
      <c r="B885" s="199" t="str">
        <f>Datos!X$4</f>
        <v>Compresora</v>
      </c>
      <c r="C885" s="31" t="s">
        <v>562</v>
      </c>
      <c r="D885" s="199" t="str">
        <f>Datos!$B$36</f>
        <v>Fatalidades</v>
      </c>
      <c r="E885" s="199" t="str">
        <f>Datos!$C$36</f>
        <v>u</v>
      </c>
      <c r="F885" s="31" t="s">
        <v>538</v>
      </c>
      <c r="G885" s="246" t="str">
        <f>IF(ISNUMBER(Datos!X36),Datos!X36,"")</f>
        <v/>
      </c>
      <c r="H88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6" spans="1:8" x14ac:dyDescent="0.3">
      <c r="A886" s="245">
        <f>Datos!$X$3</f>
        <v>46844</v>
      </c>
      <c r="B886" s="199" t="str">
        <f>Datos!X$4</f>
        <v>Compresora</v>
      </c>
      <c r="C886" s="31" t="s">
        <v>51</v>
      </c>
      <c r="D886" s="199" t="str">
        <f>Datos!$B$37</f>
        <v>Casos de primeros auxilios</v>
      </c>
      <c r="E886" s="199" t="str">
        <f>Datos!$C$37</f>
        <v>u</v>
      </c>
      <c r="F886" s="31" t="s">
        <v>538</v>
      </c>
      <c r="G886" s="246" t="str">
        <f>IF(ISNUMBER(Datos!X37),Datos!X37,"")</f>
        <v/>
      </c>
      <c r="H88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7" spans="1:8" x14ac:dyDescent="0.3">
      <c r="A887" s="245">
        <f>Datos!$X$3</f>
        <v>46844</v>
      </c>
      <c r="B887" s="199" t="str">
        <f>Datos!X$4</f>
        <v>Compresora</v>
      </c>
      <c r="C887" s="31" t="s">
        <v>563</v>
      </c>
      <c r="D887" s="199" t="str">
        <f>Datos!$B$39</f>
        <v>CVM catastróficas</v>
      </c>
      <c r="E887" s="199" t="str">
        <f>Datos!$C$39</f>
        <v>u</v>
      </c>
      <c r="F887" s="31" t="s">
        <v>538</v>
      </c>
      <c r="G887" s="246" t="str">
        <f>IF(ISNUMBER(Datos!X39),Datos!X39,"")</f>
        <v/>
      </c>
      <c r="H88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8" spans="1:8" x14ac:dyDescent="0.3">
      <c r="A888" s="245">
        <f>Datos!$X$3</f>
        <v>46844</v>
      </c>
      <c r="B888" s="199" t="str">
        <f>Datos!X$4</f>
        <v>Compresora</v>
      </c>
      <c r="C888" s="31" t="s">
        <v>564</v>
      </c>
      <c r="D888" s="199" t="str">
        <f>Datos!$B$40</f>
        <v>CVM mayores</v>
      </c>
      <c r="E888" s="199" t="str">
        <f>Datos!$C$40</f>
        <v>u</v>
      </c>
      <c r="F888" s="31" t="s">
        <v>538</v>
      </c>
      <c r="G888" s="246" t="str">
        <f>IF(ISNUMBER(Datos!X40),Datos!X40,"")</f>
        <v/>
      </c>
      <c r="H88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9" spans="1:8" x14ac:dyDescent="0.3">
      <c r="A889" s="245">
        <f>Datos!$X$3</f>
        <v>46844</v>
      </c>
      <c r="B889" s="199" t="str">
        <f>Datos!X$4</f>
        <v>Compresora</v>
      </c>
      <c r="C889" s="31" t="s">
        <v>565</v>
      </c>
      <c r="D889" s="199" t="str">
        <f>Datos!$B$41</f>
        <v>CVM serias</v>
      </c>
      <c r="E889" s="199" t="str">
        <f>Datos!$C$41</f>
        <v>u</v>
      </c>
      <c r="F889" s="31" t="s">
        <v>538</v>
      </c>
      <c r="G889" s="246" t="str">
        <f>IF(ISNUMBER(Datos!X41),Datos!X41,"")</f>
        <v/>
      </c>
      <c r="H88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0" spans="1:8" x14ac:dyDescent="0.3">
      <c r="A890" s="245">
        <f>Datos!$X$3</f>
        <v>46844</v>
      </c>
      <c r="B890" s="199" t="str">
        <f>Datos!X$4</f>
        <v>Compresora</v>
      </c>
      <c r="C890" s="31" t="s">
        <v>566</v>
      </c>
      <c r="D890" s="199" t="str">
        <f>Datos!$B$42</f>
        <v>CVM otras / menores</v>
      </c>
      <c r="E890" s="199" t="str">
        <f>Datos!$C$42</f>
        <v>u</v>
      </c>
      <c r="F890" s="31" t="s">
        <v>538</v>
      </c>
      <c r="G890" s="246" t="str">
        <f>IF(ISNUMBER(Datos!X42),Datos!X42,"")</f>
        <v/>
      </c>
      <c r="H89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1" spans="1:8" x14ac:dyDescent="0.3">
      <c r="A891" s="245">
        <f>Datos!$X$3</f>
        <v>46844</v>
      </c>
      <c r="B891" s="199" t="str">
        <f>Datos!X$4</f>
        <v>Compresora</v>
      </c>
      <c r="C891" s="31" t="s">
        <v>567</v>
      </c>
      <c r="D891" s="199" t="str">
        <f>Datos!$B$44</f>
        <v>Km recorridos: vehículos livianos (camionetas)</v>
      </c>
      <c r="E891" s="199" t="str">
        <f>Datos!$C$44</f>
        <v>km</v>
      </c>
      <c r="F891" s="31" t="s">
        <v>538</v>
      </c>
      <c r="G891" s="246" t="str">
        <f>IF(ISNUMBER(Datos!X44),Datos!X44,"")</f>
        <v/>
      </c>
      <c r="H89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2" spans="1:8" x14ac:dyDescent="0.3">
      <c r="A892" s="245">
        <f>Datos!$X$3</f>
        <v>46844</v>
      </c>
      <c r="B892" s="199" t="str">
        <f>Datos!X$4</f>
        <v>Compresora</v>
      </c>
      <c r="C892" s="31" t="s">
        <v>568</v>
      </c>
      <c r="D892" s="199" t="str">
        <f>Datos!$B$45</f>
        <v>Km recorridos: vehículos pesados (camiones)</v>
      </c>
      <c r="E892" s="199" t="str">
        <f>Datos!$C$45</f>
        <v>km</v>
      </c>
      <c r="F892" s="31" t="s">
        <v>538</v>
      </c>
      <c r="G892" s="246" t="str">
        <f>IF(ISNUMBER(Datos!X45),Datos!X45,"")</f>
        <v/>
      </c>
      <c r="H89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3" spans="1:8" x14ac:dyDescent="0.3">
      <c r="A893" s="245">
        <f>Datos!$X$3</f>
        <v>46844</v>
      </c>
      <c r="B893" s="199" t="str">
        <f>Datos!X$4</f>
        <v>Compresora</v>
      </c>
      <c r="C893" s="31" t="s">
        <v>569</v>
      </c>
      <c r="D893" s="199" t="str">
        <f>Datos!$B$46</f>
        <v>Km recorridos: vehículos de transporte de personal (combis)</v>
      </c>
      <c r="E893" s="199" t="str">
        <f>Datos!$C$46</f>
        <v>km</v>
      </c>
      <c r="F893" s="31" t="s">
        <v>538</v>
      </c>
      <c r="G893" s="246" t="str">
        <f>IF(ISNUMBER(Datos!X46),Datos!X46,"")</f>
        <v/>
      </c>
      <c r="H89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4" spans="1:8" x14ac:dyDescent="0.3">
      <c r="A894" s="245">
        <f>Datos!$X$3</f>
        <v>46844</v>
      </c>
      <c r="B894" s="199" t="str">
        <f>Datos!X$4</f>
        <v>Compresora</v>
      </c>
      <c r="C894" s="31" t="s">
        <v>570</v>
      </c>
      <c r="D894" s="199" t="str">
        <f>Datos!$B$47</f>
        <v>Km recorridos: TOTAL</v>
      </c>
      <c r="E894" s="199" t="str">
        <f>Datos!$C$47</f>
        <v>km</v>
      </c>
      <c r="F894" s="31" t="s">
        <v>541</v>
      </c>
      <c r="G894" s="246">
        <f>IF(ISNUMBER(Datos!X47),Datos!X47,"")</f>
        <v>0</v>
      </c>
      <c r="H89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5" spans="1:8" x14ac:dyDescent="0.3">
      <c r="A895" s="245">
        <f>Datos!$X$3</f>
        <v>46844</v>
      </c>
      <c r="B895" s="199" t="str">
        <f>Datos!X$4</f>
        <v>Compresora</v>
      </c>
      <c r="C895" s="31" t="s">
        <v>571</v>
      </c>
      <c r="D895" s="199" t="str">
        <f>Datos!$B$67</f>
        <v>Hallazgos (desvíos) cerrados en el mes</v>
      </c>
      <c r="E895" s="199" t="str">
        <f>Datos!$C$67</f>
        <v>u</v>
      </c>
      <c r="F895" s="31" t="s">
        <v>572</v>
      </c>
      <c r="G895" s="246" t="str">
        <f>IF(ISNUMBER(Datos!X67),Datos!X67,"")</f>
        <v/>
      </c>
      <c r="H89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6" spans="1:8" x14ac:dyDescent="0.3">
      <c r="A896" s="245">
        <f>Datos!$X$3</f>
        <v>46844</v>
      </c>
      <c r="B896" s="199" t="str">
        <f>Datos!X$4</f>
        <v>Compresora</v>
      </c>
      <c r="C896" s="31" t="s">
        <v>573</v>
      </c>
      <c r="D896" s="199" t="str">
        <f>Datos!$B$68</f>
        <v>Días que llevaron esos hallazgos (suma)</v>
      </c>
      <c r="E896" s="199" t="str">
        <f>Datos!$C$68</f>
        <v>días</v>
      </c>
      <c r="F896" s="31" t="s">
        <v>572</v>
      </c>
      <c r="G896" s="246" t="str">
        <f>IF(ISNUMBER(Datos!X68),Datos!X68,"")</f>
        <v/>
      </c>
      <c r="H89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7" spans="1:8" x14ac:dyDescent="0.3">
      <c r="A897" s="245">
        <f>Datos!$X$3</f>
        <v>46844</v>
      </c>
      <c r="B897" s="199" t="str">
        <f>Datos!X$4</f>
        <v>Compresora</v>
      </c>
      <c r="C897" s="31" t="s">
        <v>574</v>
      </c>
      <c r="D897" s="199" t="str">
        <f>Datos!$B$69</f>
        <v>Hallazgos (desvíos) abiertos a fin de mes</v>
      </c>
      <c r="E897" s="199" t="str">
        <f>Datos!$C$69</f>
        <v>u</v>
      </c>
      <c r="F897" s="31" t="s">
        <v>572</v>
      </c>
      <c r="G897" s="246" t="str">
        <f>IF(ISNUMBER(Datos!X69),Datos!X69,"")</f>
        <v/>
      </c>
      <c r="H89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8" spans="1:8" x14ac:dyDescent="0.3">
      <c r="A898" s="245">
        <f>Datos!$X$3</f>
        <v>46844</v>
      </c>
      <c r="B898" s="199" t="str">
        <f>Datos!X$4</f>
        <v>Compresora</v>
      </c>
      <c r="C898" s="31" t="s">
        <v>575</v>
      </c>
      <c r="D898" s="199" t="str">
        <f>Datos!$B$70</f>
        <v>Hallazgos (desvíos) detectados en el mes</v>
      </c>
      <c r="E898" s="199" t="str">
        <f>Datos!$C$70</f>
        <v>u</v>
      </c>
      <c r="F898" s="31" t="s">
        <v>572</v>
      </c>
      <c r="G898" s="246" t="str">
        <f>IF(ISNUMBER(Datos!X70),Datos!X70,"")</f>
        <v/>
      </c>
      <c r="H89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9" spans="1:8" x14ac:dyDescent="0.3">
      <c r="A899" s="245">
        <f>Datos!$X$3</f>
        <v>46844</v>
      </c>
      <c r="B899" s="199" t="str">
        <f>Datos!X$4</f>
        <v>Compresora</v>
      </c>
      <c r="C899" s="31" t="s">
        <v>576</v>
      </c>
      <c r="D899" s="199" t="str">
        <f>Datos!$B$71</f>
        <v>Desvíos detectados en el mes · gravedad Alta</v>
      </c>
      <c r="E899" s="199" t="str">
        <f>Datos!$C$71</f>
        <v>u</v>
      </c>
      <c r="F899" s="31" t="s">
        <v>572</v>
      </c>
      <c r="G899" s="246" t="str">
        <f>IF(ISNUMBER(Datos!X71),Datos!X71,"")</f>
        <v/>
      </c>
      <c r="H89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0" spans="1:8" x14ac:dyDescent="0.3">
      <c r="A900" s="245">
        <f>Datos!$X$3</f>
        <v>46844</v>
      </c>
      <c r="B900" s="199" t="str">
        <f>Datos!X$4</f>
        <v>Compresora</v>
      </c>
      <c r="C900" s="31" t="s">
        <v>577</v>
      </c>
      <c r="D900" s="199" t="str">
        <f>Datos!$B$72</f>
        <v>Desvíos detectados en el mes · gravedad Media</v>
      </c>
      <c r="E900" s="199" t="str">
        <f>Datos!$C$72</f>
        <v>u</v>
      </c>
      <c r="F900" s="31" t="s">
        <v>572</v>
      </c>
      <c r="G900" s="246" t="str">
        <f>IF(ISNUMBER(Datos!X72),Datos!X72,"")</f>
        <v/>
      </c>
      <c r="H90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1" spans="1:8" x14ac:dyDescent="0.3">
      <c r="A901" s="245">
        <f>Datos!$X$3</f>
        <v>46844</v>
      </c>
      <c r="B901" s="199" t="str">
        <f>Datos!X$4</f>
        <v>Compresora</v>
      </c>
      <c r="C901" s="31" t="s">
        <v>578</v>
      </c>
      <c r="D901" s="199" t="str">
        <f>Datos!$B$73</f>
        <v>Desvíos detectados en el mes · gravedad Baja</v>
      </c>
      <c r="E901" s="199" t="str">
        <f>Datos!$C$73</f>
        <v>u</v>
      </c>
      <c r="F901" s="31" t="s">
        <v>572</v>
      </c>
      <c r="G901" s="246" t="str">
        <f>IF(ISNUMBER(Datos!X73),Datos!X73,"")</f>
        <v/>
      </c>
      <c r="H90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2" spans="1:8" x14ac:dyDescent="0.3">
      <c r="A902" s="245">
        <f>Datos!$X$3</f>
        <v>46844</v>
      </c>
      <c r="B902" s="199" t="str">
        <f>Datos!X$4</f>
        <v>Compresora</v>
      </c>
      <c r="C902" s="31" t="s">
        <v>579</v>
      </c>
      <c r="D902" s="199" t="str">
        <f>Datos!$B$74</f>
        <v>Desvíos detectados en el mes · sin gravedad cargada</v>
      </c>
      <c r="E902" s="199" t="str">
        <f>Datos!$C$74</f>
        <v>u</v>
      </c>
      <c r="F902" s="31" t="s">
        <v>572</v>
      </c>
      <c r="G902" s="246">
        <f>IF(ISNUMBER(Datos!X74),Datos!X74,"")</f>
        <v>0</v>
      </c>
      <c r="H90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3" spans="1:8" x14ac:dyDescent="0.3">
      <c r="A903" s="245">
        <f>Datos!$X$3</f>
        <v>46844</v>
      </c>
      <c r="B903" s="199" t="str">
        <f>Datos!X$4</f>
        <v>Compresora</v>
      </c>
      <c r="C903" s="31" t="s">
        <v>580</v>
      </c>
      <c r="D903" s="199" t="str">
        <f>Datos!$B$75</f>
        <v>Detenciones de tareas aplicadas en el mes (Política = Sí)</v>
      </c>
      <c r="E903" s="199" t="str">
        <f>Datos!$C$75</f>
        <v>u</v>
      </c>
      <c r="F903" s="31" t="s">
        <v>572</v>
      </c>
      <c r="G903" s="246" t="str">
        <f>IF(ISNUMBER(Datos!X75),Datos!X75,"")</f>
        <v/>
      </c>
      <c r="H90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4" spans="1:8" x14ac:dyDescent="0.3">
      <c r="A904" s="245">
        <f>Datos!$X$3</f>
        <v>46844</v>
      </c>
      <c r="B904" s="199" t="str">
        <f>Datos!X$4</f>
        <v>Compresora</v>
      </c>
      <c r="C904" s="31" t="s">
        <v>581</v>
      </c>
      <c r="D904" s="199" t="str">
        <f>Datos!$B$76</f>
        <v>Desvíos de gravedad Alta abiertos a fin de mes</v>
      </c>
      <c r="E904" s="199" t="str">
        <f>Datos!$C$76</f>
        <v>u</v>
      </c>
      <c r="F904" s="31" t="s">
        <v>572</v>
      </c>
      <c r="G904" s="246" t="str">
        <f>IF(ISNUMBER(Datos!X76),Datos!X76,"")</f>
        <v/>
      </c>
      <c r="H90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5" spans="1:8" x14ac:dyDescent="0.3">
      <c r="A905" s="245">
        <f>Datos!$Y$3</f>
        <v>46874</v>
      </c>
      <c r="B905" s="199" t="str">
        <f>Datos!Y$4</f>
        <v>Compresora</v>
      </c>
      <c r="C905" s="31" t="s">
        <v>537</v>
      </c>
      <c r="D905" s="199" t="str">
        <f>Datos!$B$9</f>
        <v>Dotación promedio: Personal OPS</v>
      </c>
      <c r="E905" s="199" t="str">
        <f>Datos!$C$9</f>
        <v>pers</v>
      </c>
      <c r="F905" s="31" t="s">
        <v>538</v>
      </c>
      <c r="G905" s="246" t="str">
        <f>IF(ISNUMBER(Datos!Y9),Datos!Y9,"")</f>
        <v/>
      </c>
      <c r="H90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6" spans="1:8" x14ac:dyDescent="0.3">
      <c r="A906" s="245">
        <f>Datos!$Y$3</f>
        <v>46874</v>
      </c>
      <c r="B906" s="199" t="str">
        <f>Datos!Y$4</f>
        <v>Compresora</v>
      </c>
      <c r="C906" s="31" t="s">
        <v>539</v>
      </c>
      <c r="D906" s="199" t="str">
        <f>Datos!$B$10</f>
        <v>Dotación promedio: Personal SMP(IEBC, PAE e YPF) </v>
      </c>
      <c r="E906" s="199" t="str">
        <f>Datos!$C$10</f>
        <v>pers</v>
      </c>
      <c r="F906" s="31" t="s">
        <v>538</v>
      </c>
      <c r="G906" s="246" t="str">
        <f>IF(ISNUMBER(Datos!Y10),Datos!Y10,"")</f>
        <v/>
      </c>
      <c r="H90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7" spans="1:8" x14ac:dyDescent="0.3">
      <c r="A907" s="245">
        <f>Datos!$Y$3</f>
        <v>46874</v>
      </c>
      <c r="B907" s="199" t="str">
        <f>Datos!Y$4</f>
        <v>Compresora</v>
      </c>
      <c r="C907" s="31" t="s">
        <v>540</v>
      </c>
      <c r="D907" s="199" t="str">
        <f>Datos!$B$11</f>
        <v>Dotación promedio: TOTAL</v>
      </c>
      <c r="E907" s="199" t="str">
        <f>Datos!$C$11</f>
        <v>pers</v>
      </c>
      <c r="F907" s="31" t="s">
        <v>541</v>
      </c>
      <c r="G907" s="246">
        <f>IF(ISNUMBER(Datos!Y11),Datos!Y11,"")</f>
        <v>0</v>
      </c>
      <c r="H90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8" spans="1:8" x14ac:dyDescent="0.3">
      <c r="A908" s="245">
        <f>Datos!$Y$3</f>
        <v>46874</v>
      </c>
      <c r="B908" s="199" t="str">
        <f>Datos!Y$4</f>
        <v>Compresora</v>
      </c>
      <c r="C908" s="31" t="s">
        <v>542</v>
      </c>
      <c r="D908" s="199" t="str">
        <f>Datos!$B$12</f>
        <v>Horas hombre trabajadas: Personal OPS</v>
      </c>
      <c r="E908" s="199" t="str">
        <f>Datos!$C$12</f>
        <v>h</v>
      </c>
      <c r="F908" s="31" t="s">
        <v>538</v>
      </c>
      <c r="G908" s="246" t="str">
        <f>IF(ISNUMBER(Datos!Y12),Datos!Y12,"")</f>
        <v/>
      </c>
      <c r="H90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9" spans="1:8" x14ac:dyDescent="0.3">
      <c r="A909" s="245">
        <f>Datos!$Y$3</f>
        <v>46874</v>
      </c>
      <c r="B909" s="199" t="str">
        <f>Datos!Y$4</f>
        <v>Compresora</v>
      </c>
      <c r="C909" s="31" t="s">
        <v>543</v>
      </c>
      <c r="D909" s="199" t="str">
        <f>Datos!$B$13</f>
        <v>Horas hombre trabajadas: Personal SMP(IEBC, PAE e YPF) en campo</v>
      </c>
      <c r="E909" s="199" t="str">
        <f>Datos!$C$13</f>
        <v>h</v>
      </c>
      <c r="F909" s="31" t="s">
        <v>538</v>
      </c>
      <c r="G909" s="246" t="str">
        <f>IF(ISNUMBER(Datos!Y13),Datos!Y13,"")</f>
        <v/>
      </c>
      <c r="H90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0" spans="1:8" x14ac:dyDescent="0.3">
      <c r="A910" s="245">
        <f>Datos!$Y$3</f>
        <v>46874</v>
      </c>
      <c r="B910" s="199" t="str">
        <f>Datos!Y$4</f>
        <v>Compresora</v>
      </c>
      <c r="C910" s="31" t="s">
        <v>544</v>
      </c>
      <c r="D910" s="199" t="str">
        <f>Datos!$B$14</f>
        <v>Horas hombre trabajadas: TOTAL</v>
      </c>
      <c r="E910" s="199" t="str">
        <f>Datos!$C$14</f>
        <v>h</v>
      </c>
      <c r="F910" s="31" t="s">
        <v>541</v>
      </c>
      <c r="G910" s="246">
        <f>IF(ISNUMBER(Datos!Y14),Datos!Y14,"")</f>
        <v>0</v>
      </c>
      <c r="H91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1" spans="1:8" x14ac:dyDescent="0.3">
      <c r="A911" s="245">
        <f>Datos!$Y$3</f>
        <v>46874</v>
      </c>
      <c r="B911" s="199" t="str">
        <f>Datos!Y$4</f>
        <v>Compresora</v>
      </c>
      <c r="C911" s="31" t="s">
        <v>545</v>
      </c>
      <c r="D911" s="199" t="str">
        <f>Datos!$B$16</f>
        <v>Horas hombre de formación en seguridad: Personal OPS</v>
      </c>
      <c r="E911" s="199" t="str">
        <f>Datos!$C$16</f>
        <v>h</v>
      </c>
      <c r="F911" s="31" t="s">
        <v>538</v>
      </c>
      <c r="G911" s="246" t="str">
        <f>IF(ISNUMBER(Datos!Y16),Datos!Y16,"")</f>
        <v/>
      </c>
      <c r="H91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2" spans="1:8" x14ac:dyDescent="0.3">
      <c r="A912" s="245">
        <f>Datos!$Y$3</f>
        <v>46874</v>
      </c>
      <c r="B912" s="199" t="str">
        <f>Datos!Y$4</f>
        <v>Compresora</v>
      </c>
      <c r="C912" s="31" t="s">
        <v>546</v>
      </c>
      <c r="D912" s="199" t="str">
        <f>Datos!$B$17</f>
        <v>Horas hombre de formación en seguridad: Personal SMP(IEBC, PAE e YPF) </v>
      </c>
      <c r="E912" s="199" t="str">
        <f>Datos!$C$17</f>
        <v>h</v>
      </c>
      <c r="F912" s="31" t="s">
        <v>538</v>
      </c>
      <c r="G912" s="246" t="str">
        <f>IF(ISNUMBER(Datos!Y17),Datos!Y17,"")</f>
        <v/>
      </c>
      <c r="H91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3" spans="1:8" x14ac:dyDescent="0.3">
      <c r="A913" s="245">
        <f>Datos!$Y$3</f>
        <v>46874</v>
      </c>
      <c r="B913" s="199" t="str">
        <f>Datos!Y$4</f>
        <v>Compresora</v>
      </c>
      <c r="C913" s="31" t="s">
        <v>547</v>
      </c>
      <c r="D913" s="199" t="str">
        <f>Datos!$B$18</f>
        <v>Horas hombre de formación en seguridad: TOTAL</v>
      </c>
      <c r="E913" s="199" t="str">
        <f>Datos!$C$18</f>
        <v>h</v>
      </c>
      <c r="F913" s="31" t="s">
        <v>541</v>
      </c>
      <c r="G913" s="246">
        <f>IF(ISNUMBER(Datos!Y18),Datos!Y18,"")</f>
        <v>0</v>
      </c>
      <c r="H91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4" spans="1:8" x14ac:dyDescent="0.3">
      <c r="A914" s="245">
        <f>Datos!$Y$3</f>
        <v>46874</v>
      </c>
      <c r="B914" s="199" t="str">
        <f>Datos!Y$4</f>
        <v>Compresora</v>
      </c>
      <c r="C914" s="31" t="s">
        <v>548</v>
      </c>
      <c r="D914" s="199" t="str">
        <f>Datos!$B$20</f>
        <v>SIMULACROS · Realizados (emergencia y operativos)</v>
      </c>
      <c r="E914" s="199" t="str">
        <f>Datos!$C$20</f>
        <v>u</v>
      </c>
      <c r="F914" s="31" t="s">
        <v>538</v>
      </c>
      <c r="G914" s="246" t="str">
        <f>IF(ISNUMBER(Datos!Y20),Datos!Y20,"")</f>
        <v/>
      </c>
      <c r="H91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5" spans="1:8" x14ac:dyDescent="0.3">
      <c r="A915" s="245">
        <f>Datos!$Y$3</f>
        <v>46874</v>
      </c>
      <c r="B915" s="199" t="str">
        <f>Datos!Y$4</f>
        <v>Compresora</v>
      </c>
      <c r="C915" s="31" t="s">
        <v>549</v>
      </c>
      <c r="D915" s="199" t="str">
        <f>Datos!$B$21</f>
        <v>SIMULACROS · Programados (emergencia y operativos)</v>
      </c>
      <c r="E915" s="199" t="str">
        <f>Datos!$C$21</f>
        <v>u</v>
      </c>
      <c r="F915" s="31" t="s">
        <v>538</v>
      </c>
      <c r="G915" s="246" t="str">
        <f>IF(ISNUMBER(Datos!Y21),Datos!Y21,"")</f>
        <v/>
      </c>
      <c r="H91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6" spans="1:8" x14ac:dyDescent="0.3">
      <c r="A916" s="245">
        <f>Datos!$Y$3</f>
        <v>46874</v>
      </c>
      <c r="B916" s="199" t="str">
        <f>Datos!Y$4</f>
        <v>Compresora</v>
      </c>
      <c r="C916" s="31" t="s">
        <v>550</v>
      </c>
      <c r="D916" s="199" t="str">
        <f>Datos!$B$22</f>
        <v>SIMULACROS · Acciones de mejora surgidas de los simulacros (en el mes informado)</v>
      </c>
      <c r="E916" s="199" t="str">
        <f>Datos!$C$22</f>
        <v>u</v>
      </c>
      <c r="F916" s="31" t="s">
        <v>538</v>
      </c>
      <c r="G916" s="246" t="str">
        <f>IF(ISNUMBER(Datos!Y22),Datos!Y22,"")</f>
        <v/>
      </c>
      <c r="H91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7" spans="1:8" x14ac:dyDescent="0.3">
      <c r="A917" s="245">
        <f>Datos!$Y$3</f>
        <v>46874</v>
      </c>
      <c r="B917" s="199" t="str">
        <f>Datos!Y$4</f>
        <v>Compresora</v>
      </c>
      <c r="C917" s="31" t="s">
        <v>551</v>
      </c>
      <c r="D917" s="199" t="str">
        <f>Datos!$B$23</f>
        <v>SIMULACROS · Acciones de mejora implementadas surgidas de los simulacros (ICME) (en el mes informado)</v>
      </c>
      <c r="E917" s="199" t="str">
        <f>Datos!$C$23</f>
        <v>u</v>
      </c>
      <c r="F917" s="31" t="s">
        <v>538</v>
      </c>
      <c r="G917" s="246" t="str">
        <f>IF(ISNUMBER(Datos!Y23),Datos!Y23,"")</f>
        <v/>
      </c>
      <c r="H91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8" spans="1:8" x14ac:dyDescent="0.3">
      <c r="A918" s="245">
        <f>Datos!$Y$3</f>
        <v>46874</v>
      </c>
      <c r="B918" s="199" t="str">
        <f>Datos!Y$4</f>
        <v>Compresora</v>
      </c>
      <c r="C918" s="31" t="s">
        <v>552</v>
      </c>
      <c r="D918" s="199" t="str">
        <f>Datos!$B$24</f>
        <v>Caminatas gerenciales realizadas</v>
      </c>
      <c r="E918" s="199" t="str">
        <f>Datos!$C$24</f>
        <v>u</v>
      </c>
      <c r="F918" s="31" t="s">
        <v>538</v>
      </c>
      <c r="G918" s="246" t="str">
        <f>IF(ISNUMBER(Datos!Y24),Datos!Y24,"")</f>
        <v/>
      </c>
      <c r="H91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9" spans="1:8" x14ac:dyDescent="0.3">
      <c r="A919" s="245">
        <f>Datos!$Y$3</f>
        <v>46874</v>
      </c>
      <c r="B919" s="199" t="str">
        <f>Datos!Y$4</f>
        <v>Compresora</v>
      </c>
      <c r="C919" s="31" t="s">
        <v>553</v>
      </c>
      <c r="D919" s="199" t="str">
        <f>Datos!$B$25</f>
        <v>Caminatas gerenciales planificadas</v>
      </c>
      <c r="E919" s="199" t="str">
        <f>Datos!$C$25</f>
        <v>u</v>
      </c>
      <c r="F919" s="31" t="s">
        <v>538</v>
      </c>
      <c r="G919" s="246" t="str">
        <f>IF(ISNUMBER(Datos!Y25),Datos!Y25,"")</f>
        <v/>
      </c>
      <c r="H91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0" spans="1:8" x14ac:dyDescent="0.3">
      <c r="A920" s="245">
        <f>Datos!$Y$3</f>
        <v>46874</v>
      </c>
      <c r="B920" s="199" t="str">
        <f>Datos!Y$4</f>
        <v>Compresora</v>
      </c>
      <c r="C920" s="31" t="s">
        <v>554</v>
      </c>
      <c r="D920" s="199" t="str">
        <f>Datos!$B$26</f>
        <v>Comités y subcomités de seguridad realizados</v>
      </c>
      <c r="E920" s="199" t="str">
        <f>Datos!$C$26</f>
        <v>u</v>
      </c>
      <c r="F920" s="31" t="s">
        <v>538</v>
      </c>
      <c r="G920" s="246" t="str">
        <f>IF(ISNUMBER(Datos!Y26),Datos!Y26,"")</f>
        <v/>
      </c>
      <c r="H92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1" spans="1:8" x14ac:dyDescent="0.3">
      <c r="A921" s="245">
        <f>Datos!$Y$3</f>
        <v>46874</v>
      </c>
      <c r="B921" s="199" t="str">
        <f>Datos!Y$4</f>
        <v>Compresora</v>
      </c>
      <c r="C921" s="31" t="s">
        <v>555</v>
      </c>
      <c r="D921" s="199" t="str">
        <f>Datos!$B$27</f>
        <v>Comités y subcomités de seguridad planificados</v>
      </c>
      <c r="E921" s="199" t="str">
        <f>Datos!$C$27</f>
        <v>u</v>
      </c>
      <c r="F921" s="31" t="s">
        <v>538</v>
      </c>
      <c r="G921" s="246" t="str">
        <f>IF(ISNUMBER(Datos!Y27),Datos!Y27,"")</f>
        <v/>
      </c>
      <c r="H92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2" spans="1:8" x14ac:dyDescent="0.3">
      <c r="A922" s="245">
        <f>Datos!$Y$3</f>
        <v>46874</v>
      </c>
      <c r="B922" s="199" t="str">
        <f>Datos!Y$4</f>
        <v>Compresora</v>
      </c>
      <c r="C922" s="31" t="s">
        <v>556</v>
      </c>
      <c r="D922" s="31" t="inlineStr">
        <is>
          <t>Observaciones de comportamiento seguro: total del mes (OPS + SMP)</t>
        </is>
      </c>
      <c r="E922" s="199" t="str">
        <f>Datos!$C$28</f>
        <v>u</v>
      </c>
      <c r="F922" s="31" t="s">
        <v>538</v>
      </c>
      <c r="G922" s="246" t="str">
        <f>IF(COUNT(Datos!Y28:Y29)=0,"",SUM(Datos!Y28:Y29))</f>
        <v/>
      </c>
      <c r="H92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3" spans="1:8" x14ac:dyDescent="0.3">
      <c r="A923" s="245">
        <f>Datos!$Y$3</f>
        <v>46874</v>
      </c>
      <c r="B923" s="199" t="str">
        <f>Datos!Y$4</f>
        <v>Compresora</v>
      </c>
      <c r="C923" s="31" t="s">
        <v>557</v>
      </c>
      <c r="D923" s="199" t="str">
        <f>Datos!$B$30</f>
        <v>Investigaciones de accidentes cerradas en el mes</v>
      </c>
      <c r="E923" s="199" t="str">
        <f>Datos!$C$30</f>
        <v>u</v>
      </c>
      <c r="F923" s="31" t="s">
        <v>538</v>
      </c>
      <c r="G923" s="246" t="str">
        <f>IF(ISNUMBER(Datos!Y30),Datos!Y30,"")</f>
        <v/>
      </c>
      <c r="H92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4" spans="1:8" x14ac:dyDescent="0.3">
      <c r="A924" s="245">
        <f>Datos!$Y$3</f>
        <v>46874</v>
      </c>
      <c r="B924" s="199" t="str">
        <f>Datos!Y$4</f>
        <v>Compresora</v>
      </c>
      <c r="C924" s="31" t="s">
        <v>558</v>
      </c>
      <c r="D924" s="199" t="str">
        <f>Datos!$B$31</f>
        <v>Días que llevaron esas investigaciones (suma)</v>
      </c>
      <c r="E924" s="199" t="str">
        <f>Datos!$C$31</f>
        <v>días</v>
      </c>
      <c r="F924" s="31" t="s">
        <v>538</v>
      </c>
      <c r="G924" s="246" t="str">
        <f>IF(ISNUMBER(Datos!Y31),Datos!Y31,"")</f>
        <v/>
      </c>
      <c r="H92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5" spans="1:8" x14ac:dyDescent="0.3">
      <c r="A925" s="245">
        <f>Datos!$Y$3</f>
        <v>46874</v>
      </c>
      <c r="B925" s="199" t="str">
        <f>Datos!Y$4</f>
        <v>Compresora</v>
      </c>
      <c r="C925" s="31" t="s">
        <v>559</v>
      </c>
      <c r="D925" s="199" t="str">
        <f>Datos!$B$33</f>
        <v>Casos con días perdidos</v>
      </c>
      <c r="E925" s="199" t="str">
        <f>Datos!$C$33</f>
        <v>u</v>
      </c>
      <c r="F925" s="31" t="s">
        <v>538</v>
      </c>
      <c r="G925" s="246" t="str">
        <f>IF(ISNUMBER(Datos!Y33),Datos!Y33,"")</f>
        <v/>
      </c>
      <c r="H92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6" spans="1:8" x14ac:dyDescent="0.3">
      <c r="A926" s="245">
        <f>Datos!$Y$3</f>
        <v>46874</v>
      </c>
      <c r="B926" s="199" t="str">
        <f>Datos!Y$4</f>
        <v>Compresora</v>
      </c>
      <c r="C926" s="31" t="s">
        <v>560</v>
      </c>
      <c r="D926" s="199" t="str">
        <f>Datos!$B$34</f>
        <v>Casos con trabajo restringido</v>
      </c>
      <c r="E926" s="199" t="str">
        <f>Datos!$C$34</f>
        <v>u</v>
      </c>
      <c r="F926" s="31" t="s">
        <v>538</v>
      </c>
      <c r="G926" s="246" t="str">
        <f>IF(ISNUMBER(Datos!Y34),Datos!Y34,"")</f>
        <v/>
      </c>
      <c r="H92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7" spans="1:8" x14ac:dyDescent="0.3">
      <c r="A927" s="245">
        <f>Datos!$Y$3</f>
        <v>46874</v>
      </c>
      <c r="B927" s="199" t="str">
        <f>Datos!Y$4</f>
        <v>Compresora</v>
      </c>
      <c r="C927" s="31" t="s">
        <v>561</v>
      </c>
      <c r="D927" s="199" t="str">
        <f>Datos!$B$35</f>
        <v>Casos con tratamiento médico</v>
      </c>
      <c r="E927" s="199" t="str">
        <f>Datos!$C$35</f>
        <v>u</v>
      </c>
      <c r="F927" s="31" t="s">
        <v>538</v>
      </c>
      <c r="G927" s="246" t="str">
        <f>IF(ISNUMBER(Datos!Y35),Datos!Y35,"")</f>
        <v/>
      </c>
      <c r="H92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8" spans="1:8" x14ac:dyDescent="0.3">
      <c r="A928" s="245">
        <f>Datos!$Y$3</f>
        <v>46874</v>
      </c>
      <c r="B928" s="199" t="str">
        <f>Datos!Y$4</f>
        <v>Compresora</v>
      </c>
      <c r="C928" s="31" t="s">
        <v>562</v>
      </c>
      <c r="D928" s="199" t="str">
        <f>Datos!$B$36</f>
        <v>Fatalidades</v>
      </c>
      <c r="E928" s="199" t="str">
        <f>Datos!$C$36</f>
        <v>u</v>
      </c>
      <c r="F928" s="31" t="s">
        <v>538</v>
      </c>
      <c r="G928" s="246" t="str">
        <f>IF(ISNUMBER(Datos!Y36),Datos!Y36,"")</f>
        <v/>
      </c>
      <c r="H92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9" spans="1:8" x14ac:dyDescent="0.3">
      <c r="A929" s="245">
        <f>Datos!$Y$3</f>
        <v>46874</v>
      </c>
      <c r="B929" s="199" t="str">
        <f>Datos!Y$4</f>
        <v>Compresora</v>
      </c>
      <c r="C929" s="31" t="s">
        <v>51</v>
      </c>
      <c r="D929" s="199" t="str">
        <f>Datos!$B$37</f>
        <v>Casos de primeros auxilios</v>
      </c>
      <c r="E929" s="199" t="str">
        <f>Datos!$C$37</f>
        <v>u</v>
      </c>
      <c r="F929" s="31" t="s">
        <v>538</v>
      </c>
      <c r="G929" s="246" t="str">
        <f>IF(ISNUMBER(Datos!Y37),Datos!Y37,"")</f>
        <v/>
      </c>
      <c r="H92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0" spans="1:8" x14ac:dyDescent="0.3">
      <c r="A930" s="245">
        <f>Datos!$Y$3</f>
        <v>46874</v>
      </c>
      <c r="B930" s="199" t="str">
        <f>Datos!Y$4</f>
        <v>Compresora</v>
      </c>
      <c r="C930" s="31" t="s">
        <v>563</v>
      </c>
      <c r="D930" s="199" t="str">
        <f>Datos!$B$39</f>
        <v>CVM catastróficas</v>
      </c>
      <c r="E930" s="199" t="str">
        <f>Datos!$C$39</f>
        <v>u</v>
      </c>
      <c r="F930" s="31" t="s">
        <v>538</v>
      </c>
      <c r="G930" s="246" t="str">
        <f>IF(ISNUMBER(Datos!Y39),Datos!Y39,"")</f>
        <v/>
      </c>
      <c r="H93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1" spans="1:8" x14ac:dyDescent="0.3">
      <c r="A931" s="245">
        <f>Datos!$Y$3</f>
        <v>46874</v>
      </c>
      <c r="B931" s="199" t="str">
        <f>Datos!Y$4</f>
        <v>Compresora</v>
      </c>
      <c r="C931" s="31" t="s">
        <v>564</v>
      </c>
      <c r="D931" s="199" t="str">
        <f>Datos!$B$40</f>
        <v>CVM mayores</v>
      </c>
      <c r="E931" s="199" t="str">
        <f>Datos!$C$40</f>
        <v>u</v>
      </c>
      <c r="F931" s="31" t="s">
        <v>538</v>
      </c>
      <c r="G931" s="246" t="str">
        <f>IF(ISNUMBER(Datos!Y40),Datos!Y40,"")</f>
        <v/>
      </c>
      <c r="H93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2" spans="1:8" x14ac:dyDescent="0.3">
      <c r="A932" s="245">
        <f>Datos!$Y$3</f>
        <v>46874</v>
      </c>
      <c r="B932" s="199" t="str">
        <f>Datos!Y$4</f>
        <v>Compresora</v>
      </c>
      <c r="C932" s="31" t="s">
        <v>565</v>
      </c>
      <c r="D932" s="199" t="str">
        <f>Datos!$B$41</f>
        <v>CVM serias</v>
      </c>
      <c r="E932" s="199" t="str">
        <f>Datos!$C$41</f>
        <v>u</v>
      </c>
      <c r="F932" s="31" t="s">
        <v>538</v>
      </c>
      <c r="G932" s="246" t="str">
        <f>IF(ISNUMBER(Datos!Y41),Datos!Y41,"")</f>
        <v/>
      </c>
      <c r="H93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3" spans="1:8" x14ac:dyDescent="0.3">
      <c r="A933" s="245">
        <f>Datos!$Y$3</f>
        <v>46874</v>
      </c>
      <c r="B933" s="199" t="str">
        <f>Datos!Y$4</f>
        <v>Compresora</v>
      </c>
      <c r="C933" s="31" t="s">
        <v>566</v>
      </c>
      <c r="D933" s="199" t="str">
        <f>Datos!$B$42</f>
        <v>CVM otras / menores</v>
      </c>
      <c r="E933" s="199" t="str">
        <f>Datos!$C$42</f>
        <v>u</v>
      </c>
      <c r="F933" s="31" t="s">
        <v>538</v>
      </c>
      <c r="G933" s="246" t="str">
        <f>IF(ISNUMBER(Datos!Y42),Datos!Y42,"")</f>
        <v/>
      </c>
      <c r="H93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4" spans="1:8" x14ac:dyDescent="0.3">
      <c r="A934" s="245">
        <f>Datos!$Y$3</f>
        <v>46874</v>
      </c>
      <c r="B934" s="199" t="str">
        <f>Datos!Y$4</f>
        <v>Compresora</v>
      </c>
      <c r="C934" s="31" t="s">
        <v>567</v>
      </c>
      <c r="D934" s="199" t="str">
        <f>Datos!$B$44</f>
        <v>Km recorridos: vehículos livianos (camionetas)</v>
      </c>
      <c r="E934" s="199" t="str">
        <f>Datos!$C$44</f>
        <v>km</v>
      </c>
      <c r="F934" s="31" t="s">
        <v>538</v>
      </c>
      <c r="G934" s="246" t="str">
        <f>IF(ISNUMBER(Datos!Y44),Datos!Y44,"")</f>
        <v/>
      </c>
      <c r="H93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5" spans="1:8" x14ac:dyDescent="0.3">
      <c r="A935" s="245">
        <f>Datos!$Y$3</f>
        <v>46874</v>
      </c>
      <c r="B935" s="199" t="str">
        <f>Datos!Y$4</f>
        <v>Compresora</v>
      </c>
      <c r="C935" s="31" t="s">
        <v>568</v>
      </c>
      <c r="D935" s="199" t="str">
        <f>Datos!$B$45</f>
        <v>Km recorridos: vehículos pesados (camiones)</v>
      </c>
      <c r="E935" s="199" t="str">
        <f>Datos!$C$45</f>
        <v>km</v>
      </c>
      <c r="F935" s="31" t="s">
        <v>538</v>
      </c>
      <c r="G935" s="246" t="str">
        <f>IF(ISNUMBER(Datos!Y45),Datos!Y45,"")</f>
        <v/>
      </c>
      <c r="H93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6" spans="1:8" x14ac:dyDescent="0.3">
      <c r="A936" s="245">
        <f>Datos!$Y$3</f>
        <v>46874</v>
      </c>
      <c r="B936" s="199" t="str">
        <f>Datos!Y$4</f>
        <v>Compresora</v>
      </c>
      <c r="C936" s="31" t="s">
        <v>569</v>
      </c>
      <c r="D936" s="199" t="str">
        <f>Datos!$B$46</f>
        <v>Km recorridos: vehículos de transporte de personal (combis)</v>
      </c>
      <c r="E936" s="199" t="str">
        <f>Datos!$C$46</f>
        <v>km</v>
      </c>
      <c r="F936" s="31" t="s">
        <v>538</v>
      </c>
      <c r="G936" s="246" t="str">
        <f>IF(ISNUMBER(Datos!Y46),Datos!Y46,"")</f>
        <v/>
      </c>
      <c r="H93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7" spans="1:8" x14ac:dyDescent="0.3">
      <c r="A937" s="245">
        <f>Datos!$Y$3</f>
        <v>46874</v>
      </c>
      <c r="B937" s="199" t="str">
        <f>Datos!Y$4</f>
        <v>Compresora</v>
      </c>
      <c r="C937" s="31" t="s">
        <v>570</v>
      </c>
      <c r="D937" s="199" t="str">
        <f>Datos!$B$47</f>
        <v>Km recorridos: TOTAL</v>
      </c>
      <c r="E937" s="199" t="str">
        <f>Datos!$C$47</f>
        <v>km</v>
      </c>
      <c r="F937" s="31" t="s">
        <v>541</v>
      </c>
      <c r="G937" s="246">
        <f>IF(ISNUMBER(Datos!Y47),Datos!Y47,"")</f>
        <v>0</v>
      </c>
      <c r="H93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8" spans="1:8" x14ac:dyDescent="0.3">
      <c r="A938" s="245">
        <f>Datos!$Y$3</f>
        <v>46874</v>
      </c>
      <c r="B938" s="199" t="str">
        <f>Datos!Y$4</f>
        <v>Compresora</v>
      </c>
      <c r="C938" s="31" t="s">
        <v>571</v>
      </c>
      <c r="D938" s="199" t="str">
        <f>Datos!$B$67</f>
        <v>Hallazgos (desvíos) cerrados en el mes</v>
      </c>
      <c r="E938" s="199" t="str">
        <f>Datos!$C$67</f>
        <v>u</v>
      </c>
      <c r="F938" s="31" t="s">
        <v>572</v>
      </c>
      <c r="G938" s="246" t="str">
        <f>IF(ISNUMBER(Datos!Y67),Datos!Y67,"")</f>
        <v/>
      </c>
      <c r="H93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9" spans="1:8" x14ac:dyDescent="0.3">
      <c r="A939" s="245">
        <f>Datos!$Y$3</f>
        <v>46874</v>
      </c>
      <c r="B939" s="199" t="str">
        <f>Datos!Y$4</f>
        <v>Compresora</v>
      </c>
      <c r="C939" s="31" t="s">
        <v>573</v>
      </c>
      <c r="D939" s="199" t="str">
        <f>Datos!$B$68</f>
        <v>Días que llevaron esos hallazgos (suma)</v>
      </c>
      <c r="E939" s="199" t="str">
        <f>Datos!$C$68</f>
        <v>días</v>
      </c>
      <c r="F939" s="31" t="s">
        <v>572</v>
      </c>
      <c r="G939" s="246" t="str">
        <f>IF(ISNUMBER(Datos!Y68),Datos!Y68,"")</f>
        <v/>
      </c>
      <c r="H93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0" spans="1:8" x14ac:dyDescent="0.3">
      <c r="A940" s="245">
        <f>Datos!$Y$3</f>
        <v>46874</v>
      </c>
      <c r="B940" s="199" t="str">
        <f>Datos!Y$4</f>
        <v>Compresora</v>
      </c>
      <c r="C940" s="31" t="s">
        <v>574</v>
      </c>
      <c r="D940" s="199" t="str">
        <f>Datos!$B$69</f>
        <v>Hallazgos (desvíos) abiertos a fin de mes</v>
      </c>
      <c r="E940" s="199" t="str">
        <f>Datos!$C$69</f>
        <v>u</v>
      </c>
      <c r="F940" s="31" t="s">
        <v>572</v>
      </c>
      <c r="G940" s="246" t="str">
        <f>IF(ISNUMBER(Datos!Y69),Datos!Y69,"")</f>
        <v/>
      </c>
      <c r="H94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1" spans="1:8" x14ac:dyDescent="0.3">
      <c r="A941" s="245">
        <f>Datos!$Y$3</f>
        <v>46874</v>
      </c>
      <c r="B941" s="199" t="str">
        <f>Datos!Y$4</f>
        <v>Compresora</v>
      </c>
      <c r="C941" s="31" t="s">
        <v>575</v>
      </c>
      <c r="D941" s="199" t="str">
        <f>Datos!$B$70</f>
        <v>Hallazgos (desvíos) detectados en el mes</v>
      </c>
      <c r="E941" s="199" t="str">
        <f>Datos!$C$70</f>
        <v>u</v>
      </c>
      <c r="F941" s="31" t="s">
        <v>572</v>
      </c>
      <c r="G941" s="246" t="str">
        <f>IF(ISNUMBER(Datos!Y70),Datos!Y70,"")</f>
        <v/>
      </c>
      <c r="H94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2" spans="1:8" x14ac:dyDescent="0.3">
      <c r="A942" s="245">
        <f>Datos!$Y$3</f>
        <v>46874</v>
      </c>
      <c r="B942" s="199" t="str">
        <f>Datos!Y$4</f>
        <v>Compresora</v>
      </c>
      <c r="C942" s="31" t="s">
        <v>576</v>
      </c>
      <c r="D942" s="199" t="str">
        <f>Datos!$B$71</f>
        <v>Desvíos detectados en el mes · gravedad Alta</v>
      </c>
      <c r="E942" s="199" t="str">
        <f>Datos!$C$71</f>
        <v>u</v>
      </c>
      <c r="F942" s="31" t="s">
        <v>572</v>
      </c>
      <c r="G942" s="246" t="str">
        <f>IF(ISNUMBER(Datos!Y71),Datos!Y71,"")</f>
        <v/>
      </c>
      <c r="H94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3" spans="1:8" x14ac:dyDescent="0.3">
      <c r="A943" s="245">
        <f>Datos!$Y$3</f>
        <v>46874</v>
      </c>
      <c r="B943" s="199" t="str">
        <f>Datos!Y$4</f>
        <v>Compresora</v>
      </c>
      <c r="C943" s="31" t="s">
        <v>577</v>
      </c>
      <c r="D943" s="199" t="str">
        <f>Datos!$B$72</f>
        <v>Desvíos detectados en el mes · gravedad Media</v>
      </c>
      <c r="E943" s="199" t="str">
        <f>Datos!$C$72</f>
        <v>u</v>
      </c>
      <c r="F943" s="31" t="s">
        <v>572</v>
      </c>
      <c r="G943" s="246" t="str">
        <f>IF(ISNUMBER(Datos!Y72),Datos!Y72,"")</f>
        <v/>
      </c>
      <c r="H94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4" spans="1:8" x14ac:dyDescent="0.3">
      <c r="A944" s="245">
        <f>Datos!$Y$3</f>
        <v>46874</v>
      </c>
      <c r="B944" s="199" t="str">
        <f>Datos!Y$4</f>
        <v>Compresora</v>
      </c>
      <c r="C944" s="31" t="s">
        <v>578</v>
      </c>
      <c r="D944" s="199" t="str">
        <f>Datos!$B$73</f>
        <v>Desvíos detectados en el mes · gravedad Baja</v>
      </c>
      <c r="E944" s="199" t="str">
        <f>Datos!$C$73</f>
        <v>u</v>
      </c>
      <c r="F944" s="31" t="s">
        <v>572</v>
      </c>
      <c r="G944" s="246" t="str">
        <f>IF(ISNUMBER(Datos!Y73),Datos!Y73,"")</f>
        <v/>
      </c>
      <c r="H94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5" spans="1:8" x14ac:dyDescent="0.3">
      <c r="A945" s="245">
        <f>Datos!$Y$3</f>
        <v>46874</v>
      </c>
      <c r="B945" s="199" t="str">
        <f>Datos!Y$4</f>
        <v>Compresora</v>
      </c>
      <c r="C945" s="31" t="s">
        <v>579</v>
      </c>
      <c r="D945" s="199" t="str">
        <f>Datos!$B$74</f>
        <v>Desvíos detectados en el mes · sin gravedad cargada</v>
      </c>
      <c r="E945" s="199" t="str">
        <f>Datos!$C$74</f>
        <v>u</v>
      </c>
      <c r="F945" s="31" t="s">
        <v>572</v>
      </c>
      <c r="G945" s="246">
        <f>IF(ISNUMBER(Datos!Y74),Datos!Y74,"")</f>
        <v>0</v>
      </c>
      <c r="H94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6" spans="1:8" x14ac:dyDescent="0.3">
      <c r="A946" s="245">
        <f>Datos!$Y$3</f>
        <v>46874</v>
      </c>
      <c r="B946" s="199" t="str">
        <f>Datos!Y$4</f>
        <v>Compresora</v>
      </c>
      <c r="C946" s="31" t="s">
        <v>580</v>
      </c>
      <c r="D946" s="199" t="str">
        <f>Datos!$B$75</f>
        <v>Detenciones de tareas aplicadas en el mes (Política = Sí)</v>
      </c>
      <c r="E946" s="199" t="str">
        <f>Datos!$C$75</f>
        <v>u</v>
      </c>
      <c r="F946" s="31" t="s">
        <v>572</v>
      </c>
      <c r="G946" s="246" t="str">
        <f>IF(ISNUMBER(Datos!Y75),Datos!Y75,"")</f>
        <v/>
      </c>
      <c r="H94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7" spans="1:8" x14ac:dyDescent="0.3">
      <c r="A947" s="245">
        <f>Datos!$Y$3</f>
        <v>46874</v>
      </c>
      <c r="B947" s="199" t="str">
        <f>Datos!Y$4</f>
        <v>Compresora</v>
      </c>
      <c r="C947" s="31" t="s">
        <v>581</v>
      </c>
      <c r="D947" s="199" t="str">
        <f>Datos!$B$76</f>
        <v>Desvíos de gravedad Alta abiertos a fin de mes</v>
      </c>
      <c r="E947" s="199" t="str">
        <f>Datos!$C$76</f>
        <v>u</v>
      </c>
      <c r="F947" s="31" t="s">
        <v>572</v>
      </c>
      <c r="G947" s="246" t="str">
        <f>IF(ISNUMBER(Datos!Y76),Datos!Y76,"")</f>
        <v/>
      </c>
      <c r="H94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8" spans="1:8" x14ac:dyDescent="0.3">
      <c r="A948" s="245">
        <f>Datos!$Z$3</f>
        <v>46905</v>
      </c>
      <c r="B948" s="199" t="str">
        <f>Datos!Z$4</f>
        <v>Compresora</v>
      </c>
      <c r="C948" s="31" t="s">
        <v>537</v>
      </c>
      <c r="D948" s="199" t="str">
        <f>Datos!$B$9</f>
        <v>Dotación promedio: Personal OPS</v>
      </c>
      <c r="E948" s="199" t="str">
        <f>Datos!$C$9</f>
        <v>pers</v>
      </c>
      <c r="F948" s="31" t="s">
        <v>538</v>
      </c>
      <c r="G948" s="246" t="str">
        <f>IF(ISNUMBER(Datos!Z9),Datos!Z9,"")</f>
        <v/>
      </c>
      <c r="H94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49" spans="1:8" x14ac:dyDescent="0.3">
      <c r="A949" s="245">
        <f>Datos!$Z$3</f>
        <v>46905</v>
      </c>
      <c r="B949" s="199" t="str">
        <f>Datos!Z$4</f>
        <v>Compresora</v>
      </c>
      <c r="C949" s="31" t="s">
        <v>539</v>
      </c>
      <c r="D949" s="199" t="str">
        <f>Datos!$B$10</f>
        <v>Dotación promedio: Personal SMP(IEBC, PAE e YPF) </v>
      </c>
      <c r="E949" s="199" t="str">
        <f>Datos!$C$10</f>
        <v>pers</v>
      </c>
      <c r="F949" s="31" t="s">
        <v>538</v>
      </c>
      <c r="G949" s="246" t="str">
        <f>IF(ISNUMBER(Datos!Z10),Datos!Z10,"")</f>
        <v/>
      </c>
      <c r="H94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0" spans="1:8" x14ac:dyDescent="0.3">
      <c r="A950" s="245">
        <f>Datos!$Z$3</f>
        <v>46905</v>
      </c>
      <c r="B950" s="199" t="str">
        <f>Datos!Z$4</f>
        <v>Compresora</v>
      </c>
      <c r="C950" s="31" t="s">
        <v>540</v>
      </c>
      <c r="D950" s="199" t="str">
        <f>Datos!$B$11</f>
        <v>Dotación promedio: TOTAL</v>
      </c>
      <c r="E950" s="199" t="str">
        <f>Datos!$C$11</f>
        <v>pers</v>
      </c>
      <c r="F950" s="31" t="s">
        <v>541</v>
      </c>
      <c r="G950" s="246">
        <f>IF(ISNUMBER(Datos!Z11),Datos!Z11,"")</f>
        <v>0</v>
      </c>
      <c r="H95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1" spans="1:8" x14ac:dyDescent="0.3">
      <c r="A951" s="245">
        <f>Datos!$Z$3</f>
        <v>46905</v>
      </c>
      <c r="B951" s="199" t="str">
        <f>Datos!Z$4</f>
        <v>Compresora</v>
      </c>
      <c r="C951" s="31" t="s">
        <v>542</v>
      </c>
      <c r="D951" s="199" t="str">
        <f>Datos!$B$12</f>
        <v>Horas hombre trabajadas: Personal OPS</v>
      </c>
      <c r="E951" s="199" t="str">
        <f>Datos!$C$12</f>
        <v>h</v>
      </c>
      <c r="F951" s="31" t="s">
        <v>538</v>
      </c>
      <c r="G951" s="246" t="str">
        <f>IF(ISNUMBER(Datos!Z12),Datos!Z12,"")</f>
        <v/>
      </c>
      <c r="H95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2" spans="1:8" x14ac:dyDescent="0.3">
      <c r="A952" s="245">
        <f>Datos!$Z$3</f>
        <v>46905</v>
      </c>
      <c r="B952" s="199" t="str">
        <f>Datos!Z$4</f>
        <v>Compresora</v>
      </c>
      <c r="C952" s="31" t="s">
        <v>543</v>
      </c>
      <c r="D952" s="199" t="str">
        <f>Datos!$B$13</f>
        <v>Horas hombre trabajadas: Personal SMP(IEBC, PAE e YPF) en campo</v>
      </c>
      <c r="E952" s="199" t="str">
        <f>Datos!$C$13</f>
        <v>h</v>
      </c>
      <c r="F952" s="31" t="s">
        <v>538</v>
      </c>
      <c r="G952" s="246" t="str">
        <f>IF(ISNUMBER(Datos!Z13),Datos!Z13,"")</f>
        <v/>
      </c>
      <c r="H95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3" spans="1:8" x14ac:dyDescent="0.3">
      <c r="A953" s="245">
        <f>Datos!$Z$3</f>
        <v>46905</v>
      </c>
      <c r="B953" s="199" t="str">
        <f>Datos!Z$4</f>
        <v>Compresora</v>
      </c>
      <c r="C953" s="31" t="s">
        <v>544</v>
      </c>
      <c r="D953" s="199" t="str">
        <f>Datos!$B$14</f>
        <v>Horas hombre trabajadas: TOTAL</v>
      </c>
      <c r="E953" s="199" t="str">
        <f>Datos!$C$14</f>
        <v>h</v>
      </c>
      <c r="F953" s="31" t="s">
        <v>541</v>
      </c>
      <c r="G953" s="246">
        <f>IF(ISNUMBER(Datos!Z14),Datos!Z14,"")</f>
        <v>0</v>
      </c>
      <c r="H95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4" spans="1:8" x14ac:dyDescent="0.3">
      <c r="A954" s="245">
        <f>Datos!$Z$3</f>
        <v>46905</v>
      </c>
      <c r="B954" s="199" t="str">
        <f>Datos!Z$4</f>
        <v>Compresora</v>
      </c>
      <c r="C954" s="31" t="s">
        <v>545</v>
      </c>
      <c r="D954" s="199" t="str">
        <f>Datos!$B$16</f>
        <v>Horas hombre de formación en seguridad: Personal OPS</v>
      </c>
      <c r="E954" s="199" t="str">
        <f>Datos!$C$16</f>
        <v>h</v>
      </c>
      <c r="F954" s="31" t="s">
        <v>538</v>
      </c>
      <c r="G954" s="246" t="str">
        <f>IF(ISNUMBER(Datos!Z16),Datos!Z16,"")</f>
        <v/>
      </c>
      <c r="H95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5" spans="1:8" x14ac:dyDescent="0.3">
      <c r="A955" s="245">
        <f>Datos!$Z$3</f>
        <v>46905</v>
      </c>
      <c r="B955" s="199" t="str">
        <f>Datos!Z$4</f>
        <v>Compresora</v>
      </c>
      <c r="C955" s="31" t="s">
        <v>546</v>
      </c>
      <c r="D955" s="199" t="str">
        <f>Datos!$B$17</f>
        <v>Horas hombre de formación en seguridad: Personal SMP(IEBC, PAE e YPF) </v>
      </c>
      <c r="E955" s="199" t="str">
        <f>Datos!$C$17</f>
        <v>h</v>
      </c>
      <c r="F955" s="31" t="s">
        <v>538</v>
      </c>
      <c r="G955" s="246" t="str">
        <f>IF(ISNUMBER(Datos!Z17),Datos!Z17,"")</f>
        <v/>
      </c>
      <c r="H95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6" spans="1:8" x14ac:dyDescent="0.3">
      <c r="A956" s="245">
        <f>Datos!$Z$3</f>
        <v>46905</v>
      </c>
      <c r="B956" s="199" t="str">
        <f>Datos!Z$4</f>
        <v>Compresora</v>
      </c>
      <c r="C956" s="31" t="s">
        <v>547</v>
      </c>
      <c r="D956" s="199" t="str">
        <f>Datos!$B$18</f>
        <v>Horas hombre de formación en seguridad: TOTAL</v>
      </c>
      <c r="E956" s="199" t="str">
        <f>Datos!$C$18</f>
        <v>h</v>
      </c>
      <c r="F956" s="31" t="s">
        <v>541</v>
      </c>
      <c r="G956" s="246">
        <f>IF(ISNUMBER(Datos!Z18),Datos!Z18,"")</f>
        <v>0</v>
      </c>
      <c r="H95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7" spans="1:8" x14ac:dyDescent="0.3">
      <c r="A957" s="245">
        <f>Datos!$Z$3</f>
        <v>46905</v>
      </c>
      <c r="B957" s="199" t="str">
        <f>Datos!Z$4</f>
        <v>Compresora</v>
      </c>
      <c r="C957" s="31" t="s">
        <v>548</v>
      </c>
      <c r="D957" s="199" t="str">
        <f>Datos!$B$20</f>
        <v>SIMULACROS · Realizados (emergencia y operativos)</v>
      </c>
      <c r="E957" s="199" t="str">
        <f>Datos!$C$20</f>
        <v>u</v>
      </c>
      <c r="F957" s="31" t="s">
        <v>538</v>
      </c>
      <c r="G957" s="246" t="str">
        <f>IF(ISNUMBER(Datos!Z20),Datos!Z20,"")</f>
        <v/>
      </c>
      <c r="H95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8" spans="1:8" x14ac:dyDescent="0.3">
      <c r="A958" s="245">
        <f>Datos!$Z$3</f>
        <v>46905</v>
      </c>
      <c r="B958" s="199" t="str">
        <f>Datos!Z$4</f>
        <v>Compresora</v>
      </c>
      <c r="C958" s="31" t="s">
        <v>549</v>
      </c>
      <c r="D958" s="199" t="str">
        <f>Datos!$B$21</f>
        <v>SIMULACROS · Programados (emergencia y operativos)</v>
      </c>
      <c r="E958" s="199" t="str">
        <f>Datos!$C$21</f>
        <v>u</v>
      </c>
      <c r="F958" s="31" t="s">
        <v>538</v>
      </c>
      <c r="G958" s="246" t="str">
        <f>IF(ISNUMBER(Datos!Z21),Datos!Z21,"")</f>
        <v/>
      </c>
      <c r="H95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9" spans="1:8" x14ac:dyDescent="0.3">
      <c r="A959" s="245">
        <f>Datos!$Z$3</f>
        <v>46905</v>
      </c>
      <c r="B959" s="199" t="str">
        <f>Datos!Z$4</f>
        <v>Compresora</v>
      </c>
      <c r="C959" s="31" t="s">
        <v>550</v>
      </c>
      <c r="D959" s="199" t="str">
        <f>Datos!$B$22</f>
        <v>SIMULACROS · Acciones de mejora surgidas de los simulacros (en el mes informado)</v>
      </c>
      <c r="E959" s="199" t="str">
        <f>Datos!$C$22</f>
        <v>u</v>
      </c>
      <c r="F959" s="31" t="s">
        <v>538</v>
      </c>
      <c r="G959" s="246" t="str">
        <f>IF(ISNUMBER(Datos!Z22),Datos!Z22,"")</f>
        <v/>
      </c>
      <c r="H95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0" spans="1:8" x14ac:dyDescent="0.3">
      <c r="A960" s="245">
        <f>Datos!$Z$3</f>
        <v>46905</v>
      </c>
      <c r="B960" s="199" t="str">
        <f>Datos!Z$4</f>
        <v>Compresora</v>
      </c>
      <c r="C960" s="31" t="s">
        <v>551</v>
      </c>
      <c r="D960" s="199" t="str">
        <f>Datos!$B$23</f>
        <v>SIMULACROS · Acciones de mejora implementadas surgidas de los simulacros (ICME) (en el mes informado)</v>
      </c>
      <c r="E960" s="199" t="str">
        <f>Datos!$C$23</f>
        <v>u</v>
      </c>
      <c r="F960" s="31" t="s">
        <v>538</v>
      </c>
      <c r="G960" s="246" t="str">
        <f>IF(ISNUMBER(Datos!Z23),Datos!Z23,"")</f>
        <v/>
      </c>
      <c r="H96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1" spans="1:8" x14ac:dyDescent="0.3">
      <c r="A961" s="245">
        <f>Datos!$Z$3</f>
        <v>46905</v>
      </c>
      <c r="B961" s="199" t="str">
        <f>Datos!Z$4</f>
        <v>Compresora</v>
      </c>
      <c r="C961" s="31" t="s">
        <v>552</v>
      </c>
      <c r="D961" s="199" t="str">
        <f>Datos!$B$24</f>
        <v>Caminatas gerenciales realizadas</v>
      </c>
      <c r="E961" s="199" t="str">
        <f>Datos!$C$24</f>
        <v>u</v>
      </c>
      <c r="F961" s="31" t="s">
        <v>538</v>
      </c>
      <c r="G961" s="246" t="str">
        <f>IF(ISNUMBER(Datos!Z24),Datos!Z24,"")</f>
        <v/>
      </c>
      <c r="H96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2" spans="1:8" x14ac:dyDescent="0.3">
      <c r="A962" s="245">
        <f>Datos!$Z$3</f>
        <v>46905</v>
      </c>
      <c r="B962" s="199" t="str">
        <f>Datos!Z$4</f>
        <v>Compresora</v>
      </c>
      <c r="C962" s="31" t="s">
        <v>553</v>
      </c>
      <c r="D962" s="199" t="str">
        <f>Datos!$B$25</f>
        <v>Caminatas gerenciales planificadas</v>
      </c>
      <c r="E962" s="199" t="str">
        <f>Datos!$C$25</f>
        <v>u</v>
      </c>
      <c r="F962" s="31" t="s">
        <v>538</v>
      </c>
      <c r="G962" s="246" t="str">
        <f>IF(ISNUMBER(Datos!Z25),Datos!Z25,"")</f>
        <v/>
      </c>
      <c r="H96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3" spans="1:8" x14ac:dyDescent="0.3">
      <c r="A963" s="245">
        <f>Datos!$Z$3</f>
        <v>46905</v>
      </c>
      <c r="B963" s="199" t="str">
        <f>Datos!Z$4</f>
        <v>Compresora</v>
      </c>
      <c r="C963" s="31" t="s">
        <v>554</v>
      </c>
      <c r="D963" s="199" t="str">
        <f>Datos!$B$26</f>
        <v>Comités y subcomités de seguridad realizados</v>
      </c>
      <c r="E963" s="199" t="str">
        <f>Datos!$C$26</f>
        <v>u</v>
      </c>
      <c r="F963" s="31" t="s">
        <v>538</v>
      </c>
      <c r="G963" s="246" t="str">
        <f>IF(ISNUMBER(Datos!Z26),Datos!Z26,"")</f>
        <v/>
      </c>
      <c r="H96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4" spans="1:8" x14ac:dyDescent="0.3">
      <c r="A964" s="245">
        <f>Datos!$Z$3</f>
        <v>46905</v>
      </c>
      <c r="B964" s="199" t="str">
        <f>Datos!Z$4</f>
        <v>Compresora</v>
      </c>
      <c r="C964" s="31" t="s">
        <v>555</v>
      </c>
      <c r="D964" s="199" t="str">
        <f>Datos!$B$27</f>
        <v>Comités y subcomités de seguridad planificados</v>
      </c>
      <c r="E964" s="199" t="str">
        <f>Datos!$C$27</f>
        <v>u</v>
      </c>
      <c r="F964" s="31" t="s">
        <v>538</v>
      </c>
      <c r="G964" s="246" t="str">
        <f>IF(ISNUMBER(Datos!Z27),Datos!Z27,"")</f>
        <v/>
      </c>
      <c r="H96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5" spans="1:8" x14ac:dyDescent="0.3">
      <c r="A965" s="245">
        <f>Datos!$Z$3</f>
        <v>46905</v>
      </c>
      <c r="B965" s="199" t="str">
        <f>Datos!Z$4</f>
        <v>Compresora</v>
      </c>
      <c r="C965" s="31" t="s">
        <v>556</v>
      </c>
      <c r="D965" s="31" t="inlineStr">
        <is>
          <t>Observaciones de comportamiento seguro: total del mes (OPS + SMP)</t>
        </is>
      </c>
      <c r="E965" s="199" t="str">
        <f>Datos!$C$28</f>
        <v>u</v>
      </c>
      <c r="F965" s="31" t="s">
        <v>538</v>
      </c>
      <c r="G965" s="246" t="str">
        <f>IF(COUNT(Datos!Z28:Z29)=0,"",SUM(Datos!Z28:Z29))</f>
        <v/>
      </c>
      <c r="H96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6" spans="1:8" x14ac:dyDescent="0.3">
      <c r="A966" s="245">
        <f>Datos!$Z$3</f>
        <v>46905</v>
      </c>
      <c r="B966" s="199" t="str">
        <f>Datos!Z$4</f>
        <v>Compresora</v>
      </c>
      <c r="C966" s="31" t="s">
        <v>557</v>
      </c>
      <c r="D966" s="199" t="str">
        <f>Datos!$B$30</f>
        <v>Investigaciones de accidentes cerradas en el mes</v>
      </c>
      <c r="E966" s="199" t="str">
        <f>Datos!$C$30</f>
        <v>u</v>
      </c>
      <c r="F966" s="31" t="s">
        <v>538</v>
      </c>
      <c r="G966" s="246" t="str">
        <f>IF(ISNUMBER(Datos!Z30),Datos!Z30,"")</f>
        <v/>
      </c>
      <c r="H96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7" spans="1:8" x14ac:dyDescent="0.3">
      <c r="A967" s="245">
        <f>Datos!$Z$3</f>
        <v>46905</v>
      </c>
      <c r="B967" s="199" t="str">
        <f>Datos!Z$4</f>
        <v>Compresora</v>
      </c>
      <c r="C967" s="31" t="s">
        <v>558</v>
      </c>
      <c r="D967" s="199" t="str">
        <f>Datos!$B$31</f>
        <v>Días que llevaron esas investigaciones (suma)</v>
      </c>
      <c r="E967" s="199" t="str">
        <f>Datos!$C$31</f>
        <v>días</v>
      </c>
      <c r="F967" s="31" t="s">
        <v>538</v>
      </c>
      <c r="G967" s="246" t="str">
        <f>IF(ISNUMBER(Datos!Z31),Datos!Z31,"")</f>
        <v/>
      </c>
      <c r="H96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8" spans="1:8" x14ac:dyDescent="0.3">
      <c r="A968" s="245">
        <f>Datos!$Z$3</f>
        <v>46905</v>
      </c>
      <c r="B968" s="199" t="str">
        <f>Datos!Z$4</f>
        <v>Compresora</v>
      </c>
      <c r="C968" s="31" t="s">
        <v>559</v>
      </c>
      <c r="D968" s="199" t="str">
        <f>Datos!$B$33</f>
        <v>Casos con días perdidos</v>
      </c>
      <c r="E968" s="199" t="str">
        <f>Datos!$C$33</f>
        <v>u</v>
      </c>
      <c r="F968" s="31" t="s">
        <v>538</v>
      </c>
      <c r="G968" s="246" t="str">
        <f>IF(ISNUMBER(Datos!Z33),Datos!Z33,"")</f>
        <v/>
      </c>
      <c r="H96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9" spans="1:8" x14ac:dyDescent="0.3">
      <c r="A969" s="245">
        <f>Datos!$Z$3</f>
        <v>46905</v>
      </c>
      <c r="B969" s="199" t="str">
        <f>Datos!Z$4</f>
        <v>Compresora</v>
      </c>
      <c r="C969" s="31" t="s">
        <v>560</v>
      </c>
      <c r="D969" s="199" t="str">
        <f>Datos!$B$34</f>
        <v>Casos con trabajo restringido</v>
      </c>
      <c r="E969" s="199" t="str">
        <f>Datos!$C$34</f>
        <v>u</v>
      </c>
      <c r="F969" s="31" t="s">
        <v>538</v>
      </c>
      <c r="G969" s="246" t="str">
        <f>IF(ISNUMBER(Datos!Z34),Datos!Z34,"")</f>
        <v/>
      </c>
      <c r="H96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0" spans="1:8" x14ac:dyDescent="0.3">
      <c r="A970" s="245">
        <f>Datos!$Z$3</f>
        <v>46905</v>
      </c>
      <c r="B970" s="199" t="str">
        <f>Datos!Z$4</f>
        <v>Compresora</v>
      </c>
      <c r="C970" s="31" t="s">
        <v>561</v>
      </c>
      <c r="D970" s="199" t="str">
        <f>Datos!$B$35</f>
        <v>Casos con tratamiento médico</v>
      </c>
      <c r="E970" s="199" t="str">
        <f>Datos!$C$35</f>
        <v>u</v>
      </c>
      <c r="F970" s="31" t="s">
        <v>538</v>
      </c>
      <c r="G970" s="246" t="str">
        <f>IF(ISNUMBER(Datos!Z35),Datos!Z35,"")</f>
        <v/>
      </c>
      <c r="H97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1" spans="1:8" x14ac:dyDescent="0.3">
      <c r="A971" s="245">
        <f>Datos!$Z$3</f>
        <v>46905</v>
      </c>
      <c r="B971" s="199" t="str">
        <f>Datos!Z$4</f>
        <v>Compresora</v>
      </c>
      <c r="C971" s="31" t="s">
        <v>562</v>
      </c>
      <c r="D971" s="199" t="str">
        <f>Datos!$B$36</f>
        <v>Fatalidades</v>
      </c>
      <c r="E971" s="199" t="str">
        <f>Datos!$C$36</f>
        <v>u</v>
      </c>
      <c r="F971" s="31" t="s">
        <v>538</v>
      </c>
      <c r="G971" s="246" t="str">
        <f>IF(ISNUMBER(Datos!Z36),Datos!Z36,"")</f>
        <v/>
      </c>
      <c r="H97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2" spans="1:8" x14ac:dyDescent="0.3">
      <c r="A972" s="245">
        <f>Datos!$Z$3</f>
        <v>46905</v>
      </c>
      <c r="B972" s="199" t="str">
        <f>Datos!Z$4</f>
        <v>Compresora</v>
      </c>
      <c r="C972" s="31" t="s">
        <v>51</v>
      </c>
      <c r="D972" s="199" t="str">
        <f>Datos!$B$37</f>
        <v>Casos de primeros auxilios</v>
      </c>
      <c r="E972" s="199" t="str">
        <f>Datos!$C$37</f>
        <v>u</v>
      </c>
      <c r="F972" s="31" t="s">
        <v>538</v>
      </c>
      <c r="G972" s="246" t="str">
        <f>IF(ISNUMBER(Datos!Z37),Datos!Z37,"")</f>
        <v/>
      </c>
      <c r="H97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3" spans="1:8" x14ac:dyDescent="0.3">
      <c r="A973" s="245">
        <f>Datos!$Z$3</f>
        <v>46905</v>
      </c>
      <c r="B973" s="199" t="str">
        <f>Datos!Z$4</f>
        <v>Compresora</v>
      </c>
      <c r="C973" s="31" t="s">
        <v>563</v>
      </c>
      <c r="D973" s="199" t="str">
        <f>Datos!$B$39</f>
        <v>CVM catastróficas</v>
      </c>
      <c r="E973" s="199" t="str">
        <f>Datos!$C$39</f>
        <v>u</v>
      </c>
      <c r="F973" s="31" t="s">
        <v>538</v>
      </c>
      <c r="G973" s="246" t="str">
        <f>IF(ISNUMBER(Datos!Z39),Datos!Z39,"")</f>
        <v/>
      </c>
      <c r="H97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4" spans="1:8" x14ac:dyDescent="0.3">
      <c r="A974" s="245">
        <f>Datos!$Z$3</f>
        <v>46905</v>
      </c>
      <c r="B974" s="199" t="str">
        <f>Datos!Z$4</f>
        <v>Compresora</v>
      </c>
      <c r="C974" s="31" t="s">
        <v>564</v>
      </c>
      <c r="D974" s="199" t="str">
        <f>Datos!$B$40</f>
        <v>CVM mayores</v>
      </c>
      <c r="E974" s="199" t="str">
        <f>Datos!$C$40</f>
        <v>u</v>
      </c>
      <c r="F974" s="31" t="s">
        <v>538</v>
      </c>
      <c r="G974" s="246" t="str">
        <f>IF(ISNUMBER(Datos!Z40),Datos!Z40,"")</f>
        <v/>
      </c>
      <c r="H97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5" spans="1:8" x14ac:dyDescent="0.3">
      <c r="A975" s="245">
        <f>Datos!$Z$3</f>
        <v>46905</v>
      </c>
      <c r="B975" s="199" t="str">
        <f>Datos!Z$4</f>
        <v>Compresora</v>
      </c>
      <c r="C975" s="31" t="s">
        <v>565</v>
      </c>
      <c r="D975" s="199" t="str">
        <f>Datos!$B$41</f>
        <v>CVM serias</v>
      </c>
      <c r="E975" s="199" t="str">
        <f>Datos!$C$41</f>
        <v>u</v>
      </c>
      <c r="F975" s="31" t="s">
        <v>538</v>
      </c>
      <c r="G975" s="246" t="str">
        <f>IF(ISNUMBER(Datos!Z41),Datos!Z41,"")</f>
        <v/>
      </c>
      <c r="H97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6" spans="1:8" x14ac:dyDescent="0.3">
      <c r="A976" s="245">
        <f>Datos!$Z$3</f>
        <v>46905</v>
      </c>
      <c r="B976" s="199" t="str">
        <f>Datos!Z$4</f>
        <v>Compresora</v>
      </c>
      <c r="C976" s="31" t="s">
        <v>566</v>
      </c>
      <c r="D976" s="199" t="str">
        <f>Datos!$B$42</f>
        <v>CVM otras / menores</v>
      </c>
      <c r="E976" s="199" t="str">
        <f>Datos!$C$42</f>
        <v>u</v>
      </c>
      <c r="F976" s="31" t="s">
        <v>538</v>
      </c>
      <c r="G976" s="246" t="str">
        <f>IF(ISNUMBER(Datos!Z42),Datos!Z42,"")</f>
        <v/>
      </c>
      <c r="H97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7" spans="1:8" x14ac:dyDescent="0.3">
      <c r="A977" s="245">
        <f>Datos!$Z$3</f>
        <v>46905</v>
      </c>
      <c r="B977" s="199" t="str">
        <f>Datos!Z$4</f>
        <v>Compresora</v>
      </c>
      <c r="C977" s="31" t="s">
        <v>567</v>
      </c>
      <c r="D977" s="199" t="str">
        <f>Datos!$B$44</f>
        <v>Km recorridos: vehículos livianos (camionetas)</v>
      </c>
      <c r="E977" s="199" t="str">
        <f>Datos!$C$44</f>
        <v>km</v>
      </c>
      <c r="F977" s="31" t="s">
        <v>538</v>
      </c>
      <c r="G977" s="246" t="str">
        <f>IF(ISNUMBER(Datos!Z44),Datos!Z44,"")</f>
        <v/>
      </c>
      <c r="H97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8" spans="1:8" x14ac:dyDescent="0.3">
      <c r="A978" s="245">
        <f>Datos!$Z$3</f>
        <v>46905</v>
      </c>
      <c r="B978" s="199" t="str">
        <f>Datos!Z$4</f>
        <v>Compresora</v>
      </c>
      <c r="C978" s="31" t="s">
        <v>568</v>
      </c>
      <c r="D978" s="199" t="str">
        <f>Datos!$B$45</f>
        <v>Km recorridos: vehículos pesados (camiones)</v>
      </c>
      <c r="E978" s="199" t="str">
        <f>Datos!$C$45</f>
        <v>km</v>
      </c>
      <c r="F978" s="31" t="s">
        <v>538</v>
      </c>
      <c r="G978" s="246" t="str">
        <f>IF(ISNUMBER(Datos!Z45),Datos!Z45,"")</f>
        <v/>
      </c>
      <c r="H97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9" spans="1:8" x14ac:dyDescent="0.3">
      <c r="A979" s="245">
        <f>Datos!$Z$3</f>
        <v>46905</v>
      </c>
      <c r="B979" s="199" t="str">
        <f>Datos!Z$4</f>
        <v>Compresora</v>
      </c>
      <c r="C979" s="31" t="s">
        <v>569</v>
      </c>
      <c r="D979" s="199" t="str">
        <f>Datos!$B$46</f>
        <v>Km recorridos: vehículos de transporte de personal (combis)</v>
      </c>
      <c r="E979" s="199" t="str">
        <f>Datos!$C$46</f>
        <v>km</v>
      </c>
      <c r="F979" s="31" t="s">
        <v>538</v>
      </c>
      <c r="G979" s="246" t="str">
        <f>IF(ISNUMBER(Datos!Z46),Datos!Z46,"")</f>
        <v/>
      </c>
      <c r="H97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0" spans="1:8" x14ac:dyDescent="0.3">
      <c r="A980" s="245">
        <f>Datos!$Z$3</f>
        <v>46905</v>
      </c>
      <c r="B980" s="199" t="str">
        <f>Datos!Z$4</f>
        <v>Compresora</v>
      </c>
      <c r="C980" s="31" t="s">
        <v>570</v>
      </c>
      <c r="D980" s="199" t="str">
        <f>Datos!$B$47</f>
        <v>Km recorridos: TOTAL</v>
      </c>
      <c r="E980" s="199" t="str">
        <f>Datos!$C$47</f>
        <v>km</v>
      </c>
      <c r="F980" s="31" t="s">
        <v>541</v>
      </c>
      <c r="G980" s="246">
        <f>IF(ISNUMBER(Datos!Z47),Datos!Z47,"")</f>
        <v>0</v>
      </c>
      <c r="H98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1" spans="1:8" x14ac:dyDescent="0.3">
      <c r="A981" s="245">
        <f>Datos!$Z$3</f>
        <v>46905</v>
      </c>
      <c r="B981" s="199" t="str">
        <f>Datos!Z$4</f>
        <v>Compresora</v>
      </c>
      <c r="C981" s="31" t="s">
        <v>571</v>
      </c>
      <c r="D981" s="199" t="str">
        <f>Datos!$B$67</f>
        <v>Hallazgos (desvíos) cerrados en el mes</v>
      </c>
      <c r="E981" s="199" t="str">
        <f>Datos!$C$67</f>
        <v>u</v>
      </c>
      <c r="F981" s="31" t="s">
        <v>572</v>
      </c>
      <c r="G981" s="246" t="str">
        <f>IF(ISNUMBER(Datos!Z67),Datos!Z67,"")</f>
        <v/>
      </c>
      <c r="H98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2" spans="1:8" x14ac:dyDescent="0.3">
      <c r="A982" s="245">
        <f>Datos!$Z$3</f>
        <v>46905</v>
      </c>
      <c r="B982" s="199" t="str">
        <f>Datos!Z$4</f>
        <v>Compresora</v>
      </c>
      <c r="C982" s="31" t="s">
        <v>573</v>
      </c>
      <c r="D982" s="199" t="str">
        <f>Datos!$B$68</f>
        <v>Días que llevaron esos hallazgos (suma)</v>
      </c>
      <c r="E982" s="199" t="str">
        <f>Datos!$C$68</f>
        <v>días</v>
      </c>
      <c r="F982" s="31" t="s">
        <v>572</v>
      </c>
      <c r="G982" s="246" t="str">
        <f>IF(ISNUMBER(Datos!Z68),Datos!Z68,"")</f>
        <v/>
      </c>
      <c r="H98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3" spans="1:8" x14ac:dyDescent="0.3">
      <c r="A983" s="245">
        <f>Datos!$Z$3</f>
        <v>46905</v>
      </c>
      <c r="B983" s="199" t="str">
        <f>Datos!Z$4</f>
        <v>Compresora</v>
      </c>
      <c r="C983" s="31" t="s">
        <v>574</v>
      </c>
      <c r="D983" s="199" t="str">
        <f>Datos!$B$69</f>
        <v>Hallazgos (desvíos) abiertos a fin de mes</v>
      </c>
      <c r="E983" s="199" t="str">
        <f>Datos!$C$69</f>
        <v>u</v>
      </c>
      <c r="F983" s="31" t="s">
        <v>572</v>
      </c>
      <c r="G983" s="246" t="str">
        <f>IF(ISNUMBER(Datos!Z69),Datos!Z69,"")</f>
        <v/>
      </c>
      <c r="H98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4" spans="1:8" x14ac:dyDescent="0.3">
      <c r="A984" s="245">
        <f>Datos!$Z$3</f>
        <v>46905</v>
      </c>
      <c r="B984" s="199" t="str">
        <f>Datos!Z$4</f>
        <v>Compresora</v>
      </c>
      <c r="C984" s="31" t="s">
        <v>575</v>
      </c>
      <c r="D984" s="199" t="str">
        <f>Datos!$B$70</f>
        <v>Hallazgos (desvíos) detectados en el mes</v>
      </c>
      <c r="E984" s="199" t="str">
        <f>Datos!$C$70</f>
        <v>u</v>
      </c>
      <c r="F984" s="31" t="s">
        <v>572</v>
      </c>
      <c r="G984" s="246" t="str">
        <f>IF(ISNUMBER(Datos!Z70),Datos!Z70,"")</f>
        <v/>
      </c>
      <c r="H98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5" spans="1:8" x14ac:dyDescent="0.3">
      <c r="A985" s="245">
        <f>Datos!$Z$3</f>
        <v>46905</v>
      </c>
      <c r="B985" s="199" t="str">
        <f>Datos!Z$4</f>
        <v>Compresora</v>
      </c>
      <c r="C985" s="31" t="s">
        <v>576</v>
      </c>
      <c r="D985" s="199" t="str">
        <f>Datos!$B$71</f>
        <v>Desvíos detectados en el mes · gravedad Alta</v>
      </c>
      <c r="E985" s="199" t="str">
        <f>Datos!$C$71</f>
        <v>u</v>
      </c>
      <c r="F985" s="31" t="s">
        <v>572</v>
      </c>
      <c r="G985" s="246" t="str">
        <f>IF(ISNUMBER(Datos!Z71),Datos!Z71,"")</f>
        <v/>
      </c>
      <c r="H98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6" spans="1:8" x14ac:dyDescent="0.3">
      <c r="A986" s="245">
        <f>Datos!$Z$3</f>
        <v>46905</v>
      </c>
      <c r="B986" s="199" t="str">
        <f>Datos!Z$4</f>
        <v>Compresora</v>
      </c>
      <c r="C986" s="31" t="s">
        <v>577</v>
      </c>
      <c r="D986" s="199" t="str">
        <f>Datos!$B$72</f>
        <v>Desvíos detectados en el mes · gravedad Media</v>
      </c>
      <c r="E986" s="199" t="str">
        <f>Datos!$C$72</f>
        <v>u</v>
      </c>
      <c r="F986" s="31" t="s">
        <v>572</v>
      </c>
      <c r="G986" s="246" t="str">
        <f>IF(ISNUMBER(Datos!Z72),Datos!Z72,"")</f>
        <v/>
      </c>
      <c r="H98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7" spans="1:8" x14ac:dyDescent="0.3">
      <c r="A987" s="245">
        <f>Datos!$Z$3</f>
        <v>46905</v>
      </c>
      <c r="B987" s="199" t="str">
        <f>Datos!Z$4</f>
        <v>Compresora</v>
      </c>
      <c r="C987" s="31" t="s">
        <v>578</v>
      </c>
      <c r="D987" s="199" t="str">
        <f>Datos!$B$73</f>
        <v>Desvíos detectados en el mes · gravedad Baja</v>
      </c>
      <c r="E987" s="199" t="str">
        <f>Datos!$C$73</f>
        <v>u</v>
      </c>
      <c r="F987" s="31" t="s">
        <v>572</v>
      </c>
      <c r="G987" s="246" t="str">
        <f>IF(ISNUMBER(Datos!Z73),Datos!Z73,"")</f>
        <v/>
      </c>
      <c r="H98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8" spans="1:8" x14ac:dyDescent="0.3">
      <c r="A988" s="245">
        <f>Datos!$Z$3</f>
        <v>46905</v>
      </c>
      <c r="B988" s="199" t="str">
        <f>Datos!Z$4</f>
        <v>Compresora</v>
      </c>
      <c r="C988" s="31" t="s">
        <v>579</v>
      </c>
      <c r="D988" s="199" t="str">
        <f>Datos!$B$74</f>
        <v>Desvíos detectados en el mes · sin gravedad cargada</v>
      </c>
      <c r="E988" s="199" t="str">
        <f>Datos!$C$74</f>
        <v>u</v>
      </c>
      <c r="F988" s="31" t="s">
        <v>572</v>
      </c>
      <c r="G988" s="246">
        <f>IF(ISNUMBER(Datos!Z74),Datos!Z74,"")</f>
        <v>0</v>
      </c>
      <c r="H98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9" spans="1:8" x14ac:dyDescent="0.3">
      <c r="A989" s="245">
        <f>Datos!$Z$3</f>
        <v>46905</v>
      </c>
      <c r="B989" s="199" t="str">
        <f>Datos!Z$4</f>
        <v>Compresora</v>
      </c>
      <c r="C989" s="31" t="s">
        <v>580</v>
      </c>
      <c r="D989" s="199" t="str">
        <f>Datos!$B$75</f>
        <v>Detenciones de tareas aplicadas en el mes (Política = Sí)</v>
      </c>
      <c r="E989" s="199" t="str">
        <f>Datos!$C$75</f>
        <v>u</v>
      </c>
      <c r="F989" s="31" t="s">
        <v>572</v>
      </c>
      <c r="G989" s="246" t="str">
        <f>IF(ISNUMBER(Datos!Z75),Datos!Z75,"")</f>
        <v/>
      </c>
      <c r="H98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0" spans="1:8" x14ac:dyDescent="0.3">
      <c r="A990" s="245">
        <f>Datos!$Z$3</f>
        <v>46905</v>
      </c>
      <c r="B990" s="199" t="str">
        <f>Datos!Z$4</f>
        <v>Compresora</v>
      </c>
      <c r="C990" s="31" t="s">
        <v>581</v>
      </c>
      <c r="D990" s="199" t="str">
        <f>Datos!$B$76</f>
        <v>Desvíos de gravedad Alta abiertos a fin de mes</v>
      </c>
      <c r="E990" s="199" t="str">
        <f>Datos!$C$76</f>
        <v>u</v>
      </c>
      <c r="F990" s="31" t="s">
        <v>572</v>
      </c>
      <c r="G990" s="246" t="str">
        <f>IF(ISNUMBER(Datos!Z76),Datos!Z76,"")</f>
        <v/>
      </c>
      <c r="H99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1" spans="1:8" x14ac:dyDescent="0.3">
      <c r="A991" s="245">
        <f>Datos!$AA$3</f>
        <v>46935</v>
      </c>
      <c r="B991" s="199" t="str">
        <f>Datos!AA$4</f>
        <v>Compresora</v>
      </c>
      <c r="C991" s="31" t="s">
        <v>537</v>
      </c>
      <c r="D991" s="199" t="str">
        <f>Datos!$B$9</f>
        <v>Dotación promedio: Personal OPS</v>
      </c>
      <c r="E991" s="199" t="str">
        <f>Datos!$C$9</f>
        <v>pers</v>
      </c>
      <c r="F991" s="31" t="s">
        <v>538</v>
      </c>
      <c r="G991" s="246" t="str">
        <f>IF(ISNUMBER(Datos!AA9),Datos!AA9,"")</f>
        <v/>
      </c>
      <c r="H99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2" spans="1:8" x14ac:dyDescent="0.3">
      <c r="A992" s="245">
        <f>Datos!$AA$3</f>
        <v>46935</v>
      </c>
      <c r="B992" s="199" t="str">
        <f>Datos!AA$4</f>
        <v>Compresora</v>
      </c>
      <c r="C992" s="31" t="s">
        <v>539</v>
      </c>
      <c r="D992" s="199" t="str">
        <f>Datos!$B$10</f>
        <v>Dotación promedio: Personal SMP(IEBC, PAE e YPF) </v>
      </c>
      <c r="E992" s="199" t="str">
        <f>Datos!$C$10</f>
        <v>pers</v>
      </c>
      <c r="F992" s="31" t="s">
        <v>538</v>
      </c>
      <c r="G992" s="246" t="str">
        <f>IF(ISNUMBER(Datos!AA10),Datos!AA10,"")</f>
        <v/>
      </c>
      <c r="H99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3" spans="1:8" x14ac:dyDescent="0.3">
      <c r="A993" s="245">
        <f>Datos!$AA$3</f>
        <v>46935</v>
      </c>
      <c r="B993" s="199" t="str">
        <f>Datos!AA$4</f>
        <v>Compresora</v>
      </c>
      <c r="C993" s="31" t="s">
        <v>540</v>
      </c>
      <c r="D993" s="199" t="str">
        <f>Datos!$B$11</f>
        <v>Dotación promedio: TOTAL</v>
      </c>
      <c r="E993" s="199" t="str">
        <f>Datos!$C$11</f>
        <v>pers</v>
      </c>
      <c r="F993" s="31" t="s">
        <v>541</v>
      </c>
      <c r="G993" s="246">
        <f>IF(ISNUMBER(Datos!AA11),Datos!AA11,"")</f>
        <v>0</v>
      </c>
      <c r="H99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4" spans="1:8" x14ac:dyDescent="0.3">
      <c r="A994" s="245">
        <f>Datos!$AA$3</f>
        <v>46935</v>
      </c>
      <c r="B994" s="199" t="str">
        <f>Datos!AA$4</f>
        <v>Compresora</v>
      </c>
      <c r="C994" s="31" t="s">
        <v>542</v>
      </c>
      <c r="D994" s="199" t="str">
        <f>Datos!$B$12</f>
        <v>Horas hombre trabajadas: Personal OPS</v>
      </c>
      <c r="E994" s="199" t="str">
        <f>Datos!$C$12</f>
        <v>h</v>
      </c>
      <c r="F994" s="31" t="s">
        <v>538</v>
      </c>
      <c r="G994" s="246" t="str">
        <f>IF(ISNUMBER(Datos!AA12),Datos!AA12,"")</f>
        <v/>
      </c>
      <c r="H99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5" spans="1:8" x14ac:dyDescent="0.3">
      <c r="A995" s="245">
        <f>Datos!$AA$3</f>
        <v>46935</v>
      </c>
      <c r="B995" s="199" t="str">
        <f>Datos!AA$4</f>
        <v>Compresora</v>
      </c>
      <c r="C995" s="31" t="s">
        <v>543</v>
      </c>
      <c r="D995" s="199" t="str">
        <f>Datos!$B$13</f>
        <v>Horas hombre trabajadas: Personal SMP(IEBC, PAE e YPF) en campo</v>
      </c>
      <c r="E995" s="199" t="str">
        <f>Datos!$C$13</f>
        <v>h</v>
      </c>
      <c r="F995" s="31" t="s">
        <v>538</v>
      </c>
      <c r="G995" s="246" t="str">
        <f>IF(ISNUMBER(Datos!AA13),Datos!AA13,"")</f>
        <v/>
      </c>
      <c r="H99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6" spans="1:8" x14ac:dyDescent="0.3">
      <c r="A996" s="245">
        <f>Datos!$AA$3</f>
        <v>46935</v>
      </c>
      <c r="B996" s="199" t="str">
        <f>Datos!AA$4</f>
        <v>Compresora</v>
      </c>
      <c r="C996" s="31" t="s">
        <v>544</v>
      </c>
      <c r="D996" s="199" t="str">
        <f>Datos!$B$14</f>
        <v>Horas hombre trabajadas: TOTAL</v>
      </c>
      <c r="E996" s="199" t="str">
        <f>Datos!$C$14</f>
        <v>h</v>
      </c>
      <c r="F996" s="31" t="s">
        <v>541</v>
      </c>
      <c r="G996" s="246">
        <f>IF(ISNUMBER(Datos!AA14),Datos!AA14,"")</f>
        <v>0</v>
      </c>
      <c r="H99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7" spans="1:8" x14ac:dyDescent="0.3">
      <c r="A997" s="245">
        <f>Datos!$AA$3</f>
        <v>46935</v>
      </c>
      <c r="B997" s="199" t="str">
        <f>Datos!AA$4</f>
        <v>Compresora</v>
      </c>
      <c r="C997" s="31" t="s">
        <v>545</v>
      </c>
      <c r="D997" s="199" t="str">
        <f>Datos!$B$16</f>
        <v>Horas hombre de formación en seguridad: Personal OPS</v>
      </c>
      <c r="E997" s="199" t="str">
        <f>Datos!$C$16</f>
        <v>h</v>
      </c>
      <c r="F997" s="31" t="s">
        <v>538</v>
      </c>
      <c r="G997" s="246" t="str">
        <f>IF(ISNUMBER(Datos!AA16),Datos!AA16,"")</f>
        <v/>
      </c>
      <c r="H99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8" spans="1:8" x14ac:dyDescent="0.3">
      <c r="A998" s="245">
        <f>Datos!$AA$3</f>
        <v>46935</v>
      </c>
      <c r="B998" s="199" t="str">
        <f>Datos!AA$4</f>
        <v>Compresora</v>
      </c>
      <c r="C998" s="31" t="s">
        <v>546</v>
      </c>
      <c r="D998" s="199" t="str">
        <f>Datos!$B$17</f>
        <v>Horas hombre de formación en seguridad: Personal SMP(IEBC, PAE e YPF) </v>
      </c>
      <c r="E998" s="199" t="str">
        <f>Datos!$C$17</f>
        <v>h</v>
      </c>
      <c r="F998" s="31" t="s">
        <v>538</v>
      </c>
      <c r="G998" s="246" t="str">
        <f>IF(ISNUMBER(Datos!AA17),Datos!AA17,"")</f>
        <v/>
      </c>
      <c r="H99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9" spans="1:8" x14ac:dyDescent="0.3">
      <c r="A999" s="245">
        <f>Datos!$AA$3</f>
        <v>46935</v>
      </c>
      <c r="B999" s="199" t="str">
        <f>Datos!AA$4</f>
        <v>Compresora</v>
      </c>
      <c r="C999" s="31" t="s">
        <v>547</v>
      </c>
      <c r="D999" s="199" t="str">
        <f>Datos!$B$18</f>
        <v>Horas hombre de formación en seguridad: TOTAL</v>
      </c>
      <c r="E999" s="199" t="str">
        <f>Datos!$C$18</f>
        <v>h</v>
      </c>
      <c r="F999" s="31" t="s">
        <v>541</v>
      </c>
      <c r="G999" s="246">
        <f>IF(ISNUMBER(Datos!AA18),Datos!AA18,"")</f>
        <v>0</v>
      </c>
      <c r="H99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0" spans="1:8" x14ac:dyDescent="0.3">
      <c r="A1000" s="245">
        <f>Datos!$AA$3</f>
        <v>46935</v>
      </c>
      <c r="B1000" s="199" t="str">
        <f>Datos!AA$4</f>
        <v>Compresora</v>
      </c>
      <c r="C1000" s="31" t="s">
        <v>548</v>
      </c>
      <c r="D1000" s="199" t="str">
        <f>Datos!$B$20</f>
        <v>SIMULACROS · Realizados (emergencia y operativos)</v>
      </c>
      <c r="E1000" s="199" t="str">
        <f>Datos!$C$20</f>
        <v>u</v>
      </c>
      <c r="F1000" s="31" t="s">
        <v>538</v>
      </c>
      <c r="G1000" s="246" t="str">
        <f>IF(ISNUMBER(Datos!AA20),Datos!AA20,"")</f>
        <v/>
      </c>
      <c r="H100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1" spans="1:8" x14ac:dyDescent="0.3">
      <c r="A1001" s="245">
        <f>Datos!$AA$3</f>
        <v>46935</v>
      </c>
      <c r="B1001" s="199" t="str">
        <f>Datos!AA$4</f>
        <v>Compresora</v>
      </c>
      <c r="C1001" s="31" t="s">
        <v>549</v>
      </c>
      <c r="D1001" s="199" t="str">
        <f>Datos!$B$21</f>
        <v>SIMULACROS · Programados (emergencia y operativos)</v>
      </c>
      <c r="E1001" s="199" t="str">
        <f>Datos!$C$21</f>
        <v>u</v>
      </c>
      <c r="F1001" s="31" t="s">
        <v>538</v>
      </c>
      <c r="G1001" s="246" t="str">
        <f>IF(ISNUMBER(Datos!AA21),Datos!AA21,"")</f>
        <v/>
      </c>
      <c r="H100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2" spans="1:8" x14ac:dyDescent="0.3">
      <c r="A1002" s="245">
        <f>Datos!$AA$3</f>
        <v>46935</v>
      </c>
      <c r="B1002" s="199" t="str">
        <f>Datos!AA$4</f>
        <v>Compresora</v>
      </c>
      <c r="C1002" s="31" t="s">
        <v>550</v>
      </c>
      <c r="D1002" s="199" t="str">
        <f>Datos!$B$22</f>
        <v>SIMULACROS · Acciones de mejora surgidas de los simulacros (en el mes informado)</v>
      </c>
      <c r="E1002" s="199" t="str">
        <f>Datos!$C$22</f>
        <v>u</v>
      </c>
      <c r="F1002" s="31" t="s">
        <v>538</v>
      </c>
      <c r="G1002" s="246" t="str">
        <f>IF(ISNUMBER(Datos!AA22),Datos!AA22,"")</f>
        <v/>
      </c>
      <c r="H100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3" spans="1:8" x14ac:dyDescent="0.3">
      <c r="A1003" s="245">
        <f>Datos!$AA$3</f>
        <v>46935</v>
      </c>
      <c r="B1003" s="199" t="str">
        <f>Datos!AA$4</f>
        <v>Compresora</v>
      </c>
      <c r="C1003" s="31" t="s">
        <v>551</v>
      </c>
      <c r="D1003" s="199" t="str">
        <f>Datos!$B$23</f>
        <v>SIMULACROS · Acciones de mejora implementadas surgidas de los simulacros (ICME) (en el mes informado)</v>
      </c>
      <c r="E1003" s="199" t="str">
        <f>Datos!$C$23</f>
        <v>u</v>
      </c>
      <c r="F1003" s="31" t="s">
        <v>538</v>
      </c>
      <c r="G1003" s="246" t="str">
        <f>IF(ISNUMBER(Datos!AA23),Datos!AA23,"")</f>
        <v/>
      </c>
      <c r="H100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4" spans="1:8" x14ac:dyDescent="0.3">
      <c r="A1004" s="245">
        <f>Datos!$AA$3</f>
        <v>46935</v>
      </c>
      <c r="B1004" s="199" t="str">
        <f>Datos!AA$4</f>
        <v>Compresora</v>
      </c>
      <c r="C1004" s="31" t="s">
        <v>552</v>
      </c>
      <c r="D1004" s="199" t="str">
        <f>Datos!$B$24</f>
        <v>Caminatas gerenciales realizadas</v>
      </c>
      <c r="E1004" s="199" t="str">
        <f>Datos!$C$24</f>
        <v>u</v>
      </c>
      <c r="F1004" s="31" t="s">
        <v>538</v>
      </c>
      <c r="G1004" s="246" t="str">
        <f>IF(ISNUMBER(Datos!AA24),Datos!AA24,"")</f>
        <v/>
      </c>
      <c r="H100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5" spans="1:8" x14ac:dyDescent="0.3">
      <c r="A1005" s="245">
        <f>Datos!$AA$3</f>
        <v>46935</v>
      </c>
      <c r="B1005" s="199" t="str">
        <f>Datos!AA$4</f>
        <v>Compresora</v>
      </c>
      <c r="C1005" s="31" t="s">
        <v>553</v>
      </c>
      <c r="D1005" s="199" t="str">
        <f>Datos!$B$25</f>
        <v>Caminatas gerenciales planificadas</v>
      </c>
      <c r="E1005" s="199" t="str">
        <f>Datos!$C$25</f>
        <v>u</v>
      </c>
      <c r="F1005" s="31" t="s">
        <v>538</v>
      </c>
      <c r="G1005" s="246" t="str">
        <f>IF(ISNUMBER(Datos!AA25),Datos!AA25,"")</f>
        <v/>
      </c>
      <c r="H100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6" spans="1:8" x14ac:dyDescent="0.3">
      <c r="A1006" s="245">
        <f>Datos!$AA$3</f>
        <v>46935</v>
      </c>
      <c r="B1006" s="199" t="str">
        <f>Datos!AA$4</f>
        <v>Compresora</v>
      </c>
      <c r="C1006" s="31" t="s">
        <v>554</v>
      </c>
      <c r="D1006" s="199" t="str">
        <f>Datos!$B$26</f>
        <v>Comités y subcomités de seguridad realizados</v>
      </c>
      <c r="E1006" s="199" t="str">
        <f>Datos!$C$26</f>
        <v>u</v>
      </c>
      <c r="F1006" s="31" t="s">
        <v>538</v>
      </c>
      <c r="G1006" s="246" t="str">
        <f>IF(ISNUMBER(Datos!AA26),Datos!AA26,"")</f>
        <v/>
      </c>
      <c r="H100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7" spans="1:8" x14ac:dyDescent="0.3">
      <c r="A1007" s="245">
        <f>Datos!$AA$3</f>
        <v>46935</v>
      </c>
      <c r="B1007" s="199" t="str">
        <f>Datos!AA$4</f>
        <v>Compresora</v>
      </c>
      <c r="C1007" s="31" t="s">
        <v>555</v>
      </c>
      <c r="D1007" s="199" t="str">
        <f>Datos!$B$27</f>
        <v>Comités y subcomités de seguridad planificados</v>
      </c>
      <c r="E1007" s="199" t="str">
        <f>Datos!$C$27</f>
        <v>u</v>
      </c>
      <c r="F1007" s="31" t="s">
        <v>538</v>
      </c>
      <c r="G1007" s="246" t="str">
        <f>IF(ISNUMBER(Datos!AA27),Datos!AA27,"")</f>
        <v/>
      </c>
      <c r="H100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8" spans="1:8" x14ac:dyDescent="0.3">
      <c r="A1008" s="245">
        <f>Datos!$AA$3</f>
        <v>46935</v>
      </c>
      <c r="B1008" s="199" t="str">
        <f>Datos!AA$4</f>
        <v>Compresora</v>
      </c>
      <c r="C1008" s="31" t="s">
        <v>556</v>
      </c>
      <c r="D1008" s="31" t="inlineStr">
        <is>
          <t>Observaciones de comportamiento seguro: total del mes (OPS + SMP)</t>
        </is>
      </c>
      <c r="E1008" s="199" t="str">
        <f>Datos!$C$28</f>
        <v>u</v>
      </c>
      <c r="F1008" s="31" t="s">
        <v>538</v>
      </c>
      <c r="G1008" s="246" t="str">
        <f>IF(COUNT(Datos!AA28:AA29)=0,"",SUM(Datos!AA28:AA29))</f>
        <v/>
      </c>
      <c r="H100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9" spans="1:8" x14ac:dyDescent="0.3">
      <c r="A1009" s="245">
        <f>Datos!$AA$3</f>
        <v>46935</v>
      </c>
      <c r="B1009" s="199" t="str">
        <f>Datos!AA$4</f>
        <v>Compresora</v>
      </c>
      <c r="C1009" s="31" t="s">
        <v>557</v>
      </c>
      <c r="D1009" s="199" t="str">
        <f>Datos!$B$30</f>
        <v>Investigaciones de accidentes cerradas en el mes</v>
      </c>
      <c r="E1009" s="199" t="str">
        <f>Datos!$C$30</f>
        <v>u</v>
      </c>
      <c r="F1009" s="31" t="s">
        <v>538</v>
      </c>
      <c r="G1009" s="246" t="str">
        <f>IF(ISNUMBER(Datos!AA30),Datos!AA30,"")</f>
        <v/>
      </c>
      <c r="H100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0" spans="1:8" x14ac:dyDescent="0.3">
      <c r="A1010" s="245">
        <f>Datos!$AA$3</f>
        <v>46935</v>
      </c>
      <c r="B1010" s="199" t="str">
        <f>Datos!AA$4</f>
        <v>Compresora</v>
      </c>
      <c r="C1010" s="31" t="s">
        <v>558</v>
      </c>
      <c r="D1010" s="199" t="str">
        <f>Datos!$B$31</f>
        <v>Días que llevaron esas investigaciones (suma)</v>
      </c>
      <c r="E1010" s="199" t="str">
        <f>Datos!$C$31</f>
        <v>días</v>
      </c>
      <c r="F1010" s="31" t="s">
        <v>538</v>
      </c>
      <c r="G1010" s="246" t="str">
        <f>IF(ISNUMBER(Datos!AA31),Datos!AA31,"")</f>
        <v/>
      </c>
      <c r="H101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1" spans="1:8" x14ac:dyDescent="0.3">
      <c r="A1011" s="245">
        <f>Datos!$AA$3</f>
        <v>46935</v>
      </c>
      <c r="B1011" s="199" t="str">
        <f>Datos!AA$4</f>
        <v>Compresora</v>
      </c>
      <c r="C1011" s="31" t="s">
        <v>559</v>
      </c>
      <c r="D1011" s="199" t="str">
        <f>Datos!$B$33</f>
        <v>Casos con días perdidos</v>
      </c>
      <c r="E1011" s="199" t="str">
        <f>Datos!$C$33</f>
        <v>u</v>
      </c>
      <c r="F1011" s="31" t="s">
        <v>538</v>
      </c>
      <c r="G1011" s="246" t="str">
        <f>IF(ISNUMBER(Datos!AA33),Datos!AA33,"")</f>
        <v/>
      </c>
      <c r="H101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2" spans="1:8" x14ac:dyDescent="0.3">
      <c r="A1012" s="245">
        <f>Datos!$AA$3</f>
        <v>46935</v>
      </c>
      <c r="B1012" s="199" t="str">
        <f>Datos!AA$4</f>
        <v>Compresora</v>
      </c>
      <c r="C1012" s="31" t="s">
        <v>560</v>
      </c>
      <c r="D1012" s="199" t="str">
        <f>Datos!$B$34</f>
        <v>Casos con trabajo restringido</v>
      </c>
      <c r="E1012" s="199" t="str">
        <f>Datos!$C$34</f>
        <v>u</v>
      </c>
      <c r="F1012" s="31" t="s">
        <v>538</v>
      </c>
      <c r="G1012" s="246" t="str">
        <f>IF(ISNUMBER(Datos!AA34),Datos!AA34,"")</f>
        <v/>
      </c>
      <c r="H101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3" spans="1:8" x14ac:dyDescent="0.3">
      <c r="A1013" s="245">
        <f>Datos!$AA$3</f>
        <v>46935</v>
      </c>
      <c r="B1013" s="199" t="str">
        <f>Datos!AA$4</f>
        <v>Compresora</v>
      </c>
      <c r="C1013" s="31" t="s">
        <v>561</v>
      </c>
      <c r="D1013" s="199" t="str">
        <f>Datos!$B$35</f>
        <v>Casos con tratamiento médico</v>
      </c>
      <c r="E1013" s="199" t="str">
        <f>Datos!$C$35</f>
        <v>u</v>
      </c>
      <c r="F1013" s="31" t="s">
        <v>538</v>
      </c>
      <c r="G1013" s="246" t="str">
        <f>IF(ISNUMBER(Datos!AA35),Datos!AA35,"")</f>
        <v/>
      </c>
      <c r="H101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4" spans="1:8" x14ac:dyDescent="0.3">
      <c r="A1014" s="245">
        <f>Datos!$AA$3</f>
        <v>46935</v>
      </c>
      <c r="B1014" s="199" t="str">
        <f>Datos!AA$4</f>
        <v>Compresora</v>
      </c>
      <c r="C1014" s="31" t="s">
        <v>562</v>
      </c>
      <c r="D1014" s="199" t="str">
        <f>Datos!$B$36</f>
        <v>Fatalidades</v>
      </c>
      <c r="E1014" s="199" t="str">
        <f>Datos!$C$36</f>
        <v>u</v>
      </c>
      <c r="F1014" s="31" t="s">
        <v>538</v>
      </c>
      <c r="G1014" s="246" t="str">
        <f>IF(ISNUMBER(Datos!AA36),Datos!AA36,"")</f>
        <v/>
      </c>
      <c r="H101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5" spans="1:8" x14ac:dyDescent="0.3">
      <c r="A1015" s="245">
        <f>Datos!$AA$3</f>
        <v>46935</v>
      </c>
      <c r="B1015" s="199" t="str">
        <f>Datos!AA$4</f>
        <v>Compresora</v>
      </c>
      <c r="C1015" s="31" t="s">
        <v>51</v>
      </c>
      <c r="D1015" s="199" t="str">
        <f>Datos!$B$37</f>
        <v>Casos de primeros auxilios</v>
      </c>
      <c r="E1015" s="199" t="str">
        <f>Datos!$C$37</f>
        <v>u</v>
      </c>
      <c r="F1015" s="31" t="s">
        <v>538</v>
      </c>
      <c r="G1015" s="246" t="str">
        <f>IF(ISNUMBER(Datos!AA37),Datos!AA37,"")</f>
        <v/>
      </c>
      <c r="H101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6" spans="1:8" x14ac:dyDescent="0.3">
      <c r="A1016" s="245">
        <f>Datos!$AA$3</f>
        <v>46935</v>
      </c>
      <c r="B1016" s="199" t="str">
        <f>Datos!AA$4</f>
        <v>Compresora</v>
      </c>
      <c r="C1016" s="31" t="s">
        <v>563</v>
      </c>
      <c r="D1016" s="199" t="str">
        <f>Datos!$B$39</f>
        <v>CVM catastróficas</v>
      </c>
      <c r="E1016" s="199" t="str">
        <f>Datos!$C$39</f>
        <v>u</v>
      </c>
      <c r="F1016" s="31" t="s">
        <v>538</v>
      </c>
      <c r="G1016" s="246" t="str">
        <f>IF(ISNUMBER(Datos!AA39),Datos!AA39,"")</f>
        <v/>
      </c>
      <c r="H101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7" spans="1:8" x14ac:dyDescent="0.3">
      <c r="A1017" s="245">
        <f>Datos!$AA$3</f>
        <v>46935</v>
      </c>
      <c r="B1017" s="199" t="str">
        <f>Datos!AA$4</f>
        <v>Compresora</v>
      </c>
      <c r="C1017" s="31" t="s">
        <v>564</v>
      </c>
      <c r="D1017" s="199" t="str">
        <f>Datos!$B$40</f>
        <v>CVM mayores</v>
      </c>
      <c r="E1017" s="199" t="str">
        <f>Datos!$C$40</f>
        <v>u</v>
      </c>
      <c r="F1017" s="31" t="s">
        <v>538</v>
      </c>
      <c r="G1017" s="246" t="str">
        <f>IF(ISNUMBER(Datos!AA40),Datos!AA40,"")</f>
        <v/>
      </c>
      <c r="H101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8" spans="1:8" x14ac:dyDescent="0.3">
      <c r="A1018" s="245">
        <f>Datos!$AA$3</f>
        <v>46935</v>
      </c>
      <c r="B1018" s="199" t="str">
        <f>Datos!AA$4</f>
        <v>Compresora</v>
      </c>
      <c r="C1018" s="31" t="s">
        <v>565</v>
      </c>
      <c r="D1018" s="199" t="str">
        <f>Datos!$B$41</f>
        <v>CVM serias</v>
      </c>
      <c r="E1018" s="199" t="str">
        <f>Datos!$C$41</f>
        <v>u</v>
      </c>
      <c r="F1018" s="31" t="s">
        <v>538</v>
      </c>
      <c r="G1018" s="246" t="str">
        <f>IF(ISNUMBER(Datos!AA41),Datos!AA41,"")</f>
        <v/>
      </c>
      <c r="H101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9" spans="1:8" x14ac:dyDescent="0.3">
      <c r="A1019" s="245">
        <f>Datos!$AA$3</f>
        <v>46935</v>
      </c>
      <c r="B1019" s="199" t="str">
        <f>Datos!AA$4</f>
        <v>Compresora</v>
      </c>
      <c r="C1019" s="31" t="s">
        <v>566</v>
      </c>
      <c r="D1019" s="199" t="str">
        <f>Datos!$B$42</f>
        <v>CVM otras / menores</v>
      </c>
      <c r="E1019" s="199" t="str">
        <f>Datos!$C$42</f>
        <v>u</v>
      </c>
      <c r="F1019" s="31" t="s">
        <v>538</v>
      </c>
      <c r="G1019" s="246" t="str">
        <f>IF(ISNUMBER(Datos!AA42),Datos!AA42,"")</f>
        <v/>
      </c>
      <c r="H101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0" spans="1:8" x14ac:dyDescent="0.3">
      <c r="A1020" s="245">
        <f>Datos!$AA$3</f>
        <v>46935</v>
      </c>
      <c r="B1020" s="199" t="str">
        <f>Datos!AA$4</f>
        <v>Compresora</v>
      </c>
      <c r="C1020" s="31" t="s">
        <v>567</v>
      </c>
      <c r="D1020" s="199" t="str">
        <f>Datos!$B$44</f>
        <v>Km recorridos: vehículos livianos (camionetas)</v>
      </c>
      <c r="E1020" s="199" t="str">
        <f>Datos!$C$44</f>
        <v>km</v>
      </c>
      <c r="F1020" s="31" t="s">
        <v>538</v>
      </c>
      <c r="G1020" s="246" t="str">
        <f>IF(ISNUMBER(Datos!AA44),Datos!AA44,"")</f>
        <v/>
      </c>
      <c r="H102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1" spans="1:8" x14ac:dyDescent="0.3">
      <c r="A1021" s="245">
        <f>Datos!$AA$3</f>
        <v>46935</v>
      </c>
      <c r="B1021" s="199" t="str">
        <f>Datos!AA$4</f>
        <v>Compresora</v>
      </c>
      <c r="C1021" s="31" t="s">
        <v>568</v>
      </c>
      <c r="D1021" s="199" t="str">
        <f>Datos!$B$45</f>
        <v>Km recorridos: vehículos pesados (camiones)</v>
      </c>
      <c r="E1021" s="199" t="str">
        <f>Datos!$C$45</f>
        <v>km</v>
      </c>
      <c r="F1021" s="31" t="s">
        <v>538</v>
      </c>
      <c r="G1021" s="246" t="str">
        <f>IF(ISNUMBER(Datos!AA45),Datos!AA45,"")</f>
        <v/>
      </c>
      <c r="H102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2" spans="1:8" x14ac:dyDescent="0.3">
      <c r="A1022" s="245">
        <f>Datos!$AA$3</f>
        <v>46935</v>
      </c>
      <c r="B1022" s="199" t="str">
        <f>Datos!AA$4</f>
        <v>Compresora</v>
      </c>
      <c r="C1022" s="31" t="s">
        <v>569</v>
      </c>
      <c r="D1022" s="199" t="str">
        <f>Datos!$B$46</f>
        <v>Km recorridos: vehículos de transporte de personal (combis)</v>
      </c>
      <c r="E1022" s="199" t="str">
        <f>Datos!$C$46</f>
        <v>km</v>
      </c>
      <c r="F1022" s="31" t="s">
        <v>538</v>
      </c>
      <c r="G1022" s="246" t="str">
        <f>IF(ISNUMBER(Datos!AA46),Datos!AA46,"")</f>
        <v/>
      </c>
      <c r="H102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3" spans="1:8" x14ac:dyDescent="0.3">
      <c r="A1023" s="245">
        <f>Datos!$AA$3</f>
        <v>46935</v>
      </c>
      <c r="B1023" s="199" t="str">
        <f>Datos!AA$4</f>
        <v>Compresora</v>
      </c>
      <c r="C1023" s="31" t="s">
        <v>570</v>
      </c>
      <c r="D1023" s="199" t="str">
        <f>Datos!$B$47</f>
        <v>Km recorridos: TOTAL</v>
      </c>
      <c r="E1023" s="199" t="str">
        <f>Datos!$C$47</f>
        <v>km</v>
      </c>
      <c r="F1023" s="31" t="s">
        <v>541</v>
      </c>
      <c r="G1023" s="246">
        <f>IF(ISNUMBER(Datos!AA47),Datos!AA47,"")</f>
        <v>0</v>
      </c>
      <c r="H102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4" spans="1:8" x14ac:dyDescent="0.3">
      <c r="A1024" s="245">
        <f>Datos!$AA$3</f>
        <v>46935</v>
      </c>
      <c r="B1024" s="199" t="str">
        <f>Datos!AA$4</f>
        <v>Compresora</v>
      </c>
      <c r="C1024" s="31" t="s">
        <v>571</v>
      </c>
      <c r="D1024" s="199" t="str">
        <f>Datos!$B$67</f>
        <v>Hallazgos (desvíos) cerrados en el mes</v>
      </c>
      <c r="E1024" s="199" t="str">
        <f>Datos!$C$67</f>
        <v>u</v>
      </c>
      <c r="F1024" s="31" t="s">
        <v>572</v>
      </c>
      <c r="G1024" s="246" t="str">
        <f>IF(ISNUMBER(Datos!AA67),Datos!AA67,"")</f>
        <v/>
      </c>
      <c r="H102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5" spans="1:8" x14ac:dyDescent="0.3">
      <c r="A1025" s="245">
        <f>Datos!$AA$3</f>
        <v>46935</v>
      </c>
      <c r="B1025" s="199" t="str">
        <f>Datos!AA$4</f>
        <v>Compresora</v>
      </c>
      <c r="C1025" s="31" t="s">
        <v>573</v>
      </c>
      <c r="D1025" s="199" t="str">
        <f>Datos!$B$68</f>
        <v>Días que llevaron esos hallazgos (suma)</v>
      </c>
      <c r="E1025" s="199" t="str">
        <f>Datos!$C$68</f>
        <v>días</v>
      </c>
      <c r="F1025" s="31" t="s">
        <v>572</v>
      </c>
      <c r="G1025" s="246" t="str">
        <f>IF(ISNUMBER(Datos!AA68),Datos!AA68,"")</f>
        <v/>
      </c>
      <c r="H102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6" spans="1:8" x14ac:dyDescent="0.3">
      <c r="A1026" s="245">
        <f>Datos!$AA$3</f>
        <v>46935</v>
      </c>
      <c r="B1026" s="199" t="str">
        <f>Datos!AA$4</f>
        <v>Compresora</v>
      </c>
      <c r="C1026" s="31" t="s">
        <v>574</v>
      </c>
      <c r="D1026" s="199" t="str">
        <f>Datos!$B$69</f>
        <v>Hallazgos (desvíos) abiertos a fin de mes</v>
      </c>
      <c r="E1026" s="199" t="str">
        <f>Datos!$C$69</f>
        <v>u</v>
      </c>
      <c r="F1026" s="31" t="s">
        <v>572</v>
      </c>
      <c r="G1026" s="246" t="str">
        <f>IF(ISNUMBER(Datos!AA69),Datos!AA69,"")</f>
        <v/>
      </c>
      <c r="H102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7" spans="1:8" x14ac:dyDescent="0.3">
      <c r="A1027" s="245">
        <f>Datos!$AA$3</f>
        <v>46935</v>
      </c>
      <c r="B1027" s="199" t="str">
        <f>Datos!AA$4</f>
        <v>Compresora</v>
      </c>
      <c r="C1027" s="31" t="s">
        <v>575</v>
      </c>
      <c r="D1027" s="199" t="str">
        <f>Datos!$B$70</f>
        <v>Hallazgos (desvíos) detectados en el mes</v>
      </c>
      <c r="E1027" s="199" t="str">
        <f>Datos!$C$70</f>
        <v>u</v>
      </c>
      <c r="F1027" s="31" t="s">
        <v>572</v>
      </c>
      <c r="G1027" s="246" t="str">
        <f>IF(ISNUMBER(Datos!AA70),Datos!AA70,"")</f>
        <v/>
      </c>
      <c r="H102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8" spans="1:8" x14ac:dyDescent="0.3">
      <c r="A1028" s="245">
        <f>Datos!$AA$3</f>
        <v>46935</v>
      </c>
      <c r="B1028" s="199" t="str">
        <f>Datos!AA$4</f>
        <v>Compresora</v>
      </c>
      <c r="C1028" s="31" t="s">
        <v>576</v>
      </c>
      <c r="D1028" s="199" t="str">
        <f>Datos!$B$71</f>
        <v>Desvíos detectados en el mes · gravedad Alta</v>
      </c>
      <c r="E1028" s="199" t="str">
        <f>Datos!$C$71</f>
        <v>u</v>
      </c>
      <c r="F1028" s="31" t="s">
        <v>572</v>
      </c>
      <c r="G1028" s="246" t="str">
        <f>IF(ISNUMBER(Datos!AA71),Datos!AA71,"")</f>
        <v/>
      </c>
      <c r="H102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9" spans="1:8" x14ac:dyDescent="0.3">
      <c r="A1029" s="245">
        <f>Datos!$AA$3</f>
        <v>46935</v>
      </c>
      <c r="B1029" s="199" t="str">
        <f>Datos!AA$4</f>
        <v>Compresora</v>
      </c>
      <c r="C1029" s="31" t="s">
        <v>577</v>
      </c>
      <c r="D1029" s="199" t="str">
        <f>Datos!$B$72</f>
        <v>Desvíos detectados en el mes · gravedad Media</v>
      </c>
      <c r="E1029" s="199" t="str">
        <f>Datos!$C$72</f>
        <v>u</v>
      </c>
      <c r="F1029" s="31" t="s">
        <v>572</v>
      </c>
      <c r="G1029" s="246" t="str">
        <f>IF(ISNUMBER(Datos!AA72),Datos!AA72,"")</f>
        <v/>
      </c>
      <c r="H102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0" spans="1:8" x14ac:dyDescent="0.3">
      <c r="A1030" s="245">
        <f>Datos!$AA$3</f>
        <v>46935</v>
      </c>
      <c r="B1030" s="199" t="str">
        <f>Datos!AA$4</f>
        <v>Compresora</v>
      </c>
      <c r="C1030" s="31" t="s">
        <v>578</v>
      </c>
      <c r="D1030" s="199" t="str">
        <f>Datos!$B$73</f>
        <v>Desvíos detectados en el mes · gravedad Baja</v>
      </c>
      <c r="E1030" s="199" t="str">
        <f>Datos!$C$73</f>
        <v>u</v>
      </c>
      <c r="F1030" s="31" t="s">
        <v>572</v>
      </c>
      <c r="G1030" s="246" t="str">
        <f>IF(ISNUMBER(Datos!AA73),Datos!AA73,"")</f>
        <v/>
      </c>
      <c r="H103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1" spans="1:8" x14ac:dyDescent="0.3">
      <c r="A1031" s="245">
        <f>Datos!$AA$3</f>
        <v>46935</v>
      </c>
      <c r="B1031" s="199" t="str">
        <f>Datos!AA$4</f>
        <v>Compresora</v>
      </c>
      <c r="C1031" s="31" t="s">
        <v>579</v>
      </c>
      <c r="D1031" s="199" t="str">
        <f>Datos!$B$74</f>
        <v>Desvíos detectados en el mes · sin gravedad cargada</v>
      </c>
      <c r="E1031" s="199" t="str">
        <f>Datos!$C$74</f>
        <v>u</v>
      </c>
      <c r="F1031" s="31" t="s">
        <v>572</v>
      </c>
      <c r="G1031" s="246">
        <f>IF(ISNUMBER(Datos!AA74),Datos!AA74,"")</f>
        <v>0</v>
      </c>
      <c r="H103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2" spans="1:8" x14ac:dyDescent="0.3">
      <c r="A1032" s="245">
        <f>Datos!$AA$3</f>
        <v>46935</v>
      </c>
      <c r="B1032" s="199" t="str">
        <f>Datos!AA$4</f>
        <v>Compresora</v>
      </c>
      <c r="C1032" s="31" t="s">
        <v>580</v>
      </c>
      <c r="D1032" s="199" t="str">
        <f>Datos!$B$75</f>
        <v>Detenciones de tareas aplicadas en el mes (Política = Sí)</v>
      </c>
      <c r="E1032" s="199" t="str">
        <f>Datos!$C$75</f>
        <v>u</v>
      </c>
      <c r="F1032" s="31" t="s">
        <v>572</v>
      </c>
      <c r="G1032" s="246" t="str">
        <f>IF(ISNUMBER(Datos!AA75),Datos!AA75,"")</f>
        <v/>
      </c>
      <c r="H103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3" spans="1:8" x14ac:dyDescent="0.3">
      <c r="A1033" s="245">
        <f>Datos!$AA$3</f>
        <v>46935</v>
      </c>
      <c r="B1033" s="199" t="str">
        <f>Datos!AA$4</f>
        <v>Compresora</v>
      </c>
      <c r="C1033" s="31" t="s">
        <v>581</v>
      </c>
      <c r="D1033" s="199" t="str">
        <f>Datos!$B$76</f>
        <v>Desvíos de gravedad Alta abiertos a fin de mes</v>
      </c>
      <c r="E1033" s="199" t="str">
        <f>Datos!$C$76</f>
        <v>u</v>
      </c>
      <c r="F1033" s="31" t="s">
        <v>572</v>
      </c>
      <c r="G1033" s="246" t="str">
        <f>IF(ISNUMBER(Datos!AA76),Datos!AA76,"")</f>
        <v/>
      </c>
      <c r="H103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4" spans="1:8" x14ac:dyDescent="0.3">
      <c r="A1034" s="245">
        <f>Datos!$AB$3</f>
        <v>46966</v>
      </c>
      <c r="B1034" s="199" t="str">
        <f>Datos!AB$4</f>
        <v>Compresora</v>
      </c>
      <c r="C1034" s="31" t="s">
        <v>537</v>
      </c>
      <c r="D1034" s="199" t="str">
        <f>Datos!$B$9</f>
        <v>Dotación promedio: Personal OPS</v>
      </c>
      <c r="E1034" s="199" t="str">
        <f>Datos!$C$9</f>
        <v>pers</v>
      </c>
      <c r="F1034" s="31" t="s">
        <v>538</v>
      </c>
      <c r="G1034" s="246" t="str">
        <f>IF(ISNUMBER(Datos!AB9),Datos!AB9,"")</f>
        <v/>
      </c>
      <c r="H103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5" spans="1:8" x14ac:dyDescent="0.3">
      <c r="A1035" s="245">
        <f>Datos!$AB$3</f>
        <v>46966</v>
      </c>
      <c r="B1035" s="199" t="str">
        <f>Datos!AB$4</f>
        <v>Compresora</v>
      </c>
      <c r="C1035" s="31" t="s">
        <v>539</v>
      </c>
      <c r="D1035" s="199" t="str">
        <f>Datos!$B$10</f>
        <v>Dotación promedio: Personal SMP(IEBC, PAE e YPF) </v>
      </c>
      <c r="E1035" s="199" t="str">
        <f>Datos!$C$10</f>
        <v>pers</v>
      </c>
      <c r="F1035" s="31" t="s">
        <v>538</v>
      </c>
      <c r="G1035" s="246" t="str">
        <f>IF(ISNUMBER(Datos!AB10),Datos!AB10,"")</f>
        <v/>
      </c>
      <c r="H103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6" spans="1:8" x14ac:dyDescent="0.3">
      <c r="A1036" s="245">
        <f>Datos!$AB$3</f>
        <v>46966</v>
      </c>
      <c r="B1036" s="199" t="str">
        <f>Datos!AB$4</f>
        <v>Compresora</v>
      </c>
      <c r="C1036" s="31" t="s">
        <v>540</v>
      </c>
      <c r="D1036" s="199" t="str">
        <f>Datos!$B$11</f>
        <v>Dotación promedio: TOTAL</v>
      </c>
      <c r="E1036" s="199" t="str">
        <f>Datos!$C$11</f>
        <v>pers</v>
      </c>
      <c r="F1036" s="31" t="s">
        <v>541</v>
      </c>
      <c r="G1036" s="246">
        <f>IF(ISNUMBER(Datos!AB11),Datos!AB11,"")</f>
        <v>0</v>
      </c>
      <c r="H103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7" spans="1:8" x14ac:dyDescent="0.3">
      <c r="A1037" s="245">
        <f>Datos!$AB$3</f>
        <v>46966</v>
      </c>
      <c r="B1037" s="199" t="str">
        <f>Datos!AB$4</f>
        <v>Compresora</v>
      </c>
      <c r="C1037" s="31" t="s">
        <v>542</v>
      </c>
      <c r="D1037" s="199" t="str">
        <f>Datos!$B$12</f>
        <v>Horas hombre trabajadas: Personal OPS</v>
      </c>
      <c r="E1037" s="199" t="str">
        <f>Datos!$C$12</f>
        <v>h</v>
      </c>
      <c r="F1037" s="31" t="s">
        <v>538</v>
      </c>
      <c r="G1037" s="246" t="str">
        <f>IF(ISNUMBER(Datos!AB12),Datos!AB12,"")</f>
        <v/>
      </c>
      <c r="H103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8" spans="1:8" x14ac:dyDescent="0.3">
      <c r="A1038" s="245">
        <f>Datos!$AB$3</f>
        <v>46966</v>
      </c>
      <c r="B1038" s="199" t="str">
        <f>Datos!AB$4</f>
        <v>Compresora</v>
      </c>
      <c r="C1038" s="31" t="s">
        <v>543</v>
      </c>
      <c r="D1038" s="199" t="str">
        <f>Datos!$B$13</f>
        <v>Horas hombre trabajadas: Personal SMP(IEBC, PAE e YPF) en campo</v>
      </c>
      <c r="E1038" s="199" t="str">
        <f>Datos!$C$13</f>
        <v>h</v>
      </c>
      <c r="F1038" s="31" t="s">
        <v>538</v>
      </c>
      <c r="G1038" s="246" t="str">
        <f>IF(ISNUMBER(Datos!AB13),Datos!AB13,"")</f>
        <v/>
      </c>
      <c r="H103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9" spans="1:8" x14ac:dyDescent="0.3">
      <c r="A1039" s="245">
        <f>Datos!$AB$3</f>
        <v>46966</v>
      </c>
      <c r="B1039" s="199" t="str">
        <f>Datos!AB$4</f>
        <v>Compresora</v>
      </c>
      <c r="C1039" s="31" t="s">
        <v>544</v>
      </c>
      <c r="D1039" s="199" t="str">
        <f>Datos!$B$14</f>
        <v>Horas hombre trabajadas: TOTAL</v>
      </c>
      <c r="E1039" s="199" t="str">
        <f>Datos!$C$14</f>
        <v>h</v>
      </c>
      <c r="F1039" s="31" t="s">
        <v>541</v>
      </c>
      <c r="G1039" s="246">
        <f>IF(ISNUMBER(Datos!AB14),Datos!AB14,"")</f>
        <v>0</v>
      </c>
      <c r="H103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0" spans="1:8" x14ac:dyDescent="0.3">
      <c r="A1040" s="245">
        <f>Datos!$AB$3</f>
        <v>46966</v>
      </c>
      <c r="B1040" s="199" t="str">
        <f>Datos!AB$4</f>
        <v>Compresora</v>
      </c>
      <c r="C1040" s="31" t="s">
        <v>545</v>
      </c>
      <c r="D1040" s="199" t="str">
        <f>Datos!$B$16</f>
        <v>Horas hombre de formación en seguridad: Personal OPS</v>
      </c>
      <c r="E1040" s="199" t="str">
        <f>Datos!$C$16</f>
        <v>h</v>
      </c>
      <c r="F1040" s="31" t="s">
        <v>538</v>
      </c>
      <c r="G1040" s="246" t="str">
        <f>IF(ISNUMBER(Datos!AB16),Datos!AB16,"")</f>
        <v/>
      </c>
      <c r="H104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1" spans="1:8" x14ac:dyDescent="0.3">
      <c r="A1041" s="245">
        <f>Datos!$AB$3</f>
        <v>46966</v>
      </c>
      <c r="B1041" s="199" t="str">
        <f>Datos!AB$4</f>
        <v>Compresora</v>
      </c>
      <c r="C1041" s="31" t="s">
        <v>546</v>
      </c>
      <c r="D1041" s="199" t="str">
        <f>Datos!$B$17</f>
        <v>Horas hombre de formación en seguridad: Personal SMP(IEBC, PAE e YPF) </v>
      </c>
      <c r="E1041" s="199" t="str">
        <f>Datos!$C$17</f>
        <v>h</v>
      </c>
      <c r="F1041" s="31" t="s">
        <v>538</v>
      </c>
      <c r="G1041" s="246" t="str">
        <f>IF(ISNUMBER(Datos!AB17),Datos!AB17,"")</f>
        <v/>
      </c>
      <c r="H104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2" spans="1:8" x14ac:dyDescent="0.3">
      <c r="A1042" s="245">
        <f>Datos!$AB$3</f>
        <v>46966</v>
      </c>
      <c r="B1042" s="199" t="str">
        <f>Datos!AB$4</f>
        <v>Compresora</v>
      </c>
      <c r="C1042" s="31" t="s">
        <v>547</v>
      </c>
      <c r="D1042" s="199" t="str">
        <f>Datos!$B$18</f>
        <v>Horas hombre de formación en seguridad: TOTAL</v>
      </c>
      <c r="E1042" s="199" t="str">
        <f>Datos!$C$18</f>
        <v>h</v>
      </c>
      <c r="F1042" s="31" t="s">
        <v>541</v>
      </c>
      <c r="G1042" s="246">
        <f>IF(ISNUMBER(Datos!AB18),Datos!AB18,"")</f>
        <v>0</v>
      </c>
      <c r="H104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3" spans="1:8" x14ac:dyDescent="0.3">
      <c r="A1043" s="245">
        <f>Datos!$AB$3</f>
        <v>46966</v>
      </c>
      <c r="B1043" s="199" t="str">
        <f>Datos!AB$4</f>
        <v>Compresora</v>
      </c>
      <c r="C1043" s="31" t="s">
        <v>548</v>
      </c>
      <c r="D1043" s="199" t="str">
        <f>Datos!$B$20</f>
        <v>SIMULACROS · Realizados (emergencia y operativos)</v>
      </c>
      <c r="E1043" s="199" t="str">
        <f>Datos!$C$20</f>
        <v>u</v>
      </c>
      <c r="F1043" s="31" t="s">
        <v>538</v>
      </c>
      <c r="G1043" s="246" t="str">
        <f>IF(ISNUMBER(Datos!AB20),Datos!AB20,"")</f>
        <v/>
      </c>
      <c r="H104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4" spans="1:8" x14ac:dyDescent="0.3">
      <c r="A1044" s="245">
        <f>Datos!$AB$3</f>
        <v>46966</v>
      </c>
      <c r="B1044" s="199" t="str">
        <f>Datos!AB$4</f>
        <v>Compresora</v>
      </c>
      <c r="C1044" s="31" t="s">
        <v>549</v>
      </c>
      <c r="D1044" s="199" t="str">
        <f>Datos!$B$21</f>
        <v>SIMULACROS · Programados (emergencia y operativos)</v>
      </c>
      <c r="E1044" s="199" t="str">
        <f>Datos!$C$21</f>
        <v>u</v>
      </c>
      <c r="F1044" s="31" t="s">
        <v>538</v>
      </c>
      <c r="G1044" s="246" t="str">
        <f>IF(ISNUMBER(Datos!AB21),Datos!AB21,"")</f>
        <v/>
      </c>
      <c r="H104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5" spans="1:8" x14ac:dyDescent="0.3">
      <c r="A1045" s="245">
        <f>Datos!$AB$3</f>
        <v>46966</v>
      </c>
      <c r="B1045" s="199" t="str">
        <f>Datos!AB$4</f>
        <v>Compresora</v>
      </c>
      <c r="C1045" s="31" t="s">
        <v>550</v>
      </c>
      <c r="D1045" s="199" t="str">
        <f>Datos!$B$22</f>
        <v>SIMULACROS · Acciones de mejora surgidas de los simulacros (en el mes informado)</v>
      </c>
      <c r="E1045" s="199" t="str">
        <f>Datos!$C$22</f>
        <v>u</v>
      </c>
      <c r="F1045" s="31" t="s">
        <v>538</v>
      </c>
      <c r="G1045" s="246" t="str">
        <f>IF(ISNUMBER(Datos!AB22),Datos!AB22,"")</f>
        <v/>
      </c>
      <c r="H104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6" spans="1:8" x14ac:dyDescent="0.3">
      <c r="A1046" s="245">
        <f>Datos!$AB$3</f>
        <v>46966</v>
      </c>
      <c r="B1046" s="199" t="str">
        <f>Datos!AB$4</f>
        <v>Compresora</v>
      </c>
      <c r="C1046" s="31" t="s">
        <v>551</v>
      </c>
      <c r="D1046" s="199" t="str">
        <f>Datos!$B$23</f>
        <v>SIMULACROS · Acciones de mejora implementadas surgidas de los simulacros (ICME) (en el mes informado)</v>
      </c>
      <c r="E1046" s="199" t="str">
        <f>Datos!$C$23</f>
        <v>u</v>
      </c>
      <c r="F1046" s="31" t="s">
        <v>538</v>
      </c>
      <c r="G1046" s="246" t="str">
        <f>IF(ISNUMBER(Datos!AB23),Datos!AB23,"")</f>
        <v/>
      </c>
      <c r="H104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7" spans="1:8" x14ac:dyDescent="0.3">
      <c r="A1047" s="245">
        <f>Datos!$AB$3</f>
        <v>46966</v>
      </c>
      <c r="B1047" s="199" t="str">
        <f>Datos!AB$4</f>
        <v>Compresora</v>
      </c>
      <c r="C1047" s="31" t="s">
        <v>552</v>
      </c>
      <c r="D1047" s="199" t="str">
        <f>Datos!$B$24</f>
        <v>Caminatas gerenciales realizadas</v>
      </c>
      <c r="E1047" s="199" t="str">
        <f>Datos!$C$24</f>
        <v>u</v>
      </c>
      <c r="F1047" s="31" t="s">
        <v>538</v>
      </c>
      <c r="G1047" s="246" t="str">
        <f>IF(ISNUMBER(Datos!AB24),Datos!AB24,"")</f>
        <v/>
      </c>
      <c r="H104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8" spans="1:8" x14ac:dyDescent="0.3">
      <c r="A1048" s="245">
        <f>Datos!$AB$3</f>
        <v>46966</v>
      </c>
      <c r="B1048" s="199" t="str">
        <f>Datos!AB$4</f>
        <v>Compresora</v>
      </c>
      <c r="C1048" s="31" t="s">
        <v>553</v>
      </c>
      <c r="D1048" s="199" t="str">
        <f>Datos!$B$25</f>
        <v>Caminatas gerenciales planificadas</v>
      </c>
      <c r="E1048" s="199" t="str">
        <f>Datos!$C$25</f>
        <v>u</v>
      </c>
      <c r="F1048" s="31" t="s">
        <v>538</v>
      </c>
      <c r="G1048" s="246" t="str">
        <f>IF(ISNUMBER(Datos!AB25),Datos!AB25,"")</f>
        <v/>
      </c>
      <c r="H104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9" spans="1:8" x14ac:dyDescent="0.3">
      <c r="A1049" s="245">
        <f>Datos!$AB$3</f>
        <v>46966</v>
      </c>
      <c r="B1049" s="199" t="str">
        <f>Datos!AB$4</f>
        <v>Compresora</v>
      </c>
      <c r="C1049" s="31" t="s">
        <v>554</v>
      </c>
      <c r="D1049" s="199" t="str">
        <f>Datos!$B$26</f>
        <v>Comités y subcomités de seguridad realizados</v>
      </c>
      <c r="E1049" s="199" t="str">
        <f>Datos!$C$26</f>
        <v>u</v>
      </c>
      <c r="F1049" s="31" t="s">
        <v>538</v>
      </c>
      <c r="G1049" s="246" t="str">
        <f>IF(ISNUMBER(Datos!AB26),Datos!AB26,"")</f>
        <v/>
      </c>
      <c r="H104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0" spans="1:8" x14ac:dyDescent="0.3">
      <c r="A1050" s="245">
        <f>Datos!$AB$3</f>
        <v>46966</v>
      </c>
      <c r="B1050" s="199" t="str">
        <f>Datos!AB$4</f>
        <v>Compresora</v>
      </c>
      <c r="C1050" s="31" t="s">
        <v>555</v>
      </c>
      <c r="D1050" s="199" t="str">
        <f>Datos!$B$27</f>
        <v>Comités y subcomités de seguridad planificados</v>
      </c>
      <c r="E1050" s="199" t="str">
        <f>Datos!$C$27</f>
        <v>u</v>
      </c>
      <c r="F1050" s="31" t="s">
        <v>538</v>
      </c>
      <c r="G1050" s="246" t="str">
        <f>IF(ISNUMBER(Datos!AB27),Datos!AB27,"")</f>
        <v/>
      </c>
      <c r="H105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1" spans="1:8" x14ac:dyDescent="0.3">
      <c r="A1051" s="245">
        <f>Datos!$AB$3</f>
        <v>46966</v>
      </c>
      <c r="B1051" s="199" t="str">
        <f>Datos!AB$4</f>
        <v>Compresora</v>
      </c>
      <c r="C1051" s="31" t="s">
        <v>556</v>
      </c>
      <c r="D1051" s="31" t="inlineStr">
        <is>
          <t>Observaciones de comportamiento seguro: total del mes (OPS + SMP)</t>
        </is>
      </c>
      <c r="E1051" s="199" t="str">
        <f>Datos!$C$28</f>
        <v>u</v>
      </c>
      <c r="F1051" s="31" t="s">
        <v>538</v>
      </c>
      <c r="G1051" s="246" t="str">
        <f>IF(COUNT(Datos!AB28:AB29)=0,"",SUM(Datos!AB28:AB29))</f>
        <v/>
      </c>
      <c r="H105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2" spans="1:8" x14ac:dyDescent="0.3">
      <c r="A1052" s="245">
        <f>Datos!$AB$3</f>
        <v>46966</v>
      </c>
      <c r="B1052" s="199" t="str">
        <f>Datos!AB$4</f>
        <v>Compresora</v>
      </c>
      <c r="C1052" s="31" t="s">
        <v>557</v>
      </c>
      <c r="D1052" s="199" t="str">
        <f>Datos!$B$30</f>
        <v>Investigaciones de accidentes cerradas en el mes</v>
      </c>
      <c r="E1052" s="199" t="str">
        <f>Datos!$C$30</f>
        <v>u</v>
      </c>
      <c r="F1052" s="31" t="s">
        <v>538</v>
      </c>
      <c r="G1052" s="246" t="str">
        <f>IF(ISNUMBER(Datos!AB30),Datos!AB30,"")</f>
        <v/>
      </c>
      <c r="H105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3" spans="1:8" x14ac:dyDescent="0.3">
      <c r="A1053" s="245">
        <f>Datos!$AB$3</f>
        <v>46966</v>
      </c>
      <c r="B1053" s="199" t="str">
        <f>Datos!AB$4</f>
        <v>Compresora</v>
      </c>
      <c r="C1053" s="31" t="s">
        <v>558</v>
      </c>
      <c r="D1053" s="199" t="str">
        <f>Datos!$B$31</f>
        <v>Días que llevaron esas investigaciones (suma)</v>
      </c>
      <c r="E1053" s="199" t="str">
        <f>Datos!$C$31</f>
        <v>días</v>
      </c>
      <c r="F1053" s="31" t="s">
        <v>538</v>
      </c>
      <c r="G1053" s="246" t="str">
        <f>IF(ISNUMBER(Datos!AB31),Datos!AB31,"")</f>
        <v/>
      </c>
      <c r="H105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4" spans="1:8" x14ac:dyDescent="0.3">
      <c r="A1054" s="245">
        <f>Datos!$AB$3</f>
        <v>46966</v>
      </c>
      <c r="B1054" s="199" t="str">
        <f>Datos!AB$4</f>
        <v>Compresora</v>
      </c>
      <c r="C1054" s="31" t="s">
        <v>559</v>
      </c>
      <c r="D1054" s="199" t="str">
        <f>Datos!$B$33</f>
        <v>Casos con días perdidos</v>
      </c>
      <c r="E1054" s="199" t="str">
        <f>Datos!$C$33</f>
        <v>u</v>
      </c>
      <c r="F1054" s="31" t="s">
        <v>538</v>
      </c>
      <c r="G1054" s="246" t="str">
        <f>IF(ISNUMBER(Datos!AB33),Datos!AB33,"")</f>
        <v/>
      </c>
      <c r="H105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5" spans="1:8" x14ac:dyDescent="0.3">
      <c r="A1055" s="245">
        <f>Datos!$AB$3</f>
        <v>46966</v>
      </c>
      <c r="B1055" s="199" t="str">
        <f>Datos!AB$4</f>
        <v>Compresora</v>
      </c>
      <c r="C1055" s="31" t="s">
        <v>560</v>
      </c>
      <c r="D1055" s="199" t="str">
        <f>Datos!$B$34</f>
        <v>Casos con trabajo restringido</v>
      </c>
      <c r="E1055" s="199" t="str">
        <f>Datos!$C$34</f>
        <v>u</v>
      </c>
      <c r="F1055" s="31" t="s">
        <v>538</v>
      </c>
      <c r="G1055" s="246" t="str">
        <f>IF(ISNUMBER(Datos!AB34),Datos!AB34,"")</f>
        <v/>
      </c>
      <c r="H105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6" spans="1:8" x14ac:dyDescent="0.3">
      <c r="A1056" s="245">
        <f>Datos!$AB$3</f>
        <v>46966</v>
      </c>
      <c r="B1056" s="199" t="str">
        <f>Datos!AB$4</f>
        <v>Compresora</v>
      </c>
      <c r="C1056" s="31" t="s">
        <v>561</v>
      </c>
      <c r="D1056" s="199" t="str">
        <f>Datos!$B$35</f>
        <v>Casos con tratamiento médico</v>
      </c>
      <c r="E1056" s="199" t="str">
        <f>Datos!$C$35</f>
        <v>u</v>
      </c>
      <c r="F1056" s="31" t="s">
        <v>538</v>
      </c>
      <c r="G1056" s="246" t="str">
        <f>IF(ISNUMBER(Datos!AB35),Datos!AB35,"")</f>
        <v/>
      </c>
      <c r="H105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7" spans="1:8" x14ac:dyDescent="0.3">
      <c r="A1057" s="245">
        <f>Datos!$AB$3</f>
        <v>46966</v>
      </c>
      <c r="B1057" s="199" t="str">
        <f>Datos!AB$4</f>
        <v>Compresora</v>
      </c>
      <c r="C1057" s="31" t="s">
        <v>562</v>
      </c>
      <c r="D1057" s="199" t="str">
        <f>Datos!$B$36</f>
        <v>Fatalidades</v>
      </c>
      <c r="E1057" s="199" t="str">
        <f>Datos!$C$36</f>
        <v>u</v>
      </c>
      <c r="F1057" s="31" t="s">
        <v>538</v>
      </c>
      <c r="G1057" s="246" t="str">
        <f>IF(ISNUMBER(Datos!AB36),Datos!AB36,"")</f>
        <v/>
      </c>
      <c r="H105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8" spans="1:8" x14ac:dyDescent="0.3">
      <c r="A1058" s="245">
        <f>Datos!$AB$3</f>
        <v>46966</v>
      </c>
      <c r="B1058" s="199" t="str">
        <f>Datos!AB$4</f>
        <v>Compresora</v>
      </c>
      <c r="C1058" s="31" t="s">
        <v>51</v>
      </c>
      <c r="D1058" s="199" t="str">
        <f>Datos!$B$37</f>
        <v>Casos de primeros auxilios</v>
      </c>
      <c r="E1058" s="199" t="str">
        <f>Datos!$C$37</f>
        <v>u</v>
      </c>
      <c r="F1058" s="31" t="s">
        <v>538</v>
      </c>
      <c r="G1058" s="246" t="str">
        <f>IF(ISNUMBER(Datos!AB37),Datos!AB37,"")</f>
        <v/>
      </c>
      <c r="H105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9" spans="1:8" x14ac:dyDescent="0.3">
      <c r="A1059" s="245">
        <f>Datos!$AB$3</f>
        <v>46966</v>
      </c>
      <c r="B1059" s="199" t="str">
        <f>Datos!AB$4</f>
        <v>Compresora</v>
      </c>
      <c r="C1059" s="31" t="s">
        <v>563</v>
      </c>
      <c r="D1059" s="199" t="str">
        <f>Datos!$B$39</f>
        <v>CVM catastróficas</v>
      </c>
      <c r="E1059" s="199" t="str">
        <f>Datos!$C$39</f>
        <v>u</v>
      </c>
      <c r="F1059" s="31" t="s">
        <v>538</v>
      </c>
      <c r="G1059" s="246" t="str">
        <f>IF(ISNUMBER(Datos!AB39),Datos!AB39,"")</f>
        <v/>
      </c>
      <c r="H105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0" spans="1:8" x14ac:dyDescent="0.3">
      <c r="A1060" s="245">
        <f>Datos!$AB$3</f>
        <v>46966</v>
      </c>
      <c r="B1060" s="199" t="str">
        <f>Datos!AB$4</f>
        <v>Compresora</v>
      </c>
      <c r="C1060" s="31" t="s">
        <v>564</v>
      </c>
      <c r="D1060" s="199" t="str">
        <f>Datos!$B$40</f>
        <v>CVM mayores</v>
      </c>
      <c r="E1060" s="199" t="str">
        <f>Datos!$C$40</f>
        <v>u</v>
      </c>
      <c r="F1060" s="31" t="s">
        <v>538</v>
      </c>
      <c r="G1060" s="246" t="str">
        <f>IF(ISNUMBER(Datos!AB40),Datos!AB40,"")</f>
        <v/>
      </c>
      <c r="H106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1" spans="1:8" x14ac:dyDescent="0.3">
      <c r="A1061" s="245">
        <f>Datos!$AB$3</f>
        <v>46966</v>
      </c>
      <c r="B1061" s="199" t="str">
        <f>Datos!AB$4</f>
        <v>Compresora</v>
      </c>
      <c r="C1061" s="31" t="s">
        <v>565</v>
      </c>
      <c r="D1061" s="199" t="str">
        <f>Datos!$B$41</f>
        <v>CVM serias</v>
      </c>
      <c r="E1061" s="199" t="str">
        <f>Datos!$C$41</f>
        <v>u</v>
      </c>
      <c r="F1061" s="31" t="s">
        <v>538</v>
      </c>
      <c r="G1061" s="246" t="str">
        <f>IF(ISNUMBER(Datos!AB41),Datos!AB41,"")</f>
        <v/>
      </c>
      <c r="H106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2" spans="1:8" x14ac:dyDescent="0.3">
      <c r="A1062" s="245">
        <f>Datos!$AB$3</f>
        <v>46966</v>
      </c>
      <c r="B1062" s="199" t="str">
        <f>Datos!AB$4</f>
        <v>Compresora</v>
      </c>
      <c r="C1062" s="31" t="s">
        <v>566</v>
      </c>
      <c r="D1062" s="199" t="str">
        <f>Datos!$B$42</f>
        <v>CVM otras / menores</v>
      </c>
      <c r="E1062" s="199" t="str">
        <f>Datos!$C$42</f>
        <v>u</v>
      </c>
      <c r="F1062" s="31" t="s">
        <v>538</v>
      </c>
      <c r="G1062" s="246" t="str">
        <f>IF(ISNUMBER(Datos!AB42),Datos!AB42,"")</f>
        <v/>
      </c>
      <c r="H106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3" spans="1:8" x14ac:dyDescent="0.3">
      <c r="A1063" s="245">
        <f>Datos!$AB$3</f>
        <v>46966</v>
      </c>
      <c r="B1063" s="199" t="str">
        <f>Datos!AB$4</f>
        <v>Compresora</v>
      </c>
      <c r="C1063" s="31" t="s">
        <v>567</v>
      </c>
      <c r="D1063" s="199" t="str">
        <f>Datos!$B$44</f>
        <v>Km recorridos: vehículos livianos (camionetas)</v>
      </c>
      <c r="E1063" s="199" t="str">
        <f>Datos!$C$44</f>
        <v>km</v>
      </c>
      <c r="F1063" s="31" t="s">
        <v>538</v>
      </c>
      <c r="G1063" s="246" t="str">
        <f>IF(ISNUMBER(Datos!AB44),Datos!AB44,"")</f>
        <v/>
      </c>
      <c r="H106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4" spans="1:8" x14ac:dyDescent="0.3">
      <c r="A1064" s="245">
        <f>Datos!$AB$3</f>
        <v>46966</v>
      </c>
      <c r="B1064" s="199" t="str">
        <f>Datos!AB$4</f>
        <v>Compresora</v>
      </c>
      <c r="C1064" s="31" t="s">
        <v>568</v>
      </c>
      <c r="D1064" s="199" t="str">
        <f>Datos!$B$45</f>
        <v>Km recorridos: vehículos pesados (camiones)</v>
      </c>
      <c r="E1064" s="199" t="str">
        <f>Datos!$C$45</f>
        <v>km</v>
      </c>
      <c r="F1064" s="31" t="s">
        <v>538</v>
      </c>
      <c r="G1064" s="246" t="str">
        <f>IF(ISNUMBER(Datos!AB45),Datos!AB45,"")</f>
        <v/>
      </c>
      <c r="H106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5" spans="1:8" x14ac:dyDescent="0.3">
      <c r="A1065" s="245">
        <f>Datos!$AB$3</f>
        <v>46966</v>
      </c>
      <c r="B1065" s="199" t="str">
        <f>Datos!AB$4</f>
        <v>Compresora</v>
      </c>
      <c r="C1065" s="31" t="s">
        <v>569</v>
      </c>
      <c r="D1065" s="199" t="str">
        <f>Datos!$B$46</f>
        <v>Km recorridos: vehículos de transporte de personal (combis)</v>
      </c>
      <c r="E1065" s="199" t="str">
        <f>Datos!$C$46</f>
        <v>km</v>
      </c>
      <c r="F1065" s="31" t="s">
        <v>538</v>
      </c>
      <c r="G1065" s="246" t="str">
        <f>IF(ISNUMBER(Datos!AB46),Datos!AB46,"")</f>
        <v/>
      </c>
      <c r="H106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6" spans="1:8" x14ac:dyDescent="0.3">
      <c r="A1066" s="245">
        <f>Datos!$AB$3</f>
        <v>46966</v>
      </c>
      <c r="B1066" s="199" t="str">
        <f>Datos!AB$4</f>
        <v>Compresora</v>
      </c>
      <c r="C1066" s="31" t="s">
        <v>570</v>
      </c>
      <c r="D1066" s="199" t="str">
        <f>Datos!$B$47</f>
        <v>Km recorridos: TOTAL</v>
      </c>
      <c r="E1066" s="199" t="str">
        <f>Datos!$C$47</f>
        <v>km</v>
      </c>
      <c r="F1066" s="31" t="s">
        <v>541</v>
      </c>
      <c r="G1066" s="246">
        <f>IF(ISNUMBER(Datos!AB47),Datos!AB47,"")</f>
        <v>0</v>
      </c>
      <c r="H106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7" spans="1:8" x14ac:dyDescent="0.3">
      <c r="A1067" s="245">
        <f>Datos!$AB$3</f>
        <v>46966</v>
      </c>
      <c r="B1067" s="199" t="str">
        <f>Datos!AB$4</f>
        <v>Compresora</v>
      </c>
      <c r="C1067" s="31" t="s">
        <v>571</v>
      </c>
      <c r="D1067" s="199" t="str">
        <f>Datos!$B$67</f>
        <v>Hallazgos (desvíos) cerrados en el mes</v>
      </c>
      <c r="E1067" s="199" t="str">
        <f>Datos!$C$67</f>
        <v>u</v>
      </c>
      <c r="F1067" s="31" t="s">
        <v>572</v>
      </c>
      <c r="G1067" s="246" t="str">
        <f>IF(ISNUMBER(Datos!AB67),Datos!AB67,"")</f>
        <v/>
      </c>
      <c r="H106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8" spans="1:8" x14ac:dyDescent="0.3">
      <c r="A1068" s="245">
        <f>Datos!$AB$3</f>
        <v>46966</v>
      </c>
      <c r="B1068" s="199" t="str">
        <f>Datos!AB$4</f>
        <v>Compresora</v>
      </c>
      <c r="C1068" s="31" t="s">
        <v>573</v>
      </c>
      <c r="D1068" s="199" t="str">
        <f>Datos!$B$68</f>
        <v>Días que llevaron esos hallazgos (suma)</v>
      </c>
      <c r="E1068" s="199" t="str">
        <f>Datos!$C$68</f>
        <v>días</v>
      </c>
      <c r="F1068" s="31" t="s">
        <v>572</v>
      </c>
      <c r="G1068" s="246" t="str">
        <f>IF(ISNUMBER(Datos!AB68),Datos!AB68,"")</f>
        <v/>
      </c>
      <c r="H106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9" spans="1:8" x14ac:dyDescent="0.3">
      <c r="A1069" s="245">
        <f>Datos!$AB$3</f>
        <v>46966</v>
      </c>
      <c r="B1069" s="199" t="str">
        <f>Datos!AB$4</f>
        <v>Compresora</v>
      </c>
      <c r="C1069" s="31" t="s">
        <v>574</v>
      </c>
      <c r="D1069" s="199" t="str">
        <f>Datos!$B$69</f>
        <v>Hallazgos (desvíos) abiertos a fin de mes</v>
      </c>
      <c r="E1069" s="199" t="str">
        <f>Datos!$C$69</f>
        <v>u</v>
      </c>
      <c r="F1069" s="31" t="s">
        <v>572</v>
      </c>
      <c r="G1069" s="246" t="str">
        <f>IF(ISNUMBER(Datos!AB69),Datos!AB69,"")</f>
        <v/>
      </c>
      <c r="H106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0" spans="1:8" x14ac:dyDescent="0.3">
      <c r="A1070" s="245">
        <f>Datos!$AB$3</f>
        <v>46966</v>
      </c>
      <c r="B1070" s="199" t="str">
        <f>Datos!AB$4</f>
        <v>Compresora</v>
      </c>
      <c r="C1070" s="31" t="s">
        <v>575</v>
      </c>
      <c r="D1070" s="199" t="str">
        <f>Datos!$B$70</f>
        <v>Hallazgos (desvíos) detectados en el mes</v>
      </c>
      <c r="E1070" s="199" t="str">
        <f>Datos!$C$70</f>
        <v>u</v>
      </c>
      <c r="F1070" s="31" t="s">
        <v>572</v>
      </c>
      <c r="G1070" s="246" t="str">
        <f>IF(ISNUMBER(Datos!AB70),Datos!AB70,"")</f>
        <v/>
      </c>
      <c r="H107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1" spans="1:8" x14ac:dyDescent="0.3">
      <c r="A1071" s="245">
        <f>Datos!$AB$3</f>
        <v>46966</v>
      </c>
      <c r="B1071" s="199" t="str">
        <f>Datos!AB$4</f>
        <v>Compresora</v>
      </c>
      <c r="C1071" s="31" t="s">
        <v>576</v>
      </c>
      <c r="D1071" s="199" t="str">
        <f>Datos!$B$71</f>
        <v>Desvíos detectados en el mes · gravedad Alta</v>
      </c>
      <c r="E1071" s="199" t="str">
        <f>Datos!$C$71</f>
        <v>u</v>
      </c>
      <c r="F1071" s="31" t="s">
        <v>572</v>
      </c>
      <c r="G1071" s="246" t="str">
        <f>IF(ISNUMBER(Datos!AB71),Datos!AB71,"")</f>
        <v/>
      </c>
      <c r="H107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2" spans="1:8" x14ac:dyDescent="0.3">
      <c r="A1072" s="245">
        <f>Datos!$AB$3</f>
        <v>46966</v>
      </c>
      <c r="B1072" s="199" t="str">
        <f>Datos!AB$4</f>
        <v>Compresora</v>
      </c>
      <c r="C1072" s="31" t="s">
        <v>577</v>
      </c>
      <c r="D1072" s="199" t="str">
        <f>Datos!$B$72</f>
        <v>Desvíos detectados en el mes · gravedad Media</v>
      </c>
      <c r="E1072" s="199" t="str">
        <f>Datos!$C$72</f>
        <v>u</v>
      </c>
      <c r="F1072" s="31" t="s">
        <v>572</v>
      </c>
      <c r="G1072" s="246" t="str">
        <f>IF(ISNUMBER(Datos!AB72),Datos!AB72,"")</f>
        <v/>
      </c>
      <c r="H107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3" spans="1:8" x14ac:dyDescent="0.3">
      <c r="A1073" s="245">
        <f>Datos!$AB$3</f>
        <v>46966</v>
      </c>
      <c r="B1073" s="199" t="str">
        <f>Datos!AB$4</f>
        <v>Compresora</v>
      </c>
      <c r="C1073" s="31" t="s">
        <v>578</v>
      </c>
      <c r="D1073" s="199" t="str">
        <f>Datos!$B$73</f>
        <v>Desvíos detectados en el mes · gravedad Baja</v>
      </c>
      <c r="E1073" s="199" t="str">
        <f>Datos!$C$73</f>
        <v>u</v>
      </c>
      <c r="F1073" s="31" t="s">
        <v>572</v>
      </c>
      <c r="G1073" s="246" t="str">
        <f>IF(ISNUMBER(Datos!AB73),Datos!AB73,"")</f>
        <v/>
      </c>
      <c r="H107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4" spans="1:8" x14ac:dyDescent="0.3">
      <c r="A1074" s="245">
        <f>Datos!$AB$3</f>
        <v>46966</v>
      </c>
      <c r="B1074" s="199" t="str">
        <f>Datos!AB$4</f>
        <v>Compresora</v>
      </c>
      <c r="C1074" s="31" t="s">
        <v>579</v>
      </c>
      <c r="D1074" s="199" t="str">
        <f>Datos!$B$74</f>
        <v>Desvíos detectados en el mes · sin gravedad cargada</v>
      </c>
      <c r="E1074" s="199" t="str">
        <f>Datos!$C$74</f>
        <v>u</v>
      </c>
      <c r="F1074" s="31" t="s">
        <v>572</v>
      </c>
      <c r="G1074" s="246">
        <f>IF(ISNUMBER(Datos!AB74),Datos!AB74,"")</f>
        <v>0</v>
      </c>
      <c r="H107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5" spans="1:8" x14ac:dyDescent="0.3">
      <c r="A1075" s="245">
        <f>Datos!$AB$3</f>
        <v>46966</v>
      </c>
      <c r="B1075" s="199" t="str">
        <f>Datos!AB$4</f>
        <v>Compresora</v>
      </c>
      <c r="C1075" s="31" t="s">
        <v>580</v>
      </c>
      <c r="D1075" s="199" t="str">
        <f>Datos!$B$75</f>
        <v>Detenciones de tareas aplicadas en el mes (Política = Sí)</v>
      </c>
      <c r="E1075" s="199" t="str">
        <f>Datos!$C$75</f>
        <v>u</v>
      </c>
      <c r="F1075" s="31" t="s">
        <v>572</v>
      </c>
      <c r="G1075" s="246" t="str">
        <f>IF(ISNUMBER(Datos!AB75),Datos!AB75,"")</f>
        <v/>
      </c>
      <c r="H107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6" spans="1:8" x14ac:dyDescent="0.3">
      <c r="A1076" s="245">
        <f>Datos!$AB$3</f>
        <v>46966</v>
      </c>
      <c r="B1076" s="199" t="str">
        <f>Datos!AB$4</f>
        <v>Compresora</v>
      </c>
      <c r="C1076" s="31" t="s">
        <v>581</v>
      </c>
      <c r="D1076" s="199" t="str">
        <f>Datos!$B$76</f>
        <v>Desvíos de gravedad Alta abiertos a fin de mes</v>
      </c>
      <c r="E1076" s="199" t="str">
        <f>Datos!$C$76</f>
        <v>u</v>
      </c>
      <c r="F1076" s="31" t="s">
        <v>572</v>
      </c>
      <c r="G1076" s="246" t="str">
        <f>IF(ISNUMBER(Datos!AB76),Datos!AB76,"")</f>
        <v/>
      </c>
      <c r="H107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7" spans="1:8" x14ac:dyDescent="0.3">
      <c r="A1077" s="245">
        <f>Datos!$AC$3</f>
        <v>46997</v>
      </c>
      <c r="B1077" s="199" t="str">
        <f>Datos!AC$4</f>
        <v>Compresora</v>
      </c>
      <c r="C1077" s="31" t="s">
        <v>537</v>
      </c>
      <c r="D1077" s="199" t="str">
        <f>Datos!$B$9</f>
        <v>Dotación promedio: Personal OPS</v>
      </c>
      <c r="E1077" s="199" t="str">
        <f>Datos!$C$9</f>
        <v>pers</v>
      </c>
      <c r="F1077" s="31" t="s">
        <v>538</v>
      </c>
      <c r="G1077" s="246" t="str">
        <f>IF(ISNUMBER(Datos!AC9),Datos!AC9,"")</f>
        <v/>
      </c>
      <c r="H107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8" spans="1:8" x14ac:dyDescent="0.3">
      <c r="A1078" s="245">
        <f>Datos!$AC$3</f>
        <v>46997</v>
      </c>
      <c r="B1078" s="199" t="str">
        <f>Datos!AC$4</f>
        <v>Compresora</v>
      </c>
      <c r="C1078" s="31" t="s">
        <v>539</v>
      </c>
      <c r="D1078" s="199" t="str">
        <f>Datos!$B$10</f>
        <v>Dotación promedio: Personal SMP(IEBC, PAE e YPF) </v>
      </c>
      <c r="E1078" s="199" t="str">
        <f>Datos!$C$10</f>
        <v>pers</v>
      </c>
      <c r="F1078" s="31" t="s">
        <v>538</v>
      </c>
      <c r="G1078" s="246" t="str">
        <f>IF(ISNUMBER(Datos!AC10),Datos!AC10,"")</f>
        <v/>
      </c>
      <c r="H107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9" spans="1:8" x14ac:dyDescent="0.3">
      <c r="A1079" s="245">
        <f>Datos!$AC$3</f>
        <v>46997</v>
      </c>
      <c r="B1079" s="199" t="str">
        <f>Datos!AC$4</f>
        <v>Compresora</v>
      </c>
      <c r="C1079" s="31" t="s">
        <v>540</v>
      </c>
      <c r="D1079" s="199" t="str">
        <f>Datos!$B$11</f>
        <v>Dotación promedio: TOTAL</v>
      </c>
      <c r="E1079" s="199" t="str">
        <f>Datos!$C$11</f>
        <v>pers</v>
      </c>
      <c r="F1079" s="31" t="s">
        <v>541</v>
      </c>
      <c r="G1079" s="246">
        <f>IF(ISNUMBER(Datos!AC11),Datos!AC11,"")</f>
        <v>0</v>
      </c>
      <c r="H107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0" spans="1:8" x14ac:dyDescent="0.3">
      <c r="A1080" s="245">
        <f>Datos!$AC$3</f>
        <v>46997</v>
      </c>
      <c r="B1080" s="199" t="str">
        <f>Datos!AC$4</f>
        <v>Compresora</v>
      </c>
      <c r="C1080" s="31" t="s">
        <v>542</v>
      </c>
      <c r="D1080" s="199" t="str">
        <f>Datos!$B$12</f>
        <v>Horas hombre trabajadas: Personal OPS</v>
      </c>
      <c r="E1080" s="199" t="str">
        <f>Datos!$C$12</f>
        <v>h</v>
      </c>
      <c r="F1080" s="31" t="s">
        <v>538</v>
      </c>
      <c r="G1080" s="246" t="str">
        <f>IF(ISNUMBER(Datos!AC12),Datos!AC12,"")</f>
        <v/>
      </c>
      <c r="H108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1" spans="1:8" x14ac:dyDescent="0.3">
      <c r="A1081" s="245">
        <f>Datos!$AC$3</f>
        <v>46997</v>
      </c>
      <c r="B1081" s="199" t="str">
        <f>Datos!AC$4</f>
        <v>Compresora</v>
      </c>
      <c r="C1081" s="31" t="s">
        <v>543</v>
      </c>
      <c r="D1081" s="199" t="str">
        <f>Datos!$B$13</f>
        <v>Horas hombre trabajadas: Personal SMP(IEBC, PAE e YPF) en campo</v>
      </c>
      <c r="E1081" s="199" t="str">
        <f>Datos!$C$13</f>
        <v>h</v>
      </c>
      <c r="F1081" s="31" t="s">
        <v>538</v>
      </c>
      <c r="G1081" s="246" t="str">
        <f>IF(ISNUMBER(Datos!AC13),Datos!AC13,"")</f>
        <v/>
      </c>
      <c r="H108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2" spans="1:8" x14ac:dyDescent="0.3">
      <c r="A1082" s="245">
        <f>Datos!$AC$3</f>
        <v>46997</v>
      </c>
      <c r="B1082" s="199" t="str">
        <f>Datos!AC$4</f>
        <v>Compresora</v>
      </c>
      <c r="C1082" s="31" t="s">
        <v>544</v>
      </c>
      <c r="D1082" s="199" t="str">
        <f>Datos!$B$14</f>
        <v>Horas hombre trabajadas: TOTAL</v>
      </c>
      <c r="E1082" s="199" t="str">
        <f>Datos!$C$14</f>
        <v>h</v>
      </c>
      <c r="F1082" s="31" t="s">
        <v>541</v>
      </c>
      <c r="G1082" s="246">
        <f>IF(ISNUMBER(Datos!AC14),Datos!AC14,"")</f>
        <v>0</v>
      </c>
      <c r="H108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3" spans="1:8" x14ac:dyDescent="0.3">
      <c r="A1083" s="245">
        <f>Datos!$AC$3</f>
        <v>46997</v>
      </c>
      <c r="B1083" s="199" t="str">
        <f>Datos!AC$4</f>
        <v>Compresora</v>
      </c>
      <c r="C1083" s="31" t="s">
        <v>545</v>
      </c>
      <c r="D1083" s="199" t="str">
        <f>Datos!$B$16</f>
        <v>Horas hombre de formación en seguridad: Personal OPS</v>
      </c>
      <c r="E1083" s="199" t="str">
        <f>Datos!$C$16</f>
        <v>h</v>
      </c>
      <c r="F1083" s="31" t="s">
        <v>538</v>
      </c>
      <c r="G1083" s="246" t="str">
        <f>IF(ISNUMBER(Datos!AC16),Datos!AC16,"")</f>
        <v/>
      </c>
      <c r="H108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4" spans="1:8" x14ac:dyDescent="0.3">
      <c r="A1084" s="245">
        <f>Datos!$AC$3</f>
        <v>46997</v>
      </c>
      <c r="B1084" s="199" t="str">
        <f>Datos!AC$4</f>
        <v>Compresora</v>
      </c>
      <c r="C1084" s="31" t="s">
        <v>546</v>
      </c>
      <c r="D1084" s="199" t="str">
        <f>Datos!$B$17</f>
        <v>Horas hombre de formación en seguridad: Personal SMP(IEBC, PAE e YPF) </v>
      </c>
      <c r="E1084" s="199" t="str">
        <f>Datos!$C$17</f>
        <v>h</v>
      </c>
      <c r="F1084" s="31" t="s">
        <v>538</v>
      </c>
      <c r="G1084" s="246" t="str">
        <f>IF(ISNUMBER(Datos!AC17),Datos!AC17,"")</f>
        <v/>
      </c>
      <c r="H108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5" spans="1:8" x14ac:dyDescent="0.3">
      <c r="A1085" s="245">
        <f>Datos!$AC$3</f>
        <v>46997</v>
      </c>
      <c r="B1085" s="199" t="str">
        <f>Datos!AC$4</f>
        <v>Compresora</v>
      </c>
      <c r="C1085" s="31" t="s">
        <v>547</v>
      </c>
      <c r="D1085" s="199" t="str">
        <f>Datos!$B$18</f>
        <v>Horas hombre de formación en seguridad: TOTAL</v>
      </c>
      <c r="E1085" s="199" t="str">
        <f>Datos!$C$18</f>
        <v>h</v>
      </c>
      <c r="F1085" s="31" t="s">
        <v>541</v>
      </c>
      <c r="G1085" s="246">
        <f>IF(ISNUMBER(Datos!AC18),Datos!AC18,"")</f>
        <v>0</v>
      </c>
      <c r="H108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6" spans="1:8" x14ac:dyDescent="0.3">
      <c r="A1086" s="245">
        <f>Datos!$AC$3</f>
        <v>46997</v>
      </c>
      <c r="B1086" s="199" t="str">
        <f>Datos!AC$4</f>
        <v>Compresora</v>
      </c>
      <c r="C1086" s="31" t="s">
        <v>548</v>
      </c>
      <c r="D1086" s="199" t="str">
        <f>Datos!$B$20</f>
        <v>SIMULACROS · Realizados (emergencia y operativos)</v>
      </c>
      <c r="E1086" s="199" t="str">
        <f>Datos!$C$20</f>
        <v>u</v>
      </c>
      <c r="F1086" s="31" t="s">
        <v>538</v>
      </c>
      <c r="G1086" s="246" t="str">
        <f>IF(ISNUMBER(Datos!AC20),Datos!AC20,"")</f>
        <v/>
      </c>
      <c r="H108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7" spans="1:8" x14ac:dyDescent="0.3">
      <c r="A1087" s="245">
        <f>Datos!$AC$3</f>
        <v>46997</v>
      </c>
      <c r="B1087" s="199" t="str">
        <f>Datos!AC$4</f>
        <v>Compresora</v>
      </c>
      <c r="C1087" s="31" t="s">
        <v>549</v>
      </c>
      <c r="D1087" s="199" t="str">
        <f>Datos!$B$21</f>
        <v>SIMULACROS · Programados (emergencia y operativos)</v>
      </c>
      <c r="E1087" s="199" t="str">
        <f>Datos!$C$21</f>
        <v>u</v>
      </c>
      <c r="F1087" s="31" t="s">
        <v>538</v>
      </c>
      <c r="G1087" s="246" t="str">
        <f>IF(ISNUMBER(Datos!AC21),Datos!AC21,"")</f>
        <v/>
      </c>
      <c r="H108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8" spans="1:8" x14ac:dyDescent="0.3">
      <c r="A1088" s="245">
        <f>Datos!$AC$3</f>
        <v>46997</v>
      </c>
      <c r="B1088" s="199" t="str">
        <f>Datos!AC$4</f>
        <v>Compresora</v>
      </c>
      <c r="C1088" s="31" t="s">
        <v>550</v>
      </c>
      <c r="D1088" s="199" t="str">
        <f>Datos!$B$22</f>
        <v>SIMULACROS · Acciones de mejora surgidas de los simulacros (en el mes informado)</v>
      </c>
      <c r="E1088" s="199" t="str">
        <f>Datos!$C$22</f>
        <v>u</v>
      </c>
      <c r="F1088" s="31" t="s">
        <v>538</v>
      </c>
      <c r="G1088" s="246" t="str">
        <f>IF(ISNUMBER(Datos!AC22),Datos!AC22,"")</f>
        <v/>
      </c>
      <c r="H108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9" spans="1:8" x14ac:dyDescent="0.3">
      <c r="A1089" s="245">
        <f>Datos!$AC$3</f>
        <v>46997</v>
      </c>
      <c r="B1089" s="199" t="str">
        <f>Datos!AC$4</f>
        <v>Compresora</v>
      </c>
      <c r="C1089" s="31" t="s">
        <v>551</v>
      </c>
      <c r="D1089" s="199" t="str">
        <f>Datos!$B$23</f>
        <v>SIMULACROS · Acciones de mejora implementadas surgidas de los simulacros (ICME) (en el mes informado)</v>
      </c>
      <c r="E1089" s="199" t="str">
        <f>Datos!$C$23</f>
        <v>u</v>
      </c>
      <c r="F1089" s="31" t="s">
        <v>538</v>
      </c>
      <c r="G1089" s="246" t="str">
        <f>IF(ISNUMBER(Datos!AC23),Datos!AC23,"")</f>
        <v/>
      </c>
      <c r="H108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0" spans="1:8" x14ac:dyDescent="0.3">
      <c r="A1090" s="245">
        <f>Datos!$AC$3</f>
        <v>46997</v>
      </c>
      <c r="B1090" s="199" t="str">
        <f>Datos!AC$4</f>
        <v>Compresora</v>
      </c>
      <c r="C1090" s="31" t="s">
        <v>552</v>
      </c>
      <c r="D1090" s="199" t="str">
        <f>Datos!$B$24</f>
        <v>Caminatas gerenciales realizadas</v>
      </c>
      <c r="E1090" s="199" t="str">
        <f>Datos!$C$24</f>
        <v>u</v>
      </c>
      <c r="F1090" s="31" t="s">
        <v>538</v>
      </c>
      <c r="G1090" s="246" t="str">
        <f>IF(ISNUMBER(Datos!AC24),Datos!AC24,"")</f>
        <v/>
      </c>
      <c r="H109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1" spans="1:8" x14ac:dyDescent="0.3">
      <c r="A1091" s="245">
        <f>Datos!$AC$3</f>
        <v>46997</v>
      </c>
      <c r="B1091" s="199" t="str">
        <f>Datos!AC$4</f>
        <v>Compresora</v>
      </c>
      <c r="C1091" s="31" t="s">
        <v>553</v>
      </c>
      <c r="D1091" s="199" t="str">
        <f>Datos!$B$25</f>
        <v>Caminatas gerenciales planificadas</v>
      </c>
      <c r="E1091" s="199" t="str">
        <f>Datos!$C$25</f>
        <v>u</v>
      </c>
      <c r="F1091" s="31" t="s">
        <v>538</v>
      </c>
      <c r="G1091" s="246" t="str">
        <f>IF(ISNUMBER(Datos!AC25),Datos!AC25,"")</f>
        <v/>
      </c>
      <c r="H109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2" spans="1:8" x14ac:dyDescent="0.3">
      <c r="A1092" s="245">
        <f>Datos!$AC$3</f>
        <v>46997</v>
      </c>
      <c r="B1092" s="199" t="str">
        <f>Datos!AC$4</f>
        <v>Compresora</v>
      </c>
      <c r="C1092" s="31" t="s">
        <v>554</v>
      </c>
      <c r="D1092" s="199" t="str">
        <f>Datos!$B$26</f>
        <v>Comités y subcomités de seguridad realizados</v>
      </c>
      <c r="E1092" s="199" t="str">
        <f>Datos!$C$26</f>
        <v>u</v>
      </c>
      <c r="F1092" s="31" t="s">
        <v>538</v>
      </c>
      <c r="G1092" s="246" t="str">
        <f>IF(ISNUMBER(Datos!AC26),Datos!AC26,"")</f>
        <v/>
      </c>
      <c r="H109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3" spans="1:8" x14ac:dyDescent="0.3">
      <c r="A1093" s="245">
        <f>Datos!$AC$3</f>
        <v>46997</v>
      </c>
      <c r="B1093" s="199" t="str">
        <f>Datos!AC$4</f>
        <v>Compresora</v>
      </c>
      <c r="C1093" s="31" t="s">
        <v>555</v>
      </c>
      <c r="D1093" s="199" t="str">
        <f>Datos!$B$27</f>
        <v>Comités y subcomités de seguridad planificados</v>
      </c>
      <c r="E1093" s="199" t="str">
        <f>Datos!$C$27</f>
        <v>u</v>
      </c>
      <c r="F1093" s="31" t="s">
        <v>538</v>
      </c>
      <c r="G1093" s="246" t="str">
        <f>IF(ISNUMBER(Datos!AC27),Datos!AC27,"")</f>
        <v/>
      </c>
      <c r="H109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4" spans="1:8" x14ac:dyDescent="0.3">
      <c r="A1094" s="245">
        <f>Datos!$AC$3</f>
        <v>46997</v>
      </c>
      <c r="B1094" s="199" t="str">
        <f>Datos!AC$4</f>
        <v>Compresora</v>
      </c>
      <c r="C1094" s="31" t="s">
        <v>556</v>
      </c>
      <c r="D1094" s="31" t="inlineStr">
        <is>
          <t>Observaciones de comportamiento seguro: total del mes (OPS + SMP)</t>
        </is>
      </c>
      <c r="E1094" s="199" t="str">
        <f>Datos!$C$28</f>
        <v>u</v>
      </c>
      <c r="F1094" s="31" t="s">
        <v>538</v>
      </c>
      <c r="G1094" s="246" t="str">
        <f>IF(COUNT(Datos!AC28:AC29)=0,"",SUM(Datos!AC28:AC29))</f>
        <v/>
      </c>
      <c r="H109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5" spans="1:8" x14ac:dyDescent="0.3">
      <c r="A1095" s="245">
        <f>Datos!$AC$3</f>
        <v>46997</v>
      </c>
      <c r="B1095" s="199" t="str">
        <f>Datos!AC$4</f>
        <v>Compresora</v>
      </c>
      <c r="C1095" s="31" t="s">
        <v>557</v>
      </c>
      <c r="D1095" s="199" t="str">
        <f>Datos!$B$30</f>
        <v>Investigaciones de accidentes cerradas en el mes</v>
      </c>
      <c r="E1095" s="199" t="str">
        <f>Datos!$C$30</f>
        <v>u</v>
      </c>
      <c r="F1095" s="31" t="s">
        <v>538</v>
      </c>
      <c r="G1095" s="246" t="str">
        <f>IF(ISNUMBER(Datos!AC30),Datos!AC30,"")</f>
        <v/>
      </c>
      <c r="H109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6" spans="1:8" x14ac:dyDescent="0.3">
      <c r="A1096" s="245">
        <f>Datos!$AC$3</f>
        <v>46997</v>
      </c>
      <c r="B1096" s="199" t="str">
        <f>Datos!AC$4</f>
        <v>Compresora</v>
      </c>
      <c r="C1096" s="31" t="s">
        <v>558</v>
      </c>
      <c r="D1096" s="199" t="str">
        <f>Datos!$B$31</f>
        <v>Días que llevaron esas investigaciones (suma)</v>
      </c>
      <c r="E1096" s="199" t="str">
        <f>Datos!$C$31</f>
        <v>días</v>
      </c>
      <c r="F1096" s="31" t="s">
        <v>538</v>
      </c>
      <c r="G1096" s="246" t="str">
        <f>IF(ISNUMBER(Datos!AC31),Datos!AC31,"")</f>
        <v/>
      </c>
      <c r="H109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7" spans="1:8" x14ac:dyDescent="0.3">
      <c r="A1097" s="245">
        <f>Datos!$AC$3</f>
        <v>46997</v>
      </c>
      <c r="B1097" s="199" t="str">
        <f>Datos!AC$4</f>
        <v>Compresora</v>
      </c>
      <c r="C1097" s="31" t="s">
        <v>559</v>
      </c>
      <c r="D1097" s="199" t="str">
        <f>Datos!$B$33</f>
        <v>Casos con días perdidos</v>
      </c>
      <c r="E1097" s="199" t="str">
        <f>Datos!$C$33</f>
        <v>u</v>
      </c>
      <c r="F1097" s="31" t="s">
        <v>538</v>
      </c>
      <c r="G1097" s="246" t="str">
        <f>IF(ISNUMBER(Datos!AC33),Datos!AC33,"")</f>
        <v/>
      </c>
      <c r="H109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8" spans="1:8" x14ac:dyDescent="0.3">
      <c r="A1098" s="245">
        <f>Datos!$AC$3</f>
        <v>46997</v>
      </c>
      <c r="B1098" s="199" t="str">
        <f>Datos!AC$4</f>
        <v>Compresora</v>
      </c>
      <c r="C1098" s="31" t="s">
        <v>560</v>
      </c>
      <c r="D1098" s="199" t="str">
        <f>Datos!$B$34</f>
        <v>Casos con trabajo restringido</v>
      </c>
      <c r="E1098" s="199" t="str">
        <f>Datos!$C$34</f>
        <v>u</v>
      </c>
      <c r="F1098" s="31" t="s">
        <v>538</v>
      </c>
      <c r="G1098" s="246" t="str">
        <f>IF(ISNUMBER(Datos!AC34),Datos!AC34,"")</f>
        <v/>
      </c>
      <c r="H109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9" spans="1:8" x14ac:dyDescent="0.3">
      <c r="A1099" s="245">
        <f>Datos!$AC$3</f>
        <v>46997</v>
      </c>
      <c r="B1099" s="199" t="str">
        <f>Datos!AC$4</f>
        <v>Compresora</v>
      </c>
      <c r="C1099" s="31" t="s">
        <v>561</v>
      </c>
      <c r="D1099" s="199" t="str">
        <f>Datos!$B$35</f>
        <v>Casos con tratamiento médico</v>
      </c>
      <c r="E1099" s="199" t="str">
        <f>Datos!$C$35</f>
        <v>u</v>
      </c>
      <c r="F1099" s="31" t="s">
        <v>538</v>
      </c>
      <c r="G1099" s="246" t="str">
        <f>IF(ISNUMBER(Datos!AC35),Datos!AC35,"")</f>
        <v/>
      </c>
      <c r="H109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0" spans="1:8" x14ac:dyDescent="0.3">
      <c r="A1100" s="245">
        <f>Datos!$AC$3</f>
        <v>46997</v>
      </c>
      <c r="B1100" s="199" t="str">
        <f>Datos!AC$4</f>
        <v>Compresora</v>
      </c>
      <c r="C1100" s="31" t="s">
        <v>562</v>
      </c>
      <c r="D1100" s="199" t="str">
        <f>Datos!$B$36</f>
        <v>Fatalidades</v>
      </c>
      <c r="E1100" s="199" t="str">
        <f>Datos!$C$36</f>
        <v>u</v>
      </c>
      <c r="F1100" s="31" t="s">
        <v>538</v>
      </c>
      <c r="G1100" s="246" t="str">
        <f>IF(ISNUMBER(Datos!AC36),Datos!AC36,"")</f>
        <v/>
      </c>
      <c r="H110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1" spans="1:8" x14ac:dyDescent="0.3">
      <c r="A1101" s="245">
        <f>Datos!$AC$3</f>
        <v>46997</v>
      </c>
      <c r="B1101" s="199" t="str">
        <f>Datos!AC$4</f>
        <v>Compresora</v>
      </c>
      <c r="C1101" s="31" t="s">
        <v>51</v>
      </c>
      <c r="D1101" s="199" t="str">
        <f>Datos!$B$37</f>
        <v>Casos de primeros auxilios</v>
      </c>
      <c r="E1101" s="199" t="str">
        <f>Datos!$C$37</f>
        <v>u</v>
      </c>
      <c r="F1101" s="31" t="s">
        <v>538</v>
      </c>
      <c r="G1101" s="246" t="str">
        <f>IF(ISNUMBER(Datos!AC37),Datos!AC37,"")</f>
        <v/>
      </c>
      <c r="H110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2" spans="1:8" x14ac:dyDescent="0.3">
      <c r="A1102" s="245">
        <f>Datos!$AC$3</f>
        <v>46997</v>
      </c>
      <c r="B1102" s="199" t="str">
        <f>Datos!AC$4</f>
        <v>Compresora</v>
      </c>
      <c r="C1102" s="31" t="s">
        <v>563</v>
      </c>
      <c r="D1102" s="199" t="str">
        <f>Datos!$B$39</f>
        <v>CVM catastróficas</v>
      </c>
      <c r="E1102" s="199" t="str">
        <f>Datos!$C$39</f>
        <v>u</v>
      </c>
      <c r="F1102" s="31" t="s">
        <v>538</v>
      </c>
      <c r="G1102" s="246" t="str">
        <f>IF(ISNUMBER(Datos!AC39),Datos!AC39,"")</f>
        <v/>
      </c>
      <c r="H110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3" spans="1:8" x14ac:dyDescent="0.3">
      <c r="A1103" s="245">
        <f>Datos!$AC$3</f>
        <v>46997</v>
      </c>
      <c r="B1103" s="199" t="str">
        <f>Datos!AC$4</f>
        <v>Compresora</v>
      </c>
      <c r="C1103" s="31" t="s">
        <v>564</v>
      </c>
      <c r="D1103" s="199" t="str">
        <f>Datos!$B$40</f>
        <v>CVM mayores</v>
      </c>
      <c r="E1103" s="199" t="str">
        <f>Datos!$C$40</f>
        <v>u</v>
      </c>
      <c r="F1103" s="31" t="s">
        <v>538</v>
      </c>
      <c r="G1103" s="246" t="str">
        <f>IF(ISNUMBER(Datos!AC40),Datos!AC40,"")</f>
        <v/>
      </c>
      <c r="H110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4" spans="1:8" x14ac:dyDescent="0.3">
      <c r="A1104" s="245">
        <f>Datos!$AC$3</f>
        <v>46997</v>
      </c>
      <c r="B1104" s="199" t="str">
        <f>Datos!AC$4</f>
        <v>Compresora</v>
      </c>
      <c r="C1104" s="31" t="s">
        <v>565</v>
      </c>
      <c r="D1104" s="199" t="str">
        <f>Datos!$B$41</f>
        <v>CVM serias</v>
      </c>
      <c r="E1104" s="199" t="str">
        <f>Datos!$C$41</f>
        <v>u</v>
      </c>
      <c r="F1104" s="31" t="s">
        <v>538</v>
      </c>
      <c r="G1104" s="246" t="str">
        <f>IF(ISNUMBER(Datos!AC41),Datos!AC41,"")</f>
        <v/>
      </c>
      <c r="H110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5" spans="1:8" x14ac:dyDescent="0.3">
      <c r="A1105" s="245">
        <f>Datos!$AC$3</f>
        <v>46997</v>
      </c>
      <c r="B1105" s="199" t="str">
        <f>Datos!AC$4</f>
        <v>Compresora</v>
      </c>
      <c r="C1105" s="31" t="s">
        <v>566</v>
      </c>
      <c r="D1105" s="199" t="str">
        <f>Datos!$B$42</f>
        <v>CVM otras / menores</v>
      </c>
      <c r="E1105" s="199" t="str">
        <f>Datos!$C$42</f>
        <v>u</v>
      </c>
      <c r="F1105" s="31" t="s">
        <v>538</v>
      </c>
      <c r="G1105" s="246" t="str">
        <f>IF(ISNUMBER(Datos!AC42),Datos!AC42,"")</f>
        <v/>
      </c>
      <c r="H110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6" spans="1:8" x14ac:dyDescent="0.3">
      <c r="A1106" s="245">
        <f>Datos!$AC$3</f>
        <v>46997</v>
      </c>
      <c r="B1106" s="199" t="str">
        <f>Datos!AC$4</f>
        <v>Compresora</v>
      </c>
      <c r="C1106" s="31" t="s">
        <v>567</v>
      </c>
      <c r="D1106" s="199" t="str">
        <f>Datos!$B$44</f>
        <v>Km recorridos: vehículos livianos (camionetas)</v>
      </c>
      <c r="E1106" s="199" t="str">
        <f>Datos!$C$44</f>
        <v>km</v>
      </c>
      <c r="F1106" s="31" t="s">
        <v>538</v>
      </c>
      <c r="G1106" s="246" t="str">
        <f>IF(ISNUMBER(Datos!AC44),Datos!AC44,"")</f>
        <v/>
      </c>
      <c r="H110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7" spans="1:8" x14ac:dyDescent="0.3">
      <c r="A1107" s="245">
        <f>Datos!$AC$3</f>
        <v>46997</v>
      </c>
      <c r="B1107" s="199" t="str">
        <f>Datos!AC$4</f>
        <v>Compresora</v>
      </c>
      <c r="C1107" s="31" t="s">
        <v>568</v>
      </c>
      <c r="D1107" s="199" t="str">
        <f>Datos!$B$45</f>
        <v>Km recorridos: vehículos pesados (camiones)</v>
      </c>
      <c r="E1107" s="199" t="str">
        <f>Datos!$C$45</f>
        <v>km</v>
      </c>
      <c r="F1107" s="31" t="s">
        <v>538</v>
      </c>
      <c r="G1107" s="246" t="str">
        <f>IF(ISNUMBER(Datos!AC45),Datos!AC45,"")</f>
        <v/>
      </c>
      <c r="H110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8" spans="1:8" x14ac:dyDescent="0.3">
      <c r="A1108" s="245">
        <f>Datos!$AC$3</f>
        <v>46997</v>
      </c>
      <c r="B1108" s="199" t="str">
        <f>Datos!AC$4</f>
        <v>Compresora</v>
      </c>
      <c r="C1108" s="31" t="s">
        <v>569</v>
      </c>
      <c r="D1108" s="199" t="str">
        <f>Datos!$B$46</f>
        <v>Km recorridos: vehículos de transporte de personal (combis)</v>
      </c>
      <c r="E1108" s="199" t="str">
        <f>Datos!$C$46</f>
        <v>km</v>
      </c>
      <c r="F1108" s="31" t="s">
        <v>538</v>
      </c>
      <c r="G1108" s="246" t="str">
        <f>IF(ISNUMBER(Datos!AC46),Datos!AC46,"")</f>
        <v/>
      </c>
      <c r="H110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9" spans="1:8" x14ac:dyDescent="0.3">
      <c r="A1109" s="245">
        <f>Datos!$AC$3</f>
        <v>46997</v>
      </c>
      <c r="B1109" s="199" t="str">
        <f>Datos!AC$4</f>
        <v>Compresora</v>
      </c>
      <c r="C1109" s="31" t="s">
        <v>570</v>
      </c>
      <c r="D1109" s="199" t="str">
        <f>Datos!$B$47</f>
        <v>Km recorridos: TOTAL</v>
      </c>
      <c r="E1109" s="199" t="str">
        <f>Datos!$C$47</f>
        <v>km</v>
      </c>
      <c r="F1109" s="31" t="s">
        <v>541</v>
      </c>
      <c r="G1109" s="246">
        <f>IF(ISNUMBER(Datos!AC47),Datos!AC47,"")</f>
        <v>0</v>
      </c>
      <c r="H110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0" spans="1:8" x14ac:dyDescent="0.3">
      <c r="A1110" s="245">
        <f>Datos!$AC$3</f>
        <v>46997</v>
      </c>
      <c r="B1110" s="199" t="str">
        <f>Datos!AC$4</f>
        <v>Compresora</v>
      </c>
      <c r="C1110" s="31" t="s">
        <v>571</v>
      </c>
      <c r="D1110" s="199" t="str">
        <f>Datos!$B$67</f>
        <v>Hallazgos (desvíos) cerrados en el mes</v>
      </c>
      <c r="E1110" s="199" t="str">
        <f>Datos!$C$67</f>
        <v>u</v>
      </c>
      <c r="F1110" s="31" t="s">
        <v>572</v>
      </c>
      <c r="G1110" s="246" t="str">
        <f>IF(ISNUMBER(Datos!AC67),Datos!AC67,"")</f>
        <v/>
      </c>
      <c r="H111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1" spans="1:8" x14ac:dyDescent="0.3">
      <c r="A1111" s="245">
        <f>Datos!$AC$3</f>
        <v>46997</v>
      </c>
      <c r="B1111" s="199" t="str">
        <f>Datos!AC$4</f>
        <v>Compresora</v>
      </c>
      <c r="C1111" s="31" t="s">
        <v>573</v>
      </c>
      <c r="D1111" s="199" t="str">
        <f>Datos!$B$68</f>
        <v>Días que llevaron esos hallazgos (suma)</v>
      </c>
      <c r="E1111" s="199" t="str">
        <f>Datos!$C$68</f>
        <v>días</v>
      </c>
      <c r="F1111" s="31" t="s">
        <v>572</v>
      </c>
      <c r="G1111" s="246" t="str">
        <f>IF(ISNUMBER(Datos!AC68),Datos!AC68,"")</f>
        <v/>
      </c>
      <c r="H111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2" spans="1:8" x14ac:dyDescent="0.3">
      <c r="A1112" s="245">
        <f>Datos!$AC$3</f>
        <v>46997</v>
      </c>
      <c r="B1112" s="199" t="str">
        <f>Datos!AC$4</f>
        <v>Compresora</v>
      </c>
      <c r="C1112" s="31" t="s">
        <v>574</v>
      </c>
      <c r="D1112" s="199" t="str">
        <f>Datos!$B$69</f>
        <v>Hallazgos (desvíos) abiertos a fin de mes</v>
      </c>
      <c r="E1112" s="199" t="str">
        <f>Datos!$C$69</f>
        <v>u</v>
      </c>
      <c r="F1112" s="31" t="s">
        <v>572</v>
      </c>
      <c r="G1112" s="246" t="str">
        <f>IF(ISNUMBER(Datos!AC69),Datos!AC69,"")</f>
        <v/>
      </c>
      <c r="H111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3" spans="1:8" x14ac:dyDescent="0.3">
      <c r="A1113" s="245">
        <f>Datos!$AC$3</f>
        <v>46997</v>
      </c>
      <c r="B1113" s="199" t="str">
        <f>Datos!AC$4</f>
        <v>Compresora</v>
      </c>
      <c r="C1113" s="31" t="s">
        <v>575</v>
      </c>
      <c r="D1113" s="199" t="str">
        <f>Datos!$B$70</f>
        <v>Hallazgos (desvíos) detectados en el mes</v>
      </c>
      <c r="E1113" s="199" t="str">
        <f>Datos!$C$70</f>
        <v>u</v>
      </c>
      <c r="F1113" s="31" t="s">
        <v>572</v>
      </c>
      <c r="G1113" s="246" t="str">
        <f>IF(ISNUMBER(Datos!AC70),Datos!AC70,"")</f>
        <v/>
      </c>
      <c r="H111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4" spans="1:8" x14ac:dyDescent="0.3">
      <c r="A1114" s="245">
        <f>Datos!$AC$3</f>
        <v>46997</v>
      </c>
      <c r="B1114" s="199" t="str">
        <f>Datos!AC$4</f>
        <v>Compresora</v>
      </c>
      <c r="C1114" s="31" t="s">
        <v>576</v>
      </c>
      <c r="D1114" s="199" t="str">
        <f>Datos!$B$71</f>
        <v>Desvíos detectados en el mes · gravedad Alta</v>
      </c>
      <c r="E1114" s="199" t="str">
        <f>Datos!$C$71</f>
        <v>u</v>
      </c>
      <c r="F1114" s="31" t="s">
        <v>572</v>
      </c>
      <c r="G1114" s="246" t="str">
        <f>IF(ISNUMBER(Datos!AC71),Datos!AC71,"")</f>
        <v/>
      </c>
      <c r="H111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5" spans="1:8" x14ac:dyDescent="0.3">
      <c r="A1115" s="245">
        <f>Datos!$AC$3</f>
        <v>46997</v>
      </c>
      <c r="B1115" s="199" t="str">
        <f>Datos!AC$4</f>
        <v>Compresora</v>
      </c>
      <c r="C1115" s="31" t="s">
        <v>577</v>
      </c>
      <c r="D1115" s="199" t="str">
        <f>Datos!$B$72</f>
        <v>Desvíos detectados en el mes · gravedad Media</v>
      </c>
      <c r="E1115" s="199" t="str">
        <f>Datos!$C$72</f>
        <v>u</v>
      </c>
      <c r="F1115" s="31" t="s">
        <v>572</v>
      </c>
      <c r="G1115" s="246" t="str">
        <f>IF(ISNUMBER(Datos!AC72),Datos!AC72,"")</f>
        <v/>
      </c>
      <c r="H111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6" spans="1:8" x14ac:dyDescent="0.3">
      <c r="A1116" s="245">
        <f>Datos!$AC$3</f>
        <v>46997</v>
      </c>
      <c r="B1116" s="199" t="str">
        <f>Datos!AC$4</f>
        <v>Compresora</v>
      </c>
      <c r="C1116" s="31" t="s">
        <v>578</v>
      </c>
      <c r="D1116" s="199" t="str">
        <f>Datos!$B$73</f>
        <v>Desvíos detectados en el mes · gravedad Baja</v>
      </c>
      <c r="E1116" s="199" t="str">
        <f>Datos!$C$73</f>
        <v>u</v>
      </c>
      <c r="F1116" s="31" t="s">
        <v>572</v>
      </c>
      <c r="G1116" s="246" t="str">
        <f>IF(ISNUMBER(Datos!AC73),Datos!AC73,"")</f>
        <v/>
      </c>
      <c r="H111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7" spans="1:8" x14ac:dyDescent="0.3">
      <c r="A1117" s="245">
        <f>Datos!$AC$3</f>
        <v>46997</v>
      </c>
      <c r="B1117" s="199" t="str">
        <f>Datos!AC$4</f>
        <v>Compresora</v>
      </c>
      <c r="C1117" s="31" t="s">
        <v>579</v>
      </c>
      <c r="D1117" s="199" t="str">
        <f>Datos!$B$74</f>
        <v>Desvíos detectados en el mes · sin gravedad cargada</v>
      </c>
      <c r="E1117" s="199" t="str">
        <f>Datos!$C$74</f>
        <v>u</v>
      </c>
      <c r="F1117" s="31" t="s">
        <v>572</v>
      </c>
      <c r="G1117" s="246">
        <f>IF(ISNUMBER(Datos!AC74),Datos!AC74,"")</f>
        <v>0</v>
      </c>
      <c r="H111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8" spans="1:8" x14ac:dyDescent="0.3">
      <c r="A1118" s="245">
        <f>Datos!$AC$3</f>
        <v>46997</v>
      </c>
      <c r="B1118" s="199" t="str">
        <f>Datos!AC$4</f>
        <v>Compresora</v>
      </c>
      <c r="C1118" s="31" t="s">
        <v>580</v>
      </c>
      <c r="D1118" s="199" t="str">
        <f>Datos!$B$75</f>
        <v>Detenciones de tareas aplicadas en el mes (Política = Sí)</v>
      </c>
      <c r="E1118" s="199" t="str">
        <f>Datos!$C$75</f>
        <v>u</v>
      </c>
      <c r="F1118" s="31" t="s">
        <v>572</v>
      </c>
      <c r="G1118" s="246" t="str">
        <f>IF(ISNUMBER(Datos!AC75),Datos!AC75,"")</f>
        <v/>
      </c>
      <c r="H111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9" spans="1:8" x14ac:dyDescent="0.3">
      <c r="A1119" s="245">
        <f>Datos!$AC$3</f>
        <v>46997</v>
      </c>
      <c r="B1119" s="199" t="str">
        <f>Datos!AC$4</f>
        <v>Compresora</v>
      </c>
      <c r="C1119" s="31" t="s">
        <v>581</v>
      </c>
      <c r="D1119" s="199" t="str">
        <f>Datos!$B$76</f>
        <v>Desvíos de gravedad Alta abiertos a fin de mes</v>
      </c>
      <c r="E1119" s="199" t="str">
        <f>Datos!$C$76</f>
        <v>u</v>
      </c>
      <c r="F1119" s="31" t="s">
        <v>572</v>
      </c>
      <c r="G1119" s="246" t="str">
        <f>IF(ISNUMBER(Datos!AC76),Datos!AC76,"")</f>
        <v/>
      </c>
      <c r="H111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20" spans="1:8" x14ac:dyDescent="0.3">
      <c r="A1120" s="245">
        <f>Datos!$AD$3</f>
        <v>47027</v>
      </c>
      <c r="B1120" s="199" t="str">
        <f>Datos!AD$4</f>
        <v>Compresora</v>
      </c>
      <c r="C1120" s="31" t="s">
        <v>537</v>
      </c>
      <c r="D1120" s="199" t="str">
        <f>Datos!$B$9</f>
        <v>Dotación promedio: Personal OPS</v>
      </c>
      <c r="E1120" s="199" t="str">
        <f>Datos!$C$9</f>
        <v>pers</v>
      </c>
      <c r="F1120" s="31" t="s">
        <v>538</v>
      </c>
      <c r="G1120" s="246" t="str">
        <f>IF(ISNUMBER(Datos!AD9),Datos!AD9,"")</f>
        <v/>
      </c>
      <c r="H112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1" spans="1:8" x14ac:dyDescent="0.3">
      <c r="A1121" s="245">
        <f>Datos!$AD$3</f>
        <v>47027</v>
      </c>
      <c r="B1121" s="199" t="str">
        <f>Datos!AD$4</f>
        <v>Compresora</v>
      </c>
      <c r="C1121" s="31" t="s">
        <v>539</v>
      </c>
      <c r="D1121" s="199" t="str">
        <f>Datos!$B$10</f>
        <v>Dotación promedio: Personal SMP(IEBC, PAE e YPF) </v>
      </c>
      <c r="E1121" s="199" t="str">
        <f>Datos!$C$10</f>
        <v>pers</v>
      </c>
      <c r="F1121" s="31" t="s">
        <v>538</v>
      </c>
      <c r="G1121" s="246" t="str">
        <f>IF(ISNUMBER(Datos!AD10),Datos!AD10,"")</f>
        <v/>
      </c>
      <c r="H112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2" spans="1:8" x14ac:dyDescent="0.3">
      <c r="A1122" s="245">
        <f>Datos!$AD$3</f>
        <v>47027</v>
      </c>
      <c r="B1122" s="199" t="str">
        <f>Datos!AD$4</f>
        <v>Compresora</v>
      </c>
      <c r="C1122" s="31" t="s">
        <v>540</v>
      </c>
      <c r="D1122" s="199" t="str">
        <f>Datos!$B$11</f>
        <v>Dotación promedio: TOTAL</v>
      </c>
      <c r="E1122" s="199" t="str">
        <f>Datos!$C$11</f>
        <v>pers</v>
      </c>
      <c r="F1122" s="31" t="s">
        <v>541</v>
      </c>
      <c r="G1122" s="246">
        <f>IF(ISNUMBER(Datos!AD11),Datos!AD11,"")</f>
        <v>0</v>
      </c>
      <c r="H112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3" spans="1:8" x14ac:dyDescent="0.3">
      <c r="A1123" s="245">
        <f>Datos!$AD$3</f>
        <v>47027</v>
      </c>
      <c r="B1123" s="199" t="str">
        <f>Datos!AD$4</f>
        <v>Compresora</v>
      </c>
      <c r="C1123" s="31" t="s">
        <v>542</v>
      </c>
      <c r="D1123" s="199" t="str">
        <f>Datos!$B$12</f>
        <v>Horas hombre trabajadas: Personal OPS</v>
      </c>
      <c r="E1123" s="199" t="str">
        <f>Datos!$C$12</f>
        <v>h</v>
      </c>
      <c r="F1123" s="31" t="s">
        <v>538</v>
      </c>
      <c r="G1123" s="246" t="str">
        <f>IF(ISNUMBER(Datos!AD12),Datos!AD12,"")</f>
        <v/>
      </c>
      <c r="H112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4" spans="1:8" x14ac:dyDescent="0.3">
      <c r="A1124" s="245">
        <f>Datos!$AD$3</f>
        <v>47027</v>
      </c>
      <c r="B1124" s="199" t="str">
        <f>Datos!AD$4</f>
        <v>Compresora</v>
      </c>
      <c r="C1124" s="31" t="s">
        <v>543</v>
      </c>
      <c r="D1124" s="199" t="str">
        <f>Datos!$B$13</f>
        <v>Horas hombre trabajadas: Personal SMP(IEBC, PAE e YPF) en campo</v>
      </c>
      <c r="E1124" s="199" t="str">
        <f>Datos!$C$13</f>
        <v>h</v>
      </c>
      <c r="F1124" s="31" t="s">
        <v>538</v>
      </c>
      <c r="G1124" s="246" t="str">
        <f>IF(ISNUMBER(Datos!AD13),Datos!AD13,"")</f>
        <v/>
      </c>
      <c r="H112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5" spans="1:8" x14ac:dyDescent="0.3">
      <c r="A1125" s="245">
        <f>Datos!$AD$3</f>
        <v>47027</v>
      </c>
      <c r="B1125" s="199" t="str">
        <f>Datos!AD$4</f>
        <v>Compresora</v>
      </c>
      <c r="C1125" s="31" t="s">
        <v>544</v>
      </c>
      <c r="D1125" s="199" t="str">
        <f>Datos!$B$14</f>
        <v>Horas hombre trabajadas: TOTAL</v>
      </c>
      <c r="E1125" s="199" t="str">
        <f>Datos!$C$14</f>
        <v>h</v>
      </c>
      <c r="F1125" s="31" t="s">
        <v>541</v>
      </c>
      <c r="G1125" s="246">
        <f>IF(ISNUMBER(Datos!AD14),Datos!AD14,"")</f>
        <v>0</v>
      </c>
      <c r="H112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6" spans="1:8" x14ac:dyDescent="0.3">
      <c r="A1126" s="245">
        <f>Datos!$AD$3</f>
        <v>47027</v>
      </c>
      <c r="B1126" s="199" t="str">
        <f>Datos!AD$4</f>
        <v>Compresora</v>
      </c>
      <c r="C1126" s="31" t="s">
        <v>545</v>
      </c>
      <c r="D1126" s="199" t="str">
        <f>Datos!$B$16</f>
        <v>Horas hombre de formación en seguridad: Personal OPS</v>
      </c>
      <c r="E1126" s="199" t="str">
        <f>Datos!$C$16</f>
        <v>h</v>
      </c>
      <c r="F1126" s="31" t="s">
        <v>538</v>
      </c>
      <c r="G1126" s="246" t="str">
        <f>IF(ISNUMBER(Datos!AD16),Datos!AD16,"")</f>
        <v/>
      </c>
      <c r="H112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7" spans="1:8" x14ac:dyDescent="0.3">
      <c r="A1127" s="245">
        <f>Datos!$AD$3</f>
        <v>47027</v>
      </c>
      <c r="B1127" s="199" t="str">
        <f>Datos!AD$4</f>
        <v>Compresora</v>
      </c>
      <c r="C1127" s="31" t="s">
        <v>546</v>
      </c>
      <c r="D1127" s="199" t="str">
        <f>Datos!$B$17</f>
        <v>Horas hombre de formación en seguridad: Personal SMP(IEBC, PAE e YPF) </v>
      </c>
      <c r="E1127" s="199" t="str">
        <f>Datos!$C$17</f>
        <v>h</v>
      </c>
      <c r="F1127" s="31" t="s">
        <v>538</v>
      </c>
      <c r="G1127" s="246" t="str">
        <f>IF(ISNUMBER(Datos!AD17),Datos!AD17,"")</f>
        <v/>
      </c>
      <c r="H112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8" spans="1:8" x14ac:dyDescent="0.3">
      <c r="A1128" s="245">
        <f>Datos!$AD$3</f>
        <v>47027</v>
      </c>
      <c r="B1128" s="199" t="str">
        <f>Datos!AD$4</f>
        <v>Compresora</v>
      </c>
      <c r="C1128" s="31" t="s">
        <v>547</v>
      </c>
      <c r="D1128" s="199" t="str">
        <f>Datos!$B$18</f>
        <v>Horas hombre de formación en seguridad: TOTAL</v>
      </c>
      <c r="E1128" s="199" t="str">
        <f>Datos!$C$18</f>
        <v>h</v>
      </c>
      <c r="F1128" s="31" t="s">
        <v>541</v>
      </c>
      <c r="G1128" s="246">
        <f>IF(ISNUMBER(Datos!AD18),Datos!AD18,"")</f>
        <v>0</v>
      </c>
      <c r="H112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9" spans="1:8" x14ac:dyDescent="0.3">
      <c r="A1129" s="245">
        <f>Datos!$AD$3</f>
        <v>47027</v>
      </c>
      <c r="B1129" s="199" t="str">
        <f>Datos!AD$4</f>
        <v>Compresora</v>
      </c>
      <c r="C1129" s="31" t="s">
        <v>548</v>
      </c>
      <c r="D1129" s="199" t="str">
        <f>Datos!$B$20</f>
        <v>SIMULACROS · Realizados (emergencia y operativos)</v>
      </c>
      <c r="E1129" s="199" t="str">
        <f>Datos!$C$20</f>
        <v>u</v>
      </c>
      <c r="F1129" s="31" t="s">
        <v>538</v>
      </c>
      <c r="G1129" s="246" t="str">
        <f>IF(ISNUMBER(Datos!AD20),Datos!AD20,"")</f>
        <v/>
      </c>
      <c r="H112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0" spans="1:8" x14ac:dyDescent="0.3">
      <c r="A1130" s="245">
        <f>Datos!$AD$3</f>
        <v>47027</v>
      </c>
      <c r="B1130" s="199" t="str">
        <f>Datos!AD$4</f>
        <v>Compresora</v>
      </c>
      <c r="C1130" s="31" t="s">
        <v>549</v>
      </c>
      <c r="D1130" s="199" t="str">
        <f>Datos!$B$21</f>
        <v>SIMULACROS · Programados (emergencia y operativos)</v>
      </c>
      <c r="E1130" s="199" t="str">
        <f>Datos!$C$21</f>
        <v>u</v>
      </c>
      <c r="F1130" s="31" t="s">
        <v>538</v>
      </c>
      <c r="G1130" s="246" t="str">
        <f>IF(ISNUMBER(Datos!AD21),Datos!AD21,"")</f>
        <v/>
      </c>
      <c r="H113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1" spans="1:8" x14ac:dyDescent="0.3">
      <c r="A1131" s="245">
        <f>Datos!$AD$3</f>
        <v>47027</v>
      </c>
      <c r="B1131" s="199" t="str">
        <f>Datos!AD$4</f>
        <v>Compresora</v>
      </c>
      <c r="C1131" s="31" t="s">
        <v>550</v>
      </c>
      <c r="D1131" s="199" t="str">
        <f>Datos!$B$22</f>
        <v>SIMULACROS · Acciones de mejora surgidas de los simulacros (en el mes informado)</v>
      </c>
      <c r="E1131" s="199" t="str">
        <f>Datos!$C$22</f>
        <v>u</v>
      </c>
      <c r="F1131" s="31" t="s">
        <v>538</v>
      </c>
      <c r="G1131" s="246" t="str">
        <f>IF(ISNUMBER(Datos!AD22),Datos!AD22,"")</f>
        <v/>
      </c>
      <c r="H113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2" spans="1:8" x14ac:dyDescent="0.3">
      <c r="A1132" s="245">
        <f>Datos!$AD$3</f>
        <v>47027</v>
      </c>
      <c r="B1132" s="199" t="str">
        <f>Datos!AD$4</f>
        <v>Compresora</v>
      </c>
      <c r="C1132" s="31" t="s">
        <v>551</v>
      </c>
      <c r="D1132" s="199" t="str">
        <f>Datos!$B$23</f>
        <v>SIMULACROS · Acciones de mejora implementadas surgidas de los simulacros (ICME) (en el mes informado)</v>
      </c>
      <c r="E1132" s="199" t="str">
        <f>Datos!$C$23</f>
        <v>u</v>
      </c>
      <c r="F1132" s="31" t="s">
        <v>538</v>
      </c>
      <c r="G1132" s="246" t="str">
        <f>IF(ISNUMBER(Datos!AD23),Datos!AD23,"")</f>
        <v/>
      </c>
      <c r="H113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3" spans="1:8" x14ac:dyDescent="0.3">
      <c r="A1133" s="245">
        <f>Datos!$AD$3</f>
        <v>47027</v>
      </c>
      <c r="B1133" s="199" t="str">
        <f>Datos!AD$4</f>
        <v>Compresora</v>
      </c>
      <c r="C1133" s="31" t="s">
        <v>552</v>
      </c>
      <c r="D1133" s="199" t="str">
        <f>Datos!$B$24</f>
        <v>Caminatas gerenciales realizadas</v>
      </c>
      <c r="E1133" s="199" t="str">
        <f>Datos!$C$24</f>
        <v>u</v>
      </c>
      <c r="F1133" s="31" t="s">
        <v>538</v>
      </c>
      <c r="G1133" s="246" t="str">
        <f>IF(ISNUMBER(Datos!AD24),Datos!AD24,"")</f>
        <v/>
      </c>
      <c r="H113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4" spans="1:8" x14ac:dyDescent="0.3">
      <c r="A1134" s="245">
        <f>Datos!$AD$3</f>
        <v>47027</v>
      </c>
      <c r="B1134" s="199" t="str">
        <f>Datos!AD$4</f>
        <v>Compresora</v>
      </c>
      <c r="C1134" s="31" t="s">
        <v>553</v>
      </c>
      <c r="D1134" s="199" t="str">
        <f>Datos!$B$25</f>
        <v>Caminatas gerenciales planificadas</v>
      </c>
      <c r="E1134" s="199" t="str">
        <f>Datos!$C$25</f>
        <v>u</v>
      </c>
      <c r="F1134" s="31" t="s">
        <v>538</v>
      </c>
      <c r="G1134" s="246" t="str">
        <f>IF(ISNUMBER(Datos!AD25),Datos!AD25,"")</f>
        <v/>
      </c>
      <c r="H113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5" spans="1:8" x14ac:dyDescent="0.3">
      <c r="A1135" s="245">
        <f>Datos!$AD$3</f>
        <v>47027</v>
      </c>
      <c r="B1135" s="199" t="str">
        <f>Datos!AD$4</f>
        <v>Compresora</v>
      </c>
      <c r="C1135" s="31" t="s">
        <v>554</v>
      </c>
      <c r="D1135" s="199" t="str">
        <f>Datos!$B$26</f>
        <v>Comités y subcomités de seguridad realizados</v>
      </c>
      <c r="E1135" s="199" t="str">
        <f>Datos!$C$26</f>
        <v>u</v>
      </c>
      <c r="F1135" s="31" t="s">
        <v>538</v>
      </c>
      <c r="G1135" s="246" t="str">
        <f>IF(ISNUMBER(Datos!AD26),Datos!AD26,"")</f>
        <v/>
      </c>
      <c r="H113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6" spans="1:8" x14ac:dyDescent="0.3">
      <c r="A1136" s="245">
        <f>Datos!$AD$3</f>
        <v>47027</v>
      </c>
      <c r="B1136" s="199" t="str">
        <f>Datos!AD$4</f>
        <v>Compresora</v>
      </c>
      <c r="C1136" s="31" t="s">
        <v>555</v>
      </c>
      <c r="D1136" s="199" t="str">
        <f>Datos!$B$27</f>
        <v>Comités y subcomités de seguridad planificados</v>
      </c>
      <c r="E1136" s="199" t="str">
        <f>Datos!$C$27</f>
        <v>u</v>
      </c>
      <c r="F1136" s="31" t="s">
        <v>538</v>
      </c>
      <c r="G1136" s="246" t="str">
        <f>IF(ISNUMBER(Datos!AD27),Datos!AD27,"")</f>
        <v/>
      </c>
      <c r="H113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7" spans="1:8" x14ac:dyDescent="0.3">
      <c r="A1137" s="245">
        <f>Datos!$AD$3</f>
        <v>47027</v>
      </c>
      <c r="B1137" s="199" t="str">
        <f>Datos!AD$4</f>
        <v>Compresora</v>
      </c>
      <c r="C1137" s="31" t="s">
        <v>556</v>
      </c>
      <c r="D1137" s="31" t="inlineStr">
        <is>
          <t>Observaciones de comportamiento seguro: total del mes (OPS + SMP)</t>
        </is>
      </c>
      <c r="E1137" s="199" t="str">
        <f>Datos!$C$28</f>
        <v>u</v>
      </c>
      <c r="F1137" s="31" t="s">
        <v>538</v>
      </c>
      <c r="G1137" s="246" t="str">
        <f>IF(COUNT(Datos!AD28:AD29)=0,"",SUM(Datos!AD28:AD29))</f>
        <v/>
      </c>
      <c r="H113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8" spans="1:8" x14ac:dyDescent="0.3">
      <c r="A1138" s="245">
        <f>Datos!$AD$3</f>
        <v>47027</v>
      </c>
      <c r="B1138" s="199" t="str">
        <f>Datos!AD$4</f>
        <v>Compresora</v>
      </c>
      <c r="C1138" s="31" t="s">
        <v>557</v>
      </c>
      <c r="D1138" s="199" t="str">
        <f>Datos!$B$30</f>
        <v>Investigaciones de accidentes cerradas en el mes</v>
      </c>
      <c r="E1138" s="199" t="str">
        <f>Datos!$C$30</f>
        <v>u</v>
      </c>
      <c r="F1138" s="31" t="s">
        <v>538</v>
      </c>
      <c r="G1138" s="246" t="str">
        <f>IF(ISNUMBER(Datos!AD30),Datos!AD30,"")</f>
        <v/>
      </c>
      <c r="H113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9" spans="1:8" x14ac:dyDescent="0.3">
      <c r="A1139" s="245">
        <f>Datos!$AD$3</f>
        <v>47027</v>
      </c>
      <c r="B1139" s="199" t="str">
        <f>Datos!AD$4</f>
        <v>Compresora</v>
      </c>
      <c r="C1139" s="31" t="s">
        <v>558</v>
      </c>
      <c r="D1139" s="199" t="str">
        <f>Datos!$B$31</f>
        <v>Días que llevaron esas investigaciones (suma)</v>
      </c>
      <c r="E1139" s="199" t="str">
        <f>Datos!$C$31</f>
        <v>días</v>
      </c>
      <c r="F1139" s="31" t="s">
        <v>538</v>
      </c>
      <c r="G1139" s="246" t="str">
        <f>IF(ISNUMBER(Datos!AD31),Datos!AD31,"")</f>
        <v/>
      </c>
      <c r="H113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0" spans="1:8" x14ac:dyDescent="0.3">
      <c r="A1140" s="245">
        <f>Datos!$AD$3</f>
        <v>47027</v>
      </c>
      <c r="B1140" s="199" t="str">
        <f>Datos!AD$4</f>
        <v>Compresora</v>
      </c>
      <c r="C1140" s="31" t="s">
        <v>559</v>
      </c>
      <c r="D1140" s="199" t="str">
        <f>Datos!$B$33</f>
        <v>Casos con días perdidos</v>
      </c>
      <c r="E1140" s="199" t="str">
        <f>Datos!$C$33</f>
        <v>u</v>
      </c>
      <c r="F1140" s="31" t="s">
        <v>538</v>
      </c>
      <c r="G1140" s="246" t="str">
        <f>IF(ISNUMBER(Datos!AD33),Datos!AD33,"")</f>
        <v/>
      </c>
      <c r="H114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1" spans="1:8" x14ac:dyDescent="0.3">
      <c r="A1141" s="245">
        <f>Datos!$AD$3</f>
        <v>47027</v>
      </c>
      <c r="B1141" s="199" t="str">
        <f>Datos!AD$4</f>
        <v>Compresora</v>
      </c>
      <c r="C1141" s="31" t="s">
        <v>560</v>
      </c>
      <c r="D1141" s="199" t="str">
        <f>Datos!$B$34</f>
        <v>Casos con trabajo restringido</v>
      </c>
      <c r="E1141" s="199" t="str">
        <f>Datos!$C$34</f>
        <v>u</v>
      </c>
      <c r="F1141" s="31" t="s">
        <v>538</v>
      </c>
      <c r="G1141" s="246" t="str">
        <f>IF(ISNUMBER(Datos!AD34),Datos!AD34,"")</f>
        <v/>
      </c>
      <c r="H114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2" spans="1:8" x14ac:dyDescent="0.3">
      <c r="A1142" s="245">
        <f>Datos!$AD$3</f>
        <v>47027</v>
      </c>
      <c r="B1142" s="199" t="str">
        <f>Datos!AD$4</f>
        <v>Compresora</v>
      </c>
      <c r="C1142" s="31" t="s">
        <v>561</v>
      </c>
      <c r="D1142" s="199" t="str">
        <f>Datos!$B$35</f>
        <v>Casos con tratamiento médico</v>
      </c>
      <c r="E1142" s="199" t="str">
        <f>Datos!$C$35</f>
        <v>u</v>
      </c>
      <c r="F1142" s="31" t="s">
        <v>538</v>
      </c>
      <c r="G1142" s="246" t="str">
        <f>IF(ISNUMBER(Datos!AD35),Datos!AD35,"")</f>
        <v/>
      </c>
      <c r="H114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3" spans="1:8" x14ac:dyDescent="0.3">
      <c r="A1143" s="245">
        <f>Datos!$AD$3</f>
        <v>47027</v>
      </c>
      <c r="B1143" s="199" t="str">
        <f>Datos!AD$4</f>
        <v>Compresora</v>
      </c>
      <c r="C1143" s="31" t="s">
        <v>562</v>
      </c>
      <c r="D1143" s="199" t="str">
        <f>Datos!$B$36</f>
        <v>Fatalidades</v>
      </c>
      <c r="E1143" s="199" t="str">
        <f>Datos!$C$36</f>
        <v>u</v>
      </c>
      <c r="F1143" s="31" t="s">
        <v>538</v>
      </c>
      <c r="G1143" s="246" t="str">
        <f>IF(ISNUMBER(Datos!AD36),Datos!AD36,"")</f>
        <v/>
      </c>
      <c r="H114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4" spans="1:8" x14ac:dyDescent="0.3">
      <c r="A1144" s="245">
        <f>Datos!$AD$3</f>
        <v>47027</v>
      </c>
      <c r="B1144" s="199" t="str">
        <f>Datos!AD$4</f>
        <v>Compresora</v>
      </c>
      <c r="C1144" s="31" t="s">
        <v>51</v>
      </c>
      <c r="D1144" s="199" t="str">
        <f>Datos!$B$37</f>
        <v>Casos de primeros auxilios</v>
      </c>
      <c r="E1144" s="199" t="str">
        <f>Datos!$C$37</f>
        <v>u</v>
      </c>
      <c r="F1144" s="31" t="s">
        <v>538</v>
      </c>
      <c r="G1144" s="246" t="str">
        <f>IF(ISNUMBER(Datos!AD37),Datos!AD37,"")</f>
        <v/>
      </c>
      <c r="H114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5" spans="1:8" x14ac:dyDescent="0.3">
      <c r="A1145" s="245">
        <f>Datos!$AD$3</f>
        <v>47027</v>
      </c>
      <c r="B1145" s="199" t="str">
        <f>Datos!AD$4</f>
        <v>Compresora</v>
      </c>
      <c r="C1145" s="31" t="s">
        <v>563</v>
      </c>
      <c r="D1145" s="199" t="str">
        <f>Datos!$B$39</f>
        <v>CVM catastróficas</v>
      </c>
      <c r="E1145" s="199" t="str">
        <f>Datos!$C$39</f>
        <v>u</v>
      </c>
      <c r="F1145" s="31" t="s">
        <v>538</v>
      </c>
      <c r="G1145" s="246" t="str">
        <f>IF(ISNUMBER(Datos!AD39),Datos!AD39,"")</f>
        <v/>
      </c>
      <c r="H114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6" spans="1:8" x14ac:dyDescent="0.3">
      <c r="A1146" s="245">
        <f>Datos!$AD$3</f>
        <v>47027</v>
      </c>
      <c r="B1146" s="199" t="str">
        <f>Datos!AD$4</f>
        <v>Compresora</v>
      </c>
      <c r="C1146" s="31" t="s">
        <v>564</v>
      </c>
      <c r="D1146" s="199" t="str">
        <f>Datos!$B$40</f>
        <v>CVM mayores</v>
      </c>
      <c r="E1146" s="199" t="str">
        <f>Datos!$C$40</f>
        <v>u</v>
      </c>
      <c r="F1146" s="31" t="s">
        <v>538</v>
      </c>
      <c r="G1146" s="246" t="str">
        <f>IF(ISNUMBER(Datos!AD40),Datos!AD40,"")</f>
        <v/>
      </c>
      <c r="H114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7" spans="1:8" x14ac:dyDescent="0.3">
      <c r="A1147" s="245">
        <f>Datos!$AD$3</f>
        <v>47027</v>
      </c>
      <c r="B1147" s="199" t="str">
        <f>Datos!AD$4</f>
        <v>Compresora</v>
      </c>
      <c r="C1147" s="31" t="s">
        <v>565</v>
      </c>
      <c r="D1147" s="199" t="str">
        <f>Datos!$B$41</f>
        <v>CVM serias</v>
      </c>
      <c r="E1147" s="199" t="str">
        <f>Datos!$C$41</f>
        <v>u</v>
      </c>
      <c r="F1147" s="31" t="s">
        <v>538</v>
      </c>
      <c r="G1147" s="246" t="str">
        <f>IF(ISNUMBER(Datos!AD41),Datos!AD41,"")</f>
        <v/>
      </c>
      <c r="H114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8" spans="1:8" x14ac:dyDescent="0.3">
      <c r="A1148" s="245">
        <f>Datos!$AD$3</f>
        <v>47027</v>
      </c>
      <c r="B1148" s="199" t="str">
        <f>Datos!AD$4</f>
        <v>Compresora</v>
      </c>
      <c r="C1148" s="31" t="s">
        <v>566</v>
      </c>
      <c r="D1148" s="199" t="str">
        <f>Datos!$B$42</f>
        <v>CVM otras / menores</v>
      </c>
      <c r="E1148" s="199" t="str">
        <f>Datos!$C$42</f>
        <v>u</v>
      </c>
      <c r="F1148" s="31" t="s">
        <v>538</v>
      </c>
      <c r="G1148" s="246" t="str">
        <f>IF(ISNUMBER(Datos!AD42),Datos!AD42,"")</f>
        <v/>
      </c>
      <c r="H114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9" spans="1:8" x14ac:dyDescent="0.3">
      <c r="A1149" s="245">
        <f>Datos!$AD$3</f>
        <v>47027</v>
      </c>
      <c r="B1149" s="199" t="str">
        <f>Datos!AD$4</f>
        <v>Compresora</v>
      </c>
      <c r="C1149" s="31" t="s">
        <v>567</v>
      </c>
      <c r="D1149" s="199" t="str">
        <f>Datos!$B$44</f>
        <v>Km recorridos: vehículos livianos (camionetas)</v>
      </c>
      <c r="E1149" s="199" t="str">
        <f>Datos!$C$44</f>
        <v>km</v>
      </c>
      <c r="F1149" s="31" t="s">
        <v>538</v>
      </c>
      <c r="G1149" s="246" t="str">
        <f>IF(ISNUMBER(Datos!AD44),Datos!AD44,"")</f>
        <v/>
      </c>
      <c r="H114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0" spans="1:8" x14ac:dyDescent="0.3">
      <c r="A1150" s="245">
        <f>Datos!$AD$3</f>
        <v>47027</v>
      </c>
      <c r="B1150" s="199" t="str">
        <f>Datos!AD$4</f>
        <v>Compresora</v>
      </c>
      <c r="C1150" s="31" t="s">
        <v>568</v>
      </c>
      <c r="D1150" s="199" t="str">
        <f>Datos!$B$45</f>
        <v>Km recorridos: vehículos pesados (camiones)</v>
      </c>
      <c r="E1150" s="199" t="str">
        <f>Datos!$C$45</f>
        <v>km</v>
      </c>
      <c r="F1150" s="31" t="s">
        <v>538</v>
      </c>
      <c r="G1150" s="246" t="str">
        <f>IF(ISNUMBER(Datos!AD45),Datos!AD45,"")</f>
        <v/>
      </c>
      <c r="H115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1" spans="1:8" x14ac:dyDescent="0.3">
      <c r="A1151" s="245">
        <f>Datos!$AD$3</f>
        <v>47027</v>
      </c>
      <c r="B1151" s="199" t="str">
        <f>Datos!AD$4</f>
        <v>Compresora</v>
      </c>
      <c r="C1151" s="31" t="s">
        <v>569</v>
      </c>
      <c r="D1151" s="199" t="str">
        <f>Datos!$B$46</f>
        <v>Km recorridos: vehículos de transporte de personal (combis)</v>
      </c>
      <c r="E1151" s="199" t="str">
        <f>Datos!$C$46</f>
        <v>km</v>
      </c>
      <c r="F1151" s="31" t="s">
        <v>538</v>
      </c>
      <c r="G1151" s="246" t="str">
        <f>IF(ISNUMBER(Datos!AD46),Datos!AD46,"")</f>
        <v/>
      </c>
      <c r="H115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2" spans="1:8" x14ac:dyDescent="0.3">
      <c r="A1152" s="245">
        <f>Datos!$AD$3</f>
        <v>47027</v>
      </c>
      <c r="B1152" s="199" t="str">
        <f>Datos!AD$4</f>
        <v>Compresora</v>
      </c>
      <c r="C1152" s="31" t="s">
        <v>570</v>
      </c>
      <c r="D1152" s="199" t="str">
        <f>Datos!$B$47</f>
        <v>Km recorridos: TOTAL</v>
      </c>
      <c r="E1152" s="199" t="str">
        <f>Datos!$C$47</f>
        <v>km</v>
      </c>
      <c r="F1152" s="31" t="s">
        <v>541</v>
      </c>
      <c r="G1152" s="246">
        <f>IF(ISNUMBER(Datos!AD47),Datos!AD47,"")</f>
        <v>0</v>
      </c>
      <c r="H115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3" spans="1:8" x14ac:dyDescent="0.3">
      <c r="A1153" s="245">
        <f>Datos!$AD$3</f>
        <v>47027</v>
      </c>
      <c r="B1153" s="199" t="str">
        <f>Datos!AD$4</f>
        <v>Compresora</v>
      </c>
      <c r="C1153" s="31" t="s">
        <v>571</v>
      </c>
      <c r="D1153" s="199" t="str">
        <f>Datos!$B$67</f>
        <v>Hallazgos (desvíos) cerrados en el mes</v>
      </c>
      <c r="E1153" s="199" t="str">
        <f>Datos!$C$67</f>
        <v>u</v>
      </c>
      <c r="F1153" s="31" t="s">
        <v>572</v>
      </c>
      <c r="G1153" s="246" t="str">
        <f>IF(ISNUMBER(Datos!AD67),Datos!AD67,"")</f>
        <v/>
      </c>
      <c r="H115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4" spans="1:8" x14ac:dyDescent="0.3">
      <c r="A1154" s="245">
        <f>Datos!$AD$3</f>
        <v>47027</v>
      </c>
      <c r="B1154" s="199" t="str">
        <f>Datos!AD$4</f>
        <v>Compresora</v>
      </c>
      <c r="C1154" s="31" t="s">
        <v>573</v>
      </c>
      <c r="D1154" s="199" t="str">
        <f>Datos!$B$68</f>
        <v>Días que llevaron esos hallazgos (suma)</v>
      </c>
      <c r="E1154" s="199" t="str">
        <f>Datos!$C$68</f>
        <v>días</v>
      </c>
      <c r="F1154" s="31" t="s">
        <v>572</v>
      </c>
      <c r="G1154" s="246" t="str">
        <f>IF(ISNUMBER(Datos!AD68),Datos!AD68,"")</f>
        <v/>
      </c>
      <c r="H115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5" spans="1:8" x14ac:dyDescent="0.3">
      <c r="A1155" s="245">
        <f>Datos!$AD$3</f>
        <v>47027</v>
      </c>
      <c r="B1155" s="199" t="str">
        <f>Datos!AD$4</f>
        <v>Compresora</v>
      </c>
      <c r="C1155" s="31" t="s">
        <v>574</v>
      </c>
      <c r="D1155" s="199" t="str">
        <f>Datos!$B$69</f>
        <v>Hallazgos (desvíos) abiertos a fin de mes</v>
      </c>
      <c r="E1155" s="199" t="str">
        <f>Datos!$C$69</f>
        <v>u</v>
      </c>
      <c r="F1155" s="31" t="s">
        <v>572</v>
      </c>
      <c r="G1155" s="246" t="str">
        <f>IF(ISNUMBER(Datos!AD69),Datos!AD69,"")</f>
        <v/>
      </c>
      <c r="H115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6" spans="1:8" x14ac:dyDescent="0.3">
      <c r="A1156" s="245">
        <f>Datos!$AD$3</f>
        <v>47027</v>
      </c>
      <c r="B1156" s="199" t="str">
        <f>Datos!AD$4</f>
        <v>Compresora</v>
      </c>
      <c r="C1156" s="31" t="s">
        <v>575</v>
      </c>
      <c r="D1156" s="199" t="str">
        <f>Datos!$B$70</f>
        <v>Hallazgos (desvíos) detectados en el mes</v>
      </c>
      <c r="E1156" s="199" t="str">
        <f>Datos!$C$70</f>
        <v>u</v>
      </c>
      <c r="F1156" s="31" t="s">
        <v>572</v>
      </c>
      <c r="G1156" s="246" t="str">
        <f>IF(ISNUMBER(Datos!AD70),Datos!AD70,"")</f>
        <v/>
      </c>
      <c r="H115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7" spans="1:8" x14ac:dyDescent="0.3">
      <c r="A1157" s="245">
        <f>Datos!$AD$3</f>
        <v>47027</v>
      </c>
      <c r="B1157" s="199" t="str">
        <f>Datos!AD$4</f>
        <v>Compresora</v>
      </c>
      <c r="C1157" s="31" t="s">
        <v>576</v>
      </c>
      <c r="D1157" s="199" t="str">
        <f>Datos!$B$71</f>
        <v>Desvíos detectados en el mes · gravedad Alta</v>
      </c>
      <c r="E1157" s="199" t="str">
        <f>Datos!$C$71</f>
        <v>u</v>
      </c>
      <c r="F1157" s="31" t="s">
        <v>572</v>
      </c>
      <c r="G1157" s="246" t="str">
        <f>IF(ISNUMBER(Datos!AD71),Datos!AD71,"")</f>
        <v/>
      </c>
      <c r="H115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8" spans="1:8" x14ac:dyDescent="0.3">
      <c r="A1158" s="245">
        <f>Datos!$AD$3</f>
        <v>47027</v>
      </c>
      <c r="B1158" s="199" t="str">
        <f>Datos!AD$4</f>
        <v>Compresora</v>
      </c>
      <c r="C1158" s="31" t="s">
        <v>577</v>
      </c>
      <c r="D1158" s="199" t="str">
        <f>Datos!$B$72</f>
        <v>Desvíos detectados en el mes · gravedad Media</v>
      </c>
      <c r="E1158" s="199" t="str">
        <f>Datos!$C$72</f>
        <v>u</v>
      </c>
      <c r="F1158" s="31" t="s">
        <v>572</v>
      </c>
      <c r="G1158" s="246" t="str">
        <f>IF(ISNUMBER(Datos!AD72),Datos!AD72,"")</f>
        <v/>
      </c>
      <c r="H115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9" spans="1:8" x14ac:dyDescent="0.3">
      <c r="A1159" s="245">
        <f>Datos!$AD$3</f>
        <v>47027</v>
      </c>
      <c r="B1159" s="199" t="str">
        <f>Datos!AD$4</f>
        <v>Compresora</v>
      </c>
      <c r="C1159" s="31" t="s">
        <v>578</v>
      </c>
      <c r="D1159" s="199" t="str">
        <f>Datos!$B$73</f>
        <v>Desvíos detectados en el mes · gravedad Baja</v>
      </c>
      <c r="E1159" s="199" t="str">
        <f>Datos!$C$73</f>
        <v>u</v>
      </c>
      <c r="F1159" s="31" t="s">
        <v>572</v>
      </c>
      <c r="G1159" s="246" t="str">
        <f>IF(ISNUMBER(Datos!AD73),Datos!AD73,"")</f>
        <v/>
      </c>
      <c r="H115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0" spans="1:8" x14ac:dyDescent="0.3">
      <c r="A1160" s="245">
        <f>Datos!$AD$3</f>
        <v>47027</v>
      </c>
      <c r="B1160" s="199" t="str">
        <f>Datos!AD$4</f>
        <v>Compresora</v>
      </c>
      <c r="C1160" s="31" t="s">
        <v>579</v>
      </c>
      <c r="D1160" s="199" t="str">
        <f>Datos!$B$74</f>
        <v>Desvíos detectados en el mes · sin gravedad cargada</v>
      </c>
      <c r="E1160" s="199" t="str">
        <f>Datos!$C$74</f>
        <v>u</v>
      </c>
      <c r="F1160" s="31" t="s">
        <v>572</v>
      </c>
      <c r="G1160" s="246">
        <f>IF(ISNUMBER(Datos!AD74),Datos!AD74,"")</f>
        <v>0</v>
      </c>
      <c r="H116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1" spans="1:8" x14ac:dyDescent="0.3">
      <c r="A1161" s="245">
        <f>Datos!$AD$3</f>
        <v>47027</v>
      </c>
      <c r="B1161" s="199" t="str">
        <f>Datos!AD$4</f>
        <v>Compresora</v>
      </c>
      <c r="C1161" s="31" t="s">
        <v>580</v>
      </c>
      <c r="D1161" s="199" t="str">
        <f>Datos!$B$75</f>
        <v>Detenciones de tareas aplicadas en el mes (Política = Sí)</v>
      </c>
      <c r="E1161" s="199" t="str">
        <f>Datos!$C$75</f>
        <v>u</v>
      </c>
      <c r="F1161" s="31" t="s">
        <v>572</v>
      </c>
      <c r="G1161" s="246" t="str">
        <f>IF(ISNUMBER(Datos!AD75),Datos!AD75,"")</f>
        <v/>
      </c>
      <c r="H116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2" spans="1:8" x14ac:dyDescent="0.3">
      <c r="A1162" s="245">
        <f>Datos!$AD$3</f>
        <v>47027</v>
      </c>
      <c r="B1162" s="199" t="str">
        <f>Datos!AD$4</f>
        <v>Compresora</v>
      </c>
      <c r="C1162" s="31" t="s">
        <v>581</v>
      </c>
      <c r="D1162" s="199" t="str">
        <f>Datos!$B$76</f>
        <v>Desvíos de gravedad Alta abiertos a fin de mes</v>
      </c>
      <c r="E1162" s="199" t="str">
        <f>Datos!$C$76</f>
        <v>u</v>
      </c>
      <c r="F1162" s="31" t="s">
        <v>572</v>
      </c>
      <c r="G1162" s="246" t="str">
        <f>IF(ISNUMBER(Datos!AD76),Datos!AD76,"")</f>
        <v/>
      </c>
      <c r="H116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3" spans="1:8" x14ac:dyDescent="0.3">
      <c r="A1163" s="245">
        <f>Datos!$AE$3</f>
        <v>47058</v>
      </c>
      <c r="B1163" s="199" t="str">
        <f>Datos!AE$4</f>
        <v>Compresora</v>
      </c>
      <c r="C1163" s="31" t="s">
        <v>537</v>
      </c>
      <c r="D1163" s="199" t="str">
        <f>Datos!$B$9</f>
        <v>Dotación promedio: Personal OPS</v>
      </c>
      <c r="E1163" s="199" t="str">
        <f>Datos!$C$9</f>
        <v>pers</v>
      </c>
      <c r="F1163" s="31" t="s">
        <v>538</v>
      </c>
      <c r="G1163" s="246" t="str">
        <f>IF(ISNUMBER(Datos!AE9),Datos!AE9,"")</f>
        <v/>
      </c>
      <c r="H116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4" spans="1:8" x14ac:dyDescent="0.3">
      <c r="A1164" s="245">
        <f>Datos!$AE$3</f>
        <v>47058</v>
      </c>
      <c r="B1164" s="199" t="str">
        <f>Datos!AE$4</f>
        <v>Compresora</v>
      </c>
      <c r="C1164" s="31" t="s">
        <v>539</v>
      </c>
      <c r="D1164" s="199" t="str">
        <f>Datos!$B$10</f>
        <v>Dotación promedio: Personal SMP(IEBC, PAE e YPF) </v>
      </c>
      <c r="E1164" s="199" t="str">
        <f>Datos!$C$10</f>
        <v>pers</v>
      </c>
      <c r="F1164" s="31" t="s">
        <v>538</v>
      </c>
      <c r="G1164" s="246" t="str">
        <f>IF(ISNUMBER(Datos!AE10),Datos!AE10,"")</f>
        <v/>
      </c>
      <c r="H116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5" spans="1:8" x14ac:dyDescent="0.3">
      <c r="A1165" s="245">
        <f>Datos!$AE$3</f>
        <v>47058</v>
      </c>
      <c r="B1165" s="199" t="str">
        <f>Datos!AE$4</f>
        <v>Compresora</v>
      </c>
      <c r="C1165" s="31" t="s">
        <v>540</v>
      </c>
      <c r="D1165" s="199" t="str">
        <f>Datos!$B$11</f>
        <v>Dotación promedio: TOTAL</v>
      </c>
      <c r="E1165" s="199" t="str">
        <f>Datos!$C$11</f>
        <v>pers</v>
      </c>
      <c r="F1165" s="31" t="s">
        <v>541</v>
      </c>
      <c r="G1165" s="246">
        <f>IF(ISNUMBER(Datos!AE11),Datos!AE11,"")</f>
        <v>0</v>
      </c>
      <c r="H116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6" spans="1:8" x14ac:dyDescent="0.3">
      <c r="A1166" s="245">
        <f>Datos!$AE$3</f>
        <v>47058</v>
      </c>
      <c r="B1166" s="199" t="str">
        <f>Datos!AE$4</f>
        <v>Compresora</v>
      </c>
      <c r="C1166" s="31" t="s">
        <v>542</v>
      </c>
      <c r="D1166" s="199" t="str">
        <f>Datos!$B$12</f>
        <v>Horas hombre trabajadas: Personal OPS</v>
      </c>
      <c r="E1166" s="199" t="str">
        <f>Datos!$C$12</f>
        <v>h</v>
      </c>
      <c r="F1166" s="31" t="s">
        <v>538</v>
      </c>
      <c r="G1166" s="246" t="str">
        <f>IF(ISNUMBER(Datos!AE12),Datos!AE12,"")</f>
        <v/>
      </c>
      <c r="H116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7" spans="1:8" x14ac:dyDescent="0.3">
      <c r="A1167" s="245">
        <f>Datos!$AE$3</f>
        <v>47058</v>
      </c>
      <c r="B1167" s="199" t="str">
        <f>Datos!AE$4</f>
        <v>Compresora</v>
      </c>
      <c r="C1167" s="31" t="s">
        <v>543</v>
      </c>
      <c r="D1167" s="199" t="str">
        <f>Datos!$B$13</f>
        <v>Horas hombre trabajadas: Personal SMP(IEBC, PAE e YPF) en campo</v>
      </c>
      <c r="E1167" s="199" t="str">
        <f>Datos!$C$13</f>
        <v>h</v>
      </c>
      <c r="F1167" s="31" t="s">
        <v>538</v>
      </c>
      <c r="G1167" s="246" t="str">
        <f>IF(ISNUMBER(Datos!AE13),Datos!AE13,"")</f>
        <v/>
      </c>
      <c r="H116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8" spans="1:8" x14ac:dyDescent="0.3">
      <c r="A1168" s="245">
        <f>Datos!$AE$3</f>
        <v>47058</v>
      </c>
      <c r="B1168" s="199" t="str">
        <f>Datos!AE$4</f>
        <v>Compresora</v>
      </c>
      <c r="C1168" s="31" t="s">
        <v>544</v>
      </c>
      <c r="D1168" s="199" t="str">
        <f>Datos!$B$14</f>
        <v>Horas hombre trabajadas: TOTAL</v>
      </c>
      <c r="E1168" s="199" t="str">
        <f>Datos!$C$14</f>
        <v>h</v>
      </c>
      <c r="F1168" s="31" t="s">
        <v>541</v>
      </c>
      <c r="G1168" s="246">
        <f>IF(ISNUMBER(Datos!AE14),Datos!AE14,"")</f>
        <v>0</v>
      </c>
      <c r="H116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9" spans="1:8" x14ac:dyDescent="0.3">
      <c r="A1169" s="245">
        <f>Datos!$AE$3</f>
        <v>47058</v>
      </c>
      <c r="B1169" s="199" t="str">
        <f>Datos!AE$4</f>
        <v>Compresora</v>
      </c>
      <c r="C1169" s="31" t="s">
        <v>545</v>
      </c>
      <c r="D1169" s="199" t="str">
        <f>Datos!$B$16</f>
        <v>Horas hombre de formación en seguridad: Personal OPS</v>
      </c>
      <c r="E1169" s="199" t="str">
        <f>Datos!$C$16</f>
        <v>h</v>
      </c>
      <c r="F1169" s="31" t="s">
        <v>538</v>
      </c>
      <c r="G1169" s="246" t="str">
        <f>IF(ISNUMBER(Datos!AE16),Datos!AE16,"")</f>
        <v/>
      </c>
      <c r="H116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0" spans="1:8" x14ac:dyDescent="0.3">
      <c r="A1170" s="245">
        <f>Datos!$AE$3</f>
        <v>47058</v>
      </c>
      <c r="B1170" s="199" t="str">
        <f>Datos!AE$4</f>
        <v>Compresora</v>
      </c>
      <c r="C1170" s="31" t="s">
        <v>546</v>
      </c>
      <c r="D1170" s="199" t="str">
        <f>Datos!$B$17</f>
        <v>Horas hombre de formación en seguridad: Personal SMP(IEBC, PAE e YPF) </v>
      </c>
      <c r="E1170" s="199" t="str">
        <f>Datos!$C$17</f>
        <v>h</v>
      </c>
      <c r="F1170" s="31" t="s">
        <v>538</v>
      </c>
      <c r="G1170" s="246" t="str">
        <f>IF(ISNUMBER(Datos!AE17),Datos!AE17,"")</f>
        <v/>
      </c>
      <c r="H117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1" spans="1:8" x14ac:dyDescent="0.3">
      <c r="A1171" s="245">
        <f>Datos!$AE$3</f>
        <v>47058</v>
      </c>
      <c r="B1171" s="199" t="str">
        <f>Datos!AE$4</f>
        <v>Compresora</v>
      </c>
      <c r="C1171" s="31" t="s">
        <v>547</v>
      </c>
      <c r="D1171" s="199" t="str">
        <f>Datos!$B$18</f>
        <v>Horas hombre de formación en seguridad: TOTAL</v>
      </c>
      <c r="E1171" s="199" t="str">
        <f>Datos!$C$18</f>
        <v>h</v>
      </c>
      <c r="F1171" s="31" t="s">
        <v>541</v>
      </c>
      <c r="G1171" s="246">
        <f>IF(ISNUMBER(Datos!AE18),Datos!AE18,"")</f>
        <v>0</v>
      </c>
      <c r="H117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2" spans="1:8" x14ac:dyDescent="0.3">
      <c r="A1172" s="245">
        <f>Datos!$AE$3</f>
        <v>47058</v>
      </c>
      <c r="B1172" s="199" t="str">
        <f>Datos!AE$4</f>
        <v>Compresora</v>
      </c>
      <c r="C1172" s="31" t="s">
        <v>548</v>
      </c>
      <c r="D1172" s="199" t="str">
        <f>Datos!$B$20</f>
        <v>SIMULACROS · Realizados (emergencia y operativos)</v>
      </c>
      <c r="E1172" s="199" t="str">
        <f>Datos!$C$20</f>
        <v>u</v>
      </c>
      <c r="F1172" s="31" t="s">
        <v>538</v>
      </c>
      <c r="G1172" s="246" t="str">
        <f>IF(ISNUMBER(Datos!AE20),Datos!AE20,"")</f>
        <v/>
      </c>
      <c r="H117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3" spans="1:8" x14ac:dyDescent="0.3">
      <c r="A1173" s="245">
        <f>Datos!$AE$3</f>
        <v>47058</v>
      </c>
      <c r="B1173" s="199" t="str">
        <f>Datos!AE$4</f>
        <v>Compresora</v>
      </c>
      <c r="C1173" s="31" t="s">
        <v>549</v>
      </c>
      <c r="D1173" s="199" t="str">
        <f>Datos!$B$21</f>
        <v>SIMULACROS · Programados (emergencia y operativos)</v>
      </c>
      <c r="E1173" s="199" t="str">
        <f>Datos!$C$21</f>
        <v>u</v>
      </c>
      <c r="F1173" s="31" t="s">
        <v>538</v>
      </c>
      <c r="G1173" s="246" t="str">
        <f>IF(ISNUMBER(Datos!AE21),Datos!AE21,"")</f>
        <v/>
      </c>
      <c r="H117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4" spans="1:8" x14ac:dyDescent="0.3">
      <c r="A1174" s="245">
        <f>Datos!$AE$3</f>
        <v>47058</v>
      </c>
      <c r="B1174" s="199" t="str">
        <f>Datos!AE$4</f>
        <v>Compresora</v>
      </c>
      <c r="C1174" s="31" t="s">
        <v>550</v>
      </c>
      <c r="D1174" s="199" t="str">
        <f>Datos!$B$22</f>
        <v>SIMULACROS · Acciones de mejora surgidas de los simulacros (en el mes informado)</v>
      </c>
      <c r="E1174" s="199" t="str">
        <f>Datos!$C$22</f>
        <v>u</v>
      </c>
      <c r="F1174" s="31" t="s">
        <v>538</v>
      </c>
      <c r="G1174" s="246" t="str">
        <f>IF(ISNUMBER(Datos!AE22),Datos!AE22,"")</f>
        <v/>
      </c>
      <c r="H117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5" spans="1:8" x14ac:dyDescent="0.3">
      <c r="A1175" s="245">
        <f>Datos!$AE$3</f>
        <v>47058</v>
      </c>
      <c r="B1175" s="199" t="str">
        <f>Datos!AE$4</f>
        <v>Compresora</v>
      </c>
      <c r="C1175" s="31" t="s">
        <v>551</v>
      </c>
      <c r="D1175" s="199" t="str">
        <f>Datos!$B$23</f>
        <v>SIMULACROS · Acciones de mejora implementadas surgidas de los simulacros (ICME) (en el mes informado)</v>
      </c>
      <c r="E1175" s="199" t="str">
        <f>Datos!$C$23</f>
        <v>u</v>
      </c>
      <c r="F1175" s="31" t="s">
        <v>538</v>
      </c>
      <c r="G1175" s="246" t="str">
        <f>IF(ISNUMBER(Datos!AE23),Datos!AE23,"")</f>
        <v/>
      </c>
      <c r="H117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6" spans="1:8" x14ac:dyDescent="0.3">
      <c r="A1176" s="245">
        <f>Datos!$AE$3</f>
        <v>47058</v>
      </c>
      <c r="B1176" s="199" t="str">
        <f>Datos!AE$4</f>
        <v>Compresora</v>
      </c>
      <c r="C1176" s="31" t="s">
        <v>552</v>
      </c>
      <c r="D1176" s="199" t="str">
        <f>Datos!$B$24</f>
        <v>Caminatas gerenciales realizadas</v>
      </c>
      <c r="E1176" s="199" t="str">
        <f>Datos!$C$24</f>
        <v>u</v>
      </c>
      <c r="F1176" s="31" t="s">
        <v>538</v>
      </c>
      <c r="G1176" s="246" t="str">
        <f>IF(ISNUMBER(Datos!AE24),Datos!AE24,"")</f>
        <v/>
      </c>
      <c r="H117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7" spans="1:8" x14ac:dyDescent="0.3">
      <c r="A1177" s="245">
        <f>Datos!$AE$3</f>
        <v>47058</v>
      </c>
      <c r="B1177" s="199" t="str">
        <f>Datos!AE$4</f>
        <v>Compresora</v>
      </c>
      <c r="C1177" s="31" t="s">
        <v>553</v>
      </c>
      <c r="D1177" s="199" t="str">
        <f>Datos!$B$25</f>
        <v>Caminatas gerenciales planificadas</v>
      </c>
      <c r="E1177" s="199" t="str">
        <f>Datos!$C$25</f>
        <v>u</v>
      </c>
      <c r="F1177" s="31" t="s">
        <v>538</v>
      </c>
      <c r="G1177" s="246" t="str">
        <f>IF(ISNUMBER(Datos!AE25),Datos!AE25,"")</f>
        <v/>
      </c>
      <c r="H117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8" spans="1:8" x14ac:dyDescent="0.3">
      <c r="A1178" s="245">
        <f>Datos!$AE$3</f>
        <v>47058</v>
      </c>
      <c r="B1178" s="199" t="str">
        <f>Datos!AE$4</f>
        <v>Compresora</v>
      </c>
      <c r="C1178" s="31" t="s">
        <v>554</v>
      </c>
      <c r="D1178" s="199" t="str">
        <f>Datos!$B$26</f>
        <v>Comités y subcomités de seguridad realizados</v>
      </c>
      <c r="E1178" s="199" t="str">
        <f>Datos!$C$26</f>
        <v>u</v>
      </c>
      <c r="F1178" s="31" t="s">
        <v>538</v>
      </c>
      <c r="G1178" s="246" t="str">
        <f>IF(ISNUMBER(Datos!AE26),Datos!AE26,"")</f>
        <v/>
      </c>
      <c r="H117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9" spans="1:8" x14ac:dyDescent="0.3">
      <c r="A1179" s="245">
        <f>Datos!$AE$3</f>
        <v>47058</v>
      </c>
      <c r="B1179" s="199" t="str">
        <f>Datos!AE$4</f>
        <v>Compresora</v>
      </c>
      <c r="C1179" s="31" t="s">
        <v>555</v>
      </c>
      <c r="D1179" s="199" t="str">
        <f>Datos!$B$27</f>
        <v>Comités y subcomités de seguridad planificados</v>
      </c>
      <c r="E1179" s="199" t="str">
        <f>Datos!$C$27</f>
        <v>u</v>
      </c>
      <c r="F1179" s="31" t="s">
        <v>538</v>
      </c>
      <c r="G1179" s="246" t="str">
        <f>IF(ISNUMBER(Datos!AE27),Datos!AE27,"")</f>
        <v/>
      </c>
      <c r="H117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0" spans="1:8" x14ac:dyDescent="0.3">
      <c r="A1180" s="245">
        <f>Datos!$AE$3</f>
        <v>47058</v>
      </c>
      <c r="B1180" s="199" t="str">
        <f>Datos!AE$4</f>
        <v>Compresora</v>
      </c>
      <c r="C1180" s="31" t="s">
        <v>556</v>
      </c>
      <c r="D1180" s="31" t="inlineStr">
        <is>
          <t>Observaciones de comportamiento seguro: total del mes (OPS + SMP)</t>
        </is>
      </c>
      <c r="E1180" s="199" t="str">
        <f>Datos!$C$28</f>
        <v>u</v>
      </c>
      <c r="F1180" s="31" t="s">
        <v>538</v>
      </c>
      <c r="G1180" s="246" t="str">
        <f>IF(COUNT(Datos!AE28:AE29)=0,"",SUM(Datos!AE28:AE29))</f>
        <v/>
      </c>
      <c r="H118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1" spans="1:8" x14ac:dyDescent="0.3">
      <c r="A1181" s="245">
        <f>Datos!$AE$3</f>
        <v>47058</v>
      </c>
      <c r="B1181" s="199" t="str">
        <f>Datos!AE$4</f>
        <v>Compresora</v>
      </c>
      <c r="C1181" s="31" t="s">
        <v>557</v>
      </c>
      <c r="D1181" s="199" t="str">
        <f>Datos!$B$30</f>
        <v>Investigaciones de accidentes cerradas en el mes</v>
      </c>
      <c r="E1181" s="199" t="str">
        <f>Datos!$C$30</f>
        <v>u</v>
      </c>
      <c r="F1181" s="31" t="s">
        <v>538</v>
      </c>
      <c r="G1181" s="246" t="str">
        <f>IF(ISNUMBER(Datos!AE30),Datos!AE30,"")</f>
        <v/>
      </c>
      <c r="H118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2" spans="1:8" x14ac:dyDescent="0.3">
      <c r="A1182" s="245">
        <f>Datos!$AE$3</f>
        <v>47058</v>
      </c>
      <c r="B1182" s="199" t="str">
        <f>Datos!AE$4</f>
        <v>Compresora</v>
      </c>
      <c r="C1182" s="31" t="s">
        <v>558</v>
      </c>
      <c r="D1182" s="199" t="str">
        <f>Datos!$B$31</f>
        <v>Días que llevaron esas investigaciones (suma)</v>
      </c>
      <c r="E1182" s="199" t="str">
        <f>Datos!$C$31</f>
        <v>días</v>
      </c>
      <c r="F1182" s="31" t="s">
        <v>538</v>
      </c>
      <c r="G1182" s="246" t="str">
        <f>IF(ISNUMBER(Datos!AE31),Datos!AE31,"")</f>
        <v/>
      </c>
      <c r="H118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3" spans="1:8" x14ac:dyDescent="0.3">
      <c r="A1183" s="245">
        <f>Datos!$AE$3</f>
        <v>47058</v>
      </c>
      <c r="B1183" s="199" t="str">
        <f>Datos!AE$4</f>
        <v>Compresora</v>
      </c>
      <c r="C1183" s="31" t="s">
        <v>559</v>
      </c>
      <c r="D1183" s="199" t="str">
        <f>Datos!$B$33</f>
        <v>Casos con días perdidos</v>
      </c>
      <c r="E1183" s="199" t="str">
        <f>Datos!$C$33</f>
        <v>u</v>
      </c>
      <c r="F1183" s="31" t="s">
        <v>538</v>
      </c>
      <c r="G1183" s="246" t="str">
        <f>IF(ISNUMBER(Datos!AE33),Datos!AE33,"")</f>
        <v/>
      </c>
      <c r="H118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4" spans="1:8" x14ac:dyDescent="0.3">
      <c r="A1184" s="245">
        <f>Datos!$AE$3</f>
        <v>47058</v>
      </c>
      <c r="B1184" s="199" t="str">
        <f>Datos!AE$4</f>
        <v>Compresora</v>
      </c>
      <c r="C1184" s="31" t="s">
        <v>560</v>
      </c>
      <c r="D1184" s="199" t="str">
        <f>Datos!$B$34</f>
        <v>Casos con trabajo restringido</v>
      </c>
      <c r="E1184" s="199" t="str">
        <f>Datos!$C$34</f>
        <v>u</v>
      </c>
      <c r="F1184" s="31" t="s">
        <v>538</v>
      </c>
      <c r="G1184" s="246" t="str">
        <f>IF(ISNUMBER(Datos!AE34),Datos!AE34,"")</f>
        <v/>
      </c>
      <c r="H118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5" spans="1:8" x14ac:dyDescent="0.3">
      <c r="A1185" s="245">
        <f>Datos!$AE$3</f>
        <v>47058</v>
      </c>
      <c r="B1185" s="199" t="str">
        <f>Datos!AE$4</f>
        <v>Compresora</v>
      </c>
      <c r="C1185" s="31" t="s">
        <v>561</v>
      </c>
      <c r="D1185" s="199" t="str">
        <f>Datos!$B$35</f>
        <v>Casos con tratamiento médico</v>
      </c>
      <c r="E1185" s="199" t="str">
        <f>Datos!$C$35</f>
        <v>u</v>
      </c>
      <c r="F1185" s="31" t="s">
        <v>538</v>
      </c>
      <c r="G1185" s="246" t="str">
        <f>IF(ISNUMBER(Datos!AE35),Datos!AE35,"")</f>
        <v/>
      </c>
      <c r="H118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6" spans="1:8" x14ac:dyDescent="0.3">
      <c r="A1186" s="245">
        <f>Datos!$AE$3</f>
        <v>47058</v>
      </c>
      <c r="B1186" s="199" t="str">
        <f>Datos!AE$4</f>
        <v>Compresora</v>
      </c>
      <c r="C1186" s="31" t="s">
        <v>562</v>
      </c>
      <c r="D1186" s="199" t="str">
        <f>Datos!$B$36</f>
        <v>Fatalidades</v>
      </c>
      <c r="E1186" s="199" t="str">
        <f>Datos!$C$36</f>
        <v>u</v>
      </c>
      <c r="F1186" s="31" t="s">
        <v>538</v>
      </c>
      <c r="G1186" s="246" t="str">
        <f>IF(ISNUMBER(Datos!AE36),Datos!AE36,"")</f>
        <v/>
      </c>
      <c r="H118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7" spans="1:8" x14ac:dyDescent="0.3">
      <c r="A1187" s="245">
        <f>Datos!$AE$3</f>
        <v>47058</v>
      </c>
      <c r="B1187" s="199" t="str">
        <f>Datos!AE$4</f>
        <v>Compresora</v>
      </c>
      <c r="C1187" s="31" t="s">
        <v>51</v>
      </c>
      <c r="D1187" s="199" t="str">
        <f>Datos!$B$37</f>
        <v>Casos de primeros auxilios</v>
      </c>
      <c r="E1187" s="199" t="str">
        <f>Datos!$C$37</f>
        <v>u</v>
      </c>
      <c r="F1187" s="31" t="s">
        <v>538</v>
      </c>
      <c r="G1187" s="246" t="str">
        <f>IF(ISNUMBER(Datos!AE37),Datos!AE37,"")</f>
        <v/>
      </c>
      <c r="H118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8" spans="1:8" x14ac:dyDescent="0.3">
      <c r="A1188" s="245">
        <f>Datos!$AE$3</f>
        <v>47058</v>
      </c>
      <c r="B1188" s="199" t="str">
        <f>Datos!AE$4</f>
        <v>Compresora</v>
      </c>
      <c r="C1188" s="31" t="s">
        <v>563</v>
      </c>
      <c r="D1188" s="199" t="str">
        <f>Datos!$B$39</f>
        <v>CVM catastróficas</v>
      </c>
      <c r="E1188" s="199" t="str">
        <f>Datos!$C$39</f>
        <v>u</v>
      </c>
      <c r="F1188" s="31" t="s">
        <v>538</v>
      </c>
      <c r="G1188" s="246" t="str">
        <f>IF(ISNUMBER(Datos!AE39),Datos!AE39,"")</f>
        <v/>
      </c>
      <c r="H118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9" spans="1:8" x14ac:dyDescent="0.3">
      <c r="A1189" s="245">
        <f>Datos!$AE$3</f>
        <v>47058</v>
      </c>
      <c r="B1189" s="199" t="str">
        <f>Datos!AE$4</f>
        <v>Compresora</v>
      </c>
      <c r="C1189" s="31" t="s">
        <v>564</v>
      </c>
      <c r="D1189" s="199" t="str">
        <f>Datos!$B$40</f>
        <v>CVM mayores</v>
      </c>
      <c r="E1189" s="199" t="str">
        <f>Datos!$C$40</f>
        <v>u</v>
      </c>
      <c r="F1189" s="31" t="s">
        <v>538</v>
      </c>
      <c r="G1189" s="246" t="str">
        <f>IF(ISNUMBER(Datos!AE40),Datos!AE40,"")</f>
        <v/>
      </c>
      <c r="H118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0" spans="1:8" x14ac:dyDescent="0.3">
      <c r="A1190" s="245">
        <f>Datos!$AE$3</f>
        <v>47058</v>
      </c>
      <c r="B1190" s="199" t="str">
        <f>Datos!AE$4</f>
        <v>Compresora</v>
      </c>
      <c r="C1190" s="31" t="s">
        <v>565</v>
      </c>
      <c r="D1190" s="199" t="str">
        <f>Datos!$B$41</f>
        <v>CVM serias</v>
      </c>
      <c r="E1190" s="199" t="str">
        <f>Datos!$C$41</f>
        <v>u</v>
      </c>
      <c r="F1190" s="31" t="s">
        <v>538</v>
      </c>
      <c r="G1190" s="246" t="str">
        <f>IF(ISNUMBER(Datos!AE41),Datos!AE41,"")</f>
        <v/>
      </c>
      <c r="H119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1" spans="1:8" x14ac:dyDescent="0.3">
      <c r="A1191" s="245">
        <f>Datos!$AE$3</f>
        <v>47058</v>
      </c>
      <c r="B1191" s="199" t="str">
        <f>Datos!AE$4</f>
        <v>Compresora</v>
      </c>
      <c r="C1191" s="31" t="s">
        <v>566</v>
      </c>
      <c r="D1191" s="199" t="str">
        <f>Datos!$B$42</f>
        <v>CVM otras / menores</v>
      </c>
      <c r="E1191" s="199" t="str">
        <f>Datos!$C$42</f>
        <v>u</v>
      </c>
      <c r="F1191" s="31" t="s">
        <v>538</v>
      </c>
      <c r="G1191" s="246" t="str">
        <f>IF(ISNUMBER(Datos!AE42),Datos!AE42,"")</f>
        <v/>
      </c>
      <c r="H119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2" spans="1:8" x14ac:dyDescent="0.3">
      <c r="A1192" s="245">
        <f>Datos!$AE$3</f>
        <v>47058</v>
      </c>
      <c r="B1192" s="199" t="str">
        <f>Datos!AE$4</f>
        <v>Compresora</v>
      </c>
      <c r="C1192" s="31" t="s">
        <v>567</v>
      </c>
      <c r="D1192" s="199" t="str">
        <f>Datos!$B$44</f>
        <v>Km recorridos: vehículos livianos (camionetas)</v>
      </c>
      <c r="E1192" s="199" t="str">
        <f>Datos!$C$44</f>
        <v>km</v>
      </c>
      <c r="F1192" s="31" t="s">
        <v>538</v>
      </c>
      <c r="G1192" s="246" t="str">
        <f>IF(ISNUMBER(Datos!AE44),Datos!AE44,"")</f>
        <v/>
      </c>
      <c r="H119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3" spans="1:8" x14ac:dyDescent="0.3">
      <c r="A1193" s="245">
        <f>Datos!$AE$3</f>
        <v>47058</v>
      </c>
      <c r="B1193" s="199" t="str">
        <f>Datos!AE$4</f>
        <v>Compresora</v>
      </c>
      <c r="C1193" s="31" t="s">
        <v>568</v>
      </c>
      <c r="D1193" s="199" t="str">
        <f>Datos!$B$45</f>
        <v>Km recorridos: vehículos pesados (camiones)</v>
      </c>
      <c r="E1193" s="199" t="str">
        <f>Datos!$C$45</f>
        <v>km</v>
      </c>
      <c r="F1193" s="31" t="s">
        <v>538</v>
      </c>
      <c r="G1193" s="246" t="str">
        <f>IF(ISNUMBER(Datos!AE45),Datos!AE45,"")</f>
        <v/>
      </c>
      <c r="H119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4" spans="1:8" x14ac:dyDescent="0.3">
      <c r="A1194" s="245">
        <f>Datos!$AE$3</f>
        <v>47058</v>
      </c>
      <c r="B1194" s="199" t="str">
        <f>Datos!AE$4</f>
        <v>Compresora</v>
      </c>
      <c r="C1194" s="31" t="s">
        <v>569</v>
      </c>
      <c r="D1194" s="199" t="str">
        <f>Datos!$B$46</f>
        <v>Km recorridos: vehículos de transporte de personal (combis)</v>
      </c>
      <c r="E1194" s="199" t="str">
        <f>Datos!$C$46</f>
        <v>km</v>
      </c>
      <c r="F1194" s="31" t="s">
        <v>538</v>
      </c>
      <c r="G1194" s="246" t="str">
        <f>IF(ISNUMBER(Datos!AE46),Datos!AE46,"")</f>
        <v/>
      </c>
      <c r="H119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5" spans="1:8" x14ac:dyDescent="0.3">
      <c r="A1195" s="245">
        <f>Datos!$AE$3</f>
        <v>47058</v>
      </c>
      <c r="B1195" s="199" t="str">
        <f>Datos!AE$4</f>
        <v>Compresora</v>
      </c>
      <c r="C1195" s="31" t="s">
        <v>570</v>
      </c>
      <c r="D1195" s="199" t="str">
        <f>Datos!$B$47</f>
        <v>Km recorridos: TOTAL</v>
      </c>
      <c r="E1195" s="199" t="str">
        <f>Datos!$C$47</f>
        <v>km</v>
      </c>
      <c r="F1195" s="31" t="s">
        <v>541</v>
      </c>
      <c r="G1195" s="246">
        <f>IF(ISNUMBER(Datos!AE47),Datos!AE47,"")</f>
        <v>0</v>
      </c>
      <c r="H119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6" spans="1:8" x14ac:dyDescent="0.3">
      <c r="A1196" s="245">
        <f>Datos!$AE$3</f>
        <v>47058</v>
      </c>
      <c r="B1196" s="199" t="str">
        <f>Datos!AE$4</f>
        <v>Compresora</v>
      </c>
      <c r="C1196" s="31" t="s">
        <v>571</v>
      </c>
      <c r="D1196" s="199" t="str">
        <f>Datos!$B$67</f>
        <v>Hallazgos (desvíos) cerrados en el mes</v>
      </c>
      <c r="E1196" s="199" t="str">
        <f>Datos!$C$67</f>
        <v>u</v>
      </c>
      <c r="F1196" s="31" t="s">
        <v>572</v>
      </c>
      <c r="G1196" s="246" t="str">
        <f>IF(ISNUMBER(Datos!AE67),Datos!AE67,"")</f>
        <v/>
      </c>
      <c r="H119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7" spans="1:8" x14ac:dyDescent="0.3">
      <c r="A1197" s="245">
        <f>Datos!$AE$3</f>
        <v>47058</v>
      </c>
      <c r="B1197" s="199" t="str">
        <f>Datos!AE$4</f>
        <v>Compresora</v>
      </c>
      <c r="C1197" s="31" t="s">
        <v>573</v>
      </c>
      <c r="D1197" s="199" t="str">
        <f>Datos!$B$68</f>
        <v>Días que llevaron esos hallazgos (suma)</v>
      </c>
      <c r="E1197" s="199" t="str">
        <f>Datos!$C$68</f>
        <v>días</v>
      </c>
      <c r="F1197" s="31" t="s">
        <v>572</v>
      </c>
      <c r="G1197" s="246" t="str">
        <f>IF(ISNUMBER(Datos!AE68),Datos!AE68,"")</f>
        <v/>
      </c>
      <c r="H119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8" spans="1:8" x14ac:dyDescent="0.3">
      <c r="A1198" s="245">
        <f>Datos!$AE$3</f>
        <v>47058</v>
      </c>
      <c r="B1198" s="199" t="str">
        <f>Datos!AE$4</f>
        <v>Compresora</v>
      </c>
      <c r="C1198" s="31" t="s">
        <v>574</v>
      </c>
      <c r="D1198" s="199" t="str">
        <f>Datos!$B$69</f>
        <v>Hallazgos (desvíos) abiertos a fin de mes</v>
      </c>
      <c r="E1198" s="199" t="str">
        <f>Datos!$C$69</f>
        <v>u</v>
      </c>
      <c r="F1198" s="31" t="s">
        <v>572</v>
      </c>
      <c r="G1198" s="246" t="str">
        <f>IF(ISNUMBER(Datos!AE69),Datos!AE69,"")</f>
        <v/>
      </c>
      <c r="H119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9" spans="1:8" x14ac:dyDescent="0.3">
      <c r="A1199" s="245">
        <f>Datos!$AE$3</f>
        <v>47058</v>
      </c>
      <c r="B1199" s="199" t="str">
        <f>Datos!AE$4</f>
        <v>Compresora</v>
      </c>
      <c r="C1199" s="31" t="s">
        <v>575</v>
      </c>
      <c r="D1199" s="199" t="str">
        <f>Datos!$B$70</f>
        <v>Hallazgos (desvíos) detectados en el mes</v>
      </c>
      <c r="E1199" s="199" t="str">
        <f>Datos!$C$70</f>
        <v>u</v>
      </c>
      <c r="F1199" s="31" t="s">
        <v>572</v>
      </c>
      <c r="G1199" s="246" t="str">
        <f>IF(ISNUMBER(Datos!AE70),Datos!AE70,"")</f>
        <v/>
      </c>
      <c r="H119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0" spans="1:8" x14ac:dyDescent="0.3">
      <c r="A1200" s="245">
        <f>Datos!$AE$3</f>
        <v>47058</v>
      </c>
      <c r="B1200" s="199" t="str">
        <f>Datos!AE$4</f>
        <v>Compresora</v>
      </c>
      <c r="C1200" s="31" t="s">
        <v>576</v>
      </c>
      <c r="D1200" s="199" t="str">
        <f>Datos!$B$71</f>
        <v>Desvíos detectados en el mes · gravedad Alta</v>
      </c>
      <c r="E1200" s="199" t="str">
        <f>Datos!$C$71</f>
        <v>u</v>
      </c>
      <c r="F1200" s="31" t="s">
        <v>572</v>
      </c>
      <c r="G1200" s="246" t="str">
        <f>IF(ISNUMBER(Datos!AE71),Datos!AE71,"")</f>
        <v/>
      </c>
      <c r="H120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1" spans="1:8" x14ac:dyDescent="0.3">
      <c r="A1201" s="245">
        <f>Datos!$AE$3</f>
        <v>47058</v>
      </c>
      <c r="B1201" s="199" t="str">
        <f>Datos!AE$4</f>
        <v>Compresora</v>
      </c>
      <c r="C1201" s="31" t="s">
        <v>577</v>
      </c>
      <c r="D1201" s="199" t="str">
        <f>Datos!$B$72</f>
        <v>Desvíos detectados en el mes · gravedad Media</v>
      </c>
      <c r="E1201" s="199" t="str">
        <f>Datos!$C$72</f>
        <v>u</v>
      </c>
      <c r="F1201" s="31" t="s">
        <v>572</v>
      </c>
      <c r="G1201" s="246" t="str">
        <f>IF(ISNUMBER(Datos!AE72),Datos!AE72,"")</f>
        <v/>
      </c>
      <c r="H120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2" spans="1:8" x14ac:dyDescent="0.3">
      <c r="A1202" s="245">
        <f>Datos!$AE$3</f>
        <v>47058</v>
      </c>
      <c r="B1202" s="199" t="str">
        <f>Datos!AE$4</f>
        <v>Compresora</v>
      </c>
      <c r="C1202" s="31" t="s">
        <v>578</v>
      </c>
      <c r="D1202" s="199" t="str">
        <f>Datos!$B$73</f>
        <v>Desvíos detectados en el mes · gravedad Baja</v>
      </c>
      <c r="E1202" s="199" t="str">
        <f>Datos!$C$73</f>
        <v>u</v>
      </c>
      <c r="F1202" s="31" t="s">
        <v>572</v>
      </c>
      <c r="G1202" s="246" t="str">
        <f>IF(ISNUMBER(Datos!AE73),Datos!AE73,"")</f>
        <v/>
      </c>
      <c r="H120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3" spans="1:8" x14ac:dyDescent="0.3">
      <c r="A1203" s="245">
        <f>Datos!$AE$3</f>
        <v>47058</v>
      </c>
      <c r="B1203" s="199" t="str">
        <f>Datos!AE$4</f>
        <v>Compresora</v>
      </c>
      <c r="C1203" s="31" t="s">
        <v>579</v>
      </c>
      <c r="D1203" s="199" t="str">
        <f>Datos!$B$74</f>
        <v>Desvíos detectados en el mes · sin gravedad cargada</v>
      </c>
      <c r="E1203" s="199" t="str">
        <f>Datos!$C$74</f>
        <v>u</v>
      </c>
      <c r="F1203" s="31" t="s">
        <v>572</v>
      </c>
      <c r="G1203" s="246">
        <f>IF(ISNUMBER(Datos!AE74),Datos!AE74,"")</f>
        <v>0</v>
      </c>
      <c r="H120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4" spans="1:8" x14ac:dyDescent="0.3">
      <c r="A1204" s="245">
        <f>Datos!$AE$3</f>
        <v>47058</v>
      </c>
      <c r="B1204" s="199" t="str">
        <f>Datos!AE$4</f>
        <v>Compresora</v>
      </c>
      <c r="C1204" s="31" t="s">
        <v>580</v>
      </c>
      <c r="D1204" s="199" t="str">
        <f>Datos!$B$75</f>
        <v>Detenciones de tareas aplicadas en el mes (Política = Sí)</v>
      </c>
      <c r="E1204" s="199" t="str">
        <f>Datos!$C$75</f>
        <v>u</v>
      </c>
      <c r="F1204" s="31" t="s">
        <v>572</v>
      </c>
      <c r="G1204" s="246" t="str">
        <f>IF(ISNUMBER(Datos!AE75),Datos!AE75,"")</f>
        <v/>
      </c>
      <c r="H120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5" spans="1:8" x14ac:dyDescent="0.3">
      <c r="A1205" s="245">
        <f>Datos!$AE$3</f>
        <v>47058</v>
      </c>
      <c r="B1205" s="199" t="str">
        <f>Datos!AE$4</f>
        <v>Compresora</v>
      </c>
      <c r="C1205" s="31" t="s">
        <v>581</v>
      </c>
      <c r="D1205" s="199" t="str">
        <f>Datos!$B$76</f>
        <v>Desvíos de gravedad Alta abiertos a fin de mes</v>
      </c>
      <c r="E1205" s="199" t="str">
        <f>Datos!$C$76</f>
        <v>u</v>
      </c>
      <c r="F1205" s="31" t="s">
        <v>572</v>
      </c>
      <c r="G1205" s="246" t="str">
        <f>IF(ISNUMBER(Datos!AE76),Datos!AE76,"")</f>
        <v/>
      </c>
      <c r="H120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6" spans="1:8" x14ac:dyDescent="0.3">
      <c r="A1206" s="245">
        <f>Datos!$AF$3</f>
        <v>47088</v>
      </c>
      <c r="B1206" s="199" t="str">
        <f>Datos!AF$4</f>
        <v>Compresora</v>
      </c>
      <c r="C1206" s="31" t="s">
        <v>537</v>
      </c>
      <c r="D1206" s="199" t="str">
        <f>Datos!$B$9</f>
        <v>Dotación promedio: Personal OPS</v>
      </c>
      <c r="E1206" s="199" t="str">
        <f>Datos!$C$9</f>
        <v>pers</v>
      </c>
      <c r="F1206" s="31" t="s">
        <v>538</v>
      </c>
      <c r="G1206" s="246" t="str">
        <f>IF(ISNUMBER(Datos!AF9),Datos!AF9,"")</f>
        <v/>
      </c>
      <c r="H120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7" spans="1:8" x14ac:dyDescent="0.3">
      <c r="A1207" s="245">
        <f>Datos!$AF$3</f>
        <v>47088</v>
      </c>
      <c r="B1207" s="199" t="str">
        <f>Datos!AF$4</f>
        <v>Compresora</v>
      </c>
      <c r="C1207" s="31" t="s">
        <v>539</v>
      </c>
      <c r="D1207" s="199" t="str">
        <f>Datos!$B$10</f>
        <v>Dotación promedio: Personal SMP(IEBC, PAE e YPF) </v>
      </c>
      <c r="E1207" s="199" t="str">
        <f>Datos!$C$10</f>
        <v>pers</v>
      </c>
      <c r="F1207" s="31" t="s">
        <v>538</v>
      </c>
      <c r="G1207" s="246" t="str">
        <f>IF(ISNUMBER(Datos!AF10),Datos!AF10,"")</f>
        <v/>
      </c>
      <c r="H120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8" spans="1:8" x14ac:dyDescent="0.3">
      <c r="A1208" s="245">
        <f>Datos!$AF$3</f>
        <v>47088</v>
      </c>
      <c r="B1208" s="199" t="str">
        <f>Datos!AF$4</f>
        <v>Compresora</v>
      </c>
      <c r="C1208" s="31" t="s">
        <v>540</v>
      </c>
      <c r="D1208" s="199" t="str">
        <f>Datos!$B$11</f>
        <v>Dotación promedio: TOTAL</v>
      </c>
      <c r="E1208" s="199" t="str">
        <f>Datos!$C$11</f>
        <v>pers</v>
      </c>
      <c r="F1208" s="31" t="s">
        <v>541</v>
      </c>
      <c r="G1208" s="246">
        <f>IF(ISNUMBER(Datos!AF11),Datos!AF11,"")</f>
        <v>0</v>
      </c>
      <c r="H120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9" spans="1:8" x14ac:dyDescent="0.3">
      <c r="A1209" s="245">
        <f>Datos!$AF$3</f>
        <v>47088</v>
      </c>
      <c r="B1209" s="199" t="str">
        <f>Datos!AF$4</f>
        <v>Compresora</v>
      </c>
      <c r="C1209" s="31" t="s">
        <v>542</v>
      </c>
      <c r="D1209" s="199" t="str">
        <f>Datos!$B$12</f>
        <v>Horas hombre trabajadas: Personal OPS</v>
      </c>
      <c r="E1209" s="199" t="str">
        <f>Datos!$C$12</f>
        <v>h</v>
      </c>
      <c r="F1209" s="31" t="s">
        <v>538</v>
      </c>
      <c r="G1209" s="246" t="str">
        <f>IF(ISNUMBER(Datos!AF12),Datos!AF12,"")</f>
        <v/>
      </c>
      <c r="H120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0" spans="1:8" x14ac:dyDescent="0.3">
      <c r="A1210" s="245">
        <f>Datos!$AF$3</f>
        <v>47088</v>
      </c>
      <c r="B1210" s="199" t="str">
        <f>Datos!AF$4</f>
        <v>Compresora</v>
      </c>
      <c r="C1210" s="31" t="s">
        <v>543</v>
      </c>
      <c r="D1210" s="199" t="str">
        <f>Datos!$B$13</f>
        <v>Horas hombre trabajadas: Personal SMP(IEBC, PAE e YPF) en campo</v>
      </c>
      <c r="E1210" s="199" t="str">
        <f>Datos!$C$13</f>
        <v>h</v>
      </c>
      <c r="F1210" s="31" t="s">
        <v>538</v>
      </c>
      <c r="G1210" s="246" t="str">
        <f>IF(ISNUMBER(Datos!AF13),Datos!AF13,"")</f>
        <v/>
      </c>
      <c r="H121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1" spans="1:8" x14ac:dyDescent="0.3">
      <c r="A1211" s="245">
        <f>Datos!$AF$3</f>
        <v>47088</v>
      </c>
      <c r="B1211" s="199" t="str">
        <f>Datos!AF$4</f>
        <v>Compresora</v>
      </c>
      <c r="C1211" s="31" t="s">
        <v>544</v>
      </c>
      <c r="D1211" s="199" t="str">
        <f>Datos!$B$14</f>
        <v>Horas hombre trabajadas: TOTAL</v>
      </c>
      <c r="E1211" s="199" t="str">
        <f>Datos!$C$14</f>
        <v>h</v>
      </c>
      <c r="F1211" s="31" t="s">
        <v>541</v>
      </c>
      <c r="G1211" s="246">
        <f>IF(ISNUMBER(Datos!AF14),Datos!AF14,"")</f>
        <v>0</v>
      </c>
      <c r="H121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2" spans="1:8" x14ac:dyDescent="0.3">
      <c r="A1212" s="245">
        <f>Datos!$AF$3</f>
        <v>47088</v>
      </c>
      <c r="B1212" s="199" t="str">
        <f>Datos!AF$4</f>
        <v>Compresora</v>
      </c>
      <c r="C1212" s="31" t="s">
        <v>545</v>
      </c>
      <c r="D1212" s="199" t="str">
        <f>Datos!$B$16</f>
        <v>Horas hombre de formación en seguridad: Personal OPS</v>
      </c>
      <c r="E1212" s="199" t="str">
        <f>Datos!$C$16</f>
        <v>h</v>
      </c>
      <c r="F1212" s="31" t="s">
        <v>538</v>
      </c>
      <c r="G1212" s="246" t="str">
        <f>IF(ISNUMBER(Datos!AF16),Datos!AF16,"")</f>
        <v/>
      </c>
      <c r="H121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3" spans="1:8" x14ac:dyDescent="0.3">
      <c r="A1213" s="245">
        <f>Datos!$AF$3</f>
        <v>47088</v>
      </c>
      <c r="B1213" s="199" t="str">
        <f>Datos!AF$4</f>
        <v>Compresora</v>
      </c>
      <c r="C1213" s="31" t="s">
        <v>546</v>
      </c>
      <c r="D1213" s="199" t="str">
        <f>Datos!$B$17</f>
        <v>Horas hombre de formación en seguridad: Personal SMP(IEBC, PAE e YPF) </v>
      </c>
      <c r="E1213" s="199" t="str">
        <f>Datos!$C$17</f>
        <v>h</v>
      </c>
      <c r="F1213" s="31" t="s">
        <v>538</v>
      </c>
      <c r="G1213" s="246" t="str">
        <f>IF(ISNUMBER(Datos!AF17),Datos!AF17,"")</f>
        <v/>
      </c>
      <c r="H121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4" spans="1:8" x14ac:dyDescent="0.3">
      <c r="A1214" s="245">
        <f>Datos!$AF$3</f>
        <v>47088</v>
      </c>
      <c r="B1214" s="199" t="str">
        <f>Datos!AF$4</f>
        <v>Compresora</v>
      </c>
      <c r="C1214" s="31" t="s">
        <v>547</v>
      </c>
      <c r="D1214" s="199" t="str">
        <f>Datos!$B$18</f>
        <v>Horas hombre de formación en seguridad: TOTAL</v>
      </c>
      <c r="E1214" s="199" t="str">
        <f>Datos!$C$18</f>
        <v>h</v>
      </c>
      <c r="F1214" s="31" t="s">
        <v>541</v>
      </c>
      <c r="G1214" s="246">
        <f>IF(ISNUMBER(Datos!AF18),Datos!AF18,"")</f>
        <v>0</v>
      </c>
      <c r="H121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5" spans="1:8" x14ac:dyDescent="0.3">
      <c r="A1215" s="245">
        <f>Datos!$AF$3</f>
        <v>47088</v>
      </c>
      <c r="B1215" s="199" t="str">
        <f>Datos!AF$4</f>
        <v>Compresora</v>
      </c>
      <c r="C1215" s="31" t="s">
        <v>548</v>
      </c>
      <c r="D1215" s="199" t="str">
        <f>Datos!$B$20</f>
        <v>SIMULACROS · Realizados (emergencia y operativos)</v>
      </c>
      <c r="E1215" s="199" t="str">
        <f>Datos!$C$20</f>
        <v>u</v>
      </c>
      <c r="F1215" s="31" t="s">
        <v>538</v>
      </c>
      <c r="G1215" s="246" t="str">
        <f>IF(ISNUMBER(Datos!AF20),Datos!AF20,"")</f>
        <v/>
      </c>
      <c r="H121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6" spans="1:8" x14ac:dyDescent="0.3">
      <c r="A1216" s="245">
        <f>Datos!$AF$3</f>
        <v>47088</v>
      </c>
      <c r="B1216" s="199" t="str">
        <f>Datos!AF$4</f>
        <v>Compresora</v>
      </c>
      <c r="C1216" s="31" t="s">
        <v>549</v>
      </c>
      <c r="D1216" s="199" t="str">
        <f>Datos!$B$21</f>
        <v>SIMULACROS · Programados (emergencia y operativos)</v>
      </c>
      <c r="E1216" s="199" t="str">
        <f>Datos!$C$21</f>
        <v>u</v>
      </c>
      <c r="F1216" s="31" t="s">
        <v>538</v>
      </c>
      <c r="G1216" s="246" t="str">
        <f>IF(ISNUMBER(Datos!AF21),Datos!AF21,"")</f>
        <v/>
      </c>
      <c r="H121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7" spans="1:8" x14ac:dyDescent="0.3">
      <c r="A1217" s="245">
        <f>Datos!$AF$3</f>
        <v>47088</v>
      </c>
      <c r="B1217" s="199" t="str">
        <f>Datos!AF$4</f>
        <v>Compresora</v>
      </c>
      <c r="C1217" s="31" t="s">
        <v>550</v>
      </c>
      <c r="D1217" s="199" t="str">
        <f>Datos!$B$22</f>
        <v>SIMULACROS · Acciones de mejora surgidas de los simulacros (en el mes informado)</v>
      </c>
      <c r="E1217" s="199" t="str">
        <f>Datos!$C$22</f>
        <v>u</v>
      </c>
      <c r="F1217" s="31" t="s">
        <v>538</v>
      </c>
      <c r="G1217" s="246" t="str">
        <f>IF(ISNUMBER(Datos!AF22),Datos!AF22,"")</f>
        <v/>
      </c>
      <c r="H121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8" spans="1:8" x14ac:dyDescent="0.3">
      <c r="A1218" s="245">
        <f>Datos!$AF$3</f>
        <v>47088</v>
      </c>
      <c r="B1218" s="199" t="str">
        <f>Datos!AF$4</f>
        <v>Compresora</v>
      </c>
      <c r="C1218" s="31" t="s">
        <v>551</v>
      </c>
      <c r="D1218" s="199" t="str">
        <f>Datos!$B$23</f>
        <v>SIMULACROS · Acciones de mejora implementadas surgidas de los simulacros (ICME) (en el mes informado)</v>
      </c>
      <c r="E1218" s="199" t="str">
        <f>Datos!$C$23</f>
        <v>u</v>
      </c>
      <c r="F1218" s="31" t="s">
        <v>538</v>
      </c>
      <c r="G1218" s="246" t="str">
        <f>IF(ISNUMBER(Datos!AF23),Datos!AF23,"")</f>
        <v/>
      </c>
      <c r="H121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9" spans="1:8" x14ac:dyDescent="0.3">
      <c r="A1219" s="245">
        <f>Datos!$AF$3</f>
        <v>47088</v>
      </c>
      <c r="B1219" s="199" t="str">
        <f>Datos!AF$4</f>
        <v>Compresora</v>
      </c>
      <c r="C1219" s="31" t="s">
        <v>552</v>
      </c>
      <c r="D1219" s="199" t="str">
        <f>Datos!$B$24</f>
        <v>Caminatas gerenciales realizadas</v>
      </c>
      <c r="E1219" s="199" t="str">
        <f>Datos!$C$24</f>
        <v>u</v>
      </c>
      <c r="F1219" s="31" t="s">
        <v>538</v>
      </c>
      <c r="G1219" s="246" t="str">
        <f>IF(ISNUMBER(Datos!AF24),Datos!AF24,"")</f>
        <v/>
      </c>
      <c r="H121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0" spans="1:8" x14ac:dyDescent="0.3">
      <c r="A1220" s="245">
        <f>Datos!$AF$3</f>
        <v>47088</v>
      </c>
      <c r="B1220" s="199" t="str">
        <f>Datos!AF$4</f>
        <v>Compresora</v>
      </c>
      <c r="C1220" s="31" t="s">
        <v>553</v>
      </c>
      <c r="D1220" s="199" t="str">
        <f>Datos!$B$25</f>
        <v>Caminatas gerenciales planificadas</v>
      </c>
      <c r="E1220" s="199" t="str">
        <f>Datos!$C$25</f>
        <v>u</v>
      </c>
      <c r="F1220" s="31" t="s">
        <v>538</v>
      </c>
      <c r="G1220" s="246" t="str">
        <f>IF(ISNUMBER(Datos!AF25),Datos!AF25,"")</f>
        <v/>
      </c>
      <c r="H122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1" spans="1:8" x14ac:dyDescent="0.3">
      <c r="A1221" s="245">
        <f>Datos!$AF$3</f>
        <v>47088</v>
      </c>
      <c r="B1221" s="199" t="str">
        <f>Datos!AF$4</f>
        <v>Compresora</v>
      </c>
      <c r="C1221" s="31" t="s">
        <v>554</v>
      </c>
      <c r="D1221" s="199" t="str">
        <f>Datos!$B$26</f>
        <v>Comités y subcomités de seguridad realizados</v>
      </c>
      <c r="E1221" s="199" t="str">
        <f>Datos!$C$26</f>
        <v>u</v>
      </c>
      <c r="F1221" s="31" t="s">
        <v>538</v>
      </c>
      <c r="G1221" s="246" t="str">
        <f>IF(ISNUMBER(Datos!AF26),Datos!AF26,"")</f>
        <v/>
      </c>
      <c r="H122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2" spans="1:8" x14ac:dyDescent="0.3">
      <c r="A1222" s="245">
        <f>Datos!$AF$3</f>
        <v>47088</v>
      </c>
      <c r="B1222" s="199" t="str">
        <f>Datos!AF$4</f>
        <v>Compresora</v>
      </c>
      <c r="C1222" s="31" t="s">
        <v>555</v>
      </c>
      <c r="D1222" s="199" t="str">
        <f>Datos!$B$27</f>
        <v>Comités y subcomités de seguridad planificados</v>
      </c>
      <c r="E1222" s="199" t="str">
        <f>Datos!$C$27</f>
        <v>u</v>
      </c>
      <c r="F1222" s="31" t="s">
        <v>538</v>
      </c>
      <c r="G1222" s="246" t="str">
        <f>IF(ISNUMBER(Datos!AF27),Datos!AF27,"")</f>
        <v/>
      </c>
      <c r="H122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3" spans="1:8" x14ac:dyDescent="0.3">
      <c r="A1223" s="245">
        <f>Datos!$AF$3</f>
        <v>47088</v>
      </c>
      <c r="B1223" s="199" t="str">
        <f>Datos!AF$4</f>
        <v>Compresora</v>
      </c>
      <c r="C1223" s="31" t="s">
        <v>556</v>
      </c>
      <c r="D1223" s="31" t="inlineStr">
        <is>
          <t>Observaciones de comportamiento seguro: total del mes (OPS + SMP)</t>
        </is>
      </c>
      <c r="E1223" s="199" t="str">
        <f>Datos!$C$28</f>
        <v>u</v>
      </c>
      <c r="F1223" s="31" t="s">
        <v>538</v>
      </c>
      <c r="G1223" s="246" t="str">
        <f>IF(COUNT(Datos!AF28:AF29)=0,"",SUM(Datos!AF28:AF29))</f>
        <v/>
      </c>
      <c r="H122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4" spans="1:8" x14ac:dyDescent="0.3">
      <c r="A1224" s="245">
        <f>Datos!$AF$3</f>
        <v>47088</v>
      </c>
      <c r="B1224" s="199" t="str">
        <f>Datos!AF$4</f>
        <v>Compresora</v>
      </c>
      <c r="C1224" s="31" t="s">
        <v>557</v>
      </c>
      <c r="D1224" s="199" t="str">
        <f>Datos!$B$30</f>
        <v>Investigaciones de accidentes cerradas en el mes</v>
      </c>
      <c r="E1224" s="199" t="str">
        <f>Datos!$C$30</f>
        <v>u</v>
      </c>
      <c r="F1224" s="31" t="s">
        <v>538</v>
      </c>
      <c r="G1224" s="246" t="str">
        <f>IF(ISNUMBER(Datos!AF30),Datos!AF30,"")</f>
        <v/>
      </c>
      <c r="H122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5" spans="1:8" x14ac:dyDescent="0.3">
      <c r="A1225" s="245">
        <f>Datos!$AF$3</f>
        <v>47088</v>
      </c>
      <c r="B1225" s="199" t="str">
        <f>Datos!AF$4</f>
        <v>Compresora</v>
      </c>
      <c r="C1225" s="31" t="s">
        <v>558</v>
      </c>
      <c r="D1225" s="199" t="str">
        <f>Datos!$B$31</f>
        <v>Días que llevaron esas investigaciones (suma)</v>
      </c>
      <c r="E1225" s="199" t="str">
        <f>Datos!$C$31</f>
        <v>días</v>
      </c>
      <c r="F1225" s="31" t="s">
        <v>538</v>
      </c>
      <c r="G1225" s="246" t="str">
        <f>IF(ISNUMBER(Datos!AF31),Datos!AF31,"")</f>
        <v/>
      </c>
      <c r="H122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6" spans="1:8" x14ac:dyDescent="0.3">
      <c r="A1226" s="245">
        <f>Datos!$AF$3</f>
        <v>47088</v>
      </c>
      <c r="B1226" s="199" t="str">
        <f>Datos!AF$4</f>
        <v>Compresora</v>
      </c>
      <c r="C1226" s="31" t="s">
        <v>559</v>
      </c>
      <c r="D1226" s="199" t="str">
        <f>Datos!$B$33</f>
        <v>Casos con días perdidos</v>
      </c>
      <c r="E1226" s="199" t="str">
        <f>Datos!$C$33</f>
        <v>u</v>
      </c>
      <c r="F1226" s="31" t="s">
        <v>538</v>
      </c>
      <c r="G1226" s="246" t="str">
        <f>IF(ISNUMBER(Datos!AF33),Datos!AF33,"")</f>
        <v/>
      </c>
      <c r="H122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7" spans="1:8" x14ac:dyDescent="0.3">
      <c r="A1227" s="245">
        <f>Datos!$AF$3</f>
        <v>47088</v>
      </c>
      <c r="B1227" s="199" t="str">
        <f>Datos!AF$4</f>
        <v>Compresora</v>
      </c>
      <c r="C1227" s="31" t="s">
        <v>560</v>
      </c>
      <c r="D1227" s="199" t="str">
        <f>Datos!$B$34</f>
        <v>Casos con trabajo restringido</v>
      </c>
      <c r="E1227" s="199" t="str">
        <f>Datos!$C$34</f>
        <v>u</v>
      </c>
      <c r="F1227" s="31" t="s">
        <v>538</v>
      </c>
      <c r="G1227" s="246" t="str">
        <f>IF(ISNUMBER(Datos!AF34),Datos!AF34,"")</f>
        <v/>
      </c>
      <c r="H122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8" spans="1:8" x14ac:dyDescent="0.3">
      <c r="A1228" s="245">
        <f>Datos!$AF$3</f>
        <v>47088</v>
      </c>
      <c r="B1228" s="199" t="str">
        <f>Datos!AF$4</f>
        <v>Compresora</v>
      </c>
      <c r="C1228" s="31" t="s">
        <v>561</v>
      </c>
      <c r="D1228" s="199" t="str">
        <f>Datos!$B$35</f>
        <v>Casos con tratamiento médico</v>
      </c>
      <c r="E1228" s="199" t="str">
        <f>Datos!$C$35</f>
        <v>u</v>
      </c>
      <c r="F1228" s="31" t="s">
        <v>538</v>
      </c>
      <c r="G1228" s="246" t="str">
        <f>IF(ISNUMBER(Datos!AF35),Datos!AF35,"")</f>
        <v/>
      </c>
      <c r="H122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9" spans="1:8" x14ac:dyDescent="0.3">
      <c r="A1229" s="245">
        <f>Datos!$AF$3</f>
        <v>47088</v>
      </c>
      <c r="B1229" s="199" t="str">
        <f>Datos!AF$4</f>
        <v>Compresora</v>
      </c>
      <c r="C1229" s="31" t="s">
        <v>562</v>
      </c>
      <c r="D1229" s="199" t="str">
        <f>Datos!$B$36</f>
        <v>Fatalidades</v>
      </c>
      <c r="E1229" s="199" t="str">
        <f>Datos!$C$36</f>
        <v>u</v>
      </c>
      <c r="F1229" s="31" t="s">
        <v>538</v>
      </c>
      <c r="G1229" s="246" t="str">
        <f>IF(ISNUMBER(Datos!AF36),Datos!AF36,"")</f>
        <v/>
      </c>
      <c r="H122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0" spans="1:8" x14ac:dyDescent="0.3">
      <c r="A1230" s="245">
        <f>Datos!$AF$3</f>
        <v>47088</v>
      </c>
      <c r="B1230" s="199" t="str">
        <f>Datos!AF$4</f>
        <v>Compresora</v>
      </c>
      <c r="C1230" s="31" t="s">
        <v>51</v>
      </c>
      <c r="D1230" s="199" t="str">
        <f>Datos!$B$37</f>
        <v>Casos de primeros auxilios</v>
      </c>
      <c r="E1230" s="199" t="str">
        <f>Datos!$C$37</f>
        <v>u</v>
      </c>
      <c r="F1230" s="31" t="s">
        <v>538</v>
      </c>
      <c r="G1230" s="246" t="str">
        <f>IF(ISNUMBER(Datos!AF37),Datos!AF37,"")</f>
        <v/>
      </c>
      <c r="H123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1" spans="1:8" x14ac:dyDescent="0.3">
      <c r="A1231" s="245">
        <f>Datos!$AF$3</f>
        <v>47088</v>
      </c>
      <c r="B1231" s="199" t="str">
        <f>Datos!AF$4</f>
        <v>Compresora</v>
      </c>
      <c r="C1231" s="31" t="s">
        <v>563</v>
      </c>
      <c r="D1231" s="199" t="str">
        <f>Datos!$B$39</f>
        <v>CVM catastróficas</v>
      </c>
      <c r="E1231" s="199" t="str">
        <f>Datos!$C$39</f>
        <v>u</v>
      </c>
      <c r="F1231" s="31" t="s">
        <v>538</v>
      </c>
      <c r="G1231" s="246" t="str">
        <f>IF(ISNUMBER(Datos!AF39),Datos!AF39,"")</f>
        <v/>
      </c>
      <c r="H123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2" spans="1:8" x14ac:dyDescent="0.3">
      <c r="A1232" s="245">
        <f>Datos!$AF$3</f>
        <v>47088</v>
      </c>
      <c r="B1232" s="199" t="str">
        <f>Datos!AF$4</f>
        <v>Compresora</v>
      </c>
      <c r="C1232" s="31" t="s">
        <v>564</v>
      </c>
      <c r="D1232" s="199" t="str">
        <f>Datos!$B$40</f>
        <v>CVM mayores</v>
      </c>
      <c r="E1232" s="199" t="str">
        <f>Datos!$C$40</f>
        <v>u</v>
      </c>
      <c r="F1232" s="31" t="s">
        <v>538</v>
      </c>
      <c r="G1232" s="246" t="str">
        <f>IF(ISNUMBER(Datos!AF40),Datos!AF40,"")</f>
        <v/>
      </c>
      <c r="H123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3" spans="1:8" x14ac:dyDescent="0.3">
      <c r="A1233" s="245">
        <f>Datos!$AF$3</f>
        <v>47088</v>
      </c>
      <c r="B1233" s="199" t="str">
        <f>Datos!AF$4</f>
        <v>Compresora</v>
      </c>
      <c r="C1233" s="31" t="s">
        <v>565</v>
      </c>
      <c r="D1233" s="199" t="str">
        <f>Datos!$B$41</f>
        <v>CVM serias</v>
      </c>
      <c r="E1233" s="199" t="str">
        <f>Datos!$C$41</f>
        <v>u</v>
      </c>
      <c r="F1233" s="31" t="s">
        <v>538</v>
      </c>
      <c r="G1233" s="246" t="str">
        <f>IF(ISNUMBER(Datos!AF41),Datos!AF41,"")</f>
        <v/>
      </c>
      <c r="H123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4" spans="1:8" x14ac:dyDescent="0.3">
      <c r="A1234" s="245">
        <f>Datos!$AF$3</f>
        <v>47088</v>
      </c>
      <c r="B1234" s="199" t="str">
        <f>Datos!AF$4</f>
        <v>Compresora</v>
      </c>
      <c r="C1234" s="31" t="s">
        <v>566</v>
      </c>
      <c r="D1234" s="199" t="str">
        <f>Datos!$B$42</f>
        <v>CVM otras / menores</v>
      </c>
      <c r="E1234" s="199" t="str">
        <f>Datos!$C$42</f>
        <v>u</v>
      </c>
      <c r="F1234" s="31" t="s">
        <v>538</v>
      </c>
      <c r="G1234" s="246" t="str">
        <f>IF(ISNUMBER(Datos!AF42),Datos!AF42,"")</f>
        <v/>
      </c>
      <c r="H123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5" spans="1:8" x14ac:dyDescent="0.3">
      <c r="A1235" s="245">
        <f>Datos!$AF$3</f>
        <v>47088</v>
      </c>
      <c r="B1235" s="199" t="str">
        <f>Datos!AF$4</f>
        <v>Compresora</v>
      </c>
      <c r="C1235" s="31" t="s">
        <v>567</v>
      </c>
      <c r="D1235" s="199" t="str">
        <f>Datos!$B$44</f>
        <v>Km recorridos: vehículos livianos (camionetas)</v>
      </c>
      <c r="E1235" s="199" t="str">
        <f>Datos!$C$44</f>
        <v>km</v>
      </c>
      <c r="F1235" s="31" t="s">
        <v>538</v>
      </c>
      <c r="G1235" s="246" t="str">
        <f>IF(ISNUMBER(Datos!AF44),Datos!AF44,"")</f>
        <v/>
      </c>
      <c r="H123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6" spans="1:8" x14ac:dyDescent="0.3">
      <c r="A1236" s="245">
        <f>Datos!$AF$3</f>
        <v>47088</v>
      </c>
      <c r="B1236" s="199" t="str">
        <f>Datos!AF$4</f>
        <v>Compresora</v>
      </c>
      <c r="C1236" s="31" t="s">
        <v>568</v>
      </c>
      <c r="D1236" s="199" t="str">
        <f>Datos!$B$45</f>
        <v>Km recorridos: vehículos pesados (camiones)</v>
      </c>
      <c r="E1236" s="199" t="str">
        <f>Datos!$C$45</f>
        <v>km</v>
      </c>
      <c r="F1236" s="31" t="s">
        <v>538</v>
      </c>
      <c r="G1236" s="246" t="str">
        <f>IF(ISNUMBER(Datos!AF45),Datos!AF45,"")</f>
        <v/>
      </c>
      <c r="H123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7" spans="1:8" x14ac:dyDescent="0.3">
      <c r="A1237" s="245">
        <f>Datos!$AF$3</f>
        <v>47088</v>
      </c>
      <c r="B1237" s="199" t="str">
        <f>Datos!AF$4</f>
        <v>Compresora</v>
      </c>
      <c r="C1237" s="31" t="s">
        <v>569</v>
      </c>
      <c r="D1237" s="199" t="str">
        <f>Datos!$B$46</f>
        <v>Km recorridos: vehículos de transporte de personal (combis)</v>
      </c>
      <c r="E1237" s="199" t="str">
        <f>Datos!$C$46</f>
        <v>km</v>
      </c>
      <c r="F1237" s="31" t="s">
        <v>538</v>
      </c>
      <c r="G1237" s="246" t="str">
        <f>IF(ISNUMBER(Datos!AF46),Datos!AF46,"")</f>
        <v/>
      </c>
      <c r="H123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8" spans="1:8" x14ac:dyDescent="0.3">
      <c r="A1238" s="245">
        <f>Datos!$AF$3</f>
        <v>47088</v>
      </c>
      <c r="B1238" s="199" t="str">
        <f>Datos!AF$4</f>
        <v>Compresora</v>
      </c>
      <c r="C1238" s="31" t="s">
        <v>570</v>
      </c>
      <c r="D1238" s="199" t="str">
        <f>Datos!$B$47</f>
        <v>Km recorridos: TOTAL</v>
      </c>
      <c r="E1238" s="199" t="str">
        <f>Datos!$C$47</f>
        <v>km</v>
      </c>
      <c r="F1238" s="31" t="s">
        <v>541</v>
      </c>
      <c r="G1238" s="246">
        <f>IF(ISNUMBER(Datos!AF47),Datos!AF47,"")</f>
        <v>0</v>
      </c>
      <c r="H123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9" spans="1:8" x14ac:dyDescent="0.3">
      <c r="A1239" s="245">
        <f>Datos!$AF$3</f>
        <v>47088</v>
      </c>
      <c r="B1239" s="199" t="str">
        <f>Datos!AF$4</f>
        <v>Compresora</v>
      </c>
      <c r="C1239" s="31" t="s">
        <v>571</v>
      </c>
      <c r="D1239" s="199" t="str">
        <f>Datos!$B$67</f>
        <v>Hallazgos (desvíos) cerrados en el mes</v>
      </c>
      <c r="E1239" s="199" t="str">
        <f>Datos!$C$67</f>
        <v>u</v>
      </c>
      <c r="F1239" s="31" t="s">
        <v>572</v>
      </c>
      <c r="G1239" s="246" t="str">
        <f>IF(ISNUMBER(Datos!AF67),Datos!AF67,"")</f>
        <v/>
      </c>
      <c r="H123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0" spans="1:8" x14ac:dyDescent="0.3">
      <c r="A1240" s="245">
        <f>Datos!$AF$3</f>
        <v>47088</v>
      </c>
      <c r="B1240" s="199" t="str">
        <f>Datos!AF$4</f>
        <v>Compresora</v>
      </c>
      <c r="C1240" s="31" t="s">
        <v>573</v>
      </c>
      <c r="D1240" s="199" t="str">
        <f>Datos!$B$68</f>
        <v>Días que llevaron esos hallazgos (suma)</v>
      </c>
      <c r="E1240" s="199" t="str">
        <f>Datos!$C$68</f>
        <v>días</v>
      </c>
      <c r="F1240" s="31" t="s">
        <v>572</v>
      </c>
      <c r="G1240" s="246" t="str">
        <f>IF(ISNUMBER(Datos!AF68),Datos!AF68,"")</f>
        <v/>
      </c>
      <c r="H124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1" spans="1:8" x14ac:dyDescent="0.3">
      <c r="A1241" s="245">
        <f>Datos!$AF$3</f>
        <v>47088</v>
      </c>
      <c r="B1241" s="199" t="str">
        <f>Datos!AF$4</f>
        <v>Compresora</v>
      </c>
      <c r="C1241" s="31" t="s">
        <v>574</v>
      </c>
      <c r="D1241" s="199" t="str">
        <f>Datos!$B$69</f>
        <v>Hallazgos (desvíos) abiertos a fin de mes</v>
      </c>
      <c r="E1241" s="199" t="str">
        <f>Datos!$C$69</f>
        <v>u</v>
      </c>
      <c r="F1241" s="31" t="s">
        <v>572</v>
      </c>
      <c r="G1241" s="246" t="str">
        <f>IF(ISNUMBER(Datos!AF69),Datos!AF69,"")</f>
        <v/>
      </c>
      <c r="H124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2" spans="1:8" x14ac:dyDescent="0.3">
      <c r="A1242" s="245">
        <f>Datos!$AF$3</f>
        <v>47088</v>
      </c>
      <c r="B1242" s="199" t="str">
        <f>Datos!AF$4</f>
        <v>Compresora</v>
      </c>
      <c r="C1242" s="31" t="s">
        <v>575</v>
      </c>
      <c r="D1242" s="199" t="str">
        <f>Datos!$B$70</f>
        <v>Hallazgos (desvíos) detectados en el mes</v>
      </c>
      <c r="E1242" s="199" t="str">
        <f>Datos!$C$70</f>
        <v>u</v>
      </c>
      <c r="F1242" s="31" t="s">
        <v>572</v>
      </c>
      <c r="G1242" s="246" t="str">
        <f>IF(ISNUMBER(Datos!AF70),Datos!AF70,"")</f>
        <v/>
      </c>
      <c r="H124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3" spans="1:8" x14ac:dyDescent="0.3">
      <c r="A1243" s="245">
        <f>Datos!$AF$3</f>
        <v>47088</v>
      </c>
      <c r="B1243" s="199" t="str">
        <f>Datos!AF$4</f>
        <v>Compresora</v>
      </c>
      <c r="C1243" s="31" t="s">
        <v>576</v>
      </c>
      <c r="D1243" s="199" t="str">
        <f>Datos!$B$71</f>
        <v>Desvíos detectados en el mes · gravedad Alta</v>
      </c>
      <c r="E1243" s="199" t="str">
        <f>Datos!$C$71</f>
        <v>u</v>
      </c>
      <c r="F1243" s="31" t="s">
        <v>572</v>
      </c>
      <c r="G1243" s="246" t="str">
        <f>IF(ISNUMBER(Datos!AF71),Datos!AF71,"")</f>
        <v/>
      </c>
      <c r="H124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4" spans="1:8" x14ac:dyDescent="0.3">
      <c r="A1244" s="245">
        <f>Datos!$AF$3</f>
        <v>47088</v>
      </c>
      <c r="B1244" s="199" t="str">
        <f>Datos!AF$4</f>
        <v>Compresora</v>
      </c>
      <c r="C1244" s="31" t="s">
        <v>577</v>
      </c>
      <c r="D1244" s="199" t="str">
        <f>Datos!$B$72</f>
        <v>Desvíos detectados en el mes · gravedad Media</v>
      </c>
      <c r="E1244" s="199" t="str">
        <f>Datos!$C$72</f>
        <v>u</v>
      </c>
      <c r="F1244" s="31" t="s">
        <v>572</v>
      </c>
      <c r="G1244" s="246" t="str">
        <f>IF(ISNUMBER(Datos!AF72),Datos!AF72,"")</f>
        <v/>
      </c>
      <c r="H124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5" spans="1:8" x14ac:dyDescent="0.3">
      <c r="A1245" s="245">
        <f>Datos!$AF$3</f>
        <v>47088</v>
      </c>
      <c r="B1245" s="199" t="str">
        <f>Datos!AF$4</f>
        <v>Compresora</v>
      </c>
      <c r="C1245" s="31" t="s">
        <v>578</v>
      </c>
      <c r="D1245" s="199" t="str">
        <f>Datos!$B$73</f>
        <v>Desvíos detectados en el mes · gravedad Baja</v>
      </c>
      <c r="E1245" s="199" t="str">
        <f>Datos!$C$73</f>
        <v>u</v>
      </c>
      <c r="F1245" s="31" t="s">
        <v>572</v>
      </c>
      <c r="G1245" s="246" t="str">
        <f>IF(ISNUMBER(Datos!AF73),Datos!AF73,"")</f>
        <v/>
      </c>
      <c r="H124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6" spans="1:8" x14ac:dyDescent="0.3">
      <c r="A1246" s="245">
        <f>Datos!$AF$3</f>
        <v>47088</v>
      </c>
      <c r="B1246" s="199" t="str">
        <f>Datos!AF$4</f>
        <v>Compresora</v>
      </c>
      <c r="C1246" s="31" t="s">
        <v>579</v>
      </c>
      <c r="D1246" s="199" t="str">
        <f>Datos!$B$74</f>
        <v>Desvíos detectados en el mes · sin gravedad cargada</v>
      </c>
      <c r="E1246" s="199" t="str">
        <f>Datos!$C$74</f>
        <v>u</v>
      </c>
      <c r="F1246" s="31" t="s">
        <v>572</v>
      </c>
      <c r="G1246" s="246">
        <f>IF(ISNUMBER(Datos!AF74),Datos!AF74,"")</f>
        <v>0</v>
      </c>
      <c r="H124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7" spans="1:8" x14ac:dyDescent="0.3">
      <c r="A1247" s="245">
        <f>Datos!$AF$3</f>
        <v>47088</v>
      </c>
      <c r="B1247" s="199" t="str">
        <f>Datos!AF$4</f>
        <v>Compresora</v>
      </c>
      <c r="C1247" s="31" t="s">
        <v>580</v>
      </c>
      <c r="D1247" s="199" t="str">
        <f>Datos!$B$75</f>
        <v>Detenciones de tareas aplicadas en el mes (Política = Sí)</v>
      </c>
      <c r="E1247" s="199" t="str">
        <f>Datos!$C$75</f>
        <v>u</v>
      </c>
      <c r="F1247" s="31" t="s">
        <v>572</v>
      </c>
      <c r="G1247" s="246" t="str">
        <f>IF(ISNUMBER(Datos!AF75),Datos!AF75,"")</f>
        <v/>
      </c>
      <c r="H124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8" spans="1:8" x14ac:dyDescent="0.3">
      <c r="A1248" s="245">
        <f>Datos!$AF$3</f>
        <v>47088</v>
      </c>
      <c r="B1248" s="199" t="str">
        <f>Datos!AF$4</f>
        <v>Compresora</v>
      </c>
      <c r="C1248" s="31" t="s">
        <v>581</v>
      </c>
      <c r="D1248" s="199" t="str">
        <f>Datos!$B$76</f>
        <v>Desvíos de gravedad Alta abiertos a fin de mes</v>
      </c>
      <c r="E1248" s="199" t="str">
        <f>Datos!$C$76</f>
        <v>u</v>
      </c>
      <c r="F1248" s="31" t="s">
        <v>572</v>
      </c>
      <c r="G1248" s="246" t="str">
        <f>IF(ISNUMBER(Datos!AF76),Datos!AF76,"")</f>
        <v/>
      </c>
      <c r="H124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9" spans="1:8" x14ac:dyDescent="0.3">
      <c r="A1249" s="245">
        <f>Datos!$AG$3</f>
        <v>47119</v>
      </c>
      <c r="B1249" s="199" t="str">
        <f>Datos!AG$4</f>
        <v>Compresora</v>
      </c>
      <c r="C1249" s="31" t="s">
        <v>537</v>
      </c>
      <c r="D1249" s="199" t="str">
        <f>Datos!$B$9</f>
        <v>Dotación promedio: Personal OPS</v>
      </c>
      <c r="E1249" s="199" t="str">
        <f>Datos!$C$9</f>
        <v>pers</v>
      </c>
      <c r="F1249" s="31" t="s">
        <v>538</v>
      </c>
      <c r="G1249" s="246" t="str">
        <f>IF(ISNUMBER(Datos!AG9),Datos!AG9,"")</f>
        <v/>
      </c>
      <c r="H124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0" spans="1:8" x14ac:dyDescent="0.3">
      <c r="A1250" s="245">
        <f>Datos!$AG$3</f>
        <v>47119</v>
      </c>
      <c r="B1250" s="199" t="str">
        <f>Datos!AG$4</f>
        <v>Compresora</v>
      </c>
      <c r="C1250" s="31" t="s">
        <v>539</v>
      </c>
      <c r="D1250" s="199" t="str">
        <f>Datos!$B$10</f>
        <v>Dotación promedio: Personal SMP(IEBC, PAE e YPF) </v>
      </c>
      <c r="E1250" s="199" t="str">
        <f>Datos!$C$10</f>
        <v>pers</v>
      </c>
      <c r="F1250" s="31" t="s">
        <v>538</v>
      </c>
      <c r="G1250" s="246" t="str">
        <f>IF(ISNUMBER(Datos!AG10),Datos!AG10,"")</f>
        <v/>
      </c>
      <c r="H125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1" spans="1:8" x14ac:dyDescent="0.3">
      <c r="A1251" s="245">
        <f>Datos!$AG$3</f>
        <v>47119</v>
      </c>
      <c r="B1251" s="199" t="str">
        <f>Datos!AG$4</f>
        <v>Compresora</v>
      </c>
      <c r="C1251" s="31" t="s">
        <v>540</v>
      </c>
      <c r="D1251" s="199" t="str">
        <f>Datos!$B$11</f>
        <v>Dotación promedio: TOTAL</v>
      </c>
      <c r="E1251" s="199" t="str">
        <f>Datos!$C$11</f>
        <v>pers</v>
      </c>
      <c r="F1251" s="31" t="s">
        <v>541</v>
      </c>
      <c r="G1251" s="246">
        <f>IF(ISNUMBER(Datos!AG11),Datos!AG11,"")</f>
        <v>0</v>
      </c>
      <c r="H125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2" spans="1:8" x14ac:dyDescent="0.3">
      <c r="A1252" s="245">
        <f>Datos!$AG$3</f>
        <v>47119</v>
      </c>
      <c r="B1252" s="199" t="str">
        <f>Datos!AG$4</f>
        <v>Compresora</v>
      </c>
      <c r="C1252" s="31" t="s">
        <v>542</v>
      </c>
      <c r="D1252" s="199" t="str">
        <f>Datos!$B$12</f>
        <v>Horas hombre trabajadas: Personal OPS</v>
      </c>
      <c r="E1252" s="199" t="str">
        <f>Datos!$C$12</f>
        <v>h</v>
      </c>
      <c r="F1252" s="31" t="s">
        <v>538</v>
      </c>
      <c r="G1252" s="246" t="str">
        <f>IF(ISNUMBER(Datos!AG12),Datos!AG12,"")</f>
        <v/>
      </c>
      <c r="H125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3" spans="1:8" x14ac:dyDescent="0.3">
      <c r="A1253" s="245">
        <f>Datos!$AG$3</f>
        <v>47119</v>
      </c>
      <c r="B1253" s="199" t="str">
        <f>Datos!AG$4</f>
        <v>Compresora</v>
      </c>
      <c r="C1253" s="31" t="s">
        <v>543</v>
      </c>
      <c r="D1253" s="199" t="str">
        <f>Datos!$B$13</f>
        <v>Horas hombre trabajadas: Personal SMP(IEBC, PAE e YPF) en campo</v>
      </c>
      <c r="E1253" s="199" t="str">
        <f>Datos!$C$13</f>
        <v>h</v>
      </c>
      <c r="F1253" s="31" t="s">
        <v>538</v>
      </c>
      <c r="G1253" s="246" t="str">
        <f>IF(ISNUMBER(Datos!AG13),Datos!AG13,"")</f>
        <v/>
      </c>
      <c r="H125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4" spans="1:8" x14ac:dyDescent="0.3">
      <c r="A1254" s="245">
        <f>Datos!$AG$3</f>
        <v>47119</v>
      </c>
      <c r="B1254" s="199" t="str">
        <f>Datos!AG$4</f>
        <v>Compresora</v>
      </c>
      <c r="C1254" s="31" t="s">
        <v>544</v>
      </c>
      <c r="D1254" s="199" t="str">
        <f>Datos!$B$14</f>
        <v>Horas hombre trabajadas: TOTAL</v>
      </c>
      <c r="E1254" s="199" t="str">
        <f>Datos!$C$14</f>
        <v>h</v>
      </c>
      <c r="F1254" s="31" t="s">
        <v>541</v>
      </c>
      <c r="G1254" s="246">
        <f>IF(ISNUMBER(Datos!AG14),Datos!AG14,"")</f>
        <v>0</v>
      </c>
      <c r="H125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5" spans="1:8" x14ac:dyDescent="0.3">
      <c r="A1255" s="245">
        <f>Datos!$AG$3</f>
        <v>47119</v>
      </c>
      <c r="B1255" s="199" t="str">
        <f>Datos!AG$4</f>
        <v>Compresora</v>
      </c>
      <c r="C1255" s="31" t="s">
        <v>545</v>
      </c>
      <c r="D1255" s="199" t="str">
        <f>Datos!$B$16</f>
        <v>Horas hombre de formación en seguridad: Personal OPS</v>
      </c>
      <c r="E1255" s="199" t="str">
        <f>Datos!$C$16</f>
        <v>h</v>
      </c>
      <c r="F1255" s="31" t="s">
        <v>538</v>
      </c>
      <c r="G1255" s="246" t="str">
        <f>IF(ISNUMBER(Datos!AG16),Datos!AG16,"")</f>
        <v/>
      </c>
      <c r="H125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6" spans="1:8" x14ac:dyDescent="0.3">
      <c r="A1256" s="245">
        <f>Datos!$AG$3</f>
        <v>47119</v>
      </c>
      <c r="B1256" s="199" t="str">
        <f>Datos!AG$4</f>
        <v>Compresora</v>
      </c>
      <c r="C1256" s="31" t="s">
        <v>546</v>
      </c>
      <c r="D1256" s="199" t="str">
        <f>Datos!$B$17</f>
        <v>Horas hombre de formación en seguridad: Personal SMP(IEBC, PAE e YPF) </v>
      </c>
      <c r="E1256" s="199" t="str">
        <f>Datos!$C$17</f>
        <v>h</v>
      </c>
      <c r="F1256" s="31" t="s">
        <v>538</v>
      </c>
      <c r="G1256" s="246" t="str">
        <f>IF(ISNUMBER(Datos!AG17),Datos!AG17,"")</f>
        <v/>
      </c>
      <c r="H125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7" spans="1:8" x14ac:dyDescent="0.3">
      <c r="A1257" s="245">
        <f>Datos!$AG$3</f>
        <v>47119</v>
      </c>
      <c r="B1257" s="199" t="str">
        <f>Datos!AG$4</f>
        <v>Compresora</v>
      </c>
      <c r="C1257" s="31" t="s">
        <v>547</v>
      </c>
      <c r="D1257" s="199" t="str">
        <f>Datos!$B$18</f>
        <v>Horas hombre de formación en seguridad: TOTAL</v>
      </c>
      <c r="E1257" s="199" t="str">
        <f>Datos!$C$18</f>
        <v>h</v>
      </c>
      <c r="F1257" s="31" t="s">
        <v>541</v>
      </c>
      <c r="G1257" s="246">
        <f>IF(ISNUMBER(Datos!AG18),Datos!AG18,"")</f>
        <v>0</v>
      </c>
      <c r="H125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8" spans="1:8" x14ac:dyDescent="0.3">
      <c r="A1258" s="245">
        <f>Datos!$AG$3</f>
        <v>47119</v>
      </c>
      <c r="B1258" s="199" t="str">
        <f>Datos!AG$4</f>
        <v>Compresora</v>
      </c>
      <c r="C1258" s="31" t="s">
        <v>548</v>
      </c>
      <c r="D1258" s="199" t="str">
        <f>Datos!$B$20</f>
        <v>SIMULACROS · Realizados (emergencia y operativos)</v>
      </c>
      <c r="E1258" s="199" t="str">
        <f>Datos!$C$20</f>
        <v>u</v>
      </c>
      <c r="F1258" s="31" t="s">
        <v>538</v>
      </c>
      <c r="G1258" s="246" t="str">
        <f>IF(ISNUMBER(Datos!AG20),Datos!AG20,"")</f>
        <v/>
      </c>
      <c r="H125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9" spans="1:8" x14ac:dyDescent="0.3">
      <c r="A1259" s="245">
        <f>Datos!$AG$3</f>
        <v>47119</v>
      </c>
      <c r="B1259" s="199" t="str">
        <f>Datos!AG$4</f>
        <v>Compresora</v>
      </c>
      <c r="C1259" s="31" t="s">
        <v>549</v>
      </c>
      <c r="D1259" s="199" t="str">
        <f>Datos!$B$21</f>
        <v>SIMULACROS · Programados (emergencia y operativos)</v>
      </c>
      <c r="E1259" s="199" t="str">
        <f>Datos!$C$21</f>
        <v>u</v>
      </c>
      <c r="F1259" s="31" t="s">
        <v>538</v>
      </c>
      <c r="G1259" s="246" t="str">
        <f>IF(ISNUMBER(Datos!AG21),Datos!AG21,"")</f>
        <v/>
      </c>
      <c r="H125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0" spans="1:8" x14ac:dyDescent="0.3">
      <c r="A1260" s="245">
        <f>Datos!$AG$3</f>
        <v>47119</v>
      </c>
      <c r="B1260" s="199" t="str">
        <f>Datos!AG$4</f>
        <v>Compresora</v>
      </c>
      <c r="C1260" s="31" t="s">
        <v>550</v>
      </c>
      <c r="D1260" s="199" t="str">
        <f>Datos!$B$22</f>
        <v>SIMULACROS · Acciones de mejora surgidas de los simulacros (en el mes informado)</v>
      </c>
      <c r="E1260" s="199" t="str">
        <f>Datos!$C$22</f>
        <v>u</v>
      </c>
      <c r="F1260" s="31" t="s">
        <v>538</v>
      </c>
      <c r="G1260" s="246" t="str">
        <f>IF(ISNUMBER(Datos!AG22),Datos!AG22,"")</f>
        <v/>
      </c>
      <c r="H126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1" spans="1:8" x14ac:dyDescent="0.3">
      <c r="A1261" s="245">
        <f>Datos!$AG$3</f>
        <v>47119</v>
      </c>
      <c r="B1261" s="199" t="str">
        <f>Datos!AG$4</f>
        <v>Compresora</v>
      </c>
      <c r="C1261" s="31" t="s">
        <v>551</v>
      </c>
      <c r="D1261" s="199" t="str">
        <f>Datos!$B$23</f>
        <v>SIMULACROS · Acciones de mejora implementadas surgidas de los simulacros (ICME) (en el mes informado)</v>
      </c>
      <c r="E1261" s="199" t="str">
        <f>Datos!$C$23</f>
        <v>u</v>
      </c>
      <c r="F1261" s="31" t="s">
        <v>538</v>
      </c>
      <c r="G1261" s="246" t="str">
        <f>IF(ISNUMBER(Datos!AG23),Datos!AG23,"")</f>
        <v/>
      </c>
      <c r="H126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2" spans="1:8" x14ac:dyDescent="0.3">
      <c r="A1262" s="245">
        <f>Datos!$AG$3</f>
        <v>47119</v>
      </c>
      <c r="B1262" s="199" t="str">
        <f>Datos!AG$4</f>
        <v>Compresora</v>
      </c>
      <c r="C1262" s="31" t="s">
        <v>552</v>
      </c>
      <c r="D1262" s="199" t="str">
        <f>Datos!$B$24</f>
        <v>Caminatas gerenciales realizadas</v>
      </c>
      <c r="E1262" s="199" t="str">
        <f>Datos!$C$24</f>
        <v>u</v>
      </c>
      <c r="F1262" s="31" t="s">
        <v>538</v>
      </c>
      <c r="G1262" s="246" t="str">
        <f>IF(ISNUMBER(Datos!AG24),Datos!AG24,"")</f>
        <v/>
      </c>
      <c r="H126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3" spans="1:8" x14ac:dyDescent="0.3">
      <c r="A1263" s="245">
        <f>Datos!$AG$3</f>
        <v>47119</v>
      </c>
      <c r="B1263" s="199" t="str">
        <f>Datos!AG$4</f>
        <v>Compresora</v>
      </c>
      <c r="C1263" s="31" t="s">
        <v>553</v>
      </c>
      <c r="D1263" s="199" t="str">
        <f>Datos!$B$25</f>
        <v>Caminatas gerenciales planificadas</v>
      </c>
      <c r="E1263" s="199" t="str">
        <f>Datos!$C$25</f>
        <v>u</v>
      </c>
      <c r="F1263" s="31" t="s">
        <v>538</v>
      </c>
      <c r="G1263" s="246" t="str">
        <f>IF(ISNUMBER(Datos!AG25),Datos!AG25,"")</f>
        <v/>
      </c>
      <c r="H126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4" spans="1:8" x14ac:dyDescent="0.3">
      <c r="A1264" s="245">
        <f>Datos!$AG$3</f>
        <v>47119</v>
      </c>
      <c r="B1264" s="199" t="str">
        <f>Datos!AG$4</f>
        <v>Compresora</v>
      </c>
      <c r="C1264" s="31" t="s">
        <v>554</v>
      </c>
      <c r="D1264" s="199" t="str">
        <f>Datos!$B$26</f>
        <v>Comités y subcomités de seguridad realizados</v>
      </c>
      <c r="E1264" s="199" t="str">
        <f>Datos!$C$26</f>
        <v>u</v>
      </c>
      <c r="F1264" s="31" t="s">
        <v>538</v>
      </c>
      <c r="G1264" s="246" t="str">
        <f>IF(ISNUMBER(Datos!AG26),Datos!AG26,"")</f>
        <v/>
      </c>
      <c r="H126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5" spans="1:8" x14ac:dyDescent="0.3">
      <c r="A1265" s="245">
        <f>Datos!$AG$3</f>
        <v>47119</v>
      </c>
      <c r="B1265" s="199" t="str">
        <f>Datos!AG$4</f>
        <v>Compresora</v>
      </c>
      <c r="C1265" s="31" t="s">
        <v>555</v>
      </c>
      <c r="D1265" s="199" t="str">
        <f>Datos!$B$27</f>
        <v>Comités y subcomités de seguridad planificados</v>
      </c>
      <c r="E1265" s="199" t="str">
        <f>Datos!$C$27</f>
        <v>u</v>
      </c>
      <c r="F1265" s="31" t="s">
        <v>538</v>
      </c>
      <c r="G1265" s="246" t="str">
        <f>IF(ISNUMBER(Datos!AG27),Datos!AG27,"")</f>
        <v/>
      </c>
      <c r="H126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6" spans="1:8" x14ac:dyDescent="0.3">
      <c r="A1266" s="245">
        <f>Datos!$AG$3</f>
        <v>47119</v>
      </c>
      <c r="B1266" s="199" t="str">
        <f>Datos!AG$4</f>
        <v>Compresora</v>
      </c>
      <c r="C1266" s="31" t="s">
        <v>556</v>
      </c>
      <c r="D1266" s="31" t="inlineStr">
        <is>
          <t>Observaciones de comportamiento seguro: total del mes (OPS + SMP)</t>
        </is>
      </c>
      <c r="E1266" s="199" t="str">
        <f>Datos!$C$28</f>
        <v>u</v>
      </c>
      <c r="F1266" s="31" t="s">
        <v>538</v>
      </c>
      <c r="G1266" s="246" t="str">
        <f>IF(COUNT(Datos!AG28:AG29)=0,"",SUM(Datos!AG28:AG29))</f>
        <v/>
      </c>
      <c r="H126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7" spans="1:8" x14ac:dyDescent="0.3">
      <c r="A1267" s="245">
        <f>Datos!$AG$3</f>
        <v>47119</v>
      </c>
      <c r="B1267" s="199" t="str">
        <f>Datos!AG$4</f>
        <v>Compresora</v>
      </c>
      <c r="C1267" s="31" t="s">
        <v>557</v>
      </c>
      <c r="D1267" s="199" t="str">
        <f>Datos!$B$30</f>
        <v>Investigaciones de accidentes cerradas en el mes</v>
      </c>
      <c r="E1267" s="199" t="str">
        <f>Datos!$C$30</f>
        <v>u</v>
      </c>
      <c r="F1267" s="31" t="s">
        <v>538</v>
      </c>
      <c r="G1267" s="246" t="str">
        <f>IF(ISNUMBER(Datos!AG30),Datos!AG30,"")</f>
        <v/>
      </c>
      <c r="H126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8" spans="1:8" x14ac:dyDescent="0.3">
      <c r="A1268" s="245">
        <f>Datos!$AG$3</f>
        <v>47119</v>
      </c>
      <c r="B1268" s="199" t="str">
        <f>Datos!AG$4</f>
        <v>Compresora</v>
      </c>
      <c r="C1268" s="31" t="s">
        <v>558</v>
      </c>
      <c r="D1268" s="199" t="str">
        <f>Datos!$B$31</f>
        <v>Días que llevaron esas investigaciones (suma)</v>
      </c>
      <c r="E1268" s="199" t="str">
        <f>Datos!$C$31</f>
        <v>días</v>
      </c>
      <c r="F1268" s="31" t="s">
        <v>538</v>
      </c>
      <c r="G1268" s="246" t="str">
        <f>IF(ISNUMBER(Datos!AG31),Datos!AG31,"")</f>
        <v/>
      </c>
      <c r="H126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9" spans="1:8" x14ac:dyDescent="0.3">
      <c r="A1269" s="245">
        <f>Datos!$AG$3</f>
        <v>47119</v>
      </c>
      <c r="B1269" s="199" t="str">
        <f>Datos!AG$4</f>
        <v>Compresora</v>
      </c>
      <c r="C1269" s="31" t="s">
        <v>559</v>
      </c>
      <c r="D1269" s="199" t="str">
        <f>Datos!$B$33</f>
        <v>Casos con días perdidos</v>
      </c>
      <c r="E1269" s="199" t="str">
        <f>Datos!$C$33</f>
        <v>u</v>
      </c>
      <c r="F1269" s="31" t="s">
        <v>538</v>
      </c>
      <c r="G1269" s="246" t="str">
        <f>IF(ISNUMBER(Datos!AG33),Datos!AG33,"")</f>
        <v/>
      </c>
      <c r="H126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0" spans="1:8" x14ac:dyDescent="0.3">
      <c r="A1270" s="245">
        <f>Datos!$AG$3</f>
        <v>47119</v>
      </c>
      <c r="B1270" s="199" t="str">
        <f>Datos!AG$4</f>
        <v>Compresora</v>
      </c>
      <c r="C1270" s="31" t="s">
        <v>560</v>
      </c>
      <c r="D1270" s="199" t="str">
        <f>Datos!$B$34</f>
        <v>Casos con trabajo restringido</v>
      </c>
      <c r="E1270" s="199" t="str">
        <f>Datos!$C$34</f>
        <v>u</v>
      </c>
      <c r="F1270" s="31" t="s">
        <v>538</v>
      </c>
      <c r="G1270" s="246" t="str">
        <f>IF(ISNUMBER(Datos!AG34),Datos!AG34,"")</f>
        <v/>
      </c>
      <c r="H127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1" spans="1:8" x14ac:dyDescent="0.3">
      <c r="A1271" s="245">
        <f>Datos!$AG$3</f>
        <v>47119</v>
      </c>
      <c r="B1271" s="199" t="str">
        <f>Datos!AG$4</f>
        <v>Compresora</v>
      </c>
      <c r="C1271" s="31" t="s">
        <v>561</v>
      </c>
      <c r="D1271" s="199" t="str">
        <f>Datos!$B$35</f>
        <v>Casos con tratamiento médico</v>
      </c>
      <c r="E1271" s="199" t="str">
        <f>Datos!$C$35</f>
        <v>u</v>
      </c>
      <c r="F1271" s="31" t="s">
        <v>538</v>
      </c>
      <c r="G1271" s="246" t="str">
        <f>IF(ISNUMBER(Datos!AG35),Datos!AG35,"")</f>
        <v/>
      </c>
      <c r="H127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2" spans="1:8" x14ac:dyDescent="0.3">
      <c r="A1272" s="245">
        <f>Datos!$AG$3</f>
        <v>47119</v>
      </c>
      <c r="B1272" s="199" t="str">
        <f>Datos!AG$4</f>
        <v>Compresora</v>
      </c>
      <c r="C1272" s="31" t="s">
        <v>562</v>
      </c>
      <c r="D1272" s="199" t="str">
        <f>Datos!$B$36</f>
        <v>Fatalidades</v>
      </c>
      <c r="E1272" s="199" t="str">
        <f>Datos!$C$36</f>
        <v>u</v>
      </c>
      <c r="F1272" s="31" t="s">
        <v>538</v>
      </c>
      <c r="G1272" s="246" t="str">
        <f>IF(ISNUMBER(Datos!AG36),Datos!AG36,"")</f>
        <v/>
      </c>
      <c r="H127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3" spans="1:8" x14ac:dyDescent="0.3">
      <c r="A1273" s="245">
        <f>Datos!$AG$3</f>
        <v>47119</v>
      </c>
      <c r="B1273" s="199" t="str">
        <f>Datos!AG$4</f>
        <v>Compresora</v>
      </c>
      <c r="C1273" s="31" t="s">
        <v>51</v>
      </c>
      <c r="D1273" s="199" t="str">
        <f>Datos!$B$37</f>
        <v>Casos de primeros auxilios</v>
      </c>
      <c r="E1273" s="199" t="str">
        <f>Datos!$C$37</f>
        <v>u</v>
      </c>
      <c r="F1273" s="31" t="s">
        <v>538</v>
      </c>
      <c r="G1273" s="246" t="str">
        <f>IF(ISNUMBER(Datos!AG37),Datos!AG37,"")</f>
        <v/>
      </c>
      <c r="H127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4" spans="1:8" x14ac:dyDescent="0.3">
      <c r="A1274" s="245">
        <f>Datos!$AG$3</f>
        <v>47119</v>
      </c>
      <c r="B1274" s="199" t="str">
        <f>Datos!AG$4</f>
        <v>Compresora</v>
      </c>
      <c r="C1274" s="31" t="s">
        <v>563</v>
      </c>
      <c r="D1274" s="199" t="str">
        <f>Datos!$B$39</f>
        <v>CVM catastróficas</v>
      </c>
      <c r="E1274" s="199" t="str">
        <f>Datos!$C$39</f>
        <v>u</v>
      </c>
      <c r="F1274" s="31" t="s">
        <v>538</v>
      </c>
      <c r="G1274" s="246" t="str">
        <f>IF(ISNUMBER(Datos!AG39),Datos!AG39,"")</f>
        <v/>
      </c>
      <c r="H127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5" spans="1:8" x14ac:dyDescent="0.3">
      <c r="A1275" s="245">
        <f>Datos!$AG$3</f>
        <v>47119</v>
      </c>
      <c r="B1275" s="199" t="str">
        <f>Datos!AG$4</f>
        <v>Compresora</v>
      </c>
      <c r="C1275" s="31" t="s">
        <v>564</v>
      </c>
      <c r="D1275" s="199" t="str">
        <f>Datos!$B$40</f>
        <v>CVM mayores</v>
      </c>
      <c r="E1275" s="199" t="str">
        <f>Datos!$C$40</f>
        <v>u</v>
      </c>
      <c r="F1275" s="31" t="s">
        <v>538</v>
      </c>
      <c r="G1275" s="246" t="str">
        <f>IF(ISNUMBER(Datos!AG40),Datos!AG40,"")</f>
        <v/>
      </c>
      <c r="H127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6" spans="1:8" x14ac:dyDescent="0.3">
      <c r="A1276" s="245">
        <f>Datos!$AG$3</f>
        <v>47119</v>
      </c>
      <c r="B1276" s="199" t="str">
        <f>Datos!AG$4</f>
        <v>Compresora</v>
      </c>
      <c r="C1276" s="31" t="s">
        <v>565</v>
      </c>
      <c r="D1276" s="199" t="str">
        <f>Datos!$B$41</f>
        <v>CVM serias</v>
      </c>
      <c r="E1276" s="199" t="str">
        <f>Datos!$C$41</f>
        <v>u</v>
      </c>
      <c r="F1276" s="31" t="s">
        <v>538</v>
      </c>
      <c r="G1276" s="246" t="str">
        <f>IF(ISNUMBER(Datos!AG41),Datos!AG41,"")</f>
        <v/>
      </c>
      <c r="H127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7" spans="1:8" x14ac:dyDescent="0.3">
      <c r="A1277" s="245">
        <f>Datos!$AG$3</f>
        <v>47119</v>
      </c>
      <c r="B1277" s="199" t="str">
        <f>Datos!AG$4</f>
        <v>Compresora</v>
      </c>
      <c r="C1277" s="31" t="s">
        <v>566</v>
      </c>
      <c r="D1277" s="199" t="str">
        <f>Datos!$B$42</f>
        <v>CVM otras / menores</v>
      </c>
      <c r="E1277" s="199" t="str">
        <f>Datos!$C$42</f>
        <v>u</v>
      </c>
      <c r="F1277" s="31" t="s">
        <v>538</v>
      </c>
      <c r="G1277" s="246" t="str">
        <f>IF(ISNUMBER(Datos!AG42),Datos!AG42,"")</f>
        <v/>
      </c>
      <c r="H127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8" spans="1:8" x14ac:dyDescent="0.3">
      <c r="A1278" s="245">
        <f>Datos!$AG$3</f>
        <v>47119</v>
      </c>
      <c r="B1278" s="199" t="str">
        <f>Datos!AG$4</f>
        <v>Compresora</v>
      </c>
      <c r="C1278" s="31" t="s">
        <v>567</v>
      </c>
      <c r="D1278" s="199" t="str">
        <f>Datos!$B$44</f>
        <v>Km recorridos: vehículos livianos (camionetas)</v>
      </c>
      <c r="E1278" s="199" t="str">
        <f>Datos!$C$44</f>
        <v>km</v>
      </c>
      <c r="F1278" s="31" t="s">
        <v>538</v>
      </c>
      <c r="G1278" s="246" t="str">
        <f>IF(ISNUMBER(Datos!AG44),Datos!AG44,"")</f>
        <v/>
      </c>
      <c r="H127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9" spans="1:8" x14ac:dyDescent="0.3">
      <c r="A1279" s="245">
        <f>Datos!$AG$3</f>
        <v>47119</v>
      </c>
      <c r="B1279" s="199" t="str">
        <f>Datos!AG$4</f>
        <v>Compresora</v>
      </c>
      <c r="C1279" s="31" t="s">
        <v>568</v>
      </c>
      <c r="D1279" s="199" t="str">
        <f>Datos!$B$45</f>
        <v>Km recorridos: vehículos pesados (camiones)</v>
      </c>
      <c r="E1279" s="199" t="str">
        <f>Datos!$C$45</f>
        <v>km</v>
      </c>
      <c r="F1279" s="31" t="s">
        <v>538</v>
      </c>
      <c r="G1279" s="246" t="str">
        <f>IF(ISNUMBER(Datos!AG45),Datos!AG45,"")</f>
        <v/>
      </c>
      <c r="H127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0" spans="1:8" x14ac:dyDescent="0.3">
      <c r="A1280" s="245">
        <f>Datos!$AG$3</f>
        <v>47119</v>
      </c>
      <c r="B1280" s="199" t="str">
        <f>Datos!AG$4</f>
        <v>Compresora</v>
      </c>
      <c r="C1280" s="31" t="s">
        <v>569</v>
      </c>
      <c r="D1280" s="199" t="str">
        <f>Datos!$B$46</f>
        <v>Km recorridos: vehículos de transporte de personal (combis)</v>
      </c>
      <c r="E1280" s="199" t="str">
        <f>Datos!$C$46</f>
        <v>km</v>
      </c>
      <c r="F1280" s="31" t="s">
        <v>538</v>
      </c>
      <c r="G1280" s="246" t="str">
        <f>IF(ISNUMBER(Datos!AG46),Datos!AG46,"")</f>
        <v/>
      </c>
      <c r="H128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1" spans="1:8" x14ac:dyDescent="0.3">
      <c r="A1281" s="245">
        <f>Datos!$AG$3</f>
        <v>47119</v>
      </c>
      <c r="B1281" s="199" t="str">
        <f>Datos!AG$4</f>
        <v>Compresora</v>
      </c>
      <c r="C1281" s="31" t="s">
        <v>570</v>
      </c>
      <c r="D1281" s="199" t="str">
        <f>Datos!$B$47</f>
        <v>Km recorridos: TOTAL</v>
      </c>
      <c r="E1281" s="199" t="str">
        <f>Datos!$C$47</f>
        <v>km</v>
      </c>
      <c r="F1281" s="31" t="s">
        <v>541</v>
      </c>
      <c r="G1281" s="246">
        <f>IF(ISNUMBER(Datos!AG47),Datos!AG47,"")</f>
        <v>0</v>
      </c>
      <c r="H128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2" spans="1:8" x14ac:dyDescent="0.3">
      <c r="A1282" s="245">
        <f>Datos!$AG$3</f>
        <v>47119</v>
      </c>
      <c r="B1282" s="199" t="str">
        <f>Datos!AG$4</f>
        <v>Compresora</v>
      </c>
      <c r="C1282" s="31" t="s">
        <v>571</v>
      </c>
      <c r="D1282" s="199" t="str">
        <f>Datos!$B$67</f>
        <v>Hallazgos (desvíos) cerrados en el mes</v>
      </c>
      <c r="E1282" s="199" t="str">
        <f>Datos!$C$67</f>
        <v>u</v>
      </c>
      <c r="F1282" s="31" t="s">
        <v>572</v>
      </c>
      <c r="G1282" s="246" t="str">
        <f>IF(ISNUMBER(Datos!AG67),Datos!AG67,"")</f>
        <v/>
      </c>
      <c r="H128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3" spans="1:8" x14ac:dyDescent="0.3">
      <c r="A1283" s="245">
        <f>Datos!$AG$3</f>
        <v>47119</v>
      </c>
      <c r="B1283" s="199" t="str">
        <f>Datos!AG$4</f>
        <v>Compresora</v>
      </c>
      <c r="C1283" s="31" t="s">
        <v>573</v>
      </c>
      <c r="D1283" s="199" t="str">
        <f>Datos!$B$68</f>
        <v>Días que llevaron esos hallazgos (suma)</v>
      </c>
      <c r="E1283" s="199" t="str">
        <f>Datos!$C$68</f>
        <v>días</v>
      </c>
      <c r="F1283" s="31" t="s">
        <v>572</v>
      </c>
      <c r="G1283" s="246" t="str">
        <f>IF(ISNUMBER(Datos!AG68),Datos!AG68,"")</f>
        <v/>
      </c>
      <c r="H128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4" spans="1:8" x14ac:dyDescent="0.3">
      <c r="A1284" s="245">
        <f>Datos!$AG$3</f>
        <v>47119</v>
      </c>
      <c r="B1284" s="199" t="str">
        <f>Datos!AG$4</f>
        <v>Compresora</v>
      </c>
      <c r="C1284" s="31" t="s">
        <v>574</v>
      </c>
      <c r="D1284" s="199" t="str">
        <f>Datos!$B$69</f>
        <v>Hallazgos (desvíos) abiertos a fin de mes</v>
      </c>
      <c r="E1284" s="199" t="str">
        <f>Datos!$C$69</f>
        <v>u</v>
      </c>
      <c r="F1284" s="31" t="s">
        <v>572</v>
      </c>
      <c r="G1284" s="246" t="str">
        <f>IF(ISNUMBER(Datos!AG69),Datos!AG69,"")</f>
        <v/>
      </c>
      <c r="H128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5" spans="1:8" x14ac:dyDescent="0.3">
      <c r="A1285" s="245">
        <f>Datos!$AG$3</f>
        <v>47119</v>
      </c>
      <c r="B1285" s="199" t="str">
        <f>Datos!AG$4</f>
        <v>Compresora</v>
      </c>
      <c r="C1285" s="31" t="s">
        <v>575</v>
      </c>
      <c r="D1285" s="199" t="str">
        <f>Datos!$B$70</f>
        <v>Hallazgos (desvíos) detectados en el mes</v>
      </c>
      <c r="E1285" s="199" t="str">
        <f>Datos!$C$70</f>
        <v>u</v>
      </c>
      <c r="F1285" s="31" t="s">
        <v>572</v>
      </c>
      <c r="G1285" s="246" t="str">
        <f>IF(ISNUMBER(Datos!AG70),Datos!AG70,"")</f>
        <v/>
      </c>
      <c r="H128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6" spans="1:8" x14ac:dyDescent="0.3">
      <c r="A1286" s="245">
        <f>Datos!$AG$3</f>
        <v>47119</v>
      </c>
      <c r="B1286" s="199" t="str">
        <f>Datos!AG$4</f>
        <v>Compresora</v>
      </c>
      <c r="C1286" s="31" t="s">
        <v>576</v>
      </c>
      <c r="D1286" s="199" t="str">
        <f>Datos!$B$71</f>
        <v>Desvíos detectados en el mes · gravedad Alta</v>
      </c>
      <c r="E1286" s="199" t="str">
        <f>Datos!$C$71</f>
        <v>u</v>
      </c>
      <c r="F1286" s="31" t="s">
        <v>572</v>
      </c>
      <c r="G1286" s="246" t="str">
        <f>IF(ISNUMBER(Datos!AG71),Datos!AG71,"")</f>
        <v/>
      </c>
      <c r="H128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7" spans="1:8" x14ac:dyDescent="0.3">
      <c r="A1287" s="245">
        <f>Datos!$AG$3</f>
        <v>47119</v>
      </c>
      <c r="B1287" s="199" t="str">
        <f>Datos!AG$4</f>
        <v>Compresora</v>
      </c>
      <c r="C1287" s="31" t="s">
        <v>577</v>
      </c>
      <c r="D1287" s="199" t="str">
        <f>Datos!$B$72</f>
        <v>Desvíos detectados en el mes · gravedad Media</v>
      </c>
      <c r="E1287" s="199" t="str">
        <f>Datos!$C$72</f>
        <v>u</v>
      </c>
      <c r="F1287" s="31" t="s">
        <v>572</v>
      </c>
      <c r="G1287" s="246" t="str">
        <f>IF(ISNUMBER(Datos!AG72),Datos!AG72,"")</f>
        <v/>
      </c>
      <c r="H128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8" spans="1:8" x14ac:dyDescent="0.3">
      <c r="A1288" s="245">
        <f>Datos!$AG$3</f>
        <v>47119</v>
      </c>
      <c r="B1288" s="199" t="str">
        <f>Datos!AG$4</f>
        <v>Compresora</v>
      </c>
      <c r="C1288" s="31" t="s">
        <v>578</v>
      </c>
      <c r="D1288" s="199" t="str">
        <f>Datos!$B$73</f>
        <v>Desvíos detectados en el mes · gravedad Baja</v>
      </c>
      <c r="E1288" s="199" t="str">
        <f>Datos!$C$73</f>
        <v>u</v>
      </c>
      <c r="F1288" s="31" t="s">
        <v>572</v>
      </c>
      <c r="G1288" s="246" t="str">
        <f>IF(ISNUMBER(Datos!AG73),Datos!AG73,"")</f>
        <v/>
      </c>
      <c r="H128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9" spans="1:8" x14ac:dyDescent="0.3">
      <c r="A1289" s="245">
        <f>Datos!$AG$3</f>
        <v>47119</v>
      </c>
      <c r="B1289" s="199" t="str">
        <f>Datos!AG$4</f>
        <v>Compresora</v>
      </c>
      <c r="C1289" s="31" t="s">
        <v>579</v>
      </c>
      <c r="D1289" s="199" t="str">
        <f>Datos!$B$74</f>
        <v>Desvíos detectados en el mes · sin gravedad cargada</v>
      </c>
      <c r="E1289" s="199" t="str">
        <f>Datos!$C$74</f>
        <v>u</v>
      </c>
      <c r="F1289" s="31" t="s">
        <v>572</v>
      </c>
      <c r="G1289" s="246">
        <f>IF(ISNUMBER(Datos!AG74),Datos!AG74,"")</f>
        <v>0</v>
      </c>
      <c r="H128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0" spans="1:8" x14ac:dyDescent="0.3">
      <c r="A1290" s="245">
        <f>Datos!$AG$3</f>
        <v>47119</v>
      </c>
      <c r="B1290" s="199" t="str">
        <f>Datos!AG$4</f>
        <v>Compresora</v>
      </c>
      <c r="C1290" s="31" t="s">
        <v>580</v>
      </c>
      <c r="D1290" s="199" t="str">
        <f>Datos!$B$75</f>
        <v>Detenciones de tareas aplicadas en el mes (Política = Sí)</v>
      </c>
      <c r="E1290" s="199" t="str">
        <f>Datos!$C$75</f>
        <v>u</v>
      </c>
      <c r="F1290" s="31" t="s">
        <v>572</v>
      </c>
      <c r="G1290" s="246" t="str">
        <f>IF(ISNUMBER(Datos!AG75),Datos!AG75,"")</f>
        <v/>
      </c>
      <c r="H129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1" spans="1:8" x14ac:dyDescent="0.3">
      <c r="A1291" s="245">
        <f>Datos!$AG$3</f>
        <v>47119</v>
      </c>
      <c r="B1291" s="199" t="str">
        <f>Datos!AG$4</f>
        <v>Compresora</v>
      </c>
      <c r="C1291" s="31" t="s">
        <v>581</v>
      </c>
      <c r="D1291" s="199" t="str">
        <f>Datos!$B$76</f>
        <v>Desvíos de gravedad Alta abiertos a fin de mes</v>
      </c>
      <c r="E1291" s="199" t="str">
        <f>Datos!$C$76</f>
        <v>u</v>
      </c>
      <c r="F1291" s="31" t="s">
        <v>572</v>
      </c>
      <c r="G1291" s="246" t="str">
        <f>IF(ISNUMBER(Datos!AG76),Datos!AG76,"")</f>
        <v/>
      </c>
      <c r="H129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2" spans="1:8" x14ac:dyDescent="0.3">
      <c r="A1292" s="245">
        <f>Datos!$AH$3</f>
        <v>47150</v>
      </c>
      <c r="B1292" s="199" t="str">
        <f>Datos!AH$4</f>
        <v>Compresora</v>
      </c>
      <c r="C1292" s="31" t="s">
        <v>537</v>
      </c>
      <c r="D1292" s="199" t="str">
        <f>Datos!$B$9</f>
        <v>Dotación promedio: Personal OPS</v>
      </c>
      <c r="E1292" s="199" t="str">
        <f>Datos!$C$9</f>
        <v>pers</v>
      </c>
      <c r="F1292" s="31" t="s">
        <v>538</v>
      </c>
      <c r="G1292" s="246" t="str">
        <f>IF(ISNUMBER(Datos!AH9),Datos!AH9,"")</f>
        <v/>
      </c>
      <c r="H129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3" spans="1:8" x14ac:dyDescent="0.3">
      <c r="A1293" s="245">
        <f>Datos!$AH$3</f>
        <v>47150</v>
      </c>
      <c r="B1293" s="199" t="str">
        <f>Datos!AH$4</f>
        <v>Compresora</v>
      </c>
      <c r="C1293" s="31" t="s">
        <v>539</v>
      </c>
      <c r="D1293" s="199" t="str">
        <f>Datos!$B$10</f>
        <v>Dotación promedio: Personal SMP(IEBC, PAE e YPF) </v>
      </c>
      <c r="E1293" s="199" t="str">
        <f>Datos!$C$10</f>
        <v>pers</v>
      </c>
      <c r="F1293" s="31" t="s">
        <v>538</v>
      </c>
      <c r="G1293" s="246" t="str">
        <f>IF(ISNUMBER(Datos!AH10),Datos!AH10,"")</f>
        <v/>
      </c>
      <c r="H129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4" spans="1:8" x14ac:dyDescent="0.3">
      <c r="A1294" s="245">
        <f>Datos!$AH$3</f>
        <v>47150</v>
      </c>
      <c r="B1294" s="199" t="str">
        <f>Datos!AH$4</f>
        <v>Compresora</v>
      </c>
      <c r="C1294" s="31" t="s">
        <v>540</v>
      </c>
      <c r="D1294" s="199" t="str">
        <f>Datos!$B$11</f>
        <v>Dotación promedio: TOTAL</v>
      </c>
      <c r="E1294" s="199" t="str">
        <f>Datos!$C$11</f>
        <v>pers</v>
      </c>
      <c r="F1294" s="31" t="s">
        <v>541</v>
      </c>
      <c r="G1294" s="246">
        <f>IF(ISNUMBER(Datos!AH11),Datos!AH11,"")</f>
        <v>0</v>
      </c>
      <c r="H129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5" spans="1:8" x14ac:dyDescent="0.3">
      <c r="A1295" s="245">
        <f>Datos!$AH$3</f>
        <v>47150</v>
      </c>
      <c r="B1295" s="199" t="str">
        <f>Datos!AH$4</f>
        <v>Compresora</v>
      </c>
      <c r="C1295" s="31" t="s">
        <v>542</v>
      </c>
      <c r="D1295" s="199" t="str">
        <f>Datos!$B$12</f>
        <v>Horas hombre trabajadas: Personal OPS</v>
      </c>
      <c r="E1295" s="199" t="str">
        <f>Datos!$C$12</f>
        <v>h</v>
      </c>
      <c r="F1295" s="31" t="s">
        <v>538</v>
      </c>
      <c r="G1295" s="246" t="str">
        <f>IF(ISNUMBER(Datos!AH12),Datos!AH12,"")</f>
        <v/>
      </c>
      <c r="H129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6" spans="1:8" x14ac:dyDescent="0.3">
      <c r="A1296" s="245">
        <f>Datos!$AH$3</f>
        <v>47150</v>
      </c>
      <c r="B1296" s="199" t="str">
        <f>Datos!AH$4</f>
        <v>Compresora</v>
      </c>
      <c r="C1296" s="31" t="s">
        <v>543</v>
      </c>
      <c r="D1296" s="199" t="str">
        <f>Datos!$B$13</f>
        <v>Horas hombre trabajadas: Personal SMP(IEBC, PAE e YPF) en campo</v>
      </c>
      <c r="E1296" s="199" t="str">
        <f>Datos!$C$13</f>
        <v>h</v>
      </c>
      <c r="F1296" s="31" t="s">
        <v>538</v>
      </c>
      <c r="G1296" s="246" t="str">
        <f>IF(ISNUMBER(Datos!AH13),Datos!AH13,"")</f>
        <v/>
      </c>
      <c r="H129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7" spans="1:8" x14ac:dyDescent="0.3">
      <c r="A1297" s="245">
        <f>Datos!$AH$3</f>
        <v>47150</v>
      </c>
      <c r="B1297" s="199" t="str">
        <f>Datos!AH$4</f>
        <v>Compresora</v>
      </c>
      <c r="C1297" s="31" t="s">
        <v>544</v>
      </c>
      <c r="D1297" s="199" t="str">
        <f>Datos!$B$14</f>
        <v>Horas hombre trabajadas: TOTAL</v>
      </c>
      <c r="E1297" s="199" t="str">
        <f>Datos!$C$14</f>
        <v>h</v>
      </c>
      <c r="F1297" s="31" t="s">
        <v>541</v>
      </c>
      <c r="G1297" s="246">
        <f>IF(ISNUMBER(Datos!AH14),Datos!AH14,"")</f>
        <v>0</v>
      </c>
      <c r="H129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8" spans="1:8" x14ac:dyDescent="0.3">
      <c r="A1298" s="245">
        <f>Datos!$AH$3</f>
        <v>47150</v>
      </c>
      <c r="B1298" s="199" t="str">
        <f>Datos!AH$4</f>
        <v>Compresora</v>
      </c>
      <c r="C1298" s="31" t="s">
        <v>545</v>
      </c>
      <c r="D1298" s="199" t="str">
        <f>Datos!$B$16</f>
        <v>Horas hombre de formación en seguridad: Personal OPS</v>
      </c>
      <c r="E1298" s="199" t="str">
        <f>Datos!$C$16</f>
        <v>h</v>
      </c>
      <c r="F1298" s="31" t="s">
        <v>538</v>
      </c>
      <c r="G1298" s="246" t="str">
        <f>IF(ISNUMBER(Datos!AH16),Datos!AH16,"")</f>
        <v/>
      </c>
      <c r="H129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9" spans="1:8" x14ac:dyDescent="0.3">
      <c r="A1299" s="245">
        <f>Datos!$AH$3</f>
        <v>47150</v>
      </c>
      <c r="B1299" s="199" t="str">
        <f>Datos!AH$4</f>
        <v>Compresora</v>
      </c>
      <c r="C1299" s="31" t="s">
        <v>546</v>
      </c>
      <c r="D1299" s="199" t="str">
        <f>Datos!$B$17</f>
        <v>Horas hombre de formación en seguridad: Personal SMP(IEBC, PAE e YPF) </v>
      </c>
      <c r="E1299" s="199" t="str">
        <f>Datos!$C$17</f>
        <v>h</v>
      </c>
      <c r="F1299" s="31" t="s">
        <v>538</v>
      </c>
      <c r="G1299" s="246" t="str">
        <f>IF(ISNUMBER(Datos!AH17),Datos!AH17,"")</f>
        <v/>
      </c>
      <c r="H129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0" spans="1:8" x14ac:dyDescent="0.3">
      <c r="A1300" s="245">
        <f>Datos!$AH$3</f>
        <v>47150</v>
      </c>
      <c r="B1300" s="199" t="str">
        <f>Datos!AH$4</f>
        <v>Compresora</v>
      </c>
      <c r="C1300" s="31" t="s">
        <v>547</v>
      </c>
      <c r="D1300" s="199" t="str">
        <f>Datos!$B$18</f>
        <v>Horas hombre de formación en seguridad: TOTAL</v>
      </c>
      <c r="E1300" s="199" t="str">
        <f>Datos!$C$18</f>
        <v>h</v>
      </c>
      <c r="F1300" s="31" t="s">
        <v>541</v>
      </c>
      <c r="G1300" s="246">
        <f>IF(ISNUMBER(Datos!AH18),Datos!AH18,"")</f>
        <v>0</v>
      </c>
      <c r="H130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1" spans="1:8" x14ac:dyDescent="0.3">
      <c r="A1301" s="245">
        <f>Datos!$AH$3</f>
        <v>47150</v>
      </c>
      <c r="B1301" s="199" t="str">
        <f>Datos!AH$4</f>
        <v>Compresora</v>
      </c>
      <c r="C1301" s="31" t="s">
        <v>548</v>
      </c>
      <c r="D1301" s="199" t="str">
        <f>Datos!$B$20</f>
        <v>SIMULACROS · Realizados (emergencia y operativos)</v>
      </c>
      <c r="E1301" s="199" t="str">
        <f>Datos!$C$20</f>
        <v>u</v>
      </c>
      <c r="F1301" s="31" t="s">
        <v>538</v>
      </c>
      <c r="G1301" s="246" t="str">
        <f>IF(ISNUMBER(Datos!AH20),Datos!AH20,"")</f>
        <v/>
      </c>
      <c r="H130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2" spans="1:8" x14ac:dyDescent="0.3">
      <c r="A1302" s="245">
        <f>Datos!$AH$3</f>
        <v>47150</v>
      </c>
      <c r="B1302" s="199" t="str">
        <f>Datos!AH$4</f>
        <v>Compresora</v>
      </c>
      <c r="C1302" s="31" t="s">
        <v>549</v>
      </c>
      <c r="D1302" s="199" t="str">
        <f>Datos!$B$21</f>
        <v>SIMULACROS · Programados (emergencia y operativos)</v>
      </c>
      <c r="E1302" s="199" t="str">
        <f>Datos!$C$21</f>
        <v>u</v>
      </c>
      <c r="F1302" s="31" t="s">
        <v>538</v>
      </c>
      <c r="G1302" s="246" t="str">
        <f>IF(ISNUMBER(Datos!AH21),Datos!AH21,"")</f>
        <v/>
      </c>
      <c r="H130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3" spans="1:8" x14ac:dyDescent="0.3">
      <c r="A1303" s="245">
        <f>Datos!$AH$3</f>
        <v>47150</v>
      </c>
      <c r="B1303" s="199" t="str">
        <f>Datos!AH$4</f>
        <v>Compresora</v>
      </c>
      <c r="C1303" s="31" t="s">
        <v>550</v>
      </c>
      <c r="D1303" s="199" t="str">
        <f>Datos!$B$22</f>
        <v>SIMULACROS · Acciones de mejora surgidas de los simulacros (en el mes informado)</v>
      </c>
      <c r="E1303" s="199" t="str">
        <f>Datos!$C$22</f>
        <v>u</v>
      </c>
      <c r="F1303" s="31" t="s">
        <v>538</v>
      </c>
      <c r="G1303" s="246" t="str">
        <f>IF(ISNUMBER(Datos!AH22),Datos!AH22,"")</f>
        <v/>
      </c>
      <c r="H130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4" spans="1:8" x14ac:dyDescent="0.3">
      <c r="A1304" s="245">
        <f>Datos!$AH$3</f>
        <v>47150</v>
      </c>
      <c r="B1304" s="199" t="str">
        <f>Datos!AH$4</f>
        <v>Compresora</v>
      </c>
      <c r="C1304" s="31" t="s">
        <v>551</v>
      </c>
      <c r="D1304" s="199" t="str">
        <f>Datos!$B$23</f>
        <v>SIMULACROS · Acciones de mejora implementadas surgidas de los simulacros (ICME) (en el mes informado)</v>
      </c>
      <c r="E1304" s="199" t="str">
        <f>Datos!$C$23</f>
        <v>u</v>
      </c>
      <c r="F1304" s="31" t="s">
        <v>538</v>
      </c>
      <c r="G1304" s="246" t="str">
        <f>IF(ISNUMBER(Datos!AH23),Datos!AH23,"")</f>
        <v/>
      </c>
      <c r="H130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5" spans="1:8" x14ac:dyDescent="0.3">
      <c r="A1305" s="245">
        <f>Datos!$AH$3</f>
        <v>47150</v>
      </c>
      <c r="B1305" s="199" t="str">
        <f>Datos!AH$4</f>
        <v>Compresora</v>
      </c>
      <c r="C1305" s="31" t="s">
        <v>552</v>
      </c>
      <c r="D1305" s="199" t="str">
        <f>Datos!$B$24</f>
        <v>Caminatas gerenciales realizadas</v>
      </c>
      <c r="E1305" s="199" t="str">
        <f>Datos!$C$24</f>
        <v>u</v>
      </c>
      <c r="F1305" s="31" t="s">
        <v>538</v>
      </c>
      <c r="G1305" s="246" t="str">
        <f>IF(ISNUMBER(Datos!AH24),Datos!AH24,"")</f>
        <v/>
      </c>
      <c r="H130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6" spans="1:8" x14ac:dyDescent="0.3">
      <c r="A1306" s="245">
        <f>Datos!$AH$3</f>
        <v>47150</v>
      </c>
      <c r="B1306" s="199" t="str">
        <f>Datos!AH$4</f>
        <v>Compresora</v>
      </c>
      <c r="C1306" s="31" t="s">
        <v>553</v>
      </c>
      <c r="D1306" s="199" t="str">
        <f>Datos!$B$25</f>
        <v>Caminatas gerenciales planificadas</v>
      </c>
      <c r="E1306" s="199" t="str">
        <f>Datos!$C$25</f>
        <v>u</v>
      </c>
      <c r="F1306" s="31" t="s">
        <v>538</v>
      </c>
      <c r="G1306" s="246" t="str">
        <f>IF(ISNUMBER(Datos!AH25),Datos!AH25,"")</f>
        <v/>
      </c>
      <c r="H130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7" spans="1:8" x14ac:dyDescent="0.3">
      <c r="A1307" s="245">
        <f>Datos!$AH$3</f>
        <v>47150</v>
      </c>
      <c r="B1307" s="199" t="str">
        <f>Datos!AH$4</f>
        <v>Compresora</v>
      </c>
      <c r="C1307" s="31" t="s">
        <v>554</v>
      </c>
      <c r="D1307" s="199" t="str">
        <f>Datos!$B$26</f>
        <v>Comités y subcomités de seguridad realizados</v>
      </c>
      <c r="E1307" s="199" t="str">
        <f>Datos!$C$26</f>
        <v>u</v>
      </c>
      <c r="F1307" s="31" t="s">
        <v>538</v>
      </c>
      <c r="G1307" s="246" t="str">
        <f>IF(ISNUMBER(Datos!AH26),Datos!AH26,"")</f>
        <v/>
      </c>
      <c r="H130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8" spans="1:8" x14ac:dyDescent="0.3">
      <c r="A1308" s="245">
        <f>Datos!$AH$3</f>
        <v>47150</v>
      </c>
      <c r="B1308" s="199" t="str">
        <f>Datos!AH$4</f>
        <v>Compresora</v>
      </c>
      <c r="C1308" s="31" t="s">
        <v>555</v>
      </c>
      <c r="D1308" s="199" t="str">
        <f>Datos!$B$27</f>
        <v>Comités y subcomités de seguridad planificados</v>
      </c>
      <c r="E1308" s="199" t="str">
        <f>Datos!$C$27</f>
        <v>u</v>
      </c>
      <c r="F1308" s="31" t="s">
        <v>538</v>
      </c>
      <c r="G1308" s="246" t="str">
        <f>IF(ISNUMBER(Datos!AH27),Datos!AH27,"")</f>
        <v/>
      </c>
      <c r="H130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9" spans="1:8" x14ac:dyDescent="0.3">
      <c r="A1309" s="245">
        <f>Datos!$AH$3</f>
        <v>47150</v>
      </c>
      <c r="B1309" s="199" t="str">
        <f>Datos!AH$4</f>
        <v>Compresora</v>
      </c>
      <c r="C1309" s="31" t="s">
        <v>556</v>
      </c>
      <c r="D1309" s="31" t="inlineStr">
        <is>
          <t>Observaciones de comportamiento seguro: total del mes (OPS + SMP)</t>
        </is>
      </c>
      <c r="E1309" s="199" t="str">
        <f>Datos!$C$28</f>
        <v>u</v>
      </c>
      <c r="F1309" s="31" t="s">
        <v>538</v>
      </c>
      <c r="G1309" s="246" t="str">
        <f>IF(COUNT(Datos!AH28:AH29)=0,"",SUM(Datos!AH28:AH29))</f>
        <v/>
      </c>
      <c r="H130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0" spans="1:8" x14ac:dyDescent="0.3">
      <c r="A1310" s="245">
        <f>Datos!$AH$3</f>
        <v>47150</v>
      </c>
      <c r="B1310" s="199" t="str">
        <f>Datos!AH$4</f>
        <v>Compresora</v>
      </c>
      <c r="C1310" s="31" t="s">
        <v>557</v>
      </c>
      <c r="D1310" s="199" t="str">
        <f>Datos!$B$30</f>
        <v>Investigaciones de accidentes cerradas en el mes</v>
      </c>
      <c r="E1310" s="199" t="str">
        <f>Datos!$C$30</f>
        <v>u</v>
      </c>
      <c r="F1310" s="31" t="s">
        <v>538</v>
      </c>
      <c r="G1310" s="246" t="str">
        <f>IF(ISNUMBER(Datos!AH30),Datos!AH30,"")</f>
        <v/>
      </c>
      <c r="H131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1" spans="1:8" x14ac:dyDescent="0.3">
      <c r="A1311" s="245">
        <f>Datos!$AH$3</f>
        <v>47150</v>
      </c>
      <c r="B1311" s="199" t="str">
        <f>Datos!AH$4</f>
        <v>Compresora</v>
      </c>
      <c r="C1311" s="31" t="s">
        <v>558</v>
      </c>
      <c r="D1311" s="199" t="str">
        <f>Datos!$B$31</f>
        <v>Días que llevaron esas investigaciones (suma)</v>
      </c>
      <c r="E1311" s="199" t="str">
        <f>Datos!$C$31</f>
        <v>días</v>
      </c>
      <c r="F1311" s="31" t="s">
        <v>538</v>
      </c>
      <c r="G1311" s="246" t="str">
        <f>IF(ISNUMBER(Datos!AH31),Datos!AH31,"")</f>
        <v/>
      </c>
      <c r="H131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2" spans="1:8" x14ac:dyDescent="0.3">
      <c r="A1312" s="245">
        <f>Datos!$AH$3</f>
        <v>47150</v>
      </c>
      <c r="B1312" s="199" t="str">
        <f>Datos!AH$4</f>
        <v>Compresora</v>
      </c>
      <c r="C1312" s="31" t="s">
        <v>559</v>
      </c>
      <c r="D1312" s="199" t="str">
        <f>Datos!$B$33</f>
        <v>Casos con días perdidos</v>
      </c>
      <c r="E1312" s="199" t="str">
        <f>Datos!$C$33</f>
        <v>u</v>
      </c>
      <c r="F1312" s="31" t="s">
        <v>538</v>
      </c>
      <c r="G1312" s="246" t="str">
        <f>IF(ISNUMBER(Datos!AH33),Datos!AH33,"")</f>
        <v/>
      </c>
      <c r="H131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3" spans="1:8" x14ac:dyDescent="0.3">
      <c r="A1313" s="245">
        <f>Datos!$AH$3</f>
        <v>47150</v>
      </c>
      <c r="B1313" s="199" t="str">
        <f>Datos!AH$4</f>
        <v>Compresora</v>
      </c>
      <c r="C1313" s="31" t="s">
        <v>560</v>
      </c>
      <c r="D1313" s="199" t="str">
        <f>Datos!$B$34</f>
        <v>Casos con trabajo restringido</v>
      </c>
      <c r="E1313" s="199" t="str">
        <f>Datos!$C$34</f>
        <v>u</v>
      </c>
      <c r="F1313" s="31" t="s">
        <v>538</v>
      </c>
      <c r="G1313" s="246" t="str">
        <f>IF(ISNUMBER(Datos!AH34),Datos!AH34,"")</f>
        <v/>
      </c>
      <c r="H131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4" spans="1:8" x14ac:dyDescent="0.3">
      <c r="A1314" s="245">
        <f>Datos!$AH$3</f>
        <v>47150</v>
      </c>
      <c r="B1314" s="199" t="str">
        <f>Datos!AH$4</f>
        <v>Compresora</v>
      </c>
      <c r="C1314" s="31" t="s">
        <v>561</v>
      </c>
      <c r="D1314" s="199" t="str">
        <f>Datos!$B$35</f>
        <v>Casos con tratamiento médico</v>
      </c>
      <c r="E1314" s="199" t="str">
        <f>Datos!$C$35</f>
        <v>u</v>
      </c>
      <c r="F1314" s="31" t="s">
        <v>538</v>
      </c>
      <c r="G1314" s="246" t="str">
        <f>IF(ISNUMBER(Datos!AH35),Datos!AH35,"")</f>
        <v/>
      </c>
      <c r="H131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5" spans="1:8" x14ac:dyDescent="0.3">
      <c r="A1315" s="245">
        <f>Datos!$AH$3</f>
        <v>47150</v>
      </c>
      <c r="B1315" s="199" t="str">
        <f>Datos!AH$4</f>
        <v>Compresora</v>
      </c>
      <c r="C1315" s="31" t="s">
        <v>562</v>
      </c>
      <c r="D1315" s="199" t="str">
        <f>Datos!$B$36</f>
        <v>Fatalidades</v>
      </c>
      <c r="E1315" s="199" t="str">
        <f>Datos!$C$36</f>
        <v>u</v>
      </c>
      <c r="F1315" s="31" t="s">
        <v>538</v>
      </c>
      <c r="G1315" s="246" t="str">
        <f>IF(ISNUMBER(Datos!AH36),Datos!AH36,"")</f>
        <v/>
      </c>
      <c r="H131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6" spans="1:8" x14ac:dyDescent="0.3">
      <c r="A1316" s="245">
        <f>Datos!$AH$3</f>
        <v>47150</v>
      </c>
      <c r="B1316" s="199" t="str">
        <f>Datos!AH$4</f>
        <v>Compresora</v>
      </c>
      <c r="C1316" s="31" t="s">
        <v>51</v>
      </c>
      <c r="D1316" s="199" t="str">
        <f>Datos!$B$37</f>
        <v>Casos de primeros auxilios</v>
      </c>
      <c r="E1316" s="199" t="str">
        <f>Datos!$C$37</f>
        <v>u</v>
      </c>
      <c r="F1316" s="31" t="s">
        <v>538</v>
      </c>
      <c r="G1316" s="246" t="str">
        <f>IF(ISNUMBER(Datos!AH37),Datos!AH37,"")</f>
        <v/>
      </c>
      <c r="H131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7" spans="1:8" x14ac:dyDescent="0.3">
      <c r="A1317" s="245">
        <f>Datos!$AH$3</f>
        <v>47150</v>
      </c>
      <c r="B1317" s="199" t="str">
        <f>Datos!AH$4</f>
        <v>Compresora</v>
      </c>
      <c r="C1317" s="31" t="s">
        <v>563</v>
      </c>
      <c r="D1317" s="199" t="str">
        <f>Datos!$B$39</f>
        <v>CVM catastróficas</v>
      </c>
      <c r="E1317" s="199" t="str">
        <f>Datos!$C$39</f>
        <v>u</v>
      </c>
      <c r="F1317" s="31" t="s">
        <v>538</v>
      </c>
      <c r="G1317" s="246" t="str">
        <f>IF(ISNUMBER(Datos!AH39),Datos!AH39,"")</f>
        <v/>
      </c>
      <c r="H131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8" spans="1:8" x14ac:dyDescent="0.3">
      <c r="A1318" s="245">
        <f>Datos!$AH$3</f>
        <v>47150</v>
      </c>
      <c r="B1318" s="199" t="str">
        <f>Datos!AH$4</f>
        <v>Compresora</v>
      </c>
      <c r="C1318" s="31" t="s">
        <v>564</v>
      </c>
      <c r="D1318" s="199" t="str">
        <f>Datos!$B$40</f>
        <v>CVM mayores</v>
      </c>
      <c r="E1318" s="199" t="str">
        <f>Datos!$C$40</f>
        <v>u</v>
      </c>
      <c r="F1318" s="31" t="s">
        <v>538</v>
      </c>
      <c r="G1318" s="246" t="str">
        <f>IF(ISNUMBER(Datos!AH40),Datos!AH40,"")</f>
        <v/>
      </c>
      <c r="H131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9" spans="1:8" x14ac:dyDescent="0.3">
      <c r="A1319" s="245">
        <f>Datos!$AH$3</f>
        <v>47150</v>
      </c>
      <c r="B1319" s="199" t="str">
        <f>Datos!AH$4</f>
        <v>Compresora</v>
      </c>
      <c r="C1319" s="31" t="s">
        <v>565</v>
      </c>
      <c r="D1319" s="199" t="str">
        <f>Datos!$B$41</f>
        <v>CVM serias</v>
      </c>
      <c r="E1319" s="199" t="str">
        <f>Datos!$C$41</f>
        <v>u</v>
      </c>
      <c r="F1319" s="31" t="s">
        <v>538</v>
      </c>
      <c r="G1319" s="246" t="str">
        <f>IF(ISNUMBER(Datos!AH41),Datos!AH41,"")</f>
        <v/>
      </c>
      <c r="H131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0" spans="1:8" x14ac:dyDescent="0.3">
      <c r="A1320" s="245">
        <f>Datos!$AH$3</f>
        <v>47150</v>
      </c>
      <c r="B1320" s="199" t="str">
        <f>Datos!AH$4</f>
        <v>Compresora</v>
      </c>
      <c r="C1320" s="31" t="s">
        <v>566</v>
      </c>
      <c r="D1320" s="199" t="str">
        <f>Datos!$B$42</f>
        <v>CVM otras / menores</v>
      </c>
      <c r="E1320" s="199" t="str">
        <f>Datos!$C$42</f>
        <v>u</v>
      </c>
      <c r="F1320" s="31" t="s">
        <v>538</v>
      </c>
      <c r="G1320" s="246" t="str">
        <f>IF(ISNUMBER(Datos!AH42),Datos!AH42,"")</f>
        <v/>
      </c>
      <c r="H132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1" spans="1:8" x14ac:dyDescent="0.3">
      <c r="A1321" s="245">
        <f>Datos!$AH$3</f>
        <v>47150</v>
      </c>
      <c r="B1321" s="199" t="str">
        <f>Datos!AH$4</f>
        <v>Compresora</v>
      </c>
      <c r="C1321" s="31" t="s">
        <v>567</v>
      </c>
      <c r="D1321" s="199" t="str">
        <f>Datos!$B$44</f>
        <v>Km recorridos: vehículos livianos (camionetas)</v>
      </c>
      <c r="E1321" s="199" t="str">
        <f>Datos!$C$44</f>
        <v>km</v>
      </c>
      <c r="F1321" s="31" t="s">
        <v>538</v>
      </c>
      <c r="G1321" s="246" t="str">
        <f>IF(ISNUMBER(Datos!AH44),Datos!AH44,"")</f>
        <v/>
      </c>
      <c r="H132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2" spans="1:8" x14ac:dyDescent="0.3">
      <c r="A1322" s="245">
        <f>Datos!$AH$3</f>
        <v>47150</v>
      </c>
      <c r="B1322" s="199" t="str">
        <f>Datos!AH$4</f>
        <v>Compresora</v>
      </c>
      <c r="C1322" s="31" t="s">
        <v>568</v>
      </c>
      <c r="D1322" s="199" t="str">
        <f>Datos!$B$45</f>
        <v>Km recorridos: vehículos pesados (camiones)</v>
      </c>
      <c r="E1322" s="199" t="str">
        <f>Datos!$C$45</f>
        <v>km</v>
      </c>
      <c r="F1322" s="31" t="s">
        <v>538</v>
      </c>
      <c r="G1322" s="246" t="str">
        <f>IF(ISNUMBER(Datos!AH45),Datos!AH45,"")</f>
        <v/>
      </c>
      <c r="H132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3" spans="1:8" x14ac:dyDescent="0.3">
      <c r="A1323" s="245">
        <f>Datos!$AH$3</f>
        <v>47150</v>
      </c>
      <c r="B1323" s="199" t="str">
        <f>Datos!AH$4</f>
        <v>Compresora</v>
      </c>
      <c r="C1323" s="31" t="s">
        <v>569</v>
      </c>
      <c r="D1323" s="199" t="str">
        <f>Datos!$B$46</f>
        <v>Km recorridos: vehículos de transporte de personal (combis)</v>
      </c>
      <c r="E1323" s="199" t="str">
        <f>Datos!$C$46</f>
        <v>km</v>
      </c>
      <c r="F1323" s="31" t="s">
        <v>538</v>
      </c>
      <c r="G1323" s="246" t="str">
        <f>IF(ISNUMBER(Datos!AH46),Datos!AH46,"")</f>
        <v/>
      </c>
      <c r="H132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4" spans="1:8" x14ac:dyDescent="0.3">
      <c r="A1324" s="245">
        <f>Datos!$AH$3</f>
        <v>47150</v>
      </c>
      <c r="B1324" s="199" t="str">
        <f>Datos!AH$4</f>
        <v>Compresora</v>
      </c>
      <c r="C1324" s="31" t="s">
        <v>570</v>
      </c>
      <c r="D1324" s="199" t="str">
        <f>Datos!$B$47</f>
        <v>Km recorridos: TOTAL</v>
      </c>
      <c r="E1324" s="199" t="str">
        <f>Datos!$C$47</f>
        <v>km</v>
      </c>
      <c r="F1324" s="31" t="s">
        <v>541</v>
      </c>
      <c r="G1324" s="246">
        <f>IF(ISNUMBER(Datos!AH47),Datos!AH47,"")</f>
        <v>0</v>
      </c>
      <c r="H132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5" spans="1:8" x14ac:dyDescent="0.3">
      <c r="A1325" s="245">
        <f>Datos!$AH$3</f>
        <v>47150</v>
      </c>
      <c r="B1325" s="199" t="str">
        <f>Datos!AH$4</f>
        <v>Compresora</v>
      </c>
      <c r="C1325" s="31" t="s">
        <v>571</v>
      </c>
      <c r="D1325" s="199" t="str">
        <f>Datos!$B$67</f>
        <v>Hallazgos (desvíos) cerrados en el mes</v>
      </c>
      <c r="E1325" s="199" t="str">
        <f>Datos!$C$67</f>
        <v>u</v>
      </c>
      <c r="F1325" s="31" t="s">
        <v>572</v>
      </c>
      <c r="G1325" s="246" t="str">
        <f>IF(ISNUMBER(Datos!AH67),Datos!AH67,"")</f>
        <v/>
      </c>
      <c r="H132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6" spans="1:8" x14ac:dyDescent="0.3">
      <c r="A1326" s="245">
        <f>Datos!$AH$3</f>
        <v>47150</v>
      </c>
      <c r="B1326" s="199" t="str">
        <f>Datos!AH$4</f>
        <v>Compresora</v>
      </c>
      <c r="C1326" s="31" t="s">
        <v>573</v>
      </c>
      <c r="D1326" s="199" t="str">
        <f>Datos!$B$68</f>
        <v>Días que llevaron esos hallazgos (suma)</v>
      </c>
      <c r="E1326" s="199" t="str">
        <f>Datos!$C$68</f>
        <v>días</v>
      </c>
      <c r="F1326" s="31" t="s">
        <v>572</v>
      </c>
      <c r="G1326" s="246" t="str">
        <f>IF(ISNUMBER(Datos!AH68),Datos!AH68,"")</f>
        <v/>
      </c>
      <c r="H132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7" spans="1:8" x14ac:dyDescent="0.3">
      <c r="A1327" s="245">
        <f>Datos!$AH$3</f>
        <v>47150</v>
      </c>
      <c r="B1327" s="199" t="str">
        <f>Datos!AH$4</f>
        <v>Compresora</v>
      </c>
      <c r="C1327" s="31" t="s">
        <v>574</v>
      </c>
      <c r="D1327" s="199" t="str">
        <f>Datos!$B$69</f>
        <v>Hallazgos (desvíos) abiertos a fin de mes</v>
      </c>
      <c r="E1327" s="199" t="str">
        <f>Datos!$C$69</f>
        <v>u</v>
      </c>
      <c r="F1327" s="31" t="s">
        <v>572</v>
      </c>
      <c r="G1327" s="246" t="str">
        <f>IF(ISNUMBER(Datos!AH69),Datos!AH69,"")</f>
        <v/>
      </c>
      <c r="H132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8" spans="1:8" x14ac:dyDescent="0.3">
      <c r="A1328" s="245">
        <f>Datos!$AH$3</f>
        <v>47150</v>
      </c>
      <c r="B1328" s="199" t="str">
        <f>Datos!AH$4</f>
        <v>Compresora</v>
      </c>
      <c r="C1328" s="31" t="s">
        <v>575</v>
      </c>
      <c r="D1328" s="199" t="str">
        <f>Datos!$B$70</f>
        <v>Hallazgos (desvíos) detectados en el mes</v>
      </c>
      <c r="E1328" s="199" t="str">
        <f>Datos!$C$70</f>
        <v>u</v>
      </c>
      <c r="F1328" s="31" t="s">
        <v>572</v>
      </c>
      <c r="G1328" s="246" t="str">
        <f>IF(ISNUMBER(Datos!AH70),Datos!AH70,"")</f>
        <v/>
      </c>
      <c r="H132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9" spans="1:8" x14ac:dyDescent="0.3">
      <c r="A1329" s="245">
        <f>Datos!$AH$3</f>
        <v>47150</v>
      </c>
      <c r="B1329" s="199" t="str">
        <f>Datos!AH$4</f>
        <v>Compresora</v>
      </c>
      <c r="C1329" s="31" t="s">
        <v>576</v>
      </c>
      <c r="D1329" s="199" t="str">
        <f>Datos!$B$71</f>
        <v>Desvíos detectados en el mes · gravedad Alta</v>
      </c>
      <c r="E1329" s="199" t="str">
        <f>Datos!$C$71</f>
        <v>u</v>
      </c>
      <c r="F1329" s="31" t="s">
        <v>572</v>
      </c>
      <c r="G1329" s="246" t="str">
        <f>IF(ISNUMBER(Datos!AH71),Datos!AH71,"")</f>
        <v/>
      </c>
      <c r="H132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0" spans="1:8" x14ac:dyDescent="0.3">
      <c r="A1330" s="245">
        <f>Datos!$AH$3</f>
        <v>47150</v>
      </c>
      <c r="B1330" s="199" t="str">
        <f>Datos!AH$4</f>
        <v>Compresora</v>
      </c>
      <c r="C1330" s="31" t="s">
        <v>577</v>
      </c>
      <c r="D1330" s="199" t="str">
        <f>Datos!$B$72</f>
        <v>Desvíos detectados en el mes · gravedad Media</v>
      </c>
      <c r="E1330" s="199" t="str">
        <f>Datos!$C$72</f>
        <v>u</v>
      </c>
      <c r="F1330" s="31" t="s">
        <v>572</v>
      </c>
      <c r="G1330" s="246" t="str">
        <f>IF(ISNUMBER(Datos!AH72),Datos!AH72,"")</f>
        <v/>
      </c>
      <c r="H133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1" spans="1:8" x14ac:dyDescent="0.3">
      <c r="A1331" s="245">
        <f>Datos!$AH$3</f>
        <v>47150</v>
      </c>
      <c r="B1331" s="199" t="str">
        <f>Datos!AH$4</f>
        <v>Compresora</v>
      </c>
      <c r="C1331" s="31" t="s">
        <v>578</v>
      </c>
      <c r="D1331" s="199" t="str">
        <f>Datos!$B$73</f>
        <v>Desvíos detectados en el mes · gravedad Baja</v>
      </c>
      <c r="E1331" s="199" t="str">
        <f>Datos!$C$73</f>
        <v>u</v>
      </c>
      <c r="F1331" s="31" t="s">
        <v>572</v>
      </c>
      <c r="G1331" s="246" t="str">
        <f>IF(ISNUMBER(Datos!AH73),Datos!AH73,"")</f>
        <v/>
      </c>
      <c r="H133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2" spans="1:8" x14ac:dyDescent="0.3">
      <c r="A1332" s="245">
        <f>Datos!$AH$3</f>
        <v>47150</v>
      </c>
      <c r="B1332" s="199" t="str">
        <f>Datos!AH$4</f>
        <v>Compresora</v>
      </c>
      <c r="C1332" s="31" t="s">
        <v>579</v>
      </c>
      <c r="D1332" s="199" t="str">
        <f>Datos!$B$74</f>
        <v>Desvíos detectados en el mes · sin gravedad cargada</v>
      </c>
      <c r="E1332" s="199" t="str">
        <f>Datos!$C$74</f>
        <v>u</v>
      </c>
      <c r="F1332" s="31" t="s">
        <v>572</v>
      </c>
      <c r="G1332" s="246">
        <f>IF(ISNUMBER(Datos!AH74),Datos!AH74,"")</f>
        <v>0</v>
      </c>
      <c r="H133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3" spans="1:8" x14ac:dyDescent="0.3">
      <c r="A1333" s="245">
        <f>Datos!$AH$3</f>
        <v>47150</v>
      </c>
      <c r="B1333" s="199" t="str">
        <f>Datos!AH$4</f>
        <v>Compresora</v>
      </c>
      <c r="C1333" s="31" t="s">
        <v>580</v>
      </c>
      <c r="D1333" s="199" t="str">
        <f>Datos!$B$75</f>
        <v>Detenciones de tareas aplicadas en el mes (Política = Sí)</v>
      </c>
      <c r="E1333" s="199" t="str">
        <f>Datos!$C$75</f>
        <v>u</v>
      </c>
      <c r="F1333" s="31" t="s">
        <v>572</v>
      </c>
      <c r="G1333" s="246" t="str">
        <f>IF(ISNUMBER(Datos!AH75),Datos!AH75,"")</f>
        <v/>
      </c>
      <c r="H133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4" spans="1:8" x14ac:dyDescent="0.3">
      <c r="A1334" s="245">
        <f>Datos!$AH$3</f>
        <v>47150</v>
      </c>
      <c r="B1334" s="199" t="str">
        <f>Datos!AH$4</f>
        <v>Compresora</v>
      </c>
      <c r="C1334" s="31" t="s">
        <v>581</v>
      </c>
      <c r="D1334" s="199" t="str">
        <f>Datos!$B$76</f>
        <v>Desvíos de gravedad Alta abiertos a fin de mes</v>
      </c>
      <c r="E1334" s="199" t="str">
        <f>Datos!$C$76</f>
        <v>u</v>
      </c>
      <c r="F1334" s="31" t="s">
        <v>572</v>
      </c>
      <c r="G1334" s="246" t="str">
        <f>IF(ISNUMBER(Datos!AH76),Datos!AH76,"")</f>
        <v/>
      </c>
      <c r="H133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5" spans="1:8" x14ac:dyDescent="0.3">
      <c r="A1335" s="245">
        <f>Datos!$AI$3</f>
        <v>47178</v>
      </c>
      <c r="B1335" s="199" t="str">
        <f>Datos!AI$4</f>
        <v>Compresora</v>
      </c>
      <c r="C1335" s="31" t="s">
        <v>537</v>
      </c>
      <c r="D1335" s="199" t="str">
        <f>Datos!$B$9</f>
        <v>Dotación promedio: Personal OPS</v>
      </c>
      <c r="E1335" s="199" t="str">
        <f>Datos!$C$9</f>
        <v>pers</v>
      </c>
      <c r="F1335" s="31" t="s">
        <v>538</v>
      </c>
      <c r="G1335" s="246" t="str">
        <f>IF(ISNUMBER(Datos!AI9),Datos!AI9,"")</f>
        <v/>
      </c>
      <c r="H133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6" spans="1:8" x14ac:dyDescent="0.3">
      <c r="A1336" s="245">
        <f>Datos!$AI$3</f>
        <v>47178</v>
      </c>
      <c r="B1336" s="199" t="str">
        <f>Datos!AI$4</f>
        <v>Compresora</v>
      </c>
      <c r="C1336" s="31" t="s">
        <v>539</v>
      </c>
      <c r="D1336" s="199" t="str">
        <f>Datos!$B$10</f>
        <v>Dotación promedio: Personal SMP(IEBC, PAE e YPF) </v>
      </c>
      <c r="E1336" s="199" t="str">
        <f>Datos!$C$10</f>
        <v>pers</v>
      </c>
      <c r="F1336" s="31" t="s">
        <v>538</v>
      </c>
      <c r="G1336" s="246" t="str">
        <f>IF(ISNUMBER(Datos!AI10),Datos!AI10,"")</f>
        <v/>
      </c>
      <c r="H133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7" spans="1:8" x14ac:dyDescent="0.3">
      <c r="A1337" s="245">
        <f>Datos!$AI$3</f>
        <v>47178</v>
      </c>
      <c r="B1337" s="199" t="str">
        <f>Datos!AI$4</f>
        <v>Compresora</v>
      </c>
      <c r="C1337" s="31" t="s">
        <v>540</v>
      </c>
      <c r="D1337" s="199" t="str">
        <f>Datos!$B$11</f>
        <v>Dotación promedio: TOTAL</v>
      </c>
      <c r="E1337" s="199" t="str">
        <f>Datos!$C$11</f>
        <v>pers</v>
      </c>
      <c r="F1337" s="31" t="s">
        <v>541</v>
      </c>
      <c r="G1337" s="246">
        <f>IF(ISNUMBER(Datos!AI11),Datos!AI11,"")</f>
        <v>0</v>
      </c>
      <c r="H133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8" spans="1:8" x14ac:dyDescent="0.3">
      <c r="A1338" s="245">
        <f>Datos!$AI$3</f>
        <v>47178</v>
      </c>
      <c r="B1338" s="199" t="str">
        <f>Datos!AI$4</f>
        <v>Compresora</v>
      </c>
      <c r="C1338" s="31" t="s">
        <v>542</v>
      </c>
      <c r="D1338" s="199" t="str">
        <f>Datos!$B$12</f>
        <v>Horas hombre trabajadas: Personal OPS</v>
      </c>
      <c r="E1338" s="199" t="str">
        <f>Datos!$C$12</f>
        <v>h</v>
      </c>
      <c r="F1338" s="31" t="s">
        <v>538</v>
      </c>
      <c r="G1338" s="246" t="str">
        <f>IF(ISNUMBER(Datos!AI12),Datos!AI12,"")</f>
        <v/>
      </c>
      <c r="H133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9" spans="1:8" x14ac:dyDescent="0.3">
      <c r="A1339" s="245">
        <f>Datos!$AI$3</f>
        <v>47178</v>
      </c>
      <c r="B1339" s="199" t="str">
        <f>Datos!AI$4</f>
        <v>Compresora</v>
      </c>
      <c r="C1339" s="31" t="s">
        <v>543</v>
      </c>
      <c r="D1339" s="199" t="str">
        <f>Datos!$B$13</f>
        <v>Horas hombre trabajadas: Personal SMP(IEBC, PAE e YPF) en campo</v>
      </c>
      <c r="E1339" s="199" t="str">
        <f>Datos!$C$13</f>
        <v>h</v>
      </c>
      <c r="F1339" s="31" t="s">
        <v>538</v>
      </c>
      <c r="G1339" s="246" t="str">
        <f>IF(ISNUMBER(Datos!AI13),Datos!AI13,"")</f>
        <v/>
      </c>
      <c r="H133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0" spans="1:8" x14ac:dyDescent="0.3">
      <c r="A1340" s="245">
        <f>Datos!$AI$3</f>
        <v>47178</v>
      </c>
      <c r="B1340" s="199" t="str">
        <f>Datos!AI$4</f>
        <v>Compresora</v>
      </c>
      <c r="C1340" s="31" t="s">
        <v>544</v>
      </c>
      <c r="D1340" s="199" t="str">
        <f>Datos!$B$14</f>
        <v>Horas hombre trabajadas: TOTAL</v>
      </c>
      <c r="E1340" s="199" t="str">
        <f>Datos!$C$14</f>
        <v>h</v>
      </c>
      <c r="F1340" s="31" t="s">
        <v>541</v>
      </c>
      <c r="G1340" s="246">
        <f>IF(ISNUMBER(Datos!AI14),Datos!AI14,"")</f>
        <v>0</v>
      </c>
      <c r="H134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1" spans="1:8" x14ac:dyDescent="0.3">
      <c r="A1341" s="245">
        <f>Datos!$AI$3</f>
        <v>47178</v>
      </c>
      <c r="B1341" s="199" t="str">
        <f>Datos!AI$4</f>
        <v>Compresora</v>
      </c>
      <c r="C1341" s="31" t="s">
        <v>545</v>
      </c>
      <c r="D1341" s="199" t="str">
        <f>Datos!$B$16</f>
        <v>Horas hombre de formación en seguridad: Personal OPS</v>
      </c>
      <c r="E1341" s="199" t="str">
        <f>Datos!$C$16</f>
        <v>h</v>
      </c>
      <c r="F1341" s="31" t="s">
        <v>538</v>
      </c>
      <c r="G1341" s="246" t="str">
        <f>IF(ISNUMBER(Datos!AI16),Datos!AI16,"")</f>
        <v/>
      </c>
      <c r="H134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2" spans="1:8" x14ac:dyDescent="0.3">
      <c r="A1342" s="245">
        <f>Datos!$AI$3</f>
        <v>47178</v>
      </c>
      <c r="B1342" s="199" t="str">
        <f>Datos!AI$4</f>
        <v>Compresora</v>
      </c>
      <c r="C1342" s="31" t="s">
        <v>546</v>
      </c>
      <c r="D1342" s="199" t="str">
        <f>Datos!$B$17</f>
        <v>Horas hombre de formación en seguridad: Personal SMP(IEBC, PAE e YPF) </v>
      </c>
      <c r="E1342" s="199" t="str">
        <f>Datos!$C$17</f>
        <v>h</v>
      </c>
      <c r="F1342" s="31" t="s">
        <v>538</v>
      </c>
      <c r="G1342" s="246" t="str">
        <f>IF(ISNUMBER(Datos!AI17),Datos!AI17,"")</f>
        <v/>
      </c>
      <c r="H134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3" spans="1:8" x14ac:dyDescent="0.3">
      <c r="A1343" s="245">
        <f>Datos!$AI$3</f>
        <v>47178</v>
      </c>
      <c r="B1343" s="199" t="str">
        <f>Datos!AI$4</f>
        <v>Compresora</v>
      </c>
      <c r="C1343" s="31" t="s">
        <v>547</v>
      </c>
      <c r="D1343" s="199" t="str">
        <f>Datos!$B$18</f>
        <v>Horas hombre de formación en seguridad: TOTAL</v>
      </c>
      <c r="E1343" s="199" t="str">
        <f>Datos!$C$18</f>
        <v>h</v>
      </c>
      <c r="F1343" s="31" t="s">
        <v>541</v>
      </c>
      <c r="G1343" s="246">
        <f>IF(ISNUMBER(Datos!AI18),Datos!AI18,"")</f>
        <v>0</v>
      </c>
      <c r="H134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4" spans="1:8" x14ac:dyDescent="0.3">
      <c r="A1344" s="245">
        <f>Datos!$AI$3</f>
        <v>47178</v>
      </c>
      <c r="B1344" s="199" t="str">
        <f>Datos!AI$4</f>
        <v>Compresora</v>
      </c>
      <c r="C1344" s="31" t="s">
        <v>548</v>
      </c>
      <c r="D1344" s="199" t="str">
        <f>Datos!$B$20</f>
        <v>SIMULACROS · Realizados (emergencia y operativos)</v>
      </c>
      <c r="E1344" s="199" t="str">
        <f>Datos!$C$20</f>
        <v>u</v>
      </c>
      <c r="F1344" s="31" t="s">
        <v>538</v>
      </c>
      <c r="G1344" s="246" t="str">
        <f>IF(ISNUMBER(Datos!AI20),Datos!AI20,"")</f>
        <v/>
      </c>
      <c r="H134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5" spans="1:8" x14ac:dyDescent="0.3">
      <c r="A1345" s="245">
        <f>Datos!$AI$3</f>
        <v>47178</v>
      </c>
      <c r="B1345" s="199" t="str">
        <f>Datos!AI$4</f>
        <v>Compresora</v>
      </c>
      <c r="C1345" s="31" t="s">
        <v>549</v>
      </c>
      <c r="D1345" s="199" t="str">
        <f>Datos!$B$21</f>
        <v>SIMULACROS · Programados (emergencia y operativos)</v>
      </c>
      <c r="E1345" s="199" t="str">
        <f>Datos!$C$21</f>
        <v>u</v>
      </c>
      <c r="F1345" s="31" t="s">
        <v>538</v>
      </c>
      <c r="G1345" s="246" t="str">
        <f>IF(ISNUMBER(Datos!AI21),Datos!AI21,"")</f>
        <v/>
      </c>
      <c r="H134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6" spans="1:8" x14ac:dyDescent="0.3">
      <c r="A1346" s="245">
        <f>Datos!$AI$3</f>
        <v>47178</v>
      </c>
      <c r="B1346" s="199" t="str">
        <f>Datos!AI$4</f>
        <v>Compresora</v>
      </c>
      <c r="C1346" s="31" t="s">
        <v>550</v>
      </c>
      <c r="D1346" s="199" t="str">
        <f>Datos!$B$22</f>
        <v>SIMULACROS · Acciones de mejora surgidas de los simulacros (en el mes informado)</v>
      </c>
      <c r="E1346" s="199" t="str">
        <f>Datos!$C$22</f>
        <v>u</v>
      </c>
      <c r="F1346" s="31" t="s">
        <v>538</v>
      </c>
      <c r="G1346" s="246" t="str">
        <f>IF(ISNUMBER(Datos!AI22),Datos!AI22,"")</f>
        <v/>
      </c>
      <c r="H134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7" spans="1:8" x14ac:dyDescent="0.3">
      <c r="A1347" s="245">
        <f>Datos!$AI$3</f>
        <v>47178</v>
      </c>
      <c r="B1347" s="199" t="str">
        <f>Datos!AI$4</f>
        <v>Compresora</v>
      </c>
      <c r="C1347" s="31" t="s">
        <v>551</v>
      </c>
      <c r="D1347" s="199" t="str">
        <f>Datos!$B$23</f>
        <v>SIMULACROS · Acciones de mejora implementadas surgidas de los simulacros (ICME) (en el mes informado)</v>
      </c>
      <c r="E1347" s="199" t="str">
        <f>Datos!$C$23</f>
        <v>u</v>
      </c>
      <c r="F1347" s="31" t="s">
        <v>538</v>
      </c>
      <c r="G1347" s="246" t="str">
        <f>IF(ISNUMBER(Datos!AI23),Datos!AI23,"")</f>
        <v/>
      </c>
      <c r="H134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8" spans="1:8" x14ac:dyDescent="0.3">
      <c r="A1348" s="245">
        <f>Datos!$AI$3</f>
        <v>47178</v>
      </c>
      <c r="B1348" s="199" t="str">
        <f>Datos!AI$4</f>
        <v>Compresora</v>
      </c>
      <c r="C1348" s="31" t="s">
        <v>552</v>
      </c>
      <c r="D1348" s="199" t="str">
        <f>Datos!$B$24</f>
        <v>Caminatas gerenciales realizadas</v>
      </c>
      <c r="E1348" s="199" t="str">
        <f>Datos!$C$24</f>
        <v>u</v>
      </c>
      <c r="F1348" s="31" t="s">
        <v>538</v>
      </c>
      <c r="G1348" s="246" t="str">
        <f>IF(ISNUMBER(Datos!AI24),Datos!AI24,"")</f>
        <v/>
      </c>
      <c r="H134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9" spans="1:8" x14ac:dyDescent="0.3">
      <c r="A1349" s="245">
        <f>Datos!$AI$3</f>
        <v>47178</v>
      </c>
      <c r="B1349" s="199" t="str">
        <f>Datos!AI$4</f>
        <v>Compresora</v>
      </c>
      <c r="C1349" s="31" t="s">
        <v>553</v>
      </c>
      <c r="D1349" s="199" t="str">
        <f>Datos!$B$25</f>
        <v>Caminatas gerenciales planificadas</v>
      </c>
      <c r="E1349" s="199" t="str">
        <f>Datos!$C$25</f>
        <v>u</v>
      </c>
      <c r="F1349" s="31" t="s">
        <v>538</v>
      </c>
      <c r="G1349" s="246" t="str">
        <f>IF(ISNUMBER(Datos!AI25),Datos!AI25,"")</f>
        <v/>
      </c>
      <c r="H134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0" spans="1:8" x14ac:dyDescent="0.3">
      <c r="A1350" s="245">
        <f>Datos!$AI$3</f>
        <v>47178</v>
      </c>
      <c r="B1350" s="199" t="str">
        <f>Datos!AI$4</f>
        <v>Compresora</v>
      </c>
      <c r="C1350" s="31" t="s">
        <v>554</v>
      </c>
      <c r="D1350" s="199" t="str">
        <f>Datos!$B$26</f>
        <v>Comités y subcomités de seguridad realizados</v>
      </c>
      <c r="E1350" s="199" t="str">
        <f>Datos!$C$26</f>
        <v>u</v>
      </c>
      <c r="F1350" s="31" t="s">
        <v>538</v>
      </c>
      <c r="G1350" s="246" t="str">
        <f>IF(ISNUMBER(Datos!AI26),Datos!AI26,"")</f>
        <v/>
      </c>
      <c r="H135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1" spans="1:8" x14ac:dyDescent="0.3">
      <c r="A1351" s="245">
        <f>Datos!$AI$3</f>
        <v>47178</v>
      </c>
      <c r="B1351" s="199" t="str">
        <f>Datos!AI$4</f>
        <v>Compresora</v>
      </c>
      <c r="C1351" s="31" t="s">
        <v>555</v>
      </c>
      <c r="D1351" s="199" t="str">
        <f>Datos!$B$27</f>
        <v>Comités y subcomités de seguridad planificados</v>
      </c>
      <c r="E1351" s="199" t="str">
        <f>Datos!$C$27</f>
        <v>u</v>
      </c>
      <c r="F1351" s="31" t="s">
        <v>538</v>
      </c>
      <c r="G1351" s="246" t="str">
        <f>IF(ISNUMBER(Datos!AI27),Datos!AI27,"")</f>
        <v/>
      </c>
      <c r="H135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2" spans="1:8" x14ac:dyDescent="0.3">
      <c r="A1352" s="245">
        <f>Datos!$AI$3</f>
        <v>47178</v>
      </c>
      <c r="B1352" s="199" t="str">
        <f>Datos!AI$4</f>
        <v>Compresora</v>
      </c>
      <c r="C1352" s="31" t="s">
        <v>556</v>
      </c>
      <c r="D1352" s="31" t="inlineStr">
        <is>
          <t>Observaciones de comportamiento seguro: total del mes (OPS + SMP)</t>
        </is>
      </c>
      <c r="E1352" s="199" t="str">
        <f>Datos!$C$28</f>
        <v>u</v>
      </c>
      <c r="F1352" s="31" t="s">
        <v>538</v>
      </c>
      <c r="G1352" s="246" t="str">
        <f>IF(COUNT(Datos!AI28:AI29)=0,"",SUM(Datos!AI28:AI29))</f>
        <v/>
      </c>
      <c r="H135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3" spans="1:8" x14ac:dyDescent="0.3">
      <c r="A1353" s="245">
        <f>Datos!$AI$3</f>
        <v>47178</v>
      </c>
      <c r="B1353" s="199" t="str">
        <f>Datos!AI$4</f>
        <v>Compresora</v>
      </c>
      <c r="C1353" s="31" t="s">
        <v>557</v>
      </c>
      <c r="D1353" s="199" t="str">
        <f>Datos!$B$30</f>
        <v>Investigaciones de accidentes cerradas en el mes</v>
      </c>
      <c r="E1353" s="199" t="str">
        <f>Datos!$C$30</f>
        <v>u</v>
      </c>
      <c r="F1353" s="31" t="s">
        <v>538</v>
      </c>
      <c r="G1353" s="246" t="str">
        <f>IF(ISNUMBER(Datos!AI30),Datos!AI30,"")</f>
        <v/>
      </c>
      <c r="H135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4" spans="1:8" x14ac:dyDescent="0.3">
      <c r="A1354" s="245">
        <f>Datos!$AI$3</f>
        <v>47178</v>
      </c>
      <c r="B1354" s="199" t="str">
        <f>Datos!AI$4</f>
        <v>Compresora</v>
      </c>
      <c r="C1354" s="31" t="s">
        <v>558</v>
      </c>
      <c r="D1354" s="199" t="str">
        <f>Datos!$B$31</f>
        <v>Días que llevaron esas investigaciones (suma)</v>
      </c>
      <c r="E1354" s="199" t="str">
        <f>Datos!$C$31</f>
        <v>días</v>
      </c>
      <c r="F1354" s="31" t="s">
        <v>538</v>
      </c>
      <c r="G1354" s="246" t="str">
        <f>IF(ISNUMBER(Datos!AI31),Datos!AI31,"")</f>
        <v/>
      </c>
      <c r="H135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5" spans="1:8" x14ac:dyDescent="0.3">
      <c r="A1355" s="245">
        <f>Datos!$AI$3</f>
        <v>47178</v>
      </c>
      <c r="B1355" s="199" t="str">
        <f>Datos!AI$4</f>
        <v>Compresora</v>
      </c>
      <c r="C1355" s="31" t="s">
        <v>559</v>
      </c>
      <c r="D1355" s="199" t="str">
        <f>Datos!$B$33</f>
        <v>Casos con días perdidos</v>
      </c>
      <c r="E1355" s="199" t="str">
        <f>Datos!$C$33</f>
        <v>u</v>
      </c>
      <c r="F1355" s="31" t="s">
        <v>538</v>
      </c>
      <c r="G1355" s="246" t="str">
        <f>IF(ISNUMBER(Datos!AI33),Datos!AI33,"")</f>
        <v/>
      </c>
      <c r="H135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6" spans="1:8" x14ac:dyDescent="0.3">
      <c r="A1356" s="245">
        <f>Datos!$AI$3</f>
        <v>47178</v>
      </c>
      <c r="B1356" s="199" t="str">
        <f>Datos!AI$4</f>
        <v>Compresora</v>
      </c>
      <c r="C1356" s="31" t="s">
        <v>560</v>
      </c>
      <c r="D1356" s="199" t="str">
        <f>Datos!$B$34</f>
        <v>Casos con trabajo restringido</v>
      </c>
      <c r="E1356" s="199" t="str">
        <f>Datos!$C$34</f>
        <v>u</v>
      </c>
      <c r="F1356" s="31" t="s">
        <v>538</v>
      </c>
      <c r="G1356" s="246" t="str">
        <f>IF(ISNUMBER(Datos!AI34),Datos!AI34,"")</f>
        <v/>
      </c>
      <c r="H135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7" spans="1:8" x14ac:dyDescent="0.3">
      <c r="A1357" s="245">
        <f>Datos!$AI$3</f>
        <v>47178</v>
      </c>
      <c r="B1357" s="199" t="str">
        <f>Datos!AI$4</f>
        <v>Compresora</v>
      </c>
      <c r="C1357" s="31" t="s">
        <v>561</v>
      </c>
      <c r="D1357" s="199" t="str">
        <f>Datos!$B$35</f>
        <v>Casos con tratamiento médico</v>
      </c>
      <c r="E1357" s="199" t="str">
        <f>Datos!$C$35</f>
        <v>u</v>
      </c>
      <c r="F1357" s="31" t="s">
        <v>538</v>
      </c>
      <c r="G1357" s="246" t="str">
        <f>IF(ISNUMBER(Datos!AI35),Datos!AI35,"")</f>
        <v/>
      </c>
      <c r="H135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8" spans="1:8" x14ac:dyDescent="0.3">
      <c r="A1358" s="245">
        <f>Datos!$AI$3</f>
        <v>47178</v>
      </c>
      <c r="B1358" s="199" t="str">
        <f>Datos!AI$4</f>
        <v>Compresora</v>
      </c>
      <c r="C1358" s="31" t="s">
        <v>562</v>
      </c>
      <c r="D1358" s="199" t="str">
        <f>Datos!$B$36</f>
        <v>Fatalidades</v>
      </c>
      <c r="E1358" s="199" t="str">
        <f>Datos!$C$36</f>
        <v>u</v>
      </c>
      <c r="F1358" s="31" t="s">
        <v>538</v>
      </c>
      <c r="G1358" s="246" t="str">
        <f>IF(ISNUMBER(Datos!AI36),Datos!AI36,"")</f>
        <v/>
      </c>
      <c r="H135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9" spans="1:8" x14ac:dyDescent="0.3">
      <c r="A1359" s="245">
        <f>Datos!$AI$3</f>
        <v>47178</v>
      </c>
      <c r="B1359" s="199" t="str">
        <f>Datos!AI$4</f>
        <v>Compresora</v>
      </c>
      <c r="C1359" s="31" t="s">
        <v>51</v>
      </c>
      <c r="D1359" s="199" t="str">
        <f>Datos!$B$37</f>
        <v>Casos de primeros auxilios</v>
      </c>
      <c r="E1359" s="199" t="str">
        <f>Datos!$C$37</f>
        <v>u</v>
      </c>
      <c r="F1359" s="31" t="s">
        <v>538</v>
      </c>
      <c r="G1359" s="246" t="str">
        <f>IF(ISNUMBER(Datos!AI37),Datos!AI37,"")</f>
        <v/>
      </c>
      <c r="H135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0" spans="1:8" x14ac:dyDescent="0.3">
      <c r="A1360" s="245">
        <f>Datos!$AI$3</f>
        <v>47178</v>
      </c>
      <c r="B1360" s="199" t="str">
        <f>Datos!AI$4</f>
        <v>Compresora</v>
      </c>
      <c r="C1360" s="31" t="s">
        <v>563</v>
      </c>
      <c r="D1360" s="199" t="str">
        <f>Datos!$B$39</f>
        <v>CVM catastróficas</v>
      </c>
      <c r="E1360" s="199" t="str">
        <f>Datos!$C$39</f>
        <v>u</v>
      </c>
      <c r="F1360" s="31" t="s">
        <v>538</v>
      </c>
      <c r="G1360" s="246" t="str">
        <f>IF(ISNUMBER(Datos!AI39),Datos!AI39,"")</f>
        <v/>
      </c>
      <c r="H136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1" spans="1:8" x14ac:dyDescent="0.3">
      <c r="A1361" s="245">
        <f>Datos!$AI$3</f>
        <v>47178</v>
      </c>
      <c r="B1361" s="199" t="str">
        <f>Datos!AI$4</f>
        <v>Compresora</v>
      </c>
      <c r="C1361" s="31" t="s">
        <v>564</v>
      </c>
      <c r="D1361" s="199" t="str">
        <f>Datos!$B$40</f>
        <v>CVM mayores</v>
      </c>
      <c r="E1361" s="199" t="str">
        <f>Datos!$C$40</f>
        <v>u</v>
      </c>
      <c r="F1361" s="31" t="s">
        <v>538</v>
      </c>
      <c r="G1361" s="246" t="str">
        <f>IF(ISNUMBER(Datos!AI40),Datos!AI40,"")</f>
        <v/>
      </c>
      <c r="H136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2" spans="1:8" x14ac:dyDescent="0.3">
      <c r="A1362" s="245">
        <f>Datos!$AI$3</f>
        <v>47178</v>
      </c>
      <c r="B1362" s="199" t="str">
        <f>Datos!AI$4</f>
        <v>Compresora</v>
      </c>
      <c r="C1362" s="31" t="s">
        <v>565</v>
      </c>
      <c r="D1362" s="199" t="str">
        <f>Datos!$B$41</f>
        <v>CVM serias</v>
      </c>
      <c r="E1362" s="199" t="str">
        <f>Datos!$C$41</f>
        <v>u</v>
      </c>
      <c r="F1362" s="31" t="s">
        <v>538</v>
      </c>
      <c r="G1362" s="246" t="str">
        <f>IF(ISNUMBER(Datos!AI41),Datos!AI41,"")</f>
        <v/>
      </c>
      <c r="H136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3" spans="1:8" x14ac:dyDescent="0.3">
      <c r="A1363" s="245">
        <f>Datos!$AI$3</f>
        <v>47178</v>
      </c>
      <c r="B1363" s="199" t="str">
        <f>Datos!AI$4</f>
        <v>Compresora</v>
      </c>
      <c r="C1363" s="31" t="s">
        <v>566</v>
      </c>
      <c r="D1363" s="199" t="str">
        <f>Datos!$B$42</f>
        <v>CVM otras / menores</v>
      </c>
      <c r="E1363" s="199" t="str">
        <f>Datos!$C$42</f>
        <v>u</v>
      </c>
      <c r="F1363" s="31" t="s">
        <v>538</v>
      </c>
      <c r="G1363" s="246" t="str">
        <f>IF(ISNUMBER(Datos!AI42),Datos!AI42,"")</f>
        <v/>
      </c>
      <c r="H136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4" spans="1:8" x14ac:dyDescent="0.3">
      <c r="A1364" s="245">
        <f>Datos!$AI$3</f>
        <v>47178</v>
      </c>
      <c r="B1364" s="199" t="str">
        <f>Datos!AI$4</f>
        <v>Compresora</v>
      </c>
      <c r="C1364" s="31" t="s">
        <v>567</v>
      </c>
      <c r="D1364" s="199" t="str">
        <f>Datos!$B$44</f>
        <v>Km recorridos: vehículos livianos (camionetas)</v>
      </c>
      <c r="E1364" s="199" t="str">
        <f>Datos!$C$44</f>
        <v>km</v>
      </c>
      <c r="F1364" s="31" t="s">
        <v>538</v>
      </c>
      <c r="G1364" s="246" t="str">
        <f>IF(ISNUMBER(Datos!AI44),Datos!AI44,"")</f>
        <v/>
      </c>
      <c r="H136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5" spans="1:8" x14ac:dyDescent="0.3">
      <c r="A1365" s="245">
        <f>Datos!$AI$3</f>
        <v>47178</v>
      </c>
      <c r="B1365" s="199" t="str">
        <f>Datos!AI$4</f>
        <v>Compresora</v>
      </c>
      <c r="C1365" s="31" t="s">
        <v>568</v>
      </c>
      <c r="D1365" s="199" t="str">
        <f>Datos!$B$45</f>
        <v>Km recorridos: vehículos pesados (camiones)</v>
      </c>
      <c r="E1365" s="199" t="str">
        <f>Datos!$C$45</f>
        <v>km</v>
      </c>
      <c r="F1365" s="31" t="s">
        <v>538</v>
      </c>
      <c r="G1365" s="246" t="str">
        <f>IF(ISNUMBER(Datos!AI45),Datos!AI45,"")</f>
        <v/>
      </c>
      <c r="H136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6" spans="1:8" x14ac:dyDescent="0.3">
      <c r="A1366" s="245">
        <f>Datos!$AI$3</f>
        <v>47178</v>
      </c>
      <c r="B1366" s="199" t="str">
        <f>Datos!AI$4</f>
        <v>Compresora</v>
      </c>
      <c r="C1366" s="31" t="s">
        <v>569</v>
      </c>
      <c r="D1366" s="199" t="str">
        <f>Datos!$B$46</f>
        <v>Km recorridos: vehículos de transporte de personal (combis)</v>
      </c>
      <c r="E1366" s="199" t="str">
        <f>Datos!$C$46</f>
        <v>km</v>
      </c>
      <c r="F1366" s="31" t="s">
        <v>538</v>
      </c>
      <c r="G1366" s="246" t="str">
        <f>IF(ISNUMBER(Datos!AI46),Datos!AI46,"")</f>
        <v/>
      </c>
      <c r="H136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7" spans="1:8" x14ac:dyDescent="0.3">
      <c r="A1367" s="245">
        <f>Datos!$AI$3</f>
        <v>47178</v>
      </c>
      <c r="B1367" s="199" t="str">
        <f>Datos!AI$4</f>
        <v>Compresora</v>
      </c>
      <c r="C1367" s="31" t="s">
        <v>570</v>
      </c>
      <c r="D1367" s="199" t="str">
        <f>Datos!$B$47</f>
        <v>Km recorridos: TOTAL</v>
      </c>
      <c r="E1367" s="199" t="str">
        <f>Datos!$C$47</f>
        <v>km</v>
      </c>
      <c r="F1367" s="31" t="s">
        <v>541</v>
      </c>
      <c r="G1367" s="246">
        <f>IF(ISNUMBER(Datos!AI47),Datos!AI47,"")</f>
        <v>0</v>
      </c>
      <c r="H136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8" spans="1:8" x14ac:dyDescent="0.3">
      <c r="A1368" s="245">
        <f>Datos!$AI$3</f>
        <v>47178</v>
      </c>
      <c r="B1368" s="199" t="str">
        <f>Datos!AI$4</f>
        <v>Compresora</v>
      </c>
      <c r="C1368" s="31" t="s">
        <v>571</v>
      </c>
      <c r="D1368" s="199" t="str">
        <f>Datos!$B$67</f>
        <v>Hallazgos (desvíos) cerrados en el mes</v>
      </c>
      <c r="E1368" s="199" t="str">
        <f>Datos!$C$67</f>
        <v>u</v>
      </c>
      <c r="F1368" s="31" t="s">
        <v>572</v>
      </c>
      <c r="G1368" s="246" t="str">
        <f>IF(ISNUMBER(Datos!AI67),Datos!AI67,"")</f>
        <v/>
      </c>
      <c r="H136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9" spans="1:8" x14ac:dyDescent="0.3">
      <c r="A1369" s="245">
        <f>Datos!$AI$3</f>
        <v>47178</v>
      </c>
      <c r="B1369" s="199" t="str">
        <f>Datos!AI$4</f>
        <v>Compresora</v>
      </c>
      <c r="C1369" s="31" t="s">
        <v>573</v>
      </c>
      <c r="D1369" s="199" t="str">
        <f>Datos!$B$68</f>
        <v>Días que llevaron esos hallazgos (suma)</v>
      </c>
      <c r="E1369" s="199" t="str">
        <f>Datos!$C$68</f>
        <v>días</v>
      </c>
      <c r="F1369" s="31" t="s">
        <v>572</v>
      </c>
      <c r="G1369" s="246" t="str">
        <f>IF(ISNUMBER(Datos!AI68),Datos!AI68,"")</f>
        <v/>
      </c>
      <c r="H136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0" spans="1:8" x14ac:dyDescent="0.3">
      <c r="A1370" s="245">
        <f>Datos!$AI$3</f>
        <v>47178</v>
      </c>
      <c r="B1370" s="199" t="str">
        <f>Datos!AI$4</f>
        <v>Compresora</v>
      </c>
      <c r="C1370" s="31" t="s">
        <v>574</v>
      </c>
      <c r="D1370" s="199" t="str">
        <f>Datos!$B$69</f>
        <v>Hallazgos (desvíos) abiertos a fin de mes</v>
      </c>
      <c r="E1370" s="199" t="str">
        <f>Datos!$C$69</f>
        <v>u</v>
      </c>
      <c r="F1370" s="31" t="s">
        <v>572</v>
      </c>
      <c r="G1370" s="246" t="str">
        <f>IF(ISNUMBER(Datos!AI69),Datos!AI69,"")</f>
        <v/>
      </c>
      <c r="H137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1" spans="1:8" x14ac:dyDescent="0.3">
      <c r="A1371" s="245">
        <f>Datos!$AI$3</f>
        <v>47178</v>
      </c>
      <c r="B1371" s="199" t="str">
        <f>Datos!AI$4</f>
        <v>Compresora</v>
      </c>
      <c r="C1371" s="31" t="s">
        <v>575</v>
      </c>
      <c r="D1371" s="199" t="str">
        <f>Datos!$B$70</f>
        <v>Hallazgos (desvíos) detectados en el mes</v>
      </c>
      <c r="E1371" s="199" t="str">
        <f>Datos!$C$70</f>
        <v>u</v>
      </c>
      <c r="F1371" s="31" t="s">
        <v>572</v>
      </c>
      <c r="G1371" s="246" t="str">
        <f>IF(ISNUMBER(Datos!AI70),Datos!AI70,"")</f>
        <v/>
      </c>
      <c r="H137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2" spans="1:8" x14ac:dyDescent="0.3">
      <c r="A1372" s="245">
        <f>Datos!$AI$3</f>
        <v>47178</v>
      </c>
      <c r="B1372" s="199" t="str">
        <f>Datos!AI$4</f>
        <v>Compresora</v>
      </c>
      <c r="C1372" s="31" t="s">
        <v>576</v>
      </c>
      <c r="D1372" s="199" t="str">
        <f>Datos!$B$71</f>
        <v>Desvíos detectados en el mes · gravedad Alta</v>
      </c>
      <c r="E1372" s="199" t="str">
        <f>Datos!$C$71</f>
        <v>u</v>
      </c>
      <c r="F1372" s="31" t="s">
        <v>572</v>
      </c>
      <c r="G1372" s="246" t="str">
        <f>IF(ISNUMBER(Datos!AI71),Datos!AI71,"")</f>
        <v/>
      </c>
      <c r="H137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3" spans="1:8" x14ac:dyDescent="0.3">
      <c r="A1373" s="245">
        <f>Datos!$AI$3</f>
        <v>47178</v>
      </c>
      <c r="B1373" s="199" t="str">
        <f>Datos!AI$4</f>
        <v>Compresora</v>
      </c>
      <c r="C1373" s="31" t="s">
        <v>577</v>
      </c>
      <c r="D1373" s="199" t="str">
        <f>Datos!$B$72</f>
        <v>Desvíos detectados en el mes · gravedad Media</v>
      </c>
      <c r="E1373" s="199" t="str">
        <f>Datos!$C$72</f>
        <v>u</v>
      </c>
      <c r="F1373" s="31" t="s">
        <v>572</v>
      </c>
      <c r="G1373" s="246" t="str">
        <f>IF(ISNUMBER(Datos!AI72),Datos!AI72,"")</f>
        <v/>
      </c>
      <c r="H137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4" spans="1:8" x14ac:dyDescent="0.3">
      <c r="A1374" s="245">
        <f>Datos!$AI$3</f>
        <v>47178</v>
      </c>
      <c r="B1374" s="199" t="str">
        <f>Datos!AI$4</f>
        <v>Compresora</v>
      </c>
      <c r="C1374" s="31" t="s">
        <v>578</v>
      </c>
      <c r="D1374" s="199" t="str">
        <f>Datos!$B$73</f>
        <v>Desvíos detectados en el mes · gravedad Baja</v>
      </c>
      <c r="E1374" s="199" t="str">
        <f>Datos!$C$73</f>
        <v>u</v>
      </c>
      <c r="F1374" s="31" t="s">
        <v>572</v>
      </c>
      <c r="G1374" s="246" t="str">
        <f>IF(ISNUMBER(Datos!AI73),Datos!AI73,"")</f>
        <v/>
      </c>
      <c r="H137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5" spans="1:8" x14ac:dyDescent="0.3">
      <c r="A1375" s="245">
        <f>Datos!$AI$3</f>
        <v>47178</v>
      </c>
      <c r="B1375" s="199" t="str">
        <f>Datos!AI$4</f>
        <v>Compresora</v>
      </c>
      <c r="C1375" s="31" t="s">
        <v>579</v>
      </c>
      <c r="D1375" s="199" t="str">
        <f>Datos!$B$74</f>
        <v>Desvíos detectados en el mes · sin gravedad cargada</v>
      </c>
      <c r="E1375" s="199" t="str">
        <f>Datos!$C$74</f>
        <v>u</v>
      </c>
      <c r="F1375" s="31" t="s">
        <v>572</v>
      </c>
      <c r="G1375" s="246">
        <f>IF(ISNUMBER(Datos!AI74),Datos!AI74,"")</f>
        <v>0</v>
      </c>
      <c r="H137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6" spans="1:8" x14ac:dyDescent="0.3">
      <c r="A1376" s="245">
        <f>Datos!$AI$3</f>
        <v>47178</v>
      </c>
      <c r="B1376" s="199" t="str">
        <f>Datos!AI$4</f>
        <v>Compresora</v>
      </c>
      <c r="C1376" s="31" t="s">
        <v>580</v>
      </c>
      <c r="D1376" s="199" t="str">
        <f>Datos!$B$75</f>
        <v>Detenciones de tareas aplicadas en el mes (Política = Sí)</v>
      </c>
      <c r="E1376" s="199" t="str">
        <f>Datos!$C$75</f>
        <v>u</v>
      </c>
      <c r="F1376" s="31" t="s">
        <v>572</v>
      </c>
      <c r="G1376" s="246" t="str">
        <f>IF(ISNUMBER(Datos!AI75),Datos!AI75,"")</f>
        <v/>
      </c>
      <c r="H137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7" spans="1:8" x14ac:dyDescent="0.3">
      <c r="A1377" s="245">
        <f>Datos!$AI$3</f>
        <v>47178</v>
      </c>
      <c r="B1377" s="199" t="str">
        <f>Datos!AI$4</f>
        <v>Compresora</v>
      </c>
      <c r="C1377" s="31" t="s">
        <v>581</v>
      </c>
      <c r="D1377" s="199" t="str">
        <f>Datos!$B$76</f>
        <v>Desvíos de gravedad Alta abiertos a fin de mes</v>
      </c>
      <c r="E1377" s="199" t="str">
        <f>Datos!$C$76</f>
        <v>u</v>
      </c>
      <c r="F1377" s="31" t="s">
        <v>572</v>
      </c>
      <c r="G1377" s="246" t="str">
        <f>IF(ISNUMBER(Datos!AI76),Datos!AI76,"")</f>
        <v/>
      </c>
      <c r="H137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8" spans="1:8" x14ac:dyDescent="0.3">
      <c r="A1378" s="245">
        <f>Datos!$AJ$3</f>
        <v>47209</v>
      </c>
      <c r="B1378" s="199" t="str">
        <f>Datos!AJ$4</f>
        <v>Compresora</v>
      </c>
      <c r="C1378" s="31" t="s">
        <v>537</v>
      </c>
      <c r="D1378" s="199" t="str">
        <f>Datos!$B$9</f>
        <v>Dotación promedio: Personal OPS</v>
      </c>
      <c r="E1378" s="199" t="str">
        <f>Datos!$C$9</f>
        <v>pers</v>
      </c>
      <c r="F1378" s="31" t="s">
        <v>538</v>
      </c>
      <c r="G1378" s="246" t="str">
        <f>IF(ISNUMBER(Datos!AJ9),Datos!AJ9,"")</f>
        <v/>
      </c>
      <c r="H137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79" spans="1:8" x14ac:dyDescent="0.3">
      <c r="A1379" s="245">
        <f>Datos!$AJ$3</f>
        <v>47209</v>
      </c>
      <c r="B1379" s="199" t="str">
        <f>Datos!AJ$4</f>
        <v>Compresora</v>
      </c>
      <c r="C1379" s="31" t="s">
        <v>539</v>
      </c>
      <c r="D1379" s="199" t="str">
        <f>Datos!$B$10</f>
        <v>Dotación promedio: Personal SMP(IEBC, PAE e YPF) </v>
      </c>
      <c r="E1379" s="199" t="str">
        <f>Datos!$C$10</f>
        <v>pers</v>
      </c>
      <c r="F1379" s="31" t="s">
        <v>538</v>
      </c>
      <c r="G1379" s="246" t="str">
        <f>IF(ISNUMBER(Datos!AJ10),Datos!AJ10,"")</f>
        <v/>
      </c>
      <c r="H137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0" spans="1:8" x14ac:dyDescent="0.3">
      <c r="A1380" s="245">
        <f>Datos!$AJ$3</f>
        <v>47209</v>
      </c>
      <c r="B1380" s="199" t="str">
        <f>Datos!AJ$4</f>
        <v>Compresora</v>
      </c>
      <c r="C1380" s="31" t="s">
        <v>540</v>
      </c>
      <c r="D1380" s="199" t="str">
        <f>Datos!$B$11</f>
        <v>Dotación promedio: TOTAL</v>
      </c>
      <c r="E1380" s="199" t="str">
        <f>Datos!$C$11</f>
        <v>pers</v>
      </c>
      <c r="F1380" s="31" t="s">
        <v>541</v>
      </c>
      <c r="G1380" s="246">
        <f>IF(ISNUMBER(Datos!AJ11),Datos!AJ11,"")</f>
        <v>0</v>
      </c>
      <c r="H138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1" spans="1:8" x14ac:dyDescent="0.3">
      <c r="A1381" s="245">
        <f>Datos!$AJ$3</f>
        <v>47209</v>
      </c>
      <c r="B1381" s="199" t="str">
        <f>Datos!AJ$4</f>
        <v>Compresora</v>
      </c>
      <c r="C1381" s="31" t="s">
        <v>542</v>
      </c>
      <c r="D1381" s="199" t="str">
        <f>Datos!$B$12</f>
        <v>Horas hombre trabajadas: Personal OPS</v>
      </c>
      <c r="E1381" s="199" t="str">
        <f>Datos!$C$12</f>
        <v>h</v>
      </c>
      <c r="F1381" s="31" t="s">
        <v>538</v>
      </c>
      <c r="G1381" s="246" t="str">
        <f>IF(ISNUMBER(Datos!AJ12),Datos!AJ12,"")</f>
        <v/>
      </c>
      <c r="H138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2" spans="1:8" x14ac:dyDescent="0.3">
      <c r="A1382" s="245">
        <f>Datos!$AJ$3</f>
        <v>47209</v>
      </c>
      <c r="B1382" s="199" t="str">
        <f>Datos!AJ$4</f>
        <v>Compresora</v>
      </c>
      <c r="C1382" s="31" t="s">
        <v>543</v>
      </c>
      <c r="D1382" s="199" t="str">
        <f>Datos!$B$13</f>
        <v>Horas hombre trabajadas: Personal SMP(IEBC, PAE e YPF) en campo</v>
      </c>
      <c r="E1382" s="199" t="str">
        <f>Datos!$C$13</f>
        <v>h</v>
      </c>
      <c r="F1382" s="31" t="s">
        <v>538</v>
      </c>
      <c r="G1382" s="246" t="str">
        <f>IF(ISNUMBER(Datos!AJ13),Datos!AJ13,"")</f>
        <v/>
      </c>
      <c r="H138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3" spans="1:8" x14ac:dyDescent="0.3">
      <c r="A1383" s="245">
        <f>Datos!$AJ$3</f>
        <v>47209</v>
      </c>
      <c r="B1383" s="199" t="str">
        <f>Datos!AJ$4</f>
        <v>Compresora</v>
      </c>
      <c r="C1383" s="31" t="s">
        <v>544</v>
      </c>
      <c r="D1383" s="199" t="str">
        <f>Datos!$B$14</f>
        <v>Horas hombre trabajadas: TOTAL</v>
      </c>
      <c r="E1383" s="199" t="str">
        <f>Datos!$C$14</f>
        <v>h</v>
      </c>
      <c r="F1383" s="31" t="s">
        <v>541</v>
      </c>
      <c r="G1383" s="246">
        <f>IF(ISNUMBER(Datos!AJ14),Datos!AJ14,"")</f>
        <v>0</v>
      </c>
      <c r="H138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4" spans="1:8" x14ac:dyDescent="0.3">
      <c r="A1384" s="245">
        <f>Datos!$AJ$3</f>
        <v>47209</v>
      </c>
      <c r="B1384" s="199" t="str">
        <f>Datos!AJ$4</f>
        <v>Compresora</v>
      </c>
      <c r="C1384" s="31" t="s">
        <v>545</v>
      </c>
      <c r="D1384" s="199" t="str">
        <f>Datos!$B$16</f>
        <v>Horas hombre de formación en seguridad: Personal OPS</v>
      </c>
      <c r="E1384" s="199" t="str">
        <f>Datos!$C$16</f>
        <v>h</v>
      </c>
      <c r="F1384" s="31" t="s">
        <v>538</v>
      </c>
      <c r="G1384" s="246" t="str">
        <f>IF(ISNUMBER(Datos!AJ16),Datos!AJ16,"")</f>
        <v/>
      </c>
      <c r="H138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5" spans="1:8" x14ac:dyDescent="0.3">
      <c r="A1385" s="245">
        <f>Datos!$AJ$3</f>
        <v>47209</v>
      </c>
      <c r="B1385" s="199" t="str">
        <f>Datos!AJ$4</f>
        <v>Compresora</v>
      </c>
      <c r="C1385" s="31" t="s">
        <v>546</v>
      </c>
      <c r="D1385" s="199" t="str">
        <f>Datos!$B$17</f>
        <v>Horas hombre de formación en seguridad: Personal SMP(IEBC, PAE e YPF) </v>
      </c>
      <c r="E1385" s="199" t="str">
        <f>Datos!$C$17</f>
        <v>h</v>
      </c>
      <c r="F1385" s="31" t="s">
        <v>538</v>
      </c>
      <c r="G1385" s="246" t="str">
        <f>IF(ISNUMBER(Datos!AJ17),Datos!AJ17,"")</f>
        <v/>
      </c>
      <c r="H138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6" spans="1:8" x14ac:dyDescent="0.3">
      <c r="A1386" s="245">
        <f>Datos!$AJ$3</f>
        <v>47209</v>
      </c>
      <c r="B1386" s="199" t="str">
        <f>Datos!AJ$4</f>
        <v>Compresora</v>
      </c>
      <c r="C1386" s="31" t="s">
        <v>547</v>
      </c>
      <c r="D1386" s="199" t="str">
        <f>Datos!$B$18</f>
        <v>Horas hombre de formación en seguridad: TOTAL</v>
      </c>
      <c r="E1386" s="199" t="str">
        <f>Datos!$C$18</f>
        <v>h</v>
      </c>
      <c r="F1386" s="31" t="s">
        <v>541</v>
      </c>
      <c r="G1386" s="246">
        <f>IF(ISNUMBER(Datos!AJ18),Datos!AJ18,"")</f>
        <v>0</v>
      </c>
      <c r="H138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7" spans="1:8" x14ac:dyDescent="0.3">
      <c r="A1387" s="245">
        <f>Datos!$AJ$3</f>
        <v>47209</v>
      </c>
      <c r="B1387" s="199" t="str">
        <f>Datos!AJ$4</f>
        <v>Compresora</v>
      </c>
      <c r="C1387" s="31" t="s">
        <v>548</v>
      </c>
      <c r="D1387" s="199" t="str">
        <f>Datos!$B$20</f>
        <v>SIMULACROS · Realizados (emergencia y operativos)</v>
      </c>
      <c r="E1387" s="199" t="str">
        <f>Datos!$C$20</f>
        <v>u</v>
      </c>
      <c r="F1387" s="31" t="s">
        <v>538</v>
      </c>
      <c r="G1387" s="246" t="str">
        <f>IF(ISNUMBER(Datos!AJ20),Datos!AJ20,"")</f>
        <v/>
      </c>
      <c r="H138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8" spans="1:8" x14ac:dyDescent="0.3">
      <c r="A1388" s="245">
        <f>Datos!$AJ$3</f>
        <v>47209</v>
      </c>
      <c r="B1388" s="199" t="str">
        <f>Datos!AJ$4</f>
        <v>Compresora</v>
      </c>
      <c r="C1388" s="31" t="s">
        <v>549</v>
      </c>
      <c r="D1388" s="199" t="str">
        <f>Datos!$B$21</f>
        <v>SIMULACROS · Programados (emergencia y operativos)</v>
      </c>
      <c r="E1388" s="199" t="str">
        <f>Datos!$C$21</f>
        <v>u</v>
      </c>
      <c r="F1388" s="31" t="s">
        <v>538</v>
      </c>
      <c r="G1388" s="246" t="str">
        <f>IF(ISNUMBER(Datos!AJ21),Datos!AJ21,"")</f>
        <v/>
      </c>
      <c r="H138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9" spans="1:8" x14ac:dyDescent="0.3">
      <c r="A1389" s="245">
        <f>Datos!$AJ$3</f>
        <v>47209</v>
      </c>
      <c r="B1389" s="199" t="str">
        <f>Datos!AJ$4</f>
        <v>Compresora</v>
      </c>
      <c r="C1389" s="31" t="s">
        <v>550</v>
      </c>
      <c r="D1389" s="199" t="str">
        <f>Datos!$B$22</f>
        <v>SIMULACROS · Acciones de mejora surgidas de los simulacros (en el mes informado)</v>
      </c>
      <c r="E1389" s="199" t="str">
        <f>Datos!$C$22</f>
        <v>u</v>
      </c>
      <c r="F1389" s="31" t="s">
        <v>538</v>
      </c>
      <c r="G1389" s="246" t="str">
        <f>IF(ISNUMBER(Datos!AJ22),Datos!AJ22,"")</f>
        <v/>
      </c>
      <c r="H138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0" spans="1:8" x14ac:dyDescent="0.3">
      <c r="A1390" s="245">
        <f>Datos!$AJ$3</f>
        <v>47209</v>
      </c>
      <c r="B1390" s="199" t="str">
        <f>Datos!AJ$4</f>
        <v>Compresora</v>
      </c>
      <c r="C1390" s="31" t="s">
        <v>551</v>
      </c>
      <c r="D1390" s="199" t="str">
        <f>Datos!$B$23</f>
        <v>SIMULACROS · Acciones de mejora implementadas surgidas de los simulacros (ICME) (en el mes informado)</v>
      </c>
      <c r="E1390" s="199" t="str">
        <f>Datos!$C$23</f>
        <v>u</v>
      </c>
      <c r="F1390" s="31" t="s">
        <v>538</v>
      </c>
      <c r="G1390" s="246" t="str">
        <f>IF(ISNUMBER(Datos!AJ23),Datos!AJ23,"")</f>
        <v/>
      </c>
      <c r="H139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1" spans="1:8" x14ac:dyDescent="0.3">
      <c r="A1391" s="245">
        <f>Datos!$AJ$3</f>
        <v>47209</v>
      </c>
      <c r="B1391" s="199" t="str">
        <f>Datos!AJ$4</f>
        <v>Compresora</v>
      </c>
      <c r="C1391" s="31" t="s">
        <v>552</v>
      </c>
      <c r="D1391" s="199" t="str">
        <f>Datos!$B$24</f>
        <v>Caminatas gerenciales realizadas</v>
      </c>
      <c r="E1391" s="199" t="str">
        <f>Datos!$C$24</f>
        <v>u</v>
      </c>
      <c r="F1391" s="31" t="s">
        <v>538</v>
      </c>
      <c r="G1391" s="246" t="str">
        <f>IF(ISNUMBER(Datos!AJ24),Datos!AJ24,"")</f>
        <v/>
      </c>
      <c r="H139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2" spans="1:8" x14ac:dyDescent="0.3">
      <c r="A1392" s="245">
        <f>Datos!$AJ$3</f>
        <v>47209</v>
      </c>
      <c r="B1392" s="199" t="str">
        <f>Datos!AJ$4</f>
        <v>Compresora</v>
      </c>
      <c r="C1392" s="31" t="s">
        <v>553</v>
      </c>
      <c r="D1392" s="199" t="str">
        <f>Datos!$B$25</f>
        <v>Caminatas gerenciales planificadas</v>
      </c>
      <c r="E1392" s="199" t="str">
        <f>Datos!$C$25</f>
        <v>u</v>
      </c>
      <c r="F1392" s="31" t="s">
        <v>538</v>
      </c>
      <c r="G1392" s="246" t="str">
        <f>IF(ISNUMBER(Datos!AJ25),Datos!AJ25,"")</f>
        <v/>
      </c>
      <c r="H139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3" spans="1:8" x14ac:dyDescent="0.3">
      <c r="A1393" s="245">
        <f>Datos!$AJ$3</f>
        <v>47209</v>
      </c>
      <c r="B1393" s="199" t="str">
        <f>Datos!AJ$4</f>
        <v>Compresora</v>
      </c>
      <c r="C1393" s="31" t="s">
        <v>554</v>
      </c>
      <c r="D1393" s="199" t="str">
        <f>Datos!$B$26</f>
        <v>Comités y subcomités de seguridad realizados</v>
      </c>
      <c r="E1393" s="199" t="str">
        <f>Datos!$C$26</f>
        <v>u</v>
      </c>
      <c r="F1393" s="31" t="s">
        <v>538</v>
      </c>
      <c r="G1393" s="246" t="str">
        <f>IF(ISNUMBER(Datos!AJ26),Datos!AJ26,"")</f>
        <v/>
      </c>
      <c r="H139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4" spans="1:8" x14ac:dyDescent="0.3">
      <c r="A1394" s="245">
        <f>Datos!$AJ$3</f>
        <v>47209</v>
      </c>
      <c r="B1394" s="199" t="str">
        <f>Datos!AJ$4</f>
        <v>Compresora</v>
      </c>
      <c r="C1394" s="31" t="s">
        <v>555</v>
      </c>
      <c r="D1394" s="199" t="str">
        <f>Datos!$B$27</f>
        <v>Comités y subcomités de seguridad planificados</v>
      </c>
      <c r="E1394" s="199" t="str">
        <f>Datos!$C$27</f>
        <v>u</v>
      </c>
      <c r="F1394" s="31" t="s">
        <v>538</v>
      </c>
      <c r="G1394" s="246" t="str">
        <f>IF(ISNUMBER(Datos!AJ27),Datos!AJ27,"")</f>
        <v/>
      </c>
      <c r="H139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5" spans="1:8" x14ac:dyDescent="0.3">
      <c r="A1395" s="245">
        <f>Datos!$AJ$3</f>
        <v>47209</v>
      </c>
      <c r="B1395" s="199" t="str">
        <f>Datos!AJ$4</f>
        <v>Compresora</v>
      </c>
      <c r="C1395" s="31" t="s">
        <v>556</v>
      </c>
      <c r="D1395" s="31" t="inlineStr">
        <is>
          <t>Observaciones de comportamiento seguro: total del mes (OPS + SMP)</t>
        </is>
      </c>
      <c r="E1395" s="199" t="str">
        <f>Datos!$C$28</f>
        <v>u</v>
      </c>
      <c r="F1395" s="31" t="s">
        <v>538</v>
      </c>
      <c r="G1395" s="246" t="str">
        <f>IF(COUNT(Datos!AJ28:AJ29)=0,"",SUM(Datos!AJ28:AJ29))</f>
        <v/>
      </c>
      <c r="H139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6" spans="1:8" x14ac:dyDescent="0.3">
      <c r="A1396" s="245">
        <f>Datos!$AJ$3</f>
        <v>47209</v>
      </c>
      <c r="B1396" s="199" t="str">
        <f>Datos!AJ$4</f>
        <v>Compresora</v>
      </c>
      <c r="C1396" s="31" t="s">
        <v>557</v>
      </c>
      <c r="D1396" s="199" t="str">
        <f>Datos!$B$30</f>
        <v>Investigaciones de accidentes cerradas en el mes</v>
      </c>
      <c r="E1396" s="199" t="str">
        <f>Datos!$C$30</f>
        <v>u</v>
      </c>
      <c r="F1396" s="31" t="s">
        <v>538</v>
      </c>
      <c r="G1396" s="246" t="str">
        <f>IF(ISNUMBER(Datos!AJ30),Datos!AJ30,"")</f>
        <v/>
      </c>
      <c r="H139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7" spans="1:8" x14ac:dyDescent="0.3">
      <c r="A1397" s="245">
        <f>Datos!$AJ$3</f>
        <v>47209</v>
      </c>
      <c r="B1397" s="199" t="str">
        <f>Datos!AJ$4</f>
        <v>Compresora</v>
      </c>
      <c r="C1397" s="31" t="s">
        <v>558</v>
      </c>
      <c r="D1397" s="199" t="str">
        <f>Datos!$B$31</f>
        <v>Días que llevaron esas investigaciones (suma)</v>
      </c>
      <c r="E1397" s="199" t="str">
        <f>Datos!$C$31</f>
        <v>días</v>
      </c>
      <c r="F1397" s="31" t="s">
        <v>538</v>
      </c>
      <c r="G1397" s="246" t="str">
        <f>IF(ISNUMBER(Datos!AJ31),Datos!AJ31,"")</f>
        <v/>
      </c>
      <c r="H139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8" spans="1:8" x14ac:dyDescent="0.3">
      <c r="A1398" s="245">
        <f>Datos!$AJ$3</f>
        <v>47209</v>
      </c>
      <c r="B1398" s="199" t="str">
        <f>Datos!AJ$4</f>
        <v>Compresora</v>
      </c>
      <c r="C1398" s="31" t="s">
        <v>559</v>
      </c>
      <c r="D1398" s="199" t="str">
        <f>Datos!$B$33</f>
        <v>Casos con días perdidos</v>
      </c>
      <c r="E1398" s="199" t="str">
        <f>Datos!$C$33</f>
        <v>u</v>
      </c>
      <c r="F1398" s="31" t="s">
        <v>538</v>
      </c>
      <c r="G1398" s="246" t="str">
        <f>IF(ISNUMBER(Datos!AJ33),Datos!AJ33,"")</f>
        <v/>
      </c>
      <c r="H139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9" spans="1:8" x14ac:dyDescent="0.3">
      <c r="A1399" s="245">
        <f>Datos!$AJ$3</f>
        <v>47209</v>
      </c>
      <c r="B1399" s="199" t="str">
        <f>Datos!AJ$4</f>
        <v>Compresora</v>
      </c>
      <c r="C1399" s="31" t="s">
        <v>560</v>
      </c>
      <c r="D1399" s="199" t="str">
        <f>Datos!$B$34</f>
        <v>Casos con trabajo restringido</v>
      </c>
      <c r="E1399" s="199" t="str">
        <f>Datos!$C$34</f>
        <v>u</v>
      </c>
      <c r="F1399" s="31" t="s">
        <v>538</v>
      </c>
      <c r="G1399" s="246" t="str">
        <f>IF(ISNUMBER(Datos!AJ34),Datos!AJ34,"")</f>
        <v/>
      </c>
      <c r="H139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0" spans="1:8" x14ac:dyDescent="0.3">
      <c r="A1400" s="245">
        <f>Datos!$AJ$3</f>
        <v>47209</v>
      </c>
      <c r="B1400" s="199" t="str">
        <f>Datos!AJ$4</f>
        <v>Compresora</v>
      </c>
      <c r="C1400" s="31" t="s">
        <v>561</v>
      </c>
      <c r="D1400" s="199" t="str">
        <f>Datos!$B$35</f>
        <v>Casos con tratamiento médico</v>
      </c>
      <c r="E1400" s="199" t="str">
        <f>Datos!$C$35</f>
        <v>u</v>
      </c>
      <c r="F1400" s="31" t="s">
        <v>538</v>
      </c>
      <c r="G1400" s="246" t="str">
        <f>IF(ISNUMBER(Datos!AJ35),Datos!AJ35,"")</f>
        <v/>
      </c>
      <c r="H140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1" spans="1:8" x14ac:dyDescent="0.3">
      <c r="A1401" s="245">
        <f>Datos!$AJ$3</f>
        <v>47209</v>
      </c>
      <c r="B1401" s="199" t="str">
        <f>Datos!AJ$4</f>
        <v>Compresora</v>
      </c>
      <c r="C1401" s="31" t="s">
        <v>562</v>
      </c>
      <c r="D1401" s="199" t="str">
        <f>Datos!$B$36</f>
        <v>Fatalidades</v>
      </c>
      <c r="E1401" s="199" t="str">
        <f>Datos!$C$36</f>
        <v>u</v>
      </c>
      <c r="F1401" s="31" t="s">
        <v>538</v>
      </c>
      <c r="G1401" s="246" t="str">
        <f>IF(ISNUMBER(Datos!AJ36),Datos!AJ36,"")</f>
        <v/>
      </c>
      <c r="H140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2" spans="1:8" x14ac:dyDescent="0.3">
      <c r="A1402" s="245">
        <f>Datos!$AJ$3</f>
        <v>47209</v>
      </c>
      <c r="B1402" s="199" t="str">
        <f>Datos!AJ$4</f>
        <v>Compresora</v>
      </c>
      <c r="C1402" s="31" t="s">
        <v>51</v>
      </c>
      <c r="D1402" s="199" t="str">
        <f>Datos!$B$37</f>
        <v>Casos de primeros auxilios</v>
      </c>
      <c r="E1402" s="199" t="str">
        <f>Datos!$C$37</f>
        <v>u</v>
      </c>
      <c r="F1402" s="31" t="s">
        <v>538</v>
      </c>
      <c r="G1402" s="246" t="str">
        <f>IF(ISNUMBER(Datos!AJ37),Datos!AJ37,"")</f>
        <v/>
      </c>
      <c r="H140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3" spans="1:8" x14ac:dyDescent="0.3">
      <c r="A1403" s="245">
        <f>Datos!$AJ$3</f>
        <v>47209</v>
      </c>
      <c r="B1403" s="199" t="str">
        <f>Datos!AJ$4</f>
        <v>Compresora</v>
      </c>
      <c r="C1403" s="31" t="s">
        <v>563</v>
      </c>
      <c r="D1403" s="199" t="str">
        <f>Datos!$B$39</f>
        <v>CVM catastróficas</v>
      </c>
      <c r="E1403" s="199" t="str">
        <f>Datos!$C$39</f>
        <v>u</v>
      </c>
      <c r="F1403" s="31" t="s">
        <v>538</v>
      </c>
      <c r="G1403" s="246" t="str">
        <f>IF(ISNUMBER(Datos!AJ39),Datos!AJ39,"")</f>
        <v/>
      </c>
      <c r="H140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4" spans="1:8" x14ac:dyDescent="0.3">
      <c r="A1404" s="245">
        <f>Datos!$AJ$3</f>
        <v>47209</v>
      </c>
      <c r="B1404" s="199" t="str">
        <f>Datos!AJ$4</f>
        <v>Compresora</v>
      </c>
      <c r="C1404" s="31" t="s">
        <v>564</v>
      </c>
      <c r="D1404" s="199" t="str">
        <f>Datos!$B$40</f>
        <v>CVM mayores</v>
      </c>
      <c r="E1404" s="199" t="str">
        <f>Datos!$C$40</f>
        <v>u</v>
      </c>
      <c r="F1404" s="31" t="s">
        <v>538</v>
      </c>
      <c r="G1404" s="246" t="str">
        <f>IF(ISNUMBER(Datos!AJ40),Datos!AJ40,"")</f>
        <v/>
      </c>
      <c r="H140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5" spans="1:8" x14ac:dyDescent="0.3">
      <c r="A1405" s="245">
        <f>Datos!$AJ$3</f>
        <v>47209</v>
      </c>
      <c r="B1405" s="199" t="str">
        <f>Datos!AJ$4</f>
        <v>Compresora</v>
      </c>
      <c r="C1405" s="31" t="s">
        <v>565</v>
      </c>
      <c r="D1405" s="199" t="str">
        <f>Datos!$B$41</f>
        <v>CVM serias</v>
      </c>
      <c r="E1405" s="199" t="str">
        <f>Datos!$C$41</f>
        <v>u</v>
      </c>
      <c r="F1405" s="31" t="s">
        <v>538</v>
      </c>
      <c r="G1405" s="246" t="str">
        <f>IF(ISNUMBER(Datos!AJ41),Datos!AJ41,"")</f>
        <v/>
      </c>
      <c r="H140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6" spans="1:8" x14ac:dyDescent="0.3">
      <c r="A1406" s="245">
        <f>Datos!$AJ$3</f>
        <v>47209</v>
      </c>
      <c r="B1406" s="199" t="str">
        <f>Datos!AJ$4</f>
        <v>Compresora</v>
      </c>
      <c r="C1406" s="31" t="s">
        <v>566</v>
      </c>
      <c r="D1406" s="199" t="str">
        <f>Datos!$B$42</f>
        <v>CVM otras / menores</v>
      </c>
      <c r="E1406" s="199" t="str">
        <f>Datos!$C$42</f>
        <v>u</v>
      </c>
      <c r="F1406" s="31" t="s">
        <v>538</v>
      </c>
      <c r="G1406" s="246" t="str">
        <f>IF(ISNUMBER(Datos!AJ42),Datos!AJ42,"")</f>
        <v/>
      </c>
      <c r="H140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7" spans="1:8" x14ac:dyDescent="0.3">
      <c r="A1407" s="245">
        <f>Datos!$AJ$3</f>
        <v>47209</v>
      </c>
      <c r="B1407" s="199" t="str">
        <f>Datos!AJ$4</f>
        <v>Compresora</v>
      </c>
      <c r="C1407" s="31" t="s">
        <v>567</v>
      </c>
      <c r="D1407" s="199" t="str">
        <f>Datos!$B$44</f>
        <v>Km recorridos: vehículos livianos (camionetas)</v>
      </c>
      <c r="E1407" s="199" t="str">
        <f>Datos!$C$44</f>
        <v>km</v>
      </c>
      <c r="F1407" s="31" t="s">
        <v>538</v>
      </c>
      <c r="G1407" s="246" t="str">
        <f>IF(ISNUMBER(Datos!AJ44),Datos!AJ44,"")</f>
        <v/>
      </c>
      <c r="H140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8" spans="1:8" x14ac:dyDescent="0.3">
      <c r="A1408" s="245">
        <f>Datos!$AJ$3</f>
        <v>47209</v>
      </c>
      <c r="B1408" s="199" t="str">
        <f>Datos!AJ$4</f>
        <v>Compresora</v>
      </c>
      <c r="C1408" s="31" t="s">
        <v>568</v>
      </c>
      <c r="D1408" s="199" t="str">
        <f>Datos!$B$45</f>
        <v>Km recorridos: vehículos pesados (camiones)</v>
      </c>
      <c r="E1408" s="199" t="str">
        <f>Datos!$C$45</f>
        <v>km</v>
      </c>
      <c r="F1408" s="31" t="s">
        <v>538</v>
      </c>
      <c r="G1408" s="246" t="str">
        <f>IF(ISNUMBER(Datos!AJ45),Datos!AJ45,"")</f>
        <v/>
      </c>
      <c r="H140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9" spans="1:8" x14ac:dyDescent="0.3">
      <c r="A1409" s="245">
        <f>Datos!$AJ$3</f>
        <v>47209</v>
      </c>
      <c r="B1409" s="199" t="str">
        <f>Datos!AJ$4</f>
        <v>Compresora</v>
      </c>
      <c r="C1409" s="31" t="s">
        <v>569</v>
      </c>
      <c r="D1409" s="199" t="str">
        <f>Datos!$B$46</f>
        <v>Km recorridos: vehículos de transporte de personal (combis)</v>
      </c>
      <c r="E1409" s="199" t="str">
        <f>Datos!$C$46</f>
        <v>km</v>
      </c>
      <c r="F1409" s="31" t="s">
        <v>538</v>
      </c>
      <c r="G1409" s="246" t="str">
        <f>IF(ISNUMBER(Datos!AJ46),Datos!AJ46,"")</f>
        <v/>
      </c>
      <c r="H140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0" spans="1:8" x14ac:dyDescent="0.3">
      <c r="A1410" s="245">
        <f>Datos!$AJ$3</f>
        <v>47209</v>
      </c>
      <c r="B1410" s="199" t="str">
        <f>Datos!AJ$4</f>
        <v>Compresora</v>
      </c>
      <c r="C1410" s="31" t="s">
        <v>570</v>
      </c>
      <c r="D1410" s="199" t="str">
        <f>Datos!$B$47</f>
        <v>Km recorridos: TOTAL</v>
      </c>
      <c r="E1410" s="199" t="str">
        <f>Datos!$C$47</f>
        <v>km</v>
      </c>
      <c r="F1410" s="31" t="s">
        <v>541</v>
      </c>
      <c r="G1410" s="246">
        <f>IF(ISNUMBER(Datos!AJ47),Datos!AJ47,"")</f>
        <v>0</v>
      </c>
      <c r="H141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1" spans="1:8" x14ac:dyDescent="0.3">
      <c r="A1411" s="245">
        <f>Datos!$AJ$3</f>
        <v>47209</v>
      </c>
      <c r="B1411" s="199" t="str">
        <f>Datos!AJ$4</f>
        <v>Compresora</v>
      </c>
      <c r="C1411" s="31" t="s">
        <v>571</v>
      </c>
      <c r="D1411" s="199" t="str">
        <f>Datos!$B$67</f>
        <v>Hallazgos (desvíos) cerrados en el mes</v>
      </c>
      <c r="E1411" s="199" t="str">
        <f>Datos!$C$67</f>
        <v>u</v>
      </c>
      <c r="F1411" s="31" t="s">
        <v>572</v>
      </c>
      <c r="G1411" s="246" t="str">
        <f>IF(ISNUMBER(Datos!AJ67),Datos!AJ67,"")</f>
        <v/>
      </c>
      <c r="H141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2" spans="1:8" x14ac:dyDescent="0.3">
      <c r="A1412" s="245">
        <f>Datos!$AJ$3</f>
        <v>47209</v>
      </c>
      <c r="B1412" s="199" t="str">
        <f>Datos!AJ$4</f>
        <v>Compresora</v>
      </c>
      <c r="C1412" s="31" t="s">
        <v>573</v>
      </c>
      <c r="D1412" s="199" t="str">
        <f>Datos!$B$68</f>
        <v>Días que llevaron esos hallazgos (suma)</v>
      </c>
      <c r="E1412" s="199" t="str">
        <f>Datos!$C$68</f>
        <v>días</v>
      </c>
      <c r="F1412" s="31" t="s">
        <v>572</v>
      </c>
      <c r="G1412" s="246" t="str">
        <f>IF(ISNUMBER(Datos!AJ68),Datos!AJ68,"")</f>
        <v/>
      </c>
      <c r="H141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3" spans="1:8" x14ac:dyDescent="0.3">
      <c r="A1413" s="245">
        <f>Datos!$AJ$3</f>
        <v>47209</v>
      </c>
      <c r="B1413" s="199" t="str">
        <f>Datos!AJ$4</f>
        <v>Compresora</v>
      </c>
      <c r="C1413" s="31" t="s">
        <v>574</v>
      </c>
      <c r="D1413" s="199" t="str">
        <f>Datos!$B$69</f>
        <v>Hallazgos (desvíos) abiertos a fin de mes</v>
      </c>
      <c r="E1413" s="199" t="str">
        <f>Datos!$C$69</f>
        <v>u</v>
      </c>
      <c r="F1413" s="31" t="s">
        <v>572</v>
      </c>
      <c r="G1413" s="246" t="str">
        <f>IF(ISNUMBER(Datos!AJ69),Datos!AJ69,"")</f>
        <v/>
      </c>
      <c r="H141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4" spans="1:8" x14ac:dyDescent="0.3">
      <c r="A1414" s="245">
        <f>Datos!$AJ$3</f>
        <v>47209</v>
      </c>
      <c r="B1414" s="199" t="str">
        <f>Datos!AJ$4</f>
        <v>Compresora</v>
      </c>
      <c r="C1414" s="31" t="s">
        <v>575</v>
      </c>
      <c r="D1414" s="199" t="str">
        <f>Datos!$B$70</f>
        <v>Hallazgos (desvíos) detectados en el mes</v>
      </c>
      <c r="E1414" s="199" t="str">
        <f>Datos!$C$70</f>
        <v>u</v>
      </c>
      <c r="F1414" s="31" t="s">
        <v>572</v>
      </c>
      <c r="G1414" s="246" t="str">
        <f>IF(ISNUMBER(Datos!AJ70),Datos!AJ70,"")</f>
        <v/>
      </c>
      <c r="H141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5" spans="1:8" x14ac:dyDescent="0.3">
      <c r="A1415" s="245">
        <f>Datos!$AJ$3</f>
        <v>47209</v>
      </c>
      <c r="B1415" s="199" t="str">
        <f>Datos!AJ$4</f>
        <v>Compresora</v>
      </c>
      <c r="C1415" s="31" t="s">
        <v>576</v>
      </c>
      <c r="D1415" s="199" t="str">
        <f>Datos!$B$71</f>
        <v>Desvíos detectados en el mes · gravedad Alta</v>
      </c>
      <c r="E1415" s="199" t="str">
        <f>Datos!$C$71</f>
        <v>u</v>
      </c>
      <c r="F1415" s="31" t="s">
        <v>572</v>
      </c>
      <c r="G1415" s="246" t="str">
        <f>IF(ISNUMBER(Datos!AJ71),Datos!AJ71,"")</f>
        <v/>
      </c>
      <c r="H141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6" spans="1:8" x14ac:dyDescent="0.3">
      <c r="A1416" s="245">
        <f>Datos!$AJ$3</f>
        <v>47209</v>
      </c>
      <c r="B1416" s="199" t="str">
        <f>Datos!AJ$4</f>
        <v>Compresora</v>
      </c>
      <c r="C1416" s="31" t="s">
        <v>577</v>
      </c>
      <c r="D1416" s="199" t="str">
        <f>Datos!$B$72</f>
        <v>Desvíos detectados en el mes · gravedad Media</v>
      </c>
      <c r="E1416" s="199" t="str">
        <f>Datos!$C$72</f>
        <v>u</v>
      </c>
      <c r="F1416" s="31" t="s">
        <v>572</v>
      </c>
      <c r="G1416" s="246" t="str">
        <f>IF(ISNUMBER(Datos!AJ72),Datos!AJ72,"")</f>
        <v/>
      </c>
      <c r="H141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7" spans="1:8" x14ac:dyDescent="0.3">
      <c r="A1417" s="245">
        <f>Datos!$AJ$3</f>
        <v>47209</v>
      </c>
      <c r="B1417" s="199" t="str">
        <f>Datos!AJ$4</f>
        <v>Compresora</v>
      </c>
      <c r="C1417" s="31" t="s">
        <v>578</v>
      </c>
      <c r="D1417" s="199" t="str">
        <f>Datos!$B$73</f>
        <v>Desvíos detectados en el mes · gravedad Baja</v>
      </c>
      <c r="E1417" s="199" t="str">
        <f>Datos!$C$73</f>
        <v>u</v>
      </c>
      <c r="F1417" s="31" t="s">
        <v>572</v>
      </c>
      <c r="G1417" s="246" t="str">
        <f>IF(ISNUMBER(Datos!AJ73),Datos!AJ73,"")</f>
        <v/>
      </c>
      <c r="H141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8" spans="1:8" x14ac:dyDescent="0.3">
      <c r="A1418" s="245">
        <f>Datos!$AJ$3</f>
        <v>47209</v>
      </c>
      <c r="B1418" s="199" t="str">
        <f>Datos!AJ$4</f>
        <v>Compresora</v>
      </c>
      <c r="C1418" s="31" t="s">
        <v>579</v>
      </c>
      <c r="D1418" s="199" t="str">
        <f>Datos!$B$74</f>
        <v>Desvíos detectados en el mes · sin gravedad cargada</v>
      </c>
      <c r="E1418" s="199" t="str">
        <f>Datos!$C$74</f>
        <v>u</v>
      </c>
      <c r="F1418" s="31" t="s">
        <v>572</v>
      </c>
      <c r="G1418" s="246">
        <f>IF(ISNUMBER(Datos!AJ74),Datos!AJ74,"")</f>
        <v>0</v>
      </c>
      <c r="H141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9" spans="1:8" x14ac:dyDescent="0.3">
      <c r="A1419" s="245">
        <f>Datos!$AJ$3</f>
        <v>47209</v>
      </c>
      <c r="B1419" s="199" t="str">
        <f>Datos!AJ$4</f>
        <v>Compresora</v>
      </c>
      <c r="C1419" s="31" t="s">
        <v>580</v>
      </c>
      <c r="D1419" s="199" t="str">
        <f>Datos!$B$75</f>
        <v>Detenciones de tareas aplicadas en el mes (Política = Sí)</v>
      </c>
      <c r="E1419" s="199" t="str">
        <f>Datos!$C$75</f>
        <v>u</v>
      </c>
      <c r="F1419" s="31" t="s">
        <v>572</v>
      </c>
      <c r="G1419" s="246" t="str">
        <f>IF(ISNUMBER(Datos!AJ75),Datos!AJ75,"")</f>
        <v/>
      </c>
      <c r="H141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0" spans="1:8" x14ac:dyDescent="0.3">
      <c r="A1420" s="245">
        <f>Datos!$AJ$3</f>
        <v>47209</v>
      </c>
      <c r="B1420" s="199" t="str">
        <f>Datos!AJ$4</f>
        <v>Compresora</v>
      </c>
      <c r="C1420" s="31" t="s">
        <v>581</v>
      </c>
      <c r="D1420" s="199" t="str">
        <f>Datos!$B$76</f>
        <v>Desvíos de gravedad Alta abiertos a fin de mes</v>
      </c>
      <c r="E1420" s="199" t="str">
        <f>Datos!$C$76</f>
        <v>u</v>
      </c>
      <c r="F1420" s="31" t="s">
        <v>572</v>
      </c>
      <c r="G1420" s="246" t="str">
        <f>IF(ISNUMBER(Datos!AJ76),Datos!AJ76,"")</f>
        <v/>
      </c>
      <c r="H142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1" spans="1:8" x14ac:dyDescent="0.3">
      <c r="A1421" s="245">
        <f>Datos!$AK$3</f>
        <v>47239</v>
      </c>
      <c r="B1421" s="199" t="str">
        <f>Datos!AK$4</f>
        <v>Compresora</v>
      </c>
      <c r="C1421" s="31" t="s">
        <v>537</v>
      </c>
      <c r="D1421" s="199" t="str">
        <f>Datos!$B$9</f>
        <v>Dotación promedio: Personal OPS</v>
      </c>
      <c r="E1421" s="199" t="str">
        <f>Datos!$C$9</f>
        <v>pers</v>
      </c>
      <c r="F1421" s="31" t="s">
        <v>538</v>
      </c>
      <c r="G1421" s="246" t="str">
        <f>IF(ISNUMBER(Datos!AK9),Datos!AK9,"")</f>
        <v/>
      </c>
      <c r="H142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2" spans="1:8" x14ac:dyDescent="0.3">
      <c r="A1422" s="245">
        <f>Datos!$AK$3</f>
        <v>47239</v>
      </c>
      <c r="B1422" s="199" t="str">
        <f>Datos!AK$4</f>
        <v>Compresora</v>
      </c>
      <c r="C1422" s="31" t="s">
        <v>539</v>
      </c>
      <c r="D1422" s="199" t="str">
        <f>Datos!$B$10</f>
        <v>Dotación promedio: Personal SMP(IEBC, PAE e YPF) </v>
      </c>
      <c r="E1422" s="199" t="str">
        <f>Datos!$C$10</f>
        <v>pers</v>
      </c>
      <c r="F1422" s="31" t="s">
        <v>538</v>
      </c>
      <c r="G1422" s="246" t="str">
        <f>IF(ISNUMBER(Datos!AK10),Datos!AK10,"")</f>
        <v/>
      </c>
      <c r="H142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3" spans="1:8" x14ac:dyDescent="0.3">
      <c r="A1423" s="245">
        <f>Datos!$AK$3</f>
        <v>47239</v>
      </c>
      <c r="B1423" s="199" t="str">
        <f>Datos!AK$4</f>
        <v>Compresora</v>
      </c>
      <c r="C1423" s="31" t="s">
        <v>540</v>
      </c>
      <c r="D1423" s="199" t="str">
        <f>Datos!$B$11</f>
        <v>Dotación promedio: TOTAL</v>
      </c>
      <c r="E1423" s="199" t="str">
        <f>Datos!$C$11</f>
        <v>pers</v>
      </c>
      <c r="F1423" s="31" t="s">
        <v>541</v>
      </c>
      <c r="G1423" s="246">
        <f>IF(ISNUMBER(Datos!AK11),Datos!AK11,"")</f>
        <v>0</v>
      </c>
      <c r="H142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4" spans="1:8" x14ac:dyDescent="0.3">
      <c r="A1424" s="245">
        <f>Datos!$AK$3</f>
        <v>47239</v>
      </c>
      <c r="B1424" s="199" t="str">
        <f>Datos!AK$4</f>
        <v>Compresora</v>
      </c>
      <c r="C1424" s="31" t="s">
        <v>542</v>
      </c>
      <c r="D1424" s="199" t="str">
        <f>Datos!$B$12</f>
        <v>Horas hombre trabajadas: Personal OPS</v>
      </c>
      <c r="E1424" s="199" t="str">
        <f>Datos!$C$12</f>
        <v>h</v>
      </c>
      <c r="F1424" s="31" t="s">
        <v>538</v>
      </c>
      <c r="G1424" s="246" t="str">
        <f>IF(ISNUMBER(Datos!AK12),Datos!AK12,"")</f>
        <v/>
      </c>
      <c r="H142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5" spans="1:8" x14ac:dyDescent="0.3">
      <c r="A1425" s="245">
        <f>Datos!$AK$3</f>
        <v>47239</v>
      </c>
      <c r="B1425" s="199" t="str">
        <f>Datos!AK$4</f>
        <v>Compresora</v>
      </c>
      <c r="C1425" s="31" t="s">
        <v>543</v>
      </c>
      <c r="D1425" s="199" t="str">
        <f>Datos!$B$13</f>
        <v>Horas hombre trabajadas: Personal SMP(IEBC, PAE e YPF) en campo</v>
      </c>
      <c r="E1425" s="199" t="str">
        <f>Datos!$C$13</f>
        <v>h</v>
      </c>
      <c r="F1425" s="31" t="s">
        <v>538</v>
      </c>
      <c r="G1425" s="246" t="str">
        <f>IF(ISNUMBER(Datos!AK13),Datos!AK13,"")</f>
        <v/>
      </c>
      <c r="H142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6" spans="1:8" x14ac:dyDescent="0.3">
      <c r="A1426" s="245">
        <f>Datos!$AK$3</f>
        <v>47239</v>
      </c>
      <c r="B1426" s="199" t="str">
        <f>Datos!AK$4</f>
        <v>Compresora</v>
      </c>
      <c r="C1426" s="31" t="s">
        <v>544</v>
      </c>
      <c r="D1426" s="199" t="str">
        <f>Datos!$B$14</f>
        <v>Horas hombre trabajadas: TOTAL</v>
      </c>
      <c r="E1426" s="199" t="str">
        <f>Datos!$C$14</f>
        <v>h</v>
      </c>
      <c r="F1426" s="31" t="s">
        <v>541</v>
      </c>
      <c r="G1426" s="246">
        <f>IF(ISNUMBER(Datos!AK14),Datos!AK14,"")</f>
        <v>0</v>
      </c>
      <c r="H142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7" spans="1:8" x14ac:dyDescent="0.3">
      <c r="A1427" s="245">
        <f>Datos!$AK$3</f>
        <v>47239</v>
      </c>
      <c r="B1427" s="199" t="str">
        <f>Datos!AK$4</f>
        <v>Compresora</v>
      </c>
      <c r="C1427" s="31" t="s">
        <v>545</v>
      </c>
      <c r="D1427" s="199" t="str">
        <f>Datos!$B$16</f>
        <v>Horas hombre de formación en seguridad: Personal OPS</v>
      </c>
      <c r="E1427" s="199" t="str">
        <f>Datos!$C$16</f>
        <v>h</v>
      </c>
      <c r="F1427" s="31" t="s">
        <v>538</v>
      </c>
      <c r="G1427" s="246" t="str">
        <f>IF(ISNUMBER(Datos!AK16),Datos!AK16,"")</f>
        <v/>
      </c>
      <c r="H142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8" spans="1:8" x14ac:dyDescent="0.3">
      <c r="A1428" s="245">
        <f>Datos!$AK$3</f>
        <v>47239</v>
      </c>
      <c r="B1428" s="199" t="str">
        <f>Datos!AK$4</f>
        <v>Compresora</v>
      </c>
      <c r="C1428" s="31" t="s">
        <v>546</v>
      </c>
      <c r="D1428" s="199" t="str">
        <f>Datos!$B$17</f>
        <v>Horas hombre de formación en seguridad: Personal SMP(IEBC, PAE e YPF) </v>
      </c>
      <c r="E1428" s="199" t="str">
        <f>Datos!$C$17</f>
        <v>h</v>
      </c>
      <c r="F1428" s="31" t="s">
        <v>538</v>
      </c>
      <c r="G1428" s="246" t="str">
        <f>IF(ISNUMBER(Datos!AK17),Datos!AK17,"")</f>
        <v/>
      </c>
      <c r="H142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9" spans="1:8" x14ac:dyDescent="0.3">
      <c r="A1429" s="245">
        <f>Datos!$AK$3</f>
        <v>47239</v>
      </c>
      <c r="B1429" s="199" t="str">
        <f>Datos!AK$4</f>
        <v>Compresora</v>
      </c>
      <c r="C1429" s="31" t="s">
        <v>547</v>
      </c>
      <c r="D1429" s="199" t="str">
        <f>Datos!$B$18</f>
        <v>Horas hombre de formación en seguridad: TOTAL</v>
      </c>
      <c r="E1429" s="199" t="str">
        <f>Datos!$C$18</f>
        <v>h</v>
      </c>
      <c r="F1429" s="31" t="s">
        <v>541</v>
      </c>
      <c r="G1429" s="246">
        <f>IF(ISNUMBER(Datos!AK18),Datos!AK18,"")</f>
        <v>0</v>
      </c>
      <c r="H142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0" spans="1:8" x14ac:dyDescent="0.3">
      <c r="A1430" s="245">
        <f>Datos!$AK$3</f>
        <v>47239</v>
      </c>
      <c r="B1430" s="199" t="str">
        <f>Datos!AK$4</f>
        <v>Compresora</v>
      </c>
      <c r="C1430" s="31" t="s">
        <v>548</v>
      </c>
      <c r="D1430" s="199" t="str">
        <f>Datos!$B$20</f>
        <v>SIMULACROS · Realizados (emergencia y operativos)</v>
      </c>
      <c r="E1430" s="199" t="str">
        <f>Datos!$C$20</f>
        <v>u</v>
      </c>
      <c r="F1430" s="31" t="s">
        <v>538</v>
      </c>
      <c r="G1430" s="246" t="str">
        <f>IF(ISNUMBER(Datos!AK20),Datos!AK20,"")</f>
        <v/>
      </c>
      <c r="H143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1" spans="1:8" x14ac:dyDescent="0.3">
      <c r="A1431" s="245">
        <f>Datos!$AK$3</f>
        <v>47239</v>
      </c>
      <c r="B1431" s="199" t="str">
        <f>Datos!AK$4</f>
        <v>Compresora</v>
      </c>
      <c r="C1431" s="31" t="s">
        <v>549</v>
      </c>
      <c r="D1431" s="199" t="str">
        <f>Datos!$B$21</f>
        <v>SIMULACROS · Programados (emergencia y operativos)</v>
      </c>
      <c r="E1431" s="199" t="str">
        <f>Datos!$C$21</f>
        <v>u</v>
      </c>
      <c r="F1431" s="31" t="s">
        <v>538</v>
      </c>
      <c r="G1431" s="246" t="str">
        <f>IF(ISNUMBER(Datos!AK21),Datos!AK21,"")</f>
        <v/>
      </c>
      <c r="H143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2" spans="1:8" x14ac:dyDescent="0.3">
      <c r="A1432" s="245">
        <f>Datos!$AK$3</f>
        <v>47239</v>
      </c>
      <c r="B1432" s="199" t="str">
        <f>Datos!AK$4</f>
        <v>Compresora</v>
      </c>
      <c r="C1432" s="31" t="s">
        <v>550</v>
      </c>
      <c r="D1432" s="199" t="str">
        <f>Datos!$B$22</f>
        <v>SIMULACROS · Acciones de mejora surgidas de los simulacros (en el mes informado)</v>
      </c>
      <c r="E1432" s="199" t="str">
        <f>Datos!$C$22</f>
        <v>u</v>
      </c>
      <c r="F1432" s="31" t="s">
        <v>538</v>
      </c>
      <c r="G1432" s="246" t="str">
        <f>IF(ISNUMBER(Datos!AK22),Datos!AK22,"")</f>
        <v/>
      </c>
      <c r="H143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3" spans="1:8" x14ac:dyDescent="0.3">
      <c r="A1433" s="245">
        <f>Datos!$AK$3</f>
        <v>47239</v>
      </c>
      <c r="B1433" s="199" t="str">
        <f>Datos!AK$4</f>
        <v>Compresora</v>
      </c>
      <c r="C1433" s="31" t="s">
        <v>551</v>
      </c>
      <c r="D1433" s="199" t="str">
        <f>Datos!$B$23</f>
        <v>SIMULACROS · Acciones de mejora implementadas surgidas de los simulacros (ICME) (en el mes informado)</v>
      </c>
      <c r="E1433" s="199" t="str">
        <f>Datos!$C$23</f>
        <v>u</v>
      </c>
      <c r="F1433" s="31" t="s">
        <v>538</v>
      </c>
      <c r="G1433" s="246" t="str">
        <f>IF(ISNUMBER(Datos!AK23),Datos!AK23,"")</f>
        <v/>
      </c>
      <c r="H143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4" spans="1:8" x14ac:dyDescent="0.3">
      <c r="A1434" s="245">
        <f>Datos!$AK$3</f>
        <v>47239</v>
      </c>
      <c r="B1434" s="199" t="str">
        <f>Datos!AK$4</f>
        <v>Compresora</v>
      </c>
      <c r="C1434" s="31" t="s">
        <v>552</v>
      </c>
      <c r="D1434" s="199" t="str">
        <f>Datos!$B$24</f>
        <v>Caminatas gerenciales realizadas</v>
      </c>
      <c r="E1434" s="199" t="str">
        <f>Datos!$C$24</f>
        <v>u</v>
      </c>
      <c r="F1434" s="31" t="s">
        <v>538</v>
      </c>
      <c r="G1434" s="246" t="str">
        <f>IF(ISNUMBER(Datos!AK24),Datos!AK24,"")</f>
        <v/>
      </c>
      <c r="H143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5" spans="1:8" x14ac:dyDescent="0.3">
      <c r="A1435" s="245">
        <f>Datos!$AK$3</f>
        <v>47239</v>
      </c>
      <c r="B1435" s="199" t="str">
        <f>Datos!AK$4</f>
        <v>Compresora</v>
      </c>
      <c r="C1435" s="31" t="s">
        <v>553</v>
      </c>
      <c r="D1435" s="199" t="str">
        <f>Datos!$B$25</f>
        <v>Caminatas gerenciales planificadas</v>
      </c>
      <c r="E1435" s="199" t="str">
        <f>Datos!$C$25</f>
        <v>u</v>
      </c>
      <c r="F1435" s="31" t="s">
        <v>538</v>
      </c>
      <c r="G1435" s="246" t="str">
        <f>IF(ISNUMBER(Datos!AK25),Datos!AK25,"")</f>
        <v/>
      </c>
      <c r="H143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6" spans="1:8" x14ac:dyDescent="0.3">
      <c r="A1436" s="245">
        <f>Datos!$AK$3</f>
        <v>47239</v>
      </c>
      <c r="B1436" s="199" t="str">
        <f>Datos!AK$4</f>
        <v>Compresora</v>
      </c>
      <c r="C1436" s="31" t="s">
        <v>554</v>
      </c>
      <c r="D1436" s="199" t="str">
        <f>Datos!$B$26</f>
        <v>Comités y subcomités de seguridad realizados</v>
      </c>
      <c r="E1436" s="199" t="str">
        <f>Datos!$C$26</f>
        <v>u</v>
      </c>
      <c r="F1436" s="31" t="s">
        <v>538</v>
      </c>
      <c r="G1436" s="246" t="str">
        <f>IF(ISNUMBER(Datos!AK26),Datos!AK26,"")</f>
        <v/>
      </c>
      <c r="H143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7" spans="1:8" x14ac:dyDescent="0.3">
      <c r="A1437" s="245">
        <f>Datos!$AK$3</f>
        <v>47239</v>
      </c>
      <c r="B1437" s="199" t="str">
        <f>Datos!AK$4</f>
        <v>Compresora</v>
      </c>
      <c r="C1437" s="31" t="s">
        <v>555</v>
      </c>
      <c r="D1437" s="199" t="str">
        <f>Datos!$B$27</f>
        <v>Comités y subcomités de seguridad planificados</v>
      </c>
      <c r="E1437" s="199" t="str">
        <f>Datos!$C$27</f>
        <v>u</v>
      </c>
      <c r="F1437" s="31" t="s">
        <v>538</v>
      </c>
      <c r="G1437" s="246" t="str">
        <f>IF(ISNUMBER(Datos!AK27),Datos!AK27,"")</f>
        <v/>
      </c>
      <c r="H143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8" spans="1:8" x14ac:dyDescent="0.3">
      <c r="A1438" s="245">
        <f>Datos!$AK$3</f>
        <v>47239</v>
      </c>
      <c r="B1438" s="199" t="str">
        <f>Datos!AK$4</f>
        <v>Compresora</v>
      </c>
      <c r="C1438" s="31" t="s">
        <v>556</v>
      </c>
      <c r="D1438" s="31" t="inlineStr">
        <is>
          <t>Observaciones de comportamiento seguro: total del mes (OPS + SMP)</t>
        </is>
      </c>
      <c r="E1438" s="199" t="str">
        <f>Datos!$C$28</f>
        <v>u</v>
      </c>
      <c r="F1438" s="31" t="s">
        <v>538</v>
      </c>
      <c r="G1438" s="246" t="str">
        <f>IF(COUNT(Datos!AK28:AK29)=0,"",SUM(Datos!AK28:AK29))</f>
        <v/>
      </c>
      <c r="H143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9" spans="1:8" x14ac:dyDescent="0.3">
      <c r="A1439" s="245">
        <f>Datos!$AK$3</f>
        <v>47239</v>
      </c>
      <c r="B1439" s="199" t="str">
        <f>Datos!AK$4</f>
        <v>Compresora</v>
      </c>
      <c r="C1439" s="31" t="s">
        <v>557</v>
      </c>
      <c r="D1439" s="199" t="str">
        <f>Datos!$B$30</f>
        <v>Investigaciones de accidentes cerradas en el mes</v>
      </c>
      <c r="E1439" s="199" t="str">
        <f>Datos!$C$30</f>
        <v>u</v>
      </c>
      <c r="F1439" s="31" t="s">
        <v>538</v>
      </c>
      <c r="G1439" s="246" t="str">
        <f>IF(ISNUMBER(Datos!AK30),Datos!AK30,"")</f>
        <v/>
      </c>
      <c r="H143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0" spans="1:8" x14ac:dyDescent="0.3">
      <c r="A1440" s="245">
        <f>Datos!$AK$3</f>
        <v>47239</v>
      </c>
      <c r="B1440" s="199" t="str">
        <f>Datos!AK$4</f>
        <v>Compresora</v>
      </c>
      <c r="C1440" s="31" t="s">
        <v>558</v>
      </c>
      <c r="D1440" s="199" t="str">
        <f>Datos!$B$31</f>
        <v>Días que llevaron esas investigaciones (suma)</v>
      </c>
      <c r="E1440" s="199" t="str">
        <f>Datos!$C$31</f>
        <v>días</v>
      </c>
      <c r="F1440" s="31" t="s">
        <v>538</v>
      </c>
      <c r="G1440" s="246" t="str">
        <f>IF(ISNUMBER(Datos!AK31),Datos!AK31,"")</f>
        <v/>
      </c>
      <c r="H144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1" spans="1:8" x14ac:dyDescent="0.3">
      <c r="A1441" s="245">
        <f>Datos!$AK$3</f>
        <v>47239</v>
      </c>
      <c r="B1441" s="199" t="str">
        <f>Datos!AK$4</f>
        <v>Compresora</v>
      </c>
      <c r="C1441" s="31" t="s">
        <v>559</v>
      </c>
      <c r="D1441" s="199" t="str">
        <f>Datos!$B$33</f>
        <v>Casos con días perdidos</v>
      </c>
      <c r="E1441" s="199" t="str">
        <f>Datos!$C$33</f>
        <v>u</v>
      </c>
      <c r="F1441" s="31" t="s">
        <v>538</v>
      </c>
      <c r="G1441" s="246" t="str">
        <f>IF(ISNUMBER(Datos!AK33),Datos!AK33,"")</f>
        <v/>
      </c>
      <c r="H144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2" spans="1:8" x14ac:dyDescent="0.3">
      <c r="A1442" s="245">
        <f>Datos!$AK$3</f>
        <v>47239</v>
      </c>
      <c r="B1442" s="199" t="str">
        <f>Datos!AK$4</f>
        <v>Compresora</v>
      </c>
      <c r="C1442" s="31" t="s">
        <v>560</v>
      </c>
      <c r="D1442" s="199" t="str">
        <f>Datos!$B$34</f>
        <v>Casos con trabajo restringido</v>
      </c>
      <c r="E1442" s="199" t="str">
        <f>Datos!$C$34</f>
        <v>u</v>
      </c>
      <c r="F1442" s="31" t="s">
        <v>538</v>
      </c>
      <c r="G1442" s="246" t="str">
        <f>IF(ISNUMBER(Datos!AK34),Datos!AK34,"")</f>
        <v/>
      </c>
      <c r="H144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3" spans="1:8" x14ac:dyDescent="0.3">
      <c r="A1443" s="245">
        <f>Datos!$AK$3</f>
        <v>47239</v>
      </c>
      <c r="B1443" s="199" t="str">
        <f>Datos!AK$4</f>
        <v>Compresora</v>
      </c>
      <c r="C1443" s="31" t="s">
        <v>561</v>
      </c>
      <c r="D1443" s="199" t="str">
        <f>Datos!$B$35</f>
        <v>Casos con tratamiento médico</v>
      </c>
      <c r="E1443" s="199" t="str">
        <f>Datos!$C$35</f>
        <v>u</v>
      </c>
      <c r="F1443" s="31" t="s">
        <v>538</v>
      </c>
      <c r="G1443" s="246" t="str">
        <f>IF(ISNUMBER(Datos!AK35),Datos!AK35,"")</f>
        <v/>
      </c>
      <c r="H144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4" spans="1:8" x14ac:dyDescent="0.3">
      <c r="A1444" s="245">
        <f>Datos!$AK$3</f>
        <v>47239</v>
      </c>
      <c r="B1444" s="199" t="str">
        <f>Datos!AK$4</f>
        <v>Compresora</v>
      </c>
      <c r="C1444" s="31" t="s">
        <v>562</v>
      </c>
      <c r="D1444" s="199" t="str">
        <f>Datos!$B$36</f>
        <v>Fatalidades</v>
      </c>
      <c r="E1444" s="199" t="str">
        <f>Datos!$C$36</f>
        <v>u</v>
      </c>
      <c r="F1444" s="31" t="s">
        <v>538</v>
      </c>
      <c r="G1444" s="246" t="str">
        <f>IF(ISNUMBER(Datos!AK36),Datos!AK36,"")</f>
        <v/>
      </c>
      <c r="H144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5" spans="1:8" x14ac:dyDescent="0.3">
      <c r="A1445" s="245">
        <f>Datos!$AK$3</f>
        <v>47239</v>
      </c>
      <c r="B1445" s="199" t="str">
        <f>Datos!AK$4</f>
        <v>Compresora</v>
      </c>
      <c r="C1445" s="31" t="s">
        <v>51</v>
      </c>
      <c r="D1445" s="199" t="str">
        <f>Datos!$B$37</f>
        <v>Casos de primeros auxilios</v>
      </c>
      <c r="E1445" s="199" t="str">
        <f>Datos!$C$37</f>
        <v>u</v>
      </c>
      <c r="F1445" s="31" t="s">
        <v>538</v>
      </c>
      <c r="G1445" s="246" t="str">
        <f>IF(ISNUMBER(Datos!AK37),Datos!AK37,"")</f>
        <v/>
      </c>
      <c r="H144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6" spans="1:8" x14ac:dyDescent="0.3">
      <c r="A1446" s="245">
        <f>Datos!$AK$3</f>
        <v>47239</v>
      </c>
      <c r="B1446" s="199" t="str">
        <f>Datos!AK$4</f>
        <v>Compresora</v>
      </c>
      <c r="C1446" s="31" t="s">
        <v>563</v>
      </c>
      <c r="D1446" s="199" t="str">
        <f>Datos!$B$39</f>
        <v>CVM catastróficas</v>
      </c>
      <c r="E1446" s="199" t="str">
        <f>Datos!$C$39</f>
        <v>u</v>
      </c>
      <c r="F1446" s="31" t="s">
        <v>538</v>
      </c>
      <c r="G1446" s="246" t="str">
        <f>IF(ISNUMBER(Datos!AK39),Datos!AK39,"")</f>
        <v/>
      </c>
      <c r="H144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7" spans="1:8" x14ac:dyDescent="0.3">
      <c r="A1447" s="245">
        <f>Datos!$AK$3</f>
        <v>47239</v>
      </c>
      <c r="B1447" s="199" t="str">
        <f>Datos!AK$4</f>
        <v>Compresora</v>
      </c>
      <c r="C1447" s="31" t="s">
        <v>564</v>
      </c>
      <c r="D1447" s="199" t="str">
        <f>Datos!$B$40</f>
        <v>CVM mayores</v>
      </c>
      <c r="E1447" s="199" t="str">
        <f>Datos!$C$40</f>
        <v>u</v>
      </c>
      <c r="F1447" s="31" t="s">
        <v>538</v>
      </c>
      <c r="G1447" s="246" t="str">
        <f>IF(ISNUMBER(Datos!AK40),Datos!AK40,"")</f>
        <v/>
      </c>
      <c r="H144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8" spans="1:8" x14ac:dyDescent="0.3">
      <c r="A1448" s="245">
        <f>Datos!$AK$3</f>
        <v>47239</v>
      </c>
      <c r="B1448" s="199" t="str">
        <f>Datos!AK$4</f>
        <v>Compresora</v>
      </c>
      <c r="C1448" s="31" t="s">
        <v>565</v>
      </c>
      <c r="D1448" s="199" t="str">
        <f>Datos!$B$41</f>
        <v>CVM serias</v>
      </c>
      <c r="E1448" s="199" t="str">
        <f>Datos!$C$41</f>
        <v>u</v>
      </c>
      <c r="F1448" s="31" t="s">
        <v>538</v>
      </c>
      <c r="G1448" s="246" t="str">
        <f>IF(ISNUMBER(Datos!AK41),Datos!AK41,"")</f>
        <v/>
      </c>
      <c r="H144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9" spans="1:8" x14ac:dyDescent="0.3">
      <c r="A1449" s="245">
        <f>Datos!$AK$3</f>
        <v>47239</v>
      </c>
      <c r="B1449" s="199" t="str">
        <f>Datos!AK$4</f>
        <v>Compresora</v>
      </c>
      <c r="C1449" s="31" t="s">
        <v>566</v>
      </c>
      <c r="D1449" s="199" t="str">
        <f>Datos!$B$42</f>
        <v>CVM otras / menores</v>
      </c>
      <c r="E1449" s="199" t="str">
        <f>Datos!$C$42</f>
        <v>u</v>
      </c>
      <c r="F1449" s="31" t="s">
        <v>538</v>
      </c>
      <c r="G1449" s="246" t="str">
        <f>IF(ISNUMBER(Datos!AK42),Datos!AK42,"")</f>
        <v/>
      </c>
      <c r="H144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0" spans="1:8" x14ac:dyDescent="0.3">
      <c r="A1450" s="245">
        <f>Datos!$AK$3</f>
        <v>47239</v>
      </c>
      <c r="B1450" s="199" t="str">
        <f>Datos!AK$4</f>
        <v>Compresora</v>
      </c>
      <c r="C1450" s="31" t="s">
        <v>567</v>
      </c>
      <c r="D1450" s="199" t="str">
        <f>Datos!$B$44</f>
        <v>Km recorridos: vehículos livianos (camionetas)</v>
      </c>
      <c r="E1450" s="199" t="str">
        <f>Datos!$C$44</f>
        <v>km</v>
      </c>
      <c r="F1450" s="31" t="s">
        <v>538</v>
      </c>
      <c r="G1450" s="246" t="str">
        <f>IF(ISNUMBER(Datos!AK44),Datos!AK44,"")</f>
        <v/>
      </c>
      <c r="H145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1" spans="1:8" x14ac:dyDescent="0.3">
      <c r="A1451" s="245">
        <f>Datos!$AK$3</f>
        <v>47239</v>
      </c>
      <c r="B1451" s="199" t="str">
        <f>Datos!AK$4</f>
        <v>Compresora</v>
      </c>
      <c r="C1451" s="31" t="s">
        <v>568</v>
      </c>
      <c r="D1451" s="199" t="str">
        <f>Datos!$B$45</f>
        <v>Km recorridos: vehículos pesados (camiones)</v>
      </c>
      <c r="E1451" s="199" t="str">
        <f>Datos!$C$45</f>
        <v>km</v>
      </c>
      <c r="F1451" s="31" t="s">
        <v>538</v>
      </c>
      <c r="G1451" s="246" t="str">
        <f>IF(ISNUMBER(Datos!AK45),Datos!AK45,"")</f>
        <v/>
      </c>
      <c r="H145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2" spans="1:8" x14ac:dyDescent="0.3">
      <c r="A1452" s="245">
        <f>Datos!$AK$3</f>
        <v>47239</v>
      </c>
      <c r="B1452" s="199" t="str">
        <f>Datos!AK$4</f>
        <v>Compresora</v>
      </c>
      <c r="C1452" s="31" t="s">
        <v>569</v>
      </c>
      <c r="D1452" s="199" t="str">
        <f>Datos!$B$46</f>
        <v>Km recorridos: vehículos de transporte de personal (combis)</v>
      </c>
      <c r="E1452" s="199" t="str">
        <f>Datos!$C$46</f>
        <v>km</v>
      </c>
      <c r="F1452" s="31" t="s">
        <v>538</v>
      </c>
      <c r="G1452" s="246" t="str">
        <f>IF(ISNUMBER(Datos!AK46),Datos!AK46,"")</f>
        <v/>
      </c>
      <c r="H145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3" spans="1:8" x14ac:dyDescent="0.3">
      <c r="A1453" s="245">
        <f>Datos!$AK$3</f>
        <v>47239</v>
      </c>
      <c r="B1453" s="199" t="str">
        <f>Datos!AK$4</f>
        <v>Compresora</v>
      </c>
      <c r="C1453" s="31" t="s">
        <v>570</v>
      </c>
      <c r="D1453" s="199" t="str">
        <f>Datos!$B$47</f>
        <v>Km recorridos: TOTAL</v>
      </c>
      <c r="E1453" s="199" t="str">
        <f>Datos!$C$47</f>
        <v>km</v>
      </c>
      <c r="F1453" s="31" t="s">
        <v>541</v>
      </c>
      <c r="G1453" s="246">
        <f>IF(ISNUMBER(Datos!AK47),Datos!AK47,"")</f>
        <v>0</v>
      </c>
      <c r="H145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4" spans="1:8" x14ac:dyDescent="0.3">
      <c r="A1454" s="245">
        <f>Datos!$AK$3</f>
        <v>47239</v>
      </c>
      <c r="B1454" s="199" t="str">
        <f>Datos!AK$4</f>
        <v>Compresora</v>
      </c>
      <c r="C1454" s="31" t="s">
        <v>571</v>
      </c>
      <c r="D1454" s="199" t="str">
        <f>Datos!$B$67</f>
        <v>Hallazgos (desvíos) cerrados en el mes</v>
      </c>
      <c r="E1454" s="199" t="str">
        <f>Datos!$C$67</f>
        <v>u</v>
      </c>
      <c r="F1454" s="31" t="s">
        <v>572</v>
      </c>
      <c r="G1454" s="246" t="str">
        <f>IF(ISNUMBER(Datos!AK67),Datos!AK67,"")</f>
        <v/>
      </c>
      <c r="H145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5" spans="1:8" x14ac:dyDescent="0.3">
      <c r="A1455" s="245">
        <f>Datos!$AK$3</f>
        <v>47239</v>
      </c>
      <c r="B1455" s="199" t="str">
        <f>Datos!AK$4</f>
        <v>Compresora</v>
      </c>
      <c r="C1455" s="31" t="s">
        <v>573</v>
      </c>
      <c r="D1455" s="199" t="str">
        <f>Datos!$B$68</f>
        <v>Días que llevaron esos hallazgos (suma)</v>
      </c>
      <c r="E1455" s="199" t="str">
        <f>Datos!$C$68</f>
        <v>días</v>
      </c>
      <c r="F1455" s="31" t="s">
        <v>572</v>
      </c>
      <c r="G1455" s="246" t="str">
        <f>IF(ISNUMBER(Datos!AK68),Datos!AK68,"")</f>
        <v/>
      </c>
      <c r="H145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6" spans="1:8" x14ac:dyDescent="0.3">
      <c r="A1456" s="245">
        <f>Datos!$AK$3</f>
        <v>47239</v>
      </c>
      <c r="B1456" s="199" t="str">
        <f>Datos!AK$4</f>
        <v>Compresora</v>
      </c>
      <c r="C1456" s="31" t="s">
        <v>574</v>
      </c>
      <c r="D1456" s="199" t="str">
        <f>Datos!$B$69</f>
        <v>Hallazgos (desvíos) abiertos a fin de mes</v>
      </c>
      <c r="E1456" s="199" t="str">
        <f>Datos!$C$69</f>
        <v>u</v>
      </c>
      <c r="F1456" s="31" t="s">
        <v>572</v>
      </c>
      <c r="G1456" s="246" t="str">
        <f>IF(ISNUMBER(Datos!AK69),Datos!AK69,"")</f>
        <v/>
      </c>
      <c r="H145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7" spans="1:8" x14ac:dyDescent="0.3">
      <c r="A1457" s="245">
        <f>Datos!$AK$3</f>
        <v>47239</v>
      </c>
      <c r="B1457" s="199" t="str">
        <f>Datos!AK$4</f>
        <v>Compresora</v>
      </c>
      <c r="C1457" s="31" t="s">
        <v>575</v>
      </c>
      <c r="D1457" s="199" t="str">
        <f>Datos!$B$70</f>
        <v>Hallazgos (desvíos) detectados en el mes</v>
      </c>
      <c r="E1457" s="199" t="str">
        <f>Datos!$C$70</f>
        <v>u</v>
      </c>
      <c r="F1457" s="31" t="s">
        <v>572</v>
      </c>
      <c r="G1457" s="246" t="str">
        <f>IF(ISNUMBER(Datos!AK70),Datos!AK70,"")</f>
        <v/>
      </c>
      <c r="H145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8" spans="1:8" x14ac:dyDescent="0.3">
      <c r="A1458" s="245">
        <f>Datos!$AK$3</f>
        <v>47239</v>
      </c>
      <c r="B1458" s="199" t="str">
        <f>Datos!AK$4</f>
        <v>Compresora</v>
      </c>
      <c r="C1458" s="31" t="s">
        <v>576</v>
      </c>
      <c r="D1458" s="199" t="str">
        <f>Datos!$B$71</f>
        <v>Desvíos detectados en el mes · gravedad Alta</v>
      </c>
      <c r="E1458" s="199" t="str">
        <f>Datos!$C$71</f>
        <v>u</v>
      </c>
      <c r="F1458" s="31" t="s">
        <v>572</v>
      </c>
      <c r="G1458" s="246" t="str">
        <f>IF(ISNUMBER(Datos!AK71),Datos!AK71,"")</f>
        <v/>
      </c>
      <c r="H145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9" spans="1:8" x14ac:dyDescent="0.3">
      <c r="A1459" s="245">
        <f>Datos!$AK$3</f>
        <v>47239</v>
      </c>
      <c r="B1459" s="199" t="str">
        <f>Datos!AK$4</f>
        <v>Compresora</v>
      </c>
      <c r="C1459" s="31" t="s">
        <v>577</v>
      </c>
      <c r="D1459" s="199" t="str">
        <f>Datos!$B$72</f>
        <v>Desvíos detectados en el mes · gravedad Media</v>
      </c>
      <c r="E1459" s="199" t="str">
        <f>Datos!$C$72</f>
        <v>u</v>
      </c>
      <c r="F1459" s="31" t="s">
        <v>572</v>
      </c>
      <c r="G1459" s="246" t="str">
        <f>IF(ISNUMBER(Datos!AK72),Datos!AK72,"")</f>
        <v/>
      </c>
      <c r="H145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0" spans="1:8" x14ac:dyDescent="0.3">
      <c r="A1460" s="245">
        <f>Datos!$AK$3</f>
        <v>47239</v>
      </c>
      <c r="B1460" s="199" t="str">
        <f>Datos!AK$4</f>
        <v>Compresora</v>
      </c>
      <c r="C1460" s="31" t="s">
        <v>578</v>
      </c>
      <c r="D1460" s="199" t="str">
        <f>Datos!$B$73</f>
        <v>Desvíos detectados en el mes · gravedad Baja</v>
      </c>
      <c r="E1460" s="199" t="str">
        <f>Datos!$C$73</f>
        <v>u</v>
      </c>
      <c r="F1460" s="31" t="s">
        <v>572</v>
      </c>
      <c r="G1460" s="246" t="str">
        <f>IF(ISNUMBER(Datos!AK73),Datos!AK73,"")</f>
        <v/>
      </c>
      <c r="H146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1" spans="1:8" x14ac:dyDescent="0.3">
      <c r="A1461" s="245">
        <f>Datos!$AK$3</f>
        <v>47239</v>
      </c>
      <c r="B1461" s="199" t="str">
        <f>Datos!AK$4</f>
        <v>Compresora</v>
      </c>
      <c r="C1461" s="31" t="s">
        <v>579</v>
      </c>
      <c r="D1461" s="199" t="str">
        <f>Datos!$B$74</f>
        <v>Desvíos detectados en el mes · sin gravedad cargada</v>
      </c>
      <c r="E1461" s="199" t="str">
        <f>Datos!$C$74</f>
        <v>u</v>
      </c>
      <c r="F1461" s="31" t="s">
        <v>572</v>
      </c>
      <c r="G1461" s="246">
        <f>IF(ISNUMBER(Datos!AK74),Datos!AK74,"")</f>
        <v>0</v>
      </c>
      <c r="H146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2" spans="1:8" x14ac:dyDescent="0.3">
      <c r="A1462" s="245">
        <f>Datos!$AK$3</f>
        <v>47239</v>
      </c>
      <c r="B1462" s="199" t="str">
        <f>Datos!AK$4</f>
        <v>Compresora</v>
      </c>
      <c r="C1462" s="31" t="s">
        <v>580</v>
      </c>
      <c r="D1462" s="199" t="str">
        <f>Datos!$B$75</f>
        <v>Detenciones de tareas aplicadas en el mes (Política = Sí)</v>
      </c>
      <c r="E1462" s="199" t="str">
        <f>Datos!$C$75</f>
        <v>u</v>
      </c>
      <c r="F1462" s="31" t="s">
        <v>572</v>
      </c>
      <c r="G1462" s="246" t="str">
        <f>IF(ISNUMBER(Datos!AK75),Datos!AK75,"")</f>
        <v/>
      </c>
      <c r="H146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3" spans="1:8" x14ac:dyDescent="0.3">
      <c r="A1463" s="245">
        <f>Datos!$AK$3</f>
        <v>47239</v>
      </c>
      <c r="B1463" s="199" t="str">
        <f>Datos!AK$4</f>
        <v>Compresora</v>
      </c>
      <c r="C1463" s="31" t="s">
        <v>581</v>
      </c>
      <c r="D1463" s="199" t="str">
        <f>Datos!$B$76</f>
        <v>Desvíos de gravedad Alta abiertos a fin de mes</v>
      </c>
      <c r="E1463" s="199" t="str">
        <f>Datos!$C$76</f>
        <v>u</v>
      </c>
      <c r="F1463" s="31" t="s">
        <v>572</v>
      </c>
      <c r="G1463" s="246" t="str">
        <f>IF(ISNUMBER(Datos!AK76),Datos!AK76,"")</f>
        <v/>
      </c>
      <c r="H146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4" spans="1:8" x14ac:dyDescent="0.3">
      <c r="A1464" s="245">
        <f>Datos!$AL$3</f>
        <v>47270</v>
      </c>
      <c r="B1464" s="199" t="str">
        <f>Datos!AL$4</f>
        <v>Compresora</v>
      </c>
      <c r="C1464" s="31" t="s">
        <v>537</v>
      </c>
      <c r="D1464" s="199" t="str">
        <f>Datos!$B$9</f>
        <v>Dotación promedio: Personal OPS</v>
      </c>
      <c r="E1464" s="199" t="str">
        <f>Datos!$C$9</f>
        <v>pers</v>
      </c>
      <c r="F1464" s="31" t="s">
        <v>538</v>
      </c>
      <c r="G1464" s="246" t="str">
        <f>IF(ISNUMBER(Datos!AL9),Datos!AL9,"")</f>
        <v/>
      </c>
      <c r="H146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5" spans="1:8" x14ac:dyDescent="0.3">
      <c r="A1465" s="245">
        <f>Datos!$AL$3</f>
        <v>47270</v>
      </c>
      <c r="B1465" s="199" t="str">
        <f>Datos!AL$4</f>
        <v>Compresora</v>
      </c>
      <c r="C1465" s="31" t="s">
        <v>539</v>
      </c>
      <c r="D1465" s="199" t="str">
        <f>Datos!$B$10</f>
        <v>Dotación promedio: Personal SMP(IEBC, PAE e YPF) </v>
      </c>
      <c r="E1465" s="199" t="str">
        <f>Datos!$C$10</f>
        <v>pers</v>
      </c>
      <c r="F1465" s="31" t="s">
        <v>538</v>
      </c>
      <c r="G1465" s="246" t="str">
        <f>IF(ISNUMBER(Datos!AL10),Datos!AL10,"")</f>
        <v/>
      </c>
      <c r="H146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6" spans="1:8" x14ac:dyDescent="0.3">
      <c r="A1466" s="245">
        <f>Datos!$AL$3</f>
        <v>47270</v>
      </c>
      <c r="B1466" s="199" t="str">
        <f>Datos!AL$4</f>
        <v>Compresora</v>
      </c>
      <c r="C1466" s="31" t="s">
        <v>540</v>
      </c>
      <c r="D1466" s="199" t="str">
        <f>Datos!$B$11</f>
        <v>Dotación promedio: TOTAL</v>
      </c>
      <c r="E1466" s="199" t="str">
        <f>Datos!$C$11</f>
        <v>pers</v>
      </c>
      <c r="F1466" s="31" t="s">
        <v>541</v>
      </c>
      <c r="G1466" s="246">
        <f>IF(ISNUMBER(Datos!AL11),Datos!AL11,"")</f>
        <v>0</v>
      </c>
      <c r="H146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7" spans="1:8" x14ac:dyDescent="0.3">
      <c r="A1467" s="245">
        <f>Datos!$AL$3</f>
        <v>47270</v>
      </c>
      <c r="B1467" s="199" t="str">
        <f>Datos!AL$4</f>
        <v>Compresora</v>
      </c>
      <c r="C1467" s="31" t="s">
        <v>542</v>
      </c>
      <c r="D1467" s="199" t="str">
        <f>Datos!$B$12</f>
        <v>Horas hombre trabajadas: Personal OPS</v>
      </c>
      <c r="E1467" s="199" t="str">
        <f>Datos!$C$12</f>
        <v>h</v>
      </c>
      <c r="F1467" s="31" t="s">
        <v>538</v>
      </c>
      <c r="G1467" s="246" t="str">
        <f>IF(ISNUMBER(Datos!AL12),Datos!AL12,"")</f>
        <v/>
      </c>
      <c r="H146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8" spans="1:8" x14ac:dyDescent="0.3">
      <c r="A1468" s="245">
        <f>Datos!$AL$3</f>
        <v>47270</v>
      </c>
      <c r="B1468" s="199" t="str">
        <f>Datos!AL$4</f>
        <v>Compresora</v>
      </c>
      <c r="C1468" s="31" t="s">
        <v>543</v>
      </c>
      <c r="D1468" s="199" t="str">
        <f>Datos!$B$13</f>
        <v>Horas hombre trabajadas: Personal SMP(IEBC, PAE e YPF) en campo</v>
      </c>
      <c r="E1468" s="199" t="str">
        <f>Datos!$C$13</f>
        <v>h</v>
      </c>
      <c r="F1468" s="31" t="s">
        <v>538</v>
      </c>
      <c r="G1468" s="246" t="str">
        <f>IF(ISNUMBER(Datos!AL13),Datos!AL13,"")</f>
        <v/>
      </c>
      <c r="H146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9" spans="1:8" x14ac:dyDescent="0.3">
      <c r="A1469" s="245">
        <f>Datos!$AL$3</f>
        <v>47270</v>
      </c>
      <c r="B1469" s="199" t="str">
        <f>Datos!AL$4</f>
        <v>Compresora</v>
      </c>
      <c r="C1469" s="31" t="s">
        <v>544</v>
      </c>
      <c r="D1469" s="199" t="str">
        <f>Datos!$B$14</f>
        <v>Horas hombre trabajadas: TOTAL</v>
      </c>
      <c r="E1469" s="199" t="str">
        <f>Datos!$C$14</f>
        <v>h</v>
      </c>
      <c r="F1469" s="31" t="s">
        <v>541</v>
      </c>
      <c r="G1469" s="246">
        <f>IF(ISNUMBER(Datos!AL14),Datos!AL14,"")</f>
        <v>0</v>
      </c>
      <c r="H146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0" spans="1:8" x14ac:dyDescent="0.3">
      <c r="A1470" s="245">
        <f>Datos!$AL$3</f>
        <v>47270</v>
      </c>
      <c r="B1470" s="199" t="str">
        <f>Datos!AL$4</f>
        <v>Compresora</v>
      </c>
      <c r="C1470" s="31" t="s">
        <v>545</v>
      </c>
      <c r="D1470" s="199" t="str">
        <f>Datos!$B$16</f>
        <v>Horas hombre de formación en seguridad: Personal OPS</v>
      </c>
      <c r="E1470" s="199" t="str">
        <f>Datos!$C$16</f>
        <v>h</v>
      </c>
      <c r="F1470" s="31" t="s">
        <v>538</v>
      </c>
      <c r="G1470" s="246" t="str">
        <f>IF(ISNUMBER(Datos!AL16),Datos!AL16,"")</f>
        <v/>
      </c>
      <c r="H147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1" spans="1:8" x14ac:dyDescent="0.3">
      <c r="A1471" s="245">
        <f>Datos!$AL$3</f>
        <v>47270</v>
      </c>
      <c r="B1471" s="199" t="str">
        <f>Datos!AL$4</f>
        <v>Compresora</v>
      </c>
      <c r="C1471" s="31" t="s">
        <v>546</v>
      </c>
      <c r="D1471" s="199" t="str">
        <f>Datos!$B$17</f>
        <v>Horas hombre de formación en seguridad: Personal SMP(IEBC, PAE e YPF) </v>
      </c>
      <c r="E1471" s="199" t="str">
        <f>Datos!$C$17</f>
        <v>h</v>
      </c>
      <c r="F1471" s="31" t="s">
        <v>538</v>
      </c>
      <c r="G1471" s="246" t="str">
        <f>IF(ISNUMBER(Datos!AL17),Datos!AL17,"")</f>
        <v/>
      </c>
      <c r="H147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2" spans="1:8" x14ac:dyDescent="0.3">
      <c r="A1472" s="245">
        <f>Datos!$AL$3</f>
        <v>47270</v>
      </c>
      <c r="B1472" s="199" t="str">
        <f>Datos!AL$4</f>
        <v>Compresora</v>
      </c>
      <c r="C1472" s="31" t="s">
        <v>547</v>
      </c>
      <c r="D1472" s="199" t="str">
        <f>Datos!$B$18</f>
        <v>Horas hombre de formación en seguridad: TOTAL</v>
      </c>
      <c r="E1472" s="199" t="str">
        <f>Datos!$C$18</f>
        <v>h</v>
      </c>
      <c r="F1472" s="31" t="s">
        <v>541</v>
      </c>
      <c r="G1472" s="246">
        <f>IF(ISNUMBER(Datos!AL18),Datos!AL18,"")</f>
        <v>0</v>
      </c>
      <c r="H147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3" spans="1:8" x14ac:dyDescent="0.3">
      <c r="A1473" s="245">
        <f>Datos!$AL$3</f>
        <v>47270</v>
      </c>
      <c r="B1473" s="199" t="str">
        <f>Datos!AL$4</f>
        <v>Compresora</v>
      </c>
      <c r="C1473" s="31" t="s">
        <v>548</v>
      </c>
      <c r="D1473" s="199" t="str">
        <f>Datos!$B$20</f>
        <v>SIMULACROS · Realizados (emergencia y operativos)</v>
      </c>
      <c r="E1473" s="199" t="str">
        <f>Datos!$C$20</f>
        <v>u</v>
      </c>
      <c r="F1473" s="31" t="s">
        <v>538</v>
      </c>
      <c r="G1473" s="246" t="str">
        <f>IF(ISNUMBER(Datos!AL20),Datos!AL20,"")</f>
        <v/>
      </c>
      <c r="H147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4" spans="1:8" x14ac:dyDescent="0.3">
      <c r="A1474" s="245">
        <f>Datos!$AL$3</f>
        <v>47270</v>
      </c>
      <c r="B1474" s="199" t="str">
        <f>Datos!AL$4</f>
        <v>Compresora</v>
      </c>
      <c r="C1474" s="31" t="s">
        <v>549</v>
      </c>
      <c r="D1474" s="199" t="str">
        <f>Datos!$B$21</f>
        <v>SIMULACROS · Programados (emergencia y operativos)</v>
      </c>
      <c r="E1474" s="199" t="str">
        <f>Datos!$C$21</f>
        <v>u</v>
      </c>
      <c r="F1474" s="31" t="s">
        <v>538</v>
      </c>
      <c r="G1474" s="246" t="str">
        <f>IF(ISNUMBER(Datos!AL21),Datos!AL21,"")</f>
        <v/>
      </c>
      <c r="H147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5" spans="1:8" x14ac:dyDescent="0.3">
      <c r="A1475" s="245">
        <f>Datos!$AL$3</f>
        <v>47270</v>
      </c>
      <c r="B1475" s="199" t="str">
        <f>Datos!AL$4</f>
        <v>Compresora</v>
      </c>
      <c r="C1475" s="31" t="s">
        <v>550</v>
      </c>
      <c r="D1475" s="199" t="str">
        <f>Datos!$B$22</f>
        <v>SIMULACROS · Acciones de mejora surgidas de los simulacros (en el mes informado)</v>
      </c>
      <c r="E1475" s="199" t="str">
        <f>Datos!$C$22</f>
        <v>u</v>
      </c>
      <c r="F1475" s="31" t="s">
        <v>538</v>
      </c>
      <c r="G1475" s="246" t="str">
        <f>IF(ISNUMBER(Datos!AL22),Datos!AL22,"")</f>
        <v/>
      </c>
      <c r="H147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6" spans="1:8" x14ac:dyDescent="0.3">
      <c r="A1476" s="245">
        <f>Datos!$AL$3</f>
        <v>47270</v>
      </c>
      <c r="B1476" s="199" t="str">
        <f>Datos!AL$4</f>
        <v>Compresora</v>
      </c>
      <c r="C1476" s="31" t="s">
        <v>551</v>
      </c>
      <c r="D1476" s="199" t="str">
        <f>Datos!$B$23</f>
        <v>SIMULACROS · Acciones de mejora implementadas surgidas de los simulacros (ICME) (en el mes informado)</v>
      </c>
      <c r="E1476" s="199" t="str">
        <f>Datos!$C$23</f>
        <v>u</v>
      </c>
      <c r="F1476" s="31" t="s">
        <v>538</v>
      </c>
      <c r="G1476" s="246" t="str">
        <f>IF(ISNUMBER(Datos!AL23),Datos!AL23,"")</f>
        <v/>
      </c>
      <c r="H147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7" spans="1:8" x14ac:dyDescent="0.3">
      <c r="A1477" s="245">
        <f>Datos!$AL$3</f>
        <v>47270</v>
      </c>
      <c r="B1477" s="199" t="str">
        <f>Datos!AL$4</f>
        <v>Compresora</v>
      </c>
      <c r="C1477" s="31" t="s">
        <v>552</v>
      </c>
      <c r="D1477" s="199" t="str">
        <f>Datos!$B$24</f>
        <v>Caminatas gerenciales realizadas</v>
      </c>
      <c r="E1477" s="199" t="str">
        <f>Datos!$C$24</f>
        <v>u</v>
      </c>
      <c r="F1477" s="31" t="s">
        <v>538</v>
      </c>
      <c r="G1477" s="246" t="str">
        <f>IF(ISNUMBER(Datos!AL24),Datos!AL24,"")</f>
        <v/>
      </c>
      <c r="H147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8" spans="1:8" x14ac:dyDescent="0.3">
      <c r="A1478" s="245">
        <f>Datos!$AL$3</f>
        <v>47270</v>
      </c>
      <c r="B1478" s="199" t="str">
        <f>Datos!AL$4</f>
        <v>Compresora</v>
      </c>
      <c r="C1478" s="31" t="s">
        <v>553</v>
      </c>
      <c r="D1478" s="199" t="str">
        <f>Datos!$B$25</f>
        <v>Caminatas gerenciales planificadas</v>
      </c>
      <c r="E1478" s="199" t="str">
        <f>Datos!$C$25</f>
        <v>u</v>
      </c>
      <c r="F1478" s="31" t="s">
        <v>538</v>
      </c>
      <c r="G1478" s="246" t="str">
        <f>IF(ISNUMBER(Datos!AL25),Datos!AL25,"")</f>
        <v/>
      </c>
      <c r="H147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9" spans="1:8" x14ac:dyDescent="0.3">
      <c r="A1479" s="245">
        <f>Datos!$AL$3</f>
        <v>47270</v>
      </c>
      <c r="B1479" s="199" t="str">
        <f>Datos!AL$4</f>
        <v>Compresora</v>
      </c>
      <c r="C1479" s="31" t="s">
        <v>554</v>
      </c>
      <c r="D1479" s="199" t="str">
        <f>Datos!$B$26</f>
        <v>Comités y subcomités de seguridad realizados</v>
      </c>
      <c r="E1479" s="199" t="str">
        <f>Datos!$C$26</f>
        <v>u</v>
      </c>
      <c r="F1479" s="31" t="s">
        <v>538</v>
      </c>
      <c r="G1479" s="246" t="str">
        <f>IF(ISNUMBER(Datos!AL26),Datos!AL26,"")</f>
        <v/>
      </c>
      <c r="H147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0" spans="1:8" x14ac:dyDescent="0.3">
      <c r="A1480" s="245">
        <f>Datos!$AL$3</f>
        <v>47270</v>
      </c>
      <c r="B1480" s="199" t="str">
        <f>Datos!AL$4</f>
        <v>Compresora</v>
      </c>
      <c r="C1480" s="31" t="s">
        <v>555</v>
      </c>
      <c r="D1480" s="199" t="str">
        <f>Datos!$B$27</f>
        <v>Comités y subcomités de seguridad planificados</v>
      </c>
      <c r="E1480" s="199" t="str">
        <f>Datos!$C$27</f>
        <v>u</v>
      </c>
      <c r="F1480" s="31" t="s">
        <v>538</v>
      </c>
      <c r="G1480" s="246" t="str">
        <f>IF(ISNUMBER(Datos!AL27),Datos!AL27,"")</f>
        <v/>
      </c>
      <c r="H148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1" spans="1:8" x14ac:dyDescent="0.3">
      <c r="A1481" s="245">
        <f>Datos!$AL$3</f>
        <v>47270</v>
      </c>
      <c r="B1481" s="199" t="str">
        <f>Datos!AL$4</f>
        <v>Compresora</v>
      </c>
      <c r="C1481" s="31" t="s">
        <v>556</v>
      </c>
      <c r="D1481" s="31" t="inlineStr">
        <is>
          <t>Observaciones de comportamiento seguro: total del mes (OPS + SMP)</t>
        </is>
      </c>
      <c r="E1481" s="199" t="str">
        <f>Datos!$C$28</f>
        <v>u</v>
      </c>
      <c r="F1481" s="31" t="s">
        <v>538</v>
      </c>
      <c r="G1481" s="246" t="str">
        <f>IF(COUNT(Datos!AL28:AL29)=0,"",SUM(Datos!AL28:AL29))</f>
        <v/>
      </c>
      <c r="H148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2" spans="1:8" x14ac:dyDescent="0.3">
      <c r="A1482" s="245">
        <f>Datos!$AL$3</f>
        <v>47270</v>
      </c>
      <c r="B1482" s="199" t="str">
        <f>Datos!AL$4</f>
        <v>Compresora</v>
      </c>
      <c r="C1482" s="31" t="s">
        <v>557</v>
      </c>
      <c r="D1482" s="199" t="str">
        <f>Datos!$B$30</f>
        <v>Investigaciones de accidentes cerradas en el mes</v>
      </c>
      <c r="E1482" s="199" t="str">
        <f>Datos!$C$30</f>
        <v>u</v>
      </c>
      <c r="F1482" s="31" t="s">
        <v>538</v>
      </c>
      <c r="G1482" s="246" t="str">
        <f>IF(ISNUMBER(Datos!AL30),Datos!AL30,"")</f>
        <v/>
      </c>
      <c r="H148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3" spans="1:8" x14ac:dyDescent="0.3">
      <c r="A1483" s="245">
        <f>Datos!$AL$3</f>
        <v>47270</v>
      </c>
      <c r="B1483" s="199" t="str">
        <f>Datos!AL$4</f>
        <v>Compresora</v>
      </c>
      <c r="C1483" s="31" t="s">
        <v>558</v>
      </c>
      <c r="D1483" s="199" t="str">
        <f>Datos!$B$31</f>
        <v>Días que llevaron esas investigaciones (suma)</v>
      </c>
      <c r="E1483" s="199" t="str">
        <f>Datos!$C$31</f>
        <v>días</v>
      </c>
      <c r="F1483" s="31" t="s">
        <v>538</v>
      </c>
      <c r="G1483" s="246" t="str">
        <f>IF(ISNUMBER(Datos!AL31),Datos!AL31,"")</f>
        <v/>
      </c>
      <c r="H148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4" spans="1:8" x14ac:dyDescent="0.3">
      <c r="A1484" s="245">
        <f>Datos!$AL$3</f>
        <v>47270</v>
      </c>
      <c r="B1484" s="199" t="str">
        <f>Datos!AL$4</f>
        <v>Compresora</v>
      </c>
      <c r="C1484" s="31" t="s">
        <v>559</v>
      </c>
      <c r="D1484" s="199" t="str">
        <f>Datos!$B$33</f>
        <v>Casos con días perdidos</v>
      </c>
      <c r="E1484" s="199" t="str">
        <f>Datos!$C$33</f>
        <v>u</v>
      </c>
      <c r="F1484" s="31" t="s">
        <v>538</v>
      </c>
      <c r="G1484" s="246" t="str">
        <f>IF(ISNUMBER(Datos!AL33),Datos!AL33,"")</f>
        <v/>
      </c>
      <c r="H148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5" spans="1:8" x14ac:dyDescent="0.3">
      <c r="A1485" s="245">
        <f>Datos!$AL$3</f>
        <v>47270</v>
      </c>
      <c r="B1485" s="199" t="str">
        <f>Datos!AL$4</f>
        <v>Compresora</v>
      </c>
      <c r="C1485" s="31" t="s">
        <v>560</v>
      </c>
      <c r="D1485" s="199" t="str">
        <f>Datos!$B$34</f>
        <v>Casos con trabajo restringido</v>
      </c>
      <c r="E1485" s="199" t="str">
        <f>Datos!$C$34</f>
        <v>u</v>
      </c>
      <c r="F1485" s="31" t="s">
        <v>538</v>
      </c>
      <c r="G1485" s="246" t="str">
        <f>IF(ISNUMBER(Datos!AL34),Datos!AL34,"")</f>
        <v/>
      </c>
      <c r="H148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6" spans="1:8" x14ac:dyDescent="0.3">
      <c r="A1486" s="245">
        <f>Datos!$AL$3</f>
        <v>47270</v>
      </c>
      <c r="B1486" s="199" t="str">
        <f>Datos!AL$4</f>
        <v>Compresora</v>
      </c>
      <c r="C1486" s="31" t="s">
        <v>561</v>
      </c>
      <c r="D1486" s="199" t="str">
        <f>Datos!$B$35</f>
        <v>Casos con tratamiento médico</v>
      </c>
      <c r="E1486" s="199" t="str">
        <f>Datos!$C$35</f>
        <v>u</v>
      </c>
      <c r="F1486" s="31" t="s">
        <v>538</v>
      </c>
      <c r="G1486" s="246" t="str">
        <f>IF(ISNUMBER(Datos!AL35),Datos!AL35,"")</f>
        <v/>
      </c>
      <c r="H148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7" spans="1:8" x14ac:dyDescent="0.3">
      <c r="A1487" s="245">
        <f>Datos!$AL$3</f>
        <v>47270</v>
      </c>
      <c r="B1487" s="199" t="str">
        <f>Datos!AL$4</f>
        <v>Compresora</v>
      </c>
      <c r="C1487" s="31" t="s">
        <v>562</v>
      </c>
      <c r="D1487" s="199" t="str">
        <f>Datos!$B$36</f>
        <v>Fatalidades</v>
      </c>
      <c r="E1487" s="199" t="str">
        <f>Datos!$C$36</f>
        <v>u</v>
      </c>
      <c r="F1487" s="31" t="s">
        <v>538</v>
      </c>
      <c r="G1487" s="246" t="str">
        <f>IF(ISNUMBER(Datos!AL36),Datos!AL36,"")</f>
        <v/>
      </c>
      <c r="H148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8" spans="1:8" x14ac:dyDescent="0.3">
      <c r="A1488" s="245">
        <f>Datos!$AL$3</f>
        <v>47270</v>
      </c>
      <c r="B1488" s="199" t="str">
        <f>Datos!AL$4</f>
        <v>Compresora</v>
      </c>
      <c r="C1488" s="31" t="s">
        <v>51</v>
      </c>
      <c r="D1488" s="199" t="str">
        <f>Datos!$B$37</f>
        <v>Casos de primeros auxilios</v>
      </c>
      <c r="E1488" s="199" t="str">
        <f>Datos!$C$37</f>
        <v>u</v>
      </c>
      <c r="F1488" s="31" t="s">
        <v>538</v>
      </c>
      <c r="G1488" s="246" t="str">
        <f>IF(ISNUMBER(Datos!AL37),Datos!AL37,"")</f>
        <v/>
      </c>
      <c r="H148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9" spans="1:8" x14ac:dyDescent="0.3">
      <c r="A1489" s="245">
        <f>Datos!$AL$3</f>
        <v>47270</v>
      </c>
      <c r="B1489" s="199" t="str">
        <f>Datos!AL$4</f>
        <v>Compresora</v>
      </c>
      <c r="C1489" s="31" t="s">
        <v>563</v>
      </c>
      <c r="D1489" s="199" t="str">
        <f>Datos!$B$39</f>
        <v>CVM catastróficas</v>
      </c>
      <c r="E1489" s="199" t="str">
        <f>Datos!$C$39</f>
        <v>u</v>
      </c>
      <c r="F1489" s="31" t="s">
        <v>538</v>
      </c>
      <c r="G1489" s="246" t="str">
        <f>IF(ISNUMBER(Datos!AL39),Datos!AL39,"")</f>
        <v/>
      </c>
      <c r="H148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0" spans="1:8" x14ac:dyDescent="0.3">
      <c r="A1490" s="245">
        <f>Datos!$AL$3</f>
        <v>47270</v>
      </c>
      <c r="B1490" s="199" t="str">
        <f>Datos!AL$4</f>
        <v>Compresora</v>
      </c>
      <c r="C1490" s="31" t="s">
        <v>564</v>
      </c>
      <c r="D1490" s="199" t="str">
        <f>Datos!$B$40</f>
        <v>CVM mayores</v>
      </c>
      <c r="E1490" s="199" t="str">
        <f>Datos!$C$40</f>
        <v>u</v>
      </c>
      <c r="F1490" s="31" t="s">
        <v>538</v>
      </c>
      <c r="G1490" s="246" t="str">
        <f>IF(ISNUMBER(Datos!AL40),Datos!AL40,"")</f>
        <v/>
      </c>
      <c r="H149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1" spans="1:8" x14ac:dyDescent="0.3">
      <c r="A1491" s="245">
        <f>Datos!$AL$3</f>
        <v>47270</v>
      </c>
      <c r="B1491" s="199" t="str">
        <f>Datos!AL$4</f>
        <v>Compresora</v>
      </c>
      <c r="C1491" s="31" t="s">
        <v>565</v>
      </c>
      <c r="D1491" s="199" t="str">
        <f>Datos!$B$41</f>
        <v>CVM serias</v>
      </c>
      <c r="E1491" s="199" t="str">
        <f>Datos!$C$41</f>
        <v>u</v>
      </c>
      <c r="F1491" s="31" t="s">
        <v>538</v>
      </c>
      <c r="G1491" s="246" t="str">
        <f>IF(ISNUMBER(Datos!AL41),Datos!AL41,"")</f>
        <v/>
      </c>
      <c r="H149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2" spans="1:8" x14ac:dyDescent="0.3">
      <c r="A1492" s="245">
        <f>Datos!$AL$3</f>
        <v>47270</v>
      </c>
      <c r="B1492" s="199" t="str">
        <f>Datos!AL$4</f>
        <v>Compresora</v>
      </c>
      <c r="C1492" s="31" t="s">
        <v>566</v>
      </c>
      <c r="D1492" s="199" t="str">
        <f>Datos!$B$42</f>
        <v>CVM otras / menores</v>
      </c>
      <c r="E1492" s="199" t="str">
        <f>Datos!$C$42</f>
        <v>u</v>
      </c>
      <c r="F1492" s="31" t="s">
        <v>538</v>
      </c>
      <c r="G1492" s="246" t="str">
        <f>IF(ISNUMBER(Datos!AL42),Datos!AL42,"")</f>
        <v/>
      </c>
      <c r="H149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3" spans="1:8" x14ac:dyDescent="0.3">
      <c r="A1493" s="245">
        <f>Datos!$AL$3</f>
        <v>47270</v>
      </c>
      <c r="B1493" s="199" t="str">
        <f>Datos!AL$4</f>
        <v>Compresora</v>
      </c>
      <c r="C1493" s="31" t="s">
        <v>567</v>
      </c>
      <c r="D1493" s="199" t="str">
        <f>Datos!$B$44</f>
        <v>Km recorridos: vehículos livianos (camionetas)</v>
      </c>
      <c r="E1493" s="199" t="str">
        <f>Datos!$C$44</f>
        <v>km</v>
      </c>
      <c r="F1493" s="31" t="s">
        <v>538</v>
      </c>
      <c r="G1493" s="246" t="str">
        <f>IF(ISNUMBER(Datos!AL44),Datos!AL44,"")</f>
        <v/>
      </c>
      <c r="H149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4" spans="1:8" x14ac:dyDescent="0.3">
      <c r="A1494" s="245">
        <f>Datos!$AL$3</f>
        <v>47270</v>
      </c>
      <c r="B1494" s="199" t="str">
        <f>Datos!AL$4</f>
        <v>Compresora</v>
      </c>
      <c r="C1494" s="31" t="s">
        <v>568</v>
      </c>
      <c r="D1494" s="199" t="str">
        <f>Datos!$B$45</f>
        <v>Km recorridos: vehículos pesados (camiones)</v>
      </c>
      <c r="E1494" s="199" t="str">
        <f>Datos!$C$45</f>
        <v>km</v>
      </c>
      <c r="F1494" s="31" t="s">
        <v>538</v>
      </c>
      <c r="G1494" s="246" t="str">
        <f>IF(ISNUMBER(Datos!AL45),Datos!AL45,"")</f>
        <v/>
      </c>
      <c r="H149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5" spans="1:8" x14ac:dyDescent="0.3">
      <c r="A1495" s="245">
        <f>Datos!$AL$3</f>
        <v>47270</v>
      </c>
      <c r="B1495" s="199" t="str">
        <f>Datos!AL$4</f>
        <v>Compresora</v>
      </c>
      <c r="C1495" s="31" t="s">
        <v>569</v>
      </c>
      <c r="D1495" s="199" t="str">
        <f>Datos!$B$46</f>
        <v>Km recorridos: vehículos de transporte de personal (combis)</v>
      </c>
      <c r="E1495" s="199" t="str">
        <f>Datos!$C$46</f>
        <v>km</v>
      </c>
      <c r="F1495" s="31" t="s">
        <v>538</v>
      </c>
      <c r="G1495" s="246" t="str">
        <f>IF(ISNUMBER(Datos!AL46),Datos!AL46,"")</f>
        <v/>
      </c>
      <c r="H149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6" spans="1:8" x14ac:dyDescent="0.3">
      <c r="A1496" s="245">
        <f>Datos!$AL$3</f>
        <v>47270</v>
      </c>
      <c r="B1496" s="199" t="str">
        <f>Datos!AL$4</f>
        <v>Compresora</v>
      </c>
      <c r="C1496" s="31" t="s">
        <v>570</v>
      </c>
      <c r="D1496" s="199" t="str">
        <f>Datos!$B$47</f>
        <v>Km recorridos: TOTAL</v>
      </c>
      <c r="E1496" s="199" t="str">
        <f>Datos!$C$47</f>
        <v>km</v>
      </c>
      <c r="F1496" s="31" t="s">
        <v>541</v>
      </c>
      <c r="G1496" s="246">
        <f>IF(ISNUMBER(Datos!AL47),Datos!AL47,"")</f>
        <v>0</v>
      </c>
      <c r="H149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7" spans="1:8" x14ac:dyDescent="0.3">
      <c r="A1497" s="245">
        <f>Datos!$AL$3</f>
        <v>47270</v>
      </c>
      <c r="B1497" s="199" t="str">
        <f>Datos!AL$4</f>
        <v>Compresora</v>
      </c>
      <c r="C1497" s="31" t="s">
        <v>571</v>
      </c>
      <c r="D1497" s="199" t="str">
        <f>Datos!$B$67</f>
        <v>Hallazgos (desvíos) cerrados en el mes</v>
      </c>
      <c r="E1497" s="199" t="str">
        <f>Datos!$C$67</f>
        <v>u</v>
      </c>
      <c r="F1497" s="31" t="s">
        <v>572</v>
      </c>
      <c r="G1497" s="246" t="str">
        <f>IF(ISNUMBER(Datos!AL67),Datos!AL67,"")</f>
        <v/>
      </c>
      <c r="H149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8" spans="1:8" x14ac:dyDescent="0.3">
      <c r="A1498" s="245">
        <f>Datos!$AL$3</f>
        <v>47270</v>
      </c>
      <c r="B1498" s="199" t="str">
        <f>Datos!AL$4</f>
        <v>Compresora</v>
      </c>
      <c r="C1498" s="31" t="s">
        <v>573</v>
      </c>
      <c r="D1498" s="199" t="str">
        <f>Datos!$B$68</f>
        <v>Días que llevaron esos hallazgos (suma)</v>
      </c>
      <c r="E1498" s="199" t="str">
        <f>Datos!$C$68</f>
        <v>días</v>
      </c>
      <c r="F1498" s="31" t="s">
        <v>572</v>
      </c>
      <c r="G1498" s="246" t="str">
        <f>IF(ISNUMBER(Datos!AL68),Datos!AL68,"")</f>
        <v/>
      </c>
      <c r="H149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9" spans="1:8" x14ac:dyDescent="0.3">
      <c r="A1499" s="245">
        <f>Datos!$AL$3</f>
        <v>47270</v>
      </c>
      <c r="B1499" s="199" t="str">
        <f>Datos!AL$4</f>
        <v>Compresora</v>
      </c>
      <c r="C1499" s="31" t="s">
        <v>574</v>
      </c>
      <c r="D1499" s="199" t="str">
        <f>Datos!$B$69</f>
        <v>Hallazgos (desvíos) abiertos a fin de mes</v>
      </c>
      <c r="E1499" s="199" t="str">
        <f>Datos!$C$69</f>
        <v>u</v>
      </c>
      <c r="F1499" s="31" t="s">
        <v>572</v>
      </c>
      <c r="G1499" s="246" t="str">
        <f>IF(ISNUMBER(Datos!AL69),Datos!AL69,"")</f>
        <v/>
      </c>
      <c r="H149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0" spans="1:8" x14ac:dyDescent="0.3">
      <c r="A1500" s="245">
        <f>Datos!$AL$3</f>
        <v>47270</v>
      </c>
      <c r="B1500" s="199" t="str">
        <f>Datos!AL$4</f>
        <v>Compresora</v>
      </c>
      <c r="C1500" s="31" t="s">
        <v>575</v>
      </c>
      <c r="D1500" s="199" t="str">
        <f>Datos!$B$70</f>
        <v>Hallazgos (desvíos) detectados en el mes</v>
      </c>
      <c r="E1500" s="199" t="str">
        <f>Datos!$C$70</f>
        <v>u</v>
      </c>
      <c r="F1500" s="31" t="s">
        <v>572</v>
      </c>
      <c r="G1500" s="246" t="str">
        <f>IF(ISNUMBER(Datos!AL70),Datos!AL70,"")</f>
        <v/>
      </c>
      <c r="H150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1" spans="1:8" x14ac:dyDescent="0.3">
      <c r="A1501" s="245">
        <f>Datos!$AL$3</f>
        <v>47270</v>
      </c>
      <c r="B1501" s="199" t="str">
        <f>Datos!AL$4</f>
        <v>Compresora</v>
      </c>
      <c r="C1501" s="31" t="s">
        <v>576</v>
      </c>
      <c r="D1501" s="199" t="str">
        <f>Datos!$B$71</f>
        <v>Desvíos detectados en el mes · gravedad Alta</v>
      </c>
      <c r="E1501" s="199" t="str">
        <f>Datos!$C$71</f>
        <v>u</v>
      </c>
      <c r="F1501" s="31" t="s">
        <v>572</v>
      </c>
      <c r="G1501" s="246" t="str">
        <f>IF(ISNUMBER(Datos!AL71),Datos!AL71,"")</f>
        <v/>
      </c>
      <c r="H150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2" spans="1:8" x14ac:dyDescent="0.3">
      <c r="A1502" s="245">
        <f>Datos!$AL$3</f>
        <v>47270</v>
      </c>
      <c r="B1502" s="199" t="str">
        <f>Datos!AL$4</f>
        <v>Compresora</v>
      </c>
      <c r="C1502" s="31" t="s">
        <v>577</v>
      </c>
      <c r="D1502" s="199" t="str">
        <f>Datos!$B$72</f>
        <v>Desvíos detectados en el mes · gravedad Media</v>
      </c>
      <c r="E1502" s="199" t="str">
        <f>Datos!$C$72</f>
        <v>u</v>
      </c>
      <c r="F1502" s="31" t="s">
        <v>572</v>
      </c>
      <c r="G1502" s="246" t="str">
        <f>IF(ISNUMBER(Datos!AL72),Datos!AL72,"")</f>
        <v/>
      </c>
      <c r="H150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3" spans="1:8" x14ac:dyDescent="0.3">
      <c r="A1503" s="245">
        <f>Datos!$AL$3</f>
        <v>47270</v>
      </c>
      <c r="B1503" s="199" t="str">
        <f>Datos!AL$4</f>
        <v>Compresora</v>
      </c>
      <c r="C1503" s="31" t="s">
        <v>578</v>
      </c>
      <c r="D1503" s="199" t="str">
        <f>Datos!$B$73</f>
        <v>Desvíos detectados en el mes · gravedad Baja</v>
      </c>
      <c r="E1503" s="199" t="str">
        <f>Datos!$C$73</f>
        <v>u</v>
      </c>
      <c r="F1503" s="31" t="s">
        <v>572</v>
      </c>
      <c r="G1503" s="246" t="str">
        <f>IF(ISNUMBER(Datos!AL73),Datos!AL73,"")</f>
        <v/>
      </c>
      <c r="H150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4" spans="1:8" x14ac:dyDescent="0.3">
      <c r="A1504" s="245">
        <f>Datos!$AL$3</f>
        <v>47270</v>
      </c>
      <c r="B1504" s="199" t="str">
        <f>Datos!AL$4</f>
        <v>Compresora</v>
      </c>
      <c r="C1504" s="31" t="s">
        <v>579</v>
      </c>
      <c r="D1504" s="199" t="str">
        <f>Datos!$B$74</f>
        <v>Desvíos detectados en el mes · sin gravedad cargada</v>
      </c>
      <c r="E1504" s="199" t="str">
        <f>Datos!$C$74</f>
        <v>u</v>
      </c>
      <c r="F1504" s="31" t="s">
        <v>572</v>
      </c>
      <c r="G1504" s="246">
        <f>IF(ISNUMBER(Datos!AL74),Datos!AL74,"")</f>
        <v>0</v>
      </c>
      <c r="H150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5" spans="1:8" x14ac:dyDescent="0.3">
      <c r="A1505" s="245">
        <f>Datos!$AL$3</f>
        <v>47270</v>
      </c>
      <c r="B1505" s="199" t="str">
        <f>Datos!AL$4</f>
        <v>Compresora</v>
      </c>
      <c r="C1505" s="31" t="s">
        <v>580</v>
      </c>
      <c r="D1505" s="199" t="str">
        <f>Datos!$B$75</f>
        <v>Detenciones de tareas aplicadas en el mes (Política = Sí)</v>
      </c>
      <c r="E1505" s="199" t="str">
        <f>Datos!$C$75</f>
        <v>u</v>
      </c>
      <c r="F1505" s="31" t="s">
        <v>572</v>
      </c>
      <c r="G1505" s="246" t="str">
        <f>IF(ISNUMBER(Datos!AL75),Datos!AL75,"")</f>
        <v/>
      </c>
      <c r="H150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6" spans="1:8" x14ac:dyDescent="0.3">
      <c r="A1506" s="245">
        <f>Datos!$AL$3</f>
        <v>47270</v>
      </c>
      <c r="B1506" s="199" t="str">
        <f>Datos!AL$4</f>
        <v>Compresora</v>
      </c>
      <c r="C1506" s="31" t="s">
        <v>581</v>
      </c>
      <c r="D1506" s="199" t="str">
        <f>Datos!$B$76</f>
        <v>Desvíos de gravedad Alta abiertos a fin de mes</v>
      </c>
      <c r="E1506" s="199" t="str">
        <f>Datos!$C$76</f>
        <v>u</v>
      </c>
      <c r="F1506" s="31" t="s">
        <v>572</v>
      </c>
      <c r="G1506" s="246" t="str">
        <f>IF(ISNUMBER(Datos!AL76),Datos!AL76,"")</f>
        <v/>
      </c>
      <c r="H150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7" spans="1:8" x14ac:dyDescent="0.3">
      <c r="A1507" s="245">
        <f>Datos!$D$3</f>
        <v>46235</v>
      </c>
      <c r="B1507" s="199" t="str">
        <f>Datos!D$4</f>
        <v>Compresora</v>
      </c>
      <c r="C1507" s="31" t="s">
        <v>582</v>
      </c>
      <c r="D1507" s="199" t="str">
        <f>Datos!$B$51</f>
        <v>Personas distintas capacitadas en el mes: TOTAL</v>
      </c>
      <c r="E1507" s="199" t="str">
        <f>Datos!$C$51</f>
        <v>pers</v>
      </c>
      <c r="F1507" s="31" t="s">
        <v>541</v>
      </c>
      <c r="G1507" s="246">
        <f>IF(ISNUMBER(Datos!D51),Datos!D51,"")</f>
        <v>92</v>
      </c>
      <c r="H150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8" spans="1:8" x14ac:dyDescent="0.3">
      <c r="A1508" s="245">
        <f>Datos!$D$3</f>
        <v>46235</v>
      </c>
      <c r="B1508" s="199" t="str">
        <f>Datos!D$4</f>
        <v>Compresora</v>
      </c>
      <c r="C1508" s="31" t="s">
        <v>583</v>
      </c>
      <c r="D1508" s="199" t="str">
        <f>Datos!$B$52</f>
        <v>Campañas de seguridad programadas en el mes</v>
      </c>
      <c r="E1508" s="199" t="str">
        <f>Datos!$C$52</f>
        <v>u</v>
      </c>
      <c r="F1508" s="31" t="s">
        <v>538</v>
      </c>
      <c r="G1508" s="246">
        <f>IF(ISNUMBER(Datos!D52),Datos!D52,"")</f>
        <v>0</v>
      </c>
      <c r="H150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9" spans="1:8" x14ac:dyDescent="0.3">
      <c r="A1509" s="245">
        <f>Datos!$D$3</f>
        <v>46235</v>
      </c>
      <c r="B1509" s="199" t="str">
        <f>Datos!D$4</f>
        <v>Compresora</v>
      </c>
      <c r="C1509" s="31" t="s">
        <v>584</v>
      </c>
      <c r="D1509" s="199" t="str">
        <f>Datos!$B$53</f>
        <v>Campañas de seguridad realizadas en el mes</v>
      </c>
      <c r="E1509" s="199" t="str">
        <f>Datos!$C$53</f>
        <v>u</v>
      </c>
      <c r="F1509" s="31" t="s">
        <v>538</v>
      </c>
      <c r="G1509" s="246">
        <f>IF(ISNUMBER(Datos!D53),Datos!D53,"")</f>
        <v>0</v>
      </c>
      <c r="H150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10" spans="1:8" x14ac:dyDescent="0.3">
      <c r="A1510" s="245">
        <f>Datos!$E$3</f>
        <v>46266</v>
      </c>
      <c r="B1510" s="199" t="str">
        <f>Datos!E$4</f>
        <v>Compresora</v>
      </c>
      <c r="C1510" s="31" t="s">
        <v>582</v>
      </c>
      <c r="D1510" s="199" t="str">
        <f>Datos!$B$51</f>
        <v>Personas distintas capacitadas en el mes: TOTAL</v>
      </c>
      <c r="E1510" s="199" t="str">
        <f>Datos!$C$51</f>
        <v>pers</v>
      </c>
      <c r="F1510" s="31" t="s">
        <v>541</v>
      </c>
      <c r="G1510" s="246">
        <f>IF(ISNUMBER(Datos!E51),Datos!E51,"")</f>
        <v>123</v>
      </c>
      <c r="H151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1" spans="1:8" x14ac:dyDescent="0.3">
      <c r="A1511" s="245">
        <f>Datos!$E$3</f>
        <v>46266</v>
      </c>
      <c r="B1511" s="199" t="str">
        <f>Datos!E$4</f>
        <v>Compresora</v>
      </c>
      <c r="C1511" s="31" t="s">
        <v>583</v>
      </c>
      <c r="D1511" s="199" t="str">
        <f>Datos!$B$52</f>
        <v>Campañas de seguridad programadas en el mes</v>
      </c>
      <c r="E1511" s="199" t="str">
        <f>Datos!$C$52</f>
        <v>u</v>
      </c>
      <c r="F1511" s="31" t="s">
        <v>538</v>
      </c>
      <c r="G1511" s="246">
        <f>IF(ISNUMBER(Datos!E52),Datos!E52,"")</f>
        <v>1</v>
      </c>
      <c r="H151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2" spans="1:8" x14ac:dyDescent="0.3">
      <c r="A1512" s="245">
        <f>Datos!$E$3</f>
        <v>46266</v>
      </c>
      <c r="B1512" s="199" t="str">
        <f>Datos!E$4</f>
        <v>Compresora</v>
      </c>
      <c r="C1512" s="31" t="s">
        <v>584</v>
      </c>
      <c r="D1512" s="199" t="str">
        <f>Datos!$B$53</f>
        <v>Campañas de seguridad realizadas en el mes</v>
      </c>
      <c r="E1512" s="199" t="str">
        <f>Datos!$C$53</f>
        <v>u</v>
      </c>
      <c r="F1512" s="31" t="s">
        <v>538</v>
      </c>
      <c r="G1512" s="246">
        <f>IF(ISNUMBER(Datos!E53),Datos!E53,"")</f>
        <v>1</v>
      </c>
      <c r="H151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3" spans="1:8" x14ac:dyDescent="0.3">
      <c r="A1513" s="245">
        <f>Datos!$F$3</f>
        <v>46296</v>
      </c>
      <c r="B1513" s="199" t="str">
        <f>Datos!F$4</f>
        <v>Compresora</v>
      </c>
      <c r="C1513" s="31" t="s">
        <v>582</v>
      </c>
      <c r="D1513" s="199" t="str">
        <f>Datos!$B$51</f>
        <v>Personas distintas capacitadas en el mes: TOTAL</v>
      </c>
      <c r="E1513" s="199" t="str">
        <f>Datos!$C$51</f>
        <v>pers</v>
      </c>
      <c r="F1513" s="31" t="s">
        <v>541</v>
      </c>
      <c r="G1513" s="246" t="str">
        <f>IF(ISNUMBER(Datos!F51),Datos!F51,"")</f>
        <v/>
      </c>
      <c r="H151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4" spans="1:8" x14ac:dyDescent="0.3">
      <c r="A1514" s="245">
        <f>Datos!$F$3</f>
        <v>46296</v>
      </c>
      <c r="B1514" s="199" t="str">
        <f>Datos!F$4</f>
        <v>Compresora</v>
      </c>
      <c r="C1514" s="31" t="s">
        <v>583</v>
      </c>
      <c r="D1514" s="199" t="str">
        <f>Datos!$B$52</f>
        <v>Campañas de seguridad programadas en el mes</v>
      </c>
      <c r="E1514" s="199" t="str">
        <f>Datos!$C$52</f>
        <v>u</v>
      </c>
      <c r="F1514" s="31" t="s">
        <v>538</v>
      </c>
      <c r="G1514" s="246" t="str">
        <f>IF(ISNUMBER(Datos!F52),Datos!F52,"")</f>
        <v/>
      </c>
      <c r="H151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5" spans="1:8" x14ac:dyDescent="0.3">
      <c r="A1515" s="245">
        <f>Datos!$F$3</f>
        <v>46296</v>
      </c>
      <c r="B1515" s="199" t="str">
        <f>Datos!F$4</f>
        <v>Compresora</v>
      </c>
      <c r="C1515" s="31" t="s">
        <v>584</v>
      </c>
      <c r="D1515" s="199" t="str">
        <f>Datos!$B$53</f>
        <v>Campañas de seguridad realizadas en el mes</v>
      </c>
      <c r="E1515" s="199" t="str">
        <f>Datos!$C$53</f>
        <v>u</v>
      </c>
      <c r="F1515" s="31" t="s">
        <v>538</v>
      </c>
      <c r="G1515" s="246" t="str">
        <f>IF(ISNUMBER(Datos!F53),Datos!F53,"")</f>
        <v/>
      </c>
      <c r="H151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6" spans="1:8" x14ac:dyDescent="0.3">
      <c r="A1516" s="245">
        <f>Datos!$G$3</f>
        <v>46327</v>
      </c>
      <c r="B1516" s="199" t="str">
        <f>Datos!G$4</f>
        <v>Compresora</v>
      </c>
      <c r="C1516" s="31" t="s">
        <v>582</v>
      </c>
      <c r="D1516" s="199" t="str">
        <f>Datos!$B$51</f>
        <v>Personas distintas capacitadas en el mes: TOTAL</v>
      </c>
      <c r="E1516" s="199" t="str">
        <f>Datos!$C$51</f>
        <v>pers</v>
      </c>
      <c r="F1516" s="31" t="s">
        <v>541</v>
      </c>
      <c r="G1516" s="246" t="str">
        <f>IF(ISNUMBER(Datos!G51),Datos!G51,"")</f>
        <v/>
      </c>
      <c r="H151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7" spans="1:8" x14ac:dyDescent="0.3">
      <c r="A1517" s="245">
        <f>Datos!$G$3</f>
        <v>46327</v>
      </c>
      <c r="B1517" s="199" t="str">
        <f>Datos!G$4</f>
        <v>Compresora</v>
      </c>
      <c r="C1517" s="31" t="s">
        <v>583</v>
      </c>
      <c r="D1517" s="199" t="str">
        <f>Datos!$B$52</f>
        <v>Campañas de seguridad programadas en el mes</v>
      </c>
      <c r="E1517" s="199" t="str">
        <f>Datos!$C$52</f>
        <v>u</v>
      </c>
      <c r="F1517" s="31" t="s">
        <v>538</v>
      </c>
      <c r="G1517" s="246" t="str">
        <f>IF(ISNUMBER(Datos!G52),Datos!G52,"")</f>
        <v/>
      </c>
      <c r="H151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8" spans="1:8" x14ac:dyDescent="0.3">
      <c r="A1518" s="245">
        <f>Datos!$G$3</f>
        <v>46327</v>
      </c>
      <c r="B1518" s="199" t="str">
        <f>Datos!G$4</f>
        <v>Compresora</v>
      </c>
      <c r="C1518" s="31" t="s">
        <v>584</v>
      </c>
      <c r="D1518" s="199" t="str">
        <f>Datos!$B$53</f>
        <v>Campañas de seguridad realizadas en el mes</v>
      </c>
      <c r="E1518" s="199" t="str">
        <f>Datos!$C$53</f>
        <v>u</v>
      </c>
      <c r="F1518" s="31" t="s">
        <v>538</v>
      </c>
      <c r="G1518" s="246" t="str">
        <f>IF(ISNUMBER(Datos!G53),Datos!G53,"")</f>
        <v/>
      </c>
      <c r="H151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9" spans="1:8" x14ac:dyDescent="0.3">
      <c r="A1519" s="245">
        <f>Datos!$H$3</f>
        <v>46357</v>
      </c>
      <c r="B1519" s="199" t="str">
        <f>Datos!H$4</f>
        <v>Compresora</v>
      </c>
      <c r="C1519" s="31" t="s">
        <v>582</v>
      </c>
      <c r="D1519" s="199" t="str">
        <f>Datos!$B$51</f>
        <v>Personas distintas capacitadas en el mes: TOTAL</v>
      </c>
      <c r="E1519" s="199" t="str">
        <f>Datos!$C$51</f>
        <v>pers</v>
      </c>
      <c r="F1519" s="31" t="s">
        <v>541</v>
      </c>
      <c r="G1519" s="246" t="str">
        <f>IF(ISNUMBER(Datos!H51),Datos!H51,"")</f>
        <v/>
      </c>
      <c r="H151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0" spans="1:8" x14ac:dyDescent="0.3">
      <c r="A1520" s="245">
        <f>Datos!$H$3</f>
        <v>46357</v>
      </c>
      <c r="B1520" s="199" t="str">
        <f>Datos!H$4</f>
        <v>Compresora</v>
      </c>
      <c r="C1520" s="31" t="s">
        <v>583</v>
      </c>
      <c r="D1520" s="199" t="str">
        <f>Datos!$B$52</f>
        <v>Campañas de seguridad programadas en el mes</v>
      </c>
      <c r="E1520" s="199" t="str">
        <f>Datos!$C$52</f>
        <v>u</v>
      </c>
      <c r="F1520" s="31" t="s">
        <v>538</v>
      </c>
      <c r="G1520" s="246" t="str">
        <f>IF(ISNUMBER(Datos!H52),Datos!H52,"")</f>
        <v/>
      </c>
      <c r="H152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1" spans="1:8" x14ac:dyDescent="0.3">
      <c r="A1521" s="245">
        <f>Datos!$H$3</f>
        <v>46357</v>
      </c>
      <c r="B1521" s="199" t="str">
        <f>Datos!H$4</f>
        <v>Compresora</v>
      </c>
      <c r="C1521" s="31" t="s">
        <v>584</v>
      </c>
      <c r="D1521" s="199" t="str">
        <f>Datos!$B$53</f>
        <v>Campañas de seguridad realizadas en el mes</v>
      </c>
      <c r="E1521" s="199" t="str">
        <f>Datos!$C$53</f>
        <v>u</v>
      </c>
      <c r="F1521" s="31" t="s">
        <v>538</v>
      </c>
      <c r="G1521" s="246" t="str">
        <f>IF(ISNUMBER(Datos!H53),Datos!H53,"")</f>
        <v/>
      </c>
      <c r="H152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2" spans="1:8" x14ac:dyDescent="0.3">
      <c r="A1522" s="245">
        <f>Datos!$I$3</f>
        <v>46388</v>
      </c>
      <c r="B1522" s="199" t="str">
        <f>Datos!I$4</f>
        <v>Compresora</v>
      </c>
      <c r="C1522" s="31" t="s">
        <v>582</v>
      </c>
      <c r="D1522" s="199" t="str">
        <f>Datos!$B$51</f>
        <v>Personas distintas capacitadas en el mes: TOTAL</v>
      </c>
      <c r="E1522" s="199" t="str">
        <f>Datos!$C$51</f>
        <v>pers</v>
      </c>
      <c r="F1522" s="31" t="s">
        <v>541</v>
      </c>
      <c r="G1522" s="246" t="str">
        <f>IF(ISNUMBER(Datos!I51),Datos!I51,"")</f>
        <v/>
      </c>
      <c r="H152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3" spans="1:8" x14ac:dyDescent="0.3">
      <c r="A1523" s="245">
        <f>Datos!$I$3</f>
        <v>46388</v>
      </c>
      <c r="B1523" s="199" t="str">
        <f>Datos!I$4</f>
        <v>Compresora</v>
      </c>
      <c r="C1523" s="31" t="s">
        <v>583</v>
      </c>
      <c r="D1523" s="199" t="str">
        <f>Datos!$B$52</f>
        <v>Campañas de seguridad programadas en el mes</v>
      </c>
      <c r="E1523" s="199" t="str">
        <f>Datos!$C$52</f>
        <v>u</v>
      </c>
      <c r="F1523" s="31" t="s">
        <v>538</v>
      </c>
      <c r="G1523" s="246" t="str">
        <f>IF(ISNUMBER(Datos!I52),Datos!I52,"")</f>
        <v/>
      </c>
      <c r="H152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4" spans="1:8" x14ac:dyDescent="0.3">
      <c r="A1524" s="245">
        <f>Datos!$I$3</f>
        <v>46388</v>
      </c>
      <c r="B1524" s="199" t="str">
        <f>Datos!I$4</f>
        <v>Compresora</v>
      </c>
      <c r="C1524" s="31" t="s">
        <v>584</v>
      </c>
      <c r="D1524" s="199" t="str">
        <f>Datos!$B$53</f>
        <v>Campañas de seguridad realizadas en el mes</v>
      </c>
      <c r="E1524" s="199" t="str">
        <f>Datos!$C$53</f>
        <v>u</v>
      </c>
      <c r="F1524" s="31" t="s">
        <v>538</v>
      </c>
      <c r="G1524" s="246" t="str">
        <f>IF(ISNUMBER(Datos!I53),Datos!I53,"")</f>
        <v/>
      </c>
      <c r="H152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5" spans="1:8" x14ac:dyDescent="0.3">
      <c r="A1525" s="245">
        <f>Datos!$J$3</f>
        <v>46419</v>
      </c>
      <c r="B1525" s="199" t="str">
        <f>Datos!J$4</f>
        <v>Compresora</v>
      </c>
      <c r="C1525" s="31" t="s">
        <v>582</v>
      </c>
      <c r="D1525" s="199" t="str">
        <f>Datos!$B$51</f>
        <v>Personas distintas capacitadas en el mes: TOTAL</v>
      </c>
      <c r="E1525" s="199" t="str">
        <f>Datos!$C$51</f>
        <v>pers</v>
      </c>
      <c r="F1525" s="31" t="s">
        <v>541</v>
      </c>
      <c r="G1525" s="246" t="str">
        <f>IF(ISNUMBER(Datos!J51),Datos!J51,"")</f>
        <v/>
      </c>
      <c r="H152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6" spans="1:8" x14ac:dyDescent="0.3">
      <c r="A1526" s="245">
        <f>Datos!$J$3</f>
        <v>46419</v>
      </c>
      <c r="B1526" s="199" t="str">
        <f>Datos!J$4</f>
        <v>Compresora</v>
      </c>
      <c r="C1526" s="31" t="s">
        <v>583</v>
      </c>
      <c r="D1526" s="199" t="str">
        <f>Datos!$B$52</f>
        <v>Campañas de seguridad programadas en el mes</v>
      </c>
      <c r="E1526" s="199" t="str">
        <f>Datos!$C$52</f>
        <v>u</v>
      </c>
      <c r="F1526" s="31" t="s">
        <v>538</v>
      </c>
      <c r="G1526" s="246" t="str">
        <f>IF(ISNUMBER(Datos!J52),Datos!J52,"")</f>
        <v/>
      </c>
      <c r="H152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7" spans="1:8" x14ac:dyDescent="0.3">
      <c r="A1527" s="245">
        <f>Datos!$J$3</f>
        <v>46419</v>
      </c>
      <c r="B1527" s="199" t="str">
        <f>Datos!J$4</f>
        <v>Compresora</v>
      </c>
      <c r="C1527" s="31" t="s">
        <v>584</v>
      </c>
      <c r="D1527" s="199" t="str">
        <f>Datos!$B$53</f>
        <v>Campañas de seguridad realizadas en el mes</v>
      </c>
      <c r="E1527" s="199" t="str">
        <f>Datos!$C$53</f>
        <v>u</v>
      </c>
      <c r="F1527" s="31" t="s">
        <v>538</v>
      </c>
      <c r="G1527" s="246" t="str">
        <f>IF(ISNUMBER(Datos!J53),Datos!J53,"")</f>
        <v/>
      </c>
      <c r="H152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8" spans="1:8" x14ac:dyDescent="0.3">
      <c r="A1528" s="245">
        <f>Datos!$K$3</f>
        <v>46447</v>
      </c>
      <c r="B1528" s="199" t="str">
        <f>Datos!K$4</f>
        <v>Compresora</v>
      </c>
      <c r="C1528" s="31" t="s">
        <v>582</v>
      </c>
      <c r="D1528" s="199" t="str">
        <f>Datos!$B$51</f>
        <v>Personas distintas capacitadas en el mes: TOTAL</v>
      </c>
      <c r="E1528" s="199" t="str">
        <f>Datos!$C$51</f>
        <v>pers</v>
      </c>
      <c r="F1528" s="31" t="s">
        <v>541</v>
      </c>
      <c r="G1528" s="246" t="str">
        <f>IF(ISNUMBER(Datos!K51),Datos!K51,"")</f>
        <v/>
      </c>
      <c r="H152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29" spans="1:8" x14ac:dyDescent="0.3">
      <c r="A1529" s="245">
        <f>Datos!$K$3</f>
        <v>46447</v>
      </c>
      <c r="B1529" s="199" t="str">
        <f>Datos!K$4</f>
        <v>Compresora</v>
      </c>
      <c r="C1529" s="31" t="s">
        <v>583</v>
      </c>
      <c r="D1529" s="199" t="str">
        <f>Datos!$B$52</f>
        <v>Campañas de seguridad programadas en el mes</v>
      </c>
      <c r="E1529" s="199" t="str">
        <f>Datos!$C$52</f>
        <v>u</v>
      </c>
      <c r="F1529" s="31" t="s">
        <v>538</v>
      </c>
      <c r="G1529" s="246" t="str">
        <f>IF(ISNUMBER(Datos!K52),Datos!K52,"")</f>
        <v/>
      </c>
      <c r="H152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0" spans="1:8" x14ac:dyDescent="0.3">
      <c r="A1530" s="245">
        <f>Datos!$K$3</f>
        <v>46447</v>
      </c>
      <c r="B1530" s="199" t="str">
        <f>Datos!K$4</f>
        <v>Compresora</v>
      </c>
      <c r="C1530" s="31" t="s">
        <v>584</v>
      </c>
      <c r="D1530" s="199" t="str">
        <f>Datos!$B$53</f>
        <v>Campañas de seguridad realizadas en el mes</v>
      </c>
      <c r="E1530" s="199" t="str">
        <f>Datos!$C$53</f>
        <v>u</v>
      </c>
      <c r="F1530" s="31" t="s">
        <v>538</v>
      </c>
      <c r="G1530" s="246" t="str">
        <f>IF(ISNUMBER(Datos!K53),Datos!K53,"")</f>
        <v/>
      </c>
      <c r="H153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1" spans="1:8" x14ac:dyDescent="0.3">
      <c r="A1531" s="245">
        <f>Datos!$L$3</f>
        <v>46478</v>
      </c>
      <c r="B1531" s="199" t="str">
        <f>Datos!L$4</f>
        <v>Compresora</v>
      </c>
      <c r="C1531" s="31" t="s">
        <v>582</v>
      </c>
      <c r="D1531" s="199" t="str">
        <f>Datos!$B$51</f>
        <v>Personas distintas capacitadas en el mes: TOTAL</v>
      </c>
      <c r="E1531" s="199" t="str">
        <f>Datos!$C$51</f>
        <v>pers</v>
      </c>
      <c r="F1531" s="31" t="s">
        <v>541</v>
      </c>
      <c r="G1531" s="246" t="str">
        <f>IF(ISNUMBER(Datos!L51),Datos!L51,"")</f>
        <v/>
      </c>
      <c r="H153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2" spans="1:8" x14ac:dyDescent="0.3">
      <c r="A1532" s="245">
        <f>Datos!$L$3</f>
        <v>46478</v>
      </c>
      <c r="B1532" s="199" t="str">
        <f>Datos!L$4</f>
        <v>Compresora</v>
      </c>
      <c r="C1532" s="31" t="s">
        <v>583</v>
      </c>
      <c r="D1532" s="199" t="str">
        <f>Datos!$B$52</f>
        <v>Campañas de seguridad programadas en el mes</v>
      </c>
      <c r="E1532" s="199" t="str">
        <f>Datos!$C$52</f>
        <v>u</v>
      </c>
      <c r="F1532" s="31" t="s">
        <v>538</v>
      </c>
      <c r="G1532" s="246" t="str">
        <f>IF(ISNUMBER(Datos!L52),Datos!L52,"")</f>
        <v/>
      </c>
      <c r="H153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3" spans="1:8" x14ac:dyDescent="0.3">
      <c r="A1533" s="245">
        <f>Datos!$L$3</f>
        <v>46478</v>
      </c>
      <c r="B1533" s="199" t="str">
        <f>Datos!L$4</f>
        <v>Compresora</v>
      </c>
      <c r="C1533" s="31" t="s">
        <v>584</v>
      </c>
      <c r="D1533" s="199" t="str">
        <f>Datos!$B$53</f>
        <v>Campañas de seguridad realizadas en el mes</v>
      </c>
      <c r="E1533" s="199" t="str">
        <f>Datos!$C$53</f>
        <v>u</v>
      </c>
      <c r="F1533" s="31" t="s">
        <v>538</v>
      </c>
      <c r="G1533" s="246" t="str">
        <f>IF(ISNUMBER(Datos!L53),Datos!L53,"")</f>
        <v/>
      </c>
      <c r="H153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4" spans="1:8" x14ac:dyDescent="0.3">
      <c r="A1534" s="245">
        <f>Datos!$M$3</f>
        <v>46508</v>
      </c>
      <c r="B1534" s="199" t="str">
        <f>Datos!M$4</f>
        <v>Compresora</v>
      </c>
      <c r="C1534" s="31" t="s">
        <v>582</v>
      </c>
      <c r="D1534" s="199" t="str">
        <f>Datos!$B$51</f>
        <v>Personas distintas capacitadas en el mes: TOTAL</v>
      </c>
      <c r="E1534" s="199" t="str">
        <f>Datos!$C$51</f>
        <v>pers</v>
      </c>
      <c r="F1534" s="31" t="s">
        <v>541</v>
      </c>
      <c r="G1534" s="246" t="str">
        <f>IF(ISNUMBER(Datos!M51),Datos!M51,"")</f>
        <v/>
      </c>
      <c r="H153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5" spans="1:8" x14ac:dyDescent="0.3">
      <c r="A1535" s="245">
        <f>Datos!$M$3</f>
        <v>46508</v>
      </c>
      <c r="B1535" s="199" t="str">
        <f>Datos!M$4</f>
        <v>Compresora</v>
      </c>
      <c r="C1535" s="31" t="s">
        <v>583</v>
      </c>
      <c r="D1535" s="199" t="str">
        <f>Datos!$B$52</f>
        <v>Campañas de seguridad programadas en el mes</v>
      </c>
      <c r="E1535" s="199" t="str">
        <f>Datos!$C$52</f>
        <v>u</v>
      </c>
      <c r="F1535" s="31" t="s">
        <v>538</v>
      </c>
      <c r="G1535" s="246" t="str">
        <f>IF(ISNUMBER(Datos!M52),Datos!M52,"")</f>
        <v/>
      </c>
      <c r="H153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6" spans="1:8" x14ac:dyDescent="0.3">
      <c r="A1536" s="245">
        <f>Datos!$M$3</f>
        <v>46508</v>
      </c>
      <c r="B1536" s="199" t="str">
        <f>Datos!M$4</f>
        <v>Compresora</v>
      </c>
      <c r="C1536" s="31" t="s">
        <v>584</v>
      </c>
      <c r="D1536" s="199" t="str">
        <f>Datos!$B$53</f>
        <v>Campañas de seguridad realizadas en el mes</v>
      </c>
      <c r="E1536" s="199" t="str">
        <f>Datos!$C$53</f>
        <v>u</v>
      </c>
      <c r="F1536" s="31" t="s">
        <v>538</v>
      </c>
      <c r="G1536" s="246" t="str">
        <f>IF(ISNUMBER(Datos!M53),Datos!M53,"")</f>
        <v/>
      </c>
      <c r="H153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7" spans="1:8" x14ac:dyDescent="0.3">
      <c r="A1537" s="245">
        <f>Datos!$N$3</f>
        <v>46539</v>
      </c>
      <c r="B1537" s="199" t="str">
        <f>Datos!N$4</f>
        <v>Compresora</v>
      </c>
      <c r="C1537" s="31" t="s">
        <v>582</v>
      </c>
      <c r="D1537" s="199" t="str">
        <f>Datos!$B$51</f>
        <v>Personas distintas capacitadas en el mes: TOTAL</v>
      </c>
      <c r="E1537" s="199" t="str">
        <f>Datos!$C$51</f>
        <v>pers</v>
      </c>
      <c r="F1537" s="31" t="s">
        <v>541</v>
      </c>
      <c r="G1537" s="246" t="str">
        <f>IF(ISNUMBER(Datos!N51),Datos!N51,"")</f>
        <v/>
      </c>
      <c r="H153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8" spans="1:8" x14ac:dyDescent="0.3">
      <c r="A1538" s="245">
        <f>Datos!$N$3</f>
        <v>46539</v>
      </c>
      <c r="B1538" s="199" t="str">
        <f>Datos!N$4</f>
        <v>Compresora</v>
      </c>
      <c r="C1538" s="31" t="s">
        <v>583</v>
      </c>
      <c r="D1538" s="199" t="str">
        <f>Datos!$B$52</f>
        <v>Campañas de seguridad programadas en el mes</v>
      </c>
      <c r="E1538" s="199" t="str">
        <f>Datos!$C$52</f>
        <v>u</v>
      </c>
      <c r="F1538" s="31" t="s">
        <v>538</v>
      </c>
      <c r="G1538" s="246" t="str">
        <f>IF(ISNUMBER(Datos!N52),Datos!N52,"")</f>
        <v/>
      </c>
      <c r="H153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9" spans="1:8" x14ac:dyDescent="0.3">
      <c r="A1539" s="245">
        <f>Datos!$N$3</f>
        <v>46539</v>
      </c>
      <c r="B1539" s="199" t="str">
        <f>Datos!N$4</f>
        <v>Compresora</v>
      </c>
      <c r="C1539" s="31" t="s">
        <v>584</v>
      </c>
      <c r="D1539" s="199" t="str">
        <f>Datos!$B$53</f>
        <v>Campañas de seguridad realizadas en el mes</v>
      </c>
      <c r="E1539" s="199" t="str">
        <f>Datos!$C$53</f>
        <v>u</v>
      </c>
      <c r="F1539" s="31" t="s">
        <v>538</v>
      </c>
      <c r="G1539" s="246" t="str">
        <f>IF(ISNUMBER(Datos!N53),Datos!N53,"")</f>
        <v/>
      </c>
      <c r="H153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40" spans="1:8" x14ac:dyDescent="0.3">
      <c r="A1540" s="245">
        <f>Datos!$O$3</f>
        <v>46569</v>
      </c>
      <c r="B1540" s="199" t="str">
        <f>Datos!O$4</f>
        <v>Compresora</v>
      </c>
      <c r="C1540" s="31" t="s">
        <v>582</v>
      </c>
      <c r="D1540" s="199" t="str">
        <f>Datos!$B$51</f>
        <v>Personas distintas capacitadas en el mes: TOTAL</v>
      </c>
      <c r="E1540" s="199" t="str">
        <f>Datos!$C$51</f>
        <v>pers</v>
      </c>
      <c r="F1540" s="31" t="s">
        <v>541</v>
      </c>
      <c r="G1540" s="246" t="str">
        <f>IF(ISNUMBER(Datos!O51),Datos!O51,"")</f>
        <v/>
      </c>
      <c r="H154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1" spans="1:8" x14ac:dyDescent="0.3">
      <c r="A1541" s="245">
        <f>Datos!$O$3</f>
        <v>46569</v>
      </c>
      <c r="B1541" s="199" t="str">
        <f>Datos!O$4</f>
        <v>Compresora</v>
      </c>
      <c r="C1541" s="31" t="s">
        <v>583</v>
      </c>
      <c r="D1541" s="199" t="str">
        <f>Datos!$B$52</f>
        <v>Campañas de seguridad programadas en el mes</v>
      </c>
      <c r="E1541" s="199" t="str">
        <f>Datos!$C$52</f>
        <v>u</v>
      </c>
      <c r="F1541" s="31" t="s">
        <v>538</v>
      </c>
      <c r="G1541" s="246" t="str">
        <f>IF(ISNUMBER(Datos!O52),Datos!O52,"")</f>
        <v/>
      </c>
      <c r="H154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2" spans="1:8" x14ac:dyDescent="0.3">
      <c r="A1542" s="245">
        <f>Datos!$O$3</f>
        <v>46569</v>
      </c>
      <c r="B1542" s="199" t="str">
        <f>Datos!O$4</f>
        <v>Compresora</v>
      </c>
      <c r="C1542" s="31" t="s">
        <v>584</v>
      </c>
      <c r="D1542" s="199" t="str">
        <f>Datos!$B$53</f>
        <v>Campañas de seguridad realizadas en el mes</v>
      </c>
      <c r="E1542" s="199" t="str">
        <f>Datos!$C$53</f>
        <v>u</v>
      </c>
      <c r="F1542" s="31" t="s">
        <v>538</v>
      </c>
      <c r="G1542" s="246" t="str">
        <f>IF(ISNUMBER(Datos!O53),Datos!O53,"")</f>
        <v/>
      </c>
      <c r="H154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3" spans="1:8" x14ac:dyDescent="0.3">
      <c r="A1543" s="245">
        <f>Datos!$P$3</f>
        <v>46600</v>
      </c>
      <c r="B1543" s="199" t="str">
        <f>Datos!P$4</f>
        <v>Compresora</v>
      </c>
      <c r="C1543" s="31" t="s">
        <v>582</v>
      </c>
      <c r="D1543" s="199" t="str">
        <f>Datos!$B$51</f>
        <v>Personas distintas capacitadas en el mes: TOTAL</v>
      </c>
      <c r="E1543" s="199" t="str">
        <f>Datos!$C$51</f>
        <v>pers</v>
      </c>
      <c r="F1543" s="31" t="s">
        <v>541</v>
      </c>
      <c r="G1543" s="246" t="str">
        <f>IF(ISNUMBER(Datos!P51),Datos!P51,"")</f>
        <v/>
      </c>
      <c r="H154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4" spans="1:8" x14ac:dyDescent="0.3">
      <c r="A1544" s="245">
        <f>Datos!$P$3</f>
        <v>46600</v>
      </c>
      <c r="B1544" s="199" t="str">
        <f>Datos!P$4</f>
        <v>Compresora</v>
      </c>
      <c r="C1544" s="31" t="s">
        <v>583</v>
      </c>
      <c r="D1544" s="199" t="str">
        <f>Datos!$B$52</f>
        <v>Campañas de seguridad programadas en el mes</v>
      </c>
      <c r="E1544" s="199" t="str">
        <f>Datos!$C$52</f>
        <v>u</v>
      </c>
      <c r="F1544" s="31" t="s">
        <v>538</v>
      </c>
      <c r="G1544" s="246" t="str">
        <f>IF(ISNUMBER(Datos!P52),Datos!P52,"")</f>
        <v/>
      </c>
      <c r="H154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5" spans="1:8" x14ac:dyDescent="0.3">
      <c r="A1545" s="245">
        <f>Datos!$P$3</f>
        <v>46600</v>
      </c>
      <c r="B1545" s="199" t="str">
        <f>Datos!P$4</f>
        <v>Compresora</v>
      </c>
      <c r="C1545" s="31" t="s">
        <v>584</v>
      </c>
      <c r="D1545" s="199" t="str">
        <f>Datos!$B$53</f>
        <v>Campañas de seguridad realizadas en el mes</v>
      </c>
      <c r="E1545" s="199" t="str">
        <f>Datos!$C$53</f>
        <v>u</v>
      </c>
      <c r="F1545" s="31" t="s">
        <v>538</v>
      </c>
      <c r="G1545" s="246" t="str">
        <f>IF(ISNUMBER(Datos!P53),Datos!P53,"")</f>
        <v/>
      </c>
      <c r="H154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6" spans="1:8" x14ac:dyDescent="0.3">
      <c r="A1546" s="245">
        <f>Datos!$Q$3</f>
        <v>46631</v>
      </c>
      <c r="B1546" s="199" t="str">
        <f>Datos!Q$4</f>
        <v>Compresora</v>
      </c>
      <c r="C1546" s="31" t="s">
        <v>582</v>
      </c>
      <c r="D1546" s="199" t="str">
        <f>Datos!$B$51</f>
        <v>Personas distintas capacitadas en el mes: TOTAL</v>
      </c>
      <c r="E1546" s="199" t="str">
        <f>Datos!$C$51</f>
        <v>pers</v>
      </c>
      <c r="F1546" s="31" t="s">
        <v>541</v>
      </c>
      <c r="G1546" s="246" t="str">
        <f>IF(ISNUMBER(Datos!Q51),Datos!Q51,"")</f>
        <v/>
      </c>
      <c r="H154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7" spans="1:8" x14ac:dyDescent="0.3">
      <c r="A1547" s="245">
        <f>Datos!$Q$3</f>
        <v>46631</v>
      </c>
      <c r="B1547" s="199" t="str">
        <f>Datos!Q$4</f>
        <v>Compresora</v>
      </c>
      <c r="C1547" s="31" t="s">
        <v>583</v>
      </c>
      <c r="D1547" s="199" t="str">
        <f>Datos!$B$52</f>
        <v>Campañas de seguridad programadas en el mes</v>
      </c>
      <c r="E1547" s="199" t="str">
        <f>Datos!$C$52</f>
        <v>u</v>
      </c>
      <c r="F1547" s="31" t="s">
        <v>538</v>
      </c>
      <c r="G1547" s="246" t="str">
        <f>IF(ISNUMBER(Datos!Q52),Datos!Q52,"")</f>
        <v/>
      </c>
      <c r="H154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8" spans="1:8" x14ac:dyDescent="0.3">
      <c r="A1548" s="245">
        <f>Datos!$Q$3</f>
        <v>46631</v>
      </c>
      <c r="B1548" s="199" t="str">
        <f>Datos!Q$4</f>
        <v>Compresora</v>
      </c>
      <c r="C1548" s="31" t="s">
        <v>584</v>
      </c>
      <c r="D1548" s="199" t="str">
        <f>Datos!$B$53</f>
        <v>Campañas de seguridad realizadas en el mes</v>
      </c>
      <c r="E1548" s="199" t="str">
        <f>Datos!$C$53</f>
        <v>u</v>
      </c>
      <c r="F1548" s="31" t="s">
        <v>538</v>
      </c>
      <c r="G1548" s="246" t="str">
        <f>IF(ISNUMBER(Datos!Q53),Datos!Q53,"")</f>
        <v/>
      </c>
      <c r="H154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9" spans="1:8" x14ac:dyDescent="0.3">
      <c r="A1549" s="245">
        <f>Datos!$R$3</f>
        <v>46661</v>
      </c>
      <c r="B1549" s="199" t="str">
        <f>Datos!R$4</f>
        <v>Compresora</v>
      </c>
      <c r="C1549" s="31" t="s">
        <v>582</v>
      </c>
      <c r="D1549" s="199" t="str">
        <f>Datos!$B$51</f>
        <v>Personas distintas capacitadas en el mes: TOTAL</v>
      </c>
      <c r="E1549" s="199" t="str">
        <f>Datos!$C$51</f>
        <v>pers</v>
      </c>
      <c r="F1549" s="31" t="s">
        <v>541</v>
      </c>
      <c r="G1549" s="246" t="str">
        <f>IF(ISNUMBER(Datos!R51),Datos!R51,"")</f>
        <v/>
      </c>
      <c r="H154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0" spans="1:8" x14ac:dyDescent="0.3">
      <c r="A1550" s="245">
        <f>Datos!$R$3</f>
        <v>46661</v>
      </c>
      <c r="B1550" s="199" t="str">
        <f>Datos!R$4</f>
        <v>Compresora</v>
      </c>
      <c r="C1550" s="31" t="s">
        <v>583</v>
      </c>
      <c r="D1550" s="199" t="str">
        <f>Datos!$B$52</f>
        <v>Campañas de seguridad programadas en el mes</v>
      </c>
      <c r="E1550" s="199" t="str">
        <f>Datos!$C$52</f>
        <v>u</v>
      </c>
      <c r="F1550" s="31" t="s">
        <v>538</v>
      </c>
      <c r="G1550" s="246" t="str">
        <f>IF(ISNUMBER(Datos!R52),Datos!R52,"")</f>
        <v/>
      </c>
      <c r="H155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1" spans="1:8" x14ac:dyDescent="0.3">
      <c r="A1551" s="245">
        <f>Datos!$R$3</f>
        <v>46661</v>
      </c>
      <c r="B1551" s="199" t="str">
        <f>Datos!R$4</f>
        <v>Compresora</v>
      </c>
      <c r="C1551" s="31" t="s">
        <v>584</v>
      </c>
      <c r="D1551" s="199" t="str">
        <f>Datos!$B$53</f>
        <v>Campañas de seguridad realizadas en el mes</v>
      </c>
      <c r="E1551" s="199" t="str">
        <f>Datos!$C$53</f>
        <v>u</v>
      </c>
      <c r="F1551" s="31" t="s">
        <v>538</v>
      </c>
      <c r="G1551" s="246" t="str">
        <f>IF(ISNUMBER(Datos!R53),Datos!R53,"")</f>
        <v/>
      </c>
      <c r="H155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2" spans="1:8" x14ac:dyDescent="0.3">
      <c r="A1552" s="245">
        <f>Datos!$S$3</f>
        <v>46692</v>
      </c>
      <c r="B1552" s="199" t="str">
        <f>Datos!S$4</f>
        <v>Compresora</v>
      </c>
      <c r="C1552" s="31" t="s">
        <v>582</v>
      </c>
      <c r="D1552" s="199" t="str">
        <f>Datos!$B$51</f>
        <v>Personas distintas capacitadas en el mes: TOTAL</v>
      </c>
      <c r="E1552" s="199" t="str">
        <f>Datos!$C$51</f>
        <v>pers</v>
      </c>
      <c r="F1552" s="31" t="s">
        <v>541</v>
      </c>
      <c r="G1552" s="246" t="str">
        <f>IF(ISNUMBER(Datos!S51),Datos!S51,"")</f>
        <v/>
      </c>
      <c r="H155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3" spans="1:8" x14ac:dyDescent="0.3">
      <c r="A1553" s="245">
        <f>Datos!$S$3</f>
        <v>46692</v>
      </c>
      <c r="B1553" s="199" t="str">
        <f>Datos!S$4</f>
        <v>Compresora</v>
      </c>
      <c r="C1553" s="31" t="s">
        <v>583</v>
      </c>
      <c r="D1553" s="199" t="str">
        <f>Datos!$B$52</f>
        <v>Campañas de seguridad programadas en el mes</v>
      </c>
      <c r="E1553" s="199" t="str">
        <f>Datos!$C$52</f>
        <v>u</v>
      </c>
      <c r="F1553" s="31" t="s">
        <v>538</v>
      </c>
      <c r="G1553" s="246" t="str">
        <f>IF(ISNUMBER(Datos!S52),Datos!S52,"")</f>
        <v/>
      </c>
      <c r="H155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4" spans="1:8" x14ac:dyDescent="0.3">
      <c r="A1554" s="245">
        <f>Datos!$S$3</f>
        <v>46692</v>
      </c>
      <c r="B1554" s="199" t="str">
        <f>Datos!S$4</f>
        <v>Compresora</v>
      </c>
      <c r="C1554" s="31" t="s">
        <v>584</v>
      </c>
      <c r="D1554" s="199" t="str">
        <f>Datos!$B$53</f>
        <v>Campañas de seguridad realizadas en el mes</v>
      </c>
      <c r="E1554" s="199" t="str">
        <f>Datos!$C$53</f>
        <v>u</v>
      </c>
      <c r="F1554" s="31" t="s">
        <v>538</v>
      </c>
      <c r="G1554" s="246" t="str">
        <f>IF(ISNUMBER(Datos!S53),Datos!S53,"")</f>
        <v/>
      </c>
      <c r="H155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5" spans="1:8" x14ac:dyDescent="0.3">
      <c r="A1555" s="245">
        <f>Datos!$T$3</f>
        <v>46722</v>
      </c>
      <c r="B1555" s="199" t="str">
        <f>Datos!T$4</f>
        <v>Compresora</v>
      </c>
      <c r="C1555" s="31" t="s">
        <v>582</v>
      </c>
      <c r="D1555" s="199" t="str">
        <f>Datos!$B$51</f>
        <v>Personas distintas capacitadas en el mes: TOTAL</v>
      </c>
      <c r="E1555" s="199" t="str">
        <f>Datos!$C$51</f>
        <v>pers</v>
      </c>
      <c r="F1555" s="31" t="s">
        <v>541</v>
      </c>
      <c r="G1555" s="246" t="str">
        <f>IF(ISNUMBER(Datos!T51),Datos!T51,"")</f>
        <v/>
      </c>
      <c r="H155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6" spans="1:8" x14ac:dyDescent="0.3">
      <c r="A1556" s="245">
        <f>Datos!$T$3</f>
        <v>46722</v>
      </c>
      <c r="B1556" s="199" t="str">
        <f>Datos!T$4</f>
        <v>Compresora</v>
      </c>
      <c r="C1556" s="31" t="s">
        <v>583</v>
      </c>
      <c r="D1556" s="199" t="str">
        <f>Datos!$B$52</f>
        <v>Campañas de seguridad programadas en el mes</v>
      </c>
      <c r="E1556" s="199" t="str">
        <f>Datos!$C$52</f>
        <v>u</v>
      </c>
      <c r="F1556" s="31" t="s">
        <v>538</v>
      </c>
      <c r="G1556" s="246" t="str">
        <f>IF(ISNUMBER(Datos!T52),Datos!T52,"")</f>
        <v/>
      </c>
      <c r="H155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7" spans="1:8" x14ac:dyDescent="0.3">
      <c r="A1557" s="245">
        <f>Datos!$T$3</f>
        <v>46722</v>
      </c>
      <c r="B1557" s="199" t="str">
        <f>Datos!T$4</f>
        <v>Compresora</v>
      </c>
      <c r="C1557" s="31" t="s">
        <v>584</v>
      </c>
      <c r="D1557" s="199" t="str">
        <f>Datos!$B$53</f>
        <v>Campañas de seguridad realizadas en el mes</v>
      </c>
      <c r="E1557" s="199" t="str">
        <f>Datos!$C$53</f>
        <v>u</v>
      </c>
      <c r="F1557" s="31" t="s">
        <v>538</v>
      </c>
      <c r="G1557" s="246" t="str">
        <f>IF(ISNUMBER(Datos!T53),Datos!T53,"")</f>
        <v/>
      </c>
      <c r="H155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8" spans="1:8" x14ac:dyDescent="0.3">
      <c r="A1558" s="245">
        <f>Datos!$U$3</f>
        <v>46753</v>
      </c>
      <c r="B1558" s="199" t="str">
        <f>Datos!U$4</f>
        <v>Compresora</v>
      </c>
      <c r="C1558" s="31" t="s">
        <v>582</v>
      </c>
      <c r="D1558" s="199" t="str">
        <f>Datos!$B$51</f>
        <v>Personas distintas capacitadas en el mes: TOTAL</v>
      </c>
      <c r="E1558" s="199" t="str">
        <f>Datos!$C$51</f>
        <v>pers</v>
      </c>
      <c r="F1558" s="31" t="s">
        <v>541</v>
      </c>
      <c r="G1558" s="246" t="str">
        <f>IF(ISNUMBER(Datos!U51),Datos!U51,"")</f>
        <v/>
      </c>
      <c r="H155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59" spans="1:8" x14ac:dyDescent="0.3">
      <c r="A1559" s="245">
        <f>Datos!$U$3</f>
        <v>46753</v>
      </c>
      <c r="B1559" s="199" t="str">
        <f>Datos!U$4</f>
        <v>Compresora</v>
      </c>
      <c r="C1559" s="31" t="s">
        <v>583</v>
      </c>
      <c r="D1559" s="199" t="str">
        <f>Datos!$B$52</f>
        <v>Campañas de seguridad programadas en el mes</v>
      </c>
      <c r="E1559" s="199" t="str">
        <f>Datos!$C$52</f>
        <v>u</v>
      </c>
      <c r="F1559" s="31" t="s">
        <v>538</v>
      </c>
      <c r="G1559" s="246" t="str">
        <f>IF(ISNUMBER(Datos!U52),Datos!U52,"")</f>
        <v/>
      </c>
      <c r="H155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0" spans="1:8" x14ac:dyDescent="0.3">
      <c r="A1560" s="245">
        <f>Datos!$U$3</f>
        <v>46753</v>
      </c>
      <c r="B1560" s="199" t="str">
        <f>Datos!U$4</f>
        <v>Compresora</v>
      </c>
      <c r="C1560" s="31" t="s">
        <v>584</v>
      </c>
      <c r="D1560" s="199" t="str">
        <f>Datos!$B$53</f>
        <v>Campañas de seguridad realizadas en el mes</v>
      </c>
      <c r="E1560" s="199" t="str">
        <f>Datos!$C$53</f>
        <v>u</v>
      </c>
      <c r="F1560" s="31" t="s">
        <v>538</v>
      </c>
      <c r="G1560" s="246" t="str">
        <f>IF(ISNUMBER(Datos!U53),Datos!U53,"")</f>
        <v/>
      </c>
      <c r="H156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1" spans="1:8" x14ac:dyDescent="0.3">
      <c r="A1561" s="245">
        <f>Datos!$V$3</f>
        <v>46784</v>
      </c>
      <c r="B1561" s="199" t="str">
        <f>Datos!V$4</f>
        <v>Compresora</v>
      </c>
      <c r="C1561" s="31" t="s">
        <v>582</v>
      </c>
      <c r="D1561" s="199" t="str">
        <f>Datos!$B$51</f>
        <v>Personas distintas capacitadas en el mes: TOTAL</v>
      </c>
      <c r="E1561" s="199" t="str">
        <f>Datos!$C$51</f>
        <v>pers</v>
      </c>
      <c r="F1561" s="31" t="s">
        <v>541</v>
      </c>
      <c r="G1561" s="246" t="str">
        <f>IF(ISNUMBER(Datos!V51),Datos!V51,"")</f>
        <v/>
      </c>
      <c r="H156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2" spans="1:8" x14ac:dyDescent="0.3">
      <c r="A1562" s="245">
        <f>Datos!$V$3</f>
        <v>46784</v>
      </c>
      <c r="B1562" s="199" t="str">
        <f>Datos!V$4</f>
        <v>Compresora</v>
      </c>
      <c r="C1562" s="31" t="s">
        <v>583</v>
      </c>
      <c r="D1562" s="199" t="str">
        <f>Datos!$B$52</f>
        <v>Campañas de seguridad programadas en el mes</v>
      </c>
      <c r="E1562" s="199" t="str">
        <f>Datos!$C$52</f>
        <v>u</v>
      </c>
      <c r="F1562" s="31" t="s">
        <v>538</v>
      </c>
      <c r="G1562" s="246" t="str">
        <f>IF(ISNUMBER(Datos!V52),Datos!V52,"")</f>
        <v/>
      </c>
      <c r="H156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3" spans="1:8" x14ac:dyDescent="0.3">
      <c r="A1563" s="245">
        <f>Datos!$V$3</f>
        <v>46784</v>
      </c>
      <c r="B1563" s="199" t="str">
        <f>Datos!V$4</f>
        <v>Compresora</v>
      </c>
      <c r="C1563" s="31" t="s">
        <v>584</v>
      </c>
      <c r="D1563" s="199" t="str">
        <f>Datos!$B$53</f>
        <v>Campañas de seguridad realizadas en el mes</v>
      </c>
      <c r="E1563" s="199" t="str">
        <f>Datos!$C$53</f>
        <v>u</v>
      </c>
      <c r="F1563" s="31" t="s">
        <v>538</v>
      </c>
      <c r="G1563" s="246" t="str">
        <f>IF(ISNUMBER(Datos!V53),Datos!V53,"")</f>
        <v/>
      </c>
      <c r="H156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4" spans="1:8" x14ac:dyDescent="0.3">
      <c r="A1564" s="245">
        <f>Datos!$W$3</f>
        <v>46813</v>
      </c>
      <c r="B1564" s="199" t="str">
        <f>Datos!W$4</f>
        <v>Compresora</v>
      </c>
      <c r="C1564" s="31" t="s">
        <v>582</v>
      </c>
      <c r="D1564" s="199" t="str">
        <f>Datos!$B$51</f>
        <v>Personas distintas capacitadas en el mes: TOTAL</v>
      </c>
      <c r="E1564" s="199" t="str">
        <f>Datos!$C$51</f>
        <v>pers</v>
      </c>
      <c r="F1564" s="31" t="s">
        <v>541</v>
      </c>
      <c r="G1564" s="246" t="str">
        <f>IF(ISNUMBER(Datos!W51),Datos!W51,"")</f>
        <v/>
      </c>
      <c r="H156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5" spans="1:8" x14ac:dyDescent="0.3">
      <c r="A1565" s="245">
        <f>Datos!$W$3</f>
        <v>46813</v>
      </c>
      <c r="B1565" s="199" t="str">
        <f>Datos!W$4</f>
        <v>Compresora</v>
      </c>
      <c r="C1565" s="31" t="s">
        <v>583</v>
      </c>
      <c r="D1565" s="199" t="str">
        <f>Datos!$B$52</f>
        <v>Campañas de seguridad programadas en el mes</v>
      </c>
      <c r="E1565" s="199" t="str">
        <f>Datos!$C$52</f>
        <v>u</v>
      </c>
      <c r="F1565" s="31" t="s">
        <v>538</v>
      </c>
      <c r="G1565" s="246" t="str">
        <f>IF(ISNUMBER(Datos!W52),Datos!W52,"")</f>
        <v/>
      </c>
      <c r="H156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6" spans="1:8" x14ac:dyDescent="0.3">
      <c r="A1566" s="245">
        <f>Datos!$W$3</f>
        <v>46813</v>
      </c>
      <c r="B1566" s="199" t="str">
        <f>Datos!W$4</f>
        <v>Compresora</v>
      </c>
      <c r="C1566" s="31" t="s">
        <v>584</v>
      </c>
      <c r="D1566" s="199" t="str">
        <f>Datos!$B$53</f>
        <v>Campañas de seguridad realizadas en el mes</v>
      </c>
      <c r="E1566" s="199" t="str">
        <f>Datos!$C$53</f>
        <v>u</v>
      </c>
      <c r="F1566" s="31" t="s">
        <v>538</v>
      </c>
      <c r="G1566" s="246" t="str">
        <f>IF(ISNUMBER(Datos!W53),Datos!W53,"")</f>
        <v/>
      </c>
      <c r="H156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7" spans="1:8" x14ac:dyDescent="0.3">
      <c r="A1567" s="245">
        <f>Datos!$X$3</f>
        <v>46844</v>
      </c>
      <c r="B1567" s="199" t="str">
        <f>Datos!X$4</f>
        <v>Compresora</v>
      </c>
      <c r="C1567" s="31" t="s">
        <v>582</v>
      </c>
      <c r="D1567" s="199" t="str">
        <f>Datos!$B$51</f>
        <v>Personas distintas capacitadas en el mes: TOTAL</v>
      </c>
      <c r="E1567" s="199" t="str">
        <f>Datos!$C$51</f>
        <v>pers</v>
      </c>
      <c r="F1567" s="31" t="s">
        <v>541</v>
      </c>
      <c r="G1567" s="246" t="str">
        <f>IF(ISNUMBER(Datos!X51),Datos!X51,"")</f>
        <v/>
      </c>
      <c r="H156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8" spans="1:8" x14ac:dyDescent="0.3">
      <c r="A1568" s="245">
        <f>Datos!$X$3</f>
        <v>46844</v>
      </c>
      <c r="B1568" s="199" t="str">
        <f>Datos!X$4</f>
        <v>Compresora</v>
      </c>
      <c r="C1568" s="31" t="s">
        <v>583</v>
      </c>
      <c r="D1568" s="199" t="str">
        <f>Datos!$B$52</f>
        <v>Campañas de seguridad programadas en el mes</v>
      </c>
      <c r="E1568" s="199" t="str">
        <f>Datos!$C$52</f>
        <v>u</v>
      </c>
      <c r="F1568" s="31" t="s">
        <v>538</v>
      </c>
      <c r="G1568" s="246" t="str">
        <f>IF(ISNUMBER(Datos!X52),Datos!X52,"")</f>
        <v/>
      </c>
      <c r="H156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9" spans="1:8" x14ac:dyDescent="0.3">
      <c r="A1569" s="245">
        <f>Datos!$X$3</f>
        <v>46844</v>
      </c>
      <c r="B1569" s="199" t="str">
        <f>Datos!X$4</f>
        <v>Compresora</v>
      </c>
      <c r="C1569" s="31" t="s">
        <v>584</v>
      </c>
      <c r="D1569" s="199" t="str">
        <f>Datos!$B$53</f>
        <v>Campañas de seguridad realizadas en el mes</v>
      </c>
      <c r="E1569" s="199" t="str">
        <f>Datos!$C$53</f>
        <v>u</v>
      </c>
      <c r="F1569" s="31" t="s">
        <v>538</v>
      </c>
      <c r="G1569" s="246" t="str">
        <f>IF(ISNUMBER(Datos!X53),Datos!X53,"")</f>
        <v/>
      </c>
      <c r="H156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70" spans="1:8" x14ac:dyDescent="0.3">
      <c r="A1570" s="245">
        <f>Datos!$Y$3</f>
        <v>46874</v>
      </c>
      <c r="B1570" s="199" t="str">
        <f>Datos!Y$4</f>
        <v>Compresora</v>
      </c>
      <c r="C1570" s="31" t="s">
        <v>582</v>
      </c>
      <c r="D1570" s="199" t="str">
        <f>Datos!$B$51</f>
        <v>Personas distintas capacitadas en el mes: TOTAL</v>
      </c>
      <c r="E1570" s="199" t="str">
        <f>Datos!$C$51</f>
        <v>pers</v>
      </c>
      <c r="F1570" s="31" t="s">
        <v>541</v>
      </c>
      <c r="G1570" s="246" t="str">
        <f>IF(ISNUMBER(Datos!Y51),Datos!Y51,"")</f>
        <v/>
      </c>
      <c r="H157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1" spans="1:8" x14ac:dyDescent="0.3">
      <c r="A1571" s="245">
        <f>Datos!$Y$3</f>
        <v>46874</v>
      </c>
      <c r="B1571" s="199" t="str">
        <f>Datos!Y$4</f>
        <v>Compresora</v>
      </c>
      <c r="C1571" s="31" t="s">
        <v>583</v>
      </c>
      <c r="D1571" s="199" t="str">
        <f>Datos!$B$52</f>
        <v>Campañas de seguridad programadas en el mes</v>
      </c>
      <c r="E1571" s="199" t="str">
        <f>Datos!$C$52</f>
        <v>u</v>
      </c>
      <c r="F1571" s="31" t="s">
        <v>538</v>
      </c>
      <c r="G1571" s="246" t="str">
        <f>IF(ISNUMBER(Datos!Y52),Datos!Y52,"")</f>
        <v/>
      </c>
      <c r="H157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2" spans="1:8" x14ac:dyDescent="0.3">
      <c r="A1572" s="245">
        <f>Datos!$Y$3</f>
        <v>46874</v>
      </c>
      <c r="B1572" s="199" t="str">
        <f>Datos!Y$4</f>
        <v>Compresora</v>
      </c>
      <c r="C1572" s="31" t="s">
        <v>584</v>
      </c>
      <c r="D1572" s="199" t="str">
        <f>Datos!$B$53</f>
        <v>Campañas de seguridad realizadas en el mes</v>
      </c>
      <c r="E1572" s="199" t="str">
        <f>Datos!$C$53</f>
        <v>u</v>
      </c>
      <c r="F1572" s="31" t="s">
        <v>538</v>
      </c>
      <c r="G1572" s="246" t="str">
        <f>IF(ISNUMBER(Datos!Y53),Datos!Y53,"")</f>
        <v/>
      </c>
      <c r="H157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3" spans="1:8" x14ac:dyDescent="0.3">
      <c r="A1573" s="245">
        <f>Datos!$Z$3</f>
        <v>46905</v>
      </c>
      <c r="B1573" s="199" t="str">
        <f>Datos!Z$4</f>
        <v>Compresora</v>
      </c>
      <c r="C1573" s="31" t="s">
        <v>582</v>
      </c>
      <c r="D1573" s="199" t="str">
        <f>Datos!$B$51</f>
        <v>Personas distintas capacitadas en el mes: TOTAL</v>
      </c>
      <c r="E1573" s="199" t="str">
        <f>Datos!$C$51</f>
        <v>pers</v>
      </c>
      <c r="F1573" s="31" t="s">
        <v>541</v>
      </c>
      <c r="G1573" s="246" t="str">
        <f>IF(ISNUMBER(Datos!Z51),Datos!Z51,"")</f>
        <v/>
      </c>
      <c r="H157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4" spans="1:8" x14ac:dyDescent="0.3">
      <c r="A1574" s="245">
        <f>Datos!$Z$3</f>
        <v>46905</v>
      </c>
      <c r="B1574" s="199" t="str">
        <f>Datos!Z$4</f>
        <v>Compresora</v>
      </c>
      <c r="C1574" s="31" t="s">
        <v>583</v>
      </c>
      <c r="D1574" s="199" t="str">
        <f>Datos!$B$52</f>
        <v>Campañas de seguridad programadas en el mes</v>
      </c>
      <c r="E1574" s="199" t="str">
        <f>Datos!$C$52</f>
        <v>u</v>
      </c>
      <c r="F1574" s="31" t="s">
        <v>538</v>
      </c>
      <c r="G1574" s="246" t="str">
        <f>IF(ISNUMBER(Datos!Z52),Datos!Z52,"")</f>
        <v/>
      </c>
      <c r="H157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5" spans="1:8" x14ac:dyDescent="0.3">
      <c r="A1575" s="245">
        <f>Datos!$Z$3</f>
        <v>46905</v>
      </c>
      <c r="B1575" s="199" t="str">
        <f>Datos!Z$4</f>
        <v>Compresora</v>
      </c>
      <c r="C1575" s="31" t="s">
        <v>584</v>
      </c>
      <c r="D1575" s="199" t="str">
        <f>Datos!$B$53</f>
        <v>Campañas de seguridad realizadas en el mes</v>
      </c>
      <c r="E1575" s="199" t="str">
        <f>Datos!$C$53</f>
        <v>u</v>
      </c>
      <c r="F1575" s="31" t="s">
        <v>538</v>
      </c>
      <c r="G1575" s="246" t="str">
        <f>IF(ISNUMBER(Datos!Z53),Datos!Z53,"")</f>
        <v/>
      </c>
      <c r="H157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6" spans="1:8" x14ac:dyDescent="0.3">
      <c r="A1576" s="245">
        <f>Datos!$AA$3</f>
        <v>46935</v>
      </c>
      <c r="B1576" s="199" t="str">
        <f>Datos!AA$4</f>
        <v>Compresora</v>
      </c>
      <c r="C1576" s="31" t="s">
        <v>582</v>
      </c>
      <c r="D1576" s="199" t="str">
        <f>Datos!$B$51</f>
        <v>Personas distintas capacitadas en el mes: TOTAL</v>
      </c>
      <c r="E1576" s="199" t="str">
        <f>Datos!$C$51</f>
        <v>pers</v>
      </c>
      <c r="F1576" s="31" t="s">
        <v>541</v>
      </c>
      <c r="G1576" s="246" t="str">
        <f>IF(ISNUMBER(Datos!AA51),Datos!AA51,"")</f>
        <v/>
      </c>
      <c r="H157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7" spans="1:8" x14ac:dyDescent="0.3">
      <c r="A1577" s="245">
        <f>Datos!$AA$3</f>
        <v>46935</v>
      </c>
      <c r="B1577" s="199" t="str">
        <f>Datos!AA$4</f>
        <v>Compresora</v>
      </c>
      <c r="C1577" s="31" t="s">
        <v>583</v>
      </c>
      <c r="D1577" s="199" t="str">
        <f>Datos!$B$52</f>
        <v>Campañas de seguridad programadas en el mes</v>
      </c>
      <c r="E1577" s="199" t="str">
        <f>Datos!$C$52</f>
        <v>u</v>
      </c>
      <c r="F1577" s="31" t="s">
        <v>538</v>
      </c>
      <c r="G1577" s="246" t="str">
        <f>IF(ISNUMBER(Datos!AA52),Datos!AA52,"")</f>
        <v/>
      </c>
      <c r="H157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8" spans="1:8" x14ac:dyDescent="0.3">
      <c r="A1578" s="245">
        <f>Datos!$AA$3</f>
        <v>46935</v>
      </c>
      <c r="B1578" s="199" t="str">
        <f>Datos!AA$4</f>
        <v>Compresora</v>
      </c>
      <c r="C1578" s="31" t="s">
        <v>584</v>
      </c>
      <c r="D1578" s="199" t="str">
        <f>Datos!$B$53</f>
        <v>Campañas de seguridad realizadas en el mes</v>
      </c>
      <c r="E1578" s="199" t="str">
        <f>Datos!$C$53</f>
        <v>u</v>
      </c>
      <c r="F1578" s="31" t="s">
        <v>538</v>
      </c>
      <c r="G1578" s="246" t="str">
        <f>IF(ISNUMBER(Datos!AA53),Datos!AA53,"")</f>
        <v/>
      </c>
      <c r="H157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9" spans="1:8" x14ac:dyDescent="0.3">
      <c r="A1579" s="245">
        <f>Datos!$AB$3</f>
        <v>46966</v>
      </c>
      <c r="B1579" s="199" t="str">
        <f>Datos!AB$4</f>
        <v>Compresora</v>
      </c>
      <c r="C1579" s="31" t="s">
        <v>582</v>
      </c>
      <c r="D1579" s="199" t="str">
        <f>Datos!$B$51</f>
        <v>Personas distintas capacitadas en el mes: TOTAL</v>
      </c>
      <c r="E1579" s="199" t="str">
        <f>Datos!$C$51</f>
        <v>pers</v>
      </c>
      <c r="F1579" s="31" t="s">
        <v>541</v>
      </c>
      <c r="G1579" s="246" t="str">
        <f>IF(ISNUMBER(Datos!AB51),Datos!AB51,"")</f>
        <v/>
      </c>
      <c r="H157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0" spans="1:8" x14ac:dyDescent="0.3">
      <c r="A1580" s="245">
        <f>Datos!$AB$3</f>
        <v>46966</v>
      </c>
      <c r="B1580" s="199" t="str">
        <f>Datos!AB$4</f>
        <v>Compresora</v>
      </c>
      <c r="C1580" s="31" t="s">
        <v>583</v>
      </c>
      <c r="D1580" s="199" t="str">
        <f>Datos!$B$52</f>
        <v>Campañas de seguridad programadas en el mes</v>
      </c>
      <c r="E1580" s="199" t="str">
        <f>Datos!$C$52</f>
        <v>u</v>
      </c>
      <c r="F1580" s="31" t="s">
        <v>538</v>
      </c>
      <c r="G1580" s="246" t="str">
        <f>IF(ISNUMBER(Datos!AB52),Datos!AB52,"")</f>
        <v/>
      </c>
      <c r="H158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1" spans="1:8" x14ac:dyDescent="0.3">
      <c r="A1581" s="245">
        <f>Datos!$AB$3</f>
        <v>46966</v>
      </c>
      <c r="B1581" s="199" t="str">
        <f>Datos!AB$4</f>
        <v>Compresora</v>
      </c>
      <c r="C1581" s="31" t="s">
        <v>584</v>
      </c>
      <c r="D1581" s="199" t="str">
        <f>Datos!$B$53</f>
        <v>Campañas de seguridad realizadas en el mes</v>
      </c>
      <c r="E1581" s="199" t="str">
        <f>Datos!$C$53</f>
        <v>u</v>
      </c>
      <c r="F1581" s="31" t="s">
        <v>538</v>
      </c>
      <c r="G1581" s="246" t="str">
        <f>IF(ISNUMBER(Datos!AB53),Datos!AB53,"")</f>
        <v/>
      </c>
      <c r="H158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2" spans="1:8" x14ac:dyDescent="0.3">
      <c r="A1582" s="245">
        <f>Datos!$AC$3</f>
        <v>46997</v>
      </c>
      <c r="B1582" s="199" t="str">
        <f>Datos!AC$4</f>
        <v>Compresora</v>
      </c>
      <c r="C1582" s="31" t="s">
        <v>582</v>
      </c>
      <c r="D1582" s="199" t="str">
        <f>Datos!$B$51</f>
        <v>Personas distintas capacitadas en el mes: TOTAL</v>
      </c>
      <c r="E1582" s="199" t="str">
        <f>Datos!$C$51</f>
        <v>pers</v>
      </c>
      <c r="F1582" s="31" t="s">
        <v>541</v>
      </c>
      <c r="G1582" s="246" t="str">
        <f>IF(ISNUMBER(Datos!AC51),Datos!AC51,"")</f>
        <v/>
      </c>
      <c r="H158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3" spans="1:8" x14ac:dyDescent="0.3">
      <c r="A1583" s="245">
        <f>Datos!$AC$3</f>
        <v>46997</v>
      </c>
      <c r="B1583" s="199" t="str">
        <f>Datos!AC$4</f>
        <v>Compresora</v>
      </c>
      <c r="C1583" s="31" t="s">
        <v>583</v>
      </c>
      <c r="D1583" s="199" t="str">
        <f>Datos!$B$52</f>
        <v>Campañas de seguridad programadas en el mes</v>
      </c>
      <c r="E1583" s="199" t="str">
        <f>Datos!$C$52</f>
        <v>u</v>
      </c>
      <c r="F1583" s="31" t="s">
        <v>538</v>
      </c>
      <c r="G1583" s="246" t="str">
        <f>IF(ISNUMBER(Datos!AC52),Datos!AC52,"")</f>
        <v/>
      </c>
      <c r="H158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4" spans="1:8" x14ac:dyDescent="0.3">
      <c r="A1584" s="245">
        <f>Datos!$AC$3</f>
        <v>46997</v>
      </c>
      <c r="B1584" s="199" t="str">
        <f>Datos!AC$4</f>
        <v>Compresora</v>
      </c>
      <c r="C1584" s="31" t="s">
        <v>584</v>
      </c>
      <c r="D1584" s="199" t="str">
        <f>Datos!$B$53</f>
        <v>Campañas de seguridad realizadas en el mes</v>
      </c>
      <c r="E1584" s="199" t="str">
        <f>Datos!$C$53</f>
        <v>u</v>
      </c>
      <c r="F1584" s="31" t="s">
        <v>538</v>
      </c>
      <c r="G1584" s="246" t="str">
        <f>IF(ISNUMBER(Datos!AC53),Datos!AC53,"")</f>
        <v/>
      </c>
      <c r="H158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5" spans="1:8" x14ac:dyDescent="0.3">
      <c r="A1585" s="245">
        <f>Datos!$AD$3</f>
        <v>47027</v>
      </c>
      <c r="B1585" s="199" t="str">
        <f>Datos!AD$4</f>
        <v>Compresora</v>
      </c>
      <c r="C1585" s="31" t="s">
        <v>582</v>
      </c>
      <c r="D1585" s="199" t="str">
        <f>Datos!$B$51</f>
        <v>Personas distintas capacitadas en el mes: TOTAL</v>
      </c>
      <c r="E1585" s="199" t="str">
        <f>Datos!$C$51</f>
        <v>pers</v>
      </c>
      <c r="F1585" s="31" t="s">
        <v>541</v>
      </c>
      <c r="G1585" s="246" t="str">
        <f>IF(ISNUMBER(Datos!AD51),Datos!AD51,"")</f>
        <v/>
      </c>
      <c r="H158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6" spans="1:8" x14ac:dyDescent="0.3">
      <c r="A1586" s="245">
        <f>Datos!$AD$3</f>
        <v>47027</v>
      </c>
      <c r="B1586" s="199" t="str">
        <f>Datos!AD$4</f>
        <v>Compresora</v>
      </c>
      <c r="C1586" s="31" t="s">
        <v>583</v>
      </c>
      <c r="D1586" s="199" t="str">
        <f>Datos!$B$52</f>
        <v>Campañas de seguridad programadas en el mes</v>
      </c>
      <c r="E1586" s="199" t="str">
        <f>Datos!$C$52</f>
        <v>u</v>
      </c>
      <c r="F1586" s="31" t="s">
        <v>538</v>
      </c>
      <c r="G1586" s="246" t="str">
        <f>IF(ISNUMBER(Datos!AD52),Datos!AD52,"")</f>
        <v/>
      </c>
      <c r="H158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7" spans="1:8" x14ac:dyDescent="0.3">
      <c r="A1587" s="245">
        <f>Datos!$AD$3</f>
        <v>47027</v>
      </c>
      <c r="B1587" s="199" t="str">
        <f>Datos!AD$4</f>
        <v>Compresora</v>
      </c>
      <c r="C1587" s="31" t="s">
        <v>584</v>
      </c>
      <c r="D1587" s="199" t="str">
        <f>Datos!$B$53</f>
        <v>Campañas de seguridad realizadas en el mes</v>
      </c>
      <c r="E1587" s="199" t="str">
        <f>Datos!$C$53</f>
        <v>u</v>
      </c>
      <c r="F1587" s="31" t="s">
        <v>538</v>
      </c>
      <c r="G1587" s="246" t="str">
        <f>IF(ISNUMBER(Datos!AD53),Datos!AD53,"")</f>
        <v/>
      </c>
      <c r="H158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8" spans="1:8" x14ac:dyDescent="0.3">
      <c r="A1588" s="245">
        <f>Datos!$AE$3</f>
        <v>47058</v>
      </c>
      <c r="B1588" s="199" t="str">
        <f>Datos!AE$4</f>
        <v>Compresora</v>
      </c>
      <c r="C1588" s="31" t="s">
        <v>582</v>
      </c>
      <c r="D1588" s="199" t="str">
        <f>Datos!$B$51</f>
        <v>Personas distintas capacitadas en el mes: TOTAL</v>
      </c>
      <c r="E1588" s="199" t="str">
        <f>Datos!$C$51</f>
        <v>pers</v>
      </c>
      <c r="F1588" s="31" t="s">
        <v>541</v>
      </c>
      <c r="G1588" s="246" t="str">
        <f>IF(ISNUMBER(Datos!AE51),Datos!AE51,"")</f>
        <v/>
      </c>
      <c r="H158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89" spans="1:8" x14ac:dyDescent="0.3">
      <c r="A1589" s="245">
        <f>Datos!$AE$3</f>
        <v>47058</v>
      </c>
      <c r="B1589" s="199" t="str">
        <f>Datos!AE$4</f>
        <v>Compresora</v>
      </c>
      <c r="C1589" s="31" t="s">
        <v>583</v>
      </c>
      <c r="D1589" s="199" t="str">
        <f>Datos!$B$52</f>
        <v>Campañas de seguridad programadas en el mes</v>
      </c>
      <c r="E1589" s="199" t="str">
        <f>Datos!$C$52</f>
        <v>u</v>
      </c>
      <c r="F1589" s="31" t="s">
        <v>538</v>
      </c>
      <c r="G1589" s="246" t="str">
        <f>IF(ISNUMBER(Datos!AE52),Datos!AE52,"")</f>
        <v/>
      </c>
      <c r="H158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0" spans="1:8" x14ac:dyDescent="0.3">
      <c r="A1590" s="245">
        <f>Datos!$AE$3</f>
        <v>47058</v>
      </c>
      <c r="B1590" s="199" t="str">
        <f>Datos!AE$4</f>
        <v>Compresora</v>
      </c>
      <c r="C1590" s="31" t="s">
        <v>584</v>
      </c>
      <c r="D1590" s="199" t="str">
        <f>Datos!$B$53</f>
        <v>Campañas de seguridad realizadas en el mes</v>
      </c>
      <c r="E1590" s="199" t="str">
        <f>Datos!$C$53</f>
        <v>u</v>
      </c>
      <c r="F1590" s="31" t="s">
        <v>538</v>
      </c>
      <c r="G1590" s="246" t="str">
        <f>IF(ISNUMBER(Datos!AE53),Datos!AE53,"")</f>
        <v/>
      </c>
      <c r="H159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1" spans="1:8" x14ac:dyDescent="0.3">
      <c r="A1591" s="245">
        <f>Datos!$AF$3</f>
        <v>47088</v>
      </c>
      <c r="B1591" s="199" t="str">
        <f>Datos!AF$4</f>
        <v>Compresora</v>
      </c>
      <c r="C1591" s="31" t="s">
        <v>582</v>
      </c>
      <c r="D1591" s="199" t="str">
        <f>Datos!$B$51</f>
        <v>Personas distintas capacitadas en el mes: TOTAL</v>
      </c>
      <c r="E1591" s="199" t="str">
        <f>Datos!$C$51</f>
        <v>pers</v>
      </c>
      <c r="F1591" s="31" t="s">
        <v>541</v>
      </c>
      <c r="G1591" s="246" t="str">
        <f>IF(ISNUMBER(Datos!AF51),Datos!AF51,"")</f>
        <v/>
      </c>
      <c r="H159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2" spans="1:8" x14ac:dyDescent="0.3">
      <c r="A1592" s="245">
        <f>Datos!$AF$3</f>
        <v>47088</v>
      </c>
      <c r="B1592" s="199" t="str">
        <f>Datos!AF$4</f>
        <v>Compresora</v>
      </c>
      <c r="C1592" s="31" t="s">
        <v>583</v>
      </c>
      <c r="D1592" s="199" t="str">
        <f>Datos!$B$52</f>
        <v>Campañas de seguridad programadas en el mes</v>
      </c>
      <c r="E1592" s="199" t="str">
        <f>Datos!$C$52</f>
        <v>u</v>
      </c>
      <c r="F1592" s="31" t="s">
        <v>538</v>
      </c>
      <c r="G1592" s="246" t="str">
        <f>IF(ISNUMBER(Datos!AF52),Datos!AF52,"")</f>
        <v/>
      </c>
      <c r="H159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3" spans="1:8" x14ac:dyDescent="0.3">
      <c r="A1593" s="245">
        <f>Datos!$AF$3</f>
        <v>47088</v>
      </c>
      <c r="B1593" s="199" t="str">
        <f>Datos!AF$4</f>
        <v>Compresora</v>
      </c>
      <c r="C1593" s="31" t="s">
        <v>584</v>
      </c>
      <c r="D1593" s="199" t="str">
        <f>Datos!$B$53</f>
        <v>Campañas de seguridad realizadas en el mes</v>
      </c>
      <c r="E1593" s="199" t="str">
        <f>Datos!$C$53</f>
        <v>u</v>
      </c>
      <c r="F1593" s="31" t="s">
        <v>538</v>
      </c>
      <c r="G1593" s="246" t="str">
        <f>IF(ISNUMBER(Datos!AF53),Datos!AF53,"")</f>
        <v/>
      </c>
      <c r="H159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4" spans="1:8" x14ac:dyDescent="0.3">
      <c r="A1594" s="245">
        <f>Datos!$AG$3</f>
        <v>47119</v>
      </c>
      <c r="B1594" s="199" t="str">
        <f>Datos!AG$4</f>
        <v>Compresora</v>
      </c>
      <c r="C1594" s="31" t="s">
        <v>582</v>
      </c>
      <c r="D1594" s="199" t="str">
        <f>Datos!$B$51</f>
        <v>Personas distintas capacitadas en el mes: TOTAL</v>
      </c>
      <c r="E1594" s="199" t="str">
        <f>Datos!$C$51</f>
        <v>pers</v>
      </c>
      <c r="F1594" s="31" t="s">
        <v>541</v>
      </c>
      <c r="G1594" s="246" t="str">
        <f>IF(ISNUMBER(Datos!AG51),Datos!AG51,"")</f>
        <v/>
      </c>
      <c r="H159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5" spans="1:8" x14ac:dyDescent="0.3">
      <c r="A1595" s="245">
        <f>Datos!$AG$3</f>
        <v>47119</v>
      </c>
      <c r="B1595" s="199" t="str">
        <f>Datos!AG$4</f>
        <v>Compresora</v>
      </c>
      <c r="C1595" s="31" t="s">
        <v>583</v>
      </c>
      <c r="D1595" s="199" t="str">
        <f>Datos!$B$52</f>
        <v>Campañas de seguridad programadas en el mes</v>
      </c>
      <c r="E1595" s="199" t="str">
        <f>Datos!$C$52</f>
        <v>u</v>
      </c>
      <c r="F1595" s="31" t="s">
        <v>538</v>
      </c>
      <c r="G1595" s="246" t="str">
        <f>IF(ISNUMBER(Datos!AG52),Datos!AG52,"")</f>
        <v/>
      </c>
      <c r="H159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6" spans="1:8" x14ac:dyDescent="0.3">
      <c r="A1596" s="245">
        <f>Datos!$AG$3</f>
        <v>47119</v>
      </c>
      <c r="B1596" s="199" t="str">
        <f>Datos!AG$4</f>
        <v>Compresora</v>
      </c>
      <c r="C1596" s="31" t="s">
        <v>584</v>
      </c>
      <c r="D1596" s="199" t="str">
        <f>Datos!$B$53</f>
        <v>Campañas de seguridad realizadas en el mes</v>
      </c>
      <c r="E1596" s="199" t="str">
        <f>Datos!$C$53</f>
        <v>u</v>
      </c>
      <c r="F1596" s="31" t="s">
        <v>538</v>
      </c>
      <c r="G1596" s="246" t="str">
        <f>IF(ISNUMBER(Datos!AG53),Datos!AG53,"")</f>
        <v/>
      </c>
      <c r="H159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7" spans="1:8" x14ac:dyDescent="0.3">
      <c r="A1597" s="245">
        <f>Datos!$AH$3</f>
        <v>47150</v>
      </c>
      <c r="B1597" s="199" t="str">
        <f>Datos!AH$4</f>
        <v>Compresora</v>
      </c>
      <c r="C1597" s="31" t="s">
        <v>582</v>
      </c>
      <c r="D1597" s="199" t="str">
        <f>Datos!$B$51</f>
        <v>Personas distintas capacitadas en el mes: TOTAL</v>
      </c>
      <c r="E1597" s="199" t="str">
        <f>Datos!$C$51</f>
        <v>pers</v>
      </c>
      <c r="F1597" s="31" t="s">
        <v>541</v>
      </c>
      <c r="G1597" s="246" t="str">
        <f>IF(ISNUMBER(Datos!AH51),Datos!AH51,"")</f>
        <v/>
      </c>
      <c r="H159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8" spans="1:8" x14ac:dyDescent="0.3">
      <c r="A1598" s="245">
        <f>Datos!$AH$3</f>
        <v>47150</v>
      </c>
      <c r="B1598" s="199" t="str">
        <f>Datos!AH$4</f>
        <v>Compresora</v>
      </c>
      <c r="C1598" s="31" t="s">
        <v>583</v>
      </c>
      <c r="D1598" s="199" t="str">
        <f>Datos!$B$52</f>
        <v>Campañas de seguridad programadas en el mes</v>
      </c>
      <c r="E1598" s="199" t="str">
        <f>Datos!$C$52</f>
        <v>u</v>
      </c>
      <c r="F1598" s="31" t="s">
        <v>538</v>
      </c>
      <c r="G1598" s="246" t="str">
        <f>IF(ISNUMBER(Datos!AH52),Datos!AH52,"")</f>
        <v/>
      </c>
      <c r="H159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9" spans="1:8" x14ac:dyDescent="0.3">
      <c r="A1599" s="245">
        <f>Datos!$AH$3</f>
        <v>47150</v>
      </c>
      <c r="B1599" s="199" t="str">
        <f>Datos!AH$4</f>
        <v>Compresora</v>
      </c>
      <c r="C1599" s="31" t="s">
        <v>584</v>
      </c>
      <c r="D1599" s="199" t="str">
        <f>Datos!$B$53</f>
        <v>Campañas de seguridad realizadas en el mes</v>
      </c>
      <c r="E1599" s="199" t="str">
        <f>Datos!$C$53</f>
        <v>u</v>
      </c>
      <c r="F1599" s="31" t="s">
        <v>538</v>
      </c>
      <c r="G1599" s="246" t="str">
        <f>IF(ISNUMBER(Datos!AH53),Datos!AH53,"")</f>
        <v/>
      </c>
      <c r="H159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600" spans="1:8" x14ac:dyDescent="0.3">
      <c r="A1600" s="245">
        <f>Datos!$AI$3</f>
        <v>47178</v>
      </c>
      <c r="B1600" s="199" t="str">
        <f>Datos!AI$4</f>
        <v>Compresora</v>
      </c>
      <c r="C1600" s="31" t="s">
        <v>582</v>
      </c>
      <c r="D1600" s="199" t="str">
        <f>Datos!$B$51</f>
        <v>Personas distintas capacitadas en el mes: TOTAL</v>
      </c>
      <c r="E1600" s="199" t="str">
        <f>Datos!$C$51</f>
        <v>pers</v>
      </c>
      <c r="F1600" s="31" t="s">
        <v>541</v>
      </c>
      <c r="G1600" s="246" t="str">
        <f>IF(ISNUMBER(Datos!AI51),Datos!AI51,"")</f>
        <v/>
      </c>
      <c r="H160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1" spans="1:8" x14ac:dyDescent="0.3">
      <c r="A1601" s="245">
        <f>Datos!$AI$3</f>
        <v>47178</v>
      </c>
      <c r="B1601" s="199" t="str">
        <f>Datos!AI$4</f>
        <v>Compresora</v>
      </c>
      <c r="C1601" s="31" t="s">
        <v>583</v>
      </c>
      <c r="D1601" s="199" t="str">
        <f>Datos!$B$52</f>
        <v>Campañas de seguridad programadas en el mes</v>
      </c>
      <c r="E1601" s="199" t="str">
        <f>Datos!$C$52</f>
        <v>u</v>
      </c>
      <c r="F1601" s="31" t="s">
        <v>538</v>
      </c>
      <c r="G1601" s="246" t="str">
        <f>IF(ISNUMBER(Datos!AI52),Datos!AI52,"")</f>
        <v/>
      </c>
      <c r="H160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2" spans="1:8" x14ac:dyDescent="0.3">
      <c r="A1602" s="245">
        <f>Datos!$AI$3</f>
        <v>47178</v>
      </c>
      <c r="B1602" s="199" t="str">
        <f>Datos!AI$4</f>
        <v>Compresora</v>
      </c>
      <c r="C1602" s="31" t="s">
        <v>584</v>
      </c>
      <c r="D1602" s="199" t="str">
        <f>Datos!$B$53</f>
        <v>Campañas de seguridad realizadas en el mes</v>
      </c>
      <c r="E1602" s="199" t="str">
        <f>Datos!$C$53</f>
        <v>u</v>
      </c>
      <c r="F1602" s="31" t="s">
        <v>538</v>
      </c>
      <c r="G1602" s="246" t="str">
        <f>IF(ISNUMBER(Datos!AI53),Datos!AI53,"")</f>
        <v/>
      </c>
      <c r="H160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3" spans="1:8" x14ac:dyDescent="0.3">
      <c r="A1603" s="245">
        <f>Datos!$AJ$3</f>
        <v>47209</v>
      </c>
      <c r="B1603" s="199" t="str">
        <f>Datos!AJ$4</f>
        <v>Compresora</v>
      </c>
      <c r="C1603" s="31" t="s">
        <v>582</v>
      </c>
      <c r="D1603" s="199" t="str">
        <f>Datos!$B$51</f>
        <v>Personas distintas capacitadas en el mes: TOTAL</v>
      </c>
      <c r="E1603" s="199" t="str">
        <f>Datos!$C$51</f>
        <v>pers</v>
      </c>
      <c r="F1603" s="31" t="s">
        <v>541</v>
      </c>
      <c r="G1603" s="246" t="str">
        <f>IF(ISNUMBER(Datos!AJ51),Datos!AJ51,"")</f>
        <v/>
      </c>
      <c r="H160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4" spans="1:8" x14ac:dyDescent="0.3">
      <c r="A1604" s="245">
        <f>Datos!$AJ$3</f>
        <v>47209</v>
      </c>
      <c r="B1604" s="199" t="str">
        <f>Datos!AJ$4</f>
        <v>Compresora</v>
      </c>
      <c r="C1604" s="31" t="s">
        <v>583</v>
      </c>
      <c r="D1604" s="199" t="str">
        <f>Datos!$B$52</f>
        <v>Campañas de seguridad programadas en el mes</v>
      </c>
      <c r="E1604" s="199" t="str">
        <f>Datos!$C$52</f>
        <v>u</v>
      </c>
      <c r="F1604" s="31" t="s">
        <v>538</v>
      </c>
      <c r="G1604" s="246" t="str">
        <f>IF(ISNUMBER(Datos!AJ52),Datos!AJ52,"")</f>
        <v/>
      </c>
      <c r="H160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5" spans="1:8" x14ac:dyDescent="0.3">
      <c r="A1605" s="245">
        <f>Datos!$AJ$3</f>
        <v>47209</v>
      </c>
      <c r="B1605" s="199" t="str">
        <f>Datos!AJ$4</f>
        <v>Compresora</v>
      </c>
      <c r="C1605" s="31" t="s">
        <v>584</v>
      </c>
      <c r="D1605" s="199" t="str">
        <f>Datos!$B$53</f>
        <v>Campañas de seguridad realizadas en el mes</v>
      </c>
      <c r="E1605" s="199" t="str">
        <f>Datos!$C$53</f>
        <v>u</v>
      </c>
      <c r="F1605" s="31" t="s">
        <v>538</v>
      </c>
      <c r="G1605" s="246" t="str">
        <f>IF(ISNUMBER(Datos!AJ53),Datos!AJ53,"")</f>
        <v/>
      </c>
      <c r="H160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6" spans="1:8" x14ac:dyDescent="0.3">
      <c r="A1606" s="245">
        <f>Datos!$AK$3</f>
        <v>47239</v>
      </c>
      <c r="B1606" s="199" t="str">
        <f>Datos!AK$4</f>
        <v>Compresora</v>
      </c>
      <c r="C1606" s="31" t="s">
        <v>582</v>
      </c>
      <c r="D1606" s="199" t="str">
        <f>Datos!$B$51</f>
        <v>Personas distintas capacitadas en el mes: TOTAL</v>
      </c>
      <c r="E1606" s="199" t="str">
        <f>Datos!$C$51</f>
        <v>pers</v>
      </c>
      <c r="F1606" s="31" t="s">
        <v>541</v>
      </c>
      <c r="G1606" s="246" t="str">
        <f>IF(ISNUMBER(Datos!AK51),Datos!AK51,"")</f>
        <v/>
      </c>
      <c r="H160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7" spans="1:8" x14ac:dyDescent="0.3">
      <c r="A1607" s="245">
        <f>Datos!$AK$3</f>
        <v>47239</v>
      </c>
      <c r="B1607" s="199" t="str">
        <f>Datos!AK$4</f>
        <v>Compresora</v>
      </c>
      <c r="C1607" s="31" t="s">
        <v>583</v>
      </c>
      <c r="D1607" s="199" t="str">
        <f>Datos!$B$52</f>
        <v>Campañas de seguridad programadas en el mes</v>
      </c>
      <c r="E1607" s="199" t="str">
        <f>Datos!$C$52</f>
        <v>u</v>
      </c>
      <c r="F1607" s="31" t="s">
        <v>538</v>
      </c>
      <c r="G1607" s="246" t="str">
        <f>IF(ISNUMBER(Datos!AK52),Datos!AK52,"")</f>
        <v/>
      </c>
      <c r="H160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8" spans="1:8" x14ac:dyDescent="0.3">
      <c r="A1608" s="245">
        <f>Datos!$AK$3</f>
        <v>47239</v>
      </c>
      <c r="B1608" s="199" t="str">
        <f>Datos!AK$4</f>
        <v>Compresora</v>
      </c>
      <c r="C1608" s="31" t="s">
        <v>584</v>
      </c>
      <c r="D1608" s="199" t="str">
        <f>Datos!$B$53</f>
        <v>Campañas de seguridad realizadas en el mes</v>
      </c>
      <c r="E1608" s="199" t="str">
        <f>Datos!$C$53</f>
        <v>u</v>
      </c>
      <c r="F1608" s="31" t="s">
        <v>538</v>
      </c>
      <c r="G1608" s="246" t="str">
        <f>IF(ISNUMBER(Datos!AK53),Datos!AK53,"")</f>
        <v/>
      </c>
      <c r="H160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9" spans="1:8" x14ac:dyDescent="0.3">
      <c r="A1609" s="245">
        <f>Datos!$AL$3</f>
        <v>47270</v>
      </c>
      <c r="B1609" s="199" t="str">
        <f>Datos!AL$4</f>
        <v>Compresora</v>
      </c>
      <c r="C1609" s="31" t="s">
        <v>582</v>
      </c>
      <c r="D1609" s="199" t="str">
        <f>Datos!$B$51</f>
        <v>Personas distintas capacitadas en el mes: TOTAL</v>
      </c>
      <c r="E1609" s="199" t="str">
        <f>Datos!$C$51</f>
        <v>pers</v>
      </c>
      <c r="F1609" s="31" t="s">
        <v>541</v>
      </c>
      <c r="G1609" s="246" t="str">
        <f>IF(ISNUMBER(Datos!AL51),Datos!AL51,"")</f>
        <v/>
      </c>
      <c r="H160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0" spans="1:8" x14ac:dyDescent="0.3">
      <c r="A1610" s="245">
        <f>Datos!$AL$3</f>
        <v>47270</v>
      </c>
      <c r="B1610" s="199" t="str">
        <f>Datos!AL$4</f>
        <v>Compresora</v>
      </c>
      <c r="C1610" s="31" t="s">
        <v>583</v>
      </c>
      <c r="D1610" s="199" t="str">
        <f>Datos!$B$52</f>
        <v>Campañas de seguridad programadas en el mes</v>
      </c>
      <c r="E1610" s="199" t="str">
        <f>Datos!$C$52</f>
        <v>u</v>
      </c>
      <c r="F1610" s="31" t="s">
        <v>538</v>
      </c>
      <c r="G1610" s="246" t="str">
        <f>IF(ISNUMBER(Datos!AL52),Datos!AL52,"")</f>
        <v/>
      </c>
      <c r="H161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1" spans="1:8" x14ac:dyDescent="0.3">
      <c r="A1611" s="245">
        <f>Datos!$AL$3</f>
        <v>47270</v>
      </c>
      <c r="B1611" s="199" t="str">
        <f>Datos!AL$4</f>
        <v>Compresora</v>
      </c>
      <c r="C1611" s="31" t="s">
        <v>584</v>
      </c>
      <c r="D1611" s="199" t="str">
        <f>Datos!$B$53</f>
        <v>Campañas de seguridad realizadas en el mes</v>
      </c>
      <c r="E1611" s="199" t="str">
        <f>Datos!$C$53</f>
        <v>u</v>
      </c>
      <c r="F1611" s="31" t="s">
        <v>538</v>
      </c>
      <c r="G1611" s="246" t="str">
        <f>IF(ISNUMBER(Datos!AL53),Datos!AL53,"")</f>
        <v/>
      </c>
      <c r="H161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047846" ht="12.75" customHeight="1" x14ac:dyDescent="0.3"/>
    <row r="1047847" ht="12.75" customHeight="1" x14ac:dyDescent="0.3"/>
    <row r="1047848" ht="12.75" customHeight="1" x14ac:dyDescent="0.3"/>
    <row r="1047849" ht="12.75" customHeight="1" x14ac:dyDescent="0.3"/>
    <row r="1047850" ht="12.75" customHeight="1" x14ac:dyDescent="0.3"/>
    <row r="1047851" ht="12.75" customHeight="1" x14ac:dyDescent="0.3"/>
    <row r="1047852" ht="12.75" customHeight="1" x14ac:dyDescent="0.3"/>
    <row r="1047853" ht="12.75" customHeight="1" x14ac:dyDescent="0.3"/>
    <row r="1047854" ht="12.75" customHeight="1" x14ac:dyDescent="0.3"/>
    <row r="1047855" ht="12.75" customHeight="1" x14ac:dyDescent="0.3"/>
    <row r="1047856" ht="12.75" customHeight="1" x14ac:dyDescent="0.3"/>
    <row r="1047857" ht="12.75" customHeight="1" x14ac:dyDescent="0.3"/>
    <row r="1047858" ht="12.75" customHeight="1" x14ac:dyDescent="0.3"/>
    <row r="1047859" ht="12.75" customHeight="1" x14ac:dyDescent="0.3"/>
    <row r="1047860" ht="12.75" customHeight="1" x14ac:dyDescent="0.3"/>
    <row r="1047861" ht="12.75" customHeight="1" x14ac:dyDescent="0.3"/>
    <row r="1047862" ht="12.75" customHeight="1" x14ac:dyDescent="0.3"/>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sheet="1" objects="1" scenarios="1" formatCells="1" formatColumns="1" formatRows="1" insertColumns="1" insertRows="1" insertHyperlinks="0" deleteColumns="1" deleteRows="1" selectLockedCells="0" selectUnlockedCells="0" sort="0" autoFilter="0" pivotTables="1" password="9F52"/>
  <autoFilter ref="A1:H1611" xr:uid="{00000000-0009-0000-0000-000029000000}"/>
  <dataValidations count="1">
    <dataValidation operator="equal" allowBlank="1" showInputMessage="1" promptTitle="Base para Power BI" prompt="No se edita: se arma sola desde Datos. 1 fila = mes × frente × variable. En Power BI sumar numeradores y denominadores y recién ahí dividir." sqref="A1" xr:uid="{00000000-0002-0000-29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C5D9-2147-462C-99ED-B926A60DBFD4}">
  <dimension ref="A1:T1048576"/>
  <sheetViews>
    <sheetView workbookViewId="0"/>
  </sheetViews>
  <sheetFormatPr baseColWidth="10" defaultColWidth="8.88671875" defaultRowHeight="14.4" x14ac:dyDescent="0.3"/>
  <cols>
    <col min="1" max="1" width="11" style="108" customWidth="1"/>
    <col min="2" max="2" width="12" style="108" customWidth="1"/>
    <col min="3" max="3" width="14" style="108" customWidth="1"/>
    <col min="4" max="4" width="58" style="108" customWidth="1"/>
    <col min="5" max="5" width="11" style="108" customWidth="1"/>
    <col min="6" max="6" width="12" style="108" customWidth="1"/>
    <col min="7" max="8" width="10" style="108" customWidth="1"/>
    <col min="9" max="9" width="9" style="108" customWidth="1"/>
  </cols>
  <sheetData>
    <row r="1" spans="1:20" ht="30" customHeight="1" x14ac:dyDescent="0.3">
      <c r="A1" s="84" t="s">
        <v>531</v>
      </c>
      <c r="B1" s="84" t="s">
        <v>188</v>
      </c>
      <c r="C1" s="84" t="s">
        <v>532</v>
      </c>
      <c r="D1" s="84" t="s">
        <v>585</v>
      </c>
      <c r="E1" s="84" t="s">
        <v>586</v>
      </c>
      <c r="F1" s="84" t="s">
        <v>535</v>
      </c>
      <c r="G1" s="84" t="s">
        <v>165</v>
      </c>
      <c r="H1" s="84" t="s">
        <v>587</v>
      </c>
      <c r="I1" s="84" t="s">
        <v>588</v>
      </c>
      <c r="J1" s="84" t="s">
        <v>589</v>
      </c>
      <c r="K1" s="84" t="s">
        <v>590</v>
      </c>
      <c r="L1" s="84" t="s">
        <v>591</v>
      </c>
      <c r="M1" s="84" t="s">
        <v>592</v>
      </c>
      <c r="N1" s="84" t="s">
        <v>26</v>
      </c>
      <c r="O1" s="84" t="s">
        <v>593</v>
      </c>
      <c r="P1" s="84" t="s">
        <v>594</v>
      </c>
      <c r="Q1" s="84" t="s">
        <v>595</v>
      </c>
      <c r="R1" s="84" t="s">
        <v>596</v>
      </c>
      <c r="S1" s="84" t="s">
        <v>597</v>
      </c>
      <c r="T1" s="84" t="s">
        <v>598</v>
      </c>
    </row>
    <row r="2" spans="1:20" ht="13.5" customHeight="1" x14ac:dyDescent="0.3">
      <c r="A2" s="245">
        <f>KPIs!$D$3</f>
        <v>46235</v>
      </c>
      <c r="B2" s="199" t="str">
        <f>KPIs!D$4</f>
        <v>Compresora</v>
      </c>
      <c r="C2" s="31" t="s">
        <v>39</v>
      </c>
      <c r="D2" s="199" t="str">
        <f>KPIs!$A$6</f>
        <v>1 · Frecuencia de casos con días perdidos</v>
      </c>
      <c r="E2" s="31" t="s">
        <v>599</v>
      </c>
      <c r="F2" s="247">
        <f>IF(ISNUMBER(KPIs!D6),KPIs!D6,"")</f>
        <v>0</v>
      </c>
      <c r="G2" s="247">
        <f>IF(ISNUMBER(KPIs!$C$6),KPIs!$C$6,"")</f>
        <v>0</v>
      </c>
      <c r="H2" s="199" t="str">
        <f>IFERROR(INDEX(_TARGETS!$E$2:$E$17,MATCH($C2,_TARGETS!$A$2:$A$17,0))&amp;"","")</f>
        <v>≤</v>
      </c>
      <c r="I2" s="199" t="str">
        <f t="shared" ref="I2:I65" si="0">IF(OR(H2="",F2="",G2=""),"",IF(IF(H2="≤",F2&lt;=G2,F2&gt;=G2),"Sí","No"))</f>
        <v>Sí</v>
      </c>
      <c r="J2" s="193" t="str">
        <f t="shared" ref="J2:J65" si="1">IF(E2="Mensual","Monthly",IF(E2="Acumulado","Cumulative",E2))</f>
        <v>Monthly</v>
      </c>
      <c r="K2" s="248">
        <f>Datos!D33</f>
        <v>0</v>
      </c>
      <c r="L2" s="248">
        <f>Datos!D14</f>
        <v>22988</v>
      </c>
      <c r="M2" s="193">
        <f>INDEX(_TARGETS!$J$2:$J$17,MATCH($C2,_TARGETS!$A$2:$A$17,0))</f>
        <v>1000000</v>
      </c>
      <c r="N2" s="193" t="str">
        <f>INDEX(_TARGETS!$D$2:$D$17,MATCH($C2,_TARGETS!$A$2:$A$17,0))</f>
        <v>casos / 10^6 HH</v>
      </c>
      <c r="O2" s="193" t="str">
        <f>IF(NOT(ISNUMBER(F2)),"MISSING",IF((COUNTBLANK(Datos!D12)+COUNTBLANK(Datos!D13)+COUNTBLANK(Datos!D33))&gt;0,"INCOMPLETE","OK"))</f>
        <v>OK</v>
      </c>
      <c r="P2" s="193" t="str">
        <f>INDEX(_TARGETS!$K$2:$K$17,MATCH($C2,_TARGETS!$A$2:$A$17,0))</f>
        <v>OPS (carga manual en Datos)</v>
      </c>
      <c r="Q2" s="193" t="str">
        <f t="shared" ref="Q2:Q65" si="2">YEAR(A2)*100+MONTH(A2)&amp;"|"&amp;C2&amp;"|"&amp;J2</f>
        <v>202608|DAFWCF|Monthly</v>
      </c>
      <c r="R2" s="193" t="str">
        <f>INDEX(_TARGETS!$H$2:$H$17,MATCH($C2,_TARGETS!$A$2:$A$17,0))</f>
        <v>Definida</v>
      </c>
      <c r="S2" s="193">
        <f t="shared" ref="S2:S65" si="3">IF(AND(ISNUMBER(K2),ISNUMBER(L2)),IF(L2=0,"",K2*M2/L2),IF(ISNUMBER(K2),K2*M2,""))</f>
        <v>0</v>
      </c>
      <c r="T2" s="193">
        <f t="shared" ref="T2:T65" si="4">IF(AND(ISNUMBER(F2),ISNUMBER(S2)),ABS(F2-S2),"")</f>
        <v>0</v>
      </c>
    </row>
    <row r="3" spans="1:20" ht="13.5" customHeight="1" x14ac:dyDescent="0.3">
      <c r="A3" s="245">
        <f>KPIs!$D$3</f>
        <v>46235</v>
      </c>
      <c r="B3" s="199" t="str">
        <f>KPIs!D$4</f>
        <v>Compresora</v>
      </c>
      <c r="C3" s="31" t="s">
        <v>49</v>
      </c>
      <c r="D3" s="199" t="str">
        <f>KPIs!$A$7</f>
        <v>2 · Frecuencia de casos registrables</v>
      </c>
      <c r="E3" s="31" t="s">
        <v>599</v>
      </c>
      <c r="F3" s="247">
        <f>IF(ISNUMBER(KPIs!D7),KPIs!D7,"")</f>
        <v>0</v>
      </c>
      <c r="G3" s="247">
        <f>IF(ISNUMBER(KPIs!$C$7),KPIs!$C$7,"")</f>
        <v>2.35</v>
      </c>
      <c r="H3" s="199" t="str">
        <f>IFERROR(INDEX(_TARGETS!$E$2:$E$17,MATCH($C3,_TARGETS!$A$2:$A$17,0))&amp;"","")</f>
        <v>≤</v>
      </c>
      <c r="I3" s="199" t="str">
        <f t="shared" si="0"/>
        <v>Sí</v>
      </c>
      <c r="J3" s="193" t="str">
        <f t="shared" si="1"/>
        <v>Monthly</v>
      </c>
      <c r="K3" s="193">
        <f>Datos!D33+Datos!D34+Datos!D35+Datos!D36</f>
        <v>0</v>
      </c>
      <c r="L3" s="248">
        <f>Datos!D14</f>
        <v>22988</v>
      </c>
      <c r="M3" s="193">
        <f>INDEX(_TARGETS!$J$2:$J$17,MATCH($C3,_TARGETS!$A$2:$A$17,0))</f>
        <v>1000000</v>
      </c>
      <c r="N3" s="193" t="str">
        <f>INDEX(_TARGETS!$D$2:$D$17,MATCH($C3,_TARGETS!$A$2:$A$17,0))</f>
        <v>casos / 10^6 HH</v>
      </c>
      <c r="O3" s="193" t="str">
        <f>IF(NOT(ISNUMBER(F3)),"MISSING",IF((COUNTBLANK(Datos!D12)+COUNTBLANK(Datos!D13)+COUNTBLANK(Datos!D33)+COUNTBLANK(Datos!D34)+COUNTBLANK(Datos!D35)+COUNTBLANK(Datos!D36))&gt;0,"INCOMPLETE","OK"))</f>
        <v>OK</v>
      </c>
      <c r="P3" s="193" t="str">
        <f>INDEX(_TARGETS!$K$2:$K$17,MATCH($C3,_TARGETS!$A$2:$A$17,0))</f>
        <v>OPS (carga manual en Datos)</v>
      </c>
      <c r="Q3" s="193" t="str">
        <f t="shared" si="2"/>
        <v>202608|TRICF|Monthly</v>
      </c>
      <c r="R3" s="193" t="str">
        <f>INDEX(_TARGETS!$H$2:$H$17,MATCH($C3,_TARGETS!$A$2:$A$17,0))</f>
        <v>Definida</v>
      </c>
      <c r="S3" s="193">
        <f t="shared" si="3"/>
        <v>0</v>
      </c>
      <c r="T3" s="193">
        <f t="shared" si="4"/>
        <v>0</v>
      </c>
    </row>
    <row r="4" spans="1:20" ht="13.5" customHeight="1" x14ac:dyDescent="0.3">
      <c r="A4" s="245">
        <f>KPIs!$D$3</f>
        <v>46235</v>
      </c>
      <c r="B4" s="199" t="str">
        <f>KPIs!D$4</f>
        <v>Compresora</v>
      </c>
      <c r="C4" s="31" t="s">
        <v>51</v>
      </c>
      <c r="D4" s="199" t="str">
        <f>KPIs!$A$8</f>
        <v>3 · Casos de primeros auxilios</v>
      </c>
      <c r="E4" s="31" t="s">
        <v>599</v>
      </c>
      <c r="F4" s="247">
        <f>IF(ISNUMBER(KPIs!D8),KPIs!D8,"")</f>
        <v>0</v>
      </c>
      <c r="G4" s="247" t="str">
        <f>IF(ISNUMBER(KPIs!$C$8),KPIs!$C$8,"")</f>
        <v/>
      </c>
      <c r="H4" s="199" t="str">
        <f>IFERROR(INDEX(_TARGETS!$E$2:$E$17,MATCH($C4,_TARGETS!$A$2:$A$17,0))&amp;"","")</f>
        <v/>
      </c>
      <c r="I4" s="199" t="str">
        <f t="shared" si="0"/>
        <v/>
      </c>
      <c r="J4" s="193" t="str">
        <f t="shared" si="1"/>
        <v>Monthly</v>
      </c>
      <c r="K4" s="248">
        <f>Datos!D37</f>
        <v>0</v>
      </c>
      <c r="M4" s="193">
        <f>INDEX(_TARGETS!$J$2:$J$17,MATCH($C4,_TARGETS!$A$2:$A$17,0))</f>
        <v>1</v>
      </c>
      <c r="N4" s="193" t="str">
        <f>INDEX(_TARGETS!$D$2:$D$17,MATCH($C4,_TARGETS!$A$2:$A$17,0))</f>
        <v>casos</v>
      </c>
      <c r="O4" s="193" t="str">
        <f>IF(NOT(ISNUMBER(F4)),"MISSING",IF((COUNTBLANK(Datos!D12)+COUNTBLANK(Datos!D13)+COUNTBLANK(Datos!D37))&gt;0,"INCOMPLETE","OK"))</f>
        <v>OK</v>
      </c>
      <c r="P4" s="193" t="str">
        <f>INDEX(_TARGETS!$K$2:$K$17,MATCH($C4,_TARGETS!$A$2:$A$17,0))</f>
        <v>OPS (carga manual en Datos)</v>
      </c>
      <c r="Q4" s="193" t="str">
        <f t="shared" si="2"/>
        <v>202608|FAC|Monthly</v>
      </c>
      <c r="R4" s="193" t="str">
        <f>INDEX(_TARGETS!$H$2:$H$17,MATCH($C4,_TARGETS!$A$2:$A$17,0))</f>
        <v>Solo reporte</v>
      </c>
      <c r="S4" s="193">
        <f t="shared" si="3"/>
        <v>0</v>
      </c>
      <c r="T4" s="193">
        <f t="shared" si="4"/>
        <v>0</v>
      </c>
    </row>
    <row r="5" spans="1:20" ht="13.5" customHeight="1" x14ac:dyDescent="0.3">
      <c r="A5" s="245">
        <f>KPIs!$D$3</f>
        <v>46235</v>
      </c>
      <c r="B5" s="199" t="str">
        <f>KPIs!D$4</f>
        <v>Compresora</v>
      </c>
      <c r="C5" s="31" t="s">
        <v>57</v>
      </c>
      <c r="D5" s="199" t="str">
        <f>KPIs!$A$10</f>
        <v>4 · Accidentes vehiculares severos por millón de km</v>
      </c>
      <c r="E5" s="31" t="s">
        <v>599</v>
      </c>
      <c r="F5" s="247">
        <f>IF(ISNUMBER(KPIs!D10),KPIs!D10,"")</f>
        <v>0</v>
      </c>
      <c r="G5" s="247" t="str">
        <f>IF(ISNUMBER(KPIs!$C$10),KPIs!$C$10,"")</f>
        <v/>
      </c>
      <c r="H5" s="199" t="str">
        <f>IFERROR(INDEX(_TARGETS!$E$2:$E$17,MATCH($C5,_TARGETS!$A$2:$A$17,0))&amp;"","")</f>
        <v/>
      </c>
      <c r="I5" s="199" t="str">
        <f t="shared" si="0"/>
        <v/>
      </c>
      <c r="J5" s="193" t="str">
        <f t="shared" si="1"/>
        <v>Monthly</v>
      </c>
      <c r="K5" s="193">
        <f>Datos!D39+Datos!D40+Datos!D41</f>
        <v>0</v>
      </c>
      <c r="L5" s="248">
        <f>Datos!D47</f>
        <v>56057</v>
      </c>
      <c r="M5" s="193">
        <f>INDEX(_TARGETS!$J$2:$J$17,MATCH($C5,_TARGETS!$A$2:$A$17,0))</f>
        <v>1000000</v>
      </c>
      <c r="N5" s="193" t="str">
        <f>INDEX(_TARGETS!$D$2:$D$17,MATCH($C5,_TARGETS!$A$2:$A$17,0))</f>
        <v>eventos / 10^6 km</v>
      </c>
      <c r="O5" s="193" t="str">
        <f>IF(NOT(ISNUMBER(F5)),"MISSING",IF((COUNTBLANK(Datos!D44)+COUNTBLANK(Datos!D45)+COUNTBLANK(Datos!D46)+COUNTBLANK(Datos!D39)+COUNTBLANK(Datos!D40)+COUNTBLANK(Datos!D41))&gt;0,"INCOMPLETE","OK"))</f>
        <v>OK</v>
      </c>
      <c r="P5" s="193" t="str">
        <f>INDEX(_TARGETS!$K$2:$K$17,MATCH($C5,_TARGETS!$A$2:$A$17,0))</f>
        <v>OPS (eventos) + Full Control GPS (km) - carga manual en Datos</v>
      </c>
      <c r="Q5" s="193" t="str">
        <f t="shared" si="2"/>
        <v>202608|SVCR|Monthly</v>
      </c>
      <c r="R5" s="193" t="str">
        <f>INDEX(_TARGETS!$H$2:$H$17,MATCH($C5,_TARGETS!$A$2:$A$17,0))</f>
        <v>Solo reporte</v>
      </c>
      <c r="S5" s="193">
        <f t="shared" si="3"/>
        <v>0</v>
      </c>
      <c r="T5" s="193">
        <f t="shared" si="4"/>
        <v>0</v>
      </c>
    </row>
    <row r="6" spans="1:20" ht="13.5" customHeight="1" x14ac:dyDescent="0.3">
      <c r="A6" s="245">
        <f>KPIs!$D$3</f>
        <v>46235</v>
      </c>
      <c r="B6" s="199" t="str">
        <f>KPIs!D$4</f>
        <v>Compresora</v>
      </c>
      <c r="C6" s="31" t="s">
        <v>61</v>
      </c>
      <c r="D6" s="199" t="str">
        <f>KPIs!$A$11</f>
        <v>5 · Accidentes vehiculares totales por millón de km</v>
      </c>
      <c r="E6" s="31" t="s">
        <v>599</v>
      </c>
      <c r="F6" s="247">
        <f>IF(ISNUMBER(KPIs!D11),KPIs!D11,"")</f>
        <v>0</v>
      </c>
      <c r="G6" s="247">
        <f>IF(ISNUMBER(KPIs!$C$11),KPIs!$C$11,"")</f>
        <v>0.79</v>
      </c>
      <c r="H6" s="199" t="str">
        <f>IFERROR(INDEX(_TARGETS!$E$2:$E$17,MATCH($C6,_TARGETS!$A$2:$A$17,0))&amp;"","")</f>
        <v>≤</v>
      </c>
      <c r="I6" s="199" t="str">
        <f t="shared" si="0"/>
        <v>Sí</v>
      </c>
      <c r="J6" s="193" t="str">
        <f t="shared" si="1"/>
        <v>Monthly</v>
      </c>
      <c r="K6" s="193">
        <f>Datos!D39+Datos!D40+Datos!D41+Datos!D42</f>
        <v>0</v>
      </c>
      <c r="L6" s="248">
        <f>Datos!D47</f>
        <v>56057</v>
      </c>
      <c r="M6" s="193">
        <f>INDEX(_TARGETS!$J$2:$J$17,MATCH($C6,_TARGETS!$A$2:$A$17,0))</f>
        <v>1000000</v>
      </c>
      <c r="N6" s="193" t="str">
        <f>INDEX(_TARGETS!$D$2:$D$17,MATCH($C6,_TARGETS!$A$2:$A$17,0))</f>
        <v>eventos / 10^6 km</v>
      </c>
      <c r="O6" s="193" t="str">
        <f>IF(NOT(ISNUMBER(F6)),"MISSING",IF((COUNTBLANK(Datos!D44)+COUNTBLANK(Datos!D45)+COUNTBLANK(Datos!D46)+COUNTBLANK(Datos!D39)+COUNTBLANK(Datos!D40)+COUNTBLANK(Datos!D41)+COUNTBLANK(Datos!D42))&gt;0,"INCOMPLETE","OK"))</f>
        <v>OK</v>
      </c>
      <c r="P6" s="193" t="str">
        <f>INDEX(_TARGETS!$K$2:$K$17,MATCH($C6,_TARGETS!$A$2:$A$17,0))</f>
        <v>OPS (eventos) + Full Control GPS (km) - carga manual en Datos</v>
      </c>
      <c r="Q6" s="193" t="str">
        <f t="shared" si="2"/>
        <v>202608|TVCR|Monthly</v>
      </c>
      <c r="R6" s="193" t="str">
        <f>INDEX(_TARGETS!$H$2:$H$17,MATCH($C6,_TARGETS!$A$2:$A$17,0))</f>
        <v>Definida</v>
      </c>
      <c r="S6" s="193">
        <f t="shared" si="3"/>
        <v>0</v>
      </c>
      <c r="T6" s="193">
        <f t="shared" si="4"/>
        <v>0</v>
      </c>
    </row>
    <row r="7" spans="1:20" ht="13.5" customHeight="1" x14ac:dyDescent="0.3">
      <c r="A7" s="245">
        <f>KPIs!$D$3</f>
        <v>46235</v>
      </c>
      <c r="B7" s="199" t="str">
        <f>KPIs!D$4</f>
        <v>Compresora</v>
      </c>
      <c r="C7" s="31" t="s">
        <v>63</v>
      </c>
      <c r="D7" s="199" t="str">
        <f>KPIs!$A$13</f>
        <v>6 · Observaciones de seguridad por persona</v>
      </c>
      <c r="E7" s="31" t="s">
        <v>599</v>
      </c>
      <c r="F7" s="247">
        <f>IF(ISNUMBER(KPIs!D13),KPIs!D13,"")</f>
        <v>0.380434782608696</v>
      </c>
      <c r="G7" s="247">
        <f>IF(ISNUMBER(KPIs!$C$13),KPIs!$C$13,"")</f>
        <v>1</v>
      </c>
      <c r="H7" s="199" t="str">
        <f>IFERROR(INDEX(_TARGETS!$E$2:$E$17,MATCH($C7,_TARGETS!$A$2:$A$17,0))&amp;"","")</f>
        <v>≥</v>
      </c>
      <c r="I7" s="199" t="str">
        <f t="shared" si="0"/>
        <v>No</v>
      </c>
      <c r="J7" s="193" t="str">
        <f t="shared" si="1"/>
        <v>Monthly</v>
      </c>
      <c r="K7" s="248">
        <f>IF(COUNT(Datos!D28:D29)=0,"",SUM(Datos!D28:D29))</f>
        <v>35</v>
      </c>
      <c r="L7" s="248">
        <f>Datos!D11</f>
        <v>92</v>
      </c>
      <c r="M7" s="193">
        <f>INDEX(_TARGETS!$J$2:$J$17,MATCH($C7,_TARGETS!$A$2:$A$17,0))</f>
        <v>1</v>
      </c>
      <c r="N7" s="193" t="str">
        <f>INDEX(_TARGETS!$D$2:$D$17,MATCH($C7,_TARGETS!$A$2:$A$17,0))</f>
        <v>obs / persona</v>
      </c>
      <c r="O7" s="193" t="str">
        <f>IF(NOT(ISNUMBER(F7)),"MISSING",IF((COUNTBLANK(Datos!D9)+COUNTBLANK(Datos!D10)+IF(COUNT(Datos!D28:D29)=0,1,0))&gt;0,"INCOMPLETE","OK"))</f>
        <v>OK</v>
      </c>
      <c r="P7" s="193" t="str">
        <f>INDEX(_TARGETS!$K$2:$K$17,MATCH($C7,_TARGETS!$A$2:$A$17,0))</f>
        <v>OPS (carga manual en Datos)</v>
      </c>
      <c r="Q7" s="193" t="str">
        <f t="shared" si="2"/>
        <v>202608|OBS|Monthly</v>
      </c>
      <c r="R7" s="193" t="str">
        <f>INDEX(_TARGETS!$H$2:$H$17,MATCH($C7,_TARGETS!$A$2:$A$17,0))</f>
        <v>PROVISORIA · referencia del subcontratista (OPS: 1 obs/persona); meta y población en definición</v>
      </c>
      <c r="S7" s="193">
        <f t="shared" si="3"/>
        <v>0.380434782608696</v>
      </c>
      <c r="T7" s="193">
        <f t="shared" si="4"/>
        <v>0</v>
      </c>
    </row>
    <row r="8" spans="1:20" ht="13.5" customHeight="1" x14ac:dyDescent="0.3">
      <c r="A8" s="245">
        <f>KPIs!$D$3</f>
        <v>46235</v>
      </c>
      <c r="B8" s="199" t="str">
        <f>KPIs!D$4</f>
        <v>Compresora</v>
      </c>
      <c r="C8" s="31" t="s">
        <v>71</v>
      </c>
      <c r="D8" s="199" t="str">
        <f>KPIs!$A$14</f>
        <v>7 · Investigaciones de accidentes: días promedio de cierre</v>
      </c>
      <c r="E8" s="31" t="s">
        <v>599</v>
      </c>
      <c r="F8" s="247" t="str">
        <f>IF(ISNUMBER(KPIs!D14),KPIs!D14,"")</f>
        <v/>
      </c>
      <c r="G8" s="247">
        <f>IF(ISNUMBER(KPIs!$C$14),KPIs!$C$14,"")</f>
        <v>20</v>
      </c>
      <c r="H8" s="199" t="str">
        <f>IFERROR(INDEX(_TARGETS!$E$2:$E$17,MATCH($C8,_TARGETS!$A$2:$A$17,0))&amp;"","")</f>
        <v>≤</v>
      </c>
      <c r="I8" s="199" t="str">
        <f t="shared" si="0"/>
        <v/>
      </c>
      <c r="J8" s="193" t="str">
        <f t="shared" si="1"/>
        <v>Monthly</v>
      </c>
      <c r="K8" s="248">
        <f>Datos!D31</f>
        <v>0</v>
      </c>
      <c r="L8" s="248">
        <f>Datos!D30</f>
        <v>0</v>
      </c>
      <c r="M8" s="193">
        <f>INDEX(_TARGETS!$J$2:$J$17,MATCH($C8,_TARGETS!$A$2:$A$17,0))</f>
        <v>1</v>
      </c>
      <c r="N8" s="193" t="str">
        <f>INDEX(_TARGETS!$D$2:$D$17,MATCH($C8,_TARGETS!$A$2:$A$17,0))</f>
        <v>días</v>
      </c>
      <c r="O8" s="193" t="str">
        <f>IF(NOT(ISNUMBER(F8)),"MISSING",IF((COUNTBLANK(Datos!D30)+COUNTBLANK(Datos!D31))&gt;0,"INCOMPLETE","OK"))</f>
        <v>MISSING</v>
      </c>
      <c r="P8" s="193" t="str">
        <f>INDEX(_TARGETS!$K$2:$K$17,MATCH($C8,_TARGETS!$A$2:$A$17,0))</f>
        <v>OPS (carga manual en Datos)</v>
      </c>
      <c r="Q8" s="193" t="str">
        <f t="shared" si="2"/>
        <v>202608|INV|Monthly</v>
      </c>
      <c r="R8" s="193" t="str">
        <f>INDEX(_TARGETS!$H$2:$H$17,MATCH($C8,_TARGETS!$A$2:$A$17,0))</f>
        <v>Definida</v>
      </c>
      <c r="S8" s="193" t="str">
        <f t="shared" si="3"/>
        <v/>
      </c>
      <c r="T8" s="193" t="str">
        <f t="shared" si="4"/>
        <v/>
      </c>
    </row>
    <row r="9" spans="1:20" ht="13.5" customHeight="1" x14ac:dyDescent="0.3">
      <c r="A9" s="245">
        <f>KPIs!$D$3</f>
        <v>46235</v>
      </c>
      <c r="B9" s="199" t="str">
        <f>KPIs!D$4</f>
        <v>Compresora</v>
      </c>
      <c r="C9" s="31" t="s">
        <v>76</v>
      </c>
      <c r="D9" s="199" t="str">
        <f>KPIs!$A$16</f>
        <v>8 · % de capacitación en seguridad</v>
      </c>
      <c r="E9" s="31" t="s">
        <v>599</v>
      </c>
      <c r="F9" s="247">
        <f>IF(ISNUMBER(KPIs!D16),KPIs!D16,"")</f>
        <v>0.0548112058465286</v>
      </c>
      <c r="G9" s="247">
        <f>IF(ISNUMBER(KPIs!$C$16),KPIs!$C$16,"")</f>
        <v>0.01</v>
      </c>
      <c r="H9" s="199" t="str">
        <f>IFERROR(INDEX(_TARGETS!$E$2:$E$17,MATCH($C9,_TARGETS!$A$2:$A$17,0))&amp;"","")</f>
        <v>≥</v>
      </c>
      <c r="I9" s="199" t="str">
        <f t="shared" si="0"/>
        <v>Sí</v>
      </c>
      <c r="J9" s="193" t="str">
        <f t="shared" si="1"/>
        <v>Monthly</v>
      </c>
      <c r="K9" s="248">
        <f>Datos!D18</f>
        <v>1260</v>
      </c>
      <c r="L9" s="248">
        <f>Datos!D14</f>
        <v>22988</v>
      </c>
      <c r="M9" s="193">
        <f>INDEX(_TARGETS!$J$2:$J$17,MATCH($C9,_TARGETS!$A$2:$A$17,0))</f>
        <v>1</v>
      </c>
      <c r="N9" s="193" t="str">
        <f>INDEX(_TARGETS!$D$2:$D$17,MATCH($C9,_TARGETS!$A$2:$A$17,0))</f>
        <v>% (fracción)</v>
      </c>
      <c r="O9" s="193" t="str">
        <f>IF(NOT(ISNUMBER(F9)),"MISSING",IF((COUNTBLANK(Datos!D16)+COUNTBLANK(Datos!D17)+COUNTBLANK(Datos!D12)+COUNTBLANK(Datos!D13))&gt;0,"INCOMPLETE","OK"))</f>
        <v>OK</v>
      </c>
      <c r="P9" s="193" t="str">
        <f>INDEX(_TARGETS!$K$2:$K$17,MATCH($C9,_TARGETS!$A$2:$A$17,0))</f>
        <v>OPS (carga manual en Datos)</v>
      </c>
      <c r="Q9" s="193" t="str">
        <f t="shared" si="2"/>
        <v>202608|HCS|Monthly</v>
      </c>
      <c r="R9" s="193" t="str">
        <f>INDEX(_TARGETS!$H$2:$H$17,MATCH($C9,_TARGETS!$A$2:$A$17,0))</f>
        <v>Definida</v>
      </c>
      <c r="S9" s="193">
        <f t="shared" si="3"/>
        <v>0.0548112058465286</v>
      </c>
      <c r="T9" s="193">
        <f t="shared" si="4"/>
        <v>0</v>
      </c>
    </row>
    <row r="10" spans="1:20" ht="13.5" customHeight="1" x14ac:dyDescent="0.3">
      <c r="A10" s="245">
        <f>KPIs!$D$3</f>
        <v>46235</v>
      </c>
      <c r="B10" s="199" t="str">
        <f>KPIs!D$4</f>
        <v>Compresora</v>
      </c>
      <c r="C10" s="31" t="s">
        <v>80</v>
      </c>
      <c r="D10" s="199" t="str">
        <f>KPIs!$A$17</f>
        <v>9 · Horas de capacitación por persona</v>
      </c>
      <c r="E10" s="31" t="s">
        <v>599</v>
      </c>
      <c r="F10" s="247">
        <f>IF(ISNUMBER(KPIs!D17),KPIs!D17,"")</f>
        <v>13.695652173913</v>
      </c>
      <c r="G10" s="247" t="str">
        <f>IF(ISNUMBER(KPIs!$C$17),KPIs!$C$17,"")</f>
        <v/>
      </c>
      <c r="H10" s="199" t="str">
        <f>IFERROR(INDEX(_TARGETS!$E$2:$E$17,MATCH($C10,_TARGETS!$A$2:$A$17,0))&amp;"","")</f>
        <v/>
      </c>
      <c r="I10" s="199" t="str">
        <f t="shared" si="0"/>
        <v/>
      </c>
      <c r="J10" s="193" t="str">
        <f t="shared" si="1"/>
        <v>Monthly</v>
      </c>
      <c r="K10" s="248">
        <f>Datos!D18</f>
        <v>1260</v>
      </c>
      <c r="L10" s="248">
        <f>Datos!D11</f>
        <v>92</v>
      </c>
      <c r="M10" s="193">
        <f>INDEX(_TARGETS!$J$2:$J$17,MATCH($C10,_TARGETS!$A$2:$A$17,0))</f>
        <v>1</v>
      </c>
      <c r="N10" s="193" t="str">
        <f>INDEX(_TARGETS!$D$2:$D$17,MATCH($C10,_TARGETS!$A$2:$A$17,0))</f>
        <v>h / persona</v>
      </c>
      <c r="O10" s="193" t="str">
        <f>IF(NOT(ISNUMBER(F10)),"MISSING",IF((COUNTBLANK(Datos!D16)+COUNTBLANK(Datos!D17)+COUNTBLANK(Datos!D9)+COUNTBLANK(Datos!D10))&gt;0,"INCOMPLETE","OK"))</f>
        <v>OK</v>
      </c>
      <c r="P10" s="193" t="str">
        <f>INDEX(_TARGETS!$K$2:$K$17,MATCH($C10,_TARGETS!$A$2:$A$17,0))</f>
        <v>OPS (carga manual en Datos)</v>
      </c>
      <c r="Q10" s="193" t="str">
        <f t="shared" si="2"/>
        <v>202608|HCSA|Monthly</v>
      </c>
      <c r="R10" s="193" t="str">
        <f>INDEX(_TARGETS!$H$2:$H$17,MATCH($C10,_TARGETS!$A$2:$A$17,0))</f>
        <v>Solo reporte</v>
      </c>
      <c r="S10" s="193">
        <f t="shared" si="3"/>
        <v>13.695652173913</v>
      </c>
      <c r="T10" s="193">
        <f t="shared" si="4"/>
        <v>0</v>
      </c>
    </row>
    <row r="11" spans="1:20" ht="13.5" customHeight="1" x14ac:dyDescent="0.3">
      <c r="A11" s="245">
        <f>KPIs!$D$3</f>
        <v>46235</v>
      </c>
      <c r="B11" s="199" t="str">
        <f>KPIs!D$4</f>
        <v>Compresora</v>
      </c>
      <c r="C11" s="31" t="s">
        <v>83</v>
      </c>
      <c r="D11" s="199" t="str">
        <f>KPIs!$A$18</f>
        <v>10 · Cumplimiento de simulacros (emergencia y operativos)</v>
      </c>
      <c r="E11" s="31" t="s">
        <v>599</v>
      </c>
      <c r="F11" s="247">
        <f>IF(ISNUMBER(KPIs!D18),KPIs!D18,"")</f>
        <v>1</v>
      </c>
      <c r="G11" s="247">
        <f>IF(ISNUMBER(KPIs!$C$18),KPIs!$C$18,"")</f>
        <v>1</v>
      </c>
      <c r="H11" s="199" t="str">
        <f>IFERROR(INDEX(_TARGETS!$E$2:$E$17,MATCH($C11,_TARGETS!$A$2:$A$17,0))&amp;"","")</f>
        <v>≥</v>
      </c>
      <c r="I11" s="199" t="str">
        <f t="shared" si="0"/>
        <v>Sí</v>
      </c>
      <c r="J11" s="193" t="str">
        <f t="shared" si="1"/>
        <v>Monthly</v>
      </c>
      <c r="K11" s="248">
        <f>Datos!D20</f>
        <v>1</v>
      </c>
      <c r="L11" s="248">
        <f>Datos!D21</f>
        <v>1</v>
      </c>
      <c r="M11" s="193">
        <f>INDEX(_TARGETS!$J$2:$J$17,MATCH($C11,_TARGETS!$A$2:$A$17,0))</f>
        <v>1</v>
      </c>
      <c r="N11" s="193" t="str">
        <f>INDEX(_TARGETS!$D$2:$D$17,MATCH($C11,_TARGETS!$A$2:$A$17,0))</f>
        <v>% (fracción)</v>
      </c>
      <c r="O11" s="193" t="str">
        <f>IF(NOT(ISNUMBER(F11)),"MISSING",IF((COUNTBLANK(Datos!D20)+COUNTBLANK(Datos!D21))&gt;0,"INCOMPLETE","OK"))</f>
        <v>OK</v>
      </c>
      <c r="P11" s="193" t="str">
        <f>INDEX(_TARGETS!$K$2:$K$17,MATCH($C11,_TARGETS!$A$2:$A$17,0))</f>
        <v>OPS (carga manual en Datos)</v>
      </c>
      <c r="Q11" s="193" t="str">
        <f t="shared" si="2"/>
        <v>202608|CPSE|Monthly</v>
      </c>
      <c r="R11" s="193" t="str">
        <f>INDEX(_TARGETS!$H$2:$H$17,MATCH($C11,_TARGETS!$A$2:$A$17,0))</f>
        <v>Definida</v>
      </c>
      <c r="S11" s="193">
        <f t="shared" si="3"/>
        <v>1</v>
      </c>
      <c r="T11" s="193">
        <f t="shared" si="4"/>
        <v>0</v>
      </c>
    </row>
    <row r="12" spans="1:20" ht="13.5" customHeight="1" x14ac:dyDescent="0.3">
      <c r="A12" s="245">
        <f>KPIs!$D$3</f>
        <v>46235</v>
      </c>
      <c r="B12" s="199" t="str">
        <f>KPIs!D$4</f>
        <v>Compresora</v>
      </c>
      <c r="C12" s="31" t="s">
        <v>85</v>
      </c>
      <c r="D12" s="199" t="str">
        <f>KPIs!$A$19</f>
        <v>10b · Cumplimiento de acciones de mejora de simulacros</v>
      </c>
      <c r="E12" s="31" t="s">
        <v>599</v>
      </c>
      <c r="F12" s="247" t="str">
        <f>IF(ISNUMBER(KPIs!D19),KPIs!D19,"")</f>
        <v/>
      </c>
      <c r="G12" s="247" t="str">
        <f>IF(ISNUMBER(KPIs!$C$19),KPIs!$C$19,"")</f>
        <v/>
      </c>
      <c r="H12" s="199" t="str">
        <f>IFERROR(INDEX(_TARGETS!$E$2:$E$17,MATCH($C12,_TARGETS!$A$2:$A$17,0))&amp;"","")</f>
        <v/>
      </c>
      <c r="I12" s="199" t="str">
        <f t="shared" si="0"/>
        <v/>
      </c>
      <c r="J12" s="193" t="str">
        <f t="shared" si="1"/>
        <v>Monthly</v>
      </c>
      <c r="K12" s="248">
        <f>Datos!D23</f>
        <v>0</v>
      </c>
      <c r="L12" s="248">
        <f>Datos!D22</f>
        <v>0</v>
      </c>
      <c r="M12" s="193">
        <f>INDEX(_TARGETS!$J$2:$J$17,MATCH($C12,_TARGETS!$A$2:$A$17,0))</f>
        <v>1</v>
      </c>
      <c r="N12" s="193" t="str">
        <f>INDEX(_TARGETS!$D$2:$D$17,MATCH($C12,_TARGETS!$A$2:$A$17,0))</f>
        <v>% (fracción)</v>
      </c>
      <c r="O12" s="193" t="str">
        <f>IF(NOT(ISNUMBER(F12)),"MISSING",IF((COUNTBLANK(Datos!D23)+COUNTBLANK(Datos!D22))&gt;0,"INCOMPLETE","OK"))</f>
        <v>MISSING</v>
      </c>
      <c r="P12" s="193" t="str">
        <f>INDEX(_TARGETS!$K$2:$K$17,MATCH($C12,_TARGETS!$A$2:$A$17,0))</f>
        <v>OPS (carga manual en Datos)</v>
      </c>
      <c r="Q12" s="193" t="str">
        <f t="shared" si="2"/>
        <v>202608|CAMS|Monthly</v>
      </c>
      <c r="R12" s="193" t="str">
        <f>INDEX(_TARGETS!$H$2:$H$17,MATCH($C12,_TARGETS!$A$2:$A$17,0))</f>
        <v>Solo reporte</v>
      </c>
      <c r="S12" s="193" t="str">
        <f t="shared" si="3"/>
        <v/>
      </c>
      <c r="T12" s="193" t="str">
        <f t="shared" si="4"/>
        <v/>
      </c>
    </row>
    <row r="13" spans="1:20" ht="13.5" customHeight="1" x14ac:dyDescent="0.3">
      <c r="A13" s="245">
        <f>KPIs!$D$3</f>
        <v>46235</v>
      </c>
      <c r="B13" s="199" t="str">
        <f>KPIs!D$4</f>
        <v>Compresora</v>
      </c>
      <c r="C13" s="31" t="s">
        <v>87</v>
      </c>
      <c r="D13" s="199" t="str">
        <f>KPIs!$A$21</f>
        <v>11 · Cumplimiento de caminatas gerenciales</v>
      </c>
      <c r="E13" s="31" t="s">
        <v>599</v>
      </c>
      <c r="F13" s="247" t="str">
        <f>IF(ISNUMBER(KPIs!D21),KPIs!D21,"")</f>
        <v/>
      </c>
      <c r="G13" s="247">
        <f>IF(ISNUMBER(KPIs!$C$21),KPIs!$C$21,"")</f>
        <v>1</v>
      </c>
      <c r="H13" s="199" t="str">
        <f>IFERROR(INDEX(_TARGETS!$E$2:$E$17,MATCH($C13,_TARGETS!$A$2:$A$17,0))&amp;"","")</f>
        <v>≥</v>
      </c>
      <c r="I13" s="199" t="str">
        <f t="shared" si="0"/>
        <v/>
      </c>
      <c r="J13" s="193" t="str">
        <f t="shared" si="1"/>
        <v>Monthly</v>
      </c>
      <c r="K13" s="248">
        <f>Datos!D24</f>
        <v>0</v>
      </c>
      <c r="L13" s="248">
        <f>Datos!D25</f>
        <v>0</v>
      </c>
      <c r="M13" s="193">
        <f>INDEX(_TARGETS!$J$2:$J$17,MATCH($C13,_TARGETS!$A$2:$A$17,0))</f>
        <v>1</v>
      </c>
      <c r="N13" s="193" t="str">
        <f>INDEX(_TARGETS!$D$2:$D$17,MATCH($C13,_TARGETS!$A$2:$A$17,0))</f>
        <v>% (fracción)</v>
      </c>
      <c r="O13" s="193" t="str">
        <f>IF(NOT(ISNUMBER(F13)),"MISSING",IF((COUNTBLANK(Datos!D24)+COUNTBLANK(Datos!D25))&gt;0,"INCOMPLETE","OK"))</f>
        <v>MISSING</v>
      </c>
      <c r="P13" s="193" t="str">
        <f>INDEX(_TARGETS!$K$2:$K$17,MATCH($C13,_TARGETS!$A$2:$A$17,0))</f>
        <v>OPS (carga manual en Datos)</v>
      </c>
      <c r="Q13" s="193" t="str">
        <f t="shared" si="2"/>
        <v>202608|ICCS|Monthly</v>
      </c>
      <c r="R13" s="193" t="str">
        <f>INDEX(_TARGETS!$H$2:$H$17,MATCH($C13,_TARGETS!$A$2:$A$17,0))</f>
        <v>Definida</v>
      </c>
      <c r="S13" s="193" t="str">
        <f t="shared" si="3"/>
        <v/>
      </c>
      <c r="T13" s="193" t="str">
        <f t="shared" si="4"/>
        <v/>
      </c>
    </row>
    <row r="14" spans="1:20" ht="13.5" customHeight="1" x14ac:dyDescent="0.3">
      <c r="A14" s="245">
        <f>KPIs!$D$3</f>
        <v>46235</v>
      </c>
      <c r="B14" s="199" t="str">
        <f>KPIs!D$4</f>
        <v>Compresora</v>
      </c>
      <c r="C14" s="31" t="s">
        <v>89</v>
      </c>
      <c r="D14" s="199" t="str">
        <f>KPIs!$A$22</f>
        <v>12 · Cumplimiento de comités y subcomités de seguridad</v>
      </c>
      <c r="E14" s="31" t="s">
        <v>599</v>
      </c>
      <c r="F14" s="247" t="str">
        <f>IF(ISNUMBER(KPIs!D22),KPIs!D22,"")</f>
        <v/>
      </c>
      <c r="G14" s="247">
        <f>IF(ISNUMBER(KPIs!$C$22),KPIs!$C$22,"")</f>
        <v>1</v>
      </c>
      <c r="H14" s="199" t="str">
        <f>IFERROR(INDEX(_TARGETS!$E$2:$E$17,MATCH($C14,_TARGETS!$A$2:$A$17,0))&amp;"","")</f>
        <v>≥</v>
      </c>
      <c r="I14" s="199" t="str">
        <f t="shared" si="0"/>
        <v/>
      </c>
      <c r="J14" s="193" t="str">
        <f t="shared" si="1"/>
        <v>Monthly</v>
      </c>
      <c r="K14" s="248">
        <f>Datos!D26</f>
        <v>0</v>
      </c>
      <c r="L14" s="248">
        <f>Datos!D27</f>
        <v>0</v>
      </c>
      <c r="M14" s="193">
        <f>INDEX(_TARGETS!$J$2:$J$17,MATCH($C14,_TARGETS!$A$2:$A$17,0))</f>
        <v>1</v>
      </c>
      <c r="N14" s="193" t="str">
        <f>INDEX(_TARGETS!$D$2:$D$17,MATCH($C14,_TARGETS!$A$2:$A$17,0))</f>
        <v>% (fracción)</v>
      </c>
      <c r="O14" s="193" t="str">
        <f>IF(NOT(ISNUMBER(F14)),"MISSING",IF((COUNTBLANK(Datos!D26)+COUNTBLANK(Datos!D27))&gt;0,"INCOMPLETE","OK"))</f>
        <v>MISSING</v>
      </c>
      <c r="P14" s="193" t="str">
        <f>INDEX(_TARGETS!$K$2:$K$17,MATCH($C14,_TARGETS!$A$2:$A$17,0))</f>
        <v>OPS (carga manual en Datos)</v>
      </c>
      <c r="Q14" s="193" t="str">
        <f t="shared" si="2"/>
        <v>202608|CCS|Monthly</v>
      </c>
      <c r="R14" s="193" t="str">
        <f>INDEX(_TARGETS!$H$2:$H$17,MATCH($C14,_TARGETS!$A$2:$A$17,0))</f>
        <v>Definida</v>
      </c>
      <c r="S14" s="193" t="str">
        <f t="shared" si="3"/>
        <v/>
      </c>
      <c r="T14" s="193" t="str">
        <f t="shared" si="4"/>
        <v/>
      </c>
    </row>
    <row r="15" spans="1:20" ht="13.5" customHeight="1" x14ac:dyDescent="0.3">
      <c r="A15" s="245">
        <f>KPIs!$D$3</f>
        <v>46235</v>
      </c>
      <c r="B15" s="199" t="str">
        <f>KPIs!D$4</f>
        <v>Compresora</v>
      </c>
      <c r="C15" s="31" t="s">
        <v>91</v>
      </c>
      <c r="D15" s="199" t="str">
        <f>KPIs!$A$23</f>
        <v>13 · Días promedio para cerrar hallazgos</v>
      </c>
      <c r="E15" s="31" t="s">
        <v>599</v>
      </c>
      <c r="F15" s="247">
        <f>IF(ISNUMBER(KPIs!D23),KPIs!D23,"")</f>
        <v>1.34615384615385</v>
      </c>
      <c r="G15" s="247" t="str">
        <f>IF(ISNUMBER(KPIs!$C$23),KPIs!$C$23,"")</f>
        <v/>
      </c>
      <c r="H15" s="199" t="str">
        <f>IFERROR(INDEX(_TARGETS!$E$2:$E$17,MATCH($C15,_TARGETS!$A$2:$A$17,0))&amp;"","")</f>
        <v>≤</v>
      </c>
      <c r="I15" s="199" t="str">
        <f t="shared" si="0"/>
        <v/>
      </c>
      <c r="J15" s="193" t="str">
        <f t="shared" si="1"/>
        <v>Monthly</v>
      </c>
      <c r="K15" s="248">
        <f>Datos!D68</f>
        <v>35</v>
      </c>
      <c r="L15" s="248">
        <f>Datos!D67</f>
        <v>26</v>
      </c>
      <c r="M15" s="193">
        <f>INDEX(_TARGETS!$J$2:$J$17,MATCH($C15,_TARGETS!$A$2:$A$17,0))</f>
        <v>1</v>
      </c>
      <c r="N15" s="193" t="str">
        <f>INDEX(_TARGETS!$D$2:$D$17,MATCH($C15,_TARGETS!$A$2:$A$17,0))</f>
        <v>días</v>
      </c>
      <c r="O15" s="193" t="str">
        <f>IF(NOT(ISNUMBER(F15)),"MISSING","OK")</f>
        <v>OK</v>
      </c>
      <c r="P15" s="193" t="str">
        <f>INDEX(_TARGETS!$K$2:$K$17,MATCH($C15,_TARGETS!$A$2:$A$17,0))</f>
        <v>Plant Findings (hoja Observaciones-SMP)</v>
      </c>
      <c r="Q15" s="193" t="str">
        <f t="shared" si="2"/>
        <v>202608|DPAS|Monthly</v>
      </c>
      <c r="R15" s="193" t="str">
        <f>INDEX(_TARGETS!$H$2:$H$17,MATCH($C15,_TARGETS!$A$2:$A$17,0))</f>
        <v>Pendiente (meta 2027)</v>
      </c>
      <c r="S15" s="193">
        <f t="shared" si="3"/>
        <v>1.34615384615385</v>
      </c>
      <c r="T15" s="193">
        <f t="shared" si="4"/>
        <v>0</v>
      </c>
    </row>
    <row r="16" spans="1:20" ht="13.5" customHeight="1" x14ac:dyDescent="0.3">
      <c r="A16" s="245">
        <f>KPIs!$D$3</f>
        <v>46235</v>
      </c>
      <c r="B16" s="199" t="str">
        <f>KPIs!D$4</f>
        <v>Compresora</v>
      </c>
      <c r="C16" s="31" t="s">
        <v>39</v>
      </c>
      <c r="D16" s="199" t="str">
        <f>KPIs!$A$26</f>
        <v>1 · Frecuencia de casos con días perdidos · ACUMULADO</v>
      </c>
      <c r="E16" s="31" t="s">
        <v>600</v>
      </c>
      <c r="F16" s="247">
        <f>IF(ISNUMBER(KPIs!D26),KPIs!D26,"")</f>
        <v>0</v>
      </c>
      <c r="G16" s="247">
        <f>IF(ISNUMBER(KPIs!$C$26),KPIs!$C$26,"")</f>
        <v>0</v>
      </c>
      <c r="H16" s="199" t="str">
        <f>IFERROR(INDEX(_TARGETS!$E$2:$E$17,MATCH($C16,_TARGETS!$A$2:$A$17,0))&amp;"","")</f>
        <v>≤</v>
      </c>
      <c r="I16" s="199" t="str">
        <f t="shared" si="0"/>
        <v>Sí</v>
      </c>
      <c r="J16" s="193" t="str">
        <f t="shared" si="1"/>
        <v>Cumulative</v>
      </c>
      <c r="K16" s="193">
        <f>SUM(Datos!$D33:D33)</f>
        <v>0</v>
      </c>
      <c r="L16" s="193">
        <f>SUM(Datos!$D14:D14)</f>
        <v>22988</v>
      </c>
      <c r="M16" s="193">
        <f>INDEX(_TARGETS!$J$2:$J$17,MATCH($C16,_TARGETS!$A$2:$A$17,0))</f>
        <v>1000000</v>
      </c>
      <c r="N16" s="193" t="str">
        <f>INDEX(_TARGETS!$D$2:$D$17,MATCH($C16,_TARGETS!$A$2:$A$17,0))</f>
        <v>casos / 10^6 HH</v>
      </c>
      <c r="O16" s="193" t="str">
        <f>IF(NOT(ISNUMBER(F16)),IF(SUMPRODUCT(($C$2:$C$1300=C16)*($J$2:$J$1300="Monthly")*($A$2:$A$1300&lt;=A16)*ISNUMBER($K$2:$K$1300)*ISNUMBER($L$2:$L$1300)*($L$2:$L$1300=0)*($K$2:$K$1300&gt;0))&gt;0,"INCOMPLETE","MISSING"),O2)</f>
        <v>OK</v>
      </c>
      <c r="P16" s="193" t="str">
        <f>INDEX(_TARGETS!$K$2:$K$17,MATCH($C16,_TARGETS!$A$2:$A$17,0))</f>
        <v>OPS (carga manual en Datos)</v>
      </c>
      <c r="Q16" s="193" t="str">
        <f t="shared" si="2"/>
        <v>202608|DAFWCF|Cumulative</v>
      </c>
      <c r="R16" s="193" t="str">
        <f>INDEX(_TARGETS!$H$2:$H$17,MATCH($C16,_TARGETS!$A$2:$A$17,0))</f>
        <v>Definida</v>
      </c>
      <c r="S16" s="193">
        <f t="shared" si="3"/>
        <v>0</v>
      </c>
      <c r="T16" s="193">
        <f t="shared" si="4"/>
        <v>0</v>
      </c>
    </row>
    <row r="17" spans="1:20" ht="13.5" customHeight="1" x14ac:dyDescent="0.3">
      <c r="A17" s="245">
        <f>KPIs!$D$3</f>
        <v>46235</v>
      </c>
      <c r="B17" s="199" t="str">
        <f>KPIs!D$4</f>
        <v>Compresora</v>
      </c>
      <c r="C17" s="31" t="s">
        <v>49</v>
      </c>
      <c r="D17" s="199" t="str">
        <f>KPIs!$A$27</f>
        <v>2 · Frecuencia de casos registrables · ACUMULADO</v>
      </c>
      <c r="E17" s="31" t="s">
        <v>600</v>
      </c>
      <c r="F17" s="247">
        <f>IF(ISNUMBER(KPIs!D27),KPIs!D27,"")</f>
        <v>0</v>
      </c>
      <c r="G17" s="247">
        <f>IF(ISNUMBER(KPIs!$C$27),KPIs!$C$27,"")</f>
        <v>2.35</v>
      </c>
      <c r="H17" s="199" t="str">
        <f>IFERROR(INDEX(_TARGETS!$E$2:$E$17,MATCH($C17,_TARGETS!$A$2:$A$17,0))&amp;"","")</f>
        <v>≤</v>
      </c>
      <c r="I17" s="199" t="str">
        <f t="shared" si="0"/>
        <v>Sí</v>
      </c>
      <c r="J17" s="193" t="str">
        <f t="shared" si="1"/>
        <v>Cumulative</v>
      </c>
      <c r="K17" s="193">
        <f>SUM(Datos!$D33:D33)+SUM(Datos!$D34:D34)+SUM(Datos!$D35:D35)+SUM(Datos!$D36:D36)</f>
        <v>0</v>
      </c>
      <c r="L17" s="193">
        <f>SUM(Datos!$D14:D14)</f>
        <v>22988</v>
      </c>
      <c r="M17" s="193">
        <f>INDEX(_TARGETS!$J$2:$J$17,MATCH($C17,_TARGETS!$A$2:$A$17,0))</f>
        <v>1000000</v>
      </c>
      <c r="N17" s="193" t="str">
        <f>INDEX(_TARGETS!$D$2:$D$17,MATCH($C17,_TARGETS!$A$2:$A$17,0))</f>
        <v>casos / 10^6 HH</v>
      </c>
      <c r="O17" s="193" t="str">
        <f>IF(NOT(ISNUMBER(F17)),IF(SUMPRODUCT(($C$2:$C$1300=C17)*($J$2:$J$1300="Monthly")*($A$2:$A$1300&lt;=A17)*ISNUMBER($K$2:$K$1300)*ISNUMBER($L$2:$L$1300)*($L$2:$L$1300=0)*($K$2:$K$1300&gt;0))&gt;0,"INCOMPLETE","MISSING"),O3)</f>
        <v>OK</v>
      </c>
      <c r="P17" s="193" t="str">
        <f>INDEX(_TARGETS!$K$2:$K$17,MATCH($C17,_TARGETS!$A$2:$A$17,0))</f>
        <v>OPS (carga manual en Datos)</v>
      </c>
      <c r="Q17" s="193" t="str">
        <f t="shared" si="2"/>
        <v>202608|TRICF|Cumulative</v>
      </c>
      <c r="R17" s="193" t="str">
        <f>INDEX(_TARGETS!$H$2:$H$17,MATCH($C17,_TARGETS!$A$2:$A$17,0))</f>
        <v>Definida</v>
      </c>
      <c r="S17" s="193">
        <f t="shared" si="3"/>
        <v>0</v>
      </c>
      <c r="T17" s="193">
        <f t="shared" si="4"/>
        <v>0</v>
      </c>
    </row>
    <row r="18" spans="1:20" ht="13.5" customHeight="1" x14ac:dyDescent="0.3">
      <c r="A18" s="245">
        <f>KPIs!$D$3</f>
        <v>46235</v>
      </c>
      <c r="B18" s="199" t="str">
        <f>KPIs!D$4</f>
        <v>Compresora</v>
      </c>
      <c r="C18" s="31" t="s">
        <v>51</v>
      </c>
      <c r="D18" s="199" t="str">
        <f>KPIs!$A$28</f>
        <v>3 · Casos de primeros auxilios · ACUMULADO</v>
      </c>
      <c r="E18" s="31" t="s">
        <v>600</v>
      </c>
      <c r="F18" s="247">
        <f>IF(ISNUMBER(KPIs!D28),KPIs!D28,"")</f>
        <v>0</v>
      </c>
      <c r="G18" s="247" t="str">
        <f>IF(ISNUMBER(KPIs!$C$28),KPIs!$C$28,"")</f>
        <v/>
      </c>
      <c r="H18" s="199" t="str">
        <f>IFERROR(INDEX(_TARGETS!$E$2:$E$17,MATCH($C18,_TARGETS!$A$2:$A$17,0))&amp;"","")</f>
        <v/>
      </c>
      <c r="I18" s="199" t="str">
        <f t="shared" si="0"/>
        <v/>
      </c>
      <c r="J18" s="193" t="str">
        <f t="shared" si="1"/>
        <v>Cumulative</v>
      </c>
      <c r="K18" s="193">
        <f>SUM(Datos!$D37:D37)</f>
        <v>0</v>
      </c>
      <c r="M18" s="193">
        <f>INDEX(_TARGETS!$J$2:$J$17,MATCH($C18,_TARGETS!$A$2:$A$17,0))</f>
        <v>1</v>
      </c>
      <c r="N18" s="193" t="str">
        <f>INDEX(_TARGETS!$D$2:$D$17,MATCH($C18,_TARGETS!$A$2:$A$17,0))</f>
        <v>casos</v>
      </c>
      <c r="O18" s="193" t="str">
        <f>IF(NOT(ISNUMBER(F18)),IF(SUMPRODUCT(($C$2:$C$1300=C18)*($J$2:$J$1300="Monthly")*($A$2:$A$1300&lt;=A18)*ISNUMBER($K$2:$K$1300)*ISNUMBER($L$2:$L$1300)*($L$2:$L$1300=0)*($K$2:$K$1300&gt;0))&gt;0,"INCOMPLETE","MISSING"),O4)</f>
        <v>OK</v>
      </c>
      <c r="P18" s="193" t="str">
        <f>INDEX(_TARGETS!$K$2:$K$17,MATCH($C18,_TARGETS!$A$2:$A$17,0))</f>
        <v>OPS (carga manual en Datos)</v>
      </c>
      <c r="Q18" s="193" t="str">
        <f t="shared" si="2"/>
        <v>202608|FAC|Cumulative</v>
      </c>
      <c r="R18" s="193" t="str">
        <f>INDEX(_TARGETS!$H$2:$H$17,MATCH($C18,_TARGETS!$A$2:$A$17,0))</f>
        <v>Solo reporte</v>
      </c>
      <c r="S18" s="193">
        <f t="shared" si="3"/>
        <v>0</v>
      </c>
      <c r="T18" s="193">
        <f t="shared" si="4"/>
        <v>0</v>
      </c>
    </row>
    <row r="19" spans="1:20" ht="13.5" customHeight="1" x14ac:dyDescent="0.3">
      <c r="A19" s="245">
        <f>KPIs!$D$3</f>
        <v>46235</v>
      </c>
      <c r="B19" s="199" t="str">
        <f>KPIs!D$4</f>
        <v>Compresora</v>
      </c>
      <c r="C19" s="31" t="s">
        <v>57</v>
      </c>
      <c r="D19" s="199" t="str">
        <f>KPIs!$A$29</f>
        <v>4 · Accidentes vehiculares severos · ACUMULADO</v>
      </c>
      <c r="E19" s="31" t="s">
        <v>600</v>
      </c>
      <c r="F19" s="247">
        <f>IF(ISNUMBER(KPIs!D29),KPIs!D29,"")</f>
        <v>0</v>
      </c>
      <c r="G19" s="247" t="str">
        <f>IF(ISNUMBER(KPIs!$C$29),KPIs!$C$29,"")</f>
        <v/>
      </c>
      <c r="H19" s="199" t="str">
        <f>IFERROR(INDEX(_TARGETS!$E$2:$E$17,MATCH($C19,_TARGETS!$A$2:$A$17,0))&amp;"","")</f>
        <v/>
      </c>
      <c r="I19" s="199" t="str">
        <f t="shared" si="0"/>
        <v/>
      </c>
      <c r="J19" s="193" t="str">
        <f t="shared" si="1"/>
        <v>Cumulative</v>
      </c>
      <c r="K19" s="193">
        <f>SUM(Datos!$D39:D39)+SUM(Datos!$D40:D40)+SUM(Datos!$D41:D41)</f>
        <v>0</v>
      </c>
      <c r="L19" s="193">
        <f>SUM(Datos!$D47:D47)</f>
        <v>56057</v>
      </c>
      <c r="M19" s="193">
        <f>INDEX(_TARGETS!$J$2:$J$17,MATCH($C19,_TARGETS!$A$2:$A$17,0))</f>
        <v>1000000</v>
      </c>
      <c r="N19" s="193" t="str">
        <f>INDEX(_TARGETS!$D$2:$D$17,MATCH($C19,_TARGETS!$A$2:$A$17,0))</f>
        <v>eventos / 10^6 km</v>
      </c>
      <c r="O19" s="193" t="str">
        <f>IF(NOT(ISNUMBER(F19)),IF(SUMPRODUCT(($C$2:$C$1300=C19)*($J$2:$J$1300="Monthly")*($A$2:$A$1300&lt;=A19)*ISNUMBER($K$2:$K$1300)*ISNUMBER($L$2:$L$1300)*($L$2:$L$1300=0)*($K$2:$K$1300&gt;0))&gt;0,"INCOMPLETE","MISSING"),O5)</f>
        <v>OK</v>
      </c>
      <c r="P19" s="193" t="str">
        <f>INDEX(_TARGETS!$K$2:$K$17,MATCH($C19,_TARGETS!$A$2:$A$17,0))</f>
        <v>OPS (eventos) + Full Control GPS (km) - carga manual en Datos</v>
      </c>
      <c r="Q19" s="193" t="str">
        <f t="shared" si="2"/>
        <v>202608|SVCR|Cumulative</v>
      </c>
      <c r="R19" s="193" t="str">
        <f>INDEX(_TARGETS!$H$2:$H$17,MATCH($C19,_TARGETS!$A$2:$A$17,0))</f>
        <v>Solo reporte</v>
      </c>
      <c r="S19" s="193">
        <f t="shared" si="3"/>
        <v>0</v>
      </c>
      <c r="T19" s="193">
        <f t="shared" si="4"/>
        <v>0</v>
      </c>
    </row>
    <row r="20" spans="1:20" ht="13.5" customHeight="1" x14ac:dyDescent="0.3">
      <c r="A20" s="245">
        <f>KPIs!$D$3</f>
        <v>46235</v>
      </c>
      <c r="B20" s="199" t="str">
        <f>KPIs!D$4</f>
        <v>Compresora</v>
      </c>
      <c r="C20" s="31" t="s">
        <v>61</v>
      </c>
      <c r="D20" s="199" t="str">
        <f>KPIs!$A$30</f>
        <v>5 · Accidentes vehiculares totales · ACUMULADO</v>
      </c>
      <c r="E20" s="31" t="s">
        <v>600</v>
      </c>
      <c r="F20" s="247">
        <f>IF(ISNUMBER(KPIs!D30),KPIs!D30,"")</f>
        <v>0</v>
      </c>
      <c r="G20" s="247">
        <f>IF(ISNUMBER(KPIs!$C$30),KPIs!$C$30,"")</f>
        <v>0.79</v>
      </c>
      <c r="H20" s="199" t="str">
        <f>IFERROR(INDEX(_TARGETS!$E$2:$E$17,MATCH($C20,_TARGETS!$A$2:$A$17,0))&amp;"","")</f>
        <v>≤</v>
      </c>
      <c r="I20" s="199" t="str">
        <f t="shared" si="0"/>
        <v>Sí</v>
      </c>
      <c r="J20" s="193" t="str">
        <f t="shared" si="1"/>
        <v>Cumulative</v>
      </c>
      <c r="K20" s="193">
        <f>SUM(Datos!$D39:D39)+SUM(Datos!$D40:D40)+SUM(Datos!$D41:D41)+SUM(Datos!$D42:D42)</f>
        <v>0</v>
      </c>
      <c r="L20" s="193">
        <f>SUM(Datos!$D47:D47)</f>
        <v>56057</v>
      </c>
      <c r="M20" s="193">
        <f>INDEX(_TARGETS!$J$2:$J$17,MATCH($C20,_TARGETS!$A$2:$A$17,0))</f>
        <v>1000000</v>
      </c>
      <c r="N20" s="193" t="str">
        <f>INDEX(_TARGETS!$D$2:$D$17,MATCH($C20,_TARGETS!$A$2:$A$17,0))</f>
        <v>eventos / 10^6 km</v>
      </c>
      <c r="O20" s="193" t="str">
        <f>IF(NOT(ISNUMBER(F20)),IF(SUMPRODUCT(($C$2:$C$1300=C20)*($J$2:$J$1300="Monthly")*($A$2:$A$1300&lt;=A20)*ISNUMBER($K$2:$K$1300)*ISNUMBER($L$2:$L$1300)*($L$2:$L$1300=0)*($K$2:$K$1300&gt;0))&gt;0,"INCOMPLETE","MISSING"),O6)</f>
        <v>OK</v>
      </c>
      <c r="P20" s="193" t="str">
        <f>INDEX(_TARGETS!$K$2:$K$17,MATCH($C20,_TARGETS!$A$2:$A$17,0))</f>
        <v>OPS (eventos) + Full Control GPS (km) - carga manual en Datos</v>
      </c>
      <c r="Q20" s="193" t="str">
        <f t="shared" si="2"/>
        <v>202608|TVCR|Cumulative</v>
      </c>
      <c r="R20" s="193" t="str">
        <f>INDEX(_TARGETS!$H$2:$H$17,MATCH($C20,_TARGETS!$A$2:$A$17,0))</f>
        <v>Definida</v>
      </c>
      <c r="S20" s="193">
        <f t="shared" si="3"/>
        <v>0</v>
      </c>
      <c r="T20" s="193">
        <f t="shared" si="4"/>
        <v>0</v>
      </c>
    </row>
    <row r="21" spans="1:20" ht="13.5" customHeight="1" x14ac:dyDescent="0.3">
      <c r="A21" s="245">
        <f>KPIs!$D$3</f>
        <v>46235</v>
      </c>
      <c r="B21" s="199" t="str">
        <f>KPIs!D$4</f>
        <v>Compresora</v>
      </c>
      <c r="C21" s="31" t="s">
        <v>96</v>
      </c>
      <c r="D21" s="199" t="str">
        <f>KPIs!$A$33</f>
        <v>C1 · % de desvíos detectados de gravedad Alta</v>
      </c>
      <c r="E21" s="31" t="s">
        <v>599</v>
      </c>
      <c r="F21" s="247" t="str">
        <f>IF(ISNUMBER(KPIs!D33),KPIs!D33,"")</f>
        <v/>
      </c>
      <c r="G21" s="247" t="str">
        <f>IF(ISNUMBER(KPIs!$C$33),KPIs!$C$33,"")</f>
        <v/>
      </c>
      <c r="H21" s="199" t="str">
        <f>IFERROR(INDEX(_TARGETS!$E$2:$E$17,MATCH($C21,_TARGETS!$A$2:$A$17,0))&amp;"","")</f>
        <v/>
      </c>
      <c r="I21" s="199" t="str">
        <f t="shared" si="0"/>
        <v/>
      </c>
      <c r="J21" s="193" t="str">
        <f t="shared" si="1"/>
        <v>Monthly</v>
      </c>
      <c r="K21" s="248">
        <f>Datos!D71</f>
        <v>0</v>
      </c>
      <c r="L21" s="193">
        <f>Datos!D71+Datos!D72+Datos!D73</f>
        <v>0</v>
      </c>
      <c r="M21" s="193">
        <f>INDEX(_TARGETS!$J$2:$J$17,MATCH($C21,_TARGETS!$A$2:$A$17,0))</f>
        <v>1</v>
      </c>
      <c r="N21" s="193" t="str">
        <f>INDEX(_TARGETS!$D$2:$D$17,MATCH($C21,_TARGETS!$A$2:$A$17,0))</f>
        <v>% (fracción)</v>
      </c>
      <c r="O21" s="193" t="str">
        <f>IF(NOT(ISNUMBER(F21)),"MISSING","OK")</f>
        <v>MISSING</v>
      </c>
      <c r="P21" s="193" t="str">
        <f>INDEX(_TARGETS!$K$2:$K$17,MATCH($C21,_TARGETS!$A$2:$A$17,0))</f>
        <v>Plant Findings (hoja Observaciones-SMP)</v>
      </c>
      <c r="Q21" s="193" t="str">
        <f t="shared" si="2"/>
        <v>202608|HAL_ALTA_PCT|Monthly</v>
      </c>
      <c r="R21" s="193" t="str">
        <f>INDEX(_TARGETS!$H$2:$H$17,MATCH($C21,_TARGETS!$A$2:$A$17,0))</f>
        <v>Solo reporte</v>
      </c>
      <c r="S21" s="193" t="str">
        <f t="shared" si="3"/>
        <v/>
      </c>
      <c r="T21" s="193" t="str">
        <f t="shared" si="4"/>
        <v/>
      </c>
    </row>
    <row r="22" spans="1:20" ht="13.5" customHeight="1" x14ac:dyDescent="0.3">
      <c r="A22" s="245">
        <f>KPIs!$D$3</f>
        <v>46235</v>
      </c>
      <c r="B22" s="199" t="str">
        <f>KPIs!D$4</f>
        <v>Compresora</v>
      </c>
      <c r="C22" s="31" t="s">
        <v>98</v>
      </c>
      <c r="D22" s="199" t="str">
        <f>KPIs!$A$34</f>
        <v>C2 · Detenciones de tareas aplicadas</v>
      </c>
      <c r="E22" s="31" t="s">
        <v>599</v>
      </c>
      <c r="F22" s="247">
        <f>IF(ISNUMBER(KPIs!D34),KPIs!D34,"")</f>
        <v>0</v>
      </c>
      <c r="G22" s="247" t="str">
        <f>IF(ISNUMBER(KPIs!$C$34),KPIs!$C$34,"")</f>
        <v/>
      </c>
      <c r="H22" s="199" t="str">
        <f>IFERROR(INDEX(_TARGETS!$E$2:$E$17,MATCH($C22,_TARGETS!$A$2:$A$17,0))&amp;"","")</f>
        <v/>
      </c>
      <c r="I22" s="199" t="str">
        <f t="shared" si="0"/>
        <v/>
      </c>
      <c r="J22" s="193" t="str">
        <f t="shared" si="1"/>
        <v>Monthly</v>
      </c>
      <c r="K22" s="248">
        <f>Datos!D75</f>
        <v>0</v>
      </c>
      <c r="M22" s="193">
        <f>INDEX(_TARGETS!$J$2:$J$17,MATCH($C22,_TARGETS!$A$2:$A$17,0))</f>
        <v>1</v>
      </c>
      <c r="N22" s="193" t="str">
        <f>INDEX(_TARGETS!$D$2:$D$17,MATCH($C22,_TARGETS!$A$2:$A$17,0))</f>
        <v>u</v>
      </c>
      <c r="O22" s="193" t="str">
        <f>IF(NOT(ISNUMBER(F22)),"MISSING","OK")</f>
        <v>OK</v>
      </c>
      <c r="P22" s="193" t="str">
        <f>INDEX(_TARGETS!$K$2:$K$17,MATCH($C22,_TARGETS!$A$2:$A$17,0))</f>
        <v>Plant Findings (hoja Observaciones-SMP)</v>
      </c>
      <c r="Q22" s="193" t="str">
        <f t="shared" si="2"/>
        <v>202608|DET|Monthly</v>
      </c>
      <c r="R22" s="193" t="str">
        <f>INDEX(_TARGETS!$H$2:$H$17,MATCH($C22,_TARGETS!$A$2:$A$17,0))</f>
        <v>Solo reporte</v>
      </c>
      <c r="S22" s="193">
        <f t="shared" si="3"/>
        <v>0</v>
      </c>
      <c r="T22" s="193">
        <f t="shared" si="4"/>
        <v>0</v>
      </c>
    </row>
    <row r="23" spans="1:20" ht="13.5" customHeight="1" x14ac:dyDescent="0.3">
      <c r="A23" s="245">
        <f>KPIs!$E$3</f>
        <v>46266</v>
      </c>
      <c r="B23" s="199" t="str">
        <f>KPIs!E$4</f>
        <v>Compresora</v>
      </c>
      <c r="C23" s="31" t="s">
        <v>39</v>
      </c>
      <c r="D23" s="199" t="str">
        <f>KPIs!$A$6</f>
        <v>1 · Frecuencia de casos con días perdidos</v>
      </c>
      <c r="E23" s="31" t="s">
        <v>599</v>
      </c>
      <c r="F23" s="247">
        <f>IF(ISNUMBER(KPIs!E6),KPIs!E6,"")</f>
        <v>0</v>
      </c>
      <c r="G23" s="247">
        <f>IF(ISNUMBER(KPIs!$C$6),KPIs!$C$6,"")</f>
        <v>0</v>
      </c>
      <c r="H23" s="199" t="str">
        <f>IFERROR(INDEX(_TARGETS!$E$2:$E$17,MATCH($C23,_TARGETS!$A$2:$A$17,0))&amp;"","")</f>
        <v>≤</v>
      </c>
      <c r="I23" s="199" t="str">
        <f t="shared" si="0"/>
        <v>Sí</v>
      </c>
      <c r="J23" s="193" t="str">
        <f t="shared" si="1"/>
        <v>Monthly</v>
      </c>
      <c r="K23" s="248">
        <f>Datos!E33</f>
        <v>0</v>
      </c>
      <c r="L23" s="248">
        <f>Datos!E14</f>
        <v>25344</v>
      </c>
      <c r="M23" s="193">
        <f>INDEX(_TARGETS!$J$2:$J$17,MATCH($C23,_TARGETS!$A$2:$A$17,0))</f>
        <v>1000000</v>
      </c>
      <c r="N23" s="193" t="str">
        <f>INDEX(_TARGETS!$D$2:$D$17,MATCH($C23,_TARGETS!$A$2:$A$17,0))</f>
        <v>casos / 10^6 HH</v>
      </c>
      <c r="O23" s="193" t="str">
        <f>IF(NOT(ISNUMBER(F23)),"MISSING",IF((COUNTBLANK(Datos!E12)+COUNTBLANK(Datos!E13)+COUNTBLANK(Datos!E33))&gt;0,"INCOMPLETE","OK"))</f>
        <v>OK</v>
      </c>
      <c r="P23" s="193" t="str">
        <f>INDEX(_TARGETS!$K$2:$K$17,MATCH($C23,_TARGETS!$A$2:$A$17,0))</f>
        <v>OPS (carga manual en Datos)</v>
      </c>
      <c r="Q23" s="193" t="str">
        <f t="shared" si="2"/>
        <v>202609|DAFWCF|Monthly</v>
      </c>
      <c r="R23" s="193" t="str">
        <f>INDEX(_TARGETS!$H$2:$H$17,MATCH($C23,_TARGETS!$A$2:$A$17,0))</f>
        <v>Definida</v>
      </c>
      <c r="S23" s="193">
        <f t="shared" si="3"/>
        <v>0</v>
      </c>
      <c r="T23" s="193">
        <f t="shared" si="4"/>
        <v>0</v>
      </c>
    </row>
    <row r="24" spans="1:20" ht="13.5" customHeight="1" x14ac:dyDescent="0.3">
      <c r="A24" s="245">
        <f>KPIs!$E$3</f>
        <v>46266</v>
      </c>
      <c r="B24" s="199" t="str">
        <f>KPIs!E$4</f>
        <v>Compresora</v>
      </c>
      <c r="C24" s="31" t="s">
        <v>49</v>
      </c>
      <c r="D24" s="199" t="str">
        <f>KPIs!$A$7</f>
        <v>2 · Frecuencia de casos registrables</v>
      </c>
      <c r="E24" s="31" t="s">
        <v>599</v>
      </c>
      <c r="F24" s="247">
        <f>IF(ISNUMBER(KPIs!E7),KPIs!E7,"")</f>
        <v>0</v>
      </c>
      <c r="G24" s="247">
        <f>IF(ISNUMBER(KPIs!$C$7),KPIs!$C$7,"")</f>
        <v>2.35</v>
      </c>
      <c r="H24" s="199" t="str">
        <f>IFERROR(INDEX(_TARGETS!$E$2:$E$17,MATCH($C24,_TARGETS!$A$2:$A$17,0))&amp;"","")</f>
        <v>≤</v>
      </c>
      <c r="I24" s="199" t="str">
        <f t="shared" si="0"/>
        <v>Sí</v>
      </c>
      <c r="J24" s="193" t="str">
        <f t="shared" si="1"/>
        <v>Monthly</v>
      </c>
      <c r="K24" s="193">
        <f>Datos!E33+Datos!E34+Datos!E35+Datos!E36</f>
        <v>0</v>
      </c>
      <c r="L24" s="248">
        <f>Datos!E14</f>
        <v>25344</v>
      </c>
      <c r="M24" s="193">
        <f>INDEX(_TARGETS!$J$2:$J$17,MATCH($C24,_TARGETS!$A$2:$A$17,0))</f>
        <v>1000000</v>
      </c>
      <c r="N24" s="193" t="str">
        <f>INDEX(_TARGETS!$D$2:$D$17,MATCH($C24,_TARGETS!$A$2:$A$17,0))</f>
        <v>casos / 10^6 HH</v>
      </c>
      <c r="O24" s="193" t="str">
        <f>IF(NOT(ISNUMBER(F24)),"MISSING",IF((COUNTBLANK(Datos!E12)+COUNTBLANK(Datos!E13)+COUNTBLANK(Datos!E33)+COUNTBLANK(Datos!E34)+COUNTBLANK(Datos!E35)+COUNTBLANK(Datos!E36))&gt;0,"INCOMPLETE","OK"))</f>
        <v>OK</v>
      </c>
      <c r="P24" s="193" t="str">
        <f>INDEX(_TARGETS!$K$2:$K$17,MATCH($C24,_TARGETS!$A$2:$A$17,0))</f>
        <v>OPS (carga manual en Datos)</v>
      </c>
      <c r="Q24" s="193" t="str">
        <f t="shared" si="2"/>
        <v>202609|TRICF|Monthly</v>
      </c>
      <c r="R24" s="193" t="str">
        <f>INDEX(_TARGETS!$H$2:$H$17,MATCH($C24,_TARGETS!$A$2:$A$17,0))</f>
        <v>Definida</v>
      </c>
      <c r="S24" s="193">
        <f t="shared" si="3"/>
        <v>0</v>
      </c>
      <c r="T24" s="193">
        <f t="shared" si="4"/>
        <v>0</v>
      </c>
    </row>
    <row r="25" spans="1:20" ht="13.5" customHeight="1" x14ac:dyDescent="0.3">
      <c r="A25" s="245">
        <f>KPIs!$E$3</f>
        <v>46266</v>
      </c>
      <c r="B25" s="199" t="str">
        <f>KPIs!E$4</f>
        <v>Compresora</v>
      </c>
      <c r="C25" s="31" t="s">
        <v>51</v>
      </c>
      <c r="D25" s="199" t="str">
        <f>KPIs!$A$8</f>
        <v>3 · Casos de primeros auxilios</v>
      </c>
      <c r="E25" s="31" t="s">
        <v>599</v>
      </c>
      <c r="F25" s="247">
        <f>IF(ISNUMBER(KPIs!E8),KPIs!E8,"")</f>
        <v>0</v>
      </c>
      <c r="G25" s="247" t="str">
        <f>IF(ISNUMBER(KPIs!$C$8),KPIs!$C$8,"")</f>
        <v/>
      </c>
      <c r="H25" s="199" t="str">
        <f>IFERROR(INDEX(_TARGETS!$E$2:$E$17,MATCH($C25,_TARGETS!$A$2:$A$17,0))&amp;"","")</f>
        <v/>
      </c>
      <c r="I25" s="199" t="str">
        <f t="shared" si="0"/>
        <v/>
      </c>
      <c r="J25" s="193" t="str">
        <f t="shared" si="1"/>
        <v>Monthly</v>
      </c>
      <c r="K25" s="248">
        <f>Datos!E37</f>
        <v>0</v>
      </c>
      <c r="M25" s="193">
        <f>INDEX(_TARGETS!$J$2:$J$17,MATCH($C25,_TARGETS!$A$2:$A$17,0))</f>
        <v>1</v>
      </c>
      <c r="N25" s="193" t="str">
        <f>INDEX(_TARGETS!$D$2:$D$17,MATCH($C25,_TARGETS!$A$2:$A$17,0))</f>
        <v>casos</v>
      </c>
      <c r="O25" s="193" t="str">
        <f>IF(NOT(ISNUMBER(F25)),"MISSING",IF((COUNTBLANK(Datos!E12)+COUNTBLANK(Datos!E13)+COUNTBLANK(Datos!E37))&gt;0,"INCOMPLETE","OK"))</f>
        <v>OK</v>
      </c>
      <c r="P25" s="193" t="str">
        <f>INDEX(_TARGETS!$K$2:$K$17,MATCH($C25,_TARGETS!$A$2:$A$17,0))</f>
        <v>OPS (carga manual en Datos)</v>
      </c>
      <c r="Q25" s="193" t="str">
        <f t="shared" si="2"/>
        <v>202609|FAC|Monthly</v>
      </c>
      <c r="R25" s="193" t="str">
        <f>INDEX(_TARGETS!$H$2:$H$17,MATCH($C25,_TARGETS!$A$2:$A$17,0))</f>
        <v>Solo reporte</v>
      </c>
      <c r="S25" s="193">
        <f t="shared" si="3"/>
        <v>0</v>
      </c>
      <c r="T25" s="193">
        <f t="shared" si="4"/>
        <v>0</v>
      </c>
    </row>
    <row r="26" spans="1:20" ht="13.5" customHeight="1" x14ac:dyDescent="0.3">
      <c r="A26" s="245">
        <f>KPIs!$E$3</f>
        <v>46266</v>
      </c>
      <c r="B26" s="199" t="str">
        <f>KPIs!E$4</f>
        <v>Compresora</v>
      </c>
      <c r="C26" s="31" t="s">
        <v>57</v>
      </c>
      <c r="D26" s="199" t="str">
        <f>KPIs!$A$10</f>
        <v>4 · Accidentes vehiculares severos por millón de km</v>
      </c>
      <c r="E26" s="31" t="s">
        <v>599</v>
      </c>
      <c r="F26" s="247">
        <f>IF(ISNUMBER(KPIs!E10),KPIs!E10,"")</f>
        <v>0</v>
      </c>
      <c r="G26" s="247" t="str">
        <f>IF(ISNUMBER(KPIs!$C$10),KPIs!$C$10,"")</f>
        <v/>
      </c>
      <c r="H26" s="199" t="str">
        <f>IFERROR(INDEX(_TARGETS!$E$2:$E$17,MATCH($C26,_TARGETS!$A$2:$A$17,0))&amp;"","")</f>
        <v/>
      </c>
      <c r="I26" s="199" t="str">
        <f t="shared" si="0"/>
        <v/>
      </c>
      <c r="J26" s="193" t="str">
        <f t="shared" si="1"/>
        <v>Monthly</v>
      </c>
      <c r="K26" s="193">
        <f>Datos!E39+Datos!E40+Datos!E41</f>
        <v>0</v>
      </c>
      <c r="L26" s="248">
        <f>Datos!E47</f>
        <v>116767</v>
      </c>
      <c r="M26" s="193">
        <f>INDEX(_TARGETS!$J$2:$J$17,MATCH($C26,_TARGETS!$A$2:$A$17,0))</f>
        <v>1000000</v>
      </c>
      <c r="N26" s="193" t="str">
        <f>INDEX(_TARGETS!$D$2:$D$17,MATCH($C26,_TARGETS!$A$2:$A$17,0))</f>
        <v>eventos / 10^6 km</v>
      </c>
      <c r="O26" s="193" t="str">
        <f>IF(NOT(ISNUMBER(F26)),"MISSING",IF((COUNTBLANK(Datos!E44)+COUNTBLANK(Datos!E45)+COUNTBLANK(Datos!E46)+COUNTBLANK(Datos!E39)+COUNTBLANK(Datos!E40)+COUNTBLANK(Datos!E41))&gt;0,"INCOMPLETE","OK"))</f>
        <v>OK</v>
      </c>
      <c r="P26" s="193" t="str">
        <f>INDEX(_TARGETS!$K$2:$K$17,MATCH($C26,_TARGETS!$A$2:$A$17,0))</f>
        <v>OPS (eventos) + Full Control GPS (km) - carga manual en Datos</v>
      </c>
      <c r="Q26" s="193" t="str">
        <f t="shared" si="2"/>
        <v>202609|SVCR|Monthly</v>
      </c>
      <c r="R26" s="193" t="str">
        <f>INDEX(_TARGETS!$H$2:$H$17,MATCH($C26,_TARGETS!$A$2:$A$17,0))</f>
        <v>Solo reporte</v>
      </c>
      <c r="S26" s="193">
        <f t="shared" si="3"/>
        <v>0</v>
      </c>
      <c r="T26" s="193">
        <f t="shared" si="4"/>
        <v>0</v>
      </c>
    </row>
    <row r="27" spans="1:20" ht="13.5" customHeight="1" x14ac:dyDescent="0.3">
      <c r="A27" s="245">
        <f>KPIs!$E$3</f>
        <v>46266</v>
      </c>
      <c r="B27" s="199" t="str">
        <f>KPIs!E$4</f>
        <v>Compresora</v>
      </c>
      <c r="C27" s="31" t="s">
        <v>61</v>
      </c>
      <c r="D27" s="199" t="str">
        <f>KPIs!$A$11</f>
        <v>5 · Accidentes vehiculares totales por millón de km</v>
      </c>
      <c r="E27" s="31" t="s">
        <v>599</v>
      </c>
      <c r="F27" s="247">
        <f>IF(ISNUMBER(KPIs!E11),KPIs!E11,"")</f>
        <v>0</v>
      </c>
      <c r="G27" s="247">
        <f>IF(ISNUMBER(KPIs!$C$11),KPIs!$C$11,"")</f>
        <v>0.79</v>
      </c>
      <c r="H27" s="199" t="str">
        <f>IFERROR(INDEX(_TARGETS!$E$2:$E$17,MATCH($C27,_TARGETS!$A$2:$A$17,0))&amp;"","")</f>
        <v>≤</v>
      </c>
      <c r="I27" s="199" t="str">
        <f t="shared" si="0"/>
        <v>Sí</v>
      </c>
      <c r="J27" s="193" t="str">
        <f t="shared" si="1"/>
        <v>Monthly</v>
      </c>
      <c r="K27" s="193">
        <f>Datos!E39+Datos!E40+Datos!E41+Datos!E42</f>
        <v>0</v>
      </c>
      <c r="L27" s="248">
        <f>Datos!E47</f>
        <v>116767</v>
      </c>
      <c r="M27" s="193">
        <f>INDEX(_TARGETS!$J$2:$J$17,MATCH($C27,_TARGETS!$A$2:$A$17,0))</f>
        <v>1000000</v>
      </c>
      <c r="N27" s="193" t="str">
        <f>INDEX(_TARGETS!$D$2:$D$17,MATCH($C27,_TARGETS!$A$2:$A$17,0))</f>
        <v>eventos / 10^6 km</v>
      </c>
      <c r="O27" s="193" t="str">
        <f>IF(NOT(ISNUMBER(F27)),"MISSING",IF((COUNTBLANK(Datos!E44)+COUNTBLANK(Datos!E45)+COUNTBLANK(Datos!E46)+COUNTBLANK(Datos!E39)+COUNTBLANK(Datos!E40)+COUNTBLANK(Datos!E41)+COUNTBLANK(Datos!E42))&gt;0,"INCOMPLETE","OK"))</f>
        <v>OK</v>
      </c>
      <c r="P27" s="193" t="str">
        <f>INDEX(_TARGETS!$K$2:$K$17,MATCH($C27,_TARGETS!$A$2:$A$17,0))</f>
        <v>OPS (eventos) + Full Control GPS (km) - carga manual en Datos</v>
      </c>
      <c r="Q27" s="193" t="str">
        <f t="shared" si="2"/>
        <v>202609|TVCR|Monthly</v>
      </c>
      <c r="R27" s="193" t="str">
        <f>INDEX(_TARGETS!$H$2:$H$17,MATCH($C27,_TARGETS!$A$2:$A$17,0))</f>
        <v>Definida</v>
      </c>
      <c r="S27" s="193">
        <f t="shared" si="3"/>
        <v>0</v>
      </c>
      <c r="T27" s="193">
        <f t="shared" si="4"/>
        <v>0</v>
      </c>
    </row>
    <row r="28" spans="1:20" ht="13.5" customHeight="1" x14ac:dyDescent="0.3">
      <c r="A28" s="245">
        <f>KPIs!$E$3</f>
        <v>46266</v>
      </c>
      <c r="B28" s="199" t="str">
        <f>KPIs!E$4</f>
        <v>Compresora</v>
      </c>
      <c r="C28" s="31" t="s">
        <v>63</v>
      </c>
      <c r="D28" s="199" t="str">
        <f>KPIs!$A$13</f>
        <v>6 · Observaciones de seguridad por persona</v>
      </c>
      <c r="E28" s="31" t="s">
        <v>599</v>
      </c>
      <c r="F28" s="247">
        <f>IF(ISNUMBER(KPIs!E13),KPIs!E13,"")</f>
        <v>1.4390243902439</v>
      </c>
      <c r="G28" s="247">
        <f>IF(ISNUMBER(KPIs!$C$13),KPIs!$C$13,"")</f>
        <v>1</v>
      </c>
      <c r="H28" s="199" t="str">
        <f>IFERROR(INDEX(_TARGETS!$E$2:$E$17,MATCH($C28,_TARGETS!$A$2:$A$17,0))&amp;"","")</f>
        <v>≥</v>
      </c>
      <c r="I28" s="199" t="str">
        <f t="shared" si="0"/>
        <v>Sí</v>
      </c>
      <c r="J28" s="193" t="str">
        <f t="shared" si="1"/>
        <v>Monthly</v>
      </c>
      <c r="K28" s="248">
        <f>IF(COUNT(Datos!E28:E29)=0,"",SUM(Datos!E28:E29))</f>
        <v>177</v>
      </c>
      <c r="L28" s="248">
        <f>Datos!E11</f>
        <v>123</v>
      </c>
      <c r="M28" s="193">
        <f>INDEX(_TARGETS!$J$2:$J$17,MATCH($C28,_TARGETS!$A$2:$A$17,0))</f>
        <v>1</v>
      </c>
      <c r="N28" s="193" t="str">
        <f>INDEX(_TARGETS!$D$2:$D$17,MATCH($C28,_TARGETS!$A$2:$A$17,0))</f>
        <v>obs / persona</v>
      </c>
      <c r="O28" s="193" t="str">
        <f>IF(NOT(ISNUMBER(F28)),"MISSING",IF((COUNTBLANK(Datos!E9)+COUNTBLANK(Datos!E10)+IF(COUNT(Datos!E28:E29)=0,1,0))&gt;0,"INCOMPLETE","OK"))</f>
        <v>OK</v>
      </c>
      <c r="P28" s="193" t="str">
        <f>INDEX(_TARGETS!$K$2:$K$17,MATCH($C28,_TARGETS!$A$2:$A$17,0))</f>
        <v>OPS (carga manual en Datos)</v>
      </c>
      <c r="Q28" s="193" t="str">
        <f t="shared" si="2"/>
        <v>202609|OBS|Monthly</v>
      </c>
      <c r="R28" s="193" t="str">
        <f>INDEX(_TARGETS!$H$2:$H$17,MATCH($C28,_TARGETS!$A$2:$A$17,0))</f>
        <v>PROVISORIA · referencia del subcontratista (OPS: 1 obs/persona); meta y población en definición</v>
      </c>
      <c r="S28" s="193">
        <f t="shared" si="3"/>
        <v>1.4390243902439</v>
      </c>
      <c r="T28" s="193">
        <f t="shared" si="4"/>
        <v>0</v>
      </c>
    </row>
    <row r="29" spans="1:20" ht="13.5" customHeight="1" x14ac:dyDescent="0.3">
      <c r="A29" s="245">
        <f>KPIs!$E$3</f>
        <v>46266</v>
      </c>
      <c r="B29" s="199" t="str">
        <f>KPIs!E$4</f>
        <v>Compresora</v>
      </c>
      <c r="C29" s="31" t="s">
        <v>71</v>
      </c>
      <c r="D29" s="199" t="str">
        <f>KPIs!$A$14</f>
        <v>7 · Investigaciones de accidentes: días promedio de cierre</v>
      </c>
      <c r="E29" s="31" t="s">
        <v>599</v>
      </c>
      <c r="F29" s="247" t="str">
        <f>IF(ISNUMBER(KPIs!E14),KPIs!E14,"")</f>
        <v/>
      </c>
      <c r="G29" s="247">
        <f>IF(ISNUMBER(KPIs!$C$14),KPIs!$C$14,"")</f>
        <v>20</v>
      </c>
      <c r="H29" s="199" t="str">
        <f>IFERROR(INDEX(_TARGETS!$E$2:$E$17,MATCH($C29,_TARGETS!$A$2:$A$17,0))&amp;"","")</f>
        <v>≤</v>
      </c>
      <c r="I29" s="199" t="str">
        <f t="shared" si="0"/>
        <v/>
      </c>
      <c r="J29" s="193" t="str">
        <f t="shared" si="1"/>
        <v>Monthly</v>
      </c>
      <c r="K29" s="248">
        <f>Datos!E31</f>
        <v>0</v>
      </c>
      <c r="L29" s="248">
        <f>Datos!E30</f>
        <v>0</v>
      </c>
      <c r="M29" s="193">
        <f>INDEX(_TARGETS!$J$2:$J$17,MATCH($C29,_TARGETS!$A$2:$A$17,0))</f>
        <v>1</v>
      </c>
      <c r="N29" s="193" t="str">
        <f>INDEX(_TARGETS!$D$2:$D$17,MATCH($C29,_TARGETS!$A$2:$A$17,0))</f>
        <v>días</v>
      </c>
      <c r="O29" s="193" t="str">
        <f>IF(NOT(ISNUMBER(F29)),"MISSING",IF((COUNTBLANK(Datos!E30)+COUNTBLANK(Datos!E31))&gt;0,"INCOMPLETE","OK"))</f>
        <v>MISSING</v>
      </c>
      <c r="P29" s="193" t="str">
        <f>INDEX(_TARGETS!$K$2:$K$17,MATCH($C29,_TARGETS!$A$2:$A$17,0))</f>
        <v>OPS (carga manual en Datos)</v>
      </c>
      <c r="Q29" s="193" t="str">
        <f t="shared" si="2"/>
        <v>202609|INV|Monthly</v>
      </c>
      <c r="R29" s="193" t="str">
        <f>INDEX(_TARGETS!$H$2:$H$17,MATCH($C29,_TARGETS!$A$2:$A$17,0))</f>
        <v>Definida</v>
      </c>
      <c r="S29" s="193" t="str">
        <f t="shared" si="3"/>
        <v/>
      </c>
      <c r="T29" s="193" t="str">
        <f t="shared" si="4"/>
        <v/>
      </c>
    </row>
    <row r="30" spans="1:20" ht="13.5" customHeight="1" x14ac:dyDescent="0.3">
      <c r="A30" s="245">
        <f>KPIs!$E$3</f>
        <v>46266</v>
      </c>
      <c r="B30" s="199" t="str">
        <f>KPIs!E$4</f>
        <v>Compresora</v>
      </c>
      <c r="C30" s="31" t="s">
        <v>76</v>
      </c>
      <c r="D30" s="199" t="str">
        <f>KPIs!$A$16</f>
        <v>8 · % de capacitación en seguridad</v>
      </c>
      <c r="E30" s="31" t="s">
        <v>599</v>
      </c>
      <c r="F30" s="247">
        <f>IF(ISNUMBER(KPIs!E16),KPIs!E16,"")</f>
        <v>0.03515625</v>
      </c>
      <c r="G30" s="247">
        <f>IF(ISNUMBER(KPIs!$C$16),KPIs!$C$16,"")</f>
        <v>0.01</v>
      </c>
      <c r="H30" s="199" t="str">
        <f>IFERROR(INDEX(_TARGETS!$E$2:$E$17,MATCH($C30,_TARGETS!$A$2:$A$17,0))&amp;"","")</f>
        <v>≥</v>
      </c>
      <c r="I30" s="199" t="str">
        <f t="shared" si="0"/>
        <v>Sí</v>
      </c>
      <c r="J30" s="193" t="str">
        <f t="shared" si="1"/>
        <v>Monthly</v>
      </c>
      <c r="K30" s="248">
        <f>Datos!E18</f>
        <v>891</v>
      </c>
      <c r="L30" s="248">
        <f>Datos!E14</f>
        <v>25344</v>
      </c>
      <c r="M30" s="193">
        <f>INDEX(_TARGETS!$J$2:$J$17,MATCH($C30,_TARGETS!$A$2:$A$17,0))</f>
        <v>1</v>
      </c>
      <c r="N30" s="193" t="str">
        <f>INDEX(_TARGETS!$D$2:$D$17,MATCH($C30,_TARGETS!$A$2:$A$17,0))</f>
        <v>% (fracción)</v>
      </c>
      <c r="O30" s="193" t="str">
        <f>IF(NOT(ISNUMBER(F30)),"MISSING",IF((COUNTBLANK(Datos!E16)+COUNTBLANK(Datos!E17)+COUNTBLANK(Datos!E12)+COUNTBLANK(Datos!E13))&gt;0,"INCOMPLETE","OK"))</f>
        <v>OK</v>
      </c>
      <c r="P30" s="193" t="str">
        <f>INDEX(_TARGETS!$K$2:$K$17,MATCH($C30,_TARGETS!$A$2:$A$17,0))</f>
        <v>OPS (carga manual en Datos)</v>
      </c>
      <c r="Q30" s="193" t="str">
        <f t="shared" si="2"/>
        <v>202609|HCS|Monthly</v>
      </c>
      <c r="R30" s="193" t="str">
        <f>INDEX(_TARGETS!$H$2:$H$17,MATCH($C30,_TARGETS!$A$2:$A$17,0))</f>
        <v>Definida</v>
      </c>
      <c r="S30" s="193">
        <f t="shared" si="3"/>
        <v>0.03515625</v>
      </c>
      <c r="T30" s="193">
        <f t="shared" si="4"/>
        <v>0</v>
      </c>
    </row>
    <row r="31" spans="1:20" ht="13.5" customHeight="1" x14ac:dyDescent="0.3">
      <c r="A31" s="245">
        <f>KPIs!$E$3</f>
        <v>46266</v>
      </c>
      <c r="B31" s="199" t="str">
        <f>KPIs!E$4</f>
        <v>Compresora</v>
      </c>
      <c r="C31" s="31" t="s">
        <v>80</v>
      </c>
      <c r="D31" s="199" t="str">
        <f>KPIs!$A$17</f>
        <v>9 · Horas de capacitación por persona</v>
      </c>
      <c r="E31" s="31" t="s">
        <v>599</v>
      </c>
      <c r="F31" s="247">
        <f>IF(ISNUMBER(KPIs!E17),KPIs!E17,"")</f>
        <v>7.24390243902439</v>
      </c>
      <c r="G31" s="247" t="str">
        <f>IF(ISNUMBER(KPIs!$C$17),KPIs!$C$17,"")</f>
        <v/>
      </c>
      <c r="H31" s="199" t="str">
        <f>IFERROR(INDEX(_TARGETS!$E$2:$E$17,MATCH($C31,_TARGETS!$A$2:$A$17,0))&amp;"","")</f>
        <v/>
      </c>
      <c r="I31" s="199" t="str">
        <f t="shared" si="0"/>
        <v/>
      </c>
      <c r="J31" s="193" t="str">
        <f t="shared" si="1"/>
        <v>Monthly</v>
      </c>
      <c r="K31" s="248">
        <f>Datos!E18</f>
        <v>891</v>
      </c>
      <c r="L31" s="248">
        <f>Datos!E11</f>
        <v>123</v>
      </c>
      <c r="M31" s="193">
        <f>INDEX(_TARGETS!$J$2:$J$17,MATCH($C31,_TARGETS!$A$2:$A$17,0))</f>
        <v>1</v>
      </c>
      <c r="N31" s="193" t="str">
        <f>INDEX(_TARGETS!$D$2:$D$17,MATCH($C31,_TARGETS!$A$2:$A$17,0))</f>
        <v>h / persona</v>
      </c>
      <c r="O31" s="193" t="str">
        <f>IF(NOT(ISNUMBER(F31)),"MISSING",IF((COUNTBLANK(Datos!E16)+COUNTBLANK(Datos!E17)+COUNTBLANK(Datos!E9)+COUNTBLANK(Datos!E10))&gt;0,"INCOMPLETE","OK"))</f>
        <v>OK</v>
      </c>
      <c r="P31" s="193" t="str">
        <f>INDEX(_TARGETS!$K$2:$K$17,MATCH($C31,_TARGETS!$A$2:$A$17,0))</f>
        <v>OPS (carga manual en Datos)</v>
      </c>
      <c r="Q31" s="193" t="str">
        <f t="shared" si="2"/>
        <v>202609|HCSA|Monthly</v>
      </c>
      <c r="R31" s="193" t="str">
        <f>INDEX(_TARGETS!$H$2:$H$17,MATCH($C31,_TARGETS!$A$2:$A$17,0))</f>
        <v>Solo reporte</v>
      </c>
      <c r="S31" s="193">
        <f t="shared" si="3"/>
        <v>7.24390243902439</v>
      </c>
      <c r="T31" s="193">
        <f t="shared" si="4"/>
        <v>0</v>
      </c>
    </row>
    <row r="32" spans="1:20" ht="13.5" customHeight="1" x14ac:dyDescent="0.3">
      <c r="A32" s="245">
        <f>KPIs!$E$3</f>
        <v>46266</v>
      </c>
      <c r="B32" s="199" t="str">
        <f>KPIs!E$4</f>
        <v>Compresora</v>
      </c>
      <c r="C32" s="31" t="s">
        <v>83</v>
      </c>
      <c r="D32" s="199" t="str">
        <f>KPIs!$A$18</f>
        <v>10 · Cumplimiento de simulacros (emergencia y operativos)</v>
      </c>
      <c r="E32" s="31" t="s">
        <v>599</v>
      </c>
      <c r="F32" s="247">
        <f>IF(ISNUMBER(KPIs!E18),KPIs!E18,"")</f>
        <v>1</v>
      </c>
      <c r="G32" s="247">
        <f>IF(ISNUMBER(KPIs!$C$18),KPIs!$C$18,"")</f>
        <v>1</v>
      </c>
      <c r="H32" s="199" t="str">
        <f>IFERROR(INDEX(_TARGETS!$E$2:$E$17,MATCH($C32,_TARGETS!$A$2:$A$17,0))&amp;"","")</f>
        <v>≥</v>
      </c>
      <c r="I32" s="199" t="str">
        <f t="shared" si="0"/>
        <v>Sí</v>
      </c>
      <c r="J32" s="193" t="str">
        <f t="shared" si="1"/>
        <v>Monthly</v>
      </c>
      <c r="K32" s="248">
        <f>Datos!E20</f>
        <v>2</v>
      </c>
      <c r="L32" s="248">
        <f>Datos!E21</f>
        <v>2</v>
      </c>
      <c r="M32" s="193">
        <f>INDEX(_TARGETS!$J$2:$J$17,MATCH($C32,_TARGETS!$A$2:$A$17,0))</f>
        <v>1</v>
      </c>
      <c r="N32" s="193" t="str">
        <f>INDEX(_TARGETS!$D$2:$D$17,MATCH($C32,_TARGETS!$A$2:$A$17,0))</f>
        <v>% (fracción)</v>
      </c>
      <c r="O32" s="193" t="str">
        <f>IF(NOT(ISNUMBER(F32)),"MISSING",IF((COUNTBLANK(Datos!E20)+COUNTBLANK(Datos!E21))&gt;0,"INCOMPLETE","OK"))</f>
        <v>OK</v>
      </c>
      <c r="P32" s="193" t="str">
        <f>INDEX(_TARGETS!$K$2:$K$17,MATCH($C32,_TARGETS!$A$2:$A$17,0))</f>
        <v>OPS (carga manual en Datos)</v>
      </c>
      <c r="Q32" s="193" t="str">
        <f t="shared" si="2"/>
        <v>202609|CPSE|Monthly</v>
      </c>
      <c r="R32" s="193" t="str">
        <f>INDEX(_TARGETS!$H$2:$H$17,MATCH($C32,_TARGETS!$A$2:$A$17,0))</f>
        <v>Definida</v>
      </c>
      <c r="S32" s="193">
        <f t="shared" si="3"/>
        <v>1</v>
      </c>
      <c r="T32" s="193">
        <f t="shared" si="4"/>
        <v>0</v>
      </c>
    </row>
    <row r="33" spans="1:20" ht="13.5" customHeight="1" x14ac:dyDescent="0.3">
      <c r="A33" s="245">
        <f>KPIs!$E$3</f>
        <v>46266</v>
      </c>
      <c r="B33" s="199" t="str">
        <f>KPIs!E$4</f>
        <v>Compresora</v>
      </c>
      <c r="C33" s="31" t="s">
        <v>85</v>
      </c>
      <c r="D33" s="199" t="str">
        <f>KPIs!$A$19</f>
        <v>10b · Cumplimiento de acciones de mejora de simulacros</v>
      </c>
      <c r="E33" s="31" t="s">
        <v>599</v>
      </c>
      <c r="F33" s="247">
        <f>IF(ISNUMBER(KPIs!E19),KPIs!E19,"")</f>
        <v>1</v>
      </c>
      <c r="G33" s="247" t="str">
        <f>IF(ISNUMBER(KPIs!$C$19),KPIs!$C$19,"")</f>
        <v/>
      </c>
      <c r="H33" s="199" t="str">
        <f>IFERROR(INDEX(_TARGETS!$E$2:$E$17,MATCH($C33,_TARGETS!$A$2:$A$17,0))&amp;"","")</f>
        <v/>
      </c>
      <c r="I33" s="199" t="str">
        <f t="shared" si="0"/>
        <v/>
      </c>
      <c r="J33" s="193" t="str">
        <f t="shared" si="1"/>
        <v>Monthly</v>
      </c>
      <c r="K33" s="248">
        <f>Datos!E23</f>
        <v>1</v>
      </c>
      <c r="L33" s="248">
        <f>Datos!E22</f>
        <v>1</v>
      </c>
      <c r="M33" s="193">
        <f>INDEX(_TARGETS!$J$2:$J$17,MATCH($C33,_TARGETS!$A$2:$A$17,0))</f>
        <v>1</v>
      </c>
      <c r="N33" s="193" t="str">
        <f>INDEX(_TARGETS!$D$2:$D$17,MATCH($C33,_TARGETS!$A$2:$A$17,0))</f>
        <v>% (fracción)</v>
      </c>
      <c r="O33" s="193" t="str">
        <f>IF(NOT(ISNUMBER(F33)),"MISSING",IF((COUNTBLANK(Datos!E23)+COUNTBLANK(Datos!E22))&gt;0,"INCOMPLETE","OK"))</f>
        <v>OK</v>
      </c>
      <c r="P33" s="193" t="str">
        <f>INDEX(_TARGETS!$K$2:$K$17,MATCH($C33,_TARGETS!$A$2:$A$17,0))</f>
        <v>OPS (carga manual en Datos)</v>
      </c>
      <c r="Q33" s="193" t="str">
        <f t="shared" si="2"/>
        <v>202609|CAMS|Monthly</v>
      </c>
      <c r="R33" s="193" t="str">
        <f>INDEX(_TARGETS!$H$2:$H$17,MATCH($C33,_TARGETS!$A$2:$A$17,0))</f>
        <v>Solo reporte</v>
      </c>
      <c r="S33" s="193">
        <f t="shared" si="3"/>
        <v>1</v>
      </c>
      <c r="T33" s="193">
        <f t="shared" si="4"/>
        <v>0</v>
      </c>
    </row>
    <row r="34" spans="1:20" ht="13.5" customHeight="1" x14ac:dyDescent="0.3">
      <c r="A34" s="245">
        <f>KPIs!$E$3</f>
        <v>46266</v>
      </c>
      <c r="B34" s="199" t="str">
        <f>KPIs!E$4</f>
        <v>Compresora</v>
      </c>
      <c r="C34" s="31" t="s">
        <v>87</v>
      </c>
      <c r="D34" s="199" t="str">
        <f>KPIs!$A$21</f>
        <v>11 · Cumplimiento de caminatas gerenciales</v>
      </c>
      <c r="E34" s="31" t="s">
        <v>599</v>
      </c>
      <c r="F34" s="247">
        <f>IF(ISNUMBER(KPIs!E21),KPIs!E21,"")</f>
        <v>1</v>
      </c>
      <c r="G34" s="247">
        <f>IF(ISNUMBER(KPIs!$C$21),KPIs!$C$21,"")</f>
        <v>1</v>
      </c>
      <c r="H34" s="199" t="str">
        <f>IFERROR(INDEX(_TARGETS!$E$2:$E$17,MATCH($C34,_TARGETS!$A$2:$A$17,0))&amp;"","")</f>
        <v>≥</v>
      </c>
      <c r="I34" s="199" t="str">
        <f t="shared" si="0"/>
        <v>Sí</v>
      </c>
      <c r="J34" s="193" t="str">
        <f t="shared" si="1"/>
        <v>Monthly</v>
      </c>
      <c r="K34" s="248">
        <f>Datos!E24</f>
        <v>3</v>
      </c>
      <c r="L34" s="248">
        <f>Datos!E25</f>
        <v>3</v>
      </c>
      <c r="M34" s="193">
        <f>INDEX(_TARGETS!$J$2:$J$17,MATCH($C34,_TARGETS!$A$2:$A$17,0))</f>
        <v>1</v>
      </c>
      <c r="N34" s="193" t="str">
        <f>INDEX(_TARGETS!$D$2:$D$17,MATCH($C34,_TARGETS!$A$2:$A$17,0))</f>
        <v>% (fracción)</v>
      </c>
      <c r="O34" s="193" t="str">
        <f>IF(NOT(ISNUMBER(F34)),"MISSING",IF((COUNTBLANK(Datos!E24)+COUNTBLANK(Datos!E25))&gt;0,"INCOMPLETE","OK"))</f>
        <v>OK</v>
      </c>
      <c r="P34" s="193" t="str">
        <f>INDEX(_TARGETS!$K$2:$K$17,MATCH($C34,_TARGETS!$A$2:$A$17,0))</f>
        <v>OPS (carga manual en Datos)</v>
      </c>
      <c r="Q34" s="193" t="str">
        <f t="shared" si="2"/>
        <v>202609|ICCS|Monthly</v>
      </c>
      <c r="R34" s="193" t="str">
        <f>INDEX(_TARGETS!$H$2:$H$17,MATCH($C34,_TARGETS!$A$2:$A$17,0))</f>
        <v>Definida</v>
      </c>
      <c r="S34" s="193">
        <f t="shared" si="3"/>
        <v>1</v>
      </c>
      <c r="T34" s="193">
        <f t="shared" si="4"/>
        <v>0</v>
      </c>
    </row>
    <row r="35" spans="1:20" ht="13.5" customHeight="1" x14ac:dyDescent="0.3">
      <c r="A35" s="245">
        <f>KPIs!$E$3</f>
        <v>46266</v>
      </c>
      <c r="B35" s="199" t="str">
        <f>KPIs!E$4</f>
        <v>Compresora</v>
      </c>
      <c r="C35" s="31" t="s">
        <v>89</v>
      </c>
      <c r="D35" s="199" t="str">
        <f>KPIs!$A$22</f>
        <v>12 · Cumplimiento de comités y subcomités de seguridad</v>
      </c>
      <c r="E35" s="31" t="s">
        <v>599</v>
      </c>
      <c r="F35" s="247">
        <f>IF(ISNUMBER(KPIs!E22),KPIs!E22,"")</f>
        <v>1</v>
      </c>
      <c r="G35" s="247">
        <f>IF(ISNUMBER(KPIs!$C$22),KPIs!$C$22,"")</f>
        <v>1</v>
      </c>
      <c r="H35" s="199" t="str">
        <f>IFERROR(INDEX(_TARGETS!$E$2:$E$17,MATCH($C35,_TARGETS!$A$2:$A$17,0))&amp;"","")</f>
        <v>≥</v>
      </c>
      <c r="I35" s="199" t="str">
        <f t="shared" si="0"/>
        <v>Sí</v>
      </c>
      <c r="J35" s="193" t="str">
        <f t="shared" si="1"/>
        <v>Monthly</v>
      </c>
      <c r="K35" s="248">
        <f>Datos!E26</f>
        <v>1</v>
      </c>
      <c r="L35" s="248">
        <f>Datos!E27</f>
        <v>1</v>
      </c>
      <c r="M35" s="193">
        <f>INDEX(_TARGETS!$J$2:$J$17,MATCH($C35,_TARGETS!$A$2:$A$17,0))</f>
        <v>1</v>
      </c>
      <c r="N35" s="193" t="str">
        <f>INDEX(_TARGETS!$D$2:$D$17,MATCH($C35,_TARGETS!$A$2:$A$17,0))</f>
        <v>% (fracción)</v>
      </c>
      <c r="O35" s="193" t="str">
        <f>IF(NOT(ISNUMBER(F35)),"MISSING",IF((COUNTBLANK(Datos!E26)+COUNTBLANK(Datos!E27))&gt;0,"INCOMPLETE","OK"))</f>
        <v>OK</v>
      </c>
      <c r="P35" s="193" t="str">
        <f>INDEX(_TARGETS!$K$2:$K$17,MATCH($C35,_TARGETS!$A$2:$A$17,0))</f>
        <v>OPS (carga manual en Datos)</v>
      </c>
      <c r="Q35" s="193" t="str">
        <f t="shared" si="2"/>
        <v>202609|CCS|Monthly</v>
      </c>
      <c r="R35" s="193" t="str">
        <f>INDEX(_TARGETS!$H$2:$H$17,MATCH($C35,_TARGETS!$A$2:$A$17,0))</f>
        <v>Definida</v>
      </c>
      <c r="S35" s="193">
        <f t="shared" si="3"/>
        <v>1</v>
      </c>
      <c r="T35" s="193">
        <f t="shared" si="4"/>
        <v>0</v>
      </c>
    </row>
    <row r="36" spans="1:20" ht="13.5" customHeight="1" x14ac:dyDescent="0.3">
      <c r="A36" s="245">
        <f>KPIs!$E$3</f>
        <v>46266</v>
      </c>
      <c r="B36" s="199" t="str">
        <f>KPIs!E$4</f>
        <v>Compresora</v>
      </c>
      <c r="C36" s="31" t="s">
        <v>91</v>
      </c>
      <c r="D36" s="199" t="str">
        <f>KPIs!$A$23</f>
        <v>13 · Días promedio para cerrar hallazgos</v>
      </c>
      <c r="E36" s="31" t="s">
        <v>599</v>
      </c>
      <c r="F36" s="247">
        <f>IF(ISNUMBER(KPIs!E23),KPIs!E23,"")</f>
        <v>0.25</v>
      </c>
      <c r="G36" s="247" t="str">
        <f>IF(ISNUMBER(KPIs!$C$23),KPIs!$C$23,"")</f>
        <v/>
      </c>
      <c r="H36" s="199" t="str">
        <f>IFERROR(INDEX(_TARGETS!$E$2:$E$17,MATCH($C36,_TARGETS!$A$2:$A$17,0))&amp;"","")</f>
        <v>≤</v>
      </c>
      <c r="I36" s="199" t="str">
        <f t="shared" si="0"/>
        <v/>
      </c>
      <c r="J36" s="193" t="str">
        <f t="shared" si="1"/>
        <v>Monthly</v>
      </c>
      <c r="K36" s="248">
        <f>Datos!E68</f>
        <v>2</v>
      </c>
      <c r="L36" s="248">
        <f>Datos!E67</f>
        <v>8</v>
      </c>
      <c r="M36" s="193">
        <f>INDEX(_TARGETS!$J$2:$J$17,MATCH($C36,_TARGETS!$A$2:$A$17,0))</f>
        <v>1</v>
      </c>
      <c r="N36" s="193" t="str">
        <f>INDEX(_TARGETS!$D$2:$D$17,MATCH($C36,_TARGETS!$A$2:$A$17,0))</f>
        <v>días</v>
      </c>
      <c r="O36" s="193" t="str">
        <f>IF(NOT(ISNUMBER(F36)),"MISSING","OK")</f>
        <v>OK</v>
      </c>
      <c r="P36" s="193" t="str">
        <f>INDEX(_TARGETS!$K$2:$K$17,MATCH($C36,_TARGETS!$A$2:$A$17,0))</f>
        <v>Plant Findings (hoja Observaciones-SMP)</v>
      </c>
      <c r="Q36" s="193" t="str">
        <f t="shared" si="2"/>
        <v>202609|DPAS|Monthly</v>
      </c>
      <c r="R36" s="193" t="str">
        <f>INDEX(_TARGETS!$H$2:$H$17,MATCH($C36,_TARGETS!$A$2:$A$17,0))</f>
        <v>Pendiente (meta 2027)</v>
      </c>
      <c r="S36" s="193">
        <f t="shared" si="3"/>
        <v>0.25</v>
      </c>
      <c r="T36" s="193">
        <f t="shared" si="4"/>
        <v>0</v>
      </c>
    </row>
    <row r="37" spans="1:20" ht="13.5" customHeight="1" x14ac:dyDescent="0.3">
      <c r="A37" s="245">
        <f>KPIs!$E$3</f>
        <v>46266</v>
      </c>
      <c r="B37" s="199" t="str">
        <f>KPIs!E$4</f>
        <v>Compresora</v>
      </c>
      <c r="C37" s="31" t="s">
        <v>39</v>
      </c>
      <c r="D37" s="199" t="str">
        <f>KPIs!$A$26</f>
        <v>1 · Frecuencia de casos con días perdidos · ACUMULADO</v>
      </c>
      <c r="E37" s="31" t="s">
        <v>600</v>
      </c>
      <c r="F37" s="247">
        <f>IF(ISNUMBER(KPIs!E26),KPIs!E26,"")</f>
        <v>0</v>
      </c>
      <c r="G37" s="247">
        <f>IF(ISNUMBER(KPIs!$C$26),KPIs!$C$26,"")</f>
        <v>0</v>
      </c>
      <c r="H37" s="199" t="str">
        <f>IFERROR(INDEX(_TARGETS!$E$2:$E$17,MATCH($C37,_TARGETS!$A$2:$A$17,0))&amp;"","")</f>
        <v>≤</v>
      </c>
      <c r="I37" s="199" t="str">
        <f t="shared" si="0"/>
        <v>Sí</v>
      </c>
      <c r="J37" s="193" t="str">
        <f t="shared" si="1"/>
        <v>Cumulative</v>
      </c>
      <c r="K37" s="193">
        <f>SUM(Datos!$D33:E33)</f>
        <v>0</v>
      </c>
      <c r="L37" s="193">
        <f>SUM(Datos!$D14:E14)</f>
        <v>48332</v>
      </c>
      <c r="M37" s="193">
        <f>INDEX(_TARGETS!$J$2:$J$17,MATCH($C37,_TARGETS!$A$2:$A$17,0))</f>
        <v>1000000</v>
      </c>
      <c r="N37" s="193" t="str">
        <f>INDEX(_TARGETS!$D$2:$D$17,MATCH($C37,_TARGETS!$A$2:$A$17,0))</f>
        <v>casos / 10^6 HH</v>
      </c>
      <c r="O37" s="193" t="str">
        <f>IF(NOT(ISNUMBER(F37)),IF(SUMPRODUCT(($C$2:$C$1300=C37)*($J$2:$J$1300="Monthly")*($A$2:$A$1300&lt;=A37)*ISNUMBER($K$2:$K$1300)*ISNUMBER($L$2:$L$1300)*($L$2:$L$1300=0)*($K$2:$K$1300&gt;0))&gt;0,"INCOMPLETE","MISSING"),O23)</f>
        <v>OK</v>
      </c>
      <c r="P37" s="193" t="str">
        <f>INDEX(_TARGETS!$K$2:$K$17,MATCH($C37,_TARGETS!$A$2:$A$17,0))</f>
        <v>OPS (carga manual en Datos)</v>
      </c>
      <c r="Q37" s="193" t="str">
        <f t="shared" si="2"/>
        <v>202609|DAFWCF|Cumulative</v>
      </c>
      <c r="R37" s="193" t="str">
        <f>INDEX(_TARGETS!$H$2:$H$17,MATCH($C37,_TARGETS!$A$2:$A$17,0))</f>
        <v>Definida</v>
      </c>
      <c r="S37" s="193">
        <f t="shared" si="3"/>
        <v>0</v>
      </c>
      <c r="T37" s="193">
        <f t="shared" si="4"/>
        <v>0</v>
      </c>
    </row>
    <row r="38" spans="1:20" ht="13.5" customHeight="1" x14ac:dyDescent="0.3">
      <c r="A38" s="245">
        <f>KPIs!$E$3</f>
        <v>46266</v>
      </c>
      <c r="B38" s="199" t="str">
        <f>KPIs!E$4</f>
        <v>Compresora</v>
      </c>
      <c r="C38" s="31" t="s">
        <v>49</v>
      </c>
      <c r="D38" s="199" t="str">
        <f>KPIs!$A$27</f>
        <v>2 · Frecuencia de casos registrables · ACUMULADO</v>
      </c>
      <c r="E38" s="31" t="s">
        <v>600</v>
      </c>
      <c r="F38" s="247">
        <f>IF(ISNUMBER(KPIs!E27),KPIs!E27,"")</f>
        <v>0</v>
      </c>
      <c r="G38" s="247">
        <f>IF(ISNUMBER(KPIs!$C$27),KPIs!$C$27,"")</f>
        <v>2.35</v>
      </c>
      <c r="H38" s="199" t="str">
        <f>IFERROR(INDEX(_TARGETS!$E$2:$E$17,MATCH($C38,_TARGETS!$A$2:$A$17,0))&amp;"","")</f>
        <v>≤</v>
      </c>
      <c r="I38" s="199" t="str">
        <f t="shared" si="0"/>
        <v>Sí</v>
      </c>
      <c r="J38" s="193" t="str">
        <f t="shared" si="1"/>
        <v>Cumulative</v>
      </c>
      <c r="K38" s="193">
        <f>SUM(Datos!$D33:E33)+SUM(Datos!$D34:E34)+SUM(Datos!$D35:E35)+SUM(Datos!$D36:E36)</f>
        <v>0</v>
      </c>
      <c r="L38" s="193">
        <f>SUM(Datos!$D14:E14)</f>
        <v>48332</v>
      </c>
      <c r="M38" s="193">
        <f>INDEX(_TARGETS!$J$2:$J$17,MATCH($C38,_TARGETS!$A$2:$A$17,0))</f>
        <v>1000000</v>
      </c>
      <c r="N38" s="193" t="str">
        <f>INDEX(_TARGETS!$D$2:$D$17,MATCH($C38,_TARGETS!$A$2:$A$17,0))</f>
        <v>casos / 10^6 HH</v>
      </c>
      <c r="O38" s="193" t="str">
        <f>IF(NOT(ISNUMBER(F38)),IF(SUMPRODUCT(($C$2:$C$1300=C38)*($J$2:$J$1300="Monthly")*($A$2:$A$1300&lt;=A38)*ISNUMBER($K$2:$K$1300)*ISNUMBER($L$2:$L$1300)*($L$2:$L$1300=0)*($K$2:$K$1300&gt;0))&gt;0,"INCOMPLETE","MISSING"),O24)</f>
        <v>OK</v>
      </c>
      <c r="P38" s="193" t="str">
        <f>INDEX(_TARGETS!$K$2:$K$17,MATCH($C38,_TARGETS!$A$2:$A$17,0))</f>
        <v>OPS (carga manual en Datos)</v>
      </c>
      <c r="Q38" s="193" t="str">
        <f t="shared" si="2"/>
        <v>202609|TRICF|Cumulative</v>
      </c>
      <c r="R38" s="193" t="str">
        <f>INDEX(_TARGETS!$H$2:$H$17,MATCH($C38,_TARGETS!$A$2:$A$17,0))</f>
        <v>Definida</v>
      </c>
      <c r="S38" s="193">
        <f t="shared" si="3"/>
        <v>0</v>
      </c>
      <c r="T38" s="193">
        <f t="shared" si="4"/>
        <v>0</v>
      </c>
    </row>
    <row r="39" spans="1:20" ht="13.5" customHeight="1" x14ac:dyDescent="0.3">
      <c r="A39" s="245">
        <f>KPIs!$E$3</f>
        <v>46266</v>
      </c>
      <c r="B39" s="199" t="str">
        <f>KPIs!E$4</f>
        <v>Compresora</v>
      </c>
      <c r="C39" s="31" t="s">
        <v>51</v>
      </c>
      <c r="D39" s="199" t="str">
        <f>KPIs!$A$28</f>
        <v>3 · Casos de primeros auxilios · ACUMULADO</v>
      </c>
      <c r="E39" s="31" t="s">
        <v>600</v>
      </c>
      <c r="F39" s="247">
        <f>IF(ISNUMBER(KPIs!E28),KPIs!E28,"")</f>
        <v>0</v>
      </c>
      <c r="G39" s="247" t="str">
        <f>IF(ISNUMBER(KPIs!$C$28),KPIs!$C$28,"")</f>
        <v/>
      </c>
      <c r="H39" s="199" t="str">
        <f>IFERROR(INDEX(_TARGETS!$E$2:$E$17,MATCH($C39,_TARGETS!$A$2:$A$17,0))&amp;"","")</f>
        <v/>
      </c>
      <c r="I39" s="199" t="str">
        <f t="shared" si="0"/>
        <v/>
      </c>
      <c r="J39" s="193" t="str">
        <f t="shared" si="1"/>
        <v>Cumulative</v>
      </c>
      <c r="K39" s="193">
        <f>SUM(Datos!$D37:E37)</f>
        <v>0</v>
      </c>
      <c r="M39" s="193">
        <f>INDEX(_TARGETS!$J$2:$J$17,MATCH($C39,_TARGETS!$A$2:$A$17,0))</f>
        <v>1</v>
      </c>
      <c r="N39" s="193" t="str">
        <f>INDEX(_TARGETS!$D$2:$D$17,MATCH($C39,_TARGETS!$A$2:$A$17,0))</f>
        <v>casos</v>
      </c>
      <c r="O39" s="193" t="str">
        <f>IF(NOT(ISNUMBER(F39)),IF(SUMPRODUCT(($C$2:$C$1300=C39)*($J$2:$J$1300="Monthly")*($A$2:$A$1300&lt;=A39)*ISNUMBER($K$2:$K$1300)*ISNUMBER($L$2:$L$1300)*($L$2:$L$1300=0)*($K$2:$K$1300&gt;0))&gt;0,"INCOMPLETE","MISSING"),O25)</f>
        <v>OK</v>
      </c>
      <c r="P39" s="193" t="str">
        <f>INDEX(_TARGETS!$K$2:$K$17,MATCH($C39,_TARGETS!$A$2:$A$17,0))</f>
        <v>OPS (carga manual en Datos)</v>
      </c>
      <c r="Q39" s="193" t="str">
        <f t="shared" si="2"/>
        <v>202609|FAC|Cumulative</v>
      </c>
      <c r="R39" s="193" t="str">
        <f>INDEX(_TARGETS!$H$2:$H$17,MATCH($C39,_TARGETS!$A$2:$A$17,0))</f>
        <v>Solo reporte</v>
      </c>
      <c r="S39" s="193">
        <f t="shared" si="3"/>
        <v>0</v>
      </c>
      <c r="T39" s="193">
        <f t="shared" si="4"/>
        <v>0</v>
      </c>
    </row>
    <row r="40" spans="1:20" ht="13.5" customHeight="1" x14ac:dyDescent="0.3">
      <c r="A40" s="245">
        <f>KPIs!$E$3</f>
        <v>46266</v>
      </c>
      <c r="B40" s="199" t="str">
        <f>KPIs!E$4</f>
        <v>Compresora</v>
      </c>
      <c r="C40" s="31" t="s">
        <v>57</v>
      </c>
      <c r="D40" s="199" t="str">
        <f>KPIs!$A$29</f>
        <v>4 · Accidentes vehiculares severos · ACUMULADO</v>
      </c>
      <c r="E40" s="31" t="s">
        <v>600</v>
      </c>
      <c r="F40" s="247">
        <f>IF(ISNUMBER(KPIs!E29),KPIs!E29,"")</f>
        <v>0</v>
      </c>
      <c r="G40" s="247" t="str">
        <f>IF(ISNUMBER(KPIs!$C$29),KPIs!$C$29,"")</f>
        <v/>
      </c>
      <c r="H40" s="199" t="str">
        <f>IFERROR(INDEX(_TARGETS!$E$2:$E$17,MATCH($C40,_TARGETS!$A$2:$A$17,0))&amp;"","")</f>
        <v/>
      </c>
      <c r="I40" s="199" t="str">
        <f t="shared" si="0"/>
        <v/>
      </c>
      <c r="J40" s="193" t="str">
        <f t="shared" si="1"/>
        <v>Cumulative</v>
      </c>
      <c r="K40" s="193">
        <f>SUM(Datos!$D39:E39)+SUM(Datos!$D40:E40)+SUM(Datos!$D41:E41)</f>
        <v>0</v>
      </c>
      <c r="L40" s="193">
        <f>SUM(Datos!$D47:E47)</f>
        <v>172824</v>
      </c>
      <c r="M40" s="193">
        <f>INDEX(_TARGETS!$J$2:$J$17,MATCH($C40,_TARGETS!$A$2:$A$17,0))</f>
        <v>1000000</v>
      </c>
      <c r="N40" s="193" t="str">
        <f>INDEX(_TARGETS!$D$2:$D$17,MATCH($C40,_TARGETS!$A$2:$A$17,0))</f>
        <v>eventos / 10^6 km</v>
      </c>
      <c r="O40" s="193" t="str">
        <f>IF(NOT(ISNUMBER(F40)),IF(SUMPRODUCT(($C$2:$C$1300=C40)*($J$2:$J$1300="Monthly")*($A$2:$A$1300&lt;=A40)*ISNUMBER($K$2:$K$1300)*ISNUMBER($L$2:$L$1300)*($L$2:$L$1300=0)*($K$2:$K$1300&gt;0))&gt;0,"INCOMPLETE","MISSING"),O26)</f>
        <v>OK</v>
      </c>
      <c r="P40" s="193" t="str">
        <f>INDEX(_TARGETS!$K$2:$K$17,MATCH($C40,_TARGETS!$A$2:$A$17,0))</f>
        <v>OPS (eventos) + Full Control GPS (km) - carga manual en Datos</v>
      </c>
      <c r="Q40" s="193" t="str">
        <f t="shared" si="2"/>
        <v>202609|SVCR|Cumulative</v>
      </c>
      <c r="R40" s="193" t="str">
        <f>INDEX(_TARGETS!$H$2:$H$17,MATCH($C40,_TARGETS!$A$2:$A$17,0))</f>
        <v>Solo reporte</v>
      </c>
      <c r="S40" s="193">
        <f t="shared" si="3"/>
        <v>0</v>
      </c>
      <c r="T40" s="193">
        <f t="shared" si="4"/>
        <v>0</v>
      </c>
    </row>
    <row r="41" spans="1:20" ht="13.5" customHeight="1" x14ac:dyDescent="0.3">
      <c r="A41" s="245">
        <f>KPIs!$E$3</f>
        <v>46266</v>
      </c>
      <c r="B41" s="199" t="str">
        <f>KPIs!E$4</f>
        <v>Compresora</v>
      </c>
      <c r="C41" s="31" t="s">
        <v>61</v>
      </c>
      <c r="D41" s="199" t="str">
        <f>KPIs!$A$30</f>
        <v>5 · Accidentes vehiculares totales · ACUMULADO</v>
      </c>
      <c r="E41" s="31" t="s">
        <v>600</v>
      </c>
      <c r="F41" s="247">
        <f>IF(ISNUMBER(KPIs!E30),KPIs!E30,"")</f>
        <v>0</v>
      </c>
      <c r="G41" s="247">
        <f>IF(ISNUMBER(KPIs!$C$30),KPIs!$C$30,"")</f>
        <v>0.79</v>
      </c>
      <c r="H41" s="199" t="str">
        <f>IFERROR(INDEX(_TARGETS!$E$2:$E$17,MATCH($C41,_TARGETS!$A$2:$A$17,0))&amp;"","")</f>
        <v>≤</v>
      </c>
      <c r="I41" s="199" t="str">
        <f t="shared" si="0"/>
        <v>Sí</v>
      </c>
      <c r="J41" s="193" t="str">
        <f t="shared" si="1"/>
        <v>Cumulative</v>
      </c>
      <c r="K41" s="193">
        <f>SUM(Datos!$D39:E39)+SUM(Datos!$D40:E40)+SUM(Datos!$D41:E41)+SUM(Datos!$D42:E42)</f>
        <v>0</v>
      </c>
      <c r="L41" s="193">
        <f>SUM(Datos!$D47:E47)</f>
        <v>172824</v>
      </c>
      <c r="M41" s="193">
        <f>INDEX(_TARGETS!$J$2:$J$17,MATCH($C41,_TARGETS!$A$2:$A$17,0))</f>
        <v>1000000</v>
      </c>
      <c r="N41" s="193" t="str">
        <f>INDEX(_TARGETS!$D$2:$D$17,MATCH($C41,_TARGETS!$A$2:$A$17,0))</f>
        <v>eventos / 10^6 km</v>
      </c>
      <c r="O41" s="193" t="str">
        <f>IF(NOT(ISNUMBER(F41)),IF(SUMPRODUCT(($C$2:$C$1300=C41)*($J$2:$J$1300="Monthly")*($A$2:$A$1300&lt;=A41)*ISNUMBER($K$2:$K$1300)*ISNUMBER($L$2:$L$1300)*($L$2:$L$1300=0)*($K$2:$K$1300&gt;0))&gt;0,"INCOMPLETE","MISSING"),O27)</f>
        <v>OK</v>
      </c>
      <c r="P41" s="193" t="str">
        <f>INDEX(_TARGETS!$K$2:$K$17,MATCH($C41,_TARGETS!$A$2:$A$17,0))</f>
        <v>OPS (eventos) + Full Control GPS (km) - carga manual en Datos</v>
      </c>
      <c r="Q41" s="193" t="str">
        <f t="shared" si="2"/>
        <v>202609|TVCR|Cumulative</v>
      </c>
      <c r="R41" s="193" t="str">
        <f>INDEX(_TARGETS!$H$2:$H$17,MATCH($C41,_TARGETS!$A$2:$A$17,0))</f>
        <v>Definida</v>
      </c>
      <c r="S41" s="193">
        <f t="shared" si="3"/>
        <v>0</v>
      </c>
      <c r="T41" s="193">
        <f t="shared" si="4"/>
        <v>0</v>
      </c>
    </row>
    <row r="42" spans="1:20" ht="13.5" customHeight="1" x14ac:dyDescent="0.3">
      <c r="A42" s="245">
        <f>KPIs!$E$3</f>
        <v>46266</v>
      </c>
      <c r="B42" s="199" t="str">
        <f>KPIs!E$4</f>
        <v>Compresora</v>
      </c>
      <c r="C42" s="31" t="s">
        <v>96</v>
      </c>
      <c r="D42" s="199" t="str">
        <f>KPIs!$A$33</f>
        <v>C1 · % de desvíos detectados de gravedad Alta</v>
      </c>
      <c r="E42" s="31" t="s">
        <v>599</v>
      </c>
      <c r="F42" s="247" t="str">
        <f>IF(ISNUMBER(KPIs!E33),KPIs!E33,"")</f>
        <v/>
      </c>
      <c r="G42" s="247" t="str">
        <f>IF(ISNUMBER(KPIs!$C$33),KPIs!$C$33,"")</f>
        <v/>
      </c>
      <c r="H42" s="199" t="str">
        <f>IFERROR(INDEX(_TARGETS!$E$2:$E$17,MATCH($C42,_TARGETS!$A$2:$A$17,0))&amp;"","")</f>
        <v/>
      </c>
      <c r="I42" s="199" t="str">
        <f t="shared" si="0"/>
        <v/>
      </c>
      <c r="J42" s="193" t="str">
        <f t="shared" si="1"/>
        <v>Monthly</v>
      </c>
      <c r="K42" s="248">
        <f>Datos!E71</f>
        <v>0</v>
      </c>
      <c r="L42" s="193">
        <f>Datos!E71+Datos!E72+Datos!E73</f>
        <v>0</v>
      </c>
      <c r="M42" s="193">
        <f>INDEX(_TARGETS!$J$2:$J$17,MATCH($C42,_TARGETS!$A$2:$A$17,0))</f>
        <v>1</v>
      </c>
      <c r="N42" s="193" t="str">
        <f>INDEX(_TARGETS!$D$2:$D$17,MATCH($C42,_TARGETS!$A$2:$A$17,0))</f>
        <v>% (fracción)</v>
      </c>
      <c r="O42" s="193" t="str">
        <f>IF(NOT(ISNUMBER(F42)),"MISSING","OK")</f>
        <v>MISSING</v>
      </c>
      <c r="P42" s="193" t="str">
        <f>INDEX(_TARGETS!$K$2:$K$17,MATCH($C42,_TARGETS!$A$2:$A$17,0))</f>
        <v>Plant Findings (hoja Observaciones-SMP)</v>
      </c>
      <c r="Q42" s="193" t="str">
        <f t="shared" si="2"/>
        <v>202609|HAL_ALTA_PCT|Monthly</v>
      </c>
      <c r="R42" s="193" t="str">
        <f>INDEX(_TARGETS!$H$2:$H$17,MATCH($C42,_TARGETS!$A$2:$A$17,0))</f>
        <v>Solo reporte</v>
      </c>
      <c r="S42" s="193" t="str">
        <f t="shared" si="3"/>
        <v/>
      </c>
      <c r="T42" s="193" t="str">
        <f t="shared" si="4"/>
        <v/>
      </c>
    </row>
    <row r="43" spans="1:20" ht="13.5" customHeight="1" x14ac:dyDescent="0.3">
      <c r="A43" s="245">
        <f>KPIs!$E$3</f>
        <v>46266</v>
      </c>
      <c r="B43" s="199" t="str">
        <f>KPIs!E$4</f>
        <v>Compresora</v>
      </c>
      <c r="C43" s="31" t="s">
        <v>98</v>
      </c>
      <c r="D43" s="199" t="str">
        <f>KPIs!$A$34</f>
        <v>C2 · Detenciones de tareas aplicadas</v>
      </c>
      <c r="E43" s="31" t="s">
        <v>599</v>
      </c>
      <c r="F43" s="247">
        <f>IF(ISNUMBER(KPIs!E34),KPIs!E34,"")</f>
        <v>0</v>
      </c>
      <c r="G43" s="247" t="str">
        <f>IF(ISNUMBER(KPIs!$C$34),KPIs!$C$34,"")</f>
        <v/>
      </c>
      <c r="H43" s="199" t="str">
        <f>IFERROR(INDEX(_TARGETS!$E$2:$E$17,MATCH($C43,_TARGETS!$A$2:$A$17,0))&amp;"","")</f>
        <v/>
      </c>
      <c r="I43" s="199" t="str">
        <f t="shared" si="0"/>
        <v/>
      </c>
      <c r="J43" s="193" t="str">
        <f t="shared" si="1"/>
        <v>Monthly</v>
      </c>
      <c r="K43" s="248">
        <f>Datos!E75</f>
        <v>0</v>
      </c>
      <c r="M43" s="193">
        <f>INDEX(_TARGETS!$J$2:$J$17,MATCH($C43,_TARGETS!$A$2:$A$17,0))</f>
        <v>1</v>
      </c>
      <c r="N43" s="193" t="str">
        <f>INDEX(_TARGETS!$D$2:$D$17,MATCH($C43,_TARGETS!$A$2:$A$17,0))</f>
        <v>u</v>
      </c>
      <c r="O43" s="193" t="str">
        <f>IF(NOT(ISNUMBER(F43)),"MISSING","OK")</f>
        <v>OK</v>
      </c>
      <c r="P43" s="193" t="str">
        <f>INDEX(_TARGETS!$K$2:$K$17,MATCH($C43,_TARGETS!$A$2:$A$17,0))</f>
        <v>Plant Findings (hoja Observaciones-SMP)</v>
      </c>
      <c r="Q43" s="193" t="str">
        <f t="shared" si="2"/>
        <v>202609|DET|Monthly</v>
      </c>
      <c r="R43" s="193" t="str">
        <f>INDEX(_TARGETS!$H$2:$H$17,MATCH($C43,_TARGETS!$A$2:$A$17,0))</f>
        <v>Solo reporte</v>
      </c>
      <c r="S43" s="193">
        <f t="shared" si="3"/>
        <v>0</v>
      </c>
      <c r="T43" s="193">
        <f t="shared" si="4"/>
        <v>0</v>
      </c>
    </row>
    <row r="44" spans="1:20" ht="13.5" customHeight="1" x14ac:dyDescent="0.3">
      <c r="A44" s="245">
        <f>KPIs!$F$3</f>
        <v>46296</v>
      </c>
      <c r="B44" s="199" t="str">
        <f>KPIs!F$4</f>
        <v>Compresora</v>
      </c>
      <c r="C44" s="31" t="s">
        <v>39</v>
      </c>
      <c r="D44" s="199" t="str">
        <f>KPIs!$A$6</f>
        <v>1 · Frecuencia de casos con días perdidos</v>
      </c>
      <c r="E44" s="31" t="s">
        <v>599</v>
      </c>
      <c r="F44" s="247" t="str">
        <f>IF(ISNUMBER(KPIs!F6),KPIs!F6,"")</f>
        <v/>
      </c>
      <c r="G44" s="247">
        <f>IF(ISNUMBER(KPIs!$C$6),KPIs!$C$6,"")</f>
        <v>0</v>
      </c>
      <c r="H44" s="199" t="str">
        <f>IFERROR(INDEX(_TARGETS!$E$2:$E$17,MATCH($C44,_TARGETS!$A$2:$A$17,0))&amp;"","")</f>
        <v>≤</v>
      </c>
      <c r="I44" s="199" t="str">
        <f t="shared" si="0"/>
        <v/>
      </c>
      <c r="J44" s="193" t="str">
        <f t="shared" si="1"/>
        <v>Monthly</v>
      </c>
      <c r="K44" s="248">
        <f>Datos!F33</f>
        <v>0</v>
      </c>
      <c r="L44" s="248">
        <f>Datos!F14</f>
        <v>0</v>
      </c>
      <c r="M44" s="193">
        <f>INDEX(_TARGETS!$J$2:$J$17,MATCH($C44,_TARGETS!$A$2:$A$17,0))</f>
        <v>1000000</v>
      </c>
      <c r="N44" s="193" t="str">
        <f>INDEX(_TARGETS!$D$2:$D$17,MATCH($C44,_TARGETS!$A$2:$A$17,0))</f>
        <v>casos / 10^6 HH</v>
      </c>
      <c r="O44" s="193" t="str">
        <f>IF(NOT(ISNUMBER(F44)),"MISSING",IF((COUNTBLANK(Datos!F12)+COUNTBLANK(Datos!F13)+COUNTBLANK(Datos!F33))&gt;0,"INCOMPLETE","OK"))</f>
        <v>MISSING</v>
      </c>
      <c r="P44" s="193" t="str">
        <f>INDEX(_TARGETS!$K$2:$K$17,MATCH($C44,_TARGETS!$A$2:$A$17,0))</f>
        <v>OPS (carga manual en Datos)</v>
      </c>
      <c r="Q44" s="193" t="str">
        <f t="shared" si="2"/>
        <v>202610|DAFWCF|Monthly</v>
      </c>
      <c r="R44" s="193" t="str">
        <f>INDEX(_TARGETS!$H$2:$H$17,MATCH($C44,_TARGETS!$A$2:$A$17,0))</f>
        <v>Definida</v>
      </c>
      <c r="S44" s="193" t="str">
        <f t="shared" si="3"/>
        <v/>
      </c>
      <c r="T44" s="193" t="str">
        <f t="shared" si="4"/>
        <v/>
      </c>
    </row>
    <row r="45" spans="1:20" ht="13.5" customHeight="1" x14ac:dyDescent="0.3">
      <c r="A45" s="245">
        <f>KPIs!$F$3</f>
        <v>46296</v>
      </c>
      <c r="B45" s="199" t="str">
        <f>KPIs!F$4</f>
        <v>Compresora</v>
      </c>
      <c r="C45" s="31" t="s">
        <v>49</v>
      </c>
      <c r="D45" s="199" t="str">
        <f>KPIs!$A$7</f>
        <v>2 · Frecuencia de casos registrables</v>
      </c>
      <c r="E45" s="31" t="s">
        <v>599</v>
      </c>
      <c r="F45" s="247" t="str">
        <f>IF(ISNUMBER(KPIs!F7),KPIs!F7,"")</f>
        <v/>
      </c>
      <c r="G45" s="247">
        <f>IF(ISNUMBER(KPIs!$C$7),KPIs!$C$7,"")</f>
        <v>2.35</v>
      </c>
      <c r="H45" s="199" t="str">
        <f>IFERROR(INDEX(_TARGETS!$E$2:$E$17,MATCH($C45,_TARGETS!$A$2:$A$17,0))&amp;"","")</f>
        <v>≤</v>
      </c>
      <c r="I45" s="199" t="str">
        <f t="shared" si="0"/>
        <v/>
      </c>
      <c r="J45" s="193" t="str">
        <f t="shared" si="1"/>
        <v>Monthly</v>
      </c>
      <c r="K45" s="193">
        <f>Datos!F33+Datos!F34+Datos!F35+Datos!F36</f>
        <v>0</v>
      </c>
      <c r="L45" s="248">
        <f>Datos!F14</f>
        <v>0</v>
      </c>
      <c r="M45" s="193">
        <f>INDEX(_TARGETS!$J$2:$J$17,MATCH($C45,_TARGETS!$A$2:$A$17,0))</f>
        <v>1000000</v>
      </c>
      <c r="N45" s="193" t="str">
        <f>INDEX(_TARGETS!$D$2:$D$17,MATCH($C45,_TARGETS!$A$2:$A$17,0))</f>
        <v>casos / 10^6 HH</v>
      </c>
      <c r="O45" s="193" t="str">
        <f>IF(NOT(ISNUMBER(F45)),"MISSING",IF((COUNTBLANK(Datos!F12)+COUNTBLANK(Datos!F13)+COUNTBLANK(Datos!F33)+COUNTBLANK(Datos!F34)+COUNTBLANK(Datos!F35)+COUNTBLANK(Datos!F36))&gt;0,"INCOMPLETE","OK"))</f>
        <v>MISSING</v>
      </c>
      <c r="P45" s="193" t="str">
        <f>INDEX(_TARGETS!$K$2:$K$17,MATCH($C45,_TARGETS!$A$2:$A$17,0))</f>
        <v>OPS (carga manual en Datos)</v>
      </c>
      <c r="Q45" s="193" t="str">
        <f t="shared" si="2"/>
        <v>202610|TRICF|Monthly</v>
      </c>
      <c r="R45" s="193" t="str">
        <f>INDEX(_TARGETS!$H$2:$H$17,MATCH($C45,_TARGETS!$A$2:$A$17,0))</f>
        <v>Definida</v>
      </c>
      <c r="S45" s="193" t="str">
        <f t="shared" si="3"/>
        <v/>
      </c>
      <c r="T45" s="193" t="str">
        <f t="shared" si="4"/>
        <v/>
      </c>
    </row>
    <row r="46" spans="1:20" ht="13.5" customHeight="1" x14ac:dyDescent="0.3">
      <c r="A46" s="245">
        <f>KPIs!$F$3</f>
        <v>46296</v>
      </c>
      <c r="B46" s="199" t="str">
        <f>KPIs!F$4</f>
        <v>Compresora</v>
      </c>
      <c r="C46" s="31" t="s">
        <v>51</v>
      </c>
      <c r="D46" s="199" t="str">
        <f>KPIs!$A$8</f>
        <v>3 · Casos de primeros auxilios</v>
      </c>
      <c r="E46" s="31" t="s">
        <v>599</v>
      </c>
      <c r="F46" s="247" t="str">
        <f>IF(ISNUMBER(KPIs!F8),KPIs!F8,"")</f>
        <v/>
      </c>
      <c r="G46" s="247" t="str">
        <f>IF(ISNUMBER(KPIs!$C$8),KPIs!$C$8,"")</f>
        <v/>
      </c>
      <c r="H46" s="199" t="str">
        <f>IFERROR(INDEX(_TARGETS!$E$2:$E$17,MATCH($C46,_TARGETS!$A$2:$A$17,0))&amp;"","")</f>
        <v/>
      </c>
      <c r="I46" s="199" t="str">
        <f t="shared" si="0"/>
        <v/>
      </c>
      <c r="J46" s="193" t="str">
        <f t="shared" si="1"/>
        <v>Monthly</v>
      </c>
      <c r="K46" s="248">
        <f>Datos!F37</f>
        <v>0</v>
      </c>
      <c r="M46" s="193">
        <f>INDEX(_TARGETS!$J$2:$J$17,MATCH($C46,_TARGETS!$A$2:$A$17,0))</f>
        <v>1</v>
      </c>
      <c r="N46" s="193" t="str">
        <f>INDEX(_TARGETS!$D$2:$D$17,MATCH($C46,_TARGETS!$A$2:$A$17,0))</f>
        <v>casos</v>
      </c>
      <c r="O46" s="193" t="str">
        <f>IF(NOT(ISNUMBER(F46)),"MISSING",IF((COUNTBLANK(Datos!F12)+COUNTBLANK(Datos!F13)+COUNTBLANK(Datos!F37))&gt;0,"INCOMPLETE","OK"))</f>
        <v>MISSING</v>
      </c>
      <c r="P46" s="193" t="str">
        <f>INDEX(_TARGETS!$K$2:$K$17,MATCH($C46,_TARGETS!$A$2:$A$17,0))</f>
        <v>OPS (carga manual en Datos)</v>
      </c>
      <c r="Q46" s="193" t="str">
        <f t="shared" si="2"/>
        <v>202610|FAC|Monthly</v>
      </c>
      <c r="R46" s="193" t="str">
        <f>INDEX(_TARGETS!$H$2:$H$17,MATCH($C46,_TARGETS!$A$2:$A$17,0))</f>
        <v>Solo reporte</v>
      </c>
      <c r="S46" s="193" t="str">
        <f t="shared" si="3"/>
        <v/>
      </c>
      <c r="T46" s="193" t="str">
        <f t="shared" si="4"/>
        <v/>
      </c>
    </row>
    <row r="47" spans="1:20" ht="13.5" customHeight="1" x14ac:dyDescent="0.3">
      <c r="A47" s="245">
        <f>KPIs!$F$3</f>
        <v>46296</v>
      </c>
      <c r="B47" s="199" t="str">
        <f>KPIs!F$4</f>
        <v>Compresora</v>
      </c>
      <c r="C47" s="31" t="s">
        <v>57</v>
      </c>
      <c r="D47" s="199" t="str">
        <f>KPIs!$A$10</f>
        <v>4 · Accidentes vehiculares severos por millón de km</v>
      </c>
      <c r="E47" s="31" t="s">
        <v>599</v>
      </c>
      <c r="F47" s="247" t="str">
        <f>IF(ISNUMBER(KPIs!F10),KPIs!F10,"")</f>
        <v/>
      </c>
      <c r="G47" s="247" t="str">
        <f>IF(ISNUMBER(KPIs!$C$10),KPIs!$C$10,"")</f>
        <v/>
      </c>
      <c r="H47" s="199" t="str">
        <f>IFERROR(INDEX(_TARGETS!$E$2:$E$17,MATCH($C47,_TARGETS!$A$2:$A$17,0))&amp;"","")</f>
        <v/>
      </c>
      <c r="I47" s="199" t="str">
        <f t="shared" si="0"/>
        <v/>
      </c>
      <c r="J47" s="193" t="str">
        <f t="shared" si="1"/>
        <v>Monthly</v>
      </c>
      <c r="K47" s="193">
        <f>Datos!F39+Datos!F40+Datos!F41</f>
        <v>0</v>
      </c>
      <c r="L47" s="248">
        <f>Datos!F47</f>
        <v>0</v>
      </c>
      <c r="M47" s="193">
        <f>INDEX(_TARGETS!$J$2:$J$17,MATCH($C47,_TARGETS!$A$2:$A$17,0))</f>
        <v>1000000</v>
      </c>
      <c r="N47" s="193" t="str">
        <f>INDEX(_TARGETS!$D$2:$D$17,MATCH($C47,_TARGETS!$A$2:$A$17,0))</f>
        <v>eventos / 10^6 km</v>
      </c>
      <c r="O47" s="193" t="str">
        <f>IF(NOT(ISNUMBER(F47)),"MISSING",IF((COUNTBLANK(Datos!F44)+COUNTBLANK(Datos!F45)+COUNTBLANK(Datos!F46)+COUNTBLANK(Datos!F39)+COUNTBLANK(Datos!F40)+COUNTBLANK(Datos!F41))&gt;0,"INCOMPLETE","OK"))</f>
        <v>MISSING</v>
      </c>
      <c r="P47" s="193" t="str">
        <f>INDEX(_TARGETS!$K$2:$K$17,MATCH($C47,_TARGETS!$A$2:$A$17,0))</f>
        <v>OPS (eventos) + Full Control GPS (km) - carga manual en Datos</v>
      </c>
      <c r="Q47" s="193" t="str">
        <f t="shared" si="2"/>
        <v>202610|SVCR|Monthly</v>
      </c>
      <c r="R47" s="193" t="str">
        <f>INDEX(_TARGETS!$H$2:$H$17,MATCH($C47,_TARGETS!$A$2:$A$17,0))</f>
        <v>Solo reporte</v>
      </c>
      <c r="S47" s="193" t="str">
        <f t="shared" si="3"/>
        <v/>
      </c>
      <c r="T47" s="193" t="str">
        <f t="shared" si="4"/>
        <v/>
      </c>
    </row>
    <row r="48" spans="1:20" ht="13.5" customHeight="1" x14ac:dyDescent="0.3">
      <c r="A48" s="245">
        <f>KPIs!$F$3</f>
        <v>46296</v>
      </c>
      <c r="B48" s="199" t="str">
        <f>KPIs!F$4</f>
        <v>Compresora</v>
      </c>
      <c r="C48" s="31" t="s">
        <v>61</v>
      </c>
      <c r="D48" s="199" t="str">
        <f>KPIs!$A$11</f>
        <v>5 · Accidentes vehiculares totales por millón de km</v>
      </c>
      <c r="E48" s="31" t="s">
        <v>599</v>
      </c>
      <c r="F48" s="247" t="str">
        <f>IF(ISNUMBER(KPIs!F11),KPIs!F11,"")</f>
        <v/>
      </c>
      <c r="G48" s="247">
        <f>IF(ISNUMBER(KPIs!$C$11),KPIs!$C$11,"")</f>
        <v>0.79</v>
      </c>
      <c r="H48" s="199" t="str">
        <f>IFERROR(INDEX(_TARGETS!$E$2:$E$17,MATCH($C48,_TARGETS!$A$2:$A$17,0))&amp;"","")</f>
        <v>≤</v>
      </c>
      <c r="I48" s="199" t="str">
        <f t="shared" si="0"/>
        <v/>
      </c>
      <c r="J48" s="193" t="str">
        <f t="shared" si="1"/>
        <v>Monthly</v>
      </c>
      <c r="K48" s="193">
        <f>Datos!F39+Datos!F40+Datos!F41+Datos!F42</f>
        <v>0</v>
      </c>
      <c r="L48" s="248">
        <f>Datos!F47</f>
        <v>0</v>
      </c>
      <c r="M48" s="193">
        <f>INDEX(_TARGETS!$J$2:$J$17,MATCH($C48,_TARGETS!$A$2:$A$17,0))</f>
        <v>1000000</v>
      </c>
      <c r="N48" s="193" t="str">
        <f>INDEX(_TARGETS!$D$2:$D$17,MATCH($C48,_TARGETS!$A$2:$A$17,0))</f>
        <v>eventos / 10^6 km</v>
      </c>
      <c r="O48" s="193" t="str">
        <f>IF(NOT(ISNUMBER(F48)),"MISSING",IF((COUNTBLANK(Datos!F44)+COUNTBLANK(Datos!F45)+COUNTBLANK(Datos!F46)+COUNTBLANK(Datos!F39)+COUNTBLANK(Datos!F40)+COUNTBLANK(Datos!F41)+COUNTBLANK(Datos!F42))&gt;0,"INCOMPLETE","OK"))</f>
        <v>MISSING</v>
      </c>
      <c r="P48" s="193" t="str">
        <f>INDEX(_TARGETS!$K$2:$K$17,MATCH($C48,_TARGETS!$A$2:$A$17,0))</f>
        <v>OPS (eventos) + Full Control GPS (km) - carga manual en Datos</v>
      </c>
      <c r="Q48" s="193" t="str">
        <f t="shared" si="2"/>
        <v>202610|TVCR|Monthly</v>
      </c>
      <c r="R48" s="193" t="str">
        <f>INDEX(_TARGETS!$H$2:$H$17,MATCH($C48,_TARGETS!$A$2:$A$17,0))</f>
        <v>Definida</v>
      </c>
      <c r="S48" s="193" t="str">
        <f t="shared" si="3"/>
        <v/>
      </c>
      <c r="T48" s="193" t="str">
        <f t="shared" si="4"/>
        <v/>
      </c>
    </row>
    <row r="49" spans="1:20" ht="13.5" customHeight="1" x14ac:dyDescent="0.3">
      <c r="A49" s="245">
        <f>KPIs!$F$3</f>
        <v>46296</v>
      </c>
      <c r="B49" s="199" t="str">
        <f>KPIs!F$4</f>
        <v>Compresora</v>
      </c>
      <c r="C49" s="31" t="s">
        <v>63</v>
      </c>
      <c r="D49" s="199" t="str">
        <f>KPIs!$A$13</f>
        <v>6 · Observaciones de seguridad por persona</v>
      </c>
      <c r="E49" s="31" t="s">
        <v>599</v>
      </c>
      <c r="F49" s="247" t="str">
        <f>IF(ISNUMBER(KPIs!F13),KPIs!F13,"")</f>
        <v/>
      </c>
      <c r="G49" s="247">
        <f>IF(ISNUMBER(KPIs!$C$13),KPIs!$C$13,"")</f>
        <v>1</v>
      </c>
      <c r="H49" s="199" t="str">
        <f>IFERROR(INDEX(_TARGETS!$E$2:$E$17,MATCH($C49,_TARGETS!$A$2:$A$17,0))&amp;"","")</f>
        <v>≥</v>
      </c>
      <c r="I49" s="199" t="str">
        <f t="shared" si="0"/>
        <v/>
      </c>
      <c r="J49" s="193" t="str">
        <f t="shared" si="1"/>
        <v>Monthly</v>
      </c>
      <c r="K49" s="248">
        <f>IF(COUNT(Datos!F28:F29)=0,"",SUM(Datos!F28:F29))</f>
        <v>3</v>
      </c>
      <c r="L49" s="248">
        <f>Datos!F11</f>
        <v>0</v>
      </c>
      <c r="M49" s="193">
        <f>INDEX(_TARGETS!$J$2:$J$17,MATCH($C49,_TARGETS!$A$2:$A$17,0))</f>
        <v>1</v>
      </c>
      <c r="N49" s="193" t="str">
        <f>INDEX(_TARGETS!$D$2:$D$17,MATCH($C49,_TARGETS!$A$2:$A$17,0))</f>
        <v>obs / persona</v>
      </c>
      <c r="O49" s="193" t="str">
        <f>IF(NOT(ISNUMBER(F49)),"MISSING",IF((COUNTBLANK(Datos!F9)+COUNTBLANK(Datos!F10)+IF(COUNT(Datos!F28:F29)=0,1,0))&gt;0,"INCOMPLETE","OK"))</f>
        <v>MISSING</v>
      </c>
      <c r="P49" s="193" t="str">
        <f>INDEX(_TARGETS!$K$2:$K$17,MATCH($C49,_TARGETS!$A$2:$A$17,0))</f>
        <v>OPS (carga manual en Datos)</v>
      </c>
      <c r="Q49" s="193" t="str">
        <f t="shared" si="2"/>
        <v>202610|OBS|Monthly</v>
      </c>
      <c r="R49" s="193" t="str">
        <f>INDEX(_TARGETS!$H$2:$H$17,MATCH($C49,_TARGETS!$A$2:$A$17,0))</f>
        <v>PROVISORIA · referencia del subcontratista (OPS: 1 obs/persona); meta y población en definición</v>
      </c>
      <c r="S49" s="193" t="str">
        <f t="shared" si="3"/>
        <v/>
      </c>
      <c r="T49" s="193" t="str">
        <f t="shared" si="4"/>
        <v/>
      </c>
    </row>
    <row r="50" spans="1:20" ht="13.5" customHeight="1" x14ac:dyDescent="0.3">
      <c r="A50" s="245">
        <f>KPIs!$F$3</f>
        <v>46296</v>
      </c>
      <c r="B50" s="199" t="str">
        <f>KPIs!F$4</f>
        <v>Compresora</v>
      </c>
      <c r="C50" s="31" t="s">
        <v>71</v>
      </c>
      <c r="D50" s="199" t="str">
        <f>KPIs!$A$14</f>
        <v>7 · Investigaciones de accidentes: días promedio de cierre</v>
      </c>
      <c r="E50" s="31" t="s">
        <v>599</v>
      </c>
      <c r="F50" s="247" t="str">
        <f>IF(ISNUMBER(KPIs!F14),KPIs!F14,"")</f>
        <v/>
      </c>
      <c r="G50" s="247">
        <f>IF(ISNUMBER(KPIs!$C$14),KPIs!$C$14,"")</f>
        <v>20</v>
      </c>
      <c r="H50" s="199" t="str">
        <f>IFERROR(INDEX(_TARGETS!$E$2:$E$17,MATCH($C50,_TARGETS!$A$2:$A$17,0))&amp;"","")</f>
        <v>≤</v>
      </c>
      <c r="I50" s="199" t="str">
        <f t="shared" si="0"/>
        <v/>
      </c>
      <c r="J50" s="193" t="str">
        <f t="shared" si="1"/>
        <v>Monthly</v>
      </c>
      <c r="K50" s="248">
        <f>Datos!F31</f>
        <v>0</v>
      </c>
      <c r="L50" s="248">
        <f>Datos!F30</f>
        <v>0</v>
      </c>
      <c r="M50" s="193">
        <f>INDEX(_TARGETS!$J$2:$J$17,MATCH($C50,_TARGETS!$A$2:$A$17,0))</f>
        <v>1</v>
      </c>
      <c r="N50" s="193" t="str">
        <f>INDEX(_TARGETS!$D$2:$D$17,MATCH($C50,_TARGETS!$A$2:$A$17,0))</f>
        <v>días</v>
      </c>
      <c r="O50" s="193" t="str">
        <f>IF(NOT(ISNUMBER(F50)),"MISSING",IF((COUNTBLANK(Datos!F30)+COUNTBLANK(Datos!F31))&gt;0,"INCOMPLETE","OK"))</f>
        <v>MISSING</v>
      </c>
      <c r="P50" s="193" t="str">
        <f>INDEX(_TARGETS!$K$2:$K$17,MATCH($C50,_TARGETS!$A$2:$A$17,0))</f>
        <v>OPS (carga manual en Datos)</v>
      </c>
      <c r="Q50" s="193" t="str">
        <f t="shared" si="2"/>
        <v>202610|INV|Monthly</v>
      </c>
      <c r="R50" s="193" t="str">
        <f>INDEX(_TARGETS!$H$2:$H$17,MATCH($C50,_TARGETS!$A$2:$A$17,0))</f>
        <v>Definida</v>
      </c>
      <c r="S50" s="193" t="str">
        <f t="shared" si="3"/>
        <v/>
      </c>
      <c r="T50" s="193" t="str">
        <f t="shared" si="4"/>
        <v/>
      </c>
    </row>
    <row r="51" spans="1:20" ht="13.5" customHeight="1" x14ac:dyDescent="0.3">
      <c r="A51" s="245">
        <f>KPIs!$F$3</f>
        <v>46296</v>
      </c>
      <c r="B51" s="199" t="str">
        <f>KPIs!F$4</f>
        <v>Compresora</v>
      </c>
      <c r="C51" s="31" t="s">
        <v>76</v>
      </c>
      <c r="D51" s="199" t="str">
        <f>KPIs!$A$16</f>
        <v>8 · % de capacitación en seguridad</v>
      </c>
      <c r="E51" s="31" t="s">
        <v>599</v>
      </c>
      <c r="F51" s="247" t="str">
        <f>IF(ISNUMBER(KPIs!F16),KPIs!F16,"")</f>
        <v/>
      </c>
      <c r="G51" s="247">
        <f>IF(ISNUMBER(KPIs!$C$16),KPIs!$C$16,"")</f>
        <v>0.01</v>
      </c>
      <c r="H51" s="199" t="str">
        <f>IFERROR(INDEX(_TARGETS!$E$2:$E$17,MATCH($C51,_TARGETS!$A$2:$A$17,0))&amp;"","")</f>
        <v>≥</v>
      </c>
      <c r="I51" s="199" t="str">
        <f t="shared" si="0"/>
        <v/>
      </c>
      <c r="J51" s="193" t="str">
        <f t="shared" si="1"/>
        <v>Monthly</v>
      </c>
      <c r="K51" s="248">
        <f>Datos!F18</f>
        <v>0</v>
      </c>
      <c r="L51" s="248">
        <f>Datos!F14</f>
        <v>0</v>
      </c>
      <c r="M51" s="193">
        <f>INDEX(_TARGETS!$J$2:$J$17,MATCH($C51,_TARGETS!$A$2:$A$17,0))</f>
        <v>1</v>
      </c>
      <c r="N51" s="193" t="str">
        <f>INDEX(_TARGETS!$D$2:$D$17,MATCH($C51,_TARGETS!$A$2:$A$17,0))</f>
        <v>% (fracción)</v>
      </c>
      <c r="O51" s="193" t="str">
        <f>IF(NOT(ISNUMBER(F51)),"MISSING",IF((COUNTBLANK(Datos!F16)+COUNTBLANK(Datos!F17)+COUNTBLANK(Datos!F12)+COUNTBLANK(Datos!F13))&gt;0,"INCOMPLETE","OK"))</f>
        <v>MISSING</v>
      </c>
      <c r="P51" s="193" t="str">
        <f>INDEX(_TARGETS!$K$2:$K$17,MATCH($C51,_TARGETS!$A$2:$A$17,0))</f>
        <v>OPS (carga manual en Datos)</v>
      </c>
      <c r="Q51" s="193" t="str">
        <f t="shared" si="2"/>
        <v>202610|HCS|Monthly</v>
      </c>
      <c r="R51" s="193" t="str">
        <f>INDEX(_TARGETS!$H$2:$H$17,MATCH($C51,_TARGETS!$A$2:$A$17,0))</f>
        <v>Definida</v>
      </c>
      <c r="S51" s="193" t="str">
        <f t="shared" si="3"/>
        <v/>
      </c>
      <c r="T51" s="193" t="str">
        <f t="shared" si="4"/>
        <v/>
      </c>
    </row>
    <row r="52" spans="1:20" ht="13.5" customHeight="1" x14ac:dyDescent="0.3">
      <c r="A52" s="245">
        <f>KPIs!$F$3</f>
        <v>46296</v>
      </c>
      <c r="B52" s="199" t="str">
        <f>KPIs!F$4</f>
        <v>Compresora</v>
      </c>
      <c r="C52" s="31" t="s">
        <v>80</v>
      </c>
      <c r="D52" s="199" t="str">
        <f>KPIs!$A$17</f>
        <v>9 · Horas de capacitación por persona</v>
      </c>
      <c r="E52" s="31" t="s">
        <v>599</v>
      </c>
      <c r="F52" s="247" t="str">
        <f>IF(ISNUMBER(KPIs!F17),KPIs!F17,"")</f>
        <v/>
      </c>
      <c r="G52" s="247" t="str">
        <f>IF(ISNUMBER(KPIs!$C$17),KPIs!$C$17,"")</f>
        <v/>
      </c>
      <c r="H52" s="199" t="str">
        <f>IFERROR(INDEX(_TARGETS!$E$2:$E$17,MATCH($C52,_TARGETS!$A$2:$A$17,0))&amp;"","")</f>
        <v/>
      </c>
      <c r="I52" s="199" t="str">
        <f t="shared" si="0"/>
        <v/>
      </c>
      <c r="J52" s="193" t="str">
        <f t="shared" si="1"/>
        <v>Monthly</v>
      </c>
      <c r="K52" s="248">
        <f>Datos!F18</f>
        <v>0</v>
      </c>
      <c r="L52" s="248">
        <f>Datos!F11</f>
        <v>0</v>
      </c>
      <c r="M52" s="193">
        <f>INDEX(_TARGETS!$J$2:$J$17,MATCH($C52,_TARGETS!$A$2:$A$17,0))</f>
        <v>1</v>
      </c>
      <c r="N52" s="193" t="str">
        <f>INDEX(_TARGETS!$D$2:$D$17,MATCH($C52,_TARGETS!$A$2:$A$17,0))</f>
        <v>h / persona</v>
      </c>
      <c r="O52" s="193" t="str">
        <f>IF(NOT(ISNUMBER(F52)),"MISSING",IF((COUNTBLANK(Datos!F16)+COUNTBLANK(Datos!F17)+COUNTBLANK(Datos!F9)+COUNTBLANK(Datos!F10))&gt;0,"INCOMPLETE","OK"))</f>
        <v>MISSING</v>
      </c>
      <c r="P52" s="193" t="str">
        <f>INDEX(_TARGETS!$K$2:$K$17,MATCH($C52,_TARGETS!$A$2:$A$17,0))</f>
        <v>OPS (carga manual en Datos)</v>
      </c>
      <c r="Q52" s="193" t="str">
        <f t="shared" si="2"/>
        <v>202610|HCSA|Monthly</v>
      </c>
      <c r="R52" s="193" t="str">
        <f>INDEX(_TARGETS!$H$2:$H$17,MATCH($C52,_TARGETS!$A$2:$A$17,0))</f>
        <v>Solo reporte</v>
      </c>
      <c r="S52" s="193" t="str">
        <f t="shared" si="3"/>
        <v/>
      </c>
      <c r="T52" s="193" t="str">
        <f t="shared" si="4"/>
        <v/>
      </c>
    </row>
    <row r="53" spans="1:20" ht="13.5" customHeight="1" x14ac:dyDescent="0.3">
      <c r="A53" s="245">
        <f>KPIs!$F$3</f>
        <v>46296</v>
      </c>
      <c r="B53" s="199" t="str">
        <f>KPIs!F$4</f>
        <v>Compresora</v>
      </c>
      <c r="C53" s="31" t="s">
        <v>83</v>
      </c>
      <c r="D53" s="199" t="str">
        <f>KPIs!$A$18</f>
        <v>10 · Cumplimiento de simulacros (emergencia y operativos)</v>
      </c>
      <c r="E53" s="31" t="s">
        <v>599</v>
      </c>
      <c r="F53" s="247" t="str">
        <f>IF(ISNUMBER(KPIs!F18),KPIs!F18,"")</f>
        <v/>
      </c>
      <c r="G53" s="247">
        <f>IF(ISNUMBER(KPIs!$C$18),KPIs!$C$18,"")</f>
        <v>1</v>
      </c>
      <c r="H53" s="199" t="str">
        <f>IFERROR(INDEX(_TARGETS!$E$2:$E$17,MATCH($C53,_TARGETS!$A$2:$A$17,0))&amp;"","")</f>
        <v>≥</v>
      </c>
      <c r="I53" s="199" t="str">
        <f t="shared" si="0"/>
        <v/>
      </c>
      <c r="J53" s="193" t="str">
        <f t="shared" si="1"/>
        <v>Monthly</v>
      </c>
      <c r="K53" s="248">
        <f>Datos!F20</f>
        <v>0</v>
      </c>
      <c r="L53" s="248">
        <f>Datos!F21</f>
        <v>0</v>
      </c>
      <c r="M53" s="193">
        <f>INDEX(_TARGETS!$J$2:$J$17,MATCH($C53,_TARGETS!$A$2:$A$17,0))</f>
        <v>1</v>
      </c>
      <c r="N53" s="193" t="str">
        <f>INDEX(_TARGETS!$D$2:$D$17,MATCH($C53,_TARGETS!$A$2:$A$17,0))</f>
        <v>% (fracción)</v>
      </c>
      <c r="O53" s="193" t="str">
        <f>IF(NOT(ISNUMBER(F53)),"MISSING",IF((COUNTBLANK(Datos!F20)+COUNTBLANK(Datos!F21))&gt;0,"INCOMPLETE","OK"))</f>
        <v>MISSING</v>
      </c>
      <c r="P53" s="193" t="str">
        <f>INDEX(_TARGETS!$K$2:$K$17,MATCH($C53,_TARGETS!$A$2:$A$17,0))</f>
        <v>OPS (carga manual en Datos)</v>
      </c>
      <c r="Q53" s="193" t="str">
        <f t="shared" si="2"/>
        <v>202610|CPSE|Monthly</v>
      </c>
      <c r="R53" s="193" t="str">
        <f>INDEX(_TARGETS!$H$2:$H$17,MATCH($C53,_TARGETS!$A$2:$A$17,0))</f>
        <v>Definida</v>
      </c>
      <c r="S53" s="193" t="str">
        <f t="shared" si="3"/>
        <v/>
      </c>
      <c r="T53" s="193" t="str">
        <f t="shared" si="4"/>
        <v/>
      </c>
    </row>
    <row r="54" spans="1:20" ht="13.5" customHeight="1" x14ac:dyDescent="0.3">
      <c r="A54" s="245">
        <f>KPIs!$F$3</f>
        <v>46296</v>
      </c>
      <c r="B54" s="199" t="str">
        <f>KPIs!F$4</f>
        <v>Compresora</v>
      </c>
      <c r="C54" s="31" t="s">
        <v>85</v>
      </c>
      <c r="D54" s="199" t="str">
        <f>KPIs!$A$19</f>
        <v>10b · Cumplimiento de acciones de mejora de simulacros</v>
      </c>
      <c r="E54" s="31" t="s">
        <v>599</v>
      </c>
      <c r="F54" s="247" t="str">
        <f>IF(ISNUMBER(KPIs!F19),KPIs!F19,"")</f>
        <v/>
      </c>
      <c r="G54" s="247" t="str">
        <f>IF(ISNUMBER(KPIs!$C$19),KPIs!$C$19,"")</f>
        <v/>
      </c>
      <c r="H54" s="199" t="str">
        <f>IFERROR(INDEX(_TARGETS!$E$2:$E$17,MATCH($C54,_TARGETS!$A$2:$A$17,0))&amp;"","")</f>
        <v/>
      </c>
      <c r="I54" s="199" t="str">
        <f t="shared" si="0"/>
        <v/>
      </c>
      <c r="J54" s="193" t="str">
        <f t="shared" si="1"/>
        <v>Monthly</v>
      </c>
      <c r="K54" s="248">
        <f>Datos!F23</f>
        <v>0</v>
      </c>
      <c r="L54" s="248">
        <f>Datos!F22</f>
        <v>0</v>
      </c>
      <c r="M54" s="193">
        <f>INDEX(_TARGETS!$J$2:$J$17,MATCH($C54,_TARGETS!$A$2:$A$17,0))</f>
        <v>1</v>
      </c>
      <c r="N54" s="193" t="str">
        <f>INDEX(_TARGETS!$D$2:$D$17,MATCH($C54,_TARGETS!$A$2:$A$17,0))</f>
        <v>% (fracción)</v>
      </c>
      <c r="O54" s="193" t="str">
        <f>IF(NOT(ISNUMBER(F54)),"MISSING",IF((COUNTBLANK(Datos!F23)+COUNTBLANK(Datos!F22))&gt;0,"INCOMPLETE","OK"))</f>
        <v>MISSING</v>
      </c>
      <c r="P54" s="193" t="str">
        <f>INDEX(_TARGETS!$K$2:$K$17,MATCH($C54,_TARGETS!$A$2:$A$17,0))</f>
        <v>OPS (carga manual en Datos)</v>
      </c>
      <c r="Q54" s="193" t="str">
        <f t="shared" si="2"/>
        <v>202610|CAMS|Monthly</v>
      </c>
      <c r="R54" s="193" t="str">
        <f>INDEX(_TARGETS!$H$2:$H$17,MATCH($C54,_TARGETS!$A$2:$A$17,0))</f>
        <v>Solo reporte</v>
      </c>
      <c r="S54" s="193" t="str">
        <f t="shared" si="3"/>
        <v/>
      </c>
      <c r="T54" s="193" t="str">
        <f t="shared" si="4"/>
        <v/>
      </c>
    </row>
    <row r="55" spans="1:20" ht="13.5" customHeight="1" x14ac:dyDescent="0.3">
      <c r="A55" s="245">
        <f>KPIs!$F$3</f>
        <v>46296</v>
      </c>
      <c r="B55" s="199" t="str">
        <f>KPIs!F$4</f>
        <v>Compresora</v>
      </c>
      <c r="C55" s="31" t="s">
        <v>87</v>
      </c>
      <c r="D55" s="199" t="str">
        <f>KPIs!$A$21</f>
        <v>11 · Cumplimiento de caminatas gerenciales</v>
      </c>
      <c r="E55" s="31" t="s">
        <v>599</v>
      </c>
      <c r="F55" s="247" t="str">
        <f>IF(ISNUMBER(KPIs!F21),KPIs!F21,"")</f>
        <v/>
      </c>
      <c r="G55" s="247">
        <f>IF(ISNUMBER(KPIs!$C$21),KPIs!$C$21,"")</f>
        <v>1</v>
      </c>
      <c r="H55" s="199" t="str">
        <f>IFERROR(INDEX(_TARGETS!$E$2:$E$17,MATCH($C55,_TARGETS!$A$2:$A$17,0))&amp;"","")</f>
        <v>≥</v>
      </c>
      <c r="I55" s="199" t="str">
        <f t="shared" si="0"/>
        <v/>
      </c>
      <c r="J55" s="193" t="str">
        <f t="shared" si="1"/>
        <v>Monthly</v>
      </c>
      <c r="K55" s="248">
        <f>Datos!F24</f>
        <v>0</v>
      </c>
      <c r="L55" s="248">
        <f>Datos!F25</f>
        <v>0</v>
      </c>
      <c r="M55" s="193">
        <f>INDEX(_TARGETS!$J$2:$J$17,MATCH($C55,_TARGETS!$A$2:$A$17,0))</f>
        <v>1</v>
      </c>
      <c r="N55" s="193" t="str">
        <f>INDEX(_TARGETS!$D$2:$D$17,MATCH($C55,_TARGETS!$A$2:$A$17,0))</f>
        <v>% (fracción)</v>
      </c>
      <c r="O55" s="193" t="str">
        <f>IF(NOT(ISNUMBER(F55)),"MISSING",IF((COUNTBLANK(Datos!F24)+COUNTBLANK(Datos!F25))&gt;0,"INCOMPLETE","OK"))</f>
        <v>MISSING</v>
      </c>
      <c r="P55" s="193" t="str">
        <f>INDEX(_TARGETS!$K$2:$K$17,MATCH($C55,_TARGETS!$A$2:$A$17,0))</f>
        <v>OPS (carga manual en Datos)</v>
      </c>
      <c r="Q55" s="193" t="str">
        <f t="shared" si="2"/>
        <v>202610|ICCS|Monthly</v>
      </c>
      <c r="R55" s="193" t="str">
        <f>INDEX(_TARGETS!$H$2:$H$17,MATCH($C55,_TARGETS!$A$2:$A$17,0))</f>
        <v>Definida</v>
      </c>
      <c r="S55" s="193" t="str">
        <f t="shared" si="3"/>
        <v/>
      </c>
      <c r="T55" s="193" t="str">
        <f t="shared" si="4"/>
        <v/>
      </c>
    </row>
    <row r="56" spans="1:20" ht="13.5" customHeight="1" x14ac:dyDescent="0.3">
      <c r="A56" s="245">
        <f>KPIs!$F$3</f>
        <v>46296</v>
      </c>
      <c r="B56" s="199" t="str">
        <f>KPIs!F$4</f>
        <v>Compresora</v>
      </c>
      <c r="C56" s="31" t="s">
        <v>89</v>
      </c>
      <c r="D56" s="199" t="str">
        <f>KPIs!$A$22</f>
        <v>12 · Cumplimiento de comités y subcomités de seguridad</v>
      </c>
      <c r="E56" s="31" t="s">
        <v>599</v>
      </c>
      <c r="F56" s="247" t="str">
        <f>IF(ISNUMBER(KPIs!F22),KPIs!F22,"")</f>
        <v/>
      </c>
      <c r="G56" s="247">
        <f>IF(ISNUMBER(KPIs!$C$22),KPIs!$C$22,"")</f>
        <v>1</v>
      </c>
      <c r="H56" s="199" t="str">
        <f>IFERROR(INDEX(_TARGETS!$E$2:$E$17,MATCH($C56,_TARGETS!$A$2:$A$17,0))&amp;"","")</f>
        <v>≥</v>
      </c>
      <c r="I56" s="199" t="str">
        <f t="shared" si="0"/>
        <v/>
      </c>
      <c r="J56" s="193" t="str">
        <f t="shared" si="1"/>
        <v>Monthly</v>
      </c>
      <c r="K56" s="248">
        <f>Datos!F26</f>
        <v>0</v>
      </c>
      <c r="L56" s="248">
        <f>Datos!F27</f>
        <v>0</v>
      </c>
      <c r="M56" s="193">
        <f>INDEX(_TARGETS!$J$2:$J$17,MATCH($C56,_TARGETS!$A$2:$A$17,0))</f>
        <v>1</v>
      </c>
      <c r="N56" s="193" t="str">
        <f>INDEX(_TARGETS!$D$2:$D$17,MATCH($C56,_TARGETS!$A$2:$A$17,0))</f>
        <v>% (fracción)</v>
      </c>
      <c r="O56" s="193" t="str">
        <f>IF(NOT(ISNUMBER(F56)),"MISSING",IF((COUNTBLANK(Datos!F26)+COUNTBLANK(Datos!F27))&gt;0,"INCOMPLETE","OK"))</f>
        <v>MISSING</v>
      </c>
      <c r="P56" s="193" t="str">
        <f>INDEX(_TARGETS!$K$2:$K$17,MATCH($C56,_TARGETS!$A$2:$A$17,0))</f>
        <v>OPS (carga manual en Datos)</v>
      </c>
      <c r="Q56" s="193" t="str">
        <f t="shared" si="2"/>
        <v>202610|CCS|Monthly</v>
      </c>
      <c r="R56" s="193" t="str">
        <f>INDEX(_TARGETS!$H$2:$H$17,MATCH($C56,_TARGETS!$A$2:$A$17,0))</f>
        <v>Definida</v>
      </c>
      <c r="S56" s="193" t="str">
        <f t="shared" si="3"/>
        <v/>
      </c>
      <c r="T56" s="193" t="str">
        <f t="shared" si="4"/>
        <v/>
      </c>
    </row>
    <row r="57" spans="1:20" ht="13.5" customHeight="1" x14ac:dyDescent="0.3">
      <c r="A57" s="245">
        <f>KPIs!$F$3</f>
        <v>46296</v>
      </c>
      <c r="B57" s="199" t="str">
        <f>KPIs!F$4</f>
        <v>Compresora</v>
      </c>
      <c r="C57" s="31" t="s">
        <v>91</v>
      </c>
      <c r="D57" s="199" t="str">
        <f>KPIs!$A$23</f>
        <v>13 · Días promedio para cerrar hallazgos</v>
      </c>
      <c r="E57" s="31" t="s">
        <v>599</v>
      </c>
      <c r="F57" s="247" t="str">
        <f>IF(ISNUMBER(KPIs!F23),KPIs!F23,"")</f>
        <v/>
      </c>
      <c r="G57" s="247" t="str">
        <f>IF(ISNUMBER(KPIs!$C$23),KPIs!$C$23,"")</f>
        <v/>
      </c>
      <c r="H57" s="199" t="str">
        <f>IFERROR(INDEX(_TARGETS!$E$2:$E$17,MATCH($C57,_TARGETS!$A$2:$A$17,0))&amp;"","")</f>
        <v>≤</v>
      </c>
      <c r="I57" s="199" t="str">
        <f t="shared" si="0"/>
        <v/>
      </c>
      <c r="J57" s="193" t="str">
        <f t="shared" si="1"/>
        <v>Monthly</v>
      </c>
      <c r="K57" s="248">
        <f>Datos!F68</f>
        <v>0</v>
      </c>
      <c r="L57" s="248">
        <f>Datos!F67</f>
        <v>0</v>
      </c>
      <c r="M57" s="193">
        <f>INDEX(_TARGETS!$J$2:$J$17,MATCH($C57,_TARGETS!$A$2:$A$17,0))</f>
        <v>1</v>
      </c>
      <c r="N57" s="193" t="str">
        <f>INDEX(_TARGETS!$D$2:$D$17,MATCH($C57,_TARGETS!$A$2:$A$17,0))</f>
        <v>días</v>
      </c>
      <c r="O57" s="193" t="str">
        <f>IF(NOT(ISNUMBER(F57)),"MISSING","OK")</f>
        <v>MISSING</v>
      </c>
      <c r="P57" s="193" t="str">
        <f>INDEX(_TARGETS!$K$2:$K$17,MATCH($C57,_TARGETS!$A$2:$A$17,0))</f>
        <v>Plant Findings (hoja Observaciones-SMP)</v>
      </c>
      <c r="Q57" s="193" t="str">
        <f t="shared" si="2"/>
        <v>202610|DPAS|Monthly</v>
      </c>
      <c r="R57" s="193" t="str">
        <f>INDEX(_TARGETS!$H$2:$H$17,MATCH($C57,_TARGETS!$A$2:$A$17,0))</f>
        <v>Pendiente (meta 2027)</v>
      </c>
      <c r="S57" s="193" t="str">
        <f t="shared" si="3"/>
        <v/>
      </c>
      <c r="T57" s="193" t="str">
        <f t="shared" si="4"/>
        <v/>
      </c>
    </row>
    <row r="58" spans="1:20" ht="13.5" customHeight="1" x14ac:dyDescent="0.3">
      <c r="A58" s="245">
        <f>KPIs!$F$3</f>
        <v>46296</v>
      </c>
      <c r="B58" s="199" t="str">
        <f>KPIs!F$4</f>
        <v>Compresora</v>
      </c>
      <c r="C58" s="31" t="s">
        <v>39</v>
      </c>
      <c r="D58" s="199" t="str">
        <f>KPIs!$A$26</f>
        <v>1 · Frecuencia de casos con días perdidos · ACUMULADO</v>
      </c>
      <c r="E58" s="31" t="s">
        <v>600</v>
      </c>
      <c r="F58" s="247" t="str">
        <f>IF(ISNUMBER(KPIs!F26),KPIs!F26,"")</f>
        <v/>
      </c>
      <c r="G58" s="247">
        <f>IF(ISNUMBER(KPIs!$C$26),KPIs!$C$26,"")</f>
        <v>0</v>
      </c>
      <c r="H58" s="199" t="str">
        <f>IFERROR(INDEX(_TARGETS!$E$2:$E$17,MATCH($C58,_TARGETS!$A$2:$A$17,0))&amp;"","")</f>
        <v>≤</v>
      </c>
      <c r="I58" s="199" t="str">
        <f t="shared" si="0"/>
        <v/>
      </c>
      <c r="J58" s="193" t="str">
        <f t="shared" si="1"/>
        <v>Cumulative</v>
      </c>
      <c r="K58" s="193">
        <f>SUM(Datos!$D33:F33)</f>
        <v>0</v>
      </c>
      <c r="L58" s="193">
        <f>SUM(Datos!$D14:F14)</f>
        <v>48332</v>
      </c>
      <c r="M58" s="193">
        <f>INDEX(_TARGETS!$J$2:$J$17,MATCH($C58,_TARGETS!$A$2:$A$17,0))</f>
        <v>1000000</v>
      </c>
      <c r="N58" s="193" t="str">
        <f>INDEX(_TARGETS!$D$2:$D$17,MATCH($C58,_TARGETS!$A$2:$A$17,0))</f>
        <v>casos / 10^6 HH</v>
      </c>
      <c r="O58" s="193" t="str">
        <f>IF(NOT(ISNUMBER(F58)),IF(SUMPRODUCT(($C$2:$C$1300=C58)*($J$2:$J$1300="Monthly")*($A$2:$A$1300&lt;=A58)*ISNUMBER($K$2:$K$1300)*ISNUMBER($L$2:$L$1300)*($L$2:$L$1300=0)*($K$2:$K$1300&gt;0))&gt;0,"INCOMPLETE","MISSING"),O44)</f>
        <v>MISSING</v>
      </c>
      <c r="P58" s="193" t="str">
        <f>INDEX(_TARGETS!$K$2:$K$17,MATCH($C58,_TARGETS!$A$2:$A$17,0))</f>
        <v>OPS (carga manual en Datos)</v>
      </c>
      <c r="Q58" s="193" t="str">
        <f t="shared" si="2"/>
        <v>202610|DAFWCF|Cumulative</v>
      </c>
      <c r="R58" s="193" t="str">
        <f>INDEX(_TARGETS!$H$2:$H$17,MATCH($C58,_TARGETS!$A$2:$A$17,0))</f>
        <v>Definida</v>
      </c>
      <c r="S58" s="193">
        <f t="shared" si="3"/>
        <v>0</v>
      </c>
      <c r="T58" s="193" t="str">
        <f t="shared" si="4"/>
        <v/>
      </c>
    </row>
    <row r="59" spans="1:20" ht="13.5" customHeight="1" x14ac:dyDescent="0.3">
      <c r="A59" s="245">
        <f>KPIs!$F$3</f>
        <v>46296</v>
      </c>
      <c r="B59" s="199" t="str">
        <f>KPIs!F$4</f>
        <v>Compresora</v>
      </c>
      <c r="C59" s="31" t="s">
        <v>49</v>
      </c>
      <c r="D59" s="199" t="str">
        <f>KPIs!$A$27</f>
        <v>2 · Frecuencia de casos registrables · ACUMULADO</v>
      </c>
      <c r="E59" s="31" t="s">
        <v>600</v>
      </c>
      <c r="F59" s="247" t="str">
        <f>IF(ISNUMBER(KPIs!F27),KPIs!F27,"")</f>
        <v/>
      </c>
      <c r="G59" s="247">
        <f>IF(ISNUMBER(KPIs!$C$27),KPIs!$C$27,"")</f>
        <v>2.35</v>
      </c>
      <c r="H59" s="199" t="str">
        <f>IFERROR(INDEX(_TARGETS!$E$2:$E$17,MATCH($C59,_TARGETS!$A$2:$A$17,0))&amp;"","")</f>
        <v>≤</v>
      </c>
      <c r="I59" s="199" t="str">
        <f t="shared" si="0"/>
        <v/>
      </c>
      <c r="J59" s="193" t="str">
        <f t="shared" si="1"/>
        <v>Cumulative</v>
      </c>
      <c r="K59" s="193">
        <f>SUM(Datos!$D33:F33)+SUM(Datos!$D34:F34)+SUM(Datos!$D35:F35)+SUM(Datos!$D36:F36)</f>
        <v>0</v>
      </c>
      <c r="L59" s="193">
        <f>SUM(Datos!$D14:F14)</f>
        <v>48332</v>
      </c>
      <c r="M59" s="193">
        <f>INDEX(_TARGETS!$J$2:$J$17,MATCH($C59,_TARGETS!$A$2:$A$17,0))</f>
        <v>1000000</v>
      </c>
      <c r="N59" s="193" t="str">
        <f>INDEX(_TARGETS!$D$2:$D$17,MATCH($C59,_TARGETS!$A$2:$A$17,0))</f>
        <v>casos / 10^6 HH</v>
      </c>
      <c r="O59" s="193" t="str">
        <f>IF(NOT(ISNUMBER(F59)),IF(SUMPRODUCT(($C$2:$C$1300=C59)*($J$2:$J$1300="Monthly")*($A$2:$A$1300&lt;=A59)*ISNUMBER($K$2:$K$1300)*ISNUMBER($L$2:$L$1300)*($L$2:$L$1300=0)*($K$2:$K$1300&gt;0))&gt;0,"INCOMPLETE","MISSING"),O45)</f>
        <v>MISSING</v>
      </c>
      <c r="P59" s="193" t="str">
        <f>INDEX(_TARGETS!$K$2:$K$17,MATCH($C59,_TARGETS!$A$2:$A$17,0))</f>
        <v>OPS (carga manual en Datos)</v>
      </c>
      <c r="Q59" s="193" t="str">
        <f t="shared" si="2"/>
        <v>202610|TRICF|Cumulative</v>
      </c>
      <c r="R59" s="193" t="str">
        <f>INDEX(_TARGETS!$H$2:$H$17,MATCH($C59,_TARGETS!$A$2:$A$17,0))</f>
        <v>Definida</v>
      </c>
      <c r="S59" s="193">
        <f t="shared" si="3"/>
        <v>0</v>
      </c>
      <c r="T59" s="193" t="str">
        <f t="shared" si="4"/>
        <v/>
      </c>
    </row>
    <row r="60" spans="1:20" ht="13.5" customHeight="1" x14ac:dyDescent="0.3">
      <c r="A60" s="245">
        <f>KPIs!$F$3</f>
        <v>46296</v>
      </c>
      <c r="B60" s="199" t="str">
        <f>KPIs!F$4</f>
        <v>Compresora</v>
      </c>
      <c r="C60" s="31" t="s">
        <v>51</v>
      </c>
      <c r="D60" s="199" t="str">
        <f>KPIs!$A$28</f>
        <v>3 · Casos de primeros auxilios · ACUMULADO</v>
      </c>
      <c r="E60" s="31" t="s">
        <v>600</v>
      </c>
      <c r="F60" s="247" t="str">
        <f>IF(ISNUMBER(KPIs!F28),KPIs!F28,"")</f>
        <v/>
      </c>
      <c r="G60" s="247" t="str">
        <f>IF(ISNUMBER(KPIs!$C$28),KPIs!$C$28,"")</f>
        <v/>
      </c>
      <c r="H60" s="199" t="str">
        <f>IFERROR(INDEX(_TARGETS!$E$2:$E$17,MATCH($C60,_TARGETS!$A$2:$A$17,0))&amp;"","")</f>
        <v/>
      </c>
      <c r="I60" s="199" t="str">
        <f t="shared" si="0"/>
        <v/>
      </c>
      <c r="J60" s="193" t="str">
        <f t="shared" si="1"/>
        <v>Cumulative</v>
      </c>
      <c r="K60" s="193">
        <f>SUM(Datos!$D37:F37)</f>
        <v>0</v>
      </c>
      <c r="M60" s="193">
        <f>INDEX(_TARGETS!$J$2:$J$17,MATCH($C60,_TARGETS!$A$2:$A$17,0))</f>
        <v>1</v>
      </c>
      <c r="N60" s="193" t="str">
        <f>INDEX(_TARGETS!$D$2:$D$17,MATCH($C60,_TARGETS!$A$2:$A$17,0))</f>
        <v>casos</v>
      </c>
      <c r="O60" s="193" t="str">
        <f>IF(NOT(ISNUMBER(F60)),IF(SUMPRODUCT(($C$2:$C$1300=C60)*($J$2:$J$1300="Monthly")*($A$2:$A$1300&lt;=A60)*ISNUMBER($K$2:$K$1300)*ISNUMBER($L$2:$L$1300)*($L$2:$L$1300=0)*($K$2:$K$1300&gt;0))&gt;0,"INCOMPLETE","MISSING"),O46)</f>
        <v>MISSING</v>
      </c>
      <c r="P60" s="193" t="str">
        <f>INDEX(_TARGETS!$K$2:$K$17,MATCH($C60,_TARGETS!$A$2:$A$17,0))</f>
        <v>OPS (carga manual en Datos)</v>
      </c>
      <c r="Q60" s="193" t="str">
        <f t="shared" si="2"/>
        <v>202610|FAC|Cumulative</v>
      </c>
      <c r="R60" s="193" t="str">
        <f>INDEX(_TARGETS!$H$2:$H$17,MATCH($C60,_TARGETS!$A$2:$A$17,0))</f>
        <v>Solo reporte</v>
      </c>
      <c r="S60" s="193">
        <f t="shared" si="3"/>
        <v>0</v>
      </c>
      <c r="T60" s="193" t="str">
        <f t="shared" si="4"/>
        <v/>
      </c>
    </row>
    <row r="61" spans="1:20" ht="13.5" customHeight="1" x14ac:dyDescent="0.3">
      <c r="A61" s="245">
        <f>KPIs!$F$3</f>
        <v>46296</v>
      </c>
      <c r="B61" s="199" t="str">
        <f>KPIs!F$4</f>
        <v>Compresora</v>
      </c>
      <c r="C61" s="31" t="s">
        <v>57</v>
      </c>
      <c r="D61" s="199" t="str">
        <f>KPIs!$A$29</f>
        <v>4 · Accidentes vehiculares severos · ACUMULADO</v>
      </c>
      <c r="E61" s="31" t="s">
        <v>600</v>
      </c>
      <c r="F61" s="247" t="str">
        <f>IF(ISNUMBER(KPIs!F29),KPIs!F29,"")</f>
        <v/>
      </c>
      <c r="G61" s="247" t="str">
        <f>IF(ISNUMBER(KPIs!$C$29),KPIs!$C$29,"")</f>
        <v/>
      </c>
      <c r="H61" s="199" t="str">
        <f>IFERROR(INDEX(_TARGETS!$E$2:$E$17,MATCH($C61,_TARGETS!$A$2:$A$17,0))&amp;"","")</f>
        <v/>
      </c>
      <c r="I61" s="199" t="str">
        <f t="shared" si="0"/>
        <v/>
      </c>
      <c r="J61" s="193" t="str">
        <f t="shared" si="1"/>
        <v>Cumulative</v>
      </c>
      <c r="K61" s="193">
        <f>SUM(Datos!$D39:F39)+SUM(Datos!$D40:F40)+SUM(Datos!$D41:F41)</f>
        <v>0</v>
      </c>
      <c r="L61" s="193">
        <f>SUM(Datos!$D47:F47)</f>
        <v>172824</v>
      </c>
      <c r="M61" s="193">
        <f>INDEX(_TARGETS!$J$2:$J$17,MATCH($C61,_TARGETS!$A$2:$A$17,0))</f>
        <v>1000000</v>
      </c>
      <c r="N61" s="193" t="str">
        <f>INDEX(_TARGETS!$D$2:$D$17,MATCH($C61,_TARGETS!$A$2:$A$17,0))</f>
        <v>eventos / 10^6 km</v>
      </c>
      <c r="O61" s="193" t="str">
        <f>IF(NOT(ISNUMBER(F61)),IF(SUMPRODUCT(($C$2:$C$1300=C61)*($J$2:$J$1300="Monthly")*($A$2:$A$1300&lt;=A61)*ISNUMBER($K$2:$K$1300)*ISNUMBER($L$2:$L$1300)*($L$2:$L$1300=0)*($K$2:$K$1300&gt;0))&gt;0,"INCOMPLETE","MISSING"),O47)</f>
        <v>MISSING</v>
      </c>
      <c r="P61" s="193" t="str">
        <f>INDEX(_TARGETS!$K$2:$K$17,MATCH($C61,_TARGETS!$A$2:$A$17,0))</f>
        <v>OPS (eventos) + Full Control GPS (km) - carga manual en Datos</v>
      </c>
      <c r="Q61" s="193" t="str">
        <f t="shared" si="2"/>
        <v>202610|SVCR|Cumulative</v>
      </c>
      <c r="R61" s="193" t="str">
        <f>INDEX(_TARGETS!$H$2:$H$17,MATCH($C61,_TARGETS!$A$2:$A$17,0))</f>
        <v>Solo reporte</v>
      </c>
      <c r="S61" s="193">
        <f t="shared" si="3"/>
        <v>0</v>
      </c>
      <c r="T61" s="193" t="str">
        <f t="shared" si="4"/>
        <v/>
      </c>
    </row>
    <row r="62" spans="1:20" ht="13.5" customHeight="1" x14ac:dyDescent="0.3">
      <c r="A62" s="245">
        <f>KPIs!$F$3</f>
        <v>46296</v>
      </c>
      <c r="B62" s="199" t="str">
        <f>KPIs!F$4</f>
        <v>Compresora</v>
      </c>
      <c r="C62" s="31" t="s">
        <v>61</v>
      </c>
      <c r="D62" s="199" t="str">
        <f>KPIs!$A$30</f>
        <v>5 · Accidentes vehiculares totales · ACUMULADO</v>
      </c>
      <c r="E62" s="31" t="s">
        <v>600</v>
      </c>
      <c r="F62" s="247" t="str">
        <f>IF(ISNUMBER(KPIs!F30),KPIs!F30,"")</f>
        <v/>
      </c>
      <c r="G62" s="247">
        <f>IF(ISNUMBER(KPIs!$C$30),KPIs!$C$30,"")</f>
        <v>0.79</v>
      </c>
      <c r="H62" s="199" t="str">
        <f>IFERROR(INDEX(_TARGETS!$E$2:$E$17,MATCH($C62,_TARGETS!$A$2:$A$17,0))&amp;"","")</f>
        <v>≤</v>
      </c>
      <c r="I62" s="199" t="str">
        <f t="shared" si="0"/>
        <v/>
      </c>
      <c r="J62" s="193" t="str">
        <f t="shared" si="1"/>
        <v>Cumulative</v>
      </c>
      <c r="K62" s="193">
        <f>SUM(Datos!$D39:F39)+SUM(Datos!$D40:F40)+SUM(Datos!$D41:F41)+SUM(Datos!$D42:F42)</f>
        <v>0</v>
      </c>
      <c r="L62" s="193">
        <f>SUM(Datos!$D47:F47)</f>
        <v>172824</v>
      </c>
      <c r="M62" s="193">
        <f>INDEX(_TARGETS!$J$2:$J$17,MATCH($C62,_TARGETS!$A$2:$A$17,0))</f>
        <v>1000000</v>
      </c>
      <c r="N62" s="193" t="str">
        <f>INDEX(_TARGETS!$D$2:$D$17,MATCH($C62,_TARGETS!$A$2:$A$17,0))</f>
        <v>eventos / 10^6 km</v>
      </c>
      <c r="O62" s="193" t="str">
        <f>IF(NOT(ISNUMBER(F62)),IF(SUMPRODUCT(($C$2:$C$1300=C62)*($J$2:$J$1300="Monthly")*($A$2:$A$1300&lt;=A62)*ISNUMBER($K$2:$K$1300)*ISNUMBER($L$2:$L$1300)*($L$2:$L$1300=0)*($K$2:$K$1300&gt;0))&gt;0,"INCOMPLETE","MISSING"),O48)</f>
        <v>MISSING</v>
      </c>
      <c r="P62" s="193" t="str">
        <f>INDEX(_TARGETS!$K$2:$K$17,MATCH($C62,_TARGETS!$A$2:$A$17,0))</f>
        <v>OPS (eventos) + Full Control GPS (km) - carga manual en Datos</v>
      </c>
      <c r="Q62" s="193" t="str">
        <f t="shared" si="2"/>
        <v>202610|TVCR|Cumulative</v>
      </c>
      <c r="R62" s="193" t="str">
        <f>INDEX(_TARGETS!$H$2:$H$17,MATCH($C62,_TARGETS!$A$2:$A$17,0))</f>
        <v>Definida</v>
      </c>
      <c r="S62" s="193">
        <f t="shared" si="3"/>
        <v>0</v>
      </c>
      <c r="T62" s="193" t="str">
        <f t="shared" si="4"/>
        <v/>
      </c>
    </row>
    <row r="63" spans="1:20" ht="13.5" customHeight="1" x14ac:dyDescent="0.3">
      <c r="A63" s="245">
        <f>KPIs!$F$3</f>
        <v>46296</v>
      </c>
      <c r="B63" s="199" t="str">
        <f>KPIs!F$4</f>
        <v>Compresora</v>
      </c>
      <c r="C63" s="31" t="s">
        <v>96</v>
      </c>
      <c r="D63" s="199" t="str">
        <f>KPIs!$A$33</f>
        <v>C1 · % de desvíos detectados de gravedad Alta</v>
      </c>
      <c r="E63" s="31" t="s">
        <v>599</v>
      </c>
      <c r="F63" s="247" t="str">
        <f>IF(ISNUMBER(KPIs!F33),KPIs!F33,"")</f>
        <v/>
      </c>
      <c r="G63" s="247" t="str">
        <f>IF(ISNUMBER(KPIs!$C$33),KPIs!$C$33,"")</f>
        <v/>
      </c>
      <c r="H63" s="199" t="str">
        <f>IFERROR(INDEX(_TARGETS!$E$2:$E$17,MATCH($C63,_TARGETS!$A$2:$A$17,0))&amp;"","")</f>
        <v/>
      </c>
      <c r="I63" s="199" t="str">
        <f t="shared" si="0"/>
        <v/>
      </c>
      <c r="J63" s="193" t="str">
        <f t="shared" si="1"/>
        <v>Monthly</v>
      </c>
      <c r="K63" s="248">
        <f>Datos!F71</f>
        <v>0</v>
      </c>
      <c r="L63" s="193">
        <f>Datos!F71+Datos!F72+Datos!F73</f>
        <v>0</v>
      </c>
      <c r="M63" s="193">
        <f>INDEX(_TARGETS!$J$2:$J$17,MATCH($C63,_TARGETS!$A$2:$A$17,0))</f>
        <v>1</v>
      </c>
      <c r="N63" s="193" t="str">
        <f>INDEX(_TARGETS!$D$2:$D$17,MATCH($C63,_TARGETS!$A$2:$A$17,0))</f>
        <v>% (fracción)</v>
      </c>
      <c r="O63" s="193" t="str">
        <f>IF(NOT(ISNUMBER(F63)),"MISSING","OK")</f>
        <v>MISSING</v>
      </c>
      <c r="P63" s="193" t="str">
        <f>INDEX(_TARGETS!$K$2:$K$17,MATCH($C63,_TARGETS!$A$2:$A$17,0))</f>
        <v>Plant Findings (hoja Observaciones-SMP)</v>
      </c>
      <c r="Q63" s="193" t="str">
        <f t="shared" si="2"/>
        <v>202610|HAL_ALTA_PCT|Monthly</v>
      </c>
      <c r="R63" s="193" t="str">
        <f>INDEX(_TARGETS!$H$2:$H$17,MATCH($C63,_TARGETS!$A$2:$A$17,0))</f>
        <v>Solo reporte</v>
      </c>
      <c r="S63" s="193" t="str">
        <f t="shared" si="3"/>
        <v/>
      </c>
      <c r="T63" s="193" t="str">
        <f t="shared" si="4"/>
        <v/>
      </c>
    </row>
    <row r="64" spans="1:20" ht="13.5" customHeight="1" x14ac:dyDescent="0.3">
      <c r="A64" s="245">
        <f>KPIs!$F$3</f>
        <v>46296</v>
      </c>
      <c r="B64" s="199" t="str">
        <f>KPIs!F$4</f>
        <v>Compresora</v>
      </c>
      <c r="C64" s="31" t="s">
        <v>98</v>
      </c>
      <c r="D64" s="199" t="str">
        <f>KPIs!$A$34</f>
        <v>C2 · Detenciones de tareas aplicadas</v>
      </c>
      <c r="E64" s="31" t="s">
        <v>599</v>
      </c>
      <c r="F64" s="247" t="str">
        <f>IF(ISNUMBER(KPIs!F34),KPIs!F34,"")</f>
        <v/>
      </c>
      <c r="G64" s="247" t="str">
        <f>IF(ISNUMBER(KPIs!$C$34),KPIs!$C$34,"")</f>
        <v/>
      </c>
      <c r="H64" s="199" t="str">
        <f>IFERROR(INDEX(_TARGETS!$E$2:$E$17,MATCH($C64,_TARGETS!$A$2:$A$17,0))&amp;"","")</f>
        <v/>
      </c>
      <c r="I64" s="199" t="str">
        <f t="shared" si="0"/>
        <v/>
      </c>
      <c r="J64" s="193" t="str">
        <f t="shared" si="1"/>
        <v>Monthly</v>
      </c>
      <c r="K64" s="248">
        <f>Datos!F75</f>
        <v>0</v>
      </c>
      <c r="M64" s="193">
        <f>INDEX(_TARGETS!$J$2:$J$17,MATCH($C64,_TARGETS!$A$2:$A$17,0))</f>
        <v>1</v>
      </c>
      <c r="N64" s="193" t="str">
        <f>INDEX(_TARGETS!$D$2:$D$17,MATCH($C64,_TARGETS!$A$2:$A$17,0))</f>
        <v>u</v>
      </c>
      <c r="O64" s="193" t="str">
        <f>IF(NOT(ISNUMBER(F64)),"MISSING","OK")</f>
        <v>MISSING</v>
      </c>
      <c r="P64" s="193" t="str">
        <f>INDEX(_TARGETS!$K$2:$K$17,MATCH($C64,_TARGETS!$A$2:$A$17,0))</f>
        <v>Plant Findings (hoja Observaciones-SMP)</v>
      </c>
      <c r="Q64" s="193" t="str">
        <f t="shared" si="2"/>
        <v>202610|DET|Monthly</v>
      </c>
      <c r="R64" s="193" t="str">
        <f>INDEX(_TARGETS!$H$2:$H$17,MATCH($C64,_TARGETS!$A$2:$A$17,0))</f>
        <v>Solo reporte</v>
      </c>
      <c r="S64" s="193" t="str">
        <f t="shared" si="3"/>
        <v/>
      </c>
      <c r="T64" s="193" t="str">
        <f t="shared" si="4"/>
        <v/>
      </c>
    </row>
    <row r="65" spans="1:20" ht="13.5" customHeight="1" x14ac:dyDescent="0.3">
      <c r="A65" s="245">
        <f>KPIs!$G$3</f>
        <v>46327</v>
      </c>
      <c r="B65" s="199" t="str">
        <f>KPIs!G$4</f>
        <v>Compresora</v>
      </c>
      <c r="C65" s="31" t="s">
        <v>39</v>
      </c>
      <c r="D65" s="199" t="str">
        <f>KPIs!$A$6</f>
        <v>1 · Frecuencia de casos con días perdidos</v>
      </c>
      <c r="E65" s="31" t="s">
        <v>599</v>
      </c>
      <c r="F65" s="247" t="str">
        <f>IF(ISNUMBER(KPIs!G6),KPIs!G6,"")</f>
        <v/>
      </c>
      <c r="G65" s="247">
        <f>IF(ISNUMBER(KPIs!$C$6),KPIs!$C$6,"")</f>
        <v>0</v>
      </c>
      <c r="H65" s="199" t="str">
        <f>IFERROR(INDEX(_TARGETS!$E$2:$E$17,MATCH($C65,_TARGETS!$A$2:$A$17,0))&amp;"","")</f>
        <v>≤</v>
      </c>
      <c r="I65" s="199" t="str">
        <f t="shared" si="0"/>
        <v/>
      </c>
      <c r="J65" s="193" t="str">
        <f t="shared" si="1"/>
        <v>Monthly</v>
      </c>
      <c r="K65" s="248">
        <f>Datos!G33</f>
        <v>0</v>
      </c>
      <c r="L65" s="248">
        <f>Datos!G14</f>
        <v>0</v>
      </c>
      <c r="M65" s="193">
        <f>INDEX(_TARGETS!$J$2:$J$17,MATCH($C65,_TARGETS!$A$2:$A$17,0))</f>
        <v>1000000</v>
      </c>
      <c r="N65" s="193" t="str">
        <f>INDEX(_TARGETS!$D$2:$D$17,MATCH($C65,_TARGETS!$A$2:$A$17,0))</f>
        <v>casos / 10^6 HH</v>
      </c>
      <c r="O65" s="193" t="str">
        <f>IF(NOT(ISNUMBER(F65)),"MISSING",IF((COUNTBLANK(Datos!G12)+COUNTBLANK(Datos!G13)+COUNTBLANK(Datos!G33))&gt;0,"INCOMPLETE","OK"))</f>
        <v>MISSING</v>
      </c>
      <c r="P65" s="193" t="str">
        <f>INDEX(_TARGETS!$K$2:$K$17,MATCH($C65,_TARGETS!$A$2:$A$17,0))</f>
        <v>OPS (carga manual en Datos)</v>
      </c>
      <c r="Q65" s="193" t="str">
        <f t="shared" si="2"/>
        <v>202611|DAFWCF|Monthly</v>
      </c>
      <c r="R65" s="193" t="str">
        <f>INDEX(_TARGETS!$H$2:$H$17,MATCH($C65,_TARGETS!$A$2:$A$17,0))</f>
        <v>Definida</v>
      </c>
      <c r="S65" s="193" t="str">
        <f t="shared" si="3"/>
        <v/>
      </c>
      <c r="T65" s="193" t="str">
        <f t="shared" si="4"/>
        <v/>
      </c>
    </row>
    <row r="66" spans="1:20" ht="13.5" customHeight="1" x14ac:dyDescent="0.3">
      <c r="A66" s="245">
        <f>KPIs!$G$3</f>
        <v>46327</v>
      </c>
      <c r="B66" s="199" t="str">
        <f>KPIs!G$4</f>
        <v>Compresora</v>
      </c>
      <c r="C66" s="31" t="s">
        <v>49</v>
      </c>
      <c r="D66" s="199" t="str">
        <f>KPIs!$A$7</f>
        <v>2 · Frecuencia de casos registrables</v>
      </c>
      <c r="E66" s="31" t="s">
        <v>599</v>
      </c>
      <c r="F66" s="247" t="str">
        <f>IF(ISNUMBER(KPIs!G7),KPIs!G7,"")</f>
        <v/>
      </c>
      <c r="G66" s="247">
        <f>IF(ISNUMBER(KPIs!$C$7),KPIs!$C$7,"")</f>
        <v>2.35</v>
      </c>
      <c r="H66" s="199" t="str">
        <f>IFERROR(INDEX(_TARGETS!$E$2:$E$17,MATCH($C66,_TARGETS!$A$2:$A$17,0))&amp;"","")</f>
        <v>≤</v>
      </c>
      <c r="I66" s="199" t="str">
        <f t="shared" ref="I66:I129" si="5">IF(OR(H66="",F66="",G66=""),"",IF(IF(H66="≤",F66&lt;=G66,F66&gt;=G66),"Sí","No"))</f>
        <v/>
      </c>
      <c r="J66" s="193" t="str">
        <f t="shared" ref="J66:J129" si="6">IF(E66="Mensual","Monthly",IF(E66="Acumulado","Cumulative",E66))</f>
        <v>Monthly</v>
      </c>
      <c r="K66" s="193">
        <f>Datos!G33+Datos!G34+Datos!G35+Datos!G36</f>
        <v>0</v>
      </c>
      <c r="L66" s="248">
        <f>Datos!G14</f>
        <v>0</v>
      </c>
      <c r="M66" s="193">
        <f>INDEX(_TARGETS!$J$2:$J$17,MATCH($C66,_TARGETS!$A$2:$A$17,0))</f>
        <v>1000000</v>
      </c>
      <c r="N66" s="193" t="str">
        <f>INDEX(_TARGETS!$D$2:$D$17,MATCH($C66,_TARGETS!$A$2:$A$17,0))</f>
        <v>casos / 10^6 HH</v>
      </c>
      <c r="O66" s="193" t="str">
        <f>IF(NOT(ISNUMBER(F66)),"MISSING",IF((COUNTBLANK(Datos!G12)+COUNTBLANK(Datos!G13)+COUNTBLANK(Datos!G33)+COUNTBLANK(Datos!G34)+COUNTBLANK(Datos!G35)+COUNTBLANK(Datos!G36))&gt;0,"INCOMPLETE","OK"))</f>
        <v>MISSING</v>
      </c>
      <c r="P66" s="193" t="str">
        <f>INDEX(_TARGETS!$K$2:$K$17,MATCH($C66,_TARGETS!$A$2:$A$17,0))</f>
        <v>OPS (carga manual en Datos)</v>
      </c>
      <c r="Q66" s="193" t="str">
        <f t="shared" ref="Q66:Q129" si="7">YEAR(A66)*100+MONTH(A66)&amp;"|"&amp;C66&amp;"|"&amp;J66</f>
        <v>202611|TRICF|Monthly</v>
      </c>
      <c r="R66" s="193" t="str">
        <f>INDEX(_TARGETS!$H$2:$H$17,MATCH($C66,_TARGETS!$A$2:$A$17,0))</f>
        <v>Definida</v>
      </c>
      <c r="S66" s="193" t="str">
        <f t="shared" ref="S66:S129" si="8">IF(AND(ISNUMBER(K66),ISNUMBER(L66)),IF(L66=0,"",K66*M66/L66),IF(ISNUMBER(K66),K66*M66,""))</f>
        <v/>
      </c>
      <c r="T66" s="193" t="str">
        <f t="shared" ref="T66:T129" si="9">IF(AND(ISNUMBER(F66),ISNUMBER(S66)),ABS(F66-S66),"")</f>
        <v/>
      </c>
    </row>
    <row r="67" spans="1:20" ht="13.5" customHeight="1" x14ac:dyDescent="0.3">
      <c r="A67" s="245">
        <f>KPIs!$G$3</f>
        <v>46327</v>
      </c>
      <c r="B67" s="199" t="str">
        <f>KPIs!G$4</f>
        <v>Compresora</v>
      </c>
      <c r="C67" s="31" t="s">
        <v>51</v>
      </c>
      <c r="D67" s="199" t="str">
        <f>KPIs!$A$8</f>
        <v>3 · Casos de primeros auxilios</v>
      </c>
      <c r="E67" s="31" t="s">
        <v>599</v>
      </c>
      <c r="F67" s="247" t="str">
        <f>IF(ISNUMBER(KPIs!G8),KPIs!G8,"")</f>
        <v/>
      </c>
      <c r="G67" s="247" t="str">
        <f>IF(ISNUMBER(KPIs!$C$8),KPIs!$C$8,"")</f>
        <v/>
      </c>
      <c r="H67" s="199" t="str">
        <f>IFERROR(INDEX(_TARGETS!$E$2:$E$17,MATCH($C67,_TARGETS!$A$2:$A$17,0))&amp;"","")</f>
        <v/>
      </c>
      <c r="I67" s="199" t="str">
        <f t="shared" si="5"/>
        <v/>
      </c>
      <c r="J67" s="193" t="str">
        <f t="shared" si="6"/>
        <v>Monthly</v>
      </c>
      <c r="K67" s="248">
        <f>Datos!G37</f>
        <v>0</v>
      </c>
      <c r="M67" s="193">
        <f>INDEX(_TARGETS!$J$2:$J$17,MATCH($C67,_TARGETS!$A$2:$A$17,0))</f>
        <v>1</v>
      </c>
      <c r="N67" s="193" t="str">
        <f>INDEX(_TARGETS!$D$2:$D$17,MATCH($C67,_TARGETS!$A$2:$A$17,0))</f>
        <v>casos</v>
      </c>
      <c r="O67" s="193" t="str">
        <f>IF(NOT(ISNUMBER(F67)),"MISSING",IF((COUNTBLANK(Datos!G12)+COUNTBLANK(Datos!G13)+COUNTBLANK(Datos!G37))&gt;0,"INCOMPLETE","OK"))</f>
        <v>MISSING</v>
      </c>
      <c r="P67" s="193" t="str">
        <f>INDEX(_TARGETS!$K$2:$K$17,MATCH($C67,_TARGETS!$A$2:$A$17,0))</f>
        <v>OPS (carga manual en Datos)</v>
      </c>
      <c r="Q67" s="193" t="str">
        <f t="shared" si="7"/>
        <v>202611|FAC|Monthly</v>
      </c>
      <c r="R67" s="193" t="str">
        <f>INDEX(_TARGETS!$H$2:$H$17,MATCH($C67,_TARGETS!$A$2:$A$17,0))</f>
        <v>Solo reporte</v>
      </c>
      <c r="S67" s="193" t="str">
        <f t="shared" si="8"/>
        <v/>
      </c>
      <c r="T67" s="193" t="str">
        <f t="shared" si="9"/>
        <v/>
      </c>
    </row>
    <row r="68" spans="1:20" ht="13.5" customHeight="1" x14ac:dyDescent="0.3">
      <c r="A68" s="245">
        <f>KPIs!$G$3</f>
        <v>46327</v>
      </c>
      <c r="B68" s="199" t="str">
        <f>KPIs!G$4</f>
        <v>Compresora</v>
      </c>
      <c r="C68" s="31" t="s">
        <v>57</v>
      </c>
      <c r="D68" s="199" t="str">
        <f>KPIs!$A$10</f>
        <v>4 · Accidentes vehiculares severos por millón de km</v>
      </c>
      <c r="E68" s="31" t="s">
        <v>599</v>
      </c>
      <c r="F68" s="247" t="str">
        <f>IF(ISNUMBER(KPIs!G10),KPIs!G10,"")</f>
        <v/>
      </c>
      <c r="G68" s="247" t="str">
        <f>IF(ISNUMBER(KPIs!$C$10),KPIs!$C$10,"")</f>
        <v/>
      </c>
      <c r="H68" s="199" t="str">
        <f>IFERROR(INDEX(_TARGETS!$E$2:$E$17,MATCH($C68,_TARGETS!$A$2:$A$17,0))&amp;"","")</f>
        <v/>
      </c>
      <c r="I68" s="199" t="str">
        <f t="shared" si="5"/>
        <v/>
      </c>
      <c r="J68" s="193" t="str">
        <f t="shared" si="6"/>
        <v>Monthly</v>
      </c>
      <c r="K68" s="193">
        <f>Datos!G39+Datos!G40+Datos!G41</f>
        <v>0</v>
      </c>
      <c r="L68" s="248">
        <f>Datos!G47</f>
        <v>0</v>
      </c>
      <c r="M68" s="193">
        <f>INDEX(_TARGETS!$J$2:$J$17,MATCH($C68,_TARGETS!$A$2:$A$17,0))</f>
        <v>1000000</v>
      </c>
      <c r="N68" s="193" t="str">
        <f>INDEX(_TARGETS!$D$2:$D$17,MATCH($C68,_TARGETS!$A$2:$A$17,0))</f>
        <v>eventos / 10^6 km</v>
      </c>
      <c r="O68" s="193" t="str">
        <f>IF(NOT(ISNUMBER(F68)),"MISSING",IF((COUNTBLANK(Datos!G44)+COUNTBLANK(Datos!G45)+COUNTBLANK(Datos!G46)+COUNTBLANK(Datos!G39)+COUNTBLANK(Datos!G40)+COUNTBLANK(Datos!G41))&gt;0,"INCOMPLETE","OK"))</f>
        <v>MISSING</v>
      </c>
      <c r="P68" s="193" t="str">
        <f>INDEX(_TARGETS!$K$2:$K$17,MATCH($C68,_TARGETS!$A$2:$A$17,0))</f>
        <v>OPS (eventos) + Full Control GPS (km) - carga manual en Datos</v>
      </c>
      <c r="Q68" s="193" t="str">
        <f t="shared" si="7"/>
        <v>202611|SVCR|Monthly</v>
      </c>
      <c r="R68" s="193" t="str">
        <f>INDEX(_TARGETS!$H$2:$H$17,MATCH($C68,_TARGETS!$A$2:$A$17,0))</f>
        <v>Solo reporte</v>
      </c>
      <c r="S68" s="193" t="str">
        <f t="shared" si="8"/>
        <v/>
      </c>
      <c r="T68" s="193" t="str">
        <f t="shared" si="9"/>
        <v/>
      </c>
    </row>
    <row r="69" spans="1:20" ht="13.5" customHeight="1" x14ac:dyDescent="0.3">
      <c r="A69" s="245">
        <f>KPIs!$G$3</f>
        <v>46327</v>
      </c>
      <c r="B69" s="199" t="str">
        <f>KPIs!G$4</f>
        <v>Compresora</v>
      </c>
      <c r="C69" s="31" t="s">
        <v>61</v>
      </c>
      <c r="D69" s="199" t="str">
        <f>KPIs!$A$11</f>
        <v>5 · Accidentes vehiculares totales por millón de km</v>
      </c>
      <c r="E69" s="31" t="s">
        <v>599</v>
      </c>
      <c r="F69" s="247" t="str">
        <f>IF(ISNUMBER(KPIs!G11),KPIs!G11,"")</f>
        <v/>
      </c>
      <c r="G69" s="247">
        <f>IF(ISNUMBER(KPIs!$C$11),KPIs!$C$11,"")</f>
        <v>0.79</v>
      </c>
      <c r="H69" s="199" t="str">
        <f>IFERROR(INDEX(_TARGETS!$E$2:$E$17,MATCH($C69,_TARGETS!$A$2:$A$17,0))&amp;"","")</f>
        <v>≤</v>
      </c>
      <c r="I69" s="199" t="str">
        <f t="shared" si="5"/>
        <v/>
      </c>
      <c r="J69" s="193" t="str">
        <f t="shared" si="6"/>
        <v>Monthly</v>
      </c>
      <c r="K69" s="193">
        <f>Datos!G39+Datos!G40+Datos!G41+Datos!G42</f>
        <v>0</v>
      </c>
      <c r="L69" s="248">
        <f>Datos!G47</f>
        <v>0</v>
      </c>
      <c r="M69" s="193">
        <f>INDEX(_TARGETS!$J$2:$J$17,MATCH($C69,_TARGETS!$A$2:$A$17,0))</f>
        <v>1000000</v>
      </c>
      <c r="N69" s="193" t="str">
        <f>INDEX(_TARGETS!$D$2:$D$17,MATCH($C69,_TARGETS!$A$2:$A$17,0))</f>
        <v>eventos / 10^6 km</v>
      </c>
      <c r="O69" s="193" t="str">
        <f>IF(NOT(ISNUMBER(F69)),"MISSING",IF((COUNTBLANK(Datos!G44)+COUNTBLANK(Datos!G45)+COUNTBLANK(Datos!G46)+COUNTBLANK(Datos!G39)+COUNTBLANK(Datos!G40)+COUNTBLANK(Datos!G41)+COUNTBLANK(Datos!G42))&gt;0,"INCOMPLETE","OK"))</f>
        <v>MISSING</v>
      </c>
      <c r="P69" s="193" t="str">
        <f>INDEX(_TARGETS!$K$2:$K$17,MATCH($C69,_TARGETS!$A$2:$A$17,0))</f>
        <v>OPS (eventos) + Full Control GPS (km) - carga manual en Datos</v>
      </c>
      <c r="Q69" s="193" t="str">
        <f t="shared" si="7"/>
        <v>202611|TVCR|Monthly</v>
      </c>
      <c r="R69" s="193" t="str">
        <f>INDEX(_TARGETS!$H$2:$H$17,MATCH($C69,_TARGETS!$A$2:$A$17,0))</f>
        <v>Definida</v>
      </c>
      <c r="S69" s="193" t="str">
        <f t="shared" si="8"/>
        <v/>
      </c>
      <c r="T69" s="193" t="str">
        <f t="shared" si="9"/>
        <v/>
      </c>
    </row>
    <row r="70" spans="1:20" ht="13.5" customHeight="1" x14ac:dyDescent="0.3">
      <c r="A70" s="245">
        <f>KPIs!$G$3</f>
        <v>46327</v>
      </c>
      <c r="B70" s="199" t="str">
        <f>KPIs!G$4</f>
        <v>Compresora</v>
      </c>
      <c r="C70" s="31" t="s">
        <v>63</v>
      </c>
      <c r="D70" s="199" t="str">
        <f>KPIs!$A$13</f>
        <v>6 · Observaciones de seguridad por persona</v>
      </c>
      <c r="E70" s="31" t="s">
        <v>599</v>
      </c>
      <c r="F70" s="247" t="str">
        <f>IF(ISNUMBER(KPIs!G13),KPIs!G13,"")</f>
        <v/>
      </c>
      <c r="G70" s="247">
        <f>IF(ISNUMBER(KPIs!$C$13),KPIs!$C$13,"")</f>
        <v>1</v>
      </c>
      <c r="H70" s="199" t="str">
        <f>IFERROR(INDEX(_TARGETS!$E$2:$E$17,MATCH($C70,_TARGETS!$A$2:$A$17,0))&amp;"","")</f>
        <v>≥</v>
      </c>
      <c r="I70" s="199" t="str">
        <f t="shared" si="5"/>
        <v/>
      </c>
      <c r="J70" s="193" t="str">
        <f t="shared" si="6"/>
        <v>Monthly</v>
      </c>
      <c r="K70" s="248" t="str">
        <f>IF(COUNT(Datos!G28:G29)=0,"",SUM(Datos!G28:G29))</f>
        <v/>
      </c>
      <c r="L70" s="248">
        <f>Datos!G11</f>
        <v>0</v>
      </c>
      <c r="M70" s="193">
        <f>INDEX(_TARGETS!$J$2:$J$17,MATCH($C70,_TARGETS!$A$2:$A$17,0))</f>
        <v>1</v>
      </c>
      <c r="N70" s="193" t="str">
        <f>INDEX(_TARGETS!$D$2:$D$17,MATCH($C70,_TARGETS!$A$2:$A$17,0))</f>
        <v>obs / persona</v>
      </c>
      <c r="O70" s="193" t="str">
        <f>IF(NOT(ISNUMBER(F70)),"MISSING",IF((COUNTBLANK(Datos!G9)+COUNTBLANK(Datos!G10)+IF(COUNT(Datos!G28:G29)=0,1,0))&gt;0,"INCOMPLETE","OK"))</f>
        <v>MISSING</v>
      </c>
      <c r="P70" s="193" t="str">
        <f>INDEX(_TARGETS!$K$2:$K$17,MATCH($C70,_TARGETS!$A$2:$A$17,0))</f>
        <v>OPS (carga manual en Datos)</v>
      </c>
      <c r="Q70" s="193" t="str">
        <f t="shared" si="7"/>
        <v>202611|OBS|Monthly</v>
      </c>
      <c r="R70" s="193" t="str">
        <f>INDEX(_TARGETS!$H$2:$H$17,MATCH($C70,_TARGETS!$A$2:$A$17,0))</f>
        <v>PROVISORIA · referencia del subcontratista (OPS: 1 obs/persona); meta y población en definición</v>
      </c>
      <c r="S70" s="193" t="str">
        <f t="shared" si="8"/>
        <v/>
      </c>
      <c r="T70" s="193" t="str">
        <f t="shared" si="9"/>
        <v/>
      </c>
    </row>
    <row r="71" spans="1:20" ht="13.5" customHeight="1" x14ac:dyDescent="0.3">
      <c r="A71" s="245">
        <f>KPIs!$G$3</f>
        <v>46327</v>
      </c>
      <c r="B71" s="199" t="str">
        <f>KPIs!G$4</f>
        <v>Compresora</v>
      </c>
      <c r="C71" s="31" t="s">
        <v>71</v>
      </c>
      <c r="D71" s="199" t="str">
        <f>KPIs!$A$14</f>
        <v>7 · Investigaciones de accidentes: días promedio de cierre</v>
      </c>
      <c r="E71" s="31" t="s">
        <v>599</v>
      </c>
      <c r="F71" s="247" t="str">
        <f>IF(ISNUMBER(KPIs!G14),KPIs!G14,"")</f>
        <v/>
      </c>
      <c r="G71" s="247">
        <f>IF(ISNUMBER(KPIs!$C$14),KPIs!$C$14,"")</f>
        <v>20</v>
      </c>
      <c r="H71" s="199" t="str">
        <f>IFERROR(INDEX(_TARGETS!$E$2:$E$17,MATCH($C71,_TARGETS!$A$2:$A$17,0))&amp;"","")</f>
        <v>≤</v>
      </c>
      <c r="I71" s="199" t="str">
        <f t="shared" si="5"/>
        <v/>
      </c>
      <c r="J71" s="193" t="str">
        <f t="shared" si="6"/>
        <v>Monthly</v>
      </c>
      <c r="K71" s="248">
        <f>Datos!G31</f>
        <v>0</v>
      </c>
      <c r="L71" s="248">
        <f>Datos!G30</f>
        <v>0</v>
      </c>
      <c r="M71" s="193">
        <f>INDEX(_TARGETS!$J$2:$J$17,MATCH($C71,_TARGETS!$A$2:$A$17,0))</f>
        <v>1</v>
      </c>
      <c r="N71" s="193" t="str">
        <f>INDEX(_TARGETS!$D$2:$D$17,MATCH($C71,_TARGETS!$A$2:$A$17,0))</f>
        <v>días</v>
      </c>
      <c r="O71" s="193" t="str">
        <f>IF(NOT(ISNUMBER(F71)),"MISSING",IF((COUNTBLANK(Datos!G30)+COUNTBLANK(Datos!G31))&gt;0,"INCOMPLETE","OK"))</f>
        <v>MISSING</v>
      </c>
      <c r="P71" s="193" t="str">
        <f>INDEX(_TARGETS!$K$2:$K$17,MATCH($C71,_TARGETS!$A$2:$A$17,0))</f>
        <v>OPS (carga manual en Datos)</v>
      </c>
      <c r="Q71" s="193" t="str">
        <f t="shared" si="7"/>
        <v>202611|INV|Monthly</v>
      </c>
      <c r="R71" s="193" t="str">
        <f>INDEX(_TARGETS!$H$2:$H$17,MATCH($C71,_TARGETS!$A$2:$A$17,0))</f>
        <v>Definida</v>
      </c>
      <c r="S71" s="193" t="str">
        <f t="shared" si="8"/>
        <v/>
      </c>
      <c r="T71" s="193" t="str">
        <f t="shared" si="9"/>
        <v/>
      </c>
    </row>
    <row r="72" spans="1:20" ht="13.5" customHeight="1" x14ac:dyDescent="0.3">
      <c r="A72" s="245">
        <f>KPIs!$G$3</f>
        <v>46327</v>
      </c>
      <c r="B72" s="199" t="str">
        <f>KPIs!G$4</f>
        <v>Compresora</v>
      </c>
      <c r="C72" s="31" t="s">
        <v>76</v>
      </c>
      <c r="D72" s="199" t="str">
        <f>KPIs!$A$16</f>
        <v>8 · % de capacitación en seguridad</v>
      </c>
      <c r="E72" s="31" t="s">
        <v>599</v>
      </c>
      <c r="F72" s="247" t="str">
        <f>IF(ISNUMBER(KPIs!G16),KPIs!G16,"")</f>
        <v/>
      </c>
      <c r="G72" s="247">
        <f>IF(ISNUMBER(KPIs!$C$16),KPIs!$C$16,"")</f>
        <v>0.01</v>
      </c>
      <c r="H72" s="199" t="str">
        <f>IFERROR(INDEX(_TARGETS!$E$2:$E$17,MATCH($C72,_TARGETS!$A$2:$A$17,0))&amp;"","")</f>
        <v>≥</v>
      </c>
      <c r="I72" s="199" t="str">
        <f t="shared" si="5"/>
        <v/>
      </c>
      <c r="J72" s="193" t="str">
        <f t="shared" si="6"/>
        <v>Monthly</v>
      </c>
      <c r="K72" s="248">
        <f>Datos!G18</f>
        <v>0</v>
      </c>
      <c r="L72" s="248">
        <f>Datos!G14</f>
        <v>0</v>
      </c>
      <c r="M72" s="193">
        <f>INDEX(_TARGETS!$J$2:$J$17,MATCH($C72,_TARGETS!$A$2:$A$17,0))</f>
        <v>1</v>
      </c>
      <c r="N72" s="193" t="str">
        <f>INDEX(_TARGETS!$D$2:$D$17,MATCH($C72,_TARGETS!$A$2:$A$17,0))</f>
        <v>% (fracción)</v>
      </c>
      <c r="O72" s="193" t="str">
        <f>IF(NOT(ISNUMBER(F72)),"MISSING",IF((COUNTBLANK(Datos!G16)+COUNTBLANK(Datos!G17)+COUNTBLANK(Datos!G12)+COUNTBLANK(Datos!G13))&gt;0,"INCOMPLETE","OK"))</f>
        <v>MISSING</v>
      </c>
      <c r="P72" s="193" t="str">
        <f>INDEX(_TARGETS!$K$2:$K$17,MATCH($C72,_TARGETS!$A$2:$A$17,0))</f>
        <v>OPS (carga manual en Datos)</v>
      </c>
      <c r="Q72" s="193" t="str">
        <f t="shared" si="7"/>
        <v>202611|HCS|Monthly</v>
      </c>
      <c r="R72" s="193" t="str">
        <f>INDEX(_TARGETS!$H$2:$H$17,MATCH($C72,_TARGETS!$A$2:$A$17,0))</f>
        <v>Definida</v>
      </c>
      <c r="S72" s="193" t="str">
        <f t="shared" si="8"/>
        <v/>
      </c>
      <c r="T72" s="193" t="str">
        <f t="shared" si="9"/>
        <v/>
      </c>
    </row>
    <row r="73" spans="1:20" ht="13.5" customHeight="1" x14ac:dyDescent="0.3">
      <c r="A73" s="245">
        <f>KPIs!$G$3</f>
        <v>46327</v>
      </c>
      <c r="B73" s="199" t="str">
        <f>KPIs!G$4</f>
        <v>Compresora</v>
      </c>
      <c r="C73" s="31" t="s">
        <v>80</v>
      </c>
      <c r="D73" s="199" t="str">
        <f>KPIs!$A$17</f>
        <v>9 · Horas de capacitación por persona</v>
      </c>
      <c r="E73" s="31" t="s">
        <v>599</v>
      </c>
      <c r="F73" s="247" t="str">
        <f>IF(ISNUMBER(KPIs!G17),KPIs!G17,"")</f>
        <v/>
      </c>
      <c r="G73" s="247" t="str">
        <f>IF(ISNUMBER(KPIs!$C$17),KPIs!$C$17,"")</f>
        <v/>
      </c>
      <c r="H73" s="199" t="str">
        <f>IFERROR(INDEX(_TARGETS!$E$2:$E$17,MATCH($C73,_TARGETS!$A$2:$A$17,0))&amp;"","")</f>
        <v/>
      </c>
      <c r="I73" s="199" t="str">
        <f t="shared" si="5"/>
        <v/>
      </c>
      <c r="J73" s="193" t="str">
        <f t="shared" si="6"/>
        <v>Monthly</v>
      </c>
      <c r="K73" s="248">
        <f>Datos!G18</f>
        <v>0</v>
      </c>
      <c r="L73" s="248">
        <f>Datos!G11</f>
        <v>0</v>
      </c>
      <c r="M73" s="193">
        <f>INDEX(_TARGETS!$J$2:$J$17,MATCH($C73,_TARGETS!$A$2:$A$17,0))</f>
        <v>1</v>
      </c>
      <c r="N73" s="193" t="str">
        <f>INDEX(_TARGETS!$D$2:$D$17,MATCH($C73,_TARGETS!$A$2:$A$17,0))</f>
        <v>h / persona</v>
      </c>
      <c r="O73" s="193" t="str">
        <f>IF(NOT(ISNUMBER(F73)),"MISSING",IF((COUNTBLANK(Datos!G16)+COUNTBLANK(Datos!G17)+COUNTBLANK(Datos!G9)+COUNTBLANK(Datos!G10))&gt;0,"INCOMPLETE","OK"))</f>
        <v>MISSING</v>
      </c>
      <c r="P73" s="193" t="str">
        <f>INDEX(_TARGETS!$K$2:$K$17,MATCH($C73,_TARGETS!$A$2:$A$17,0))</f>
        <v>OPS (carga manual en Datos)</v>
      </c>
      <c r="Q73" s="193" t="str">
        <f t="shared" si="7"/>
        <v>202611|HCSA|Monthly</v>
      </c>
      <c r="R73" s="193" t="str">
        <f>INDEX(_TARGETS!$H$2:$H$17,MATCH($C73,_TARGETS!$A$2:$A$17,0))</f>
        <v>Solo reporte</v>
      </c>
      <c r="S73" s="193" t="str">
        <f t="shared" si="8"/>
        <v/>
      </c>
      <c r="T73" s="193" t="str">
        <f t="shared" si="9"/>
        <v/>
      </c>
    </row>
    <row r="74" spans="1:20" ht="13.5" customHeight="1" x14ac:dyDescent="0.3">
      <c r="A74" s="245">
        <f>KPIs!$G$3</f>
        <v>46327</v>
      </c>
      <c r="B74" s="199" t="str">
        <f>KPIs!G$4</f>
        <v>Compresora</v>
      </c>
      <c r="C74" s="31" t="s">
        <v>83</v>
      </c>
      <c r="D74" s="199" t="str">
        <f>KPIs!$A$18</f>
        <v>10 · Cumplimiento de simulacros (emergencia y operativos)</v>
      </c>
      <c r="E74" s="31" t="s">
        <v>599</v>
      </c>
      <c r="F74" s="247" t="str">
        <f>IF(ISNUMBER(KPIs!G18),KPIs!G18,"")</f>
        <v/>
      </c>
      <c r="G74" s="247">
        <f>IF(ISNUMBER(KPIs!$C$18),KPIs!$C$18,"")</f>
        <v>1</v>
      </c>
      <c r="H74" s="199" t="str">
        <f>IFERROR(INDEX(_TARGETS!$E$2:$E$17,MATCH($C74,_TARGETS!$A$2:$A$17,0))&amp;"","")</f>
        <v>≥</v>
      </c>
      <c r="I74" s="199" t="str">
        <f t="shared" si="5"/>
        <v/>
      </c>
      <c r="J74" s="193" t="str">
        <f t="shared" si="6"/>
        <v>Monthly</v>
      </c>
      <c r="K74" s="248">
        <f>Datos!G20</f>
        <v>0</v>
      </c>
      <c r="L74" s="248">
        <f>Datos!G21</f>
        <v>0</v>
      </c>
      <c r="M74" s="193">
        <f>INDEX(_TARGETS!$J$2:$J$17,MATCH($C74,_TARGETS!$A$2:$A$17,0))</f>
        <v>1</v>
      </c>
      <c r="N74" s="193" t="str">
        <f>INDEX(_TARGETS!$D$2:$D$17,MATCH($C74,_TARGETS!$A$2:$A$17,0))</f>
        <v>% (fracción)</v>
      </c>
      <c r="O74" s="193" t="str">
        <f>IF(NOT(ISNUMBER(F74)),"MISSING",IF((COUNTBLANK(Datos!G20)+COUNTBLANK(Datos!G21))&gt;0,"INCOMPLETE","OK"))</f>
        <v>MISSING</v>
      </c>
      <c r="P74" s="193" t="str">
        <f>INDEX(_TARGETS!$K$2:$K$17,MATCH($C74,_TARGETS!$A$2:$A$17,0))</f>
        <v>OPS (carga manual en Datos)</v>
      </c>
      <c r="Q74" s="193" t="str">
        <f t="shared" si="7"/>
        <v>202611|CPSE|Monthly</v>
      </c>
      <c r="R74" s="193" t="str">
        <f>INDEX(_TARGETS!$H$2:$H$17,MATCH($C74,_TARGETS!$A$2:$A$17,0))</f>
        <v>Definida</v>
      </c>
      <c r="S74" s="193" t="str">
        <f t="shared" si="8"/>
        <v/>
      </c>
      <c r="T74" s="193" t="str">
        <f t="shared" si="9"/>
        <v/>
      </c>
    </row>
    <row r="75" spans="1:20" ht="13.5" customHeight="1" x14ac:dyDescent="0.3">
      <c r="A75" s="245">
        <f>KPIs!$G$3</f>
        <v>46327</v>
      </c>
      <c r="B75" s="199" t="str">
        <f>KPIs!G$4</f>
        <v>Compresora</v>
      </c>
      <c r="C75" s="31" t="s">
        <v>85</v>
      </c>
      <c r="D75" s="199" t="str">
        <f>KPIs!$A$19</f>
        <v>10b · Cumplimiento de acciones de mejora de simulacros</v>
      </c>
      <c r="E75" s="31" t="s">
        <v>599</v>
      </c>
      <c r="F75" s="247" t="str">
        <f>IF(ISNUMBER(KPIs!G19),KPIs!G19,"")</f>
        <v/>
      </c>
      <c r="G75" s="247" t="str">
        <f>IF(ISNUMBER(KPIs!$C$19),KPIs!$C$19,"")</f>
        <v/>
      </c>
      <c r="H75" s="199" t="str">
        <f>IFERROR(INDEX(_TARGETS!$E$2:$E$17,MATCH($C75,_TARGETS!$A$2:$A$17,0))&amp;"","")</f>
        <v/>
      </c>
      <c r="I75" s="199" t="str">
        <f t="shared" si="5"/>
        <v/>
      </c>
      <c r="J75" s="193" t="str">
        <f t="shared" si="6"/>
        <v>Monthly</v>
      </c>
      <c r="K75" s="248">
        <f>Datos!G23</f>
        <v>0</v>
      </c>
      <c r="L75" s="248">
        <f>Datos!G22</f>
        <v>0</v>
      </c>
      <c r="M75" s="193">
        <f>INDEX(_TARGETS!$J$2:$J$17,MATCH($C75,_TARGETS!$A$2:$A$17,0))</f>
        <v>1</v>
      </c>
      <c r="N75" s="193" t="str">
        <f>INDEX(_TARGETS!$D$2:$D$17,MATCH($C75,_TARGETS!$A$2:$A$17,0))</f>
        <v>% (fracción)</v>
      </c>
      <c r="O75" s="193" t="str">
        <f>IF(NOT(ISNUMBER(F75)),"MISSING",IF((COUNTBLANK(Datos!G23)+COUNTBLANK(Datos!G22))&gt;0,"INCOMPLETE","OK"))</f>
        <v>MISSING</v>
      </c>
      <c r="P75" s="193" t="str">
        <f>INDEX(_TARGETS!$K$2:$K$17,MATCH($C75,_TARGETS!$A$2:$A$17,0))</f>
        <v>OPS (carga manual en Datos)</v>
      </c>
      <c r="Q75" s="193" t="str">
        <f t="shared" si="7"/>
        <v>202611|CAMS|Monthly</v>
      </c>
      <c r="R75" s="193" t="str">
        <f>INDEX(_TARGETS!$H$2:$H$17,MATCH($C75,_TARGETS!$A$2:$A$17,0))</f>
        <v>Solo reporte</v>
      </c>
      <c r="S75" s="193" t="str">
        <f t="shared" si="8"/>
        <v/>
      </c>
      <c r="T75" s="193" t="str">
        <f t="shared" si="9"/>
        <v/>
      </c>
    </row>
    <row r="76" spans="1:20" ht="13.5" customHeight="1" x14ac:dyDescent="0.3">
      <c r="A76" s="245">
        <f>KPIs!$G$3</f>
        <v>46327</v>
      </c>
      <c r="B76" s="199" t="str">
        <f>KPIs!G$4</f>
        <v>Compresora</v>
      </c>
      <c r="C76" s="31" t="s">
        <v>87</v>
      </c>
      <c r="D76" s="199" t="str">
        <f>KPIs!$A$21</f>
        <v>11 · Cumplimiento de caminatas gerenciales</v>
      </c>
      <c r="E76" s="31" t="s">
        <v>599</v>
      </c>
      <c r="F76" s="247" t="str">
        <f>IF(ISNUMBER(KPIs!G21),KPIs!G21,"")</f>
        <v/>
      </c>
      <c r="G76" s="247">
        <f>IF(ISNUMBER(KPIs!$C$21),KPIs!$C$21,"")</f>
        <v>1</v>
      </c>
      <c r="H76" s="199" t="str">
        <f>IFERROR(INDEX(_TARGETS!$E$2:$E$17,MATCH($C76,_TARGETS!$A$2:$A$17,0))&amp;"","")</f>
        <v>≥</v>
      </c>
      <c r="I76" s="199" t="str">
        <f t="shared" si="5"/>
        <v/>
      </c>
      <c r="J76" s="193" t="str">
        <f t="shared" si="6"/>
        <v>Monthly</v>
      </c>
      <c r="K76" s="248">
        <f>Datos!G24</f>
        <v>0</v>
      </c>
      <c r="L76" s="248">
        <f>Datos!G25</f>
        <v>0</v>
      </c>
      <c r="M76" s="193">
        <f>INDEX(_TARGETS!$J$2:$J$17,MATCH($C76,_TARGETS!$A$2:$A$17,0))</f>
        <v>1</v>
      </c>
      <c r="N76" s="193" t="str">
        <f>INDEX(_TARGETS!$D$2:$D$17,MATCH($C76,_TARGETS!$A$2:$A$17,0))</f>
        <v>% (fracción)</v>
      </c>
      <c r="O76" s="193" t="str">
        <f>IF(NOT(ISNUMBER(F76)),"MISSING",IF((COUNTBLANK(Datos!G24)+COUNTBLANK(Datos!G25))&gt;0,"INCOMPLETE","OK"))</f>
        <v>MISSING</v>
      </c>
      <c r="P76" s="193" t="str">
        <f>INDEX(_TARGETS!$K$2:$K$17,MATCH($C76,_TARGETS!$A$2:$A$17,0))</f>
        <v>OPS (carga manual en Datos)</v>
      </c>
      <c r="Q76" s="193" t="str">
        <f t="shared" si="7"/>
        <v>202611|ICCS|Monthly</v>
      </c>
      <c r="R76" s="193" t="str">
        <f>INDEX(_TARGETS!$H$2:$H$17,MATCH($C76,_TARGETS!$A$2:$A$17,0))</f>
        <v>Definida</v>
      </c>
      <c r="S76" s="193" t="str">
        <f t="shared" si="8"/>
        <v/>
      </c>
      <c r="T76" s="193" t="str">
        <f t="shared" si="9"/>
        <v/>
      </c>
    </row>
    <row r="77" spans="1:20" ht="13.5" customHeight="1" x14ac:dyDescent="0.3">
      <c r="A77" s="245">
        <f>KPIs!$G$3</f>
        <v>46327</v>
      </c>
      <c r="B77" s="199" t="str">
        <f>KPIs!G$4</f>
        <v>Compresora</v>
      </c>
      <c r="C77" s="31" t="s">
        <v>89</v>
      </c>
      <c r="D77" s="199" t="str">
        <f>KPIs!$A$22</f>
        <v>12 · Cumplimiento de comités y subcomités de seguridad</v>
      </c>
      <c r="E77" s="31" t="s">
        <v>599</v>
      </c>
      <c r="F77" s="247" t="str">
        <f>IF(ISNUMBER(KPIs!G22),KPIs!G22,"")</f>
        <v/>
      </c>
      <c r="G77" s="247">
        <f>IF(ISNUMBER(KPIs!$C$22),KPIs!$C$22,"")</f>
        <v>1</v>
      </c>
      <c r="H77" s="199" t="str">
        <f>IFERROR(INDEX(_TARGETS!$E$2:$E$17,MATCH($C77,_TARGETS!$A$2:$A$17,0))&amp;"","")</f>
        <v>≥</v>
      </c>
      <c r="I77" s="199" t="str">
        <f t="shared" si="5"/>
        <v/>
      </c>
      <c r="J77" s="193" t="str">
        <f t="shared" si="6"/>
        <v>Monthly</v>
      </c>
      <c r="K77" s="248">
        <f>Datos!G26</f>
        <v>0</v>
      </c>
      <c r="L77" s="248">
        <f>Datos!G27</f>
        <v>0</v>
      </c>
      <c r="M77" s="193">
        <f>INDEX(_TARGETS!$J$2:$J$17,MATCH($C77,_TARGETS!$A$2:$A$17,0))</f>
        <v>1</v>
      </c>
      <c r="N77" s="193" t="str">
        <f>INDEX(_TARGETS!$D$2:$D$17,MATCH($C77,_TARGETS!$A$2:$A$17,0))</f>
        <v>% (fracción)</v>
      </c>
      <c r="O77" s="193" t="str">
        <f>IF(NOT(ISNUMBER(F77)),"MISSING",IF((COUNTBLANK(Datos!G26)+COUNTBLANK(Datos!G27))&gt;0,"INCOMPLETE","OK"))</f>
        <v>MISSING</v>
      </c>
      <c r="P77" s="193" t="str">
        <f>INDEX(_TARGETS!$K$2:$K$17,MATCH($C77,_TARGETS!$A$2:$A$17,0))</f>
        <v>OPS (carga manual en Datos)</v>
      </c>
      <c r="Q77" s="193" t="str">
        <f t="shared" si="7"/>
        <v>202611|CCS|Monthly</v>
      </c>
      <c r="R77" s="193" t="str">
        <f>INDEX(_TARGETS!$H$2:$H$17,MATCH($C77,_TARGETS!$A$2:$A$17,0))</f>
        <v>Definida</v>
      </c>
      <c r="S77" s="193" t="str">
        <f t="shared" si="8"/>
        <v/>
      </c>
      <c r="T77" s="193" t="str">
        <f t="shared" si="9"/>
        <v/>
      </c>
    </row>
    <row r="78" spans="1:20" ht="13.5" customHeight="1" x14ac:dyDescent="0.3">
      <c r="A78" s="245">
        <f>KPIs!$G$3</f>
        <v>46327</v>
      </c>
      <c r="B78" s="199" t="str">
        <f>KPIs!G$4</f>
        <v>Compresora</v>
      </c>
      <c r="C78" s="31" t="s">
        <v>91</v>
      </c>
      <c r="D78" s="199" t="str">
        <f>KPIs!$A$23</f>
        <v>13 · Días promedio para cerrar hallazgos</v>
      </c>
      <c r="E78" s="31" t="s">
        <v>599</v>
      </c>
      <c r="F78" s="247" t="str">
        <f>IF(ISNUMBER(KPIs!G23),KPIs!G23,"")</f>
        <v/>
      </c>
      <c r="G78" s="247" t="str">
        <f>IF(ISNUMBER(KPIs!$C$23),KPIs!$C$23,"")</f>
        <v/>
      </c>
      <c r="H78" s="199" t="str">
        <f>IFERROR(INDEX(_TARGETS!$E$2:$E$17,MATCH($C78,_TARGETS!$A$2:$A$17,0))&amp;"","")</f>
        <v>≤</v>
      </c>
      <c r="I78" s="199" t="str">
        <f t="shared" si="5"/>
        <v/>
      </c>
      <c r="J78" s="193" t="str">
        <f t="shared" si="6"/>
        <v>Monthly</v>
      </c>
      <c r="K78" s="248">
        <f>Datos!G68</f>
        <v>0</v>
      </c>
      <c r="L78" s="248">
        <f>Datos!G67</f>
        <v>0</v>
      </c>
      <c r="M78" s="193">
        <f>INDEX(_TARGETS!$J$2:$J$17,MATCH($C78,_TARGETS!$A$2:$A$17,0))</f>
        <v>1</v>
      </c>
      <c r="N78" s="193" t="str">
        <f>INDEX(_TARGETS!$D$2:$D$17,MATCH($C78,_TARGETS!$A$2:$A$17,0))</f>
        <v>días</v>
      </c>
      <c r="O78" s="193" t="str">
        <f>IF(NOT(ISNUMBER(F78)),"MISSING","OK")</f>
        <v>MISSING</v>
      </c>
      <c r="P78" s="193" t="str">
        <f>INDEX(_TARGETS!$K$2:$K$17,MATCH($C78,_TARGETS!$A$2:$A$17,0))</f>
        <v>Plant Findings (hoja Observaciones-SMP)</v>
      </c>
      <c r="Q78" s="193" t="str">
        <f t="shared" si="7"/>
        <v>202611|DPAS|Monthly</v>
      </c>
      <c r="R78" s="193" t="str">
        <f>INDEX(_TARGETS!$H$2:$H$17,MATCH($C78,_TARGETS!$A$2:$A$17,0))</f>
        <v>Pendiente (meta 2027)</v>
      </c>
      <c r="S78" s="193" t="str">
        <f t="shared" si="8"/>
        <v/>
      </c>
      <c r="T78" s="193" t="str">
        <f t="shared" si="9"/>
        <v/>
      </c>
    </row>
    <row r="79" spans="1:20" ht="13.5" customHeight="1" x14ac:dyDescent="0.3">
      <c r="A79" s="245">
        <f>KPIs!$G$3</f>
        <v>46327</v>
      </c>
      <c r="B79" s="199" t="str">
        <f>KPIs!G$4</f>
        <v>Compresora</v>
      </c>
      <c r="C79" s="31" t="s">
        <v>39</v>
      </c>
      <c r="D79" s="199" t="str">
        <f>KPIs!$A$26</f>
        <v>1 · Frecuencia de casos con días perdidos · ACUMULADO</v>
      </c>
      <c r="E79" s="31" t="s">
        <v>600</v>
      </c>
      <c r="F79" s="247" t="str">
        <f>IF(ISNUMBER(KPIs!G26),KPIs!G26,"")</f>
        <v/>
      </c>
      <c r="G79" s="247">
        <f>IF(ISNUMBER(KPIs!$C$26),KPIs!$C$26,"")</f>
        <v>0</v>
      </c>
      <c r="H79" s="199" t="str">
        <f>IFERROR(INDEX(_TARGETS!$E$2:$E$17,MATCH($C79,_TARGETS!$A$2:$A$17,0))&amp;"","")</f>
        <v>≤</v>
      </c>
      <c r="I79" s="199" t="str">
        <f t="shared" si="5"/>
        <v/>
      </c>
      <c r="J79" s="193" t="str">
        <f t="shared" si="6"/>
        <v>Cumulative</v>
      </c>
      <c r="K79" s="193">
        <f>SUM(Datos!$D33:G33)</f>
        <v>0</v>
      </c>
      <c r="L79" s="193">
        <f>SUM(Datos!$D14:G14)</f>
        <v>48332</v>
      </c>
      <c r="M79" s="193">
        <f>INDEX(_TARGETS!$J$2:$J$17,MATCH($C79,_TARGETS!$A$2:$A$17,0))</f>
        <v>1000000</v>
      </c>
      <c r="N79" s="193" t="str">
        <f>INDEX(_TARGETS!$D$2:$D$17,MATCH($C79,_TARGETS!$A$2:$A$17,0))</f>
        <v>casos / 10^6 HH</v>
      </c>
      <c r="O79" s="193" t="str">
        <f>IF(NOT(ISNUMBER(F79)),IF(SUMPRODUCT(($C$2:$C$1300=C79)*($J$2:$J$1300="Monthly")*($A$2:$A$1300&lt;=A79)*ISNUMBER($K$2:$K$1300)*ISNUMBER($L$2:$L$1300)*($L$2:$L$1300=0)*($K$2:$K$1300&gt;0))&gt;0,"INCOMPLETE","MISSING"),O65)</f>
        <v>MISSING</v>
      </c>
      <c r="P79" s="193" t="str">
        <f>INDEX(_TARGETS!$K$2:$K$17,MATCH($C79,_TARGETS!$A$2:$A$17,0))</f>
        <v>OPS (carga manual en Datos)</v>
      </c>
      <c r="Q79" s="193" t="str">
        <f t="shared" si="7"/>
        <v>202611|DAFWCF|Cumulative</v>
      </c>
      <c r="R79" s="193" t="str">
        <f>INDEX(_TARGETS!$H$2:$H$17,MATCH($C79,_TARGETS!$A$2:$A$17,0))</f>
        <v>Definida</v>
      </c>
      <c r="S79" s="193">
        <f t="shared" si="8"/>
        <v>0</v>
      </c>
      <c r="T79" s="193" t="str">
        <f t="shared" si="9"/>
        <v/>
      </c>
    </row>
    <row r="80" spans="1:20" ht="13.5" customHeight="1" x14ac:dyDescent="0.3">
      <c r="A80" s="245">
        <f>KPIs!$G$3</f>
        <v>46327</v>
      </c>
      <c r="B80" s="199" t="str">
        <f>KPIs!G$4</f>
        <v>Compresora</v>
      </c>
      <c r="C80" s="31" t="s">
        <v>49</v>
      </c>
      <c r="D80" s="199" t="str">
        <f>KPIs!$A$27</f>
        <v>2 · Frecuencia de casos registrables · ACUMULADO</v>
      </c>
      <c r="E80" s="31" t="s">
        <v>600</v>
      </c>
      <c r="F80" s="247" t="str">
        <f>IF(ISNUMBER(KPIs!G27),KPIs!G27,"")</f>
        <v/>
      </c>
      <c r="G80" s="247">
        <f>IF(ISNUMBER(KPIs!$C$27),KPIs!$C$27,"")</f>
        <v>2.35</v>
      </c>
      <c r="H80" s="199" t="str">
        <f>IFERROR(INDEX(_TARGETS!$E$2:$E$17,MATCH($C80,_TARGETS!$A$2:$A$17,0))&amp;"","")</f>
        <v>≤</v>
      </c>
      <c r="I80" s="199" t="str">
        <f t="shared" si="5"/>
        <v/>
      </c>
      <c r="J80" s="193" t="str">
        <f t="shared" si="6"/>
        <v>Cumulative</v>
      </c>
      <c r="K80" s="193">
        <f>SUM(Datos!$D33:G33)+SUM(Datos!$D34:G34)+SUM(Datos!$D35:G35)+SUM(Datos!$D36:G36)</f>
        <v>0</v>
      </c>
      <c r="L80" s="193">
        <f>SUM(Datos!$D14:G14)</f>
        <v>48332</v>
      </c>
      <c r="M80" s="193">
        <f>INDEX(_TARGETS!$J$2:$J$17,MATCH($C80,_TARGETS!$A$2:$A$17,0))</f>
        <v>1000000</v>
      </c>
      <c r="N80" s="193" t="str">
        <f>INDEX(_TARGETS!$D$2:$D$17,MATCH($C80,_TARGETS!$A$2:$A$17,0))</f>
        <v>casos / 10^6 HH</v>
      </c>
      <c r="O80" s="193" t="str">
        <f>IF(NOT(ISNUMBER(F80)),IF(SUMPRODUCT(($C$2:$C$1300=C80)*($J$2:$J$1300="Monthly")*($A$2:$A$1300&lt;=A80)*ISNUMBER($K$2:$K$1300)*ISNUMBER($L$2:$L$1300)*($L$2:$L$1300=0)*($K$2:$K$1300&gt;0))&gt;0,"INCOMPLETE","MISSING"),O66)</f>
        <v>MISSING</v>
      </c>
      <c r="P80" s="193" t="str">
        <f>INDEX(_TARGETS!$K$2:$K$17,MATCH($C80,_TARGETS!$A$2:$A$17,0))</f>
        <v>OPS (carga manual en Datos)</v>
      </c>
      <c r="Q80" s="193" t="str">
        <f t="shared" si="7"/>
        <v>202611|TRICF|Cumulative</v>
      </c>
      <c r="R80" s="193" t="str">
        <f>INDEX(_TARGETS!$H$2:$H$17,MATCH($C80,_TARGETS!$A$2:$A$17,0))</f>
        <v>Definida</v>
      </c>
      <c r="S80" s="193">
        <f t="shared" si="8"/>
        <v>0</v>
      </c>
      <c r="T80" s="193" t="str">
        <f t="shared" si="9"/>
        <v/>
      </c>
    </row>
    <row r="81" spans="1:20" ht="13.5" customHeight="1" x14ac:dyDescent="0.3">
      <c r="A81" s="245">
        <f>KPIs!$G$3</f>
        <v>46327</v>
      </c>
      <c r="B81" s="199" t="str">
        <f>KPIs!G$4</f>
        <v>Compresora</v>
      </c>
      <c r="C81" s="31" t="s">
        <v>51</v>
      </c>
      <c r="D81" s="199" t="str">
        <f>KPIs!$A$28</f>
        <v>3 · Casos de primeros auxilios · ACUMULADO</v>
      </c>
      <c r="E81" s="31" t="s">
        <v>600</v>
      </c>
      <c r="F81" s="247" t="str">
        <f>IF(ISNUMBER(KPIs!G28),KPIs!G28,"")</f>
        <v/>
      </c>
      <c r="G81" s="247" t="str">
        <f>IF(ISNUMBER(KPIs!$C$28),KPIs!$C$28,"")</f>
        <v/>
      </c>
      <c r="H81" s="199" t="str">
        <f>IFERROR(INDEX(_TARGETS!$E$2:$E$17,MATCH($C81,_TARGETS!$A$2:$A$17,0))&amp;"","")</f>
        <v/>
      </c>
      <c r="I81" s="199" t="str">
        <f t="shared" si="5"/>
        <v/>
      </c>
      <c r="J81" s="193" t="str">
        <f t="shared" si="6"/>
        <v>Cumulative</v>
      </c>
      <c r="K81" s="193">
        <f>SUM(Datos!$D37:G37)</f>
        <v>0</v>
      </c>
      <c r="M81" s="193">
        <f>INDEX(_TARGETS!$J$2:$J$17,MATCH($C81,_TARGETS!$A$2:$A$17,0))</f>
        <v>1</v>
      </c>
      <c r="N81" s="193" t="str">
        <f>INDEX(_TARGETS!$D$2:$D$17,MATCH($C81,_TARGETS!$A$2:$A$17,0))</f>
        <v>casos</v>
      </c>
      <c r="O81" s="193" t="str">
        <f>IF(NOT(ISNUMBER(F81)),IF(SUMPRODUCT(($C$2:$C$1300=C81)*($J$2:$J$1300="Monthly")*($A$2:$A$1300&lt;=A81)*ISNUMBER($K$2:$K$1300)*ISNUMBER($L$2:$L$1300)*($L$2:$L$1300=0)*($K$2:$K$1300&gt;0))&gt;0,"INCOMPLETE","MISSING"),O67)</f>
        <v>MISSING</v>
      </c>
      <c r="P81" s="193" t="str">
        <f>INDEX(_TARGETS!$K$2:$K$17,MATCH($C81,_TARGETS!$A$2:$A$17,0))</f>
        <v>OPS (carga manual en Datos)</v>
      </c>
      <c r="Q81" s="193" t="str">
        <f t="shared" si="7"/>
        <v>202611|FAC|Cumulative</v>
      </c>
      <c r="R81" s="193" t="str">
        <f>INDEX(_TARGETS!$H$2:$H$17,MATCH($C81,_TARGETS!$A$2:$A$17,0))</f>
        <v>Solo reporte</v>
      </c>
      <c r="S81" s="193">
        <f t="shared" si="8"/>
        <v>0</v>
      </c>
      <c r="T81" s="193" t="str">
        <f t="shared" si="9"/>
        <v/>
      </c>
    </row>
    <row r="82" spans="1:20" ht="13.5" customHeight="1" x14ac:dyDescent="0.3">
      <c r="A82" s="245">
        <f>KPIs!$G$3</f>
        <v>46327</v>
      </c>
      <c r="B82" s="199" t="str">
        <f>KPIs!G$4</f>
        <v>Compresora</v>
      </c>
      <c r="C82" s="31" t="s">
        <v>57</v>
      </c>
      <c r="D82" s="199" t="str">
        <f>KPIs!$A$29</f>
        <v>4 · Accidentes vehiculares severos · ACUMULADO</v>
      </c>
      <c r="E82" s="31" t="s">
        <v>600</v>
      </c>
      <c r="F82" s="247" t="str">
        <f>IF(ISNUMBER(KPIs!G29),KPIs!G29,"")</f>
        <v/>
      </c>
      <c r="G82" s="247" t="str">
        <f>IF(ISNUMBER(KPIs!$C$29),KPIs!$C$29,"")</f>
        <v/>
      </c>
      <c r="H82" s="199" t="str">
        <f>IFERROR(INDEX(_TARGETS!$E$2:$E$17,MATCH($C82,_TARGETS!$A$2:$A$17,0))&amp;"","")</f>
        <v/>
      </c>
      <c r="I82" s="199" t="str">
        <f t="shared" si="5"/>
        <v/>
      </c>
      <c r="J82" s="193" t="str">
        <f t="shared" si="6"/>
        <v>Cumulative</v>
      </c>
      <c r="K82" s="193">
        <f>SUM(Datos!$D39:G39)+SUM(Datos!$D40:G40)+SUM(Datos!$D41:G41)</f>
        <v>0</v>
      </c>
      <c r="L82" s="193">
        <f>SUM(Datos!$D47:G47)</f>
        <v>172824</v>
      </c>
      <c r="M82" s="193">
        <f>INDEX(_TARGETS!$J$2:$J$17,MATCH($C82,_TARGETS!$A$2:$A$17,0))</f>
        <v>1000000</v>
      </c>
      <c r="N82" s="193" t="str">
        <f>INDEX(_TARGETS!$D$2:$D$17,MATCH($C82,_TARGETS!$A$2:$A$17,0))</f>
        <v>eventos / 10^6 km</v>
      </c>
      <c r="O82" s="193" t="str">
        <f>IF(NOT(ISNUMBER(F82)),IF(SUMPRODUCT(($C$2:$C$1300=C82)*($J$2:$J$1300="Monthly")*($A$2:$A$1300&lt;=A82)*ISNUMBER($K$2:$K$1300)*ISNUMBER($L$2:$L$1300)*($L$2:$L$1300=0)*($K$2:$K$1300&gt;0))&gt;0,"INCOMPLETE","MISSING"),O68)</f>
        <v>MISSING</v>
      </c>
      <c r="P82" s="193" t="str">
        <f>INDEX(_TARGETS!$K$2:$K$17,MATCH($C82,_TARGETS!$A$2:$A$17,0))</f>
        <v>OPS (eventos) + Full Control GPS (km) - carga manual en Datos</v>
      </c>
      <c r="Q82" s="193" t="str">
        <f t="shared" si="7"/>
        <v>202611|SVCR|Cumulative</v>
      </c>
      <c r="R82" s="193" t="str">
        <f>INDEX(_TARGETS!$H$2:$H$17,MATCH($C82,_TARGETS!$A$2:$A$17,0))</f>
        <v>Solo reporte</v>
      </c>
      <c r="S82" s="193">
        <f t="shared" si="8"/>
        <v>0</v>
      </c>
      <c r="T82" s="193" t="str">
        <f t="shared" si="9"/>
        <v/>
      </c>
    </row>
    <row r="83" spans="1:20" ht="13.5" customHeight="1" x14ac:dyDescent="0.3">
      <c r="A83" s="245">
        <f>KPIs!$G$3</f>
        <v>46327</v>
      </c>
      <c r="B83" s="199" t="str">
        <f>KPIs!G$4</f>
        <v>Compresora</v>
      </c>
      <c r="C83" s="31" t="s">
        <v>61</v>
      </c>
      <c r="D83" s="199" t="str">
        <f>KPIs!$A$30</f>
        <v>5 · Accidentes vehiculares totales · ACUMULADO</v>
      </c>
      <c r="E83" s="31" t="s">
        <v>600</v>
      </c>
      <c r="F83" s="247" t="str">
        <f>IF(ISNUMBER(KPIs!G30),KPIs!G30,"")</f>
        <v/>
      </c>
      <c r="G83" s="247">
        <f>IF(ISNUMBER(KPIs!$C$30),KPIs!$C$30,"")</f>
        <v>0.79</v>
      </c>
      <c r="H83" s="199" t="str">
        <f>IFERROR(INDEX(_TARGETS!$E$2:$E$17,MATCH($C83,_TARGETS!$A$2:$A$17,0))&amp;"","")</f>
        <v>≤</v>
      </c>
      <c r="I83" s="199" t="str">
        <f t="shared" si="5"/>
        <v/>
      </c>
      <c r="J83" s="193" t="str">
        <f t="shared" si="6"/>
        <v>Cumulative</v>
      </c>
      <c r="K83" s="193">
        <f>SUM(Datos!$D39:G39)+SUM(Datos!$D40:G40)+SUM(Datos!$D41:G41)+SUM(Datos!$D42:G42)</f>
        <v>0</v>
      </c>
      <c r="L83" s="193">
        <f>SUM(Datos!$D47:G47)</f>
        <v>172824</v>
      </c>
      <c r="M83" s="193">
        <f>INDEX(_TARGETS!$J$2:$J$17,MATCH($C83,_TARGETS!$A$2:$A$17,0))</f>
        <v>1000000</v>
      </c>
      <c r="N83" s="193" t="str">
        <f>INDEX(_TARGETS!$D$2:$D$17,MATCH($C83,_TARGETS!$A$2:$A$17,0))</f>
        <v>eventos / 10^6 km</v>
      </c>
      <c r="O83" s="193" t="str">
        <f>IF(NOT(ISNUMBER(F83)),IF(SUMPRODUCT(($C$2:$C$1300=C83)*($J$2:$J$1300="Monthly")*($A$2:$A$1300&lt;=A83)*ISNUMBER($K$2:$K$1300)*ISNUMBER($L$2:$L$1300)*($L$2:$L$1300=0)*($K$2:$K$1300&gt;0))&gt;0,"INCOMPLETE","MISSING"),O69)</f>
        <v>MISSING</v>
      </c>
      <c r="P83" s="193" t="str">
        <f>INDEX(_TARGETS!$K$2:$K$17,MATCH($C83,_TARGETS!$A$2:$A$17,0))</f>
        <v>OPS (eventos) + Full Control GPS (km) - carga manual en Datos</v>
      </c>
      <c r="Q83" s="193" t="str">
        <f t="shared" si="7"/>
        <v>202611|TVCR|Cumulative</v>
      </c>
      <c r="R83" s="193" t="str">
        <f>INDEX(_TARGETS!$H$2:$H$17,MATCH($C83,_TARGETS!$A$2:$A$17,0))</f>
        <v>Definida</v>
      </c>
      <c r="S83" s="193">
        <f t="shared" si="8"/>
        <v>0</v>
      </c>
      <c r="T83" s="193" t="str">
        <f t="shared" si="9"/>
        <v/>
      </c>
    </row>
    <row r="84" spans="1:20" ht="13.5" customHeight="1" x14ac:dyDescent="0.3">
      <c r="A84" s="245">
        <f>KPIs!$G$3</f>
        <v>46327</v>
      </c>
      <c r="B84" s="199" t="str">
        <f>KPIs!G$4</f>
        <v>Compresora</v>
      </c>
      <c r="C84" s="31" t="s">
        <v>96</v>
      </c>
      <c r="D84" s="199" t="str">
        <f>KPIs!$A$33</f>
        <v>C1 · % de desvíos detectados de gravedad Alta</v>
      </c>
      <c r="E84" s="31" t="s">
        <v>599</v>
      </c>
      <c r="F84" s="247" t="str">
        <f>IF(ISNUMBER(KPIs!G33),KPIs!G33,"")</f>
        <v/>
      </c>
      <c r="G84" s="247" t="str">
        <f>IF(ISNUMBER(KPIs!$C$33),KPIs!$C$33,"")</f>
        <v/>
      </c>
      <c r="H84" s="199" t="str">
        <f>IFERROR(INDEX(_TARGETS!$E$2:$E$17,MATCH($C84,_TARGETS!$A$2:$A$17,0))&amp;"","")</f>
        <v/>
      </c>
      <c r="I84" s="199" t="str">
        <f t="shared" si="5"/>
        <v/>
      </c>
      <c r="J84" s="193" t="str">
        <f t="shared" si="6"/>
        <v>Monthly</v>
      </c>
      <c r="K84" s="248">
        <f>Datos!G71</f>
        <v>0</v>
      </c>
      <c r="L84" s="193">
        <f>Datos!G71+Datos!G72+Datos!G73</f>
        <v>0</v>
      </c>
      <c r="M84" s="193">
        <f>INDEX(_TARGETS!$J$2:$J$17,MATCH($C84,_TARGETS!$A$2:$A$17,0))</f>
        <v>1</v>
      </c>
      <c r="N84" s="193" t="str">
        <f>INDEX(_TARGETS!$D$2:$D$17,MATCH($C84,_TARGETS!$A$2:$A$17,0))</f>
        <v>% (fracción)</v>
      </c>
      <c r="O84" s="193" t="str">
        <f>IF(NOT(ISNUMBER(F84)),"MISSING","OK")</f>
        <v>MISSING</v>
      </c>
      <c r="P84" s="193" t="str">
        <f>INDEX(_TARGETS!$K$2:$K$17,MATCH($C84,_TARGETS!$A$2:$A$17,0))</f>
        <v>Plant Findings (hoja Observaciones-SMP)</v>
      </c>
      <c r="Q84" s="193" t="str">
        <f t="shared" si="7"/>
        <v>202611|HAL_ALTA_PCT|Monthly</v>
      </c>
      <c r="R84" s="193" t="str">
        <f>INDEX(_TARGETS!$H$2:$H$17,MATCH($C84,_TARGETS!$A$2:$A$17,0))</f>
        <v>Solo reporte</v>
      </c>
      <c r="S84" s="193" t="str">
        <f t="shared" si="8"/>
        <v/>
      </c>
      <c r="T84" s="193" t="str">
        <f t="shared" si="9"/>
        <v/>
      </c>
    </row>
    <row r="85" spans="1:20" ht="13.5" customHeight="1" x14ac:dyDescent="0.3">
      <c r="A85" s="245">
        <f>KPIs!$G$3</f>
        <v>46327</v>
      </c>
      <c r="B85" s="199" t="str">
        <f>KPIs!G$4</f>
        <v>Compresora</v>
      </c>
      <c r="C85" s="31" t="s">
        <v>98</v>
      </c>
      <c r="D85" s="199" t="str">
        <f>KPIs!$A$34</f>
        <v>C2 · Detenciones de tareas aplicadas</v>
      </c>
      <c r="E85" s="31" t="s">
        <v>599</v>
      </c>
      <c r="F85" s="247" t="str">
        <f>IF(ISNUMBER(KPIs!G34),KPIs!G34,"")</f>
        <v/>
      </c>
      <c r="G85" s="247" t="str">
        <f>IF(ISNUMBER(KPIs!$C$34),KPIs!$C$34,"")</f>
        <v/>
      </c>
      <c r="H85" s="199" t="str">
        <f>IFERROR(INDEX(_TARGETS!$E$2:$E$17,MATCH($C85,_TARGETS!$A$2:$A$17,0))&amp;"","")</f>
        <v/>
      </c>
      <c r="I85" s="199" t="str">
        <f t="shared" si="5"/>
        <v/>
      </c>
      <c r="J85" s="193" t="str">
        <f t="shared" si="6"/>
        <v>Monthly</v>
      </c>
      <c r="K85" s="248">
        <f>Datos!G75</f>
        <v>0</v>
      </c>
      <c r="M85" s="193">
        <f>INDEX(_TARGETS!$J$2:$J$17,MATCH($C85,_TARGETS!$A$2:$A$17,0))</f>
        <v>1</v>
      </c>
      <c r="N85" s="193" t="str">
        <f>INDEX(_TARGETS!$D$2:$D$17,MATCH($C85,_TARGETS!$A$2:$A$17,0))</f>
        <v>u</v>
      </c>
      <c r="O85" s="193" t="str">
        <f>IF(NOT(ISNUMBER(F85)),"MISSING","OK")</f>
        <v>MISSING</v>
      </c>
      <c r="P85" s="193" t="str">
        <f>INDEX(_TARGETS!$K$2:$K$17,MATCH($C85,_TARGETS!$A$2:$A$17,0))</f>
        <v>Plant Findings (hoja Observaciones-SMP)</v>
      </c>
      <c r="Q85" s="193" t="str">
        <f t="shared" si="7"/>
        <v>202611|DET|Monthly</v>
      </c>
      <c r="R85" s="193" t="str">
        <f>INDEX(_TARGETS!$H$2:$H$17,MATCH($C85,_TARGETS!$A$2:$A$17,0))</f>
        <v>Solo reporte</v>
      </c>
      <c r="S85" s="193" t="str">
        <f t="shared" si="8"/>
        <v/>
      </c>
      <c r="T85" s="193" t="str">
        <f t="shared" si="9"/>
        <v/>
      </c>
    </row>
    <row r="86" spans="1:20" ht="13.5" customHeight="1" x14ac:dyDescent="0.3">
      <c r="A86" s="245">
        <f>KPIs!$H$3</f>
        <v>46357</v>
      </c>
      <c r="B86" s="199" t="str">
        <f>KPIs!H$4</f>
        <v>Compresora</v>
      </c>
      <c r="C86" s="31" t="s">
        <v>39</v>
      </c>
      <c r="D86" s="199" t="str">
        <f>KPIs!$A$6</f>
        <v>1 · Frecuencia de casos con días perdidos</v>
      </c>
      <c r="E86" s="31" t="s">
        <v>599</v>
      </c>
      <c r="F86" s="247" t="str">
        <f>IF(ISNUMBER(KPIs!H6),KPIs!H6,"")</f>
        <v/>
      </c>
      <c r="G86" s="247">
        <f>IF(ISNUMBER(KPIs!$C$6),KPIs!$C$6,"")</f>
        <v>0</v>
      </c>
      <c r="H86" s="199" t="str">
        <f>IFERROR(INDEX(_TARGETS!$E$2:$E$17,MATCH($C86,_TARGETS!$A$2:$A$17,0))&amp;"","")</f>
        <v>≤</v>
      </c>
      <c r="I86" s="199" t="str">
        <f t="shared" si="5"/>
        <v/>
      </c>
      <c r="J86" s="193" t="str">
        <f t="shared" si="6"/>
        <v>Monthly</v>
      </c>
      <c r="K86" s="248">
        <f>Datos!H33</f>
        <v>0</v>
      </c>
      <c r="L86" s="248">
        <f>Datos!H14</f>
        <v>0</v>
      </c>
      <c r="M86" s="193">
        <f>INDEX(_TARGETS!$J$2:$J$17,MATCH($C86,_TARGETS!$A$2:$A$17,0))</f>
        <v>1000000</v>
      </c>
      <c r="N86" s="193" t="str">
        <f>INDEX(_TARGETS!$D$2:$D$17,MATCH($C86,_TARGETS!$A$2:$A$17,0))</f>
        <v>casos / 10^6 HH</v>
      </c>
      <c r="O86" s="193" t="str">
        <f>IF(NOT(ISNUMBER(F86)),"MISSING",IF((COUNTBLANK(Datos!H12)+COUNTBLANK(Datos!H13)+COUNTBLANK(Datos!H33))&gt;0,"INCOMPLETE","OK"))</f>
        <v>MISSING</v>
      </c>
      <c r="P86" s="193" t="str">
        <f>INDEX(_TARGETS!$K$2:$K$17,MATCH($C86,_TARGETS!$A$2:$A$17,0))</f>
        <v>OPS (carga manual en Datos)</v>
      </c>
      <c r="Q86" s="193" t="str">
        <f t="shared" si="7"/>
        <v>202612|DAFWCF|Monthly</v>
      </c>
      <c r="R86" s="193" t="str">
        <f>INDEX(_TARGETS!$H$2:$H$17,MATCH($C86,_TARGETS!$A$2:$A$17,0))</f>
        <v>Definida</v>
      </c>
      <c r="S86" s="193" t="str">
        <f t="shared" si="8"/>
        <v/>
      </c>
      <c r="T86" s="193" t="str">
        <f t="shared" si="9"/>
        <v/>
      </c>
    </row>
    <row r="87" spans="1:20" ht="13.5" customHeight="1" x14ac:dyDescent="0.3">
      <c r="A87" s="245">
        <f>KPIs!$H$3</f>
        <v>46357</v>
      </c>
      <c r="B87" s="199" t="str">
        <f>KPIs!H$4</f>
        <v>Compresora</v>
      </c>
      <c r="C87" s="31" t="s">
        <v>49</v>
      </c>
      <c r="D87" s="199" t="str">
        <f>KPIs!$A$7</f>
        <v>2 · Frecuencia de casos registrables</v>
      </c>
      <c r="E87" s="31" t="s">
        <v>599</v>
      </c>
      <c r="F87" s="247" t="str">
        <f>IF(ISNUMBER(KPIs!H7),KPIs!H7,"")</f>
        <v/>
      </c>
      <c r="G87" s="247">
        <f>IF(ISNUMBER(KPIs!$C$7),KPIs!$C$7,"")</f>
        <v>2.35</v>
      </c>
      <c r="H87" s="199" t="str">
        <f>IFERROR(INDEX(_TARGETS!$E$2:$E$17,MATCH($C87,_TARGETS!$A$2:$A$17,0))&amp;"","")</f>
        <v>≤</v>
      </c>
      <c r="I87" s="199" t="str">
        <f t="shared" si="5"/>
        <v/>
      </c>
      <c r="J87" s="193" t="str">
        <f t="shared" si="6"/>
        <v>Monthly</v>
      </c>
      <c r="K87" s="193">
        <f>Datos!H33+Datos!H34+Datos!H35+Datos!H36</f>
        <v>0</v>
      </c>
      <c r="L87" s="248">
        <f>Datos!H14</f>
        <v>0</v>
      </c>
      <c r="M87" s="193">
        <f>INDEX(_TARGETS!$J$2:$J$17,MATCH($C87,_TARGETS!$A$2:$A$17,0))</f>
        <v>1000000</v>
      </c>
      <c r="N87" s="193" t="str">
        <f>INDEX(_TARGETS!$D$2:$D$17,MATCH($C87,_TARGETS!$A$2:$A$17,0))</f>
        <v>casos / 10^6 HH</v>
      </c>
      <c r="O87" s="193" t="str">
        <f>IF(NOT(ISNUMBER(F87)),"MISSING",IF((COUNTBLANK(Datos!H12)+COUNTBLANK(Datos!H13)+COUNTBLANK(Datos!H33)+COUNTBLANK(Datos!H34)+COUNTBLANK(Datos!H35)+COUNTBLANK(Datos!H36))&gt;0,"INCOMPLETE","OK"))</f>
        <v>MISSING</v>
      </c>
      <c r="P87" s="193" t="str">
        <f>INDEX(_TARGETS!$K$2:$K$17,MATCH($C87,_TARGETS!$A$2:$A$17,0))</f>
        <v>OPS (carga manual en Datos)</v>
      </c>
      <c r="Q87" s="193" t="str">
        <f t="shared" si="7"/>
        <v>202612|TRICF|Monthly</v>
      </c>
      <c r="R87" s="193" t="str">
        <f>INDEX(_TARGETS!$H$2:$H$17,MATCH($C87,_TARGETS!$A$2:$A$17,0))</f>
        <v>Definida</v>
      </c>
      <c r="S87" s="193" t="str">
        <f t="shared" si="8"/>
        <v/>
      </c>
      <c r="T87" s="193" t="str">
        <f t="shared" si="9"/>
        <v/>
      </c>
    </row>
    <row r="88" spans="1:20" ht="13.5" customHeight="1" x14ac:dyDescent="0.3">
      <c r="A88" s="245">
        <f>KPIs!$H$3</f>
        <v>46357</v>
      </c>
      <c r="B88" s="199" t="str">
        <f>KPIs!H$4</f>
        <v>Compresora</v>
      </c>
      <c r="C88" s="31" t="s">
        <v>51</v>
      </c>
      <c r="D88" s="199" t="str">
        <f>KPIs!$A$8</f>
        <v>3 · Casos de primeros auxilios</v>
      </c>
      <c r="E88" s="31" t="s">
        <v>599</v>
      </c>
      <c r="F88" s="247" t="str">
        <f>IF(ISNUMBER(KPIs!H8),KPIs!H8,"")</f>
        <v/>
      </c>
      <c r="G88" s="247" t="str">
        <f>IF(ISNUMBER(KPIs!$C$8),KPIs!$C$8,"")</f>
        <v/>
      </c>
      <c r="H88" s="199" t="str">
        <f>IFERROR(INDEX(_TARGETS!$E$2:$E$17,MATCH($C88,_TARGETS!$A$2:$A$17,0))&amp;"","")</f>
        <v/>
      </c>
      <c r="I88" s="199" t="str">
        <f t="shared" si="5"/>
        <v/>
      </c>
      <c r="J88" s="193" t="str">
        <f t="shared" si="6"/>
        <v>Monthly</v>
      </c>
      <c r="K88" s="248">
        <f>Datos!H37</f>
        <v>0</v>
      </c>
      <c r="M88" s="193">
        <f>INDEX(_TARGETS!$J$2:$J$17,MATCH($C88,_TARGETS!$A$2:$A$17,0))</f>
        <v>1</v>
      </c>
      <c r="N88" s="193" t="str">
        <f>INDEX(_TARGETS!$D$2:$D$17,MATCH($C88,_TARGETS!$A$2:$A$17,0))</f>
        <v>casos</v>
      </c>
      <c r="O88" s="193" t="str">
        <f>IF(NOT(ISNUMBER(F88)),"MISSING",IF((COUNTBLANK(Datos!H12)+COUNTBLANK(Datos!H13)+COUNTBLANK(Datos!H37))&gt;0,"INCOMPLETE","OK"))</f>
        <v>MISSING</v>
      </c>
      <c r="P88" s="193" t="str">
        <f>INDEX(_TARGETS!$K$2:$K$17,MATCH($C88,_TARGETS!$A$2:$A$17,0))</f>
        <v>OPS (carga manual en Datos)</v>
      </c>
      <c r="Q88" s="193" t="str">
        <f t="shared" si="7"/>
        <v>202612|FAC|Monthly</v>
      </c>
      <c r="R88" s="193" t="str">
        <f>INDEX(_TARGETS!$H$2:$H$17,MATCH($C88,_TARGETS!$A$2:$A$17,0))</f>
        <v>Solo reporte</v>
      </c>
      <c r="S88" s="193" t="str">
        <f t="shared" si="8"/>
        <v/>
      </c>
      <c r="T88" s="193" t="str">
        <f t="shared" si="9"/>
        <v/>
      </c>
    </row>
    <row r="89" spans="1:20" ht="13.5" customHeight="1" x14ac:dyDescent="0.3">
      <c r="A89" s="245">
        <f>KPIs!$H$3</f>
        <v>46357</v>
      </c>
      <c r="B89" s="199" t="str">
        <f>KPIs!H$4</f>
        <v>Compresora</v>
      </c>
      <c r="C89" s="31" t="s">
        <v>57</v>
      </c>
      <c r="D89" s="199" t="str">
        <f>KPIs!$A$10</f>
        <v>4 · Accidentes vehiculares severos por millón de km</v>
      </c>
      <c r="E89" s="31" t="s">
        <v>599</v>
      </c>
      <c r="F89" s="247" t="str">
        <f>IF(ISNUMBER(KPIs!H10),KPIs!H10,"")</f>
        <v/>
      </c>
      <c r="G89" s="247" t="str">
        <f>IF(ISNUMBER(KPIs!$C$10),KPIs!$C$10,"")</f>
        <v/>
      </c>
      <c r="H89" s="199" t="str">
        <f>IFERROR(INDEX(_TARGETS!$E$2:$E$17,MATCH($C89,_TARGETS!$A$2:$A$17,0))&amp;"","")</f>
        <v/>
      </c>
      <c r="I89" s="199" t="str">
        <f t="shared" si="5"/>
        <v/>
      </c>
      <c r="J89" s="193" t="str">
        <f t="shared" si="6"/>
        <v>Monthly</v>
      </c>
      <c r="K89" s="193">
        <f>Datos!H39+Datos!H40+Datos!H41</f>
        <v>0</v>
      </c>
      <c r="L89" s="248">
        <f>Datos!H47</f>
        <v>0</v>
      </c>
      <c r="M89" s="193">
        <f>INDEX(_TARGETS!$J$2:$J$17,MATCH($C89,_TARGETS!$A$2:$A$17,0))</f>
        <v>1000000</v>
      </c>
      <c r="N89" s="193" t="str">
        <f>INDEX(_TARGETS!$D$2:$D$17,MATCH($C89,_TARGETS!$A$2:$A$17,0))</f>
        <v>eventos / 10^6 km</v>
      </c>
      <c r="O89" s="193" t="str">
        <f>IF(NOT(ISNUMBER(F89)),"MISSING",IF((COUNTBLANK(Datos!H44)+COUNTBLANK(Datos!H45)+COUNTBLANK(Datos!H46)+COUNTBLANK(Datos!H39)+COUNTBLANK(Datos!H40)+COUNTBLANK(Datos!H41))&gt;0,"INCOMPLETE","OK"))</f>
        <v>MISSING</v>
      </c>
      <c r="P89" s="193" t="str">
        <f>INDEX(_TARGETS!$K$2:$K$17,MATCH($C89,_TARGETS!$A$2:$A$17,0))</f>
        <v>OPS (eventos) + Full Control GPS (km) - carga manual en Datos</v>
      </c>
      <c r="Q89" s="193" t="str">
        <f t="shared" si="7"/>
        <v>202612|SVCR|Monthly</v>
      </c>
      <c r="R89" s="193" t="str">
        <f>INDEX(_TARGETS!$H$2:$H$17,MATCH($C89,_TARGETS!$A$2:$A$17,0))</f>
        <v>Solo reporte</v>
      </c>
      <c r="S89" s="193" t="str">
        <f t="shared" si="8"/>
        <v/>
      </c>
      <c r="T89" s="193" t="str">
        <f t="shared" si="9"/>
        <v/>
      </c>
    </row>
    <row r="90" spans="1:20" ht="13.5" customHeight="1" x14ac:dyDescent="0.3">
      <c r="A90" s="245">
        <f>KPIs!$H$3</f>
        <v>46357</v>
      </c>
      <c r="B90" s="199" t="str">
        <f>KPIs!H$4</f>
        <v>Compresora</v>
      </c>
      <c r="C90" s="31" t="s">
        <v>61</v>
      </c>
      <c r="D90" s="199" t="str">
        <f>KPIs!$A$11</f>
        <v>5 · Accidentes vehiculares totales por millón de km</v>
      </c>
      <c r="E90" s="31" t="s">
        <v>599</v>
      </c>
      <c r="F90" s="247" t="str">
        <f>IF(ISNUMBER(KPIs!H11),KPIs!H11,"")</f>
        <v/>
      </c>
      <c r="G90" s="247">
        <f>IF(ISNUMBER(KPIs!$C$11),KPIs!$C$11,"")</f>
        <v>0.79</v>
      </c>
      <c r="H90" s="199" t="str">
        <f>IFERROR(INDEX(_TARGETS!$E$2:$E$17,MATCH($C90,_TARGETS!$A$2:$A$17,0))&amp;"","")</f>
        <v>≤</v>
      </c>
      <c r="I90" s="199" t="str">
        <f t="shared" si="5"/>
        <v/>
      </c>
      <c r="J90" s="193" t="str">
        <f t="shared" si="6"/>
        <v>Monthly</v>
      </c>
      <c r="K90" s="193">
        <f>Datos!H39+Datos!H40+Datos!H41+Datos!H42</f>
        <v>0</v>
      </c>
      <c r="L90" s="248">
        <f>Datos!H47</f>
        <v>0</v>
      </c>
      <c r="M90" s="193">
        <f>INDEX(_TARGETS!$J$2:$J$17,MATCH($C90,_TARGETS!$A$2:$A$17,0))</f>
        <v>1000000</v>
      </c>
      <c r="N90" s="193" t="str">
        <f>INDEX(_TARGETS!$D$2:$D$17,MATCH($C90,_TARGETS!$A$2:$A$17,0))</f>
        <v>eventos / 10^6 km</v>
      </c>
      <c r="O90" s="193" t="str">
        <f>IF(NOT(ISNUMBER(F90)),"MISSING",IF((COUNTBLANK(Datos!H44)+COUNTBLANK(Datos!H45)+COUNTBLANK(Datos!H46)+COUNTBLANK(Datos!H39)+COUNTBLANK(Datos!H40)+COUNTBLANK(Datos!H41)+COUNTBLANK(Datos!H42))&gt;0,"INCOMPLETE","OK"))</f>
        <v>MISSING</v>
      </c>
      <c r="P90" s="193" t="str">
        <f>INDEX(_TARGETS!$K$2:$K$17,MATCH($C90,_TARGETS!$A$2:$A$17,0))</f>
        <v>OPS (eventos) + Full Control GPS (km) - carga manual en Datos</v>
      </c>
      <c r="Q90" s="193" t="str">
        <f t="shared" si="7"/>
        <v>202612|TVCR|Monthly</v>
      </c>
      <c r="R90" s="193" t="str">
        <f>INDEX(_TARGETS!$H$2:$H$17,MATCH($C90,_TARGETS!$A$2:$A$17,0))</f>
        <v>Definida</v>
      </c>
      <c r="S90" s="193" t="str">
        <f t="shared" si="8"/>
        <v/>
      </c>
      <c r="T90" s="193" t="str">
        <f t="shared" si="9"/>
        <v/>
      </c>
    </row>
    <row r="91" spans="1:20" ht="13.5" customHeight="1" x14ac:dyDescent="0.3">
      <c r="A91" s="245">
        <f>KPIs!$H$3</f>
        <v>46357</v>
      </c>
      <c r="B91" s="199" t="str">
        <f>KPIs!H$4</f>
        <v>Compresora</v>
      </c>
      <c r="C91" s="31" t="s">
        <v>63</v>
      </c>
      <c r="D91" s="199" t="str">
        <f>KPIs!$A$13</f>
        <v>6 · Observaciones de seguridad por persona</v>
      </c>
      <c r="E91" s="31" t="s">
        <v>599</v>
      </c>
      <c r="F91" s="247" t="str">
        <f>IF(ISNUMBER(KPIs!H13),KPIs!H13,"")</f>
        <v/>
      </c>
      <c r="G91" s="247">
        <f>IF(ISNUMBER(KPIs!$C$13),KPIs!$C$13,"")</f>
        <v>1</v>
      </c>
      <c r="H91" s="199" t="str">
        <f>IFERROR(INDEX(_TARGETS!$E$2:$E$17,MATCH($C91,_TARGETS!$A$2:$A$17,0))&amp;"","")</f>
        <v>≥</v>
      </c>
      <c r="I91" s="199" t="str">
        <f t="shared" si="5"/>
        <v/>
      </c>
      <c r="J91" s="193" t="str">
        <f t="shared" si="6"/>
        <v>Monthly</v>
      </c>
      <c r="K91" s="248" t="str">
        <f>IF(COUNT(Datos!H28:H29)=0,"",SUM(Datos!H28:H29))</f>
        <v/>
      </c>
      <c r="L91" s="248">
        <f>Datos!H11</f>
        <v>0</v>
      </c>
      <c r="M91" s="193">
        <f>INDEX(_TARGETS!$J$2:$J$17,MATCH($C91,_TARGETS!$A$2:$A$17,0))</f>
        <v>1</v>
      </c>
      <c r="N91" s="193" t="str">
        <f>INDEX(_TARGETS!$D$2:$D$17,MATCH($C91,_TARGETS!$A$2:$A$17,0))</f>
        <v>obs / persona</v>
      </c>
      <c r="O91" s="193" t="str">
        <f>IF(NOT(ISNUMBER(F91)),"MISSING",IF((COUNTBLANK(Datos!H9)+COUNTBLANK(Datos!H10)+IF(COUNT(Datos!H28:H29)=0,1,0))&gt;0,"INCOMPLETE","OK"))</f>
        <v>MISSING</v>
      </c>
      <c r="P91" s="193" t="str">
        <f>INDEX(_TARGETS!$K$2:$K$17,MATCH($C91,_TARGETS!$A$2:$A$17,0))</f>
        <v>OPS (carga manual en Datos)</v>
      </c>
      <c r="Q91" s="193" t="str">
        <f t="shared" si="7"/>
        <v>202612|OBS|Monthly</v>
      </c>
      <c r="R91" s="193" t="str">
        <f>INDEX(_TARGETS!$H$2:$H$17,MATCH($C91,_TARGETS!$A$2:$A$17,0))</f>
        <v>PROVISORIA · referencia del subcontratista (OPS: 1 obs/persona); meta y población en definición</v>
      </c>
      <c r="S91" s="193" t="str">
        <f t="shared" si="8"/>
        <v/>
      </c>
      <c r="T91" s="193" t="str">
        <f t="shared" si="9"/>
        <v/>
      </c>
    </row>
    <row r="92" spans="1:20" ht="13.5" customHeight="1" x14ac:dyDescent="0.3">
      <c r="A92" s="245">
        <f>KPIs!$H$3</f>
        <v>46357</v>
      </c>
      <c r="B92" s="199" t="str">
        <f>KPIs!H$4</f>
        <v>Compresora</v>
      </c>
      <c r="C92" s="31" t="s">
        <v>71</v>
      </c>
      <c r="D92" s="199" t="str">
        <f>KPIs!$A$14</f>
        <v>7 · Investigaciones de accidentes: días promedio de cierre</v>
      </c>
      <c r="E92" s="31" t="s">
        <v>599</v>
      </c>
      <c r="F92" s="247" t="str">
        <f>IF(ISNUMBER(KPIs!H14),KPIs!H14,"")</f>
        <v/>
      </c>
      <c r="G92" s="247">
        <f>IF(ISNUMBER(KPIs!$C$14),KPIs!$C$14,"")</f>
        <v>20</v>
      </c>
      <c r="H92" s="199" t="str">
        <f>IFERROR(INDEX(_TARGETS!$E$2:$E$17,MATCH($C92,_TARGETS!$A$2:$A$17,0))&amp;"","")</f>
        <v>≤</v>
      </c>
      <c r="I92" s="199" t="str">
        <f t="shared" si="5"/>
        <v/>
      </c>
      <c r="J92" s="193" t="str">
        <f t="shared" si="6"/>
        <v>Monthly</v>
      </c>
      <c r="K92" s="248">
        <f>Datos!H31</f>
        <v>0</v>
      </c>
      <c r="L92" s="248">
        <f>Datos!H30</f>
        <v>0</v>
      </c>
      <c r="M92" s="193">
        <f>INDEX(_TARGETS!$J$2:$J$17,MATCH($C92,_TARGETS!$A$2:$A$17,0))</f>
        <v>1</v>
      </c>
      <c r="N92" s="193" t="str">
        <f>INDEX(_TARGETS!$D$2:$D$17,MATCH($C92,_TARGETS!$A$2:$A$17,0))</f>
        <v>días</v>
      </c>
      <c r="O92" s="193" t="str">
        <f>IF(NOT(ISNUMBER(F92)),"MISSING",IF((COUNTBLANK(Datos!H30)+COUNTBLANK(Datos!H31))&gt;0,"INCOMPLETE","OK"))</f>
        <v>MISSING</v>
      </c>
      <c r="P92" s="193" t="str">
        <f>INDEX(_TARGETS!$K$2:$K$17,MATCH($C92,_TARGETS!$A$2:$A$17,0))</f>
        <v>OPS (carga manual en Datos)</v>
      </c>
      <c r="Q92" s="193" t="str">
        <f t="shared" si="7"/>
        <v>202612|INV|Monthly</v>
      </c>
      <c r="R92" s="193" t="str">
        <f>INDEX(_TARGETS!$H$2:$H$17,MATCH($C92,_TARGETS!$A$2:$A$17,0))</f>
        <v>Definida</v>
      </c>
      <c r="S92" s="193" t="str">
        <f t="shared" si="8"/>
        <v/>
      </c>
      <c r="T92" s="193" t="str">
        <f t="shared" si="9"/>
        <v/>
      </c>
    </row>
    <row r="93" spans="1:20" ht="13.5" customHeight="1" x14ac:dyDescent="0.3">
      <c r="A93" s="245">
        <f>KPIs!$H$3</f>
        <v>46357</v>
      </c>
      <c r="B93" s="199" t="str">
        <f>KPIs!H$4</f>
        <v>Compresora</v>
      </c>
      <c r="C93" s="31" t="s">
        <v>76</v>
      </c>
      <c r="D93" s="199" t="str">
        <f>KPIs!$A$16</f>
        <v>8 · % de capacitación en seguridad</v>
      </c>
      <c r="E93" s="31" t="s">
        <v>599</v>
      </c>
      <c r="F93" s="247" t="str">
        <f>IF(ISNUMBER(KPIs!H16),KPIs!H16,"")</f>
        <v/>
      </c>
      <c r="G93" s="247">
        <f>IF(ISNUMBER(KPIs!$C$16),KPIs!$C$16,"")</f>
        <v>0.01</v>
      </c>
      <c r="H93" s="199" t="str">
        <f>IFERROR(INDEX(_TARGETS!$E$2:$E$17,MATCH($C93,_TARGETS!$A$2:$A$17,0))&amp;"","")</f>
        <v>≥</v>
      </c>
      <c r="I93" s="199" t="str">
        <f t="shared" si="5"/>
        <v/>
      </c>
      <c r="J93" s="193" t="str">
        <f t="shared" si="6"/>
        <v>Monthly</v>
      </c>
      <c r="K93" s="248">
        <f>Datos!H18</f>
        <v>0</v>
      </c>
      <c r="L93" s="248">
        <f>Datos!H14</f>
        <v>0</v>
      </c>
      <c r="M93" s="193">
        <f>INDEX(_TARGETS!$J$2:$J$17,MATCH($C93,_TARGETS!$A$2:$A$17,0))</f>
        <v>1</v>
      </c>
      <c r="N93" s="193" t="str">
        <f>INDEX(_TARGETS!$D$2:$D$17,MATCH($C93,_TARGETS!$A$2:$A$17,0))</f>
        <v>% (fracción)</v>
      </c>
      <c r="O93" s="193" t="str">
        <f>IF(NOT(ISNUMBER(F93)),"MISSING",IF((COUNTBLANK(Datos!H16)+COUNTBLANK(Datos!H17)+COUNTBLANK(Datos!H12)+COUNTBLANK(Datos!H13))&gt;0,"INCOMPLETE","OK"))</f>
        <v>MISSING</v>
      </c>
      <c r="P93" s="193" t="str">
        <f>INDEX(_TARGETS!$K$2:$K$17,MATCH($C93,_TARGETS!$A$2:$A$17,0))</f>
        <v>OPS (carga manual en Datos)</v>
      </c>
      <c r="Q93" s="193" t="str">
        <f t="shared" si="7"/>
        <v>202612|HCS|Monthly</v>
      </c>
      <c r="R93" s="193" t="str">
        <f>INDEX(_TARGETS!$H$2:$H$17,MATCH($C93,_TARGETS!$A$2:$A$17,0))</f>
        <v>Definida</v>
      </c>
      <c r="S93" s="193" t="str">
        <f t="shared" si="8"/>
        <v/>
      </c>
      <c r="T93" s="193" t="str">
        <f t="shared" si="9"/>
        <v/>
      </c>
    </row>
    <row r="94" spans="1:20" ht="13.5" customHeight="1" x14ac:dyDescent="0.3">
      <c r="A94" s="245">
        <f>KPIs!$H$3</f>
        <v>46357</v>
      </c>
      <c r="B94" s="199" t="str">
        <f>KPIs!H$4</f>
        <v>Compresora</v>
      </c>
      <c r="C94" s="31" t="s">
        <v>80</v>
      </c>
      <c r="D94" s="199" t="str">
        <f>KPIs!$A$17</f>
        <v>9 · Horas de capacitación por persona</v>
      </c>
      <c r="E94" s="31" t="s">
        <v>599</v>
      </c>
      <c r="F94" s="247" t="str">
        <f>IF(ISNUMBER(KPIs!H17),KPIs!H17,"")</f>
        <v/>
      </c>
      <c r="G94" s="247" t="str">
        <f>IF(ISNUMBER(KPIs!$C$17),KPIs!$C$17,"")</f>
        <v/>
      </c>
      <c r="H94" s="199" t="str">
        <f>IFERROR(INDEX(_TARGETS!$E$2:$E$17,MATCH($C94,_TARGETS!$A$2:$A$17,0))&amp;"","")</f>
        <v/>
      </c>
      <c r="I94" s="199" t="str">
        <f t="shared" si="5"/>
        <v/>
      </c>
      <c r="J94" s="193" t="str">
        <f t="shared" si="6"/>
        <v>Monthly</v>
      </c>
      <c r="K94" s="248">
        <f>Datos!H18</f>
        <v>0</v>
      </c>
      <c r="L94" s="248">
        <f>Datos!H11</f>
        <v>0</v>
      </c>
      <c r="M94" s="193">
        <f>INDEX(_TARGETS!$J$2:$J$17,MATCH($C94,_TARGETS!$A$2:$A$17,0))</f>
        <v>1</v>
      </c>
      <c r="N94" s="193" t="str">
        <f>INDEX(_TARGETS!$D$2:$D$17,MATCH($C94,_TARGETS!$A$2:$A$17,0))</f>
        <v>h / persona</v>
      </c>
      <c r="O94" s="193" t="str">
        <f>IF(NOT(ISNUMBER(F94)),"MISSING",IF((COUNTBLANK(Datos!H16)+COUNTBLANK(Datos!H17)+COUNTBLANK(Datos!H9)+COUNTBLANK(Datos!H10))&gt;0,"INCOMPLETE","OK"))</f>
        <v>MISSING</v>
      </c>
      <c r="P94" s="193" t="str">
        <f>INDEX(_TARGETS!$K$2:$K$17,MATCH($C94,_TARGETS!$A$2:$A$17,0))</f>
        <v>OPS (carga manual en Datos)</v>
      </c>
      <c r="Q94" s="193" t="str">
        <f t="shared" si="7"/>
        <v>202612|HCSA|Monthly</v>
      </c>
      <c r="R94" s="193" t="str">
        <f>INDEX(_TARGETS!$H$2:$H$17,MATCH($C94,_TARGETS!$A$2:$A$17,0))</f>
        <v>Solo reporte</v>
      </c>
      <c r="S94" s="193" t="str">
        <f t="shared" si="8"/>
        <v/>
      </c>
      <c r="T94" s="193" t="str">
        <f t="shared" si="9"/>
        <v/>
      </c>
    </row>
    <row r="95" spans="1:20" ht="13.5" customHeight="1" x14ac:dyDescent="0.3">
      <c r="A95" s="245">
        <f>KPIs!$H$3</f>
        <v>46357</v>
      </c>
      <c r="B95" s="199" t="str">
        <f>KPIs!H$4</f>
        <v>Compresora</v>
      </c>
      <c r="C95" s="31" t="s">
        <v>83</v>
      </c>
      <c r="D95" s="199" t="str">
        <f>KPIs!$A$18</f>
        <v>10 · Cumplimiento de simulacros (emergencia y operativos)</v>
      </c>
      <c r="E95" s="31" t="s">
        <v>599</v>
      </c>
      <c r="F95" s="247" t="str">
        <f>IF(ISNUMBER(KPIs!H18),KPIs!H18,"")</f>
        <v/>
      </c>
      <c r="G95" s="247">
        <f>IF(ISNUMBER(KPIs!$C$18),KPIs!$C$18,"")</f>
        <v>1</v>
      </c>
      <c r="H95" s="199" t="str">
        <f>IFERROR(INDEX(_TARGETS!$E$2:$E$17,MATCH($C95,_TARGETS!$A$2:$A$17,0))&amp;"","")</f>
        <v>≥</v>
      </c>
      <c r="I95" s="199" t="str">
        <f t="shared" si="5"/>
        <v/>
      </c>
      <c r="J95" s="193" t="str">
        <f t="shared" si="6"/>
        <v>Monthly</v>
      </c>
      <c r="K95" s="248">
        <f>Datos!H20</f>
        <v>0</v>
      </c>
      <c r="L95" s="248">
        <f>Datos!H21</f>
        <v>0</v>
      </c>
      <c r="M95" s="193">
        <f>INDEX(_TARGETS!$J$2:$J$17,MATCH($C95,_TARGETS!$A$2:$A$17,0))</f>
        <v>1</v>
      </c>
      <c r="N95" s="193" t="str">
        <f>INDEX(_TARGETS!$D$2:$D$17,MATCH($C95,_TARGETS!$A$2:$A$17,0))</f>
        <v>% (fracción)</v>
      </c>
      <c r="O95" s="193" t="str">
        <f>IF(NOT(ISNUMBER(F95)),"MISSING",IF((COUNTBLANK(Datos!H20)+COUNTBLANK(Datos!H21))&gt;0,"INCOMPLETE","OK"))</f>
        <v>MISSING</v>
      </c>
      <c r="P95" s="193" t="str">
        <f>INDEX(_TARGETS!$K$2:$K$17,MATCH($C95,_TARGETS!$A$2:$A$17,0))</f>
        <v>OPS (carga manual en Datos)</v>
      </c>
      <c r="Q95" s="193" t="str">
        <f t="shared" si="7"/>
        <v>202612|CPSE|Monthly</v>
      </c>
      <c r="R95" s="193" t="str">
        <f>INDEX(_TARGETS!$H$2:$H$17,MATCH($C95,_TARGETS!$A$2:$A$17,0))</f>
        <v>Definida</v>
      </c>
      <c r="S95" s="193" t="str">
        <f t="shared" si="8"/>
        <v/>
      </c>
      <c r="T95" s="193" t="str">
        <f t="shared" si="9"/>
        <v/>
      </c>
    </row>
    <row r="96" spans="1:20" ht="13.5" customHeight="1" x14ac:dyDescent="0.3">
      <c r="A96" s="245">
        <f>KPIs!$H$3</f>
        <v>46357</v>
      </c>
      <c r="B96" s="199" t="str">
        <f>KPIs!H$4</f>
        <v>Compresora</v>
      </c>
      <c r="C96" s="31" t="s">
        <v>85</v>
      </c>
      <c r="D96" s="199" t="str">
        <f>KPIs!$A$19</f>
        <v>10b · Cumplimiento de acciones de mejora de simulacros</v>
      </c>
      <c r="E96" s="31" t="s">
        <v>599</v>
      </c>
      <c r="F96" s="247" t="str">
        <f>IF(ISNUMBER(KPIs!H19),KPIs!H19,"")</f>
        <v/>
      </c>
      <c r="G96" s="247" t="str">
        <f>IF(ISNUMBER(KPIs!$C$19),KPIs!$C$19,"")</f>
        <v/>
      </c>
      <c r="H96" s="199" t="str">
        <f>IFERROR(INDEX(_TARGETS!$E$2:$E$17,MATCH($C96,_TARGETS!$A$2:$A$17,0))&amp;"","")</f>
        <v/>
      </c>
      <c r="I96" s="199" t="str">
        <f t="shared" si="5"/>
        <v/>
      </c>
      <c r="J96" s="193" t="str">
        <f t="shared" si="6"/>
        <v>Monthly</v>
      </c>
      <c r="K96" s="248">
        <f>Datos!H23</f>
        <v>0</v>
      </c>
      <c r="L96" s="248">
        <f>Datos!H22</f>
        <v>0</v>
      </c>
      <c r="M96" s="193">
        <f>INDEX(_TARGETS!$J$2:$J$17,MATCH($C96,_TARGETS!$A$2:$A$17,0))</f>
        <v>1</v>
      </c>
      <c r="N96" s="193" t="str">
        <f>INDEX(_TARGETS!$D$2:$D$17,MATCH($C96,_TARGETS!$A$2:$A$17,0))</f>
        <v>% (fracción)</v>
      </c>
      <c r="O96" s="193" t="str">
        <f>IF(NOT(ISNUMBER(F96)),"MISSING",IF((COUNTBLANK(Datos!H23)+COUNTBLANK(Datos!H22))&gt;0,"INCOMPLETE","OK"))</f>
        <v>MISSING</v>
      </c>
      <c r="P96" s="193" t="str">
        <f>INDEX(_TARGETS!$K$2:$K$17,MATCH($C96,_TARGETS!$A$2:$A$17,0))</f>
        <v>OPS (carga manual en Datos)</v>
      </c>
      <c r="Q96" s="193" t="str">
        <f t="shared" si="7"/>
        <v>202612|CAMS|Monthly</v>
      </c>
      <c r="R96" s="193" t="str">
        <f>INDEX(_TARGETS!$H$2:$H$17,MATCH($C96,_TARGETS!$A$2:$A$17,0))</f>
        <v>Solo reporte</v>
      </c>
      <c r="S96" s="193" t="str">
        <f t="shared" si="8"/>
        <v/>
      </c>
      <c r="T96" s="193" t="str">
        <f t="shared" si="9"/>
        <v/>
      </c>
    </row>
    <row r="97" spans="1:20" ht="13.5" customHeight="1" x14ac:dyDescent="0.3">
      <c r="A97" s="245">
        <f>KPIs!$H$3</f>
        <v>46357</v>
      </c>
      <c r="B97" s="199" t="str">
        <f>KPIs!H$4</f>
        <v>Compresora</v>
      </c>
      <c r="C97" s="31" t="s">
        <v>87</v>
      </c>
      <c r="D97" s="199" t="str">
        <f>KPIs!$A$21</f>
        <v>11 · Cumplimiento de caminatas gerenciales</v>
      </c>
      <c r="E97" s="31" t="s">
        <v>599</v>
      </c>
      <c r="F97" s="247" t="str">
        <f>IF(ISNUMBER(KPIs!H21),KPIs!H21,"")</f>
        <v/>
      </c>
      <c r="G97" s="247">
        <f>IF(ISNUMBER(KPIs!$C$21),KPIs!$C$21,"")</f>
        <v>1</v>
      </c>
      <c r="H97" s="199" t="str">
        <f>IFERROR(INDEX(_TARGETS!$E$2:$E$17,MATCH($C97,_TARGETS!$A$2:$A$17,0))&amp;"","")</f>
        <v>≥</v>
      </c>
      <c r="I97" s="199" t="str">
        <f t="shared" si="5"/>
        <v/>
      </c>
      <c r="J97" s="193" t="str">
        <f t="shared" si="6"/>
        <v>Monthly</v>
      </c>
      <c r="K97" s="248">
        <f>Datos!H24</f>
        <v>0</v>
      </c>
      <c r="L97" s="248">
        <f>Datos!H25</f>
        <v>0</v>
      </c>
      <c r="M97" s="193">
        <f>INDEX(_TARGETS!$J$2:$J$17,MATCH($C97,_TARGETS!$A$2:$A$17,0))</f>
        <v>1</v>
      </c>
      <c r="N97" s="193" t="str">
        <f>INDEX(_TARGETS!$D$2:$D$17,MATCH($C97,_TARGETS!$A$2:$A$17,0))</f>
        <v>% (fracción)</v>
      </c>
      <c r="O97" s="193" t="str">
        <f>IF(NOT(ISNUMBER(F97)),"MISSING",IF((COUNTBLANK(Datos!H24)+COUNTBLANK(Datos!H25))&gt;0,"INCOMPLETE","OK"))</f>
        <v>MISSING</v>
      </c>
      <c r="P97" s="193" t="str">
        <f>INDEX(_TARGETS!$K$2:$K$17,MATCH($C97,_TARGETS!$A$2:$A$17,0))</f>
        <v>OPS (carga manual en Datos)</v>
      </c>
      <c r="Q97" s="193" t="str">
        <f t="shared" si="7"/>
        <v>202612|ICCS|Monthly</v>
      </c>
      <c r="R97" s="193" t="str">
        <f>INDEX(_TARGETS!$H$2:$H$17,MATCH($C97,_TARGETS!$A$2:$A$17,0))</f>
        <v>Definida</v>
      </c>
      <c r="S97" s="193" t="str">
        <f t="shared" si="8"/>
        <v/>
      </c>
      <c r="T97" s="193" t="str">
        <f t="shared" si="9"/>
        <v/>
      </c>
    </row>
    <row r="98" spans="1:20" ht="13.5" customHeight="1" x14ac:dyDescent="0.3">
      <c r="A98" s="245">
        <f>KPIs!$H$3</f>
        <v>46357</v>
      </c>
      <c r="B98" s="199" t="str">
        <f>KPIs!H$4</f>
        <v>Compresora</v>
      </c>
      <c r="C98" s="31" t="s">
        <v>89</v>
      </c>
      <c r="D98" s="199" t="str">
        <f>KPIs!$A$22</f>
        <v>12 · Cumplimiento de comités y subcomités de seguridad</v>
      </c>
      <c r="E98" s="31" t="s">
        <v>599</v>
      </c>
      <c r="F98" s="247" t="str">
        <f>IF(ISNUMBER(KPIs!H22),KPIs!H22,"")</f>
        <v/>
      </c>
      <c r="G98" s="247">
        <f>IF(ISNUMBER(KPIs!$C$22),KPIs!$C$22,"")</f>
        <v>1</v>
      </c>
      <c r="H98" s="199" t="str">
        <f>IFERROR(INDEX(_TARGETS!$E$2:$E$17,MATCH($C98,_TARGETS!$A$2:$A$17,0))&amp;"","")</f>
        <v>≥</v>
      </c>
      <c r="I98" s="199" t="str">
        <f t="shared" si="5"/>
        <v/>
      </c>
      <c r="J98" s="193" t="str">
        <f t="shared" si="6"/>
        <v>Monthly</v>
      </c>
      <c r="K98" s="248">
        <f>Datos!H26</f>
        <v>0</v>
      </c>
      <c r="L98" s="248">
        <f>Datos!H27</f>
        <v>0</v>
      </c>
      <c r="M98" s="193">
        <f>INDEX(_TARGETS!$J$2:$J$17,MATCH($C98,_TARGETS!$A$2:$A$17,0))</f>
        <v>1</v>
      </c>
      <c r="N98" s="193" t="str">
        <f>INDEX(_TARGETS!$D$2:$D$17,MATCH($C98,_TARGETS!$A$2:$A$17,0))</f>
        <v>% (fracción)</v>
      </c>
      <c r="O98" s="193" t="str">
        <f>IF(NOT(ISNUMBER(F98)),"MISSING",IF((COUNTBLANK(Datos!H26)+COUNTBLANK(Datos!H27))&gt;0,"INCOMPLETE","OK"))</f>
        <v>MISSING</v>
      </c>
      <c r="P98" s="193" t="str">
        <f>INDEX(_TARGETS!$K$2:$K$17,MATCH($C98,_TARGETS!$A$2:$A$17,0))</f>
        <v>OPS (carga manual en Datos)</v>
      </c>
      <c r="Q98" s="193" t="str">
        <f t="shared" si="7"/>
        <v>202612|CCS|Monthly</v>
      </c>
      <c r="R98" s="193" t="str">
        <f>INDEX(_TARGETS!$H$2:$H$17,MATCH($C98,_TARGETS!$A$2:$A$17,0))</f>
        <v>Definida</v>
      </c>
      <c r="S98" s="193" t="str">
        <f t="shared" si="8"/>
        <v/>
      </c>
      <c r="T98" s="193" t="str">
        <f t="shared" si="9"/>
        <v/>
      </c>
    </row>
    <row r="99" spans="1:20" ht="13.5" customHeight="1" x14ac:dyDescent="0.3">
      <c r="A99" s="245">
        <f>KPIs!$H$3</f>
        <v>46357</v>
      </c>
      <c r="B99" s="199" t="str">
        <f>KPIs!H$4</f>
        <v>Compresora</v>
      </c>
      <c r="C99" s="31" t="s">
        <v>91</v>
      </c>
      <c r="D99" s="199" t="str">
        <f>KPIs!$A$23</f>
        <v>13 · Días promedio para cerrar hallazgos</v>
      </c>
      <c r="E99" s="31" t="s">
        <v>599</v>
      </c>
      <c r="F99" s="247" t="str">
        <f>IF(ISNUMBER(KPIs!H23),KPIs!H23,"")</f>
        <v/>
      </c>
      <c r="G99" s="247" t="str">
        <f>IF(ISNUMBER(KPIs!$C$23),KPIs!$C$23,"")</f>
        <v/>
      </c>
      <c r="H99" s="199" t="str">
        <f>IFERROR(INDEX(_TARGETS!$E$2:$E$17,MATCH($C99,_TARGETS!$A$2:$A$17,0))&amp;"","")</f>
        <v>≤</v>
      </c>
      <c r="I99" s="199" t="str">
        <f t="shared" si="5"/>
        <v/>
      </c>
      <c r="J99" s="193" t="str">
        <f t="shared" si="6"/>
        <v>Monthly</v>
      </c>
      <c r="K99" s="248">
        <f>Datos!H68</f>
        <v>0</v>
      </c>
      <c r="L99" s="248">
        <f>Datos!H67</f>
        <v>0</v>
      </c>
      <c r="M99" s="193">
        <f>INDEX(_TARGETS!$J$2:$J$17,MATCH($C99,_TARGETS!$A$2:$A$17,0))</f>
        <v>1</v>
      </c>
      <c r="N99" s="193" t="str">
        <f>INDEX(_TARGETS!$D$2:$D$17,MATCH($C99,_TARGETS!$A$2:$A$17,0))</f>
        <v>días</v>
      </c>
      <c r="O99" s="193" t="str">
        <f>IF(NOT(ISNUMBER(F99)),"MISSING","OK")</f>
        <v>MISSING</v>
      </c>
      <c r="P99" s="193" t="str">
        <f>INDEX(_TARGETS!$K$2:$K$17,MATCH($C99,_TARGETS!$A$2:$A$17,0))</f>
        <v>Plant Findings (hoja Observaciones-SMP)</v>
      </c>
      <c r="Q99" s="193" t="str">
        <f t="shared" si="7"/>
        <v>202612|DPAS|Monthly</v>
      </c>
      <c r="R99" s="193" t="str">
        <f>INDEX(_TARGETS!$H$2:$H$17,MATCH($C99,_TARGETS!$A$2:$A$17,0))</f>
        <v>Pendiente (meta 2027)</v>
      </c>
      <c r="S99" s="193" t="str">
        <f t="shared" si="8"/>
        <v/>
      </c>
      <c r="T99" s="193" t="str">
        <f t="shared" si="9"/>
        <v/>
      </c>
    </row>
    <row r="100" spans="1:20" ht="13.5" customHeight="1" x14ac:dyDescent="0.3">
      <c r="A100" s="245">
        <f>KPIs!$H$3</f>
        <v>46357</v>
      </c>
      <c r="B100" s="199" t="str">
        <f>KPIs!H$4</f>
        <v>Compresora</v>
      </c>
      <c r="C100" s="31" t="s">
        <v>39</v>
      </c>
      <c r="D100" s="199" t="str">
        <f>KPIs!$A$26</f>
        <v>1 · Frecuencia de casos con días perdidos · ACUMULADO</v>
      </c>
      <c r="E100" s="31" t="s">
        <v>600</v>
      </c>
      <c r="F100" s="247" t="str">
        <f>IF(ISNUMBER(KPIs!H26),KPIs!H26,"")</f>
        <v/>
      </c>
      <c r="G100" s="247">
        <f>IF(ISNUMBER(KPIs!$C$26),KPIs!$C$26,"")</f>
        <v>0</v>
      </c>
      <c r="H100" s="199" t="str">
        <f>IFERROR(INDEX(_TARGETS!$E$2:$E$17,MATCH($C100,_TARGETS!$A$2:$A$17,0))&amp;"","")</f>
        <v>≤</v>
      </c>
      <c r="I100" s="199" t="str">
        <f t="shared" si="5"/>
        <v/>
      </c>
      <c r="J100" s="193" t="str">
        <f t="shared" si="6"/>
        <v>Cumulative</v>
      </c>
      <c r="K100" s="193">
        <f>SUM(Datos!$D33:H33)</f>
        <v>0</v>
      </c>
      <c r="L100" s="193">
        <f>SUM(Datos!$D14:H14)</f>
        <v>48332</v>
      </c>
      <c r="M100" s="193">
        <f>INDEX(_TARGETS!$J$2:$J$17,MATCH($C100,_TARGETS!$A$2:$A$17,0))</f>
        <v>1000000</v>
      </c>
      <c r="N100" s="193" t="str">
        <f>INDEX(_TARGETS!$D$2:$D$17,MATCH($C100,_TARGETS!$A$2:$A$17,0))</f>
        <v>casos / 10^6 HH</v>
      </c>
      <c r="O100" s="193" t="str">
        <f>IF(NOT(ISNUMBER(F100)),IF(SUMPRODUCT(($C$2:$C$1300=C100)*($J$2:$J$1300="Monthly")*($A$2:$A$1300&lt;=A100)*ISNUMBER($K$2:$K$1300)*ISNUMBER($L$2:$L$1300)*($L$2:$L$1300=0)*($K$2:$K$1300&gt;0))&gt;0,"INCOMPLETE","MISSING"),O86)</f>
        <v>MISSING</v>
      </c>
      <c r="P100" s="193" t="str">
        <f>INDEX(_TARGETS!$K$2:$K$17,MATCH($C100,_TARGETS!$A$2:$A$17,0))</f>
        <v>OPS (carga manual en Datos)</v>
      </c>
      <c r="Q100" s="193" t="str">
        <f t="shared" si="7"/>
        <v>202612|DAFWCF|Cumulative</v>
      </c>
      <c r="R100" s="193" t="str">
        <f>INDEX(_TARGETS!$H$2:$H$17,MATCH($C100,_TARGETS!$A$2:$A$17,0))</f>
        <v>Definida</v>
      </c>
      <c r="S100" s="193">
        <f t="shared" si="8"/>
        <v>0</v>
      </c>
      <c r="T100" s="193" t="str">
        <f t="shared" si="9"/>
        <v/>
      </c>
    </row>
    <row r="101" spans="1:20" ht="13.5" customHeight="1" x14ac:dyDescent="0.3">
      <c r="A101" s="245">
        <f>KPIs!$H$3</f>
        <v>46357</v>
      </c>
      <c r="B101" s="199" t="str">
        <f>KPIs!H$4</f>
        <v>Compresora</v>
      </c>
      <c r="C101" s="31" t="s">
        <v>49</v>
      </c>
      <c r="D101" s="199" t="str">
        <f>KPIs!$A$27</f>
        <v>2 · Frecuencia de casos registrables · ACUMULADO</v>
      </c>
      <c r="E101" s="31" t="s">
        <v>600</v>
      </c>
      <c r="F101" s="247" t="str">
        <f>IF(ISNUMBER(KPIs!H27),KPIs!H27,"")</f>
        <v/>
      </c>
      <c r="G101" s="247">
        <f>IF(ISNUMBER(KPIs!$C$27),KPIs!$C$27,"")</f>
        <v>2.35</v>
      </c>
      <c r="H101" s="199" t="str">
        <f>IFERROR(INDEX(_TARGETS!$E$2:$E$17,MATCH($C101,_TARGETS!$A$2:$A$17,0))&amp;"","")</f>
        <v>≤</v>
      </c>
      <c r="I101" s="199" t="str">
        <f t="shared" si="5"/>
        <v/>
      </c>
      <c r="J101" s="193" t="str">
        <f t="shared" si="6"/>
        <v>Cumulative</v>
      </c>
      <c r="K101" s="193">
        <f>SUM(Datos!$D33:H33)+SUM(Datos!$D34:H34)+SUM(Datos!$D35:H35)+SUM(Datos!$D36:H36)</f>
        <v>0</v>
      </c>
      <c r="L101" s="193">
        <f>SUM(Datos!$D14:H14)</f>
        <v>48332</v>
      </c>
      <c r="M101" s="193">
        <f>INDEX(_TARGETS!$J$2:$J$17,MATCH($C101,_TARGETS!$A$2:$A$17,0))</f>
        <v>1000000</v>
      </c>
      <c r="N101" s="193" t="str">
        <f>INDEX(_TARGETS!$D$2:$D$17,MATCH($C101,_TARGETS!$A$2:$A$17,0))</f>
        <v>casos / 10^6 HH</v>
      </c>
      <c r="O101" s="193" t="str">
        <f>IF(NOT(ISNUMBER(F101)),IF(SUMPRODUCT(($C$2:$C$1300=C101)*($J$2:$J$1300="Monthly")*($A$2:$A$1300&lt;=A101)*ISNUMBER($K$2:$K$1300)*ISNUMBER($L$2:$L$1300)*($L$2:$L$1300=0)*($K$2:$K$1300&gt;0))&gt;0,"INCOMPLETE","MISSING"),O87)</f>
        <v>MISSING</v>
      </c>
      <c r="P101" s="193" t="str">
        <f>INDEX(_TARGETS!$K$2:$K$17,MATCH($C101,_TARGETS!$A$2:$A$17,0))</f>
        <v>OPS (carga manual en Datos)</v>
      </c>
      <c r="Q101" s="193" t="str">
        <f t="shared" si="7"/>
        <v>202612|TRICF|Cumulative</v>
      </c>
      <c r="R101" s="193" t="str">
        <f>INDEX(_TARGETS!$H$2:$H$17,MATCH($C101,_TARGETS!$A$2:$A$17,0))</f>
        <v>Definida</v>
      </c>
      <c r="S101" s="193">
        <f t="shared" si="8"/>
        <v>0</v>
      </c>
      <c r="T101" s="193" t="str">
        <f t="shared" si="9"/>
        <v/>
      </c>
    </row>
    <row r="102" spans="1:20" ht="13.5" customHeight="1" x14ac:dyDescent="0.3">
      <c r="A102" s="245">
        <f>KPIs!$H$3</f>
        <v>46357</v>
      </c>
      <c r="B102" s="199" t="str">
        <f>KPIs!H$4</f>
        <v>Compresora</v>
      </c>
      <c r="C102" s="31" t="s">
        <v>51</v>
      </c>
      <c r="D102" s="199" t="str">
        <f>KPIs!$A$28</f>
        <v>3 · Casos de primeros auxilios · ACUMULADO</v>
      </c>
      <c r="E102" s="31" t="s">
        <v>600</v>
      </c>
      <c r="F102" s="247" t="str">
        <f>IF(ISNUMBER(KPIs!H28),KPIs!H28,"")</f>
        <v/>
      </c>
      <c r="G102" s="247" t="str">
        <f>IF(ISNUMBER(KPIs!$C$28),KPIs!$C$28,"")</f>
        <v/>
      </c>
      <c r="H102" s="199" t="str">
        <f>IFERROR(INDEX(_TARGETS!$E$2:$E$17,MATCH($C102,_TARGETS!$A$2:$A$17,0))&amp;"","")</f>
        <v/>
      </c>
      <c r="I102" s="199" t="str">
        <f t="shared" si="5"/>
        <v/>
      </c>
      <c r="J102" s="193" t="str">
        <f t="shared" si="6"/>
        <v>Cumulative</v>
      </c>
      <c r="K102" s="193">
        <f>SUM(Datos!$D37:H37)</f>
        <v>0</v>
      </c>
      <c r="M102" s="193">
        <f>INDEX(_TARGETS!$J$2:$J$17,MATCH($C102,_TARGETS!$A$2:$A$17,0))</f>
        <v>1</v>
      </c>
      <c r="N102" s="193" t="str">
        <f>INDEX(_TARGETS!$D$2:$D$17,MATCH($C102,_TARGETS!$A$2:$A$17,0))</f>
        <v>casos</v>
      </c>
      <c r="O102" s="193" t="str">
        <f>IF(NOT(ISNUMBER(F102)),IF(SUMPRODUCT(($C$2:$C$1300=C102)*($J$2:$J$1300="Monthly")*($A$2:$A$1300&lt;=A102)*ISNUMBER($K$2:$K$1300)*ISNUMBER($L$2:$L$1300)*($L$2:$L$1300=0)*($K$2:$K$1300&gt;0))&gt;0,"INCOMPLETE","MISSING"),O88)</f>
        <v>MISSING</v>
      </c>
      <c r="P102" s="193" t="str">
        <f>INDEX(_TARGETS!$K$2:$K$17,MATCH($C102,_TARGETS!$A$2:$A$17,0))</f>
        <v>OPS (carga manual en Datos)</v>
      </c>
      <c r="Q102" s="193" t="str">
        <f t="shared" si="7"/>
        <v>202612|FAC|Cumulative</v>
      </c>
      <c r="R102" s="193" t="str">
        <f>INDEX(_TARGETS!$H$2:$H$17,MATCH($C102,_TARGETS!$A$2:$A$17,0))</f>
        <v>Solo reporte</v>
      </c>
      <c r="S102" s="193">
        <f t="shared" si="8"/>
        <v>0</v>
      </c>
      <c r="T102" s="193" t="str">
        <f t="shared" si="9"/>
        <v/>
      </c>
    </row>
    <row r="103" spans="1:20" ht="13.5" customHeight="1" x14ac:dyDescent="0.3">
      <c r="A103" s="245">
        <f>KPIs!$H$3</f>
        <v>46357</v>
      </c>
      <c r="B103" s="199" t="str">
        <f>KPIs!H$4</f>
        <v>Compresora</v>
      </c>
      <c r="C103" s="31" t="s">
        <v>57</v>
      </c>
      <c r="D103" s="199" t="str">
        <f>KPIs!$A$29</f>
        <v>4 · Accidentes vehiculares severos · ACUMULADO</v>
      </c>
      <c r="E103" s="31" t="s">
        <v>600</v>
      </c>
      <c r="F103" s="247" t="str">
        <f>IF(ISNUMBER(KPIs!H29),KPIs!H29,"")</f>
        <v/>
      </c>
      <c r="G103" s="247" t="str">
        <f>IF(ISNUMBER(KPIs!$C$29),KPIs!$C$29,"")</f>
        <v/>
      </c>
      <c r="H103" s="199" t="str">
        <f>IFERROR(INDEX(_TARGETS!$E$2:$E$17,MATCH($C103,_TARGETS!$A$2:$A$17,0))&amp;"","")</f>
        <v/>
      </c>
      <c r="I103" s="199" t="str">
        <f t="shared" si="5"/>
        <v/>
      </c>
      <c r="J103" s="193" t="str">
        <f t="shared" si="6"/>
        <v>Cumulative</v>
      </c>
      <c r="K103" s="193">
        <f>SUM(Datos!$D39:H39)+SUM(Datos!$D40:H40)+SUM(Datos!$D41:H41)</f>
        <v>0</v>
      </c>
      <c r="L103" s="193">
        <f>SUM(Datos!$D47:H47)</f>
        <v>172824</v>
      </c>
      <c r="M103" s="193">
        <f>INDEX(_TARGETS!$J$2:$J$17,MATCH($C103,_TARGETS!$A$2:$A$17,0))</f>
        <v>1000000</v>
      </c>
      <c r="N103" s="193" t="str">
        <f>INDEX(_TARGETS!$D$2:$D$17,MATCH($C103,_TARGETS!$A$2:$A$17,0))</f>
        <v>eventos / 10^6 km</v>
      </c>
      <c r="O103" s="193" t="str">
        <f>IF(NOT(ISNUMBER(F103)),IF(SUMPRODUCT(($C$2:$C$1300=C103)*($J$2:$J$1300="Monthly")*($A$2:$A$1300&lt;=A103)*ISNUMBER($K$2:$K$1300)*ISNUMBER($L$2:$L$1300)*($L$2:$L$1300=0)*($K$2:$K$1300&gt;0))&gt;0,"INCOMPLETE","MISSING"),O89)</f>
        <v>MISSING</v>
      </c>
      <c r="P103" s="193" t="str">
        <f>INDEX(_TARGETS!$K$2:$K$17,MATCH($C103,_TARGETS!$A$2:$A$17,0))</f>
        <v>OPS (eventos) + Full Control GPS (km) - carga manual en Datos</v>
      </c>
      <c r="Q103" s="193" t="str">
        <f t="shared" si="7"/>
        <v>202612|SVCR|Cumulative</v>
      </c>
      <c r="R103" s="193" t="str">
        <f>INDEX(_TARGETS!$H$2:$H$17,MATCH($C103,_TARGETS!$A$2:$A$17,0))</f>
        <v>Solo reporte</v>
      </c>
      <c r="S103" s="193">
        <f t="shared" si="8"/>
        <v>0</v>
      </c>
      <c r="T103" s="193" t="str">
        <f t="shared" si="9"/>
        <v/>
      </c>
    </row>
    <row r="104" spans="1:20" ht="13.5" customHeight="1" x14ac:dyDescent="0.3">
      <c r="A104" s="245">
        <f>KPIs!$H$3</f>
        <v>46357</v>
      </c>
      <c r="B104" s="199" t="str">
        <f>KPIs!H$4</f>
        <v>Compresora</v>
      </c>
      <c r="C104" s="31" t="s">
        <v>61</v>
      </c>
      <c r="D104" s="199" t="str">
        <f>KPIs!$A$30</f>
        <v>5 · Accidentes vehiculares totales · ACUMULADO</v>
      </c>
      <c r="E104" s="31" t="s">
        <v>600</v>
      </c>
      <c r="F104" s="247" t="str">
        <f>IF(ISNUMBER(KPIs!H30),KPIs!H30,"")</f>
        <v/>
      </c>
      <c r="G104" s="247">
        <f>IF(ISNUMBER(KPIs!$C$30),KPIs!$C$30,"")</f>
        <v>0.79</v>
      </c>
      <c r="H104" s="199" t="str">
        <f>IFERROR(INDEX(_TARGETS!$E$2:$E$17,MATCH($C104,_TARGETS!$A$2:$A$17,0))&amp;"","")</f>
        <v>≤</v>
      </c>
      <c r="I104" s="199" t="str">
        <f t="shared" si="5"/>
        <v/>
      </c>
      <c r="J104" s="193" t="str">
        <f t="shared" si="6"/>
        <v>Cumulative</v>
      </c>
      <c r="K104" s="193">
        <f>SUM(Datos!$D39:H39)+SUM(Datos!$D40:H40)+SUM(Datos!$D41:H41)+SUM(Datos!$D42:H42)</f>
        <v>0</v>
      </c>
      <c r="L104" s="193">
        <f>SUM(Datos!$D47:H47)</f>
        <v>172824</v>
      </c>
      <c r="M104" s="193">
        <f>INDEX(_TARGETS!$J$2:$J$17,MATCH($C104,_TARGETS!$A$2:$A$17,0))</f>
        <v>1000000</v>
      </c>
      <c r="N104" s="193" t="str">
        <f>INDEX(_TARGETS!$D$2:$D$17,MATCH($C104,_TARGETS!$A$2:$A$17,0))</f>
        <v>eventos / 10^6 km</v>
      </c>
      <c r="O104" s="193" t="str">
        <f>IF(NOT(ISNUMBER(F104)),IF(SUMPRODUCT(($C$2:$C$1300=C104)*($J$2:$J$1300="Monthly")*($A$2:$A$1300&lt;=A104)*ISNUMBER($K$2:$K$1300)*ISNUMBER($L$2:$L$1300)*($L$2:$L$1300=0)*($K$2:$K$1300&gt;0))&gt;0,"INCOMPLETE","MISSING"),O90)</f>
        <v>MISSING</v>
      </c>
      <c r="P104" s="193" t="str">
        <f>INDEX(_TARGETS!$K$2:$K$17,MATCH($C104,_TARGETS!$A$2:$A$17,0))</f>
        <v>OPS (eventos) + Full Control GPS (km) - carga manual en Datos</v>
      </c>
      <c r="Q104" s="193" t="str">
        <f t="shared" si="7"/>
        <v>202612|TVCR|Cumulative</v>
      </c>
      <c r="R104" s="193" t="str">
        <f>INDEX(_TARGETS!$H$2:$H$17,MATCH($C104,_TARGETS!$A$2:$A$17,0))</f>
        <v>Definida</v>
      </c>
      <c r="S104" s="193">
        <f t="shared" si="8"/>
        <v>0</v>
      </c>
      <c r="T104" s="193" t="str">
        <f t="shared" si="9"/>
        <v/>
      </c>
    </row>
    <row r="105" spans="1:20" ht="13.5" customHeight="1" x14ac:dyDescent="0.3">
      <c r="A105" s="245">
        <f>KPIs!$H$3</f>
        <v>46357</v>
      </c>
      <c r="B105" s="199" t="str">
        <f>KPIs!H$4</f>
        <v>Compresora</v>
      </c>
      <c r="C105" s="31" t="s">
        <v>96</v>
      </c>
      <c r="D105" s="199" t="str">
        <f>KPIs!$A$33</f>
        <v>C1 · % de desvíos detectados de gravedad Alta</v>
      </c>
      <c r="E105" s="31" t="s">
        <v>599</v>
      </c>
      <c r="F105" s="247" t="str">
        <f>IF(ISNUMBER(KPIs!H33),KPIs!H33,"")</f>
        <v/>
      </c>
      <c r="G105" s="247" t="str">
        <f>IF(ISNUMBER(KPIs!$C$33),KPIs!$C$33,"")</f>
        <v/>
      </c>
      <c r="H105" s="199" t="str">
        <f>IFERROR(INDEX(_TARGETS!$E$2:$E$17,MATCH($C105,_TARGETS!$A$2:$A$17,0))&amp;"","")</f>
        <v/>
      </c>
      <c r="I105" s="199" t="str">
        <f t="shared" si="5"/>
        <v/>
      </c>
      <c r="J105" s="193" t="str">
        <f t="shared" si="6"/>
        <v>Monthly</v>
      </c>
      <c r="K105" s="248">
        <f>Datos!H71</f>
        <v>0</v>
      </c>
      <c r="L105" s="193">
        <f>Datos!H71+Datos!H72+Datos!H73</f>
        <v>0</v>
      </c>
      <c r="M105" s="193">
        <f>INDEX(_TARGETS!$J$2:$J$17,MATCH($C105,_TARGETS!$A$2:$A$17,0))</f>
        <v>1</v>
      </c>
      <c r="N105" s="193" t="str">
        <f>INDEX(_TARGETS!$D$2:$D$17,MATCH($C105,_TARGETS!$A$2:$A$17,0))</f>
        <v>% (fracción)</v>
      </c>
      <c r="O105" s="193" t="str">
        <f>IF(NOT(ISNUMBER(F105)),"MISSING","OK")</f>
        <v>MISSING</v>
      </c>
      <c r="P105" s="193" t="str">
        <f>INDEX(_TARGETS!$K$2:$K$17,MATCH($C105,_TARGETS!$A$2:$A$17,0))</f>
        <v>Plant Findings (hoja Observaciones-SMP)</v>
      </c>
      <c r="Q105" s="193" t="str">
        <f t="shared" si="7"/>
        <v>202612|HAL_ALTA_PCT|Monthly</v>
      </c>
      <c r="R105" s="193" t="str">
        <f>INDEX(_TARGETS!$H$2:$H$17,MATCH($C105,_TARGETS!$A$2:$A$17,0))</f>
        <v>Solo reporte</v>
      </c>
      <c r="S105" s="193" t="str">
        <f t="shared" si="8"/>
        <v/>
      </c>
      <c r="T105" s="193" t="str">
        <f t="shared" si="9"/>
        <v/>
      </c>
    </row>
    <row r="106" spans="1:20" ht="13.5" customHeight="1" x14ac:dyDescent="0.3">
      <c r="A106" s="245">
        <f>KPIs!$H$3</f>
        <v>46357</v>
      </c>
      <c r="B106" s="199" t="str">
        <f>KPIs!H$4</f>
        <v>Compresora</v>
      </c>
      <c r="C106" s="31" t="s">
        <v>98</v>
      </c>
      <c r="D106" s="199" t="str">
        <f>KPIs!$A$34</f>
        <v>C2 · Detenciones de tareas aplicadas</v>
      </c>
      <c r="E106" s="31" t="s">
        <v>599</v>
      </c>
      <c r="F106" s="247" t="str">
        <f>IF(ISNUMBER(KPIs!H34),KPIs!H34,"")</f>
        <v/>
      </c>
      <c r="G106" s="247" t="str">
        <f>IF(ISNUMBER(KPIs!$C$34),KPIs!$C$34,"")</f>
        <v/>
      </c>
      <c r="H106" s="199" t="str">
        <f>IFERROR(INDEX(_TARGETS!$E$2:$E$17,MATCH($C106,_TARGETS!$A$2:$A$17,0))&amp;"","")</f>
        <v/>
      </c>
      <c r="I106" s="199" t="str">
        <f t="shared" si="5"/>
        <v/>
      </c>
      <c r="J106" s="193" t="str">
        <f t="shared" si="6"/>
        <v>Monthly</v>
      </c>
      <c r="K106" s="248">
        <f>Datos!H75</f>
        <v>0</v>
      </c>
      <c r="M106" s="193">
        <f>INDEX(_TARGETS!$J$2:$J$17,MATCH($C106,_TARGETS!$A$2:$A$17,0))</f>
        <v>1</v>
      </c>
      <c r="N106" s="193" t="str">
        <f>INDEX(_TARGETS!$D$2:$D$17,MATCH($C106,_TARGETS!$A$2:$A$17,0))</f>
        <v>u</v>
      </c>
      <c r="O106" s="193" t="str">
        <f>IF(NOT(ISNUMBER(F106)),"MISSING","OK")</f>
        <v>MISSING</v>
      </c>
      <c r="P106" s="193" t="str">
        <f>INDEX(_TARGETS!$K$2:$K$17,MATCH($C106,_TARGETS!$A$2:$A$17,0))</f>
        <v>Plant Findings (hoja Observaciones-SMP)</v>
      </c>
      <c r="Q106" s="193" t="str">
        <f t="shared" si="7"/>
        <v>202612|DET|Monthly</v>
      </c>
      <c r="R106" s="193" t="str">
        <f>INDEX(_TARGETS!$H$2:$H$17,MATCH($C106,_TARGETS!$A$2:$A$17,0))</f>
        <v>Solo reporte</v>
      </c>
      <c r="S106" s="193" t="str">
        <f t="shared" si="8"/>
        <v/>
      </c>
      <c r="T106" s="193" t="str">
        <f t="shared" si="9"/>
        <v/>
      </c>
    </row>
    <row r="107" spans="1:20" ht="13.5" customHeight="1" x14ac:dyDescent="0.3">
      <c r="A107" s="245">
        <f>KPIs!$I$3</f>
        <v>46388</v>
      </c>
      <c r="B107" s="199" t="str">
        <f>KPIs!I$4</f>
        <v>Compresora</v>
      </c>
      <c r="C107" s="31" t="s">
        <v>39</v>
      </c>
      <c r="D107" s="199" t="str">
        <f>KPIs!$A$6</f>
        <v>1 · Frecuencia de casos con días perdidos</v>
      </c>
      <c r="E107" s="31" t="s">
        <v>599</v>
      </c>
      <c r="F107" s="247" t="str">
        <f>IF(ISNUMBER(KPIs!I6),KPIs!I6,"")</f>
        <v/>
      </c>
      <c r="G107" s="247">
        <f>IF(ISNUMBER(KPIs!$C$6),KPIs!$C$6,"")</f>
        <v>0</v>
      </c>
      <c r="H107" s="199" t="str">
        <f>IFERROR(INDEX(_TARGETS!$E$2:$E$17,MATCH($C107,_TARGETS!$A$2:$A$17,0))&amp;"","")</f>
        <v>≤</v>
      </c>
      <c r="I107" s="199" t="str">
        <f t="shared" si="5"/>
        <v/>
      </c>
      <c r="J107" s="193" t="str">
        <f t="shared" si="6"/>
        <v>Monthly</v>
      </c>
      <c r="K107" s="248">
        <f>Datos!I33</f>
        <v>0</v>
      </c>
      <c r="L107" s="248">
        <f>Datos!I14</f>
        <v>0</v>
      </c>
      <c r="M107" s="193">
        <f>INDEX(_TARGETS!$J$2:$J$17,MATCH($C107,_TARGETS!$A$2:$A$17,0))</f>
        <v>1000000</v>
      </c>
      <c r="N107" s="193" t="str">
        <f>INDEX(_TARGETS!$D$2:$D$17,MATCH($C107,_TARGETS!$A$2:$A$17,0))</f>
        <v>casos / 10^6 HH</v>
      </c>
      <c r="O107" s="193" t="str">
        <f>IF(NOT(ISNUMBER(F107)),"MISSING",IF((COUNTBLANK(Datos!I12)+COUNTBLANK(Datos!I13)+COUNTBLANK(Datos!I33))&gt;0,"INCOMPLETE","OK"))</f>
        <v>MISSING</v>
      </c>
      <c r="P107" s="193" t="str">
        <f>INDEX(_TARGETS!$K$2:$K$17,MATCH($C107,_TARGETS!$A$2:$A$17,0))</f>
        <v>OPS (carga manual en Datos)</v>
      </c>
      <c r="Q107" s="193" t="str">
        <f t="shared" si="7"/>
        <v>202701|DAFWCF|Monthly</v>
      </c>
      <c r="R107" s="193" t="str">
        <f>INDEX(_TARGETS!$H$2:$H$17,MATCH($C107,_TARGETS!$A$2:$A$17,0))</f>
        <v>Definida</v>
      </c>
      <c r="S107" s="193" t="str">
        <f t="shared" si="8"/>
        <v/>
      </c>
      <c r="T107" s="193" t="str">
        <f t="shared" si="9"/>
        <v/>
      </c>
    </row>
    <row r="108" spans="1:20" ht="13.5" customHeight="1" x14ac:dyDescent="0.3">
      <c r="A108" s="245">
        <f>KPIs!$I$3</f>
        <v>46388</v>
      </c>
      <c r="B108" s="199" t="str">
        <f>KPIs!I$4</f>
        <v>Compresora</v>
      </c>
      <c r="C108" s="31" t="s">
        <v>49</v>
      </c>
      <c r="D108" s="199" t="str">
        <f>KPIs!$A$7</f>
        <v>2 · Frecuencia de casos registrables</v>
      </c>
      <c r="E108" s="31" t="s">
        <v>599</v>
      </c>
      <c r="F108" s="247" t="str">
        <f>IF(ISNUMBER(KPIs!I7),KPIs!I7,"")</f>
        <v/>
      </c>
      <c r="G108" s="247">
        <f>IF(ISNUMBER(KPIs!$C$7),KPIs!$C$7,"")</f>
        <v>2.35</v>
      </c>
      <c r="H108" s="199" t="str">
        <f>IFERROR(INDEX(_TARGETS!$E$2:$E$17,MATCH($C108,_TARGETS!$A$2:$A$17,0))&amp;"","")</f>
        <v>≤</v>
      </c>
      <c r="I108" s="199" t="str">
        <f t="shared" si="5"/>
        <v/>
      </c>
      <c r="J108" s="193" t="str">
        <f t="shared" si="6"/>
        <v>Monthly</v>
      </c>
      <c r="K108" s="193">
        <f>Datos!I33+Datos!I34+Datos!I35+Datos!I36</f>
        <v>0</v>
      </c>
      <c r="L108" s="248">
        <f>Datos!I14</f>
        <v>0</v>
      </c>
      <c r="M108" s="193">
        <f>INDEX(_TARGETS!$J$2:$J$17,MATCH($C108,_TARGETS!$A$2:$A$17,0))</f>
        <v>1000000</v>
      </c>
      <c r="N108" s="193" t="str">
        <f>INDEX(_TARGETS!$D$2:$D$17,MATCH($C108,_TARGETS!$A$2:$A$17,0))</f>
        <v>casos / 10^6 HH</v>
      </c>
      <c r="O108" s="193" t="str">
        <f>IF(NOT(ISNUMBER(F108)),"MISSING",IF((COUNTBLANK(Datos!I12)+COUNTBLANK(Datos!I13)+COUNTBLANK(Datos!I33)+COUNTBLANK(Datos!I34)+COUNTBLANK(Datos!I35)+COUNTBLANK(Datos!I36))&gt;0,"INCOMPLETE","OK"))</f>
        <v>MISSING</v>
      </c>
      <c r="P108" s="193" t="str">
        <f>INDEX(_TARGETS!$K$2:$K$17,MATCH($C108,_TARGETS!$A$2:$A$17,0))</f>
        <v>OPS (carga manual en Datos)</v>
      </c>
      <c r="Q108" s="193" t="str">
        <f t="shared" si="7"/>
        <v>202701|TRICF|Monthly</v>
      </c>
      <c r="R108" s="193" t="str">
        <f>INDEX(_TARGETS!$H$2:$H$17,MATCH($C108,_TARGETS!$A$2:$A$17,0))</f>
        <v>Definida</v>
      </c>
      <c r="S108" s="193" t="str">
        <f t="shared" si="8"/>
        <v/>
      </c>
      <c r="T108" s="193" t="str">
        <f t="shared" si="9"/>
        <v/>
      </c>
    </row>
    <row r="109" spans="1:20" ht="13.5" customHeight="1" x14ac:dyDescent="0.3">
      <c r="A109" s="245">
        <f>KPIs!$I$3</f>
        <v>46388</v>
      </c>
      <c r="B109" s="199" t="str">
        <f>KPIs!I$4</f>
        <v>Compresora</v>
      </c>
      <c r="C109" s="31" t="s">
        <v>51</v>
      </c>
      <c r="D109" s="199" t="str">
        <f>KPIs!$A$8</f>
        <v>3 · Casos de primeros auxilios</v>
      </c>
      <c r="E109" s="31" t="s">
        <v>599</v>
      </c>
      <c r="F109" s="247" t="str">
        <f>IF(ISNUMBER(KPIs!I8),KPIs!I8,"")</f>
        <v/>
      </c>
      <c r="G109" s="247" t="str">
        <f>IF(ISNUMBER(KPIs!$C$8),KPIs!$C$8,"")</f>
        <v/>
      </c>
      <c r="H109" s="199" t="str">
        <f>IFERROR(INDEX(_TARGETS!$E$2:$E$17,MATCH($C109,_TARGETS!$A$2:$A$17,0))&amp;"","")</f>
        <v/>
      </c>
      <c r="I109" s="199" t="str">
        <f t="shared" si="5"/>
        <v/>
      </c>
      <c r="J109" s="193" t="str">
        <f t="shared" si="6"/>
        <v>Monthly</v>
      </c>
      <c r="K109" s="248">
        <f>Datos!I37</f>
        <v>0</v>
      </c>
      <c r="M109" s="193">
        <f>INDEX(_TARGETS!$J$2:$J$17,MATCH($C109,_TARGETS!$A$2:$A$17,0))</f>
        <v>1</v>
      </c>
      <c r="N109" s="193" t="str">
        <f>INDEX(_TARGETS!$D$2:$D$17,MATCH($C109,_TARGETS!$A$2:$A$17,0))</f>
        <v>casos</v>
      </c>
      <c r="O109" s="193" t="str">
        <f>IF(NOT(ISNUMBER(F109)),"MISSING",IF((COUNTBLANK(Datos!I12)+COUNTBLANK(Datos!I13)+COUNTBLANK(Datos!I37))&gt;0,"INCOMPLETE","OK"))</f>
        <v>MISSING</v>
      </c>
      <c r="P109" s="193" t="str">
        <f>INDEX(_TARGETS!$K$2:$K$17,MATCH($C109,_TARGETS!$A$2:$A$17,0))</f>
        <v>OPS (carga manual en Datos)</v>
      </c>
      <c r="Q109" s="193" t="str">
        <f t="shared" si="7"/>
        <v>202701|FAC|Monthly</v>
      </c>
      <c r="R109" s="193" t="str">
        <f>INDEX(_TARGETS!$H$2:$H$17,MATCH($C109,_TARGETS!$A$2:$A$17,0))</f>
        <v>Solo reporte</v>
      </c>
      <c r="S109" s="193" t="str">
        <f t="shared" si="8"/>
        <v/>
      </c>
      <c r="T109" s="193" t="str">
        <f t="shared" si="9"/>
        <v/>
      </c>
    </row>
    <row r="110" spans="1:20" ht="13.5" customHeight="1" x14ac:dyDescent="0.3">
      <c r="A110" s="245">
        <f>KPIs!$I$3</f>
        <v>46388</v>
      </c>
      <c r="B110" s="199" t="str">
        <f>KPIs!I$4</f>
        <v>Compresora</v>
      </c>
      <c r="C110" s="31" t="s">
        <v>57</v>
      </c>
      <c r="D110" s="199" t="str">
        <f>KPIs!$A$10</f>
        <v>4 · Accidentes vehiculares severos por millón de km</v>
      </c>
      <c r="E110" s="31" t="s">
        <v>599</v>
      </c>
      <c r="F110" s="247" t="str">
        <f>IF(ISNUMBER(KPIs!I10),KPIs!I10,"")</f>
        <v/>
      </c>
      <c r="G110" s="247" t="str">
        <f>IF(ISNUMBER(KPIs!$C$10),KPIs!$C$10,"")</f>
        <v/>
      </c>
      <c r="H110" s="199" t="str">
        <f>IFERROR(INDEX(_TARGETS!$E$2:$E$17,MATCH($C110,_TARGETS!$A$2:$A$17,0))&amp;"","")</f>
        <v/>
      </c>
      <c r="I110" s="199" t="str">
        <f t="shared" si="5"/>
        <v/>
      </c>
      <c r="J110" s="193" t="str">
        <f t="shared" si="6"/>
        <v>Monthly</v>
      </c>
      <c r="K110" s="193">
        <f>Datos!I39+Datos!I40+Datos!I41</f>
        <v>0</v>
      </c>
      <c r="L110" s="248">
        <f>Datos!I47</f>
        <v>0</v>
      </c>
      <c r="M110" s="193">
        <f>INDEX(_TARGETS!$J$2:$J$17,MATCH($C110,_TARGETS!$A$2:$A$17,0))</f>
        <v>1000000</v>
      </c>
      <c r="N110" s="193" t="str">
        <f>INDEX(_TARGETS!$D$2:$D$17,MATCH($C110,_TARGETS!$A$2:$A$17,0))</f>
        <v>eventos / 10^6 km</v>
      </c>
      <c r="O110" s="193" t="str">
        <f>IF(NOT(ISNUMBER(F110)),"MISSING",IF((COUNTBLANK(Datos!I44)+COUNTBLANK(Datos!I45)+COUNTBLANK(Datos!I46)+COUNTBLANK(Datos!I39)+COUNTBLANK(Datos!I40)+COUNTBLANK(Datos!I41))&gt;0,"INCOMPLETE","OK"))</f>
        <v>MISSING</v>
      </c>
      <c r="P110" s="193" t="str">
        <f>INDEX(_TARGETS!$K$2:$K$17,MATCH($C110,_TARGETS!$A$2:$A$17,0))</f>
        <v>OPS (eventos) + Full Control GPS (km) - carga manual en Datos</v>
      </c>
      <c r="Q110" s="193" t="str">
        <f t="shared" si="7"/>
        <v>202701|SVCR|Monthly</v>
      </c>
      <c r="R110" s="193" t="str">
        <f>INDEX(_TARGETS!$H$2:$H$17,MATCH($C110,_TARGETS!$A$2:$A$17,0))</f>
        <v>Solo reporte</v>
      </c>
      <c r="S110" s="193" t="str">
        <f t="shared" si="8"/>
        <v/>
      </c>
      <c r="T110" s="193" t="str">
        <f t="shared" si="9"/>
        <v/>
      </c>
    </row>
    <row r="111" spans="1:20" ht="13.5" customHeight="1" x14ac:dyDescent="0.3">
      <c r="A111" s="245">
        <f>KPIs!$I$3</f>
        <v>46388</v>
      </c>
      <c r="B111" s="199" t="str">
        <f>KPIs!I$4</f>
        <v>Compresora</v>
      </c>
      <c r="C111" s="31" t="s">
        <v>61</v>
      </c>
      <c r="D111" s="199" t="str">
        <f>KPIs!$A$11</f>
        <v>5 · Accidentes vehiculares totales por millón de km</v>
      </c>
      <c r="E111" s="31" t="s">
        <v>599</v>
      </c>
      <c r="F111" s="247" t="str">
        <f>IF(ISNUMBER(KPIs!I11),KPIs!I11,"")</f>
        <v/>
      </c>
      <c r="G111" s="247">
        <f>IF(ISNUMBER(KPIs!$C$11),KPIs!$C$11,"")</f>
        <v>0.79</v>
      </c>
      <c r="H111" s="199" t="str">
        <f>IFERROR(INDEX(_TARGETS!$E$2:$E$17,MATCH($C111,_TARGETS!$A$2:$A$17,0))&amp;"","")</f>
        <v>≤</v>
      </c>
      <c r="I111" s="199" t="str">
        <f t="shared" si="5"/>
        <v/>
      </c>
      <c r="J111" s="193" t="str">
        <f t="shared" si="6"/>
        <v>Monthly</v>
      </c>
      <c r="K111" s="193">
        <f>Datos!I39+Datos!I40+Datos!I41+Datos!I42</f>
        <v>0</v>
      </c>
      <c r="L111" s="248">
        <f>Datos!I47</f>
        <v>0</v>
      </c>
      <c r="M111" s="193">
        <f>INDEX(_TARGETS!$J$2:$J$17,MATCH($C111,_TARGETS!$A$2:$A$17,0))</f>
        <v>1000000</v>
      </c>
      <c r="N111" s="193" t="str">
        <f>INDEX(_TARGETS!$D$2:$D$17,MATCH($C111,_TARGETS!$A$2:$A$17,0))</f>
        <v>eventos / 10^6 km</v>
      </c>
      <c r="O111" s="193" t="str">
        <f>IF(NOT(ISNUMBER(F111)),"MISSING",IF((COUNTBLANK(Datos!I44)+COUNTBLANK(Datos!I45)+COUNTBLANK(Datos!I46)+COUNTBLANK(Datos!I39)+COUNTBLANK(Datos!I40)+COUNTBLANK(Datos!I41)+COUNTBLANK(Datos!I42))&gt;0,"INCOMPLETE","OK"))</f>
        <v>MISSING</v>
      </c>
      <c r="P111" s="193" t="str">
        <f>INDEX(_TARGETS!$K$2:$K$17,MATCH($C111,_TARGETS!$A$2:$A$17,0))</f>
        <v>OPS (eventos) + Full Control GPS (km) - carga manual en Datos</v>
      </c>
      <c r="Q111" s="193" t="str">
        <f t="shared" si="7"/>
        <v>202701|TVCR|Monthly</v>
      </c>
      <c r="R111" s="193" t="str">
        <f>INDEX(_TARGETS!$H$2:$H$17,MATCH($C111,_TARGETS!$A$2:$A$17,0))</f>
        <v>Definida</v>
      </c>
      <c r="S111" s="193" t="str">
        <f t="shared" si="8"/>
        <v/>
      </c>
      <c r="T111" s="193" t="str">
        <f t="shared" si="9"/>
        <v/>
      </c>
    </row>
    <row r="112" spans="1:20" ht="13.5" customHeight="1" x14ac:dyDescent="0.3">
      <c r="A112" s="245">
        <f>KPIs!$I$3</f>
        <v>46388</v>
      </c>
      <c r="B112" s="199" t="str">
        <f>KPIs!I$4</f>
        <v>Compresora</v>
      </c>
      <c r="C112" s="31" t="s">
        <v>63</v>
      </c>
      <c r="D112" s="199" t="str">
        <f>KPIs!$A$13</f>
        <v>6 · Observaciones de seguridad por persona</v>
      </c>
      <c r="E112" s="31" t="s">
        <v>599</v>
      </c>
      <c r="F112" s="247" t="str">
        <f>IF(ISNUMBER(KPIs!I13),KPIs!I13,"")</f>
        <v/>
      </c>
      <c r="G112" s="247">
        <f>IF(ISNUMBER(KPIs!$C$13),KPIs!$C$13,"")</f>
        <v>1</v>
      </c>
      <c r="H112" s="199" t="str">
        <f>IFERROR(INDEX(_TARGETS!$E$2:$E$17,MATCH($C112,_TARGETS!$A$2:$A$17,0))&amp;"","")</f>
        <v>≥</v>
      </c>
      <c r="I112" s="199" t="str">
        <f t="shared" si="5"/>
        <v/>
      </c>
      <c r="J112" s="193" t="str">
        <f t="shared" si="6"/>
        <v>Monthly</v>
      </c>
      <c r="K112" s="248" t="str">
        <f>IF(COUNT(Datos!I28:I29)=0,"",SUM(Datos!I28:I29))</f>
        <v/>
      </c>
      <c r="L112" s="248">
        <f>Datos!I11</f>
        <v>0</v>
      </c>
      <c r="M112" s="193">
        <f>INDEX(_TARGETS!$J$2:$J$17,MATCH($C112,_TARGETS!$A$2:$A$17,0))</f>
        <v>1</v>
      </c>
      <c r="N112" s="193" t="str">
        <f>INDEX(_TARGETS!$D$2:$D$17,MATCH($C112,_TARGETS!$A$2:$A$17,0))</f>
        <v>obs / persona</v>
      </c>
      <c r="O112" s="193" t="str">
        <f>IF(NOT(ISNUMBER(F112)),"MISSING",IF((COUNTBLANK(Datos!I9)+COUNTBLANK(Datos!I10)+IF(COUNT(Datos!I28:I29)=0,1,0))&gt;0,"INCOMPLETE","OK"))</f>
        <v>MISSING</v>
      </c>
      <c r="P112" s="193" t="str">
        <f>INDEX(_TARGETS!$K$2:$K$17,MATCH($C112,_TARGETS!$A$2:$A$17,0))</f>
        <v>OPS (carga manual en Datos)</v>
      </c>
      <c r="Q112" s="193" t="str">
        <f t="shared" si="7"/>
        <v>202701|OBS|Monthly</v>
      </c>
      <c r="R112" s="193" t="str">
        <f>INDEX(_TARGETS!$H$2:$H$17,MATCH($C112,_TARGETS!$A$2:$A$17,0))</f>
        <v>PROVISORIA · referencia del subcontratista (OPS: 1 obs/persona); meta y población en definición</v>
      </c>
      <c r="S112" s="193" t="str">
        <f t="shared" si="8"/>
        <v/>
      </c>
      <c r="T112" s="193" t="str">
        <f t="shared" si="9"/>
        <v/>
      </c>
    </row>
    <row r="113" spans="1:20" ht="13.5" customHeight="1" x14ac:dyDescent="0.3">
      <c r="A113" s="245">
        <f>KPIs!$I$3</f>
        <v>46388</v>
      </c>
      <c r="B113" s="199" t="str">
        <f>KPIs!I$4</f>
        <v>Compresora</v>
      </c>
      <c r="C113" s="31" t="s">
        <v>71</v>
      </c>
      <c r="D113" s="199" t="str">
        <f>KPIs!$A$14</f>
        <v>7 · Investigaciones de accidentes: días promedio de cierre</v>
      </c>
      <c r="E113" s="31" t="s">
        <v>599</v>
      </c>
      <c r="F113" s="247" t="str">
        <f>IF(ISNUMBER(KPIs!I14),KPIs!I14,"")</f>
        <v/>
      </c>
      <c r="G113" s="247">
        <f>IF(ISNUMBER(KPIs!$C$14),KPIs!$C$14,"")</f>
        <v>20</v>
      </c>
      <c r="H113" s="199" t="str">
        <f>IFERROR(INDEX(_TARGETS!$E$2:$E$17,MATCH($C113,_TARGETS!$A$2:$A$17,0))&amp;"","")</f>
        <v>≤</v>
      </c>
      <c r="I113" s="199" t="str">
        <f t="shared" si="5"/>
        <v/>
      </c>
      <c r="J113" s="193" t="str">
        <f t="shared" si="6"/>
        <v>Monthly</v>
      </c>
      <c r="K113" s="248">
        <f>Datos!I31</f>
        <v>0</v>
      </c>
      <c r="L113" s="248">
        <f>Datos!I30</f>
        <v>0</v>
      </c>
      <c r="M113" s="193">
        <f>INDEX(_TARGETS!$J$2:$J$17,MATCH($C113,_TARGETS!$A$2:$A$17,0))</f>
        <v>1</v>
      </c>
      <c r="N113" s="193" t="str">
        <f>INDEX(_TARGETS!$D$2:$D$17,MATCH($C113,_TARGETS!$A$2:$A$17,0))</f>
        <v>días</v>
      </c>
      <c r="O113" s="193" t="str">
        <f>IF(NOT(ISNUMBER(F113)),"MISSING",IF((COUNTBLANK(Datos!I30)+COUNTBLANK(Datos!I31))&gt;0,"INCOMPLETE","OK"))</f>
        <v>MISSING</v>
      </c>
      <c r="P113" s="193" t="str">
        <f>INDEX(_TARGETS!$K$2:$K$17,MATCH($C113,_TARGETS!$A$2:$A$17,0))</f>
        <v>OPS (carga manual en Datos)</v>
      </c>
      <c r="Q113" s="193" t="str">
        <f t="shared" si="7"/>
        <v>202701|INV|Monthly</v>
      </c>
      <c r="R113" s="193" t="str">
        <f>INDEX(_TARGETS!$H$2:$H$17,MATCH($C113,_TARGETS!$A$2:$A$17,0))</f>
        <v>Definida</v>
      </c>
      <c r="S113" s="193" t="str">
        <f t="shared" si="8"/>
        <v/>
      </c>
      <c r="T113" s="193" t="str">
        <f t="shared" si="9"/>
        <v/>
      </c>
    </row>
    <row r="114" spans="1:20" ht="13.5" customHeight="1" x14ac:dyDescent="0.3">
      <c r="A114" s="245">
        <f>KPIs!$I$3</f>
        <v>46388</v>
      </c>
      <c r="B114" s="199" t="str">
        <f>KPIs!I$4</f>
        <v>Compresora</v>
      </c>
      <c r="C114" s="31" t="s">
        <v>76</v>
      </c>
      <c r="D114" s="199" t="str">
        <f>KPIs!$A$16</f>
        <v>8 · % de capacitación en seguridad</v>
      </c>
      <c r="E114" s="31" t="s">
        <v>599</v>
      </c>
      <c r="F114" s="247" t="str">
        <f>IF(ISNUMBER(KPIs!I16),KPIs!I16,"")</f>
        <v/>
      </c>
      <c r="G114" s="247">
        <f>IF(ISNUMBER(KPIs!$C$16),KPIs!$C$16,"")</f>
        <v>0.01</v>
      </c>
      <c r="H114" s="199" t="str">
        <f>IFERROR(INDEX(_TARGETS!$E$2:$E$17,MATCH($C114,_TARGETS!$A$2:$A$17,0))&amp;"","")</f>
        <v>≥</v>
      </c>
      <c r="I114" s="199" t="str">
        <f t="shared" si="5"/>
        <v/>
      </c>
      <c r="J114" s="193" t="str">
        <f t="shared" si="6"/>
        <v>Monthly</v>
      </c>
      <c r="K114" s="248">
        <f>Datos!I18</f>
        <v>0</v>
      </c>
      <c r="L114" s="248">
        <f>Datos!I14</f>
        <v>0</v>
      </c>
      <c r="M114" s="193">
        <f>INDEX(_TARGETS!$J$2:$J$17,MATCH($C114,_TARGETS!$A$2:$A$17,0))</f>
        <v>1</v>
      </c>
      <c r="N114" s="193" t="str">
        <f>INDEX(_TARGETS!$D$2:$D$17,MATCH($C114,_TARGETS!$A$2:$A$17,0))</f>
        <v>% (fracción)</v>
      </c>
      <c r="O114" s="193" t="str">
        <f>IF(NOT(ISNUMBER(F114)),"MISSING",IF((COUNTBLANK(Datos!I16)+COUNTBLANK(Datos!I17)+COUNTBLANK(Datos!I12)+COUNTBLANK(Datos!I13))&gt;0,"INCOMPLETE","OK"))</f>
        <v>MISSING</v>
      </c>
      <c r="P114" s="193" t="str">
        <f>INDEX(_TARGETS!$K$2:$K$17,MATCH($C114,_TARGETS!$A$2:$A$17,0))</f>
        <v>OPS (carga manual en Datos)</v>
      </c>
      <c r="Q114" s="193" t="str">
        <f t="shared" si="7"/>
        <v>202701|HCS|Monthly</v>
      </c>
      <c r="R114" s="193" t="str">
        <f>INDEX(_TARGETS!$H$2:$H$17,MATCH($C114,_TARGETS!$A$2:$A$17,0))</f>
        <v>Definida</v>
      </c>
      <c r="S114" s="193" t="str">
        <f t="shared" si="8"/>
        <v/>
      </c>
      <c r="T114" s="193" t="str">
        <f t="shared" si="9"/>
        <v/>
      </c>
    </row>
    <row r="115" spans="1:20" ht="13.5" customHeight="1" x14ac:dyDescent="0.3">
      <c r="A115" s="245">
        <f>KPIs!$I$3</f>
        <v>46388</v>
      </c>
      <c r="B115" s="199" t="str">
        <f>KPIs!I$4</f>
        <v>Compresora</v>
      </c>
      <c r="C115" s="31" t="s">
        <v>80</v>
      </c>
      <c r="D115" s="199" t="str">
        <f>KPIs!$A$17</f>
        <v>9 · Horas de capacitación por persona</v>
      </c>
      <c r="E115" s="31" t="s">
        <v>599</v>
      </c>
      <c r="F115" s="247" t="str">
        <f>IF(ISNUMBER(KPIs!I17),KPIs!I17,"")</f>
        <v/>
      </c>
      <c r="G115" s="247" t="str">
        <f>IF(ISNUMBER(KPIs!$C$17),KPIs!$C$17,"")</f>
        <v/>
      </c>
      <c r="H115" s="199" t="str">
        <f>IFERROR(INDEX(_TARGETS!$E$2:$E$17,MATCH($C115,_TARGETS!$A$2:$A$17,0))&amp;"","")</f>
        <v/>
      </c>
      <c r="I115" s="199" t="str">
        <f t="shared" si="5"/>
        <v/>
      </c>
      <c r="J115" s="193" t="str">
        <f t="shared" si="6"/>
        <v>Monthly</v>
      </c>
      <c r="K115" s="248">
        <f>Datos!I18</f>
        <v>0</v>
      </c>
      <c r="L115" s="248">
        <f>Datos!I11</f>
        <v>0</v>
      </c>
      <c r="M115" s="193">
        <f>INDEX(_TARGETS!$J$2:$J$17,MATCH($C115,_TARGETS!$A$2:$A$17,0))</f>
        <v>1</v>
      </c>
      <c r="N115" s="193" t="str">
        <f>INDEX(_TARGETS!$D$2:$D$17,MATCH($C115,_TARGETS!$A$2:$A$17,0))</f>
        <v>h / persona</v>
      </c>
      <c r="O115" s="193" t="str">
        <f>IF(NOT(ISNUMBER(F115)),"MISSING",IF((COUNTBLANK(Datos!I16)+COUNTBLANK(Datos!I17)+COUNTBLANK(Datos!I9)+COUNTBLANK(Datos!I10))&gt;0,"INCOMPLETE","OK"))</f>
        <v>MISSING</v>
      </c>
      <c r="P115" s="193" t="str">
        <f>INDEX(_TARGETS!$K$2:$K$17,MATCH($C115,_TARGETS!$A$2:$A$17,0))</f>
        <v>OPS (carga manual en Datos)</v>
      </c>
      <c r="Q115" s="193" t="str">
        <f t="shared" si="7"/>
        <v>202701|HCSA|Monthly</v>
      </c>
      <c r="R115" s="193" t="str">
        <f>INDEX(_TARGETS!$H$2:$H$17,MATCH($C115,_TARGETS!$A$2:$A$17,0))</f>
        <v>Solo reporte</v>
      </c>
      <c r="S115" s="193" t="str">
        <f t="shared" si="8"/>
        <v/>
      </c>
      <c r="T115" s="193" t="str">
        <f t="shared" si="9"/>
        <v/>
      </c>
    </row>
    <row r="116" spans="1:20" ht="13.5" customHeight="1" x14ac:dyDescent="0.3">
      <c r="A116" s="245">
        <f>KPIs!$I$3</f>
        <v>46388</v>
      </c>
      <c r="B116" s="199" t="str">
        <f>KPIs!I$4</f>
        <v>Compresora</v>
      </c>
      <c r="C116" s="31" t="s">
        <v>83</v>
      </c>
      <c r="D116" s="199" t="str">
        <f>KPIs!$A$18</f>
        <v>10 · Cumplimiento de simulacros (emergencia y operativos)</v>
      </c>
      <c r="E116" s="31" t="s">
        <v>599</v>
      </c>
      <c r="F116" s="247" t="str">
        <f>IF(ISNUMBER(KPIs!I18),KPIs!I18,"")</f>
        <v/>
      </c>
      <c r="G116" s="247">
        <f>IF(ISNUMBER(KPIs!$C$18),KPIs!$C$18,"")</f>
        <v>1</v>
      </c>
      <c r="H116" s="199" t="str">
        <f>IFERROR(INDEX(_TARGETS!$E$2:$E$17,MATCH($C116,_TARGETS!$A$2:$A$17,0))&amp;"","")</f>
        <v>≥</v>
      </c>
      <c r="I116" s="199" t="str">
        <f t="shared" si="5"/>
        <v/>
      </c>
      <c r="J116" s="193" t="str">
        <f t="shared" si="6"/>
        <v>Monthly</v>
      </c>
      <c r="K116" s="248">
        <f>Datos!I20</f>
        <v>0</v>
      </c>
      <c r="L116" s="248">
        <f>Datos!I21</f>
        <v>0</v>
      </c>
      <c r="M116" s="193">
        <f>INDEX(_TARGETS!$J$2:$J$17,MATCH($C116,_TARGETS!$A$2:$A$17,0))</f>
        <v>1</v>
      </c>
      <c r="N116" s="193" t="str">
        <f>INDEX(_TARGETS!$D$2:$D$17,MATCH($C116,_TARGETS!$A$2:$A$17,0))</f>
        <v>% (fracción)</v>
      </c>
      <c r="O116" s="193" t="str">
        <f>IF(NOT(ISNUMBER(F116)),"MISSING",IF((COUNTBLANK(Datos!I20)+COUNTBLANK(Datos!I21))&gt;0,"INCOMPLETE","OK"))</f>
        <v>MISSING</v>
      </c>
      <c r="P116" s="193" t="str">
        <f>INDEX(_TARGETS!$K$2:$K$17,MATCH($C116,_TARGETS!$A$2:$A$17,0))</f>
        <v>OPS (carga manual en Datos)</v>
      </c>
      <c r="Q116" s="193" t="str">
        <f t="shared" si="7"/>
        <v>202701|CPSE|Monthly</v>
      </c>
      <c r="R116" s="193" t="str">
        <f>INDEX(_TARGETS!$H$2:$H$17,MATCH($C116,_TARGETS!$A$2:$A$17,0))</f>
        <v>Definida</v>
      </c>
      <c r="S116" s="193" t="str">
        <f t="shared" si="8"/>
        <v/>
      </c>
      <c r="T116" s="193" t="str">
        <f t="shared" si="9"/>
        <v/>
      </c>
    </row>
    <row r="117" spans="1:20" ht="13.5" customHeight="1" x14ac:dyDescent="0.3">
      <c r="A117" s="245">
        <f>KPIs!$I$3</f>
        <v>46388</v>
      </c>
      <c r="B117" s="199" t="str">
        <f>KPIs!I$4</f>
        <v>Compresora</v>
      </c>
      <c r="C117" s="31" t="s">
        <v>85</v>
      </c>
      <c r="D117" s="199" t="str">
        <f>KPIs!$A$19</f>
        <v>10b · Cumplimiento de acciones de mejora de simulacros</v>
      </c>
      <c r="E117" s="31" t="s">
        <v>599</v>
      </c>
      <c r="F117" s="247" t="str">
        <f>IF(ISNUMBER(KPIs!I19),KPIs!I19,"")</f>
        <v/>
      </c>
      <c r="G117" s="247" t="str">
        <f>IF(ISNUMBER(KPIs!$C$19),KPIs!$C$19,"")</f>
        <v/>
      </c>
      <c r="H117" s="199" t="str">
        <f>IFERROR(INDEX(_TARGETS!$E$2:$E$17,MATCH($C117,_TARGETS!$A$2:$A$17,0))&amp;"","")</f>
        <v/>
      </c>
      <c r="I117" s="199" t="str">
        <f t="shared" si="5"/>
        <v/>
      </c>
      <c r="J117" s="193" t="str">
        <f t="shared" si="6"/>
        <v>Monthly</v>
      </c>
      <c r="K117" s="248">
        <f>Datos!I23</f>
        <v>0</v>
      </c>
      <c r="L117" s="248">
        <f>Datos!I22</f>
        <v>0</v>
      </c>
      <c r="M117" s="193">
        <f>INDEX(_TARGETS!$J$2:$J$17,MATCH($C117,_TARGETS!$A$2:$A$17,0))</f>
        <v>1</v>
      </c>
      <c r="N117" s="193" t="str">
        <f>INDEX(_TARGETS!$D$2:$D$17,MATCH($C117,_TARGETS!$A$2:$A$17,0))</f>
        <v>% (fracción)</v>
      </c>
      <c r="O117" s="193" t="str">
        <f>IF(NOT(ISNUMBER(F117)),"MISSING",IF((COUNTBLANK(Datos!I23)+COUNTBLANK(Datos!I22))&gt;0,"INCOMPLETE","OK"))</f>
        <v>MISSING</v>
      </c>
      <c r="P117" s="193" t="str">
        <f>INDEX(_TARGETS!$K$2:$K$17,MATCH($C117,_TARGETS!$A$2:$A$17,0))</f>
        <v>OPS (carga manual en Datos)</v>
      </c>
      <c r="Q117" s="193" t="str">
        <f t="shared" si="7"/>
        <v>202701|CAMS|Monthly</v>
      </c>
      <c r="R117" s="193" t="str">
        <f>INDEX(_TARGETS!$H$2:$H$17,MATCH($C117,_TARGETS!$A$2:$A$17,0))</f>
        <v>Solo reporte</v>
      </c>
      <c r="S117" s="193" t="str">
        <f t="shared" si="8"/>
        <v/>
      </c>
      <c r="T117" s="193" t="str">
        <f t="shared" si="9"/>
        <v/>
      </c>
    </row>
    <row r="118" spans="1:20" ht="13.5" customHeight="1" x14ac:dyDescent="0.3">
      <c r="A118" s="245">
        <f>KPIs!$I$3</f>
        <v>46388</v>
      </c>
      <c r="B118" s="199" t="str">
        <f>KPIs!I$4</f>
        <v>Compresora</v>
      </c>
      <c r="C118" s="31" t="s">
        <v>87</v>
      </c>
      <c r="D118" s="199" t="str">
        <f>KPIs!$A$21</f>
        <v>11 · Cumplimiento de caminatas gerenciales</v>
      </c>
      <c r="E118" s="31" t="s">
        <v>599</v>
      </c>
      <c r="F118" s="247" t="str">
        <f>IF(ISNUMBER(KPIs!I21),KPIs!I21,"")</f>
        <v/>
      </c>
      <c r="G118" s="247">
        <f>IF(ISNUMBER(KPIs!$C$21),KPIs!$C$21,"")</f>
        <v>1</v>
      </c>
      <c r="H118" s="199" t="str">
        <f>IFERROR(INDEX(_TARGETS!$E$2:$E$17,MATCH($C118,_TARGETS!$A$2:$A$17,0))&amp;"","")</f>
        <v>≥</v>
      </c>
      <c r="I118" s="199" t="str">
        <f t="shared" si="5"/>
        <v/>
      </c>
      <c r="J118" s="193" t="str">
        <f t="shared" si="6"/>
        <v>Monthly</v>
      </c>
      <c r="K118" s="248">
        <f>Datos!I24</f>
        <v>0</v>
      </c>
      <c r="L118" s="248">
        <f>Datos!I25</f>
        <v>0</v>
      </c>
      <c r="M118" s="193">
        <f>INDEX(_TARGETS!$J$2:$J$17,MATCH($C118,_TARGETS!$A$2:$A$17,0))</f>
        <v>1</v>
      </c>
      <c r="N118" s="193" t="str">
        <f>INDEX(_TARGETS!$D$2:$D$17,MATCH($C118,_TARGETS!$A$2:$A$17,0))</f>
        <v>% (fracción)</v>
      </c>
      <c r="O118" s="193" t="str">
        <f>IF(NOT(ISNUMBER(F118)),"MISSING",IF((COUNTBLANK(Datos!I24)+COUNTBLANK(Datos!I25))&gt;0,"INCOMPLETE","OK"))</f>
        <v>MISSING</v>
      </c>
      <c r="P118" s="193" t="str">
        <f>INDEX(_TARGETS!$K$2:$K$17,MATCH($C118,_TARGETS!$A$2:$A$17,0))</f>
        <v>OPS (carga manual en Datos)</v>
      </c>
      <c r="Q118" s="193" t="str">
        <f t="shared" si="7"/>
        <v>202701|ICCS|Monthly</v>
      </c>
      <c r="R118" s="193" t="str">
        <f>INDEX(_TARGETS!$H$2:$H$17,MATCH($C118,_TARGETS!$A$2:$A$17,0))</f>
        <v>Definida</v>
      </c>
      <c r="S118" s="193" t="str">
        <f t="shared" si="8"/>
        <v/>
      </c>
      <c r="T118" s="193" t="str">
        <f t="shared" si="9"/>
        <v/>
      </c>
    </row>
    <row r="119" spans="1:20" ht="13.5" customHeight="1" x14ac:dyDescent="0.3">
      <c r="A119" s="245">
        <f>KPIs!$I$3</f>
        <v>46388</v>
      </c>
      <c r="B119" s="199" t="str">
        <f>KPIs!I$4</f>
        <v>Compresora</v>
      </c>
      <c r="C119" s="31" t="s">
        <v>89</v>
      </c>
      <c r="D119" s="199" t="str">
        <f>KPIs!$A$22</f>
        <v>12 · Cumplimiento de comités y subcomités de seguridad</v>
      </c>
      <c r="E119" s="31" t="s">
        <v>599</v>
      </c>
      <c r="F119" s="247" t="str">
        <f>IF(ISNUMBER(KPIs!I22),KPIs!I22,"")</f>
        <v/>
      </c>
      <c r="G119" s="247">
        <f>IF(ISNUMBER(KPIs!$C$22),KPIs!$C$22,"")</f>
        <v>1</v>
      </c>
      <c r="H119" s="199" t="str">
        <f>IFERROR(INDEX(_TARGETS!$E$2:$E$17,MATCH($C119,_TARGETS!$A$2:$A$17,0))&amp;"","")</f>
        <v>≥</v>
      </c>
      <c r="I119" s="199" t="str">
        <f t="shared" si="5"/>
        <v/>
      </c>
      <c r="J119" s="193" t="str">
        <f t="shared" si="6"/>
        <v>Monthly</v>
      </c>
      <c r="K119" s="248">
        <f>Datos!I26</f>
        <v>0</v>
      </c>
      <c r="L119" s="248">
        <f>Datos!I27</f>
        <v>0</v>
      </c>
      <c r="M119" s="193">
        <f>INDEX(_TARGETS!$J$2:$J$17,MATCH($C119,_TARGETS!$A$2:$A$17,0))</f>
        <v>1</v>
      </c>
      <c r="N119" s="193" t="str">
        <f>INDEX(_TARGETS!$D$2:$D$17,MATCH($C119,_TARGETS!$A$2:$A$17,0))</f>
        <v>% (fracción)</v>
      </c>
      <c r="O119" s="193" t="str">
        <f>IF(NOT(ISNUMBER(F119)),"MISSING",IF((COUNTBLANK(Datos!I26)+COUNTBLANK(Datos!I27))&gt;0,"INCOMPLETE","OK"))</f>
        <v>MISSING</v>
      </c>
      <c r="P119" s="193" t="str">
        <f>INDEX(_TARGETS!$K$2:$K$17,MATCH($C119,_TARGETS!$A$2:$A$17,0))</f>
        <v>OPS (carga manual en Datos)</v>
      </c>
      <c r="Q119" s="193" t="str">
        <f t="shared" si="7"/>
        <v>202701|CCS|Monthly</v>
      </c>
      <c r="R119" s="193" t="str">
        <f>INDEX(_TARGETS!$H$2:$H$17,MATCH($C119,_TARGETS!$A$2:$A$17,0))</f>
        <v>Definida</v>
      </c>
      <c r="S119" s="193" t="str">
        <f t="shared" si="8"/>
        <v/>
      </c>
      <c r="T119" s="193" t="str">
        <f t="shared" si="9"/>
        <v/>
      </c>
    </row>
    <row r="120" spans="1:20" ht="13.5" customHeight="1" x14ac:dyDescent="0.3">
      <c r="A120" s="245">
        <f>KPIs!$I$3</f>
        <v>46388</v>
      </c>
      <c r="B120" s="199" t="str">
        <f>KPIs!I$4</f>
        <v>Compresora</v>
      </c>
      <c r="C120" s="31" t="s">
        <v>91</v>
      </c>
      <c r="D120" s="199" t="str">
        <f>KPIs!$A$23</f>
        <v>13 · Días promedio para cerrar hallazgos</v>
      </c>
      <c r="E120" s="31" t="s">
        <v>599</v>
      </c>
      <c r="F120" s="247" t="str">
        <f>IF(ISNUMBER(KPIs!I23),KPIs!I23,"")</f>
        <v/>
      </c>
      <c r="G120" s="247" t="str">
        <f>IF(ISNUMBER(KPIs!$C$23),KPIs!$C$23,"")</f>
        <v/>
      </c>
      <c r="H120" s="199" t="str">
        <f>IFERROR(INDEX(_TARGETS!$E$2:$E$17,MATCH($C120,_TARGETS!$A$2:$A$17,0))&amp;"","")</f>
        <v>≤</v>
      </c>
      <c r="I120" s="199" t="str">
        <f t="shared" si="5"/>
        <v/>
      </c>
      <c r="J120" s="193" t="str">
        <f t="shared" si="6"/>
        <v>Monthly</v>
      </c>
      <c r="K120" s="248">
        <f>Datos!I68</f>
        <v>0</v>
      </c>
      <c r="L120" s="248">
        <f>Datos!I67</f>
        <v>0</v>
      </c>
      <c r="M120" s="193">
        <f>INDEX(_TARGETS!$J$2:$J$17,MATCH($C120,_TARGETS!$A$2:$A$17,0))</f>
        <v>1</v>
      </c>
      <c r="N120" s="193" t="str">
        <f>INDEX(_TARGETS!$D$2:$D$17,MATCH($C120,_TARGETS!$A$2:$A$17,0))</f>
        <v>días</v>
      </c>
      <c r="O120" s="193" t="str">
        <f>IF(NOT(ISNUMBER(F120)),"MISSING","OK")</f>
        <v>MISSING</v>
      </c>
      <c r="P120" s="193" t="str">
        <f>INDEX(_TARGETS!$K$2:$K$17,MATCH($C120,_TARGETS!$A$2:$A$17,0))</f>
        <v>Plant Findings (hoja Observaciones-SMP)</v>
      </c>
      <c r="Q120" s="193" t="str">
        <f t="shared" si="7"/>
        <v>202701|DPAS|Monthly</v>
      </c>
      <c r="R120" s="193" t="str">
        <f>INDEX(_TARGETS!$H$2:$H$17,MATCH($C120,_TARGETS!$A$2:$A$17,0))</f>
        <v>Pendiente (meta 2027)</v>
      </c>
      <c r="S120" s="193" t="str">
        <f t="shared" si="8"/>
        <v/>
      </c>
      <c r="T120" s="193" t="str">
        <f t="shared" si="9"/>
        <v/>
      </c>
    </row>
    <row r="121" spans="1:20" ht="13.5" customHeight="1" x14ac:dyDescent="0.3">
      <c r="A121" s="245">
        <f>KPIs!$I$3</f>
        <v>46388</v>
      </c>
      <c r="B121" s="199" t="str">
        <f>KPIs!I$4</f>
        <v>Compresora</v>
      </c>
      <c r="C121" s="31" t="s">
        <v>39</v>
      </c>
      <c r="D121" s="199" t="str">
        <f>KPIs!$A$26</f>
        <v>1 · Frecuencia de casos con días perdidos · ACUMULADO</v>
      </c>
      <c r="E121" s="31" t="s">
        <v>600</v>
      </c>
      <c r="F121" s="247" t="str">
        <f>IF(ISNUMBER(KPIs!I26),KPIs!I26,"")</f>
        <v/>
      </c>
      <c r="G121" s="247">
        <f>IF(ISNUMBER(KPIs!$C$26),KPIs!$C$26,"")</f>
        <v>0</v>
      </c>
      <c r="H121" s="199" t="str">
        <f>IFERROR(INDEX(_TARGETS!$E$2:$E$17,MATCH($C121,_TARGETS!$A$2:$A$17,0))&amp;"","")</f>
        <v>≤</v>
      </c>
      <c r="I121" s="199" t="str">
        <f t="shared" si="5"/>
        <v/>
      </c>
      <c r="J121" s="193" t="str">
        <f t="shared" si="6"/>
        <v>Cumulative</v>
      </c>
      <c r="K121" s="193">
        <f>SUM(Datos!$D33:I33)</f>
        <v>0</v>
      </c>
      <c r="L121" s="193">
        <f>SUM(Datos!$D14:I14)</f>
        <v>48332</v>
      </c>
      <c r="M121" s="193">
        <f>INDEX(_TARGETS!$J$2:$J$17,MATCH($C121,_TARGETS!$A$2:$A$17,0))</f>
        <v>1000000</v>
      </c>
      <c r="N121" s="193" t="str">
        <f>INDEX(_TARGETS!$D$2:$D$17,MATCH($C121,_TARGETS!$A$2:$A$17,0))</f>
        <v>casos / 10^6 HH</v>
      </c>
      <c r="O121" s="193" t="str">
        <f>IF(NOT(ISNUMBER(F121)),IF(SUMPRODUCT(($C$2:$C$1300=C121)*($J$2:$J$1300="Monthly")*($A$2:$A$1300&lt;=A121)*ISNUMBER($K$2:$K$1300)*ISNUMBER($L$2:$L$1300)*($L$2:$L$1300=0)*($K$2:$K$1300&gt;0))&gt;0,"INCOMPLETE","MISSING"),O107)</f>
        <v>MISSING</v>
      </c>
      <c r="P121" s="193" t="str">
        <f>INDEX(_TARGETS!$K$2:$K$17,MATCH($C121,_TARGETS!$A$2:$A$17,0))</f>
        <v>OPS (carga manual en Datos)</v>
      </c>
      <c r="Q121" s="193" t="str">
        <f t="shared" si="7"/>
        <v>202701|DAFWCF|Cumulative</v>
      </c>
      <c r="R121" s="193" t="str">
        <f>INDEX(_TARGETS!$H$2:$H$17,MATCH($C121,_TARGETS!$A$2:$A$17,0))</f>
        <v>Definida</v>
      </c>
      <c r="S121" s="193">
        <f t="shared" si="8"/>
        <v>0</v>
      </c>
      <c r="T121" s="193" t="str">
        <f t="shared" si="9"/>
        <v/>
      </c>
    </row>
    <row r="122" spans="1:20" ht="13.5" customHeight="1" x14ac:dyDescent="0.3">
      <c r="A122" s="245">
        <f>KPIs!$I$3</f>
        <v>46388</v>
      </c>
      <c r="B122" s="199" t="str">
        <f>KPIs!I$4</f>
        <v>Compresora</v>
      </c>
      <c r="C122" s="31" t="s">
        <v>49</v>
      </c>
      <c r="D122" s="199" t="str">
        <f>KPIs!$A$27</f>
        <v>2 · Frecuencia de casos registrables · ACUMULADO</v>
      </c>
      <c r="E122" s="31" t="s">
        <v>600</v>
      </c>
      <c r="F122" s="247" t="str">
        <f>IF(ISNUMBER(KPIs!I27),KPIs!I27,"")</f>
        <v/>
      </c>
      <c r="G122" s="247">
        <f>IF(ISNUMBER(KPIs!$C$27),KPIs!$C$27,"")</f>
        <v>2.35</v>
      </c>
      <c r="H122" s="199" t="str">
        <f>IFERROR(INDEX(_TARGETS!$E$2:$E$17,MATCH($C122,_TARGETS!$A$2:$A$17,0))&amp;"","")</f>
        <v>≤</v>
      </c>
      <c r="I122" s="199" t="str">
        <f t="shared" si="5"/>
        <v/>
      </c>
      <c r="J122" s="193" t="str">
        <f t="shared" si="6"/>
        <v>Cumulative</v>
      </c>
      <c r="K122" s="193">
        <f>SUM(Datos!$D33:I33)+SUM(Datos!$D34:I34)+SUM(Datos!$D35:I35)+SUM(Datos!$D36:I36)</f>
        <v>0</v>
      </c>
      <c r="L122" s="193">
        <f>SUM(Datos!$D14:I14)</f>
        <v>48332</v>
      </c>
      <c r="M122" s="193">
        <f>INDEX(_TARGETS!$J$2:$J$17,MATCH($C122,_TARGETS!$A$2:$A$17,0))</f>
        <v>1000000</v>
      </c>
      <c r="N122" s="193" t="str">
        <f>INDEX(_TARGETS!$D$2:$D$17,MATCH($C122,_TARGETS!$A$2:$A$17,0))</f>
        <v>casos / 10^6 HH</v>
      </c>
      <c r="O122" s="193" t="str">
        <f>IF(NOT(ISNUMBER(F122)),IF(SUMPRODUCT(($C$2:$C$1300=C122)*($J$2:$J$1300="Monthly")*($A$2:$A$1300&lt;=A122)*ISNUMBER($K$2:$K$1300)*ISNUMBER($L$2:$L$1300)*($L$2:$L$1300=0)*($K$2:$K$1300&gt;0))&gt;0,"INCOMPLETE","MISSING"),O108)</f>
        <v>MISSING</v>
      </c>
      <c r="P122" s="193" t="str">
        <f>INDEX(_TARGETS!$K$2:$K$17,MATCH($C122,_TARGETS!$A$2:$A$17,0))</f>
        <v>OPS (carga manual en Datos)</v>
      </c>
      <c r="Q122" s="193" t="str">
        <f t="shared" si="7"/>
        <v>202701|TRICF|Cumulative</v>
      </c>
      <c r="R122" s="193" t="str">
        <f>INDEX(_TARGETS!$H$2:$H$17,MATCH($C122,_TARGETS!$A$2:$A$17,0))</f>
        <v>Definida</v>
      </c>
      <c r="S122" s="193">
        <f t="shared" si="8"/>
        <v>0</v>
      </c>
      <c r="T122" s="193" t="str">
        <f t="shared" si="9"/>
        <v/>
      </c>
    </row>
    <row r="123" spans="1:20" ht="13.5" customHeight="1" x14ac:dyDescent="0.3">
      <c r="A123" s="245">
        <f>KPIs!$I$3</f>
        <v>46388</v>
      </c>
      <c r="B123" s="199" t="str">
        <f>KPIs!I$4</f>
        <v>Compresora</v>
      </c>
      <c r="C123" s="31" t="s">
        <v>51</v>
      </c>
      <c r="D123" s="199" t="str">
        <f>KPIs!$A$28</f>
        <v>3 · Casos de primeros auxilios · ACUMULADO</v>
      </c>
      <c r="E123" s="31" t="s">
        <v>600</v>
      </c>
      <c r="F123" s="247" t="str">
        <f>IF(ISNUMBER(KPIs!I28),KPIs!I28,"")</f>
        <v/>
      </c>
      <c r="G123" s="247" t="str">
        <f>IF(ISNUMBER(KPIs!$C$28),KPIs!$C$28,"")</f>
        <v/>
      </c>
      <c r="H123" s="199" t="str">
        <f>IFERROR(INDEX(_TARGETS!$E$2:$E$17,MATCH($C123,_TARGETS!$A$2:$A$17,0))&amp;"","")</f>
        <v/>
      </c>
      <c r="I123" s="199" t="str">
        <f t="shared" si="5"/>
        <v/>
      </c>
      <c r="J123" s="193" t="str">
        <f t="shared" si="6"/>
        <v>Cumulative</v>
      </c>
      <c r="K123" s="193">
        <f>SUM(Datos!$D37:I37)</f>
        <v>0</v>
      </c>
      <c r="M123" s="193">
        <f>INDEX(_TARGETS!$J$2:$J$17,MATCH($C123,_TARGETS!$A$2:$A$17,0))</f>
        <v>1</v>
      </c>
      <c r="N123" s="193" t="str">
        <f>INDEX(_TARGETS!$D$2:$D$17,MATCH($C123,_TARGETS!$A$2:$A$17,0))</f>
        <v>casos</v>
      </c>
      <c r="O123" s="193" t="str">
        <f>IF(NOT(ISNUMBER(F123)),IF(SUMPRODUCT(($C$2:$C$1300=C123)*($J$2:$J$1300="Monthly")*($A$2:$A$1300&lt;=A123)*ISNUMBER($K$2:$K$1300)*ISNUMBER($L$2:$L$1300)*($L$2:$L$1300=0)*($K$2:$K$1300&gt;0))&gt;0,"INCOMPLETE","MISSING"),O109)</f>
        <v>MISSING</v>
      </c>
      <c r="P123" s="193" t="str">
        <f>INDEX(_TARGETS!$K$2:$K$17,MATCH($C123,_TARGETS!$A$2:$A$17,0))</f>
        <v>OPS (carga manual en Datos)</v>
      </c>
      <c r="Q123" s="193" t="str">
        <f t="shared" si="7"/>
        <v>202701|FAC|Cumulative</v>
      </c>
      <c r="R123" s="193" t="str">
        <f>INDEX(_TARGETS!$H$2:$H$17,MATCH($C123,_TARGETS!$A$2:$A$17,0))</f>
        <v>Solo reporte</v>
      </c>
      <c r="S123" s="193">
        <f t="shared" si="8"/>
        <v>0</v>
      </c>
      <c r="T123" s="193" t="str">
        <f t="shared" si="9"/>
        <v/>
      </c>
    </row>
    <row r="124" spans="1:20" ht="13.5" customHeight="1" x14ac:dyDescent="0.3">
      <c r="A124" s="245">
        <f>KPIs!$I$3</f>
        <v>46388</v>
      </c>
      <c r="B124" s="199" t="str">
        <f>KPIs!I$4</f>
        <v>Compresora</v>
      </c>
      <c r="C124" s="31" t="s">
        <v>57</v>
      </c>
      <c r="D124" s="199" t="str">
        <f>KPIs!$A$29</f>
        <v>4 · Accidentes vehiculares severos · ACUMULADO</v>
      </c>
      <c r="E124" s="31" t="s">
        <v>600</v>
      </c>
      <c r="F124" s="247" t="str">
        <f>IF(ISNUMBER(KPIs!I29),KPIs!I29,"")</f>
        <v/>
      </c>
      <c r="G124" s="247" t="str">
        <f>IF(ISNUMBER(KPIs!$C$29),KPIs!$C$29,"")</f>
        <v/>
      </c>
      <c r="H124" s="199" t="str">
        <f>IFERROR(INDEX(_TARGETS!$E$2:$E$17,MATCH($C124,_TARGETS!$A$2:$A$17,0))&amp;"","")</f>
        <v/>
      </c>
      <c r="I124" s="199" t="str">
        <f t="shared" si="5"/>
        <v/>
      </c>
      <c r="J124" s="193" t="str">
        <f t="shared" si="6"/>
        <v>Cumulative</v>
      </c>
      <c r="K124" s="193">
        <f>SUM(Datos!$D39:I39)+SUM(Datos!$D40:I40)+SUM(Datos!$D41:I41)</f>
        <v>0</v>
      </c>
      <c r="L124" s="193">
        <f>SUM(Datos!$D47:I47)</f>
        <v>172824</v>
      </c>
      <c r="M124" s="193">
        <f>INDEX(_TARGETS!$J$2:$J$17,MATCH($C124,_TARGETS!$A$2:$A$17,0))</f>
        <v>1000000</v>
      </c>
      <c r="N124" s="193" t="str">
        <f>INDEX(_TARGETS!$D$2:$D$17,MATCH($C124,_TARGETS!$A$2:$A$17,0))</f>
        <v>eventos / 10^6 km</v>
      </c>
      <c r="O124" s="193" t="str">
        <f>IF(NOT(ISNUMBER(F124)),IF(SUMPRODUCT(($C$2:$C$1300=C124)*($J$2:$J$1300="Monthly")*($A$2:$A$1300&lt;=A124)*ISNUMBER($K$2:$K$1300)*ISNUMBER($L$2:$L$1300)*($L$2:$L$1300=0)*($K$2:$K$1300&gt;0))&gt;0,"INCOMPLETE","MISSING"),O110)</f>
        <v>MISSING</v>
      </c>
      <c r="P124" s="193" t="str">
        <f>INDEX(_TARGETS!$K$2:$K$17,MATCH($C124,_TARGETS!$A$2:$A$17,0))</f>
        <v>OPS (eventos) + Full Control GPS (km) - carga manual en Datos</v>
      </c>
      <c r="Q124" s="193" t="str">
        <f t="shared" si="7"/>
        <v>202701|SVCR|Cumulative</v>
      </c>
      <c r="R124" s="193" t="str">
        <f>INDEX(_TARGETS!$H$2:$H$17,MATCH($C124,_TARGETS!$A$2:$A$17,0))</f>
        <v>Solo reporte</v>
      </c>
      <c r="S124" s="193">
        <f t="shared" si="8"/>
        <v>0</v>
      </c>
      <c r="T124" s="193" t="str">
        <f t="shared" si="9"/>
        <v/>
      </c>
    </row>
    <row r="125" spans="1:20" ht="13.5" customHeight="1" x14ac:dyDescent="0.3">
      <c r="A125" s="245">
        <f>KPIs!$I$3</f>
        <v>46388</v>
      </c>
      <c r="B125" s="199" t="str">
        <f>KPIs!I$4</f>
        <v>Compresora</v>
      </c>
      <c r="C125" s="31" t="s">
        <v>61</v>
      </c>
      <c r="D125" s="199" t="str">
        <f>KPIs!$A$30</f>
        <v>5 · Accidentes vehiculares totales · ACUMULADO</v>
      </c>
      <c r="E125" s="31" t="s">
        <v>600</v>
      </c>
      <c r="F125" s="247" t="str">
        <f>IF(ISNUMBER(KPIs!I30),KPIs!I30,"")</f>
        <v/>
      </c>
      <c r="G125" s="247">
        <f>IF(ISNUMBER(KPIs!$C$30),KPIs!$C$30,"")</f>
        <v>0.79</v>
      </c>
      <c r="H125" s="199" t="str">
        <f>IFERROR(INDEX(_TARGETS!$E$2:$E$17,MATCH($C125,_TARGETS!$A$2:$A$17,0))&amp;"","")</f>
        <v>≤</v>
      </c>
      <c r="I125" s="199" t="str">
        <f t="shared" si="5"/>
        <v/>
      </c>
      <c r="J125" s="193" t="str">
        <f t="shared" si="6"/>
        <v>Cumulative</v>
      </c>
      <c r="K125" s="193">
        <f>SUM(Datos!$D39:I39)+SUM(Datos!$D40:I40)+SUM(Datos!$D41:I41)+SUM(Datos!$D42:I42)</f>
        <v>0</v>
      </c>
      <c r="L125" s="193">
        <f>SUM(Datos!$D47:I47)</f>
        <v>172824</v>
      </c>
      <c r="M125" s="193">
        <f>INDEX(_TARGETS!$J$2:$J$17,MATCH($C125,_TARGETS!$A$2:$A$17,0))</f>
        <v>1000000</v>
      </c>
      <c r="N125" s="193" t="str">
        <f>INDEX(_TARGETS!$D$2:$D$17,MATCH($C125,_TARGETS!$A$2:$A$17,0))</f>
        <v>eventos / 10^6 km</v>
      </c>
      <c r="O125" s="193" t="str">
        <f>IF(NOT(ISNUMBER(F125)),IF(SUMPRODUCT(($C$2:$C$1300=C125)*($J$2:$J$1300="Monthly")*($A$2:$A$1300&lt;=A125)*ISNUMBER($K$2:$K$1300)*ISNUMBER($L$2:$L$1300)*($L$2:$L$1300=0)*($K$2:$K$1300&gt;0))&gt;0,"INCOMPLETE","MISSING"),O111)</f>
        <v>MISSING</v>
      </c>
      <c r="P125" s="193" t="str">
        <f>INDEX(_TARGETS!$K$2:$K$17,MATCH($C125,_TARGETS!$A$2:$A$17,0))</f>
        <v>OPS (eventos) + Full Control GPS (km) - carga manual en Datos</v>
      </c>
      <c r="Q125" s="193" t="str">
        <f t="shared" si="7"/>
        <v>202701|TVCR|Cumulative</v>
      </c>
      <c r="R125" s="193" t="str">
        <f>INDEX(_TARGETS!$H$2:$H$17,MATCH($C125,_TARGETS!$A$2:$A$17,0))</f>
        <v>Definida</v>
      </c>
      <c r="S125" s="193">
        <f t="shared" si="8"/>
        <v>0</v>
      </c>
      <c r="T125" s="193" t="str">
        <f t="shared" si="9"/>
        <v/>
      </c>
    </row>
    <row r="126" spans="1:20" ht="13.5" customHeight="1" x14ac:dyDescent="0.3">
      <c r="A126" s="245">
        <f>KPIs!$I$3</f>
        <v>46388</v>
      </c>
      <c r="B126" s="199" t="str">
        <f>KPIs!I$4</f>
        <v>Compresora</v>
      </c>
      <c r="C126" s="31" t="s">
        <v>96</v>
      </c>
      <c r="D126" s="199" t="str">
        <f>KPIs!$A$33</f>
        <v>C1 · % de desvíos detectados de gravedad Alta</v>
      </c>
      <c r="E126" s="31" t="s">
        <v>599</v>
      </c>
      <c r="F126" s="247" t="str">
        <f>IF(ISNUMBER(KPIs!I33),KPIs!I33,"")</f>
        <v/>
      </c>
      <c r="G126" s="247" t="str">
        <f>IF(ISNUMBER(KPIs!$C$33),KPIs!$C$33,"")</f>
        <v/>
      </c>
      <c r="H126" s="199" t="str">
        <f>IFERROR(INDEX(_TARGETS!$E$2:$E$17,MATCH($C126,_TARGETS!$A$2:$A$17,0))&amp;"","")</f>
        <v/>
      </c>
      <c r="I126" s="199" t="str">
        <f t="shared" si="5"/>
        <v/>
      </c>
      <c r="J126" s="193" t="str">
        <f t="shared" si="6"/>
        <v>Monthly</v>
      </c>
      <c r="K126" s="248">
        <f>Datos!I71</f>
        <v>0</v>
      </c>
      <c r="L126" s="193">
        <f>Datos!I71+Datos!I72+Datos!I73</f>
        <v>0</v>
      </c>
      <c r="M126" s="193">
        <f>INDEX(_TARGETS!$J$2:$J$17,MATCH($C126,_TARGETS!$A$2:$A$17,0))</f>
        <v>1</v>
      </c>
      <c r="N126" s="193" t="str">
        <f>INDEX(_TARGETS!$D$2:$D$17,MATCH($C126,_TARGETS!$A$2:$A$17,0))</f>
        <v>% (fracción)</v>
      </c>
      <c r="O126" s="193" t="str">
        <f>IF(NOT(ISNUMBER(F126)),"MISSING","OK")</f>
        <v>MISSING</v>
      </c>
      <c r="P126" s="193" t="str">
        <f>INDEX(_TARGETS!$K$2:$K$17,MATCH($C126,_TARGETS!$A$2:$A$17,0))</f>
        <v>Plant Findings (hoja Observaciones-SMP)</v>
      </c>
      <c r="Q126" s="193" t="str">
        <f t="shared" si="7"/>
        <v>202701|HAL_ALTA_PCT|Monthly</v>
      </c>
      <c r="R126" s="193" t="str">
        <f>INDEX(_TARGETS!$H$2:$H$17,MATCH($C126,_TARGETS!$A$2:$A$17,0))</f>
        <v>Solo reporte</v>
      </c>
      <c r="S126" s="193" t="str">
        <f t="shared" si="8"/>
        <v/>
      </c>
      <c r="T126" s="193" t="str">
        <f t="shared" si="9"/>
        <v/>
      </c>
    </row>
    <row r="127" spans="1:20" ht="13.5" customHeight="1" x14ac:dyDescent="0.3">
      <c r="A127" s="245">
        <f>KPIs!$I$3</f>
        <v>46388</v>
      </c>
      <c r="B127" s="199" t="str">
        <f>KPIs!I$4</f>
        <v>Compresora</v>
      </c>
      <c r="C127" s="31" t="s">
        <v>98</v>
      </c>
      <c r="D127" s="199" t="str">
        <f>KPIs!$A$34</f>
        <v>C2 · Detenciones de tareas aplicadas</v>
      </c>
      <c r="E127" s="31" t="s">
        <v>599</v>
      </c>
      <c r="F127" s="247" t="str">
        <f>IF(ISNUMBER(KPIs!I34),KPIs!I34,"")</f>
        <v/>
      </c>
      <c r="G127" s="247" t="str">
        <f>IF(ISNUMBER(KPIs!$C$34),KPIs!$C$34,"")</f>
        <v/>
      </c>
      <c r="H127" s="199" t="str">
        <f>IFERROR(INDEX(_TARGETS!$E$2:$E$17,MATCH($C127,_TARGETS!$A$2:$A$17,0))&amp;"","")</f>
        <v/>
      </c>
      <c r="I127" s="199" t="str">
        <f t="shared" si="5"/>
        <v/>
      </c>
      <c r="J127" s="193" t="str">
        <f t="shared" si="6"/>
        <v>Monthly</v>
      </c>
      <c r="K127" s="248">
        <f>Datos!I75</f>
        <v>0</v>
      </c>
      <c r="M127" s="193">
        <f>INDEX(_TARGETS!$J$2:$J$17,MATCH($C127,_TARGETS!$A$2:$A$17,0))</f>
        <v>1</v>
      </c>
      <c r="N127" s="193" t="str">
        <f>INDEX(_TARGETS!$D$2:$D$17,MATCH($C127,_TARGETS!$A$2:$A$17,0))</f>
        <v>u</v>
      </c>
      <c r="O127" s="193" t="str">
        <f>IF(NOT(ISNUMBER(F127)),"MISSING","OK")</f>
        <v>MISSING</v>
      </c>
      <c r="P127" s="193" t="str">
        <f>INDEX(_TARGETS!$K$2:$K$17,MATCH($C127,_TARGETS!$A$2:$A$17,0))</f>
        <v>Plant Findings (hoja Observaciones-SMP)</v>
      </c>
      <c r="Q127" s="193" t="str">
        <f t="shared" si="7"/>
        <v>202701|DET|Monthly</v>
      </c>
      <c r="R127" s="193" t="str">
        <f>INDEX(_TARGETS!$H$2:$H$17,MATCH($C127,_TARGETS!$A$2:$A$17,0))</f>
        <v>Solo reporte</v>
      </c>
      <c r="S127" s="193" t="str">
        <f t="shared" si="8"/>
        <v/>
      </c>
      <c r="T127" s="193" t="str">
        <f t="shared" si="9"/>
        <v/>
      </c>
    </row>
    <row r="128" spans="1:20" ht="13.5" customHeight="1" x14ac:dyDescent="0.3">
      <c r="A128" s="245">
        <f>KPIs!$J$3</f>
        <v>46419</v>
      </c>
      <c r="B128" s="199" t="str">
        <f>KPIs!J$4</f>
        <v>Compresora</v>
      </c>
      <c r="C128" s="31" t="s">
        <v>39</v>
      </c>
      <c r="D128" s="199" t="str">
        <f>KPIs!$A$6</f>
        <v>1 · Frecuencia de casos con días perdidos</v>
      </c>
      <c r="E128" s="31" t="s">
        <v>599</v>
      </c>
      <c r="F128" s="247" t="str">
        <f>IF(ISNUMBER(KPIs!J6),KPIs!J6,"")</f>
        <v/>
      </c>
      <c r="G128" s="247">
        <f>IF(ISNUMBER(KPIs!$C$6),KPIs!$C$6,"")</f>
        <v>0</v>
      </c>
      <c r="H128" s="199" t="str">
        <f>IFERROR(INDEX(_TARGETS!$E$2:$E$17,MATCH($C128,_TARGETS!$A$2:$A$17,0))&amp;"","")</f>
        <v>≤</v>
      </c>
      <c r="I128" s="199" t="str">
        <f t="shared" si="5"/>
        <v/>
      </c>
      <c r="J128" s="193" t="str">
        <f t="shared" si="6"/>
        <v>Monthly</v>
      </c>
      <c r="K128" s="248">
        <f>Datos!J33</f>
        <v>0</v>
      </c>
      <c r="L128" s="248">
        <f>Datos!J14</f>
        <v>0</v>
      </c>
      <c r="M128" s="193">
        <f>INDEX(_TARGETS!$J$2:$J$17,MATCH($C128,_TARGETS!$A$2:$A$17,0))</f>
        <v>1000000</v>
      </c>
      <c r="N128" s="193" t="str">
        <f>INDEX(_TARGETS!$D$2:$D$17,MATCH($C128,_TARGETS!$A$2:$A$17,0))</f>
        <v>casos / 10^6 HH</v>
      </c>
      <c r="O128" s="193" t="str">
        <f>IF(NOT(ISNUMBER(F128)),"MISSING",IF((COUNTBLANK(Datos!J12)+COUNTBLANK(Datos!J13)+COUNTBLANK(Datos!J33))&gt;0,"INCOMPLETE","OK"))</f>
        <v>MISSING</v>
      </c>
      <c r="P128" s="193" t="str">
        <f>INDEX(_TARGETS!$K$2:$K$17,MATCH($C128,_TARGETS!$A$2:$A$17,0))</f>
        <v>OPS (carga manual en Datos)</v>
      </c>
      <c r="Q128" s="193" t="str">
        <f t="shared" si="7"/>
        <v>202702|DAFWCF|Monthly</v>
      </c>
      <c r="R128" s="193" t="str">
        <f>INDEX(_TARGETS!$H$2:$H$17,MATCH($C128,_TARGETS!$A$2:$A$17,0))</f>
        <v>Definida</v>
      </c>
      <c r="S128" s="193" t="str">
        <f t="shared" si="8"/>
        <v/>
      </c>
      <c r="T128" s="193" t="str">
        <f t="shared" si="9"/>
        <v/>
      </c>
    </row>
    <row r="129" spans="1:20" ht="13.5" customHeight="1" x14ac:dyDescent="0.3">
      <c r="A129" s="245">
        <f>KPIs!$J$3</f>
        <v>46419</v>
      </c>
      <c r="B129" s="199" t="str">
        <f>KPIs!J$4</f>
        <v>Compresora</v>
      </c>
      <c r="C129" s="31" t="s">
        <v>49</v>
      </c>
      <c r="D129" s="199" t="str">
        <f>KPIs!$A$7</f>
        <v>2 · Frecuencia de casos registrables</v>
      </c>
      <c r="E129" s="31" t="s">
        <v>599</v>
      </c>
      <c r="F129" s="247" t="str">
        <f>IF(ISNUMBER(KPIs!J7),KPIs!J7,"")</f>
        <v/>
      </c>
      <c r="G129" s="247">
        <f>IF(ISNUMBER(KPIs!$C$7),KPIs!$C$7,"")</f>
        <v>2.35</v>
      </c>
      <c r="H129" s="199" t="str">
        <f>IFERROR(INDEX(_TARGETS!$E$2:$E$17,MATCH($C129,_TARGETS!$A$2:$A$17,0))&amp;"","")</f>
        <v>≤</v>
      </c>
      <c r="I129" s="199" t="str">
        <f t="shared" si="5"/>
        <v/>
      </c>
      <c r="J129" s="193" t="str">
        <f t="shared" si="6"/>
        <v>Monthly</v>
      </c>
      <c r="K129" s="193">
        <f>Datos!J33+Datos!J34+Datos!J35+Datos!J36</f>
        <v>0</v>
      </c>
      <c r="L129" s="248">
        <f>Datos!J14</f>
        <v>0</v>
      </c>
      <c r="M129" s="193">
        <f>INDEX(_TARGETS!$J$2:$J$17,MATCH($C129,_TARGETS!$A$2:$A$17,0))</f>
        <v>1000000</v>
      </c>
      <c r="N129" s="193" t="str">
        <f>INDEX(_TARGETS!$D$2:$D$17,MATCH($C129,_TARGETS!$A$2:$A$17,0))</f>
        <v>casos / 10^6 HH</v>
      </c>
      <c r="O129" s="193" t="str">
        <f>IF(NOT(ISNUMBER(F129)),"MISSING",IF((COUNTBLANK(Datos!J12)+COUNTBLANK(Datos!J13)+COUNTBLANK(Datos!J33)+COUNTBLANK(Datos!J34)+COUNTBLANK(Datos!J35)+COUNTBLANK(Datos!J36))&gt;0,"INCOMPLETE","OK"))</f>
        <v>MISSING</v>
      </c>
      <c r="P129" s="193" t="str">
        <f>INDEX(_TARGETS!$K$2:$K$17,MATCH($C129,_TARGETS!$A$2:$A$17,0))</f>
        <v>OPS (carga manual en Datos)</v>
      </c>
      <c r="Q129" s="193" t="str">
        <f t="shared" si="7"/>
        <v>202702|TRICF|Monthly</v>
      </c>
      <c r="R129" s="193" t="str">
        <f>INDEX(_TARGETS!$H$2:$H$17,MATCH($C129,_TARGETS!$A$2:$A$17,0))</f>
        <v>Definida</v>
      </c>
      <c r="S129" s="193" t="str">
        <f t="shared" si="8"/>
        <v/>
      </c>
      <c r="T129" s="193" t="str">
        <f t="shared" si="9"/>
        <v/>
      </c>
    </row>
    <row r="130" spans="1:20" ht="13.5" customHeight="1" x14ac:dyDescent="0.3">
      <c r="A130" s="245">
        <f>KPIs!$J$3</f>
        <v>46419</v>
      </c>
      <c r="B130" s="199" t="str">
        <f>KPIs!J$4</f>
        <v>Compresora</v>
      </c>
      <c r="C130" s="31" t="s">
        <v>51</v>
      </c>
      <c r="D130" s="199" t="str">
        <f>KPIs!$A$8</f>
        <v>3 · Casos de primeros auxilios</v>
      </c>
      <c r="E130" s="31" t="s">
        <v>599</v>
      </c>
      <c r="F130" s="247" t="str">
        <f>IF(ISNUMBER(KPIs!J8),KPIs!J8,"")</f>
        <v/>
      </c>
      <c r="G130" s="247" t="str">
        <f>IF(ISNUMBER(KPIs!$C$8),KPIs!$C$8,"")</f>
        <v/>
      </c>
      <c r="H130" s="199" t="str">
        <f>IFERROR(INDEX(_TARGETS!$E$2:$E$17,MATCH($C130,_TARGETS!$A$2:$A$17,0))&amp;"","")</f>
        <v/>
      </c>
      <c r="I130" s="199" t="str">
        <f t="shared" ref="I130:I193" si="10">IF(OR(H130="",F130="",G130=""),"",IF(IF(H130="≤",F130&lt;=G130,F130&gt;=G130),"Sí","No"))</f>
        <v/>
      </c>
      <c r="J130" s="193" t="str">
        <f t="shared" ref="J130:J193" si="11">IF(E130="Mensual","Monthly",IF(E130="Acumulado","Cumulative",E130))</f>
        <v>Monthly</v>
      </c>
      <c r="K130" s="248">
        <f>Datos!J37</f>
        <v>0</v>
      </c>
      <c r="M130" s="193">
        <f>INDEX(_TARGETS!$J$2:$J$17,MATCH($C130,_TARGETS!$A$2:$A$17,0))</f>
        <v>1</v>
      </c>
      <c r="N130" s="193" t="str">
        <f>INDEX(_TARGETS!$D$2:$D$17,MATCH($C130,_TARGETS!$A$2:$A$17,0))</f>
        <v>casos</v>
      </c>
      <c r="O130" s="193" t="str">
        <f>IF(NOT(ISNUMBER(F130)),"MISSING",IF((COUNTBLANK(Datos!J12)+COUNTBLANK(Datos!J13)+COUNTBLANK(Datos!J37))&gt;0,"INCOMPLETE","OK"))</f>
        <v>MISSING</v>
      </c>
      <c r="P130" s="193" t="str">
        <f>INDEX(_TARGETS!$K$2:$K$17,MATCH($C130,_TARGETS!$A$2:$A$17,0))</f>
        <v>OPS (carga manual en Datos)</v>
      </c>
      <c r="Q130" s="193" t="str">
        <f t="shared" ref="Q130:Q193" si="12">YEAR(A130)*100+MONTH(A130)&amp;"|"&amp;C130&amp;"|"&amp;J130</f>
        <v>202702|FAC|Monthly</v>
      </c>
      <c r="R130" s="193" t="str">
        <f>INDEX(_TARGETS!$H$2:$H$17,MATCH($C130,_TARGETS!$A$2:$A$17,0))</f>
        <v>Solo reporte</v>
      </c>
      <c r="S130" s="193" t="str">
        <f t="shared" ref="S130:S193" si="13">IF(AND(ISNUMBER(K130),ISNUMBER(L130)),IF(L130=0,"",K130*M130/L130),IF(ISNUMBER(K130),K130*M130,""))</f>
        <v/>
      </c>
      <c r="T130" s="193" t="str">
        <f t="shared" ref="T130:T193" si="14">IF(AND(ISNUMBER(F130),ISNUMBER(S130)),ABS(F130-S130),"")</f>
        <v/>
      </c>
    </row>
    <row r="131" spans="1:20" ht="13.5" customHeight="1" x14ac:dyDescent="0.3">
      <c r="A131" s="245">
        <f>KPIs!$J$3</f>
        <v>46419</v>
      </c>
      <c r="B131" s="199" t="str">
        <f>KPIs!J$4</f>
        <v>Compresora</v>
      </c>
      <c r="C131" s="31" t="s">
        <v>57</v>
      </c>
      <c r="D131" s="199" t="str">
        <f>KPIs!$A$10</f>
        <v>4 · Accidentes vehiculares severos por millón de km</v>
      </c>
      <c r="E131" s="31" t="s">
        <v>599</v>
      </c>
      <c r="F131" s="247" t="str">
        <f>IF(ISNUMBER(KPIs!J10),KPIs!J10,"")</f>
        <v/>
      </c>
      <c r="G131" s="247" t="str">
        <f>IF(ISNUMBER(KPIs!$C$10),KPIs!$C$10,"")</f>
        <v/>
      </c>
      <c r="H131" s="199" t="str">
        <f>IFERROR(INDEX(_TARGETS!$E$2:$E$17,MATCH($C131,_TARGETS!$A$2:$A$17,0))&amp;"","")</f>
        <v/>
      </c>
      <c r="I131" s="199" t="str">
        <f t="shared" si="10"/>
        <v/>
      </c>
      <c r="J131" s="193" t="str">
        <f t="shared" si="11"/>
        <v>Monthly</v>
      </c>
      <c r="K131" s="193">
        <f>Datos!J39+Datos!J40+Datos!J41</f>
        <v>0</v>
      </c>
      <c r="L131" s="248">
        <f>Datos!J47</f>
        <v>0</v>
      </c>
      <c r="M131" s="193">
        <f>INDEX(_TARGETS!$J$2:$J$17,MATCH($C131,_TARGETS!$A$2:$A$17,0))</f>
        <v>1000000</v>
      </c>
      <c r="N131" s="193" t="str">
        <f>INDEX(_TARGETS!$D$2:$D$17,MATCH($C131,_TARGETS!$A$2:$A$17,0))</f>
        <v>eventos / 10^6 km</v>
      </c>
      <c r="O131" s="193" t="str">
        <f>IF(NOT(ISNUMBER(F131)),"MISSING",IF((COUNTBLANK(Datos!J44)+COUNTBLANK(Datos!J45)+COUNTBLANK(Datos!J46)+COUNTBLANK(Datos!J39)+COUNTBLANK(Datos!J40)+COUNTBLANK(Datos!J41))&gt;0,"INCOMPLETE","OK"))</f>
        <v>MISSING</v>
      </c>
      <c r="P131" s="193" t="str">
        <f>INDEX(_TARGETS!$K$2:$K$17,MATCH($C131,_TARGETS!$A$2:$A$17,0))</f>
        <v>OPS (eventos) + Full Control GPS (km) - carga manual en Datos</v>
      </c>
      <c r="Q131" s="193" t="str">
        <f t="shared" si="12"/>
        <v>202702|SVCR|Monthly</v>
      </c>
      <c r="R131" s="193" t="str">
        <f>INDEX(_TARGETS!$H$2:$H$17,MATCH($C131,_TARGETS!$A$2:$A$17,0))</f>
        <v>Solo reporte</v>
      </c>
      <c r="S131" s="193" t="str">
        <f t="shared" si="13"/>
        <v/>
      </c>
      <c r="T131" s="193" t="str">
        <f t="shared" si="14"/>
        <v/>
      </c>
    </row>
    <row r="132" spans="1:20" ht="13.5" customHeight="1" x14ac:dyDescent="0.3">
      <c r="A132" s="245">
        <f>KPIs!$J$3</f>
        <v>46419</v>
      </c>
      <c r="B132" s="199" t="str">
        <f>KPIs!J$4</f>
        <v>Compresora</v>
      </c>
      <c r="C132" s="31" t="s">
        <v>61</v>
      </c>
      <c r="D132" s="199" t="str">
        <f>KPIs!$A$11</f>
        <v>5 · Accidentes vehiculares totales por millón de km</v>
      </c>
      <c r="E132" s="31" t="s">
        <v>599</v>
      </c>
      <c r="F132" s="247" t="str">
        <f>IF(ISNUMBER(KPIs!J11),KPIs!J11,"")</f>
        <v/>
      </c>
      <c r="G132" s="247">
        <f>IF(ISNUMBER(KPIs!$C$11),KPIs!$C$11,"")</f>
        <v>0.79</v>
      </c>
      <c r="H132" s="199" t="str">
        <f>IFERROR(INDEX(_TARGETS!$E$2:$E$17,MATCH($C132,_TARGETS!$A$2:$A$17,0))&amp;"","")</f>
        <v>≤</v>
      </c>
      <c r="I132" s="199" t="str">
        <f t="shared" si="10"/>
        <v/>
      </c>
      <c r="J132" s="193" t="str">
        <f t="shared" si="11"/>
        <v>Monthly</v>
      </c>
      <c r="K132" s="193">
        <f>Datos!J39+Datos!J40+Datos!J41+Datos!J42</f>
        <v>0</v>
      </c>
      <c r="L132" s="248">
        <f>Datos!J47</f>
        <v>0</v>
      </c>
      <c r="M132" s="193">
        <f>INDEX(_TARGETS!$J$2:$J$17,MATCH($C132,_TARGETS!$A$2:$A$17,0))</f>
        <v>1000000</v>
      </c>
      <c r="N132" s="193" t="str">
        <f>INDEX(_TARGETS!$D$2:$D$17,MATCH($C132,_TARGETS!$A$2:$A$17,0))</f>
        <v>eventos / 10^6 km</v>
      </c>
      <c r="O132" s="193" t="str">
        <f>IF(NOT(ISNUMBER(F132)),"MISSING",IF((COUNTBLANK(Datos!J44)+COUNTBLANK(Datos!J45)+COUNTBLANK(Datos!J46)+COUNTBLANK(Datos!J39)+COUNTBLANK(Datos!J40)+COUNTBLANK(Datos!J41)+COUNTBLANK(Datos!J42))&gt;0,"INCOMPLETE","OK"))</f>
        <v>MISSING</v>
      </c>
      <c r="P132" s="193" t="str">
        <f>INDEX(_TARGETS!$K$2:$K$17,MATCH($C132,_TARGETS!$A$2:$A$17,0))</f>
        <v>OPS (eventos) + Full Control GPS (km) - carga manual en Datos</v>
      </c>
      <c r="Q132" s="193" t="str">
        <f t="shared" si="12"/>
        <v>202702|TVCR|Monthly</v>
      </c>
      <c r="R132" s="193" t="str">
        <f>INDEX(_TARGETS!$H$2:$H$17,MATCH($C132,_TARGETS!$A$2:$A$17,0))</f>
        <v>Definida</v>
      </c>
      <c r="S132" s="193" t="str">
        <f t="shared" si="13"/>
        <v/>
      </c>
      <c r="T132" s="193" t="str">
        <f t="shared" si="14"/>
        <v/>
      </c>
    </row>
    <row r="133" spans="1:20" ht="13.5" customHeight="1" x14ac:dyDescent="0.3">
      <c r="A133" s="245">
        <f>KPIs!$J$3</f>
        <v>46419</v>
      </c>
      <c r="B133" s="199" t="str">
        <f>KPIs!J$4</f>
        <v>Compresora</v>
      </c>
      <c r="C133" s="31" t="s">
        <v>63</v>
      </c>
      <c r="D133" s="199" t="str">
        <f>KPIs!$A$13</f>
        <v>6 · Observaciones de seguridad por persona</v>
      </c>
      <c r="E133" s="31" t="s">
        <v>599</v>
      </c>
      <c r="F133" s="247" t="str">
        <f>IF(ISNUMBER(KPIs!J13),KPIs!J13,"")</f>
        <v/>
      </c>
      <c r="G133" s="247">
        <f>IF(ISNUMBER(KPIs!$C$13),KPIs!$C$13,"")</f>
        <v>1</v>
      </c>
      <c r="H133" s="199" t="str">
        <f>IFERROR(INDEX(_TARGETS!$E$2:$E$17,MATCH($C133,_TARGETS!$A$2:$A$17,0))&amp;"","")</f>
        <v>≥</v>
      </c>
      <c r="I133" s="199" t="str">
        <f t="shared" si="10"/>
        <v/>
      </c>
      <c r="J133" s="193" t="str">
        <f t="shared" si="11"/>
        <v>Monthly</v>
      </c>
      <c r="K133" s="248" t="str">
        <f>IF(COUNT(Datos!J28:J29)=0,"",SUM(Datos!J28:J29))</f>
        <v/>
      </c>
      <c r="L133" s="248">
        <f>Datos!J11</f>
        <v>0</v>
      </c>
      <c r="M133" s="193">
        <f>INDEX(_TARGETS!$J$2:$J$17,MATCH($C133,_TARGETS!$A$2:$A$17,0))</f>
        <v>1</v>
      </c>
      <c r="N133" s="193" t="str">
        <f>INDEX(_TARGETS!$D$2:$D$17,MATCH($C133,_TARGETS!$A$2:$A$17,0))</f>
        <v>obs / persona</v>
      </c>
      <c r="O133" s="193" t="str">
        <f>IF(NOT(ISNUMBER(F133)),"MISSING",IF((COUNTBLANK(Datos!J9)+COUNTBLANK(Datos!J10)+IF(COUNT(Datos!J28:J29)=0,1,0))&gt;0,"INCOMPLETE","OK"))</f>
        <v>MISSING</v>
      </c>
      <c r="P133" s="193" t="str">
        <f>INDEX(_TARGETS!$K$2:$K$17,MATCH($C133,_TARGETS!$A$2:$A$17,0))</f>
        <v>OPS (carga manual en Datos)</v>
      </c>
      <c r="Q133" s="193" t="str">
        <f t="shared" si="12"/>
        <v>202702|OBS|Monthly</v>
      </c>
      <c r="R133" s="193" t="str">
        <f>INDEX(_TARGETS!$H$2:$H$17,MATCH($C133,_TARGETS!$A$2:$A$17,0))</f>
        <v>PROVISORIA · referencia del subcontratista (OPS: 1 obs/persona); meta y población en definición</v>
      </c>
      <c r="S133" s="193" t="str">
        <f t="shared" si="13"/>
        <v/>
      </c>
      <c r="T133" s="193" t="str">
        <f t="shared" si="14"/>
        <v/>
      </c>
    </row>
    <row r="134" spans="1:20" ht="13.5" customHeight="1" x14ac:dyDescent="0.3">
      <c r="A134" s="245">
        <f>KPIs!$J$3</f>
        <v>46419</v>
      </c>
      <c r="B134" s="199" t="str">
        <f>KPIs!J$4</f>
        <v>Compresora</v>
      </c>
      <c r="C134" s="31" t="s">
        <v>71</v>
      </c>
      <c r="D134" s="199" t="str">
        <f>KPIs!$A$14</f>
        <v>7 · Investigaciones de accidentes: días promedio de cierre</v>
      </c>
      <c r="E134" s="31" t="s">
        <v>599</v>
      </c>
      <c r="F134" s="247" t="str">
        <f>IF(ISNUMBER(KPIs!J14),KPIs!J14,"")</f>
        <v/>
      </c>
      <c r="G134" s="247">
        <f>IF(ISNUMBER(KPIs!$C$14),KPIs!$C$14,"")</f>
        <v>20</v>
      </c>
      <c r="H134" s="199" t="str">
        <f>IFERROR(INDEX(_TARGETS!$E$2:$E$17,MATCH($C134,_TARGETS!$A$2:$A$17,0))&amp;"","")</f>
        <v>≤</v>
      </c>
      <c r="I134" s="199" t="str">
        <f t="shared" si="10"/>
        <v/>
      </c>
      <c r="J134" s="193" t="str">
        <f t="shared" si="11"/>
        <v>Monthly</v>
      </c>
      <c r="K134" s="248">
        <f>Datos!J31</f>
        <v>0</v>
      </c>
      <c r="L134" s="248">
        <f>Datos!J30</f>
        <v>0</v>
      </c>
      <c r="M134" s="193">
        <f>INDEX(_TARGETS!$J$2:$J$17,MATCH($C134,_TARGETS!$A$2:$A$17,0))</f>
        <v>1</v>
      </c>
      <c r="N134" s="193" t="str">
        <f>INDEX(_TARGETS!$D$2:$D$17,MATCH($C134,_TARGETS!$A$2:$A$17,0))</f>
        <v>días</v>
      </c>
      <c r="O134" s="193" t="str">
        <f>IF(NOT(ISNUMBER(F134)),"MISSING",IF((COUNTBLANK(Datos!J30)+COUNTBLANK(Datos!J31))&gt;0,"INCOMPLETE","OK"))</f>
        <v>MISSING</v>
      </c>
      <c r="P134" s="193" t="str">
        <f>INDEX(_TARGETS!$K$2:$K$17,MATCH($C134,_TARGETS!$A$2:$A$17,0))</f>
        <v>OPS (carga manual en Datos)</v>
      </c>
      <c r="Q134" s="193" t="str">
        <f t="shared" si="12"/>
        <v>202702|INV|Monthly</v>
      </c>
      <c r="R134" s="193" t="str">
        <f>INDEX(_TARGETS!$H$2:$H$17,MATCH($C134,_TARGETS!$A$2:$A$17,0))</f>
        <v>Definida</v>
      </c>
      <c r="S134" s="193" t="str">
        <f t="shared" si="13"/>
        <v/>
      </c>
      <c r="T134" s="193" t="str">
        <f t="shared" si="14"/>
        <v/>
      </c>
    </row>
    <row r="135" spans="1:20" ht="13.5" customHeight="1" x14ac:dyDescent="0.3">
      <c r="A135" s="245">
        <f>KPIs!$J$3</f>
        <v>46419</v>
      </c>
      <c r="B135" s="199" t="str">
        <f>KPIs!J$4</f>
        <v>Compresora</v>
      </c>
      <c r="C135" s="31" t="s">
        <v>76</v>
      </c>
      <c r="D135" s="199" t="str">
        <f>KPIs!$A$16</f>
        <v>8 · % de capacitación en seguridad</v>
      </c>
      <c r="E135" s="31" t="s">
        <v>599</v>
      </c>
      <c r="F135" s="247" t="str">
        <f>IF(ISNUMBER(KPIs!J16),KPIs!J16,"")</f>
        <v/>
      </c>
      <c r="G135" s="247">
        <f>IF(ISNUMBER(KPIs!$C$16),KPIs!$C$16,"")</f>
        <v>0.01</v>
      </c>
      <c r="H135" s="199" t="str">
        <f>IFERROR(INDEX(_TARGETS!$E$2:$E$17,MATCH($C135,_TARGETS!$A$2:$A$17,0))&amp;"","")</f>
        <v>≥</v>
      </c>
      <c r="I135" s="199" t="str">
        <f t="shared" si="10"/>
        <v/>
      </c>
      <c r="J135" s="193" t="str">
        <f t="shared" si="11"/>
        <v>Monthly</v>
      </c>
      <c r="K135" s="248">
        <f>Datos!J18</f>
        <v>0</v>
      </c>
      <c r="L135" s="248">
        <f>Datos!J14</f>
        <v>0</v>
      </c>
      <c r="M135" s="193">
        <f>INDEX(_TARGETS!$J$2:$J$17,MATCH($C135,_TARGETS!$A$2:$A$17,0))</f>
        <v>1</v>
      </c>
      <c r="N135" s="193" t="str">
        <f>INDEX(_TARGETS!$D$2:$D$17,MATCH($C135,_TARGETS!$A$2:$A$17,0))</f>
        <v>% (fracción)</v>
      </c>
      <c r="O135" s="193" t="str">
        <f>IF(NOT(ISNUMBER(F135)),"MISSING",IF((COUNTBLANK(Datos!J16)+COUNTBLANK(Datos!J17)+COUNTBLANK(Datos!J12)+COUNTBLANK(Datos!J13))&gt;0,"INCOMPLETE","OK"))</f>
        <v>MISSING</v>
      </c>
      <c r="P135" s="193" t="str">
        <f>INDEX(_TARGETS!$K$2:$K$17,MATCH($C135,_TARGETS!$A$2:$A$17,0))</f>
        <v>OPS (carga manual en Datos)</v>
      </c>
      <c r="Q135" s="193" t="str">
        <f t="shared" si="12"/>
        <v>202702|HCS|Monthly</v>
      </c>
      <c r="R135" s="193" t="str">
        <f>INDEX(_TARGETS!$H$2:$H$17,MATCH($C135,_TARGETS!$A$2:$A$17,0))</f>
        <v>Definida</v>
      </c>
      <c r="S135" s="193" t="str">
        <f t="shared" si="13"/>
        <v/>
      </c>
      <c r="T135" s="193" t="str">
        <f t="shared" si="14"/>
        <v/>
      </c>
    </row>
    <row r="136" spans="1:20" ht="13.5" customHeight="1" x14ac:dyDescent="0.3">
      <c r="A136" s="245">
        <f>KPIs!$J$3</f>
        <v>46419</v>
      </c>
      <c r="B136" s="199" t="str">
        <f>KPIs!J$4</f>
        <v>Compresora</v>
      </c>
      <c r="C136" s="31" t="s">
        <v>80</v>
      </c>
      <c r="D136" s="199" t="str">
        <f>KPIs!$A$17</f>
        <v>9 · Horas de capacitación por persona</v>
      </c>
      <c r="E136" s="31" t="s">
        <v>599</v>
      </c>
      <c r="F136" s="247" t="str">
        <f>IF(ISNUMBER(KPIs!J17),KPIs!J17,"")</f>
        <v/>
      </c>
      <c r="G136" s="247" t="str">
        <f>IF(ISNUMBER(KPIs!$C$17),KPIs!$C$17,"")</f>
        <v/>
      </c>
      <c r="H136" s="199" t="str">
        <f>IFERROR(INDEX(_TARGETS!$E$2:$E$17,MATCH($C136,_TARGETS!$A$2:$A$17,0))&amp;"","")</f>
        <v/>
      </c>
      <c r="I136" s="199" t="str">
        <f t="shared" si="10"/>
        <v/>
      </c>
      <c r="J136" s="193" t="str">
        <f t="shared" si="11"/>
        <v>Monthly</v>
      </c>
      <c r="K136" s="248">
        <f>Datos!J18</f>
        <v>0</v>
      </c>
      <c r="L136" s="248">
        <f>Datos!J11</f>
        <v>0</v>
      </c>
      <c r="M136" s="193">
        <f>INDEX(_TARGETS!$J$2:$J$17,MATCH($C136,_TARGETS!$A$2:$A$17,0))</f>
        <v>1</v>
      </c>
      <c r="N136" s="193" t="str">
        <f>INDEX(_TARGETS!$D$2:$D$17,MATCH($C136,_TARGETS!$A$2:$A$17,0))</f>
        <v>h / persona</v>
      </c>
      <c r="O136" s="193" t="str">
        <f>IF(NOT(ISNUMBER(F136)),"MISSING",IF((COUNTBLANK(Datos!J16)+COUNTBLANK(Datos!J17)+COUNTBLANK(Datos!J9)+COUNTBLANK(Datos!J10))&gt;0,"INCOMPLETE","OK"))</f>
        <v>MISSING</v>
      </c>
      <c r="P136" s="193" t="str">
        <f>INDEX(_TARGETS!$K$2:$K$17,MATCH($C136,_TARGETS!$A$2:$A$17,0))</f>
        <v>OPS (carga manual en Datos)</v>
      </c>
      <c r="Q136" s="193" t="str">
        <f t="shared" si="12"/>
        <v>202702|HCSA|Monthly</v>
      </c>
      <c r="R136" s="193" t="str">
        <f>INDEX(_TARGETS!$H$2:$H$17,MATCH($C136,_TARGETS!$A$2:$A$17,0))</f>
        <v>Solo reporte</v>
      </c>
      <c r="S136" s="193" t="str">
        <f t="shared" si="13"/>
        <v/>
      </c>
      <c r="T136" s="193" t="str">
        <f t="shared" si="14"/>
        <v/>
      </c>
    </row>
    <row r="137" spans="1:20" ht="13.5" customHeight="1" x14ac:dyDescent="0.3">
      <c r="A137" s="245">
        <f>KPIs!$J$3</f>
        <v>46419</v>
      </c>
      <c r="B137" s="199" t="str">
        <f>KPIs!J$4</f>
        <v>Compresora</v>
      </c>
      <c r="C137" s="31" t="s">
        <v>83</v>
      </c>
      <c r="D137" s="199" t="str">
        <f>KPIs!$A$18</f>
        <v>10 · Cumplimiento de simulacros (emergencia y operativos)</v>
      </c>
      <c r="E137" s="31" t="s">
        <v>599</v>
      </c>
      <c r="F137" s="247" t="str">
        <f>IF(ISNUMBER(KPIs!J18),KPIs!J18,"")</f>
        <v/>
      </c>
      <c r="G137" s="247">
        <f>IF(ISNUMBER(KPIs!$C$18),KPIs!$C$18,"")</f>
        <v>1</v>
      </c>
      <c r="H137" s="199" t="str">
        <f>IFERROR(INDEX(_TARGETS!$E$2:$E$17,MATCH($C137,_TARGETS!$A$2:$A$17,0))&amp;"","")</f>
        <v>≥</v>
      </c>
      <c r="I137" s="199" t="str">
        <f t="shared" si="10"/>
        <v/>
      </c>
      <c r="J137" s="193" t="str">
        <f t="shared" si="11"/>
        <v>Monthly</v>
      </c>
      <c r="K137" s="248">
        <f>Datos!J20</f>
        <v>0</v>
      </c>
      <c r="L137" s="248">
        <f>Datos!J21</f>
        <v>0</v>
      </c>
      <c r="M137" s="193">
        <f>INDEX(_TARGETS!$J$2:$J$17,MATCH($C137,_TARGETS!$A$2:$A$17,0))</f>
        <v>1</v>
      </c>
      <c r="N137" s="193" t="str">
        <f>INDEX(_TARGETS!$D$2:$D$17,MATCH($C137,_TARGETS!$A$2:$A$17,0))</f>
        <v>% (fracción)</v>
      </c>
      <c r="O137" s="193" t="str">
        <f>IF(NOT(ISNUMBER(F137)),"MISSING",IF((COUNTBLANK(Datos!J20)+COUNTBLANK(Datos!J21))&gt;0,"INCOMPLETE","OK"))</f>
        <v>MISSING</v>
      </c>
      <c r="P137" s="193" t="str">
        <f>INDEX(_TARGETS!$K$2:$K$17,MATCH($C137,_TARGETS!$A$2:$A$17,0))</f>
        <v>OPS (carga manual en Datos)</v>
      </c>
      <c r="Q137" s="193" t="str">
        <f t="shared" si="12"/>
        <v>202702|CPSE|Monthly</v>
      </c>
      <c r="R137" s="193" t="str">
        <f>INDEX(_TARGETS!$H$2:$H$17,MATCH($C137,_TARGETS!$A$2:$A$17,0))</f>
        <v>Definida</v>
      </c>
      <c r="S137" s="193" t="str">
        <f t="shared" si="13"/>
        <v/>
      </c>
      <c r="T137" s="193" t="str">
        <f t="shared" si="14"/>
        <v/>
      </c>
    </row>
    <row r="138" spans="1:20" ht="13.5" customHeight="1" x14ac:dyDescent="0.3">
      <c r="A138" s="245">
        <f>KPIs!$J$3</f>
        <v>46419</v>
      </c>
      <c r="B138" s="199" t="str">
        <f>KPIs!J$4</f>
        <v>Compresora</v>
      </c>
      <c r="C138" s="31" t="s">
        <v>85</v>
      </c>
      <c r="D138" s="199" t="str">
        <f>KPIs!$A$19</f>
        <v>10b · Cumplimiento de acciones de mejora de simulacros</v>
      </c>
      <c r="E138" s="31" t="s">
        <v>599</v>
      </c>
      <c r="F138" s="247" t="str">
        <f>IF(ISNUMBER(KPIs!J19),KPIs!J19,"")</f>
        <v/>
      </c>
      <c r="G138" s="247" t="str">
        <f>IF(ISNUMBER(KPIs!$C$19),KPIs!$C$19,"")</f>
        <v/>
      </c>
      <c r="H138" s="199" t="str">
        <f>IFERROR(INDEX(_TARGETS!$E$2:$E$17,MATCH($C138,_TARGETS!$A$2:$A$17,0))&amp;"","")</f>
        <v/>
      </c>
      <c r="I138" s="199" t="str">
        <f t="shared" si="10"/>
        <v/>
      </c>
      <c r="J138" s="193" t="str">
        <f t="shared" si="11"/>
        <v>Monthly</v>
      </c>
      <c r="K138" s="248">
        <f>Datos!J23</f>
        <v>0</v>
      </c>
      <c r="L138" s="248">
        <f>Datos!J22</f>
        <v>0</v>
      </c>
      <c r="M138" s="193">
        <f>INDEX(_TARGETS!$J$2:$J$17,MATCH($C138,_TARGETS!$A$2:$A$17,0))</f>
        <v>1</v>
      </c>
      <c r="N138" s="193" t="str">
        <f>INDEX(_TARGETS!$D$2:$D$17,MATCH($C138,_TARGETS!$A$2:$A$17,0))</f>
        <v>% (fracción)</v>
      </c>
      <c r="O138" s="193" t="str">
        <f>IF(NOT(ISNUMBER(F138)),"MISSING",IF((COUNTBLANK(Datos!J23)+COUNTBLANK(Datos!J22))&gt;0,"INCOMPLETE","OK"))</f>
        <v>MISSING</v>
      </c>
      <c r="P138" s="193" t="str">
        <f>INDEX(_TARGETS!$K$2:$K$17,MATCH($C138,_TARGETS!$A$2:$A$17,0))</f>
        <v>OPS (carga manual en Datos)</v>
      </c>
      <c r="Q138" s="193" t="str">
        <f t="shared" si="12"/>
        <v>202702|CAMS|Monthly</v>
      </c>
      <c r="R138" s="193" t="str">
        <f>INDEX(_TARGETS!$H$2:$H$17,MATCH($C138,_TARGETS!$A$2:$A$17,0))</f>
        <v>Solo reporte</v>
      </c>
      <c r="S138" s="193" t="str">
        <f t="shared" si="13"/>
        <v/>
      </c>
      <c r="T138" s="193" t="str">
        <f t="shared" si="14"/>
        <v/>
      </c>
    </row>
    <row r="139" spans="1:20" ht="13.5" customHeight="1" x14ac:dyDescent="0.3">
      <c r="A139" s="245">
        <f>KPIs!$J$3</f>
        <v>46419</v>
      </c>
      <c r="B139" s="199" t="str">
        <f>KPIs!J$4</f>
        <v>Compresora</v>
      </c>
      <c r="C139" s="31" t="s">
        <v>87</v>
      </c>
      <c r="D139" s="199" t="str">
        <f>KPIs!$A$21</f>
        <v>11 · Cumplimiento de caminatas gerenciales</v>
      </c>
      <c r="E139" s="31" t="s">
        <v>599</v>
      </c>
      <c r="F139" s="247" t="str">
        <f>IF(ISNUMBER(KPIs!J21),KPIs!J21,"")</f>
        <v/>
      </c>
      <c r="G139" s="247">
        <f>IF(ISNUMBER(KPIs!$C$21),KPIs!$C$21,"")</f>
        <v>1</v>
      </c>
      <c r="H139" s="199" t="str">
        <f>IFERROR(INDEX(_TARGETS!$E$2:$E$17,MATCH($C139,_TARGETS!$A$2:$A$17,0))&amp;"","")</f>
        <v>≥</v>
      </c>
      <c r="I139" s="199" t="str">
        <f t="shared" si="10"/>
        <v/>
      </c>
      <c r="J139" s="193" t="str">
        <f t="shared" si="11"/>
        <v>Monthly</v>
      </c>
      <c r="K139" s="248">
        <f>Datos!J24</f>
        <v>0</v>
      </c>
      <c r="L139" s="248">
        <f>Datos!J25</f>
        <v>0</v>
      </c>
      <c r="M139" s="193">
        <f>INDEX(_TARGETS!$J$2:$J$17,MATCH($C139,_TARGETS!$A$2:$A$17,0))</f>
        <v>1</v>
      </c>
      <c r="N139" s="193" t="str">
        <f>INDEX(_TARGETS!$D$2:$D$17,MATCH($C139,_TARGETS!$A$2:$A$17,0))</f>
        <v>% (fracción)</v>
      </c>
      <c r="O139" s="193" t="str">
        <f>IF(NOT(ISNUMBER(F139)),"MISSING",IF((COUNTBLANK(Datos!J24)+COUNTBLANK(Datos!J25))&gt;0,"INCOMPLETE","OK"))</f>
        <v>MISSING</v>
      </c>
      <c r="P139" s="193" t="str">
        <f>INDEX(_TARGETS!$K$2:$K$17,MATCH($C139,_TARGETS!$A$2:$A$17,0))</f>
        <v>OPS (carga manual en Datos)</v>
      </c>
      <c r="Q139" s="193" t="str">
        <f t="shared" si="12"/>
        <v>202702|ICCS|Monthly</v>
      </c>
      <c r="R139" s="193" t="str">
        <f>INDEX(_TARGETS!$H$2:$H$17,MATCH($C139,_TARGETS!$A$2:$A$17,0))</f>
        <v>Definida</v>
      </c>
      <c r="S139" s="193" t="str">
        <f t="shared" si="13"/>
        <v/>
      </c>
      <c r="T139" s="193" t="str">
        <f t="shared" si="14"/>
        <v/>
      </c>
    </row>
    <row r="140" spans="1:20" ht="13.5" customHeight="1" x14ac:dyDescent="0.3">
      <c r="A140" s="245">
        <f>KPIs!$J$3</f>
        <v>46419</v>
      </c>
      <c r="B140" s="199" t="str">
        <f>KPIs!J$4</f>
        <v>Compresora</v>
      </c>
      <c r="C140" s="31" t="s">
        <v>89</v>
      </c>
      <c r="D140" s="199" t="str">
        <f>KPIs!$A$22</f>
        <v>12 · Cumplimiento de comités y subcomités de seguridad</v>
      </c>
      <c r="E140" s="31" t="s">
        <v>599</v>
      </c>
      <c r="F140" s="247" t="str">
        <f>IF(ISNUMBER(KPIs!J22),KPIs!J22,"")</f>
        <v/>
      </c>
      <c r="G140" s="247">
        <f>IF(ISNUMBER(KPIs!$C$22),KPIs!$C$22,"")</f>
        <v>1</v>
      </c>
      <c r="H140" s="199" t="str">
        <f>IFERROR(INDEX(_TARGETS!$E$2:$E$17,MATCH($C140,_TARGETS!$A$2:$A$17,0))&amp;"","")</f>
        <v>≥</v>
      </c>
      <c r="I140" s="199" t="str">
        <f t="shared" si="10"/>
        <v/>
      </c>
      <c r="J140" s="193" t="str">
        <f t="shared" si="11"/>
        <v>Monthly</v>
      </c>
      <c r="K140" s="248">
        <f>Datos!J26</f>
        <v>0</v>
      </c>
      <c r="L140" s="248">
        <f>Datos!J27</f>
        <v>0</v>
      </c>
      <c r="M140" s="193">
        <f>INDEX(_TARGETS!$J$2:$J$17,MATCH($C140,_TARGETS!$A$2:$A$17,0))</f>
        <v>1</v>
      </c>
      <c r="N140" s="193" t="str">
        <f>INDEX(_TARGETS!$D$2:$D$17,MATCH($C140,_TARGETS!$A$2:$A$17,0))</f>
        <v>% (fracción)</v>
      </c>
      <c r="O140" s="193" t="str">
        <f>IF(NOT(ISNUMBER(F140)),"MISSING",IF((COUNTBLANK(Datos!J26)+COUNTBLANK(Datos!J27))&gt;0,"INCOMPLETE","OK"))</f>
        <v>MISSING</v>
      </c>
      <c r="P140" s="193" t="str">
        <f>INDEX(_TARGETS!$K$2:$K$17,MATCH($C140,_TARGETS!$A$2:$A$17,0))</f>
        <v>OPS (carga manual en Datos)</v>
      </c>
      <c r="Q140" s="193" t="str">
        <f t="shared" si="12"/>
        <v>202702|CCS|Monthly</v>
      </c>
      <c r="R140" s="193" t="str">
        <f>INDEX(_TARGETS!$H$2:$H$17,MATCH($C140,_TARGETS!$A$2:$A$17,0))</f>
        <v>Definida</v>
      </c>
      <c r="S140" s="193" t="str">
        <f t="shared" si="13"/>
        <v/>
      </c>
      <c r="T140" s="193" t="str">
        <f t="shared" si="14"/>
        <v/>
      </c>
    </row>
    <row r="141" spans="1:20" ht="13.5" customHeight="1" x14ac:dyDescent="0.3">
      <c r="A141" s="245">
        <f>KPIs!$J$3</f>
        <v>46419</v>
      </c>
      <c r="B141" s="199" t="str">
        <f>KPIs!J$4</f>
        <v>Compresora</v>
      </c>
      <c r="C141" s="31" t="s">
        <v>91</v>
      </c>
      <c r="D141" s="199" t="str">
        <f>KPIs!$A$23</f>
        <v>13 · Días promedio para cerrar hallazgos</v>
      </c>
      <c r="E141" s="31" t="s">
        <v>599</v>
      </c>
      <c r="F141" s="247" t="str">
        <f>IF(ISNUMBER(KPIs!J23),KPIs!J23,"")</f>
        <v/>
      </c>
      <c r="G141" s="247" t="str">
        <f>IF(ISNUMBER(KPIs!$C$23),KPIs!$C$23,"")</f>
        <v/>
      </c>
      <c r="H141" s="199" t="str">
        <f>IFERROR(INDEX(_TARGETS!$E$2:$E$17,MATCH($C141,_TARGETS!$A$2:$A$17,0))&amp;"","")</f>
        <v>≤</v>
      </c>
      <c r="I141" s="199" t="str">
        <f t="shared" si="10"/>
        <v/>
      </c>
      <c r="J141" s="193" t="str">
        <f t="shared" si="11"/>
        <v>Monthly</v>
      </c>
      <c r="K141" s="248">
        <f>Datos!J68</f>
        <v>0</v>
      </c>
      <c r="L141" s="248">
        <f>Datos!J67</f>
        <v>0</v>
      </c>
      <c r="M141" s="193">
        <f>INDEX(_TARGETS!$J$2:$J$17,MATCH($C141,_TARGETS!$A$2:$A$17,0))</f>
        <v>1</v>
      </c>
      <c r="N141" s="193" t="str">
        <f>INDEX(_TARGETS!$D$2:$D$17,MATCH($C141,_TARGETS!$A$2:$A$17,0))</f>
        <v>días</v>
      </c>
      <c r="O141" s="193" t="str">
        <f>IF(NOT(ISNUMBER(F141)),"MISSING","OK")</f>
        <v>MISSING</v>
      </c>
      <c r="P141" s="193" t="str">
        <f>INDEX(_TARGETS!$K$2:$K$17,MATCH($C141,_TARGETS!$A$2:$A$17,0))</f>
        <v>Plant Findings (hoja Observaciones-SMP)</v>
      </c>
      <c r="Q141" s="193" t="str">
        <f t="shared" si="12"/>
        <v>202702|DPAS|Monthly</v>
      </c>
      <c r="R141" s="193" t="str">
        <f>INDEX(_TARGETS!$H$2:$H$17,MATCH($C141,_TARGETS!$A$2:$A$17,0))</f>
        <v>Pendiente (meta 2027)</v>
      </c>
      <c r="S141" s="193" t="str">
        <f t="shared" si="13"/>
        <v/>
      </c>
      <c r="T141" s="193" t="str">
        <f t="shared" si="14"/>
        <v/>
      </c>
    </row>
    <row r="142" spans="1:20" ht="13.5" customHeight="1" x14ac:dyDescent="0.3">
      <c r="A142" s="245">
        <f>KPIs!$J$3</f>
        <v>46419</v>
      </c>
      <c r="B142" s="199" t="str">
        <f>KPIs!J$4</f>
        <v>Compresora</v>
      </c>
      <c r="C142" s="31" t="s">
        <v>39</v>
      </c>
      <c r="D142" s="199" t="str">
        <f>KPIs!$A$26</f>
        <v>1 · Frecuencia de casos con días perdidos · ACUMULADO</v>
      </c>
      <c r="E142" s="31" t="s">
        <v>600</v>
      </c>
      <c r="F142" s="247" t="str">
        <f>IF(ISNUMBER(KPIs!J26),KPIs!J26,"")</f>
        <v/>
      </c>
      <c r="G142" s="247">
        <f>IF(ISNUMBER(KPIs!$C$26),KPIs!$C$26,"")</f>
        <v>0</v>
      </c>
      <c r="H142" s="199" t="str">
        <f>IFERROR(INDEX(_TARGETS!$E$2:$E$17,MATCH($C142,_TARGETS!$A$2:$A$17,0))&amp;"","")</f>
        <v>≤</v>
      </c>
      <c r="I142" s="199" t="str">
        <f t="shared" si="10"/>
        <v/>
      </c>
      <c r="J142" s="193" t="str">
        <f t="shared" si="11"/>
        <v>Cumulative</v>
      </c>
      <c r="K142" s="193">
        <f>SUM(Datos!$D33:J33)</f>
        <v>0</v>
      </c>
      <c r="L142" s="193">
        <f>SUM(Datos!$D14:J14)</f>
        <v>48332</v>
      </c>
      <c r="M142" s="193">
        <f>INDEX(_TARGETS!$J$2:$J$17,MATCH($C142,_TARGETS!$A$2:$A$17,0))</f>
        <v>1000000</v>
      </c>
      <c r="N142" s="193" t="str">
        <f>INDEX(_TARGETS!$D$2:$D$17,MATCH($C142,_TARGETS!$A$2:$A$17,0))</f>
        <v>casos / 10^6 HH</v>
      </c>
      <c r="O142" s="193" t="str">
        <f>IF(NOT(ISNUMBER(F142)),IF(SUMPRODUCT(($C$2:$C$1300=C142)*($J$2:$J$1300="Monthly")*($A$2:$A$1300&lt;=A142)*ISNUMBER($K$2:$K$1300)*ISNUMBER($L$2:$L$1300)*($L$2:$L$1300=0)*($K$2:$K$1300&gt;0))&gt;0,"INCOMPLETE","MISSING"),O128)</f>
        <v>MISSING</v>
      </c>
      <c r="P142" s="193" t="str">
        <f>INDEX(_TARGETS!$K$2:$K$17,MATCH($C142,_TARGETS!$A$2:$A$17,0))</f>
        <v>OPS (carga manual en Datos)</v>
      </c>
      <c r="Q142" s="193" t="str">
        <f t="shared" si="12"/>
        <v>202702|DAFWCF|Cumulative</v>
      </c>
      <c r="R142" s="193" t="str">
        <f>INDEX(_TARGETS!$H$2:$H$17,MATCH($C142,_TARGETS!$A$2:$A$17,0))</f>
        <v>Definida</v>
      </c>
      <c r="S142" s="193">
        <f t="shared" si="13"/>
        <v>0</v>
      </c>
      <c r="T142" s="193" t="str">
        <f t="shared" si="14"/>
        <v/>
      </c>
    </row>
    <row r="143" spans="1:20" ht="13.5" customHeight="1" x14ac:dyDescent="0.3">
      <c r="A143" s="245">
        <f>KPIs!$J$3</f>
        <v>46419</v>
      </c>
      <c r="B143" s="199" t="str">
        <f>KPIs!J$4</f>
        <v>Compresora</v>
      </c>
      <c r="C143" s="31" t="s">
        <v>49</v>
      </c>
      <c r="D143" s="199" t="str">
        <f>KPIs!$A$27</f>
        <v>2 · Frecuencia de casos registrables · ACUMULADO</v>
      </c>
      <c r="E143" s="31" t="s">
        <v>600</v>
      </c>
      <c r="F143" s="247" t="str">
        <f>IF(ISNUMBER(KPIs!J27),KPIs!J27,"")</f>
        <v/>
      </c>
      <c r="G143" s="247">
        <f>IF(ISNUMBER(KPIs!$C$27),KPIs!$C$27,"")</f>
        <v>2.35</v>
      </c>
      <c r="H143" s="199" t="str">
        <f>IFERROR(INDEX(_TARGETS!$E$2:$E$17,MATCH($C143,_TARGETS!$A$2:$A$17,0))&amp;"","")</f>
        <v>≤</v>
      </c>
      <c r="I143" s="199" t="str">
        <f t="shared" si="10"/>
        <v/>
      </c>
      <c r="J143" s="193" t="str">
        <f t="shared" si="11"/>
        <v>Cumulative</v>
      </c>
      <c r="K143" s="193">
        <f>SUM(Datos!$D33:J33)+SUM(Datos!$D34:J34)+SUM(Datos!$D35:J35)+SUM(Datos!$D36:J36)</f>
        <v>0</v>
      </c>
      <c r="L143" s="193">
        <f>SUM(Datos!$D14:J14)</f>
        <v>48332</v>
      </c>
      <c r="M143" s="193">
        <f>INDEX(_TARGETS!$J$2:$J$17,MATCH($C143,_TARGETS!$A$2:$A$17,0))</f>
        <v>1000000</v>
      </c>
      <c r="N143" s="193" t="str">
        <f>INDEX(_TARGETS!$D$2:$D$17,MATCH($C143,_TARGETS!$A$2:$A$17,0))</f>
        <v>casos / 10^6 HH</v>
      </c>
      <c r="O143" s="193" t="str">
        <f>IF(NOT(ISNUMBER(F143)),IF(SUMPRODUCT(($C$2:$C$1300=C143)*($J$2:$J$1300="Monthly")*($A$2:$A$1300&lt;=A143)*ISNUMBER($K$2:$K$1300)*ISNUMBER($L$2:$L$1300)*($L$2:$L$1300=0)*($K$2:$K$1300&gt;0))&gt;0,"INCOMPLETE","MISSING"),O129)</f>
        <v>MISSING</v>
      </c>
      <c r="P143" s="193" t="str">
        <f>INDEX(_TARGETS!$K$2:$K$17,MATCH($C143,_TARGETS!$A$2:$A$17,0))</f>
        <v>OPS (carga manual en Datos)</v>
      </c>
      <c r="Q143" s="193" t="str">
        <f t="shared" si="12"/>
        <v>202702|TRICF|Cumulative</v>
      </c>
      <c r="R143" s="193" t="str">
        <f>INDEX(_TARGETS!$H$2:$H$17,MATCH($C143,_TARGETS!$A$2:$A$17,0))</f>
        <v>Definida</v>
      </c>
      <c r="S143" s="193">
        <f t="shared" si="13"/>
        <v>0</v>
      </c>
      <c r="T143" s="193" t="str">
        <f t="shared" si="14"/>
        <v/>
      </c>
    </row>
    <row r="144" spans="1:20" ht="13.5" customHeight="1" x14ac:dyDescent="0.3">
      <c r="A144" s="245">
        <f>KPIs!$J$3</f>
        <v>46419</v>
      </c>
      <c r="B144" s="199" t="str">
        <f>KPIs!J$4</f>
        <v>Compresora</v>
      </c>
      <c r="C144" s="31" t="s">
        <v>51</v>
      </c>
      <c r="D144" s="199" t="str">
        <f>KPIs!$A$28</f>
        <v>3 · Casos de primeros auxilios · ACUMULADO</v>
      </c>
      <c r="E144" s="31" t="s">
        <v>600</v>
      </c>
      <c r="F144" s="247" t="str">
        <f>IF(ISNUMBER(KPIs!J28),KPIs!J28,"")</f>
        <v/>
      </c>
      <c r="G144" s="247" t="str">
        <f>IF(ISNUMBER(KPIs!$C$28),KPIs!$C$28,"")</f>
        <v/>
      </c>
      <c r="H144" s="199" t="str">
        <f>IFERROR(INDEX(_TARGETS!$E$2:$E$17,MATCH($C144,_TARGETS!$A$2:$A$17,0))&amp;"","")</f>
        <v/>
      </c>
      <c r="I144" s="199" t="str">
        <f t="shared" si="10"/>
        <v/>
      </c>
      <c r="J144" s="193" t="str">
        <f t="shared" si="11"/>
        <v>Cumulative</v>
      </c>
      <c r="K144" s="193">
        <f>SUM(Datos!$D37:J37)</f>
        <v>0</v>
      </c>
      <c r="M144" s="193">
        <f>INDEX(_TARGETS!$J$2:$J$17,MATCH($C144,_TARGETS!$A$2:$A$17,0))</f>
        <v>1</v>
      </c>
      <c r="N144" s="193" t="str">
        <f>INDEX(_TARGETS!$D$2:$D$17,MATCH($C144,_TARGETS!$A$2:$A$17,0))</f>
        <v>casos</v>
      </c>
      <c r="O144" s="193" t="str">
        <f>IF(NOT(ISNUMBER(F144)),IF(SUMPRODUCT(($C$2:$C$1300=C144)*($J$2:$J$1300="Monthly")*($A$2:$A$1300&lt;=A144)*ISNUMBER($K$2:$K$1300)*ISNUMBER($L$2:$L$1300)*($L$2:$L$1300=0)*($K$2:$K$1300&gt;0))&gt;0,"INCOMPLETE","MISSING"),O130)</f>
        <v>MISSING</v>
      </c>
      <c r="P144" s="193" t="str">
        <f>INDEX(_TARGETS!$K$2:$K$17,MATCH($C144,_TARGETS!$A$2:$A$17,0))</f>
        <v>OPS (carga manual en Datos)</v>
      </c>
      <c r="Q144" s="193" t="str">
        <f t="shared" si="12"/>
        <v>202702|FAC|Cumulative</v>
      </c>
      <c r="R144" s="193" t="str">
        <f>INDEX(_TARGETS!$H$2:$H$17,MATCH($C144,_TARGETS!$A$2:$A$17,0))</f>
        <v>Solo reporte</v>
      </c>
      <c r="S144" s="193">
        <f t="shared" si="13"/>
        <v>0</v>
      </c>
      <c r="T144" s="193" t="str">
        <f t="shared" si="14"/>
        <v/>
      </c>
    </row>
    <row r="145" spans="1:20" ht="13.5" customHeight="1" x14ac:dyDescent="0.3">
      <c r="A145" s="245">
        <f>KPIs!$J$3</f>
        <v>46419</v>
      </c>
      <c r="B145" s="199" t="str">
        <f>KPIs!J$4</f>
        <v>Compresora</v>
      </c>
      <c r="C145" s="31" t="s">
        <v>57</v>
      </c>
      <c r="D145" s="199" t="str">
        <f>KPIs!$A$29</f>
        <v>4 · Accidentes vehiculares severos · ACUMULADO</v>
      </c>
      <c r="E145" s="31" t="s">
        <v>600</v>
      </c>
      <c r="F145" s="247" t="str">
        <f>IF(ISNUMBER(KPIs!J29),KPIs!J29,"")</f>
        <v/>
      </c>
      <c r="G145" s="247" t="str">
        <f>IF(ISNUMBER(KPIs!$C$29),KPIs!$C$29,"")</f>
        <v/>
      </c>
      <c r="H145" s="199" t="str">
        <f>IFERROR(INDEX(_TARGETS!$E$2:$E$17,MATCH($C145,_TARGETS!$A$2:$A$17,0))&amp;"","")</f>
        <v/>
      </c>
      <c r="I145" s="199" t="str">
        <f t="shared" si="10"/>
        <v/>
      </c>
      <c r="J145" s="193" t="str">
        <f t="shared" si="11"/>
        <v>Cumulative</v>
      </c>
      <c r="K145" s="193">
        <f>SUM(Datos!$D39:J39)+SUM(Datos!$D40:J40)+SUM(Datos!$D41:J41)</f>
        <v>0</v>
      </c>
      <c r="L145" s="193">
        <f>SUM(Datos!$D47:J47)</f>
        <v>172824</v>
      </c>
      <c r="M145" s="193">
        <f>INDEX(_TARGETS!$J$2:$J$17,MATCH($C145,_TARGETS!$A$2:$A$17,0))</f>
        <v>1000000</v>
      </c>
      <c r="N145" s="193" t="str">
        <f>INDEX(_TARGETS!$D$2:$D$17,MATCH($C145,_TARGETS!$A$2:$A$17,0))</f>
        <v>eventos / 10^6 km</v>
      </c>
      <c r="O145" s="193" t="str">
        <f>IF(NOT(ISNUMBER(F145)),IF(SUMPRODUCT(($C$2:$C$1300=C145)*($J$2:$J$1300="Monthly")*($A$2:$A$1300&lt;=A145)*ISNUMBER($K$2:$K$1300)*ISNUMBER($L$2:$L$1300)*($L$2:$L$1300=0)*($K$2:$K$1300&gt;0))&gt;0,"INCOMPLETE","MISSING"),O131)</f>
        <v>MISSING</v>
      </c>
      <c r="P145" s="193" t="str">
        <f>INDEX(_TARGETS!$K$2:$K$17,MATCH($C145,_TARGETS!$A$2:$A$17,0))</f>
        <v>OPS (eventos) + Full Control GPS (km) - carga manual en Datos</v>
      </c>
      <c r="Q145" s="193" t="str">
        <f t="shared" si="12"/>
        <v>202702|SVCR|Cumulative</v>
      </c>
      <c r="R145" s="193" t="str">
        <f>INDEX(_TARGETS!$H$2:$H$17,MATCH($C145,_TARGETS!$A$2:$A$17,0))</f>
        <v>Solo reporte</v>
      </c>
      <c r="S145" s="193">
        <f t="shared" si="13"/>
        <v>0</v>
      </c>
      <c r="T145" s="193" t="str">
        <f t="shared" si="14"/>
        <v/>
      </c>
    </row>
    <row r="146" spans="1:20" ht="13.5" customHeight="1" x14ac:dyDescent="0.3">
      <c r="A146" s="245">
        <f>KPIs!$J$3</f>
        <v>46419</v>
      </c>
      <c r="B146" s="199" t="str">
        <f>KPIs!J$4</f>
        <v>Compresora</v>
      </c>
      <c r="C146" s="31" t="s">
        <v>61</v>
      </c>
      <c r="D146" s="199" t="str">
        <f>KPIs!$A$30</f>
        <v>5 · Accidentes vehiculares totales · ACUMULADO</v>
      </c>
      <c r="E146" s="31" t="s">
        <v>600</v>
      </c>
      <c r="F146" s="247" t="str">
        <f>IF(ISNUMBER(KPIs!J30),KPIs!J30,"")</f>
        <v/>
      </c>
      <c r="G146" s="247">
        <f>IF(ISNUMBER(KPIs!$C$30),KPIs!$C$30,"")</f>
        <v>0.79</v>
      </c>
      <c r="H146" s="199" t="str">
        <f>IFERROR(INDEX(_TARGETS!$E$2:$E$17,MATCH($C146,_TARGETS!$A$2:$A$17,0))&amp;"","")</f>
        <v>≤</v>
      </c>
      <c r="I146" s="199" t="str">
        <f t="shared" si="10"/>
        <v/>
      </c>
      <c r="J146" s="193" t="str">
        <f t="shared" si="11"/>
        <v>Cumulative</v>
      </c>
      <c r="K146" s="193">
        <f>SUM(Datos!$D39:J39)+SUM(Datos!$D40:J40)+SUM(Datos!$D41:J41)+SUM(Datos!$D42:J42)</f>
        <v>0</v>
      </c>
      <c r="L146" s="193">
        <f>SUM(Datos!$D47:J47)</f>
        <v>172824</v>
      </c>
      <c r="M146" s="193">
        <f>INDEX(_TARGETS!$J$2:$J$17,MATCH($C146,_TARGETS!$A$2:$A$17,0))</f>
        <v>1000000</v>
      </c>
      <c r="N146" s="193" t="str">
        <f>INDEX(_TARGETS!$D$2:$D$17,MATCH($C146,_TARGETS!$A$2:$A$17,0))</f>
        <v>eventos / 10^6 km</v>
      </c>
      <c r="O146" s="193" t="str">
        <f>IF(NOT(ISNUMBER(F146)),IF(SUMPRODUCT(($C$2:$C$1300=C146)*($J$2:$J$1300="Monthly")*($A$2:$A$1300&lt;=A146)*ISNUMBER($K$2:$K$1300)*ISNUMBER($L$2:$L$1300)*($L$2:$L$1300=0)*($K$2:$K$1300&gt;0))&gt;0,"INCOMPLETE","MISSING"),O132)</f>
        <v>MISSING</v>
      </c>
      <c r="P146" s="193" t="str">
        <f>INDEX(_TARGETS!$K$2:$K$17,MATCH($C146,_TARGETS!$A$2:$A$17,0))</f>
        <v>OPS (eventos) + Full Control GPS (km) - carga manual en Datos</v>
      </c>
      <c r="Q146" s="193" t="str">
        <f t="shared" si="12"/>
        <v>202702|TVCR|Cumulative</v>
      </c>
      <c r="R146" s="193" t="str">
        <f>INDEX(_TARGETS!$H$2:$H$17,MATCH($C146,_TARGETS!$A$2:$A$17,0))</f>
        <v>Definida</v>
      </c>
      <c r="S146" s="193">
        <f t="shared" si="13"/>
        <v>0</v>
      </c>
      <c r="T146" s="193" t="str">
        <f t="shared" si="14"/>
        <v/>
      </c>
    </row>
    <row r="147" spans="1:20" ht="13.5" customHeight="1" x14ac:dyDescent="0.3">
      <c r="A147" s="245">
        <f>KPIs!$J$3</f>
        <v>46419</v>
      </c>
      <c r="B147" s="199" t="str">
        <f>KPIs!J$4</f>
        <v>Compresora</v>
      </c>
      <c r="C147" s="31" t="s">
        <v>96</v>
      </c>
      <c r="D147" s="199" t="str">
        <f>KPIs!$A$33</f>
        <v>C1 · % de desvíos detectados de gravedad Alta</v>
      </c>
      <c r="E147" s="31" t="s">
        <v>599</v>
      </c>
      <c r="F147" s="247" t="str">
        <f>IF(ISNUMBER(KPIs!J33),KPIs!J33,"")</f>
        <v/>
      </c>
      <c r="G147" s="247" t="str">
        <f>IF(ISNUMBER(KPIs!$C$33),KPIs!$C$33,"")</f>
        <v/>
      </c>
      <c r="H147" s="199" t="str">
        <f>IFERROR(INDEX(_TARGETS!$E$2:$E$17,MATCH($C147,_TARGETS!$A$2:$A$17,0))&amp;"","")</f>
        <v/>
      </c>
      <c r="I147" s="199" t="str">
        <f t="shared" si="10"/>
        <v/>
      </c>
      <c r="J147" s="193" t="str">
        <f t="shared" si="11"/>
        <v>Monthly</v>
      </c>
      <c r="K147" s="248">
        <f>Datos!J71</f>
        <v>0</v>
      </c>
      <c r="L147" s="193">
        <f>Datos!J71+Datos!J72+Datos!J73</f>
        <v>0</v>
      </c>
      <c r="M147" s="193">
        <f>INDEX(_TARGETS!$J$2:$J$17,MATCH($C147,_TARGETS!$A$2:$A$17,0))</f>
        <v>1</v>
      </c>
      <c r="N147" s="193" t="str">
        <f>INDEX(_TARGETS!$D$2:$D$17,MATCH($C147,_TARGETS!$A$2:$A$17,0))</f>
        <v>% (fracción)</v>
      </c>
      <c r="O147" s="193" t="str">
        <f>IF(NOT(ISNUMBER(F147)),"MISSING","OK")</f>
        <v>MISSING</v>
      </c>
      <c r="P147" s="193" t="str">
        <f>INDEX(_TARGETS!$K$2:$K$17,MATCH($C147,_TARGETS!$A$2:$A$17,0))</f>
        <v>Plant Findings (hoja Observaciones-SMP)</v>
      </c>
      <c r="Q147" s="193" t="str">
        <f t="shared" si="12"/>
        <v>202702|HAL_ALTA_PCT|Monthly</v>
      </c>
      <c r="R147" s="193" t="str">
        <f>INDEX(_TARGETS!$H$2:$H$17,MATCH($C147,_TARGETS!$A$2:$A$17,0))</f>
        <v>Solo reporte</v>
      </c>
      <c r="S147" s="193" t="str">
        <f t="shared" si="13"/>
        <v/>
      </c>
      <c r="T147" s="193" t="str">
        <f t="shared" si="14"/>
        <v/>
      </c>
    </row>
    <row r="148" spans="1:20" ht="13.5" customHeight="1" x14ac:dyDescent="0.3">
      <c r="A148" s="245">
        <f>KPIs!$J$3</f>
        <v>46419</v>
      </c>
      <c r="B148" s="199" t="str">
        <f>KPIs!J$4</f>
        <v>Compresora</v>
      </c>
      <c r="C148" s="31" t="s">
        <v>98</v>
      </c>
      <c r="D148" s="199" t="str">
        <f>KPIs!$A$34</f>
        <v>C2 · Detenciones de tareas aplicadas</v>
      </c>
      <c r="E148" s="31" t="s">
        <v>599</v>
      </c>
      <c r="F148" s="247" t="str">
        <f>IF(ISNUMBER(KPIs!J34),KPIs!J34,"")</f>
        <v/>
      </c>
      <c r="G148" s="247" t="str">
        <f>IF(ISNUMBER(KPIs!$C$34),KPIs!$C$34,"")</f>
        <v/>
      </c>
      <c r="H148" s="199" t="str">
        <f>IFERROR(INDEX(_TARGETS!$E$2:$E$17,MATCH($C148,_TARGETS!$A$2:$A$17,0))&amp;"","")</f>
        <v/>
      </c>
      <c r="I148" s="199" t="str">
        <f t="shared" si="10"/>
        <v/>
      </c>
      <c r="J148" s="193" t="str">
        <f t="shared" si="11"/>
        <v>Monthly</v>
      </c>
      <c r="K148" s="248">
        <f>Datos!J75</f>
        <v>0</v>
      </c>
      <c r="M148" s="193">
        <f>INDEX(_TARGETS!$J$2:$J$17,MATCH($C148,_TARGETS!$A$2:$A$17,0))</f>
        <v>1</v>
      </c>
      <c r="N148" s="193" t="str">
        <f>INDEX(_TARGETS!$D$2:$D$17,MATCH($C148,_TARGETS!$A$2:$A$17,0))</f>
        <v>u</v>
      </c>
      <c r="O148" s="193" t="str">
        <f>IF(NOT(ISNUMBER(F148)),"MISSING","OK")</f>
        <v>MISSING</v>
      </c>
      <c r="P148" s="193" t="str">
        <f>INDEX(_TARGETS!$K$2:$K$17,MATCH($C148,_TARGETS!$A$2:$A$17,0))</f>
        <v>Plant Findings (hoja Observaciones-SMP)</v>
      </c>
      <c r="Q148" s="193" t="str">
        <f t="shared" si="12"/>
        <v>202702|DET|Monthly</v>
      </c>
      <c r="R148" s="193" t="str">
        <f>INDEX(_TARGETS!$H$2:$H$17,MATCH($C148,_TARGETS!$A$2:$A$17,0))</f>
        <v>Solo reporte</v>
      </c>
      <c r="S148" s="193" t="str">
        <f t="shared" si="13"/>
        <v/>
      </c>
      <c r="T148" s="193" t="str">
        <f t="shared" si="14"/>
        <v/>
      </c>
    </row>
    <row r="149" spans="1:20" ht="13.5" customHeight="1" x14ac:dyDescent="0.3">
      <c r="A149" s="245">
        <f>KPIs!$K$3</f>
        <v>46447</v>
      </c>
      <c r="B149" s="199" t="str">
        <f>KPIs!K$4</f>
        <v>Compresora</v>
      </c>
      <c r="C149" s="31" t="s">
        <v>39</v>
      </c>
      <c r="D149" s="199" t="str">
        <f>KPIs!$A$6</f>
        <v>1 · Frecuencia de casos con días perdidos</v>
      </c>
      <c r="E149" s="31" t="s">
        <v>599</v>
      </c>
      <c r="F149" s="247" t="str">
        <f>IF(ISNUMBER(KPIs!K6),KPIs!K6,"")</f>
        <v/>
      </c>
      <c r="G149" s="247">
        <f>IF(ISNUMBER(KPIs!$C$6),KPIs!$C$6,"")</f>
        <v>0</v>
      </c>
      <c r="H149" s="199" t="str">
        <f>IFERROR(INDEX(_TARGETS!$E$2:$E$17,MATCH($C149,_TARGETS!$A$2:$A$17,0))&amp;"","")</f>
        <v>≤</v>
      </c>
      <c r="I149" s="199" t="str">
        <f t="shared" si="10"/>
        <v/>
      </c>
      <c r="J149" s="193" t="str">
        <f t="shared" si="11"/>
        <v>Monthly</v>
      </c>
      <c r="K149" s="248">
        <f>Datos!K33</f>
        <v>0</v>
      </c>
      <c r="L149" s="248">
        <f>Datos!K14</f>
        <v>0</v>
      </c>
      <c r="M149" s="193">
        <f>INDEX(_TARGETS!$J$2:$J$17,MATCH($C149,_TARGETS!$A$2:$A$17,0))</f>
        <v>1000000</v>
      </c>
      <c r="N149" s="193" t="str">
        <f>INDEX(_TARGETS!$D$2:$D$17,MATCH($C149,_TARGETS!$A$2:$A$17,0))</f>
        <v>casos / 10^6 HH</v>
      </c>
      <c r="O149" s="193" t="str">
        <f>IF(NOT(ISNUMBER(F149)),"MISSING",IF((COUNTBLANK(Datos!K12)+COUNTBLANK(Datos!K13)+COUNTBLANK(Datos!K33))&gt;0,"INCOMPLETE","OK"))</f>
        <v>MISSING</v>
      </c>
      <c r="P149" s="193" t="str">
        <f>INDEX(_TARGETS!$K$2:$K$17,MATCH($C149,_TARGETS!$A$2:$A$17,0))</f>
        <v>OPS (carga manual en Datos)</v>
      </c>
      <c r="Q149" s="193" t="str">
        <f t="shared" si="12"/>
        <v>202703|DAFWCF|Monthly</v>
      </c>
      <c r="R149" s="193" t="str">
        <f>INDEX(_TARGETS!$H$2:$H$17,MATCH($C149,_TARGETS!$A$2:$A$17,0))</f>
        <v>Definida</v>
      </c>
      <c r="S149" s="193" t="str">
        <f t="shared" si="13"/>
        <v/>
      </c>
      <c r="T149" s="193" t="str">
        <f t="shared" si="14"/>
        <v/>
      </c>
    </row>
    <row r="150" spans="1:20" ht="13.5" customHeight="1" x14ac:dyDescent="0.3">
      <c r="A150" s="245">
        <f>KPIs!$K$3</f>
        <v>46447</v>
      </c>
      <c r="B150" s="199" t="str">
        <f>KPIs!K$4</f>
        <v>Compresora</v>
      </c>
      <c r="C150" s="31" t="s">
        <v>49</v>
      </c>
      <c r="D150" s="199" t="str">
        <f>KPIs!$A$7</f>
        <v>2 · Frecuencia de casos registrables</v>
      </c>
      <c r="E150" s="31" t="s">
        <v>599</v>
      </c>
      <c r="F150" s="247" t="str">
        <f>IF(ISNUMBER(KPIs!K7),KPIs!K7,"")</f>
        <v/>
      </c>
      <c r="G150" s="247">
        <f>IF(ISNUMBER(KPIs!$C$7),KPIs!$C$7,"")</f>
        <v>2.35</v>
      </c>
      <c r="H150" s="199" t="str">
        <f>IFERROR(INDEX(_TARGETS!$E$2:$E$17,MATCH($C150,_TARGETS!$A$2:$A$17,0))&amp;"","")</f>
        <v>≤</v>
      </c>
      <c r="I150" s="199" t="str">
        <f t="shared" si="10"/>
        <v/>
      </c>
      <c r="J150" s="193" t="str">
        <f t="shared" si="11"/>
        <v>Monthly</v>
      </c>
      <c r="K150" s="193">
        <f>Datos!K33+Datos!K34+Datos!K35+Datos!K36</f>
        <v>0</v>
      </c>
      <c r="L150" s="248">
        <f>Datos!K14</f>
        <v>0</v>
      </c>
      <c r="M150" s="193">
        <f>INDEX(_TARGETS!$J$2:$J$17,MATCH($C150,_TARGETS!$A$2:$A$17,0))</f>
        <v>1000000</v>
      </c>
      <c r="N150" s="193" t="str">
        <f>INDEX(_TARGETS!$D$2:$D$17,MATCH($C150,_TARGETS!$A$2:$A$17,0))</f>
        <v>casos / 10^6 HH</v>
      </c>
      <c r="O150" s="193" t="str">
        <f>IF(NOT(ISNUMBER(F150)),"MISSING",IF((COUNTBLANK(Datos!K12)+COUNTBLANK(Datos!K13)+COUNTBLANK(Datos!K33)+COUNTBLANK(Datos!K34)+COUNTBLANK(Datos!K35)+COUNTBLANK(Datos!K36))&gt;0,"INCOMPLETE","OK"))</f>
        <v>MISSING</v>
      </c>
      <c r="P150" s="193" t="str">
        <f>INDEX(_TARGETS!$K$2:$K$17,MATCH($C150,_TARGETS!$A$2:$A$17,0))</f>
        <v>OPS (carga manual en Datos)</v>
      </c>
      <c r="Q150" s="193" t="str">
        <f t="shared" si="12"/>
        <v>202703|TRICF|Monthly</v>
      </c>
      <c r="R150" s="193" t="str">
        <f>INDEX(_TARGETS!$H$2:$H$17,MATCH($C150,_TARGETS!$A$2:$A$17,0))</f>
        <v>Definida</v>
      </c>
      <c r="S150" s="193" t="str">
        <f t="shared" si="13"/>
        <v/>
      </c>
      <c r="T150" s="193" t="str">
        <f t="shared" si="14"/>
        <v/>
      </c>
    </row>
    <row r="151" spans="1:20" ht="13.5" customHeight="1" x14ac:dyDescent="0.3">
      <c r="A151" s="245">
        <f>KPIs!$K$3</f>
        <v>46447</v>
      </c>
      <c r="B151" s="199" t="str">
        <f>KPIs!K$4</f>
        <v>Compresora</v>
      </c>
      <c r="C151" s="31" t="s">
        <v>51</v>
      </c>
      <c r="D151" s="199" t="str">
        <f>KPIs!$A$8</f>
        <v>3 · Casos de primeros auxilios</v>
      </c>
      <c r="E151" s="31" t="s">
        <v>599</v>
      </c>
      <c r="F151" s="247" t="str">
        <f>IF(ISNUMBER(KPIs!K8),KPIs!K8,"")</f>
        <v/>
      </c>
      <c r="G151" s="247" t="str">
        <f>IF(ISNUMBER(KPIs!$C$8),KPIs!$C$8,"")</f>
        <v/>
      </c>
      <c r="H151" s="199" t="str">
        <f>IFERROR(INDEX(_TARGETS!$E$2:$E$17,MATCH($C151,_TARGETS!$A$2:$A$17,0))&amp;"","")</f>
        <v/>
      </c>
      <c r="I151" s="199" t="str">
        <f t="shared" si="10"/>
        <v/>
      </c>
      <c r="J151" s="193" t="str">
        <f t="shared" si="11"/>
        <v>Monthly</v>
      </c>
      <c r="K151" s="248">
        <f>Datos!K37</f>
        <v>0</v>
      </c>
      <c r="M151" s="193">
        <f>INDEX(_TARGETS!$J$2:$J$17,MATCH($C151,_TARGETS!$A$2:$A$17,0))</f>
        <v>1</v>
      </c>
      <c r="N151" s="193" t="str">
        <f>INDEX(_TARGETS!$D$2:$D$17,MATCH($C151,_TARGETS!$A$2:$A$17,0))</f>
        <v>casos</v>
      </c>
      <c r="O151" s="193" t="str">
        <f>IF(NOT(ISNUMBER(F151)),"MISSING",IF((COUNTBLANK(Datos!K12)+COUNTBLANK(Datos!K13)+COUNTBLANK(Datos!K37))&gt;0,"INCOMPLETE","OK"))</f>
        <v>MISSING</v>
      </c>
      <c r="P151" s="193" t="str">
        <f>INDEX(_TARGETS!$K$2:$K$17,MATCH($C151,_TARGETS!$A$2:$A$17,0))</f>
        <v>OPS (carga manual en Datos)</v>
      </c>
      <c r="Q151" s="193" t="str">
        <f t="shared" si="12"/>
        <v>202703|FAC|Monthly</v>
      </c>
      <c r="R151" s="193" t="str">
        <f>INDEX(_TARGETS!$H$2:$H$17,MATCH($C151,_TARGETS!$A$2:$A$17,0))</f>
        <v>Solo reporte</v>
      </c>
      <c r="S151" s="193" t="str">
        <f t="shared" si="13"/>
        <v/>
      </c>
      <c r="T151" s="193" t="str">
        <f t="shared" si="14"/>
        <v/>
      </c>
    </row>
    <row r="152" spans="1:20" ht="13.5" customHeight="1" x14ac:dyDescent="0.3">
      <c r="A152" s="245">
        <f>KPIs!$K$3</f>
        <v>46447</v>
      </c>
      <c r="B152" s="199" t="str">
        <f>KPIs!K$4</f>
        <v>Compresora</v>
      </c>
      <c r="C152" s="31" t="s">
        <v>57</v>
      </c>
      <c r="D152" s="199" t="str">
        <f>KPIs!$A$10</f>
        <v>4 · Accidentes vehiculares severos por millón de km</v>
      </c>
      <c r="E152" s="31" t="s">
        <v>599</v>
      </c>
      <c r="F152" s="247" t="str">
        <f>IF(ISNUMBER(KPIs!K10),KPIs!K10,"")</f>
        <v/>
      </c>
      <c r="G152" s="247" t="str">
        <f>IF(ISNUMBER(KPIs!$C$10),KPIs!$C$10,"")</f>
        <v/>
      </c>
      <c r="H152" s="199" t="str">
        <f>IFERROR(INDEX(_TARGETS!$E$2:$E$17,MATCH($C152,_TARGETS!$A$2:$A$17,0))&amp;"","")</f>
        <v/>
      </c>
      <c r="I152" s="199" t="str">
        <f t="shared" si="10"/>
        <v/>
      </c>
      <c r="J152" s="193" t="str">
        <f t="shared" si="11"/>
        <v>Monthly</v>
      </c>
      <c r="K152" s="193">
        <f>Datos!K39+Datos!K40+Datos!K41</f>
        <v>0</v>
      </c>
      <c r="L152" s="248">
        <f>Datos!K47</f>
        <v>0</v>
      </c>
      <c r="M152" s="193">
        <f>INDEX(_TARGETS!$J$2:$J$17,MATCH($C152,_TARGETS!$A$2:$A$17,0))</f>
        <v>1000000</v>
      </c>
      <c r="N152" s="193" t="str">
        <f>INDEX(_TARGETS!$D$2:$D$17,MATCH($C152,_TARGETS!$A$2:$A$17,0))</f>
        <v>eventos / 10^6 km</v>
      </c>
      <c r="O152" s="193" t="str">
        <f>IF(NOT(ISNUMBER(F152)),"MISSING",IF((COUNTBLANK(Datos!K44)+COUNTBLANK(Datos!K45)+COUNTBLANK(Datos!K46)+COUNTBLANK(Datos!K39)+COUNTBLANK(Datos!K40)+COUNTBLANK(Datos!K41))&gt;0,"INCOMPLETE","OK"))</f>
        <v>MISSING</v>
      </c>
      <c r="P152" s="193" t="str">
        <f>INDEX(_TARGETS!$K$2:$K$17,MATCH($C152,_TARGETS!$A$2:$A$17,0))</f>
        <v>OPS (eventos) + Full Control GPS (km) - carga manual en Datos</v>
      </c>
      <c r="Q152" s="193" t="str">
        <f t="shared" si="12"/>
        <v>202703|SVCR|Monthly</v>
      </c>
      <c r="R152" s="193" t="str">
        <f>INDEX(_TARGETS!$H$2:$H$17,MATCH($C152,_TARGETS!$A$2:$A$17,0))</f>
        <v>Solo reporte</v>
      </c>
      <c r="S152" s="193" t="str">
        <f t="shared" si="13"/>
        <v/>
      </c>
      <c r="T152" s="193" t="str">
        <f t="shared" si="14"/>
        <v/>
      </c>
    </row>
    <row r="153" spans="1:20" ht="13.5" customHeight="1" x14ac:dyDescent="0.3">
      <c r="A153" s="245">
        <f>KPIs!$K$3</f>
        <v>46447</v>
      </c>
      <c r="B153" s="199" t="str">
        <f>KPIs!K$4</f>
        <v>Compresora</v>
      </c>
      <c r="C153" s="31" t="s">
        <v>61</v>
      </c>
      <c r="D153" s="199" t="str">
        <f>KPIs!$A$11</f>
        <v>5 · Accidentes vehiculares totales por millón de km</v>
      </c>
      <c r="E153" s="31" t="s">
        <v>599</v>
      </c>
      <c r="F153" s="247" t="str">
        <f>IF(ISNUMBER(KPIs!K11),KPIs!K11,"")</f>
        <v/>
      </c>
      <c r="G153" s="247">
        <f>IF(ISNUMBER(KPIs!$C$11),KPIs!$C$11,"")</f>
        <v>0.79</v>
      </c>
      <c r="H153" s="199" t="str">
        <f>IFERROR(INDEX(_TARGETS!$E$2:$E$17,MATCH($C153,_TARGETS!$A$2:$A$17,0))&amp;"","")</f>
        <v>≤</v>
      </c>
      <c r="I153" s="199" t="str">
        <f t="shared" si="10"/>
        <v/>
      </c>
      <c r="J153" s="193" t="str">
        <f t="shared" si="11"/>
        <v>Monthly</v>
      </c>
      <c r="K153" s="193">
        <f>Datos!K39+Datos!K40+Datos!K41+Datos!K42</f>
        <v>0</v>
      </c>
      <c r="L153" s="248">
        <f>Datos!K47</f>
        <v>0</v>
      </c>
      <c r="M153" s="193">
        <f>INDEX(_TARGETS!$J$2:$J$17,MATCH($C153,_TARGETS!$A$2:$A$17,0))</f>
        <v>1000000</v>
      </c>
      <c r="N153" s="193" t="str">
        <f>INDEX(_TARGETS!$D$2:$D$17,MATCH($C153,_TARGETS!$A$2:$A$17,0))</f>
        <v>eventos / 10^6 km</v>
      </c>
      <c r="O153" s="193" t="str">
        <f>IF(NOT(ISNUMBER(F153)),"MISSING",IF((COUNTBLANK(Datos!K44)+COUNTBLANK(Datos!K45)+COUNTBLANK(Datos!K46)+COUNTBLANK(Datos!K39)+COUNTBLANK(Datos!K40)+COUNTBLANK(Datos!K41)+COUNTBLANK(Datos!K42))&gt;0,"INCOMPLETE","OK"))</f>
        <v>MISSING</v>
      </c>
      <c r="P153" s="193" t="str">
        <f>INDEX(_TARGETS!$K$2:$K$17,MATCH($C153,_TARGETS!$A$2:$A$17,0))</f>
        <v>OPS (eventos) + Full Control GPS (km) - carga manual en Datos</v>
      </c>
      <c r="Q153" s="193" t="str">
        <f t="shared" si="12"/>
        <v>202703|TVCR|Monthly</v>
      </c>
      <c r="R153" s="193" t="str">
        <f>INDEX(_TARGETS!$H$2:$H$17,MATCH($C153,_TARGETS!$A$2:$A$17,0))</f>
        <v>Definida</v>
      </c>
      <c r="S153" s="193" t="str">
        <f t="shared" si="13"/>
        <v/>
      </c>
      <c r="T153" s="193" t="str">
        <f t="shared" si="14"/>
        <v/>
      </c>
    </row>
    <row r="154" spans="1:20" ht="13.5" customHeight="1" x14ac:dyDescent="0.3">
      <c r="A154" s="245">
        <f>KPIs!$K$3</f>
        <v>46447</v>
      </c>
      <c r="B154" s="199" t="str">
        <f>KPIs!K$4</f>
        <v>Compresora</v>
      </c>
      <c r="C154" s="31" t="s">
        <v>63</v>
      </c>
      <c r="D154" s="199" t="str">
        <f>KPIs!$A$13</f>
        <v>6 · Observaciones de seguridad por persona</v>
      </c>
      <c r="E154" s="31" t="s">
        <v>599</v>
      </c>
      <c r="F154" s="247" t="str">
        <f>IF(ISNUMBER(KPIs!K13),KPIs!K13,"")</f>
        <v/>
      </c>
      <c r="G154" s="247">
        <f>IF(ISNUMBER(KPIs!$C$13),KPIs!$C$13,"")</f>
        <v>1</v>
      </c>
      <c r="H154" s="199" t="str">
        <f>IFERROR(INDEX(_TARGETS!$E$2:$E$17,MATCH($C154,_TARGETS!$A$2:$A$17,0))&amp;"","")</f>
        <v>≥</v>
      </c>
      <c r="I154" s="199" t="str">
        <f t="shared" si="10"/>
        <v/>
      </c>
      <c r="J154" s="193" t="str">
        <f t="shared" si="11"/>
        <v>Monthly</v>
      </c>
      <c r="K154" s="248" t="str">
        <f>IF(COUNT(Datos!K28:K29)=0,"",SUM(Datos!K28:K29))</f>
        <v/>
      </c>
      <c r="L154" s="248">
        <f>Datos!K11</f>
        <v>0</v>
      </c>
      <c r="M154" s="193">
        <f>INDEX(_TARGETS!$J$2:$J$17,MATCH($C154,_TARGETS!$A$2:$A$17,0))</f>
        <v>1</v>
      </c>
      <c r="N154" s="193" t="str">
        <f>INDEX(_TARGETS!$D$2:$D$17,MATCH($C154,_TARGETS!$A$2:$A$17,0))</f>
        <v>obs / persona</v>
      </c>
      <c r="O154" s="193" t="str">
        <f>IF(NOT(ISNUMBER(F154)),"MISSING",IF((COUNTBLANK(Datos!K9)+COUNTBLANK(Datos!K10)+IF(COUNT(Datos!K28:K29)=0,1,0))&gt;0,"INCOMPLETE","OK"))</f>
        <v>MISSING</v>
      </c>
      <c r="P154" s="193" t="str">
        <f>INDEX(_TARGETS!$K$2:$K$17,MATCH($C154,_TARGETS!$A$2:$A$17,0))</f>
        <v>OPS (carga manual en Datos)</v>
      </c>
      <c r="Q154" s="193" t="str">
        <f t="shared" si="12"/>
        <v>202703|OBS|Monthly</v>
      </c>
      <c r="R154" s="193" t="str">
        <f>INDEX(_TARGETS!$H$2:$H$17,MATCH($C154,_TARGETS!$A$2:$A$17,0))</f>
        <v>PROVISORIA · referencia del subcontratista (OPS: 1 obs/persona); meta y población en definición</v>
      </c>
      <c r="S154" s="193" t="str">
        <f t="shared" si="13"/>
        <v/>
      </c>
      <c r="T154" s="193" t="str">
        <f t="shared" si="14"/>
        <v/>
      </c>
    </row>
    <row r="155" spans="1:20" ht="13.5" customHeight="1" x14ac:dyDescent="0.3">
      <c r="A155" s="245">
        <f>KPIs!$K$3</f>
        <v>46447</v>
      </c>
      <c r="B155" s="199" t="str">
        <f>KPIs!K$4</f>
        <v>Compresora</v>
      </c>
      <c r="C155" s="31" t="s">
        <v>71</v>
      </c>
      <c r="D155" s="199" t="str">
        <f>KPIs!$A$14</f>
        <v>7 · Investigaciones de accidentes: días promedio de cierre</v>
      </c>
      <c r="E155" s="31" t="s">
        <v>599</v>
      </c>
      <c r="F155" s="247" t="str">
        <f>IF(ISNUMBER(KPIs!K14),KPIs!K14,"")</f>
        <v/>
      </c>
      <c r="G155" s="247">
        <f>IF(ISNUMBER(KPIs!$C$14),KPIs!$C$14,"")</f>
        <v>20</v>
      </c>
      <c r="H155" s="199" t="str">
        <f>IFERROR(INDEX(_TARGETS!$E$2:$E$17,MATCH($C155,_TARGETS!$A$2:$A$17,0))&amp;"","")</f>
        <v>≤</v>
      </c>
      <c r="I155" s="199" t="str">
        <f t="shared" si="10"/>
        <v/>
      </c>
      <c r="J155" s="193" t="str">
        <f t="shared" si="11"/>
        <v>Monthly</v>
      </c>
      <c r="K155" s="248">
        <f>Datos!K31</f>
        <v>0</v>
      </c>
      <c r="L155" s="248">
        <f>Datos!K30</f>
        <v>0</v>
      </c>
      <c r="M155" s="193">
        <f>INDEX(_TARGETS!$J$2:$J$17,MATCH($C155,_TARGETS!$A$2:$A$17,0))</f>
        <v>1</v>
      </c>
      <c r="N155" s="193" t="str">
        <f>INDEX(_TARGETS!$D$2:$D$17,MATCH($C155,_TARGETS!$A$2:$A$17,0))</f>
        <v>días</v>
      </c>
      <c r="O155" s="193" t="str">
        <f>IF(NOT(ISNUMBER(F155)),"MISSING",IF((COUNTBLANK(Datos!K30)+COUNTBLANK(Datos!K31))&gt;0,"INCOMPLETE","OK"))</f>
        <v>MISSING</v>
      </c>
      <c r="P155" s="193" t="str">
        <f>INDEX(_TARGETS!$K$2:$K$17,MATCH($C155,_TARGETS!$A$2:$A$17,0))</f>
        <v>OPS (carga manual en Datos)</v>
      </c>
      <c r="Q155" s="193" t="str">
        <f t="shared" si="12"/>
        <v>202703|INV|Monthly</v>
      </c>
      <c r="R155" s="193" t="str">
        <f>INDEX(_TARGETS!$H$2:$H$17,MATCH($C155,_TARGETS!$A$2:$A$17,0))</f>
        <v>Definida</v>
      </c>
      <c r="S155" s="193" t="str">
        <f t="shared" si="13"/>
        <v/>
      </c>
      <c r="T155" s="193" t="str">
        <f t="shared" si="14"/>
        <v/>
      </c>
    </row>
    <row r="156" spans="1:20" ht="13.5" customHeight="1" x14ac:dyDescent="0.3">
      <c r="A156" s="245">
        <f>KPIs!$K$3</f>
        <v>46447</v>
      </c>
      <c r="B156" s="199" t="str">
        <f>KPIs!K$4</f>
        <v>Compresora</v>
      </c>
      <c r="C156" s="31" t="s">
        <v>76</v>
      </c>
      <c r="D156" s="199" t="str">
        <f>KPIs!$A$16</f>
        <v>8 · % de capacitación en seguridad</v>
      </c>
      <c r="E156" s="31" t="s">
        <v>599</v>
      </c>
      <c r="F156" s="247" t="str">
        <f>IF(ISNUMBER(KPIs!K16),KPIs!K16,"")</f>
        <v/>
      </c>
      <c r="G156" s="247">
        <f>IF(ISNUMBER(KPIs!$C$16),KPIs!$C$16,"")</f>
        <v>0.01</v>
      </c>
      <c r="H156" s="199" t="str">
        <f>IFERROR(INDEX(_TARGETS!$E$2:$E$17,MATCH($C156,_TARGETS!$A$2:$A$17,0))&amp;"","")</f>
        <v>≥</v>
      </c>
      <c r="I156" s="199" t="str">
        <f t="shared" si="10"/>
        <v/>
      </c>
      <c r="J156" s="193" t="str">
        <f t="shared" si="11"/>
        <v>Monthly</v>
      </c>
      <c r="K156" s="248">
        <f>Datos!K18</f>
        <v>0</v>
      </c>
      <c r="L156" s="248">
        <f>Datos!K14</f>
        <v>0</v>
      </c>
      <c r="M156" s="193">
        <f>INDEX(_TARGETS!$J$2:$J$17,MATCH($C156,_TARGETS!$A$2:$A$17,0))</f>
        <v>1</v>
      </c>
      <c r="N156" s="193" t="str">
        <f>INDEX(_TARGETS!$D$2:$D$17,MATCH($C156,_TARGETS!$A$2:$A$17,0))</f>
        <v>% (fracción)</v>
      </c>
      <c r="O156" s="193" t="str">
        <f>IF(NOT(ISNUMBER(F156)),"MISSING",IF((COUNTBLANK(Datos!K16)+COUNTBLANK(Datos!K17)+COUNTBLANK(Datos!K12)+COUNTBLANK(Datos!K13))&gt;0,"INCOMPLETE","OK"))</f>
        <v>MISSING</v>
      </c>
      <c r="P156" s="193" t="str">
        <f>INDEX(_TARGETS!$K$2:$K$17,MATCH($C156,_TARGETS!$A$2:$A$17,0))</f>
        <v>OPS (carga manual en Datos)</v>
      </c>
      <c r="Q156" s="193" t="str">
        <f t="shared" si="12"/>
        <v>202703|HCS|Monthly</v>
      </c>
      <c r="R156" s="193" t="str">
        <f>INDEX(_TARGETS!$H$2:$H$17,MATCH($C156,_TARGETS!$A$2:$A$17,0))</f>
        <v>Definida</v>
      </c>
      <c r="S156" s="193" t="str">
        <f t="shared" si="13"/>
        <v/>
      </c>
      <c r="T156" s="193" t="str">
        <f t="shared" si="14"/>
        <v/>
      </c>
    </row>
    <row r="157" spans="1:20" ht="13.5" customHeight="1" x14ac:dyDescent="0.3">
      <c r="A157" s="245">
        <f>KPIs!$K$3</f>
        <v>46447</v>
      </c>
      <c r="B157" s="199" t="str">
        <f>KPIs!K$4</f>
        <v>Compresora</v>
      </c>
      <c r="C157" s="31" t="s">
        <v>80</v>
      </c>
      <c r="D157" s="199" t="str">
        <f>KPIs!$A$17</f>
        <v>9 · Horas de capacitación por persona</v>
      </c>
      <c r="E157" s="31" t="s">
        <v>599</v>
      </c>
      <c r="F157" s="247" t="str">
        <f>IF(ISNUMBER(KPIs!K17),KPIs!K17,"")</f>
        <v/>
      </c>
      <c r="G157" s="247" t="str">
        <f>IF(ISNUMBER(KPIs!$C$17),KPIs!$C$17,"")</f>
        <v/>
      </c>
      <c r="H157" s="199" t="str">
        <f>IFERROR(INDEX(_TARGETS!$E$2:$E$17,MATCH($C157,_TARGETS!$A$2:$A$17,0))&amp;"","")</f>
        <v/>
      </c>
      <c r="I157" s="199" t="str">
        <f t="shared" si="10"/>
        <v/>
      </c>
      <c r="J157" s="193" t="str">
        <f t="shared" si="11"/>
        <v>Monthly</v>
      </c>
      <c r="K157" s="248">
        <f>Datos!K18</f>
        <v>0</v>
      </c>
      <c r="L157" s="248">
        <f>Datos!K11</f>
        <v>0</v>
      </c>
      <c r="M157" s="193">
        <f>INDEX(_TARGETS!$J$2:$J$17,MATCH($C157,_TARGETS!$A$2:$A$17,0))</f>
        <v>1</v>
      </c>
      <c r="N157" s="193" t="str">
        <f>INDEX(_TARGETS!$D$2:$D$17,MATCH($C157,_TARGETS!$A$2:$A$17,0))</f>
        <v>h / persona</v>
      </c>
      <c r="O157" s="193" t="str">
        <f>IF(NOT(ISNUMBER(F157)),"MISSING",IF((COUNTBLANK(Datos!K16)+COUNTBLANK(Datos!K17)+COUNTBLANK(Datos!K9)+COUNTBLANK(Datos!K10))&gt;0,"INCOMPLETE","OK"))</f>
        <v>MISSING</v>
      </c>
      <c r="P157" s="193" t="str">
        <f>INDEX(_TARGETS!$K$2:$K$17,MATCH($C157,_TARGETS!$A$2:$A$17,0))</f>
        <v>OPS (carga manual en Datos)</v>
      </c>
      <c r="Q157" s="193" t="str">
        <f t="shared" si="12"/>
        <v>202703|HCSA|Monthly</v>
      </c>
      <c r="R157" s="193" t="str">
        <f>INDEX(_TARGETS!$H$2:$H$17,MATCH($C157,_TARGETS!$A$2:$A$17,0))</f>
        <v>Solo reporte</v>
      </c>
      <c r="S157" s="193" t="str">
        <f t="shared" si="13"/>
        <v/>
      </c>
      <c r="T157" s="193" t="str">
        <f t="shared" si="14"/>
        <v/>
      </c>
    </row>
    <row r="158" spans="1:20" ht="13.5" customHeight="1" x14ac:dyDescent="0.3">
      <c r="A158" s="245">
        <f>KPIs!$K$3</f>
        <v>46447</v>
      </c>
      <c r="B158" s="199" t="str">
        <f>KPIs!K$4</f>
        <v>Compresora</v>
      </c>
      <c r="C158" s="31" t="s">
        <v>83</v>
      </c>
      <c r="D158" s="199" t="str">
        <f>KPIs!$A$18</f>
        <v>10 · Cumplimiento de simulacros (emergencia y operativos)</v>
      </c>
      <c r="E158" s="31" t="s">
        <v>599</v>
      </c>
      <c r="F158" s="247" t="str">
        <f>IF(ISNUMBER(KPIs!K18),KPIs!K18,"")</f>
        <v/>
      </c>
      <c r="G158" s="247">
        <f>IF(ISNUMBER(KPIs!$C$18),KPIs!$C$18,"")</f>
        <v>1</v>
      </c>
      <c r="H158" s="199" t="str">
        <f>IFERROR(INDEX(_TARGETS!$E$2:$E$17,MATCH($C158,_TARGETS!$A$2:$A$17,0))&amp;"","")</f>
        <v>≥</v>
      </c>
      <c r="I158" s="199" t="str">
        <f t="shared" si="10"/>
        <v/>
      </c>
      <c r="J158" s="193" t="str">
        <f t="shared" si="11"/>
        <v>Monthly</v>
      </c>
      <c r="K158" s="248">
        <f>Datos!K20</f>
        <v>0</v>
      </c>
      <c r="L158" s="248">
        <f>Datos!K21</f>
        <v>0</v>
      </c>
      <c r="M158" s="193">
        <f>INDEX(_TARGETS!$J$2:$J$17,MATCH($C158,_TARGETS!$A$2:$A$17,0))</f>
        <v>1</v>
      </c>
      <c r="N158" s="193" t="str">
        <f>INDEX(_TARGETS!$D$2:$D$17,MATCH($C158,_TARGETS!$A$2:$A$17,0))</f>
        <v>% (fracción)</v>
      </c>
      <c r="O158" s="193" t="str">
        <f>IF(NOT(ISNUMBER(F158)),"MISSING",IF((COUNTBLANK(Datos!K20)+COUNTBLANK(Datos!K21))&gt;0,"INCOMPLETE","OK"))</f>
        <v>MISSING</v>
      </c>
      <c r="P158" s="193" t="str">
        <f>INDEX(_TARGETS!$K$2:$K$17,MATCH($C158,_TARGETS!$A$2:$A$17,0))</f>
        <v>OPS (carga manual en Datos)</v>
      </c>
      <c r="Q158" s="193" t="str">
        <f t="shared" si="12"/>
        <v>202703|CPSE|Monthly</v>
      </c>
      <c r="R158" s="193" t="str">
        <f>INDEX(_TARGETS!$H$2:$H$17,MATCH($C158,_TARGETS!$A$2:$A$17,0))</f>
        <v>Definida</v>
      </c>
      <c r="S158" s="193" t="str">
        <f t="shared" si="13"/>
        <v/>
      </c>
      <c r="T158" s="193" t="str">
        <f t="shared" si="14"/>
        <v/>
      </c>
    </row>
    <row r="159" spans="1:20" ht="13.5" customHeight="1" x14ac:dyDescent="0.3">
      <c r="A159" s="245">
        <f>KPIs!$K$3</f>
        <v>46447</v>
      </c>
      <c r="B159" s="199" t="str">
        <f>KPIs!K$4</f>
        <v>Compresora</v>
      </c>
      <c r="C159" s="31" t="s">
        <v>85</v>
      </c>
      <c r="D159" s="199" t="str">
        <f>KPIs!$A$19</f>
        <v>10b · Cumplimiento de acciones de mejora de simulacros</v>
      </c>
      <c r="E159" s="31" t="s">
        <v>599</v>
      </c>
      <c r="F159" s="247" t="str">
        <f>IF(ISNUMBER(KPIs!K19),KPIs!K19,"")</f>
        <v/>
      </c>
      <c r="G159" s="247" t="str">
        <f>IF(ISNUMBER(KPIs!$C$19),KPIs!$C$19,"")</f>
        <v/>
      </c>
      <c r="H159" s="199" t="str">
        <f>IFERROR(INDEX(_TARGETS!$E$2:$E$17,MATCH($C159,_TARGETS!$A$2:$A$17,0))&amp;"","")</f>
        <v/>
      </c>
      <c r="I159" s="199" t="str">
        <f t="shared" si="10"/>
        <v/>
      </c>
      <c r="J159" s="193" t="str">
        <f t="shared" si="11"/>
        <v>Monthly</v>
      </c>
      <c r="K159" s="248">
        <f>Datos!K23</f>
        <v>0</v>
      </c>
      <c r="L159" s="248">
        <f>Datos!K22</f>
        <v>0</v>
      </c>
      <c r="M159" s="193">
        <f>INDEX(_TARGETS!$J$2:$J$17,MATCH($C159,_TARGETS!$A$2:$A$17,0))</f>
        <v>1</v>
      </c>
      <c r="N159" s="193" t="str">
        <f>INDEX(_TARGETS!$D$2:$D$17,MATCH($C159,_TARGETS!$A$2:$A$17,0))</f>
        <v>% (fracción)</v>
      </c>
      <c r="O159" s="193" t="str">
        <f>IF(NOT(ISNUMBER(F159)),"MISSING",IF((COUNTBLANK(Datos!K23)+COUNTBLANK(Datos!K22))&gt;0,"INCOMPLETE","OK"))</f>
        <v>MISSING</v>
      </c>
      <c r="P159" s="193" t="str">
        <f>INDEX(_TARGETS!$K$2:$K$17,MATCH($C159,_TARGETS!$A$2:$A$17,0))</f>
        <v>OPS (carga manual en Datos)</v>
      </c>
      <c r="Q159" s="193" t="str">
        <f t="shared" si="12"/>
        <v>202703|CAMS|Monthly</v>
      </c>
      <c r="R159" s="193" t="str">
        <f>INDEX(_TARGETS!$H$2:$H$17,MATCH($C159,_TARGETS!$A$2:$A$17,0))</f>
        <v>Solo reporte</v>
      </c>
      <c r="S159" s="193" t="str">
        <f t="shared" si="13"/>
        <v/>
      </c>
      <c r="T159" s="193" t="str">
        <f t="shared" si="14"/>
        <v/>
      </c>
    </row>
    <row r="160" spans="1:20" ht="13.5" customHeight="1" x14ac:dyDescent="0.3">
      <c r="A160" s="245">
        <f>KPIs!$K$3</f>
        <v>46447</v>
      </c>
      <c r="B160" s="199" t="str">
        <f>KPIs!K$4</f>
        <v>Compresora</v>
      </c>
      <c r="C160" s="31" t="s">
        <v>87</v>
      </c>
      <c r="D160" s="199" t="str">
        <f>KPIs!$A$21</f>
        <v>11 · Cumplimiento de caminatas gerenciales</v>
      </c>
      <c r="E160" s="31" t="s">
        <v>599</v>
      </c>
      <c r="F160" s="247" t="str">
        <f>IF(ISNUMBER(KPIs!K21),KPIs!K21,"")</f>
        <v/>
      </c>
      <c r="G160" s="247">
        <f>IF(ISNUMBER(KPIs!$C$21),KPIs!$C$21,"")</f>
        <v>1</v>
      </c>
      <c r="H160" s="199" t="str">
        <f>IFERROR(INDEX(_TARGETS!$E$2:$E$17,MATCH($C160,_TARGETS!$A$2:$A$17,0))&amp;"","")</f>
        <v>≥</v>
      </c>
      <c r="I160" s="199" t="str">
        <f t="shared" si="10"/>
        <v/>
      </c>
      <c r="J160" s="193" t="str">
        <f t="shared" si="11"/>
        <v>Monthly</v>
      </c>
      <c r="K160" s="248">
        <f>Datos!K24</f>
        <v>0</v>
      </c>
      <c r="L160" s="248">
        <f>Datos!K25</f>
        <v>0</v>
      </c>
      <c r="M160" s="193">
        <f>INDEX(_TARGETS!$J$2:$J$17,MATCH($C160,_TARGETS!$A$2:$A$17,0))</f>
        <v>1</v>
      </c>
      <c r="N160" s="193" t="str">
        <f>INDEX(_TARGETS!$D$2:$D$17,MATCH($C160,_TARGETS!$A$2:$A$17,0))</f>
        <v>% (fracción)</v>
      </c>
      <c r="O160" s="193" t="str">
        <f>IF(NOT(ISNUMBER(F160)),"MISSING",IF((COUNTBLANK(Datos!K24)+COUNTBLANK(Datos!K25))&gt;0,"INCOMPLETE","OK"))</f>
        <v>MISSING</v>
      </c>
      <c r="P160" s="193" t="str">
        <f>INDEX(_TARGETS!$K$2:$K$17,MATCH($C160,_TARGETS!$A$2:$A$17,0))</f>
        <v>OPS (carga manual en Datos)</v>
      </c>
      <c r="Q160" s="193" t="str">
        <f t="shared" si="12"/>
        <v>202703|ICCS|Monthly</v>
      </c>
      <c r="R160" s="193" t="str">
        <f>INDEX(_TARGETS!$H$2:$H$17,MATCH($C160,_TARGETS!$A$2:$A$17,0))</f>
        <v>Definida</v>
      </c>
      <c r="S160" s="193" t="str">
        <f t="shared" si="13"/>
        <v/>
      </c>
      <c r="T160" s="193" t="str">
        <f t="shared" si="14"/>
        <v/>
      </c>
    </row>
    <row r="161" spans="1:20" ht="13.5" customHeight="1" x14ac:dyDescent="0.3">
      <c r="A161" s="245">
        <f>KPIs!$K$3</f>
        <v>46447</v>
      </c>
      <c r="B161" s="199" t="str">
        <f>KPIs!K$4</f>
        <v>Compresora</v>
      </c>
      <c r="C161" s="31" t="s">
        <v>89</v>
      </c>
      <c r="D161" s="199" t="str">
        <f>KPIs!$A$22</f>
        <v>12 · Cumplimiento de comités y subcomités de seguridad</v>
      </c>
      <c r="E161" s="31" t="s">
        <v>599</v>
      </c>
      <c r="F161" s="247" t="str">
        <f>IF(ISNUMBER(KPIs!K22),KPIs!K22,"")</f>
        <v/>
      </c>
      <c r="G161" s="247">
        <f>IF(ISNUMBER(KPIs!$C$22),KPIs!$C$22,"")</f>
        <v>1</v>
      </c>
      <c r="H161" s="199" t="str">
        <f>IFERROR(INDEX(_TARGETS!$E$2:$E$17,MATCH($C161,_TARGETS!$A$2:$A$17,0))&amp;"","")</f>
        <v>≥</v>
      </c>
      <c r="I161" s="199" t="str">
        <f t="shared" si="10"/>
        <v/>
      </c>
      <c r="J161" s="193" t="str">
        <f t="shared" si="11"/>
        <v>Monthly</v>
      </c>
      <c r="K161" s="248">
        <f>Datos!K26</f>
        <v>0</v>
      </c>
      <c r="L161" s="248">
        <f>Datos!K27</f>
        <v>0</v>
      </c>
      <c r="M161" s="193">
        <f>INDEX(_TARGETS!$J$2:$J$17,MATCH($C161,_TARGETS!$A$2:$A$17,0))</f>
        <v>1</v>
      </c>
      <c r="N161" s="193" t="str">
        <f>INDEX(_TARGETS!$D$2:$D$17,MATCH($C161,_TARGETS!$A$2:$A$17,0))</f>
        <v>% (fracción)</v>
      </c>
      <c r="O161" s="193" t="str">
        <f>IF(NOT(ISNUMBER(F161)),"MISSING",IF((COUNTBLANK(Datos!K26)+COUNTBLANK(Datos!K27))&gt;0,"INCOMPLETE","OK"))</f>
        <v>MISSING</v>
      </c>
      <c r="P161" s="193" t="str">
        <f>INDEX(_TARGETS!$K$2:$K$17,MATCH($C161,_TARGETS!$A$2:$A$17,0))</f>
        <v>OPS (carga manual en Datos)</v>
      </c>
      <c r="Q161" s="193" t="str">
        <f t="shared" si="12"/>
        <v>202703|CCS|Monthly</v>
      </c>
      <c r="R161" s="193" t="str">
        <f>INDEX(_TARGETS!$H$2:$H$17,MATCH($C161,_TARGETS!$A$2:$A$17,0))</f>
        <v>Definida</v>
      </c>
      <c r="S161" s="193" t="str">
        <f t="shared" si="13"/>
        <v/>
      </c>
      <c r="T161" s="193" t="str">
        <f t="shared" si="14"/>
        <v/>
      </c>
    </row>
    <row r="162" spans="1:20" ht="13.5" customHeight="1" x14ac:dyDescent="0.3">
      <c r="A162" s="245">
        <f>KPIs!$K$3</f>
        <v>46447</v>
      </c>
      <c r="B162" s="199" t="str">
        <f>KPIs!K$4</f>
        <v>Compresora</v>
      </c>
      <c r="C162" s="31" t="s">
        <v>91</v>
      </c>
      <c r="D162" s="199" t="str">
        <f>KPIs!$A$23</f>
        <v>13 · Días promedio para cerrar hallazgos</v>
      </c>
      <c r="E162" s="31" t="s">
        <v>599</v>
      </c>
      <c r="F162" s="247" t="str">
        <f>IF(ISNUMBER(KPIs!K23),KPIs!K23,"")</f>
        <v/>
      </c>
      <c r="G162" s="247" t="str">
        <f>IF(ISNUMBER(KPIs!$C$23),KPIs!$C$23,"")</f>
        <v/>
      </c>
      <c r="H162" s="199" t="str">
        <f>IFERROR(INDEX(_TARGETS!$E$2:$E$17,MATCH($C162,_TARGETS!$A$2:$A$17,0))&amp;"","")</f>
        <v>≤</v>
      </c>
      <c r="I162" s="199" t="str">
        <f t="shared" si="10"/>
        <v/>
      </c>
      <c r="J162" s="193" t="str">
        <f t="shared" si="11"/>
        <v>Monthly</v>
      </c>
      <c r="K162" s="248">
        <f>Datos!K68</f>
        <v>0</v>
      </c>
      <c r="L162" s="248">
        <f>Datos!K67</f>
        <v>0</v>
      </c>
      <c r="M162" s="193">
        <f>INDEX(_TARGETS!$J$2:$J$17,MATCH($C162,_TARGETS!$A$2:$A$17,0))</f>
        <v>1</v>
      </c>
      <c r="N162" s="193" t="str">
        <f>INDEX(_TARGETS!$D$2:$D$17,MATCH($C162,_TARGETS!$A$2:$A$17,0))</f>
        <v>días</v>
      </c>
      <c r="O162" s="193" t="str">
        <f>IF(NOT(ISNUMBER(F162)),"MISSING","OK")</f>
        <v>MISSING</v>
      </c>
      <c r="P162" s="193" t="str">
        <f>INDEX(_TARGETS!$K$2:$K$17,MATCH($C162,_TARGETS!$A$2:$A$17,0))</f>
        <v>Plant Findings (hoja Observaciones-SMP)</v>
      </c>
      <c r="Q162" s="193" t="str">
        <f t="shared" si="12"/>
        <v>202703|DPAS|Monthly</v>
      </c>
      <c r="R162" s="193" t="str">
        <f>INDEX(_TARGETS!$H$2:$H$17,MATCH($C162,_TARGETS!$A$2:$A$17,0))</f>
        <v>Pendiente (meta 2027)</v>
      </c>
      <c r="S162" s="193" t="str">
        <f t="shared" si="13"/>
        <v/>
      </c>
      <c r="T162" s="193" t="str">
        <f t="shared" si="14"/>
        <v/>
      </c>
    </row>
    <row r="163" spans="1:20" ht="13.5" customHeight="1" x14ac:dyDescent="0.3">
      <c r="A163" s="245">
        <f>KPIs!$K$3</f>
        <v>46447</v>
      </c>
      <c r="B163" s="199" t="str">
        <f>KPIs!K$4</f>
        <v>Compresora</v>
      </c>
      <c r="C163" s="31" t="s">
        <v>39</v>
      </c>
      <c r="D163" s="199" t="str">
        <f>KPIs!$A$26</f>
        <v>1 · Frecuencia de casos con días perdidos · ACUMULADO</v>
      </c>
      <c r="E163" s="31" t="s">
        <v>600</v>
      </c>
      <c r="F163" s="247" t="str">
        <f>IF(ISNUMBER(KPIs!K26),KPIs!K26,"")</f>
        <v/>
      </c>
      <c r="G163" s="247">
        <f>IF(ISNUMBER(KPIs!$C$26),KPIs!$C$26,"")</f>
        <v>0</v>
      </c>
      <c r="H163" s="199" t="str">
        <f>IFERROR(INDEX(_TARGETS!$E$2:$E$17,MATCH($C163,_TARGETS!$A$2:$A$17,0))&amp;"","")</f>
        <v>≤</v>
      </c>
      <c r="I163" s="199" t="str">
        <f t="shared" si="10"/>
        <v/>
      </c>
      <c r="J163" s="193" t="str">
        <f t="shared" si="11"/>
        <v>Cumulative</v>
      </c>
      <c r="K163" s="193">
        <f>SUM(Datos!$D33:K33)</f>
        <v>0</v>
      </c>
      <c r="L163" s="193">
        <f>SUM(Datos!$D14:K14)</f>
        <v>48332</v>
      </c>
      <c r="M163" s="193">
        <f>INDEX(_TARGETS!$J$2:$J$17,MATCH($C163,_TARGETS!$A$2:$A$17,0))</f>
        <v>1000000</v>
      </c>
      <c r="N163" s="193" t="str">
        <f>INDEX(_TARGETS!$D$2:$D$17,MATCH($C163,_TARGETS!$A$2:$A$17,0))</f>
        <v>casos / 10^6 HH</v>
      </c>
      <c r="O163" s="193" t="str">
        <f>IF(NOT(ISNUMBER(F163)),IF(SUMPRODUCT(($C$2:$C$1300=C163)*($J$2:$J$1300="Monthly")*($A$2:$A$1300&lt;=A163)*ISNUMBER($K$2:$K$1300)*ISNUMBER($L$2:$L$1300)*($L$2:$L$1300=0)*($K$2:$K$1300&gt;0))&gt;0,"INCOMPLETE","MISSING"),O149)</f>
        <v>MISSING</v>
      </c>
      <c r="P163" s="193" t="str">
        <f>INDEX(_TARGETS!$K$2:$K$17,MATCH($C163,_TARGETS!$A$2:$A$17,0))</f>
        <v>OPS (carga manual en Datos)</v>
      </c>
      <c r="Q163" s="193" t="str">
        <f t="shared" si="12"/>
        <v>202703|DAFWCF|Cumulative</v>
      </c>
      <c r="R163" s="193" t="str">
        <f>INDEX(_TARGETS!$H$2:$H$17,MATCH($C163,_TARGETS!$A$2:$A$17,0))</f>
        <v>Definida</v>
      </c>
      <c r="S163" s="193">
        <f t="shared" si="13"/>
        <v>0</v>
      </c>
      <c r="T163" s="193" t="str">
        <f t="shared" si="14"/>
        <v/>
      </c>
    </row>
    <row r="164" spans="1:20" ht="13.5" customHeight="1" x14ac:dyDescent="0.3">
      <c r="A164" s="245">
        <f>KPIs!$K$3</f>
        <v>46447</v>
      </c>
      <c r="B164" s="199" t="str">
        <f>KPIs!K$4</f>
        <v>Compresora</v>
      </c>
      <c r="C164" s="31" t="s">
        <v>49</v>
      </c>
      <c r="D164" s="199" t="str">
        <f>KPIs!$A$27</f>
        <v>2 · Frecuencia de casos registrables · ACUMULADO</v>
      </c>
      <c r="E164" s="31" t="s">
        <v>600</v>
      </c>
      <c r="F164" s="247" t="str">
        <f>IF(ISNUMBER(KPIs!K27),KPIs!K27,"")</f>
        <v/>
      </c>
      <c r="G164" s="247">
        <f>IF(ISNUMBER(KPIs!$C$27),KPIs!$C$27,"")</f>
        <v>2.35</v>
      </c>
      <c r="H164" s="199" t="str">
        <f>IFERROR(INDEX(_TARGETS!$E$2:$E$17,MATCH($C164,_TARGETS!$A$2:$A$17,0))&amp;"","")</f>
        <v>≤</v>
      </c>
      <c r="I164" s="199" t="str">
        <f t="shared" si="10"/>
        <v/>
      </c>
      <c r="J164" s="193" t="str">
        <f t="shared" si="11"/>
        <v>Cumulative</v>
      </c>
      <c r="K164" s="193">
        <f>SUM(Datos!$D33:K33)+SUM(Datos!$D34:K34)+SUM(Datos!$D35:K35)+SUM(Datos!$D36:K36)</f>
        <v>0</v>
      </c>
      <c r="L164" s="193">
        <f>SUM(Datos!$D14:K14)</f>
        <v>48332</v>
      </c>
      <c r="M164" s="193">
        <f>INDEX(_TARGETS!$J$2:$J$17,MATCH($C164,_TARGETS!$A$2:$A$17,0))</f>
        <v>1000000</v>
      </c>
      <c r="N164" s="193" t="str">
        <f>INDEX(_TARGETS!$D$2:$D$17,MATCH($C164,_TARGETS!$A$2:$A$17,0))</f>
        <v>casos / 10^6 HH</v>
      </c>
      <c r="O164" s="193" t="str">
        <f>IF(NOT(ISNUMBER(F164)),IF(SUMPRODUCT(($C$2:$C$1300=C164)*($J$2:$J$1300="Monthly")*($A$2:$A$1300&lt;=A164)*ISNUMBER($K$2:$K$1300)*ISNUMBER($L$2:$L$1300)*($L$2:$L$1300=0)*($K$2:$K$1300&gt;0))&gt;0,"INCOMPLETE","MISSING"),O150)</f>
        <v>MISSING</v>
      </c>
      <c r="P164" s="193" t="str">
        <f>INDEX(_TARGETS!$K$2:$K$17,MATCH($C164,_TARGETS!$A$2:$A$17,0))</f>
        <v>OPS (carga manual en Datos)</v>
      </c>
      <c r="Q164" s="193" t="str">
        <f t="shared" si="12"/>
        <v>202703|TRICF|Cumulative</v>
      </c>
      <c r="R164" s="193" t="str">
        <f>INDEX(_TARGETS!$H$2:$H$17,MATCH($C164,_TARGETS!$A$2:$A$17,0))</f>
        <v>Definida</v>
      </c>
      <c r="S164" s="193">
        <f t="shared" si="13"/>
        <v>0</v>
      </c>
      <c r="T164" s="193" t="str">
        <f t="shared" si="14"/>
        <v/>
      </c>
    </row>
    <row r="165" spans="1:20" ht="13.5" customHeight="1" x14ac:dyDescent="0.3">
      <c r="A165" s="245">
        <f>KPIs!$K$3</f>
        <v>46447</v>
      </c>
      <c r="B165" s="199" t="str">
        <f>KPIs!K$4</f>
        <v>Compresora</v>
      </c>
      <c r="C165" s="31" t="s">
        <v>51</v>
      </c>
      <c r="D165" s="199" t="str">
        <f>KPIs!$A$28</f>
        <v>3 · Casos de primeros auxilios · ACUMULADO</v>
      </c>
      <c r="E165" s="31" t="s">
        <v>600</v>
      </c>
      <c r="F165" s="247" t="str">
        <f>IF(ISNUMBER(KPIs!K28),KPIs!K28,"")</f>
        <v/>
      </c>
      <c r="G165" s="247" t="str">
        <f>IF(ISNUMBER(KPIs!$C$28),KPIs!$C$28,"")</f>
        <v/>
      </c>
      <c r="H165" s="199" t="str">
        <f>IFERROR(INDEX(_TARGETS!$E$2:$E$17,MATCH($C165,_TARGETS!$A$2:$A$17,0))&amp;"","")</f>
        <v/>
      </c>
      <c r="I165" s="199" t="str">
        <f t="shared" si="10"/>
        <v/>
      </c>
      <c r="J165" s="193" t="str">
        <f t="shared" si="11"/>
        <v>Cumulative</v>
      </c>
      <c r="K165" s="193">
        <f>SUM(Datos!$D37:K37)</f>
        <v>0</v>
      </c>
      <c r="M165" s="193">
        <f>INDEX(_TARGETS!$J$2:$J$17,MATCH($C165,_TARGETS!$A$2:$A$17,0))</f>
        <v>1</v>
      </c>
      <c r="N165" s="193" t="str">
        <f>INDEX(_TARGETS!$D$2:$D$17,MATCH($C165,_TARGETS!$A$2:$A$17,0))</f>
        <v>casos</v>
      </c>
      <c r="O165" s="193" t="str">
        <f>IF(NOT(ISNUMBER(F165)),IF(SUMPRODUCT(($C$2:$C$1300=C165)*($J$2:$J$1300="Monthly")*($A$2:$A$1300&lt;=A165)*ISNUMBER($K$2:$K$1300)*ISNUMBER($L$2:$L$1300)*($L$2:$L$1300=0)*($K$2:$K$1300&gt;0))&gt;0,"INCOMPLETE","MISSING"),O151)</f>
        <v>MISSING</v>
      </c>
      <c r="P165" s="193" t="str">
        <f>INDEX(_TARGETS!$K$2:$K$17,MATCH($C165,_TARGETS!$A$2:$A$17,0))</f>
        <v>OPS (carga manual en Datos)</v>
      </c>
      <c r="Q165" s="193" t="str">
        <f t="shared" si="12"/>
        <v>202703|FAC|Cumulative</v>
      </c>
      <c r="R165" s="193" t="str">
        <f>INDEX(_TARGETS!$H$2:$H$17,MATCH($C165,_TARGETS!$A$2:$A$17,0))</f>
        <v>Solo reporte</v>
      </c>
      <c r="S165" s="193">
        <f t="shared" si="13"/>
        <v>0</v>
      </c>
      <c r="T165" s="193" t="str">
        <f t="shared" si="14"/>
        <v/>
      </c>
    </row>
    <row r="166" spans="1:20" ht="13.5" customHeight="1" x14ac:dyDescent="0.3">
      <c r="A166" s="245">
        <f>KPIs!$K$3</f>
        <v>46447</v>
      </c>
      <c r="B166" s="199" t="str">
        <f>KPIs!K$4</f>
        <v>Compresora</v>
      </c>
      <c r="C166" s="31" t="s">
        <v>57</v>
      </c>
      <c r="D166" s="199" t="str">
        <f>KPIs!$A$29</f>
        <v>4 · Accidentes vehiculares severos · ACUMULADO</v>
      </c>
      <c r="E166" s="31" t="s">
        <v>600</v>
      </c>
      <c r="F166" s="247" t="str">
        <f>IF(ISNUMBER(KPIs!K29),KPIs!K29,"")</f>
        <v/>
      </c>
      <c r="G166" s="247" t="str">
        <f>IF(ISNUMBER(KPIs!$C$29),KPIs!$C$29,"")</f>
        <v/>
      </c>
      <c r="H166" s="199" t="str">
        <f>IFERROR(INDEX(_TARGETS!$E$2:$E$17,MATCH($C166,_TARGETS!$A$2:$A$17,0))&amp;"","")</f>
        <v/>
      </c>
      <c r="I166" s="199" t="str">
        <f t="shared" si="10"/>
        <v/>
      </c>
      <c r="J166" s="193" t="str">
        <f t="shared" si="11"/>
        <v>Cumulative</v>
      </c>
      <c r="K166" s="193">
        <f>SUM(Datos!$D39:K39)+SUM(Datos!$D40:K40)+SUM(Datos!$D41:K41)</f>
        <v>0</v>
      </c>
      <c r="L166" s="193">
        <f>SUM(Datos!$D47:K47)</f>
        <v>172824</v>
      </c>
      <c r="M166" s="193">
        <f>INDEX(_TARGETS!$J$2:$J$17,MATCH($C166,_TARGETS!$A$2:$A$17,0))</f>
        <v>1000000</v>
      </c>
      <c r="N166" s="193" t="str">
        <f>INDEX(_TARGETS!$D$2:$D$17,MATCH($C166,_TARGETS!$A$2:$A$17,0))</f>
        <v>eventos / 10^6 km</v>
      </c>
      <c r="O166" s="193" t="str">
        <f>IF(NOT(ISNUMBER(F166)),IF(SUMPRODUCT(($C$2:$C$1300=C166)*($J$2:$J$1300="Monthly")*($A$2:$A$1300&lt;=A166)*ISNUMBER($K$2:$K$1300)*ISNUMBER($L$2:$L$1300)*($L$2:$L$1300=0)*($K$2:$K$1300&gt;0))&gt;0,"INCOMPLETE","MISSING"),O152)</f>
        <v>MISSING</v>
      </c>
      <c r="P166" s="193" t="str">
        <f>INDEX(_TARGETS!$K$2:$K$17,MATCH($C166,_TARGETS!$A$2:$A$17,0))</f>
        <v>OPS (eventos) + Full Control GPS (km) - carga manual en Datos</v>
      </c>
      <c r="Q166" s="193" t="str">
        <f t="shared" si="12"/>
        <v>202703|SVCR|Cumulative</v>
      </c>
      <c r="R166" s="193" t="str">
        <f>INDEX(_TARGETS!$H$2:$H$17,MATCH($C166,_TARGETS!$A$2:$A$17,0))</f>
        <v>Solo reporte</v>
      </c>
      <c r="S166" s="193">
        <f t="shared" si="13"/>
        <v>0</v>
      </c>
      <c r="T166" s="193" t="str">
        <f t="shared" si="14"/>
        <v/>
      </c>
    </row>
    <row r="167" spans="1:20" ht="13.5" customHeight="1" x14ac:dyDescent="0.3">
      <c r="A167" s="245">
        <f>KPIs!$K$3</f>
        <v>46447</v>
      </c>
      <c r="B167" s="199" t="str">
        <f>KPIs!K$4</f>
        <v>Compresora</v>
      </c>
      <c r="C167" s="31" t="s">
        <v>61</v>
      </c>
      <c r="D167" s="199" t="str">
        <f>KPIs!$A$30</f>
        <v>5 · Accidentes vehiculares totales · ACUMULADO</v>
      </c>
      <c r="E167" s="31" t="s">
        <v>600</v>
      </c>
      <c r="F167" s="247" t="str">
        <f>IF(ISNUMBER(KPIs!K30),KPIs!K30,"")</f>
        <v/>
      </c>
      <c r="G167" s="247">
        <f>IF(ISNUMBER(KPIs!$C$30),KPIs!$C$30,"")</f>
        <v>0.79</v>
      </c>
      <c r="H167" s="199" t="str">
        <f>IFERROR(INDEX(_TARGETS!$E$2:$E$17,MATCH($C167,_TARGETS!$A$2:$A$17,0))&amp;"","")</f>
        <v>≤</v>
      </c>
      <c r="I167" s="199" t="str">
        <f t="shared" si="10"/>
        <v/>
      </c>
      <c r="J167" s="193" t="str">
        <f t="shared" si="11"/>
        <v>Cumulative</v>
      </c>
      <c r="K167" s="193">
        <f>SUM(Datos!$D39:K39)+SUM(Datos!$D40:K40)+SUM(Datos!$D41:K41)+SUM(Datos!$D42:K42)</f>
        <v>0</v>
      </c>
      <c r="L167" s="193">
        <f>SUM(Datos!$D47:K47)</f>
        <v>172824</v>
      </c>
      <c r="M167" s="193">
        <f>INDEX(_TARGETS!$J$2:$J$17,MATCH($C167,_TARGETS!$A$2:$A$17,0))</f>
        <v>1000000</v>
      </c>
      <c r="N167" s="193" t="str">
        <f>INDEX(_TARGETS!$D$2:$D$17,MATCH($C167,_TARGETS!$A$2:$A$17,0))</f>
        <v>eventos / 10^6 km</v>
      </c>
      <c r="O167" s="193" t="str">
        <f>IF(NOT(ISNUMBER(F167)),IF(SUMPRODUCT(($C$2:$C$1300=C167)*($J$2:$J$1300="Monthly")*($A$2:$A$1300&lt;=A167)*ISNUMBER($K$2:$K$1300)*ISNUMBER($L$2:$L$1300)*($L$2:$L$1300=0)*($K$2:$K$1300&gt;0))&gt;0,"INCOMPLETE","MISSING"),O153)</f>
        <v>MISSING</v>
      </c>
      <c r="P167" s="193" t="str">
        <f>INDEX(_TARGETS!$K$2:$K$17,MATCH($C167,_TARGETS!$A$2:$A$17,0))</f>
        <v>OPS (eventos) + Full Control GPS (km) - carga manual en Datos</v>
      </c>
      <c r="Q167" s="193" t="str">
        <f t="shared" si="12"/>
        <v>202703|TVCR|Cumulative</v>
      </c>
      <c r="R167" s="193" t="str">
        <f>INDEX(_TARGETS!$H$2:$H$17,MATCH($C167,_TARGETS!$A$2:$A$17,0))</f>
        <v>Definida</v>
      </c>
      <c r="S167" s="193">
        <f t="shared" si="13"/>
        <v>0</v>
      </c>
      <c r="T167" s="193" t="str">
        <f t="shared" si="14"/>
        <v/>
      </c>
    </row>
    <row r="168" spans="1:20" ht="13.5" customHeight="1" x14ac:dyDescent="0.3">
      <c r="A168" s="245">
        <f>KPIs!$K$3</f>
        <v>46447</v>
      </c>
      <c r="B168" s="199" t="str">
        <f>KPIs!K$4</f>
        <v>Compresora</v>
      </c>
      <c r="C168" s="31" t="s">
        <v>96</v>
      </c>
      <c r="D168" s="199" t="str">
        <f>KPIs!$A$33</f>
        <v>C1 · % de desvíos detectados de gravedad Alta</v>
      </c>
      <c r="E168" s="31" t="s">
        <v>599</v>
      </c>
      <c r="F168" s="247" t="str">
        <f>IF(ISNUMBER(KPIs!K33),KPIs!K33,"")</f>
        <v/>
      </c>
      <c r="G168" s="247" t="str">
        <f>IF(ISNUMBER(KPIs!$C$33),KPIs!$C$33,"")</f>
        <v/>
      </c>
      <c r="H168" s="199" t="str">
        <f>IFERROR(INDEX(_TARGETS!$E$2:$E$17,MATCH($C168,_TARGETS!$A$2:$A$17,0))&amp;"","")</f>
        <v/>
      </c>
      <c r="I168" s="199" t="str">
        <f t="shared" si="10"/>
        <v/>
      </c>
      <c r="J168" s="193" t="str">
        <f t="shared" si="11"/>
        <v>Monthly</v>
      </c>
      <c r="K168" s="248">
        <f>Datos!K71</f>
        <v>0</v>
      </c>
      <c r="L168" s="193">
        <f>Datos!K71+Datos!K72+Datos!K73</f>
        <v>0</v>
      </c>
      <c r="M168" s="193">
        <f>INDEX(_TARGETS!$J$2:$J$17,MATCH($C168,_TARGETS!$A$2:$A$17,0))</f>
        <v>1</v>
      </c>
      <c r="N168" s="193" t="str">
        <f>INDEX(_TARGETS!$D$2:$D$17,MATCH($C168,_TARGETS!$A$2:$A$17,0))</f>
        <v>% (fracción)</v>
      </c>
      <c r="O168" s="193" t="str">
        <f>IF(NOT(ISNUMBER(F168)),"MISSING","OK")</f>
        <v>MISSING</v>
      </c>
      <c r="P168" s="193" t="str">
        <f>INDEX(_TARGETS!$K$2:$K$17,MATCH($C168,_TARGETS!$A$2:$A$17,0))</f>
        <v>Plant Findings (hoja Observaciones-SMP)</v>
      </c>
      <c r="Q168" s="193" t="str">
        <f t="shared" si="12"/>
        <v>202703|HAL_ALTA_PCT|Monthly</v>
      </c>
      <c r="R168" s="193" t="str">
        <f>INDEX(_TARGETS!$H$2:$H$17,MATCH($C168,_TARGETS!$A$2:$A$17,0))</f>
        <v>Solo reporte</v>
      </c>
      <c r="S168" s="193" t="str">
        <f t="shared" si="13"/>
        <v/>
      </c>
      <c r="T168" s="193" t="str">
        <f t="shared" si="14"/>
        <v/>
      </c>
    </row>
    <row r="169" spans="1:20" ht="13.5" customHeight="1" x14ac:dyDescent="0.3">
      <c r="A169" s="245">
        <f>KPIs!$K$3</f>
        <v>46447</v>
      </c>
      <c r="B169" s="199" t="str">
        <f>KPIs!K$4</f>
        <v>Compresora</v>
      </c>
      <c r="C169" s="31" t="s">
        <v>98</v>
      </c>
      <c r="D169" s="199" t="str">
        <f>KPIs!$A$34</f>
        <v>C2 · Detenciones de tareas aplicadas</v>
      </c>
      <c r="E169" s="31" t="s">
        <v>599</v>
      </c>
      <c r="F169" s="247" t="str">
        <f>IF(ISNUMBER(KPIs!K34),KPIs!K34,"")</f>
        <v/>
      </c>
      <c r="G169" s="247" t="str">
        <f>IF(ISNUMBER(KPIs!$C$34),KPIs!$C$34,"")</f>
        <v/>
      </c>
      <c r="H169" s="199" t="str">
        <f>IFERROR(INDEX(_TARGETS!$E$2:$E$17,MATCH($C169,_TARGETS!$A$2:$A$17,0))&amp;"","")</f>
        <v/>
      </c>
      <c r="I169" s="199" t="str">
        <f t="shared" si="10"/>
        <v/>
      </c>
      <c r="J169" s="193" t="str">
        <f t="shared" si="11"/>
        <v>Monthly</v>
      </c>
      <c r="K169" s="248">
        <f>Datos!K75</f>
        <v>0</v>
      </c>
      <c r="M169" s="193">
        <f>INDEX(_TARGETS!$J$2:$J$17,MATCH($C169,_TARGETS!$A$2:$A$17,0))</f>
        <v>1</v>
      </c>
      <c r="N169" s="193" t="str">
        <f>INDEX(_TARGETS!$D$2:$D$17,MATCH($C169,_TARGETS!$A$2:$A$17,0))</f>
        <v>u</v>
      </c>
      <c r="O169" s="193" t="str">
        <f>IF(NOT(ISNUMBER(F169)),"MISSING","OK")</f>
        <v>MISSING</v>
      </c>
      <c r="P169" s="193" t="str">
        <f>INDEX(_TARGETS!$K$2:$K$17,MATCH($C169,_TARGETS!$A$2:$A$17,0))</f>
        <v>Plant Findings (hoja Observaciones-SMP)</v>
      </c>
      <c r="Q169" s="193" t="str">
        <f t="shared" si="12"/>
        <v>202703|DET|Monthly</v>
      </c>
      <c r="R169" s="193" t="str">
        <f>INDEX(_TARGETS!$H$2:$H$17,MATCH($C169,_TARGETS!$A$2:$A$17,0))</f>
        <v>Solo reporte</v>
      </c>
      <c r="S169" s="193" t="str">
        <f t="shared" si="13"/>
        <v/>
      </c>
      <c r="T169" s="193" t="str">
        <f t="shared" si="14"/>
        <v/>
      </c>
    </row>
    <row r="170" spans="1:20" ht="13.5" customHeight="1" x14ac:dyDescent="0.3">
      <c r="A170" s="245">
        <f>KPIs!$L$3</f>
        <v>46478</v>
      </c>
      <c r="B170" s="199" t="str">
        <f>KPIs!L$4</f>
        <v>Compresora</v>
      </c>
      <c r="C170" s="31" t="s">
        <v>39</v>
      </c>
      <c r="D170" s="199" t="str">
        <f>KPIs!$A$6</f>
        <v>1 · Frecuencia de casos con días perdidos</v>
      </c>
      <c r="E170" s="31" t="s">
        <v>599</v>
      </c>
      <c r="F170" s="247" t="str">
        <f>IF(ISNUMBER(KPIs!L6),KPIs!L6,"")</f>
        <v/>
      </c>
      <c r="G170" s="247">
        <f>IF(ISNUMBER(KPIs!$C$6),KPIs!$C$6,"")</f>
        <v>0</v>
      </c>
      <c r="H170" s="199" t="str">
        <f>IFERROR(INDEX(_TARGETS!$E$2:$E$17,MATCH($C170,_TARGETS!$A$2:$A$17,0))&amp;"","")</f>
        <v>≤</v>
      </c>
      <c r="I170" s="199" t="str">
        <f t="shared" si="10"/>
        <v/>
      </c>
      <c r="J170" s="193" t="str">
        <f t="shared" si="11"/>
        <v>Monthly</v>
      </c>
      <c r="K170" s="248">
        <f>Datos!L33</f>
        <v>0</v>
      </c>
      <c r="L170" s="248">
        <f>Datos!L14</f>
        <v>0</v>
      </c>
      <c r="M170" s="193">
        <f>INDEX(_TARGETS!$J$2:$J$17,MATCH($C170,_TARGETS!$A$2:$A$17,0))</f>
        <v>1000000</v>
      </c>
      <c r="N170" s="193" t="str">
        <f>INDEX(_TARGETS!$D$2:$D$17,MATCH($C170,_TARGETS!$A$2:$A$17,0))</f>
        <v>casos / 10^6 HH</v>
      </c>
      <c r="O170" s="193" t="str">
        <f>IF(NOT(ISNUMBER(F170)),"MISSING",IF((COUNTBLANK(Datos!L12)+COUNTBLANK(Datos!L13)+COUNTBLANK(Datos!L33))&gt;0,"INCOMPLETE","OK"))</f>
        <v>MISSING</v>
      </c>
      <c r="P170" s="193" t="str">
        <f>INDEX(_TARGETS!$K$2:$K$17,MATCH($C170,_TARGETS!$A$2:$A$17,0))</f>
        <v>OPS (carga manual en Datos)</v>
      </c>
      <c r="Q170" s="193" t="str">
        <f t="shared" si="12"/>
        <v>202704|DAFWCF|Monthly</v>
      </c>
      <c r="R170" s="193" t="str">
        <f>INDEX(_TARGETS!$H$2:$H$17,MATCH($C170,_TARGETS!$A$2:$A$17,0))</f>
        <v>Definida</v>
      </c>
      <c r="S170" s="193" t="str">
        <f t="shared" si="13"/>
        <v/>
      </c>
      <c r="T170" s="193" t="str">
        <f t="shared" si="14"/>
        <v/>
      </c>
    </row>
    <row r="171" spans="1:20" ht="13.5" customHeight="1" x14ac:dyDescent="0.3">
      <c r="A171" s="245">
        <f>KPIs!$L$3</f>
        <v>46478</v>
      </c>
      <c r="B171" s="199" t="str">
        <f>KPIs!L$4</f>
        <v>Compresora</v>
      </c>
      <c r="C171" s="31" t="s">
        <v>49</v>
      </c>
      <c r="D171" s="199" t="str">
        <f>KPIs!$A$7</f>
        <v>2 · Frecuencia de casos registrables</v>
      </c>
      <c r="E171" s="31" t="s">
        <v>599</v>
      </c>
      <c r="F171" s="247" t="str">
        <f>IF(ISNUMBER(KPIs!L7),KPIs!L7,"")</f>
        <v/>
      </c>
      <c r="G171" s="247">
        <f>IF(ISNUMBER(KPIs!$C$7),KPIs!$C$7,"")</f>
        <v>2.35</v>
      </c>
      <c r="H171" s="199" t="str">
        <f>IFERROR(INDEX(_TARGETS!$E$2:$E$17,MATCH($C171,_TARGETS!$A$2:$A$17,0))&amp;"","")</f>
        <v>≤</v>
      </c>
      <c r="I171" s="199" t="str">
        <f t="shared" si="10"/>
        <v/>
      </c>
      <c r="J171" s="193" t="str">
        <f t="shared" si="11"/>
        <v>Monthly</v>
      </c>
      <c r="K171" s="193">
        <f>Datos!L33+Datos!L34+Datos!L35+Datos!L36</f>
        <v>0</v>
      </c>
      <c r="L171" s="248">
        <f>Datos!L14</f>
        <v>0</v>
      </c>
      <c r="M171" s="193">
        <f>INDEX(_TARGETS!$J$2:$J$17,MATCH($C171,_TARGETS!$A$2:$A$17,0))</f>
        <v>1000000</v>
      </c>
      <c r="N171" s="193" t="str">
        <f>INDEX(_TARGETS!$D$2:$D$17,MATCH($C171,_TARGETS!$A$2:$A$17,0))</f>
        <v>casos / 10^6 HH</v>
      </c>
      <c r="O171" s="193" t="str">
        <f>IF(NOT(ISNUMBER(F171)),"MISSING",IF((COUNTBLANK(Datos!L12)+COUNTBLANK(Datos!L13)+COUNTBLANK(Datos!L33)+COUNTBLANK(Datos!L34)+COUNTBLANK(Datos!L35)+COUNTBLANK(Datos!L36))&gt;0,"INCOMPLETE","OK"))</f>
        <v>MISSING</v>
      </c>
      <c r="P171" s="193" t="str">
        <f>INDEX(_TARGETS!$K$2:$K$17,MATCH($C171,_TARGETS!$A$2:$A$17,0))</f>
        <v>OPS (carga manual en Datos)</v>
      </c>
      <c r="Q171" s="193" t="str">
        <f t="shared" si="12"/>
        <v>202704|TRICF|Monthly</v>
      </c>
      <c r="R171" s="193" t="str">
        <f>INDEX(_TARGETS!$H$2:$H$17,MATCH($C171,_TARGETS!$A$2:$A$17,0))</f>
        <v>Definida</v>
      </c>
      <c r="S171" s="193" t="str">
        <f t="shared" si="13"/>
        <v/>
      </c>
      <c r="T171" s="193" t="str">
        <f t="shared" si="14"/>
        <v/>
      </c>
    </row>
    <row r="172" spans="1:20" ht="13.5" customHeight="1" x14ac:dyDescent="0.3">
      <c r="A172" s="245">
        <f>KPIs!$L$3</f>
        <v>46478</v>
      </c>
      <c r="B172" s="199" t="str">
        <f>KPIs!L$4</f>
        <v>Compresora</v>
      </c>
      <c r="C172" s="31" t="s">
        <v>51</v>
      </c>
      <c r="D172" s="199" t="str">
        <f>KPIs!$A$8</f>
        <v>3 · Casos de primeros auxilios</v>
      </c>
      <c r="E172" s="31" t="s">
        <v>599</v>
      </c>
      <c r="F172" s="247" t="str">
        <f>IF(ISNUMBER(KPIs!L8),KPIs!L8,"")</f>
        <v/>
      </c>
      <c r="G172" s="247" t="str">
        <f>IF(ISNUMBER(KPIs!$C$8),KPIs!$C$8,"")</f>
        <v/>
      </c>
      <c r="H172" s="199" t="str">
        <f>IFERROR(INDEX(_TARGETS!$E$2:$E$17,MATCH($C172,_TARGETS!$A$2:$A$17,0))&amp;"","")</f>
        <v/>
      </c>
      <c r="I172" s="199" t="str">
        <f t="shared" si="10"/>
        <v/>
      </c>
      <c r="J172" s="193" t="str">
        <f t="shared" si="11"/>
        <v>Monthly</v>
      </c>
      <c r="K172" s="248">
        <f>Datos!L37</f>
        <v>0</v>
      </c>
      <c r="M172" s="193">
        <f>INDEX(_TARGETS!$J$2:$J$17,MATCH($C172,_TARGETS!$A$2:$A$17,0))</f>
        <v>1</v>
      </c>
      <c r="N172" s="193" t="str">
        <f>INDEX(_TARGETS!$D$2:$D$17,MATCH($C172,_TARGETS!$A$2:$A$17,0))</f>
        <v>casos</v>
      </c>
      <c r="O172" s="193" t="str">
        <f>IF(NOT(ISNUMBER(F172)),"MISSING",IF((COUNTBLANK(Datos!L12)+COUNTBLANK(Datos!L13)+COUNTBLANK(Datos!L37))&gt;0,"INCOMPLETE","OK"))</f>
        <v>MISSING</v>
      </c>
      <c r="P172" s="193" t="str">
        <f>INDEX(_TARGETS!$K$2:$K$17,MATCH($C172,_TARGETS!$A$2:$A$17,0))</f>
        <v>OPS (carga manual en Datos)</v>
      </c>
      <c r="Q172" s="193" t="str">
        <f t="shared" si="12"/>
        <v>202704|FAC|Monthly</v>
      </c>
      <c r="R172" s="193" t="str">
        <f>INDEX(_TARGETS!$H$2:$H$17,MATCH($C172,_TARGETS!$A$2:$A$17,0))</f>
        <v>Solo reporte</v>
      </c>
      <c r="S172" s="193" t="str">
        <f t="shared" si="13"/>
        <v/>
      </c>
      <c r="T172" s="193" t="str">
        <f t="shared" si="14"/>
        <v/>
      </c>
    </row>
    <row r="173" spans="1:20" ht="13.5" customHeight="1" x14ac:dyDescent="0.3">
      <c r="A173" s="245">
        <f>KPIs!$L$3</f>
        <v>46478</v>
      </c>
      <c r="B173" s="199" t="str">
        <f>KPIs!L$4</f>
        <v>Compresora</v>
      </c>
      <c r="C173" s="31" t="s">
        <v>57</v>
      </c>
      <c r="D173" s="199" t="str">
        <f>KPIs!$A$10</f>
        <v>4 · Accidentes vehiculares severos por millón de km</v>
      </c>
      <c r="E173" s="31" t="s">
        <v>599</v>
      </c>
      <c r="F173" s="247" t="str">
        <f>IF(ISNUMBER(KPIs!L10),KPIs!L10,"")</f>
        <v/>
      </c>
      <c r="G173" s="247" t="str">
        <f>IF(ISNUMBER(KPIs!$C$10),KPIs!$C$10,"")</f>
        <v/>
      </c>
      <c r="H173" s="199" t="str">
        <f>IFERROR(INDEX(_TARGETS!$E$2:$E$17,MATCH($C173,_TARGETS!$A$2:$A$17,0))&amp;"","")</f>
        <v/>
      </c>
      <c r="I173" s="199" t="str">
        <f t="shared" si="10"/>
        <v/>
      </c>
      <c r="J173" s="193" t="str">
        <f t="shared" si="11"/>
        <v>Monthly</v>
      </c>
      <c r="K173" s="193">
        <f>Datos!L39+Datos!L40+Datos!L41</f>
        <v>0</v>
      </c>
      <c r="L173" s="248">
        <f>Datos!L47</f>
        <v>0</v>
      </c>
      <c r="M173" s="193">
        <f>INDEX(_TARGETS!$J$2:$J$17,MATCH($C173,_TARGETS!$A$2:$A$17,0))</f>
        <v>1000000</v>
      </c>
      <c r="N173" s="193" t="str">
        <f>INDEX(_TARGETS!$D$2:$D$17,MATCH($C173,_TARGETS!$A$2:$A$17,0))</f>
        <v>eventos / 10^6 km</v>
      </c>
      <c r="O173" s="193" t="str">
        <f>IF(NOT(ISNUMBER(F173)),"MISSING",IF((COUNTBLANK(Datos!L44)+COUNTBLANK(Datos!L45)+COUNTBLANK(Datos!L46)+COUNTBLANK(Datos!L39)+COUNTBLANK(Datos!L40)+COUNTBLANK(Datos!L41))&gt;0,"INCOMPLETE","OK"))</f>
        <v>MISSING</v>
      </c>
      <c r="P173" s="193" t="str">
        <f>INDEX(_TARGETS!$K$2:$K$17,MATCH($C173,_TARGETS!$A$2:$A$17,0))</f>
        <v>OPS (eventos) + Full Control GPS (km) - carga manual en Datos</v>
      </c>
      <c r="Q173" s="193" t="str">
        <f t="shared" si="12"/>
        <v>202704|SVCR|Monthly</v>
      </c>
      <c r="R173" s="193" t="str">
        <f>INDEX(_TARGETS!$H$2:$H$17,MATCH($C173,_TARGETS!$A$2:$A$17,0))</f>
        <v>Solo reporte</v>
      </c>
      <c r="S173" s="193" t="str">
        <f t="shared" si="13"/>
        <v/>
      </c>
      <c r="T173" s="193" t="str">
        <f t="shared" si="14"/>
        <v/>
      </c>
    </row>
    <row r="174" spans="1:20" ht="13.5" customHeight="1" x14ac:dyDescent="0.3">
      <c r="A174" s="245">
        <f>KPIs!$L$3</f>
        <v>46478</v>
      </c>
      <c r="B174" s="199" t="str">
        <f>KPIs!L$4</f>
        <v>Compresora</v>
      </c>
      <c r="C174" s="31" t="s">
        <v>61</v>
      </c>
      <c r="D174" s="199" t="str">
        <f>KPIs!$A$11</f>
        <v>5 · Accidentes vehiculares totales por millón de km</v>
      </c>
      <c r="E174" s="31" t="s">
        <v>599</v>
      </c>
      <c r="F174" s="247" t="str">
        <f>IF(ISNUMBER(KPIs!L11),KPIs!L11,"")</f>
        <v/>
      </c>
      <c r="G174" s="247">
        <f>IF(ISNUMBER(KPIs!$C$11),KPIs!$C$11,"")</f>
        <v>0.79</v>
      </c>
      <c r="H174" s="199" t="str">
        <f>IFERROR(INDEX(_TARGETS!$E$2:$E$17,MATCH($C174,_TARGETS!$A$2:$A$17,0))&amp;"","")</f>
        <v>≤</v>
      </c>
      <c r="I174" s="199" t="str">
        <f t="shared" si="10"/>
        <v/>
      </c>
      <c r="J174" s="193" t="str">
        <f t="shared" si="11"/>
        <v>Monthly</v>
      </c>
      <c r="K174" s="193">
        <f>Datos!L39+Datos!L40+Datos!L41+Datos!L42</f>
        <v>0</v>
      </c>
      <c r="L174" s="248">
        <f>Datos!L47</f>
        <v>0</v>
      </c>
      <c r="M174" s="193">
        <f>INDEX(_TARGETS!$J$2:$J$17,MATCH($C174,_TARGETS!$A$2:$A$17,0))</f>
        <v>1000000</v>
      </c>
      <c r="N174" s="193" t="str">
        <f>INDEX(_TARGETS!$D$2:$D$17,MATCH($C174,_TARGETS!$A$2:$A$17,0))</f>
        <v>eventos / 10^6 km</v>
      </c>
      <c r="O174" s="193" t="str">
        <f>IF(NOT(ISNUMBER(F174)),"MISSING",IF((COUNTBLANK(Datos!L44)+COUNTBLANK(Datos!L45)+COUNTBLANK(Datos!L46)+COUNTBLANK(Datos!L39)+COUNTBLANK(Datos!L40)+COUNTBLANK(Datos!L41)+COUNTBLANK(Datos!L42))&gt;0,"INCOMPLETE","OK"))</f>
        <v>MISSING</v>
      </c>
      <c r="P174" s="193" t="str">
        <f>INDEX(_TARGETS!$K$2:$K$17,MATCH($C174,_TARGETS!$A$2:$A$17,0))</f>
        <v>OPS (eventos) + Full Control GPS (km) - carga manual en Datos</v>
      </c>
      <c r="Q174" s="193" t="str">
        <f t="shared" si="12"/>
        <v>202704|TVCR|Monthly</v>
      </c>
      <c r="R174" s="193" t="str">
        <f>INDEX(_TARGETS!$H$2:$H$17,MATCH($C174,_TARGETS!$A$2:$A$17,0))</f>
        <v>Definida</v>
      </c>
      <c r="S174" s="193" t="str">
        <f t="shared" si="13"/>
        <v/>
      </c>
      <c r="T174" s="193" t="str">
        <f t="shared" si="14"/>
        <v/>
      </c>
    </row>
    <row r="175" spans="1:20" ht="13.5" customHeight="1" x14ac:dyDescent="0.3">
      <c r="A175" s="245">
        <f>KPIs!$L$3</f>
        <v>46478</v>
      </c>
      <c r="B175" s="199" t="str">
        <f>KPIs!L$4</f>
        <v>Compresora</v>
      </c>
      <c r="C175" s="31" t="s">
        <v>63</v>
      </c>
      <c r="D175" s="199" t="str">
        <f>KPIs!$A$13</f>
        <v>6 · Observaciones de seguridad por persona</v>
      </c>
      <c r="E175" s="31" t="s">
        <v>599</v>
      </c>
      <c r="F175" s="247" t="str">
        <f>IF(ISNUMBER(KPIs!L13),KPIs!L13,"")</f>
        <v/>
      </c>
      <c r="G175" s="247">
        <f>IF(ISNUMBER(KPIs!$C$13),KPIs!$C$13,"")</f>
        <v>1</v>
      </c>
      <c r="H175" s="199" t="str">
        <f>IFERROR(INDEX(_TARGETS!$E$2:$E$17,MATCH($C175,_TARGETS!$A$2:$A$17,0))&amp;"","")</f>
        <v>≥</v>
      </c>
      <c r="I175" s="199" t="str">
        <f t="shared" si="10"/>
        <v/>
      </c>
      <c r="J175" s="193" t="str">
        <f t="shared" si="11"/>
        <v>Monthly</v>
      </c>
      <c r="K175" s="248" t="str">
        <f>IF(COUNT(Datos!L28:L29)=0,"",SUM(Datos!L28:L29))</f>
        <v/>
      </c>
      <c r="L175" s="248">
        <f>Datos!L11</f>
        <v>0</v>
      </c>
      <c r="M175" s="193">
        <f>INDEX(_TARGETS!$J$2:$J$17,MATCH($C175,_TARGETS!$A$2:$A$17,0))</f>
        <v>1</v>
      </c>
      <c r="N175" s="193" t="str">
        <f>INDEX(_TARGETS!$D$2:$D$17,MATCH($C175,_TARGETS!$A$2:$A$17,0))</f>
        <v>obs / persona</v>
      </c>
      <c r="O175" s="193" t="str">
        <f>IF(NOT(ISNUMBER(F175)),"MISSING",IF((COUNTBLANK(Datos!L9)+COUNTBLANK(Datos!L10)+IF(COUNT(Datos!L28:L29)=0,1,0))&gt;0,"INCOMPLETE","OK"))</f>
        <v>MISSING</v>
      </c>
      <c r="P175" s="193" t="str">
        <f>INDEX(_TARGETS!$K$2:$K$17,MATCH($C175,_TARGETS!$A$2:$A$17,0))</f>
        <v>OPS (carga manual en Datos)</v>
      </c>
      <c r="Q175" s="193" t="str">
        <f t="shared" si="12"/>
        <v>202704|OBS|Monthly</v>
      </c>
      <c r="R175" s="193" t="str">
        <f>INDEX(_TARGETS!$H$2:$H$17,MATCH($C175,_TARGETS!$A$2:$A$17,0))</f>
        <v>PROVISORIA · referencia del subcontratista (OPS: 1 obs/persona); meta y población en definición</v>
      </c>
      <c r="S175" s="193" t="str">
        <f t="shared" si="13"/>
        <v/>
      </c>
      <c r="T175" s="193" t="str">
        <f t="shared" si="14"/>
        <v/>
      </c>
    </row>
    <row r="176" spans="1:20" ht="13.5" customHeight="1" x14ac:dyDescent="0.3">
      <c r="A176" s="245">
        <f>KPIs!$L$3</f>
        <v>46478</v>
      </c>
      <c r="B176" s="199" t="str">
        <f>KPIs!L$4</f>
        <v>Compresora</v>
      </c>
      <c r="C176" s="31" t="s">
        <v>71</v>
      </c>
      <c r="D176" s="199" t="str">
        <f>KPIs!$A$14</f>
        <v>7 · Investigaciones de accidentes: días promedio de cierre</v>
      </c>
      <c r="E176" s="31" t="s">
        <v>599</v>
      </c>
      <c r="F176" s="247" t="str">
        <f>IF(ISNUMBER(KPIs!L14),KPIs!L14,"")</f>
        <v/>
      </c>
      <c r="G176" s="247">
        <f>IF(ISNUMBER(KPIs!$C$14),KPIs!$C$14,"")</f>
        <v>20</v>
      </c>
      <c r="H176" s="199" t="str">
        <f>IFERROR(INDEX(_TARGETS!$E$2:$E$17,MATCH($C176,_TARGETS!$A$2:$A$17,0))&amp;"","")</f>
        <v>≤</v>
      </c>
      <c r="I176" s="199" t="str">
        <f t="shared" si="10"/>
        <v/>
      </c>
      <c r="J176" s="193" t="str">
        <f t="shared" si="11"/>
        <v>Monthly</v>
      </c>
      <c r="K176" s="248">
        <f>Datos!L31</f>
        <v>0</v>
      </c>
      <c r="L176" s="248">
        <f>Datos!L30</f>
        <v>0</v>
      </c>
      <c r="M176" s="193">
        <f>INDEX(_TARGETS!$J$2:$J$17,MATCH($C176,_TARGETS!$A$2:$A$17,0))</f>
        <v>1</v>
      </c>
      <c r="N176" s="193" t="str">
        <f>INDEX(_TARGETS!$D$2:$D$17,MATCH($C176,_TARGETS!$A$2:$A$17,0))</f>
        <v>días</v>
      </c>
      <c r="O176" s="193" t="str">
        <f>IF(NOT(ISNUMBER(F176)),"MISSING",IF((COUNTBLANK(Datos!L30)+COUNTBLANK(Datos!L31))&gt;0,"INCOMPLETE","OK"))</f>
        <v>MISSING</v>
      </c>
      <c r="P176" s="193" t="str">
        <f>INDEX(_TARGETS!$K$2:$K$17,MATCH($C176,_TARGETS!$A$2:$A$17,0))</f>
        <v>OPS (carga manual en Datos)</v>
      </c>
      <c r="Q176" s="193" t="str">
        <f t="shared" si="12"/>
        <v>202704|INV|Monthly</v>
      </c>
      <c r="R176" s="193" t="str">
        <f>INDEX(_TARGETS!$H$2:$H$17,MATCH($C176,_TARGETS!$A$2:$A$17,0))</f>
        <v>Definida</v>
      </c>
      <c r="S176" s="193" t="str">
        <f t="shared" si="13"/>
        <v/>
      </c>
      <c r="T176" s="193" t="str">
        <f t="shared" si="14"/>
        <v/>
      </c>
    </row>
    <row r="177" spans="1:20" ht="13.5" customHeight="1" x14ac:dyDescent="0.3">
      <c r="A177" s="245">
        <f>KPIs!$L$3</f>
        <v>46478</v>
      </c>
      <c r="B177" s="199" t="str">
        <f>KPIs!L$4</f>
        <v>Compresora</v>
      </c>
      <c r="C177" s="31" t="s">
        <v>76</v>
      </c>
      <c r="D177" s="199" t="str">
        <f>KPIs!$A$16</f>
        <v>8 · % de capacitación en seguridad</v>
      </c>
      <c r="E177" s="31" t="s">
        <v>599</v>
      </c>
      <c r="F177" s="247" t="str">
        <f>IF(ISNUMBER(KPIs!L16),KPIs!L16,"")</f>
        <v/>
      </c>
      <c r="G177" s="247">
        <f>IF(ISNUMBER(KPIs!$C$16),KPIs!$C$16,"")</f>
        <v>0.01</v>
      </c>
      <c r="H177" s="199" t="str">
        <f>IFERROR(INDEX(_TARGETS!$E$2:$E$17,MATCH($C177,_TARGETS!$A$2:$A$17,0))&amp;"","")</f>
        <v>≥</v>
      </c>
      <c r="I177" s="199" t="str">
        <f t="shared" si="10"/>
        <v/>
      </c>
      <c r="J177" s="193" t="str">
        <f t="shared" si="11"/>
        <v>Monthly</v>
      </c>
      <c r="K177" s="248">
        <f>Datos!L18</f>
        <v>0</v>
      </c>
      <c r="L177" s="248">
        <f>Datos!L14</f>
        <v>0</v>
      </c>
      <c r="M177" s="193">
        <f>INDEX(_TARGETS!$J$2:$J$17,MATCH($C177,_TARGETS!$A$2:$A$17,0))</f>
        <v>1</v>
      </c>
      <c r="N177" s="193" t="str">
        <f>INDEX(_TARGETS!$D$2:$D$17,MATCH($C177,_TARGETS!$A$2:$A$17,0))</f>
        <v>% (fracción)</v>
      </c>
      <c r="O177" s="193" t="str">
        <f>IF(NOT(ISNUMBER(F177)),"MISSING",IF((COUNTBLANK(Datos!L16)+COUNTBLANK(Datos!L17)+COUNTBLANK(Datos!L12)+COUNTBLANK(Datos!L13))&gt;0,"INCOMPLETE","OK"))</f>
        <v>MISSING</v>
      </c>
      <c r="P177" s="193" t="str">
        <f>INDEX(_TARGETS!$K$2:$K$17,MATCH($C177,_TARGETS!$A$2:$A$17,0))</f>
        <v>OPS (carga manual en Datos)</v>
      </c>
      <c r="Q177" s="193" t="str">
        <f t="shared" si="12"/>
        <v>202704|HCS|Monthly</v>
      </c>
      <c r="R177" s="193" t="str">
        <f>INDEX(_TARGETS!$H$2:$H$17,MATCH($C177,_TARGETS!$A$2:$A$17,0))</f>
        <v>Definida</v>
      </c>
      <c r="S177" s="193" t="str">
        <f t="shared" si="13"/>
        <v/>
      </c>
      <c r="T177" s="193" t="str">
        <f t="shared" si="14"/>
        <v/>
      </c>
    </row>
    <row r="178" spans="1:20" ht="13.5" customHeight="1" x14ac:dyDescent="0.3">
      <c r="A178" s="245">
        <f>KPIs!$L$3</f>
        <v>46478</v>
      </c>
      <c r="B178" s="199" t="str">
        <f>KPIs!L$4</f>
        <v>Compresora</v>
      </c>
      <c r="C178" s="31" t="s">
        <v>80</v>
      </c>
      <c r="D178" s="199" t="str">
        <f>KPIs!$A$17</f>
        <v>9 · Horas de capacitación por persona</v>
      </c>
      <c r="E178" s="31" t="s">
        <v>599</v>
      </c>
      <c r="F178" s="247" t="str">
        <f>IF(ISNUMBER(KPIs!L17),KPIs!L17,"")</f>
        <v/>
      </c>
      <c r="G178" s="247" t="str">
        <f>IF(ISNUMBER(KPIs!$C$17),KPIs!$C$17,"")</f>
        <v/>
      </c>
      <c r="H178" s="199" t="str">
        <f>IFERROR(INDEX(_TARGETS!$E$2:$E$17,MATCH($C178,_TARGETS!$A$2:$A$17,0))&amp;"","")</f>
        <v/>
      </c>
      <c r="I178" s="199" t="str">
        <f t="shared" si="10"/>
        <v/>
      </c>
      <c r="J178" s="193" t="str">
        <f t="shared" si="11"/>
        <v>Monthly</v>
      </c>
      <c r="K178" s="248">
        <f>Datos!L18</f>
        <v>0</v>
      </c>
      <c r="L178" s="248">
        <f>Datos!L11</f>
        <v>0</v>
      </c>
      <c r="M178" s="193">
        <f>INDEX(_TARGETS!$J$2:$J$17,MATCH($C178,_TARGETS!$A$2:$A$17,0))</f>
        <v>1</v>
      </c>
      <c r="N178" s="193" t="str">
        <f>INDEX(_TARGETS!$D$2:$D$17,MATCH($C178,_TARGETS!$A$2:$A$17,0))</f>
        <v>h / persona</v>
      </c>
      <c r="O178" s="193" t="str">
        <f>IF(NOT(ISNUMBER(F178)),"MISSING",IF((COUNTBLANK(Datos!L16)+COUNTBLANK(Datos!L17)+COUNTBLANK(Datos!L9)+COUNTBLANK(Datos!L10))&gt;0,"INCOMPLETE","OK"))</f>
        <v>MISSING</v>
      </c>
      <c r="P178" s="193" t="str">
        <f>INDEX(_TARGETS!$K$2:$K$17,MATCH($C178,_TARGETS!$A$2:$A$17,0))</f>
        <v>OPS (carga manual en Datos)</v>
      </c>
      <c r="Q178" s="193" t="str">
        <f t="shared" si="12"/>
        <v>202704|HCSA|Monthly</v>
      </c>
      <c r="R178" s="193" t="str">
        <f>INDEX(_TARGETS!$H$2:$H$17,MATCH($C178,_TARGETS!$A$2:$A$17,0))</f>
        <v>Solo reporte</v>
      </c>
      <c r="S178" s="193" t="str">
        <f t="shared" si="13"/>
        <v/>
      </c>
      <c r="T178" s="193" t="str">
        <f t="shared" si="14"/>
        <v/>
      </c>
    </row>
    <row r="179" spans="1:20" ht="13.5" customHeight="1" x14ac:dyDescent="0.3">
      <c r="A179" s="245">
        <f>KPIs!$L$3</f>
        <v>46478</v>
      </c>
      <c r="B179" s="199" t="str">
        <f>KPIs!L$4</f>
        <v>Compresora</v>
      </c>
      <c r="C179" s="31" t="s">
        <v>83</v>
      </c>
      <c r="D179" s="199" t="str">
        <f>KPIs!$A$18</f>
        <v>10 · Cumplimiento de simulacros (emergencia y operativos)</v>
      </c>
      <c r="E179" s="31" t="s">
        <v>599</v>
      </c>
      <c r="F179" s="247" t="str">
        <f>IF(ISNUMBER(KPIs!L18),KPIs!L18,"")</f>
        <v/>
      </c>
      <c r="G179" s="247">
        <f>IF(ISNUMBER(KPIs!$C$18),KPIs!$C$18,"")</f>
        <v>1</v>
      </c>
      <c r="H179" s="199" t="str">
        <f>IFERROR(INDEX(_TARGETS!$E$2:$E$17,MATCH($C179,_TARGETS!$A$2:$A$17,0))&amp;"","")</f>
        <v>≥</v>
      </c>
      <c r="I179" s="199" t="str">
        <f t="shared" si="10"/>
        <v/>
      </c>
      <c r="J179" s="193" t="str">
        <f t="shared" si="11"/>
        <v>Monthly</v>
      </c>
      <c r="K179" s="248">
        <f>Datos!L20</f>
        <v>0</v>
      </c>
      <c r="L179" s="248">
        <f>Datos!L21</f>
        <v>0</v>
      </c>
      <c r="M179" s="193">
        <f>INDEX(_TARGETS!$J$2:$J$17,MATCH($C179,_TARGETS!$A$2:$A$17,0))</f>
        <v>1</v>
      </c>
      <c r="N179" s="193" t="str">
        <f>INDEX(_TARGETS!$D$2:$D$17,MATCH($C179,_TARGETS!$A$2:$A$17,0))</f>
        <v>% (fracción)</v>
      </c>
      <c r="O179" s="193" t="str">
        <f>IF(NOT(ISNUMBER(F179)),"MISSING",IF((COUNTBLANK(Datos!L20)+COUNTBLANK(Datos!L21))&gt;0,"INCOMPLETE","OK"))</f>
        <v>MISSING</v>
      </c>
      <c r="P179" s="193" t="str">
        <f>INDEX(_TARGETS!$K$2:$K$17,MATCH($C179,_TARGETS!$A$2:$A$17,0))</f>
        <v>OPS (carga manual en Datos)</v>
      </c>
      <c r="Q179" s="193" t="str">
        <f t="shared" si="12"/>
        <v>202704|CPSE|Monthly</v>
      </c>
      <c r="R179" s="193" t="str">
        <f>INDEX(_TARGETS!$H$2:$H$17,MATCH($C179,_TARGETS!$A$2:$A$17,0))</f>
        <v>Definida</v>
      </c>
      <c r="S179" s="193" t="str">
        <f t="shared" si="13"/>
        <v/>
      </c>
      <c r="T179" s="193" t="str">
        <f t="shared" si="14"/>
        <v/>
      </c>
    </row>
    <row r="180" spans="1:20" ht="13.5" customHeight="1" x14ac:dyDescent="0.3">
      <c r="A180" s="245">
        <f>KPIs!$L$3</f>
        <v>46478</v>
      </c>
      <c r="B180" s="199" t="str">
        <f>KPIs!L$4</f>
        <v>Compresora</v>
      </c>
      <c r="C180" s="31" t="s">
        <v>85</v>
      </c>
      <c r="D180" s="199" t="str">
        <f>KPIs!$A$19</f>
        <v>10b · Cumplimiento de acciones de mejora de simulacros</v>
      </c>
      <c r="E180" s="31" t="s">
        <v>599</v>
      </c>
      <c r="F180" s="247" t="str">
        <f>IF(ISNUMBER(KPIs!L19),KPIs!L19,"")</f>
        <v/>
      </c>
      <c r="G180" s="247" t="str">
        <f>IF(ISNUMBER(KPIs!$C$19),KPIs!$C$19,"")</f>
        <v/>
      </c>
      <c r="H180" s="199" t="str">
        <f>IFERROR(INDEX(_TARGETS!$E$2:$E$17,MATCH($C180,_TARGETS!$A$2:$A$17,0))&amp;"","")</f>
        <v/>
      </c>
      <c r="I180" s="199" t="str">
        <f t="shared" si="10"/>
        <v/>
      </c>
      <c r="J180" s="193" t="str">
        <f t="shared" si="11"/>
        <v>Monthly</v>
      </c>
      <c r="K180" s="248">
        <f>Datos!L23</f>
        <v>0</v>
      </c>
      <c r="L180" s="248">
        <f>Datos!L22</f>
        <v>0</v>
      </c>
      <c r="M180" s="193">
        <f>INDEX(_TARGETS!$J$2:$J$17,MATCH($C180,_TARGETS!$A$2:$A$17,0))</f>
        <v>1</v>
      </c>
      <c r="N180" s="193" t="str">
        <f>INDEX(_TARGETS!$D$2:$D$17,MATCH($C180,_TARGETS!$A$2:$A$17,0))</f>
        <v>% (fracción)</v>
      </c>
      <c r="O180" s="193" t="str">
        <f>IF(NOT(ISNUMBER(F180)),"MISSING",IF((COUNTBLANK(Datos!L23)+COUNTBLANK(Datos!L22))&gt;0,"INCOMPLETE","OK"))</f>
        <v>MISSING</v>
      </c>
      <c r="P180" s="193" t="str">
        <f>INDEX(_TARGETS!$K$2:$K$17,MATCH($C180,_TARGETS!$A$2:$A$17,0))</f>
        <v>OPS (carga manual en Datos)</v>
      </c>
      <c r="Q180" s="193" t="str">
        <f t="shared" si="12"/>
        <v>202704|CAMS|Monthly</v>
      </c>
      <c r="R180" s="193" t="str">
        <f>INDEX(_TARGETS!$H$2:$H$17,MATCH($C180,_TARGETS!$A$2:$A$17,0))</f>
        <v>Solo reporte</v>
      </c>
      <c r="S180" s="193" t="str">
        <f t="shared" si="13"/>
        <v/>
      </c>
      <c r="T180" s="193" t="str">
        <f t="shared" si="14"/>
        <v/>
      </c>
    </row>
    <row r="181" spans="1:20" ht="13.5" customHeight="1" x14ac:dyDescent="0.3">
      <c r="A181" s="245">
        <f>KPIs!$L$3</f>
        <v>46478</v>
      </c>
      <c r="B181" s="199" t="str">
        <f>KPIs!L$4</f>
        <v>Compresora</v>
      </c>
      <c r="C181" s="31" t="s">
        <v>87</v>
      </c>
      <c r="D181" s="199" t="str">
        <f>KPIs!$A$21</f>
        <v>11 · Cumplimiento de caminatas gerenciales</v>
      </c>
      <c r="E181" s="31" t="s">
        <v>599</v>
      </c>
      <c r="F181" s="247" t="str">
        <f>IF(ISNUMBER(KPIs!L21),KPIs!L21,"")</f>
        <v/>
      </c>
      <c r="G181" s="247">
        <f>IF(ISNUMBER(KPIs!$C$21),KPIs!$C$21,"")</f>
        <v>1</v>
      </c>
      <c r="H181" s="199" t="str">
        <f>IFERROR(INDEX(_TARGETS!$E$2:$E$17,MATCH($C181,_TARGETS!$A$2:$A$17,0))&amp;"","")</f>
        <v>≥</v>
      </c>
      <c r="I181" s="199" t="str">
        <f t="shared" si="10"/>
        <v/>
      </c>
      <c r="J181" s="193" t="str">
        <f t="shared" si="11"/>
        <v>Monthly</v>
      </c>
      <c r="K181" s="248">
        <f>Datos!L24</f>
        <v>0</v>
      </c>
      <c r="L181" s="248">
        <f>Datos!L25</f>
        <v>0</v>
      </c>
      <c r="M181" s="193">
        <f>INDEX(_TARGETS!$J$2:$J$17,MATCH($C181,_TARGETS!$A$2:$A$17,0))</f>
        <v>1</v>
      </c>
      <c r="N181" s="193" t="str">
        <f>INDEX(_TARGETS!$D$2:$D$17,MATCH($C181,_TARGETS!$A$2:$A$17,0))</f>
        <v>% (fracción)</v>
      </c>
      <c r="O181" s="193" t="str">
        <f>IF(NOT(ISNUMBER(F181)),"MISSING",IF((COUNTBLANK(Datos!L24)+COUNTBLANK(Datos!L25))&gt;0,"INCOMPLETE","OK"))</f>
        <v>MISSING</v>
      </c>
      <c r="P181" s="193" t="str">
        <f>INDEX(_TARGETS!$K$2:$K$17,MATCH($C181,_TARGETS!$A$2:$A$17,0))</f>
        <v>OPS (carga manual en Datos)</v>
      </c>
      <c r="Q181" s="193" t="str">
        <f t="shared" si="12"/>
        <v>202704|ICCS|Monthly</v>
      </c>
      <c r="R181" s="193" t="str">
        <f>INDEX(_TARGETS!$H$2:$H$17,MATCH($C181,_TARGETS!$A$2:$A$17,0))</f>
        <v>Definida</v>
      </c>
      <c r="S181" s="193" t="str">
        <f t="shared" si="13"/>
        <v/>
      </c>
      <c r="T181" s="193" t="str">
        <f t="shared" si="14"/>
        <v/>
      </c>
    </row>
    <row r="182" spans="1:20" ht="13.5" customHeight="1" x14ac:dyDescent="0.3">
      <c r="A182" s="245">
        <f>KPIs!$L$3</f>
        <v>46478</v>
      </c>
      <c r="B182" s="199" t="str">
        <f>KPIs!L$4</f>
        <v>Compresora</v>
      </c>
      <c r="C182" s="31" t="s">
        <v>89</v>
      </c>
      <c r="D182" s="199" t="str">
        <f>KPIs!$A$22</f>
        <v>12 · Cumplimiento de comités y subcomités de seguridad</v>
      </c>
      <c r="E182" s="31" t="s">
        <v>599</v>
      </c>
      <c r="F182" s="247" t="str">
        <f>IF(ISNUMBER(KPIs!L22),KPIs!L22,"")</f>
        <v/>
      </c>
      <c r="G182" s="247">
        <f>IF(ISNUMBER(KPIs!$C$22),KPIs!$C$22,"")</f>
        <v>1</v>
      </c>
      <c r="H182" s="199" t="str">
        <f>IFERROR(INDEX(_TARGETS!$E$2:$E$17,MATCH($C182,_TARGETS!$A$2:$A$17,0))&amp;"","")</f>
        <v>≥</v>
      </c>
      <c r="I182" s="199" t="str">
        <f t="shared" si="10"/>
        <v/>
      </c>
      <c r="J182" s="193" t="str">
        <f t="shared" si="11"/>
        <v>Monthly</v>
      </c>
      <c r="K182" s="248">
        <f>Datos!L26</f>
        <v>0</v>
      </c>
      <c r="L182" s="248">
        <f>Datos!L27</f>
        <v>0</v>
      </c>
      <c r="M182" s="193">
        <f>INDEX(_TARGETS!$J$2:$J$17,MATCH($C182,_TARGETS!$A$2:$A$17,0))</f>
        <v>1</v>
      </c>
      <c r="N182" s="193" t="str">
        <f>INDEX(_TARGETS!$D$2:$D$17,MATCH($C182,_TARGETS!$A$2:$A$17,0))</f>
        <v>% (fracción)</v>
      </c>
      <c r="O182" s="193" t="str">
        <f>IF(NOT(ISNUMBER(F182)),"MISSING",IF((COUNTBLANK(Datos!L26)+COUNTBLANK(Datos!L27))&gt;0,"INCOMPLETE","OK"))</f>
        <v>MISSING</v>
      </c>
      <c r="P182" s="193" t="str">
        <f>INDEX(_TARGETS!$K$2:$K$17,MATCH($C182,_TARGETS!$A$2:$A$17,0))</f>
        <v>OPS (carga manual en Datos)</v>
      </c>
      <c r="Q182" s="193" t="str">
        <f t="shared" si="12"/>
        <v>202704|CCS|Monthly</v>
      </c>
      <c r="R182" s="193" t="str">
        <f>INDEX(_TARGETS!$H$2:$H$17,MATCH($C182,_TARGETS!$A$2:$A$17,0))</f>
        <v>Definida</v>
      </c>
      <c r="S182" s="193" t="str">
        <f t="shared" si="13"/>
        <v/>
      </c>
      <c r="T182" s="193" t="str">
        <f t="shared" si="14"/>
        <v/>
      </c>
    </row>
    <row r="183" spans="1:20" ht="13.5" customHeight="1" x14ac:dyDescent="0.3">
      <c r="A183" s="245">
        <f>KPIs!$L$3</f>
        <v>46478</v>
      </c>
      <c r="B183" s="199" t="str">
        <f>KPIs!L$4</f>
        <v>Compresora</v>
      </c>
      <c r="C183" s="31" t="s">
        <v>91</v>
      </c>
      <c r="D183" s="199" t="str">
        <f>KPIs!$A$23</f>
        <v>13 · Días promedio para cerrar hallazgos</v>
      </c>
      <c r="E183" s="31" t="s">
        <v>599</v>
      </c>
      <c r="F183" s="247" t="str">
        <f>IF(ISNUMBER(KPIs!L23),KPIs!L23,"")</f>
        <v/>
      </c>
      <c r="G183" s="247" t="str">
        <f>IF(ISNUMBER(KPIs!$C$23),KPIs!$C$23,"")</f>
        <v/>
      </c>
      <c r="H183" s="199" t="str">
        <f>IFERROR(INDEX(_TARGETS!$E$2:$E$17,MATCH($C183,_TARGETS!$A$2:$A$17,0))&amp;"","")</f>
        <v>≤</v>
      </c>
      <c r="I183" s="199" t="str">
        <f t="shared" si="10"/>
        <v/>
      </c>
      <c r="J183" s="193" t="str">
        <f t="shared" si="11"/>
        <v>Monthly</v>
      </c>
      <c r="K183" s="248">
        <f>Datos!L68</f>
        <v>0</v>
      </c>
      <c r="L183" s="248">
        <f>Datos!L67</f>
        <v>0</v>
      </c>
      <c r="M183" s="193">
        <f>INDEX(_TARGETS!$J$2:$J$17,MATCH($C183,_TARGETS!$A$2:$A$17,0))</f>
        <v>1</v>
      </c>
      <c r="N183" s="193" t="str">
        <f>INDEX(_TARGETS!$D$2:$D$17,MATCH($C183,_TARGETS!$A$2:$A$17,0))</f>
        <v>días</v>
      </c>
      <c r="O183" s="193" t="str">
        <f>IF(NOT(ISNUMBER(F183)),"MISSING","OK")</f>
        <v>MISSING</v>
      </c>
      <c r="P183" s="193" t="str">
        <f>INDEX(_TARGETS!$K$2:$K$17,MATCH($C183,_TARGETS!$A$2:$A$17,0))</f>
        <v>Plant Findings (hoja Observaciones-SMP)</v>
      </c>
      <c r="Q183" s="193" t="str">
        <f t="shared" si="12"/>
        <v>202704|DPAS|Monthly</v>
      </c>
      <c r="R183" s="193" t="str">
        <f>INDEX(_TARGETS!$H$2:$H$17,MATCH($C183,_TARGETS!$A$2:$A$17,0))</f>
        <v>Pendiente (meta 2027)</v>
      </c>
      <c r="S183" s="193" t="str">
        <f t="shared" si="13"/>
        <v/>
      </c>
      <c r="T183" s="193" t="str">
        <f t="shared" si="14"/>
        <v/>
      </c>
    </row>
    <row r="184" spans="1:20" ht="13.5" customHeight="1" x14ac:dyDescent="0.3">
      <c r="A184" s="245">
        <f>KPIs!$L$3</f>
        <v>46478</v>
      </c>
      <c r="B184" s="199" t="str">
        <f>KPIs!L$4</f>
        <v>Compresora</v>
      </c>
      <c r="C184" s="31" t="s">
        <v>39</v>
      </c>
      <c r="D184" s="199" t="str">
        <f>KPIs!$A$26</f>
        <v>1 · Frecuencia de casos con días perdidos · ACUMULADO</v>
      </c>
      <c r="E184" s="31" t="s">
        <v>600</v>
      </c>
      <c r="F184" s="247" t="str">
        <f>IF(ISNUMBER(KPIs!L26),KPIs!L26,"")</f>
        <v/>
      </c>
      <c r="G184" s="247">
        <f>IF(ISNUMBER(KPIs!$C$26),KPIs!$C$26,"")</f>
        <v>0</v>
      </c>
      <c r="H184" s="199" t="str">
        <f>IFERROR(INDEX(_TARGETS!$E$2:$E$17,MATCH($C184,_TARGETS!$A$2:$A$17,0))&amp;"","")</f>
        <v>≤</v>
      </c>
      <c r="I184" s="199" t="str">
        <f t="shared" si="10"/>
        <v/>
      </c>
      <c r="J184" s="193" t="str">
        <f t="shared" si="11"/>
        <v>Cumulative</v>
      </c>
      <c r="K184" s="193">
        <f>SUM(Datos!$D33:L33)</f>
        <v>0</v>
      </c>
      <c r="L184" s="193">
        <f>SUM(Datos!$D14:L14)</f>
        <v>48332</v>
      </c>
      <c r="M184" s="193">
        <f>INDEX(_TARGETS!$J$2:$J$17,MATCH($C184,_TARGETS!$A$2:$A$17,0))</f>
        <v>1000000</v>
      </c>
      <c r="N184" s="193" t="str">
        <f>INDEX(_TARGETS!$D$2:$D$17,MATCH($C184,_TARGETS!$A$2:$A$17,0))</f>
        <v>casos / 10^6 HH</v>
      </c>
      <c r="O184" s="193" t="str">
        <f>IF(NOT(ISNUMBER(F184)),IF(SUMPRODUCT(($C$2:$C$1300=C184)*($J$2:$J$1300="Monthly")*($A$2:$A$1300&lt;=A184)*ISNUMBER($K$2:$K$1300)*ISNUMBER($L$2:$L$1300)*($L$2:$L$1300=0)*($K$2:$K$1300&gt;0))&gt;0,"INCOMPLETE","MISSING"),O170)</f>
        <v>MISSING</v>
      </c>
      <c r="P184" s="193" t="str">
        <f>INDEX(_TARGETS!$K$2:$K$17,MATCH($C184,_TARGETS!$A$2:$A$17,0))</f>
        <v>OPS (carga manual en Datos)</v>
      </c>
      <c r="Q184" s="193" t="str">
        <f t="shared" si="12"/>
        <v>202704|DAFWCF|Cumulative</v>
      </c>
      <c r="R184" s="193" t="str">
        <f>INDEX(_TARGETS!$H$2:$H$17,MATCH($C184,_TARGETS!$A$2:$A$17,0))</f>
        <v>Definida</v>
      </c>
      <c r="S184" s="193">
        <f t="shared" si="13"/>
        <v>0</v>
      </c>
      <c r="T184" s="193" t="str">
        <f t="shared" si="14"/>
        <v/>
      </c>
    </row>
    <row r="185" spans="1:20" ht="13.5" customHeight="1" x14ac:dyDescent="0.3">
      <c r="A185" s="245">
        <f>KPIs!$L$3</f>
        <v>46478</v>
      </c>
      <c r="B185" s="199" t="str">
        <f>KPIs!L$4</f>
        <v>Compresora</v>
      </c>
      <c r="C185" s="31" t="s">
        <v>49</v>
      </c>
      <c r="D185" s="199" t="str">
        <f>KPIs!$A$27</f>
        <v>2 · Frecuencia de casos registrables · ACUMULADO</v>
      </c>
      <c r="E185" s="31" t="s">
        <v>600</v>
      </c>
      <c r="F185" s="247" t="str">
        <f>IF(ISNUMBER(KPIs!L27),KPIs!L27,"")</f>
        <v/>
      </c>
      <c r="G185" s="247">
        <f>IF(ISNUMBER(KPIs!$C$27),KPIs!$C$27,"")</f>
        <v>2.35</v>
      </c>
      <c r="H185" s="199" t="str">
        <f>IFERROR(INDEX(_TARGETS!$E$2:$E$17,MATCH($C185,_TARGETS!$A$2:$A$17,0))&amp;"","")</f>
        <v>≤</v>
      </c>
      <c r="I185" s="199" t="str">
        <f t="shared" si="10"/>
        <v/>
      </c>
      <c r="J185" s="193" t="str">
        <f t="shared" si="11"/>
        <v>Cumulative</v>
      </c>
      <c r="K185" s="193">
        <f>SUM(Datos!$D33:L33)+SUM(Datos!$D34:L34)+SUM(Datos!$D35:L35)+SUM(Datos!$D36:L36)</f>
        <v>0</v>
      </c>
      <c r="L185" s="193">
        <f>SUM(Datos!$D14:L14)</f>
        <v>48332</v>
      </c>
      <c r="M185" s="193">
        <f>INDEX(_TARGETS!$J$2:$J$17,MATCH($C185,_TARGETS!$A$2:$A$17,0))</f>
        <v>1000000</v>
      </c>
      <c r="N185" s="193" t="str">
        <f>INDEX(_TARGETS!$D$2:$D$17,MATCH($C185,_TARGETS!$A$2:$A$17,0))</f>
        <v>casos / 10^6 HH</v>
      </c>
      <c r="O185" s="193" t="str">
        <f>IF(NOT(ISNUMBER(F185)),IF(SUMPRODUCT(($C$2:$C$1300=C185)*($J$2:$J$1300="Monthly")*($A$2:$A$1300&lt;=A185)*ISNUMBER($K$2:$K$1300)*ISNUMBER($L$2:$L$1300)*($L$2:$L$1300=0)*($K$2:$K$1300&gt;0))&gt;0,"INCOMPLETE","MISSING"),O171)</f>
        <v>MISSING</v>
      </c>
      <c r="P185" s="193" t="str">
        <f>INDEX(_TARGETS!$K$2:$K$17,MATCH($C185,_TARGETS!$A$2:$A$17,0))</f>
        <v>OPS (carga manual en Datos)</v>
      </c>
      <c r="Q185" s="193" t="str">
        <f t="shared" si="12"/>
        <v>202704|TRICF|Cumulative</v>
      </c>
      <c r="R185" s="193" t="str">
        <f>INDEX(_TARGETS!$H$2:$H$17,MATCH($C185,_TARGETS!$A$2:$A$17,0))</f>
        <v>Definida</v>
      </c>
      <c r="S185" s="193">
        <f t="shared" si="13"/>
        <v>0</v>
      </c>
      <c r="T185" s="193" t="str">
        <f t="shared" si="14"/>
        <v/>
      </c>
    </row>
    <row r="186" spans="1:20" ht="13.5" customHeight="1" x14ac:dyDescent="0.3">
      <c r="A186" s="245">
        <f>KPIs!$L$3</f>
        <v>46478</v>
      </c>
      <c r="B186" s="199" t="str">
        <f>KPIs!L$4</f>
        <v>Compresora</v>
      </c>
      <c r="C186" s="31" t="s">
        <v>51</v>
      </c>
      <c r="D186" s="199" t="str">
        <f>KPIs!$A$28</f>
        <v>3 · Casos de primeros auxilios · ACUMULADO</v>
      </c>
      <c r="E186" s="31" t="s">
        <v>600</v>
      </c>
      <c r="F186" s="247" t="str">
        <f>IF(ISNUMBER(KPIs!L28),KPIs!L28,"")</f>
        <v/>
      </c>
      <c r="G186" s="247" t="str">
        <f>IF(ISNUMBER(KPIs!$C$28),KPIs!$C$28,"")</f>
        <v/>
      </c>
      <c r="H186" s="199" t="str">
        <f>IFERROR(INDEX(_TARGETS!$E$2:$E$17,MATCH($C186,_TARGETS!$A$2:$A$17,0))&amp;"","")</f>
        <v/>
      </c>
      <c r="I186" s="199" t="str">
        <f t="shared" si="10"/>
        <v/>
      </c>
      <c r="J186" s="193" t="str">
        <f t="shared" si="11"/>
        <v>Cumulative</v>
      </c>
      <c r="K186" s="193">
        <f>SUM(Datos!$D37:L37)</f>
        <v>0</v>
      </c>
      <c r="M186" s="193">
        <f>INDEX(_TARGETS!$J$2:$J$17,MATCH($C186,_TARGETS!$A$2:$A$17,0))</f>
        <v>1</v>
      </c>
      <c r="N186" s="193" t="str">
        <f>INDEX(_TARGETS!$D$2:$D$17,MATCH($C186,_TARGETS!$A$2:$A$17,0))</f>
        <v>casos</v>
      </c>
      <c r="O186" s="193" t="str">
        <f>IF(NOT(ISNUMBER(F186)),IF(SUMPRODUCT(($C$2:$C$1300=C186)*($J$2:$J$1300="Monthly")*($A$2:$A$1300&lt;=A186)*ISNUMBER($K$2:$K$1300)*ISNUMBER($L$2:$L$1300)*($L$2:$L$1300=0)*($K$2:$K$1300&gt;0))&gt;0,"INCOMPLETE","MISSING"),O172)</f>
        <v>MISSING</v>
      </c>
      <c r="P186" s="193" t="str">
        <f>INDEX(_TARGETS!$K$2:$K$17,MATCH($C186,_TARGETS!$A$2:$A$17,0))</f>
        <v>OPS (carga manual en Datos)</v>
      </c>
      <c r="Q186" s="193" t="str">
        <f t="shared" si="12"/>
        <v>202704|FAC|Cumulative</v>
      </c>
      <c r="R186" s="193" t="str">
        <f>INDEX(_TARGETS!$H$2:$H$17,MATCH($C186,_TARGETS!$A$2:$A$17,0))</f>
        <v>Solo reporte</v>
      </c>
      <c r="S186" s="193">
        <f t="shared" si="13"/>
        <v>0</v>
      </c>
      <c r="T186" s="193" t="str">
        <f t="shared" si="14"/>
        <v/>
      </c>
    </row>
    <row r="187" spans="1:20" ht="13.5" customHeight="1" x14ac:dyDescent="0.3">
      <c r="A187" s="245">
        <f>KPIs!$L$3</f>
        <v>46478</v>
      </c>
      <c r="B187" s="199" t="str">
        <f>KPIs!L$4</f>
        <v>Compresora</v>
      </c>
      <c r="C187" s="31" t="s">
        <v>57</v>
      </c>
      <c r="D187" s="199" t="str">
        <f>KPIs!$A$29</f>
        <v>4 · Accidentes vehiculares severos · ACUMULADO</v>
      </c>
      <c r="E187" s="31" t="s">
        <v>600</v>
      </c>
      <c r="F187" s="247" t="str">
        <f>IF(ISNUMBER(KPIs!L29),KPIs!L29,"")</f>
        <v/>
      </c>
      <c r="G187" s="247" t="str">
        <f>IF(ISNUMBER(KPIs!$C$29),KPIs!$C$29,"")</f>
        <v/>
      </c>
      <c r="H187" s="199" t="str">
        <f>IFERROR(INDEX(_TARGETS!$E$2:$E$17,MATCH($C187,_TARGETS!$A$2:$A$17,0))&amp;"","")</f>
        <v/>
      </c>
      <c r="I187" s="199" t="str">
        <f t="shared" si="10"/>
        <v/>
      </c>
      <c r="J187" s="193" t="str">
        <f t="shared" si="11"/>
        <v>Cumulative</v>
      </c>
      <c r="K187" s="193">
        <f>SUM(Datos!$D39:L39)+SUM(Datos!$D40:L40)+SUM(Datos!$D41:L41)</f>
        <v>0</v>
      </c>
      <c r="L187" s="193">
        <f>SUM(Datos!$D47:L47)</f>
        <v>172824</v>
      </c>
      <c r="M187" s="193">
        <f>INDEX(_TARGETS!$J$2:$J$17,MATCH($C187,_TARGETS!$A$2:$A$17,0))</f>
        <v>1000000</v>
      </c>
      <c r="N187" s="193" t="str">
        <f>INDEX(_TARGETS!$D$2:$D$17,MATCH($C187,_TARGETS!$A$2:$A$17,0))</f>
        <v>eventos / 10^6 km</v>
      </c>
      <c r="O187" s="193" t="str">
        <f>IF(NOT(ISNUMBER(F187)),IF(SUMPRODUCT(($C$2:$C$1300=C187)*($J$2:$J$1300="Monthly")*($A$2:$A$1300&lt;=A187)*ISNUMBER($K$2:$K$1300)*ISNUMBER($L$2:$L$1300)*($L$2:$L$1300=0)*($K$2:$K$1300&gt;0))&gt;0,"INCOMPLETE","MISSING"),O173)</f>
        <v>MISSING</v>
      </c>
      <c r="P187" s="193" t="str">
        <f>INDEX(_TARGETS!$K$2:$K$17,MATCH($C187,_TARGETS!$A$2:$A$17,0))</f>
        <v>OPS (eventos) + Full Control GPS (km) - carga manual en Datos</v>
      </c>
      <c r="Q187" s="193" t="str">
        <f t="shared" si="12"/>
        <v>202704|SVCR|Cumulative</v>
      </c>
      <c r="R187" s="193" t="str">
        <f>INDEX(_TARGETS!$H$2:$H$17,MATCH($C187,_TARGETS!$A$2:$A$17,0))</f>
        <v>Solo reporte</v>
      </c>
      <c r="S187" s="193">
        <f t="shared" si="13"/>
        <v>0</v>
      </c>
      <c r="T187" s="193" t="str">
        <f t="shared" si="14"/>
        <v/>
      </c>
    </row>
    <row r="188" spans="1:20" ht="13.5" customHeight="1" x14ac:dyDescent="0.3">
      <c r="A188" s="245">
        <f>KPIs!$L$3</f>
        <v>46478</v>
      </c>
      <c r="B188" s="199" t="str">
        <f>KPIs!L$4</f>
        <v>Compresora</v>
      </c>
      <c r="C188" s="31" t="s">
        <v>61</v>
      </c>
      <c r="D188" s="199" t="str">
        <f>KPIs!$A$30</f>
        <v>5 · Accidentes vehiculares totales · ACUMULADO</v>
      </c>
      <c r="E188" s="31" t="s">
        <v>600</v>
      </c>
      <c r="F188" s="247" t="str">
        <f>IF(ISNUMBER(KPIs!L30),KPIs!L30,"")</f>
        <v/>
      </c>
      <c r="G188" s="247">
        <f>IF(ISNUMBER(KPIs!$C$30),KPIs!$C$30,"")</f>
        <v>0.79</v>
      </c>
      <c r="H188" s="199" t="str">
        <f>IFERROR(INDEX(_TARGETS!$E$2:$E$17,MATCH($C188,_TARGETS!$A$2:$A$17,0))&amp;"","")</f>
        <v>≤</v>
      </c>
      <c r="I188" s="199" t="str">
        <f t="shared" si="10"/>
        <v/>
      </c>
      <c r="J188" s="193" t="str">
        <f t="shared" si="11"/>
        <v>Cumulative</v>
      </c>
      <c r="K188" s="193">
        <f>SUM(Datos!$D39:L39)+SUM(Datos!$D40:L40)+SUM(Datos!$D41:L41)+SUM(Datos!$D42:L42)</f>
        <v>0</v>
      </c>
      <c r="L188" s="193">
        <f>SUM(Datos!$D47:L47)</f>
        <v>172824</v>
      </c>
      <c r="M188" s="193">
        <f>INDEX(_TARGETS!$J$2:$J$17,MATCH($C188,_TARGETS!$A$2:$A$17,0))</f>
        <v>1000000</v>
      </c>
      <c r="N188" s="193" t="str">
        <f>INDEX(_TARGETS!$D$2:$D$17,MATCH($C188,_TARGETS!$A$2:$A$17,0))</f>
        <v>eventos / 10^6 km</v>
      </c>
      <c r="O188" s="193" t="str">
        <f>IF(NOT(ISNUMBER(F188)),IF(SUMPRODUCT(($C$2:$C$1300=C188)*($J$2:$J$1300="Monthly")*($A$2:$A$1300&lt;=A188)*ISNUMBER($K$2:$K$1300)*ISNUMBER($L$2:$L$1300)*($L$2:$L$1300=0)*($K$2:$K$1300&gt;0))&gt;0,"INCOMPLETE","MISSING"),O174)</f>
        <v>MISSING</v>
      </c>
      <c r="P188" s="193" t="str">
        <f>INDEX(_TARGETS!$K$2:$K$17,MATCH($C188,_TARGETS!$A$2:$A$17,0))</f>
        <v>OPS (eventos) + Full Control GPS (km) - carga manual en Datos</v>
      </c>
      <c r="Q188" s="193" t="str">
        <f t="shared" si="12"/>
        <v>202704|TVCR|Cumulative</v>
      </c>
      <c r="R188" s="193" t="str">
        <f>INDEX(_TARGETS!$H$2:$H$17,MATCH($C188,_TARGETS!$A$2:$A$17,0))</f>
        <v>Definida</v>
      </c>
      <c r="S188" s="193">
        <f t="shared" si="13"/>
        <v>0</v>
      </c>
      <c r="T188" s="193" t="str">
        <f t="shared" si="14"/>
        <v/>
      </c>
    </row>
    <row r="189" spans="1:20" ht="13.5" customHeight="1" x14ac:dyDescent="0.3">
      <c r="A189" s="245">
        <f>KPIs!$L$3</f>
        <v>46478</v>
      </c>
      <c r="B189" s="199" t="str">
        <f>KPIs!L$4</f>
        <v>Compresora</v>
      </c>
      <c r="C189" s="31" t="s">
        <v>96</v>
      </c>
      <c r="D189" s="199" t="str">
        <f>KPIs!$A$33</f>
        <v>C1 · % de desvíos detectados de gravedad Alta</v>
      </c>
      <c r="E189" s="31" t="s">
        <v>599</v>
      </c>
      <c r="F189" s="247" t="str">
        <f>IF(ISNUMBER(KPIs!L33),KPIs!L33,"")</f>
        <v/>
      </c>
      <c r="G189" s="247" t="str">
        <f>IF(ISNUMBER(KPIs!$C$33),KPIs!$C$33,"")</f>
        <v/>
      </c>
      <c r="H189" s="199" t="str">
        <f>IFERROR(INDEX(_TARGETS!$E$2:$E$17,MATCH($C189,_TARGETS!$A$2:$A$17,0))&amp;"","")</f>
        <v/>
      </c>
      <c r="I189" s="199" t="str">
        <f t="shared" si="10"/>
        <v/>
      </c>
      <c r="J189" s="193" t="str">
        <f t="shared" si="11"/>
        <v>Monthly</v>
      </c>
      <c r="K189" s="248">
        <f>Datos!L71</f>
        <v>0</v>
      </c>
      <c r="L189" s="193">
        <f>Datos!L71+Datos!L72+Datos!L73</f>
        <v>0</v>
      </c>
      <c r="M189" s="193">
        <f>INDEX(_TARGETS!$J$2:$J$17,MATCH($C189,_TARGETS!$A$2:$A$17,0))</f>
        <v>1</v>
      </c>
      <c r="N189" s="193" t="str">
        <f>INDEX(_TARGETS!$D$2:$D$17,MATCH($C189,_TARGETS!$A$2:$A$17,0))</f>
        <v>% (fracción)</v>
      </c>
      <c r="O189" s="193" t="str">
        <f>IF(NOT(ISNUMBER(F189)),"MISSING","OK")</f>
        <v>MISSING</v>
      </c>
      <c r="P189" s="193" t="str">
        <f>INDEX(_TARGETS!$K$2:$K$17,MATCH($C189,_TARGETS!$A$2:$A$17,0))</f>
        <v>Plant Findings (hoja Observaciones-SMP)</v>
      </c>
      <c r="Q189" s="193" t="str">
        <f t="shared" si="12"/>
        <v>202704|HAL_ALTA_PCT|Monthly</v>
      </c>
      <c r="R189" s="193" t="str">
        <f>INDEX(_TARGETS!$H$2:$H$17,MATCH($C189,_TARGETS!$A$2:$A$17,0))</f>
        <v>Solo reporte</v>
      </c>
      <c r="S189" s="193" t="str">
        <f t="shared" si="13"/>
        <v/>
      </c>
      <c r="T189" s="193" t="str">
        <f t="shared" si="14"/>
        <v/>
      </c>
    </row>
    <row r="190" spans="1:20" ht="13.5" customHeight="1" x14ac:dyDescent="0.3">
      <c r="A190" s="245">
        <f>KPIs!$L$3</f>
        <v>46478</v>
      </c>
      <c r="B190" s="199" t="str">
        <f>KPIs!L$4</f>
        <v>Compresora</v>
      </c>
      <c r="C190" s="31" t="s">
        <v>98</v>
      </c>
      <c r="D190" s="199" t="str">
        <f>KPIs!$A$34</f>
        <v>C2 · Detenciones de tareas aplicadas</v>
      </c>
      <c r="E190" s="31" t="s">
        <v>599</v>
      </c>
      <c r="F190" s="247" t="str">
        <f>IF(ISNUMBER(KPIs!L34),KPIs!L34,"")</f>
        <v/>
      </c>
      <c r="G190" s="247" t="str">
        <f>IF(ISNUMBER(KPIs!$C$34),KPIs!$C$34,"")</f>
        <v/>
      </c>
      <c r="H190" s="199" t="str">
        <f>IFERROR(INDEX(_TARGETS!$E$2:$E$17,MATCH($C190,_TARGETS!$A$2:$A$17,0))&amp;"","")</f>
        <v/>
      </c>
      <c r="I190" s="199" t="str">
        <f t="shared" si="10"/>
        <v/>
      </c>
      <c r="J190" s="193" t="str">
        <f t="shared" si="11"/>
        <v>Monthly</v>
      </c>
      <c r="K190" s="248">
        <f>Datos!L75</f>
        <v>0</v>
      </c>
      <c r="M190" s="193">
        <f>INDEX(_TARGETS!$J$2:$J$17,MATCH($C190,_TARGETS!$A$2:$A$17,0))</f>
        <v>1</v>
      </c>
      <c r="N190" s="193" t="str">
        <f>INDEX(_TARGETS!$D$2:$D$17,MATCH($C190,_TARGETS!$A$2:$A$17,0))</f>
        <v>u</v>
      </c>
      <c r="O190" s="193" t="str">
        <f>IF(NOT(ISNUMBER(F190)),"MISSING","OK")</f>
        <v>MISSING</v>
      </c>
      <c r="P190" s="193" t="str">
        <f>INDEX(_TARGETS!$K$2:$K$17,MATCH($C190,_TARGETS!$A$2:$A$17,0))</f>
        <v>Plant Findings (hoja Observaciones-SMP)</v>
      </c>
      <c r="Q190" s="193" t="str">
        <f t="shared" si="12"/>
        <v>202704|DET|Monthly</v>
      </c>
      <c r="R190" s="193" t="str">
        <f>INDEX(_TARGETS!$H$2:$H$17,MATCH($C190,_TARGETS!$A$2:$A$17,0))</f>
        <v>Solo reporte</v>
      </c>
      <c r="S190" s="193" t="str">
        <f t="shared" si="13"/>
        <v/>
      </c>
      <c r="T190" s="193" t="str">
        <f t="shared" si="14"/>
        <v/>
      </c>
    </row>
    <row r="191" spans="1:20" ht="13.5" customHeight="1" x14ac:dyDescent="0.3">
      <c r="A191" s="245">
        <f>KPIs!$M$3</f>
        <v>46508</v>
      </c>
      <c r="B191" s="199" t="str">
        <f>KPIs!M$4</f>
        <v>Compresora</v>
      </c>
      <c r="C191" s="31" t="s">
        <v>39</v>
      </c>
      <c r="D191" s="199" t="str">
        <f>KPIs!$A$6</f>
        <v>1 · Frecuencia de casos con días perdidos</v>
      </c>
      <c r="E191" s="31" t="s">
        <v>599</v>
      </c>
      <c r="F191" s="247" t="str">
        <f>IF(ISNUMBER(KPIs!M6),KPIs!M6,"")</f>
        <v/>
      </c>
      <c r="G191" s="247">
        <f>IF(ISNUMBER(KPIs!$C$6),KPIs!$C$6,"")</f>
        <v>0</v>
      </c>
      <c r="H191" s="199" t="str">
        <f>IFERROR(INDEX(_TARGETS!$E$2:$E$17,MATCH($C191,_TARGETS!$A$2:$A$17,0))&amp;"","")</f>
        <v>≤</v>
      </c>
      <c r="I191" s="199" t="str">
        <f t="shared" si="10"/>
        <v/>
      </c>
      <c r="J191" s="193" t="str">
        <f t="shared" si="11"/>
        <v>Monthly</v>
      </c>
      <c r="K191" s="248">
        <f>Datos!M33</f>
        <v>0</v>
      </c>
      <c r="L191" s="248">
        <f>Datos!M14</f>
        <v>0</v>
      </c>
      <c r="M191" s="193">
        <f>INDEX(_TARGETS!$J$2:$J$17,MATCH($C191,_TARGETS!$A$2:$A$17,0))</f>
        <v>1000000</v>
      </c>
      <c r="N191" s="193" t="str">
        <f>INDEX(_TARGETS!$D$2:$D$17,MATCH($C191,_TARGETS!$A$2:$A$17,0))</f>
        <v>casos / 10^6 HH</v>
      </c>
      <c r="O191" s="193" t="str">
        <f>IF(NOT(ISNUMBER(F191)),"MISSING",IF((COUNTBLANK(Datos!M12)+COUNTBLANK(Datos!M13)+COUNTBLANK(Datos!M33))&gt;0,"INCOMPLETE","OK"))</f>
        <v>MISSING</v>
      </c>
      <c r="P191" s="193" t="str">
        <f>INDEX(_TARGETS!$K$2:$K$17,MATCH($C191,_TARGETS!$A$2:$A$17,0))</f>
        <v>OPS (carga manual en Datos)</v>
      </c>
      <c r="Q191" s="193" t="str">
        <f t="shared" si="12"/>
        <v>202705|DAFWCF|Monthly</v>
      </c>
      <c r="R191" s="193" t="str">
        <f>INDEX(_TARGETS!$H$2:$H$17,MATCH($C191,_TARGETS!$A$2:$A$17,0))</f>
        <v>Definida</v>
      </c>
      <c r="S191" s="193" t="str">
        <f t="shared" si="13"/>
        <v/>
      </c>
      <c r="T191" s="193" t="str">
        <f t="shared" si="14"/>
        <v/>
      </c>
    </row>
    <row r="192" spans="1:20" ht="13.5" customHeight="1" x14ac:dyDescent="0.3">
      <c r="A192" s="245">
        <f>KPIs!$M$3</f>
        <v>46508</v>
      </c>
      <c r="B192" s="199" t="str">
        <f>KPIs!M$4</f>
        <v>Compresora</v>
      </c>
      <c r="C192" s="31" t="s">
        <v>49</v>
      </c>
      <c r="D192" s="199" t="str">
        <f>KPIs!$A$7</f>
        <v>2 · Frecuencia de casos registrables</v>
      </c>
      <c r="E192" s="31" t="s">
        <v>599</v>
      </c>
      <c r="F192" s="247" t="str">
        <f>IF(ISNUMBER(KPIs!M7),KPIs!M7,"")</f>
        <v/>
      </c>
      <c r="G192" s="247">
        <f>IF(ISNUMBER(KPIs!$C$7),KPIs!$C$7,"")</f>
        <v>2.35</v>
      </c>
      <c r="H192" s="199" t="str">
        <f>IFERROR(INDEX(_TARGETS!$E$2:$E$17,MATCH($C192,_TARGETS!$A$2:$A$17,0))&amp;"","")</f>
        <v>≤</v>
      </c>
      <c r="I192" s="199" t="str">
        <f t="shared" si="10"/>
        <v/>
      </c>
      <c r="J192" s="193" t="str">
        <f t="shared" si="11"/>
        <v>Monthly</v>
      </c>
      <c r="K192" s="193">
        <f>Datos!M33+Datos!M34+Datos!M35+Datos!M36</f>
        <v>0</v>
      </c>
      <c r="L192" s="248">
        <f>Datos!M14</f>
        <v>0</v>
      </c>
      <c r="M192" s="193">
        <f>INDEX(_TARGETS!$J$2:$J$17,MATCH($C192,_TARGETS!$A$2:$A$17,0))</f>
        <v>1000000</v>
      </c>
      <c r="N192" s="193" t="str">
        <f>INDEX(_TARGETS!$D$2:$D$17,MATCH($C192,_TARGETS!$A$2:$A$17,0))</f>
        <v>casos / 10^6 HH</v>
      </c>
      <c r="O192" s="193" t="str">
        <f>IF(NOT(ISNUMBER(F192)),"MISSING",IF((COUNTBLANK(Datos!M12)+COUNTBLANK(Datos!M13)+COUNTBLANK(Datos!M33)+COUNTBLANK(Datos!M34)+COUNTBLANK(Datos!M35)+COUNTBLANK(Datos!M36))&gt;0,"INCOMPLETE","OK"))</f>
        <v>MISSING</v>
      </c>
      <c r="P192" s="193" t="str">
        <f>INDEX(_TARGETS!$K$2:$K$17,MATCH($C192,_TARGETS!$A$2:$A$17,0))</f>
        <v>OPS (carga manual en Datos)</v>
      </c>
      <c r="Q192" s="193" t="str">
        <f t="shared" si="12"/>
        <v>202705|TRICF|Monthly</v>
      </c>
      <c r="R192" s="193" t="str">
        <f>INDEX(_TARGETS!$H$2:$H$17,MATCH($C192,_TARGETS!$A$2:$A$17,0))</f>
        <v>Definida</v>
      </c>
      <c r="S192" s="193" t="str">
        <f t="shared" si="13"/>
        <v/>
      </c>
      <c r="T192" s="193" t="str">
        <f t="shared" si="14"/>
        <v/>
      </c>
    </row>
    <row r="193" spans="1:20" ht="13.5" customHeight="1" x14ac:dyDescent="0.3">
      <c r="A193" s="245">
        <f>KPIs!$M$3</f>
        <v>46508</v>
      </c>
      <c r="B193" s="199" t="str">
        <f>KPIs!M$4</f>
        <v>Compresora</v>
      </c>
      <c r="C193" s="31" t="s">
        <v>51</v>
      </c>
      <c r="D193" s="199" t="str">
        <f>KPIs!$A$8</f>
        <v>3 · Casos de primeros auxilios</v>
      </c>
      <c r="E193" s="31" t="s">
        <v>599</v>
      </c>
      <c r="F193" s="247" t="str">
        <f>IF(ISNUMBER(KPIs!M8),KPIs!M8,"")</f>
        <v/>
      </c>
      <c r="G193" s="247" t="str">
        <f>IF(ISNUMBER(KPIs!$C$8),KPIs!$C$8,"")</f>
        <v/>
      </c>
      <c r="H193" s="199" t="str">
        <f>IFERROR(INDEX(_TARGETS!$E$2:$E$17,MATCH($C193,_TARGETS!$A$2:$A$17,0))&amp;"","")</f>
        <v/>
      </c>
      <c r="I193" s="199" t="str">
        <f t="shared" si="10"/>
        <v/>
      </c>
      <c r="J193" s="193" t="str">
        <f t="shared" si="11"/>
        <v>Monthly</v>
      </c>
      <c r="K193" s="248">
        <f>Datos!M37</f>
        <v>0</v>
      </c>
      <c r="M193" s="193">
        <f>INDEX(_TARGETS!$J$2:$J$17,MATCH($C193,_TARGETS!$A$2:$A$17,0))</f>
        <v>1</v>
      </c>
      <c r="N193" s="193" t="str">
        <f>INDEX(_TARGETS!$D$2:$D$17,MATCH($C193,_TARGETS!$A$2:$A$17,0))</f>
        <v>casos</v>
      </c>
      <c r="O193" s="193" t="str">
        <f>IF(NOT(ISNUMBER(F193)),"MISSING",IF((COUNTBLANK(Datos!M12)+COUNTBLANK(Datos!M13)+COUNTBLANK(Datos!M37))&gt;0,"INCOMPLETE","OK"))</f>
        <v>MISSING</v>
      </c>
      <c r="P193" s="193" t="str">
        <f>INDEX(_TARGETS!$K$2:$K$17,MATCH($C193,_TARGETS!$A$2:$A$17,0))</f>
        <v>OPS (carga manual en Datos)</v>
      </c>
      <c r="Q193" s="193" t="str">
        <f t="shared" si="12"/>
        <v>202705|FAC|Monthly</v>
      </c>
      <c r="R193" s="193" t="str">
        <f>INDEX(_TARGETS!$H$2:$H$17,MATCH($C193,_TARGETS!$A$2:$A$17,0))</f>
        <v>Solo reporte</v>
      </c>
      <c r="S193" s="193" t="str">
        <f t="shared" si="13"/>
        <v/>
      </c>
      <c r="T193" s="193" t="str">
        <f t="shared" si="14"/>
        <v/>
      </c>
    </row>
    <row r="194" spans="1:20" ht="13.5" customHeight="1" x14ac:dyDescent="0.3">
      <c r="A194" s="245">
        <f>KPIs!$M$3</f>
        <v>46508</v>
      </c>
      <c r="B194" s="199" t="str">
        <f>KPIs!M$4</f>
        <v>Compresora</v>
      </c>
      <c r="C194" s="31" t="s">
        <v>57</v>
      </c>
      <c r="D194" s="199" t="str">
        <f>KPIs!$A$10</f>
        <v>4 · Accidentes vehiculares severos por millón de km</v>
      </c>
      <c r="E194" s="31" t="s">
        <v>599</v>
      </c>
      <c r="F194" s="247" t="str">
        <f>IF(ISNUMBER(KPIs!M10),KPIs!M10,"")</f>
        <v/>
      </c>
      <c r="G194" s="247" t="str">
        <f>IF(ISNUMBER(KPIs!$C$10),KPIs!$C$10,"")</f>
        <v/>
      </c>
      <c r="H194" s="199" t="str">
        <f>IFERROR(INDEX(_TARGETS!$E$2:$E$17,MATCH($C194,_TARGETS!$A$2:$A$17,0))&amp;"","")</f>
        <v/>
      </c>
      <c r="I194" s="199" t="str">
        <f t="shared" ref="I194:I257" si="15">IF(OR(H194="",F194="",G194=""),"",IF(IF(H194="≤",F194&lt;=G194,F194&gt;=G194),"Sí","No"))</f>
        <v/>
      </c>
      <c r="J194" s="193" t="str">
        <f t="shared" ref="J194:J257" si="16">IF(E194="Mensual","Monthly",IF(E194="Acumulado","Cumulative",E194))</f>
        <v>Monthly</v>
      </c>
      <c r="K194" s="193">
        <f>Datos!M39+Datos!M40+Datos!M41</f>
        <v>0</v>
      </c>
      <c r="L194" s="248">
        <f>Datos!M47</f>
        <v>0</v>
      </c>
      <c r="M194" s="193">
        <f>INDEX(_TARGETS!$J$2:$J$17,MATCH($C194,_TARGETS!$A$2:$A$17,0))</f>
        <v>1000000</v>
      </c>
      <c r="N194" s="193" t="str">
        <f>INDEX(_TARGETS!$D$2:$D$17,MATCH($C194,_TARGETS!$A$2:$A$17,0))</f>
        <v>eventos / 10^6 km</v>
      </c>
      <c r="O194" s="193" t="str">
        <f>IF(NOT(ISNUMBER(F194)),"MISSING",IF((COUNTBLANK(Datos!M44)+COUNTBLANK(Datos!M45)+COUNTBLANK(Datos!M46)+COUNTBLANK(Datos!M39)+COUNTBLANK(Datos!M40)+COUNTBLANK(Datos!M41))&gt;0,"INCOMPLETE","OK"))</f>
        <v>MISSING</v>
      </c>
      <c r="P194" s="193" t="str">
        <f>INDEX(_TARGETS!$K$2:$K$17,MATCH($C194,_TARGETS!$A$2:$A$17,0))</f>
        <v>OPS (eventos) + Full Control GPS (km) - carga manual en Datos</v>
      </c>
      <c r="Q194" s="193" t="str">
        <f t="shared" ref="Q194:Q257" si="17">YEAR(A194)*100+MONTH(A194)&amp;"|"&amp;C194&amp;"|"&amp;J194</f>
        <v>202705|SVCR|Monthly</v>
      </c>
      <c r="R194" s="193" t="str">
        <f>INDEX(_TARGETS!$H$2:$H$17,MATCH($C194,_TARGETS!$A$2:$A$17,0))</f>
        <v>Solo reporte</v>
      </c>
      <c r="S194" s="193" t="str">
        <f t="shared" ref="S194:S257" si="18">IF(AND(ISNUMBER(K194),ISNUMBER(L194)),IF(L194=0,"",K194*M194/L194),IF(ISNUMBER(K194),K194*M194,""))</f>
        <v/>
      </c>
      <c r="T194" s="193" t="str">
        <f t="shared" ref="T194:T257" si="19">IF(AND(ISNUMBER(F194),ISNUMBER(S194)),ABS(F194-S194),"")</f>
        <v/>
      </c>
    </row>
    <row r="195" spans="1:20" ht="13.5" customHeight="1" x14ac:dyDescent="0.3">
      <c r="A195" s="245">
        <f>KPIs!$M$3</f>
        <v>46508</v>
      </c>
      <c r="B195" s="199" t="str">
        <f>KPIs!M$4</f>
        <v>Compresora</v>
      </c>
      <c r="C195" s="31" t="s">
        <v>61</v>
      </c>
      <c r="D195" s="199" t="str">
        <f>KPIs!$A$11</f>
        <v>5 · Accidentes vehiculares totales por millón de km</v>
      </c>
      <c r="E195" s="31" t="s">
        <v>599</v>
      </c>
      <c r="F195" s="247" t="str">
        <f>IF(ISNUMBER(KPIs!M11),KPIs!M11,"")</f>
        <v/>
      </c>
      <c r="G195" s="247">
        <f>IF(ISNUMBER(KPIs!$C$11),KPIs!$C$11,"")</f>
        <v>0.79</v>
      </c>
      <c r="H195" s="199" t="str">
        <f>IFERROR(INDEX(_TARGETS!$E$2:$E$17,MATCH($C195,_TARGETS!$A$2:$A$17,0))&amp;"","")</f>
        <v>≤</v>
      </c>
      <c r="I195" s="199" t="str">
        <f t="shared" si="15"/>
        <v/>
      </c>
      <c r="J195" s="193" t="str">
        <f t="shared" si="16"/>
        <v>Monthly</v>
      </c>
      <c r="K195" s="193">
        <f>Datos!M39+Datos!M40+Datos!M41+Datos!M42</f>
        <v>0</v>
      </c>
      <c r="L195" s="248">
        <f>Datos!M47</f>
        <v>0</v>
      </c>
      <c r="M195" s="193">
        <f>INDEX(_TARGETS!$J$2:$J$17,MATCH($C195,_TARGETS!$A$2:$A$17,0))</f>
        <v>1000000</v>
      </c>
      <c r="N195" s="193" t="str">
        <f>INDEX(_TARGETS!$D$2:$D$17,MATCH($C195,_TARGETS!$A$2:$A$17,0))</f>
        <v>eventos / 10^6 km</v>
      </c>
      <c r="O195" s="193" t="str">
        <f>IF(NOT(ISNUMBER(F195)),"MISSING",IF((COUNTBLANK(Datos!M44)+COUNTBLANK(Datos!M45)+COUNTBLANK(Datos!M46)+COUNTBLANK(Datos!M39)+COUNTBLANK(Datos!M40)+COUNTBLANK(Datos!M41)+COUNTBLANK(Datos!M42))&gt;0,"INCOMPLETE","OK"))</f>
        <v>MISSING</v>
      </c>
      <c r="P195" s="193" t="str">
        <f>INDEX(_TARGETS!$K$2:$K$17,MATCH($C195,_TARGETS!$A$2:$A$17,0))</f>
        <v>OPS (eventos) + Full Control GPS (km) - carga manual en Datos</v>
      </c>
      <c r="Q195" s="193" t="str">
        <f t="shared" si="17"/>
        <v>202705|TVCR|Monthly</v>
      </c>
      <c r="R195" s="193" t="str">
        <f>INDEX(_TARGETS!$H$2:$H$17,MATCH($C195,_TARGETS!$A$2:$A$17,0))</f>
        <v>Definida</v>
      </c>
      <c r="S195" s="193" t="str">
        <f t="shared" si="18"/>
        <v/>
      </c>
      <c r="T195" s="193" t="str">
        <f t="shared" si="19"/>
        <v/>
      </c>
    </row>
    <row r="196" spans="1:20" ht="13.5" customHeight="1" x14ac:dyDescent="0.3">
      <c r="A196" s="245">
        <f>KPIs!$M$3</f>
        <v>46508</v>
      </c>
      <c r="B196" s="199" t="str">
        <f>KPIs!M$4</f>
        <v>Compresora</v>
      </c>
      <c r="C196" s="31" t="s">
        <v>63</v>
      </c>
      <c r="D196" s="199" t="str">
        <f>KPIs!$A$13</f>
        <v>6 · Observaciones de seguridad por persona</v>
      </c>
      <c r="E196" s="31" t="s">
        <v>599</v>
      </c>
      <c r="F196" s="247" t="str">
        <f>IF(ISNUMBER(KPIs!M13),KPIs!M13,"")</f>
        <v/>
      </c>
      <c r="G196" s="247">
        <f>IF(ISNUMBER(KPIs!$C$13),KPIs!$C$13,"")</f>
        <v>1</v>
      </c>
      <c r="H196" s="199" t="str">
        <f>IFERROR(INDEX(_TARGETS!$E$2:$E$17,MATCH($C196,_TARGETS!$A$2:$A$17,0))&amp;"","")</f>
        <v>≥</v>
      </c>
      <c r="I196" s="199" t="str">
        <f t="shared" si="15"/>
        <v/>
      </c>
      <c r="J196" s="193" t="str">
        <f t="shared" si="16"/>
        <v>Monthly</v>
      </c>
      <c r="K196" s="248" t="str">
        <f>IF(COUNT(Datos!M28:M29)=0,"",SUM(Datos!M28:M29))</f>
        <v/>
      </c>
      <c r="L196" s="248">
        <f>Datos!M11</f>
        <v>0</v>
      </c>
      <c r="M196" s="193">
        <f>INDEX(_TARGETS!$J$2:$J$17,MATCH($C196,_TARGETS!$A$2:$A$17,0))</f>
        <v>1</v>
      </c>
      <c r="N196" s="193" t="str">
        <f>INDEX(_TARGETS!$D$2:$D$17,MATCH($C196,_TARGETS!$A$2:$A$17,0))</f>
        <v>obs / persona</v>
      </c>
      <c r="O196" s="193" t="str">
        <f>IF(NOT(ISNUMBER(F196)),"MISSING",IF((COUNTBLANK(Datos!M9)+COUNTBLANK(Datos!M10)+IF(COUNT(Datos!M28:M29)=0,1,0))&gt;0,"INCOMPLETE","OK"))</f>
        <v>MISSING</v>
      </c>
      <c r="P196" s="193" t="str">
        <f>INDEX(_TARGETS!$K$2:$K$17,MATCH($C196,_TARGETS!$A$2:$A$17,0))</f>
        <v>OPS (carga manual en Datos)</v>
      </c>
      <c r="Q196" s="193" t="str">
        <f t="shared" si="17"/>
        <v>202705|OBS|Monthly</v>
      </c>
      <c r="R196" s="193" t="str">
        <f>INDEX(_TARGETS!$H$2:$H$17,MATCH($C196,_TARGETS!$A$2:$A$17,0))</f>
        <v>PROVISORIA · referencia del subcontratista (OPS: 1 obs/persona); meta y población en definición</v>
      </c>
      <c r="S196" s="193" t="str">
        <f t="shared" si="18"/>
        <v/>
      </c>
      <c r="T196" s="193" t="str">
        <f t="shared" si="19"/>
        <v/>
      </c>
    </row>
    <row r="197" spans="1:20" ht="13.5" customHeight="1" x14ac:dyDescent="0.3">
      <c r="A197" s="245">
        <f>KPIs!$M$3</f>
        <v>46508</v>
      </c>
      <c r="B197" s="199" t="str">
        <f>KPIs!M$4</f>
        <v>Compresora</v>
      </c>
      <c r="C197" s="31" t="s">
        <v>71</v>
      </c>
      <c r="D197" s="199" t="str">
        <f>KPIs!$A$14</f>
        <v>7 · Investigaciones de accidentes: días promedio de cierre</v>
      </c>
      <c r="E197" s="31" t="s">
        <v>599</v>
      </c>
      <c r="F197" s="247" t="str">
        <f>IF(ISNUMBER(KPIs!M14),KPIs!M14,"")</f>
        <v/>
      </c>
      <c r="G197" s="247">
        <f>IF(ISNUMBER(KPIs!$C$14),KPIs!$C$14,"")</f>
        <v>20</v>
      </c>
      <c r="H197" s="199" t="str">
        <f>IFERROR(INDEX(_TARGETS!$E$2:$E$17,MATCH($C197,_TARGETS!$A$2:$A$17,0))&amp;"","")</f>
        <v>≤</v>
      </c>
      <c r="I197" s="199" t="str">
        <f t="shared" si="15"/>
        <v/>
      </c>
      <c r="J197" s="193" t="str">
        <f t="shared" si="16"/>
        <v>Monthly</v>
      </c>
      <c r="K197" s="248">
        <f>Datos!M31</f>
        <v>0</v>
      </c>
      <c r="L197" s="248">
        <f>Datos!M30</f>
        <v>0</v>
      </c>
      <c r="M197" s="193">
        <f>INDEX(_TARGETS!$J$2:$J$17,MATCH($C197,_TARGETS!$A$2:$A$17,0))</f>
        <v>1</v>
      </c>
      <c r="N197" s="193" t="str">
        <f>INDEX(_TARGETS!$D$2:$D$17,MATCH($C197,_TARGETS!$A$2:$A$17,0))</f>
        <v>días</v>
      </c>
      <c r="O197" s="193" t="str">
        <f>IF(NOT(ISNUMBER(F197)),"MISSING",IF((COUNTBLANK(Datos!M30)+COUNTBLANK(Datos!M31))&gt;0,"INCOMPLETE","OK"))</f>
        <v>MISSING</v>
      </c>
      <c r="P197" s="193" t="str">
        <f>INDEX(_TARGETS!$K$2:$K$17,MATCH($C197,_TARGETS!$A$2:$A$17,0))</f>
        <v>OPS (carga manual en Datos)</v>
      </c>
      <c r="Q197" s="193" t="str">
        <f t="shared" si="17"/>
        <v>202705|INV|Monthly</v>
      </c>
      <c r="R197" s="193" t="str">
        <f>INDEX(_TARGETS!$H$2:$H$17,MATCH($C197,_TARGETS!$A$2:$A$17,0))</f>
        <v>Definida</v>
      </c>
      <c r="S197" s="193" t="str">
        <f t="shared" si="18"/>
        <v/>
      </c>
      <c r="T197" s="193" t="str">
        <f t="shared" si="19"/>
        <v/>
      </c>
    </row>
    <row r="198" spans="1:20" ht="13.5" customHeight="1" x14ac:dyDescent="0.3">
      <c r="A198" s="245">
        <f>KPIs!$M$3</f>
        <v>46508</v>
      </c>
      <c r="B198" s="199" t="str">
        <f>KPIs!M$4</f>
        <v>Compresora</v>
      </c>
      <c r="C198" s="31" t="s">
        <v>76</v>
      </c>
      <c r="D198" s="199" t="str">
        <f>KPIs!$A$16</f>
        <v>8 · % de capacitación en seguridad</v>
      </c>
      <c r="E198" s="31" t="s">
        <v>599</v>
      </c>
      <c r="F198" s="247" t="str">
        <f>IF(ISNUMBER(KPIs!M16),KPIs!M16,"")</f>
        <v/>
      </c>
      <c r="G198" s="247">
        <f>IF(ISNUMBER(KPIs!$C$16),KPIs!$C$16,"")</f>
        <v>0.01</v>
      </c>
      <c r="H198" s="199" t="str">
        <f>IFERROR(INDEX(_TARGETS!$E$2:$E$17,MATCH($C198,_TARGETS!$A$2:$A$17,0))&amp;"","")</f>
        <v>≥</v>
      </c>
      <c r="I198" s="199" t="str">
        <f t="shared" si="15"/>
        <v/>
      </c>
      <c r="J198" s="193" t="str">
        <f t="shared" si="16"/>
        <v>Monthly</v>
      </c>
      <c r="K198" s="248">
        <f>Datos!M18</f>
        <v>0</v>
      </c>
      <c r="L198" s="248">
        <f>Datos!M14</f>
        <v>0</v>
      </c>
      <c r="M198" s="193">
        <f>INDEX(_TARGETS!$J$2:$J$17,MATCH($C198,_TARGETS!$A$2:$A$17,0))</f>
        <v>1</v>
      </c>
      <c r="N198" s="193" t="str">
        <f>INDEX(_TARGETS!$D$2:$D$17,MATCH($C198,_TARGETS!$A$2:$A$17,0))</f>
        <v>% (fracción)</v>
      </c>
      <c r="O198" s="193" t="str">
        <f>IF(NOT(ISNUMBER(F198)),"MISSING",IF((COUNTBLANK(Datos!M16)+COUNTBLANK(Datos!M17)+COUNTBLANK(Datos!M12)+COUNTBLANK(Datos!M13))&gt;0,"INCOMPLETE","OK"))</f>
        <v>MISSING</v>
      </c>
      <c r="P198" s="193" t="str">
        <f>INDEX(_TARGETS!$K$2:$K$17,MATCH($C198,_TARGETS!$A$2:$A$17,0))</f>
        <v>OPS (carga manual en Datos)</v>
      </c>
      <c r="Q198" s="193" t="str">
        <f t="shared" si="17"/>
        <v>202705|HCS|Monthly</v>
      </c>
      <c r="R198" s="193" t="str">
        <f>INDEX(_TARGETS!$H$2:$H$17,MATCH($C198,_TARGETS!$A$2:$A$17,0))</f>
        <v>Definida</v>
      </c>
      <c r="S198" s="193" t="str">
        <f t="shared" si="18"/>
        <v/>
      </c>
      <c r="T198" s="193" t="str">
        <f t="shared" si="19"/>
        <v/>
      </c>
    </row>
    <row r="199" spans="1:20" ht="13.5" customHeight="1" x14ac:dyDescent="0.3">
      <c r="A199" s="245">
        <f>KPIs!$M$3</f>
        <v>46508</v>
      </c>
      <c r="B199" s="199" t="str">
        <f>KPIs!M$4</f>
        <v>Compresora</v>
      </c>
      <c r="C199" s="31" t="s">
        <v>80</v>
      </c>
      <c r="D199" s="199" t="str">
        <f>KPIs!$A$17</f>
        <v>9 · Horas de capacitación por persona</v>
      </c>
      <c r="E199" s="31" t="s">
        <v>599</v>
      </c>
      <c r="F199" s="247" t="str">
        <f>IF(ISNUMBER(KPIs!M17),KPIs!M17,"")</f>
        <v/>
      </c>
      <c r="G199" s="247" t="str">
        <f>IF(ISNUMBER(KPIs!$C$17),KPIs!$C$17,"")</f>
        <v/>
      </c>
      <c r="H199" s="199" t="str">
        <f>IFERROR(INDEX(_TARGETS!$E$2:$E$17,MATCH($C199,_TARGETS!$A$2:$A$17,0))&amp;"","")</f>
        <v/>
      </c>
      <c r="I199" s="199" t="str">
        <f t="shared" si="15"/>
        <v/>
      </c>
      <c r="J199" s="193" t="str">
        <f t="shared" si="16"/>
        <v>Monthly</v>
      </c>
      <c r="K199" s="248">
        <f>Datos!M18</f>
        <v>0</v>
      </c>
      <c r="L199" s="248">
        <f>Datos!M11</f>
        <v>0</v>
      </c>
      <c r="M199" s="193">
        <f>INDEX(_TARGETS!$J$2:$J$17,MATCH($C199,_TARGETS!$A$2:$A$17,0))</f>
        <v>1</v>
      </c>
      <c r="N199" s="193" t="str">
        <f>INDEX(_TARGETS!$D$2:$D$17,MATCH($C199,_TARGETS!$A$2:$A$17,0))</f>
        <v>h / persona</v>
      </c>
      <c r="O199" s="193" t="str">
        <f>IF(NOT(ISNUMBER(F199)),"MISSING",IF((COUNTBLANK(Datos!M16)+COUNTBLANK(Datos!M17)+COUNTBLANK(Datos!M9)+COUNTBLANK(Datos!M10))&gt;0,"INCOMPLETE","OK"))</f>
        <v>MISSING</v>
      </c>
      <c r="P199" s="193" t="str">
        <f>INDEX(_TARGETS!$K$2:$K$17,MATCH($C199,_TARGETS!$A$2:$A$17,0))</f>
        <v>OPS (carga manual en Datos)</v>
      </c>
      <c r="Q199" s="193" t="str">
        <f t="shared" si="17"/>
        <v>202705|HCSA|Monthly</v>
      </c>
      <c r="R199" s="193" t="str">
        <f>INDEX(_TARGETS!$H$2:$H$17,MATCH($C199,_TARGETS!$A$2:$A$17,0))</f>
        <v>Solo reporte</v>
      </c>
      <c r="S199" s="193" t="str">
        <f t="shared" si="18"/>
        <v/>
      </c>
      <c r="T199" s="193" t="str">
        <f t="shared" si="19"/>
        <v/>
      </c>
    </row>
    <row r="200" spans="1:20" ht="13.5" customHeight="1" x14ac:dyDescent="0.3">
      <c r="A200" s="245">
        <f>KPIs!$M$3</f>
        <v>46508</v>
      </c>
      <c r="B200" s="199" t="str">
        <f>KPIs!M$4</f>
        <v>Compresora</v>
      </c>
      <c r="C200" s="31" t="s">
        <v>83</v>
      </c>
      <c r="D200" s="199" t="str">
        <f>KPIs!$A$18</f>
        <v>10 · Cumplimiento de simulacros (emergencia y operativos)</v>
      </c>
      <c r="E200" s="31" t="s">
        <v>599</v>
      </c>
      <c r="F200" s="247" t="str">
        <f>IF(ISNUMBER(KPIs!M18),KPIs!M18,"")</f>
        <v/>
      </c>
      <c r="G200" s="247">
        <f>IF(ISNUMBER(KPIs!$C$18),KPIs!$C$18,"")</f>
        <v>1</v>
      </c>
      <c r="H200" s="199" t="str">
        <f>IFERROR(INDEX(_TARGETS!$E$2:$E$17,MATCH($C200,_TARGETS!$A$2:$A$17,0))&amp;"","")</f>
        <v>≥</v>
      </c>
      <c r="I200" s="199" t="str">
        <f t="shared" si="15"/>
        <v/>
      </c>
      <c r="J200" s="193" t="str">
        <f t="shared" si="16"/>
        <v>Monthly</v>
      </c>
      <c r="K200" s="248">
        <f>Datos!M20</f>
        <v>0</v>
      </c>
      <c r="L200" s="248">
        <f>Datos!M21</f>
        <v>0</v>
      </c>
      <c r="M200" s="193">
        <f>INDEX(_TARGETS!$J$2:$J$17,MATCH($C200,_TARGETS!$A$2:$A$17,0))</f>
        <v>1</v>
      </c>
      <c r="N200" s="193" t="str">
        <f>INDEX(_TARGETS!$D$2:$D$17,MATCH($C200,_TARGETS!$A$2:$A$17,0))</f>
        <v>% (fracción)</v>
      </c>
      <c r="O200" s="193" t="str">
        <f>IF(NOT(ISNUMBER(F200)),"MISSING",IF((COUNTBLANK(Datos!M20)+COUNTBLANK(Datos!M21))&gt;0,"INCOMPLETE","OK"))</f>
        <v>MISSING</v>
      </c>
      <c r="P200" s="193" t="str">
        <f>INDEX(_TARGETS!$K$2:$K$17,MATCH($C200,_TARGETS!$A$2:$A$17,0))</f>
        <v>OPS (carga manual en Datos)</v>
      </c>
      <c r="Q200" s="193" t="str">
        <f t="shared" si="17"/>
        <v>202705|CPSE|Monthly</v>
      </c>
      <c r="R200" s="193" t="str">
        <f>INDEX(_TARGETS!$H$2:$H$17,MATCH($C200,_TARGETS!$A$2:$A$17,0))</f>
        <v>Definida</v>
      </c>
      <c r="S200" s="193" t="str">
        <f t="shared" si="18"/>
        <v/>
      </c>
      <c r="T200" s="193" t="str">
        <f t="shared" si="19"/>
        <v/>
      </c>
    </row>
    <row r="201" spans="1:20" ht="13.5" customHeight="1" x14ac:dyDescent="0.3">
      <c r="A201" s="245">
        <f>KPIs!$M$3</f>
        <v>46508</v>
      </c>
      <c r="B201" s="199" t="str">
        <f>KPIs!M$4</f>
        <v>Compresora</v>
      </c>
      <c r="C201" s="31" t="s">
        <v>85</v>
      </c>
      <c r="D201" s="199" t="str">
        <f>KPIs!$A$19</f>
        <v>10b · Cumplimiento de acciones de mejora de simulacros</v>
      </c>
      <c r="E201" s="31" t="s">
        <v>599</v>
      </c>
      <c r="F201" s="247" t="str">
        <f>IF(ISNUMBER(KPIs!M19),KPIs!M19,"")</f>
        <v/>
      </c>
      <c r="G201" s="247" t="str">
        <f>IF(ISNUMBER(KPIs!$C$19),KPIs!$C$19,"")</f>
        <v/>
      </c>
      <c r="H201" s="199" t="str">
        <f>IFERROR(INDEX(_TARGETS!$E$2:$E$17,MATCH($C201,_TARGETS!$A$2:$A$17,0))&amp;"","")</f>
        <v/>
      </c>
      <c r="I201" s="199" t="str">
        <f t="shared" si="15"/>
        <v/>
      </c>
      <c r="J201" s="193" t="str">
        <f t="shared" si="16"/>
        <v>Monthly</v>
      </c>
      <c r="K201" s="248">
        <f>Datos!M23</f>
        <v>0</v>
      </c>
      <c r="L201" s="248">
        <f>Datos!M22</f>
        <v>0</v>
      </c>
      <c r="M201" s="193">
        <f>INDEX(_TARGETS!$J$2:$J$17,MATCH($C201,_TARGETS!$A$2:$A$17,0))</f>
        <v>1</v>
      </c>
      <c r="N201" s="193" t="str">
        <f>INDEX(_TARGETS!$D$2:$D$17,MATCH($C201,_TARGETS!$A$2:$A$17,0))</f>
        <v>% (fracción)</v>
      </c>
      <c r="O201" s="193" t="str">
        <f>IF(NOT(ISNUMBER(F201)),"MISSING",IF((COUNTBLANK(Datos!M23)+COUNTBLANK(Datos!M22))&gt;0,"INCOMPLETE","OK"))</f>
        <v>MISSING</v>
      </c>
      <c r="P201" s="193" t="str">
        <f>INDEX(_TARGETS!$K$2:$K$17,MATCH($C201,_TARGETS!$A$2:$A$17,0))</f>
        <v>OPS (carga manual en Datos)</v>
      </c>
      <c r="Q201" s="193" t="str">
        <f t="shared" si="17"/>
        <v>202705|CAMS|Monthly</v>
      </c>
      <c r="R201" s="193" t="str">
        <f>INDEX(_TARGETS!$H$2:$H$17,MATCH($C201,_TARGETS!$A$2:$A$17,0))</f>
        <v>Solo reporte</v>
      </c>
      <c r="S201" s="193" t="str">
        <f t="shared" si="18"/>
        <v/>
      </c>
      <c r="T201" s="193" t="str">
        <f t="shared" si="19"/>
        <v/>
      </c>
    </row>
    <row r="202" spans="1:20" ht="13.5" customHeight="1" x14ac:dyDescent="0.3">
      <c r="A202" s="245">
        <f>KPIs!$M$3</f>
        <v>46508</v>
      </c>
      <c r="B202" s="199" t="str">
        <f>KPIs!M$4</f>
        <v>Compresora</v>
      </c>
      <c r="C202" s="31" t="s">
        <v>87</v>
      </c>
      <c r="D202" s="199" t="str">
        <f>KPIs!$A$21</f>
        <v>11 · Cumplimiento de caminatas gerenciales</v>
      </c>
      <c r="E202" s="31" t="s">
        <v>599</v>
      </c>
      <c r="F202" s="247" t="str">
        <f>IF(ISNUMBER(KPIs!M21),KPIs!M21,"")</f>
        <v/>
      </c>
      <c r="G202" s="247">
        <f>IF(ISNUMBER(KPIs!$C$21),KPIs!$C$21,"")</f>
        <v>1</v>
      </c>
      <c r="H202" s="199" t="str">
        <f>IFERROR(INDEX(_TARGETS!$E$2:$E$17,MATCH($C202,_TARGETS!$A$2:$A$17,0))&amp;"","")</f>
        <v>≥</v>
      </c>
      <c r="I202" s="199" t="str">
        <f t="shared" si="15"/>
        <v/>
      </c>
      <c r="J202" s="193" t="str">
        <f t="shared" si="16"/>
        <v>Monthly</v>
      </c>
      <c r="K202" s="248">
        <f>Datos!M24</f>
        <v>0</v>
      </c>
      <c r="L202" s="248">
        <f>Datos!M25</f>
        <v>0</v>
      </c>
      <c r="M202" s="193">
        <f>INDEX(_TARGETS!$J$2:$J$17,MATCH($C202,_TARGETS!$A$2:$A$17,0))</f>
        <v>1</v>
      </c>
      <c r="N202" s="193" t="str">
        <f>INDEX(_TARGETS!$D$2:$D$17,MATCH($C202,_TARGETS!$A$2:$A$17,0))</f>
        <v>% (fracción)</v>
      </c>
      <c r="O202" s="193" t="str">
        <f>IF(NOT(ISNUMBER(F202)),"MISSING",IF((COUNTBLANK(Datos!M24)+COUNTBLANK(Datos!M25))&gt;0,"INCOMPLETE","OK"))</f>
        <v>MISSING</v>
      </c>
      <c r="P202" s="193" t="str">
        <f>INDEX(_TARGETS!$K$2:$K$17,MATCH($C202,_TARGETS!$A$2:$A$17,0))</f>
        <v>OPS (carga manual en Datos)</v>
      </c>
      <c r="Q202" s="193" t="str">
        <f t="shared" si="17"/>
        <v>202705|ICCS|Monthly</v>
      </c>
      <c r="R202" s="193" t="str">
        <f>INDEX(_TARGETS!$H$2:$H$17,MATCH($C202,_TARGETS!$A$2:$A$17,0))</f>
        <v>Definida</v>
      </c>
      <c r="S202" s="193" t="str">
        <f t="shared" si="18"/>
        <v/>
      </c>
      <c r="T202" s="193" t="str">
        <f t="shared" si="19"/>
        <v/>
      </c>
    </row>
    <row r="203" spans="1:20" ht="13.5" customHeight="1" x14ac:dyDescent="0.3">
      <c r="A203" s="245">
        <f>KPIs!$M$3</f>
        <v>46508</v>
      </c>
      <c r="B203" s="199" t="str">
        <f>KPIs!M$4</f>
        <v>Compresora</v>
      </c>
      <c r="C203" s="31" t="s">
        <v>89</v>
      </c>
      <c r="D203" s="199" t="str">
        <f>KPIs!$A$22</f>
        <v>12 · Cumplimiento de comités y subcomités de seguridad</v>
      </c>
      <c r="E203" s="31" t="s">
        <v>599</v>
      </c>
      <c r="F203" s="247" t="str">
        <f>IF(ISNUMBER(KPIs!M22),KPIs!M22,"")</f>
        <v/>
      </c>
      <c r="G203" s="247">
        <f>IF(ISNUMBER(KPIs!$C$22),KPIs!$C$22,"")</f>
        <v>1</v>
      </c>
      <c r="H203" s="199" t="str">
        <f>IFERROR(INDEX(_TARGETS!$E$2:$E$17,MATCH($C203,_TARGETS!$A$2:$A$17,0))&amp;"","")</f>
        <v>≥</v>
      </c>
      <c r="I203" s="199" t="str">
        <f t="shared" si="15"/>
        <v/>
      </c>
      <c r="J203" s="193" t="str">
        <f t="shared" si="16"/>
        <v>Monthly</v>
      </c>
      <c r="K203" s="248">
        <f>Datos!M26</f>
        <v>0</v>
      </c>
      <c r="L203" s="248">
        <f>Datos!M27</f>
        <v>0</v>
      </c>
      <c r="M203" s="193">
        <f>INDEX(_TARGETS!$J$2:$J$17,MATCH($C203,_TARGETS!$A$2:$A$17,0))</f>
        <v>1</v>
      </c>
      <c r="N203" s="193" t="str">
        <f>INDEX(_TARGETS!$D$2:$D$17,MATCH($C203,_TARGETS!$A$2:$A$17,0))</f>
        <v>% (fracción)</v>
      </c>
      <c r="O203" s="193" t="str">
        <f>IF(NOT(ISNUMBER(F203)),"MISSING",IF((COUNTBLANK(Datos!M26)+COUNTBLANK(Datos!M27))&gt;0,"INCOMPLETE","OK"))</f>
        <v>MISSING</v>
      </c>
      <c r="P203" s="193" t="str">
        <f>INDEX(_TARGETS!$K$2:$K$17,MATCH($C203,_TARGETS!$A$2:$A$17,0))</f>
        <v>OPS (carga manual en Datos)</v>
      </c>
      <c r="Q203" s="193" t="str">
        <f t="shared" si="17"/>
        <v>202705|CCS|Monthly</v>
      </c>
      <c r="R203" s="193" t="str">
        <f>INDEX(_TARGETS!$H$2:$H$17,MATCH($C203,_TARGETS!$A$2:$A$17,0))</f>
        <v>Definida</v>
      </c>
      <c r="S203" s="193" t="str">
        <f t="shared" si="18"/>
        <v/>
      </c>
      <c r="T203" s="193" t="str">
        <f t="shared" si="19"/>
        <v/>
      </c>
    </row>
    <row r="204" spans="1:20" ht="13.5" customHeight="1" x14ac:dyDescent="0.3">
      <c r="A204" s="245">
        <f>KPIs!$M$3</f>
        <v>46508</v>
      </c>
      <c r="B204" s="199" t="str">
        <f>KPIs!M$4</f>
        <v>Compresora</v>
      </c>
      <c r="C204" s="31" t="s">
        <v>91</v>
      </c>
      <c r="D204" s="199" t="str">
        <f>KPIs!$A$23</f>
        <v>13 · Días promedio para cerrar hallazgos</v>
      </c>
      <c r="E204" s="31" t="s">
        <v>599</v>
      </c>
      <c r="F204" s="247" t="str">
        <f>IF(ISNUMBER(KPIs!M23),KPIs!M23,"")</f>
        <v/>
      </c>
      <c r="G204" s="247" t="str">
        <f>IF(ISNUMBER(KPIs!$C$23),KPIs!$C$23,"")</f>
        <v/>
      </c>
      <c r="H204" s="199" t="str">
        <f>IFERROR(INDEX(_TARGETS!$E$2:$E$17,MATCH($C204,_TARGETS!$A$2:$A$17,0))&amp;"","")</f>
        <v>≤</v>
      </c>
      <c r="I204" s="199" t="str">
        <f t="shared" si="15"/>
        <v/>
      </c>
      <c r="J204" s="193" t="str">
        <f t="shared" si="16"/>
        <v>Monthly</v>
      </c>
      <c r="K204" s="248">
        <f>Datos!M68</f>
        <v>0</v>
      </c>
      <c r="L204" s="248">
        <f>Datos!M67</f>
        <v>0</v>
      </c>
      <c r="M204" s="193">
        <f>INDEX(_TARGETS!$J$2:$J$17,MATCH($C204,_TARGETS!$A$2:$A$17,0))</f>
        <v>1</v>
      </c>
      <c r="N204" s="193" t="str">
        <f>INDEX(_TARGETS!$D$2:$D$17,MATCH($C204,_TARGETS!$A$2:$A$17,0))</f>
        <v>días</v>
      </c>
      <c r="O204" s="193" t="str">
        <f>IF(NOT(ISNUMBER(F204)),"MISSING","OK")</f>
        <v>MISSING</v>
      </c>
      <c r="P204" s="193" t="str">
        <f>INDEX(_TARGETS!$K$2:$K$17,MATCH($C204,_TARGETS!$A$2:$A$17,0))</f>
        <v>Plant Findings (hoja Observaciones-SMP)</v>
      </c>
      <c r="Q204" s="193" t="str">
        <f t="shared" si="17"/>
        <v>202705|DPAS|Monthly</v>
      </c>
      <c r="R204" s="193" t="str">
        <f>INDEX(_TARGETS!$H$2:$H$17,MATCH($C204,_TARGETS!$A$2:$A$17,0))</f>
        <v>Pendiente (meta 2027)</v>
      </c>
      <c r="S204" s="193" t="str">
        <f t="shared" si="18"/>
        <v/>
      </c>
      <c r="T204" s="193" t="str">
        <f t="shared" si="19"/>
        <v/>
      </c>
    </row>
    <row r="205" spans="1:20" ht="13.5" customHeight="1" x14ac:dyDescent="0.3">
      <c r="A205" s="245">
        <f>KPIs!$M$3</f>
        <v>46508</v>
      </c>
      <c r="B205" s="199" t="str">
        <f>KPIs!M$4</f>
        <v>Compresora</v>
      </c>
      <c r="C205" s="31" t="s">
        <v>39</v>
      </c>
      <c r="D205" s="199" t="str">
        <f>KPIs!$A$26</f>
        <v>1 · Frecuencia de casos con días perdidos · ACUMULADO</v>
      </c>
      <c r="E205" s="31" t="s">
        <v>600</v>
      </c>
      <c r="F205" s="247" t="str">
        <f>IF(ISNUMBER(KPIs!M26),KPIs!M26,"")</f>
        <v/>
      </c>
      <c r="G205" s="247">
        <f>IF(ISNUMBER(KPIs!$C$26),KPIs!$C$26,"")</f>
        <v>0</v>
      </c>
      <c r="H205" s="199" t="str">
        <f>IFERROR(INDEX(_TARGETS!$E$2:$E$17,MATCH($C205,_TARGETS!$A$2:$A$17,0))&amp;"","")</f>
        <v>≤</v>
      </c>
      <c r="I205" s="199" t="str">
        <f t="shared" si="15"/>
        <v/>
      </c>
      <c r="J205" s="193" t="str">
        <f t="shared" si="16"/>
        <v>Cumulative</v>
      </c>
      <c r="K205" s="193">
        <f>SUM(Datos!$D33:M33)</f>
        <v>0</v>
      </c>
      <c r="L205" s="193">
        <f>SUM(Datos!$D14:M14)</f>
        <v>48332</v>
      </c>
      <c r="M205" s="193">
        <f>INDEX(_TARGETS!$J$2:$J$17,MATCH($C205,_TARGETS!$A$2:$A$17,0))</f>
        <v>1000000</v>
      </c>
      <c r="N205" s="193" t="str">
        <f>INDEX(_TARGETS!$D$2:$D$17,MATCH($C205,_TARGETS!$A$2:$A$17,0))</f>
        <v>casos / 10^6 HH</v>
      </c>
      <c r="O205" s="193" t="str">
        <f>IF(NOT(ISNUMBER(F205)),IF(SUMPRODUCT(($C$2:$C$1300=C205)*($J$2:$J$1300="Monthly")*($A$2:$A$1300&lt;=A205)*ISNUMBER($K$2:$K$1300)*ISNUMBER($L$2:$L$1300)*($L$2:$L$1300=0)*($K$2:$K$1300&gt;0))&gt;0,"INCOMPLETE","MISSING"),O191)</f>
        <v>MISSING</v>
      </c>
      <c r="P205" s="193" t="str">
        <f>INDEX(_TARGETS!$K$2:$K$17,MATCH($C205,_TARGETS!$A$2:$A$17,0))</f>
        <v>OPS (carga manual en Datos)</v>
      </c>
      <c r="Q205" s="193" t="str">
        <f t="shared" si="17"/>
        <v>202705|DAFWCF|Cumulative</v>
      </c>
      <c r="R205" s="193" t="str">
        <f>INDEX(_TARGETS!$H$2:$H$17,MATCH($C205,_TARGETS!$A$2:$A$17,0))</f>
        <v>Definida</v>
      </c>
      <c r="S205" s="193">
        <f t="shared" si="18"/>
        <v>0</v>
      </c>
      <c r="T205" s="193" t="str">
        <f t="shared" si="19"/>
        <v/>
      </c>
    </row>
    <row r="206" spans="1:20" ht="13.5" customHeight="1" x14ac:dyDescent="0.3">
      <c r="A206" s="245">
        <f>KPIs!$M$3</f>
        <v>46508</v>
      </c>
      <c r="B206" s="199" t="str">
        <f>KPIs!M$4</f>
        <v>Compresora</v>
      </c>
      <c r="C206" s="31" t="s">
        <v>49</v>
      </c>
      <c r="D206" s="199" t="str">
        <f>KPIs!$A$27</f>
        <v>2 · Frecuencia de casos registrables · ACUMULADO</v>
      </c>
      <c r="E206" s="31" t="s">
        <v>600</v>
      </c>
      <c r="F206" s="247" t="str">
        <f>IF(ISNUMBER(KPIs!M27),KPIs!M27,"")</f>
        <v/>
      </c>
      <c r="G206" s="247">
        <f>IF(ISNUMBER(KPIs!$C$27),KPIs!$C$27,"")</f>
        <v>2.35</v>
      </c>
      <c r="H206" s="199" t="str">
        <f>IFERROR(INDEX(_TARGETS!$E$2:$E$17,MATCH($C206,_TARGETS!$A$2:$A$17,0))&amp;"","")</f>
        <v>≤</v>
      </c>
      <c r="I206" s="199" t="str">
        <f t="shared" si="15"/>
        <v/>
      </c>
      <c r="J206" s="193" t="str">
        <f t="shared" si="16"/>
        <v>Cumulative</v>
      </c>
      <c r="K206" s="193">
        <f>SUM(Datos!$D33:M33)+SUM(Datos!$D34:M34)+SUM(Datos!$D35:M35)+SUM(Datos!$D36:M36)</f>
        <v>0</v>
      </c>
      <c r="L206" s="193">
        <f>SUM(Datos!$D14:M14)</f>
        <v>48332</v>
      </c>
      <c r="M206" s="193">
        <f>INDEX(_TARGETS!$J$2:$J$17,MATCH($C206,_TARGETS!$A$2:$A$17,0))</f>
        <v>1000000</v>
      </c>
      <c r="N206" s="193" t="str">
        <f>INDEX(_TARGETS!$D$2:$D$17,MATCH($C206,_TARGETS!$A$2:$A$17,0))</f>
        <v>casos / 10^6 HH</v>
      </c>
      <c r="O206" s="193" t="str">
        <f>IF(NOT(ISNUMBER(F206)),IF(SUMPRODUCT(($C$2:$C$1300=C206)*($J$2:$J$1300="Monthly")*($A$2:$A$1300&lt;=A206)*ISNUMBER($K$2:$K$1300)*ISNUMBER($L$2:$L$1300)*($L$2:$L$1300=0)*($K$2:$K$1300&gt;0))&gt;0,"INCOMPLETE","MISSING"),O192)</f>
        <v>MISSING</v>
      </c>
      <c r="P206" s="193" t="str">
        <f>INDEX(_TARGETS!$K$2:$K$17,MATCH($C206,_TARGETS!$A$2:$A$17,0))</f>
        <v>OPS (carga manual en Datos)</v>
      </c>
      <c r="Q206" s="193" t="str">
        <f t="shared" si="17"/>
        <v>202705|TRICF|Cumulative</v>
      </c>
      <c r="R206" s="193" t="str">
        <f>INDEX(_TARGETS!$H$2:$H$17,MATCH($C206,_TARGETS!$A$2:$A$17,0))</f>
        <v>Definida</v>
      </c>
      <c r="S206" s="193">
        <f t="shared" si="18"/>
        <v>0</v>
      </c>
      <c r="T206" s="193" t="str">
        <f t="shared" si="19"/>
        <v/>
      </c>
    </row>
    <row r="207" spans="1:20" ht="13.5" customHeight="1" x14ac:dyDescent="0.3">
      <c r="A207" s="245">
        <f>KPIs!$M$3</f>
        <v>46508</v>
      </c>
      <c r="B207" s="199" t="str">
        <f>KPIs!M$4</f>
        <v>Compresora</v>
      </c>
      <c r="C207" s="31" t="s">
        <v>51</v>
      </c>
      <c r="D207" s="199" t="str">
        <f>KPIs!$A$28</f>
        <v>3 · Casos de primeros auxilios · ACUMULADO</v>
      </c>
      <c r="E207" s="31" t="s">
        <v>600</v>
      </c>
      <c r="F207" s="247" t="str">
        <f>IF(ISNUMBER(KPIs!M28),KPIs!M28,"")</f>
        <v/>
      </c>
      <c r="G207" s="247" t="str">
        <f>IF(ISNUMBER(KPIs!$C$28),KPIs!$C$28,"")</f>
        <v/>
      </c>
      <c r="H207" s="199" t="str">
        <f>IFERROR(INDEX(_TARGETS!$E$2:$E$17,MATCH($C207,_TARGETS!$A$2:$A$17,0))&amp;"","")</f>
        <v/>
      </c>
      <c r="I207" s="199" t="str">
        <f t="shared" si="15"/>
        <v/>
      </c>
      <c r="J207" s="193" t="str">
        <f t="shared" si="16"/>
        <v>Cumulative</v>
      </c>
      <c r="K207" s="193">
        <f>SUM(Datos!$D37:M37)</f>
        <v>0</v>
      </c>
      <c r="M207" s="193">
        <f>INDEX(_TARGETS!$J$2:$J$17,MATCH($C207,_TARGETS!$A$2:$A$17,0))</f>
        <v>1</v>
      </c>
      <c r="N207" s="193" t="str">
        <f>INDEX(_TARGETS!$D$2:$D$17,MATCH($C207,_TARGETS!$A$2:$A$17,0))</f>
        <v>casos</v>
      </c>
      <c r="O207" s="193" t="str">
        <f>IF(NOT(ISNUMBER(F207)),IF(SUMPRODUCT(($C$2:$C$1300=C207)*($J$2:$J$1300="Monthly")*($A$2:$A$1300&lt;=A207)*ISNUMBER($K$2:$K$1300)*ISNUMBER($L$2:$L$1300)*($L$2:$L$1300=0)*($K$2:$K$1300&gt;0))&gt;0,"INCOMPLETE","MISSING"),O193)</f>
        <v>MISSING</v>
      </c>
      <c r="P207" s="193" t="str">
        <f>INDEX(_TARGETS!$K$2:$K$17,MATCH($C207,_TARGETS!$A$2:$A$17,0))</f>
        <v>OPS (carga manual en Datos)</v>
      </c>
      <c r="Q207" s="193" t="str">
        <f t="shared" si="17"/>
        <v>202705|FAC|Cumulative</v>
      </c>
      <c r="R207" s="193" t="str">
        <f>INDEX(_TARGETS!$H$2:$H$17,MATCH($C207,_TARGETS!$A$2:$A$17,0))</f>
        <v>Solo reporte</v>
      </c>
      <c r="S207" s="193">
        <f t="shared" si="18"/>
        <v>0</v>
      </c>
      <c r="T207" s="193" t="str">
        <f t="shared" si="19"/>
        <v/>
      </c>
    </row>
    <row r="208" spans="1:20" ht="13.5" customHeight="1" x14ac:dyDescent="0.3">
      <c r="A208" s="245">
        <f>KPIs!$M$3</f>
        <v>46508</v>
      </c>
      <c r="B208" s="199" t="str">
        <f>KPIs!M$4</f>
        <v>Compresora</v>
      </c>
      <c r="C208" s="31" t="s">
        <v>57</v>
      </c>
      <c r="D208" s="199" t="str">
        <f>KPIs!$A$29</f>
        <v>4 · Accidentes vehiculares severos · ACUMULADO</v>
      </c>
      <c r="E208" s="31" t="s">
        <v>600</v>
      </c>
      <c r="F208" s="247" t="str">
        <f>IF(ISNUMBER(KPIs!M29),KPIs!M29,"")</f>
        <v/>
      </c>
      <c r="G208" s="247" t="str">
        <f>IF(ISNUMBER(KPIs!$C$29),KPIs!$C$29,"")</f>
        <v/>
      </c>
      <c r="H208" s="199" t="str">
        <f>IFERROR(INDEX(_TARGETS!$E$2:$E$17,MATCH($C208,_TARGETS!$A$2:$A$17,0))&amp;"","")</f>
        <v/>
      </c>
      <c r="I208" s="199" t="str">
        <f t="shared" si="15"/>
        <v/>
      </c>
      <c r="J208" s="193" t="str">
        <f t="shared" si="16"/>
        <v>Cumulative</v>
      </c>
      <c r="K208" s="193">
        <f>SUM(Datos!$D39:M39)+SUM(Datos!$D40:M40)+SUM(Datos!$D41:M41)</f>
        <v>0</v>
      </c>
      <c r="L208" s="193">
        <f>SUM(Datos!$D47:M47)</f>
        <v>172824</v>
      </c>
      <c r="M208" s="193">
        <f>INDEX(_TARGETS!$J$2:$J$17,MATCH($C208,_TARGETS!$A$2:$A$17,0))</f>
        <v>1000000</v>
      </c>
      <c r="N208" s="193" t="str">
        <f>INDEX(_TARGETS!$D$2:$D$17,MATCH($C208,_TARGETS!$A$2:$A$17,0))</f>
        <v>eventos / 10^6 km</v>
      </c>
      <c r="O208" s="193" t="str">
        <f>IF(NOT(ISNUMBER(F208)),IF(SUMPRODUCT(($C$2:$C$1300=C208)*($J$2:$J$1300="Monthly")*($A$2:$A$1300&lt;=A208)*ISNUMBER($K$2:$K$1300)*ISNUMBER($L$2:$L$1300)*($L$2:$L$1300=0)*($K$2:$K$1300&gt;0))&gt;0,"INCOMPLETE","MISSING"),O194)</f>
        <v>MISSING</v>
      </c>
      <c r="P208" s="193" t="str">
        <f>INDEX(_TARGETS!$K$2:$K$17,MATCH($C208,_TARGETS!$A$2:$A$17,0))</f>
        <v>OPS (eventos) + Full Control GPS (km) - carga manual en Datos</v>
      </c>
      <c r="Q208" s="193" t="str">
        <f t="shared" si="17"/>
        <v>202705|SVCR|Cumulative</v>
      </c>
      <c r="R208" s="193" t="str">
        <f>INDEX(_TARGETS!$H$2:$H$17,MATCH($C208,_TARGETS!$A$2:$A$17,0))</f>
        <v>Solo reporte</v>
      </c>
      <c r="S208" s="193">
        <f t="shared" si="18"/>
        <v>0</v>
      </c>
      <c r="T208" s="193" t="str">
        <f t="shared" si="19"/>
        <v/>
      </c>
    </row>
    <row r="209" spans="1:20" ht="13.5" customHeight="1" x14ac:dyDescent="0.3">
      <c r="A209" s="245">
        <f>KPIs!$M$3</f>
        <v>46508</v>
      </c>
      <c r="B209" s="199" t="str">
        <f>KPIs!M$4</f>
        <v>Compresora</v>
      </c>
      <c r="C209" s="31" t="s">
        <v>61</v>
      </c>
      <c r="D209" s="199" t="str">
        <f>KPIs!$A$30</f>
        <v>5 · Accidentes vehiculares totales · ACUMULADO</v>
      </c>
      <c r="E209" s="31" t="s">
        <v>600</v>
      </c>
      <c r="F209" s="247" t="str">
        <f>IF(ISNUMBER(KPIs!M30),KPIs!M30,"")</f>
        <v/>
      </c>
      <c r="G209" s="247">
        <f>IF(ISNUMBER(KPIs!$C$30),KPIs!$C$30,"")</f>
        <v>0.79</v>
      </c>
      <c r="H209" s="199" t="str">
        <f>IFERROR(INDEX(_TARGETS!$E$2:$E$17,MATCH($C209,_TARGETS!$A$2:$A$17,0))&amp;"","")</f>
        <v>≤</v>
      </c>
      <c r="I209" s="199" t="str">
        <f t="shared" si="15"/>
        <v/>
      </c>
      <c r="J209" s="193" t="str">
        <f t="shared" si="16"/>
        <v>Cumulative</v>
      </c>
      <c r="K209" s="193">
        <f>SUM(Datos!$D39:M39)+SUM(Datos!$D40:M40)+SUM(Datos!$D41:M41)+SUM(Datos!$D42:M42)</f>
        <v>0</v>
      </c>
      <c r="L209" s="193">
        <f>SUM(Datos!$D47:M47)</f>
        <v>172824</v>
      </c>
      <c r="M209" s="193">
        <f>INDEX(_TARGETS!$J$2:$J$17,MATCH($C209,_TARGETS!$A$2:$A$17,0))</f>
        <v>1000000</v>
      </c>
      <c r="N209" s="193" t="str">
        <f>INDEX(_TARGETS!$D$2:$D$17,MATCH($C209,_TARGETS!$A$2:$A$17,0))</f>
        <v>eventos / 10^6 km</v>
      </c>
      <c r="O209" s="193" t="str">
        <f>IF(NOT(ISNUMBER(F209)),IF(SUMPRODUCT(($C$2:$C$1300=C209)*($J$2:$J$1300="Monthly")*($A$2:$A$1300&lt;=A209)*ISNUMBER($K$2:$K$1300)*ISNUMBER($L$2:$L$1300)*($L$2:$L$1300=0)*($K$2:$K$1300&gt;0))&gt;0,"INCOMPLETE","MISSING"),O195)</f>
        <v>MISSING</v>
      </c>
      <c r="P209" s="193" t="str">
        <f>INDEX(_TARGETS!$K$2:$K$17,MATCH($C209,_TARGETS!$A$2:$A$17,0))</f>
        <v>OPS (eventos) + Full Control GPS (km) - carga manual en Datos</v>
      </c>
      <c r="Q209" s="193" t="str">
        <f t="shared" si="17"/>
        <v>202705|TVCR|Cumulative</v>
      </c>
      <c r="R209" s="193" t="str">
        <f>INDEX(_TARGETS!$H$2:$H$17,MATCH($C209,_TARGETS!$A$2:$A$17,0))</f>
        <v>Definida</v>
      </c>
      <c r="S209" s="193">
        <f t="shared" si="18"/>
        <v>0</v>
      </c>
      <c r="T209" s="193" t="str">
        <f t="shared" si="19"/>
        <v/>
      </c>
    </row>
    <row r="210" spans="1:20" ht="13.5" customHeight="1" x14ac:dyDescent="0.3">
      <c r="A210" s="245">
        <f>KPIs!$M$3</f>
        <v>46508</v>
      </c>
      <c r="B210" s="199" t="str">
        <f>KPIs!M$4</f>
        <v>Compresora</v>
      </c>
      <c r="C210" s="31" t="s">
        <v>96</v>
      </c>
      <c r="D210" s="199" t="str">
        <f>KPIs!$A$33</f>
        <v>C1 · % de desvíos detectados de gravedad Alta</v>
      </c>
      <c r="E210" s="31" t="s">
        <v>599</v>
      </c>
      <c r="F210" s="247" t="str">
        <f>IF(ISNUMBER(KPIs!M33),KPIs!M33,"")</f>
        <v/>
      </c>
      <c r="G210" s="247" t="str">
        <f>IF(ISNUMBER(KPIs!$C$33),KPIs!$C$33,"")</f>
        <v/>
      </c>
      <c r="H210" s="199" t="str">
        <f>IFERROR(INDEX(_TARGETS!$E$2:$E$17,MATCH($C210,_TARGETS!$A$2:$A$17,0))&amp;"","")</f>
        <v/>
      </c>
      <c r="I210" s="199" t="str">
        <f t="shared" si="15"/>
        <v/>
      </c>
      <c r="J210" s="193" t="str">
        <f t="shared" si="16"/>
        <v>Monthly</v>
      </c>
      <c r="K210" s="248">
        <f>Datos!M71</f>
        <v>0</v>
      </c>
      <c r="L210" s="193">
        <f>Datos!M71+Datos!M72+Datos!M73</f>
        <v>0</v>
      </c>
      <c r="M210" s="193">
        <f>INDEX(_TARGETS!$J$2:$J$17,MATCH($C210,_TARGETS!$A$2:$A$17,0))</f>
        <v>1</v>
      </c>
      <c r="N210" s="193" t="str">
        <f>INDEX(_TARGETS!$D$2:$D$17,MATCH($C210,_TARGETS!$A$2:$A$17,0))</f>
        <v>% (fracción)</v>
      </c>
      <c r="O210" s="193" t="str">
        <f>IF(NOT(ISNUMBER(F210)),"MISSING","OK")</f>
        <v>MISSING</v>
      </c>
      <c r="P210" s="193" t="str">
        <f>INDEX(_TARGETS!$K$2:$K$17,MATCH($C210,_TARGETS!$A$2:$A$17,0))</f>
        <v>Plant Findings (hoja Observaciones-SMP)</v>
      </c>
      <c r="Q210" s="193" t="str">
        <f t="shared" si="17"/>
        <v>202705|HAL_ALTA_PCT|Monthly</v>
      </c>
      <c r="R210" s="193" t="str">
        <f>INDEX(_TARGETS!$H$2:$H$17,MATCH($C210,_TARGETS!$A$2:$A$17,0))</f>
        <v>Solo reporte</v>
      </c>
      <c r="S210" s="193" t="str">
        <f t="shared" si="18"/>
        <v/>
      </c>
      <c r="T210" s="193" t="str">
        <f t="shared" si="19"/>
        <v/>
      </c>
    </row>
    <row r="211" spans="1:20" ht="13.5" customHeight="1" x14ac:dyDescent="0.3">
      <c r="A211" s="245">
        <f>KPIs!$M$3</f>
        <v>46508</v>
      </c>
      <c r="B211" s="199" t="str">
        <f>KPIs!M$4</f>
        <v>Compresora</v>
      </c>
      <c r="C211" s="31" t="s">
        <v>98</v>
      </c>
      <c r="D211" s="199" t="str">
        <f>KPIs!$A$34</f>
        <v>C2 · Detenciones de tareas aplicadas</v>
      </c>
      <c r="E211" s="31" t="s">
        <v>599</v>
      </c>
      <c r="F211" s="247" t="str">
        <f>IF(ISNUMBER(KPIs!M34),KPIs!M34,"")</f>
        <v/>
      </c>
      <c r="G211" s="247" t="str">
        <f>IF(ISNUMBER(KPIs!$C$34),KPIs!$C$34,"")</f>
        <v/>
      </c>
      <c r="H211" s="199" t="str">
        <f>IFERROR(INDEX(_TARGETS!$E$2:$E$17,MATCH($C211,_TARGETS!$A$2:$A$17,0))&amp;"","")</f>
        <v/>
      </c>
      <c r="I211" s="199" t="str">
        <f t="shared" si="15"/>
        <v/>
      </c>
      <c r="J211" s="193" t="str">
        <f t="shared" si="16"/>
        <v>Monthly</v>
      </c>
      <c r="K211" s="248">
        <f>Datos!M75</f>
        <v>0</v>
      </c>
      <c r="M211" s="193">
        <f>INDEX(_TARGETS!$J$2:$J$17,MATCH($C211,_TARGETS!$A$2:$A$17,0))</f>
        <v>1</v>
      </c>
      <c r="N211" s="193" t="str">
        <f>INDEX(_TARGETS!$D$2:$D$17,MATCH($C211,_TARGETS!$A$2:$A$17,0))</f>
        <v>u</v>
      </c>
      <c r="O211" s="193" t="str">
        <f>IF(NOT(ISNUMBER(F211)),"MISSING","OK")</f>
        <v>MISSING</v>
      </c>
      <c r="P211" s="193" t="str">
        <f>INDEX(_TARGETS!$K$2:$K$17,MATCH($C211,_TARGETS!$A$2:$A$17,0))</f>
        <v>Plant Findings (hoja Observaciones-SMP)</v>
      </c>
      <c r="Q211" s="193" t="str">
        <f t="shared" si="17"/>
        <v>202705|DET|Monthly</v>
      </c>
      <c r="R211" s="193" t="str">
        <f>INDEX(_TARGETS!$H$2:$H$17,MATCH($C211,_TARGETS!$A$2:$A$17,0))</f>
        <v>Solo reporte</v>
      </c>
      <c r="S211" s="193" t="str">
        <f t="shared" si="18"/>
        <v/>
      </c>
      <c r="T211" s="193" t="str">
        <f t="shared" si="19"/>
        <v/>
      </c>
    </row>
    <row r="212" spans="1:20" ht="13.5" customHeight="1" x14ac:dyDescent="0.3">
      <c r="A212" s="245">
        <f>KPIs!$N$3</f>
        <v>46539</v>
      </c>
      <c r="B212" s="199" t="str">
        <f>KPIs!N$4</f>
        <v>Compresora</v>
      </c>
      <c r="C212" s="31" t="s">
        <v>39</v>
      </c>
      <c r="D212" s="199" t="str">
        <f>KPIs!$A$6</f>
        <v>1 · Frecuencia de casos con días perdidos</v>
      </c>
      <c r="E212" s="31" t="s">
        <v>599</v>
      </c>
      <c r="F212" s="247" t="str">
        <f>IF(ISNUMBER(KPIs!N6),KPIs!N6,"")</f>
        <v/>
      </c>
      <c r="G212" s="247">
        <f>IF(ISNUMBER(KPIs!$C$6),KPIs!$C$6,"")</f>
        <v>0</v>
      </c>
      <c r="H212" s="199" t="str">
        <f>IFERROR(INDEX(_TARGETS!$E$2:$E$17,MATCH($C212,_TARGETS!$A$2:$A$17,0))&amp;"","")</f>
        <v>≤</v>
      </c>
      <c r="I212" s="199" t="str">
        <f t="shared" si="15"/>
        <v/>
      </c>
      <c r="J212" s="193" t="str">
        <f t="shared" si="16"/>
        <v>Monthly</v>
      </c>
      <c r="K212" s="248">
        <f>Datos!N33</f>
        <v>0</v>
      </c>
      <c r="L212" s="248">
        <f>Datos!N14</f>
        <v>0</v>
      </c>
      <c r="M212" s="193">
        <f>INDEX(_TARGETS!$J$2:$J$17,MATCH($C212,_TARGETS!$A$2:$A$17,0))</f>
        <v>1000000</v>
      </c>
      <c r="N212" s="193" t="str">
        <f>INDEX(_TARGETS!$D$2:$D$17,MATCH($C212,_TARGETS!$A$2:$A$17,0))</f>
        <v>casos / 10^6 HH</v>
      </c>
      <c r="O212" s="193" t="str">
        <f>IF(NOT(ISNUMBER(F212)),"MISSING",IF((COUNTBLANK(Datos!N12)+COUNTBLANK(Datos!N13)+COUNTBLANK(Datos!N33))&gt;0,"INCOMPLETE","OK"))</f>
        <v>MISSING</v>
      </c>
      <c r="P212" s="193" t="str">
        <f>INDEX(_TARGETS!$K$2:$K$17,MATCH($C212,_TARGETS!$A$2:$A$17,0))</f>
        <v>OPS (carga manual en Datos)</v>
      </c>
      <c r="Q212" s="193" t="str">
        <f t="shared" si="17"/>
        <v>202706|DAFWCF|Monthly</v>
      </c>
      <c r="R212" s="193" t="str">
        <f>INDEX(_TARGETS!$H$2:$H$17,MATCH($C212,_TARGETS!$A$2:$A$17,0))</f>
        <v>Definida</v>
      </c>
      <c r="S212" s="193" t="str">
        <f t="shared" si="18"/>
        <v/>
      </c>
      <c r="T212" s="193" t="str">
        <f t="shared" si="19"/>
        <v/>
      </c>
    </row>
    <row r="213" spans="1:20" ht="13.5" customHeight="1" x14ac:dyDescent="0.3">
      <c r="A213" s="245">
        <f>KPIs!$N$3</f>
        <v>46539</v>
      </c>
      <c r="B213" s="199" t="str">
        <f>KPIs!N$4</f>
        <v>Compresora</v>
      </c>
      <c r="C213" s="31" t="s">
        <v>49</v>
      </c>
      <c r="D213" s="199" t="str">
        <f>KPIs!$A$7</f>
        <v>2 · Frecuencia de casos registrables</v>
      </c>
      <c r="E213" s="31" t="s">
        <v>599</v>
      </c>
      <c r="F213" s="247" t="str">
        <f>IF(ISNUMBER(KPIs!N7),KPIs!N7,"")</f>
        <v/>
      </c>
      <c r="G213" s="247">
        <f>IF(ISNUMBER(KPIs!$C$7),KPIs!$C$7,"")</f>
        <v>2.35</v>
      </c>
      <c r="H213" s="199" t="str">
        <f>IFERROR(INDEX(_TARGETS!$E$2:$E$17,MATCH($C213,_TARGETS!$A$2:$A$17,0))&amp;"","")</f>
        <v>≤</v>
      </c>
      <c r="I213" s="199" t="str">
        <f t="shared" si="15"/>
        <v/>
      </c>
      <c r="J213" s="193" t="str">
        <f t="shared" si="16"/>
        <v>Monthly</v>
      </c>
      <c r="K213" s="193">
        <f>Datos!N33+Datos!N34+Datos!N35+Datos!N36</f>
        <v>0</v>
      </c>
      <c r="L213" s="248">
        <f>Datos!N14</f>
        <v>0</v>
      </c>
      <c r="M213" s="193">
        <f>INDEX(_TARGETS!$J$2:$J$17,MATCH($C213,_TARGETS!$A$2:$A$17,0))</f>
        <v>1000000</v>
      </c>
      <c r="N213" s="193" t="str">
        <f>INDEX(_TARGETS!$D$2:$D$17,MATCH($C213,_TARGETS!$A$2:$A$17,0))</f>
        <v>casos / 10^6 HH</v>
      </c>
      <c r="O213" s="193" t="str">
        <f>IF(NOT(ISNUMBER(F213)),"MISSING",IF((COUNTBLANK(Datos!N12)+COUNTBLANK(Datos!N13)+COUNTBLANK(Datos!N33)+COUNTBLANK(Datos!N34)+COUNTBLANK(Datos!N35)+COUNTBLANK(Datos!N36))&gt;0,"INCOMPLETE","OK"))</f>
        <v>MISSING</v>
      </c>
      <c r="P213" s="193" t="str">
        <f>INDEX(_TARGETS!$K$2:$K$17,MATCH($C213,_TARGETS!$A$2:$A$17,0))</f>
        <v>OPS (carga manual en Datos)</v>
      </c>
      <c r="Q213" s="193" t="str">
        <f t="shared" si="17"/>
        <v>202706|TRICF|Monthly</v>
      </c>
      <c r="R213" s="193" t="str">
        <f>INDEX(_TARGETS!$H$2:$H$17,MATCH($C213,_TARGETS!$A$2:$A$17,0))</f>
        <v>Definida</v>
      </c>
      <c r="S213" s="193" t="str">
        <f t="shared" si="18"/>
        <v/>
      </c>
      <c r="T213" s="193" t="str">
        <f t="shared" si="19"/>
        <v/>
      </c>
    </row>
    <row r="214" spans="1:20" ht="13.5" customHeight="1" x14ac:dyDescent="0.3">
      <c r="A214" s="245">
        <f>KPIs!$N$3</f>
        <v>46539</v>
      </c>
      <c r="B214" s="199" t="str">
        <f>KPIs!N$4</f>
        <v>Compresora</v>
      </c>
      <c r="C214" s="31" t="s">
        <v>51</v>
      </c>
      <c r="D214" s="199" t="str">
        <f>KPIs!$A$8</f>
        <v>3 · Casos de primeros auxilios</v>
      </c>
      <c r="E214" s="31" t="s">
        <v>599</v>
      </c>
      <c r="F214" s="247" t="str">
        <f>IF(ISNUMBER(KPIs!N8),KPIs!N8,"")</f>
        <v/>
      </c>
      <c r="G214" s="247" t="str">
        <f>IF(ISNUMBER(KPIs!$C$8),KPIs!$C$8,"")</f>
        <v/>
      </c>
      <c r="H214" s="199" t="str">
        <f>IFERROR(INDEX(_TARGETS!$E$2:$E$17,MATCH($C214,_TARGETS!$A$2:$A$17,0))&amp;"","")</f>
        <v/>
      </c>
      <c r="I214" s="199" t="str">
        <f t="shared" si="15"/>
        <v/>
      </c>
      <c r="J214" s="193" t="str">
        <f t="shared" si="16"/>
        <v>Monthly</v>
      </c>
      <c r="K214" s="248">
        <f>Datos!N37</f>
        <v>0</v>
      </c>
      <c r="M214" s="193">
        <f>INDEX(_TARGETS!$J$2:$J$17,MATCH($C214,_TARGETS!$A$2:$A$17,0))</f>
        <v>1</v>
      </c>
      <c r="N214" s="193" t="str">
        <f>INDEX(_TARGETS!$D$2:$D$17,MATCH($C214,_TARGETS!$A$2:$A$17,0))</f>
        <v>casos</v>
      </c>
      <c r="O214" s="193" t="str">
        <f>IF(NOT(ISNUMBER(F214)),"MISSING",IF((COUNTBLANK(Datos!N12)+COUNTBLANK(Datos!N13)+COUNTBLANK(Datos!N37))&gt;0,"INCOMPLETE","OK"))</f>
        <v>MISSING</v>
      </c>
      <c r="P214" s="193" t="str">
        <f>INDEX(_TARGETS!$K$2:$K$17,MATCH($C214,_TARGETS!$A$2:$A$17,0))</f>
        <v>OPS (carga manual en Datos)</v>
      </c>
      <c r="Q214" s="193" t="str">
        <f t="shared" si="17"/>
        <v>202706|FAC|Monthly</v>
      </c>
      <c r="R214" s="193" t="str">
        <f>INDEX(_TARGETS!$H$2:$H$17,MATCH($C214,_TARGETS!$A$2:$A$17,0))</f>
        <v>Solo reporte</v>
      </c>
      <c r="S214" s="193" t="str">
        <f t="shared" si="18"/>
        <v/>
      </c>
      <c r="T214" s="193" t="str">
        <f t="shared" si="19"/>
        <v/>
      </c>
    </row>
    <row r="215" spans="1:20" ht="13.5" customHeight="1" x14ac:dyDescent="0.3">
      <c r="A215" s="245">
        <f>KPIs!$N$3</f>
        <v>46539</v>
      </c>
      <c r="B215" s="199" t="str">
        <f>KPIs!N$4</f>
        <v>Compresora</v>
      </c>
      <c r="C215" s="31" t="s">
        <v>57</v>
      </c>
      <c r="D215" s="199" t="str">
        <f>KPIs!$A$10</f>
        <v>4 · Accidentes vehiculares severos por millón de km</v>
      </c>
      <c r="E215" s="31" t="s">
        <v>599</v>
      </c>
      <c r="F215" s="247" t="str">
        <f>IF(ISNUMBER(KPIs!N10),KPIs!N10,"")</f>
        <v/>
      </c>
      <c r="G215" s="247" t="str">
        <f>IF(ISNUMBER(KPIs!$C$10),KPIs!$C$10,"")</f>
        <v/>
      </c>
      <c r="H215" s="199" t="str">
        <f>IFERROR(INDEX(_TARGETS!$E$2:$E$17,MATCH($C215,_TARGETS!$A$2:$A$17,0))&amp;"","")</f>
        <v/>
      </c>
      <c r="I215" s="199" t="str">
        <f t="shared" si="15"/>
        <v/>
      </c>
      <c r="J215" s="193" t="str">
        <f t="shared" si="16"/>
        <v>Monthly</v>
      </c>
      <c r="K215" s="193">
        <f>Datos!N39+Datos!N40+Datos!N41</f>
        <v>0</v>
      </c>
      <c r="L215" s="248">
        <f>Datos!N47</f>
        <v>0</v>
      </c>
      <c r="M215" s="193">
        <f>INDEX(_TARGETS!$J$2:$J$17,MATCH($C215,_TARGETS!$A$2:$A$17,0))</f>
        <v>1000000</v>
      </c>
      <c r="N215" s="193" t="str">
        <f>INDEX(_TARGETS!$D$2:$D$17,MATCH($C215,_TARGETS!$A$2:$A$17,0))</f>
        <v>eventos / 10^6 km</v>
      </c>
      <c r="O215" s="193" t="str">
        <f>IF(NOT(ISNUMBER(F215)),"MISSING",IF((COUNTBLANK(Datos!N44)+COUNTBLANK(Datos!N45)+COUNTBLANK(Datos!N46)+COUNTBLANK(Datos!N39)+COUNTBLANK(Datos!N40)+COUNTBLANK(Datos!N41))&gt;0,"INCOMPLETE","OK"))</f>
        <v>MISSING</v>
      </c>
      <c r="P215" s="193" t="str">
        <f>INDEX(_TARGETS!$K$2:$K$17,MATCH($C215,_TARGETS!$A$2:$A$17,0))</f>
        <v>OPS (eventos) + Full Control GPS (km) - carga manual en Datos</v>
      </c>
      <c r="Q215" s="193" t="str">
        <f t="shared" si="17"/>
        <v>202706|SVCR|Monthly</v>
      </c>
      <c r="R215" s="193" t="str">
        <f>INDEX(_TARGETS!$H$2:$H$17,MATCH($C215,_TARGETS!$A$2:$A$17,0))</f>
        <v>Solo reporte</v>
      </c>
      <c r="S215" s="193" t="str">
        <f t="shared" si="18"/>
        <v/>
      </c>
      <c r="T215" s="193" t="str">
        <f t="shared" si="19"/>
        <v/>
      </c>
    </row>
    <row r="216" spans="1:20" ht="13.5" customHeight="1" x14ac:dyDescent="0.3">
      <c r="A216" s="245">
        <f>KPIs!$N$3</f>
        <v>46539</v>
      </c>
      <c r="B216" s="199" t="str">
        <f>KPIs!N$4</f>
        <v>Compresora</v>
      </c>
      <c r="C216" s="31" t="s">
        <v>61</v>
      </c>
      <c r="D216" s="199" t="str">
        <f>KPIs!$A$11</f>
        <v>5 · Accidentes vehiculares totales por millón de km</v>
      </c>
      <c r="E216" s="31" t="s">
        <v>599</v>
      </c>
      <c r="F216" s="247" t="str">
        <f>IF(ISNUMBER(KPIs!N11),KPIs!N11,"")</f>
        <v/>
      </c>
      <c r="G216" s="247">
        <f>IF(ISNUMBER(KPIs!$C$11),KPIs!$C$11,"")</f>
        <v>0.79</v>
      </c>
      <c r="H216" s="199" t="str">
        <f>IFERROR(INDEX(_TARGETS!$E$2:$E$17,MATCH($C216,_TARGETS!$A$2:$A$17,0))&amp;"","")</f>
        <v>≤</v>
      </c>
      <c r="I216" s="199" t="str">
        <f t="shared" si="15"/>
        <v/>
      </c>
      <c r="J216" s="193" t="str">
        <f t="shared" si="16"/>
        <v>Monthly</v>
      </c>
      <c r="K216" s="193">
        <f>Datos!N39+Datos!N40+Datos!N41+Datos!N42</f>
        <v>0</v>
      </c>
      <c r="L216" s="248">
        <f>Datos!N47</f>
        <v>0</v>
      </c>
      <c r="M216" s="193">
        <f>INDEX(_TARGETS!$J$2:$J$17,MATCH($C216,_TARGETS!$A$2:$A$17,0))</f>
        <v>1000000</v>
      </c>
      <c r="N216" s="193" t="str">
        <f>INDEX(_TARGETS!$D$2:$D$17,MATCH($C216,_TARGETS!$A$2:$A$17,0))</f>
        <v>eventos / 10^6 km</v>
      </c>
      <c r="O216" s="193" t="str">
        <f>IF(NOT(ISNUMBER(F216)),"MISSING",IF((COUNTBLANK(Datos!N44)+COUNTBLANK(Datos!N45)+COUNTBLANK(Datos!N46)+COUNTBLANK(Datos!N39)+COUNTBLANK(Datos!N40)+COUNTBLANK(Datos!N41)+COUNTBLANK(Datos!N42))&gt;0,"INCOMPLETE","OK"))</f>
        <v>MISSING</v>
      </c>
      <c r="P216" s="193" t="str">
        <f>INDEX(_TARGETS!$K$2:$K$17,MATCH($C216,_TARGETS!$A$2:$A$17,0))</f>
        <v>OPS (eventos) + Full Control GPS (km) - carga manual en Datos</v>
      </c>
      <c r="Q216" s="193" t="str">
        <f t="shared" si="17"/>
        <v>202706|TVCR|Monthly</v>
      </c>
      <c r="R216" s="193" t="str">
        <f>INDEX(_TARGETS!$H$2:$H$17,MATCH($C216,_TARGETS!$A$2:$A$17,0))</f>
        <v>Definida</v>
      </c>
      <c r="S216" s="193" t="str">
        <f t="shared" si="18"/>
        <v/>
      </c>
      <c r="T216" s="193" t="str">
        <f t="shared" si="19"/>
        <v/>
      </c>
    </row>
    <row r="217" spans="1:20" ht="13.5" customHeight="1" x14ac:dyDescent="0.3">
      <c r="A217" s="245">
        <f>KPIs!$N$3</f>
        <v>46539</v>
      </c>
      <c r="B217" s="199" t="str">
        <f>KPIs!N$4</f>
        <v>Compresora</v>
      </c>
      <c r="C217" s="31" t="s">
        <v>63</v>
      </c>
      <c r="D217" s="199" t="str">
        <f>KPIs!$A$13</f>
        <v>6 · Observaciones de seguridad por persona</v>
      </c>
      <c r="E217" s="31" t="s">
        <v>599</v>
      </c>
      <c r="F217" s="247" t="str">
        <f>IF(ISNUMBER(KPIs!N13),KPIs!N13,"")</f>
        <v/>
      </c>
      <c r="G217" s="247">
        <f>IF(ISNUMBER(KPIs!$C$13),KPIs!$C$13,"")</f>
        <v>1</v>
      </c>
      <c r="H217" s="199" t="str">
        <f>IFERROR(INDEX(_TARGETS!$E$2:$E$17,MATCH($C217,_TARGETS!$A$2:$A$17,0))&amp;"","")</f>
        <v>≥</v>
      </c>
      <c r="I217" s="199" t="str">
        <f t="shared" si="15"/>
        <v/>
      </c>
      <c r="J217" s="193" t="str">
        <f t="shared" si="16"/>
        <v>Monthly</v>
      </c>
      <c r="K217" s="248" t="str">
        <f>IF(COUNT(Datos!N28:N29)=0,"",SUM(Datos!N28:N29))</f>
        <v/>
      </c>
      <c r="L217" s="248">
        <f>Datos!N11</f>
        <v>0</v>
      </c>
      <c r="M217" s="193">
        <f>INDEX(_TARGETS!$J$2:$J$17,MATCH($C217,_TARGETS!$A$2:$A$17,0))</f>
        <v>1</v>
      </c>
      <c r="N217" s="193" t="str">
        <f>INDEX(_TARGETS!$D$2:$D$17,MATCH($C217,_TARGETS!$A$2:$A$17,0))</f>
        <v>obs / persona</v>
      </c>
      <c r="O217" s="193" t="str">
        <f>IF(NOT(ISNUMBER(F217)),"MISSING",IF((COUNTBLANK(Datos!N9)+COUNTBLANK(Datos!N10)+IF(COUNT(Datos!N28:N29)=0,1,0))&gt;0,"INCOMPLETE","OK"))</f>
        <v>MISSING</v>
      </c>
      <c r="P217" s="193" t="str">
        <f>INDEX(_TARGETS!$K$2:$K$17,MATCH($C217,_TARGETS!$A$2:$A$17,0))</f>
        <v>OPS (carga manual en Datos)</v>
      </c>
      <c r="Q217" s="193" t="str">
        <f t="shared" si="17"/>
        <v>202706|OBS|Monthly</v>
      </c>
      <c r="R217" s="193" t="str">
        <f>INDEX(_TARGETS!$H$2:$H$17,MATCH($C217,_TARGETS!$A$2:$A$17,0))</f>
        <v>PROVISORIA · referencia del subcontratista (OPS: 1 obs/persona); meta y población en definición</v>
      </c>
      <c r="S217" s="193" t="str">
        <f t="shared" si="18"/>
        <v/>
      </c>
      <c r="T217" s="193" t="str">
        <f t="shared" si="19"/>
        <v/>
      </c>
    </row>
    <row r="218" spans="1:20" ht="13.5" customHeight="1" x14ac:dyDescent="0.3">
      <c r="A218" s="245">
        <f>KPIs!$N$3</f>
        <v>46539</v>
      </c>
      <c r="B218" s="199" t="str">
        <f>KPIs!N$4</f>
        <v>Compresora</v>
      </c>
      <c r="C218" s="31" t="s">
        <v>71</v>
      </c>
      <c r="D218" s="199" t="str">
        <f>KPIs!$A$14</f>
        <v>7 · Investigaciones de accidentes: días promedio de cierre</v>
      </c>
      <c r="E218" s="31" t="s">
        <v>599</v>
      </c>
      <c r="F218" s="247" t="str">
        <f>IF(ISNUMBER(KPIs!N14),KPIs!N14,"")</f>
        <v/>
      </c>
      <c r="G218" s="247">
        <f>IF(ISNUMBER(KPIs!$C$14),KPIs!$C$14,"")</f>
        <v>20</v>
      </c>
      <c r="H218" s="199" t="str">
        <f>IFERROR(INDEX(_TARGETS!$E$2:$E$17,MATCH($C218,_TARGETS!$A$2:$A$17,0))&amp;"","")</f>
        <v>≤</v>
      </c>
      <c r="I218" s="199" t="str">
        <f t="shared" si="15"/>
        <v/>
      </c>
      <c r="J218" s="193" t="str">
        <f t="shared" si="16"/>
        <v>Monthly</v>
      </c>
      <c r="K218" s="248">
        <f>Datos!N31</f>
        <v>0</v>
      </c>
      <c r="L218" s="248">
        <f>Datos!N30</f>
        <v>0</v>
      </c>
      <c r="M218" s="193">
        <f>INDEX(_TARGETS!$J$2:$J$17,MATCH($C218,_TARGETS!$A$2:$A$17,0))</f>
        <v>1</v>
      </c>
      <c r="N218" s="193" t="str">
        <f>INDEX(_TARGETS!$D$2:$D$17,MATCH($C218,_TARGETS!$A$2:$A$17,0))</f>
        <v>días</v>
      </c>
      <c r="O218" s="193" t="str">
        <f>IF(NOT(ISNUMBER(F218)),"MISSING",IF((COUNTBLANK(Datos!N30)+COUNTBLANK(Datos!N31))&gt;0,"INCOMPLETE","OK"))</f>
        <v>MISSING</v>
      </c>
      <c r="P218" s="193" t="str">
        <f>INDEX(_TARGETS!$K$2:$K$17,MATCH($C218,_TARGETS!$A$2:$A$17,0))</f>
        <v>OPS (carga manual en Datos)</v>
      </c>
      <c r="Q218" s="193" t="str">
        <f t="shared" si="17"/>
        <v>202706|INV|Monthly</v>
      </c>
      <c r="R218" s="193" t="str">
        <f>INDEX(_TARGETS!$H$2:$H$17,MATCH($C218,_TARGETS!$A$2:$A$17,0))</f>
        <v>Definida</v>
      </c>
      <c r="S218" s="193" t="str">
        <f t="shared" si="18"/>
        <v/>
      </c>
      <c r="T218" s="193" t="str">
        <f t="shared" si="19"/>
        <v/>
      </c>
    </row>
    <row r="219" spans="1:20" ht="13.5" customHeight="1" x14ac:dyDescent="0.3">
      <c r="A219" s="245">
        <f>KPIs!$N$3</f>
        <v>46539</v>
      </c>
      <c r="B219" s="199" t="str">
        <f>KPIs!N$4</f>
        <v>Compresora</v>
      </c>
      <c r="C219" s="31" t="s">
        <v>76</v>
      </c>
      <c r="D219" s="199" t="str">
        <f>KPIs!$A$16</f>
        <v>8 · % de capacitación en seguridad</v>
      </c>
      <c r="E219" s="31" t="s">
        <v>599</v>
      </c>
      <c r="F219" s="247" t="str">
        <f>IF(ISNUMBER(KPIs!N16),KPIs!N16,"")</f>
        <v/>
      </c>
      <c r="G219" s="247">
        <f>IF(ISNUMBER(KPIs!$C$16),KPIs!$C$16,"")</f>
        <v>0.01</v>
      </c>
      <c r="H219" s="199" t="str">
        <f>IFERROR(INDEX(_TARGETS!$E$2:$E$17,MATCH($C219,_TARGETS!$A$2:$A$17,0))&amp;"","")</f>
        <v>≥</v>
      </c>
      <c r="I219" s="199" t="str">
        <f t="shared" si="15"/>
        <v/>
      </c>
      <c r="J219" s="193" t="str">
        <f t="shared" si="16"/>
        <v>Monthly</v>
      </c>
      <c r="K219" s="248">
        <f>Datos!N18</f>
        <v>0</v>
      </c>
      <c r="L219" s="248">
        <f>Datos!N14</f>
        <v>0</v>
      </c>
      <c r="M219" s="193">
        <f>INDEX(_TARGETS!$J$2:$J$17,MATCH($C219,_TARGETS!$A$2:$A$17,0))</f>
        <v>1</v>
      </c>
      <c r="N219" s="193" t="str">
        <f>INDEX(_TARGETS!$D$2:$D$17,MATCH($C219,_TARGETS!$A$2:$A$17,0))</f>
        <v>% (fracción)</v>
      </c>
      <c r="O219" s="193" t="str">
        <f>IF(NOT(ISNUMBER(F219)),"MISSING",IF((COUNTBLANK(Datos!N16)+COUNTBLANK(Datos!N17)+COUNTBLANK(Datos!N12)+COUNTBLANK(Datos!N13))&gt;0,"INCOMPLETE","OK"))</f>
        <v>MISSING</v>
      </c>
      <c r="P219" s="193" t="str">
        <f>INDEX(_TARGETS!$K$2:$K$17,MATCH($C219,_TARGETS!$A$2:$A$17,0))</f>
        <v>OPS (carga manual en Datos)</v>
      </c>
      <c r="Q219" s="193" t="str">
        <f t="shared" si="17"/>
        <v>202706|HCS|Monthly</v>
      </c>
      <c r="R219" s="193" t="str">
        <f>INDEX(_TARGETS!$H$2:$H$17,MATCH($C219,_TARGETS!$A$2:$A$17,0))</f>
        <v>Definida</v>
      </c>
      <c r="S219" s="193" t="str">
        <f t="shared" si="18"/>
        <v/>
      </c>
      <c r="T219" s="193" t="str">
        <f t="shared" si="19"/>
        <v/>
      </c>
    </row>
    <row r="220" spans="1:20" ht="13.5" customHeight="1" x14ac:dyDescent="0.3">
      <c r="A220" s="245">
        <f>KPIs!$N$3</f>
        <v>46539</v>
      </c>
      <c r="B220" s="199" t="str">
        <f>KPIs!N$4</f>
        <v>Compresora</v>
      </c>
      <c r="C220" s="31" t="s">
        <v>80</v>
      </c>
      <c r="D220" s="199" t="str">
        <f>KPIs!$A$17</f>
        <v>9 · Horas de capacitación por persona</v>
      </c>
      <c r="E220" s="31" t="s">
        <v>599</v>
      </c>
      <c r="F220" s="247" t="str">
        <f>IF(ISNUMBER(KPIs!N17),KPIs!N17,"")</f>
        <v/>
      </c>
      <c r="G220" s="247" t="str">
        <f>IF(ISNUMBER(KPIs!$C$17),KPIs!$C$17,"")</f>
        <v/>
      </c>
      <c r="H220" s="199" t="str">
        <f>IFERROR(INDEX(_TARGETS!$E$2:$E$17,MATCH($C220,_TARGETS!$A$2:$A$17,0))&amp;"","")</f>
        <v/>
      </c>
      <c r="I220" s="199" t="str">
        <f t="shared" si="15"/>
        <v/>
      </c>
      <c r="J220" s="193" t="str">
        <f t="shared" si="16"/>
        <v>Monthly</v>
      </c>
      <c r="K220" s="248">
        <f>Datos!N18</f>
        <v>0</v>
      </c>
      <c r="L220" s="248">
        <f>Datos!N11</f>
        <v>0</v>
      </c>
      <c r="M220" s="193">
        <f>INDEX(_TARGETS!$J$2:$J$17,MATCH($C220,_TARGETS!$A$2:$A$17,0))</f>
        <v>1</v>
      </c>
      <c r="N220" s="193" t="str">
        <f>INDEX(_TARGETS!$D$2:$D$17,MATCH($C220,_TARGETS!$A$2:$A$17,0))</f>
        <v>h / persona</v>
      </c>
      <c r="O220" s="193" t="str">
        <f>IF(NOT(ISNUMBER(F220)),"MISSING",IF((COUNTBLANK(Datos!N16)+COUNTBLANK(Datos!N17)+COUNTBLANK(Datos!N9)+COUNTBLANK(Datos!N10))&gt;0,"INCOMPLETE","OK"))</f>
        <v>MISSING</v>
      </c>
      <c r="P220" s="193" t="str">
        <f>INDEX(_TARGETS!$K$2:$K$17,MATCH($C220,_TARGETS!$A$2:$A$17,0))</f>
        <v>OPS (carga manual en Datos)</v>
      </c>
      <c r="Q220" s="193" t="str">
        <f t="shared" si="17"/>
        <v>202706|HCSA|Monthly</v>
      </c>
      <c r="R220" s="193" t="str">
        <f>INDEX(_TARGETS!$H$2:$H$17,MATCH($C220,_TARGETS!$A$2:$A$17,0))</f>
        <v>Solo reporte</v>
      </c>
      <c r="S220" s="193" t="str">
        <f t="shared" si="18"/>
        <v/>
      </c>
      <c r="T220" s="193" t="str">
        <f t="shared" si="19"/>
        <v/>
      </c>
    </row>
    <row r="221" spans="1:20" ht="13.5" customHeight="1" x14ac:dyDescent="0.3">
      <c r="A221" s="245">
        <f>KPIs!$N$3</f>
        <v>46539</v>
      </c>
      <c r="B221" s="199" t="str">
        <f>KPIs!N$4</f>
        <v>Compresora</v>
      </c>
      <c r="C221" s="31" t="s">
        <v>83</v>
      </c>
      <c r="D221" s="199" t="str">
        <f>KPIs!$A$18</f>
        <v>10 · Cumplimiento de simulacros (emergencia y operativos)</v>
      </c>
      <c r="E221" s="31" t="s">
        <v>599</v>
      </c>
      <c r="F221" s="247" t="str">
        <f>IF(ISNUMBER(KPIs!N18),KPIs!N18,"")</f>
        <v/>
      </c>
      <c r="G221" s="247">
        <f>IF(ISNUMBER(KPIs!$C$18),KPIs!$C$18,"")</f>
        <v>1</v>
      </c>
      <c r="H221" s="199" t="str">
        <f>IFERROR(INDEX(_TARGETS!$E$2:$E$17,MATCH($C221,_TARGETS!$A$2:$A$17,0))&amp;"","")</f>
        <v>≥</v>
      </c>
      <c r="I221" s="199" t="str">
        <f t="shared" si="15"/>
        <v/>
      </c>
      <c r="J221" s="193" t="str">
        <f t="shared" si="16"/>
        <v>Monthly</v>
      </c>
      <c r="K221" s="248">
        <f>Datos!N20</f>
        <v>0</v>
      </c>
      <c r="L221" s="248">
        <f>Datos!N21</f>
        <v>0</v>
      </c>
      <c r="M221" s="193">
        <f>INDEX(_TARGETS!$J$2:$J$17,MATCH($C221,_TARGETS!$A$2:$A$17,0))</f>
        <v>1</v>
      </c>
      <c r="N221" s="193" t="str">
        <f>INDEX(_TARGETS!$D$2:$D$17,MATCH($C221,_TARGETS!$A$2:$A$17,0))</f>
        <v>% (fracción)</v>
      </c>
      <c r="O221" s="193" t="str">
        <f>IF(NOT(ISNUMBER(F221)),"MISSING",IF((COUNTBLANK(Datos!N20)+COUNTBLANK(Datos!N21))&gt;0,"INCOMPLETE","OK"))</f>
        <v>MISSING</v>
      </c>
      <c r="P221" s="193" t="str">
        <f>INDEX(_TARGETS!$K$2:$K$17,MATCH($C221,_TARGETS!$A$2:$A$17,0))</f>
        <v>OPS (carga manual en Datos)</v>
      </c>
      <c r="Q221" s="193" t="str">
        <f t="shared" si="17"/>
        <v>202706|CPSE|Monthly</v>
      </c>
      <c r="R221" s="193" t="str">
        <f>INDEX(_TARGETS!$H$2:$H$17,MATCH($C221,_TARGETS!$A$2:$A$17,0))</f>
        <v>Definida</v>
      </c>
      <c r="S221" s="193" t="str">
        <f t="shared" si="18"/>
        <v/>
      </c>
      <c r="T221" s="193" t="str">
        <f t="shared" si="19"/>
        <v/>
      </c>
    </row>
    <row r="222" spans="1:20" ht="13.5" customHeight="1" x14ac:dyDescent="0.3">
      <c r="A222" s="245">
        <f>KPIs!$N$3</f>
        <v>46539</v>
      </c>
      <c r="B222" s="199" t="str">
        <f>KPIs!N$4</f>
        <v>Compresora</v>
      </c>
      <c r="C222" s="31" t="s">
        <v>85</v>
      </c>
      <c r="D222" s="199" t="str">
        <f>KPIs!$A$19</f>
        <v>10b · Cumplimiento de acciones de mejora de simulacros</v>
      </c>
      <c r="E222" s="31" t="s">
        <v>599</v>
      </c>
      <c r="F222" s="247" t="str">
        <f>IF(ISNUMBER(KPIs!N19),KPIs!N19,"")</f>
        <v/>
      </c>
      <c r="G222" s="247" t="str">
        <f>IF(ISNUMBER(KPIs!$C$19),KPIs!$C$19,"")</f>
        <v/>
      </c>
      <c r="H222" s="199" t="str">
        <f>IFERROR(INDEX(_TARGETS!$E$2:$E$17,MATCH($C222,_TARGETS!$A$2:$A$17,0))&amp;"","")</f>
        <v/>
      </c>
      <c r="I222" s="199" t="str">
        <f t="shared" si="15"/>
        <v/>
      </c>
      <c r="J222" s="193" t="str">
        <f t="shared" si="16"/>
        <v>Monthly</v>
      </c>
      <c r="K222" s="248">
        <f>Datos!N23</f>
        <v>0</v>
      </c>
      <c r="L222" s="248">
        <f>Datos!N22</f>
        <v>0</v>
      </c>
      <c r="M222" s="193">
        <f>INDEX(_TARGETS!$J$2:$J$17,MATCH($C222,_TARGETS!$A$2:$A$17,0))</f>
        <v>1</v>
      </c>
      <c r="N222" s="193" t="str">
        <f>INDEX(_TARGETS!$D$2:$D$17,MATCH($C222,_TARGETS!$A$2:$A$17,0))</f>
        <v>% (fracción)</v>
      </c>
      <c r="O222" s="193" t="str">
        <f>IF(NOT(ISNUMBER(F222)),"MISSING",IF((COUNTBLANK(Datos!N23)+COUNTBLANK(Datos!N22))&gt;0,"INCOMPLETE","OK"))</f>
        <v>MISSING</v>
      </c>
      <c r="P222" s="193" t="str">
        <f>INDEX(_TARGETS!$K$2:$K$17,MATCH($C222,_TARGETS!$A$2:$A$17,0))</f>
        <v>OPS (carga manual en Datos)</v>
      </c>
      <c r="Q222" s="193" t="str">
        <f t="shared" si="17"/>
        <v>202706|CAMS|Monthly</v>
      </c>
      <c r="R222" s="193" t="str">
        <f>INDEX(_TARGETS!$H$2:$H$17,MATCH($C222,_TARGETS!$A$2:$A$17,0))</f>
        <v>Solo reporte</v>
      </c>
      <c r="S222" s="193" t="str">
        <f t="shared" si="18"/>
        <v/>
      </c>
      <c r="T222" s="193" t="str">
        <f t="shared" si="19"/>
        <v/>
      </c>
    </row>
    <row r="223" spans="1:20" ht="13.5" customHeight="1" x14ac:dyDescent="0.3">
      <c r="A223" s="245">
        <f>KPIs!$N$3</f>
        <v>46539</v>
      </c>
      <c r="B223" s="199" t="str">
        <f>KPIs!N$4</f>
        <v>Compresora</v>
      </c>
      <c r="C223" s="31" t="s">
        <v>87</v>
      </c>
      <c r="D223" s="199" t="str">
        <f>KPIs!$A$21</f>
        <v>11 · Cumplimiento de caminatas gerenciales</v>
      </c>
      <c r="E223" s="31" t="s">
        <v>599</v>
      </c>
      <c r="F223" s="247" t="str">
        <f>IF(ISNUMBER(KPIs!N21),KPIs!N21,"")</f>
        <v/>
      </c>
      <c r="G223" s="247">
        <f>IF(ISNUMBER(KPIs!$C$21),KPIs!$C$21,"")</f>
        <v>1</v>
      </c>
      <c r="H223" s="199" t="str">
        <f>IFERROR(INDEX(_TARGETS!$E$2:$E$17,MATCH($C223,_TARGETS!$A$2:$A$17,0))&amp;"","")</f>
        <v>≥</v>
      </c>
      <c r="I223" s="199" t="str">
        <f t="shared" si="15"/>
        <v/>
      </c>
      <c r="J223" s="193" t="str">
        <f t="shared" si="16"/>
        <v>Monthly</v>
      </c>
      <c r="K223" s="248">
        <f>Datos!N24</f>
        <v>0</v>
      </c>
      <c r="L223" s="248">
        <f>Datos!N25</f>
        <v>0</v>
      </c>
      <c r="M223" s="193">
        <f>INDEX(_TARGETS!$J$2:$J$17,MATCH($C223,_TARGETS!$A$2:$A$17,0))</f>
        <v>1</v>
      </c>
      <c r="N223" s="193" t="str">
        <f>INDEX(_TARGETS!$D$2:$D$17,MATCH($C223,_TARGETS!$A$2:$A$17,0))</f>
        <v>% (fracción)</v>
      </c>
      <c r="O223" s="193" t="str">
        <f>IF(NOT(ISNUMBER(F223)),"MISSING",IF((COUNTBLANK(Datos!N24)+COUNTBLANK(Datos!N25))&gt;0,"INCOMPLETE","OK"))</f>
        <v>MISSING</v>
      </c>
      <c r="P223" s="193" t="str">
        <f>INDEX(_TARGETS!$K$2:$K$17,MATCH($C223,_TARGETS!$A$2:$A$17,0))</f>
        <v>OPS (carga manual en Datos)</v>
      </c>
      <c r="Q223" s="193" t="str">
        <f t="shared" si="17"/>
        <v>202706|ICCS|Monthly</v>
      </c>
      <c r="R223" s="193" t="str">
        <f>INDEX(_TARGETS!$H$2:$H$17,MATCH($C223,_TARGETS!$A$2:$A$17,0))</f>
        <v>Definida</v>
      </c>
      <c r="S223" s="193" t="str">
        <f t="shared" si="18"/>
        <v/>
      </c>
      <c r="T223" s="193" t="str">
        <f t="shared" si="19"/>
        <v/>
      </c>
    </row>
    <row r="224" spans="1:20" ht="13.5" customHeight="1" x14ac:dyDescent="0.3">
      <c r="A224" s="245">
        <f>KPIs!$N$3</f>
        <v>46539</v>
      </c>
      <c r="B224" s="199" t="str">
        <f>KPIs!N$4</f>
        <v>Compresora</v>
      </c>
      <c r="C224" s="31" t="s">
        <v>89</v>
      </c>
      <c r="D224" s="199" t="str">
        <f>KPIs!$A$22</f>
        <v>12 · Cumplimiento de comités y subcomités de seguridad</v>
      </c>
      <c r="E224" s="31" t="s">
        <v>599</v>
      </c>
      <c r="F224" s="247" t="str">
        <f>IF(ISNUMBER(KPIs!N22),KPIs!N22,"")</f>
        <v/>
      </c>
      <c r="G224" s="247">
        <f>IF(ISNUMBER(KPIs!$C$22),KPIs!$C$22,"")</f>
        <v>1</v>
      </c>
      <c r="H224" s="199" t="str">
        <f>IFERROR(INDEX(_TARGETS!$E$2:$E$17,MATCH($C224,_TARGETS!$A$2:$A$17,0))&amp;"","")</f>
        <v>≥</v>
      </c>
      <c r="I224" s="199" t="str">
        <f t="shared" si="15"/>
        <v/>
      </c>
      <c r="J224" s="193" t="str">
        <f t="shared" si="16"/>
        <v>Monthly</v>
      </c>
      <c r="K224" s="248">
        <f>Datos!N26</f>
        <v>0</v>
      </c>
      <c r="L224" s="248">
        <f>Datos!N27</f>
        <v>0</v>
      </c>
      <c r="M224" s="193">
        <f>INDEX(_TARGETS!$J$2:$J$17,MATCH($C224,_TARGETS!$A$2:$A$17,0))</f>
        <v>1</v>
      </c>
      <c r="N224" s="193" t="str">
        <f>INDEX(_TARGETS!$D$2:$D$17,MATCH($C224,_TARGETS!$A$2:$A$17,0))</f>
        <v>% (fracción)</v>
      </c>
      <c r="O224" s="193" t="str">
        <f>IF(NOT(ISNUMBER(F224)),"MISSING",IF((COUNTBLANK(Datos!N26)+COUNTBLANK(Datos!N27))&gt;0,"INCOMPLETE","OK"))</f>
        <v>MISSING</v>
      </c>
      <c r="P224" s="193" t="str">
        <f>INDEX(_TARGETS!$K$2:$K$17,MATCH($C224,_TARGETS!$A$2:$A$17,0))</f>
        <v>OPS (carga manual en Datos)</v>
      </c>
      <c r="Q224" s="193" t="str">
        <f t="shared" si="17"/>
        <v>202706|CCS|Monthly</v>
      </c>
      <c r="R224" s="193" t="str">
        <f>INDEX(_TARGETS!$H$2:$H$17,MATCH($C224,_TARGETS!$A$2:$A$17,0))</f>
        <v>Definida</v>
      </c>
      <c r="S224" s="193" t="str">
        <f t="shared" si="18"/>
        <v/>
      </c>
      <c r="T224" s="193" t="str">
        <f t="shared" si="19"/>
        <v/>
      </c>
    </row>
    <row r="225" spans="1:20" ht="13.5" customHeight="1" x14ac:dyDescent="0.3">
      <c r="A225" s="245">
        <f>KPIs!$N$3</f>
        <v>46539</v>
      </c>
      <c r="B225" s="199" t="str">
        <f>KPIs!N$4</f>
        <v>Compresora</v>
      </c>
      <c r="C225" s="31" t="s">
        <v>91</v>
      </c>
      <c r="D225" s="199" t="str">
        <f>KPIs!$A$23</f>
        <v>13 · Días promedio para cerrar hallazgos</v>
      </c>
      <c r="E225" s="31" t="s">
        <v>599</v>
      </c>
      <c r="F225" s="247" t="str">
        <f>IF(ISNUMBER(KPIs!N23),KPIs!N23,"")</f>
        <v/>
      </c>
      <c r="G225" s="247" t="str">
        <f>IF(ISNUMBER(KPIs!$C$23),KPIs!$C$23,"")</f>
        <v/>
      </c>
      <c r="H225" s="199" t="str">
        <f>IFERROR(INDEX(_TARGETS!$E$2:$E$17,MATCH($C225,_TARGETS!$A$2:$A$17,0))&amp;"","")</f>
        <v>≤</v>
      </c>
      <c r="I225" s="199" t="str">
        <f t="shared" si="15"/>
        <v/>
      </c>
      <c r="J225" s="193" t="str">
        <f t="shared" si="16"/>
        <v>Monthly</v>
      </c>
      <c r="K225" s="248">
        <f>Datos!N68</f>
        <v>0</v>
      </c>
      <c r="L225" s="248">
        <f>Datos!N67</f>
        <v>0</v>
      </c>
      <c r="M225" s="193">
        <f>INDEX(_TARGETS!$J$2:$J$17,MATCH($C225,_TARGETS!$A$2:$A$17,0))</f>
        <v>1</v>
      </c>
      <c r="N225" s="193" t="str">
        <f>INDEX(_TARGETS!$D$2:$D$17,MATCH($C225,_TARGETS!$A$2:$A$17,0))</f>
        <v>días</v>
      </c>
      <c r="O225" s="193" t="str">
        <f>IF(NOT(ISNUMBER(F225)),"MISSING","OK")</f>
        <v>MISSING</v>
      </c>
      <c r="P225" s="193" t="str">
        <f>INDEX(_TARGETS!$K$2:$K$17,MATCH($C225,_TARGETS!$A$2:$A$17,0))</f>
        <v>Plant Findings (hoja Observaciones-SMP)</v>
      </c>
      <c r="Q225" s="193" t="str">
        <f t="shared" si="17"/>
        <v>202706|DPAS|Monthly</v>
      </c>
      <c r="R225" s="193" t="str">
        <f>INDEX(_TARGETS!$H$2:$H$17,MATCH($C225,_TARGETS!$A$2:$A$17,0))</f>
        <v>Pendiente (meta 2027)</v>
      </c>
      <c r="S225" s="193" t="str">
        <f t="shared" si="18"/>
        <v/>
      </c>
      <c r="T225" s="193" t="str">
        <f t="shared" si="19"/>
        <v/>
      </c>
    </row>
    <row r="226" spans="1:20" ht="13.5" customHeight="1" x14ac:dyDescent="0.3">
      <c r="A226" s="245">
        <f>KPIs!$N$3</f>
        <v>46539</v>
      </c>
      <c r="B226" s="199" t="str">
        <f>KPIs!N$4</f>
        <v>Compresora</v>
      </c>
      <c r="C226" s="31" t="s">
        <v>39</v>
      </c>
      <c r="D226" s="199" t="str">
        <f>KPIs!$A$26</f>
        <v>1 · Frecuencia de casos con días perdidos · ACUMULADO</v>
      </c>
      <c r="E226" s="31" t="s">
        <v>600</v>
      </c>
      <c r="F226" s="247" t="str">
        <f>IF(ISNUMBER(KPIs!N26),KPIs!N26,"")</f>
        <v/>
      </c>
      <c r="G226" s="247">
        <f>IF(ISNUMBER(KPIs!$C$26),KPIs!$C$26,"")</f>
        <v>0</v>
      </c>
      <c r="H226" s="199" t="str">
        <f>IFERROR(INDEX(_TARGETS!$E$2:$E$17,MATCH($C226,_TARGETS!$A$2:$A$17,0))&amp;"","")</f>
        <v>≤</v>
      </c>
      <c r="I226" s="199" t="str">
        <f t="shared" si="15"/>
        <v/>
      </c>
      <c r="J226" s="193" t="str">
        <f t="shared" si="16"/>
        <v>Cumulative</v>
      </c>
      <c r="K226" s="193">
        <f>SUM(Datos!$D33:N33)</f>
        <v>0</v>
      </c>
      <c r="L226" s="193">
        <f>SUM(Datos!$D14:N14)</f>
        <v>48332</v>
      </c>
      <c r="M226" s="193">
        <f>INDEX(_TARGETS!$J$2:$J$17,MATCH($C226,_TARGETS!$A$2:$A$17,0))</f>
        <v>1000000</v>
      </c>
      <c r="N226" s="193" t="str">
        <f>INDEX(_TARGETS!$D$2:$D$17,MATCH($C226,_TARGETS!$A$2:$A$17,0))</f>
        <v>casos / 10^6 HH</v>
      </c>
      <c r="O226" s="193" t="str">
        <f>IF(NOT(ISNUMBER(F226)),IF(SUMPRODUCT(($C$2:$C$1300=C226)*($J$2:$J$1300="Monthly")*($A$2:$A$1300&lt;=A226)*ISNUMBER($K$2:$K$1300)*ISNUMBER($L$2:$L$1300)*($L$2:$L$1300=0)*($K$2:$K$1300&gt;0))&gt;0,"INCOMPLETE","MISSING"),O212)</f>
        <v>MISSING</v>
      </c>
      <c r="P226" s="193" t="str">
        <f>INDEX(_TARGETS!$K$2:$K$17,MATCH($C226,_TARGETS!$A$2:$A$17,0))</f>
        <v>OPS (carga manual en Datos)</v>
      </c>
      <c r="Q226" s="193" t="str">
        <f t="shared" si="17"/>
        <v>202706|DAFWCF|Cumulative</v>
      </c>
      <c r="R226" s="193" t="str">
        <f>INDEX(_TARGETS!$H$2:$H$17,MATCH($C226,_TARGETS!$A$2:$A$17,0))</f>
        <v>Definida</v>
      </c>
      <c r="S226" s="193">
        <f t="shared" si="18"/>
        <v>0</v>
      </c>
      <c r="T226" s="193" t="str">
        <f t="shared" si="19"/>
        <v/>
      </c>
    </row>
    <row r="227" spans="1:20" ht="13.5" customHeight="1" x14ac:dyDescent="0.3">
      <c r="A227" s="245">
        <f>KPIs!$N$3</f>
        <v>46539</v>
      </c>
      <c r="B227" s="199" t="str">
        <f>KPIs!N$4</f>
        <v>Compresora</v>
      </c>
      <c r="C227" s="31" t="s">
        <v>49</v>
      </c>
      <c r="D227" s="199" t="str">
        <f>KPIs!$A$27</f>
        <v>2 · Frecuencia de casos registrables · ACUMULADO</v>
      </c>
      <c r="E227" s="31" t="s">
        <v>600</v>
      </c>
      <c r="F227" s="247" t="str">
        <f>IF(ISNUMBER(KPIs!N27),KPIs!N27,"")</f>
        <v/>
      </c>
      <c r="G227" s="247">
        <f>IF(ISNUMBER(KPIs!$C$27),KPIs!$C$27,"")</f>
        <v>2.35</v>
      </c>
      <c r="H227" s="199" t="str">
        <f>IFERROR(INDEX(_TARGETS!$E$2:$E$17,MATCH($C227,_TARGETS!$A$2:$A$17,0))&amp;"","")</f>
        <v>≤</v>
      </c>
      <c r="I227" s="199" t="str">
        <f t="shared" si="15"/>
        <v/>
      </c>
      <c r="J227" s="193" t="str">
        <f t="shared" si="16"/>
        <v>Cumulative</v>
      </c>
      <c r="K227" s="193">
        <f>SUM(Datos!$D33:N33)+SUM(Datos!$D34:N34)+SUM(Datos!$D35:N35)+SUM(Datos!$D36:N36)</f>
        <v>0</v>
      </c>
      <c r="L227" s="193">
        <f>SUM(Datos!$D14:N14)</f>
        <v>48332</v>
      </c>
      <c r="M227" s="193">
        <f>INDEX(_TARGETS!$J$2:$J$17,MATCH($C227,_TARGETS!$A$2:$A$17,0))</f>
        <v>1000000</v>
      </c>
      <c r="N227" s="193" t="str">
        <f>INDEX(_TARGETS!$D$2:$D$17,MATCH($C227,_TARGETS!$A$2:$A$17,0))</f>
        <v>casos / 10^6 HH</v>
      </c>
      <c r="O227" s="193" t="str">
        <f>IF(NOT(ISNUMBER(F227)),IF(SUMPRODUCT(($C$2:$C$1300=C227)*($J$2:$J$1300="Monthly")*($A$2:$A$1300&lt;=A227)*ISNUMBER($K$2:$K$1300)*ISNUMBER($L$2:$L$1300)*($L$2:$L$1300=0)*($K$2:$K$1300&gt;0))&gt;0,"INCOMPLETE","MISSING"),O213)</f>
        <v>MISSING</v>
      </c>
      <c r="P227" s="193" t="str">
        <f>INDEX(_TARGETS!$K$2:$K$17,MATCH($C227,_TARGETS!$A$2:$A$17,0))</f>
        <v>OPS (carga manual en Datos)</v>
      </c>
      <c r="Q227" s="193" t="str">
        <f t="shared" si="17"/>
        <v>202706|TRICF|Cumulative</v>
      </c>
      <c r="R227" s="193" t="str">
        <f>INDEX(_TARGETS!$H$2:$H$17,MATCH($C227,_TARGETS!$A$2:$A$17,0))</f>
        <v>Definida</v>
      </c>
      <c r="S227" s="193">
        <f t="shared" si="18"/>
        <v>0</v>
      </c>
      <c r="T227" s="193" t="str">
        <f t="shared" si="19"/>
        <v/>
      </c>
    </row>
    <row r="228" spans="1:20" ht="13.5" customHeight="1" x14ac:dyDescent="0.3">
      <c r="A228" s="245">
        <f>KPIs!$N$3</f>
        <v>46539</v>
      </c>
      <c r="B228" s="199" t="str">
        <f>KPIs!N$4</f>
        <v>Compresora</v>
      </c>
      <c r="C228" s="31" t="s">
        <v>51</v>
      </c>
      <c r="D228" s="199" t="str">
        <f>KPIs!$A$28</f>
        <v>3 · Casos de primeros auxilios · ACUMULADO</v>
      </c>
      <c r="E228" s="31" t="s">
        <v>600</v>
      </c>
      <c r="F228" s="247" t="str">
        <f>IF(ISNUMBER(KPIs!N28),KPIs!N28,"")</f>
        <v/>
      </c>
      <c r="G228" s="247" t="str">
        <f>IF(ISNUMBER(KPIs!$C$28),KPIs!$C$28,"")</f>
        <v/>
      </c>
      <c r="H228" s="199" t="str">
        <f>IFERROR(INDEX(_TARGETS!$E$2:$E$17,MATCH($C228,_TARGETS!$A$2:$A$17,0))&amp;"","")</f>
        <v/>
      </c>
      <c r="I228" s="199" t="str">
        <f t="shared" si="15"/>
        <v/>
      </c>
      <c r="J228" s="193" t="str">
        <f t="shared" si="16"/>
        <v>Cumulative</v>
      </c>
      <c r="K228" s="193">
        <f>SUM(Datos!$D37:N37)</f>
        <v>0</v>
      </c>
      <c r="M228" s="193">
        <f>INDEX(_TARGETS!$J$2:$J$17,MATCH($C228,_TARGETS!$A$2:$A$17,0))</f>
        <v>1</v>
      </c>
      <c r="N228" s="193" t="str">
        <f>INDEX(_TARGETS!$D$2:$D$17,MATCH($C228,_TARGETS!$A$2:$A$17,0))</f>
        <v>casos</v>
      </c>
      <c r="O228" s="193" t="str">
        <f>IF(NOT(ISNUMBER(F228)),IF(SUMPRODUCT(($C$2:$C$1300=C228)*($J$2:$J$1300="Monthly")*($A$2:$A$1300&lt;=A228)*ISNUMBER($K$2:$K$1300)*ISNUMBER($L$2:$L$1300)*($L$2:$L$1300=0)*($K$2:$K$1300&gt;0))&gt;0,"INCOMPLETE","MISSING"),O214)</f>
        <v>MISSING</v>
      </c>
      <c r="P228" s="193" t="str">
        <f>INDEX(_TARGETS!$K$2:$K$17,MATCH($C228,_TARGETS!$A$2:$A$17,0))</f>
        <v>OPS (carga manual en Datos)</v>
      </c>
      <c r="Q228" s="193" t="str">
        <f t="shared" si="17"/>
        <v>202706|FAC|Cumulative</v>
      </c>
      <c r="R228" s="193" t="str">
        <f>INDEX(_TARGETS!$H$2:$H$17,MATCH($C228,_TARGETS!$A$2:$A$17,0))</f>
        <v>Solo reporte</v>
      </c>
      <c r="S228" s="193">
        <f t="shared" si="18"/>
        <v>0</v>
      </c>
      <c r="T228" s="193" t="str">
        <f t="shared" si="19"/>
        <v/>
      </c>
    </row>
    <row r="229" spans="1:20" ht="13.5" customHeight="1" x14ac:dyDescent="0.3">
      <c r="A229" s="245">
        <f>KPIs!$N$3</f>
        <v>46539</v>
      </c>
      <c r="B229" s="199" t="str">
        <f>KPIs!N$4</f>
        <v>Compresora</v>
      </c>
      <c r="C229" s="31" t="s">
        <v>57</v>
      </c>
      <c r="D229" s="199" t="str">
        <f>KPIs!$A$29</f>
        <v>4 · Accidentes vehiculares severos · ACUMULADO</v>
      </c>
      <c r="E229" s="31" t="s">
        <v>600</v>
      </c>
      <c r="F229" s="247" t="str">
        <f>IF(ISNUMBER(KPIs!N29),KPIs!N29,"")</f>
        <v/>
      </c>
      <c r="G229" s="247" t="str">
        <f>IF(ISNUMBER(KPIs!$C$29),KPIs!$C$29,"")</f>
        <v/>
      </c>
      <c r="H229" s="199" t="str">
        <f>IFERROR(INDEX(_TARGETS!$E$2:$E$17,MATCH($C229,_TARGETS!$A$2:$A$17,0))&amp;"","")</f>
        <v/>
      </c>
      <c r="I229" s="199" t="str">
        <f t="shared" si="15"/>
        <v/>
      </c>
      <c r="J229" s="193" t="str">
        <f t="shared" si="16"/>
        <v>Cumulative</v>
      </c>
      <c r="K229" s="193">
        <f>SUM(Datos!$D39:N39)+SUM(Datos!$D40:N40)+SUM(Datos!$D41:N41)</f>
        <v>0</v>
      </c>
      <c r="L229" s="193">
        <f>SUM(Datos!$D47:N47)</f>
        <v>172824</v>
      </c>
      <c r="M229" s="193">
        <f>INDEX(_TARGETS!$J$2:$J$17,MATCH($C229,_TARGETS!$A$2:$A$17,0))</f>
        <v>1000000</v>
      </c>
      <c r="N229" s="193" t="str">
        <f>INDEX(_TARGETS!$D$2:$D$17,MATCH($C229,_TARGETS!$A$2:$A$17,0))</f>
        <v>eventos / 10^6 km</v>
      </c>
      <c r="O229" s="193" t="str">
        <f>IF(NOT(ISNUMBER(F229)),IF(SUMPRODUCT(($C$2:$C$1300=C229)*($J$2:$J$1300="Monthly")*($A$2:$A$1300&lt;=A229)*ISNUMBER($K$2:$K$1300)*ISNUMBER($L$2:$L$1300)*($L$2:$L$1300=0)*($K$2:$K$1300&gt;0))&gt;0,"INCOMPLETE","MISSING"),O215)</f>
        <v>MISSING</v>
      </c>
      <c r="P229" s="193" t="str">
        <f>INDEX(_TARGETS!$K$2:$K$17,MATCH($C229,_TARGETS!$A$2:$A$17,0))</f>
        <v>OPS (eventos) + Full Control GPS (km) - carga manual en Datos</v>
      </c>
      <c r="Q229" s="193" t="str">
        <f t="shared" si="17"/>
        <v>202706|SVCR|Cumulative</v>
      </c>
      <c r="R229" s="193" t="str">
        <f>INDEX(_TARGETS!$H$2:$H$17,MATCH($C229,_TARGETS!$A$2:$A$17,0))</f>
        <v>Solo reporte</v>
      </c>
      <c r="S229" s="193">
        <f t="shared" si="18"/>
        <v>0</v>
      </c>
      <c r="T229" s="193" t="str">
        <f t="shared" si="19"/>
        <v/>
      </c>
    </row>
    <row r="230" spans="1:20" ht="13.5" customHeight="1" x14ac:dyDescent="0.3">
      <c r="A230" s="245">
        <f>KPIs!$N$3</f>
        <v>46539</v>
      </c>
      <c r="B230" s="199" t="str">
        <f>KPIs!N$4</f>
        <v>Compresora</v>
      </c>
      <c r="C230" s="31" t="s">
        <v>61</v>
      </c>
      <c r="D230" s="199" t="str">
        <f>KPIs!$A$30</f>
        <v>5 · Accidentes vehiculares totales · ACUMULADO</v>
      </c>
      <c r="E230" s="31" t="s">
        <v>600</v>
      </c>
      <c r="F230" s="247" t="str">
        <f>IF(ISNUMBER(KPIs!N30),KPIs!N30,"")</f>
        <v/>
      </c>
      <c r="G230" s="247">
        <f>IF(ISNUMBER(KPIs!$C$30),KPIs!$C$30,"")</f>
        <v>0.79</v>
      </c>
      <c r="H230" s="199" t="str">
        <f>IFERROR(INDEX(_TARGETS!$E$2:$E$17,MATCH($C230,_TARGETS!$A$2:$A$17,0))&amp;"","")</f>
        <v>≤</v>
      </c>
      <c r="I230" s="199" t="str">
        <f t="shared" si="15"/>
        <v/>
      </c>
      <c r="J230" s="193" t="str">
        <f t="shared" si="16"/>
        <v>Cumulative</v>
      </c>
      <c r="K230" s="193">
        <f>SUM(Datos!$D39:N39)+SUM(Datos!$D40:N40)+SUM(Datos!$D41:N41)+SUM(Datos!$D42:N42)</f>
        <v>0</v>
      </c>
      <c r="L230" s="193">
        <f>SUM(Datos!$D47:N47)</f>
        <v>172824</v>
      </c>
      <c r="M230" s="193">
        <f>INDEX(_TARGETS!$J$2:$J$17,MATCH($C230,_TARGETS!$A$2:$A$17,0))</f>
        <v>1000000</v>
      </c>
      <c r="N230" s="193" t="str">
        <f>INDEX(_TARGETS!$D$2:$D$17,MATCH($C230,_TARGETS!$A$2:$A$17,0))</f>
        <v>eventos / 10^6 km</v>
      </c>
      <c r="O230" s="193" t="str">
        <f>IF(NOT(ISNUMBER(F230)),IF(SUMPRODUCT(($C$2:$C$1300=C230)*($J$2:$J$1300="Monthly")*($A$2:$A$1300&lt;=A230)*ISNUMBER($K$2:$K$1300)*ISNUMBER($L$2:$L$1300)*($L$2:$L$1300=0)*($K$2:$K$1300&gt;0))&gt;0,"INCOMPLETE","MISSING"),O216)</f>
        <v>MISSING</v>
      </c>
      <c r="P230" s="193" t="str">
        <f>INDEX(_TARGETS!$K$2:$K$17,MATCH($C230,_TARGETS!$A$2:$A$17,0))</f>
        <v>OPS (eventos) + Full Control GPS (km) - carga manual en Datos</v>
      </c>
      <c r="Q230" s="193" t="str">
        <f t="shared" si="17"/>
        <v>202706|TVCR|Cumulative</v>
      </c>
      <c r="R230" s="193" t="str">
        <f>INDEX(_TARGETS!$H$2:$H$17,MATCH($C230,_TARGETS!$A$2:$A$17,0))</f>
        <v>Definida</v>
      </c>
      <c r="S230" s="193">
        <f t="shared" si="18"/>
        <v>0</v>
      </c>
      <c r="T230" s="193" t="str">
        <f t="shared" si="19"/>
        <v/>
      </c>
    </row>
    <row r="231" spans="1:20" ht="13.5" customHeight="1" x14ac:dyDescent="0.3">
      <c r="A231" s="245">
        <f>KPIs!$N$3</f>
        <v>46539</v>
      </c>
      <c r="B231" s="199" t="str">
        <f>KPIs!N$4</f>
        <v>Compresora</v>
      </c>
      <c r="C231" s="31" t="s">
        <v>96</v>
      </c>
      <c r="D231" s="199" t="str">
        <f>KPIs!$A$33</f>
        <v>C1 · % de desvíos detectados de gravedad Alta</v>
      </c>
      <c r="E231" s="31" t="s">
        <v>599</v>
      </c>
      <c r="F231" s="247" t="str">
        <f>IF(ISNUMBER(KPIs!N33),KPIs!N33,"")</f>
        <v/>
      </c>
      <c r="G231" s="247" t="str">
        <f>IF(ISNUMBER(KPIs!$C$33),KPIs!$C$33,"")</f>
        <v/>
      </c>
      <c r="H231" s="199" t="str">
        <f>IFERROR(INDEX(_TARGETS!$E$2:$E$17,MATCH($C231,_TARGETS!$A$2:$A$17,0))&amp;"","")</f>
        <v/>
      </c>
      <c r="I231" s="199" t="str">
        <f t="shared" si="15"/>
        <v/>
      </c>
      <c r="J231" s="193" t="str">
        <f t="shared" si="16"/>
        <v>Monthly</v>
      </c>
      <c r="K231" s="248">
        <f>Datos!N71</f>
        <v>0</v>
      </c>
      <c r="L231" s="193">
        <f>Datos!N71+Datos!N72+Datos!N73</f>
        <v>0</v>
      </c>
      <c r="M231" s="193">
        <f>INDEX(_TARGETS!$J$2:$J$17,MATCH($C231,_TARGETS!$A$2:$A$17,0))</f>
        <v>1</v>
      </c>
      <c r="N231" s="193" t="str">
        <f>INDEX(_TARGETS!$D$2:$D$17,MATCH($C231,_TARGETS!$A$2:$A$17,0))</f>
        <v>% (fracción)</v>
      </c>
      <c r="O231" s="193" t="str">
        <f>IF(NOT(ISNUMBER(F231)),"MISSING","OK")</f>
        <v>MISSING</v>
      </c>
      <c r="P231" s="193" t="str">
        <f>INDEX(_TARGETS!$K$2:$K$17,MATCH($C231,_TARGETS!$A$2:$A$17,0))</f>
        <v>Plant Findings (hoja Observaciones-SMP)</v>
      </c>
      <c r="Q231" s="193" t="str">
        <f t="shared" si="17"/>
        <v>202706|HAL_ALTA_PCT|Monthly</v>
      </c>
      <c r="R231" s="193" t="str">
        <f>INDEX(_TARGETS!$H$2:$H$17,MATCH($C231,_TARGETS!$A$2:$A$17,0))</f>
        <v>Solo reporte</v>
      </c>
      <c r="S231" s="193" t="str">
        <f t="shared" si="18"/>
        <v/>
      </c>
      <c r="T231" s="193" t="str">
        <f t="shared" si="19"/>
        <v/>
      </c>
    </row>
    <row r="232" spans="1:20" ht="13.5" customHeight="1" x14ac:dyDescent="0.3">
      <c r="A232" s="245">
        <f>KPIs!$N$3</f>
        <v>46539</v>
      </c>
      <c r="B232" s="199" t="str">
        <f>KPIs!N$4</f>
        <v>Compresora</v>
      </c>
      <c r="C232" s="31" t="s">
        <v>98</v>
      </c>
      <c r="D232" s="199" t="str">
        <f>KPIs!$A$34</f>
        <v>C2 · Detenciones de tareas aplicadas</v>
      </c>
      <c r="E232" s="31" t="s">
        <v>599</v>
      </c>
      <c r="F232" s="247" t="str">
        <f>IF(ISNUMBER(KPIs!N34),KPIs!N34,"")</f>
        <v/>
      </c>
      <c r="G232" s="247" t="str">
        <f>IF(ISNUMBER(KPIs!$C$34),KPIs!$C$34,"")</f>
        <v/>
      </c>
      <c r="H232" s="199" t="str">
        <f>IFERROR(INDEX(_TARGETS!$E$2:$E$17,MATCH($C232,_TARGETS!$A$2:$A$17,0))&amp;"","")</f>
        <v/>
      </c>
      <c r="I232" s="199" t="str">
        <f t="shared" si="15"/>
        <v/>
      </c>
      <c r="J232" s="193" t="str">
        <f t="shared" si="16"/>
        <v>Monthly</v>
      </c>
      <c r="K232" s="248">
        <f>Datos!N75</f>
        <v>0</v>
      </c>
      <c r="M232" s="193">
        <f>INDEX(_TARGETS!$J$2:$J$17,MATCH($C232,_TARGETS!$A$2:$A$17,0))</f>
        <v>1</v>
      </c>
      <c r="N232" s="193" t="str">
        <f>INDEX(_TARGETS!$D$2:$D$17,MATCH($C232,_TARGETS!$A$2:$A$17,0))</f>
        <v>u</v>
      </c>
      <c r="O232" s="193" t="str">
        <f>IF(NOT(ISNUMBER(F232)),"MISSING","OK")</f>
        <v>MISSING</v>
      </c>
      <c r="P232" s="193" t="str">
        <f>INDEX(_TARGETS!$K$2:$K$17,MATCH($C232,_TARGETS!$A$2:$A$17,0))</f>
        <v>Plant Findings (hoja Observaciones-SMP)</v>
      </c>
      <c r="Q232" s="193" t="str">
        <f t="shared" si="17"/>
        <v>202706|DET|Monthly</v>
      </c>
      <c r="R232" s="193" t="str">
        <f>INDEX(_TARGETS!$H$2:$H$17,MATCH($C232,_TARGETS!$A$2:$A$17,0))</f>
        <v>Solo reporte</v>
      </c>
      <c r="S232" s="193" t="str">
        <f t="shared" si="18"/>
        <v/>
      </c>
      <c r="T232" s="193" t="str">
        <f t="shared" si="19"/>
        <v/>
      </c>
    </row>
    <row r="233" spans="1:20" ht="13.5" customHeight="1" x14ac:dyDescent="0.3">
      <c r="A233" s="245">
        <f>KPIs!$O$3</f>
        <v>46569</v>
      </c>
      <c r="B233" s="199" t="str">
        <f>KPIs!O$4</f>
        <v>Compresora</v>
      </c>
      <c r="C233" s="31" t="s">
        <v>39</v>
      </c>
      <c r="D233" s="199" t="str">
        <f>KPIs!$A$6</f>
        <v>1 · Frecuencia de casos con días perdidos</v>
      </c>
      <c r="E233" s="31" t="s">
        <v>599</v>
      </c>
      <c r="F233" s="247" t="str">
        <f>IF(ISNUMBER(KPIs!O6),KPIs!O6,"")</f>
        <v/>
      </c>
      <c r="G233" s="247">
        <f>IF(ISNUMBER(KPIs!$C$6),KPIs!$C$6,"")</f>
        <v>0</v>
      </c>
      <c r="H233" s="199" t="str">
        <f>IFERROR(INDEX(_TARGETS!$E$2:$E$17,MATCH($C233,_TARGETS!$A$2:$A$17,0))&amp;"","")</f>
        <v>≤</v>
      </c>
      <c r="I233" s="199" t="str">
        <f t="shared" si="15"/>
        <v/>
      </c>
      <c r="J233" s="193" t="str">
        <f t="shared" si="16"/>
        <v>Monthly</v>
      </c>
      <c r="K233" s="248">
        <f>Datos!O33</f>
        <v>0</v>
      </c>
      <c r="L233" s="248">
        <f>Datos!O14</f>
        <v>0</v>
      </c>
      <c r="M233" s="193">
        <f>INDEX(_TARGETS!$J$2:$J$17,MATCH($C233,_TARGETS!$A$2:$A$17,0))</f>
        <v>1000000</v>
      </c>
      <c r="N233" s="193" t="str">
        <f>INDEX(_TARGETS!$D$2:$D$17,MATCH($C233,_TARGETS!$A$2:$A$17,0))</f>
        <v>casos / 10^6 HH</v>
      </c>
      <c r="O233" s="193" t="str">
        <f>IF(NOT(ISNUMBER(F233)),"MISSING",IF((COUNTBLANK(Datos!O12)+COUNTBLANK(Datos!O13)+COUNTBLANK(Datos!O33))&gt;0,"INCOMPLETE","OK"))</f>
        <v>MISSING</v>
      </c>
      <c r="P233" s="193" t="str">
        <f>INDEX(_TARGETS!$K$2:$K$17,MATCH($C233,_TARGETS!$A$2:$A$17,0))</f>
        <v>OPS (carga manual en Datos)</v>
      </c>
      <c r="Q233" s="193" t="str">
        <f t="shared" si="17"/>
        <v>202707|DAFWCF|Monthly</v>
      </c>
      <c r="R233" s="193" t="str">
        <f>INDEX(_TARGETS!$H$2:$H$17,MATCH($C233,_TARGETS!$A$2:$A$17,0))</f>
        <v>Definida</v>
      </c>
      <c r="S233" s="193" t="str">
        <f t="shared" si="18"/>
        <v/>
      </c>
      <c r="T233" s="193" t="str">
        <f t="shared" si="19"/>
        <v/>
      </c>
    </row>
    <row r="234" spans="1:20" ht="13.5" customHeight="1" x14ac:dyDescent="0.3">
      <c r="A234" s="245">
        <f>KPIs!$O$3</f>
        <v>46569</v>
      </c>
      <c r="B234" s="199" t="str">
        <f>KPIs!O$4</f>
        <v>Compresora</v>
      </c>
      <c r="C234" s="31" t="s">
        <v>49</v>
      </c>
      <c r="D234" s="199" t="str">
        <f>KPIs!$A$7</f>
        <v>2 · Frecuencia de casos registrables</v>
      </c>
      <c r="E234" s="31" t="s">
        <v>599</v>
      </c>
      <c r="F234" s="247" t="str">
        <f>IF(ISNUMBER(KPIs!O7),KPIs!O7,"")</f>
        <v/>
      </c>
      <c r="G234" s="247">
        <f>IF(ISNUMBER(KPIs!$C$7),KPIs!$C$7,"")</f>
        <v>2.35</v>
      </c>
      <c r="H234" s="199" t="str">
        <f>IFERROR(INDEX(_TARGETS!$E$2:$E$17,MATCH($C234,_TARGETS!$A$2:$A$17,0))&amp;"","")</f>
        <v>≤</v>
      </c>
      <c r="I234" s="199" t="str">
        <f t="shared" si="15"/>
        <v/>
      </c>
      <c r="J234" s="193" t="str">
        <f t="shared" si="16"/>
        <v>Monthly</v>
      </c>
      <c r="K234" s="193">
        <f>Datos!O33+Datos!O34+Datos!O35+Datos!O36</f>
        <v>0</v>
      </c>
      <c r="L234" s="248">
        <f>Datos!O14</f>
        <v>0</v>
      </c>
      <c r="M234" s="193">
        <f>INDEX(_TARGETS!$J$2:$J$17,MATCH($C234,_TARGETS!$A$2:$A$17,0))</f>
        <v>1000000</v>
      </c>
      <c r="N234" s="193" t="str">
        <f>INDEX(_TARGETS!$D$2:$D$17,MATCH($C234,_TARGETS!$A$2:$A$17,0))</f>
        <v>casos / 10^6 HH</v>
      </c>
      <c r="O234" s="193" t="str">
        <f>IF(NOT(ISNUMBER(F234)),"MISSING",IF((COUNTBLANK(Datos!O12)+COUNTBLANK(Datos!O13)+COUNTBLANK(Datos!O33)+COUNTBLANK(Datos!O34)+COUNTBLANK(Datos!O35)+COUNTBLANK(Datos!O36))&gt;0,"INCOMPLETE","OK"))</f>
        <v>MISSING</v>
      </c>
      <c r="P234" s="193" t="str">
        <f>INDEX(_TARGETS!$K$2:$K$17,MATCH($C234,_TARGETS!$A$2:$A$17,0))</f>
        <v>OPS (carga manual en Datos)</v>
      </c>
      <c r="Q234" s="193" t="str">
        <f t="shared" si="17"/>
        <v>202707|TRICF|Monthly</v>
      </c>
      <c r="R234" s="193" t="str">
        <f>INDEX(_TARGETS!$H$2:$H$17,MATCH($C234,_TARGETS!$A$2:$A$17,0))</f>
        <v>Definida</v>
      </c>
      <c r="S234" s="193" t="str">
        <f t="shared" si="18"/>
        <v/>
      </c>
      <c r="T234" s="193" t="str">
        <f t="shared" si="19"/>
        <v/>
      </c>
    </row>
    <row r="235" spans="1:20" ht="13.5" customHeight="1" x14ac:dyDescent="0.3">
      <c r="A235" s="245">
        <f>KPIs!$O$3</f>
        <v>46569</v>
      </c>
      <c r="B235" s="199" t="str">
        <f>KPIs!O$4</f>
        <v>Compresora</v>
      </c>
      <c r="C235" s="31" t="s">
        <v>51</v>
      </c>
      <c r="D235" s="199" t="str">
        <f>KPIs!$A$8</f>
        <v>3 · Casos de primeros auxilios</v>
      </c>
      <c r="E235" s="31" t="s">
        <v>599</v>
      </c>
      <c r="F235" s="247" t="str">
        <f>IF(ISNUMBER(KPIs!O8),KPIs!O8,"")</f>
        <v/>
      </c>
      <c r="G235" s="247" t="str">
        <f>IF(ISNUMBER(KPIs!$C$8),KPIs!$C$8,"")</f>
        <v/>
      </c>
      <c r="H235" s="199" t="str">
        <f>IFERROR(INDEX(_TARGETS!$E$2:$E$17,MATCH($C235,_TARGETS!$A$2:$A$17,0))&amp;"","")</f>
        <v/>
      </c>
      <c r="I235" s="199" t="str">
        <f t="shared" si="15"/>
        <v/>
      </c>
      <c r="J235" s="193" t="str">
        <f t="shared" si="16"/>
        <v>Monthly</v>
      </c>
      <c r="K235" s="248">
        <f>Datos!O37</f>
        <v>0</v>
      </c>
      <c r="M235" s="193">
        <f>INDEX(_TARGETS!$J$2:$J$17,MATCH($C235,_TARGETS!$A$2:$A$17,0))</f>
        <v>1</v>
      </c>
      <c r="N235" s="193" t="str">
        <f>INDEX(_TARGETS!$D$2:$D$17,MATCH($C235,_TARGETS!$A$2:$A$17,0))</f>
        <v>casos</v>
      </c>
      <c r="O235" s="193" t="str">
        <f>IF(NOT(ISNUMBER(F235)),"MISSING",IF((COUNTBLANK(Datos!O12)+COUNTBLANK(Datos!O13)+COUNTBLANK(Datos!O37))&gt;0,"INCOMPLETE","OK"))</f>
        <v>MISSING</v>
      </c>
      <c r="P235" s="193" t="str">
        <f>INDEX(_TARGETS!$K$2:$K$17,MATCH($C235,_TARGETS!$A$2:$A$17,0))</f>
        <v>OPS (carga manual en Datos)</v>
      </c>
      <c r="Q235" s="193" t="str">
        <f t="shared" si="17"/>
        <v>202707|FAC|Monthly</v>
      </c>
      <c r="R235" s="193" t="str">
        <f>INDEX(_TARGETS!$H$2:$H$17,MATCH($C235,_TARGETS!$A$2:$A$17,0))</f>
        <v>Solo reporte</v>
      </c>
      <c r="S235" s="193" t="str">
        <f t="shared" si="18"/>
        <v/>
      </c>
      <c r="T235" s="193" t="str">
        <f t="shared" si="19"/>
        <v/>
      </c>
    </row>
    <row r="236" spans="1:20" ht="13.5" customHeight="1" x14ac:dyDescent="0.3">
      <c r="A236" s="245">
        <f>KPIs!$O$3</f>
        <v>46569</v>
      </c>
      <c r="B236" s="199" t="str">
        <f>KPIs!O$4</f>
        <v>Compresora</v>
      </c>
      <c r="C236" s="31" t="s">
        <v>57</v>
      </c>
      <c r="D236" s="199" t="str">
        <f>KPIs!$A$10</f>
        <v>4 · Accidentes vehiculares severos por millón de km</v>
      </c>
      <c r="E236" s="31" t="s">
        <v>599</v>
      </c>
      <c r="F236" s="247" t="str">
        <f>IF(ISNUMBER(KPIs!O10),KPIs!O10,"")</f>
        <v/>
      </c>
      <c r="G236" s="247" t="str">
        <f>IF(ISNUMBER(KPIs!$C$10),KPIs!$C$10,"")</f>
        <v/>
      </c>
      <c r="H236" s="199" t="str">
        <f>IFERROR(INDEX(_TARGETS!$E$2:$E$17,MATCH($C236,_TARGETS!$A$2:$A$17,0))&amp;"","")</f>
        <v/>
      </c>
      <c r="I236" s="199" t="str">
        <f t="shared" si="15"/>
        <v/>
      </c>
      <c r="J236" s="193" t="str">
        <f t="shared" si="16"/>
        <v>Monthly</v>
      </c>
      <c r="K236" s="193">
        <f>Datos!O39+Datos!O40+Datos!O41</f>
        <v>0</v>
      </c>
      <c r="L236" s="248">
        <f>Datos!O47</f>
        <v>0</v>
      </c>
      <c r="M236" s="193">
        <f>INDEX(_TARGETS!$J$2:$J$17,MATCH($C236,_TARGETS!$A$2:$A$17,0))</f>
        <v>1000000</v>
      </c>
      <c r="N236" s="193" t="str">
        <f>INDEX(_TARGETS!$D$2:$D$17,MATCH($C236,_TARGETS!$A$2:$A$17,0))</f>
        <v>eventos / 10^6 km</v>
      </c>
      <c r="O236" s="193" t="str">
        <f>IF(NOT(ISNUMBER(F236)),"MISSING",IF((COUNTBLANK(Datos!O44)+COUNTBLANK(Datos!O45)+COUNTBLANK(Datos!O46)+COUNTBLANK(Datos!O39)+COUNTBLANK(Datos!O40)+COUNTBLANK(Datos!O41))&gt;0,"INCOMPLETE","OK"))</f>
        <v>MISSING</v>
      </c>
      <c r="P236" s="193" t="str">
        <f>INDEX(_TARGETS!$K$2:$K$17,MATCH($C236,_TARGETS!$A$2:$A$17,0))</f>
        <v>OPS (eventos) + Full Control GPS (km) - carga manual en Datos</v>
      </c>
      <c r="Q236" s="193" t="str">
        <f t="shared" si="17"/>
        <v>202707|SVCR|Monthly</v>
      </c>
      <c r="R236" s="193" t="str">
        <f>INDEX(_TARGETS!$H$2:$H$17,MATCH($C236,_TARGETS!$A$2:$A$17,0))</f>
        <v>Solo reporte</v>
      </c>
      <c r="S236" s="193" t="str">
        <f t="shared" si="18"/>
        <v/>
      </c>
      <c r="T236" s="193" t="str">
        <f t="shared" si="19"/>
        <v/>
      </c>
    </row>
    <row r="237" spans="1:20" ht="13.5" customHeight="1" x14ac:dyDescent="0.3">
      <c r="A237" s="245">
        <f>KPIs!$O$3</f>
        <v>46569</v>
      </c>
      <c r="B237" s="199" t="str">
        <f>KPIs!O$4</f>
        <v>Compresora</v>
      </c>
      <c r="C237" s="31" t="s">
        <v>61</v>
      </c>
      <c r="D237" s="199" t="str">
        <f>KPIs!$A$11</f>
        <v>5 · Accidentes vehiculares totales por millón de km</v>
      </c>
      <c r="E237" s="31" t="s">
        <v>599</v>
      </c>
      <c r="F237" s="247" t="str">
        <f>IF(ISNUMBER(KPIs!O11),KPIs!O11,"")</f>
        <v/>
      </c>
      <c r="G237" s="247">
        <f>IF(ISNUMBER(KPIs!$C$11),KPIs!$C$11,"")</f>
        <v>0.79</v>
      </c>
      <c r="H237" s="199" t="str">
        <f>IFERROR(INDEX(_TARGETS!$E$2:$E$17,MATCH($C237,_TARGETS!$A$2:$A$17,0))&amp;"","")</f>
        <v>≤</v>
      </c>
      <c r="I237" s="199" t="str">
        <f t="shared" si="15"/>
        <v/>
      </c>
      <c r="J237" s="193" t="str">
        <f t="shared" si="16"/>
        <v>Monthly</v>
      </c>
      <c r="K237" s="193">
        <f>Datos!O39+Datos!O40+Datos!O41+Datos!O42</f>
        <v>0</v>
      </c>
      <c r="L237" s="248">
        <f>Datos!O47</f>
        <v>0</v>
      </c>
      <c r="M237" s="193">
        <f>INDEX(_TARGETS!$J$2:$J$17,MATCH($C237,_TARGETS!$A$2:$A$17,0))</f>
        <v>1000000</v>
      </c>
      <c r="N237" s="193" t="str">
        <f>INDEX(_TARGETS!$D$2:$D$17,MATCH($C237,_TARGETS!$A$2:$A$17,0))</f>
        <v>eventos / 10^6 km</v>
      </c>
      <c r="O237" s="193" t="str">
        <f>IF(NOT(ISNUMBER(F237)),"MISSING",IF((COUNTBLANK(Datos!O44)+COUNTBLANK(Datos!O45)+COUNTBLANK(Datos!O46)+COUNTBLANK(Datos!O39)+COUNTBLANK(Datos!O40)+COUNTBLANK(Datos!O41)+COUNTBLANK(Datos!O42))&gt;0,"INCOMPLETE","OK"))</f>
        <v>MISSING</v>
      </c>
      <c r="P237" s="193" t="str">
        <f>INDEX(_TARGETS!$K$2:$K$17,MATCH($C237,_TARGETS!$A$2:$A$17,0))</f>
        <v>OPS (eventos) + Full Control GPS (km) - carga manual en Datos</v>
      </c>
      <c r="Q237" s="193" t="str">
        <f t="shared" si="17"/>
        <v>202707|TVCR|Monthly</v>
      </c>
      <c r="R237" s="193" t="str">
        <f>INDEX(_TARGETS!$H$2:$H$17,MATCH($C237,_TARGETS!$A$2:$A$17,0))</f>
        <v>Definida</v>
      </c>
      <c r="S237" s="193" t="str">
        <f t="shared" si="18"/>
        <v/>
      </c>
      <c r="T237" s="193" t="str">
        <f t="shared" si="19"/>
        <v/>
      </c>
    </row>
    <row r="238" spans="1:20" ht="13.5" customHeight="1" x14ac:dyDescent="0.3">
      <c r="A238" s="245">
        <f>KPIs!$O$3</f>
        <v>46569</v>
      </c>
      <c r="B238" s="199" t="str">
        <f>KPIs!O$4</f>
        <v>Compresora</v>
      </c>
      <c r="C238" s="31" t="s">
        <v>63</v>
      </c>
      <c r="D238" s="199" t="str">
        <f>KPIs!$A$13</f>
        <v>6 · Observaciones de seguridad por persona</v>
      </c>
      <c r="E238" s="31" t="s">
        <v>599</v>
      </c>
      <c r="F238" s="247" t="str">
        <f>IF(ISNUMBER(KPIs!O13),KPIs!O13,"")</f>
        <v/>
      </c>
      <c r="G238" s="247">
        <f>IF(ISNUMBER(KPIs!$C$13),KPIs!$C$13,"")</f>
        <v>1</v>
      </c>
      <c r="H238" s="199" t="str">
        <f>IFERROR(INDEX(_TARGETS!$E$2:$E$17,MATCH($C238,_TARGETS!$A$2:$A$17,0))&amp;"","")</f>
        <v>≥</v>
      </c>
      <c r="I238" s="199" t="str">
        <f t="shared" si="15"/>
        <v/>
      </c>
      <c r="J238" s="193" t="str">
        <f t="shared" si="16"/>
        <v>Monthly</v>
      </c>
      <c r="K238" s="248" t="str">
        <f>IF(COUNT(Datos!O28:O29)=0,"",SUM(Datos!O28:O29))</f>
        <v/>
      </c>
      <c r="L238" s="248">
        <f>Datos!O11</f>
        <v>0</v>
      </c>
      <c r="M238" s="193">
        <f>INDEX(_TARGETS!$J$2:$J$17,MATCH($C238,_TARGETS!$A$2:$A$17,0))</f>
        <v>1</v>
      </c>
      <c r="N238" s="193" t="str">
        <f>INDEX(_TARGETS!$D$2:$D$17,MATCH($C238,_TARGETS!$A$2:$A$17,0))</f>
        <v>obs / persona</v>
      </c>
      <c r="O238" s="193" t="str">
        <f>IF(NOT(ISNUMBER(F238)),"MISSING",IF((COUNTBLANK(Datos!O9)+COUNTBLANK(Datos!O10)+IF(COUNT(Datos!O28:O29)=0,1,0))&gt;0,"INCOMPLETE","OK"))</f>
        <v>MISSING</v>
      </c>
      <c r="P238" s="193" t="str">
        <f>INDEX(_TARGETS!$K$2:$K$17,MATCH($C238,_TARGETS!$A$2:$A$17,0))</f>
        <v>OPS (carga manual en Datos)</v>
      </c>
      <c r="Q238" s="193" t="str">
        <f t="shared" si="17"/>
        <v>202707|OBS|Monthly</v>
      </c>
      <c r="R238" s="193" t="str">
        <f>INDEX(_TARGETS!$H$2:$H$17,MATCH($C238,_TARGETS!$A$2:$A$17,0))</f>
        <v>PROVISORIA · referencia del subcontratista (OPS: 1 obs/persona); meta y población en definición</v>
      </c>
      <c r="S238" s="193" t="str">
        <f t="shared" si="18"/>
        <v/>
      </c>
      <c r="T238" s="193" t="str">
        <f t="shared" si="19"/>
        <v/>
      </c>
    </row>
    <row r="239" spans="1:20" ht="13.5" customHeight="1" x14ac:dyDescent="0.3">
      <c r="A239" s="245">
        <f>KPIs!$O$3</f>
        <v>46569</v>
      </c>
      <c r="B239" s="199" t="str">
        <f>KPIs!O$4</f>
        <v>Compresora</v>
      </c>
      <c r="C239" s="31" t="s">
        <v>71</v>
      </c>
      <c r="D239" s="199" t="str">
        <f>KPIs!$A$14</f>
        <v>7 · Investigaciones de accidentes: días promedio de cierre</v>
      </c>
      <c r="E239" s="31" t="s">
        <v>599</v>
      </c>
      <c r="F239" s="247" t="str">
        <f>IF(ISNUMBER(KPIs!O14),KPIs!O14,"")</f>
        <v/>
      </c>
      <c r="G239" s="247">
        <f>IF(ISNUMBER(KPIs!$C$14),KPIs!$C$14,"")</f>
        <v>20</v>
      </c>
      <c r="H239" s="199" t="str">
        <f>IFERROR(INDEX(_TARGETS!$E$2:$E$17,MATCH($C239,_TARGETS!$A$2:$A$17,0))&amp;"","")</f>
        <v>≤</v>
      </c>
      <c r="I239" s="199" t="str">
        <f t="shared" si="15"/>
        <v/>
      </c>
      <c r="J239" s="193" t="str">
        <f t="shared" si="16"/>
        <v>Monthly</v>
      </c>
      <c r="K239" s="248">
        <f>Datos!O31</f>
        <v>0</v>
      </c>
      <c r="L239" s="248">
        <f>Datos!O30</f>
        <v>0</v>
      </c>
      <c r="M239" s="193">
        <f>INDEX(_TARGETS!$J$2:$J$17,MATCH($C239,_TARGETS!$A$2:$A$17,0))</f>
        <v>1</v>
      </c>
      <c r="N239" s="193" t="str">
        <f>INDEX(_TARGETS!$D$2:$D$17,MATCH($C239,_TARGETS!$A$2:$A$17,0))</f>
        <v>días</v>
      </c>
      <c r="O239" s="193" t="str">
        <f>IF(NOT(ISNUMBER(F239)),"MISSING",IF((COUNTBLANK(Datos!O30)+COUNTBLANK(Datos!O31))&gt;0,"INCOMPLETE","OK"))</f>
        <v>MISSING</v>
      </c>
      <c r="P239" s="193" t="str">
        <f>INDEX(_TARGETS!$K$2:$K$17,MATCH($C239,_TARGETS!$A$2:$A$17,0))</f>
        <v>OPS (carga manual en Datos)</v>
      </c>
      <c r="Q239" s="193" t="str">
        <f t="shared" si="17"/>
        <v>202707|INV|Monthly</v>
      </c>
      <c r="R239" s="193" t="str">
        <f>INDEX(_TARGETS!$H$2:$H$17,MATCH($C239,_TARGETS!$A$2:$A$17,0))</f>
        <v>Definida</v>
      </c>
      <c r="S239" s="193" t="str">
        <f t="shared" si="18"/>
        <v/>
      </c>
      <c r="T239" s="193" t="str">
        <f t="shared" si="19"/>
        <v/>
      </c>
    </row>
    <row r="240" spans="1:20" ht="13.5" customHeight="1" x14ac:dyDescent="0.3">
      <c r="A240" s="245">
        <f>KPIs!$O$3</f>
        <v>46569</v>
      </c>
      <c r="B240" s="199" t="str">
        <f>KPIs!O$4</f>
        <v>Compresora</v>
      </c>
      <c r="C240" s="31" t="s">
        <v>76</v>
      </c>
      <c r="D240" s="199" t="str">
        <f>KPIs!$A$16</f>
        <v>8 · % de capacitación en seguridad</v>
      </c>
      <c r="E240" s="31" t="s">
        <v>599</v>
      </c>
      <c r="F240" s="247" t="str">
        <f>IF(ISNUMBER(KPIs!O16),KPIs!O16,"")</f>
        <v/>
      </c>
      <c r="G240" s="247">
        <f>IF(ISNUMBER(KPIs!$C$16),KPIs!$C$16,"")</f>
        <v>0.01</v>
      </c>
      <c r="H240" s="199" t="str">
        <f>IFERROR(INDEX(_TARGETS!$E$2:$E$17,MATCH($C240,_TARGETS!$A$2:$A$17,0))&amp;"","")</f>
        <v>≥</v>
      </c>
      <c r="I240" s="199" t="str">
        <f t="shared" si="15"/>
        <v/>
      </c>
      <c r="J240" s="193" t="str">
        <f t="shared" si="16"/>
        <v>Monthly</v>
      </c>
      <c r="K240" s="248">
        <f>Datos!O18</f>
        <v>0</v>
      </c>
      <c r="L240" s="248">
        <f>Datos!O14</f>
        <v>0</v>
      </c>
      <c r="M240" s="193">
        <f>INDEX(_TARGETS!$J$2:$J$17,MATCH($C240,_TARGETS!$A$2:$A$17,0))</f>
        <v>1</v>
      </c>
      <c r="N240" s="193" t="str">
        <f>INDEX(_TARGETS!$D$2:$D$17,MATCH($C240,_TARGETS!$A$2:$A$17,0))</f>
        <v>% (fracción)</v>
      </c>
      <c r="O240" s="193" t="str">
        <f>IF(NOT(ISNUMBER(F240)),"MISSING",IF((COUNTBLANK(Datos!O16)+COUNTBLANK(Datos!O17)+COUNTBLANK(Datos!O12)+COUNTBLANK(Datos!O13))&gt;0,"INCOMPLETE","OK"))</f>
        <v>MISSING</v>
      </c>
      <c r="P240" s="193" t="str">
        <f>INDEX(_TARGETS!$K$2:$K$17,MATCH($C240,_TARGETS!$A$2:$A$17,0))</f>
        <v>OPS (carga manual en Datos)</v>
      </c>
      <c r="Q240" s="193" t="str">
        <f t="shared" si="17"/>
        <v>202707|HCS|Monthly</v>
      </c>
      <c r="R240" s="193" t="str">
        <f>INDEX(_TARGETS!$H$2:$H$17,MATCH($C240,_TARGETS!$A$2:$A$17,0))</f>
        <v>Definida</v>
      </c>
      <c r="S240" s="193" t="str">
        <f t="shared" si="18"/>
        <v/>
      </c>
      <c r="T240" s="193" t="str">
        <f t="shared" si="19"/>
        <v/>
      </c>
    </row>
    <row r="241" spans="1:20" ht="13.5" customHeight="1" x14ac:dyDescent="0.3">
      <c r="A241" s="245">
        <f>KPIs!$O$3</f>
        <v>46569</v>
      </c>
      <c r="B241" s="199" t="str">
        <f>KPIs!O$4</f>
        <v>Compresora</v>
      </c>
      <c r="C241" s="31" t="s">
        <v>80</v>
      </c>
      <c r="D241" s="199" t="str">
        <f>KPIs!$A$17</f>
        <v>9 · Horas de capacitación por persona</v>
      </c>
      <c r="E241" s="31" t="s">
        <v>599</v>
      </c>
      <c r="F241" s="247" t="str">
        <f>IF(ISNUMBER(KPIs!O17),KPIs!O17,"")</f>
        <v/>
      </c>
      <c r="G241" s="247" t="str">
        <f>IF(ISNUMBER(KPIs!$C$17),KPIs!$C$17,"")</f>
        <v/>
      </c>
      <c r="H241" s="199" t="str">
        <f>IFERROR(INDEX(_TARGETS!$E$2:$E$17,MATCH($C241,_TARGETS!$A$2:$A$17,0))&amp;"","")</f>
        <v/>
      </c>
      <c r="I241" s="199" t="str">
        <f t="shared" si="15"/>
        <v/>
      </c>
      <c r="J241" s="193" t="str">
        <f t="shared" si="16"/>
        <v>Monthly</v>
      </c>
      <c r="K241" s="248">
        <f>Datos!O18</f>
        <v>0</v>
      </c>
      <c r="L241" s="248">
        <f>Datos!O11</f>
        <v>0</v>
      </c>
      <c r="M241" s="193">
        <f>INDEX(_TARGETS!$J$2:$J$17,MATCH($C241,_TARGETS!$A$2:$A$17,0))</f>
        <v>1</v>
      </c>
      <c r="N241" s="193" t="str">
        <f>INDEX(_TARGETS!$D$2:$D$17,MATCH($C241,_TARGETS!$A$2:$A$17,0))</f>
        <v>h / persona</v>
      </c>
      <c r="O241" s="193" t="str">
        <f>IF(NOT(ISNUMBER(F241)),"MISSING",IF((COUNTBLANK(Datos!O16)+COUNTBLANK(Datos!O17)+COUNTBLANK(Datos!O9)+COUNTBLANK(Datos!O10))&gt;0,"INCOMPLETE","OK"))</f>
        <v>MISSING</v>
      </c>
      <c r="P241" s="193" t="str">
        <f>INDEX(_TARGETS!$K$2:$K$17,MATCH($C241,_TARGETS!$A$2:$A$17,0))</f>
        <v>OPS (carga manual en Datos)</v>
      </c>
      <c r="Q241" s="193" t="str">
        <f t="shared" si="17"/>
        <v>202707|HCSA|Monthly</v>
      </c>
      <c r="R241" s="193" t="str">
        <f>INDEX(_TARGETS!$H$2:$H$17,MATCH($C241,_TARGETS!$A$2:$A$17,0))</f>
        <v>Solo reporte</v>
      </c>
      <c r="S241" s="193" t="str">
        <f t="shared" si="18"/>
        <v/>
      </c>
      <c r="T241" s="193" t="str">
        <f t="shared" si="19"/>
        <v/>
      </c>
    </row>
    <row r="242" spans="1:20" ht="13.5" customHeight="1" x14ac:dyDescent="0.3">
      <c r="A242" s="245">
        <f>KPIs!$O$3</f>
        <v>46569</v>
      </c>
      <c r="B242" s="199" t="str">
        <f>KPIs!O$4</f>
        <v>Compresora</v>
      </c>
      <c r="C242" s="31" t="s">
        <v>83</v>
      </c>
      <c r="D242" s="199" t="str">
        <f>KPIs!$A$18</f>
        <v>10 · Cumplimiento de simulacros (emergencia y operativos)</v>
      </c>
      <c r="E242" s="31" t="s">
        <v>599</v>
      </c>
      <c r="F242" s="247" t="str">
        <f>IF(ISNUMBER(KPIs!O18),KPIs!O18,"")</f>
        <v/>
      </c>
      <c r="G242" s="247">
        <f>IF(ISNUMBER(KPIs!$C$18),KPIs!$C$18,"")</f>
        <v>1</v>
      </c>
      <c r="H242" s="199" t="str">
        <f>IFERROR(INDEX(_TARGETS!$E$2:$E$17,MATCH($C242,_TARGETS!$A$2:$A$17,0))&amp;"","")</f>
        <v>≥</v>
      </c>
      <c r="I242" s="199" t="str">
        <f t="shared" si="15"/>
        <v/>
      </c>
      <c r="J242" s="193" t="str">
        <f t="shared" si="16"/>
        <v>Monthly</v>
      </c>
      <c r="K242" s="248">
        <f>Datos!O20</f>
        <v>0</v>
      </c>
      <c r="L242" s="248">
        <f>Datos!O21</f>
        <v>0</v>
      </c>
      <c r="M242" s="193">
        <f>INDEX(_TARGETS!$J$2:$J$17,MATCH($C242,_TARGETS!$A$2:$A$17,0))</f>
        <v>1</v>
      </c>
      <c r="N242" s="193" t="str">
        <f>INDEX(_TARGETS!$D$2:$D$17,MATCH($C242,_TARGETS!$A$2:$A$17,0))</f>
        <v>% (fracción)</v>
      </c>
      <c r="O242" s="193" t="str">
        <f>IF(NOT(ISNUMBER(F242)),"MISSING",IF((COUNTBLANK(Datos!O20)+COUNTBLANK(Datos!O21))&gt;0,"INCOMPLETE","OK"))</f>
        <v>MISSING</v>
      </c>
      <c r="P242" s="193" t="str">
        <f>INDEX(_TARGETS!$K$2:$K$17,MATCH($C242,_TARGETS!$A$2:$A$17,0))</f>
        <v>OPS (carga manual en Datos)</v>
      </c>
      <c r="Q242" s="193" t="str">
        <f t="shared" si="17"/>
        <v>202707|CPSE|Monthly</v>
      </c>
      <c r="R242" s="193" t="str">
        <f>INDEX(_TARGETS!$H$2:$H$17,MATCH($C242,_TARGETS!$A$2:$A$17,0))</f>
        <v>Definida</v>
      </c>
      <c r="S242" s="193" t="str">
        <f t="shared" si="18"/>
        <v/>
      </c>
      <c r="T242" s="193" t="str">
        <f t="shared" si="19"/>
        <v/>
      </c>
    </row>
    <row r="243" spans="1:20" ht="13.5" customHeight="1" x14ac:dyDescent="0.3">
      <c r="A243" s="245">
        <f>KPIs!$O$3</f>
        <v>46569</v>
      </c>
      <c r="B243" s="199" t="str">
        <f>KPIs!O$4</f>
        <v>Compresora</v>
      </c>
      <c r="C243" s="31" t="s">
        <v>85</v>
      </c>
      <c r="D243" s="199" t="str">
        <f>KPIs!$A$19</f>
        <v>10b · Cumplimiento de acciones de mejora de simulacros</v>
      </c>
      <c r="E243" s="31" t="s">
        <v>599</v>
      </c>
      <c r="F243" s="247" t="str">
        <f>IF(ISNUMBER(KPIs!O19),KPIs!O19,"")</f>
        <v/>
      </c>
      <c r="G243" s="247" t="str">
        <f>IF(ISNUMBER(KPIs!$C$19),KPIs!$C$19,"")</f>
        <v/>
      </c>
      <c r="H243" s="199" t="str">
        <f>IFERROR(INDEX(_TARGETS!$E$2:$E$17,MATCH($C243,_TARGETS!$A$2:$A$17,0))&amp;"","")</f>
        <v/>
      </c>
      <c r="I243" s="199" t="str">
        <f t="shared" si="15"/>
        <v/>
      </c>
      <c r="J243" s="193" t="str">
        <f t="shared" si="16"/>
        <v>Monthly</v>
      </c>
      <c r="K243" s="248">
        <f>Datos!O23</f>
        <v>0</v>
      </c>
      <c r="L243" s="248">
        <f>Datos!O22</f>
        <v>0</v>
      </c>
      <c r="M243" s="193">
        <f>INDEX(_TARGETS!$J$2:$J$17,MATCH($C243,_TARGETS!$A$2:$A$17,0))</f>
        <v>1</v>
      </c>
      <c r="N243" s="193" t="str">
        <f>INDEX(_TARGETS!$D$2:$D$17,MATCH($C243,_TARGETS!$A$2:$A$17,0))</f>
        <v>% (fracción)</v>
      </c>
      <c r="O243" s="193" t="str">
        <f>IF(NOT(ISNUMBER(F243)),"MISSING",IF((COUNTBLANK(Datos!O23)+COUNTBLANK(Datos!O22))&gt;0,"INCOMPLETE","OK"))</f>
        <v>MISSING</v>
      </c>
      <c r="P243" s="193" t="str">
        <f>INDEX(_TARGETS!$K$2:$K$17,MATCH($C243,_TARGETS!$A$2:$A$17,0))</f>
        <v>OPS (carga manual en Datos)</v>
      </c>
      <c r="Q243" s="193" t="str">
        <f t="shared" si="17"/>
        <v>202707|CAMS|Monthly</v>
      </c>
      <c r="R243" s="193" t="str">
        <f>INDEX(_TARGETS!$H$2:$H$17,MATCH($C243,_TARGETS!$A$2:$A$17,0))</f>
        <v>Solo reporte</v>
      </c>
      <c r="S243" s="193" t="str">
        <f t="shared" si="18"/>
        <v/>
      </c>
      <c r="T243" s="193" t="str">
        <f t="shared" si="19"/>
        <v/>
      </c>
    </row>
    <row r="244" spans="1:20" ht="13.5" customHeight="1" x14ac:dyDescent="0.3">
      <c r="A244" s="245">
        <f>KPIs!$O$3</f>
        <v>46569</v>
      </c>
      <c r="B244" s="199" t="str">
        <f>KPIs!O$4</f>
        <v>Compresora</v>
      </c>
      <c r="C244" s="31" t="s">
        <v>87</v>
      </c>
      <c r="D244" s="199" t="str">
        <f>KPIs!$A$21</f>
        <v>11 · Cumplimiento de caminatas gerenciales</v>
      </c>
      <c r="E244" s="31" t="s">
        <v>599</v>
      </c>
      <c r="F244" s="247" t="str">
        <f>IF(ISNUMBER(KPIs!O21),KPIs!O21,"")</f>
        <v/>
      </c>
      <c r="G244" s="247">
        <f>IF(ISNUMBER(KPIs!$C$21),KPIs!$C$21,"")</f>
        <v>1</v>
      </c>
      <c r="H244" s="199" t="str">
        <f>IFERROR(INDEX(_TARGETS!$E$2:$E$17,MATCH($C244,_TARGETS!$A$2:$A$17,0))&amp;"","")</f>
        <v>≥</v>
      </c>
      <c r="I244" s="199" t="str">
        <f t="shared" si="15"/>
        <v/>
      </c>
      <c r="J244" s="193" t="str">
        <f t="shared" si="16"/>
        <v>Monthly</v>
      </c>
      <c r="K244" s="248">
        <f>Datos!O24</f>
        <v>0</v>
      </c>
      <c r="L244" s="248">
        <f>Datos!O25</f>
        <v>0</v>
      </c>
      <c r="M244" s="193">
        <f>INDEX(_TARGETS!$J$2:$J$17,MATCH($C244,_TARGETS!$A$2:$A$17,0))</f>
        <v>1</v>
      </c>
      <c r="N244" s="193" t="str">
        <f>INDEX(_TARGETS!$D$2:$D$17,MATCH($C244,_TARGETS!$A$2:$A$17,0))</f>
        <v>% (fracción)</v>
      </c>
      <c r="O244" s="193" t="str">
        <f>IF(NOT(ISNUMBER(F244)),"MISSING",IF((COUNTBLANK(Datos!O24)+COUNTBLANK(Datos!O25))&gt;0,"INCOMPLETE","OK"))</f>
        <v>MISSING</v>
      </c>
      <c r="P244" s="193" t="str">
        <f>INDEX(_TARGETS!$K$2:$K$17,MATCH($C244,_TARGETS!$A$2:$A$17,0))</f>
        <v>OPS (carga manual en Datos)</v>
      </c>
      <c r="Q244" s="193" t="str">
        <f t="shared" si="17"/>
        <v>202707|ICCS|Monthly</v>
      </c>
      <c r="R244" s="193" t="str">
        <f>INDEX(_TARGETS!$H$2:$H$17,MATCH($C244,_TARGETS!$A$2:$A$17,0))</f>
        <v>Definida</v>
      </c>
      <c r="S244" s="193" t="str">
        <f t="shared" si="18"/>
        <v/>
      </c>
      <c r="T244" s="193" t="str">
        <f t="shared" si="19"/>
        <v/>
      </c>
    </row>
    <row r="245" spans="1:20" ht="13.5" customHeight="1" x14ac:dyDescent="0.3">
      <c r="A245" s="245">
        <f>KPIs!$O$3</f>
        <v>46569</v>
      </c>
      <c r="B245" s="199" t="str">
        <f>KPIs!O$4</f>
        <v>Compresora</v>
      </c>
      <c r="C245" s="31" t="s">
        <v>89</v>
      </c>
      <c r="D245" s="199" t="str">
        <f>KPIs!$A$22</f>
        <v>12 · Cumplimiento de comités y subcomités de seguridad</v>
      </c>
      <c r="E245" s="31" t="s">
        <v>599</v>
      </c>
      <c r="F245" s="247" t="str">
        <f>IF(ISNUMBER(KPIs!O22),KPIs!O22,"")</f>
        <v/>
      </c>
      <c r="G245" s="247">
        <f>IF(ISNUMBER(KPIs!$C$22),KPIs!$C$22,"")</f>
        <v>1</v>
      </c>
      <c r="H245" s="199" t="str">
        <f>IFERROR(INDEX(_TARGETS!$E$2:$E$17,MATCH($C245,_TARGETS!$A$2:$A$17,0))&amp;"","")</f>
        <v>≥</v>
      </c>
      <c r="I245" s="199" t="str">
        <f t="shared" si="15"/>
        <v/>
      </c>
      <c r="J245" s="193" t="str">
        <f t="shared" si="16"/>
        <v>Monthly</v>
      </c>
      <c r="K245" s="248">
        <f>Datos!O26</f>
        <v>0</v>
      </c>
      <c r="L245" s="248">
        <f>Datos!O27</f>
        <v>0</v>
      </c>
      <c r="M245" s="193">
        <f>INDEX(_TARGETS!$J$2:$J$17,MATCH($C245,_TARGETS!$A$2:$A$17,0))</f>
        <v>1</v>
      </c>
      <c r="N245" s="193" t="str">
        <f>INDEX(_TARGETS!$D$2:$D$17,MATCH($C245,_TARGETS!$A$2:$A$17,0))</f>
        <v>% (fracción)</v>
      </c>
      <c r="O245" s="193" t="str">
        <f>IF(NOT(ISNUMBER(F245)),"MISSING",IF((COUNTBLANK(Datos!O26)+COUNTBLANK(Datos!O27))&gt;0,"INCOMPLETE","OK"))</f>
        <v>MISSING</v>
      </c>
      <c r="P245" s="193" t="str">
        <f>INDEX(_TARGETS!$K$2:$K$17,MATCH($C245,_TARGETS!$A$2:$A$17,0))</f>
        <v>OPS (carga manual en Datos)</v>
      </c>
      <c r="Q245" s="193" t="str">
        <f t="shared" si="17"/>
        <v>202707|CCS|Monthly</v>
      </c>
      <c r="R245" s="193" t="str">
        <f>INDEX(_TARGETS!$H$2:$H$17,MATCH($C245,_TARGETS!$A$2:$A$17,0))</f>
        <v>Definida</v>
      </c>
      <c r="S245" s="193" t="str">
        <f t="shared" si="18"/>
        <v/>
      </c>
      <c r="T245" s="193" t="str">
        <f t="shared" si="19"/>
        <v/>
      </c>
    </row>
    <row r="246" spans="1:20" ht="13.5" customHeight="1" x14ac:dyDescent="0.3">
      <c r="A246" s="245">
        <f>KPIs!$O$3</f>
        <v>46569</v>
      </c>
      <c r="B246" s="199" t="str">
        <f>KPIs!O$4</f>
        <v>Compresora</v>
      </c>
      <c r="C246" s="31" t="s">
        <v>91</v>
      </c>
      <c r="D246" s="199" t="str">
        <f>KPIs!$A$23</f>
        <v>13 · Días promedio para cerrar hallazgos</v>
      </c>
      <c r="E246" s="31" t="s">
        <v>599</v>
      </c>
      <c r="F246" s="247" t="str">
        <f>IF(ISNUMBER(KPIs!O23),KPIs!O23,"")</f>
        <v/>
      </c>
      <c r="G246" s="247" t="str">
        <f>IF(ISNUMBER(KPIs!$C$23),KPIs!$C$23,"")</f>
        <v/>
      </c>
      <c r="H246" s="199" t="str">
        <f>IFERROR(INDEX(_TARGETS!$E$2:$E$17,MATCH($C246,_TARGETS!$A$2:$A$17,0))&amp;"","")</f>
        <v>≤</v>
      </c>
      <c r="I246" s="199" t="str">
        <f t="shared" si="15"/>
        <v/>
      </c>
      <c r="J246" s="193" t="str">
        <f t="shared" si="16"/>
        <v>Monthly</v>
      </c>
      <c r="K246" s="248">
        <f>Datos!O68</f>
        <v>0</v>
      </c>
      <c r="L246" s="248">
        <f>Datos!O67</f>
        <v>0</v>
      </c>
      <c r="M246" s="193">
        <f>INDEX(_TARGETS!$J$2:$J$17,MATCH($C246,_TARGETS!$A$2:$A$17,0))</f>
        <v>1</v>
      </c>
      <c r="N246" s="193" t="str">
        <f>INDEX(_TARGETS!$D$2:$D$17,MATCH($C246,_TARGETS!$A$2:$A$17,0))</f>
        <v>días</v>
      </c>
      <c r="O246" s="193" t="str">
        <f>IF(NOT(ISNUMBER(F246)),"MISSING","OK")</f>
        <v>MISSING</v>
      </c>
      <c r="P246" s="193" t="str">
        <f>INDEX(_TARGETS!$K$2:$K$17,MATCH($C246,_TARGETS!$A$2:$A$17,0))</f>
        <v>Plant Findings (hoja Observaciones-SMP)</v>
      </c>
      <c r="Q246" s="193" t="str">
        <f t="shared" si="17"/>
        <v>202707|DPAS|Monthly</v>
      </c>
      <c r="R246" s="193" t="str">
        <f>INDEX(_TARGETS!$H$2:$H$17,MATCH($C246,_TARGETS!$A$2:$A$17,0))</f>
        <v>Pendiente (meta 2027)</v>
      </c>
      <c r="S246" s="193" t="str">
        <f t="shared" si="18"/>
        <v/>
      </c>
      <c r="T246" s="193" t="str">
        <f t="shared" si="19"/>
        <v/>
      </c>
    </row>
    <row r="247" spans="1:20" ht="13.5" customHeight="1" x14ac:dyDescent="0.3">
      <c r="A247" s="245">
        <f>KPIs!$O$3</f>
        <v>46569</v>
      </c>
      <c r="B247" s="199" t="str">
        <f>KPIs!O$4</f>
        <v>Compresora</v>
      </c>
      <c r="C247" s="31" t="s">
        <v>39</v>
      </c>
      <c r="D247" s="199" t="str">
        <f>KPIs!$A$26</f>
        <v>1 · Frecuencia de casos con días perdidos · ACUMULADO</v>
      </c>
      <c r="E247" s="31" t="s">
        <v>600</v>
      </c>
      <c r="F247" s="247" t="str">
        <f>IF(ISNUMBER(KPIs!O26),KPIs!O26,"")</f>
        <v/>
      </c>
      <c r="G247" s="247">
        <f>IF(ISNUMBER(KPIs!$C$26),KPIs!$C$26,"")</f>
        <v>0</v>
      </c>
      <c r="H247" s="199" t="str">
        <f>IFERROR(INDEX(_TARGETS!$E$2:$E$17,MATCH($C247,_TARGETS!$A$2:$A$17,0))&amp;"","")</f>
        <v>≤</v>
      </c>
      <c r="I247" s="199" t="str">
        <f t="shared" si="15"/>
        <v/>
      </c>
      <c r="J247" s="193" t="str">
        <f t="shared" si="16"/>
        <v>Cumulative</v>
      </c>
      <c r="K247" s="193">
        <f>SUM(Datos!$D33:O33)</f>
        <v>0</v>
      </c>
      <c r="L247" s="193">
        <f>SUM(Datos!$D14:O14)</f>
        <v>48332</v>
      </c>
      <c r="M247" s="193">
        <f>INDEX(_TARGETS!$J$2:$J$17,MATCH($C247,_TARGETS!$A$2:$A$17,0))</f>
        <v>1000000</v>
      </c>
      <c r="N247" s="193" t="str">
        <f>INDEX(_TARGETS!$D$2:$D$17,MATCH($C247,_TARGETS!$A$2:$A$17,0))</f>
        <v>casos / 10^6 HH</v>
      </c>
      <c r="O247" s="193" t="str">
        <f>IF(NOT(ISNUMBER(F247)),IF(SUMPRODUCT(($C$2:$C$1300=C247)*($J$2:$J$1300="Monthly")*($A$2:$A$1300&lt;=A247)*ISNUMBER($K$2:$K$1300)*ISNUMBER($L$2:$L$1300)*($L$2:$L$1300=0)*($K$2:$K$1300&gt;0))&gt;0,"INCOMPLETE","MISSING"),O233)</f>
        <v>MISSING</v>
      </c>
      <c r="P247" s="193" t="str">
        <f>INDEX(_TARGETS!$K$2:$K$17,MATCH($C247,_TARGETS!$A$2:$A$17,0))</f>
        <v>OPS (carga manual en Datos)</v>
      </c>
      <c r="Q247" s="193" t="str">
        <f t="shared" si="17"/>
        <v>202707|DAFWCF|Cumulative</v>
      </c>
      <c r="R247" s="193" t="str">
        <f>INDEX(_TARGETS!$H$2:$H$17,MATCH($C247,_TARGETS!$A$2:$A$17,0))</f>
        <v>Definida</v>
      </c>
      <c r="S247" s="193">
        <f t="shared" si="18"/>
        <v>0</v>
      </c>
      <c r="T247" s="193" t="str">
        <f t="shared" si="19"/>
        <v/>
      </c>
    </row>
    <row r="248" spans="1:20" ht="13.5" customHeight="1" x14ac:dyDescent="0.3">
      <c r="A248" s="245">
        <f>KPIs!$O$3</f>
        <v>46569</v>
      </c>
      <c r="B248" s="199" t="str">
        <f>KPIs!O$4</f>
        <v>Compresora</v>
      </c>
      <c r="C248" s="31" t="s">
        <v>49</v>
      </c>
      <c r="D248" s="199" t="str">
        <f>KPIs!$A$27</f>
        <v>2 · Frecuencia de casos registrables · ACUMULADO</v>
      </c>
      <c r="E248" s="31" t="s">
        <v>600</v>
      </c>
      <c r="F248" s="247" t="str">
        <f>IF(ISNUMBER(KPIs!O27),KPIs!O27,"")</f>
        <v/>
      </c>
      <c r="G248" s="247">
        <f>IF(ISNUMBER(KPIs!$C$27),KPIs!$C$27,"")</f>
        <v>2.35</v>
      </c>
      <c r="H248" s="199" t="str">
        <f>IFERROR(INDEX(_TARGETS!$E$2:$E$17,MATCH($C248,_TARGETS!$A$2:$A$17,0))&amp;"","")</f>
        <v>≤</v>
      </c>
      <c r="I248" s="199" t="str">
        <f t="shared" si="15"/>
        <v/>
      </c>
      <c r="J248" s="193" t="str">
        <f t="shared" si="16"/>
        <v>Cumulative</v>
      </c>
      <c r="K248" s="193">
        <f>SUM(Datos!$D33:O33)+SUM(Datos!$D34:O34)+SUM(Datos!$D35:O35)+SUM(Datos!$D36:O36)</f>
        <v>0</v>
      </c>
      <c r="L248" s="193">
        <f>SUM(Datos!$D14:O14)</f>
        <v>48332</v>
      </c>
      <c r="M248" s="193">
        <f>INDEX(_TARGETS!$J$2:$J$17,MATCH($C248,_TARGETS!$A$2:$A$17,0))</f>
        <v>1000000</v>
      </c>
      <c r="N248" s="193" t="str">
        <f>INDEX(_TARGETS!$D$2:$D$17,MATCH($C248,_TARGETS!$A$2:$A$17,0))</f>
        <v>casos / 10^6 HH</v>
      </c>
      <c r="O248" s="193" t="str">
        <f>IF(NOT(ISNUMBER(F248)),IF(SUMPRODUCT(($C$2:$C$1300=C248)*($J$2:$J$1300="Monthly")*($A$2:$A$1300&lt;=A248)*ISNUMBER($K$2:$K$1300)*ISNUMBER($L$2:$L$1300)*($L$2:$L$1300=0)*($K$2:$K$1300&gt;0))&gt;0,"INCOMPLETE","MISSING"),O234)</f>
        <v>MISSING</v>
      </c>
      <c r="P248" s="193" t="str">
        <f>INDEX(_TARGETS!$K$2:$K$17,MATCH($C248,_TARGETS!$A$2:$A$17,0))</f>
        <v>OPS (carga manual en Datos)</v>
      </c>
      <c r="Q248" s="193" t="str">
        <f t="shared" si="17"/>
        <v>202707|TRICF|Cumulative</v>
      </c>
      <c r="R248" s="193" t="str">
        <f>INDEX(_TARGETS!$H$2:$H$17,MATCH($C248,_TARGETS!$A$2:$A$17,0))</f>
        <v>Definida</v>
      </c>
      <c r="S248" s="193">
        <f t="shared" si="18"/>
        <v>0</v>
      </c>
      <c r="T248" s="193" t="str">
        <f t="shared" si="19"/>
        <v/>
      </c>
    </row>
    <row r="249" spans="1:20" ht="13.5" customHeight="1" x14ac:dyDescent="0.3">
      <c r="A249" s="245">
        <f>KPIs!$O$3</f>
        <v>46569</v>
      </c>
      <c r="B249" s="199" t="str">
        <f>KPIs!O$4</f>
        <v>Compresora</v>
      </c>
      <c r="C249" s="31" t="s">
        <v>51</v>
      </c>
      <c r="D249" s="199" t="str">
        <f>KPIs!$A$28</f>
        <v>3 · Casos de primeros auxilios · ACUMULADO</v>
      </c>
      <c r="E249" s="31" t="s">
        <v>600</v>
      </c>
      <c r="F249" s="247" t="str">
        <f>IF(ISNUMBER(KPIs!O28),KPIs!O28,"")</f>
        <v/>
      </c>
      <c r="G249" s="247" t="str">
        <f>IF(ISNUMBER(KPIs!$C$28),KPIs!$C$28,"")</f>
        <v/>
      </c>
      <c r="H249" s="199" t="str">
        <f>IFERROR(INDEX(_TARGETS!$E$2:$E$17,MATCH($C249,_TARGETS!$A$2:$A$17,0))&amp;"","")</f>
        <v/>
      </c>
      <c r="I249" s="199" t="str">
        <f t="shared" si="15"/>
        <v/>
      </c>
      <c r="J249" s="193" t="str">
        <f t="shared" si="16"/>
        <v>Cumulative</v>
      </c>
      <c r="K249" s="193">
        <f>SUM(Datos!$D37:O37)</f>
        <v>0</v>
      </c>
      <c r="M249" s="193">
        <f>INDEX(_TARGETS!$J$2:$J$17,MATCH($C249,_TARGETS!$A$2:$A$17,0))</f>
        <v>1</v>
      </c>
      <c r="N249" s="193" t="str">
        <f>INDEX(_TARGETS!$D$2:$D$17,MATCH($C249,_TARGETS!$A$2:$A$17,0))</f>
        <v>casos</v>
      </c>
      <c r="O249" s="193" t="str">
        <f>IF(NOT(ISNUMBER(F249)),IF(SUMPRODUCT(($C$2:$C$1300=C249)*($J$2:$J$1300="Monthly")*($A$2:$A$1300&lt;=A249)*ISNUMBER($K$2:$K$1300)*ISNUMBER($L$2:$L$1300)*($L$2:$L$1300=0)*($K$2:$K$1300&gt;0))&gt;0,"INCOMPLETE","MISSING"),O235)</f>
        <v>MISSING</v>
      </c>
      <c r="P249" s="193" t="str">
        <f>INDEX(_TARGETS!$K$2:$K$17,MATCH($C249,_TARGETS!$A$2:$A$17,0))</f>
        <v>OPS (carga manual en Datos)</v>
      </c>
      <c r="Q249" s="193" t="str">
        <f t="shared" si="17"/>
        <v>202707|FAC|Cumulative</v>
      </c>
      <c r="R249" s="193" t="str">
        <f>INDEX(_TARGETS!$H$2:$H$17,MATCH($C249,_TARGETS!$A$2:$A$17,0))</f>
        <v>Solo reporte</v>
      </c>
      <c r="S249" s="193">
        <f t="shared" si="18"/>
        <v>0</v>
      </c>
      <c r="T249" s="193" t="str">
        <f t="shared" si="19"/>
        <v/>
      </c>
    </row>
    <row r="250" spans="1:20" ht="13.5" customHeight="1" x14ac:dyDescent="0.3">
      <c r="A250" s="245">
        <f>KPIs!$O$3</f>
        <v>46569</v>
      </c>
      <c r="B250" s="199" t="str">
        <f>KPIs!O$4</f>
        <v>Compresora</v>
      </c>
      <c r="C250" s="31" t="s">
        <v>57</v>
      </c>
      <c r="D250" s="199" t="str">
        <f>KPIs!$A$29</f>
        <v>4 · Accidentes vehiculares severos · ACUMULADO</v>
      </c>
      <c r="E250" s="31" t="s">
        <v>600</v>
      </c>
      <c r="F250" s="247" t="str">
        <f>IF(ISNUMBER(KPIs!O29),KPIs!O29,"")</f>
        <v/>
      </c>
      <c r="G250" s="247" t="str">
        <f>IF(ISNUMBER(KPIs!$C$29),KPIs!$C$29,"")</f>
        <v/>
      </c>
      <c r="H250" s="199" t="str">
        <f>IFERROR(INDEX(_TARGETS!$E$2:$E$17,MATCH($C250,_TARGETS!$A$2:$A$17,0))&amp;"","")</f>
        <v/>
      </c>
      <c r="I250" s="199" t="str">
        <f t="shared" si="15"/>
        <v/>
      </c>
      <c r="J250" s="193" t="str">
        <f t="shared" si="16"/>
        <v>Cumulative</v>
      </c>
      <c r="K250" s="193">
        <f>SUM(Datos!$D39:O39)+SUM(Datos!$D40:O40)+SUM(Datos!$D41:O41)</f>
        <v>0</v>
      </c>
      <c r="L250" s="193">
        <f>SUM(Datos!$D47:O47)</f>
        <v>172824</v>
      </c>
      <c r="M250" s="193">
        <f>INDEX(_TARGETS!$J$2:$J$17,MATCH($C250,_TARGETS!$A$2:$A$17,0))</f>
        <v>1000000</v>
      </c>
      <c r="N250" s="193" t="str">
        <f>INDEX(_TARGETS!$D$2:$D$17,MATCH($C250,_TARGETS!$A$2:$A$17,0))</f>
        <v>eventos / 10^6 km</v>
      </c>
      <c r="O250" s="193" t="str">
        <f>IF(NOT(ISNUMBER(F250)),IF(SUMPRODUCT(($C$2:$C$1300=C250)*($J$2:$J$1300="Monthly")*($A$2:$A$1300&lt;=A250)*ISNUMBER($K$2:$K$1300)*ISNUMBER($L$2:$L$1300)*($L$2:$L$1300=0)*($K$2:$K$1300&gt;0))&gt;0,"INCOMPLETE","MISSING"),O236)</f>
        <v>MISSING</v>
      </c>
      <c r="P250" s="193" t="str">
        <f>INDEX(_TARGETS!$K$2:$K$17,MATCH($C250,_TARGETS!$A$2:$A$17,0))</f>
        <v>OPS (eventos) + Full Control GPS (km) - carga manual en Datos</v>
      </c>
      <c r="Q250" s="193" t="str">
        <f t="shared" si="17"/>
        <v>202707|SVCR|Cumulative</v>
      </c>
      <c r="R250" s="193" t="str">
        <f>INDEX(_TARGETS!$H$2:$H$17,MATCH($C250,_TARGETS!$A$2:$A$17,0))</f>
        <v>Solo reporte</v>
      </c>
      <c r="S250" s="193">
        <f t="shared" si="18"/>
        <v>0</v>
      </c>
      <c r="T250" s="193" t="str">
        <f t="shared" si="19"/>
        <v/>
      </c>
    </row>
    <row r="251" spans="1:20" ht="13.5" customHeight="1" x14ac:dyDescent="0.3">
      <c r="A251" s="245">
        <f>KPIs!$O$3</f>
        <v>46569</v>
      </c>
      <c r="B251" s="199" t="str">
        <f>KPIs!O$4</f>
        <v>Compresora</v>
      </c>
      <c r="C251" s="31" t="s">
        <v>61</v>
      </c>
      <c r="D251" s="199" t="str">
        <f>KPIs!$A$30</f>
        <v>5 · Accidentes vehiculares totales · ACUMULADO</v>
      </c>
      <c r="E251" s="31" t="s">
        <v>600</v>
      </c>
      <c r="F251" s="247" t="str">
        <f>IF(ISNUMBER(KPIs!O30),KPIs!O30,"")</f>
        <v/>
      </c>
      <c r="G251" s="247">
        <f>IF(ISNUMBER(KPIs!$C$30),KPIs!$C$30,"")</f>
        <v>0.79</v>
      </c>
      <c r="H251" s="199" t="str">
        <f>IFERROR(INDEX(_TARGETS!$E$2:$E$17,MATCH($C251,_TARGETS!$A$2:$A$17,0))&amp;"","")</f>
        <v>≤</v>
      </c>
      <c r="I251" s="199" t="str">
        <f t="shared" si="15"/>
        <v/>
      </c>
      <c r="J251" s="193" t="str">
        <f t="shared" si="16"/>
        <v>Cumulative</v>
      </c>
      <c r="K251" s="193">
        <f>SUM(Datos!$D39:O39)+SUM(Datos!$D40:O40)+SUM(Datos!$D41:O41)+SUM(Datos!$D42:O42)</f>
        <v>0</v>
      </c>
      <c r="L251" s="193">
        <f>SUM(Datos!$D47:O47)</f>
        <v>172824</v>
      </c>
      <c r="M251" s="193">
        <f>INDEX(_TARGETS!$J$2:$J$17,MATCH($C251,_TARGETS!$A$2:$A$17,0))</f>
        <v>1000000</v>
      </c>
      <c r="N251" s="193" t="str">
        <f>INDEX(_TARGETS!$D$2:$D$17,MATCH($C251,_TARGETS!$A$2:$A$17,0))</f>
        <v>eventos / 10^6 km</v>
      </c>
      <c r="O251" s="193" t="str">
        <f>IF(NOT(ISNUMBER(F251)),IF(SUMPRODUCT(($C$2:$C$1300=C251)*($J$2:$J$1300="Monthly")*($A$2:$A$1300&lt;=A251)*ISNUMBER($K$2:$K$1300)*ISNUMBER($L$2:$L$1300)*($L$2:$L$1300=0)*($K$2:$K$1300&gt;0))&gt;0,"INCOMPLETE","MISSING"),O237)</f>
        <v>MISSING</v>
      </c>
      <c r="P251" s="193" t="str">
        <f>INDEX(_TARGETS!$K$2:$K$17,MATCH($C251,_TARGETS!$A$2:$A$17,0))</f>
        <v>OPS (eventos) + Full Control GPS (km) - carga manual en Datos</v>
      </c>
      <c r="Q251" s="193" t="str">
        <f t="shared" si="17"/>
        <v>202707|TVCR|Cumulative</v>
      </c>
      <c r="R251" s="193" t="str">
        <f>INDEX(_TARGETS!$H$2:$H$17,MATCH($C251,_TARGETS!$A$2:$A$17,0))</f>
        <v>Definida</v>
      </c>
      <c r="S251" s="193">
        <f t="shared" si="18"/>
        <v>0</v>
      </c>
      <c r="T251" s="193" t="str">
        <f t="shared" si="19"/>
        <v/>
      </c>
    </row>
    <row r="252" spans="1:20" ht="13.5" customHeight="1" x14ac:dyDescent="0.3">
      <c r="A252" s="245">
        <f>KPIs!$O$3</f>
        <v>46569</v>
      </c>
      <c r="B252" s="199" t="str">
        <f>KPIs!O$4</f>
        <v>Compresora</v>
      </c>
      <c r="C252" s="31" t="s">
        <v>96</v>
      </c>
      <c r="D252" s="199" t="str">
        <f>KPIs!$A$33</f>
        <v>C1 · % de desvíos detectados de gravedad Alta</v>
      </c>
      <c r="E252" s="31" t="s">
        <v>599</v>
      </c>
      <c r="F252" s="247" t="str">
        <f>IF(ISNUMBER(KPIs!O33),KPIs!O33,"")</f>
        <v/>
      </c>
      <c r="G252" s="247" t="str">
        <f>IF(ISNUMBER(KPIs!$C$33),KPIs!$C$33,"")</f>
        <v/>
      </c>
      <c r="H252" s="199" t="str">
        <f>IFERROR(INDEX(_TARGETS!$E$2:$E$17,MATCH($C252,_TARGETS!$A$2:$A$17,0))&amp;"","")</f>
        <v/>
      </c>
      <c r="I252" s="199" t="str">
        <f t="shared" si="15"/>
        <v/>
      </c>
      <c r="J252" s="193" t="str">
        <f t="shared" si="16"/>
        <v>Monthly</v>
      </c>
      <c r="K252" s="248">
        <f>Datos!O71</f>
        <v>0</v>
      </c>
      <c r="L252" s="193">
        <f>Datos!O71+Datos!O72+Datos!O73</f>
        <v>0</v>
      </c>
      <c r="M252" s="193">
        <f>INDEX(_TARGETS!$J$2:$J$17,MATCH($C252,_TARGETS!$A$2:$A$17,0))</f>
        <v>1</v>
      </c>
      <c r="N252" s="193" t="str">
        <f>INDEX(_TARGETS!$D$2:$D$17,MATCH($C252,_TARGETS!$A$2:$A$17,0))</f>
        <v>% (fracción)</v>
      </c>
      <c r="O252" s="193" t="str">
        <f>IF(NOT(ISNUMBER(F252)),"MISSING","OK")</f>
        <v>MISSING</v>
      </c>
      <c r="P252" s="193" t="str">
        <f>INDEX(_TARGETS!$K$2:$K$17,MATCH($C252,_TARGETS!$A$2:$A$17,0))</f>
        <v>Plant Findings (hoja Observaciones-SMP)</v>
      </c>
      <c r="Q252" s="193" t="str">
        <f t="shared" si="17"/>
        <v>202707|HAL_ALTA_PCT|Monthly</v>
      </c>
      <c r="R252" s="193" t="str">
        <f>INDEX(_TARGETS!$H$2:$H$17,MATCH($C252,_TARGETS!$A$2:$A$17,0))</f>
        <v>Solo reporte</v>
      </c>
      <c r="S252" s="193" t="str">
        <f t="shared" si="18"/>
        <v/>
      </c>
      <c r="T252" s="193" t="str">
        <f t="shared" si="19"/>
        <v/>
      </c>
    </row>
    <row r="253" spans="1:20" ht="13.5" customHeight="1" x14ac:dyDescent="0.3">
      <c r="A253" s="245">
        <f>KPIs!$O$3</f>
        <v>46569</v>
      </c>
      <c r="B253" s="199" t="str">
        <f>KPIs!O$4</f>
        <v>Compresora</v>
      </c>
      <c r="C253" s="31" t="s">
        <v>98</v>
      </c>
      <c r="D253" s="199" t="str">
        <f>KPIs!$A$34</f>
        <v>C2 · Detenciones de tareas aplicadas</v>
      </c>
      <c r="E253" s="31" t="s">
        <v>599</v>
      </c>
      <c r="F253" s="247" t="str">
        <f>IF(ISNUMBER(KPIs!O34),KPIs!O34,"")</f>
        <v/>
      </c>
      <c r="G253" s="247" t="str">
        <f>IF(ISNUMBER(KPIs!$C$34),KPIs!$C$34,"")</f>
        <v/>
      </c>
      <c r="H253" s="199" t="str">
        <f>IFERROR(INDEX(_TARGETS!$E$2:$E$17,MATCH($C253,_TARGETS!$A$2:$A$17,0))&amp;"","")</f>
        <v/>
      </c>
      <c r="I253" s="199" t="str">
        <f t="shared" si="15"/>
        <v/>
      </c>
      <c r="J253" s="193" t="str">
        <f t="shared" si="16"/>
        <v>Monthly</v>
      </c>
      <c r="K253" s="248">
        <f>Datos!O75</f>
        <v>0</v>
      </c>
      <c r="M253" s="193">
        <f>INDEX(_TARGETS!$J$2:$J$17,MATCH($C253,_TARGETS!$A$2:$A$17,0))</f>
        <v>1</v>
      </c>
      <c r="N253" s="193" t="str">
        <f>INDEX(_TARGETS!$D$2:$D$17,MATCH($C253,_TARGETS!$A$2:$A$17,0))</f>
        <v>u</v>
      </c>
      <c r="O253" s="193" t="str">
        <f>IF(NOT(ISNUMBER(F253)),"MISSING","OK")</f>
        <v>MISSING</v>
      </c>
      <c r="P253" s="193" t="str">
        <f>INDEX(_TARGETS!$K$2:$K$17,MATCH($C253,_TARGETS!$A$2:$A$17,0))</f>
        <v>Plant Findings (hoja Observaciones-SMP)</v>
      </c>
      <c r="Q253" s="193" t="str">
        <f t="shared" si="17"/>
        <v>202707|DET|Monthly</v>
      </c>
      <c r="R253" s="193" t="str">
        <f>INDEX(_TARGETS!$H$2:$H$17,MATCH($C253,_TARGETS!$A$2:$A$17,0))</f>
        <v>Solo reporte</v>
      </c>
      <c r="S253" s="193" t="str">
        <f t="shared" si="18"/>
        <v/>
      </c>
      <c r="T253" s="193" t="str">
        <f t="shared" si="19"/>
        <v/>
      </c>
    </row>
    <row r="254" spans="1:20" ht="13.5" customHeight="1" x14ac:dyDescent="0.3">
      <c r="A254" s="245">
        <f>KPIs!$P$3</f>
        <v>46600</v>
      </c>
      <c r="B254" s="199" t="str">
        <f>KPIs!P$4</f>
        <v>Compresora</v>
      </c>
      <c r="C254" s="31" t="s">
        <v>39</v>
      </c>
      <c r="D254" s="199" t="str">
        <f>KPIs!$A$6</f>
        <v>1 · Frecuencia de casos con días perdidos</v>
      </c>
      <c r="E254" s="31" t="s">
        <v>599</v>
      </c>
      <c r="F254" s="247" t="str">
        <f>IF(ISNUMBER(KPIs!P6),KPIs!P6,"")</f>
        <v/>
      </c>
      <c r="G254" s="247">
        <f>IF(ISNUMBER(KPIs!$C$6),KPIs!$C$6,"")</f>
        <v>0</v>
      </c>
      <c r="H254" s="199" t="str">
        <f>IFERROR(INDEX(_TARGETS!$E$2:$E$17,MATCH($C254,_TARGETS!$A$2:$A$17,0))&amp;"","")</f>
        <v>≤</v>
      </c>
      <c r="I254" s="199" t="str">
        <f t="shared" si="15"/>
        <v/>
      </c>
      <c r="J254" s="193" t="str">
        <f t="shared" si="16"/>
        <v>Monthly</v>
      </c>
      <c r="K254" s="248">
        <f>Datos!P33</f>
        <v>0</v>
      </c>
      <c r="L254" s="248">
        <f>Datos!P14</f>
        <v>0</v>
      </c>
      <c r="M254" s="193">
        <f>INDEX(_TARGETS!$J$2:$J$17,MATCH($C254,_TARGETS!$A$2:$A$17,0))</f>
        <v>1000000</v>
      </c>
      <c r="N254" s="193" t="str">
        <f>INDEX(_TARGETS!$D$2:$D$17,MATCH($C254,_TARGETS!$A$2:$A$17,0))</f>
        <v>casos / 10^6 HH</v>
      </c>
      <c r="O254" s="193" t="str">
        <f>IF(NOT(ISNUMBER(F254)),"MISSING",IF((COUNTBLANK(Datos!P12)+COUNTBLANK(Datos!P13)+COUNTBLANK(Datos!P33))&gt;0,"INCOMPLETE","OK"))</f>
        <v>MISSING</v>
      </c>
      <c r="P254" s="193" t="str">
        <f>INDEX(_TARGETS!$K$2:$K$17,MATCH($C254,_TARGETS!$A$2:$A$17,0))</f>
        <v>OPS (carga manual en Datos)</v>
      </c>
      <c r="Q254" s="193" t="str">
        <f t="shared" si="17"/>
        <v>202708|DAFWCF|Monthly</v>
      </c>
      <c r="R254" s="193" t="str">
        <f>INDEX(_TARGETS!$H$2:$H$17,MATCH($C254,_TARGETS!$A$2:$A$17,0))</f>
        <v>Definida</v>
      </c>
      <c r="S254" s="193" t="str">
        <f t="shared" si="18"/>
        <v/>
      </c>
      <c r="T254" s="193" t="str">
        <f t="shared" si="19"/>
        <v/>
      </c>
    </row>
    <row r="255" spans="1:20" ht="13.5" customHeight="1" x14ac:dyDescent="0.3">
      <c r="A255" s="245">
        <f>KPIs!$P$3</f>
        <v>46600</v>
      </c>
      <c r="B255" s="199" t="str">
        <f>KPIs!P$4</f>
        <v>Compresora</v>
      </c>
      <c r="C255" s="31" t="s">
        <v>49</v>
      </c>
      <c r="D255" s="199" t="str">
        <f>KPIs!$A$7</f>
        <v>2 · Frecuencia de casos registrables</v>
      </c>
      <c r="E255" s="31" t="s">
        <v>599</v>
      </c>
      <c r="F255" s="247" t="str">
        <f>IF(ISNUMBER(KPIs!P7),KPIs!P7,"")</f>
        <v/>
      </c>
      <c r="G255" s="247">
        <f>IF(ISNUMBER(KPIs!$C$7),KPIs!$C$7,"")</f>
        <v>2.35</v>
      </c>
      <c r="H255" s="199" t="str">
        <f>IFERROR(INDEX(_TARGETS!$E$2:$E$17,MATCH($C255,_TARGETS!$A$2:$A$17,0))&amp;"","")</f>
        <v>≤</v>
      </c>
      <c r="I255" s="199" t="str">
        <f t="shared" si="15"/>
        <v/>
      </c>
      <c r="J255" s="193" t="str">
        <f t="shared" si="16"/>
        <v>Monthly</v>
      </c>
      <c r="K255" s="193">
        <f>Datos!P33+Datos!P34+Datos!P35+Datos!P36</f>
        <v>0</v>
      </c>
      <c r="L255" s="248">
        <f>Datos!P14</f>
        <v>0</v>
      </c>
      <c r="M255" s="193">
        <f>INDEX(_TARGETS!$J$2:$J$17,MATCH($C255,_TARGETS!$A$2:$A$17,0))</f>
        <v>1000000</v>
      </c>
      <c r="N255" s="193" t="str">
        <f>INDEX(_TARGETS!$D$2:$D$17,MATCH($C255,_TARGETS!$A$2:$A$17,0))</f>
        <v>casos / 10^6 HH</v>
      </c>
      <c r="O255" s="193" t="str">
        <f>IF(NOT(ISNUMBER(F255)),"MISSING",IF((COUNTBLANK(Datos!P12)+COUNTBLANK(Datos!P13)+COUNTBLANK(Datos!P33)+COUNTBLANK(Datos!P34)+COUNTBLANK(Datos!P35)+COUNTBLANK(Datos!P36))&gt;0,"INCOMPLETE","OK"))</f>
        <v>MISSING</v>
      </c>
      <c r="P255" s="193" t="str">
        <f>INDEX(_TARGETS!$K$2:$K$17,MATCH($C255,_TARGETS!$A$2:$A$17,0))</f>
        <v>OPS (carga manual en Datos)</v>
      </c>
      <c r="Q255" s="193" t="str">
        <f t="shared" si="17"/>
        <v>202708|TRICF|Monthly</v>
      </c>
      <c r="R255" s="193" t="str">
        <f>INDEX(_TARGETS!$H$2:$H$17,MATCH($C255,_TARGETS!$A$2:$A$17,0))</f>
        <v>Definida</v>
      </c>
      <c r="S255" s="193" t="str">
        <f t="shared" si="18"/>
        <v/>
      </c>
      <c r="T255" s="193" t="str">
        <f t="shared" si="19"/>
        <v/>
      </c>
    </row>
    <row r="256" spans="1:20" ht="13.5" customHeight="1" x14ac:dyDescent="0.3">
      <c r="A256" s="245">
        <f>KPIs!$P$3</f>
        <v>46600</v>
      </c>
      <c r="B256" s="199" t="str">
        <f>KPIs!P$4</f>
        <v>Compresora</v>
      </c>
      <c r="C256" s="31" t="s">
        <v>51</v>
      </c>
      <c r="D256" s="199" t="str">
        <f>KPIs!$A$8</f>
        <v>3 · Casos de primeros auxilios</v>
      </c>
      <c r="E256" s="31" t="s">
        <v>599</v>
      </c>
      <c r="F256" s="247" t="str">
        <f>IF(ISNUMBER(KPIs!P8),KPIs!P8,"")</f>
        <v/>
      </c>
      <c r="G256" s="247" t="str">
        <f>IF(ISNUMBER(KPIs!$C$8),KPIs!$C$8,"")</f>
        <v/>
      </c>
      <c r="H256" s="199" t="str">
        <f>IFERROR(INDEX(_TARGETS!$E$2:$E$17,MATCH($C256,_TARGETS!$A$2:$A$17,0))&amp;"","")</f>
        <v/>
      </c>
      <c r="I256" s="199" t="str">
        <f t="shared" si="15"/>
        <v/>
      </c>
      <c r="J256" s="193" t="str">
        <f t="shared" si="16"/>
        <v>Monthly</v>
      </c>
      <c r="K256" s="248">
        <f>Datos!P37</f>
        <v>0</v>
      </c>
      <c r="M256" s="193">
        <f>INDEX(_TARGETS!$J$2:$J$17,MATCH($C256,_TARGETS!$A$2:$A$17,0))</f>
        <v>1</v>
      </c>
      <c r="N256" s="193" t="str">
        <f>INDEX(_TARGETS!$D$2:$D$17,MATCH($C256,_TARGETS!$A$2:$A$17,0))</f>
        <v>casos</v>
      </c>
      <c r="O256" s="193" t="str">
        <f>IF(NOT(ISNUMBER(F256)),"MISSING",IF((COUNTBLANK(Datos!P12)+COUNTBLANK(Datos!P13)+COUNTBLANK(Datos!P37))&gt;0,"INCOMPLETE","OK"))</f>
        <v>MISSING</v>
      </c>
      <c r="P256" s="193" t="str">
        <f>INDEX(_TARGETS!$K$2:$K$17,MATCH($C256,_TARGETS!$A$2:$A$17,0))</f>
        <v>OPS (carga manual en Datos)</v>
      </c>
      <c r="Q256" s="193" t="str">
        <f t="shared" si="17"/>
        <v>202708|FAC|Monthly</v>
      </c>
      <c r="R256" s="193" t="str">
        <f>INDEX(_TARGETS!$H$2:$H$17,MATCH($C256,_TARGETS!$A$2:$A$17,0))</f>
        <v>Solo reporte</v>
      </c>
      <c r="S256" s="193" t="str">
        <f t="shared" si="18"/>
        <v/>
      </c>
      <c r="T256" s="193" t="str">
        <f t="shared" si="19"/>
        <v/>
      </c>
    </row>
    <row r="257" spans="1:20" ht="13.5" customHeight="1" x14ac:dyDescent="0.3">
      <c r="A257" s="245">
        <f>KPIs!$P$3</f>
        <v>46600</v>
      </c>
      <c r="B257" s="199" t="str">
        <f>KPIs!P$4</f>
        <v>Compresora</v>
      </c>
      <c r="C257" s="31" t="s">
        <v>57</v>
      </c>
      <c r="D257" s="199" t="str">
        <f>KPIs!$A$10</f>
        <v>4 · Accidentes vehiculares severos por millón de km</v>
      </c>
      <c r="E257" s="31" t="s">
        <v>599</v>
      </c>
      <c r="F257" s="247" t="str">
        <f>IF(ISNUMBER(KPIs!P10),KPIs!P10,"")</f>
        <v/>
      </c>
      <c r="G257" s="247" t="str">
        <f>IF(ISNUMBER(KPIs!$C$10),KPIs!$C$10,"")</f>
        <v/>
      </c>
      <c r="H257" s="199" t="str">
        <f>IFERROR(INDEX(_TARGETS!$E$2:$E$17,MATCH($C257,_TARGETS!$A$2:$A$17,0))&amp;"","")</f>
        <v/>
      </c>
      <c r="I257" s="199" t="str">
        <f t="shared" si="15"/>
        <v/>
      </c>
      <c r="J257" s="193" t="str">
        <f t="shared" si="16"/>
        <v>Monthly</v>
      </c>
      <c r="K257" s="193">
        <f>Datos!P39+Datos!P40+Datos!P41</f>
        <v>0</v>
      </c>
      <c r="L257" s="248">
        <f>Datos!P47</f>
        <v>0</v>
      </c>
      <c r="M257" s="193">
        <f>INDEX(_TARGETS!$J$2:$J$17,MATCH($C257,_TARGETS!$A$2:$A$17,0))</f>
        <v>1000000</v>
      </c>
      <c r="N257" s="193" t="str">
        <f>INDEX(_TARGETS!$D$2:$D$17,MATCH($C257,_TARGETS!$A$2:$A$17,0))</f>
        <v>eventos / 10^6 km</v>
      </c>
      <c r="O257" s="193" t="str">
        <f>IF(NOT(ISNUMBER(F257)),"MISSING",IF((COUNTBLANK(Datos!P44)+COUNTBLANK(Datos!P45)+COUNTBLANK(Datos!P46)+COUNTBLANK(Datos!P39)+COUNTBLANK(Datos!P40)+COUNTBLANK(Datos!P41))&gt;0,"INCOMPLETE","OK"))</f>
        <v>MISSING</v>
      </c>
      <c r="P257" s="193" t="str">
        <f>INDEX(_TARGETS!$K$2:$K$17,MATCH($C257,_TARGETS!$A$2:$A$17,0))</f>
        <v>OPS (eventos) + Full Control GPS (km) - carga manual en Datos</v>
      </c>
      <c r="Q257" s="193" t="str">
        <f t="shared" si="17"/>
        <v>202708|SVCR|Monthly</v>
      </c>
      <c r="R257" s="193" t="str">
        <f>INDEX(_TARGETS!$H$2:$H$17,MATCH($C257,_TARGETS!$A$2:$A$17,0))</f>
        <v>Solo reporte</v>
      </c>
      <c r="S257" s="193" t="str">
        <f t="shared" si="18"/>
        <v/>
      </c>
      <c r="T257" s="193" t="str">
        <f t="shared" si="19"/>
        <v/>
      </c>
    </row>
    <row r="258" spans="1:20" ht="13.5" customHeight="1" x14ac:dyDescent="0.3">
      <c r="A258" s="245">
        <f>KPIs!$P$3</f>
        <v>46600</v>
      </c>
      <c r="B258" s="199" t="str">
        <f>KPIs!P$4</f>
        <v>Compresora</v>
      </c>
      <c r="C258" s="31" t="s">
        <v>61</v>
      </c>
      <c r="D258" s="199" t="str">
        <f>KPIs!$A$11</f>
        <v>5 · Accidentes vehiculares totales por millón de km</v>
      </c>
      <c r="E258" s="31" t="s">
        <v>599</v>
      </c>
      <c r="F258" s="247" t="str">
        <f>IF(ISNUMBER(KPIs!P11),KPIs!P11,"")</f>
        <v/>
      </c>
      <c r="G258" s="247">
        <f>IF(ISNUMBER(KPIs!$C$11),KPIs!$C$11,"")</f>
        <v>0.79</v>
      </c>
      <c r="H258" s="199" t="str">
        <f>IFERROR(INDEX(_TARGETS!$E$2:$E$17,MATCH($C258,_TARGETS!$A$2:$A$17,0))&amp;"","")</f>
        <v>≤</v>
      </c>
      <c r="I258" s="199" t="str">
        <f t="shared" ref="I258:I321" si="20">IF(OR(H258="",F258="",G258=""),"",IF(IF(H258="≤",F258&lt;=G258,F258&gt;=G258),"Sí","No"))</f>
        <v/>
      </c>
      <c r="J258" s="193" t="str">
        <f t="shared" ref="J258:J321" si="21">IF(E258="Mensual","Monthly",IF(E258="Acumulado","Cumulative",E258))</f>
        <v>Monthly</v>
      </c>
      <c r="K258" s="193">
        <f>Datos!P39+Datos!P40+Datos!P41+Datos!P42</f>
        <v>0</v>
      </c>
      <c r="L258" s="248">
        <f>Datos!P47</f>
        <v>0</v>
      </c>
      <c r="M258" s="193">
        <f>INDEX(_TARGETS!$J$2:$J$17,MATCH($C258,_TARGETS!$A$2:$A$17,0))</f>
        <v>1000000</v>
      </c>
      <c r="N258" s="193" t="str">
        <f>INDEX(_TARGETS!$D$2:$D$17,MATCH($C258,_TARGETS!$A$2:$A$17,0))</f>
        <v>eventos / 10^6 km</v>
      </c>
      <c r="O258" s="193" t="str">
        <f>IF(NOT(ISNUMBER(F258)),"MISSING",IF((COUNTBLANK(Datos!P44)+COUNTBLANK(Datos!P45)+COUNTBLANK(Datos!P46)+COUNTBLANK(Datos!P39)+COUNTBLANK(Datos!P40)+COUNTBLANK(Datos!P41)+COUNTBLANK(Datos!P42))&gt;0,"INCOMPLETE","OK"))</f>
        <v>MISSING</v>
      </c>
      <c r="P258" s="193" t="str">
        <f>INDEX(_TARGETS!$K$2:$K$17,MATCH($C258,_TARGETS!$A$2:$A$17,0))</f>
        <v>OPS (eventos) + Full Control GPS (km) - carga manual en Datos</v>
      </c>
      <c r="Q258" s="193" t="str">
        <f t="shared" ref="Q258:Q321" si="22">YEAR(A258)*100+MONTH(A258)&amp;"|"&amp;C258&amp;"|"&amp;J258</f>
        <v>202708|TVCR|Monthly</v>
      </c>
      <c r="R258" s="193" t="str">
        <f>INDEX(_TARGETS!$H$2:$H$17,MATCH($C258,_TARGETS!$A$2:$A$17,0))</f>
        <v>Definida</v>
      </c>
      <c r="S258" s="193" t="str">
        <f t="shared" ref="S258:S321" si="23">IF(AND(ISNUMBER(K258),ISNUMBER(L258)),IF(L258=0,"",K258*M258/L258),IF(ISNUMBER(K258),K258*M258,""))</f>
        <v/>
      </c>
      <c r="T258" s="193" t="str">
        <f t="shared" ref="T258:T321" si="24">IF(AND(ISNUMBER(F258),ISNUMBER(S258)),ABS(F258-S258),"")</f>
        <v/>
      </c>
    </row>
    <row r="259" spans="1:20" ht="13.5" customHeight="1" x14ac:dyDescent="0.3">
      <c r="A259" s="245">
        <f>KPIs!$P$3</f>
        <v>46600</v>
      </c>
      <c r="B259" s="199" t="str">
        <f>KPIs!P$4</f>
        <v>Compresora</v>
      </c>
      <c r="C259" s="31" t="s">
        <v>63</v>
      </c>
      <c r="D259" s="199" t="str">
        <f>KPIs!$A$13</f>
        <v>6 · Observaciones de seguridad por persona</v>
      </c>
      <c r="E259" s="31" t="s">
        <v>599</v>
      </c>
      <c r="F259" s="247" t="str">
        <f>IF(ISNUMBER(KPIs!P13),KPIs!P13,"")</f>
        <v/>
      </c>
      <c r="G259" s="247">
        <f>IF(ISNUMBER(KPIs!$C$13),KPIs!$C$13,"")</f>
        <v>1</v>
      </c>
      <c r="H259" s="199" t="str">
        <f>IFERROR(INDEX(_TARGETS!$E$2:$E$17,MATCH($C259,_TARGETS!$A$2:$A$17,0))&amp;"","")</f>
        <v>≥</v>
      </c>
      <c r="I259" s="199" t="str">
        <f t="shared" si="20"/>
        <v/>
      </c>
      <c r="J259" s="193" t="str">
        <f t="shared" si="21"/>
        <v>Monthly</v>
      </c>
      <c r="K259" s="248" t="str">
        <f>IF(COUNT(Datos!P28:P29)=0,"",SUM(Datos!P28:P29))</f>
        <v/>
      </c>
      <c r="L259" s="248">
        <f>Datos!P11</f>
        <v>0</v>
      </c>
      <c r="M259" s="193">
        <f>INDEX(_TARGETS!$J$2:$J$17,MATCH($C259,_TARGETS!$A$2:$A$17,0))</f>
        <v>1</v>
      </c>
      <c r="N259" s="193" t="str">
        <f>INDEX(_TARGETS!$D$2:$D$17,MATCH($C259,_TARGETS!$A$2:$A$17,0))</f>
        <v>obs / persona</v>
      </c>
      <c r="O259" s="193" t="str">
        <f>IF(NOT(ISNUMBER(F259)),"MISSING",IF((COUNTBLANK(Datos!P9)+COUNTBLANK(Datos!P10)+IF(COUNT(Datos!P28:P29)=0,1,0))&gt;0,"INCOMPLETE","OK"))</f>
        <v>MISSING</v>
      </c>
      <c r="P259" s="193" t="str">
        <f>INDEX(_TARGETS!$K$2:$K$17,MATCH($C259,_TARGETS!$A$2:$A$17,0))</f>
        <v>OPS (carga manual en Datos)</v>
      </c>
      <c r="Q259" s="193" t="str">
        <f t="shared" si="22"/>
        <v>202708|OBS|Monthly</v>
      </c>
      <c r="R259" s="193" t="str">
        <f>INDEX(_TARGETS!$H$2:$H$17,MATCH($C259,_TARGETS!$A$2:$A$17,0))</f>
        <v>PROVISORIA · referencia del subcontratista (OPS: 1 obs/persona); meta y población en definición</v>
      </c>
      <c r="S259" s="193" t="str">
        <f t="shared" si="23"/>
        <v/>
      </c>
      <c r="T259" s="193" t="str">
        <f t="shared" si="24"/>
        <v/>
      </c>
    </row>
    <row r="260" spans="1:20" ht="13.5" customHeight="1" x14ac:dyDescent="0.3">
      <c r="A260" s="245">
        <f>KPIs!$P$3</f>
        <v>46600</v>
      </c>
      <c r="B260" s="199" t="str">
        <f>KPIs!P$4</f>
        <v>Compresora</v>
      </c>
      <c r="C260" s="31" t="s">
        <v>71</v>
      </c>
      <c r="D260" s="199" t="str">
        <f>KPIs!$A$14</f>
        <v>7 · Investigaciones de accidentes: días promedio de cierre</v>
      </c>
      <c r="E260" s="31" t="s">
        <v>599</v>
      </c>
      <c r="F260" s="247" t="str">
        <f>IF(ISNUMBER(KPIs!P14),KPIs!P14,"")</f>
        <v/>
      </c>
      <c r="G260" s="247">
        <f>IF(ISNUMBER(KPIs!$C$14),KPIs!$C$14,"")</f>
        <v>20</v>
      </c>
      <c r="H260" s="199" t="str">
        <f>IFERROR(INDEX(_TARGETS!$E$2:$E$17,MATCH($C260,_TARGETS!$A$2:$A$17,0))&amp;"","")</f>
        <v>≤</v>
      </c>
      <c r="I260" s="199" t="str">
        <f t="shared" si="20"/>
        <v/>
      </c>
      <c r="J260" s="193" t="str">
        <f t="shared" si="21"/>
        <v>Monthly</v>
      </c>
      <c r="K260" s="248">
        <f>Datos!P31</f>
        <v>0</v>
      </c>
      <c r="L260" s="248">
        <f>Datos!P30</f>
        <v>0</v>
      </c>
      <c r="M260" s="193">
        <f>INDEX(_TARGETS!$J$2:$J$17,MATCH($C260,_TARGETS!$A$2:$A$17,0))</f>
        <v>1</v>
      </c>
      <c r="N260" s="193" t="str">
        <f>INDEX(_TARGETS!$D$2:$D$17,MATCH($C260,_TARGETS!$A$2:$A$17,0))</f>
        <v>días</v>
      </c>
      <c r="O260" s="193" t="str">
        <f>IF(NOT(ISNUMBER(F260)),"MISSING",IF((COUNTBLANK(Datos!P30)+COUNTBLANK(Datos!P31))&gt;0,"INCOMPLETE","OK"))</f>
        <v>MISSING</v>
      </c>
      <c r="P260" s="193" t="str">
        <f>INDEX(_TARGETS!$K$2:$K$17,MATCH($C260,_TARGETS!$A$2:$A$17,0))</f>
        <v>OPS (carga manual en Datos)</v>
      </c>
      <c r="Q260" s="193" t="str">
        <f t="shared" si="22"/>
        <v>202708|INV|Monthly</v>
      </c>
      <c r="R260" s="193" t="str">
        <f>INDEX(_TARGETS!$H$2:$H$17,MATCH($C260,_TARGETS!$A$2:$A$17,0))</f>
        <v>Definida</v>
      </c>
      <c r="S260" s="193" t="str">
        <f t="shared" si="23"/>
        <v/>
      </c>
      <c r="T260" s="193" t="str">
        <f t="shared" si="24"/>
        <v/>
      </c>
    </row>
    <row r="261" spans="1:20" ht="13.5" customHeight="1" x14ac:dyDescent="0.3">
      <c r="A261" s="245">
        <f>KPIs!$P$3</f>
        <v>46600</v>
      </c>
      <c r="B261" s="199" t="str">
        <f>KPIs!P$4</f>
        <v>Compresora</v>
      </c>
      <c r="C261" s="31" t="s">
        <v>76</v>
      </c>
      <c r="D261" s="199" t="str">
        <f>KPIs!$A$16</f>
        <v>8 · % de capacitación en seguridad</v>
      </c>
      <c r="E261" s="31" t="s">
        <v>599</v>
      </c>
      <c r="F261" s="247" t="str">
        <f>IF(ISNUMBER(KPIs!P16),KPIs!P16,"")</f>
        <v/>
      </c>
      <c r="G261" s="247">
        <f>IF(ISNUMBER(KPIs!$C$16),KPIs!$C$16,"")</f>
        <v>0.01</v>
      </c>
      <c r="H261" s="199" t="str">
        <f>IFERROR(INDEX(_TARGETS!$E$2:$E$17,MATCH($C261,_TARGETS!$A$2:$A$17,0))&amp;"","")</f>
        <v>≥</v>
      </c>
      <c r="I261" s="199" t="str">
        <f t="shared" si="20"/>
        <v/>
      </c>
      <c r="J261" s="193" t="str">
        <f t="shared" si="21"/>
        <v>Monthly</v>
      </c>
      <c r="K261" s="248">
        <f>Datos!P18</f>
        <v>0</v>
      </c>
      <c r="L261" s="248">
        <f>Datos!P14</f>
        <v>0</v>
      </c>
      <c r="M261" s="193">
        <f>INDEX(_TARGETS!$J$2:$J$17,MATCH($C261,_TARGETS!$A$2:$A$17,0))</f>
        <v>1</v>
      </c>
      <c r="N261" s="193" t="str">
        <f>INDEX(_TARGETS!$D$2:$D$17,MATCH($C261,_TARGETS!$A$2:$A$17,0))</f>
        <v>% (fracción)</v>
      </c>
      <c r="O261" s="193" t="str">
        <f>IF(NOT(ISNUMBER(F261)),"MISSING",IF((COUNTBLANK(Datos!P16)+COUNTBLANK(Datos!P17)+COUNTBLANK(Datos!P12)+COUNTBLANK(Datos!P13))&gt;0,"INCOMPLETE","OK"))</f>
        <v>MISSING</v>
      </c>
      <c r="P261" s="193" t="str">
        <f>INDEX(_TARGETS!$K$2:$K$17,MATCH($C261,_TARGETS!$A$2:$A$17,0))</f>
        <v>OPS (carga manual en Datos)</v>
      </c>
      <c r="Q261" s="193" t="str">
        <f t="shared" si="22"/>
        <v>202708|HCS|Monthly</v>
      </c>
      <c r="R261" s="193" t="str">
        <f>INDEX(_TARGETS!$H$2:$H$17,MATCH($C261,_TARGETS!$A$2:$A$17,0))</f>
        <v>Definida</v>
      </c>
      <c r="S261" s="193" t="str">
        <f t="shared" si="23"/>
        <v/>
      </c>
      <c r="T261" s="193" t="str">
        <f t="shared" si="24"/>
        <v/>
      </c>
    </row>
    <row r="262" spans="1:20" ht="13.5" customHeight="1" x14ac:dyDescent="0.3">
      <c r="A262" s="245">
        <f>KPIs!$P$3</f>
        <v>46600</v>
      </c>
      <c r="B262" s="199" t="str">
        <f>KPIs!P$4</f>
        <v>Compresora</v>
      </c>
      <c r="C262" s="31" t="s">
        <v>80</v>
      </c>
      <c r="D262" s="199" t="str">
        <f>KPIs!$A$17</f>
        <v>9 · Horas de capacitación por persona</v>
      </c>
      <c r="E262" s="31" t="s">
        <v>599</v>
      </c>
      <c r="F262" s="247" t="str">
        <f>IF(ISNUMBER(KPIs!P17),KPIs!P17,"")</f>
        <v/>
      </c>
      <c r="G262" s="247" t="str">
        <f>IF(ISNUMBER(KPIs!$C$17),KPIs!$C$17,"")</f>
        <v/>
      </c>
      <c r="H262" s="199" t="str">
        <f>IFERROR(INDEX(_TARGETS!$E$2:$E$17,MATCH($C262,_TARGETS!$A$2:$A$17,0))&amp;"","")</f>
        <v/>
      </c>
      <c r="I262" s="199" t="str">
        <f t="shared" si="20"/>
        <v/>
      </c>
      <c r="J262" s="193" t="str">
        <f t="shared" si="21"/>
        <v>Monthly</v>
      </c>
      <c r="K262" s="248">
        <f>Datos!P18</f>
        <v>0</v>
      </c>
      <c r="L262" s="248">
        <f>Datos!P11</f>
        <v>0</v>
      </c>
      <c r="M262" s="193">
        <f>INDEX(_TARGETS!$J$2:$J$17,MATCH($C262,_TARGETS!$A$2:$A$17,0))</f>
        <v>1</v>
      </c>
      <c r="N262" s="193" t="str">
        <f>INDEX(_TARGETS!$D$2:$D$17,MATCH($C262,_TARGETS!$A$2:$A$17,0))</f>
        <v>h / persona</v>
      </c>
      <c r="O262" s="193" t="str">
        <f>IF(NOT(ISNUMBER(F262)),"MISSING",IF((COUNTBLANK(Datos!P16)+COUNTBLANK(Datos!P17)+COUNTBLANK(Datos!P9)+COUNTBLANK(Datos!P10))&gt;0,"INCOMPLETE","OK"))</f>
        <v>MISSING</v>
      </c>
      <c r="P262" s="193" t="str">
        <f>INDEX(_TARGETS!$K$2:$K$17,MATCH($C262,_TARGETS!$A$2:$A$17,0))</f>
        <v>OPS (carga manual en Datos)</v>
      </c>
      <c r="Q262" s="193" t="str">
        <f t="shared" si="22"/>
        <v>202708|HCSA|Monthly</v>
      </c>
      <c r="R262" s="193" t="str">
        <f>INDEX(_TARGETS!$H$2:$H$17,MATCH($C262,_TARGETS!$A$2:$A$17,0))</f>
        <v>Solo reporte</v>
      </c>
      <c r="S262" s="193" t="str">
        <f t="shared" si="23"/>
        <v/>
      </c>
      <c r="T262" s="193" t="str">
        <f t="shared" si="24"/>
        <v/>
      </c>
    </row>
    <row r="263" spans="1:20" ht="13.5" customHeight="1" x14ac:dyDescent="0.3">
      <c r="A263" s="245">
        <f>KPIs!$P$3</f>
        <v>46600</v>
      </c>
      <c r="B263" s="199" t="str">
        <f>KPIs!P$4</f>
        <v>Compresora</v>
      </c>
      <c r="C263" s="31" t="s">
        <v>83</v>
      </c>
      <c r="D263" s="199" t="str">
        <f>KPIs!$A$18</f>
        <v>10 · Cumplimiento de simulacros (emergencia y operativos)</v>
      </c>
      <c r="E263" s="31" t="s">
        <v>599</v>
      </c>
      <c r="F263" s="247" t="str">
        <f>IF(ISNUMBER(KPIs!P18),KPIs!P18,"")</f>
        <v/>
      </c>
      <c r="G263" s="247">
        <f>IF(ISNUMBER(KPIs!$C$18),KPIs!$C$18,"")</f>
        <v>1</v>
      </c>
      <c r="H263" s="199" t="str">
        <f>IFERROR(INDEX(_TARGETS!$E$2:$E$17,MATCH($C263,_TARGETS!$A$2:$A$17,0))&amp;"","")</f>
        <v>≥</v>
      </c>
      <c r="I263" s="199" t="str">
        <f t="shared" si="20"/>
        <v/>
      </c>
      <c r="J263" s="193" t="str">
        <f t="shared" si="21"/>
        <v>Monthly</v>
      </c>
      <c r="K263" s="248">
        <f>Datos!P20</f>
        <v>0</v>
      </c>
      <c r="L263" s="248">
        <f>Datos!P21</f>
        <v>0</v>
      </c>
      <c r="M263" s="193">
        <f>INDEX(_TARGETS!$J$2:$J$17,MATCH($C263,_TARGETS!$A$2:$A$17,0))</f>
        <v>1</v>
      </c>
      <c r="N263" s="193" t="str">
        <f>INDEX(_TARGETS!$D$2:$D$17,MATCH($C263,_TARGETS!$A$2:$A$17,0))</f>
        <v>% (fracción)</v>
      </c>
      <c r="O263" s="193" t="str">
        <f>IF(NOT(ISNUMBER(F263)),"MISSING",IF((COUNTBLANK(Datos!P20)+COUNTBLANK(Datos!P21))&gt;0,"INCOMPLETE","OK"))</f>
        <v>MISSING</v>
      </c>
      <c r="P263" s="193" t="str">
        <f>INDEX(_TARGETS!$K$2:$K$17,MATCH($C263,_TARGETS!$A$2:$A$17,0))</f>
        <v>OPS (carga manual en Datos)</v>
      </c>
      <c r="Q263" s="193" t="str">
        <f t="shared" si="22"/>
        <v>202708|CPSE|Monthly</v>
      </c>
      <c r="R263" s="193" t="str">
        <f>INDEX(_TARGETS!$H$2:$H$17,MATCH($C263,_TARGETS!$A$2:$A$17,0))</f>
        <v>Definida</v>
      </c>
      <c r="S263" s="193" t="str">
        <f t="shared" si="23"/>
        <v/>
      </c>
      <c r="T263" s="193" t="str">
        <f t="shared" si="24"/>
        <v/>
      </c>
    </row>
    <row r="264" spans="1:20" ht="13.5" customHeight="1" x14ac:dyDescent="0.3">
      <c r="A264" s="245">
        <f>KPIs!$P$3</f>
        <v>46600</v>
      </c>
      <c r="B264" s="199" t="str">
        <f>KPIs!P$4</f>
        <v>Compresora</v>
      </c>
      <c r="C264" s="31" t="s">
        <v>85</v>
      </c>
      <c r="D264" s="199" t="str">
        <f>KPIs!$A$19</f>
        <v>10b · Cumplimiento de acciones de mejora de simulacros</v>
      </c>
      <c r="E264" s="31" t="s">
        <v>599</v>
      </c>
      <c r="F264" s="247" t="str">
        <f>IF(ISNUMBER(KPIs!P19),KPIs!P19,"")</f>
        <v/>
      </c>
      <c r="G264" s="247" t="str">
        <f>IF(ISNUMBER(KPIs!$C$19),KPIs!$C$19,"")</f>
        <v/>
      </c>
      <c r="H264" s="199" t="str">
        <f>IFERROR(INDEX(_TARGETS!$E$2:$E$17,MATCH($C264,_TARGETS!$A$2:$A$17,0))&amp;"","")</f>
        <v/>
      </c>
      <c r="I264" s="199" t="str">
        <f t="shared" si="20"/>
        <v/>
      </c>
      <c r="J264" s="193" t="str">
        <f t="shared" si="21"/>
        <v>Monthly</v>
      </c>
      <c r="K264" s="248">
        <f>Datos!P23</f>
        <v>0</v>
      </c>
      <c r="L264" s="248">
        <f>Datos!P22</f>
        <v>0</v>
      </c>
      <c r="M264" s="193">
        <f>INDEX(_TARGETS!$J$2:$J$17,MATCH($C264,_TARGETS!$A$2:$A$17,0))</f>
        <v>1</v>
      </c>
      <c r="N264" s="193" t="str">
        <f>INDEX(_TARGETS!$D$2:$D$17,MATCH($C264,_TARGETS!$A$2:$A$17,0))</f>
        <v>% (fracción)</v>
      </c>
      <c r="O264" s="193" t="str">
        <f>IF(NOT(ISNUMBER(F264)),"MISSING",IF((COUNTBLANK(Datos!P23)+COUNTBLANK(Datos!P22))&gt;0,"INCOMPLETE","OK"))</f>
        <v>MISSING</v>
      </c>
      <c r="P264" s="193" t="str">
        <f>INDEX(_TARGETS!$K$2:$K$17,MATCH($C264,_TARGETS!$A$2:$A$17,0))</f>
        <v>OPS (carga manual en Datos)</v>
      </c>
      <c r="Q264" s="193" t="str">
        <f t="shared" si="22"/>
        <v>202708|CAMS|Monthly</v>
      </c>
      <c r="R264" s="193" t="str">
        <f>INDEX(_TARGETS!$H$2:$H$17,MATCH($C264,_TARGETS!$A$2:$A$17,0))</f>
        <v>Solo reporte</v>
      </c>
      <c r="S264" s="193" t="str">
        <f t="shared" si="23"/>
        <v/>
      </c>
      <c r="T264" s="193" t="str">
        <f t="shared" si="24"/>
        <v/>
      </c>
    </row>
    <row r="265" spans="1:20" ht="13.5" customHeight="1" x14ac:dyDescent="0.3">
      <c r="A265" s="245">
        <f>KPIs!$P$3</f>
        <v>46600</v>
      </c>
      <c r="B265" s="199" t="str">
        <f>KPIs!P$4</f>
        <v>Compresora</v>
      </c>
      <c r="C265" s="31" t="s">
        <v>87</v>
      </c>
      <c r="D265" s="199" t="str">
        <f>KPIs!$A$21</f>
        <v>11 · Cumplimiento de caminatas gerenciales</v>
      </c>
      <c r="E265" s="31" t="s">
        <v>599</v>
      </c>
      <c r="F265" s="247" t="str">
        <f>IF(ISNUMBER(KPIs!P21),KPIs!P21,"")</f>
        <v/>
      </c>
      <c r="G265" s="247">
        <f>IF(ISNUMBER(KPIs!$C$21),KPIs!$C$21,"")</f>
        <v>1</v>
      </c>
      <c r="H265" s="199" t="str">
        <f>IFERROR(INDEX(_TARGETS!$E$2:$E$17,MATCH($C265,_TARGETS!$A$2:$A$17,0))&amp;"","")</f>
        <v>≥</v>
      </c>
      <c r="I265" s="199" t="str">
        <f t="shared" si="20"/>
        <v/>
      </c>
      <c r="J265" s="193" t="str">
        <f t="shared" si="21"/>
        <v>Monthly</v>
      </c>
      <c r="K265" s="248">
        <f>Datos!P24</f>
        <v>0</v>
      </c>
      <c r="L265" s="248">
        <f>Datos!P25</f>
        <v>0</v>
      </c>
      <c r="M265" s="193">
        <f>INDEX(_TARGETS!$J$2:$J$17,MATCH($C265,_TARGETS!$A$2:$A$17,0))</f>
        <v>1</v>
      </c>
      <c r="N265" s="193" t="str">
        <f>INDEX(_TARGETS!$D$2:$D$17,MATCH($C265,_TARGETS!$A$2:$A$17,0))</f>
        <v>% (fracción)</v>
      </c>
      <c r="O265" s="193" t="str">
        <f>IF(NOT(ISNUMBER(F265)),"MISSING",IF((COUNTBLANK(Datos!P24)+COUNTBLANK(Datos!P25))&gt;0,"INCOMPLETE","OK"))</f>
        <v>MISSING</v>
      </c>
      <c r="P265" s="193" t="str">
        <f>INDEX(_TARGETS!$K$2:$K$17,MATCH($C265,_TARGETS!$A$2:$A$17,0))</f>
        <v>OPS (carga manual en Datos)</v>
      </c>
      <c r="Q265" s="193" t="str">
        <f t="shared" si="22"/>
        <v>202708|ICCS|Monthly</v>
      </c>
      <c r="R265" s="193" t="str">
        <f>INDEX(_TARGETS!$H$2:$H$17,MATCH($C265,_TARGETS!$A$2:$A$17,0))</f>
        <v>Definida</v>
      </c>
      <c r="S265" s="193" t="str">
        <f t="shared" si="23"/>
        <v/>
      </c>
      <c r="T265" s="193" t="str">
        <f t="shared" si="24"/>
        <v/>
      </c>
    </row>
    <row r="266" spans="1:20" ht="13.5" customHeight="1" x14ac:dyDescent="0.3">
      <c r="A266" s="245">
        <f>KPIs!$P$3</f>
        <v>46600</v>
      </c>
      <c r="B266" s="199" t="str">
        <f>KPIs!P$4</f>
        <v>Compresora</v>
      </c>
      <c r="C266" s="31" t="s">
        <v>89</v>
      </c>
      <c r="D266" s="199" t="str">
        <f>KPIs!$A$22</f>
        <v>12 · Cumplimiento de comités y subcomités de seguridad</v>
      </c>
      <c r="E266" s="31" t="s">
        <v>599</v>
      </c>
      <c r="F266" s="247" t="str">
        <f>IF(ISNUMBER(KPIs!P22),KPIs!P22,"")</f>
        <v/>
      </c>
      <c r="G266" s="247">
        <f>IF(ISNUMBER(KPIs!$C$22),KPIs!$C$22,"")</f>
        <v>1</v>
      </c>
      <c r="H266" s="199" t="str">
        <f>IFERROR(INDEX(_TARGETS!$E$2:$E$17,MATCH($C266,_TARGETS!$A$2:$A$17,0))&amp;"","")</f>
        <v>≥</v>
      </c>
      <c r="I266" s="199" t="str">
        <f t="shared" si="20"/>
        <v/>
      </c>
      <c r="J266" s="193" t="str">
        <f t="shared" si="21"/>
        <v>Monthly</v>
      </c>
      <c r="K266" s="248">
        <f>Datos!P26</f>
        <v>0</v>
      </c>
      <c r="L266" s="248">
        <f>Datos!P27</f>
        <v>0</v>
      </c>
      <c r="M266" s="193">
        <f>INDEX(_TARGETS!$J$2:$J$17,MATCH($C266,_TARGETS!$A$2:$A$17,0))</f>
        <v>1</v>
      </c>
      <c r="N266" s="193" t="str">
        <f>INDEX(_TARGETS!$D$2:$D$17,MATCH($C266,_TARGETS!$A$2:$A$17,0))</f>
        <v>% (fracción)</v>
      </c>
      <c r="O266" s="193" t="str">
        <f>IF(NOT(ISNUMBER(F266)),"MISSING",IF((COUNTBLANK(Datos!P26)+COUNTBLANK(Datos!P27))&gt;0,"INCOMPLETE","OK"))</f>
        <v>MISSING</v>
      </c>
      <c r="P266" s="193" t="str">
        <f>INDEX(_TARGETS!$K$2:$K$17,MATCH($C266,_TARGETS!$A$2:$A$17,0))</f>
        <v>OPS (carga manual en Datos)</v>
      </c>
      <c r="Q266" s="193" t="str">
        <f t="shared" si="22"/>
        <v>202708|CCS|Monthly</v>
      </c>
      <c r="R266" s="193" t="str">
        <f>INDEX(_TARGETS!$H$2:$H$17,MATCH($C266,_TARGETS!$A$2:$A$17,0))</f>
        <v>Definida</v>
      </c>
      <c r="S266" s="193" t="str">
        <f t="shared" si="23"/>
        <v/>
      </c>
      <c r="T266" s="193" t="str">
        <f t="shared" si="24"/>
        <v/>
      </c>
    </row>
    <row r="267" spans="1:20" ht="13.5" customHeight="1" x14ac:dyDescent="0.3">
      <c r="A267" s="245">
        <f>KPIs!$P$3</f>
        <v>46600</v>
      </c>
      <c r="B267" s="199" t="str">
        <f>KPIs!P$4</f>
        <v>Compresora</v>
      </c>
      <c r="C267" s="31" t="s">
        <v>91</v>
      </c>
      <c r="D267" s="199" t="str">
        <f>KPIs!$A$23</f>
        <v>13 · Días promedio para cerrar hallazgos</v>
      </c>
      <c r="E267" s="31" t="s">
        <v>599</v>
      </c>
      <c r="F267" s="247" t="str">
        <f>IF(ISNUMBER(KPIs!P23),KPIs!P23,"")</f>
        <v/>
      </c>
      <c r="G267" s="247" t="str">
        <f>IF(ISNUMBER(KPIs!$C$23),KPIs!$C$23,"")</f>
        <v/>
      </c>
      <c r="H267" s="199" t="str">
        <f>IFERROR(INDEX(_TARGETS!$E$2:$E$17,MATCH($C267,_TARGETS!$A$2:$A$17,0))&amp;"","")</f>
        <v>≤</v>
      </c>
      <c r="I267" s="199" t="str">
        <f t="shared" si="20"/>
        <v/>
      </c>
      <c r="J267" s="193" t="str">
        <f t="shared" si="21"/>
        <v>Monthly</v>
      </c>
      <c r="K267" s="248">
        <f>Datos!P68</f>
        <v>0</v>
      </c>
      <c r="L267" s="248">
        <f>Datos!P67</f>
        <v>0</v>
      </c>
      <c r="M267" s="193">
        <f>INDEX(_TARGETS!$J$2:$J$17,MATCH($C267,_TARGETS!$A$2:$A$17,0))</f>
        <v>1</v>
      </c>
      <c r="N267" s="193" t="str">
        <f>INDEX(_TARGETS!$D$2:$D$17,MATCH($C267,_TARGETS!$A$2:$A$17,0))</f>
        <v>días</v>
      </c>
      <c r="O267" s="193" t="str">
        <f>IF(NOT(ISNUMBER(F267)),"MISSING","OK")</f>
        <v>MISSING</v>
      </c>
      <c r="P267" s="193" t="str">
        <f>INDEX(_TARGETS!$K$2:$K$17,MATCH($C267,_TARGETS!$A$2:$A$17,0))</f>
        <v>Plant Findings (hoja Observaciones-SMP)</v>
      </c>
      <c r="Q267" s="193" t="str">
        <f t="shared" si="22"/>
        <v>202708|DPAS|Monthly</v>
      </c>
      <c r="R267" s="193" t="str">
        <f>INDEX(_TARGETS!$H$2:$H$17,MATCH($C267,_TARGETS!$A$2:$A$17,0))</f>
        <v>Pendiente (meta 2027)</v>
      </c>
      <c r="S267" s="193" t="str">
        <f t="shared" si="23"/>
        <v/>
      </c>
      <c r="T267" s="193" t="str">
        <f t="shared" si="24"/>
        <v/>
      </c>
    </row>
    <row r="268" spans="1:20" ht="13.5" customHeight="1" x14ac:dyDescent="0.3">
      <c r="A268" s="245">
        <f>KPIs!$P$3</f>
        <v>46600</v>
      </c>
      <c r="B268" s="199" t="str">
        <f>KPIs!P$4</f>
        <v>Compresora</v>
      </c>
      <c r="C268" s="31" t="s">
        <v>39</v>
      </c>
      <c r="D268" s="199" t="str">
        <f>KPIs!$A$26</f>
        <v>1 · Frecuencia de casos con días perdidos · ACUMULADO</v>
      </c>
      <c r="E268" s="31" t="s">
        <v>600</v>
      </c>
      <c r="F268" s="247" t="str">
        <f>IF(ISNUMBER(KPIs!P26),KPIs!P26,"")</f>
        <v/>
      </c>
      <c r="G268" s="247">
        <f>IF(ISNUMBER(KPIs!$C$26),KPIs!$C$26,"")</f>
        <v>0</v>
      </c>
      <c r="H268" s="199" t="str">
        <f>IFERROR(INDEX(_TARGETS!$E$2:$E$17,MATCH($C268,_TARGETS!$A$2:$A$17,0))&amp;"","")</f>
        <v>≤</v>
      </c>
      <c r="I268" s="199" t="str">
        <f t="shared" si="20"/>
        <v/>
      </c>
      <c r="J268" s="193" t="str">
        <f t="shared" si="21"/>
        <v>Cumulative</v>
      </c>
      <c r="K268" s="193">
        <f>SUM(Datos!$D33:P33)</f>
        <v>0</v>
      </c>
      <c r="L268" s="193">
        <f>SUM(Datos!$D14:P14)</f>
        <v>48332</v>
      </c>
      <c r="M268" s="193">
        <f>INDEX(_TARGETS!$J$2:$J$17,MATCH($C268,_TARGETS!$A$2:$A$17,0))</f>
        <v>1000000</v>
      </c>
      <c r="N268" s="193" t="str">
        <f>INDEX(_TARGETS!$D$2:$D$17,MATCH($C268,_TARGETS!$A$2:$A$17,0))</f>
        <v>casos / 10^6 HH</v>
      </c>
      <c r="O268" s="193" t="str">
        <f>IF(NOT(ISNUMBER(F268)),IF(SUMPRODUCT(($C$2:$C$1300=C268)*($J$2:$J$1300="Monthly")*($A$2:$A$1300&lt;=A268)*ISNUMBER($K$2:$K$1300)*ISNUMBER($L$2:$L$1300)*($L$2:$L$1300=0)*($K$2:$K$1300&gt;0))&gt;0,"INCOMPLETE","MISSING"),O254)</f>
        <v>MISSING</v>
      </c>
      <c r="P268" s="193" t="str">
        <f>INDEX(_TARGETS!$K$2:$K$17,MATCH($C268,_TARGETS!$A$2:$A$17,0))</f>
        <v>OPS (carga manual en Datos)</v>
      </c>
      <c r="Q268" s="193" t="str">
        <f t="shared" si="22"/>
        <v>202708|DAFWCF|Cumulative</v>
      </c>
      <c r="R268" s="193" t="str">
        <f>INDEX(_TARGETS!$H$2:$H$17,MATCH($C268,_TARGETS!$A$2:$A$17,0))</f>
        <v>Definida</v>
      </c>
      <c r="S268" s="193">
        <f t="shared" si="23"/>
        <v>0</v>
      </c>
      <c r="T268" s="193" t="str">
        <f t="shared" si="24"/>
        <v/>
      </c>
    </row>
    <row r="269" spans="1:20" ht="13.5" customHeight="1" x14ac:dyDescent="0.3">
      <c r="A269" s="245">
        <f>KPIs!$P$3</f>
        <v>46600</v>
      </c>
      <c r="B269" s="199" t="str">
        <f>KPIs!P$4</f>
        <v>Compresora</v>
      </c>
      <c r="C269" s="31" t="s">
        <v>49</v>
      </c>
      <c r="D269" s="199" t="str">
        <f>KPIs!$A$27</f>
        <v>2 · Frecuencia de casos registrables · ACUMULADO</v>
      </c>
      <c r="E269" s="31" t="s">
        <v>600</v>
      </c>
      <c r="F269" s="247" t="str">
        <f>IF(ISNUMBER(KPIs!P27),KPIs!P27,"")</f>
        <v/>
      </c>
      <c r="G269" s="247">
        <f>IF(ISNUMBER(KPIs!$C$27),KPIs!$C$27,"")</f>
        <v>2.35</v>
      </c>
      <c r="H269" s="199" t="str">
        <f>IFERROR(INDEX(_TARGETS!$E$2:$E$17,MATCH($C269,_TARGETS!$A$2:$A$17,0))&amp;"","")</f>
        <v>≤</v>
      </c>
      <c r="I269" s="199" t="str">
        <f t="shared" si="20"/>
        <v/>
      </c>
      <c r="J269" s="193" t="str">
        <f t="shared" si="21"/>
        <v>Cumulative</v>
      </c>
      <c r="K269" s="193">
        <f>SUM(Datos!$D33:P33)+SUM(Datos!$D34:P34)+SUM(Datos!$D35:P35)+SUM(Datos!$D36:P36)</f>
        <v>0</v>
      </c>
      <c r="L269" s="193">
        <f>SUM(Datos!$D14:P14)</f>
        <v>48332</v>
      </c>
      <c r="M269" s="193">
        <f>INDEX(_TARGETS!$J$2:$J$17,MATCH($C269,_TARGETS!$A$2:$A$17,0))</f>
        <v>1000000</v>
      </c>
      <c r="N269" s="193" t="str">
        <f>INDEX(_TARGETS!$D$2:$D$17,MATCH($C269,_TARGETS!$A$2:$A$17,0))</f>
        <v>casos / 10^6 HH</v>
      </c>
      <c r="O269" s="193" t="str">
        <f>IF(NOT(ISNUMBER(F269)),IF(SUMPRODUCT(($C$2:$C$1300=C269)*($J$2:$J$1300="Monthly")*($A$2:$A$1300&lt;=A269)*ISNUMBER($K$2:$K$1300)*ISNUMBER($L$2:$L$1300)*($L$2:$L$1300=0)*($K$2:$K$1300&gt;0))&gt;0,"INCOMPLETE","MISSING"),O255)</f>
        <v>MISSING</v>
      </c>
      <c r="P269" s="193" t="str">
        <f>INDEX(_TARGETS!$K$2:$K$17,MATCH($C269,_TARGETS!$A$2:$A$17,0))</f>
        <v>OPS (carga manual en Datos)</v>
      </c>
      <c r="Q269" s="193" t="str">
        <f t="shared" si="22"/>
        <v>202708|TRICF|Cumulative</v>
      </c>
      <c r="R269" s="193" t="str">
        <f>INDEX(_TARGETS!$H$2:$H$17,MATCH($C269,_TARGETS!$A$2:$A$17,0))</f>
        <v>Definida</v>
      </c>
      <c r="S269" s="193">
        <f t="shared" si="23"/>
        <v>0</v>
      </c>
      <c r="T269" s="193" t="str">
        <f t="shared" si="24"/>
        <v/>
      </c>
    </row>
    <row r="270" spans="1:20" ht="13.5" customHeight="1" x14ac:dyDescent="0.3">
      <c r="A270" s="245">
        <f>KPIs!$P$3</f>
        <v>46600</v>
      </c>
      <c r="B270" s="199" t="str">
        <f>KPIs!P$4</f>
        <v>Compresora</v>
      </c>
      <c r="C270" s="31" t="s">
        <v>51</v>
      </c>
      <c r="D270" s="199" t="str">
        <f>KPIs!$A$28</f>
        <v>3 · Casos de primeros auxilios · ACUMULADO</v>
      </c>
      <c r="E270" s="31" t="s">
        <v>600</v>
      </c>
      <c r="F270" s="247" t="str">
        <f>IF(ISNUMBER(KPIs!P28),KPIs!P28,"")</f>
        <v/>
      </c>
      <c r="G270" s="247" t="str">
        <f>IF(ISNUMBER(KPIs!$C$28),KPIs!$C$28,"")</f>
        <v/>
      </c>
      <c r="H270" s="199" t="str">
        <f>IFERROR(INDEX(_TARGETS!$E$2:$E$17,MATCH($C270,_TARGETS!$A$2:$A$17,0))&amp;"","")</f>
        <v/>
      </c>
      <c r="I270" s="199" t="str">
        <f t="shared" si="20"/>
        <v/>
      </c>
      <c r="J270" s="193" t="str">
        <f t="shared" si="21"/>
        <v>Cumulative</v>
      </c>
      <c r="K270" s="193">
        <f>SUM(Datos!$D37:P37)</f>
        <v>0</v>
      </c>
      <c r="M270" s="193">
        <f>INDEX(_TARGETS!$J$2:$J$17,MATCH($C270,_TARGETS!$A$2:$A$17,0))</f>
        <v>1</v>
      </c>
      <c r="N270" s="193" t="str">
        <f>INDEX(_TARGETS!$D$2:$D$17,MATCH($C270,_TARGETS!$A$2:$A$17,0))</f>
        <v>casos</v>
      </c>
      <c r="O270" s="193" t="str">
        <f>IF(NOT(ISNUMBER(F270)),IF(SUMPRODUCT(($C$2:$C$1300=C270)*($J$2:$J$1300="Monthly")*($A$2:$A$1300&lt;=A270)*ISNUMBER($K$2:$K$1300)*ISNUMBER($L$2:$L$1300)*($L$2:$L$1300=0)*($K$2:$K$1300&gt;0))&gt;0,"INCOMPLETE","MISSING"),O256)</f>
        <v>MISSING</v>
      </c>
      <c r="P270" s="193" t="str">
        <f>INDEX(_TARGETS!$K$2:$K$17,MATCH($C270,_TARGETS!$A$2:$A$17,0))</f>
        <v>OPS (carga manual en Datos)</v>
      </c>
      <c r="Q270" s="193" t="str">
        <f t="shared" si="22"/>
        <v>202708|FAC|Cumulative</v>
      </c>
      <c r="R270" s="193" t="str">
        <f>INDEX(_TARGETS!$H$2:$H$17,MATCH($C270,_TARGETS!$A$2:$A$17,0))</f>
        <v>Solo reporte</v>
      </c>
      <c r="S270" s="193">
        <f t="shared" si="23"/>
        <v>0</v>
      </c>
      <c r="T270" s="193" t="str">
        <f t="shared" si="24"/>
        <v/>
      </c>
    </row>
    <row r="271" spans="1:20" ht="13.5" customHeight="1" x14ac:dyDescent="0.3">
      <c r="A271" s="245">
        <f>KPIs!$P$3</f>
        <v>46600</v>
      </c>
      <c r="B271" s="199" t="str">
        <f>KPIs!P$4</f>
        <v>Compresora</v>
      </c>
      <c r="C271" s="31" t="s">
        <v>57</v>
      </c>
      <c r="D271" s="199" t="str">
        <f>KPIs!$A$29</f>
        <v>4 · Accidentes vehiculares severos · ACUMULADO</v>
      </c>
      <c r="E271" s="31" t="s">
        <v>600</v>
      </c>
      <c r="F271" s="247" t="str">
        <f>IF(ISNUMBER(KPIs!P29),KPIs!P29,"")</f>
        <v/>
      </c>
      <c r="G271" s="247" t="str">
        <f>IF(ISNUMBER(KPIs!$C$29),KPIs!$C$29,"")</f>
        <v/>
      </c>
      <c r="H271" s="199" t="str">
        <f>IFERROR(INDEX(_TARGETS!$E$2:$E$17,MATCH($C271,_TARGETS!$A$2:$A$17,0))&amp;"","")</f>
        <v/>
      </c>
      <c r="I271" s="199" t="str">
        <f t="shared" si="20"/>
        <v/>
      </c>
      <c r="J271" s="193" t="str">
        <f t="shared" si="21"/>
        <v>Cumulative</v>
      </c>
      <c r="K271" s="193">
        <f>SUM(Datos!$D39:P39)+SUM(Datos!$D40:P40)+SUM(Datos!$D41:P41)</f>
        <v>0</v>
      </c>
      <c r="L271" s="193">
        <f>SUM(Datos!$D47:P47)</f>
        <v>172824</v>
      </c>
      <c r="M271" s="193">
        <f>INDEX(_TARGETS!$J$2:$J$17,MATCH($C271,_TARGETS!$A$2:$A$17,0))</f>
        <v>1000000</v>
      </c>
      <c r="N271" s="193" t="str">
        <f>INDEX(_TARGETS!$D$2:$D$17,MATCH($C271,_TARGETS!$A$2:$A$17,0))</f>
        <v>eventos / 10^6 km</v>
      </c>
      <c r="O271" s="193" t="str">
        <f>IF(NOT(ISNUMBER(F271)),IF(SUMPRODUCT(($C$2:$C$1300=C271)*($J$2:$J$1300="Monthly")*($A$2:$A$1300&lt;=A271)*ISNUMBER($K$2:$K$1300)*ISNUMBER($L$2:$L$1300)*($L$2:$L$1300=0)*($K$2:$K$1300&gt;0))&gt;0,"INCOMPLETE","MISSING"),O257)</f>
        <v>MISSING</v>
      </c>
      <c r="P271" s="193" t="str">
        <f>INDEX(_TARGETS!$K$2:$K$17,MATCH($C271,_TARGETS!$A$2:$A$17,0))</f>
        <v>OPS (eventos) + Full Control GPS (km) - carga manual en Datos</v>
      </c>
      <c r="Q271" s="193" t="str">
        <f t="shared" si="22"/>
        <v>202708|SVCR|Cumulative</v>
      </c>
      <c r="R271" s="193" t="str">
        <f>INDEX(_TARGETS!$H$2:$H$17,MATCH($C271,_TARGETS!$A$2:$A$17,0))</f>
        <v>Solo reporte</v>
      </c>
      <c r="S271" s="193">
        <f t="shared" si="23"/>
        <v>0</v>
      </c>
      <c r="T271" s="193" t="str">
        <f t="shared" si="24"/>
        <v/>
      </c>
    </row>
    <row r="272" spans="1:20" ht="13.5" customHeight="1" x14ac:dyDescent="0.3">
      <c r="A272" s="245">
        <f>KPIs!$P$3</f>
        <v>46600</v>
      </c>
      <c r="B272" s="199" t="str">
        <f>KPIs!P$4</f>
        <v>Compresora</v>
      </c>
      <c r="C272" s="31" t="s">
        <v>61</v>
      </c>
      <c r="D272" s="199" t="str">
        <f>KPIs!$A$30</f>
        <v>5 · Accidentes vehiculares totales · ACUMULADO</v>
      </c>
      <c r="E272" s="31" t="s">
        <v>600</v>
      </c>
      <c r="F272" s="247" t="str">
        <f>IF(ISNUMBER(KPIs!P30),KPIs!P30,"")</f>
        <v/>
      </c>
      <c r="G272" s="247">
        <f>IF(ISNUMBER(KPIs!$C$30),KPIs!$C$30,"")</f>
        <v>0.79</v>
      </c>
      <c r="H272" s="199" t="str">
        <f>IFERROR(INDEX(_TARGETS!$E$2:$E$17,MATCH($C272,_TARGETS!$A$2:$A$17,0))&amp;"","")</f>
        <v>≤</v>
      </c>
      <c r="I272" s="199" t="str">
        <f t="shared" si="20"/>
        <v/>
      </c>
      <c r="J272" s="193" t="str">
        <f t="shared" si="21"/>
        <v>Cumulative</v>
      </c>
      <c r="K272" s="193">
        <f>SUM(Datos!$D39:P39)+SUM(Datos!$D40:P40)+SUM(Datos!$D41:P41)+SUM(Datos!$D42:P42)</f>
        <v>0</v>
      </c>
      <c r="L272" s="193">
        <f>SUM(Datos!$D47:P47)</f>
        <v>172824</v>
      </c>
      <c r="M272" s="193">
        <f>INDEX(_TARGETS!$J$2:$J$17,MATCH($C272,_TARGETS!$A$2:$A$17,0))</f>
        <v>1000000</v>
      </c>
      <c r="N272" s="193" t="str">
        <f>INDEX(_TARGETS!$D$2:$D$17,MATCH($C272,_TARGETS!$A$2:$A$17,0))</f>
        <v>eventos / 10^6 km</v>
      </c>
      <c r="O272" s="193" t="str">
        <f>IF(NOT(ISNUMBER(F272)),IF(SUMPRODUCT(($C$2:$C$1300=C272)*($J$2:$J$1300="Monthly")*($A$2:$A$1300&lt;=A272)*ISNUMBER($K$2:$K$1300)*ISNUMBER($L$2:$L$1300)*($L$2:$L$1300=0)*($K$2:$K$1300&gt;0))&gt;0,"INCOMPLETE","MISSING"),O258)</f>
        <v>MISSING</v>
      </c>
      <c r="P272" s="193" t="str">
        <f>INDEX(_TARGETS!$K$2:$K$17,MATCH($C272,_TARGETS!$A$2:$A$17,0))</f>
        <v>OPS (eventos) + Full Control GPS (km) - carga manual en Datos</v>
      </c>
      <c r="Q272" s="193" t="str">
        <f t="shared" si="22"/>
        <v>202708|TVCR|Cumulative</v>
      </c>
      <c r="R272" s="193" t="str">
        <f>INDEX(_TARGETS!$H$2:$H$17,MATCH($C272,_TARGETS!$A$2:$A$17,0))</f>
        <v>Definida</v>
      </c>
      <c r="S272" s="193">
        <f t="shared" si="23"/>
        <v>0</v>
      </c>
      <c r="T272" s="193" t="str">
        <f t="shared" si="24"/>
        <v/>
      </c>
    </row>
    <row r="273" spans="1:20" ht="13.5" customHeight="1" x14ac:dyDescent="0.3">
      <c r="A273" s="245">
        <f>KPIs!$P$3</f>
        <v>46600</v>
      </c>
      <c r="B273" s="199" t="str">
        <f>KPIs!P$4</f>
        <v>Compresora</v>
      </c>
      <c r="C273" s="31" t="s">
        <v>96</v>
      </c>
      <c r="D273" s="199" t="str">
        <f>KPIs!$A$33</f>
        <v>C1 · % de desvíos detectados de gravedad Alta</v>
      </c>
      <c r="E273" s="31" t="s">
        <v>599</v>
      </c>
      <c r="F273" s="247" t="str">
        <f>IF(ISNUMBER(KPIs!P33),KPIs!P33,"")</f>
        <v/>
      </c>
      <c r="G273" s="247" t="str">
        <f>IF(ISNUMBER(KPIs!$C$33),KPIs!$C$33,"")</f>
        <v/>
      </c>
      <c r="H273" s="199" t="str">
        <f>IFERROR(INDEX(_TARGETS!$E$2:$E$17,MATCH($C273,_TARGETS!$A$2:$A$17,0))&amp;"","")</f>
        <v/>
      </c>
      <c r="I273" s="199" t="str">
        <f t="shared" si="20"/>
        <v/>
      </c>
      <c r="J273" s="193" t="str">
        <f t="shared" si="21"/>
        <v>Monthly</v>
      </c>
      <c r="K273" s="248">
        <f>Datos!P71</f>
        <v>0</v>
      </c>
      <c r="L273" s="193">
        <f>Datos!P71+Datos!P72+Datos!P73</f>
        <v>0</v>
      </c>
      <c r="M273" s="193">
        <f>INDEX(_TARGETS!$J$2:$J$17,MATCH($C273,_TARGETS!$A$2:$A$17,0))</f>
        <v>1</v>
      </c>
      <c r="N273" s="193" t="str">
        <f>INDEX(_TARGETS!$D$2:$D$17,MATCH($C273,_TARGETS!$A$2:$A$17,0))</f>
        <v>% (fracción)</v>
      </c>
      <c r="O273" s="193" t="str">
        <f>IF(NOT(ISNUMBER(F273)),"MISSING","OK")</f>
        <v>MISSING</v>
      </c>
      <c r="P273" s="193" t="str">
        <f>INDEX(_TARGETS!$K$2:$K$17,MATCH($C273,_TARGETS!$A$2:$A$17,0))</f>
        <v>Plant Findings (hoja Observaciones-SMP)</v>
      </c>
      <c r="Q273" s="193" t="str">
        <f t="shared" si="22"/>
        <v>202708|HAL_ALTA_PCT|Monthly</v>
      </c>
      <c r="R273" s="193" t="str">
        <f>INDEX(_TARGETS!$H$2:$H$17,MATCH($C273,_TARGETS!$A$2:$A$17,0))</f>
        <v>Solo reporte</v>
      </c>
      <c r="S273" s="193" t="str">
        <f t="shared" si="23"/>
        <v/>
      </c>
      <c r="T273" s="193" t="str">
        <f t="shared" si="24"/>
        <v/>
      </c>
    </row>
    <row r="274" spans="1:20" ht="13.5" customHeight="1" x14ac:dyDescent="0.3">
      <c r="A274" s="245">
        <f>KPIs!$P$3</f>
        <v>46600</v>
      </c>
      <c r="B274" s="199" t="str">
        <f>KPIs!P$4</f>
        <v>Compresora</v>
      </c>
      <c r="C274" s="31" t="s">
        <v>98</v>
      </c>
      <c r="D274" s="199" t="str">
        <f>KPIs!$A$34</f>
        <v>C2 · Detenciones de tareas aplicadas</v>
      </c>
      <c r="E274" s="31" t="s">
        <v>599</v>
      </c>
      <c r="F274" s="247" t="str">
        <f>IF(ISNUMBER(KPIs!P34),KPIs!P34,"")</f>
        <v/>
      </c>
      <c r="G274" s="247" t="str">
        <f>IF(ISNUMBER(KPIs!$C$34),KPIs!$C$34,"")</f>
        <v/>
      </c>
      <c r="H274" s="199" t="str">
        <f>IFERROR(INDEX(_TARGETS!$E$2:$E$17,MATCH($C274,_TARGETS!$A$2:$A$17,0))&amp;"","")</f>
        <v/>
      </c>
      <c r="I274" s="199" t="str">
        <f t="shared" si="20"/>
        <v/>
      </c>
      <c r="J274" s="193" t="str">
        <f t="shared" si="21"/>
        <v>Monthly</v>
      </c>
      <c r="K274" s="248">
        <f>Datos!P75</f>
        <v>0</v>
      </c>
      <c r="M274" s="193">
        <f>INDEX(_TARGETS!$J$2:$J$17,MATCH($C274,_TARGETS!$A$2:$A$17,0))</f>
        <v>1</v>
      </c>
      <c r="N274" s="193" t="str">
        <f>INDEX(_TARGETS!$D$2:$D$17,MATCH($C274,_TARGETS!$A$2:$A$17,0))</f>
        <v>u</v>
      </c>
      <c r="O274" s="193" t="str">
        <f>IF(NOT(ISNUMBER(F274)),"MISSING","OK")</f>
        <v>MISSING</v>
      </c>
      <c r="P274" s="193" t="str">
        <f>INDEX(_TARGETS!$K$2:$K$17,MATCH($C274,_TARGETS!$A$2:$A$17,0))</f>
        <v>Plant Findings (hoja Observaciones-SMP)</v>
      </c>
      <c r="Q274" s="193" t="str">
        <f t="shared" si="22"/>
        <v>202708|DET|Monthly</v>
      </c>
      <c r="R274" s="193" t="str">
        <f>INDEX(_TARGETS!$H$2:$H$17,MATCH($C274,_TARGETS!$A$2:$A$17,0))</f>
        <v>Solo reporte</v>
      </c>
      <c r="S274" s="193" t="str">
        <f t="shared" si="23"/>
        <v/>
      </c>
      <c r="T274" s="193" t="str">
        <f t="shared" si="24"/>
        <v/>
      </c>
    </row>
    <row r="275" spans="1:20" ht="13.5" customHeight="1" x14ac:dyDescent="0.3">
      <c r="A275" s="245">
        <f>KPIs!$Q$3</f>
        <v>46631</v>
      </c>
      <c r="B275" s="199" t="str">
        <f>KPIs!Q$4</f>
        <v>Compresora</v>
      </c>
      <c r="C275" s="31" t="s">
        <v>39</v>
      </c>
      <c r="D275" s="199" t="str">
        <f>KPIs!$A$6</f>
        <v>1 · Frecuencia de casos con días perdidos</v>
      </c>
      <c r="E275" s="31" t="s">
        <v>599</v>
      </c>
      <c r="F275" s="247" t="str">
        <f>IF(ISNUMBER(KPIs!Q6),KPIs!Q6,"")</f>
        <v/>
      </c>
      <c r="G275" s="247">
        <f>IF(ISNUMBER(KPIs!$C$6),KPIs!$C$6,"")</f>
        <v>0</v>
      </c>
      <c r="H275" s="199" t="str">
        <f>IFERROR(INDEX(_TARGETS!$E$2:$E$17,MATCH($C275,_TARGETS!$A$2:$A$17,0))&amp;"","")</f>
        <v>≤</v>
      </c>
      <c r="I275" s="199" t="str">
        <f t="shared" si="20"/>
        <v/>
      </c>
      <c r="J275" s="193" t="str">
        <f t="shared" si="21"/>
        <v>Monthly</v>
      </c>
      <c r="K275" s="248">
        <f>Datos!Q33</f>
        <v>0</v>
      </c>
      <c r="L275" s="248">
        <f>Datos!Q14</f>
        <v>0</v>
      </c>
      <c r="M275" s="193">
        <f>INDEX(_TARGETS!$J$2:$J$17,MATCH($C275,_TARGETS!$A$2:$A$17,0))</f>
        <v>1000000</v>
      </c>
      <c r="N275" s="193" t="str">
        <f>INDEX(_TARGETS!$D$2:$D$17,MATCH($C275,_TARGETS!$A$2:$A$17,0))</f>
        <v>casos / 10^6 HH</v>
      </c>
      <c r="O275" s="193" t="str">
        <f>IF(NOT(ISNUMBER(F275)),"MISSING",IF((COUNTBLANK(Datos!Q12)+COUNTBLANK(Datos!Q13)+COUNTBLANK(Datos!Q33))&gt;0,"INCOMPLETE","OK"))</f>
        <v>MISSING</v>
      </c>
      <c r="P275" s="193" t="str">
        <f>INDEX(_TARGETS!$K$2:$K$17,MATCH($C275,_TARGETS!$A$2:$A$17,0))</f>
        <v>OPS (carga manual en Datos)</v>
      </c>
      <c r="Q275" s="193" t="str">
        <f t="shared" si="22"/>
        <v>202709|DAFWCF|Monthly</v>
      </c>
      <c r="R275" s="193" t="str">
        <f>INDEX(_TARGETS!$H$2:$H$17,MATCH($C275,_TARGETS!$A$2:$A$17,0))</f>
        <v>Definida</v>
      </c>
      <c r="S275" s="193" t="str">
        <f t="shared" si="23"/>
        <v/>
      </c>
      <c r="T275" s="193" t="str">
        <f t="shared" si="24"/>
        <v/>
      </c>
    </row>
    <row r="276" spans="1:20" ht="13.5" customHeight="1" x14ac:dyDescent="0.3">
      <c r="A276" s="245">
        <f>KPIs!$Q$3</f>
        <v>46631</v>
      </c>
      <c r="B276" s="199" t="str">
        <f>KPIs!Q$4</f>
        <v>Compresora</v>
      </c>
      <c r="C276" s="31" t="s">
        <v>49</v>
      </c>
      <c r="D276" s="199" t="str">
        <f>KPIs!$A$7</f>
        <v>2 · Frecuencia de casos registrables</v>
      </c>
      <c r="E276" s="31" t="s">
        <v>599</v>
      </c>
      <c r="F276" s="247" t="str">
        <f>IF(ISNUMBER(KPIs!Q7),KPIs!Q7,"")</f>
        <v/>
      </c>
      <c r="G276" s="247">
        <f>IF(ISNUMBER(KPIs!$C$7),KPIs!$C$7,"")</f>
        <v>2.35</v>
      </c>
      <c r="H276" s="199" t="str">
        <f>IFERROR(INDEX(_TARGETS!$E$2:$E$17,MATCH($C276,_TARGETS!$A$2:$A$17,0))&amp;"","")</f>
        <v>≤</v>
      </c>
      <c r="I276" s="199" t="str">
        <f t="shared" si="20"/>
        <v/>
      </c>
      <c r="J276" s="193" t="str">
        <f t="shared" si="21"/>
        <v>Monthly</v>
      </c>
      <c r="K276" s="193">
        <f>Datos!Q33+Datos!Q34+Datos!Q35+Datos!Q36</f>
        <v>0</v>
      </c>
      <c r="L276" s="248">
        <f>Datos!Q14</f>
        <v>0</v>
      </c>
      <c r="M276" s="193">
        <f>INDEX(_TARGETS!$J$2:$J$17,MATCH($C276,_TARGETS!$A$2:$A$17,0))</f>
        <v>1000000</v>
      </c>
      <c r="N276" s="193" t="str">
        <f>INDEX(_TARGETS!$D$2:$D$17,MATCH($C276,_TARGETS!$A$2:$A$17,0))</f>
        <v>casos / 10^6 HH</v>
      </c>
      <c r="O276" s="193" t="str">
        <f>IF(NOT(ISNUMBER(F276)),"MISSING",IF((COUNTBLANK(Datos!Q12)+COUNTBLANK(Datos!Q13)+COUNTBLANK(Datos!Q33)+COUNTBLANK(Datos!Q34)+COUNTBLANK(Datos!Q35)+COUNTBLANK(Datos!Q36))&gt;0,"INCOMPLETE","OK"))</f>
        <v>MISSING</v>
      </c>
      <c r="P276" s="193" t="str">
        <f>INDEX(_TARGETS!$K$2:$K$17,MATCH($C276,_TARGETS!$A$2:$A$17,0))</f>
        <v>OPS (carga manual en Datos)</v>
      </c>
      <c r="Q276" s="193" t="str">
        <f t="shared" si="22"/>
        <v>202709|TRICF|Monthly</v>
      </c>
      <c r="R276" s="193" t="str">
        <f>INDEX(_TARGETS!$H$2:$H$17,MATCH($C276,_TARGETS!$A$2:$A$17,0))</f>
        <v>Definida</v>
      </c>
      <c r="S276" s="193" t="str">
        <f t="shared" si="23"/>
        <v/>
      </c>
      <c r="T276" s="193" t="str">
        <f t="shared" si="24"/>
        <v/>
      </c>
    </row>
    <row r="277" spans="1:20" ht="13.5" customHeight="1" x14ac:dyDescent="0.3">
      <c r="A277" s="245">
        <f>KPIs!$Q$3</f>
        <v>46631</v>
      </c>
      <c r="B277" s="199" t="str">
        <f>KPIs!Q$4</f>
        <v>Compresora</v>
      </c>
      <c r="C277" s="31" t="s">
        <v>51</v>
      </c>
      <c r="D277" s="199" t="str">
        <f>KPIs!$A$8</f>
        <v>3 · Casos de primeros auxilios</v>
      </c>
      <c r="E277" s="31" t="s">
        <v>599</v>
      </c>
      <c r="F277" s="247" t="str">
        <f>IF(ISNUMBER(KPIs!Q8),KPIs!Q8,"")</f>
        <v/>
      </c>
      <c r="G277" s="247" t="str">
        <f>IF(ISNUMBER(KPIs!$C$8),KPIs!$C$8,"")</f>
        <v/>
      </c>
      <c r="H277" s="199" t="str">
        <f>IFERROR(INDEX(_TARGETS!$E$2:$E$17,MATCH($C277,_TARGETS!$A$2:$A$17,0))&amp;"","")</f>
        <v/>
      </c>
      <c r="I277" s="199" t="str">
        <f t="shared" si="20"/>
        <v/>
      </c>
      <c r="J277" s="193" t="str">
        <f t="shared" si="21"/>
        <v>Monthly</v>
      </c>
      <c r="K277" s="248">
        <f>Datos!Q37</f>
        <v>0</v>
      </c>
      <c r="M277" s="193">
        <f>INDEX(_TARGETS!$J$2:$J$17,MATCH($C277,_TARGETS!$A$2:$A$17,0))</f>
        <v>1</v>
      </c>
      <c r="N277" s="193" t="str">
        <f>INDEX(_TARGETS!$D$2:$D$17,MATCH($C277,_TARGETS!$A$2:$A$17,0))</f>
        <v>casos</v>
      </c>
      <c r="O277" s="193" t="str">
        <f>IF(NOT(ISNUMBER(F277)),"MISSING",IF((COUNTBLANK(Datos!Q12)+COUNTBLANK(Datos!Q13)+COUNTBLANK(Datos!Q37))&gt;0,"INCOMPLETE","OK"))</f>
        <v>MISSING</v>
      </c>
      <c r="P277" s="193" t="str">
        <f>INDEX(_TARGETS!$K$2:$K$17,MATCH($C277,_TARGETS!$A$2:$A$17,0))</f>
        <v>OPS (carga manual en Datos)</v>
      </c>
      <c r="Q277" s="193" t="str">
        <f t="shared" si="22"/>
        <v>202709|FAC|Monthly</v>
      </c>
      <c r="R277" s="193" t="str">
        <f>INDEX(_TARGETS!$H$2:$H$17,MATCH($C277,_TARGETS!$A$2:$A$17,0))</f>
        <v>Solo reporte</v>
      </c>
      <c r="S277" s="193" t="str">
        <f t="shared" si="23"/>
        <v/>
      </c>
      <c r="T277" s="193" t="str">
        <f t="shared" si="24"/>
        <v/>
      </c>
    </row>
    <row r="278" spans="1:20" ht="13.5" customHeight="1" x14ac:dyDescent="0.3">
      <c r="A278" s="245">
        <f>KPIs!$Q$3</f>
        <v>46631</v>
      </c>
      <c r="B278" s="199" t="str">
        <f>KPIs!Q$4</f>
        <v>Compresora</v>
      </c>
      <c r="C278" s="31" t="s">
        <v>57</v>
      </c>
      <c r="D278" s="199" t="str">
        <f>KPIs!$A$10</f>
        <v>4 · Accidentes vehiculares severos por millón de km</v>
      </c>
      <c r="E278" s="31" t="s">
        <v>599</v>
      </c>
      <c r="F278" s="247" t="str">
        <f>IF(ISNUMBER(KPIs!Q10),KPIs!Q10,"")</f>
        <v/>
      </c>
      <c r="G278" s="247" t="str">
        <f>IF(ISNUMBER(KPIs!$C$10),KPIs!$C$10,"")</f>
        <v/>
      </c>
      <c r="H278" s="199" t="str">
        <f>IFERROR(INDEX(_TARGETS!$E$2:$E$17,MATCH($C278,_TARGETS!$A$2:$A$17,0))&amp;"","")</f>
        <v/>
      </c>
      <c r="I278" s="199" t="str">
        <f t="shared" si="20"/>
        <v/>
      </c>
      <c r="J278" s="193" t="str">
        <f t="shared" si="21"/>
        <v>Monthly</v>
      </c>
      <c r="K278" s="193">
        <f>Datos!Q39+Datos!Q40+Datos!Q41</f>
        <v>0</v>
      </c>
      <c r="L278" s="248">
        <f>Datos!Q47</f>
        <v>0</v>
      </c>
      <c r="M278" s="193">
        <f>INDEX(_TARGETS!$J$2:$J$17,MATCH($C278,_TARGETS!$A$2:$A$17,0))</f>
        <v>1000000</v>
      </c>
      <c r="N278" s="193" t="str">
        <f>INDEX(_TARGETS!$D$2:$D$17,MATCH($C278,_TARGETS!$A$2:$A$17,0))</f>
        <v>eventos / 10^6 km</v>
      </c>
      <c r="O278" s="193" t="str">
        <f>IF(NOT(ISNUMBER(F278)),"MISSING",IF((COUNTBLANK(Datos!Q44)+COUNTBLANK(Datos!Q45)+COUNTBLANK(Datos!Q46)+COUNTBLANK(Datos!Q39)+COUNTBLANK(Datos!Q40)+COUNTBLANK(Datos!Q41))&gt;0,"INCOMPLETE","OK"))</f>
        <v>MISSING</v>
      </c>
      <c r="P278" s="193" t="str">
        <f>INDEX(_TARGETS!$K$2:$K$17,MATCH($C278,_TARGETS!$A$2:$A$17,0))</f>
        <v>OPS (eventos) + Full Control GPS (km) - carga manual en Datos</v>
      </c>
      <c r="Q278" s="193" t="str">
        <f t="shared" si="22"/>
        <v>202709|SVCR|Monthly</v>
      </c>
      <c r="R278" s="193" t="str">
        <f>INDEX(_TARGETS!$H$2:$H$17,MATCH($C278,_TARGETS!$A$2:$A$17,0))</f>
        <v>Solo reporte</v>
      </c>
      <c r="S278" s="193" t="str">
        <f t="shared" si="23"/>
        <v/>
      </c>
      <c r="T278" s="193" t="str">
        <f t="shared" si="24"/>
        <v/>
      </c>
    </row>
    <row r="279" spans="1:20" ht="13.5" customHeight="1" x14ac:dyDescent="0.3">
      <c r="A279" s="245">
        <f>KPIs!$Q$3</f>
        <v>46631</v>
      </c>
      <c r="B279" s="199" t="str">
        <f>KPIs!Q$4</f>
        <v>Compresora</v>
      </c>
      <c r="C279" s="31" t="s">
        <v>61</v>
      </c>
      <c r="D279" s="199" t="str">
        <f>KPIs!$A$11</f>
        <v>5 · Accidentes vehiculares totales por millón de km</v>
      </c>
      <c r="E279" s="31" t="s">
        <v>599</v>
      </c>
      <c r="F279" s="247" t="str">
        <f>IF(ISNUMBER(KPIs!Q11),KPIs!Q11,"")</f>
        <v/>
      </c>
      <c r="G279" s="247">
        <f>IF(ISNUMBER(KPIs!$C$11),KPIs!$C$11,"")</f>
        <v>0.79</v>
      </c>
      <c r="H279" s="199" t="str">
        <f>IFERROR(INDEX(_TARGETS!$E$2:$E$17,MATCH($C279,_TARGETS!$A$2:$A$17,0))&amp;"","")</f>
        <v>≤</v>
      </c>
      <c r="I279" s="199" t="str">
        <f t="shared" si="20"/>
        <v/>
      </c>
      <c r="J279" s="193" t="str">
        <f t="shared" si="21"/>
        <v>Monthly</v>
      </c>
      <c r="K279" s="193">
        <f>Datos!Q39+Datos!Q40+Datos!Q41+Datos!Q42</f>
        <v>0</v>
      </c>
      <c r="L279" s="248">
        <f>Datos!Q47</f>
        <v>0</v>
      </c>
      <c r="M279" s="193">
        <f>INDEX(_TARGETS!$J$2:$J$17,MATCH($C279,_TARGETS!$A$2:$A$17,0))</f>
        <v>1000000</v>
      </c>
      <c r="N279" s="193" t="str">
        <f>INDEX(_TARGETS!$D$2:$D$17,MATCH($C279,_TARGETS!$A$2:$A$17,0))</f>
        <v>eventos / 10^6 km</v>
      </c>
      <c r="O279" s="193" t="str">
        <f>IF(NOT(ISNUMBER(F279)),"MISSING",IF((COUNTBLANK(Datos!Q44)+COUNTBLANK(Datos!Q45)+COUNTBLANK(Datos!Q46)+COUNTBLANK(Datos!Q39)+COUNTBLANK(Datos!Q40)+COUNTBLANK(Datos!Q41)+COUNTBLANK(Datos!Q42))&gt;0,"INCOMPLETE","OK"))</f>
        <v>MISSING</v>
      </c>
      <c r="P279" s="193" t="str">
        <f>INDEX(_TARGETS!$K$2:$K$17,MATCH($C279,_TARGETS!$A$2:$A$17,0))</f>
        <v>OPS (eventos) + Full Control GPS (km) - carga manual en Datos</v>
      </c>
      <c r="Q279" s="193" t="str">
        <f t="shared" si="22"/>
        <v>202709|TVCR|Monthly</v>
      </c>
      <c r="R279" s="193" t="str">
        <f>INDEX(_TARGETS!$H$2:$H$17,MATCH($C279,_TARGETS!$A$2:$A$17,0))</f>
        <v>Definida</v>
      </c>
      <c r="S279" s="193" t="str">
        <f t="shared" si="23"/>
        <v/>
      </c>
      <c r="T279" s="193" t="str">
        <f t="shared" si="24"/>
        <v/>
      </c>
    </row>
    <row r="280" spans="1:20" ht="13.5" customHeight="1" x14ac:dyDescent="0.3">
      <c r="A280" s="245">
        <f>KPIs!$Q$3</f>
        <v>46631</v>
      </c>
      <c r="B280" s="199" t="str">
        <f>KPIs!Q$4</f>
        <v>Compresora</v>
      </c>
      <c r="C280" s="31" t="s">
        <v>63</v>
      </c>
      <c r="D280" s="199" t="str">
        <f>KPIs!$A$13</f>
        <v>6 · Observaciones de seguridad por persona</v>
      </c>
      <c r="E280" s="31" t="s">
        <v>599</v>
      </c>
      <c r="F280" s="247" t="str">
        <f>IF(ISNUMBER(KPIs!Q13),KPIs!Q13,"")</f>
        <v/>
      </c>
      <c r="G280" s="247">
        <f>IF(ISNUMBER(KPIs!$C$13),KPIs!$C$13,"")</f>
        <v>1</v>
      </c>
      <c r="H280" s="199" t="str">
        <f>IFERROR(INDEX(_TARGETS!$E$2:$E$17,MATCH($C280,_TARGETS!$A$2:$A$17,0))&amp;"","")</f>
        <v>≥</v>
      </c>
      <c r="I280" s="199" t="str">
        <f t="shared" si="20"/>
        <v/>
      </c>
      <c r="J280" s="193" t="str">
        <f t="shared" si="21"/>
        <v>Monthly</v>
      </c>
      <c r="K280" s="248" t="str">
        <f>IF(COUNT(Datos!Q28:Q29)=0,"",SUM(Datos!Q28:Q29))</f>
        <v/>
      </c>
      <c r="L280" s="248">
        <f>Datos!Q11</f>
        <v>0</v>
      </c>
      <c r="M280" s="193">
        <f>INDEX(_TARGETS!$J$2:$J$17,MATCH($C280,_TARGETS!$A$2:$A$17,0))</f>
        <v>1</v>
      </c>
      <c r="N280" s="193" t="str">
        <f>INDEX(_TARGETS!$D$2:$D$17,MATCH($C280,_TARGETS!$A$2:$A$17,0))</f>
        <v>obs / persona</v>
      </c>
      <c r="O280" s="193" t="str">
        <f>IF(NOT(ISNUMBER(F280)),"MISSING",IF((COUNTBLANK(Datos!Q9)+COUNTBLANK(Datos!Q10)+IF(COUNT(Datos!Q28:Q29)=0,1,0))&gt;0,"INCOMPLETE","OK"))</f>
        <v>MISSING</v>
      </c>
      <c r="P280" s="193" t="str">
        <f>INDEX(_TARGETS!$K$2:$K$17,MATCH($C280,_TARGETS!$A$2:$A$17,0))</f>
        <v>OPS (carga manual en Datos)</v>
      </c>
      <c r="Q280" s="193" t="str">
        <f t="shared" si="22"/>
        <v>202709|OBS|Monthly</v>
      </c>
      <c r="R280" s="193" t="str">
        <f>INDEX(_TARGETS!$H$2:$H$17,MATCH($C280,_TARGETS!$A$2:$A$17,0))</f>
        <v>PROVISORIA · referencia del subcontratista (OPS: 1 obs/persona); meta y población en definición</v>
      </c>
      <c r="S280" s="193" t="str">
        <f t="shared" si="23"/>
        <v/>
      </c>
      <c r="T280" s="193" t="str">
        <f t="shared" si="24"/>
        <v/>
      </c>
    </row>
    <row r="281" spans="1:20" ht="13.5" customHeight="1" x14ac:dyDescent="0.3">
      <c r="A281" s="245">
        <f>KPIs!$Q$3</f>
        <v>46631</v>
      </c>
      <c r="B281" s="199" t="str">
        <f>KPIs!Q$4</f>
        <v>Compresora</v>
      </c>
      <c r="C281" s="31" t="s">
        <v>71</v>
      </c>
      <c r="D281" s="199" t="str">
        <f>KPIs!$A$14</f>
        <v>7 · Investigaciones de accidentes: días promedio de cierre</v>
      </c>
      <c r="E281" s="31" t="s">
        <v>599</v>
      </c>
      <c r="F281" s="247" t="str">
        <f>IF(ISNUMBER(KPIs!Q14),KPIs!Q14,"")</f>
        <v/>
      </c>
      <c r="G281" s="247">
        <f>IF(ISNUMBER(KPIs!$C$14),KPIs!$C$14,"")</f>
        <v>20</v>
      </c>
      <c r="H281" s="199" t="str">
        <f>IFERROR(INDEX(_TARGETS!$E$2:$E$17,MATCH($C281,_TARGETS!$A$2:$A$17,0))&amp;"","")</f>
        <v>≤</v>
      </c>
      <c r="I281" s="199" t="str">
        <f t="shared" si="20"/>
        <v/>
      </c>
      <c r="J281" s="193" t="str">
        <f t="shared" si="21"/>
        <v>Monthly</v>
      </c>
      <c r="K281" s="248">
        <f>Datos!Q31</f>
        <v>0</v>
      </c>
      <c r="L281" s="248">
        <f>Datos!Q30</f>
        <v>0</v>
      </c>
      <c r="M281" s="193">
        <f>INDEX(_TARGETS!$J$2:$J$17,MATCH($C281,_TARGETS!$A$2:$A$17,0))</f>
        <v>1</v>
      </c>
      <c r="N281" s="193" t="str">
        <f>INDEX(_TARGETS!$D$2:$D$17,MATCH($C281,_TARGETS!$A$2:$A$17,0))</f>
        <v>días</v>
      </c>
      <c r="O281" s="193" t="str">
        <f>IF(NOT(ISNUMBER(F281)),"MISSING",IF((COUNTBLANK(Datos!Q30)+COUNTBLANK(Datos!Q31))&gt;0,"INCOMPLETE","OK"))</f>
        <v>MISSING</v>
      </c>
      <c r="P281" s="193" t="str">
        <f>INDEX(_TARGETS!$K$2:$K$17,MATCH($C281,_TARGETS!$A$2:$A$17,0))</f>
        <v>OPS (carga manual en Datos)</v>
      </c>
      <c r="Q281" s="193" t="str">
        <f t="shared" si="22"/>
        <v>202709|INV|Monthly</v>
      </c>
      <c r="R281" s="193" t="str">
        <f>INDEX(_TARGETS!$H$2:$H$17,MATCH($C281,_TARGETS!$A$2:$A$17,0))</f>
        <v>Definida</v>
      </c>
      <c r="S281" s="193" t="str">
        <f t="shared" si="23"/>
        <v/>
      </c>
      <c r="T281" s="193" t="str">
        <f t="shared" si="24"/>
        <v/>
      </c>
    </row>
    <row r="282" spans="1:20" ht="13.5" customHeight="1" x14ac:dyDescent="0.3">
      <c r="A282" s="245">
        <f>KPIs!$Q$3</f>
        <v>46631</v>
      </c>
      <c r="B282" s="199" t="str">
        <f>KPIs!Q$4</f>
        <v>Compresora</v>
      </c>
      <c r="C282" s="31" t="s">
        <v>76</v>
      </c>
      <c r="D282" s="199" t="str">
        <f>KPIs!$A$16</f>
        <v>8 · % de capacitación en seguridad</v>
      </c>
      <c r="E282" s="31" t="s">
        <v>599</v>
      </c>
      <c r="F282" s="247" t="str">
        <f>IF(ISNUMBER(KPIs!Q16),KPIs!Q16,"")</f>
        <v/>
      </c>
      <c r="G282" s="247">
        <f>IF(ISNUMBER(KPIs!$C$16),KPIs!$C$16,"")</f>
        <v>0.01</v>
      </c>
      <c r="H282" s="199" t="str">
        <f>IFERROR(INDEX(_TARGETS!$E$2:$E$17,MATCH($C282,_TARGETS!$A$2:$A$17,0))&amp;"","")</f>
        <v>≥</v>
      </c>
      <c r="I282" s="199" t="str">
        <f t="shared" si="20"/>
        <v/>
      </c>
      <c r="J282" s="193" t="str">
        <f t="shared" si="21"/>
        <v>Monthly</v>
      </c>
      <c r="K282" s="248">
        <f>Datos!Q18</f>
        <v>0</v>
      </c>
      <c r="L282" s="248">
        <f>Datos!Q14</f>
        <v>0</v>
      </c>
      <c r="M282" s="193">
        <f>INDEX(_TARGETS!$J$2:$J$17,MATCH($C282,_TARGETS!$A$2:$A$17,0))</f>
        <v>1</v>
      </c>
      <c r="N282" s="193" t="str">
        <f>INDEX(_TARGETS!$D$2:$D$17,MATCH($C282,_TARGETS!$A$2:$A$17,0))</f>
        <v>% (fracción)</v>
      </c>
      <c r="O282" s="193" t="str">
        <f>IF(NOT(ISNUMBER(F282)),"MISSING",IF((COUNTBLANK(Datos!Q16)+COUNTBLANK(Datos!Q17)+COUNTBLANK(Datos!Q12)+COUNTBLANK(Datos!Q13))&gt;0,"INCOMPLETE","OK"))</f>
        <v>MISSING</v>
      </c>
      <c r="P282" s="193" t="str">
        <f>INDEX(_TARGETS!$K$2:$K$17,MATCH($C282,_TARGETS!$A$2:$A$17,0))</f>
        <v>OPS (carga manual en Datos)</v>
      </c>
      <c r="Q282" s="193" t="str">
        <f t="shared" si="22"/>
        <v>202709|HCS|Monthly</v>
      </c>
      <c r="R282" s="193" t="str">
        <f>INDEX(_TARGETS!$H$2:$H$17,MATCH($C282,_TARGETS!$A$2:$A$17,0))</f>
        <v>Definida</v>
      </c>
      <c r="S282" s="193" t="str">
        <f t="shared" si="23"/>
        <v/>
      </c>
      <c r="T282" s="193" t="str">
        <f t="shared" si="24"/>
        <v/>
      </c>
    </row>
    <row r="283" spans="1:20" ht="13.5" customHeight="1" x14ac:dyDescent="0.3">
      <c r="A283" s="245">
        <f>KPIs!$Q$3</f>
        <v>46631</v>
      </c>
      <c r="B283" s="199" t="str">
        <f>KPIs!Q$4</f>
        <v>Compresora</v>
      </c>
      <c r="C283" s="31" t="s">
        <v>80</v>
      </c>
      <c r="D283" s="199" t="str">
        <f>KPIs!$A$17</f>
        <v>9 · Horas de capacitación por persona</v>
      </c>
      <c r="E283" s="31" t="s">
        <v>599</v>
      </c>
      <c r="F283" s="247" t="str">
        <f>IF(ISNUMBER(KPIs!Q17),KPIs!Q17,"")</f>
        <v/>
      </c>
      <c r="G283" s="247" t="str">
        <f>IF(ISNUMBER(KPIs!$C$17),KPIs!$C$17,"")</f>
        <v/>
      </c>
      <c r="H283" s="199" t="str">
        <f>IFERROR(INDEX(_TARGETS!$E$2:$E$17,MATCH($C283,_TARGETS!$A$2:$A$17,0))&amp;"","")</f>
        <v/>
      </c>
      <c r="I283" s="199" t="str">
        <f t="shared" si="20"/>
        <v/>
      </c>
      <c r="J283" s="193" t="str">
        <f t="shared" si="21"/>
        <v>Monthly</v>
      </c>
      <c r="K283" s="248">
        <f>Datos!Q18</f>
        <v>0</v>
      </c>
      <c r="L283" s="248">
        <f>Datos!Q11</f>
        <v>0</v>
      </c>
      <c r="M283" s="193">
        <f>INDEX(_TARGETS!$J$2:$J$17,MATCH($C283,_TARGETS!$A$2:$A$17,0))</f>
        <v>1</v>
      </c>
      <c r="N283" s="193" t="str">
        <f>INDEX(_TARGETS!$D$2:$D$17,MATCH($C283,_TARGETS!$A$2:$A$17,0))</f>
        <v>h / persona</v>
      </c>
      <c r="O283" s="193" t="str">
        <f>IF(NOT(ISNUMBER(F283)),"MISSING",IF((COUNTBLANK(Datos!Q16)+COUNTBLANK(Datos!Q17)+COUNTBLANK(Datos!Q9)+COUNTBLANK(Datos!Q10))&gt;0,"INCOMPLETE","OK"))</f>
        <v>MISSING</v>
      </c>
      <c r="P283" s="193" t="str">
        <f>INDEX(_TARGETS!$K$2:$K$17,MATCH($C283,_TARGETS!$A$2:$A$17,0))</f>
        <v>OPS (carga manual en Datos)</v>
      </c>
      <c r="Q283" s="193" t="str">
        <f t="shared" si="22"/>
        <v>202709|HCSA|Monthly</v>
      </c>
      <c r="R283" s="193" t="str">
        <f>INDEX(_TARGETS!$H$2:$H$17,MATCH($C283,_TARGETS!$A$2:$A$17,0))</f>
        <v>Solo reporte</v>
      </c>
      <c r="S283" s="193" t="str">
        <f t="shared" si="23"/>
        <v/>
      </c>
      <c r="T283" s="193" t="str">
        <f t="shared" si="24"/>
        <v/>
      </c>
    </row>
    <row r="284" spans="1:20" ht="13.5" customHeight="1" x14ac:dyDescent="0.3">
      <c r="A284" s="245">
        <f>KPIs!$Q$3</f>
        <v>46631</v>
      </c>
      <c r="B284" s="199" t="str">
        <f>KPIs!Q$4</f>
        <v>Compresora</v>
      </c>
      <c r="C284" s="31" t="s">
        <v>83</v>
      </c>
      <c r="D284" s="199" t="str">
        <f>KPIs!$A$18</f>
        <v>10 · Cumplimiento de simulacros (emergencia y operativos)</v>
      </c>
      <c r="E284" s="31" t="s">
        <v>599</v>
      </c>
      <c r="F284" s="247" t="str">
        <f>IF(ISNUMBER(KPIs!Q18),KPIs!Q18,"")</f>
        <v/>
      </c>
      <c r="G284" s="247">
        <f>IF(ISNUMBER(KPIs!$C$18),KPIs!$C$18,"")</f>
        <v>1</v>
      </c>
      <c r="H284" s="199" t="str">
        <f>IFERROR(INDEX(_TARGETS!$E$2:$E$17,MATCH($C284,_TARGETS!$A$2:$A$17,0))&amp;"","")</f>
        <v>≥</v>
      </c>
      <c r="I284" s="199" t="str">
        <f t="shared" si="20"/>
        <v/>
      </c>
      <c r="J284" s="193" t="str">
        <f t="shared" si="21"/>
        <v>Monthly</v>
      </c>
      <c r="K284" s="248">
        <f>Datos!Q20</f>
        <v>0</v>
      </c>
      <c r="L284" s="248">
        <f>Datos!Q21</f>
        <v>0</v>
      </c>
      <c r="M284" s="193">
        <f>INDEX(_TARGETS!$J$2:$J$17,MATCH($C284,_TARGETS!$A$2:$A$17,0))</f>
        <v>1</v>
      </c>
      <c r="N284" s="193" t="str">
        <f>INDEX(_TARGETS!$D$2:$D$17,MATCH($C284,_TARGETS!$A$2:$A$17,0))</f>
        <v>% (fracción)</v>
      </c>
      <c r="O284" s="193" t="str">
        <f>IF(NOT(ISNUMBER(F284)),"MISSING",IF((COUNTBLANK(Datos!Q20)+COUNTBLANK(Datos!Q21))&gt;0,"INCOMPLETE","OK"))</f>
        <v>MISSING</v>
      </c>
      <c r="P284" s="193" t="str">
        <f>INDEX(_TARGETS!$K$2:$K$17,MATCH($C284,_TARGETS!$A$2:$A$17,0))</f>
        <v>OPS (carga manual en Datos)</v>
      </c>
      <c r="Q284" s="193" t="str">
        <f t="shared" si="22"/>
        <v>202709|CPSE|Monthly</v>
      </c>
      <c r="R284" s="193" t="str">
        <f>INDEX(_TARGETS!$H$2:$H$17,MATCH($C284,_TARGETS!$A$2:$A$17,0))</f>
        <v>Definida</v>
      </c>
      <c r="S284" s="193" t="str">
        <f t="shared" si="23"/>
        <v/>
      </c>
      <c r="T284" s="193" t="str">
        <f t="shared" si="24"/>
        <v/>
      </c>
    </row>
    <row r="285" spans="1:20" ht="13.5" customHeight="1" x14ac:dyDescent="0.3">
      <c r="A285" s="245">
        <f>KPIs!$Q$3</f>
        <v>46631</v>
      </c>
      <c r="B285" s="199" t="str">
        <f>KPIs!Q$4</f>
        <v>Compresora</v>
      </c>
      <c r="C285" s="31" t="s">
        <v>85</v>
      </c>
      <c r="D285" s="199" t="str">
        <f>KPIs!$A$19</f>
        <v>10b · Cumplimiento de acciones de mejora de simulacros</v>
      </c>
      <c r="E285" s="31" t="s">
        <v>599</v>
      </c>
      <c r="F285" s="247" t="str">
        <f>IF(ISNUMBER(KPIs!Q19),KPIs!Q19,"")</f>
        <v/>
      </c>
      <c r="G285" s="247" t="str">
        <f>IF(ISNUMBER(KPIs!$C$19),KPIs!$C$19,"")</f>
        <v/>
      </c>
      <c r="H285" s="199" t="str">
        <f>IFERROR(INDEX(_TARGETS!$E$2:$E$17,MATCH($C285,_TARGETS!$A$2:$A$17,0))&amp;"","")</f>
        <v/>
      </c>
      <c r="I285" s="199" t="str">
        <f t="shared" si="20"/>
        <v/>
      </c>
      <c r="J285" s="193" t="str">
        <f t="shared" si="21"/>
        <v>Monthly</v>
      </c>
      <c r="K285" s="248">
        <f>Datos!Q23</f>
        <v>0</v>
      </c>
      <c r="L285" s="248">
        <f>Datos!Q22</f>
        <v>0</v>
      </c>
      <c r="M285" s="193">
        <f>INDEX(_TARGETS!$J$2:$J$17,MATCH($C285,_TARGETS!$A$2:$A$17,0))</f>
        <v>1</v>
      </c>
      <c r="N285" s="193" t="str">
        <f>INDEX(_TARGETS!$D$2:$D$17,MATCH($C285,_TARGETS!$A$2:$A$17,0))</f>
        <v>% (fracción)</v>
      </c>
      <c r="O285" s="193" t="str">
        <f>IF(NOT(ISNUMBER(F285)),"MISSING",IF((COUNTBLANK(Datos!Q23)+COUNTBLANK(Datos!Q22))&gt;0,"INCOMPLETE","OK"))</f>
        <v>MISSING</v>
      </c>
      <c r="P285" s="193" t="str">
        <f>INDEX(_TARGETS!$K$2:$K$17,MATCH($C285,_TARGETS!$A$2:$A$17,0))</f>
        <v>OPS (carga manual en Datos)</v>
      </c>
      <c r="Q285" s="193" t="str">
        <f t="shared" si="22"/>
        <v>202709|CAMS|Monthly</v>
      </c>
      <c r="R285" s="193" t="str">
        <f>INDEX(_TARGETS!$H$2:$H$17,MATCH($C285,_TARGETS!$A$2:$A$17,0))</f>
        <v>Solo reporte</v>
      </c>
      <c r="S285" s="193" t="str">
        <f t="shared" si="23"/>
        <v/>
      </c>
      <c r="T285" s="193" t="str">
        <f t="shared" si="24"/>
        <v/>
      </c>
    </row>
    <row r="286" spans="1:20" ht="13.5" customHeight="1" x14ac:dyDescent="0.3">
      <c r="A286" s="245">
        <f>KPIs!$Q$3</f>
        <v>46631</v>
      </c>
      <c r="B286" s="199" t="str">
        <f>KPIs!Q$4</f>
        <v>Compresora</v>
      </c>
      <c r="C286" s="31" t="s">
        <v>87</v>
      </c>
      <c r="D286" s="199" t="str">
        <f>KPIs!$A$21</f>
        <v>11 · Cumplimiento de caminatas gerenciales</v>
      </c>
      <c r="E286" s="31" t="s">
        <v>599</v>
      </c>
      <c r="F286" s="247" t="str">
        <f>IF(ISNUMBER(KPIs!Q21),KPIs!Q21,"")</f>
        <v/>
      </c>
      <c r="G286" s="247">
        <f>IF(ISNUMBER(KPIs!$C$21),KPIs!$C$21,"")</f>
        <v>1</v>
      </c>
      <c r="H286" s="199" t="str">
        <f>IFERROR(INDEX(_TARGETS!$E$2:$E$17,MATCH($C286,_TARGETS!$A$2:$A$17,0))&amp;"","")</f>
        <v>≥</v>
      </c>
      <c r="I286" s="199" t="str">
        <f t="shared" si="20"/>
        <v/>
      </c>
      <c r="J286" s="193" t="str">
        <f t="shared" si="21"/>
        <v>Monthly</v>
      </c>
      <c r="K286" s="248">
        <f>Datos!Q24</f>
        <v>0</v>
      </c>
      <c r="L286" s="248">
        <f>Datos!Q25</f>
        <v>0</v>
      </c>
      <c r="M286" s="193">
        <f>INDEX(_TARGETS!$J$2:$J$17,MATCH($C286,_TARGETS!$A$2:$A$17,0))</f>
        <v>1</v>
      </c>
      <c r="N286" s="193" t="str">
        <f>INDEX(_TARGETS!$D$2:$D$17,MATCH($C286,_TARGETS!$A$2:$A$17,0))</f>
        <v>% (fracción)</v>
      </c>
      <c r="O286" s="193" t="str">
        <f>IF(NOT(ISNUMBER(F286)),"MISSING",IF((COUNTBLANK(Datos!Q24)+COUNTBLANK(Datos!Q25))&gt;0,"INCOMPLETE","OK"))</f>
        <v>MISSING</v>
      </c>
      <c r="P286" s="193" t="str">
        <f>INDEX(_TARGETS!$K$2:$K$17,MATCH($C286,_TARGETS!$A$2:$A$17,0))</f>
        <v>OPS (carga manual en Datos)</v>
      </c>
      <c r="Q286" s="193" t="str">
        <f t="shared" si="22"/>
        <v>202709|ICCS|Monthly</v>
      </c>
      <c r="R286" s="193" t="str">
        <f>INDEX(_TARGETS!$H$2:$H$17,MATCH($C286,_TARGETS!$A$2:$A$17,0))</f>
        <v>Definida</v>
      </c>
      <c r="S286" s="193" t="str">
        <f t="shared" si="23"/>
        <v/>
      </c>
      <c r="T286" s="193" t="str">
        <f t="shared" si="24"/>
        <v/>
      </c>
    </row>
    <row r="287" spans="1:20" ht="13.5" customHeight="1" x14ac:dyDescent="0.3">
      <c r="A287" s="245">
        <f>KPIs!$Q$3</f>
        <v>46631</v>
      </c>
      <c r="B287" s="199" t="str">
        <f>KPIs!Q$4</f>
        <v>Compresora</v>
      </c>
      <c r="C287" s="31" t="s">
        <v>89</v>
      </c>
      <c r="D287" s="199" t="str">
        <f>KPIs!$A$22</f>
        <v>12 · Cumplimiento de comités y subcomités de seguridad</v>
      </c>
      <c r="E287" s="31" t="s">
        <v>599</v>
      </c>
      <c r="F287" s="247" t="str">
        <f>IF(ISNUMBER(KPIs!Q22),KPIs!Q22,"")</f>
        <v/>
      </c>
      <c r="G287" s="247">
        <f>IF(ISNUMBER(KPIs!$C$22),KPIs!$C$22,"")</f>
        <v>1</v>
      </c>
      <c r="H287" s="199" t="str">
        <f>IFERROR(INDEX(_TARGETS!$E$2:$E$17,MATCH($C287,_TARGETS!$A$2:$A$17,0))&amp;"","")</f>
        <v>≥</v>
      </c>
      <c r="I287" s="199" t="str">
        <f t="shared" si="20"/>
        <v/>
      </c>
      <c r="J287" s="193" t="str">
        <f t="shared" si="21"/>
        <v>Monthly</v>
      </c>
      <c r="K287" s="248">
        <f>Datos!Q26</f>
        <v>0</v>
      </c>
      <c r="L287" s="248">
        <f>Datos!Q27</f>
        <v>0</v>
      </c>
      <c r="M287" s="193">
        <f>INDEX(_TARGETS!$J$2:$J$17,MATCH($C287,_TARGETS!$A$2:$A$17,0))</f>
        <v>1</v>
      </c>
      <c r="N287" s="193" t="str">
        <f>INDEX(_TARGETS!$D$2:$D$17,MATCH($C287,_TARGETS!$A$2:$A$17,0))</f>
        <v>% (fracción)</v>
      </c>
      <c r="O287" s="193" t="str">
        <f>IF(NOT(ISNUMBER(F287)),"MISSING",IF((COUNTBLANK(Datos!Q26)+COUNTBLANK(Datos!Q27))&gt;0,"INCOMPLETE","OK"))</f>
        <v>MISSING</v>
      </c>
      <c r="P287" s="193" t="str">
        <f>INDEX(_TARGETS!$K$2:$K$17,MATCH($C287,_TARGETS!$A$2:$A$17,0))</f>
        <v>OPS (carga manual en Datos)</v>
      </c>
      <c r="Q287" s="193" t="str">
        <f t="shared" si="22"/>
        <v>202709|CCS|Monthly</v>
      </c>
      <c r="R287" s="193" t="str">
        <f>INDEX(_TARGETS!$H$2:$H$17,MATCH($C287,_TARGETS!$A$2:$A$17,0))</f>
        <v>Definida</v>
      </c>
      <c r="S287" s="193" t="str">
        <f t="shared" si="23"/>
        <v/>
      </c>
      <c r="T287" s="193" t="str">
        <f t="shared" si="24"/>
        <v/>
      </c>
    </row>
    <row r="288" spans="1:20" ht="13.5" customHeight="1" x14ac:dyDescent="0.3">
      <c r="A288" s="245">
        <f>KPIs!$Q$3</f>
        <v>46631</v>
      </c>
      <c r="B288" s="199" t="str">
        <f>KPIs!Q$4</f>
        <v>Compresora</v>
      </c>
      <c r="C288" s="31" t="s">
        <v>91</v>
      </c>
      <c r="D288" s="199" t="str">
        <f>KPIs!$A$23</f>
        <v>13 · Días promedio para cerrar hallazgos</v>
      </c>
      <c r="E288" s="31" t="s">
        <v>599</v>
      </c>
      <c r="F288" s="247" t="str">
        <f>IF(ISNUMBER(KPIs!Q23),KPIs!Q23,"")</f>
        <v/>
      </c>
      <c r="G288" s="247" t="str">
        <f>IF(ISNUMBER(KPIs!$C$23),KPIs!$C$23,"")</f>
        <v/>
      </c>
      <c r="H288" s="199" t="str">
        <f>IFERROR(INDEX(_TARGETS!$E$2:$E$17,MATCH($C288,_TARGETS!$A$2:$A$17,0))&amp;"","")</f>
        <v>≤</v>
      </c>
      <c r="I288" s="199" t="str">
        <f t="shared" si="20"/>
        <v/>
      </c>
      <c r="J288" s="193" t="str">
        <f t="shared" si="21"/>
        <v>Monthly</v>
      </c>
      <c r="K288" s="248">
        <f>Datos!Q68</f>
        <v>0</v>
      </c>
      <c r="L288" s="248">
        <f>Datos!Q67</f>
        <v>0</v>
      </c>
      <c r="M288" s="193">
        <f>INDEX(_TARGETS!$J$2:$J$17,MATCH($C288,_TARGETS!$A$2:$A$17,0))</f>
        <v>1</v>
      </c>
      <c r="N288" s="193" t="str">
        <f>INDEX(_TARGETS!$D$2:$D$17,MATCH($C288,_TARGETS!$A$2:$A$17,0))</f>
        <v>días</v>
      </c>
      <c r="O288" s="193" t="str">
        <f>IF(NOT(ISNUMBER(F288)),"MISSING","OK")</f>
        <v>MISSING</v>
      </c>
      <c r="P288" s="193" t="str">
        <f>INDEX(_TARGETS!$K$2:$K$17,MATCH($C288,_TARGETS!$A$2:$A$17,0))</f>
        <v>Plant Findings (hoja Observaciones-SMP)</v>
      </c>
      <c r="Q288" s="193" t="str">
        <f t="shared" si="22"/>
        <v>202709|DPAS|Monthly</v>
      </c>
      <c r="R288" s="193" t="str">
        <f>INDEX(_TARGETS!$H$2:$H$17,MATCH($C288,_TARGETS!$A$2:$A$17,0))</f>
        <v>Pendiente (meta 2027)</v>
      </c>
      <c r="S288" s="193" t="str">
        <f t="shared" si="23"/>
        <v/>
      </c>
      <c r="T288" s="193" t="str">
        <f t="shared" si="24"/>
        <v/>
      </c>
    </row>
    <row r="289" spans="1:20" ht="13.5" customHeight="1" x14ac:dyDescent="0.3">
      <c r="A289" s="245">
        <f>KPIs!$Q$3</f>
        <v>46631</v>
      </c>
      <c r="B289" s="199" t="str">
        <f>KPIs!Q$4</f>
        <v>Compresora</v>
      </c>
      <c r="C289" s="31" t="s">
        <v>39</v>
      </c>
      <c r="D289" s="199" t="str">
        <f>KPIs!$A$26</f>
        <v>1 · Frecuencia de casos con días perdidos · ACUMULADO</v>
      </c>
      <c r="E289" s="31" t="s">
        <v>600</v>
      </c>
      <c r="F289" s="247" t="str">
        <f>IF(ISNUMBER(KPIs!Q26),KPIs!Q26,"")</f>
        <v/>
      </c>
      <c r="G289" s="247">
        <f>IF(ISNUMBER(KPIs!$C$26),KPIs!$C$26,"")</f>
        <v>0</v>
      </c>
      <c r="H289" s="199" t="str">
        <f>IFERROR(INDEX(_TARGETS!$E$2:$E$17,MATCH($C289,_TARGETS!$A$2:$A$17,0))&amp;"","")</f>
        <v>≤</v>
      </c>
      <c r="I289" s="199" t="str">
        <f t="shared" si="20"/>
        <v/>
      </c>
      <c r="J289" s="193" t="str">
        <f t="shared" si="21"/>
        <v>Cumulative</v>
      </c>
      <c r="K289" s="193">
        <f>SUM(Datos!$D33:Q33)</f>
        <v>0</v>
      </c>
      <c r="L289" s="193">
        <f>SUM(Datos!$D14:Q14)</f>
        <v>48332</v>
      </c>
      <c r="M289" s="193">
        <f>INDEX(_TARGETS!$J$2:$J$17,MATCH($C289,_TARGETS!$A$2:$A$17,0))</f>
        <v>1000000</v>
      </c>
      <c r="N289" s="193" t="str">
        <f>INDEX(_TARGETS!$D$2:$D$17,MATCH($C289,_TARGETS!$A$2:$A$17,0))</f>
        <v>casos / 10^6 HH</v>
      </c>
      <c r="O289" s="193" t="str">
        <f>IF(NOT(ISNUMBER(F289)),IF(SUMPRODUCT(($C$2:$C$1300=C289)*($J$2:$J$1300="Monthly")*($A$2:$A$1300&lt;=A289)*ISNUMBER($K$2:$K$1300)*ISNUMBER($L$2:$L$1300)*($L$2:$L$1300=0)*($K$2:$K$1300&gt;0))&gt;0,"INCOMPLETE","MISSING"),O275)</f>
        <v>MISSING</v>
      </c>
      <c r="P289" s="193" t="str">
        <f>INDEX(_TARGETS!$K$2:$K$17,MATCH($C289,_TARGETS!$A$2:$A$17,0))</f>
        <v>OPS (carga manual en Datos)</v>
      </c>
      <c r="Q289" s="193" t="str">
        <f t="shared" si="22"/>
        <v>202709|DAFWCF|Cumulative</v>
      </c>
      <c r="R289" s="193" t="str">
        <f>INDEX(_TARGETS!$H$2:$H$17,MATCH($C289,_TARGETS!$A$2:$A$17,0))</f>
        <v>Definida</v>
      </c>
      <c r="S289" s="193">
        <f t="shared" si="23"/>
        <v>0</v>
      </c>
      <c r="T289" s="193" t="str">
        <f t="shared" si="24"/>
        <v/>
      </c>
    </row>
    <row r="290" spans="1:20" ht="13.5" customHeight="1" x14ac:dyDescent="0.3">
      <c r="A290" s="245">
        <f>KPIs!$Q$3</f>
        <v>46631</v>
      </c>
      <c r="B290" s="199" t="str">
        <f>KPIs!Q$4</f>
        <v>Compresora</v>
      </c>
      <c r="C290" s="31" t="s">
        <v>49</v>
      </c>
      <c r="D290" s="199" t="str">
        <f>KPIs!$A$27</f>
        <v>2 · Frecuencia de casos registrables · ACUMULADO</v>
      </c>
      <c r="E290" s="31" t="s">
        <v>600</v>
      </c>
      <c r="F290" s="247" t="str">
        <f>IF(ISNUMBER(KPIs!Q27),KPIs!Q27,"")</f>
        <v/>
      </c>
      <c r="G290" s="247">
        <f>IF(ISNUMBER(KPIs!$C$27),KPIs!$C$27,"")</f>
        <v>2.35</v>
      </c>
      <c r="H290" s="199" t="str">
        <f>IFERROR(INDEX(_TARGETS!$E$2:$E$17,MATCH($C290,_TARGETS!$A$2:$A$17,0))&amp;"","")</f>
        <v>≤</v>
      </c>
      <c r="I290" s="199" t="str">
        <f t="shared" si="20"/>
        <v/>
      </c>
      <c r="J290" s="193" t="str">
        <f t="shared" si="21"/>
        <v>Cumulative</v>
      </c>
      <c r="K290" s="193">
        <f>SUM(Datos!$D33:Q33)+SUM(Datos!$D34:Q34)+SUM(Datos!$D35:Q35)+SUM(Datos!$D36:Q36)</f>
        <v>0</v>
      </c>
      <c r="L290" s="193">
        <f>SUM(Datos!$D14:Q14)</f>
        <v>48332</v>
      </c>
      <c r="M290" s="193">
        <f>INDEX(_TARGETS!$J$2:$J$17,MATCH($C290,_TARGETS!$A$2:$A$17,0))</f>
        <v>1000000</v>
      </c>
      <c r="N290" s="193" t="str">
        <f>INDEX(_TARGETS!$D$2:$D$17,MATCH($C290,_TARGETS!$A$2:$A$17,0))</f>
        <v>casos / 10^6 HH</v>
      </c>
      <c r="O290" s="193" t="str">
        <f>IF(NOT(ISNUMBER(F290)),IF(SUMPRODUCT(($C$2:$C$1300=C290)*($J$2:$J$1300="Monthly")*($A$2:$A$1300&lt;=A290)*ISNUMBER($K$2:$K$1300)*ISNUMBER($L$2:$L$1300)*($L$2:$L$1300=0)*($K$2:$K$1300&gt;0))&gt;0,"INCOMPLETE","MISSING"),O276)</f>
        <v>MISSING</v>
      </c>
      <c r="P290" s="193" t="str">
        <f>INDEX(_TARGETS!$K$2:$K$17,MATCH($C290,_TARGETS!$A$2:$A$17,0))</f>
        <v>OPS (carga manual en Datos)</v>
      </c>
      <c r="Q290" s="193" t="str">
        <f t="shared" si="22"/>
        <v>202709|TRICF|Cumulative</v>
      </c>
      <c r="R290" s="193" t="str">
        <f>INDEX(_TARGETS!$H$2:$H$17,MATCH($C290,_TARGETS!$A$2:$A$17,0))</f>
        <v>Definida</v>
      </c>
      <c r="S290" s="193">
        <f t="shared" si="23"/>
        <v>0</v>
      </c>
      <c r="T290" s="193" t="str">
        <f t="shared" si="24"/>
        <v/>
      </c>
    </row>
    <row r="291" spans="1:20" ht="13.5" customHeight="1" x14ac:dyDescent="0.3">
      <c r="A291" s="245">
        <f>KPIs!$Q$3</f>
        <v>46631</v>
      </c>
      <c r="B291" s="199" t="str">
        <f>KPIs!Q$4</f>
        <v>Compresora</v>
      </c>
      <c r="C291" s="31" t="s">
        <v>51</v>
      </c>
      <c r="D291" s="199" t="str">
        <f>KPIs!$A$28</f>
        <v>3 · Casos de primeros auxilios · ACUMULADO</v>
      </c>
      <c r="E291" s="31" t="s">
        <v>600</v>
      </c>
      <c r="F291" s="247" t="str">
        <f>IF(ISNUMBER(KPIs!Q28),KPIs!Q28,"")</f>
        <v/>
      </c>
      <c r="G291" s="247" t="str">
        <f>IF(ISNUMBER(KPIs!$C$28),KPIs!$C$28,"")</f>
        <v/>
      </c>
      <c r="H291" s="199" t="str">
        <f>IFERROR(INDEX(_TARGETS!$E$2:$E$17,MATCH($C291,_TARGETS!$A$2:$A$17,0))&amp;"","")</f>
        <v/>
      </c>
      <c r="I291" s="199" t="str">
        <f t="shared" si="20"/>
        <v/>
      </c>
      <c r="J291" s="193" t="str">
        <f t="shared" si="21"/>
        <v>Cumulative</v>
      </c>
      <c r="K291" s="193">
        <f>SUM(Datos!$D37:Q37)</f>
        <v>0</v>
      </c>
      <c r="M291" s="193">
        <f>INDEX(_TARGETS!$J$2:$J$17,MATCH($C291,_TARGETS!$A$2:$A$17,0))</f>
        <v>1</v>
      </c>
      <c r="N291" s="193" t="str">
        <f>INDEX(_TARGETS!$D$2:$D$17,MATCH($C291,_TARGETS!$A$2:$A$17,0))</f>
        <v>casos</v>
      </c>
      <c r="O291" s="193" t="str">
        <f>IF(NOT(ISNUMBER(F291)),IF(SUMPRODUCT(($C$2:$C$1300=C291)*($J$2:$J$1300="Monthly")*($A$2:$A$1300&lt;=A291)*ISNUMBER($K$2:$K$1300)*ISNUMBER($L$2:$L$1300)*($L$2:$L$1300=0)*($K$2:$K$1300&gt;0))&gt;0,"INCOMPLETE","MISSING"),O277)</f>
        <v>MISSING</v>
      </c>
      <c r="P291" s="193" t="str">
        <f>INDEX(_TARGETS!$K$2:$K$17,MATCH($C291,_TARGETS!$A$2:$A$17,0))</f>
        <v>OPS (carga manual en Datos)</v>
      </c>
      <c r="Q291" s="193" t="str">
        <f t="shared" si="22"/>
        <v>202709|FAC|Cumulative</v>
      </c>
      <c r="R291" s="193" t="str">
        <f>INDEX(_TARGETS!$H$2:$H$17,MATCH($C291,_TARGETS!$A$2:$A$17,0))</f>
        <v>Solo reporte</v>
      </c>
      <c r="S291" s="193">
        <f t="shared" si="23"/>
        <v>0</v>
      </c>
      <c r="T291" s="193" t="str">
        <f t="shared" si="24"/>
        <v/>
      </c>
    </row>
    <row r="292" spans="1:20" ht="13.5" customHeight="1" x14ac:dyDescent="0.3">
      <c r="A292" s="245">
        <f>KPIs!$Q$3</f>
        <v>46631</v>
      </c>
      <c r="B292" s="199" t="str">
        <f>KPIs!Q$4</f>
        <v>Compresora</v>
      </c>
      <c r="C292" s="31" t="s">
        <v>57</v>
      </c>
      <c r="D292" s="199" t="str">
        <f>KPIs!$A$29</f>
        <v>4 · Accidentes vehiculares severos · ACUMULADO</v>
      </c>
      <c r="E292" s="31" t="s">
        <v>600</v>
      </c>
      <c r="F292" s="247" t="str">
        <f>IF(ISNUMBER(KPIs!Q29),KPIs!Q29,"")</f>
        <v/>
      </c>
      <c r="G292" s="247" t="str">
        <f>IF(ISNUMBER(KPIs!$C$29),KPIs!$C$29,"")</f>
        <v/>
      </c>
      <c r="H292" s="199" t="str">
        <f>IFERROR(INDEX(_TARGETS!$E$2:$E$17,MATCH($C292,_TARGETS!$A$2:$A$17,0))&amp;"","")</f>
        <v/>
      </c>
      <c r="I292" s="199" t="str">
        <f t="shared" si="20"/>
        <v/>
      </c>
      <c r="J292" s="193" t="str">
        <f t="shared" si="21"/>
        <v>Cumulative</v>
      </c>
      <c r="K292" s="193">
        <f>SUM(Datos!$D39:Q39)+SUM(Datos!$D40:Q40)+SUM(Datos!$D41:Q41)</f>
        <v>0</v>
      </c>
      <c r="L292" s="193">
        <f>SUM(Datos!$D47:Q47)</f>
        <v>172824</v>
      </c>
      <c r="M292" s="193">
        <f>INDEX(_TARGETS!$J$2:$J$17,MATCH($C292,_TARGETS!$A$2:$A$17,0))</f>
        <v>1000000</v>
      </c>
      <c r="N292" s="193" t="str">
        <f>INDEX(_TARGETS!$D$2:$D$17,MATCH($C292,_TARGETS!$A$2:$A$17,0))</f>
        <v>eventos / 10^6 km</v>
      </c>
      <c r="O292" s="193" t="str">
        <f>IF(NOT(ISNUMBER(F292)),IF(SUMPRODUCT(($C$2:$C$1300=C292)*($J$2:$J$1300="Monthly")*($A$2:$A$1300&lt;=A292)*ISNUMBER($K$2:$K$1300)*ISNUMBER($L$2:$L$1300)*($L$2:$L$1300=0)*($K$2:$K$1300&gt;0))&gt;0,"INCOMPLETE","MISSING"),O278)</f>
        <v>MISSING</v>
      </c>
      <c r="P292" s="193" t="str">
        <f>INDEX(_TARGETS!$K$2:$K$17,MATCH($C292,_TARGETS!$A$2:$A$17,0))</f>
        <v>OPS (eventos) + Full Control GPS (km) - carga manual en Datos</v>
      </c>
      <c r="Q292" s="193" t="str">
        <f t="shared" si="22"/>
        <v>202709|SVCR|Cumulative</v>
      </c>
      <c r="R292" s="193" t="str">
        <f>INDEX(_TARGETS!$H$2:$H$17,MATCH($C292,_TARGETS!$A$2:$A$17,0))</f>
        <v>Solo reporte</v>
      </c>
      <c r="S292" s="193">
        <f t="shared" si="23"/>
        <v>0</v>
      </c>
      <c r="T292" s="193" t="str">
        <f t="shared" si="24"/>
        <v/>
      </c>
    </row>
    <row r="293" spans="1:20" ht="13.5" customHeight="1" x14ac:dyDescent="0.3">
      <c r="A293" s="245">
        <f>KPIs!$Q$3</f>
        <v>46631</v>
      </c>
      <c r="B293" s="199" t="str">
        <f>KPIs!Q$4</f>
        <v>Compresora</v>
      </c>
      <c r="C293" s="31" t="s">
        <v>61</v>
      </c>
      <c r="D293" s="199" t="str">
        <f>KPIs!$A$30</f>
        <v>5 · Accidentes vehiculares totales · ACUMULADO</v>
      </c>
      <c r="E293" s="31" t="s">
        <v>600</v>
      </c>
      <c r="F293" s="247" t="str">
        <f>IF(ISNUMBER(KPIs!Q30),KPIs!Q30,"")</f>
        <v/>
      </c>
      <c r="G293" s="247">
        <f>IF(ISNUMBER(KPIs!$C$30),KPIs!$C$30,"")</f>
        <v>0.79</v>
      </c>
      <c r="H293" s="199" t="str">
        <f>IFERROR(INDEX(_TARGETS!$E$2:$E$17,MATCH($C293,_TARGETS!$A$2:$A$17,0))&amp;"","")</f>
        <v>≤</v>
      </c>
      <c r="I293" s="199" t="str">
        <f t="shared" si="20"/>
        <v/>
      </c>
      <c r="J293" s="193" t="str">
        <f t="shared" si="21"/>
        <v>Cumulative</v>
      </c>
      <c r="K293" s="193">
        <f>SUM(Datos!$D39:Q39)+SUM(Datos!$D40:Q40)+SUM(Datos!$D41:Q41)+SUM(Datos!$D42:Q42)</f>
        <v>0</v>
      </c>
      <c r="L293" s="193">
        <f>SUM(Datos!$D47:Q47)</f>
        <v>172824</v>
      </c>
      <c r="M293" s="193">
        <f>INDEX(_TARGETS!$J$2:$J$17,MATCH($C293,_TARGETS!$A$2:$A$17,0))</f>
        <v>1000000</v>
      </c>
      <c r="N293" s="193" t="str">
        <f>INDEX(_TARGETS!$D$2:$D$17,MATCH($C293,_TARGETS!$A$2:$A$17,0))</f>
        <v>eventos / 10^6 km</v>
      </c>
      <c r="O293" s="193" t="str">
        <f>IF(NOT(ISNUMBER(F293)),IF(SUMPRODUCT(($C$2:$C$1300=C293)*($J$2:$J$1300="Monthly")*($A$2:$A$1300&lt;=A293)*ISNUMBER($K$2:$K$1300)*ISNUMBER($L$2:$L$1300)*($L$2:$L$1300=0)*($K$2:$K$1300&gt;0))&gt;0,"INCOMPLETE","MISSING"),O279)</f>
        <v>MISSING</v>
      </c>
      <c r="P293" s="193" t="str">
        <f>INDEX(_TARGETS!$K$2:$K$17,MATCH($C293,_TARGETS!$A$2:$A$17,0))</f>
        <v>OPS (eventos) + Full Control GPS (km) - carga manual en Datos</v>
      </c>
      <c r="Q293" s="193" t="str">
        <f t="shared" si="22"/>
        <v>202709|TVCR|Cumulative</v>
      </c>
      <c r="R293" s="193" t="str">
        <f>INDEX(_TARGETS!$H$2:$H$17,MATCH($C293,_TARGETS!$A$2:$A$17,0))</f>
        <v>Definida</v>
      </c>
      <c r="S293" s="193">
        <f t="shared" si="23"/>
        <v>0</v>
      </c>
      <c r="T293" s="193" t="str">
        <f t="shared" si="24"/>
        <v/>
      </c>
    </row>
    <row r="294" spans="1:20" ht="13.5" customHeight="1" x14ac:dyDescent="0.3">
      <c r="A294" s="245">
        <f>KPIs!$Q$3</f>
        <v>46631</v>
      </c>
      <c r="B294" s="199" t="str">
        <f>KPIs!Q$4</f>
        <v>Compresora</v>
      </c>
      <c r="C294" s="31" t="s">
        <v>96</v>
      </c>
      <c r="D294" s="199" t="str">
        <f>KPIs!$A$33</f>
        <v>C1 · % de desvíos detectados de gravedad Alta</v>
      </c>
      <c r="E294" s="31" t="s">
        <v>599</v>
      </c>
      <c r="F294" s="247" t="str">
        <f>IF(ISNUMBER(KPIs!Q33),KPIs!Q33,"")</f>
        <v/>
      </c>
      <c r="G294" s="247" t="str">
        <f>IF(ISNUMBER(KPIs!$C$33),KPIs!$C$33,"")</f>
        <v/>
      </c>
      <c r="H294" s="199" t="str">
        <f>IFERROR(INDEX(_TARGETS!$E$2:$E$17,MATCH($C294,_TARGETS!$A$2:$A$17,0))&amp;"","")</f>
        <v/>
      </c>
      <c r="I294" s="199" t="str">
        <f t="shared" si="20"/>
        <v/>
      </c>
      <c r="J294" s="193" t="str">
        <f t="shared" si="21"/>
        <v>Monthly</v>
      </c>
      <c r="K294" s="248">
        <f>Datos!Q71</f>
        <v>0</v>
      </c>
      <c r="L294" s="193">
        <f>Datos!Q71+Datos!Q72+Datos!Q73</f>
        <v>0</v>
      </c>
      <c r="M294" s="193">
        <f>INDEX(_TARGETS!$J$2:$J$17,MATCH($C294,_TARGETS!$A$2:$A$17,0))</f>
        <v>1</v>
      </c>
      <c r="N294" s="193" t="str">
        <f>INDEX(_TARGETS!$D$2:$D$17,MATCH($C294,_TARGETS!$A$2:$A$17,0))</f>
        <v>% (fracción)</v>
      </c>
      <c r="O294" s="193" t="str">
        <f>IF(NOT(ISNUMBER(F294)),"MISSING","OK")</f>
        <v>MISSING</v>
      </c>
      <c r="P294" s="193" t="str">
        <f>INDEX(_TARGETS!$K$2:$K$17,MATCH($C294,_TARGETS!$A$2:$A$17,0))</f>
        <v>Plant Findings (hoja Observaciones-SMP)</v>
      </c>
      <c r="Q294" s="193" t="str">
        <f t="shared" si="22"/>
        <v>202709|HAL_ALTA_PCT|Monthly</v>
      </c>
      <c r="R294" s="193" t="str">
        <f>INDEX(_TARGETS!$H$2:$H$17,MATCH($C294,_TARGETS!$A$2:$A$17,0))</f>
        <v>Solo reporte</v>
      </c>
      <c r="S294" s="193" t="str">
        <f t="shared" si="23"/>
        <v/>
      </c>
      <c r="T294" s="193" t="str">
        <f t="shared" si="24"/>
        <v/>
      </c>
    </row>
    <row r="295" spans="1:20" ht="13.5" customHeight="1" x14ac:dyDescent="0.3">
      <c r="A295" s="245">
        <f>KPIs!$Q$3</f>
        <v>46631</v>
      </c>
      <c r="B295" s="199" t="str">
        <f>KPIs!Q$4</f>
        <v>Compresora</v>
      </c>
      <c r="C295" s="31" t="s">
        <v>98</v>
      </c>
      <c r="D295" s="199" t="str">
        <f>KPIs!$A$34</f>
        <v>C2 · Detenciones de tareas aplicadas</v>
      </c>
      <c r="E295" s="31" t="s">
        <v>599</v>
      </c>
      <c r="F295" s="247" t="str">
        <f>IF(ISNUMBER(KPIs!Q34),KPIs!Q34,"")</f>
        <v/>
      </c>
      <c r="G295" s="247" t="str">
        <f>IF(ISNUMBER(KPIs!$C$34),KPIs!$C$34,"")</f>
        <v/>
      </c>
      <c r="H295" s="199" t="str">
        <f>IFERROR(INDEX(_TARGETS!$E$2:$E$17,MATCH($C295,_TARGETS!$A$2:$A$17,0))&amp;"","")</f>
        <v/>
      </c>
      <c r="I295" s="199" t="str">
        <f t="shared" si="20"/>
        <v/>
      </c>
      <c r="J295" s="193" t="str">
        <f t="shared" si="21"/>
        <v>Monthly</v>
      </c>
      <c r="K295" s="248">
        <f>Datos!Q75</f>
        <v>0</v>
      </c>
      <c r="M295" s="193">
        <f>INDEX(_TARGETS!$J$2:$J$17,MATCH($C295,_TARGETS!$A$2:$A$17,0))</f>
        <v>1</v>
      </c>
      <c r="N295" s="193" t="str">
        <f>INDEX(_TARGETS!$D$2:$D$17,MATCH($C295,_TARGETS!$A$2:$A$17,0))</f>
        <v>u</v>
      </c>
      <c r="O295" s="193" t="str">
        <f>IF(NOT(ISNUMBER(F295)),"MISSING","OK")</f>
        <v>MISSING</v>
      </c>
      <c r="P295" s="193" t="str">
        <f>INDEX(_TARGETS!$K$2:$K$17,MATCH($C295,_TARGETS!$A$2:$A$17,0))</f>
        <v>Plant Findings (hoja Observaciones-SMP)</v>
      </c>
      <c r="Q295" s="193" t="str">
        <f t="shared" si="22"/>
        <v>202709|DET|Monthly</v>
      </c>
      <c r="R295" s="193" t="str">
        <f>INDEX(_TARGETS!$H$2:$H$17,MATCH($C295,_TARGETS!$A$2:$A$17,0))</f>
        <v>Solo reporte</v>
      </c>
      <c r="S295" s="193" t="str">
        <f t="shared" si="23"/>
        <v/>
      </c>
      <c r="T295" s="193" t="str">
        <f t="shared" si="24"/>
        <v/>
      </c>
    </row>
    <row r="296" spans="1:20" ht="13.5" customHeight="1" x14ac:dyDescent="0.3">
      <c r="A296" s="245">
        <f>KPIs!$R$3</f>
        <v>46661</v>
      </c>
      <c r="B296" s="199" t="str">
        <f>KPIs!R$4</f>
        <v>Compresora</v>
      </c>
      <c r="C296" s="31" t="s">
        <v>39</v>
      </c>
      <c r="D296" s="199" t="str">
        <f>KPIs!$A$6</f>
        <v>1 · Frecuencia de casos con días perdidos</v>
      </c>
      <c r="E296" s="31" t="s">
        <v>599</v>
      </c>
      <c r="F296" s="247" t="str">
        <f>IF(ISNUMBER(KPIs!R6),KPIs!R6,"")</f>
        <v/>
      </c>
      <c r="G296" s="247">
        <f>IF(ISNUMBER(KPIs!$C$6),KPIs!$C$6,"")</f>
        <v>0</v>
      </c>
      <c r="H296" s="199" t="str">
        <f>IFERROR(INDEX(_TARGETS!$E$2:$E$17,MATCH($C296,_TARGETS!$A$2:$A$17,0))&amp;"","")</f>
        <v>≤</v>
      </c>
      <c r="I296" s="199" t="str">
        <f t="shared" si="20"/>
        <v/>
      </c>
      <c r="J296" s="193" t="str">
        <f t="shared" si="21"/>
        <v>Monthly</v>
      </c>
      <c r="K296" s="248">
        <f>Datos!R33</f>
        <v>0</v>
      </c>
      <c r="L296" s="248">
        <f>Datos!R14</f>
        <v>0</v>
      </c>
      <c r="M296" s="193">
        <f>INDEX(_TARGETS!$J$2:$J$17,MATCH($C296,_TARGETS!$A$2:$A$17,0))</f>
        <v>1000000</v>
      </c>
      <c r="N296" s="193" t="str">
        <f>INDEX(_TARGETS!$D$2:$D$17,MATCH($C296,_TARGETS!$A$2:$A$17,0))</f>
        <v>casos / 10^6 HH</v>
      </c>
      <c r="O296" s="193" t="str">
        <f>IF(NOT(ISNUMBER(F296)),"MISSING",IF((COUNTBLANK(Datos!R12)+COUNTBLANK(Datos!R13)+COUNTBLANK(Datos!R33))&gt;0,"INCOMPLETE","OK"))</f>
        <v>MISSING</v>
      </c>
      <c r="P296" s="193" t="str">
        <f>INDEX(_TARGETS!$K$2:$K$17,MATCH($C296,_TARGETS!$A$2:$A$17,0))</f>
        <v>OPS (carga manual en Datos)</v>
      </c>
      <c r="Q296" s="193" t="str">
        <f t="shared" si="22"/>
        <v>202710|DAFWCF|Monthly</v>
      </c>
      <c r="R296" s="193" t="str">
        <f>INDEX(_TARGETS!$H$2:$H$17,MATCH($C296,_TARGETS!$A$2:$A$17,0))</f>
        <v>Definida</v>
      </c>
      <c r="S296" s="193" t="str">
        <f t="shared" si="23"/>
        <v/>
      </c>
      <c r="T296" s="193" t="str">
        <f t="shared" si="24"/>
        <v/>
      </c>
    </row>
    <row r="297" spans="1:20" ht="13.5" customHeight="1" x14ac:dyDescent="0.3">
      <c r="A297" s="245">
        <f>KPIs!$R$3</f>
        <v>46661</v>
      </c>
      <c r="B297" s="199" t="str">
        <f>KPIs!R$4</f>
        <v>Compresora</v>
      </c>
      <c r="C297" s="31" t="s">
        <v>49</v>
      </c>
      <c r="D297" s="199" t="str">
        <f>KPIs!$A$7</f>
        <v>2 · Frecuencia de casos registrables</v>
      </c>
      <c r="E297" s="31" t="s">
        <v>599</v>
      </c>
      <c r="F297" s="247" t="str">
        <f>IF(ISNUMBER(KPIs!R7),KPIs!R7,"")</f>
        <v/>
      </c>
      <c r="G297" s="247">
        <f>IF(ISNUMBER(KPIs!$C$7),KPIs!$C$7,"")</f>
        <v>2.35</v>
      </c>
      <c r="H297" s="199" t="str">
        <f>IFERROR(INDEX(_TARGETS!$E$2:$E$17,MATCH($C297,_TARGETS!$A$2:$A$17,0))&amp;"","")</f>
        <v>≤</v>
      </c>
      <c r="I297" s="199" t="str">
        <f t="shared" si="20"/>
        <v/>
      </c>
      <c r="J297" s="193" t="str">
        <f t="shared" si="21"/>
        <v>Monthly</v>
      </c>
      <c r="K297" s="193">
        <f>Datos!R33+Datos!R34+Datos!R35+Datos!R36</f>
        <v>0</v>
      </c>
      <c r="L297" s="248">
        <f>Datos!R14</f>
        <v>0</v>
      </c>
      <c r="M297" s="193">
        <f>INDEX(_TARGETS!$J$2:$J$17,MATCH($C297,_TARGETS!$A$2:$A$17,0))</f>
        <v>1000000</v>
      </c>
      <c r="N297" s="193" t="str">
        <f>INDEX(_TARGETS!$D$2:$D$17,MATCH($C297,_TARGETS!$A$2:$A$17,0))</f>
        <v>casos / 10^6 HH</v>
      </c>
      <c r="O297" s="193" t="str">
        <f>IF(NOT(ISNUMBER(F297)),"MISSING",IF((COUNTBLANK(Datos!R12)+COUNTBLANK(Datos!R13)+COUNTBLANK(Datos!R33)+COUNTBLANK(Datos!R34)+COUNTBLANK(Datos!R35)+COUNTBLANK(Datos!R36))&gt;0,"INCOMPLETE","OK"))</f>
        <v>MISSING</v>
      </c>
      <c r="P297" s="193" t="str">
        <f>INDEX(_TARGETS!$K$2:$K$17,MATCH($C297,_TARGETS!$A$2:$A$17,0))</f>
        <v>OPS (carga manual en Datos)</v>
      </c>
      <c r="Q297" s="193" t="str">
        <f t="shared" si="22"/>
        <v>202710|TRICF|Monthly</v>
      </c>
      <c r="R297" s="193" t="str">
        <f>INDEX(_TARGETS!$H$2:$H$17,MATCH($C297,_TARGETS!$A$2:$A$17,0))</f>
        <v>Definida</v>
      </c>
      <c r="S297" s="193" t="str">
        <f t="shared" si="23"/>
        <v/>
      </c>
      <c r="T297" s="193" t="str">
        <f t="shared" si="24"/>
        <v/>
      </c>
    </row>
    <row r="298" spans="1:20" ht="13.5" customHeight="1" x14ac:dyDescent="0.3">
      <c r="A298" s="245">
        <f>KPIs!$R$3</f>
        <v>46661</v>
      </c>
      <c r="B298" s="199" t="str">
        <f>KPIs!R$4</f>
        <v>Compresora</v>
      </c>
      <c r="C298" s="31" t="s">
        <v>51</v>
      </c>
      <c r="D298" s="199" t="str">
        <f>KPIs!$A$8</f>
        <v>3 · Casos de primeros auxilios</v>
      </c>
      <c r="E298" s="31" t="s">
        <v>599</v>
      </c>
      <c r="F298" s="247" t="str">
        <f>IF(ISNUMBER(KPIs!R8),KPIs!R8,"")</f>
        <v/>
      </c>
      <c r="G298" s="247" t="str">
        <f>IF(ISNUMBER(KPIs!$C$8),KPIs!$C$8,"")</f>
        <v/>
      </c>
      <c r="H298" s="199" t="str">
        <f>IFERROR(INDEX(_TARGETS!$E$2:$E$17,MATCH($C298,_TARGETS!$A$2:$A$17,0))&amp;"","")</f>
        <v/>
      </c>
      <c r="I298" s="199" t="str">
        <f t="shared" si="20"/>
        <v/>
      </c>
      <c r="J298" s="193" t="str">
        <f t="shared" si="21"/>
        <v>Monthly</v>
      </c>
      <c r="K298" s="248">
        <f>Datos!R37</f>
        <v>0</v>
      </c>
      <c r="M298" s="193">
        <f>INDEX(_TARGETS!$J$2:$J$17,MATCH($C298,_TARGETS!$A$2:$A$17,0))</f>
        <v>1</v>
      </c>
      <c r="N298" s="193" t="str">
        <f>INDEX(_TARGETS!$D$2:$D$17,MATCH($C298,_TARGETS!$A$2:$A$17,0))</f>
        <v>casos</v>
      </c>
      <c r="O298" s="193" t="str">
        <f>IF(NOT(ISNUMBER(F298)),"MISSING",IF((COUNTBLANK(Datos!R12)+COUNTBLANK(Datos!R13)+COUNTBLANK(Datos!R37))&gt;0,"INCOMPLETE","OK"))</f>
        <v>MISSING</v>
      </c>
      <c r="P298" s="193" t="str">
        <f>INDEX(_TARGETS!$K$2:$K$17,MATCH($C298,_TARGETS!$A$2:$A$17,0))</f>
        <v>OPS (carga manual en Datos)</v>
      </c>
      <c r="Q298" s="193" t="str">
        <f t="shared" si="22"/>
        <v>202710|FAC|Monthly</v>
      </c>
      <c r="R298" s="193" t="str">
        <f>INDEX(_TARGETS!$H$2:$H$17,MATCH($C298,_TARGETS!$A$2:$A$17,0))</f>
        <v>Solo reporte</v>
      </c>
      <c r="S298" s="193" t="str">
        <f t="shared" si="23"/>
        <v/>
      </c>
      <c r="T298" s="193" t="str">
        <f t="shared" si="24"/>
        <v/>
      </c>
    </row>
    <row r="299" spans="1:20" ht="13.5" customHeight="1" x14ac:dyDescent="0.3">
      <c r="A299" s="245">
        <f>KPIs!$R$3</f>
        <v>46661</v>
      </c>
      <c r="B299" s="199" t="str">
        <f>KPIs!R$4</f>
        <v>Compresora</v>
      </c>
      <c r="C299" s="31" t="s">
        <v>57</v>
      </c>
      <c r="D299" s="199" t="str">
        <f>KPIs!$A$10</f>
        <v>4 · Accidentes vehiculares severos por millón de km</v>
      </c>
      <c r="E299" s="31" t="s">
        <v>599</v>
      </c>
      <c r="F299" s="247" t="str">
        <f>IF(ISNUMBER(KPIs!R10),KPIs!R10,"")</f>
        <v/>
      </c>
      <c r="G299" s="247" t="str">
        <f>IF(ISNUMBER(KPIs!$C$10),KPIs!$C$10,"")</f>
        <v/>
      </c>
      <c r="H299" s="199" t="str">
        <f>IFERROR(INDEX(_TARGETS!$E$2:$E$17,MATCH($C299,_TARGETS!$A$2:$A$17,0))&amp;"","")</f>
        <v/>
      </c>
      <c r="I299" s="199" t="str">
        <f t="shared" si="20"/>
        <v/>
      </c>
      <c r="J299" s="193" t="str">
        <f t="shared" si="21"/>
        <v>Monthly</v>
      </c>
      <c r="K299" s="193">
        <f>Datos!R39+Datos!R40+Datos!R41</f>
        <v>0</v>
      </c>
      <c r="L299" s="248">
        <f>Datos!R47</f>
        <v>0</v>
      </c>
      <c r="M299" s="193">
        <f>INDEX(_TARGETS!$J$2:$J$17,MATCH($C299,_TARGETS!$A$2:$A$17,0))</f>
        <v>1000000</v>
      </c>
      <c r="N299" s="193" t="str">
        <f>INDEX(_TARGETS!$D$2:$D$17,MATCH($C299,_TARGETS!$A$2:$A$17,0))</f>
        <v>eventos / 10^6 km</v>
      </c>
      <c r="O299" s="193" t="str">
        <f>IF(NOT(ISNUMBER(F299)),"MISSING",IF((COUNTBLANK(Datos!R44)+COUNTBLANK(Datos!R45)+COUNTBLANK(Datos!R46)+COUNTBLANK(Datos!R39)+COUNTBLANK(Datos!R40)+COUNTBLANK(Datos!R41))&gt;0,"INCOMPLETE","OK"))</f>
        <v>MISSING</v>
      </c>
      <c r="P299" s="193" t="str">
        <f>INDEX(_TARGETS!$K$2:$K$17,MATCH($C299,_TARGETS!$A$2:$A$17,0))</f>
        <v>OPS (eventos) + Full Control GPS (km) - carga manual en Datos</v>
      </c>
      <c r="Q299" s="193" t="str">
        <f t="shared" si="22"/>
        <v>202710|SVCR|Monthly</v>
      </c>
      <c r="R299" s="193" t="str">
        <f>INDEX(_TARGETS!$H$2:$H$17,MATCH($C299,_TARGETS!$A$2:$A$17,0))</f>
        <v>Solo reporte</v>
      </c>
      <c r="S299" s="193" t="str">
        <f t="shared" si="23"/>
        <v/>
      </c>
      <c r="T299" s="193" t="str">
        <f t="shared" si="24"/>
        <v/>
      </c>
    </row>
    <row r="300" spans="1:20" ht="13.5" customHeight="1" x14ac:dyDescent="0.3">
      <c r="A300" s="245">
        <f>KPIs!$R$3</f>
        <v>46661</v>
      </c>
      <c r="B300" s="199" t="str">
        <f>KPIs!R$4</f>
        <v>Compresora</v>
      </c>
      <c r="C300" s="31" t="s">
        <v>61</v>
      </c>
      <c r="D300" s="199" t="str">
        <f>KPIs!$A$11</f>
        <v>5 · Accidentes vehiculares totales por millón de km</v>
      </c>
      <c r="E300" s="31" t="s">
        <v>599</v>
      </c>
      <c r="F300" s="247" t="str">
        <f>IF(ISNUMBER(KPIs!R11),KPIs!R11,"")</f>
        <v/>
      </c>
      <c r="G300" s="247">
        <f>IF(ISNUMBER(KPIs!$C$11),KPIs!$C$11,"")</f>
        <v>0.79</v>
      </c>
      <c r="H300" s="199" t="str">
        <f>IFERROR(INDEX(_TARGETS!$E$2:$E$17,MATCH($C300,_TARGETS!$A$2:$A$17,0))&amp;"","")</f>
        <v>≤</v>
      </c>
      <c r="I300" s="199" t="str">
        <f t="shared" si="20"/>
        <v/>
      </c>
      <c r="J300" s="193" t="str">
        <f t="shared" si="21"/>
        <v>Monthly</v>
      </c>
      <c r="K300" s="193">
        <f>Datos!R39+Datos!R40+Datos!R41+Datos!R42</f>
        <v>0</v>
      </c>
      <c r="L300" s="248">
        <f>Datos!R47</f>
        <v>0</v>
      </c>
      <c r="M300" s="193">
        <f>INDEX(_TARGETS!$J$2:$J$17,MATCH($C300,_TARGETS!$A$2:$A$17,0))</f>
        <v>1000000</v>
      </c>
      <c r="N300" s="193" t="str">
        <f>INDEX(_TARGETS!$D$2:$D$17,MATCH($C300,_TARGETS!$A$2:$A$17,0))</f>
        <v>eventos / 10^6 km</v>
      </c>
      <c r="O300" s="193" t="str">
        <f>IF(NOT(ISNUMBER(F300)),"MISSING",IF((COUNTBLANK(Datos!R44)+COUNTBLANK(Datos!R45)+COUNTBLANK(Datos!R46)+COUNTBLANK(Datos!R39)+COUNTBLANK(Datos!R40)+COUNTBLANK(Datos!R41)+COUNTBLANK(Datos!R42))&gt;0,"INCOMPLETE","OK"))</f>
        <v>MISSING</v>
      </c>
      <c r="P300" s="193" t="str">
        <f>INDEX(_TARGETS!$K$2:$K$17,MATCH($C300,_TARGETS!$A$2:$A$17,0))</f>
        <v>OPS (eventos) + Full Control GPS (km) - carga manual en Datos</v>
      </c>
      <c r="Q300" s="193" t="str">
        <f t="shared" si="22"/>
        <v>202710|TVCR|Monthly</v>
      </c>
      <c r="R300" s="193" t="str">
        <f>INDEX(_TARGETS!$H$2:$H$17,MATCH($C300,_TARGETS!$A$2:$A$17,0))</f>
        <v>Definida</v>
      </c>
      <c r="S300" s="193" t="str">
        <f t="shared" si="23"/>
        <v/>
      </c>
      <c r="T300" s="193" t="str">
        <f t="shared" si="24"/>
        <v/>
      </c>
    </row>
    <row r="301" spans="1:20" ht="13.5" customHeight="1" x14ac:dyDescent="0.3">
      <c r="A301" s="245">
        <f>KPIs!$R$3</f>
        <v>46661</v>
      </c>
      <c r="B301" s="199" t="str">
        <f>KPIs!R$4</f>
        <v>Compresora</v>
      </c>
      <c r="C301" s="31" t="s">
        <v>63</v>
      </c>
      <c r="D301" s="199" t="str">
        <f>KPIs!$A$13</f>
        <v>6 · Observaciones de seguridad por persona</v>
      </c>
      <c r="E301" s="31" t="s">
        <v>599</v>
      </c>
      <c r="F301" s="247" t="str">
        <f>IF(ISNUMBER(KPIs!R13),KPIs!R13,"")</f>
        <v/>
      </c>
      <c r="G301" s="247">
        <f>IF(ISNUMBER(KPIs!$C$13),KPIs!$C$13,"")</f>
        <v>1</v>
      </c>
      <c r="H301" s="199" t="str">
        <f>IFERROR(INDEX(_TARGETS!$E$2:$E$17,MATCH($C301,_TARGETS!$A$2:$A$17,0))&amp;"","")</f>
        <v>≥</v>
      </c>
      <c r="I301" s="199" t="str">
        <f t="shared" si="20"/>
        <v/>
      </c>
      <c r="J301" s="193" t="str">
        <f t="shared" si="21"/>
        <v>Monthly</v>
      </c>
      <c r="K301" s="248" t="str">
        <f>IF(COUNT(Datos!R28:R29)=0,"",SUM(Datos!R28:R29))</f>
        <v/>
      </c>
      <c r="L301" s="248">
        <f>Datos!R11</f>
        <v>0</v>
      </c>
      <c r="M301" s="193">
        <f>INDEX(_TARGETS!$J$2:$J$17,MATCH($C301,_TARGETS!$A$2:$A$17,0))</f>
        <v>1</v>
      </c>
      <c r="N301" s="193" t="str">
        <f>INDEX(_TARGETS!$D$2:$D$17,MATCH($C301,_TARGETS!$A$2:$A$17,0))</f>
        <v>obs / persona</v>
      </c>
      <c r="O301" s="193" t="str">
        <f>IF(NOT(ISNUMBER(F301)),"MISSING",IF((COUNTBLANK(Datos!R9)+COUNTBLANK(Datos!R10)+IF(COUNT(Datos!R28:R29)=0,1,0))&gt;0,"INCOMPLETE","OK"))</f>
        <v>MISSING</v>
      </c>
      <c r="P301" s="193" t="str">
        <f>INDEX(_TARGETS!$K$2:$K$17,MATCH($C301,_TARGETS!$A$2:$A$17,0))</f>
        <v>OPS (carga manual en Datos)</v>
      </c>
      <c r="Q301" s="193" t="str">
        <f t="shared" si="22"/>
        <v>202710|OBS|Monthly</v>
      </c>
      <c r="R301" s="193" t="str">
        <f>INDEX(_TARGETS!$H$2:$H$17,MATCH($C301,_TARGETS!$A$2:$A$17,0))</f>
        <v>PROVISORIA · referencia del subcontratista (OPS: 1 obs/persona); meta y población en definición</v>
      </c>
      <c r="S301" s="193" t="str">
        <f t="shared" si="23"/>
        <v/>
      </c>
      <c r="T301" s="193" t="str">
        <f t="shared" si="24"/>
        <v/>
      </c>
    </row>
    <row r="302" spans="1:20" ht="13.5" customHeight="1" x14ac:dyDescent="0.3">
      <c r="A302" s="245">
        <f>KPIs!$R$3</f>
        <v>46661</v>
      </c>
      <c r="B302" s="199" t="str">
        <f>KPIs!R$4</f>
        <v>Compresora</v>
      </c>
      <c r="C302" s="31" t="s">
        <v>71</v>
      </c>
      <c r="D302" s="199" t="str">
        <f>KPIs!$A$14</f>
        <v>7 · Investigaciones de accidentes: días promedio de cierre</v>
      </c>
      <c r="E302" s="31" t="s">
        <v>599</v>
      </c>
      <c r="F302" s="247" t="str">
        <f>IF(ISNUMBER(KPIs!R14),KPIs!R14,"")</f>
        <v/>
      </c>
      <c r="G302" s="247">
        <f>IF(ISNUMBER(KPIs!$C$14),KPIs!$C$14,"")</f>
        <v>20</v>
      </c>
      <c r="H302" s="199" t="str">
        <f>IFERROR(INDEX(_TARGETS!$E$2:$E$17,MATCH($C302,_TARGETS!$A$2:$A$17,0))&amp;"","")</f>
        <v>≤</v>
      </c>
      <c r="I302" s="199" t="str">
        <f t="shared" si="20"/>
        <v/>
      </c>
      <c r="J302" s="193" t="str">
        <f t="shared" si="21"/>
        <v>Monthly</v>
      </c>
      <c r="K302" s="248">
        <f>Datos!R31</f>
        <v>0</v>
      </c>
      <c r="L302" s="248">
        <f>Datos!R30</f>
        <v>0</v>
      </c>
      <c r="M302" s="193">
        <f>INDEX(_TARGETS!$J$2:$J$17,MATCH($C302,_TARGETS!$A$2:$A$17,0))</f>
        <v>1</v>
      </c>
      <c r="N302" s="193" t="str">
        <f>INDEX(_TARGETS!$D$2:$D$17,MATCH($C302,_TARGETS!$A$2:$A$17,0))</f>
        <v>días</v>
      </c>
      <c r="O302" s="193" t="str">
        <f>IF(NOT(ISNUMBER(F302)),"MISSING",IF((COUNTBLANK(Datos!R30)+COUNTBLANK(Datos!R31))&gt;0,"INCOMPLETE","OK"))</f>
        <v>MISSING</v>
      </c>
      <c r="P302" s="193" t="str">
        <f>INDEX(_TARGETS!$K$2:$K$17,MATCH($C302,_TARGETS!$A$2:$A$17,0))</f>
        <v>OPS (carga manual en Datos)</v>
      </c>
      <c r="Q302" s="193" t="str">
        <f t="shared" si="22"/>
        <v>202710|INV|Monthly</v>
      </c>
      <c r="R302" s="193" t="str">
        <f>INDEX(_TARGETS!$H$2:$H$17,MATCH($C302,_TARGETS!$A$2:$A$17,0))</f>
        <v>Definida</v>
      </c>
      <c r="S302" s="193" t="str">
        <f t="shared" si="23"/>
        <v/>
      </c>
      <c r="T302" s="193" t="str">
        <f t="shared" si="24"/>
        <v/>
      </c>
    </row>
    <row r="303" spans="1:20" ht="13.5" customHeight="1" x14ac:dyDescent="0.3">
      <c r="A303" s="245">
        <f>KPIs!$R$3</f>
        <v>46661</v>
      </c>
      <c r="B303" s="199" t="str">
        <f>KPIs!R$4</f>
        <v>Compresora</v>
      </c>
      <c r="C303" s="31" t="s">
        <v>76</v>
      </c>
      <c r="D303" s="199" t="str">
        <f>KPIs!$A$16</f>
        <v>8 · % de capacitación en seguridad</v>
      </c>
      <c r="E303" s="31" t="s">
        <v>599</v>
      </c>
      <c r="F303" s="247" t="str">
        <f>IF(ISNUMBER(KPIs!R16),KPIs!R16,"")</f>
        <v/>
      </c>
      <c r="G303" s="247">
        <f>IF(ISNUMBER(KPIs!$C$16),KPIs!$C$16,"")</f>
        <v>0.01</v>
      </c>
      <c r="H303" s="199" t="str">
        <f>IFERROR(INDEX(_TARGETS!$E$2:$E$17,MATCH($C303,_TARGETS!$A$2:$A$17,0))&amp;"","")</f>
        <v>≥</v>
      </c>
      <c r="I303" s="199" t="str">
        <f t="shared" si="20"/>
        <v/>
      </c>
      <c r="J303" s="193" t="str">
        <f t="shared" si="21"/>
        <v>Monthly</v>
      </c>
      <c r="K303" s="248">
        <f>Datos!R18</f>
        <v>0</v>
      </c>
      <c r="L303" s="248">
        <f>Datos!R14</f>
        <v>0</v>
      </c>
      <c r="M303" s="193">
        <f>INDEX(_TARGETS!$J$2:$J$17,MATCH($C303,_TARGETS!$A$2:$A$17,0))</f>
        <v>1</v>
      </c>
      <c r="N303" s="193" t="str">
        <f>INDEX(_TARGETS!$D$2:$D$17,MATCH($C303,_TARGETS!$A$2:$A$17,0))</f>
        <v>% (fracción)</v>
      </c>
      <c r="O303" s="193" t="str">
        <f>IF(NOT(ISNUMBER(F303)),"MISSING",IF((COUNTBLANK(Datos!R16)+COUNTBLANK(Datos!R17)+COUNTBLANK(Datos!R12)+COUNTBLANK(Datos!R13))&gt;0,"INCOMPLETE","OK"))</f>
        <v>MISSING</v>
      </c>
      <c r="P303" s="193" t="str">
        <f>INDEX(_TARGETS!$K$2:$K$17,MATCH($C303,_TARGETS!$A$2:$A$17,0))</f>
        <v>OPS (carga manual en Datos)</v>
      </c>
      <c r="Q303" s="193" t="str">
        <f t="shared" si="22"/>
        <v>202710|HCS|Monthly</v>
      </c>
      <c r="R303" s="193" t="str">
        <f>INDEX(_TARGETS!$H$2:$H$17,MATCH($C303,_TARGETS!$A$2:$A$17,0))</f>
        <v>Definida</v>
      </c>
      <c r="S303" s="193" t="str">
        <f t="shared" si="23"/>
        <v/>
      </c>
      <c r="T303" s="193" t="str">
        <f t="shared" si="24"/>
        <v/>
      </c>
    </row>
    <row r="304" spans="1:20" ht="13.5" customHeight="1" x14ac:dyDescent="0.3">
      <c r="A304" s="245">
        <f>KPIs!$R$3</f>
        <v>46661</v>
      </c>
      <c r="B304" s="199" t="str">
        <f>KPIs!R$4</f>
        <v>Compresora</v>
      </c>
      <c r="C304" s="31" t="s">
        <v>80</v>
      </c>
      <c r="D304" s="199" t="str">
        <f>KPIs!$A$17</f>
        <v>9 · Horas de capacitación por persona</v>
      </c>
      <c r="E304" s="31" t="s">
        <v>599</v>
      </c>
      <c r="F304" s="247" t="str">
        <f>IF(ISNUMBER(KPIs!R17),KPIs!R17,"")</f>
        <v/>
      </c>
      <c r="G304" s="247" t="str">
        <f>IF(ISNUMBER(KPIs!$C$17),KPIs!$C$17,"")</f>
        <v/>
      </c>
      <c r="H304" s="199" t="str">
        <f>IFERROR(INDEX(_TARGETS!$E$2:$E$17,MATCH($C304,_TARGETS!$A$2:$A$17,0))&amp;"","")</f>
        <v/>
      </c>
      <c r="I304" s="199" t="str">
        <f t="shared" si="20"/>
        <v/>
      </c>
      <c r="J304" s="193" t="str">
        <f t="shared" si="21"/>
        <v>Monthly</v>
      </c>
      <c r="K304" s="248">
        <f>Datos!R18</f>
        <v>0</v>
      </c>
      <c r="L304" s="248">
        <f>Datos!R11</f>
        <v>0</v>
      </c>
      <c r="M304" s="193">
        <f>INDEX(_TARGETS!$J$2:$J$17,MATCH($C304,_TARGETS!$A$2:$A$17,0))</f>
        <v>1</v>
      </c>
      <c r="N304" s="193" t="str">
        <f>INDEX(_TARGETS!$D$2:$D$17,MATCH($C304,_TARGETS!$A$2:$A$17,0))</f>
        <v>h / persona</v>
      </c>
      <c r="O304" s="193" t="str">
        <f>IF(NOT(ISNUMBER(F304)),"MISSING",IF((COUNTBLANK(Datos!R16)+COUNTBLANK(Datos!R17)+COUNTBLANK(Datos!R9)+COUNTBLANK(Datos!R10))&gt;0,"INCOMPLETE","OK"))</f>
        <v>MISSING</v>
      </c>
      <c r="P304" s="193" t="str">
        <f>INDEX(_TARGETS!$K$2:$K$17,MATCH($C304,_TARGETS!$A$2:$A$17,0))</f>
        <v>OPS (carga manual en Datos)</v>
      </c>
      <c r="Q304" s="193" t="str">
        <f t="shared" si="22"/>
        <v>202710|HCSA|Monthly</v>
      </c>
      <c r="R304" s="193" t="str">
        <f>INDEX(_TARGETS!$H$2:$H$17,MATCH($C304,_TARGETS!$A$2:$A$17,0))</f>
        <v>Solo reporte</v>
      </c>
      <c r="S304" s="193" t="str">
        <f t="shared" si="23"/>
        <v/>
      </c>
      <c r="T304" s="193" t="str">
        <f t="shared" si="24"/>
        <v/>
      </c>
    </row>
    <row r="305" spans="1:20" ht="13.5" customHeight="1" x14ac:dyDescent="0.3">
      <c r="A305" s="245">
        <f>KPIs!$R$3</f>
        <v>46661</v>
      </c>
      <c r="B305" s="199" t="str">
        <f>KPIs!R$4</f>
        <v>Compresora</v>
      </c>
      <c r="C305" s="31" t="s">
        <v>83</v>
      </c>
      <c r="D305" s="199" t="str">
        <f>KPIs!$A$18</f>
        <v>10 · Cumplimiento de simulacros (emergencia y operativos)</v>
      </c>
      <c r="E305" s="31" t="s">
        <v>599</v>
      </c>
      <c r="F305" s="247" t="str">
        <f>IF(ISNUMBER(KPIs!R18),KPIs!R18,"")</f>
        <v/>
      </c>
      <c r="G305" s="247">
        <f>IF(ISNUMBER(KPIs!$C$18),KPIs!$C$18,"")</f>
        <v>1</v>
      </c>
      <c r="H305" s="199" t="str">
        <f>IFERROR(INDEX(_TARGETS!$E$2:$E$17,MATCH($C305,_TARGETS!$A$2:$A$17,0))&amp;"","")</f>
        <v>≥</v>
      </c>
      <c r="I305" s="199" t="str">
        <f t="shared" si="20"/>
        <v/>
      </c>
      <c r="J305" s="193" t="str">
        <f t="shared" si="21"/>
        <v>Monthly</v>
      </c>
      <c r="K305" s="248">
        <f>Datos!R20</f>
        <v>0</v>
      </c>
      <c r="L305" s="248">
        <f>Datos!R21</f>
        <v>0</v>
      </c>
      <c r="M305" s="193">
        <f>INDEX(_TARGETS!$J$2:$J$17,MATCH($C305,_TARGETS!$A$2:$A$17,0))</f>
        <v>1</v>
      </c>
      <c r="N305" s="193" t="str">
        <f>INDEX(_TARGETS!$D$2:$D$17,MATCH($C305,_TARGETS!$A$2:$A$17,0))</f>
        <v>% (fracción)</v>
      </c>
      <c r="O305" s="193" t="str">
        <f>IF(NOT(ISNUMBER(F305)),"MISSING",IF((COUNTBLANK(Datos!R20)+COUNTBLANK(Datos!R21))&gt;0,"INCOMPLETE","OK"))</f>
        <v>MISSING</v>
      </c>
      <c r="P305" s="193" t="str">
        <f>INDEX(_TARGETS!$K$2:$K$17,MATCH($C305,_TARGETS!$A$2:$A$17,0))</f>
        <v>OPS (carga manual en Datos)</v>
      </c>
      <c r="Q305" s="193" t="str">
        <f t="shared" si="22"/>
        <v>202710|CPSE|Monthly</v>
      </c>
      <c r="R305" s="193" t="str">
        <f>INDEX(_TARGETS!$H$2:$H$17,MATCH($C305,_TARGETS!$A$2:$A$17,0))</f>
        <v>Definida</v>
      </c>
      <c r="S305" s="193" t="str">
        <f t="shared" si="23"/>
        <v/>
      </c>
      <c r="T305" s="193" t="str">
        <f t="shared" si="24"/>
        <v/>
      </c>
    </row>
    <row r="306" spans="1:20" ht="13.5" customHeight="1" x14ac:dyDescent="0.3">
      <c r="A306" s="245">
        <f>KPIs!$R$3</f>
        <v>46661</v>
      </c>
      <c r="B306" s="199" t="str">
        <f>KPIs!R$4</f>
        <v>Compresora</v>
      </c>
      <c r="C306" s="31" t="s">
        <v>85</v>
      </c>
      <c r="D306" s="199" t="str">
        <f>KPIs!$A$19</f>
        <v>10b · Cumplimiento de acciones de mejora de simulacros</v>
      </c>
      <c r="E306" s="31" t="s">
        <v>599</v>
      </c>
      <c r="F306" s="247" t="str">
        <f>IF(ISNUMBER(KPIs!R19),KPIs!R19,"")</f>
        <v/>
      </c>
      <c r="G306" s="247" t="str">
        <f>IF(ISNUMBER(KPIs!$C$19),KPIs!$C$19,"")</f>
        <v/>
      </c>
      <c r="H306" s="199" t="str">
        <f>IFERROR(INDEX(_TARGETS!$E$2:$E$17,MATCH($C306,_TARGETS!$A$2:$A$17,0))&amp;"","")</f>
        <v/>
      </c>
      <c r="I306" s="199" t="str">
        <f t="shared" si="20"/>
        <v/>
      </c>
      <c r="J306" s="193" t="str">
        <f t="shared" si="21"/>
        <v>Monthly</v>
      </c>
      <c r="K306" s="248">
        <f>Datos!R23</f>
        <v>0</v>
      </c>
      <c r="L306" s="248">
        <f>Datos!R22</f>
        <v>0</v>
      </c>
      <c r="M306" s="193">
        <f>INDEX(_TARGETS!$J$2:$J$17,MATCH($C306,_TARGETS!$A$2:$A$17,0))</f>
        <v>1</v>
      </c>
      <c r="N306" s="193" t="str">
        <f>INDEX(_TARGETS!$D$2:$D$17,MATCH($C306,_TARGETS!$A$2:$A$17,0))</f>
        <v>% (fracción)</v>
      </c>
      <c r="O306" s="193" t="str">
        <f>IF(NOT(ISNUMBER(F306)),"MISSING",IF((COUNTBLANK(Datos!R23)+COUNTBLANK(Datos!R22))&gt;0,"INCOMPLETE","OK"))</f>
        <v>MISSING</v>
      </c>
      <c r="P306" s="193" t="str">
        <f>INDEX(_TARGETS!$K$2:$K$17,MATCH($C306,_TARGETS!$A$2:$A$17,0))</f>
        <v>OPS (carga manual en Datos)</v>
      </c>
      <c r="Q306" s="193" t="str">
        <f t="shared" si="22"/>
        <v>202710|CAMS|Monthly</v>
      </c>
      <c r="R306" s="193" t="str">
        <f>INDEX(_TARGETS!$H$2:$H$17,MATCH($C306,_TARGETS!$A$2:$A$17,0))</f>
        <v>Solo reporte</v>
      </c>
      <c r="S306" s="193" t="str">
        <f t="shared" si="23"/>
        <v/>
      </c>
      <c r="T306" s="193" t="str">
        <f t="shared" si="24"/>
        <v/>
      </c>
    </row>
    <row r="307" spans="1:20" ht="13.5" customHeight="1" x14ac:dyDescent="0.3">
      <c r="A307" s="245">
        <f>KPIs!$R$3</f>
        <v>46661</v>
      </c>
      <c r="B307" s="199" t="str">
        <f>KPIs!R$4</f>
        <v>Compresora</v>
      </c>
      <c r="C307" s="31" t="s">
        <v>87</v>
      </c>
      <c r="D307" s="199" t="str">
        <f>KPIs!$A$21</f>
        <v>11 · Cumplimiento de caminatas gerenciales</v>
      </c>
      <c r="E307" s="31" t="s">
        <v>599</v>
      </c>
      <c r="F307" s="247" t="str">
        <f>IF(ISNUMBER(KPIs!R21),KPIs!R21,"")</f>
        <v/>
      </c>
      <c r="G307" s="247">
        <f>IF(ISNUMBER(KPIs!$C$21),KPIs!$C$21,"")</f>
        <v>1</v>
      </c>
      <c r="H307" s="199" t="str">
        <f>IFERROR(INDEX(_TARGETS!$E$2:$E$17,MATCH($C307,_TARGETS!$A$2:$A$17,0))&amp;"","")</f>
        <v>≥</v>
      </c>
      <c r="I307" s="199" t="str">
        <f t="shared" si="20"/>
        <v/>
      </c>
      <c r="J307" s="193" t="str">
        <f t="shared" si="21"/>
        <v>Monthly</v>
      </c>
      <c r="K307" s="248">
        <f>Datos!R24</f>
        <v>0</v>
      </c>
      <c r="L307" s="248">
        <f>Datos!R25</f>
        <v>0</v>
      </c>
      <c r="M307" s="193">
        <f>INDEX(_TARGETS!$J$2:$J$17,MATCH($C307,_TARGETS!$A$2:$A$17,0))</f>
        <v>1</v>
      </c>
      <c r="N307" s="193" t="str">
        <f>INDEX(_TARGETS!$D$2:$D$17,MATCH($C307,_TARGETS!$A$2:$A$17,0))</f>
        <v>% (fracción)</v>
      </c>
      <c r="O307" s="193" t="str">
        <f>IF(NOT(ISNUMBER(F307)),"MISSING",IF((COUNTBLANK(Datos!R24)+COUNTBLANK(Datos!R25))&gt;0,"INCOMPLETE","OK"))</f>
        <v>MISSING</v>
      </c>
      <c r="P307" s="193" t="str">
        <f>INDEX(_TARGETS!$K$2:$K$17,MATCH($C307,_TARGETS!$A$2:$A$17,0))</f>
        <v>OPS (carga manual en Datos)</v>
      </c>
      <c r="Q307" s="193" t="str">
        <f t="shared" si="22"/>
        <v>202710|ICCS|Monthly</v>
      </c>
      <c r="R307" s="193" t="str">
        <f>INDEX(_TARGETS!$H$2:$H$17,MATCH($C307,_TARGETS!$A$2:$A$17,0))</f>
        <v>Definida</v>
      </c>
      <c r="S307" s="193" t="str">
        <f t="shared" si="23"/>
        <v/>
      </c>
      <c r="T307" s="193" t="str">
        <f t="shared" si="24"/>
        <v/>
      </c>
    </row>
    <row r="308" spans="1:20" ht="13.5" customHeight="1" x14ac:dyDescent="0.3">
      <c r="A308" s="245">
        <f>KPIs!$R$3</f>
        <v>46661</v>
      </c>
      <c r="B308" s="199" t="str">
        <f>KPIs!R$4</f>
        <v>Compresora</v>
      </c>
      <c r="C308" s="31" t="s">
        <v>89</v>
      </c>
      <c r="D308" s="199" t="str">
        <f>KPIs!$A$22</f>
        <v>12 · Cumplimiento de comités y subcomités de seguridad</v>
      </c>
      <c r="E308" s="31" t="s">
        <v>599</v>
      </c>
      <c r="F308" s="247" t="str">
        <f>IF(ISNUMBER(KPIs!R22),KPIs!R22,"")</f>
        <v/>
      </c>
      <c r="G308" s="247">
        <f>IF(ISNUMBER(KPIs!$C$22),KPIs!$C$22,"")</f>
        <v>1</v>
      </c>
      <c r="H308" s="199" t="str">
        <f>IFERROR(INDEX(_TARGETS!$E$2:$E$17,MATCH($C308,_TARGETS!$A$2:$A$17,0))&amp;"","")</f>
        <v>≥</v>
      </c>
      <c r="I308" s="199" t="str">
        <f t="shared" si="20"/>
        <v/>
      </c>
      <c r="J308" s="193" t="str">
        <f t="shared" si="21"/>
        <v>Monthly</v>
      </c>
      <c r="K308" s="248">
        <f>Datos!R26</f>
        <v>0</v>
      </c>
      <c r="L308" s="248">
        <f>Datos!R27</f>
        <v>0</v>
      </c>
      <c r="M308" s="193">
        <f>INDEX(_TARGETS!$J$2:$J$17,MATCH($C308,_TARGETS!$A$2:$A$17,0))</f>
        <v>1</v>
      </c>
      <c r="N308" s="193" t="str">
        <f>INDEX(_TARGETS!$D$2:$D$17,MATCH($C308,_TARGETS!$A$2:$A$17,0))</f>
        <v>% (fracción)</v>
      </c>
      <c r="O308" s="193" t="str">
        <f>IF(NOT(ISNUMBER(F308)),"MISSING",IF((COUNTBLANK(Datos!R26)+COUNTBLANK(Datos!R27))&gt;0,"INCOMPLETE","OK"))</f>
        <v>MISSING</v>
      </c>
      <c r="P308" s="193" t="str">
        <f>INDEX(_TARGETS!$K$2:$K$17,MATCH($C308,_TARGETS!$A$2:$A$17,0))</f>
        <v>OPS (carga manual en Datos)</v>
      </c>
      <c r="Q308" s="193" t="str">
        <f t="shared" si="22"/>
        <v>202710|CCS|Monthly</v>
      </c>
      <c r="R308" s="193" t="str">
        <f>INDEX(_TARGETS!$H$2:$H$17,MATCH($C308,_TARGETS!$A$2:$A$17,0))</f>
        <v>Definida</v>
      </c>
      <c r="S308" s="193" t="str">
        <f t="shared" si="23"/>
        <v/>
      </c>
      <c r="T308" s="193" t="str">
        <f t="shared" si="24"/>
        <v/>
      </c>
    </row>
    <row r="309" spans="1:20" ht="13.5" customHeight="1" x14ac:dyDescent="0.3">
      <c r="A309" s="245">
        <f>KPIs!$R$3</f>
        <v>46661</v>
      </c>
      <c r="B309" s="199" t="str">
        <f>KPIs!R$4</f>
        <v>Compresora</v>
      </c>
      <c r="C309" s="31" t="s">
        <v>91</v>
      </c>
      <c r="D309" s="199" t="str">
        <f>KPIs!$A$23</f>
        <v>13 · Días promedio para cerrar hallazgos</v>
      </c>
      <c r="E309" s="31" t="s">
        <v>599</v>
      </c>
      <c r="F309" s="247" t="str">
        <f>IF(ISNUMBER(KPIs!R23),KPIs!R23,"")</f>
        <v/>
      </c>
      <c r="G309" s="247" t="str">
        <f>IF(ISNUMBER(KPIs!$C$23),KPIs!$C$23,"")</f>
        <v/>
      </c>
      <c r="H309" s="199" t="str">
        <f>IFERROR(INDEX(_TARGETS!$E$2:$E$17,MATCH($C309,_TARGETS!$A$2:$A$17,0))&amp;"","")</f>
        <v>≤</v>
      </c>
      <c r="I309" s="199" t="str">
        <f t="shared" si="20"/>
        <v/>
      </c>
      <c r="J309" s="193" t="str">
        <f t="shared" si="21"/>
        <v>Monthly</v>
      </c>
      <c r="K309" s="248">
        <f>Datos!R68</f>
        <v>0</v>
      </c>
      <c r="L309" s="248">
        <f>Datos!R67</f>
        <v>0</v>
      </c>
      <c r="M309" s="193">
        <f>INDEX(_TARGETS!$J$2:$J$17,MATCH($C309,_TARGETS!$A$2:$A$17,0))</f>
        <v>1</v>
      </c>
      <c r="N309" s="193" t="str">
        <f>INDEX(_TARGETS!$D$2:$D$17,MATCH($C309,_TARGETS!$A$2:$A$17,0))</f>
        <v>días</v>
      </c>
      <c r="O309" s="193" t="str">
        <f>IF(NOT(ISNUMBER(F309)),"MISSING","OK")</f>
        <v>MISSING</v>
      </c>
      <c r="P309" s="193" t="str">
        <f>INDEX(_TARGETS!$K$2:$K$17,MATCH($C309,_TARGETS!$A$2:$A$17,0))</f>
        <v>Plant Findings (hoja Observaciones-SMP)</v>
      </c>
      <c r="Q309" s="193" t="str">
        <f t="shared" si="22"/>
        <v>202710|DPAS|Monthly</v>
      </c>
      <c r="R309" s="193" t="str">
        <f>INDEX(_TARGETS!$H$2:$H$17,MATCH($C309,_TARGETS!$A$2:$A$17,0))</f>
        <v>Pendiente (meta 2027)</v>
      </c>
      <c r="S309" s="193" t="str">
        <f t="shared" si="23"/>
        <v/>
      </c>
      <c r="T309" s="193" t="str">
        <f t="shared" si="24"/>
        <v/>
      </c>
    </row>
    <row r="310" spans="1:20" ht="13.5" customHeight="1" x14ac:dyDescent="0.3">
      <c r="A310" s="245">
        <f>KPIs!$R$3</f>
        <v>46661</v>
      </c>
      <c r="B310" s="199" t="str">
        <f>KPIs!R$4</f>
        <v>Compresora</v>
      </c>
      <c r="C310" s="31" t="s">
        <v>39</v>
      </c>
      <c r="D310" s="199" t="str">
        <f>KPIs!$A$26</f>
        <v>1 · Frecuencia de casos con días perdidos · ACUMULADO</v>
      </c>
      <c r="E310" s="31" t="s">
        <v>600</v>
      </c>
      <c r="F310" s="247" t="str">
        <f>IF(ISNUMBER(KPIs!R26),KPIs!R26,"")</f>
        <v/>
      </c>
      <c r="G310" s="247">
        <f>IF(ISNUMBER(KPIs!$C$26),KPIs!$C$26,"")</f>
        <v>0</v>
      </c>
      <c r="H310" s="199" t="str">
        <f>IFERROR(INDEX(_TARGETS!$E$2:$E$17,MATCH($C310,_TARGETS!$A$2:$A$17,0))&amp;"","")</f>
        <v>≤</v>
      </c>
      <c r="I310" s="199" t="str">
        <f t="shared" si="20"/>
        <v/>
      </c>
      <c r="J310" s="193" t="str">
        <f t="shared" si="21"/>
        <v>Cumulative</v>
      </c>
      <c r="K310" s="193">
        <f>SUM(Datos!$D33:R33)</f>
        <v>0</v>
      </c>
      <c r="L310" s="193">
        <f>SUM(Datos!$D14:R14)</f>
        <v>48332</v>
      </c>
      <c r="M310" s="193">
        <f>INDEX(_TARGETS!$J$2:$J$17,MATCH($C310,_TARGETS!$A$2:$A$17,0))</f>
        <v>1000000</v>
      </c>
      <c r="N310" s="193" t="str">
        <f>INDEX(_TARGETS!$D$2:$D$17,MATCH($C310,_TARGETS!$A$2:$A$17,0))</f>
        <v>casos / 10^6 HH</v>
      </c>
      <c r="O310" s="193" t="str">
        <f>IF(NOT(ISNUMBER(F310)),IF(SUMPRODUCT(($C$2:$C$1300=C310)*($J$2:$J$1300="Monthly")*($A$2:$A$1300&lt;=A310)*ISNUMBER($K$2:$K$1300)*ISNUMBER($L$2:$L$1300)*($L$2:$L$1300=0)*($K$2:$K$1300&gt;0))&gt;0,"INCOMPLETE","MISSING"),O296)</f>
        <v>MISSING</v>
      </c>
      <c r="P310" s="193" t="str">
        <f>INDEX(_TARGETS!$K$2:$K$17,MATCH($C310,_TARGETS!$A$2:$A$17,0))</f>
        <v>OPS (carga manual en Datos)</v>
      </c>
      <c r="Q310" s="193" t="str">
        <f t="shared" si="22"/>
        <v>202710|DAFWCF|Cumulative</v>
      </c>
      <c r="R310" s="193" t="str">
        <f>INDEX(_TARGETS!$H$2:$H$17,MATCH($C310,_TARGETS!$A$2:$A$17,0))</f>
        <v>Definida</v>
      </c>
      <c r="S310" s="193">
        <f t="shared" si="23"/>
        <v>0</v>
      </c>
      <c r="T310" s="193" t="str">
        <f t="shared" si="24"/>
        <v/>
      </c>
    </row>
    <row r="311" spans="1:20" ht="13.5" customHeight="1" x14ac:dyDescent="0.3">
      <c r="A311" s="245">
        <f>KPIs!$R$3</f>
        <v>46661</v>
      </c>
      <c r="B311" s="199" t="str">
        <f>KPIs!R$4</f>
        <v>Compresora</v>
      </c>
      <c r="C311" s="31" t="s">
        <v>49</v>
      </c>
      <c r="D311" s="199" t="str">
        <f>KPIs!$A$27</f>
        <v>2 · Frecuencia de casos registrables · ACUMULADO</v>
      </c>
      <c r="E311" s="31" t="s">
        <v>600</v>
      </c>
      <c r="F311" s="247" t="str">
        <f>IF(ISNUMBER(KPIs!R27),KPIs!R27,"")</f>
        <v/>
      </c>
      <c r="G311" s="247">
        <f>IF(ISNUMBER(KPIs!$C$27),KPIs!$C$27,"")</f>
        <v>2.35</v>
      </c>
      <c r="H311" s="199" t="str">
        <f>IFERROR(INDEX(_TARGETS!$E$2:$E$17,MATCH($C311,_TARGETS!$A$2:$A$17,0))&amp;"","")</f>
        <v>≤</v>
      </c>
      <c r="I311" s="199" t="str">
        <f t="shared" si="20"/>
        <v/>
      </c>
      <c r="J311" s="193" t="str">
        <f t="shared" si="21"/>
        <v>Cumulative</v>
      </c>
      <c r="K311" s="193">
        <f>SUM(Datos!$D33:R33)+SUM(Datos!$D34:R34)+SUM(Datos!$D35:R35)+SUM(Datos!$D36:R36)</f>
        <v>0</v>
      </c>
      <c r="L311" s="193">
        <f>SUM(Datos!$D14:R14)</f>
        <v>48332</v>
      </c>
      <c r="M311" s="193">
        <f>INDEX(_TARGETS!$J$2:$J$17,MATCH($C311,_TARGETS!$A$2:$A$17,0))</f>
        <v>1000000</v>
      </c>
      <c r="N311" s="193" t="str">
        <f>INDEX(_TARGETS!$D$2:$D$17,MATCH($C311,_TARGETS!$A$2:$A$17,0))</f>
        <v>casos / 10^6 HH</v>
      </c>
      <c r="O311" s="193" t="str">
        <f>IF(NOT(ISNUMBER(F311)),IF(SUMPRODUCT(($C$2:$C$1300=C311)*($J$2:$J$1300="Monthly")*($A$2:$A$1300&lt;=A311)*ISNUMBER($K$2:$K$1300)*ISNUMBER($L$2:$L$1300)*($L$2:$L$1300=0)*($K$2:$K$1300&gt;0))&gt;0,"INCOMPLETE","MISSING"),O297)</f>
        <v>MISSING</v>
      </c>
      <c r="P311" s="193" t="str">
        <f>INDEX(_TARGETS!$K$2:$K$17,MATCH($C311,_TARGETS!$A$2:$A$17,0))</f>
        <v>OPS (carga manual en Datos)</v>
      </c>
      <c r="Q311" s="193" t="str">
        <f t="shared" si="22"/>
        <v>202710|TRICF|Cumulative</v>
      </c>
      <c r="R311" s="193" t="str">
        <f>INDEX(_TARGETS!$H$2:$H$17,MATCH($C311,_TARGETS!$A$2:$A$17,0))</f>
        <v>Definida</v>
      </c>
      <c r="S311" s="193">
        <f t="shared" si="23"/>
        <v>0</v>
      </c>
      <c r="T311" s="193" t="str">
        <f t="shared" si="24"/>
        <v/>
      </c>
    </row>
    <row r="312" spans="1:20" ht="13.5" customHeight="1" x14ac:dyDescent="0.3">
      <c r="A312" s="245">
        <f>KPIs!$R$3</f>
        <v>46661</v>
      </c>
      <c r="B312" s="199" t="str">
        <f>KPIs!R$4</f>
        <v>Compresora</v>
      </c>
      <c r="C312" s="31" t="s">
        <v>51</v>
      </c>
      <c r="D312" s="199" t="str">
        <f>KPIs!$A$28</f>
        <v>3 · Casos de primeros auxilios · ACUMULADO</v>
      </c>
      <c r="E312" s="31" t="s">
        <v>600</v>
      </c>
      <c r="F312" s="247" t="str">
        <f>IF(ISNUMBER(KPIs!R28),KPIs!R28,"")</f>
        <v/>
      </c>
      <c r="G312" s="247" t="str">
        <f>IF(ISNUMBER(KPIs!$C$28),KPIs!$C$28,"")</f>
        <v/>
      </c>
      <c r="H312" s="199" t="str">
        <f>IFERROR(INDEX(_TARGETS!$E$2:$E$17,MATCH($C312,_TARGETS!$A$2:$A$17,0))&amp;"","")</f>
        <v/>
      </c>
      <c r="I312" s="199" t="str">
        <f t="shared" si="20"/>
        <v/>
      </c>
      <c r="J312" s="193" t="str">
        <f t="shared" si="21"/>
        <v>Cumulative</v>
      </c>
      <c r="K312" s="193">
        <f>SUM(Datos!$D37:R37)</f>
        <v>0</v>
      </c>
      <c r="M312" s="193">
        <f>INDEX(_TARGETS!$J$2:$J$17,MATCH($C312,_TARGETS!$A$2:$A$17,0))</f>
        <v>1</v>
      </c>
      <c r="N312" s="193" t="str">
        <f>INDEX(_TARGETS!$D$2:$D$17,MATCH($C312,_TARGETS!$A$2:$A$17,0))</f>
        <v>casos</v>
      </c>
      <c r="O312" s="193" t="str">
        <f>IF(NOT(ISNUMBER(F312)),IF(SUMPRODUCT(($C$2:$C$1300=C312)*($J$2:$J$1300="Monthly")*($A$2:$A$1300&lt;=A312)*ISNUMBER($K$2:$K$1300)*ISNUMBER($L$2:$L$1300)*($L$2:$L$1300=0)*($K$2:$K$1300&gt;0))&gt;0,"INCOMPLETE","MISSING"),O298)</f>
        <v>MISSING</v>
      </c>
      <c r="P312" s="193" t="str">
        <f>INDEX(_TARGETS!$K$2:$K$17,MATCH($C312,_TARGETS!$A$2:$A$17,0))</f>
        <v>OPS (carga manual en Datos)</v>
      </c>
      <c r="Q312" s="193" t="str">
        <f t="shared" si="22"/>
        <v>202710|FAC|Cumulative</v>
      </c>
      <c r="R312" s="193" t="str">
        <f>INDEX(_TARGETS!$H$2:$H$17,MATCH($C312,_TARGETS!$A$2:$A$17,0))</f>
        <v>Solo reporte</v>
      </c>
      <c r="S312" s="193">
        <f t="shared" si="23"/>
        <v>0</v>
      </c>
      <c r="T312" s="193" t="str">
        <f t="shared" si="24"/>
        <v/>
      </c>
    </row>
    <row r="313" spans="1:20" ht="13.5" customHeight="1" x14ac:dyDescent="0.3">
      <c r="A313" s="245">
        <f>KPIs!$R$3</f>
        <v>46661</v>
      </c>
      <c r="B313" s="199" t="str">
        <f>KPIs!R$4</f>
        <v>Compresora</v>
      </c>
      <c r="C313" s="31" t="s">
        <v>57</v>
      </c>
      <c r="D313" s="199" t="str">
        <f>KPIs!$A$29</f>
        <v>4 · Accidentes vehiculares severos · ACUMULADO</v>
      </c>
      <c r="E313" s="31" t="s">
        <v>600</v>
      </c>
      <c r="F313" s="247" t="str">
        <f>IF(ISNUMBER(KPIs!R29),KPIs!R29,"")</f>
        <v/>
      </c>
      <c r="G313" s="247" t="str">
        <f>IF(ISNUMBER(KPIs!$C$29),KPIs!$C$29,"")</f>
        <v/>
      </c>
      <c r="H313" s="199" t="str">
        <f>IFERROR(INDEX(_TARGETS!$E$2:$E$17,MATCH($C313,_TARGETS!$A$2:$A$17,0))&amp;"","")</f>
        <v/>
      </c>
      <c r="I313" s="199" t="str">
        <f t="shared" si="20"/>
        <v/>
      </c>
      <c r="J313" s="193" t="str">
        <f t="shared" si="21"/>
        <v>Cumulative</v>
      </c>
      <c r="K313" s="193">
        <f>SUM(Datos!$D39:R39)+SUM(Datos!$D40:R40)+SUM(Datos!$D41:R41)</f>
        <v>0</v>
      </c>
      <c r="L313" s="193">
        <f>SUM(Datos!$D47:R47)</f>
        <v>172824</v>
      </c>
      <c r="M313" s="193">
        <f>INDEX(_TARGETS!$J$2:$J$17,MATCH($C313,_TARGETS!$A$2:$A$17,0))</f>
        <v>1000000</v>
      </c>
      <c r="N313" s="193" t="str">
        <f>INDEX(_TARGETS!$D$2:$D$17,MATCH($C313,_TARGETS!$A$2:$A$17,0))</f>
        <v>eventos / 10^6 km</v>
      </c>
      <c r="O313" s="193" t="str">
        <f>IF(NOT(ISNUMBER(F313)),IF(SUMPRODUCT(($C$2:$C$1300=C313)*($J$2:$J$1300="Monthly")*($A$2:$A$1300&lt;=A313)*ISNUMBER($K$2:$K$1300)*ISNUMBER($L$2:$L$1300)*($L$2:$L$1300=0)*($K$2:$K$1300&gt;0))&gt;0,"INCOMPLETE","MISSING"),O299)</f>
        <v>MISSING</v>
      </c>
      <c r="P313" s="193" t="str">
        <f>INDEX(_TARGETS!$K$2:$K$17,MATCH($C313,_TARGETS!$A$2:$A$17,0))</f>
        <v>OPS (eventos) + Full Control GPS (km) - carga manual en Datos</v>
      </c>
      <c r="Q313" s="193" t="str">
        <f t="shared" si="22"/>
        <v>202710|SVCR|Cumulative</v>
      </c>
      <c r="R313" s="193" t="str">
        <f>INDEX(_TARGETS!$H$2:$H$17,MATCH($C313,_TARGETS!$A$2:$A$17,0))</f>
        <v>Solo reporte</v>
      </c>
      <c r="S313" s="193">
        <f t="shared" si="23"/>
        <v>0</v>
      </c>
      <c r="T313" s="193" t="str">
        <f t="shared" si="24"/>
        <v/>
      </c>
    </row>
    <row r="314" spans="1:20" ht="13.5" customHeight="1" x14ac:dyDescent="0.3">
      <c r="A314" s="245">
        <f>KPIs!$R$3</f>
        <v>46661</v>
      </c>
      <c r="B314" s="199" t="str">
        <f>KPIs!R$4</f>
        <v>Compresora</v>
      </c>
      <c r="C314" s="31" t="s">
        <v>61</v>
      </c>
      <c r="D314" s="199" t="str">
        <f>KPIs!$A$30</f>
        <v>5 · Accidentes vehiculares totales · ACUMULADO</v>
      </c>
      <c r="E314" s="31" t="s">
        <v>600</v>
      </c>
      <c r="F314" s="247" t="str">
        <f>IF(ISNUMBER(KPIs!R30),KPIs!R30,"")</f>
        <v/>
      </c>
      <c r="G314" s="247">
        <f>IF(ISNUMBER(KPIs!$C$30),KPIs!$C$30,"")</f>
        <v>0.79</v>
      </c>
      <c r="H314" s="199" t="str">
        <f>IFERROR(INDEX(_TARGETS!$E$2:$E$17,MATCH($C314,_TARGETS!$A$2:$A$17,0))&amp;"","")</f>
        <v>≤</v>
      </c>
      <c r="I314" s="199" t="str">
        <f t="shared" si="20"/>
        <v/>
      </c>
      <c r="J314" s="193" t="str">
        <f t="shared" si="21"/>
        <v>Cumulative</v>
      </c>
      <c r="K314" s="193">
        <f>SUM(Datos!$D39:R39)+SUM(Datos!$D40:R40)+SUM(Datos!$D41:R41)+SUM(Datos!$D42:R42)</f>
        <v>0</v>
      </c>
      <c r="L314" s="193">
        <f>SUM(Datos!$D47:R47)</f>
        <v>172824</v>
      </c>
      <c r="M314" s="193">
        <f>INDEX(_TARGETS!$J$2:$J$17,MATCH($C314,_TARGETS!$A$2:$A$17,0))</f>
        <v>1000000</v>
      </c>
      <c r="N314" s="193" t="str">
        <f>INDEX(_TARGETS!$D$2:$D$17,MATCH($C314,_TARGETS!$A$2:$A$17,0))</f>
        <v>eventos / 10^6 km</v>
      </c>
      <c r="O314" s="193" t="str">
        <f>IF(NOT(ISNUMBER(F314)),IF(SUMPRODUCT(($C$2:$C$1300=C314)*($J$2:$J$1300="Monthly")*($A$2:$A$1300&lt;=A314)*ISNUMBER($K$2:$K$1300)*ISNUMBER($L$2:$L$1300)*($L$2:$L$1300=0)*($K$2:$K$1300&gt;0))&gt;0,"INCOMPLETE","MISSING"),O300)</f>
        <v>MISSING</v>
      </c>
      <c r="P314" s="193" t="str">
        <f>INDEX(_TARGETS!$K$2:$K$17,MATCH($C314,_TARGETS!$A$2:$A$17,0))</f>
        <v>OPS (eventos) + Full Control GPS (km) - carga manual en Datos</v>
      </c>
      <c r="Q314" s="193" t="str">
        <f t="shared" si="22"/>
        <v>202710|TVCR|Cumulative</v>
      </c>
      <c r="R314" s="193" t="str">
        <f>INDEX(_TARGETS!$H$2:$H$17,MATCH($C314,_TARGETS!$A$2:$A$17,0))</f>
        <v>Definida</v>
      </c>
      <c r="S314" s="193">
        <f t="shared" si="23"/>
        <v>0</v>
      </c>
      <c r="T314" s="193" t="str">
        <f t="shared" si="24"/>
        <v/>
      </c>
    </row>
    <row r="315" spans="1:20" ht="13.5" customHeight="1" x14ac:dyDescent="0.3">
      <c r="A315" s="245">
        <f>KPIs!$R$3</f>
        <v>46661</v>
      </c>
      <c r="B315" s="199" t="str">
        <f>KPIs!R$4</f>
        <v>Compresora</v>
      </c>
      <c r="C315" s="31" t="s">
        <v>96</v>
      </c>
      <c r="D315" s="199" t="str">
        <f>KPIs!$A$33</f>
        <v>C1 · % de desvíos detectados de gravedad Alta</v>
      </c>
      <c r="E315" s="31" t="s">
        <v>599</v>
      </c>
      <c r="F315" s="247" t="str">
        <f>IF(ISNUMBER(KPIs!R33),KPIs!R33,"")</f>
        <v/>
      </c>
      <c r="G315" s="247" t="str">
        <f>IF(ISNUMBER(KPIs!$C$33),KPIs!$C$33,"")</f>
        <v/>
      </c>
      <c r="H315" s="199" t="str">
        <f>IFERROR(INDEX(_TARGETS!$E$2:$E$17,MATCH($C315,_TARGETS!$A$2:$A$17,0))&amp;"","")</f>
        <v/>
      </c>
      <c r="I315" s="199" t="str">
        <f t="shared" si="20"/>
        <v/>
      </c>
      <c r="J315" s="193" t="str">
        <f t="shared" si="21"/>
        <v>Monthly</v>
      </c>
      <c r="K315" s="248">
        <f>Datos!R71</f>
        <v>0</v>
      </c>
      <c r="L315" s="193">
        <f>Datos!R71+Datos!R72+Datos!R73</f>
        <v>0</v>
      </c>
      <c r="M315" s="193">
        <f>INDEX(_TARGETS!$J$2:$J$17,MATCH($C315,_TARGETS!$A$2:$A$17,0))</f>
        <v>1</v>
      </c>
      <c r="N315" s="193" t="str">
        <f>INDEX(_TARGETS!$D$2:$D$17,MATCH($C315,_TARGETS!$A$2:$A$17,0))</f>
        <v>% (fracción)</v>
      </c>
      <c r="O315" s="193" t="str">
        <f>IF(NOT(ISNUMBER(F315)),"MISSING","OK")</f>
        <v>MISSING</v>
      </c>
      <c r="P315" s="193" t="str">
        <f>INDEX(_TARGETS!$K$2:$K$17,MATCH($C315,_TARGETS!$A$2:$A$17,0))</f>
        <v>Plant Findings (hoja Observaciones-SMP)</v>
      </c>
      <c r="Q315" s="193" t="str">
        <f t="shared" si="22"/>
        <v>202710|HAL_ALTA_PCT|Monthly</v>
      </c>
      <c r="R315" s="193" t="str">
        <f>INDEX(_TARGETS!$H$2:$H$17,MATCH($C315,_TARGETS!$A$2:$A$17,0))</f>
        <v>Solo reporte</v>
      </c>
      <c r="S315" s="193" t="str">
        <f t="shared" si="23"/>
        <v/>
      </c>
      <c r="T315" s="193" t="str">
        <f t="shared" si="24"/>
        <v/>
      </c>
    </row>
    <row r="316" spans="1:20" ht="13.5" customHeight="1" x14ac:dyDescent="0.3">
      <c r="A316" s="245">
        <f>KPIs!$R$3</f>
        <v>46661</v>
      </c>
      <c r="B316" s="199" t="str">
        <f>KPIs!R$4</f>
        <v>Compresora</v>
      </c>
      <c r="C316" s="31" t="s">
        <v>98</v>
      </c>
      <c r="D316" s="199" t="str">
        <f>KPIs!$A$34</f>
        <v>C2 · Detenciones de tareas aplicadas</v>
      </c>
      <c r="E316" s="31" t="s">
        <v>599</v>
      </c>
      <c r="F316" s="247" t="str">
        <f>IF(ISNUMBER(KPIs!R34),KPIs!R34,"")</f>
        <v/>
      </c>
      <c r="G316" s="247" t="str">
        <f>IF(ISNUMBER(KPIs!$C$34),KPIs!$C$34,"")</f>
        <v/>
      </c>
      <c r="H316" s="199" t="str">
        <f>IFERROR(INDEX(_TARGETS!$E$2:$E$17,MATCH($C316,_TARGETS!$A$2:$A$17,0))&amp;"","")</f>
        <v/>
      </c>
      <c r="I316" s="199" t="str">
        <f t="shared" si="20"/>
        <v/>
      </c>
      <c r="J316" s="193" t="str">
        <f t="shared" si="21"/>
        <v>Monthly</v>
      </c>
      <c r="K316" s="248">
        <f>Datos!R75</f>
        <v>0</v>
      </c>
      <c r="M316" s="193">
        <f>INDEX(_TARGETS!$J$2:$J$17,MATCH($C316,_TARGETS!$A$2:$A$17,0))</f>
        <v>1</v>
      </c>
      <c r="N316" s="193" t="str">
        <f>INDEX(_TARGETS!$D$2:$D$17,MATCH($C316,_TARGETS!$A$2:$A$17,0))</f>
        <v>u</v>
      </c>
      <c r="O316" s="193" t="str">
        <f>IF(NOT(ISNUMBER(F316)),"MISSING","OK")</f>
        <v>MISSING</v>
      </c>
      <c r="P316" s="193" t="str">
        <f>INDEX(_TARGETS!$K$2:$K$17,MATCH($C316,_TARGETS!$A$2:$A$17,0))</f>
        <v>Plant Findings (hoja Observaciones-SMP)</v>
      </c>
      <c r="Q316" s="193" t="str">
        <f t="shared" si="22"/>
        <v>202710|DET|Monthly</v>
      </c>
      <c r="R316" s="193" t="str">
        <f>INDEX(_TARGETS!$H$2:$H$17,MATCH($C316,_TARGETS!$A$2:$A$17,0))</f>
        <v>Solo reporte</v>
      </c>
      <c r="S316" s="193" t="str">
        <f t="shared" si="23"/>
        <v/>
      </c>
      <c r="T316" s="193" t="str">
        <f t="shared" si="24"/>
        <v/>
      </c>
    </row>
    <row r="317" spans="1:20" ht="13.5" customHeight="1" x14ac:dyDescent="0.3">
      <c r="A317" s="245">
        <f>KPIs!$S$3</f>
        <v>46692</v>
      </c>
      <c r="B317" s="199" t="str">
        <f>KPIs!S$4</f>
        <v>Compresora</v>
      </c>
      <c r="C317" s="31" t="s">
        <v>39</v>
      </c>
      <c r="D317" s="199" t="str">
        <f>KPIs!$A$6</f>
        <v>1 · Frecuencia de casos con días perdidos</v>
      </c>
      <c r="E317" s="31" t="s">
        <v>599</v>
      </c>
      <c r="F317" s="247" t="str">
        <f>IF(ISNUMBER(KPIs!S6),KPIs!S6,"")</f>
        <v/>
      </c>
      <c r="G317" s="247">
        <f>IF(ISNUMBER(KPIs!$C$6),KPIs!$C$6,"")</f>
        <v>0</v>
      </c>
      <c r="H317" s="199" t="str">
        <f>IFERROR(INDEX(_TARGETS!$E$2:$E$17,MATCH($C317,_TARGETS!$A$2:$A$17,0))&amp;"","")</f>
        <v>≤</v>
      </c>
      <c r="I317" s="199" t="str">
        <f t="shared" si="20"/>
        <v/>
      </c>
      <c r="J317" s="193" t="str">
        <f t="shared" si="21"/>
        <v>Monthly</v>
      </c>
      <c r="K317" s="248">
        <f>Datos!S33</f>
        <v>0</v>
      </c>
      <c r="L317" s="248">
        <f>Datos!S14</f>
        <v>0</v>
      </c>
      <c r="M317" s="193">
        <f>INDEX(_TARGETS!$J$2:$J$17,MATCH($C317,_TARGETS!$A$2:$A$17,0))</f>
        <v>1000000</v>
      </c>
      <c r="N317" s="193" t="str">
        <f>INDEX(_TARGETS!$D$2:$D$17,MATCH($C317,_TARGETS!$A$2:$A$17,0))</f>
        <v>casos / 10^6 HH</v>
      </c>
      <c r="O317" s="193" t="str">
        <f>IF(NOT(ISNUMBER(F317)),"MISSING",IF((COUNTBLANK(Datos!S12)+COUNTBLANK(Datos!S13)+COUNTBLANK(Datos!S33))&gt;0,"INCOMPLETE","OK"))</f>
        <v>MISSING</v>
      </c>
      <c r="P317" s="193" t="str">
        <f>INDEX(_TARGETS!$K$2:$K$17,MATCH($C317,_TARGETS!$A$2:$A$17,0))</f>
        <v>OPS (carga manual en Datos)</v>
      </c>
      <c r="Q317" s="193" t="str">
        <f t="shared" si="22"/>
        <v>202711|DAFWCF|Monthly</v>
      </c>
      <c r="R317" s="193" t="str">
        <f>INDEX(_TARGETS!$H$2:$H$17,MATCH($C317,_TARGETS!$A$2:$A$17,0))</f>
        <v>Definida</v>
      </c>
      <c r="S317" s="193" t="str">
        <f t="shared" si="23"/>
        <v/>
      </c>
      <c r="T317" s="193" t="str">
        <f t="shared" si="24"/>
        <v/>
      </c>
    </row>
    <row r="318" spans="1:20" ht="13.5" customHeight="1" x14ac:dyDescent="0.3">
      <c r="A318" s="245">
        <f>KPIs!$S$3</f>
        <v>46692</v>
      </c>
      <c r="B318" s="199" t="str">
        <f>KPIs!S$4</f>
        <v>Compresora</v>
      </c>
      <c r="C318" s="31" t="s">
        <v>49</v>
      </c>
      <c r="D318" s="199" t="str">
        <f>KPIs!$A$7</f>
        <v>2 · Frecuencia de casos registrables</v>
      </c>
      <c r="E318" s="31" t="s">
        <v>599</v>
      </c>
      <c r="F318" s="247" t="str">
        <f>IF(ISNUMBER(KPIs!S7),KPIs!S7,"")</f>
        <v/>
      </c>
      <c r="G318" s="247">
        <f>IF(ISNUMBER(KPIs!$C$7),KPIs!$C$7,"")</f>
        <v>2.35</v>
      </c>
      <c r="H318" s="199" t="str">
        <f>IFERROR(INDEX(_TARGETS!$E$2:$E$17,MATCH($C318,_TARGETS!$A$2:$A$17,0))&amp;"","")</f>
        <v>≤</v>
      </c>
      <c r="I318" s="199" t="str">
        <f t="shared" si="20"/>
        <v/>
      </c>
      <c r="J318" s="193" t="str">
        <f t="shared" si="21"/>
        <v>Monthly</v>
      </c>
      <c r="K318" s="193">
        <f>Datos!S33+Datos!S34+Datos!S35+Datos!S36</f>
        <v>0</v>
      </c>
      <c r="L318" s="248">
        <f>Datos!S14</f>
        <v>0</v>
      </c>
      <c r="M318" s="193">
        <f>INDEX(_TARGETS!$J$2:$J$17,MATCH($C318,_TARGETS!$A$2:$A$17,0))</f>
        <v>1000000</v>
      </c>
      <c r="N318" s="193" t="str">
        <f>INDEX(_TARGETS!$D$2:$D$17,MATCH($C318,_TARGETS!$A$2:$A$17,0))</f>
        <v>casos / 10^6 HH</v>
      </c>
      <c r="O318" s="193" t="str">
        <f>IF(NOT(ISNUMBER(F318)),"MISSING",IF((COUNTBLANK(Datos!S12)+COUNTBLANK(Datos!S13)+COUNTBLANK(Datos!S33)+COUNTBLANK(Datos!S34)+COUNTBLANK(Datos!S35)+COUNTBLANK(Datos!S36))&gt;0,"INCOMPLETE","OK"))</f>
        <v>MISSING</v>
      </c>
      <c r="P318" s="193" t="str">
        <f>INDEX(_TARGETS!$K$2:$K$17,MATCH($C318,_TARGETS!$A$2:$A$17,0))</f>
        <v>OPS (carga manual en Datos)</v>
      </c>
      <c r="Q318" s="193" t="str">
        <f t="shared" si="22"/>
        <v>202711|TRICF|Monthly</v>
      </c>
      <c r="R318" s="193" t="str">
        <f>INDEX(_TARGETS!$H$2:$H$17,MATCH($C318,_TARGETS!$A$2:$A$17,0))</f>
        <v>Definida</v>
      </c>
      <c r="S318" s="193" t="str">
        <f t="shared" si="23"/>
        <v/>
      </c>
      <c r="T318" s="193" t="str">
        <f t="shared" si="24"/>
        <v/>
      </c>
    </row>
    <row r="319" spans="1:20" ht="13.5" customHeight="1" x14ac:dyDescent="0.3">
      <c r="A319" s="245">
        <f>KPIs!$S$3</f>
        <v>46692</v>
      </c>
      <c r="B319" s="199" t="str">
        <f>KPIs!S$4</f>
        <v>Compresora</v>
      </c>
      <c r="C319" s="31" t="s">
        <v>51</v>
      </c>
      <c r="D319" s="199" t="str">
        <f>KPIs!$A$8</f>
        <v>3 · Casos de primeros auxilios</v>
      </c>
      <c r="E319" s="31" t="s">
        <v>599</v>
      </c>
      <c r="F319" s="247" t="str">
        <f>IF(ISNUMBER(KPIs!S8),KPIs!S8,"")</f>
        <v/>
      </c>
      <c r="G319" s="247" t="str">
        <f>IF(ISNUMBER(KPIs!$C$8),KPIs!$C$8,"")</f>
        <v/>
      </c>
      <c r="H319" s="199" t="str">
        <f>IFERROR(INDEX(_TARGETS!$E$2:$E$17,MATCH($C319,_TARGETS!$A$2:$A$17,0))&amp;"","")</f>
        <v/>
      </c>
      <c r="I319" s="199" t="str">
        <f t="shared" si="20"/>
        <v/>
      </c>
      <c r="J319" s="193" t="str">
        <f t="shared" si="21"/>
        <v>Monthly</v>
      </c>
      <c r="K319" s="248">
        <f>Datos!S37</f>
        <v>0</v>
      </c>
      <c r="M319" s="193">
        <f>INDEX(_TARGETS!$J$2:$J$17,MATCH($C319,_TARGETS!$A$2:$A$17,0))</f>
        <v>1</v>
      </c>
      <c r="N319" s="193" t="str">
        <f>INDEX(_TARGETS!$D$2:$D$17,MATCH($C319,_TARGETS!$A$2:$A$17,0))</f>
        <v>casos</v>
      </c>
      <c r="O319" s="193" t="str">
        <f>IF(NOT(ISNUMBER(F319)),"MISSING",IF((COUNTBLANK(Datos!S12)+COUNTBLANK(Datos!S13)+COUNTBLANK(Datos!S37))&gt;0,"INCOMPLETE","OK"))</f>
        <v>MISSING</v>
      </c>
      <c r="P319" s="193" t="str">
        <f>INDEX(_TARGETS!$K$2:$K$17,MATCH($C319,_TARGETS!$A$2:$A$17,0))</f>
        <v>OPS (carga manual en Datos)</v>
      </c>
      <c r="Q319" s="193" t="str">
        <f t="shared" si="22"/>
        <v>202711|FAC|Monthly</v>
      </c>
      <c r="R319" s="193" t="str">
        <f>INDEX(_TARGETS!$H$2:$H$17,MATCH($C319,_TARGETS!$A$2:$A$17,0))</f>
        <v>Solo reporte</v>
      </c>
      <c r="S319" s="193" t="str">
        <f t="shared" si="23"/>
        <v/>
      </c>
      <c r="T319" s="193" t="str">
        <f t="shared" si="24"/>
        <v/>
      </c>
    </row>
    <row r="320" spans="1:20" ht="13.5" customHeight="1" x14ac:dyDescent="0.3">
      <c r="A320" s="245">
        <f>KPIs!$S$3</f>
        <v>46692</v>
      </c>
      <c r="B320" s="199" t="str">
        <f>KPIs!S$4</f>
        <v>Compresora</v>
      </c>
      <c r="C320" s="31" t="s">
        <v>57</v>
      </c>
      <c r="D320" s="199" t="str">
        <f>KPIs!$A$10</f>
        <v>4 · Accidentes vehiculares severos por millón de km</v>
      </c>
      <c r="E320" s="31" t="s">
        <v>599</v>
      </c>
      <c r="F320" s="247" t="str">
        <f>IF(ISNUMBER(KPIs!S10),KPIs!S10,"")</f>
        <v/>
      </c>
      <c r="G320" s="247" t="str">
        <f>IF(ISNUMBER(KPIs!$C$10),KPIs!$C$10,"")</f>
        <v/>
      </c>
      <c r="H320" s="199" t="str">
        <f>IFERROR(INDEX(_TARGETS!$E$2:$E$17,MATCH($C320,_TARGETS!$A$2:$A$17,0))&amp;"","")</f>
        <v/>
      </c>
      <c r="I320" s="199" t="str">
        <f t="shared" si="20"/>
        <v/>
      </c>
      <c r="J320" s="193" t="str">
        <f t="shared" si="21"/>
        <v>Monthly</v>
      </c>
      <c r="K320" s="193">
        <f>Datos!S39+Datos!S40+Datos!S41</f>
        <v>0</v>
      </c>
      <c r="L320" s="248">
        <f>Datos!S47</f>
        <v>0</v>
      </c>
      <c r="M320" s="193">
        <f>INDEX(_TARGETS!$J$2:$J$17,MATCH($C320,_TARGETS!$A$2:$A$17,0))</f>
        <v>1000000</v>
      </c>
      <c r="N320" s="193" t="str">
        <f>INDEX(_TARGETS!$D$2:$D$17,MATCH($C320,_TARGETS!$A$2:$A$17,0))</f>
        <v>eventos / 10^6 km</v>
      </c>
      <c r="O320" s="193" t="str">
        <f>IF(NOT(ISNUMBER(F320)),"MISSING",IF((COUNTBLANK(Datos!S44)+COUNTBLANK(Datos!S45)+COUNTBLANK(Datos!S46)+COUNTBLANK(Datos!S39)+COUNTBLANK(Datos!S40)+COUNTBLANK(Datos!S41))&gt;0,"INCOMPLETE","OK"))</f>
        <v>MISSING</v>
      </c>
      <c r="P320" s="193" t="str">
        <f>INDEX(_TARGETS!$K$2:$K$17,MATCH($C320,_TARGETS!$A$2:$A$17,0))</f>
        <v>OPS (eventos) + Full Control GPS (km) - carga manual en Datos</v>
      </c>
      <c r="Q320" s="193" t="str">
        <f t="shared" si="22"/>
        <v>202711|SVCR|Monthly</v>
      </c>
      <c r="R320" s="193" t="str">
        <f>INDEX(_TARGETS!$H$2:$H$17,MATCH($C320,_TARGETS!$A$2:$A$17,0))</f>
        <v>Solo reporte</v>
      </c>
      <c r="S320" s="193" t="str">
        <f t="shared" si="23"/>
        <v/>
      </c>
      <c r="T320" s="193" t="str">
        <f t="shared" si="24"/>
        <v/>
      </c>
    </row>
    <row r="321" spans="1:20" ht="13.5" customHeight="1" x14ac:dyDescent="0.3">
      <c r="A321" s="245">
        <f>KPIs!$S$3</f>
        <v>46692</v>
      </c>
      <c r="B321" s="199" t="str">
        <f>KPIs!S$4</f>
        <v>Compresora</v>
      </c>
      <c r="C321" s="31" t="s">
        <v>61</v>
      </c>
      <c r="D321" s="199" t="str">
        <f>KPIs!$A$11</f>
        <v>5 · Accidentes vehiculares totales por millón de km</v>
      </c>
      <c r="E321" s="31" t="s">
        <v>599</v>
      </c>
      <c r="F321" s="247" t="str">
        <f>IF(ISNUMBER(KPIs!S11),KPIs!S11,"")</f>
        <v/>
      </c>
      <c r="G321" s="247">
        <f>IF(ISNUMBER(KPIs!$C$11),KPIs!$C$11,"")</f>
        <v>0.79</v>
      </c>
      <c r="H321" s="199" t="str">
        <f>IFERROR(INDEX(_TARGETS!$E$2:$E$17,MATCH($C321,_TARGETS!$A$2:$A$17,0))&amp;"","")</f>
        <v>≤</v>
      </c>
      <c r="I321" s="199" t="str">
        <f t="shared" si="20"/>
        <v/>
      </c>
      <c r="J321" s="193" t="str">
        <f t="shared" si="21"/>
        <v>Monthly</v>
      </c>
      <c r="K321" s="193">
        <f>Datos!S39+Datos!S40+Datos!S41+Datos!S42</f>
        <v>0</v>
      </c>
      <c r="L321" s="248">
        <f>Datos!S47</f>
        <v>0</v>
      </c>
      <c r="M321" s="193">
        <f>INDEX(_TARGETS!$J$2:$J$17,MATCH($C321,_TARGETS!$A$2:$A$17,0))</f>
        <v>1000000</v>
      </c>
      <c r="N321" s="193" t="str">
        <f>INDEX(_TARGETS!$D$2:$D$17,MATCH($C321,_TARGETS!$A$2:$A$17,0))</f>
        <v>eventos / 10^6 km</v>
      </c>
      <c r="O321" s="193" t="str">
        <f>IF(NOT(ISNUMBER(F321)),"MISSING",IF((COUNTBLANK(Datos!S44)+COUNTBLANK(Datos!S45)+COUNTBLANK(Datos!S46)+COUNTBLANK(Datos!S39)+COUNTBLANK(Datos!S40)+COUNTBLANK(Datos!S41)+COUNTBLANK(Datos!S42))&gt;0,"INCOMPLETE","OK"))</f>
        <v>MISSING</v>
      </c>
      <c r="P321" s="193" t="str">
        <f>INDEX(_TARGETS!$K$2:$K$17,MATCH($C321,_TARGETS!$A$2:$A$17,0))</f>
        <v>OPS (eventos) + Full Control GPS (km) - carga manual en Datos</v>
      </c>
      <c r="Q321" s="193" t="str">
        <f t="shared" si="22"/>
        <v>202711|TVCR|Monthly</v>
      </c>
      <c r="R321" s="193" t="str">
        <f>INDEX(_TARGETS!$H$2:$H$17,MATCH($C321,_TARGETS!$A$2:$A$17,0))</f>
        <v>Definida</v>
      </c>
      <c r="S321" s="193" t="str">
        <f t="shared" si="23"/>
        <v/>
      </c>
      <c r="T321" s="193" t="str">
        <f t="shared" si="24"/>
        <v/>
      </c>
    </row>
    <row r="322" spans="1:20" ht="13.5" customHeight="1" x14ac:dyDescent="0.3">
      <c r="A322" s="245">
        <f>KPIs!$S$3</f>
        <v>46692</v>
      </c>
      <c r="B322" s="199" t="str">
        <f>KPIs!S$4</f>
        <v>Compresora</v>
      </c>
      <c r="C322" s="31" t="s">
        <v>63</v>
      </c>
      <c r="D322" s="199" t="str">
        <f>KPIs!$A$13</f>
        <v>6 · Observaciones de seguridad por persona</v>
      </c>
      <c r="E322" s="31" t="s">
        <v>599</v>
      </c>
      <c r="F322" s="247" t="str">
        <f>IF(ISNUMBER(KPIs!S13),KPIs!S13,"")</f>
        <v/>
      </c>
      <c r="G322" s="247">
        <f>IF(ISNUMBER(KPIs!$C$13),KPIs!$C$13,"")</f>
        <v>1</v>
      </c>
      <c r="H322" s="199" t="str">
        <f>IFERROR(INDEX(_TARGETS!$E$2:$E$17,MATCH($C322,_TARGETS!$A$2:$A$17,0))&amp;"","")</f>
        <v>≥</v>
      </c>
      <c r="I322" s="199" t="str">
        <f t="shared" ref="I322:I385" si="25">IF(OR(H322="",F322="",G322=""),"",IF(IF(H322="≤",F322&lt;=G322,F322&gt;=G322),"Sí","No"))</f>
        <v/>
      </c>
      <c r="J322" s="193" t="str">
        <f t="shared" ref="J322:J385" si="26">IF(E322="Mensual","Monthly",IF(E322="Acumulado","Cumulative",E322))</f>
        <v>Monthly</v>
      </c>
      <c r="K322" s="248" t="str">
        <f>IF(COUNT(Datos!S28:S29)=0,"",SUM(Datos!S28:S29))</f>
        <v/>
      </c>
      <c r="L322" s="248">
        <f>Datos!S11</f>
        <v>0</v>
      </c>
      <c r="M322" s="193">
        <f>INDEX(_TARGETS!$J$2:$J$17,MATCH($C322,_TARGETS!$A$2:$A$17,0))</f>
        <v>1</v>
      </c>
      <c r="N322" s="193" t="str">
        <f>INDEX(_TARGETS!$D$2:$D$17,MATCH($C322,_TARGETS!$A$2:$A$17,0))</f>
        <v>obs / persona</v>
      </c>
      <c r="O322" s="193" t="str">
        <f>IF(NOT(ISNUMBER(F322)),"MISSING",IF((COUNTBLANK(Datos!S9)+COUNTBLANK(Datos!S10)+IF(COUNT(Datos!S28:S29)=0,1,0))&gt;0,"INCOMPLETE","OK"))</f>
        <v>MISSING</v>
      </c>
      <c r="P322" s="193" t="str">
        <f>INDEX(_TARGETS!$K$2:$K$17,MATCH($C322,_TARGETS!$A$2:$A$17,0))</f>
        <v>OPS (carga manual en Datos)</v>
      </c>
      <c r="Q322" s="193" t="str">
        <f t="shared" ref="Q322:Q385" si="27">YEAR(A322)*100+MONTH(A322)&amp;"|"&amp;C322&amp;"|"&amp;J322</f>
        <v>202711|OBS|Monthly</v>
      </c>
      <c r="R322" s="193" t="str">
        <f>INDEX(_TARGETS!$H$2:$H$17,MATCH($C322,_TARGETS!$A$2:$A$17,0))</f>
        <v>PROVISORIA · referencia del subcontratista (OPS: 1 obs/persona); meta y población en definición</v>
      </c>
      <c r="S322" s="193" t="str">
        <f t="shared" ref="S322:S385" si="28">IF(AND(ISNUMBER(K322),ISNUMBER(L322)),IF(L322=0,"",K322*M322/L322),IF(ISNUMBER(K322),K322*M322,""))</f>
        <v/>
      </c>
      <c r="T322" s="193" t="str">
        <f t="shared" ref="T322:T385" si="29">IF(AND(ISNUMBER(F322),ISNUMBER(S322)),ABS(F322-S322),"")</f>
        <v/>
      </c>
    </row>
    <row r="323" spans="1:20" ht="13.5" customHeight="1" x14ac:dyDescent="0.3">
      <c r="A323" s="245">
        <f>KPIs!$S$3</f>
        <v>46692</v>
      </c>
      <c r="B323" s="199" t="str">
        <f>KPIs!S$4</f>
        <v>Compresora</v>
      </c>
      <c r="C323" s="31" t="s">
        <v>71</v>
      </c>
      <c r="D323" s="199" t="str">
        <f>KPIs!$A$14</f>
        <v>7 · Investigaciones de accidentes: días promedio de cierre</v>
      </c>
      <c r="E323" s="31" t="s">
        <v>599</v>
      </c>
      <c r="F323" s="247" t="str">
        <f>IF(ISNUMBER(KPIs!S14),KPIs!S14,"")</f>
        <v/>
      </c>
      <c r="G323" s="247">
        <f>IF(ISNUMBER(KPIs!$C$14),KPIs!$C$14,"")</f>
        <v>20</v>
      </c>
      <c r="H323" s="199" t="str">
        <f>IFERROR(INDEX(_TARGETS!$E$2:$E$17,MATCH($C323,_TARGETS!$A$2:$A$17,0))&amp;"","")</f>
        <v>≤</v>
      </c>
      <c r="I323" s="199" t="str">
        <f t="shared" si="25"/>
        <v/>
      </c>
      <c r="J323" s="193" t="str">
        <f t="shared" si="26"/>
        <v>Monthly</v>
      </c>
      <c r="K323" s="248">
        <f>Datos!S31</f>
        <v>0</v>
      </c>
      <c r="L323" s="248">
        <f>Datos!S30</f>
        <v>0</v>
      </c>
      <c r="M323" s="193">
        <f>INDEX(_TARGETS!$J$2:$J$17,MATCH($C323,_TARGETS!$A$2:$A$17,0))</f>
        <v>1</v>
      </c>
      <c r="N323" s="193" t="str">
        <f>INDEX(_TARGETS!$D$2:$D$17,MATCH($C323,_TARGETS!$A$2:$A$17,0))</f>
        <v>días</v>
      </c>
      <c r="O323" s="193" t="str">
        <f>IF(NOT(ISNUMBER(F323)),"MISSING",IF((COUNTBLANK(Datos!S30)+COUNTBLANK(Datos!S31))&gt;0,"INCOMPLETE","OK"))</f>
        <v>MISSING</v>
      </c>
      <c r="P323" s="193" t="str">
        <f>INDEX(_TARGETS!$K$2:$K$17,MATCH($C323,_TARGETS!$A$2:$A$17,0))</f>
        <v>OPS (carga manual en Datos)</v>
      </c>
      <c r="Q323" s="193" t="str">
        <f t="shared" si="27"/>
        <v>202711|INV|Monthly</v>
      </c>
      <c r="R323" s="193" t="str">
        <f>INDEX(_TARGETS!$H$2:$H$17,MATCH($C323,_TARGETS!$A$2:$A$17,0))</f>
        <v>Definida</v>
      </c>
      <c r="S323" s="193" t="str">
        <f t="shared" si="28"/>
        <v/>
      </c>
      <c r="T323" s="193" t="str">
        <f t="shared" si="29"/>
        <v/>
      </c>
    </row>
    <row r="324" spans="1:20" ht="13.5" customHeight="1" x14ac:dyDescent="0.3">
      <c r="A324" s="245">
        <f>KPIs!$S$3</f>
        <v>46692</v>
      </c>
      <c r="B324" s="199" t="str">
        <f>KPIs!S$4</f>
        <v>Compresora</v>
      </c>
      <c r="C324" s="31" t="s">
        <v>76</v>
      </c>
      <c r="D324" s="199" t="str">
        <f>KPIs!$A$16</f>
        <v>8 · % de capacitación en seguridad</v>
      </c>
      <c r="E324" s="31" t="s">
        <v>599</v>
      </c>
      <c r="F324" s="247" t="str">
        <f>IF(ISNUMBER(KPIs!S16),KPIs!S16,"")</f>
        <v/>
      </c>
      <c r="G324" s="247">
        <f>IF(ISNUMBER(KPIs!$C$16),KPIs!$C$16,"")</f>
        <v>0.01</v>
      </c>
      <c r="H324" s="199" t="str">
        <f>IFERROR(INDEX(_TARGETS!$E$2:$E$17,MATCH($C324,_TARGETS!$A$2:$A$17,0))&amp;"","")</f>
        <v>≥</v>
      </c>
      <c r="I324" s="199" t="str">
        <f t="shared" si="25"/>
        <v/>
      </c>
      <c r="J324" s="193" t="str">
        <f t="shared" si="26"/>
        <v>Monthly</v>
      </c>
      <c r="K324" s="248">
        <f>Datos!S18</f>
        <v>0</v>
      </c>
      <c r="L324" s="248">
        <f>Datos!S14</f>
        <v>0</v>
      </c>
      <c r="M324" s="193">
        <f>INDEX(_TARGETS!$J$2:$J$17,MATCH($C324,_TARGETS!$A$2:$A$17,0))</f>
        <v>1</v>
      </c>
      <c r="N324" s="193" t="str">
        <f>INDEX(_TARGETS!$D$2:$D$17,MATCH($C324,_TARGETS!$A$2:$A$17,0))</f>
        <v>% (fracción)</v>
      </c>
      <c r="O324" s="193" t="str">
        <f>IF(NOT(ISNUMBER(F324)),"MISSING",IF((COUNTBLANK(Datos!S16)+COUNTBLANK(Datos!S17)+COUNTBLANK(Datos!S12)+COUNTBLANK(Datos!S13))&gt;0,"INCOMPLETE","OK"))</f>
        <v>MISSING</v>
      </c>
      <c r="P324" s="193" t="str">
        <f>INDEX(_TARGETS!$K$2:$K$17,MATCH($C324,_TARGETS!$A$2:$A$17,0))</f>
        <v>OPS (carga manual en Datos)</v>
      </c>
      <c r="Q324" s="193" t="str">
        <f t="shared" si="27"/>
        <v>202711|HCS|Monthly</v>
      </c>
      <c r="R324" s="193" t="str">
        <f>INDEX(_TARGETS!$H$2:$H$17,MATCH($C324,_TARGETS!$A$2:$A$17,0))</f>
        <v>Definida</v>
      </c>
      <c r="S324" s="193" t="str">
        <f t="shared" si="28"/>
        <v/>
      </c>
      <c r="T324" s="193" t="str">
        <f t="shared" si="29"/>
        <v/>
      </c>
    </row>
    <row r="325" spans="1:20" ht="13.5" customHeight="1" x14ac:dyDescent="0.3">
      <c r="A325" s="245">
        <f>KPIs!$S$3</f>
        <v>46692</v>
      </c>
      <c r="B325" s="199" t="str">
        <f>KPIs!S$4</f>
        <v>Compresora</v>
      </c>
      <c r="C325" s="31" t="s">
        <v>80</v>
      </c>
      <c r="D325" s="199" t="str">
        <f>KPIs!$A$17</f>
        <v>9 · Horas de capacitación por persona</v>
      </c>
      <c r="E325" s="31" t="s">
        <v>599</v>
      </c>
      <c r="F325" s="247" t="str">
        <f>IF(ISNUMBER(KPIs!S17),KPIs!S17,"")</f>
        <v/>
      </c>
      <c r="G325" s="247" t="str">
        <f>IF(ISNUMBER(KPIs!$C$17),KPIs!$C$17,"")</f>
        <v/>
      </c>
      <c r="H325" s="199" t="str">
        <f>IFERROR(INDEX(_TARGETS!$E$2:$E$17,MATCH($C325,_TARGETS!$A$2:$A$17,0))&amp;"","")</f>
        <v/>
      </c>
      <c r="I325" s="199" t="str">
        <f t="shared" si="25"/>
        <v/>
      </c>
      <c r="J325" s="193" t="str">
        <f t="shared" si="26"/>
        <v>Monthly</v>
      </c>
      <c r="K325" s="248">
        <f>Datos!S18</f>
        <v>0</v>
      </c>
      <c r="L325" s="248">
        <f>Datos!S11</f>
        <v>0</v>
      </c>
      <c r="M325" s="193">
        <f>INDEX(_TARGETS!$J$2:$J$17,MATCH($C325,_TARGETS!$A$2:$A$17,0))</f>
        <v>1</v>
      </c>
      <c r="N325" s="193" t="str">
        <f>INDEX(_TARGETS!$D$2:$D$17,MATCH($C325,_TARGETS!$A$2:$A$17,0))</f>
        <v>h / persona</v>
      </c>
      <c r="O325" s="193" t="str">
        <f>IF(NOT(ISNUMBER(F325)),"MISSING",IF((COUNTBLANK(Datos!S16)+COUNTBLANK(Datos!S17)+COUNTBLANK(Datos!S9)+COUNTBLANK(Datos!S10))&gt;0,"INCOMPLETE","OK"))</f>
        <v>MISSING</v>
      </c>
      <c r="P325" s="193" t="str">
        <f>INDEX(_TARGETS!$K$2:$K$17,MATCH($C325,_TARGETS!$A$2:$A$17,0))</f>
        <v>OPS (carga manual en Datos)</v>
      </c>
      <c r="Q325" s="193" t="str">
        <f t="shared" si="27"/>
        <v>202711|HCSA|Monthly</v>
      </c>
      <c r="R325" s="193" t="str">
        <f>INDEX(_TARGETS!$H$2:$H$17,MATCH($C325,_TARGETS!$A$2:$A$17,0))</f>
        <v>Solo reporte</v>
      </c>
      <c r="S325" s="193" t="str">
        <f t="shared" si="28"/>
        <v/>
      </c>
      <c r="T325" s="193" t="str">
        <f t="shared" si="29"/>
        <v/>
      </c>
    </row>
    <row r="326" spans="1:20" ht="13.5" customHeight="1" x14ac:dyDescent="0.3">
      <c r="A326" s="245">
        <f>KPIs!$S$3</f>
        <v>46692</v>
      </c>
      <c r="B326" s="199" t="str">
        <f>KPIs!S$4</f>
        <v>Compresora</v>
      </c>
      <c r="C326" s="31" t="s">
        <v>83</v>
      </c>
      <c r="D326" s="199" t="str">
        <f>KPIs!$A$18</f>
        <v>10 · Cumplimiento de simulacros (emergencia y operativos)</v>
      </c>
      <c r="E326" s="31" t="s">
        <v>599</v>
      </c>
      <c r="F326" s="247" t="str">
        <f>IF(ISNUMBER(KPIs!S18),KPIs!S18,"")</f>
        <v/>
      </c>
      <c r="G326" s="247">
        <f>IF(ISNUMBER(KPIs!$C$18),KPIs!$C$18,"")</f>
        <v>1</v>
      </c>
      <c r="H326" s="199" t="str">
        <f>IFERROR(INDEX(_TARGETS!$E$2:$E$17,MATCH($C326,_TARGETS!$A$2:$A$17,0))&amp;"","")</f>
        <v>≥</v>
      </c>
      <c r="I326" s="199" t="str">
        <f t="shared" si="25"/>
        <v/>
      </c>
      <c r="J326" s="193" t="str">
        <f t="shared" si="26"/>
        <v>Monthly</v>
      </c>
      <c r="K326" s="248">
        <f>Datos!S20</f>
        <v>0</v>
      </c>
      <c r="L326" s="248">
        <f>Datos!S21</f>
        <v>0</v>
      </c>
      <c r="M326" s="193">
        <f>INDEX(_TARGETS!$J$2:$J$17,MATCH($C326,_TARGETS!$A$2:$A$17,0))</f>
        <v>1</v>
      </c>
      <c r="N326" s="193" t="str">
        <f>INDEX(_TARGETS!$D$2:$D$17,MATCH($C326,_TARGETS!$A$2:$A$17,0))</f>
        <v>% (fracción)</v>
      </c>
      <c r="O326" s="193" t="str">
        <f>IF(NOT(ISNUMBER(F326)),"MISSING",IF((COUNTBLANK(Datos!S20)+COUNTBLANK(Datos!S21))&gt;0,"INCOMPLETE","OK"))</f>
        <v>MISSING</v>
      </c>
      <c r="P326" s="193" t="str">
        <f>INDEX(_TARGETS!$K$2:$K$17,MATCH($C326,_TARGETS!$A$2:$A$17,0))</f>
        <v>OPS (carga manual en Datos)</v>
      </c>
      <c r="Q326" s="193" t="str">
        <f t="shared" si="27"/>
        <v>202711|CPSE|Monthly</v>
      </c>
      <c r="R326" s="193" t="str">
        <f>INDEX(_TARGETS!$H$2:$H$17,MATCH($C326,_TARGETS!$A$2:$A$17,0))</f>
        <v>Definida</v>
      </c>
      <c r="S326" s="193" t="str">
        <f t="shared" si="28"/>
        <v/>
      </c>
      <c r="T326" s="193" t="str">
        <f t="shared" si="29"/>
        <v/>
      </c>
    </row>
    <row r="327" spans="1:20" ht="13.5" customHeight="1" x14ac:dyDescent="0.3">
      <c r="A327" s="245">
        <f>KPIs!$S$3</f>
        <v>46692</v>
      </c>
      <c r="B327" s="199" t="str">
        <f>KPIs!S$4</f>
        <v>Compresora</v>
      </c>
      <c r="C327" s="31" t="s">
        <v>85</v>
      </c>
      <c r="D327" s="199" t="str">
        <f>KPIs!$A$19</f>
        <v>10b · Cumplimiento de acciones de mejora de simulacros</v>
      </c>
      <c r="E327" s="31" t="s">
        <v>599</v>
      </c>
      <c r="F327" s="247" t="str">
        <f>IF(ISNUMBER(KPIs!S19),KPIs!S19,"")</f>
        <v/>
      </c>
      <c r="G327" s="247" t="str">
        <f>IF(ISNUMBER(KPIs!$C$19),KPIs!$C$19,"")</f>
        <v/>
      </c>
      <c r="H327" s="199" t="str">
        <f>IFERROR(INDEX(_TARGETS!$E$2:$E$17,MATCH($C327,_TARGETS!$A$2:$A$17,0))&amp;"","")</f>
        <v/>
      </c>
      <c r="I327" s="199" t="str">
        <f t="shared" si="25"/>
        <v/>
      </c>
      <c r="J327" s="193" t="str">
        <f t="shared" si="26"/>
        <v>Monthly</v>
      </c>
      <c r="K327" s="248">
        <f>Datos!S23</f>
        <v>0</v>
      </c>
      <c r="L327" s="248">
        <f>Datos!S22</f>
        <v>0</v>
      </c>
      <c r="M327" s="193">
        <f>INDEX(_TARGETS!$J$2:$J$17,MATCH($C327,_TARGETS!$A$2:$A$17,0))</f>
        <v>1</v>
      </c>
      <c r="N327" s="193" t="str">
        <f>INDEX(_TARGETS!$D$2:$D$17,MATCH($C327,_TARGETS!$A$2:$A$17,0))</f>
        <v>% (fracción)</v>
      </c>
      <c r="O327" s="193" t="str">
        <f>IF(NOT(ISNUMBER(F327)),"MISSING",IF((COUNTBLANK(Datos!S23)+COUNTBLANK(Datos!S22))&gt;0,"INCOMPLETE","OK"))</f>
        <v>MISSING</v>
      </c>
      <c r="P327" s="193" t="str">
        <f>INDEX(_TARGETS!$K$2:$K$17,MATCH($C327,_TARGETS!$A$2:$A$17,0))</f>
        <v>OPS (carga manual en Datos)</v>
      </c>
      <c r="Q327" s="193" t="str">
        <f t="shared" si="27"/>
        <v>202711|CAMS|Monthly</v>
      </c>
      <c r="R327" s="193" t="str">
        <f>INDEX(_TARGETS!$H$2:$H$17,MATCH($C327,_TARGETS!$A$2:$A$17,0))</f>
        <v>Solo reporte</v>
      </c>
      <c r="S327" s="193" t="str">
        <f t="shared" si="28"/>
        <v/>
      </c>
      <c r="T327" s="193" t="str">
        <f t="shared" si="29"/>
        <v/>
      </c>
    </row>
    <row r="328" spans="1:20" ht="13.5" customHeight="1" x14ac:dyDescent="0.3">
      <c r="A328" s="245">
        <f>KPIs!$S$3</f>
        <v>46692</v>
      </c>
      <c r="B328" s="199" t="str">
        <f>KPIs!S$4</f>
        <v>Compresora</v>
      </c>
      <c r="C328" s="31" t="s">
        <v>87</v>
      </c>
      <c r="D328" s="199" t="str">
        <f>KPIs!$A$21</f>
        <v>11 · Cumplimiento de caminatas gerenciales</v>
      </c>
      <c r="E328" s="31" t="s">
        <v>599</v>
      </c>
      <c r="F328" s="247" t="str">
        <f>IF(ISNUMBER(KPIs!S21),KPIs!S21,"")</f>
        <v/>
      </c>
      <c r="G328" s="247">
        <f>IF(ISNUMBER(KPIs!$C$21),KPIs!$C$21,"")</f>
        <v>1</v>
      </c>
      <c r="H328" s="199" t="str">
        <f>IFERROR(INDEX(_TARGETS!$E$2:$E$17,MATCH($C328,_TARGETS!$A$2:$A$17,0))&amp;"","")</f>
        <v>≥</v>
      </c>
      <c r="I328" s="199" t="str">
        <f t="shared" si="25"/>
        <v/>
      </c>
      <c r="J328" s="193" t="str">
        <f t="shared" si="26"/>
        <v>Monthly</v>
      </c>
      <c r="K328" s="248">
        <f>Datos!S24</f>
        <v>0</v>
      </c>
      <c r="L328" s="248">
        <f>Datos!S25</f>
        <v>0</v>
      </c>
      <c r="M328" s="193">
        <f>INDEX(_TARGETS!$J$2:$J$17,MATCH($C328,_TARGETS!$A$2:$A$17,0))</f>
        <v>1</v>
      </c>
      <c r="N328" s="193" t="str">
        <f>INDEX(_TARGETS!$D$2:$D$17,MATCH($C328,_TARGETS!$A$2:$A$17,0))</f>
        <v>% (fracción)</v>
      </c>
      <c r="O328" s="193" t="str">
        <f>IF(NOT(ISNUMBER(F328)),"MISSING",IF((COUNTBLANK(Datos!S24)+COUNTBLANK(Datos!S25))&gt;0,"INCOMPLETE","OK"))</f>
        <v>MISSING</v>
      </c>
      <c r="P328" s="193" t="str">
        <f>INDEX(_TARGETS!$K$2:$K$17,MATCH($C328,_TARGETS!$A$2:$A$17,0))</f>
        <v>OPS (carga manual en Datos)</v>
      </c>
      <c r="Q328" s="193" t="str">
        <f t="shared" si="27"/>
        <v>202711|ICCS|Monthly</v>
      </c>
      <c r="R328" s="193" t="str">
        <f>INDEX(_TARGETS!$H$2:$H$17,MATCH($C328,_TARGETS!$A$2:$A$17,0))</f>
        <v>Definida</v>
      </c>
      <c r="S328" s="193" t="str">
        <f t="shared" si="28"/>
        <v/>
      </c>
      <c r="T328" s="193" t="str">
        <f t="shared" si="29"/>
        <v/>
      </c>
    </row>
    <row r="329" spans="1:20" ht="13.5" customHeight="1" x14ac:dyDescent="0.3">
      <c r="A329" s="245">
        <f>KPIs!$S$3</f>
        <v>46692</v>
      </c>
      <c r="B329" s="199" t="str">
        <f>KPIs!S$4</f>
        <v>Compresora</v>
      </c>
      <c r="C329" s="31" t="s">
        <v>89</v>
      </c>
      <c r="D329" s="199" t="str">
        <f>KPIs!$A$22</f>
        <v>12 · Cumplimiento de comités y subcomités de seguridad</v>
      </c>
      <c r="E329" s="31" t="s">
        <v>599</v>
      </c>
      <c r="F329" s="247" t="str">
        <f>IF(ISNUMBER(KPIs!S22),KPIs!S22,"")</f>
        <v/>
      </c>
      <c r="G329" s="247">
        <f>IF(ISNUMBER(KPIs!$C$22),KPIs!$C$22,"")</f>
        <v>1</v>
      </c>
      <c r="H329" s="199" t="str">
        <f>IFERROR(INDEX(_TARGETS!$E$2:$E$17,MATCH($C329,_TARGETS!$A$2:$A$17,0))&amp;"","")</f>
        <v>≥</v>
      </c>
      <c r="I329" s="199" t="str">
        <f t="shared" si="25"/>
        <v/>
      </c>
      <c r="J329" s="193" t="str">
        <f t="shared" si="26"/>
        <v>Monthly</v>
      </c>
      <c r="K329" s="248">
        <f>Datos!S26</f>
        <v>0</v>
      </c>
      <c r="L329" s="248">
        <f>Datos!S27</f>
        <v>0</v>
      </c>
      <c r="M329" s="193">
        <f>INDEX(_TARGETS!$J$2:$J$17,MATCH($C329,_TARGETS!$A$2:$A$17,0))</f>
        <v>1</v>
      </c>
      <c r="N329" s="193" t="str">
        <f>INDEX(_TARGETS!$D$2:$D$17,MATCH($C329,_TARGETS!$A$2:$A$17,0))</f>
        <v>% (fracción)</v>
      </c>
      <c r="O329" s="193" t="str">
        <f>IF(NOT(ISNUMBER(F329)),"MISSING",IF((COUNTBLANK(Datos!S26)+COUNTBLANK(Datos!S27))&gt;0,"INCOMPLETE","OK"))</f>
        <v>MISSING</v>
      </c>
      <c r="P329" s="193" t="str">
        <f>INDEX(_TARGETS!$K$2:$K$17,MATCH($C329,_TARGETS!$A$2:$A$17,0))</f>
        <v>OPS (carga manual en Datos)</v>
      </c>
      <c r="Q329" s="193" t="str">
        <f t="shared" si="27"/>
        <v>202711|CCS|Monthly</v>
      </c>
      <c r="R329" s="193" t="str">
        <f>INDEX(_TARGETS!$H$2:$H$17,MATCH($C329,_TARGETS!$A$2:$A$17,0))</f>
        <v>Definida</v>
      </c>
      <c r="S329" s="193" t="str">
        <f t="shared" si="28"/>
        <v/>
      </c>
      <c r="T329" s="193" t="str">
        <f t="shared" si="29"/>
        <v/>
      </c>
    </row>
    <row r="330" spans="1:20" ht="13.5" customHeight="1" x14ac:dyDescent="0.3">
      <c r="A330" s="245">
        <f>KPIs!$S$3</f>
        <v>46692</v>
      </c>
      <c r="B330" s="199" t="str">
        <f>KPIs!S$4</f>
        <v>Compresora</v>
      </c>
      <c r="C330" s="31" t="s">
        <v>91</v>
      </c>
      <c r="D330" s="199" t="str">
        <f>KPIs!$A$23</f>
        <v>13 · Días promedio para cerrar hallazgos</v>
      </c>
      <c r="E330" s="31" t="s">
        <v>599</v>
      </c>
      <c r="F330" s="247" t="str">
        <f>IF(ISNUMBER(KPIs!S23),KPIs!S23,"")</f>
        <v/>
      </c>
      <c r="G330" s="247" t="str">
        <f>IF(ISNUMBER(KPIs!$C$23),KPIs!$C$23,"")</f>
        <v/>
      </c>
      <c r="H330" s="199" t="str">
        <f>IFERROR(INDEX(_TARGETS!$E$2:$E$17,MATCH($C330,_TARGETS!$A$2:$A$17,0))&amp;"","")</f>
        <v>≤</v>
      </c>
      <c r="I330" s="199" t="str">
        <f t="shared" si="25"/>
        <v/>
      </c>
      <c r="J330" s="193" t="str">
        <f t="shared" si="26"/>
        <v>Monthly</v>
      </c>
      <c r="K330" s="248">
        <f>Datos!S68</f>
        <v>0</v>
      </c>
      <c r="L330" s="248">
        <f>Datos!S67</f>
        <v>0</v>
      </c>
      <c r="M330" s="193">
        <f>INDEX(_TARGETS!$J$2:$J$17,MATCH($C330,_TARGETS!$A$2:$A$17,0))</f>
        <v>1</v>
      </c>
      <c r="N330" s="193" t="str">
        <f>INDEX(_TARGETS!$D$2:$D$17,MATCH($C330,_TARGETS!$A$2:$A$17,0))</f>
        <v>días</v>
      </c>
      <c r="O330" s="193" t="str">
        <f>IF(NOT(ISNUMBER(F330)),"MISSING","OK")</f>
        <v>MISSING</v>
      </c>
      <c r="P330" s="193" t="str">
        <f>INDEX(_TARGETS!$K$2:$K$17,MATCH($C330,_TARGETS!$A$2:$A$17,0))</f>
        <v>Plant Findings (hoja Observaciones-SMP)</v>
      </c>
      <c r="Q330" s="193" t="str">
        <f t="shared" si="27"/>
        <v>202711|DPAS|Monthly</v>
      </c>
      <c r="R330" s="193" t="str">
        <f>INDEX(_TARGETS!$H$2:$H$17,MATCH($C330,_TARGETS!$A$2:$A$17,0))</f>
        <v>Pendiente (meta 2027)</v>
      </c>
      <c r="S330" s="193" t="str">
        <f t="shared" si="28"/>
        <v/>
      </c>
      <c r="T330" s="193" t="str">
        <f t="shared" si="29"/>
        <v/>
      </c>
    </row>
    <row r="331" spans="1:20" ht="13.5" customHeight="1" x14ac:dyDescent="0.3">
      <c r="A331" s="245">
        <f>KPIs!$S$3</f>
        <v>46692</v>
      </c>
      <c r="B331" s="199" t="str">
        <f>KPIs!S$4</f>
        <v>Compresora</v>
      </c>
      <c r="C331" s="31" t="s">
        <v>39</v>
      </c>
      <c r="D331" s="199" t="str">
        <f>KPIs!$A$26</f>
        <v>1 · Frecuencia de casos con días perdidos · ACUMULADO</v>
      </c>
      <c r="E331" s="31" t="s">
        <v>600</v>
      </c>
      <c r="F331" s="247" t="str">
        <f>IF(ISNUMBER(KPIs!S26),KPIs!S26,"")</f>
        <v/>
      </c>
      <c r="G331" s="247">
        <f>IF(ISNUMBER(KPIs!$C$26),KPIs!$C$26,"")</f>
        <v>0</v>
      </c>
      <c r="H331" s="199" t="str">
        <f>IFERROR(INDEX(_TARGETS!$E$2:$E$17,MATCH($C331,_TARGETS!$A$2:$A$17,0))&amp;"","")</f>
        <v>≤</v>
      </c>
      <c r="I331" s="199" t="str">
        <f t="shared" si="25"/>
        <v/>
      </c>
      <c r="J331" s="193" t="str">
        <f t="shared" si="26"/>
        <v>Cumulative</v>
      </c>
      <c r="K331" s="193">
        <f>SUM(Datos!$D33:S33)</f>
        <v>0</v>
      </c>
      <c r="L331" s="193">
        <f>SUM(Datos!$D14:S14)</f>
        <v>48332</v>
      </c>
      <c r="M331" s="193">
        <f>INDEX(_TARGETS!$J$2:$J$17,MATCH($C331,_TARGETS!$A$2:$A$17,0))</f>
        <v>1000000</v>
      </c>
      <c r="N331" s="193" t="str">
        <f>INDEX(_TARGETS!$D$2:$D$17,MATCH($C331,_TARGETS!$A$2:$A$17,0))</f>
        <v>casos / 10^6 HH</v>
      </c>
      <c r="O331" s="193" t="str">
        <f>IF(NOT(ISNUMBER(F331)),IF(SUMPRODUCT(($C$2:$C$1300=C331)*($J$2:$J$1300="Monthly")*($A$2:$A$1300&lt;=A331)*ISNUMBER($K$2:$K$1300)*ISNUMBER($L$2:$L$1300)*($L$2:$L$1300=0)*($K$2:$K$1300&gt;0))&gt;0,"INCOMPLETE","MISSING"),O317)</f>
        <v>MISSING</v>
      </c>
      <c r="P331" s="193" t="str">
        <f>INDEX(_TARGETS!$K$2:$K$17,MATCH($C331,_TARGETS!$A$2:$A$17,0))</f>
        <v>OPS (carga manual en Datos)</v>
      </c>
      <c r="Q331" s="193" t="str">
        <f t="shared" si="27"/>
        <v>202711|DAFWCF|Cumulative</v>
      </c>
      <c r="R331" s="193" t="str">
        <f>INDEX(_TARGETS!$H$2:$H$17,MATCH($C331,_TARGETS!$A$2:$A$17,0))</f>
        <v>Definida</v>
      </c>
      <c r="S331" s="193">
        <f t="shared" si="28"/>
        <v>0</v>
      </c>
      <c r="T331" s="193" t="str">
        <f t="shared" si="29"/>
        <v/>
      </c>
    </row>
    <row r="332" spans="1:20" ht="13.5" customHeight="1" x14ac:dyDescent="0.3">
      <c r="A332" s="245">
        <f>KPIs!$S$3</f>
        <v>46692</v>
      </c>
      <c r="B332" s="199" t="str">
        <f>KPIs!S$4</f>
        <v>Compresora</v>
      </c>
      <c r="C332" s="31" t="s">
        <v>49</v>
      </c>
      <c r="D332" s="199" t="str">
        <f>KPIs!$A$27</f>
        <v>2 · Frecuencia de casos registrables · ACUMULADO</v>
      </c>
      <c r="E332" s="31" t="s">
        <v>600</v>
      </c>
      <c r="F332" s="247" t="str">
        <f>IF(ISNUMBER(KPIs!S27),KPIs!S27,"")</f>
        <v/>
      </c>
      <c r="G332" s="247">
        <f>IF(ISNUMBER(KPIs!$C$27),KPIs!$C$27,"")</f>
        <v>2.35</v>
      </c>
      <c r="H332" s="199" t="str">
        <f>IFERROR(INDEX(_TARGETS!$E$2:$E$17,MATCH($C332,_TARGETS!$A$2:$A$17,0))&amp;"","")</f>
        <v>≤</v>
      </c>
      <c r="I332" s="199" t="str">
        <f t="shared" si="25"/>
        <v/>
      </c>
      <c r="J332" s="193" t="str">
        <f t="shared" si="26"/>
        <v>Cumulative</v>
      </c>
      <c r="K332" s="193">
        <f>SUM(Datos!$D33:S33)+SUM(Datos!$D34:S34)+SUM(Datos!$D35:S35)+SUM(Datos!$D36:S36)</f>
        <v>0</v>
      </c>
      <c r="L332" s="193">
        <f>SUM(Datos!$D14:S14)</f>
        <v>48332</v>
      </c>
      <c r="M332" s="193">
        <f>INDEX(_TARGETS!$J$2:$J$17,MATCH($C332,_TARGETS!$A$2:$A$17,0))</f>
        <v>1000000</v>
      </c>
      <c r="N332" s="193" t="str">
        <f>INDEX(_TARGETS!$D$2:$D$17,MATCH($C332,_TARGETS!$A$2:$A$17,0))</f>
        <v>casos / 10^6 HH</v>
      </c>
      <c r="O332" s="193" t="str">
        <f>IF(NOT(ISNUMBER(F332)),IF(SUMPRODUCT(($C$2:$C$1300=C332)*($J$2:$J$1300="Monthly")*($A$2:$A$1300&lt;=A332)*ISNUMBER($K$2:$K$1300)*ISNUMBER($L$2:$L$1300)*($L$2:$L$1300=0)*($K$2:$K$1300&gt;0))&gt;0,"INCOMPLETE","MISSING"),O318)</f>
        <v>MISSING</v>
      </c>
      <c r="P332" s="193" t="str">
        <f>INDEX(_TARGETS!$K$2:$K$17,MATCH($C332,_TARGETS!$A$2:$A$17,0))</f>
        <v>OPS (carga manual en Datos)</v>
      </c>
      <c r="Q332" s="193" t="str">
        <f t="shared" si="27"/>
        <v>202711|TRICF|Cumulative</v>
      </c>
      <c r="R332" s="193" t="str">
        <f>INDEX(_TARGETS!$H$2:$H$17,MATCH($C332,_TARGETS!$A$2:$A$17,0))</f>
        <v>Definida</v>
      </c>
      <c r="S332" s="193">
        <f t="shared" si="28"/>
        <v>0</v>
      </c>
      <c r="T332" s="193" t="str">
        <f t="shared" si="29"/>
        <v/>
      </c>
    </row>
    <row r="333" spans="1:20" ht="13.5" customHeight="1" x14ac:dyDescent="0.3">
      <c r="A333" s="245">
        <f>KPIs!$S$3</f>
        <v>46692</v>
      </c>
      <c r="B333" s="199" t="str">
        <f>KPIs!S$4</f>
        <v>Compresora</v>
      </c>
      <c r="C333" s="31" t="s">
        <v>51</v>
      </c>
      <c r="D333" s="199" t="str">
        <f>KPIs!$A$28</f>
        <v>3 · Casos de primeros auxilios · ACUMULADO</v>
      </c>
      <c r="E333" s="31" t="s">
        <v>600</v>
      </c>
      <c r="F333" s="247" t="str">
        <f>IF(ISNUMBER(KPIs!S28),KPIs!S28,"")</f>
        <v/>
      </c>
      <c r="G333" s="247" t="str">
        <f>IF(ISNUMBER(KPIs!$C$28),KPIs!$C$28,"")</f>
        <v/>
      </c>
      <c r="H333" s="199" t="str">
        <f>IFERROR(INDEX(_TARGETS!$E$2:$E$17,MATCH($C333,_TARGETS!$A$2:$A$17,0))&amp;"","")</f>
        <v/>
      </c>
      <c r="I333" s="199" t="str">
        <f t="shared" si="25"/>
        <v/>
      </c>
      <c r="J333" s="193" t="str">
        <f t="shared" si="26"/>
        <v>Cumulative</v>
      </c>
      <c r="K333" s="193">
        <f>SUM(Datos!$D37:S37)</f>
        <v>0</v>
      </c>
      <c r="M333" s="193">
        <f>INDEX(_TARGETS!$J$2:$J$17,MATCH($C333,_TARGETS!$A$2:$A$17,0))</f>
        <v>1</v>
      </c>
      <c r="N333" s="193" t="str">
        <f>INDEX(_TARGETS!$D$2:$D$17,MATCH($C333,_TARGETS!$A$2:$A$17,0))</f>
        <v>casos</v>
      </c>
      <c r="O333" s="193" t="str">
        <f>IF(NOT(ISNUMBER(F333)),IF(SUMPRODUCT(($C$2:$C$1300=C333)*($J$2:$J$1300="Monthly")*($A$2:$A$1300&lt;=A333)*ISNUMBER($K$2:$K$1300)*ISNUMBER($L$2:$L$1300)*($L$2:$L$1300=0)*($K$2:$K$1300&gt;0))&gt;0,"INCOMPLETE","MISSING"),O319)</f>
        <v>MISSING</v>
      </c>
      <c r="P333" s="193" t="str">
        <f>INDEX(_TARGETS!$K$2:$K$17,MATCH($C333,_TARGETS!$A$2:$A$17,0))</f>
        <v>OPS (carga manual en Datos)</v>
      </c>
      <c r="Q333" s="193" t="str">
        <f t="shared" si="27"/>
        <v>202711|FAC|Cumulative</v>
      </c>
      <c r="R333" s="193" t="str">
        <f>INDEX(_TARGETS!$H$2:$H$17,MATCH($C333,_TARGETS!$A$2:$A$17,0))</f>
        <v>Solo reporte</v>
      </c>
      <c r="S333" s="193">
        <f t="shared" si="28"/>
        <v>0</v>
      </c>
      <c r="T333" s="193" t="str">
        <f t="shared" si="29"/>
        <v/>
      </c>
    </row>
    <row r="334" spans="1:20" ht="13.5" customHeight="1" x14ac:dyDescent="0.3">
      <c r="A334" s="245">
        <f>KPIs!$S$3</f>
        <v>46692</v>
      </c>
      <c r="B334" s="199" t="str">
        <f>KPIs!S$4</f>
        <v>Compresora</v>
      </c>
      <c r="C334" s="31" t="s">
        <v>57</v>
      </c>
      <c r="D334" s="199" t="str">
        <f>KPIs!$A$29</f>
        <v>4 · Accidentes vehiculares severos · ACUMULADO</v>
      </c>
      <c r="E334" s="31" t="s">
        <v>600</v>
      </c>
      <c r="F334" s="247" t="str">
        <f>IF(ISNUMBER(KPIs!S29),KPIs!S29,"")</f>
        <v/>
      </c>
      <c r="G334" s="247" t="str">
        <f>IF(ISNUMBER(KPIs!$C$29),KPIs!$C$29,"")</f>
        <v/>
      </c>
      <c r="H334" s="199" t="str">
        <f>IFERROR(INDEX(_TARGETS!$E$2:$E$17,MATCH($C334,_TARGETS!$A$2:$A$17,0))&amp;"","")</f>
        <v/>
      </c>
      <c r="I334" s="199" t="str">
        <f t="shared" si="25"/>
        <v/>
      </c>
      <c r="J334" s="193" t="str">
        <f t="shared" si="26"/>
        <v>Cumulative</v>
      </c>
      <c r="K334" s="193">
        <f>SUM(Datos!$D39:S39)+SUM(Datos!$D40:S40)+SUM(Datos!$D41:S41)</f>
        <v>0</v>
      </c>
      <c r="L334" s="193">
        <f>SUM(Datos!$D47:S47)</f>
        <v>172824</v>
      </c>
      <c r="M334" s="193">
        <f>INDEX(_TARGETS!$J$2:$J$17,MATCH($C334,_TARGETS!$A$2:$A$17,0))</f>
        <v>1000000</v>
      </c>
      <c r="N334" s="193" t="str">
        <f>INDEX(_TARGETS!$D$2:$D$17,MATCH($C334,_TARGETS!$A$2:$A$17,0))</f>
        <v>eventos / 10^6 km</v>
      </c>
      <c r="O334" s="193" t="str">
        <f>IF(NOT(ISNUMBER(F334)),IF(SUMPRODUCT(($C$2:$C$1300=C334)*($J$2:$J$1300="Monthly")*($A$2:$A$1300&lt;=A334)*ISNUMBER($K$2:$K$1300)*ISNUMBER($L$2:$L$1300)*($L$2:$L$1300=0)*($K$2:$K$1300&gt;0))&gt;0,"INCOMPLETE","MISSING"),O320)</f>
        <v>MISSING</v>
      </c>
      <c r="P334" s="193" t="str">
        <f>INDEX(_TARGETS!$K$2:$K$17,MATCH($C334,_TARGETS!$A$2:$A$17,0))</f>
        <v>OPS (eventos) + Full Control GPS (km) - carga manual en Datos</v>
      </c>
      <c r="Q334" s="193" t="str">
        <f t="shared" si="27"/>
        <v>202711|SVCR|Cumulative</v>
      </c>
      <c r="R334" s="193" t="str">
        <f>INDEX(_TARGETS!$H$2:$H$17,MATCH($C334,_TARGETS!$A$2:$A$17,0))</f>
        <v>Solo reporte</v>
      </c>
      <c r="S334" s="193">
        <f t="shared" si="28"/>
        <v>0</v>
      </c>
      <c r="T334" s="193" t="str">
        <f t="shared" si="29"/>
        <v/>
      </c>
    </row>
    <row r="335" spans="1:20" ht="13.5" customHeight="1" x14ac:dyDescent="0.3">
      <c r="A335" s="245">
        <f>KPIs!$S$3</f>
        <v>46692</v>
      </c>
      <c r="B335" s="199" t="str">
        <f>KPIs!S$4</f>
        <v>Compresora</v>
      </c>
      <c r="C335" s="31" t="s">
        <v>61</v>
      </c>
      <c r="D335" s="199" t="str">
        <f>KPIs!$A$30</f>
        <v>5 · Accidentes vehiculares totales · ACUMULADO</v>
      </c>
      <c r="E335" s="31" t="s">
        <v>600</v>
      </c>
      <c r="F335" s="247" t="str">
        <f>IF(ISNUMBER(KPIs!S30),KPIs!S30,"")</f>
        <v/>
      </c>
      <c r="G335" s="247">
        <f>IF(ISNUMBER(KPIs!$C$30),KPIs!$C$30,"")</f>
        <v>0.79</v>
      </c>
      <c r="H335" s="199" t="str">
        <f>IFERROR(INDEX(_TARGETS!$E$2:$E$17,MATCH($C335,_TARGETS!$A$2:$A$17,0))&amp;"","")</f>
        <v>≤</v>
      </c>
      <c r="I335" s="199" t="str">
        <f t="shared" si="25"/>
        <v/>
      </c>
      <c r="J335" s="193" t="str">
        <f t="shared" si="26"/>
        <v>Cumulative</v>
      </c>
      <c r="K335" s="193">
        <f>SUM(Datos!$D39:S39)+SUM(Datos!$D40:S40)+SUM(Datos!$D41:S41)+SUM(Datos!$D42:S42)</f>
        <v>0</v>
      </c>
      <c r="L335" s="193">
        <f>SUM(Datos!$D47:S47)</f>
        <v>172824</v>
      </c>
      <c r="M335" s="193">
        <f>INDEX(_TARGETS!$J$2:$J$17,MATCH($C335,_TARGETS!$A$2:$A$17,0))</f>
        <v>1000000</v>
      </c>
      <c r="N335" s="193" t="str">
        <f>INDEX(_TARGETS!$D$2:$D$17,MATCH($C335,_TARGETS!$A$2:$A$17,0))</f>
        <v>eventos / 10^6 km</v>
      </c>
      <c r="O335" s="193" t="str">
        <f>IF(NOT(ISNUMBER(F335)),IF(SUMPRODUCT(($C$2:$C$1300=C335)*($J$2:$J$1300="Monthly")*($A$2:$A$1300&lt;=A335)*ISNUMBER($K$2:$K$1300)*ISNUMBER($L$2:$L$1300)*($L$2:$L$1300=0)*($K$2:$K$1300&gt;0))&gt;0,"INCOMPLETE","MISSING"),O321)</f>
        <v>MISSING</v>
      </c>
      <c r="P335" s="193" t="str">
        <f>INDEX(_TARGETS!$K$2:$K$17,MATCH($C335,_TARGETS!$A$2:$A$17,0))</f>
        <v>OPS (eventos) + Full Control GPS (km) - carga manual en Datos</v>
      </c>
      <c r="Q335" s="193" t="str">
        <f t="shared" si="27"/>
        <v>202711|TVCR|Cumulative</v>
      </c>
      <c r="R335" s="193" t="str">
        <f>INDEX(_TARGETS!$H$2:$H$17,MATCH($C335,_TARGETS!$A$2:$A$17,0))</f>
        <v>Definida</v>
      </c>
      <c r="S335" s="193">
        <f t="shared" si="28"/>
        <v>0</v>
      </c>
      <c r="T335" s="193" t="str">
        <f t="shared" si="29"/>
        <v/>
      </c>
    </row>
    <row r="336" spans="1:20" ht="13.5" customHeight="1" x14ac:dyDescent="0.3">
      <c r="A336" s="245">
        <f>KPIs!$S$3</f>
        <v>46692</v>
      </c>
      <c r="B336" s="199" t="str">
        <f>KPIs!S$4</f>
        <v>Compresora</v>
      </c>
      <c r="C336" s="31" t="s">
        <v>96</v>
      </c>
      <c r="D336" s="199" t="str">
        <f>KPIs!$A$33</f>
        <v>C1 · % de desvíos detectados de gravedad Alta</v>
      </c>
      <c r="E336" s="31" t="s">
        <v>599</v>
      </c>
      <c r="F336" s="247" t="str">
        <f>IF(ISNUMBER(KPIs!S33),KPIs!S33,"")</f>
        <v/>
      </c>
      <c r="G336" s="247" t="str">
        <f>IF(ISNUMBER(KPIs!$C$33),KPIs!$C$33,"")</f>
        <v/>
      </c>
      <c r="H336" s="199" t="str">
        <f>IFERROR(INDEX(_TARGETS!$E$2:$E$17,MATCH($C336,_TARGETS!$A$2:$A$17,0))&amp;"","")</f>
        <v/>
      </c>
      <c r="I336" s="199" t="str">
        <f t="shared" si="25"/>
        <v/>
      </c>
      <c r="J336" s="193" t="str">
        <f t="shared" si="26"/>
        <v>Monthly</v>
      </c>
      <c r="K336" s="248">
        <f>Datos!S71</f>
        <v>0</v>
      </c>
      <c r="L336" s="193">
        <f>Datos!S71+Datos!S72+Datos!S73</f>
        <v>0</v>
      </c>
      <c r="M336" s="193">
        <f>INDEX(_TARGETS!$J$2:$J$17,MATCH($C336,_TARGETS!$A$2:$A$17,0))</f>
        <v>1</v>
      </c>
      <c r="N336" s="193" t="str">
        <f>INDEX(_TARGETS!$D$2:$D$17,MATCH($C336,_TARGETS!$A$2:$A$17,0))</f>
        <v>% (fracción)</v>
      </c>
      <c r="O336" s="193" t="str">
        <f>IF(NOT(ISNUMBER(F336)),"MISSING","OK")</f>
        <v>MISSING</v>
      </c>
      <c r="P336" s="193" t="str">
        <f>INDEX(_TARGETS!$K$2:$K$17,MATCH($C336,_TARGETS!$A$2:$A$17,0))</f>
        <v>Plant Findings (hoja Observaciones-SMP)</v>
      </c>
      <c r="Q336" s="193" t="str">
        <f t="shared" si="27"/>
        <v>202711|HAL_ALTA_PCT|Monthly</v>
      </c>
      <c r="R336" s="193" t="str">
        <f>INDEX(_TARGETS!$H$2:$H$17,MATCH($C336,_TARGETS!$A$2:$A$17,0))</f>
        <v>Solo reporte</v>
      </c>
      <c r="S336" s="193" t="str">
        <f t="shared" si="28"/>
        <v/>
      </c>
      <c r="T336" s="193" t="str">
        <f t="shared" si="29"/>
        <v/>
      </c>
    </row>
    <row r="337" spans="1:20" ht="13.5" customHeight="1" x14ac:dyDescent="0.3">
      <c r="A337" s="245">
        <f>KPIs!$S$3</f>
        <v>46692</v>
      </c>
      <c r="B337" s="199" t="str">
        <f>KPIs!S$4</f>
        <v>Compresora</v>
      </c>
      <c r="C337" s="31" t="s">
        <v>98</v>
      </c>
      <c r="D337" s="199" t="str">
        <f>KPIs!$A$34</f>
        <v>C2 · Detenciones de tareas aplicadas</v>
      </c>
      <c r="E337" s="31" t="s">
        <v>599</v>
      </c>
      <c r="F337" s="247" t="str">
        <f>IF(ISNUMBER(KPIs!S34),KPIs!S34,"")</f>
        <v/>
      </c>
      <c r="G337" s="247" t="str">
        <f>IF(ISNUMBER(KPIs!$C$34),KPIs!$C$34,"")</f>
        <v/>
      </c>
      <c r="H337" s="199" t="str">
        <f>IFERROR(INDEX(_TARGETS!$E$2:$E$17,MATCH($C337,_TARGETS!$A$2:$A$17,0))&amp;"","")</f>
        <v/>
      </c>
      <c r="I337" s="199" t="str">
        <f t="shared" si="25"/>
        <v/>
      </c>
      <c r="J337" s="193" t="str">
        <f t="shared" si="26"/>
        <v>Monthly</v>
      </c>
      <c r="K337" s="248">
        <f>Datos!S75</f>
        <v>0</v>
      </c>
      <c r="M337" s="193">
        <f>INDEX(_TARGETS!$J$2:$J$17,MATCH($C337,_TARGETS!$A$2:$A$17,0))</f>
        <v>1</v>
      </c>
      <c r="N337" s="193" t="str">
        <f>INDEX(_TARGETS!$D$2:$D$17,MATCH($C337,_TARGETS!$A$2:$A$17,0))</f>
        <v>u</v>
      </c>
      <c r="O337" s="193" t="str">
        <f>IF(NOT(ISNUMBER(F337)),"MISSING","OK")</f>
        <v>MISSING</v>
      </c>
      <c r="P337" s="193" t="str">
        <f>INDEX(_TARGETS!$K$2:$K$17,MATCH($C337,_TARGETS!$A$2:$A$17,0))</f>
        <v>Plant Findings (hoja Observaciones-SMP)</v>
      </c>
      <c r="Q337" s="193" t="str">
        <f t="shared" si="27"/>
        <v>202711|DET|Monthly</v>
      </c>
      <c r="R337" s="193" t="str">
        <f>INDEX(_TARGETS!$H$2:$H$17,MATCH($C337,_TARGETS!$A$2:$A$17,0))</f>
        <v>Solo reporte</v>
      </c>
      <c r="S337" s="193" t="str">
        <f t="shared" si="28"/>
        <v/>
      </c>
      <c r="T337" s="193" t="str">
        <f t="shared" si="29"/>
        <v/>
      </c>
    </row>
    <row r="338" spans="1:20" ht="13.5" customHeight="1" x14ac:dyDescent="0.3">
      <c r="A338" s="245">
        <f>KPIs!$T$3</f>
        <v>46722</v>
      </c>
      <c r="B338" s="199" t="str">
        <f>KPIs!T$4</f>
        <v>Compresora</v>
      </c>
      <c r="C338" s="31" t="s">
        <v>39</v>
      </c>
      <c r="D338" s="199" t="str">
        <f>KPIs!$A$6</f>
        <v>1 · Frecuencia de casos con días perdidos</v>
      </c>
      <c r="E338" s="31" t="s">
        <v>599</v>
      </c>
      <c r="F338" s="247" t="str">
        <f>IF(ISNUMBER(KPIs!T6),KPIs!T6,"")</f>
        <v/>
      </c>
      <c r="G338" s="247">
        <f>IF(ISNUMBER(KPIs!$C$6),KPIs!$C$6,"")</f>
        <v>0</v>
      </c>
      <c r="H338" s="199" t="str">
        <f>IFERROR(INDEX(_TARGETS!$E$2:$E$17,MATCH($C338,_TARGETS!$A$2:$A$17,0))&amp;"","")</f>
        <v>≤</v>
      </c>
      <c r="I338" s="199" t="str">
        <f t="shared" si="25"/>
        <v/>
      </c>
      <c r="J338" s="193" t="str">
        <f t="shared" si="26"/>
        <v>Monthly</v>
      </c>
      <c r="K338" s="248">
        <f>Datos!T33</f>
        <v>0</v>
      </c>
      <c r="L338" s="248">
        <f>Datos!T14</f>
        <v>0</v>
      </c>
      <c r="M338" s="193">
        <f>INDEX(_TARGETS!$J$2:$J$17,MATCH($C338,_TARGETS!$A$2:$A$17,0))</f>
        <v>1000000</v>
      </c>
      <c r="N338" s="193" t="str">
        <f>INDEX(_TARGETS!$D$2:$D$17,MATCH($C338,_TARGETS!$A$2:$A$17,0))</f>
        <v>casos / 10^6 HH</v>
      </c>
      <c r="O338" s="193" t="str">
        <f>IF(NOT(ISNUMBER(F338)),"MISSING",IF((COUNTBLANK(Datos!T12)+COUNTBLANK(Datos!T13)+COUNTBLANK(Datos!T33))&gt;0,"INCOMPLETE","OK"))</f>
        <v>MISSING</v>
      </c>
      <c r="P338" s="193" t="str">
        <f>INDEX(_TARGETS!$K$2:$K$17,MATCH($C338,_TARGETS!$A$2:$A$17,0))</f>
        <v>OPS (carga manual en Datos)</v>
      </c>
      <c r="Q338" s="193" t="str">
        <f t="shared" si="27"/>
        <v>202712|DAFWCF|Monthly</v>
      </c>
      <c r="R338" s="193" t="str">
        <f>INDEX(_TARGETS!$H$2:$H$17,MATCH($C338,_TARGETS!$A$2:$A$17,0))</f>
        <v>Definida</v>
      </c>
      <c r="S338" s="193" t="str">
        <f t="shared" si="28"/>
        <v/>
      </c>
      <c r="T338" s="193" t="str">
        <f t="shared" si="29"/>
        <v/>
      </c>
    </row>
    <row r="339" spans="1:20" ht="13.5" customHeight="1" x14ac:dyDescent="0.3">
      <c r="A339" s="245">
        <f>KPIs!$T$3</f>
        <v>46722</v>
      </c>
      <c r="B339" s="199" t="str">
        <f>KPIs!T$4</f>
        <v>Compresora</v>
      </c>
      <c r="C339" s="31" t="s">
        <v>49</v>
      </c>
      <c r="D339" s="199" t="str">
        <f>KPIs!$A$7</f>
        <v>2 · Frecuencia de casos registrables</v>
      </c>
      <c r="E339" s="31" t="s">
        <v>599</v>
      </c>
      <c r="F339" s="247" t="str">
        <f>IF(ISNUMBER(KPIs!T7),KPIs!T7,"")</f>
        <v/>
      </c>
      <c r="G339" s="247">
        <f>IF(ISNUMBER(KPIs!$C$7),KPIs!$C$7,"")</f>
        <v>2.35</v>
      </c>
      <c r="H339" s="199" t="str">
        <f>IFERROR(INDEX(_TARGETS!$E$2:$E$17,MATCH($C339,_TARGETS!$A$2:$A$17,0))&amp;"","")</f>
        <v>≤</v>
      </c>
      <c r="I339" s="199" t="str">
        <f t="shared" si="25"/>
        <v/>
      </c>
      <c r="J339" s="193" t="str">
        <f t="shared" si="26"/>
        <v>Monthly</v>
      </c>
      <c r="K339" s="193">
        <f>Datos!T33+Datos!T34+Datos!T35+Datos!T36</f>
        <v>0</v>
      </c>
      <c r="L339" s="248">
        <f>Datos!T14</f>
        <v>0</v>
      </c>
      <c r="M339" s="193">
        <f>INDEX(_TARGETS!$J$2:$J$17,MATCH($C339,_TARGETS!$A$2:$A$17,0))</f>
        <v>1000000</v>
      </c>
      <c r="N339" s="193" t="str">
        <f>INDEX(_TARGETS!$D$2:$D$17,MATCH($C339,_TARGETS!$A$2:$A$17,0))</f>
        <v>casos / 10^6 HH</v>
      </c>
      <c r="O339" s="193" t="str">
        <f>IF(NOT(ISNUMBER(F339)),"MISSING",IF((COUNTBLANK(Datos!T12)+COUNTBLANK(Datos!T13)+COUNTBLANK(Datos!T33)+COUNTBLANK(Datos!T34)+COUNTBLANK(Datos!T35)+COUNTBLANK(Datos!T36))&gt;0,"INCOMPLETE","OK"))</f>
        <v>MISSING</v>
      </c>
      <c r="P339" s="193" t="str">
        <f>INDEX(_TARGETS!$K$2:$K$17,MATCH($C339,_TARGETS!$A$2:$A$17,0))</f>
        <v>OPS (carga manual en Datos)</v>
      </c>
      <c r="Q339" s="193" t="str">
        <f t="shared" si="27"/>
        <v>202712|TRICF|Monthly</v>
      </c>
      <c r="R339" s="193" t="str">
        <f>INDEX(_TARGETS!$H$2:$H$17,MATCH($C339,_TARGETS!$A$2:$A$17,0))</f>
        <v>Definida</v>
      </c>
      <c r="S339" s="193" t="str">
        <f t="shared" si="28"/>
        <v/>
      </c>
      <c r="T339" s="193" t="str">
        <f t="shared" si="29"/>
        <v/>
      </c>
    </row>
    <row r="340" spans="1:20" ht="13.5" customHeight="1" x14ac:dyDescent="0.3">
      <c r="A340" s="245">
        <f>KPIs!$T$3</f>
        <v>46722</v>
      </c>
      <c r="B340" s="199" t="str">
        <f>KPIs!T$4</f>
        <v>Compresora</v>
      </c>
      <c r="C340" s="31" t="s">
        <v>51</v>
      </c>
      <c r="D340" s="199" t="str">
        <f>KPIs!$A$8</f>
        <v>3 · Casos de primeros auxilios</v>
      </c>
      <c r="E340" s="31" t="s">
        <v>599</v>
      </c>
      <c r="F340" s="247" t="str">
        <f>IF(ISNUMBER(KPIs!T8),KPIs!T8,"")</f>
        <v/>
      </c>
      <c r="G340" s="247" t="str">
        <f>IF(ISNUMBER(KPIs!$C$8),KPIs!$C$8,"")</f>
        <v/>
      </c>
      <c r="H340" s="199" t="str">
        <f>IFERROR(INDEX(_TARGETS!$E$2:$E$17,MATCH($C340,_TARGETS!$A$2:$A$17,0))&amp;"","")</f>
        <v/>
      </c>
      <c r="I340" s="199" t="str">
        <f t="shared" si="25"/>
        <v/>
      </c>
      <c r="J340" s="193" t="str">
        <f t="shared" si="26"/>
        <v>Monthly</v>
      </c>
      <c r="K340" s="248">
        <f>Datos!T37</f>
        <v>0</v>
      </c>
      <c r="M340" s="193">
        <f>INDEX(_TARGETS!$J$2:$J$17,MATCH($C340,_TARGETS!$A$2:$A$17,0))</f>
        <v>1</v>
      </c>
      <c r="N340" s="193" t="str">
        <f>INDEX(_TARGETS!$D$2:$D$17,MATCH($C340,_TARGETS!$A$2:$A$17,0))</f>
        <v>casos</v>
      </c>
      <c r="O340" s="193" t="str">
        <f>IF(NOT(ISNUMBER(F340)),"MISSING",IF((COUNTBLANK(Datos!T12)+COUNTBLANK(Datos!T13)+COUNTBLANK(Datos!T37))&gt;0,"INCOMPLETE","OK"))</f>
        <v>MISSING</v>
      </c>
      <c r="P340" s="193" t="str">
        <f>INDEX(_TARGETS!$K$2:$K$17,MATCH($C340,_TARGETS!$A$2:$A$17,0))</f>
        <v>OPS (carga manual en Datos)</v>
      </c>
      <c r="Q340" s="193" t="str">
        <f t="shared" si="27"/>
        <v>202712|FAC|Monthly</v>
      </c>
      <c r="R340" s="193" t="str">
        <f>INDEX(_TARGETS!$H$2:$H$17,MATCH($C340,_TARGETS!$A$2:$A$17,0))</f>
        <v>Solo reporte</v>
      </c>
      <c r="S340" s="193" t="str">
        <f t="shared" si="28"/>
        <v/>
      </c>
      <c r="T340" s="193" t="str">
        <f t="shared" si="29"/>
        <v/>
      </c>
    </row>
    <row r="341" spans="1:20" ht="13.5" customHeight="1" x14ac:dyDescent="0.3">
      <c r="A341" s="245">
        <f>KPIs!$T$3</f>
        <v>46722</v>
      </c>
      <c r="B341" s="199" t="str">
        <f>KPIs!T$4</f>
        <v>Compresora</v>
      </c>
      <c r="C341" s="31" t="s">
        <v>57</v>
      </c>
      <c r="D341" s="199" t="str">
        <f>KPIs!$A$10</f>
        <v>4 · Accidentes vehiculares severos por millón de km</v>
      </c>
      <c r="E341" s="31" t="s">
        <v>599</v>
      </c>
      <c r="F341" s="247" t="str">
        <f>IF(ISNUMBER(KPIs!T10),KPIs!T10,"")</f>
        <v/>
      </c>
      <c r="G341" s="247" t="str">
        <f>IF(ISNUMBER(KPIs!$C$10),KPIs!$C$10,"")</f>
        <v/>
      </c>
      <c r="H341" s="199" t="str">
        <f>IFERROR(INDEX(_TARGETS!$E$2:$E$17,MATCH($C341,_TARGETS!$A$2:$A$17,0))&amp;"","")</f>
        <v/>
      </c>
      <c r="I341" s="199" t="str">
        <f t="shared" si="25"/>
        <v/>
      </c>
      <c r="J341" s="193" t="str">
        <f t="shared" si="26"/>
        <v>Monthly</v>
      </c>
      <c r="K341" s="193">
        <f>Datos!T39+Datos!T40+Datos!T41</f>
        <v>0</v>
      </c>
      <c r="L341" s="248">
        <f>Datos!T47</f>
        <v>0</v>
      </c>
      <c r="M341" s="193">
        <f>INDEX(_TARGETS!$J$2:$J$17,MATCH($C341,_TARGETS!$A$2:$A$17,0))</f>
        <v>1000000</v>
      </c>
      <c r="N341" s="193" t="str">
        <f>INDEX(_TARGETS!$D$2:$D$17,MATCH($C341,_TARGETS!$A$2:$A$17,0))</f>
        <v>eventos / 10^6 km</v>
      </c>
      <c r="O341" s="193" t="str">
        <f>IF(NOT(ISNUMBER(F341)),"MISSING",IF((COUNTBLANK(Datos!T44)+COUNTBLANK(Datos!T45)+COUNTBLANK(Datos!T46)+COUNTBLANK(Datos!T39)+COUNTBLANK(Datos!T40)+COUNTBLANK(Datos!T41))&gt;0,"INCOMPLETE","OK"))</f>
        <v>MISSING</v>
      </c>
      <c r="P341" s="193" t="str">
        <f>INDEX(_TARGETS!$K$2:$K$17,MATCH($C341,_TARGETS!$A$2:$A$17,0))</f>
        <v>OPS (eventos) + Full Control GPS (km) - carga manual en Datos</v>
      </c>
      <c r="Q341" s="193" t="str">
        <f t="shared" si="27"/>
        <v>202712|SVCR|Monthly</v>
      </c>
      <c r="R341" s="193" t="str">
        <f>INDEX(_TARGETS!$H$2:$H$17,MATCH($C341,_TARGETS!$A$2:$A$17,0))</f>
        <v>Solo reporte</v>
      </c>
      <c r="S341" s="193" t="str">
        <f t="shared" si="28"/>
        <v/>
      </c>
      <c r="T341" s="193" t="str">
        <f t="shared" si="29"/>
        <v/>
      </c>
    </row>
    <row r="342" spans="1:20" ht="13.5" customHeight="1" x14ac:dyDescent="0.3">
      <c r="A342" s="245">
        <f>KPIs!$T$3</f>
        <v>46722</v>
      </c>
      <c r="B342" s="199" t="str">
        <f>KPIs!T$4</f>
        <v>Compresora</v>
      </c>
      <c r="C342" s="31" t="s">
        <v>61</v>
      </c>
      <c r="D342" s="199" t="str">
        <f>KPIs!$A$11</f>
        <v>5 · Accidentes vehiculares totales por millón de km</v>
      </c>
      <c r="E342" s="31" t="s">
        <v>599</v>
      </c>
      <c r="F342" s="247" t="str">
        <f>IF(ISNUMBER(KPIs!T11),KPIs!T11,"")</f>
        <v/>
      </c>
      <c r="G342" s="247">
        <f>IF(ISNUMBER(KPIs!$C$11),KPIs!$C$11,"")</f>
        <v>0.79</v>
      </c>
      <c r="H342" s="199" t="str">
        <f>IFERROR(INDEX(_TARGETS!$E$2:$E$17,MATCH($C342,_TARGETS!$A$2:$A$17,0))&amp;"","")</f>
        <v>≤</v>
      </c>
      <c r="I342" s="199" t="str">
        <f t="shared" si="25"/>
        <v/>
      </c>
      <c r="J342" s="193" t="str">
        <f t="shared" si="26"/>
        <v>Monthly</v>
      </c>
      <c r="K342" s="193">
        <f>Datos!T39+Datos!T40+Datos!T41+Datos!T42</f>
        <v>0</v>
      </c>
      <c r="L342" s="248">
        <f>Datos!T47</f>
        <v>0</v>
      </c>
      <c r="M342" s="193">
        <f>INDEX(_TARGETS!$J$2:$J$17,MATCH($C342,_TARGETS!$A$2:$A$17,0))</f>
        <v>1000000</v>
      </c>
      <c r="N342" s="193" t="str">
        <f>INDEX(_TARGETS!$D$2:$D$17,MATCH($C342,_TARGETS!$A$2:$A$17,0))</f>
        <v>eventos / 10^6 km</v>
      </c>
      <c r="O342" s="193" t="str">
        <f>IF(NOT(ISNUMBER(F342)),"MISSING",IF((COUNTBLANK(Datos!T44)+COUNTBLANK(Datos!T45)+COUNTBLANK(Datos!T46)+COUNTBLANK(Datos!T39)+COUNTBLANK(Datos!T40)+COUNTBLANK(Datos!T41)+COUNTBLANK(Datos!T42))&gt;0,"INCOMPLETE","OK"))</f>
        <v>MISSING</v>
      </c>
      <c r="P342" s="193" t="str">
        <f>INDEX(_TARGETS!$K$2:$K$17,MATCH($C342,_TARGETS!$A$2:$A$17,0))</f>
        <v>OPS (eventos) + Full Control GPS (km) - carga manual en Datos</v>
      </c>
      <c r="Q342" s="193" t="str">
        <f t="shared" si="27"/>
        <v>202712|TVCR|Monthly</v>
      </c>
      <c r="R342" s="193" t="str">
        <f>INDEX(_TARGETS!$H$2:$H$17,MATCH($C342,_TARGETS!$A$2:$A$17,0))</f>
        <v>Definida</v>
      </c>
      <c r="S342" s="193" t="str">
        <f t="shared" si="28"/>
        <v/>
      </c>
      <c r="T342" s="193" t="str">
        <f t="shared" si="29"/>
        <v/>
      </c>
    </row>
    <row r="343" spans="1:20" ht="13.5" customHeight="1" x14ac:dyDescent="0.3">
      <c r="A343" s="245">
        <f>KPIs!$T$3</f>
        <v>46722</v>
      </c>
      <c r="B343" s="199" t="str">
        <f>KPIs!T$4</f>
        <v>Compresora</v>
      </c>
      <c r="C343" s="31" t="s">
        <v>63</v>
      </c>
      <c r="D343" s="199" t="str">
        <f>KPIs!$A$13</f>
        <v>6 · Observaciones de seguridad por persona</v>
      </c>
      <c r="E343" s="31" t="s">
        <v>599</v>
      </c>
      <c r="F343" s="247" t="str">
        <f>IF(ISNUMBER(KPIs!T13),KPIs!T13,"")</f>
        <v/>
      </c>
      <c r="G343" s="247">
        <f>IF(ISNUMBER(KPIs!$C$13),KPIs!$C$13,"")</f>
        <v>1</v>
      </c>
      <c r="H343" s="199" t="str">
        <f>IFERROR(INDEX(_TARGETS!$E$2:$E$17,MATCH($C343,_TARGETS!$A$2:$A$17,0))&amp;"","")</f>
        <v>≥</v>
      </c>
      <c r="I343" s="199" t="str">
        <f t="shared" si="25"/>
        <v/>
      </c>
      <c r="J343" s="193" t="str">
        <f t="shared" si="26"/>
        <v>Monthly</v>
      </c>
      <c r="K343" s="248" t="str">
        <f>IF(COUNT(Datos!T28:T29)=0,"",SUM(Datos!T28:T29))</f>
        <v/>
      </c>
      <c r="L343" s="248">
        <f>Datos!T11</f>
        <v>0</v>
      </c>
      <c r="M343" s="193">
        <f>INDEX(_TARGETS!$J$2:$J$17,MATCH($C343,_TARGETS!$A$2:$A$17,0))</f>
        <v>1</v>
      </c>
      <c r="N343" s="193" t="str">
        <f>INDEX(_TARGETS!$D$2:$D$17,MATCH($C343,_TARGETS!$A$2:$A$17,0))</f>
        <v>obs / persona</v>
      </c>
      <c r="O343" s="193" t="str">
        <f>IF(NOT(ISNUMBER(F343)),"MISSING",IF((COUNTBLANK(Datos!T9)+COUNTBLANK(Datos!T10)+IF(COUNT(Datos!T28:T29)=0,1,0))&gt;0,"INCOMPLETE","OK"))</f>
        <v>MISSING</v>
      </c>
      <c r="P343" s="193" t="str">
        <f>INDEX(_TARGETS!$K$2:$K$17,MATCH($C343,_TARGETS!$A$2:$A$17,0))</f>
        <v>OPS (carga manual en Datos)</v>
      </c>
      <c r="Q343" s="193" t="str">
        <f t="shared" si="27"/>
        <v>202712|OBS|Monthly</v>
      </c>
      <c r="R343" s="193" t="str">
        <f>INDEX(_TARGETS!$H$2:$H$17,MATCH($C343,_TARGETS!$A$2:$A$17,0))</f>
        <v>PROVISORIA · referencia del subcontratista (OPS: 1 obs/persona); meta y población en definición</v>
      </c>
      <c r="S343" s="193" t="str">
        <f t="shared" si="28"/>
        <v/>
      </c>
      <c r="T343" s="193" t="str">
        <f t="shared" si="29"/>
        <v/>
      </c>
    </row>
    <row r="344" spans="1:20" ht="13.5" customHeight="1" x14ac:dyDescent="0.3">
      <c r="A344" s="245">
        <f>KPIs!$T$3</f>
        <v>46722</v>
      </c>
      <c r="B344" s="199" t="str">
        <f>KPIs!T$4</f>
        <v>Compresora</v>
      </c>
      <c r="C344" s="31" t="s">
        <v>71</v>
      </c>
      <c r="D344" s="199" t="str">
        <f>KPIs!$A$14</f>
        <v>7 · Investigaciones de accidentes: días promedio de cierre</v>
      </c>
      <c r="E344" s="31" t="s">
        <v>599</v>
      </c>
      <c r="F344" s="247" t="str">
        <f>IF(ISNUMBER(KPIs!T14),KPIs!T14,"")</f>
        <v/>
      </c>
      <c r="G344" s="247">
        <f>IF(ISNUMBER(KPIs!$C$14),KPIs!$C$14,"")</f>
        <v>20</v>
      </c>
      <c r="H344" s="199" t="str">
        <f>IFERROR(INDEX(_TARGETS!$E$2:$E$17,MATCH($C344,_TARGETS!$A$2:$A$17,0))&amp;"","")</f>
        <v>≤</v>
      </c>
      <c r="I344" s="199" t="str">
        <f t="shared" si="25"/>
        <v/>
      </c>
      <c r="J344" s="193" t="str">
        <f t="shared" si="26"/>
        <v>Monthly</v>
      </c>
      <c r="K344" s="248">
        <f>Datos!T31</f>
        <v>0</v>
      </c>
      <c r="L344" s="248">
        <f>Datos!T30</f>
        <v>0</v>
      </c>
      <c r="M344" s="193">
        <f>INDEX(_TARGETS!$J$2:$J$17,MATCH($C344,_TARGETS!$A$2:$A$17,0))</f>
        <v>1</v>
      </c>
      <c r="N344" s="193" t="str">
        <f>INDEX(_TARGETS!$D$2:$D$17,MATCH($C344,_TARGETS!$A$2:$A$17,0))</f>
        <v>días</v>
      </c>
      <c r="O344" s="193" t="str">
        <f>IF(NOT(ISNUMBER(F344)),"MISSING",IF((COUNTBLANK(Datos!T30)+COUNTBLANK(Datos!T31))&gt;0,"INCOMPLETE","OK"))</f>
        <v>MISSING</v>
      </c>
      <c r="P344" s="193" t="str">
        <f>INDEX(_TARGETS!$K$2:$K$17,MATCH($C344,_TARGETS!$A$2:$A$17,0))</f>
        <v>OPS (carga manual en Datos)</v>
      </c>
      <c r="Q344" s="193" t="str">
        <f t="shared" si="27"/>
        <v>202712|INV|Monthly</v>
      </c>
      <c r="R344" s="193" t="str">
        <f>INDEX(_TARGETS!$H$2:$H$17,MATCH($C344,_TARGETS!$A$2:$A$17,0))</f>
        <v>Definida</v>
      </c>
      <c r="S344" s="193" t="str">
        <f t="shared" si="28"/>
        <v/>
      </c>
      <c r="T344" s="193" t="str">
        <f t="shared" si="29"/>
        <v/>
      </c>
    </row>
    <row r="345" spans="1:20" ht="13.5" customHeight="1" x14ac:dyDescent="0.3">
      <c r="A345" s="245">
        <f>KPIs!$T$3</f>
        <v>46722</v>
      </c>
      <c r="B345" s="199" t="str">
        <f>KPIs!T$4</f>
        <v>Compresora</v>
      </c>
      <c r="C345" s="31" t="s">
        <v>76</v>
      </c>
      <c r="D345" s="199" t="str">
        <f>KPIs!$A$16</f>
        <v>8 · % de capacitación en seguridad</v>
      </c>
      <c r="E345" s="31" t="s">
        <v>599</v>
      </c>
      <c r="F345" s="247" t="str">
        <f>IF(ISNUMBER(KPIs!T16),KPIs!T16,"")</f>
        <v/>
      </c>
      <c r="G345" s="247">
        <f>IF(ISNUMBER(KPIs!$C$16),KPIs!$C$16,"")</f>
        <v>0.01</v>
      </c>
      <c r="H345" s="199" t="str">
        <f>IFERROR(INDEX(_TARGETS!$E$2:$E$17,MATCH($C345,_TARGETS!$A$2:$A$17,0))&amp;"","")</f>
        <v>≥</v>
      </c>
      <c r="I345" s="199" t="str">
        <f t="shared" si="25"/>
        <v/>
      </c>
      <c r="J345" s="193" t="str">
        <f t="shared" si="26"/>
        <v>Monthly</v>
      </c>
      <c r="K345" s="248">
        <f>Datos!T18</f>
        <v>0</v>
      </c>
      <c r="L345" s="248">
        <f>Datos!T14</f>
        <v>0</v>
      </c>
      <c r="M345" s="193">
        <f>INDEX(_TARGETS!$J$2:$J$17,MATCH($C345,_TARGETS!$A$2:$A$17,0))</f>
        <v>1</v>
      </c>
      <c r="N345" s="193" t="str">
        <f>INDEX(_TARGETS!$D$2:$D$17,MATCH($C345,_TARGETS!$A$2:$A$17,0))</f>
        <v>% (fracción)</v>
      </c>
      <c r="O345" s="193" t="str">
        <f>IF(NOT(ISNUMBER(F345)),"MISSING",IF((COUNTBLANK(Datos!T16)+COUNTBLANK(Datos!T17)+COUNTBLANK(Datos!T12)+COUNTBLANK(Datos!T13))&gt;0,"INCOMPLETE","OK"))</f>
        <v>MISSING</v>
      </c>
      <c r="P345" s="193" t="str">
        <f>INDEX(_TARGETS!$K$2:$K$17,MATCH($C345,_TARGETS!$A$2:$A$17,0))</f>
        <v>OPS (carga manual en Datos)</v>
      </c>
      <c r="Q345" s="193" t="str">
        <f t="shared" si="27"/>
        <v>202712|HCS|Monthly</v>
      </c>
      <c r="R345" s="193" t="str">
        <f>INDEX(_TARGETS!$H$2:$H$17,MATCH($C345,_TARGETS!$A$2:$A$17,0))</f>
        <v>Definida</v>
      </c>
      <c r="S345" s="193" t="str">
        <f t="shared" si="28"/>
        <v/>
      </c>
      <c r="T345" s="193" t="str">
        <f t="shared" si="29"/>
        <v/>
      </c>
    </row>
    <row r="346" spans="1:20" ht="13.5" customHeight="1" x14ac:dyDescent="0.3">
      <c r="A346" s="245">
        <f>KPIs!$T$3</f>
        <v>46722</v>
      </c>
      <c r="B346" s="199" t="str">
        <f>KPIs!T$4</f>
        <v>Compresora</v>
      </c>
      <c r="C346" s="31" t="s">
        <v>80</v>
      </c>
      <c r="D346" s="199" t="str">
        <f>KPIs!$A$17</f>
        <v>9 · Horas de capacitación por persona</v>
      </c>
      <c r="E346" s="31" t="s">
        <v>599</v>
      </c>
      <c r="F346" s="247" t="str">
        <f>IF(ISNUMBER(KPIs!T17),KPIs!T17,"")</f>
        <v/>
      </c>
      <c r="G346" s="247" t="str">
        <f>IF(ISNUMBER(KPIs!$C$17),KPIs!$C$17,"")</f>
        <v/>
      </c>
      <c r="H346" s="199" t="str">
        <f>IFERROR(INDEX(_TARGETS!$E$2:$E$17,MATCH($C346,_TARGETS!$A$2:$A$17,0))&amp;"","")</f>
        <v/>
      </c>
      <c r="I346" s="199" t="str">
        <f t="shared" si="25"/>
        <v/>
      </c>
      <c r="J346" s="193" t="str">
        <f t="shared" si="26"/>
        <v>Monthly</v>
      </c>
      <c r="K346" s="248">
        <f>Datos!T18</f>
        <v>0</v>
      </c>
      <c r="L346" s="248">
        <f>Datos!T11</f>
        <v>0</v>
      </c>
      <c r="M346" s="193">
        <f>INDEX(_TARGETS!$J$2:$J$17,MATCH($C346,_TARGETS!$A$2:$A$17,0))</f>
        <v>1</v>
      </c>
      <c r="N346" s="193" t="str">
        <f>INDEX(_TARGETS!$D$2:$D$17,MATCH($C346,_TARGETS!$A$2:$A$17,0))</f>
        <v>h / persona</v>
      </c>
      <c r="O346" s="193" t="str">
        <f>IF(NOT(ISNUMBER(F346)),"MISSING",IF((COUNTBLANK(Datos!T16)+COUNTBLANK(Datos!T17)+COUNTBLANK(Datos!T9)+COUNTBLANK(Datos!T10))&gt;0,"INCOMPLETE","OK"))</f>
        <v>MISSING</v>
      </c>
      <c r="P346" s="193" t="str">
        <f>INDEX(_TARGETS!$K$2:$K$17,MATCH($C346,_TARGETS!$A$2:$A$17,0))</f>
        <v>OPS (carga manual en Datos)</v>
      </c>
      <c r="Q346" s="193" t="str">
        <f t="shared" si="27"/>
        <v>202712|HCSA|Monthly</v>
      </c>
      <c r="R346" s="193" t="str">
        <f>INDEX(_TARGETS!$H$2:$H$17,MATCH($C346,_TARGETS!$A$2:$A$17,0))</f>
        <v>Solo reporte</v>
      </c>
      <c r="S346" s="193" t="str">
        <f t="shared" si="28"/>
        <v/>
      </c>
      <c r="T346" s="193" t="str">
        <f t="shared" si="29"/>
        <v/>
      </c>
    </row>
    <row r="347" spans="1:20" ht="13.5" customHeight="1" x14ac:dyDescent="0.3">
      <c r="A347" s="245">
        <f>KPIs!$T$3</f>
        <v>46722</v>
      </c>
      <c r="B347" s="199" t="str">
        <f>KPIs!T$4</f>
        <v>Compresora</v>
      </c>
      <c r="C347" s="31" t="s">
        <v>83</v>
      </c>
      <c r="D347" s="199" t="str">
        <f>KPIs!$A$18</f>
        <v>10 · Cumplimiento de simulacros (emergencia y operativos)</v>
      </c>
      <c r="E347" s="31" t="s">
        <v>599</v>
      </c>
      <c r="F347" s="247" t="str">
        <f>IF(ISNUMBER(KPIs!T18),KPIs!T18,"")</f>
        <v/>
      </c>
      <c r="G347" s="247">
        <f>IF(ISNUMBER(KPIs!$C$18),KPIs!$C$18,"")</f>
        <v>1</v>
      </c>
      <c r="H347" s="199" t="str">
        <f>IFERROR(INDEX(_TARGETS!$E$2:$E$17,MATCH($C347,_TARGETS!$A$2:$A$17,0))&amp;"","")</f>
        <v>≥</v>
      </c>
      <c r="I347" s="199" t="str">
        <f t="shared" si="25"/>
        <v/>
      </c>
      <c r="J347" s="193" t="str">
        <f t="shared" si="26"/>
        <v>Monthly</v>
      </c>
      <c r="K347" s="248">
        <f>Datos!T20</f>
        <v>0</v>
      </c>
      <c r="L347" s="248">
        <f>Datos!T21</f>
        <v>0</v>
      </c>
      <c r="M347" s="193">
        <f>INDEX(_TARGETS!$J$2:$J$17,MATCH($C347,_TARGETS!$A$2:$A$17,0))</f>
        <v>1</v>
      </c>
      <c r="N347" s="193" t="str">
        <f>INDEX(_TARGETS!$D$2:$D$17,MATCH($C347,_TARGETS!$A$2:$A$17,0))</f>
        <v>% (fracción)</v>
      </c>
      <c r="O347" s="193" t="str">
        <f>IF(NOT(ISNUMBER(F347)),"MISSING",IF((COUNTBLANK(Datos!T20)+COUNTBLANK(Datos!T21))&gt;0,"INCOMPLETE","OK"))</f>
        <v>MISSING</v>
      </c>
      <c r="P347" s="193" t="str">
        <f>INDEX(_TARGETS!$K$2:$K$17,MATCH($C347,_TARGETS!$A$2:$A$17,0))</f>
        <v>OPS (carga manual en Datos)</v>
      </c>
      <c r="Q347" s="193" t="str">
        <f t="shared" si="27"/>
        <v>202712|CPSE|Monthly</v>
      </c>
      <c r="R347" s="193" t="str">
        <f>INDEX(_TARGETS!$H$2:$H$17,MATCH($C347,_TARGETS!$A$2:$A$17,0))</f>
        <v>Definida</v>
      </c>
      <c r="S347" s="193" t="str">
        <f t="shared" si="28"/>
        <v/>
      </c>
      <c r="T347" s="193" t="str">
        <f t="shared" si="29"/>
        <v/>
      </c>
    </row>
    <row r="348" spans="1:20" ht="13.5" customHeight="1" x14ac:dyDescent="0.3">
      <c r="A348" s="245">
        <f>KPIs!$T$3</f>
        <v>46722</v>
      </c>
      <c r="B348" s="199" t="str">
        <f>KPIs!T$4</f>
        <v>Compresora</v>
      </c>
      <c r="C348" s="31" t="s">
        <v>85</v>
      </c>
      <c r="D348" s="199" t="str">
        <f>KPIs!$A$19</f>
        <v>10b · Cumplimiento de acciones de mejora de simulacros</v>
      </c>
      <c r="E348" s="31" t="s">
        <v>599</v>
      </c>
      <c r="F348" s="247" t="str">
        <f>IF(ISNUMBER(KPIs!T19),KPIs!T19,"")</f>
        <v/>
      </c>
      <c r="G348" s="247" t="str">
        <f>IF(ISNUMBER(KPIs!$C$19),KPIs!$C$19,"")</f>
        <v/>
      </c>
      <c r="H348" s="199" t="str">
        <f>IFERROR(INDEX(_TARGETS!$E$2:$E$17,MATCH($C348,_TARGETS!$A$2:$A$17,0))&amp;"","")</f>
        <v/>
      </c>
      <c r="I348" s="199" t="str">
        <f t="shared" si="25"/>
        <v/>
      </c>
      <c r="J348" s="193" t="str">
        <f t="shared" si="26"/>
        <v>Monthly</v>
      </c>
      <c r="K348" s="248">
        <f>Datos!T23</f>
        <v>0</v>
      </c>
      <c r="L348" s="248">
        <f>Datos!T22</f>
        <v>0</v>
      </c>
      <c r="M348" s="193">
        <f>INDEX(_TARGETS!$J$2:$J$17,MATCH($C348,_TARGETS!$A$2:$A$17,0))</f>
        <v>1</v>
      </c>
      <c r="N348" s="193" t="str">
        <f>INDEX(_TARGETS!$D$2:$D$17,MATCH($C348,_TARGETS!$A$2:$A$17,0))</f>
        <v>% (fracción)</v>
      </c>
      <c r="O348" s="193" t="str">
        <f>IF(NOT(ISNUMBER(F348)),"MISSING",IF((COUNTBLANK(Datos!T23)+COUNTBLANK(Datos!T22))&gt;0,"INCOMPLETE","OK"))</f>
        <v>MISSING</v>
      </c>
      <c r="P348" s="193" t="str">
        <f>INDEX(_TARGETS!$K$2:$K$17,MATCH($C348,_TARGETS!$A$2:$A$17,0))</f>
        <v>OPS (carga manual en Datos)</v>
      </c>
      <c r="Q348" s="193" t="str">
        <f t="shared" si="27"/>
        <v>202712|CAMS|Monthly</v>
      </c>
      <c r="R348" s="193" t="str">
        <f>INDEX(_TARGETS!$H$2:$H$17,MATCH($C348,_TARGETS!$A$2:$A$17,0))</f>
        <v>Solo reporte</v>
      </c>
      <c r="S348" s="193" t="str">
        <f t="shared" si="28"/>
        <v/>
      </c>
      <c r="T348" s="193" t="str">
        <f t="shared" si="29"/>
        <v/>
      </c>
    </row>
    <row r="349" spans="1:20" ht="13.5" customHeight="1" x14ac:dyDescent="0.3">
      <c r="A349" s="245">
        <f>KPIs!$T$3</f>
        <v>46722</v>
      </c>
      <c r="B349" s="199" t="str">
        <f>KPIs!T$4</f>
        <v>Compresora</v>
      </c>
      <c r="C349" s="31" t="s">
        <v>87</v>
      </c>
      <c r="D349" s="199" t="str">
        <f>KPIs!$A$21</f>
        <v>11 · Cumplimiento de caminatas gerenciales</v>
      </c>
      <c r="E349" s="31" t="s">
        <v>599</v>
      </c>
      <c r="F349" s="247" t="str">
        <f>IF(ISNUMBER(KPIs!T21),KPIs!T21,"")</f>
        <v/>
      </c>
      <c r="G349" s="247">
        <f>IF(ISNUMBER(KPIs!$C$21),KPIs!$C$21,"")</f>
        <v>1</v>
      </c>
      <c r="H349" s="199" t="str">
        <f>IFERROR(INDEX(_TARGETS!$E$2:$E$17,MATCH($C349,_TARGETS!$A$2:$A$17,0))&amp;"","")</f>
        <v>≥</v>
      </c>
      <c r="I349" s="199" t="str">
        <f t="shared" si="25"/>
        <v/>
      </c>
      <c r="J349" s="193" t="str">
        <f t="shared" si="26"/>
        <v>Monthly</v>
      </c>
      <c r="K349" s="248">
        <f>Datos!T24</f>
        <v>0</v>
      </c>
      <c r="L349" s="248">
        <f>Datos!T25</f>
        <v>0</v>
      </c>
      <c r="M349" s="193">
        <f>INDEX(_TARGETS!$J$2:$J$17,MATCH($C349,_TARGETS!$A$2:$A$17,0))</f>
        <v>1</v>
      </c>
      <c r="N349" s="193" t="str">
        <f>INDEX(_TARGETS!$D$2:$D$17,MATCH($C349,_TARGETS!$A$2:$A$17,0))</f>
        <v>% (fracción)</v>
      </c>
      <c r="O349" s="193" t="str">
        <f>IF(NOT(ISNUMBER(F349)),"MISSING",IF((COUNTBLANK(Datos!T24)+COUNTBLANK(Datos!T25))&gt;0,"INCOMPLETE","OK"))</f>
        <v>MISSING</v>
      </c>
      <c r="P349" s="193" t="str">
        <f>INDEX(_TARGETS!$K$2:$K$17,MATCH($C349,_TARGETS!$A$2:$A$17,0))</f>
        <v>OPS (carga manual en Datos)</v>
      </c>
      <c r="Q349" s="193" t="str">
        <f t="shared" si="27"/>
        <v>202712|ICCS|Monthly</v>
      </c>
      <c r="R349" s="193" t="str">
        <f>INDEX(_TARGETS!$H$2:$H$17,MATCH($C349,_TARGETS!$A$2:$A$17,0))</f>
        <v>Definida</v>
      </c>
      <c r="S349" s="193" t="str">
        <f t="shared" si="28"/>
        <v/>
      </c>
      <c r="T349" s="193" t="str">
        <f t="shared" si="29"/>
        <v/>
      </c>
    </row>
    <row r="350" spans="1:20" ht="13.5" customHeight="1" x14ac:dyDescent="0.3">
      <c r="A350" s="245">
        <f>KPIs!$T$3</f>
        <v>46722</v>
      </c>
      <c r="B350" s="199" t="str">
        <f>KPIs!T$4</f>
        <v>Compresora</v>
      </c>
      <c r="C350" s="31" t="s">
        <v>89</v>
      </c>
      <c r="D350" s="199" t="str">
        <f>KPIs!$A$22</f>
        <v>12 · Cumplimiento de comités y subcomités de seguridad</v>
      </c>
      <c r="E350" s="31" t="s">
        <v>599</v>
      </c>
      <c r="F350" s="247" t="str">
        <f>IF(ISNUMBER(KPIs!T22),KPIs!T22,"")</f>
        <v/>
      </c>
      <c r="G350" s="247">
        <f>IF(ISNUMBER(KPIs!$C$22),KPIs!$C$22,"")</f>
        <v>1</v>
      </c>
      <c r="H350" s="199" t="str">
        <f>IFERROR(INDEX(_TARGETS!$E$2:$E$17,MATCH($C350,_TARGETS!$A$2:$A$17,0))&amp;"","")</f>
        <v>≥</v>
      </c>
      <c r="I350" s="199" t="str">
        <f t="shared" si="25"/>
        <v/>
      </c>
      <c r="J350" s="193" t="str">
        <f t="shared" si="26"/>
        <v>Monthly</v>
      </c>
      <c r="K350" s="248">
        <f>Datos!T26</f>
        <v>0</v>
      </c>
      <c r="L350" s="248">
        <f>Datos!T27</f>
        <v>0</v>
      </c>
      <c r="M350" s="193">
        <f>INDEX(_TARGETS!$J$2:$J$17,MATCH($C350,_TARGETS!$A$2:$A$17,0))</f>
        <v>1</v>
      </c>
      <c r="N350" s="193" t="str">
        <f>INDEX(_TARGETS!$D$2:$D$17,MATCH($C350,_TARGETS!$A$2:$A$17,0))</f>
        <v>% (fracción)</v>
      </c>
      <c r="O350" s="193" t="str">
        <f>IF(NOT(ISNUMBER(F350)),"MISSING",IF((COUNTBLANK(Datos!T26)+COUNTBLANK(Datos!T27))&gt;0,"INCOMPLETE","OK"))</f>
        <v>MISSING</v>
      </c>
      <c r="P350" s="193" t="str">
        <f>INDEX(_TARGETS!$K$2:$K$17,MATCH($C350,_TARGETS!$A$2:$A$17,0))</f>
        <v>OPS (carga manual en Datos)</v>
      </c>
      <c r="Q350" s="193" t="str">
        <f t="shared" si="27"/>
        <v>202712|CCS|Monthly</v>
      </c>
      <c r="R350" s="193" t="str">
        <f>INDEX(_TARGETS!$H$2:$H$17,MATCH($C350,_TARGETS!$A$2:$A$17,0))</f>
        <v>Definida</v>
      </c>
      <c r="S350" s="193" t="str">
        <f t="shared" si="28"/>
        <v/>
      </c>
      <c r="T350" s="193" t="str">
        <f t="shared" si="29"/>
        <v/>
      </c>
    </row>
    <row r="351" spans="1:20" ht="13.5" customHeight="1" x14ac:dyDescent="0.3">
      <c r="A351" s="245">
        <f>KPIs!$T$3</f>
        <v>46722</v>
      </c>
      <c r="B351" s="199" t="str">
        <f>KPIs!T$4</f>
        <v>Compresora</v>
      </c>
      <c r="C351" s="31" t="s">
        <v>91</v>
      </c>
      <c r="D351" s="199" t="str">
        <f>KPIs!$A$23</f>
        <v>13 · Días promedio para cerrar hallazgos</v>
      </c>
      <c r="E351" s="31" t="s">
        <v>599</v>
      </c>
      <c r="F351" s="247" t="str">
        <f>IF(ISNUMBER(KPIs!T23),KPIs!T23,"")</f>
        <v/>
      </c>
      <c r="G351" s="247" t="str">
        <f>IF(ISNUMBER(KPIs!$C$23),KPIs!$C$23,"")</f>
        <v/>
      </c>
      <c r="H351" s="199" t="str">
        <f>IFERROR(INDEX(_TARGETS!$E$2:$E$17,MATCH($C351,_TARGETS!$A$2:$A$17,0))&amp;"","")</f>
        <v>≤</v>
      </c>
      <c r="I351" s="199" t="str">
        <f t="shared" si="25"/>
        <v/>
      </c>
      <c r="J351" s="193" t="str">
        <f t="shared" si="26"/>
        <v>Monthly</v>
      </c>
      <c r="K351" s="248">
        <f>Datos!T68</f>
        <v>0</v>
      </c>
      <c r="L351" s="248">
        <f>Datos!T67</f>
        <v>0</v>
      </c>
      <c r="M351" s="193">
        <f>INDEX(_TARGETS!$J$2:$J$17,MATCH($C351,_TARGETS!$A$2:$A$17,0))</f>
        <v>1</v>
      </c>
      <c r="N351" s="193" t="str">
        <f>INDEX(_TARGETS!$D$2:$D$17,MATCH($C351,_TARGETS!$A$2:$A$17,0))</f>
        <v>días</v>
      </c>
      <c r="O351" s="193" t="str">
        <f>IF(NOT(ISNUMBER(F351)),"MISSING","OK")</f>
        <v>MISSING</v>
      </c>
      <c r="P351" s="193" t="str">
        <f>INDEX(_TARGETS!$K$2:$K$17,MATCH($C351,_TARGETS!$A$2:$A$17,0))</f>
        <v>Plant Findings (hoja Observaciones-SMP)</v>
      </c>
      <c r="Q351" s="193" t="str">
        <f t="shared" si="27"/>
        <v>202712|DPAS|Monthly</v>
      </c>
      <c r="R351" s="193" t="str">
        <f>INDEX(_TARGETS!$H$2:$H$17,MATCH($C351,_TARGETS!$A$2:$A$17,0))</f>
        <v>Pendiente (meta 2027)</v>
      </c>
      <c r="S351" s="193" t="str">
        <f t="shared" si="28"/>
        <v/>
      </c>
      <c r="T351" s="193" t="str">
        <f t="shared" si="29"/>
        <v/>
      </c>
    </row>
    <row r="352" spans="1:20" ht="13.5" customHeight="1" x14ac:dyDescent="0.3">
      <c r="A352" s="245">
        <f>KPIs!$T$3</f>
        <v>46722</v>
      </c>
      <c r="B352" s="199" t="str">
        <f>KPIs!T$4</f>
        <v>Compresora</v>
      </c>
      <c r="C352" s="31" t="s">
        <v>39</v>
      </c>
      <c r="D352" s="199" t="str">
        <f>KPIs!$A$26</f>
        <v>1 · Frecuencia de casos con días perdidos · ACUMULADO</v>
      </c>
      <c r="E352" s="31" t="s">
        <v>600</v>
      </c>
      <c r="F352" s="247" t="str">
        <f>IF(ISNUMBER(KPIs!T26),KPIs!T26,"")</f>
        <v/>
      </c>
      <c r="G352" s="247">
        <f>IF(ISNUMBER(KPIs!$C$26),KPIs!$C$26,"")</f>
        <v>0</v>
      </c>
      <c r="H352" s="199" t="str">
        <f>IFERROR(INDEX(_TARGETS!$E$2:$E$17,MATCH($C352,_TARGETS!$A$2:$A$17,0))&amp;"","")</f>
        <v>≤</v>
      </c>
      <c r="I352" s="199" t="str">
        <f t="shared" si="25"/>
        <v/>
      </c>
      <c r="J352" s="193" t="str">
        <f t="shared" si="26"/>
        <v>Cumulative</v>
      </c>
      <c r="K352" s="193">
        <f>SUM(Datos!$D33:T33)</f>
        <v>0</v>
      </c>
      <c r="L352" s="193">
        <f>SUM(Datos!$D14:T14)</f>
        <v>48332</v>
      </c>
      <c r="M352" s="193">
        <f>INDEX(_TARGETS!$J$2:$J$17,MATCH($C352,_TARGETS!$A$2:$A$17,0))</f>
        <v>1000000</v>
      </c>
      <c r="N352" s="193" t="str">
        <f>INDEX(_TARGETS!$D$2:$D$17,MATCH($C352,_TARGETS!$A$2:$A$17,0))</f>
        <v>casos / 10^6 HH</v>
      </c>
      <c r="O352" s="193" t="str">
        <f>IF(NOT(ISNUMBER(F352)),IF(SUMPRODUCT(($C$2:$C$1300=C352)*($J$2:$J$1300="Monthly")*($A$2:$A$1300&lt;=A352)*ISNUMBER($K$2:$K$1300)*ISNUMBER($L$2:$L$1300)*($L$2:$L$1300=0)*($K$2:$K$1300&gt;0))&gt;0,"INCOMPLETE","MISSING"),O338)</f>
        <v>MISSING</v>
      </c>
      <c r="P352" s="193" t="str">
        <f>INDEX(_TARGETS!$K$2:$K$17,MATCH($C352,_TARGETS!$A$2:$A$17,0))</f>
        <v>OPS (carga manual en Datos)</v>
      </c>
      <c r="Q352" s="193" t="str">
        <f t="shared" si="27"/>
        <v>202712|DAFWCF|Cumulative</v>
      </c>
      <c r="R352" s="193" t="str">
        <f>INDEX(_TARGETS!$H$2:$H$17,MATCH($C352,_TARGETS!$A$2:$A$17,0))</f>
        <v>Definida</v>
      </c>
      <c r="S352" s="193">
        <f t="shared" si="28"/>
        <v>0</v>
      </c>
      <c r="T352" s="193" t="str">
        <f t="shared" si="29"/>
        <v/>
      </c>
    </row>
    <row r="353" spans="1:20" ht="13.5" customHeight="1" x14ac:dyDescent="0.3">
      <c r="A353" s="245">
        <f>KPIs!$T$3</f>
        <v>46722</v>
      </c>
      <c r="B353" s="199" t="str">
        <f>KPIs!T$4</f>
        <v>Compresora</v>
      </c>
      <c r="C353" s="31" t="s">
        <v>49</v>
      </c>
      <c r="D353" s="199" t="str">
        <f>KPIs!$A$27</f>
        <v>2 · Frecuencia de casos registrables · ACUMULADO</v>
      </c>
      <c r="E353" s="31" t="s">
        <v>600</v>
      </c>
      <c r="F353" s="247" t="str">
        <f>IF(ISNUMBER(KPIs!T27),KPIs!T27,"")</f>
        <v/>
      </c>
      <c r="G353" s="247">
        <f>IF(ISNUMBER(KPIs!$C$27),KPIs!$C$27,"")</f>
        <v>2.35</v>
      </c>
      <c r="H353" s="199" t="str">
        <f>IFERROR(INDEX(_TARGETS!$E$2:$E$17,MATCH($C353,_TARGETS!$A$2:$A$17,0))&amp;"","")</f>
        <v>≤</v>
      </c>
      <c r="I353" s="199" t="str">
        <f t="shared" si="25"/>
        <v/>
      </c>
      <c r="J353" s="193" t="str">
        <f t="shared" si="26"/>
        <v>Cumulative</v>
      </c>
      <c r="K353" s="193">
        <f>SUM(Datos!$D33:T33)+SUM(Datos!$D34:T34)+SUM(Datos!$D35:T35)+SUM(Datos!$D36:T36)</f>
        <v>0</v>
      </c>
      <c r="L353" s="193">
        <f>SUM(Datos!$D14:T14)</f>
        <v>48332</v>
      </c>
      <c r="M353" s="193">
        <f>INDEX(_TARGETS!$J$2:$J$17,MATCH($C353,_TARGETS!$A$2:$A$17,0))</f>
        <v>1000000</v>
      </c>
      <c r="N353" s="193" t="str">
        <f>INDEX(_TARGETS!$D$2:$D$17,MATCH($C353,_TARGETS!$A$2:$A$17,0))</f>
        <v>casos / 10^6 HH</v>
      </c>
      <c r="O353" s="193" t="str">
        <f>IF(NOT(ISNUMBER(F353)),IF(SUMPRODUCT(($C$2:$C$1300=C353)*($J$2:$J$1300="Monthly")*($A$2:$A$1300&lt;=A353)*ISNUMBER($K$2:$K$1300)*ISNUMBER($L$2:$L$1300)*($L$2:$L$1300=0)*($K$2:$K$1300&gt;0))&gt;0,"INCOMPLETE","MISSING"),O339)</f>
        <v>MISSING</v>
      </c>
      <c r="P353" s="193" t="str">
        <f>INDEX(_TARGETS!$K$2:$K$17,MATCH($C353,_TARGETS!$A$2:$A$17,0))</f>
        <v>OPS (carga manual en Datos)</v>
      </c>
      <c r="Q353" s="193" t="str">
        <f t="shared" si="27"/>
        <v>202712|TRICF|Cumulative</v>
      </c>
      <c r="R353" s="193" t="str">
        <f>INDEX(_TARGETS!$H$2:$H$17,MATCH($C353,_TARGETS!$A$2:$A$17,0))</f>
        <v>Definida</v>
      </c>
      <c r="S353" s="193">
        <f t="shared" si="28"/>
        <v>0</v>
      </c>
      <c r="T353" s="193" t="str">
        <f t="shared" si="29"/>
        <v/>
      </c>
    </row>
    <row r="354" spans="1:20" ht="13.5" customHeight="1" x14ac:dyDescent="0.3">
      <c r="A354" s="245">
        <f>KPIs!$T$3</f>
        <v>46722</v>
      </c>
      <c r="B354" s="199" t="str">
        <f>KPIs!T$4</f>
        <v>Compresora</v>
      </c>
      <c r="C354" s="31" t="s">
        <v>51</v>
      </c>
      <c r="D354" s="199" t="str">
        <f>KPIs!$A$28</f>
        <v>3 · Casos de primeros auxilios · ACUMULADO</v>
      </c>
      <c r="E354" s="31" t="s">
        <v>600</v>
      </c>
      <c r="F354" s="247" t="str">
        <f>IF(ISNUMBER(KPIs!T28),KPIs!T28,"")</f>
        <v/>
      </c>
      <c r="G354" s="247" t="str">
        <f>IF(ISNUMBER(KPIs!$C$28),KPIs!$C$28,"")</f>
        <v/>
      </c>
      <c r="H354" s="199" t="str">
        <f>IFERROR(INDEX(_TARGETS!$E$2:$E$17,MATCH($C354,_TARGETS!$A$2:$A$17,0))&amp;"","")</f>
        <v/>
      </c>
      <c r="I354" s="199" t="str">
        <f t="shared" si="25"/>
        <v/>
      </c>
      <c r="J354" s="193" t="str">
        <f t="shared" si="26"/>
        <v>Cumulative</v>
      </c>
      <c r="K354" s="193">
        <f>SUM(Datos!$D37:T37)</f>
        <v>0</v>
      </c>
      <c r="M354" s="193">
        <f>INDEX(_TARGETS!$J$2:$J$17,MATCH($C354,_TARGETS!$A$2:$A$17,0))</f>
        <v>1</v>
      </c>
      <c r="N354" s="193" t="str">
        <f>INDEX(_TARGETS!$D$2:$D$17,MATCH($C354,_TARGETS!$A$2:$A$17,0))</f>
        <v>casos</v>
      </c>
      <c r="O354" s="193" t="str">
        <f>IF(NOT(ISNUMBER(F354)),IF(SUMPRODUCT(($C$2:$C$1300=C354)*($J$2:$J$1300="Monthly")*($A$2:$A$1300&lt;=A354)*ISNUMBER($K$2:$K$1300)*ISNUMBER($L$2:$L$1300)*($L$2:$L$1300=0)*($K$2:$K$1300&gt;0))&gt;0,"INCOMPLETE","MISSING"),O340)</f>
        <v>MISSING</v>
      </c>
      <c r="P354" s="193" t="str">
        <f>INDEX(_TARGETS!$K$2:$K$17,MATCH($C354,_TARGETS!$A$2:$A$17,0))</f>
        <v>OPS (carga manual en Datos)</v>
      </c>
      <c r="Q354" s="193" t="str">
        <f t="shared" si="27"/>
        <v>202712|FAC|Cumulative</v>
      </c>
      <c r="R354" s="193" t="str">
        <f>INDEX(_TARGETS!$H$2:$H$17,MATCH($C354,_TARGETS!$A$2:$A$17,0))</f>
        <v>Solo reporte</v>
      </c>
      <c r="S354" s="193">
        <f t="shared" si="28"/>
        <v>0</v>
      </c>
      <c r="T354" s="193" t="str">
        <f t="shared" si="29"/>
        <v/>
      </c>
    </row>
    <row r="355" spans="1:20" ht="13.5" customHeight="1" x14ac:dyDescent="0.3">
      <c r="A355" s="245">
        <f>KPIs!$T$3</f>
        <v>46722</v>
      </c>
      <c r="B355" s="199" t="str">
        <f>KPIs!T$4</f>
        <v>Compresora</v>
      </c>
      <c r="C355" s="31" t="s">
        <v>57</v>
      </c>
      <c r="D355" s="199" t="str">
        <f>KPIs!$A$29</f>
        <v>4 · Accidentes vehiculares severos · ACUMULADO</v>
      </c>
      <c r="E355" s="31" t="s">
        <v>600</v>
      </c>
      <c r="F355" s="247" t="str">
        <f>IF(ISNUMBER(KPIs!T29),KPIs!T29,"")</f>
        <v/>
      </c>
      <c r="G355" s="247" t="str">
        <f>IF(ISNUMBER(KPIs!$C$29),KPIs!$C$29,"")</f>
        <v/>
      </c>
      <c r="H355" s="199" t="str">
        <f>IFERROR(INDEX(_TARGETS!$E$2:$E$17,MATCH($C355,_TARGETS!$A$2:$A$17,0))&amp;"","")</f>
        <v/>
      </c>
      <c r="I355" s="199" t="str">
        <f t="shared" si="25"/>
        <v/>
      </c>
      <c r="J355" s="193" t="str">
        <f t="shared" si="26"/>
        <v>Cumulative</v>
      </c>
      <c r="K355" s="193">
        <f>SUM(Datos!$D39:T39)+SUM(Datos!$D40:T40)+SUM(Datos!$D41:T41)</f>
        <v>0</v>
      </c>
      <c r="L355" s="193">
        <f>SUM(Datos!$D47:T47)</f>
        <v>172824</v>
      </c>
      <c r="M355" s="193">
        <f>INDEX(_TARGETS!$J$2:$J$17,MATCH($C355,_TARGETS!$A$2:$A$17,0))</f>
        <v>1000000</v>
      </c>
      <c r="N355" s="193" t="str">
        <f>INDEX(_TARGETS!$D$2:$D$17,MATCH($C355,_TARGETS!$A$2:$A$17,0))</f>
        <v>eventos / 10^6 km</v>
      </c>
      <c r="O355" s="193" t="str">
        <f>IF(NOT(ISNUMBER(F355)),IF(SUMPRODUCT(($C$2:$C$1300=C355)*($J$2:$J$1300="Monthly")*($A$2:$A$1300&lt;=A355)*ISNUMBER($K$2:$K$1300)*ISNUMBER($L$2:$L$1300)*($L$2:$L$1300=0)*($K$2:$K$1300&gt;0))&gt;0,"INCOMPLETE","MISSING"),O341)</f>
        <v>MISSING</v>
      </c>
      <c r="P355" s="193" t="str">
        <f>INDEX(_TARGETS!$K$2:$K$17,MATCH($C355,_TARGETS!$A$2:$A$17,0))</f>
        <v>OPS (eventos) + Full Control GPS (km) - carga manual en Datos</v>
      </c>
      <c r="Q355" s="193" t="str">
        <f t="shared" si="27"/>
        <v>202712|SVCR|Cumulative</v>
      </c>
      <c r="R355" s="193" t="str">
        <f>INDEX(_TARGETS!$H$2:$H$17,MATCH($C355,_TARGETS!$A$2:$A$17,0))</f>
        <v>Solo reporte</v>
      </c>
      <c r="S355" s="193">
        <f t="shared" si="28"/>
        <v>0</v>
      </c>
      <c r="T355" s="193" t="str">
        <f t="shared" si="29"/>
        <v/>
      </c>
    </row>
    <row r="356" spans="1:20" ht="13.5" customHeight="1" x14ac:dyDescent="0.3">
      <c r="A356" s="245">
        <f>KPIs!$T$3</f>
        <v>46722</v>
      </c>
      <c r="B356" s="199" t="str">
        <f>KPIs!T$4</f>
        <v>Compresora</v>
      </c>
      <c r="C356" s="31" t="s">
        <v>61</v>
      </c>
      <c r="D356" s="199" t="str">
        <f>KPIs!$A$30</f>
        <v>5 · Accidentes vehiculares totales · ACUMULADO</v>
      </c>
      <c r="E356" s="31" t="s">
        <v>600</v>
      </c>
      <c r="F356" s="247" t="str">
        <f>IF(ISNUMBER(KPIs!T30),KPIs!T30,"")</f>
        <v/>
      </c>
      <c r="G356" s="247">
        <f>IF(ISNUMBER(KPIs!$C$30),KPIs!$C$30,"")</f>
        <v>0.79</v>
      </c>
      <c r="H356" s="199" t="str">
        <f>IFERROR(INDEX(_TARGETS!$E$2:$E$17,MATCH($C356,_TARGETS!$A$2:$A$17,0))&amp;"","")</f>
        <v>≤</v>
      </c>
      <c r="I356" s="199" t="str">
        <f t="shared" si="25"/>
        <v/>
      </c>
      <c r="J356" s="193" t="str">
        <f t="shared" si="26"/>
        <v>Cumulative</v>
      </c>
      <c r="K356" s="193">
        <f>SUM(Datos!$D39:T39)+SUM(Datos!$D40:T40)+SUM(Datos!$D41:T41)+SUM(Datos!$D42:T42)</f>
        <v>0</v>
      </c>
      <c r="L356" s="193">
        <f>SUM(Datos!$D47:T47)</f>
        <v>172824</v>
      </c>
      <c r="M356" s="193">
        <f>INDEX(_TARGETS!$J$2:$J$17,MATCH($C356,_TARGETS!$A$2:$A$17,0))</f>
        <v>1000000</v>
      </c>
      <c r="N356" s="193" t="str">
        <f>INDEX(_TARGETS!$D$2:$D$17,MATCH($C356,_TARGETS!$A$2:$A$17,0))</f>
        <v>eventos / 10^6 km</v>
      </c>
      <c r="O356" s="193" t="str">
        <f>IF(NOT(ISNUMBER(F356)),IF(SUMPRODUCT(($C$2:$C$1300=C356)*($J$2:$J$1300="Monthly")*($A$2:$A$1300&lt;=A356)*ISNUMBER($K$2:$K$1300)*ISNUMBER($L$2:$L$1300)*($L$2:$L$1300=0)*($K$2:$K$1300&gt;0))&gt;0,"INCOMPLETE","MISSING"),O342)</f>
        <v>MISSING</v>
      </c>
      <c r="P356" s="193" t="str">
        <f>INDEX(_TARGETS!$K$2:$K$17,MATCH($C356,_TARGETS!$A$2:$A$17,0))</f>
        <v>OPS (eventos) + Full Control GPS (km) - carga manual en Datos</v>
      </c>
      <c r="Q356" s="193" t="str">
        <f t="shared" si="27"/>
        <v>202712|TVCR|Cumulative</v>
      </c>
      <c r="R356" s="193" t="str">
        <f>INDEX(_TARGETS!$H$2:$H$17,MATCH($C356,_TARGETS!$A$2:$A$17,0))</f>
        <v>Definida</v>
      </c>
      <c r="S356" s="193">
        <f t="shared" si="28"/>
        <v>0</v>
      </c>
      <c r="T356" s="193" t="str">
        <f t="shared" si="29"/>
        <v/>
      </c>
    </row>
    <row r="357" spans="1:20" ht="13.5" customHeight="1" x14ac:dyDescent="0.3">
      <c r="A357" s="245">
        <f>KPIs!$T$3</f>
        <v>46722</v>
      </c>
      <c r="B357" s="199" t="str">
        <f>KPIs!T$4</f>
        <v>Compresora</v>
      </c>
      <c r="C357" s="31" t="s">
        <v>96</v>
      </c>
      <c r="D357" s="199" t="str">
        <f>KPIs!$A$33</f>
        <v>C1 · % de desvíos detectados de gravedad Alta</v>
      </c>
      <c r="E357" s="31" t="s">
        <v>599</v>
      </c>
      <c r="F357" s="247" t="str">
        <f>IF(ISNUMBER(KPIs!T33),KPIs!T33,"")</f>
        <v/>
      </c>
      <c r="G357" s="247" t="str">
        <f>IF(ISNUMBER(KPIs!$C$33),KPIs!$C$33,"")</f>
        <v/>
      </c>
      <c r="H357" s="199" t="str">
        <f>IFERROR(INDEX(_TARGETS!$E$2:$E$17,MATCH($C357,_TARGETS!$A$2:$A$17,0))&amp;"","")</f>
        <v/>
      </c>
      <c r="I357" s="199" t="str">
        <f t="shared" si="25"/>
        <v/>
      </c>
      <c r="J357" s="193" t="str">
        <f t="shared" si="26"/>
        <v>Monthly</v>
      </c>
      <c r="K357" s="248">
        <f>Datos!T71</f>
        <v>0</v>
      </c>
      <c r="L357" s="193">
        <f>Datos!T71+Datos!T72+Datos!T73</f>
        <v>0</v>
      </c>
      <c r="M357" s="193">
        <f>INDEX(_TARGETS!$J$2:$J$17,MATCH($C357,_TARGETS!$A$2:$A$17,0))</f>
        <v>1</v>
      </c>
      <c r="N357" s="193" t="str">
        <f>INDEX(_TARGETS!$D$2:$D$17,MATCH($C357,_TARGETS!$A$2:$A$17,0))</f>
        <v>% (fracción)</v>
      </c>
      <c r="O357" s="193" t="str">
        <f>IF(NOT(ISNUMBER(F357)),"MISSING","OK")</f>
        <v>MISSING</v>
      </c>
      <c r="P357" s="193" t="str">
        <f>INDEX(_TARGETS!$K$2:$K$17,MATCH($C357,_TARGETS!$A$2:$A$17,0))</f>
        <v>Plant Findings (hoja Observaciones-SMP)</v>
      </c>
      <c r="Q357" s="193" t="str">
        <f t="shared" si="27"/>
        <v>202712|HAL_ALTA_PCT|Monthly</v>
      </c>
      <c r="R357" s="193" t="str">
        <f>INDEX(_TARGETS!$H$2:$H$17,MATCH($C357,_TARGETS!$A$2:$A$17,0))</f>
        <v>Solo reporte</v>
      </c>
      <c r="S357" s="193" t="str">
        <f t="shared" si="28"/>
        <v/>
      </c>
      <c r="T357" s="193" t="str">
        <f t="shared" si="29"/>
        <v/>
      </c>
    </row>
    <row r="358" spans="1:20" ht="13.5" customHeight="1" x14ac:dyDescent="0.3">
      <c r="A358" s="245">
        <f>KPIs!$T$3</f>
        <v>46722</v>
      </c>
      <c r="B358" s="199" t="str">
        <f>KPIs!T$4</f>
        <v>Compresora</v>
      </c>
      <c r="C358" s="31" t="s">
        <v>98</v>
      </c>
      <c r="D358" s="199" t="str">
        <f>KPIs!$A$34</f>
        <v>C2 · Detenciones de tareas aplicadas</v>
      </c>
      <c r="E358" s="31" t="s">
        <v>599</v>
      </c>
      <c r="F358" s="247" t="str">
        <f>IF(ISNUMBER(KPIs!T34),KPIs!T34,"")</f>
        <v/>
      </c>
      <c r="G358" s="247" t="str">
        <f>IF(ISNUMBER(KPIs!$C$34),KPIs!$C$34,"")</f>
        <v/>
      </c>
      <c r="H358" s="199" t="str">
        <f>IFERROR(INDEX(_TARGETS!$E$2:$E$17,MATCH($C358,_TARGETS!$A$2:$A$17,0))&amp;"","")</f>
        <v/>
      </c>
      <c r="I358" s="199" t="str">
        <f t="shared" si="25"/>
        <v/>
      </c>
      <c r="J358" s="193" t="str">
        <f t="shared" si="26"/>
        <v>Monthly</v>
      </c>
      <c r="K358" s="248">
        <f>Datos!T75</f>
        <v>0</v>
      </c>
      <c r="M358" s="193">
        <f>INDEX(_TARGETS!$J$2:$J$17,MATCH($C358,_TARGETS!$A$2:$A$17,0))</f>
        <v>1</v>
      </c>
      <c r="N358" s="193" t="str">
        <f>INDEX(_TARGETS!$D$2:$D$17,MATCH($C358,_TARGETS!$A$2:$A$17,0))</f>
        <v>u</v>
      </c>
      <c r="O358" s="193" t="str">
        <f>IF(NOT(ISNUMBER(F358)),"MISSING","OK")</f>
        <v>MISSING</v>
      </c>
      <c r="P358" s="193" t="str">
        <f>INDEX(_TARGETS!$K$2:$K$17,MATCH($C358,_TARGETS!$A$2:$A$17,0))</f>
        <v>Plant Findings (hoja Observaciones-SMP)</v>
      </c>
      <c r="Q358" s="193" t="str">
        <f t="shared" si="27"/>
        <v>202712|DET|Monthly</v>
      </c>
      <c r="R358" s="193" t="str">
        <f>INDEX(_TARGETS!$H$2:$H$17,MATCH($C358,_TARGETS!$A$2:$A$17,0))</f>
        <v>Solo reporte</v>
      </c>
      <c r="S358" s="193" t="str">
        <f t="shared" si="28"/>
        <v/>
      </c>
      <c r="T358" s="193" t="str">
        <f t="shared" si="29"/>
        <v/>
      </c>
    </row>
    <row r="359" spans="1:20" ht="13.5" customHeight="1" x14ac:dyDescent="0.3">
      <c r="A359" s="245">
        <f>KPIs!$U$3</f>
        <v>46753</v>
      </c>
      <c r="B359" s="199" t="str">
        <f>KPIs!U$4</f>
        <v>Compresora</v>
      </c>
      <c r="C359" s="31" t="s">
        <v>39</v>
      </c>
      <c r="D359" s="199" t="str">
        <f>KPIs!$A$6</f>
        <v>1 · Frecuencia de casos con días perdidos</v>
      </c>
      <c r="E359" s="31" t="s">
        <v>599</v>
      </c>
      <c r="F359" s="247" t="str">
        <f>IF(ISNUMBER(KPIs!U6),KPIs!U6,"")</f>
        <v/>
      </c>
      <c r="G359" s="247">
        <f>IF(ISNUMBER(KPIs!$C$6),KPIs!$C$6,"")</f>
        <v>0</v>
      </c>
      <c r="H359" s="199" t="str">
        <f>IFERROR(INDEX(_TARGETS!$E$2:$E$17,MATCH($C359,_TARGETS!$A$2:$A$17,0))&amp;"","")</f>
        <v>≤</v>
      </c>
      <c r="I359" s="199" t="str">
        <f t="shared" si="25"/>
        <v/>
      </c>
      <c r="J359" s="193" t="str">
        <f t="shared" si="26"/>
        <v>Monthly</v>
      </c>
      <c r="K359" s="248">
        <f>Datos!U33</f>
        <v>0</v>
      </c>
      <c r="L359" s="248">
        <f>Datos!U14</f>
        <v>0</v>
      </c>
      <c r="M359" s="193">
        <f>INDEX(_TARGETS!$J$2:$J$17,MATCH($C359,_TARGETS!$A$2:$A$17,0))</f>
        <v>1000000</v>
      </c>
      <c r="N359" s="193" t="str">
        <f>INDEX(_TARGETS!$D$2:$D$17,MATCH($C359,_TARGETS!$A$2:$A$17,0))</f>
        <v>casos / 10^6 HH</v>
      </c>
      <c r="O359" s="193" t="str">
        <f>IF(NOT(ISNUMBER(F359)),"MISSING",IF((COUNTBLANK(Datos!U12)+COUNTBLANK(Datos!U13)+COUNTBLANK(Datos!U33))&gt;0,"INCOMPLETE","OK"))</f>
        <v>MISSING</v>
      </c>
      <c r="P359" s="193" t="str">
        <f>INDEX(_TARGETS!$K$2:$K$17,MATCH($C359,_TARGETS!$A$2:$A$17,0))</f>
        <v>OPS (carga manual en Datos)</v>
      </c>
      <c r="Q359" s="193" t="str">
        <f t="shared" si="27"/>
        <v>202801|DAFWCF|Monthly</v>
      </c>
      <c r="R359" s="193" t="str">
        <f>INDEX(_TARGETS!$H$2:$H$17,MATCH($C359,_TARGETS!$A$2:$A$17,0))</f>
        <v>Definida</v>
      </c>
      <c r="S359" s="193" t="str">
        <f t="shared" si="28"/>
        <v/>
      </c>
      <c r="T359" s="193" t="str">
        <f t="shared" si="29"/>
        <v/>
      </c>
    </row>
    <row r="360" spans="1:20" ht="13.5" customHeight="1" x14ac:dyDescent="0.3">
      <c r="A360" s="245">
        <f>KPIs!$U$3</f>
        <v>46753</v>
      </c>
      <c r="B360" s="199" t="str">
        <f>KPIs!U$4</f>
        <v>Compresora</v>
      </c>
      <c r="C360" s="31" t="s">
        <v>49</v>
      </c>
      <c r="D360" s="199" t="str">
        <f>KPIs!$A$7</f>
        <v>2 · Frecuencia de casos registrables</v>
      </c>
      <c r="E360" s="31" t="s">
        <v>599</v>
      </c>
      <c r="F360" s="247" t="str">
        <f>IF(ISNUMBER(KPIs!U7),KPIs!U7,"")</f>
        <v/>
      </c>
      <c r="G360" s="247">
        <f>IF(ISNUMBER(KPIs!$C$7),KPIs!$C$7,"")</f>
        <v>2.35</v>
      </c>
      <c r="H360" s="199" t="str">
        <f>IFERROR(INDEX(_TARGETS!$E$2:$E$17,MATCH($C360,_TARGETS!$A$2:$A$17,0))&amp;"","")</f>
        <v>≤</v>
      </c>
      <c r="I360" s="199" t="str">
        <f t="shared" si="25"/>
        <v/>
      </c>
      <c r="J360" s="193" t="str">
        <f t="shared" si="26"/>
        <v>Monthly</v>
      </c>
      <c r="K360" s="193">
        <f>Datos!U33+Datos!U34+Datos!U35+Datos!U36</f>
        <v>0</v>
      </c>
      <c r="L360" s="248">
        <f>Datos!U14</f>
        <v>0</v>
      </c>
      <c r="M360" s="193">
        <f>INDEX(_TARGETS!$J$2:$J$17,MATCH($C360,_TARGETS!$A$2:$A$17,0))</f>
        <v>1000000</v>
      </c>
      <c r="N360" s="193" t="str">
        <f>INDEX(_TARGETS!$D$2:$D$17,MATCH($C360,_TARGETS!$A$2:$A$17,0))</f>
        <v>casos / 10^6 HH</v>
      </c>
      <c r="O360" s="193" t="str">
        <f>IF(NOT(ISNUMBER(F360)),"MISSING",IF((COUNTBLANK(Datos!U12)+COUNTBLANK(Datos!U13)+COUNTBLANK(Datos!U33)+COUNTBLANK(Datos!U34)+COUNTBLANK(Datos!U35)+COUNTBLANK(Datos!U36))&gt;0,"INCOMPLETE","OK"))</f>
        <v>MISSING</v>
      </c>
      <c r="P360" s="193" t="str">
        <f>INDEX(_TARGETS!$K$2:$K$17,MATCH($C360,_TARGETS!$A$2:$A$17,0))</f>
        <v>OPS (carga manual en Datos)</v>
      </c>
      <c r="Q360" s="193" t="str">
        <f t="shared" si="27"/>
        <v>202801|TRICF|Monthly</v>
      </c>
      <c r="R360" s="193" t="str">
        <f>INDEX(_TARGETS!$H$2:$H$17,MATCH($C360,_TARGETS!$A$2:$A$17,0))</f>
        <v>Definida</v>
      </c>
      <c r="S360" s="193" t="str">
        <f t="shared" si="28"/>
        <v/>
      </c>
      <c r="T360" s="193" t="str">
        <f t="shared" si="29"/>
        <v/>
      </c>
    </row>
    <row r="361" spans="1:20" ht="13.5" customHeight="1" x14ac:dyDescent="0.3">
      <c r="A361" s="245">
        <f>KPIs!$U$3</f>
        <v>46753</v>
      </c>
      <c r="B361" s="199" t="str">
        <f>KPIs!U$4</f>
        <v>Compresora</v>
      </c>
      <c r="C361" s="31" t="s">
        <v>51</v>
      </c>
      <c r="D361" s="199" t="str">
        <f>KPIs!$A$8</f>
        <v>3 · Casos de primeros auxilios</v>
      </c>
      <c r="E361" s="31" t="s">
        <v>599</v>
      </c>
      <c r="F361" s="247" t="str">
        <f>IF(ISNUMBER(KPIs!U8),KPIs!U8,"")</f>
        <v/>
      </c>
      <c r="G361" s="247" t="str">
        <f>IF(ISNUMBER(KPIs!$C$8),KPIs!$C$8,"")</f>
        <v/>
      </c>
      <c r="H361" s="199" t="str">
        <f>IFERROR(INDEX(_TARGETS!$E$2:$E$17,MATCH($C361,_TARGETS!$A$2:$A$17,0))&amp;"","")</f>
        <v/>
      </c>
      <c r="I361" s="199" t="str">
        <f t="shared" si="25"/>
        <v/>
      </c>
      <c r="J361" s="193" t="str">
        <f t="shared" si="26"/>
        <v>Monthly</v>
      </c>
      <c r="K361" s="248">
        <f>Datos!U37</f>
        <v>0</v>
      </c>
      <c r="M361" s="193">
        <f>INDEX(_TARGETS!$J$2:$J$17,MATCH($C361,_TARGETS!$A$2:$A$17,0))</f>
        <v>1</v>
      </c>
      <c r="N361" s="193" t="str">
        <f>INDEX(_TARGETS!$D$2:$D$17,MATCH($C361,_TARGETS!$A$2:$A$17,0))</f>
        <v>casos</v>
      </c>
      <c r="O361" s="193" t="str">
        <f>IF(NOT(ISNUMBER(F361)),"MISSING",IF((COUNTBLANK(Datos!U12)+COUNTBLANK(Datos!U13)+COUNTBLANK(Datos!U37))&gt;0,"INCOMPLETE","OK"))</f>
        <v>MISSING</v>
      </c>
      <c r="P361" s="193" t="str">
        <f>INDEX(_TARGETS!$K$2:$K$17,MATCH($C361,_TARGETS!$A$2:$A$17,0))</f>
        <v>OPS (carga manual en Datos)</v>
      </c>
      <c r="Q361" s="193" t="str">
        <f t="shared" si="27"/>
        <v>202801|FAC|Monthly</v>
      </c>
      <c r="R361" s="193" t="str">
        <f>INDEX(_TARGETS!$H$2:$H$17,MATCH($C361,_TARGETS!$A$2:$A$17,0))</f>
        <v>Solo reporte</v>
      </c>
      <c r="S361" s="193" t="str">
        <f t="shared" si="28"/>
        <v/>
      </c>
      <c r="T361" s="193" t="str">
        <f t="shared" si="29"/>
        <v/>
      </c>
    </row>
    <row r="362" spans="1:20" ht="13.5" customHeight="1" x14ac:dyDescent="0.3">
      <c r="A362" s="245">
        <f>KPIs!$U$3</f>
        <v>46753</v>
      </c>
      <c r="B362" s="199" t="str">
        <f>KPIs!U$4</f>
        <v>Compresora</v>
      </c>
      <c r="C362" s="31" t="s">
        <v>57</v>
      </c>
      <c r="D362" s="199" t="str">
        <f>KPIs!$A$10</f>
        <v>4 · Accidentes vehiculares severos por millón de km</v>
      </c>
      <c r="E362" s="31" t="s">
        <v>599</v>
      </c>
      <c r="F362" s="247" t="str">
        <f>IF(ISNUMBER(KPIs!U10),KPIs!U10,"")</f>
        <v/>
      </c>
      <c r="G362" s="247" t="str">
        <f>IF(ISNUMBER(KPIs!$C$10),KPIs!$C$10,"")</f>
        <v/>
      </c>
      <c r="H362" s="199" t="str">
        <f>IFERROR(INDEX(_TARGETS!$E$2:$E$17,MATCH($C362,_TARGETS!$A$2:$A$17,0))&amp;"","")</f>
        <v/>
      </c>
      <c r="I362" s="199" t="str">
        <f t="shared" si="25"/>
        <v/>
      </c>
      <c r="J362" s="193" t="str">
        <f t="shared" si="26"/>
        <v>Monthly</v>
      </c>
      <c r="K362" s="193">
        <f>Datos!U39+Datos!U40+Datos!U41</f>
        <v>0</v>
      </c>
      <c r="L362" s="248">
        <f>Datos!U47</f>
        <v>0</v>
      </c>
      <c r="M362" s="193">
        <f>INDEX(_TARGETS!$J$2:$J$17,MATCH($C362,_TARGETS!$A$2:$A$17,0))</f>
        <v>1000000</v>
      </c>
      <c r="N362" s="193" t="str">
        <f>INDEX(_TARGETS!$D$2:$D$17,MATCH($C362,_TARGETS!$A$2:$A$17,0))</f>
        <v>eventos / 10^6 km</v>
      </c>
      <c r="O362" s="193" t="str">
        <f>IF(NOT(ISNUMBER(F362)),"MISSING",IF((COUNTBLANK(Datos!U44)+COUNTBLANK(Datos!U45)+COUNTBLANK(Datos!U46)+COUNTBLANK(Datos!U39)+COUNTBLANK(Datos!U40)+COUNTBLANK(Datos!U41))&gt;0,"INCOMPLETE","OK"))</f>
        <v>MISSING</v>
      </c>
      <c r="P362" s="193" t="str">
        <f>INDEX(_TARGETS!$K$2:$K$17,MATCH($C362,_TARGETS!$A$2:$A$17,0))</f>
        <v>OPS (eventos) + Full Control GPS (km) - carga manual en Datos</v>
      </c>
      <c r="Q362" s="193" t="str">
        <f t="shared" si="27"/>
        <v>202801|SVCR|Monthly</v>
      </c>
      <c r="R362" s="193" t="str">
        <f>INDEX(_TARGETS!$H$2:$H$17,MATCH($C362,_TARGETS!$A$2:$A$17,0))</f>
        <v>Solo reporte</v>
      </c>
      <c r="S362" s="193" t="str">
        <f t="shared" si="28"/>
        <v/>
      </c>
      <c r="T362" s="193" t="str">
        <f t="shared" si="29"/>
        <v/>
      </c>
    </row>
    <row r="363" spans="1:20" ht="13.5" customHeight="1" x14ac:dyDescent="0.3">
      <c r="A363" s="245">
        <f>KPIs!$U$3</f>
        <v>46753</v>
      </c>
      <c r="B363" s="199" t="str">
        <f>KPIs!U$4</f>
        <v>Compresora</v>
      </c>
      <c r="C363" s="31" t="s">
        <v>61</v>
      </c>
      <c r="D363" s="199" t="str">
        <f>KPIs!$A$11</f>
        <v>5 · Accidentes vehiculares totales por millón de km</v>
      </c>
      <c r="E363" s="31" t="s">
        <v>599</v>
      </c>
      <c r="F363" s="247" t="str">
        <f>IF(ISNUMBER(KPIs!U11),KPIs!U11,"")</f>
        <v/>
      </c>
      <c r="G363" s="247">
        <f>IF(ISNUMBER(KPIs!$C$11),KPIs!$C$11,"")</f>
        <v>0.79</v>
      </c>
      <c r="H363" s="199" t="str">
        <f>IFERROR(INDEX(_TARGETS!$E$2:$E$17,MATCH($C363,_TARGETS!$A$2:$A$17,0))&amp;"","")</f>
        <v>≤</v>
      </c>
      <c r="I363" s="199" t="str">
        <f t="shared" si="25"/>
        <v/>
      </c>
      <c r="J363" s="193" t="str">
        <f t="shared" si="26"/>
        <v>Monthly</v>
      </c>
      <c r="K363" s="193">
        <f>Datos!U39+Datos!U40+Datos!U41+Datos!U42</f>
        <v>0</v>
      </c>
      <c r="L363" s="248">
        <f>Datos!U47</f>
        <v>0</v>
      </c>
      <c r="M363" s="193">
        <f>INDEX(_TARGETS!$J$2:$J$17,MATCH($C363,_TARGETS!$A$2:$A$17,0))</f>
        <v>1000000</v>
      </c>
      <c r="N363" s="193" t="str">
        <f>INDEX(_TARGETS!$D$2:$D$17,MATCH($C363,_TARGETS!$A$2:$A$17,0))</f>
        <v>eventos / 10^6 km</v>
      </c>
      <c r="O363" s="193" t="str">
        <f>IF(NOT(ISNUMBER(F363)),"MISSING",IF((COUNTBLANK(Datos!U44)+COUNTBLANK(Datos!U45)+COUNTBLANK(Datos!U46)+COUNTBLANK(Datos!U39)+COUNTBLANK(Datos!U40)+COUNTBLANK(Datos!U41)+COUNTBLANK(Datos!U42))&gt;0,"INCOMPLETE","OK"))</f>
        <v>MISSING</v>
      </c>
      <c r="P363" s="193" t="str">
        <f>INDEX(_TARGETS!$K$2:$K$17,MATCH($C363,_TARGETS!$A$2:$A$17,0))</f>
        <v>OPS (eventos) + Full Control GPS (km) - carga manual en Datos</v>
      </c>
      <c r="Q363" s="193" t="str">
        <f t="shared" si="27"/>
        <v>202801|TVCR|Monthly</v>
      </c>
      <c r="R363" s="193" t="str">
        <f>INDEX(_TARGETS!$H$2:$H$17,MATCH($C363,_TARGETS!$A$2:$A$17,0))</f>
        <v>Definida</v>
      </c>
      <c r="S363" s="193" t="str">
        <f t="shared" si="28"/>
        <v/>
      </c>
      <c r="T363" s="193" t="str">
        <f t="shared" si="29"/>
        <v/>
      </c>
    </row>
    <row r="364" spans="1:20" ht="13.5" customHeight="1" x14ac:dyDescent="0.3">
      <c r="A364" s="245">
        <f>KPIs!$U$3</f>
        <v>46753</v>
      </c>
      <c r="B364" s="199" t="str">
        <f>KPIs!U$4</f>
        <v>Compresora</v>
      </c>
      <c r="C364" s="31" t="s">
        <v>63</v>
      </c>
      <c r="D364" s="199" t="str">
        <f>KPIs!$A$13</f>
        <v>6 · Observaciones de seguridad por persona</v>
      </c>
      <c r="E364" s="31" t="s">
        <v>599</v>
      </c>
      <c r="F364" s="247" t="str">
        <f>IF(ISNUMBER(KPIs!U13),KPIs!U13,"")</f>
        <v/>
      </c>
      <c r="G364" s="247">
        <f>IF(ISNUMBER(KPIs!$C$13),KPIs!$C$13,"")</f>
        <v>1</v>
      </c>
      <c r="H364" s="199" t="str">
        <f>IFERROR(INDEX(_TARGETS!$E$2:$E$17,MATCH($C364,_TARGETS!$A$2:$A$17,0))&amp;"","")</f>
        <v>≥</v>
      </c>
      <c r="I364" s="199" t="str">
        <f t="shared" si="25"/>
        <v/>
      </c>
      <c r="J364" s="193" t="str">
        <f t="shared" si="26"/>
        <v>Monthly</v>
      </c>
      <c r="K364" s="248" t="str">
        <f>IF(COUNT(Datos!U28:U29)=0,"",SUM(Datos!U28:U29))</f>
        <v/>
      </c>
      <c r="L364" s="248">
        <f>Datos!U11</f>
        <v>0</v>
      </c>
      <c r="M364" s="193">
        <f>INDEX(_TARGETS!$J$2:$J$17,MATCH($C364,_TARGETS!$A$2:$A$17,0))</f>
        <v>1</v>
      </c>
      <c r="N364" s="193" t="str">
        <f>INDEX(_TARGETS!$D$2:$D$17,MATCH($C364,_TARGETS!$A$2:$A$17,0))</f>
        <v>obs / persona</v>
      </c>
      <c r="O364" s="193" t="str">
        <f>IF(NOT(ISNUMBER(F364)),"MISSING",IF((COUNTBLANK(Datos!U9)+COUNTBLANK(Datos!U10)+IF(COUNT(Datos!U28:U29)=0,1,0))&gt;0,"INCOMPLETE","OK"))</f>
        <v>MISSING</v>
      </c>
      <c r="P364" s="193" t="str">
        <f>INDEX(_TARGETS!$K$2:$K$17,MATCH($C364,_TARGETS!$A$2:$A$17,0))</f>
        <v>OPS (carga manual en Datos)</v>
      </c>
      <c r="Q364" s="193" t="str">
        <f t="shared" si="27"/>
        <v>202801|OBS|Monthly</v>
      </c>
      <c r="R364" s="193" t="str">
        <f>INDEX(_TARGETS!$H$2:$H$17,MATCH($C364,_TARGETS!$A$2:$A$17,0))</f>
        <v>PROVISORIA · referencia del subcontratista (OPS: 1 obs/persona); meta y población en definición</v>
      </c>
      <c r="S364" s="193" t="str">
        <f t="shared" si="28"/>
        <v/>
      </c>
      <c r="T364" s="193" t="str">
        <f t="shared" si="29"/>
        <v/>
      </c>
    </row>
    <row r="365" spans="1:20" ht="13.5" customHeight="1" x14ac:dyDescent="0.3">
      <c r="A365" s="245">
        <f>KPIs!$U$3</f>
        <v>46753</v>
      </c>
      <c r="B365" s="199" t="str">
        <f>KPIs!U$4</f>
        <v>Compresora</v>
      </c>
      <c r="C365" s="31" t="s">
        <v>71</v>
      </c>
      <c r="D365" s="199" t="str">
        <f>KPIs!$A$14</f>
        <v>7 · Investigaciones de accidentes: días promedio de cierre</v>
      </c>
      <c r="E365" s="31" t="s">
        <v>599</v>
      </c>
      <c r="F365" s="247" t="str">
        <f>IF(ISNUMBER(KPIs!U14),KPIs!U14,"")</f>
        <v/>
      </c>
      <c r="G365" s="247">
        <f>IF(ISNUMBER(KPIs!$C$14),KPIs!$C$14,"")</f>
        <v>20</v>
      </c>
      <c r="H365" s="199" t="str">
        <f>IFERROR(INDEX(_TARGETS!$E$2:$E$17,MATCH($C365,_TARGETS!$A$2:$A$17,0))&amp;"","")</f>
        <v>≤</v>
      </c>
      <c r="I365" s="199" t="str">
        <f t="shared" si="25"/>
        <v/>
      </c>
      <c r="J365" s="193" t="str">
        <f t="shared" si="26"/>
        <v>Monthly</v>
      </c>
      <c r="K365" s="248">
        <f>Datos!U31</f>
        <v>0</v>
      </c>
      <c r="L365" s="248">
        <f>Datos!U30</f>
        <v>0</v>
      </c>
      <c r="M365" s="193">
        <f>INDEX(_TARGETS!$J$2:$J$17,MATCH($C365,_TARGETS!$A$2:$A$17,0))</f>
        <v>1</v>
      </c>
      <c r="N365" s="193" t="str">
        <f>INDEX(_TARGETS!$D$2:$D$17,MATCH($C365,_TARGETS!$A$2:$A$17,0))</f>
        <v>días</v>
      </c>
      <c r="O365" s="193" t="str">
        <f>IF(NOT(ISNUMBER(F365)),"MISSING",IF((COUNTBLANK(Datos!U30)+COUNTBLANK(Datos!U31))&gt;0,"INCOMPLETE","OK"))</f>
        <v>MISSING</v>
      </c>
      <c r="P365" s="193" t="str">
        <f>INDEX(_TARGETS!$K$2:$K$17,MATCH($C365,_TARGETS!$A$2:$A$17,0))</f>
        <v>OPS (carga manual en Datos)</v>
      </c>
      <c r="Q365" s="193" t="str">
        <f t="shared" si="27"/>
        <v>202801|INV|Monthly</v>
      </c>
      <c r="R365" s="193" t="str">
        <f>INDEX(_TARGETS!$H$2:$H$17,MATCH($C365,_TARGETS!$A$2:$A$17,0))</f>
        <v>Definida</v>
      </c>
      <c r="S365" s="193" t="str">
        <f t="shared" si="28"/>
        <v/>
      </c>
      <c r="T365" s="193" t="str">
        <f t="shared" si="29"/>
        <v/>
      </c>
    </row>
    <row r="366" spans="1:20" ht="13.5" customHeight="1" x14ac:dyDescent="0.3">
      <c r="A366" s="245">
        <f>KPIs!$U$3</f>
        <v>46753</v>
      </c>
      <c r="B366" s="199" t="str">
        <f>KPIs!U$4</f>
        <v>Compresora</v>
      </c>
      <c r="C366" s="31" t="s">
        <v>76</v>
      </c>
      <c r="D366" s="199" t="str">
        <f>KPIs!$A$16</f>
        <v>8 · % de capacitación en seguridad</v>
      </c>
      <c r="E366" s="31" t="s">
        <v>599</v>
      </c>
      <c r="F366" s="247" t="str">
        <f>IF(ISNUMBER(KPIs!U16),KPIs!U16,"")</f>
        <v/>
      </c>
      <c r="G366" s="247">
        <f>IF(ISNUMBER(KPIs!$C$16),KPIs!$C$16,"")</f>
        <v>0.01</v>
      </c>
      <c r="H366" s="199" t="str">
        <f>IFERROR(INDEX(_TARGETS!$E$2:$E$17,MATCH($C366,_TARGETS!$A$2:$A$17,0))&amp;"","")</f>
        <v>≥</v>
      </c>
      <c r="I366" s="199" t="str">
        <f t="shared" si="25"/>
        <v/>
      </c>
      <c r="J366" s="193" t="str">
        <f t="shared" si="26"/>
        <v>Monthly</v>
      </c>
      <c r="K366" s="248">
        <f>Datos!U18</f>
        <v>0</v>
      </c>
      <c r="L366" s="248">
        <f>Datos!U14</f>
        <v>0</v>
      </c>
      <c r="M366" s="193">
        <f>INDEX(_TARGETS!$J$2:$J$17,MATCH($C366,_TARGETS!$A$2:$A$17,0))</f>
        <v>1</v>
      </c>
      <c r="N366" s="193" t="str">
        <f>INDEX(_TARGETS!$D$2:$D$17,MATCH($C366,_TARGETS!$A$2:$A$17,0))</f>
        <v>% (fracción)</v>
      </c>
      <c r="O366" s="193" t="str">
        <f>IF(NOT(ISNUMBER(F366)),"MISSING",IF((COUNTBLANK(Datos!U16)+COUNTBLANK(Datos!U17)+COUNTBLANK(Datos!U12)+COUNTBLANK(Datos!U13))&gt;0,"INCOMPLETE","OK"))</f>
        <v>MISSING</v>
      </c>
      <c r="P366" s="193" t="str">
        <f>INDEX(_TARGETS!$K$2:$K$17,MATCH($C366,_TARGETS!$A$2:$A$17,0))</f>
        <v>OPS (carga manual en Datos)</v>
      </c>
      <c r="Q366" s="193" t="str">
        <f t="shared" si="27"/>
        <v>202801|HCS|Monthly</v>
      </c>
      <c r="R366" s="193" t="str">
        <f>INDEX(_TARGETS!$H$2:$H$17,MATCH($C366,_TARGETS!$A$2:$A$17,0))</f>
        <v>Definida</v>
      </c>
      <c r="S366" s="193" t="str">
        <f t="shared" si="28"/>
        <v/>
      </c>
      <c r="T366" s="193" t="str">
        <f t="shared" si="29"/>
        <v/>
      </c>
    </row>
    <row r="367" spans="1:20" ht="13.5" customHeight="1" x14ac:dyDescent="0.3">
      <c r="A367" s="245">
        <f>KPIs!$U$3</f>
        <v>46753</v>
      </c>
      <c r="B367" s="199" t="str">
        <f>KPIs!U$4</f>
        <v>Compresora</v>
      </c>
      <c r="C367" s="31" t="s">
        <v>80</v>
      </c>
      <c r="D367" s="199" t="str">
        <f>KPIs!$A$17</f>
        <v>9 · Horas de capacitación por persona</v>
      </c>
      <c r="E367" s="31" t="s">
        <v>599</v>
      </c>
      <c r="F367" s="247" t="str">
        <f>IF(ISNUMBER(KPIs!U17),KPIs!U17,"")</f>
        <v/>
      </c>
      <c r="G367" s="247" t="str">
        <f>IF(ISNUMBER(KPIs!$C$17),KPIs!$C$17,"")</f>
        <v/>
      </c>
      <c r="H367" s="199" t="str">
        <f>IFERROR(INDEX(_TARGETS!$E$2:$E$17,MATCH($C367,_TARGETS!$A$2:$A$17,0))&amp;"","")</f>
        <v/>
      </c>
      <c r="I367" s="199" t="str">
        <f t="shared" si="25"/>
        <v/>
      </c>
      <c r="J367" s="193" t="str">
        <f t="shared" si="26"/>
        <v>Monthly</v>
      </c>
      <c r="K367" s="248">
        <f>Datos!U18</f>
        <v>0</v>
      </c>
      <c r="L367" s="248">
        <f>Datos!U11</f>
        <v>0</v>
      </c>
      <c r="M367" s="193">
        <f>INDEX(_TARGETS!$J$2:$J$17,MATCH($C367,_TARGETS!$A$2:$A$17,0))</f>
        <v>1</v>
      </c>
      <c r="N367" s="193" t="str">
        <f>INDEX(_TARGETS!$D$2:$D$17,MATCH($C367,_TARGETS!$A$2:$A$17,0))</f>
        <v>h / persona</v>
      </c>
      <c r="O367" s="193" t="str">
        <f>IF(NOT(ISNUMBER(F367)),"MISSING",IF((COUNTBLANK(Datos!U16)+COUNTBLANK(Datos!U17)+COUNTBLANK(Datos!U9)+COUNTBLANK(Datos!U10))&gt;0,"INCOMPLETE","OK"))</f>
        <v>MISSING</v>
      </c>
      <c r="P367" s="193" t="str">
        <f>INDEX(_TARGETS!$K$2:$K$17,MATCH($C367,_TARGETS!$A$2:$A$17,0))</f>
        <v>OPS (carga manual en Datos)</v>
      </c>
      <c r="Q367" s="193" t="str">
        <f t="shared" si="27"/>
        <v>202801|HCSA|Monthly</v>
      </c>
      <c r="R367" s="193" t="str">
        <f>INDEX(_TARGETS!$H$2:$H$17,MATCH($C367,_TARGETS!$A$2:$A$17,0))</f>
        <v>Solo reporte</v>
      </c>
      <c r="S367" s="193" t="str">
        <f t="shared" si="28"/>
        <v/>
      </c>
      <c r="T367" s="193" t="str">
        <f t="shared" si="29"/>
        <v/>
      </c>
    </row>
    <row r="368" spans="1:20" ht="13.5" customHeight="1" x14ac:dyDescent="0.3">
      <c r="A368" s="245">
        <f>KPIs!$U$3</f>
        <v>46753</v>
      </c>
      <c r="B368" s="199" t="str">
        <f>KPIs!U$4</f>
        <v>Compresora</v>
      </c>
      <c r="C368" s="31" t="s">
        <v>83</v>
      </c>
      <c r="D368" s="199" t="str">
        <f>KPIs!$A$18</f>
        <v>10 · Cumplimiento de simulacros (emergencia y operativos)</v>
      </c>
      <c r="E368" s="31" t="s">
        <v>599</v>
      </c>
      <c r="F368" s="247" t="str">
        <f>IF(ISNUMBER(KPIs!U18),KPIs!U18,"")</f>
        <v/>
      </c>
      <c r="G368" s="247">
        <f>IF(ISNUMBER(KPIs!$C$18),KPIs!$C$18,"")</f>
        <v>1</v>
      </c>
      <c r="H368" s="199" t="str">
        <f>IFERROR(INDEX(_TARGETS!$E$2:$E$17,MATCH($C368,_TARGETS!$A$2:$A$17,0))&amp;"","")</f>
        <v>≥</v>
      </c>
      <c r="I368" s="199" t="str">
        <f t="shared" si="25"/>
        <v/>
      </c>
      <c r="J368" s="193" t="str">
        <f t="shared" si="26"/>
        <v>Monthly</v>
      </c>
      <c r="K368" s="248">
        <f>Datos!U20</f>
        <v>0</v>
      </c>
      <c r="L368" s="248">
        <f>Datos!U21</f>
        <v>0</v>
      </c>
      <c r="M368" s="193">
        <f>INDEX(_TARGETS!$J$2:$J$17,MATCH($C368,_TARGETS!$A$2:$A$17,0))</f>
        <v>1</v>
      </c>
      <c r="N368" s="193" t="str">
        <f>INDEX(_TARGETS!$D$2:$D$17,MATCH($C368,_TARGETS!$A$2:$A$17,0))</f>
        <v>% (fracción)</v>
      </c>
      <c r="O368" s="193" t="str">
        <f>IF(NOT(ISNUMBER(F368)),"MISSING",IF((COUNTBLANK(Datos!U20)+COUNTBLANK(Datos!U21))&gt;0,"INCOMPLETE","OK"))</f>
        <v>MISSING</v>
      </c>
      <c r="P368" s="193" t="str">
        <f>INDEX(_TARGETS!$K$2:$K$17,MATCH($C368,_TARGETS!$A$2:$A$17,0))</f>
        <v>OPS (carga manual en Datos)</v>
      </c>
      <c r="Q368" s="193" t="str">
        <f t="shared" si="27"/>
        <v>202801|CPSE|Monthly</v>
      </c>
      <c r="R368" s="193" t="str">
        <f>INDEX(_TARGETS!$H$2:$H$17,MATCH($C368,_TARGETS!$A$2:$A$17,0))</f>
        <v>Definida</v>
      </c>
      <c r="S368" s="193" t="str">
        <f t="shared" si="28"/>
        <v/>
      </c>
      <c r="T368" s="193" t="str">
        <f t="shared" si="29"/>
        <v/>
      </c>
    </row>
    <row r="369" spans="1:20" ht="13.5" customHeight="1" x14ac:dyDescent="0.3">
      <c r="A369" s="245">
        <f>KPIs!$U$3</f>
        <v>46753</v>
      </c>
      <c r="B369" s="199" t="str">
        <f>KPIs!U$4</f>
        <v>Compresora</v>
      </c>
      <c r="C369" s="31" t="s">
        <v>85</v>
      </c>
      <c r="D369" s="199" t="str">
        <f>KPIs!$A$19</f>
        <v>10b · Cumplimiento de acciones de mejora de simulacros</v>
      </c>
      <c r="E369" s="31" t="s">
        <v>599</v>
      </c>
      <c r="F369" s="247" t="str">
        <f>IF(ISNUMBER(KPIs!U19),KPIs!U19,"")</f>
        <v/>
      </c>
      <c r="G369" s="247" t="str">
        <f>IF(ISNUMBER(KPIs!$C$19),KPIs!$C$19,"")</f>
        <v/>
      </c>
      <c r="H369" s="199" t="str">
        <f>IFERROR(INDEX(_TARGETS!$E$2:$E$17,MATCH($C369,_TARGETS!$A$2:$A$17,0))&amp;"","")</f>
        <v/>
      </c>
      <c r="I369" s="199" t="str">
        <f t="shared" si="25"/>
        <v/>
      </c>
      <c r="J369" s="193" t="str">
        <f t="shared" si="26"/>
        <v>Monthly</v>
      </c>
      <c r="K369" s="248">
        <f>Datos!U23</f>
        <v>0</v>
      </c>
      <c r="L369" s="248">
        <f>Datos!U22</f>
        <v>0</v>
      </c>
      <c r="M369" s="193">
        <f>INDEX(_TARGETS!$J$2:$J$17,MATCH($C369,_TARGETS!$A$2:$A$17,0))</f>
        <v>1</v>
      </c>
      <c r="N369" s="193" t="str">
        <f>INDEX(_TARGETS!$D$2:$D$17,MATCH($C369,_TARGETS!$A$2:$A$17,0))</f>
        <v>% (fracción)</v>
      </c>
      <c r="O369" s="193" t="str">
        <f>IF(NOT(ISNUMBER(F369)),"MISSING",IF((COUNTBLANK(Datos!U23)+COUNTBLANK(Datos!U22))&gt;0,"INCOMPLETE","OK"))</f>
        <v>MISSING</v>
      </c>
      <c r="P369" s="193" t="str">
        <f>INDEX(_TARGETS!$K$2:$K$17,MATCH($C369,_TARGETS!$A$2:$A$17,0))</f>
        <v>OPS (carga manual en Datos)</v>
      </c>
      <c r="Q369" s="193" t="str">
        <f t="shared" si="27"/>
        <v>202801|CAMS|Monthly</v>
      </c>
      <c r="R369" s="193" t="str">
        <f>INDEX(_TARGETS!$H$2:$H$17,MATCH($C369,_TARGETS!$A$2:$A$17,0))</f>
        <v>Solo reporte</v>
      </c>
      <c r="S369" s="193" t="str">
        <f t="shared" si="28"/>
        <v/>
      </c>
      <c r="T369" s="193" t="str">
        <f t="shared" si="29"/>
        <v/>
      </c>
    </row>
    <row r="370" spans="1:20" ht="13.5" customHeight="1" x14ac:dyDescent="0.3">
      <c r="A370" s="245">
        <f>KPIs!$U$3</f>
        <v>46753</v>
      </c>
      <c r="B370" s="199" t="str">
        <f>KPIs!U$4</f>
        <v>Compresora</v>
      </c>
      <c r="C370" s="31" t="s">
        <v>87</v>
      </c>
      <c r="D370" s="199" t="str">
        <f>KPIs!$A$21</f>
        <v>11 · Cumplimiento de caminatas gerenciales</v>
      </c>
      <c r="E370" s="31" t="s">
        <v>599</v>
      </c>
      <c r="F370" s="247" t="str">
        <f>IF(ISNUMBER(KPIs!U21),KPIs!U21,"")</f>
        <v/>
      </c>
      <c r="G370" s="247">
        <f>IF(ISNUMBER(KPIs!$C$21),KPIs!$C$21,"")</f>
        <v>1</v>
      </c>
      <c r="H370" s="199" t="str">
        <f>IFERROR(INDEX(_TARGETS!$E$2:$E$17,MATCH($C370,_TARGETS!$A$2:$A$17,0))&amp;"","")</f>
        <v>≥</v>
      </c>
      <c r="I370" s="199" t="str">
        <f t="shared" si="25"/>
        <v/>
      </c>
      <c r="J370" s="193" t="str">
        <f t="shared" si="26"/>
        <v>Monthly</v>
      </c>
      <c r="K370" s="248">
        <f>Datos!U24</f>
        <v>0</v>
      </c>
      <c r="L370" s="248">
        <f>Datos!U25</f>
        <v>0</v>
      </c>
      <c r="M370" s="193">
        <f>INDEX(_TARGETS!$J$2:$J$17,MATCH($C370,_TARGETS!$A$2:$A$17,0))</f>
        <v>1</v>
      </c>
      <c r="N370" s="193" t="str">
        <f>INDEX(_TARGETS!$D$2:$D$17,MATCH($C370,_TARGETS!$A$2:$A$17,0))</f>
        <v>% (fracción)</v>
      </c>
      <c r="O370" s="193" t="str">
        <f>IF(NOT(ISNUMBER(F370)),"MISSING",IF((COUNTBLANK(Datos!U24)+COUNTBLANK(Datos!U25))&gt;0,"INCOMPLETE","OK"))</f>
        <v>MISSING</v>
      </c>
      <c r="P370" s="193" t="str">
        <f>INDEX(_TARGETS!$K$2:$K$17,MATCH($C370,_TARGETS!$A$2:$A$17,0))</f>
        <v>OPS (carga manual en Datos)</v>
      </c>
      <c r="Q370" s="193" t="str">
        <f t="shared" si="27"/>
        <v>202801|ICCS|Monthly</v>
      </c>
      <c r="R370" s="193" t="str">
        <f>INDEX(_TARGETS!$H$2:$H$17,MATCH($C370,_TARGETS!$A$2:$A$17,0))</f>
        <v>Definida</v>
      </c>
      <c r="S370" s="193" t="str">
        <f t="shared" si="28"/>
        <v/>
      </c>
      <c r="T370" s="193" t="str">
        <f t="shared" si="29"/>
        <v/>
      </c>
    </row>
    <row r="371" spans="1:20" ht="13.5" customHeight="1" x14ac:dyDescent="0.3">
      <c r="A371" s="245">
        <f>KPIs!$U$3</f>
        <v>46753</v>
      </c>
      <c r="B371" s="199" t="str">
        <f>KPIs!U$4</f>
        <v>Compresora</v>
      </c>
      <c r="C371" s="31" t="s">
        <v>89</v>
      </c>
      <c r="D371" s="199" t="str">
        <f>KPIs!$A$22</f>
        <v>12 · Cumplimiento de comités y subcomités de seguridad</v>
      </c>
      <c r="E371" s="31" t="s">
        <v>599</v>
      </c>
      <c r="F371" s="247" t="str">
        <f>IF(ISNUMBER(KPIs!U22),KPIs!U22,"")</f>
        <v/>
      </c>
      <c r="G371" s="247">
        <f>IF(ISNUMBER(KPIs!$C$22),KPIs!$C$22,"")</f>
        <v>1</v>
      </c>
      <c r="H371" s="199" t="str">
        <f>IFERROR(INDEX(_TARGETS!$E$2:$E$17,MATCH($C371,_TARGETS!$A$2:$A$17,0))&amp;"","")</f>
        <v>≥</v>
      </c>
      <c r="I371" s="199" t="str">
        <f t="shared" si="25"/>
        <v/>
      </c>
      <c r="J371" s="193" t="str">
        <f t="shared" si="26"/>
        <v>Monthly</v>
      </c>
      <c r="K371" s="248">
        <f>Datos!U26</f>
        <v>0</v>
      </c>
      <c r="L371" s="248">
        <f>Datos!U27</f>
        <v>0</v>
      </c>
      <c r="M371" s="193">
        <f>INDEX(_TARGETS!$J$2:$J$17,MATCH($C371,_TARGETS!$A$2:$A$17,0))</f>
        <v>1</v>
      </c>
      <c r="N371" s="193" t="str">
        <f>INDEX(_TARGETS!$D$2:$D$17,MATCH($C371,_TARGETS!$A$2:$A$17,0))</f>
        <v>% (fracción)</v>
      </c>
      <c r="O371" s="193" t="str">
        <f>IF(NOT(ISNUMBER(F371)),"MISSING",IF((COUNTBLANK(Datos!U26)+COUNTBLANK(Datos!U27))&gt;0,"INCOMPLETE","OK"))</f>
        <v>MISSING</v>
      </c>
      <c r="P371" s="193" t="str">
        <f>INDEX(_TARGETS!$K$2:$K$17,MATCH($C371,_TARGETS!$A$2:$A$17,0))</f>
        <v>OPS (carga manual en Datos)</v>
      </c>
      <c r="Q371" s="193" t="str">
        <f t="shared" si="27"/>
        <v>202801|CCS|Monthly</v>
      </c>
      <c r="R371" s="193" t="str">
        <f>INDEX(_TARGETS!$H$2:$H$17,MATCH($C371,_TARGETS!$A$2:$A$17,0))</f>
        <v>Definida</v>
      </c>
      <c r="S371" s="193" t="str">
        <f t="shared" si="28"/>
        <v/>
      </c>
      <c r="T371" s="193" t="str">
        <f t="shared" si="29"/>
        <v/>
      </c>
    </row>
    <row r="372" spans="1:20" ht="13.5" customHeight="1" x14ac:dyDescent="0.3">
      <c r="A372" s="245">
        <f>KPIs!$U$3</f>
        <v>46753</v>
      </c>
      <c r="B372" s="199" t="str">
        <f>KPIs!U$4</f>
        <v>Compresora</v>
      </c>
      <c r="C372" s="31" t="s">
        <v>91</v>
      </c>
      <c r="D372" s="199" t="str">
        <f>KPIs!$A$23</f>
        <v>13 · Días promedio para cerrar hallazgos</v>
      </c>
      <c r="E372" s="31" t="s">
        <v>599</v>
      </c>
      <c r="F372" s="247" t="str">
        <f>IF(ISNUMBER(KPIs!U23),KPIs!U23,"")</f>
        <v/>
      </c>
      <c r="G372" s="247" t="str">
        <f>IF(ISNUMBER(KPIs!$C$23),KPIs!$C$23,"")</f>
        <v/>
      </c>
      <c r="H372" s="199" t="str">
        <f>IFERROR(INDEX(_TARGETS!$E$2:$E$17,MATCH($C372,_TARGETS!$A$2:$A$17,0))&amp;"","")</f>
        <v>≤</v>
      </c>
      <c r="I372" s="199" t="str">
        <f t="shared" si="25"/>
        <v/>
      </c>
      <c r="J372" s="193" t="str">
        <f t="shared" si="26"/>
        <v>Monthly</v>
      </c>
      <c r="K372" s="248">
        <f>Datos!U68</f>
        <v>0</v>
      </c>
      <c r="L372" s="248">
        <f>Datos!U67</f>
        <v>0</v>
      </c>
      <c r="M372" s="193">
        <f>INDEX(_TARGETS!$J$2:$J$17,MATCH($C372,_TARGETS!$A$2:$A$17,0))</f>
        <v>1</v>
      </c>
      <c r="N372" s="193" t="str">
        <f>INDEX(_TARGETS!$D$2:$D$17,MATCH($C372,_TARGETS!$A$2:$A$17,0))</f>
        <v>días</v>
      </c>
      <c r="O372" s="193" t="str">
        <f>IF(NOT(ISNUMBER(F372)),"MISSING","OK")</f>
        <v>MISSING</v>
      </c>
      <c r="P372" s="193" t="str">
        <f>INDEX(_TARGETS!$K$2:$K$17,MATCH($C372,_TARGETS!$A$2:$A$17,0))</f>
        <v>Plant Findings (hoja Observaciones-SMP)</v>
      </c>
      <c r="Q372" s="193" t="str">
        <f t="shared" si="27"/>
        <v>202801|DPAS|Monthly</v>
      </c>
      <c r="R372" s="193" t="str">
        <f>INDEX(_TARGETS!$H$2:$H$17,MATCH($C372,_TARGETS!$A$2:$A$17,0))</f>
        <v>Pendiente (meta 2027)</v>
      </c>
      <c r="S372" s="193" t="str">
        <f t="shared" si="28"/>
        <v/>
      </c>
      <c r="T372" s="193" t="str">
        <f t="shared" si="29"/>
        <v/>
      </c>
    </row>
    <row r="373" spans="1:20" ht="13.5" customHeight="1" x14ac:dyDescent="0.3">
      <c r="A373" s="245">
        <f>KPIs!$U$3</f>
        <v>46753</v>
      </c>
      <c r="B373" s="199" t="str">
        <f>KPIs!U$4</f>
        <v>Compresora</v>
      </c>
      <c r="C373" s="31" t="s">
        <v>39</v>
      </c>
      <c r="D373" s="199" t="str">
        <f>KPIs!$A$26</f>
        <v>1 · Frecuencia de casos con días perdidos · ACUMULADO</v>
      </c>
      <c r="E373" s="31" t="s">
        <v>600</v>
      </c>
      <c r="F373" s="247" t="str">
        <f>IF(ISNUMBER(KPIs!U26),KPIs!U26,"")</f>
        <v/>
      </c>
      <c r="G373" s="247">
        <f>IF(ISNUMBER(KPIs!$C$26),KPIs!$C$26,"")</f>
        <v>0</v>
      </c>
      <c r="H373" s="199" t="str">
        <f>IFERROR(INDEX(_TARGETS!$E$2:$E$17,MATCH($C373,_TARGETS!$A$2:$A$17,0))&amp;"","")</f>
        <v>≤</v>
      </c>
      <c r="I373" s="199" t="str">
        <f t="shared" si="25"/>
        <v/>
      </c>
      <c r="J373" s="193" t="str">
        <f t="shared" si="26"/>
        <v>Cumulative</v>
      </c>
      <c r="K373" s="193">
        <f>SUM(Datos!$D33:U33)</f>
        <v>0</v>
      </c>
      <c r="L373" s="193">
        <f>SUM(Datos!$D14:U14)</f>
        <v>48332</v>
      </c>
      <c r="M373" s="193">
        <f>INDEX(_TARGETS!$J$2:$J$17,MATCH($C373,_TARGETS!$A$2:$A$17,0))</f>
        <v>1000000</v>
      </c>
      <c r="N373" s="193" t="str">
        <f>INDEX(_TARGETS!$D$2:$D$17,MATCH($C373,_TARGETS!$A$2:$A$17,0))</f>
        <v>casos / 10^6 HH</v>
      </c>
      <c r="O373" s="193" t="str">
        <f>IF(NOT(ISNUMBER(F373)),IF(SUMPRODUCT(($C$2:$C$1300=C373)*($J$2:$J$1300="Monthly")*($A$2:$A$1300&lt;=A373)*ISNUMBER($K$2:$K$1300)*ISNUMBER($L$2:$L$1300)*($L$2:$L$1300=0)*($K$2:$K$1300&gt;0))&gt;0,"INCOMPLETE","MISSING"),O359)</f>
        <v>MISSING</v>
      </c>
      <c r="P373" s="193" t="str">
        <f>INDEX(_TARGETS!$K$2:$K$17,MATCH($C373,_TARGETS!$A$2:$A$17,0))</f>
        <v>OPS (carga manual en Datos)</v>
      </c>
      <c r="Q373" s="193" t="str">
        <f t="shared" si="27"/>
        <v>202801|DAFWCF|Cumulative</v>
      </c>
      <c r="R373" s="193" t="str">
        <f>INDEX(_TARGETS!$H$2:$H$17,MATCH($C373,_TARGETS!$A$2:$A$17,0))</f>
        <v>Definida</v>
      </c>
      <c r="S373" s="193">
        <f t="shared" si="28"/>
        <v>0</v>
      </c>
      <c r="T373" s="193" t="str">
        <f t="shared" si="29"/>
        <v/>
      </c>
    </row>
    <row r="374" spans="1:20" ht="13.5" customHeight="1" x14ac:dyDescent="0.3">
      <c r="A374" s="245">
        <f>KPIs!$U$3</f>
        <v>46753</v>
      </c>
      <c r="B374" s="199" t="str">
        <f>KPIs!U$4</f>
        <v>Compresora</v>
      </c>
      <c r="C374" s="31" t="s">
        <v>49</v>
      </c>
      <c r="D374" s="199" t="str">
        <f>KPIs!$A$27</f>
        <v>2 · Frecuencia de casos registrables · ACUMULADO</v>
      </c>
      <c r="E374" s="31" t="s">
        <v>600</v>
      </c>
      <c r="F374" s="247" t="str">
        <f>IF(ISNUMBER(KPIs!U27),KPIs!U27,"")</f>
        <v/>
      </c>
      <c r="G374" s="247">
        <f>IF(ISNUMBER(KPIs!$C$27),KPIs!$C$27,"")</f>
        <v>2.35</v>
      </c>
      <c r="H374" s="199" t="str">
        <f>IFERROR(INDEX(_TARGETS!$E$2:$E$17,MATCH($C374,_TARGETS!$A$2:$A$17,0))&amp;"","")</f>
        <v>≤</v>
      </c>
      <c r="I374" s="199" t="str">
        <f t="shared" si="25"/>
        <v/>
      </c>
      <c r="J374" s="193" t="str">
        <f t="shared" si="26"/>
        <v>Cumulative</v>
      </c>
      <c r="K374" s="193">
        <f>SUM(Datos!$D33:U33)+SUM(Datos!$D34:U34)+SUM(Datos!$D35:U35)+SUM(Datos!$D36:U36)</f>
        <v>0</v>
      </c>
      <c r="L374" s="193">
        <f>SUM(Datos!$D14:U14)</f>
        <v>48332</v>
      </c>
      <c r="M374" s="193">
        <f>INDEX(_TARGETS!$J$2:$J$17,MATCH($C374,_TARGETS!$A$2:$A$17,0))</f>
        <v>1000000</v>
      </c>
      <c r="N374" s="193" t="str">
        <f>INDEX(_TARGETS!$D$2:$D$17,MATCH($C374,_TARGETS!$A$2:$A$17,0))</f>
        <v>casos / 10^6 HH</v>
      </c>
      <c r="O374" s="193" t="str">
        <f>IF(NOT(ISNUMBER(F374)),IF(SUMPRODUCT(($C$2:$C$1300=C374)*($J$2:$J$1300="Monthly")*($A$2:$A$1300&lt;=A374)*ISNUMBER($K$2:$K$1300)*ISNUMBER($L$2:$L$1300)*($L$2:$L$1300=0)*($K$2:$K$1300&gt;0))&gt;0,"INCOMPLETE","MISSING"),O360)</f>
        <v>MISSING</v>
      </c>
      <c r="P374" s="193" t="str">
        <f>INDEX(_TARGETS!$K$2:$K$17,MATCH($C374,_TARGETS!$A$2:$A$17,0))</f>
        <v>OPS (carga manual en Datos)</v>
      </c>
      <c r="Q374" s="193" t="str">
        <f t="shared" si="27"/>
        <v>202801|TRICF|Cumulative</v>
      </c>
      <c r="R374" s="193" t="str">
        <f>INDEX(_TARGETS!$H$2:$H$17,MATCH($C374,_TARGETS!$A$2:$A$17,0))</f>
        <v>Definida</v>
      </c>
      <c r="S374" s="193">
        <f t="shared" si="28"/>
        <v>0</v>
      </c>
      <c r="T374" s="193" t="str">
        <f t="shared" si="29"/>
        <v/>
      </c>
    </row>
    <row r="375" spans="1:20" ht="13.5" customHeight="1" x14ac:dyDescent="0.3">
      <c r="A375" s="245">
        <f>KPIs!$U$3</f>
        <v>46753</v>
      </c>
      <c r="B375" s="199" t="str">
        <f>KPIs!U$4</f>
        <v>Compresora</v>
      </c>
      <c r="C375" s="31" t="s">
        <v>51</v>
      </c>
      <c r="D375" s="199" t="str">
        <f>KPIs!$A$28</f>
        <v>3 · Casos de primeros auxilios · ACUMULADO</v>
      </c>
      <c r="E375" s="31" t="s">
        <v>600</v>
      </c>
      <c r="F375" s="247" t="str">
        <f>IF(ISNUMBER(KPIs!U28),KPIs!U28,"")</f>
        <v/>
      </c>
      <c r="G375" s="247" t="str">
        <f>IF(ISNUMBER(KPIs!$C$28),KPIs!$C$28,"")</f>
        <v/>
      </c>
      <c r="H375" s="199" t="str">
        <f>IFERROR(INDEX(_TARGETS!$E$2:$E$17,MATCH($C375,_TARGETS!$A$2:$A$17,0))&amp;"","")</f>
        <v/>
      </c>
      <c r="I375" s="199" t="str">
        <f t="shared" si="25"/>
        <v/>
      </c>
      <c r="J375" s="193" t="str">
        <f t="shared" si="26"/>
        <v>Cumulative</v>
      </c>
      <c r="K375" s="193">
        <f>SUM(Datos!$D37:U37)</f>
        <v>0</v>
      </c>
      <c r="M375" s="193">
        <f>INDEX(_TARGETS!$J$2:$J$17,MATCH($C375,_TARGETS!$A$2:$A$17,0))</f>
        <v>1</v>
      </c>
      <c r="N375" s="193" t="str">
        <f>INDEX(_TARGETS!$D$2:$D$17,MATCH($C375,_TARGETS!$A$2:$A$17,0))</f>
        <v>casos</v>
      </c>
      <c r="O375" s="193" t="str">
        <f>IF(NOT(ISNUMBER(F375)),IF(SUMPRODUCT(($C$2:$C$1300=C375)*($J$2:$J$1300="Monthly")*($A$2:$A$1300&lt;=A375)*ISNUMBER($K$2:$K$1300)*ISNUMBER($L$2:$L$1300)*($L$2:$L$1300=0)*($K$2:$K$1300&gt;0))&gt;0,"INCOMPLETE","MISSING"),O361)</f>
        <v>MISSING</v>
      </c>
      <c r="P375" s="193" t="str">
        <f>INDEX(_TARGETS!$K$2:$K$17,MATCH($C375,_TARGETS!$A$2:$A$17,0))</f>
        <v>OPS (carga manual en Datos)</v>
      </c>
      <c r="Q375" s="193" t="str">
        <f t="shared" si="27"/>
        <v>202801|FAC|Cumulative</v>
      </c>
      <c r="R375" s="193" t="str">
        <f>INDEX(_TARGETS!$H$2:$H$17,MATCH($C375,_TARGETS!$A$2:$A$17,0))</f>
        <v>Solo reporte</v>
      </c>
      <c r="S375" s="193">
        <f t="shared" si="28"/>
        <v>0</v>
      </c>
      <c r="T375" s="193" t="str">
        <f t="shared" si="29"/>
        <v/>
      </c>
    </row>
    <row r="376" spans="1:20" ht="13.5" customHeight="1" x14ac:dyDescent="0.3">
      <c r="A376" s="245">
        <f>KPIs!$U$3</f>
        <v>46753</v>
      </c>
      <c r="B376" s="199" t="str">
        <f>KPIs!U$4</f>
        <v>Compresora</v>
      </c>
      <c r="C376" s="31" t="s">
        <v>57</v>
      </c>
      <c r="D376" s="199" t="str">
        <f>KPIs!$A$29</f>
        <v>4 · Accidentes vehiculares severos · ACUMULADO</v>
      </c>
      <c r="E376" s="31" t="s">
        <v>600</v>
      </c>
      <c r="F376" s="247" t="str">
        <f>IF(ISNUMBER(KPIs!U29),KPIs!U29,"")</f>
        <v/>
      </c>
      <c r="G376" s="247" t="str">
        <f>IF(ISNUMBER(KPIs!$C$29),KPIs!$C$29,"")</f>
        <v/>
      </c>
      <c r="H376" s="199" t="str">
        <f>IFERROR(INDEX(_TARGETS!$E$2:$E$17,MATCH($C376,_TARGETS!$A$2:$A$17,0))&amp;"","")</f>
        <v/>
      </c>
      <c r="I376" s="199" t="str">
        <f t="shared" si="25"/>
        <v/>
      </c>
      <c r="J376" s="193" t="str">
        <f t="shared" si="26"/>
        <v>Cumulative</v>
      </c>
      <c r="K376" s="193">
        <f>SUM(Datos!$D39:U39)+SUM(Datos!$D40:U40)+SUM(Datos!$D41:U41)</f>
        <v>0</v>
      </c>
      <c r="L376" s="193">
        <f>SUM(Datos!$D47:U47)</f>
        <v>172824</v>
      </c>
      <c r="M376" s="193">
        <f>INDEX(_TARGETS!$J$2:$J$17,MATCH($C376,_TARGETS!$A$2:$A$17,0))</f>
        <v>1000000</v>
      </c>
      <c r="N376" s="193" t="str">
        <f>INDEX(_TARGETS!$D$2:$D$17,MATCH($C376,_TARGETS!$A$2:$A$17,0))</f>
        <v>eventos / 10^6 km</v>
      </c>
      <c r="O376" s="193" t="str">
        <f>IF(NOT(ISNUMBER(F376)),IF(SUMPRODUCT(($C$2:$C$1300=C376)*($J$2:$J$1300="Monthly")*($A$2:$A$1300&lt;=A376)*ISNUMBER($K$2:$K$1300)*ISNUMBER($L$2:$L$1300)*($L$2:$L$1300=0)*($K$2:$K$1300&gt;0))&gt;0,"INCOMPLETE","MISSING"),O362)</f>
        <v>MISSING</v>
      </c>
      <c r="P376" s="193" t="str">
        <f>INDEX(_TARGETS!$K$2:$K$17,MATCH($C376,_TARGETS!$A$2:$A$17,0))</f>
        <v>OPS (eventos) + Full Control GPS (km) - carga manual en Datos</v>
      </c>
      <c r="Q376" s="193" t="str">
        <f t="shared" si="27"/>
        <v>202801|SVCR|Cumulative</v>
      </c>
      <c r="R376" s="193" t="str">
        <f>INDEX(_TARGETS!$H$2:$H$17,MATCH($C376,_TARGETS!$A$2:$A$17,0))</f>
        <v>Solo reporte</v>
      </c>
      <c r="S376" s="193">
        <f t="shared" si="28"/>
        <v>0</v>
      </c>
      <c r="T376" s="193" t="str">
        <f t="shared" si="29"/>
        <v/>
      </c>
    </row>
    <row r="377" spans="1:20" ht="13.5" customHeight="1" x14ac:dyDescent="0.3">
      <c r="A377" s="245">
        <f>KPIs!$U$3</f>
        <v>46753</v>
      </c>
      <c r="B377" s="199" t="str">
        <f>KPIs!U$4</f>
        <v>Compresora</v>
      </c>
      <c r="C377" s="31" t="s">
        <v>61</v>
      </c>
      <c r="D377" s="199" t="str">
        <f>KPIs!$A$30</f>
        <v>5 · Accidentes vehiculares totales · ACUMULADO</v>
      </c>
      <c r="E377" s="31" t="s">
        <v>600</v>
      </c>
      <c r="F377" s="247" t="str">
        <f>IF(ISNUMBER(KPIs!U30),KPIs!U30,"")</f>
        <v/>
      </c>
      <c r="G377" s="247">
        <f>IF(ISNUMBER(KPIs!$C$30),KPIs!$C$30,"")</f>
        <v>0.79</v>
      </c>
      <c r="H377" s="199" t="str">
        <f>IFERROR(INDEX(_TARGETS!$E$2:$E$17,MATCH($C377,_TARGETS!$A$2:$A$17,0))&amp;"","")</f>
        <v>≤</v>
      </c>
      <c r="I377" s="199" t="str">
        <f t="shared" si="25"/>
        <v/>
      </c>
      <c r="J377" s="193" t="str">
        <f t="shared" si="26"/>
        <v>Cumulative</v>
      </c>
      <c r="K377" s="193">
        <f>SUM(Datos!$D39:U39)+SUM(Datos!$D40:U40)+SUM(Datos!$D41:U41)+SUM(Datos!$D42:U42)</f>
        <v>0</v>
      </c>
      <c r="L377" s="193">
        <f>SUM(Datos!$D47:U47)</f>
        <v>172824</v>
      </c>
      <c r="M377" s="193">
        <f>INDEX(_TARGETS!$J$2:$J$17,MATCH($C377,_TARGETS!$A$2:$A$17,0))</f>
        <v>1000000</v>
      </c>
      <c r="N377" s="193" t="str">
        <f>INDEX(_TARGETS!$D$2:$D$17,MATCH($C377,_TARGETS!$A$2:$A$17,0))</f>
        <v>eventos / 10^6 km</v>
      </c>
      <c r="O377" s="193" t="str">
        <f>IF(NOT(ISNUMBER(F377)),IF(SUMPRODUCT(($C$2:$C$1300=C377)*($J$2:$J$1300="Monthly")*($A$2:$A$1300&lt;=A377)*ISNUMBER($K$2:$K$1300)*ISNUMBER($L$2:$L$1300)*($L$2:$L$1300=0)*($K$2:$K$1300&gt;0))&gt;0,"INCOMPLETE","MISSING"),O363)</f>
        <v>MISSING</v>
      </c>
      <c r="P377" s="193" t="str">
        <f>INDEX(_TARGETS!$K$2:$K$17,MATCH($C377,_TARGETS!$A$2:$A$17,0))</f>
        <v>OPS (eventos) + Full Control GPS (km) - carga manual en Datos</v>
      </c>
      <c r="Q377" s="193" t="str">
        <f t="shared" si="27"/>
        <v>202801|TVCR|Cumulative</v>
      </c>
      <c r="R377" s="193" t="str">
        <f>INDEX(_TARGETS!$H$2:$H$17,MATCH($C377,_TARGETS!$A$2:$A$17,0))</f>
        <v>Definida</v>
      </c>
      <c r="S377" s="193">
        <f t="shared" si="28"/>
        <v>0</v>
      </c>
      <c r="T377" s="193" t="str">
        <f t="shared" si="29"/>
        <v/>
      </c>
    </row>
    <row r="378" spans="1:20" ht="13.5" customHeight="1" x14ac:dyDescent="0.3">
      <c r="A378" s="245">
        <f>KPIs!$U$3</f>
        <v>46753</v>
      </c>
      <c r="B378" s="199" t="str">
        <f>KPIs!U$4</f>
        <v>Compresora</v>
      </c>
      <c r="C378" s="31" t="s">
        <v>96</v>
      </c>
      <c r="D378" s="199" t="str">
        <f>KPIs!$A$33</f>
        <v>C1 · % de desvíos detectados de gravedad Alta</v>
      </c>
      <c r="E378" s="31" t="s">
        <v>599</v>
      </c>
      <c r="F378" s="247" t="str">
        <f>IF(ISNUMBER(KPIs!U33),KPIs!U33,"")</f>
        <v/>
      </c>
      <c r="G378" s="247" t="str">
        <f>IF(ISNUMBER(KPIs!$C$33),KPIs!$C$33,"")</f>
        <v/>
      </c>
      <c r="H378" s="199" t="str">
        <f>IFERROR(INDEX(_TARGETS!$E$2:$E$17,MATCH($C378,_TARGETS!$A$2:$A$17,0))&amp;"","")</f>
        <v/>
      </c>
      <c r="I378" s="199" t="str">
        <f t="shared" si="25"/>
        <v/>
      </c>
      <c r="J378" s="193" t="str">
        <f t="shared" si="26"/>
        <v>Monthly</v>
      </c>
      <c r="K378" s="248">
        <f>Datos!U71</f>
        <v>0</v>
      </c>
      <c r="L378" s="193">
        <f>Datos!U71+Datos!U72+Datos!U73</f>
        <v>0</v>
      </c>
      <c r="M378" s="193">
        <f>INDEX(_TARGETS!$J$2:$J$17,MATCH($C378,_TARGETS!$A$2:$A$17,0))</f>
        <v>1</v>
      </c>
      <c r="N378" s="193" t="str">
        <f>INDEX(_TARGETS!$D$2:$D$17,MATCH($C378,_TARGETS!$A$2:$A$17,0))</f>
        <v>% (fracción)</v>
      </c>
      <c r="O378" s="193" t="str">
        <f>IF(NOT(ISNUMBER(F378)),"MISSING","OK")</f>
        <v>MISSING</v>
      </c>
      <c r="P378" s="193" t="str">
        <f>INDEX(_TARGETS!$K$2:$K$17,MATCH($C378,_TARGETS!$A$2:$A$17,0))</f>
        <v>Plant Findings (hoja Observaciones-SMP)</v>
      </c>
      <c r="Q378" s="193" t="str">
        <f t="shared" si="27"/>
        <v>202801|HAL_ALTA_PCT|Monthly</v>
      </c>
      <c r="R378" s="193" t="str">
        <f>INDEX(_TARGETS!$H$2:$H$17,MATCH($C378,_TARGETS!$A$2:$A$17,0))</f>
        <v>Solo reporte</v>
      </c>
      <c r="S378" s="193" t="str">
        <f t="shared" si="28"/>
        <v/>
      </c>
      <c r="T378" s="193" t="str">
        <f t="shared" si="29"/>
        <v/>
      </c>
    </row>
    <row r="379" spans="1:20" ht="13.5" customHeight="1" x14ac:dyDescent="0.3">
      <c r="A379" s="245">
        <f>KPIs!$U$3</f>
        <v>46753</v>
      </c>
      <c r="B379" s="199" t="str">
        <f>KPIs!U$4</f>
        <v>Compresora</v>
      </c>
      <c r="C379" s="31" t="s">
        <v>98</v>
      </c>
      <c r="D379" s="199" t="str">
        <f>KPIs!$A$34</f>
        <v>C2 · Detenciones de tareas aplicadas</v>
      </c>
      <c r="E379" s="31" t="s">
        <v>599</v>
      </c>
      <c r="F379" s="247" t="str">
        <f>IF(ISNUMBER(KPIs!U34),KPIs!U34,"")</f>
        <v/>
      </c>
      <c r="G379" s="247" t="str">
        <f>IF(ISNUMBER(KPIs!$C$34),KPIs!$C$34,"")</f>
        <v/>
      </c>
      <c r="H379" s="199" t="str">
        <f>IFERROR(INDEX(_TARGETS!$E$2:$E$17,MATCH($C379,_TARGETS!$A$2:$A$17,0))&amp;"","")</f>
        <v/>
      </c>
      <c r="I379" s="199" t="str">
        <f t="shared" si="25"/>
        <v/>
      </c>
      <c r="J379" s="193" t="str">
        <f t="shared" si="26"/>
        <v>Monthly</v>
      </c>
      <c r="K379" s="248">
        <f>Datos!U75</f>
        <v>0</v>
      </c>
      <c r="M379" s="193">
        <f>INDEX(_TARGETS!$J$2:$J$17,MATCH($C379,_TARGETS!$A$2:$A$17,0))</f>
        <v>1</v>
      </c>
      <c r="N379" s="193" t="str">
        <f>INDEX(_TARGETS!$D$2:$D$17,MATCH($C379,_TARGETS!$A$2:$A$17,0))</f>
        <v>u</v>
      </c>
      <c r="O379" s="193" t="str">
        <f>IF(NOT(ISNUMBER(F379)),"MISSING","OK")</f>
        <v>MISSING</v>
      </c>
      <c r="P379" s="193" t="str">
        <f>INDEX(_TARGETS!$K$2:$K$17,MATCH($C379,_TARGETS!$A$2:$A$17,0))</f>
        <v>Plant Findings (hoja Observaciones-SMP)</v>
      </c>
      <c r="Q379" s="193" t="str">
        <f t="shared" si="27"/>
        <v>202801|DET|Monthly</v>
      </c>
      <c r="R379" s="193" t="str">
        <f>INDEX(_TARGETS!$H$2:$H$17,MATCH($C379,_TARGETS!$A$2:$A$17,0))</f>
        <v>Solo reporte</v>
      </c>
      <c r="S379" s="193" t="str">
        <f t="shared" si="28"/>
        <v/>
      </c>
      <c r="T379" s="193" t="str">
        <f t="shared" si="29"/>
        <v/>
      </c>
    </row>
    <row r="380" spans="1:20" ht="13.5" customHeight="1" x14ac:dyDescent="0.3">
      <c r="A380" s="245">
        <f>KPIs!$V$3</f>
        <v>46784</v>
      </c>
      <c r="B380" s="199" t="str">
        <f>KPIs!V$4</f>
        <v>Compresora</v>
      </c>
      <c r="C380" s="31" t="s">
        <v>39</v>
      </c>
      <c r="D380" s="199" t="str">
        <f>KPIs!$A$6</f>
        <v>1 · Frecuencia de casos con días perdidos</v>
      </c>
      <c r="E380" s="31" t="s">
        <v>599</v>
      </c>
      <c r="F380" s="247" t="str">
        <f>IF(ISNUMBER(KPIs!V6),KPIs!V6,"")</f>
        <v/>
      </c>
      <c r="G380" s="247">
        <f>IF(ISNUMBER(KPIs!$C$6),KPIs!$C$6,"")</f>
        <v>0</v>
      </c>
      <c r="H380" s="199" t="str">
        <f>IFERROR(INDEX(_TARGETS!$E$2:$E$17,MATCH($C380,_TARGETS!$A$2:$A$17,0))&amp;"","")</f>
        <v>≤</v>
      </c>
      <c r="I380" s="199" t="str">
        <f t="shared" si="25"/>
        <v/>
      </c>
      <c r="J380" s="193" t="str">
        <f t="shared" si="26"/>
        <v>Monthly</v>
      </c>
      <c r="K380" s="248">
        <f>Datos!V33</f>
        <v>0</v>
      </c>
      <c r="L380" s="248">
        <f>Datos!V14</f>
        <v>0</v>
      </c>
      <c r="M380" s="193">
        <f>INDEX(_TARGETS!$J$2:$J$17,MATCH($C380,_TARGETS!$A$2:$A$17,0))</f>
        <v>1000000</v>
      </c>
      <c r="N380" s="193" t="str">
        <f>INDEX(_TARGETS!$D$2:$D$17,MATCH($C380,_TARGETS!$A$2:$A$17,0))</f>
        <v>casos / 10^6 HH</v>
      </c>
      <c r="O380" s="193" t="str">
        <f>IF(NOT(ISNUMBER(F380)),"MISSING",IF((COUNTBLANK(Datos!V12)+COUNTBLANK(Datos!V13)+COUNTBLANK(Datos!V33))&gt;0,"INCOMPLETE","OK"))</f>
        <v>MISSING</v>
      </c>
      <c r="P380" s="193" t="str">
        <f>INDEX(_TARGETS!$K$2:$K$17,MATCH($C380,_TARGETS!$A$2:$A$17,0))</f>
        <v>OPS (carga manual en Datos)</v>
      </c>
      <c r="Q380" s="193" t="str">
        <f t="shared" si="27"/>
        <v>202802|DAFWCF|Monthly</v>
      </c>
      <c r="R380" s="193" t="str">
        <f>INDEX(_TARGETS!$H$2:$H$17,MATCH($C380,_TARGETS!$A$2:$A$17,0))</f>
        <v>Definida</v>
      </c>
      <c r="S380" s="193" t="str">
        <f t="shared" si="28"/>
        <v/>
      </c>
      <c r="T380" s="193" t="str">
        <f t="shared" si="29"/>
        <v/>
      </c>
    </row>
    <row r="381" spans="1:20" ht="13.5" customHeight="1" x14ac:dyDescent="0.3">
      <c r="A381" s="245">
        <f>KPIs!$V$3</f>
        <v>46784</v>
      </c>
      <c r="B381" s="199" t="str">
        <f>KPIs!V$4</f>
        <v>Compresora</v>
      </c>
      <c r="C381" s="31" t="s">
        <v>49</v>
      </c>
      <c r="D381" s="199" t="str">
        <f>KPIs!$A$7</f>
        <v>2 · Frecuencia de casos registrables</v>
      </c>
      <c r="E381" s="31" t="s">
        <v>599</v>
      </c>
      <c r="F381" s="247" t="str">
        <f>IF(ISNUMBER(KPIs!V7),KPIs!V7,"")</f>
        <v/>
      </c>
      <c r="G381" s="247">
        <f>IF(ISNUMBER(KPIs!$C$7),KPIs!$C$7,"")</f>
        <v>2.35</v>
      </c>
      <c r="H381" s="199" t="str">
        <f>IFERROR(INDEX(_TARGETS!$E$2:$E$17,MATCH($C381,_TARGETS!$A$2:$A$17,0))&amp;"","")</f>
        <v>≤</v>
      </c>
      <c r="I381" s="199" t="str">
        <f t="shared" si="25"/>
        <v/>
      </c>
      <c r="J381" s="193" t="str">
        <f t="shared" si="26"/>
        <v>Monthly</v>
      </c>
      <c r="K381" s="193">
        <f>Datos!V33+Datos!V34+Datos!V35+Datos!V36</f>
        <v>0</v>
      </c>
      <c r="L381" s="248">
        <f>Datos!V14</f>
        <v>0</v>
      </c>
      <c r="M381" s="193">
        <f>INDEX(_TARGETS!$J$2:$J$17,MATCH($C381,_TARGETS!$A$2:$A$17,0))</f>
        <v>1000000</v>
      </c>
      <c r="N381" s="193" t="str">
        <f>INDEX(_TARGETS!$D$2:$D$17,MATCH($C381,_TARGETS!$A$2:$A$17,0))</f>
        <v>casos / 10^6 HH</v>
      </c>
      <c r="O381" s="193" t="str">
        <f>IF(NOT(ISNUMBER(F381)),"MISSING",IF((COUNTBLANK(Datos!V12)+COUNTBLANK(Datos!V13)+COUNTBLANK(Datos!V33)+COUNTBLANK(Datos!V34)+COUNTBLANK(Datos!V35)+COUNTBLANK(Datos!V36))&gt;0,"INCOMPLETE","OK"))</f>
        <v>MISSING</v>
      </c>
      <c r="P381" s="193" t="str">
        <f>INDEX(_TARGETS!$K$2:$K$17,MATCH($C381,_TARGETS!$A$2:$A$17,0))</f>
        <v>OPS (carga manual en Datos)</v>
      </c>
      <c r="Q381" s="193" t="str">
        <f t="shared" si="27"/>
        <v>202802|TRICF|Monthly</v>
      </c>
      <c r="R381" s="193" t="str">
        <f>INDEX(_TARGETS!$H$2:$H$17,MATCH($C381,_TARGETS!$A$2:$A$17,0))</f>
        <v>Definida</v>
      </c>
      <c r="S381" s="193" t="str">
        <f t="shared" si="28"/>
        <v/>
      </c>
      <c r="T381" s="193" t="str">
        <f t="shared" si="29"/>
        <v/>
      </c>
    </row>
    <row r="382" spans="1:20" ht="13.5" customHeight="1" x14ac:dyDescent="0.3">
      <c r="A382" s="245">
        <f>KPIs!$V$3</f>
        <v>46784</v>
      </c>
      <c r="B382" s="199" t="str">
        <f>KPIs!V$4</f>
        <v>Compresora</v>
      </c>
      <c r="C382" s="31" t="s">
        <v>51</v>
      </c>
      <c r="D382" s="199" t="str">
        <f>KPIs!$A$8</f>
        <v>3 · Casos de primeros auxilios</v>
      </c>
      <c r="E382" s="31" t="s">
        <v>599</v>
      </c>
      <c r="F382" s="247" t="str">
        <f>IF(ISNUMBER(KPIs!V8),KPIs!V8,"")</f>
        <v/>
      </c>
      <c r="G382" s="247" t="str">
        <f>IF(ISNUMBER(KPIs!$C$8),KPIs!$C$8,"")</f>
        <v/>
      </c>
      <c r="H382" s="199" t="str">
        <f>IFERROR(INDEX(_TARGETS!$E$2:$E$17,MATCH($C382,_TARGETS!$A$2:$A$17,0))&amp;"","")</f>
        <v/>
      </c>
      <c r="I382" s="199" t="str">
        <f t="shared" si="25"/>
        <v/>
      </c>
      <c r="J382" s="193" t="str">
        <f t="shared" si="26"/>
        <v>Monthly</v>
      </c>
      <c r="K382" s="248">
        <f>Datos!V37</f>
        <v>0</v>
      </c>
      <c r="M382" s="193">
        <f>INDEX(_TARGETS!$J$2:$J$17,MATCH($C382,_TARGETS!$A$2:$A$17,0))</f>
        <v>1</v>
      </c>
      <c r="N382" s="193" t="str">
        <f>INDEX(_TARGETS!$D$2:$D$17,MATCH($C382,_TARGETS!$A$2:$A$17,0))</f>
        <v>casos</v>
      </c>
      <c r="O382" s="193" t="str">
        <f>IF(NOT(ISNUMBER(F382)),"MISSING",IF((COUNTBLANK(Datos!V12)+COUNTBLANK(Datos!V13)+COUNTBLANK(Datos!V37))&gt;0,"INCOMPLETE","OK"))</f>
        <v>MISSING</v>
      </c>
      <c r="P382" s="193" t="str">
        <f>INDEX(_TARGETS!$K$2:$K$17,MATCH($C382,_TARGETS!$A$2:$A$17,0))</f>
        <v>OPS (carga manual en Datos)</v>
      </c>
      <c r="Q382" s="193" t="str">
        <f t="shared" si="27"/>
        <v>202802|FAC|Monthly</v>
      </c>
      <c r="R382" s="193" t="str">
        <f>INDEX(_TARGETS!$H$2:$H$17,MATCH($C382,_TARGETS!$A$2:$A$17,0))</f>
        <v>Solo reporte</v>
      </c>
      <c r="S382" s="193" t="str">
        <f t="shared" si="28"/>
        <v/>
      </c>
      <c r="T382" s="193" t="str">
        <f t="shared" si="29"/>
        <v/>
      </c>
    </row>
    <row r="383" spans="1:20" ht="13.5" customHeight="1" x14ac:dyDescent="0.3">
      <c r="A383" s="245">
        <f>KPIs!$V$3</f>
        <v>46784</v>
      </c>
      <c r="B383" s="199" t="str">
        <f>KPIs!V$4</f>
        <v>Compresora</v>
      </c>
      <c r="C383" s="31" t="s">
        <v>57</v>
      </c>
      <c r="D383" s="199" t="str">
        <f>KPIs!$A$10</f>
        <v>4 · Accidentes vehiculares severos por millón de km</v>
      </c>
      <c r="E383" s="31" t="s">
        <v>599</v>
      </c>
      <c r="F383" s="247" t="str">
        <f>IF(ISNUMBER(KPIs!V10),KPIs!V10,"")</f>
        <v/>
      </c>
      <c r="G383" s="247" t="str">
        <f>IF(ISNUMBER(KPIs!$C$10),KPIs!$C$10,"")</f>
        <v/>
      </c>
      <c r="H383" s="199" t="str">
        <f>IFERROR(INDEX(_TARGETS!$E$2:$E$17,MATCH($C383,_TARGETS!$A$2:$A$17,0))&amp;"","")</f>
        <v/>
      </c>
      <c r="I383" s="199" t="str">
        <f t="shared" si="25"/>
        <v/>
      </c>
      <c r="J383" s="193" t="str">
        <f t="shared" si="26"/>
        <v>Monthly</v>
      </c>
      <c r="K383" s="193">
        <f>Datos!V39+Datos!V40+Datos!V41</f>
        <v>0</v>
      </c>
      <c r="L383" s="248">
        <f>Datos!V47</f>
        <v>0</v>
      </c>
      <c r="M383" s="193">
        <f>INDEX(_TARGETS!$J$2:$J$17,MATCH($C383,_TARGETS!$A$2:$A$17,0))</f>
        <v>1000000</v>
      </c>
      <c r="N383" s="193" t="str">
        <f>INDEX(_TARGETS!$D$2:$D$17,MATCH($C383,_TARGETS!$A$2:$A$17,0))</f>
        <v>eventos / 10^6 km</v>
      </c>
      <c r="O383" s="193" t="str">
        <f>IF(NOT(ISNUMBER(F383)),"MISSING",IF((COUNTBLANK(Datos!V44)+COUNTBLANK(Datos!V45)+COUNTBLANK(Datos!V46)+COUNTBLANK(Datos!V39)+COUNTBLANK(Datos!V40)+COUNTBLANK(Datos!V41))&gt;0,"INCOMPLETE","OK"))</f>
        <v>MISSING</v>
      </c>
      <c r="P383" s="193" t="str">
        <f>INDEX(_TARGETS!$K$2:$K$17,MATCH($C383,_TARGETS!$A$2:$A$17,0))</f>
        <v>OPS (eventos) + Full Control GPS (km) - carga manual en Datos</v>
      </c>
      <c r="Q383" s="193" t="str">
        <f t="shared" si="27"/>
        <v>202802|SVCR|Monthly</v>
      </c>
      <c r="R383" s="193" t="str">
        <f>INDEX(_TARGETS!$H$2:$H$17,MATCH($C383,_TARGETS!$A$2:$A$17,0))</f>
        <v>Solo reporte</v>
      </c>
      <c r="S383" s="193" t="str">
        <f t="shared" si="28"/>
        <v/>
      </c>
      <c r="T383" s="193" t="str">
        <f t="shared" si="29"/>
        <v/>
      </c>
    </row>
    <row r="384" spans="1:20" ht="13.5" customHeight="1" x14ac:dyDescent="0.3">
      <c r="A384" s="245">
        <f>KPIs!$V$3</f>
        <v>46784</v>
      </c>
      <c r="B384" s="199" t="str">
        <f>KPIs!V$4</f>
        <v>Compresora</v>
      </c>
      <c r="C384" s="31" t="s">
        <v>61</v>
      </c>
      <c r="D384" s="199" t="str">
        <f>KPIs!$A$11</f>
        <v>5 · Accidentes vehiculares totales por millón de km</v>
      </c>
      <c r="E384" s="31" t="s">
        <v>599</v>
      </c>
      <c r="F384" s="247" t="str">
        <f>IF(ISNUMBER(KPIs!V11),KPIs!V11,"")</f>
        <v/>
      </c>
      <c r="G384" s="247">
        <f>IF(ISNUMBER(KPIs!$C$11),KPIs!$C$11,"")</f>
        <v>0.79</v>
      </c>
      <c r="H384" s="199" t="str">
        <f>IFERROR(INDEX(_TARGETS!$E$2:$E$17,MATCH($C384,_TARGETS!$A$2:$A$17,0))&amp;"","")</f>
        <v>≤</v>
      </c>
      <c r="I384" s="199" t="str">
        <f t="shared" si="25"/>
        <v/>
      </c>
      <c r="J384" s="193" t="str">
        <f t="shared" si="26"/>
        <v>Monthly</v>
      </c>
      <c r="K384" s="193">
        <f>Datos!V39+Datos!V40+Datos!V41+Datos!V42</f>
        <v>0</v>
      </c>
      <c r="L384" s="248">
        <f>Datos!V47</f>
        <v>0</v>
      </c>
      <c r="M384" s="193">
        <f>INDEX(_TARGETS!$J$2:$J$17,MATCH($C384,_TARGETS!$A$2:$A$17,0))</f>
        <v>1000000</v>
      </c>
      <c r="N384" s="193" t="str">
        <f>INDEX(_TARGETS!$D$2:$D$17,MATCH($C384,_TARGETS!$A$2:$A$17,0))</f>
        <v>eventos / 10^6 km</v>
      </c>
      <c r="O384" s="193" t="str">
        <f>IF(NOT(ISNUMBER(F384)),"MISSING",IF((COUNTBLANK(Datos!V44)+COUNTBLANK(Datos!V45)+COUNTBLANK(Datos!V46)+COUNTBLANK(Datos!V39)+COUNTBLANK(Datos!V40)+COUNTBLANK(Datos!V41)+COUNTBLANK(Datos!V42))&gt;0,"INCOMPLETE","OK"))</f>
        <v>MISSING</v>
      </c>
      <c r="P384" s="193" t="str">
        <f>INDEX(_TARGETS!$K$2:$K$17,MATCH($C384,_TARGETS!$A$2:$A$17,0))</f>
        <v>OPS (eventos) + Full Control GPS (km) - carga manual en Datos</v>
      </c>
      <c r="Q384" s="193" t="str">
        <f t="shared" si="27"/>
        <v>202802|TVCR|Monthly</v>
      </c>
      <c r="R384" s="193" t="str">
        <f>INDEX(_TARGETS!$H$2:$H$17,MATCH($C384,_TARGETS!$A$2:$A$17,0))</f>
        <v>Definida</v>
      </c>
      <c r="S384" s="193" t="str">
        <f t="shared" si="28"/>
        <v/>
      </c>
      <c r="T384" s="193" t="str">
        <f t="shared" si="29"/>
        <v/>
      </c>
    </row>
    <row r="385" spans="1:20" ht="13.5" customHeight="1" x14ac:dyDescent="0.3">
      <c r="A385" s="245">
        <f>KPIs!$V$3</f>
        <v>46784</v>
      </c>
      <c r="B385" s="199" t="str">
        <f>KPIs!V$4</f>
        <v>Compresora</v>
      </c>
      <c r="C385" s="31" t="s">
        <v>63</v>
      </c>
      <c r="D385" s="199" t="str">
        <f>KPIs!$A$13</f>
        <v>6 · Observaciones de seguridad por persona</v>
      </c>
      <c r="E385" s="31" t="s">
        <v>599</v>
      </c>
      <c r="F385" s="247" t="str">
        <f>IF(ISNUMBER(KPIs!V13),KPIs!V13,"")</f>
        <v/>
      </c>
      <c r="G385" s="247">
        <f>IF(ISNUMBER(KPIs!$C$13),KPIs!$C$13,"")</f>
        <v>1</v>
      </c>
      <c r="H385" s="199" t="str">
        <f>IFERROR(INDEX(_TARGETS!$E$2:$E$17,MATCH($C385,_TARGETS!$A$2:$A$17,0))&amp;"","")</f>
        <v>≥</v>
      </c>
      <c r="I385" s="199" t="str">
        <f t="shared" si="25"/>
        <v/>
      </c>
      <c r="J385" s="193" t="str">
        <f t="shared" si="26"/>
        <v>Monthly</v>
      </c>
      <c r="K385" s="248" t="str">
        <f>IF(COUNT(Datos!V28:V29)=0,"",SUM(Datos!V28:V29))</f>
        <v/>
      </c>
      <c r="L385" s="248">
        <f>Datos!V11</f>
        <v>0</v>
      </c>
      <c r="M385" s="193">
        <f>INDEX(_TARGETS!$J$2:$J$17,MATCH($C385,_TARGETS!$A$2:$A$17,0))</f>
        <v>1</v>
      </c>
      <c r="N385" s="193" t="str">
        <f>INDEX(_TARGETS!$D$2:$D$17,MATCH($C385,_TARGETS!$A$2:$A$17,0))</f>
        <v>obs / persona</v>
      </c>
      <c r="O385" s="193" t="str">
        <f>IF(NOT(ISNUMBER(F385)),"MISSING",IF((COUNTBLANK(Datos!V9)+COUNTBLANK(Datos!V10)+IF(COUNT(Datos!V28:V29)=0,1,0))&gt;0,"INCOMPLETE","OK"))</f>
        <v>MISSING</v>
      </c>
      <c r="P385" s="193" t="str">
        <f>INDEX(_TARGETS!$K$2:$K$17,MATCH($C385,_TARGETS!$A$2:$A$17,0))</f>
        <v>OPS (carga manual en Datos)</v>
      </c>
      <c r="Q385" s="193" t="str">
        <f t="shared" si="27"/>
        <v>202802|OBS|Monthly</v>
      </c>
      <c r="R385" s="193" t="str">
        <f>INDEX(_TARGETS!$H$2:$H$17,MATCH($C385,_TARGETS!$A$2:$A$17,0))</f>
        <v>PROVISORIA · referencia del subcontratista (OPS: 1 obs/persona); meta y población en definición</v>
      </c>
      <c r="S385" s="193" t="str">
        <f t="shared" si="28"/>
        <v/>
      </c>
      <c r="T385" s="193" t="str">
        <f t="shared" si="29"/>
        <v/>
      </c>
    </row>
    <row r="386" spans="1:20" ht="13.5" customHeight="1" x14ac:dyDescent="0.3">
      <c r="A386" s="245">
        <f>KPIs!$V$3</f>
        <v>46784</v>
      </c>
      <c r="B386" s="199" t="str">
        <f>KPIs!V$4</f>
        <v>Compresora</v>
      </c>
      <c r="C386" s="31" t="s">
        <v>71</v>
      </c>
      <c r="D386" s="199" t="str">
        <f>KPIs!$A$14</f>
        <v>7 · Investigaciones de accidentes: días promedio de cierre</v>
      </c>
      <c r="E386" s="31" t="s">
        <v>599</v>
      </c>
      <c r="F386" s="247" t="str">
        <f>IF(ISNUMBER(KPIs!V14),KPIs!V14,"")</f>
        <v/>
      </c>
      <c r="G386" s="247">
        <f>IF(ISNUMBER(KPIs!$C$14),KPIs!$C$14,"")</f>
        <v>20</v>
      </c>
      <c r="H386" s="199" t="str">
        <f>IFERROR(INDEX(_TARGETS!$E$2:$E$17,MATCH($C386,_TARGETS!$A$2:$A$17,0))&amp;"","")</f>
        <v>≤</v>
      </c>
      <c r="I386" s="199" t="str">
        <f t="shared" ref="I386:I449" si="30">IF(OR(H386="",F386="",G386=""),"",IF(IF(H386="≤",F386&lt;=G386,F386&gt;=G386),"Sí","No"))</f>
        <v/>
      </c>
      <c r="J386" s="193" t="str">
        <f t="shared" ref="J386:J449" si="31">IF(E386="Mensual","Monthly",IF(E386="Acumulado","Cumulative",E386))</f>
        <v>Monthly</v>
      </c>
      <c r="K386" s="248">
        <f>Datos!V31</f>
        <v>0</v>
      </c>
      <c r="L386" s="248">
        <f>Datos!V30</f>
        <v>0</v>
      </c>
      <c r="M386" s="193">
        <f>INDEX(_TARGETS!$J$2:$J$17,MATCH($C386,_TARGETS!$A$2:$A$17,0))</f>
        <v>1</v>
      </c>
      <c r="N386" s="193" t="str">
        <f>INDEX(_TARGETS!$D$2:$D$17,MATCH($C386,_TARGETS!$A$2:$A$17,0))</f>
        <v>días</v>
      </c>
      <c r="O386" s="193" t="str">
        <f>IF(NOT(ISNUMBER(F386)),"MISSING",IF((COUNTBLANK(Datos!V30)+COUNTBLANK(Datos!V31))&gt;0,"INCOMPLETE","OK"))</f>
        <v>MISSING</v>
      </c>
      <c r="P386" s="193" t="str">
        <f>INDEX(_TARGETS!$K$2:$K$17,MATCH($C386,_TARGETS!$A$2:$A$17,0))</f>
        <v>OPS (carga manual en Datos)</v>
      </c>
      <c r="Q386" s="193" t="str">
        <f t="shared" ref="Q386:Q449" si="32">YEAR(A386)*100+MONTH(A386)&amp;"|"&amp;C386&amp;"|"&amp;J386</f>
        <v>202802|INV|Monthly</v>
      </c>
      <c r="R386" s="193" t="str">
        <f>INDEX(_TARGETS!$H$2:$H$17,MATCH($C386,_TARGETS!$A$2:$A$17,0))</f>
        <v>Definida</v>
      </c>
      <c r="S386" s="193" t="str">
        <f t="shared" ref="S386:S449" si="33">IF(AND(ISNUMBER(K386),ISNUMBER(L386)),IF(L386=0,"",K386*M386/L386),IF(ISNUMBER(K386),K386*M386,""))</f>
        <v/>
      </c>
      <c r="T386" s="193" t="str">
        <f t="shared" ref="T386:T449" si="34">IF(AND(ISNUMBER(F386),ISNUMBER(S386)),ABS(F386-S386),"")</f>
        <v/>
      </c>
    </row>
    <row r="387" spans="1:20" ht="13.5" customHeight="1" x14ac:dyDescent="0.3">
      <c r="A387" s="245">
        <f>KPIs!$V$3</f>
        <v>46784</v>
      </c>
      <c r="B387" s="199" t="str">
        <f>KPIs!V$4</f>
        <v>Compresora</v>
      </c>
      <c r="C387" s="31" t="s">
        <v>76</v>
      </c>
      <c r="D387" s="199" t="str">
        <f>KPIs!$A$16</f>
        <v>8 · % de capacitación en seguridad</v>
      </c>
      <c r="E387" s="31" t="s">
        <v>599</v>
      </c>
      <c r="F387" s="247" t="str">
        <f>IF(ISNUMBER(KPIs!V16),KPIs!V16,"")</f>
        <v/>
      </c>
      <c r="G387" s="247">
        <f>IF(ISNUMBER(KPIs!$C$16),KPIs!$C$16,"")</f>
        <v>0.01</v>
      </c>
      <c r="H387" s="199" t="str">
        <f>IFERROR(INDEX(_TARGETS!$E$2:$E$17,MATCH($C387,_TARGETS!$A$2:$A$17,0))&amp;"","")</f>
        <v>≥</v>
      </c>
      <c r="I387" s="199" t="str">
        <f t="shared" si="30"/>
        <v/>
      </c>
      <c r="J387" s="193" t="str">
        <f t="shared" si="31"/>
        <v>Monthly</v>
      </c>
      <c r="K387" s="248">
        <f>Datos!V18</f>
        <v>0</v>
      </c>
      <c r="L387" s="248">
        <f>Datos!V14</f>
        <v>0</v>
      </c>
      <c r="M387" s="193">
        <f>INDEX(_TARGETS!$J$2:$J$17,MATCH($C387,_TARGETS!$A$2:$A$17,0))</f>
        <v>1</v>
      </c>
      <c r="N387" s="193" t="str">
        <f>INDEX(_TARGETS!$D$2:$D$17,MATCH($C387,_TARGETS!$A$2:$A$17,0))</f>
        <v>% (fracción)</v>
      </c>
      <c r="O387" s="193" t="str">
        <f>IF(NOT(ISNUMBER(F387)),"MISSING",IF((COUNTBLANK(Datos!V16)+COUNTBLANK(Datos!V17)+COUNTBLANK(Datos!V12)+COUNTBLANK(Datos!V13))&gt;0,"INCOMPLETE","OK"))</f>
        <v>MISSING</v>
      </c>
      <c r="P387" s="193" t="str">
        <f>INDEX(_TARGETS!$K$2:$K$17,MATCH($C387,_TARGETS!$A$2:$A$17,0))</f>
        <v>OPS (carga manual en Datos)</v>
      </c>
      <c r="Q387" s="193" t="str">
        <f t="shared" si="32"/>
        <v>202802|HCS|Monthly</v>
      </c>
      <c r="R387" s="193" t="str">
        <f>INDEX(_TARGETS!$H$2:$H$17,MATCH($C387,_TARGETS!$A$2:$A$17,0))</f>
        <v>Definida</v>
      </c>
      <c r="S387" s="193" t="str">
        <f t="shared" si="33"/>
        <v/>
      </c>
      <c r="T387" s="193" t="str">
        <f t="shared" si="34"/>
        <v/>
      </c>
    </row>
    <row r="388" spans="1:20" ht="13.5" customHeight="1" x14ac:dyDescent="0.3">
      <c r="A388" s="245">
        <f>KPIs!$V$3</f>
        <v>46784</v>
      </c>
      <c r="B388" s="199" t="str">
        <f>KPIs!V$4</f>
        <v>Compresora</v>
      </c>
      <c r="C388" s="31" t="s">
        <v>80</v>
      </c>
      <c r="D388" s="199" t="str">
        <f>KPIs!$A$17</f>
        <v>9 · Horas de capacitación por persona</v>
      </c>
      <c r="E388" s="31" t="s">
        <v>599</v>
      </c>
      <c r="F388" s="247" t="str">
        <f>IF(ISNUMBER(KPIs!V17),KPIs!V17,"")</f>
        <v/>
      </c>
      <c r="G388" s="247" t="str">
        <f>IF(ISNUMBER(KPIs!$C$17),KPIs!$C$17,"")</f>
        <v/>
      </c>
      <c r="H388" s="199" t="str">
        <f>IFERROR(INDEX(_TARGETS!$E$2:$E$17,MATCH($C388,_TARGETS!$A$2:$A$17,0))&amp;"","")</f>
        <v/>
      </c>
      <c r="I388" s="199" t="str">
        <f t="shared" si="30"/>
        <v/>
      </c>
      <c r="J388" s="193" t="str">
        <f t="shared" si="31"/>
        <v>Monthly</v>
      </c>
      <c r="K388" s="248">
        <f>Datos!V18</f>
        <v>0</v>
      </c>
      <c r="L388" s="248">
        <f>Datos!V11</f>
        <v>0</v>
      </c>
      <c r="M388" s="193">
        <f>INDEX(_TARGETS!$J$2:$J$17,MATCH($C388,_TARGETS!$A$2:$A$17,0))</f>
        <v>1</v>
      </c>
      <c r="N388" s="193" t="str">
        <f>INDEX(_TARGETS!$D$2:$D$17,MATCH($C388,_TARGETS!$A$2:$A$17,0))</f>
        <v>h / persona</v>
      </c>
      <c r="O388" s="193" t="str">
        <f>IF(NOT(ISNUMBER(F388)),"MISSING",IF((COUNTBLANK(Datos!V16)+COUNTBLANK(Datos!V17)+COUNTBLANK(Datos!V9)+COUNTBLANK(Datos!V10))&gt;0,"INCOMPLETE","OK"))</f>
        <v>MISSING</v>
      </c>
      <c r="P388" s="193" t="str">
        <f>INDEX(_TARGETS!$K$2:$K$17,MATCH($C388,_TARGETS!$A$2:$A$17,0))</f>
        <v>OPS (carga manual en Datos)</v>
      </c>
      <c r="Q388" s="193" t="str">
        <f t="shared" si="32"/>
        <v>202802|HCSA|Monthly</v>
      </c>
      <c r="R388" s="193" t="str">
        <f>INDEX(_TARGETS!$H$2:$H$17,MATCH($C388,_TARGETS!$A$2:$A$17,0))</f>
        <v>Solo reporte</v>
      </c>
      <c r="S388" s="193" t="str">
        <f t="shared" si="33"/>
        <v/>
      </c>
      <c r="T388" s="193" t="str">
        <f t="shared" si="34"/>
        <v/>
      </c>
    </row>
    <row r="389" spans="1:20" ht="13.5" customHeight="1" x14ac:dyDescent="0.3">
      <c r="A389" s="245">
        <f>KPIs!$V$3</f>
        <v>46784</v>
      </c>
      <c r="B389" s="199" t="str">
        <f>KPIs!V$4</f>
        <v>Compresora</v>
      </c>
      <c r="C389" s="31" t="s">
        <v>83</v>
      </c>
      <c r="D389" s="199" t="str">
        <f>KPIs!$A$18</f>
        <v>10 · Cumplimiento de simulacros (emergencia y operativos)</v>
      </c>
      <c r="E389" s="31" t="s">
        <v>599</v>
      </c>
      <c r="F389" s="247" t="str">
        <f>IF(ISNUMBER(KPIs!V18),KPIs!V18,"")</f>
        <v/>
      </c>
      <c r="G389" s="247">
        <f>IF(ISNUMBER(KPIs!$C$18),KPIs!$C$18,"")</f>
        <v>1</v>
      </c>
      <c r="H389" s="199" t="str">
        <f>IFERROR(INDEX(_TARGETS!$E$2:$E$17,MATCH($C389,_TARGETS!$A$2:$A$17,0))&amp;"","")</f>
        <v>≥</v>
      </c>
      <c r="I389" s="199" t="str">
        <f t="shared" si="30"/>
        <v/>
      </c>
      <c r="J389" s="193" t="str">
        <f t="shared" si="31"/>
        <v>Monthly</v>
      </c>
      <c r="K389" s="248">
        <f>Datos!V20</f>
        <v>0</v>
      </c>
      <c r="L389" s="248">
        <f>Datos!V21</f>
        <v>0</v>
      </c>
      <c r="M389" s="193">
        <f>INDEX(_TARGETS!$J$2:$J$17,MATCH($C389,_TARGETS!$A$2:$A$17,0))</f>
        <v>1</v>
      </c>
      <c r="N389" s="193" t="str">
        <f>INDEX(_TARGETS!$D$2:$D$17,MATCH($C389,_TARGETS!$A$2:$A$17,0))</f>
        <v>% (fracción)</v>
      </c>
      <c r="O389" s="193" t="str">
        <f>IF(NOT(ISNUMBER(F389)),"MISSING",IF((COUNTBLANK(Datos!V20)+COUNTBLANK(Datos!V21))&gt;0,"INCOMPLETE","OK"))</f>
        <v>MISSING</v>
      </c>
      <c r="P389" s="193" t="str">
        <f>INDEX(_TARGETS!$K$2:$K$17,MATCH($C389,_TARGETS!$A$2:$A$17,0))</f>
        <v>OPS (carga manual en Datos)</v>
      </c>
      <c r="Q389" s="193" t="str">
        <f t="shared" si="32"/>
        <v>202802|CPSE|Monthly</v>
      </c>
      <c r="R389" s="193" t="str">
        <f>INDEX(_TARGETS!$H$2:$H$17,MATCH($C389,_TARGETS!$A$2:$A$17,0))</f>
        <v>Definida</v>
      </c>
      <c r="S389" s="193" t="str">
        <f t="shared" si="33"/>
        <v/>
      </c>
      <c r="T389" s="193" t="str">
        <f t="shared" si="34"/>
        <v/>
      </c>
    </row>
    <row r="390" spans="1:20" ht="13.5" customHeight="1" x14ac:dyDescent="0.3">
      <c r="A390" s="245">
        <f>KPIs!$V$3</f>
        <v>46784</v>
      </c>
      <c r="B390" s="199" t="str">
        <f>KPIs!V$4</f>
        <v>Compresora</v>
      </c>
      <c r="C390" s="31" t="s">
        <v>85</v>
      </c>
      <c r="D390" s="199" t="str">
        <f>KPIs!$A$19</f>
        <v>10b · Cumplimiento de acciones de mejora de simulacros</v>
      </c>
      <c r="E390" s="31" t="s">
        <v>599</v>
      </c>
      <c r="F390" s="247" t="str">
        <f>IF(ISNUMBER(KPIs!V19),KPIs!V19,"")</f>
        <v/>
      </c>
      <c r="G390" s="247" t="str">
        <f>IF(ISNUMBER(KPIs!$C$19),KPIs!$C$19,"")</f>
        <v/>
      </c>
      <c r="H390" s="199" t="str">
        <f>IFERROR(INDEX(_TARGETS!$E$2:$E$17,MATCH($C390,_TARGETS!$A$2:$A$17,0))&amp;"","")</f>
        <v/>
      </c>
      <c r="I390" s="199" t="str">
        <f t="shared" si="30"/>
        <v/>
      </c>
      <c r="J390" s="193" t="str">
        <f t="shared" si="31"/>
        <v>Monthly</v>
      </c>
      <c r="K390" s="248">
        <f>Datos!V23</f>
        <v>0</v>
      </c>
      <c r="L390" s="248">
        <f>Datos!V22</f>
        <v>0</v>
      </c>
      <c r="M390" s="193">
        <f>INDEX(_TARGETS!$J$2:$J$17,MATCH($C390,_TARGETS!$A$2:$A$17,0))</f>
        <v>1</v>
      </c>
      <c r="N390" s="193" t="str">
        <f>INDEX(_TARGETS!$D$2:$D$17,MATCH($C390,_TARGETS!$A$2:$A$17,0))</f>
        <v>% (fracción)</v>
      </c>
      <c r="O390" s="193" t="str">
        <f>IF(NOT(ISNUMBER(F390)),"MISSING",IF((COUNTBLANK(Datos!V23)+COUNTBLANK(Datos!V22))&gt;0,"INCOMPLETE","OK"))</f>
        <v>MISSING</v>
      </c>
      <c r="P390" s="193" t="str">
        <f>INDEX(_TARGETS!$K$2:$K$17,MATCH($C390,_TARGETS!$A$2:$A$17,0))</f>
        <v>OPS (carga manual en Datos)</v>
      </c>
      <c r="Q390" s="193" t="str">
        <f t="shared" si="32"/>
        <v>202802|CAMS|Monthly</v>
      </c>
      <c r="R390" s="193" t="str">
        <f>INDEX(_TARGETS!$H$2:$H$17,MATCH($C390,_TARGETS!$A$2:$A$17,0))</f>
        <v>Solo reporte</v>
      </c>
      <c r="S390" s="193" t="str">
        <f t="shared" si="33"/>
        <v/>
      </c>
      <c r="T390" s="193" t="str">
        <f t="shared" si="34"/>
        <v/>
      </c>
    </row>
    <row r="391" spans="1:20" ht="13.5" customHeight="1" x14ac:dyDescent="0.3">
      <c r="A391" s="245">
        <f>KPIs!$V$3</f>
        <v>46784</v>
      </c>
      <c r="B391" s="199" t="str">
        <f>KPIs!V$4</f>
        <v>Compresora</v>
      </c>
      <c r="C391" s="31" t="s">
        <v>87</v>
      </c>
      <c r="D391" s="199" t="str">
        <f>KPIs!$A$21</f>
        <v>11 · Cumplimiento de caminatas gerenciales</v>
      </c>
      <c r="E391" s="31" t="s">
        <v>599</v>
      </c>
      <c r="F391" s="247" t="str">
        <f>IF(ISNUMBER(KPIs!V21),KPIs!V21,"")</f>
        <v/>
      </c>
      <c r="G391" s="247">
        <f>IF(ISNUMBER(KPIs!$C$21),KPIs!$C$21,"")</f>
        <v>1</v>
      </c>
      <c r="H391" s="199" t="str">
        <f>IFERROR(INDEX(_TARGETS!$E$2:$E$17,MATCH($C391,_TARGETS!$A$2:$A$17,0))&amp;"","")</f>
        <v>≥</v>
      </c>
      <c r="I391" s="199" t="str">
        <f t="shared" si="30"/>
        <v/>
      </c>
      <c r="J391" s="193" t="str">
        <f t="shared" si="31"/>
        <v>Monthly</v>
      </c>
      <c r="K391" s="248">
        <f>Datos!V24</f>
        <v>0</v>
      </c>
      <c r="L391" s="248">
        <f>Datos!V25</f>
        <v>0</v>
      </c>
      <c r="M391" s="193">
        <f>INDEX(_TARGETS!$J$2:$J$17,MATCH($C391,_TARGETS!$A$2:$A$17,0))</f>
        <v>1</v>
      </c>
      <c r="N391" s="193" t="str">
        <f>INDEX(_TARGETS!$D$2:$D$17,MATCH($C391,_TARGETS!$A$2:$A$17,0))</f>
        <v>% (fracción)</v>
      </c>
      <c r="O391" s="193" t="str">
        <f>IF(NOT(ISNUMBER(F391)),"MISSING",IF((COUNTBLANK(Datos!V24)+COUNTBLANK(Datos!V25))&gt;0,"INCOMPLETE","OK"))</f>
        <v>MISSING</v>
      </c>
      <c r="P391" s="193" t="str">
        <f>INDEX(_TARGETS!$K$2:$K$17,MATCH($C391,_TARGETS!$A$2:$A$17,0))</f>
        <v>OPS (carga manual en Datos)</v>
      </c>
      <c r="Q391" s="193" t="str">
        <f t="shared" si="32"/>
        <v>202802|ICCS|Monthly</v>
      </c>
      <c r="R391" s="193" t="str">
        <f>INDEX(_TARGETS!$H$2:$H$17,MATCH($C391,_TARGETS!$A$2:$A$17,0))</f>
        <v>Definida</v>
      </c>
      <c r="S391" s="193" t="str">
        <f t="shared" si="33"/>
        <v/>
      </c>
      <c r="T391" s="193" t="str">
        <f t="shared" si="34"/>
        <v/>
      </c>
    </row>
    <row r="392" spans="1:20" ht="13.5" customHeight="1" x14ac:dyDescent="0.3">
      <c r="A392" s="245">
        <f>KPIs!$V$3</f>
        <v>46784</v>
      </c>
      <c r="B392" s="199" t="str">
        <f>KPIs!V$4</f>
        <v>Compresora</v>
      </c>
      <c r="C392" s="31" t="s">
        <v>89</v>
      </c>
      <c r="D392" s="199" t="str">
        <f>KPIs!$A$22</f>
        <v>12 · Cumplimiento de comités y subcomités de seguridad</v>
      </c>
      <c r="E392" s="31" t="s">
        <v>599</v>
      </c>
      <c r="F392" s="247" t="str">
        <f>IF(ISNUMBER(KPIs!V22),KPIs!V22,"")</f>
        <v/>
      </c>
      <c r="G392" s="247">
        <f>IF(ISNUMBER(KPIs!$C$22),KPIs!$C$22,"")</f>
        <v>1</v>
      </c>
      <c r="H392" s="199" t="str">
        <f>IFERROR(INDEX(_TARGETS!$E$2:$E$17,MATCH($C392,_TARGETS!$A$2:$A$17,0))&amp;"","")</f>
        <v>≥</v>
      </c>
      <c r="I392" s="199" t="str">
        <f t="shared" si="30"/>
        <v/>
      </c>
      <c r="J392" s="193" t="str">
        <f t="shared" si="31"/>
        <v>Monthly</v>
      </c>
      <c r="K392" s="248">
        <f>Datos!V26</f>
        <v>0</v>
      </c>
      <c r="L392" s="248">
        <f>Datos!V27</f>
        <v>0</v>
      </c>
      <c r="M392" s="193">
        <f>INDEX(_TARGETS!$J$2:$J$17,MATCH($C392,_TARGETS!$A$2:$A$17,0))</f>
        <v>1</v>
      </c>
      <c r="N392" s="193" t="str">
        <f>INDEX(_TARGETS!$D$2:$D$17,MATCH($C392,_TARGETS!$A$2:$A$17,0))</f>
        <v>% (fracción)</v>
      </c>
      <c r="O392" s="193" t="str">
        <f>IF(NOT(ISNUMBER(F392)),"MISSING",IF((COUNTBLANK(Datos!V26)+COUNTBLANK(Datos!V27))&gt;0,"INCOMPLETE","OK"))</f>
        <v>MISSING</v>
      </c>
      <c r="P392" s="193" t="str">
        <f>INDEX(_TARGETS!$K$2:$K$17,MATCH($C392,_TARGETS!$A$2:$A$17,0))</f>
        <v>OPS (carga manual en Datos)</v>
      </c>
      <c r="Q392" s="193" t="str">
        <f t="shared" si="32"/>
        <v>202802|CCS|Monthly</v>
      </c>
      <c r="R392" s="193" t="str">
        <f>INDEX(_TARGETS!$H$2:$H$17,MATCH($C392,_TARGETS!$A$2:$A$17,0))</f>
        <v>Definida</v>
      </c>
      <c r="S392" s="193" t="str">
        <f t="shared" si="33"/>
        <v/>
      </c>
      <c r="T392" s="193" t="str">
        <f t="shared" si="34"/>
        <v/>
      </c>
    </row>
    <row r="393" spans="1:20" ht="13.5" customHeight="1" x14ac:dyDescent="0.3">
      <c r="A393" s="245">
        <f>KPIs!$V$3</f>
        <v>46784</v>
      </c>
      <c r="B393" s="199" t="str">
        <f>KPIs!V$4</f>
        <v>Compresora</v>
      </c>
      <c r="C393" s="31" t="s">
        <v>91</v>
      </c>
      <c r="D393" s="199" t="str">
        <f>KPIs!$A$23</f>
        <v>13 · Días promedio para cerrar hallazgos</v>
      </c>
      <c r="E393" s="31" t="s">
        <v>599</v>
      </c>
      <c r="F393" s="247" t="str">
        <f>IF(ISNUMBER(KPIs!V23),KPIs!V23,"")</f>
        <v/>
      </c>
      <c r="G393" s="247" t="str">
        <f>IF(ISNUMBER(KPIs!$C$23),KPIs!$C$23,"")</f>
        <v/>
      </c>
      <c r="H393" s="199" t="str">
        <f>IFERROR(INDEX(_TARGETS!$E$2:$E$17,MATCH($C393,_TARGETS!$A$2:$A$17,0))&amp;"","")</f>
        <v>≤</v>
      </c>
      <c r="I393" s="199" t="str">
        <f t="shared" si="30"/>
        <v/>
      </c>
      <c r="J393" s="193" t="str">
        <f t="shared" si="31"/>
        <v>Monthly</v>
      </c>
      <c r="K393" s="248">
        <f>Datos!V68</f>
        <v>0</v>
      </c>
      <c r="L393" s="248">
        <f>Datos!V67</f>
        <v>0</v>
      </c>
      <c r="M393" s="193">
        <f>INDEX(_TARGETS!$J$2:$J$17,MATCH($C393,_TARGETS!$A$2:$A$17,0))</f>
        <v>1</v>
      </c>
      <c r="N393" s="193" t="str">
        <f>INDEX(_TARGETS!$D$2:$D$17,MATCH($C393,_TARGETS!$A$2:$A$17,0))</f>
        <v>días</v>
      </c>
      <c r="O393" s="193" t="str">
        <f>IF(NOT(ISNUMBER(F393)),"MISSING","OK")</f>
        <v>MISSING</v>
      </c>
      <c r="P393" s="193" t="str">
        <f>INDEX(_TARGETS!$K$2:$K$17,MATCH($C393,_TARGETS!$A$2:$A$17,0))</f>
        <v>Plant Findings (hoja Observaciones-SMP)</v>
      </c>
      <c r="Q393" s="193" t="str">
        <f t="shared" si="32"/>
        <v>202802|DPAS|Monthly</v>
      </c>
      <c r="R393" s="193" t="str">
        <f>INDEX(_TARGETS!$H$2:$H$17,MATCH($C393,_TARGETS!$A$2:$A$17,0))</f>
        <v>Pendiente (meta 2027)</v>
      </c>
      <c r="S393" s="193" t="str">
        <f t="shared" si="33"/>
        <v/>
      </c>
      <c r="T393" s="193" t="str">
        <f t="shared" si="34"/>
        <v/>
      </c>
    </row>
    <row r="394" spans="1:20" ht="13.5" customHeight="1" x14ac:dyDescent="0.3">
      <c r="A394" s="245">
        <f>KPIs!$V$3</f>
        <v>46784</v>
      </c>
      <c r="B394" s="199" t="str">
        <f>KPIs!V$4</f>
        <v>Compresora</v>
      </c>
      <c r="C394" s="31" t="s">
        <v>39</v>
      </c>
      <c r="D394" s="199" t="str">
        <f>KPIs!$A$26</f>
        <v>1 · Frecuencia de casos con días perdidos · ACUMULADO</v>
      </c>
      <c r="E394" s="31" t="s">
        <v>600</v>
      </c>
      <c r="F394" s="247" t="str">
        <f>IF(ISNUMBER(KPIs!V26),KPIs!V26,"")</f>
        <v/>
      </c>
      <c r="G394" s="247">
        <f>IF(ISNUMBER(KPIs!$C$26),KPIs!$C$26,"")</f>
        <v>0</v>
      </c>
      <c r="H394" s="199" t="str">
        <f>IFERROR(INDEX(_TARGETS!$E$2:$E$17,MATCH($C394,_TARGETS!$A$2:$A$17,0))&amp;"","")</f>
        <v>≤</v>
      </c>
      <c r="I394" s="199" t="str">
        <f t="shared" si="30"/>
        <v/>
      </c>
      <c r="J394" s="193" t="str">
        <f t="shared" si="31"/>
        <v>Cumulative</v>
      </c>
      <c r="K394" s="193">
        <f>SUM(Datos!$D33:V33)</f>
        <v>0</v>
      </c>
      <c r="L394" s="193">
        <f>SUM(Datos!$D14:V14)</f>
        <v>48332</v>
      </c>
      <c r="M394" s="193">
        <f>INDEX(_TARGETS!$J$2:$J$17,MATCH($C394,_TARGETS!$A$2:$A$17,0))</f>
        <v>1000000</v>
      </c>
      <c r="N394" s="193" t="str">
        <f>INDEX(_TARGETS!$D$2:$D$17,MATCH($C394,_TARGETS!$A$2:$A$17,0))</f>
        <v>casos / 10^6 HH</v>
      </c>
      <c r="O394" s="193" t="str">
        <f>IF(NOT(ISNUMBER(F394)),IF(SUMPRODUCT(($C$2:$C$1300=C394)*($J$2:$J$1300="Monthly")*($A$2:$A$1300&lt;=A394)*ISNUMBER($K$2:$K$1300)*ISNUMBER($L$2:$L$1300)*($L$2:$L$1300=0)*($K$2:$K$1300&gt;0))&gt;0,"INCOMPLETE","MISSING"),O380)</f>
        <v>MISSING</v>
      </c>
      <c r="P394" s="193" t="str">
        <f>INDEX(_TARGETS!$K$2:$K$17,MATCH($C394,_TARGETS!$A$2:$A$17,0))</f>
        <v>OPS (carga manual en Datos)</v>
      </c>
      <c r="Q394" s="193" t="str">
        <f t="shared" si="32"/>
        <v>202802|DAFWCF|Cumulative</v>
      </c>
      <c r="R394" s="193" t="str">
        <f>INDEX(_TARGETS!$H$2:$H$17,MATCH($C394,_TARGETS!$A$2:$A$17,0))</f>
        <v>Definida</v>
      </c>
      <c r="S394" s="193">
        <f t="shared" si="33"/>
        <v>0</v>
      </c>
      <c r="T394" s="193" t="str">
        <f t="shared" si="34"/>
        <v/>
      </c>
    </row>
    <row r="395" spans="1:20" ht="13.5" customHeight="1" x14ac:dyDescent="0.3">
      <c r="A395" s="245">
        <f>KPIs!$V$3</f>
        <v>46784</v>
      </c>
      <c r="B395" s="199" t="str">
        <f>KPIs!V$4</f>
        <v>Compresora</v>
      </c>
      <c r="C395" s="31" t="s">
        <v>49</v>
      </c>
      <c r="D395" s="199" t="str">
        <f>KPIs!$A$27</f>
        <v>2 · Frecuencia de casos registrables · ACUMULADO</v>
      </c>
      <c r="E395" s="31" t="s">
        <v>600</v>
      </c>
      <c r="F395" s="247" t="str">
        <f>IF(ISNUMBER(KPIs!V27),KPIs!V27,"")</f>
        <v/>
      </c>
      <c r="G395" s="247">
        <f>IF(ISNUMBER(KPIs!$C$27),KPIs!$C$27,"")</f>
        <v>2.35</v>
      </c>
      <c r="H395" s="199" t="str">
        <f>IFERROR(INDEX(_TARGETS!$E$2:$E$17,MATCH($C395,_TARGETS!$A$2:$A$17,0))&amp;"","")</f>
        <v>≤</v>
      </c>
      <c r="I395" s="199" t="str">
        <f t="shared" si="30"/>
        <v/>
      </c>
      <c r="J395" s="193" t="str">
        <f t="shared" si="31"/>
        <v>Cumulative</v>
      </c>
      <c r="K395" s="193">
        <f>SUM(Datos!$D33:V33)+SUM(Datos!$D34:V34)+SUM(Datos!$D35:V35)+SUM(Datos!$D36:V36)</f>
        <v>0</v>
      </c>
      <c r="L395" s="193">
        <f>SUM(Datos!$D14:V14)</f>
        <v>48332</v>
      </c>
      <c r="M395" s="193">
        <f>INDEX(_TARGETS!$J$2:$J$17,MATCH($C395,_TARGETS!$A$2:$A$17,0))</f>
        <v>1000000</v>
      </c>
      <c r="N395" s="193" t="str">
        <f>INDEX(_TARGETS!$D$2:$D$17,MATCH($C395,_TARGETS!$A$2:$A$17,0))</f>
        <v>casos / 10^6 HH</v>
      </c>
      <c r="O395" s="193" t="str">
        <f>IF(NOT(ISNUMBER(F395)),IF(SUMPRODUCT(($C$2:$C$1300=C395)*($J$2:$J$1300="Monthly")*($A$2:$A$1300&lt;=A395)*ISNUMBER($K$2:$K$1300)*ISNUMBER($L$2:$L$1300)*($L$2:$L$1300=0)*($K$2:$K$1300&gt;0))&gt;0,"INCOMPLETE","MISSING"),O381)</f>
        <v>MISSING</v>
      </c>
      <c r="P395" s="193" t="str">
        <f>INDEX(_TARGETS!$K$2:$K$17,MATCH($C395,_TARGETS!$A$2:$A$17,0))</f>
        <v>OPS (carga manual en Datos)</v>
      </c>
      <c r="Q395" s="193" t="str">
        <f t="shared" si="32"/>
        <v>202802|TRICF|Cumulative</v>
      </c>
      <c r="R395" s="193" t="str">
        <f>INDEX(_TARGETS!$H$2:$H$17,MATCH($C395,_TARGETS!$A$2:$A$17,0))</f>
        <v>Definida</v>
      </c>
      <c r="S395" s="193">
        <f t="shared" si="33"/>
        <v>0</v>
      </c>
      <c r="T395" s="193" t="str">
        <f t="shared" si="34"/>
        <v/>
      </c>
    </row>
    <row r="396" spans="1:20" ht="13.5" customHeight="1" x14ac:dyDescent="0.3">
      <c r="A396" s="245">
        <f>KPIs!$V$3</f>
        <v>46784</v>
      </c>
      <c r="B396" s="199" t="str">
        <f>KPIs!V$4</f>
        <v>Compresora</v>
      </c>
      <c r="C396" s="31" t="s">
        <v>51</v>
      </c>
      <c r="D396" s="199" t="str">
        <f>KPIs!$A$28</f>
        <v>3 · Casos de primeros auxilios · ACUMULADO</v>
      </c>
      <c r="E396" s="31" t="s">
        <v>600</v>
      </c>
      <c r="F396" s="247" t="str">
        <f>IF(ISNUMBER(KPIs!V28),KPIs!V28,"")</f>
        <v/>
      </c>
      <c r="G396" s="247" t="str">
        <f>IF(ISNUMBER(KPIs!$C$28),KPIs!$C$28,"")</f>
        <v/>
      </c>
      <c r="H396" s="199" t="str">
        <f>IFERROR(INDEX(_TARGETS!$E$2:$E$17,MATCH($C396,_TARGETS!$A$2:$A$17,0))&amp;"","")</f>
        <v/>
      </c>
      <c r="I396" s="199" t="str">
        <f t="shared" si="30"/>
        <v/>
      </c>
      <c r="J396" s="193" t="str">
        <f t="shared" si="31"/>
        <v>Cumulative</v>
      </c>
      <c r="K396" s="193">
        <f>SUM(Datos!$D37:V37)</f>
        <v>0</v>
      </c>
      <c r="M396" s="193">
        <f>INDEX(_TARGETS!$J$2:$J$17,MATCH($C396,_TARGETS!$A$2:$A$17,0))</f>
        <v>1</v>
      </c>
      <c r="N396" s="193" t="str">
        <f>INDEX(_TARGETS!$D$2:$D$17,MATCH($C396,_TARGETS!$A$2:$A$17,0))</f>
        <v>casos</v>
      </c>
      <c r="O396" s="193" t="str">
        <f>IF(NOT(ISNUMBER(F396)),IF(SUMPRODUCT(($C$2:$C$1300=C396)*($J$2:$J$1300="Monthly")*($A$2:$A$1300&lt;=A396)*ISNUMBER($K$2:$K$1300)*ISNUMBER($L$2:$L$1300)*($L$2:$L$1300=0)*($K$2:$K$1300&gt;0))&gt;0,"INCOMPLETE","MISSING"),O382)</f>
        <v>MISSING</v>
      </c>
      <c r="P396" s="193" t="str">
        <f>INDEX(_TARGETS!$K$2:$K$17,MATCH($C396,_TARGETS!$A$2:$A$17,0))</f>
        <v>OPS (carga manual en Datos)</v>
      </c>
      <c r="Q396" s="193" t="str">
        <f t="shared" si="32"/>
        <v>202802|FAC|Cumulative</v>
      </c>
      <c r="R396" s="193" t="str">
        <f>INDEX(_TARGETS!$H$2:$H$17,MATCH($C396,_TARGETS!$A$2:$A$17,0))</f>
        <v>Solo reporte</v>
      </c>
      <c r="S396" s="193">
        <f t="shared" si="33"/>
        <v>0</v>
      </c>
      <c r="T396" s="193" t="str">
        <f t="shared" si="34"/>
        <v/>
      </c>
    </row>
    <row r="397" spans="1:20" ht="13.5" customHeight="1" x14ac:dyDescent="0.3">
      <c r="A397" s="245">
        <f>KPIs!$V$3</f>
        <v>46784</v>
      </c>
      <c r="B397" s="199" t="str">
        <f>KPIs!V$4</f>
        <v>Compresora</v>
      </c>
      <c r="C397" s="31" t="s">
        <v>57</v>
      </c>
      <c r="D397" s="199" t="str">
        <f>KPIs!$A$29</f>
        <v>4 · Accidentes vehiculares severos · ACUMULADO</v>
      </c>
      <c r="E397" s="31" t="s">
        <v>600</v>
      </c>
      <c r="F397" s="247" t="str">
        <f>IF(ISNUMBER(KPIs!V29),KPIs!V29,"")</f>
        <v/>
      </c>
      <c r="G397" s="247" t="str">
        <f>IF(ISNUMBER(KPIs!$C$29),KPIs!$C$29,"")</f>
        <v/>
      </c>
      <c r="H397" s="199" t="str">
        <f>IFERROR(INDEX(_TARGETS!$E$2:$E$17,MATCH($C397,_TARGETS!$A$2:$A$17,0))&amp;"","")</f>
        <v/>
      </c>
      <c r="I397" s="199" t="str">
        <f t="shared" si="30"/>
        <v/>
      </c>
      <c r="J397" s="193" t="str">
        <f t="shared" si="31"/>
        <v>Cumulative</v>
      </c>
      <c r="K397" s="193">
        <f>SUM(Datos!$D39:V39)+SUM(Datos!$D40:V40)+SUM(Datos!$D41:V41)</f>
        <v>0</v>
      </c>
      <c r="L397" s="193">
        <f>SUM(Datos!$D47:V47)</f>
        <v>172824</v>
      </c>
      <c r="M397" s="193">
        <f>INDEX(_TARGETS!$J$2:$J$17,MATCH($C397,_TARGETS!$A$2:$A$17,0))</f>
        <v>1000000</v>
      </c>
      <c r="N397" s="193" t="str">
        <f>INDEX(_TARGETS!$D$2:$D$17,MATCH($C397,_TARGETS!$A$2:$A$17,0))</f>
        <v>eventos / 10^6 km</v>
      </c>
      <c r="O397" s="193" t="str">
        <f>IF(NOT(ISNUMBER(F397)),IF(SUMPRODUCT(($C$2:$C$1300=C397)*($J$2:$J$1300="Monthly")*($A$2:$A$1300&lt;=A397)*ISNUMBER($K$2:$K$1300)*ISNUMBER($L$2:$L$1300)*($L$2:$L$1300=0)*($K$2:$K$1300&gt;0))&gt;0,"INCOMPLETE","MISSING"),O383)</f>
        <v>MISSING</v>
      </c>
      <c r="P397" s="193" t="str">
        <f>INDEX(_TARGETS!$K$2:$K$17,MATCH($C397,_TARGETS!$A$2:$A$17,0))</f>
        <v>OPS (eventos) + Full Control GPS (km) - carga manual en Datos</v>
      </c>
      <c r="Q397" s="193" t="str">
        <f t="shared" si="32"/>
        <v>202802|SVCR|Cumulative</v>
      </c>
      <c r="R397" s="193" t="str">
        <f>INDEX(_TARGETS!$H$2:$H$17,MATCH($C397,_TARGETS!$A$2:$A$17,0))</f>
        <v>Solo reporte</v>
      </c>
      <c r="S397" s="193">
        <f t="shared" si="33"/>
        <v>0</v>
      </c>
      <c r="T397" s="193" t="str">
        <f t="shared" si="34"/>
        <v/>
      </c>
    </row>
    <row r="398" spans="1:20" ht="13.5" customHeight="1" x14ac:dyDescent="0.3">
      <c r="A398" s="245">
        <f>KPIs!$V$3</f>
        <v>46784</v>
      </c>
      <c r="B398" s="199" t="str">
        <f>KPIs!V$4</f>
        <v>Compresora</v>
      </c>
      <c r="C398" s="31" t="s">
        <v>61</v>
      </c>
      <c r="D398" s="199" t="str">
        <f>KPIs!$A$30</f>
        <v>5 · Accidentes vehiculares totales · ACUMULADO</v>
      </c>
      <c r="E398" s="31" t="s">
        <v>600</v>
      </c>
      <c r="F398" s="247" t="str">
        <f>IF(ISNUMBER(KPIs!V30),KPIs!V30,"")</f>
        <v/>
      </c>
      <c r="G398" s="247">
        <f>IF(ISNUMBER(KPIs!$C$30),KPIs!$C$30,"")</f>
        <v>0.79</v>
      </c>
      <c r="H398" s="199" t="str">
        <f>IFERROR(INDEX(_TARGETS!$E$2:$E$17,MATCH($C398,_TARGETS!$A$2:$A$17,0))&amp;"","")</f>
        <v>≤</v>
      </c>
      <c r="I398" s="199" t="str">
        <f t="shared" si="30"/>
        <v/>
      </c>
      <c r="J398" s="193" t="str">
        <f t="shared" si="31"/>
        <v>Cumulative</v>
      </c>
      <c r="K398" s="193">
        <f>SUM(Datos!$D39:V39)+SUM(Datos!$D40:V40)+SUM(Datos!$D41:V41)+SUM(Datos!$D42:V42)</f>
        <v>0</v>
      </c>
      <c r="L398" s="193">
        <f>SUM(Datos!$D47:V47)</f>
        <v>172824</v>
      </c>
      <c r="M398" s="193">
        <f>INDEX(_TARGETS!$J$2:$J$17,MATCH($C398,_TARGETS!$A$2:$A$17,0))</f>
        <v>1000000</v>
      </c>
      <c r="N398" s="193" t="str">
        <f>INDEX(_TARGETS!$D$2:$D$17,MATCH($C398,_TARGETS!$A$2:$A$17,0))</f>
        <v>eventos / 10^6 km</v>
      </c>
      <c r="O398" s="193" t="str">
        <f>IF(NOT(ISNUMBER(F398)),IF(SUMPRODUCT(($C$2:$C$1300=C398)*($J$2:$J$1300="Monthly")*($A$2:$A$1300&lt;=A398)*ISNUMBER($K$2:$K$1300)*ISNUMBER($L$2:$L$1300)*($L$2:$L$1300=0)*($K$2:$K$1300&gt;0))&gt;0,"INCOMPLETE","MISSING"),O384)</f>
        <v>MISSING</v>
      </c>
      <c r="P398" s="193" t="str">
        <f>INDEX(_TARGETS!$K$2:$K$17,MATCH($C398,_TARGETS!$A$2:$A$17,0))</f>
        <v>OPS (eventos) + Full Control GPS (km) - carga manual en Datos</v>
      </c>
      <c r="Q398" s="193" t="str">
        <f t="shared" si="32"/>
        <v>202802|TVCR|Cumulative</v>
      </c>
      <c r="R398" s="193" t="str">
        <f>INDEX(_TARGETS!$H$2:$H$17,MATCH($C398,_TARGETS!$A$2:$A$17,0))</f>
        <v>Definida</v>
      </c>
      <c r="S398" s="193">
        <f t="shared" si="33"/>
        <v>0</v>
      </c>
      <c r="T398" s="193" t="str">
        <f t="shared" si="34"/>
        <v/>
      </c>
    </row>
    <row r="399" spans="1:20" ht="13.5" customHeight="1" x14ac:dyDescent="0.3">
      <c r="A399" s="245">
        <f>KPIs!$V$3</f>
        <v>46784</v>
      </c>
      <c r="B399" s="199" t="str">
        <f>KPIs!V$4</f>
        <v>Compresora</v>
      </c>
      <c r="C399" s="31" t="s">
        <v>96</v>
      </c>
      <c r="D399" s="199" t="str">
        <f>KPIs!$A$33</f>
        <v>C1 · % de desvíos detectados de gravedad Alta</v>
      </c>
      <c r="E399" s="31" t="s">
        <v>599</v>
      </c>
      <c r="F399" s="247" t="str">
        <f>IF(ISNUMBER(KPIs!V33),KPIs!V33,"")</f>
        <v/>
      </c>
      <c r="G399" s="247" t="str">
        <f>IF(ISNUMBER(KPIs!$C$33),KPIs!$C$33,"")</f>
        <v/>
      </c>
      <c r="H399" s="199" t="str">
        <f>IFERROR(INDEX(_TARGETS!$E$2:$E$17,MATCH($C399,_TARGETS!$A$2:$A$17,0))&amp;"","")</f>
        <v/>
      </c>
      <c r="I399" s="199" t="str">
        <f t="shared" si="30"/>
        <v/>
      </c>
      <c r="J399" s="193" t="str">
        <f t="shared" si="31"/>
        <v>Monthly</v>
      </c>
      <c r="K399" s="248">
        <f>Datos!V71</f>
        <v>0</v>
      </c>
      <c r="L399" s="193">
        <f>Datos!V71+Datos!V72+Datos!V73</f>
        <v>0</v>
      </c>
      <c r="M399" s="193">
        <f>INDEX(_TARGETS!$J$2:$J$17,MATCH($C399,_TARGETS!$A$2:$A$17,0))</f>
        <v>1</v>
      </c>
      <c r="N399" s="193" t="str">
        <f>INDEX(_TARGETS!$D$2:$D$17,MATCH($C399,_TARGETS!$A$2:$A$17,0))</f>
        <v>% (fracción)</v>
      </c>
      <c r="O399" s="193" t="str">
        <f>IF(NOT(ISNUMBER(F399)),"MISSING","OK")</f>
        <v>MISSING</v>
      </c>
      <c r="P399" s="193" t="str">
        <f>INDEX(_TARGETS!$K$2:$K$17,MATCH($C399,_TARGETS!$A$2:$A$17,0))</f>
        <v>Plant Findings (hoja Observaciones-SMP)</v>
      </c>
      <c r="Q399" s="193" t="str">
        <f t="shared" si="32"/>
        <v>202802|HAL_ALTA_PCT|Monthly</v>
      </c>
      <c r="R399" s="193" t="str">
        <f>INDEX(_TARGETS!$H$2:$H$17,MATCH($C399,_TARGETS!$A$2:$A$17,0))</f>
        <v>Solo reporte</v>
      </c>
      <c r="S399" s="193" t="str">
        <f t="shared" si="33"/>
        <v/>
      </c>
      <c r="T399" s="193" t="str">
        <f t="shared" si="34"/>
        <v/>
      </c>
    </row>
    <row r="400" spans="1:20" ht="13.5" customHeight="1" x14ac:dyDescent="0.3">
      <c r="A400" s="245">
        <f>KPIs!$V$3</f>
        <v>46784</v>
      </c>
      <c r="B400" s="199" t="str">
        <f>KPIs!V$4</f>
        <v>Compresora</v>
      </c>
      <c r="C400" s="31" t="s">
        <v>98</v>
      </c>
      <c r="D400" s="199" t="str">
        <f>KPIs!$A$34</f>
        <v>C2 · Detenciones de tareas aplicadas</v>
      </c>
      <c r="E400" s="31" t="s">
        <v>599</v>
      </c>
      <c r="F400" s="247" t="str">
        <f>IF(ISNUMBER(KPIs!V34),KPIs!V34,"")</f>
        <v/>
      </c>
      <c r="G400" s="247" t="str">
        <f>IF(ISNUMBER(KPIs!$C$34),KPIs!$C$34,"")</f>
        <v/>
      </c>
      <c r="H400" s="199" t="str">
        <f>IFERROR(INDEX(_TARGETS!$E$2:$E$17,MATCH($C400,_TARGETS!$A$2:$A$17,0))&amp;"","")</f>
        <v/>
      </c>
      <c r="I400" s="199" t="str">
        <f t="shared" si="30"/>
        <v/>
      </c>
      <c r="J400" s="193" t="str">
        <f t="shared" si="31"/>
        <v>Monthly</v>
      </c>
      <c r="K400" s="248">
        <f>Datos!V75</f>
        <v>0</v>
      </c>
      <c r="M400" s="193">
        <f>INDEX(_TARGETS!$J$2:$J$17,MATCH($C400,_TARGETS!$A$2:$A$17,0))</f>
        <v>1</v>
      </c>
      <c r="N400" s="193" t="str">
        <f>INDEX(_TARGETS!$D$2:$D$17,MATCH($C400,_TARGETS!$A$2:$A$17,0))</f>
        <v>u</v>
      </c>
      <c r="O400" s="193" t="str">
        <f>IF(NOT(ISNUMBER(F400)),"MISSING","OK")</f>
        <v>MISSING</v>
      </c>
      <c r="P400" s="193" t="str">
        <f>INDEX(_TARGETS!$K$2:$K$17,MATCH($C400,_TARGETS!$A$2:$A$17,0))</f>
        <v>Plant Findings (hoja Observaciones-SMP)</v>
      </c>
      <c r="Q400" s="193" t="str">
        <f t="shared" si="32"/>
        <v>202802|DET|Monthly</v>
      </c>
      <c r="R400" s="193" t="str">
        <f>INDEX(_TARGETS!$H$2:$H$17,MATCH($C400,_TARGETS!$A$2:$A$17,0))</f>
        <v>Solo reporte</v>
      </c>
      <c r="S400" s="193" t="str">
        <f t="shared" si="33"/>
        <v/>
      </c>
      <c r="T400" s="193" t="str">
        <f t="shared" si="34"/>
        <v/>
      </c>
    </row>
    <row r="401" spans="1:20" ht="13.5" customHeight="1" x14ac:dyDescent="0.3">
      <c r="A401" s="245">
        <f>KPIs!$W$3</f>
        <v>46813</v>
      </c>
      <c r="B401" s="199" t="str">
        <f>KPIs!W$4</f>
        <v>Compresora</v>
      </c>
      <c r="C401" s="31" t="s">
        <v>39</v>
      </c>
      <c r="D401" s="199" t="str">
        <f>KPIs!$A$6</f>
        <v>1 · Frecuencia de casos con días perdidos</v>
      </c>
      <c r="E401" s="31" t="s">
        <v>599</v>
      </c>
      <c r="F401" s="247" t="str">
        <f>IF(ISNUMBER(KPIs!W6),KPIs!W6,"")</f>
        <v/>
      </c>
      <c r="G401" s="247">
        <f>IF(ISNUMBER(KPIs!$C$6),KPIs!$C$6,"")</f>
        <v>0</v>
      </c>
      <c r="H401" s="199" t="str">
        <f>IFERROR(INDEX(_TARGETS!$E$2:$E$17,MATCH($C401,_TARGETS!$A$2:$A$17,0))&amp;"","")</f>
        <v>≤</v>
      </c>
      <c r="I401" s="199" t="str">
        <f t="shared" si="30"/>
        <v/>
      </c>
      <c r="J401" s="193" t="str">
        <f t="shared" si="31"/>
        <v>Monthly</v>
      </c>
      <c r="K401" s="248">
        <f>Datos!W33</f>
        <v>0</v>
      </c>
      <c r="L401" s="248">
        <f>Datos!W14</f>
        <v>0</v>
      </c>
      <c r="M401" s="193">
        <f>INDEX(_TARGETS!$J$2:$J$17,MATCH($C401,_TARGETS!$A$2:$A$17,0))</f>
        <v>1000000</v>
      </c>
      <c r="N401" s="193" t="str">
        <f>INDEX(_TARGETS!$D$2:$D$17,MATCH($C401,_TARGETS!$A$2:$A$17,0))</f>
        <v>casos / 10^6 HH</v>
      </c>
      <c r="O401" s="193" t="str">
        <f>IF(NOT(ISNUMBER(F401)),"MISSING",IF((COUNTBLANK(Datos!W12)+COUNTBLANK(Datos!W13)+COUNTBLANK(Datos!W33))&gt;0,"INCOMPLETE","OK"))</f>
        <v>MISSING</v>
      </c>
      <c r="P401" s="193" t="str">
        <f>INDEX(_TARGETS!$K$2:$K$17,MATCH($C401,_TARGETS!$A$2:$A$17,0))</f>
        <v>OPS (carga manual en Datos)</v>
      </c>
      <c r="Q401" s="193" t="str">
        <f t="shared" si="32"/>
        <v>202803|DAFWCF|Monthly</v>
      </c>
      <c r="R401" s="193" t="str">
        <f>INDEX(_TARGETS!$H$2:$H$17,MATCH($C401,_TARGETS!$A$2:$A$17,0))</f>
        <v>Definida</v>
      </c>
      <c r="S401" s="193" t="str">
        <f t="shared" si="33"/>
        <v/>
      </c>
      <c r="T401" s="193" t="str">
        <f t="shared" si="34"/>
        <v/>
      </c>
    </row>
    <row r="402" spans="1:20" ht="13.5" customHeight="1" x14ac:dyDescent="0.3">
      <c r="A402" s="245">
        <f>KPIs!$W$3</f>
        <v>46813</v>
      </c>
      <c r="B402" s="199" t="str">
        <f>KPIs!W$4</f>
        <v>Compresora</v>
      </c>
      <c r="C402" s="31" t="s">
        <v>49</v>
      </c>
      <c r="D402" s="199" t="str">
        <f>KPIs!$A$7</f>
        <v>2 · Frecuencia de casos registrables</v>
      </c>
      <c r="E402" s="31" t="s">
        <v>599</v>
      </c>
      <c r="F402" s="247" t="str">
        <f>IF(ISNUMBER(KPIs!W7),KPIs!W7,"")</f>
        <v/>
      </c>
      <c r="G402" s="247">
        <f>IF(ISNUMBER(KPIs!$C$7),KPIs!$C$7,"")</f>
        <v>2.35</v>
      </c>
      <c r="H402" s="199" t="str">
        <f>IFERROR(INDEX(_TARGETS!$E$2:$E$17,MATCH($C402,_TARGETS!$A$2:$A$17,0))&amp;"","")</f>
        <v>≤</v>
      </c>
      <c r="I402" s="199" t="str">
        <f t="shared" si="30"/>
        <v/>
      </c>
      <c r="J402" s="193" t="str">
        <f t="shared" si="31"/>
        <v>Monthly</v>
      </c>
      <c r="K402" s="193">
        <f>Datos!W33+Datos!W34+Datos!W35+Datos!W36</f>
        <v>0</v>
      </c>
      <c r="L402" s="248">
        <f>Datos!W14</f>
        <v>0</v>
      </c>
      <c r="M402" s="193">
        <f>INDEX(_TARGETS!$J$2:$J$17,MATCH($C402,_TARGETS!$A$2:$A$17,0))</f>
        <v>1000000</v>
      </c>
      <c r="N402" s="193" t="str">
        <f>INDEX(_TARGETS!$D$2:$D$17,MATCH($C402,_TARGETS!$A$2:$A$17,0))</f>
        <v>casos / 10^6 HH</v>
      </c>
      <c r="O402" s="193" t="str">
        <f>IF(NOT(ISNUMBER(F402)),"MISSING",IF((COUNTBLANK(Datos!W12)+COUNTBLANK(Datos!W13)+COUNTBLANK(Datos!W33)+COUNTBLANK(Datos!W34)+COUNTBLANK(Datos!W35)+COUNTBLANK(Datos!W36))&gt;0,"INCOMPLETE","OK"))</f>
        <v>MISSING</v>
      </c>
      <c r="P402" s="193" t="str">
        <f>INDEX(_TARGETS!$K$2:$K$17,MATCH($C402,_TARGETS!$A$2:$A$17,0))</f>
        <v>OPS (carga manual en Datos)</v>
      </c>
      <c r="Q402" s="193" t="str">
        <f t="shared" si="32"/>
        <v>202803|TRICF|Monthly</v>
      </c>
      <c r="R402" s="193" t="str">
        <f>INDEX(_TARGETS!$H$2:$H$17,MATCH($C402,_TARGETS!$A$2:$A$17,0))</f>
        <v>Definida</v>
      </c>
      <c r="S402" s="193" t="str">
        <f t="shared" si="33"/>
        <v/>
      </c>
      <c r="T402" s="193" t="str">
        <f t="shared" si="34"/>
        <v/>
      </c>
    </row>
    <row r="403" spans="1:20" ht="13.5" customHeight="1" x14ac:dyDescent="0.3">
      <c r="A403" s="245">
        <f>KPIs!$W$3</f>
        <v>46813</v>
      </c>
      <c r="B403" s="199" t="str">
        <f>KPIs!W$4</f>
        <v>Compresora</v>
      </c>
      <c r="C403" s="31" t="s">
        <v>51</v>
      </c>
      <c r="D403" s="199" t="str">
        <f>KPIs!$A$8</f>
        <v>3 · Casos de primeros auxilios</v>
      </c>
      <c r="E403" s="31" t="s">
        <v>599</v>
      </c>
      <c r="F403" s="247" t="str">
        <f>IF(ISNUMBER(KPIs!W8),KPIs!W8,"")</f>
        <v/>
      </c>
      <c r="G403" s="247" t="str">
        <f>IF(ISNUMBER(KPIs!$C$8),KPIs!$C$8,"")</f>
        <v/>
      </c>
      <c r="H403" s="199" t="str">
        <f>IFERROR(INDEX(_TARGETS!$E$2:$E$17,MATCH($C403,_TARGETS!$A$2:$A$17,0))&amp;"","")</f>
        <v/>
      </c>
      <c r="I403" s="199" t="str">
        <f t="shared" si="30"/>
        <v/>
      </c>
      <c r="J403" s="193" t="str">
        <f t="shared" si="31"/>
        <v>Monthly</v>
      </c>
      <c r="K403" s="248">
        <f>Datos!W37</f>
        <v>0</v>
      </c>
      <c r="M403" s="193">
        <f>INDEX(_TARGETS!$J$2:$J$17,MATCH($C403,_TARGETS!$A$2:$A$17,0))</f>
        <v>1</v>
      </c>
      <c r="N403" s="193" t="str">
        <f>INDEX(_TARGETS!$D$2:$D$17,MATCH($C403,_TARGETS!$A$2:$A$17,0))</f>
        <v>casos</v>
      </c>
      <c r="O403" s="193" t="str">
        <f>IF(NOT(ISNUMBER(F403)),"MISSING",IF((COUNTBLANK(Datos!W12)+COUNTBLANK(Datos!W13)+COUNTBLANK(Datos!W37))&gt;0,"INCOMPLETE","OK"))</f>
        <v>MISSING</v>
      </c>
      <c r="P403" s="193" t="str">
        <f>INDEX(_TARGETS!$K$2:$K$17,MATCH($C403,_TARGETS!$A$2:$A$17,0))</f>
        <v>OPS (carga manual en Datos)</v>
      </c>
      <c r="Q403" s="193" t="str">
        <f t="shared" si="32"/>
        <v>202803|FAC|Monthly</v>
      </c>
      <c r="R403" s="193" t="str">
        <f>INDEX(_TARGETS!$H$2:$H$17,MATCH($C403,_TARGETS!$A$2:$A$17,0))</f>
        <v>Solo reporte</v>
      </c>
      <c r="S403" s="193" t="str">
        <f t="shared" si="33"/>
        <v/>
      </c>
      <c r="T403" s="193" t="str">
        <f t="shared" si="34"/>
        <v/>
      </c>
    </row>
    <row r="404" spans="1:20" ht="13.5" customHeight="1" x14ac:dyDescent="0.3">
      <c r="A404" s="245">
        <f>KPIs!$W$3</f>
        <v>46813</v>
      </c>
      <c r="B404" s="199" t="str">
        <f>KPIs!W$4</f>
        <v>Compresora</v>
      </c>
      <c r="C404" s="31" t="s">
        <v>57</v>
      </c>
      <c r="D404" s="199" t="str">
        <f>KPIs!$A$10</f>
        <v>4 · Accidentes vehiculares severos por millón de km</v>
      </c>
      <c r="E404" s="31" t="s">
        <v>599</v>
      </c>
      <c r="F404" s="247" t="str">
        <f>IF(ISNUMBER(KPIs!W10),KPIs!W10,"")</f>
        <v/>
      </c>
      <c r="G404" s="247" t="str">
        <f>IF(ISNUMBER(KPIs!$C$10),KPIs!$C$10,"")</f>
        <v/>
      </c>
      <c r="H404" s="199" t="str">
        <f>IFERROR(INDEX(_TARGETS!$E$2:$E$17,MATCH($C404,_TARGETS!$A$2:$A$17,0))&amp;"","")</f>
        <v/>
      </c>
      <c r="I404" s="199" t="str">
        <f t="shared" si="30"/>
        <v/>
      </c>
      <c r="J404" s="193" t="str">
        <f t="shared" si="31"/>
        <v>Monthly</v>
      </c>
      <c r="K404" s="193">
        <f>Datos!W39+Datos!W40+Datos!W41</f>
        <v>0</v>
      </c>
      <c r="L404" s="248">
        <f>Datos!W47</f>
        <v>0</v>
      </c>
      <c r="M404" s="193">
        <f>INDEX(_TARGETS!$J$2:$J$17,MATCH($C404,_TARGETS!$A$2:$A$17,0))</f>
        <v>1000000</v>
      </c>
      <c r="N404" s="193" t="str">
        <f>INDEX(_TARGETS!$D$2:$D$17,MATCH($C404,_TARGETS!$A$2:$A$17,0))</f>
        <v>eventos / 10^6 km</v>
      </c>
      <c r="O404" s="193" t="str">
        <f>IF(NOT(ISNUMBER(F404)),"MISSING",IF((COUNTBLANK(Datos!W44)+COUNTBLANK(Datos!W45)+COUNTBLANK(Datos!W46)+COUNTBLANK(Datos!W39)+COUNTBLANK(Datos!W40)+COUNTBLANK(Datos!W41))&gt;0,"INCOMPLETE","OK"))</f>
        <v>MISSING</v>
      </c>
      <c r="P404" s="193" t="str">
        <f>INDEX(_TARGETS!$K$2:$K$17,MATCH($C404,_TARGETS!$A$2:$A$17,0))</f>
        <v>OPS (eventos) + Full Control GPS (km) - carga manual en Datos</v>
      </c>
      <c r="Q404" s="193" t="str">
        <f t="shared" si="32"/>
        <v>202803|SVCR|Monthly</v>
      </c>
      <c r="R404" s="193" t="str">
        <f>INDEX(_TARGETS!$H$2:$H$17,MATCH($C404,_TARGETS!$A$2:$A$17,0))</f>
        <v>Solo reporte</v>
      </c>
      <c r="S404" s="193" t="str">
        <f t="shared" si="33"/>
        <v/>
      </c>
      <c r="T404" s="193" t="str">
        <f t="shared" si="34"/>
        <v/>
      </c>
    </row>
    <row r="405" spans="1:20" ht="13.5" customHeight="1" x14ac:dyDescent="0.3">
      <c r="A405" s="245">
        <f>KPIs!$W$3</f>
        <v>46813</v>
      </c>
      <c r="B405" s="199" t="str">
        <f>KPIs!W$4</f>
        <v>Compresora</v>
      </c>
      <c r="C405" s="31" t="s">
        <v>61</v>
      </c>
      <c r="D405" s="199" t="str">
        <f>KPIs!$A$11</f>
        <v>5 · Accidentes vehiculares totales por millón de km</v>
      </c>
      <c r="E405" s="31" t="s">
        <v>599</v>
      </c>
      <c r="F405" s="247" t="str">
        <f>IF(ISNUMBER(KPIs!W11),KPIs!W11,"")</f>
        <v/>
      </c>
      <c r="G405" s="247">
        <f>IF(ISNUMBER(KPIs!$C$11),KPIs!$C$11,"")</f>
        <v>0.79</v>
      </c>
      <c r="H405" s="199" t="str">
        <f>IFERROR(INDEX(_TARGETS!$E$2:$E$17,MATCH($C405,_TARGETS!$A$2:$A$17,0))&amp;"","")</f>
        <v>≤</v>
      </c>
      <c r="I405" s="199" t="str">
        <f t="shared" si="30"/>
        <v/>
      </c>
      <c r="J405" s="193" t="str">
        <f t="shared" si="31"/>
        <v>Monthly</v>
      </c>
      <c r="K405" s="193">
        <f>Datos!W39+Datos!W40+Datos!W41+Datos!W42</f>
        <v>0</v>
      </c>
      <c r="L405" s="248">
        <f>Datos!W47</f>
        <v>0</v>
      </c>
      <c r="M405" s="193">
        <f>INDEX(_TARGETS!$J$2:$J$17,MATCH($C405,_TARGETS!$A$2:$A$17,0))</f>
        <v>1000000</v>
      </c>
      <c r="N405" s="193" t="str">
        <f>INDEX(_TARGETS!$D$2:$D$17,MATCH($C405,_TARGETS!$A$2:$A$17,0))</f>
        <v>eventos / 10^6 km</v>
      </c>
      <c r="O405" s="193" t="str">
        <f>IF(NOT(ISNUMBER(F405)),"MISSING",IF((COUNTBLANK(Datos!W44)+COUNTBLANK(Datos!W45)+COUNTBLANK(Datos!W46)+COUNTBLANK(Datos!W39)+COUNTBLANK(Datos!W40)+COUNTBLANK(Datos!W41)+COUNTBLANK(Datos!W42))&gt;0,"INCOMPLETE","OK"))</f>
        <v>MISSING</v>
      </c>
      <c r="P405" s="193" t="str">
        <f>INDEX(_TARGETS!$K$2:$K$17,MATCH($C405,_TARGETS!$A$2:$A$17,0))</f>
        <v>OPS (eventos) + Full Control GPS (km) - carga manual en Datos</v>
      </c>
      <c r="Q405" s="193" t="str">
        <f t="shared" si="32"/>
        <v>202803|TVCR|Monthly</v>
      </c>
      <c r="R405" s="193" t="str">
        <f>INDEX(_TARGETS!$H$2:$H$17,MATCH($C405,_TARGETS!$A$2:$A$17,0))</f>
        <v>Definida</v>
      </c>
      <c r="S405" s="193" t="str">
        <f t="shared" si="33"/>
        <v/>
      </c>
      <c r="T405" s="193" t="str">
        <f t="shared" si="34"/>
        <v/>
      </c>
    </row>
    <row r="406" spans="1:20" ht="13.5" customHeight="1" x14ac:dyDescent="0.3">
      <c r="A406" s="245">
        <f>KPIs!$W$3</f>
        <v>46813</v>
      </c>
      <c r="B406" s="199" t="str">
        <f>KPIs!W$4</f>
        <v>Compresora</v>
      </c>
      <c r="C406" s="31" t="s">
        <v>63</v>
      </c>
      <c r="D406" s="199" t="str">
        <f>KPIs!$A$13</f>
        <v>6 · Observaciones de seguridad por persona</v>
      </c>
      <c r="E406" s="31" t="s">
        <v>599</v>
      </c>
      <c r="F406" s="247" t="str">
        <f>IF(ISNUMBER(KPIs!W13),KPIs!W13,"")</f>
        <v/>
      </c>
      <c r="G406" s="247">
        <f>IF(ISNUMBER(KPIs!$C$13),KPIs!$C$13,"")</f>
        <v>1</v>
      </c>
      <c r="H406" s="199" t="str">
        <f>IFERROR(INDEX(_TARGETS!$E$2:$E$17,MATCH($C406,_TARGETS!$A$2:$A$17,0))&amp;"","")</f>
        <v>≥</v>
      </c>
      <c r="I406" s="199" t="str">
        <f t="shared" si="30"/>
        <v/>
      </c>
      <c r="J406" s="193" t="str">
        <f t="shared" si="31"/>
        <v>Monthly</v>
      </c>
      <c r="K406" s="248" t="str">
        <f>IF(COUNT(Datos!W28:W29)=0,"",SUM(Datos!W28:W29))</f>
        <v/>
      </c>
      <c r="L406" s="248">
        <f>Datos!W11</f>
        <v>0</v>
      </c>
      <c r="M406" s="193">
        <f>INDEX(_TARGETS!$J$2:$J$17,MATCH($C406,_TARGETS!$A$2:$A$17,0))</f>
        <v>1</v>
      </c>
      <c r="N406" s="193" t="str">
        <f>INDEX(_TARGETS!$D$2:$D$17,MATCH($C406,_TARGETS!$A$2:$A$17,0))</f>
        <v>obs / persona</v>
      </c>
      <c r="O406" s="193" t="str">
        <f>IF(NOT(ISNUMBER(F406)),"MISSING",IF((COUNTBLANK(Datos!W9)+COUNTBLANK(Datos!W10)+IF(COUNT(Datos!W28:W29)=0,1,0))&gt;0,"INCOMPLETE","OK"))</f>
        <v>MISSING</v>
      </c>
      <c r="P406" s="193" t="str">
        <f>INDEX(_TARGETS!$K$2:$K$17,MATCH($C406,_TARGETS!$A$2:$A$17,0))</f>
        <v>OPS (carga manual en Datos)</v>
      </c>
      <c r="Q406" s="193" t="str">
        <f t="shared" si="32"/>
        <v>202803|OBS|Monthly</v>
      </c>
      <c r="R406" s="193" t="str">
        <f>INDEX(_TARGETS!$H$2:$H$17,MATCH($C406,_TARGETS!$A$2:$A$17,0))</f>
        <v>PROVISORIA · referencia del subcontratista (OPS: 1 obs/persona); meta y población en definición</v>
      </c>
      <c r="S406" s="193" t="str">
        <f t="shared" si="33"/>
        <v/>
      </c>
      <c r="T406" s="193" t="str">
        <f t="shared" si="34"/>
        <v/>
      </c>
    </row>
    <row r="407" spans="1:20" ht="13.5" customHeight="1" x14ac:dyDescent="0.3">
      <c r="A407" s="245">
        <f>KPIs!$W$3</f>
        <v>46813</v>
      </c>
      <c r="B407" s="199" t="str">
        <f>KPIs!W$4</f>
        <v>Compresora</v>
      </c>
      <c r="C407" s="31" t="s">
        <v>71</v>
      </c>
      <c r="D407" s="199" t="str">
        <f>KPIs!$A$14</f>
        <v>7 · Investigaciones de accidentes: días promedio de cierre</v>
      </c>
      <c r="E407" s="31" t="s">
        <v>599</v>
      </c>
      <c r="F407" s="247" t="str">
        <f>IF(ISNUMBER(KPIs!W14),KPIs!W14,"")</f>
        <v/>
      </c>
      <c r="G407" s="247">
        <f>IF(ISNUMBER(KPIs!$C$14),KPIs!$C$14,"")</f>
        <v>20</v>
      </c>
      <c r="H407" s="199" t="str">
        <f>IFERROR(INDEX(_TARGETS!$E$2:$E$17,MATCH($C407,_TARGETS!$A$2:$A$17,0))&amp;"","")</f>
        <v>≤</v>
      </c>
      <c r="I407" s="199" t="str">
        <f t="shared" si="30"/>
        <v/>
      </c>
      <c r="J407" s="193" t="str">
        <f t="shared" si="31"/>
        <v>Monthly</v>
      </c>
      <c r="K407" s="248">
        <f>Datos!W31</f>
        <v>0</v>
      </c>
      <c r="L407" s="248">
        <f>Datos!W30</f>
        <v>0</v>
      </c>
      <c r="M407" s="193">
        <f>INDEX(_TARGETS!$J$2:$J$17,MATCH($C407,_TARGETS!$A$2:$A$17,0))</f>
        <v>1</v>
      </c>
      <c r="N407" s="193" t="str">
        <f>INDEX(_TARGETS!$D$2:$D$17,MATCH($C407,_TARGETS!$A$2:$A$17,0))</f>
        <v>días</v>
      </c>
      <c r="O407" s="193" t="str">
        <f>IF(NOT(ISNUMBER(F407)),"MISSING",IF((COUNTBLANK(Datos!W30)+COUNTBLANK(Datos!W31))&gt;0,"INCOMPLETE","OK"))</f>
        <v>MISSING</v>
      </c>
      <c r="P407" s="193" t="str">
        <f>INDEX(_TARGETS!$K$2:$K$17,MATCH($C407,_TARGETS!$A$2:$A$17,0))</f>
        <v>OPS (carga manual en Datos)</v>
      </c>
      <c r="Q407" s="193" t="str">
        <f t="shared" si="32"/>
        <v>202803|INV|Monthly</v>
      </c>
      <c r="R407" s="193" t="str">
        <f>INDEX(_TARGETS!$H$2:$H$17,MATCH($C407,_TARGETS!$A$2:$A$17,0))</f>
        <v>Definida</v>
      </c>
      <c r="S407" s="193" t="str">
        <f t="shared" si="33"/>
        <v/>
      </c>
      <c r="T407" s="193" t="str">
        <f t="shared" si="34"/>
        <v/>
      </c>
    </row>
    <row r="408" spans="1:20" ht="13.5" customHeight="1" x14ac:dyDescent="0.3">
      <c r="A408" s="245">
        <f>KPIs!$W$3</f>
        <v>46813</v>
      </c>
      <c r="B408" s="199" t="str">
        <f>KPIs!W$4</f>
        <v>Compresora</v>
      </c>
      <c r="C408" s="31" t="s">
        <v>76</v>
      </c>
      <c r="D408" s="199" t="str">
        <f>KPIs!$A$16</f>
        <v>8 · % de capacitación en seguridad</v>
      </c>
      <c r="E408" s="31" t="s">
        <v>599</v>
      </c>
      <c r="F408" s="247" t="str">
        <f>IF(ISNUMBER(KPIs!W16),KPIs!W16,"")</f>
        <v/>
      </c>
      <c r="G408" s="247">
        <f>IF(ISNUMBER(KPIs!$C$16),KPIs!$C$16,"")</f>
        <v>0.01</v>
      </c>
      <c r="H408" s="199" t="str">
        <f>IFERROR(INDEX(_TARGETS!$E$2:$E$17,MATCH($C408,_TARGETS!$A$2:$A$17,0))&amp;"","")</f>
        <v>≥</v>
      </c>
      <c r="I408" s="199" t="str">
        <f t="shared" si="30"/>
        <v/>
      </c>
      <c r="J408" s="193" t="str">
        <f t="shared" si="31"/>
        <v>Monthly</v>
      </c>
      <c r="K408" s="248">
        <f>Datos!W18</f>
        <v>0</v>
      </c>
      <c r="L408" s="248">
        <f>Datos!W14</f>
        <v>0</v>
      </c>
      <c r="M408" s="193">
        <f>INDEX(_TARGETS!$J$2:$J$17,MATCH($C408,_TARGETS!$A$2:$A$17,0))</f>
        <v>1</v>
      </c>
      <c r="N408" s="193" t="str">
        <f>INDEX(_TARGETS!$D$2:$D$17,MATCH($C408,_TARGETS!$A$2:$A$17,0))</f>
        <v>% (fracción)</v>
      </c>
      <c r="O408" s="193" t="str">
        <f>IF(NOT(ISNUMBER(F408)),"MISSING",IF((COUNTBLANK(Datos!W16)+COUNTBLANK(Datos!W17)+COUNTBLANK(Datos!W12)+COUNTBLANK(Datos!W13))&gt;0,"INCOMPLETE","OK"))</f>
        <v>MISSING</v>
      </c>
      <c r="P408" s="193" t="str">
        <f>INDEX(_TARGETS!$K$2:$K$17,MATCH($C408,_TARGETS!$A$2:$A$17,0))</f>
        <v>OPS (carga manual en Datos)</v>
      </c>
      <c r="Q408" s="193" t="str">
        <f t="shared" si="32"/>
        <v>202803|HCS|Monthly</v>
      </c>
      <c r="R408" s="193" t="str">
        <f>INDEX(_TARGETS!$H$2:$H$17,MATCH($C408,_TARGETS!$A$2:$A$17,0))</f>
        <v>Definida</v>
      </c>
      <c r="S408" s="193" t="str">
        <f t="shared" si="33"/>
        <v/>
      </c>
      <c r="T408" s="193" t="str">
        <f t="shared" si="34"/>
        <v/>
      </c>
    </row>
    <row r="409" spans="1:20" ht="13.5" customHeight="1" x14ac:dyDescent="0.3">
      <c r="A409" s="245">
        <f>KPIs!$W$3</f>
        <v>46813</v>
      </c>
      <c r="B409" s="199" t="str">
        <f>KPIs!W$4</f>
        <v>Compresora</v>
      </c>
      <c r="C409" s="31" t="s">
        <v>80</v>
      </c>
      <c r="D409" s="199" t="str">
        <f>KPIs!$A$17</f>
        <v>9 · Horas de capacitación por persona</v>
      </c>
      <c r="E409" s="31" t="s">
        <v>599</v>
      </c>
      <c r="F409" s="247" t="str">
        <f>IF(ISNUMBER(KPIs!W17),KPIs!W17,"")</f>
        <v/>
      </c>
      <c r="G409" s="247" t="str">
        <f>IF(ISNUMBER(KPIs!$C$17),KPIs!$C$17,"")</f>
        <v/>
      </c>
      <c r="H409" s="199" t="str">
        <f>IFERROR(INDEX(_TARGETS!$E$2:$E$17,MATCH($C409,_TARGETS!$A$2:$A$17,0))&amp;"","")</f>
        <v/>
      </c>
      <c r="I409" s="199" t="str">
        <f t="shared" si="30"/>
        <v/>
      </c>
      <c r="J409" s="193" t="str">
        <f t="shared" si="31"/>
        <v>Monthly</v>
      </c>
      <c r="K409" s="248">
        <f>Datos!W18</f>
        <v>0</v>
      </c>
      <c r="L409" s="248">
        <f>Datos!W11</f>
        <v>0</v>
      </c>
      <c r="M409" s="193">
        <f>INDEX(_TARGETS!$J$2:$J$17,MATCH($C409,_TARGETS!$A$2:$A$17,0))</f>
        <v>1</v>
      </c>
      <c r="N409" s="193" t="str">
        <f>INDEX(_TARGETS!$D$2:$D$17,MATCH($C409,_TARGETS!$A$2:$A$17,0))</f>
        <v>h / persona</v>
      </c>
      <c r="O409" s="193" t="str">
        <f>IF(NOT(ISNUMBER(F409)),"MISSING",IF((COUNTBLANK(Datos!W16)+COUNTBLANK(Datos!W17)+COUNTBLANK(Datos!W9)+COUNTBLANK(Datos!W10))&gt;0,"INCOMPLETE","OK"))</f>
        <v>MISSING</v>
      </c>
      <c r="P409" s="193" t="str">
        <f>INDEX(_TARGETS!$K$2:$K$17,MATCH($C409,_TARGETS!$A$2:$A$17,0))</f>
        <v>OPS (carga manual en Datos)</v>
      </c>
      <c r="Q409" s="193" t="str">
        <f t="shared" si="32"/>
        <v>202803|HCSA|Monthly</v>
      </c>
      <c r="R409" s="193" t="str">
        <f>INDEX(_TARGETS!$H$2:$H$17,MATCH($C409,_TARGETS!$A$2:$A$17,0))</f>
        <v>Solo reporte</v>
      </c>
      <c r="S409" s="193" t="str">
        <f t="shared" si="33"/>
        <v/>
      </c>
      <c r="T409" s="193" t="str">
        <f t="shared" si="34"/>
        <v/>
      </c>
    </row>
    <row r="410" spans="1:20" ht="13.5" customHeight="1" x14ac:dyDescent="0.3">
      <c r="A410" s="245">
        <f>KPIs!$W$3</f>
        <v>46813</v>
      </c>
      <c r="B410" s="199" t="str">
        <f>KPIs!W$4</f>
        <v>Compresora</v>
      </c>
      <c r="C410" s="31" t="s">
        <v>83</v>
      </c>
      <c r="D410" s="199" t="str">
        <f>KPIs!$A$18</f>
        <v>10 · Cumplimiento de simulacros (emergencia y operativos)</v>
      </c>
      <c r="E410" s="31" t="s">
        <v>599</v>
      </c>
      <c r="F410" s="247" t="str">
        <f>IF(ISNUMBER(KPIs!W18),KPIs!W18,"")</f>
        <v/>
      </c>
      <c r="G410" s="247">
        <f>IF(ISNUMBER(KPIs!$C$18),KPIs!$C$18,"")</f>
        <v>1</v>
      </c>
      <c r="H410" s="199" t="str">
        <f>IFERROR(INDEX(_TARGETS!$E$2:$E$17,MATCH($C410,_TARGETS!$A$2:$A$17,0))&amp;"","")</f>
        <v>≥</v>
      </c>
      <c r="I410" s="199" t="str">
        <f t="shared" si="30"/>
        <v/>
      </c>
      <c r="J410" s="193" t="str">
        <f t="shared" si="31"/>
        <v>Monthly</v>
      </c>
      <c r="K410" s="248">
        <f>Datos!W20</f>
        <v>0</v>
      </c>
      <c r="L410" s="248">
        <f>Datos!W21</f>
        <v>0</v>
      </c>
      <c r="M410" s="193">
        <f>INDEX(_TARGETS!$J$2:$J$17,MATCH($C410,_TARGETS!$A$2:$A$17,0))</f>
        <v>1</v>
      </c>
      <c r="N410" s="193" t="str">
        <f>INDEX(_TARGETS!$D$2:$D$17,MATCH($C410,_TARGETS!$A$2:$A$17,0))</f>
        <v>% (fracción)</v>
      </c>
      <c r="O410" s="193" t="str">
        <f>IF(NOT(ISNUMBER(F410)),"MISSING",IF((COUNTBLANK(Datos!W20)+COUNTBLANK(Datos!W21))&gt;0,"INCOMPLETE","OK"))</f>
        <v>MISSING</v>
      </c>
      <c r="P410" s="193" t="str">
        <f>INDEX(_TARGETS!$K$2:$K$17,MATCH($C410,_TARGETS!$A$2:$A$17,0))</f>
        <v>OPS (carga manual en Datos)</v>
      </c>
      <c r="Q410" s="193" t="str">
        <f t="shared" si="32"/>
        <v>202803|CPSE|Monthly</v>
      </c>
      <c r="R410" s="193" t="str">
        <f>INDEX(_TARGETS!$H$2:$H$17,MATCH($C410,_TARGETS!$A$2:$A$17,0))</f>
        <v>Definida</v>
      </c>
      <c r="S410" s="193" t="str">
        <f t="shared" si="33"/>
        <v/>
      </c>
      <c r="T410" s="193" t="str">
        <f t="shared" si="34"/>
        <v/>
      </c>
    </row>
    <row r="411" spans="1:20" ht="13.5" customHeight="1" x14ac:dyDescent="0.3">
      <c r="A411" s="245">
        <f>KPIs!$W$3</f>
        <v>46813</v>
      </c>
      <c r="B411" s="199" t="str">
        <f>KPIs!W$4</f>
        <v>Compresora</v>
      </c>
      <c r="C411" s="31" t="s">
        <v>85</v>
      </c>
      <c r="D411" s="199" t="str">
        <f>KPIs!$A$19</f>
        <v>10b · Cumplimiento de acciones de mejora de simulacros</v>
      </c>
      <c r="E411" s="31" t="s">
        <v>599</v>
      </c>
      <c r="F411" s="247" t="str">
        <f>IF(ISNUMBER(KPIs!W19),KPIs!W19,"")</f>
        <v/>
      </c>
      <c r="G411" s="247" t="str">
        <f>IF(ISNUMBER(KPIs!$C$19),KPIs!$C$19,"")</f>
        <v/>
      </c>
      <c r="H411" s="199" t="str">
        <f>IFERROR(INDEX(_TARGETS!$E$2:$E$17,MATCH($C411,_TARGETS!$A$2:$A$17,0))&amp;"","")</f>
        <v/>
      </c>
      <c r="I411" s="199" t="str">
        <f t="shared" si="30"/>
        <v/>
      </c>
      <c r="J411" s="193" t="str">
        <f t="shared" si="31"/>
        <v>Monthly</v>
      </c>
      <c r="K411" s="248">
        <f>Datos!W23</f>
        <v>0</v>
      </c>
      <c r="L411" s="248">
        <f>Datos!W22</f>
        <v>0</v>
      </c>
      <c r="M411" s="193">
        <f>INDEX(_TARGETS!$J$2:$J$17,MATCH($C411,_TARGETS!$A$2:$A$17,0))</f>
        <v>1</v>
      </c>
      <c r="N411" s="193" t="str">
        <f>INDEX(_TARGETS!$D$2:$D$17,MATCH($C411,_TARGETS!$A$2:$A$17,0))</f>
        <v>% (fracción)</v>
      </c>
      <c r="O411" s="193" t="str">
        <f>IF(NOT(ISNUMBER(F411)),"MISSING",IF((COUNTBLANK(Datos!W23)+COUNTBLANK(Datos!W22))&gt;0,"INCOMPLETE","OK"))</f>
        <v>MISSING</v>
      </c>
      <c r="P411" s="193" t="str">
        <f>INDEX(_TARGETS!$K$2:$K$17,MATCH($C411,_TARGETS!$A$2:$A$17,0))</f>
        <v>OPS (carga manual en Datos)</v>
      </c>
      <c r="Q411" s="193" t="str">
        <f t="shared" si="32"/>
        <v>202803|CAMS|Monthly</v>
      </c>
      <c r="R411" s="193" t="str">
        <f>INDEX(_TARGETS!$H$2:$H$17,MATCH($C411,_TARGETS!$A$2:$A$17,0))</f>
        <v>Solo reporte</v>
      </c>
      <c r="S411" s="193" t="str">
        <f t="shared" si="33"/>
        <v/>
      </c>
      <c r="T411" s="193" t="str">
        <f t="shared" si="34"/>
        <v/>
      </c>
    </row>
    <row r="412" spans="1:20" ht="13.5" customHeight="1" x14ac:dyDescent="0.3">
      <c r="A412" s="245">
        <f>KPIs!$W$3</f>
        <v>46813</v>
      </c>
      <c r="B412" s="199" t="str">
        <f>KPIs!W$4</f>
        <v>Compresora</v>
      </c>
      <c r="C412" s="31" t="s">
        <v>87</v>
      </c>
      <c r="D412" s="199" t="str">
        <f>KPIs!$A$21</f>
        <v>11 · Cumplimiento de caminatas gerenciales</v>
      </c>
      <c r="E412" s="31" t="s">
        <v>599</v>
      </c>
      <c r="F412" s="247" t="str">
        <f>IF(ISNUMBER(KPIs!W21),KPIs!W21,"")</f>
        <v/>
      </c>
      <c r="G412" s="247">
        <f>IF(ISNUMBER(KPIs!$C$21),KPIs!$C$21,"")</f>
        <v>1</v>
      </c>
      <c r="H412" s="199" t="str">
        <f>IFERROR(INDEX(_TARGETS!$E$2:$E$17,MATCH($C412,_TARGETS!$A$2:$A$17,0))&amp;"","")</f>
        <v>≥</v>
      </c>
      <c r="I412" s="199" t="str">
        <f t="shared" si="30"/>
        <v/>
      </c>
      <c r="J412" s="193" t="str">
        <f t="shared" si="31"/>
        <v>Monthly</v>
      </c>
      <c r="K412" s="248">
        <f>Datos!W24</f>
        <v>0</v>
      </c>
      <c r="L412" s="248">
        <f>Datos!W25</f>
        <v>0</v>
      </c>
      <c r="M412" s="193">
        <f>INDEX(_TARGETS!$J$2:$J$17,MATCH($C412,_TARGETS!$A$2:$A$17,0))</f>
        <v>1</v>
      </c>
      <c r="N412" s="193" t="str">
        <f>INDEX(_TARGETS!$D$2:$D$17,MATCH($C412,_TARGETS!$A$2:$A$17,0))</f>
        <v>% (fracción)</v>
      </c>
      <c r="O412" s="193" t="str">
        <f>IF(NOT(ISNUMBER(F412)),"MISSING",IF((COUNTBLANK(Datos!W24)+COUNTBLANK(Datos!W25))&gt;0,"INCOMPLETE","OK"))</f>
        <v>MISSING</v>
      </c>
      <c r="P412" s="193" t="str">
        <f>INDEX(_TARGETS!$K$2:$K$17,MATCH($C412,_TARGETS!$A$2:$A$17,0))</f>
        <v>OPS (carga manual en Datos)</v>
      </c>
      <c r="Q412" s="193" t="str">
        <f t="shared" si="32"/>
        <v>202803|ICCS|Monthly</v>
      </c>
      <c r="R412" s="193" t="str">
        <f>INDEX(_TARGETS!$H$2:$H$17,MATCH($C412,_TARGETS!$A$2:$A$17,0))</f>
        <v>Definida</v>
      </c>
      <c r="S412" s="193" t="str">
        <f t="shared" si="33"/>
        <v/>
      </c>
      <c r="T412" s="193" t="str">
        <f t="shared" si="34"/>
        <v/>
      </c>
    </row>
    <row r="413" spans="1:20" ht="13.5" customHeight="1" x14ac:dyDescent="0.3">
      <c r="A413" s="245">
        <f>KPIs!$W$3</f>
        <v>46813</v>
      </c>
      <c r="B413" s="199" t="str">
        <f>KPIs!W$4</f>
        <v>Compresora</v>
      </c>
      <c r="C413" s="31" t="s">
        <v>89</v>
      </c>
      <c r="D413" s="199" t="str">
        <f>KPIs!$A$22</f>
        <v>12 · Cumplimiento de comités y subcomités de seguridad</v>
      </c>
      <c r="E413" s="31" t="s">
        <v>599</v>
      </c>
      <c r="F413" s="247" t="str">
        <f>IF(ISNUMBER(KPIs!W22),KPIs!W22,"")</f>
        <v/>
      </c>
      <c r="G413" s="247">
        <f>IF(ISNUMBER(KPIs!$C$22),KPIs!$C$22,"")</f>
        <v>1</v>
      </c>
      <c r="H413" s="199" t="str">
        <f>IFERROR(INDEX(_TARGETS!$E$2:$E$17,MATCH($C413,_TARGETS!$A$2:$A$17,0))&amp;"","")</f>
        <v>≥</v>
      </c>
      <c r="I413" s="199" t="str">
        <f t="shared" si="30"/>
        <v/>
      </c>
      <c r="J413" s="193" t="str">
        <f t="shared" si="31"/>
        <v>Monthly</v>
      </c>
      <c r="K413" s="248">
        <f>Datos!W26</f>
        <v>0</v>
      </c>
      <c r="L413" s="248">
        <f>Datos!W27</f>
        <v>0</v>
      </c>
      <c r="M413" s="193">
        <f>INDEX(_TARGETS!$J$2:$J$17,MATCH($C413,_TARGETS!$A$2:$A$17,0))</f>
        <v>1</v>
      </c>
      <c r="N413" s="193" t="str">
        <f>INDEX(_TARGETS!$D$2:$D$17,MATCH($C413,_TARGETS!$A$2:$A$17,0))</f>
        <v>% (fracción)</v>
      </c>
      <c r="O413" s="193" t="str">
        <f>IF(NOT(ISNUMBER(F413)),"MISSING",IF((COUNTBLANK(Datos!W26)+COUNTBLANK(Datos!W27))&gt;0,"INCOMPLETE","OK"))</f>
        <v>MISSING</v>
      </c>
      <c r="P413" s="193" t="str">
        <f>INDEX(_TARGETS!$K$2:$K$17,MATCH($C413,_TARGETS!$A$2:$A$17,0))</f>
        <v>OPS (carga manual en Datos)</v>
      </c>
      <c r="Q413" s="193" t="str">
        <f t="shared" si="32"/>
        <v>202803|CCS|Monthly</v>
      </c>
      <c r="R413" s="193" t="str">
        <f>INDEX(_TARGETS!$H$2:$H$17,MATCH($C413,_TARGETS!$A$2:$A$17,0))</f>
        <v>Definida</v>
      </c>
      <c r="S413" s="193" t="str">
        <f t="shared" si="33"/>
        <v/>
      </c>
      <c r="T413" s="193" t="str">
        <f t="shared" si="34"/>
        <v/>
      </c>
    </row>
    <row r="414" spans="1:20" ht="13.5" customHeight="1" x14ac:dyDescent="0.3">
      <c r="A414" s="245">
        <f>KPIs!$W$3</f>
        <v>46813</v>
      </c>
      <c r="B414" s="199" t="str">
        <f>KPIs!W$4</f>
        <v>Compresora</v>
      </c>
      <c r="C414" s="31" t="s">
        <v>91</v>
      </c>
      <c r="D414" s="199" t="str">
        <f>KPIs!$A$23</f>
        <v>13 · Días promedio para cerrar hallazgos</v>
      </c>
      <c r="E414" s="31" t="s">
        <v>599</v>
      </c>
      <c r="F414" s="247" t="str">
        <f>IF(ISNUMBER(KPIs!W23),KPIs!W23,"")</f>
        <v/>
      </c>
      <c r="G414" s="247" t="str">
        <f>IF(ISNUMBER(KPIs!$C$23),KPIs!$C$23,"")</f>
        <v/>
      </c>
      <c r="H414" s="199" t="str">
        <f>IFERROR(INDEX(_TARGETS!$E$2:$E$17,MATCH($C414,_TARGETS!$A$2:$A$17,0))&amp;"","")</f>
        <v>≤</v>
      </c>
      <c r="I414" s="199" t="str">
        <f t="shared" si="30"/>
        <v/>
      </c>
      <c r="J414" s="193" t="str">
        <f t="shared" si="31"/>
        <v>Monthly</v>
      </c>
      <c r="K414" s="248">
        <f>Datos!W68</f>
        <v>0</v>
      </c>
      <c r="L414" s="248">
        <f>Datos!W67</f>
        <v>0</v>
      </c>
      <c r="M414" s="193">
        <f>INDEX(_TARGETS!$J$2:$J$17,MATCH($C414,_TARGETS!$A$2:$A$17,0))</f>
        <v>1</v>
      </c>
      <c r="N414" s="193" t="str">
        <f>INDEX(_TARGETS!$D$2:$D$17,MATCH($C414,_TARGETS!$A$2:$A$17,0))</f>
        <v>días</v>
      </c>
      <c r="O414" s="193" t="str">
        <f>IF(NOT(ISNUMBER(F414)),"MISSING","OK")</f>
        <v>MISSING</v>
      </c>
      <c r="P414" s="193" t="str">
        <f>INDEX(_TARGETS!$K$2:$K$17,MATCH($C414,_TARGETS!$A$2:$A$17,0))</f>
        <v>Plant Findings (hoja Observaciones-SMP)</v>
      </c>
      <c r="Q414" s="193" t="str">
        <f t="shared" si="32"/>
        <v>202803|DPAS|Monthly</v>
      </c>
      <c r="R414" s="193" t="str">
        <f>INDEX(_TARGETS!$H$2:$H$17,MATCH($C414,_TARGETS!$A$2:$A$17,0))</f>
        <v>Pendiente (meta 2027)</v>
      </c>
      <c r="S414" s="193" t="str">
        <f t="shared" si="33"/>
        <v/>
      </c>
      <c r="T414" s="193" t="str">
        <f t="shared" si="34"/>
        <v/>
      </c>
    </row>
    <row r="415" spans="1:20" ht="13.5" customHeight="1" x14ac:dyDescent="0.3">
      <c r="A415" s="245">
        <f>KPIs!$W$3</f>
        <v>46813</v>
      </c>
      <c r="B415" s="199" t="str">
        <f>KPIs!W$4</f>
        <v>Compresora</v>
      </c>
      <c r="C415" s="31" t="s">
        <v>39</v>
      </c>
      <c r="D415" s="199" t="str">
        <f>KPIs!$A$26</f>
        <v>1 · Frecuencia de casos con días perdidos · ACUMULADO</v>
      </c>
      <c r="E415" s="31" t="s">
        <v>600</v>
      </c>
      <c r="F415" s="247" t="str">
        <f>IF(ISNUMBER(KPIs!W26),KPIs!W26,"")</f>
        <v/>
      </c>
      <c r="G415" s="247">
        <f>IF(ISNUMBER(KPIs!$C$26),KPIs!$C$26,"")</f>
        <v>0</v>
      </c>
      <c r="H415" s="199" t="str">
        <f>IFERROR(INDEX(_TARGETS!$E$2:$E$17,MATCH($C415,_TARGETS!$A$2:$A$17,0))&amp;"","")</f>
        <v>≤</v>
      </c>
      <c r="I415" s="199" t="str">
        <f t="shared" si="30"/>
        <v/>
      </c>
      <c r="J415" s="193" t="str">
        <f t="shared" si="31"/>
        <v>Cumulative</v>
      </c>
      <c r="K415" s="193">
        <f>SUM(Datos!$D33:W33)</f>
        <v>0</v>
      </c>
      <c r="L415" s="193">
        <f>SUM(Datos!$D14:W14)</f>
        <v>48332</v>
      </c>
      <c r="M415" s="193">
        <f>INDEX(_TARGETS!$J$2:$J$17,MATCH($C415,_TARGETS!$A$2:$A$17,0))</f>
        <v>1000000</v>
      </c>
      <c r="N415" s="193" t="str">
        <f>INDEX(_TARGETS!$D$2:$D$17,MATCH($C415,_TARGETS!$A$2:$A$17,0))</f>
        <v>casos / 10^6 HH</v>
      </c>
      <c r="O415" s="193" t="str">
        <f>IF(NOT(ISNUMBER(F415)),IF(SUMPRODUCT(($C$2:$C$1300=C415)*($J$2:$J$1300="Monthly")*($A$2:$A$1300&lt;=A415)*ISNUMBER($K$2:$K$1300)*ISNUMBER($L$2:$L$1300)*($L$2:$L$1300=0)*($K$2:$K$1300&gt;0))&gt;0,"INCOMPLETE","MISSING"),O401)</f>
        <v>MISSING</v>
      </c>
      <c r="P415" s="193" t="str">
        <f>INDEX(_TARGETS!$K$2:$K$17,MATCH($C415,_TARGETS!$A$2:$A$17,0))</f>
        <v>OPS (carga manual en Datos)</v>
      </c>
      <c r="Q415" s="193" t="str">
        <f t="shared" si="32"/>
        <v>202803|DAFWCF|Cumulative</v>
      </c>
      <c r="R415" s="193" t="str">
        <f>INDEX(_TARGETS!$H$2:$H$17,MATCH($C415,_TARGETS!$A$2:$A$17,0))</f>
        <v>Definida</v>
      </c>
      <c r="S415" s="193">
        <f t="shared" si="33"/>
        <v>0</v>
      </c>
      <c r="T415" s="193" t="str">
        <f t="shared" si="34"/>
        <v/>
      </c>
    </row>
    <row r="416" spans="1:20" ht="13.5" customHeight="1" x14ac:dyDescent="0.3">
      <c r="A416" s="245">
        <f>KPIs!$W$3</f>
        <v>46813</v>
      </c>
      <c r="B416" s="199" t="str">
        <f>KPIs!W$4</f>
        <v>Compresora</v>
      </c>
      <c r="C416" s="31" t="s">
        <v>49</v>
      </c>
      <c r="D416" s="199" t="str">
        <f>KPIs!$A$27</f>
        <v>2 · Frecuencia de casos registrables · ACUMULADO</v>
      </c>
      <c r="E416" s="31" t="s">
        <v>600</v>
      </c>
      <c r="F416" s="247" t="str">
        <f>IF(ISNUMBER(KPIs!W27),KPIs!W27,"")</f>
        <v/>
      </c>
      <c r="G416" s="247">
        <f>IF(ISNUMBER(KPIs!$C$27),KPIs!$C$27,"")</f>
        <v>2.35</v>
      </c>
      <c r="H416" s="199" t="str">
        <f>IFERROR(INDEX(_TARGETS!$E$2:$E$17,MATCH($C416,_TARGETS!$A$2:$A$17,0))&amp;"","")</f>
        <v>≤</v>
      </c>
      <c r="I416" s="199" t="str">
        <f t="shared" si="30"/>
        <v/>
      </c>
      <c r="J416" s="193" t="str">
        <f t="shared" si="31"/>
        <v>Cumulative</v>
      </c>
      <c r="K416" s="193">
        <f>SUM(Datos!$D33:W33)+SUM(Datos!$D34:W34)+SUM(Datos!$D35:W35)+SUM(Datos!$D36:W36)</f>
        <v>0</v>
      </c>
      <c r="L416" s="193">
        <f>SUM(Datos!$D14:W14)</f>
        <v>48332</v>
      </c>
      <c r="M416" s="193">
        <f>INDEX(_TARGETS!$J$2:$J$17,MATCH($C416,_TARGETS!$A$2:$A$17,0))</f>
        <v>1000000</v>
      </c>
      <c r="N416" s="193" t="str">
        <f>INDEX(_TARGETS!$D$2:$D$17,MATCH($C416,_TARGETS!$A$2:$A$17,0))</f>
        <v>casos / 10^6 HH</v>
      </c>
      <c r="O416" s="193" t="str">
        <f>IF(NOT(ISNUMBER(F416)),IF(SUMPRODUCT(($C$2:$C$1300=C416)*($J$2:$J$1300="Monthly")*($A$2:$A$1300&lt;=A416)*ISNUMBER($K$2:$K$1300)*ISNUMBER($L$2:$L$1300)*($L$2:$L$1300=0)*($K$2:$K$1300&gt;0))&gt;0,"INCOMPLETE","MISSING"),O402)</f>
        <v>MISSING</v>
      </c>
      <c r="P416" s="193" t="str">
        <f>INDEX(_TARGETS!$K$2:$K$17,MATCH($C416,_TARGETS!$A$2:$A$17,0))</f>
        <v>OPS (carga manual en Datos)</v>
      </c>
      <c r="Q416" s="193" t="str">
        <f t="shared" si="32"/>
        <v>202803|TRICF|Cumulative</v>
      </c>
      <c r="R416" s="193" t="str">
        <f>INDEX(_TARGETS!$H$2:$H$17,MATCH($C416,_TARGETS!$A$2:$A$17,0))</f>
        <v>Definida</v>
      </c>
      <c r="S416" s="193">
        <f t="shared" si="33"/>
        <v>0</v>
      </c>
      <c r="T416" s="193" t="str">
        <f t="shared" si="34"/>
        <v/>
      </c>
    </row>
    <row r="417" spans="1:20" ht="13.5" customHeight="1" x14ac:dyDescent="0.3">
      <c r="A417" s="245">
        <f>KPIs!$W$3</f>
        <v>46813</v>
      </c>
      <c r="B417" s="199" t="str">
        <f>KPIs!W$4</f>
        <v>Compresora</v>
      </c>
      <c r="C417" s="31" t="s">
        <v>51</v>
      </c>
      <c r="D417" s="199" t="str">
        <f>KPIs!$A$28</f>
        <v>3 · Casos de primeros auxilios · ACUMULADO</v>
      </c>
      <c r="E417" s="31" t="s">
        <v>600</v>
      </c>
      <c r="F417" s="247" t="str">
        <f>IF(ISNUMBER(KPIs!W28),KPIs!W28,"")</f>
        <v/>
      </c>
      <c r="G417" s="247" t="str">
        <f>IF(ISNUMBER(KPIs!$C$28),KPIs!$C$28,"")</f>
        <v/>
      </c>
      <c r="H417" s="199" t="str">
        <f>IFERROR(INDEX(_TARGETS!$E$2:$E$17,MATCH($C417,_TARGETS!$A$2:$A$17,0))&amp;"","")</f>
        <v/>
      </c>
      <c r="I417" s="199" t="str">
        <f t="shared" si="30"/>
        <v/>
      </c>
      <c r="J417" s="193" t="str">
        <f t="shared" si="31"/>
        <v>Cumulative</v>
      </c>
      <c r="K417" s="193">
        <f>SUM(Datos!$D37:W37)</f>
        <v>0</v>
      </c>
      <c r="M417" s="193">
        <f>INDEX(_TARGETS!$J$2:$J$17,MATCH($C417,_TARGETS!$A$2:$A$17,0))</f>
        <v>1</v>
      </c>
      <c r="N417" s="193" t="str">
        <f>INDEX(_TARGETS!$D$2:$D$17,MATCH($C417,_TARGETS!$A$2:$A$17,0))</f>
        <v>casos</v>
      </c>
      <c r="O417" s="193" t="str">
        <f>IF(NOT(ISNUMBER(F417)),IF(SUMPRODUCT(($C$2:$C$1300=C417)*($J$2:$J$1300="Monthly")*($A$2:$A$1300&lt;=A417)*ISNUMBER($K$2:$K$1300)*ISNUMBER($L$2:$L$1300)*($L$2:$L$1300=0)*($K$2:$K$1300&gt;0))&gt;0,"INCOMPLETE","MISSING"),O403)</f>
        <v>MISSING</v>
      </c>
      <c r="P417" s="193" t="str">
        <f>INDEX(_TARGETS!$K$2:$K$17,MATCH($C417,_TARGETS!$A$2:$A$17,0))</f>
        <v>OPS (carga manual en Datos)</v>
      </c>
      <c r="Q417" s="193" t="str">
        <f t="shared" si="32"/>
        <v>202803|FAC|Cumulative</v>
      </c>
      <c r="R417" s="193" t="str">
        <f>INDEX(_TARGETS!$H$2:$H$17,MATCH($C417,_TARGETS!$A$2:$A$17,0))</f>
        <v>Solo reporte</v>
      </c>
      <c r="S417" s="193">
        <f t="shared" si="33"/>
        <v>0</v>
      </c>
      <c r="T417" s="193" t="str">
        <f t="shared" si="34"/>
        <v/>
      </c>
    </row>
    <row r="418" spans="1:20" ht="13.5" customHeight="1" x14ac:dyDescent="0.3">
      <c r="A418" s="245">
        <f>KPIs!$W$3</f>
        <v>46813</v>
      </c>
      <c r="B418" s="199" t="str">
        <f>KPIs!W$4</f>
        <v>Compresora</v>
      </c>
      <c r="C418" s="31" t="s">
        <v>57</v>
      </c>
      <c r="D418" s="199" t="str">
        <f>KPIs!$A$29</f>
        <v>4 · Accidentes vehiculares severos · ACUMULADO</v>
      </c>
      <c r="E418" s="31" t="s">
        <v>600</v>
      </c>
      <c r="F418" s="247" t="str">
        <f>IF(ISNUMBER(KPIs!W29),KPIs!W29,"")</f>
        <v/>
      </c>
      <c r="G418" s="247" t="str">
        <f>IF(ISNUMBER(KPIs!$C$29),KPIs!$C$29,"")</f>
        <v/>
      </c>
      <c r="H418" s="199" t="str">
        <f>IFERROR(INDEX(_TARGETS!$E$2:$E$17,MATCH($C418,_TARGETS!$A$2:$A$17,0))&amp;"","")</f>
        <v/>
      </c>
      <c r="I418" s="199" t="str">
        <f t="shared" si="30"/>
        <v/>
      </c>
      <c r="J418" s="193" t="str">
        <f t="shared" si="31"/>
        <v>Cumulative</v>
      </c>
      <c r="K418" s="193">
        <f>SUM(Datos!$D39:W39)+SUM(Datos!$D40:W40)+SUM(Datos!$D41:W41)</f>
        <v>0</v>
      </c>
      <c r="L418" s="193">
        <f>SUM(Datos!$D47:W47)</f>
        <v>172824</v>
      </c>
      <c r="M418" s="193">
        <f>INDEX(_TARGETS!$J$2:$J$17,MATCH($C418,_TARGETS!$A$2:$A$17,0))</f>
        <v>1000000</v>
      </c>
      <c r="N418" s="193" t="str">
        <f>INDEX(_TARGETS!$D$2:$D$17,MATCH($C418,_TARGETS!$A$2:$A$17,0))</f>
        <v>eventos / 10^6 km</v>
      </c>
      <c r="O418" s="193" t="str">
        <f>IF(NOT(ISNUMBER(F418)),IF(SUMPRODUCT(($C$2:$C$1300=C418)*($J$2:$J$1300="Monthly")*($A$2:$A$1300&lt;=A418)*ISNUMBER($K$2:$K$1300)*ISNUMBER($L$2:$L$1300)*($L$2:$L$1300=0)*($K$2:$K$1300&gt;0))&gt;0,"INCOMPLETE","MISSING"),O404)</f>
        <v>MISSING</v>
      </c>
      <c r="P418" s="193" t="str">
        <f>INDEX(_TARGETS!$K$2:$K$17,MATCH($C418,_TARGETS!$A$2:$A$17,0))</f>
        <v>OPS (eventos) + Full Control GPS (km) - carga manual en Datos</v>
      </c>
      <c r="Q418" s="193" t="str">
        <f t="shared" si="32"/>
        <v>202803|SVCR|Cumulative</v>
      </c>
      <c r="R418" s="193" t="str">
        <f>INDEX(_TARGETS!$H$2:$H$17,MATCH($C418,_TARGETS!$A$2:$A$17,0))</f>
        <v>Solo reporte</v>
      </c>
      <c r="S418" s="193">
        <f t="shared" si="33"/>
        <v>0</v>
      </c>
      <c r="T418" s="193" t="str">
        <f t="shared" si="34"/>
        <v/>
      </c>
    </row>
    <row r="419" spans="1:20" ht="13.5" customHeight="1" x14ac:dyDescent="0.3">
      <c r="A419" s="245">
        <f>KPIs!$W$3</f>
        <v>46813</v>
      </c>
      <c r="B419" s="199" t="str">
        <f>KPIs!W$4</f>
        <v>Compresora</v>
      </c>
      <c r="C419" s="31" t="s">
        <v>61</v>
      </c>
      <c r="D419" s="199" t="str">
        <f>KPIs!$A$30</f>
        <v>5 · Accidentes vehiculares totales · ACUMULADO</v>
      </c>
      <c r="E419" s="31" t="s">
        <v>600</v>
      </c>
      <c r="F419" s="247" t="str">
        <f>IF(ISNUMBER(KPIs!W30),KPIs!W30,"")</f>
        <v/>
      </c>
      <c r="G419" s="247">
        <f>IF(ISNUMBER(KPIs!$C$30),KPIs!$C$30,"")</f>
        <v>0.79</v>
      </c>
      <c r="H419" s="199" t="str">
        <f>IFERROR(INDEX(_TARGETS!$E$2:$E$17,MATCH($C419,_TARGETS!$A$2:$A$17,0))&amp;"","")</f>
        <v>≤</v>
      </c>
      <c r="I419" s="199" t="str">
        <f t="shared" si="30"/>
        <v/>
      </c>
      <c r="J419" s="193" t="str">
        <f t="shared" si="31"/>
        <v>Cumulative</v>
      </c>
      <c r="K419" s="193">
        <f>SUM(Datos!$D39:W39)+SUM(Datos!$D40:W40)+SUM(Datos!$D41:W41)+SUM(Datos!$D42:W42)</f>
        <v>0</v>
      </c>
      <c r="L419" s="193">
        <f>SUM(Datos!$D47:W47)</f>
        <v>172824</v>
      </c>
      <c r="M419" s="193">
        <f>INDEX(_TARGETS!$J$2:$J$17,MATCH($C419,_TARGETS!$A$2:$A$17,0))</f>
        <v>1000000</v>
      </c>
      <c r="N419" s="193" t="str">
        <f>INDEX(_TARGETS!$D$2:$D$17,MATCH($C419,_TARGETS!$A$2:$A$17,0))</f>
        <v>eventos / 10^6 km</v>
      </c>
      <c r="O419" s="193" t="str">
        <f>IF(NOT(ISNUMBER(F419)),IF(SUMPRODUCT(($C$2:$C$1300=C419)*($J$2:$J$1300="Monthly")*($A$2:$A$1300&lt;=A419)*ISNUMBER($K$2:$K$1300)*ISNUMBER($L$2:$L$1300)*($L$2:$L$1300=0)*($K$2:$K$1300&gt;0))&gt;0,"INCOMPLETE","MISSING"),O405)</f>
        <v>MISSING</v>
      </c>
      <c r="P419" s="193" t="str">
        <f>INDEX(_TARGETS!$K$2:$K$17,MATCH($C419,_TARGETS!$A$2:$A$17,0))</f>
        <v>OPS (eventos) + Full Control GPS (km) - carga manual en Datos</v>
      </c>
      <c r="Q419" s="193" t="str">
        <f t="shared" si="32"/>
        <v>202803|TVCR|Cumulative</v>
      </c>
      <c r="R419" s="193" t="str">
        <f>INDEX(_TARGETS!$H$2:$H$17,MATCH($C419,_TARGETS!$A$2:$A$17,0))</f>
        <v>Definida</v>
      </c>
      <c r="S419" s="193">
        <f t="shared" si="33"/>
        <v>0</v>
      </c>
      <c r="T419" s="193" t="str">
        <f t="shared" si="34"/>
        <v/>
      </c>
    </row>
    <row r="420" spans="1:20" ht="13.5" customHeight="1" x14ac:dyDescent="0.3">
      <c r="A420" s="245">
        <f>KPIs!$W$3</f>
        <v>46813</v>
      </c>
      <c r="B420" s="199" t="str">
        <f>KPIs!W$4</f>
        <v>Compresora</v>
      </c>
      <c r="C420" s="31" t="s">
        <v>96</v>
      </c>
      <c r="D420" s="199" t="str">
        <f>KPIs!$A$33</f>
        <v>C1 · % de desvíos detectados de gravedad Alta</v>
      </c>
      <c r="E420" s="31" t="s">
        <v>599</v>
      </c>
      <c r="F420" s="247" t="str">
        <f>IF(ISNUMBER(KPIs!W33),KPIs!W33,"")</f>
        <v/>
      </c>
      <c r="G420" s="247" t="str">
        <f>IF(ISNUMBER(KPIs!$C$33),KPIs!$C$33,"")</f>
        <v/>
      </c>
      <c r="H420" s="199" t="str">
        <f>IFERROR(INDEX(_TARGETS!$E$2:$E$17,MATCH($C420,_TARGETS!$A$2:$A$17,0))&amp;"","")</f>
        <v/>
      </c>
      <c r="I420" s="199" t="str">
        <f t="shared" si="30"/>
        <v/>
      </c>
      <c r="J420" s="193" t="str">
        <f t="shared" si="31"/>
        <v>Monthly</v>
      </c>
      <c r="K420" s="248">
        <f>Datos!W71</f>
        <v>0</v>
      </c>
      <c r="L420" s="193">
        <f>Datos!W71+Datos!W72+Datos!W73</f>
        <v>0</v>
      </c>
      <c r="M420" s="193">
        <f>INDEX(_TARGETS!$J$2:$J$17,MATCH($C420,_TARGETS!$A$2:$A$17,0))</f>
        <v>1</v>
      </c>
      <c r="N420" s="193" t="str">
        <f>INDEX(_TARGETS!$D$2:$D$17,MATCH($C420,_TARGETS!$A$2:$A$17,0))</f>
        <v>% (fracción)</v>
      </c>
      <c r="O420" s="193" t="str">
        <f>IF(NOT(ISNUMBER(F420)),"MISSING","OK")</f>
        <v>MISSING</v>
      </c>
      <c r="P420" s="193" t="str">
        <f>INDEX(_TARGETS!$K$2:$K$17,MATCH($C420,_TARGETS!$A$2:$A$17,0))</f>
        <v>Plant Findings (hoja Observaciones-SMP)</v>
      </c>
      <c r="Q420" s="193" t="str">
        <f t="shared" si="32"/>
        <v>202803|HAL_ALTA_PCT|Monthly</v>
      </c>
      <c r="R420" s="193" t="str">
        <f>INDEX(_TARGETS!$H$2:$H$17,MATCH($C420,_TARGETS!$A$2:$A$17,0))</f>
        <v>Solo reporte</v>
      </c>
      <c r="S420" s="193" t="str">
        <f t="shared" si="33"/>
        <v/>
      </c>
      <c r="T420" s="193" t="str">
        <f t="shared" si="34"/>
        <v/>
      </c>
    </row>
    <row r="421" spans="1:20" ht="13.5" customHeight="1" x14ac:dyDescent="0.3">
      <c r="A421" s="245">
        <f>KPIs!$W$3</f>
        <v>46813</v>
      </c>
      <c r="B421" s="199" t="str">
        <f>KPIs!W$4</f>
        <v>Compresora</v>
      </c>
      <c r="C421" s="31" t="s">
        <v>98</v>
      </c>
      <c r="D421" s="199" t="str">
        <f>KPIs!$A$34</f>
        <v>C2 · Detenciones de tareas aplicadas</v>
      </c>
      <c r="E421" s="31" t="s">
        <v>599</v>
      </c>
      <c r="F421" s="247" t="str">
        <f>IF(ISNUMBER(KPIs!W34),KPIs!W34,"")</f>
        <v/>
      </c>
      <c r="G421" s="247" t="str">
        <f>IF(ISNUMBER(KPIs!$C$34),KPIs!$C$34,"")</f>
        <v/>
      </c>
      <c r="H421" s="199" t="str">
        <f>IFERROR(INDEX(_TARGETS!$E$2:$E$17,MATCH($C421,_TARGETS!$A$2:$A$17,0))&amp;"","")</f>
        <v/>
      </c>
      <c r="I421" s="199" t="str">
        <f t="shared" si="30"/>
        <v/>
      </c>
      <c r="J421" s="193" t="str">
        <f t="shared" si="31"/>
        <v>Monthly</v>
      </c>
      <c r="K421" s="248">
        <f>Datos!W75</f>
        <v>0</v>
      </c>
      <c r="M421" s="193">
        <f>INDEX(_TARGETS!$J$2:$J$17,MATCH($C421,_TARGETS!$A$2:$A$17,0))</f>
        <v>1</v>
      </c>
      <c r="N421" s="193" t="str">
        <f>INDEX(_TARGETS!$D$2:$D$17,MATCH($C421,_TARGETS!$A$2:$A$17,0))</f>
        <v>u</v>
      </c>
      <c r="O421" s="193" t="str">
        <f>IF(NOT(ISNUMBER(F421)),"MISSING","OK")</f>
        <v>MISSING</v>
      </c>
      <c r="P421" s="193" t="str">
        <f>INDEX(_TARGETS!$K$2:$K$17,MATCH($C421,_TARGETS!$A$2:$A$17,0))</f>
        <v>Plant Findings (hoja Observaciones-SMP)</v>
      </c>
      <c r="Q421" s="193" t="str">
        <f t="shared" si="32"/>
        <v>202803|DET|Monthly</v>
      </c>
      <c r="R421" s="193" t="str">
        <f>INDEX(_TARGETS!$H$2:$H$17,MATCH($C421,_TARGETS!$A$2:$A$17,0))</f>
        <v>Solo reporte</v>
      </c>
      <c r="S421" s="193" t="str">
        <f t="shared" si="33"/>
        <v/>
      </c>
      <c r="T421" s="193" t="str">
        <f t="shared" si="34"/>
        <v/>
      </c>
    </row>
    <row r="422" spans="1:20" ht="13.5" customHeight="1" x14ac:dyDescent="0.3">
      <c r="A422" s="245">
        <f>KPIs!$X$3</f>
        <v>46844</v>
      </c>
      <c r="B422" s="199" t="str">
        <f>KPIs!X$4</f>
        <v>Compresora</v>
      </c>
      <c r="C422" s="31" t="s">
        <v>39</v>
      </c>
      <c r="D422" s="199" t="str">
        <f>KPIs!$A$6</f>
        <v>1 · Frecuencia de casos con días perdidos</v>
      </c>
      <c r="E422" s="31" t="s">
        <v>599</v>
      </c>
      <c r="F422" s="247" t="str">
        <f>IF(ISNUMBER(KPIs!X6),KPIs!X6,"")</f>
        <v/>
      </c>
      <c r="G422" s="247">
        <f>IF(ISNUMBER(KPIs!$C$6),KPIs!$C$6,"")</f>
        <v>0</v>
      </c>
      <c r="H422" s="199" t="str">
        <f>IFERROR(INDEX(_TARGETS!$E$2:$E$17,MATCH($C422,_TARGETS!$A$2:$A$17,0))&amp;"","")</f>
        <v>≤</v>
      </c>
      <c r="I422" s="199" t="str">
        <f t="shared" si="30"/>
        <v/>
      </c>
      <c r="J422" s="193" t="str">
        <f t="shared" si="31"/>
        <v>Monthly</v>
      </c>
      <c r="K422" s="248">
        <f>Datos!X33</f>
        <v>0</v>
      </c>
      <c r="L422" s="248">
        <f>Datos!X14</f>
        <v>0</v>
      </c>
      <c r="M422" s="193">
        <f>INDEX(_TARGETS!$J$2:$J$17,MATCH($C422,_TARGETS!$A$2:$A$17,0))</f>
        <v>1000000</v>
      </c>
      <c r="N422" s="193" t="str">
        <f>INDEX(_TARGETS!$D$2:$D$17,MATCH($C422,_TARGETS!$A$2:$A$17,0))</f>
        <v>casos / 10^6 HH</v>
      </c>
      <c r="O422" s="193" t="str">
        <f>IF(NOT(ISNUMBER(F422)),"MISSING",IF((COUNTBLANK(Datos!X12)+COUNTBLANK(Datos!X13)+COUNTBLANK(Datos!X33))&gt;0,"INCOMPLETE","OK"))</f>
        <v>MISSING</v>
      </c>
      <c r="P422" s="193" t="str">
        <f>INDEX(_TARGETS!$K$2:$K$17,MATCH($C422,_TARGETS!$A$2:$A$17,0))</f>
        <v>OPS (carga manual en Datos)</v>
      </c>
      <c r="Q422" s="193" t="str">
        <f t="shared" si="32"/>
        <v>202804|DAFWCF|Monthly</v>
      </c>
      <c r="R422" s="193" t="str">
        <f>INDEX(_TARGETS!$H$2:$H$17,MATCH($C422,_TARGETS!$A$2:$A$17,0))</f>
        <v>Definida</v>
      </c>
      <c r="S422" s="193" t="str">
        <f t="shared" si="33"/>
        <v/>
      </c>
      <c r="T422" s="193" t="str">
        <f t="shared" si="34"/>
        <v/>
      </c>
    </row>
    <row r="423" spans="1:20" ht="13.5" customHeight="1" x14ac:dyDescent="0.3">
      <c r="A423" s="245">
        <f>KPIs!$X$3</f>
        <v>46844</v>
      </c>
      <c r="B423" s="199" t="str">
        <f>KPIs!X$4</f>
        <v>Compresora</v>
      </c>
      <c r="C423" s="31" t="s">
        <v>49</v>
      </c>
      <c r="D423" s="199" t="str">
        <f>KPIs!$A$7</f>
        <v>2 · Frecuencia de casos registrables</v>
      </c>
      <c r="E423" s="31" t="s">
        <v>599</v>
      </c>
      <c r="F423" s="247" t="str">
        <f>IF(ISNUMBER(KPIs!X7),KPIs!X7,"")</f>
        <v/>
      </c>
      <c r="G423" s="247">
        <f>IF(ISNUMBER(KPIs!$C$7),KPIs!$C$7,"")</f>
        <v>2.35</v>
      </c>
      <c r="H423" s="199" t="str">
        <f>IFERROR(INDEX(_TARGETS!$E$2:$E$17,MATCH($C423,_TARGETS!$A$2:$A$17,0))&amp;"","")</f>
        <v>≤</v>
      </c>
      <c r="I423" s="199" t="str">
        <f t="shared" si="30"/>
        <v/>
      </c>
      <c r="J423" s="193" t="str">
        <f t="shared" si="31"/>
        <v>Monthly</v>
      </c>
      <c r="K423" s="193">
        <f>Datos!X33+Datos!X34+Datos!X35+Datos!X36</f>
        <v>0</v>
      </c>
      <c r="L423" s="248">
        <f>Datos!X14</f>
        <v>0</v>
      </c>
      <c r="M423" s="193">
        <f>INDEX(_TARGETS!$J$2:$J$17,MATCH($C423,_TARGETS!$A$2:$A$17,0))</f>
        <v>1000000</v>
      </c>
      <c r="N423" s="193" t="str">
        <f>INDEX(_TARGETS!$D$2:$D$17,MATCH($C423,_TARGETS!$A$2:$A$17,0))</f>
        <v>casos / 10^6 HH</v>
      </c>
      <c r="O423" s="193" t="str">
        <f>IF(NOT(ISNUMBER(F423)),"MISSING",IF((COUNTBLANK(Datos!X12)+COUNTBLANK(Datos!X13)+COUNTBLANK(Datos!X33)+COUNTBLANK(Datos!X34)+COUNTBLANK(Datos!X35)+COUNTBLANK(Datos!X36))&gt;0,"INCOMPLETE","OK"))</f>
        <v>MISSING</v>
      </c>
      <c r="P423" s="193" t="str">
        <f>INDEX(_TARGETS!$K$2:$K$17,MATCH($C423,_TARGETS!$A$2:$A$17,0))</f>
        <v>OPS (carga manual en Datos)</v>
      </c>
      <c r="Q423" s="193" t="str">
        <f t="shared" si="32"/>
        <v>202804|TRICF|Monthly</v>
      </c>
      <c r="R423" s="193" t="str">
        <f>INDEX(_TARGETS!$H$2:$H$17,MATCH($C423,_TARGETS!$A$2:$A$17,0))</f>
        <v>Definida</v>
      </c>
      <c r="S423" s="193" t="str">
        <f t="shared" si="33"/>
        <v/>
      </c>
      <c r="T423" s="193" t="str">
        <f t="shared" si="34"/>
        <v/>
      </c>
    </row>
    <row r="424" spans="1:20" ht="13.5" customHeight="1" x14ac:dyDescent="0.3">
      <c r="A424" s="245">
        <f>KPIs!$X$3</f>
        <v>46844</v>
      </c>
      <c r="B424" s="199" t="str">
        <f>KPIs!X$4</f>
        <v>Compresora</v>
      </c>
      <c r="C424" s="31" t="s">
        <v>51</v>
      </c>
      <c r="D424" s="199" t="str">
        <f>KPIs!$A$8</f>
        <v>3 · Casos de primeros auxilios</v>
      </c>
      <c r="E424" s="31" t="s">
        <v>599</v>
      </c>
      <c r="F424" s="247" t="str">
        <f>IF(ISNUMBER(KPIs!X8),KPIs!X8,"")</f>
        <v/>
      </c>
      <c r="G424" s="247" t="str">
        <f>IF(ISNUMBER(KPIs!$C$8),KPIs!$C$8,"")</f>
        <v/>
      </c>
      <c r="H424" s="199" t="str">
        <f>IFERROR(INDEX(_TARGETS!$E$2:$E$17,MATCH($C424,_TARGETS!$A$2:$A$17,0))&amp;"","")</f>
        <v/>
      </c>
      <c r="I424" s="199" t="str">
        <f t="shared" si="30"/>
        <v/>
      </c>
      <c r="J424" s="193" t="str">
        <f t="shared" si="31"/>
        <v>Monthly</v>
      </c>
      <c r="K424" s="248">
        <f>Datos!X37</f>
        <v>0</v>
      </c>
      <c r="M424" s="193">
        <f>INDEX(_TARGETS!$J$2:$J$17,MATCH($C424,_TARGETS!$A$2:$A$17,0))</f>
        <v>1</v>
      </c>
      <c r="N424" s="193" t="str">
        <f>INDEX(_TARGETS!$D$2:$D$17,MATCH($C424,_TARGETS!$A$2:$A$17,0))</f>
        <v>casos</v>
      </c>
      <c r="O424" s="193" t="str">
        <f>IF(NOT(ISNUMBER(F424)),"MISSING",IF((COUNTBLANK(Datos!X12)+COUNTBLANK(Datos!X13)+COUNTBLANK(Datos!X37))&gt;0,"INCOMPLETE","OK"))</f>
        <v>MISSING</v>
      </c>
      <c r="P424" s="193" t="str">
        <f>INDEX(_TARGETS!$K$2:$K$17,MATCH($C424,_TARGETS!$A$2:$A$17,0))</f>
        <v>OPS (carga manual en Datos)</v>
      </c>
      <c r="Q424" s="193" t="str">
        <f t="shared" si="32"/>
        <v>202804|FAC|Monthly</v>
      </c>
      <c r="R424" s="193" t="str">
        <f>INDEX(_TARGETS!$H$2:$H$17,MATCH($C424,_TARGETS!$A$2:$A$17,0))</f>
        <v>Solo reporte</v>
      </c>
      <c r="S424" s="193" t="str">
        <f t="shared" si="33"/>
        <v/>
      </c>
      <c r="T424" s="193" t="str">
        <f t="shared" si="34"/>
        <v/>
      </c>
    </row>
    <row r="425" spans="1:20" ht="13.5" customHeight="1" x14ac:dyDescent="0.3">
      <c r="A425" s="245">
        <f>KPIs!$X$3</f>
        <v>46844</v>
      </c>
      <c r="B425" s="199" t="str">
        <f>KPIs!X$4</f>
        <v>Compresora</v>
      </c>
      <c r="C425" s="31" t="s">
        <v>57</v>
      </c>
      <c r="D425" s="199" t="str">
        <f>KPIs!$A$10</f>
        <v>4 · Accidentes vehiculares severos por millón de km</v>
      </c>
      <c r="E425" s="31" t="s">
        <v>599</v>
      </c>
      <c r="F425" s="247" t="str">
        <f>IF(ISNUMBER(KPIs!X10),KPIs!X10,"")</f>
        <v/>
      </c>
      <c r="G425" s="247" t="str">
        <f>IF(ISNUMBER(KPIs!$C$10),KPIs!$C$10,"")</f>
        <v/>
      </c>
      <c r="H425" s="199" t="str">
        <f>IFERROR(INDEX(_TARGETS!$E$2:$E$17,MATCH($C425,_TARGETS!$A$2:$A$17,0))&amp;"","")</f>
        <v/>
      </c>
      <c r="I425" s="199" t="str">
        <f t="shared" si="30"/>
        <v/>
      </c>
      <c r="J425" s="193" t="str">
        <f t="shared" si="31"/>
        <v>Monthly</v>
      </c>
      <c r="K425" s="193">
        <f>Datos!X39+Datos!X40+Datos!X41</f>
        <v>0</v>
      </c>
      <c r="L425" s="248">
        <f>Datos!X47</f>
        <v>0</v>
      </c>
      <c r="M425" s="193">
        <f>INDEX(_TARGETS!$J$2:$J$17,MATCH($C425,_TARGETS!$A$2:$A$17,0))</f>
        <v>1000000</v>
      </c>
      <c r="N425" s="193" t="str">
        <f>INDEX(_TARGETS!$D$2:$D$17,MATCH($C425,_TARGETS!$A$2:$A$17,0))</f>
        <v>eventos / 10^6 km</v>
      </c>
      <c r="O425" s="193" t="str">
        <f>IF(NOT(ISNUMBER(F425)),"MISSING",IF((COUNTBLANK(Datos!X44)+COUNTBLANK(Datos!X45)+COUNTBLANK(Datos!X46)+COUNTBLANK(Datos!X39)+COUNTBLANK(Datos!X40)+COUNTBLANK(Datos!X41))&gt;0,"INCOMPLETE","OK"))</f>
        <v>MISSING</v>
      </c>
      <c r="P425" s="193" t="str">
        <f>INDEX(_TARGETS!$K$2:$K$17,MATCH($C425,_TARGETS!$A$2:$A$17,0))</f>
        <v>OPS (eventos) + Full Control GPS (km) - carga manual en Datos</v>
      </c>
      <c r="Q425" s="193" t="str">
        <f t="shared" si="32"/>
        <v>202804|SVCR|Monthly</v>
      </c>
      <c r="R425" s="193" t="str">
        <f>INDEX(_TARGETS!$H$2:$H$17,MATCH($C425,_TARGETS!$A$2:$A$17,0))</f>
        <v>Solo reporte</v>
      </c>
      <c r="S425" s="193" t="str">
        <f t="shared" si="33"/>
        <v/>
      </c>
      <c r="T425" s="193" t="str">
        <f t="shared" si="34"/>
        <v/>
      </c>
    </row>
    <row r="426" spans="1:20" ht="13.5" customHeight="1" x14ac:dyDescent="0.3">
      <c r="A426" s="245">
        <f>KPIs!$X$3</f>
        <v>46844</v>
      </c>
      <c r="B426" s="199" t="str">
        <f>KPIs!X$4</f>
        <v>Compresora</v>
      </c>
      <c r="C426" s="31" t="s">
        <v>61</v>
      </c>
      <c r="D426" s="199" t="str">
        <f>KPIs!$A$11</f>
        <v>5 · Accidentes vehiculares totales por millón de km</v>
      </c>
      <c r="E426" s="31" t="s">
        <v>599</v>
      </c>
      <c r="F426" s="247" t="str">
        <f>IF(ISNUMBER(KPIs!X11),KPIs!X11,"")</f>
        <v/>
      </c>
      <c r="G426" s="247">
        <f>IF(ISNUMBER(KPIs!$C$11),KPIs!$C$11,"")</f>
        <v>0.79</v>
      </c>
      <c r="H426" s="199" t="str">
        <f>IFERROR(INDEX(_TARGETS!$E$2:$E$17,MATCH($C426,_TARGETS!$A$2:$A$17,0))&amp;"","")</f>
        <v>≤</v>
      </c>
      <c r="I426" s="199" t="str">
        <f t="shared" si="30"/>
        <v/>
      </c>
      <c r="J426" s="193" t="str">
        <f t="shared" si="31"/>
        <v>Monthly</v>
      </c>
      <c r="K426" s="193">
        <f>Datos!X39+Datos!X40+Datos!X41+Datos!X42</f>
        <v>0</v>
      </c>
      <c r="L426" s="248">
        <f>Datos!X47</f>
        <v>0</v>
      </c>
      <c r="M426" s="193">
        <f>INDEX(_TARGETS!$J$2:$J$17,MATCH($C426,_TARGETS!$A$2:$A$17,0))</f>
        <v>1000000</v>
      </c>
      <c r="N426" s="193" t="str">
        <f>INDEX(_TARGETS!$D$2:$D$17,MATCH($C426,_TARGETS!$A$2:$A$17,0))</f>
        <v>eventos / 10^6 km</v>
      </c>
      <c r="O426" s="193" t="str">
        <f>IF(NOT(ISNUMBER(F426)),"MISSING",IF((COUNTBLANK(Datos!X44)+COUNTBLANK(Datos!X45)+COUNTBLANK(Datos!X46)+COUNTBLANK(Datos!X39)+COUNTBLANK(Datos!X40)+COUNTBLANK(Datos!X41)+COUNTBLANK(Datos!X42))&gt;0,"INCOMPLETE","OK"))</f>
        <v>MISSING</v>
      </c>
      <c r="P426" s="193" t="str">
        <f>INDEX(_TARGETS!$K$2:$K$17,MATCH($C426,_TARGETS!$A$2:$A$17,0))</f>
        <v>OPS (eventos) + Full Control GPS (km) - carga manual en Datos</v>
      </c>
      <c r="Q426" s="193" t="str">
        <f t="shared" si="32"/>
        <v>202804|TVCR|Monthly</v>
      </c>
      <c r="R426" s="193" t="str">
        <f>INDEX(_TARGETS!$H$2:$H$17,MATCH($C426,_TARGETS!$A$2:$A$17,0))</f>
        <v>Definida</v>
      </c>
      <c r="S426" s="193" t="str">
        <f t="shared" si="33"/>
        <v/>
      </c>
      <c r="T426" s="193" t="str">
        <f t="shared" si="34"/>
        <v/>
      </c>
    </row>
    <row r="427" spans="1:20" ht="13.5" customHeight="1" x14ac:dyDescent="0.3">
      <c r="A427" s="245">
        <f>KPIs!$X$3</f>
        <v>46844</v>
      </c>
      <c r="B427" s="199" t="str">
        <f>KPIs!X$4</f>
        <v>Compresora</v>
      </c>
      <c r="C427" s="31" t="s">
        <v>63</v>
      </c>
      <c r="D427" s="199" t="str">
        <f>KPIs!$A$13</f>
        <v>6 · Observaciones de seguridad por persona</v>
      </c>
      <c r="E427" s="31" t="s">
        <v>599</v>
      </c>
      <c r="F427" s="247" t="str">
        <f>IF(ISNUMBER(KPIs!X13),KPIs!X13,"")</f>
        <v/>
      </c>
      <c r="G427" s="247">
        <f>IF(ISNUMBER(KPIs!$C$13),KPIs!$C$13,"")</f>
        <v>1</v>
      </c>
      <c r="H427" s="199" t="str">
        <f>IFERROR(INDEX(_TARGETS!$E$2:$E$17,MATCH($C427,_TARGETS!$A$2:$A$17,0))&amp;"","")</f>
        <v>≥</v>
      </c>
      <c r="I427" s="199" t="str">
        <f t="shared" si="30"/>
        <v/>
      </c>
      <c r="J427" s="193" t="str">
        <f t="shared" si="31"/>
        <v>Monthly</v>
      </c>
      <c r="K427" s="248" t="str">
        <f>IF(COUNT(Datos!X28:X29)=0,"",SUM(Datos!X28:X29))</f>
        <v/>
      </c>
      <c r="L427" s="248">
        <f>Datos!X11</f>
        <v>0</v>
      </c>
      <c r="M427" s="193">
        <f>INDEX(_TARGETS!$J$2:$J$17,MATCH($C427,_TARGETS!$A$2:$A$17,0))</f>
        <v>1</v>
      </c>
      <c r="N427" s="193" t="str">
        <f>INDEX(_TARGETS!$D$2:$D$17,MATCH($C427,_TARGETS!$A$2:$A$17,0))</f>
        <v>obs / persona</v>
      </c>
      <c r="O427" s="193" t="str">
        <f>IF(NOT(ISNUMBER(F427)),"MISSING",IF((COUNTBLANK(Datos!X9)+COUNTBLANK(Datos!X10)+IF(COUNT(Datos!X28:X29)=0,1,0))&gt;0,"INCOMPLETE","OK"))</f>
        <v>MISSING</v>
      </c>
      <c r="P427" s="193" t="str">
        <f>INDEX(_TARGETS!$K$2:$K$17,MATCH($C427,_TARGETS!$A$2:$A$17,0))</f>
        <v>OPS (carga manual en Datos)</v>
      </c>
      <c r="Q427" s="193" t="str">
        <f t="shared" si="32"/>
        <v>202804|OBS|Monthly</v>
      </c>
      <c r="R427" s="193" t="str">
        <f>INDEX(_TARGETS!$H$2:$H$17,MATCH($C427,_TARGETS!$A$2:$A$17,0))</f>
        <v>PROVISORIA · referencia del subcontratista (OPS: 1 obs/persona); meta y población en definición</v>
      </c>
      <c r="S427" s="193" t="str">
        <f t="shared" si="33"/>
        <v/>
      </c>
      <c r="T427" s="193" t="str">
        <f t="shared" si="34"/>
        <v/>
      </c>
    </row>
    <row r="428" spans="1:20" ht="13.5" customHeight="1" x14ac:dyDescent="0.3">
      <c r="A428" s="245">
        <f>KPIs!$X$3</f>
        <v>46844</v>
      </c>
      <c r="B428" s="199" t="str">
        <f>KPIs!X$4</f>
        <v>Compresora</v>
      </c>
      <c r="C428" s="31" t="s">
        <v>71</v>
      </c>
      <c r="D428" s="199" t="str">
        <f>KPIs!$A$14</f>
        <v>7 · Investigaciones de accidentes: días promedio de cierre</v>
      </c>
      <c r="E428" s="31" t="s">
        <v>599</v>
      </c>
      <c r="F428" s="247" t="str">
        <f>IF(ISNUMBER(KPIs!X14),KPIs!X14,"")</f>
        <v/>
      </c>
      <c r="G428" s="247">
        <f>IF(ISNUMBER(KPIs!$C$14),KPIs!$C$14,"")</f>
        <v>20</v>
      </c>
      <c r="H428" s="199" t="str">
        <f>IFERROR(INDEX(_TARGETS!$E$2:$E$17,MATCH($C428,_TARGETS!$A$2:$A$17,0))&amp;"","")</f>
        <v>≤</v>
      </c>
      <c r="I428" s="199" t="str">
        <f t="shared" si="30"/>
        <v/>
      </c>
      <c r="J428" s="193" t="str">
        <f t="shared" si="31"/>
        <v>Monthly</v>
      </c>
      <c r="K428" s="248">
        <f>Datos!X31</f>
        <v>0</v>
      </c>
      <c r="L428" s="248">
        <f>Datos!X30</f>
        <v>0</v>
      </c>
      <c r="M428" s="193">
        <f>INDEX(_TARGETS!$J$2:$J$17,MATCH($C428,_TARGETS!$A$2:$A$17,0))</f>
        <v>1</v>
      </c>
      <c r="N428" s="193" t="str">
        <f>INDEX(_TARGETS!$D$2:$D$17,MATCH($C428,_TARGETS!$A$2:$A$17,0))</f>
        <v>días</v>
      </c>
      <c r="O428" s="193" t="str">
        <f>IF(NOT(ISNUMBER(F428)),"MISSING",IF((COUNTBLANK(Datos!X30)+COUNTBLANK(Datos!X31))&gt;0,"INCOMPLETE","OK"))</f>
        <v>MISSING</v>
      </c>
      <c r="P428" s="193" t="str">
        <f>INDEX(_TARGETS!$K$2:$K$17,MATCH($C428,_TARGETS!$A$2:$A$17,0))</f>
        <v>OPS (carga manual en Datos)</v>
      </c>
      <c r="Q428" s="193" t="str">
        <f t="shared" si="32"/>
        <v>202804|INV|Monthly</v>
      </c>
      <c r="R428" s="193" t="str">
        <f>INDEX(_TARGETS!$H$2:$H$17,MATCH($C428,_TARGETS!$A$2:$A$17,0))</f>
        <v>Definida</v>
      </c>
      <c r="S428" s="193" t="str">
        <f t="shared" si="33"/>
        <v/>
      </c>
      <c r="T428" s="193" t="str">
        <f t="shared" si="34"/>
        <v/>
      </c>
    </row>
    <row r="429" spans="1:20" ht="13.5" customHeight="1" x14ac:dyDescent="0.3">
      <c r="A429" s="245">
        <f>KPIs!$X$3</f>
        <v>46844</v>
      </c>
      <c r="B429" s="199" t="str">
        <f>KPIs!X$4</f>
        <v>Compresora</v>
      </c>
      <c r="C429" s="31" t="s">
        <v>76</v>
      </c>
      <c r="D429" s="199" t="str">
        <f>KPIs!$A$16</f>
        <v>8 · % de capacitación en seguridad</v>
      </c>
      <c r="E429" s="31" t="s">
        <v>599</v>
      </c>
      <c r="F429" s="247" t="str">
        <f>IF(ISNUMBER(KPIs!X16),KPIs!X16,"")</f>
        <v/>
      </c>
      <c r="G429" s="247">
        <f>IF(ISNUMBER(KPIs!$C$16),KPIs!$C$16,"")</f>
        <v>0.01</v>
      </c>
      <c r="H429" s="199" t="str">
        <f>IFERROR(INDEX(_TARGETS!$E$2:$E$17,MATCH($C429,_TARGETS!$A$2:$A$17,0))&amp;"","")</f>
        <v>≥</v>
      </c>
      <c r="I429" s="199" t="str">
        <f t="shared" si="30"/>
        <v/>
      </c>
      <c r="J429" s="193" t="str">
        <f t="shared" si="31"/>
        <v>Monthly</v>
      </c>
      <c r="K429" s="248">
        <f>Datos!X18</f>
        <v>0</v>
      </c>
      <c r="L429" s="248">
        <f>Datos!X14</f>
        <v>0</v>
      </c>
      <c r="M429" s="193">
        <f>INDEX(_TARGETS!$J$2:$J$17,MATCH($C429,_TARGETS!$A$2:$A$17,0))</f>
        <v>1</v>
      </c>
      <c r="N429" s="193" t="str">
        <f>INDEX(_TARGETS!$D$2:$D$17,MATCH($C429,_TARGETS!$A$2:$A$17,0))</f>
        <v>% (fracción)</v>
      </c>
      <c r="O429" s="193" t="str">
        <f>IF(NOT(ISNUMBER(F429)),"MISSING",IF((COUNTBLANK(Datos!X16)+COUNTBLANK(Datos!X17)+COUNTBLANK(Datos!X12)+COUNTBLANK(Datos!X13))&gt;0,"INCOMPLETE","OK"))</f>
        <v>MISSING</v>
      </c>
      <c r="P429" s="193" t="str">
        <f>INDEX(_TARGETS!$K$2:$K$17,MATCH($C429,_TARGETS!$A$2:$A$17,0))</f>
        <v>OPS (carga manual en Datos)</v>
      </c>
      <c r="Q429" s="193" t="str">
        <f t="shared" si="32"/>
        <v>202804|HCS|Monthly</v>
      </c>
      <c r="R429" s="193" t="str">
        <f>INDEX(_TARGETS!$H$2:$H$17,MATCH($C429,_TARGETS!$A$2:$A$17,0))</f>
        <v>Definida</v>
      </c>
      <c r="S429" s="193" t="str">
        <f t="shared" si="33"/>
        <v/>
      </c>
      <c r="T429" s="193" t="str">
        <f t="shared" si="34"/>
        <v/>
      </c>
    </row>
    <row r="430" spans="1:20" ht="13.5" customHeight="1" x14ac:dyDescent="0.3">
      <c r="A430" s="245">
        <f>KPIs!$X$3</f>
        <v>46844</v>
      </c>
      <c r="B430" s="199" t="str">
        <f>KPIs!X$4</f>
        <v>Compresora</v>
      </c>
      <c r="C430" s="31" t="s">
        <v>80</v>
      </c>
      <c r="D430" s="199" t="str">
        <f>KPIs!$A$17</f>
        <v>9 · Horas de capacitación por persona</v>
      </c>
      <c r="E430" s="31" t="s">
        <v>599</v>
      </c>
      <c r="F430" s="247" t="str">
        <f>IF(ISNUMBER(KPIs!X17),KPIs!X17,"")</f>
        <v/>
      </c>
      <c r="G430" s="247" t="str">
        <f>IF(ISNUMBER(KPIs!$C$17),KPIs!$C$17,"")</f>
        <v/>
      </c>
      <c r="H430" s="199" t="str">
        <f>IFERROR(INDEX(_TARGETS!$E$2:$E$17,MATCH($C430,_TARGETS!$A$2:$A$17,0))&amp;"","")</f>
        <v/>
      </c>
      <c r="I430" s="199" t="str">
        <f t="shared" si="30"/>
        <v/>
      </c>
      <c r="J430" s="193" t="str">
        <f t="shared" si="31"/>
        <v>Monthly</v>
      </c>
      <c r="K430" s="248">
        <f>Datos!X18</f>
        <v>0</v>
      </c>
      <c r="L430" s="248">
        <f>Datos!X11</f>
        <v>0</v>
      </c>
      <c r="M430" s="193">
        <f>INDEX(_TARGETS!$J$2:$J$17,MATCH($C430,_TARGETS!$A$2:$A$17,0))</f>
        <v>1</v>
      </c>
      <c r="N430" s="193" t="str">
        <f>INDEX(_TARGETS!$D$2:$D$17,MATCH($C430,_TARGETS!$A$2:$A$17,0))</f>
        <v>h / persona</v>
      </c>
      <c r="O430" s="193" t="str">
        <f>IF(NOT(ISNUMBER(F430)),"MISSING",IF((COUNTBLANK(Datos!X16)+COUNTBLANK(Datos!X17)+COUNTBLANK(Datos!X9)+COUNTBLANK(Datos!X10))&gt;0,"INCOMPLETE","OK"))</f>
        <v>MISSING</v>
      </c>
      <c r="P430" s="193" t="str">
        <f>INDEX(_TARGETS!$K$2:$K$17,MATCH($C430,_TARGETS!$A$2:$A$17,0))</f>
        <v>OPS (carga manual en Datos)</v>
      </c>
      <c r="Q430" s="193" t="str">
        <f t="shared" si="32"/>
        <v>202804|HCSA|Monthly</v>
      </c>
      <c r="R430" s="193" t="str">
        <f>INDEX(_TARGETS!$H$2:$H$17,MATCH($C430,_TARGETS!$A$2:$A$17,0))</f>
        <v>Solo reporte</v>
      </c>
      <c r="S430" s="193" t="str">
        <f t="shared" si="33"/>
        <v/>
      </c>
      <c r="T430" s="193" t="str">
        <f t="shared" si="34"/>
        <v/>
      </c>
    </row>
    <row r="431" spans="1:20" ht="13.5" customHeight="1" x14ac:dyDescent="0.3">
      <c r="A431" s="245">
        <f>KPIs!$X$3</f>
        <v>46844</v>
      </c>
      <c r="B431" s="199" t="str">
        <f>KPIs!X$4</f>
        <v>Compresora</v>
      </c>
      <c r="C431" s="31" t="s">
        <v>83</v>
      </c>
      <c r="D431" s="199" t="str">
        <f>KPIs!$A$18</f>
        <v>10 · Cumplimiento de simulacros (emergencia y operativos)</v>
      </c>
      <c r="E431" s="31" t="s">
        <v>599</v>
      </c>
      <c r="F431" s="247" t="str">
        <f>IF(ISNUMBER(KPIs!X18),KPIs!X18,"")</f>
        <v/>
      </c>
      <c r="G431" s="247">
        <f>IF(ISNUMBER(KPIs!$C$18),KPIs!$C$18,"")</f>
        <v>1</v>
      </c>
      <c r="H431" s="199" t="str">
        <f>IFERROR(INDEX(_TARGETS!$E$2:$E$17,MATCH($C431,_TARGETS!$A$2:$A$17,0))&amp;"","")</f>
        <v>≥</v>
      </c>
      <c r="I431" s="199" t="str">
        <f t="shared" si="30"/>
        <v/>
      </c>
      <c r="J431" s="193" t="str">
        <f t="shared" si="31"/>
        <v>Monthly</v>
      </c>
      <c r="K431" s="248">
        <f>Datos!X20</f>
        <v>0</v>
      </c>
      <c r="L431" s="248">
        <f>Datos!X21</f>
        <v>0</v>
      </c>
      <c r="M431" s="193">
        <f>INDEX(_TARGETS!$J$2:$J$17,MATCH($C431,_TARGETS!$A$2:$A$17,0))</f>
        <v>1</v>
      </c>
      <c r="N431" s="193" t="str">
        <f>INDEX(_TARGETS!$D$2:$D$17,MATCH($C431,_TARGETS!$A$2:$A$17,0))</f>
        <v>% (fracción)</v>
      </c>
      <c r="O431" s="193" t="str">
        <f>IF(NOT(ISNUMBER(F431)),"MISSING",IF((COUNTBLANK(Datos!X20)+COUNTBLANK(Datos!X21))&gt;0,"INCOMPLETE","OK"))</f>
        <v>MISSING</v>
      </c>
      <c r="P431" s="193" t="str">
        <f>INDEX(_TARGETS!$K$2:$K$17,MATCH($C431,_TARGETS!$A$2:$A$17,0))</f>
        <v>OPS (carga manual en Datos)</v>
      </c>
      <c r="Q431" s="193" t="str">
        <f t="shared" si="32"/>
        <v>202804|CPSE|Monthly</v>
      </c>
      <c r="R431" s="193" t="str">
        <f>INDEX(_TARGETS!$H$2:$H$17,MATCH($C431,_TARGETS!$A$2:$A$17,0))</f>
        <v>Definida</v>
      </c>
      <c r="S431" s="193" t="str">
        <f t="shared" si="33"/>
        <v/>
      </c>
      <c r="T431" s="193" t="str">
        <f t="shared" si="34"/>
        <v/>
      </c>
    </row>
    <row r="432" spans="1:20" ht="13.5" customHeight="1" x14ac:dyDescent="0.3">
      <c r="A432" s="245">
        <f>KPIs!$X$3</f>
        <v>46844</v>
      </c>
      <c r="B432" s="199" t="str">
        <f>KPIs!X$4</f>
        <v>Compresora</v>
      </c>
      <c r="C432" s="31" t="s">
        <v>85</v>
      </c>
      <c r="D432" s="199" t="str">
        <f>KPIs!$A$19</f>
        <v>10b · Cumplimiento de acciones de mejora de simulacros</v>
      </c>
      <c r="E432" s="31" t="s">
        <v>599</v>
      </c>
      <c r="F432" s="247" t="str">
        <f>IF(ISNUMBER(KPIs!X19),KPIs!X19,"")</f>
        <v/>
      </c>
      <c r="G432" s="247" t="str">
        <f>IF(ISNUMBER(KPIs!$C$19),KPIs!$C$19,"")</f>
        <v/>
      </c>
      <c r="H432" s="199" t="str">
        <f>IFERROR(INDEX(_TARGETS!$E$2:$E$17,MATCH($C432,_TARGETS!$A$2:$A$17,0))&amp;"","")</f>
        <v/>
      </c>
      <c r="I432" s="199" t="str">
        <f t="shared" si="30"/>
        <v/>
      </c>
      <c r="J432" s="193" t="str">
        <f t="shared" si="31"/>
        <v>Monthly</v>
      </c>
      <c r="K432" s="248">
        <f>Datos!X23</f>
        <v>0</v>
      </c>
      <c r="L432" s="248">
        <f>Datos!X22</f>
        <v>0</v>
      </c>
      <c r="M432" s="193">
        <f>INDEX(_TARGETS!$J$2:$J$17,MATCH($C432,_TARGETS!$A$2:$A$17,0))</f>
        <v>1</v>
      </c>
      <c r="N432" s="193" t="str">
        <f>INDEX(_TARGETS!$D$2:$D$17,MATCH($C432,_TARGETS!$A$2:$A$17,0))</f>
        <v>% (fracción)</v>
      </c>
      <c r="O432" s="193" t="str">
        <f>IF(NOT(ISNUMBER(F432)),"MISSING",IF((COUNTBLANK(Datos!X23)+COUNTBLANK(Datos!X22))&gt;0,"INCOMPLETE","OK"))</f>
        <v>MISSING</v>
      </c>
      <c r="P432" s="193" t="str">
        <f>INDEX(_TARGETS!$K$2:$K$17,MATCH($C432,_TARGETS!$A$2:$A$17,0))</f>
        <v>OPS (carga manual en Datos)</v>
      </c>
      <c r="Q432" s="193" t="str">
        <f t="shared" si="32"/>
        <v>202804|CAMS|Monthly</v>
      </c>
      <c r="R432" s="193" t="str">
        <f>INDEX(_TARGETS!$H$2:$H$17,MATCH($C432,_TARGETS!$A$2:$A$17,0))</f>
        <v>Solo reporte</v>
      </c>
      <c r="S432" s="193" t="str">
        <f t="shared" si="33"/>
        <v/>
      </c>
      <c r="T432" s="193" t="str">
        <f t="shared" si="34"/>
        <v/>
      </c>
    </row>
    <row r="433" spans="1:20" ht="13.5" customHeight="1" x14ac:dyDescent="0.3">
      <c r="A433" s="245">
        <f>KPIs!$X$3</f>
        <v>46844</v>
      </c>
      <c r="B433" s="199" t="str">
        <f>KPIs!X$4</f>
        <v>Compresora</v>
      </c>
      <c r="C433" s="31" t="s">
        <v>87</v>
      </c>
      <c r="D433" s="199" t="str">
        <f>KPIs!$A$21</f>
        <v>11 · Cumplimiento de caminatas gerenciales</v>
      </c>
      <c r="E433" s="31" t="s">
        <v>599</v>
      </c>
      <c r="F433" s="247" t="str">
        <f>IF(ISNUMBER(KPIs!X21),KPIs!X21,"")</f>
        <v/>
      </c>
      <c r="G433" s="247">
        <f>IF(ISNUMBER(KPIs!$C$21),KPIs!$C$21,"")</f>
        <v>1</v>
      </c>
      <c r="H433" s="199" t="str">
        <f>IFERROR(INDEX(_TARGETS!$E$2:$E$17,MATCH($C433,_TARGETS!$A$2:$A$17,0))&amp;"","")</f>
        <v>≥</v>
      </c>
      <c r="I433" s="199" t="str">
        <f t="shared" si="30"/>
        <v/>
      </c>
      <c r="J433" s="193" t="str">
        <f t="shared" si="31"/>
        <v>Monthly</v>
      </c>
      <c r="K433" s="248">
        <f>Datos!X24</f>
        <v>0</v>
      </c>
      <c r="L433" s="248">
        <f>Datos!X25</f>
        <v>0</v>
      </c>
      <c r="M433" s="193">
        <f>INDEX(_TARGETS!$J$2:$J$17,MATCH($C433,_TARGETS!$A$2:$A$17,0))</f>
        <v>1</v>
      </c>
      <c r="N433" s="193" t="str">
        <f>INDEX(_TARGETS!$D$2:$D$17,MATCH($C433,_TARGETS!$A$2:$A$17,0))</f>
        <v>% (fracción)</v>
      </c>
      <c r="O433" s="193" t="str">
        <f>IF(NOT(ISNUMBER(F433)),"MISSING",IF((COUNTBLANK(Datos!X24)+COUNTBLANK(Datos!X25))&gt;0,"INCOMPLETE","OK"))</f>
        <v>MISSING</v>
      </c>
      <c r="P433" s="193" t="str">
        <f>INDEX(_TARGETS!$K$2:$K$17,MATCH($C433,_TARGETS!$A$2:$A$17,0))</f>
        <v>OPS (carga manual en Datos)</v>
      </c>
      <c r="Q433" s="193" t="str">
        <f t="shared" si="32"/>
        <v>202804|ICCS|Monthly</v>
      </c>
      <c r="R433" s="193" t="str">
        <f>INDEX(_TARGETS!$H$2:$H$17,MATCH($C433,_TARGETS!$A$2:$A$17,0))</f>
        <v>Definida</v>
      </c>
      <c r="S433" s="193" t="str">
        <f t="shared" si="33"/>
        <v/>
      </c>
      <c r="T433" s="193" t="str">
        <f t="shared" si="34"/>
        <v/>
      </c>
    </row>
    <row r="434" spans="1:20" ht="13.5" customHeight="1" x14ac:dyDescent="0.3">
      <c r="A434" s="245">
        <f>KPIs!$X$3</f>
        <v>46844</v>
      </c>
      <c r="B434" s="199" t="str">
        <f>KPIs!X$4</f>
        <v>Compresora</v>
      </c>
      <c r="C434" s="31" t="s">
        <v>89</v>
      </c>
      <c r="D434" s="199" t="str">
        <f>KPIs!$A$22</f>
        <v>12 · Cumplimiento de comités y subcomités de seguridad</v>
      </c>
      <c r="E434" s="31" t="s">
        <v>599</v>
      </c>
      <c r="F434" s="247" t="str">
        <f>IF(ISNUMBER(KPIs!X22),KPIs!X22,"")</f>
        <v/>
      </c>
      <c r="G434" s="247">
        <f>IF(ISNUMBER(KPIs!$C$22),KPIs!$C$22,"")</f>
        <v>1</v>
      </c>
      <c r="H434" s="199" t="str">
        <f>IFERROR(INDEX(_TARGETS!$E$2:$E$17,MATCH($C434,_TARGETS!$A$2:$A$17,0))&amp;"","")</f>
        <v>≥</v>
      </c>
      <c r="I434" s="199" t="str">
        <f t="shared" si="30"/>
        <v/>
      </c>
      <c r="J434" s="193" t="str">
        <f t="shared" si="31"/>
        <v>Monthly</v>
      </c>
      <c r="K434" s="248">
        <f>Datos!X26</f>
        <v>0</v>
      </c>
      <c r="L434" s="248">
        <f>Datos!X27</f>
        <v>0</v>
      </c>
      <c r="M434" s="193">
        <f>INDEX(_TARGETS!$J$2:$J$17,MATCH($C434,_TARGETS!$A$2:$A$17,0))</f>
        <v>1</v>
      </c>
      <c r="N434" s="193" t="str">
        <f>INDEX(_TARGETS!$D$2:$D$17,MATCH($C434,_TARGETS!$A$2:$A$17,0))</f>
        <v>% (fracción)</v>
      </c>
      <c r="O434" s="193" t="str">
        <f>IF(NOT(ISNUMBER(F434)),"MISSING",IF((COUNTBLANK(Datos!X26)+COUNTBLANK(Datos!X27))&gt;0,"INCOMPLETE","OK"))</f>
        <v>MISSING</v>
      </c>
      <c r="P434" s="193" t="str">
        <f>INDEX(_TARGETS!$K$2:$K$17,MATCH($C434,_TARGETS!$A$2:$A$17,0))</f>
        <v>OPS (carga manual en Datos)</v>
      </c>
      <c r="Q434" s="193" t="str">
        <f t="shared" si="32"/>
        <v>202804|CCS|Monthly</v>
      </c>
      <c r="R434" s="193" t="str">
        <f>INDEX(_TARGETS!$H$2:$H$17,MATCH($C434,_TARGETS!$A$2:$A$17,0))</f>
        <v>Definida</v>
      </c>
      <c r="S434" s="193" t="str">
        <f t="shared" si="33"/>
        <v/>
      </c>
      <c r="T434" s="193" t="str">
        <f t="shared" si="34"/>
        <v/>
      </c>
    </row>
    <row r="435" spans="1:20" ht="13.5" customHeight="1" x14ac:dyDescent="0.3">
      <c r="A435" s="245">
        <f>KPIs!$X$3</f>
        <v>46844</v>
      </c>
      <c r="B435" s="199" t="str">
        <f>KPIs!X$4</f>
        <v>Compresora</v>
      </c>
      <c r="C435" s="31" t="s">
        <v>91</v>
      </c>
      <c r="D435" s="199" t="str">
        <f>KPIs!$A$23</f>
        <v>13 · Días promedio para cerrar hallazgos</v>
      </c>
      <c r="E435" s="31" t="s">
        <v>599</v>
      </c>
      <c r="F435" s="247" t="str">
        <f>IF(ISNUMBER(KPIs!X23),KPIs!X23,"")</f>
        <v/>
      </c>
      <c r="G435" s="247" t="str">
        <f>IF(ISNUMBER(KPIs!$C$23),KPIs!$C$23,"")</f>
        <v/>
      </c>
      <c r="H435" s="199" t="str">
        <f>IFERROR(INDEX(_TARGETS!$E$2:$E$17,MATCH($C435,_TARGETS!$A$2:$A$17,0))&amp;"","")</f>
        <v>≤</v>
      </c>
      <c r="I435" s="199" t="str">
        <f t="shared" si="30"/>
        <v/>
      </c>
      <c r="J435" s="193" t="str">
        <f t="shared" si="31"/>
        <v>Monthly</v>
      </c>
      <c r="K435" s="248">
        <f>Datos!X68</f>
        <v>0</v>
      </c>
      <c r="L435" s="248">
        <f>Datos!X67</f>
        <v>0</v>
      </c>
      <c r="M435" s="193">
        <f>INDEX(_TARGETS!$J$2:$J$17,MATCH($C435,_TARGETS!$A$2:$A$17,0))</f>
        <v>1</v>
      </c>
      <c r="N435" s="193" t="str">
        <f>INDEX(_TARGETS!$D$2:$D$17,MATCH($C435,_TARGETS!$A$2:$A$17,0))</f>
        <v>días</v>
      </c>
      <c r="O435" s="193" t="str">
        <f>IF(NOT(ISNUMBER(F435)),"MISSING","OK")</f>
        <v>MISSING</v>
      </c>
      <c r="P435" s="193" t="str">
        <f>INDEX(_TARGETS!$K$2:$K$17,MATCH($C435,_TARGETS!$A$2:$A$17,0))</f>
        <v>Plant Findings (hoja Observaciones-SMP)</v>
      </c>
      <c r="Q435" s="193" t="str">
        <f t="shared" si="32"/>
        <v>202804|DPAS|Monthly</v>
      </c>
      <c r="R435" s="193" t="str">
        <f>INDEX(_TARGETS!$H$2:$H$17,MATCH($C435,_TARGETS!$A$2:$A$17,0))</f>
        <v>Pendiente (meta 2027)</v>
      </c>
      <c r="S435" s="193" t="str">
        <f t="shared" si="33"/>
        <v/>
      </c>
      <c r="T435" s="193" t="str">
        <f t="shared" si="34"/>
        <v/>
      </c>
    </row>
    <row r="436" spans="1:20" ht="13.5" customHeight="1" x14ac:dyDescent="0.3">
      <c r="A436" s="245">
        <f>KPIs!$X$3</f>
        <v>46844</v>
      </c>
      <c r="B436" s="199" t="str">
        <f>KPIs!X$4</f>
        <v>Compresora</v>
      </c>
      <c r="C436" s="31" t="s">
        <v>39</v>
      </c>
      <c r="D436" s="199" t="str">
        <f>KPIs!$A$26</f>
        <v>1 · Frecuencia de casos con días perdidos · ACUMULADO</v>
      </c>
      <c r="E436" s="31" t="s">
        <v>600</v>
      </c>
      <c r="F436" s="247" t="str">
        <f>IF(ISNUMBER(KPIs!X26),KPIs!X26,"")</f>
        <v/>
      </c>
      <c r="G436" s="247">
        <f>IF(ISNUMBER(KPIs!$C$26),KPIs!$C$26,"")</f>
        <v>0</v>
      </c>
      <c r="H436" s="199" t="str">
        <f>IFERROR(INDEX(_TARGETS!$E$2:$E$17,MATCH($C436,_TARGETS!$A$2:$A$17,0))&amp;"","")</f>
        <v>≤</v>
      </c>
      <c r="I436" s="199" t="str">
        <f t="shared" si="30"/>
        <v/>
      </c>
      <c r="J436" s="193" t="str">
        <f t="shared" si="31"/>
        <v>Cumulative</v>
      </c>
      <c r="K436" s="193">
        <f>SUM(Datos!$D33:X33)</f>
        <v>0</v>
      </c>
      <c r="L436" s="193">
        <f>SUM(Datos!$D14:X14)</f>
        <v>48332</v>
      </c>
      <c r="M436" s="193">
        <f>INDEX(_TARGETS!$J$2:$J$17,MATCH($C436,_TARGETS!$A$2:$A$17,0))</f>
        <v>1000000</v>
      </c>
      <c r="N436" s="193" t="str">
        <f>INDEX(_TARGETS!$D$2:$D$17,MATCH($C436,_TARGETS!$A$2:$A$17,0))</f>
        <v>casos / 10^6 HH</v>
      </c>
      <c r="O436" s="193" t="str">
        <f>IF(NOT(ISNUMBER(F436)),IF(SUMPRODUCT(($C$2:$C$1300=C436)*($J$2:$J$1300="Monthly")*($A$2:$A$1300&lt;=A436)*ISNUMBER($K$2:$K$1300)*ISNUMBER($L$2:$L$1300)*($L$2:$L$1300=0)*($K$2:$K$1300&gt;0))&gt;0,"INCOMPLETE","MISSING"),O422)</f>
        <v>MISSING</v>
      </c>
      <c r="P436" s="193" t="str">
        <f>INDEX(_TARGETS!$K$2:$K$17,MATCH($C436,_TARGETS!$A$2:$A$17,0))</f>
        <v>OPS (carga manual en Datos)</v>
      </c>
      <c r="Q436" s="193" t="str">
        <f t="shared" si="32"/>
        <v>202804|DAFWCF|Cumulative</v>
      </c>
      <c r="R436" s="193" t="str">
        <f>INDEX(_TARGETS!$H$2:$H$17,MATCH($C436,_TARGETS!$A$2:$A$17,0))</f>
        <v>Definida</v>
      </c>
      <c r="S436" s="193">
        <f t="shared" si="33"/>
        <v>0</v>
      </c>
      <c r="T436" s="193" t="str">
        <f t="shared" si="34"/>
        <v/>
      </c>
    </row>
    <row r="437" spans="1:20" ht="13.5" customHeight="1" x14ac:dyDescent="0.3">
      <c r="A437" s="245">
        <f>KPIs!$X$3</f>
        <v>46844</v>
      </c>
      <c r="B437" s="199" t="str">
        <f>KPIs!X$4</f>
        <v>Compresora</v>
      </c>
      <c r="C437" s="31" t="s">
        <v>49</v>
      </c>
      <c r="D437" s="199" t="str">
        <f>KPIs!$A$27</f>
        <v>2 · Frecuencia de casos registrables · ACUMULADO</v>
      </c>
      <c r="E437" s="31" t="s">
        <v>600</v>
      </c>
      <c r="F437" s="247" t="str">
        <f>IF(ISNUMBER(KPIs!X27),KPIs!X27,"")</f>
        <v/>
      </c>
      <c r="G437" s="247">
        <f>IF(ISNUMBER(KPIs!$C$27),KPIs!$C$27,"")</f>
        <v>2.35</v>
      </c>
      <c r="H437" s="199" t="str">
        <f>IFERROR(INDEX(_TARGETS!$E$2:$E$17,MATCH($C437,_TARGETS!$A$2:$A$17,0))&amp;"","")</f>
        <v>≤</v>
      </c>
      <c r="I437" s="199" t="str">
        <f t="shared" si="30"/>
        <v/>
      </c>
      <c r="J437" s="193" t="str">
        <f t="shared" si="31"/>
        <v>Cumulative</v>
      </c>
      <c r="K437" s="193">
        <f>SUM(Datos!$D33:X33)+SUM(Datos!$D34:X34)+SUM(Datos!$D35:X35)+SUM(Datos!$D36:X36)</f>
        <v>0</v>
      </c>
      <c r="L437" s="193">
        <f>SUM(Datos!$D14:X14)</f>
        <v>48332</v>
      </c>
      <c r="M437" s="193">
        <f>INDEX(_TARGETS!$J$2:$J$17,MATCH($C437,_TARGETS!$A$2:$A$17,0))</f>
        <v>1000000</v>
      </c>
      <c r="N437" s="193" t="str">
        <f>INDEX(_TARGETS!$D$2:$D$17,MATCH($C437,_TARGETS!$A$2:$A$17,0))</f>
        <v>casos / 10^6 HH</v>
      </c>
      <c r="O437" s="193" t="str">
        <f>IF(NOT(ISNUMBER(F437)),IF(SUMPRODUCT(($C$2:$C$1300=C437)*($J$2:$J$1300="Monthly")*($A$2:$A$1300&lt;=A437)*ISNUMBER($K$2:$K$1300)*ISNUMBER($L$2:$L$1300)*($L$2:$L$1300=0)*($K$2:$K$1300&gt;0))&gt;0,"INCOMPLETE","MISSING"),O423)</f>
        <v>MISSING</v>
      </c>
      <c r="P437" s="193" t="str">
        <f>INDEX(_TARGETS!$K$2:$K$17,MATCH($C437,_TARGETS!$A$2:$A$17,0))</f>
        <v>OPS (carga manual en Datos)</v>
      </c>
      <c r="Q437" s="193" t="str">
        <f t="shared" si="32"/>
        <v>202804|TRICF|Cumulative</v>
      </c>
      <c r="R437" s="193" t="str">
        <f>INDEX(_TARGETS!$H$2:$H$17,MATCH($C437,_TARGETS!$A$2:$A$17,0))</f>
        <v>Definida</v>
      </c>
      <c r="S437" s="193">
        <f t="shared" si="33"/>
        <v>0</v>
      </c>
      <c r="T437" s="193" t="str">
        <f t="shared" si="34"/>
        <v/>
      </c>
    </row>
    <row r="438" spans="1:20" ht="13.5" customHeight="1" x14ac:dyDescent="0.3">
      <c r="A438" s="245">
        <f>KPIs!$X$3</f>
        <v>46844</v>
      </c>
      <c r="B438" s="199" t="str">
        <f>KPIs!X$4</f>
        <v>Compresora</v>
      </c>
      <c r="C438" s="31" t="s">
        <v>51</v>
      </c>
      <c r="D438" s="199" t="str">
        <f>KPIs!$A$28</f>
        <v>3 · Casos de primeros auxilios · ACUMULADO</v>
      </c>
      <c r="E438" s="31" t="s">
        <v>600</v>
      </c>
      <c r="F438" s="247" t="str">
        <f>IF(ISNUMBER(KPIs!X28),KPIs!X28,"")</f>
        <v/>
      </c>
      <c r="G438" s="247" t="str">
        <f>IF(ISNUMBER(KPIs!$C$28),KPIs!$C$28,"")</f>
        <v/>
      </c>
      <c r="H438" s="199" t="str">
        <f>IFERROR(INDEX(_TARGETS!$E$2:$E$17,MATCH($C438,_TARGETS!$A$2:$A$17,0))&amp;"","")</f>
        <v/>
      </c>
      <c r="I438" s="199" t="str">
        <f t="shared" si="30"/>
        <v/>
      </c>
      <c r="J438" s="193" t="str">
        <f t="shared" si="31"/>
        <v>Cumulative</v>
      </c>
      <c r="K438" s="193">
        <f>SUM(Datos!$D37:X37)</f>
        <v>0</v>
      </c>
      <c r="M438" s="193">
        <f>INDEX(_TARGETS!$J$2:$J$17,MATCH($C438,_TARGETS!$A$2:$A$17,0))</f>
        <v>1</v>
      </c>
      <c r="N438" s="193" t="str">
        <f>INDEX(_TARGETS!$D$2:$D$17,MATCH($C438,_TARGETS!$A$2:$A$17,0))</f>
        <v>casos</v>
      </c>
      <c r="O438" s="193" t="str">
        <f>IF(NOT(ISNUMBER(F438)),IF(SUMPRODUCT(($C$2:$C$1300=C438)*($J$2:$J$1300="Monthly")*($A$2:$A$1300&lt;=A438)*ISNUMBER($K$2:$K$1300)*ISNUMBER($L$2:$L$1300)*($L$2:$L$1300=0)*($K$2:$K$1300&gt;0))&gt;0,"INCOMPLETE","MISSING"),O424)</f>
        <v>MISSING</v>
      </c>
      <c r="P438" s="193" t="str">
        <f>INDEX(_TARGETS!$K$2:$K$17,MATCH($C438,_TARGETS!$A$2:$A$17,0))</f>
        <v>OPS (carga manual en Datos)</v>
      </c>
      <c r="Q438" s="193" t="str">
        <f t="shared" si="32"/>
        <v>202804|FAC|Cumulative</v>
      </c>
      <c r="R438" s="193" t="str">
        <f>INDEX(_TARGETS!$H$2:$H$17,MATCH($C438,_TARGETS!$A$2:$A$17,0))</f>
        <v>Solo reporte</v>
      </c>
      <c r="S438" s="193">
        <f t="shared" si="33"/>
        <v>0</v>
      </c>
      <c r="T438" s="193" t="str">
        <f t="shared" si="34"/>
        <v/>
      </c>
    </row>
    <row r="439" spans="1:20" ht="13.5" customHeight="1" x14ac:dyDescent="0.3">
      <c r="A439" s="245">
        <f>KPIs!$X$3</f>
        <v>46844</v>
      </c>
      <c r="B439" s="199" t="str">
        <f>KPIs!X$4</f>
        <v>Compresora</v>
      </c>
      <c r="C439" s="31" t="s">
        <v>57</v>
      </c>
      <c r="D439" s="199" t="str">
        <f>KPIs!$A$29</f>
        <v>4 · Accidentes vehiculares severos · ACUMULADO</v>
      </c>
      <c r="E439" s="31" t="s">
        <v>600</v>
      </c>
      <c r="F439" s="247" t="str">
        <f>IF(ISNUMBER(KPIs!X29),KPIs!X29,"")</f>
        <v/>
      </c>
      <c r="G439" s="247" t="str">
        <f>IF(ISNUMBER(KPIs!$C$29),KPIs!$C$29,"")</f>
        <v/>
      </c>
      <c r="H439" s="199" t="str">
        <f>IFERROR(INDEX(_TARGETS!$E$2:$E$17,MATCH($C439,_TARGETS!$A$2:$A$17,0))&amp;"","")</f>
        <v/>
      </c>
      <c r="I439" s="199" t="str">
        <f t="shared" si="30"/>
        <v/>
      </c>
      <c r="J439" s="193" t="str">
        <f t="shared" si="31"/>
        <v>Cumulative</v>
      </c>
      <c r="K439" s="193">
        <f>SUM(Datos!$D39:X39)+SUM(Datos!$D40:X40)+SUM(Datos!$D41:X41)</f>
        <v>0</v>
      </c>
      <c r="L439" s="193">
        <f>SUM(Datos!$D47:X47)</f>
        <v>172824</v>
      </c>
      <c r="M439" s="193">
        <f>INDEX(_TARGETS!$J$2:$J$17,MATCH($C439,_TARGETS!$A$2:$A$17,0))</f>
        <v>1000000</v>
      </c>
      <c r="N439" s="193" t="str">
        <f>INDEX(_TARGETS!$D$2:$D$17,MATCH($C439,_TARGETS!$A$2:$A$17,0))</f>
        <v>eventos / 10^6 km</v>
      </c>
      <c r="O439" s="193" t="str">
        <f>IF(NOT(ISNUMBER(F439)),IF(SUMPRODUCT(($C$2:$C$1300=C439)*($J$2:$J$1300="Monthly")*($A$2:$A$1300&lt;=A439)*ISNUMBER($K$2:$K$1300)*ISNUMBER($L$2:$L$1300)*($L$2:$L$1300=0)*($K$2:$K$1300&gt;0))&gt;0,"INCOMPLETE","MISSING"),O425)</f>
        <v>MISSING</v>
      </c>
      <c r="P439" s="193" t="str">
        <f>INDEX(_TARGETS!$K$2:$K$17,MATCH($C439,_TARGETS!$A$2:$A$17,0))</f>
        <v>OPS (eventos) + Full Control GPS (km) - carga manual en Datos</v>
      </c>
      <c r="Q439" s="193" t="str">
        <f t="shared" si="32"/>
        <v>202804|SVCR|Cumulative</v>
      </c>
      <c r="R439" s="193" t="str">
        <f>INDEX(_TARGETS!$H$2:$H$17,MATCH($C439,_TARGETS!$A$2:$A$17,0))</f>
        <v>Solo reporte</v>
      </c>
      <c r="S439" s="193">
        <f t="shared" si="33"/>
        <v>0</v>
      </c>
      <c r="T439" s="193" t="str">
        <f t="shared" si="34"/>
        <v/>
      </c>
    </row>
    <row r="440" spans="1:20" ht="13.5" customHeight="1" x14ac:dyDescent="0.3">
      <c r="A440" s="245">
        <f>KPIs!$X$3</f>
        <v>46844</v>
      </c>
      <c r="B440" s="199" t="str">
        <f>KPIs!X$4</f>
        <v>Compresora</v>
      </c>
      <c r="C440" s="31" t="s">
        <v>61</v>
      </c>
      <c r="D440" s="199" t="str">
        <f>KPIs!$A$30</f>
        <v>5 · Accidentes vehiculares totales · ACUMULADO</v>
      </c>
      <c r="E440" s="31" t="s">
        <v>600</v>
      </c>
      <c r="F440" s="247" t="str">
        <f>IF(ISNUMBER(KPIs!X30),KPIs!X30,"")</f>
        <v/>
      </c>
      <c r="G440" s="247">
        <f>IF(ISNUMBER(KPIs!$C$30),KPIs!$C$30,"")</f>
        <v>0.79</v>
      </c>
      <c r="H440" s="199" t="str">
        <f>IFERROR(INDEX(_TARGETS!$E$2:$E$17,MATCH($C440,_TARGETS!$A$2:$A$17,0))&amp;"","")</f>
        <v>≤</v>
      </c>
      <c r="I440" s="199" t="str">
        <f t="shared" si="30"/>
        <v/>
      </c>
      <c r="J440" s="193" t="str">
        <f t="shared" si="31"/>
        <v>Cumulative</v>
      </c>
      <c r="K440" s="193">
        <f>SUM(Datos!$D39:X39)+SUM(Datos!$D40:X40)+SUM(Datos!$D41:X41)+SUM(Datos!$D42:X42)</f>
        <v>0</v>
      </c>
      <c r="L440" s="193">
        <f>SUM(Datos!$D47:X47)</f>
        <v>172824</v>
      </c>
      <c r="M440" s="193">
        <f>INDEX(_TARGETS!$J$2:$J$17,MATCH($C440,_TARGETS!$A$2:$A$17,0))</f>
        <v>1000000</v>
      </c>
      <c r="N440" s="193" t="str">
        <f>INDEX(_TARGETS!$D$2:$D$17,MATCH($C440,_TARGETS!$A$2:$A$17,0))</f>
        <v>eventos / 10^6 km</v>
      </c>
      <c r="O440" s="193" t="str">
        <f>IF(NOT(ISNUMBER(F440)),IF(SUMPRODUCT(($C$2:$C$1300=C440)*($J$2:$J$1300="Monthly")*($A$2:$A$1300&lt;=A440)*ISNUMBER($K$2:$K$1300)*ISNUMBER($L$2:$L$1300)*($L$2:$L$1300=0)*($K$2:$K$1300&gt;0))&gt;0,"INCOMPLETE","MISSING"),O426)</f>
        <v>MISSING</v>
      </c>
      <c r="P440" s="193" t="str">
        <f>INDEX(_TARGETS!$K$2:$K$17,MATCH($C440,_TARGETS!$A$2:$A$17,0))</f>
        <v>OPS (eventos) + Full Control GPS (km) - carga manual en Datos</v>
      </c>
      <c r="Q440" s="193" t="str">
        <f t="shared" si="32"/>
        <v>202804|TVCR|Cumulative</v>
      </c>
      <c r="R440" s="193" t="str">
        <f>INDEX(_TARGETS!$H$2:$H$17,MATCH($C440,_TARGETS!$A$2:$A$17,0))</f>
        <v>Definida</v>
      </c>
      <c r="S440" s="193">
        <f t="shared" si="33"/>
        <v>0</v>
      </c>
      <c r="T440" s="193" t="str">
        <f t="shared" si="34"/>
        <v/>
      </c>
    </row>
    <row r="441" spans="1:20" ht="13.5" customHeight="1" x14ac:dyDescent="0.3">
      <c r="A441" s="245">
        <f>KPIs!$X$3</f>
        <v>46844</v>
      </c>
      <c r="B441" s="199" t="str">
        <f>KPIs!X$4</f>
        <v>Compresora</v>
      </c>
      <c r="C441" s="31" t="s">
        <v>96</v>
      </c>
      <c r="D441" s="199" t="str">
        <f>KPIs!$A$33</f>
        <v>C1 · % de desvíos detectados de gravedad Alta</v>
      </c>
      <c r="E441" s="31" t="s">
        <v>599</v>
      </c>
      <c r="F441" s="247" t="str">
        <f>IF(ISNUMBER(KPIs!X33),KPIs!X33,"")</f>
        <v/>
      </c>
      <c r="G441" s="247" t="str">
        <f>IF(ISNUMBER(KPIs!$C$33),KPIs!$C$33,"")</f>
        <v/>
      </c>
      <c r="H441" s="199" t="str">
        <f>IFERROR(INDEX(_TARGETS!$E$2:$E$17,MATCH($C441,_TARGETS!$A$2:$A$17,0))&amp;"","")</f>
        <v/>
      </c>
      <c r="I441" s="199" t="str">
        <f t="shared" si="30"/>
        <v/>
      </c>
      <c r="J441" s="193" t="str">
        <f t="shared" si="31"/>
        <v>Monthly</v>
      </c>
      <c r="K441" s="248">
        <f>Datos!X71</f>
        <v>0</v>
      </c>
      <c r="L441" s="193">
        <f>Datos!X71+Datos!X72+Datos!X73</f>
        <v>0</v>
      </c>
      <c r="M441" s="193">
        <f>INDEX(_TARGETS!$J$2:$J$17,MATCH($C441,_TARGETS!$A$2:$A$17,0))</f>
        <v>1</v>
      </c>
      <c r="N441" s="193" t="str">
        <f>INDEX(_TARGETS!$D$2:$D$17,MATCH($C441,_TARGETS!$A$2:$A$17,0))</f>
        <v>% (fracción)</v>
      </c>
      <c r="O441" s="193" t="str">
        <f>IF(NOT(ISNUMBER(F441)),"MISSING","OK")</f>
        <v>MISSING</v>
      </c>
      <c r="P441" s="193" t="str">
        <f>INDEX(_TARGETS!$K$2:$K$17,MATCH($C441,_TARGETS!$A$2:$A$17,0))</f>
        <v>Plant Findings (hoja Observaciones-SMP)</v>
      </c>
      <c r="Q441" s="193" t="str">
        <f t="shared" si="32"/>
        <v>202804|HAL_ALTA_PCT|Monthly</v>
      </c>
      <c r="R441" s="193" t="str">
        <f>INDEX(_TARGETS!$H$2:$H$17,MATCH($C441,_TARGETS!$A$2:$A$17,0))</f>
        <v>Solo reporte</v>
      </c>
      <c r="S441" s="193" t="str">
        <f t="shared" si="33"/>
        <v/>
      </c>
      <c r="T441" s="193" t="str">
        <f t="shared" si="34"/>
        <v/>
      </c>
    </row>
    <row r="442" spans="1:20" ht="13.5" customHeight="1" x14ac:dyDescent="0.3">
      <c r="A442" s="245">
        <f>KPIs!$X$3</f>
        <v>46844</v>
      </c>
      <c r="B442" s="199" t="str">
        <f>KPIs!X$4</f>
        <v>Compresora</v>
      </c>
      <c r="C442" s="31" t="s">
        <v>98</v>
      </c>
      <c r="D442" s="199" t="str">
        <f>KPIs!$A$34</f>
        <v>C2 · Detenciones de tareas aplicadas</v>
      </c>
      <c r="E442" s="31" t="s">
        <v>599</v>
      </c>
      <c r="F442" s="247" t="str">
        <f>IF(ISNUMBER(KPIs!X34),KPIs!X34,"")</f>
        <v/>
      </c>
      <c r="G442" s="247" t="str">
        <f>IF(ISNUMBER(KPIs!$C$34),KPIs!$C$34,"")</f>
        <v/>
      </c>
      <c r="H442" s="199" t="str">
        <f>IFERROR(INDEX(_TARGETS!$E$2:$E$17,MATCH($C442,_TARGETS!$A$2:$A$17,0))&amp;"","")</f>
        <v/>
      </c>
      <c r="I442" s="199" t="str">
        <f t="shared" si="30"/>
        <v/>
      </c>
      <c r="J442" s="193" t="str">
        <f t="shared" si="31"/>
        <v>Monthly</v>
      </c>
      <c r="K442" s="248">
        <f>Datos!X75</f>
        <v>0</v>
      </c>
      <c r="M442" s="193">
        <f>INDEX(_TARGETS!$J$2:$J$17,MATCH($C442,_TARGETS!$A$2:$A$17,0))</f>
        <v>1</v>
      </c>
      <c r="N442" s="193" t="str">
        <f>INDEX(_TARGETS!$D$2:$D$17,MATCH($C442,_TARGETS!$A$2:$A$17,0))</f>
        <v>u</v>
      </c>
      <c r="O442" s="193" t="str">
        <f>IF(NOT(ISNUMBER(F442)),"MISSING","OK")</f>
        <v>MISSING</v>
      </c>
      <c r="P442" s="193" t="str">
        <f>INDEX(_TARGETS!$K$2:$K$17,MATCH($C442,_TARGETS!$A$2:$A$17,0))</f>
        <v>Plant Findings (hoja Observaciones-SMP)</v>
      </c>
      <c r="Q442" s="193" t="str">
        <f t="shared" si="32"/>
        <v>202804|DET|Monthly</v>
      </c>
      <c r="R442" s="193" t="str">
        <f>INDEX(_TARGETS!$H$2:$H$17,MATCH($C442,_TARGETS!$A$2:$A$17,0))</f>
        <v>Solo reporte</v>
      </c>
      <c r="S442" s="193" t="str">
        <f t="shared" si="33"/>
        <v/>
      </c>
      <c r="T442" s="193" t="str">
        <f t="shared" si="34"/>
        <v/>
      </c>
    </row>
    <row r="443" spans="1:20" ht="13.5" customHeight="1" x14ac:dyDescent="0.3">
      <c r="A443" s="245">
        <f>KPIs!$Y$3</f>
        <v>46874</v>
      </c>
      <c r="B443" s="199" t="str">
        <f>KPIs!Y$4</f>
        <v>Compresora</v>
      </c>
      <c r="C443" s="31" t="s">
        <v>39</v>
      </c>
      <c r="D443" s="199" t="str">
        <f>KPIs!$A$6</f>
        <v>1 · Frecuencia de casos con días perdidos</v>
      </c>
      <c r="E443" s="31" t="s">
        <v>599</v>
      </c>
      <c r="F443" s="247" t="str">
        <f>IF(ISNUMBER(KPIs!Y6),KPIs!Y6,"")</f>
        <v/>
      </c>
      <c r="G443" s="247">
        <f>IF(ISNUMBER(KPIs!$C$6),KPIs!$C$6,"")</f>
        <v>0</v>
      </c>
      <c r="H443" s="199" t="str">
        <f>IFERROR(INDEX(_TARGETS!$E$2:$E$17,MATCH($C443,_TARGETS!$A$2:$A$17,0))&amp;"","")</f>
        <v>≤</v>
      </c>
      <c r="I443" s="199" t="str">
        <f t="shared" si="30"/>
        <v/>
      </c>
      <c r="J443" s="193" t="str">
        <f t="shared" si="31"/>
        <v>Monthly</v>
      </c>
      <c r="K443" s="248">
        <f>Datos!Y33</f>
        <v>0</v>
      </c>
      <c r="L443" s="248">
        <f>Datos!Y14</f>
        <v>0</v>
      </c>
      <c r="M443" s="193">
        <f>INDEX(_TARGETS!$J$2:$J$17,MATCH($C443,_TARGETS!$A$2:$A$17,0))</f>
        <v>1000000</v>
      </c>
      <c r="N443" s="193" t="str">
        <f>INDEX(_TARGETS!$D$2:$D$17,MATCH($C443,_TARGETS!$A$2:$A$17,0))</f>
        <v>casos / 10^6 HH</v>
      </c>
      <c r="O443" s="193" t="str">
        <f>IF(NOT(ISNUMBER(F443)),"MISSING",IF((COUNTBLANK(Datos!Y12)+COUNTBLANK(Datos!Y13)+COUNTBLANK(Datos!Y33))&gt;0,"INCOMPLETE","OK"))</f>
        <v>MISSING</v>
      </c>
      <c r="P443" s="193" t="str">
        <f>INDEX(_TARGETS!$K$2:$K$17,MATCH($C443,_TARGETS!$A$2:$A$17,0))</f>
        <v>OPS (carga manual en Datos)</v>
      </c>
      <c r="Q443" s="193" t="str">
        <f t="shared" si="32"/>
        <v>202805|DAFWCF|Monthly</v>
      </c>
      <c r="R443" s="193" t="str">
        <f>INDEX(_TARGETS!$H$2:$H$17,MATCH($C443,_TARGETS!$A$2:$A$17,0))</f>
        <v>Definida</v>
      </c>
      <c r="S443" s="193" t="str">
        <f t="shared" si="33"/>
        <v/>
      </c>
      <c r="T443" s="193" t="str">
        <f t="shared" si="34"/>
        <v/>
      </c>
    </row>
    <row r="444" spans="1:20" ht="13.5" customHeight="1" x14ac:dyDescent="0.3">
      <c r="A444" s="245">
        <f>KPIs!$Y$3</f>
        <v>46874</v>
      </c>
      <c r="B444" s="199" t="str">
        <f>KPIs!Y$4</f>
        <v>Compresora</v>
      </c>
      <c r="C444" s="31" t="s">
        <v>49</v>
      </c>
      <c r="D444" s="199" t="str">
        <f>KPIs!$A$7</f>
        <v>2 · Frecuencia de casos registrables</v>
      </c>
      <c r="E444" s="31" t="s">
        <v>599</v>
      </c>
      <c r="F444" s="247" t="str">
        <f>IF(ISNUMBER(KPIs!Y7),KPIs!Y7,"")</f>
        <v/>
      </c>
      <c r="G444" s="247">
        <f>IF(ISNUMBER(KPIs!$C$7),KPIs!$C$7,"")</f>
        <v>2.35</v>
      </c>
      <c r="H444" s="199" t="str">
        <f>IFERROR(INDEX(_TARGETS!$E$2:$E$17,MATCH($C444,_TARGETS!$A$2:$A$17,0))&amp;"","")</f>
        <v>≤</v>
      </c>
      <c r="I444" s="199" t="str">
        <f t="shared" si="30"/>
        <v/>
      </c>
      <c r="J444" s="193" t="str">
        <f t="shared" si="31"/>
        <v>Monthly</v>
      </c>
      <c r="K444" s="193">
        <f>Datos!Y33+Datos!Y34+Datos!Y35+Datos!Y36</f>
        <v>0</v>
      </c>
      <c r="L444" s="248">
        <f>Datos!Y14</f>
        <v>0</v>
      </c>
      <c r="M444" s="193">
        <f>INDEX(_TARGETS!$J$2:$J$17,MATCH($C444,_TARGETS!$A$2:$A$17,0))</f>
        <v>1000000</v>
      </c>
      <c r="N444" s="193" t="str">
        <f>INDEX(_TARGETS!$D$2:$D$17,MATCH($C444,_TARGETS!$A$2:$A$17,0))</f>
        <v>casos / 10^6 HH</v>
      </c>
      <c r="O444" s="193" t="str">
        <f>IF(NOT(ISNUMBER(F444)),"MISSING",IF((COUNTBLANK(Datos!Y12)+COUNTBLANK(Datos!Y13)+COUNTBLANK(Datos!Y33)+COUNTBLANK(Datos!Y34)+COUNTBLANK(Datos!Y35)+COUNTBLANK(Datos!Y36))&gt;0,"INCOMPLETE","OK"))</f>
        <v>MISSING</v>
      </c>
      <c r="P444" s="193" t="str">
        <f>INDEX(_TARGETS!$K$2:$K$17,MATCH($C444,_TARGETS!$A$2:$A$17,0))</f>
        <v>OPS (carga manual en Datos)</v>
      </c>
      <c r="Q444" s="193" t="str">
        <f t="shared" si="32"/>
        <v>202805|TRICF|Monthly</v>
      </c>
      <c r="R444" s="193" t="str">
        <f>INDEX(_TARGETS!$H$2:$H$17,MATCH($C444,_TARGETS!$A$2:$A$17,0))</f>
        <v>Definida</v>
      </c>
      <c r="S444" s="193" t="str">
        <f t="shared" si="33"/>
        <v/>
      </c>
      <c r="T444" s="193" t="str">
        <f t="shared" si="34"/>
        <v/>
      </c>
    </row>
    <row r="445" spans="1:20" ht="13.5" customHeight="1" x14ac:dyDescent="0.3">
      <c r="A445" s="245">
        <f>KPIs!$Y$3</f>
        <v>46874</v>
      </c>
      <c r="B445" s="199" t="str">
        <f>KPIs!Y$4</f>
        <v>Compresora</v>
      </c>
      <c r="C445" s="31" t="s">
        <v>51</v>
      </c>
      <c r="D445" s="199" t="str">
        <f>KPIs!$A$8</f>
        <v>3 · Casos de primeros auxilios</v>
      </c>
      <c r="E445" s="31" t="s">
        <v>599</v>
      </c>
      <c r="F445" s="247" t="str">
        <f>IF(ISNUMBER(KPIs!Y8),KPIs!Y8,"")</f>
        <v/>
      </c>
      <c r="G445" s="247" t="str">
        <f>IF(ISNUMBER(KPIs!$C$8),KPIs!$C$8,"")</f>
        <v/>
      </c>
      <c r="H445" s="199" t="str">
        <f>IFERROR(INDEX(_TARGETS!$E$2:$E$17,MATCH($C445,_TARGETS!$A$2:$A$17,0))&amp;"","")</f>
        <v/>
      </c>
      <c r="I445" s="199" t="str">
        <f t="shared" si="30"/>
        <v/>
      </c>
      <c r="J445" s="193" t="str">
        <f t="shared" si="31"/>
        <v>Monthly</v>
      </c>
      <c r="K445" s="248">
        <f>Datos!Y37</f>
        <v>0</v>
      </c>
      <c r="M445" s="193">
        <f>INDEX(_TARGETS!$J$2:$J$17,MATCH($C445,_TARGETS!$A$2:$A$17,0))</f>
        <v>1</v>
      </c>
      <c r="N445" s="193" t="str">
        <f>INDEX(_TARGETS!$D$2:$D$17,MATCH($C445,_TARGETS!$A$2:$A$17,0))</f>
        <v>casos</v>
      </c>
      <c r="O445" s="193" t="str">
        <f>IF(NOT(ISNUMBER(F445)),"MISSING",IF((COUNTBLANK(Datos!Y12)+COUNTBLANK(Datos!Y13)+COUNTBLANK(Datos!Y37))&gt;0,"INCOMPLETE","OK"))</f>
        <v>MISSING</v>
      </c>
      <c r="P445" s="193" t="str">
        <f>INDEX(_TARGETS!$K$2:$K$17,MATCH($C445,_TARGETS!$A$2:$A$17,0))</f>
        <v>OPS (carga manual en Datos)</v>
      </c>
      <c r="Q445" s="193" t="str">
        <f t="shared" si="32"/>
        <v>202805|FAC|Monthly</v>
      </c>
      <c r="R445" s="193" t="str">
        <f>INDEX(_TARGETS!$H$2:$H$17,MATCH($C445,_TARGETS!$A$2:$A$17,0))</f>
        <v>Solo reporte</v>
      </c>
      <c r="S445" s="193" t="str">
        <f t="shared" si="33"/>
        <v/>
      </c>
      <c r="T445" s="193" t="str">
        <f t="shared" si="34"/>
        <v/>
      </c>
    </row>
    <row r="446" spans="1:20" ht="13.5" customHeight="1" x14ac:dyDescent="0.3">
      <c r="A446" s="245">
        <f>KPIs!$Y$3</f>
        <v>46874</v>
      </c>
      <c r="B446" s="199" t="str">
        <f>KPIs!Y$4</f>
        <v>Compresora</v>
      </c>
      <c r="C446" s="31" t="s">
        <v>57</v>
      </c>
      <c r="D446" s="199" t="str">
        <f>KPIs!$A$10</f>
        <v>4 · Accidentes vehiculares severos por millón de km</v>
      </c>
      <c r="E446" s="31" t="s">
        <v>599</v>
      </c>
      <c r="F446" s="247" t="str">
        <f>IF(ISNUMBER(KPIs!Y10),KPIs!Y10,"")</f>
        <v/>
      </c>
      <c r="G446" s="247" t="str">
        <f>IF(ISNUMBER(KPIs!$C$10),KPIs!$C$10,"")</f>
        <v/>
      </c>
      <c r="H446" s="199" t="str">
        <f>IFERROR(INDEX(_TARGETS!$E$2:$E$17,MATCH($C446,_TARGETS!$A$2:$A$17,0))&amp;"","")</f>
        <v/>
      </c>
      <c r="I446" s="199" t="str">
        <f t="shared" si="30"/>
        <v/>
      </c>
      <c r="J446" s="193" t="str">
        <f t="shared" si="31"/>
        <v>Monthly</v>
      </c>
      <c r="K446" s="193">
        <f>Datos!Y39+Datos!Y40+Datos!Y41</f>
        <v>0</v>
      </c>
      <c r="L446" s="248">
        <f>Datos!Y47</f>
        <v>0</v>
      </c>
      <c r="M446" s="193">
        <f>INDEX(_TARGETS!$J$2:$J$17,MATCH($C446,_TARGETS!$A$2:$A$17,0))</f>
        <v>1000000</v>
      </c>
      <c r="N446" s="193" t="str">
        <f>INDEX(_TARGETS!$D$2:$D$17,MATCH($C446,_TARGETS!$A$2:$A$17,0))</f>
        <v>eventos / 10^6 km</v>
      </c>
      <c r="O446" s="193" t="str">
        <f>IF(NOT(ISNUMBER(F446)),"MISSING",IF((COUNTBLANK(Datos!Y44)+COUNTBLANK(Datos!Y45)+COUNTBLANK(Datos!Y46)+COUNTBLANK(Datos!Y39)+COUNTBLANK(Datos!Y40)+COUNTBLANK(Datos!Y41))&gt;0,"INCOMPLETE","OK"))</f>
        <v>MISSING</v>
      </c>
      <c r="P446" s="193" t="str">
        <f>INDEX(_TARGETS!$K$2:$K$17,MATCH($C446,_TARGETS!$A$2:$A$17,0))</f>
        <v>OPS (eventos) + Full Control GPS (km) - carga manual en Datos</v>
      </c>
      <c r="Q446" s="193" t="str">
        <f t="shared" si="32"/>
        <v>202805|SVCR|Monthly</v>
      </c>
      <c r="R446" s="193" t="str">
        <f>INDEX(_TARGETS!$H$2:$H$17,MATCH($C446,_TARGETS!$A$2:$A$17,0))</f>
        <v>Solo reporte</v>
      </c>
      <c r="S446" s="193" t="str">
        <f t="shared" si="33"/>
        <v/>
      </c>
      <c r="T446" s="193" t="str">
        <f t="shared" si="34"/>
        <v/>
      </c>
    </row>
    <row r="447" spans="1:20" ht="13.5" customHeight="1" x14ac:dyDescent="0.3">
      <c r="A447" s="245">
        <f>KPIs!$Y$3</f>
        <v>46874</v>
      </c>
      <c r="B447" s="199" t="str">
        <f>KPIs!Y$4</f>
        <v>Compresora</v>
      </c>
      <c r="C447" s="31" t="s">
        <v>61</v>
      </c>
      <c r="D447" s="199" t="str">
        <f>KPIs!$A$11</f>
        <v>5 · Accidentes vehiculares totales por millón de km</v>
      </c>
      <c r="E447" s="31" t="s">
        <v>599</v>
      </c>
      <c r="F447" s="247" t="str">
        <f>IF(ISNUMBER(KPIs!Y11),KPIs!Y11,"")</f>
        <v/>
      </c>
      <c r="G447" s="247">
        <f>IF(ISNUMBER(KPIs!$C$11),KPIs!$C$11,"")</f>
        <v>0.79</v>
      </c>
      <c r="H447" s="199" t="str">
        <f>IFERROR(INDEX(_TARGETS!$E$2:$E$17,MATCH($C447,_TARGETS!$A$2:$A$17,0))&amp;"","")</f>
        <v>≤</v>
      </c>
      <c r="I447" s="199" t="str">
        <f t="shared" si="30"/>
        <v/>
      </c>
      <c r="J447" s="193" t="str">
        <f t="shared" si="31"/>
        <v>Monthly</v>
      </c>
      <c r="K447" s="193">
        <f>Datos!Y39+Datos!Y40+Datos!Y41+Datos!Y42</f>
        <v>0</v>
      </c>
      <c r="L447" s="248">
        <f>Datos!Y47</f>
        <v>0</v>
      </c>
      <c r="M447" s="193">
        <f>INDEX(_TARGETS!$J$2:$J$17,MATCH($C447,_TARGETS!$A$2:$A$17,0))</f>
        <v>1000000</v>
      </c>
      <c r="N447" s="193" t="str">
        <f>INDEX(_TARGETS!$D$2:$D$17,MATCH($C447,_TARGETS!$A$2:$A$17,0))</f>
        <v>eventos / 10^6 km</v>
      </c>
      <c r="O447" s="193" t="str">
        <f>IF(NOT(ISNUMBER(F447)),"MISSING",IF((COUNTBLANK(Datos!Y44)+COUNTBLANK(Datos!Y45)+COUNTBLANK(Datos!Y46)+COUNTBLANK(Datos!Y39)+COUNTBLANK(Datos!Y40)+COUNTBLANK(Datos!Y41)+COUNTBLANK(Datos!Y42))&gt;0,"INCOMPLETE","OK"))</f>
        <v>MISSING</v>
      </c>
      <c r="P447" s="193" t="str">
        <f>INDEX(_TARGETS!$K$2:$K$17,MATCH($C447,_TARGETS!$A$2:$A$17,0))</f>
        <v>OPS (eventos) + Full Control GPS (km) - carga manual en Datos</v>
      </c>
      <c r="Q447" s="193" t="str">
        <f t="shared" si="32"/>
        <v>202805|TVCR|Monthly</v>
      </c>
      <c r="R447" s="193" t="str">
        <f>INDEX(_TARGETS!$H$2:$H$17,MATCH($C447,_TARGETS!$A$2:$A$17,0))</f>
        <v>Definida</v>
      </c>
      <c r="S447" s="193" t="str">
        <f t="shared" si="33"/>
        <v/>
      </c>
      <c r="T447" s="193" t="str">
        <f t="shared" si="34"/>
        <v/>
      </c>
    </row>
    <row r="448" spans="1:20" ht="13.5" customHeight="1" x14ac:dyDescent="0.3">
      <c r="A448" s="245">
        <f>KPIs!$Y$3</f>
        <v>46874</v>
      </c>
      <c r="B448" s="199" t="str">
        <f>KPIs!Y$4</f>
        <v>Compresora</v>
      </c>
      <c r="C448" s="31" t="s">
        <v>63</v>
      </c>
      <c r="D448" s="199" t="str">
        <f>KPIs!$A$13</f>
        <v>6 · Observaciones de seguridad por persona</v>
      </c>
      <c r="E448" s="31" t="s">
        <v>599</v>
      </c>
      <c r="F448" s="247" t="str">
        <f>IF(ISNUMBER(KPIs!Y13),KPIs!Y13,"")</f>
        <v/>
      </c>
      <c r="G448" s="247">
        <f>IF(ISNUMBER(KPIs!$C$13),KPIs!$C$13,"")</f>
        <v>1</v>
      </c>
      <c r="H448" s="199" t="str">
        <f>IFERROR(INDEX(_TARGETS!$E$2:$E$17,MATCH($C448,_TARGETS!$A$2:$A$17,0))&amp;"","")</f>
        <v>≥</v>
      </c>
      <c r="I448" s="199" t="str">
        <f t="shared" si="30"/>
        <v/>
      </c>
      <c r="J448" s="193" t="str">
        <f t="shared" si="31"/>
        <v>Monthly</v>
      </c>
      <c r="K448" s="248" t="str">
        <f>IF(COUNT(Datos!Y28:Y29)=0,"",SUM(Datos!Y28:Y29))</f>
        <v/>
      </c>
      <c r="L448" s="248">
        <f>Datos!Y11</f>
        <v>0</v>
      </c>
      <c r="M448" s="193">
        <f>INDEX(_TARGETS!$J$2:$J$17,MATCH($C448,_TARGETS!$A$2:$A$17,0))</f>
        <v>1</v>
      </c>
      <c r="N448" s="193" t="str">
        <f>INDEX(_TARGETS!$D$2:$D$17,MATCH($C448,_TARGETS!$A$2:$A$17,0))</f>
        <v>obs / persona</v>
      </c>
      <c r="O448" s="193" t="str">
        <f>IF(NOT(ISNUMBER(F448)),"MISSING",IF((COUNTBLANK(Datos!Y9)+COUNTBLANK(Datos!Y10)+IF(COUNT(Datos!Y28:Y29)=0,1,0))&gt;0,"INCOMPLETE","OK"))</f>
        <v>MISSING</v>
      </c>
      <c r="P448" s="193" t="str">
        <f>INDEX(_TARGETS!$K$2:$K$17,MATCH($C448,_TARGETS!$A$2:$A$17,0))</f>
        <v>OPS (carga manual en Datos)</v>
      </c>
      <c r="Q448" s="193" t="str">
        <f t="shared" si="32"/>
        <v>202805|OBS|Monthly</v>
      </c>
      <c r="R448" s="193" t="str">
        <f>INDEX(_TARGETS!$H$2:$H$17,MATCH($C448,_TARGETS!$A$2:$A$17,0))</f>
        <v>PROVISORIA · referencia del subcontratista (OPS: 1 obs/persona); meta y población en definición</v>
      </c>
      <c r="S448" s="193" t="str">
        <f t="shared" si="33"/>
        <v/>
      </c>
      <c r="T448" s="193" t="str">
        <f t="shared" si="34"/>
        <v/>
      </c>
    </row>
    <row r="449" spans="1:20" ht="13.5" customHeight="1" x14ac:dyDescent="0.3">
      <c r="A449" s="245">
        <f>KPIs!$Y$3</f>
        <v>46874</v>
      </c>
      <c r="B449" s="199" t="str">
        <f>KPIs!Y$4</f>
        <v>Compresora</v>
      </c>
      <c r="C449" s="31" t="s">
        <v>71</v>
      </c>
      <c r="D449" s="199" t="str">
        <f>KPIs!$A$14</f>
        <v>7 · Investigaciones de accidentes: días promedio de cierre</v>
      </c>
      <c r="E449" s="31" t="s">
        <v>599</v>
      </c>
      <c r="F449" s="247" t="str">
        <f>IF(ISNUMBER(KPIs!Y14),KPIs!Y14,"")</f>
        <v/>
      </c>
      <c r="G449" s="247">
        <f>IF(ISNUMBER(KPIs!$C$14),KPIs!$C$14,"")</f>
        <v>20</v>
      </c>
      <c r="H449" s="199" t="str">
        <f>IFERROR(INDEX(_TARGETS!$E$2:$E$17,MATCH($C449,_TARGETS!$A$2:$A$17,0))&amp;"","")</f>
        <v>≤</v>
      </c>
      <c r="I449" s="199" t="str">
        <f t="shared" si="30"/>
        <v/>
      </c>
      <c r="J449" s="193" t="str">
        <f t="shared" si="31"/>
        <v>Monthly</v>
      </c>
      <c r="K449" s="248">
        <f>Datos!Y31</f>
        <v>0</v>
      </c>
      <c r="L449" s="248">
        <f>Datos!Y30</f>
        <v>0</v>
      </c>
      <c r="M449" s="193">
        <f>INDEX(_TARGETS!$J$2:$J$17,MATCH($C449,_TARGETS!$A$2:$A$17,0))</f>
        <v>1</v>
      </c>
      <c r="N449" s="193" t="str">
        <f>INDEX(_TARGETS!$D$2:$D$17,MATCH($C449,_TARGETS!$A$2:$A$17,0))</f>
        <v>días</v>
      </c>
      <c r="O449" s="193" t="str">
        <f>IF(NOT(ISNUMBER(F449)),"MISSING",IF((COUNTBLANK(Datos!Y30)+COUNTBLANK(Datos!Y31))&gt;0,"INCOMPLETE","OK"))</f>
        <v>MISSING</v>
      </c>
      <c r="P449" s="193" t="str">
        <f>INDEX(_TARGETS!$K$2:$K$17,MATCH($C449,_TARGETS!$A$2:$A$17,0))</f>
        <v>OPS (carga manual en Datos)</v>
      </c>
      <c r="Q449" s="193" t="str">
        <f t="shared" si="32"/>
        <v>202805|INV|Monthly</v>
      </c>
      <c r="R449" s="193" t="str">
        <f>INDEX(_TARGETS!$H$2:$H$17,MATCH($C449,_TARGETS!$A$2:$A$17,0))</f>
        <v>Definida</v>
      </c>
      <c r="S449" s="193" t="str">
        <f t="shared" si="33"/>
        <v/>
      </c>
      <c r="T449" s="193" t="str">
        <f t="shared" si="34"/>
        <v/>
      </c>
    </row>
    <row r="450" spans="1:20" ht="13.5" customHeight="1" x14ac:dyDescent="0.3">
      <c r="A450" s="245">
        <f>KPIs!$Y$3</f>
        <v>46874</v>
      </c>
      <c r="B450" s="199" t="str">
        <f>KPIs!Y$4</f>
        <v>Compresora</v>
      </c>
      <c r="C450" s="31" t="s">
        <v>76</v>
      </c>
      <c r="D450" s="199" t="str">
        <f>KPIs!$A$16</f>
        <v>8 · % de capacitación en seguridad</v>
      </c>
      <c r="E450" s="31" t="s">
        <v>599</v>
      </c>
      <c r="F450" s="247" t="str">
        <f>IF(ISNUMBER(KPIs!Y16),KPIs!Y16,"")</f>
        <v/>
      </c>
      <c r="G450" s="247">
        <f>IF(ISNUMBER(KPIs!$C$16),KPIs!$C$16,"")</f>
        <v>0.01</v>
      </c>
      <c r="H450" s="199" t="str">
        <f>IFERROR(INDEX(_TARGETS!$E$2:$E$17,MATCH($C450,_TARGETS!$A$2:$A$17,0))&amp;"","")</f>
        <v>≥</v>
      </c>
      <c r="I450" s="199" t="str">
        <f t="shared" ref="I450:I513" si="35">IF(OR(H450="",F450="",G450=""),"",IF(IF(H450="≤",F450&lt;=G450,F450&gt;=G450),"Sí","No"))</f>
        <v/>
      </c>
      <c r="J450" s="193" t="str">
        <f t="shared" ref="J450:J513" si="36">IF(E450="Mensual","Monthly",IF(E450="Acumulado","Cumulative",E450))</f>
        <v>Monthly</v>
      </c>
      <c r="K450" s="248">
        <f>Datos!Y18</f>
        <v>0</v>
      </c>
      <c r="L450" s="248">
        <f>Datos!Y14</f>
        <v>0</v>
      </c>
      <c r="M450" s="193">
        <f>INDEX(_TARGETS!$J$2:$J$17,MATCH($C450,_TARGETS!$A$2:$A$17,0))</f>
        <v>1</v>
      </c>
      <c r="N450" s="193" t="str">
        <f>INDEX(_TARGETS!$D$2:$D$17,MATCH($C450,_TARGETS!$A$2:$A$17,0))</f>
        <v>% (fracción)</v>
      </c>
      <c r="O450" s="193" t="str">
        <f>IF(NOT(ISNUMBER(F450)),"MISSING",IF((COUNTBLANK(Datos!Y16)+COUNTBLANK(Datos!Y17)+COUNTBLANK(Datos!Y12)+COUNTBLANK(Datos!Y13))&gt;0,"INCOMPLETE","OK"))</f>
        <v>MISSING</v>
      </c>
      <c r="P450" s="193" t="str">
        <f>INDEX(_TARGETS!$K$2:$K$17,MATCH($C450,_TARGETS!$A$2:$A$17,0))</f>
        <v>OPS (carga manual en Datos)</v>
      </c>
      <c r="Q450" s="193" t="str">
        <f t="shared" ref="Q450:Q513" si="37">YEAR(A450)*100+MONTH(A450)&amp;"|"&amp;C450&amp;"|"&amp;J450</f>
        <v>202805|HCS|Monthly</v>
      </c>
      <c r="R450" s="193" t="str">
        <f>INDEX(_TARGETS!$H$2:$H$17,MATCH($C450,_TARGETS!$A$2:$A$17,0))</f>
        <v>Definida</v>
      </c>
      <c r="S450" s="193" t="str">
        <f t="shared" ref="S450:S513" si="38">IF(AND(ISNUMBER(K450),ISNUMBER(L450)),IF(L450=0,"",K450*M450/L450),IF(ISNUMBER(K450),K450*M450,""))</f>
        <v/>
      </c>
      <c r="T450" s="193" t="str">
        <f t="shared" ref="T450:T513" si="39">IF(AND(ISNUMBER(F450),ISNUMBER(S450)),ABS(F450-S450),"")</f>
        <v/>
      </c>
    </row>
    <row r="451" spans="1:20" ht="13.5" customHeight="1" x14ac:dyDescent="0.3">
      <c r="A451" s="245">
        <f>KPIs!$Y$3</f>
        <v>46874</v>
      </c>
      <c r="B451" s="199" t="str">
        <f>KPIs!Y$4</f>
        <v>Compresora</v>
      </c>
      <c r="C451" s="31" t="s">
        <v>80</v>
      </c>
      <c r="D451" s="199" t="str">
        <f>KPIs!$A$17</f>
        <v>9 · Horas de capacitación por persona</v>
      </c>
      <c r="E451" s="31" t="s">
        <v>599</v>
      </c>
      <c r="F451" s="247" t="str">
        <f>IF(ISNUMBER(KPIs!Y17),KPIs!Y17,"")</f>
        <v/>
      </c>
      <c r="G451" s="247" t="str">
        <f>IF(ISNUMBER(KPIs!$C$17),KPIs!$C$17,"")</f>
        <v/>
      </c>
      <c r="H451" s="199" t="str">
        <f>IFERROR(INDEX(_TARGETS!$E$2:$E$17,MATCH($C451,_TARGETS!$A$2:$A$17,0))&amp;"","")</f>
        <v/>
      </c>
      <c r="I451" s="199" t="str">
        <f t="shared" si="35"/>
        <v/>
      </c>
      <c r="J451" s="193" t="str">
        <f t="shared" si="36"/>
        <v>Monthly</v>
      </c>
      <c r="K451" s="248">
        <f>Datos!Y18</f>
        <v>0</v>
      </c>
      <c r="L451" s="248">
        <f>Datos!Y11</f>
        <v>0</v>
      </c>
      <c r="M451" s="193">
        <f>INDEX(_TARGETS!$J$2:$J$17,MATCH($C451,_TARGETS!$A$2:$A$17,0))</f>
        <v>1</v>
      </c>
      <c r="N451" s="193" t="str">
        <f>INDEX(_TARGETS!$D$2:$D$17,MATCH($C451,_TARGETS!$A$2:$A$17,0))</f>
        <v>h / persona</v>
      </c>
      <c r="O451" s="193" t="str">
        <f>IF(NOT(ISNUMBER(F451)),"MISSING",IF((COUNTBLANK(Datos!Y16)+COUNTBLANK(Datos!Y17)+COUNTBLANK(Datos!Y9)+COUNTBLANK(Datos!Y10))&gt;0,"INCOMPLETE","OK"))</f>
        <v>MISSING</v>
      </c>
      <c r="P451" s="193" t="str">
        <f>INDEX(_TARGETS!$K$2:$K$17,MATCH($C451,_TARGETS!$A$2:$A$17,0))</f>
        <v>OPS (carga manual en Datos)</v>
      </c>
      <c r="Q451" s="193" t="str">
        <f t="shared" si="37"/>
        <v>202805|HCSA|Monthly</v>
      </c>
      <c r="R451" s="193" t="str">
        <f>INDEX(_TARGETS!$H$2:$H$17,MATCH($C451,_TARGETS!$A$2:$A$17,0))</f>
        <v>Solo reporte</v>
      </c>
      <c r="S451" s="193" t="str">
        <f t="shared" si="38"/>
        <v/>
      </c>
      <c r="T451" s="193" t="str">
        <f t="shared" si="39"/>
        <v/>
      </c>
    </row>
    <row r="452" spans="1:20" ht="13.5" customHeight="1" x14ac:dyDescent="0.3">
      <c r="A452" s="245">
        <f>KPIs!$Y$3</f>
        <v>46874</v>
      </c>
      <c r="B452" s="199" t="str">
        <f>KPIs!Y$4</f>
        <v>Compresora</v>
      </c>
      <c r="C452" s="31" t="s">
        <v>83</v>
      </c>
      <c r="D452" s="199" t="str">
        <f>KPIs!$A$18</f>
        <v>10 · Cumplimiento de simulacros (emergencia y operativos)</v>
      </c>
      <c r="E452" s="31" t="s">
        <v>599</v>
      </c>
      <c r="F452" s="247" t="str">
        <f>IF(ISNUMBER(KPIs!Y18),KPIs!Y18,"")</f>
        <v/>
      </c>
      <c r="G452" s="247">
        <f>IF(ISNUMBER(KPIs!$C$18),KPIs!$C$18,"")</f>
        <v>1</v>
      </c>
      <c r="H452" s="199" t="str">
        <f>IFERROR(INDEX(_TARGETS!$E$2:$E$17,MATCH($C452,_TARGETS!$A$2:$A$17,0))&amp;"","")</f>
        <v>≥</v>
      </c>
      <c r="I452" s="199" t="str">
        <f t="shared" si="35"/>
        <v/>
      </c>
      <c r="J452" s="193" t="str">
        <f t="shared" si="36"/>
        <v>Monthly</v>
      </c>
      <c r="K452" s="248">
        <f>Datos!Y20</f>
        <v>0</v>
      </c>
      <c r="L452" s="248">
        <f>Datos!Y21</f>
        <v>0</v>
      </c>
      <c r="M452" s="193">
        <f>INDEX(_TARGETS!$J$2:$J$17,MATCH($C452,_TARGETS!$A$2:$A$17,0))</f>
        <v>1</v>
      </c>
      <c r="N452" s="193" t="str">
        <f>INDEX(_TARGETS!$D$2:$D$17,MATCH($C452,_TARGETS!$A$2:$A$17,0))</f>
        <v>% (fracción)</v>
      </c>
      <c r="O452" s="193" t="str">
        <f>IF(NOT(ISNUMBER(F452)),"MISSING",IF((COUNTBLANK(Datos!Y20)+COUNTBLANK(Datos!Y21))&gt;0,"INCOMPLETE","OK"))</f>
        <v>MISSING</v>
      </c>
      <c r="P452" s="193" t="str">
        <f>INDEX(_TARGETS!$K$2:$K$17,MATCH($C452,_TARGETS!$A$2:$A$17,0))</f>
        <v>OPS (carga manual en Datos)</v>
      </c>
      <c r="Q452" s="193" t="str">
        <f t="shared" si="37"/>
        <v>202805|CPSE|Monthly</v>
      </c>
      <c r="R452" s="193" t="str">
        <f>INDEX(_TARGETS!$H$2:$H$17,MATCH($C452,_TARGETS!$A$2:$A$17,0))</f>
        <v>Definida</v>
      </c>
      <c r="S452" s="193" t="str">
        <f t="shared" si="38"/>
        <v/>
      </c>
      <c r="T452" s="193" t="str">
        <f t="shared" si="39"/>
        <v/>
      </c>
    </row>
    <row r="453" spans="1:20" ht="13.5" customHeight="1" x14ac:dyDescent="0.3">
      <c r="A453" s="245">
        <f>KPIs!$Y$3</f>
        <v>46874</v>
      </c>
      <c r="B453" s="199" t="str">
        <f>KPIs!Y$4</f>
        <v>Compresora</v>
      </c>
      <c r="C453" s="31" t="s">
        <v>85</v>
      </c>
      <c r="D453" s="199" t="str">
        <f>KPIs!$A$19</f>
        <v>10b · Cumplimiento de acciones de mejora de simulacros</v>
      </c>
      <c r="E453" s="31" t="s">
        <v>599</v>
      </c>
      <c r="F453" s="247" t="str">
        <f>IF(ISNUMBER(KPIs!Y19),KPIs!Y19,"")</f>
        <v/>
      </c>
      <c r="G453" s="247" t="str">
        <f>IF(ISNUMBER(KPIs!$C$19),KPIs!$C$19,"")</f>
        <v/>
      </c>
      <c r="H453" s="199" t="str">
        <f>IFERROR(INDEX(_TARGETS!$E$2:$E$17,MATCH($C453,_TARGETS!$A$2:$A$17,0))&amp;"","")</f>
        <v/>
      </c>
      <c r="I453" s="199" t="str">
        <f t="shared" si="35"/>
        <v/>
      </c>
      <c r="J453" s="193" t="str">
        <f t="shared" si="36"/>
        <v>Monthly</v>
      </c>
      <c r="K453" s="248">
        <f>Datos!Y23</f>
        <v>0</v>
      </c>
      <c r="L453" s="248">
        <f>Datos!Y22</f>
        <v>0</v>
      </c>
      <c r="M453" s="193">
        <f>INDEX(_TARGETS!$J$2:$J$17,MATCH($C453,_TARGETS!$A$2:$A$17,0))</f>
        <v>1</v>
      </c>
      <c r="N453" s="193" t="str">
        <f>INDEX(_TARGETS!$D$2:$D$17,MATCH($C453,_TARGETS!$A$2:$A$17,0))</f>
        <v>% (fracción)</v>
      </c>
      <c r="O453" s="193" t="str">
        <f>IF(NOT(ISNUMBER(F453)),"MISSING",IF((COUNTBLANK(Datos!Y23)+COUNTBLANK(Datos!Y22))&gt;0,"INCOMPLETE","OK"))</f>
        <v>MISSING</v>
      </c>
      <c r="P453" s="193" t="str">
        <f>INDEX(_TARGETS!$K$2:$K$17,MATCH($C453,_TARGETS!$A$2:$A$17,0))</f>
        <v>OPS (carga manual en Datos)</v>
      </c>
      <c r="Q453" s="193" t="str">
        <f t="shared" si="37"/>
        <v>202805|CAMS|Monthly</v>
      </c>
      <c r="R453" s="193" t="str">
        <f>INDEX(_TARGETS!$H$2:$H$17,MATCH($C453,_TARGETS!$A$2:$A$17,0))</f>
        <v>Solo reporte</v>
      </c>
      <c r="S453" s="193" t="str">
        <f t="shared" si="38"/>
        <v/>
      </c>
      <c r="T453" s="193" t="str">
        <f t="shared" si="39"/>
        <v/>
      </c>
    </row>
    <row r="454" spans="1:20" ht="13.5" customHeight="1" x14ac:dyDescent="0.3">
      <c r="A454" s="245">
        <f>KPIs!$Y$3</f>
        <v>46874</v>
      </c>
      <c r="B454" s="199" t="str">
        <f>KPIs!Y$4</f>
        <v>Compresora</v>
      </c>
      <c r="C454" s="31" t="s">
        <v>87</v>
      </c>
      <c r="D454" s="199" t="str">
        <f>KPIs!$A$21</f>
        <v>11 · Cumplimiento de caminatas gerenciales</v>
      </c>
      <c r="E454" s="31" t="s">
        <v>599</v>
      </c>
      <c r="F454" s="247" t="str">
        <f>IF(ISNUMBER(KPIs!Y21),KPIs!Y21,"")</f>
        <v/>
      </c>
      <c r="G454" s="247">
        <f>IF(ISNUMBER(KPIs!$C$21),KPIs!$C$21,"")</f>
        <v>1</v>
      </c>
      <c r="H454" s="199" t="str">
        <f>IFERROR(INDEX(_TARGETS!$E$2:$E$17,MATCH($C454,_TARGETS!$A$2:$A$17,0))&amp;"","")</f>
        <v>≥</v>
      </c>
      <c r="I454" s="199" t="str">
        <f t="shared" si="35"/>
        <v/>
      </c>
      <c r="J454" s="193" t="str">
        <f t="shared" si="36"/>
        <v>Monthly</v>
      </c>
      <c r="K454" s="248">
        <f>Datos!Y24</f>
        <v>0</v>
      </c>
      <c r="L454" s="248">
        <f>Datos!Y25</f>
        <v>0</v>
      </c>
      <c r="M454" s="193">
        <f>INDEX(_TARGETS!$J$2:$J$17,MATCH($C454,_TARGETS!$A$2:$A$17,0))</f>
        <v>1</v>
      </c>
      <c r="N454" s="193" t="str">
        <f>INDEX(_TARGETS!$D$2:$D$17,MATCH($C454,_TARGETS!$A$2:$A$17,0))</f>
        <v>% (fracción)</v>
      </c>
      <c r="O454" s="193" t="str">
        <f>IF(NOT(ISNUMBER(F454)),"MISSING",IF((COUNTBLANK(Datos!Y24)+COUNTBLANK(Datos!Y25))&gt;0,"INCOMPLETE","OK"))</f>
        <v>MISSING</v>
      </c>
      <c r="P454" s="193" t="str">
        <f>INDEX(_TARGETS!$K$2:$K$17,MATCH($C454,_TARGETS!$A$2:$A$17,0))</f>
        <v>OPS (carga manual en Datos)</v>
      </c>
      <c r="Q454" s="193" t="str">
        <f t="shared" si="37"/>
        <v>202805|ICCS|Monthly</v>
      </c>
      <c r="R454" s="193" t="str">
        <f>INDEX(_TARGETS!$H$2:$H$17,MATCH($C454,_TARGETS!$A$2:$A$17,0))</f>
        <v>Definida</v>
      </c>
      <c r="S454" s="193" t="str">
        <f t="shared" si="38"/>
        <v/>
      </c>
      <c r="T454" s="193" t="str">
        <f t="shared" si="39"/>
        <v/>
      </c>
    </row>
    <row r="455" spans="1:20" ht="13.5" customHeight="1" x14ac:dyDescent="0.3">
      <c r="A455" s="245">
        <f>KPIs!$Y$3</f>
        <v>46874</v>
      </c>
      <c r="B455" s="199" t="str">
        <f>KPIs!Y$4</f>
        <v>Compresora</v>
      </c>
      <c r="C455" s="31" t="s">
        <v>89</v>
      </c>
      <c r="D455" s="199" t="str">
        <f>KPIs!$A$22</f>
        <v>12 · Cumplimiento de comités y subcomités de seguridad</v>
      </c>
      <c r="E455" s="31" t="s">
        <v>599</v>
      </c>
      <c r="F455" s="247" t="str">
        <f>IF(ISNUMBER(KPIs!Y22),KPIs!Y22,"")</f>
        <v/>
      </c>
      <c r="G455" s="247">
        <f>IF(ISNUMBER(KPIs!$C$22),KPIs!$C$22,"")</f>
        <v>1</v>
      </c>
      <c r="H455" s="199" t="str">
        <f>IFERROR(INDEX(_TARGETS!$E$2:$E$17,MATCH($C455,_TARGETS!$A$2:$A$17,0))&amp;"","")</f>
        <v>≥</v>
      </c>
      <c r="I455" s="199" t="str">
        <f t="shared" si="35"/>
        <v/>
      </c>
      <c r="J455" s="193" t="str">
        <f t="shared" si="36"/>
        <v>Monthly</v>
      </c>
      <c r="K455" s="248">
        <f>Datos!Y26</f>
        <v>0</v>
      </c>
      <c r="L455" s="248">
        <f>Datos!Y27</f>
        <v>0</v>
      </c>
      <c r="M455" s="193">
        <f>INDEX(_TARGETS!$J$2:$J$17,MATCH($C455,_TARGETS!$A$2:$A$17,0))</f>
        <v>1</v>
      </c>
      <c r="N455" s="193" t="str">
        <f>INDEX(_TARGETS!$D$2:$D$17,MATCH($C455,_TARGETS!$A$2:$A$17,0))</f>
        <v>% (fracción)</v>
      </c>
      <c r="O455" s="193" t="str">
        <f>IF(NOT(ISNUMBER(F455)),"MISSING",IF((COUNTBLANK(Datos!Y26)+COUNTBLANK(Datos!Y27))&gt;0,"INCOMPLETE","OK"))</f>
        <v>MISSING</v>
      </c>
      <c r="P455" s="193" t="str">
        <f>INDEX(_TARGETS!$K$2:$K$17,MATCH($C455,_TARGETS!$A$2:$A$17,0))</f>
        <v>OPS (carga manual en Datos)</v>
      </c>
      <c r="Q455" s="193" t="str">
        <f t="shared" si="37"/>
        <v>202805|CCS|Monthly</v>
      </c>
      <c r="R455" s="193" t="str">
        <f>INDEX(_TARGETS!$H$2:$H$17,MATCH($C455,_TARGETS!$A$2:$A$17,0))</f>
        <v>Definida</v>
      </c>
      <c r="S455" s="193" t="str">
        <f t="shared" si="38"/>
        <v/>
      </c>
      <c r="T455" s="193" t="str">
        <f t="shared" si="39"/>
        <v/>
      </c>
    </row>
    <row r="456" spans="1:20" ht="13.5" customHeight="1" x14ac:dyDescent="0.3">
      <c r="A456" s="245">
        <f>KPIs!$Y$3</f>
        <v>46874</v>
      </c>
      <c r="B456" s="199" t="str">
        <f>KPIs!Y$4</f>
        <v>Compresora</v>
      </c>
      <c r="C456" s="31" t="s">
        <v>91</v>
      </c>
      <c r="D456" s="199" t="str">
        <f>KPIs!$A$23</f>
        <v>13 · Días promedio para cerrar hallazgos</v>
      </c>
      <c r="E456" s="31" t="s">
        <v>599</v>
      </c>
      <c r="F456" s="247" t="str">
        <f>IF(ISNUMBER(KPIs!Y23),KPIs!Y23,"")</f>
        <v/>
      </c>
      <c r="G456" s="247" t="str">
        <f>IF(ISNUMBER(KPIs!$C$23),KPIs!$C$23,"")</f>
        <v/>
      </c>
      <c r="H456" s="199" t="str">
        <f>IFERROR(INDEX(_TARGETS!$E$2:$E$17,MATCH($C456,_TARGETS!$A$2:$A$17,0))&amp;"","")</f>
        <v>≤</v>
      </c>
      <c r="I456" s="199" t="str">
        <f t="shared" si="35"/>
        <v/>
      </c>
      <c r="J456" s="193" t="str">
        <f t="shared" si="36"/>
        <v>Monthly</v>
      </c>
      <c r="K456" s="248">
        <f>Datos!Y68</f>
        <v>0</v>
      </c>
      <c r="L456" s="248">
        <f>Datos!Y67</f>
        <v>0</v>
      </c>
      <c r="M456" s="193">
        <f>INDEX(_TARGETS!$J$2:$J$17,MATCH($C456,_TARGETS!$A$2:$A$17,0))</f>
        <v>1</v>
      </c>
      <c r="N456" s="193" t="str">
        <f>INDEX(_TARGETS!$D$2:$D$17,MATCH($C456,_TARGETS!$A$2:$A$17,0))</f>
        <v>días</v>
      </c>
      <c r="O456" s="193" t="str">
        <f>IF(NOT(ISNUMBER(F456)),"MISSING","OK")</f>
        <v>MISSING</v>
      </c>
      <c r="P456" s="193" t="str">
        <f>INDEX(_TARGETS!$K$2:$K$17,MATCH($C456,_TARGETS!$A$2:$A$17,0))</f>
        <v>Plant Findings (hoja Observaciones-SMP)</v>
      </c>
      <c r="Q456" s="193" t="str">
        <f t="shared" si="37"/>
        <v>202805|DPAS|Monthly</v>
      </c>
      <c r="R456" s="193" t="str">
        <f>INDEX(_TARGETS!$H$2:$H$17,MATCH($C456,_TARGETS!$A$2:$A$17,0))</f>
        <v>Pendiente (meta 2027)</v>
      </c>
      <c r="S456" s="193" t="str">
        <f t="shared" si="38"/>
        <v/>
      </c>
      <c r="T456" s="193" t="str">
        <f t="shared" si="39"/>
        <v/>
      </c>
    </row>
    <row r="457" spans="1:20" ht="13.5" customHeight="1" x14ac:dyDescent="0.3">
      <c r="A457" s="245">
        <f>KPIs!$Y$3</f>
        <v>46874</v>
      </c>
      <c r="B457" s="199" t="str">
        <f>KPIs!Y$4</f>
        <v>Compresora</v>
      </c>
      <c r="C457" s="31" t="s">
        <v>39</v>
      </c>
      <c r="D457" s="199" t="str">
        <f>KPIs!$A$26</f>
        <v>1 · Frecuencia de casos con días perdidos · ACUMULADO</v>
      </c>
      <c r="E457" s="31" t="s">
        <v>600</v>
      </c>
      <c r="F457" s="247" t="str">
        <f>IF(ISNUMBER(KPIs!Y26),KPIs!Y26,"")</f>
        <v/>
      </c>
      <c r="G457" s="247">
        <f>IF(ISNUMBER(KPIs!$C$26),KPIs!$C$26,"")</f>
        <v>0</v>
      </c>
      <c r="H457" s="199" t="str">
        <f>IFERROR(INDEX(_TARGETS!$E$2:$E$17,MATCH($C457,_TARGETS!$A$2:$A$17,0))&amp;"","")</f>
        <v>≤</v>
      </c>
      <c r="I457" s="199" t="str">
        <f t="shared" si="35"/>
        <v/>
      </c>
      <c r="J457" s="193" t="str">
        <f t="shared" si="36"/>
        <v>Cumulative</v>
      </c>
      <c r="K457" s="193">
        <f>SUM(Datos!$D33:Y33)</f>
        <v>0</v>
      </c>
      <c r="L457" s="193">
        <f>SUM(Datos!$D14:Y14)</f>
        <v>48332</v>
      </c>
      <c r="M457" s="193">
        <f>INDEX(_TARGETS!$J$2:$J$17,MATCH($C457,_TARGETS!$A$2:$A$17,0))</f>
        <v>1000000</v>
      </c>
      <c r="N457" s="193" t="str">
        <f>INDEX(_TARGETS!$D$2:$D$17,MATCH($C457,_TARGETS!$A$2:$A$17,0))</f>
        <v>casos / 10^6 HH</v>
      </c>
      <c r="O457" s="193" t="str">
        <f>IF(NOT(ISNUMBER(F457)),IF(SUMPRODUCT(($C$2:$C$1300=C457)*($J$2:$J$1300="Monthly")*($A$2:$A$1300&lt;=A457)*ISNUMBER($K$2:$K$1300)*ISNUMBER($L$2:$L$1300)*($L$2:$L$1300=0)*($K$2:$K$1300&gt;0))&gt;0,"INCOMPLETE","MISSING"),O443)</f>
        <v>MISSING</v>
      </c>
      <c r="P457" s="193" t="str">
        <f>INDEX(_TARGETS!$K$2:$K$17,MATCH($C457,_TARGETS!$A$2:$A$17,0))</f>
        <v>OPS (carga manual en Datos)</v>
      </c>
      <c r="Q457" s="193" t="str">
        <f t="shared" si="37"/>
        <v>202805|DAFWCF|Cumulative</v>
      </c>
      <c r="R457" s="193" t="str">
        <f>INDEX(_TARGETS!$H$2:$H$17,MATCH($C457,_TARGETS!$A$2:$A$17,0))</f>
        <v>Definida</v>
      </c>
      <c r="S457" s="193">
        <f t="shared" si="38"/>
        <v>0</v>
      </c>
      <c r="T457" s="193" t="str">
        <f t="shared" si="39"/>
        <v/>
      </c>
    </row>
    <row r="458" spans="1:20" ht="13.5" customHeight="1" x14ac:dyDescent="0.3">
      <c r="A458" s="245">
        <f>KPIs!$Y$3</f>
        <v>46874</v>
      </c>
      <c r="B458" s="199" t="str">
        <f>KPIs!Y$4</f>
        <v>Compresora</v>
      </c>
      <c r="C458" s="31" t="s">
        <v>49</v>
      </c>
      <c r="D458" s="199" t="str">
        <f>KPIs!$A$27</f>
        <v>2 · Frecuencia de casos registrables · ACUMULADO</v>
      </c>
      <c r="E458" s="31" t="s">
        <v>600</v>
      </c>
      <c r="F458" s="247" t="str">
        <f>IF(ISNUMBER(KPIs!Y27),KPIs!Y27,"")</f>
        <v/>
      </c>
      <c r="G458" s="247">
        <f>IF(ISNUMBER(KPIs!$C$27),KPIs!$C$27,"")</f>
        <v>2.35</v>
      </c>
      <c r="H458" s="199" t="str">
        <f>IFERROR(INDEX(_TARGETS!$E$2:$E$17,MATCH($C458,_TARGETS!$A$2:$A$17,0))&amp;"","")</f>
        <v>≤</v>
      </c>
      <c r="I458" s="199" t="str">
        <f t="shared" si="35"/>
        <v/>
      </c>
      <c r="J458" s="193" t="str">
        <f t="shared" si="36"/>
        <v>Cumulative</v>
      </c>
      <c r="K458" s="193">
        <f>SUM(Datos!$D33:Y33)+SUM(Datos!$D34:Y34)+SUM(Datos!$D35:Y35)+SUM(Datos!$D36:Y36)</f>
        <v>0</v>
      </c>
      <c r="L458" s="193">
        <f>SUM(Datos!$D14:Y14)</f>
        <v>48332</v>
      </c>
      <c r="M458" s="193">
        <f>INDEX(_TARGETS!$J$2:$J$17,MATCH($C458,_TARGETS!$A$2:$A$17,0))</f>
        <v>1000000</v>
      </c>
      <c r="N458" s="193" t="str">
        <f>INDEX(_TARGETS!$D$2:$D$17,MATCH($C458,_TARGETS!$A$2:$A$17,0))</f>
        <v>casos / 10^6 HH</v>
      </c>
      <c r="O458" s="193" t="str">
        <f>IF(NOT(ISNUMBER(F458)),IF(SUMPRODUCT(($C$2:$C$1300=C458)*($J$2:$J$1300="Monthly")*($A$2:$A$1300&lt;=A458)*ISNUMBER($K$2:$K$1300)*ISNUMBER($L$2:$L$1300)*($L$2:$L$1300=0)*($K$2:$K$1300&gt;0))&gt;0,"INCOMPLETE","MISSING"),O444)</f>
        <v>MISSING</v>
      </c>
      <c r="P458" s="193" t="str">
        <f>INDEX(_TARGETS!$K$2:$K$17,MATCH($C458,_TARGETS!$A$2:$A$17,0))</f>
        <v>OPS (carga manual en Datos)</v>
      </c>
      <c r="Q458" s="193" t="str">
        <f t="shared" si="37"/>
        <v>202805|TRICF|Cumulative</v>
      </c>
      <c r="R458" s="193" t="str">
        <f>INDEX(_TARGETS!$H$2:$H$17,MATCH($C458,_TARGETS!$A$2:$A$17,0))</f>
        <v>Definida</v>
      </c>
      <c r="S458" s="193">
        <f t="shared" si="38"/>
        <v>0</v>
      </c>
      <c r="T458" s="193" t="str">
        <f t="shared" si="39"/>
        <v/>
      </c>
    </row>
    <row r="459" spans="1:20" ht="13.5" customHeight="1" x14ac:dyDescent="0.3">
      <c r="A459" s="245">
        <f>KPIs!$Y$3</f>
        <v>46874</v>
      </c>
      <c r="B459" s="199" t="str">
        <f>KPIs!Y$4</f>
        <v>Compresora</v>
      </c>
      <c r="C459" s="31" t="s">
        <v>51</v>
      </c>
      <c r="D459" s="199" t="str">
        <f>KPIs!$A$28</f>
        <v>3 · Casos de primeros auxilios · ACUMULADO</v>
      </c>
      <c r="E459" s="31" t="s">
        <v>600</v>
      </c>
      <c r="F459" s="247" t="str">
        <f>IF(ISNUMBER(KPIs!Y28),KPIs!Y28,"")</f>
        <v/>
      </c>
      <c r="G459" s="247" t="str">
        <f>IF(ISNUMBER(KPIs!$C$28),KPIs!$C$28,"")</f>
        <v/>
      </c>
      <c r="H459" s="199" t="str">
        <f>IFERROR(INDEX(_TARGETS!$E$2:$E$17,MATCH($C459,_TARGETS!$A$2:$A$17,0))&amp;"","")</f>
        <v/>
      </c>
      <c r="I459" s="199" t="str">
        <f t="shared" si="35"/>
        <v/>
      </c>
      <c r="J459" s="193" t="str">
        <f t="shared" si="36"/>
        <v>Cumulative</v>
      </c>
      <c r="K459" s="193">
        <f>SUM(Datos!$D37:Y37)</f>
        <v>0</v>
      </c>
      <c r="M459" s="193">
        <f>INDEX(_TARGETS!$J$2:$J$17,MATCH($C459,_TARGETS!$A$2:$A$17,0))</f>
        <v>1</v>
      </c>
      <c r="N459" s="193" t="str">
        <f>INDEX(_TARGETS!$D$2:$D$17,MATCH($C459,_TARGETS!$A$2:$A$17,0))</f>
        <v>casos</v>
      </c>
      <c r="O459" s="193" t="str">
        <f>IF(NOT(ISNUMBER(F459)),IF(SUMPRODUCT(($C$2:$C$1300=C459)*($J$2:$J$1300="Monthly")*($A$2:$A$1300&lt;=A459)*ISNUMBER($K$2:$K$1300)*ISNUMBER($L$2:$L$1300)*($L$2:$L$1300=0)*($K$2:$K$1300&gt;0))&gt;0,"INCOMPLETE","MISSING"),O445)</f>
        <v>MISSING</v>
      </c>
      <c r="P459" s="193" t="str">
        <f>INDEX(_TARGETS!$K$2:$K$17,MATCH($C459,_TARGETS!$A$2:$A$17,0))</f>
        <v>OPS (carga manual en Datos)</v>
      </c>
      <c r="Q459" s="193" t="str">
        <f t="shared" si="37"/>
        <v>202805|FAC|Cumulative</v>
      </c>
      <c r="R459" s="193" t="str">
        <f>INDEX(_TARGETS!$H$2:$H$17,MATCH($C459,_TARGETS!$A$2:$A$17,0))</f>
        <v>Solo reporte</v>
      </c>
      <c r="S459" s="193">
        <f t="shared" si="38"/>
        <v>0</v>
      </c>
      <c r="T459" s="193" t="str">
        <f t="shared" si="39"/>
        <v/>
      </c>
    </row>
    <row r="460" spans="1:20" ht="13.5" customHeight="1" x14ac:dyDescent="0.3">
      <c r="A460" s="245">
        <f>KPIs!$Y$3</f>
        <v>46874</v>
      </c>
      <c r="B460" s="199" t="str">
        <f>KPIs!Y$4</f>
        <v>Compresora</v>
      </c>
      <c r="C460" s="31" t="s">
        <v>57</v>
      </c>
      <c r="D460" s="199" t="str">
        <f>KPIs!$A$29</f>
        <v>4 · Accidentes vehiculares severos · ACUMULADO</v>
      </c>
      <c r="E460" s="31" t="s">
        <v>600</v>
      </c>
      <c r="F460" s="247" t="str">
        <f>IF(ISNUMBER(KPIs!Y29),KPIs!Y29,"")</f>
        <v/>
      </c>
      <c r="G460" s="247" t="str">
        <f>IF(ISNUMBER(KPIs!$C$29),KPIs!$C$29,"")</f>
        <v/>
      </c>
      <c r="H460" s="199" t="str">
        <f>IFERROR(INDEX(_TARGETS!$E$2:$E$17,MATCH($C460,_TARGETS!$A$2:$A$17,0))&amp;"","")</f>
        <v/>
      </c>
      <c r="I460" s="199" t="str">
        <f t="shared" si="35"/>
        <v/>
      </c>
      <c r="J460" s="193" t="str">
        <f t="shared" si="36"/>
        <v>Cumulative</v>
      </c>
      <c r="K460" s="193">
        <f>SUM(Datos!$D39:Y39)+SUM(Datos!$D40:Y40)+SUM(Datos!$D41:Y41)</f>
        <v>0</v>
      </c>
      <c r="L460" s="193">
        <f>SUM(Datos!$D47:Y47)</f>
        <v>172824</v>
      </c>
      <c r="M460" s="193">
        <f>INDEX(_TARGETS!$J$2:$J$17,MATCH($C460,_TARGETS!$A$2:$A$17,0))</f>
        <v>1000000</v>
      </c>
      <c r="N460" s="193" t="str">
        <f>INDEX(_TARGETS!$D$2:$D$17,MATCH($C460,_TARGETS!$A$2:$A$17,0))</f>
        <v>eventos / 10^6 km</v>
      </c>
      <c r="O460" s="193" t="str">
        <f>IF(NOT(ISNUMBER(F460)),IF(SUMPRODUCT(($C$2:$C$1300=C460)*($J$2:$J$1300="Monthly")*($A$2:$A$1300&lt;=A460)*ISNUMBER($K$2:$K$1300)*ISNUMBER($L$2:$L$1300)*($L$2:$L$1300=0)*($K$2:$K$1300&gt;0))&gt;0,"INCOMPLETE","MISSING"),O446)</f>
        <v>MISSING</v>
      </c>
      <c r="P460" s="193" t="str">
        <f>INDEX(_TARGETS!$K$2:$K$17,MATCH($C460,_TARGETS!$A$2:$A$17,0))</f>
        <v>OPS (eventos) + Full Control GPS (km) - carga manual en Datos</v>
      </c>
      <c r="Q460" s="193" t="str">
        <f t="shared" si="37"/>
        <v>202805|SVCR|Cumulative</v>
      </c>
      <c r="R460" s="193" t="str">
        <f>INDEX(_TARGETS!$H$2:$H$17,MATCH($C460,_TARGETS!$A$2:$A$17,0))</f>
        <v>Solo reporte</v>
      </c>
      <c r="S460" s="193">
        <f t="shared" si="38"/>
        <v>0</v>
      </c>
      <c r="T460" s="193" t="str">
        <f t="shared" si="39"/>
        <v/>
      </c>
    </row>
    <row r="461" spans="1:20" ht="13.5" customHeight="1" x14ac:dyDescent="0.3">
      <c r="A461" s="245">
        <f>KPIs!$Y$3</f>
        <v>46874</v>
      </c>
      <c r="B461" s="199" t="str">
        <f>KPIs!Y$4</f>
        <v>Compresora</v>
      </c>
      <c r="C461" s="31" t="s">
        <v>61</v>
      </c>
      <c r="D461" s="199" t="str">
        <f>KPIs!$A$30</f>
        <v>5 · Accidentes vehiculares totales · ACUMULADO</v>
      </c>
      <c r="E461" s="31" t="s">
        <v>600</v>
      </c>
      <c r="F461" s="247" t="str">
        <f>IF(ISNUMBER(KPIs!Y30),KPIs!Y30,"")</f>
        <v/>
      </c>
      <c r="G461" s="247">
        <f>IF(ISNUMBER(KPIs!$C$30),KPIs!$C$30,"")</f>
        <v>0.79</v>
      </c>
      <c r="H461" s="199" t="str">
        <f>IFERROR(INDEX(_TARGETS!$E$2:$E$17,MATCH($C461,_TARGETS!$A$2:$A$17,0))&amp;"","")</f>
        <v>≤</v>
      </c>
      <c r="I461" s="199" t="str">
        <f t="shared" si="35"/>
        <v/>
      </c>
      <c r="J461" s="193" t="str">
        <f t="shared" si="36"/>
        <v>Cumulative</v>
      </c>
      <c r="K461" s="193">
        <f>SUM(Datos!$D39:Y39)+SUM(Datos!$D40:Y40)+SUM(Datos!$D41:Y41)+SUM(Datos!$D42:Y42)</f>
        <v>0</v>
      </c>
      <c r="L461" s="193">
        <f>SUM(Datos!$D47:Y47)</f>
        <v>172824</v>
      </c>
      <c r="M461" s="193">
        <f>INDEX(_TARGETS!$J$2:$J$17,MATCH($C461,_TARGETS!$A$2:$A$17,0))</f>
        <v>1000000</v>
      </c>
      <c r="N461" s="193" t="str">
        <f>INDEX(_TARGETS!$D$2:$D$17,MATCH($C461,_TARGETS!$A$2:$A$17,0))</f>
        <v>eventos / 10^6 km</v>
      </c>
      <c r="O461" s="193" t="str">
        <f>IF(NOT(ISNUMBER(F461)),IF(SUMPRODUCT(($C$2:$C$1300=C461)*($J$2:$J$1300="Monthly")*($A$2:$A$1300&lt;=A461)*ISNUMBER($K$2:$K$1300)*ISNUMBER($L$2:$L$1300)*($L$2:$L$1300=0)*($K$2:$K$1300&gt;0))&gt;0,"INCOMPLETE","MISSING"),O447)</f>
        <v>MISSING</v>
      </c>
      <c r="P461" s="193" t="str">
        <f>INDEX(_TARGETS!$K$2:$K$17,MATCH($C461,_TARGETS!$A$2:$A$17,0))</f>
        <v>OPS (eventos) + Full Control GPS (km) - carga manual en Datos</v>
      </c>
      <c r="Q461" s="193" t="str">
        <f t="shared" si="37"/>
        <v>202805|TVCR|Cumulative</v>
      </c>
      <c r="R461" s="193" t="str">
        <f>INDEX(_TARGETS!$H$2:$H$17,MATCH($C461,_TARGETS!$A$2:$A$17,0))</f>
        <v>Definida</v>
      </c>
      <c r="S461" s="193">
        <f t="shared" si="38"/>
        <v>0</v>
      </c>
      <c r="T461" s="193" t="str">
        <f t="shared" si="39"/>
        <v/>
      </c>
    </row>
    <row r="462" spans="1:20" ht="13.5" customHeight="1" x14ac:dyDescent="0.3">
      <c r="A462" s="245">
        <f>KPIs!$Y$3</f>
        <v>46874</v>
      </c>
      <c r="B462" s="199" t="str">
        <f>KPIs!Y$4</f>
        <v>Compresora</v>
      </c>
      <c r="C462" s="31" t="s">
        <v>96</v>
      </c>
      <c r="D462" s="199" t="str">
        <f>KPIs!$A$33</f>
        <v>C1 · % de desvíos detectados de gravedad Alta</v>
      </c>
      <c r="E462" s="31" t="s">
        <v>599</v>
      </c>
      <c r="F462" s="247" t="str">
        <f>IF(ISNUMBER(KPIs!Y33),KPIs!Y33,"")</f>
        <v/>
      </c>
      <c r="G462" s="247" t="str">
        <f>IF(ISNUMBER(KPIs!$C$33),KPIs!$C$33,"")</f>
        <v/>
      </c>
      <c r="H462" s="199" t="str">
        <f>IFERROR(INDEX(_TARGETS!$E$2:$E$17,MATCH($C462,_TARGETS!$A$2:$A$17,0))&amp;"","")</f>
        <v/>
      </c>
      <c r="I462" s="199" t="str">
        <f t="shared" si="35"/>
        <v/>
      </c>
      <c r="J462" s="193" t="str">
        <f t="shared" si="36"/>
        <v>Monthly</v>
      </c>
      <c r="K462" s="248">
        <f>Datos!Y71</f>
        <v>0</v>
      </c>
      <c r="L462" s="193">
        <f>Datos!Y71+Datos!Y72+Datos!Y73</f>
        <v>0</v>
      </c>
      <c r="M462" s="193">
        <f>INDEX(_TARGETS!$J$2:$J$17,MATCH($C462,_TARGETS!$A$2:$A$17,0))</f>
        <v>1</v>
      </c>
      <c r="N462" s="193" t="str">
        <f>INDEX(_TARGETS!$D$2:$D$17,MATCH($C462,_TARGETS!$A$2:$A$17,0))</f>
        <v>% (fracción)</v>
      </c>
      <c r="O462" s="193" t="str">
        <f>IF(NOT(ISNUMBER(F462)),"MISSING","OK")</f>
        <v>MISSING</v>
      </c>
      <c r="P462" s="193" t="str">
        <f>INDEX(_TARGETS!$K$2:$K$17,MATCH($C462,_TARGETS!$A$2:$A$17,0))</f>
        <v>Plant Findings (hoja Observaciones-SMP)</v>
      </c>
      <c r="Q462" s="193" t="str">
        <f t="shared" si="37"/>
        <v>202805|HAL_ALTA_PCT|Monthly</v>
      </c>
      <c r="R462" s="193" t="str">
        <f>INDEX(_TARGETS!$H$2:$H$17,MATCH($C462,_TARGETS!$A$2:$A$17,0))</f>
        <v>Solo reporte</v>
      </c>
      <c r="S462" s="193" t="str">
        <f t="shared" si="38"/>
        <v/>
      </c>
      <c r="T462" s="193" t="str">
        <f t="shared" si="39"/>
        <v/>
      </c>
    </row>
    <row r="463" spans="1:20" ht="13.5" customHeight="1" x14ac:dyDescent="0.3">
      <c r="A463" s="245">
        <f>KPIs!$Y$3</f>
        <v>46874</v>
      </c>
      <c r="B463" s="199" t="str">
        <f>KPIs!Y$4</f>
        <v>Compresora</v>
      </c>
      <c r="C463" s="31" t="s">
        <v>98</v>
      </c>
      <c r="D463" s="199" t="str">
        <f>KPIs!$A$34</f>
        <v>C2 · Detenciones de tareas aplicadas</v>
      </c>
      <c r="E463" s="31" t="s">
        <v>599</v>
      </c>
      <c r="F463" s="247" t="str">
        <f>IF(ISNUMBER(KPIs!Y34),KPIs!Y34,"")</f>
        <v/>
      </c>
      <c r="G463" s="247" t="str">
        <f>IF(ISNUMBER(KPIs!$C$34),KPIs!$C$34,"")</f>
        <v/>
      </c>
      <c r="H463" s="199" t="str">
        <f>IFERROR(INDEX(_TARGETS!$E$2:$E$17,MATCH($C463,_TARGETS!$A$2:$A$17,0))&amp;"","")</f>
        <v/>
      </c>
      <c r="I463" s="199" t="str">
        <f t="shared" si="35"/>
        <v/>
      </c>
      <c r="J463" s="193" t="str">
        <f t="shared" si="36"/>
        <v>Monthly</v>
      </c>
      <c r="K463" s="248">
        <f>Datos!Y75</f>
        <v>0</v>
      </c>
      <c r="M463" s="193">
        <f>INDEX(_TARGETS!$J$2:$J$17,MATCH($C463,_TARGETS!$A$2:$A$17,0))</f>
        <v>1</v>
      </c>
      <c r="N463" s="193" t="str">
        <f>INDEX(_TARGETS!$D$2:$D$17,MATCH($C463,_TARGETS!$A$2:$A$17,0))</f>
        <v>u</v>
      </c>
      <c r="O463" s="193" t="str">
        <f>IF(NOT(ISNUMBER(F463)),"MISSING","OK")</f>
        <v>MISSING</v>
      </c>
      <c r="P463" s="193" t="str">
        <f>INDEX(_TARGETS!$K$2:$K$17,MATCH($C463,_TARGETS!$A$2:$A$17,0))</f>
        <v>Plant Findings (hoja Observaciones-SMP)</v>
      </c>
      <c r="Q463" s="193" t="str">
        <f t="shared" si="37"/>
        <v>202805|DET|Monthly</v>
      </c>
      <c r="R463" s="193" t="str">
        <f>INDEX(_TARGETS!$H$2:$H$17,MATCH($C463,_TARGETS!$A$2:$A$17,0))</f>
        <v>Solo reporte</v>
      </c>
      <c r="S463" s="193" t="str">
        <f t="shared" si="38"/>
        <v/>
      </c>
      <c r="T463" s="193" t="str">
        <f t="shared" si="39"/>
        <v/>
      </c>
    </row>
    <row r="464" spans="1:20" ht="13.5" customHeight="1" x14ac:dyDescent="0.3">
      <c r="A464" s="245">
        <f>KPIs!$Z$3</f>
        <v>46905</v>
      </c>
      <c r="B464" s="199" t="str">
        <f>KPIs!Z$4</f>
        <v>Compresora</v>
      </c>
      <c r="C464" s="31" t="s">
        <v>39</v>
      </c>
      <c r="D464" s="199" t="str">
        <f>KPIs!$A$6</f>
        <v>1 · Frecuencia de casos con días perdidos</v>
      </c>
      <c r="E464" s="31" t="s">
        <v>599</v>
      </c>
      <c r="F464" s="247" t="str">
        <f>IF(ISNUMBER(KPIs!Z6),KPIs!Z6,"")</f>
        <v/>
      </c>
      <c r="G464" s="247">
        <f>IF(ISNUMBER(KPIs!$C$6),KPIs!$C$6,"")</f>
        <v>0</v>
      </c>
      <c r="H464" s="199" t="str">
        <f>IFERROR(INDEX(_TARGETS!$E$2:$E$17,MATCH($C464,_TARGETS!$A$2:$A$17,0))&amp;"","")</f>
        <v>≤</v>
      </c>
      <c r="I464" s="199" t="str">
        <f t="shared" si="35"/>
        <v/>
      </c>
      <c r="J464" s="193" t="str">
        <f t="shared" si="36"/>
        <v>Monthly</v>
      </c>
      <c r="K464" s="248">
        <f>Datos!Z33</f>
        <v>0</v>
      </c>
      <c r="L464" s="248">
        <f>Datos!Z14</f>
        <v>0</v>
      </c>
      <c r="M464" s="193">
        <f>INDEX(_TARGETS!$J$2:$J$17,MATCH($C464,_TARGETS!$A$2:$A$17,0))</f>
        <v>1000000</v>
      </c>
      <c r="N464" s="193" t="str">
        <f>INDEX(_TARGETS!$D$2:$D$17,MATCH($C464,_TARGETS!$A$2:$A$17,0))</f>
        <v>casos / 10^6 HH</v>
      </c>
      <c r="O464" s="193" t="str">
        <f>IF(NOT(ISNUMBER(F464)),"MISSING",IF((COUNTBLANK(Datos!Z12)+COUNTBLANK(Datos!Z13)+COUNTBLANK(Datos!Z33))&gt;0,"INCOMPLETE","OK"))</f>
        <v>MISSING</v>
      </c>
      <c r="P464" s="193" t="str">
        <f>INDEX(_TARGETS!$K$2:$K$17,MATCH($C464,_TARGETS!$A$2:$A$17,0))</f>
        <v>OPS (carga manual en Datos)</v>
      </c>
      <c r="Q464" s="193" t="str">
        <f t="shared" si="37"/>
        <v>202806|DAFWCF|Monthly</v>
      </c>
      <c r="R464" s="193" t="str">
        <f>INDEX(_TARGETS!$H$2:$H$17,MATCH($C464,_TARGETS!$A$2:$A$17,0))</f>
        <v>Definida</v>
      </c>
      <c r="S464" s="193" t="str">
        <f t="shared" si="38"/>
        <v/>
      </c>
      <c r="T464" s="193" t="str">
        <f t="shared" si="39"/>
        <v/>
      </c>
    </row>
    <row r="465" spans="1:20" ht="13.5" customHeight="1" x14ac:dyDescent="0.3">
      <c r="A465" s="245">
        <f>KPIs!$Z$3</f>
        <v>46905</v>
      </c>
      <c r="B465" s="199" t="str">
        <f>KPIs!Z$4</f>
        <v>Compresora</v>
      </c>
      <c r="C465" s="31" t="s">
        <v>49</v>
      </c>
      <c r="D465" s="199" t="str">
        <f>KPIs!$A$7</f>
        <v>2 · Frecuencia de casos registrables</v>
      </c>
      <c r="E465" s="31" t="s">
        <v>599</v>
      </c>
      <c r="F465" s="247" t="str">
        <f>IF(ISNUMBER(KPIs!Z7),KPIs!Z7,"")</f>
        <v/>
      </c>
      <c r="G465" s="247">
        <f>IF(ISNUMBER(KPIs!$C$7),KPIs!$C$7,"")</f>
        <v>2.35</v>
      </c>
      <c r="H465" s="199" t="str">
        <f>IFERROR(INDEX(_TARGETS!$E$2:$E$17,MATCH($C465,_TARGETS!$A$2:$A$17,0))&amp;"","")</f>
        <v>≤</v>
      </c>
      <c r="I465" s="199" t="str">
        <f t="shared" si="35"/>
        <v/>
      </c>
      <c r="J465" s="193" t="str">
        <f t="shared" si="36"/>
        <v>Monthly</v>
      </c>
      <c r="K465" s="193">
        <f>Datos!Z33+Datos!Z34+Datos!Z35+Datos!Z36</f>
        <v>0</v>
      </c>
      <c r="L465" s="248">
        <f>Datos!Z14</f>
        <v>0</v>
      </c>
      <c r="M465" s="193">
        <f>INDEX(_TARGETS!$J$2:$J$17,MATCH($C465,_TARGETS!$A$2:$A$17,0))</f>
        <v>1000000</v>
      </c>
      <c r="N465" s="193" t="str">
        <f>INDEX(_TARGETS!$D$2:$D$17,MATCH($C465,_TARGETS!$A$2:$A$17,0))</f>
        <v>casos / 10^6 HH</v>
      </c>
      <c r="O465" s="193" t="str">
        <f>IF(NOT(ISNUMBER(F465)),"MISSING",IF((COUNTBLANK(Datos!Z12)+COUNTBLANK(Datos!Z13)+COUNTBLANK(Datos!Z33)+COUNTBLANK(Datos!Z34)+COUNTBLANK(Datos!Z35)+COUNTBLANK(Datos!Z36))&gt;0,"INCOMPLETE","OK"))</f>
        <v>MISSING</v>
      </c>
      <c r="P465" s="193" t="str">
        <f>INDEX(_TARGETS!$K$2:$K$17,MATCH($C465,_TARGETS!$A$2:$A$17,0))</f>
        <v>OPS (carga manual en Datos)</v>
      </c>
      <c r="Q465" s="193" t="str">
        <f t="shared" si="37"/>
        <v>202806|TRICF|Monthly</v>
      </c>
      <c r="R465" s="193" t="str">
        <f>INDEX(_TARGETS!$H$2:$H$17,MATCH($C465,_TARGETS!$A$2:$A$17,0))</f>
        <v>Definida</v>
      </c>
      <c r="S465" s="193" t="str">
        <f t="shared" si="38"/>
        <v/>
      </c>
      <c r="T465" s="193" t="str">
        <f t="shared" si="39"/>
        <v/>
      </c>
    </row>
    <row r="466" spans="1:20" ht="13.5" customHeight="1" x14ac:dyDescent="0.3">
      <c r="A466" s="245">
        <f>KPIs!$Z$3</f>
        <v>46905</v>
      </c>
      <c r="B466" s="199" t="str">
        <f>KPIs!Z$4</f>
        <v>Compresora</v>
      </c>
      <c r="C466" s="31" t="s">
        <v>51</v>
      </c>
      <c r="D466" s="199" t="str">
        <f>KPIs!$A$8</f>
        <v>3 · Casos de primeros auxilios</v>
      </c>
      <c r="E466" s="31" t="s">
        <v>599</v>
      </c>
      <c r="F466" s="247" t="str">
        <f>IF(ISNUMBER(KPIs!Z8),KPIs!Z8,"")</f>
        <v/>
      </c>
      <c r="G466" s="247" t="str">
        <f>IF(ISNUMBER(KPIs!$C$8),KPIs!$C$8,"")</f>
        <v/>
      </c>
      <c r="H466" s="199" t="str">
        <f>IFERROR(INDEX(_TARGETS!$E$2:$E$17,MATCH($C466,_TARGETS!$A$2:$A$17,0))&amp;"","")</f>
        <v/>
      </c>
      <c r="I466" s="199" t="str">
        <f t="shared" si="35"/>
        <v/>
      </c>
      <c r="J466" s="193" t="str">
        <f t="shared" si="36"/>
        <v>Monthly</v>
      </c>
      <c r="K466" s="248">
        <f>Datos!Z37</f>
        <v>0</v>
      </c>
      <c r="M466" s="193">
        <f>INDEX(_TARGETS!$J$2:$J$17,MATCH($C466,_TARGETS!$A$2:$A$17,0))</f>
        <v>1</v>
      </c>
      <c r="N466" s="193" t="str">
        <f>INDEX(_TARGETS!$D$2:$D$17,MATCH($C466,_TARGETS!$A$2:$A$17,0))</f>
        <v>casos</v>
      </c>
      <c r="O466" s="193" t="str">
        <f>IF(NOT(ISNUMBER(F466)),"MISSING",IF((COUNTBLANK(Datos!Z12)+COUNTBLANK(Datos!Z13)+COUNTBLANK(Datos!Z37))&gt;0,"INCOMPLETE","OK"))</f>
        <v>MISSING</v>
      </c>
      <c r="P466" s="193" t="str">
        <f>INDEX(_TARGETS!$K$2:$K$17,MATCH($C466,_TARGETS!$A$2:$A$17,0))</f>
        <v>OPS (carga manual en Datos)</v>
      </c>
      <c r="Q466" s="193" t="str">
        <f t="shared" si="37"/>
        <v>202806|FAC|Monthly</v>
      </c>
      <c r="R466" s="193" t="str">
        <f>INDEX(_TARGETS!$H$2:$H$17,MATCH($C466,_TARGETS!$A$2:$A$17,0))</f>
        <v>Solo reporte</v>
      </c>
      <c r="S466" s="193" t="str">
        <f t="shared" si="38"/>
        <v/>
      </c>
      <c r="T466" s="193" t="str">
        <f t="shared" si="39"/>
        <v/>
      </c>
    </row>
    <row r="467" spans="1:20" ht="13.5" customHeight="1" x14ac:dyDescent="0.3">
      <c r="A467" s="245">
        <f>KPIs!$Z$3</f>
        <v>46905</v>
      </c>
      <c r="B467" s="199" t="str">
        <f>KPIs!Z$4</f>
        <v>Compresora</v>
      </c>
      <c r="C467" s="31" t="s">
        <v>57</v>
      </c>
      <c r="D467" s="199" t="str">
        <f>KPIs!$A$10</f>
        <v>4 · Accidentes vehiculares severos por millón de km</v>
      </c>
      <c r="E467" s="31" t="s">
        <v>599</v>
      </c>
      <c r="F467" s="247" t="str">
        <f>IF(ISNUMBER(KPIs!Z10),KPIs!Z10,"")</f>
        <v/>
      </c>
      <c r="G467" s="247" t="str">
        <f>IF(ISNUMBER(KPIs!$C$10),KPIs!$C$10,"")</f>
        <v/>
      </c>
      <c r="H467" s="199" t="str">
        <f>IFERROR(INDEX(_TARGETS!$E$2:$E$17,MATCH($C467,_TARGETS!$A$2:$A$17,0))&amp;"","")</f>
        <v/>
      </c>
      <c r="I467" s="199" t="str">
        <f t="shared" si="35"/>
        <v/>
      </c>
      <c r="J467" s="193" t="str">
        <f t="shared" si="36"/>
        <v>Monthly</v>
      </c>
      <c r="K467" s="193">
        <f>Datos!Z39+Datos!Z40+Datos!Z41</f>
        <v>0</v>
      </c>
      <c r="L467" s="248">
        <f>Datos!Z47</f>
        <v>0</v>
      </c>
      <c r="M467" s="193">
        <f>INDEX(_TARGETS!$J$2:$J$17,MATCH($C467,_TARGETS!$A$2:$A$17,0))</f>
        <v>1000000</v>
      </c>
      <c r="N467" s="193" t="str">
        <f>INDEX(_TARGETS!$D$2:$D$17,MATCH($C467,_TARGETS!$A$2:$A$17,0))</f>
        <v>eventos / 10^6 km</v>
      </c>
      <c r="O467" s="193" t="str">
        <f>IF(NOT(ISNUMBER(F467)),"MISSING",IF((COUNTBLANK(Datos!Z44)+COUNTBLANK(Datos!Z45)+COUNTBLANK(Datos!Z46)+COUNTBLANK(Datos!Z39)+COUNTBLANK(Datos!Z40)+COUNTBLANK(Datos!Z41))&gt;0,"INCOMPLETE","OK"))</f>
        <v>MISSING</v>
      </c>
      <c r="P467" s="193" t="str">
        <f>INDEX(_TARGETS!$K$2:$K$17,MATCH($C467,_TARGETS!$A$2:$A$17,0))</f>
        <v>OPS (eventos) + Full Control GPS (km) - carga manual en Datos</v>
      </c>
      <c r="Q467" s="193" t="str">
        <f t="shared" si="37"/>
        <v>202806|SVCR|Monthly</v>
      </c>
      <c r="R467" s="193" t="str">
        <f>INDEX(_TARGETS!$H$2:$H$17,MATCH($C467,_TARGETS!$A$2:$A$17,0))</f>
        <v>Solo reporte</v>
      </c>
      <c r="S467" s="193" t="str">
        <f t="shared" si="38"/>
        <v/>
      </c>
      <c r="T467" s="193" t="str">
        <f t="shared" si="39"/>
        <v/>
      </c>
    </row>
    <row r="468" spans="1:20" ht="13.5" customHeight="1" x14ac:dyDescent="0.3">
      <c r="A468" s="245">
        <f>KPIs!$Z$3</f>
        <v>46905</v>
      </c>
      <c r="B468" s="199" t="str">
        <f>KPIs!Z$4</f>
        <v>Compresora</v>
      </c>
      <c r="C468" s="31" t="s">
        <v>61</v>
      </c>
      <c r="D468" s="199" t="str">
        <f>KPIs!$A$11</f>
        <v>5 · Accidentes vehiculares totales por millón de km</v>
      </c>
      <c r="E468" s="31" t="s">
        <v>599</v>
      </c>
      <c r="F468" s="247" t="str">
        <f>IF(ISNUMBER(KPIs!Z11),KPIs!Z11,"")</f>
        <v/>
      </c>
      <c r="G468" s="247">
        <f>IF(ISNUMBER(KPIs!$C$11),KPIs!$C$11,"")</f>
        <v>0.79</v>
      </c>
      <c r="H468" s="199" t="str">
        <f>IFERROR(INDEX(_TARGETS!$E$2:$E$17,MATCH($C468,_TARGETS!$A$2:$A$17,0))&amp;"","")</f>
        <v>≤</v>
      </c>
      <c r="I468" s="199" t="str">
        <f t="shared" si="35"/>
        <v/>
      </c>
      <c r="J468" s="193" t="str">
        <f t="shared" si="36"/>
        <v>Monthly</v>
      </c>
      <c r="K468" s="193">
        <f>Datos!Z39+Datos!Z40+Datos!Z41+Datos!Z42</f>
        <v>0</v>
      </c>
      <c r="L468" s="248">
        <f>Datos!Z47</f>
        <v>0</v>
      </c>
      <c r="M468" s="193">
        <f>INDEX(_TARGETS!$J$2:$J$17,MATCH($C468,_TARGETS!$A$2:$A$17,0))</f>
        <v>1000000</v>
      </c>
      <c r="N468" s="193" t="str">
        <f>INDEX(_TARGETS!$D$2:$D$17,MATCH($C468,_TARGETS!$A$2:$A$17,0))</f>
        <v>eventos / 10^6 km</v>
      </c>
      <c r="O468" s="193" t="str">
        <f>IF(NOT(ISNUMBER(F468)),"MISSING",IF((COUNTBLANK(Datos!Z44)+COUNTBLANK(Datos!Z45)+COUNTBLANK(Datos!Z46)+COUNTBLANK(Datos!Z39)+COUNTBLANK(Datos!Z40)+COUNTBLANK(Datos!Z41)+COUNTBLANK(Datos!Z42))&gt;0,"INCOMPLETE","OK"))</f>
        <v>MISSING</v>
      </c>
      <c r="P468" s="193" t="str">
        <f>INDEX(_TARGETS!$K$2:$K$17,MATCH($C468,_TARGETS!$A$2:$A$17,0))</f>
        <v>OPS (eventos) + Full Control GPS (km) - carga manual en Datos</v>
      </c>
      <c r="Q468" s="193" t="str">
        <f t="shared" si="37"/>
        <v>202806|TVCR|Monthly</v>
      </c>
      <c r="R468" s="193" t="str">
        <f>INDEX(_TARGETS!$H$2:$H$17,MATCH($C468,_TARGETS!$A$2:$A$17,0))</f>
        <v>Definida</v>
      </c>
      <c r="S468" s="193" t="str">
        <f t="shared" si="38"/>
        <v/>
      </c>
      <c r="T468" s="193" t="str">
        <f t="shared" si="39"/>
        <v/>
      </c>
    </row>
    <row r="469" spans="1:20" ht="13.5" customHeight="1" x14ac:dyDescent="0.3">
      <c r="A469" s="245">
        <f>KPIs!$Z$3</f>
        <v>46905</v>
      </c>
      <c r="B469" s="199" t="str">
        <f>KPIs!Z$4</f>
        <v>Compresora</v>
      </c>
      <c r="C469" s="31" t="s">
        <v>63</v>
      </c>
      <c r="D469" s="199" t="str">
        <f>KPIs!$A$13</f>
        <v>6 · Observaciones de seguridad por persona</v>
      </c>
      <c r="E469" s="31" t="s">
        <v>599</v>
      </c>
      <c r="F469" s="247" t="str">
        <f>IF(ISNUMBER(KPIs!Z13),KPIs!Z13,"")</f>
        <v/>
      </c>
      <c r="G469" s="247">
        <f>IF(ISNUMBER(KPIs!$C$13),KPIs!$C$13,"")</f>
        <v>1</v>
      </c>
      <c r="H469" s="199" t="str">
        <f>IFERROR(INDEX(_TARGETS!$E$2:$E$17,MATCH($C469,_TARGETS!$A$2:$A$17,0))&amp;"","")</f>
        <v>≥</v>
      </c>
      <c r="I469" s="199" t="str">
        <f t="shared" si="35"/>
        <v/>
      </c>
      <c r="J469" s="193" t="str">
        <f t="shared" si="36"/>
        <v>Monthly</v>
      </c>
      <c r="K469" s="248" t="str">
        <f>IF(COUNT(Datos!Z28:Z29)=0,"",SUM(Datos!Z28:Z29))</f>
        <v/>
      </c>
      <c r="L469" s="248">
        <f>Datos!Z11</f>
        <v>0</v>
      </c>
      <c r="M469" s="193">
        <f>INDEX(_TARGETS!$J$2:$J$17,MATCH($C469,_TARGETS!$A$2:$A$17,0))</f>
        <v>1</v>
      </c>
      <c r="N469" s="193" t="str">
        <f>INDEX(_TARGETS!$D$2:$D$17,MATCH($C469,_TARGETS!$A$2:$A$17,0))</f>
        <v>obs / persona</v>
      </c>
      <c r="O469" s="193" t="str">
        <f>IF(NOT(ISNUMBER(F469)),"MISSING",IF((COUNTBLANK(Datos!Z9)+COUNTBLANK(Datos!Z10)+IF(COUNT(Datos!Z28:Z29)=0,1,0))&gt;0,"INCOMPLETE","OK"))</f>
        <v>MISSING</v>
      </c>
      <c r="P469" s="193" t="str">
        <f>INDEX(_TARGETS!$K$2:$K$17,MATCH($C469,_TARGETS!$A$2:$A$17,0))</f>
        <v>OPS (carga manual en Datos)</v>
      </c>
      <c r="Q469" s="193" t="str">
        <f t="shared" si="37"/>
        <v>202806|OBS|Monthly</v>
      </c>
      <c r="R469" s="193" t="str">
        <f>INDEX(_TARGETS!$H$2:$H$17,MATCH($C469,_TARGETS!$A$2:$A$17,0))</f>
        <v>PROVISORIA · referencia del subcontratista (OPS: 1 obs/persona); meta y población en definición</v>
      </c>
      <c r="S469" s="193" t="str">
        <f t="shared" si="38"/>
        <v/>
      </c>
      <c r="T469" s="193" t="str">
        <f t="shared" si="39"/>
        <v/>
      </c>
    </row>
    <row r="470" spans="1:20" ht="13.5" customHeight="1" x14ac:dyDescent="0.3">
      <c r="A470" s="245">
        <f>KPIs!$Z$3</f>
        <v>46905</v>
      </c>
      <c r="B470" s="199" t="str">
        <f>KPIs!Z$4</f>
        <v>Compresora</v>
      </c>
      <c r="C470" s="31" t="s">
        <v>71</v>
      </c>
      <c r="D470" s="199" t="str">
        <f>KPIs!$A$14</f>
        <v>7 · Investigaciones de accidentes: días promedio de cierre</v>
      </c>
      <c r="E470" s="31" t="s">
        <v>599</v>
      </c>
      <c r="F470" s="247" t="str">
        <f>IF(ISNUMBER(KPIs!Z14),KPIs!Z14,"")</f>
        <v/>
      </c>
      <c r="G470" s="247">
        <f>IF(ISNUMBER(KPIs!$C$14),KPIs!$C$14,"")</f>
        <v>20</v>
      </c>
      <c r="H470" s="199" t="str">
        <f>IFERROR(INDEX(_TARGETS!$E$2:$E$17,MATCH($C470,_TARGETS!$A$2:$A$17,0))&amp;"","")</f>
        <v>≤</v>
      </c>
      <c r="I470" s="199" t="str">
        <f t="shared" si="35"/>
        <v/>
      </c>
      <c r="J470" s="193" t="str">
        <f t="shared" si="36"/>
        <v>Monthly</v>
      </c>
      <c r="K470" s="248">
        <f>Datos!Z31</f>
        <v>0</v>
      </c>
      <c r="L470" s="248">
        <f>Datos!Z30</f>
        <v>0</v>
      </c>
      <c r="M470" s="193">
        <f>INDEX(_TARGETS!$J$2:$J$17,MATCH($C470,_TARGETS!$A$2:$A$17,0))</f>
        <v>1</v>
      </c>
      <c r="N470" s="193" t="str">
        <f>INDEX(_TARGETS!$D$2:$D$17,MATCH($C470,_TARGETS!$A$2:$A$17,0))</f>
        <v>días</v>
      </c>
      <c r="O470" s="193" t="str">
        <f>IF(NOT(ISNUMBER(F470)),"MISSING",IF((COUNTBLANK(Datos!Z30)+COUNTBLANK(Datos!Z31))&gt;0,"INCOMPLETE","OK"))</f>
        <v>MISSING</v>
      </c>
      <c r="P470" s="193" t="str">
        <f>INDEX(_TARGETS!$K$2:$K$17,MATCH($C470,_TARGETS!$A$2:$A$17,0))</f>
        <v>OPS (carga manual en Datos)</v>
      </c>
      <c r="Q470" s="193" t="str">
        <f t="shared" si="37"/>
        <v>202806|INV|Monthly</v>
      </c>
      <c r="R470" s="193" t="str">
        <f>INDEX(_TARGETS!$H$2:$H$17,MATCH($C470,_TARGETS!$A$2:$A$17,0))</f>
        <v>Definida</v>
      </c>
      <c r="S470" s="193" t="str">
        <f t="shared" si="38"/>
        <v/>
      </c>
      <c r="T470" s="193" t="str">
        <f t="shared" si="39"/>
        <v/>
      </c>
    </row>
    <row r="471" spans="1:20" ht="13.5" customHeight="1" x14ac:dyDescent="0.3">
      <c r="A471" s="245">
        <f>KPIs!$Z$3</f>
        <v>46905</v>
      </c>
      <c r="B471" s="199" t="str">
        <f>KPIs!Z$4</f>
        <v>Compresora</v>
      </c>
      <c r="C471" s="31" t="s">
        <v>76</v>
      </c>
      <c r="D471" s="199" t="str">
        <f>KPIs!$A$16</f>
        <v>8 · % de capacitación en seguridad</v>
      </c>
      <c r="E471" s="31" t="s">
        <v>599</v>
      </c>
      <c r="F471" s="247" t="str">
        <f>IF(ISNUMBER(KPIs!Z16),KPIs!Z16,"")</f>
        <v/>
      </c>
      <c r="G471" s="247">
        <f>IF(ISNUMBER(KPIs!$C$16),KPIs!$C$16,"")</f>
        <v>0.01</v>
      </c>
      <c r="H471" s="199" t="str">
        <f>IFERROR(INDEX(_TARGETS!$E$2:$E$17,MATCH($C471,_TARGETS!$A$2:$A$17,0))&amp;"","")</f>
        <v>≥</v>
      </c>
      <c r="I471" s="199" t="str">
        <f t="shared" si="35"/>
        <v/>
      </c>
      <c r="J471" s="193" t="str">
        <f t="shared" si="36"/>
        <v>Monthly</v>
      </c>
      <c r="K471" s="248">
        <f>Datos!Z18</f>
        <v>0</v>
      </c>
      <c r="L471" s="248">
        <f>Datos!Z14</f>
        <v>0</v>
      </c>
      <c r="M471" s="193">
        <f>INDEX(_TARGETS!$J$2:$J$17,MATCH($C471,_TARGETS!$A$2:$A$17,0))</f>
        <v>1</v>
      </c>
      <c r="N471" s="193" t="str">
        <f>INDEX(_TARGETS!$D$2:$D$17,MATCH($C471,_TARGETS!$A$2:$A$17,0))</f>
        <v>% (fracción)</v>
      </c>
      <c r="O471" s="193" t="str">
        <f>IF(NOT(ISNUMBER(F471)),"MISSING",IF((COUNTBLANK(Datos!Z16)+COUNTBLANK(Datos!Z17)+COUNTBLANK(Datos!Z12)+COUNTBLANK(Datos!Z13))&gt;0,"INCOMPLETE","OK"))</f>
        <v>MISSING</v>
      </c>
      <c r="P471" s="193" t="str">
        <f>INDEX(_TARGETS!$K$2:$K$17,MATCH($C471,_TARGETS!$A$2:$A$17,0))</f>
        <v>OPS (carga manual en Datos)</v>
      </c>
      <c r="Q471" s="193" t="str">
        <f t="shared" si="37"/>
        <v>202806|HCS|Monthly</v>
      </c>
      <c r="R471" s="193" t="str">
        <f>INDEX(_TARGETS!$H$2:$H$17,MATCH($C471,_TARGETS!$A$2:$A$17,0))</f>
        <v>Definida</v>
      </c>
      <c r="S471" s="193" t="str">
        <f t="shared" si="38"/>
        <v/>
      </c>
      <c r="T471" s="193" t="str">
        <f t="shared" si="39"/>
        <v/>
      </c>
    </row>
    <row r="472" spans="1:20" ht="13.5" customHeight="1" x14ac:dyDescent="0.3">
      <c r="A472" s="245">
        <f>KPIs!$Z$3</f>
        <v>46905</v>
      </c>
      <c r="B472" s="199" t="str">
        <f>KPIs!Z$4</f>
        <v>Compresora</v>
      </c>
      <c r="C472" s="31" t="s">
        <v>80</v>
      </c>
      <c r="D472" s="199" t="str">
        <f>KPIs!$A$17</f>
        <v>9 · Horas de capacitación por persona</v>
      </c>
      <c r="E472" s="31" t="s">
        <v>599</v>
      </c>
      <c r="F472" s="247" t="str">
        <f>IF(ISNUMBER(KPIs!Z17),KPIs!Z17,"")</f>
        <v/>
      </c>
      <c r="G472" s="247" t="str">
        <f>IF(ISNUMBER(KPIs!$C$17),KPIs!$C$17,"")</f>
        <v/>
      </c>
      <c r="H472" s="199" t="str">
        <f>IFERROR(INDEX(_TARGETS!$E$2:$E$17,MATCH($C472,_TARGETS!$A$2:$A$17,0))&amp;"","")</f>
        <v/>
      </c>
      <c r="I472" s="199" t="str">
        <f t="shared" si="35"/>
        <v/>
      </c>
      <c r="J472" s="193" t="str">
        <f t="shared" si="36"/>
        <v>Monthly</v>
      </c>
      <c r="K472" s="248">
        <f>Datos!Z18</f>
        <v>0</v>
      </c>
      <c r="L472" s="248">
        <f>Datos!Z11</f>
        <v>0</v>
      </c>
      <c r="M472" s="193">
        <f>INDEX(_TARGETS!$J$2:$J$17,MATCH($C472,_TARGETS!$A$2:$A$17,0))</f>
        <v>1</v>
      </c>
      <c r="N472" s="193" t="str">
        <f>INDEX(_TARGETS!$D$2:$D$17,MATCH($C472,_TARGETS!$A$2:$A$17,0))</f>
        <v>h / persona</v>
      </c>
      <c r="O472" s="193" t="str">
        <f>IF(NOT(ISNUMBER(F472)),"MISSING",IF((COUNTBLANK(Datos!Z16)+COUNTBLANK(Datos!Z17)+COUNTBLANK(Datos!Z9)+COUNTBLANK(Datos!Z10))&gt;0,"INCOMPLETE","OK"))</f>
        <v>MISSING</v>
      </c>
      <c r="P472" s="193" t="str">
        <f>INDEX(_TARGETS!$K$2:$K$17,MATCH($C472,_TARGETS!$A$2:$A$17,0))</f>
        <v>OPS (carga manual en Datos)</v>
      </c>
      <c r="Q472" s="193" t="str">
        <f t="shared" si="37"/>
        <v>202806|HCSA|Monthly</v>
      </c>
      <c r="R472" s="193" t="str">
        <f>INDEX(_TARGETS!$H$2:$H$17,MATCH($C472,_TARGETS!$A$2:$A$17,0))</f>
        <v>Solo reporte</v>
      </c>
      <c r="S472" s="193" t="str">
        <f t="shared" si="38"/>
        <v/>
      </c>
      <c r="T472" s="193" t="str">
        <f t="shared" si="39"/>
        <v/>
      </c>
    </row>
    <row r="473" spans="1:20" ht="13.5" customHeight="1" x14ac:dyDescent="0.3">
      <c r="A473" s="245">
        <f>KPIs!$Z$3</f>
        <v>46905</v>
      </c>
      <c r="B473" s="199" t="str">
        <f>KPIs!Z$4</f>
        <v>Compresora</v>
      </c>
      <c r="C473" s="31" t="s">
        <v>83</v>
      </c>
      <c r="D473" s="199" t="str">
        <f>KPIs!$A$18</f>
        <v>10 · Cumplimiento de simulacros (emergencia y operativos)</v>
      </c>
      <c r="E473" s="31" t="s">
        <v>599</v>
      </c>
      <c r="F473" s="247" t="str">
        <f>IF(ISNUMBER(KPIs!Z18),KPIs!Z18,"")</f>
        <v/>
      </c>
      <c r="G473" s="247">
        <f>IF(ISNUMBER(KPIs!$C$18),KPIs!$C$18,"")</f>
        <v>1</v>
      </c>
      <c r="H473" s="199" t="str">
        <f>IFERROR(INDEX(_TARGETS!$E$2:$E$17,MATCH($C473,_TARGETS!$A$2:$A$17,0))&amp;"","")</f>
        <v>≥</v>
      </c>
      <c r="I473" s="199" t="str">
        <f t="shared" si="35"/>
        <v/>
      </c>
      <c r="J473" s="193" t="str">
        <f t="shared" si="36"/>
        <v>Monthly</v>
      </c>
      <c r="K473" s="248">
        <f>Datos!Z20</f>
        <v>0</v>
      </c>
      <c r="L473" s="248">
        <f>Datos!Z21</f>
        <v>0</v>
      </c>
      <c r="M473" s="193">
        <f>INDEX(_TARGETS!$J$2:$J$17,MATCH($C473,_TARGETS!$A$2:$A$17,0))</f>
        <v>1</v>
      </c>
      <c r="N473" s="193" t="str">
        <f>INDEX(_TARGETS!$D$2:$D$17,MATCH($C473,_TARGETS!$A$2:$A$17,0))</f>
        <v>% (fracción)</v>
      </c>
      <c r="O473" s="193" t="str">
        <f>IF(NOT(ISNUMBER(F473)),"MISSING",IF((COUNTBLANK(Datos!Z20)+COUNTBLANK(Datos!Z21))&gt;0,"INCOMPLETE","OK"))</f>
        <v>MISSING</v>
      </c>
      <c r="P473" s="193" t="str">
        <f>INDEX(_TARGETS!$K$2:$K$17,MATCH($C473,_TARGETS!$A$2:$A$17,0))</f>
        <v>OPS (carga manual en Datos)</v>
      </c>
      <c r="Q473" s="193" t="str">
        <f t="shared" si="37"/>
        <v>202806|CPSE|Monthly</v>
      </c>
      <c r="R473" s="193" t="str">
        <f>INDEX(_TARGETS!$H$2:$H$17,MATCH($C473,_TARGETS!$A$2:$A$17,0))</f>
        <v>Definida</v>
      </c>
      <c r="S473" s="193" t="str">
        <f t="shared" si="38"/>
        <v/>
      </c>
      <c r="T473" s="193" t="str">
        <f t="shared" si="39"/>
        <v/>
      </c>
    </row>
    <row r="474" spans="1:20" ht="13.5" customHeight="1" x14ac:dyDescent="0.3">
      <c r="A474" s="245">
        <f>KPIs!$Z$3</f>
        <v>46905</v>
      </c>
      <c r="B474" s="199" t="str">
        <f>KPIs!Z$4</f>
        <v>Compresora</v>
      </c>
      <c r="C474" s="31" t="s">
        <v>85</v>
      </c>
      <c r="D474" s="199" t="str">
        <f>KPIs!$A$19</f>
        <v>10b · Cumplimiento de acciones de mejora de simulacros</v>
      </c>
      <c r="E474" s="31" t="s">
        <v>599</v>
      </c>
      <c r="F474" s="247" t="str">
        <f>IF(ISNUMBER(KPIs!Z19),KPIs!Z19,"")</f>
        <v/>
      </c>
      <c r="G474" s="247" t="str">
        <f>IF(ISNUMBER(KPIs!$C$19),KPIs!$C$19,"")</f>
        <v/>
      </c>
      <c r="H474" s="199" t="str">
        <f>IFERROR(INDEX(_TARGETS!$E$2:$E$17,MATCH($C474,_TARGETS!$A$2:$A$17,0))&amp;"","")</f>
        <v/>
      </c>
      <c r="I474" s="199" t="str">
        <f t="shared" si="35"/>
        <v/>
      </c>
      <c r="J474" s="193" t="str">
        <f t="shared" si="36"/>
        <v>Monthly</v>
      </c>
      <c r="K474" s="248">
        <f>Datos!Z23</f>
        <v>0</v>
      </c>
      <c r="L474" s="248">
        <f>Datos!Z22</f>
        <v>0</v>
      </c>
      <c r="M474" s="193">
        <f>INDEX(_TARGETS!$J$2:$J$17,MATCH($C474,_TARGETS!$A$2:$A$17,0))</f>
        <v>1</v>
      </c>
      <c r="N474" s="193" t="str">
        <f>INDEX(_TARGETS!$D$2:$D$17,MATCH($C474,_TARGETS!$A$2:$A$17,0))</f>
        <v>% (fracción)</v>
      </c>
      <c r="O474" s="193" t="str">
        <f>IF(NOT(ISNUMBER(F474)),"MISSING",IF((COUNTBLANK(Datos!Z23)+COUNTBLANK(Datos!Z22))&gt;0,"INCOMPLETE","OK"))</f>
        <v>MISSING</v>
      </c>
      <c r="P474" s="193" t="str">
        <f>INDEX(_TARGETS!$K$2:$K$17,MATCH($C474,_TARGETS!$A$2:$A$17,0))</f>
        <v>OPS (carga manual en Datos)</v>
      </c>
      <c r="Q474" s="193" t="str">
        <f t="shared" si="37"/>
        <v>202806|CAMS|Monthly</v>
      </c>
      <c r="R474" s="193" t="str">
        <f>INDEX(_TARGETS!$H$2:$H$17,MATCH($C474,_TARGETS!$A$2:$A$17,0))</f>
        <v>Solo reporte</v>
      </c>
      <c r="S474" s="193" t="str">
        <f t="shared" si="38"/>
        <v/>
      </c>
      <c r="T474" s="193" t="str">
        <f t="shared" si="39"/>
        <v/>
      </c>
    </row>
    <row r="475" spans="1:20" ht="13.5" customHeight="1" x14ac:dyDescent="0.3">
      <c r="A475" s="245">
        <f>KPIs!$Z$3</f>
        <v>46905</v>
      </c>
      <c r="B475" s="199" t="str">
        <f>KPIs!Z$4</f>
        <v>Compresora</v>
      </c>
      <c r="C475" s="31" t="s">
        <v>87</v>
      </c>
      <c r="D475" s="199" t="str">
        <f>KPIs!$A$21</f>
        <v>11 · Cumplimiento de caminatas gerenciales</v>
      </c>
      <c r="E475" s="31" t="s">
        <v>599</v>
      </c>
      <c r="F475" s="247" t="str">
        <f>IF(ISNUMBER(KPIs!Z21),KPIs!Z21,"")</f>
        <v/>
      </c>
      <c r="G475" s="247">
        <f>IF(ISNUMBER(KPIs!$C$21),KPIs!$C$21,"")</f>
        <v>1</v>
      </c>
      <c r="H475" s="199" t="str">
        <f>IFERROR(INDEX(_TARGETS!$E$2:$E$17,MATCH($C475,_TARGETS!$A$2:$A$17,0))&amp;"","")</f>
        <v>≥</v>
      </c>
      <c r="I475" s="199" t="str">
        <f t="shared" si="35"/>
        <v/>
      </c>
      <c r="J475" s="193" t="str">
        <f t="shared" si="36"/>
        <v>Monthly</v>
      </c>
      <c r="K475" s="248">
        <f>Datos!Z24</f>
        <v>0</v>
      </c>
      <c r="L475" s="248">
        <f>Datos!Z25</f>
        <v>0</v>
      </c>
      <c r="M475" s="193">
        <f>INDEX(_TARGETS!$J$2:$J$17,MATCH($C475,_TARGETS!$A$2:$A$17,0))</f>
        <v>1</v>
      </c>
      <c r="N475" s="193" t="str">
        <f>INDEX(_TARGETS!$D$2:$D$17,MATCH($C475,_TARGETS!$A$2:$A$17,0))</f>
        <v>% (fracción)</v>
      </c>
      <c r="O475" s="193" t="str">
        <f>IF(NOT(ISNUMBER(F475)),"MISSING",IF((COUNTBLANK(Datos!Z24)+COUNTBLANK(Datos!Z25))&gt;0,"INCOMPLETE","OK"))</f>
        <v>MISSING</v>
      </c>
      <c r="P475" s="193" t="str">
        <f>INDEX(_TARGETS!$K$2:$K$17,MATCH($C475,_TARGETS!$A$2:$A$17,0))</f>
        <v>OPS (carga manual en Datos)</v>
      </c>
      <c r="Q475" s="193" t="str">
        <f t="shared" si="37"/>
        <v>202806|ICCS|Monthly</v>
      </c>
      <c r="R475" s="193" t="str">
        <f>INDEX(_TARGETS!$H$2:$H$17,MATCH($C475,_TARGETS!$A$2:$A$17,0))</f>
        <v>Definida</v>
      </c>
      <c r="S475" s="193" t="str">
        <f t="shared" si="38"/>
        <v/>
      </c>
      <c r="T475" s="193" t="str">
        <f t="shared" si="39"/>
        <v/>
      </c>
    </row>
    <row r="476" spans="1:20" ht="13.5" customHeight="1" x14ac:dyDescent="0.3">
      <c r="A476" s="245">
        <f>KPIs!$Z$3</f>
        <v>46905</v>
      </c>
      <c r="B476" s="199" t="str">
        <f>KPIs!Z$4</f>
        <v>Compresora</v>
      </c>
      <c r="C476" s="31" t="s">
        <v>89</v>
      </c>
      <c r="D476" s="199" t="str">
        <f>KPIs!$A$22</f>
        <v>12 · Cumplimiento de comités y subcomités de seguridad</v>
      </c>
      <c r="E476" s="31" t="s">
        <v>599</v>
      </c>
      <c r="F476" s="247" t="str">
        <f>IF(ISNUMBER(KPIs!Z22),KPIs!Z22,"")</f>
        <v/>
      </c>
      <c r="G476" s="247">
        <f>IF(ISNUMBER(KPIs!$C$22),KPIs!$C$22,"")</f>
        <v>1</v>
      </c>
      <c r="H476" s="199" t="str">
        <f>IFERROR(INDEX(_TARGETS!$E$2:$E$17,MATCH($C476,_TARGETS!$A$2:$A$17,0))&amp;"","")</f>
        <v>≥</v>
      </c>
      <c r="I476" s="199" t="str">
        <f t="shared" si="35"/>
        <v/>
      </c>
      <c r="J476" s="193" t="str">
        <f t="shared" si="36"/>
        <v>Monthly</v>
      </c>
      <c r="K476" s="248">
        <f>Datos!Z26</f>
        <v>0</v>
      </c>
      <c r="L476" s="248">
        <f>Datos!Z27</f>
        <v>0</v>
      </c>
      <c r="M476" s="193">
        <f>INDEX(_TARGETS!$J$2:$J$17,MATCH($C476,_TARGETS!$A$2:$A$17,0))</f>
        <v>1</v>
      </c>
      <c r="N476" s="193" t="str">
        <f>INDEX(_TARGETS!$D$2:$D$17,MATCH($C476,_TARGETS!$A$2:$A$17,0))</f>
        <v>% (fracción)</v>
      </c>
      <c r="O476" s="193" t="str">
        <f>IF(NOT(ISNUMBER(F476)),"MISSING",IF((COUNTBLANK(Datos!Z26)+COUNTBLANK(Datos!Z27))&gt;0,"INCOMPLETE","OK"))</f>
        <v>MISSING</v>
      </c>
      <c r="P476" s="193" t="str">
        <f>INDEX(_TARGETS!$K$2:$K$17,MATCH($C476,_TARGETS!$A$2:$A$17,0))</f>
        <v>OPS (carga manual en Datos)</v>
      </c>
      <c r="Q476" s="193" t="str">
        <f t="shared" si="37"/>
        <v>202806|CCS|Monthly</v>
      </c>
      <c r="R476" s="193" t="str">
        <f>INDEX(_TARGETS!$H$2:$H$17,MATCH($C476,_TARGETS!$A$2:$A$17,0))</f>
        <v>Definida</v>
      </c>
      <c r="S476" s="193" t="str">
        <f t="shared" si="38"/>
        <v/>
      </c>
      <c r="T476" s="193" t="str">
        <f t="shared" si="39"/>
        <v/>
      </c>
    </row>
    <row r="477" spans="1:20" ht="13.5" customHeight="1" x14ac:dyDescent="0.3">
      <c r="A477" s="245">
        <f>KPIs!$Z$3</f>
        <v>46905</v>
      </c>
      <c r="B477" s="199" t="str">
        <f>KPIs!Z$4</f>
        <v>Compresora</v>
      </c>
      <c r="C477" s="31" t="s">
        <v>91</v>
      </c>
      <c r="D477" s="199" t="str">
        <f>KPIs!$A$23</f>
        <v>13 · Días promedio para cerrar hallazgos</v>
      </c>
      <c r="E477" s="31" t="s">
        <v>599</v>
      </c>
      <c r="F477" s="247" t="str">
        <f>IF(ISNUMBER(KPIs!Z23),KPIs!Z23,"")</f>
        <v/>
      </c>
      <c r="G477" s="247" t="str">
        <f>IF(ISNUMBER(KPIs!$C$23),KPIs!$C$23,"")</f>
        <v/>
      </c>
      <c r="H477" s="199" t="str">
        <f>IFERROR(INDEX(_TARGETS!$E$2:$E$17,MATCH($C477,_TARGETS!$A$2:$A$17,0))&amp;"","")</f>
        <v>≤</v>
      </c>
      <c r="I477" s="199" t="str">
        <f t="shared" si="35"/>
        <v/>
      </c>
      <c r="J477" s="193" t="str">
        <f t="shared" si="36"/>
        <v>Monthly</v>
      </c>
      <c r="K477" s="248">
        <f>Datos!Z68</f>
        <v>0</v>
      </c>
      <c r="L477" s="248">
        <f>Datos!Z67</f>
        <v>0</v>
      </c>
      <c r="M477" s="193">
        <f>INDEX(_TARGETS!$J$2:$J$17,MATCH($C477,_TARGETS!$A$2:$A$17,0))</f>
        <v>1</v>
      </c>
      <c r="N477" s="193" t="str">
        <f>INDEX(_TARGETS!$D$2:$D$17,MATCH($C477,_TARGETS!$A$2:$A$17,0))</f>
        <v>días</v>
      </c>
      <c r="O477" s="193" t="str">
        <f>IF(NOT(ISNUMBER(F477)),"MISSING","OK")</f>
        <v>MISSING</v>
      </c>
      <c r="P477" s="193" t="str">
        <f>INDEX(_TARGETS!$K$2:$K$17,MATCH($C477,_TARGETS!$A$2:$A$17,0))</f>
        <v>Plant Findings (hoja Observaciones-SMP)</v>
      </c>
      <c r="Q477" s="193" t="str">
        <f t="shared" si="37"/>
        <v>202806|DPAS|Monthly</v>
      </c>
      <c r="R477" s="193" t="str">
        <f>INDEX(_TARGETS!$H$2:$H$17,MATCH($C477,_TARGETS!$A$2:$A$17,0))</f>
        <v>Pendiente (meta 2027)</v>
      </c>
      <c r="S477" s="193" t="str">
        <f t="shared" si="38"/>
        <v/>
      </c>
      <c r="T477" s="193" t="str">
        <f t="shared" si="39"/>
        <v/>
      </c>
    </row>
    <row r="478" spans="1:20" ht="13.5" customHeight="1" x14ac:dyDescent="0.3">
      <c r="A478" s="245">
        <f>KPIs!$Z$3</f>
        <v>46905</v>
      </c>
      <c r="B478" s="199" t="str">
        <f>KPIs!Z$4</f>
        <v>Compresora</v>
      </c>
      <c r="C478" s="31" t="s">
        <v>39</v>
      </c>
      <c r="D478" s="199" t="str">
        <f>KPIs!$A$26</f>
        <v>1 · Frecuencia de casos con días perdidos · ACUMULADO</v>
      </c>
      <c r="E478" s="31" t="s">
        <v>600</v>
      </c>
      <c r="F478" s="247" t="str">
        <f>IF(ISNUMBER(KPIs!Z26),KPIs!Z26,"")</f>
        <v/>
      </c>
      <c r="G478" s="247">
        <f>IF(ISNUMBER(KPIs!$C$26),KPIs!$C$26,"")</f>
        <v>0</v>
      </c>
      <c r="H478" s="199" t="str">
        <f>IFERROR(INDEX(_TARGETS!$E$2:$E$17,MATCH($C478,_TARGETS!$A$2:$A$17,0))&amp;"","")</f>
        <v>≤</v>
      </c>
      <c r="I478" s="199" t="str">
        <f t="shared" si="35"/>
        <v/>
      </c>
      <c r="J478" s="193" t="str">
        <f t="shared" si="36"/>
        <v>Cumulative</v>
      </c>
      <c r="K478" s="193">
        <f>SUM(Datos!$D33:Z33)</f>
        <v>0</v>
      </c>
      <c r="L478" s="193">
        <f>SUM(Datos!$D14:Z14)</f>
        <v>48332</v>
      </c>
      <c r="M478" s="193">
        <f>INDEX(_TARGETS!$J$2:$J$17,MATCH($C478,_TARGETS!$A$2:$A$17,0))</f>
        <v>1000000</v>
      </c>
      <c r="N478" s="193" t="str">
        <f>INDEX(_TARGETS!$D$2:$D$17,MATCH($C478,_TARGETS!$A$2:$A$17,0))</f>
        <v>casos / 10^6 HH</v>
      </c>
      <c r="O478" s="193" t="str">
        <f>IF(NOT(ISNUMBER(F478)),IF(SUMPRODUCT(($C$2:$C$1300=C478)*($J$2:$J$1300="Monthly")*($A$2:$A$1300&lt;=A478)*ISNUMBER($K$2:$K$1300)*ISNUMBER($L$2:$L$1300)*($L$2:$L$1300=0)*($K$2:$K$1300&gt;0))&gt;0,"INCOMPLETE","MISSING"),O464)</f>
        <v>MISSING</v>
      </c>
      <c r="P478" s="193" t="str">
        <f>INDEX(_TARGETS!$K$2:$K$17,MATCH($C478,_TARGETS!$A$2:$A$17,0))</f>
        <v>OPS (carga manual en Datos)</v>
      </c>
      <c r="Q478" s="193" t="str">
        <f t="shared" si="37"/>
        <v>202806|DAFWCF|Cumulative</v>
      </c>
      <c r="R478" s="193" t="str">
        <f>INDEX(_TARGETS!$H$2:$H$17,MATCH($C478,_TARGETS!$A$2:$A$17,0))</f>
        <v>Definida</v>
      </c>
      <c r="S478" s="193">
        <f t="shared" si="38"/>
        <v>0</v>
      </c>
      <c r="T478" s="193" t="str">
        <f t="shared" si="39"/>
        <v/>
      </c>
    </row>
    <row r="479" spans="1:20" ht="13.5" customHeight="1" x14ac:dyDescent="0.3">
      <c r="A479" s="245">
        <f>KPIs!$Z$3</f>
        <v>46905</v>
      </c>
      <c r="B479" s="199" t="str">
        <f>KPIs!Z$4</f>
        <v>Compresora</v>
      </c>
      <c r="C479" s="31" t="s">
        <v>49</v>
      </c>
      <c r="D479" s="199" t="str">
        <f>KPIs!$A$27</f>
        <v>2 · Frecuencia de casos registrables · ACUMULADO</v>
      </c>
      <c r="E479" s="31" t="s">
        <v>600</v>
      </c>
      <c r="F479" s="247" t="str">
        <f>IF(ISNUMBER(KPIs!Z27),KPIs!Z27,"")</f>
        <v/>
      </c>
      <c r="G479" s="247">
        <f>IF(ISNUMBER(KPIs!$C$27),KPIs!$C$27,"")</f>
        <v>2.35</v>
      </c>
      <c r="H479" s="199" t="str">
        <f>IFERROR(INDEX(_TARGETS!$E$2:$E$17,MATCH($C479,_TARGETS!$A$2:$A$17,0))&amp;"","")</f>
        <v>≤</v>
      </c>
      <c r="I479" s="199" t="str">
        <f t="shared" si="35"/>
        <v/>
      </c>
      <c r="J479" s="193" t="str">
        <f t="shared" si="36"/>
        <v>Cumulative</v>
      </c>
      <c r="K479" s="193">
        <f>SUM(Datos!$D33:Z33)+SUM(Datos!$D34:Z34)+SUM(Datos!$D35:Z35)+SUM(Datos!$D36:Z36)</f>
        <v>0</v>
      </c>
      <c r="L479" s="193">
        <f>SUM(Datos!$D14:Z14)</f>
        <v>48332</v>
      </c>
      <c r="M479" s="193">
        <f>INDEX(_TARGETS!$J$2:$J$17,MATCH($C479,_TARGETS!$A$2:$A$17,0))</f>
        <v>1000000</v>
      </c>
      <c r="N479" s="193" t="str">
        <f>INDEX(_TARGETS!$D$2:$D$17,MATCH($C479,_TARGETS!$A$2:$A$17,0))</f>
        <v>casos / 10^6 HH</v>
      </c>
      <c r="O479" s="193" t="str">
        <f>IF(NOT(ISNUMBER(F479)),IF(SUMPRODUCT(($C$2:$C$1300=C479)*($J$2:$J$1300="Monthly")*($A$2:$A$1300&lt;=A479)*ISNUMBER($K$2:$K$1300)*ISNUMBER($L$2:$L$1300)*($L$2:$L$1300=0)*($K$2:$K$1300&gt;0))&gt;0,"INCOMPLETE","MISSING"),O465)</f>
        <v>MISSING</v>
      </c>
      <c r="P479" s="193" t="str">
        <f>INDEX(_TARGETS!$K$2:$K$17,MATCH($C479,_TARGETS!$A$2:$A$17,0))</f>
        <v>OPS (carga manual en Datos)</v>
      </c>
      <c r="Q479" s="193" t="str">
        <f t="shared" si="37"/>
        <v>202806|TRICF|Cumulative</v>
      </c>
      <c r="R479" s="193" t="str">
        <f>INDEX(_TARGETS!$H$2:$H$17,MATCH($C479,_TARGETS!$A$2:$A$17,0))</f>
        <v>Definida</v>
      </c>
      <c r="S479" s="193">
        <f t="shared" si="38"/>
        <v>0</v>
      </c>
      <c r="T479" s="193" t="str">
        <f t="shared" si="39"/>
        <v/>
      </c>
    </row>
    <row r="480" spans="1:20" ht="13.5" customHeight="1" x14ac:dyDescent="0.3">
      <c r="A480" s="245">
        <f>KPIs!$Z$3</f>
        <v>46905</v>
      </c>
      <c r="B480" s="199" t="str">
        <f>KPIs!Z$4</f>
        <v>Compresora</v>
      </c>
      <c r="C480" s="31" t="s">
        <v>51</v>
      </c>
      <c r="D480" s="199" t="str">
        <f>KPIs!$A$28</f>
        <v>3 · Casos de primeros auxilios · ACUMULADO</v>
      </c>
      <c r="E480" s="31" t="s">
        <v>600</v>
      </c>
      <c r="F480" s="247" t="str">
        <f>IF(ISNUMBER(KPIs!Z28),KPIs!Z28,"")</f>
        <v/>
      </c>
      <c r="G480" s="247" t="str">
        <f>IF(ISNUMBER(KPIs!$C$28),KPIs!$C$28,"")</f>
        <v/>
      </c>
      <c r="H480" s="199" t="str">
        <f>IFERROR(INDEX(_TARGETS!$E$2:$E$17,MATCH($C480,_TARGETS!$A$2:$A$17,0))&amp;"","")</f>
        <v/>
      </c>
      <c r="I480" s="199" t="str">
        <f t="shared" si="35"/>
        <v/>
      </c>
      <c r="J480" s="193" t="str">
        <f t="shared" si="36"/>
        <v>Cumulative</v>
      </c>
      <c r="K480" s="193">
        <f>SUM(Datos!$D37:Z37)</f>
        <v>0</v>
      </c>
      <c r="M480" s="193">
        <f>INDEX(_TARGETS!$J$2:$J$17,MATCH($C480,_TARGETS!$A$2:$A$17,0))</f>
        <v>1</v>
      </c>
      <c r="N480" s="193" t="str">
        <f>INDEX(_TARGETS!$D$2:$D$17,MATCH($C480,_TARGETS!$A$2:$A$17,0))</f>
        <v>casos</v>
      </c>
      <c r="O480" s="193" t="str">
        <f>IF(NOT(ISNUMBER(F480)),IF(SUMPRODUCT(($C$2:$C$1300=C480)*($J$2:$J$1300="Monthly")*($A$2:$A$1300&lt;=A480)*ISNUMBER($K$2:$K$1300)*ISNUMBER($L$2:$L$1300)*($L$2:$L$1300=0)*($K$2:$K$1300&gt;0))&gt;0,"INCOMPLETE","MISSING"),O466)</f>
        <v>MISSING</v>
      </c>
      <c r="P480" s="193" t="str">
        <f>INDEX(_TARGETS!$K$2:$K$17,MATCH($C480,_TARGETS!$A$2:$A$17,0))</f>
        <v>OPS (carga manual en Datos)</v>
      </c>
      <c r="Q480" s="193" t="str">
        <f t="shared" si="37"/>
        <v>202806|FAC|Cumulative</v>
      </c>
      <c r="R480" s="193" t="str">
        <f>INDEX(_TARGETS!$H$2:$H$17,MATCH($C480,_TARGETS!$A$2:$A$17,0))</f>
        <v>Solo reporte</v>
      </c>
      <c r="S480" s="193">
        <f t="shared" si="38"/>
        <v>0</v>
      </c>
      <c r="T480" s="193" t="str">
        <f t="shared" si="39"/>
        <v/>
      </c>
    </row>
    <row r="481" spans="1:20" ht="13.5" customHeight="1" x14ac:dyDescent="0.3">
      <c r="A481" s="245">
        <f>KPIs!$Z$3</f>
        <v>46905</v>
      </c>
      <c r="B481" s="199" t="str">
        <f>KPIs!Z$4</f>
        <v>Compresora</v>
      </c>
      <c r="C481" s="31" t="s">
        <v>57</v>
      </c>
      <c r="D481" s="199" t="str">
        <f>KPIs!$A$29</f>
        <v>4 · Accidentes vehiculares severos · ACUMULADO</v>
      </c>
      <c r="E481" s="31" t="s">
        <v>600</v>
      </c>
      <c r="F481" s="247" t="str">
        <f>IF(ISNUMBER(KPIs!Z29),KPIs!Z29,"")</f>
        <v/>
      </c>
      <c r="G481" s="247" t="str">
        <f>IF(ISNUMBER(KPIs!$C$29),KPIs!$C$29,"")</f>
        <v/>
      </c>
      <c r="H481" s="199" t="str">
        <f>IFERROR(INDEX(_TARGETS!$E$2:$E$17,MATCH($C481,_TARGETS!$A$2:$A$17,0))&amp;"","")</f>
        <v/>
      </c>
      <c r="I481" s="199" t="str">
        <f t="shared" si="35"/>
        <v/>
      </c>
      <c r="J481" s="193" t="str">
        <f t="shared" si="36"/>
        <v>Cumulative</v>
      </c>
      <c r="K481" s="193">
        <f>SUM(Datos!$D39:Z39)+SUM(Datos!$D40:Z40)+SUM(Datos!$D41:Z41)</f>
        <v>0</v>
      </c>
      <c r="L481" s="193">
        <f>SUM(Datos!$D47:Z47)</f>
        <v>172824</v>
      </c>
      <c r="M481" s="193">
        <f>INDEX(_TARGETS!$J$2:$J$17,MATCH($C481,_TARGETS!$A$2:$A$17,0))</f>
        <v>1000000</v>
      </c>
      <c r="N481" s="193" t="str">
        <f>INDEX(_TARGETS!$D$2:$D$17,MATCH($C481,_TARGETS!$A$2:$A$17,0))</f>
        <v>eventos / 10^6 km</v>
      </c>
      <c r="O481" s="193" t="str">
        <f>IF(NOT(ISNUMBER(F481)),IF(SUMPRODUCT(($C$2:$C$1300=C481)*($J$2:$J$1300="Monthly")*($A$2:$A$1300&lt;=A481)*ISNUMBER($K$2:$K$1300)*ISNUMBER($L$2:$L$1300)*($L$2:$L$1300=0)*($K$2:$K$1300&gt;0))&gt;0,"INCOMPLETE","MISSING"),O467)</f>
        <v>MISSING</v>
      </c>
      <c r="P481" s="193" t="str">
        <f>INDEX(_TARGETS!$K$2:$K$17,MATCH($C481,_TARGETS!$A$2:$A$17,0))</f>
        <v>OPS (eventos) + Full Control GPS (km) - carga manual en Datos</v>
      </c>
      <c r="Q481" s="193" t="str">
        <f t="shared" si="37"/>
        <v>202806|SVCR|Cumulative</v>
      </c>
      <c r="R481" s="193" t="str">
        <f>INDEX(_TARGETS!$H$2:$H$17,MATCH($C481,_TARGETS!$A$2:$A$17,0))</f>
        <v>Solo reporte</v>
      </c>
      <c r="S481" s="193">
        <f t="shared" si="38"/>
        <v>0</v>
      </c>
      <c r="T481" s="193" t="str">
        <f t="shared" si="39"/>
        <v/>
      </c>
    </row>
    <row r="482" spans="1:20" ht="13.5" customHeight="1" x14ac:dyDescent="0.3">
      <c r="A482" s="245">
        <f>KPIs!$Z$3</f>
        <v>46905</v>
      </c>
      <c r="B482" s="199" t="str">
        <f>KPIs!Z$4</f>
        <v>Compresora</v>
      </c>
      <c r="C482" s="31" t="s">
        <v>61</v>
      </c>
      <c r="D482" s="199" t="str">
        <f>KPIs!$A$30</f>
        <v>5 · Accidentes vehiculares totales · ACUMULADO</v>
      </c>
      <c r="E482" s="31" t="s">
        <v>600</v>
      </c>
      <c r="F482" s="247" t="str">
        <f>IF(ISNUMBER(KPIs!Z30),KPIs!Z30,"")</f>
        <v/>
      </c>
      <c r="G482" s="247">
        <f>IF(ISNUMBER(KPIs!$C$30),KPIs!$C$30,"")</f>
        <v>0.79</v>
      </c>
      <c r="H482" s="199" t="str">
        <f>IFERROR(INDEX(_TARGETS!$E$2:$E$17,MATCH($C482,_TARGETS!$A$2:$A$17,0))&amp;"","")</f>
        <v>≤</v>
      </c>
      <c r="I482" s="199" t="str">
        <f t="shared" si="35"/>
        <v/>
      </c>
      <c r="J482" s="193" t="str">
        <f t="shared" si="36"/>
        <v>Cumulative</v>
      </c>
      <c r="K482" s="193">
        <f>SUM(Datos!$D39:Z39)+SUM(Datos!$D40:Z40)+SUM(Datos!$D41:Z41)+SUM(Datos!$D42:Z42)</f>
        <v>0</v>
      </c>
      <c r="L482" s="193">
        <f>SUM(Datos!$D47:Z47)</f>
        <v>172824</v>
      </c>
      <c r="M482" s="193">
        <f>INDEX(_TARGETS!$J$2:$J$17,MATCH($C482,_TARGETS!$A$2:$A$17,0))</f>
        <v>1000000</v>
      </c>
      <c r="N482" s="193" t="str">
        <f>INDEX(_TARGETS!$D$2:$D$17,MATCH($C482,_TARGETS!$A$2:$A$17,0))</f>
        <v>eventos / 10^6 km</v>
      </c>
      <c r="O482" s="193" t="str">
        <f>IF(NOT(ISNUMBER(F482)),IF(SUMPRODUCT(($C$2:$C$1300=C482)*($J$2:$J$1300="Monthly")*($A$2:$A$1300&lt;=A482)*ISNUMBER($K$2:$K$1300)*ISNUMBER($L$2:$L$1300)*($L$2:$L$1300=0)*($K$2:$K$1300&gt;0))&gt;0,"INCOMPLETE","MISSING"),O468)</f>
        <v>MISSING</v>
      </c>
      <c r="P482" s="193" t="str">
        <f>INDEX(_TARGETS!$K$2:$K$17,MATCH($C482,_TARGETS!$A$2:$A$17,0))</f>
        <v>OPS (eventos) + Full Control GPS (km) - carga manual en Datos</v>
      </c>
      <c r="Q482" s="193" t="str">
        <f t="shared" si="37"/>
        <v>202806|TVCR|Cumulative</v>
      </c>
      <c r="R482" s="193" t="str">
        <f>INDEX(_TARGETS!$H$2:$H$17,MATCH($C482,_TARGETS!$A$2:$A$17,0))</f>
        <v>Definida</v>
      </c>
      <c r="S482" s="193">
        <f t="shared" si="38"/>
        <v>0</v>
      </c>
      <c r="T482" s="193" t="str">
        <f t="shared" si="39"/>
        <v/>
      </c>
    </row>
    <row r="483" spans="1:20" ht="13.5" customHeight="1" x14ac:dyDescent="0.3">
      <c r="A483" s="245">
        <f>KPIs!$Z$3</f>
        <v>46905</v>
      </c>
      <c r="B483" s="199" t="str">
        <f>KPIs!Z$4</f>
        <v>Compresora</v>
      </c>
      <c r="C483" s="31" t="s">
        <v>96</v>
      </c>
      <c r="D483" s="199" t="str">
        <f>KPIs!$A$33</f>
        <v>C1 · % de desvíos detectados de gravedad Alta</v>
      </c>
      <c r="E483" s="31" t="s">
        <v>599</v>
      </c>
      <c r="F483" s="247" t="str">
        <f>IF(ISNUMBER(KPIs!Z33),KPIs!Z33,"")</f>
        <v/>
      </c>
      <c r="G483" s="247" t="str">
        <f>IF(ISNUMBER(KPIs!$C$33),KPIs!$C$33,"")</f>
        <v/>
      </c>
      <c r="H483" s="199" t="str">
        <f>IFERROR(INDEX(_TARGETS!$E$2:$E$17,MATCH($C483,_TARGETS!$A$2:$A$17,0))&amp;"","")</f>
        <v/>
      </c>
      <c r="I483" s="199" t="str">
        <f t="shared" si="35"/>
        <v/>
      </c>
      <c r="J483" s="193" t="str">
        <f t="shared" si="36"/>
        <v>Monthly</v>
      </c>
      <c r="K483" s="248">
        <f>Datos!Z71</f>
        <v>0</v>
      </c>
      <c r="L483" s="193">
        <f>Datos!Z71+Datos!Z72+Datos!Z73</f>
        <v>0</v>
      </c>
      <c r="M483" s="193">
        <f>INDEX(_TARGETS!$J$2:$J$17,MATCH($C483,_TARGETS!$A$2:$A$17,0))</f>
        <v>1</v>
      </c>
      <c r="N483" s="193" t="str">
        <f>INDEX(_TARGETS!$D$2:$D$17,MATCH($C483,_TARGETS!$A$2:$A$17,0))</f>
        <v>% (fracción)</v>
      </c>
      <c r="O483" s="193" t="str">
        <f>IF(NOT(ISNUMBER(F483)),"MISSING","OK")</f>
        <v>MISSING</v>
      </c>
      <c r="P483" s="193" t="str">
        <f>INDEX(_TARGETS!$K$2:$K$17,MATCH($C483,_TARGETS!$A$2:$A$17,0))</f>
        <v>Plant Findings (hoja Observaciones-SMP)</v>
      </c>
      <c r="Q483" s="193" t="str">
        <f t="shared" si="37"/>
        <v>202806|HAL_ALTA_PCT|Monthly</v>
      </c>
      <c r="R483" s="193" t="str">
        <f>INDEX(_TARGETS!$H$2:$H$17,MATCH($C483,_TARGETS!$A$2:$A$17,0))</f>
        <v>Solo reporte</v>
      </c>
      <c r="S483" s="193" t="str">
        <f t="shared" si="38"/>
        <v/>
      </c>
      <c r="T483" s="193" t="str">
        <f t="shared" si="39"/>
        <v/>
      </c>
    </row>
    <row r="484" spans="1:20" ht="13.5" customHeight="1" x14ac:dyDescent="0.3">
      <c r="A484" s="245">
        <f>KPIs!$Z$3</f>
        <v>46905</v>
      </c>
      <c r="B484" s="199" t="str">
        <f>KPIs!Z$4</f>
        <v>Compresora</v>
      </c>
      <c r="C484" s="31" t="s">
        <v>98</v>
      </c>
      <c r="D484" s="199" t="str">
        <f>KPIs!$A$34</f>
        <v>C2 · Detenciones de tareas aplicadas</v>
      </c>
      <c r="E484" s="31" t="s">
        <v>599</v>
      </c>
      <c r="F484" s="247" t="str">
        <f>IF(ISNUMBER(KPIs!Z34),KPIs!Z34,"")</f>
        <v/>
      </c>
      <c r="G484" s="247" t="str">
        <f>IF(ISNUMBER(KPIs!$C$34),KPIs!$C$34,"")</f>
        <v/>
      </c>
      <c r="H484" s="199" t="str">
        <f>IFERROR(INDEX(_TARGETS!$E$2:$E$17,MATCH($C484,_TARGETS!$A$2:$A$17,0))&amp;"","")</f>
        <v/>
      </c>
      <c r="I484" s="199" t="str">
        <f t="shared" si="35"/>
        <v/>
      </c>
      <c r="J484" s="193" t="str">
        <f t="shared" si="36"/>
        <v>Monthly</v>
      </c>
      <c r="K484" s="248">
        <f>Datos!Z75</f>
        <v>0</v>
      </c>
      <c r="M484" s="193">
        <f>INDEX(_TARGETS!$J$2:$J$17,MATCH($C484,_TARGETS!$A$2:$A$17,0))</f>
        <v>1</v>
      </c>
      <c r="N484" s="193" t="str">
        <f>INDEX(_TARGETS!$D$2:$D$17,MATCH($C484,_TARGETS!$A$2:$A$17,0))</f>
        <v>u</v>
      </c>
      <c r="O484" s="193" t="str">
        <f>IF(NOT(ISNUMBER(F484)),"MISSING","OK")</f>
        <v>MISSING</v>
      </c>
      <c r="P484" s="193" t="str">
        <f>INDEX(_TARGETS!$K$2:$K$17,MATCH($C484,_TARGETS!$A$2:$A$17,0))</f>
        <v>Plant Findings (hoja Observaciones-SMP)</v>
      </c>
      <c r="Q484" s="193" t="str">
        <f t="shared" si="37"/>
        <v>202806|DET|Monthly</v>
      </c>
      <c r="R484" s="193" t="str">
        <f>INDEX(_TARGETS!$H$2:$H$17,MATCH($C484,_TARGETS!$A$2:$A$17,0))</f>
        <v>Solo reporte</v>
      </c>
      <c r="S484" s="193" t="str">
        <f t="shared" si="38"/>
        <v/>
      </c>
      <c r="T484" s="193" t="str">
        <f t="shared" si="39"/>
        <v/>
      </c>
    </row>
    <row r="485" spans="1:20" ht="13.5" customHeight="1" x14ac:dyDescent="0.3">
      <c r="A485" s="245">
        <f>KPIs!$AA$3</f>
        <v>46935</v>
      </c>
      <c r="B485" s="199" t="str">
        <f>KPIs!AA$4</f>
        <v>Compresora</v>
      </c>
      <c r="C485" s="31" t="s">
        <v>39</v>
      </c>
      <c r="D485" s="199" t="str">
        <f>KPIs!$A$6</f>
        <v>1 · Frecuencia de casos con días perdidos</v>
      </c>
      <c r="E485" s="31" t="s">
        <v>599</v>
      </c>
      <c r="F485" s="247" t="str">
        <f>IF(ISNUMBER(KPIs!AA6),KPIs!AA6,"")</f>
        <v/>
      </c>
      <c r="G485" s="247">
        <f>IF(ISNUMBER(KPIs!$C$6),KPIs!$C$6,"")</f>
        <v>0</v>
      </c>
      <c r="H485" s="199" t="str">
        <f>IFERROR(INDEX(_TARGETS!$E$2:$E$17,MATCH($C485,_TARGETS!$A$2:$A$17,0))&amp;"","")</f>
        <v>≤</v>
      </c>
      <c r="I485" s="199" t="str">
        <f t="shared" si="35"/>
        <v/>
      </c>
      <c r="J485" s="193" t="str">
        <f t="shared" si="36"/>
        <v>Monthly</v>
      </c>
      <c r="K485" s="248">
        <f>Datos!AA33</f>
        <v>0</v>
      </c>
      <c r="L485" s="248">
        <f>Datos!AA14</f>
        <v>0</v>
      </c>
      <c r="M485" s="193">
        <f>INDEX(_TARGETS!$J$2:$J$17,MATCH($C485,_TARGETS!$A$2:$A$17,0))</f>
        <v>1000000</v>
      </c>
      <c r="N485" s="193" t="str">
        <f>INDEX(_TARGETS!$D$2:$D$17,MATCH($C485,_TARGETS!$A$2:$A$17,0))</f>
        <v>casos / 10^6 HH</v>
      </c>
      <c r="O485" s="193" t="str">
        <f>IF(NOT(ISNUMBER(F485)),"MISSING",IF((COUNTBLANK(Datos!AA12)+COUNTBLANK(Datos!AA13)+COUNTBLANK(Datos!AA33))&gt;0,"INCOMPLETE","OK"))</f>
        <v>MISSING</v>
      </c>
      <c r="P485" s="193" t="str">
        <f>INDEX(_TARGETS!$K$2:$K$17,MATCH($C485,_TARGETS!$A$2:$A$17,0))</f>
        <v>OPS (carga manual en Datos)</v>
      </c>
      <c r="Q485" s="193" t="str">
        <f t="shared" si="37"/>
        <v>202807|DAFWCF|Monthly</v>
      </c>
      <c r="R485" s="193" t="str">
        <f>INDEX(_TARGETS!$H$2:$H$17,MATCH($C485,_TARGETS!$A$2:$A$17,0))</f>
        <v>Definida</v>
      </c>
      <c r="S485" s="193" t="str">
        <f t="shared" si="38"/>
        <v/>
      </c>
      <c r="T485" s="193" t="str">
        <f t="shared" si="39"/>
        <v/>
      </c>
    </row>
    <row r="486" spans="1:20" ht="13.5" customHeight="1" x14ac:dyDescent="0.3">
      <c r="A486" s="245">
        <f>KPIs!$AA$3</f>
        <v>46935</v>
      </c>
      <c r="B486" s="199" t="str">
        <f>KPIs!AA$4</f>
        <v>Compresora</v>
      </c>
      <c r="C486" s="31" t="s">
        <v>49</v>
      </c>
      <c r="D486" s="199" t="str">
        <f>KPIs!$A$7</f>
        <v>2 · Frecuencia de casos registrables</v>
      </c>
      <c r="E486" s="31" t="s">
        <v>599</v>
      </c>
      <c r="F486" s="247" t="str">
        <f>IF(ISNUMBER(KPIs!AA7),KPIs!AA7,"")</f>
        <v/>
      </c>
      <c r="G486" s="247">
        <f>IF(ISNUMBER(KPIs!$C$7),KPIs!$C$7,"")</f>
        <v>2.35</v>
      </c>
      <c r="H486" s="199" t="str">
        <f>IFERROR(INDEX(_TARGETS!$E$2:$E$17,MATCH($C486,_TARGETS!$A$2:$A$17,0))&amp;"","")</f>
        <v>≤</v>
      </c>
      <c r="I486" s="199" t="str">
        <f t="shared" si="35"/>
        <v/>
      </c>
      <c r="J486" s="193" t="str">
        <f t="shared" si="36"/>
        <v>Monthly</v>
      </c>
      <c r="K486" s="193">
        <f>Datos!AA33+Datos!AA34+Datos!AA35+Datos!AA36</f>
        <v>0</v>
      </c>
      <c r="L486" s="248">
        <f>Datos!AA14</f>
        <v>0</v>
      </c>
      <c r="M486" s="193">
        <f>INDEX(_TARGETS!$J$2:$J$17,MATCH($C486,_TARGETS!$A$2:$A$17,0))</f>
        <v>1000000</v>
      </c>
      <c r="N486" s="193" t="str">
        <f>INDEX(_TARGETS!$D$2:$D$17,MATCH($C486,_TARGETS!$A$2:$A$17,0))</f>
        <v>casos / 10^6 HH</v>
      </c>
      <c r="O486" s="193" t="str">
        <f>IF(NOT(ISNUMBER(F486)),"MISSING",IF((COUNTBLANK(Datos!AA12)+COUNTBLANK(Datos!AA13)+COUNTBLANK(Datos!AA33)+COUNTBLANK(Datos!AA34)+COUNTBLANK(Datos!AA35)+COUNTBLANK(Datos!AA36))&gt;0,"INCOMPLETE","OK"))</f>
        <v>MISSING</v>
      </c>
      <c r="P486" s="193" t="str">
        <f>INDEX(_TARGETS!$K$2:$K$17,MATCH($C486,_TARGETS!$A$2:$A$17,0))</f>
        <v>OPS (carga manual en Datos)</v>
      </c>
      <c r="Q486" s="193" t="str">
        <f t="shared" si="37"/>
        <v>202807|TRICF|Monthly</v>
      </c>
      <c r="R486" s="193" t="str">
        <f>INDEX(_TARGETS!$H$2:$H$17,MATCH($C486,_TARGETS!$A$2:$A$17,0))</f>
        <v>Definida</v>
      </c>
      <c r="S486" s="193" t="str">
        <f t="shared" si="38"/>
        <v/>
      </c>
      <c r="T486" s="193" t="str">
        <f t="shared" si="39"/>
        <v/>
      </c>
    </row>
    <row r="487" spans="1:20" ht="13.5" customHeight="1" x14ac:dyDescent="0.3">
      <c r="A487" s="245">
        <f>KPIs!$AA$3</f>
        <v>46935</v>
      </c>
      <c r="B487" s="199" t="str">
        <f>KPIs!AA$4</f>
        <v>Compresora</v>
      </c>
      <c r="C487" s="31" t="s">
        <v>51</v>
      </c>
      <c r="D487" s="199" t="str">
        <f>KPIs!$A$8</f>
        <v>3 · Casos de primeros auxilios</v>
      </c>
      <c r="E487" s="31" t="s">
        <v>599</v>
      </c>
      <c r="F487" s="247" t="str">
        <f>IF(ISNUMBER(KPIs!AA8),KPIs!AA8,"")</f>
        <v/>
      </c>
      <c r="G487" s="247" t="str">
        <f>IF(ISNUMBER(KPIs!$C$8),KPIs!$C$8,"")</f>
        <v/>
      </c>
      <c r="H487" s="199" t="str">
        <f>IFERROR(INDEX(_TARGETS!$E$2:$E$17,MATCH($C487,_TARGETS!$A$2:$A$17,0))&amp;"","")</f>
        <v/>
      </c>
      <c r="I487" s="199" t="str">
        <f t="shared" si="35"/>
        <v/>
      </c>
      <c r="J487" s="193" t="str">
        <f t="shared" si="36"/>
        <v>Monthly</v>
      </c>
      <c r="K487" s="248">
        <f>Datos!AA37</f>
        <v>0</v>
      </c>
      <c r="M487" s="193">
        <f>INDEX(_TARGETS!$J$2:$J$17,MATCH($C487,_TARGETS!$A$2:$A$17,0))</f>
        <v>1</v>
      </c>
      <c r="N487" s="193" t="str">
        <f>INDEX(_TARGETS!$D$2:$D$17,MATCH($C487,_TARGETS!$A$2:$A$17,0))</f>
        <v>casos</v>
      </c>
      <c r="O487" s="193" t="str">
        <f>IF(NOT(ISNUMBER(F487)),"MISSING",IF((COUNTBLANK(Datos!AA12)+COUNTBLANK(Datos!AA13)+COUNTBLANK(Datos!AA37))&gt;0,"INCOMPLETE","OK"))</f>
        <v>MISSING</v>
      </c>
      <c r="P487" s="193" t="str">
        <f>INDEX(_TARGETS!$K$2:$K$17,MATCH($C487,_TARGETS!$A$2:$A$17,0))</f>
        <v>OPS (carga manual en Datos)</v>
      </c>
      <c r="Q487" s="193" t="str">
        <f t="shared" si="37"/>
        <v>202807|FAC|Monthly</v>
      </c>
      <c r="R487" s="193" t="str">
        <f>INDEX(_TARGETS!$H$2:$H$17,MATCH($C487,_TARGETS!$A$2:$A$17,0))</f>
        <v>Solo reporte</v>
      </c>
      <c r="S487" s="193" t="str">
        <f t="shared" si="38"/>
        <v/>
      </c>
      <c r="T487" s="193" t="str">
        <f t="shared" si="39"/>
        <v/>
      </c>
    </row>
    <row r="488" spans="1:20" ht="13.5" customHeight="1" x14ac:dyDescent="0.3">
      <c r="A488" s="245">
        <f>KPIs!$AA$3</f>
        <v>46935</v>
      </c>
      <c r="B488" s="199" t="str">
        <f>KPIs!AA$4</f>
        <v>Compresora</v>
      </c>
      <c r="C488" s="31" t="s">
        <v>57</v>
      </c>
      <c r="D488" s="199" t="str">
        <f>KPIs!$A$10</f>
        <v>4 · Accidentes vehiculares severos por millón de km</v>
      </c>
      <c r="E488" s="31" t="s">
        <v>599</v>
      </c>
      <c r="F488" s="247" t="str">
        <f>IF(ISNUMBER(KPIs!AA10),KPIs!AA10,"")</f>
        <v/>
      </c>
      <c r="G488" s="247" t="str">
        <f>IF(ISNUMBER(KPIs!$C$10),KPIs!$C$10,"")</f>
        <v/>
      </c>
      <c r="H488" s="199" t="str">
        <f>IFERROR(INDEX(_TARGETS!$E$2:$E$17,MATCH($C488,_TARGETS!$A$2:$A$17,0))&amp;"","")</f>
        <v/>
      </c>
      <c r="I488" s="199" t="str">
        <f t="shared" si="35"/>
        <v/>
      </c>
      <c r="J488" s="193" t="str">
        <f t="shared" si="36"/>
        <v>Monthly</v>
      </c>
      <c r="K488" s="193">
        <f>Datos!AA39+Datos!AA40+Datos!AA41</f>
        <v>0</v>
      </c>
      <c r="L488" s="248">
        <f>Datos!AA47</f>
        <v>0</v>
      </c>
      <c r="M488" s="193">
        <f>INDEX(_TARGETS!$J$2:$J$17,MATCH($C488,_TARGETS!$A$2:$A$17,0))</f>
        <v>1000000</v>
      </c>
      <c r="N488" s="193" t="str">
        <f>INDEX(_TARGETS!$D$2:$D$17,MATCH($C488,_TARGETS!$A$2:$A$17,0))</f>
        <v>eventos / 10^6 km</v>
      </c>
      <c r="O488" s="193" t="str">
        <f>IF(NOT(ISNUMBER(F488)),"MISSING",IF((COUNTBLANK(Datos!AA44)+COUNTBLANK(Datos!AA45)+COUNTBLANK(Datos!AA46)+COUNTBLANK(Datos!AA39)+COUNTBLANK(Datos!AA40)+COUNTBLANK(Datos!AA41))&gt;0,"INCOMPLETE","OK"))</f>
        <v>MISSING</v>
      </c>
      <c r="P488" s="193" t="str">
        <f>INDEX(_TARGETS!$K$2:$K$17,MATCH($C488,_TARGETS!$A$2:$A$17,0))</f>
        <v>OPS (eventos) + Full Control GPS (km) - carga manual en Datos</v>
      </c>
      <c r="Q488" s="193" t="str">
        <f t="shared" si="37"/>
        <v>202807|SVCR|Monthly</v>
      </c>
      <c r="R488" s="193" t="str">
        <f>INDEX(_TARGETS!$H$2:$H$17,MATCH($C488,_TARGETS!$A$2:$A$17,0))</f>
        <v>Solo reporte</v>
      </c>
      <c r="S488" s="193" t="str">
        <f t="shared" si="38"/>
        <v/>
      </c>
      <c r="T488" s="193" t="str">
        <f t="shared" si="39"/>
        <v/>
      </c>
    </row>
    <row r="489" spans="1:20" ht="13.5" customHeight="1" x14ac:dyDescent="0.3">
      <c r="A489" s="245">
        <f>KPIs!$AA$3</f>
        <v>46935</v>
      </c>
      <c r="B489" s="199" t="str">
        <f>KPIs!AA$4</f>
        <v>Compresora</v>
      </c>
      <c r="C489" s="31" t="s">
        <v>61</v>
      </c>
      <c r="D489" s="199" t="str">
        <f>KPIs!$A$11</f>
        <v>5 · Accidentes vehiculares totales por millón de km</v>
      </c>
      <c r="E489" s="31" t="s">
        <v>599</v>
      </c>
      <c r="F489" s="247" t="str">
        <f>IF(ISNUMBER(KPIs!AA11),KPIs!AA11,"")</f>
        <v/>
      </c>
      <c r="G489" s="247">
        <f>IF(ISNUMBER(KPIs!$C$11),KPIs!$C$11,"")</f>
        <v>0.79</v>
      </c>
      <c r="H489" s="199" t="str">
        <f>IFERROR(INDEX(_TARGETS!$E$2:$E$17,MATCH($C489,_TARGETS!$A$2:$A$17,0))&amp;"","")</f>
        <v>≤</v>
      </c>
      <c r="I489" s="199" t="str">
        <f t="shared" si="35"/>
        <v/>
      </c>
      <c r="J489" s="193" t="str">
        <f t="shared" si="36"/>
        <v>Monthly</v>
      </c>
      <c r="K489" s="193">
        <f>Datos!AA39+Datos!AA40+Datos!AA41+Datos!AA42</f>
        <v>0</v>
      </c>
      <c r="L489" s="248">
        <f>Datos!AA47</f>
        <v>0</v>
      </c>
      <c r="M489" s="193">
        <f>INDEX(_TARGETS!$J$2:$J$17,MATCH($C489,_TARGETS!$A$2:$A$17,0))</f>
        <v>1000000</v>
      </c>
      <c r="N489" s="193" t="str">
        <f>INDEX(_TARGETS!$D$2:$D$17,MATCH($C489,_TARGETS!$A$2:$A$17,0))</f>
        <v>eventos / 10^6 km</v>
      </c>
      <c r="O489" s="193" t="str">
        <f>IF(NOT(ISNUMBER(F489)),"MISSING",IF((COUNTBLANK(Datos!AA44)+COUNTBLANK(Datos!AA45)+COUNTBLANK(Datos!AA46)+COUNTBLANK(Datos!AA39)+COUNTBLANK(Datos!AA40)+COUNTBLANK(Datos!AA41)+COUNTBLANK(Datos!AA42))&gt;0,"INCOMPLETE","OK"))</f>
        <v>MISSING</v>
      </c>
      <c r="P489" s="193" t="str">
        <f>INDEX(_TARGETS!$K$2:$K$17,MATCH($C489,_TARGETS!$A$2:$A$17,0))</f>
        <v>OPS (eventos) + Full Control GPS (km) - carga manual en Datos</v>
      </c>
      <c r="Q489" s="193" t="str">
        <f t="shared" si="37"/>
        <v>202807|TVCR|Monthly</v>
      </c>
      <c r="R489" s="193" t="str">
        <f>INDEX(_TARGETS!$H$2:$H$17,MATCH($C489,_TARGETS!$A$2:$A$17,0))</f>
        <v>Definida</v>
      </c>
      <c r="S489" s="193" t="str">
        <f t="shared" si="38"/>
        <v/>
      </c>
      <c r="T489" s="193" t="str">
        <f t="shared" si="39"/>
        <v/>
      </c>
    </row>
    <row r="490" spans="1:20" ht="13.5" customHeight="1" x14ac:dyDescent="0.3">
      <c r="A490" s="245">
        <f>KPIs!$AA$3</f>
        <v>46935</v>
      </c>
      <c r="B490" s="199" t="str">
        <f>KPIs!AA$4</f>
        <v>Compresora</v>
      </c>
      <c r="C490" s="31" t="s">
        <v>63</v>
      </c>
      <c r="D490" s="199" t="str">
        <f>KPIs!$A$13</f>
        <v>6 · Observaciones de seguridad por persona</v>
      </c>
      <c r="E490" s="31" t="s">
        <v>599</v>
      </c>
      <c r="F490" s="247" t="str">
        <f>IF(ISNUMBER(KPIs!AA13),KPIs!AA13,"")</f>
        <v/>
      </c>
      <c r="G490" s="247">
        <f>IF(ISNUMBER(KPIs!$C$13),KPIs!$C$13,"")</f>
        <v>1</v>
      </c>
      <c r="H490" s="199" t="str">
        <f>IFERROR(INDEX(_TARGETS!$E$2:$E$17,MATCH($C490,_TARGETS!$A$2:$A$17,0))&amp;"","")</f>
        <v>≥</v>
      </c>
      <c r="I490" s="199" t="str">
        <f t="shared" si="35"/>
        <v/>
      </c>
      <c r="J490" s="193" t="str">
        <f t="shared" si="36"/>
        <v>Monthly</v>
      </c>
      <c r="K490" s="248" t="str">
        <f>IF(COUNT(Datos!AA28:AA29)=0,"",SUM(Datos!AA28:AA29))</f>
        <v/>
      </c>
      <c r="L490" s="248">
        <f>Datos!AA11</f>
        <v>0</v>
      </c>
      <c r="M490" s="193">
        <f>INDEX(_TARGETS!$J$2:$J$17,MATCH($C490,_TARGETS!$A$2:$A$17,0))</f>
        <v>1</v>
      </c>
      <c r="N490" s="193" t="str">
        <f>INDEX(_TARGETS!$D$2:$D$17,MATCH($C490,_TARGETS!$A$2:$A$17,0))</f>
        <v>obs / persona</v>
      </c>
      <c r="O490" s="193" t="str">
        <f>IF(NOT(ISNUMBER(F490)),"MISSING",IF((COUNTBLANK(Datos!AA9)+COUNTBLANK(Datos!AA10)+IF(COUNT(Datos!AA28:AA29)=0,1,0))&gt;0,"INCOMPLETE","OK"))</f>
        <v>MISSING</v>
      </c>
      <c r="P490" s="193" t="str">
        <f>INDEX(_TARGETS!$K$2:$K$17,MATCH($C490,_TARGETS!$A$2:$A$17,0))</f>
        <v>OPS (carga manual en Datos)</v>
      </c>
      <c r="Q490" s="193" t="str">
        <f t="shared" si="37"/>
        <v>202807|OBS|Monthly</v>
      </c>
      <c r="R490" s="193" t="str">
        <f>INDEX(_TARGETS!$H$2:$H$17,MATCH($C490,_TARGETS!$A$2:$A$17,0))</f>
        <v>PROVISORIA · referencia del subcontratista (OPS: 1 obs/persona); meta y población en definición</v>
      </c>
      <c r="S490" s="193" t="str">
        <f t="shared" si="38"/>
        <v/>
      </c>
      <c r="T490" s="193" t="str">
        <f t="shared" si="39"/>
        <v/>
      </c>
    </row>
    <row r="491" spans="1:20" ht="13.5" customHeight="1" x14ac:dyDescent="0.3">
      <c r="A491" s="245">
        <f>KPIs!$AA$3</f>
        <v>46935</v>
      </c>
      <c r="B491" s="199" t="str">
        <f>KPIs!AA$4</f>
        <v>Compresora</v>
      </c>
      <c r="C491" s="31" t="s">
        <v>71</v>
      </c>
      <c r="D491" s="199" t="str">
        <f>KPIs!$A$14</f>
        <v>7 · Investigaciones de accidentes: días promedio de cierre</v>
      </c>
      <c r="E491" s="31" t="s">
        <v>599</v>
      </c>
      <c r="F491" s="247" t="str">
        <f>IF(ISNUMBER(KPIs!AA14),KPIs!AA14,"")</f>
        <v/>
      </c>
      <c r="G491" s="247">
        <f>IF(ISNUMBER(KPIs!$C$14),KPIs!$C$14,"")</f>
        <v>20</v>
      </c>
      <c r="H491" s="199" t="str">
        <f>IFERROR(INDEX(_TARGETS!$E$2:$E$17,MATCH($C491,_TARGETS!$A$2:$A$17,0))&amp;"","")</f>
        <v>≤</v>
      </c>
      <c r="I491" s="199" t="str">
        <f t="shared" si="35"/>
        <v/>
      </c>
      <c r="J491" s="193" t="str">
        <f t="shared" si="36"/>
        <v>Monthly</v>
      </c>
      <c r="K491" s="248">
        <f>Datos!AA31</f>
        <v>0</v>
      </c>
      <c r="L491" s="248">
        <f>Datos!AA30</f>
        <v>0</v>
      </c>
      <c r="M491" s="193">
        <f>INDEX(_TARGETS!$J$2:$J$17,MATCH($C491,_TARGETS!$A$2:$A$17,0))</f>
        <v>1</v>
      </c>
      <c r="N491" s="193" t="str">
        <f>INDEX(_TARGETS!$D$2:$D$17,MATCH($C491,_TARGETS!$A$2:$A$17,0))</f>
        <v>días</v>
      </c>
      <c r="O491" s="193" t="str">
        <f>IF(NOT(ISNUMBER(F491)),"MISSING",IF((COUNTBLANK(Datos!AA30)+COUNTBLANK(Datos!AA31))&gt;0,"INCOMPLETE","OK"))</f>
        <v>MISSING</v>
      </c>
      <c r="P491" s="193" t="str">
        <f>INDEX(_TARGETS!$K$2:$K$17,MATCH($C491,_TARGETS!$A$2:$A$17,0))</f>
        <v>OPS (carga manual en Datos)</v>
      </c>
      <c r="Q491" s="193" t="str">
        <f t="shared" si="37"/>
        <v>202807|INV|Monthly</v>
      </c>
      <c r="R491" s="193" t="str">
        <f>INDEX(_TARGETS!$H$2:$H$17,MATCH($C491,_TARGETS!$A$2:$A$17,0))</f>
        <v>Definida</v>
      </c>
      <c r="S491" s="193" t="str">
        <f t="shared" si="38"/>
        <v/>
      </c>
      <c r="T491" s="193" t="str">
        <f t="shared" si="39"/>
        <v/>
      </c>
    </row>
    <row r="492" spans="1:20" ht="13.5" customHeight="1" x14ac:dyDescent="0.3">
      <c r="A492" s="245">
        <f>KPIs!$AA$3</f>
        <v>46935</v>
      </c>
      <c r="B492" s="199" t="str">
        <f>KPIs!AA$4</f>
        <v>Compresora</v>
      </c>
      <c r="C492" s="31" t="s">
        <v>76</v>
      </c>
      <c r="D492" s="199" t="str">
        <f>KPIs!$A$16</f>
        <v>8 · % de capacitación en seguridad</v>
      </c>
      <c r="E492" s="31" t="s">
        <v>599</v>
      </c>
      <c r="F492" s="247" t="str">
        <f>IF(ISNUMBER(KPIs!AA16),KPIs!AA16,"")</f>
        <v/>
      </c>
      <c r="G492" s="247">
        <f>IF(ISNUMBER(KPIs!$C$16),KPIs!$C$16,"")</f>
        <v>0.01</v>
      </c>
      <c r="H492" s="199" t="str">
        <f>IFERROR(INDEX(_TARGETS!$E$2:$E$17,MATCH($C492,_TARGETS!$A$2:$A$17,0))&amp;"","")</f>
        <v>≥</v>
      </c>
      <c r="I492" s="199" t="str">
        <f t="shared" si="35"/>
        <v/>
      </c>
      <c r="J492" s="193" t="str">
        <f t="shared" si="36"/>
        <v>Monthly</v>
      </c>
      <c r="K492" s="248">
        <f>Datos!AA18</f>
        <v>0</v>
      </c>
      <c r="L492" s="248">
        <f>Datos!AA14</f>
        <v>0</v>
      </c>
      <c r="M492" s="193">
        <f>INDEX(_TARGETS!$J$2:$J$17,MATCH($C492,_TARGETS!$A$2:$A$17,0))</f>
        <v>1</v>
      </c>
      <c r="N492" s="193" t="str">
        <f>INDEX(_TARGETS!$D$2:$D$17,MATCH($C492,_TARGETS!$A$2:$A$17,0))</f>
        <v>% (fracción)</v>
      </c>
      <c r="O492" s="193" t="str">
        <f>IF(NOT(ISNUMBER(F492)),"MISSING",IF((COUNTBLANK(Datos!AA16)+COUNTBLANK(Datos!AA17)+COUNTBLANK(Datos!AA12)+COUNTBLANK(Datos!AA13))&gt;0,"INCOMPLETE","OK"))</f>
        <v>MISSING</v>
      </c>
      <c r="P492" s="193" t="str">
        <f>INDEX(_TARGETS!$K$2:$K$17,MATCH($C492,_TARGETS!$A$2:$A$17,0))</f>
        <v>OPS (carga manual en Datos)</v>
      </c>
      <c r="Q492" s="193" t="str">
        <f t="shared" si="37"/>
        <v>202807|HCS|Monthly</v>
      </c>
      <c r="R492" s="193" t="str">
        <f>INDEX(_TARGETS!$H$2:$H$17,MATCH($C492,_TARGETS!$A$2:$A$17,0))</f>
        <v>Definida</v>
      </c>
      <c r="S492" s="193" t="str">
        <f t="shared" si="38"/>
        <v/>
      </c>
      <c r="T492" s="193" t="str">
        <f t="shared" si="39"/>
        <v/>
      </c>
    </row>
    <row r="493" spans="1:20" ht="13.5" customHeight="1" x14ac:dyDescent="0.3">
      <c r="A493" s="245">
        <f>KPIs!$AA$3</f>
        <v>46935</v>
      </c>
      <c r="B493" s="199" t="str">
        <f>KPIs!AA$4</f>
        <v>Compresora</v>
      </c>
      <c r="C493" s="31" t="s">
        <v>80</v>
      </c>
      <c r="D493" s="199" t="str">
        <f>KPIs!$A$17</f>
        <v>9 · Horas de capacitación por persona</v>
      </c>
      <c r="E493" s="31" t="s">
        <v>599</v>
      </c>
      <c r="F493" s="247" t="str">
        <f>IF(ISNUMBER(KPIs!AA17),KPIs!AA17,"")</f>
        <v/>
      </c>
      <c r="G493" s="247" t="str">
        <f>IF(ISNUMBER(KPIs!$C$17),KPIs!$C$17,"")</f>
        <v/>
      </c>
      <c r="H493" s="199" t="str">
        <f>IFERROR(INDEX(_TARGETS!$E$2:$E$17,MATCH($C493,_TARGETS!$A$2:$A$17,0))&amp;"","")</f>
        <v/>
      </c>
      <c r="I493" s="199" t="str">
        <f t="shared" si="35"/>
        <v/>
      </c>
      <c r="J493" s="193" t="str">
        <f t="shared" si="36"/>
        <v>Monthly</v>
      </c>
      <c r="K493" s="248">
        <f>Datos!AA18</f>
        <v>0</v>
      </c>
      <c r="L493" s="248">
        <f>Datos!AA11</f>
        <v>0</v>
      </c>
      <c r="M493" s="193">
        <f>INDEX(_TARGETS!$J$2:$J$17,MATCH($C493,_TARGETS!$A$2:$A$17,0))</f>
        <v>1</v>
      </c>
      <c r="N493" s="193" t="str">
        <f>INDEX(_TARGETS!$D$2:$D$17,MATCH($C493,_TARGETS!$A$2:$A$17,0))</f>
        <v>h / persona</v>
      </c>
      <c r="O493" s="193" t="str">
        <f>IF(NOT(ISNUMBER(F493)),"MISSING",IF((COUNTBLANK(Datos!AA16)+COUNTBLANK(Datos!AA17)+COUNTBLANK(Datos!AA9)+COUNTBLANK(Datos!AA10))&gt;0,"INCOMPLETE","OK"))</f>
        <v>MISSING</v>
      </c>
      <c r="P493" s="193" t="str">
        <f>INDEX(_TARGETS!$K$2:$K$17,MATCH($C493,_TARGETS!$A$2:$A$17,0))</f>
        <v>OPS (carga manual en Datos)</v>
      </c>
      <c r="Q493" s="193" t="str">
        <f t="shared" si="37"/>
        <v>202807|HCSA|Monthly</v>
      </c>
      <c r="R493" s="193" t="str">
        <f>INDEX(_TARGETS!$H$2:$H$17,MATCH($C493,_TARGETS!$A$2:$A$17,0))</f>
        <v>Solo reporte</v>
      </c>
      <c r="S493" s="193" t="str">
        <f t="shared" si="38"/>
        <v/>
      </c>
      <c r="T493" s="193" t="str">
        <f t="shared" si="39"/>
        <v/>
      </c>
    </row>
    <row r="494" spans="1:20" ht="13.5" customHeight="1" x14ac:dyDescent="0.3">
      <c r="A494" s="245">
        <f>KPIs!$AA$3</f>
        <v>46935</v>
      </c>
      <c r="B494" s="199" t="str">
        <f>KPIs!AA$4</f>
        <v>Compresora</v>
      </c>
      <c r="C494" s="31" t="s">
        <v>83</v>
      </c>
      <c r="D494" s="199" t="str">
        <f>KPIs!$A$18</f>
        <v>10 · Cumplimiento de simulacros (emergencia y operativos)</v>
      </c>
      <c r="E494" s="31" t="s">
        <v>599</v>
      </c>
      <c r="F494" s="247" t="str">
        <f>IF(ISNUMBER(KPIs!AA18),KPIs!AA18,"")</f>
        <v/>
      </c>
      <c r="G494" s="247">
        <f>IF(ISNUMBER(KPIs!$C$18),KPIs!$C$18,"")</f>
        <v>1</v>
      </c>
      <c r="H494" s="199" t="str">
        <f>IFERROR(INDEX(_TARGETS!$E$2:$E$17,MATCH($C494,_TARGETS!$A$2:$A$17,0))&amp;"","")</f>
        <v>≥</v>
      </c>
      <c r="I494" s="199" t="str">
        <f t="shared" si="35"/>
        <v/>
      </c>
      <c r="J494" s="193" t="str">
        <f t="shared" si="36"/>
        <v>Monthly</v>
      </c>
      <c r="K494" s="248">
        <f>Datos!AA20</f>
        <v>0</v>
      </c>
      <c r="L494" s="248">
        <f>Datos!AA21</f>
        <v>0</v>
      </c>
      <c r="M494" s="193">
        <f>INDEX(_TARGETS!$J$2:$J$17,MATCH($C494,_TARGETS!$A$2:$A$17,0))</f>
        <v>1</v>
      </c>
      <c r="N494" s="193" t="str">
        <f>INDEX(_TARGETS!$D$2:$D$17,MATCH($C494,_TARGETS!$A$2:$A$17,0))</f>
        <v>% (fracción)</v>
      </c>
      <c r="O494" s="193" t="str">
        <f>IF(NOT(ISNUMBER(F494)),"MISSING",IF((COUNTBLANK(Datos!AA20)+COUNTBLANK(Datos!AA21))&gt;0,"INCOMPLETE","OK"))</f>
        <v>MISSING</v>
      </c>
      <c r="P494" s="193" t="str">
        <f>INDEX(_TARGETS!$K$2:$K$17,MATCH($C494,_TARGETS!$A$2:$A$17,0))</f>
        <v>OPS (carga manual en Datos)</v>
      </c>
      <c r="Q494" s="193" t="str">
        <f t="shared" si="37"/>
        <v>202807|CPSE|Monthly</v>
      </c>
      <c r="R494" s="193" t="str">
        <f>INDEX(_TARGETS!$H$2:$H$17,MATCH($C494,_TARGETS!$A$2:$A$17,0))</f>
        <v>Definida</v>
      </c>
      <c r="S494" s="193" t="str">
        <f t="shared" si="38"/>
        <v/>
      </c>
      <c r="T494" s="193" t="str">
        <f t="shared" si="39"/>
        <v/>
      </c>
    </row>
    <row r="495" spans="1:20" ht="13.5" customHeight="1" x14ac:dyDescent="0.3">
      <c r="A495" s="245">
        <f>KPIs!$AA$3</f>
        <v>46935</v>
      </c>
      <c r="B495" s="199" t="str">
        <f>KPIs!AA$4</f>
        <v>Compresora</v>
      </c>
      <c r="C495" s="31" t="s">
        <v>85</v>
      </c>
      <c r="D495" s="199" t="str">
        <f>KPIs!$A$19</f>
        <v>10b · Cumplimiento de acciones de mejora de simulacros</v>
      </c>
      <c r="E495" s="31" t="s">
        <v>599</v>
      </c>
      <c r="F495" s="247" t="str">
        <f>IF(ISNUMBER(KPIs!AA19),KPIs!AA19,"")</f>
        <v/>
      </c>
      <c r="G495" s="247" t="str">
        <f>IF(ISNUMBER(KPIs!$C$19),KPIs!$C$19,"")</f>
        <v/>
      </c>
      <c r="H495" s="199" t="str">
        <f>IFERROR(INDEX(_TARGETS!$E$2:$E$17,MATCH($C495,_TARGETS!$A$2:$A$17,0))&amp;"","")</f>
        <v/>
      </c>
      <c r="I495" s="199" t="str">
        <f t="shared" si="35"/>
        <v/>
      </c>
      <c r="J495" s="193" t="str">
        <f t="shared" si="36"/>
        <v>Monthly</v>
      </c>
      <c r="K495" s="248">
        <f>Datos!AA23</f>
        <v>0</v>
      </c>
      <c r="L495" s="248">
        <f>Datos!AA22</f>
        <v>0</v>
      </c>
      <c r="M495" s="193">
        <f>INDEX(_TARGETS!$J$2:$J$17,MATCH($C495,_TARGETS!$A$2:$A$17,0))</f>
        <v>1</v>
      </c>
      <c r="N495" s="193" t="str">
        <f>INDEX(_TARGETS!$D$2:$D$17,MATCH($C495,_TARGETS!$A$2:$A$17,0))</f>
        <v>% (fracción)</v>
      </c>
      <c r="O495" s="193" t="str">
        <f>IF(NOT(ISNUMBER(F495)),"MISSING",IF((COUNTBLANK(Datos!AA23)+COUNTBLANK(Datos!AA22))&gt;0,"INCOMPLETE","OK"))</f>
        <v>MISSING</v>
      </c>
      <c r="P495" s="193" t="str">
        <f>INDEX(_TARGETS!$K$2:$K$17,MATCH($C495,_TARGETS!$A$2:$A$17,0))</f>
        <v>OPS (carga manual en Datos)</v>
      </c>
      <c r="Q495" s="193" t="str">
        <f t="shared" si="37"/>
        <v>202807|CAMS|Monthly</v>
      </c>
      <c r="R495" s="193" t="str">
        <f>INDEX(_TARGETS!$H$2:$H$17,MATCH($C495,_TARGETS!$A$2:$A$17,0))</f>
        <v>Solo reporte</v>
      </c>
      <c r="S495" s="193" t="str">
        <f t="shared" si="38"/>
        <v/>
      </c>
      <c r="T495" s="193" t="str">
        <f t="shared" si="39"/>
        <v/>
      </c>
    </row>
    <row r="496" spans="1:20" ht="13.5" customHeight="1" x14ac:dyDescent="0.3">
      <c r="A496" s="245">
        <f>KPIs!$AA$3</f>
        <v>46935</v>
      </c>
      <c r="B496" s="199" t="str">
        <f>KPIs!AA$4</f>
        <v>Compresora</v>
      </c>
      <c r="C496" s="31" t="s">
        <v>87</v>
      </c>
      <c r="D496" s="199" t="str">
        <f>KPIs!$A$21</f>
        <v>11 · Cumplimiento de caminatas gerenciales</v>
      </c>
      <c r="E496" s="31" t="s">
        <v>599</v>
      </c>
      <c r="F496" s="247" t="str">
        <f>IF(ISNUMBER(KPIs!AA21),KPIs!AA21,"")</f>
        <v/>
      </c>
      <c r="G496" s="247">
        <f>IF(ISNUMBER(KPIs!$C$21),KPIs!$C$21,"")</f>
        <v>1</v>
      </c>
      <c r="H496" s="199" t="str">
        <f>IFERROR(INDEX(_TARGETS!$E$2:$E$17,MATCH($C496,_TARGETS!$A$2:$A$17,0))&amp;"","")</f>
        <v>≥</v>
      </c>
      <c r="I496" s="199" t="str">
        <f t="shared" si="35"/>
        <v/>
      </c>
      <c r="J496" s="193" t="str">
        <f t="shared" si="36"/>
        <v>Monthly</v>
      </c>
      <c r="K496" s="248">
        <f>Datos!AA24</f>
        <v>0</v>
      </c>
      <c r="L496" s="248">
        <f>Datos!AA25</f>
        <v>0</v>
      </c>
      <c r="M496" s="193">
        <f>INDEX(_TARGETS!$J$2:$J$17,MATCH($C496,_TARGETS!$A$2:$A$17,0))</f>
        <v>1</v>
      </c>
      <c r="N496" s="193" t="str">
        <f>INDEX(_TARGETS!$D$2:$D$17,MATCH($C496,_TARGETS!$A$2:$A$17,0))</f>
        <v>% (fracción)</v>
      </c>
      <c r="O496" s="193" t="str">
        <f>IF(NOT(ISNUMBER(F496)),"MISSING",IF((COUNTBLANK(Datos!AA24)+COUNTBLANK(Datos!AA25))&gt;0,"INCOMPLETE","OK"))</f>
        <v>MISSING</v>
      </c>
      <c r="P496" s="193" t="str">
        <f>INDEX(_TARGETS!$K$2:$K$17,MATCH($C496,_TARGETS!$A$2:$A$17,0))</f>
        <v>OPS (carga manual en Datos)</v>
      </c>
      <c r="Q496" s="193" t="str">
        <f t="shared" si="37"/>
        <v>202807|ICCS|Monthly</v>
      </c>
      <c r="R496" s="193" t="str">
        <f>INDEX(_TARGETS!$H$2:$H$17,MATCH($C496,_TARGETS!$A$2:$A$17,0))</f>
        <v>Definida</v>
      </c>
      <c r="S496" s="193" t="str">
        <f t="shared" si="38"/>
        <v/>
      </c>
      <c r="T496" s="193" t="str">
        <f t="shared" si="39"/>
        <v/>
      </c>
    </row>
    <row r="497" spans="1:20" ht="13.5" customHeight="1" x14ac:dyDescent="0.3">
      <c r="A497" s="245">
        <f>KPIs!$AA$3</f>
        <v>46935</v>
      </c>
      <c r="B497" s="199" t="str">
        <f>KPIs!AA$4</f>
        <v>Compresora</v>
      </c>
      <c r="C497" s="31" t="s">
        <v>89</v>
      </c>
      <c r="D497" s="199" t="str">
        <f>KPIs!$A$22</f>
        <v>12 · Cumplimiento de comités y subcomités de seguridad</v>
      </c>
      <c r="E497" s="31" t="s">
        <v>599</v>
      </c>
      <c r="F497" s="247" t="str">
        <f>IF(ISNUMBER(KPIs!AA22),KPIs!AA22,"")</f>
        <v/>
      </c>
      <c r="G497" s="247">
        <f>IF(ISNUMBER(KPIs!$C$22),KPIs!$C$22,"")</f>
        <v>1</v>
      </c>
      <c r="H497" s="199" t="str">
        <f>IFERROR(INDEX(_TARGETS!$E$2:$E$17,MATCH($C497,_TARGETS!$A$2:$A$17,0))&amp;"","")</f>
        <v>≥</v>
      </c>
      <c r="I497" s="199" t="str">
        <f t="shared" si="35"/>
        <v/>
      </c>
      <c r="J497" s="193" t="str">
        <f t="shared" si="36"/>
        <v>Monthly</v>
      </c>
      <c r="K497" s="248">
        <f>Datos!AA26</f>
        <v>0</v>
      </c>
      <c r="L497" s="248">
        <f>Datos!AA27</f>
        <v>0</v>
      </c>
      <c r="M497" s="193">
        <f>INDEX(_TARGETS!$J$2:$J$17,MATCH($C497,_TARGETS!$A$2:$A$17,0))</f>
        <v>1</v>
      </c>
      <c r="N497" s="193" t="str">
        <f>INDEX(_TARGETS!$D$2:$D$17,MATCH($C497,_TARGETS!$A$2:$A$17,0))</f>
        <v>% (fracción)</v>
      </c>
      <c r="O497" s="193" t="str">
        <f>IF(NOT(ISNUMBER(F497)),"MISSING",IF((COUNTBLANK(Datos!AA26)+COUNTBLANK(Datos!AA27))&gt;0,"INCOMPLETE","OK"))</f>
        <v>MISSING</v>
      </c>
      <c r="P497" s="193" t="str">
        <f>INDEX(_TARGETS!$K$2:$K$17,MATCH($C497,_TARGETS!$A$2:$A$17,0))</f>
        <v>OPS (carga manual en Datos)</v>
      </c>
      <c r="Q497" s="193" t="str">
        <f t="shared" si="37"/>
        <v>202807|CCS|Monthly</v>
      </c>
      <c r="R497" s="193" t="str">
        <f>INDEX(_TARGETS!$H$2:$H$17,MATCH($C497,_TARGETS!$A$2:$A$17,0))</f>
        <v>Definida</v>
      </c>
      <c r="S497" s="193" t="str">
        <f t="shared" si="38"/>
        <v/>
      </c>
      <c r="T497" s="193" t="str">
        <f t="shared" si="39"/>
        <v/>
      </c>
    </row>
    <row r="498" spans="1:20" ht="13.5" customHeight="1" x14ac:dyDescent="0.3">
      <c r="A498" s="245">
        <f>KPIs!$AA$3</f>
        <v>46935</v>
      </c>
      <c r="B498" s="199" t="str">
        <f>KPIs!AA$4</f>
        <v>Compresora</v>
      </c>
      <c r="C498" s="31" t="s">
        <v>91</v>
      </c>
      <c r="D498" s="199" t="str">
        <f>KPIs!$A$23</f>
        <v>13 · Días promedio para cerrar hallazgos</v>
      </c>
      <c r="E498" s="31" t="s">
        <v>599</v>
      </c>
      <c r="F498" s="247" t="str">
        <f>IF(ISNUMBER(KPIs!AA23),KPIs!AA23,"")</f>
        <v/>
      </c>
      <c r="G498" s="247" t="str">
        <f>IF(ISNUMBER(KPIs!$C$23),KPIs!$C$23,"")</f>
        <v/>
      </c>
      <c r="H498" s="199" t="str">
        <f>IFERROR(INDEX(_TARGETS!$E$2:$E$17,MATCH($C498,_TARGETS!$A$2:$A$17,0))&amp;"","")</f>
        <v>≤</v>
      </c>
      <c r="I498" s="199" t="str">
        <f t="shared" si="35"/>
        <v/>
      </c>
      <c r="J498" s="193" t="str">
        <f t="shared" si="36"/>
        <v>Monthly</v>
      </c>
      <c r="K498" s="248">
        <f>Datos!AA68</f>
        <v>0</v>
      </c>
      <c r="L498" s="248">
        <f>Datos!AA67</f>
        <v>0</v>
      </c>
      <c r="M498" s="193">
        <f>INDEX(_TARGETS!$J$2:$J$17,MATCH($C498,_TARGETS!$A$2:$A$17,0))</f>
        <v>1</v>
      </c>
      <c r="N498" s="193" t="str">
        <f>INDEX(_TARGETS!$D$2:$D$17,MATCH($C498,_TARGETS!$A$2:$A$17,0))</f>
        <v>días</v>
      </c>
      <c r="O498" s="193" t="str">
        <f>IF(NOT(ISNUMBER(F498)),"MISSING","OK")</f>
        <v>MISSING</v>
      </c>
      <c r="P498" s="193" t="str">
        <f>INDEX(_TARGETS!$K$2:$K$17,MATCH($C498,_TARGETS!$A$2:$A$17,0))</f>
        <v>Plant Findings (hoja Observaciones-SMP)</v>
      </c>
      <c r="Q498" s="193" t="str">
        <f t="shared" si="37"/>
        <v>202807|DPAS|Monthly</v>
      </c>
      <c r="R498" s="193" t="str">
        <f>INDEX(_TARGETS!$H$2:$H$17,MATCH($C498,_TARGETS!$A$2:$A$17,0))</f>
        <v>Pendiente (meta 2027)</v>
      </c>
      <c r="S498" s="193" t="str">
        <f t="shared" si="38"/>
        <v/>
      </c>
      <c r="T498" s="193" t="str">
        <f t="shared" si="39"/>
        <v/>
      </c>
    </row>
    <row r="499" spans="1:20" ht="13.5" customHeight="1" x14ac:dyDescent="0.3">
      <c r="A499" s="245">
        <f>KPIs!$AA$3</f>
        <v>46935</v>
      </c>
      <c r="B499" s="199" t="str">
        <f>KPIs!AA$4</f>
        <v>Compresora</v>
      </c>
      <c r="C499" s="31" t="s">
        <v>39</v>
      </c>
      <c r="D499" s="199" t="str">
        <f>KPIs!$A$26</f>
        <v>1 · Frecuencia de casos con días perdidos · ACUMULADO</v>
      </c>
      <c r="E499" s="31" t="s">
        <v>600</v>
      </c>
      <c r="F499" s="247" t="str">
        <f>IF(ISNUMBER(KPIs!AA26),KPIs!AA26,"")</f>
        <v/>
      </c>
      <c r="G499" s="247">
        <f>IF(ISNUMBER(KPIs!$C$26),KPIs!$C$26,"")</f>
        <v>0</v>
      </c>
      <c r="H499" s="199" t="str">
        <f>IFERROR(INDEX(_TARGETS!$E$2:$E$17,MATCH($C499,_TARGETS!$A$2:$A$17,0))&amp;"","")</f>
        <v>≤</v>
      </c>
      <c r="I499" s="199" t="str">
        <f t="shared" si="35"/>
        <v/>
      </c>
      <c r="J499" s="193" t="str">
        <f t="shared" si="36"/>
        <v>Cumulative</v>
      </c>
      <c r="K499" s="193">
        <f>SUM(Datos!$D33:AA33)</f>
        <v>0</v>
      </c>
      <c r="L499" s="193">
        <f>SUM(Datos!$D14:AA14)</f>
        <v>48332</v>
      </c>
      <c r="M499" s="193">
        <f>INDEX(_TARGETS!$J$2:$J$17,MATCH($C499,_TARGETS!$A$2:$A$17,0))</f>
        <v>1000000</v>
      </c>
      <c r="N499" s="193" t="str">
        <f>INDEX(_TARGETS!$D$2:$D$17,MATCH($C499,_TARGETS!$A$2:$A$17,0))</f>
        <v>casos / 10^6 HH</v>
      </c>
      <c r="O499" s="193" t="str">
        <f>IF(NOT(ISNUMBER(F499)),IF(SUMPRODUCT(($C$2:$C$1300=C499)*($J$2:$J$1300="Monthly")*($A$2:$A$1300&lt;=A499)*ISNUMBER($K$2:$K$1300)*ISNUMBER($L$2:$L$1300)*($L$2:$L$1300=0)*($K$2:$K$1300&gt;0))&gt;0,"INCOMPLETE","MISSING"),O485)</f>
        <v>MISSING</v>
      </c>
      <c r="P499" s="193" t="str">
        <f>INDEX(_TARGETS!$K$2:$K$17,MATCH($C499,_TARGETS!$A$2:$A$17,0))</f>
        <v>OPS (carga manual en Datos)</v>
      </c>
      <c r="Q499" s="193" t="str">
        <f t="shared" si="37"/>
        <v>202807|DAFWCF|Cumulative</v>
      </c>
      <c r="R499" s="193" t="str">
        <f>INDEX(_TARGETS!$H$2:$H$17,MATCH($C499,_TARGETS!$A$2:$A$17,0))</f>
        <v>Definida</v>
      </c>
      <c r="S499" s="193">
        <f t="shared" si="38"/>
        <v>0</v>
      </c>
      <c r="T499" s="193" t="str">
        <f t="shared" si="39"/>
        <v/>
      </c>
    </row>
    <row r="500" spans="1:20" ht="13.5" customHeight="1" x14ac:dyDescent="0.3">
      <c r="A500" s="245">
        <f>KPIs!$AA$3</f>
        <v>46935</v>
      </c>
      <c r="B500" s="199" t="str">
        <f>KPIs!AA$4</f>
        <v>Compresora</v>
      </c>
      <c r="C500" s="31" t="s">
        <v>49</v>
      </c>
      <c r="D500" s="199" t="str">
        <f>KPIs!$A$27</f>
        <v>2 · Frecuencia de casos registrables · ACUMULADO</v>
      </c>
      <c r="E500" s="31" t="s">
        <v>600</v>
      </c>
      <c r="F500" s="247" t="str">
        <f>IF(ISNUMBER(KPIs!AA27),KPIs!AA27,"")</f>
        <v/>
      </c>
      <c r="G500" s="247">
        <f>IF(ISNUMBER(KPIs!$C$27),KPIs!$C$27,"")</f>
        <v>2.35</v>
      </c>
      <c r="H500" s="199" t="str">
        <f>IFERROR(INDEX(_TARGETS!$E$2:$E$17,MATCH($C500,_TARGETS!$A$2:$A$17,0))&amp;"","")</f>
        <v>≤</v>
      </c>
      <c r="I500" s="199" t="str">
        <f t="shared" si="35"/>
        <v/>
      </c>
      <c r="J500" s="193" t="str">
        <f t="shared" si="36"/>
        <v>Cumulative</v>
      </c>
      <c r="K500" s="193">
        <f>SUM(Datos!$D33:AA33)+SUM(Datos!$D34:AA34)+SUM(Datos!$D35:AA35)+SUM(Datos!$D36:AA36)</f>
        <v>0</v>
      </c>
      <c r="L500" s="193">
        <f>SUM(Datos!$D14:AA14)</f>
        <v>48332</v>
      </c>
      <c r="M500" s="193">
        <f>INDEX(_TARGETS!$J$2:$J$17,MATCH($C500,_TARGETS!$A$2:$A$17,0))</f>
        <v>1000000</v>
      </c>
      <c r="N500" s="193" t="str">
        <f>INDEX(_TARGETS!$D$2:$D$17,MATCH($C500,_TARGETS!$A$2:$A$17,0))</f>
        <v>casos / 10^6 HH</v>
      </c>
      <c r="O500" s="193" t="str">
        <f>IF(NOT(ISNUMBER(F500)),IF(SUMPRODUCT(($C$2:$C$1300=C500)*($J$2:$J$1300="Monthly")*($A$2:$A$1300&lt;=A500)*ISNUMBER($K$2:$K$1300)*ISNUMBER($L$2:$L$1300)*($L$2:$L$1300=0)*($K$2:$K$1300&gt;0))&gt;0,"INCOMPLETE","MISSING"),O486)</f>
        <v>MISSING</v>
      </c>
      <c r="P500" s="193" t="str">
        <f>INDEX(_TARGETS!$K$2:$K$17,MATCH($C500,_TARGETS!$A$2:$A$17,0))</f>
        <v>OPS (carga manual en Datos)</v>
      </c>
      <c r="Q500" s="193" t="str">
        <f t="shared" si="37"/>
        <v>202807|TRICF|Cumulative</v>
      </c>
      <c r="R500" s="193" t="str">
        <f>INDEX(_TARGETS!$H$2:$H$17,MATCH($C500,_TARGETS!$A$2:$A$17,0))</f>
        <v>Definida</v>
      </c>
      <c r="S500" s="193">
        <f t="shared" si="38"/>
        <v>0</v>
      </c>
      <c r="T500" s="193" t="str">
        <f t="shared" si="39"/>
        <v/>
      </c>
    </row>
    <row r="501" spans="1:20" ht="13.5" customHeight="1" x14ac:dyDescent="0.3">
      <c r="A501" s="245">
        <f>KPIs!$AA$3</f>
        <v>46935</v>
      </c>
      <c r="B501" s="199" t="str">
        <f>KPIs!AA$4</f>
        <v>Compresora</v>
      </c>
      <c r="C501" s="31" t="s">
        <v>51</v>
      </c>
      <c r="D501" s="199" t="str">
        <f>KPIs!$A$28</f>
        <v>3 · Casos de primeros auxilios · ACUMULADO</v>
      </c>
      <c r="E501" s="31" t="s">
        <v>600</v>
      </c>
      <c r="F501" s="247" t="str">
        <f>IF(ISNUMBER(KPIs!AA28),KPIs!AA28,"")</f>
        <v/>
      </c>
      <c r="G501" s="247" t="str">
        <f>IF(ISNUMBER(KPIs!$C$28),KPIs!$C$28,"")</f>
        <v/>
      </c>
      <c r="H501" s="199" t="str">
        <f>IFERROR(INDEX(_TARGETS!$E$2:$E$17,MATCH($C501,_TARGETS!$A$2:$A$17,0))&amp;"","")</f>
        <v/>
      </c>
      <c r="I501" s="199" t="str">
        <f t="shared" si="35"/>
        <v/>
      </c>
      <c r="J501" s="193" t="str">
        <f t="shared" si="36"/>
        <v>Cumulative</v>
      </c>
      <c r="K501" s="193">
        <f>SUM(Datos!$D37:AA37)</f>
        <v>0</v>
      </c>
      <c r="M501" s="193">
        <f>INDEX(_TARGETS!$J$2:$J$17,MATCH($C501,_TARGETS!$A$2:$A$17,0))</f>
        <v>1</v>
      </c>
      <c r="N501" s="193" t="str">
        <f>INDEX(_TARGETS!$D$2:$D$17,MATCH($C501,_TARGETS!$A$2:$A$17,0))</f>
        <v>casos</v>
      </c>
      <c r="O501" s="193" t="str">
        <f>IF(NOT(ISNUMBER(F501)),IF(SUMPRODUCT(($C$2:$C$1300=C501)*($J$2:$J$1300="Monthly")*($A$2:$A$1300&lt;=A501)*ISNUMBER($K$2:$K$1300)*ISNUMBER($L$2:$L$1300)*($L$2:$L$1300=0)*($K$2:$K$1300&gt;0))&gt;0,"INCOMPLETE","MISSING"),O487)</f>
        <v>MISSING</v>
      </c>
      <c r="P501" s="193" t="str">
        <f>INDEX(_TARGETS!$K$2:$K$17,MATCH($C501,_TARGETS!$A$2:$A$17,0))</f>
        <v>OPS (carga manual en Datos)</v>
      </c>
      <c r="Q501" s="193" t="str">
        <f t="shared" si="37"/>
        <v>202807|FAC|Cumulative</v>
      </c>
      <c r="R501" s="193" t="str">
        <f>INDEX(_TARGETS!$H$2:$H$17,MATCH($C501,_TARGETS!$A$2:$A$17,0))</f>
        <v>Solo reporte</v>
      </c>
      <c r="S501" s="193">
        <f t="shared" si="38"/>
        <v>0</v>
      </c>
      <c r="T501" s="193" t="str">
        <f t="shared" si="39"/>
        <v/>
      </c>
    </row>
    <row r="502" spans="1:20" ht="13.5" customHeight="1" x14ac:dyDescent="0.3">
      <c r="A502" s="245">
        <f>KPIs!$AA$3</f>
        <v>46935</v>
      </c>
      <c r="B502" s="199" t="str">
        <f>KPIs!AA$4</f>
        <v>Compresora</v>
      </c>
      <c r="C502" s="31" t="s">
        <v>57</v>
      </c>
      <c r="D502" s="199" t="str">
        <f>KPIs!$A$29</f>
        <v>4 · Accidentes vehiculares severos · ACUMULADO</v>
      </c>
      <c r="E502" s="31" t="s">
        <v>600</v>
      </c>
      <c r="F502" s="247" t="str">
        <f>IF(ISNUMBER(KPIs!AA29),KPIs!AA29,"")</f>
        <v/>
      </c>
      <c r="G502" s="247" t="str">
        <f>IF(ISNUMBER(KPIs!$C$29),KPIs!$C$29,"")</f>
        <v/>
      </c>
      <c r="H502" s="199" t="str">
        <f>IFERROR(INDEX(_TARGETS!$E$2:$E$17,MATCH($C502,_TARGETS!$A$2:$A$17,0))&amp;"","")</f>
        <v/>
      </c>
      <c r="I502" s="199" t="str">
        <f t="shared" si="35"/>
        <v/>
      </c>
      <c r="J502" s="193" t="str">
        <f t="shared" si="36"/>
        <v>Cumulative</v>
      </c>
      <c r="K502" s="193">
        <f>SUM(Datos!$D39:AA39)+SUM(Datos!$D40:AA40)+SUM(Datos!$D41:AA41)</f>
        <v>0</v>
      </c>
      <c r="L502" s="193">
        <f>SUM(Datos!$D47:AA47)</f>
        <v>172824</v>
      </c>
      <c r="M502" s="193">
        <f>INDEX(_TARGETS!$J$2:$J$17,MATCH($C502,_TARGETS!$A$2:$A$17,0))</f>
        <v>1000000</v>
      </c>
      <c r="N502" s="193" t="str">
        <f>INDEX(_TARGETS!$D$2:$D$17,MATCH($C502,_TARGETS!$A$2:$A$17,0))</f>
        <v>eventos / 10^6 km</v>
      </c>
      <c r="O502" s="193" t="str">
        <f>IF(NOT(ISNUMBER(F502)),IF(SUMPRODUCT(($C$2:$C$1300=C502)*($J$2:$J$1300="Monthly")*($A$2:$A$1300&lt;=A502)*ISNUMBER($K$2:$K$1300)*ISNUMBER($L$2:$L$1300)*($L$2:$L$1300=0)*($K$2:$K$1300&gt;0))&gt;0,"INCOMPLETE","MISSING"),O488)</f>
        <v>MISSING</v>
      </c>
      <c r="P502" s="193" t="str">
        <f>INDEX(_TARGETS!$K$2:$K$17,MATCH($C502,_TARGETS!$A$2:$A$17,0))</f>
        <v>OPS (eventos) + Full Control GPS (km) - carga manual en Datos</v>
      </c>
      <c r="Q502" s="193" t="str">
        <f t="shared" si="37"/>
        <v>202807|SVCR|Cumulative</v>
      </c>
      <c r="R502" s="193" t="str">
        <f>INDEX(_TARGETS!$H$2:$H$17,MATCH($C502,_TARGETS!$A$2:$A$17,0))</f>
        <v>Solo reporte</v>
      </c>
      <c r="S502" s="193">
        <f t="shared" si="38"/>
        <v>0</v>
      </c>
      <c r="T502" s="193" t="str">
        <f t="shared" si="39"/>
        <v/>
      </c>
    </row>
    <row r="503" spans="1:20" ht="13.5" customHeight="1" x14ac:dyDescent="0.3">
      <c r="A503" s="245">
        <f>KPIs!$AA$3</f>
        <v>46935</v>
      </c>
      <c r="B503" s="199" t="str">
        <f>KPIs!AA$4</f>
        <v>Compresora</v>
      </c>
      <c r="C503" s="31" t="s">
        <v>61</v>
      </c>
      <c r="D503" s="199" t="str">
        <f>KPIs!$A$30</f>
        <v>5 · Accidentes vehiculares totales · ACUMULADO</v>
      </c>
      <c r="E503" s="31" t="s">
        <v>600</v>
      </c>
      <c r="F503" s="247" t="str">
        <f>IF(ISNUMBER(KPIs!AA30),KPIs!AA30,"")</f>
        <v/>
      </c>
      <c r="G503" s="247">
        <f>IF(ISNUMBER(KPIs!$C$30),KPIs!$C$30,"")</f>
        <v>0.79</v>
      </c>
      <c r="H503" s="199" t="str">
        <f>IFERROR(INDEX(_TARGETS!$E$2:$E$17,MATCH($C503,_TARGETS!$A$2:$A$17,0))&amp;"","")</f>
        <v>≤</v>
      </c>
      <c r="I503" s="199" t="str">
        <f t="shared" si="35"/>
        <v/>
      </c>
      <c r="J503" s="193" t="str">
        <f t="shared" si="36"/>
        <v>Cumulative</v>
      </c>
      <c r="K503" s="193">
        <f>SUM(Datos!$D39:AA39)+SUM(Datos!$D40:AA40)+SUM(Datos!$D41:AA41)+SUM(Datos!$D42:AA42)</f>
        <v>0</v>
      </c>
      <c r="L503" s="193">
        <f>SUM(Datos!$D47:AA47)</f>
        <v>172824</v>
      </c>
      <c r="M503" s="193">
        <f>INDEX(_TARGETS!$J$2:$J$17,MATCH($C503,_TARGETS!$A$2:$A$17,0))</f>
        <v>1000000</v>
      </c>
      <c r="N503" s="193" t="str">
        <f>INDEX(_TARGETS!$D$2:$D$17,MATCH($C503,_TARGETS!$A$2:$A$17,0))</f>
        <v>eventos / 10^6 km</v>
      </c>
      <c r="O503" s="193" t="str">
        <f>IF(NOT(ISNUMBER(F503)),IF(SUMPRODUCT(($C$2:$C$1300=C503)*($J$2:$J$1300="Monthly")*($A$2:$A$1300&lt;=A503)*ISNUMBER($K$2:$K$1300)*ISNUMBER($L$2:$L$1300)*($L$2:$L$1300=0)*($K$2:$K$1300&gt;0))&gt;0,"INCOMPLETE","MISSING"),O489)</f>
        <v>MISSING</v>
      </c>
      <c r="P503" s="193" t="str">
        <f>INDEX(_TARGETS!$K$2:$K$17,MATCH($C503,_TARGETS!$A$2:$A$17,0))</f>
        <v>OPS (eventos) + Full Control GPS (km) - carga manual en Datos</v>
      </c>
      <c r="Q503" s="193" t="str">
        <f t="shared" si="37"/>
        <v>202807|TVCR|Cumulative</v>
      </c>
      <c r="R503" s="193" t="str">
        <f>INDEX(_TARGETS!$H$2:$H$17,MATCH($C503,_TARGETS!$A$2:$A$17,0))</f>
        <v>Definida</v>
      </c>
      <c r="S503" s="193">
        <f t="shared" si="38"/>
        <v>0</v>
      </c>
      <c r="T503" s="193" t="str">
        <f t="shared" si="39"/>
        <v/>
      </c>
    </row>
    <row r="504" spans="1:20" ht="13.5" customHeight="1" x14ac:dyDescent="0.3">
      <c r="A504" s="245">
        <f>KPIs!$AA$3</f>
        <v>46935</v>
      </c>
      <c r="B504" s="199" t="str">
        <f>KPIs!AA$4</f>
        <v>Compresora</v>
      </c>
      <c r="C504" s="31" t="s">
        <v>96</v>
      </c>
      <c r="D504" s="199" t="str">
        <f>KPIs!$A$33</f>
        <v>C1 · % de desvíos detectados de gravedad Alta</v>
      </c>
      <c r="E504" s="31" t="s">
        <v>599</v>
      </c>
      <c r="F504" s="247" t="str">
        <f>IF(ISNUMBER(KPIs!AA33),KPIs!AA33,"")</f>
        <v/>
      </c>
      <c r="G504" s="247" t="str">
        <f>IF(ISNUMBER(KPIs!$C$33),KPIs!$C$33,"")</f>
        <v/>
      </c>
      <c r="H504" s="199" t="str">
        <f>IFERROR(INDEX(_TARGETS!$E$2:$E$17,MATCH($C504,_TARGETS!$A$2:$A$17,0))&amp;"","")</f>
        <v/>
      </c>
      <c r="I504" s="199" t="str">
        <f t="shared" si="35"/>
        <v/>
      </c>
      <c r="J504" s="193" t="str">
        <f t="shared" si="36"/>
        <v>Monthly</v>
      </c>
      <c r="K504" s="248">
        <f>Datos!AA71</f>
        <v>0</v>
      </c>
      <c r="L504" s="193">
        <f>Datos!AA71+Datos!AA72+Datos!AA73</f>
        <v>0</v>
      </c>
      <c r="M504" s="193">
        <f>INDEX(_TARGETS!$J$2:$J$17,MATCH($C504,_TARGETS!$A$2:$A$17,0))</f>
        <v>1</v>
      </c>
      <c r="N504" s="193" t="str">
        <f>INDEX(_TARGETS!$D$2:$D$17,MATCH($C504,_TARGETS!$A$2:$A$17,0))</f>
        <v>% (fracción)</v>
      </c>
      <c r="O504" s="193" t="str">
        <f>IF(NOT(ISNUMBER(F504)),"MISSING","OK")</f>
        <v>MISSING</v>
      </c>
      <c r="P504" s="193" t="str">
        <f>INDEX(_TARGETS!$K$2:$K$17,MATCH($C504,_TARGETS!$A$2:$A$17,0))</f>
        <v>Plant Findings (hoja Observaciones-SMP)</v>
      </c>
      <c r="Q504" s="193" t="str">
        <f t="shared" si="37"/>
        <v>202807|HAL_ALTA_PCT|Monthly</v>
      </c>
      <c r="R504" s="193" t="str">
        <f>INDEX(_TARGETS!$H$2:$H$17,MATCH($C504,_TARGETS!$A$2:$A$17,0))</f>
        <v>Solo reporte</v>
      </c>
      <c r="S504" s="193" t="str">
        <f t="shared" si="38"/>
        <v/>
      </c>
      <c r="T504" s="193" t="str">
        <f t="shared" si="39"/>
        <v/>
      </c>
    </row>
    <row r="505" spans="1:20" ht="13.5" customHeight="1" x14ac:dyDescent="0.3">
      <c r="A505" s="245">
        <f>KPIs!$AA$3</f>
        <v>46935</v>
      </c>
      <c r="B505" s="199" t="str">
        <f>KPIs!AA$4</f>
        <v>Compresora</v>
      </c>
      <c r="C505" s="31" t="s">
        <v>98</v>
      </c>
      <c r="D505" s="199" t="str">
        <f>KPIs!$A$34</f>
        <v>C2 · Detenciones de tareas aplicadas</v>
      </c>
      <c r="E505" s="31" t="s">
        <v>599</v>
      </c>
      <c r="F505" s="247" t="str">
        <f>IF(ISNUMBER(KPIs!AA34),KPIs!AA34,"")</f>
        <v/>
      </c>
      <c r="G505" s="247" t="str">
        <f>IF(ISNUMBER(KPIs!$C$34),KPIs!$C$34,"")</f>
        <v/>
      </c>
      <c r="H505" s="199" t="str">
        <f>IFERROR(INDEX(_TARGETS!$E$2:$E$17,MATCH($C505,_TARGETS!$A$2:$A$17,0))&amp;"","")</f>
        <v/>
      </c>
      <c r="I505" s="199" t="str">
        <f t="shared" si="35"/>
        <v/>
      </c>
      <c r="J505" s="193" t="str">
        <f t="shared" si="36"/>
        <v>Monthly</v>
      </c>
      <c r="K505" s="248">
        <f>Datos!AA75</f>
        <v>0</v>
      </c>
      <c r="M505" s="193">
        <f>INDEX(_TARGETS!$J$2:$J$17,MATCH($C505,_TARGETS!$A$2:$A$17,0))</f>
        <v>1</v>
      </c>
      <c r="N505" s="193" t="str">
        <f>INDEX(_TARGETS!$D$2:$D$17,MATCH($C505,_TARGETS!$A$2:$A$17,0))</f>
        <v>u</v>
      </c>
      <c r="O505" s="193" t="str">
        <f>IF(NOT(ISNUMBER(F505)),"MISSING","OK")</f>
        <v>MISSING</v>
      </c>
      <c r="P505" s="193" t="str">
        <f>INDEX(_TARGETS!$K$2:$K$17,MATCH($C505,_TARGETS!$A$2:$A$17,0))</f>
        <v>Plant Findings (hoja Observaciones-SMP)</v>
      </c>
      <c r="Q505" s="193" t="str">
        <f t="shared" si="37"/>
        <v>202807|DET|Monthly</v>
      </c>
      <c r="R505" s="193" t="str">
        <f>INDEX(_TARGETS!$H$2:$H$17,MATCH($C505,_TARGETS!$A$2:$A$17,0))</f>
        <v>Solo reporte</v>
      </c>
      <c r="S505" s="193" t="str">
        <f t="shared" si="38"/>
        <v/>
      </c>
      <c r="T505" s="193" t="str">
        <f t="shared" si="39"/>
        <v/>
      </c>
    </row>
    <row r="506" spans="1:20" ht="13.5" customHeight="1" x14ac:dyDescent="0.3">
      <c r="A506" s="245">
        <f>KPIs!$AB$3</f>
        <v>46966</v>
      </c>
      <c r="B506" s="199" t="str">
        <f>KPIs!AB$4</f>
        <v>Compresora</v>
      </c>
      <c r="C506" s="31" t="s">
        <v>39</v>
      </c>
      <c r="D506" s="199" t="str">
        <f>KPIs!$A$6</f>
        <v>1 · Frecuencia de casos con días perdidos</v>
      </c>
      <c r="E506" s="31" t="s">
        <v>599</v>
      </c>
      <c r="F506" s="247" t="str">
        <f>IF(ISNUMBER(KPIs!AB6),KPIs!AB6,"")</f>
        <v/>
      </c>
      <c r="G506" s="247">
        <f>IF(ISNUMBER(KPIs!$C$6),KPIs!$C$6,"")</f>
        <v>0</v>
      </c>
      <c r="H506" s="199" t="str">
        <f>IFERROR(INDEX(_TARGETS!$E$2:$E$17,MATCH($C506,_TARGETS!$A$2:$A$17,0))&amp;"","")</f>
        <v>≤</v>
      </c>
      <c r="I506" s="199" t="str">
        <f t="shared" si="35"/>
        <v/>
      </c>
      <c r="J506" s="193" t="str">
        <f t="shared" si="36"/>
        <v>Monthly</v>
      </c>
      <c r="K506" s="248">
        <f>Datos!AB33</f>
        <v>0</v>
      </c>
      <c r="L506" s="248">
        <f>Datos!AB14</f>
        <v>0</v>
      </c>
      <c r="M506" s="193">
        <f>INDEX(_TARGETS!$J$2:$J$17,MATCH($C506,_TARGETS!$A$2:$A$17,0))</f>
        <v>1000000</v>
      </c>
      <c r="N506" s="193" t="str">
        <f>INDEX(_TARGETS!$D$2:$D$17,MATCH($C506,_TARGETS!$A$2:$A$17,0))</f>
        <v>casos / 10^6 HH</v>
      </c>
      <c r="O506" s="193" t="str">
        <f>IF(NOT(ISNUMBER(F506)),"MISSING",IF((COUNTBLANK(Datos!AB12)+COUNTBLANK(Datos!AB13)+COUNTBLANK(Datos!AB33))&gt;0,"INCOMPLETE","OK"))</f>
        <v>MISSING</v>
      </c>
      <c r="P506" s="193" t="str">
        <f>INDEX(_TARGETS!$K$2:$K$17,MATCH($C506,_TARGETS!$A$2:$A$17,0))</f>
        <v>OPS (carga manual en Datos)</v>
      </c>
      <c r="Q506" s="193" t="str">
        <f t="shared" si="37"/>
        <v>202808|DAFWCF|Monthly</v>
      </c>
      <c r="R506" s="193" t="str">
        <f>INDEX(_TARGETS!$H$2:$H$17,MATCH($C506,_TARGETS!$A$2:$A$17,0))</f>
        <v>Definida</v>
      </c>
      <c r="S506" s="193" t="str">
        <f t="shared" si="38"/>
        <v/>
      </c>
      <c r="T506" s="193" t="str">
        <f t="shared" si="39"/>
        <v/>
      </c>
    </row>
    <row r="507" spans="1:20" ht="13.5" customHeight="1" x14ac:dyDescent="0.3">
      <c r="A507" s="245">
        <f>KPIs!$AB$3</f>
        <v>46966</v>
      </c>
      <c r="B507" s="199" t="str">
        <f>KPIs!AB$4</f>
        <v>Compresora</v>
      </c>
      <c r="C507" s="31" t="s">
        <v>49</v>
      </c>
      <c r="D507" s="199" t="str">
        <f>KPIs!$A$7</f>
        <v>2 · Frecuencia de casos registrables</v>
      </c>
      <c r="E507" s="31" t="s">
        <v>599</v>
      </c>
      <c r="F507" s="247" t="str">
        <f>IF(ISNUMBER(KPIs!AB7),KPIs!AB7,"")</f>
        <v/>
      </c>
      <c r="G507" s="247">
        <f>IF(ISNUMBER(KPIs!$C$7),KPIs!$C$7,"")</f>
        <v>2.35</v>
      </c>
      <c r="H507" s="199" t="str">
        <f>IFERROR(INDEX(_TARGETS!$E$2:$E$17,MATCH($C507,_TARGETS!$A$2:$A$17,0))&amp;"","")</f>
        <v>≤</v>
      </c>
      <c r="I507" s="199" t="str">
        <f t="shared" si="35"/>
        <v/>
      </c>
      <c r="J507" s="193" t="str">
        <f t="shared" si="36"/>
        <v>Monthly</v>
      </c>
      <c r="K507" s="193">
        <f>Datos!AB33+Datos!AB34+Datos!AB35+Datos!AB36</f>
        <v>0</v>
      </c>
      <c r="L507" s="248">
        <f>Datos!AB14</f>
        <v>0</v>
      </c>
      <c r="M507" s="193">
        <f>INDEX(_TARGETS!$J$2:$J$17,MATCH($C507,_TARGETS!$A$2:$A$17,0))</f>
        <v>1000000</v>
      </c>
      <c r="N507" s="193" t="str">
        <f>INDEX(_TARGETS!$D$2:$D$17,MATCH($C507,_TARGETS!$A$2:$A$17,0))</f>
        <v>casos / 10^6 HH</v>
      </c>
      <c r="O507" s="193" t="str">
        <f>IF(NOT(ISNUMBER(F507)),"MISSING",IF((COUNTBLANK(Datos!AB12)+COUNTBLANK(Datos!AB13)+COUNTBLANK(Datos!AB33)+COUNTBLANK(Datos!AB34)+COUNTBLANK(Datos!AB35)+COUNTBLANK(Datos!AB36))&gt;0,"INCOMPLETE","OK"))</f>
        <v>MISSING</v>
      </c>
      <c r="P507" s="193" t="str">
        <f>INDEX(_TARGETS!$K$2:$K$17,MATCH($C507,_TARGETS!$A$2:$A$17,0))</f>
        <v>OPS (carga manual en Datos)</v>
      </c>
      <c r="Q507" s="193" t="str">
        <f t="shared" si="37"/>
        <v>202808|TRICF|Monthly</v>
      </c>
      <c r="R507" s="193" t="str">
        <f>INDEX(_TARGETS!$H$2:$H$17,MATCH($C507,_TARGETS!$A$2:$A$17,0))</f>
        <v>Definida</v>
      </c>
      <c r="S507" s="193" t="str">
        <f t="shared" si="38"/>
        <v/>
      </c>
      <c r="T507" s="193" t="str">
        <f t="shared" si="39"/>
        <v/>
      </c>
    </row>
    <row r="508" spans="1:20" ht="13.5" customHeight="1" x14ac:dyDescent="0.3">
      <c r="A508" s="245">
        <f>KPIs!$AB$3</f>
        <v>46966</v>
      </c>
      <c r="B508" s="199" t="str">
        <f>KPIs!AB$4</f>
        <v>Compresora</v>
      </c>
      <c r="C508" s="31" t="s">
        <v>51</v>
      </c>
      <c r="D508" s="199" t="str">
        <f>KPIs!$A$8</f>
        <v>3 · Casos de primeros auxilios</v>
      </c>
      <c r="E508" s="31" t="s">
        <v>599</v>
      </c>
      <c r="F508" s="247" t="str">
        <f>IF(ISNUMBER(KPIs!AB8),KPIs!AB8,"")</f>
        <v/>
      </c>
      <c r="G508" s="247" t="str">
        <f>IF(ISNUMBER(KPIs!$C$8),KPIs!$C$8,"")</f>
        <v/>
      </c>
      <c r="H508" s="199" t="str">
        <f>IFERROR(INDEX(_TARGETS!$E$2:$E$17,MATCH($C508,_TARGETS!$A$2:$A$17,0))&amp;"","")</f>
        <v/>
      </c>
      <c r="I508" s="199" t="str">
        <f t="shared" si="35"/>
        <v/>
      </c>
      <c r="J508" s="193" t="str">
        <f t="shared" si="36"/>
        <v>Monthly</v>
      </c>
      <c r="K508" s="248">
        <f>Datos!AB37</f>
        <v>0</v>
      </c>
      <c r="M508" s="193">
        <f>INDEX(_TARGETS!$J$2:$J$17,MATCH($C508,_TARGETS!$A$2:$A$17,0))</f>
        <v>1</v>
      </c>
      <c r="N508" s="193" t="str">
        <f>INDEX(_TARGETS!$D$2:$D$17,MATCH($C508,_TARGETS!$A$2:$A$17,0))</f>
        <v>casos</v>
      </c>
      <c r="O508" s="193" t="str">
        <f>IF(NOT(ISNUMBER(F508)),"MISSING",IF((COUNTBLANK(Datos!AB12)+COUNTBLANK(Datos!AB13)+COUNTBLANK(Datos!AB37))&gt;0,"INCOMPLETE","OK"))</f>
        <v>MISSING</v>
      </c>
      <c r="P508" s="193" t="str">
        <f>INDEX(_TARGETS!$K$2:$K$17,MATCH($C508,_TARGETS!$A$2:$A$17,0))</f>
        <v>OPS (carga manual en Datos)</v>
      </c>
      <c r="Q508" s="193" t="str">
        <f t="shared" si="37"/>
        <v>202808|FAC|Monthly</v>
      </c>
      <c r="R508" s="193" t="str">
        <f>INDEX(_TARGETS!$H$2:$H$17,MATCH($C508,_TARGETS!$A$2:$A$17,0))</f>
        <v>Solo reporte</v>
      </c>
      <c r="S508" s="193" t="str">
        <f t="shared" si="38"/>
        <v/>
      </c>
      <c r="T508" s="193" t="str">
        <f t="shared" si="39"/>
        <v/>
      </c>
    </row>
    <row r="509" spans="1:20" ht="13.5" customHeight="1" x14ac:dyDescent="0.3">
      <c r="A509" s="245">
        <f>KPIs!$AB$3</f>
        <v>46966</v>
      </c>
      <c r="B509" s="199" t="str">
        <f>KPIs!AB$4</f>
        <v>Compresora</v>
      </c>
      <c r="C509" s="31" t="s">
        <v>57</v>
      </c>
      <c r="D509" s="199" t="str">
        <f>KPIs!$A$10</f>
        <v>4 · Accidentes vehiculares severos por millón de km</v>
      </c>
      <c r="E509" s="31" t="s">
        <v>599</v>
      </c>
      <c r="F509" s="247" t="str">
        <f>IF(ISNUMBER(KPIs!AB10),KPIs!AB10,"")</f>
        <v/>
      </c>
      <c r="G509" s="247" t="str">
        <f>IF(ISNUMBER(KPIs!$C$10),KPIs!$C$10,"")</f>
        <v/>
      </c>
      <c r="H509" s="199" t="str">
        <f>IFERROR(INDEX(_TARGETS!$E$2:$E$17,MATCH($C509,_TARGETS!$A$2:$A$17,0))&amp;"","")</f>
        <v/>
      </c>
      <c r="I509" s="199" t="str">
        <f t="shared" si="35"/>
        <v/>
      </c>
      <c r="J509" s="193" t="str">
        <f t="shared" si="36"/>
        <v>Monthly</v>
      </c>
      <c r="K509" s="193">
        <f>Datos!AB39+Datos!AB40+Datos!AB41</f>
        <v>0</v>
      </c>
      <c r="L509" s="248">
        <f>Datos!AB47</f>
        <v>0</v>
      </c>
      <c r="M509" s="193">
        <f>INDEX(_TARGETS!$J$2:$J$17,MATCH($C509,_TARGETS!$A$2:$A$17,0))</f>
        <v>1000000</v>
      </c>
      <c r="N509" s="193" t="str">
        <f>INDEX(_TARGETS!$D$2:$D$17,MATCH($C509,_TARGETS!$A$2:$A$17,0))</f>
        <v>eventos / 10^6 km</v>
      </c>
      <c r="O509" s="193" t="str">
        <f>IF(NOT(ISNUMBER(F509)),"MISSING",IF((COUNTBLANK(Datos!AB44)+COUNTBLANK(Datos!AB45)+COUNTBLANK(Datos!AB46)+COUNTBLANK(Datos!AB39)+COUNTBLANK(Datos!AB40)+COUNTBLANK(Datos!AB41))&gt;0,"INCOMPLETE","OK"))</f>
        <v>MISSING</v>
      </c>
      <c r="P509" s="193" t="str">
        <f>INDEX(_TARGETS!$K$2:$K$17,MATCH($C509,_TARGETS!$A$2:$A$17,0))</f>
        <v>OPS (eventos) + Full Control GPS (km) - carga manual en Datos</v>
      </c>
      <c r="Q509" s="193" t="str">
        <f t="shared" si="37"/>
        <v>202808|SVCR|Monthly</v>
      </c>
      <c r="R509" s="193" t="str">
        <f>INDEX(_TARGETS!$H$2:$H$17,MATCH($C509,_TARGETS!$A$2:$A$17,0))</f>
        <v>Solo reporte</v>
      </c>
      <c r="S509" s="193" t="str">
        <f t="shared" si="38"/>
        <v/>
      </c>
      <c r="T509" s="193" t="str">
        <f t="shared" si="39"/>
        <v/>
      </c>
    </row>
    <row r="510" spans="1:20" ht="13.5" customHeight="1" x14ac:dyDescent="0.3">
      <c r="A510" s="245">
        <f>KPIs!$AB$3</f>
        <v>46966</v>
      </c>
      <c r="B510" s="199" t="str">
        <f>KPIs!AB$4</f>
        <v>Compresora</v>
      </c>
      <c r="C510" s="31" t="s">
        <v>61</v>
      </c>
      <c r="D510" s="199" t="str">
        <f>KPIs!$A$11</f>
        <v>5 · Accidentes vehiculares totales por millón de km</v>
      </c>
      <c r="E510" s="31" t="s">
        <v>599</v>
      </c>
      <c r="F510" s="247" t="str">
        <f>IF(ISNUMBER(KPIs!AB11),KPIs!AB11,"")</f>
        <v/>
      </c>
      <c r="G510" s="247">
        <f>IF(ISNUMBER(KPIs!$C$11),KPIs!$C$11,"")</f>
        <v>0.79</v>
      </c>
      <c r="H510" s="199" t="str">
        <f>IFERROR(INDEX(_TARGETS!$E$2:$E$17,MATCH($C510,_TARGETS!$A$2:$A$17,0))&amp;"","")</f>
        <v>≤</v>
      </c>
      <c r="I510" s="199" t="str">
        <f t="shared" si="35"/>
        <v/>
      </c>
      <c r="J510" s="193" t="str">
        <f t="shared" si="36"/>
        <v>Monthly</v>
      </c>
      <c r="K510" s="193">
        <f>Datos!AB39+Datos!AB40+Datos!AB41+Datos!AB42</f>
        <v>0</v>
      </c>
      <c r="L510" s="248">
        <f>Datos!AB47</f>
        <v>0</v>
      </c>
      <c r="M510" s="193">
        <f>INDEX(_TARGETS!$J$2:$J$17,MATCH($C510,_TARGETS!$A$2:$A$17,0))</f>
        <v>1000000</v>
      </c>
      <c r="N510" s="193" t="str">
        <f>INDEX(_TARGETS!$D$2:$D$17,MATCH($C510,_TARGETS!$A$2:$A$17,0))</f>
        <v>eventos / 10^6 km</v>
      </c>
      <c r="O510" s="193" t="str">
        <f>IF(NOT(ISNUMBER(F510)),"MISSING",IF((COUNTBLANK(Datos!AB44)+COUNTBLANK(Datos!AB45)+COUNTBLANK(Datos!AB46)+COUNTBLANK(Datos!AB39)+COUNTBLANK(Datos!AB40)+COUNTBLANK(Datos!AB41)+COUNTBLANK(Datos!AB42))&gt;0,"INCOMPLETE","OK"))</f>
        <v>MISSING</v>
      </c>
      <c r="P510" s="193" t="str">
        <f>INDEX(_TARGETS!$K$2:$K$17,MATCH($C510,_TARGETS!$A$2:$A$17,0))</f>
        <v>OPS (eventos) + Full Control GPS (km) - carga manual en Datos</v>
      </c>
      <c r="Q510" s="193" t="str">
        <f t="shared" si="37"/>
        <v>202808|TVCR|Monthly</v>
      </c>
      <c r="R510" s="193" t="str">
        <f>INDEX(_TARGETS!$H$2:$H$17,MATCH($C510,_TARGETS!$A$2:$A$17,0))</f>
        <v>Definida</v>
      </c>
      <c r="S510" s="193" t="str">
        <f t="shared" si="38"/>
        <v/>
      </c>
      <c r="T510" s="193" t="str">
        <f t="shared" si="39"/>
        <v/>
      </c>
    </row>
    <row r="511" spans="1:20" ht="13.5" customHeight="1" x14ac:dyDescent="0.3">
      <c r="A511" s="245">
        <f>KPIs!$AB$3</f>
        <v>46966</v>
      </c>
      <c r="B511" s="199" t="str">
        <f>KPIs!AB$4</f>
        <v>Compresora</v>
      </c>
      <c r="C511" s="31" t="s">
        <v>63</v>
      </c>
      <c r="D511" s="199" t="str">
        <f>KPIs!$A$13</f>
        <v>6 · Observaciones de seguridad por persona</v>
      </c>
      <c r="E511" s="31" t="s">
        <v>599</v>
      </c>
      <c r="F511" s="247" t="str">
        <f>IF(ISNUMBER(KPIs!AB13),KPIs!AB13,"")</f>
        <v/>
      </c>
      <c r="G511" s="247">
        <f>IF(ISNUMBER(KPIs!$C$13),KPIs!$C$13,"")</f>
        <v>1</v>
      </c>
      <c r="H511" s="199" t="str">
        <f>IFERROR(INDEX(_TARGETS!$E$2:$E$17,MATCH($C511,_TARGETS!$A$2:$A$17,0))&amp;"","")</f>
        <v>≥</v>
      </c>
      <c r="I511" s="199" t="str">
        <f t="shared" si="35"/>
        <v/>
      </c>
      <c r="J511" s="193" t="str">
        <f t="shared" si="36"/>
        <v>Monthly</v>
      </c>
      <c r="K511" s="248" t="str">
        <f>IF(COUNT(Datos!AB28:AB29)=0,"",SUM(Datos!AB28:AB29))</f>
        <v/>
      </c>
      <c r="L511" s="248">
        <f>Datos!AB11</f>
        <v>0</v>
      </c>
      <c r="M511" s="193">
        <f>INDEX(_TARGETS!$J$2:$J$17,MATCH($C511,_TARGETS!$A$2:$A$17,0))</f>
        <v>1</v>
      </c>
      <c r="N511" s="193" t="str">
        <f>INDEX(_TARGETS!$D$2:$D$17,MATCH($C511,_TARGETS!$A$2:$A$17,0))</f>
        <v>obs / persona</v>
      </c>
      <c r="O511" s="193" t="str">
        <f>IF(NOT(ISNUMBER(F511)),"MISSING",IF((COUNTBLANK(Datos!AB9)+COUNTBLANK(Datos!AB10)+IF(COUNT(Datos!AB28:AB29)=0,1,0))&gt;0,"INCOMPLETE","OK"))</f>
        <v>MISSING</v>
      </c>
      <c r="P511" s="193" t="str">
        <f>INDEX(_TARGETS!$K$2:$K$17,MATCH($C511,_TARGETS!$A$2:$A$17,0))</f>
        <v>OPS (carga manual en Datos)</v>
      </c>
      <c r="Q511" s="193" t="str">
        <f t="shared" si="37"/>
        <v>202808|OBS|Monthly</v>
      </c>
      <c r="R511" s="193" t="str">
        <f>INDEX(_TARGETS!$H$2:$H$17,MATCH($C511,_TARGETS!$A$2:$A$17,0))</f>
        <v>PROVISORIA · referencia del subcontratista (OPS: 1 obs/persona); meta y población en definición</v>
      </c>
      <c r="S511" s="193" t="str">
        <f t="shared" si="38"/>
        <v/>
      </c>
      <c r="T511" s="193" t="str">
        <f t="shared" si="39"/>
        <v/>
      </c>
    </row>
    <row r="512" spans="1:20" ht="13.5" customHeight="1" x14ac:dyDescent="0.3">
      <c r="A512" s="245">
        <f>KPIs!$AB$3</f>
        <v>46966</v>
      </c>
      <c r="B512" s="199" t="str">
        <f>KPIs!AB$4</f>
        <v>Compresora</v>
      </c>
      <c r="C512" s="31" t="s">
        <v>71</v>
      </c>
      <c r="D512" s="199" t="str">
        <f>KPIs!$A$14</f>
        <v>7 · Investigaciones de accidentes: días promedio de cierre</v>
      </c>
      <c r="E512" s="31" t="s">
        <v>599</v>
      </c>
      <c r="F512" s="247" t="str">
        <f>IF(ISNUMBER(KPIs!AB14),KPIs!AB14,"")</f>
        <v/>
      </c>
      <c r="G512" s="247">
        <f>IF(ISNUMBER(KPIs!$C$14),KPIs!$C$14,"")</f>
        <v>20</v>
      </c>
      <c r="H512" s="199" t="str">
        <f>IFERROR(INDEX(_TARGETS!$E$2:$E$17,MATCH($C512,_TARGETS!$A$2:$A$17,0))&amp;"","")</f>
        <v>≤</v>
      </c>
      <c r="I512" s="199" t="str">
        <f t="shared" si="35"/>
        <v/>
      </c>
      <c r="J512" s="193" t="str">
        <f t="shared" si="36"/>
        <v>Monthly</v>
      </c>
      <c r="K512" s="248">
        <f>Datos!AB31</f>
        <v>0</v>
      </c>
      <c r="L512" s="248">
        <f>Datos!AB30</f>
        <v>0</v>
      </c>
      <c r="M512" s="193">
        <f>INDEX(_TARGETS!$J$2:$J$17,MATCH($C512,_TARGETS!$A$2:$A$17,0))</f>
        <v>1</v>
      </c>
      <c r="N512" s="193" t="str">
        <f>INDEX(_TARGETS!$D$2:$D$17,MATCH($C512,_TARGETS!$A$2:$A$17,0))</f>
        <v>días</v>
      </c>
      <c r="O512" s="193" t="str">
        <f>IF(NOT(ISNUMBER(F512)),"MISSING",IF((COUNTBLANK(Datos!AB30)+COUNTBLANK(Datos!AB31))&gt;0,"INCOMPLETE","OK"))</f>
        <v>MISSING</v>
      </c>
      <c r="P512" s="193" t="str">
        <f>INDEX(_TARGETS!$K$2:$K$17,MATCH($C512,_TARGETS!$A$2:$A$17,0))</f>
        <v>OPS (carga manual en Datos)</v>
      </c>
      <c r="Q512" s="193" t="str">
        <f t="shared" si="37"/>
        <v>202808|INV|Monthly</v>
      </c>
      <c r="R512" s="193" t="str">
        <f>INDEX(_TARGETS!$H$2:$H$17,MATCH($C512,_TARGETS!$A$2:$A$17,0))</f>
        <v>Definida</v>
      </c>
      <c r="S512" s="193" t="str">
        <f t="shared" si="38"/>
        <v/>
      </c>
      <c r="T512" s="193" t="str">
        <f t="shared" si="39"/>
        <v/>
      </c>
    </row>
    <row r="513" spans="1:20" ht="13.5" customHeight="1" x14ac:dyDescent="0.3">
      <c r="A513" s="245">
        <f>KPIs!$AB$3</f>
        <v>46966</v>
      </c>
      <c r="B513" s="199" t="str">
        <f>KPIs!AB$4</f>
        <v>Compresora</v>
      </c>
      <c r="C513" s="31" t="s">
        <v>76</v>
      </c>
      <c r="D513" s="199" t="str">
        <f>KPIs!$A$16</f>
        <v>8 · % de capacitación en seguridad</v>
      </c>
      <c r="E513" s="31" t="s">
        <v>599</v>
      </c>
      <c r="F513" s="247" t="str">
        <f>IF(ISNUMBER(KPIs!AB16),KPIs!AB16,"")</f>
        <v/>
      </c>
      <c r="G513" s="247">
        <f>IF(ISNUMBER(KPIs!$C$16),KPIs!$C$16,"")</f>
        <v>0.01</v>
      </c>
      <c r="H513" s="199" t="str">
        <f>IFERROR(INDEX(_TARGETS!$E$2:$E$17,MATCH($C513,_TARGETS!$A$2:$A$17,0))&amp;"","")</f>
        <v>≥</v>
      </c>
      <c r="I513" s="199" t="str">
        <f t="shared" si="35"/>
        <v/>
      </c>
      <c r="J513" s="193" t="str">
        <f t="shared" si="36"/>
        <v>Monthly</v>
      </c>
      <c r="K513" s="248">
        <f>Datos!AB18</f>
        <v>0</v>
      </c>
      <c r="L513" s="248">
        <f>Datos!AB14</f>
        <v>0</v>
      </c>
      <c r="M513" s="193">
        <f>INDEX(_TARGETS!$J$2:$J$17,MATCH($C513,_TARGETS!$A$2:$A$17,0))</f>
        <v>1</v>
      </c>
      <c r="N513" s="193" t="str">
        <f>INDEX(_TARGETS!$D$2:$D$17,MATCH($C513,_TARGETS!$A$2:$A$17,0))</f>
        <v>% (fracción)</v>
      </c>
      <c r="O513" s="193" t="str">
        <f>IF(NOT(ISNUMBER(F513)),"MISSING",IF((COUNTBLANK(Datos!AB16)+COUNTBLANK(Datos!AB17)+COUNTBLANK(Datos!AB12)+COUNTBLANK(Datos!AB13))&gt;0,"INCOMPLETE","OK"))</f>
        <v>MISSING</v>
      </c>
      <c r="P513" s="193" t="str">
        <f>INDEX(_TARGETS!$K$2:$K$17,MATCH($C513,_TARGETS!$A$2:$A$17,0))</f>
        <v>OPS (carga manual en Datos)</v>
      </c>
      <c r="Q513" s="193" t="str">
        <f t="shared" si="37"/>
        <v>202808|HCS|Monthly</v>
      </c>
      <c r="R513" s="193" t="str">
        <f>INDEX(_TARGETS!$H$2:$H$17,MATCH($C513,_TARGETS!$A$2:$A$17,0))</f>
        <v>Definida</v>
      </c>
      <c r="S513" s="193" t="str">
        <f t="shared" si="38"/>
        <v/>
      </c>
      <c r="T513" s="193" t="str">
        <f t="shared" si="39"/>
        <v/>
      </c>
    </row>
    <row r="514" spans="1:20" ht="13.5" customHeight="1" x14ac:dyDescent="0.3">
      <c r="A514" s="245">
        <f>KPIs!$AB$3</f>
        <v>46966</v>
      </c>
      <c r="B514" s="199" t="str">
        <f>KPIs!AB$4</f>
        <v>Compresora</v>
      </c>
      <c r="C514" s="31" t="s">
        <v>80</v>
      </c>
      <c r="D514" s="199" t="str">
        <f>KPIs!$A$17</f>
        <v>9 · Horas de capacitación por persona</v>
      </c>
      <c r="E514" s="31" t="s">
        <v>599</v>
      </c>
      <c r="F514" s="247" t="str">
        <f>IF(ISNUMBER(KPIs!AB17),KPIs!AB17,"")</f>
        <v/>
      </c>
      <c r="G514" s="247" t="str">
        <f>IF(ISNUMBER(KPIs!$C$17),KPIs!$C$17,"")</f>
        <v/>
      </c>
      <c r="H514" s="199" t="str">
        <f>IFERROR(INDEX(_TARGETS!$E$2:$E$17,MATCH($C514,_TARGETS!$A$2:$A$17,0))&amp;"","")</f>
        <v/>
      </c>
      <c r="I514" s="199" t="str">
        <f t="shared" ref="I514:I577" si="40">IF(OR(H514="",F514="",G514=""),"",IF(IF(H514="≤",F514&lt;=G514,F514&gt;=G514),"Sí","No"))</f>
        <v/>
      </c>
      <c r="J514" s="193" t="str">
        <f t="shared" ref="J514:J577" si="41">IF(E514="Mensual","Monthly",IF(E514="Acumulado","Cumulative",E514))</f>
        <v>Monthly</v>
      </c>
      <c r="K514" s="248">
        <f>Datos!AB18</f>
        <v>0</v>
      </c>
      <c r="L514" s="248">
        <f>Datos!AB11</f>
        <v>0</v>
      </c>
      <c r="M514" s="193">
        <f>INDEX(_TARGETS!$J$2:$J$17,MATCH($C514,_TARGETS!$A$2:$A$17,0))</f>
        <v>1</v>
      </c>
      <c r="N514" s="193" t="str">
        <f>INDEX(_TARGETS!$D$2:$D$17,MATCH($C514,_TARGETS!$A$2:$A$17,0))</f>
        <v>h / persona</v>
      </c>
      <c r="O514" s="193" t="str">
        <f>IF(NOT(ISNUMBER(F514)),"MISSING",IF((COUNTBLANK(Datos!AB16)+COUNTBLANK(Datos!AB17)+COUNTBLANK(Datos!AB9)+COUNTBLANK(Datos!AB10))&gt;0,"INCOMPLETE","OK"))</f>
        <v>MISSING</v>
      </c>
      <c r="P514" s="193" t="str">
        <f>INDEX(_TARGETS!$K$2:$K$17,MATCH($C514,_TARGETS!$A$2:$A$17,0))</f>
        <v>OPS (carga manual en Datos)</v>
      </c>
      <c r="Q514" s="193" t="str">
        <f t="shared" ref="Q514:Q577" si="42">YEAR(A514)*100+MONTH(A514)&amp;"|"&amp;C514&amp;"|"&amp;J514</f>
        <v>202808|HCSA|Monthly</v>
      </c>
      <c r="R514" s="193" t="str">
        <f>INDEX(_TARGETS!$H$2:$H$17,MATCH($C514,_TARGETS!$A$2:$A$17,0))</f>
        <v>Solo reporte</v>
      </c>
      <c r="S514" s="193" t="str">
        <f t="shared" ref="S514:S577" si="43">IF(AND(ISNUMBER(K514),ISNUMBER(L514)),IF(L514=0,"",K514*M514/L514),IF(ISNUMBER(K514),K514*M514,""))</f>
        <v/>
      </c>
      <c r="T514" s="193" t="str">
        <f t="shared" ref="T514:T577" si="44">IF(AND(ISNUMBER(F514),ISNUMBER(S514)),ABS(F514-S514),"")</f>
        <v/>
      </c>
    </row>
    <row r="515" spans="1:20" ht="13.5" customHeight="1" x14ac:dyDescent="0.3">
      <c r="A515" s="245">
        <f>KPIs!$AB$3</f>
        <v>46966</v>
      </c>
      <c r="B515" s="199" t="str">
        <f>KPIs!AB$4</f>
        <v>Compresora</v>
      </c>
      <c r="C515" s="31" t="s">
        <v>83</v>
      </c>
      <c r="D515" s="199" t="str">
        <f>KPIs!$A$18</f>
        <v>10 · Cumplimiento de simulacros (emergencia y operativos)</v>
      </c>
      <c r="E515" s="31" t="s">
        <v>599</v>
      </c>
      <c r="F515" s="247" t="str">
        <f>IF(ISNUMBER(KPIs!AB18),KPIs!AB18,"")</f>
        <v/>
      </c>
      <c r="G515" s="247">
        <f>IF(ISNUMBER(KPIs!$C$18),KPIs!$C$18,"")</f>
        <v>1</v>
      </c>
      <c r="H515" s="199" t="str">
        <f>IFERROR(INDEX(_TARGETS!$E$2:$E$17,MATCH($C515,_TARGETS!$A$2:$A$17,0))&amp;"","")</f>
        <v>≥</v>
      </c>
      <c r="I515" s="199" t="str">
        <f t="shared" si="40"/>
        <v/>
      </c>
      <c r="J515" s="193" t="str">
        <f t="shared" si="41"/>
        <v>Monthly</v>
      </c>
      <c r="K515" s="248">
        <f>Datos!AB20</f>
        <v>0</v>
      </c>
      <c r="L515" s="248">
        <f>Datos!AB21</f>
        <v>0</v>
      </c>
      <c r="M515" s="193">
        <f>INDEX(_TARGETS!$J$2:$J$17,MATCH($C515,_TARGETS!$A$2:$A$17,0))</f>
        <v>1</v>
      </c>
      <c r="N515" s="193" t="str">
        <f>INDEX(_TARGETS!$D$2:$D$17,MATCH($C515,_TARGETS!$A$2:$A$17,0))</f>
        <v>% (fracción)</v>
      </c>
      <c r="O515" s="193" t="str">
        <f>IF(NOT(ISNUMBER(F515)),"MISSING",IF((COUNTBLANK(Datos!AB20)+COUNTBLANK(Datos!AB21))&gt;0,"INCOMPLETE","OK"))</f>
        <v>MISSING</v>
      </c>
      <c r="P515" s="193" t="str">
        <f>INDEX(_TARGETS!$K$2:$K$17,MATCH($C515,_TARGETS!$A$2:$A$17,0))</f>
        <v>OPS (carga manual en Datos)</v>
      </c>
      <c r="Q515" s="193" t="str">
        <f t="shared" si="42"/>
        <v>202808|CPSE|Monthly</v>
      </c>
      <c r="R515" s="193" t="str">
        <f>INDEX(_TARGETS!$H$2:$H$17,MATCH($C515,_TARGETS!$A$2:$A$17,0))</f>
        <v>Definida</v>
      </c>
      <c r="S515" s="193" t="str">
        <f t="shared" si="43"/>
        <v/>
      </c>
      <c r="T515" s="193" t="str">
        <f t="shared" si="44"/>
        <v/>
      </c>
    </row>
    <row r="516" spans="1:20" ht="13.5" customHeight="1" x14ac:dyDescent="0.3">
      <c r="A516" s="245">
        <f>KPIs!$AB$3</f>
        <v>46966</v>
      </c>
      <c r="B516" s="199" t="str">
        <f>KPIs!AB$4</f>
        <v>Compresora</v>
      </c>
      <c r="C516" s="31" t="s">
        <v>85</v>
      </c>
      <c r="D516" s="199" t="str">
        <f>KPIs!$A$19</f>
        <v>10b · Cumplimiento de acciones de mejora de simulacros</v>
      </c>
      <c r="E516" s="31" t="s">
        <v>599</v>
      </c>
      <c r="F516" s="247" t="str">
        <f>IF(ISNUMBER(KPIs!AB19),KPIs!AB19,"")</f>
        <v/>
      </c>
      <c r="G516" s="247" t="str">
        <f>IF(ISNUMBER(KPIs!$C$19),KPIs!$C$19,"")</f>
        <v/>
      </c>
      <c r="H516" s="199" t="str">
        <f>IFERROR(INDEX(_TARGETS!$E$2:$E$17,MATCH($C516,_TARGETS!$A$2:$A$17,0))&amp;"","")</f>
        <v/>
      </c>
      <c r="I516" s="199" t="str">
        <f t="shared" si="40"/>
        <v/>
      </c>
      <c r="J516" s="193" t="str">
        <f t="shared" si="41"/>
        <v>Monthly</v>
      </c>
      <c r="K516" s="248">
        <f>Datos!AB23</f>
        <v>0</v>
      </c>
      <c r="L516" s="248">
        <f>Datos!AB22</f>
        <v>0</v>
      </c>
      <c r="M516" s="193">
        <f>INDEX(_TARGETS!$J$2:$J$17,MATCH($C516,_TARGETS!$A$2:$A$17,0))</f>
        <v>1</v>
      </c>
      <c r="N516" s="193" t="str">
        <f>INDEX(_TARGETS!$D$2:$D$17,MATCH($C516,_TARGETS!$A$2:$A$17,0))</f>
        <v>% (fracción)</v>
      </c>
      <c r="O516" s="193" t="str">
        <f>IF(NOT(ISNUMBER(F516)),"MISSING",IF((COUNTBLANK(Datos!AB23)+COUNTBLANK(Datos!AB22))&gt;0,"INCOMPLETE","OK"))</f>
        <v>MISSING</v>
      </c>
      <c r="P516" s="193" t="str">
        <f>INDEX(_TARGETS!$K$2:$K$17,MATCH($C516,_TARGETS!$A$2:$A$17,0))</f>
        <v>OPS (carga manual en Datos)</v>
      </c>
      <c r="Q516" s="193" t="str">
        <f t="shared" si="42"/>
        <v>202808|CAMS|Monthly</v>
      </c>
      <c r="R516" s="193" t="str">
        <f>INDEX(_TARGETS!$H$2:$H$17,MATCH($C516,_TARGETS!$A$2:$A$17,0))</f>
        <v>Solo reporte</v>
      </c>
      <c r="S516" s="193" t="str">
        <f t="shared" si="43"/>
        <v/>
      </c>
      <c r="T516" s="193" t="str">
        <f t="shared" si="44"/>
        <v/>
      </c>
    </row>
    <row r="517" spans="1:20" ht="13.5" customHeight="1" x14ac:dyDescent="0.3">
      <c r="A517" s="245">
        <f>KPIs!$AB$3</f>
        <v>46966</v>
      </c>
      <c r="B517" s="199" t="str">
        <f>KPIs!AB$4</f>
        <v>Compresora</v>
      </c>
      <c r="C517" s="31" t="s">
        <v>87</v>
      </c>
      <c r="D517" s="199" t="str">
        <f>KPIs!$A$21</f>
        <v>11 · Cumplimiento de caminatas gerenciales</v>
      </c>
      <c r="E517" s="31" t="s">
        <v>599</v>
      </c>
      <c r="F517" s="247" t="str">
        <f>IF(ISNUMBER(KPIs!AB21),KPIs!AB21,"")</f>
        <v/>
      </c>
      <c r="G517" s="247">
        <f>IF(ISNUMBER(KPIs!$C$21),KPIs!$C$21,"")</f>
        <v>1</v>
      </c>
      <c r="H517" s="199" t="str">
        <f>IFERROR(INDEX(_TARGETS!$E$2:$E$17,MATCH($C517,_TARGETS!$A$2:$A$17,0))&amp;"","")</f>
        <v>≥</v>
      </c>
      <c r="I517" s="199" t="str">
        <f t="shared" si="40"/>
        <v/>
      </c>
      <c r="J517" s="193" t="str">
        <f t="shared" si="41"/>
        <v>Monthly</v>
      </c>
      <c r="K517" s="248">
        <f>Datos!AB24</f>
        <v>0</v>
      </c>
      <c r="L517" s="248">
        <f>Datos!AB25</f>
        <v>0</v>
      </c>
      <c r="M517" s="193">
        <f>INDEX(_TARGETS!$J$2:$J$17,MATCH($C517,_TARGETS!$A$2:$A$17,0))</f>
        <v>1</v>
      </c>
      <c r="N517" s="193" t="str">
        <f>INDEX(_TARGETS!$D$2:$D$17,MATCH($C517,_TARGETS!$A$2:$A$17,0))</f>
        <v>% (fracción)</v>
      </c>
      <c r="O517" s="193" t="str">
        <f>IF(NOT(ISNUMBER(F517)),"MISSING",IF((COUNTBLANK(Datos!AB24)+COUNTBLANK(Datos!AB25))&gt;0,"INCOMPLETE","OK"))</f>
        <v>MISSING</v>
      </c>
      <c r="P517" s="193" t="str">
        <f>INDEX(_TARGETS!$K$2:$K$17,MATCH($C517,_TARGETS!$A$2:$A$17,0))</f>
        <v>OPS (carga manual en Datos)</v>
      </c>
      <c r="Q517" s="193" t="str">
        <f t="shared" si="42"/>
        <v>202808|ICCS|Monthly</v>
      </c>
      <c r="R517" s="193" t="str">
        <f>INDEX(_TARGETS!$H$2:$H$17,MATCH($C517,_TARGETS!$A$2:$A$17,0))</f>
        <v>Definida</v>
      </c>
      <c r="S517" s="193" t="str">
        <f t="shared" si="43"/>
        <v/>
      </c>
      <c r="T517" s="193" t="str">
        <f t="shared" si="44"/>
        <v/>
      </c>
    </row>
    <row r="518" spans="1:20" ht="13.5" customHeight="1" x14ac:dyDescent="0.3">
      <c r="A518" s="245">
        <f>KPIs!$AB$3</f>
        <v>46966</v>
      </c>
      <c r="B518" s="199" t="str">
        <f>KPIs!AB$4</f>
        <v>Compresora</v>
      </c>
      <c r="C518" s="31" t="s">
        <v>89</v>
      </c>
      <c r="D518" s="199" t="str">
        <f>KPIs!$A$22</f>
        <v>12 · Cumplimiento de comités y subcomités de seguridad</v>
      </c>
      <c r="E518" s="31" t="s">
        <v>599</v>
      </c>
      <c r="F518" s="247" t="str">
        <f>IF(ISNUMBER(KPIs!AB22),KPIs!AB22,"")</f>
        <v/>
      </c>
      <c r="G518" s="247">
        <f>IF(ISNUMBER(KPIs!$C$22),KPIs!$C$22,"")</f>
        <v>1</v>
      </c>
      <c r="H518" s="199" t="str">
        <f>IFERROR(INDEX(_TARGETS!$E$2:$E$17,MATCH($C518,_TARGETS!$A$2:$A$17,0))&amp;"","")</f>
        <v>≥</v>
      </c>
      <c r="I518" s="199" t="str">
        <f t="shared" si="40"/>
        <v/>
      </c>
      <c r="J518" s="193" t="str">
        <f t="shared" si="41"/>
        <v>Monthly</v>
      </c>
      <c r="K518" s="248">
        <f>Datos!AB26</f>
        <v>0</v>
      </c>
      <c r="L518" s="248">
        <f>Datos!AB27</f>
        <v>0</v>
      </c>
      <c r="M518" s="193">
        <f>INDEX(_TARGETS!$J$2:$J$17,MATCH($C518,_TARGETS!$A$2:$A$17,0))</f>
        <v>1</v>
      </c>
      <c r="N518" s="193" t="str">
        <f>INDEX(_TARGETS!$D$2:$D$17,MATCH($C518,_TARGETS!$A$2:$A$17,0))</f>
        <v>% (fracción)</v>
      </c>
      <c r="O518" s="193" t="str">
        <f>IF(NOT(ISNUMBER(F518)),"MISSING",IF((COUNTBLANK(Datos!AB26)+COUNTBLANK(Datos!AB27))&gt;0,"INCOMPLETE","OK"))</f>
        <v>MISSING</v>
      </c>
      <c r="P518" s="193" t="str">
        <f>INDEX(_TARGETS!$K$2:$K$17,MATCH($C518,_TARGETS!$A$2:$A$17,0))</f>
        <v>OPS (carga manual en Datos)</v>
      </c>
      <c r="Q518" s="193" t="str">
        <f t="shared" si="42"/>
        <v>202808|CCS|Monthly</v>
      </c>
      <c r="R518" s="193" t="str">
        <f>INDEX(_TARGETS!$H$2:$H$17,MATCH($C518,_TARGETS!$A$2:$A$17,0))</f>
        <v>Definida</v>
      </c>
      <c r="S518" s="193" t="str">
        <f t="shared" si="43"/>
        <v/>
      </c>
      <c r="T518" s="193" t="str">
        <f t="shared" si="44"/>
        <v/>
      </c>
    </row>
    <row r="519" spans="1:20" ht="13.5" customHeight="1" x14ac:dyDescent="0.3">
      <c r="A519" s="245">
        <f>KPIs!$AB$3</f>
        <v>46966</v>
      </c>
      <c r="B519" s="199" t="str">
        <f>KPIs!AB$4</f>
        <v>Compresora</v>
      </c>
      <c r="C519" s="31" t="s">
        <v>91</v>
      </c>
      <c r="D519" s="199" t="str">
        <f>KPIs!$A$23</f>
        <v>13 · Días promedio para cerrar hallazgos</v>
      </c>
      <c r="E519" s="31" t="s">
        <v>599</v>
      </c>
      <c r="F519" s="247" t="str">
        <f>IF(ISNUMBER(KPIs!AB23),KPIs!AB23,"")</f>
        <v/>
      </c>
      <c r="G519" s="247" t="str">
        <f>IF(ISNUMBER(KPIs!$C$23),KPIs!$C$23,"")</f>
        <v/>
      </c>
      <c r="H519" s="199" t="str">
        <f>IFERROR(INDEX(_TARGETS!$E$2:$E$17,MATCH($C519,_TARGETS!$A$2:$A$17,0))&amp;"","")</f>
        <v>≤</v>
      </c>
      <c r="I519" s="199" t="str">
        <f t="shared" si="40"/>
        <v/>
      </c>
      <c r="J519" s="193" t="str">
        <f t="shared" si="41"/>
        <v>Monthly</v>
      </c>
      <c r="K519" s="248">
        <f>Datos!AB68</f>
        <v>0</v>
      </c>
      <c r="L519" s="248">
        <f>Datos!AB67</f>
        <v>0</v>
      </c>
      <c r="M519" s="193">
        <f>INDEX(_TARGETS!$J$2:$J$17,MATCH($C519,_TARGETS!$A$2:$A$17,0))</f>
        <v>1</v>
      </c>
      <c r="N519" s="193" t="str">
        <f>INDEX(_TARGETS!$D$2:$D$17,MATCH($C519,_TARGETS!$A$2:$A$17,0))</f>
        <v>días</v>
      </c>
      <c r="O519" s="193" t="str">
        <f>IF(NOT(ISNUMBER(F519)),"MISSING","OK")</f>
        <v>MISSING</v>
      </c>
      <c r="P519" s="193" t="str">
        <f>INDEX(_TARGETS!$K$2:$K$17,MATCH($C519,_TARGETS!$A$2:$A$17,0))</f>
        <v>Plant Findings (hoja Observaciones-SMP)</v>
      </c>
      <c r="Q519" s="193" t="str">
        <f t="shared" si="42"/>
        <v>202808|DPAS|Monthly</v>
      </c>
      <c r="R519" s="193" t="str">
        <f>INDEX(_TARGETS!$H$2:$H$17,MATCH($C519,_TARGETS!$A$2:$A$17,0))</f>
        <v>Pendiente (meta 2027)</v>
      </c>
      <c r="S519" s="193" t="str">
        <f t="shared" si="43"/>
        <v/>
      </c>
      <c r="T519" s="193" t="str">
        <f t="shared" si="44"/>
        <v/>
      </c>
    </row>
    <row r="520" spans="1:20" ht="13.5" customHeight="1" x14ac:dyDescent="0.3">
      <c r="A520" s="245">
        <f>KPIs!$AB$3</f>
        <v>46966</v>
      </c>
      <c r="B520" s="199" t="str">
        <f>KPIs!AB$4</f>
        <v>Compresora</v>
      </c>
      <c r="C520" s="31" t="s">
        <v>39</v>
      </c>
      <c r="D520" s="199" t="str">
        <f>KPIs!$A$26</f>
        <v>1 · Frecuencia de casos con días perdidos · ACUMULADO</v>
      </c>
      <c r="E520" s="31" t="s">
        <v>600</v>
      </c>
      <c r="F520" s="247" t="str">
        <f>IF(ISNUMBER(KPIs!AB26),KPIs!AB26,"")</f>
        <v/>
      </c>
      <c r="G520" s="247">
        <f>IF(ISNUMBER(KPIs!$C$26),KPIs!$C$26,"")</f>
        <v>0</v>
      </c>
      <c r="H520" s="199" t="str">
        <f>IFERROR(INDEX(_TARGETS!$E$2:$E$17,MATCH($C520,_TARGETS!$A$2:$A$17,0))&amp;"","")</f>
        <v>≤</v>
      </c>
      <c r="I520" s="199" t="str">
        <f t="shared" si="40"/>
        <v/>
      </c>
      <c r="J520" s="193" t="str">
        <f t="shared" si="41"/>
        <v>Cumulative</v>
      </c>
      <c r="K520" s="193">
        <f>SUM(Datos!$D33:AB33)</f>
        <v>0</v>
      </c>
      <c r="L520" s="193">
        <f>SUM(Datos!$D14:AB14)</f>
        <v>48332</v>
      </c>
      <c r="M520" s="193">
        <f>INDEX(_TARGETS!$J$2:$J$17,MATCH($C520,_TARGETS!$A$2:$A$17,0))</f>
        <v>1000000</v>
      </c>
      <c r="N520" s="193" t="str">
        <f>INDEX(_TARGETS!$D$2:$D$17,MATCH($C520,_TARGETS!$A$2:$A$17,0))</f>
        <v>casos / 10^6 HH</v>
      </c>
      <c r="O520" s="193" t="str">
        <f>IF(NOT(ISNUMBER(F520)),IF(SUMPRODUCT(($C$2:$C$1300=C520)*($J$2:$J$1300="Monthly")*($A$2:$A$1300&lt;=A520)*ISNUMBER($K$2:$K$1300)*ISNUMBER($L$2:$L$1300)*($L$2:$L$1300=0)*($K$2:$K$1300&gt;0))&gt;0,"INCOMPLETE","MISSING"),O506)</f>
        <v>MISSING</v>
      </c>
      <c r="P520" s="193" t="str">
        <f>INDEX(_TARGETS!$K$2:$K$17,MATCH($C520,_TARGETS!$A$2:$A$17,0))</f>
        <v>OPS (carga manual en Datos)</v>
      </c>
      <c r="Q520" s="193" t="str">
        <f t="shared" si="42"/>
        <v>202808|DAFWCF|Cumulative</v>
      </c>
      <c r="R520" s="193" t="str">
        <f>INDEX(_TARGETS!$H$2:$H$17,MATCH($C520,_TARGETS!$A$2:$A$17,0))</f>
        <v>Definida</v>
      </c>
      <c r="S520" s="193">
        <f t="shared" si="43"/>
        <v>0</v>
      </c>
      <c r="T520" s="193" t="str">
        <f t="shared" si="44"/>
        <v/>
      </c>
    </row>
    <row r="521" spans="1:20" ht="13.5" customHeight="1" x14ac:dyDescent="0.3">
      <c r="A521" s="245">
        <f>KPIs!$AB$3</f>
        <v>46966</v>
      </c>
      <c r="B521" s="199" t="str">
        <f>KPIs!AB$4</f>
        <v>Compresora</v>
      </c>
      <c r="C521" s="31" t="s">
        <v>49</v>
      </c>
      <c r="D521" s="199" t="str">
        <f>KPIs!$A$27</f>
        <v>2 · Frecuencia de casos registrables · ACUMULADO</v>
      </c>
      <c r="E521" s="31" t="s">
        <v>600</v>
      </c>
      <c r="F521" s="247" t="str">
        <f>IF(ISNUMBER(KPIs!AB27),KPIs!AB27,"")</f>
        <v/>
      </c>
      <c r="G521" s="247">
        <f>IF(ISNUMBER(KPIs!$C$27),KPIs!$C$27,"")</f>
        <v>2.35</v>
      </c>
      <c r="H521" s="199" t="str">
        <f>IFERROR(INDEX(_TARGETS!$E$2:$E$17,MATCH($C521,_TARGETS!$A$2:$A$17,0))&amp;"","")</f>
        <v>≤</v>
      </c>
      <c r="I521" s="199" t="str">
        <f t="shared" si="40"/>
        <v/>
      </c>
      <c r="J521" s="193" t="str">
        <f t="shared" si="41"/>
        <v>Cumulative</v>
      </c>
      <c r="K521" s="193">
        <f>SUM(Datos!$D33:AB33)+SUM(Datos!$D34:AB34)+SUM(Datos!$D35:AB35)+SUM(Datos!$D36:AB36)</f>
        <v>0</v>
      </c>
      <c r="L521" s="193">
        <f>SUM(Datos!$D14:AB14)</f>
        <v>48332</v>
      </c>
      <c r="M521" s="193">
        <f>INDEX(_TARGETS!$J$2:$J$17,MATCH($C521,_TARGETS!$A$2:$A$17,0))</f>
        <v>1000000</v>
      </c>
      <c r="N521" s="193" t="str">
        <f>INDEX(_TARGETS!$D$2:$D$17,MATCH($C521,_TARGETS!$A$2:$A$17,0))</f>
        <v>casos / 10^6 HH</v>
      </c>
      <c r="O521" s="193" t="str">
        <f>IF(NOT(ISNUMBER(F521)),IF(SUMPRODUCT(($C$2:$C$1300=C521)*($J$2:$J$1300="Monthly")*($A$2:$A$1300&lt;=A521)*ISNUMBER($K$2:$K$1300)*ISNUMBER($L$2:$L$1300)*($L$2:$L$1300=0)*($K$2:$K$1300&gt;0))&gt;0,"INCOMPLETE","MISSING"),O507)</f>
        <v>MISSING</v>
      </c>
      <c r="P521" s="193" t="str">
        <f>INDEX(_TARGETS!$K$2:$K$17,MATCH($C521,_TARGETS!$A$2:$A$17,0))</f>
        <v>OPS (carga manual en Datos)</v>
      </c>
      <c r="Q521" s="193" t="str">
        <f t="shared" si="42"/>
        <v>202808|TRICF|Cumulative</v>
      </c>
      <c r="R521" s="193" t="str">
        <f>INDEX(_TARGETS!$H$2:$H$17,MATCH($C521,_TARGETS!$A$2:$A$17,0))</f>
        <v>Definida</v>
      </c>
      <c r="S521" s="193">
        <f t="shared" si="43"/>
        <v>0</v>
      </c>
      <c r="T521" s="193" t="str">
        <f t="shared" si="44"/>
        <v/>
      </c>
    </row>
    <row r="522" spans="1:20" ht="13.5" customHeight="1" x14ac:dyDescent="0.3">
      <c r="A522" s="245">
        <f>KPIs!$AB$3</f>
        <v>46966</v>
      </c>
      <c r="B522" s="199" t="str">
        <f>KPIs!AB$4</f>
        <v>Compresora</v>
      </c>
      <c r="C522" s="31" t="s">
        <v>51</v>
      </c>
      <c r="D522" s="199" t="str">
        <f>KPIs!$A$28</f>
        <v>3 · Casos de primeros auxilios · ACUMULADO</v>
      </c>
      <c r="E522" s="31" t="s">
        <v>600</v>
      </c>
      <c r="F522" s="247" t="str">
        <f>IF(ISNUMBER(KPIs!AB28),KPIs!AB28,"")</f>
        <v/>
      </c>
      <c r="G522" s="247" t="str">
        <f>IF(ISNUMBER(KPIs!$C$28),KPIs!$C$28,"")</f>
        <v/>
      </c>
      <c r="H522" s="199" t="str">
        <f>IFERROR(INDEX(_TARGETS!$E$2:$E$17,MATCH($C522,_TARGETS!$A$2:$A$17,0))&amp;"","")</f>
        <v/>
      </c>
      <c r="I522" s="199" t="str">
        <f t="shared" si="40"/>
        <v/>
      </c>
      <c r="J522" s="193" t="str">
        <f t="shared" si="41"/>
        <v>Cumulative</v>
      </c>
      <c r="K522" s="193">
        <f>SUM(Datos!$D37:AB37)</f>
        <v>0</v>
      </c>
      <c r="M522" s="193">
        <f>INDEX(_TARGETS!$J$2:$J$17,MATCH($C522,_TARGETS!$A$2:$A$17,0))</f>
        <v>1</v>
      </c>
      <c r="N522" s="193" t="str">
        <f>INDEX(_TARGETS!$D$2:$D$17,MATCH($C522,_TARGETS!$A$2:$A$17,0))</f>
        <v>casos</v>
      </c>
      <c r="O522" s="193" t="str">
        <f>IF(NOT(ISNUMBER(F522)),IF(SUMPRODUCT(($C$2:$C$1300=C522)*($J$2:$J$1300="Monthly")*($A$2:$A$1300&lt;=A522)*ISNUMBER($K$2:$K$1300)*ISNUMBER($L$2:$L$1300)*($L$2:$L$1300=0)*($K$2:$K$1300&gt;0))&gt;0,"INCOMPLETE","MISSING"),O508)</f>
        <v>MISSING</v>
      </c>
      <c r="P522" s="193" t="str">
        <f>INDEX(_TARGETS!$K$2:$K$17,MATCH($C522,_TARGETS!$A$2:$A$17,0))</f>
        <v>OPS (carga manual en Datos)</v>
      </c>
      <c r="Q522" s="193" t="str">
        <f t="shared" si="42"/>
        <v>202808|FAC|Cumulative</v>
      </c>
      <c r="R522" s="193" t="str">
        <f>INDEX(_TARGETS!$H$2:$H$17,MATCH($C522,_TARGETS!$A$2:$A$17,0))</f>
        <v>Solo reporte</v>
      </c>
      <c r="S522" s="193">
        <f t="shared" si="43"/>
        <v>0</v>
      </c>
      <c r="T522" s="193" t="str">
        <f t="shared" si="44"/>
        <v/>
      </c>
    </row>
    <row r="523" spans="1:20" ht="13.5" customHeight="1" x14ac:dyDescent="0.3">
      <c r="A523" s="245">
        <f>KPIs!$AB$3</f>
        <v>46966</v>
      </c>
      <c r="B523" s="199" t="str">
        <f>KPIs!AB$4</f>
        <v>Compresora</v>
      </c>
      <c r="C523" s="31" t="s">
        <v>57</v>
      </c>
      <c r="D523" s="199" t="str">
        <f>KPIs!$A$29</f>
        <v>4 · Accidentes vehiculares severos · ACUMULADO</v>
      </c>
      <c r="E523" s="31" t="s">
        <v>600</v>
      </c>
      <c r="F523" s="247" t="str">
        <f>IF(ISNUMBER(KPIs!AB29),KPIs!AB29,"")</f>
        <v/>
      </c>
      <c r="G523" s="247" t="str">
        <f>IF(ISNUMBER(KPIs!$C$29),KPIs!$C$29,"")</f>
        <v/>
      </c>
      <c r="H523" s="199" t="str">
        <f>IFERROR(INDEX(_TARGETS!$E$2:$E$17,MATCH($C523,_TARGETS!$A$2:$A$17,0))&amp;"","")</f>
        <v/>
      </c>
      <c r="I523" s="199" t="str">
        <f t="shared" si="40"/>
        <v/>
      </c>
      <c r="J523" s="193" t="str">
        <f t="shared" si="41"/>
        <v>Cumulative</v>
      </c>
      <c r="K523" s="193">
        <f>SUM(Datos!$D39:AB39)+SUM(Datos!$D40:AB40)+SUM(Datos!$D41:AB41)</f>
        <v>0</v>
      </c>
      <c r="L523" s="193">
        <f>SUM(Datos!$D47:AB47)</f>
        <v>172824</v>
      </c>
      <c r="M523" s="193">
        <f>INDEX(_TARGETS!$J$2:$J$17,MATCH($C523,_TARGETS!$A$2:$A$17,0))</f>
        <v>1000000</v>
      </c>
      <c r="N523" s="193" t="str">
        <f>INDEX(_TARGETS!$D$2:$D$17,MATCH($C523,_TARGETS!$A$2:$A$17,0))</f>
        <v>eventos / 10^6 km</v>
      </c>
      <c r="O523" s="193" t="str">
        <f>IF(NOT(ISNUMBER(F523)),IF(SUMPRODUCT(($C$2:$C$1300=C523)*($J$2:$J$1300="Monthly")*($A$2:$A$1300&lt;=A523)*ISNUMBER($K$2:$K$1300)*ISNUMBER($L$2:$L$1300)*($L$2:$L$1300=0)*($K$2:$K$1300&gt;0))&gt;0,"INCOMPLETE","MISSING"),O509)</f>
        <v>MISSING</v>
      </c>
      <c r="P523" s="193" t="str">
        <f>INDEX(_TARGETS!$K$2:$K$17,MATCH($C523,_TARGETS!$A$2:$A$17,0))</f>
        <v>OPS (eventos) + Full Control GPS (km) - carga manual en Datos</v>
      </c>
      <c r="Q523" s="193" t="str">
        <f t="shared" si="42"/>
        <v>202808|SVCR|Cumulative</v>
      </c>
      <c r="R523" s="193" t="str">
        <f>INDEX(_TARGETS!$H$2:$H$17,MATCH($C523,_TARGETS!$A$2:$A$17,0))</f>
        <v>Solo reporte</v>
      </c>
      <c r="S523" s="193">
        <f t="shared" si="43"/>
        <v>0</v>
      </c>
      <c r="T523" s="193" t="str">
        <f t="shared" si="44"/>
        <v/>
      </c>
    </row>
    <row r="524" spans="1:20" ht="13.5" customHeight="1" x14ac:dyDescent="0.3">
      <c r="A524" s="245">
        <f>KPIs!$AB$3</f>
        <v>46966</v>
      </c>
      <c r="B524" s="199" t="str">
        <f>KPIs!AB$4</f>
        <v>Compresora</v>
      </c>
      <c r="C524" s="31" t="s">
        <v>61</v>
      </c>
      <c r="D524" s="199" t="str">
        <f>KPIs!$A$30</f>
        <v>5 · Accidentes vehiculares totales · ACUMULADO</v>
      </c>
      <c r="E524" s="31" t="s">
        <v>600</v>
      </c>
      <c r="F524" s="247" t="str">
        <f>IF(ISNUMBER(KPIs!AB30),KPIs!AB30,"")</f>
        <v/>
      </c>
      <c r="G524" s="247">
        <f>IF(ISNUMBER(KPIs!$C$30),KPIs!$C$30,"")</f>
        <v>0.79</v>
      </c>
      <c r="H524" s="199" t="str">
        <f>IFERROR(INDEX(_TARGETS!$E$2:$E$17,MATCH($C524,_TARGETS!$A$2:$A$17,0))&amp;"","")</f>
        <v>≤</v>
      </c>
      <c r="I524" s="199" t="str">
        <f t="shared" si="40"/>
        <v/>
      </c>
      <c r="J524" s="193" t="str">
        <f t="shared" si="41"/>
        <v>Cumulative</v>
      </c>
      <c r="K524" s="193">
        <f>SUM(Datos!$D39:AB39)+SUM(Datos!$D40:AB40)+SUM(Datos!$D41:AB41)+SUM(Datos!$D42:AB42)</f>
        <v>0</v>
      </c>
      <c r="L524" s="193">
        <f>SUM(Datos!$D47:AB47)</f>
        <v>172824</v>
      </c>
      <c r="M524" s="193">
        <f>INDEX(_TARGETS!$J$2:$J$17,MATCH($C524,_TARGETS!$A$2:$A$17,0))</f>
        <v>1000000</v>
      </c>
      <c r="N524" s="193" t="str">
        <f>INDEX(_TARGETS!$D$2:$D$17,MATCH($C524,_TARGETS!$A$2:$A$17,0))</f>
        <v>eventos / 10^6 km</v>
      </c>
      <c r="O524" s="193" t="str">
        <f>IF(NOT(ISNUMBER(F524)),IF(SUMPRODUCT(($C$2:$C$1300=C524)*($J$2:$J$1300="Monthly")*($A$2:$A$1300&lt;=A524)*ISNUMBER($K$2:$K$1300)*ISNUMBER($L$2:$L$1300)*($L$2:$L$1300=0)*($K$2:$K$1300&gt;0))&gt;0,"INCOMPLETE","MISSING"),O510)</f>
        <v>MISSING</v>
      </c>
      <c r="P524" s="193" t="str">
        <f>INDEX(_TARGETS!$K$2:$K$17,MATCH($C524,_TARGETS!$A$2:$A$17,0))</f>
        <v>OPS (eventos) + Full Control GPS (km) - carga manual en Datos</v>
      </c>
      <c r="Q524" s="193" t="str">
        <f t="shared" si="42"/>
        <v>202808|TVCR|Cumulative</v>
      </c>
      <c r="R524" s="193" t="str">
        <f>INDEX(_TARGETS!$H$2:$H$17,MATCH($C524,_TARGETS!$A$2:$A$17,0))</f>
        <v>Definida</v>
      </c>
      <c r="S524" s="193">
        <f t="shared" si="43"/>
        <v>0</v>
      </c>
      <c r="T524" s="193" t="str">
        <f t="shared" si="44"/>
        <v/>
      </c>
    </row>
    <row r="525" spans="1:20" ht="13.5" customHeight="1" x14ac:dyDescent="0.3">
      <c r="A525" s="245">
        <f>KPIs!$AB$3</f>
        <v>46966</v>
      </c>
      <c r="B525" s="199" t="str">
        <f>KPIs!AB$4</f>
        <v>Compresora</v>
      </c>
      <c r="C525" s="31" t="s">
        <v>96</v>
      </c>
      <c r="D525" s="199" t="str">
        <f>KPIs!$A$33</f>
        <v>C1 · % de desvíos detectados de gravedad Alta</v>
      </c>
      <c r="E525" s="31" t="s">
        <v>599</v>
      </c>
      <c r="F525" s="247" t="str">
        <f>IF(ISNUMBER(KPIs!AB33),KPIs!AB33,"")</f>
        <v/>
      </c>
      <c r="G525" s="247" t="str">
        <f>IF(ISNUMBER(KPIs!$C$33),KPIs!$C$33,"")</f>
        <v/>
      </c>
      <c r="H525" s="199" t="str">
        <f>IFERROR(INDEX(_TARGETS!$E$2:$E$17,MATCH($C525,_TARGETS!$A$2:$A$17,0))&amp;"","")</f>
        <v/>
      </c>
      <c r="I525" s="199" t="str">
        <f t="shared" si="40"/>
        <v/>
      </c>
      <c r="J525" s="193" t="str">
        <f t="shared" si="41"/>
        <v>Monthly</v>
      </c>
      <c r="K525" s="248">
        <f>Datos!AB71</f>
        <v>0</v>
      </c>
      <c r="L525" s="193">
        <f>Datos!AB71+Datos!AB72+Datos!AB73</f>
        <v>0</v>
      </c>
      <c r="M525" s="193">
        <f>INDEX(_TARGETS!$J$2:$J$17,MATCH($C525,_TARGETS!$A$2:$A$17,0))</f>
        <v>1</v>
      </c>
      <c r="N525" s="193" t="str">
        <f>INDEX(_TARGETS!$D$2:$D$17,MATCH($C525,_TARGETS!$A$2:$A$17,0))</f>
        <v>% (fracción)</v>
      </c>
      <c r="O525" s="193" t="str">
        <f>IF(NOT(ISNUMBER(F525)),"MISSING","OK")</f>
        <v>MISSING</v>
      </c>
      <c r="P525" s="193" t="str">
        <f>INDEX(_TARGETS!$K$2:$K$17,MATCH($C525,_TARGETS!$A$2:$A$17,0))</f>
        <v>Plant Findings (hoja Observaciones-SMP)</v>
      </c>
      <c r="Q525" s="193" t="str">
        <f t="shared" si="42"/>
        <v>202808|HAL_ALTA_PCT|Monthly</v>
      </c>
      <c r="R525" s="193" t="str">
        <f>INDEX(_TARGETS!$H$2:$H$17,MATCH($C525,_TARGETS!$A$2:$A$17,0))</f>
        <v>Solo reporte</v>
      </c>
      <c r="S525" s="193" t="str">
        <f t="shared" si="43"/>
        <v/>
      </c>
      <c r="T525" s="193" t="str">
        <f t="shared" si="44"/>
        <v/>
      </c>
    </row>
    <row r="526" spans="1:20" ht="13.5" customHeight="1" x14ac:dyDescent="0.3">
      <c r="A526" s="245">
        <f>KPIs!$AB$3</f>
        <v>46966</v>
      </c>
      <c r="B526" s="199" t="str">
        <f>KPIs!AB$4</f>
        <v>Compresora</v>
      </c>
      <c r="C526" s="31" t="s">
        <v>98</v>
      </c>
      <c r="D526" s="199" t="str">
        <f>KPIs!$A$34</f>
        <v>C2 · Detenciones de tareas aplicadas</v>
      </c>
      <c r="E526" s="31" t="s">
        <v>599</v>
      </c>
      <c r="F526" s="247" t="str">
        <f>IF(ISNUMBER(KPIs!AB34),KPIs!AB34,"")</f>
        <v/>
      </c>
      <c r="G526" s="247" t="str">
        <f>IF(ISNUMBER(KPIs!$C$34),KPIs!$C$34,"")</f>
        <v/>
      </c>
      <c r="H526" s="199" t="str">
        <f>IFERROR(INDEX(_TARGETS!$E$2:$E$17,MATCH($C526,_TARGETS!$A$2:$A$17,0))&amp;"","")</f>
        <v/>
      </c>
      <c r="I526" s="199" t="str">
        <f t="shared" si="40"/>
        <v/>
      </c>
      <c r="J526" s="193" t="str">
        <f t="shared" si="41"/>
        <v>Monthly</v>
      </c>
      <c r="K526" s="248">
        <f>Datos!AB75</f>
        <v>0</v>
      </c>
      <c r="M526" s="193">
        <f>INDEX(_TARGETS!$J$2:$J$17,MATCH($C526,_TARGETS!$A$2:$A$17,0))</f>
        <v>1</v>
      </c>
      <c r="N526" s="193" t="str">
        <f>INDEX(_TARGETS!$D$2:$D$17,MATCH($C526,_TARGETS!$A$2:$A$17,0))</f>
        <v>u</v>
      </c>
      <c r="O526" s="193" t="str">
        <f>IF(NOT(ISNUMBER(F526)),"MISSING","OK")</f>
        <v>MISSING</v>
      </c>
      <c r="P526" s="193" t="str">
        <f>INDEX(_TARGETS!$K$2:$K$17,MATCH($C526,_TARGETS!$A$2:$A$17,0))</f>
        <v>Plant Findings (hoja Observaciones-SMP)</v>
      </c>
      <c r="Q526" s="193" t="str">
        <f t="shared" si="42"/>
        <v>202808|DET|Monthly</v>
      </c>
      <c r="R526" s="193" t="str">
        <f>INDEX(_TARGETS!$H$2:$H$17,MATCH($C526,_TARGETS!$A$2:$A$17,0))</f>
        <v>Solo reporte</v>
      </c>
      <c r="S526" s="193" t="str">
        <f t="shared" si="43"/>
        <v/>
      </c>
      <c r="T526" s="193" t="str">
        <f t="shared" si="44"/>
        <v/>
      </c>
    </row>
    <row r="527" spans="1:20" ht="13.5" customHeight="1" x14ac:dyDescent="0.3">
      <c r="A527" s="245">
        <f>KPIs!$AC$3</f>
        <v>46997</v>
      </c>
      <c r="B527" s="199" t="str">
        <f>KPIs!AC$4</f>
        <v>Compresora</v>
      </c>
      <c r="C527" s="31" t="s">
        <v>39</v>
      </c>
      <c r="D527" s="199" t="str">
        <f>KPIs!$A$6</f>
        <v>1 · Frecuencia de casos con días perdidos</v>
      </c>
      <c r="E527" s="31" t="s">
        <v>599</v>
      </c>
      <c r="F527" s="247" t="str">
        <f>IF(ISNUMBER(KPIs!AC6),KPIs!AC6,"")</f>
        <v/>
      </c>
      <c r="G527" s="247">
        <f>IF(ISNUMBER(KPIs!$C$6),KPIs!$C$6,"")</f>
        <v>0</v>
      </c>
      <c r="H527" s="199" t="str">
        <f>IFERROR(INDEX(_TARGETS!$E$2:$E$17,MATCH($C527,_TARGETS!$A$2:$A$17,0))&amp;"","")</f>
        <v>≤</v>
      </c>
      <c r="I527" s="199" t="str">
        <f t="shared" si="40"/>
        <v/>
      </c>
      <c r="J527" s="193" t="str">
        <f t="shared" si="41"/>
        <v>Monthly</v>
      </c>
      <c r="K527" s="248">
        <f>Datos!AC33</f>
        <v>0</v>
      </c>
      <c r="L527" s="248">
        <f>Datos!AC14</f>
        <v>0</v>
      </c>
      <c r="M527" s="193">
        <f>INDEX(_TARGETS!$J$2:$J$17,MATCH($C527,_TARGETS!$A$2:$A$17,0))</f>
        <v>1000000</v>
      </c>
      <c r="N527" s="193" t="str">
        <f>INDEX(_TARGETS!$D$2:$D$17,MATCH($C527,_TARGETS!$A$2:$A$17,0))</f>
        <v>casos / 10^6 HH</v>
      </c>
      <c r="O527" s="193" t="str">
        <f>IF(NOT(ISNUMBER(F527)),"MISSING",IF((COUNTBLANK(Datos!AC12)+COUNTBLANK(Datos!AC13)+COUNTBLANK(Datos!AC33))&gt;0,"INCOMPLETE","OK"))</f>
        <v>MISSING</v>
      </c>
      <c r="P527" s="193" t="str">
        <f>INDEX(_TARGETS!$K$2:$K$17,MATCH($C527,_TARGETS!$A$2:$A$17,0))</f>
        <v>OPS (carga manual en Datos)</v>
      </c>
      <c r="Q527" s="193" t="str">
        <f t="shared" si="42"/>
        <v>202809|DAFWCF|Monthly</v>
      </c>
      <c r="R527" s="193" t="str">
        <f>INDEX(_TARGETS!$H$2:$H$17,MATCH($C527,_TARGETS!$A$2:$A$17,0))</f>
        <v>Definida</v>
      </c>
      <c r="S527" s="193" t="str">
        <f t="shared" si="43"/>
        <v/>
      </c>
      <c r="T527" s="193" t="str">
        <f t="shared" si="44"/>
        <v/>
      </c>
    </row>
    <row r="528" spans="1:20" ht="13.5" customHeight="1" x14ac:dyDescent="0.3">
      <c r="A528" s="245">
        <f>KPIs!$AC$3</f>
        <v>46997</v>
      </c>
      <c r="B528" s="199" t="str">
        <f>KPIs!AC$4</f>
        <v>Compresora</v>
      </c>
      <c r="C528" s="31" t="s">
        <v>49</v>
      </c>
      <c r="D528" s="199" t="str">
        <f>KPIs!$A$7</f>
        <v>2 · Frecuencia de casos registrables</v>
      </c>
      <c r="E528" s="31" t="s">
        <v>599</v>
      </c>
      <c r="F528" s="247" t="str">
        <f>IF(ISNUMBER(KPIs!AC7),KPIs!AC7,"")</f>
        <v/>
      </c>
      <c r="G528" s="247">
        <f>IF(ISNUMBER(KPIs!$C$7),KPIs!$C$7,"")</f>
        <v>2.35</v>
      </c>
      <c r="H528" s="199" t="str">
        <f>IFERROR(INDEX(_TARGETS!$E$2:$E$17,MATCH($C528,_TARGETS!$A$2:$A$17,0))&amp;"","")</f>
        <v>≤</v>
      </c>
      <c r="I528" s="199" t="str">
        <f t="shared" si="40"/>
        <v/>
      </c>
      <c r="J528" s="193" t="str">
        <f t="shared" si="41"/>
        <v>Monthly</v>
      </c>
      <c r="K528" s="193">
        <f>Datos!AC33+Datos!AC34+Datos!AC35+Datos!AC36</f>
        <v>0</v>
      </c>
      <c r="L528" s="248">
        <f>Datos!AC14</f>
        <v>0</v>
      </c>
      <c r="M528" s="193">
        <f>INDEX(_TARGETS!$J$2:$J$17,MATCH($C528,_TARGETS!$A$2:$A$17,0))</f>
        <v>1000000</v>
      </c>
      <c r="N528" s="193" t="str">
        <f>INDEX(_TARGETS!$D$2:$D$17,MATCH($C528,_TARGETS!$A$2:$A$17,0))</f>
        <v>casos / 10^6 HH</v>
      </c>
      <c r="O528" s="193" t="str">
        <f>IF(NOT(ISNUMBER(F528)),"MISSING",IF((COUNTBLANK(Datos!AC12)+COUNTBLANK(Datos!AC13)+COUNTBLANK(Datos!AC33)+COUNTBLANK(Datos!AC34)+COUNTBLANK(Datos!AC35)+COUNTBLANK(Datos!AC36))&gt;0,"INCOMPLETE","OK"))</f>
        <v>MISSING</v>
      </c>
      <c r="P528" s="193" t="str">
        <f>INDEX(_TARGETS!$K$2:$K$17,MATCH($C528,_TARGETS!$A$2:$A$17,0))</f>
        <v>OPS (carga manual en Datos)</v>
      </c>
      <c r="Q528" s="193" t="str">
        <f t="shared" si="42"/>
        <v>202809|TRICF|Monthly</v>
      </c>
      <c r="R528" s="193" t="str">
        <f>INDEX(_TARGETS!$H$2:$H$17,MATCH($C528,_TARGETS!$A$2:$A$17,0))</f>
        <v>Definida</v>
      </c>
      <c r="S528" s="193" t="str">
        <f t="shared" si="43"/>
        <v/>
      </c>
      <c r="T528" s="193" t="str">
        <f t="shared" si="44"/>
        <v/>
      </c>
    </row>
    <row r="529" spans="1:20" ht="13.5" customHeight="1" x14ac:dyDescent="0.3">
      <c r="A529" s="245">
        <f>KPIs!$AC$3</f>
        <v>46997</v>
      </c>
      <c r="B529" s="199" t="str">
        <f>KPIs!AC$4</f>
        <v>Compresora</v>
      </c>
      <c r="C529" s="31" t="s">
        <v>51</v>
      </c>
      <c r="D529" s="199" t="str">
        <f>KPIs!$A$8</f>
        <v>3 · Casos de primeros auxilios</v>
      </c>
      <c r="E529" s="31" t="s">
        <v>599</v>
      </c>
      <c r="F529" s="247" t="str">
        <f>IF(ISNUMBER(KPIs!AC8),KPIs!AC8,"")</f>
        <v/>
      </c>
      <c r="G529" s="247" t="str">
        <f>IF(ISNUMBER(KPIs!$C$8),KPIs!$C$8,"")</f>
        <v/>
      </c>
      <c r="H529" s="199" t="str">
        <f>IFERROR(INDEX(_TARGETS!$E$2:$E$17,MATCH($C529,_TARGETS!$A$2:$A$17,0))&amp;"","")</f>
        <v/>
      </c>
      <c r="I529" s="199" t="str">
        <f t="shared" si="40"/>
        <v/>
      </c>
      <c r="J529" s="193" t="str">
        <f t="shared" si="41"/>
        <v>Monthly</v>
      </c>
      <c r="K529" s="248">
        <f>Datos!AC37</f>
        <v>0</v>
      </c>
      <c r="M529" s="193">
        <f>INDEX(_TARGETS!$J$2:$J$17,MATCH($C529,_TARGETS!$A$2:$A$17,0))</f>
        <v>1</v>
      </c>
      <c r="N529" s="193" t="str">
        <f>INDEX(_TARGETS!$D$2:$D$17,MATCH($C529,_TARGETS!$A$2:$A$17,0))</f>
        <v>casos</v>
      </c>
      <c r="O529" s="193" t="str">
        <f>IF(NOT(ISNUMBER(F529)),"MISSING",IF((COUNTBLANK(Datos!AC12)+COUNTBLANK(Datos!AC13)+COUNTBLANK(Datos!AC37))&gt;0,"INCOMPLETE","OK"))</f>
        <v>MISSING</v>
      </c>
      <c r="P529" s="193" t="str">
        <f>INDEX(_TARGETS!$K$2:$K$17,MATCH($C529,_TARGETS!$A$2:$A$17,0))</f>
        <v>OPS (carga manual en Datos)</v>
      </c>
      <c r="Q529" s="193" t="str">
        <f t="shared" si="42"/>
        <v>202809|FAC|Monthly</v>
      </c>
      <c r="R529" s="193" t="str">
        <f>INDEX(_TARGETS!$H$2:$H$17,MATCH($C529,_TARGETS!$A$2:$A$17,0))</f>
        <v>Solo reporte</v>
      </c>
      <c r="S529" s="193" t="str">
        <f t="shared" si="43"/>
        <v/>
      </c>
      <c r="T529" s="193" t="str">
        <f t="shared" si="44"/>
        <v/>
      </c>
    </row>
    <row r="530" spans="1:20" ht="13.5" customHeight="1" x14ac:dyDescent="0.3">
      <c r="A530" s="245">
        <f>KPIs!$AC$3</f>
        <v>46997</v>
      </c>
      <c r="B530" s="199" t="str">
        <f>KPIs!AC$4</f>
        <v>Compresora</v>
      </c>
      <c r="C530" s="31" t="s">
        <v>57</v>
      </c>
      <c r="D530" s="199" t="str">
        <f>KPIs!$A$10</f>
        <v>4 · Accidentes vehiculares severos por millón de km</v>
      </c>
      <c r="E530" s="31" t="s">
        <v>599</v>
      </c>
      <c r="F530" s="247" t="str">
        <f>IF(ISNUMBER(KPIs!AC10),KPIs!AC10,"")</f>
        <v/>
      </c>
      <c r="G530" s="247" t="str">
        <f>IF(ISNUMBER(KPIs!$C$10),KPIs!$C$10,"")</f>
        <v/>
      </c>
      <c r="H530" s="199" t="str">
        <f>IFERROR(INDEX(_TARGETS!$E$2:$E$17,MATCH($C530,_TARGETS!$A$2:$A$17,0))&amp;"","")</f>
        <v/>
      </c>
      <c r="I530" s="199" t="str">
        <f t="shared" si="40"/>
        <v/>
      </c>
      <c r="J530" s="193" t="str">
        <f t="shared" si="41"/>
        <v>Monthly</v>
      </c>
      <c r="K530" s="193">
        <f>Datos!AC39+Datos!AC40+Datos!AC41</f>
        <v>0</v>
      </c>
      <c r="L530" s="248">
        <f>Datos!AC47</f>
        <v>0</v>
      </c>
      <c r="M530" s="193">
        <f>INDEX(_TARGETS!$J$2:$J$17,MATCH($C530,_TARGETS!$A$2:$A$17,0))</f>
        <v>1000000</v>
      </c>
      <c r="N530" s="193" t="str">
        <f>INDEX(_TARGETS!$D$2:$D$17,MATCH($C530,_TARGETS!$A$2:$A$17,0))</f>
        <v>eventos / 10^6 km</v>
      </c>
      <c r="O530" s="193" t="str">
        <f>IF(NOT(ISNUMBER(F530)),"MISSING",IF((COUNTBLANK(Datos!AC44)+COUNTBLANK(Datos!AC45)+COUNTBLANK(Datos!AC46)+COUNTBLANK(Datos!AC39)+COUNTBLANK(Datos!AC40)+COUNTBLANK(Datos!AC41))&gt;0,"INCOMPLETE","OK"))</f>
        <v>MISSING</v>
      </c>
      <c r="P530" s="193" t="str">
        <f>INDEX(_TARGETS!$K$2:$K$17,MATCH($C530,_TARGETS!$A$2:$A$17,0))</f>
        <v>OPS (eventos) + Full Control GPS (km) - carga manual en Datos</v>
      </c>
      <c r="Q530" s="193" t="str">
        <f t="shared" si="42"/>
        <v>202809|SVCR|Monthly</v>
      </c>
      <c r="R530" s="193" t="str">
        <f>INDEX(_TARGETS!$H$2:$H$17,MATCH($C530,_TARGETS!$A$2:$A$17,0))</f>
        <v>Solo reporte</v>
      </c>
      <c r="S530" s="193" t="str">
        <f t="shared" si="43"/>
        <v/>
      </c>
      <c r="T530" s="193" t="str">
        <f t="shared" si="44"/>
        <v/>
      </c>
    </row>
    <row r="531" spans="1:20" ht="13.5" customHeight="1" x14ac:dyDescent="0.3">
      <c r="A531" s="245">
        <f>KPIs!$AC$3</f>
        <v>46997</v>
      </c>
      <c r="B531" s="199" t="str">
        <f>KPIs!AC$4</f>
        <v>Compresora</v>
      </c>
      <c r="C531" s="31" t="s">
        <v>61</v>
      </c>
      <c r="D531" s="199" t="str">
        <f>KPIs!$A$11</f>
        <v>5 · Accidentes vehiculares totales por millón de km</v>
      </c>
      <c r="E531" s="31" t="s">
        <v>599</v>
      </c>
      <c r="F531" s="247" t="str">
        <f>IF(ISNUMBER(KPIs!AC11),KPIs!AC11,"")</f>
        <v/>
      </c>
      <c r="G531" s="247">
        <f>IF(ISNUMBER(KPIs!$C$11),KPIs!$C$11,"")</f>
        <v>0.79</v>
      </c>
      <c r="H531" s="199" t="str">
        <f>IFERROR(INDEX(_TARGETS!$E$2:$E$17,MATCH($C531,_TARGETS!$A$2:$A$17,0))&amp;"","")</f>
        <v>≤</v>
      </c>
      <c r="I531" s="199" t="str">
        <f t="shared" si="40"/>
        <v/>
      </c>
      <c r="J531" s="193" t="str">
        <f t="shared" si="41"/>
        <v>Monthly</v>
      </c>
      <c r="K531" s="193">
        <f>Datos!AC39+Datos!AC40+Datos!AC41+Datos!AC42</f>
        <v>0</v>
      </c>
      <c r="L531" s="248">
        <f>Datos!AC47</f>
        <v>0</v>
      </c>
      <c r="M531" s="193">
        <f>INDEX(_TARGETS!$J$2:$J$17,MATCH($C531,_TARGETS!$A$2:$A$17,0))</f>
        <v>1000000</v>
      </c>
      <c r="N531" s="193" t="str">
        <f>INDEX(_TARGETS!$D$2:$D$17,MATCH($C531,_TARGETS!$A$2:$A$17,0))</f>
        <v>eventos / 10^6 km</v>
      </c>
      <c r="O531" s="193" t="str">
        <f>IF(NOT(ISNUMBER(F531)),"MISSING",IF((COUNTBLANK(Datos!AC44)+COUNTBLANK(Datos!AC45)+COUNTBLANK(Datos!AC46)+COUNTBLANK(Datos!AC39)+COUNTBLANK(Datos!AC40)+COUNTBLANK(Datos!AC41)+COUNTBLANK(Datos!AC42))&gt;0,"INCOMPLETE","OK"))</f>
        <v>MISSING</v>
      </c>
      <c r="P531" s="193" t="str">
        <f>INDEX(_TARGETS!$K$2:$K$17,MATCH($C531,_TARGETS!$A$2:$A$17,0))</f>
        <v>OPS (eventos) + Full Control GPS (km) - carga manual en Datos</v>
      </c>
      <c r="Q531" s="193" t="str">
        <f t="shared" si="42"/>
        <v>202809|TVCR|Monthly</v>
      </c>
      <c r="R531" s="193" t="str">
        <f>INDEX(_TARGETS!$H$2:$H$17,MATCH($C531,_TARGETS!$A$2:$A$17,0))</f>
        <v>Definida</v>
      </c>
      <c r="S531" s="193" t="str">
        <f t="shared" si="43"/>
        <v/>
      </c>
      <c r="T531" s="193" t="str">
        <f t="shared" si="44"/>
        <v/>
      </c>
    </row>
    <row r="532" spans="1:20" ht="13.5" customHeight="1" x14ac:dyDescent="0.3">
      <c r="A532" s="245">
        <f>KPIs!$AC$3</f>
        <v>46997</v>
      </c>
      <c r="B532" s="199" t="str">
        <f>KPIs!AC$4</f>
        <v>Compresora</v>
      </c>
      <c r="C532" s="31" t="s">
        <v>63</v>
      </c>
      <c r="D532" s="199" t="str">
        <f>KPIs!$A$13</f>
        <v>6 · Observaciones de seguridad por persona</v>
      </c>
      <c r="E532" s="31" t="s">
        <v>599</v>
      </c>
      <c r="F532" s="247" t="str">
        <f>IF(ISNUMBER(KPIs!AC13),KPIs!AC13,"")</f>
        <v/>
      </c>
      <c r="G532" s="247">
        <f>IF(ISNUMBER(KPIs!$C$13),KPIs!$C$13,"")</f>
        <v>1</v>
      </c>
      <c r="H532" s="199" t="str">
        <f>IFERROR(INDEX(_TARGETS!$E$2:$E$17,MATCH($C532,_TARGETS!$A$2:$A$17,0))&amp;"","")</f>
        <v>≥</v>
      </c>
      <c r="I532" s="199" t="str">
        <f t="shared" si="40"/>
        <v/>
      </c>
      <c r="J532" s="193" t="str">
        <f t="shared" si="41"/>
        <v>Monthly</v>
      </c>
      <c r="K532" s="248" t="str">
        <f>IF(COUNT(Datos!AC28:AC29)=0,"",SUM(Datos!AC28:AC29))</f>
        <v/>
      </c>
      <c r="L532" s="248">
        <f>Datos!AC11</f>
        <v>0</v>
      </c>
      <c r="M532" s="193">
        <f>INDEX(_TARGETS!$J$2:$J$17,MATCH($C532,_TARGETS!$A$2:$A$17,0))</f>
        <v>1</v>
      </c>
      <c r="N532" s="193" t="str">
        <f>INDEX(_TARGETS!$D$2:$D$17,MATCH($C532,_TARGETS!$A$2:$A$17,0))</f>
        <v>obs / persona</v>
      </c>
      <c r="O532" s="193" t="str">
        <f>IF(NOT(ISNUMBER(F532)),"MISSING",IF((COUNTBLANK(Datos!AC9)+COUNTBLANK(Datos!AC10)+IF(COUNT(Datos!AC28:AC29)=0,1,0))&gt;0,"INCOMPLETE","OK"))</f>
        <v>MISSING</v>
      </c>
      <c r="P532" s="193" t="str">
        <f>INDEX(_TARGETS!$K$2:$K$17,MATCH($C532,_TARGETS!$A$2:$A$17,0))</f>
        <v>OPS (carga manual en Datos)</v>
      </c>
      <c r="Q532" s="193" t="str">
        <f t="shared" si="42"/>
        <v>202809|OBS|Monthly</v>
      </c>
      <c r="R532" s="193" t="str">
        <f>INDEX(_TARGETS!$H$2:$H$17,MATCH($C532,_TARGETS!$A$2:$A$17,0))</f>
        <v>PROVISORIA · referencia del subcontratista (OPS: 1 obs/persona); meta y población en definición</v>
      </c>
      <c r="S532" s="193" t="str">
        <f t="shared" si="43"/>
        <v/>
      </c>
      <c r="T532" s="193" t="str">
        <f t="shared" si="44"/>
        <v/>
      </c>
    </row>
    <row r="533" spans="1:20" ht="13.5" customHeight="1" x14ac:dyDescent="0.3">
      <c r="A533" s="245">
        <f>KPIs!$AC$3</f>
        <v>46997</v>
      </c>
      <c r="B533" s="199" t="str">
        <f>KPIs!AC$4</f>
        <v>Compresora</v>
      </c>
      <c r="C533" s="31" t="s">
        <v>71</v>
      </c>
      <c r="D533" s="199" t="str">
        <f>KPIs!$A$14</f>
        <v>7 · Investigaciones de accidentes: días promedio de cierre</v>
      </c>
      <c r="E533" s="31" t="s">
        <v>599</v>
      </c>
      <c r="F533" s="247" t="str">
        <f>IF(ISNUMBER(KPIs!AC14),KPIs!AC14,"")</f>
        <v/>
      </c>
      <c r="G533" s="247">
        <f>IF(ISNUMBER(KPIs!$C$14),KPIs!$C$14,"")</f>
        <v>20</v>
      </c>
      <c r="H533" s="199" t="str">
        <f>IFERROR(INDEX(_TARGETS!$E$2:$E$17,MATCH($C533,_TARGETS!$A$2:$A$17,0))&amp;"","")</f>
        <v>≤</v>
      </c>
      <c r="I533" s="199" t="str">
        <f t="shared" si="40"/>
        <v/>
      </c>
      <c r="J533" s="193" t="str">
        <f t="shared" si="41"/>
        <v>Monthly</v>
      </c>
      <c r="K533" s="248">
        <f>Datos!AC31</f>
        <v>0</v>
      </c>
      <c r="L533" s="248">
        <f>Datos!AC30</f>
        <v>0</v>
      </c>
      <c r="M533" s="193">
        <f>INDEX(_TARGETS!$J$2:$J$17,MATCH($C533,_TARGETS!$A$2:$A$17,0))</f>
        <v>1</v>
      </c>
      <c r="N533" s="193" t="str">
        <f>INDEX(_TARGETS!$D$2:$D$17,MATCH($C533,_TARGETS!$A$2:$A$17,0))</f>
        <v>días</v>
      </c>
      <c r="O533" s="193" t="str">
        <f>IF(NOT(ISNUMBER(F533)),"MISSING",IF((COUNTBLANK(Datos!AC30)+COUNTBLANK(Datos!AC31))&gt;0,"INCOMPLETE","OK"))</f>
        <v>MISSING</v>
      </c>
      <c r="P533" s="193" t="str">
        <f>INDEX(_TARGETS!$K$2:$K$17,MATCH($C533,_TARGETS!$A$2:$A$17,0))</f>
        <v>OPS (carga manual en Datos)</v>
      </c>
      <c r="Q533" s="193" t="str">
        <f t="shared" si="42"/>
        <v>202809|INV|Monthly</v>
      </c>
      <c r="R533" s="193" t="str">
        <f>INDEX(_TARGETS!$H$2:$H$17,MATCH($C533,_TARGETS!$A$2:$A$17,0))</f>
        <v>Definida</v>
      </c>
      <c r="S533" s="193" t="str">
        <f t="shared" si="43"/>
        <v/>
      </c>
      <c r="T533" s="193" t="str">
        <f t="shared" si="44"/>
        <v/>
      </c>
    </row>
    <row r="534" spans="1:20" ht="13.5" customHeight="1" x14ac:dyDescent="0.3">
      <c r="A534" s="245">
        <f>KPIs!$AC$3</f>
        <v>46997</v>
      </c>
      <c r="B534" s="199" t="str">
        <f>KPIs!AC$4</f>
        <v>Compresora</v>
      </c>
      <c r="C534" s="31" t="s">
        <v>76</v>
      </c>
      <c r="D534" s="199" t="str">
        <f>KPIs!$A$16</f>
        <v>8 · % de capacitación en seguridad</v>
      </c>
      <c r="E534" s="31" t="s">
        <v>599</v>
      </c>
      <c r="F534" s="247" t="str">
        <f>IF(ISNUMBER(KPIs!AC16),KPIs!AC16,"")</f>
        <v/>
      </c>
      <c r="G534" s="247">
        <f>IF(ISNUMBER(KPIs!$C$16),KPIs!$C$16,"")</f>
        <v>0.01</v>
      </c>
      <c r="H534" s="199" t="str">
        <f>IFERROR(INDEX(_TARGETS!$E$2:$E$17,MATCH($C534,_TARGETS!$A$2:$A$17,0))&amp;"","")</f>
        <v>≥</v>
      </c>
      <c r="I534" s="199" t="str">
        <f t="shared" si="40"/>
        <v/>
      </c>
      <c r="J534" s="193" t="str">
        <f t="shared" si="41"/>
        <v>Monthly</v>
      </c>
      <c r="K534" s="248">
        <f>Datos!AC18</f>
        <v>0</v>
      </c>
      <c r="L534" s="248">
        <f>Datos!AC14</f>
        <v>0</v>
      </c>
      <c r="M534" s="193">
        <f>INDEX(_TARGETS!$J$2:$J$17,MATCH($C534,_TARGETS!$A$2:$A$17,0))</f>
        <v>1</v>
      </c>
      <c r="N534" s="193" t="str">
        <f>INDEX(_TARGETS!$D$2:$D$17,MATCH($C534,_TARGETS!$A$2:$A$17,0))</f>
        <v>% (fracción)</v>
      </c>
      <c r="O534" s="193" t="str">
        <f>IF(NOT(ISNUMBER(F534)),"MISSING",IF((COUNTBLANK(Datos!AC16)+COUNTBLANK(Datos!AC17)+COUNTBLANK(Datos!AC12)+COUNTBLANK(Datos!AC13))&gt;0,"INCOMPLETE","OK"))</f>
        <v>MISSING</v>
      </c>
      <c r="P534" s="193" t="str">
        <f>INDEX(_TARGETS!$K$2:$K$17,MATCH($C534,_TARGETS!$A$2:$A$17,0))</f>
        <v>OPS (carga manual en Datos)</v>
      </c>
      <c r="Q534" s="193" t="str">
        <f t="shared" si="42"/>
        <v>202809|HCS|Monthly</v>
      </c>
      <c r="R534" s="193" t="str">
        <f>INDEX(_TARGETS!$H$2:$H$17,MATCH($C534,_TARGETS!$A$2:$A$17,0))</f>
        <v>Definida</v>
      </c>
      <c r="S534" s="193" t="str">
        <f t="shared" si="43"/>
        <v/>
      </c>
      <c r="T534" s="193" t="str">
        <f t="shared" si="44"/>
        <v/>
      </c>
    </row>
    <row r="535" spans="1:20" ht="13.5" customHeight="1" x14ac:dyDescent="0.3">
      <c r="A535" s="245">
        <f>KPIs!$AC$3</f>
        <v>46997</v>
      </c>
      <c r="B535" s="199" t="str">
        <f>KPIs!AC$4</f>
        <v>Compresora</v>
      </c>
      <c r="C535" s="31" t="s">
        <v>80</v>
      </c>
      <c r="D535" s="199" t="str">
        <f>KPIs!$A$17</f>
        <v>9 · Horas de capacitación por persona</v>
      </c>
      <c r="E535" s="31" t="s">
        <v>599</v>
      </c>
      <c r="F535" s="247" t="str">
        <f>IF(ISNUMBER(KPIs!AC17),KPIs!AC17,"")</f>
        <v/>
      </c>
      <c r="G535" s="247" t="str">
        <f>IF(ISNUMBER(KPIs!$C$17),KPIs!$C$17,"")</f>
        <v/>
      </c>
      <c r="H535" s="199" t="str">
        <f>IFERROR(INDEX(_TARGETS!$E$2:$E$17,MATCH($C535,_TARGETS!$A$2:$A$17,0))&amp;"","")</f>
        <v/>
      </c>
      <c r="I535" s="199" t="str">
        <f t="shared" si="40"/>
        <v/>
      </c>
      <c r="J535" s="193" t="str">
        <f t="shared" si="41"/>
        <v>Monthly</v>
      </c>
      <c r="K535" s="248">
        <f>Datos!AC18</f>
        <v>0</v>
      </c>
      <c r="L535" s="248">
        <f>Datos!AC11</f>
        <v>0</v>
      </c>
      <c r="M535" s="193">
        <f>INDEX(_TARGETS!$J$2:$J$17,MATCH($C535,_TARGETS!$A$2:$A$17,0))</f>
        <v>1</v>
      </c>
      <c r="N535" s="193" t="str">
        <f>INDEX(_TARGETS!$D$2:$D$17,MATCH($C535,_TARGETS!$A$2:$A$17,0))</f>
        <v>h / persona</v>
      </c>
      <c r="O535" s="193" t="str">
        <f>IF(NOT(ISNUMBER(F535)),"MISSING",IF((COUNTBLANK(Datos!AC16)+COUNTBLANK(Datos!AC17)+COUNTBLANK(Datos!AC9)+COUNTBLANK(Datos!AC10))&gt;0,"INCOMPLETE","OK"))</f>
        <v>MISSING</v>
      </c>
      <c r="P535" s="193" t="str">
        <f>INDEX(_TARGETS!$K$2:$K$17,MATCH($C535,_TARGETS!$A$2:$A$17,0))</f>
        <v>OPS (carga manual en Datos)</v>
      </c>
      <c r="Q535" s="193" t="str">
        <f t="shared" si="42"/>
        <v>202809|HCSA|Monthly</v>
      </c>
      <c r="R535" s="193" t="str">
        <f>INDEX(_TARGETS!$H$2:$H$17,MATCH($C535,_TARGETS!$A$2:$A$17,0))</f>
        <v>Solo reporte</v>
      </c>
      <c r="S535" s="193" t="str">
        <f t="shared" si="43"/>
        <v/>
      </c>
      <c r="T535" s="193" t="str">
        <f t="shared" si="44"/>
        <v/>
      </c>
    </row>
    <row r="536" spans="1:20" ht="13.5" customHeight="1" x14ac:dyDescent="0.3">
      <c r="A536" s="245">
        <f>KPIs!$AC$3</f>
        <v>46997</v>
      </c>
      <c r="B536" s="199" t="str">
        <f>KPIs!AC$4</f>
        <v>Compresora</v>
      </c>
      <c r="C536" s="31" t="s">
        <v>83</v>
      </c>
      <c r="D536" s="199" t="str">
        <f>KPIs!$A$18</f>
        <v>10 · Cumplimiento de simulacros (emergencia y operativos)</v>
      </c>
      <c r="E536" s="31" t="s">
        <v>599</v>
      </c>
      <c r="F536" s="247" t="str">
        <f>IF(ISNUMBER(KPIs!AC18),KPIs!AC18,"")</f>
        <v/>
      </c>
      <c r="G536" s="247">
        <f>IF(ISNUMBER(KPIs!$C$18),KPIs!$C$18,"")</f>
        <v>1</v>
      </c>
      <c r="H536" s="199" t="str">
        <f>IFERROR(INDEX(_TARGETS!$E$2:$E$17,MATCH($C536,_TARGETS!$A$2:$A$17,0))&amp;"","")</f>
        <v>≥</v>
      </c>
      <c r="I536" s="199" t="str">
        <f t="shared" si="40"/>
        <v/>
      </c>
      <c r="J536" s="193" t="str">
        <f t="shared" si="41"/>
        <v>Monthly</v>
      </c>
      <c r="K536" s="248">
        <f>Datos!AC20</f>
        <v>0</v>
      </c>
      <c r="L536" s="248">
        <f>Datos!AC21</f>
        <v>0</v>
      </c>
      <c r="M536" s="193">
        <f>INDEX(_TARGETS!$J$2:$J$17,MATCH($C536,_TARGETS!$A$2:$A$17,0))</f>
        <v>1</v>
      </c>
      <c r="N536" s="193" t="str">
        <f>INDEX(_TARGETS!$D$2:$D$17,MATCH($C536,_TARGETS!$A$2:$A$17,0))</f>
        <v>% (fracción)</v>
      </c>
      <c r="O536" s="193" t="str">
        <f>IF(NOT(ISNUMBER(F536)),"MISSING",IF((COUNTBLANK(Datos!AC20)+COUNTBLANK(Datos!AC21))&gt;0,"INCOMPLETE","OK"))</f>
        <v>MISSING</v>
      </c>
      <c r="P536" s="193" t="str">
        <f>INDEX(_TARGETS!$K$2:$K$17,MATCH($C536,_TARGETS!$A$2:$A$17,0))</f>
        <v>OPS (carga manual en Datos)</v>
      </c>
      <c r="Q536" s="193" t="str">
        <f t="shared" si="42"/>
        <v>202809|CPSE|Monthly</v>
      </c>
      <c r="R536" s="193" t="str">
        <f>INDEX(_TARGETS!$H$2:$H$17,MATCH($C536,_TARGETS!$A$2:$A$17,0))</f>
        <v>Definida</v>
      </c>
      <c r="S536" s="193" t="str">
        <f t="shared" si="43"/>
        <v/>
      </c>
      <c r="T536" s="193" t="str">
        <f t="shared" si="44"/>
        <v/>
      </c>
    </row>
    <row r="537" spans="1:20" ht="13.5" customHeight="1" x14ac:dyDescent="0.3">
      <c r="A537" s="245">
        <f>KPIs!$AC$3</f>
        <v>46997</v>
      </c>
      <c r="B537" s="199" t="str">
        <f>KPIs!AC$4</f>
        <v>Compresora</v>
      </c>
      <c r="C537" s="31" t="s">
        <v>85</v>
      </c>
      <c r="D537" s="199" t="str">
        <f>KPIs!$A$19</f>
        <v>10b · Cumplimiento de acciones de mejora de simulacros</v>
      </c>
      <c r="E537" s="31" t="s">
        <v>599</v>
      </c>
      <c r="F537" s="247" t="str">
        <f>IF(ISNUMBER(KPIs!AC19),KPIs!AC19,"")</f>
        <v/>
      </c>
      <c r="G537" s="247" t="str">
        <f>IF(ISNUMBER(KPIs!$C$19),KPIs!$C$19,"")</f>
        <v/>
      </c>
      <c r="H537" s="199" t="str">
        <f>IFERROR(INDEX(_TARGETS!$E$2:$E$17,MATCH($C537,_TARGETS!$A$2:$A$17,0))&amp;"","")</f>
        <v/>
      </c>
      <c r="I537" s="199" t="str">
        <f t="shared" si="40"/>
        <v/>
      </c>
      <c r="J537" s="193" t="str">
        <f t="shared" si="41"/>
        <v>Monthly</v>
      </c>
      <c r="K537" s="248">
        <f>Datos!AC23</f>
        <v>0</v>
      </c>
      <c r="L537" s="248">
        <f>Datos!AC22</f>
        <v>0</v>
      </c>
      <c r="M537" s="193">
        <f>INDEX(_TARGETS!$J$2:$J$17,MATCH($C537,_TARGETS!$A$2:$A$17,0))</f>
        <v>1</v>
      </c>
      <c r="N537" s="193" t="str">
        <f>INDEX(_TARGETS!$D$2:$D$17,MATCH($C537,_TARGETS!$A$2:$A$17,0))</f>
        <v>% (fracción)</v>
      </c>
      <c r="O537" s="193" t="str">
        <f>IF(NOT(ISNUMBER(F537)),"MISSING",IF((COUNTBLANK(Datos!AC23)+COUNTBLANK(Datos!AC22))&gt;0,"INCOMPLETE","OK"))</f>
        <v>MISSING</v>
      </c>
      <c r="P537" s="193" t="str">
        <f>INDEX(_TARGETS!$K$2:$K$17,MATCH($C537,_TARGETS!$A$2:$A$17,0))</f>
        <v>OPS (carga manual en Datos)</v>
      </c>
      <c r="Q537" s="193" t="str">
        <f t="shared" si="42"/>
        <v>202809|CAMS|Monthly</v>
      </c>
      <c r="R537" s="193" t="str">
        <f>INDEX(_TARGETS!$H$2:$H$17,MATCH($C537,_TARGETS!$A$2:$A$17,0))</f>
        <v>Solo reporte</v>
      </c>
      <c r="S537" s="193" t="str">
        <f t="shared" si="43"/>
        <v/>
      </c>
      <c r="T537" s="193" t="str">
        <f t="shared" si="44"/>
        <v/>
      </c>
    </row>
    <row r="538" spans="1:20" ht="13.5" customHeight="1" x14ac:dyDescent="0.3">
      <c r="A538" s="245">
        <f>KPIs!$AC$3</f>
        <v>46997</v>
      </c>
      <c r="B538" s="199" t="str">
        <f>KPIs!AC$4</f>
        <v>Compresora</v>
      </c>
      <c r="C538" s="31" t="s">
        <v>87</v>
      </c>
      <c r="D538" s="199" t="str">
        <f>KPIs!$A$21</f>
        <v>11 · Cumplimiento de caminatas gerenciales</v>
      </c>
      <c r="E538" s="31" t="s">
        <v>599</v>
      </c>
      <c r="F538" s="247" t="str">
        <f>IF(ISNUMBER(KPIs!AC21),KPIs!AC21,"")</f>
        <v/>
      </c>
      <c r="G538" s="247">
        <f>IF(ISNUMBER(KPIs!$C$21),KPIs!$C$21,"")</f>
        <v>1</v>
      </c>
      <c r="H538" s="199" t="str">
        <f>IFERROR(INDEX(_TARGETS!$E$2:$E$17,MATCH($C538,_TARGETS!$A$2:$A$17,0))&amp;"","")</f>
        <v>≥</v>
      </c>
      <c r="I538" s="199" t="str">
        <f t="shared" si="40"/>
        <v/>
      </c>
      <c r="J538" s="193" t="str">
        <f t="shared" si="41"/>
        <v>Monthly</v>
      </c>
      <c r="K538" s="248">
        <f>Datos!AC24</f>
        <v>0</v>
      </c>
      <c r="L538" s="248">
        <f>Datos!AC25</f>
        <v>0</v>
      </c>
      <c r="M538" s="193">
        <f>INDEX(_TARGETS!$J$2:$J$17,MATCH($C538,_TARGETS!$A$2:$A$17,0))</f>
        <v>1</v>
      </c>
      <c r="N538" s="193" t="str">
        <f>INDEX(_TARGETS!$D$2:$D$17,MATCH($C538,_TARGETS!$A$2:$A$17,0))</f>
        <v>% (fracción)</v>
      </c>
      <c r="O538" s="193" t="str">
        <f>IF(NOT(ISNUMBER(F538)),"MISSING",IF((COUNTBLANK(Datos!AC24)+COUNTBLANK(Datos!AC25))&gt;0,"INCOMPLETE","OK"))</f>
        <v>MISSING</v>
      </c>
      <c r="P538" s="193" t="str">
        <f>INDEX(_TARGETS!$K$2:$K$17,MATCH($C538,_TARGETS!$A$2:$A$17,0))</f>
        <v>OPS (carga manual en Datos)</v>
      </c>
      <c r="Q538" s="193" t="str">
        <f t="shared" si="42"/>
        <v>202809|ICCS|Monthly</v>
      </c>
      <c r="R538" s="193" t="str">
        <f>INDEX(_TARGETS!$H$2:$H$17,MATCH($C538,_TARGETS!$A$2:$A$17,0))</f>
        <v>Definida</v>
      </c>
      <c r="S538" s="193" t="str">
        <f t="shared" si="43"/>
        <v/>
      </c>
      <c r="T538" s="193" t="str">
        <f t="shared" si="44"/>
        <v/>
      </c>
    </row>
    <row r="539" spans="1:20" ht="13.5" customHeight="1" x14ac:dyDescent="0.3">
      <c r="A539" s="245">
        <f>KPIs!$AC$3</f>
        <v>46997</v>
      </c>
      <c r="B539" s="199" t="str">
        <f>KPIs!AC$4</f>
        <v>Compresora</v>
      </c>
      <c r="C539" s="31" t="s">
        <v>89</v>
      </c>
      <c r="D539" s="199" t="str">
        <f>KPIs!$A$22</f>
        <v>12 · Cumplimiento de comités y subcomités de seguridad</v>
      </c>
      <c r="E539" s="31" t="s">
        <v>599</v>
      </c>
      <c r="F539" s="247" t="str">
        <f>IF(ISNUMBER(KPIs!AC22),KPIs!AC22,"")</f>
        <v/>
      </c>
      <c r="G539" s="247">
        <f>IF(ISNUMBER(KPIs!$C$22),KPIs!$C$22,"")</f>
        <v>1</v>
      </c>
      <c r="H539" s="199" t="str">
        <f>IFERROR(INDEX(_TARGETS!$E$2:$E$17,MATCH($C539,_TARGETS!$A$2:$A$17,0))&amp;"","")</f>
        <v>≥</v>
      </c>
      <c r="I539" s="199" t="str">
        <f t="shared" si="40"/>
        <v/>
      </c>
      <c r="J539" s="193" t="str">
        <f t="shared" si="41"/>
        <v>Monthly</v>
      </c>
      <c r="K539" s="248">
        <f>Datos!AC26</f>
        <v>0</v>
      </c>
      <c r="L539" s="248">
        <f>Datos!AC27</f>
        <v>0</v>
      </c>
      <c r="M539" s="193">
        <f>INDEX(_TARGETS!$J$2:$J$17,MATCH($C539,_TARGETS!$A$2:$A$17,0))</f>
        <v>1</v>
      </c>
      <c r="N539" s="193" t="str">
        <f>INDEX(_TARGETS!$D$2:$D$17,MATCH($C539,_TARGETS!$A$2:$A$17,0))</f>
        <v>% (fracción)</v>
      </c>
      <c r="O539" s="193" t="str">
        <f>IF(NOT(ISNUMBER(F539)),"MISSING",IF((COUNTBLANK(Datos!AC26)+COUNTBLANK(Datos!AC27))&gt;0,"INCOMPLETE","OK"))</f>
        <v>MISSING</v>
      </c>
      <c r="P539" s="193" t="str">
        <f>INDEX(_TARGETS!$K$2:$K$17,MATCH($C539,_TARGETS!$A$2:$A$17,0))</f>
        <v>OPS (carga manual en Datos)</v>
      </c>
      <c r="Q539" s="193" t="str">
        <f t="shared" si="42"/>
        <v>202809|CCS|Monthly</v>
      </c>
      <c r="R539" s="193" t="str">
        <f>INDEX(_TARGETS!$H$2:$H$17,MATCH($C539,_TARGETS!$A$2:$A$17,0))</f>
        <v>Definida</v>
      </c>
      <c r="S539" s="193" t="str">
        <f t="shared" si="43"/>
        <v/>
      </c>
      <c r="T539" s="193" t="str">
        <f t="shared" si="44"/>
        <v/>
      </c>
    </row>
    <row r="540" spans="1:20" ht="13.5" customHeight="1" x14ac:dyDescent="0.3">
      <c r="A540" s="245">
        <f>KPIs!$AC$3</f>
        <v>46997</v>
      </c>
      <c r="B540" s="199" t="str">
        <f>KPIs!AC$4</f>
        <v>Compresora</v>
      </c>
      <c r="C540" s="31" t="s">
        <v>91</v>
      </c>
      <c r="D540" s="199" t="str">
        <f>KPIs!$A$23</f>
        <v>13 · Días promedio para cerrar hallazgos</v>
      </c>
      <c r="E540" s="31" t="s">
        <v>599</v>
      </c>
      <c r="F540" s="247" t="str">
        <f>IF(ISNUMBER(KPIs!AC23),KPIs!AC23,"")</f>
        <v/>
      </c>
      <c r="G540" s="247" t="str">
        <f>IF(ISNUMBER(KPIs!$C$23),KPIs!$C$23,"")</f>
        <v/>
      </c>
      <c r="H540" s="199" t="str">
        <f>IFERROR(INDEX(_TARGETS!$E$2:$E$17,MATCH($C540,_TARGETS!$A$2:$A$17,0))&amp;"","")</f>
        <v>≤</v>
      </c>
      <c r="I540" s="199" t="str">
        <f t="shared" si="40"/>
        <v/>
      </c>
      <c r="J540" s="193" t="str">
        <f t="shared" si="41"/>
        <v>Monthly</v>
      </c>
      <c r="K540" s="248">
        <f>Datos!AC68</f>
        <v>0</v>
      </c>
      <c r="L540" s="248">
        <f>Datos!AC67</f>
        <v>0</v>
      </c>
      <c r="M540" s="193">
        <f>INDEX(_TARGETS!$J$2:$J$17,MATCH($C540,_TARGETS!$A$2:$A$17,0))</f>
        <v>1</v>
      </c>
      <c r="N540" s="193" t="str">
        <f>INDEX(_TARGETS!$D$2:$D$17,MATCH($C540,_TARGETS!$A$2:$A$17,0))</f>
        <v>días</v>
      </c>
      <c r="O540" s="193" t="str">
        <f>IF(NOT(ISNUMBER(F540)),"MISSING","OK")</f>
        <v>MISSING</v>
      </c>
      <c r="P540" s="193" t="str">
        <f>INDEX(_TARGETS!$K$2:$K$17,MATCH($C540,_TARGETS!$A$2:$A$17,0))</f>
        <v>Plant Findings (hoja Observaciones-SMP)</v>
      </c>
      <c r="Q540" s="193" t="str">
        <f t="shared" si="42"/>
        <v>202809|DPAS|Monthly</v>
      </c>
      <c r="R540" s="193" t="str">
        <f>INDEX(_TARGETS!$H$2:$H$17,MATCH($C540,_TARGETS!$A$2:$A$17,0))</f>
        <v>Pendiente (meta 2027)</v>
      </c>
      <c r="S540" s="193" t="str">
        <f t="shared" si="43"/>
        <v/>
      </c>
      <c r="T540" s="193" t="str">
        <f t="shared" si="44"/>
        <v/>
      </c>
    </row>
    <row r="541" spans="1:20" ht="13.5" customHeight="1" x14ac:dyDescent="0.3">
      <c r="A541" s="245">
        <f>KPIs!$AC$3</f>
        <v>46997</v>
      </c>
      <c r="B541" s="199" t="str">
        <f>KPIs!AC$4</f>
        <v>Compresora</v>
      </c>
      <c r="C541" s="31" t="s">
        <v>39</v>
      </c>
      <c r="D541" s="199" t="str">
        <f>KPIs!$A$26</f>
        <v>1 · Frecuencia de casos con días perdidos · ACUMULADO</v>
      </c>
      <c r="E541" s="31" t="s">
        <v>600</v>
      </c>
      <c r="F541" s="247" t="str">
        <f>IF(ISNUMBER(KPIs!AC26),KPIs!AC26,"")</f>
        <v/>
      </c>
      <c r="G541" s="247">
        <f>IF(ISNUMBER(KPIs!$C$26),KPIs!$C$26,"")</f>
        <v>0</v>
      </c>
      <c r="H541" s="199" t="str">
        <f>IFERROR(INDEX(_TARGETS!$E$2:$E$17,MATCH($C541,_TARGETS!$A$2:$A$17,0))&amp;"","")</f>
        <v>≤</v>
      </c>
      <c r="I541" s="199" t="str">
        <f t="shared" si="40"/>
        <v/>
      </c>
      <c r="J541" s="193" t="str">
        <f t="shared" si="41"/>
        <v>Cumulative</v>
      </c>
      <c r="K541" s="193">
        <f>SUM(Datos!$D33:AC33)</f>
        <v>0</v>
      </c>
      <c r="L541" s="193">
        <f>SUM(Datos!$D14:AC14)</f>
        <v>48332</v>
      </c>
      <c r="M541" s="193">
        <f>INDEX(_TARGETS!$J$2:$J$17,MATCH($C541,_TARGETS!$A$2:$A$17,0))</f>
        <v>1000000</v>
      </c>
      <c r="N541" s="193" t="str">
        <f>INDEX(_TARGETS!$D$2:$D$17,MATCH($C541,_TARGETS!$A$2:$A$17,0))</f>
        <v>casos / 10^6 HH</v>
      </c>
      <c r="O541" s="193" t="str">
        <f>IF(NOT(ISNUMBER(F541)),IF(SUMPRODUCT(($C$2:$C$1300=C541)*($J$2:$J$1300="Monthly")*($A$2:$A$1300&lt;=A541)*ISNUMBER($K$2:$K$1300)*ISNUMBER($L$2:$L$1300)*($L$2:$L$1300=0)*($K$2:$K$1300&gt;0))&gt;0,"INCOMPLETE","MISSING"),O527)</f>
        <v>MISSING</v>
      </c>
      <c r="P541" s="193" t="str">
        <f>INDEX(_TARGETS!$K$2:$K$17,MATCH($C541,_TARGETS!$A$2:$A$17,0))</f>
        <v>OPS (carga manual en Datos)</v>
      </c>
      <c r="Q541" s="193" t="str">
        <f t="shared" si="42"/>
        <v>202809|DAFWCF|Cumulative</v>
      </c>
      <c r="R541" s="193" t="str">
        <f>INDEX(_TARGETS!$H$2:$H$17,MATCH($C541,_TARGETS!$A$2:$A$17,0))</f>
        <v>Definida</v>
      </c>
      <c r="S541" s="193">
        <f t="shared" si="43"/>
        <v>0</v>
      </c>
      <c r="T541" s="193" t="str">
        <f t="shared" si="44"/>
        <v/>
      </c>
    </row>
    <row r="542" spans="1:20" ht="13.5" customHeight="1" x14ac:dyDescent="0.3">
      <c r="A542" s="245">
        <f>KPIs!$AC$3</f>
        <v>46997</v>
      </c>
      <c r="B542" s="199" t="str">
        <f>KPIs!AC$4</f>
        <v>Compresora</v>
      </c>
      <c r="C542" s="31" t="s">
        <v>49</v>
      </c>
      <c r="D542" s="199" t="str">
        <f>KPIs!$A$27</f>
        <v>2 · Frecuencia de casos registrables · ACUMULADO</v>
      </c>
      <c r="E542" s="31" t="s">
        <v>600</v>
      </c>
      <c r="F542" s="247" t="str">
        <f>IF(ISNUMBER(KPIs!AC27),KPIs!AC27,"")</f>
        <v/>
      </c>
      <c r="G542" s="247">
        <f>IF(ISNUMBER(KPIs!$C$27),KPIs!$C$27,"")</f>
        <v>2.35</v>
      </c>
      <c r="H542" s="199" t="str">
        <f>IFERROR(INDEX(_TARGETS!$E$2:$E$17,MATCH($C542,_TARGETS!$A$2:$A$17,0))&amp;"","")</f>
        <v>≤</v>
      </c>
      <c r="I542" s="199" t="str">
        <f t="shared" si="40"/>
        <v/>
      </c>
      <c r="J542" s="193" t="str">
        <f t="shared" si="41"/>
        <v>Cumulative</v>
      </c>
      <c r="K542" s="193">
        <f>SUM(Datos!$D33:AC33)+SUM(Datos!$D34:AC34)+SUM(Datos!$D35:AC35)+SUM(Datos!$D36:AC36)</f>
        <v>0</v>
      </c>
      <c r="L542" s="193">
        <f>SUM(Datos!$D14:AC14)</f>
        <v>48332</v>
      </c>
      <c r="M542" s="193">
        <f>INDEX(_TARGETS!$J$2:$J$17,MATCH($C542,_TARGETS!$A$2:$A$17,0))</f>
        <v>1000000</v>
      </c>
      <c r="N542" s="193" t="str">
        <f>INDEX(_TARGETS!$D$2:$D$17,MATCH($C542,_TARGETS!$A$2:$A$17,0))</f>
        <v>casos / 10^6 HH</v>
      </c>
      <c r="O542" s="193" t="str">
        <f>IF(NOT(ISNUMBER(F542)),IF(SUMPRODUCT(($C$2:$C$1300=C542)*($J$2:$J$1300="Monthly")*($A$2:$A$1300&lt;=A542)*ISNUMBER($K$2:$K$1300)*ISNUMBER($L$2:$L$1300)*($L$2:$L$1300=0)*($K$2:$K$1300&gt;0))&gt;0,"INCOMPLETE","MISSING"),O528)</f>
        <v>MISSING</v>
      </c>
      <c r="P542" s="193" t="str">
        <f>INDEX(_TARGETS!$K$2:$K$17,MATCH($C542,_TARGETS!$A$2:$A$17,0))</f>
        <v>OPS (carga manual en Datos)</v>
      </c>
      <c r="Q542" s="193" t="str">
        <f t="shared" si="42"/>
        <v>202809|TRICF|Cumulative</v>
      </c>
      <c r="R542" s="193" t="str">
        <f>INDEX(_TARGETS!$H$2:$H$17,MATCH($C542,_TARGETS!$A$2:$A$17,0))</f>
        <v>Definida</v>
      </c>
      <c r="S542" s="193">
        <f t="shared" si="43"/>
        <v>0</v>
      </c>
      <c r="T542" s="193" t="str">
        <f t="shared" si="44"/>
        <v/>
      </c>
    </row>
    <row r="543" spans="1:20" ht="13.5" customHeight="1" x14ac:dyDescent="0.3">
      <c r="A543" s="245">
        <f>KPIs!$AC$3</f>
        <v>46997</v>
      </c>
      <c r="B543" s="199" t="str">
        <f>KPIs!AC$4</f>
        <v>Compresora</v>
      </c>
      <c r="C543" s="31" t="s">
        <v>51</v>
      </c>
      <c r="D543" s="199" t="str">
        <f>KPIs!$A$28</f>
        <v>3 · Casos de primeros auxilios · ACUMULADO</v>
      </c>
      <c r="E543" s="31" t="s">
        <v>600</v>
      </c>
      <c r="F543" s="247" t="str">
        <f>IF(ISNUMBER(KPIs!AC28),KPIs!AC28,"")</f>
        <v/>
      </c>
      <c r="G543" s="247" t="str">
        <f>IF(ISNUMBER(KPIs!$C$28),KPIs!$C$28,"")</f>
        <v/>
      </c>
      <c r="H543" s="199" t="str">
        <f>IFERROR(INDEX(_TARGETS!$E$2:$E$17,MATCH($C543,_TARGETS!$A$2:$A$17,0))&amp;"","")</f>
        <v/>
      </c>
      <c r="I543" s="199" t="str">
        <f t="shared" si="40"/>
        <v/>
      </c>
      <c r="J543" s="193" t="str">
        <f t="shared" si="41"/>
        <v>Cumulative</v>
      </c>
      <c r="K543" s="193">
        <f>SUM(Datos!$D37:AC37)</f>
        <v>0</v>
      </c>
      <c r="M543" s="193">
        <f>INDEX(_TARGETS!$J$2:$J$17,MATCH($C543,_TARGETS!$A$2:$A$17,0))</f>
        <v>1</v>
      </c>
      <c r="N543" s="193" t="str">
        <f>INDEX(_TARGETS!$D$2:$D$17,MATCH($C543,_TARGETS!$A$2:$A$17,0))</f>
        <v>casos</v>
      </c>
      <c r="O543" s="193" t="str">
        <f>IF(NOT(ISNUMBER(F543)),IF(SUMPRODUCT(($C$2:$C$1300=C543)*($J$2:$J$1300="Monthly")*($A$2:$A$1300&lt;=A543)*ISNUMBER($K$2:$K$1300)*ISNUMBER($L$2:$L$1300)*($L$2:$L$1300=0)*($K$2:$K$1300&gt;0))&gt;0,"INCOMPLETE","MISSING"),O529)</f>
        <v>MISSING</v>
      </c>
      <c r="P543" s="193" t="str">
        <f>INDEX(_TARGETS!$K$2:$K$17,MATCH($C543,_TARGETS!$A$2:$A$17,0))</f>
        <v>OPS (carga manual en Datos)</v>
      </c>
      <c r="Q543" s="193" t="str">
        <f t="shared" si="42"/>
        <v>202809|FAC|Cumulative</v>
      </c>
      <c r="R543" s="193" t="str">
        <f>INDEX(_TARGETS!$H$2:$H$17,MATCH($C543,_TARGETS!$A$2:$A$17,0))</f>
        <v>Solo reporte</v>
      </c>
      <c r="S543" s="193">
        <f t="shared" si="43"/>
        <v>0</v>
      </c>
      <c r="T543" s="193" t="str">
        <f t="shared" si="44"/>
        <v/>
      </c>
    </row>
    <row r="544" spans="1:20" ht="13.5" customHeight="1" x14ac:dyDescent="0.3">
      <c r="A544" s="245">
        <f>KPIs!$AC$3</f>
        <v>46997</v>
      </c>
      <c r="B544" s="199" t="str">
        <f>KPIs!AC$4</f>
        <v>Compresora</v>
      </c>
      <c r="C544" s="31" t="s">
        <v>57</v>
      </c>
      <c r="D544" s="199" t="str">
        <f>KPIs!$A$29</f>
        <v>4 · Accidentes vehiculares severos · ACUMULADO</v>
      </c>
      <c r="E544" s="31" t="s">
        <v>600</v>
      </c>
      <c r="F544" s="247" t="str">
        <f>IF(ISNUMBER(KPIs!AC29),KPIs!AC29,"")</f>
        <v/>
      </c>
      <c r="G544" s="247" t="str">
        <f>IF(ISNUMBER(KPIs!$C$29),KPIs!$C$29,"")</f>
        <v/>
      </c>
      <c r="H544" s="199" t="str">
        <f>IFERROR(INDEX(_TARGETS!$E$2:$E$17,MATCH($C544,_TARGETS!$A$2:$A$17,0))&amp;"","")</f>
        <v/>
      </c>
      <c r="I544" s="199" t="str">
        <f t="shared" si="40"/>
        <v/>
      </c>
      <c r="J544" s="193" t="str">
        <f t="shared" si="41"/>
        <v>Cumulative</v>
      </c>
      <c r="K544" s="193">
        <f>SUM(Datos!$D39:AC39)+SUM(Datos!$D40:AC40)+SUM(Datos!$D41:AC41)</f>
        <v>0</v>
      </c>
      <c r="L544" s="193">
        <f>SUM(Datos!$D47:AC47)</f>
        <v>172824</v>
      </c>
      <c r="M544" s="193">
        <f>INDEX(_TARGETS!$J$2:$J$17,MATCH($C544,_TARGETS!$A$2:$A$17,0))</f>
        <v>1000000</v>
      </c>
      <c r="N544" s="193" t="str">
        <f>INDEX(_TARGETS!$D$2:$D$17,MATCH($C544,_TARGETS!$A$2:$A$17,0))</f>
        <v>eventos / 10^6 km</v>
      </c>
      <c r="O544" s="193" t="str">
        <f>IF(NOT(ISNUMBER(F544)),IF(SUMPRODUCT(($C$2:$C$1300=C544)*($J$2:$J$1300="Monthly")*($A$2:$A$1300&lt;=A544)*ISNUMBER($K$2:$K$1300)*ISNUMBER($L$2:$L$1300)*($L$2:$L$1300=0)*($K$2:$K$1300&gt;0))&gt;0,"INCOMPLETE","MISSING"),O530)</f>
        <v>MISSING</v>
      </c>
      <c r="P544" s="193" t="str">
        <f>INDEX(_TARGETS!$K$2:$K$17,MATCH($C544,_TARGETS!$A$2:$A$17,0))</f>
        <v>OPS (eventos) + Full Control GPS (km) - carga manual en Datos</v>
      </c>
      <c r="Q544" s="193" t="str">
        <f t="shared" si="42"/>
        <v>202809|SVCR|Cumulative</v>
      </c>
      <c r="R544" s="193" t="str">
        <f>INDEX(_TARGETS!$H$2:$H$17,MATCH($C544,_TARGETS!$A$2:$A$17,0))</f>
        <v>Solo reporte</v>
      </c>
      <c r="S544" s="193">
        <f t="shared" si="43"/>
        <v>0</v>
      </c>
      <c r="T544" s="193" t="str">
        <f t="shared" si="44"/>
        <v/>
      </c>
    </row>
    <row r="545" spans="1:20" ht="13.5" customHeight="1" x14ac:dyDescent="0.3">
      <c r="A545" s="245">
        <f>KPIs!$AC$3</f>
        <v>46997</v>
      </c>
      <c r="B545" s="199" t="str">
        <f>KPIs!AC$4</f>
        <v>Compresora</v>
      </c>
      <c r="C545" s="31" t="s">
        <v>61</v>
      </c>
      <c r="D545" s="199" t="str">
        <f>KPIs!$A$30</f>
        <v>5 · Accidentes vehiculares totales · ACUMULADO</v>
      </c>
      <c r="E545" s="31" t="s">
        <v>600</v>
      </c>
      <c r="F545" s="247" t="str">
        <f>IF(ISNUMBER(KPIs!AC30),KPIs!AC30,"")</f>
        <v/>
      </c>
      <c r="G545" s="247">
        <f>IF(ISNUMBER(KPIs!$C$30),KPIs!$C$30,"")</f>
        <v>0.79</v>
      </c>
      <c r="H545" s="199" t="str">
        <f>IFERROR(INDEX(_TARGETS!$E$2:$E$17,MATCH($C545,_TARGETS!$A$2:$A$17,0))&amp;"","")</f>
        <v>≤</v>
      </c>
      <c r="I545" s="199" t="str">
        <f t="shared" si="40"/>
        <v/>
      </c>
      <c r="J545" s="193" t="str">
        <f t="shared" si="41"/>
        <v>Cumulative</v>
      </c>
      <c r="K545" s="193">
        <f>SUM(Datos!$D39:AC39)+SUM(Datos!$D40:AC40)+SUM(Datos!$D41:AC41)+SUM(Datos!$D42:AC42)</f>
        <v>0</v>
      </c>
      <c r="L545" s="193">
        <f>SUM(Datos!$D47:AC47)</f>
        <v>172824</v>
      </c>
      <c r="M545" s="193">
        <f>INDEX(_TARGETS!$J$2:$J$17,MATCH($C545,_TARGETS!$A$2:$A$17,0))</f>
        <v>1000000</v>
      </c>
      <c r="N545" s="193" t="str">
        <f>INDEX(_TARGETS!$D$2:$D$17,MATCH($C545,_TARGETS!$A$2:$A$17,0))</f>
        <v>eventos / 10^6 km</v>
      </c>
      <c r="O545" s="193" t="str">
        <f>IF(NOT(ISNUMBER(F545)),IF(SUMPRODUCT(($C$2:$C$1300=C545)*($J$2:$J$1300="Monthly")*($A$2:$A$1300&lt;=A545)*ISNUMBER($K$2:$K$1300)*ISNUMBER($L$2:$L$1300)*($L$2:$L$1300=0)*($K$2:$K$1300&gt;0))&gt;0,"INCOMPLETE","MISSING"),O531)</f>
        <v>MISSING</v>
      </c>
      <c r="P545" s="193" t="str">
        <f>INDEX(_TARGETS!$K$2:$K$17,MATCH($C545,_TARGETS!$A$2:$A$17,0))</f>
        <v>OPS (eventos) + Full Control GPS (km) - carga manual en Datos</v>
      </c>
      <c r="Q545" s="193" t="str">
        <f t="shared" si="42"/>
        <v>202809|TVCR|Cumulative</v>
      </c>
      <c r="R545" s="193" t="str">
        <f>INDEX(_TARGETS!$H$2:$H$17,MATCH($C545,_TARGETS!$A$2:$A$17,0))</f>
        <v>Definida</v>
      </c>
      <c r="S545" s="193">
        <f t="shared" si="43"/>
        <v>0</v>
      </c>
      <c r="T545" s="193" t="str">
        <f t="shared" si="44"/>
        <v/>
      </c>
    </row>
    <row r="546" spans="1:20" ht="13.5" customHeight="1" x14ac:dyDescent="0.3">
      <c r="A546" s="245">
        <f>KPIs!$AC$3</f>
        <v>46997</v>
      </c>
      <c r="B546" s="199" t="str">
        <f>KPIs!AC$4</f>
        <v>Compresora</v>
      </c>
      <c r="C546" s="31" t="s">
        <v>96</v>
      </c>
      <c r="D546" s="199" t="str">
        <f>KPIs!$A$33</f>
        <v>C1 · % de desvíos detectados de gravedad Alta</v>
      </c>
      <c r="E546" s="31" t="s">
        <v>599</v>
      </c>
      <c r="F546" s="247" t="str">
        <f>IF(ISNUMBER(KPIs!AC33),KPIs!AC33,"")</f>
        <v/>
      </c>
      <c r="G546" s="247" t="str">
        <f>IF(ISNUMBER(KPIs!$C$33),KPIs!$C$33,"")</f>
        <v/>
      </c>
      <c r="H546" s="199" t="str">
        <f>IFERROR(INDEX(_TARGETS!$E$2:$E$17,MATCH($C546,_TARGETS!$A$2:$A$17,0))&amp;"","")</f>
        <v/>
      </c>
      <c r="I546" s="199" t="str">
        <f t="shared" si="40"/>
        <v/>
      </c>
      <c r="J546" s="193" t="str">
        <f t="shared" si="41"/>
        <v>Monthly</v>
      </c>
      <c r="K546" s="248">
        <f>Datos!AC71</f>
        <v>0</v>
      </c>
      <c r="L546" s="193">
        <f>Datos!AC71+Datos!AC72+Datos!AC73</f>
        <v>0</v>
      </c>
      <c r="M546" s="193">
        <f>INDEX(_TARGETS!$J$2:$J$17,MATCH($C546,_TARGETS!$A$2:$A$17,0))</f>
        <v>1</v>
      </c>
      <c r="N546" s="193" t="str">
        <f>INDEX(_TARGETS!$D$2:$D$17,MATCH($C546,_TARGETS!$A$2:$A$17,0))</f>
        <v>% (fracción)</v>
      </c>
      <c r="O546" s="193" t="str">
        <f>IF(NOT(ISNUMBER(F546)),"MISSING","OK")</f>
        <v>MISSING</v>
      </c>
      <c r="P546" s="193" t="str">
        <f>INDEX(_TARGETS!$K$2:$K$17,MATCH($C546,_TARGETS!$A$2:$A$17,0))</f>
        <v>Plant Findings (hoja Observaciones-SMP)</v>
      </c>
      <c r="Q546" s="193" t="str">
        <f t="shared" si="42"/>
        <v>202809|HAL_ALTA_PCT|Monthly</v>
      </c>
      <c r="R546" s="193" t="str">
        <f>INDEX(_TARGETS!$H$2:$H$17,MATCH($C546,_TARGETS!$A$2:$A$17,0))</f>
        <v>Solo reporte</v>
      </c>
      <c r="S546" s="193" t="str">
        <f t="shared" si="43"/>
        <v/>
      </c>
      <c r="T546" s="193" t="str">
        <f t="shared" si="44"/>
        <v/>
      </c>
    </row>
    <row r="547" spans="1:20" ht="13.5" customHeight="1" x14ac:dyDescent="0.3">
      <c r="A547" s="245">
        <f>KPIs!$AC$3</f>
        <v>46997</v>
      </c>
      <c r="B547" s="199" t="str">
        <f>KPIs!AC$4</f>
        <v>Compresora</v>
      </c>
      <c r="C547" s="31" t="s">
        <v>98</v>
      </c>
      <c r="D547" s="199" t="str">
        <f>KPIs!$A$34</f>
        <v>C2 · Detenciones de tareas aplicadas</v>
      </c>
      <c r="E547" s="31" t="s">
        <v>599</v>
      </c>
      <c r="F547" s="247" t="str">
        <f>IF(ISNUMBER(KPIs!AC34),KPIs!AC34,"")</f>
        <v/>
      </c>
      <c r="G547" s="247" t="str">
        <f>IF(ISNUMBER(KPIs!$C$34),KPIs!$C$34,"")</f>
        <v/>
      </c>
      <c r="H547" s="199" t="str">
        <f>IFERROR(INDEX(_TARGETS!$E$2:$E$17,MATCH($C547,_TARGETS!$A$2:$A$17,0))&amp;"","")</f>
        <v/>
      </c>
      <c r="I547" s="199" t="str">
        <f t="shared" si="40"/>
        <v/>
      </c>
      <c r="J547" s="193" t="str">
        <f t="shared" si="41"/>
        <v>Monthly</v>
      </c>
      <c r="K547" s="248">
        <f>Datos!AC75</f>
        <v>0</v>
      </c>
      <c r="M547" s="193">
        <f>INDEX(_TARGETS!$J$2:$J$17,MATCH($C547,_TARGETS!$A$2:$A$17,0))</f>
        <v>1</v>
      </c>
      <c r="N547" s="193" t="str">
        <f>INDEX(_TARGETS!$D$2:$D$17,MATCH($C547,_TARGETS!$A$2:$A$17,0))</f>
        <v>u</v>
      </c>
      <c r="O547" s="193" t="str">
        <f>IF(NOT(ISNUMBER(F547)),"MISSING","OK")</f>
        <v>MISSING</v>
      </c>
      <c r="P547" s="193" t="str">
        <f>INDEX(_TARGETS!$K$2:$K$17,MATCH($C547,_TARGETS!$A$2:$A$17,0))</f>
        <v>Plant Findings (hoja Observaciones-SMP)</v>
      </c>
      <c r="Q547" s="193" t="str">
        <f t="shared" si="42"/>
        <v>202809|DET|Monthly</v>
      </c>
      <c r="R547" s="193" t="str">
        <f>INDEX(_TARGETS!$H$2:$H$17,MATCH($C547,_TARGETS!$A$2:$A$17,0))</f>
        <v>Solo reporte</v>
      </c>
      <c r="S547" s="193" t="str">
        <f t="shared" si="43"/>
        <v/>
      </c>
      <c r="T547" s="193" t="str">
        <f t="shared" si="44"/>
        <v/>
      </c>
    </row>
    <row r="548" spans="1:20" ht="13.5" customHeight="1" x14ac:dyDescent="0.3">
      <c r="A548" s="245">
        <f>KPIs!$AD$3</f>
        <v>47027</v>
      </c>
      <c r="B548" s="199" t="str">
        <f>KPIs!AD$4</f>
        <v>Compresora</v>
      </c>
      <c r="C548" s="31" t="s">
        <v>39</v>
      </c>
      <c r="D548" s="199" t="str">
        <f>KPIs!$A$6</f>
        <v>1 · Frecuencia de casos con días perdidos</v>
      </c>
      <c r="E548" s="31" t="s">
        <v>599</v>
      </c>
      <c r="F548" s="247" t="str">
        <f>IF(ISNUMBER(KPIs!AD6),KPIs!AD6,"")</f>
        <v/>
      </c>
      <c r="G548" s="247">
        <f>IF(ISNUMBER(KPIs!$C$6),KPIs!$C$6,"")</f>
        <v>0</v>
      </c>
      <c r="H548" s="199" t="str">
        <f>IFERROR(INDEX(_TARGETS!$E$2:$E$17,MATCH($C548,_TARGETS!$A$2:$A$17,0))&amp;"","")</f>
        <v>≤</v>
      </c>
      <c r="I548" s="199" t="str">
        <f t="shared" si="40"/>
        <v/>
      </c>
      <c r="J548" s="193" t="str">
        <f t="shared" si="41"/>
        <v>Monthly</v>
      </c>
      <c r="K548" s="248">
        <f>Datos!AD33</f>
        <v>0</v>
      </c>
      <c r="L548" s="248">
        <f>Datos!AD14</f>
        <v>0</v>
      </c>
      <c r="M548" s="193">
        <f>INDEX(_TARGETS!$J$2:$J$17,MATCH($C548,_TARGETS!$A$2:$A$17,0))</f>
        <v>1000000</v>
      </c>
      <c r="N548" s="193" t="str">
        <f>INDEX(_TARGETS!$D$2:$D$17,MATCH($C548,_TARGETS!$A$2:$A$17,0))</f>
        <v>casos / 10^6 HH</v>
      </c>
      <c r="O548" s="193" t="str">
        <f>IF(NOT(ISNUMBER(F548)),"MISSING",IF((COUNTBLANK(Datos!AD12)+COUNTBLANK(Datos!AD13)+COUNTBLANK(Datos!AD33))&gt;0,"INCOMPLETE","OK"))</f>
        <v>MISSING</v>
      </c>
      <c r="P548" s="193" t="str">
        <f>INDEX(_TARGETS!$K$2:$K$17,MATCH($C548,_TARGETS!$A$2:$A$17,0))</f>
        <v>OPS (carga manual en Datos)</v>
      </c>
      <c r="Q548" s="193" t="str">
        <f t="shared" si="42"/>
        <v>202810|DAFWCF|Monthly</v>
      </c>
      <c r="R548" s="193" t="str">
        <f>INDEX(_TARGETS!$H$2:$H$17,MATCH($C548,_TARGETS!$A$2:$A$17,0))</f>
        <v>Definida</v>
      </c>
      <c r="S548" s="193" t="str">
        <f t="shared" si="43"/>
        <v/>
      </c>
      <c r="T548" s="193" t="str">
        <f t="shared" si="44"/>
        <v/>
      </c>
    </row>
    <row r="549" spans="1:20" ht="13.5" customHeight="1" x14ac:dyDescent="0.3">
      <c r="A549" s="245">
        <f>KPIs!$AD$3</f>
        <v>47027</v>
      </c>
      <c r="B549" s="199" t="str">
        <f>KPIs!AD$4</f>
        <v>Compresora</v>
      </c>
      <c r="C549" s="31" t="s">
        <v>49</v>
      </c>
      <c r="D549" s="199" t="str">
        <f>KPIs!$A$7</f>
        <v>2 · Frecuencia de casos registrables</v>
      </c>
      <c r="E549" s="31" t="s">
        <v>599</v>
      </c>
      <c r="F549" s="247" t="str">
        <f>IF(ISNUMBER(KPIs!AD7),KPIs!AD7,"")</f>
        <v/>
      </c>
      <c r="G549" s="247">
        <f>IF(ISNUMBER(KPIs!$C$7),KPIs!$C$7,"")</f>
        <v>2.35</v>
      </c>
      <c r="H549" s="199" t="str">
        <f>IFERROR(INDEX(_TARGETS!$E$2:$E$17,MATCH($C549,_TARGETS!$A$2:$A$17,0))&amp;"","")</f>
        <v>≤</v>
      </c>
      <c r="I549" s="199" t="str">
        <f t="shared" si="40"/>
        <v/>
      </c>
      <c r="J549" s="193" t="str">
        <f t="shared" si="41"/>
        <v>Monthly</v>
      </c>
      <c r="K549" s="193">
        <f>Datos!AD33+Datos!AD34+Datos!AD35+Datos!AD36</f>
        <v>0</v>
      </c>
      <c r="L549" s="248">
        <f>Datos!AD14</f>
        <v>0</v>
      </c>
      <c r="M549" s="193">
        <f>INDEX(_TARGETS!$J$2:$J$17,MATCH($C549,_TARGETS!$A$2:$A$17,0))</f>
        <v>1000000</v>
      </c>
      <c r="N549" s="193" t="str">
        <f>INDEX(_TARGETS!$D$2:$D$17,MATCH($C549,_TARGETS!$A$2:$A$17,0))</f>
        <v>casos / 10^6 HH</v>
      </c>
      <c r="O549" s="193" t="str">
        <f>IF(NOT(ISNUMBER(F549)),"MISSING",IF((COUNTBLANK(Datos!AD12)+COUNTBLANK(Datos!AD13)+COUNTBLANK(Datos!AD33)+COUNTBLANK(Datos!AD34)+COUNTBLANK(Datos!AD35)+COUNTBLANK(Datos!AD36))&gt;0,"INCOMPLETE","OK"))</f>
        <v>MISSING</v>
      </c>
      <c r="P549" s="193" t="str">
        <f>INDEX(_TARGETS!$K$2:$K$17,MATCH($C549,_TARGETS!$A$2:$A$17,0))</f>
        <v>OPS (carga manual en Datos)</v>
      </c>
      <c r="Q549" s="193" t="str">
        <f t="shared" si="42"/>
        <v>202810|TRICF|Monthly</v>
      </c>
      <c r="R549" s="193" t="str">
        <f>INDEX(_TARGETS!$H$2:$H$17,MATCH($C549,_TARGETS!$A$2:$A$17,0))</f>
        <v>Definida</v>
      </c>
      <c r="S549" s="193" t="str">
        <f t="shared" si="43"/>
        <v/>
      </c>
      <c r="T549" s="193" t="str">
        <f t="shared" si="44"/>
        <v/>
      </c>
    </row>
    <row r="550" spans="1:20" ht="13.5" customHeight="1" x14ac:dyDescent="0.3">
      <c r="A550" s="245">
        <f>KPIs!$AD$3</f>
        <v>47027</v>
      </c>
      <c r="B550" s="199" t="str">
        <f>KPIs!AD$4</f>
        <v>Compresora</v>
      </c>
      <c r="C550" s="31" t="s">
        <v>51</v>
      </c>
      <c r="D550" s="199" t="str">
        <f>KPIs!$A$8</f>
        <v>3 · Casos de primeros auxilios</v>
      </c>
      <c r="E550" s="31" t="s">
        <v>599</v>
      </c>
      <c r="F550" s="247" t="str">
        <f>IF(ISNUMBER(KPIs!AD8),KPIs!AD8,"")</f>
        <v/>
      </c>
      <c r="G550" s="247" t="str">
        <f>IF(ISNUMBER(KPIs!$C$8),KPIs!$C$8,"")</f>
        <v/>
      </c>
      <c r="H550" s="199" t="str">
        <f>IFERROR(INDEX(_TARGETS!$E$2:$E$17,MATCH($C550,_TARGETS!$A$2:$A$17,0))&amp;"","")</f>
        <v/>
      </c>
      <c r="I550" s="199" t="str">
        <f t="shared" si="40"/>
        <v/>
      </c>
      <c r="J550" s="193" t="str">
        <f t="shared" si="41"/>
        <v>Monthly</v>
      </c>
      <c r="K550" s="248">
        <f>Datos!AD37</f>
        <v>0</v>
      </c>
      <c r="M550" s="193">
        <f>INDEX(_TARGETS!$J$2:$J$17,MATCH($C550,_TARGETS!$A$2:$A$17,0))</f>
        <v>1</v>
      </c>
      <c r="N550" s="193" t="str">
        <f>INDEX(_TARGETS!$D$2:$D$17,MATCH($C550,_TARGETS!$A$2:$A$17,0))</f>
        <v>casos</v>
      </c>
      <c r="O550" s="193" t="str">
        <f>IF(NOT(ISNUMBER(F550)),"MISSING",IF((COUNTBLANK(Datos!AD12)+COUNTBLANK(Datos!AD13)+COUNTBLANK(Datos!AD37))&gt;0,"INCOMPLETE","OK"))</f>
        <v>MISSING</v>
      </c>
      <c r="P550" s="193" t="str">
        <f>INDEX(_TARGETS!$K$2:$K$17,MATCH($C550,_TARGETS!$A$2:$A$17,0))</f>
        <v>OPS (carga manual en Datos)</v>
      </c>
      <c r="Q550" s="193" t="str">
        <f t="shared" si="42"/>
        <v>202810|FAC|Monthly</v>
      </c>
      <c r="R550" s="193" t="str">
        <f>INDEX(_TARGETS!$H$2:$H$17,MATCH($C550,_TARGETS!$A$2:$A$17,0))</f>
        <v>Solo reporte</v>
      </c>
      <c r="S550" s="193" t="str">
        <f t="shared" si="43"/>
        <v/>
      </c>
      <c r="T550" s="193" t="str">
        <f t="shared" si="44"/>
        <v/>
      </c>
    </row>
    <row r="551" spans="1:20" ht="13.5" customHeight="1" x14ac:dyDescent="0.3">
      <c r="A551" s="245">
        <f>KPIs!$AD$3</f>
        <v>47027</v>
      </c>
      <c r="B551" s="199" t="str">
        <f>KPIs!AD$4</f>
        <v>Compresora</v>
      </c>
      <c r="C551" s="31" t="s">
        <v>57</v>
      </c>
      <c r="D551" s="199" t="str">
        <f>KPIs!$A$10</f>
        <v>4 · Accidentes vehiculares severos por millón de km</v>
      </c>
      <c r="E551" s="31" t="s">
        <v>599</v>
      </c>
      <c r="F551" s="247" t="str">
        <f>IF(ISNUMBER(KPIs!AD10),KPIs!AD10,"")</f>
        <v/>
      </c>
      <c r="G551" s="247" t="str">
        <f>IF(ISNUMBER(KPIs!$C$10),KPIs!$C$10,"")</f>
        <v/>
      </c>
      <c r="H551" s="199" t="str">
        <f>IFERROR(INDEX(_TARGETS!$E$2:$E$17,MATCH($C551,_TARGETS!$A$2:$A$17,0))&amp;"","")</f>
        <v/>
      </c>
      <c r="I551" s="199" t="str">
        <f t="shared" si="40"/>
        <v/>
      </c>
      <c r="J551" s="193" t="str">
        <f t="shared" si="41"/>
        <v>Monthly</v>
      </c>
      <c r="K551" s="193">
        <f>Datos!AD39+Datos!AD40+Datos!AD41</f>
        <v>0</v>
      </c>
      <c r="L551" s="248">
        <f>Datos!AD47</f>
        <v>0</v>
      </c>
      <c r="M551" s="193">
        <f>INDEX(_TARGETS!$J$2:$J$17,MATCH($C551,_TARGETS!$A$2:$A$17,0))</f>
        <v>1000000</v>
      </c>
      <c r="N551" s="193" t="str">
        <f>INDEX(_TARGETS!$D$2:$D$17,MATCH($C551,_TARGETS!$A$2:$A$17,0))</f>
        <v>eventos / 10^6 km</v>
      </c>
      <c r="O551" s="193" t="str">
        <f>IF(NOT(ISNUMBER(F551)),"MISSING",IF((COUNTBLANK(Datos!AD44)+COUNTBLANK(Datos!AD45)+COUNTBLANK(Datos!AD46)+COUNTBLANK(Datos!AD39)+COUNTBLANK(Datos!AD40)+COUNTBLANK(Datos!AD41))&gt;0,"INCOMPLETE","OK"))</f>
        <v>MISSING</v>
      </c>
      <c r="P551" s="193" t="str">
        <f>INDEX(_TARGETS!$K$2:$K$17,MATCH($C551,_TARGETS!$A$2:$A$17,0))</f>
        <v>OPS (eventos) + Full Control GPS (km) - carga manual en Datos</v>
      </c>
      <c r="Q551" s="193" t="str">
        <f t="shared" si="42"/>
        <v>202810|SVCR|Monthly</v>
      </c>
      <c r="R551" s="193" t="str">
        <f>INDEX(_TARGETS!$H$2:$H$17,MATCH($C551,_TARGETS!$A$2:$A$17,0))</f>
        <v>Solo reporte</v>
      </c>
      <c r="S551" s="193" t="str">
        <f t="shared" si="43"/>
        <v/>
      </c>
      <c r="T551" s="193" t="str">
        <f t="shared" si="44"/>
        <v/>
      </c>
    </row>
    <row r="552" spans="1:20" ht="13.5" customHeight="1" x14ac:dyDescent="0.3">
      <c r="A552" s="245">
        <f>KPIs!$AD$3</f>
        <v>47027</v>
      </c>
      <c r="B552" s="199" t="str">
        <f>KPIs!AD$4</f>
        <v>Compresora</v>
      </c>
      <c r="C552" s="31" t="s">
        <v>61</v>
      </c>
      <c r="D552" s="199" t="str">
        <f>KPIs!$A$11</f>
        <v>5 · Accidentes vehiculares totales por millón de km</v>
      </c>
      <c r="E552" s="31" t="s">
        <v>599</v>
      </c>
      <c r="F552" s="247" t="str">
        <f>IF(ISNUMBER(KPIs!AD11),KPIs!AD11,"")</f>
        <v/>
      </c>
      <c r="G552" s="247">
        <f>IF(ISNUMBER(KPIs!$C$11),KPIs!$C$11,"")</f>
        <v>0.79</v>
      </c>
      <c r="H552" s="199" t="str">
        <f>IFERROR(INDEX(_TARGETS!$E$2:$E$17,MATCH($C552,_TARGETS!$A$2:$A$17,0))&amp;"","")</f>
        <v>≤</v>
      </c>
      <c r="I552" s="199" t="str">
        <f t="shared" si="40"/>
        <v/>
      </c>
      <c r="J552" s="193" t="str">
        <f t="shared" si="41"/>
        <v>Monthly</v>
      </c>
      <c r="K552" s="193">
        <f>Datos!AD39+Datos!AD40+Datos!AD41+Datos!AD42</f>
        <v>0</v>
      </c>
      <c r="L552" s="248">
        <f>Datos!AD47</f>
        <v>0</v>
      </c>
      <c r="M552" s="193">
        <f>INDEX(_TARGETS!$J$2:$J$17,MATCH($C552,_TARGETS!$A$2:$A$17,0))</f>
        <v>1000000</v>
      </c>
      <c r="N552" s="193" t="str">
        <f>INDEX(_TARGETS!$D$2:$D$17,MATCH($C552,_TARGETS!$A$2:$A$17,0))</f>
        <v>eventos / 10^6 km</v>
      </c>
      <c r="O552" s="193" t="str">
        <f>IF(NOT(ISNUMBER(F552)),"MISSING",IF((COUNTBLANK(Datos!AD44)+COUNTBLANK(Datos!AD45)+COUNTBLANK(Datos!AD46)+COUNTBLANK(Datos!AD39)+COUNTBLANK(Datos!AD40)+COUNTBLANK(Datos!AD41)+COUNTBLANK(Datos!AD42))&gt;0,"INCOMPLETE","OK"))</f>
        <v>MISSING</v>
      </c>
      <c r="P552" s="193" t="str">
        <f>INDEX(_TARGETS!$K$2:$K$17,MATCH($C552,_TARGETS!$A$2:$A$17,0))</f>
        <v>OPS (eventos) + Full Control GPS (km) - carga manual en Datos</v>
      </c>
      <c r="Q552" s="193" t="str">
        <f t="shared" si="42"/>
        <v>202810|TVCR|Monthly</v>
      </c>
      <c r="R552" s="193" t="str">
        <f>INDEX(_TARGETS!$H$2:$H$17,MATCH($C552,_TARGETS!$A$2:$A$17,0))</f>
        <v>Definida</v>
      </c>
      <c r="S552" s="193" t="str">
        <f t="shared" si="43"/>
        <v/>
      </c>
      <c r="T552" s="193" t="str">
        <f t="shared" si="44"/>
        <v/>
      </c>
    </row>
    <row r="553" spans="1:20" ht="13.5" customHeight="1" x14ac:dyDescent="0.3">
      <c r="A553" s="245">
        <f>KPIs!$AD$3</f>
        <v>47027</v>
      </c>
      <c r="B553" s="199" t="str">
        <f>KPIs!AD$4</f>
        <v>Compresora</v>
      </c>
      <c r="C553" s="31" t="s">
        <v>63</v>
      </c>
      <c r="D553" s="199" t="str">
        <f>KPIs!$A$13</f>
        <v>6 · Observaciones de seguridad por persona</v>
      </c>
      <c r="E553" s="31" t="s">
        <v>599</v>
      </c>
      <c r="F553" s="247" t="str">
        <f>IF(ISNUMBER(KPIs!AD13),KPIs!AD13,"")</f>
        <v/>
      </c>
      <c r="G553" s="247">
        <f>IF(ISNUMBER(KPIs!$C$13),KPIs!$C$13,"")</f>
        <v>1</v>
      </c>
      <c r="H553" s="199" t="str">
        <f>IFERROR(INDEX(_TARGETS!$E$2:$E$17,MATCH($C553,_TARGETS!$A$2:$A$17,0))&amp;"","")</f>
        <v>≥</v>
      </c>
      <c r="I553" s="199" t="str">
        <f t="shared" si="40"/>
        <v/>
      </c>
      <c r="J553" s="193" t="str">
        <f t="shared" si="41"/>
        <v>Monthly</v>
      </c>
      <c r="K553" s="248" t="str">
        <f>IF(COUNT(Datos!AD28:AD29)=0,"",SUM(Datos!AD28:AD29))</f>
        <v/>
      </c>
      <c r="L553" s="248">
        <f>Datos!AD11</f>
        <v>0</v>
      </c>
      <c r="M553" s="193">
        <f>INDEX(_TARGETS!$J$2:$J$17,MATCH($C553,_TARGETS!$A$2:$A$17,0))</f>
        <v>1</v>
      </c>
      <c r="N553" s="193" t="str">
        <f>INDEX(_TARGETS!$D$2:$D$17,MATCH($C553,_TARGETS!$A$2:$A$17,0))</f>
        <v>obs / persona</v>
      </c>
      <c r="O553" s="193" t="str">
        <f>IF(NOT(ISNUMBER(F553)),"MISSING",IF((COUNTBLANK(Datos!AD9)+COUNTBLANK(Datos!AD10)+IF(COUNT(Datos!AD28:AD29)=0,1,0))&gt;0,"INCOMPLETE","OK"))</f>
        <v>MISSING</v>
      </c>
      <c r="P553" s="193" t="str">
        <f>INDEX(_TARGETS!$K$2:$K$17,MATCH($C553,_TARGETS!$A$2:$A$17,0))</f>
        <v>OPS (carga manual en Datos)</v>
      </c>
      <c r="Q553" s="193" t="str">
        <f t="shared" si="42"/>
        <v>202810|OBS|Monthly</v>
      </c>
      <c r="R553" s="193" t="str">
        <f>INDEX(_TARGETS!$H$2:$H$17,MATCH($C553,_TARGETS!$A$2:$A$17,0))</f>
        <v>PROVISORIA · referencia del subcontratista (OPS: 1 obs/persona); meta y población en definición</v>
      </c>
      <c r="S553" s="193" t="str">
        <f t="shared" si="43"/>
        <v/>
      </c>
      <c r="T553" s="193" t="str">
        <f t="shared" si="44"/>
        <v/>
      </c>
    </row>
    <row r="554" spans="1:20" ht="13.5" customHeight="1" x14ac:dyDescent="0.3">
      <c r="A554" s="245">
        <f>KPIs!$AD$3</f>
        <v>47027</v>
      </c>
      <c r="B554" s="199" t="str">
        <f>KPIs!AD$4</f>
        <v>Compresora</v>
      </c>
      <c r="C554" s="31" t="s">
        <v>71</v>
      </c>
      <c r="D554" s="199" t="str">
        <f>KPIs!$A$14</f>
        <v>7 · Investigaciones de accidentes: días promedio de cierre</v>
      </c>
      <c r="E554" s="31" t="s">
        <v>599</v>
      </c>
      <c r="F554" s="247" t="str">
        <f>IF(ISNUMBER(KPIs!AD14),KPIs!AD14,"")</f>
        <v/>
      </c>
      <c r="G554" s="247">
        <f>IF(ISNUMBER(KPIs!$C$14),KPIs!$C$14,"")</f>
        <v>20</v>
      </c>
      <c r="H554" s="199" t="str">
        <f>IFERROR(INDEX(_TARGETS!$E$2:$E$17,MATCH($C554,_TARGETS!$A$2:$A$17,0))&amp;"","")</f>
        <v>≤</v>
      </c>
      <c r="I554" s="199" t="str">
        <f t="shared" si="40"/>
        <v/>
      </c>
      <c r="J554" s="193" t="str">
        <f t="shared" si="41"/>
        <v>Monthly</v>
      </c>
      <c r="K554" s="248">
        <f>Datos!AD31</f>
        <v>0</v>
      </c>
      <c r="L554" s="248">
        <f>Datos!AD30</f>
        <v>0</v>
      </c>
      <c r="M554" s="193">
        <f>INDEX(_TARGETS!$J$2:$J$17,MATCH($C554,_TARGETS!$A$2:$A$17,0))</f>
        <v>1</v>
      </c>
      <c r="N554" s="193" t="str">
        <f>INDEX(_TARGETS!$D$2:$D$17,MATCH($C554,_TARGETS!$A$2:$A$17,0))</f>
        <v>días</v>
      </c>
      <c r="O554" s="193" t="str">
        <f>IF(NOT(ISNUMBER(F554)),"MISSING",IF((COUNTBLANK(Datos!AD30)+COUNTBLANK(Datos!AD31))&gt;0,"INCOMPLETE","OK"))</f>
        <v>MISSING</v>
      </c>
      <c r="P554" s="193" t="str">
        <f>INDEX(_TARGETS!$K$2:$K$17,MATCH($C554,_TARGETS!$A$2:$A$17,0))</f>
        <v>OPS (carga manual en Datos)</v>
      </c>
      <c r="Q554" s="193" t="str">
        <f t="shared" si="42"/>
        <v>202810|INV|Monthly</v>
      </c>
      <c r="R554" s="193" t="str">
        <f>INDEX(_TARGETS!$H$2:$H$17,MATCH($C554,_TARGETS!$A$2:$A$17,0))</f>
        <v>Definida</v>
      </c>
      <c r="S554" s="193" t="str">
        <f t="shared" si="43"/>
        <v/>
      </c>
      <c r="T554" s="193" t="str">
        <f t="shared" si="44"/>
        <v/>
      </c>
    </row>
    <row r="555" spans="1:20" ht="13.5" customHeight="1" x14ac:dyDescent="0.3">
      <c r="A555" s="245">
        <f>KPIs!$AD$3</f>
        <v>47027</v>
      </c>
      <c r="B555" s="199" t="str">
        <f>KPIs!AD$4</f>
        <v>Compresora</v>
      </c>
      <c r="C555" s="31" t="s">
        <v>76</v>
      </c>
      <c r="D555" s="199" t="str">
        <f>KPIs!$A$16</f>
        <v>8 · % de capacitación en seguridad</v>
      </c>
      <c r="E555" s="31" t="s">
        <v>599</v>
      </c>
      <c r="F555" s="247" t="str">
        <f>IF(ISNUMBER(KPIs!AD16),KPIs!AD16,"")</f>
        <v/>
      </c>
      <c r="G555" s="247">
        <f>IF(ISNUMBER(KPIs!$C$16),KPIs!$C$16,"")</f>
        <v>0.01</v>
      </c>
      <c r="H555" s="199" t="str">
        <f>IFERROR(INDEX(_TARGETS!$E$2:$E$17,MATCH($C555,_TARGETS!$A$2:$A$17,0))&amp;"","")</f>
        <v>≥</v>
      </c>
      <c r="I555" s="199" t="str">
        <f t="shared" si="40"/>
        <v/>
      </c>
      <c r="J555" s="193" t="str">
        <f t="shared" si="41"/>
        <v>Monthly</v>
      </c>
      <c r="K555" s="248">
        <f>Datos!AD18</f>
        <v>0</v>
      </c>
      <c r="L555" s="248">
        <f>Datos!AD14</f>
        <v>0</v>
      </c>
      <c r="M555" s="193">
        <f>INDEX(_TARGETS!$J$2:$J$17,MATCH($C555,_TARGETS!$A$2:$A$17,0))</f>
        <v>1</v>
      </c>
      <c r="N555" s="193" t="str">
        <f>INDEX(_TARGETS!$D$2:$D$17,MATCH($C555,_TARGETS!$A$2:$A$17,0))</f>
        <v>% (fracción)</v>
      </c>
      <c r="O555" s="193" t="str">
        <f>IF(NOT(ISNUMBER(F555)),"MISSING",IF((COUNTBLANK(Datos!AD16)+COUNTBLANK(Datos!AD17)+COUNTBLANK(Datos!AD12)+COUNTBLANK(Datos!AD13))&gt;0,"INCOMPLETE","OK"))</f>
        <v>MISSING</v>
      </c>
      <c r="P555" s="193" t="str">
        <f>INDEX(_TARGETS!$K$2:$K$17,MATCH($C555,_TARGETS!$A$2:$A$17,0))</f>
        <v>OPS (carga manual en Datos)</v>
      </c>
      <c r="Q555" s="193" t="str">
        <f t="shared" si="42"/>
        <v>202810|HCS|Monthly</v>
      </c>
      <c r="R555" s="193" t="str">
        <f>INDEX(_TARGETS!$H$2:$H$17,MATCH($C555,_TARGETS!$A$2:$A$17,0))</f>
        <v>Definida</v>
      </c>
      <c r="S555" s="193" t="str">
        <f t="shared" si="43"/>
        <v/>
      </c>
      <c r="T555" s="193" t="str">
        <f t="shared" si="44"/>
        <v/>
      </c>
    </row>
    <row r="556" spans="1:20" ht="13.5" customHeight="1" x14ac:dyDescent="0.3">
      <c r="A556" s="245">
        <f>KPIs!$AD$3</f>
        <v>47027</v>
      </c>
      <c r="B556" s="199" t="str">
        <f>KPIs!AD$4</f>
        <v>Compresora</v>
      </c>
      <c r="C556" s="31" t="s">
        <v>80</v>
      </c>
      <c r="D556" s="199" t="str">
        <f>KPIs!$A$17</f>
        <v>9 · Horas de capacitación por persona</v>
      </c>
      <c r="E556" s="31" t="s">
        <v>599</v>
      </c>
      <c r="F556" s="247" t="str">
        <f>IF(ISNUMBER(KPIs!AD17),KPIs!AD17,"")</f>
        <v/>
      </c>
      <c r="G556" s="247" t="str">
        <f>IF(ISNUMBER(KPIs!$C$17),KPIs!$C$17,"")</f>
        <v/>
      </c>
      <c r="H556" s="199" t="str">
        <f>IFERROR(INDEX(_TARGETS!$E$2:$E$17,MATCH($C556,_TARGETS!$A$2:$A$17,0))&amp;"","")</f>
        <v/>
      </c>
      <c r="I556" s="199" t="str">
        <f t="shared" si="40"/>
        <v/>
      </c>
      <c r="J556" s="193" t="str">
        <f t="shared" si="41"/>
        <v>Monthly</v>
      </c>
      <c r="K556" s="248">
        <f>Datos!AD18</f>
        <v>0</v>
      </c>
      <c r="L556" s="248">
        <f>Datos!AD11</f>
        <v>0</v>
      </c>
      <c r="M556" s="193">
        <f>INDEX(_TARGETS!$J$2:$J$17,MATCH($C556,_TARGETS!$A$2:$A$17,0))</f>
        <v>1</v>
      </c>
      <c r="N556" s="193" t="str">
        <f>INDEX(_TARGETS!$D$2:$D$17,MATCH($C556,_TARGETS!$A$2:$A$17,0))</f>
        <v>h / persona</v>
      </c>
      <c r="O556" s="193" t="str">
        <f>IF(NOT(ISNUMBER(F556)),"MISSING",IF((COUNTBLANK(Datos!AD16)+COUNTBLANK(Datos!AD17)+COUNTBLANK(Datos!AD9)+COUNTBLANK(Datos!AD10))&gt;0,"INCOMPLETE","OK"))</f>
        <v>MISSING</v>
      </c>
      <c r="P556" s="193" t="str">
        <f>INDEX(_TARGETS!$K$2:$K$17,MATCH($C556,_TARGETS!$A$2:$A$17,0))</f>
        <v>OPS (carga manual en Datos)</v>
      </c>
      <c r="Q556" s="193" t="str">
        <f t="shared" si="42"/>
        <v>202810|HCSA|Monthly</v>
      </c>
      <c r="R556" s="193" t="str">
        <f>INDEX(_TARGETS!$H$2:$H$17,MATCH($C556,_TARGETS!$A$2:$A$17,0))</f>
        <v>Solo reporte</v>
      </c>
      <c r="S556" s="193" t="str">
        <f t="shared" si="43"/>
        <v/>
      </c>
      <c r="T556" s="193" t="str">
        <f t="shared" si="44"/>
        <v/>
      </c>
    </row>
    <row r="557" spans="1:20" ht="13.5" customHeight="1" x14ac:dyDescent="0.3">
      <c r="A557" s="245">
        <f>KPIs!$AD$3</f>
        <v>47027</v>
      </c>
      <c r="B557" s="199" t="str">
        <f>KPIs!AD$4</f>
        <v>Compresora</v>
      </c>
      <c r="C557" s="31" t="s">
        <v>83</v>
      </c>
      <c r="D557" s="199" t="str">
        <f>KPIs!$A$18</f>
        <v>10 · Cumplimiento de simulacros (emergencia y operativos)</v>
      </c>
      <c r="E557" s="31" t="s">
        <v>599</v>
      </c>
      <c r="F557" s="247" t="str">
        <f>IF(ISNUMBER(KPIs!AD18),KPIs!AD18,"")</f>
        <v/>
      </c>
      <c r="G557" s="247">
        <f>IF(ISNUMBER(KPIs!$C$18),KPIs!$C$18,"")</f>
        <v>1</v>
      </c>
      <c r="H557" s="199" t="str">
        <f>IFERROR(INDEX(_TARGETS!$E$2:$E$17,MATCH($C557,_TARGETS!$A$2:$A$17,0))&amp;"","")</f>
        <v>≥</v>
      </c>
      <c r="I557" s="199" t="str">
        <f t="shared" si="40"/>
        <v/>
      </c>
      <c r="J557" s="193" t="str">
        <f t="shared" si="41"/>
        <v>Monthly</v>
      </c>
      <c r="K557" s="248">
        <f>Datos!AD20</f>
        <v>0</v>
      </c>
      <c r="L557" s="248">
        <f>Datos!AD21</f>
        <v>0</v>
      </c>
      <c r="M557" s="193">
        <f>INDEX(_TARGETS!$J$2:$J$17,MATCH($C557,_TARGETS!$A$2:$A$17,0))</f>
        <v>1</v>
      </c>
      <c r="N557" s="193" t="str">
        <f>INDEX(_TARGETS!$D$2:$D$17,MATCH($C557,_TARGETS!$A$2:$A$17,0))</f>
        <v>% (fracción)</v>
      </c>
      <c r="O557" s="193" t="str">
        <f>IF(NOT(ISNUMBER(F557)),"MISSING",IF((COUNTBLANK(Datos!AD20)+COUNTBLANK(Datos!AD21))&gt;0,"INCOMPLETE","OK"))</f>
        <v>MISSING</v>
      </c>
      <c r="P557" s="193" t="str">
        <f>INDEX(_TARGETS!$K$2:$K$17,MATCH($C557,_TARGETS!$A$2:$A$17,0))</f>
        <v>OPS (carga manual en Datos)</v>
      </c>
      <c r="Q557" s="193" t="str">
        <f t="shared" si="42"/>
        <v>202810|CPSE|Monthly</v>
      </c>
      <c r="R557" s="193" t="str">
        <f>INDEX(_TARGETS!$H$2:$H$17,MATCH($C557,_TARGETS!$A$2:$A$17,0))</f>
        <v>Definida</v>
      </c>
      <c r="S557" s="193" t="str">
        <f t="shared" si="43"/>
        <v/>
      </c>
      <c r="T557" s="193" t="str">
        <f t="shared" si="44"/>
        <v/>
      </c>
    </row>
    <row r="558" spans="1:20" ht="13.5" customHeight="1" x14ac:dyDescent="0.3">
      <c r="A558" s="245">
        <f>KPIs!$AD$3</f>
        <v>47027</v>
      </c>
      <c r="B558" s="199" t="str">
        <f>KPIs!AD$4</f>
        <v>Compresora</v>
      </c>
      <c r="C558" s="31" t="s">
        <v>85</v>
      </c>
      <c r="D558" s="199" t="str">
        <f>KPIs!$A$19</f>
        <v>10b · Cumplimiento de acciones de mejora de simulacros</v>
      </c>
      <c r="E558" s="31" t="s">
        <v>599</v>
      </c>
      <c r="F558" s="247" t="str">
        <f>IF(ISNUMBER(KPIs!AD19),KPIs!AD19,"")</f>
        <v/>
      </c>
      <c r="G558" s="247" t="str">
        <f>IF(ISNUMBER(KPIs!$C$19),KPIs!$C$19,"")</f>
        <v/>
      </c>
      <c r="H558" s="199" t="str">
        <f>IFERROR(INDEX(_TARGETS!$E$2:$E$17,MATCH($C558,_TARGETS!$A$2:$A$17,0))&amp;"","")</f>
        <v/>
      </c>
      <c r="I558" s="199" t="str">
        <f t="shared" si="40"/>
        <v/>
      </c>
      <c r="J558" s="193" t="str">
        <f t="shared" si="41"/>
        <v>Monthly</v>
      </c>
      <c r="K558" s="248">
        <f>Datos!AD23</f>
        <v>0</v>
      </c>
      <c r="L558" s="248">
        <f>Datos!AD22</f>
        <v>0</v>
      </c>
      <c r="M558" s="193">
        <f>INDEX(_TARGETS!$J$2:$J$17,MATCH($C558,_TARGETS!$A$2:$A$17,0))</f>
        <v>1</v>
      </c>
      <c r="N558" s="193" t="str">
        <f>INDEX(_TARGETS!$D$2:$D$17,MATCH($C558,_TARGETS!$A$2:$A$17,0))</f>
        <v>% (fracción)</v>
      </c>
      <c r="O558" s="193" t="str">
        <f>IF(NOT(ISNUMBER(F558)),"MISSING",IF((COUNTBLANK(Datos!AD23)+COUNTBLANK(Datos!AD22))&gt;0,"INCOMPLETE","OK"))</f>
        <v>MISSING</v>
      </c>
      <c r="P558" s="193" t="str">
        <f>INDEX(_TARGETS!$K$2:$K$17,MATCH($C558,_TARGETS!$A$2:$A$17,0))</f>
        <v>OPS (carga manual en Datos)</v>
      </c>
      <c r="Q558" s="193" t="str">
        <f t="shared" si="42"/>
        <v>202810|CAMS|Monthly</v>
      </c>
      <c r="R558" s="193" t="str">
        <f>INDEX(_TARGETS!$H$2:$H$17,MATCH($C558,_TARGETS!$A$2:$A$17,0))</f>
        <v>Solo reporte</v>
      </c>
      <c r="S558" s="193" t="str">
        <f t="shared" si="43"/>
        <v/>
      </c>
      <c r="T558" s="193" t="str">
        <f t="shared" si="44"/>
        <v/>
      </c>
    </row>
    <row r="559" spans="1:20" ht="13.5" customHeight="1" x14ac:dyDescent="0.3">
      <c r="A559" s="245">
        <f>KPIs!$AD$3</f>
        <v>47027</v>
      </c>
      <c r="B559" s="199" t="str">
        <f>KPIs!AD$4</f>
        <v>Compresora</v>
      </c>
      <c r="C559" s="31" t="s">
        <v>87</v>
      </c>
      <c r="D559" s="199" t="str">
        <f>KPIs!$A$21</f>
        <v>11 · Cumplimiento de caminatas gerenciales</v>
      </c>
      <c r="E559" s="31" t="s">
        <v>599</v>
      </c>
      <c r="F559" s="247" t="str">
        <f>IF(ISNUMBER(KPIs!AD21),KPIs!AD21,"")</f>
        <v/>
      </c>
      <c r="G559" s="247">
        <f>IF(ISNUMBER(KPIs!$C$21),KPIs!$C$21,"")</f>
        <v>1</v>
      </c>
      <c r="H559" s="199" t="str">
        <f>IFERROR(INDEX(_TARGETS!$E$2:$E$17,MATCH($C559,_TARGETS!$A$2:$A$17,0))&amp;"","")</f>
        <v>≥</v>
      </c>
      <c r="I559" s="199" t="str">
        <f t="shared" si="40"/>
        <v/>
      </c>
      <c r="J559" s="193" t="str">
        <f t="shared" si="41"/>
        <v>Monthly</v>
      </c>
      <c r="K559" s="248">
        <f>Datos!AD24</f>
        <v>0</v>
      </c>
      <c r="L559" s="248">
        <f>Datos!AD25</f>
        <v>0</v>
      </c>
      <c r="M559" s="193">
        <f>INDEX(_TARGETS!$J$2:$J$17,MATCH($C559,_TARGETS!$A$2:$A$17,0))</f>
        <v>1</v>
      </c>
      <c r="N559" s="193" t="str">
        <f>INDEX(_TARGETS!$D$2:$D$17,MATCH($C559,_TARGETS!$A$2:$A$17,0))</f>
        <v>% (fracción)</v>
      </c>
      <c r="O559" s="193" t="str">
        <f>IF(NOT(ISNUMBER(F559)),"MISSING",IF((COUNTBLANK(Datos!AD24)+COUNTBLANK(Datos!AD25))&gt;0,"INCOMPLETE","OK"))</f>
        <v>MISSING</v>
      </c>
      <c r="P559" s="193" t="str">
        <f>INDEX(_TARGETS!$K$2:$K$17,MATCH($C559,_TARGETS!$A$2:$A$17,0))</f>
        <v>OPS (carga manual en Datos)</v>
      </c>
      <c r="Q559" s="193" t="str">
        <f t="shared" si="42"/>
        <v>202810|ICCS|Monthly</v>
      </c>
      <c r="R559" s="193" t="str">
        <f>INDEX(_TARGETS!$H$2:$H$17,MATCH($C559,_TARGETS!$A$2:$A$17,0))</f>
        <v>Definida</v>
      </c>
      <c r="S559" s="193" t="str">
        <f t="shared" si="43"/>
        <v/>
      </c>
      <c r="T559" s="193" t="str">
        <f t="shared" si="44"/>
        <v/>
      </c>
    </row>
    <row r="560" spans="1:20" ht="13.5" customHeight="1" x14ac:dyDescent="0.3">
      <c r="A560" s="245">
        <f>KPIs!$AD$3</f>
        <v>47027</v>
      </c>
      <c r="B560" s="199" t="str">
        <f>KPIs!AD$4</f>
        <v>Compresora</v>
      </c>
      <c r="C560" s="31" t="s">
        <v>89</v>
      </c>
      <c r="D560" s="199" t="str">
        <f>KPIs!$A$22</f>
        <v>12 · Cumplimiento de comités y subcomités de seguridad</v>
      </c>
      <c r="E560" s="31" t="s">
        <v>599</v>
      </c>
      <c r="F560" s="247" t="str">
        <f>IF(ISNUMBER(KPIs!AD22),KPIs!AD22,"")</f>
        <v/>
      </c>
      <c r="G560" s="247">
        <f>IF(ISNUMBER(KPIs!$C$22),KPIs!$C$22,"")</f>
        <v>1</v>
      </c>
      <c r="H560" s="199" t="str">
        <f>IFERROR(INDEX(_TARGETS!$E$2:$E$17,MATCH($C560,_TARGETS!$A$2:$A$17,0))&amp;"","")</f>
        <v>≥</v>
      </c>
      <c r="I560" s="199" t="str">
        <f t="shared" si="40"/>
        <v/>
      </c>
      <c r="J560" s="193" t="str">
        <f t="shared" si="41"/>
        <v>Monthly</v>
      </c>
      <c r="K560" s="248">
        <f>Datos!AD26</f>
        <v>0</v>
      </c>
      <c r="L560" s="248">
        <f>Datos!AD27</f>
        <v>0</v>
      </c>
      <c r="M560" s="193">
        <f>INDEX(_TARGETS!$J$2:$J$17,MATCH($C560,_TARGETS!$A$2:$A$17,0))</f>
        <v>1</v>
      </c>
      <c r="N560" s="193" t="str">
        <f>INDEX(_TARGETS!$D$2:$D$17,MATCH($C560,_TARGETS!$A$2:$A$17,0))</f>
        <v>% (fracción)</v>
      </c>
      <c r="O560" s="193" t="str">
        <f>IF(NOT(ISNUMBER(F560)),"MISSING",IF((COUNTBLANK(Datos!AD26)+COUNTBLANK(Datos!AD27))&gt;0,"INCOMPLETE","OK"))</f>
        <v>MISSING</v>
      </c>
      <c r="P560" s="193" t="str">
        <f>INDEX(_TARGETS!$K$2:$K$17,MATCH($C560,_TARGETS!$A$2:$A$17,0))</f>
        <v>OPS (carga manual en Datos)</v>
      </c>
      <c r="Q560" s="193" t="str">
        <f t="shared" si="42"/>
        <v>202810|CCS|Monthly</v>
      </c>
      <c r="R560" s="193" t="str">
        <f>INDEX(_TARGETS!$H$2:$H$17,MATCH($C560,_TARGETS!$A$2:$A$17,0))</f>
        <v>Definida</v>
      </c>
      <c r="S560" s="193" t="str">
        <f t="shared" si="43"/>
        <v/>
      </c>
      <c r="T560" s="193" t="str">
        <f t="shared" si="44"/>
        <v/>
      </c>
    </row>
    <row r="561" spans="1:20" ht="13.5" customHeight="1" x14ac:dyDescent="0.3">
      <c r="A561" s="245">
        <f>KPIs!$AD$3</f>
        <v>47027</v>
      </c>
      <c r="B561" s="199" t="str">
        <f>KPIs!AD$4</f>
        <v>Compresora</v>
      </c>
      <c r="C561" s="31" t="s">
        <v>91</v>
      </c>
      <c r="D561" s="199" t="str">
        <f>KPIs!$A$23</f>
        <v>13 · Días promedio para cerrar hallazgos</v>
      </c>
      <c r="E561" s="31" t="s">
        <v>599</v>
      </c>
      <c r="F561" s="247" t="str">
        <f>IF(ISNUMBER(KPIs!AD23),KPIs!AD23,"")</f>
        <v/>
      </c>
      <c r="G561" s="247" t="str">
        <f>IF(ISNUMBER(KPIs!$C$23),KPIs!$C$23,"")</f>
        <v/>
      </c>
      <c r="H561" s="199" t="str">
        <f>IFERROR(INDEX(_TARGETS!$E$2:$E$17,MATCH($C561,_TARGETS!$A$2:$A$17,0))&amp;"","")</f>
        <v>≤</v>
      </c>
      <c r="I561" s="199" t="str">
        <f t="shared" si="40"/>
        <v/>
      </c>
      <c r="J561" s="193" t="str">
        <f t="shared" si="41"/>
        <v>Monthly</v>
      </c>
      <c r="K561" s="248">
        <f>Datos!AD68</f>
        <v>0</v>
      </c>
      <c r="L561" s="248">
        <f>Datos!AD67</f>
        <v>0</v>
      </c>
      <c r="M561" s="193">
        <f>INDEX(_TARGETS!$J$2:$J$17,MATCH($C561,_TARGETS!$A$2:$A$17,0))</f>
        <v>1</v>
      </c>
      <c r="N561" s="193" t="str">
        <f>INDEX(_TARGETS!$D$2:$D$17,MATCH($C561,_TARGETS!$A$2:$A$17,0))</f>
        <v>días</v>
      </c>
      <c r="O561" s="193" t="str">
        <f>IF(NOT(ISNUMBER(F561)),"MISSING","OK")</f>
        <v>MISSING</v>
      </c>
      <c r="P561" s="193" t="str">
        <f>INDEX(_TARGETS!$K$2:$K$17,MATCH($C561,_TARGETS!$A$2:$A$17,0))</f>
        <v>Plant Findings (hoja Observaciones-SMP)</v>
      </c>
      <c r="Q561" s="193" t="str">
        <f t="shared" si="42"/>
        <v>202810|DPAS|Monthly</v>
      </c>
      <c r="R561" s="193" t="str">
        <f>INDEX(_TARGETS!$H$2:$H$17,MATCH($C561,_TARGETS!$A$2:$A$17,0))</f>
        <v>Pendiente (meta 2027)</v>
      </c>
      <c r="S561" s="193" t="str">
        <f t="shared" si="43"/>
        <v/>
      </c>
      <c r="T561" s="193" t="str">
        <f t="shared" si="44"/>
        <v/>
      </c>
    </row>
    <row r="562" spans="1:20" ht="13.5" customHeight="1" x14ac:dyDescent="0.3">
      <c r="A562" s="245">
        <f>KPIs!$AD$3</f>
        <v>47027</v>
      </c>
      <c r="B562" s="199" t="str">
        <f>KPIs!AD$4</f>
        <v>Compresora</v>
      </c>
      <c r="C562" s="31" t="s">
        <v>39</v>
      </c>
      <c r="D562" s="199" t="str">
        <f>KPIs!$A$26</f>
        <v>1 · Frecuencia de casos con días perdidos · ACUMULADO</v>
      </c>
      <c r="E562" s="31" t="s">
        <v>600</v>
      </c>
      <c r="F562" s="247" t="str">
        <f>IF(ISNUMBER(KPIs!AD26),KPIs!AD26,"")</f>
        <v/>
      </c>
      <c r="G562" s="247">
        <f>IF(ISNUMBER(KPIs!$C$26),KPIs!$C$26,"")</f>
        <v>0</v>
      </c>
      <c r="H562" s="199" t="str">
        <f>IFERROR(INDEX(_TARGETS!$E$2:$E$17,MATCH($C562,_TARGETS!$A$2:$A$17,0))&amp;"","")</f>
        <v>≤</v>
      </c>
      <c r="I562" s="199" t="str">
        <f t="shared" si="40"/>
        <v/>
      </c>
      <c r="J562" s="193" t="str">
        <f t="shared" si="41"/>
        <v>Cumulative</v>
      </c>
      <c r="K562" s="193">
        <f>SUM(Datos!$D33:AD33)</f>
        <v>0</v>
      </c>
      <c r="L562" s="193">
        <f>SUM(Datos!$D14:AD14)</f>
        <v>48332</v>
      </c>
      <c r="M562" s="193">
        <f>INDEX(_TARGETS!$J$2:$J$17,MATCH($C562,_TARGETS!$A$2:$A$17,0))</f>
        <v>1000000</v>
      </c>
      <c r="N562" s="193" t="str">
        <f>INDEX(_TARGETS!$D$2:$D$17,MATCH($C562,_TARGETS!$A$2:$A$17,0))</f>
        <v>casos / 10^6 HH</v>
      </c>
      <c r="O562" s="193" t="str">
        <f>IF(NOT(ISNUMBER(F562)),IF(SUMPRODUCT(($C$2:$C$1300=C562)*($J$2:$J$1300="Monthly")*($A$2:$A$1300&lt;=A562)*ISNUMBER($K$2:$K$1300)*ISNUMBER($L$2:$L$1300)*($L$2:$L$1300=0)*($K$2:$K$1300&gt;0))&gt;0,"INCOMPLETE","MISSING"),O548)</f>
        <v>MISSING</v>
      </c>
      <c r="P562" s="193" t="str">
        <f>INDEX(_TARGETS!$K$2:$K$17,MATCH($C562,_TARGETS!$A$2:$A$17,0))</f>
        <v>OPS (carga manual en Datos)</v>
      </c>
      <c r="Q562" s="193" t="str">
        <f t="shared" si="42"/>
        <v>202810|DAFWCF|Cumulative</v>
      </c>
      <c r="R562" s="193" t="str">
        <f>INDEX(_TARGETS!$H$2:$H$17,MATCH($C562,_TARGETS!$A$2:$A$17,0))</f>
        <v>Definida</v>
      </c>
      <c r="S562" s="193">
        <f t="shared" si="43"/>
        <v>0</v>
      </c>
      <c r="T562" s="193" t="str">
        <f t="shared" si="44"/>
        <v/>
      </c>
    </row>
    <row r="563" spans="1:20" ht="13.5" customHeight="1" x14ac:dyDescent="0.3">
      <c r="A563" s="245">
        <f>KPIs!$AD$3</f>
        <v>47027</v>
      </c>
      <c r="B563" s="199" t="str">
        <f>KPIs!AD$4</f>
        <v>Compresora</v>
      </c>
      <c r="C563" s="31" t="s">
        <v>49</v>
      </c>
      <c r="D563" s="199" t="str">
        <f>KPIs!$A$27</f>
        <v>2 · Frecuencia de casos registrables · ACUMULADO</v>
      </c>
      <c r="E563" s="31" t="s">
        <v>600</v>
      </c>
      <c r="F563" s="247" t="str">
        <f>IF(ISNUMBER(KPIs!AD27),KPIs!AD27,"")</f>
        <v/>
      </c>
      <c r="G563" s="247">
        <f>IF(ISNUMBER(KPIs!$C$27),KPIs!$C$27,"")</f>
        <v>2.35</v>
      </c>
      <c r="H563" s="199" t="str">
        <f>IFERROR(INDEX(_TARGETS!$E$2:$E$17,MATCH($C563,_TARGETS!$A$2:$A$17,0))&amp;"","")</f>
        <v>≤</v>
      </c>
      <c r="I563" s="199" t="str">
        <f t="shared" si="40"/>
        <v/>
      </c>
      <c r="J563" s="193" t="str">
        <f t="shared" si="41"/>
        <v>Cumulative</v>
      </c>
      <c r="K563" s="193">
        <f>SUM(Datos!$D33:AD33)+SUM(Datos!$D34:AD34)+SUM(Datos!$D35:AD35)+SUM(Datos!$D36:AD36)</f>
        <v>0</v>
      </c>
      <c r="L563" s="193">
        <f>SUM(Datos!$D14:AD14)</f>
        <v>48332</v>
      </c>
      <c r="M563" s="193">
        <f>INDEX(_TARGETS!$J$2:$J$17,MATCH($C563,_TARGETS!$A$2:$A$17,0))</f>
        <v>1000000</v>
      </c>
      <c r="N563" s="193" t="str">
        <f>INDEX(_TARGETS!$D$2:$D$17,MATCH($C563,_TARGETS!$A$2:$A$17,0))</f>
        <v>casos / 10^6 HH</v>
      </c>
      <c r="O563" s="193" t="str">
        <f>IF(NOT(ISNUMBER(F563)),IF(SUMPRODUCT(($C$2:$C$1300=C563)*($J$2:$J$1300="Monthly")*($A$2:$A$1300&lt;=A563)*ISNUMBER($K$2:$K$1300)*ISNUMBER($L$2:$L$1300)*($L$2:$L$1300=0)*($K$2:$K$1300&gt;0))&gt;0,"INCOMPLETE","MISSING"),O549)</f>
        <v>MISSING</v>
      </c>
      <c r="P563" s="193" t="str">
        <f>INDEX(_TARGETS!$K$2:$K$17,MATCH($C563,_TARGETS!$A$2:$A$17,0))</f>
        <v>OPS (carga manual en Datos)</v>
      </c>
      <c r="Q563" s="193" t="str">
        <f t="shared" si="42"/>
        <v>202810|TRICF|Cumulative</v>
      </c>
      <c r="R563" s="193" t="str">
        <f>INDEX(_TARGETS!$H$2:$H$17,MATCH($C563,_TARGETS!$A$2:$A$17,0))</f>
        <v>Definida</v>
      </c>
      <c r="S563" s="193">
        <f t="shared" si="43"/>
        <v>0</v>
      </c>
      <c r="T563" s="193" t="str">
        <f t="shared" si="44"/>
        <v/>
      </c>
    </row>
    <row r="564" spans="1:20" ht="13.5" customHeight="1" x14ac:dyDescent="0.3">
      <c r="A564" s="245">
        <f>KPIs!$AD$3</f>
        <v>47027</v>
      </c>
      <c r="B564" s="199" t="str">
        <f>KPIs!AD$4</f>
        <v>Compresora</v>
      </c>
      <c r="C564" s="31" t="s">
        <v>51</v>
      </c>
      <c r="D564" s="199" t="str">
        <f>KPIs!$A$28</f>
        <v>3 · Casos de primeros auxilios · ACUMULADO</v>
      </c>
      <c r="E564" s="31" t="s">
        <v>600</v>
      </c>
      <c r="F564" s="247" t="str">
        <f>IF(ISNUMBER(KPIs!AD28),KPIs!AD28,"")</f>
        <v/>
      </c>
      <c r="G564" s="247" t="str">
        <f>IF(ISNUMBER(KPIs!$C$28),KPIs!$C$28,"")</f>
        <v/>
      </c>
      <c r="H564" s="199" t="str">
        <f>IFERROR(INDEX(_TARGETS!$E$2:$E$17,MATCH($C564,_TARGETS!$A$2:$A$17,0))&amp;"","")</f>
        <v/>
      </c>
      <c r="I564" s="199" t="str">
        <f t="shared" si="40"/>
        <v/>
      </c>
      <c r="J564" s="193" t="str">
        <f t="shared" si="41"/>
        <v>Cumulative</v>
      </c>
      <c r="K564" s="193">
        <f>SUM(Datos!$D37:AD37)</f>
        <v>0</v>
      </c>
      <c r="M564" s="193">
        <f>INDEX(_TARGETS!$J$2:$J$17,MATCH($C564,_TARGETS!$A$2:$A$17,0))</f>
        <v>1</v>
      </c>
      <c r="N564" s="193" t="str">
        <f>INDEX(_TARGETS!$D$2:$D$17,MATCH($C564,_TARGETS!$A$2:$A$17,0))</f>
        <v>casos</v>
      </c>
      <c r="O564" s="193" t="str">
        <f>IF(NOT(ISNUMBER(F564)),IF(SUMPRODUCT(($C$2:$C$1300=C564)*($J$2:$J$1300="Monthly")*($A$2:$A$1300&lt;=A564)*ISNUMBER($K$2:$K$1300)*ISNUMBER($L$2:$L$1300)*($L$2:$L$1300=0)*($K$2:$K$1300&gt;0))&gt;0,"INCOMPLETE","MISSING"),O550)</f>
        <v>MISSING</v>
      </c>
      <c r="P564" s="193" t="str">
        <f>INDEX(_TARGETS!$K$2:$K$17,MATCH($C564,_TARGETS!$A$2:$A$17,0))</f>
        <v>OPS (carga manual en Datos)</v>
      </c>
      <c r="Q564" s="193" t="str">
        <f t="shared" si="42"/>
        <v>202810|FAC|Cumulative</v>
      </c>
      <c r="R564" s="193" t="str">
        <f>INDEX(_TARGETS!$H$2:$H$17,MATCH($C564,_TARGETS!$A$2:$A$17,0))</f>
        <v>Solo reporte</v>
      </c>
      <c r="S564" s="193">
        <f t="shared" si="43"/>
        <v>0</v>
      </c>
      <c r="T564" s="193" t="str">
        <f t="shared" si="44"/>
        <v/>
      </c>
    </row>
    <row r="565" spans="1:20" ht="13.5" customHeight="1" x14ac:dyDescent="0.3">
      <c r="A565" s="245">
        <f>KPIs!$AD$3</f>
        <v>47027</v>
      </c>
      <c r="B565" s="199" t="str">
        <f>KPIs!AD$4</f>
        <v>Compresora</v>
      </c>
      <c r="C565" s="31" t="s">
        <v>57</v>
      </c>
      <c r="D565" s="199" t="str">
        <f>KPIs!$A$29</f>
        <v>4 · Accidentes vehiculares severos · ACUMULADO</v>
      </c>
      <c r="E565" s="31" t="s">
        <v>600</v>
      </c>
      <c r="F565" s="247" t="str">
        <f>IF(ISNUMBER(KPIs!AD29),KPIs!AD29,"")</f>
        <v/>
      </c>
      <c r="G565" s="247" t="str">
        <f>IF(ISNUMBER(KPIs!$C$29),KPIs!$C$29,"")</f>
        <v/>
      </c>
      <c r="H565" s="199" t="str">
        <f>IFERROR(INDEX(_TARGETS!$E$2:$E$17,MATCH($C565,_TARGETS!$A$2:$A$17,0))&amp;"","")</f>
        <v/>
      </c>
      <c r="I565" s="199" t="str">
        <f t="shared" si="40"/>
        <v/>
      </c>
      <c r="J565" s="193" t="str">
        <f t="shared" si="41"/>
        <v>Cumulative</v>
      </c>
      <c r="K565" s="193">
        <f>SUM(Datos!$D39:AD39)+SUM(Datos!$D40:AD40)+SUM(Datos!$D41:AD41)</f>
        <v>0</v>
      </c>
      <c r="L565" s="193">
        <f>SUM(Datos!$D47:AD47)</f>
        <v>172824</v>
      </c>
      <c r="M565" s="193">
        <f>INDEX(_TARGETS!$J$2:$J$17,MATCH($C565,_TARGETS!$A$2:$A$17,0))</f>
        <v>1000000</v>
      </c>
      <c r="N565" s="193" t="str">
        <f>INDEX(_TARGETS!$D$2:$D$17,MATCH($C565,_TARGETS!$A$2:$A$17,0))</f>
        <v>eventos / 10^6 km</v>
      </c>
      <c r="O565" s="193" t="str">
        <f>IF(NOT(ISNUMBER(F565)),IF(SUMPRODUCT(($C$2:$C$1300=C565)*($J$2:$J$1300="Monthly")*($A$2:$A$1300&lt;=A565)*ISNUMBER($K$2:$K$1300)*ISNUMBER($L$2:$L$1300)*($L$2:$L$1300=0)*($K$2:$K$1300&gt;0))&gt;0,"INCOMPLETE","MISSING"),O551)</f>
        <v>MISSING</v>
      </c>
      <c r="P565" s="193" t="str">
        <f>INDEX(_TARGETS!$K$2:$K$17,MATCH($C565,_TARGETS!$A$2:$A$17,0))</f>
        <v>OPS (eventos) + Full Control GPS (km) - carga manual en Datos</v>
      </c>
      <c r="Q565" s="193" t="str">
        <f t="shared" si="42"/>
        <v>202810|SVCR|Cumulative</v>
      </c>
      <c r="R565" s="193" t="str">
        <f>INDEX(_TARGETS!$H$2:$H$17,MATCH($C565,_TARGETS!$A$2:$A$17,0))</f>
        <v>Solo reporte</v>
      </c>
      <c r="S565" s="193">
        <f t="shared" si="43"/>
        <v>0</v>
      </c>
      <c r="T565" s="193" t="str">
        <f t="shared" si="44"/>
        <v/>
      </c>
    </row>
    <row r="566" spans="1:20" ht="13.5" customHeight="1" x14ac:dyDescent="0.3">
      <c r="A566" s="245">
        <f>KPIs!$AD$3</f>
        <v>47027</v>
      </c>
      <c r="B566" s="199" t="str">
        <f>KPIs!AD$4</f>
        <v>Compresora</v>
      </c>
      <c r="C566" s="31" t="s">
        <v>61</v>
      </c>
      <c r="D566" s="199" t="str">
        <f>KPIs!$A$30</f>
        <v>5 · Accidentes vehiculares totales · ACUMULADO</v>
      </c>
      <c r="E566" s="31" t="s">
        <v>600</v>
      </c>
      <c r="F566" s="247" t="str">
        <f>IF(ISNUMBER(KPIs!AD30),KPIs!AD30,"")</f>
        <v/>
      </c>
      <c r="G566" s="247">
        <f>IF(ISNUMBER(KPIs!$C$30),KPIs!$C$30,"")</f>
        <v>0.79</v>
      </c>
      <c r="H566" s="199" t="str">
        <f>IFERROR(INDEX(_TARGETS!$E$2:$E$17,MATCH($C566,_TARGETS!$A$2:$A$17,0))&amp;"","")</f>
        <v>≤</v>
      </c>
      <c r="I566" s="199" t="str">
        <f t="shared" si="40"/>
        <v/>
      </c>
      <c r="J566" s="193" t="str">
        <f t="shared" si="41"/>
        <v>Cumulative</v>
      </c>
      <c r="K566" s="193">
        <f>SUM(Datos!$D39:AD39)+SUM(Datos!$D40:AD40)+SUM(Datos!$D41:AD41)+SUM(Datos!$D42:AD42)</f>
        <v>0</v>
      </c>
      <c r="L566" s="193">
        <f>SUM(Datos!$D47:AD47)</f>
        <v>172824</v>
      </c>
      <c r="M566" s="193">
        <f>INDEX(_TARGETS!$J$2:$J$17,MATCH($C566,_TARGETS!$A$2:$A$17,0))</f>
        <v>1000000</v>
      </c>
      <c r="N566" s="193" t="str">
        <f>INDEX(_TARGETS!$D$2:$D$17,MATCH($C566,_TARGETS!$A$2:$A$17,0))</f>
        <v>eventos / 10^6 km</v>
      </c>
      <c r="O566" s="193" t="str">
        <f>IF(NOT(ISNUMBER(F566)),IF(SUMPRODUCT(($C$2:$C$1300=C566)*($J$2:$J$1300="Monthly")*($A$2:$A$1300&lt;=A566)*ISNUMBER($K$2:$K$1300)*ISNUMBER($L$2:$L$1300)*($L$2:$L$1300=0)*($K$2:$K$1300&gt;0))&gt;0,"INCOMPLETE","MISSING"),O552)</f>
        <v>MISSING</v>
      </c>
      <c r="P566" s="193" t="str">
        <f>INDEX(_TARGETS!$K$2:$K$17,MATCH($C566,_TARGETS!$A$2:$A$17,0))</f>
        <v>OPS (eventos) + Full Control GPS (km) - carga manual en Datos</v>
      </c>
      <c r="Q566" s="193" t="str">
        <f t="shared" si="42"/>
        <v>202810|TVCR|Cumulative</v>
      </c>
      <c r="R566" s="193" t="str">
        <f>INDEX(_TARGETS!$H$2:$H$17,MATCH($C566,_TARGETS!$A$2:$A$17,0))</f>
        <v>Definida</v>
      </c>
      <c r="S566" s="193">
        <f t="shared" si="43"/>
        <v>0</v>
      </c>
      <c r="T566" s="193" t="str">
        <f t="shared" si="44"/>
        <v/>
      </c>
    </row>
    <row r="567" spans="1:20" ht="13.5" customHeight="1" x14ac:dyDescent="0.3">
      <c r="A567" s="245">
        <f>KPIs!$AD$3</f>
        <v>47027</v>
      </c>
      <c r="B567" s="199" t="str">
        <f>KPIs!AD$4</f>
        <v>Compresora</v>
      </c>
      <c r="C567" s="31" t="s">
        <v>96</v>
      </c>
      <c r="D567" s="199" t="str">
        <f>KPIs!$A$33</f>
        <v>C1 · % de desvíos detectados de gravedad Alta</v>
      </c>
      <c r="E567" s="31" t="s">
        <v>599</v>
      </c>
      <c r="F567" s="247" t="str">
        <f>IF(ISNUMBER(KPIs!AD33),KPIs!AD33,"")</f>
        <v/>
      </c>
      <c r="G567" s="247" t="str">
        <f>IF(ISNUMBER(KPIs!$C$33),KPIs!$C$33,"")</f>
        <v/>
      </c>
      <c r="H567" s="199" t="str">
        <f>IFERROR(INDEX(_TARGETS!$E$2:$E$17,MATCH($C567,_TARGETS!$A$2:$A$17,0))&amp;"","")</f>
        <v/>
      </c>
      <c r="I567" s="199" t="str">
        <f t="shared" si="40"/>
        <v/>
      </c>
      <c r="J567" s="193" t="str">
        <f t="shared" si="41"/>
        <v>Monthly</v>
      </c>
      <c r="K567" s="248">
        <f>Datos!AD71</f>
        <v>0</v>
      </c>
      <c r="L567" s="193">
        <f>Datos!AD71+Datos!AD72+Datos!AD73</f>
        <v>0</v>
      </c>
      <c r="M567" s="193">
        <f>INDEX(_TARGETS!$J$2:$J$17,MATCH($C567,_TARGETS!$A$2:$A$17,0))</f>
        <v>1</v>
      </c>
      <c r="N567" s="193" t="str">
        <f>INDEX(_TARGETS!$D$2:$D$17,MATCH($C567,_TARGETS!$A$2:$A$17,0))</f>
        <v>% (fracción)</v>
      </c>
      <c r="O567" s="193" t="str">
        <f>IF(NOT(ISNUMBER(F567)),"MISSING","OK")</f>
        <v>MISSING</v>
      </c>
      <c r="P567" s="193" t="str">
        <f>INDEX(_TARGETS!$K$2:$K$17,MATCH($C567,_TARGETS!$A$2:$A$17,0))</f>
        <v>Plant Findings (hoja Observaciones-SMP)</v>
      </c>
      <c r="Q567" s="193" t="str">
        <f t="shared" si="42"/>
        <v>202810|HAL_ALTA_PCT|Monthly</v>
      </c>
      <c r="R567" s="193" t="str">
        <f>INDEX(_TARGETS!$H$2:$H$17,MATCH($C567,_TARGETS!$A$2:$A$17,0))</f>
        <v>Solo reporte</v>
      </c>
      <c r="S567" s="193" t="str">
        <f t="shared" si="43"/>
        <v/>
      </c>
      <c r="T567" s="193" t="str">
        <f t="shared" si="44"/>
        <v/>
      </c>
    </row>
    <row r="568" spans="1:20" ht="13.5" customHeight="1" x14ac:dyDescent="0.3">
      <c r="A568" s="245">
        <f>KPIs!$AD$3</f>
        <v>47027</v>
      </c>
      <c r="B568" s="199" t="str">
        <f>KPIs!AD$4</f>
        <v>Compresora</v>
      </c>
      <c r="C568" s="31" t="s">
        <v>98</v>
      </c>
      <c r="D568" s="199" t="str">
        <f>KPIs!$A$34</f>
        <v>C2 · Detenciones de tareas aplicadas</v>
      </c>
      <c r="E568" s="31" t="s">
        <v>599</v>
      </c>
      <c r="F568" s="247" t="str">
        <f>IF(ISNUMBER(KPIs!AD34),KPIs!AD34,"")</f>
        <v/>
      </c>
      <c r="G568" s="247" t="str">
        <f>IF(ISNUMBER(KPIs!$C$34),KPIs!$C$34,"")</f>
        <v/>
      </c>
      <c r="H568" s="199" t="str">
        <f>IFERROR(INDEX(_TARGETS!$E$2:$E$17,MATCH($C568,_TARGETS!$A$2:$A$17,0))&amp;"","")</f>
        <v/>
      </c>
      <c r="I568" s="199" t="str">
        <f t="shared" si="40"/>
        <v/>
      </c>
      <c r="J568" s="193" t="str">
        <f t="shared" si="41"/>
        <v>Monthly</v>
      </c>
      <c r="K568" s="248">
        <f>Datos!AD75</f>
        <v>0</v>
      </c>
      <c r="M568" s="193">
        <f>INDEX(_TARGETS!$J$2:$J$17,MATCH($C568,_TARGETS!$A$2:$A$17,0))</f>
        <v>1</v>
      </c>
      <c r="N568" s="193" t="str">
        <f>INDEX(_TARGETS!$D$2:$D$17,MATCH($C568,_TARGETS!$A$2:$A$17,0))</f>
        <v>u</v>
      </c>
      <c r="O568" s="193" t="str">
        <f>IF(NOT(ISNUMBER(F568)),"MISSING","OK")</f>
        <v>MISSING</v>
      </c>
      <c r="P568" s="193" t="str">
        <f>INDEX(_TARGETS!$K$2:$K$17,MATCH($C568,_TARGETS!$A$2:$A$17,0))</f>
        <v>Plant Findings (hoja Observaciones-SMP)</v>
      </c>
      <c r="Q568" s="193" t="str">
        <f t="shared" si="42"/>
        <v>202810|DET|Monthly</v>
      </c>
      <c r="R568" s="193" t="str">
        <f>INDEX(_TARGETS!$H$2:$H$17,MATCH($C568,_TARGETS!$A$2:$A$17,0))</f>
        <v>Solo reporte</v>
      </c>
      <c r="S568" s="193" t="str">
        <f t="shared" si="43"/>
        <v/>
      </c>
      <c r="T568" s="193" t="str">
        <f t="shared" si="44"/>
        <v/>
      </c>
    </row>
    <row r="569" spans="1:20" ht="13.5" customHeight="1" x14ac:dyDescent="0.3">
      <c r="A569" s="245">
        <f>KPIs!$AE$3</f>
        <v>47058</v>
      </c>
      <c r="B569" s="199" t="str">
        <f>KPIs!AE$4</f>
        <v>Compresora</v>
      </c>
      <c r="C569" s="31" t="s">
        <v>39</v>
      </c>
      <c r="D569" s="199" t="str">
        <f>KPIs!$A$6</f>
        <v>1 · Frecuencia de casos con días perdidos</v>
      </c>
      <c r="E569" s="31" t="s">
        <v>599</v>
      </c>
      <c r="F569" s="247" t="str">
        <f>IF(ISNUMBER(KPIs!AE6),KPIs!AE6,"")</f>
        <v/>
      </c>
      <c r="G569" s="247">
        <f>IF(ISNUMBER(KPIs!$C$6),KPIs!$C$6,"")</f>
        <v>0</v>
      </c>
      <c r="H569" s="199" t="str">
        <f>IFERROR(INDEX(_TARGETS!$E$2:$E$17,MATCH($C569,_TARGETS!$A$2:$A$17,0))&amp;"","")</f>
        <v>≤</v>
      </c>
      <c r="I569" s="199" t="str">
        <f t="shared" si="40"/>
        <v/>
      </c>
      <c r="J569" s="193" t="str">
        <f t="shared" si="41"/>
        <v>Monthly</v>
      </c>
      <c r="K569" s="248">
        <f>Datos!AE33</f>
        <v>0</v>
      </c>
      <c r="L569" s="248">
        <f>Datos!AE14</f>
        <v>0</v>
      </c>
      <c r="M569" s="193">
        <f>INDEX(_TARGETS!$J$2:$J$17,MATCH($C569,_TARGETS!$A$2:$A$17,0))</f>
        <v>1000000</v>
      </c>
      <c r="N569" s="193" t="str">
        <f>INDEX(_TARGETS!$D$2:$D$17,MATCH($C569,_TARGETS!$A$2:$A$17,0))</f>
        <v>casos / 10^6 HH</v>
      </c>
      <c r="O569" s="193" t="str">
        <f>IF(NOT(ISNUMBER(F569)),"MISSING",IF((COUNTBLANK(Datos!AE12)+COUNTBLANK(Datos!AE13)+COUNTBLANK(Datos!AE33))&gt;0,"INCOMPLETE","OK"))</f>
        <v>MISSING</v>
      </c>
      <c r="P569" s="193" t="str">
        <f>INDEX(_TARGETS!$K$2:$K$17,MATCH($C569,_TARGETS!$A$2:$A$17,0))</f>
        <v>OPS (carga manual en Datos)</v>
      </c>
      <c r="Q569" s="193" t="str">
        <f t="shared" si="42"/>
        <v>202811|DAFWCF|Monthly</v>
      </c>
      <c r="R569" s="193" t="str">
        <f>INDEX(_TARGETS!$H$2:$H$17,MATCH($C569,_TARGETS!$A$2:$A$17,0))</f>
        <v>Definida</v>
      </c>
      <c r="S569" s="193" t="str">
        <f t="shared" si="43"/>
        <v/>
      </c>
      <c r="T569" s="193" t="str">
        <f t="shared" si="44"/>
        <v/>
      </c>
    </row>
    <row r="570" spans="1:20" ht="13.5" customHeight="1" x14ac:dyDescent="0.3">
      <c r="A570" s="245">
        <f>KPIs!$AE$3</f>
        <v>47058</v>
      </c>
      <c r="B570" s="199" t="str">
        <f>KPIs!AE$4</f>
        <v>Compresora</v>
      </c>
      <c r="C570" s="31" t="s">
        <v>49</v>
      </c>
      <c r="D570" s="199" t="str">
        <f>KPIs!$A$7</f>
        <v>2 · Frecuencia de casos registrables</v>
      </c>
      <c r="E570" s="31" t="s">
        <v>599</v>
      </c>
      <c r="F570" s="247" t="str">
        <f>IF(ISNUMBER(KPIs!AE7),KPIs!AE7,"")</f>
        <v/>
      </c>
      <c r="G570" s="247">
        <f>IF(ISNUMBER(KPIs!$C$7),KPIs!$C$7,"")</f>
        <v>2.35</v>
      </c>
      <c r="H570" s="199" t="str">
        <f>IFERROR(INDEX(_TARGETS!$E$2:$E$17,MATCH($C570,_TARGETS!$A$2:$A$17,0))&amp;"","")</f>
        <v>≤</v>
      </c>
      <c r="I570" s="199" t="str">
        <f t="shared" si="40"/>
        <v/>
      </c>
      <c r="J570" s="193" t="str">
        <f t="shared" si="41"/>
        <v>Monthly</v>
      </c>
      <c r="K570" s="193">
        <f>Datos!AE33+Datos!AE34+Datos!AE35+Datos!AE36</f>
        <v>0</v>
      </c>
      <c r="L570" s="248">
        <f>Datos!AE14</f>
        <v>0</v>
      </c>
      <c r="M570" s="193">
        <f>INDEX(_TARGETS!$J$2:$J$17,MATCH($C570,_TARGETS!$A$2:$A$17,0))</f>
        <v>1000000</v>
      </c>
      <c r="N570" s="193" t="str">
        <f>INDEX(_TARGETS!$D$2:$D$17,MATCH($C570,_TARGETS!$A$2:$A$17,0))</f>
        <v>casos / 10^6 HH</v>
      </c>
      <c r="O570" s="193" t="str">
        <f>IF(NOT(ISNUMBER(F570)),"MISSING",IF((COUNTBLANK(Datos!AE12)+COUNTBLANK(Datos!AE13)+COUNTBLANK(Datos!AE33)+COUNTBLANK(Datos!AE34)+COUNTBLANK(Datos!AE35)+COUNTBLANK(Datos!AE36))&gt;0,"INCOMPLETE","OK"))</f>
        <v>MISSING</v>
      </c>
      <c r="P570" s="193" t="str">
        <f>INDEX(_TARGETS!$K$2:$K$17,MATCH($C570,_TARGETS!$A$2:$A$17,0))</f>
        <v>OPS (carga manual en Datos)</v>
      </c>
      <c r="Q570" s="193" t="str">
        <f t="shared" si="42"/>
        <v>202811|TRICF|Monthly</v>
      </c>
      <c r="R570" s="193" t="str">
        <f>INDEX(_TARGETS!$H$2:$H$17,MATCH($C570,_TARGETS!$A$2:$A$17,0))</f>
        <v>Definida</v>
      </c>
      <c r="S570" s="193" t="str">
        <f t="shared" si="43"/>
        <v/>
      </c>
      <c r="T570" s="193" t="str">
        <f t="shared" si="44"/>
        <v/>
      </c>
    </row>
    <row r="571" spans="1:20" ht="13.5" customHeight="1" x14ac:dyDescent="0.3">
      <c r="A571" s="245">
        <f>KPIs!$AE$3</f>
        <v>47058</v>
      </c>
      <c r="B571" s="199" t="str">
        <f>KPIs!AE$4</f>
        <v>Compresora</v>
      </c>
      <c r="C571" s="31" t="s">
        <v>51</v>
      </c>
      <c r="D571" s="199" t="str">
        <f>KPIs!$A$8</f>
        <v>3 · Casos de primeros auxilios</v>
      </c>
      <c r="E571" s="31" t="s">
        <v>599</v>
      </c>
      <c r="F571" s="247" t="str">
        <f>IF(ISNUMBER(KPIs!AE8),KPIs!AE8,"")</f>
        <v/>
      </c>
      <c r="G571" s="247" t="str">
        <f>IF(ISNUMBER(KPIs!$C$8),KPIs!$C$8,"")</f>
        <v/>
      </c>
      <c r="H571" s="199" t="str">
        <f>IFERROR(INDEX(_TARGETS!$E$2:$E$17,MATCH($C571,_TARGETS!$A$2:$A$17,0))&amp;"","")</f>
        <v/>
      </c>
      <c r="I571" s="199" t="str">
        <f t="shared" si="40"/>
        <v/>
      </c>
      <c r="J571" s="193" t="str">
        <f t="shared" si="41"/>
        <v>Monthly</v>
      </c>
      <c r="K571" s="248">
        <f>Datos!AE37</f>
        <v>0</v>
      </c>
      <c r="M571" s="193">
        <f>INDEX(_TARGETS!$J$2:$J$17,MATCH($C571,_TARGETS!$A$2:$A$17,0))</f>
        <v>1</v>
      </c>
      <c r="N571" s="193" t="str">
        <f>INDEX(_TARGETS!$D$2:$D$17,MATCH($C571,_TARGETS!$A$2:$A$17,0))</f>
        <v>casos</v>
      </c>
      <c r="O571" s="193" t="str">
        <f>IF(NOT(ISNUMBER(F571)),"MISSING",IF((COUNTBLANK(Datos!AE12)+COUNTBLANK(Datos!AE13)+COUNTBLANK(Datos!AE37))&gt;0,"INCOMPLETE","OK"))</f>
        <v>MISSING</v>
      </c>
      <c r="P571" s="193" t="str">
        <f>INDEX(_TARGETS!$K$2:$K$17,MATCH($C571,_TARGETS!$A$2:$A$17,0))</f>
        <v>OPS (carga manual en Datos)</v>
      </c>
      <c r="Q571" s="193" t="str">
        <f t="shared" si="42"/>
        <v>202811|FAC|Monthly</v>
      </c>
      <c r="R571" s="193" t="str">
        <f>INDEX(_TARGETS!$H$2:$H$17,MATCH($C571,_TARGETS!$A$2:$A$17,0))</f>
        <v>Solo reporte</v>
      </c>
      <c r="S571" s="193" t="str">
        <f t="shared" si="43"/>
        <v/>
      </c>
      <c r="T571" s="193" t="str">
        <f t="shared" si="44"/>
        <v/>
      </c>
    </row>
    <row r="572" spans="1:20" ht="13.5" customHeight="1" x14ac:dyDescent="0.3">
      <c r="A572" s="245">
        <f>KPIs!$AE$3</f>
        <v>47058</v>
      </c>
      <c r="B572" s="199" t="str">
        <f>KPIs!AE$4</f>
        <v>Compresora</v>
      </c>
      <c r="C572" s="31" t="s">
        <v>57</v>
      </c>
      <c r="D572" s="199" t="str">
        <f>KPIs!$A$10</f>
        <v>4 · Accidentes vehiculares severos por millón de km</v>
      </c>
      <c r="E572" s="31" t="s">
        <v>599</v>
      </c>
      <c r="F572" s="247" t="str">
        <f>IF(ISNUMBER(KPIs!AE10),KPIs!AE10,"")</f>
        <v/>
      </c>
      <c r="G572" s="247" t="str">
        <f>IF(ISNUMBER(KPIs!$C$10),KPIs!$C$10,"")</f>
        <v/>
      </c>
      <c r="H572" s="199" t="str">
        <f>IFERROR(INDEX(_TARGETS!$E$2:$E$17,MATCH($C572,_TARGETS!$A$2:$A$17,0))&amp;"","")</f>
        <v/>
      </c>
      <c r="I572" s="199" t="str">
        <f t="shared" si="40"/>
        <v/>
      </c>
      <c r="J572" s="193" t="str">
        <f t="shared" si="41"/>
        <v>Monthly</v>
      </c>
      <c r="K572" s="193">
        <f>Datos!AE39+Datos!AE40+Datos!AE41</f>
        <v>0</v>
      </c>
      <c r="L572" s="248">
        <f>Datos!AE47</f>
        <v>0</v>
      </c>
      <c r="M572" s="193">
        <f>INDEX(_TARGETS!$J$2:$J$17,MATCH($C572,_TARGETS!$A$2:$A$17,0))</f>
        <v>1000000</v>
      </c>
      <c r="N572" s="193" t="str">
        <f>INDEX(_TARGETS!$D$2:$D$17,MATCH($C572,_TARGETS!$A$2:$A$17,0))</f>
        <v>eventos / 10^6 km</v>
      </c>
      <c r="O572" s="193" t="str">
        <f>IF(NOT(ISNUMBER(F572)),"MISSING",IF((COUNTBLANK(Datos!AE44)+COUNTBLANK(Datos!AE45)+COUNTBLANK(Datos!AE46)+COUNTBLANK(Datos!AE39)+COUNTBLANK(Datos!AE40)+COUNTBLANK(Datos!AE41))&gt;0,"INCOMPLETE","OK"))</f>
        <v>MISSING</v>
      </c>
      <c r="P572" s="193" t="str">
        <f>INDEX(_TARGETS!$K$2:$K$17,MATCH($C572,_TARGETS!$A$2:$A$17,0))</f>
        <v>OPS (eventos) + Full Control GPS (km) - carga manual en Datos</v>
      </c>
      <c r="Q572" s="193" t="str">
        <f t="shared" si="42"/>
        <v>202811|SVCR|Monthly</v>
      </c>
      <c r="R572" s="193" t="str">
        <f>INDEX(_TARGETS!$H$2:$H$17,MATCH($C572,_TARGETS!$A$2:$A$17,0))</f>
        <v>Solo reporte</v>
      </c>
      <c r="S572" s="193" t="str">
        <f t="shared" si="43"/>
        <v/>
      </c>
      <c r="T572" s="193" t="str">
        <f t="shared" si="44"/>
        <v/>
      </c>
    </row>
    <row r="573" spans="1:20" ht="13.5" customHeight="1" x14ac:dyDescent="0.3">
      <c r="A573" s="245">
        <f>KPIs!$AE$3</f>
        <v>47058</v>
      </c>
      <c r="B573" s="199" t="str">
        <f>KPIs!AE$4</f>
        <v>Compresora</v>
      </c>
      <c r="C573" s="31" t="s">
        <v>61</v>
      </c>
      <c r="D573" s="199" t="str">
        <f>KPIs!$A$11</f>
        <v>5 · Accidentes vehiculares totales por millón de km</v>
      </c>
      <c r="E573" s="31" t="s">
        <v>599</v>
      </c>
      <c r="F573" s="247" t="str">
        <f>IF(ISNUMBER(KPIs!AE11),KPIs!AE11,"")</f>
        <v/>
      </c>
      <c r="G573" s="247">
        <f>IF(ISNUMBER(KPIs!$C$11),KPIs!$C$11,"")</f>
        <v>0.79</v>
      </c>
      <c r="H573" s="199" t="str">
        <f>IFERROR(INDEX(_TARGETS!$E$2:$E$17,MATCH($C573,_TARGETS!$A$2:$A$17,0))&amp;"","")</f>
        <v>≤</v>
      </c>
      <c r="I573" s="199" t="str">
        <f t="shared" si="40"/>
        <v/>
      </c>
      <c r="J573" s="193" t="str">
        <f t="shared" si="41"/>
        <v>Monthly</v>
      </c>
      <c r="K573" s="193">
        <f>Datos!AE39+Datos!AE40+Datos!AE41+Datos!AE42</f>
        <v>0</v>
      </c>
      <c r="L573" s="248">
        <f>Datos!AE47</f>
        <v>0</v>
      </c>
      <c r="M573" s="193">
        <f>INDEX(_TARGETS!$J$2:$J$17,MATCH($C573,_TARGETS!$A$2:$A$17,0))</f>
        <v>1000000</v>
      </c>
      <c r="N573" s="193" t="str">
        <f>INDEX(_TARGETS!$D$2:$D$17,MATCH($C573,_TARGETS!$A$2:$A$17,0))</f>
        <v>eventos / 10^6 km</v>
      </c>
      <c r="O573" s="193" t="str">
        <f>IF(NOT(ISNUMBER(F573)),"MISSING",IF((COUNTBLANK(Datos!AE44)+COUNTBLANK(Datos!AE45)+COUNTBLANK(Datos!AE46)+COUNTBLANK(Datos!AE39)+COUNTBLANK(Datos!AE40)+COUNTBLANK(Datos!AE41)+COUNTBLANK(Datos!AE42))&gt;0,"INCOMPLETE","OK"))</f>
        <v>MISSING</v>
      </c>
      <c r="P573" s="193" t="str">
        <f>INDEX(_TARGETS!$K$2:$K$17,MATCH($C573,_TARGETS!$A$2:$A$17,0))</f>
        <v>OPS (eventos) + Full Control GPS (km) - carga manual en Datos</v>
      </c>
      <c r="Q573" s="193" t="str">
        <f t="shared" si="42"/>
        <v>202811|TVCR|Monthly</v>
      </c>
      <c r="R573" s="193" t="str">
        <f>INDEX(_TARGETS!$H$2:$H$17,MATCH($C573,_TARGETS!$A$2:$A$17,0))</f>
        <v>Definida</v>
      </c>
      <c r="S573" s="193" t="str">
        <f t="shared" si="43"/>
        <v/>
      </c>
      <c r="T573" s="193" t="str">
        <f t="shared" si="44"/>
        <v/>
      </c>
    </row>
    <row r="574" spans="1:20" ht="13.5" customHeight="1" x14ac:dyDescent="0.3">
      <c r="A574" s="245">
        <f>KPIs!$AE$3</f>
        <v>47058</v>
      </c>
      <c r="B574" s="199" t="str">
        <f>KPIs!AE$4</f>
        <v>Compresora</v>
      </c>
      <c r="C574" s="31" t="s">
        <v>63</v>
      </c>
      <c r="D574" s="199" t="str">
        <f>KPIs!$A$13</f>
        <v>6 · Observaciones de seguridad por persona</v>
      </c>
      <c r="E574" s="31" t="s">
        <v>599</v>
      </c>
      <c r="F574" s="247" t="str">
        <f>IF(ISNUMBER(KPIs!AE13),KPIs!AE13,"")</f>
        <v/>
      </c>
      <c r="G574" s="247">
        <f>IF(ISNUMBER(KPIs!$C$13),KPIs!$C$13,"")</f>
        <v>1</v>
      </c>
      <c r="H574" s="199" t="str">
        <f>IFERROR(INDEX(_TARGETS!$E$2:$E$17,MATCH($C574,_TARGETS!$A$2:$A$17,0))&amp;"","")</f>
        <v>≥</v>
      </c>
      <c r="I574" s="199" t="str">
        <f t="shared" si="40"/>
        <v/>
      </c>
      <c r="J574" s="193" t="str">
        <f t="shared" si="41"/>
        <v>Monthly</v>
      </c>
      <c r="K574" s="248" t="str">
        <f>IF(COUNT(Datos!AE28:AE29)=0,"",SUM(Datos!AE28:AE29))</f>
        <v/>
      </c>
      <c r="L574" s="248">
        <f>Datos!AE11</f>
        <v>0</v>
      </c>
      <c r="M574" s="193">
        <f>INDEX(_TARGETS!$J$2:$J$17,MATCH($C574,_TARGETS!$A$2:$A$17,0))</f>
        <v>1</v>
      </c>
      <c r="N574" s="193" t="str">
        <f>INDEX(_TARGETS!$D$2:$D$17,MATCH($C574,_TARGETS!$A$2:$A$17,0))</f>
        <v>obs / persona</v>
      </c>
      <c r="O574" s="193" t="str">
        <f>IF(NOT(ISNUMBER(F574)),"MISSING",IF((COUNTBLANK(Datos!AE9)+COUNTBLANK(Datos!AE10)+IF(COUNT(Datos!AE28:AE29)=0,1,0))&gt;0,"INCOMPLETE","OK"))</f>
        <v>MISSING</v>
      </c>
      <c r="P574" s="193" t="str">
        <f>INDEX(_TARGETS!$K$2:$K$17,MATCH($C574,_TARGETS!$A$2:$A$17,0))</f>
        <v>OPS (carga manual en Datos)</v>
      </c>
      <c r="Q574" s="193" t="str">
        <f t="shared" si="42"/>
        <v>202811|OBS|Monthly</v>
      </c>
      <c r="R574" s="193" t="str">
        <f>INDEX(_TARGETS!$H$2:$H$17,MATCH($C574,_TARGETS!$A$2:$A$17,0))</f>
        <v>PROVISORIA · referencia del subcontratista (OPS: 1 obs/persona); meta y población en definición</v>
      </c>
      <c r="S574" s="193" t="str">
        <f t="shared" si="43"/>
        <v/>
      </c>
      <c r="T574" s="193" t="str">
        <f t="shared" si="44"/>
        <v/>
      </c>
    </row>
    <row r="575" spans="1:20" ht="13.5" customHeight="1" x14ac:dyDescent="0.3">
      <c r="A575" s="245">
        <f>KPIs!$AE$3</f>
        <v>47058</v>
      </c>
      <c r="B575" s="199" t="str">
        <f>KPIs!AE$4</f>
        <v>Compresora</v>
      </c>
      <c r="C575" s="31" t="s">
        <v>71</v>
      </c>
      <c r="D575" s="199" t="str">
        <f>KPIs!$A$14</f>
        <v>7 · Investigaciones de accidentes: días promedio de cierre</v>
      </c>
      <c r="E575" s="31" t="s">
        <v>599</v>
      </c>
      <c r="F575" s="247" t="str">
        <f>IF(ISNUMBER(KPIs!AE14),KPIs!AE14,"")</f>
        <v/>
      </c>
      <c r="G575" s="247">
        <f>IF(ISNUMBER(KPIs!$C$14),KPIs!$C$14,"")</f>
        <v>20</v>
      </c>
      <c r="H575" s="199" t="str">
        <f>IFERROR(INDEX(_TARGETS!$E$2:$E$17,MATCH($C575,_TARGETS!$A$2:$A$17,0))&amp;"","")</f>
        <v>≤</v>
      </c>
      <c r="I575" s="199" t="str">
        <f t="shared" si="40"/>
        <v/>
      </c>
      <c r="J575" s="193" t="str">
        <f t="shared" si="41"/>
        <v>Monthly</v>
      </c>
      <c r="K575" s="248">
        <f>Datos!AE31</f>
        <v>0</v>
      </c>
      <c r="L575" s="248">
        <f>Datos!AE30</f>
        <v>0</v>
      </c>
      <c r="M575" s="193">
        <f>INDEX(_TARGETS!$J$2:$J$17,MATCH($C575,_TARGETS!$A$2:$A$17,0))</f>
        <v>1</v>
      </c>
      <c r="N575" s="193" t="str">
        <f>INDEX(_TARGETS!$D$2:$D$17,MATCH($C575,_TARGETS!$A$2:$A$17,0))</f>
        <v>días</v>
      </c>
      <c r="O575" s="193" t="str">
        <f>IF(NOT(ISNUMBER(F575)),"MISSING",IF((COUNTBLANK(Datos!AE30)+COUNTBLANK(Datos!AE31))&gt;0,"INCOMPLETE","OK"))</f>
        <v>MISSING</v>
      </c>
      <c r="P575" s="193" t="str">
        <f>INDEX(_TARGETS!$K$2:$K$17,MATCH($C575,_TARGETS!$A$2:$A$17,0))</f>
        <v>OPS (carga manual en Datos)</v>
      </c>
      <c r="Q575" s="193" t="str">
        <f t="shared" si="42"/>
        <v>202811|INV|Monthly</v>
      </c>
      <c r="R575" s="193" t="str">
        <f>INDEX(_TARGETS!$H$2:$H$17,MATCH($C575,_TARGETS!$A$2:$A$17,0))</f>
        <v>Definida</v>
      </c>
      <c r="S575" s="193" t="str">
        <f t="shared" si="43"/>
        <v/>
      </c>
      <c r="T575" s="193" t="str">
        <f t="shared" si="44"/>
        <v/>
      </c>
    </row>
    <row r="576" spans="1:20" ht="13.5" customHeight="1" x14ac:dyDescent="0.3">
      <c r="A576" s="245">
        <f>KPIs!$AE$3</f>
        <v>47058</v>
      </c>
      <c r="B576" s="199" t="str">
        <f>KPIs!AE$4</f>
        <v>Compresora</v>
      </c>
      <c r="C576" s="31" t="s">
        <v>76</v>
      </c>
      <c r="D576" s="199" t="str">
        <f>KPIs!$A$16</f>
        <v>8 · % de capacitación en seguridad</v>
      </c>
      <c r="E576" s="31" t="s">
        <v>599</v>
      </c>
      <c r="F576" s="247" t="str">
        <f>IF(ISNUMBER(KPIs!AE16),KPIs!AE16,"")</f>
        <v/>
      </c>
      <c r="G576" s="247">
        <f>IF(ISNUMBER(KPIs!$C$16),KPIs!$C$16,"")</f>
        <v>0.01</v>
      </c>
      <c r="H576" s="199" t="str">
        <f>IFERROR(INDEX(_TARGETS!$E$2:$E$17,MATCH($C576,_TARGETS!$A$2:$A$17,0))&amp;"","")</f>
        <v>≥</v>
      </c>
      <c r="I576" s="199" t="str">
        <f t="shared" si="40"/>
        <v/>
      </c>
      <c r="J576" s="193" t="str">
        <f t="shared" si="41"/>
        <v>Monthly</v>
      </c>
      <c r="K576" s="248">
        <f>Datos!AE18</f>
        <v>0</v>
      </c>
      <c r="L576" s="248">
        <f>Datos!AE14</f>
        <v>0</v>
      </c>
      <c r="M576" s="193">
        <f>INDEX(_TARGETS!$J$2:$J$17,MATCH($C576,_TARGETS!$A$2:$A$17,0))</f>
        <v>1</v>
      </c>
      <c r="N576" s="193" t="str">
        <f>INDEX(_TARGETS!$D$2:$D$17,MATCH($C576,_TARGETS!$A$2:$A$17,0))</f>
        <v>% (fracción)</v>
      </c>
      <c r="O576" s="193" t="str">
        <f>IF(NOT(ISNUMBER(F576)),"MISSING",IF((COUNTBLANK(Datos!AE16)+COUNTBLANK(Datos!AE17)+COUNTBLANK(Datos!AE12)+COUNTBLANK(Datos!AE13))&gt;0,"INCOMPLETE","OK"))</f>
        <v>MISSING</v>
      </c>
      <c r="P576" s="193" t="str">
        <f>INDEX(_TARGETS!$K$2:$K$17,MATCH($C576,_TARGETS!$A$2:$A$17,0))</f>
        <v>OPS (carga manual en Datos)</v>
      </c>
      <c r="Q576" s="193" t="str">
        <f t="shared" si="42"/>
        <v>202811|HCS|Monthly</v>
      </c>
      <c r="R576" s="193" t="str">
        <f>INDEX(_TARGETS!$H$2:$H$17,MATCH($C576,_TARGETS!$A$2:$A$17,0))</f>
        <v>Definida</v>
      </c>
      <c r="S576" s="193" t="str">
        <f t="shared" si="43"/>
        <v/>
      </c>
      <c r="T576" s="193" t="str">
        <f t="shared" si="44"/>
        <v/>
      </c>
    </row>
    <row r="577" spans="1:20" ht="13.5" customHeight="1" x14ac:dyDescent="0.3">
      <c r="A577" s="245">
        <f>KPIs!$AE$3</f>
        <v>47058</v>
      </c>
      <c r="B577" s="199" t="str">
        <f>KPIs!AE$4</f>
        <v>Compresora</v>
      </c>
      <c r="C577" s="31" t="s">
        <v>80</v>
      </c>
      <c r="D577" s="199" t="str">
        <f>KPIs!$A$17</f>
        <v>9 · Horas de capacitación por persona</v>
      </c>
      <c r="E577" s="31" t="s">
        <v>599</v>
      </c>
      <c r="F577" s="247" t="str">
        <f>IF(ISNUMBER(KPIs!AE17),KPIs!AE17,"")</f>
        <v/>
      </c>
      <c r="G577" s="247" t="str">
        <f>IF(ISNUMBER(KPIs!$C$17),KPIs!$C$17,"")</f>
        <v/>
      </c>
      <c r="H577" s="199" t="str">
        <f>IFERROR(INDEX(_TARGETS!$E$2:$E$17,MATCH($C577,_TARGETS!$A$2:$A$17,0))&amp;"","")</f>
        <v/>
      </c>
      <c r="I577" s="199" t="str">
        <f t="shared" si="40"/>
        <v/>
      </c>
      <c r="J577" s="193" t="str">
        <f t="shared" si="41"/>
        <v>Monthly</v>
      </c>
      <c r="K577" s="248">
        <f>Datos!AE18</f>
        <v>0</v>
      </c>
      <c r="L577" s="248">
        <f>Datos!AE11</f>
        <v>0</v>
      </c>
      <c r="M577" s="193">
        <f>INDEX(_TARGETS!$J$2:$J$17,MATCH($C577,_TARGETS!$A$2:$A$17,0))</f>
        <v>1</v>
      </c>
      <c r="N577" s="193" t="str">
        <f>INDEX(_TARGETS!$D$2:$D$17,MATCH($C577,_TARGETS!$A$2:$A$17,0))</f>
        <v>h / persona</v>
      </c>
      <c r="O577" s="193" t="str">
        <f>IF(NOT(ISNUMBER(F577)),"MISSING",IF((COUNTBLANK(Datos!AE16)+COUNTBLANK(Datos!AE17)+COUNTBLANK(Datos!AE9)+COUNTBLANK(Datos!AE10))&gt;0,"INCOMPLETE","OK"))</f>
        <v>MISSING</v>
      </c>
      <c r="P577" s="193" t="str">
        <f>INDEX(_TARGETS!$K$2:$K$17,MATCH($C577,_TARGETS!$A$2:$A$17,0))</f>
        <v>OPS (carga manual en Datos)</v>
      </c>
      <c r="Q577" s="193" t="str">
        <f t="shared" si="42"/>
        <v>202811|HCSA|Monthly</v>
      </c>
      <c r="R577" s="193" t="str">
        <f>INDEX(_TARGETS!$H$2:$H$17,MATCH($C577,_TARGETS!$A$2:$A$17,0))</f>
        <v>Solo reporte</v>
      </c>
      <c r="S577" s="193" t="str">
        <f t="shared" si="43"/>
        <v/>
      </c>
      <c r="T577" s="193" t="str">
        <f t="shared" si="44"/>
        <v/>
      </c>
    </row>
    <row r="578" spans="1:20" ht="13.5" customHeight="1" x14ac:dyDescent="0.3">
      <c r="A578" s="245">
        <f>KPIs!$AE$3</f>
        <v>47058</v>
      </c>
      <c r="B578" s="199" t="str">
        <f>KPIs!AE$4</f>
        <v>Compresora</v>
      </c>
      <c r="C578" s="31" t="s">
        <v>83</v>
      </c>
      <c r="D578" s="199" t="str">
        <f>KPIs!$A$18</f>
        <v>10 · Cumplimiento de simulacros (emergencia y operativos)</v>
      </c>
      <c r="E578" s="31" t="s">
        <v>599</v>
      </c>
      <c r="F578" s="247" t="str">
        <f>IF(ISNUMBER(KPIs!AE18),KPIs!AE18,"")</f>
        <v/>
      </c>
      <c r="G578" s="247">
        <f>IF(ISNUMBER(KPIs!$C$18),KPIs!$C$18,"")</f>
        <v>1</v>
      </c>
      <c r="H578" s="199" t="str">
        <f>IFERROR(INDEX(_TARGETS!$E$2:$E$17,MATCH($C578,_TARGETS!$A$2:$A$17,0))&amp;"","")</f>
        <v>≥</v>
      </c>
      <c r="I578" s="199" t="str">
        <f t="shared" ref="I578:I641" si="45">IF(OR(H578="",F578="",G578=""),"",IF(IF(H578="≤",F578&lt;=G578,F578&gt;=G578),"Sí","No"))</f>
        <v/>
      </c>
      <c r="J578" s="193" t="str">
        <f t="shared" ref="J578:J641" si="46">IF(E578="Mensual","Monthly",IF(E578="Acumulado","Cumulative",E578))</f>
        <v>Monthly</v>
      </c>
      <c r="K578" s="248">
        <f>Datos!AE20</f>
        <v>0</v>
      </c>
      <c r="L578" s="248">
        <f>Datos!AE21</f>
        <v>0</v>
      </c>
      <c r="M578" s="193">
        <f>INDEX(_TARGETS!$J$2:$J$17,MATCH($C578,_TARGETS!$A$2:$A$17,0))</f>
        <v>1</v>
      </c>
      <c r="N578" s="193" t="str">
        <f>INDEX(_TARGETS!$D$2:$D$17,MATCH($C578,_TARGETS!$A$2:$A$17,0))</f>
        <v>% (fracción)</v>
      </c>
      <c r="O578" s="193" t="str">
        <f>IF(NOT(ISNUMBER(F578)),"MISSING",IF((COUNTBLANK(Datos!AE20)+COUNTBLANK(Datos!AE21))&gt;0,"INCOMPLETE","OK"))</f>
        <v>MISSING</v>
      </c>
      <c r="P578" s="193" t="str">
        <f>INDEX(_TARGETS!$K$2:$K$17,MATCH($C578,_TARGETS!$A$2:$A$17,0))</f>
        <v>OPS (carga manual en Datos)</v>
      </c>
      <c r="Q578" s="193" t="str">
        <f t="shared" ref="Q578:Q641" si="47">YEAR(A578)*100+MONTH(A578)&amp;"|"&amp;C578&amp;"|"&amp;J578</f>
        <v>202811|CPSE|Monthly</v>
      </c>
      <c r="R578" s="193" t="str">
        <f>INDEX(_TARGETS!$H$2:$H$17,MATCH($C578,_TARGETS!$A$2:$A$17,0))</f>
        <v>Definida</v>
      </c>
      <c r="S578" s="193" t="str">
        <f t="shared" ref="S578:S641" si="48">IF(AND(ISNUMBER(K578),ISNUMBER(L578)),IF(L578=0,"",K578*M578/L578),IF(ISNUMBER(K578),K578*M578,""))</f>
        <v/>
      </c>
      <c r="T578" s="193" t="str">
        <f t="shared" ref="T578:T641" si="49">IF(AND(ISNUMBER(F578),ISNUMBER(S578)),ABS(F578-S578),"")</f>
        <v/>
      </c>
    </row>
    <row r="579" spans="1:20" ht="13.5" customHeight="1" x14ac:dyDescent="0.3">
      <c r="A579" s="245">
        <f>KPIs!$AE$3</f>
        <v>47058</v>
      </c>
      <c r="B579" s="199" t="str">
        <f>KPIs!AE$4</f>
        <v>Compresora</v>
      </c>
      <c r="C579" s="31" t="s">
        <v>85</v>
      </c>
      <c r="D579" s="199" t="str">
        <f>KPIs!$A$19</f>
        <v>10b · Cumplimiento de acciones de mejora de simulacros</v>
      </c>
      <c r="E579" s="31" t="s">
        <v>599</v>
      </c>
      <c r="F579" s="247" t="str">
        <f>IF(ISNUMBER(KPIs!AE19),KPIs!AE19,"")</f>
        <v/>
      </c>
      <c r="G579" s="247" t="str">
        <f>IF(ISNUMBER(KPIs!$C$19),KPIs!$C$19,"")</f>
        <v/>
      </c>
      <c r="H579" s="199" t="str">
        <f>IFERROR(INDEX(_TARGETS!$E$2:$E$17,MATCH($C579,_TARGETS!$A$2:$A$17,0))&amp;"","")</f>
        <v/>
      </c>
      <c r="I579" s="199" t="str">
        <f t="shared" si="45"/>
        <v/>
      </c>
      <c r="J579" s="193" t="str">
        <f t="shared" si="46"/>
        <v>Monthly</v>
      </c>
      <c r="K579" s="248">
        <f>Datos!AE23</f>
        <v>0</v>
      </c>
      <c r="L579" s="248">
        <f>Datos!AE22</f>
        <v>0</v>
      </c>
      <c r="M579" s="193">
        <f>INDEX(_TARGETS!$J$2:$J$17,MATCH($C579,_TARGETS!$A$2:$A$17,0))</f>
        <v>1</v>
      </c>
      <c r="N579" s="193" t="str">
        <f>INDEX(_TARGETS!$D$2:$D$17,MATCH($C579,_TARGETS!$A$2:$A$17,0))</f>
        <v>% (fracción)</v>
      </c>
      <c r="O579" s="193" t="str">
        <f>IF(NOT(ISNUMBER(F579)),"MISSING",IF((COUNTBLANK(Datos!AE23)+COUNTBLANK(Datos!AE22))&gt;0,"INCOMPLETE","OK"))</f>
        <v>MISSING</v>
      </c>
      <c r="P579" s="193" t="str">
        <f>INDEX(_TARGETS!$K$2:$K$17,MATCH($C579,_TARGETS!$A$2:$A$17,0))</f>
        <v>OPS (carga manual en Datos)</v>
      </c>
      <c r="Q579" s="193" t="str">
        <f t="shared" si="47"/>
        <v>202811|CAMS|Monthly</v>
      </c>
      <c r="R579" s="193" t="str">
        <f>INDEX(_TARGETS!$H$2:$H$17,MATCH($C579,_TARGETS!$A$2:$A$17,0))</f>
        <v>Solo reporte</v>
      </c>
      <c r="S579" s="193" t="str">
        <f t="shared" si="48"/>
        <v/>
      </c>
      <c r="T579" s="193" t="str">
        <f t="shared" si="49"/>
        <v/>
      </c>
    </row>
    <row r="580" spans="1:20" ht="13.5" customHeight="1" x14ac:dyDescent="0.3">
      <c r="A580" s="245">
        <f>KPIs!$AE$3</f>
        <v>47058</v>
      </c>
      <c r="B580" s="199" t="str">
        <f>KPIs!AE$4</f>
        <v>Compresora</v>
      </c>
      <c r="C580" s="31" t="s">
        <v>87</v>
      </c>
      <c r="D580" s="199" t="str">
        <f>KPIs!$A$21</f>
        <v>11 · Cumplimiento de caminatas gerenciales</v>
      </c>
      <c r="E580" s="31" t="s">
        <v>599</v>
      </c>
      <c r="F580" s="247" t="str">
        <f>IF(ISNUMBER(KPIs!AE21),KPIs!AE21,"")</f>
        <v/>
      </c>
      <c r="G580" s="247">
        <f>IF(ISNUMBER(KPIs!$C$21),KPIs!$C$21,"")</f>
        <v>1</v>
      </c>
      <c r="H580" s="199" t="str">
        <f>IFERROR(INDEX(_TARGETS!$E$2:$E$17,MATCH($C580,_TARGETS!$A$2:$A$17,0))&amp;"","")</f>
        <v>≥</v>
      </c>
      <c r="I580" s="199" t="str">
        <f t="shared" si="45"/>
        <v/>
      </c>
      <c r="J580" s="193" t="str">
        <f t="shared" si="46"/>
        <v>Monthly</v>
      </c>
      <c r="K580" s="248">
        <f>Datos!AE24</f>
        <v>0</v>
      </c>
      <c r="L580" s="248">
        <f>Datos!AE25</f>
        <v>0</v>
      </c>
      <c r="M580" s="193">
        <f>INDEX(_TARGETS!$J$2:$J$17,MATCH($C580,_TARGETS!$A$2:$A$17,0))</f>
        <v>1</v>
      </c>
      <c r="N580" s="193" t="str">
        <f>INDEX(_TARGETS!$D$2:$D$17,MATCH($C580,_TARGETS!$A$2:$A$17,0))</f>
        <v>% (fracción)</v>
      </c>
      <c r="O580" s="193" t="str">
        <f>IF(NOT(ISNUMBER(F580)),"MISSING",IF((COUNTBLANK(Datos!AE24)+COUNTBLANK(Datos!AE25))&gt;0,"INCOMPLETE","OK"))</f>
        <v>MISSING</v>
      </c>
      <c r="P580" s="193" t="str">
        <f>INDEX(_TARGETS!$K$2:$K$17,MATCH($C580,_TARGETS!$A$2:$A$17,0))</f>
        <v>OPS (carga manual en Datos)</v>
      </c>
      <c r="Q580" s="193" t="str">
        <f t="shared" si="47"/>
        <v>202811|ICCS|Monthly</v>
      </c>
      <c r="R580" s="193" t="str">
        <f>INDEX(_TARGETS!$H$2:$H$17,MATCH($C580,_TARGETS!$A$2:$A$17,0))</f>
        <v>Definida</v>
      </c>
      <c r="S580" s="193" t="str">
        <f t="shared" si="48"/>
        <v/>
      </c>
      <c r="T580" s="193" t="str">
        <f t="shared" si="49"/>
        <v/>
      </c>
    </row>
    <row r="581" spans="1:20" ht="13.5" customHeight="1" x14ac:dyDescent="0.3">
      <c r="A581" s="245">
        <f>KPIs!$AE$3</f>
        <v>47058</v>
      </c>
      <c r="B581" s="199" t="str">
        <f>KPIs!AE$4</f>
        <v>Compresora</v>
      </c>
      <c r="C581" s="31" t="s">
        <v>89</v>
      </c>
      <c r="D581" s="199" t="str">
        <f>KPIs!$A$22</f>
        <v>12 · Cumplimiento de comités y subcomités de seguridad</v>
      </c>
      <c r="E581" s="31" t="s">
        <v>599</v>
      </c>
      <c r="F581" s="247" t="str">
        <f>IF(ISNUMBER(KPIs!AE22),KPIs!AE22,"")</f>
        <v/>
      </c>
      <c r="G581" s="247">
        <f>IF(ISNUMBER(KPIs!$C$22),KPIs!$C$22,"")</f>
        <v>1</v>
      </c>
      <c r="H581" s="199" t="str">
        <f>IFERROR(INDEX(_TARGETS!$E$2:$E$17,MATCH($C581,_TARGETS!$A$2:$A$17,0))&amp;"","")</f>
        <v>≥</v>
      </c>
      <c r="I581" s="199" t="str">
        <f t="shared" si="45"/>
        <v/>
      </c>
      <c r="J581" s="193" t="str">
        <f t="shared" si="46"/>
        <v>Monthly</v>
      </c>
      <c r="K581" s="248">
        <f>Datos!AE26</f>
        <v>0</v>
      </c>
      <c r="L581" s="248">
        <f>Datos!AE27</f>
        <v>0</v>
      </c>
      <c r="M581" s="193">
        <f>INDEX(_TARGETS!$J$2:$J$17,MATCH($C581,_TARGETS!$A$2:$A$17,0))</f>
        <v>1</v>
      </c>
      <c r="N581" s="193" t="str">
        <f>INDEX(_TARGETS!$D$2:$D$17,MATCH($C581,_TARGETS!$A$2:$A$17,0))</f>
        <v>% (fracción)</v>
      </c>
      <c r="O581" s="193" t="str">
        <f>IF(NOT(ISNUMBER(F581)),"MISSING",IF((COUNTBLANK(Datos!AE26)+COUNTBLANK(Datos!AE27))&gt;0,"INCOMPLETE","OK"))</f>
        <v>MISSING</v>
      </c>
      <c r="P581" s="193" t="str">
        <f>INDEX(_TARGETS!$K$2:$K$17,MATCH($C581,_TARGETS!$A$2:$A$17,0))</f>
        <v>OPS (carga manual en Datos)</v>
      </c>
      <c r="Q581" s="193" t="str">
        <f t="shared" si="47"/>
        <v>202811|CCS|Monthly</v>
      </c>
      <c r="R581" s="193" t="str">
        <f>INDEX(_TARGETS!$H$2:$H$17,MATCH($C581,_TARGETS!$A$2:$A$17,0))</f>
        <v>Definida</v>
      </c>
      <c r="S581" s="193" t="str">
        <f t="shared" si="48"/>
        <v/>
      </c>
      <c r="T581" s="193" t="str">
        <f t="shared" si="49"/>
        <v/>
      </c>
    </row>
    <row r="582" spans="1:20" ht="13.5" customHeight="1" x14ac:dyDescent="0.3">
      <c r="A582" s="245">
        <f>KPIs!$AE$3</f>
        <v>47058</v>
      </c>
      <c r="B582" s="199" t="str">
        <f>KPIs!AE$4</f>
        <v>Compresora</v>
      </c>
      <c r="C582" s="31" t="s">
        <v>91</v>
      </c>
      <c r="D582" s="199" t="str">
        <f>KPIs!$A$23</f>
        <v>13 · Días promedio para cerrar hallazgos</v>
      </c>
      <c r="E582" s="31" t="s">
        <v>599</v>
      </c>
      <c r="F582" s="247" t="str">
        <f>IF(ISNUMBER(KPIs!AE23),KPIs!AE23,"")</f>
        <v/>
      </c>
      <c r="G582" s="247" t="str">
        <f>IF(ISNUMBER(KPIs!$C$23),KPIs!$C$23,"")</f>
        <v/>
      </c>
      <c r="H582" s="199" t="str">
        <f>IFERROR(INDEX(_TARGETS!$E$2:$E$17,MATCH($C582,_TARGETS!$A$2:$A$17,0))&amp;"","")</f>
        <v>≤</v>
      </c>
      <c r="I582" s="199" t="str">
        <f t="shared" si="45"/>
        <v/>
      </c>
      <c r="J582" s="193" t="str">
        <f t="shared" si="46"/>
        <v>Monthly</v>
      </c>
      <c r="K582" s="248">
        <f>Datos!AE68</f>
        <v>0</v>
      </c>
      <c r="L582" s="248">
        <f>Datos!AE67</f>
        <v>0</v>
      </c>
      <c r="M582" s="193">
        <f>INDEX(_TARGETS!$J$2:$J$17,MATCH($C582,_TARGETS!$A$2:$A$17,0))</f>
        <v>1</v>
      </c>
      <c r="N582" s="193" t="str">
        <f>INDEX(_TARGETS!$D$2:$D$17,MATCH($C582,_TARGETS!$A$2:$A$17,0))</f>
        <v>días</v>
      </c>
      <c r="O582" s="193" t="str">
        <f>IF(NOT(ISNUMBER(F582)),"MISSING","OK")</f>
        <v>MISSING</v>
      </c>
      <c r="P582" s="193" t="str">
        <f>INDEX(_TARGETS!$K$2:$K$17,MATCH($C582,_TARGETS!$A$2:$A$17,0))</f>
        <v>Plant Findings (hoja Observaciones-SMP)</v>
      </c>
      <c r="Q582" s="193" t="str">
        <f t="shared" si="47"/>
        <v>202811|DPAS|Monthly</v>
      </c>
      <c r="R582" s="193" t="str">
        <f>INDEX(_TARGETS!$H$2:$H$17,MATCH($C582,_TARGETS!$A$2:$A$17,0))</f>
        <v>Pendiente (meta 2027)</v>
      </c>
      <c r="S582" s="193" t="str">
        <f t="shared" si="48"/>
        <v/>
      </c>
      <c r="T582" s="193" t="str">
        <f t="shared" si="49"/>
        <v/>
      </c>
    </row>
    <row r="583" spans="1:20" ht="13.5" customHeight="1" x14ac:dyDescent="0.3">
      <c r="A583" s="245">
        <f>KPIs!$AE$3</f>
        <v>47058</v>
      </c>
      <c r="B583" s="199" t="str">
        <f>KPIs!AE$4</f>
        <v>Compresora</v>
      </c>
      <c r="C583" s="31" t="s">
        <v>39</v>
      </c>
      <c r="D583" s="199" t="str">
        <f>KPIs!$A$26</f>
        <v>1 · Frecuencia de casos con días perdidos · ACUMULADO</v>
      </c>
      <c r="E583" s="31" t="s">
        <v>600</v>
      </c>
      <c r="F583" s="247" t="str">
        <f>IF(ISNUMBER(KPIs!AE26),KPIs!AE26,"")</f>
        <v/>
      </c>
      <c r="G583" s="247">
        <f>IF(ISNUMBER(KPIs!$C$26),KPIs!$C$26,"")</f>
        <v>0</v>
      </c>
      <c r="H583" s="199" t="str">
        <f>IFERROR(INDEX(_TARGETS!$E$2:$E$17,MATCH($C583,_TARGETS!$A$2:$A$17,0))&amp;"","")</f>
        <v>≤</v>
      </c>
      <c r="I583" s="199" t="str">
        <f t="shared" si="45"/>
        <v/>
      </c>
      <c r="J583" s="193" t="str">
        <f t="shared" si="46"/>
        <v>Cumulative</v>
      </c>
      <c r="K583" s="193">
        <f>SUM(Datos!$D33:AE33)</f>
        <v>0</v>
      </c>
      <c r="L583" s="193">
        <f>SUM(Datos!$D14:AE14)</f>
        <v>48332</v>
      </c>
      <c r="M583" s="193">
        <f>INDEX(_TARGETS!$J$2:$J$17,MATCH($C583,_TARGETS!$A$2:$A$17,0))</f>
        <v>1000000</v>
      </c>
      <c r="N583" s="193" t="str">
        <f>INDEX(_TARGETS!$D$2:$D$17,MATCH($C583,_TARGETS!$A$2:$A$17,0))</f>
        <v>casos / 10^6 HH</v>
      </c>
      <c r="O583" s="193" t="str">
        <f>IF(NOT(ISNUMBER(F583)),IF(SUMPRODUCT(($C$2:$C$1300=C583)*($J$2:$J$1300="Monthly")*($A$2:$A$1300&lt;=A583)*ISNUMBER($K$2:$K$1300)*ISNUMBER($L$2:$L$1300)*($L$2:$L$1300=0)*($K$2:$K$1300&gt;0))&gt;0,"INCOMPLETE","MISSING"),O569)</f>
        <v>MISSING</v>
      </c>
      <c r="P583" s="193" t="str">
        <f>INDEX(_TARGETS!$K$2:$K$17,MATCH($C583,_TARGETS!$A$2:$A$17,0))</f>
        <v>OPS (carga manual en Datos)</v>
      </c>
      <c r="Q583" s="193" t="str">
        <f t="shared" si="47"/>
        <v>202811|DAFWCF|Cumulative</v>
      </c>
      <c r="R583" s="193" t="str">
        <f>INDEX(_TARGETS!$H$2:$H$17,MATCH($C583,_TARGETS!$A$2:$A$17,0))</f>
        <v>Definida</v>
      </c>
      <c r="S583" s="193">
        <f t="shared" si="48"/>
        <v>0</v>
      </c>
      <c r="T583" s="193" t="str">
        <f t="shared" si="49"/>
        <v/>
      </c>
    </row>
    <row r="584" spans="1:20" ht="13.5" customHeight="1" x14ac:dyDescent="0.3">
      <c r="A584" s="245">
        <f>KPIs!$AE$3</f>
        <v>47058</v>
      </c>
      <c r="B584" s="199" t="str">
        <f>KPIs!AE$4</f>
        <v>Compresora</v>
      </c>
      <c r="C584" s="31" t="s">
        <v>49</v>
      </c>
      <c r="D584" s="199" t="str">
        <f>KPIs!$A$27</f>
        <v>2 · Frecuencia de casos registrables · ACUMULADO</v>
      </c>
      <c r="E584" s="31" t="s">
        <v>600</v>
      </c>
      <c r="F584" s="247" t="str">
        <f>IF(ISNUMBER(KPIs!AE27),KPIs!AE27,"")</f>
        <v/>
      </c>
      <c r="G584" s="247">
        <f>IF(ISNUMBER(KPIs!$C$27),KPIs!$C$27,"")</f>
        <v>2.35</v>
      </c>
      <c r="H584" s="199" t="str">
        <f>IFERROR(INDEX(_TARGETS!$E$2:$E$17,MATCH($C584,_TARGETS!$A$2:$A$17,0))&amp;"","")</f>
        <v>≤</v>
      </c>
      <c r="I584" s="199" t="str">
        <f t="shared" si="45"/>
        <v/>
      </c>
      <c r="J584" s="193" t="str">
        <f t="shared" si="46"/>
        <v>Cumulative</v>
      </c>
      <c r="K584" s="193">
        <f>SUM(Datos!$D33:AE33)+SUM(Datos!$D34:AE34)+SUM(Datos!$D35:AE35)+SUM(Datos!$D36:AE36)</f>
        <v>0</v>
      </c>
      <c r="L584" s="193">
        <f>SUM(Datos!$D14:AE14)</f>
        <v>48332</v>
      </c>
      <c r="M584" s="193">
        <f>INDEX(_TARGETS!$J$2:$J$17,MATCH($C584,_TARGETS!$A$2:$A$17,0))</f>
        <v>1000000</v>
      </c>
      <c r="N584" s="193" t="str">
        <f>INDEX(_TARGETS!$D$2:$D$17,MATCH($C584,_TARGETS!$A$2:$A$17,0))</f>
        <v>casos / 10^6 HH</v>
      </c>
      <c r="O584" s="193" t="str">
        <f>IF(NOT(ISNUMBER(F584)),IF(SUMPRODUCT(($C$2:$C$1300=C584)*($J$2:$J$1300="Monthly")*($A$2:$A$1300&lt;=A584)*ISNUMBER($K$2:$K$1300)*ISNUMBER($L$2:$L$1300)*($L$2:$L$1300=0)*($K$2:$K$1300&gt;0))&gt;0,"INCOMPLETE","MISSING"),O570)</f>
        <v>MISSING</v>
      </c>
      <c r="P584" s="193" t="str">
        <f>INDEX(_TARGETS!$K$2:$K$17,MATCH($C584,_TARGETS!$A$2:$A$17,0))</f>
        <v>OPS (carga manual en Datos)</v>
      </c>
      <c r="Q584" s="193" t="str">
        <f t="shared" si="47"/>
        <v>202811|TRICF|Cumulative</v>
      </c>
      <c r="R584" s="193" t="str">
        <f>INDEX(_TARGETS!$H$2:$H$17,MATCH($C584,_TARGETS!$A$2:$A$17,0))</f>
        <v>Definida</v>
      </c>
      <c r="S584" s="193">
        <f t="shared" si="48"/>
        <v>0</v>
      </c>
      <c r="T584" s="193" t="str">
        <f t="shared" si="49"/>
        <v/>
      </c>
    </row>
    <row r="585" spans="1:20" ht="13.5" customHeight="1" x14ac:dyDescent="0.3">
      <c r="A585" s="245">
        <f>KPIs!$AE$3</f>
        <v>47058</v>
      </c>
      <c r="B585" s="199" t="str">
        <f>KPIs!AE$4</f>
        <v>Compresora</v>
      </c>
      <c r="C585" s="31" t="s">
        <v>51</v>
      </c>
      <c r="D585" s="199" t="str">
        <f>KPIs!$A$28</f>
        <v>3 · Casos de primeros auxilios · ACUMULADO</v>
      </c>
      <c r="E585" s="31" t="s">
        <v>600</v>
      </c>
      <c r="F585" s="247" t="str">
        <f>IF(ISNUMBER(KPIs!AE28),KPIs!AE28,"")</f>
        <v/>
      </c>
      <c r="G585" s="247" t="str">
        <f>IF(ISNUMBER(KPIs!$C$28),KPIs!$C$28,"")</f>
        <v/>
      </c>
      <c r="H585" s="199" t="str">
        <f>IFERROR(INDEX(_TARGETS!$E$2:$E$17,MATCH($C585,_TARGETS!$A$2:$A$17,0))&amp;"","")</f>
        <v/>
      </c>
      <c r="I585" s="199" t="str">
        <f t="shared" si="45"/>
        <v/>
      </c>
      <c r="J585" s="193" t="str">
        <f t="shared" si="46"/>
        <v>Cumulative</v>
      </c>
      <c r="K585" s="193">
        <f>SUM(Datos!$D37:AE37)</f>
        <v>0</v>
      </c>
      <c r="M585" s="193">
        <f>INDEX(_TARGETS!$J$2:$J$17,MATCH($C585,_TARGETS!$A$2:$A$17,0))</f>
        <v>1</v>
      </c>
      <c r="N585" s="193" t="str">
        <f>INDEX(_TARGETS!$D$2:$D$17,MATCH($C585,_TARGETS!$A$2:$A$17,0))</f>
        <v>casos</v>
      </c>
      <c r="O585" s="193" t="str">
        <f>IF(NOT(ISNUMBER(F585)),IF(SUMPRODUCT(($C$2:$C$1300=C585)*($J$2:$J$1300="Monthly")*($A$2:$A$1300&lt;=A585)*ISNUMBER($K$2:$K$1300)*ISNUMBER($L$2:$L$1300)*($L$2:$L$1300=0)*($K$2:$K$1300&gt;0))&gt;0,"INCOMPLETE","MISSING"),O571)</f>
        <v>MISSING</v>
      </c>
      <c r="P585" s="193" t="str">
        <f>INDEX(_TARGETS!$K$2:$K$17,MATCH($C585,_TARGETS!$A$2:$A$17,0))</f>
        <v>OPS (carga manual en Datos)</v>
      </c>
      <c r="Q585" s="193" t="str">
        <f t="shared" si="47"/>
        <v>202811|FAC|Cumulative</v>
      </c>
      <c r="R585" s="193" t="str">
        <f>INDEX(_TARGETS!$H$2:$H$17,MATCH($C585,_TARGETS!$A$2:$A$17,0))</f>
        <v>Solo reporte</v>
      </c>
      <c r="S585" s="193">
        <f t="shared" si="48"/>
        <v>0</v>
      </c>
      <c r="T585" s="193" t="str">
        <f t="shared" si="49"/>
        <v/>
      </c>
    </row>
    <row r="586" spans="1:20" ht="13.5" customHeight="1" x14ac:dyDescent="0.3">
      <c r="A586" s="245">
        <f>KPIs!$AE$3</f>
        <v>47058</v>
      </c>
      <c r="B586" s="199" t="str">
        <f>KPIs!AE$4</f>
        <v>Compresora</v>
      </c>
      <c r="C586" s="31" t="s">
        <v>57</v>
      </c>
      <c r="D586" s="199" t="str">
        <f>KPIs!$A$29</f>
        <v>4 · Accidentes vehiculares severos · ACUMULADO</v>
      </c>
      <c r="E586" s="31" t="s">
        <v>600</v>
      </c>
      <c r="F586" s="247" t="str">
        <f>IF(ISNUMBER(KPIs!AE29),KPIs!AE29,"")</f>
        <v/>
      </c>
      <c r="G586" s="247" t="str">
        <f>IF(ISNUMBER(KPIs!$C$29),KPIs!$C$29,"")</f>
        <v/>
      </c>
      <c r="H586" s="199" t="str">
        <f>IFERROR(INDEX(_TARGETS!$E$2:$E$17,MATCH($C586,_TARGETS!$A$2:$A$17,0))&amp;"","")</f>
        <v/>
      </c>
      <c r="I586" s="199" t="str">
        <f t="shared" si="45"/>
        <v/>
      </c>
      <c r="J586" s="193" t="str">
        <f t="shared" si="46"/>
        <v>Cumulative</v>
      </c>
      <c r="K586" s="193">
        <f>SUM(Datos!$D39:AE39)+SUM(Datos!$D40:AE40)+SUM(Datos!$D41:AE41)</f>
        <v>0</v>
      </c>
      <c r="L586" s="193">
        <f>SUM(Datos!$D47:AE47)</f>
        <v>172824</v>
      </c>
      <c r="M586" s="193">
        <f>INDEX(_TARGETS!$J$2:$J$17,MATCH($C586,_TARGETS!$A$2:$A$17,0))</f>
        <v>1000000</v>
      </c>
      <c r="N586" s="193" t="str">
        <f>INDEX(_TARGETS!$D$2:$D$17,MATCH($C586,_TARGETS!$A$2:$A$17,0))</f>
        <v>eventos / 10^6 km</v>
      </c>
      <c r="O586" s="193" t="str">
        <f>IF(NOT(ISNUMBER(F586)),IF(SUMPRODUCT(($C$2:$C$1300=C586)*($J$2:$J$1300="Monthly")*($A$2:$A$1300&lt;=A586)*ISNUMBER($K$2:$K$1300)*ISNUMBER($L$2:$L$1300)*($L$2:$L$1300=0)*($K$2:$K$1300&gt;0))&gt;0,"INCOMPLETE","MISSING"),O572)</f>
        <v>MISSING</v>
      </c>
      <c r="P586" s="193" t="str">
        <f>INDEX(_TARGETS!$K$2:$K$17,MATCH($C586,_TARGETS!$A$2:$A$17,0))</f>
        <v>OPS (eventos) + Full Control GPS (km) - carga manual en Datos</v>
      </c>
      <c r="Q586" s="193" t="str">
        <f t="shared" si="47"/>
        <v>202811|SVCR|Cumulative</v>
      </c>
      <c r="R586" s="193" t="str">
        <f>INDEX(_TARGETS!$H$2:$H$17,MATCH($C586,_TARGETS!$A$2:$A$17,0))</f>
        <v>Solo reporte</v>
      </c>
      <c r="S586" s="193">
        <f t="shared" si="48"/>
        <v>0</v>
      </c>
      <c r="T586" s="193" t="str">
        <f t="shared" si="49"/>
        <v/>
      </c>
    </row>
    <row r="587" spans="1:20" ht="13.5" customHeight="1" x14ac:dyDescent="0.3">
      <c r="A587" s="245">
        <f>KPIs!$AE$3</f>
        <v>47058</v>
      </c>
      <c r="B587" s="199" t="str">
        <f>KPIs!AE$4</f>
        <v>Compresora</v>
      </c>
      <c r="C587" s="31" t="s">
        <v>61</v>
      </c>
      <c r="D587" s="199" t="str">
        <f>KPIs!$A$30</f>
        <v>5 · Accidentes vehiculares totales · ACUMULADO</v>
      </c>
      <c r="E587" s="31" t="s">
        <v>600</v>
      </c>
      <c r="F587" s="247" t="str">
        <f>IF(ISNUMBER(KPIs!AE30),KPIs!AE30,"")</f>
        <v/>
      </c>
      <c r="G587" s="247">
        <f>IF(ISNUMBER(KPIs!$C$30),KPIs!$C$30,"")</f>
        <v>0.79</v>
      </c>
      <c r="H587" s="199" t="str">
        <f>IFERROR(INDEX(_TARGETS!$E$2:$E$17,MATCH($C587,_TARGETS!$A$2:$A$17,0))&amp;"","")</f>
        <v>≤</v>
      </c>
      <c r="I587" s="199" t="str">
        <f t="shared" si="45"/>
        <v/>
      </c>
      <c r="J587" s="193" t="str">
        <f t="shared" si="46"/>
        <v>Cumulative</v>
      </c>
      <c r="K587" s="193">
        <f>SUM(Datos!$D39:AE39)+SUM(Datos!$D40:AE40)+SUM(Datos!$D41:AE41)+SUM(Datos!$D42:AE42)</f>
        <v>0</v>
      </c>
      <c r="L587" s="193">
        <f>SUM(Datos!$D47:AE47)</f>
        <v>172824</v>
      </c>
      <c r="M587" s="193">
        <f>INDEX(_TARGETS!$J$2:$J$17,MATCH($C587,_TARGETS!$A$2:$A$17,0))</f>
        <v>1000000</v>
      </c>
      <c r="N587" s="193" t="str">
        <f>INDEX(_TARGETS!$D$2:$D$17,MATCH($C587,_TARGETS!$A$2:$A$17,0))</f>
        <v>eventos / 10^6 km</v>
      </c>
      <c r="O587" s="193" t="str">
        <f>IF(NOT(ISNUMBER(F587)),IF(SUMPRODUCT(($C$2:$C$1300=C587)*($J$2:$J$1300="Monthly")*($A$2:$A$1300&lt;=A587)*ISNUMBER($K$2:$K$1300)*ISNUMBER($L$2:$L$1300)*($L$2:$L$1300=0)*($K$2:$K$1300&gt;0))&gt;0,"INCOMPLETE","MISSING"),O573)</f>
        <v>MISSING</v>
      </c>
      <c r="P587" s="193" t="str">
        <f>INDEX(_TARGETS!$K$2:$K$17,MATCH($C587,_TARGETS!$A$2:$A$17,0))</f>
        <v>OPS (eventos) + Full Control GPS (km) - carga manual en Datos</v>
      </c>
      <c r="Q587" s="193" t="str">
        <f t="shared" si="47"/>
        <v>202811|TVCR|Cumulative</v>
      </c>
      <c r="R587" s="193" t="str">
        <f>INDEX(_TARGETS!$H$2:$H$17,MATCH($C587,_TARGETS!$A$2:$A$17,0))</f>
        <v>Definida</v>
      </c>
      <c r="S587" s="193">
        <f t="shared" si="48"/>
        <v>0</v>
      </c>
      <c r="T587" s="193" t="str">
        <f t="shared" si="49"/>
        <v/>
      </c>
    </row>
    <row r="588" spans="1:20" ht="13.5" customHeight="1" x14ac:dyDescent="0.3">
      <c r="A588" s="245">
        <f>KPIs!$AE$3</f>
        <v>47058</v>
      </c>
      <c r="B588" s="199" t="str">
        <f>KPIs!AE$4</f>
        <v>Compresora</v>
      </c>
      <c r="C588" s="31" t="s">
        <v>96</v>
      </c>
      <c r="D588" s="199" t="str">
        <f>KPIs!$A$33</f>
        <v>C1 · % de desvíos detectados de gravedad Alta</v>
      </c>
      <c r="E588" s="31" t="s">
        <v>599</v>
      </c>
      <c r="F588" s="247" t="str">
        <f>IF(ISNUMBER(KPIs!AE33),KPIs!AE33,"")</f>
        <v/>
      </c>
      <c r="G588" s="247" t="str">
        <f>IF(ISNUMBER(KPIs!$C$33),KPIs!$C$33,"")</f>
        <v/>
      </c>
      <c r="H588" s="199" t="str">
        <f>IFERROR(INDEX(_TARGETS!$E$2:$E$17,MATCH($C588,_TARGETS!$A$2:$A$17,0))&amp;"","")</f>
        <v/>
      </c>
      <c r="I588" s="199" t="str">
        <f t="shared" si="45"/>
        <v/>
      </c>
      <c r="J588" s="193" t="str">
        <f t="shared" si="46"/>
        <v>Monthly</v>
      </c>
      <c r="K588" s="248">
        <f>Datos!AE71</f>
        <v>0</v>
      </c>
      <c r="L588" s="193">
        <f>Datos!AE71+Datos!AE72+Datos!AE73</f>
        <v>0</v>
      </c>
      <c r="M588" s="193">
        <f>INDEX(_TARGETS!$J$2:$J$17,MATCH($C588,_TARGETS!$A$2:$A$17,0))</f>
        <v>1</v>
      </c>
      <c r="N588" s="193" t="str">
        <f>INDEX(_TARGETS!$D$2:$D$17,MATCH($C588,_TARGETS!$A$2:$A$17,0))</f>
        <v>% (fracción)</v>
      </c>
      <c r="O588" s="193" t="str">
        <f>IF(NOT(ISNUMBER(F588)),"MISSING","OK")</f>
        <v>MISSING</v>
      </c>
      <c r="P588" s="193" t="str">
        <f>INDEX(_TARGETS!$K$2:$K$17,MATCH($C588,_TARGETS!$A$2:$A$17,0))</f>
        <v>Plant Findings (hoja Observaciones-SMP)</v>
      </c>
      <c r="Q588" s="193" t="str">
        <f t="shared" si="47"/>
        <v>202811|HAL_ALTA_PCT|Monthly</v>
      </c>
      <c r="R588" s="193" t="str">
        <f>INDEX(_TARGETS!$H$2:$H$17,MATCH($C588,_TARGETS!$A$2:$A$17,0))</f>
        <v>Solo reporte</v>
      </c>
      <c r="S588" s="193" t="str">
        <f t="shared" si="48"/>
        <v/>
      </c>
      <c r="T588" s="193" t="str">
        <f t="shared" si="49"/>
        <v/>
      </c>
    </row>
    <row r="589" spans="1:20" ht="13.5" customHeight="1" x14ac:dyDescent="0.3">
      <c r="A589" s="245">
        <f>KPIs!$AE$3</f>
        <v>47058</v>
      </c>
      <c r="B589" s="199" t="str">
        <f>KPIs!AE$4</f>
        <v>Compresora</v>
      </c>
      <c r="C589" s="31" t="s">
        <v>98</v>
      </c>
      <c r="D589" s="199" t="str">
        <f>KPIs!$A$34</f>
        <v>C2 · Detenciones de tareas aplicadas</v>
      </c>
      <c r="E589" s="31" t="s">
        <v>599</v>
      </c>
      <c r="F589" s="247" t="str">
        <f>IF(ISNUMBER(KPIs!AE34),KPIs!AE34,"")</f>
        <v/>
      </c>
      <c r="G589" s="247" t="str">
        <f>IF(ISNUMBER(KPIs!$C$34),KPIs!$C$34,"")</f>
        <v/>
      </c>
      <c r="H589" s="199" t="str">
        <f>IFERROR(INDEX(_TARGETS!$E$2:$E$17,MATCH($C589,_TARGETS!$A$2:$A$17,0))&amp;"","")</f>
        <v/>
      </c>
      <c r="I589" s="199" t="str">
        <f t="shared" si="45"/>
        <v/>
      </c>
      <c r="J589" s="193" t="str">
        <f t="shared" si="46"/>
        <v>Monthly</v>
      </c>
      <c r="K589" s="248">
        <f>Datos!AE75</f>
        <v>0</v>
      </c>
      <c r="M589" s="193">
        <f>INDEX(_TARGETS!$J$2:$J$17,MATCH($C589,_TARGETS!$A$2:$A$17,0))</f>
        <v>1</v>
      </c>
      <c r="N589" s="193" t="str">
        <f>INDEX(_TARGETS!$D$2:$D$17,MATCH($C589,_TARGETS!$A$2:$A$17,0))</f>
        <v>u</v>
      </c>
      <c r="O589" s="193" t="str">
        <f>IF(NOT(ISNUMBER(F589)),"MISSING","OK")</f>
        <v>MISSING</v>
      </c>
      <c r="P589" s="193" t="str">
        <f>INDEX(_TARGETS!$K$2:$K$17,MATCH($C589,_TARGETS!$A$2:$A$17,0))</f>
        <v>Plant Findings (hoja Observaciones-SMP)</v>
      </c>
      <c r="Q589" s="193" t="str">
        <f t="shared" si="47"/>
        <v>202811|DET|Monthly</v>
      </c>
      <c r="R589" s="193" t="str">
        <f>INDEX(_TARGETS!$H$2:$H$17,MATCH($C589,_TARGETS!$A$2:$A$17,0))</f>
        <v>Solo reporte</v>
      </c>
      <c r="S589" s="193" t="str">
        <f t="shared" si="48"/>
        <v/>
      </c>
      <c r="T589" s="193" t="str">
        <f t="shared" si="49"/>
        <v/>
      </c>
    </row>
    <row r="590" spans="1:20" ht="13.5" customHeight="1" x14ac:dyDescent="0.3">
      <c r="A590" s="245">
        <f>KPIs!$AF$3</f>
        <v>47088</v>
      </c>
      <c r="B590" s="199" t="str">
        <f>KPIs!AF$4</f>
        <v>Compresora</v>
      </c>
      <c r="C590" s="31" t="s">
        <v>39</v>
      </c>
      <c r="D590" s="199" t="str">
        <f>KPIs!$A$6</f>
        <v>1 · Frecuencia de casos con días perdidos</v>
      </c>
      <c r="E590" s="31" t="s">
        <v>599</v>
      </c>
      <c r="F590" s="247" t="str">
        <f>IF(ISNUMBER(KPIs!AF6),KPIs!AF6,"")</f>
        <v/>
      </c>
      <c r="G590" s="247">
        <f>IF(ISNUMBER(KPIs!$C$6),KPIs!$C$6,"")</f>
        <v>0</v>
      </c>
      <c r="H590" s="199" t="str">
        <f>IFERROR(INDEX(_TARGETS!$E$2:$E$17,MATCH($C590,_TARGETS!$A$2:$A$17,0))&amp;"","")</f>
        <v>≤</v>
      </c>
      <c r="I590" s="199" t="str">
        <f t="shared" si="45"/>
        <v/>
      </c>
      <c r="J590" s="193" t="str">
        <f t="shared" si="46"/>
        <v>Monthly</v>
      </c>
      <c r="K590" s="248">
        <f>Datos!AF33</f>
        <v>0</v>
      </c>
      <c r="L590" s="248">
        <f>Datos!AF14</f>
        <v>0</v>
      </c>
      <c r="M590" s="193">
        <f>INDEX(_TARGETS!$J$2:$J$17,MATCH($C590,_TARGETS!$A$2:$A$17,0))</f>
        <v>1000000</v>
      </c>
      <c r="N590" s="193" t="str">
        <f>INDEX(_TARGETS!$D$2:$D$17,MATCH($C590,_TARGETS!$A$2:$A$17,0))</f>
        <v>casos / 10^6 HH</v>
      </c>
      <c r="O590" s="193" t="str">
        <f>IF(NOT(ISNUMBER(F590)),"MISSING",IF((COUNTBLANK(Datos!AF12)+COUNTBLANK(Datos!AF13)+COUNTBLANK(Datos!AF33))&gt;0,"INCOMPLETE","OK"))</f>
        <v>MISSING</v>
      </c>
      <c r="P590" s="193" t="str">
        <f>INDEX(_TARGETS!$K$2:$K$17,MATCH($C590,_TARGETS!$A$2:$A$17,0))</f>
        <v>OPS (carga manual en Datos)</v>
      </c>
      <c r="Q590" s="193" t="str">
        <f t="shared" si="47"/>
        <v>202812|DAFWCF|Monthly</v>
      </c>
      <c r="R590" s="193" t="str">
        <f>INDEX(_TARGETS!$H$2:$H$17,MATCH($C590,_TARGETS!$A$2:$A$17,0))</f>
        <v>Definida</v>
      </c>
      <c r="S590" s="193" t="str">
        <f t="shared" si="48"/>
        <v/>
      </c>
      <c r="T590" s="193" t="str">
        <f t="shared" si="49"/>
        <v/>
      </c>
    </row>
    <row r="591" spans="1:20" ht="13.5" customHeight="1" x14ac:dyDescent="0.3">
      <c r="A591" s="245">
        <f>KPIs!$AF$3</f>
        <v>47088</v>
      </c>
      <c r="B591" s="199" t="str">
        <f>KPIs!AF$4</f>
        <v>Compresora</v>
      </c>
      <c r="C591" s="31" t="s">
        <v>49</v>
      </c>
      <c r="D591" s="199" t="str">
        <f>KPIs!$A$7</f>
        <v>2 · Frecuencia de casos registrables</v>
      </c>
      <c r="E591" s="31" t="s">
        <v>599</v>
      </c>
      <c r="F591" s="247" t="str">
        <f>IF(ISNUMBER(KPIs!AF7),KPIs!AF7,"")</f>
        <v/>
      </c>
      <c r="G591" s="247">
        <f>IF(ISNUMBER(KPIs!$C$7),KPIs!$C$7,"")</f>
        <v>2.35</v>
      </c>
      <c r="H591" s="199" t="str">
        <f>IFERROR(INDEX(_TARGETS!$E$2:$E$17,MATCH($C591,_TARGETS!$A$2:$A$17,0))&amp;"","")</f>
        <v>≤</v>
      </c>
      <c r="I591" s="199" t="str">
        <f t="shared" si="45"/>
        <v/>
      </c>
      <c r="J591" s="193" t="str">
        <f t="shared" si="46"/>
        <v>Monthly</v>
      </c>
      <c r="K591" s="193">
        <f>Datos!AF33+Datos!AF34+Datos!AF35+Datos!AF36</f>
        <v>0</v>
      </c>
      <c r="L591" s="248">
        <f>Datos!AF14</f>
        <v>0</v>
      </c>
      <c r="M591" s="193">
        <f>INDEX(_TARGETS!$J$2:$J$17,MATCH($C591,_TARGETS!$A$2:$A$17,0))</f>
        <v>1000000</v>
      </c>
      <c r="N591" s="193" t="str">
        <f>INDEX(_TARGETS!$D$2:$D$17,MATCH($C591,_TARGETS!$A$2:$A$17,0))</f>
        <v>casos / 10^6 HH</v>
      </c>
      <c r="O591" s="193" t="str">
        <f>IF(NOT(ISNUMBER(F591)),"MISSING",IF((COUNTBLANK(Datos!AF12)+COUNTBLANK(Datos!AF13)+COUNTBLANK(Datos!AF33)+COUNTBLANK(Datos!AF34)+COUNTBLANK(Datos!AF35)+COUNTBLANK(Datos!AF36))&gt;0,"INCOMPLETE","OK"))</f>
        <v>MISSING</v>
      </c>
      <c r="P591" s="193" t="str">
        <f>INDEX(_TARGETS!$K$2:$K$17,MATCH($C591,_TARGETS!$A$2:$A$17,0))</f>
        <v>OPS (carga manual en Datos)</v>
      </c>
      <c r="Q591" s="193" t="str">
        <f t="shared" si="47"/>
        <v>202812|TRICF|Monthly</v>
      </c>
      <c r="R591" s="193" t="str">
        <f>INDEX(_TARGETS!$H$2:$H$17,MATCH($C591,_TARGETS!$A$2:$A$17,0))</f>
        <v>Definida</v>
      </c>
      <c r="S591" s="193" t="str">
        <f t="shared" si="48"/>
        <v/>
      </c>
      <c r="T591" s="193" t="str">
        <f t="shared" si="49"/>
        <v/>
      </c>
    </row>
    <row r="592" spans="1:20" ht="13.5" customHeight="1" x14ac:dyDescent="0.3">
      <c r="A592" s="245">
        <f>KPIs!$AF$3</f>
        <v>47088</v>
      </c>
      <c r="B592" s="199" t="str">
        <f>KPIs!AF$4</f>
        <v>Compresora</v>
      </c>
      <c r="C592" s="31" t="s">
        <v>51</v>
      </c>
      <c r="D592" s="199" t="str">
        <f>KPIs!$A$8</f>
        <v>3 · Casos de primeros auxilios</v>
      </c>
      <c r="E592" s="31" t="s">
        <v>599</v>
      </c>
      <c r="F592" s="247" t="str">
        <f>IF(ISNUMBER(KPIs!AF8),KPIs!AF8,"")</f>
        <v/>
      </c>
      <c r="G592" s="247" t="str">
        <f>IF(ISNUMBER(KPIs!$C$8),KPIs!$C$8,"")</f>
        <v/>
      </c>
      <c r="H592" s="199" t="str">
        <f>IFERROR(INDEX(_TARGETS!$E$2:$E$17,MATCH($C592,_TARGETS!$A$2:$A$17,0))&amp;"","")</f>
        <v/>
      </c>
      <c r="I592" s="199" t="str">
        <f t="shared" si="45"/>
        <v/>
      </c>
      <c r="J592" s="193" t="str">
        <f t="shared" si="46"/>
        <v>Monthly</v>
      </c>
      <c r="K592" s="248">
        <f>Datos!AF37</f>
        <v>0</v>
      </c>
      <c r="M592" s="193">
        <f>INDEX(_TARGETS!$J$2:$J$17,MATCH($C592,_TARGETS!$A$2:$A$17,0))</f>
        <v>1</v>
      </c>
      <c r="N592" s="193" t="str">
        <f>INDEX(_TARGETS!$D$2:$D$17,MATCH($C592,_TARGETS!$A$2:$A$17,0))</f>
        <v>casos</v>
      </c>
      <c r="O592" s="193" t="str">
        <f>IF(NOT(ISNUMBER(F592)),"MISSING",IF((COUNTBLANK(Datos!AF12)+COUNTBLANK(Datos!AF13)+COUNTBLANK(Datos!AF37))&gt;0,"INCOMPLETE","OK"))</f>
        <v>MISSING</v>
      </c>
      <c r="P592" s="193" t="str">
        <f>INDEX(_TARGETS!$K$2:$K$17,MATCH($C592,_TARGETS!$A$2:$A$17,0))</f>
        <v>OPS (carga manual en Datos)</v>
      </c>
      <c r="Q592" s="193" t="str">
        <f t="shared" si="47"/>
        <v>202812|FAC|Monthly</v>
      </c>
      <c r="R592" s="193" t="str">
        <f>INDEX(_TARGETS!$H$2:$H$17,MATCH($C592,_TARGETS!$A$2:$A$17,0))</f>
        <v>Solo reporte</v>
      </c>
      <c r="S592" s="193" t="str">
        <f t="shared" si="48"/>
        <v/>
      </c>
      <c r="T592" s="193" t="str">
        <f t="shared" si="49"/>
        <v/>
      </c>
    </row>
    <row r="593" spans="1:20" ht="13.5" customHeight="1" x14ac:dyDescent="0.3">
      <c r="A593" s="245">
        <f>KPIs!$AF$3</f>
        <v>47088</v>
      </c>
      <c r="B593" s="199" t="str">
        <f>KPIs!AF$4</f>
        <v>Compresora</v>
      </c>
      <c r="C593" s="31" t="s">
        <v>57</v>
      </c>
      <c r="D593" s="199" t="str">
        <f>KPIs!$A$10</f>
        <v>4 · Accidentes vehiculares severos por millón de km</v>
      </c>
      <c r="E593" s="31" t="s">
        <v>599</v>
      </c>
      <c r="F593" s="247" t="str">
        <f>IF(ISNUMBER(KPIs!AF10),KPIs!AF10,"")</f>
        <v/>
      </c>
      <c r="G593" s="247" t="str">
        <f>IF(ISNUMBER(KPIs!$C$10),KPIs!$C$10,"")</f>
        <v/>
      </c>
      <c r="H593" s="199" t="str">
        <f>IFERROR(INDEX(_TARGETS!$E$2:$E$17,MATCH($C593,_TARGETS!$A$2:$A$17,0))&amp;"","")</f>
        <v/>
      </c>
      <c r="I593" s="199" t="str">
        <f t="shared" si="45"/>
        <v/>
      </c>
      <c r="J593" s="193" t="str">
        <f t="shared" si="46"/>
        <v>Monthly</v>
      </c>
      <c r="K593" s="193">
        <f>Datos!AF39+Datos!AF40+Datos!AF41</f>
        <v>0</v>
      </c>
      <c r="L593" s="248">
        <f>Datos!AF47</f>
        <v>0</v>
      </c>
      <c r="M593" s="193">
        <f>INDEX(_TARGETS!$J$2:$J$17,MATCH($C593,_TARGETS!$A$2:$A$17,0))</f>
        <v>1000000</v>
      </c>
      <c r="N593" s="193" t="str">
        <f>INDEX(_TARGETS!$D$2:$D$17,MATCH($C593,_TARGETS!$A$2:$A$17,0))</f>
        <v>eventos / 10^6 km</v>
      </c>
      <c r="O593" s="193" t="str">
        <f>IF(NOT(ISNUMBER(F593)),"MISSING",IF((COUNTBLANK(Datos!AF44)+COUNTBLANK(Datos!AF45)+COUNTBLANK(Datos!AF46)+COUNTBLANK(Datos!AF39)+COUNTBLANK(Datos!AF40)+COUNTBLANK(Datos!AF41))&gt;0,"INCOMPLETE","OK"))</f>
        <v>MISSING</v>
      </c>
      <c r="P593" s="193" t="str">
        <f>INDEX(_TARGETS!$K$2:$K$17,MATCH($C593,_TARGETS!$A$2:$A$17,0))</f>
        <v>OPS (eventos) + Full Control GPS (km) - carga manual en Datos</v>
      </c>
      <c r="Q593" s="193" t="str">
        <f t="shared" si="47"/>
        <v>202812|SVCR|Monthly</v>
      </c>
      <c r="R593" s="193" t="str">
        <f>INDEX(_TARGETS!$H$2:$H$17,MATCH($C593,_TARGETS!$A$2:$A$17,0))</f>
        <v>Solo reporte</v>
      </c>
      <c r="S593" s="193" t="str">
        <f t="shared" si="48"/>
        <v/>
      </c>
      <c r="T593" s="193" t="str">
        <f t="shared" si="49"/>
        <v/>
      </c>
    </row>
    <row r="594" spans="1:20" ht="13.5" customHeight="1" x14ac:dyDescent="0.3">
      <c r="A594" s="245">
        <f>KPIs!$AF$3</f>
        <v>47088</v>
      </c>
      <c r="B594" s="199" t="str">
        <f>KPIs!AF$4</f>
        <v>Compresora</v>
      </c>
      <c r="C594" s="31" t="s">
        <v>61</v>
      </c>
      <c r="D594" s="199" t="str">
        <f>KPIs!$A$11</f>
        <v>5 · Accidentes vehiculares totales por millón de km</v>
      </c>
      <c r="E594" s="31" t="s">
        <v>599</v>
      </c>
      <c r="F594" s="247" t="str">
        <f>IF(ISNUMBER(KPIs!AF11),KPIs!AF11,"")</f>
        <v/>
      </c>
      <c r="G594" s="247">
        <f>IF(ISNUMBER(KPIs!$C$11),KPIs!$C$11,"")</f>
        <v>0.79</v>
      </c>
      <c r="H594" s="199" t="str">
        <f>IFERROR(INDEX(_TARGETS!$E$2:$E$17,MATCH($C594,_TARGETS!$A$2:$A$17,0))&amp;"","")</f>
        <v>≤</v>
      </c>
      <c r="I594" s="199" t="str">
        <f t="shared" si="45"/>
        <v/>
      </c>
      <c r="J594" s="193" t="str">
        <f t="shared" si="46"/>
        <v>Monthly</v>
      </c>
      <c r="K594" s="193">
        <f>Datos!AF39+Datos!AF40+Datos!AF41+Datos!AF42</f>
        <v>0</v>
      </c>
      <c r="L594" s="248">
        <f>Datos!AF47</f>
        <v>0</v>
      </c>
      <c r="M594" s="193">
        <f>INDEX(_TARGETS!$J$2:$J$17,MATCH($C594,_TARGETS!$A$2:$A$17,0))</f>
        <v>1000000</v>
      </c>
      <c r="N594" s="193" t="str">
        <f>INDEX(_TARGETS!$D$2:$D$17,MATCH($C594,_TARGETS!$A$2:$A$17,0))</f>
        <v>eventos / 10^6 km</v>
      </c>
      <c r="O594" s="193" t="str">
        <f>IF(NOT(ISNUMBER(F594)),"MISSING",IF((COUNTBLANK(Datos!AF44)+COUNTBLANK(Datos!AF45)+COUNTBLANK(Datos!AF46)+COUNTBLANK(Datos!AF39)+COUNTBLANK(Datos!AF40)+COUNTBLANK(Datos!AF41)+COUNTBLANK(Datos!AF42))&gt;0,"INCOMPLETE","OK"))</f>
        <v>MISSING</v>
      </c>
      <c r="P594" s="193" t="str">
        <f>INDEX(_TARGETS!$K$2:$K$17,MATCH($C594,_TARGETS!$A$2:$A$17,0))</f>
        <v>OPS (eventos) + Full Control GPS (km) - carga manual en Datos</v>
      </c>
      <c r="Q594" s="193" t="str">
        <f t="shared" si="47"/>
        <v>202812|TVCR|Monthly</v>
      </c>
      <c r="R594" s="193" t="str">
        <f>INDEX(_TARGETS!$H$2:$H$17,MATCH($C594,_TARGETS!$A$2:$A$17,0))</f>
        <v>Definida</v>
      </c>
      <c r="S594" s="193" t="str">
        <f t="shared" si="48"/>
        <v/>
      </c>
      <c r="T594" s="193" t="str">
        <f t="shared" si="49"/>
        <v/>
      </c>
    </row>
    <row r="595" spans="1:20" ht="13.5" customHeight="1" x14ac:dyDescent="0.3">
      <c r="A595" s="245">
        <f>KPIs!$AF$3</f>
        <v>47088</v>
      </c>
      <c r="B595" s="199" t="str">
        <f>KPIs!AF$4</f>
        <v>Compresora</v>
      </c>
      <c r="C595" s="31" t="s">
        <v>63</v>
      </c>
      <c r="D595" s="199" t="str">
        <f>KPIs!$A$13</f>
        <v>6 · Observaciones de seguridad por persona</v>
      </c>
      <c r="E595" s="31" t="s">
        <v>599</v>
      </c>
      <c r="F595" s="247" t="str">
        <f>IF(ISNUMBER(KPIs!AF13),KPIs!AF13,"")</f>
        <v/>
      </c>
      <c r="G595" s="247">
        <f>IF(ISNUMBER(KPIs!$C$13),KPIs!$C$13,"")</f>
        <v>1</v>
      </c>
      <c r="H595" s="199" t="str">
        <f>IFERROR(INDEX(_TARGETS!$E$2:$E$17,MATCH($C595,_TARGETS!$A$2:$A$17,0))&amp;"","")</f>
        <v>≥</v>
      </c>
      <c r="I595" s="199" t="str">
        <f t="shared" si="45"/>
        <v/>
      </c>
      <c r="J595" s="193" t="str">
        <f t="shared" si="46"/>
        <v>Monthly</v>
      </c>
      <c r="K595" s="248" t="str">
        <f>IF(COUNT(Datos!AF28:AF29)=0,"",SUM(Datos!AF28:AF29))</f>
        <v/>
      </c>
      <c r="L595" s="248">
        <f>Datos!AF11</f>
        <v>0</v>
      </c>
      <c r="M595" s="193">
        <f>INDEX(_TARGETS!$J$2:$J$17,MATCH($C595,_TARGETS!$A$2:$A$17,0))</f>
        <v>1</v>
      </c>
      <c r="N595" s="193" t="str">
        <f>INDEX(_TARGETS!$D$2:$D$17,MATCH($C595,_TARGETS!$A$2:$A$17,0))</f>
        <v>obs / persona</v>
      </c>
      <c r="O595" s="193" t="str">
        <f>IF(NOT(ISNUMBER(F595)),"MISSING",IF((COUNTBLANK(Datos!AF9)+COUNTBLANK(Datos!AF10)+IF(COUNT(Datos!AF28:AF29)=0,1,0))&gt;0,"INCOMPLETE","OK"))</f>
        <v>MISSING</v>
      </c>
      <c r="P595" s="193" t="str">
        <f>INDEX(_TARGETS!$K$2:$K$17,MATCH($C595,_TARGETS!$A$2:$A$17,0))</f>
        <v>OPS (carga manual en Datos)</v>
      </c>
      <c r="Q595" s="193" t="str">
        <f t="shared" si="47"/>
        <v>202812|OBS|Monthly</v>
      </c>
      <c r="R595" s="193" t="str">
        <f>INDEX(_TARGETS!$H$2:$H$17,MATCH($C595,_TARGETS!$A$2:$A$17,0))</f>
        <v>PROVISORIA · referencia del subcontratista (OPS: 1 obs/persona); meta y población en definición</v>
      </c>
      <c r="S595" s="193" t="str">
        <f t="shared" si="48"/>
        <v/>
      </c>
      <c r="T595" s="193" t="str">
        <f t="shared" si="49"/>
        <v/>
      </c>
    </row>
    <row r="596" spans="1:20" ht="13.5" customHeight="1" x14ac:dyDescent="0.3">
      <c r="A596" s="245">
        <f>KPIs!$AF$3</f>
        <v>47088</v>
      </c>
      <c r="B596" s="199" t="str">
        <f>KPIs!AF$4</f>
        <v>Compresora</v>
      </c>
      <c r="C596" s="31" t="s">
        <v>71</v>
      </c>
      <c r="D596" s="199" t="str">
        <f>KPIs!$A$14</f>
        <v>7 · Investigaciones de accidentes: días promedio de cierre</v>
      </c>
      <c r="E596" s="31" t="s">
        <v>599</v>
      </c>
      <c r="F596" s="247" t="str">
        <f>IF(ISNUMBER(KPIs!AF14),KPIs!AF14,"")</f>
        <v/>
      </c>
      <c r="G596" s="247">
        <f>IF(ISNUMBER(KPIs!$C$14),KPIs!$C$14,"")</f>
        <v>20</v>
      </c>
      <c r="H596" s="199" t="str">
        <f>IFERROR(INDEX(_TARGETS!$E$2:$E$17,MATCH($C596,_TARGETS!$A$2:$A$17,0))&amp;"","")</f>
        <v>≤</v>
      </c>
      <c r="I596" s="199" t="str">
        <f t="shared" si="45"/>
        <v/>
      </c>
      <c r="J596" s="193" t="str">
        <f t="shared" si="46"/>
        <v>Monthly</v>
      </c>
      <c r="K596" s="248">
        <f>Datos!AF31</f>
        <v>0</v>
      </c>
      <c r="L596" s="248">
        <f>Datos!AF30</f>
        <v>0</v>
      </c>
      <c r="M596" s="193">
        <f>INDEX(_TARGETS!$J$2:$J$17,MATCH($C596,_TARGETS!$A$2:$A$17,0))</f>
        <v>1</v>
      </c>
      <c r="N596" s="193" t="str">
        <f>INDEX(_TARGETS!$D$2:$D$17,MATCH($C596,_TARGETS!$A$2:$A$17,0))</f>
        <v>días</v>
      </c>
      <c r="O596" s="193" t="str">
        <f>IF(NOT(ISNUMBER(F596)),"MISSING",IF((COUNTBLANK(Datos!AF30)+COUNTBLANK(Datos!AF31))&gt;0,"INCOMPLETE","OK"))</f>
        <v>MISSING</v>
      </c>
      <c r="P596" s="193" t="str">
        <f>INDEX(_TARGETS!$K$2:$K$17,MATCH($C596,_TARGETS!$A$2:$A$17,0))</f>
        <v>OPS (carga manual en Datos)</v>
      </c>
      <c r="Q596" s="193" t="str">
        <f t="shared" si="47"/>
        <v>202812|INV|Monthly</v>
      </c>
      <c r="R596" s="193" t="str">
        <f>INDEX(_TARGETS!$H$2:$H$17,MATCH($C596,_TARGETS!$A$2:$A$17,0))</f>
        <v>Definida</v>
      </c>
      <c r="S596" s="193" t="str">
        <f t="shared" si="48"/>
        <v/>
      </c>
      <c r="T596" s="193" t="str">
        <f t="shared" si="49"/>
        <v/>
      </c>
    </row>
    <row r="597" spans="1:20" ht="13.5" customHeight="1" x14ac:dyDescent="0.3">
      <c r="A597" s="245">
        <f>KPIs!$AF$3</f>
        <v>47088</v>
      </c>
      <c r="B597" s="199" t="str">
        <f>KPIs!AF$4</f>
        <v>Compresora</v>
      </c>
      <c r="C597" s="31" t="s">
        <v>76</v>
      </c>
      <c r="D597" s="199" t="str">
        <f>KPIs!$A$16</f>
        <v>8 · % de capacitación en seguridad</v>
      </c>
      <c r="E597" s="31" t="s">
        <v>599</v>
      </c>
      <c r="F597" s="247" t="str">
        <f>IF(ISNUMBER(KPIs!AF16),KPIs!AF16,"")</f>
        <v/>
      </c>
      <c r="G597" s="247">
        <f>IF(ISNUMBER(KPIs!$C$16),KPIs!$C$16,"")</f>
        <v>0.01</v>
      </c>
      <c r="H597" s="199" t="str">
        <f>IFERROR(INDEX(_TARGETS!$E$2:$E$17,MATCH($C597,_TARGETS!$A$2:$A$17,0))&amp;"","")</f>
        <v>≥</v>
      </c>
      <c r="I597" s="199" t="str">
        <f t="shared" si="45"/>
        <v/>
      </c>
      <c r="J597" s="193" t="str">
        <f t="shared" si="46"/>
        <v>Monthly</v>
      </c>
      <c r="K597" s="248">
        <f>Datos!AF18</f>
        <v>0</v>
      </c>
      <c r="L597" s="248">
        <f>Datos!AF14</f>
        <v>0</v>
      </c>
      <c r="M597" s="193">
        <f>INDEX(_TARGETS!$J$2:$J$17,MATCH($C597,_TARGETS!$A$2:$A$17,0))</f>
        <v>1</v>
      </c>
      <c r="N597" s="193" t="str">
        <f>INDEX(_TARGETS!$D$2:$D$17,MATCH($C597,_TARGETS!$A$2:$A$17,0))</f>
        <v>% (fracción)</v>
      </c>
      <c r="O597" s="193" t="str">
        <f>IF(NOT(ISNUMBER(F597)),"MISSING",IF((COUNTBLANK(Datos!AF16)+COUNTBLANK(Datos!AF17)+COUNTBLANK(Datos!AF12)+COUNTBLANK(Datos!AF13))&gt;0,"INCOMPLETE","OK"))</f>
        <v>MISSING</v>
      </c>
      <c r="P597" s="193" t="str">
        <f>INDEX(_TARGETS!$K$2:$K$17,MATCH($C597,_TARGETS!$A$2:$A$17,0))</f>
        <v>OPS (carga manual en Datos)</v>
      </c>
      <c r="Q597" s="193" t="str">
        <f t="shared" si="47"/>
        <v>202812|HCS|Monthly</v>
      </c>
      <c r="R597" s="193" t="str">
        <f>INDEX(_TARGETS!$H$2:$H$17,MATCH($C597,_TARGETS!$A$2:$A$17,0))</f>
        <v>Definida</v>
      </c>
      <c r="S597" s="193" t="str">
        <f t="shared" si="48"/>
        <v/>
      </c>
      <c r="T597" s="193" t="str">
        <f t="shared" si="49"/>
        <v/>
      </c>
    </row>
    <row r="598" spans="1:20" ht="13.5" customHeight="1" x14ac:dyDescent="0.3">
      <c r="A598" s="245">
        <f>KPIs!$AF$3</f>
        <v>47088</v>
      </c>
      <c r="B598" s="199" t="str">
        <f>KPIs!AF$4</f>
        <v>Compresora</v>
      </c>
      <c r="C598" s="31" t="s">
        <v>80</v>
      </c>
      <c r="D598" s="199" t="str">
        <f>KPIs!$A$17</f>
        <v>9 · Horas de capacitación por persona</v>
      </c>
      <c r="E598" s="31" t="s">
        <v>599</v>
      </c>
      <c r="F598" s="247" t="str">
        <f>IF(ISNUMBER(KPIs!AF17),KPIs!AF17,"")</f>
        <v/>
      </c>
      <c r="G598" s="247" t="str">
        <f>IF(ISNUMBER(KPIs!$C$17),KPIs!$C$17,"")</f>
        <v/>
      </c>
      <c r="H598" s="199" t="str">
        <f>IFERROR(INDEX(_TARGETS!$E$2:$E$17,MATCH($C598,_TARGETS!$A$2:$A$17,0))&amp;"","")</f>
        <v/>
      </c>
      <c r="I598" s="199" t="str">
        <f t="shared" si="45"/>
        <v/>
      </c>
      <c r="J598" s="193" t="str">
        <f t="shared" si="46"/>
        <v>Monthly</v>
      </c>
      <c r="K598" s="248">
        <f>Datos!AF18</f>
        <v>0</v>
      </c>
      <c r="L598" s="248">
        <f>Datos!AF11</f>
        <v>0</v>
      </c>
      <c r="M598" s="193">
        <f>INDEX(_TARGETS!$J$2:$J$17,MATCH($C598,_TARGETS!$A$2:$A$17,0))</f>
        <v>1</v>
      </c>
      <c r="N598" s="193" t="str">
        <f>INDEX(_TARGETS!$D$2:$D$17,MATCH($C598,_TARGETS!$A$2:$A$17,0))</f>
        <v>h / persona</v>
      </c>
      <c r="O598" s="193" t="str">
        <f>IF(NOT(ISNUMBER(F598)),"MISSING",IF((COUNTBLANK(Datos!AF16)+COUNTBLANK(Datos!AF17)+COUNTBLANK(Datos!AF9)+COUNTBLANK(Datos!AF10))&gt;0,"INCOMPLETE","OK"))</f>
        <v>MISSING</v>
      </c>
      <c r="P598" s="193" t="str">
        <f>INDEX(_TARGETS!$K$2:$K$17,MATCH($C598,_TARGETS!$A$2:$A$17,0))</f>
        <v>OPS (carga manual en Datos)</v>
      </c>
      <c r="Q598" s="193" t="str">
        <f t="shared" si="47"/>
        <v>202812|HCSA|Monthly</v>
      </c>
      <c r="R598" s="193" t="str">
        <f>INDEX(_TARGETS!$H$2:$H$17,MATCH($C598,_TARGETS!$A$2:$A$17,0))</f>
        <v>Solo reporte</v>
      </c>
      <c r="S598" s="193" t="str">
        <f t="shared" si="48"/>
        <v/>
      </c>
      <c r="T598" s="193" t="str">
        <f t="shared" si="49"/>
        <v/>
      </c>
    </row>
    <row r="599" spans="1:20" ht="13.5" customHeight="1" x14ac:dyDescent="0.3">
      <c r="A599" s="245">
        <f>KPIs!$AF$3</f>
        <v>47088</v>
      </c>
      <c r="B599" s="199" t="str">
        <f>KPIs!AF$4</f>
        <v>Compresora</v>
      </c>
      <c r="C599" s="31" t="s">
        <v>83</v>
      </c>
      <c r="D599" s="199" t="str">
        <f>KPIs!$A$18</f>
        <v>10 · Cumplimiento de simulacros (emergencia y operativos)</v>
      </c>
      <c r="E599" s="31" t="s">
        <v>599</v>
      </c>
      <c r="F599" s="247" t="str">
        <f>IF(ISNUMBER(KPIs!AF18),KPIs!AF18,"")</f>
        <v/>
      </c>
      <c r="G599" s="247">
        <f>IF(ISNUMBER(KPIs!$C$18),KPIs!$C$18,"")</f>
        <v>1</v>
      </c>
      <c r="H599" s="199" t="str">
        <f>IFERROR(INDEX(_TARGETS!$E$2:$E$17,MATCH($C599,_TARGETS!$A$2:$A$17,0))&amp;"","")</f>
        <v>≥</v>
      </c>
      <c r="I599" s="199" t="str">
        <f t="shared" si="45"/>
        <v/>
      </c>
      <c r="J599" s="193" t="str">
        <f t="shared" si="46"/>
        <v>Monthly</v>
      </c>
      <c r="K599" s="248">
        <f>Datos!AF20</f>
        <v>0</v>
      </c>
      <c r="L599" s="248">
        <f>Datos!AF21</f>
        <v>0</v>
      </c>
      <c r="M599" s="193">
        <f>INDEX(_TARGETS!$J$2:$J$17,MATCH($C599,_TARGETS!$A$2:$A$17,0))</f>
        <v>1</v>
      </c>
      <c r="N599" s="193" t="str">
        <f>INDEX(_TARGETS!$D$2:$D$17,MATCH($C599,_TARGETS!$A$2:$A$17,0))</f>
        <v>% (fracción)</v>
      </c>
      <c r="O599" s="193" t="str">
        <f>IF(NOT(ISNUMBER(F599)),"MISSING",IF((COUNTBLANK(Datos!AF20)+COUNTBLANK(Datos!AF21))&gt;0,"INCOMPLETE","OK"))</f>
        <v>MISSING</v>
      </c>
      <c r="P599" s="193" t="str">
        <f>INDEX(_TARGETS!$K$2:$K$17,MATCH($C599,_TARGETS!$A$2:$A$17,0))</f>
        <v>OPS (carga manual en Datos)</v>
      </c>
      <c r="Q599" s="193" t="str">
        <f t="shared" si="47"/>
        <v>202812|CPSE|Monthly</v>
      </c>
      <c r="R599" s="193" t="str">
        <f>INDEX(_TARGETS!$H$2:$H$17,MATCH($C599,_TARGETS!$A$2:$A$17,0))</f>
        <v>Definida</v>
      </c>
      <c r="S599" s="193" t="str">
        <f t="shared" si="48"/>
        <v/>
      </c>
      <c r="T599" s="193" t="str">
        <f t="shared" si="49"/>
        <v/>
      </c>
    </row>
    <row r="600" spans="1:20" ht="13.5" customHeight="1" x14ac:dyDescent="0.3">
      <c r="A600" s="245">
        <f>KPIs!$AF$3</f>
        <v>47088</v>
      </c>
      <c r="B600" s="199" t="str">
        <f>KPIs!AF$4</f>
        <v>Compresora</v>
      </c>
      <c r="C600" s="31" t="s">
        <v>85</v>
      </c>
      <c r="D600" s="199" t="str">
        <f>KPIs!$A$19</f>
        <v>10b · Cumplimiento de acciones de mejora de simulacros</v>
      </c>
      <c r="E600" s="31" t="s">
        <v>599</v>
      </c>
      <c r="F600" s="247" t="str">
        <f>IF(ISNUMBER(KPIs!AF19),KPIs!AF19,"")</f>
        <v/>
      </c>
      <c r="G600" s="247" t="str">
        <f>IF(ISNUMBER(KPIs!$C$19),KPIs!$C$19,"")</f>
        <v/>
      </c>
      <c r="H600" s="199" t="str">
        <f>IFERROR(INDEX(_TARGETS!$E$2:$E$17,MATCH($C600,_TARGETS!$A$2:$A$17,0))&amp;"","")</f>
        <v/>
      </c>
      <c r="I600" s="199" t="str">
        <f t="shared" si="45"/>
        <v/>
      </c>
      <c r="J600" s="193" t="str">
        <f t="shared" si="46"/>
        <v>Monthly</v>
      </c>
      <c r="K600" s="248">
        <f>Datos!AF23</f>
        <v>0</v>
      </c>
      <c r="L600" s="248">
        <f>Datos!AF22</f>
        <v>0</v>
      </c>
      <c r="M600" s="193">
        <f>INDEX(_TARGETS!$J$2:$J$17,MATCH($C600,_TARGETS!$A$2:$A$17,0))</f>
        <v>1</v>
      </c>
      <c r="N600" s="193" t="str">
        <f>INDEX(_TARGETS!$D$2:$D$17,MATCH($C600,_TARGETS!$A$2:$A$17,0))</f>
        <v>% (fracción)</v>
      </c>
      <c r="O600" s="193" t="str">
        <f>IF(NOT(ISNUMBER(F600)),"MISSING",IF((COUNTBLANK(Datos!AF23)+COUNTBLANK(Datos!AF22))&gt;0,"INCOMPLETE","OK"))</f>
        <v>MISSING</v>
      </c>
      <c r="P600" s="193" t="str">
        <f>INDEX(_TARGETS!$K$2:$K$17,MATCH($C600,_TARGETS!$A$2:$A$17,0))</f>
        <v>OPS (carga manual en Datos)</v>
      </c>
      <c r="Q600" s="193" t="str">
        <f t="shared" si="47"/>
        <v>202812|CAMS|Monthly</v>
      </c>
      <c r="R600" s="193" t="str">
        <f>INDEX(_TARGETS!$H$2:$H$17,MATCH($C600,_TARGETS!$A$2:$A$17,0))</f>
        <v>Solo reporte</v>
      </c>
      <c r="S600" s="193" t="str">
        <f t="shared" si="48"/>
        <v/>
      </c>
      <c r="T600" s="193" t="str">
        <f t="shared" si="49"/>
        <v/>
      </c>
    </row>
    <row r="601" spans="1:20" ht="13.5" customHeight="1" x14ac:dyDescent="0.3">
      <c r="A601" s="245">
        <f>KPIs!$AF$3</f>
        <v>47088</v>
      </c>
      <c r="B601" s="199" t="str">
        <f>KPIs!AF$4</f>
        <v>Compresora</v>
      </c>
      <c r="C601" s="31" t="s">
        <v>87</v>
      </c>
      <c r="D601" s="199" t="str">
        <f>KPIs!$A$21</f>
        <v>11 · Cumplimiento de caminatas gerenciales</v>
      </c>
      <c r="E601" s="31" t="s">
        <v>599</v>
      </c>
      <c r="F601" s="247" t="str">
        <f>IF(ISNUMBER(KPIs!AF21),KPIs!AF21,"")</f>
        <v/>
      </c>
      <c r="G601" s="247">
        <f>IF(ISNUMBER(KPIs!$C$21),KPIs!$C$21,"")</f>
        <v>1</v>
      </c>
      <c r="H601" s="199" t="str">
        <f>IFERROR(INDEX(_TARGETS!$E$2:$E$17,MATCH($C601,_TARGETS!$A$2:$A$17,0))&amp;"","")</f>
        <v>≥</v>
      </c>
      <c r="I601" s="199" t="str">
        <f t="shared" si="45"/>
        <v/>
      </c>
      <c r="J601" s="193" t="str">
        <f t="shared" si="46"/>
        <v>Monthly</v>
      </c>
      <c r="K601" s="248">
        <f>Datos!AF24</f>
        <v>0</v>
      </c>
      <c r="L601" s="248">
        <f>Datos!AF25</f>
        <v>0</v>
      </c>
      <c r="M601" s="193">
        <f>INDEX(_TARGETS!$J$2:$J$17,MATCH($C601,_TARGETS!$A$2:$A$17,0))</f>
        <v>1</v>
      </c>
      <c r="N601" s="193" t="str">
        <f>INDEX(_TARGETS!$D$2:$D$17,MATCH($C601,_TARGETS!$A$2:$A$17,0))</f>
        <v>% (fracción)</v>
      </c>
      <c r="O601" s="193" t="str">
        <f>IF(NOT(ISNUMBER(F601)),"MISSING",IF((COUNTBLANK(Datos!AF24)+COUNTBLANK(Datos!AF25))&gt;0,"INCOMPLETE","OK"))</f>
        <v>MISSING</v>
      </c>
      <c r="P601" s="193" t="str">
        <f>INDEX(_TARGETS!$K$2:$K$17,MATCH($C601,_TARGETS!$A$2:$A$17,0))</f>
        <v>OPS (carga manual en Datos)</v>
      </c>
      <c r="Q601" s="193" t="str">
        <f t="shared" si="47"/>
        <v>202812|ICCS|Monthly</v>
      </c>
      <c r="R601" s="193" t="str">
        <f>INDEX(_TARGETS!$H$2:$H$17,MATCH($C601,_TARGETS!$A$2:$A$17,0))</f>
        <v>Definida</v>
      </c>
      <c r="S601" s="193" t="str">
        <f t="shared" si="48"/>
        <v/>
      </c>
      <c r="T601" s="193" t="str">
        <f t="shared" si="49"/>
        <v/>
      </c>
    </row>
    <row r="602" spans="1:20" ht="13.5" customHeight="1" x14ac:dyDescent="0.3">
      <c r="A602" s="245">
        <f>KPIs!$AF$3</f>
        <v>47088</v>
      </c>
      <c r="B602" s="199" t="str">
        <f>KPIs!AF$4</f>
        <v>Compresora</v>
      </c>
      <c r="C602" s="31" t="s">
        <v>89</v>
      </c>
      <c r="D602" s="199" t="str">
        <f>KPIs!$A$22</f>
        <v>12 · Cumplimiento de comités y subcomités de seguridad</v>
      </c>
      <c r="E602" s="31" t="s">
        <v>599</v>
      </c>
      <c r="F602" s="247" t="str">
        <f>IF(ISNUMBER(KPIs!AF22),KPIs!AF22,"")</f>
        <v/>
      </c>
      <c r="G602" s="247">
        <f>IF(ISNUMBER(KPIs!$C$22),KPIs!$C$22,"")</f>
        <v>1</v>
      </c>
      <c r="H602" s="199" t="str">
        <f>IFERROR(INDEX(_TARGETS!$E$2:$E$17,MATCH($C602,_TARGETS!$A$2:$A$17,0))&amp;"","")</f>
        <v>≥</v>
      </c>
      <c r="I602" s="199" t="str">
        <f t="shared" si="45"/>
        <v/>
      </c>
      <c r="J602" s="193" t="str">
        <f t="shared" si="46"/>
        <v>Monthly</v>
      </c>
      <c r="K602" s="248">
        <f>Datos!AF26</f>
        <v>0</v>
      </c>
      <c r="L602" s="248">
        <f>Datos!AF27</f>
        <v>0</v>
      </c>
      <c r="M602" s="193">
        <f>INDEX(_TARGETS!$J$2:$J$17,MATCH($C602,_TARGETS!$A$2:$A$17,0))</f>
        <v>1</v>
      </c>
      <c r="N602" s="193" t="str">
        <f>INDEX(_TARGETS!$D$2:$D$17,MATCH($C602,_TARGETS!$A$2:$A$17,0))</f>
        <v>% (fracción)</v>
      </c>
      <c r="O602" s="193" t="str">
        <f>IF(NOT(ISNUMBER(F602)),"MISSING",IF((COUNTBLANK(Datos!AF26)+COUNTBLANK(Datos!AF27))&gt;0,"INCOMPLETE","OK"))</f>
        <v>MISSING</v>
      </c>
      <c r="P602" s="193" t="str">
        <f>INDEX(_TARGETS!$K$2:$K$17,MATCH($C602,_TARGETS!$A$2:$A$17,0))</f>
        <v>OPS (carga manual en Datos)</v>
      </c>
      <c r="Q602" s="193" t="str">
        <f t="shared" si="47"/>
        <v>202812|CCS|Monthly</v>
      </c>
      <c r="R602" s="193" t="str">
        <f>INDEX(_TARGETS!$H$2:$H$17,MATCH($C602,_TARGETS!$A$2:$A$17,0))</f>
        <v>Definida</v>
      </c>
      <c r="S602" s="193" t="str">
        <f t="shared" si="48"/>
        <v/>
      </c>
      <c r="T602" s="193" t="str">
        <f t="shared" si="49"/>
        <v/>
      </c>
    </row>
    <row r="603" spans="1:20" ht="13.5" customHeight="1" x14ac:dyDescent="0.3">
      <c r="A603" s="245">
        <f>KPIs!$AF$3</f>
        <v>47088</v>
      </c>
      <c r="B603" s="199" t="str">
        <f>KPIs!AF$4</f>
        <v>Compresora</v>
      </c>
      <c r="C603" s="31" t="s">
        <v>91</v>
      </c>
      <c r="D603" s="199" t="str">
        <f>KPIs!$A$23</f>
        <v>13 · Días promedio para cerrar hallazgos</v>
      </c>
      <c r="E603" s="31" t="s">
        <v>599</v>
      </c>
      <c r="F603" s="247" t="str">
        <f>IF(ISNUMBER(KPIs!AF23),KPIs!AF23,"")</f>
        <v/>
      </c>
      <c r="G603" s="247" t="str">
        <f>IF(ISNUMBER(KPIs!$C$23),KPIs!$C$23,"")</f>
        <v/>
      </c>
      <c r="H603" s="199" t="str">
        <f>IFERROR(INDEX(_TARGETS!$E$2:$E$17,MATCH($C603,_TARGETS!$A$2:$A$17,0))&amp;"","")</f>
        <v>≤</v>
      </c>
      <c r="I603" s="199" t="str">
        <f t="shared" si="45"/>
        <v/>
      </c>
      <c r="J603" s="193" t="str">
        <f t="shared" si="46"/>
        <v>Monthly</v>
      </c>
      <c r="K603" s="248">
        <f>Datos!AF68</f>
        <v>0</v>
      </c>
      <c r="L603" s="248">
        <f>Datos!AF67</f>
        <v>0</v>
      </c>
      <c r="M603" s="193">
        <f>INDEX(_TARGETS!$J$2:$J$17,MATCH($C603,_TARGETS!$A$2:$A$17,0))</f>
        <v>1</v>
      </c>
      <c r="N603" s="193" t="str">
        <f>INDEX(_TARGETS!$D$2:$D$17,MATCH($C603,_TARGETS!$A$2:$A$17,0))</f>
        <v>días</v>
      </c>
      <c r="O603" s="193" t="str">
        <f>IF(NOT(ISNUMBER(F603)),"MISSING","OK")</f>
        <v>MISSING</v>
      </c>
      <c r="P603" s="193" t="str">
        <f>INDEX(_TARGETS!$K$2:$K$17,MATCH($C603,_TARGETS!$A$2:$A$17,0))</f>
        <v>Plant Findings (hoja Observaciones-SMP)</v>
      </c>
      <c r="Q603" s="193" t="str">
        <f t="shared" si="47"/>
        <v>202812|DPAS|Monthly</v>
      </c>
      <c r="R603" s="193" t="str">
        <f>INDEX(_TARGETS!$H$2:$H$17,MATCH($C603,_TARGETS!$A$2:$A$17,0))</f>
        <v>Pendiente (meta 2027)</v>
      </c>
      <c r="S603" s="193" t="str">
        <f t="shared" si="48"/>
        <v/>
      </c>
      <c r="T603" s="193" t="str">
        <f t="shared" si="49"/>
        <v/>
      </c>
    </row>
    <row r="604" spans="1:20" ht="13.5" customHeight="1" x14ac:dyDescent="0.3">
      <c r="A604" s="245">
        <f>KPIs!$AF$3</f>
        <v>47088</v>
      </c>
      <c r="B604" s="199" t="str">
        <f>KPIs!AF$4</f>
        <v>Compresora</v>
      </c>
      <c r="C604" s="31" t="s">
        <v>39</v>
      </c>
      <c r="D604" s="199" t="str">
        <f>KPIs!$A$26</f>
        <v>1 · Frecuencia de casos con días perdidos · ACUMULADO</v>
      </c>
      <c r="E604" s="31" t="s">
        <v>600</v>
      </c>
      <c r="F604" s="247" t="str">
        <f>IF(ISNUMBER(KPIs!AF26),KPIs!AF26,"")</f>
        <v/>
      </c>
      <c r="G604" s="247">
        <f>IF(ISNUMBER(KPIs!$C$26),KPIs!$C$26,"")</f>
        <v>0</v>
      </c>
      <c r="H604" s="199" t="str">
        <f>IFERROR(INDEX(_TARGETS!$E$2:$E$17,MATCH($C604,_TARGETS!$A$2:$A$17,0))&amp;"","")</f>
        <v>≤</v>
      </c>
      <c r="I604" s="199" t="str">
        <f t="shared" si="45"/>
        <v/>
      </c>
      <c r="J604" s="193" t="str">
        <f t="shared" si="46"/>
        <v>Cumulative</v>
      </c>
      <c r="K604" s="193">
        <f>SUM(Datos!$D33:AF33)</f>
        <v>0</v>
      </c>
      <c r="L604" s="193">
        <f>SUM(Datos!$D14:AF14)</f>
        <v>48332</v>
      </c>
      <c r="M604" s="193">
        <f>INDEX(_TARGETS!$J$2:$J$17,MATCH($C604,_TARGETS!$A$2:$A$17,0))</f>
        <v>1000000</v>
      </c>
      <c r="N604" s="193" t="str">
        <f>INDEX(_TARGETS!$D$2:$D$17,MATCH($C604,_TARGETS!$A$2:$A$17,0))</f>
        <v>casos / 10^6 HH</v>
      </c>
      <c r="O604" s="193" t="str">
        <f>IF(NOT(ISNUMBER(F604)),IF(SUMPRODUCT(($C$2:$C$1300=C604)*($J$2:$J$1300="Monthly")*($A$2:$A$1300&lt;=A604)*ISNUMBER($K$2:$K$1300)*ISNUMBER($L$2:$L$1300)*($L$2:$L$1300=0)*($K$2:$K$1300&gt;0))&gt;0,"INCOMPLETE","MISSING"),O590)</f>
        <v>MISSING</v>
      </c>
      <c r="P604" s="193" t="str">
        <f>INDEX(_TARGETS!$K$2:$K$17,MATCH($C604,_TARGETS!$A$2:$A$17,0))</f>
        <v>OPS (carga manual en Datos)</v>
      </c>
      <c r="Q604" s="193" t="str">
        <f t="shared" si="47"/>
        <v>202812|DAFWCF|Cumulative</v>
      </c>
      <c r="R604" s="193" t="str">
        <f>INDEX(_TARGETS!$H$2:$H$17,MATCH($C604,_TARGETS!$A$2:$A$17,0))</f>
        <v>Definida</v>
      </c>
      <c r="S604" s="193">
        <f t="shared" si="48"/>
        <v>0</v>
      </c>
      <c r="T604" s="193" t="str">
        <f t="shared" si="49"/>
        <v/>
      </c>
    </row>
    <row r="605" spans="1:20" ht="13.5" customHeight="1" x14ac:dyDescent="0.3">
      <c r="A605" s="245">
        <f>KPIs!$AF$3</f>
        <v>47088</v>
      </c>
      <c r="B605" s="199" t="str">
        <f>KPIs!AF$4</f>
        <v>Compresora</v>
      </c>
      <c r="C605" s="31" t="s">
        <v>49</v>
      </c>
      <c r="D605" s="199" t="str">
        <f>KPIs!$A$27</f>
        <v>2 · Frecuencia de casos registrables · ACUMULADO</v>
      </c>
      <c r="E605" s="31" t="s">
        <v>600</v>
      </c>
      <c r="F605" s="247" t="str">
        <f>IF(ISNUMBER(KPIs!AF27),KPIs!AF27,"")</f>
        <v/>
      </c>
      <c r="G605" s="247">
        <f>IF(ISNUMBER(KPIs!$C$27),KPIs!$C$27,"")</f>
        <v>2.35</v>
      </c>
      <c r="H605" s="199" t="str">
        <f>IFERROR(INDEX(_TARGETS!$E$2:$E$17,MATCH($C605,_TARGETS!$A$2:$A$17,0))&amp;"","")</f>
        <v>≤</v>
      </c>
      <c r="I605" s="199" t="str">
        <f t="shared" si="45"/>
        <v/>
      </c>
      <c r="J605" s="193" t="str">
        <f t="shared" si="46"/>
        <v>Cumulative</v>
      </c>
      <c r="K605" s="193">
        <f>SUM(Datos!$D33:AF33)+SUM(Datos!$D34:AF34)+SUM(Datos!$D35:AF35)+SUM(Datos!$D36:AF36)</f>
        <v>0</v>
      </c>
      <c r="L605" s="193">
        <f>SUM(Datos!$D14:AF14)</f>
        <v>48332</v>
      </c>
      <c r="M605" s="193">
        <f>INDEX(_TARGETS!$J$2:$J$17,MATCH($C605,_TARGETS!$A$2:$A$17,0))</f>
        <v>1000000</v>
      </c>
      <c r="N605" s="193" t="str">
        <f>INDEX(_TARGETS!$D$2:$D$17,MATCH($C605,_TARGETS!$A$2:$A$17,0))</f>
        <v>casos / 10^6 HH</v>
      </c>
      <c r="O605" s="193" t="str">
        <f>IF(NOT(ISNUMBER(F605)),IF(SUMPRODUCT(($C$2:$C$1300=C605)*($J$2:$J$1300="Monthly")*($A$2:$A$1300&lt;=A605)*ISNUMBER($K$2:$K$1300)*ISNUMBER($L$2:$L$1300)*($L$2:$L$1300=0)*($K$2:$K$1300&gt;0))&gt;0,"INCOMPLETE","MISSING"),O591)</f>
        <v>MISSING</v>
      </c>
      <c r="P605" s="193" t="str">
        <f>INDEX(_TARGETS!$K$2:$K$17,MATCH($C605,_TARGETS!$A$2:$A$17,0))</f>
        <v>OPS (carga manual en Datos)</v>
      </c>
      <c r="Q605" s="193" t="str">
        <f t="shared" si="47"/>
        <v>202812|TRICF|Cumulative</v>
      </c>
      <c r="R605" s="193" t="str">
        <f>INDEX(_TARGETS!$H$2:$H$17,MATCH($C605,_TARGETS!$A$2:$A$17,0))</f>
        <v>Definida</v>
      </c>
      <c r="S605" s="193">
        <f t="shared" si="48"/>
        <v>0</v>
      </c>
      <c r="T605" s="193" t="str">
        <f t="shared" si="49"/>
        <v/>
      </c>
    </row>
    <row r="606" spans="1:20" ht="13.5" customHeight="1" x14ac:dyDescent="0.3">
      <c r="A606" s="245">
        <f>KPIs!$AF$3</f>
        <v>47088</v>
      </c>
      <c r="B606" s="199" t="str">
        <f>KPIs!AF$4</f>
        <v>Compresora</v>
      </c>
      <c r="C606" s="31" t="s">
        <v>51</v>
      </c>
      <c r="D606" s="199" t="str">
        <f>KPIs!$A$28</f>
        <v>3 · Casos de primeros auxilios · ACUMULADO</v>
      </c>
      <c r="E606" s="31" t="s">
        <v>600</v>
      </c>
      <c r="F606" s="247" t="str">
        <f>IF(ISNUMBER(KPIs!AF28),KPIs!AF28,"")</f>
        <v/>
      </c>
      <c r="G606" s="247" t="str">
        <f>IF(ISNUMBER(KPIs!$C$28),KPIs!$C$28,"")</f>
        <v/>
      </c>
      <c r="H606" s="199" t="str">
        <f>IFERROR(INDEX(_TARGETS!$E$2:$E$17,MATCH($C606,_TARGETS!$A$2:$A$17,0))&amp;"","")</f>
        <v/>
      </c>
      <c r="I606" s="199" t="str">
        <f t="shared" si="45"/>
        <v/>
      </c>
      <c r="J606" s="193" t="str">
        <f t="shared" si="46"/>
        <v>Cumulative</v>
      </c>
      <c r="K606" s="193">
        <f>SUM(Datos!$D37:AF37)</f>
        <v>0</v>
      </c>
      <c r="M606" s="193">
        <f>INDEX(_TARGETS!$J$2:$J$17,MATCH($C606,_TARGETS!$A$2:$A$17,0))</f>
        <v>1</v>
      </c>
      <c r="N606" s="193" t="str">
        <f>INDEX(_TARGETS!$D$2:$D$17,MATCH($C606,_TARGETS!$A$2:$A$17,0))</f>
        <v>casos</v>
      </c>
      <c r="O606" s="193" t="str">
        <f>IF(NOT(ISNUMBER(F606)),IF(SUMPRODUCT(($C$2:$C$1300=C606)*($J$2:$J$1300="Monthly")*($A$2:$A$1300&lt;=A606)*ISNUMBER($K$2:$K$1300)*ISNUMBER($L$2:$L$1300)*($L$2:$L$1300=0)*($K$2:$K$1300&gt;0))&gt;0,"INCOMPLETE","MISSING"),O592)</f>
        <v>MISSING</v>
      </c>
      <c r="P606" s="193" t="str">
        <f>INDEX(_TARGETS!$K$2:$K$17,MATCH($C606,_TARGETS!$A$2:$A$17,0))</f>
        <v>OPS (carga manual en Datos)</v>
      </c>
      <c r="Q606" s="193" t="str">
        <f t="shared" si="47"/>
        <v>202812|FAC|Cumulative</v>
      </c>
      <c r="R606" s="193" t="str">
        <f>INDEX(_TARGETS!$H$2:$H$17,MATCH($C606,_TARGETS!$A$2:$A$17,0))</f>
        <v>Solo reporte</v>
      </c>
      <c r="S606" s="193">
        <f t="shared" si="48"/>
        <v>0</v>
      </c>
      <c r="T606" s="193" t="str">
        <f t="shared" si="49"/>
        <v/>
      </c>
    </row>
    <row r="607" spans="1:20" ht="13.5" customHeight="1" x14ac:dyDescent="0.3">
      <c r="A607" s="245">
        <f>KPIs!$AF$3</f>
        <v>47088</v>
      </c>
      <c r="B607" s="199" t="str">
        <f>KPIs!AF$4</f>
        <v>Compresora</v>
      </c>
      <c r="C607" s="31" t="s">
        <v>57</v>
      </c>
      <c r="D607" s="199" t="str">
        <f>KPIs!$A$29</f>
        <v>4 · Accidentes vehiculares severos · ACUMULADO</v>
      </c>
      <c r="E607" s="31" t="s">
        <v>600</v>
      </c>
      <c r="F607" s="247" t="str">
        <f>IF(ISNUMBER(KPIs!AF29),KPIs!AF29,"")</f>
        <v/>
      </c>
      <c r="G607" s="247" t="str">
        <f>IF(ISNUMBER(KPIs!$C$29),KPIs!$C$29,"")</f>
        <v/>
      </c>
      <c r="H607" s="199" t="str">
        <f>IFERROR(INDEX(_TARGETS!$E$2:$E$17,MATCH($C607,_TARGETS!$A$2:$A$17,0))&amp;"","")</f>
        <v/>
      </c>
      <c r="I607" s="199" t="str">
        <f t="shared" si="45"/>
        <v/>
      </c>
      <c r="J607" s="193" t="str">
        <f t="shared" si="46"/>
        <v>Cumulative</v>
      </c>
      <c r="K607" s="193">
        <f>SUM(Datos!$D39:AF39)+SUM(Datos!$D40:AF40)+SUM(Datos!$D41:AF41)</f>
        <v>0</v>
      </c>
      <c r="L607" s="193">
        <f>SUM(Datos!$D47:AF47)</f>
        <v>172824</v>
      </c>
      <c r="M607" s="193">
        <f>INDEX(_TARGETS!$J$2:$J$17,MATCH($C607,_TARGETS!$A$2:$A$17,0))</f>
        <v>1000000</v>
      </c>
      <c r="N607" s="193" t="str">
        <f>INDEX(_TARGETS!$D$2:$D$17,MATCH($C607,_TARGETS!$A$2:$A$17,0))</f>
        <v>eventos / 10^6 km</v>
      </c>
      <c r="O607" s="193" t="str">
        <f>IF(NOT(ISNUMBER(F607)),IF(SUMPRODUCT(($C$2:$C$1300=C607)*($J$2:$J$1300="Monthly")*($A$2:$A$1300&lt;=A607)*ISNUMBER($K$2:$K$1300)*ISNUMBER($L$2:$L$1300)*($L$2:$L$1300=0)*($K$2:$K$1300&gt;0))&gt;0,"INCOMPLETE","MISSING"),O593)</f>
        <v>MISSING</v>
      </c>
      <c r="P607" s="193" t="str">
        <f>INDEX(_TARGETS!$K$2:$K$17,MATCH($C607,_TARGETS!$A$2:$A$17,0))</f>
        <v>OPS (eventos) + Full Control GPS (km) - carga manual en Datos</v>
      </c>
      <c r="Q607" s="193" t="str">
        <f t="shared" si="47"/>
        <v>202812|SVCR|Cumulative</v>
      </c>
      <c r="R607" s="193" t="str">
        <f>INDEX(_TARGETS!$H$2:$H$17,MATCH($C607,_TARGETS!$A$2:$A$17,0))</f>
        <v>Solo reporte</v>
      </c>
      <c r="S607" s="193">
        <f t="shared" si="48"/>
        <v>0</v>
      </c>
      <c r="T607" s="193" t="str">
        <f t="shared" si="49"/>
        <v/>
      </c>
    </row>
    <row r="608" spans="1:20" ht="13.5" customHeight="1" x14ac:dyDescent="0.3">
      <c r="A608" s="245">
        <f>KPIs!$AF$3</f>
        <v>47088</v>
      </c>
      <c r="B608" s="199" t="str">
        <f>KPIs!AF$4</f>
        <v>Compresora</v>
      </c>
      <c r="C608" s="31" t="s">
        <v>61</v>
      </c>
      <c r="D608" s="199" t="str">
        <f>KPIs!$A$30</f>
        <v>5 · Accidentes vehiculares totales · ACUMULADO</v>
      </c>
      <c r="E608" s="31" t="s">
        <v>600</v>
      </c>
      <c r="F608" s="247" t="str">
        <f>IF(ISNUMBER(KPIs!AF30),KPIs!AF30,"")</f>
        <v/>
      </c>
      <c r="G608" s="247">
        <f>IF(ISNUMBER(KPIs!$C$30),KPIs!$C$30,"")</f>
        <v>0.79</v>
      </c>
      <c r="H608" s="199" t="str">
        <f>IFERROR(INDEX(_TARGETS!$E$2:$E$17,MATCH($C608,_TARGETS!$A$2:$A$17,0))&amp;"","")</f>
        <v>≤</v>
      </c>
      <c r="I608" s="199" t="str">
        <f t="shared" si="45"/>
        <v/>
      </c>
      <c r="J608" s="193" t="str">
        <f t="shared" si="46"/>
        <v>Cumulative</v>
      </c>
      <c r="K608" s="193">
        <f>SUM(Datos!$D39:AF39)+SUM(Datos!$D40:AF40)+SUM(Datos!$D41:AF41)+SUM(Datos!$D42:AF42)</f>
        <v>0</v>
      </c>
      <c r="L608" s="193">
        <f>SUM(Datos!$D47:AF47)</f>
        <v>172824</v>
      </c>
      <c r="M608" s="193">
        <f>INDEX(_TARGETS!$J$2:$J$17,MATCH($C608,_TARGETS!$A$2:$A$17,0))</f>
        <v>1000000</v>
      </c>
      <c r="N608" s="193" t="str">
        <f>INDEX(_TARGETS!$D$2:$D$17,MATCH($C608,_TARGETS!$A$2:$A$17,0))</f>
        <v>eventos / 10^6 km</v>
      </c>
      <c r="O608" s="193" t="str">
        <f>IF(NOT(ISNUMBER(F608)),IF(SUMPRODUCT(($C$2:$C$1300=C608)*($J$2:$J$1300="Monthly")*($A$2:$A$1300&lt;=A608)*ISNUMBER($K$2:$K$1300)*ISNUMBER($L$2:$L$1300)*($L$2:$L$1300=0)*($K$2:$K$1300&gt;0))&gt;0,"INCOMPLETE","MISSING"),O594)</f>
        <v>MISSING</v>
      </c>
      <c r="P608" s="193" t="str">
        <f>INDEX(_TARGETS!$K$2:$K$17,MATCH($C608,_TARGETS!$A$2:$A$17,0))</f>
        <v>OPS (eventos) + Full Control GPS (km) - carga manual en Datos</v>
      </c>
      <c r="Q608" s="193" t="str">
        <f t="shared" si="47"/>
        <v>202812|TVCR|Cumulative</v>
      </c>
      <c r="R608" s="193" t="str">
        <f>INDEX(_TARGETS!$H$2:$H$17,MATCH($C608,_TARGETS!$A$2:$A$17,0))</f>
        <v>Definida</v>
      </c>
      <c r="S608" s="193">
        <f t="shared" si="48"/>
        <v>0</v>
      </c>
      <c r="T608" s="193" t="str">
        <f t="shared" si="49"/>
        <v/>
      </c>
    </row>
    <row r="609" spans="1:20" ht="13.5" customHeight="1" x14ac:dyDescent="0.3">
      <c r="A609" s="245">
        <f>KPIs!$AF$3</f>
        <v>47088</v>
      </c>
      <c r="B609" s="199" t="str">
        <f>KPIs!AF$4</f>
        <v>Compresora</v>
      </c>
      <c r="C609" s="31" t="s">
        <v>96</v>
      </c>
      <c r="D609" s="199" t="str">
        <f>KPIs!$A$33</f>
        <v>C1 · % de desvíos detectados de gravedad Alta</v>
      </c>
      <c r="E609" s="31" t="s">
        <v>599</v>
      </c>
      <c r="F609" s="247" t="str">
        <f>IF(ISNUMBER(KPIs!AF33),KPIs!AF33,"")</f>
        <v/>
      </c>
      <c r="G609" s="247" t="str">
        <f>IF(ISNUMBER(KPIs!$C$33),KPIs!$C$33,"")</f>
        <v/>
      </c>
      <c r="H609" s="199" t="str">
        <f>IFERROR(INDEX(_TARGETS!$E$2:$E$17,MATCH($C609,_TARGETS!$A$2:$A$17,0))&amp;"","")</f>
        <v/>
      </c>
      <c r="I609" s="199" t="str">
        <f t="shared" si="45"/>
        <v/>
      </c>
      <c r="J609" s="193" t="str">
        <f t="shared" si="46"/>
        <v>Monthly</v>
      </c>
      <c r="K609" s="248">
        <f>Datos!AF71</f>
        <v>0</v>
      </c>
      <c r="L609" s="193">
        <f>Datos!AF71+Datos!AF72+Datos!AF73</f>
        <v>0</v>
      </c>
      <c r="M609" s="193">
        <f>INDEX(_TARGETS!$J$2:$J$17,MATCH($C609,_TARGETS!$A$2:$A$17,0))</f>
        <v>1</v>
      </c>
      <c r="N609" s="193" t="str">
        <f>INDEX(_TARGETS!$D$2:$D$17,MATCH($C609,_TARGETS!$A$2:$A$17,0))</f>
        <v>% (fracción)</v>
      </c>
      <c r="O609" s="193" t="str">
        <f>IF(NOT(ISNUMBER(F609)),"MISSING","OK")</f>
        <v>MISSING</v>
      </c>
      <c r="P609" s="193" t="str">
        <f>INDEX(_TARGETS!$K$2:$K$17,MATCH($C609,_TARGETS!$A$2:$A$17,0))</f>
        <v>Plant Findings (hoja Observaciones-SMP)</v>
      </c>
      <c r="Q609" s="193" t="str">
        <f t="shared" si="47"/>
        <v>202812|HAL_ALTA_PCT|Monthly</v>
      </c>
      <c r="R609" s="193" t="str">
        <f>INDEX(_TARGETS!$H$2:$H$17,MATCH($C609,_TARGETS!$A$2:$A$17,0))</f>
        <v>Solo reporte</v>
      </c>
      <c r="S609" s="193" t="str">
        <f t="shared" si="48"/>
        <v/>
      </c>
      <c r="T609" s="193" t="str">
        <f t="shared" si="49"/>
        <v/>
      </c>
    </row>
    <row r="610" spans="1:20" ht="13.5" customHeight="1" x14ac:dyDescent="0.3">
      <c r="A610" s="245">
        <f>KPIs!$AF$3</f>
        <v>47088</v>
      </c>
      <c r="B610" s="199" t="str">
        <f>KPIs!AF$4</f>
        <v>Compresora</v>
      </c>
      <c r="C610" s="31" t="s">
        <v>98</v>
      </c>
      <c r="D610" s="199" t="str">
        <f>KPIs!$A$34</f>
        <v>C2 · Detenciones de tareas aplicadas</v>
      </c>
      <c r="E610" s="31" t="s">
        <v>599</v>
      </c>
      <c r="F610" s="247" t="str">
        <f>IF(ISNUMBER(KPIs!AF34),KPIs!AF34,"")</f>
        <v/>
      </c>
      <c r="G610" s="247" t="str">
        <f>IF(ISNUMBER(KPIs!$C$34),KPIs!$C$34,"")</f>
        <v/>
      </c>
      <c r="H610" s="199" t="str">
        <f>IFERROR(INDEX(_TARGETS!$E$2:$E$17,MATCH($C610,_TARGETS!$A$2:$A$17,0))&amp;"","")</f>
        <v/>
      </c>
      <c r="I610" s="199" t="str">
        <f t="shared" si="45"/>
        <v/>
      </c>
      <c r="J610" s="193" t="str">
        <f t="shared" si="46"/>
        <v>Monthly</v>
      </c>
      <c r="K610" s="248">
        <f>Datos!AF75</f>
        <v>0</v>
      </c>
      <c r="M610" s="193">
        <f>INDEX(_TARGETS!$J$2:$J$17,MATCH($C610,_TARGETS!$A$2:$A$17,0))</f>
        <v>1</v>
      </c>
      <c r="N610" s="193" t="str">
        <f>INDEX(_TARGETS!$D$2:$D$17,MATCH($C610,_TARGETS!$A$2:$A$17,0))</f>
        <v>u</v>
      </c>
      <c r="O610" s="193" t="str">
        <f>IF(NOT(ISNUMBER(F610)),"MISSING","OK")</f>
        <v>MISSING</v>
      </c>
      <c r="P610" s="193" t="str">
        <f>INDEX(_TARGETS!$K$2:$K$17,MATCH($C610,_TARGETS!$A$2:$A$17,0))</f>
        <v>Plant Findings (hoja Observaciones-SMP)</v>
      </c>
      <c r="Q610" s="193" t="str">
        <f t="shared" si="47"/>
        <v>202812|DET|Monthly</v>
      </c>
      <c r="R610" s="193" t="str">
        <f>INDEX(_TARGETS!$H$2:$H$17,MATCH($C610,_TARGETS!$A$2:$A$17,0))</f>
        <v>Solo reporte</v>
      </c>
      <c r="S610" s="193" t="str">
        <f t="shared" si="48"/>
        <v/>
      </c>
      <c r="T610" s="193" t="str">
        <f t="shared" si="49"/>
        <v/>
      </c>
    </row>
    <row r="611" spans="1:20" ht="13.5" customHeight="1" x14ac:dyDescent="0.3">
      <c r="A611" s="245">
        <f>KPIs!$AG$3</f>
        <v>47119</v>
      </c>
      <c r="B611" s="199" t="str">
        <f>KPIs!AG$4</f>
        <v>Compresora</v>
      </c>
      <c r="C611" s="31" t="s">
        <v>39</v>
      </c>
      <c r="D611" s="199" t="str">
        <f>KPIs!$A$6</f>
        <v>1 · Frecuencia de casos con días perdidos</v>
      </c>
      <c r="E611" s="31" t="s">
        <v>599</v>
      </c>
      <c r="F611" s="247" t="str">
        <f>IF(ISNUMBER(KPIs!AG6),KPIs!AG6,"")</f>
        <v/>
      </c>
      <c r="G611" s="247">
        <f>IF(ISNUMBER(KPIs!$C$6),KPIs!$C$6,"")</f>
        <v>0</v>
      </c>
      <c r="H611" s="199" t="str">
        <f>IFERROR(INDEX(_TARGETS!$E$2:$E$17,MATCH($C611,_TARGETS!$A$2:$A$17,0))&amp;"","")</f>
        <v>≤</v>
      </c>
      <c r="I611" s="199" t="str">
        <f t="shared" si="45"/>
        <v/>
      </c>
      <c r="J611" s="193" t="str">
        <f t="shared" si="46"/>
        <v>Monthly</v>
      </c>
      <c r="K611" s="248">
        <f>Datos!AG33</f>
        <v>0</v>
      </c>
      <c r="L611" s="248">
        <f>Datos!AG14</f>
        <v>0</v>
      </c>
      <c r="M611" s="193">
        <f>INDEX(_TARGETS!$J$2:$J$17,MATCH($C611,_TARGETS!$A$2:$A$17,0))</f>
        <v>1000000</v>
      </c>
      <c r="N611" s="193" t="str">
        <f>INDEX(_TARGETS!$D$2:$D$17,MATCH($C611,_TARGETS!$A$2:$A$17,0))</f>
        <v>casos / 10^6 HH</v>
      </c>
      <c r="O611" s="193" t="str">
        <f>IF(NOT(ISNUMBER(F611)),"MISSING",IF((COUNTBLANK(Datos!AG12)+COUNTBLANK(Datos!AG13)+COUNTBLANK(Datos!AG33))&gt;0,"INCOMPLETE","OK"))</f>
        <v>MISSING</v>
      </c>
      <c r="P611" s="193" t="str">
        <f>INDEX(_TARGETS!$K$2:$K$17,MATCH($C611,_TARGETS!$A$2:$A$17,0))</f>
        <v>OPS (carga manual en Datos)</v>
      </c>
      <c r="Q611" s="193" t="str">
        <f t="shared" si="47"/>
        <v>202901|DAFWCF|Monthly</v>
      </c>
      <c r="R611" s="193" t="str">
        <f>INDEX(_TARGETS!$H$2:$H$17,MATCH($C611,_TARGETS!$A$2:$A$17,0))</f>
        <v>Definida</v>
      </c>
      <c r="S611" s="193" t="str">
        <f t="shared" si="48"/>
        <v/>
      </c>
      <c r="T611" s="193" t="str">
        <f t="shared" si="49"/>
        <v/>
      </c>
    </row>
    <row r="612" spans="1:20" ht="13.5" customHeight="1" x14ac:dyDescent="0.3">
      <c r="A612" s="245">
        <f>KPIs!$AG$3</f>
        <v>47119</v>
      </c>
      <c r="B612" s="199" t="str">
        <f>KPIs!AG$4</f>
        <v>Compresora</v>
      </c>
      <c r="C612" s="31" t="s">
        <v>49</v>
      </c>
      <c r="D612" s="199" t="str">
        <f>KPIs!$A$7</f>
        <v>2 · Frecuencia de casos registrables</v>
      </c>
      <c r="E612" s="31" t="s">
        <v>599</v>
      </c>
      <c r="F612" s="247" t="str">
        <f>IF(ISNUMBER(KPIs!AG7),KPIs!AG7,"")</f>
        <v/>
      </c>
      <c r="G612" s="247">
        <f>IF(ISNUMBER(KPIs!$C$7),KPIs!$C$7,"")</f>
        <v>2.35</v>
      </c>
      <c r="H612" s="199" t="str">
        <f>IFERROR(INDEX(_TARGETS!$E$2:$E$17,MATCH($C612,_TARGETS!$A$2:$A$17,0))&amp;"","")</f>
        <v>≤</v>
      </c>
      <c r="I612" s="199" t="str">
        <f t="shared" si="45"/>
        <v/>
      </c>
      <c r="J612" s="193" t="str">
        <f t="shared" si="46"/>
        <v>Monthly</v>
      </c>
      <c r="K612" s="193">
        <f>Datos!AG33+Datos!AG34+Datos!AG35+Datos!AG36</f>
        <v>0</v>
      </c>
      <c r="L612" s="248">
        <f>Datos!AG14</f>
        <v>0</v>
      </c>
      <c r="M612" s="193">
        <f>INDEX(_TARGETS!$J$2:$J$17,MATCH($C612,_TARGETS!$A$2:$A$17,0))</f>
        <v>1000000</v>
      </c>
      <c r="N612" s="193" t="str">
        <f>INDEX(_TARGETS!$D$2:$D$17,MATCH($C612,_TARGETS!$A$2:$A$17,0))</f>
        <v>casos / 10^6 HH</v>
      </c>
      <c r="O612" s="193" t="str">
        <f>IF(NOT(ISNUMBER(F612)),"MISSING",IF((COUNTBLANK(Datos!AG12)+COUNTBLANK(Datos!AG13)+COUNTBLANK(Datos!AG33)+COUNTBLANK(Datos!AG34)+COUNTBLANK(Datos!AG35)+COUNTBLANK(Datos!AG36))&gt;0,"INCOMPLETE","OK"))</f>
        <v>MISSING</v>
      </c>
      <c r="P612" s="193" t="str">
        <f>INDEX(_TARGETS!$K$2:$K$17,MATCH($C612,_TARGETS!$A$2:$A$17,0))</f>
        <v>OPS (carga manual en Datos)</v>
      </c>
      <c r="Q612" s="193" t="str">
        <f t="shared" si="47"/>
        <v>202901|TRICF|Monthly</v>
      </c>
      <c r="R612" s="193" t="str">
        <f>INDEX(_TARGETS!$H$2:$H$17,MATCH($C612,_TARGETS!$A$2:$A$17,0))</f>
        <v>Definida</v>
      </c>
      <c r="S612" s="193" t="str">
        <f t="shared" si="48"/>
        <v/>
      </c>
      <c r="T612" s="193" t="str">
        <f t="shared" si="49"/>
        <v/>
      </c>
    </row>
    <row r="613" spans="1:20" ht="13.5" customHeight="1" x14ac:dyDescent="0.3">
      <c r="A613" s="245">
        <f>KPIs!$AG$3</f>
        <v>47119</v>
      </c>
      <c r="B613" s="199" t="str">
        <f>KPIs!AG$4</f>
        <v>Compresora</v>
      </c>
      <c r="C613" s="31" t="s">
        <v>51</v>
      </c>
      <c r="D613" s="199" t="str">
        <f>KPIs!$A$8</f>
        <v>3 · Casos de primeros auxilios</v>
      </c>
      <c r="E613" s="31" t="s">
        <v>599</v>
      </c>
      <c r="F613" s="247" t="str">
        <f>IF(ISNUMBER(KPIs!AG8),KPIs!AG8,"")</f>
        <v/>
      </c>
      <c r="G613" s="247" t="str">
        <f>IF(ISNUMBER(KPIs!$C$8),KPIs!$C$8,"")</f>
        <v/>
      </c>
      <c r="H613" s="199" t="str">
        <f>IFERROR(INDEX(_TARGETS!$E$2:$E$17,MATCH($C613,_TARGETS!$A$2:$A$17,0))&amp;"","")</f>
        <v/>
      </c>
      <c r="I613" s="199" t="str">
        <f t="shared" si="45"/>
        <v/>
      </c>
      <c r="J613" s="193" t="str">
        <f t="shared" si="46"/>
        <v>Monthly</v>
      </c>
      <c r="K613" s="248">
        <f>Datos!AG37</f>
        <v>0</v>
      </c>
      <c r="M613" s="193">
        <f>INDEX(_TARGETS!$J$2:$J$17,MATCH($C613,_TARGETS!$A$2:$A$17,0))</f>
        <v>1</v>
      </c>
      <c r="N613" s="193" t="str">
        <f>INDEX(_TARGETS!$D$2:$D$17,MATCH($C613,_TARGETS!$A$2:$A$17,0))</f>
        <v>casos</v>
      </c>
      <c r="O613" s="193" t="str">
        <f>IF(NOT(ISNUMBER(F613)),"MISSING",IF((COUNTBLANK(Datos!AG12)+COUNTBLANK(Datos!AG13)+COUNTBLANK(Datos!AG37))&gt;0,"INCOMPLETE","OK"))</f>
        <v>MISSING</v>
      </c>
      <c r="P613" s="193" t="str">
        <f>INDEX(_TARGETS!$K$2:$K$17,MATCH($C613,_TARGETS!$A$2:$A$17,0))</f>
        <v>OPS (carga manual en Datos)</v>
      </c>
      <c r="Q613" s="193" t="str">
        <f t="shared" si="47"/>
        <v>202901|FAC|Monthly</v>
      </c>
      <c r="R613" s="193" t="str">
        <f>INDEX(_TARGETS!$H$2:$H$17,MATCH($C613,_TARGETS!$A$2:$A$17,0))</f>
        <v>Solo reporte</v>
      </c>
      <c r="S613" s="193" t="str">
        <f t="shared" si="48"/>
        <v/>
      </c>
      <c r="T613" s="193" t="str">
        <f t="shared" si="49"/>
        <v/>
      </c>
    </row>
    <row r="614" spans="1:20" ht="13.5" customHeight="1" x14ac:dyDescent="0.3">
      <c r="A614" s="245">
        <f>KPIs!$AG$3</f>
        <v>47119</v>
      </c>
      <c r="B614" s="199" t="str">
        <f>KPIs!AG$4</f>
        <v>Compresora</v>
      </c>
      <c r="C614" s="31" t="s">
        <v>57</v>
      </c>
      <c r="D614" s="199" t="str">
        <f>KPIs!$A$10</f>
        <v>4 · Accidentes vehiculares severos por millón de km</v>
      </c>
      <c r="E614" s="31" t="s">
        <v>599</v>
      </c>
      <c r="F614" s="247" t="str">
        <f>IF(ISNUMBER(KPIs!AG10),KPIs!AG10,"")</f>
        <v/>
      </c>
      <c r="G614" s="247" t="str">
        <f>IF(ISNUMBER(KPIs!$C$10),KPIs!$C$10,"")</f>
        <v/>
      </c>
      <c r="H614" s="199" t="str">
        <f>IFERROR(INDEX(_TARGETS!$E$2:$E$17,MATCH($C614,_TARGETS!$A$2:$A$17,0))&amp;"","")</f>
        <v/>
      </c>
      <c r="I614" s="199" t="str">
        <f t="shared" si="45"/>
        <v/>
      </c>
      <c r="J614" s="193" t="str">
        <f t="shared" si="46"/>
        <v>Monthly</v>
      </c>
      <c r="K614" s="193">
        <f>Datos!AG39+Datos!AG40+Datos!AG41</f>
        <v>0</v>
      </c>
      <c r="L614" s="248">
        <f>Datos!AG47</f>
        <v>0</v>
      </c>
      <c r="M614" s="193">
        <f>INDEX(_TARGETS!$J$2:$J$17,MATCH($C614,_TARGETS!$A$2:$A$17,0))</f>
        <v>1000000</v>
      </c>
      <c r="N614" s="193" t="str">
        <f>INDEX(_TARGETS!$D$2:$D$17,MATCH($C614,_TARGETS!$A$2:$A$17,0))</f>
        <v>eventos / 10^6 km</v>
      </c>
      <c r="O614" s="193" t="str">
        <f>IF(NOT(ISNUMBER(F614)),"MISSING",IF((COUNTBLANK(Datos!AG44)+COUNTBLANK(Datos!AG45)+COUNTBLANK(Datos!AG46)+COUNTBLANK(Datos!AG39)+COUNTBLANK(Datos!AG40)+COUNTBLANK(Datos!AG41))&gt;0,"INCOMPLETE","OK"))</f>
        <v>MISSING</v>
      </c>
      <c r="P614" s="193" t="str">
        <f>INDEX(_TARGETS!$K$2:$K$17,MATCH($C614,_TARGETS!$A$2:$A$17,0))</f>
        <v>OPS (eventos) + Full Control GPS (km) - carga manual en Datos</v>
      </c>
      <c r="Q614" s="193" t="str">
        <f t="shared" si="47"/>
        <v>202901|SVCR|Monthly</v>
      </c>
      <c r="R614" s="193" t="str">
        <f>INDEX(_TARGETS!$H$2:$H$17,MATCH($C614,_TARGETS!$A$2:$A$17,0))</f>
        <v>Solo reporte</v>
      </c>
      <c r="S614" s="193" t="str">
        <f t="shared" si="48"/>
        <v/>
      </c>
      <c r="T614" s="193" t="str">
        <f t="shared" si="49"/>
        <v/>
      </c>
    </row>
    <row r="615" spans="1:20" ht="13.5" customHeight="1" x14ac:dyDescent="0.3">
      <c r="A615" s="245">
        <f>KPIs!$AG$3</f>
        <v>47119</v>
      </c>
      <c r="B615" s="199" t="str">
        <f>KPIs!AG$4</f>
        <v>Compresora</v>
      </c>
      <c r="C615" s="31" t="s">
        <v>61</v>
      </c>
      <c r="D615" s="199" t="str">
        <f>KPIs!$A$11</f>
        <v>5 · Accidentes vehiculares totales por millón de km</v>
      </c>
      <c r="E615" s="31" t="s">
        <v>599</v>
      </c>
      <c r="F615" s="247" t="str">
        <f>IF(ISNUMBER(KPIs!AG11),KPIs!AG11,"")</f>
        <v/>
      </c>
      <c r="G615" s="247">
        <f>IF(ISNUMBER(KPIs!$C$11),KPIs!$C$11,"")</f>
        <v>0.79</v>
      </c>
      <c r="H615" s="199" t="str">
        <f>IFERROR(INDEX(_TARGETS!$E$2:$E$17,MATCH($C615,_TARGETS!$A$2:$A$17,0))&amp;"","")</f>
        <v>≤</v>
      </c>
      <c r="I615" s="199" t="str">
        <f t="shared" si="45"/>
        <v/>
      </c>
      <c r="J615" s="193" t="str">
        <f t="shared" si="46"/>
        <v>Monthly</v>
      </c>
      <c r="K615" s="193">
        <f>Datos!AG39+Datos!AG40+Datos!AG41+Datos!AG42</f>
        <v>0</v>
      </c>
      <c r="L615" s="248">
        <f>Datos!AG47</f>
        <v>0</v>
      </c>
      <c r="M615" s="193">
        <f>INDEX(_TARGETS!$J$2:$J$17,MATCH($C615,_TARGETS!$A$2:$A$17,0))</f>
        <v>1000000</v>
      </c>
      <c r="N615" s="193" t="str">
        <f>INDEX(_TARGETS!$D$2:$D$17,MATCH($C615,_TARGETS!$A$2:$A$17,0))</f>
        <v>eventos / 10^6 km</v>
      </c>
      <c r="O615" s="193" t="str">
        <f>IF(NOT(ISNUMBER(F615)),"MISSING",IF((COUNTBLANK(Datos!AG44)+COUNTBLANK(Datos!AG45)+COUNTBLANK(Datos!AG46)+COUNTBLANK(Datos!AG39)+COUNTBLANK(Datos!AG40)+COUNTBLANK(Datos!AG41)+COUNTBLANK(Datos!AG42))&gt;0,"INCOMPLETE","OK"))</f>
        <v>MISSING</v>
      </c>
      <c r="P615" s="193" t="str">
        <f>INDEX(_TARGETS!$K$2:$K$17,MATCH($C615,_TARGETS!$A$2:$A$17,0))</f>
        <v>OPS (eventos) + Full Control GPS (km) - carga manual en Datos</v>
      </c>
      <c r="Q615" s="193" t="str">
        <f t="shared" si="47"/>
        <v>202901|TVCR|Monthly</v>
      </c>
      <c r="R615" s="193" t="str">
        <f>INDEX(_TARGETS!$H$2:$H$17,MATCH($C615,_TARGETS!$A$2:$A$17,0))</f>
        <v>Definida</v>
      </c>
      <c r="S615" s="193" t="str">
        <f t="shared" si="48"/>
        <v/>
      </c>
      <c r="T615" s="193" t="str">
        <f t="shared" si="49"/>
        <v/>
      </c>
    </row>
    <row r="616" spans="1:20" ht="13.5" customHeight="1" x14ac:dyDescent="0.3">
      <c r="A616" s="245">
        <f>KPIs!$AG$3</f>
        <v>47119</v>
      </c>
      <c r="B616" s="199" t="str">
        <f>KPIs!AG$4</f>
        <v>Compresora</v>
      </c>
      <c r="C616" s="31" t="s">
        <v>63</v>
      </c>
      <c r="D616" s="199" t="str">
        <f>KPIs!$A$13</f>
        <v>6 · Observaciones de seguridad por persona</v>
      </c>
      <c r="E616" s="31" t="s">
        <v>599</v>
      </c>
      <c r="F616" s="247" t="str">
        <f>IF(ISNUMBER(KPIs!AG13),KPIs!AG13,"")</f>
        <v/>
      </c>
      <c r="G616" s="247">
        <f>IF(ISNUMBER(KPIs!$C$13),KPIs!$C$13,"")</f>
        <v>1</v>
      </c>
      <c r="H616" s="199" t="str">
        <f>IFERROR(INDEX(_TARGETS!$E$2:$E$17,MATCH($C616,_TARGETS!$A$2:$A$17,0))&amp;"","")</f>
        <v>≥</v>
      </c>
      <c r="I616" s="199" t="str">
        <f t="shared" si="45"/>
        <v/>
      </c>
      <c r="J616" s="193" t="str">
        <f t="shared" si="46"/>
        <v>Monthly</v>
      </c>
      <c r="K616" s="248" t="str">
        <f>IF(COUNT(Datos!AG28:AG29)=0,"",SUM(Datos!AG28:AG29))</f>
        <v/>
      </c>
      <c r="L616" s="248">
        <f>Datos!AG11</f>
        <v>0</v>
      </c>
      <c r="M616" s="193">
        <f>INDEX(_TARGETS!$J$2:$J$17,MATCH($C616,_TARGETS!$A$2:$A$17,0))</f>
        <v>1</v>
      </c>
      <c r="N616" s="193" t="str">
        <f>INDEX(_TARGETS!$D$2:$D$17,MATCH($C616,_TARGETS!$A$2:$A$17,0))</f>
        <v>obs / persona</v>
      </c>
      <c r="O616" s="193" t="str">
        <f>IF(NOT(ISNUMBER(F616)),"MISSING",IF((COUNTBLANK(Datos!AG9)+COUNTBLANK(Datos!AG10)+IF(COUNT(Datos!AG28:AG29)=0,1,0))&gt;0,"INCOMPLETE","OK"))</f>
        <v>MISSING</v>
      </c>
      <c r="P616" s="193" t="str">
        <f>INDEX(_TARGETS!$K$2:$K$17,MATCH($C616,_TARGETS!$A$2:$A$17,0))</f>
        <v>OPS (carga manual en Datos)</v>
      </c>
      <c r="Q616" s="193" t="str">
        <f t="shared" si="47"/>
        <v>202901|OBS|Monthly</v>
      </c>
      <c r="R616" s="193" t="str">
        <f>INDEX(_TARGETS!$H$2:$H$17,MATCH($C616,_TARGETS!$A$2:$A$17,0))</f>
        <v>PROVISORIA · referencia del subcontratista (OPS: 1 obs/persona); meta y población en definición</v>
      </c>
      <c r="S616" s="193" t="str">
        <f t="shared" si="48"/>
        <v/>
      </c>
      <c r="T616" s="193" t="str">
        <f t="shared" si="49"/>
        <v/>
      </c>
    </row>
    <row r="617" spans="1:20" ht="13.5" customHeight="1" x14ac:dyDescent="0.3">
      <c r="A617" s="245">
        <f>KPIs!$AG$3</f>
        <v>47119</v>
      </c>
      <c r="B617" s="199" t="str">
        <f>KPIs!AG$4</f>
        <v>Compresora</v>
      </c>
      <c r="C617" s="31" t="s">
        <v>71</v>
      </c>
      <c r="D617" s="199" t="str">
        <f>KPIs!$A$14</f>
        <v>7 · Investigaciones de accidentes: días promedio de cierre</v>
      </c>
      <c r="E617" s="31" t="s">
        <v>599</v>
      </c>
      <c r="F617" s="247" t="str">
        <f>IF(ISNUMBER(KPIs!AG14),KPIs!AG14,"")</f>
        <v/>
      </c>
      <c r="G617" s="247">
        <f>IF(ISNUMBER(KPIs!$C$14),KPIs!$C$14,"")</f>
        <v>20</v>
      </c>
      <c r="H617" s="199" t="str">
        <f>IFERROR(INDEX(_TARGETS!$E$2:$E$17,MATCH($C617,_TARGETS!$A$2:$A$17,0))&amp;"","")</f>
        <v>≤</v>
      </c>
      <c r="I617" s="199" t="str">
        <f t="shared" si="45"/>
        <v/>
      </c>
      <c r="J617" s="193" t="str">
        <f t="shared" si="46"/>
        <v>Monthly</v>
      </c>
      <c r="K617" s="248">
        <f>Datos!AG31</f>
        <v>0</v>
      </c>
      <c r="L617" s="248">
        <f>Datos!AG30</f>
        <v>0</v>
      </c>
      <c r="M617" s="193">
        <f>INDEX(_TARGETS!$J$2:$J$17,MATCH($C617,_TARGETS!$A$2:$A$17,0))</f>
        <v>1</v>
      </c>
      <c r="N617" s="193" t="str">
        <f>INDEX(_TARGETS!$D$2:$D$17,MATCH($C617,_TARGETS!$A$2:$A$17,0))</f>
        <v>días</v>
      </c>
      <c r="O617" s="193" t="str">
        <f>IF(NOT(ISNUMBER(F617)),"MISSING",IF((COUNTBLANK(Datos!AG30)+COUNTBLANK(Datos!AG31))&gt;0,"INCOMPLETE","OK"))</f>
        <v>MISSING</v>
      </c>
      <c r="P617" s="193" t="str">
        <f>INDEX(_TARGETS!$K$2:$K$17,MATCH($C617,_TARGETS!$A$2:$A$17,0))</f>
        <v>OPS (carga manual en Datos)</v>
      </c>
      <c r="Q617" s="193" t="str">
        <f t="shared" si="47"/>
        <v>202901|INV|Monthly</v>
      </c>
      <c r="R617" s="193" t="str">
        <f>INDEX(_TARGETS!$H$2:$H$17,MATCH($C617,_TARGETS!$A$2:$A$17,0))</f>
        <v>Definida</v>
      </c>
      <c r="S617" s="193" t="str">
        <f t="shared" si="48"/>
        <v/>
      </c>
      <c r="T617" s="193" t="str">
        <f t="shared" si="49"/>
        <v/>
      </c>
    </row>
    <row r="618" spans="1:20" ht="13.5" customHeight="1" x14ac:dyDescent="0.3">
      <c r="A618" s="245">
        <f>KPIs!$AG$3</f>
        <v>47119</v>
      </c>
      <c r="B618" s="199" t="str">
        <f>KPIs!AG$4</f>
        <v>Compresora</v>
      </c>
      <c r="C618" s="31" t="s">
        <v>76</v>
      </c>
      <c r="D618" s="199" t="str">
        <f>KPIs!$A$16</f>
        <v>8 · % de capacitación en seguridad</v>
      </c>
      <c r="E618" s="31" t="s">
        <v>599</v>
      </c>
      <c r="F618" s="247" t="str">
        <f>IF(ISNUMBER(KPIs!AG16),KPIs!AG16,"")</f>
        <v/>
      </c>
      <c r="G618" s="247">
        <f>IF(ISNUMBER(KPIs!$C$16),KPIs!$C$16,"")</f>
        <v>0.01</v>
      </c>
      <c r="H618" s="199" t="str">
        <f>IFERROR(INDEX(_TARGETS!$E$2:$E$17,MATCH($C618,_TARGETS!$A$2:$A$17,0))&amp;"","")</f>
        <v>≥</v>
      </c>
      <c r="I618" s="199" t="str">
        <f t="shared" si="45"/>
        <v/>
      </c>
      <c r="J618" s="193" t="str">
        <f t="shared" si="46"/>
        <v>Monthly</v>
      </c>
      <c r="K618" s="248">
        <f>Datos!AG18</f>
        <v>0</v>
      </c>
      <c r="L618" s="248">
        <f>Datos!AG14</f>
        <v>0</v>
      </c>
      <c r="M618" s="193">
        <f>INDEX(_TARGETS!$J$2:$J$17,MATCH($C618,_TARGETS!$A$2:$A$17,0))</f>
        <v>1</v>
      </c>
      <c r="N618" s="193" t="str">
        <f>INDEX(_TARGETS!$D$2:$D$17,MATCH($C618,_TARGETS!$A$2:$A$17,0))</f>
        <v>% (fracción)</v>
      </c>
      <c r="O618" s="193" t="str">
        <f>IF(NOT(ISNUMBER(F618)),"MISSING",IF((COUNTBLANK(Datos!AG16)+COUNTBLANK(Datos!AG17)+COUNTBLANK(Datos!AG12)+COUNTBLANK(Datos!AG13))&gt;0,"INCOMPLETE","OK"))</f>
        <v>MISSING</v>
      </c>
      <c r="P618" s="193" t="str">
        <f>INDEX(_TARGETS!$K$2:$K$17,MATCH($C618,_TARGETS!$A$2:$A$17,0))</f>
        <v>OPS (carga manual en Datos)</v>
      </c>
      <c r="Q618" s="193" t="str">
        <f t="shared" si="47"/>
        <v>202901|HCS|Monthly</v>
      </c>
      <c r="R618" s="193" t="str">
        <f>INDEX(_TARGETS!$H$2:$H$17,MATCH($C618,_TARGETS!$A$2:$A$17,0))</f>
        <v>Definida</v>
      </c>
      <c r="S618" s="193" t="str">
        <f t="shared" si="48"/>
        <v/>
      </c>
      <c r="T618" s="193" t="str">
        <f t="shared" si="49"/>
        <v/>
      </c>
    </row>
    <row r="619" spans="1:20" ht="13.5" customHeight="1" x14ac:dyDescent="0.3">
      <c r="A619" s="245">
        <f>KPIs!$AG$3</f>
        <v>47119</v>
      </c>
      <c r="B619" s="199" t="str">
        <f>KPIs!AG$4</f>
        <v>Compresora</v>
      </c>
      <c r="C619" s="31" t="s">
        <v>80</v>
      </c>
      <c r="D619" s="199" t="str">
        <f>KPIs!$A$17</f>
        <v>9 · Horas de capacitación por persona</v>
      </c>
      <c r="E619" s="31" t="s">
        <v>599</v>
      </c>
      <c r="F619" s="247" t="str">
        <f>IF(ISNUMBER(KPIs!AG17),KPIs!AG17,"")</f>
        <v/>
      </c>
      <c r="G619" s="247" t="str">
        <f>IF(ISNUMBER(KPIs!$C$17),KPIs!$C$17,"")</f>
        <v/>
      </c>
      <c r="H619" s="199" t="str">
        <f>IFERROR(INDEX(_TARGETS!$E$2:$E$17,MATCH($C619,_TARGETS!$A$2:$A$17,0))&amp;"","")</f>
        <v/>
      </c>
      <c r="I619" s="199" t="str">
        <f t="shared" si="45"/>
        <v/>
      </c>
      <c r="J619" s="193" t="str">
        <f t="shared" si="46"/>
        <v>Monthly</v>
      </c>
      <c r="K619" s="248">
        <f>Datos!AG18</f>
        <v>0</v>
      </c>
      <c r="L619" s="248">
        <f>Datos!AG11</f>
        <v>0</v>
      </c>
      <c r="M619" s="193">
        <f>INDEX(_TARGETS!$J$2:$J$17,MATCH($C619,_TARGETS!$A$2:$A$17,0))</f>
        <v>1</v>
      </c>
      <c r="N619" s="193" t="str">
        <f>INDEX(_TARGETS!$D$2:$D$17,MATCH($C619,_TARGETS!$A$2:$A$17,0))</f>
        <v>h / persona</v>
      </c>
      <c r="O619" s="193" t="str">
        <f>IF(NOT(ISNUMBER(F619)),"MISSING",IF((COUNTBLANK(Datos!AG16)+COUNTBLANK(Datos!AG17)+COUNTBLANK(Datos!AG9)+COUNTBLANK(Datos!AG10))&gt;0,"INCOMPLETE","OK"))</f>
        <v>MISSING</v>
      </c>
      <c r="P619" s="193" t="str">
        <f>INDEX(_TARGETS!$K$2:$K$17,MATCH($C619,_TARGETS!$A$2:$A$17,0))</f>
        <v>OPS (carga manual en Datos)</v>
      </c>
      <c r="Q619" s="193" t="str">
        <f t="shared" si="47"/>
        <v>202901|HCSA|Monthly</v>
      </c>
      <c r="R619" s="193" t="str">
        <f>INDEX(_TARGETS!$H$2:$H$17,MATCH($C619,_TARGETS!$A$2:$A$17,0))</f>
        <v>Solo reporte</v>
      </c>
      <c r="S619" s="193" t="str">
        <f t="shared" si="48"/>
        <v/>
      </c>
      <c r="T619" s="193" t="str">
        <f t="shared" si="49"/>
        <v/>
      </c>
    </row>
    <row r="620" spans="1:20" ht="13.5" customHeight="1" x14ac:dyDescent="0.3">
      <c r="A620" s="245">
        <f>KPIs!$AG$3</f>
        <v>47119</v>
      </c>
      <c r="B620" s="199" t="str">
        <f>KPIs!AG$4</f>
        <v>Compresora</v>
      </c>
      <c r="C620" s="31" t="s">
        <v>83</v>
      </c>
      <c r="D620" s="199" t="str">
        <f>KPIs!$A$18</f>
        <v>10 · Cumplimiento de simulacros (emergencia y operativos)</v>
      </c>
      <c r="E620" s="31" t="s">
        <v>599</v>
      </c>
      <c r="F620" s="247" t="str">
        <f>IF(ISNUMBER(KPIs!AG18),KPIs!AG18,"")</f>
        <v/>
      </c>
      <c r="G620" s="247">
        <f>IF(ISNUMBER(KPIs!$C$18),KPIs!$C$18,"")</f>
        <v>1</v>
      </c>
      <c r="H620" s="199" t="str">
        <f>IFERROR(INDEX(_TARGETS!$E$2:$E$17,MATCH($C620,_TARGETS!$A$2:$A$17,0))&amp;"","")</f>
        <v>≥</v>
      </c>
      <c r="I620" s="199" t="str">
        <f t="shared" si="45"/>
        <v/>
      </c>
      <c r="J620" s="193" t="str">
        <f t="shared" si="46"/>
        <v>Monthly</v>
      </c>
      <c r="K620" s="248">
        <f>Datos!AG20</f>
        <v>0</v>
      </c>
      <c r="L620" s="248">
        <f>Datos!AG21</f>
        <v>0</v>
      </c>
      <c r="M620" s="193">
        <f>INDEX(_TARGETS!$J$2:$J$17,MATCH($C620,_TARGETS!$A$2:$A$17,0))</f>
        <v>1</v>
      </c>
      <c r="N620" s="193" t="str">
        <f>INDEX(_TARGETS!$D$2:$D$17,MATCH($C620,_TARGETS!$A$2:$A$17,0))</f>
        <v>% (fracción)</v>
      </c>
      <c r="O620" s="193" t="str">
        <f>IF(NOT(ISNUMBER(F620)),"MISSING",IF((COUNTBLANK(Datos!AG20)+COUNTBLANK(Datos!AG21))&gt;0,"INCOMPLETE","OK"))</f>
        <v>MISSING</v>
      </c>
      <c r="P620" s="193" t="str">
        <f>INDEX(_TARGETS!$K$2:$K$17,MATCH($C620,_TARGETS!$A$2:$A$17,0))</f>
        <v>OPS (carga manual en Datos)</v>
      </c>
      <c r="Q620" s="193" t="str">
        <f t="shared" si="47"/>
        <v>202901|CPSE|Monthly</v>
      </c>
      <c r="R620" s="193" t="str">
        <f>INDEX(_TARGETS!$H$2:$H$17,MATCH($C620,_TARGETS!$A$2:$A$17,0))</f>
        <v>Definida</v>
      </c>
      <c r="S620" s="193" t="str">
        <f t="shared" si="48"/>
        <v/>
      </c>
      <c r="T620" s="193" t="str">
        <f t="shared" si="49"/>
        <v/>
      </c>
    </row>
    <row r="621" spans="1:20" ht="13.5" customHeight="1" x14ac:dyDescent="0.3">
      <c r="A621" s="245">
        <f>KPIs!$AG$3</f>
        <v>47119</v>
      </c>
      <c r="B621" s="199" t="str">
        <f>KPIs!AG$4</f>
        <v>Compresora</v>
      </c>
      <c r="C621" s="31" t="s">
        <v>85</v>
      </c>
      <c r="D621" s="199" t="str">
        <f>KPIs!$A$19</f>
        <v>10b · Cumplimiento de acciones de mejora de simulacros</v>
      </c>
      <c r="E621" s="31" t="s">
        <v>599</v>
      </c>
      <c r="F621" s="247" t="str">
        <f>IF(ISNUMBER(KPIs!AG19),KPIs!AG19,"")</f>
        <v/>
      </c>
      <c r="G621" s="247" t="str">
        <f>IF(ISNUMBER(KPIs!$C$19),KPIs!$C$19,"")</f>
        <v/>
      </c>
      <c r="H621" s="199" t="str">
        <f>IFERROR(INDEX(_TARGETS!$E$2:$E$17,MATCH($C621,_TARGETS!$A$2:$A$17,0))&amp;"","")</f>
        <v/>
      </c>
      <c r="I621" s="199" t="str">
        <f t="shared" si="45"/>
        <v/>
      </c>
      <c r="J621" s="193" t="str">
        <f t="shared" si="46"/>
        <v>Monthly</v>
      </c>
      <c r="K621" s="248">
        <f>Datos!AG23</f>
        <v>0</v>
      </c>
      <c r="L621" s="248">
        <f>Datos!AG22</f>
        <v>0</v>
      </c>
      <c r="M621" s="193">
        <f>INDEX(_TARGETS!$J$2:$J$17,MATCH($C621,_TARGETS!$A$2:$A$17,0))</f>
        <v>1</v>
      </c>
      <c r="N621" s="193" t="str">
        <f>INDEX(_TARGETS!$D$2:$D$17,MATCH($C621,_TARGETS!$A$2:$A$17,0))</f>
        <v>% (fracción)</v>
      </c>
      <c r="O621" s="193" t="str">
        <f>IF(NOT(ISNUMBER(F621)),"MISSING",IF((COUNTBLANK(Datos!AG23)+COUNTBLANK(Datos!AG22))&gt;0,"INCOMPLETE","OK"))</f>
        <v>MISSING</v>
      </c>
      <c r="P621" s="193" t="str">
        <f>INDEX(_TARGETS!$K$2:$K$17,MATCH($C621,_TARGETS!$A$2:$A$17,0))</f>
        <v>OPS (carga manual en Datos)</v>
      </c>
      <c r="Q621" s="193" t="str">
        <f t="shared" si="47"/>
        <v>202901|CAMS|Monthly</v>
      </c>
      <c r="R621" s="193" t="str">
        <f>INDEX(_TARGETS!$H$2:$H$17,MATCH($C621,_TARGETS!$A$2:$A$17,0))</f>
        <v>Solo reporte</v>
      </c>
      <c r="S621" s="193" t="str">
        <f t="shared" si="48"/>
        <v/>
      </c>
      <c r="T621" s="193" t="str">
        <f t="shared" si="49"/>
        <v/>
      </c>
    </row>
    <row r="622" spans="1:20" ht="13.5" customHeight="1" x14ac:dyDescent="0.3">
      <c r="A622" s="245">
        <f>KPIs!$AG$3</f>
        <v>47119</v>
      </c>
      <c r="B622" s="199" t="str">
        <f>KPIs!AG$4</f>
        <v>Compresora</v>
      </c>
      <c r="C622" s="31" t="s">
        <v>87</v>
      </c>
      <c r="D622" s="199" t="str">
        <f>KPIs!$A$21</f>
        <v>11 · Cumplimiento de caminatas gerenciales</v>
      </c>
      <c r="E622" s="31" t="s">
        <v>599</v>
      </c>
      <c r="F622" s="247" t="str">
        <f>IF(ISNUMBER(KPIs!AG21),KPIs!AG21,"")</f>
        <v/>
      </c>
      <c r="G622" s="247">
        <f>IF(ISNUMBER(KPIs!$C$21),KPIs!$C$21,"")</f>
        <v>1</v>
      </c>
      <c r="H622" s="199" t="str">
        <f>IFERROR(INDEX(_TARGETS!$E$2:$E$17,MATCH($C622,_TARGETS!$A$2:$A$17,0))&amp;"","")</f>
        <v>≥</v>
      </c>
      <c r="I622" s="199" t="str">
        <f t="shared" si="45"/>
        <v/>
      </c>
      <c r="J622" s="193" t="str">
        <f t="shared" si="46"/>
        <v>Monthly</v>
      </c>
      <c r="K622" s="248">
        <f>Datos!AG24</f>
        <v>0</v>
      </c>
      <c r="L622" s="248">
        <f>Datos!AG25</f>
        <v>0</v>
      </c>
      <c r="M622" s="193">
        <f>INDEX(_TARGETS!$J$2:$J$17,MATCH($C622,_TARGETS!$A$2:$A$17,0))</f>
        <v>1</v>
      </c>
      <c r="N622" s="193" t="str">
        <f>INDEX(_TARGETS!$D$2:$D$17,MATCH($C622,_TARGETS!$A$2:$A$17,0))</f>
        <v>% (fracción)</v>
      </c>
      <c r="O622" s="193" t="str">
        <f>IF(NOT(ISNUMBER(F622)),"MISSING",IF((COUNTBLANK(Datos!AG24)+COUNTBLANK(Datos!AG25))&gt;0,"INCOMPLETE","OK"))</f>
        <v>MISSING</v>
      </c>
      <c r="P622" s="193" t="str">
        <f>INDEX(_TARGETS!$K$2:$K$17,MATCH($C622,_TARGETS!$A$2:$A$17,0))</f>
        <v>OPS (carga manual en Datos)</v>
      </c>
      <c r="Q622" s="193" t="str">
        <f t="shared" si="47"/>
        <v>202901|ICCS|Monthly</v>
      </c>
      <c r="R622" s="193" t="str">
        <f>INDEX(_TARGETS!$H$2:$H$17,MATCH($C622,_TARGETS!$A$2:$A$17,0))</f>
        <v>Definida</v>
      </c>
      <c r="S622" s="193" t="str">
        <f t="shared" si="48"/>
        <v/>
      </c>
      <c r="T622" s="193" t="str">
        <f t="shared" si="49"/>
        <v/>
      </c>
    </row>
    <row r="623" spans="1:20" ht="13.5" customHeight="1" x14ac:dyDescent="0.3">
      <c r="A623" s="245">
        <f>KPIs!$AG$3</f>
        <v>47119</v>
      </c>
      <c r="B623" s="199" t="str">
        <f>KPIs!AG$4</f>
        <v>Compresora</v>
      </c>
      <c r="C623" s="31" t="s">
        <v>89</v>
      </c>
      <c r="D623" s="199" t="str">
        <f>KPIs!$A$22</f>
        <v>12 · Cumplimiento de comités y subcomités de seguridad</v>
      </c>
      <c r="E623" s="31" t="s">
        <v>599</v>
      </c>
      <c r="F623" s="247" t="str">
        <f>IF(ISNUMBER(KPIs!AG22),KPIs!AG22,"")</f>
        <v/>
      </c>
      <c r="G623" s="247">
        <f>IF(ISNUMBER(KPIs!$C$22),KPIs!$C$22,"")</f>
        <v>1</v>
      </c>
      <c r="H623" s="199" t="str">
        <f>IFERROR(INDEX(_TARGETS!$E$2:$E$17,MATCH($C623,_TARGETS!$A$2:$A$17,0))&amp;"","")</f>
        <v>≥</v>
      </c>
      <c r="I623" s="199" t="str">
        <f t="shared" si="45"/>
        <v/>
      </c>
      <c r="J623" s="193" t="str">
        <f t="shared" si="46"/>
        <v>Monthly</v>
      </c>
      <c r="K623" s="248">
        <f>Datos!AG26</f>
        <v>0</v>
      </c>
      <c r="L623" s="248">
        <f>Datos!AG27</f>
        <v>0</v>
      </c>
      <c r="M623" s="193">
        <f>INDEX(_TARGETS!$J$2:$J$17,MATCH($C623,_TARGETS!$A$2:$A$17,0))</f>
        <v>1</v>
      </c>
      <c r="N623" s="193" t="str">
        <f>INDEX(_TARGETS!$D$2:$D$17,MATCH($C623,_TARGETS!$A$2:$A$17,0))</f>
        <v>% (fracción)</v>
      </c>
      <c r="O623" s="193" t="str">
        <f>IF(NOT(ISNUMBER(F623)),"MISSING",IF((COUNTBLANK(Datos!AG26)+COUNTBLANK(Datos!AG27))&gt;0,"INCOMPLETE","OK"))</f>
        <v>MISSING</v>
      </c>
      <c r="P623" s="193" t="str">
        <f>INDEX(_TARGETS!$K$2:$K$17,MATCH($C623,_TARGETS!$A$2:$A$17,0))</f>
        <v>OPS (carga manual en Datos)</v>
      </c>
      <c r="Q623" s="193" t="str">
        <f t="shared" si="47"/>
        <v>202901|CCS|Monthly</v>
      </c>
      <c r="R623" s="193" t="str">
        <f>INDEX(_TARGETS!$H$2:$H$17,MATCH($C623,_TARGETS!$A$2:$A$17,0))</f>
        <v>Definida</v>
      </c>
      <c r="S623" s="193" t="str">
        <f t="shared" si="48"/>
        <v/>
      </c>
      <c r="T623" s="193" t="str">
        <f t="shared" si="49"/>
        <v/>
      </c>
    </row>
    <row r="624" spans="1:20" ht="13.5" customHeight="1" x14ac:dyDescent="0.3">
      <c r="A624" s="245">
        <f>KPIs!$AG$3</f>
        <v>47119</v>
      </c>
      <c r="B624" s="199" t="str">
        <f>KPIs!AG$4</f>
        <v>Compresora</v>
      </c>
      <c r="C624" s="31" t="s">
        <v>91</v>
      </c>
      <c r="D624" s="199" t="str">
        <f>KPIs!$A$23</f>
        <v>13 · Días promedio para cerrar hallazgos</v>
      </c>
      <c r="E624" s="31" t="s">
        <v>599</v>
      </c>
      <c r="F624" s="247" t="str">
        <f>IF(ISNUMBER(KPIs!AG23),KPIs!AG23,"")</f>
        <v/>
      </c>
      <c r="G624" s="247" t="str">
        <f>IF(ISNUMBER(KPIs!$C$23),KPIs!$C$23,"")</f>
        <v/>
      </c>
      <c r="H624" s="199" t="str">
        <f>IFERROR(INDEX(_TARGETS!$E$2:$E$17,MATCH($C624,_TARGETS!$A$2:$A$17,0))&amp;"","")</f>
        <v>≤</v>
      </c>
      <c r="I624" s="199" t="str">
        <f t="shared" si="45"/>
        <v/>
      </c>
      <c r="J624" s="193" t="str">
        <f t="shared" si="46"/>
        <v>Monthly</v>
      </c>
      <c r="K624" s="248">
        <f>Datos!AG68</f>
        <v>0</v>
      </c>
      <c r="L624" s="248">
        <f>Datos!AG67</f>
        <v>0</v>
      </c>
      <c r="M624" s="193">
        <f>INDEX(_TARGETS!$J$2:$J$17,MATCH($C624,_TARGETS!$A$2:$A$17,0))</f>
        <v>1</v>
      </c>
      <c r="N624" s="193" t="str">
        <f>INDEX(_TARGETS!$D$2:$D$17,MATCH($C624,_TARGETS!$A$2:$A$17,0))</f>
        <v>días</v>
      </c>
      <c r="O624" s="193" t="str">
        <f>IF(NOT(ISNUMBER(F624)),"MISSING","OK")</f>
        <v>MISSING</v>
      </c>
      <c r="P624" s="193" t="str">
        <f>INDEX(_TARGETS!$K$2:$K$17,MATCH($C624,_TARGETS!$A$2:$A$17,0))</f>
        <v>Plant Findings (hoja Observaciones-SMP)</v>
      </c>
      <c r="Q624" s="193" t="str">
        <f t="shared" si="47"/>
        <v>202901|DPAS|Monthly</v>
      </c>
      <c r="R624" s="193" t="str">
        <f>INDEX(_TARGETS!$H$2:$H$17,MATCH($C624,_TARGETS!$A$2:$A$17,0))</f>
        <v>Pendiente (meta 2027)</v>
      </c>
      <c r="S624" s="193" t="str">
        <f t="shared" si="48"/>
        <v/>
      </c>
      <c r="T624" s="193" t="str">
        <f t="shared" si="49"/>
        <v/>
      </c>
    </row>
    <row r="625" spans="1:20" ht="13.5" customHeight="1" x14ac:dyDescent="0.3">
      <c r="A625" s="245">
        <f>KPIs!$AG$3</f>
        <v>47119</v>
      </c>
      <c r="B625" s="199" t="str">
        <f>KPIs!AG$4</f>
        <v>Compresora</v>
      </c>
      <c r="C625" s="31" t="s">
        <v>39</v>
      </c>
      <c r="D625" s="199" t="str">
        <f>KPIs!$A$26</f>
        <v>1 · Frecuencia de casos con días perdidos · ACUMULADO</v>
      </c>
      <c r="E625" s="31" t="s">
        <v>600</v>
      </c>
      <c r="F625" s="247" t="str">
        <f>IF(ISNUMBER(KPIs!AG26),KPIs!AG26,"")</f>
        <v/>
      </c>
      <c r="G625" s="247">
        <f>IF(ISNUMBER(KPIs!$C$26),KPIs!$C$26,"")</f>
        <v>0</v>
      </c>
      <c r="H625" s="199" t="str">
        <f>IFERROR(INDEX(_TARGETS!$E$2:$E$17,MATCH($C625,_TARGETS!$A$2:$A$17,0))&amp;"","")</f>
        <v>≤</v>
      </c>
      <c r="I625" s="199" t="str">
        <f t="shared" si="45"/>
        <v/>
      </c>
      <c r="J625" s="193" t="str">
        <f t="shared" si="46"/>
        <v>Cumulative</v>
      </c>
      <c r="K625" s="193">
        <f>SUM(Datos!$D33:AG33)</f>
        <v>0</v>
      </c>
      <c r="L625" s="193">
        <f>SUM(Datos!$D14:AG14)</f>
        <v>48332</v>
      </c>
      <c r="M625" s="193">
        <f>INDEX(_TARGETS!$J$2:$J$17,MATCH($C625,_TARGETS!$A$2:$A$17,0))</f>
        <v>1000000</v>
      </c>
      <c r="N625" s="193" t="str">
        <f>INDEX(_TARGETS!$D$2:$D$17,MATCH($C625,_TARGETS!$A$2:$A$17,0))</f>
        <v>casos / 10^6 HH</v>
      </c>
      <c r="O625" s="193" t="str">
        <f>IF(NOT(ISNUMBER(F625)),IF(SUMPRODUCT(($C$2:$C$1300=C625)*($J$2:$J$1300="Monthly")*($A$2:$A$1300&lt;=A625)*ISNUMBER($K$2:$K$1300)*ISNUMBER($L$2:$L$1300)*($L$2:$L$1300=0)*($K$2:$K$1300&gt;0))&gt;0,"INCOMPLETE","MISSING"),O611)</f>
        <v>MISSING</v>
      </c>
      <c r="P625" s="193" t="str">
        <f>INDEX(_TARGETS!$K$2:$K$17,MATCH($C625,_TARGETS!$A$2:$A$17,0))</f>
        <v>OPS (carga manual en Datos)</v>
      </c>
      <c r="Q625" s="193" t="str">
        <f t="shared" si="47"/>
        <v>202901|DAFWCF|Cumulative</v>
      </c>
      <c r="R625" s="193" t="str">
        <f>INDEX(_TARGETS!$H$2:$H$17,MATCH($C625,_TARGETS!$A$2:$A$17,0))</f>
        <v>Definida</v>
      </c>
      <c r="S625" s="193">
        <f t="shared" si="48"/>
        <v>0</v>
      </c>
      <c r="T625" s="193" t="str">
        <f t="shared" si="49"/>
        <v/>
      </c>
    </row>
    <row r="626" spans="1:20" ht="13.5" customHeight="1" x14ac:dyDescent="0.3">
      <c r="A626" s="245">
        <f>KPIs!$AG$3</f>
        <v>47119</v>
      </c>
      <c r="B626" s="199" t="str">
        <f>KPIs!AG$4</f>
        <v>Compresora</v>
      </c>
      <c r="C626" s="31" t="s">
        <v>49</v>
      </c>
      <c r="D626" s="199" t="str">
        <f>KPIs!$A$27</f>
        <v>2 · Frecuencia de casos registrables · ACUMULADO</v>
      </c>
      <c r="E626" s="31" t="s">
        <v>600</v>
      </c>
      <c r="F626" s="247" t="str">
        <f>IF(ISNUMBER(KPIs!AG27),KPIs!AG27,"")</f>
        <v/>
      </c>
      <c r="G626" s="247">
        <f>IF(ISNUMBER(KPIs!$C$27),KPIs!$C$27,"")</f>
        <v>2.35</v>
      </c>
      <c r="H626" s="199" t="str">
        <f>IFERROR(INDEX(_TARGETS!$E$2:$E$17,MATCH($C626,_TARGETS!$A$2:$A$17,0))&amp;"","")</f>
        <v>≤</v>
      </c>
      <c r="I626" s="199" t="str">
        <f t="shared" si="45"/>
        <v/>
      </c>
      <c r="J626" s="193" t="str">
        <f t="shared" si="46"/>
        <v>Cumulative</v>
      </c>
      <c r="K626" s="193">
        <f>SUM(Datos!$D33:AG33)+SUM(Datos!$D34:AG34)+SUM(Datos!$D35:AG35)+SUM(Datos!$D36:AG36)</f>
        <v>0</v>
      </c>
      <c r="L626" s="193">
        <f>SUM(Datos!$D14:AG14)</f>
        <v>48332</v>
      </c>
      <c r="M626" s="193">
        <f>INDEX(_TARGETS!$J$2:$J$17,MATCH($C626,_TARGETS!$A$2:$A$17,0))</f>
        <v>1000000</v>
      </c>
      <c r="N626" s="193" t="str">
        <f>INDEX(_TARGETS!$D$2:$D$17,MATCH($C626,_TARGETS!$A$2:$A$17,0))</f>
        <v>casos / 10^6 HH</v>
      </c>
      <c r="O626" s="193" t="str">
        <f>IF(NOT(ISNUMBER(F626)),IF(SUMPRODUCT(($C$2:$C$1300=C626)*($J$2:$J$1300="Monthly")*($A$2:$A$1300&lt;=A626)*ISNUMBER($K$2:$K$1300)*ISNUMBER($L$2:$L$1300)*($L$2:$L$1300=0)*($K$2:$K$1300&gt;0))&gt;0,"INCOMPLETE","MISSING"),O612)</f>
        <v>MISSING</v>
      </c>
      <c r="P626" s="193" t="str">
        <f>INDEX(_TARGETS!$K$2:$K$17,MATCH($C626,_TARGETS!$A$2:$A$17,0))</f>
        <v>OPS (carga manual en Datos)</v>
      </c>
      <c r="Q626" s="193" t="str">
        <f t="shared" si="47"/>
        <v>202901|TRICF|Cumulative</v>
      </c>
      <c r="R626" s="193" t="str">
        <f>INDEX(_TARGETS!$H$2:$H$17,MATCH($C626,_TARGETS!$A$2:$A$17,0))</f>
        <v>Definida</v>
      </c>
      <c r="S626" s="193">
        <f t="shared" si="48"/>
        <v>0</v>
      </c>
      <c r="T626" s="193" t="str">
        <f t="shared" si="49"/>
        <v/>
      </c>
    </row>
    <row r="627" spans="1:20" ht="13.5" customHeight="1" x14ac:dyDescent="0.3">
      <c r="A627" s="245">
        <f>KPIs!$AG$3</f>
        <v>47119</v>
      </c>
      <c r="B627" s="199" t="str">
        <f>KPIs!AG$4</f>
        <v>Compresora</v>
      </c>
      <c r="C627" s="31" t="s">
        <v>51</v>
      </c>
      <c r="D627" s="199" t="str">
        <f>KPIs!$A$28</f>
        <v>3 · Casos de primeros auxilios · ACUMULADO</v>
      </c>
      <c r="E627" s="31" t="s">
        <v>600</v>
      </c>
      <c r="F627" s="247" t="str">
        <f>IF(ISNUMBER(KPIs!AG28),KPIs!AG28,"")</f>
        <v/>
      </c>
      <c r="G627" s="247" t="str">
        <f>IF(ISNUMBER(KPIs!$C$28),KPIs!$C$28,"")</f>
        <v/>
      </c>
      <c r="H627" s="199" t="str">
        <f>IFERROR(INDEX(_TARGETS!$E$2:$E$17,MATCH($C627,_TARGETS!$A$2:$A$17,0))&amp;"","")</f>
        <v/>
      </c>
      <c r="I627" s="199" t="str">
        <f t="shared" si="45"/>
        <v/>
      </c>
      <c r="J627" s="193" t="str">
        <f t="shared" si="46"/>
        <v>Cumulative</v>
      </c>
      <c r="K627" s="193">
        <f>SUM(Datos!$D37:AG37)</f>
        <v>0</v>
      </c>
      <c r="M627" s="193">
        <f>INDEX(_TARGETS!$J$2:$J$17,MATCH($C627,_TARGETS!$A$2:$A$17,0))</f>
        <v>1</v>
      </c>
      <c r="N627" s="193" t="str">
        <f>INDEX(_TARGETS!$D$2:$D$17,MATCH($C627,_TARGETS!$A$2:$A$17,0))</f>
        <v>casos</v>
      </c>
      <c r="O627" s="193" t="str">
        <f>IF(NOT(ISNUMBER(F627)),IF(SUMPRODUCT(($C$2:$C$1300=C627)*($J$2:$J$1300="Monthly")*($A$2:$A$1300&lt;=A627)*ISNUMBER($K$2:$K$1300)*ISNUMBER($L$2:$L$1300)*($L$2:$L$1300=0)*($K$2:$K$1300&gt;0))&gt;0,"INCOMPLETE","MISSING"),O613)</f>
        <v>MISSING</v>
      </c>
      <c r="P627" s="193" t="str">
        <f>INDEX(_TARGETS!$K$2:$K$17,MATCH($C627,_TARGETS!$A$2:$A$17,0))</f>
        <v>OPS (carga manual en Datos)</v>
      </c>
      <c r="Q627" s="193" t="str">
        <f t="shared" si="47"/>
        <v>202901|FAC|Cumulative</v>
      </c>
      <c r="R627" s="193" t="str">
        <f>INDEX(_TARGETS!$H$2:$H$17,MATCH($C627,_TARGETS!$A$2:$A$17,0))</f>
        <v>Solo reporte</v>
      </c>
      <c r="S627" s="193">
        <f t="shared" si="48"/>
        <v>0</v>
      </c>
      <c r="T627" s="193" t="str">
        <f t="shared" si="49"/>
        <v/>
      </c>
    </row>
    <row r="628" spans="1:20" ht="13.5" customHeight="1" x14ac:dyDescent="0.3">
      <c r="A628" s="245">
        <f>KPIs!$AG$3</f>
        <v>47119</v>
      </c>
      <c r="B628" s="199" t="str">
        <f>KPIs!AG$4</f>
        <v>Compresora</v>
      </c>
      <c r="C628" s="31" t="s">
        <v>57</v>
      </c>
      <c r="D628" s="199" t="str">
        <f>KPIs!$A$29</f>
        <v>4 · Accidentes vehiculares severos · ACUMULADO</v>
      </c>
      <c r="E628" s="31" t="s">
        <v>600</v>
      </c>
      <c r="F628" s="247" t="str">
        <f>IF(ISNUMBER(KPIs!AG29),KPIs!AG29,"")</f>
        <v/>
      </c>
      <c r="G628" s="247" t="str">
        <f>IF(ISNUMBER(KPIs!$C$29),KPIs!$C$29,"")</f>
        <v/>
      </c>
      <c r="H628" s="199" t="str">
        <f>IFERROR(INDEX(_TARGETS!$E$2:$E$17,MATCH($C628,_TARGETS!$A$2:$A$17,0))&amp;"","")</f>
        <v/>
      </c>
      <c r="I628" s="199" t="str">
        <f t="shared" si="45"/>
        <v/>
      </c>
      <c r="J628" s="193" t="str">
        <f t="shared" si="46"/>
        <v>Cumulative</v>
      </c>
      <c r="K628" s="193">
        <f>SUM(Datos!$D39:AG39)+SUM(Datos!$D40:AG40)+SUM(Datos!$D41:AG41)</f>
        <v>0</v>
      </c>
      <c r="L628" s="193">
        <f>SUM(Datos!$D47:AG47)</f>
        <v>172824</v>
      </c>
      <c r="M628" s="193">
        <f>INDEX(_TARGETS!$J$2:$J$17,MATCH($C628,_TARGETS!$A$2:$A$17,0))</f>
        <v>1000000</v>
      </c>
      <c r="N628" s="193" t="str">
        <f>INDEX(_TARGETS!$D$2:$D$17,MATCH($C628,_TARGETS!$A$2:$A$17,0))</f>
        <v>eventos / 10^6 km</v>
      </c>
      <c r="O628" s="193" t="str">
        <f>IF(NOT(ISNUMBER(F628)),IF(SUMPRODUCT(($C$2:$C$1300=C628)*($J$2:$J$1300="Monthly")*($A$2:$A$1300&lt;=A628)*ISNUMBER($K$2:$K$1300)*ISNUMBER($L$2:$L$1300)*($L$2:$L$1300=0)*($K$2:$K$1300&gt;0))&gt;0,"INCOMPLETE","MISSING"),O614)</f>
        <v>MISSING</v>
      </c>
      <c r="P628" s="193" t="str">
        <f>INDEX(_TARGETS!$K$2:$K$17,MATCH($C628,_TARGETS!$A$2:$A$17,0))</f>
        <v>OPS (eventos) + Full Control GPS (km) - carga manual en Datos</v>
      </c>
      <c r="Q628" s="193" t="str">
        <f t="shared" si="47"/>
        <v>202901|SVCR|Cumulative</v>
      </c>
      <c r="R628" s="193" t="str">
        <f>INDEX(_TARGETS!$H$2:$H$17,MATCH($C628,_TARGETS!$A$2:$A$17,0))</f>
        <v>Solo reporte</v>
      </c>
      <c r="S628" s="193">
        <f t="shared" si="48"/>
        <v>0</v>
      </c>
      <c r="T628" s="193" t="str">
        <f t="shared" si="49"/>
        <v/>
      </c>
    </row>
    <row r="629" spans="1:20" ht="13.5" customHeight="1" x14ac:dyDescent="0.3">
      <c r="A629" s="245">
        <f>KPIs!$AG$3</f>
        <v>47119</v>
      </c>
      <c r="B629" s="199" t="str">
        <f>KPIs!AG$4</f>
        <v>Compresora</v>
      </c>
      <c r="C629" s="31" t="s">
        <v>61</v>
      </c>
      <c r="D629" s="199" t="str">
        <f>KPIs!$A$30</f>
        <v>5 · Accidentes vehiculares totales · ACUMULADO</v>
      </c>
      <c r="E629" s="31" t="s">
        <v>600</v>
      </c>
      <c r="F629" s="247" t="str">
        <f>IF(ISNUMBER(KPIs!AG30),KPIs!AG30,"")</f>
        <v/>
      </c>
      <c r="G629" s="247">
        <f>IF(ISNUMBER(KPIs!$C$30),KPIs!$C$30,"")</f>
        <v>0.79</v>
      </c>
      <c r="H629" s="199" t="str">
        <f>IFERROR(INDEX(_TARGETS!$E$2:$E$17,MATCH($C629,_TARGETS!$A$2:$A$17,0))&amp;"","")</f>
        <v>≤</v>
      </c>
      <c r="I629" s="199" t="str">
        <f t="shared" si="45"/>
        <v/>
      </c>
      <c r="J629" s="193" t="str">
        <f t="shared" si="46"/>
        <v>Cumulative</v>
      </c>
      <c r="K629" s="193">
        <f>SUM(Datos!$D39:AG39)+SUM(Datos!$D40:AG40)+SUM(Datos!$D41:AG41)+SUM(Datos!$D42:AG42)</f>
        <v>0</v>
      </c>
      <c r="L629" s="193">
        <f>SUM(Datos!$D47:AG47)</f>
        <v>172824</v>
      </c>
      <c r="M629" s="193">
        <f>INDEX(_TARGETS!$J$2:$J$17,MATCH($C629,_TARGETS!$A$2:$A$17,0))</f>
        <v>1000000</v>
      </c>
      <c r="N629" s="193" t="str">
        <f>INDEX(_TARGETS!$D$2:$D$17,MATCH($C629,_TARGETS!$A$2:$A$17,0))</f>
        <v>eventos / 10^6 km</v>
      </c>
      <c r="O629" s="193" t="str">
        <f>IF(NOT(ISNUMBER(F629)),IF(SUMPRODUCT(($C$2:$C$1300=C629)*($J$2:$J$1300="Monthly")*($A$2:$A$1300&lt;=A629)*ISNUMBER($K$2:$K$1300)*ISNUMBER($L$2:$L$1300)*($L$2:$L$1300=0)*($K$2:$K$1300&gt;0))&gt;0,"INCOMPLETE","MISSING"),O615)</f>
        <v>MISSING</v>
      </c>
      <c r="P629" s="193" t="str">
        <f>INDEX(_TARGETS!$K$2:$K$17,MATCH($C629,_TARGETS!$A$2:$A$17,0))</f>
        <v>OPS (eventos) + Full Control GPS (km) - carga manual en Datos</v>
      </c>
      <c r="Q629" s="193" t="str">
        <f t="shared" si="47"/>
        <v>202901|TVCR|Cumulative</v>
      </c>
      <c r="R629" s="193" t="str">
        <f>INDEX(_TARGETS!$H$2:$H$17,MATCH($C629,_TARGETS!$A$2:$A$17,0))</f>
        <v>Definida</v>
      </c>
      <c r="S629" s="193">
        <f t="shared" si="48"/>
        <v>0</v>
      </c>
      <c r="T629" s="193" t="str">
        <f t="shared" si="49"/>
        <v/>
      </c>
    </row>
    <row r="630" spans="1:20" ht="13.5" customHeight="1" x14ac:dyDescent="0.3">
      <c r="A630" s="245">
        <f>KPIs!$AG$3</f>
        <v>47119</v>
      </c>
      <c r="B630" s="199" t="str">
        <f>KPIs!AG$4</f>
        <v>Compresora</v>
      </c>
      <c r="C630" s="31" t="s">
        <v>96</v>
      </c>
      <c r="D630" s="199" t="str">
        <f>KPIs!$A$33</f>
        <v>C1 · % de desvíos detectados de gravedad Alta</v>
      </c>
      <c r="E630" s="31" t="s">
        <v>599</v>
      </c>
      <c r="F630" s="247" t="str">
        <f>IF(ISNUMBER(KPIs!AG33),KPIs!AG33,"")</f>
        <v/>
      </c>
      <c r="G630" s="247" t="str">
        <f>IF(ISNUMBER(KPIs!$C$33),KPIs!$C$33,"")</f>
        <v/>
      </c>
      <c r="H630" s="199" t="str">
        <f>IFERROR(INDEX(_TARGETS!$E$2:$E$17,MATCH($C630,_TARGETS!$A$2:$A$17,0))&amp;"","")</f>
        <v/>
      </c>
      <c r="I630" s="199" t="str">
        <f t="shared" si="45"/>
        <v/>
      </c>
      <c r="J630" s="193" t="str">
        <f t="shared" si="46"/>
        <v>Monthly</v>
      </c>
      <c r="K630" s="248">
        <f>Datos!AG71</f>
        <v>0</v>
      </c>
      <c r="L630" s="193">
        <f>Datos!AG71+Datos!AG72+Datos!AG73</f>
        <v>0</v>
      </c>
      <c r="M630" s="193">
        <f>INDEX(_TARGETS!$J$2:$J$17,MATCH($C630,_TARGETS!$A$2:$A$17,0))</f>
        <v>1</v>
      </c>
      <c r="N630" s="193" t="str">
        <f>INDEX(_TARGETS!$D$2:$D$17,MATCH($C630,_TARGETS!$A$2:$A$17,0))</f>
        <v>% (fracción)</v>
      </c>
      <c r="O630" s="193" t="str">
        <f>IF(NOT(ISNUMBER(F630)),"MISSING","OK")</f>
        <v>MISSING</v>
      </c>
      <c r="P630" s="193" t="str">
        <f>INDEX(_TARGETS!$K$2:$K$17,MATCH($C630,_TARGETS!$A$2:$A$17,0))</f>
        <v>Plant Findings (hoja Observaciones-SMP)</v>
      </c>
      <c r="Q630" s="193" t="str">
        <f t="shared" si="47"/>
        <v>202901|HAL_ALTA_PCT|Monthly</v>
      </c>
      <c r="R630" s="193" t="str">
        <f>INDEX(_TARGETS!$H$2:$H$17,MATCH($C630,_TARGETS!$A$2:$A$17,0))</f>
        <v>Solo reporte</v>
      </c>
      <c r="S630" s="193" t="str">
        <f t="shared" si="48"/>
        <v/>
      </c>
      <c r="T630" s="193" t="str">
        <f t="shared" si="49"/>
        <v/>
      </c>
    </row>
    <row r="631" spans="1:20" ht="13.5" customHeight="1" x14ac:dyDescent="0.3">
      <c r="A631" s="245">
        <f>KPIs!$AG$3</f>
        <v>47119</v>
      </c>
      <c r="B631" s="199" t="str">
        <f>KPIs!AG$4</f>
        <v>Compresora</v>
      </c>
      <c r="C631" s="31" t="s">
        <v>98</v>
      </c>
      <c r="D631" s="199" t="str">
        <f>KPIs!$A$34</f>
        <v>C2 · Detenciones de tareas aplicadas</v>
      </c>
      <c r="E631" s="31" t="s">
        <v>599</v>
      </c>
      <c r="F631" s="247" t="str">
        <f>IF(ISNUMBER(KPIs!AG34),KPIs!AG34,"")</f>
        <v/>
      </c>
      <c r="G631" s="247" t="str">
        <f>IF(ISNUMBER(KPIs!$C$34),KPIs!$C$34,"")</f>
        <v/>
      </c>
      <c r="H631" s="199" t="str">
        <f>IFERROR(INDEX(_TARGETS!$E$2:$E$17,MATCH($C631,_TARGETS!$A$2:$A$17,0))&amp;"","")</f>
        <v/>
      </c>
      <c r="I631" s="199" t="str">
        <f t="shared" si="45"/>
        <v/>
      </c>
      <c r="J631" s="193" t="str">
        <f t="shared" si="46"/>
        <v>Monthly</v>
      </c>
      <c r="K631" s="248">
        <f>Datos!AG75</f>
        <v>0</v>
      </c>
      <c r="M631" s="193">
        <f>INDEX(_TARGETS!$J$2:$J$17,MATCH($C631,_TARGETS!$A$2:$A$17,0))</f>
        <v>1</v>
      </c>
      <c r="N631" s="193" t="str">
        <f>INDEX(_TARGETS!$D$2:$D$17,MATCH($C631,_TARGETS!$A$2:$A$17,0))</f>
        <v>u</v>
      </c>
      <c r="O631" s="193" t="str">
        <f>IF(NOT(ISNUMBER(F631)),"MISSING","OK")</f>
        <v>MISSING</v>
      </c>
      <c r="P631" s="193" t="str">
        <f>INDEX(_TARGETS!$K$2:$K$17,MATCH($C631,_TARGETS!$A$2:$A$17,0))</f>
        <v>Plant Findings (hoja Observaciones-SMP)</v>
      </c>
      <c r="Q631" s="193" t="str">
        <f t="shared" si="47"/>
        <v>202901|DET|Monthly</v>
      </c>
      <c r="R631" s="193" t="str">
        <f>INDEX(_TARGETS!$H$2:$H$17,MATCH($C631,_TARGETS!$A$2:$A$17,0))</f>
        <v>Solo reporte</v>
      </c>
      <c r="S631" s="193" t="str">
        <f t="shared" si="48"/>
        <v/>
      </c>
      <c r="T631" s="193" t="str">
        <f t="shared" si="49"/>
        <v/>
      </c>
    </row>
    <row r="632" spans="1:20" ht="13.5" customHeight="1" x14ac:dyDescent="0.3">
      <c r="A632" s="245">
        <f>KPIs!$AH$3</f>
        <v>47150</v>
      </c>
      <c r="B632" s="199" t="str">
        <f>KPIs!AH$4</f>
        <v>Compresora</v>
      </c>
      <c r="C632" s="31" t="s">
        <v>39</v>
      </c>
      <c r="D632" s="199" t="str">
        <f>KPIs!$A$6</f>
        <v>1 · Frecuencia de casos con días perdidos</v>
      </c>
      <c r="E632" s="31" t="s">
        <v>599</v>
      </c>
      <c r="F632" s="247" t="str">
        <f>IF(ISNUMBER(KPIs!AH6),KPIs!AH6,"")</f>
        <v/>
      </c>
      <c r="G632" s="247">
        <f>IF(ISNUMBER(KPIs!$C$6),KPIs!$C$6,"")</f>
        <v>0</v>
      </c>
      <c r="H632" s="199" t="str">
        <f>IFERROR(INDEX(_TARGETS!$E$2:$E$17,MATCH($C632,_TARGETS!$A$2:$A$17,0))&amp;"","")</f>
        <v>≤</v>
      </c>
      <c r="I632" s="199" t="str">
        <f t="shared" si="45"/>
        <v/>
      </c>
      <c r="J632" s="193" t="str">
        <f t="shared" si="46"/>
        <v>Monthly</v>
      </c>
      <c r="K632" s="248">
        <f>Datos!AH33</f>
        <v>0</v>
      </c>
      <c r="L632" s="248">
        <f>Datos!AH14</f>
        <v>0</v>
      </c>
      <c r="M632" s="193">
        <f>INDEX(_TARGETS!$J$2:$J$17,MATCH($C632,_TARGETS!$A$2:$A$17,0))</f>
        <v>1000000</v>
      </c>
      <c r="N632" s="193" t="str">
        <f>INDEX(_TARGETS!$D$2:$D$17,MATCH($C632,_TARGETS!$A$2:$A$17,0))</f>
        <v>casos / 10^6 HH</v>
      </c>
      <c r="O632" s="193" t="str">
        <f>IF(NOT(ISNUMBER(F632)),"MISSING",IF((COUNTBLANK(Datos!AH12)+COUNTBLANK(Datos!AH13)+COUNTBLANK(Datos!AH33))&gt;0,"INCOMPLETE","OK"))</f>
        <v>MISSING</v>
      </c>
      <c r="P632" s="193" t="str">
        <f>INDEX(_TARGETS!$K$2:$K$17,MATCH($C632,_TARGETS!$A$2:$A$17,0))</f>
        <v>OPS (carga manual en Datos)</v>
      </c>
      <c r="Q632" s="193" t="str">
        <f t="shared" si="47"/>
        <v>202902|DAFWCF|Monthly</v>
      </c>
      <c r="R632" s="193" t="str">
        <f>INDEX(_TARGETS!$H$2:$H$17,MATCH($C632,_TARGETS!$A$2:$A$17,0))</f>
        <v>Definida</v>
      </c>
      <c r="S632" s="193" t="str">
        <f t="shared" si="48"/>
        <v/>
      </c>
      <c r="T632" s="193" t="str">
        <f t="shared" si="49"/>
        <v/>
      </c>
    </row>
    <row r="633" spans="1:20" ht="13.5" customHeight="1" x14ac:dyDescent="0.3">
      <c r="A633" s="245">
        <f>KPIs!$AH$3</f>
        <v>47150</v>
      </c>
      <c r="B633" s="199" t="str">
        <f>KPIs!AH$4</f>
        <v>Compresora</v>
      </c>
      <c r="C633" s="31" t="s">
        <v>49</v>
      </c>
      <c r="D633" s="199" t="str">
        <f>KPIs!$A$7</f>
        <v>2 · Frecuencia de casos registrables</v>
      </c>
      <c r="E633" s="31" t="s">
        <v>599</v>
      </c>
      <c r="F633" s="247" t="str">
        <f>IF(ISNUMBER(KPIs!AH7),KPIs!AH7,"")</f>
        <v/>
      </c>
      <c r="G633" s="247">
        <f>IF(ISNUMBER(KPIs!$C$7),KPIs!$C$7,"")</f>
        <v>2.35</v>
      </c>
      <c r="H633" s="199" t="str">
        <f>IFERROR(INDEX(_TARGETS!$E$2:$E$17,MATCH($C633,_TARGETS!$A$2:$A$17,0))&amp;"","")</f>
        <v>≤</v>
      </c>
      <c r="I633" s="199" t="str">
        <f t="shared" si="45"/>
        <v/>
      </c>
      <c r="J633" s="193" t="str">
        <f t="shared" si="46"/>
        <v>Monthly</v>
      </c>
      <c r="K633" s="193">
        <f>Datos!AH33+Datos!AH34+Datos!AH35+Datos!AH36</f>
        <v>0</v>
      </c>
      <c r="L633" s="248">
        <f>Datos!AH14</f>
        <v>0</v>
      </c>
      <c r="M633" s="193">
        <f>INDEX(_TARGETS!$J$2:$J$17,MATCH($C633,_TARGETS!$A$2:$A$17,0))</f>
        <v>1000000</v>
      </c>
      <c r="N633" s="193" t="str">
        <f>INDEX(_TARGETS!$D$2:$D$17,MATCH($C633,_TARGETS!$A$2:$A$17,0))</f>
        <v>casos / 10^6 HH</v>
      </c>
      <c r="O633" s="193" t="str">
        <f>IF(NOT(ISNUMBER(F633)),"MISSING",IF((COUNTBLANK(Datos!AH12)+COUNTBLANK(Datos!AH13)+COUNTBLANK(Datos!AH33)+COUNTBLANK(Datos!AH34)+COUNTBLANK(Datos!AH35)+COUNTBLANK(Datos!AH36))&gt;0,"INCOMPLETE","OK"))</f>
        <v>MISSING</v>
      </c>
      <c r="P633" s="193" t="str">
        <f>INDEX(_TARGETS!$K$2:$K$17,MATCH($C633,_TARGETS!$A$2:$A$17,0))</f>
        <v>OPS (carga manual en Datos)</v>
      </c>
      <c r="Q633" s="193" t="str">
        <f t="shared" si="47"/>
        <v>202902|TRICF|Monthly</v>
      </c>
      <c r="R633" s="193" t="str">
        <f>INDEX(_TARGETS!$H$2:$H$17,MATCH($C633,_TARGETS!$A$2:$A$17,0))</f>
        <v>Definida</v>
      </c>
      <c r="S633" s="193" t="str">
        <f t="shared" si="48"/>
        <v/>
      </c>
      <c r="T633" s="193" t="str">
        <f t="shared" si="49"/>
        <v/>
      </c>
    </row>
    <row r="634" spans="1:20" ht="13.5" customHeight="1" x14ac:dyDescent="0.3">
      <c r="A634" s="245">
        <f>KPIs!$AH$3</f>
        <v>47150</v>
      </c>
      <c r="B634" s="199" t="str">
        <f>KPIs!AH$4</f>
        <v>Compresora</v>
      </c>
      <c r="C634" s="31" t="s">
        <v>51</v>
      </c>
      <c r="D634" s="199" t="str">
        <f>KPIs!$A$8</f>
        <v>3 · Casos de primeros auxilios</v>
      </c>
      <c r="E634" s="31" t="s">
        <v>599</v>
      </c>
      <c r="F634" s="247" t="str">
        <f>IF(ISNUMBER(KPIs!AH8),KPIs!AH8,"")</f>
        <v/>
      </c>
      <c r="G634" s="247" t="str">
        <f>IF(ISNUMBER(KPIs!$C$8),KPIs!$C$8,"")</f>
        <v/>
      </c>
      <c r="H634" s="199" t="str">
        <f>IFERROR(INDEX(_TARGETS!$E$2:$E$17,MATCH($C634,_TARGETS!$A$2:$A$17,0))&amp;"","")</f>
        <v/>
      </c>
      <c r="I634" s="199" t="str">
        <f t="shared" si="45"/>
        <v/>
      </c>
      <c r="J634" s="193" t="str">
        <f t="shared" si="46"/>
        <v>Monthly</v>
      </c>
      <c r="K634" s="248">
        <f>Datos!AH37</f>
        <v>0</v>
      </c>
      <c r="M634" s="193">
        <f>INDEX(_TARGETS!$J$2:$J$17,MATCH($C634,_TARGETS!$A$2:$A$17,0))</f>
        <v>1</v>
      </c>
      <c r="N634" s="193" t="str">
        <f>INDEX(_TARGETS!$D$2:$D$17,MATCH($C634,_TARGETS!$A$2:$A$17,0))</f>
        <v>casos</v>
      </c>
      <c r="O634" s="193" t="str">
        <f>IF(NOT(ISNUMBER(F634)),"MISSING",IF((COUNTBLANK(Datos!AH12)+COUNTBLANK(Datos!AH13)+COUNTBLANK(Datos!AH37))&gt;0,"INCOMPLETE","OK"))</f>
        <v>MISSING</v>
      </c>
      <c r="P634" s="193" t="str">
        <f>INDEX(_TARGETS!$K$2:$K$17,MATCH($C634,_TARGETS!$A$2:$A$17,0))</f>
        <v>OPS (carga manual en Datos)</v>
      </c>
      <c r="Q634" s="193" t="str">
        <f t="shared" si="47"/>
        <v>202902|FAC|Monthly</v>
      </c>
      <c r="R634" s="193" t="str">
        <f>INDEX(_TARGETS!$H$2:$H$17,MATCH($C634,_TARGETS!$A$2:$A$17,0))</f>
        <v>Solo reporte</v>
      </c>
      <c r="S634" s="193" t="str">
        <f t="shared" si="48"/>
        <v/>
      </c>
      <c r="T634" s="193" t="str">
        <f t="shared" si="49"/>
        <v/>
      </c>
    </row>
    <row r="635" spans="1:20" ht="13.5" customHeight="1" x14ac:dyDescent="0.3">
      <c r="A635" s="245">
        <f>KPIs!$AH$3</f>
        <v>47150</v>
      </c>
      <c r="B635" s="199" t="str">
        <f>KPIs!AH$4</f>
        <v>Compresora</v>
      </c>
      <c r="C635" s="31" t="s">
        <v>57</v>
      </c>
      <c r="D635" s="199" t="str">
        <f>KPIs!$A$10</f>
        <v>4 · Accidentes vehiculares severos por millón de km</v>
      </c>
      <c r="E635" s="31" t="s">
        <v>599</v>
      </c>
      <c r="F635" s="247" t="str">
        <f>IF(ISNUMBER(KPIs!AH10),KPIs!AH10,"")</f>
        <v/>
      </c>
      <c r="G635" s="247" t="str">
        <f>IF(ISNUMBER(KPIs!$C$10),KPIs!$C$10,"")</f>
        <v/>
      </c>
      <c r="H635" s="199" t="str">
        <f>IFERROR(INDEX(_TARGETS!$E$2:$E$17,MATCH($C635,_TARGETS!$A$2:$A$17,0))&amp;"","")</f>
        <v/>
      </c>
      <c r="I635" s="199" t="str">
        <f t="shared" si="45"/>
        <v/>
      </c>
      <c r="J635" s="193" t="str">
        <f t="shared" si="46"/>
        <v>Monthly</v>
      </c>
      <c r="K635" s="193">
        <f>Datos!AH39+Datos!AH40+Datos!AH41</f>
        <v>0</v>
      </c>
      <c r="L635" s="248">
        <f>Datos!AH47</f>
        <v>0</v>
      </c>
      <c r="M635" s="193">
        <f>INDEX(_TARGETS!$J$2:$J$17,MATCH($C635,_TARGETS!$A$2:$A$17,0))</f>
        <v>1000000</v>
      </c>
      <c r="N635" s="193" t="str">
        <f>INDEX(_TARGETS!$D$2:$D$17,MATCH($C635,_TARGETS!$A$2:$A$17,0))</f>
        <v>eventos / 10^6 km</v>
      </c>
      <c r="O635" s="193" t="str">
        <f>IF(NOT(ISNUMBER(F635)),"MISSING",IF((COUNTBLANK(Datos!AH44)+COUNTBLANK(Datos!AH45)+COUNTBLANK(Datos!AH46)+COUNTBLANK(Datos!AH39)+COUNTBLANK(Datos!AH40)+COUNTBLANK(Datos!AH41))&gt;0,"INCOMPLETE","OK"))</f>
        <v>MISSING</v>
      </c>
      <c r="P635" s="193" t="str">
        <f>INDEX(_TARGETS!$K$2:$K$17,MATCH($C635,_TARGETS!$A$2:$A$17,0))</f>
        <v>OPS (eventos) + Full Control GPS (km) - carga manual en Datos</v>
      </c>
      <c r="Q635" s="193" t="str">
        <f t="shared" si="47"/>
        <v>202902|SVCR|Monthly</v>
      </c>
      <c r="R635" s="193" t="str">
        <f>INDEX(_TARGETS!$H$2:$H$17,MATCH($C635,_TARGETS!$A$2:$A$17,0))</f>
        <v>Solo reporte</v>
      </c>
      <c r="S635" s="193" t="str">
        <f t="shared" si="48"/>
        <v/>
      </c>
      <c r="T635" s="193" t="str">
        <f t="shared" si="49"/>
        <v/>
      </c>
    </row>
    <row r="636" spans="1:20" ht="13.5" customHeight="1" x14ac:dyDescent="0.3">
      <c r="A636" s="245">
        <f>KPIs!$AH$3</f>
        <v>47150</v>
      </c>
      <c r="B636" s="199" t="str">
        <f>KPIs!AH$4</f>
        <v>Compresora</v>
      </c>
      <c r="C636" s="31" t="s">
        <v>61</v>
      </c>
      <c r="D636" s="199" t="str">
        <f>KPIs!$A$11</f>
        <v>5 · Accidentes vehiculares totales por millón de km</v>
      </c>
      <c r="E636" s="31" t="s">
        <v>599</v>
      </c>
      <c r="F636" s="247" t="str">
        <f>IF(ISNUMBER(KPIs!AH11),KPIs!AH11,"")</f>
        <v/>
      </c>
      <c r="G636" s="247">
        <f>IF(ISNUMBER(KPIs!$C$11),KPIs!$C$11,"")</f>
        <v>0.79</v>
      </c>
      <c r="H636" s="199" t="str">
        <f>IFERROR(INDEX(_TARGETS!$E$2:$E$17,MATCH($C636,_TARGETS!$A$2:$A$17,0))&amp;"","")</f>
        <v>≤</v>
      </c>
      <c r="I636" s="199" t="str">
        <f t="shared" si="45"/>
        <v/>
      </c>
      <c r="J636" s="193" t="str">
        <f t="shared" si="46"/>
        <v>Monthly</v>
      </c>
      <c r="K636" s="193">
        <f>Datos!AH39+Datos!AH40+Datos!AH41+Datos!AH42</f>
        <v>0</v>
      </c>
      <c r="L636" s="248">
        <f>Datos!AH47</f>
        <v>0</v>
      </c>
      <c r="M636" s="193">
        <f>INDEX(_TARGETS!$J$2:$J$17,MATCH($C636,_TARGETS!$A$2:$A$17,0))</f>
        <v>1000000</v>
      </c>
      <c r="N636" s="193" t="str">
        <f>INDEX(_TARGETS!$D$2:$D$17,MATCH($C636,_TARGETS!$A$2:$A$17,0))</f>
        <v>eventos / 10^6 km</v>
      </c>
      <c r="O636" s="193" t="str">
        <f>IF(NOT(ISNUMBER(F636)),"MISSING",IF((COUNTBLANK(Datos!AH44)+COUNTBLANK(Datos!AH45)+COUNTBLANK(Datos!AH46)+COUNTBLANK(Datos!AH39)+COUNTBLANK(Datos!AH40)+COUNTBLANK(Datos!AH41)+COUNTBLANK(Datos!AH42))&gt;0,"INCOMPLETE","OK"))</f>
        <v>MISSING</v>
      </c>
      <c r="P636" s="193" t="str">
        <f>INDEX(_TARGETS!$K$2:$K$17,MATCH($C636,_TARGETS!$A$2:$A$17,0))</f>
        <v>OPS (eventos) + Full Control GPS (km) - carga manual en Datos</v>
      </c>
      <c r="Q636" s="193" t="str">
        <f t="shared" si="47"/>
        <v>202902|TVCR|Monthly</v>
      </c>
      <c r="R636" s="193" t="str">
        <f>INDEX(_TARGETS!$H$2:$H$17,MATCH($C636,_TARGETS!$A$2:$A$17,0))</f>
        <v>Definida</v>
      </c>
      <c r="S636" s="193" t="str">
        <f t="shared" si="48"/>
        <v/>
      </c>
      <c r="T636" s="193" t="str">
        <f t="shared" si="49"/>
        <v/>
      </c>
    </row>
    <row r="637" spans="1:20" ht="13.5" customHeight="1" x14ac:dyDescent="0.3">
      <c r="A637" s="245">
        <f>KPIs!$AH$3</f>
        <v>47150</v>
      </c>
      <c r="B637" s="199" t="str">
        <f>KPIs!AH$4</f>
        <v>Compresora</v>
      </c>
      <c r="C637" s="31" t="s">
        <v>63</v>
      </c>
      <c r="D637" s="199" t="str">
        <f>KPIs!$A$13</f>
        <v>6 · Observaciones de seguridad por persona</v>
      </c>
      <c r="E637" s="31" t="s">
        <v>599</v>
      </c>
      <c r="F637" s="247" t="str">
        <f>IF(ISNUMBER(KPIs!AH13),KPIs!AH13,"")</f>
        <v/>
      </c>
      <c r="G637" s="247">
        <f>IF(ISNUMBER(KPIs!$C$13),KPIs!$C$13,"")</f>
        <v>1</v>
      </c>
      <c r="H637" s="199" t="str">
        <f>IFERROR(INDEX(_TARGETS!$E$2:$E$17,MATCH($C637,_TARGETS!$A$2:$A$17,0))&amp;"","")</f>
        <v>≥</v>
      </c>
      <c r="I637" s="199" t="str">
        <f t="shared" si="45"/>
        <v/>
      </c>
      <c r="J637" s="193" t="str">
        <f t="shared" si="46"/>
        <v>Monthly</v>
      </c>
      <c r="K637" s="248" t="str">
        <f>IF(COUNT(Datos!AH28:AH29)=0,"",SUM(Datos!AH28:AH29))</f>
        <v/>
      </c>
      <c r="L637" s="248">
        <f>Datos!AH11</f>
        <v>0</v>
      </c>
      <c r="M637" s="193">
        <f>INDEX(_TARGETS!$J$2:$J$17,MATCH($C637,_TARGETS!$A$2:$A$17,0))</f>
        <v>1</v>
      </c>
      <c r="N637" s="193" t="str">
        <f>INDEX(_TARGETS!$D$2:$D$17,MATCH($C637,_TARGETS!$A$2:$A$17,0))</f>
        <v>obs / persona</v>
      </c>
      <c r="O637" s="193" t="str">
        <f>IF(NOT(ISNUMBER(F637)),"MISSING",IF((COUNTBLANK(Datos!AH9)+COUNTBLANK(Datos!AH10)+IF(COUNT(Datos!AH28:AH29)=0,1,0))&gt;0,"INCOMPLETE","OK"))</f>
        <v>MISSING</v>
      </c>
      <c r="P637" s="193" t="str">
        <f>INDEX(_TARGETS!$K$2:$K$17,MATCH($C637,_TARGETS!$A$2:$A$17,0))</f>
        <v>OPS (carga manual en Datos)</v>
      </c>
      <c r="Q637" s="193" t="str">
        <f t="shared" si="47"/>
        <v>202902|OBS|Monthly</v>
      </c>
      <c r="R637" s="193" t="str">
        <f>INDEX(_TARGETS!$H$2:$H$17,MATCH($C637,_TARGETS!$A$2:$A$17,0))</f>
        <v>PROVISORIA · referencia del subcontratista (OPS: 1 obs/persona); meta y población en definición</v>
      </c>
      <c r="S637" s="193" t="str">
        <f t="shared" si="48"/>
        <v/>
      </c>
      <c r="T637" s="193" t="str">
        <f t="shared" si="49"/>
        <v/>
      </c>
    </row>
    <row r="638" spans="1:20" ht="13.5" customHeight="1" x14ac:dyDescent="0.3">
      <c r="A638" s="245">
        <f>KPIs!$AH$3</f>
        <v>47150</v>
      </c>
      <c r="B638" s="199" t="str">
        <f>KPIs!AH$4</f>
        <v>Compresora</v>
      </c>
      <c r="C638" s="31" t="s">
        <v>71</v>
      </c>
      <c r="D638" s="199" t="str">
        <f>KPIs!$A$14</f>
        <v>7 · Investigaciones de accidentes: días promedio de cierre</v>
      </c>
      <c r="E638" s="31" t="s">
        <v>599</v>
      </c>
      <c r="F638" s="247" t="str">
        <f>IF(ISNUMBER(KPIs!AH14),KPIs!AH14,"")</f>
        <v/>
      </c>
      <c r="G638" s="247">
        <f>IF(ISNUMBER(KPIs!$C$14),KPIs!$C$14,"")</f>
        <v>20</v>
      </c>
      <c r="H638" s="199" t="str">
        <f>IFERROR(INDEX(_TARGETS!$E$2:$E$17,MATCH($C638,_TARGETS!$A$2:$A$17,0))&amp;"","")</f>
        <v>≤</v>
      </c>
      <c r="I638" s="199" t="str">
        <f t="shared" si="45"/>
        <v/>
      </c>
      <c r="J638" s="193" t="str">
        <f t="shared" si="46"/>
        <v>Monthly</v>
      </c>
      <c r="K638" s="248">
        <f>Datos!AH31</f>
        <v>0</v>
      </c>
      <c r="L638" s="248">
        <f>Datos!AH30</f>
        <v>0</v>
      </c>
      <c r="M638" s="193">
        <f>INDEX(_TARGETS!$J$2:$J$17,MATCH($C638,_TARGETS!$A$2:$A$17,0))</f>
        <v>1</v>
      </c>
      <c r="N638" s="193" t="str">
        <f>INDEX(_TARGETS!$D$2:$D$17,MATCH($C638,_TARGETS!$A$2:$A$17,0))</f>
        <v>días</v>
      </c>
      <c r="O638" s="193" t="str">
        <f>IF(NOT(ISNUMBER(F638)),"MISSING",IF((COUNTBLANK(Datos!AH30)+COUNTBLANK(Datos!AH31))&gt;0,"INCOMPLETE","OK"))</f>
        <v>MISSING</v>
      </c>
      <c r="P638" s="193" t="str">
        <f>INDEX(_TARGETS!$K$2:$K$17,MATCH($C638,_TARGETS!$A$2:$A$17,0))</f>
        <v>OPS (carga manual en Datos)</v>
      </c>
      <c r="Q638" s="193" t="str">
        <f t="shared" si="47"/>
        <v>202902|INV|Monthly</v>
      </c>
      <c r="R638" s="193" t="str">
        <f>INDEX(_TARGETS!$H$2:$H$17,MATCH($C638,_TARGETS!$A$2:$A$17,0))</f>
        <v>Definida</v>
      </c>
      <c r="S638" s="193" t="str">
        <f t="shared" si="48"/>
        <v/>
      </c>
      <c r="T638" s="193" t="str">
        <f t="shared" si="49"/>
        <v/>
      </c>
    </row>
    <row r="639" spans="1:20" ht="13.5" customHeight="1" x14ac:dyDescent="0.3">
      <c r="A639" s="245">
        <f>KPIs!$AH$3</f>
        <v>47150</v>
      </c>
      <c r="B639" s="199" t="str">
        <f>KPIs!AH$4</f>
        <v>Compresora</v>
      </c>
      <c r="C639" s="31" t="s">
        <v>76</v>
      </c>
      <c r="D639" s="199" t="str">
        <f>KPIs!$A$16</f>
        <v>8 · % de capacitación en seguridad</v>
      </c>
      <c r="E639" s="31" t="s">
        <v>599</v>
      </c>
      <c r="F639" s="247" t="str">
        <f>IF(ISNUMBER(KPIs!AH16),KPIs!AH16,"")</f>
        <v/>
      </c>
      <c r="G639" s="247">
        <f>IF(ISNUMBER(KPIs!$C$16),KPIs!$C$16,"")</f>
        <v>0.01</v>
      </c>
      <c r="H639" s="199" t="str">
        <f>IFERROR(INDEX(_TARGETS!$E$2:$E$17,MATCH($C639,_TARGETS!$A$2:$A$17,0))&amp;"","")</f>
        <v>≥</v>
      </c>
      <c r="I639" s="199" t="str">
        <f t="shared" si="45"/>
        <v/>
      </c>
      <c r="J639" s="193" t="str">
        <f t="shared" si="46"/>
        <v>Monthly</v>
      </c>
      <c r="K639" s="248">
        <f>Datos!AH18</f>
        <v>0</v>
      </c>
      <c r="L639" s="248">
        <f>Datos!AH14</f>
        <v>0</v>
      </c>
      <c r="M639" s="193">
        <f>INDEX(_TARGETS!$J$2:$J$17,MATCH($C639,_TARGETS!$A$2:$A$17,0))</f>
        <v>1</v>
      </c>
      <c r="N639" s="193" t="str">
        <f>INDEX(_TARGETS!$D$2:$D$17,MATCH($C639,_TARGETS!$A$2:$A$17,0))</f>
        <v>% (fracción)</v>
      </c>
      <c r="O639" s="193" t="str">
        <f>IF(NOT(ISNUMBER(F639)),"MISSING",IF((COUNTBLANK(Datos!AH16)+COUNTBLANK(Datos!AH17)+COUNTBLANK(Datos!AH12)+COUNTBLANK(Datos!AH13))&gt;0,"INCOMPLETE","OK"))</f>
        <v>MISSING</v>
      </c>
      <c r="P639" s="193" t="str">
        <f>INDEX(_TARGETS!$K$2:$K$17,MATCH($C639,_TARGETS!$A$2:$A$17,0))</f>
        <v>OPS (carga manual en Datos)</v>
      </c>
      <c r="Q639" s="193" t="str">
        <f t="shared" si="47"/>
        <v>202902|HCS|Monthly</v>
      </c>
      <c r="R639" s="193" t="str">
        <f>INDEX(_TARGETS!$H$2:$H$17,MATCH($C639,_TARGETS!$A$2:$A$17,0))</f>
        <v>Definida</v>
      </c>
      <c r="S639" s="193" t="str">
        <f t="shared" si="48"/>
        <v/>
      </c>
      <c r="T639" s="193" t="str">
        <f t="shared" si="49"/>
        <v/>
      </c>
    </row>
    <row r="640" spans="1:20" ht="13.5" customHeight="1" x14ac:dyDescent="0.3">
      <c r="A640" s="245">
        <f>KPIs!$AH$3</f>
        <v>47150</v>
      </c>
      <c r="B640" s="199" t="str">
        <f>KPIs!AH$4</f>
        <v>Compresora</v>
      </c>
      <c r="C640" s="31" t="s">
        <v>80</v>
      </c>
      <c r="D640" s="199" t="str">
        <f>KPIs!$A$17</f>
        <v>9 · Horas de capacitación por persona</v>
      </c>
      <c r="E640" s="31" t="s">
        <v>599</v>
      </c>
      <c r="F640" s="247" t="str">
        <f>IF(ISNUMBER(KPIs!AH17),KPIs!AH17,"")</f>
        <v/>
      </c>
      <c r="G640" s="247" t="str">
        <f>IF(ISNUMBER(KPIs!$C$17),KPIs!$C$17,"")</f>
        <v/>
      </c>
      <c r="H640" s="199" t="str">
        <f>IFERROR(INDEX(_TARGETS!$E$2:$E$17,MATCH($C640,_TARGETS!$A$2:$A$17,0))&amp;"","")</f>
        <v/>
      </c>
      <c r="I640" s="199" t="str">
        <f t="shared" si="45"/>
        <v/>
      </c>
      <c r="J640" s="193" t="str">
        <f t="shared" si="46"/>
        <v>Monthly</v>
      </c>
      <c r="K640" s="248">
        <f>Datos!AH18</f>
        <v>0</v>
      </c>
      <c r="L640" s="248">
        <f>Datos!AH11</f>
        <v>0</v>
      </c>
      <c r="M640" s="193">
        <f>INDEX(_TARGETS!$J$2:$J$17,MATCH($C640,_TARGETS!$A$2:$A$17,0))</f>
        <v>1</v>
      </c>
      <c r="N640" s="193" t="str">
        <f>INDEX(_TARGETS!$D$2:$D$17,MATCH($C640,_TARGETS!$A$2:$A$17,0))</f>
        <v>h / persona</v>
      </c>
      <c r="O640" s="193" t="str">
        <f>IF(NOT(ISNUMBER(F640)),"MISSING",IF((COUNTBLANK(Datos!AH16)+COUNTBLANK(Datos!AH17)+COUNTBLANK(Datos!AH9)+COUNTBLANK(Datos!AH10))&gt;0,"INCOMPLETE","OK"))</f>
        <v>MISSING</v>
      </c>
      <c r="P640" s="193" t="str">
        <f>INDEX(_TARGETS!$K$2:$K$17,MATCH($C640,_TARGETS!$A$2:$A$17,0))</f>
        <v>OPS (carga manual en Datos)</v>
      </c>
      <c r="Q640" s="193" t="str">
        <f t="shared" si="47"/>
        <v>202902|HCSA|Monthly</v>
      </c>
      <c r="R640" s="193" t="str">
        <f>INDEX(_TARGETS!$H$2:$H$17,MATCH($C640,_TARGETS!$A$2:$A$17,0))</f>
        <v>Solo reporte</v>
      </c>
      <c r="S640" s="193" t="str">
        <f t="shared" si="48"/>
        <v/>
      </c>
      <c r="T640" s="193" t="str">
        <f t="shared" si="49"/>
        <v/>
      </c>
    </row>
    <row r="641" spans="1:20" ht="13.5" customHeight="1" x14ac:dyDescent="0.3">
      <c r="A641" s="245">
        <f>KPIs!$AH$3</f>
        <v>47150</v>
      </c>
      <c r="B641" s="199" t="str">
        <f>KPIs!AH$4</f>
        <v>Compresora</v>
      </c>
      <c r="C641" s="31" t="s">
        <v>83</v>
      </c>
      <c r="D641" s="199" t="str">
        <f>KPIs!$A$18</f>
        <v>10 · Cumplimiento de simulacros (emergencia y operativos)</v>
      </c>
      <c r="E641" s="31" t="s">
        <v>599</v>
      </c>
      <c r="F641" s="247" t="str">
        <f>IF(ISNUMBER(KPIs!AH18),KPIs!AH18,"")</f>
        <v/>
      </c>
      <c r="G641" s="247">
        <f>IF(ISNUMBER(KPIs!$C$18),KPIs!$C$18,"")</f>
        <v>1</v>
      </c>
      <c r="H641" s="199" t="str">
        <f>IFERROR(INDEX(_TARGETS!$E$2:$E$17,MATCH($C641,_TARGETS!$A$2:$A$17,0))&amp;"","")</f>
        <v>≥</v>
      </c>
      <c r="I641" s="199" t="str">
        <f t="shared" si="45"/>
        <v/>
      </c>
      <c r="J641" s="193" t="str">
        <f t="shared" si="46"/>
        <v>Monthly</v>
      </c>
      <c r="K641" s="248">
        <f>Datos!AH20</f>
        <v>0</v>
      </c>
      <c r="L641" s="248">
        <f>Datos!AH21</f>
        <v>0</v>
      </c>
      <c r="M641" s="193">
        <f>INDEX(_TARGETS!$J$2:$J$17,MATCH($C641,_TARGETS!$A$2:$A$17,0))</f>
        <v>1</v>
      </c>
      <c r="N641" s="193" t="str">
        <f>INDEX(_TARGETS!$D$2:$D$17,MATCH($C641,_TARGETS!$A$2:$A$17,0))</f>
        <v>% (fracción)</v>
      </c>
      <c r="O641" s="193" t="str">
        <f>IF(NOT(ISNUMBER(F641)),"MISSING",IF((COUNTBLANK(Datos!AH20)+COUNTBLANK(Datos!AH21))&gt;0,"INCOMPLETE","OK"))</f>
        <v>MISSING</v>
      </c>
      <c r="P641" s="193" t="str">
        <f>INDEX(_TARGETS!$K$2:$K$17,MATCH($C641,_TARGETS!$A$2:$A$17,0))</f>
        <v>OPS (carga manual en Datos)</v>
      </c>
      <c r="Q641" s="193" t="str">
        <f t="shared" si="47"/>
        <v>202902|CPSE|Monthly</v>
      </c>
      <c r="R641" s="193" t="str">
        <f>INDEX(_TARGETS!$H$2:$H$17,MATCH($C641,_TARGETS!$A$2:$A$17,0))</f>
        <v>Definida</v>
      </c>
      <c r="S641" s="193" t="str">
        <f t="shared" si="48"/>
        <v/>
      </c>
      <c r="T641" s="193" t="str">
        <f t="shared" si="49"/>
        <v/>
      </c>
    </row>
    <row r="642" spans="1:20" ht="13.5" customHeight="1" x14ac:dyDescent="0.3">
      <c r="A642" s="245">
        <f>KPIs!$AH$3</f>
        <v>47150</v>
      </c>
      <c r="B642" s="199" t="str">
        <f>KPIs!AH$4</f>
        <v>Compresora</v>
      </c>
      <c r="C642" s="31" t="s">
        <v>85</v>
      </c>
      <c r="D642" s="199" t="str">
        <f>KPIs!$A$19</f>
        <v>10b · Cumplimiento de acciones de mejora de simulacros</v>
      </c>
      <c r="E642" s="31" t="s">
        <v>599</v>
      </c>
      <c r="F642" s="247" t="str">
        <f>IF(ISNUMBER(KPIs!AH19),KPIs!AH19,"")</f>
        <v/>
      </c>
      <c r="G642" s="247" t="str">
        <f>IF(ISNUMBER(KPIs!$C$19),KPIs!$C$19,"")</f>
        <v/>
      </c>
      <c r="H642" s="199" t="str">
        <f>IFERROR(INDEX(_TARGETS!$E$2:$E$17,MATCH($C642,_TARGETS!$A$2:$A$17,0))&amp;"","")</f>
        <v/>
      </c>
      <c r="I642" s="199" t="str">
        <f t="shared" ref="I642:I705" si="50">IF(OR(H642="",F642="",G642=""),"",IF(IF(H642="≤",F642&lt;=G642,F642&gt;=G642),"Sí","No"))</f>
        <v/>
      </c>
      <c r="J642" s="193" t="str">
        <f t="shared" ref="J642:J705" si="51">IF(E642="Mensual","Monthly",IF(E642="Acumulado","Cumulative",E642))</f>
        <v>Monthly</v>
      </c>
      <c r="K642" s="248">
        <f>Datos!AH23</f>
        <v>0</v>
      </c>
      <c r="L642" s="248">
        <f>Datos!AH22</f>
        <v>0</v>
      </c>
      <c r="M642" s="193">
        <f>INDEX(_TARGETS!$J$2:$J$17,MATCH($C642,_TARGETS!$A$2:$A$17,0))</f>
        <v>1</v>
      </c>
      <c r="N642" s="193" t="str">
        <f>INDEX(_TARGETS!$D$2:$D$17,MATCH($C642,_TARGETS!$A$2:$A$17,0))</f>
        <v>% (fracción)</v>
      </c>
      <c r="O642" s="193" t="str">
        <f>IF(NOT(ISNUMBER(F642)),"MISSING",IF((COUNTBLANK(Datos!AH23)+COUNTBLANK(Datos!AH22))&gt;0,"INCOMPLETE","OK"))</f>
        <v>MISSING</v>
      </c>
      <c r="P642" s="193" t="str">
        <f>INDEX(_TARGETS!$K$2:$K$17,MATCH($C642,_TARGETS!$A$2:$A$17,0))</f>
        <v>OPS (carga manual en Datos)</v>
      </c>
      <c r="Q642" s="193" t="str">
        <f t="shared" ref="Q642:Q705" si="52">YEAR(A642)*100+MONTH(A642)&amp;"|"&amp;C642&amp;"|"&amp;J642</f>
        <v>202902|CAMS|Monthly</v>
      </c>
      <c r="R642" s="193" t="str">
        <f>INDEX(_TARGETS!$H$2:$H$17,MATCH($C642,_TARGETS!$A$2:$A$17,0))</f>
        <v>Solo reporte</v>
      </c>
      <c r="S642" s="193" t="str">
        <f t="shared" ref="S642:S705" si="53">IF(AND(ISNUMBER(K642),ISNUMBER(L642)),IF(L642=0,"",K642*M642/L642),IF(ISNUMBER(K642),K642*M642,""))</f>
        <v/>
      </c>
      <c r="T642" s="193" t="str">
        <f t="shared" ref="T642:T705" si="54">IF(AND(ISNUMBER(F642),ISNUMBER(S642)),ABS(F642-S642),"")</f>
        <v/>
      </c>
    </row>
    <row r="643" spans="1:20" ht="13.5" customHeight="1" x14ac:dyDescent="0.3">
      <c r="A643" s="245">
        <f>KPIs!$AH$3</f>
        <v>47150</v>
      </c>
      <c r="B643" s="199" t="str">
        <f>KPIs!AH$4</f>
        <v>Compresora</v>
      </c>
      <c r="C643" s="31" t="s">
        <v>87</v>
      </c>
      <c r="D643" s="199" t="str">
        <f>KPIs!$A$21</f>
        <v>11 · Cumplimiento de caminatas gerenciales</v>
      </c>
      <c r="E643" s="31" t="s">
        <v>599</v>
      </c>
      <c r="F643" s="247" t="str">
        <f>IF(ISNUMBER(KPIs!AH21),KPIs!AH21,"")</f>
        <v/>
      </c>
      <c r="G643" s="247">
        <f>IF(ISNUMBER(KPIs!$C$21),KPIs!$C$21,"")</f>
        <v>1</v>
      </c>
      <c r="H643" s="199" t="str">
        <f>IFERROR(INDEX(_TARGETS!$E$2:$E$17,MATCH($C643,_TARGETS!$A$2:$A$17,0))&amp;"","")</f>
        <v>≥</v>
      </c>
      <c r="I643" s="199" t="str">
        <f t="shared" si="50"/>
        <v/>
      </c>
      <c r="J643" s="193" t="str">
        <f t="shared" si="51"/>
        <v>Monthly</v>
      </c>
      <c r="K643" s="248">
        <f>Datos!AH24</f>
        <v>0</v>
      </c>
      <c r="L643" s="248">
        <f>Datos!AH25</f>
        <v>0</v>
      </c>
      <c r="M643" s="193">
        <f>INDEX(_TARGETS!$J$2:$J$17,MATCH($C643,_TARGETS!$A$2:$A$17,0))</f>
        <v>1</v>
      </c>
      <c r="N643" s="193" t="str">
        <f>INDEX(_TARGETS!$D$2:$D$17,MATCH($C643,_TARGETS!$A$2:$A$17,0))</f>
        <v>% (fracción)</v>
      </c>
      <c r="O643" s="193" t="str">
        <f>IF(NOT(ISNUMBER(F643)),"MISSING",IF((COUNTBLANK(Datos!AH24)+COUNTBLANK(Datos!AH25))&gt;0,"INCOMPLETE","OK"))</f>
        <v>MISSING</v>
      </c>
      <c r="P643" s="193" t="str">
        <f>INDEX(_TARGETS!$K$2:$K$17,MATCH($C643,_TARGETS!$A$2:$A$17,0))</f>
        <v>OPS (carga manual en Datos)</v>
      </c>
      <c r="Q643" s="193" t="str">
        <f t="shared" si="52"/>
        <v>202902|ICCS|Monthly</v>
      </c>
      <c r="R643" s="193" t="str">
        <f>INDEX(_TARGETS!$H$2:$H$17,MATCH($C643,_TARGETS!$A$2:$A$17,0))</f>
        <v>Definida</v>
      </c>
      <c r="S643" s="193" t="str">
        <f t="shared" si="53"/>
        <v/>
      </c>
      <c r="T643" s="193" t="str">
        <f t="shared" si="54"/>
        <v/>
      </c>
    </row>
    <row r="644" spans="1:20" ht="13.5" customHeight="1" x14ac:dyDescent="0.3">
      <c r="A644" s="245">
        <f>KPIs!$AH$3</f>
        <v>47150</v>
      </c>
      <c r="B644" s="199" t="str">
        <f>KPIs!AH$4</f>
        <v>Compresora</v>
      </c>
      <c r="C644" s="31" t="s">
        <v>89</v>
      </c>
      <c r="D644" s="199" t="str">
        <f>KPIs!$A$22</f>
        <v>12 · Cumplimiento de comités y subcomités de seguridad</v>
      </c>
      <c r="E644" s="31" t="s">
        <v>599</v>
      </c>
      <c r="F644" s="247" t="str">
        <f>IF(ISNUMBER(KPIs!AH22),KPIs!AH22,"")</f>
        <v/>
      </c>
      <c r="G644" s="247">
        <f>IF(ISNUMBER(KPIs!$C$22),KPIs!$C$22,"")</f>
        <v>1</v>
      </c>
      <c r="H644" s="199" t="str">
        <f>IFERROR(INDEX(_TARGETS!$E$2:$E$17,MATCH($C644,_TARGETS!$A$2:$A$17,0))&amp;"","")</f>
        <v>≥</v>
      </c>
      <c r="I644" s="199" t="str">
        <f t="shared" si="50"/>
        <v/>
      </c>
      <c r="J644" s="193" t="str">
        <f t="shared" si="51"/>
        <v>Monthly</v>
      </c>
      <c r="K644" s="248">
        <f>Datos!AH26</f>
        <v>0</v>
      </c>
      <c r="L644" s="248">
        <f>Datos!AH27</f>
        <v>0</v>
      </c>
      <c r="M644" s="193">
        <f>INDEX(_TARGETS!$J$2:$J$17,MATCH($C644,_TARGETS!$A$2:$A$17,0))</f>
        <v>1</v>
      </c>
      <c r="N644" s="193" t="str">
        <f>INDEX(_TARGETS!$D$2:$D$17,MATCH($C644,_TARGETS!$A$2:$A$17,0))</f>
        <v>% (fracción)</v>
      </c>
      <c r="O644" s="193" t="str">
        <f>IF(NOT(ISNUMBER(F644)),"MISSING",IF((COUNTBLANK(Datos!AH26)+COUNTBLANK(Datos!AH27))&gt;0,"INCOMPLETE","OK"))</f>
        <v>MISSING</v>
      </c>
      <c r="P644" s="193" t="str">
        <f>INDEX(_TARGETS!$K$2:$K$17,MATCH($C644,_TARGETS!$A$2:$A$17,0))</f>
        <v>OPS (carga manual en Datos)</v>
      </c>
      <c r="Q644" s="193" t="str">
        <f t="shared" si="52"/>
        <v>202902|CCS|Monthly</v>
      </c>
      <c r="R644" s="193" t="str">
        <f>INDEX(_TARGETS!$H$2:$H$17,MATCH($C644,_TARGETS!$A$2:$A$17,0))</f>
        <v>Definida</v>
      </c>
      <c r="S644" s="193" t="str">
        <f t="shared" si="53"/>
        <v/>
      </c>
      <c r="T644" s="193" t="str">
        <f t="shared" si="54"/>
        <v/>
      </c>
    </row>
    <row r="645" spans="1:20" ht="13.5" customHeight="1" x14ac:dyDescent="0.3">
      <c r="A645" s="245">
        <f>KPIs!$AH$3</f>
        <v>47150</v>
      </c>
      <c r="B645" s="199" t="str">
        <f>KPIs!AH$4</f>
        <v>Compresora</v>
      </c>
      <c r="C645" s="31" t="s">
        <v>91</v>
      </c>
      <c r="D645" s="199" t="str">
        <f>KPIs!$A$23</f>
        <v>13 · Días promedio para cerrar hallazgos</v>
      </c>
      <c r="E645" s="31" t="s">
        <v>599</v>
      </c>
      <c r="F645" s="247" t="str">
        <f>IF(ISNUMBER(KPIs!AH23),KPIs!AH23,"")</f>
        <v/>
      </c>
      <c r="G645" s="247" t="str">
        <f>IF(ISNUMBER(KPIs!$C$23),KPIs!$C$23,"")</f>
        <v/>
      </c>
      <c r="H645" s="199" t="str">
        <f>IFERROR(INDEX(_TARGETS!$E$2:$E$17,MATCH($C645,_TARGETS!$A$2:$A$17,0))&amp;"","")</f>
        <v>≤</v>
      </c>
      <c r="I645" s="199" t="str">
        <f t="shared" si="50"/>
        <v/>
      </c>
      <c r="J645" s="193" t="str">
        <f t="shared" si="51"/>
        <v>Monthly</v>
      </c>
      <c r="K645" s="248">
        <f>Datos!AH68</f>
        <v>0</v>
      </c>
      <c r="L645" s="248">
        <f>Datos!AH67</f>
        <v>0</v>
      </c>
      <c r="M645" s="193">
        <f>INDEX(_TARGETS!$J$2:$J$17,MATCH($C645,_TARGETS!$A$2:$A$17,0))</f>
        <v>1</v>
      </c>
      <c r="N645" s="193" t="str">
        <f>INDEX(_TARGETS!$D$2:$D$17,MATCH($C645,_TARGETS!$A$2:$A$17,0))</f>
        <v>días</v>
      </c>
      <c r="O645" s="193" t="str">
        <f>IF(NOT(ISNUMBER(F645)),"MISSING","OK")</f>
        <v>MISSING</v>
      </c>
      <c r="P645" s="193" t="str">
        <f>INDEX(_TARGETS!$K$2:$K$17,MATCH($C645,_TARGETS!$A$2:$A$17,0))</f>
        <v>Plant Findings (hoja Observaciones-SMP)</v>
      </c>
      <c r="Q645" s="193" t="str">
        <f t="shared" si="52"/>
        <v>202902|DPAS|Monthly</v>
      </c>
      <c r="R645" s="193" t="str">
        <f>INDEX(_TARGETS!$H$2:$H$17,MATCH($C645,_TARGETS!$A$2:$A$17,0))</f>
        <v>Pendiente (meta 2027)</v>
      </c>
      <c r="S645" s="193" t="str">
        <f t="shared" si="53"/>
        <v/>
      </c>
      <c r="T645" s="193" t="str">
        <f t="shared" si="54"/>
        <v/>
      </c>
    </row>
    <row r="646" spans="1:20" ht="13.5" customHeight="1" x14ac:dyDescent="0.3">
      <c r="A646" s="245">
        <f>KPIs!$AH$3</f>
        <v>47150</v>
      </c>
      <c r="B646" s="199" t="str">
        <f>KPIs!AH$4</f>
        <v>Compresora</v>
      </c>
      <c r="C646" s="31" t="s">
        <v>39</v>
      </c>
      <c r="D646" s="199" t="str">
        <f>KPIs!$A$26</f>
        <v>1 · Frecuencia de casos con días perdidos · ACUMULADO</v>
      </c>
      <c r="E646" s="31" t="s">
        <v>600</v>
      </c>
      <c r="F646" s="247" t="str">
        <f>IF(ISNUMBER(KPIs!AH26),KPIs!AH26,"")</f>
        <v/>
      </c>
      <c r="G646" s="247">
        <f>IF(ISNUMBER(KPIs!$C$26),KPIs!$C$26,"")</f>
        <v>0</v>
      </c>
      <c r="H646" s="199" t="str">
        <f>IFERROR(INDEX(_TARGETS!$E$2:$E$17,MATCH($C646,_TARGETS!$A$2:$A$17,0))&amp;"","")</f>
        <v>≤</v>
      </c>
      <c r="I646" s="199" t="str">
        <f t="shared" si="50"/>
        <v/>
      </c>
      <c r="J646" s="193" t="str">
        <f t="shared" si="51"/>
        <v>Cumulative</v>
      </c>
      <c r="K646" s="193">
        <f>SUM(Datos!$D33:AH33)</f>
        <v>0</v>
      </c>
      <c r="L646" s="193">
        <f>SUM(Datos!$D14:AH14)</f>
        <v>48332</v>
      </c>
      <c r="M646" s="193">
        <f>INDEX(_TARGETS!$J$2:$J$17,MATCH($C646,_TARGETS!$A$2:$A$17,0))</f>
        <v>1000000</v>
      </c>
      <c r="N646" s="193" t="str">
        <f>INDEX(_TARGETS!$D$2:$D$17,MATCH($C646,_TARGETS!$A$2:$A$17,0))</f>
        <v>casos / 10^6 HH</v>
      </c>
      <c r="O646" s="193" t="str">
        <f>IF(NOT(ISNUMBER(F646)),IF(SUMPRODUCT(($C$2:$C$1300=C646)*($J$2:$J$1300="Monthly")*($A$2:$A$1300&lt;=A646)*ISNUMBER($K$2:$K$1300)*ISNUMBER($L$2:$L$1300)*($L$2:$L$1300=0)*($K$2:$K$1300&gt;0))&gt;0,"INCOMPLETE","MISSING"),O632)</f>
        <v>MISSING</v>
      </c>
      <c r="P646" s="193" t="str">
        <f>INDEX(_TARGETS!$K$2:$K$17,MATCH($C646,_TARGETS!$A$2:$A$17,0))</f>
        <v>OPS (carga manual en Datos)</v>
      </c>
      <c r="Q646" s="193" t="str">
        <f t="shared" si="52"/>
        <v>202902|DAFWCF|Cumulative</v>
      </c>
      <c r="R646" s="193" t="str">
        <f>INDEX(_TARGETS!$H$2:$H$17,MATCH($C646,_TARGETS!$A$2:$A$17,0))</f>
        <v>Definida</v>
      </c>
      <c r="S646" s="193">
        <f t="shared" si="53"/>
        <v>0</v>
      </c>
      <c r="T646" s="193" t="str">
        <f t="shared" si="54"/>
        <v/>
      </c>
    </row>
    <row r="647" spans="1:20" ht="13.5" customHeight="1" x14ac:dyDescent="0.3">
      <c r="A647" s="245">
        <f>KPIs!$AH$3</f>
        <v>47150</v>
      </c>
      <c r="B647" s="199" t="str">
        <f>KPIs!AH$4</f>
        <v>Compresora</v>
      </c>
      <c r="C647" s="31" t="s">
        <v>49</v>
      </c>
      <c r="D647" s="199" t="str">
        <f>KPIs!$A$27</f>
        <v>2 · Frecuencia de casos registrables · ACUMULADO</v>
      </c>
      <c r="E647" s="31" t="s">
        <v>600</v>
      </c>
      <c r="F647" s="247" t="str">
        <f>IF(ISNUMBER(KPIs!AH27),KPIs!AH27,"")</f>
        <v/>
      </c>
      <c r="G647" s="247">
        <f>IF(ISNUMBER(KPIs!$C$27),KPIs!$C$27,"")</f>
        <v>2.35</v>
      </c>
      <c r="H647" s="199" t="str">
        <f>IFERROR(INDEX(_TARGETS!$E$2:$E$17,MATCH($C647,_TARGETS!$A$2:$A$17,0))&amp;"","")</f>
        <v>≤</v>
      </c>
      <c r="I647" s="199" t="str">
        <f t="shared" si="50"/>
        <v/>
      </c>
      <c r="J647" s="193" t="str">
        <f t="shared" si="51"/>
        <v>Cumulative</v>
      </c>
      <c r="K647" s="193">
        <f>SUM(Datos!$D33:AH33)+SUM(Datos!$D34:AH34)+SUM(Datos!$D35:AH35)+SUM(Datos!$D36:AH36)</f>
        <v>0</v>
      </c>
      <c r="L647" s="193">
        <f>SUM(Datos!$D14:AH14)</f>
        <v>48332</v>
      </c>
      <c r="M647" s="193">
        <f>INDEX(_TARGETS!$J$2:$J$17,MATCH($C647,_TARGETS!$A$2:$A$17,0))</f>
        <v>1000000</v>
      </c>
      <c r="N647" s="193" t="str">
        <f>INDEX(_TARGETS!$D$2:$D$17,MATCH($C647,_TARGETS!$A$2:$A$17,0))</f>
        <v>casos / 10^6 HH</v>
      </c>
      <c r="O647" s="193" t="str">
        <f>IF(NOT(ISNUMBER(F647)),IF(SUMPRODUCT(($C$2:$C$1300=C647)*($J$2:$J$1300="Monthly")*($A$2:$A$1300&lt;=A647)*ISNUMBER($K$2:$K$1300)*ISNUMBER($L$2:$L$1300)*($L$2:$L$1300=0)*($K$2:$K$1300&gt;0))&gt;0,"INCOMPLETE","MISSING"),O633)</f>
        <v>MISSING</v>
      </c>
      <c r="P647" s="193" t="str">
        <f>INDEX(_TARGETS!$K$2:$K$17,MATCH($C647,_TARGETS!$A$2:$A$17,0))</f>
        <v>OPS (carga manual en Datos)</v>
      </c>
      <c r="Q647" s="193" t="str">
        <f t="shared" si="52"/>
        <v>202902|TRICF|Cumulative</v>
      </c>
      <c r="R647" s="193" t="str">
        <f>INDEX(_TARGETS!$H$2:$H$17,MATCH($C647,_TARGETS!$A$2:$A$17,0))</f>
        <v>Definida</v>
      </c>
      <c r="S647" s="193">
        <f t="shared" si="53"/>
        <v>0</v>
      </c>
      <c r="T647" s="193" t="str">
        <f t="shared" si="54"/>
        <v/>
      </c>
    </row>
    <row r="648" spans="1:20" ht="13.5" customHeight="1" x14ac:dyDescent="0.3">
      <c r="A648" s="245">
        <f>KPIs!$AH$3</f>
        <v>47150</v>
      </c>
      <c r="B648" s="199" t="str">
        <f>KPIs!AH$4</f>
        <v>Compresora</v>
      </c>
      <c r="C648" s="31" t="s">
        <v>51</v>
      </c>
      <c r="D648" s="199" t="str">
        <f>KPIs!$A$28</f>
        <v>3 · Casos de primeros auxilios · ACUMULADO</v>
      </c>
      <c r="E648" s="31" t="s">
        <v>600</v>
      </c>
      <c r="F648" s="247" t="str">
        <f>IF(ISNUMBER(KPIs!AH28),KPIs!AH28,"")</f>
        <v/>
      </c>
      <c r="G648" s="247" t="str">
        <f>IF(ISNUMBER(KPIs!$C$28),KPIs!$C$28,"")</f>
        <v/>
      </c>
      <c r="H648" s="199" t="str">
        <f>IFERROR(INDEX(_TARGETS!$E$2:$E$17,MATCH($C648,_TARGETS!$A$2:$A$17,0))&amp;"","")</f>
        <v/>
      </c>
      <c r="I648" s="199" t="str">
        <f t="shared" si="50"/>
        <v/>
      </c>
      <c r="J648" s="193" t="str">
        <f t="shared" si="51"/>
        <v>Cumulative</v>
      </c>
      <c r="K648" s="193">
        <f>SUM(Datos!$D37:AH37)</f>
        <v>0</v>
      </c>
      <c r="M648" s="193">
        <f>INDEX(_TARGETS!$J$2:$J$17,MATCH($C648,_TARGETS!$A$2:$A$17,0))</f>
        <v>1</v>
      </c>
      <c r="N648" s="193" t="str">
        <f>INDEX(_TARGETS!$D$2:$D$17,MATCH($C648,_TARGETS!$A$2:$A$17,0))</f>
        <v>casos</v>
      </c>
      <c r="O648" s="193" t="str">
        <f>IF(NOT(ISNUMBER(F648)),IF(SUMPRODUCT(($C$2:$C$1300=C648)*($J$2:$J$1300="Monthly")*($A$2:$A$1300&lt;=A648)*ISNUMBER($K$2:$K$1300)*ISNUMBER($L$2:$L$1300)*($L$2:$L$1300=0)*($K$2:$K$1300&gt;0))&gt;0,"INCOMPLETE","MISSING"),O634)</f>
        <v>MISSING</v>
      </c>
      <c r="P648" s="193" t="str">
        <f>INDEX(_TARGETS!$K$2:$K$17,MATCH($C648,_TARGETS!$A$2:$A$17,0))</f>
        <v>OPS (carga manual en Datos)</v>
      </c>
      <c r="Q648" s="193" t="str">
        <f t="shared" si="52"/>
        <v>202902|FAC|Cumulative</v>
      </c>
      <c r="R648" s="193" t="str">
        <f>INDEX(_TARGETS!$H$2:$H$17,MATCH($C648,_TARGETS!$A$2:$A$17,0))</f>
        <v>Solo reporte</v>
      </c>
      <c r="S648" s="193">
        <f t="shared" si="53"/>
        <v>0</v>
      </c>
      <c r="T648" s="193" t="str">
        <f t="shared" si="54"/>
        <v/>
      </c>
    </row>
    <row r="649" spans="1:20" ht="13.5" customHeight="1" x14ac:dyDescent="0.3">
      <c r="A649" s="245">
        <f>KPIs!$AH$3</f>
        <v>47150</v>
      </c>
      <c r="B649" s="199" t="str">
        <f>KPIs!AH$4</f>
        <v>Compresora</v>
      </c>
      <c r="C649" s="31" t="s">
        <v>57</v>
      </c>
      <c r="D649" s="199" t="str">
        <f>KPIs!$A$29</f>
        <v>4 · Accidentes vehiculares severos · ACUMULADO</v>
      </c>
      <c r="E649" s="31" t="s">
        <v>600</v>
      </c>
      <c r="F649" s="247" t="str">
        <f>IF(ISNUMBER(KPIs!AH29),KPIs!AH29,"")</f>
        <v/>
      </c>
      <c r="G649" s="247" t="str">
        <f>IF(ISNUMBER(KPIs!$C$29),KPIs!$C$29,"")</f>
        <v/>
      </c>
      <c r="H649" s="199" t="str">
        <f>IFERROR(INDEX(_TARGETS!$E$2:$E$17,MATCH($C649,_TARGETS!$A$2:$A$17,0))&amp;"","")</f>
        <v/>
      </c>
      <c r="I649" s="199" t="str">
        <f t="shared" si="50"/>
        <v/>
      </c>
      <c r="J649" s="193" t="str">
        <f t="shared" si="51"/>
        <v>Cumulative</v>
      </c>
      <c r="K649" s="193">
        <f>SUM(Datos!$D39:AH39)+SUM(Datos!$D40:AH40)+SUM(Datos!$D41:AH41)</f>
        <v>0</v>
      </c>
      <c r="L649" s="193">
        <f>SUM(Datos!$D47:AH47)</f>
        <v>172824</v>
      </c>
      <c r="M649" s="193">
        <f>INDEX(_TARGETS!$J$2:$J$17,MATCH($C649,_TARGETS!$A$2:$A$17,0))</f>
        <v>1000000</v>
      </c>
      <c r="N649" s="193" t="str">
        <f>INDEX(_TARGETS!$D$2:$D$17,MATCH($C649,_TARGETS!$A$2:$A$17,0))</f>
        <v>eventos / 10^6 km</v>
      </c>
      <c r="O649" s="193" t="str">
        <f>IF(NOT(ISNUMBER(F649)),IF(SUMPRODUCT(($C$2:$C$1300=C649)*($J$2:$J$1300="Monthly")*($A$2:$A$1300&lt;=A649)*ISNUMBER($K$2:$K$1300)*ISNUMBER($L$2:$L$1300)*($L$2:$L$1300=0)*($K$2:$K$1300&gt;0))&gt;0,"INCOMPLETE","MISSING"),O635)</f>
        <v>MISSING</v>
      </c>
      <c r="P649" s="193" t="str">
        <f>INDEX(_TARGETS!$K$2:$K$17,MATCH($C649,_TARGETS!$A$2:$A$17,0))</f>
        <v>OPS (eventos) + Full Control GPS (km) - carga manual en Datos</v>
      </c>
      <c r="Q649" s="193" t="str">
        <f t="shared" si="52"/>
        <v>202902|SVCR|Cumulative</v>
      </c>
      <c r="R649" s="193" t="str">
        <f>INDEX(_TARGETS!$H$2:$H$17,MATCH($C649,_TARGETS!$A$2:$A$17,0))</f>
        <v>Solo reporte</v>
      </c>
      <c r="S649" s="193">
        <f t="shared" si="53"/>
        <v>0</v>
      </c>
      <c r="T649" s="193" t="str">
        <f t="shared" si="54"/>
        <v/>
      </c>
    </row>
    <row r="650" spans="1:20" ht="13.5" customHeight="1" x14ac:dyDescent="0.3">
      <c r="A650" s="245">
        <f>KPIs!$AH$3</f>
        <v>47150</v>
      </c>
      <c r="B650" s="199" t="str">
        <f>KPIs!AH$4</f>
        <v>Compresora</v>
      </c>
      <c r="C650" s="31" t="s">
        <v>61</v>
      </c>
      <c r="D650" s="199" t="str">
        <f>KPIs!$A$30</f>
        <v>5 · Accidentes vehiculares totales · ACUMULADO</v>
      </c>
      <c r="E650" s="31" t="s">
        <v>600</v>
      </c>
      <c r="F650" s="247" t="str">
        <f>IF(ISNUMBER(KPIs!AH30),KPIs!AH30,"")</f>
        <v/>
      </c>
      <c r="G650" s="247">
        <f>IF(ISNUMBER(KPIs!$C$30),KPIs!$C$30,"")</f>
        <v>0.79</v>
      </c>
      <c r="H650" s="199" t="str">
        <f>IFERROR(INDEX(_TARGETS!$E$2:$E$17,MATCH($C650,_TARGETS!$A$2:$A$17,0))&amp;"","")</f>
        <v>≤</v>
      </c>
      <c r="I650" s="199" t="str">
        <f t="shared" si="50"/>
        <v/>
      </c>
      <c r="J650" s="193" t="str">
        <f t="shared" si="51"/>
        <v>Cumulative</v>
      </c>
      <c r="K650" s="193">
        <f>SUM(Datos!$D39:AH39)+SUM(Datos!$D40:AH40)+SUM(Datos!$D41:AH41)+SUM(Datos!$D42:AH42)</f>
        <v>0</v>
      </c>
      <c r="L650" s="193">
        <f>SUM(Datos!$D47:AH47)</f>
        <v>172824</v>
      </c>
      <c r="M650" s="193">
        <f>INDEX(_TARGETS!$J$2:$J$17,MATCH($C650,_TARGETS!$A$2:$A$17,0))</f>
        <v>1000000</v>
      </c>
      <c r="N650" s="193" t="str">
        <f>INDEX(_TARGETS!$D$2:$D$17,MATCH($C650,_TARGETS!$A$2:$A$17,0))</f>
        <v>eventos / 10^6 km</v>
      </c>
      <c r="O650" s="193" t="str">
        <f>IF(NOT(ISNUMBER(F650)),IF(SUMPRODUCT(($C$2:$C$1300=C650)*($J$2:$J$1300="Monthly")*($A$2:$A$1300&lt;=A650)*ISNUMBER($K$2:$K$1300)*ISNUMBER($L$2:$L$1300)*($L$2:$L$1300=0)*($K$2:$K$1300&gt;0))&gt;0,"INCOMPLETE","MISSING"),O636)</f>
        <v>MISSING</v>
      </c>
      <c r="P650" s="193" t="str">
        <f>INDEX(_TARGETS!$K$2:$K$17,MATCH($C650,_TARGETS!$A$2:$A$17,0))</f>
        <v>OPS (eventos) + Full Control GPS (km) - carga manual en Datos</v>
      </c>
      <c r="Q650" s="193" t="str">
        <f t="shared" si="52"/>
        <v>202902|TVCR|Cumulative</v>
      </c>
      <c r="R650" s="193" t="str">
        <f>INDEX(_TARGETS!$H$2:$H$17,MATCH($C650,_TARGETS!$A$2:$A$17,0))</f>
        <v>Definida</v>
      </c>
      <c r="S650" s="193">
        <f t="shared" si="53"/>
        <v>0</v>
      </c>
      <c r="T650" s="193" t="str">
        <f t="shared" si="54"/>
        <v/>
      </c>
    </row>
    <row r="651" spans="1:20" ht="13.5" customHeight="1" x14ac:dyDescent="0.3">
      <c r="A651" s="245">
        <f>KPIs!$AH$3</f>
        <v>47150</v>
      </c>
      <c r="B651" s="199" t="str">
        <f>KPIs!AH$4</f>
        <v>Compresora</v>
      </c>
      <c r="C651" s="31" t="s">
        <v>96</v>
      </c>
      <c r="D651" s="199" t="str">
        <f>KPIs!$A$33</f>
        <v>C1 · % de desvíos detectados de gravedad Alta</v>
      </c>
      <c r="E651" s="31" t="s">
        <v>599</v>
      </c>
      <c r="F651" s="247" t="str">
        <f>IF(ISNUMBER(KPIs!AH33),KPIs!AH33,"")</f>
        <v/>
      </c>
      <c r="G651" s="247" t="str">
        <f>IF(ISNUMBER(KPIs!$C$33),KPIs!$C$33,"")</f>
        <v/>
      </c>
      <c r="H651" s="199" t="str">
        <f>IFERROR(INDEX(_TARGETS!$E$2:$E$17,MATCH($C651,_TARGETS!$A$2:$A$17,0))&amp;"","")</f>
        <v/>
      </c>
      <c r="I651" s="199" t="str">
        <f t="shared" si="50"/>
        <v/>
      </c>
      <c r="J651" s="193" t="str">
        <f t="shared" si="51"/>
        <v>Monthly</v>
      </c>
      <c r="K651" s="248">
        <f>Datos!AH71</f>
        <v>0</v>
      </c>
      <c r="L651" s="193">
        <f>Datos!AH71+Datos!AH72+Datos!AH73</f>
        <v>0</v>
      </c>
      <c r="M651" s="193">
        <f>INDEX(_TARGETS!$J$2:$J$17,MATCH($C651,_TARGETS!$A$2:$A$17,0))</f>
        <v>1</v>
      </c>
      <c r="N651" s="193" t="str">
        <f>INDEX(_TARGETS!$D$2:$D$17,MATCH($C651,_TARGETS!$A$2:$A$17,0))</f>
        <v>% (fracción)</v>
      </c>
      <c r="O651" s="193" t="str">
        <f>IF(NOT(ISNUMBER(F651)),"MISSING","OK")</f>
        <v>MISSING</v>
      </c>
      <c r="P651" s="193" t="str">
        <f>INDEX(_TARGETS!$K$2:$K$17,MATCH($C651,_TARGETS!$A$2:$A$17,0))</f>
        <v>Plant Findings (hoja Observaciones-SMP)</v>
      </c>
      <c r="Q651" s="193" t="str">
        <f t="shared" si="52"/>
        <v>202902|HAL_ALTA_PCT|Monthly</v>
      </c>
      <c r="R651" s="193" t="str">
        <f>INDEX(_TARGETS!$H$2:$H$17,MATCH($C651,_TARGETS!$A$2:$A$17,0))</f>
        <v>Solo reporte</v>
      </c>
      <c r="S651" s="193" t="str">
        <f t="shared" si="53"/>
        <v/>
      </c>
      <c r="T651" s="193" t="str">
        <f t="shared" si="54"/>
        <v/>
      </c>
    </row>
    <row r="652" spans="1:20" ht="13.5" customHeight="1" x14ac:dyDescent="0.3">
      <c r="A652" s="245">
        <f>KPIs!$AH$3</f>
        <v>47150</v>
      </c>
      <c r="B652" s="199" t="str">
        <f>KPIs!AH$4</f>
        <v>Compresora</v>
      </c>
      <c r="C652" s="31" t="s">
        <v>98</v>
      </c>
      <c r="D652" s="199" t="str">
        <f>KPIs!$A$34</f>
        <v>C2 · Detenciones de tareas aplicadas</v>
      </c>
      <c r="E652" s="31" t="s">
        <v>599</v>
      </c>
      <c r="F652" s="247" t="str">
        <f>IF(ISNUMBER(KPIs!AH34),KPIs!AH34,"")</f>
        <v/>
      </c>
      <c r="G652" s="247" t="str">
        <f>IF(ISNUMBER(KPIs!$C$34),KPIs!$C$34,"")</f>
        <v/>
      </c>
      <c r="H652" s="199" t="str">
        <f>IFERROR(INDEX(_TARGETS!$E$2:$E$17,MATCH($C652,_TARGETS!$A$2:$A$17,0))&amp;"","")</f>
        <v/>
      </c>
      <c r="I652" s="199" t="str">
        <f t="shared" si="50"/>
        <v/>
      </c>
      <c r="J652" s="193" t="str">
        <f t="shared" si="51"/>
        <v>Monthly</v>
      </c>
      <c r="K652" s="248">
        <f>Datos!AH75</f>
        <v>0</v>
      </c>
      <c r="M652" s="193">
        <f>INDEX(_TARGETS!$J$2:$J$17,MATCH($C652,_TARGETS!$A$2:$A$17,0))</f>
        <v>1</v>
      </c>
      <c r="N652" s="193" t="str">
        <f>INDEX(_TARGETS!$D$2:$D$17,MATCH($C652,_TARGETS!$A$2:$A$17,0))</f>
        <v>u</v>
      </c>
      <c r="O652" s="193" t="str">
        <f>IF(NOT(ISNUMBER(F652)),"MISSING","OK")</f>
        <v>MISSING</v>
      </c>
      <c r="P652" s="193" t="str">
        <f>INDEX(_TARGETS!$K$2:$K$17,MATCH($C652,_TARGETS!$A$2:$A$17,0))</f>
        <v>Plant Findings (hoja Observaciones-SMP)</v>
      </c>
      <c r="Q652" s="193" t="str">
        <f t="shared" si="52"/>
        <v>202902|DET|Monthly</v>
      </c>
      <c r="R652" s="193" t="str">
        <f>INDEX(_TARGETS!$H$2:$H$17,MATCH($C652,_TARGETS!$A$2:$A$17,0))</f>
        <v>Solo reporte</v>
      </c>
      <c r="S652" s="193" t="str">
        <f t="shared" si="53"/>
        <v/>
      </c>
      <c r="T652" s="193" t="str">
        <f t="shared" si="54"/>
        <v/>
      </c>
    </row>
    <row r="653" spans="1:20" ht="13.5" customHeight="1" x14ac:dyDescent="0.3">
      <c r="A653" s="245">
        <f>KPIs!$AI$3</f>
        <v>47178</v>
      </c>
      <c r="B653" s="199" t="str">
        <f>KPIs!AI$4</f>
        <v>Compresora</v>
      </c>
      <c r="C653" s="31" t="s">
        <v>39</v>
      </c>
      <c r="D653" s="199" t="str">
        <f>KPIs!$A$6</f>
        <v>1 · Frecuencia de casos con días perdidos</v>
      </c>
      <c r="E653" s="31" t="s">
        <v>599</v>
      </c>
      <c r="F653" s="247" t="str">
        <f>IF(ISNUMBER(KPIs!AI6),KPIs!AI6,"")</f>
        <v/>
      </c>
      <c r="G653" s="247">
        <f>IF(ISNUMBER(KPIs!$C$6),KPIs!$C$6,"")</f>
        <v>0</v>
      </c>
      <c r="H653" s="199" t="str">
        <f>IFERROR(INDEX(_TARGETS!$E$2:$E$17,MATCH($C653,_TARGETS!$A$2:$A$17,0))&amp;"","")</f>
        <v>≤</v>
      </c>
      <c r="I653" s="199" t="str">
        <f t="shared" si="50"/>
        <v/>
      </c>
      <c r="J653" s="193" t="str">
        <f t="shared" si="51"/>
        <v>Monthly</v>
      </c>
      <c r="K653" s="248">
        <f>Datos!AI33</f>
        <v>0</v>
      </c>
      <c r="L653" s="248">
        <f>Datos!AI14</f>
        <v>0</v>
      </c>
      <c r="M653" s="193">
        <f>INDEX(_TARGETS!$J$2:$J$17,MATCH($C653,_TARGETS!$A$2:$A$17,0))</f>
        <v>1000000</v>
      </c>
      <c r="N653" s="193" t="str">
        <f>INDEX(_TARGETS!$D$2:$D$17,MATCH($C653,_TARGETS!$A$2:$A$17,0))</f>
        <v>casos / 10^6 HH</v>
      </c>
      <c r="O653" s="193" t="str">
        <f>IF(NOT(ISNUMBER(F653)),"MISSING",IF((COUNTBLANK(Datos!AI12)+COUNTBLANK(Datos!AI13)+COUNTBLANK(Datos!AI33))&gt;0,"INCOMPLETE","OK"))</f>
        <v>MISSING</v>
      </c>
      <c r="P653" s="193" t="str">
        <f>INDEX(_TARGETS!$K$2:$K$17,MATCH($C653,_TARGETS!$A$2:$A$17,0))</f>
        <v>OPS (carga manual en Datos)</v>
      </c>
      <c r="Q653" s="193" t="str">
        <f t="shared" si="52"/>
        <v>202903|DAFWCF|Monthly</v>
      </c>
      <c r="R653" s="193" t="str">
        <f>INDEX(_TARGETS!$H$2:$H$17,MATCH($C653,_TARGETS!$A$2:$A$17,0))</f>
        <v>Definida</v>
      </c>
      <c r="S653" s="193" t="str">
        <f t="shared" si="53"/>
        <v/>
      </c>
      <c r="T653" s="193" t="str">
        <f t="shared" si="54"/>
        <v/>
      </c>
    </row>
    <row r="654" spans="1:20" ht="13.5" customHeight="1" x14ac:dyDescent="0.3">
      <c r="A654" s="245">
        <f>KPIs!$AI$3</f>
        <v>47178</v>
      </c>
      <c r="B654" s="199" t="str">
        <f>KPIs!AI$4</f>
        <v>Compresora</v>
      </c>
      <c r="C654" s="31" t="s">
        <v>49</v>
      </c>
      <c r="D654" s="199" t="str">
        <f>KPIs!$A$7</f>
        <v>2 · Frecuencia de casos registrables</v>
      </c>
      <c r="E654" s="31" t="s">
        <v>599</v>
      </c>
      <c r="F654" s="247" t="str">
        <f>IF(ISNUMBER(KPIs!AI7),KPIs!AI7,"")</f>
        <v/>
      </c>
      <c r="G654" s="247">
        <f>IF(ISNUMBER(KPIs!$C$7),KPIs!$C$7,"")</f>
        <v>2.35</v>
      </c>
      <c r="H654" s="199" t="str">
        <f>IFERROR(INDEX(_TARGETS!$E$2:$E$17,MATCH($C654,_TARGETS!$A$2:$A$17,0))&amp;"","")</f>
        <v>≤</v>
      </c>
      <c r="I654" s="199" t="str">
        <f t="shared" si="50"/>
        <v/>
      </c>
      <c r="J654" s="193" t="str">
        <f t="shared" si="51"/>
        <v>Monthly</v>
      </c>
      <c r="K654" s="193">
        <f>Datos!AI33+Datos!AI34+Datos!AI35+Datos!AI36</f>
        <v>0</v>
      </c>
      <c r="L654" s="248">
        <f>Datos!AI14</f>
        <v>0</v>
      </c>
      <c r="M654" s="193">
        <f>INDEX(_TARGETS!$J$2:$J$17,MATCH($C654,_TARGETS!$A$2:$A$17,0))</f>
        <v>1000000</v>
      </c>
      <c r="N654" s="193" t="str">
        <f>INDEX(_TARGETS!$D$2:$D$17,MATCH($C654,_TARGETS!$A$2:$A$17,0))</f>
        <v>casos / 10^6 HH</v>
      </c>
      <c r="O654" s="193" t="str">
        <f>IF(NOT(ISNUMBER(F654)),"MISSING",IF((COUNTBLANK(Datos!AI12)+COUNTBLANK(Datos!AI13)+COUNTBLANK(Datos!AI33)+COUNTBLANK(Datos!AI34)+COUNTBLANK(Datos!AI35)+COUNTBLANK(Datos!AI36))&gt;0,"INCOMPLETE","OK"))</f>
        <v>MISSING</v>
      </c>
      <c r="P654" s="193" t="str">
        <f>INDEX(_TARGETS!$K$2:$K$17,MATCH($C654,_TARGETS!$A$2:$A$17,0))</f>
        <v>OPS (carga manual en Datos)</v>
      </c>
      <c r="Q654" s="193" t="str">
        <f t="shared" si="52"/>
        <v>202903|TRICF|Monthly</v>
      </c>
      <c r="R654" s="193" t="str">
        <f>INDEX(_TARGETS!$H$2:$H$17,MATCH($C654,_TARGETS!$A$2:$A$17,0))</f>
        <v>Definida</v>
      </c>
      <c r="S654" s="193" t="str">
        <f t="shared" si="53"/>
        <v/>
      </c>
      <c r="T654" s="193" t="str">
        <f t="shared" si="54"/>
        <v/>
      </c>
    </row>
    <row r="655" spans="1:20" ht="13.5" customHeight="1" x14ac:dyDescent="0.3">
      <c r="A655" s="245">
        <f>KPIs!$AI$3</f>
        <v>47178</v>
      </c>
      <c r="B655" s="199" t="str">
        <f>KPIs!AI$4</f>
        <v>Compresora</v>
      </c>
      <c r="C655" s="31" t="s">
        <v>51</v>
      </c>
      <c r="D655" s="199" t="str">
        <f>KPIs!$A$8</f>
        <v>3 · Casos de primeros auxilios</v>
      </c>
      <c r="E655" s="31" t="s">
        <v>599</v>
      </c>
      <c r="F655" s="247" t="str">
        <f>IF(ISNUMBER(KPIs!AI8),KPIs!AI8,"")</f>
        <v/>
      </c>
      <c r="G655" s="247" t="str">
        <f>IF(ISNUMBER(KPIs!$C$8),KPIs!$C$8,"")</f>
        <v/>
      </c>
      <c r="H655" s="199" t="str">
        <f>IFERROR(INDEX(_TARGETS!$E$2:$E$17,MATCH($C655,_TARGETS!$A$2:$A$17,0))&amp;"","")</f>
        <v/>
      </c>
      <c r="I655" s="199" t="str">
        <f t="shared" si="50"/>
        <v/>
      </c>
      <c r="J655" s="193" t="str">
        <f t="shared" si="51"/>
        <v>Monthly</v>
      </c>
      <c r="K655" s="248">
        <f>Datos!AI37</f>
        <v>0</v>
      </c>
      <c r="M655" s="193">
        <f>INDEX(_TARGETS!$J$2:$J$17,MATCH($C655,_TARGETS!$A$2:$A$17,0))</f>
        <v>1</v>
      </c>
      <c r="N655" s="193" t="str">
        <f>INDEX(_TARGETS!$D$2:$D$17,MATCH($C655,_TARGETS!$A$2:$A$17,0))</f>
        <v>casos</v>
      </c>
      <c r="O655" s="193" t="str">
        <f>IF(NOT(ISNUMBER(F655)),"MISSING",IF((COUNTBLANK(Datos!AI12)+COUNTBLANK(Datos!AI13)+COUNTBLANK(Datos!AI37))&gt;0,"INCOMPLETE","OK"))</f>
        <v>MISSING</v>
      </c>
      <c r="P655" s="193" t="str">
        <f>INDEX(_TARGETS!$K$2:$K$17,MATCH($C655,_TARGETS!$A$2:$A$17,0))</f>
        <v>OPS (carga manual en Datos)</v>
      </c>
      <c r="Q655" s="193" t="str">
        <f t="shared" si="52"/>
        <v>202903|FAC|Monthly</v>
      </c>
      <c r="R655" s="193" t="str">
        <f>INDEX(_TARGETS!$H$2:$H$17,MATCH($C655,_TARGETS!$A$2:$A$17,0))</f>
        <v>Solo reporte</v>
      </c>
      <c r="S655" s="193" t="str">
        <f t="shared" si="53"/>
        <v/>
      </c>
      <c r="T655" s="193" t="str">
        <f t="shared" si="54"/>
        <v/>
      </c>
    </row>
    <row r="656" spans="1:20" ht="13.5" customHeight="1" x14ac:dyDescent="0.3">
      <c r="A656" s="245">
        <f>KPIs!$AI$3</f>
        <v>47178</v>
      </c>
      <c r="B656" s="199" t="str">
        <f>KPIs!AI$4</f>
        <v>Compresora</v>
      </c>
      <c r="C656" s="31" t="s">
        <v>57</v>
      </c>
      <c r="D656" s="199" t="str">
        <f>KPIs!$A$10</f>
        <v>4 · Accidentes vehiculares severos por millón de km</v>
      </c>
      <c r="E656" s="31" t="s">
        <v>599</v>
      </c>
      <c r="F656" s="247" t="str">
        <f>IF(ISNUMBER(KPIs!AI10),KPIs!AI10,"")</f>
        <v/>
      </c>
      <c r="G656" s="247" t="str">
        <f>IF(ISNUMBER(KPIs!$C$10),KPIs!$C$10,"")</f>
        <v/>
      </c>
      <c r="H656" s="199" t="str">
        <f>IFERROR(INDEX(_TARGETS!$E$2:$E$17,MATCH($C656,_TARGETS!$A$2:$A$17,0))&amp;"","")</f>
        <v/>
      </c>
      <c r="I656" s="199" t="str">
        <f t="shared" si="50"/>
        <v/>
      </c>
      <c r="J656" s="193" t="str">
        <f t="shared" si="51"/>
        <v>Monthly</v>
      </c>
      <c r="K656" s="193">
        <f>Datos!AI39+Datos!AI40+Datos!AI41</f>
        <v>0</v>
      </c>
      <c r="L656" s="248">
        <f>Datos!AI47</f>
        <v>0</v>
      </c>
      <c r="M656" s="193">
        <f>INDEX(_TARGETS!$J$2:$J$17,MATCH($C656,_TARGETS!$A$2:$A$17,0))</f>
        <v>1000000</v>
      </c>
      <c r="N656" s="193" t="str">
        <f>INDEX(_TARGETS!$D$2:$D$17,MATCH($C656,_TARGETS!$A$2:$A$17,0))</f>
        <v>eventos / 10^6 km</v>
      </c>
      <c r="O656" s="193" t="str">
        <f>IF(NOT(ISNUMBER(F656)),"MISSING",IF((COUNTBLANK(Datos!AI44)+COUNTBLANK(Datos!AI45)+COUNTBLANK(Datos!AI46)+COUNTBLANK(Datos!AI39)+COUNTBLANK(Datos!AI40)+COUNTBLANK(Datos!AI41))&gt;0,"INCOMPLETE","OK"))</f>
        <v>MISSING</v>
      </c>
      <c r="P656" s="193" t="str">
        <f>INDEX(_TARGETS!$K$2:$K$17,MATCH($C656,_TARGETS!$A$2:$A$17,0))</f>
        <v>OPS (eventos) + Full Control GPS (km) - carga manual en Datos</v>
      </c>
      <c r="Q656" s="193" t="str">
        <f t="shared" si="52"/>
        <v>202903|SVCR|Monthly</v>
      </c>
      <c r="R656" s="193" t="str">
        <f>INDEX(_TARGETS!$H$2:$H$17,MATCH($C656,_TARGETS!$A$2:$A$17,0))</f>
        <v>Solo reporte</v>
      </c>
      <c r="S656" s="193" t="str">
        <f t="shared" si="53"/>
        <v/>
      </c>
      <c r="T656" s="193" t="str">
        <f t="shared" si="54"/>
        <v/>
      </c>
    </row>
    <row r="657" spans="1:20" ht="13.5" customHeight="1" x14ac:dyDescent="0.3">
      <c r="A657" s="245">
        <f>KPIs!$AI$3</f>
        <v>47178</v>
      </c>
      <c r="B657" s="199" t="str">
        <f>KPIs!AI$4</f>
        <v>Compresora</v>
      </c>
      <c r="C657" s="31" t="s">
        <v>61</v>
      </c>
      <c r="D657" s="199" t="str">
        <f>KPIs!$A$11</f>
        <v>5 · Accidentes vehiculares totales por millón de km</v>
      </c>
      <c r="E657" s="31" t="s">
        <v>599</v>
      </c>
      <c r="F657" s="247" t="str">
        <f>IF(ISNUMBER(KPIs!AI11),KPIs!AI11,"")</f>
        <v/>
      </c>
      <c r="G657" s="247">
        <f>IF(ISNUMBER(KPIs!$C$11),KPIs!$C$11,"")</f>
        <v>0.79</v>
      </c>
      <c r="H657" s="199" t="str">
        <f>IFERROR(INDEX(_TARGETS!$E$2:$E$17,MATCH($C657,_TARGETS!$A$2:$A$17,0))&amp;"","")</f>
        <v>≤</v>
      </c>
      <c r="I657" s="199" t="str">
        <f t="shared" si="50"/>
        <v/>
      </c>
      <c r="J657" s="193" t="str">
        <f t="shared" si="51"/>
        <v>Monthly</v>
      </c>
      <c r="K657" s="193">
        <f>Datos!AI39+Datos!AI40+Datos!AI41+Datos!AI42</f>
        <v>0</v>
      </c>
      <c r="L657" s="248">
        <f>Datos!AI47</f>
        <v>0</v>
      </c>
      <c r="M657" s="193">
        <f>INDEX(_TARGETS!$J$2:$J$17,MATCH($C657,_TARGETS!$A$2:$A$17,0))</f>
        <v>1000000</v>
      </c>
      <c r="N657" s="193" t="str">
        <f>INDEX(_TARGETS!$D$2:$D$17,MATCH($C657,_TARGETS!$A$2:$A$17,0))</f>
        <v>eventos / 10^6 km</v>
      </c>
      <c r="O657" s="193" t="str">
        <f>IF(NOT(ISNUMBER(F657)),"MISSING",IF((COUNTBLANK(Datos!AI44)+COUNTBLANK(Datos!AI45)+COUNTBLANK(Datos!AI46)+COUNTBLANK(Datos!AI39)+COUNTBLANK(Datos!AI40)+COUNTBLANK(Datos!AI41)+COUNTBLANK(Datos!AI42))&gt;0,"INCOMPLETE","OK"))</f>
        <v>MISSING</v>
      </c>
      <c r="P657" s="193" t="str">
        <f>INDEX(_TARGETS!$K$2:$K$17,MATCH($C657,_TARGETS!$A$2:$A$17,0))</f>
        <v>OPS (eventos) + Full Control GPS (km) - carga manual en Datos</v>
      </c>
      <c r="Q657" s="193" t="str">
        <f t="shared" si="52"/>
        <v>202903|TVCR|Monthly</v>
      </c>
      <c r="R657" s="193" t="str">
        <f>INDEX(_TARGETS!$H$2:$H$17,MATCH($C657,_TARGETS!$A$2:$A$17,0))</f>
        <v>Definida</v>
      </c>
      <c r="S657" s="193" t="str">
        <f t="shared" si="53"/>
        <v/>
      </c>
      <c r="T657" s="193" t="str">
        <f t="shared" si="54"/>
        <v/>
      </c>
    </row>
    <row r="658" spans="1:20" ht="13.5" customHeight="1" x14ac:dyDescent="0.3">
      <c r="A658" s="245">
        <f>KPIs!$AI$3</f>
        <v>47178</v>
      </c>
      <c r="B658" s="199" t="str">
        <f>KPIs!AI$4</f>
        <v>Compresora</v>
      </c>
      <c r="C658" s="31" t="s">
        <v>63</v>
      </c>
      <c r="D658" s="199" t="str">
        <f>KPIs!$A$13</f>
        <v>6 · Observaciones de seguridad por persona</v>
      </c>
      <c r="E658" s="31" t="s">
        <v>599</v>
      </c>
      <c r="F658" s="247" t="str">
        <f>IF(ISNUMBER(KPIs!AI13),KPIs!AI13,"")</f>
        <v/>
      </c>
      <c r="G658" s="247">
        <f>IF(ISNUMBER(KPIs!$C$13),KPIs!$C$13,"")</f>
        <v>1</v>
      </c>
      <c r="H658" s="199" t="str">
        <f>IFERROR(INDEX(_TARGETS!$E$2:$E$17,MATCH($C658,_TARGETS!$A$2:$A$17,0))&amp;"","")</f>
        <v>≥</v>
      </c>
      <c r="I658" s="199" t="str">
        <f t="shared" si="50"/>
        <v/>
      </c>
      <c r="J658" s="193" t="str">
        <f t="shared" si="51"/>
        <v>Monthly</v>
      </c>
      <c r="K658" s="248" t="str">
        <f>IF(COUNT(Datos!AI28:AI29)=0,"",SUM(Datos!AI28:AI29))</f>
        <v/>
      </c>
      <c r="L658" s="248">
        <f>Datos!AI11</f>
        <v>0</v>
      </c>
      <c r="M658" s="193">
        <f>INDEX(_TARGETS!$J$2:$J$17,MATCH($C658,_TARGETS!$A$2:$A$17,0))</f>
        <v>1</v>
      </c>
      <c r="N658" s="193" t="str">
        <f>INDEX(_TARGETS!$D$2:$D$17,MATCH($C658,_TARGETS!$A$2:$A$17,0))</f>
        <v>obs / persona</v>
      </c>
      <c r="O658" s="193" t="str">
        <f>IF(NOT(ISNUMBER(F658)),"MISSING",IF((COUNTBLANK(Datos!AI9)+COUNTBLANK(Datos!AI10)+IF(COUNT(Datos!AI28:AI29)=0,1,0))&gt;0,"INCOMPLETE","OK"))</f>
        <v>MISSING</v>
      </c>
      <c r="P658" s="193" t="str">
        <f>INDEX(_TARGETS!$K$2:$K$17,MATCH($C658,_TARGETS!$A$2:$A$17,0))</f>
        <v>OPS (carga manual en Datos)</v>
      </c>
      <c r="Q658" s="193" t="str">
        <f t="shared" si="52"/>
        <v>202903|OBS|Monthly</v>
      </c>
      <c r="R658" s="193" t="str">
        <f>INDEX(_TARGETS!$H$2:$H$17,MATCH($C658,_TARGETS!$A$2:$A$17,0))</f>
        <v>PROVISORIA · referencia del subcontratista (OPS: 1 obs/persona); meta y población en definición</v>
      </c>
      <c r="S658" s="193" t="str">
        <f t="shared" si="53"/>
        <v/>
      </c>
      <c r="T658" s="193" t="str">
        <f t="shared" si="54"/>
        <v/>
      </c>
    </row>
    <row r="659" spans="1:20" ht="13.5" customHeight="1" x14ac:dyDescent="0.3">
      <c r="A659" s="245">
        <f>KPIs!$AI$3</f>
        <v>47178</v>
      </c>
      <c r="B659" s="199" t="str">
        <f>KPIs!AI$4</f>
        <v>Compresora</v>
      </c>
      <c r="C659" s="31" t="s">
        <v>71</v>
      </c>
      <c r="D659" s="199" t="str">
        <f>KPIs!$A$14</f>
        <v>7 · Investigaciones de accidentes: días promedio de cierre</v>
      </c>
      <c r="E659" s="31" t="s">
        <v>599</v>
      </c>
      <c r="F659" s="247" t="str">
        <f>IF(ISNUMBER(KPIs!AI14),KPIs!AI14,"")</f>
        <v/>
      </c>
      <c r="G659" s="247">
        <f>IF(ISNUMBER(KPIs!$C$14),KPIs!$C$14,"")</f>
        <v>20</v>
      </c>
      <c r="H659" s="199" t="str">
        <f>IFERROR(INDEX(_TARGETS!$E$2:$E$17,MATCH($C659,_TARGETS!$A$2:$A$17,0))&amp;"","")</f>
        <v>≤</v>
      </c>
      <c r="I659" s="199" t="str">
        <f t="shared" si="50"/>
        <v/>
      </c>
      <c r="J659" s="193" t="str">
        <f t="shared" si="51"/>
        <v>Monthly</v>
      </c>
      <c r="K659" s="248">
        <f>Datos!AI31</f>
        <v>0</v>
      </c>
      <c r="L659" s="248">
        <f>Datos!AI30</f>
        <v>0</v>
      </c>
      <c r="M659" s="193">
        <f>INDEX(_TARGETS!$J$2:$J$17,MATCH($C659,_TARGETS!$A$2:$A$17,0))</f>
        <v>1</v>
      </c>
      <c r="N659" s="193" t="str">
        <f>INDEX(_TARGETS!$D$2:$D$17,MATCH($C659,_TARGETS!$A$2:$A$17,0))</f>
        <v>días</v>
      </c>
      <c r="O659" s="193" t="str">
        <f>IF(NOT(ISNUMBER(F659)),"MISSING",IF((COUNTBLANK(Datos!AI30)+COUNTBLANK(Datos!AI31))&gt;0,"INCOMPLETE","OK"))</f>
        <v>MISSING</v>
      </c>
      <c r="P659" s="193" t="str">
        <f>INDEX(_TARGETS!$K$2:$K$17,MATCH($C659,_TARGETS!$A$2:$A$17,0))</f>
        <v>OPS (carga manual en Datos)</v>
      </c>
      <c r="Q659" s="193" t="str">
        <f t="shared" si="52"/>
        <v>202903|INV|Monthly</v>
      </c>
      <c r="R659" s="193" t="str">
        <f>INDEX(_TARGETS!$H$2:$H$17,MATCH($C659,_TARGETS!$A$2:$A$17,0))</f>
        <v>Definida</v>
      </c>
      <c r="S659" s="193" t="str">
        <f t="shared" si="53"/>
        <v/>
      </c>
      <c r="T659" s="193" t="str">
        <f t="shared" si="54"/>
        <v/>
      </c>
    </row>
    <row r="660" spans="1:20" ht="13.5" customHeight="1" x14ac:dyDescent="0.3">
      <c r="A660" s="245">
        <f>KPIs!$AI$3</f>
        <v>47178</v>
      </c>
      <c r="B660" s="199" t="str">
        <f>KPIs!AI$4</f>
        <v>Compresora</v>
      </c>
      <c r="C660" s="31" t="s">
        <v>76</v>
      </c>
      <c r="D660" s="199" t="str">
        <f>KPIs!$A$16</f>
        <v>8 · % de capacitación en seguridad</v>
      </c>
      <c r="E660" s="31" t="s">
        <v>599</v>
      </c>
      <c r="F660" s="247" t="str">
        <f>IF(ISNUMBER(KPIs!AI16),KPIs!AI16,"")</f>
        <v/>
      </c>
      <c r="G660" s="247">
        <f>IF(ISNUMBER(KPIs!$C$16),KPIs!$C$16,"")</f>
        <v>0.01</v>
      </c>
      <c r="H660" s="199" t="str">
        <f>IFERROR(INDEX(_TARGETS!$E$2:$E$17,MATCH($C660,_TARGETS!$A$2:$A$17,0))&amp;"","")</f>
        <v>≥</v>
      </c>
      <c r="I660" s="199" t="str">
        <f t="shared" si="50"/>
        <v/>
      </c>
      <c r="J660" s="193" t="str">
        <f t="shared" si="51"/>
        <v>Monthly</v>
      </c>
      <c r="K660" s="248">
        <f>Datos!AI18</f>
        <v>0</v>
      </c>
      <c r="L660" s="248">
        <f>Datos!AI14</f>
        <v>0</v>
      </c>
      <c r="M660" s="193">
        <f>INDEX(_TARGETS!$J$2:$J$17,MATCH($C660,_TARGETS!$A$2:$A$17,0))</f>
        <v>1</v>
      </c>
      <c r="N660" s="193" t="str">
        <f>INDEX(_TARGETS!$D$2:$D$17,MATCH($C660,_TARGETS!$A$2:$A$17,0))</f>
        <v>% (fracción)</v>
      </c>
      <c r="O660" s="193" t="str">
        <f>IF(NOT(ISNUMBER(F660)),"MISSING",IF((COUNTBLANK(Datos!AI16)+COUNTBLANK(Datos!AI17)+COUNTBLANK(Datos!AI12)+COUNTBLANK(Datos!AI13))&gt;0,"INCOMPLETE","OK"))</f>
        <v>MISSING</v>
      </c>
      <c r="P660" s="193" t="str">
        <f>INDEX(_TARGETS!$K$2:$K$17,MATCH($C660,_TARGETS!$A$2:$A$17,0))</f>
        <v>OPS (carga manual en Datos)</v>
      </c>
      <c r="Q660" s="193" t="str">
        <f t="shared" si="52"/>
        <v>202903|HCS|Monthly</v>
      </c>
      <c r="R660" s="193" t="str">
        <f>INDEX(_TARGETS!$H$2:$H$17,MATCH($C660,_TARGETS!$A$2:$A$17,0))</f>
        <v>Definida</v>
      </c>
      <c r="S660" s="193" t="str">
        <f t="shared" si="53"/>
        <v/>
      </c>
      <c r="T660" s="193" t="str">
        <f t="shared" si="54"/>
        <v/>
      </c>
    </row>
    <row r="661" spans="1:20" ht="13.5" customHeight="1" x14ac:dyDescent="0.3">
      <c r="A661" s="245">
        <f>KPIs!$AI$3</f>
        <v>47178</v>
      </c>
      <c r="B661" s="199" t="str">
        <f>KPIs!AI$4</f>
        <v>Compresora</v>
      </c>
      <c r="C661" s="31" t="s">
        <v>80</v>
      </c>
      <c r="D661" s="199" t="str">
        <f>KPIs!$A$17</f>
        <v>9 · Horas de capacitación por persona</v>
      </c>
      <c r="E661" s="31" t="s">
        <v>599</v>
      </c>
      <c r="F661" s="247" t="str">
        <f>IF(ISNUMBER(KPIs!AI17),KPIs!AI17,"")</f>
        <v/>
      </c>
      <c r="G661" s="247" t="str">
        <f>IF(ISNUMBER(KPIs!$C$17),KPIs!$C$17,"")</f>
        <v/>
      </c>
      <c r="H661" s="199" t="str">
        <f>IFERROR(INDEX(_TARGETS!$E$2:$E$17,MATCH($C661,_TARGETS!$A$2:$A$17,0))&amp;"","")</f>
        <v/>
      </c>
      <c r="I661" s="199" t="str">
        <f t="shared" si="50"/>
        <v/>
      </c>
      <c r="J661" s="193" t="str">
        <f t="shared" si="51"/>
        <v>Monthly</v>
      </c>
      <c r="K661" s="248">
        <f>Datos!AI18</f>
        <v>0</v>
      </c>
      <c r="L661" s="248">
        <f>Datos!AI11</f>
        <v>0</v>
      </c>
      <c r="M661" s="193">
        <f>INDEX(_TARGETS!$J$2:$J$17,MATCH($C661,_TARGETS!$A$2:$A$17,0))</f>
        <v>1</v>
      </c>
      <c r="N661" s="193" t="str">
        <f>INDEX(_TARGETS!$D$2:$D$17,MATCH($C661,_TARGETS!$A$2:$A$17,0))</f>
        <v>h / persona</v>
      </c>
      <c r="O661" s="193" t="str">
        <f>IF(NOT(ISNUMBER(F661)),"MISSING",IF((COUNTBLANK(Datos!AI16)+COUNTBLANK(Datos!AI17)+COUNTBLANK(Datos!AI9)+COUNTBLANK(Datos!AI10))&gt;0,"INCOMPLETE","OK"))</f>
        <v>MISSING</v>
      </c>
      <c r="P661" s="193" t="str">
        <f>INDEX(_TARGETS!$K$2:$K$17,MATCH($C661,_TARGETS!$A$2:$A$17,0))</f>
        <v>OPS (carga manual en Datos)</v>
      </c>
      <c r="Q661" s="193" t="str">
        <f t="shared" si="52"/>
        <v>202903|HCSA|Monthly</v>
      </c>
      <c r="R661" s="193" t="str">
        <f>INDEX(_TARGETS!$H$2:$H$17,MATCH($C661,_TARGETS!$A$2:$A$17,0))</f>
        <v>Solo reporte</v>
      </c>
      <c r="S661" s="193" t="str">
        <f t="shared" si="53"/>
        <v/>
      </c>
      <c r="T661" s="193" t="str">
        <f t="shared" si="54"/>
        <v/>
      </c>
    </row>
    <row r="662" spans="1:20" ht="13.5" customHeight="1" x14ac:dyDescent="0.3">
      <c r="A662" s="245">
        <f>KPIs!$AI$3</f>
        <v>47178</v>
      </c>
      <c r="B662" s="199" t="str">
        <f>KPIs!AI$4</f>
        <v>Compresora</v>
      </c>
      <c r="C662" s="31" t="s">
        <v>83</v>
      </c>
      <c r="D662" s="199" t="str">
        <f>KPIs!$A$18</f>
        <v>10 · Cumplimiento de simulacros (emergencia y operativos)</v>
      </c>
      <c r="E662" s="31" t="s">
        <v>599</v>
      </c>
      <c r="F662" s="247" t="str">
        <f>IF(ISNUMBER(KPIs!AI18),KPIs!AI18,"")</f>
        <v/>
      </c>
      <c r="G662" s="247">
        <f>IF(ISNUMBER(KPIs!$C$18),KPIs!$C$18,"")</f>
        <v>1</v>
      </c>
      <c r="H662" s="199" t="str">
        <f>IFERROR(INDEX(_TARGETS!$E$2:$E$17,MATCH($C662,_TARGETS!$A$2:$A$17,0))&amp;"","")</f>
        <v>≥</v>
      </c>
      <c r="I662" s="199" t="str">
        <f t="shared" si="50"/>
        <v/>
      </c>
      <c r="J662" s="193" t="str">
        <f t="shared" si="51"/>
        <v>Monthly</v>
      </c>
      <c r="K662" s="248">
        <f>Datos!AI20</f>
        <v>0</v>
      </c>
      <c r="L662" s="248">
        <f>Datos!AI21</f>
        <v>0</v>
      </c>
      <c r="M662" s="193">
        <f>INDEX(_TARGETS!$J$2:$J$17,MATCH($C662,_TARGETS!$A$2:$A$17,0))</f>
        <v>1</v>
      </c>
      <c r="N662" s="193" t="str">
        <f>INDEX(_TARGETS!$D$2:$D$17,MATCH($C662,_TARGETS!$A$2:$A$17,0))</f>
        <v>% (fracción)</v>
      </c>
      <c r="O662" s="193" t="str">
        <f>IF(NOT(ISNUMBER(F662)),"MISSING",IF((COUNTBLANK(Datos!AI20)+COUNTBLANK(Datos!AI21))&gt;0,"INCOMPLETE","OK"))</f>
        <v>MISSING</v>
      </c>
      <c r="P662" s="193" t="str">
        <f>INDEX(_TARGETS!$K$2:$K$17,MATCH($C662,_TARGETS!$A$2:$A$17,0))</f>
        <v>OPS (carga manual en Datos)</v>
      </c>
      <c r="Q662" s="193" t="str">
        <f t="shared" si="52"/>
        <v>202903|CPSE|Monthly</v>
      </c>
      <c r="R662" s="193" t="str">
        <f>INDEX(_TARGETS!$H$2:$H$17,MATCH($C662,_TARGETS!$A$2:$A$17,0))</f>
        <v>Definida</v>
      </c>
      <c r="S662" s="193" t="str">
        <f t="shared" si="53"/>
        <v/>
      </c>
      <c r="T662" s="193" t="str">
        <f t="shared" si="54"/>
        <v/>
      </c>
    </row>
    <row r="663" spans="1:20" ht="13.5" customHeight="1" x14ac:dyDescent="0.3">
      <c r="A663" s="245">
        <f>KPIs!$AI$3</f>
        <v>47178</v>
      </c>
      <c r="B663" s="199" t="str">
        <f>KPIs!AI$4</f>
        <v>Compresora</v>
      </c>
      <c r="C663" s="31" t="s">
        <v>85</v>
      </c>
      <c r="D663" s="199" t="str">
        <f>KPIs!$A$19</f>
        <v>10b · Cumplimiento de acciones de mejora de simulacros</v>
      </c>
      <c r="E663" s="31" t="s">
        <v>599</v>
      </c>
      <c r="F663" s="247" t="str">
        <f>IF(ISNUMBER(KPIs!AI19),KPIs!AI19,"")</f>
        <v/>
      </c>
      <c r="G663" s="247" t="str">
        <f>IF(ISNUMBER(KPIs!$C$19),KPIs!$C$19,"")</f>
        <v/>
      </c>
      <c r="H663" s="199" t="str">
        <f>IFERROR(INDEX(_TARGETS!$E$2:$E$17,MATCH($C663,_TARGETS!$A$2:$A$17,0))&amp;"","")</f>
        <v/>
      </c>
      <c r="I663" s="199" t="str">
        <f t="shared" si="50"/>
        <v/>
      </c>
      <c r="J663" s="193" t="str">
        <f t="shared" si="51"/>
        <v>Monthly</v>
      </c>
      <c r="K663" s="248">
        <f>Datos!AI23</f>
        <v>0</v>
      </c>
      <c r="L663" s="248">
        <f>Datos!AI22</f>
        <v>0</v>
      </c>
      <c r="M663" s="193">
        <f>INDEX(_TARGETS!$J$2:$J$17,MATCH($C663,_TARGETS!$A$2:$A$17,0))</f>
        <v>1</v>
      </c>
      <c r="N663" s="193" t="str">
        <f>INDEX(_TARGETS!$D$2:$D$17,MATCH($C663,_TARGETS!$A$2:$A$17,0))</f>
        <v>% (fracción)</v>
      </c>
      <c r="O663" s="193" t="str">
        <f>IF(NOT(ISNUMBER(F663)),"MISSING",IF((COUNTBLANK(Datos!AI23)+COUNTBLANK(Datos!AI22))&gt;0,"INCOMPLETE","OK"))</f>
        <v>MISSING</v>
      </c>
      <c r="P663" s="193" t="str">
        <f>INDEX(_TARGETS!$K$2:$K$17,MATCH($C663,_TARGETS!$A$2:$A$17,0))</f>
        <v>OPS (carga manual en Datos)</v>
      </c>
      <c r="Q663" s="193" t="str">
        <f t="shared" si="52"/>
        <v>202903|CAMS|Monthly</v>
      </c>
      <c r="R663" s="193" t="str">
        <f>INDEX(_TARGETS!$H$2:$H$17,MATCH($C663,_TARGETS!$A$2:$A$17,0))</f>
        <v>Solo reporte</v>
      </c>
      <c r="S663" s="193" t="str">
        <f t="shared" si="53"/>
        <v/>
      </c>
      <c r="T663" s="193" t="str">
        <f t="shared" si="54"/>
        <v/>
      </c>
    </row>
    <row r="664" spans="1:20" ht="13.5" customHeight="1" x14ac:dyDescent="0.3">
      <c r="A664" s="245">
        <f>KPIs!$AI$3</f>
        <v>47178</v>
      </c>
      <c r="B664" s="199" t="str">
        <f>KPIs!AI$4</f>
        <v>Compresora</v>
      </c>
      <c r="C664" s="31" t="s">
        <v>87</v>
      </c>
      <c r="D664" s="199" t="str">
        <f>KPIs!$A$21</f>
        <v>11 · Cumplimiento de caminatas gerenciales</v>
      </c>
      <c r="E664" s="31" t="s">
        <v>599</v>
      </c>
      <c r="F664" s="247" t="str">
        <f>IF(ISNUMBER(KPIs!AI21),KPIs!AI21,"")</f>
        <v/>
      </c>
      <c r="G664" s="247">
        <f>IF(ISNUMBER(KPIs!$C$21),KPIs!$C$21,"")</f>
        <v>1</v>
      </c>
      <c r="H664" s="199" t="str">
        <f>IFERROR(INDEX(_TARGETS!$E$2:$E$17,MATCH($C664,_TARGETS!$A$2:$A$17,0))&amp;"","")</f>
        <v>≥</v>
      </c>
      <c r="I664" s="199" t="str">
        <f t="shared" si="50"/>
        <v/>
      </c>
      <c r="J664" s="193" t="str">
        <f t="shared" si="51"/>
        <v>Monthly</v>
      </c>
      <c r="K664" s="248">
        <f>Datos!AI24</f>
        <v>0</v>
      </c>
      <c r="L664" s="248">
        <f>Datos!AI25</f>
        <v>0</v>
      </c>
      <c r="M664" s="193">
        <f>INDEX(_TARGETS!$J$2:$J$17,MATCH($C664,_TARGETS!$A$2:$A$17,0))</f>
        <v>1</v>
      </c>
      <c r="N664" s="193" t="str">
        <f>INDEX(_TARGETS!$D$2:$D$17,MATCH($C664,_TARGETS!$A$2:$A$17,0))</f>
        <v>% (fracción)</v>
      </c>
      <c r="O664" s="193" t="str">
        <f>IF(NOT(ISNUMBER(F664)),"MISSING",IF((COUNTBLANK(Datos!AI24)+COUNTBLANK(Datos!AI25))&gt;0,"INCOMPLETE","OK"))</f>
        <v>MISSING</v>
      </c>
      <c r="P664" s="193" t="str">
        <f>INDEX(_TARGETS!$K$2:$K$17,MATCH($C664,_TARGETS!$A$2:$A$17,0))</f>
        <v>OPS (carga manual en Datos)</v>
      </c>
      <c r="Q664" s="193" t="str">
        <f t="shared" si="52"/>
        <v>202903|ICCS|Monthly</v>
      </c>
      <c r="R664" s="193" t="str">
        <f>INDEX(_TARGETS!$H$2:$H$17,MATCH($C664,_TARGETS!$A$2:$A$17,0))</f>
        <v>Definida</v>
      </c>
      <c r="S664" s="193" t="str">
        <f t="shared" si="53"/>
        <v/>
      </c>
      <c r="T664" s="193" t="str">
        <f t="shared" si="54"/>
        <v/>
      </c>
    </row>
    <row r="665" spans="1:20" ht="13.5" customHeight="1" x14ac:dyDescent="0.3">
      <c r="A665" s="245">
        <f>KPIs!$AI$3</f>
        <v>47178</v>
      </c>
      <c r="B665" s="199" t="str">
        <f>KPIs!AI$4</f>
        <v>Compresora</v>
      </c>
      <c r="C665" s="31" t="s">
        <v>89</v>
      </c>
      <c r="D665" s="199" t="str">
        <f>KPIs!$A$22</f>
        <v>12 · Cumplimiento de comités y subcomités de seguridad</v>
      </c>
      <c r="E665" s="31" t="s">
        <v>599</v>
      </c>
      <c r="F665" s="247" t="str">
        <f>IF(ISNUMBER(KPIs!AI22),KPIs!AI22,"")</f>
        <v/>
      </c>
      <c r="G665" s="247">
        <f>IF(ISNUMBER(KPIs!$C$22),KPIs!$C$22,"")</f>
        <v>1</v>
      </c>
      <c r="H665" s="199" t="str">
        <f>IFERROR(INDEX(_TARGETS!$E$2:$E$17,MATCH($C665,_TARGETS!$A$2:$A$17,0))&amp;"","")</f>
        <v>≥</v>
      </c>
      <c r="I665" s="199" t="str">
        <f t="shared" si="50"/>
        <v/>
      </c>
      <c r="J665" s="193" t="str">
        <f t="shared" si="51"/>
        <v>Monthly</v>
      </c>
      <c r="K665" s="248">
        <f>Datos!AI26</f>
        <v>0</v>
      </c>
      <c r="L665" s="248">
        <f>Datos!AI27</f>
        <v>0</v>
      </c>
      <c r="M665" s="193">
        <f>INDEX(_TARGETS!$J$2:$J$17,MATCH($C665,_TARGETS!$A$2:$A$17,0))</f>
        <v>1</v>
      </c>
      <c r="N665" s="193" t="str">
        <f>INDEX(_TARGETS!$D$2:$D$17,MATCH($C665,_TARGETS!$A$2:$A$17,0))</f>
        <v>% (fracción)</v>
      </c>
      <c r="O665" s="193" t="str">
        <f>IF(NOT(ISNUMBER(F665)),"MISSING",IF((COUNTBLANK(Datos!AI26)+COUNTBLANK(Datos!AI27))&gt;0,"INCOMPLETE","OK"))</f>
        <v>MISSING</v>
      </c>
      <c r="P665" s="193" t="str">
        <f>INDEX(_TARGETS!$K$2:$K$17,MATCH($C665,_TARGETS!$A$2:$A$17,0))</f>
        <v>OPS (carga manual en Datos)</v>
      </c>
      <c r="Q665" s="193" t="str">
        <f t="shared" si="52"/>
        <v>202903|CCS|Monthly</v>
      </c>
      <c r="R665" s="193" t="str">
        <f>INDEX(_TARGETS!$H$2:$H$17,MATCH($C665,_TARGETS!$A$2:$A$17,0))</f>
        <v>Definida</v>
      </c>
      <c r="S665" s="193" t="str">
        <f t="shared" si="53"/>
        <v/>
      </c>
      <c r="T665" s="193" t="str">
        <f t="shared" si="54"/>
        <v/>
      </c>
    </row>
    <row r="666" spans="1:20" ht="13.5" customHeight="1" x14ac:dyDescent="0.3">
      <c r="A666" s="245">
        <f>KPIs!$AI$3</f>
        <v>47178</v>
      </c>
      <c r="B666" s="199" t="str">
        <f>KPIs!AI$4</f>
        <v>Compresora</v>
      </c>
      <c r="C666" s="31" t="s">
        <v>91</v>
      </c>
      <c r="D666" s="199" t="str">
        <f>KPIs!$A$23</f>
        <v>13 · Días promedio para cerrar hallazgos</v>
      </c>
      <c r="E666" s="31" t="s">
        <v>599</v>
      </c>
      <c r="F666" s="247" t="str">
        <f>IF(ISNUMBER(KPIs!AI23),KPIs!AI23,"")</f>
        <v/>
      </c>
      <c r="G666" s="247" t="str">
        <f>IF(ISNUMBER(KPIs!$C$23),KPIs!$C$23,"")</f>
        <v/>
      </c>
      <c r="H666" s="199" t="str">
        <f>IFERROR(INDEX(_TARGETS!$E$2:$E$17,MATCH($C666,_TARGETS!$A$2:$A$17,0))&amp;"","")</f>
        <v>≤</v>
      </c>
      <c r="I666" s="199" t="str">
        <f t="shared" si="50"/>
        <v/>
      </c>
      <c r="J666" s="193" t="str">
        <f t="shared" si="51"/>
        <v>Monthly</v>
      </c>
      <c r="K666" s="248">
        <f>Datos!AI68</f>
        <v>0</v>
      </c>
      <c r="L666" s="248">
        <f>Datos!AI67</f>
        <v>0</v>
      </c>
      <c r="M666" s="193">
        <f>INDEX(_TARGETS!$J$2:$J$17,MATCH($C666,_TARGETS!$A$2:$A$17,0))</f>
        <v>1</v>
      </c>
      <c r="N666" s="193" t="str">
        <f>INDEX(_TARGETS!$D$2:$D$17,MATCH($C666,_TARGETS!$A$2:$A$17,0))</f>
        <v>días</v>
      </c>
      <c r="O666" s="193" t="str">
        <f>IF(NOT(ISNUMBER(F666)),"MISSING","OK")</f>
        <v>MISSING</v>
      </c>
      <c r="P666" s="193" t="str">
        <f>INDEX(_TARGETS!$K$2:$K$17,MATCH($C666,_TARGETS!$A$2:$A$17,0))</f>
        <v>Plant Findings (hoja Observaciones-SMP)</v>
      </c>
      <c r="Q666" s="193" t="str">
        <f t="shared" si="52"/>
        <v>202903|DPAS|Monthly</v>
      </c>
      <c r="R666" s="193" t="str">
        <f>INDEX(_TARGETS!$H$2:$H$17,MATCH($C666,_TARGETS!$A$2:$A$17,0))</f>
        <v>Pendiente (meta 2027)</v>
      </c>
      <c r="S666" s="193" t="str">
        <f t="shared" si="53"/>
        <v/>
      </c>
      <c r="T666" s="193" t="str">
        <f t="shared" si="54"/>
        <v/>
      </c>
    </row>
    <row r="667" spans="1:20" ht="13.5" customHeight="1" x14ac:dyDescent="0.3">
      <c r="A667" s="245">
        <f>KPIs!$AI$3</f>
        <v>47178</v>
      </c>
      <c r="B667" s="199" t="str">
        <f>KPIs!AI$4</f>
        <v>Compresora</v>
      </c>
      <c r="C667" s="31" t="s">
        <v>39</v>
      </c>
      <c r="D667" s="199" t="str">
        <f>KPIs!$A$26</f>
        <v>1 · Frecuencia de casos con días perdidos · ACUMULADO</v>
      </c>
      <c r="E667" s="31" t="s">
        <v>600</v>
      </c>
      <c r="F667" s="247" t="str">
        <f>IF(ISNUMBER(KPIs!AI26),KPIs!AI26,"")</f>
        <v/>
      </c>
      <c r="G667" s="247">
        <f>IF(ISNUMBER(KPIs!$C$26),KPIs!$C$26,"")</f>
        <v>0</v>
      </c>
      <c r="H667" s="199" t="str">
        <f>IFERROR(INDEX(_TARGETS!$E$2:$E$17,MATCH($C667,_TARGETS!$A$2:$A$17,0))&amp;"","")</f>
        <v>≤</v>
      </c>
      <c r="I667" s="199" t="str">
        <f t="shared" si="50"/>
        <v/>
      </c>
      <c r="J667" s="193" t="str">
        <f t="shared" si="51"/>
        <v>Cumulative</v>
      </c>
      <c r="K667" s="193">
        <f>SUM(Datos!$D33:AI33)</f>
        <v>0</v>
      </c>
      <c r="L667" s="193">
        <f>SUM(Datos!$D14:AI14)</f>
        <v>48332</v>
      </c>
      <c r="M667" s="193">
        <f>INDEX(_TARGETS!$J$2:$J$17,MATCH($C667,_TARGETS!$A$2:$A$17,0))</f>
        <v>1000000</v>
      </c>
      <c r="N667" s="193" t="str">
        <f>INDEX(_TARGETS!$D$2:$D$17,MATCH($C667,_TARGETS!$A$2:$A$17,0))</f>
        <v>casos / 10^6 HH</v>
      </c>
      <c r="O667" s="193" t="str">
        <f>IF(NOT(ISNUMBER(F667)),IF(SUMPRODUCT(($C$2:$C$1300=C667)*($J$2:$J$1300="Monthly")*($A$2:$A$1300&lt;=A667)*ISNUMBER($K$2:$K$1300)*ISNUMBER($L$2:$L$1300)*($L$2:$L$1300=0)*($K$2:$K$1300&gt;0))&gt;0,"INCOMPLETE","MISSING"),O653)</f>
        <v>MISSING</v>
      </c>
      <c r="P667" s="193" t="str">
        <f>INDEX(_TARGETS!$K$2:$K$17,MATCH($C667,_TARGETS!$A$2:$A$17,0))</f>
        <v>OPS (carga manual en Datos)</v>
      </c>
      <c r="Q667" s="193" t="str">
        <f t="shared" si="52"/>
        <v>202903|DAFWCF|Cumulative</v>
      </c>
      <c r="R667" s="193" t="str">
        <f>INDEX(_TARGETS!$H$2:$H$17,MATCH($C667,_TARGETS!$A$2:$A$17,0))</f>
        <v>Definida</v>
      </c>
      <c r="S667" s="193">
        <f t="shared" si="53"/>
        <v>0</v>
      </c>
      <c r="T667" s="193" t="str">
        <f t="shared" si="54"/>
        <v/>
      </c>
    </row>
    <row r="668" spans="1:20" ht="13.5" customHeight="1" x14ac:dyDescent="0.3">
      <c r="A668" s="245">
        <f>KPIs!$AI$3</f>
        <v>47178</v>
      </c>
      <c r="B668" s="199" t="str">
        <f>KPIs!AI$4</f>
        <v>Compresora</v>
      </c>
      <c r="C668" s="31" t="s">
        <v>49</v>
      </c>
      <c r="D668" s="199" t="str">
        <f>KPIs!$A$27</f>
        <v>2 · Frecuencia de casos registrables · ACUMULADO</v>
      </c>
      <c r="E668" s="31" t="s">
        <v>600</v>
      </c>
      <c r="F668" s="247" t="str">
        <f>IF(ISNUMBER(KPIs!AI27),KPIs!AI27,"")</f>
        <v/>
      </c>
      <c r="G668" s="247">
        <f>IF(ISNUMBER(KPIs!$C$27),KPIs!$C$27,"")</f>
        <v>2.35</v>
      </c>
      <c r="H668" s="199" t="str">
        <f>IFERROR(INDEX(_TARGETS!$E$2:$E$17,MATCH($C668,_TARGETS!$A$2:$A$17,0))&amp;"","")</f>
        <v>≤</v>
      </c>
      <c r="I668" s="199" t="str">
        <f t="shared" si="50"/>
        <v/>
      </c>
      <c r="J668" s="193" t="str">
        <f t="shared" si="51"/>
        <v>Cumulative</v>
      </c>
      <c r="K668" s="193">
        <f>SUM(Datos!$D33:AI33)+SUM(Datos!$D34:AI34)+SUM(Datos!$D35:AI35)+SUM(Datos!$D36:AI36)</f>
        <v>0</v>
      </c>
      <c r="L668" s="193">
        <f>SUM(Datos!$D14:AI14)</f>
        <v>48332</v>
      </c>
      <c r="M668" s="193">
        <f>INDEX(_TARGETS!$J$2:$J$17,MATCH($C668,_TARGETS!$A$2:$A$17,0))</f>
        <v>1000000</v>
      </c>
      <c r="N668" s="193" t="str">
        <f>INDEX(_TARGETS!$D$2:$D$17,MATCH($C668,_TARGETS!$A$2:$A$17,0))</f>
        <v>casos / 10^6 HH</v>
      </c>
      <c r="O668" s="193" t="str">
        <f>IF(NOT(ISNUMBER(F668)),IF(SUMPRODUCT(($C$2:$C$1300=C668)*($J$2:$J$1300="Monthly")*($A$2:$A$1300&lt;=A668)*ISNUMBER($K$2:$K$1300)*ISNUMBER($L$2:$L$1300)*($L$2:$L$1300=0)*($K$2:$K$1300&gt;0))&gt;0,"INCOMPLETE","MISSING"),O654)</f>
        <v>MISSING</v>
      </c>
      <c r="P668" s="193" t="str">
        <f>INDEX(_TARGETS!$K$2:$K$17,MATCH($C668,_TARGETS!$A$2:$A$17,0))</f>
        <v>OPS (carga manual en Datos)</v>
      </c>
      <c r="Q668" s="193" t="str">
        <f t="shared" si="52"/>
        <v>202903|TRICF|Cumulative</v>
      </c>
      <c r="R668" s="193" t="str">
        <f>INDEX(_TARGETS!$H$2:$H$17,MATCH($C668,_TARGETS!$A$2:$A$17,0))</f>
        <v>Definida</v>
      </c>
      <c r="S668" s="193">
        <f t="shared" si="53"/>
        <v>0</v>
      </c>
      <c r="T668" s="193" t="str">
        <f t="shared" si="54"/>
        <v/>
      </c>
    </row>
    <row r="669" spans="1:20" ht="13.5" customHeight="1" x14ac:dyDescent="0.3">
      <c r="A669" s="245">
        <f>KPIs!$AI$3</f>
        <v>47178</v>
      </c>
      <c r="B669" s="199" t="str">
        <f>KPIs!AI$4</f>
        <v>Compresora</v>
      </c>
      <c r="C669" s="31" t="s">
        <v>51</v>
      </c>
      <c r="D669" s="199" t="str">
        <f>KPIs!$A$28</f>
        <v>3 · Casos de primeros auxilios · ACUMULADO</v>
      </c>
      <c r="E669" s="31" t="s">
        <v>600</v>
      </c>
      <c r="F669" s="247" t="str">
        <f>IF(ISNUMBER(KPIs!AI28),KPIs!AI28,"")</f>
        <v/>
      </c>
      <c r="G669" s="247" t="str">
        <f>IF(ISNUMBER(KPIs!$C$28),KPIs!$C$28,"")</f>
        <v/>
      </c>
      <c r="H669" s="199" t="str">
        <f>IFERROR(INDEX(_TARGETS!$E$2:$E$17,MATCH($C669,_TARGETS!$A$2:$A$17,0))&amp;"","")</f>
        <v/>
      </c>
      <c r="I669" s="199" t="str">
        <f t="shared" si="50"/>
        <v/>
      </c>
      <c r="J669" s="193" t="str">
        <f t="shared" si="51"/>
        <v>Cumulative</v>
      </c>
      <c r="K669" s="193">
        <f>SUM(Datos!$D37:AI37)</f>
        <v>0</v>
      </c>
      <c r="M669" s="193">
        <f>INDEX(_TARGETS!$J$2:$J$17,MATCH($C669,_TARGETS!$A$2:$A$17,0))</f>
        <v>1</v>
      </c>
      <c r="N669" s="193" t="str">
        <f>INDEX(_TARGETS!$D$2:$D$17,MATCH($C669,_TARGETS!$A$2:$A$17,0))</f>
        <v>casos</v>
      </c>
      <c r="O669" s="193" t="str">
        <f>IF(NOT(ISNUMBER(F669)),IF(SUMPRODUCT(($C$2:$C$1300=C669)*($J$2:$J$1300="Monthly")*($A$2:$A$1300&lt;=A669)*ISNUMBER($K$2:$K$1300)*ISNUMBER($L$2:$L$1300)*($L$2:$L$1300=0)*($K$2:$K$1300&gt;0))&gt;0,"INCOMPLETE","MISSING"),O655)</f>
        <v>MISSING</v>
      </c>
      <c r="P669" s="193" t="str">
        <f>INDEX(_TARGETS!$K$2:$K$17,MATCH($C669,_TARGETS!$A$2:$A$17,0))</f>
        <v>OPS (carga manual en Datos)</v>
      </c>
      <c r="Q669" s="193" t="str">
        <f t="shared" si="52"/>
        <v>202903|FAC|Cumulative</v>
      </c>
      <c r="R669" s="193" t="str">
        <f>INDEX(_TARGETS!$H$2:$H$17,MATCH($C669,_TARGETS!$A$2:$A$17,0))</f>
        <v>Solo reporte</v>
      </c>
      <c r="S669" s="193">
        <f t="shared" si="53"/>
        <v>0</v>
      </c>
      <c r="T669" s="193" t="str">
        <f t="shared" si="54"/>
        <v/>
      </c>
    </row>
    <row r="670" spans="1:20" ht="13.5" customHeight="1" x14ac:dyDescent="0.3">
      <c r="A670" s="245">
        <f>KPIs!$AI$3</f>
        <v>47178</v>
      </c>
      <c r="B670" s="199" t="str">
        <f>KPIs!AI$4</f>
        <v>Compresora</v>
      </c>
      <c r="C670" s="31" t="s">
        <v>57</v>
      </c>
      <c r="D670" s="199" t="str">
        <f>KPIs!$A$29</f>
        <v>4 · Accidentes vehiculares severos · ACUMULADO</v>
      </c>
      <c r="E670" s="31" t="s">
        <v>600</v>
      </c>
      <c r="F670" s="247" t="str">
        <f>IF(ISNUMBER(KPIs!AI29),KPIs!AI29,"")</f>
        <v/>
      </c>
      <c r="G670" s="247" t="str">
        <f>IF(ISNUMBER(KPIs!$C$29),KPIs!$C$29,"")</f>
        <v/>
      </c>
      <c r="H670" s="199" t="str">
        <f>IFERROR(INDEX(_TARGETS!$E$2:$E$17,MATCH($C670,_TARGETS!$A$2:$A$17,0))&amp;"","")</f>
        <v/>
      </c>
      <c r="I670" s="199" t="str">
        <f t="shared" si="50"/>
        <v/>
      </c>
      <c r="J670" s="193" t="str">
        <f t="shared" si="51"/>
        <v>Cumulative</v>
      </c>
      <c r="K670" s="193">
        <f>SUM(Datos!$D39:AI39)+SUM(Datos!$D40:AI40)+SUM(Datos!$D41:AI41)</f>
        <v>0</v>
      </c>
      <c r="L670" s="193">
        <f>SUM(Datos!$D47:AI47)</f>
        <v>172824</v>
      </c>
      <c r="M670" s="193">
        <f>INDEX(_TARGETS!$J$2:$J$17,MATCH($C670,_TARGETS!$A$2:$A$17,0))</f>
        <v>1000000</v>
      </c>
      <c r="N670" s="193" t="str">
        <f>INDEX(_TARGETS!$D$2:$D$17,MATCH($C670,_TARGETS!$A$2:$A$17,0))</f>
        <v>eventos / 10^6 km</v>
      </c>
      <c r="O670" s="193" t="str">
        <f>IF(NOT(ISNUMBER(F670)),IF(SUMPRODUCT(($C$2:$C$1300=C670)*($J$2:$J$1300="Monthly")*($A$2:$A$1300&lt;=A670)*ISNUMBER($K$2:$K$1300)*ISNUMBER($L$2:$L$1300)*($L$2:$L$1300=0)*($K$2:$K$1300&gt;0))&gt;0,"INCOMPLETE","MISSING"),O656)</f>
        <v>MISSING</v>
      </c>
      <c r="P670" s="193" t="str">
        <f>INDEX(_TARGETS!$K$2:$K$17,MATCH($C670,_TARGETS!$A$2:$A$17,0))</f>
        <v>OPS (eventos) + Full Control GPS (km) - carga manual en Datos</v>
      </c>
      <c r="Q670" s="193" t="str">
        <f t="shared" si="52"/>
        <v>202903|SVCR|Cumulative</v>
      </c>
      <c r="R670" s="193" t="str">
        <f>INDEX(_TARGETS!$H$2:$H$17,MATCH($C670,_TARGETS!$A$2:$A$17,0))</f>
        <v>Solo reporte</v>
      </c>
      <c r="S670" s="193">
        <f t="shared" si="53"/>
        <v>0</v>
      </c>
      <c r="T670" s="193" t="str">
        <f t="shared" si="54"/>
        <v/>
      </c>
    </row>
    <row r="671" spans="1:20" ht="13.5" customHeight="1" x14ac:dyDescent="0.3">
      <c r="A671" s="245">
        <f>KPIs!$AI$3</f>
        <v>47178</v>
      </c>
      <c r="B671" s="199" t="str">
        <f>KPIs!AI$4</f>
        <v>Compresora</v>
      </c>
      <c r="C671" s="31" t="s">
        <v>61</v>
      </c>
      <c r="D671" s="199" t="str">
        <f>KPIs!$A$30</f>
        <v>5 · Accidentes vehiculares totales · ACUMULADO</v>
      </c>
      <c r="E671" s="31" t="s">
        <v>600</v>
      </c>
      <c r="F671" s="247" t="str">
        <f>IF(ISNUMBER(KPIs!AI30),KPIs!AI30,"")</f>
        <v/>
      </c>
      <c r="G671" s="247">
        <f>IF(ISNUMBER(KPIs!$C$30),KPIs!$C$30,"")</f>
        <v>0.79</v>
      </c>
      <c r="H671" s="199" t="str">
        <f>IFERROR(INDEX(_TARGETS!$E$2:$E$17,MATCH($C671,_TARGETS!$A$2:$A$17,0))&amp;"","")</f>
        <v>≤</v>
      </c>
      <c r="I671" s="199" t="str">
        <f t="shared" si="50"/>
        <v/>
      </c>
      <c r="J671" s="193" t="str">
        <f t="shared" si="51"/>
        <v>Cumulative</v>
      </c>
      <c r="K671" s="193">
        <f>SUM(Datos!$D39:AI39)+SUM(Datos!$D40:AI40)+SUM(Datos!$D41:AI41)+SUM(Datos!$D42:AI42)</f>
        <v>0</v>
      </c>
      <c r="L671" s="193">
        <f>SUM(Datos!$D47:AI47)</f>
        <v>172824</v>
      </c>
      <c r="M671" s="193">
        <f>INDEX(_TARGETS!$J$2:$J$17,MATCH($C671,_TARGETS!$A$2:$A$17,0))</f>
        <v>1000000</v>
      </c>
      <c r="N671" s="193" t="str">
        <f>INDEX(_TARGETS!$D$2:$D$17,MATCH($C671,_TARGETS!$A$2:$A$17,0))</f>
        <v>eventos / 10^6 km</v>
      </c>
      <c r="O671" s="193" t="str">
        <f>IF(NOT(ISNUMBER(F671)),IF(SUMPRODUCT(($C$2:$C$1300=C671)*($J$2:$J$1300="Monthly")*($A$2:$A$1300&lt;=A671)*ISNUMBER($K$2:$K$1300)*ISNUMBER($L$2:$L$1300)*($L$2:$L$1300=0)*($K$2:$K$1300&gt;0))&gt;0,"INCOMPLETE","MISSING"),O657)</f>
        <v>MISSING</v>
      </c>
      <c r="P671" s="193" t="str">
        <f>INDEX(_TARGETS!$K$2:$K$17,MATCH($C671,_TARGETS!$A$2:$A$17,0))</f>
        <v>OPS (eventos) + Full Control GPS (km) - carga manual en Datos</v>
      </c>
      <c r="Q671" s="193" t="str">
        <f t="shared" si="52"/>
        <v>202903|TVCR|Cumulative</v>
      </c>
      <c r="R671" s="193" t="str">
        <f>INDEX(_TARGETS!$H$2:$H$17,MATCH($C671,_TARGETS!$A$2:$A$17,0))</f>
        <v>Definida</v>
      </c>
      <c r="S671" s="193">
        <f t="shared" si="53"/>
        <v>0</v>
      </c>
      <c r="T671" s="193" t="str">
        <f t="shared" si="54"/>
        <v/>
      </c>
    </row>
    <row r="672" spans="1:20" ht="13.5" customHeight="1" x14ac:dyDescent="0.3">
      <c r="A672" s="245">
        <f>KPIs!$AI$3</f>
        <v>47178</v>
      </c>
      <c r="B672" s="199" t="str">
        <f>KPIs!AI$4</f>
        <v>Compresora</v>
      </c>
      <c r="C672" s="31" t="s">
        <v>96</v>
      </c>
      <c r="D672" s="199" t="str">
        <f>KPIs!$A$33</f>
        <v>C1 · % de desvíos detectados de gravedad Alta</v>
      </c>
      <c r="E672" s="31" t="s">
        <v>599</v>
      </c>
      <c r="F672" s="247" t="str">
        <f>IF(ISNUMBER(KPIs!AI33),KPIs!AI33,"")</f>
        <v/>
      </c>
      <c r="G672" s="247" t="str">
        <f>IF(ISNUMBER(KPIs!$C$33),KPIs!$C$33,"")</f>
        <v/>
      </c>
      <c r="H672" s="199" t="str">
        <f>IFERROR(INDEX(_TARGETS!$E$2:$E$17,MATCH($C672,_TARGETS!$A$2:$A$17,0))&amp;"","")</f>
        <v/>
      </c>
      <c r="I672" s="199" t="str">
        <f t="shared" si="50"/>
        <v/>
      </c>
      <c r="J672" s="193" t="str">
        <f t="shared" si="51"/>
        <v>Monthly</v>
      </c>
      <c r="K672" s="248">
        <f>Datos!AI71</f>
        <v>0</v>
      </c>
      <c r="L672" s="193">
        <f>Datos!AI71+Datos!AI72+Datos!AI73</f>
        <v>0</v>
      </c>
      <c r="M672" s="193">
        <f>INDEX(_TARGETS!$J$2:$J$17,MATCH($C672,_TARGETS!$A$2:$A$17,0))</f>
        <v>1</v>
      </c>
      <c r="N672" s="193" t="str">
        <f>INDEX(_TARGETS!$D$2:$D$17,MATCH($C672,_TARGETS!$A$2:$A$17,0))</f>
        <v>% (fracción)</v>
      </c>
      <c r="O672" s="193" t="str">
        <f>IF(NOT(ISNUMBER(F672)),"MISSING","OK")</f>
        <v>MISSING</v>
      </c>
      <c r="P672" s="193" t="str">
        <f>INDEX(_TARGETS!$K$2:$K$17,MATCH($C672,_TARGETS!$A$2:$A$17,0))</f>
        <v>Plant Findings (hoja Observaciones-SMP)</v>
      </c>
      <c r="Q672" s="193" t="str">
        <f t="shared" si="52"/>
        <v>202903|HAL_ALTA_PCT|Monthly</v>
      </c>
      <c r="R672" s="193" t="str">
        <f>INDEX(_TARGETS!$H$2:$H$17,MATCH($C672,_TARGETS!$A$2:$A$17,0))</f>
        <v>Solo reporte</v>
      </c>
      <c r="S672" s="193" t="str">
        <f t="shared" si="53"/>
        <v/>
      </c>
      <c r="T672" s="193" t="str">
        <f t="shared" si="54"/>
        <v/>
      </c>
    </row>
    <row r="673" spans="1:20" ht="13.5" customHeight="1" x14ac:dyDescent="0.3">
      <c r="A673" s="245">
        <f>KPIs!$AI$3</f>
        <v>47178</v>
      </c>
      <c r="B673" s="199" t="str">
        <f>KPIs!AI$4</f>
        <v>Compresora</v>
      </c>
      <c r="C673" s="31" t="s">
        <v>98</v>
      </c>
      <c r="D673" s="199" t="str">
        <f>KPIs!$A$34</f>
        <v>C2 · Detenciones de tareas aplicadas</v>
      </c>
      <c r="E673" s="31" t="s">
        <v>599</v>
      </c>
      <c r="F673" s="247" t="str">
        <f>IF(ISNUMBER(KPIs!AI34),KPIs!AI34,"")</f>
        <v/>
      </c>
      <c r="G673" s="247" t="str">
        <f>IF(ISNUMBER(KPIs!$C$34),KPIs!$C$34,"")</f>
        <v/>
      </c>
      <c r="H673" s="199" t="str">
        <f>IFERROR(INDEX(_TARGETS!$E$2:$E$17,MATCH($C673,_TARGETS!$A$2:$A$17,0))&amp;"","")</f>
        <v/>
      </c>
      <c r="I673" s="199" t="str">
        <f t="shared" si="50"/>
        <v/>
      </c>
      <c r="J673" s="193" t="str">
        <f t="shared" si="51"/>
        <v>Monthly</v>
      </c>
      <c r="K673" s="248">
        <f>Datos!AI75</f>
        <v>0</v>
      </c>
      <c r="M673" s="193">
        <f>INDEX(_TARGETS!$J$2:$J$17,MATCH($C673,_TARGETS!$A$2:$A$17,0))</f>
        <v>1</v>
      </c>
      <c r="N673" s="193" t="str">
        <f>INDEX(_TARGETS!$D$2:$D$17,MATCH($C673,_TARGETS!$A$2:$A$17,0))</f>
        <v>u</v>
      </c>
      <c r="O673" s="193" t="str">
        <f>IF(NOT(ISNUMBER(F673)),"MISSING","OK")</f>
        <v>MISSING</v>
      </c>
      <c r="P673" s="193" t="str">
        <f>INDEX(_TARGETS!$K$2:$K$17,MATCH($C673,_TARGETS!$A$2:$A$17,0))</f>
        <v>Plant Findings (hoja Observaciones-SMP)</v>
      </c>
      <c r="Q673" s="193" t="str">
        <f t="shared" si="52"/>
        <v>202903|DET|Monthly</v>
      </c>
      <c r="R673" s="193" t="str">
        <f>INDEX(_TARGETS!$H$2:$H$17,MATCH($C673,_TARGETS!$A$2:$A$17,0))</f>
        <v>Solo reporte</v>
      </c>
      <c r="S673" s="193" t="str">
        <f t="shared" si="53"/>
        <v/>
      </c>
      <c r="T673" s="193" t="str">
        <f t="shared" si="54"/>
        <v/>
      </c>
    </row>
    <row r="674" spans="1:20" ht="13.5" customHeight="1" x14ac:dyDescent="0.3">
      <c r="A674" s="245">
        <f>KPIs!$AJ$3</f>
        <v>47209</v>
      </c>
      <c r="B674" s="199" t="str">
        <f>KPIs!AJ$4</f>
        <v>Compresora</v>
      </c>
      <c r="C674" s="31" t="s">
        <v>39</v>
      </c>
      <c r="D674" s="199" t="str">
        <f>KPIs!$A$6</f>
        <v>1 · Frecuencia de casos con días perdidos</v>
      </c>
      <c r="E674" s="31" t="s">
        <v>599</v>
      </c>
      <c r="F674" s="247" t="str">
        <f>IF(ISNUMBER(KPIs!AJ6),KPIs!AJ6,"")</f>
        <v/>
      </c>
      <c r="G674" s="247">
        <f>IF(ISNUMBER(KPIs!$C$6),KPIs!$C$6,"")</f>
        <v>0</v>
      </c>
      <c r="H674" s="199" t="str">
        <f>IFERROR(INDEX(_TARGETS!$E$2:$E$17,MATCH($C674,_TARGETS!$A$2:$A$17,0))&amp;"","")</f>
        <v>≤</v>
      </c>
      <c r="I674" s="199" t="str">
        <f t="shared" si="50"/>
        <v/>
      </c>
      <c r="J674" s="193" t="str">
        <f t="shared" si="51"/>
        <v>Monthly</v>
      </c>
      <c r="K674" s="248">
        <f>Datos!AJ33</f>
        <v>0</v>
      </c>
      <c r="L674" s="248">
        <f>Datos!AJ14</f>
        <v>0</v>
      </c>
      <c r="M674" s="193">
        <f>INDEX(_TARGETS!$J$2:$J$17,MATCH($C674,_TARGETS!$A$2:$A$17,0))</f>
        <v>1000000</v>
      </c>
      <c r="N674" s="193" t="str">
        <f>INDEX(_TARGETS!$D$2:$D$17,MATCH($C674,_TARGETS!$A$2:$A$17,0))</f>
        <v>casos / 10^6 HH</v>
      </c>
      <c r="O674" s="193" t="str">
        <f>IF(NOT(ISNUMBER(F674)),"MISSING",IF((COUNTBLANK(Datos!AJ12)+COUNTBLANK(Datos!AJ13)+COUNTBLANK(Datos!AJ33))&gt;0,"INCOMPLETE","OK"))</f>
        <v>MISSING</v>
      </c>
      <c r="P674" s="193" t="str">
        <f>INDEX(_TARGETS!$K$2:$K$17,MATCH($C674,_TARGETS!$A$2:$A$17,0))</f>
        <v>OPS (carga manual en Datos)</v>
      </c>
      <c r="Q674" s="193" t="str">
        <f t="shared" si="52"/>
        <v>202904|DAFWCF|Monthly</v>
      </c>
      <c r="R674" s="193" t="str">
        <f>INDEX(_TARGETS!$H$2:$H$17,MATCH($C674,_TARGETS!$A$2:$A$17,0))</f>
        <v>Definida</v>
      </c>
      <c r="S674" s="193" t="str">
        <f t="shared" si="53"/>
        <v/>
      </c>
      <c r="T674" s="193" t="str">
        <f t="shared" si="54"/>
        <v/>
      </c>
    </row>
    <row r="675" spans="1:20" ht="13.5" customHeight="1" x14ac:dyDescent="0.3">
      <c r="A675" s="245">
        <f>KPIs!$AJ$3</f>
        <v>47209</v>
      </c>
      <c r="B675" s="199" t="str">
        <f>KPIs!AJ$4</f>
        <v>Compresora</v>
      </c>
      <c r="C675" s="31" t="s">
        <v>49</v>
      </c>
      <c r="D675" s="199" t="str">
        <f>KPIs!$A$7</f>
        <v>2 · Frecuencia de casos registrables</v>
      </c>
      <c r="E675" s="31" t="s">
        <v>599</v>
      </c>
      <c r="F675" s="247" t="str">
        <f>IF(ISNUMBER(KPIs!AJ7),KPIs!AJ7,"")</f>
        <v/>
      </c>
      <c r="G675" s="247">
        <f>IF(ISNUMBER(KPIs!$C$7),KPIs!$C$7,"")</f>
        <v>2.35</v>
      </c>
      <c r="H675" s="199" t="str">
        <f>IFERROR(INDEX(_TARGETS!$E$2:$E$17,MATCH($C675,_TARGETS!$A$2:$A$17,0))&amp;"","")</f>
        <v>≤</v>
      </c>
      <c r="I675" s="199" t="str">
        <f t="shared" si="50"/>
        <v/>
      </c>
      <c r="J675" s="193" t="str">
        <f t="shared" si="51"/>
        <v>Monthly</v>
      </c>
      <c r="K675" s="193">
        <f>Datos!AJ33+Datos!AJ34+Datos!AJ35+Datos!AJ36</f>
        <v>0</v>
      </c>
      <c r="L675" s="248">
        <f>Datos!AJ14</f>
        <v>0</v>
      </c>
      <c r="M675" s="193">
        <f>INDEX(_TARGETS!$J$2:$J$17,MATCH($C675,_TARGETS!$A$2:$A$17,0))</f>
        <v>1000000</v>
      </c>
      <c r="N675" s="193" t="str">
        <f>INDEX(_TARGETS!$D$2:$D$17,MATCH($C675,_TARGETS!$A$2:$A$17,0))</f>
        <v>casos / 10^6 HH</v>
      </c>
      <c r="O675" s="193" t="str">
        <f>IF(NOT(ISNUMBER(F675)),"MISSING",IF((COUNTBLANK(Datos!AJ12)+COUNTBLANK(Datos!AJ13)+COUNTBLANK(Datos!AJ33)+COUNTBLANK(Datos!AJ34)+COUNTBLANK(Datos!AJ35)+COUNTBLANK(Datos!AJ36))&gt;0,"INCOMPLETE","OK"))</f>
        <v>MISSING</v>
      </c>
      <c r="P675" s="193" t="str">
        <f>INDEX(_TARGETS!$K$2:$K$17,MATCH($C675,_TARGETS!$A$2:$A$17,0))</f>
        <v>OPS (carga manual en Datos)</v>
      </c>
      <c r="Q675" s="193" t="str">
        <f t="shared" si="52"/>
        <v>202904|TRICF|Monthly</v>
      </c>
      <c r="R675" s="193" t="str">
        <f>INDEX(_TARGETS!$H$2:$H$17,MATCH($C675,_TARGETS!$A$2:$A$17,0))</f>
        <v>Definida</v>
      </c>
      <c r="S675" s="193" t="str">
        <f t="shared" si="53"/>
        <v/>
      </c>
      <c r="T675" s="193" t="str">
        <f t="shared" si="54"/>
        <v/>
      </c>
    </row>
    <row r="676" spans="1:20" ht="13.5" customHeight="1" x14ac:dyDescent="0.3">
      <c r="A676" s="245">
        <f>KPIs!$AJ$3</f>
        <v>47209</v>
      </c>
      <c r="B676" s="199" t="str">
        <f>KPIs!AJ$4</f>
        <v>Compresora</v>
      </c>
      <c r="C676" s="31" t="s">
        <v>51</v>
      </c>
      <c r="D676" s="199" t="str">
        <f>KPIs!$A$8</f>
        <v>3 · Casos de primeros auxilios</v>
      </c>
      <c r="E676" s="31" t="s">
        <v>599</v>
      </c>
      <c r="F676" s="247" t="str">
        <f>IF(ISNUMBER(KPIs!AJ8),KPIs!AJ8,"")</f>
        <v/>
      </c>
      <c r="G676" s="247" t="str">
        <f>IF(ISNUMBER(KPIs!$C$8),KPIs!$C$8,"")</f>
        <v/>
      </c>
      <c r="H676" s="199" t="str">
        <f>IFERROR(INDEX(_TARGETS!$E$2:$E$17,MATCH($C676,_TARGETS!$A$2:$A$17,0))&amp;"","")</f>
        <v/>
      </c>
      <c r="I676" s="199" t="str">
        <f t="shared" si="50"/>
        <v/>
      </c>
      <c r="J676" s="193" t="str">
        <f t="shared" si="51"/>
        <v>Monthly</v>
      </c>
      <c r="K676" s="248">
        <f>Datos!AJ37</f>
        <v>0</v>
      </c>
      <c r="M676" s="193">
        <f>INDEX(_TARGETS!$J$2:$J$17,MATCH($C676,_TARGETS!$A$2:$A$17,0))</f>
        <v>1</v>
      </c>
      <c r="N676" s="193" t="str">
        <f>INDEX(_TARGETS!$D$2:$D$17,MATCH($C676,_TARGETS!$A$2:$A$17,0))</f>
        <v>casos</v>
      </c>
      <c r="O676" s="193" t="str">
        <f>IF(NOT(ISNUMBER(F676)),"MISSING",IF((COUNTBLANK(Datos!AJ12)+COUNTBLANK(Datos!AJ13)+COUNTBLANK(Datos!AJ37))&gt;0,"INCOMPLETE","OK"))</f>
        <v>MISSING</v>
      </c>
      <c r="P676" s="193" t="str">
        <f>INDEX(_TARGETS!$K$2:$K$17,MATCH($C676,_TARGETS!$A$2:$A$17,0))</f>
        <v>OPS (carga manual en Datos)</v>
      </c>
      <c r="Q676" s="193" t="str">
        <f t="shared" si="52"/>
        <v>202904|FAC|Monthly</v>
      </c>
      <c r="R676" s="193" t="str">
        <f>INDEX(_TARGETS!$H$2:$H$17,MATCH($C676,_TARGETS!$A$2:$A$17,0))</f>
        <v>Solo reporte</v>
      </c>
      <c r="S676" s="193" t="str">
        <f t="shared" si="53"/>
        <v/>
      </c>
      <c r="T676" s="193" t="str">
        <f t="shared" si="54"/>
        <v/>
      </c>
    </row>
    <row r="677" spans="1:20" ht="13.5" customHeight="1" x14ac:dyDescent="0.3">
      <c r="A677" s="245">
        <f>KPIs!$AJ$3</f>
        <v>47209</v>
      </c>
      <c r="B677" s="199" t="str">
        <f>KPIs!AJ$4</f>
        <v>Compresora</v>
      </c>
      <c r="C677" s="31" t="s">
        <v>57</v>
      </c>
      <c r="D677" s="199" t="str">
        <f>KPIs!$A$10</f>
        <v>4 · Accidentes vehiculares severos por millón de km</v>
      </c>
      <c r="E677" s="31" t="s">
        <v>599</v>
      </c>
      <c r="F677" s="247" t="str">
        <f>IF(ISNUMBER(KPIs!AJ10),KPIs!AJ10,"")</f>
        <v/>
      </c>
      <c r="G677" s="247" t="str">
        <f>IF(ISNUMBER(KPIs!$C$10),KPIs!$C$10,"")</f>
        <v/>
      </c>
      <c r="H677" s="199" t="str">
        <f>IFERROR(INDEX(_TARGETS!$E$2:$E$17,MATCH($C677,_TARGETS!$A$2:$A$17,0))&amp;"","")</f>
        <v/>
      </c>
      <c r="I677" s="199" t="str">
        <f t="shared" si="50"/>
        <v/>
      </c>
      <c r="J677" s="193" t="str">
        <f t="shared" si="51"/>
        <v>Monthly</v>
      </c>
      <c r="K677" s="193">
        <f>Datos!AJ39+Datos!AJ40+Datos!AJ41</f>
        <v>0</v>
      </c>
      <c r="L677" s="248">
        <f>Datos!AJ47</f>
        <v>0</v>
      </c>
      <c r="M677" s="193">
        <f>INDEX(_TARGETS!$J$2:$J$17,MATCH($C677,_TARGETS!$A$2:$A$17,0))</f>
        <v>1000000</v>
      </c>
      <c r="N677" s="193" t="str">
        <f>INDEX(_TARGETS!$D$2:$D$17,MATCH($C677,_TARGETS!$A$2:$A$17,0))</f>
        <v>eventos / 10^6 km</v>
      </c>
      <c r="O677" s="193" t="str">
        <f>IF(NOT(ISNUMBER(F677)),"MISSING",IF((COUNTBLANK(Datos!AJ44)+COUNTBLANK(Datos!AJ45)+COUNTBLANK(Datos!AJ46)+COUNTBLANK(Datos!AJ39)+COUNTBLANK(Datos!AJ40)+COUNTBLANK(Datos!AJ41))&gt;0,"INCOMPLETE","OK"))</f>
        <v>MISSING</v>
      </c>
      <c r="P677" s="193" t="str">
        <f>INDEX(_TARGETS!$K$2:$K$17,MATCH($C677,_TARGETS!$A$2:$A$17,0))</f>
        <v>OPS (eventos) + Full Control GPS (km) - carga manual en Datos</v>
      </c>
      <c r="Q677" s="193" t="str">
        <f t="shared" si="52"/>
        <v>202904|SVCR|Monthly</v>
      </c>
      <c r="R677" s="193" t="str">
        <f>INDEX(_TARGETS!$H$2:$H$17,MATCH($C677,_TARGETS!$A$2:$A$17,0))</f>
        <v>Solo reporte</v>
      </c>
      <c r="S677" s="193" t="str">
        <f t="shared" si="53"/>
        <v/>
      </c>
      <c r="T677" s="193" t="str">
        <f t="shared" si="54"/>
        <v/>
      </c>
    </row>
    <row r="678" spans="1:20" ht="13.5" customHeight="1" x14ac:dyDescent="0.3">
      <c r="A678" s="245">
        <f>KPIs!$AJ$3</f>
        <v>47209</v>
      </c>
      <c r="B678" s="199" t="str">
        <f>KPIs!AJ$4</f>
        <v>Compresora</v>
      </c>
      <c r="C678" s="31" t="s">
        <v>61</v>
      </c>
      <c r="D678" s="199" t="str">
        <f>KPIs!$A$11</f>
        <v>5 · Accidentes vehiculares totales por millón de km</v>
      </c>
      <c r="E678" s="31" t="s">
        <v>599</v>
      </c>
      <c r="F678" s="247" t="str">
        <f>IF(ISNUMBER(KPIs!AJ11),KPIs!AJ11,"")</f>
        <v/>
      </c>
      <c r="G678" s="247">
        <f>IF(ISNUMBER(KPIs!$C$11),KPIs!$C$11,"")</f>
        <v>0.79</v>
      </c>
      <c r="H678" s="199" t="str">
        <f>IFERROR(INDEX(_TARGETS!$E$2:$E$17,MATCH($C678,_TARGETS!$A$2:$A$17,0))&amp;"","")</f>
        <v>≤</v>
      </c>
      <c r="I678" s="199" t="str">
        <f t="shared" si="50"/>
        <v/>
      </c>
      <c r="J678" s="193" t="str">
        <f t="shared" si="51"/>
        <v>Monthly</v>
      </c>
      <c r="K678" s="193">
        <f>Datos!AJ39+Datos!AJ40+Datos!AJ41+Datos!AJ42</f>
        <v>0</v>
      </c>
      <c r="L678" s="248">
        <f>Datos!AJ47</f>
        <v>0</v>
      </c>
      <c r="M678" s="193">
        <f>INDEX(_TARGETS!$J$2:$J$17,MATCH($C678,_TARGETS!$A$2:$A$17,0))</f>
        <v>1000000</v>
      </c>
      <c r="N678" s="193" t="str">
        <f>INDEX(_TARGETS!$D$2:$D$17,MATCH($C678,_TARGETS!$A$2:$A$17,0))</f>
        <v>eventos / 10^6 km</v>
      </c>
      <c r="O678" s="193" t="str">
        <f>IF(NOT(ISNUMBER(F678)),"MISSING",IF((COUNTBLANK(Datos!AJ44)+COUNTBLANK(Datos!AJ45)+COUNTBLANK(Datos!AJ46)+COUNTBLANK(Datos!AJ39)+COUNTBLANK(Datos!AJ40)+COUNTBLANK(Datos!AJ41)+COUNTBLANK(Datos!AJ42))&gt;0,"INCOMPLETE","OK"))</f>
        <v>MISSING</v>
      </c>
      <c r="P678" s="193" t="str">
        <f>INDEX(_TARGETS!$K$2:$K$17,MATCH($C678,_TARGETS!$A$2:$A$17,0))</f>
        <v>OPS (eventos) + Full Control GPS (km) - carga manual en Datos</v>
      </c>
      <c r="Q678" s="193" t="str">
        <f t="shared" si="52"/>
        <v>202904|TVCR|Monthly</v>
      </c>
      <c r="R678" s="193" t="str">
        <f>INDEX(_TARGETS!$H$2:$H$17,MATCH($C678,_TARGETS!$A$2:$A$17,0))</f>
        <v>Definida</v>
      </c>
      <c r="S678" s="193" t="str">
        <f t="shared" si="53"/>
        <v/>
      </c>
      <c r="T678" s="193" t="str">
        <f t="shared" si="54"/>
        <v/>
      </c>
    </row>
    <row r="679" spans="1:20" ht="13.5" customHeight="1" x14ac:dyDescent="0.3">
      <c r="A679" s="245">
        <f>KPIs!$AJ$3</f>
        <v>47209</v>
      </c>
      <c r="B679" s="199" t="str">
        <f>KPIs!AJ$4</f>
        <v>Compresora</v>
      </c>
      <c r="C679" s="31" t="s">
        <v>63</v>
      </c>
      <c r="D679" s="199" t="str">
        <f>KPIs!$A$13</f>
        <v>6 · Observaciones de seguridad por persona</v>
      </c>
      <c r="E679" s="31" t="s">
        <v>599</v>
      </c>
      <c r="F679" s="247" t="str">
        <f>IF(ISNUMBER(KPIs!AJ13),KPIs!AJ13,"")</f>
        <v/>
      </c>
      <c r="G679" s="247">
        <f>IF(ISNUMBER(KPIs!$C$13),KPIs!$C$13,"")</f>
        <v>1</v>
      </c>
      <c r="H679" s="199" t="str">
        <f>IFERROR(INDEX(_TARGETS!$E$2:$E$17,MATCH($C679,_TARGETS!$A$2:$A$17,0))&amp;"","")</f>
        <v>≥</v>
      </c>
      <c r="I679" s="199" t="str">
        <f t="shared" si="50"/>
        <v/>
      </c>
      <c r="J679" s="193" t="str">
        <f t="shared" si="51"/>
        <v>Monthly</v>
      </c>
      <c r="K679" s="248" t="str">
        <f>IF(COUNT(Datos!AJ28:AJ29)=0,"",SUM(Datos!AJ28:AJ29))</f>
        <v/>
      </c>
      <c r="L679" s="248">
        <f>Datos!AJ11</f>
        <v>0</v>
      </c>
      <c r="M679" s="193">
        <f>INDEX(_TARGETS!$J$2:$J$17,MATCH($C679,_TARGETS!$A$2:$A$17,0))</f>
        <v>1</v>
      </c>
      <c r="N679" s="193" t="str">
        <f>INDEX(_TARGETS!$D$2:$D$17,MATCH($C679,_TARGETS!$A$2:$A$17,0))</f>
        <v>obs / persona</v>
      </c>
      <c r="O679" s="193" t="str">
        <f>IF(NOT(ISNUMBER(F679)),"MISSING",IF((COUNTBLANK(Datos!AJ9)+COUNTBLANK(Datos!AJ10)+IF(COUNT(Datos!AJ28:AJ29)=0,1,0))&gt;0,"INCOMPLETE","OK"))</f>
        <v>MISSING</v>
      </c>
      <c r="P679" s="193" t="str">
        <f>INDEX(_TARGETS!$K$2:$K$17,MATCH($C679,_TARGETS!$A$2:$A$17,0))</f>
        <v>OPS (carga manual en Datos)</v>
      </c>
      <c r="Q679" s="193" t="str">
        <f t="shared" si="52"/>
        <v>202904|OBS|Monthly</v>
      </c>
      <c r="R679" s="193" t="str">
        <f>INDEX(_TARGETS!$H$2:$H$17,MATCH($C679,_TARGETS!$A$2:$A$17,0))</f>
        <v>PROVISORIA · referencia del subcontratista (OPS: 1 obs/persona); meta y población en definición</v>
      </c>
      <c r="S679" s="193" t="str">
        <f t="shared" si="53"/>
        <v/>
      </c>
      <c r="T679" s="193" t="str">
        <f t="shared" si="54"/>
        <v/>
      </c>
    </row>
    <row r="680" spans="1:20" ht="13.5" customHeight="1" x14ac:dyDescent="0.3">
      <c r="A680" s="245">
        <f>KPIs!$AJ$3</f>
        <v>47209</v>
      </c>
      <c r="B680" s="199" t="str">
        <f>KPIs!AJ$4</f>
        <v>Compresora</v>
      </c>
      <c r="C680" s="31" t="s">
        <v>71</v>
      </c>
      <c r="D680" s="199" t="str">
        <f>KPIs!$A$14</f>
        <v>7 · Investigaciones de accidentes: días promedio de cierre</v>
      </c>
      <c r="E680" s="31" t="s">
        <v>599</v>
      </c>
      <c r="F680" s="247" t="str">
        <f>IF(ISNUMBER(KPIs!AJ14),KPIs!AJ14,"")</f>
        <v/>
      </c>
      <c r="G680" s="247">
        <f>IF(ISNUMBER(KPIs!$C$14),KPIs!$C$14,"")</f>
        <v>20</v>
      </c>
      <c r="H680" s="199" t="str">
        <f>IFERROR(INDEX(_TARGETS!$E$2:$E$17,MATCH($C680,_TARGETS!$A$2:$A$17,0))&amp;"","")</f>
        <v>≤</v>
      </c>
      <c r="I680" s="199" t="str">
        <f t="shared" si="50"/>
        <v/>
      </c>
      <c r="J680" s="193" t="str">
        <f t="shared" si="51"/>
        <v>Monthly</v>
      </c>
      <c r="K680" s="248">
        <f>Datos!AJ31</f>
        <v>0</v>
      </c>
      <c r="L680" s="248">
        <f>Datos!AJ30</f>
        <v>0</v>
      </c>
      <c r="M680" s="193">
        <f>INDEX(_TARGETS!$J$2:$J$17,MATCH($C680,_TARGETS!$A$2:$A$17,0))</f>
        <v>1</v>
      </c>
      <c r="N680" s="193" t="str">
        <f>INDEX(_TARGETS!$D$2:$D$17,MATCH($C680,_TARGETS!$A$2:$A$17,0))</f>
        <v>días</v>
      </c>
      <c r="O680" s="193" t="str">
        <f>IF(NOT(ISNUMBER(F680)),"MISSING",IF((COUNTBLANK(Datos!AJ30)+COUNTBLANK(Datos!AJ31))&gt;0,"INCOMPLETE","OK"))</f>
        <v>MISSING</v>
      </c>
      <c r="P680" s="193" t="str">
        <f>INDEX(_TARGETS!$K$2:$K$17,MATCH($C680,_TARGETS!$A$2:$A$17,0))</f>
        <v>OPS (carga manual en Datos)</v>
      </c>
      <c r="Q680" s="193" t="str">
        <f t="shared" si="52"/>
        <v>202904|INV|Monthly</v>
      </c>
      <c r="R680" s="193" t="str">
        <f>INDEX(_TARGETS!$H$2:$H$17,MATCH($C680,_TARGETS!$A$2:$A$17,0))</f>
        <v>Definida</v>
      </c>
      <c r="S680" s="193" t="str">
        <f t="shared" si="53"/>
        <v/>
      </c>
      <c r="T680" s="193" t="str">
        <f t="shared" si="54"/>
        <v/>
      </c>
    </row>
    <row r="681" spans="1:20" ht="13.5" customHeight="1" x14ac:dyDescent="0.3">
      <c r="A681" s="245">
        <f>KPIs!$AJ$3</f>
        <v>47209</v>
      </c>
      <c r="B681" s="199" t="str">
        <f>KPIs!AJ$4</f>
        <v>Compresora</v>
      </c>
      <c r="C681" s="31" t="s">
        <v>76</v>
      </c>
      <c r="D681" s="199" t="str">
        <f>KPIs!$A$16</f>
        <v>8 · % de capacitación en seguridad</v>
      </c>
      <c r="E681" s="31" t="s">
        <v>599</v>
      </c>
      <c r="F681" s="247" t="str">
        <f>IF(ISNUMBER(KPIs!AJ16),KPIs!AJ16,"")</f>
        <v/>
      </c>
      <c r="G681" s="247">
        <f>IF(ISNUMBER(KPIs!$C$16),KPIs!$C$16,"")</f>
        <v>0.01</v>
      </c>
      <c r="H681" s="199" t="str">
        <f>IFERROR(INDEX(_TARGETS!$E$2:$E$17,MATCH($C681,_TARGETS!$A$2:$A$17,0))&amp;"","")</f>
        <v>≥</v>
      </c>
      <c r="I681" s="199" t="str">
        <f t="shared" si="50"/>
        <v/>
      </c>
      <c r="J681" s="193" t="str">
        <f t="shared" si="51"/>
        <v>Monthly</v>
      </c>
      <c r="K681" s="248">
        <f>Datos!AJ18</f>
        <v>0</v>
      </c>
      <c r="L681" s="248">
        <f>Datos!AJ14</f>
        <v>0</v>
      </c>
      <c r="M681" s="193">
        <f>INDEX(_TARGETS!$J$2:$J$17,MATCH($C681,_TARGETS!$A$2:$A$17,0))</f>
        <v>1</v>
      </c>
      <c r="N681" s="193" t="str">
        <f>INDEX(_TARGETS!$D$2:$D$17,MATCH($C681,_TARGETS!$A$2:$A$17,0))</f>
        <v>% (fracción)</v>
      </c>
      <c r="O681" s="193" t="str">
        <f>IF(NOT(ISNUMBER(F681)),"MISSING",IF((COUNTBLANK(Datos!AJ16)+COUNTBLANK(Datos!AJ17)+COUNTBLANK(Datos!AJ12)+COUNTBLANK(Datos!AJ13))&gt;0,"INCOMPLETE","OK"))</f>
        <v>MISSING</v>
      </c>
      <c r="P681" s="193" t="str">
        <f>INDEX(_TARGETS!$K$2:$K$17,MATCH($C681,_TARGETS!$A$2:$A$17,0))</f>
        <v>OPS (carga manual en Datos)</v>
      </c>
      <c r="Q681" s="193" t="str">
        <f t="shared" si="52"/>
        <v>202904|HCS|Monthly</v>
      </c>
      <c r="R681" s="193" t="str">
        <f>INDEX(_TARGETS!$H$2:$H$17,MATCH($C681,_TARGETS!$A$2:$A$17,0))</f>
        <v>Definida</v>
      </c>
      <c r="S681" s="193" t="str">
        <f t="shared" si="53"/>
        <v/>
      </c>
      <c r="T681" s="193" t="str">
        <f t="shared" si="54"/>
        <v/>
      </c>
    </row>
    <row r="682" spans="1:20" ht="13.5" customHeight="1" x14ac:dyDescent="0.3">
      <c r="A682" s="245">
        <f>KPIs!$AJ$3</f>
        <v>47209</v>
      </c>
      <c r="B682" s="199" t="str">
        <f>KPIs!AJ$4</f>
        <v>Compresora</v>
      </c>
      <c r="C682" s="31" t="s">
        <v>80</v>
      </c>
      <c r="D682" s="199" t="str">
        <f>KPIs!$A$17</f>
        <v>9 · Horas de capacitación por persona</v>
      </c>
      <c r="E682" s="31" t="s">
        <v>599</v>
      </c>
      <c r="F682" s="247" t="str">
        <f>IF(ISNUMBER(KPIs!AJ17),KPIs!AJ17,"")</f>
        <v/>
      </c>
      <c r="G682" s="247" t="str">
        <f>IF(ISNUMBER(KPIs!$C$17),KPIs!$C$17,"")</f>
        <v/>
      </c>
      <c r="H682" s="199" t="str">
        <f>IFERROR(INDEX(_TARGETS!$E$2:$E$17,MATCH($C682,_TARGETS!$A$2:$A$17,0))&amp;"","")</f>
        <v/>
      </c>
      <c r="I682" s="199" t="str">
        <f t="shared" si="50"/>
        <v/>
      </c>
      <c r="J682" s="193" t="str">
        <f t="shared" si="51"/>
        <v>Monthly</v>
      </c>
      <c r="K682" s="248">
        <f>Datos!AJ18</f>
        <v>0</v>
      </c>
      <c r="L682" s="248">
        <f>Datos!AJ11</f>
        <v>0</v>
      </c>
      <c r="M682" s="193">
        <f>INDEX(_TARGETS!$J$2:$J$17,MATCH($C682,_TARGETS!$A$2:$A$17,0))</f>
        <v>1</v>
      </c>
      <c r="N682" s="193" t="str">
        <f>INDEX(_TARGETS!$D$2:$D$17,MATCH($C682,_TARGETS!$A$2:$A$17,0))</f>
        <v>h / persona</v>
      </c>
      <c r="O682" s="193" t="str">
        <f>IF(NOT(ISNUMBER(F682)),"MISSING",IF((COUNTBLANK(Datos!AJ16)+COUNTBLANK(Datos!AJ17)+COUNTBLANK(Datos!AJ9)+COUNTBLANK(Datos!AJ10))&gt;0,"INCOMPLETE","OK"))</f>
        <v>MISSING</v>
      </c>
      <c r="P682" s="193" t="str">
        <f>INDEX(_TARGETS!$K$2:$K$17,MATCH($C682,_TARGETS!$A$2:$A$17,0))</f>
        <v>OPS (carga manual en Datos)</v>
      </c>
      <c r="Q682" s="193" t="str">
        <f t="shared" si="52"/>
        <v>202904|HCSA|Monthly</v>
      </c>
      <c r="R682" s="193" t="str">
        <f>INDEX(_TARGETS!$H$2:$H$17,MATCH($C682,_TARGETS!$A$2:$A$17,0))</f>
        <v>Solo reporte</v>
      </c>
      <c r="S682" s="193" t="str">
        <f t="shared" si="53"/>
        <v/>
      </c>
      <c r="T682" s="193" t="str">
        <f t="shared" si="54"/>
        <v/>
      </c>
    </row>
    <row r="683" spans="1:20" ht="13.5" customHeight="1" x14ac:dyDescent="0.3">
      <c r="A683" s="245">
        <f>KPIs!$AJ$3</f>
        <v>47209</v>
      </c>
      <c r="B683" s="199" t="str">
        <f>KPIs!AJ$4</f>
        <v>Compresora</v>
      </c>
      <c r="C683" s="31" t="s">
        <v>83</v>
      </c>
      <c r="D683" s="199" t="str">
        <f>KPIs!$A$18</f>
        <v>10 · Cumplimiento de simulacros (emergencia y operativos)</v>
      </c>
      <c r="E683" s="31" t="s">
        <v>599</v>
      </c>
      <c r="F683" s="247" t="str">
        <f>IF(ISNUMBER(KPIs!AJ18),KPIs!AJ18,"")</f>
        <v/>
      </c>
      <c r="G683" s="247">
        <f>IF(ISNUMBER(KPIs!$C$18),KPIs!$C$18,"")</f>
        <v>1</v>
      </c>
      <c r="H683" s="199" t="str">
        <f>IFERROR(INDEX(_TARGETS!$E$2:$E$17,MATCH($C683,_TARGETS!$A$2:$A$17,0))&amp;"","")</f>
        <v>≥</v>
      </c>
      <c r="I683" s="199" t="str">
        <f t="shared" si="50"/>
        <v/>
      </c>
      <c r="J683" s="193" t="str">
        <f t="shared" si="51"/>
        <v>Monthly</v>
      </c>
      <c r="K683" s="248">
        <f>Datos!AJ20</f>
        <v>0</v>
      </c>
      <c r="L683" s="248">
        <f>Datos!AJ21</f>
        <v>0</v>
      </c>
      <c r="M683" s="193">
        <f>INDEX(_TARGETS!$J$2:$J$17,MATCH($C683,_TARGETS!$A$2:$A$17,0))</f>
        <v>1</v>
      </c>
      <c r="N683" s="193" t="str">
        <f>INDEX(_TARGETS!$D$2:$D$17,MATCH($C683,_TARGETS!$A$2:$A$17,0))</f>
        <v>% (fracción)</v>
      </c>
      <c r="O683" s="193" t="str">
        <f>IF(NOT(ISNUMBER(F683)),"MISSING",IF((COUNTBLANK(Datos!AJ20)+COUNTBLANK(Datos!AJ21))&gt;0,"INCOMPLETE","OK"))</f>
        <v>MISSING</v>
      </c>
      <c r="P683" s="193" t="str">
        <f>INDEX(_TARGETS!$K$2:$K$17,MATCH($C683,_TARGETS!$A$2:$A$17,0))</f>
        <v>OPS (carga manual en Datos)</v>
      </c>
      <c r="Q683" s="193" t="str">
        <f t="shared" si="52"/>
        <v>202904|CPSE|Monthly</v>
      </c>
      <c r="R683" s="193" t="str">
        <f>INDEX(_TARGETS!$H$2:$H$17,MATCH($C683,_TARGETS!$A$2:$A$17,0))</f>
        <v>Definida</v>
      </c>
      <c r="S683" s="193" t="str">
        <f t="shared" si="53"/>
        <v/>
      </c>
      <c r="T683" s="193" t="str">
        <f t="shared" si="54"/>
        <v/>
      </c>
    </row>
    <row r="684" spans="1:20" ht="13.5" customHeight="1" x14ac:dyDescent="0.3">
      <c r="A684" s="245">
        <f>KPIs!$AJ$3</f>
        <v>47209</v>
      </c>
      <c r="B684" s="199" t="str">
        <f>KPIs!AJ$4</f>
        <v>Compresora</v>
      </c>
      <c r="C684" s="31" t="s">
        <v>85</v>
      </c>
      <c r="D684" s="199" t="str">
        <f>KPIs!$A$19</f>
        <v>10b · Cumplimiento de acciones de mejora de simulacros</v>
      </c>
      <c r="E684" s="31" t="s">
        <v>599</v>
      </c>
      <c r="F684" s="247" t="str">
        <f>IF(ISNUMBER(KPIs!AJ19),KPIs!AJ19,"")</f>
        <v/>
      </c>
      <c r="G684" s="247" t="str">
        <f>IF(ISNUMBER(KPIs!$C$19),KPIs!$C$19,"")</f>
        <v/>
      </c>
      <c r="H684" s="199" t="str">
        <f>IFERROR(INDEX(_TARGETS!$E$2:$E$17,MATCH($C684,_TARGETS!$A$2:$A$17,0))&amp;"","")</f>
        <v/>
      </c>
      <c r="I684" s="199" t="str">
        <f t="shared" si="50"/>
        <v/>
      </c>
      <c r="J684" s="193" t="str">
        <f t="shared" si="51"/>
        <v>Monthly</v>
      </c>
      <c r="K684" s="248">
        <f>Datos!AJ23</f>
        <v>0</v>
      </c>
      <c r="L684" s="248">
        <f>Datos!AJ22</f>
        <v>0</v>
      </c>
      <c r="M684" s="193">
        <f>INDEX(_TARGETS!$J$2:$J$17,MATCH($C684,_TARGETS!$A$2:$A$17,0))</f>
        <v>1</v>
      </c>
      <c r="N684" s="193" t="str">
        <f>INDEX(_TARGETS!$D$2:$D$17,MATCH($C684,_TARGETS!$A$2:$A$17,0))</f>
        <v>% (fracción)</v>
      </c>
      <c r="O684" s="193" t="str">
        <f>IF(NOT(ISNUMBER(F684)),"MISSING",IF((COUNTBLANK(Datos!AJ23)+COUNTBLANK(Datos!AJ22))&gt;0,"INCOMPLETE","OK"))</f>
        <v>MISSING</v>
      </c>
      <c r="P684" s="193" t="str">
        <f>INDEX(_TARGETS!$K$2:$K$17,MATCH($C684,_TARGETS!$A$2:$A$17,0))</f>
        <v>OPS (carga manual en Datos)</v>
      </c>
      <c r="Q684" s="193" t="str">
        <f t="shared" si="52"/>
        <v>202904|CAMS|Monthly</v>
      </c>
      <c r="R684" s="193" t="str">
        <f>INDEX(_TARGETS!$H$2:$H$17,MATCH($C684,_TARGETS!$A$2:$A$17,0))</f>
        <v>Solo reporte</v>
      </c>
      <c r="S684" s="193" t="str">
        <f t="shared" si="53"/>
        <v/>
      </c>
      <c r="T684" s="193" t="str">
        <f t="shared" si="54"/>
        <v/>
      </c>
    </row>
    <row r="685" spans="1:20" ht="13.5" customHeight="1" x14ac:dyDescent="0.3">
      <c r="A685" s="245">
        <f>KPIs!$AJ$3</f>
        <v>47209</v>
      </c>
      <c r="B685" s="199" t="str">
        <f>KPIs!AJ$4</f>
        <v>Compresora</v>
      </c>
      <c r="C685" s="31" t="s">
        <v>87</v>
      </c>
      <c r="D685" s="199" t="str">
        <f>KPIs!$A$21</f>
        <v>11 · Cumplimiento de caminatas gerenciales</v>
      </c>
      <c r="E685" s="31" t="s">
        <v>599</v>
      </c>
      <c r="F685" s="247" t="str">
        <f>IF(ISNUMBER(KPIs!AJ21),KPIs!AJ21,"")</f>
        <v/>
      </c>
      <c r="G685" s="247">
        <f>IF(ISNUMBER(KPIs!$C$21),KPIs!$C$21,"")</f>
        <v>1</v>
      </c>
      <c r="H685" s="199" t="str">
        <f>IFERROR(INDEX(_TARGETS!$E$2:$E$17,MATCH($C685,_TARGETS!$A$2:$A$17,0))&amp;"","")</f>
        <v>≥</v>
      </c>
      <c r="I685" s="199" t="str">
        <f t="shared" si="50"/>
        <v/>
      </c>
      <c r="J685" s="193" t="str">
        <f t="shared" si="51"/>
        <v>Monthly</v>
      </c>
      <c r="K685" s="248">
        <f>Datos!AJ24</f>
        <v>0</v>
      </c>
      <c r="L685" s="248">
        <f>Datos!AJ25</f>
        <v>0</v>
      </c>
      <c r="M685" s="193">
        <f>INDEX(_TARGETS!$J$2:$J$17,MATCH($C685,_TARGETS!$A$2:$A$17,0))</f>
        <v>1</v>
      </c>
      <c r="N685" s="193" t="str">
        <f>INDEX(_TARGETS!$D$2:$D$17,MATCH($C685,_TARGETS!$A$2:$A$17,0))</f>
        <v>% (fracción)</v>
      </c>
      <c r="O685" s="193" t="str">
        <f>IF(NOT(ISNUMBER(F685)),"MISSING",IF((COUNTBLANK(Datos!AJ24)+COUNTBLANK(Datos!AJ25))&gt;0,"INCOMPLETE","OK"))</f>
        <v>MISSING</v>
      </c>
      <c r="P685" s="193" t="str">
        <f>INDEX(_TARGETS!$K$2:$K$17,MATCH($C685,_TARGETS!$A$2:$A$17,0))</f>
        <v>OPS (carga manual en Datos)</v>
      </c>
      <c r="Q685" s="193" t="str">
        <f t="shared" si="52"/>
        <v>202904|ICCS|Monthly</v>
      </c>
      <c r="R685" s="193" t="str">
        <f>INDEX(_TARGETS!$H$2:$H$17,MATCH($C685,_TARGETS!$A$2:$A$17,0))</f>
        <v>Definida</v>
      </c>
      <c r="S685" s="193" t="str">
        <f t="shared" si="53"/>
        <v/>
      </c>
      <c r="T685" s="193" t="str">
        <f t="shared" si="54"/>
        <v/>
      </c>
    </row>
    <row r="686" spans="1:20" ht="13.5" customHeight="1" x14ac:dyDescent="0.3">
      <c r="A686" s="245">
        <f>KPIs!$AJ$3</f>
        <v>47209</v>
      </c>
      <c r="B686" s="199" t="str">
        <f>KPIs!AJ$4</f>
        <v>Compresora</v>
      </c>
      <c r="C686" s="31" t="s">
        <v>89</v>
      </c>
      <c r="D686" s="199" t="str">
        <f>KPIs!$A$22</f>
        <v>12 · Cumplimiento de comités y subcomités de seguridad</v>
      </c>
      <c r="E686" s="31" t="s">
        <v>599</v>
      </c>
      <c r="F686" s="247" t="str">
        <f>IF(ISNUMBER(KPIs!AJ22),KPIs!AJ22,"")</f>
        <v/>
      </c>
      <c r="G686" s="247">
        <f>IF(ISNUMBER(KPIs!$C$22),KPIs!$C$22,"")</f>
        <v>1</v>
      </c>
      <c r="H686" s="199" t="str">
        <f>IFERROR(INDEX(_TARGETS!$E$2:$E$17,MATCH($C686,_TARGETS!$A$2:$A$17,0))&amp;"","")</f>
        <v>≥</v>
      </c>
      <c r="I686" s="199" t="str">
        <f t="shared" si="50"/>
        <v/>
      </c>
      <c r="J686" s="193" t="str">
        <f t="shared" si="51"/>
        <v>Monthly</v>
      </c>
      <c r="K686" s="248">
        <f>Datos!AJ26</f>
        <v>0</v>
      </c>
      <c r="L686" s="248">
        <f>Datos!AJ27</f>
        <v>0</v>
      </c>
      <c r="M686" s="193">
        <f>INDEX(_TARGETS!$J$2:$J$17,MATCH($C686,_TARGETS!$A$2:$A$17,0))</f>
        <v>1</v>
      </c>
      <c r="N686" s="193" t="str">
        <f>INDEX(_TARGETS!$D$2:$D$17,MATCH($C686,_TARGETS!$A$2:$A$17,0))</f>
        <v>% (fracción)</v>
      </c>
      <c r="O686" s="193" t="str">
        <f>IF(NOT(ISNUMBER(F686)),"MISSING",IF((COUNTBLANK(Datos!AJ26)+COUNTBLANK(Datos!AJ27))&gt;0,"INCOMPLETE","OK"))</f>
        <v>MISSING</v>
      </c>
      <c r="P686" s="193" t="str">
        <f>INDEX(_TARGETS!$K$2:$K$17,MATCH($C686,_TARGETS!$A$2:$A$17,0))</f>
        <v>OPS (carga manual en Datos)</v>
      </c>
      <c r="Q686" s="193" t="str">
        <f t="shared" si="52"/>
        <v>202904|CCS|Monthly</v>
      </c>
      <c r="R686" s="193" t="str">
        <f>INDEX(_TARGETS!$H$2:$H$17,MATCH($C686,_TARGETS!$A$2:$A$17,0))</f>
        <v>Definida</v>
      </c>
      <c r="S686" s="193" t="str">
        <f t="shared" si="53"/>
        <v/>
      </c>
      <c r="T686" s="193" t="str">
        <f t="shared" si="54"/>
        <v/>
      </c>
    </row>
    <row r="687" spans="1:20" ht="13.5" customHeight="1" x14ac:dyDescent="0.3">
      <c r="A687" s="245">
        <f>KPIs!$AJ$3</f>
        <v>47209</v>
      </c>
      <c r="B687" s="199" t="str">
        <f>KPIs!AJ$4</f>
        <v>Compresora</v>
      </c>
      <c r="C687" s="31" t="s">
        <v>91</v>
      </c>
      <c r="D687" s="199" t="str">
        <f>KPIs!$A$23</f>
        <v>13 · Días promedio para cerrar hallazgos</v>
      </c>
      <c r="E687" s="31" t="s">
        <v>599</v>
      </c>
      <c r="F687" s="247" t="str">
        <f>IF(ISNUMBER(KPIs!AJ23),KPIs!AJ23,"")</f>
        <v/>
      </c>
      <c r="G687" s="247" t="str">
        <f>IF(ISNUMBER(KPIs!$C$23),KPIs!$C$23,"")</f>
        <v/>
      </c>
      <c r="H687" s="199" t="str">
        <f>IFERROR(INDEX(_TARGETS!$E$2:$E$17,MATCH($C687,_TARGETS!$A$2:$A$17,0))&amp;"","")</f>
        <v>≤</v>
      </c>
      <c r="I687" s="199" t="str">
        <f t="shared" si="50"/>
        <v/>
      </c>
      <c r="J687" s="193" t="str">
        <f t="shared" si="51"/>
        <v>Monthly</v>
      </c>
      <c r="K687" s="248">
        <f>Datos!AJ68</f>
        <v>0</v>
      </c>
      <c r="L687" s="248">
        <f>Datos!AJ67</f>
        <v>0</v>
      </c>
      <c r="M687" s="193">
        <f>INDEX(_TARGETS!$J$2:$J$17,MATCH($C687,_TARGETS!$A$2:$A$17,0))</f>
        <v>1</v>
      </c>
      <c r="N687" s="193" t="str">
        <f>INDEX(_TARGETS!$D$2:$D$17,MATCH($C687,_TARGETS!$A$2:$A$17,0))</f>
        <v>días</v>
      </c>
      <c r="O687" s="193" t="str">
        <f>IF(NOT(ISNUMBER(F687)),"MISSING","OK")</f>
        <v>MISSING</v>
      </c>
      <c r="P687" s="193" t="str">
        <f>INDEX(_TARGETS!$K$2:$K$17,MATCH($C687,_TARGETS!$A$2:$A$17,0))</f>
        <v>Plant Findings (hoja Observaciones-SMP)</v>
      </c>
      <c r="Q687" s="193" t="str">
        <f t="shared" si="52"/>
        <v>202904|DPAS|Monthly</v>
      </c>
      <c r="R687" s="193" t="str">
        <f>INDEX(_TARGETS!$H$2:$H$17,MATCH($C687,_TARGETS!$A$2:$A$17,0))</f>
        <v>Pendiente (meta 2027)</v>
      </c>
      <c r="S687" s="193" t="str">
        <f t="shared" si="53"/>
        <v/>
      </c>
      <c r="T687" s="193" t="str">
        <f t="shared" si="54"/>
        <v/>
      </c>
    </row>
    <row r="688" spans="1:20" ht="13.5" customHeight="1" x14ac:dyDescent="0.3">
      <c r="A688" s="245">
        <f>KPIs!$AJ$3</f>
        <v>47209</v>
      </c>
      <c r="B688" s="199" t="str">
        <f>KPIs!AJ$4</f>
        <v>Compresora</v>
      </c>
      <c r="C688" s="31" t="s">
        <v>39</v>
      </c>
      <c r="D688" s="199" t="str">
        <f>KPIs!$A$26</f>
        <v>1 · Frecuencia de casos con días perdidos · ACUMULADO</v>
      </c>
      <c r="E688" s="31" t="s">
        <v>600</v>
      </c>
      <c r="F688" s="247" t="str">
        <f>IF(ISNUMBER(KPIs!AJ26),KPIs!AJ26,"")</f>
        <v/>
      </c>
      <c r="G688" s="247">
        <f>IF(ISNUMBER(KPIs!$C$26),KPIs!$C$26,"")</f>
        <v>0</v>
      </c>
      <c r="H688" s="199" t="str">
        <f>IFERROR(INDEX(_TARGETS!$E$2:$E$17,MATCH($C688,_TARGETS!$A$2:$A$17,0))&amp;"","")</f>
        <v>≤</v>
      </c>
      <c r="I688" s="199" t="str">
        <f t="shared" si="50"/>
        <v/>
      </c>
      <c r="J688" s="193" t="str">
        <f t="shared" si="51"/>
        <v>Cumulative</v>
      </c>
      <c r="K688" s="193">
        <f>SUM(Datos!$D33:AJ33)</f>
        <v>0</v>
      </c>
      <c r="L688" s="193">
        <f>SUM(Datos!$D14:AJ14)</f>
        <v>48332</v>
      </c>
      <c r="M688" s="193">
        <f>INDEX(_TARGETS!$J$2:$J$17,MATCH($C688,_TARGETS!$A$2:$A$17,0))</f>
        <v>1000000</v>
      </c>
      <c r="N688" s="193" t="str">
        <f>INDEX(_TARGETS!$D$2:$D$17,MATCH($C688,_TARGETS!$A$2:$A$17,0))</f>
        <v>casos / 10^6 HH</v>
      </c>
      <c r="O688" s="193" t="str">
        <f>IF(NOT(ISNUMBER(F688)),IF(SUMPRODUCT(($C$2:$C$1300=C688)*($J$2:$J$1300="Monthly")*($A$2:$A$1300&lt;=A688)*ISNUMBER($K$2:$K$1300)*ISNUMBER($L$2:$L$1300)*($L$2:$L$1300=0)*($K$2:$K$1300&gt;0))&gt;0,"INCOMPLETE","MISSING"),O674)</f>
        <v>MISSING</v>
      </c>
      <c r="P688" s="193" t="str">
        <f>INDEX(_TARGETS!$K$2:$K$17,MATCH($C688,_TARGETS!$A$2:$A$17,0))</f>
        <v>OPS (carga manual en Datos)</v>
      </c>
      <c r="Q688" s="193" t="str">
        <f t="shared" si="52"/>
        <v>202904|DAFWCF|Cumulative</v>
      </c>
      <c r="R688" s="193" t="str">
        <f>INDEX(_TARGETS!$H$2:$H$17,MATCH($C688,_TARGETS!$A$2:$A$17,0))</f>
        <v>Definida</v>
      </c>
      <c r="S688" s="193">
        <f t="shared" si="53"/>
        <v>0</v>
      </c>
      <c r="T688" s="193" t="str">
        <f t="shared" si="54"/>
        <v/>
      </c>
    </row>
    <row r="689" spans="1:20" ht="13.5" customHeight="1" x14ac:dyDescent="0.3">
      <c r="A689" s="245">
        <f>KPIs!$AJ$3</f>
        <v>47209</v>
      </c>
      <c r="B689" s="199" t="str">
        <f>KPIs!AJ$4</f>
        <v>Compresora</v>
      </c>
      <c r="C689" s="31" t="s">
        <v>49</v>
      </c>
      <c r="D689" s="199" t="str">
        <f>KPIs!$A$27</f>
        <v>2 · Frecuencia de casos registrables · ACUMULADO</v>
      </c>
      <c r="E689" s="31" t="s">
        <v>600</v>
      </c>
      <c r="F689" s="247" t="str">
        <f>IF(ISNUMBER(KPIs!AJ27),KPIs!AJ27,"")</f>
        <v/>
      </c>
      <c r="G689" s="247">
        <f>IF(ISNUMBER(KPIs!$C$27),KPIs!$C$27,"")</f>
        <v>2.35</v>
      </c>
      <c r="H689" s="199" t="str">
        <f>IFERROR(INDEX(_TARGETS!$E$2:$E$17,MATCH($C689,_TARGETS!$A$2:$A$17,0))&amp;"","")</f>
        <v>≤</v>
      </c>
      <c r="I689" s="199" t="str">
        <f t="shared" si="50"/>
        <v/>
      </c>
      <c r="J689" s="193" t="str">
        <f t="shared" si="51"/>
        <v>Cumulative</v>
      </c>
      <c r="K689" s="193">
        <f>SUM(Datos!$D33:AJ33)+SUM(Datos!$D34:AJ34)+SUM(Datos!$D35:AJ35)+SUM(Datos!$D36:AJ36)</f>
        <v>0</v>
      </c>
      <c r="L689" s="193">
        <f>SUM(Datos!$D14:AJ14)</f>
        <v>48332</v>
      </c>
      <c r="M689" s="193">
        <f>INDEX(_TARGETS!$J$2:$J$17,MATCH($C689,_TARGETS!$A$2:$A$17,0))</f>
        <v>1000000</v>
      </c>
      <c r="N689" s="193" t="str">
        <f>INDEX(_TARGETS!$D$2:$D$17,MATCH($C689,_TARGETS!$A$2:$A$17,0))</f>
        <v>casos / 10^6 HH</v>
      </c>
      <c r="O689" s="193" t="str">
        <f>IF(NOT(ISNUMBER(F689)),IF(SUMPRODUCT(($C$2:$C$1300=C689)*($J$2:$J$1300="Monthly")*($A$2:$A$1300&lt;=A689)*ISNUMBER($K$2:$K$1300)*ISNUMBER($L$2:$L$1300)*($L$2:$L$1300=0)*($K$2:$K$1300&gt;0))&gt;0,"INCOMPLETE","MISSING"),O675)</f>
        <v>MISSING</v>
      </c>
      <c r="P689" s="193" t="str">
        <f>INDEX(_TARGETS!$K$2:$K$17,MATCH($C689,_TARGETS!$A$2:$A$17,0))</f>
        <v>OPS (carga manual en Datos)</v>
      </c>
      <c r="Q689" s="193" t="str">
        <f t="shared" si="52"/>
        <v>202904|TRICF|Cumulative</v>
      </c>
      <c r="R689" s="193" t="str">
        <f>INDEX(_TARGETS!$H$2:$H$17,MATCH($C689,_TARGETS!$A$2:$A$17,0))</f>
        <v>Definida</v>
      </c>
      <c r="S689" s="193">
        <f t="shared" si="53"/>
        <v>0</v>
      </c>
      <c r="T689" s="193" t="str">
        <f t="shared" si="54"/>
        <v/>
      </c>
    </row>
    <row r="690" spans="1:20" ht="13.5" customHeight="1" x14ac:dyDescent="0.3">
      <c r="A690" s="245">
        <f>KPIs!$AJ$3</f>
        <v>47209</v>
      </c>
      <c r="B690" s="199" t="str">
        <f>KPIs!AJ$4</f>
        <v>Compresora</v>
      </c>
      <c r="C690" s="31" t="s">
        <v>51</v>
      </c>
      <c r="D690" s="199" t="str">
        <f>KPIs!$A$28</f>
        <v>3 · Casos de primeros auxilios · ACUMULADO</v>
      </c>
      <c r="E690" s="31" t="s">
        <v>600</v>
      </c>
      <c r="F690" s="247" t="str">
        <f>IF(ISNUMBER(KPIs!AJ28),KPIs!AJ28,"")</f>
        <v/>
      </c>
      <c r="G690" s="247" t="str">
        <f>IF(ISNUMBER(KPIs!$C$28),KPIs!$C$28,"")</f>
        <v/>
      </c>
      <c r="H690" s="199" t="str">
        <f>IFERROR(INDEX(_TARGETS!$E$2:$E$17,MATCH($C690,_TARGETS!$A$2:$A$17,0))&amp;"","")</f>
        <v/>
      </c>
      <c r="I690" s="199" t="str">
        <f t="shared" si="50"/>
        <v/>
      </c>
      <c r="J690" s="193" t="str">
        <f t="shared" si="51"/>
        <v>Cumulative</v>
      </c>
      <c r="K690" s="193">
        <f>SUM(Datos!$D37:AJ37)</f>
        <v>0</v>
      </c>
      <c r="M690" s="193">
        <f>INDEX(_TARGETS!$J$2:$J$17,MATCH($C690,_TARGETS!$A$2:$A$17,0))</f>
        <v>1</v>
      </c>
      <c r="N690" s="193" t="str">
        <f>INDEX(_TARGETS!$D$2:$D$17,MATCH($C690,_TARGETS!$A$2:$A$17,0))</f>
        <v>casos</v>
      </c>
      <c r="O690" s="193" t="str">
        <f>IF(NOT(ISNUMBER(F690)),IF(SUMPRODUCT(($C$2:$C$1300=C690)*($J$2:$J$1300="Monthly")*($A$2:$A$1300&lt;=A690)*ISNUMBER($K$2:$K$1300)*ISNUMBER($L$2:$L$1300)*($L$2:$L$1300=0)*($K$2:$K$1300&gt;0))&gt;0,"INCOMPLETE","MISSING"),O676)</f>
        <v>MISSING</v>
      </c>
      <c r="P690" s="193" t="str">
        <f>INDEX(_TARGETS!$K$2:$K$17,MATCH($C690,_TARGETS!$A$2:$A$17,0))</f>
        <v>OPS (carga manual en Datos)</v>
      </c>
      <c r="Q690" s="193" t="str">
        <f t="shared" si="52"/>
        <v>202904|FAC|Cumulative</v>
      </c>
      <c r="R690" s="193" t="str">
        <f>INDEX(_TARGETS!$H$2:$H$17,MATCH($C690,_TARGETS!$A$2:$A$17,0))</f>
        <v>Solo reporte</v>
      </c>
      <c r="S690" s="193">
        <f t="shared" si="53"/>
        <v>0</v>
      </c>
      <c r="T690" s="193" t="str">
        <f t="shared" si="54"/>
        <v/>
      </c>
    </row>
    <row r="691" spans="1:20" ht="13.5" customHeight="1" x14ac:dyDescent="0.3">
      <c r="A691" s="245">
        <f>KPIs!$AJ$3</f>
        <v>47209</v>
      </c>
      <c r="B691" s="199" t="str">
        <f>KPIs!AJ$4</f>
        <v>Compresora</v>
      </c>
      <c r="C691" s="31" t="s">
        <v>57</v>
      </c>
      <c r="D691" s="199" t="str">
        <f>KPIs!$A$29</f>
        <v>4 · Accidentes vehiculares severos · ACUMULADO</v>
      </c>
      <c r="E691" s="31" t="s">
        <v>600</v>
      </c>
      <c r="F691" s="247" t="str">
        <f>IF(ISNUMBER(KPIs!AJ29),KPIs!AJ29,"")</f>
        <v/>
      </c>
      <c r="G691" s="247" t="str">
        <f>IF(ISNUMBER(KPIs!$C$29),KPIs!$C$29,"")</f>
        <v/>
      </c>
      <c r="H691" s="199" t="str">
        <f>IFERROR(INDEX(_TARGETS!$E$2:$E$17,MATCH($C691,_TARGETS!$A$2:$A$17,0))&amp;"","")</f>
        <v/>
      </c>
      <c r="I691" s="199" t="str">
        <f t="shared" si="50"/>
        <v/>
      </c>
      <c r="J691" s="193" t="str">
        <f t="shared" si="51"/>
        <v>Cumulative</v>
      </c>
      <c r="K691" s="193">
        <f>SUM(Datos!$D39:AJ39)+SUM(Datos!$D40:AJ40)+SUM(Datos!$D41:AJ41)</f>
        <v>0</v>
      </c>
      <c r="L691" s="193">
        <f>SUM(Datos!$D47:AJ47)</f>
        <v>172824</v>
      </c>
      <c r="M691" s="193">
        <f>INDEX(_TARGETS!$J$2:$J$17,MATCH($C691,_TARGETS!$A$2:$A$17,0))</f>
        <v>1000000</v>
      </c>
      <c r="N691" s="193" t="str">
        <f>INDEX(_TARGETS!$D$2:$D$17,MATCH($C691,_TARGETS!$A$2:$A$17,0))</f>
        <v>eventos / 10^6 km</v>
      </c>
      <c r="O691" s="193" t="str">
        <f>IF(NOT(ISNUMBER(F691)),IF(SUMPRODUCT(($C$2:$C$1300=C691)*($J$2:$J$1300="Monthly")*($A$2:$A$1300&lt;=A691)*ISNUMBER($K$2:$K$1300)*ISNUMBER($L$2:$L$1300)*($L$2:$L$1300=0)*($K$2:$K$1300&gt;0))&gt;0,"INCOMPLETE","MISSING"),O677)</f>
        <v>MISSING</v>
      </c>
      <c r="P691" s="193" t="str">
        <f>INDEX(_TARGETS!$K$2:$K$17,MATCH($C691,_TARGETS!$A$2:$A$17,0))</f>
        <v>OPS (eventos) + Full Control GPS (km) - carga manual en Datos</v>
      </c>
      <c r="Q691" s="193" t="str">
        <f t="shared" si="52"/>
        <v>202904|SVCR|Cumulative</v>
      </c>
      <c r="R691" s="193" t="str">
        <f>INDEX(_TARGETS!$H$2:$H$17,MATCH($C691,_TARGETS!$A$2:$A$17,0))</f>
        <v>Solo reporte</v>
      </c>
      <c r="S691" s="193">
        <f t="shared" si="53"/>
        <v>0</v>
      </c>
      <c r="T691" s="193" t="str">
        <f t="shared" si="54"/>
        <v/>
      </c>
    </row>
    <row r="692" spans="1:20" ht="13.5" customHeight="1" x14ac:dyDescent="0.3">
      <c r="A692" s="245">
        <f>KPIs!$AJ$3</f>
        <v>47209</v>
      </c>
      <c r="B692" s="199" t="str">
        <f>KPIs!AJ$4</f>
        <v>Compresora</v>
      </c>
      <c r="C692" s="31" t="s">
        <v>61</v>
      </c>
      <c r="D692" s="199" t="str">
        <f>KPIs!$A$30</f>
        <v>5 · Accidentes vehiculares totales · ACUMULADO</v>
      </c>
      <c r="E692" s="31" t="s">
        <v>600</v>
      </c>
      <c r="F692" s="247" t="str">
        <f>IF(ISNUMBER(KPIs!AJ30),KPIs!AJ30,"")</f>
        <v/>
      </c>
      <c r="G692" s="247">
        <f>IF(ISNUMBER(KPIs!$C$30),KPIs!$C$30,"")</f>
        <v>0.79</v>
      </c>
      <c r="H692" s="199" t="str">
        <f>IFERROR(INDEX(_TARGETS!$E$2:$E$17,MATCH($C692,_TARGETS!$A$2:$A$17,0))&amp;"","")</f>
        <v>≤</v>
      </c>
      <c r="I692" s="199" t="str">
        <f t="shared" si="50"/>
        <v/>
      </c>
      <c r="J692" s="193" t="str">
        <f t="shared" si="51"/>
        <v>Cumulative</v>
      </c>
      <c r="K692" s="193">
        <f>SUM(Datos!$D39:AJ39)+SUM(Datos!$D40:AJ40)+SUM(Datos!$D41:AJ41)+SUM(Datos!$D42:AJ42)</f>
        <v>0</v>
      </c>
      <c r="L692" s="193">
        <f>SUM(Datos!$D47:AJ47)</f>
        <v>172824</v>
      </c>
      <c r="M692" s="193">
        <f>INDEX(_TARGETS!$J$2:$J$17,MATCH($C692,_TARGETS!$A$2:$A$17,0))</f>
        <v>1000000</v>
      </c>
      <c r="N692" s="193" t="str">
        <f>INDEX(_TARGETS!$D$2:$D$17,MATCH($C692,_TARGETS!$A$2:$A$17,0))</f>
        <v>eventos / 10^6 km</v>
      </c>
      <c r="O692" s="193" t="str">
        <f>IF(NOT(ISNUMBER(F692)),IF(SUMPRODUCT(($C$2:$C$1300=C692)*($J$2:$J$1300="Monthly")*($A$2:$A$1300&lt;=A692)*ISNUMBER($K$2:$K$1300)*ISNUMBER($L$2:$L$1300)*($L$2:$L$1300=0)*($K$2:$K$1300&gt;0))&gt;0,"INCOMPLETE","MISSING"),O678)</f>
        <v>MISSING</v>
      </c>
      <c r="P692" s="193" t="str">
        <f>INDEX(_TARGETS!$K$2:$K$17,MATCH($C692,_TARGETS!$A$2:$A$17,0))</f>
        <v>OPS (eventos) + Full Control GPS (km) - carga manual en Datos</v>
      </c>
      <c r="Q692" s="193" t="str">
        <f t="shared" si="52"/>
        <v>202904|TVCR|Cumulative</v>
      </c>
      <c r="R692" s="193" t="str">
        <f>INDEX(_TARGETS!$H$2:$H$17,MATCH($C692,_TARGETS!$A$2:$A$17,0))</f>
        <v>Definida</v>
      </c>
      <c r="S692" s="193">
        <f t="shared" si="53"/>
        <v>0</v>
      </c>
      <c r="T692" s="193" t="str">
        <f t="shared" si="54"/>
        <v/>
      </c>
    </row>
    <row r="693" spans="1:20" ht="13.5" customHeight="1" x14ac:dyDescent="0.3">
      <c r="A693" s="245">
        <f>KPIs!$AJ$3</f>
        <v>47209</v>
      </c>
      <c r="B693" s="199" t="str">
        <f>KPIs!AJ$4</f>
        <v>Compresora</v>
      </c>
      <c r="C693" s="31" t="s">
        <v>96</v>
      </c>
      <c r="D693" s="199" t="str">
        <f>KPIs!$A$33</f>
        <v>C1 · % de desvíos detectados de gravedad Alta</v>
      </c>
      <c r="E693" s="31" t="s">
        <v>599</v>
      </c>
      <c r="F693" s="247" t="str">
        <f>IF(ISNUMBER(KPIs!AJ33),KPIs!AJ33,"")</f>
        <v/>
      </c>
      <c r="G693" s="247" t="str">
        <f>IF(ISNUMBER(KPIs!$C$33),KPIs!$C$33,"")</f>
        <v/>
      </c>
      <c r="H693" s="199" t="str">
        <f>IFERROR(INDEX(_TARGETS!$E$2:$E$17,MATCH($C693,_TARGETS!$A$2:$A$17,0))&amp;"","")</f>
        <v/>
      </c>
      <c r="I693" s="199" t="str">
        <f t="shared" si="50"/>
        <v/>
      </c>
      <c r="J693" s="193" t="str">
        <f t="shared" si="51"/>
        <v>Monthly</v>
      </c>
      <c r="K693" s="248">
        <f>Datos!AJ71</f>
        <v>0</v>
      </c>
      <c r="L693" s="193">
        <f>Datos!AJ71+Datos!AJ72+Datos!AJ73</f>
        <v>0</v>
      </c>
      <c r="M693" s="193">
        <f>INDEX(_TARGETS!$J$2:$J$17,MATCH($C693,_TARGETS!$A$2:$A$17,0))</f>
        <v>1</v>
      </c>
      <c r="N693" s="193" t="str">
        <f>INDEX(_TARGETS!$D$2:$D$17,MATCH($C693,_TARGETS!$A$2:$A$17,0))</f>
        <v>% (fracción)</v>
      </c>
      <c r="O693" s="193" t="str">
        <f>IF(NOT(ISNUMBER(F693)),"MISSING","OK")</f>
        <v>MISSING</v>
      </c>
      <c r="P693" s="193" t="str">
        <f>INDEX(_TARGETS!$K$2:$K$17,MATCH($C693,_TARGETS!$A$2:$A$17,0))</f>
        <v>Plant Findings (hoja Observaciones-SMP)</v>
      </c>
      <c r="Q693" s="193" t="str">
        <f t="shared" si="52"/>
        <v>202904|HAL_ALTA_PCT|Monthly</v>
      </c>
      <c r="R693" s="193" t="str">
        <f>INDEX(_TARGETS!$H$2:$H$17,MATCH($C693,_TARGETS!$A$2:$A$17,0))</f>
        <v>Solo reporte</v>
      </c>
      <c r="S693" s="193" t="str">
        <f t="shared" si="53"/>
        <v/>
      </c>
      <c r="T693" s="193" t="str">
        <f t="shared" si="54"/>
        <v/>
      </c>
    </row>
    <row r="694" spans="1:20" ht="13.5" customHeight="1" x14ac:dyDescent="0.3">
      <c r="A694" s="245">
        <f>KPIs!$AJ$3</f>
        <v>47209</v>
      </c>
      <c r="B694" s="199" t="str">
        <f>KPIs!AJ$4</f>
        <v>Compresora</v>
      </c>
      <c r="C694" s="31" t="s">
        <v>98</v>
      </c>
      <c r="D694" s="199" t="str">
        <f>KPIs!$A$34</f>
        <v>C2 · Detenciones de tareas aplicadas</v>
      </c>
      <c r="E694" s="31" t="s">
        <v>599</v>
      </c>
      <c r="F694" s="247" t="str">
        <f>IF(ISNUMBER(KPIs!AJ34),KPIs!AJ34,"")</f>
        <v/>
      </c>
      <c r="G694" s="247" t="str">
        <f>IF(ISNUMBER(KPIs!$C$34),KPIs!$C$34,"")</f>
        <v/>
      </c>
      <c r="H694" s="199" t="str">
        <f>IFERROR(INDEX(_TARGETS!$E$2:$E$17,MATCH($C694,_TARGETS!$A$2:$A$17,0))&amp;"","")</f>
        <v/>
      </c>
      <c r="I694" s="199" t="str">
        <f t="shared" si="50"/>
        <v/>
      </c>
      <c r="J694" s="193" t="str">
        <f t="shared" si="51"/>
        <v>Monthly</v>
      </c>
      <c r="K694" s="248">
        <f>Datos!AJ75</f>
        <v>0</v>
      </c>
      <c r="M694" s="193">
        <f>INDEX(_TARGETS!$J$2:$J$17,MATCH($C694,_TARGETS!$A$2:$A$17,0))</f>
        <v>1</v>
      </c>
      <c r="N694" s="193" t="str">
        <f>INDEX(_TARGETS!$D$2:$D$17,MATCH($C694,_TARGETS!$A$2:$A$17,0))</f>
        <v>u</v>
      </c>
      <c r="O694" s="193" t="str">
        <f>IF(NOT(ISNUMBER(F694)),"MISSING","OK")</f>
        <v>MISSING</v>
      </c>
      <c r="P694" s="193" t="str">
        <f>INDEX(_TARGETS!$K$2:$K$17,MATCH($C694,_TARGETS!$A$2:$A$17,0))</f>
        <v>Plant Findings (hoja Observaciones-SMP)</v>
      </c>
      <c r="Q694" s="193" t="str">
        <f t="shared" si="52"/>
        <v>202904|DET|Monthly</v>
      </c>
      <c r="R694" s="193" t="str">
        <f>INDEX(_TARGETS!$H$2:$H$17,MATCH($C694,_TARGETS!$A$2:$A$17,0))</f>
        <v>Solo reporte</v>
      </c>
      <c r="S694" s="193" t="str">
        <f t="shared" si="53"/>
        <v/>
      </c>
      <c r="T694" s="193" t="str">
        <f t="shared" si="54"/>
        <v/>
      </c>
    </row>
    <row r="695" spans="1:20" ht="13.5" customHeight="1" x14ac:dyDescent="0.3">
      <c r="A695" s="245">
        <f>KPIs!$AK$3</f>
        <v>47239</v>
      </c>
      <c r="B695" s="199" t="str">
        <f>KPIs!AK$4</f>
        <v>Compresora</v>
      </c>
      <c r="C695" s="31" t="s">
        <v>39</v>
      </c>
      <c r="D695" s="199" t="str">
        <f>KPIs!$A$6</f>
        <v>1 · Frecuencia de casos con días perdidos</v>
      </c>
      <c r="E695" s="31" t="s">
        <v>599</v>
      </c>
      <c r="F695" s="247" t="str">
        <f>IF(ISNUMBER(KPIs!AK6),KPIs!AK6,"")</f>
        <v/>
      </c>
      <c r="G695" s="247">
        <f>IF(ISNUMBER(KPIs!$C$6),KPIs!$C$6,"")</f>
        <v>0</v>
      </c>
      <c r="H695" s="199" t="str">
        <f>IFERROR(INDEX(_TARGETS!$E$2:$E$17,MATCH($C695,_TARGETS!$A$2:$A$17,0))&amp;"","")</f>
        <v>≤</v>
      </c>
      <c r="I695" s="199" t="str">
        <f t="shared" si="50"/>
        <v/>
      </c>
      <c r="J695" s="193" t="str">
        <f t="shared" si="51"/>
        <v>Monthly</v>
      </c>
      <c r="K695" s="248">
        <f>Datos!AK33</f>
        <v>0</v>
      </c>
      <c r="L695" s="248">
        <f>Datos!AK14</f>
        <v>0</v>
      </c>
      <c r="M695" s="193">
        <f>INDEX(_TARGETS!$J$2:$J$17,MATCH($C695,_TARGETS!$A$2:$A$17,0))</f>
        <v>1000000</v>
      </c>
      <c r="N695" s="193" t="str">
        <f>INDEX(_TARGETS!$D$2:$D$17,MATCH($C695,_TARGETS!$A$2:$A$17,0))</f>
        <v>casos / 10^6 HH</v>
      </c>
      <c r="O695" s="193" t="str">
        <f>IF(NOT(ISNUMBER(F695)),"MISSING",IF((COUNTBLANK(Datos!AK12)+COUNTBLANK(Datos!AK13)+COUNTBLANK(Datos!AK33))&gt;0,"INCOMPLETE","OK"))</f>
        <v>MISSING</v>
      </c>
      <c r="P695" s="193" t="str">
        <f>INDEX(_TARGETS!$K$2:$K$17,MATCH($C695,_TARGETS!$A$2:$A$17,0))</f>
        <v>OPS (carga manual en Datos)</v>
      </c>
      <c r="Q695" s="193" t="str">
        <f t="shared" si="52"/>
        <v>202905|DAFWCF|Monthly</v>
      </c>
      <c r="R695" s="193" t="str">
        <f>INDEX(_TARGETS!$H$2:$H$17,MATCH($C695,_TARGETS!$A$2:$A$17,0))</f>
        <v>Definida</v>
      </c>
      <c r="S695" s="193" t="str">
        <f t="shared" si="53"/>
        <v/>
      </c>
      <c r="T695" s="193" t="str">
        <f t="shared" si="54"/>
        <v/>
      </c>
    </row>
    <row r="696" spans="1:20" ht="13.5" customHeight="1" x14ac:dyDescent="0.3">
      <c r="A696" s="245">
        <f>KPIs!$AK$3</f>
        <v>47239</v>
      </c>
      <c r="B696" s="199" t="str">
        <f>KPIs!AK$4</f>
        <v>Compresora</v>
      </c>
      <c r="C696" s="31" t="s">
        <v>49</v>
      </c>
      <c r="D696" s="199" t="str">
        <f>KPIs!$A$7</f>
        <v>2 · Frecuencia de casos registrables</v>
      </c>
      <c r="E696" s="31" t="s">
        <v>599</v>
      </c>
      <c r="F696" s="247" t="str">
        <f>IF(ISNUMBER(KPIs!AK7),KPIs!AK7,"")</f>
        <v/>
      </c>
      <c r="G696" s="247">
        <f>IF(ISNUMBER(KPIs!$C$7),KPIs!$C$7,"")</f>
        <v>2.35</v>
      </c>
      <c r="H696" s="199" t="str">
        <f>IFERROR(INDEX(_TARGETS!$E$2:$E$17,MATCH($C696,_TARGETS!$A$2:$A$17,0))&amp;"","")</f>
        <v>≤</v>
      </c>
      <c r="I696" s="199" t="str">
        <f t="shared" si="50"/>
        <v/>
      </c>
      <c r="J696" s="193" t="str">
        <f t="shared" si="51"/>
        <v>Monthly</v>
      </c>
      <c r="K696" s="193">
        <f>Datos!AK33+Datos!AK34+Datos!AK35+Datos!AK36</f>
        <v>0</v>
      </c>
      <c r="L696" s="248">
        <f>Datos!AK14</f>
        <v>0</v>
      </c>
      <c r="M696" s="193">
        <f>INDEX(_TARGETS!$J$2:$J$17,MATCH($C696,_TARGETS!$A$2:$A$17,0))</f>
        <v>1000000</v>
      </c>
      <c r="N696" s="193" t="str">
        <f>INDEX(_TARGETS!$D$2:$D$17,MATCH($C696,_TARGETS!$A$2:$A$17,0))</f>
        <v>casos / 10^6 HH</v>
      </c>
      <c r="O696" s="193" t="str">
        <f>IF(NOT(ISNUMBER(F696)),"MISSING",IF((COUNTBLANK(Datos!AK12)+COUNTBLANK(Datos!AK13)+COUNTBLANK(Datos!AK33)+COUNTBLANK(Datos!AK34)+COUNTBLANK(Datos!AK35)+COUNTBLANK(Datos!AK36))&gt;0,"INCOMPLETE","OK"))</f>
        <v>MISSING</v>
      </c>
      <c r="P696" s="193" t="str">
        <f>INDEX(_TARGETS!$K$2:$K$17,MATCH($C696,_TARGETS!$A$2:$A$17,0))</f>
        <v>OPS (carga manual en Datos)</v>
      </c>
      <c r="Q696" s="193" t="str">
        <f t="shared" si="52"/>
        <v>202905|TRICF|Monthly</v>
      </c>
      <c r="R696" s="193" t="str">
        <f>INDEX(_TARGETS!$H$2:$H$17,MATCH($C696,_TARGETS!$A$2:$A$17,0))</f>
        <v>Definida</v>
      </c>
      <c r="S696" s="193" t="str">
        <f t="shared" si="53"/>
        <v/>
      </c>
      <c r="T696" s="193" t="str">
        <f t="shared" si="54"/>
        <v/>
      </c>
    </row>
    <row r="697" spans="1:20" ht="13.5" customHeight="1" x14ac:dyDescent="0.3">
      <c r="A697" s="245">
        <f>KPIs!$AK$3</f>
        <v>47239</v>
      </c>
      <c r="B697" s="199" t="str">
        <f>KPIs!AK$4</f>
        <v>Compresora</v>
      </c>
      <c r="C697" s="31" t="s">
        <v>51</v>
      </c>
      <c r="D697" s="199" t="str">
        <f>KPIs!$A$8</f>
        <v>3 · Casos de primeros auxilios</v>
      </c>
      <c r="E697" s="31" t="s">
        <v>599</v>
      </c>
      <c r="F697" s="247" t="str">
        <f>IF(ISNUMBER(KPIs!AK8),KPIs!AK8,"")</f>
        <v/>
      </c>
      <c r="G697" s="247" t="str">
        <f>IF(ISNUMBER(KPIs!$C$8),KPIs!$C$8,"")</f>
        <v/>
      </c>
      <c r="H697" s="199" t="str">
        <f>IFERROR(INDEX(_TARGETS!$E$2:$E$17,MATCH($C697,_TARGETS!$A$2:$A$17,0))&amp;"","")</f>
        <v/>
      </c>
      <c r="I697" s="199" t="str">
        <f t="shared" si="50"/>
        <v/>
      </c>
      <c r="J697" s="193" t="str">
        <f t="shared" si="51"/>
        <v>Monthly</v>
      </c>
      <c r="K697" s="248">
        <f>Datos!AK37</f>
        <v>0</v>
      </c>
      <c r="M697" s="193">
        <f>INDEX(_TARGETS!$J$2:$J$17,MATCH($C697,_TARGETS!$A$2:$A$17,0))</f>
        <v>1</v>
      </c>
      <c r="N697" s="193" t="str">
        <f>INDEX(_TARGETS!$D$2:$D$17,MATCH($C697,_TARGETS!$A$2:$A$17,0))</f>
        <v>casos</v>
      </c>
      <c r="O697" s="193" t="str">
        <f>IF(NOT(ISNUMBER(F697)),"MISSING",IF((COUNTBLANK(Datos!AK12)+COUNTBLANK(Datos!AK13)+COUNTBLANK(Datos!AK37))&gt;0,"INCOMPLETE","OK"))</f>
        <v>MISSING</v>
      </c>
      <c r="P697" s="193" t="str">
        <f>INDEX(_TARGETS!$K$2:$K$17,MATCH($C697,_TARGETS!$A$2:$A$17,0))</f>
        <v>OPS (carga manual en Datos)</v>
      </c>
      <c r="Q697" s="193" t="str">
        <f t="shared" si="52"/>
        <v>202905|FAC|Monthly</v>
      </c>
      <c r="R697" s="193" t="str">
        <f>INDEX(_TARGETS!$H$2:$H$17,MATCH($C697,_TARGETS!$A$2:$A$17,0))</f>
        <v>Solo reporte</v>
      </c>
      <c r="S697" s="193" t="str">
        <f t="shared" si="53"/>
        <v/>
      </c>
      <c r="T697" s="193" t="str">
        <f t="shared" si="54"/>
        <v/>
      </c>
    </row>
    <row r="698" spans="1:20" ht="13.5" customHeight="1" x14ac:dyDescent="0.3">
      <c r="A698" s="245">
        <f>KPIs!$AK$3</f>
        <v>47239</v>
      </c>
      <c r="B698" s="199" t="str">
        <f>KPIs!AK$4</f>
        <v>Compresora</v>
      </c>
      <c r="C698" s="31" t="s">
        <v>57</v>
      </c>
      <c r="D698" s="199" t="str">
        <f>KPIs!$A$10</f>
        <v>4 · Accidentes vehiculares severos por millón de km</v>
      </c>
      <c r="E698" s="31" t="s">
        <v>599</v>
      </c>
      <c r="F698" s="247" t="str">
        <f>IF(ISNUMBER(KPIs!AK10),KPIs!AK10,"")</f>
        <v/>
      </c>
      <c r="G698" s="247" t="str">
        <f>IF(ISNUMBER(KPIs!$C$10),KPIs!$C$10,"")</f>
        <v/>
      </c>
      <c r="H698" s="199" t="str">
        <f>IFERROR(INDEX(_TARGETS!$E$2:$E$17,MATCH($C698,_TARGETS!$A$2:$A$17,0))&amp;"","")</f>
        <v/>
      </c>
      <c r="I698" s="199" t="str">
        <f t="shared" si="50"/>
        <v/>
      </c>
      <c r="J698" s="193" t="str">
        <f t="shared" si="51"/>
        <v>Monthly</v>
      </c>
      <c r="K698" s="193">
        <f>Datos!AK39+Datos!AK40+Datos!AK41</f>
        <v>0</v>
      </c>
      <c r="L698" s="248">
        <f>Datos!AK47</f>
        <v>0</v>
      </c>
      <c r="M698" s="193">
        <f>INDEX(_TARGETS!$J$2:$J$17,MATCH($C698,_TARGETS!$A$2:$A$17,0))</f>
        <v>1000000</v>
      </c>
      <c r="N698" s="193" t="str">
        <f>INDEX(_TARGETS!$D$2:$D$17,MATCH($C698,_TARGETS!$A$2:$A$17,0))</f>
        <v>eventos / 10^6 km</v>
      </c>
      <c r="O698" s="193" t="str">
        <f>IF(NOT(ISNUMBER(F698)),"MISSING",IF((COUNTBLANK(Datos!AK44)+COUNTBLANK(Datos!AK45)+COUNTBLANK(Datos!AK46)+COUNTBLANK(Datos!AK39)+COUNTBLANK(Datos!AK40)+COUNTBLANK(Datos!AK41))&gt;0,"INCOMPLETE","OK"))</f>
        <v>MISSING</v>
      </c>
      <c r="P698" s="193" t="str">
        <f>INDEX(_TARGETS!$K$2:$K$17,MATCH($C698,_TARGETS!$A$2:$A$17,0))</f>
        <v>OPS (eventos) + Full Control GPS (km) - carga manual en Datos</v>
      </c>
      <c r="Q698" s="193" t="str">
        <f t="shared" si="52"/>
        <v>202905|SVCR|Monthly</v>
      </c>
      <c r="R698" s="193" t="str">
        <f>INDEX(_TARGETS!$H$2:$H$17,MATCH($C698,_TARGETS!$A$2:$A$17,0))</f>
        <v>Solo reporte</v>
      </c>
      <c r="S698" s="193" t="str">
        <f t="shared" si="53"/>
        <v/>
      </c>
      <c r="T698" s="193" t="str">
        <f t="shared" si="54"/>
        <v/>
      </c>
    </row>
    <row r="699" spans="1:20" ht="13.5" customHeight="1" x14ac:dyDescent="0.3">
      <c r="A699" s="245">
        <f>KPIs!$AK$3</f>
        <v>47239</v>
      </c>
      <c r="B699" s="199" t="str">
        <f>KPIs!AK$4</f>
        <v>Compresora</v>
      </c>
      <c r="C699" s="31" t="s">
        <v>61</v>
      </c>
      <c r="D699" s="199" t="str">
        <f>KPIs!$A$11</f>
        <v>5 · Accidentes vehiculares totales por millón de km</v>
      </c>
      <c r="E699" s="31" t="s">
        <v>599</v>
      </c>
      <c r="F699" s="247" t="str">
        <f>IF(ISNUMBER(KPIs!AK11),KPIs!AK11,"")</f>
        <v/>
      </c>
      <c r="G699" s="247">
        <f>IF(ISNUMBER(KPIs!$C$11),KPIs!$C$11,"")</f>
        <v>0.79</v>
      </c>
      <c r="H699" s="199" t="str">
        <f>IFERROR(INDEX(_TARGETS!$E$2:$E$17,MATCH($C699,_TARGETS!$A$2:$A$17,0))&amp;"","")</f>
        <v>≤</v>
      </c>
      <c r="I699" s="199" t="str">
        <f t="shared" si="50"/>
        <v/>
      </c>
      <c r="J699" s="193" t="str">
        <f t="shared" si="51"/>
        <v>Monthly</v>
      </c>
      <c r="K699" s="193">
        <f>Datos!AK39+Datos!AK40+Datos!AK41+Datos!AK42</f>
        <v>0</v>
      </c>
      <c r="L699" s="248">
        <f>Datos!AK47</f>
        <v>0</v>
      </c>
      <c r="M699" s="193">
        <f>INDEX(_TARGETS!$J$2:$J$17,MATCH($C699,_TARGETS!$A$2:$A$17,0))</f>
        <v>1000000</v>
      </c>
      <c r="N699" s="193" t="str">
        <f>INDEX(_TARGETS!$D$2:$D$17,MATCH($C699,_TARGETS!$A$2:$A$17,0))</f>
        <v>eventos / 10^6 km</v>
      </c>
      <c r="O699" s="193" t="str">
        <f>IF(NOT(ISNUMBER(F699)),"MISSING",IF((COUNTBLANK(Datos!AK44)+COUNTBLANK(Datos!AK45)+COUNTBLANK(Datos!AK46)+COUNTBLANK(Datos!AK39)+COUNTBLANK(Datos!AK40)+COUNTBLANK(Datos!AK41)+COUNTBLANK(Datos!AK42))&gt;0,"INCOMPLETE","OK"))</f>
        <v>MISSING</v>
      </c>
      <c r="P699" s="193" t="str">
        <f>INDEX(_TARGETS!$K$2:$K$17,MATCH($C699,_TARGETS!$A$2:$A$17,0))</f>
        <v>OPS (eventos) + Full Control GPS (km) - carga manual en Datos</v>
      </c>
      <c r="Q699" s="193" t="str">
        <f t="shared" si="52"/>
        <v>202905|TVCR|Monthly</v>
      </c>
      <c r="R699" s="193" t="str">
        <f>INDEX(_TARGETS!$H$2:$H$17,MATCH($C699,_TARGETS!$A$2:$A$17,0))</f>
        <v>Definida</v>
      </c>
      <c r="S699" s="193" t="str">
        <f t="shared" si="53"/>
        <v/>
      </c>
      <c r="T699" s="193" t="str">
        <f t="shared" si="54"/>
        <v/>
      </c>
    </row>
    <row r="700" spans="1:20" ht="13.5" customHeight="1" x14ac:dyDescent="0.3">
      <c r="A700" s="245">
        <f>KPIs!$AK$3</f>
        <v>47239</v>
      </c>
      <c r="B700" s="199" t="str">
        <f>KPIs!AK$4</f>
        <v>Compresora</v>
      </c>
      <c r="C700" s="31" t="s">
        <v>63</v>
      </c>
      <c r="D700" s="199" t="str">
        <f>KPIs!$A$13</f>
        <v>6 · Observaciones de seguridad por persona</v>
      </c>
      <c r="E700" s="31" t="s">
        <v>599</v>
      </c>
      <c r="F700" s="247" t="str">
        <f>IF(ISNUMBER(KPIs!AK13),KPIs!AK13,"")</f>
        <v/>
      </c>
      <c r="G700" s="247">
        <f>IF(ISNUMBER(KPIs!$C$13),KPIs!$C$13,"")</f>
        <v>1</v>
      </c>
      <c r="H700" s="199" t="str">
        <f>IFERROR(INDEX(_TARGETS!$E$2:$E$17,MATCH($C700,_TARGETS!$A$2:$A$17,0))&amp;"","")</f>
        <v>≥</v>
      </c>
      <c r="I700" s="199" t="str">
        <f t="shared" si="50"/>
        <v/>
      </c>
      <c r="J700" s="193" t="str">
        <f t="shared" si="51"/>
        <v>Monthly</v>
      </c>
      <c r="K700" s="248" t="str">
        <f>IF(COUNT(Datos!AK28:AK29)=0,"",SUM(Datos!AK28:AK29))</f>
        <v/>
      </c>
      <c r="L700" s="248">
        <f>Datos!AK11</f>
        <v>0</v>
      </c>
      <c r="M700" s="193">
        <f>INDEX(_TARGETS!$J$2:$J$17,MATCH($C700,_TARGETS!$A$2:$A$17,0))</f>
        <v>1</v>
      </c>
      <c r="N700" s="193" t="str">
        <f>INDEX(_TARGETS!$D$2:$D$17,MATCH($C700,_TARGETS!$A$2:$A$17,0))</f>
        <v>obs / persona</v>
      </c>
      <c r="O700" s="193" t="str">
        <f>IF(NOT(ISNUMBER(F700)),"MISSING",IF((COUNTBLANK(Datos!AK9)+COUNTBLANK(Datos!AK10)+IF(COUNT(Datos!AK28:AK29)=0,1,0))&gt;0,"INCOMPLETE","OK"))</f>
        <v>MISSING</v>
      </c>
      <c r="P700" s="193" t="str">
        <f>INDEX(_TARGETS!$K$2:$K$17,MATCH($C700,_TARGETS!$A$2:$A$17,0))</f>
        <v>OPS (carga manual en Datos)</v>
      </c>
      <c r="Q700" s="193" t="str">
        <f t="shared" si="52"/>
        <v>202905|OBS|Monthly</v>
      </c>
      <c r="R700" s="193" t="str">
        <f>INDEX(_TARGETS!$H$2:$H$17,MATCH($C700,_TARGETS!$A$2:$A$17,0))</f>
        <v>PROVISORIA · referencia del subcontratista (OPS: 1 obs/persona); meta y población en definición</v>
      </c>
      <c r="S700" s="193" t="str">
        <f t="shared" si="53"/>
        <v/>
      </c>
      <c r="T700" s="193" t="str">
        <f t="shared" si="54"/>
        <v/>
      </c>
    </row>
    <row r="701" spans="1:20" ht="13.5" customHeight="1" x14ac:dyDescent="0.3">
      <c r="A701" s="245">
        <f>KPIs!$AK$3</f>
        <v>47239</v>
      </c>
      <c r="B701" s="199" t="str">
        <f>KPIs!AK$4</f>
        <v>Compresora</v>
      </c>
      <c r="C701" s="31" t="s">
        <v>71</v>
      </c>
      <c r="D701" s="199" t="str">
        <f>KPIs!$A$14</f>
        <v>7 · Investigaciones de accidentes: días promedio de cierre</v>
      </c>
      <c r="E701" s="31" t="s">
        <v>599</v>
      </c>
      <c r="F701" s="247" t="str">
        <f>IF(ISNUMBER(KPIs!AK14),KPIs!AK14,"")</f>
        <v/>
      </c>
      <c r="G701" s="247">
        <f>IF(ISNUMBER(KPIs!$C$14),KPIs!$C$14,"")</f>
        <v>20</v>
      </c>
      <c r="H701" s="199" t="str">
        <f>IFERROR(INDEX(_TARGETS!$E$2:$E$17,MATCH($C701,_TARGETS!$A$2:$A$17,0))&amp;"","")</f>
        <v>≤</v>
      </c>
      <c r="I701" s="199" t="str">
        <f t="shared" si="50"/>
        <v/>
      </c>
      <c r="J701" s="193" t="str">
        <f t="shared" si="51"/>
        <v>Monthly</v>
      </c>
      <c r="K701" s="248">
        <f>Datos!AK31</f>
        <v>0</v>
      </c>
      <c r="L701" s="248">
        <f>Datos!AK30</f>
        <v>0</v>
      </c>
      <c r="M701" s="193">
        <f>INDEX(_TARGETS!$J$2:$J$17,MATCH($C701,_TARGETS!$A$2:$A$17,0))</f>
        <v>1</v>
      </c>
      <c r="N701" s="193" t="str">
        <f>INDEX(_TARGETS!$D$2:$D$17,MATCH($C701,_TARGETS!$A$2:$A$17,0))</f>
        <v>días</v>
      </c>
      <c r="O701" s="193" t="str">
        <f>IF(NOT(ISNUMBER(F701)),"MISSING",IF((COUNTBLANK(Datos!AK30)+COUNTBLANK(Datos!AK31))&gt;0,"INCOMPLETE","OK"))</f>
        <v>MISSING</v>
      </c>
      <c r="P701" s="193" t="str">
        <f>INDEX(_TARGETS!$K$2:$K$17,MATCH($C701,_TARGETS!$A$2:$A$17,0))</f>
        <v>OPS (carga manual en Datos)</v>
      </c>
      <c r="Q701" s="193" t="str">
        <f t="shared" si="52"/>
        <v>202905|INV|Monthly</v>
      </c>
      <c r="R701" s="193" t="str">
        <f>INDEX(_TARGETS!$H$2:$H$17,MATCH($C701,_TARGETS!$A$2:$A$17,0))</f>
        <v>Definida</v>
      </c>
      <c r="S701" s="193" t="str">
        <f t="shared" si="53"/>
        <v/>
      </c>
      <c r="T701" s="193" t="str">
        <f t="shared" si="54"/>
        <v/>
      </c>
    </row>
    <row r="702" spans="1:20" ht="13.5" customHeight="1" x14ac:dyDescent="0.3">
      <c r="A702" s="245">
        <f>KPIs!$AK$3</f>
        <v>47239</v>
      </c>
      <c r="B702" s="199" t="str">
        <f>KPIs!AK$4</f>
        <v>Compresora</v>
      </c>
      <c r="C702" s="31" t="s">
        <v>76</v>
      </c>
      <c r="D702" s="199" t="str">
        <f>KPIs!$A$16</f>
        <v>8 · % de capacitación en seguridad</v>
      </c>
      <c r="E702" s="31" t="s">
        <v>599</v>
      </c>
      <c r="F702" s="247" t="str">
        <f>IF(ISNUMBER(KPIs!AK16),KPIs!AK16,"")</f>
        <v/>
      </c>
      <c r="G702" s="247">
        <f>IF(ISNUMBER(KPIs!$C$16),KPIs!$C$16,"")</f>
        <v>0.01</v>
      </c>
      <c r="H702" s="199" t="str">
        <f>IFERROR(INDEX(_TARGETS!$E$2:$E$17,MATCH($C702,_TARGETS!$A$2:$A$17,0))&amp;"","")</f>
        <v>≥</v>
      </c>
      <c r="I702" s="199" t="str">
        <f t="shared" si="50"/>
        <v/>
      </c>
      <c r="J702" s="193" t="str">
        <f t="shared" si="51"/>
        <v>Monthly</v>
      </c>
      <c r="K702" s="248">
        <f>Datos!AK18</f>
        <v>0</v>
      </c>
      <c r="L702" s="248">
        <f>Datos!AK14</f>
        <v>0</v>
      </c>
      <c r="M702" s="193">
        <f>INDEX(_TARGETS!$J$2:$J$17,MATCH($C702,_TARGETS!$A$2:$A$17,0))</f>
        <v>1</v>
      </c>
      <c r="N702" s="193" t="str">
        <f>INDEX(_TARGETS!$D$2:$D$17,MATCH($C702,_TARGETS!$A$2:$A$17,0))</f>
        <v>% (fracción)</v>
      </c>
      <c r="O702" s="193" t="str">
        <f>IF(NOT(ISNUMBER(F702)),"MISSING",IF((COUNTBLANK(Datos!AK16)+COUNTBLANK(Datos!AK17)+COUNTBLANK(Datos!AK12)+COUNTBLANK(Datos!AK13))&gt;0,"INCOMPLETE","OK"))</f>
        <v>MISSING</v>
      </c>
      <c r="P702" s="193" t="str">
        <f>INDEX(_TARGETS!$K$2:$K$17,MATCH($C702,_TARGETS!$A$2:$A$17,0))</f>
        <v>OPS (carga manual en Datos)</v>
      </c>
      <c r="Q702" s="193" t="str">
        <f t="shared" si="52"/>
        <v>202905|HCS|Monthly</v>
      </c>
      <c r="R702" s="193" t="str">
        <f>INDEX(_TARGETS!$H$2:$H$17,MATCH($C702,_TARGETS!$A$2:$A$17,0))</f>
        <v>Definida</v>
      </c>
      <c r="S702" s="193" t="str">
        <f t="shared" si="53"/>
        <v/>
      </c>
      <c r="T702" s="193" t="str">
        <f t="shared" si="54"/>
        <v/>
      </c>
    </row>
    <row r="703" spans="1:20" ht="13.5" customHeight="1" x14ac:dyDescent="0.3">
      <c r="A703" s="245">
        <f>KPIs!$AK$3</f>
        <v>47239</v>
      </c>
      <c r="B703" s="199" t="str">
        <f>KPIs!AK$4</f>
        <v>Compresora</v>
      </c>
      <c r="C703" s="31" t="s">
        <v>80</v>
      </c>
      <c r="D703" s="199" t="str">
        <f>KPIs!$A$17</f>
        <v>9 · Horas de capacitación por persona</v>
      </c>
      <c r="E703" s="31" t="s">
        <v>599</v>
      </c>
      <c r="F703" s="247" t="str">
        <f>IF(ISNUMBER(KPIs!AK17),KPIs!AK17,"")</f>
        <v/>
      </c>
      <c r="G703" s="247" t="str">
        <f>IF(ISNUMBER(KPIs!$C$17),KPIs!$C$17,"")</f>
        <v/>
      </c>
      <c r="H703" s="199" t="str">
        <f>IFERROR(INDEX(_TARGETS!$E$2:$E$17,MATCH($C703,_TARGETS!$A$2:$A$17,0))&amp;"","")</f>
        <v/>
      </c>
      <c r="I703" s="199" t="str">
        <f t="shared" si="50"/>
        <v/>
      </c>
      <c r="J703" s="193" t="str">
        <f t="shared" si="51"/>
        <v>Monthly</v>
      </c>
      <c r="K703" s="248">
        <f>Datos!AK18</f>
        <v>0</v>
      </c>
      <c r="L703" s="248">
        <f>Datos!AK11</f>
        <v>0</v>
      </c>
      <c r="M703" s="193">
        <f>INDEX(_TARGETS!$J$2:$J$17,MATCH($C703,_TARGETS!$A$2:$A$17,0))</f>
        <v>1</v>
      </c>
      <c r="N703" s="193" t="str">
        <f>INDEX(_TARGETS!$D$2:$D$17,MATCH($C703,_TARGETS!$A$2:$A$17,0))</f>
        <v>h / persona</v>
      </c>
      <c r="O703" s="193" t="str">
        <f>IF(NOT(ISNUMBER(F703)),"MISSING",IF((COUNTBLANK(Datos!AK16)+COUNTBLANK(Datos!AK17)+COUNTBLANK(Datos!AK9)+COUNTBLANK(Datos!AK10))&gt;0,"INCOMPLETE","OK"))</f>
        <v>MISSING</v>
      </c>
      <c r="P703" s="193" t="str">
        <f>INDEX(_TARGETS!$K$2:$K$17,MATCH($C703,_TARGETS!$A$2:$A$17,0))</f>
        <v>OPS (carga manual en Datos)</v>
      </c>
      <c r="Q703" s="193" t="str">
        <f t="shared" si="52"/>
        <v>202905|HCSA|Monthly</v>
      </c>
      <c r="R703" s="193" t="str">
        <f>INDEX(_TARGETS!$H$2:$H$17,MATCH($C703,_TARGETS!$A$2:$A$17,0))</f>
        <v>Solo reporte</v>
      </c>
      <c r="S703" s="193" t="str">
        <f t="shared" si="53"/>
        <v/>
      </c>
      <c r="T703" s="193" t="str">
        <f t="shared" si="54"/>
        <v/>
      </c>
    </row>
    <row r="704" spans="1:20" ht="13.5" customHeight="1" x14ac:dyDescent="0.3">
      <c r="A704" s="245">
        <f>KPIs!$AK$3</f>
        <v>47239</v>
      </c>
      <c r="B704" s="199" t="str">
        <f>KPIs!AK$4</f>
        <v>Compresora</v>
      </c>
      <c r="C704" s="31" t="s">
        <v>83</v>
      </c>
      <c r="D704" s="199" t="str">
        <f>KPIs!$A$18</f>
        <v>10 · Cumplimiento de simulacros (emergencia y operativos)</v>
      </c>
      <c r="E704" s="31" t="s">
        <v>599</v>
      </c>
      <c r="F704" s="247" t="str">
        <f>IF(ISNUMBER(KPIs!AK18),KPIs!AK18,"")</f>
        <v/>
      </c>
      <c r="G704" s="247">
        <f>IF(ISNUMBER(KPIs!$C$18),KPIs!$C$18,"")</f>
        <v>1</v>
      </c>
      <c r="H704" s="199" t="str">
        <f>IFERROR(INDEX(_TARGETS!$E$2:$E$17,MATCH($C704,_TARGETS!$A$2:$A$17,0))&amp;"","")</f>
        <v>≥</v>
      </c>
      <c r="I704" s="199" t="str">
        <f t="shared" si="50"/>
        <v/>
      </c>
      <c r="J704" s="193" t="str">
        <f t="shared" si="51"/>
        <v>Monthly</v>
      </c>
      <c r="K704" s="248">
        <f>Datos!AK20</f>
        <v>0</v>
      </c>
      <c r="L704" s="248">
        <f>Datos!AK21</f>
        <v>0</v>
      </c>
      <c r="M704" s="193">
        <f>INDEX(_TARGETS!$J$2:$J$17,MATCH($C704,_TARGETS!$A$2:$A$17,0))</f>
        <v>1</v>
      </c>
      <c r="N704" s="193" t="str">
        <f>INDEX(_TARGETS!$D$2:$D$17,MATCH($C704,_TARGETS!$A$2:$A$17,0))</f>
        <v>% (fracción)</v>
      </c>
      <c r="O704" s="193" t="str">
        <f>IF(NOT(ISNUMBER(F704)),"MISSING",IF((COUNTBLANK(Datos!AK20)+COUNTBLANK(Datos!AK21))&gt;0,"INCOMPLETE","OK"))</f>
        <v>MISSING</v>
      </c>
      <c r="P704" s="193" t="str">
        <f>INDEX(_TARGETS!$K$2:$K$17,MATCH($C704,_TARGETS!$A$2:$A$17,0))</f>
        <v>OPS (carga manual en Datos)</v>
      </c>
      <c r="Q704" s="193" t="str">
        <f t="shared" si="52"/>
        <v>202905|CPSE|Monthly</v>
      </c>
      <c r="R704" s="193" t="str">
        <f>INDEX(_TARGETS!$H$2:$H$17,MATCH($C704,_TARGETS!$A$2:$A$17,0))</f>
        <v>Definida</v>
      </c>
      <c r="S704" s="193" t="str">
        <f t="shared" si="53"/>
        <v/>
      </c>
      <c r="T704" s="193" t="str">
        <f t="shared" si="54"/>
        <v/>
      </c>
    </row>
    <row r="705" spans="1:20" ht="13.5" customHeight="1" x14ac:dyDescent="0.3">
      <c r="A705" s="245">
        <f>KPIs!$AK$3</f>
        <v>47239</v>
      </c>
      <c r="B705" s="199" t="str">
        <f>KPIs!AK$4</f>
        <v>Compresora</v>
      </c>
      <c r="C705" s="31" t="s">
        <v>85</v>
      </c>
      <c r="D705" s="199" t="str">
        <f>KPIs!$A$19</f>
        <v>10b · Cumplimiento de acciones de mejora de simulacros</v>
      </c>
      <c r="E705" s="31" t="s">
        <v>599</v>
      </c>
      <c r="F705" s="247" t="str">
        <f>IF(ISNUMBER(KPIs!AK19),KPIs!AK19,"")</f>
        <v/>
      </c>
      <c r="G705" s="247" t="str">
        <f>IF(ISNUMBER(KPIs!$C$19),KPIs!$C$19,"")</f>
        <v/>
      </c>
      <c r="H705" s="199" t="str">
        <f>IFERROR(INDEX(_TARGETS!$E$2:$E$17,MATCH($C705,_TARGETS!$A$2:$A$17,0))&amp;"","")</f>
        <v/>
      </c>
      <c r="I705" s="199" t="str">
        <f t="shared" si="50"/>
        <v/>
      </c>
      <c r="J705" s="193" t="str">
        <f t="shared" si="51"/>
        <v>Monthly</v>
      </c>
      <c r="K705" s="248">
        <f>Datos!AK23</f>
        <v>0</v>
      </c>
      <c r="L705" s="248">
        <f>Datos!AK22</f>
        <v>0</v>
      </c>
      <c r="M705" s="193">
        <f>INDEX(_TARGETS!$J$2:$J$17,MATCH($C705,_TARGETS!$A$2:$A$17,0))</f>
        <v>1</v>
      </c>
      <c r="N705" s="193" t="str">
        <f>INDEX(_TARGETS!$D$2:$D$17,MATCH($C705,_TARGETS!$A$2:$A$17,0))</f>
        <v>% (fracción)</v>
      </c>
      <c r="O705" s="193" t="str">
        <f>IF(NOT(ISNUMBER(F705)),"MISSING",IF((COUNTBLANK(Datos!AK23)+COUNTBLANK(Datos!AK22))&gt;0,"INCOMPLETE","OK"))</f>
        <v>MISSING</v>
      </c>
      <c r="P705" s="193" t="str">
        <f>INDEX(_TARGETS!$K$2:$K$17,MATCH($C705,_TARGETS!$A$2:$A$17,0))</f>
        <v>OPS (carga manual en Datos)</v>
      </c>
      <c r="Q705" s="193" t="str">
        <f t="shared" si="52"/>
        <v>202905|CAMS|Monthly</v>
      </c>
      <c r="R705" s="193" t="str">
        <f>INDEX(_TARGETS!$H$2:$H$17,MATCH($C705,_TARGETS!$A$2:$A$17,0))</f>
        <v>Solo reporte</v>
      </c>
      <c r="S705" s="193" t="str">
        <f t="shared" si="53"/>
        <v/>
      </c>
      <c r="T705" s="193" t="str">
        <f t="shared" si="54"/>
        <v/>
      </c>
    </row>
    <row r="706" spans="1:20" ht="13.5" customHeight="1" x14ac:dyDescent="0.3">
      <c r="A706" s="245">
        <f>KPIs!$AK$3</f>
        <v>47239</v>
      </c>
      <c r="B706" s="199" t="str">
        <f>KPIs!AK$4</f>
        <v>Compresora</v>
      </c>
      <c r="C706" s="31" t="s">
        <v>87</v>
      </c>
      <c r="D706" s="199" t="str">
        <f>KPIs!$A$21</f>
        <v>11 · Cumplimiento de caminatas gerenciales</v>
      </c>
      <c r="E706" s="31" t="s">
        <v>599</v>
      </c>
      <c r="F706" s="247" t="str">
        <f>IF(ISNUMBER(KPIs!AK21),KPIs!AK21,"")</f>
        <v/>
      </c>
      <c r="G706" s="247">
        <f>IF(ISNUMBER(KPIs!$C$21),KPIs!$C$21,"")</f>
        <v>1</v>
      </c>
      <c r="H706" s="199" t="str">
        <f>IFERROR(INDEX(_TARGETS!$E$2:$E$17,MATCH($C706,_TARGETS!$A$2:$A$17,0))&amp;"","")</f>
        <v>≥</v>
      </c>
      <c r="I706" s="199" t="str">
        <f t="shared" ref="I706:I769" si="55">IF(OR(H706="",F706="",G706=""),"",IF(IF(H706="≤",F706&lt;=G706,F706&gt;=G706),"Sí","No"))</f>
        <v/>
      </c>
      <c r="J706" s="193" t="str">
        <f t="shared" ref="J706:J769" si="56">IF(E706="Mensual","Monthly",IF(E706="Acumulado","Cumulative",E706))</f>
        <v>Monthly</v>
      </c>
      <c r="K706" s="248">
        <f>Datos!AK24</f>
        <v>0</v>
      </c>
      <c r="L706" s="248">
        <f>Datos!AK25</f>
        <v>0</v>
      </c>
      <c r="M706" s="193">
        <f>INDEX(_TARGETS!$J$2:$J$17,MATCH($C706,_TARGETS!$A$2:$A$17,0))</f>
        <v>1</v>
      </c>
      <c r="N706" s="193" t="str">
        <f>INDEX(_TARGETS!$D$2:$D$17,MATCH($C706,_TARGETS!$A$2:$A$17,0))</f>
        <v>% (fracción)</v>
      </c>
      <c r="O706" s="193" t="str">
        <f>IF(NOT(ISNUMBER(F706)),"MISSING",IF((COUNTBLANK(Datos!AK24)+COUNTBLANK(Datos!AK25))&gt;0,"INCOMPLETE","OK"))</f>
        <v>MISSING</v>
      </c>
      <c r="P706" s="193" t="str">
        <f>INDEX(_TARGETS!$K$2:$K$17,MATCH($C706,_TARGETS!$A$2:$A$17,0))</f>
        <v>OPS (carga manual en Datos)</v>
      </c>
      <c r="Q706" s="193" t="str">
        <f t="shared" ref="Q706:Q769" si="57">YEAR(A706)*100+MONTH(A706)&amp;"|"&amp;C706&amp;"|"&amp;J706</f>
        <v>202905|ICCS|Monthly</v>
      </c>
      <c r="R706" s="193" t="str">
        <f>INDEX(_TARGETS!$H$2:$H$17,MATCH($C706,_TARGETS!$A$2:$A$17,0))</f>
        <v>Definida</v>
      </c>
      <c r="S706" s="193" t="str">
        <f t="shared" ref="S706:S769" si="58">IF(AND(ISNUMBER(K706),ISNUMBER(L706)),IF(L706=0,"",K706*M706/L706),IF(ISNUMBER(K706),K706*M706,""))</f>
        <v/>
      </c>
      <c r="T706" s="193" t="str">
        <f t="shared" ref="T706:T769" si="59">IF(AND(ISNUMBER(F706),ISNUMBER(S706)),ABS(F706-S706),"")</f>
        <v/>
      </c>
    </row>
    <row r="707" spans="1:20" ht="13.5" customHeight="1" x14ac:dyDescent="0.3">
      <c r="A707" s="245">
        <f>KPIs!$AK$3</f>
        <v>47239</v>
      </c>
      <c r="B707" s="199" t="str">
        <f>KPIs!AK$4</f>
        <v>Compresora</v>
      </c>
      <c r="C707" s="31" t="s">
        <v>89</v>
      </c>
      <c r="D707" s="199" t="str">
        <f>KPIs!$A$22</f>
        <v>12 · Cumplimiento de comités y subcomités de seguridad</v>
      </c>
      <c r="E707" s="31" t="s">
        <v>599</v>
      </c>
      <c r="F707" s="247" t="str">
        <f>IF(ISNUMBER(KPIs!AK22),KPIs!AK22,"")</f>
        <v/>
      </c>
      <c r="G707" s="247">
        <f>IF(ISNUMBER(KPIs!$C$22),KPIs!$C$22,"")</f>
        <v>1</v>
      </c>
      <c r="H707" s="199" t="str">
        <f>IFERROR(INDEX(_TARGETS!$E$2:$E$17,MATCH($C707,_TARGETS!$A$2:$A$17,0))&amp;"","")</f>
        <v>≥</v>
      </c>
      <c r="I707" s="199" t="str">
        <f t="shared" si="55"/>
        <v/>
      </c>
      <c r="J707" s="193" t="str">
        <f t="shared" si="56"/>
        <v>Monthly</v>
      </c>
      <c r="K707" s="248">
        <f>Datos!AK26</f>
        <v>0</v>
      </c>
      <c r="L707" s="248">
        <f>Datos!AK27</f>
        <v>0</v>
      </c>
      <c r="M707" s="193">
        <f>INDEX(_TARGETS!$J$2:$J$17,MATCH($C707,_TARGETS!$A$2:$A$17,0))</f>
        <v>1</v>
      </c>
      <c r="N707" s="193" t="str">
        <f>INDEX(_TARGETS!$D$2:$D$17,MATCH($C707,_TARGETS!$A$2:$A$17,0))</f>
        <v>% (fracción)</v>
      </c>
      <c r="O707" s="193" t="str">
        <f>IF(NOT(ISNUMBER(F707)),"MISSING",IF((COUNTBLANK(Datos!AK26)+COUNTBLANK(Datos!AK27))&gt;0,"INCOMPLETE","OK"))</f>
        <v>MISSING</v>
      </c>
      <c r="P707" s="193" t="str">
        <f>INDEX(_TARGETS!$K$2:$K$17,MATCH($C707,_TARGETS!$A$2:$A$17,0))</f>
        <v>OPS (carga manual en Datos)</v>
      </c>
      <c r="Q707" s="193" t="str">
        <f t="shared" si="57"/>
        <v>202905|CCS|Monthly</v>
      </c>
      <c r="R707" s="193" t="str">
        <f>INDEX(_TARGETS!$H$2:$H$17,MATCH($C707,_TARGETS!$A$2:$A$17,0))</f>
        <v>Definida</v>
      </c>
      <c r="S707" s="193" t="str">
        <f t="shared" si="58"/>
        <v/>
      </c>
      <c r="T707" s="193" t="str">
        <f t="shared" si="59"/>
        <v/>
      </c>
    </row>
    <row r="708" spans="1:20" ht="13.5" customHeight="1" x14ac:dyDescent="0.3">
      <c r="A708" s="245">
        <f>KPIs!$AK$3</f>
        <v>47239</v>
      </c>
      <c r="B708" s="199" t="str">
        <f>KPIs!AK$4</f>
        <v>Compresora</v>
      </c>
      <c r="C708" s="31" t="s">
        <v>91</v>
      </c>
      <c r="D708" s="199" t="str">
        <f>KPIs!$A$23</f>
        <v>13 · Días promedio para cerrar hallazgos</v>
      </c>
      <c r="E708" s="31" t="s">
        <v>599</v>
      </c>
      <c r="F708" s="247" t="str">
        <f>IF(ISNUMBER(KPIs!AK23),KPIs!AK23,"")</f>
        <v/>
      </c>
      <c r="G708" s="247" t="str">
        <f>IF(ISNUMBER(KPIs!$C$23),KPIs!$C$23,"")</f>
        <v/>
      </c>
      <c r="H708" s="199" t="str">
        <f>IFERROR(INDEX(_TARGETS!$E$2:$E$17,MATCH($C708,_TARGETS!$A$2:$A$17,0))&amp;"","")</f>
        <v>≤</v>
      </c>
      <c r="I708" s="199" t="str">
        <f t="shared" si="55"/>
        <v/>
      </c>
      <c r="J708" s="193" t="str">
        <f t="shared" si="56"/>
        <v>Monthly</v>
      </c>
      <c r="K708" s="248">
        <f>Datos!AK68</f>
        <v>0</v>
      </c>
      <c r="L708" s="248">
        <f>Datos!AK67</f>
        <v>0</v>
      </c>
      <c r="M708" s="193">
        <f>INDEX(_TARGETS!$J$2:$J$17,MATCH($C708,_TARGETS!$A$2:$A$17,0))</f>
        <v>1</v>
      </c>
      <c r="N708" s="193" t="str">
        <f>INDEX(_TARGETS!$D$2:$D$17,MATCH($C708,_TARGETS!$A$2:$A$17,0))</f>
        <v>días</v>
      </c>
      <c r="O708" s="193" t="str">
        <f>IF(NOT(ISNUMBER(F708)),"MISSING","OK")</f>
        <v>MISSING</v>
      </c>
      <c r="P708" s="193" t="str">
        <f>INDEX(_TARGETS!$K$2:$K$17,MATCH($C708,_TARGETS!$A$2:$A$17,0))</f>
        <v>Plant Findings (hoja Observaciones-SMP)</v>
      </c>
      <c r="Q708" s="193" t="str">
        <f t="shared" si="57"/>
        <v>202905|DPAS|Monthly</v>
      </c>
      <c r="R708" s="193" t="str">
        <f>INDEX(_TARGETS!$H$2:$H$17,MATCH($C708,_TARGETS!$A$2:$A$17,0))</f>
        <v>Pendiente (meta 2027)</v>
      </c>
      <c r="S708" s="193" t="str">
        <f t="shared" si="58"/>
        <v/>
      </c>
      <c r="T708" s="193" t="str">
        <f t="shared" si="59"/>
        <v/>
      </c>
    </row>
    <row r="709" spans="1:20" ht="13.5" customHeight="1" x14ac:dyDescent="0.3">
      <c r="A709" s="245">
        <f>KPIs!$AK$3</f>
        <v>47239</v>
      </c>
      <c r="B709" s="199" t="str">
        <f>KPIs!AK$4</f>
        <v>Compresora</v>
      </c>
      <c r="C709" s="31" t="s">
        <v>39</v>
      </c>
      <c r="D709" s="199" t="str">
        <f>KPIs!$A$26</f>
        <v>1 · Frecuencia de casos con días perdidos · ACUMULADO</v>
      </c>
      <c r="E709" s="31" t="s">
        <v>600</v>
      </c>
      <c r="F709" s="247" t="str">
        <f>IF(ISNUMBER(KPIs!AK26),KPIs!AK26,"")</f>
        <v/>
      </c>
      <c r="G709" s="247">
        <f>IF(ISNUMBER(KPIs!$C$26),KPIs!$C$26,"")</f>
        <v>0</v>
      </c>
      <c r="H709" s="199" t="str">
        <f>IFERROR(INDEX(_TARGETS!$E$2:$E$17,MATCH($C709,_TARGETS!$A$2:$A$17,0))&amp;"","")</f>
        <v>≤</v>
      </c>
      <c r="I709" s="199" t="str">
        <f t="shared" si="55"/>
        <v/>
      </c>
      <c r="J709" s="193" t="str">
        <f t="shared" si="56"/>
        <v>Cumulative</v>
      </c>
      <c r="K709" s="193">
        <f>SUM(Datos!$D33:AK33)</f>
        <v>0</v>
      </c>
      <c r="L709" s="193">
        <f>SUM(Datos!$D14:AK14)</f>
        <v>48332</v>
      </c>
      <c r="M709" s="193">
        <f>INDEX(_TARGETS!$J$2:$J$17,MATCH($C709,_TARGETS!$A$2:$A$17,0))</f>
        <v>1000000</v>
      </c>
      <c r="N709" s="193" t="str">
        <f>INDEX(_TARGETS!$D$2:$D$17,MATCH($C709,_TARGETS!$A$2:$A$17,0))</f>
        <v>casos / 10^6 HH</v>
      </c>
      <c r="O709" s="193" t="str">
        <f>IF(NOT(ISNUMBER(F709)),IF(SUMPRODUCT(($C$2:$C$1300=C709)*($J$2:$J$1300="Monthly")*($A$2:$A$1300&lt;=A709)*ISNUMBER($K$2:$K$1300)*ISNUMBER($L$2:$L$1300)*($L$2:$L$1300=0)*($K$2:$K$1300&gt;0))&gt;0,"INCOMPLETE","MISSING"),O695)</f>
        <v>MISSING</v>
      </c>
      <c r="P709" s="193" t="str">
        <f>INDEX(_TARGETS!$K$2:$K$17,MATCH($C709,_TARGETS!$A$2:$A$17,0))</f>
        <v>OPS (carga manual en Datos)</v>
      </c>
      <c r="Q709" s="193" t="str">
        <f t="shared" si="57"/>
        <v>202905|DAFWCF|Cumulative</v>
      </c>
      <c r="R709" s="193" t="str">
        <f>INDEX(_TARGETS!$H$2:$H$17,MATCH($C709,_TARGETS!$A$2:$A$17,0))</f>
        <v>Definida</v>
      </c>
      <c r="S709" s="193">
        <f t="shared" si="58"/>
        <v>0</v>
      </c>
      <c r="T709" s="193" t="str">
        <f t="shared" si="59"/>
        <v/>
      </c>
    </row>
    <row r="710" spans="1:20" ht="13.5" customHeight="1" x14ac:dyDescent="0.3">
      <c r="A710" s="245">
        <f>KPIs!$AK$3</f>
        <v>47239</v>
      </c>
      <c r="B710" s="199" t="str">
        <f>KPIs!AK$4</f>
        <v>Compresora</v>
      </c>
      <c r="C710" s="31" t="s">
        <v>49</v>
      </c>
      <c r="D710" s="199" t="str">
        <f>KPIs!$A$27</f>
        <v>2 · Frecuencia de casos registrables · ACUMULADO</v>
      </c>
      <c r="E710" s="31" t="s">
        <v>600</v>
      </c>
      <c r="F710" s="247" t="str">
        <f>IF(ISNUMBER(KPIs!AK27),KPIs!AK27,"")</f>
        <v/>
      </c>
      <c r="G710" s="247">
        <f>IF(ISNUMBER(KPIs!$C$27),KPIs!$C$27,"")</f>
        <v>2.35</v>
      </c>
      <c r="H710" s="199" t="str">
        <f>IFERROR(INDEX(_TARGETS!$E$2:$E$17,MATCH($C710,_TARGETS!$A$2:$A$17,0))&amp;"","")</f>
        <v>≤</v>
      </c>
      <c r="I710" s="199" t="str">
        <f t="shared" si="55"/>
        <v/>
      </c>
      <c r="J710" s="193" t="str">
        <f t="shared" si="56"/>
        <v>Cumulative</v>
      </c>
      <c r="K710" s="193">
        <f>SUM(Datos!$D33:AK33)+SUM(Datos!$D34:AK34)+SUM(Datos!$D35:AK35)+SUM(Datos!$D36:AK36)</f>
        <v>0</v>
      </c>
      <c r="L710" s="193">
        <f>SUM(Datos!$D14:AK14)</f>
        <v>48332</v>
      </c>
      <c r="M710" s="193">
        <f>INDEX(_TARGETS!$J$2:$J$17,MATCH($C710,_TARGETS!$A$2:$A$17,0))</f>
        <v>1000000</v>
      </c>
      <c r="N710" s="193" t="str">
        <f>INDEX(_TARGETS!$D$2:$D$17,MATCH($C710,_TARGETS!$A$2:$A$17,0))</f>
        <v>casos / 10^6 HH</v>
      </c>
      <c r="O710" s="193" t="str">
        <f>IF(NOT(ISNUMBER(F710)),IF(SUMPRODUCT(($C$2:$C$1300=C710)*($J$2:$J$1300="Monthly")*($A$2:$A$1300&lt;=A710)*ISNUMBER($K$2:$K$1300)*ISNUMBER($L$2:$L$1300)*($L$2:$L$1300=0)*($K$2:$K$1300&gt;0))&gt;0,"INCOMPLETE","MISSING"),O696)</f>
        <v>MISSING</v>
      </c>
      <c r="P710" s="193" t="str">
        <f>INDEX(_TARGETS!$K$2:$K$17,MATCH($C710,_TARGETS!$A$2:$A$17,0))</f>
        <v>OPS (carga manual en Datos)</v>
      </c>
      <c r="Q710" s="193" t="str">
        <f t="shared" si="57"/>
        <v>202905|TRICF|Cumulative</v>
      </c>
      <c r="R710" s="193" t="str">
        <f>INDEX(_TARGETS!$H$2:$H$17,MATCH($C710,_TARGETS!$A$2:$A$17,0))</f>
        <v>Definida</v>
      </c>
      <c r="S710" s="193">
        <f t="shared" si="58"/>
        <v>0</v>
      </c>
      <c r="T710" s="193" t="str">
        <f t="shared" si="59"/>
        <v/>
      </c>
    </row>
    <row r="711" spans="1:20" ht="13.5" customHeight="1" x14ac:dyDescent="0.3">
      <c r="A711" s="245">
        <f>KPIs!$AK$3</f>
        <v>47239</v>
      </c>
      <c r="B711" s="199" t="str">
        <f>KPIs!AK$4</f>
        <v>Compresora</v>
      </c>
      <c r="C711" s="31" t="s">
        <v>51</v>
      </c>
      <c r="D711" s="199" t="str">
        <f>KPIs!$A$28</f>
        <v>3 · Casos de primeros auxilios · ACUMULADO</v>
      </c>
      <c r="E711" s="31" t="s">
        <v>600</v>
      </c>
      <c r="F711" s="247" t="str">
        <f>IF(ISNUMBER(KPIs!AK28),KPIs!AK28,"")</f>
        <v/>
      </c>
      <c r="G711" s="247" t="str">
        <f>IF(ISNUMBER(KPIs!$C$28),KPIs!$C$28,"")</f>
        <v/>
      </c>
      <c r="H711" s="199" t="str">
        <f>IFERROR(INDEX(_TARGETS!$E$2:$E$17,MATCH($C711,_TARGETS!$A$2:$A$17,0))&amp;"","")</f>
        <v/>
      </c>
      <c r="I711" s="199" t="str">
        <f t="shared" si="55"/>
        <v/>
      </c>
      <c r="J711" s="193" t="str">
        <f t="shared" si="56"/>
        <v>Cumulative</v>
      </c>
      <c r="K711" s="193">
        <f>SUM(Datos!$D37:AK37)</f>
        <v>0</v>
      </c>
      <c r="M711" s="193">
        <f>INDEX(_TARGETS!$J$2:$J$17,MATCH($C711,_TARGETS!$A$2:$A$17,0))</f>
        <v>1</v>
      </c>
      <c r="N711" s="193" t="str">
        <f>INDEX(_TARGETS!$D$2:$D$17,MATCH($C711,_TARGETS!$A$2:$A$17,0))</f>
        <v>casos</v>
      </c>
      <c r="O711" s="193" t="str">
        <f>IF(NOT(ISNUMBER(F711)),IF(SUMPRODUCT(($C$2:$C$1300=C711)*($J$2:$J$1300="Monthly")*($A$2:$A$1300&lt;=A711)*ISNUMBER($K$2:$K$1300)*ISNUMBER($L$2:$L$1300)*($L$2:$L$1300=0)*($K$2:$K$1300&gt;0))&gt;0,"INCOMPLETE","MISSING"),O697)</f>
        <v>MISSING</v>
      </c>
      <c r="P711" s="193" t="str">
        <f>INDEX(_TARGETS!$K$2:$K$17,MATCH($C711,_TARGETS!$A$2:$A$17,0))</f>
        <v>OPS (carga manual en Datos)</v>
      </c>
      <c r="Q711" s="193" t="str">
        <f t="shared" si="57"/>
        <v>202905|FAC|Cumulative</v>
      </c>
      <c r="R711" s="193" t="str">
        <f>INDEX(_TARGETS!$H$2:$H$17,MATCH($C711,_TARGETS!$A$2:$A$17,0))</f>
        <v>Solo reporte</v>
      </c>
      <c r="S711" s="193">
        <f t="shared" si="58"/>
        <v>0</v>
      </c>
      <c r="T711" s="193" t="str">
        <f t="shared" si="59"/>
        <v/>
      </c>
    </row>
    <row r="712" spans="1:20" ht="13.5" customHeight="1" x14ac:dyDescent="0.3">
      <c r="A712" s="245">
        <f>KPIs!$AK$3</f>
        <v>47239</v>
      </c>
      <c r="B712" s="199" t="str">
        <f>KPIs!AK$4</f>
        <v>Compresora</v>
      </c>
      <c r="C712" s="31" t="s">
        <v>57</v>
      </c>
      <c r="D712" s="199" t="str">
        <f>KPIs!$A$29</f>
        <v>4 · Accidentes vehiculares severos · ACUMULADO</v>
      </c>
      <c r="E712" s="31" t="s">
        <v>600</v>
      </c>
      <c r="F712" s="247" t="str">
        <f>IF(ISNUMBER(KPIs!AK29),KPIs!AK29,"")</f>
        <v/>
      </c>
      <c r="G712" s="247" t="str">
        <f>IF(ISNUMBER(KPIs!$C$29),KPIs!$C$29,"")</f>
        <v/>
      </c>
      <c r="H712" s="199" t="str">
        <f>IFERROR(INDEX(_TARGETS!$E$2:$E$17,MATCH($C712,_TARGETS!$A$2:$A$17,0))&amp;"","")</f>
        <v/>
      </c>
      <c r="I712" s="199" t="str">
        <f t="shared" si="55"/>
        <v/>
      </c>
      <c r="J712" s="193" t="str">
        <f t="shared" si="56"/>
        <v>Cumulative</v>
      </c>
      <c r="K712" s="193">
        <f>SUM(Datos!$D39:AK39)+SUM(Datos!$D40:AK40)+SUM(Datos!$D41:AK41)</f>
        <v>0</v>
      </c>
      <c r="L712" s="193">
        <f>SUM(Datos!$D47:AK47)</f>
        <v>172824</v>
      </c>
      <c r="M712" s="193">
        <f>INDEX(_TARGETS!$J$2:$J$17,MATCH($C712,_TARGETS!$A$2:$A$17,0))</f>
        <v>1000000</v>
      </c>
      <c r="N712" s="193" t="str">
        <f>INDEX(_TARGETS!$D$2:$D$17,MATCH($C712,_TARGETS!$A$2:$A$17,0))</f>
        <v>eventos / 10^6 km</v>
      </c>
      <c r="O712" s="193" t="str">
        <f>IF(NOT(ISNUMBER(F712)),IF(SUMPRODUCT(($C$2:$C$1300=C712)*($J$2:$J$1300="Monthly")*($A$2:$A$1300&lt;=A712)*ISNUMBER($K$2:$K$1300)*ISNUMBER($L$2:$L$1300)*($L$2:$L$1300=0)*($K$2:$K$1300&gt;0))&gt;0,"INCOMPLETE","MISSING"),O698)</f>
        <v>MISSING</v>
      </c>
      <c r="P712" s="193" t="str">
        <f>INDEX(_TARGETS!$K$2:$K$17,MATCH($C712,_TARGETS!$A$2:$A$17,0))</f>
        <v>OPS (eventos) + Full Control GPS (km) - carga manual en Datos</v>
      </c>
      <c r="Q712" s="193" t="str">
        <f t="shared" si="57"/>
        <v>202905|SVCR|Cumulative</v>
      </c>
      <c r="R712" s="193" t="str">
        <f>INDEX(_TARGETS!$H$2:$H$17,MATCH($C712,_TARGETS!$A$2:$A$17,0))</f>
        <v>Solo reporte</v>
      </c>
      <c r="S712" s="193">
        <f t="shared" si="58"/>
        <v>0</v>
      </c>
      <c r="T712" s="193" t="str">
        <f t="shared" si="59"/>
        <v/>
      </c>
    </row>
    <row r="713" spans="1:20" ht="13.5" customHeight="1" x14ac:dyDescent="0.3">
      <c r="A713" s="245">
        <f>KPIs!$AK$3</f>
        <v>47239</v>
      </c>
      <c r="B713" s="199" t="str">
        <f>KPIs!AK$4</f>
        <v>Compresora</v>
      </c>
      <c r="C713" s="31" t="s">
        <v>61</v>
      </c>
      <c r="D713" s="199" t="str">
        <f>KPIs!$A$30</f>
        <v>5 · Accidentes vehiculares totales · ACUMULADO</v>
      </c>
      <c r="E713" s="31" t="s">
        <v>600</v>
      </c>
      <c r="F713" s="247" t="str">
        <f>IF(ISNUMBER(KPIs!AK30),KPIs!AK30,"")</f>
        <v/>
      </c>
      <c r="G713" s="247">
        <f>IF(ISNUMBER(KPIs!$C$30),KPIs!$C$30,"")</f>
        <v>0.79</v>
      </c>
      <c r="H713" s="199" t="str">
        <f>IFERROR(INDEX(_TARGETS!$E$2:$E$17,MATCH($C713,_TARGETS!$A$2:$A$17,0))&amp;"","")</f>
        <v>≤</v>
      </c>
      <c r="I713" s="199" t="str">
        <f t="shared" si="55"/>
        <v/>
      </c>
      <c r="J713" s="193" t="str">
        <f t="shared" si="56"/>
        <v>Cumulative</v>
      </c>
      <c r="K713" s="193">
        <f>SUM(Datos!$D39:AK39)+SUM(Datos!$D40:AK40)+SUM(Datos!$D41:AK41)+SUM(Datos!$D42:AK42)</f>
        <v>0</v>
      </c>
      <c r="L713" s="193">
        <f>SUM(Datos!$D47:AK47)</f>
        <v>172824</v>
      </c>
      <c r="M713" s="193">
        <f>INDEX(_TARGETS!$J$2:$J$17,MATCH($C713,_TARGETS!$A$2:$A$17,0))</f>
        <v>1000000</v>
      </c>
      <c r="N713" s="193" t="str">
        <f>INDEX(_TARGETS!$D$2:$D$17,MATCH($C713,_TARGETS!$A$2:$A$17,0))</f>
        <v>eventos / 10^6 km</v>
      </c>
      <c r="O713" s="193" t="str">
        <f>IF(NOT(ISNUMBER(F713)),IF(SUMPRODUCT(($C$2:$C$1300=C713)*($J$2:$J$1300="Monthly")*($A$2:$A$1300&lt;=A713)*ISNUMBER($K$2:$K$1300)*ISNUMBER($L$2:$L$1300)*($L$2:$L$1300=0)*($K$2:$K$1300&gt;0))&gt;0,"INCOMPLETE","MISSING"),O699)</f>
        <v>MISSING</v>
      </c>
      <c r="P713" s="193" t="str">
        <f>INDEX(_TARGETS!$K$2:$K$17,MATCH($C713,_TARGETS!$A$2:$A$17,0))</f>
        <v>OPS (eventos) + Full Control GPS (km) - carga manual en Datos</v>
      </c>
      <c r="Q713" s="193" t="str">
        <f t="shared" si="57"/>
        <v>202905|TVCR|Cumulative</v>
      </c>
      <c r="R713" s="193" t="str">
        <f>INDEX(_TARGETS!$H$2:$H$17,MATCH($C713,_TARGETS!$A$2:$A$17,0))</f>
        <v>Definida</v>
      </c>
      <c r="S713" s="193">
        <f t="shared" si="58"/>
        <v>0</v>
      </c>
      <c r="T713" s="193" t="str">
        <f t="shared" si="59"/>
        <v/>
      </c>
    </row>
    <row r="714" spans="1:20" ht="13.5" customHeight="1" x14ac:dyDescent="0.3">
      <c r="A714" s="245">
        <f>KPIs!$AK$3</f>
        <v>47239</v>
      </c>
      <c r="B714" s="199" t="str">
        <f>KPIs!AK$4</f>
        <v>Compresora</v>
      </c>
      <c r="C714" s="31" t="s">
        <v>96</v>
      </c>
      <c r="D714" s="199" t="str">
        <f>KPIs!$A$33</f>
        <v>C1 · % de desvíos detectados de gravedad Alta</v>
      </c>
      <c r="E714" s="31" t="s">
        <v>599</v>
      </c>
      <c r="F714" s="247" t="str">
        <f>IF(ISNUMBER(KPIs!AK33),KPIs!AK33,"")</f>
        <v/>
      </c>
      <c r="G714" s="247" t="str">
        <f>IF(ISNUMBER(KPIs!$C$33),KPIs!$C$33,"")</f>
        <v/>
      </c>
      <c r="H714" s="199" t="str">
        <f>IFERROR(INDEX(_TARGETS!$E$2:$E$17,MATCH($C714,_TARGETS!$A$2:$A$17,0))&amp;"","")</f>
        <v/>
      </c>
      <c r="I714" s="199" t="str">
        <f t="shared" si="55"/>
        <v/>
      </c>
      <c r="J714" s="193" t="str">
        <f t="shared" si="56"/>
        <v>Monthly</v>
      </c>
      <c r="K714" s="248">
        <f>Datos!AK71</f>
        <v>0</v>
      </c>
      <c r="L714" s="193">
        <f>Datos!AK71+Datos!AK72+Datos!AK73</f>
        <v>0</v>
      </c>
      <c r="M714" s="193">
        <f>INDEX(_TARGETS!$J$2:$J$17,MATCH($C714,_TARGETS!$A$2:$A$17,0))</f>
        <v>1</v>
      </c>
      <c r="N714" s="193" t="str">
        <f>INDEX(_TARGETS!$D$2:$D$17,MATCH($C714,_TARGETS!$A$2:$A$17,0))</f>
        <v>% (fracción)</v>
      </c>
      <c r="O714" s="193" t="str">
        <f>IF(NOT(ISNUMBER(F714)),"MISSING","OK")</f>
        <v>MISSING</v>
      </c>
      <c r="P714" s="193" t="str">
        <f>INDEX(_TARGETS!$K$2:$K$17,MATCH($C714,_TARGETS!$A$2:$A$17,0))</f>
        <v>Plant Findings (hoja Observaciones-SMP)</v>
      </c>
      <c r="Q714" s="193" t="str">
        <f t="shared" si="57"/>
        <v>202905|HAL_ALTA_PCT|Monthly</v>
      </c>
      <c r="R714" s="193" t="str">
        <f>INDEX(_TARGETS!$H$2:$H$17,MATCH($C714,_TARGETS!$A$2:$A$17,0))</f>
        <v>Solo reporte</v>
      </c>
      <c r="S714" s="193" t="str">
        <f t="shared" si="58"/>
        <v/>
      </c>
      <c r="T714" s="193" t="str">
        <f t="shared" si="59"/>
        <v/>
      </c>
    </row>
    <row r="715" spans="1:20" ht="13.5" customHeight="1" x14ac:dyDescent="0.3">
      <c r="A715" s="245">
        <f>KPIs!$AK$3</f>
        <v>47239</v>
      </c>
      <c r="B715" s="199" t="str">
        <f>KPIs!AK$4</f>
        <v>Compresora</v>
      </c>
      <c r="C715" s="31" t="s">
        <v>98</v>
      </c>
      <c r="D715" s="199" t="str">
        <f>KPIs!$A$34</f>
        <v>C2 · Detenciones de tareas aplicadas</v>
      </c>
      <c r="E715" s="31" t="s">
        <v>599</v>
      </c>
      <c r="F715" s="247" t="str">
        <f>IF(ISNUMBER(KPIs!AK34),KPIs!AK34,"")</f>
        <v/>
      </c>
      <c r="G715" s="247" t="str">
        <f>IF(ISNUMBER(KPIs!$C$34),KPIs!$C$34,"")</f>
        <v/>
      </c>
      <c r="H715" s="199" t="str">
        <f>IFERROR(INDEX(_TARGETS!$E$2:$E$17,MATCH($C715,_TARGETS!$A$2:$A$17,0))&amp;"","")</f>
        <v/>
      </c>
      <c r="I715" s="199" t="str">
        <f t="shared" si="55"/>
        <v/>
      </c>
      <c r="J715" s="193" t="str">
        <f t="shared" si="56"/>
        <v>Monthly</v>
      </c>
      <c r="K715" s="248">
        <f>Datos!AK75</f>
        <v>0</v>
      </c>
      <c r="M715" s="193">
        <f>INDEX(_TARGETS!$J$2:$J$17,MATCH($C715,_TARGETS!$A$2:$A$17,0))</f>
        <v>1</v>
      </c>
      <c r="N715" s="193" t="str">
        <f>INDEX(_TARGETS!$D$2:$D$17,MATCH($C715,_TARGETS!$A$2:$A$17,0))</f>
        <v>u</v>
      </c>
      <c r="O715" s="193" t="str">
        <f>IF(NOT(ISNUMBER(F715)),"MISSING","OK")</f>
        <v>MISSING</v>
      </c>
      <c r="P715" s="193" t="str">
        <f>INDEX(_TARGETS!$K$2:$K$17,MATCH($C715,_TARGETS!$A$2:$A$17,0))</f>
        <v>Plant Findings (hoja Observaciones-SMP)</v>
      </c>
      <c r="Q715" s="193" t="str">
        <f t="shared" si="57"/>
        <v>202905|DET|Monthly</v>
      </c>
      <c r="R715" s="193" t="str">
        <f>INDEX(_TARGETS!$H$2:$H$17,MATCH($C715,_TARGETS!$A$2:$A$17,0))</f>
        <v>Solo reporte</v>
      </c>
      <c r="S715" s="193" t="str">
        <f t="shared" si="58"/>
        <v/>
      </c>
      <c r="T715" s="193" t="str">
        <f t="shared" si="59"/>
        <v/>
      </c>
    </row>
    <row r="716" spans="1:20" ht="13.5" customHeight="1" x14ac:dyDescent="0.3">
      <c r="A716" s="245">
        <f>KPIs!$AL$3</f>
        <v>47270</v>
      </c>
      <c r="B716" s="199" t="str">
        <f>KPIs!AL$4</f>
        <v>Compresora</v>
      </c>
      <c r="C716" s="31" t="s">
        <v>39</v>
      </c>
      <c r="D716" s="199" t="str">
        <f>KPIs!$A$6</f>
        <v>1 · Frecuencia de casos con días perdidos</v>
      </c>
      <c r="E716" s="31" t="s">
        <v>599</v>
      </c>
      <c r="F716" s="247" t="str">
        <f>IF(ISNUMBER(KPIs!AL6),KPIs!AL6,"")</f>
        <v/>
      </c>
      <c r="G716" s="247">
        <f>IF(ISNUMBER(KPIs!$C$6),KPIs!$C$6,"")</f>
        <v>0</v>
      </c>
      <c r="H716" s="199" t="str">
        <f>IFERROR(INDEX(_TARGETS!$E$2:$E$17,MATCH($C716,_TARGETS!$A$2:$A$17,0))&amp;"","")</f>
        <v>≤</v>
      </c>
      <c r="I716" s="199" t="str">
        <f t="shared" si="55"/>
        <v/>
      </c>
      <c r="J716" s="193" t="str">
        <f t="shared" si="56"/>
        <v>Monthly</v>
      </c>
      <c r="K716" s="248">
        <f>Datos!AL33</f>
        <v>0</v>
      </c>
      <c r="L716" s="248">
        <f>Datos!AL14</f>
        <v>0</v>
      </c>
      <c r="M716" s="193">
        <f>INDEX(_TARGETS!$J$2:$J$17,MATCH($C716,_TARGETS!$A$2:$A$17,0))</f>
        <v>1000000</v>
      </c>
      <c r="N716" s="193" t="str">
        <f>INDEX(_TARGETS!$D$2:$D$17,MATCH($C716,_TARGETS!$A$2:$A$17,0))</f>
        <v>casos / 10^6 HH</v>
      </c>
      <c r="O716" s="193" t="str">
        <f>IF(NOT(ISNUMBER(F716)),"MISSING",IF((COUNTBLANK(Datos!AL12)+COUNTBLANK(Datos!AL13)+COUNTBLANK(Datos!AL33))&gt;0,"INCOMPLETE","OK"))</f>
        <v>MISSING</v>
      </c>
      <c r="P716" s="193" t="str">
        <f>INDEX(_TARGETS!$K$2:$K$17,MATCH($C716,_TARGETS!$A$2:$A$17,0))</f>
        <v>OPS (carga manual en Datos)</v>
      </c>
      <c r="Q716" s="193" t="str">
        <f t="shared" si="57"/>
        <v>202906|DAFWCF|Monthly</v>
      </c>
      <c r="R716" s="193" t="str">
        <f>INDEX(_TARGETS!$H$2:$H$17,MATCH($C716,_TARGETS!$A$2:$A$17,0))</f>
        <v>Definida</v>
      </c>
      <c r="S716" s="193" t="str">
        <f t="shared" si="58"/>
        <v/>
      </c>
      <c r="T716" s="193" t="str">
        <f t="shared" si="59"/>
        <v/>
      </c>
    </row>
    <row r="717" spans="1:20" ht="13.5" customHeight="1" x14ac:dyDescent="0.3">
      <c r="A717" s="245">
        <f>KPIs!$AL$3</f>
        <v>47270</v>
      </c>
      <c r="B717" s="199" t="str">
        <f>KPIs!AL$4</f>
        <v>Compresora</v>
      </c>
      <c r="C717" s="31" t="s">
        <v>49</v>
      </c>
      <c r="D717" s="199" t="str">
        <f>KPIs!$A$7</f>
        <v>2 · Frecuencia de casos registrables</v>
      </c>
      <c r="E717" s="31" t="s">
        <v>599</v>
      </c>
      <c r="F717" s="247" t="str">
        <f>IF(ISNUMBER(KPIs!AL7),KPIs!AL7,"")</f>
        <v/>
      </c>
      <c r="G717" s="247">
        <f>IF(ISNUMBER(KPIs!$C$7),KPIs!$C$7,"")</f>
        <v>2.35</v>
      </c>
      <c r="H717" s="199" t="str">
        <f>IFERROR(INDEX(_TARGETS!$E$2:$E$17,MATCH($C717,_TARGETS!$A$2:$A$17,0))&amp;"","")</f>
        <v>≤</v>
      </c>
      <c r="I717" s="199" t="str">
        <f t="shared" si="55"/>
        <v/>
      </c>
      <c r="J717" s="193" t="str">
        <f t="shared" si="56"/>
        <v>Monthly</v>
      </c>
      <c r="K717" s="193">
        <f>Datos!AL33+Datos!AL34+Datos!AL35+Datos!AL36</f>
        <v>0</v>
      </c>
      <c r="L717" s="248">
        <f>Datos!AL14</f>
        <v>0</v>
      </c>
      <c r="M717" s="193">
        <f>INDEX(_TARGETS!$J$2:$J$17,MATCH($C717,_TARGETS!$A$2:$A$17,0))</f>
        <v>1000000</v>
      </c>
      <c r="N717" s="193" t="str">
        <f>INDEX(_TARGETS!$D$2:$D$17,MATCH($C717,_TARGETS!$A$2:$A$17,0))</f>
        <v>casos / 10^6 HH</v>
      </c>
      <c r="O717" s="193" t="str">
        <f>IF(NOT(ISNUMBER(F717)),"MISSING",IF((COUNTBLANK(Datos!AL12)+COUNTBLANK(Datos!AL13)+COUNTBLANK(Datos!AL33)+COUNTBLANK(Datos!AL34)+COUNTBLANK(Datos!AL35)+COUNTBLANK(Datos!AL36))&gt;0,"INCOMPLETE","OK"))</f>
        <v>MISSING</v>
      </c>
      <c r="P717" s="193" t="str">
        <f>INDEX(_TARGETS!$K$2:$K$17,MATCH($C717,_TARGETS!$A$2:$A$17,0))</f>
        <v>OPS (carga manual en Datos)</v>
      </c>
      <c r="Q717" s="193" t="str">
        <f t="shared" si="57"/>
        <v>202906|TRICF|Monthly</v>
      </c>
      <c r="R717" s="193" t="str">
        <f>INDEX(_TARGETS!$H$2:$H$17,MATCH($C717,_TARGETS!$A$2:$A$17,0))</f>
        <v>Definida</v>
      </c>
      <c r="S717" s="193" t="str">
        <f t="shared" si="58"/>
        <v/>
      </c>
      <c r="T717" s="193" t="str">
        <f t="shared" si="59"/>
        <v/>
      </c>
    </row>
    <row r="718" spans="1:20" ht="13.5" customHeight="1" x14ac:dyDescent="0.3">
      <c r="A718" s="245">
        <f>KPIs!$AL$3</f>
        <v>47270</v>
      </c>
      <c r="B718" s="199" t="str">
        <f>KPIs!AL$4</f>
        <v>Compresora</v>
      </c>
      <c r="C718" s="31" t="s">
        <v>51</v>
      </c>
      <c r="D718" s="199" t="str">
        <f>KPIs!$A$8</f>
        <v>3 · Casos de primeros auxilios</v>
      </c>
      <c r="E718" s="31" t="s">
        <v>599</v>
      </c>
      <c r="F718" s="247" t="str">
        <f>IF(ISNUMBER(KPIs!AL8),KPIs!AL8,"")</f>
        <v/>
      </c>
      <c r="G718" s="247" t="str">
        <f>IF(ISNUMBER(KPIs!$C$8),KPIs!$C$8,"")</f>
        <v/>
      </c>
      <c r="H718" s="199" t="str">
        <f>IFERROR(INDEX(_TARGETS!$E$2:$E$17,MATCH($C718,_TARGETS!$A$2:$A$17,0))&amp;"","")</f>
        <v/>
      </c>
      <c r="I718" s="199" t="str">
        <f t="shared" si="55"/>
        <v/>
      </c>
      <c r="J718" s="193" t="str">
        <f t="shared" si="56"/>
        <v>Monthly</v>
      </c>
      <c r="K718" s="248">
        <f>Datos!AL37</f>
        <v>0</v>
      </c>
      <c r="M718" s="193">
        <f>INDEX(_TARGETS!$J$2:$J$17,MATCH($C718,_TARGETS!$A$2:$A$17,0))</f>
        <v>1</v>
      </c>
      <c r="N718" s="193" t="str">
        <f>INDEX(_TARGETS!$D$2:$D$17,MATCH($C718,_TARGETS!$A$2:$A$17,0))</f>
        <v>casos</v>
      </c>
      <c r="O718" s="193" t="str">
        <f>IF(NOT(ISNUMBER(F718)),"MISSING",IF((COUNTBLANK(Datos!AL12)+COUNTBLANK(Datos!AL13)+COUNTBLANK(Datos!AL37))&gt;0,"INCOMPLETE","OK"))</f>
        <v>MISSING</v>
      </c>
      <c r="P718" s="193" t="str">
        <f>INDEX(_TARGETS!$K$2:$K$17,MATCH($C718,_TARGETS!$A$2:$A$17,0))</f>
        <v>OPS (carga manual en Datos)</v>
      </c>
      <c r="Q718" s="193" t="str">
        <f t="shared" si="57"/>
        <v>202906|FAC|Monthly</v>
      </c>
      <c r="R718" s="193" t="str">
        <f>INDEX(_TARGETS!$H$2:$H$17,MATCH($C718,_TARGETS!$A$2:$A$17,0))</f>
        <v>Solo reporte</v>
      </c>
      <c r="S718" s="193" t="str">
        <f t="shared" si="58"/>
        <v/>
      </c>
      <c r="T718" s="193" t="str">
        <f t="shared" si="59"/>
        <v/>
      </c>
    </row>
    <row r="719" spans="1:20" ht="13.5" customHeight="1" x14ac:dyDescent="0.3">
      <c r="A719" s="245">
        <f>KPIs!$AL$3</f>
        <v>47270</v>
      </c>
      <c r="B719" s="199" t="str">
        <f>KPIs!AL$4</f>
        <v>Compresora</v>
      </c>
      <c r="C719" s="31" t="s">
        <v>57</v>
      </c>
      <c r="D719" s="199" t="str">
        <f>KPIs!$A$10</f>
        <v>4 · Accidentes vehiculares severos por millón de km</v>
      </c>
      <c r="E719" s="31" t="s">
        <v>599</v>
      </c>
      <c r="F719" s="247" t="str">
        <f>IF(ISNUMBER(KPIs!AL10),KPIs!AL10,"")</f>
        <v/>
      </c>
      <c r="G719" s="247" t="str">
        <f>IF(ISNUMBER(KPIs!$C$10),KPIs!$C$10,"")</f>
        <v/>
      </c>
      <c r="H719" s="199" t="str">
        <f>IFERROR(INDEX(_TARGETS!$E$2:$E$17,MATCH($C719,_TARGETS!$A$2:$A$17,0))&amp;"","")</f>
        <v/>
      </c>
      <c r="I719" s="199" t="str">
        <f t="shared" si="55"/>
        <v/>
      </c>
      <c r="J719" s="193" t="str">
        <f t="shared" si="56"/>
        <v>Monthly</v>
      </c>
      <c r="K719" s="193">
        <f>Datos!AL39+Datos!AL40+Datos!AL41</f>
        <v>0</v>
      </c>
      <c r="L719" s="248">
        <f>Datos!AL47</f>
        <v>0</v>
      </c>
      <c r="M719" s="193">
        <f>INDEX(_TARGETS!$J$2:$J$17,MATCH($C719,_TARGETS!$A$2:$A$17,0))</f>
        <v>1000000</v>
      </c>
      <c r="N719" s="193" t="str">
        <f>INDEX(_TARGETS!$D$2:$D$17,MATCH($C719,_TARGETS!$A$2:$A$17,0))</f>
        <v>eventos / 10^6 km</v>
      </c>
      <c r="O719" s="193" t="str">
        <f>IF(NOT(ISNUMBER(F719)),"MISSING",IF((COUNTBLANK(Datos!AL44)+COUNTBLANK(Datos!AL45)+COUNTBLANK(Datos!AL46)+COUNTBLANK(Datos!AL39)+COUNTBLANK(Datos!AL40)+COUNTBLANK(Datos!AL41))&gt;0,"INCOMPLETE","OK"))</f>
        <v>MISSING</v>
      </c>
      <c r="P719" s="193" t="str">
        <f>INDEX(_TARGETS!$K$2:$K$17,MATCH($C719,_TARGETS!$A$2:$A$17,0))</f>
        <v>OPS (eventos) + Full Control GPS (km) - carga manual en Datos</v>
      </c>
      <c r="Q719" s="193" t="str">
        <f t="shared" si="57"/>
        <v>202906|SVCR|Monthly</v>
      </c>
      <c r="R719" s="193" t="str">
        <f>INDEX(_TARGETS!$H$2:$H$17,MATCH($C719,_TARGETS!$A$2:$A$17,0))</f>
        <v>Solo reporte</v>
      </c>
      <c r="S719" s="193" t="str">
        <f t="shared" si="58"/>
        <v/>
      </c>
      <c r="T719" s="193" t="str">
        <f t="shared" si="59"/>
        <v/>
      </c>
    </row>
    <row r="720" spans="1:20" ht="13.5" customHeight="1" x14ac:dyDescent="0.3">
      <c r="A720" s="245">
        <f>KPIs!$AL$3</f>
        <v>47270</v>
      </c>
      <c r="B720" s="199" t="str">
        <f>KPIs!AL$4</f>
        <v>Compresora</v>
      </c>
      <c r="C720" s="31" t="s">
        <v>61</v>
      </c>
      <c r="D720" s="199" t="str">
        <f>KPIs!$A$11</f>
        <v>5 · Accidentes vehiculares totales por millón de km</v>
      </c>
      <c r="E720" s="31" t="s">
        <v>599</v>
      </c>
      <c r="F720" s="247" t="str">
        <f>IF(ISNUMBER(KPIs!AL11),KPIs!AL11,"")</f>
        <v/>
      </c>
      <c r="G720" s="247">
        <f>IF(ISNUMBER(KPIs!$C$11),KPIs!$C$11,"")</f>
        <v>0.79</v>
      </c>
      <c r="H720" s="199" t="str">
        <f>IFERROR(INDEX(_TARGETS!$E$2:$E$17,MATCH($C720,_TARGETS!$A$2:$A$17,0))&amp;"","")</f>
        <v>≤</v>
      </c>
      <c r="I720" s="199" t="str">
        <f t="shared" si="55"/>
        <v/>
      </c>
      <c r="J720" s="193" t="str">
        <f t="shared" si="56"/>
        <v>Monthly</v>
      </c>
      <c r="K720" s="193">
        <f>Datos!AL39+Datos!AL40+Datos!AL41+Datos!AL42</f>
        <v>0</v>
      </c>
      <c r="L720" s="248">
        <f>Datos!AL47</f>
        <v>0</v>
      </c>
      <c r="M720" s="193">
        <f>INDEX(_TARGETS!$J$2:$J$17,MATCH($C720,_TARGETS!$A$2:$A$17,0))</f>
        <v>1000000</v>
      </c>
      <c r="N720" s="193" t="str">
        <f>INDEX(_TARGETS!$D$2:$D$17,MATCH($C720,_TARGETS!$A$2:$A$17,0))</f>
        <v>eventos / 10^6 km</v>
      </c>
      <c r="O720" s="193" t="str">
        <f>IF(NOT(ISNUMBER(F720)),"MISSING",IF((COUNTBLANK(Datos!AL44)+COUNTBLANK(Datos!AL45)+COUNTBLANK(Datos!AL46)+COUNTBLANK(Datos!AL39)+COUNTBLANK(Datos!AL40)+COUNTBLANK(Datos!AL41)+COUNTBLANK(Datos!AL42))&gt;0,"INCOMPLETE","OK"))</f>
        <v>MISSING</v>
      </c>
      <c r="P720" s="193" t="str">
        <f>INDEX(_TARGETS!$K$2:$K$17,MATCH($C720,_TARGETS!$A$2:$A$17,0))</f>
        <v>OPS (eventos) + Full Control GPS (km) - carga manual en Datos</v>
      </c>
      <c r="Q720" s="193" t="str">
        <f t="shared" si="57"/>
        <v>202906|TVCR|Monthly</v>
      </c>
      <c r="R720" s="193" t="str">
        <f>INDEX(_TARGETS!$H$2:$H$17,MATCH($C720,_TARGETS!$A$2:$A$17,0))</f>
        <v>Definida</v>
      </c>
      <c r="S720" s="193" t="str">
        <f t="shared" si="58"/>
        <v/>
      </c>
      <c r="T720" s="193" t="str">
        <f t="shared" si="59"/>
        <v/>
      </c>
    </row>
    <row r="721" spans="1:20" ht="13.5" customHeight="1" x14ac:dyDescent="0.3">
      <c r="A721" s="245">
        <f>KPIs!$AL$3</f>
        <v>47270</v>
      </c>
      <c r="B721" s="199" t="str">
        <f>KPIs!AL$4</f>
        <v>Compresora</v>
      </c>
      <c r="C721" s="31" t="s">
        <v>63</v>
      </c>
      <c r="D721" s="199" t="str">
        <f>KPIs!$A$13</f>
        <v>6 · Observaciones de seguridad por persona</v>
      </c>
      <c r="E721" s="31" t="s">
        <v>599</v>
      </c>
      <c r="F721" s="247" t="str">
        <f>IF(ISNUMBER(KPIs!AL13),KPIs!AL13,"")</f>
        <v/>
      </c>
      <c r="G721" s="247">
        <f>IF(ISNUMBER(KPIs!$C$13),KPIs!$C$13,"")</f>
        <v>1</v>
      </c>
      <c r="H721" s="199" t="str">
        <f>IFERROR(INDEX(_TARGETS!$E$2:$E$17,MATCH($C721,_TARGETS!$A$2:$A$17,0))&amp;"","")</f>
        <v>≥</v>
      </c>
      <c r="I721" s="199" t="str">
        <f t="shared" si="55"/>
        <v/>
      </c>
      <c r="J721" s="193" t="str">
        <f t="shared" si="56"/>
        <v>Monthly</v>
      </c>
      <c r="K721" s="248" t="str">
        <f>IF(COUNT(Datos!AL28:AL29)=0,"",SUM(Datos!AL28:AL29))</f>
        <v/>
      </c>
      <c r="L721" s="248">
        <f>Datos!AL11</f>
        <v>0</v>
      </c>
      <c r="M721" s="193">
        <f>INDEX(_TARGETS!$J$2:$J$17,MATCH($C721,_TARGETS!$A$2:$A$17,0))</f>
        <v>1</v>
      </c>
      <c r="N721" s="193" t="str">
        <f>INDEX(_TARGETS!$D$2:$D$17,MATCH($C721,_TARGETS!$A$2:$A$17,0))</f>
        <v>obs / persona</v>
      </c>
      <c r="O721" s="193" t="str">
        <f>IF(NOT(ISNUMBER(F721)),"MISSING",IF((COUNTBLANK(Datos!AL9)+COUNTBLANK(Datos!AL10)+IF(COUNT(Datos!AL28:AL29)=0,1,0))&gt;0,"INCOMPLETE","OK"))</f>
        <v>MISSING</v>
      </c>
      <c r="P721" s="193" t="str">
        <f>INDEX(_TARGETS!$K$2:$K$17,MATCH($C721,_TARGETS!$A$2:$A$17,0))</f>
        <v>OPS (carga manual en Datos)</v>
      </c>
      <c r="Q721" s="193" t="str">
        <f t="shared" si="57"/>
        <v>202906|OBS|Monthly</v>
      </c>
      <c r="R721" s="193" t="str">
        <f>INDEX(_TARGETS!$H$2:$H$17,MATCH($C721,_TARGETS!$A$2:$A$17,0))</f>
        <v>PROVISORIA · referencia del subcontratista (OPS: 1 obs/persona); meta y población en definición</v>
      </c>
      <c r="S721" s="193" t="str">
        <f t="shared" si="58"/>
        <v/>
      </c>
      <c r="T721" s="193" t="str">
        <f t="shared" si="59"/>
        <v/>
      </c>
    </row>
    <row r="722" spans="1:20" ht="13.5" customHeight="1" x14ac:dyDescent="0.3">
      <c r="A722" s="245">
        <f>KPIs!$AL$3</f>
        <v>47270</v>
      </c>
      <c r="B722" s="199" t="str">
        <f>KPIs!AL$4</f>
        <v>Compresora</v>
      </c>
      <c r="C722" s="31" t="s">
        <v>71</v>
      </c>
      <c r="D722" s="199" t="str">
        <f>KPIs!$A$14</f>
        <v>7 · Investigaciones de accidentes: días promedio de cierre</v>
      </c>
      <c r="E722" s="31" t="s">
        <v>599</v>
      </c>
      <c r="F722" s="247" t="str">
        <f>IF(ISNUMBER(KPIs!AL14),KPIs!AL14,"")</f>
        <v/>
      </c>
      <c r="G722" s="247">
        <f>IF(ISNUMBER(KPIs!$C$14),KPIs!$C$14,"")</f>
        <v>20</v>
      </c>
      <c r="H722" s="199" t="str">
        <f>IFERROR(INDEX(_TARGETS!$E$2:$E$17,MATCH($C722,_TARGETS!$A$2:$A$17,0))&amp;"","")</f>
        <v>≤</v>
      </c>
      <c r="I722" s="199" t="str">
        <f t="shared" si="55"/>
        <v/>
      </c>
      <c r="J722" s="193" t="str">
        <f t="shared" si="56"/>
        <v>Monthly</v>
      </c>
      <c r="K722" s="248">
        <f>Datos!AL31</f>
        <v>0</v>
      </c>
      <c r="L722" s="248">
        <f>Datos!AL30</f>
        <v>0</v>
      </c>
      <c r="M722" s="193">
        <f>INDEX(_TARGETS!$J$2:$J$17,MATCH($C722,_TARGETS!$A$2:$A$17,0))</f>
        <v>1</v>
      </c>
      <c r="N722" s="193" t="str">
        <f>INDEX(_TARGETS!$D$2:$D$17,MATCH($C722,_TARGETS!$A$2:$A$17,0))</f>
        <v>días</v>
      </c>
      <c r="O722" s="193" t="str">
        <f>IF(NOT(ISNUMBER(F722)),"MISSING",IF((COUNTBLANK(Datos!AL30)+COUNTBLANK(Datos!AL31))&gt;0,"INCOMPLETE","OK"))</f>
        <v>MISSING</v>
      </c>
      <c r="P722" s="193" t="str">
        <f>INDEX(_TARGETS!$K$2:$K$17,MATCH($C722,_TARGETS!$A$2:$A$17,0))</f>
        <v>OPS (carga manual en Datos)</v>
      </c>
      <c r="Q722" s="193" t="str">
        <f t="shared" si="57"/>
        <v>202906|INV|Monthly</v>
      </c>
      <c r="R722" s="193" t="str">
        <f>INDEX(_TARGETS!$H$2:$H$17,MATCH($C722,_TARGETS!$A$2:$A$17,0))</f>
        <v>Definida</v>
      </c>
      <c r="S722" s="193" t="str">
        <f t="shared" si="58"/>
        <v/>
      </c>
      <c r="T722" s="193" t="str">
        <f t="shared" si="59"/>
        <v/>
      </c>
    </row>
    <row r="723" spans="1:20" ht="13.5" customHeight="1" x14ac:dyDescent="0.3">
      <c r="A723" s="245">
        <f>KPIs!$AL$3</f>
        <v>47270</v>
      </c>
      <c r="B723" s="199" t="str">
        <f>KPIs!AL$4</f>
        <v>Compresora</v>
      </c>
      <c r="C723" s="31" t="s">
        <v>76</v>
      </c>
      <c r="D723" s="199" t="str">
        <f>KPIs!$A$16</f>
        <v>8 · % de capacitación en seguridad</v>
      </c>
      <c r="E723" s="31" t="s">
        <v>599</v>
      </c>
      <c r="F723" s="247" t="str">
        <f>IF(ISNUMBER(KPIs!AL16),KPIs!AL16,"")</f>
        <v/>
      </c>
      <c r="G723" s="247">
        <f>IF(ISNUMBER(KPIs!$C$16),KPIs!$C$16,"")</f>
        <v>0.01</v>
      </c>
      <c r="H723" s="199" t="str">
        <f>IFERROR(INDEX(_TARGETS!$E$2:$E$17,MATCH($C723,_TARGETS!$A$2:$A$17,0))&amp;"","")</f>
        <v>≥</v>
      </c>
      <c r="I723" s="199" t="str">
        <f t="shared" si="55"/>
        <v/>
      </c>
      <c r="J723" s="193" t="str">
        <f t="shared" si="56"/>
        <v>Monthly</v>
      </c>
      <c r="K723" s="248">
        <f>Datos!AL18</f>
        <v>0</v>
      </c>
      <c r="L723" s="248">
        <f>Datos!AL14</f>
        <v>0</v>
      </c>
      <c r="M723" s="193">
        <f>INDEX(_TARGETS!$J$2:$J$17,MATCH($C723,_TARGETS!$A$2:$A$17,0))</f>
        <v>1</v>
      </c>
      <c r="N723" s="193" t="str">
        <f>INDEX(_TARGETS!$D$2:$D$17,MATCH($C723,_TARGETS!$A$2:$A$17,0))</f>
        <v>% (fracción)</v>
      </c>
      <c r="O723" s="193" t="str">
        <f>IF(NOT(ISNUMBER(F723)),"MISSING",IF((COUNTBLANK(Datos!AL16)+COUNTBLANK(Datos!AL17)+COUNTBLANK(Datos!AL12)+COUNTBLANK(Datos!AL13))&gt;0,"INCOMPLETE","OK"))</f>
        <v>MISSING</v>
      </c>
      <c r="P723" s="193" t="str">
        <f>INDEX(_TARGETS!$K$2:$K$17,MATCH($C723,_TARGETS!$A$2:$A$17,0))</f>
        <v>OPS (carga manual en Datos)</v>
      </c>
      <c r="Q723" s="193" t="str">
        <f t="shared" si="57"/>
        <v>202906|HCS|Monthly</v>
      </c>
      <c r="R723" s="193" t="str">
        <f>INDEX(_TARGETS!$H$2:$H$17,MATCH($C723,_TARGETS!$A$2:$A$17,0))</f>
        <v>Definida</v>
      </c>
      <c r="S723" s="193" t="str">
        <f t="shared" si="58"/>
        <v/>
      </c>
      <c r="T723" s="193" t="str">
        <f t="shared" si="59"/>
        <v/>
      </c>
    </row>
    <row r="724" spans="1:20" ht="13.5" customHeight="1" x14ac:dyDescent="0.3">
      <c r="A724" s="245">
        <f>KPIs!$AL$3</f>
        <v>47270</v>
      </c>
      <c r="B724" s="199" t="str">
        <f>KPIs!AL$4</f>
        <v>Compresora</v>
      </c>
      <c r="C724" s="31" t="s">
        <v>80</v>
      </c>
      <c r="D724" s="199" t="str">
        <f>KPIs!$A$17</f>
        <v>9 · Horas de capacitación por persona</v>
      </c>
      <c r="E724" s="31" t="s">
        <v>599</v>
      </c>
      <c r="F724" s="247" t="str">
        <f>IF(ISNUMBER(KPIs!AL17),KPIs!AL17,"")</f>
        <v/>
      </c>
      <c r="G724" s="247" t="str">
        <f>IF(ISNUMBER(KPIs!$C$17),KPIs!$C$17,"")</f>
        <v/>
      </c>
      <c r="H724" s="199" t="str">
        <f>IFERROR(INDEX(_TARGETS!$E$2:$E$17,MATCH($C724,_TARGETS!$A$2:$A$17,0))&amp;"","")</f>
        <v/>
      </c>
      <c r="I724" s="199" t="str">
        <f t="shared" si="55"/>
        <v/>
      </c>
      <c r="J724" s="193" t="str">
        <f t="shared" si="56"/>
        <v>Monthly</v>
      </c>
      <c r="K724" s="248">
        <f>Datos!AL18</f>
        <v>0</v>
      </c>
      <c r="L724" s="248">
        <f>Datos!AL11</f>
        <v>0</v>
      </c>
      <c r="M724" s="193">
        <f>INDEX(_TARGETS!$J$2:$J$17,MATCH($C724,_TARGETS!$A$2:$A$17,0))</f>
        <v>1</v>
      </c>
      <c r="N724" s="193" t="str">
        <f>INDEX(_TARGETS!$D$2:$D$17,MATCH($C724,_TARGETS!$A$2:$A$17,0))</f>
        <v>h / persona</v>
      </c>
      <c r="O724" s="193" t="str">
        <f>IF(NOT(ISNUMBER(F724)),"MISSING",IF((COUNTBLANK(Datos!AL16)+COUNTBLANK(Datos!AL17)+COUNTBLANK(Datos!AL9)+COUNTBLANK(Datos!AL10))&gt;0,"INCOMPLETE","OK"))</f>
        <v>MISSING</v>
      </c>
      <c r="P724" s="193" t="str">
        <f>INDEX(_TARGETS!$K$2:$K$17,MATCH($C724,_TARGETS!$A$2:$A$17,0))</f>
        <v>OPS (carga manual en Datos)</v>
      </c>
      <c r="Q724" s="193" t="str">
        <f t="shared" si="57"/>
        <v>202906|HCSA|Monthly</v>
      </c>
      <c r="R724" s="193" t="str">
        <f>INDEX(_TARGETS!$H$2:$H$17,MATCH($C724,_TARGETS!$A$2:$A$17,0))</f>
        <v>Solo reporte</v>
      </c>
      <c r="S724" s="193" t="str">
        <f t="shared" si="58"/>
        <v/>
      </c>
      <c r="T724" s="193" t="str">
        <f t="shared" si="59"/>
        <v/>
      </c>
    </row>
    <row r="725" spans="1:20" ht="13.5" customHeight="1" x14ac:dyDescent="0.3">
      <c r="A725" s="245">
        <f>KPIs!$AL$3</f>
        <v>47270</v>
      </c>
      <c r="B725" s="199" t="str">
        <f>KPIs!AL$4</f>
        <v>Compresora</v>
      </c>
      <c r="C725" s="31" t="s">
        <v>83</v>
      </c>
      <c r="D725" s="199" t="str">
        <f>KPIs!$A$18</f>
        <v>10 · Cumplimiento de simulacros (emergencia y operativos)</v>
      </c>
      <c r="E725" s="31" t="s">
        <v>599</v>
      </c>
      <c r="F725" s="247" t="str">
        <f>IF(ISNUMBER(KPIs!AL18),KPIs!AL18,"")</f>
        <v/>
      </c>
      <c r="G725" s="247">
        <f>IF(ISNUMBER(KPIs!$C$18),KPIs!$C$18,"")</f>
        <v>1</v>
      </c>
      <c r="H725" s="199" t="str">
        <f>IFERROR(INDEX(_TARGETS!$E$2:$E$17,MATCH($C725,_TARGETS!$A$2:$A$17,0))&amp;"","")</f>
        <v>≥</v>
      </c>
      <c r="I725" s="199" t="str">
        <f t="shared" si="55"/>
        <v/>
      </c>
      <c r="J725" s="193" t="str">
        <f t="shared" si="56"/>
        <v>Monthly</v>
      </c>
      <c r="K725" s="248">
        <f>Datos!AL20</f>
        <v>0</v>
      </c>
      <c r="L725" s="248">
        <f>Datos!AL21</f>
        <v>0</v>
      </c>
      <c r="M725" s="193">
        <f>INDEX(_TARGETS!$J$2:$J$17,MATCH($C725,_TARGETS!$A$2:$A$17,0))</f>
        <v>1</v>
      </c>
      <c r="N725" s="193" t="str">
        <f>INDEX(_TARGETS!$D$2:$D$17,MATCH($C725,_TARGETS!$A$2:$A$17,0))</f>
        <v>% (fracción)</v>
      </c>
      <c r="O725" s="193" t="str">
        <f>IF(NOT(ISNUMBER(F725)),"MISSING",IF((COUNTBLANK(Datos!AL20)+COUNTBLANK(Datos!AL21))&gt;0,"INCOMPLETE","OK"))</f>
        <v>MISSING</v>
      </c>
      <c r="P725" s="193" t="str">
        <f>INDEX(_TARGETS!$K$2:$K$17,MATCH($C725,_TARGETS!$A$2:$A$17,0))</f>
        <v>OPS (carga manual en Datos)</v>
      </c>
      <c r="Q725" s="193" t="str">
        <f t="shared" si="57"/>
        <v>202906|CPSE|Monthly</v>
      </c>
      <c r="R725" s="193" t="str">
        <f>INDEX(_TARGETS!$H$2:$H$17,MATCH($C725,_TARGETS!$A$2:$A$17,0))</f>
        <v>Definida</v>
      </c>
      <c r="S725" s="193" t="str">
        <f t="shared" si="58"/>
        <v/>
      </c>
      <c r="T725" s="193" t="str">
        <f t="shared" si="59"/>
        <v/>
      </c>
    </row>
    <row r="726" spans="1:20" ht="13.5" customHeight="1" x14ac:dyDescent="0.3">
      <c r="A726" s="245">
        <f>KPIs!$AL$3</f>
        <v>47270</v>
      </c>
      <c r="B726" s="199" t="str">
        <f>KPIs!AL$4</f>
        <v>Compresora</v>
      </c>
      <c r="C726" s="31" t="s">
        <v>85</v>
      </c>
      <c r="D726" s="199" t="str">
        <f>KPIs!$A$19</f>
        <v>10b · Cumplimiento de acciones de mejora de simulacros</v>
      </c>
      <c r="E726" s="31" t="s">
        <v>599</v>
      </c>
      <c r="F726" s="247" t="str">
        <f>IF(ISNUMBER(KPIs!AL19),KPIs!AL19,"")</f>
        <v/>
      </c>
      <c r="G726" s="247" t="str">
        <f>IF(ISNUMBER(KPIs!$C$19),KPIs!$C$19,"")</f>
        <v/>
      </c>
      <c r="H726" s="199" t="str">
        <f>IFERROR(INDEX(_TARGETS!$E$2:$E$17,MATCH($C726,_TARGETS!$A$2:$A$17,0))&amp;"","")</f>
        <v/>
      </c>
      <c r="I726" s="199" t="str">
        <f t="shared" si="55"/>
        <v/>
      </c>
      <c r="J726" s="193" t="str">
        <f t="shared" si="56"/>
        <v>Monthly</v>
      </c>
      <c r="K726" s="248">
        <f>Datos!AL23</f>
        <v>0</v>
      </c>
      <c r="L726" s="248">
        <f>Datos!AL22</f>
        <v>0</v>
      </c>
      <c r="M726" s="193">
        <f>INDEX(_TARGETS!$J$2:$J$17,MATCH($C726,_TARGETS!$A$2:$A$17,0))</f>
        <v>1</v>
      </c>
      <c r="N726" s="193" t="str">
        <f>INDEX(_TARGETS!$D$2:$D$17,MATCH($C726,_TARGETS!$A$2:$A$17,0))</f>
        <v>% (fracción)</v>
      </c>
      <c r="O726" s="193" t="str">
        <f>IF(NOT(ISNUMBER(F726)),"MISSING",IF((COUNTBLANK(Datos!AL23)+COUNTBLANK(Datos!AL22))&gt;0,"INCOMPLETE","OK"))</f>
        <v>MISSING</v>
      </c>
      <c r="P726" s="193" t="str">
        <f>INDEX(_TARGETS!$K$2:$K$17,MATCH($C726,_TARGETS!$A$2:$A$17,0))</f>
        <v>OPS (carga manual en Datos)</v>
      </c>
      <c r="Q726" s="193" t="str">
        <f t="shared" si="57"/>
        <v>202906|CAMS|Monthly</v>
      </c>
      <c r="R726" s="193" t="str">
        <f>INDEX(_TARGETS!$H$2:$H$17,MATCH($C726,_TARGETS!$A$2:$A$17,0))</f>
        <v>Solo reporte</v>
      </c>
      <c r="S726" s="193" t="str">
        <f t="shared" si="58"/>
        <v/>
      </c>
      <c r="T726" s="193" t="str">
        <f t="shared" si="59"/>
        <v/>
      </c>
    </row>
    <row r="727" spans="1:20" ht="13.5" customHeight="1" x14ac:dyDescent="0.3">
      <c r="A727" s="245">
        <f>KPIs!$AL$3</f>
        <v>47270</v>
      </c>
      <c r="B727" s="199" t="str">
        <f>KPIs!AL$4</f>
        <v>Compresora</v>
      </c>
      <c r="C727" s="31" t="s">
        <v>87</v>
      </c>
      <c r="D727" s="199" t="str">
        <f>KPIs!$A$21</f>
        <v>11 · Cumplimiento de caminatas gerenciales</v>
      </c>
      <c r="E727" s="31" t="s">
        <v>599</v>
      </c>
      <c r="F727" s="247" t="str">
        <f>IF(ISNUMBER(KPIs!AL21),KPIs!AL21,"")</f>
        <v/>
      </c>
      <c r="G727" s="247">
        <f>IF(ISNUMBER(KPIs!$C$21),KPIs!$C$21,"")</f>
        <v>1</v>
      </c>
      <c r="H727" s="199" t="str">
        <f>IFERROR(INDEX(_TARGETS!$E$2:$E$17,MATCH($C727,_TARGETS!$A$2:$A$17,0))&amp;"","")</f>
        <v>≥</v>
      </c>
      <c r="I727" s="199" t="str">
        <f t="shared" si="55"/>
        <v/>
      </c>
      <c r="J727" s="193" t="str">
        <f t="shared" si="56"/>
        <v>Monthly</v>
      </c>
      <c r="K727" s="248">
        <f>Datos!AL24</f>
        <v>0</v>
      </c>
      <c r="L727" s="248">
        <f>Datos!AL25</f>
        <v>0</v>
      </c>
      <c r="M727" s="193">
        <f>INDEX(_TARGETS!$J$2:$J$17,MATCH($C727,_TARGETS!$A$2:$A$17,0))</f>
        <v>1</v>
      </c>
      <c r="N727" s="193" t="str">
        <f>INDEX(_TARGETS!$D$2:$D$17,MATCH($C727,_TARGETS!$A$2:$A$17,0))</f>
        <v>% (fracción)</v>
      </c>
      <c r="O727" s="193" t="str">
        <f>IF(NOT(ISNUMBER(F727)),"MISSING",IF((COUNTBLANK(Datos!AL24)+COUNTBLANK(Datos!AL25))&gt;0,"INCOMPLETE","OK"))</f>
        <v>MISSING</v>
      </c>
      <c r="P727" s="193" t="str">
        <f>INDEX(_TARGETS!$K$2:$K$17,MATCH($C727,_TARGETS!$A$2:$A$17,0))</f>
        <v>OPS (carga manual en Datos)</v>
      </c>
      <c r="Q727" s="193" t="str">
        <f t="shared" si="57"/>
        <v>202906|ICCS|Monthly</v>
      </c>
      <c r="R727" s="193" t="str">
        <f>INDEX(_TARGETS!$H$2:$H$17,MATCH($C727,_TARGETS!$A$2:$A$17,0))</f>
        <v>Definida</v>
      </c>
      <c r="S727" s="193" t="str">
        <f t="shared" si="58"/>
        <v/>
      </c>
      <c r="T727" s="193" t="str">
        <f t="shared" si="59"/>
        <v/>
      </c>
    </row>
    <row r="728" spans="1:20" ht="13.5" customHeight="1" x14ac:dyDescent="0.3">
      <c r="A728" s="245">
        <f>KPIs!$AL$3</f>
        <v>47270</v>
      </c>
      <c r="B728" s="199" t="str">
        <f>KPIs!AL$4</f>
        <v>Compresora</v>
      </c>
      <c r="C728" s="31" t="s">
        <v>89</v>
      </c>
      <c r="D728" s="199" t="str">
        <f>KPIs!$A$22</f>
        <v>12 · Cumplimiento de comités y subcomités de seguridad</v>
      </c>
      <c r="E728" s="31" t="s">
        <v>599</v>
      </c>
      <c r="F728" s="247" t="str">
        <f>IF(ISNUMBER(KPIs!AL22),KPIs!AL22,"")</f>
        <v/>
      </c>
      <c r="G728" s="247">
        <f>IF(ISNUMBER(KPIs!$C$22),KPIs!$C$22,"")</f>
        <v>1</v>
      </c>
      <c r="H728" s="199" t="str">
        <f>IFERROR(INDEX(_TARGETS!$E$2:$E$17,MATCH($C728,_TARGETS!$A$2:$A$17,0))&amp;"","")</f>
        <v>≥</v>
      </c>
      <c r="I728" s="199" t="str">
        <f t="shared" si="55"/>
        <v/>
      </c>
      <c r="J728" s="193" t="str">
        <f t="shared" si="56"/>
        <v>Monthly</v>
      </c>
      <c r="K728" s="248">
        <f>Datos!AL26</f>
        <v>0</v>
      </c>
      <c r="L728" s="248">
        <f>Datos!AL27</f>
        <v>0</v>
      </c>
      <c r="M728" s="193">
        <f>INDEX(_TARGETS!$J$2:$J$17,MATCH($C728,_TARGETS!$A$2:$A$17,0))</f>
        <v>1</v>
      </c>
      <c r="N728" s="193" t="str">
        <f>INDEX(_TARGETS!$D$2:$D$17,MATCH($C728,_TARGETS!$A$2:$A$17,0))</f>
        <v>% (fracción)</v>
      </c>
      <c r="O728" s="193" t="str">
        <f>IF(NOT(ISNUMBER(F728)),"MISSING",IF((COUNTBLANK(Datos!AL26)+COUNTBLANK(Datos!AL27))&gt;0,"INCOMPLETE","OK"))</f>
        <v>MISSING</v>
      </c>
      <c r="P728" s="193" t="str">
        <f>INDEX(_TARGETS!$K$2:$K$17,MATCH($C728,_TARGETS!$A$2:$A$17,0))</f>
        <v>OPS (carga manual en Datos)</v>
      </c>
      <c r="Q728" s="193" t="str">
        <f t="shared" si="57"/>
        <v>202906|CCS|Monthly</v>
      </c>
      <c r="R728" s="193" t="str">
        <f>INDEX(_TARGETS!$H$2:$H$17,MATCH($C728,_TARGETS!$A$2:$A$17,0))</f>
        <v>Definida</v>
      </c>
      <c r="S728" s="193" t="str">
        <f t="shared" si="58"/>
        <v/>
      </c>
      <c r="T728" s="193" t="str">
        <f t="shared" si="59"/>
        <v/>
      </c>
    </row>
    <row r="729" spans="1:20" ht="13.5" customHeight="1" x14ac:dyDescent="0.3">
      <c r="A729" s="245">
        <f>KPIs!$AL$3</f>
        <v>47270</v>
      </c>
      <c r="B729" s="199" t="str">
        <f>KPIs!AL$4</f>
        <v>Compresora</v>
      </c>
      <c r="C729" s="31" t="s">
        <v>91</v>
      </c>
      <c r="D729" s="199" t="str">
        <f>KPIs!$A$23</f>
        <v>13 · Días promedio para cerrar hallazgos</v>
      </c>
      <c r="E729" s="31" t="s">
        <v>599</v>
      </c>
      <c r="F729" s="247" t="str">
        <f>IF(ISNUMBER(KPIs!AL23),KPIs!AL23,"")</f>
        <v/>
      </c>
      <c r="G729" s="247" t="str">
        <f>IF(ISNUMBER(KPIs!$C$23),KPIs!$C$23,"")</f>
        <v/>
      </c>
      <c r="H729" s="199" t="str">
        <f>IFERROR(INDEX(_TARGETS!$E$2:$E$17,MATCH($C729,_TARGETS!$A$2:$A$17,0))&amp;"","")</f>
        <v>≤</v>
      </c>
      <c r="I729" s="199" t="str">
        <f t="shared" si="55"/>
        <v/>
      </c>
      <c r="J729" s="193" t="str">
        <f t="shared" si="56"/>
        <v>Monthly</v>
      </c>
      <c r="K729" s="248">
        <f>Datos!AL68</f>
        <v>0</v>
      </c>
      <c r="L729" s="248">
        <f>Datos!AL67</f>
        <v>0</v>
      </c>
      <c r="M729" s="193">
        <f>INDEX(_TARGETS!$J$2:$J$17,MATCH($C729,_TARGETS!$A$2:$A$17,0))</f>
        <v>1</v>
      </c>
      <c r="N729" s="193" t="str">
        <f>INDEX(_TARGETS!$D$2:$D$17,MATCH($C729,_TARGETS!$A$2:$A$17,0))</f>
        <v>días</v>
      </c>
      <c r="O729" s="193" t="str">
        <f>IF(NOT(ISNUMBER(F729)),"MISSING","OK")</f>
        <v>MISSING</v>
      </c>
      <c r="P729" s="193" t="str">
        <f>INDEX(_TARGETS!$K$2:$K$17,MATCH($C729,_TARGETS!$A$2:$A$17,0))</f>
        <v>Plant Findings (hoja Observaciones-SMP)</v>
      </c>
      <c r="Q729" s="193" t="str">
        <f t="shared" si="57"/>
        <v>202906|DPAS|Monthly</v>
      </c>
      <c r="R729" s="193" t="str">
        <f>INDEX(_TARGETS!$H$2:$H$17,MATCH($C729,_TARGETS!$A$2:$A$17,0))</f>
        <v>Pendiente (meta 2027)</v>
      </c>
      <c r="S729" s="193" t="str">
        <f t="shared" si="58"/>
        <v/>
      </c>
      <c r="T729" s="193" t="str">
        <f t="shared" si="59"/>
        <v/>
      </c>
    </row>
    <row r="730" spans="1:20" ht="13.5" customHeight="1" x14ac:dyDescent="0.3">
      <c r="A730" s="245">
        <f>KPIs!$AL$3</f>
        <v>47270</v>
      </c>
      <c r="B730" s="199" t="str">
        <f>KPIs!AL$4</f>
        <v>Compresora</v>
      </c>
      <c r="C730" s="31" t="s">
        <v>39</v>
      </c>
      <c r="D730" s="199" t="str">
        <f>KPIs!$A$26</f>
        <v>1 · Frecuencia de casos con días perdidos · ACUMULADO</v>
      </c>
      <c r="E730" s="31" t="s">
        <v>600</v>
      </c>
      <c r="F730" s="247" t="str">
        <f>IF(ISNUMBER(KPIs!AL26),KPIs!AL26,"")</f>
        <v/>
      </c>
      <c r="G730" s="247">
        <f>IF(ISNUMBER(KPIs!$C$26),KPIs!$C$26,"")</f>
        <v>0</v>
      </c>
      <c r="H730" s="199" t="str">
        <f>IFERROR(INDEX(_TARGETS!$E$2:$E$17,MATCH($C730,_TARGETS!$A$2:$A$17,0))&amp;"","")</f>
        <v>≤</v>
      </c>
      <c r="I730" s="199" t="str">
        <f t="shared" si="55"/>
        <v/>
      </c>
      <c r="J730" s="193" t="str">
        <f t="shared" si="56"/>
        <v>Cumulative</v>
      </c>
      <c r="K730" s="193">
        <f>SUM(Datos!$D33:AL33)</f>
        <v>0</v>
      </c>
      <c r="L730" s="193">
        <f>SUM(Datos!$D14:AL14)</f>
        <v>48332</v>
      </c>
      <c r="M730" s="193">
        <f>INDEX(_TARGETS!$J$2:$J$17,MATCH($C730,_TARGETS!$A$2:$A$17,0))</f>
        <v>1000000</v>
      </c>
      <c r="N730" s="193" t="str">
        <f>INDEX(_TARGETS!$D$2:$D$17,MATCH($C730,_TARGETS!$A$2:$A$17,0))</f>
        <v>casos / 10^6 HH</v>
      </c>
      <c r="O730" s="193" t="str">
        <f>IF(NOT(ISNUMBER(F730)),IF(SUMPRODUCT(($C$2:$C$1300=C730)*($J$2:$J$1300="Monthly")*($A$2:$A$1300&lt;=A730)*ISNUMBER($K$2:$K$1300)*ISNUMBER($L$2:$L$1300)*($L$2:$L$1300=0)*($K$2:$K$1300&gt;0))&gt;0,"INCOMPLETE","MISSING"),O716)</f>
        <v>MISSING</v>
      </c>
      <c r="P730" s="193" t="str">
        <f>INDEX(_TARGETS!$K$2:$K$17,MATCH($C730,_TARGETS!$A$2:$A$17,0))</f>
        <v>OPS (carga manual en Datos)</v>
      </c>
      <c r="Q730" s="193" t="str">
        <f t="shared" si="57"/>
        <v>202906|DAFWCF|Cumulative</v>
      </c>
      <c r="R730" s="193" t="str">
        <f>INDEX(_TARGETS!$H$2:$H$17,MATCH($C730,_TARGETS!$A$2:$A$17,0))</f>
        <v>Definida</v>
      </c>
      <c r="S730" s="193">
        <f t="shared" si="58"/>
        <v>0</v>
      </c>
      <c r="T730" s="193" t="str">
        <f t="shared" si="59"/>
        <v/>
      </c>
    </row>
    <row r="731" spans="1:20" ht="13.5" customHeight="1" x14ac:dyDescent="0.3">
      <c r="A731" s="245">
        <f>KPIs!$AL$3</f>
        <v>47270</v>
      </c>
      <c r="B731" s="199" t="str">
        <f>KPIs!AL$4</f>
        <v>Compresora</v>
      </c>
      <c r="C731" s="31" t="s">
        <v>49</v>
      </c>
      <c r="D731" s="199" t="str">
        <f>KPIs!$A$27</f>
        <v>2 · Frecuencia de casos registrables · ACUMULADO</v>
      </c>
      <c r="E731" s="31" t="s">
        <v>600</v>
      </c>
      <c r="F731" s="247" t="str">
        <f>IF(ISNUMBER(KPIs!AL27),KPIs!AL27,"")</f>
        <v/>
      </c>
      <c r="G731" s="247">
        <f>IF(ISNUMBER(KPIs!$C$27),KPIs!$C$27,"")</f>
        <v>2.35</v>
      </c>
      <c r="H731" s="199" t="str">
        <f>IFERROR(INDEX(_TARGETS!$E$2:$E$17,MATCH($C731,_TARGETS!$A$2:$A$17,0))&amp;"","")</f>
        <v>≤</v>
      </c>
      <c r="I731" s="199" t="str">
        <f t="shared" si="55"/>
        <v/>
      </c>
      <c r="J731" s="193" t="str">
        <f t="shared" si="56"/>
        <v>Cumulative</v>
      </c>
      <c r="K731" s="193">
        <f>SUM(Datos!$D33:AL33)+SUM(Datos!$D34:AL34)+SUM(Datos!$D35:AL35)+SUM(Datos!$D36:AL36)</f>
        <v>0</v>
      </c>
      <c r="L731" s="193">
        <f>SUM(Datos!$D14:AL14)</f>
        <v>48332</v>
      </c>
      <c r="M731" s="193">
        <f>INDEX(_TARGETS!$J$2:$J$17,MATCH($C731,_TARGETS!$A$2:$A$17,0))</f>
        <v>1000000</v>
      </c>
      <c r="N731" s="193" t="str">
        <f>INDEX(_TARGETS!$D$2:$D$17,MATCH($C731,_TARGETS!$A$2:$A$17,0))</f>
        <v>casos / 10^6 HH</v>
      </c>
      <c r="O731" s="193" t="str">
        <f>IF(NOT(ISNUMBER(F731)),IF(SUMPRODUCT(($C$2:$C$1300=C731)*($J$2:$J$1300="Monthly")*($A$2:$A$1300&lt;=A731)*ISNUMBER($K$2:$K$1300)*ISNUMBER($L$2:$L$1300)*($L$2:$L$1300=0)*($K$2:$K$1300&gt;0))&gt;0,"INCOMPLETE","MISSING"),O717)</f>
        <v>MISSING</v>
      </c>
      <c r="P731" s="193" t="str">
        <f>INDEX(_TARGETS!$K$2:$K$17,MATCH($C731,_TARGETS!$A$2:$A$17,0))</f>
        <v>OPS (carga manual en Datos)</v>
      </c>
      <c r="Q731" s="193" t="str">
        <f t="shared" si="57"/>
        <v>202906|TRICF|Cumulative</v>
      </c>
      <c r="R731" s="193" t="str">
        <f>INDEX(_TARGETS!$H$2:$H$17,MATCH($C731,_TARGETS!$A$2:$A$17,0))</f>
        <v>Definida</v>
      </c>
      <c r="S731" s="193">
        <f t="shared" si="58"/>
        <v>0</v>
      </c>
      <c r="T731" s="193" t="str">
        <f t="shared" si="59"/>
        <v/>
      </c>
    </row>
    <row r="732" spans="1:20" ht="13.5" customHeight="1" x14ac:dyDescent="0.3">
      <c r="A732" s="245">
        <f>KPIs!$AL$3</f>
        <v>47270</v>
      </c>
      <c r="B732" s="199" t="str">
        <f>KPIs!AL$4</f>
        <v>Compresora</v>
      </c>
      <c r="C732" s="31" t="s">
        <v>51</v>
      </c>
      <c r="D732" s="199" t="str">
        <f>KPIs!$A$28</f>
        <v>3 · Casos de primeros auxilios · ACUMULADO</v>
      </c>
      <c r="E732" s="31" t="s">
        <v>600</v>
      </c>
      <c r="F732" s="247" t="str">
        <f>IF(ISNUMBER(KPIs!AL28),KPIs!AL28,"")</f>
        <v/>
      </c>
      <c r="G732" s="247" t="str">
        <f>IF(ISNUMBER(KPIs!$C$28),KPIs!$C$28,"")</f>
        <v/>
      </c>
      <c r="H732" s="199" t="str">
        <f>IFERROR(INDEX(_TARGETS!$E$2:$E$17,MATCH($C732,_TARGETS!$A$2:$A$17,0))&amp;"","")</f>
        <v/>
      </c>
      <c r="I732" s="199" t="str">
        <f t="shared" si="55"/>
        <v/>
      </c>
      <c r="J732" s="193" t="str">
        <f t="shared" si="56"/>
        <v>Cumulative</v>
      </c>
      <c r="K732" s="193">
        <f>SUM(Datos!$D37:AL37)</f>
        <v>0</v>
      </c>
      <c r="M732" s="193">
        <f>INDEX(_TARGETS!$J$2:$J$17,MATCH($C732,_TARGETS!$A$2:$A$17,0))</f>
        <v>1</v>
      </c>
      <c r="N732" s="193" t="str">
        <f>INDEX(_TARGETS!$D$2:$D$17,MATCH($C732,_TARGETS!$A$2:$A$17,0))</f>
        <v>casos</v>
      </c>
      <c r="O732" s="193" t="str">
        <f>IF(NOT(ISNUMBER(F732)),IF(SUMPRODUCT(($C$2:$C$1300=C732)*($J$2:$J$1300="Monthly")*($A$2:$A$1300&lt;=A732)*ISNUMBER($K$2:$K$1300)*ISNUMBER($L$2:$L$1300)*($L$2:$L$1300=0)*($K$2:$K$1300&gt;0))&gt;0,"INCOMPLETE","MISSING"),O718)</f>
        <v>MISSING</v>
      </c>
      <c r="P732" s="193" t="str">
        <f>INDEX(_TARGETS!$K$2:$K$17,MATCH($C732,_TARGETS!$A$2:$A$17,0))</f>
        <v>OPS (carga manual en Datos)</v>
      </c>
      <c r="Q732" s="193" t="str">
        <f t="shared" si="57"/>
        <v>202906|FAC|Cumulative</v>
      </c>
      <c r="R732" s="193" t="str">
        <f>INDEX(_TARGETS!$H$2:$H$17,MATCH($C732,_TARGETS!$A$2:$A$17,0))</f>
        <v>Solo reporte</v>
      </c>
      <c r="S732" s="193">
        <f t="shared" si="58"/>
        <v>0</v>
      </c>
      <c r="T732" s="193" t="str">
        <f t="shared" si="59"/>
        <v/>
      </c>
    </row>
    <row r="733" spans="1:20" ht="13.5" customHeight="1" x14ac:dyDescent="0.3">
      <c r="A733" s="245">
        <f>KPIs!$AL$3</f>
        <v>47270</v>
      </c>
      <c r="B733" s="199" t="str">
        <f>KPIs!AL$4</f>
        <v>Compresora</v>
      </c>
      <c r="C733" s="31" t="s">
        <v>57</v>
      </c>
      <c r="D733" s="199" t="str">
        <f>KPIs!$A$29</f>
        <v>4 · Accidentes vehiculares severos · ACUMULADO</v>
      </c>
      <c r="E733" s="31" t="s">
        <v>600</v>
      </c>
      <c r="F733" s="247" t="str">
        <f>IF(ISNUMBER(KPIs!AL29),KPIs!AL29,"")</f>
        <v/>
      </c>
      <c r="G733" s="247" t="str">
        <f>IF(ISNUMBER(KPIs!$C$29),KPIs!$C$29,"")</f>
        <v/>
      </c>
      <c r="H733" s="199" t="str">
        <f>IFERROR(INDEX(_TARGETS!$E$2:$E$17,MATCH($C733,_TARGETS!$A$2:$A$17,0))&amp;"","")</f>
        <v/>
      </c>
      <c r="I733" s="199" t="str">
        <f t="shared" si="55"/>
        <v/>
      </c>
      <c r="J733" s="193" t="str">
        <f t="shared" si="56"/>
        <v>Cumulative</v>
      </c>
      <c r="K733" s="193">
        <f>SUM(Datos!$D39:AL39)+SUM(Datos!$D40:AL40)+SUM(Datos!$D41:AL41)</f>
        <v>0</v>
      </c>
      <c r="L733" s="193">
        <f>SUM(Datos!$D47:AL47)</f>
        <v>172824</v>
      </c>
      <c r="M733" s="193">
        <f>INDEX(_TARGETS!$J$2:$J$17,MATCH($C733,_TARGETS!$A$2:$A$17,0))</f>
        <v>1000000</v>
      </c>
      <c r="N733" s="193" t="str">
        <f>INDEX(_TARGETS!$D$2:$D$17,MATCH($C733,_TARGETS!$A$2:$A$17,0))</f>
        <v>eventos / 10^6 km</v>
      </c>
      <c r="O733" s="193" t="str">
        <f>IF(NOT(ISNUMBER(F733)),IF(SUMPRODUCT(($C$2:$C$1300=C733)*($J$2:$J$1300="Monthly")*($A$2:$A$1300&lt;=A733)*ISNUMBER($K$2:$K$1300)*ISNUMBER($L$2:$L$1300)*($L$2:$L$1300=0)*($K$2:$K$1300&gt;0))&gt;0,"INCOMPLETE","MISSING"),O719)</f>
        <v>MISSING</v>
      </c>
      <c r="P733" s="193" t="str">
        <f>INDEX(_TARGETS!$K$2:$K$17,MATCH($C733,_TARGETS!$A$2:$A$17,0))</f>
        <v>OPS (eventos) + Full Control GPS (km) - carga manual en Datos</v>
      </c>
      <c r="Q733" s="193" t="str">
        <f t="shared" si="57"/>
        <v>202906|SVCR|Cumulative</v>
      </c>
      <c r="R733" s="193" t="str">
        <f>INDEX(_TARGETS!$H$2:$H$17,MATCH($C733,_TARGETS!$A$2:$A$17,0))</f>
        <v>Solo reporte</v>
      </c>
      <c r="S733" s="193">
        <f t="shared" si="58"/>
        <v>0</v>
      </c>
      <c r="T733" s="193" t="str">
        <f t="shared" si="59"/>
        <v/>
      </c>
    </row>
    <row r="734" spans="1:20" ht="13.5" customHeight="1" x14ac:dyDescent="0.3">
      <c r="A734" s="245">
        <f>KPIs!$AL$3</f>
        <v>47270</v>
      </c>
      <c r="B734" s="199" t="str">
        <f>KPIs!AL$4</f>
        <v>Compresora</v>
      </c>
      <c r="C734" s="31" t="s">
        <v>61</v>
      </c>
      <c r="D734" s="199" t="str">
        <f>KPIs!$A$30</f>
        <v>5 · Accidentes vehiculares totales · ACUMULADO</v>
      </c>
      <c r="E734" s="31" t="s">
        <v>600</v>
      </c>
      <c r="F734" s="247" t="str">
        <f>IF(ISNUMBER(KPIs!AL30),KPIs!AL30,"")</f>
        <v/>
      </c>
      <c r="G734" s="247">
        <f>IF(ISNUMBER(KPIs!$C$30),KPIs!$C$30,"")</f>
        <v>0.79</v>
      </c>
      <c r="H734" s="199" t="str">
        <f>IFERROR(INDEX(_TARGETS!$E$2:$E$17,MATCH($C734,_TARGETS!$A$2:$A$17,0))&amp;"","")</f>
        <v>≤</v>
      </c>
      <c r="I734" s="199" t="str">
        <f t="shared" si="55"/>
        <v/>
      </c>
      <c r="J734" s="193" t="str">
        <f t="shared" si="56"/>
        <v>Cumulative</v>
      </c>
      <c r="K734" s="193">
        <f>SUM(Datos!$D39:AL39)+SUM(Datos!$D40:AL40)+SUM(Datos!$D41:AL41)+SUM(Datos!$D42:AL42)</f>
        <v>0</v>
      </c>
      <c r="L734" s="193">
        <f>SUM(Datos!$D47:AL47)</f>
        <v>172824</v>
      </c>
      <c r="M734" s="193">
        <f>INDEX(_TARGETS!$J$2:$J$17,MATCH($C734,_TARGETS!$A$2:$A$17,0))</f>
        <v>1000000</v>
      </c>
      <c r="N734" s="193" t="str">
        <f>INDEX(_TARGETS!$D$2:$D$17,MATCH($C734,_TARGETS!$A$2:$A$17,0))</f>
        <v>eventos / 10^6 km</v>
      </c>
      <c r="O734" s="193" t="str">
        <f>IF(NOT(ISNUMBER(F734)),IF(SUMPRODUCT(($C$2:$C$1300=C734)*($J$2:$J$1300="Monthly")*($A$2:$A$1300&lt;=A734)*ISNUMBER($K$2:$K$1300)*ISNUMBER($L$2:$L$1300)*($L$2:$L$1300=0)*($K$2:$K$1300&gt;0))&gt;0,"INCOMPLETE","MISSING"),O720)</f>
        <v>MISSING</v>
      </c>
      <c r="P734" s="193" t="str">
        <f>INDEX(_TARGETS!$K$2:$K$17,MATCH($C734,_TARGETS!$A$2:$A$17,0))</f>
        <v>OPS (eventos) + Full Control GPS (km) - carga manual en Datos</v>
      </c>
      <c r="Q734" s="193" t="str">
        <f t="shared" si="57"/>
        <v>202906|TVCR|Cumulative</v>
      </c>
      <c r="R734" s="193" t="str">
        <f>INDEX(_TARGETS!$H$2:$H$17,MATCH($C734,_TARGETS!$A$2:$A$17,0))</f>
        <v>Definida</v>
      </c>
      <c r="S734" s="193">
        <f t="shared" si="58"/>
        <v>0</v>
      </c>
      <c r="T734" s="193" t="str">
        <f t="shared" si="59"/>
        <v/>
      </c>
    </row>
    <row r="735" spans="1:20" ht="13.5" customHeight="1" x14ac:dyDescent="0.3">
      <c r="A735" s="245">
        <f>KPIs!$AL$3</f>
        <v>47270</v>
      </c>
      <c r="B735" s="199" t="str">
        <f>KPIs!AL$4</f>
        <v>Compresora</v>
      </c>
      <c r="C735" s="31" t="s">
        <v>96</v>
      </c>
      <c r="D735" s="199" t="str">
        <f>KPIs!$A$33</f>
        <v>C1 · % de desvíos detectados de gravedad Alta</v>
      </c>
      <c r="E735" s="31" t="s">
        <v>599</v>
      </c>
      <c r="F735" s="247" t="str">
        <f>IF(ISNUMBER(KPIs!AL33),KPIs!AL33,"")</f>
        <v/>
      </c>
      <c r="G735" s="247" t="str">
        <f>IF(ISNUMBER(KPIs!$C$33),KPIs!$C$33,"")</f>
        <v/>
      </c>
      <c r="H735" s="199" t="str">
        <f>IFERROR(INDEX(_TARGETS!$E$2:$E$17,MATCH($C735,_TARGETS!$A$2:$A$17,0))&amp;"","")</f>
        <v/>
      </c>
      <c r="I735" s="199" t="str">
        <f t="shared" si="55"/>
        <v/>
      </c>
      <c r="J735" s="193" t="str">
        <f t="shared" si="56"/>
        <v>Monthly</v>
      </c>
      <c r="K735" s="248">
        <f>Datos!AL71</f>
        <v>0</v>
      </c>
      <c r="L735" s="193">
        <f>Datos!AL71+Datos!AL72+Datos!AL73</f>
        <v>0</v>
      </c>
      <c r="M735" s="193">
        <f>INDEX(_TARGETS!$J$2:$J$17,MATCH($C735,_TARGETS!$A$2:$A$17,0))</f>
        <v>1</v>
      </c>
      <c r="N735" s="193" t="str">
        <f>INDEX(_TARGETS!$D$2:$D$17,MATCH($C735,_TARGETS!$A$2:$A$17,0))</f>
        <v>% (fracción)</v>
      </c>
      <c r="O735" s="193" t="str">
        <f>IF(NOT(ISNUMBER(F735)),"MISSING","OK")</f>
        <v>MISSING</v>
      </c>
      <c r="P735" s="193" t="str">
        <f>INDEX(_TARGETS!$K$2:$K$17,MATCH($C735,_TARGETS!$A$2:$A$17,0))</f>
        <v>Plant Findings (hoja Observaciones-SMP)</v>
      </c>
      <c r="Q735" s="193" t="str">
        <f t="shared" si="57"/>
        <v>202906|HAL_ALTA_PCT|Monthly</v>
      </c>
      <c r="R735" s="193" t="str">
        <f>INDEX(_TARGETS!$H$2:$H$17,MATCH($C735,_TARGETS!$A$2:$A$17,0))</f>
        <v>Solo reporte</v>
      </c>
      <c r="S735" s="193" t="str">
        <f t="shared" si="58"/>
        <v/>
      </c>
      <c r="T735" s="193" t="str">
        <f t="shared" si="59"/>
        <v/>
      </c>
    </row>
    <row r="736" spans="1:20" ht="13.5" customHeight="1" x14ac:dyDescent="0.3">
      <c r="A736" s="245">
        <f>KPIs!$AL$3</f>
        <v>47270</v>
      </c>
      <c r="B736" s="199" t="str">
        <f>KPIs!AL$4</f>
        <v>Compresora</v>
      </c>
      <c r="C736" s="31" t="s">
        <v>98</v>
      </c>
      <c r="D736" s="199" t="str">
        <f>KPIs!$A$34</f>
        <v>C2 · Detenciones de tareas aplicadas</v>
      </c>
      <c r="E736" s="31" t="s">
        <v>599</v>
      </c>
      <c r="F736" s="247" t="str">
        <f>IF(ISNUMBER(KPIs!AL34),KPIs!AL34,"")</f>
        <v/>
      </c>
      <c r="G736" s="247" t="str">
        <f>IF(ISNUMBER(KPIs!$C$34),KPIs!$C$34,"")</f>
        <v/>
      </c>
      <c r="H736" s="199" t="str">
        <f>IFERROR(INDEX(_TARGETS!$E$2:$E$17,MATCH($C736,_TARGETS!$A$2:$A$17,0))&amp;"","")</f>
        <v/>
      </c>
      <c r="I736" s="199" t="str">
        <f t="shared" si="55"/>
        <v/>
      </c>
      <c r="J736" s="193" t="str">
        <f t="shared" si="56"/>
        <v>Monthly</v>
      </c>
      <c r="K736" s="248">
        <f>Datos!AL75</f>
        <v>0</v>
      </c>
      <c r="M736" s="193">
        <f>INDEX(_TARGETS!$J$2:$J$17,MATCH($C736,_TARGETS!$A$2:$A$17,0))</f>
        <v>1</v>
      </c>
      <c r="N736" s="193" t="str">
        <f>INDEX(_TARGETS!$D$2:$D$17,MATCH($C736,_TARGETS!$A$2:$A$17,0))</f>
        <v>u</v>
      </c>
      <c r="O736" s="193" t="str">
        <f>IF(NOT(ISNUMBER(F736)),"MISSING","OK")</f>
        <v>MISSING</v>
      </c>
      <c r="P736" s="193" t="str">
        <f>INDEX(_TARGETS!$K$2:$K$17,MATCH($C736,_TARGETS!$A$2:$A$17,0))</f>
        <v>Plant Findings (hoja Observaciones-SMP)</v>
      </c>
      <c r="Q736" s="193" t="str">
        <f t="shared" si="57"/>
        <v>202906|DET|Monthly</v>
      </c>
      <c r="R736" s="193" t="str">
        <f>INDEX(_TARGETS!$H$2:$H$17,MATCH($C736,_TARGETS!$A$2:$A$17,0))</f>
        <v>Solo reporte</v>
      </c>
      <c r="S736" s="193" t="str">
        <f t="shared" si="58"/>
        <v/>
      </c>
      <c r="T736" s="193" t="str">
        <f t="shared" si="59"/>
        <v/>
      </c>
    </row>
    <row r="737" spans="1:20" ht="14.25" customHeight="1" x14ac:dyDescent="0.3">
      <c r="A737" s="249">
        <f>KPIs!$D$3</f>
        <v>46235</v>
      </c>
      <c r="B737" s="193" t="str">
        <f>KPIs!D$4</f>
        <v>Compresora</v>
      </c>
      <c r="C737" t="s">
        <v>39</v>
      </c>
      <c r="D737" s="193" t="str">
        <f>KPIs!$A$37</f>
        <v>1 · Frecuencia de casos con días perdidos · YTD</v>
      </c>
      <c r="E737" t="s">
        <v>601</v>
      </c>
      <c r="F737" s="193">
        <f>IF(ISNUMBER(KPIs!D37),KPIs!D37,"")</f>
        <v>0</v>
      </c>
      <c r="G737" s="250">
        <f>IF(ISNUMBER(KPIs!$C$37),KPIs!$C$37,"")</f>
        <v>0</v>
      </c>
      <c r="H737" s="193" t="str">
        <f>IFERROR(INDEX(_TARGETS!$E$2:$E$17,MATCH($C737,_TARGETS!$A$2:$A$17,0))&amp;"","")</f>
        <v>≤</v>
      </c>
      <c r="I737" s="193" t="str">
        <f t="shared" si="55"/>
        <v>Sí</v>
      </c>
      <c r="J737" s="193" t="str">
        <f t="shared" si="56"/>
        <v>YTD</v>
      </c>
      <c r="K737" s="193">
        <f>SUMIFS(Datos!$D$33:$AL$33,Datos!$D$3:$AL$3,"&gt;="&amp;DATE(YEAR(Datos!D$3),1,1),Datos!$D$3:$AL$3,"&lt;="&amp;Datos!D$3)</f>
        <v>0</v>
      </c>
      <c r="L737" s="193">
        <f>SUMIFS(Datos!$D$14:$AL$14,Datos!$D$3:$AL$3,"&gt;="&amp;DATE(YEAR(Datos!D$3),1,1),Datos!$D$3:$AL$3,"&lt;="&amp;Datos!D$3)</f>
        <v>22988</v>
      </c>
      <c r="M737" s="193">
        <f>INDEX(_TARGETS!$J$2:$J$17,MATCH($C737,_TARGETS!$A$2:$A$17,0))</f>
        <v>1000000</v>
      </c>
      <c r="N737" s="193" t="str">
        <f>INDEX(_TARGETS!$D$2:$D$17,MATCH($C737,_TARGETS!$A$2:$A$17,0))</f>
        <v>casos / 10^6 HH</v>
      </c>
      <c r="O737" s="193" t="str">
        <f>IF(NOT(ISNUMBER(F737)),IF(SUMPRODUCT(($C$2:$C$1300=C737)*($J$2:$J$1300="Monthly")*($A$2:$A$1300&lt;=A737)*(YEAR($A$2:$A$1300)=YEAR(A737))*ISNUMBER($K$2:$K$1300)*ISNUMBER($L$2:$L$1300)*($L$2:$L$1300=0)*($K$2:$K$1300&gt;0))&gt;0,"INCOMPLETE","MISSING"),O2)</f>
        <v>OK</v>
      </c>
      <c r="P737" s="193" t="str">
        <f>INDEX(_TARGETS!$K$2:$K$17,MATCH($C737,_TARGETS!$A$2:$A$17,0))</f>
        <v>OPS (carga manual en Datos)</v>
      </c>
      <c r="Q737" s="193" t="str">
        <f t="shared" si="57"/>
        <v>202608|DAFWCF|YTD</v>
      </c>
      <c r="R737" s="193" t="str">
        <f>INDEX(_TARGETS!$H$2:$H$17,MATCH($C737,_TARGETS!$A$2:$A$17,0))</f>
        <v>Definida</v>
      </c>
      <c r="S737" s="193">
        <f t="shared" si="58"/>
        <v>0</v>
      </c>
      <c r="T737" s="193">
        <f t="shared" si="59"/>
        <v>0</v>
      </c>
    </row>
    <row r="738" spans="1:20" ht="14.25" customHeight="1" x14ac:dyDescent="0.3">
      <c r="A738" s="249">
        <f>KPIs!$D$3</f>
        <v>46235</v>
      </c>
      <c r="B738" s="193" t="str">
        <f>KPIs!D$4</f>
        <v>Compresora</v>
      </c>
      <c r="C738" t="s">
        <v>49</v>
      </c>
      <c r="D738" s="193" t="str">
        <f>KPIs!$A$38</f>
        <v>2 · Frecuencia de casos registrables · YTD</v>
      </c>
      <c r="E738" t="s">
        <v>601</v>
      </c>
      <c r="F738" s="193">
        <f>IF(ISNUMBER(KPIs!D38),KPIs!D38,"")</f>
        <v>0</v>
      </c>
      <c r="G738" s="250">
        <f>IF(ISNUMBER(KPIs!$C$38),KPIs!$C$38,"")</f>
        <v>2.35</v>
      </c>
      <c r="H738" s="193" t="str">
        <f>IFERROR(INDEX(_TARGETS!$E$2:$E$17,MATCH($C738,_TARGETS!$A$2:$A$17,0))&amp;"","")</f>
        <v>≤</v>
      </c>
      <c r="I738" s="193" t="str">
        <f t="shared" si="55"/>
        <v>Sí</v>
      </c>
      <c r="J738" s="193" t="str">
        <f t="shared" si="56"/>
        <v>YTD</v>
      </c>
      <c r="K738" s="193">
        <f>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f>
        <v>0</v>
      </c>
      <c r="L738" s="193">
        <f>SUMIFS(Datos!$D$14:$AL$14,Datos!$D$3:$AL$3,"&gt;="&amp;DATE(YEAR(Datos!D$3),1,1),Datos!$D$3:$AL$3,"&lt;="&amp;Datos!D$3)</f>
        <v>22988</v>
      </c>
      <c r="M738" s="193">
        <f>INDEX(_TARGETS!$J$2:$J$17,MATCH($C738,_TARGETS!$A$2:$A$17,0))</f>
        <v>1000000</v>
      </c>
      <c r="N738" s="193" t="str">
        <f>INDEX(_TARGETS!$D$2:$D$17,MATCH($C738,_TARGETS!$A$2:$A$17,0))</f>
        <v>casos / 10^6 HH</v>
      </c>
      <c r="O738" s="193" t="str">
        <f>IF(NOT(ISNUMBER(F738)),IF(SUMPRODUCT(($C$2:$C$1300=C738)*($J$2:$J$1300="Monthly")*($A$2:$A$1300&lt;=A738)*(YEAR($A$2:$A$1300)=YEAR(A738))*ISNUMBER($K$2:$K$1300)*ISNUMBER($L$2:$L$1300)*($L$2:$L$1300=0)*($K$2:$K$1300&gt;0))&gt;0,"INCOMPLETE","MISSING"),O3)</f>
        <v>OK</v>
      </c>
      <c r="P738" s="193" t="str">
        <f>INDEX(_TARGETS!$K$2:$K$17,MATCH($C738,_TARGETS!$A$2:$A$17,0))</f>
        <v>OPS (carga manual en Datos)</v>
      </c>
      <c r="Q738" s="193" t="str">
        <f t="shared" si="57"/>
        <v>202608|TRICF|YTD</v>
      </c>
      <c r="R738" s="193" t="str">
        <f>INDEX(_TARGETS!$H$2:$H$17,MATCH($C738,_TARGETS!$A$2:$A$17,0))</f>
        <v>Definida</v>
      </c>
      <c r="S738" s="193">
        <f t="shared" si="58"/>
        <v>0</v>
      </c>
      <c r="T738" s="193">
        <f t="shared" si="59"/>
        <v>0</v>
      </c>
    </row>
    <row r="739" spans="1:20" ht="14.25" customHeight="1" x14ac:dyDescent="0.3">
      <c r="A739" s="249">
        <f>KPIs!$D$3</f>
        <v>46235</v>
      </c>
      <c r="B739" s="193" t="str">
        <f>KPIs!D$4</f>
        <v>Compresora</v>
      </c>
      <c r="C739" t="s">
        <v>51</v>
      </c>
      <c r="D739" s="193" t="str">
        <f>KPIs!$A$39</f>
        <v>3 · Casos de primeros auxilios · YTD</v>
      </c>
      <c r="E739" t="s">
        <v>601</v>
      </c>
      <c r="F739" s="193">
        <f>IF(ISNUMBER(KPIs!D39),KPIs!D39,"")</f>
        <v>0</v>
      </c>
      <c r="G739" s="193" t="str">
        <f>IF(ISNUMBER(KPIs!$C$39),KPIs!$C$39,"")</f>
        <v/>
      </c>
      <c r="H739" s="193" t="str">
        <f>IFERROR(INDEX(_TARGETS!$E$2:$E$17,MATCH($C739,_TARGETS!$A$2:$A$17,0))&amp;"","")</f>
        <v/>
      </c>
      <c r="I739" s="193" t="str">
        <f t="shared" si="55"/>
        <v/>
      </c>
      <c r="J739" s="193" t="str">
        <f t="shared" si="56"/>
        <v>YTD</v>
      </c>
      <c r="K739" s="193">
        <f>SUMIFS(Datos!$D$37:$AL$37,Datos!$D$3:$AL$3,"&gt;="&amp;DATE(YEAR(Datos!D$3),1,1),Datos!$D$3:$AL$3,"&lt;="&amp;Datos!D$3)</f>
        <v>0</v>
      </c>
      <c r="M739" s="193">
        <f>INDEX(_TARGETS!$J$2:$J$17,MATCH($C739,_TARGETS!$A$2:$A$17,0))</f>
        <v>1</v>
      </c>
      <c r="N739" s="193" t="str">
        <f>INDEX(_TARGETS!$D$2:$D$17,MATCH($C739,_TARGETS!$A$2:$A$17,0))</f>
        <v>casos</v>
      </c>
      <c r="O739" s="193" t="str">
        <f>IF(NOT(ISNUMBER(F739)),IF(SUMPRODUCT(($C$2:$C$1300=C739)*($J$2:$J$1300="Monthly")*($A$2:$A$1300&lt;=A739)*(YEAR($A$2:$A$1300)=YEAR(A739))*ISNUMBER($K$2:$K$1300)*ISNUMBER($L$2:$L$1300)*($L$2:$L$1300=0)*($K$2:$K$1300&gt;0))&gt;0,"INCOMPLETE","MISSING"),O4)</f>
        <v>OK</v>
      </c>
      <c r="P739" s="193" t="str">
        <f>INDEX(_TARGETS!$K$2:$K$17,MATCH($C739,_TARGETS!$A$2:$A$17,0))</f>
        <v>OPS (carga manual en Datos)</v>
      </c>
      <c r="Q739" s="193" t="str">
        <f t="shared" si="57"/>
        <v>202608|FAC|YTD</v>
      </c>
      <c r="R739" s="193" t="str">
        <f>INDEX(_TARGETS!$H$2:$H$17,MATCH($C739,_TARGETS!$A$2:$A$17,0))</f>
        <v>Solo reporte</v>
      </c>
      <c r="S739" s="193">
        <f t="shared" si="58"/>
        <v>0</v>
      </c>
      <c r="T739" s="193">
        <f t="shared" si="59"/>
        <v>0</v>
      </c>
    </row>
    <row r="740" spans="1:20" ht="14.25" customHeight="1" x14ac:dyDescent="0.3">
      <c r="A740" s="249">
        <f>KPIs!$D$3</f>
        <v>46235</v>
      </c>
      <c r="B740" s="193" t="str">
        <f>KPIs!D$4</f>
        <v>Compresora</v>
      </c>
      <c r="C740" t="s">
        <v>57</v>
      </c>
      <c r="D740" s="193" t="str">
        <f>KPIs!$A$40</f>
        <v>4 · Accidentes vehiculares severos por millón de km · YTD</v>
      </c>
      <c r="E740" t="s">
        <v>601</v>
      </c>
      <c r="F740" s="193">
        <f>IF(ISNUMBER(KPIs!D40),KPIs!D40,"")</f>
        <v>0</v>
      </c>
      <c r="G740" s="193" t="str">
        <f>IF(ISNUMBER(KPIs!$C$40),KPIs!$C$40,"")</f>
        <v/>
      </c>
      <c r="H740" s="193" t="str">
        <f>IFERROR(INDEX(_TARGETS!$E$2:$E$17,MATCH($C740,_TARGETS!$A$2:$A$17,0))&amp;"","")</f>
        <v/>
      </c>
      <c r="I740" s="193" t="str">
        <f t="shared" si="55"/>
        <v/>
      </c>
      <c r="J740" s="193" t="str">
        <f t="shared" si="56"/>
        <v>YTD</v>
      </c>
      <c r="K740" s="193">
        <f>SUMIFS(Datos!$D$39:$AL$39,Datos!$D$3:$AL$3,"&gt;="&amp;DATE(YEAR(Datos!D$3),1,1),Datos!$D$3:$AL$3,"&lt;="&amp;Datos!D$3)+SUMIFS(Datos!$D$40:$AL$40,Datos!$D$3:$AL$3,"&gt;="&amp;DATE(YEAR(Datos!D$3),1,1),Datos!$D$3:$AL$3,"&lt;="&amp;Datos!D$3)+SUMIFS(Datos!$D$41:$AL$41,Datos!$D$3:$AL$3,"&gt;="&amp;DATE(YEAR(Datos!D$3),1,1),Datos!$D$3:$AL$3,"&lt;="&amp;Datos!D$3)</f>
        <v>0</v>
      </c>
      <c r="L740" s="193">
        <f>SUMIFS(Datos!$D$47:$AL$47,Datos!$D$3:$AL$3,"&gt;="&amp;DATE(YEAR(Datos!D$3),1,1),Datos!$D$3:$AL$3,"&lt;="&amp;Datos!D$3)</f>
        <v>56057</v>
      </c>
      <c r="M740" s="193">
        <f>INDEX(_TARGETS!$J$2:$J$17,MATCH($C740,_TARGETS!$A$2:$A$17,0))</f>
        <v>1000000</v>
      </c>
      <c r="N740" s="193" t="str">
        <f>INDEX(_TARGETS!$D$2:$D$17,MATCH($C740,_TARGETS!$A$2:$A$17,0))</f>
        <v>eventos / 10^6 km</v>
      </c>
      <c r="O740" s="193" t="str">
        <f>IF(NOT(ISNUMBER(F740)),IF(SUMPRODUCT(($C$2:$C$1300=C740)*($J$2:$J$1300="Monthly")*($A$2:$A$1300&lt;=A740)*(YEAR($A$2:$A$1300)=YEAR(A740))*ISNUMBER($K$2:$K$1300)*ISNUMBER($L$2:$L$1300)*($L$2:$L$1300=0)*($K$2:$K$1300&gt;0))&gt;0,"INCOMPLETE","MISSING"),O5)</f>
        <v>OK</v>
      </c>
      <c r="P740" s="193" t="str">
        <f>INDEX(_TARGETS!$K$2:$K$17,MATCH($C740,_TARGETS!$A$2:$A$17,0))</f>
        <v>OPS (eventos) + Full Control GPS (km) - carga manual en Datos</v>
      </c>
      <c r="Q740" s="193" t="str">
        <f t="shared" si="57"/>
        <v>202608|SVCR|YTD</v>
      </c>
      <c r="R740" s="193" t="str">
        <f>INDEX(_TARGETS!$H$2:$H$17,MATCH($C740,_TARGETS!$A$2:$A$17,0))</f>
        <v>Solo reporte</v>
      </c>
      <c r="S740" s="193">
        <f t="shared" si="58"/>
        <v>0</v>
      </c>
      <c r="T740" s="193">
        <f t="shared" si="59"/>
        <v>0</v>
      </c>
    </row>
    <row r="741" spans="1:20" ht="14.25" customHeight="1" x14ac:dyDescent="0.3">
      <c r="A741" s="249">
        <f>KPIs!$D$3</f>
        <v>46235</v>
      </c>
      <c r="B741" s="193" t="str">
        <f>KPIs!D$4</f>
        <v>Compresora</v>
      </c>
      <c r="C741" t="s">
        <v>61</v>
      </c>
      <c r="D741" s="193" t="str">
        <f>KPIs!$A$41</f>
        <v>5 · Accidentes vehiculares totales por millón de km · YTD</v>
      </c>
      <c r="E741" t="s">
        <v>601</v>
      </c>
      <c r="F741" s="193">
        <f>IF(ISNUMBER(KPIs!D41),KPIs!D41,"")</f>
        <v>0</v>
      </c>
      <c r="G741" s="250">
        <f>IF(ISNUMBER(KPIs!$C$41),KPIs!$C$41,"")</f>
        <v>0.79</v>
      </c>
      <c r="H741" s="193" t="str">
        <f>IFERROR(INDEX(_TARGETS!$E$2:$E$17,MATCH($C741,_TARGETS!$A$2:$A$17,0))&amp;"","")</f>
        <v>≤</v>
      </c>
      <c r="I741" s="193" t="str">
        <f t="shared" si="55"/>
        <v>Sí</v>
      </c>
      <c r="J741" s="193" t="str">
        <f t="shared" si="56"/>
        <v>YTD</v>
      </c>
      <c r="K741" s="193">
        <f>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f>
        <v>0</v>
      </c>
      <c r="L741" s="193">
        <f>SUMIFS(Datos!$D$47:$AL$47,Datos!$D$3:$AL$3,"&gt;="&amp;DATE(YEAR(Datos!D$3),1,1),Datos!$D$3:$AL$3,"&lt;="&amp;Datos!D$3)</f>
        <v>56057</v>
      </c>
      <c r="M741" s="193">
        <f>INDEX(_TARGETS!$J$2:$J$17,MATCH($C741,_TARGETS!$A$2:$A$17,0))</f>
        <v>1000000</v>
      </c>
      <c r="N741" s="193" t="str">
        <f>INDEX(_TARGETS!$D$2:$D$17,MATCH($C741,_TARGETS!$A$2:$A$17,0))</f>
        <v>eventos / 10^6 km</v>
      </c>
      <c r="O741" s="193" t="str">
        <f>IF(NOT(ISNUMBER(F741)),IF(SUMPRODUCT(($C$2:$C$1300=C741)*($J$2:$J$1300="Monthly")*($A$2:$A$1300&lt;=A741)*(YEAR($A$2:$A$1300)=YEAR(A741))*ISNUMBER($K$2:$K$1300)*ISNUMBER($L$2:$L$1300)*($L$2:$L$1300=0)*($K$2:$K$1300&gt;0))&gt;0,"INCOMPLETE","MISSING"),O6)</f>
        <v>OK</v>
      </c>
      <c r="P741" s="193" t="str">
        <f>INDEX(_TARGETS!$K$2:$K$17,MATCH($C741,_TARGETS!$A$2:$A$17,0))</f>
        <v>OPS (eventos) + Full Control GPS (km) - carga manual en Datos</v>
      </c>
      <c r="Q741" s="193" t="str">
        <f t="shared" si="57"/>
        <v>202608|TVCR|YTD</v>
      </c>
      <c r="R741" s="193" t="str">
        <f>INDEX(_TARGETS!$H$2:$H$17,MATCH($C741,_TARGETS!$A$2:$A$17,0))</f>
        <v>Definida</v>
      </c>
      <c r="S741" s="193">
        <f t="shared" si="58"/>
        <v>0</v>
      </c>
      <c r="T741" s="193">
        <f t="shared" si="59"/>
        <v>0</v>
      </c>
    </row>
    <row r="742" spans="1:20" ht="14.25" customHeight="1" x14ac:dyDescent="0.3">
      <c r="A742" s="249">
        <f>KPIs!$D$3</f>
        <v>46235</v>
      </c>
      <c r="B742" s="193" t="str">
        <f>KPIs!D$4</f>
        <v>Compresora</v>
      </c>
      <c r="C742" t="s">
        <v>71</v>
      </c>
      <c r="D742" s="193" t="str">
        <f>KPIs!$A$42</f>
        <v>7 · Investigaciones de accidentes: días promedio de cierre · YTD</v>
      </c>
      <c r="E742" t="s">
        <v>601</v>
      </c>
      <c r="F742" s="193" t="str">
        <f>IF(ISNUMBER(KPIs!D42),KPIs!D42,"")</f>
        <v/>
      </c>
      <c r="G742" s="251">
        <f>IF(ISNUMBER(KPIs!$C$42),KPIs!$C$42,"")</f>
        <v>20</v>
      </c>
      <c r="H742" s="193" t="str">
        <f>IFERROR(INDEX(_TARGETS!$E$2:$E$17,MATCH($C742,_TARGETS!$A$2:$A$17,0))&amp;"","")</f>
        <v>≤</v>
      </c>
      <c r="I742" s="193" t="str">
        <f t="shared" si="55"/>
        <v/>
      </c>
      <c r="J742" s="193" t="str">
        <f t="shared" si="56"/>
        <v>YTD</v>
      </c>
      <c r="K742" s="193">
        <f>SUMIFS(Datos!$D$31:$AL$31,Datos!$D$3:$AL$3,"&gt;="&amp;DATE(YEAR(Datos!D$3),1,1),Datos!$D$3:$AL$3,"&lt;="&amp;Datos!D$3)</f>
        <v>0</v>
      </c>
      <c r="L742" s="193">
        <f>SUMIFS(Datos!$D$30:$AL$30,Datos!$D$3:$AL$3,"&gt;="&amp;DATE(YEAR(Datos!D$3),1,1),Datos!$D$3:$AL$3,"&lt;="&amp;Datos!D$3)</f>
        <v>0</v>
      </c>
      <c r="M742" s="193">
        <f>INDEX(_TARGETS!$J$2:$J$17,MATCH($C742,_TARGETS!$A$2:$A$17,0))</f>
        <v>1</v>
      </c>
      <c r="N742" s="193" t="str">
        <f>INDEX(_TARGETS!$D$2:$D$17,MATCH($C742,_TARGETS!$A$2:$A$17,0))</f>
        <v>días</v>
      </c>
      <c r="O742" s="193" t="str">
        <f>IF(NOT(ISNUMBER(F742)),IF(SUMPRODUCT(($C$2:$C$1300=C742)*($J$2:$J$1300="Monthly")*($A$2:$A$1300&lt;=A742)*(YEAR($A$2:$A$1300)=YEAR(A742))*ISNUMBER($K$2:$K$1300)*ISNUMBER($L$2:$L$1300)*($L$2:$L$1300=0)*($K$2:$K$1300&gt;0))&gt;0,"INCOMPLETE","MISSING"),O8)</f>
        <v>MISSING</v>
      </c>
      <c r="P742" s="193" t="str">
        <f>INDEX(_TARGETS!$K$2:$K$17,MATCH($C742,_TARGETS!$A$2:$A$17,0))</f>
        <v>OPS (carga manual en Datos)</v>
      </c>
      <c r="Q742" s="193" t="str">
        <f t="shared" si="57"/>
        <v>202608|INV|YTD</v>
      </c>
      <c r="R742" s="193" t="str">
        <f>INDEX(_TARGETS!$H$2:$H$17,MATCH($C742,_TARGETS!$A$2:$A$17,0))</f>
        <v>Definida</v>
      </c>
      <c r="S742" s="193" t="str">
        <f t="shared" si="58"/>
        <v/>
      </c>
      <c r="T742" s="193" t="str">
        <f t="shared" si="59"/>
        <v/>
      </c>
    </row>
    <row r="743" spans="1:20" ht="14.25" customHeight="1" x14ac:dyDescent="0.3">
      <c r="A743" s="249">
        <f>KPIs!$D$3</f>
        <v>46235</v>
      </c>
      <c r="B743" s="193" t="str">
        <f>KPIs!D$4</f>
        <v>Compresora</v>
      </c>
      <c r="C743" t="s">
        <v>76</v>
      </c>
      <c r="D743" s="193" t="str">
        <f>KPIs!$A$43</f>
        <v>8 · % de capacitación en seguridad · YTD</v>
      </c>
      <c r="E743" t="s">
        <v>601</v>
      </c>
      <c r="F743" s="193">
        <f>IF(ISNUMBER(KPIs!D43),KPIs!D43,"")</f>
        <v>0.0548112058465286</v>
      </c>
      <c r="G743" s="252">
        <f>IF(ISNUMBER(KPIs!$C$43),KPIs!$C$43,"")</f>
        <v>0.01</v>
      </c>
      <c r="H743" s="193" t="str">
        <f>IFERROR(INDEX(_TARGETS!$E$2:$E$17,MATCH($C743,_TARGETS!$A$2:$A$17,0))&amp;"","")</f>
        <v>≥</v>
      </c>
      <c r="I743" s="193" t="str">
        <f t="shared" si="55"/>
        <v>Sí</v>
      </c>
      <c r="J743" s="193" t="str">
        <f t="shared" si="56"/>
        <v>YTD</v>
      </c>
      <c r="K743" s="193">
        <f>SUMIFS(Datos!$D$18:$AL$18,Datos!$D$3:$AL$3,"&gt;="&amp;DATE(YEAR(Datos!D$3),1,1),Datos!$D$3:$AL$3,"&lt;="&amp;Datos!D$3)</f>
        <v>1260</v>
      </c>
      <c r="L743" s="193">
        <f>SUMIFS(Datos!$D$14:$AL$14,Datos!$D$3:$AL$3,"&gt;="&amp;DATE(YEAR(Datos!D$3),1,1),Datos!$D$3:$AL$3,"&lt;="&amp;Datos!D$3)</f>
        <v>22988</v>
      </c>
      <c r="M743" s="193">
        <f>INDEX(_TARGETS!$J$2:$J$17,MATCH($C743,_TARGETS!$A$2:$A$17,0))</f>
        <v>1</v>
      </c>
      <c r="N743" s="193" t="str">
        <f>INDEX(_TARGETS!$D$2:$D$17,MATCH($C743,_TARGETS!$A$2:$A$17,0))</f>
        <v>% (fracción)</v>
      </c>
      <c r="O743" s="193" t="str">
        <f>IF(NOT(ISNUMBER(F743)),IF(SUMPRODUCT(($C$2:$C$1300=C743)*($J$2:$J$1300="Monthly")*($A$2:$A$1300&lt;=A743)*(YEAR($A$2:$A$1300)=YEAR(A743))*ISNUMBER($K$2:$K$1300)*ISNUMBER($L$2:$L$1300)*($L$2:$L$1300=0)*($K$2:$K$1300&gt;0))&gt;0,"INCOMPLETE","MISSING"),O9)</f>
        <v>OK</v>
      </c>
      <c r="P743" s="193" t="str">
        <f>INDEX(_TARGETS!$K$2:$K$17,MATCH($C743,_TARGETS!$A$2:$A$17,0))</f>
        <v>OPS (carga manual en Datos)</v>
      </c>
      <c r="Q743" s="193" t="str">
        <f t="shared" si="57"/>
        <v>202608|HCS|YTD</v>
      </c>
      <c r="R743" s="193" t="str">
        <f>INDEX(_TARGETS!$H$2:$H$17,MATCH($C743,_TARGETS!$A$2:$A$17,0))</f>
        <v>Definida</v>
      </c>
      <c r="S743" s="193">
        <f t="shared" si="58"/>
        <v>0.0548112058465286</v>
      </c>
      <c r="T743" s="193">
        <f t="shared" si="59"/>
        <v>0</v>
      </c>
    </row>
    <row r="744" spans="1:20" ht="14.25" customHeight="1" x14ac:dyDescent="0.3">
      <c r="A744" s="249">
        <f>KPIs!$D$3</f>
        <v>46235</v>
      </c>
      <c r="B744" s="193" t="str">
        <f>KPIs!D$4</f>
        <v>Compresora</v>
      </c>
      <c r="C744" t="s">
        <v>83</v>
      </c>
      <c r="D744" s="193" t="str">
        <f>KPIs!$A$44</f>
        <v>10 · Cumplimiento de simulacros (emergencia y operativos) · YTD</v>
      </c>
      <c r="E744" t="s">
        <v>601</v>
      </c>
      <c r="F744" s="193">
        <f>IF(ISNUMBER(KPIs!D44),KPIs!D44,"")</f>
        <v>1</v>
      </c>
      <c r="G744" s="253">
        <f>IF(ISNUMBER(KPIs!$C$44),KPIs!$C$44,"")</f>
        <v>1</v>
      </c>
      <c r="H744" s="193" t="str">
        <f>IFERROR(INDEX(_TARGETS!$E$2:$E$17,MATCH($C744,_TARGETS!$A$2:$A$17,0))&amp;"","")</f>
        <v>≥</v>
      </c>
      <c r="I744" s="193" t="str">
        <f t="shared" si="55"/>
        <v>Sí</v>
      </c>
      <c r="J744" s="193" t="str">
        <f t="shared" si="56"/>
        <v>YTD</v>
      </c>
      <c r="K744" s="193">
        <f>SUMIFS(Datos!$D$20:$AL$20,Datos!$D$3:$AL$3,"&gt;="&amp;DATE(YEAR(Datos!D$3),1,1),Datos!$D$3:$AL$3,"&lt;="&amp;Datos!D$3)</f>
        <v>1</v>
      </c>
      <c r="L744" s="193">
        <f>SUMIFS(Datos!$D$21:$AL$21,Datos!$D$3:$AL$3,"&gt;="&amp;DATE(YEAR(Datos!D$3),1,1),Datos!$D$3:$AL$3,"&lt;="&amp;Datos!D$3)</f>
        <v>1</v>
      </c>
      <c r="M744" s="193">
        <f>INDEX(_TARGETS!$J$2:$J$17,MATCH($C744,_TARGETS!$A$2:$A$17,0))</f>
        <v>1</v>
      </c>
      <c r="N744" s="193" t="str">
        <f>INDEX(_TARGETS!$D$2:$D$17,MATCH($C744,_TARGETS!$A$2:$A$17,0))</f>
        <v>% (fracción)</v>
      </c>
      <c r="O744" s="193" t="str">
        <f>IF(NOT(ISNUMBER(F744)),IF(SUMPRODUCT(($C$2:$C$1300=C744)*($J$2:$J$1300="Monthly")*($A$2:$A$1300&lt;=A744)*(YEAR($A$2:$A$1300)=YEAR(A744))*ISNUMBER($K$2:$K$1300)*ISNUMBER($L$2:$L$1300)*($L$2:$L$1300=0)*($K$2:$K$1300&gt;0))&gt;0,"INCOMPLETE","MISSING"),O11)</f>
        <v>OK</v>
      </c>
      <c r="P744" s="193" t="str">
        <f>INDEX(_TARGETS!$K$2:$K$17,MATCH($C744,_TARGETS!$A$2:$A$17,0))</f>
        <v>OPS (carga manual en Datos)</v>
      </c>
      <c r="Q744" s="193" t="str">
        <f t="shared" si="57"/>
        <v>202608|CPSE|YTD</v>
      </c>
      <c r="R744" s="193" t="str">
        <f>INDEX(_TARGETS!$H$2:$H$17,MATCH($C744,_TARGETS!$A$2:$A$17,0))</f>
        <v>Definida</v>
      </c>
      <c r="S744" s="193">
        <f t="shared" si="58"/>
        <v>1</v>
      </c>
      <c r="T744" s="193">
        <f t="shared" si="59"/>
        <v>0</v>
      </c>
    </row>
    <row r="745" spans="1:20" ht="14.25" customHeight="1" x14ac:dyDescent="0.3">
      <c r="A745" s="249">
        <f>KPIs!$D$3</f>
        <v>46235</v>
      </c>
      <c r="B745" s="193" t="str">
        <f>KPIs!D$4</f>
        <v>Compresora</v>
      </c>
      <c r="C745" t="s">
        <v>85</v>
      </c>
      <c r="D745" s="193" t="str">
        <f>KPIs!$A$45</f>
        <v>10b · Cumplimiento de acciones de mejora de simulacros · YTD</v>
      </c>
      <c r="E745" t="s">
        <v>601</v>
      </c>
      <c r="F745" s="193" t="str">
        <f>IF(ISNUMBER(KPIs!D45),KPIs!D45,"")</f>
        <v/>
      </c>
      <c r="G745" s="254" t="str">
        <f>IF(ISNUMBER(KPIs!$C$45),KPIs!$C$45,"")</f>
        <v/>
      </c>
      <c r="H745" s="193" t="str">
        <f>IFERROR(INDEX(_TARGETS!$E$2:$E$17,MATCH($C745,_TARGETS!$A$2:$A$17,0))&amp;"","")</f>
        <v/>
      </c>
      <c r="I745" s="193" t="str">
        <f t="shared" si="55"/>
        <v/>
      </c>
      <c r="J745" s="193" t="str">
        <f t="shared" si="56"/>
        <v>YTD</v>
      </c>
      <c r="K745" s="193">
        <f>SUMIFS(Datos!$D$23:$AL$23,Datos!$D$3:$AL$3,"&gt;="&amp;DATE(YEAR(Datos!D$3),1,1),Datos!$D$3:$AL$3,"&lt;="&amp;Datos!D$3)</f>
        <v>0</v>
      </c>
      <c r="L745" s="193">
        <f>SUMIFS(Datos!$D$22:$AL$22,Datos!$D$3:$AL$3,"&gt;="&amp;DATE(YEAR(Datos!D$3),1,1),Datos!$D$3:$AL$3,"&lt;="&amp;Datos!D$3)</f>
        <v>0</v>
      </c>
      <c r="M745" s="193">
        <f>INDEX(_TARGETS!$J$2:$J$17,MATCH($C745,_TARGETS!$A$2:$A$17,0))</f>
        <v>1</v>
      </c>
      <c r="N745" s="193" t="str">
        <f>INDEX(_TARGETS!$D$2:$D$17,MATCH($C745,_TARGETS!$A$2:$A$17,0))</f>
        <v>% (fracción)</v>
      </c>
      <c r="O745" s="193" t="str">
        <f>IF(NOT(ISNUMBER(F745)),IF(SUMPRODUCT(($C$2:$C$1300=C745)*($J$2:$J$1300="Monthly")*($A$2:$A$1300&lt;=A745)*(YEAR($A$2:$A$1300)=YEAR(A745))*ISNUMBER($K$2:$K$1300)*ISNUMBER($L$2:$L$1300)*($L$2:$L$1300=0)*($K$2:$K$1300&gt;0))&gt;0,"INCOMPLETE","MISSING"),O12)</f>
        <v>MISSING</v>
      </c>
      <c r="P745" s="193" t="str">
        <f>INDEX(_TARGETS!$K$2:$K$17,MATCH($C745,_TARGETS!$A$2:$A$17,0))</f>
        <v>OPS (carga manual en Datos)</v>
      </c>
      <c r="Q745" s="193" t="str">
        <f t="shared" si="57"/>
        <v>202608|CAMS|YTD</v>
      </c>
      <c r="R745" s="193" t="str">
        <f>INDEX(_TARGETS!$H$2:$H$17,MATCH($C745,_TARGETS!$A$2:$A$17,0))</f>
        <v>Solo reporte</v>
      </c>
      <c r="S745" s="193" t="str">
        <f t="shared" si="58"/>
        <v/>
      </c>
      <c r="T745" s="193" t="str">
        <f t="shared" si="59"/>
        <v/>
      </c>
    </row>
    <row r="746" spans="1:20" ht="14.25" customHeight="1" x14ac:dyDescent="0.3">
      <c r="A746" s="249">
        <f>KPIs!$D$3</f>
        <v>46235</v>
      </c>
      <c r="B746" s="193" t="str">
        <f>KPIs!D$4</f>
        <v>Compresora</v>
      </c>
      <c r="C746" t="s">
        <v>87</v>
      </c>
      <c r="D746" s="193" t="str">
        <f>KPIs!$A$46</f>
        <v>11 · Cumplimiento de caminatas gerenciales · YTD</v>
      </c>
      <c r="E746" t="s">
        <v>601</v>
      </c>
      <c r="F746" s="193" t="str">
        <f>IF(ISNUMBER(KPIs!D46),KPIs!D46,"")</f>
        <v/>
      </c>
      <c r="G746" s="254">
        <f>IF(ISNUMBER(KPIs!$C$46),KPIs!$C$46,"")</f>
        <v>1</v>
      </c>
      <c r="H746" s="193" t="str">
        <f>IFERROR(INDEX(_TARGETS!$E$2:$E$17,MATCH($C746,_TARGETS!$A$2:$A$17,0))&amp;"","")</f>
        <v>≥</v>
      </c>
      <c r="I746" s="193" t="str">
        <f t="shared" si="55"/>
        <v/>
      </c>
      <c r="J746" s="193" t="str">
        <f t="shared" si="56"/>
        <v>YTD</v>
      </c>
      <c r="K746" s="193">
        <f>SUMIFS(Datos!$D$24:$AL$24,Datos!$D$3:$AL$3,"&gt;="&amp;DATE(YEAR(Datos!D$3),1,1),Datos!$D$3:$AL$3,"&lt;="&amp;Datos!D$3)</f>
        <v>0</v>
      </c>
      <c r="L746" s="193">
        <f>SUMIFS(Datos!$D$25:$AL$25,Datos!$D$3:$AL$3,"&gt;="&amp;DATE(YEAR(Datos!D$3),1,1),Datos!$D$3:$AL$3,"&lt;="&amp;Datos!D$3)</f>
        <v>0</v>
      </c>
      <c r="M746" s="193">
        <f>INDEX(_TARGETS!$J$2:$J$17,MATCH($C746,_TARGETS!$A$2:$A$17,0))</f>
        <v>1</v>
      </c>
      <c r="N746" s="193" t="str">
        <f>INDEX(_TARGETS!$D$2:$D$17,MATCH($C746,_TARGETS!$A$2:$A$17,0))</f>
        <v>% (fracción)</v>
      </c>
      <c r="O746" s="193" t="str">
        <f>IF(NOT(ISNUMBER(F746)),IF(SUMPRODUCT(($C$2:$C$1300=C746)*($J$2:$J$1300="Monthly")*($A$2:$A$1300&lt;=A746)*(YEAR($A$2:$A$1300)=YEAR(A746))*ISNUMBER($K$2:$K$1300)*ISNUMBER($L$2:$L$1300)*($L$2:$L$1300=0)*($K$2:$K$1300&gt;0))&gt;0,"INCOMPLETE","MISSING"),O13)</f>
        <v>MISSING</v>
      </c>
      <c r="P746" s="193" t="str">
        <f>INDEX(_TARGETS!$K$2:$K$17,MATCH($C746,_TARGETS!$A$2:$A$17,0))</f>
        <v>OPS (carga manual en Datos)</v>
      </c>
      <c r="Q746" s="193" t="str">
        <f t="shared" si="57"/>
        <v>202608|ICCS|YTD</v>
      </c>
      <c r="R746" s="193" t="str">
        <f>INDEX(_TARGETS!$H$2:$H$17,MATCH($C746,_TARGETS!$A$2:$A$17,0))</f>
        <v>Definida</v>
      </c>
      <c r="S746" s="193" t="str">
        <f t="shared" si="58"/>
        <v/>
      </c>
      <c r="T746" s="193" t="str">
        <f t="shared" si="59"/>
        <v/>
      </c>
    </row>
    <row r="747" spans="1:20" ht="14.25" customHeight="1" x14ac:dyDescent="0.3">
      <c r="A747" s="249">
        <f>KPIs!$D$3</f>
        <v>46235</v>
      </c>
      <c r="B747" s="193" t="str">
        <f>KPIs!D$4</f>
        <v>Compresora</v>
      </c>
      <c r="C747" t="s">
        <v>89</v>
      </c>
      <c r="D747" s="193" t="str">
        <f>KPIs!$A$47</f>
        <v>12 · Cumplimiento de comités y subcomités de seguridad · YTD</v>
      </c>
      <c r="E747" t="s">
        <v>601</v>
      </c>
      <c r="F747" s="193" t="str">
        <f>IF(ISNUMBER(KPIs!D47),KPIs!D47,"")</f>
        <v/>
      </c>
      <c r="G747" s="254">
        <f>IF(ISNUMBER(KPIs!$C$47),KPIs!$C$47,"")</f>
        <v>1</v>
      </c>
      <c r="H747" s="193" t="str">
        <f>IFERROR(INDEX(_TARGETS!$E$2:$E$17,MATCH($C747,_TARGETS!$A$2:$A$17,0))&amp;"","")</f>
        <v>≥</v>
      </c>
      <c r="I747" s="193" t="str">
        <f t="shared" si="55"/>
        <v/>
      </c>
      <c r="J747" s="193" t="str">
        <f t="shared" si="56"/>
        <v>YTD</v>
      </c>
      <c r="K747" s="193">
        <f>SUMIFS(Datos!$D$26:$AL$26,Datos!$D$3:$AL$3,"&gt;="&amp;DATE(YEAR(Datos!D$3),1,1),Datos!$D$3:$AL$3,"&lt;="&amp;Datos!D$3)</f>
        <v>0</v>
      </c>
      <c r="L747" s="193">
        <f>SUMIFS(Datos!$D$27:$AL$27,Datos!$D$3:$AL$3,"&gt;="&amp;DATE(YEAR(Datos!D$3),1,1),Datos!$D$3:$AL$3,"&lt;="&amp;Datos!D$3)</f>
        <v>0</v>
      </c>
      <c r="M747" s="193">
        <f>INDEX(_TARGETS!$J$2:$J$17,MATCH($C747,_TARGETS!$A$2:$A$17,0))</f>
        <v>1</v>
      </c>
      <c r="N747" s="193" t="str">
        <f>INDEX(_TARGETS!$D$2:$D$17,MATCH($C747,_TARGETS!$A$2:$A$17,0))</f>
        <v>% (fracción)</v>
      </c>
      <c r="O747" s="193" t="str">
        <f>IF(NOT(ISNUMBER(F747)),IF(SUMPRODUCT(($C$2:$C$1300=C747)*($J$2:$J$1300="Monthly")*($A$2:$A$1300&lt;=A747)*(YEAR($A$2:$A$1300)=YEAR(A747))*ISNUMBER($K$2:$K$1300)*ISNUMBER($L$2:$L$1300)*($L$2:$L$1300=0)*($K$2:$K$1300&gt;0))&gt;0,"INCOMPLETE","MISSING"),O14)</f>
        <v>MISSING</v>
      </c>
      <c r="P747" s="193" t="str">
        <f>INDEX(_TARGETS!$K$2:$K$17,MATCH($C747,_TARGETS!$A$2:$A$17,0))</f>
        <v>OPS (carga manual en Datos)</v>
      </c>
      <c r="Q747" s="193" t="str">
        <f t="shared" si="57"/>
        <v>202608|CCS|YTD</v>
      </c>
      <c r="R747" s="193" t="str">
        <f>INDEX(_TARGETS!$H$2:$H$17,MATCH($C747,_TARGETS!$A$2:$A$17,0))</f>
        <v>Definida</v>
      </c>
      <c r="S747" s="193" t="str">
        <f t="shared" si="58"/>
        <v/>
      </c>
      <c r="T747" s="193" t="str">
        <f t="shared" si="59"/>
        <v/>
      </c>
    </row>
    <row r="748" spans="1:20" ht="14.25" customHeight="1" x14ac:dyDescent="0.3">
      <c r="A748" s="249">
        <f>KPIs!$D$3</f>
        <v>46235</v>
      </c>
      <c r="B748" s="193" t="str">
        <f>KPIs!D$4</f>
        <v>Compresora</v>
      </c>
      <c r="C748" t="s">
        <v>91</v>
      </c>
      <c r="D748" s="193" t="str">
        <f>KPIs!$A$48</f>
        <v>13 · Días promedio para cerrar hallazgos · YTD</v>
      </c>
      <c r="E748" t="s">
        <v>601</v>
      </c>
      <c r="F748" s="251">
        <f>IF(ISNUMBER(KPIs!D48),KPIs!D48,"")</f>
        <v>1.34615384615385</v>
      </c>
      <c r="G748" s="193" t="str">
        <f>IF(ISNUMBER(KPIs!$C$48),KPIs!$C$48,"")</f>
        <v/>
      </c>
      <c r="H748" s="193" t="str">
        <f>IFERROR(INDEX(_TARGETS!$E$2:$E$17,MATCH($C748,_TARGETS!$A$2:$A$17,0))&amp;"","")</f>
        <v>≤</v>
      </c>
      <c r="I748" s="193" t="str">
        <f t="shared" si="55"/>
        <v/>
      </c>
      <c r="J748" s="193" t="str">
        <f t="shared" si="56"/>
        <v>YTD</v>
      </c>
      <c r="K748" s="193">
        <f>SUMIFS(Datos!$D$68:$AL$68,Datos!$D$3:$AL$3,"&gt;="&amp;DATE(YEAR(Datos!D$3),1,1),Datos!$D$3:$AL$3,"&lt;="&amp;Datos!D$3)</f>
        <v>35</v>
      </c>
      <c r="L748" s="193">
        <f>SUMIFS(Datos!$D$67:$AL$67,Datos!$D$3:$AL$3,"&gt;="&amp;DATE(YEAR(Datos!D$3),1,1),Datos!$D$3:$AL$3,"&lt;="&amp;Datos!D$3)</f>
        <v>26</v>
      </c>
      <c r="M748" s="193">
        <f>INDEX(_TARGETS!$J$2:$J$17,MATCH($C748,_TARGETS!$A$2:$A$17,0))</f>
        <v>1</v>
      </c>
      <c r="N748" s="193" t="str">
        <f>INDEX(_TARGETS!$D$2:$D$17,MATCH($C748,_TARGETS!$A$2:$A$17,0))</f>
        <v>días</v>
      </c>
      <c r="O748" s="193" t="str">
        <f>IF(NOT(ISNUMBER(F748)),IF(SUMPRODUCT(($C$2:$C$1300=C748)*($J$2:$J$1300="Monthly")*($A$2:$A$1300&lt;=A748)*(YEAR($A$2:$A$1300)=YEAR(A748))*ISNUMBER($K$2:$K$1300)*ISNUMBER($L$2:$L$1300)*($L$2:$L$1300=0)*($K$2:$K$1300&gt;0))&gt;0,"INCOMPLETE","MISSING"),O15)</f>
        <v>OK</v>
      </c>
      <c r="P748" s="193" t="str">
        <f>INDEX(_TARGETS!$K$2:$K$17,MATCH($C748,_TARGETS!$A$2:$A$17,0))</f>
        <v>Plant Findings (hoja Observaciones-SMP)</v>
      </c>
      <c r="Q748" s="193" t="str">
        <f t="shared" si="57"/>
        <v>202608|DPAS|YTD</v>
      </c>
      <c r="R748" s="193" t="str">
        <f>INDEX(_TARGETS!$H$2:$H$17,MATCH($C748,_TARGETS!$A$2:$A$17,0))</f>
        <v>Pendiente (meta 2027)</v>
      </c>
      <c r="S748" s="193">
        <f t="shared" si="58"/>
        <v>1.34615384615385</v>
      </c>
      <c r="T748" s="193">
        <f t="shared" si="59"/>
        <v>0</v>
      </c>
    </row>
    <row r="749" spans="1:20" ht="14.25" customHeight="1" x14ac:dyDescent="0.3">
      <c r="A749" s="249">
        <f>KPIs!$D$3</f>
        <v>46235</v>
      </c>
      <c r="B749" s="193" t="str">
        <f>KPIs!D$4</f>
        <v>Compresora</v>
      </c>
      <c r="C749" t="s">
        <v>96</v>
      </c>
      <c r="D749" s="193" t="str">
        <f>KPIs!$A$49</f>
        <v>C1 · % de desvíos detectados de gravedad Alta · YTD</v>
      </c>
      <c r="E749" t="s">
        <v>601</v>
      </c>
      <c r="F749" s="193" t="str">
        <f>IF(ISNUMBER(KPIs!D49),KPIs!D49,"")</f>
        <v/>
      </c>
      <c r="G749" s="193" t="str">
        <f>IF(ISNUMBER(KPIs!$C$49),KPIs!$C$49,"")</f>
        <v/>
      </c>
      <c r="H749" s="193" t="str">
        <f>IFERROR(INDEX(_TARGETS!$E$2:$E$17,MATCH($C749,_TARGETS!$A$2:$A$17,0))&amp;"","")</f>
        <v/>
      </c>
      <c r="I749" s="193" t="str">
        <f t="shared" si="55"/>
        <v/>
      </c>
      <c r="J749" s="193" t="str">
        <f t="shared" si="56"/>
        <v>YTD</v>
      </c>
      <c r="K749" s="193">
        <f>SUMIFS(Datos!$D$71:$AL$71,Datos!$D$3:$AL$3,"&gt;="&amp;DATE(YEAR(Datos!D$3),1,1),Datos!$D$3:$AL$3,"&lt;="&amp;Datos!D$3)</f>
        <v>0</v>
      </c>
      <c r="L749" s="193">
        <f>SUMIFS(Datos!$D$71:$AL$71,Datos!$D$3:$AL$3,"&gt;="&amp;DATE(YEAR(Datos!D$3),1,1),Datos!$D$3:$AL$3,"&lt;="&amp;Datos!D$3)+SUMIFS(Datos!$D$72:$AL$72,Datos!$D$3:$AL$3,"&gt;="&amp;DATE(YEAR(Datos!D$3),1,1),Datos!$D$3:$AL$3,"&lt;="&amp;Datos!D$3)+SUMIFS(Datos!$D$73:$AL$73,Datos!$D$3:$AL$3,"&gt;="&amp;DATE(YEAR(Datos!D$3),1,1),Datos!$D$3:$AL$3,"&lt;="&amp;Datos!D$3)</f>
        <v>0</v>
      </c>
      <c r="M749" s="193">
        <f>INDEX(_TARGETS!$J$2:$J$17,MATCH($C749,_TARGETS!$A$2:$A$17,0))</f>
        <v>1</v>
      </c>
      <c r="N749" s="193" t="str">
        <f>INDEX(_TARGETS!$D$2:$D$17,MATCH($C749,_TARGETS!$A$2:$A$17,0))</f>
        <v>% (fracción)</v>
      </c>
      <c r="O749" s="193" t="str">
        <f t="shared" ref="O749:O755" si="60">IF(NOT(ISNUMBER(F749)),IF(SUMPRODUCT(($C$2:$C$1300=C749)*($J$2:$J$1300="Monthly")*($A$2:$A$1300&lt;=A749)*(YEAR($A$2:$A$1300)=YEAR(A749))*ISNUMBER($K$2:$K$1300)*ISNUMBER($L$2:$L$1300)*($L$2:$L$1300=0)*($K$2:$K$1300&gt;0))&gt;0,"INCOMPLETE","MISSING"),O21)</f>
        <v>MISSING</v>
      </c>
      <c r="P749" s="193" t="str">
        <f>INDEX(_TARGETS!$K$2:$K$17,MATCH($C749,_TARGETS!$A$2:$A$17,0))</f>
        <v>Plant Findings (hoja Observaciones-SMP)</v>
      </c>
      <c r="Q749" s="193" t="str">
        <f t="shared" si="57"/>
        <v>202608|HAL_ALTA_PCT|YTD</v>
      </c>
      <c r="R749" s="193" t="str">
        <f>INDEX(_TARGETS!$H$2:$H$17,MATCH($C749,_TARGETS!$A$2:$A$17,0))</f>
        <v>Solo reporte</v>
      </c>
      <c r="S749" s="193" t="str">
        <f t="shared" si="58"/>
        <v/>
      </c>
      <c r="T749" s="193" t="str">
        <f t="shared" si="59"/>
        <v/>
      </c>
    </row>
    <row r="750" spans="1:20" ht="14.25" customHeight="1" x14ac:dyDescent="0.3">
      <c r="A750" s="249">
        <f>KPIs!$D$3</f>
        <v>46235</v>
      </c>
      <c r="B750" s="193" t="str">
        <f>KPIs!D$4</f>
        <v>Compresora</v>
      </c>
      <c r="C750" t="s">
        <v>98</v>
      </c>
      <c r="D750" s="193" t="str">
        <f>KPIs!$A$50</f>
        <v>C2 · Detenciones de tareas aplicadas · YTD</v>
      </c>
      <c r="E750" t="s">
        <v>601</v>
      </c>
      <c r="F750" s="193">
        <f>IF(ISNUMBER(KPIs!D50),KPIs!D50,"")</f>
        <v>0</v>
      </c>
      <c r="G750" s="193" t="str">
        <f>IF(ISNUMBER(KPIs!$C$50),KPIs!$C$50,"")</f>
        <v/>
      </c>
      <c r="H750" s="193" t="str">
        <f>IFERROR(INDEX(_TARGETS!$E$2:$E$17,MATCH($C750,_TARGETS!$A$2:$A$17,0))&amp;"","")</f>
        <v/>
      </c>
      <c r="I750" s="193" t="str">
        <f t="shared" si="55"/>
        <v/>
      </c>
      <c r="J750" s="193" t="str">
        <f t="shared" si="56"/>
        <v>YTD</v>
      </c>
      <c r="K750" s="193">
        <f>SUMIFS(Datos!$D$75:$AL$75,Datos!$D$3:$AL$3,"&gt;="&amp;DATE(YEAR(Datos!D$3),1,1),Datos!$D$3:$AL$3,"&lt;="&amp;Datos!D$3)</f>
        <v>0</v>
      </c>
      <c r="M750" s="193">
        <f>INDEX(_TARGETS!$J$2:$J$17,MATCH($C750,_TARGETS!$A$2:$A$17,0))</f>
        <v>1</v>
      </c>
      <c r="N750" s="193" t="str">
        <f>INDEX(_TARGETS!$D$2:$D$17,MATCH($C750,_TARGETS!$A$2:$A$17,0))</f>
        <v>u</v>
      </c>
      <c r="O750" s="193" t="str">
        <f t="shared" si="60"/>
        <v>OK</v>
      </c>
      <c r="P750" s="193" t="str">
        <f>INDEX(_TARGETS!$K$2:$K$17,MATCH($C750,_TARGETS!$A$2:$A$17,0))</f>
        <v>Plant Findings (hoja Observaciones-SMP)</v>
      </c>
      <c r="Q750" s="193" t="str">
        <f t="shared" si="57"/>
        <v>202608|DET|YTD</v>
      </c>
      <c r="R750" s="193" t="str">
        <f>INDEX(_TARGETS!$H$2:$H$17,MATCH($C750,_TARGETS!$A$2:$A$17,0))</f>
        <v>Solo reporte</v>
      </c>
      <c r="S750" s="193">
        <f t="shared" si="58"/>
        <v>0</v>
      </c>
      <c r="T750" s="193">
        <f t="shared" si="59"/>
        <v>0</v>
      </c>
    </row>
    <row r="751" spans="1:20" ht="14.25" customHeight="1" x14ac:dyDescent="0.3">
      <c r="A751" s="249">
        <f>KPIs!$E$3</f>
        <v>46266</v>
      </c>
      <c r="B751" s="193" t="str">
        <f>KPIs!E$4</f>
        <v>Compresora</v>
      </c>
      <c r="C751" t="s">
        <v>39</v>
      </c>
      <c r="D751" s="193" t="str">
        <f>KPIs!$A$37</f>
        <v>1 · Frecuencia de casos con días perdidos · YTD</v>
      </c>
      <c r="E751" t="s">
        <v>601</v>
      </c>
      <c r="F751" s="193">
        <f>IF(ISNUMBER(KPIs!E37),KPIs!E37,"")</f>
        <v>0</v>
      </c>
      <c r="G751" s="250">
        <f>IF(ISNUMBER(KPIs!$C$37),KPIs!$C$37,"")</f>
        <v>0</v>
      </c>
      <c r="H751" s="193" t="str">
        <f>IFERROR(INDEX(_TARGETS!$E$2:$E$17,MATCH($C751,_TARGETS!$A$2:$A$17,0))&amp;"","")</f>
        <v>≤</v>
      </c>
      <c r="I751" s="193" t="str">
        <f t="shared" si="55"/>
        <v>Sí</v>
      </c>
      <c r="J751" s="193" t="str">
        <f t="shared" si="56"/>
        <v>YTD</v>
      </c>
      <c r="K751" s="193">
        <f>SUMIFS(Datos!$D$33:$AL$33,Datos!$D$3:$AL$3,"&gt;="&amp;DATE(YEAR(Datos!E$3),1,1),Datos!$D$3:$AL$3,"&lt;="&amp;Datos!E$3)</f>
        <v>0</v>
      </c>
      <c r="L751" s="193">
        <f>SUMIFS(Datos!$D$14:$AL$14,Datos!$D$3:$AL$3,"&gt;="&amp;DATE(YEAR(Datos!E$3),1,1),Datos!$D$3:$AL$3,"&lt;="&amp;Datos!E$3)</f>
        <v>48332</v>
      </c>
      <c r="M751" s="193">
        <f>INDEX(_TARGETS!$J$2:$J$17,MATCH($C751,_TARGETS!$A$2:$A$17,0))</f>
        <v>1000000</v>
      </c>
      <c r="N751" s="193" t="str">
        <f>INDEX(_TARGETS!$D$2:$D$17,MATCH($C751,_TARGETS!$A$2:$A$17,0))</f>
        <v>casos / 10^6 HH</v>
      </c>
      <c r="O751" s="193" t="str">
        <f t="shared" si="60"/>
        <v>OK</v>
      </c>
      <c r="P751" s="193" t="str">
        <f>INDEX(_TARGETS!$K$2:$K$17,MATCH($C751,_TARGETS!$A$2:$A$17,0))</f>
        <v>OPS (carga manual en Datos)</v>
      </c>
      <c r="Q751" s="193" t="str">
        <f t="shared" si="57"/>
        <v>202609|DAFWCF|YTD</v>
      </c>
      <c r="R751" s="193" t="str">
        <f>INDEX(_TARGETS!$H$2:$H$17,MATCH($C751,_TARGETS!$A$2:$A$17,0))</f>
        <v>Definida</v>
      </c>
      <c r="S751" s="193">
        <f t="shared" si="58"/>
        <v>0</v>
      </c>
      <c r="T751" s="193">
        <f t="shared" si="59"/>
        <v>0</v>
      </c>
    </row>
    <row r="752" spans="1:20" ht="14.25" customHeight="1" x14ac:dyDescent="0.3">
      <c r="A752" s="249">
        <f>KPIs!$E$3</f>
        <v>46266</v>
      </c>
      <c r="B752" s="193" t="str">
        <f>KPIs!E$4</f>
        <v>Compresora</v>
      </c>
      <c r="C752" t="s">
        <v>49</v>
      </c>
      <c r="D752" s="193" t="str">
        <f>KPIs!$A$38</f>
        <v>2 · Frecuencia de casos registrables · YTD</v>
      </c>
      <c r="E752" t="s">
        <v>601</v>
      </c>
      <c r="F752" s="193">
        <f>IF(ISNUMBER(KPIs!E38),KPIs!E38,"")</f>
        <v>0</v>
      </c>
      <c r="G752" s="250">
        <f>IF(ISNUMBER(KPIs!$C$38),KPIs!$C$38,"")</f>
        <v>2.35</v>
      </c>
      <c r="H752" s="193" t="str">
        <f>IFERROR(INDEX(_TARGETS!$E$2:$E$17,MATCH($C752,_TARGETS!$A$2:$A$17,0))&amp;"","")</f>
        <v>≤</v>
      </c>
      <c r="I752" s="193" t="str">
        <f t="shared" si="55"/>
        <v>Sí</v>
      </c>
      <c r="J752" s="193" t="str">
        <f t="shared" si="56"/>
        <v>YTD</v>
      </c>
      <c r="K752" s="193">
        <f>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f>
        <v>0</v>
      </c>
      <c r="L752" s="193">
        <f>SUMIFS(Datos!$D$14:$AL$14,Datos!$D$3:$AL$3,"&gt;="&amp;DATE(YEAR(Datos!E$3),1,1),Datos!$D$3:$AL$3,"&lt;="&amp;Datos!E$3)</f>
        <v>48332</v>
      </c>
      <c r="M752" s="193">
        <f>INDEX(_TARGETS!$J$2:$J$17,MATCH($C752,_TARGETS!$A$2:$A$17,0))</f>
        <v>1000000</v>
      </c>
      <c r="N752" s="193" t="str">
        <f>INDEX(_TARGETS!$D$2:$D$17,MATCH($C752,_TARGETS!$A$2:$A$17,0))</f>
        <v>casos / 10^6 HH</v>
      </c>
      <c r="O752" s="193" t="str">
        <f t="shared" si="60"/>
        <v>OK</v>
      </c>
      <c r="P752" s="193" t="str">
        <f>INDEX(_TARGETS!$K$2:$K$17,MATCH($C752,_TARGETS!$A$2:$A$17,0))</f>
        <v>OPS (carga manual en Datos)</v>
      </c>
      <c r="Q752" s="193" t="str">
        <f t="shared" si="57"/>
        <v>202609|TRICF|YTD</v>
      </c>
      <c r="R752" s="193" t="str">
        <f>INDEX(_TARGETS!$H$2:$H$17,MATCH($C752,_TARGETS!$A$2:$A$17,0))</f>
        <v>Definida</v>
      </c>
      <c r="S752" s="193">
        <f t="shared" si="58"/>
        <v>0</v>
      </c>
      <c r="T752" s="193">
        <f t="shared" si="59"/>
        <v>0</v>
      </c>
    </row>
    <row r="753" spans="1:20" ht="14.25" customHeight="1" x14ac:dyDescent="0.3">
      <c r="A753" s="249">
        <f>KPIs!$E$3</f>
        <v>46266</v>
      </c>
      <c r="B753" s="193" t="str">
        <f>KPIs!E$4</f>
        <v>Compresora</v>
      </c>
      <c r="C753" t="s">
        <v>51</v>
      </c>
      <c r="D753" s="193" t="str">
        <f>KPIs!$A$39</f>
        <v>3 · Casos de primeros auxilios · YTD</v>
      </c>
      <c r="E753" t="s">
        <v>601</v>
      </c>
      <c r="F753" s="193">
        <f>IF(ISNUMBER(KPIs!E39),KPIs!E39,"")</f>
        <v>0</v>
      </c>
      <c r="G753" s="193" t="str">
        <f>IF(ISNUMBER(KPIs!$C$39),KPIs!$C$39,"")</f>
        <v/>
      </c>
      <c r="H753" s="193" t="str">
        <f>IFERROR(INDEX(_TARGETS!$E$2:$E$17,MATCH($C753,_TARGETS!$A$2:$A$17,0))&amp;"","")</f>
        <v/>
      </c>
      <c r="I753" s="193" t="str">
        <f t="shared" si="55"/>
        <v/>
      </c>
      <c r="J753" s="193" t="str">
        <f t="shared" si="56"/>
        <v>YTD</v>
      </c>
      <c r="K753" s="193">
        <f>SUMIFS(Datos!$D$37:$AL$37,Datos!$D$3:$AL$3,"&gt;="&amp;DATE(YEAR(Datos!E$3),1,1),Datos!$D$3:$AL$3,"&lt;="&amp;Datos!E$3)</f>
        <v>0</v>
      </c>
      <c r="M753" s="193">
        <f>INDEX(_TARGETS!$J$2:$J$17,MATCH($C753,_TARGETS!$A$2:$A$17,0))</f>
        <v>1</v>
      </c>
      <c r="N753" s="193" t="str">
        <f>INDEX(_TARGETS!$D$2:$D$17,MATCH($C753,_TARGETS!$A$2:$A$17,0))</f>
        <v>casos</v>
      </c>
      <c r="O753" s="193" t="str">
        <f t="shared" si="60"/>
        <v>OK</v>
      </c>
      <c r="P753" s="193" t="str">
        <f>INDEX(_TARGETS!$K$2:$K$17,MATCH($C753,_TARGETS!$A$2:$A$17,0))</f>
        <v>OPS (carga manual en Datos)</v>
      </c>
      <c r="Q753" s="193" t="str">
        <f t="shared" si="57"/>
        <v>202609|FAC|YTD</v>
      </c>
      <c r="R753" s="193" t="str">
        <f>INDEX(_TARGETS!$H$2:$H$17,MATCH($C753,_TARGETS!$A$2:$A$17,0))</f>
        <v>Solo reporte</v>
      </c>
      <c r="S753" s="193">
        <f t="shared" si="58"/>
        <v>0</v>
      </c>
      <c r="T753" s="193">
        <f t="shared" si="59"/>
        <v>0</v>
      </c>
    </row>
    <row r="754" spans="1:20" ht="14.25" customHeight="1" x14ac:dyDescent="0.3">
      <c r="A754" s="249">
        <f>KPIs!$E$3</f>
        <v>46266</v>
      </c>
      <c r="B754" s="193" t="str">
        <f>KPIs!E$4</f>
        <v>Compresora</v>
      </c>
      <c r="C754" t="s">
        <v>57</v>
      </c>
      <c r="D754" s="193" t="str">
        <f>KPIs!$A$40</f>
        <v>4 · Accidentes vehiculares severos por millón de km · YTD</v>
      </c>
      <c r="E754" t="s">
        <v>601</v>
      </c>
      <c r="F754" s="193">
        <f>IF(ISNUMBER(KPIs!E40),KPIs!E40,"")</f>
        <v>0</v>
      </c>
      <c r="G754" s="193" t="str">
        <f>IF(ISNUMBER(KPIs!$C$40),KPIs!$C$40,"")</f>
        <v/>
      </c>
      <c r="H754" s="193" t="str">
        <f>IFERROR(INDEX(_TARGETS!$E$2:$E$17,MATCH($C754,_TARGETS!$A$2:$A$17,0))&amp;"","")</f>
        <v/>
      </c>
      <c r="I754" s="193" t="str">
        <f t="shared" si="55"/>
        <v/>
      </c>
      <c r="J754" s="193" t="str">
        <f t="shared" si="56"/>
        <v>YTD</v>
      </c>
      <c r="K754" s="193">
        <f>SUMIFS(Datos!$D$39:$AL$39,Datos!$D$3:$AL$3,"&gt;="&amp;DATE(YEAR(Datos!E$3),1,1),Datos!$D$3:$AL$3,"&lt;="&amp;Datos!E$3)+SUMIFS(Datos!$D$40:$AL$40,Datos!$D$3:$AL$3,"&gt;="&amp;DATE(YEAR(Datos!E$3),1,1),Datos!$D$3:$AL$3,"&lt;="&amp;Datos!E$3)+SUMIFS(Datos!$D$41:$AL$41,Datos!$D$3:$AL$3,"&gt;="&amp;DATE(YEAR(Datos!E$3),1,1),Datos!$D$3:$AL$3,"&lt;="&amp;Datos!E$3)</f>
        <v>0</v>
      </c>
      <c r="L754" s="193">
        <f>SUMIFS(Datos!$D$47:$AL$47,Datos!$D$3:$AL$3,"&gt;="&amp;DATE(YEAR(Datos!E$3),1,1),Datos!$D$3:$AL$3,"&lt;="&amp;Datos!E$3)</f>
        <v>172824</v>
      </c>
      <c r="M754" s="193">
        <f>INDEX(_TARGETS!$J$2:$J$17,MATCH($C754,_TARGETS!$A$2:$A$17,0))</f>
        <v>1000000</v>
      </c>
      <c r="N754" s="193" t="str">
        <f>INDEX(_TARGETS!$D$2:$D$17,MATCH($C754,_TARGETS!$A$2:$A$17,0))</f>
        <v>eventos / 10^6 km</v>
      </c>
      <c r="O754" s="193" t="str">
        <f t="shared" si="60"/>
        <v>OK</v>
      </c>
      <c r="P754" s="193" t="str">
        <f>INDEX(_TARGETS!$K$2:$K$17,MATCH($C754,_TARGETS!$A$2:$A$17,0))</f>
        <v>OPS (eventos) + Full Control GPS (km) - carga manual en Datos</v>
      </c>
      <c r="Q754" s="193" t="str">
        <f t="shared" si="57"/>
        <v>202609|SVCR|YTD</v>
      </c>
      <c r="R754" s="193" t="str">
        <f>INDEX(_TARGETS!$H$2:$H$17,MATCH($C754,_TARGETS!$A$2:$A$17,0))</f>
        <v>Solo reporte</v>
      </c>
      <c r="S754" s="193">
        <f t="shared" si="58"/>
        <v>0</v>
      </c>
      <c r="T754" s="193">
        <f t="shared" si="59"/>
        <v>0</v>
      </c>
    </row>
    <row r="755" spans="1:20" ht="14.25" customHeight="1" x14ac:dyDescent="0.3">
      <c r="A755" s="249">
        <f>KPIs!$E$3</f>
        <v>46266</v>
      </c>
      <c r="B755" s="193" t="str">
        <f>KPIs!E$4</f>
        <v>Compresora</v>
      </c>
      <c r="C755" t="s">
        <v>61</v>
      </c>
      <c r="D755" s="193" t="str">
        <f>KPIs!$A$41</f>
        <v>5 · Accidentes vehiculares totales por millón de km · YTD</v>
      </c>
      <c r="E755" t="s">
        <v>601</v>
      </c>
      <c r="F755" s="193">
        <f>IF(ISNUMBER(KPIs!E41),KPIs!E41,"")</f>
        <v>0</v>
      </c>
      <c r="G755" s="250">
        <f>IF(ISNUMBER(KPIs!$C$41),KPIs!$C$41,"")</f>
        <v>0.79</v>
      </c>
      <c r="H755" s="193" t="str">
        <f>IFERROR(INDEX(_TARGETS!$E$2:$E$17,MATCH($C755,_TARGETS!$A$2:$A$17,0))&amp;"","")</f>
        <v>≤</v>
      </c>
      <c r="I755" s="193" t="str">
        <f t="shared" si="55"/>
        <v>Sí</v>
      </c>
      <c r="J755" s="193" t="str">
        <f t="shared" si="56"/>
        <v>YTD</v>
      </c>
      <c r="K755" s="193">
        <f>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f>
        <v>0</v>
      </c>
      <c r="L755" s="193">
        <f>SUMIFS(Datos!$D$47:$AL$47,Datos!$D$3:$AL$3,"&gt;="&amp;DATE(YEAR(Datos!E$3),1,1),Datos!$D$3:$AL$3,"&lt;="&amp;Datos!E$3)</f>
        <v>172824</v>
      </c>
      <c r="M755" s="193">
        <f>INDEX(_TARGETS!$J$2:$J$17,MATCH($C755,_TARGETS!$A$2:$A$17,0))</f>
        <v>1000000</v>
      </c>
      <c r="N755" s="193" t="str">
        <f>INDEX(_TARGETS!$D$2:$D$17,MATCH($C755,_TARGETS!$A$2:$A$17,0))</f>
        <v>eventos / 10^6 km</v>
      </c>
      <c r="O755" s="193" t="str">
        <f t="shared" si="60"/>
        <v>OK</v>
      </c>
      <c r="P755" s="193" t="str">
        <f>INDEX(_TARGETS!$K$2:$K$17,MATCH($C755,_TARGETS!$A$2:$A$17,0))</f>
        <v>OPS (eventos) + Full Control GPS (km) - carga manual en Datos</v>
      </c>
      <c r="Q755" s="193" t="str">
        <f t="shared" si="57"/>
        <v>202609|TVCR|YTD</v>
      </c>
      <c r="R755" s="193" t="str">
        <f>INDEX(_TARGETS!$H$2:$H$17,MATCH($C755,_TARGETS!$A$2:$A$17,0))</f>
        <v>Definida</v>
      </c>
      <c r="S755" s="193">
        <f t="shared" si="58"/>
        <v>0</v>
      </c>
      <c r="T755" s="193">
        <f t="shared" si="59"/>
        <v>0</v>
      </c>
    </row>
    <row r="756" spans="1:20" ht="14.25" customHeight="1" x14ac:dyDescent="0.3">
      <c r="A756" s="249">
        <f>KPIs!$E$3</f>
        <v>46266</v>
      </c>
      <c r="B756" s="193" t="str">
        <f>KPIs!E$4</f>
        <v>Compresora</v>
      </c>
      <c r="C756" t="s">
        <v>71</v>
      </c>
      <c r="D756" s="193" t="str">
        <f>KPIs!$A$42</f>
        <v>7 · Investigaciones de accidentes: días promedio de cierre · YTD</v>
      </c>
      <c r="E756" t="s">
        <v>601</v>
      </c>
      <c r="F756" s="193" t="str">
        <f>IF(ISNUMBER(KPIs!E42),KPIs!E42,"")</f>
        <v/>
      </c>
      <c r="G756" s="251">
        <f>IF(ISNUMBER(KPIs!$C$42),KPIs!$C$42,"")</f>
        <v>20</v>
      </c>
      <c r="H756" s="193" t="str">
        <f>IFERROR(INDEX(_TARGETS!$E$2:$E$17,MATCH($C756,_TARGETS!$A$2:$A$17,0))&amp;"","")</f>
        <v>≤</v>
      </c>
      <c r="I756" s="193" t="str">
        <f t="shared" si="55"/>
        <v/>
      </c>
      <c r="J756" s="193" t="str">
        <f t="shared" si="56"/>
        <v>YTD</v>
      </c>
      <c r="K756" s="193">
        <f>SUMIFS(Datos!$D$31:$AL$31,Datos!$D$3:$AL$3,"&gt;="&amp;DATE(YEAR(Datos!E$3),1,1),Datos!$D$3:$AL$3,"&lt;="&amp;Datos!E$3)</f>
        <v>0</v>
      </c>
      <c r="L756" s="193">
        <f>SUMIFS(Datos!$D$30:$AL$30,Datos!$D$3:$AL$3,"&gt;="&amp;DATE(YEAR(Datos!E$3),1,1),Datos!$D$3:$AL$3,"&lt;="&amp;Datos!E$3)</f>
        <v>0</v>
      </c>
      <c r="M756" s="193">
        <f>INDEX(_TARGETS!$J$2:$J$17,MATCH($C756,_TARGETS!$A$2:$A$17,0))</f>
        <v>1</v>
      </c>
      <c r="N756" s="193" t="str">
        <f>INDEX(_TARGETS!$D$2:$D$17,MATCH($C756,_TARGETS!$A$2:$A$17,0))</f>
        <v>días</v>
      </c>
      <c r="O756" s="193" t="str">
        <f>IF(NOT(ISNUMBER(F756)),IF(SUMPRODUCT(($C$2:$C$1300=C756)*($J$2:$J$1300="Monthly")*($A$2:$A$1300&lt;=A756)*(YEAR($A$2:$A$1300)=YEAR(A756))*ISNUMBER($K$2:$K$1300)*ISNUMBER($L$2:$L$1300)*($L$2:$L$1300=0)*($K$2:$K$1300&gt;0))&gt;0,"INCOMPLETE","MISSING"),O29)</f>
        <v>MISSING</v>
      </c>
      <c r="P756" s="193" t="str">
        <f>INDEX(_TARGETS!$K$2:$K$17,MATCH($C756,_TARGETS!$A$2:$A$17,0))</f>
        <v>OPS (carga manual en Datos)</v>
      </c>
      <c r="Q756" s="193" t="str">
        <f t="shared" si="57"/>
        <v>202609|INV|YTD</v>
      </c>
      <c r="R756" s="193" t="str">
        <f>INDEX(_TARGETS!$H$2:$H$17,MATCH($C756,_TARGETS!$A$2:$A$17,0))</f>
        <v>Definida</v>
      </c>
      <c r="S756" s="193" t="str">
        <f t="shared" si="58"/>
        <v/>
      </c>
      <c r="T756" s="193" t="str">
        <f t="shared" si="59"/>
        <v/>
      </c>
    </row>
    <row r="757" spans="1:20" ht="14.25" customHeight="1" x14ac:dyDescent="0.3">
      <c r="A757" s="249">
        <f>KPIs!$E$3</f>
        <v>46266</v>
      </c>
      <c r="B757" s="193" t="str">
        <f>KPIs!E$4</f>
        <v>Compresora</v>
      </c>
      <c r="C757" t="s">
        <v>76</v>
      </c>
      <c r="D757" s="193" t="str">
        <f>KPIs!$A$43</f>
        <v>8 · % de capacitación en seguridad · YTD</v>
      </c>
      <c r="E757" t="s">
        <v>601</v>
      </c>
      <c r="F757" s="193">
        <f>IF(ISNUMBER(KPIs!E43),KPIs!E43,"")</f>
        <v>0.0445046759910618</v>
      </c>
      <c r="G757" s="252">
        <f>IF(ISNUMBER(KPIs!$C$43),KPIs!$C$43,"")</f>
        <v>0.01</v>
      </c>
      <c r="H757" s="193" t="str">
        <f>IFERROR(INDEX(_TARGETS!$E$2:$E$17,MATCH($C757,_TARGETS!$A$2:$A$17,0))&amp;"","")</f>
        <v>≥</v>
      </c>
      <c r="I757" s="193" t="str">
        <f t="shared" si="55"/>
        <v>Sí</v>
      </c>
      <c r="J757" s="193" t="str">
        <f t="shared" si="56"/>
        <v>YTD</v>
      </c>
      <c r="K757" s="193">
        <f>SUMIFS(Datos!$D$18:$AL$18,Datos!$D$3:$AL$3,"&gt;="&amp;DATE(YEAR(Datos!E$3),1,1),Datos!$D$3:$AL$3,"&lt;="&amp;Datos!E$3)</f>
        <v>2151</v>
      </c>
      <c r="L757" s="193">
        <f>SUMIFS(Datos!$D$14:$AL$14,Datos!$D$3:$AL$3,"&gt;="&amp;DATE(YEAR(Datos!E$3),1,1),Datos!$D$3:$AL$3,"&lt;="&amp;Datos!E$3)</f>
        <v>48332</v>
      </c>
      <c r="M757" s="193">
        <f>INDEX(_TARGETS!$J$2:$J$17,MATCH($C757,_TARGETS!$A$2:$A$17,0))</f>
        <v>1</v>
      </c>
      <c r="N757" s="193" t="str">
        <f>INDEX(_TARGETS!$D$2:$D$17,MATCH($C757,_TARGETS!$A$2:$A$17,0))</f>
        <v>% (fracción)</v>
      </c>
      <c r="O757" s="193" t="str">
        <f>IF(NOT(ISNUMBER(F757)),IF(SUMPRODUCT(($C$2:$C$1300=C757)*($J$2:$J$1300="Monthly")*($A$2:$A$1300&lt;=A757)*(YEAR($A$2:$A$1300)=YEAR(A757))*ISNUMBER($K$2:$K$1300)*ISNUMBER($L$2:$L$1300)*($L$2:$L$1300=0)*($K$2:$K$1300&gt;0))&gt;0,"INCOMPLETE","MISSING"),O30)</f>
        <v>OK</v>
      </c>
      <c r="P757" s="193" t="str">
        <f>INDEX(_TARGETS!$K$2:$K$17,MATCH($C757,_TARGETS!$A$2:$A$17,0))</f>
        <v>OPS (carga manual en Datos)</v>
      </c>
      <c r="Q757" s="193" t="str">
        <f t="shared" si="57"/>
        <v>202609|HCS|YTD</v>
      </c>
      <c r="R757" s="193" t="str">
        <f>INDEX(_TARGETS!$H$2:$H$17,MATCH($C757,_TARGETS!$A$2:$A$17,0))</f>
        <v>Definida</v>
      </c>
      <c r="S757" s="193">
        <f t="shared" si="58"/>
        <v>0.0445046759910618</v>
      </c>
      <c r="T757" s="193">
        <f t="shared" si="59"/>
        <v>0</v>
      </c>
    </row>
    <row r="758" spans="1:20" ht="14.25" customHeight="1" x14ac:dyDescent="0.3">
      <c r="A758" s="249">
        <f>KPIs!$E$3</f>
        <v>46266</v>
      </c>
      <c r="B758" s="193" t="str">
        <f>KPIs!E$4</f>
        <v>Compresora</v>
      </c>
      <c r="C758" t="s">
        <v>83</v>
      </c>
      <c r="D758" s="193" t="str">
        <f>KPIs!$A$44</f>
        <v>10 · Cumplimiento de simulacros (emergencia y operativos) · YTD</v>
      </c>
      <c r="E758" t="s">
        <v>601</v>
      </c>
      <c r="F758" s="193">
        <f>IF(ISNUMBER(KPIs!E44),KPIs!E44,"")</f>
        <v>1</v>
      </c>
      <c r="G758" s="253">
        <f>IF(ISNUMBER(KPIs!$C$44),KPIs!$C$44,"")</f>
        <v>1</v>
      </c>
      <c r="H758" s="193" t="str">
        <f>IFERROR(INDEX(_TARGETS!$E$2:$E$17,MATCH($C758,_TARGETS!$A$2:$A$17,0))&amp;"","")</f>
        <v>≥</v>
      </c>
      <c r="I758" s="193" t="str">
        <f t="shared" si="55"/>
        <v>Sí</v>
      </c>
      <c r="J758" s="193" t="str">
        <f t="shared" si="56"/>
        <v>YTD</v>
      </c>
      <c r="K758" s="193">
        <f>SUMIFS(Datos!$D$20:$AL$20,Datos!$D$3:$AL$3,"&gt;="&amp;DATE(YEAR(Datos!E$3),1,1),Datos!$D$3:$AL$3,"&lt;="&amp;Datos!E$3)</f>
        <v>3</v>
      </c>
      <c r="L758" s="193">
        <f>SUMIFS(Datos!$D$21:$AL$21,Datos!$D$3:$AL$3,"&gt;="&amp;DATE(YEAR(Datos!E$3),1,1),Datos!$D$3:$AL$3,"&lt;="&amp;Datos!E$3)</f>
        <v>3</v>
      </c>
      <c r="M758" s="193">
        <f>INDEX(_TARGETS!$J$2:$J$17,MATCH($C758,_TARGETS!$A$2:$A$17,0))</f>
        <v>1</v>
      </c>
      <c r="N758" s="193" t="str">
        <f>INDEX(_TARGETS!$D$2:$D$17,MATCH($C758,_TARGETS!$A$2:$A$17,0))</f>
        <v>% (fracción)</v>
      </c>
      <c r="O758" s="193" t="str">
        <f>IF(NOT(ISNUMBER(F758)),IF(SUMPRODUCT(($C$2:$C$1300=C758)*($J$2:$J$1300="Monthly")*($A$2:$A$1300&lt;=A758)*(YEAR($A$2:$A$1300)=YEAR(A758))*ISNUMBER($K$2:$K$1300)*ISNUMBER($L$2:$L$1300)*($L$2:$L$1300=0)*($K$2:$K$1300&gt;0))&gt;0,"INCOMPLETE","MISSING"),O32)</f>
        <v>OK</v>
      </c>
      <c r="P758" s="193" t="str">
        <f>INDEX(_TARGETS!$K$2:$K$17,MATCH($C758,_TARGETS!$A$2:$A$17,0))</f>
        <v>OPS (carga manual en Datos)</v>
      </c>
      <c r="Q758" s="193" t="str">
        <f t="shared" si="57"/>
        <v>202609|CPSE|YTD</v>
      </c>
      <c r="R758" s="193" t="str">
        <f>INDEX(_TARGETS!$H$2:$H$17,MATCH($C758,_TARGETS!$A$2:$A$17,0))</f>
        <v>Definida</v>
      </c>
      <c r="S758" s="193">
        <f t="shared" si="58"/>
        <v>1</v>
      </c>
      <c r="T758" s="193">
        <f t="shared" si="59"/>
        <v>0</v>
      </c>
    </row>
    <row r="759" spans="1:20" ht="14.25" customHeight="1" x14ac:dyDescent="0.3">
      <c r="A759" s="249">
        <f>KPIs!$E$3</f>
        <v>46266</v>
      </c>
      <c r="B759" s="193" t="str">
        <f>KPIs!E$4</f>
        <v>Compresora</v>
      </c>
      <c r="C759" t="s">
        <v>85</v>
      </c>
      <c r="D759" s="193" t="str">
        <f>KPIs!$A$45</f>
        <v>10b · Cumplimiento de acciones de mejora de simulacros · YTD</v>
      </c>
      <c r="E759" t="s">
        <v>601</v>
      </c>
      <c r="F759" s="193">
        <f>IF(ISNUMBER(KPIs!E45),KPIs!E45,"")</f>
        <v>1</v>
      </c>
      <c r="G759" s="254" t="str">
        <f>IF(ISNUMBER(KPIs!$C$45),KPIs!$C$45,"")</f>
        <v/>
      </c>
      <c r="H759" s="193" t="str">
        <f>IFERROR(INDEX(_TARGETS!$E$2:$E$17,MATCH($C759,_TARGETS!$A$2:$A$17,0))&amp;"","")</f>
        <v/>
      </c>
      <c r="I759" s="193" t="str">
        <f t="shared" si="55"/>
        <v/>
      </c>
      <c r="J759" s="193" t="str">
        <f t="shared" si="56"/>
        <v>YTD</v>
      </c>
      <c r="K759" s="193">
        <f>SUMIFS(Datos!$D$23:$AL$23,Datos!$D$3:$AL$3,"&gt;="&amp;DATE(YEAR(Datos!E$3),1,1),Datos!$D$3:$AL$3,"&lt;="&amp;Datos!E$3)</f>
        <v>1</v>
      </c>
      <c r="L759" s="193">
        <f>SUMIFS(Datos!$D$22:$AL$22,Datos!$D$3:$AL$3,"&gt;="&amp;DATE(YEAR(Datos!E$3),1,1),Datos!$D$3:$AL$3,"&lt;="&amp;Datos!E$3)</f>
        <v>1</v>
      </c>
      <c r="M759" s="193">
        <f>INDEX(_TARGETS!$J$2:$J$17,MATCH($C759,_TARGETS!$A$2:$A$17,0))</f>
        <v>1</v>
      </c>
      <c r="N759" s="193" t="str">
        <f>INDEX(_TARGETS!$D$2:$D$17,MATCH($C759,_TARGETS!$A$2:$A$17,0))</f>
        <v>% (fracción)</v>
      </c>
      <c r="O759" s="193" t="str">
        <f>IF(NOT(ISNUMBER(F759)),IF(SUMPRODUCT(($C$2:$C$1300=C759)*($J$2:$J$1300="Monthly")*($A$2:$A$1300&lt;=A759)*(YEAR($A$2:$A$1300)=YEAR(A759))*ISNUMBER($K$2:$K$1300)*ISNUMBER($L$2:$L$1300)*($L$2:$L$1300=0)*($K$2:$K$1300&gt;0))&gt;0,"INCOMPLETE","MISSING"),O33)</f>
        <v>OK</v>
      </c>
      <c r="P759" s="193" t="str">
        <f>INDEX(_TARGETS!$K$2:$K$17,MATCH($C759,_TARGETS!$A$2:$A$17,0))</f>
        <v>OPS (carga manual en Datos)</v>
      </c>
      <c r="Q759" s="193" t="str">
        <f t="shared" si="57"/>
        <v>202609|CAMS|YTD</v>
      </c>
      <c r="R759" s="193" t="str">
        <f>INDEX(_TARGETS!$H$2:$H$17,MATCH($C759,_TARGETS!$A$2:$A$17,0))</f>
        <v>Solo reporte</v>
      </c>
      <c r="S759" s="193">
        <f t="shared" si="58"/>
        <v>1</v>
      </c>
      <c r="T759" s="193">
        <f t="shared" si="59"/>
        <v>0</v>
      </c>
    </row>
    <row r="760" spans="1:20" ht="14.25" customHeight="1" x14ac:dyDescent="0.3">
      <c r="A760" s="249">
        <f>KPIs!$E$3</f>
        <v>46266</v>
      </c>
      <c r="B760" s="193" t="str">
        <f>KPIs!E$4</f>
        <v>Compresora</v>
      </c>
      <c r="C760" t="s">
        <v>87</v>
      </c>
      <c r="D760" s="193" t="str">
        <f>KPIs!$A$46</f>
        <v>11 · Cumplimiento de caminatas gerenciales · YTD</v>
      </c>
      <c r="E760" t="s">
        <v>601</v>
      </c>
      <c r="F760" s="193">
        <f>IF(ISNUMBER(KPIs!E46),KPIs!E46,"")</f>
        <v>1</v>
      </c>
      <c r="G760" s="254">
        <f>IF(ISNUMBER(KPIs!$C$46),KPIs!$C$46,"")</f>
        <v>1</v>
      </c>
      <c r="H760" s="193" t="str">
        <f>IFERROR(INDEX(_TARGETS!$E$2:$E$17,MATCH($C760,_TARGETS!$A$2:$A$17,0))&amp;"","")</f>
        <v>≥</v>
      </c>
      <c r="I760" s="193" t="str">
        <f t="shared" si="55"/>
        <v>Sí</v>
      </c>
      <c r="J760" s="193" t="str">
        <f t="shared" si="56"/>
        <v>YTD</v>
      </c>
      <c r="K760" s="193">
        <f>SUMIFS(Datos!$D$24:$AL$24,Datos!$D$3:$AL$3,"&gt;="&amp;DATE(YEAR(Datos!E$3),1,1),Datos!$D$3:$AL$3,"&lt;="&amp;Datos!E$3)</f>
        <v>3</v>
      </c>
      <c r="L760" s="193">
        <f>SUMIFS(Datos!$D$25:$AL$25,Datos!$D$3:$AL$3,"&gt;="&amp;DATE(YEAR(Datos!E$3),1,1),Datos!$D$3:$AL$3,"&lt;="&amp;Datos!E$3)</f>
        <v>3</v>
      </c>
      <c r="M760" s="193">
        <f>INDEX(_TARGETS!$J$2:$J$17,MATCH($C760,_TARGETS!$A$2:$A$17,0))</f>
        <v>1</v>
      </c>
      <c r="N760" s="193" t="str">
        <f>INDEX(_TARGETS!$D$2:$D$17,MATCH($C760,_TARGETS!$A$2:$A$17,0))</f>
        <v>% (fracción)</v>
      </c>
      <c r="O760" s="193" t="str">
        <f>IF(NOT(ISNUMBER(F760)),IF(SUMPRODUCT(($C$2:$C$1300=C760)*($J$2:$J$1300="Monthly")*($A$2:$A$1300&lt;=A760)*(YEAR($A$2:$A$1300)=YEAR(A760))*ISNUMBER($K$2:$K$1300)*ISNUMBER($L$2:$L$1300)*($L$2:$L$1300=0)*($K$2:$K$1300&gt;0))&gt;0,"INCOMPLETE","MISSING"),O34)</f>
        <v>OK</v>
      </c>
      <c r="P760" s="193" t="str">
        <f>INDEX(_TARGETS!$K$2:$K$17,MATCH($C760,_TARGETS!$A$2:$A$17,0))</f>
        <v>OPS (carga manual en Datos)</v>
      </c>
      <c r="Q760" s="193" t="str">
        <f t="shared" si="57"/>
        <v>202609|ICCS|YTD</v>
      </c>
      <c r="R760" s="193" t="str">
        <f>INDEX(_TARGETS!$H$2:$H$17,MATCH($C760,_TARGETS!$A$2:$A$17,0))</f>
        <v>Definida</v>
      </c>
      <c r="S760" s="193">
        <f t="shared" si="58"/>
        <v>1</v>
      </c>
      <c r="T760" s="193">
        <f t="shared" si="59"/>
        <v>0</v>
      </c>
    </row>
    <row r="761" spans="1:20" ht="14.25" customHeight="1" x14ac:dyDescent="0.3">
      <c r="A761" s="249">
        <f>KPIs!$E$3</f>
        <v>46266</v>
      </c>
      <c r="B761" s="193" t="str">
        <f>KPIs!E$4</f>
        <v>Compresora</v>
      </c>
      <c r="C761" t="s">
        <v>89</v>
      </c>
      <c r="D761" s="193" t="str">
        <f>KPIs!$A$47</f>
        <v>12 · Cumplimiento de comités y subcomités de seguridad · YTD</v>
      </c>
      <c r="E761" t="s">
        <v>601</v>
      </c>
      <c r="F761" s="193">
        <f>IF(ISNUMBER(KPIs!E47),KPIs!E47,"")</f>
        <v>1</v>
      </c>
      <c r="G761" s="254">
        <f>IF(ISNUMBER(KPIs!$C$47),KPIs!$C$47,"")</f>
        <v>1</v>
      </c>
      <c r="H761" s="193" t="str">
        <f>IFERROR(INDEX(_TARGETS!$E$2:$E$17,MATCH($C761,_TARGETS!$A$2:$A$17,0))&amp;"","")</f>
        <v>≥</v>
      </c>
      <c r="I761" s="193" t="str">
        <f t="shared" si="55"/>
        <v>Sí</v>
      </c>
      <c r="J761" s="193" t="str">
        <f t="shared" si="56"/>
        <v>YTD</v>
      </c>
      <c r="K761" s="193">
        <f>SUMIFS(Datos!$D$26:$AL$26,Datos!$D$3:$AL$3,"&gt;="&amp;DATE(YEAR(Datos!E$3),1,1),Datos!$D$3:$AL$3,"&lt;="&amp;Datos!E$3)</f>
        <v>1</v>
      </c>
      <c r="L761" s="193">
        <f>SUMIFS(Datos!$D$27:$AL$27,Datos!$D$3:$AL$3,"&gt;="&amp;DATE(YEAR(Datos!E$3),1,1),Datos!$D$3:$AL$3,"&lt;="&amp;Datos!E$3)</f>
        <v>1</v>
      </c>
      <c r="M761" s="193">
        <f>INDEX(_TARGETS!$J$2:$J$17,MATCH($C761,_TARGETS!$A$2:$A$17,0))</f>
        <v>1</v>
      </c>
      <c r="N761" s="193" t="str">
        <f>INDEX(_TARGETS!$D$2:$D$17,MATCH($C761,_TARGETS!$A$2:$A$17,0))</f>
        <v>% (fracción)</v>
      </c>
      <c r="O761" s="193" t="str">
        <f>IF(NOT(ISNUMBER(F761)),IF(SUMPRODUCT(($C$2:$C$1300=C761)*($J$2:$J$1300="Monthly")*($A$2:$A$1300&lt;=A761)*(YEAR($A$2:$A$1300)=YEAR(A761))*ISNUMBER($K$2:$K$1300)*ISNUMBER($L$2:$L$1300)*($L$2:$L$1300=0)*($K$2:$K$1300&gt;0))&gt;0,"INCOMPLETE","MISSING"),O35)</f>
        <v>OK</v>
      </c>
      <c r="P761" s="193" t="str">
        <f>INDEX(_TARGETS!$K$2:$K$17,MATCH($C761,_TARGETS!$A$2:$A$17,0))</f>
        <v>OPS (carga manual en Datos)</v>
      </c>
      <c r="Q761" s="193" t="str">
        <f t="shared" si="57"/>
        <v>202609|CCS|YTD</v>
      </c>
      <c r="R761" s="193" t="str">
        <f>INDEX(_TARGETS!$H$2:$H$17,MATCH($C761,_TARGETS!$A$2:$A$17,0))</f>
        <v>Definida</v>
      </c>
      <c r="S761" s="193">
        <f t="shared" si="58"/>
        <v>1</v>
      </c>
      <c r="T761" s="193">
        <f t="shared" si="59"/>
        <v>0</v>
      </c>
    </row>
    <row r="762" spans="1:20" ht="14.25" customHeight="1" x14ac:dyDescent="0.3">
      <c r="A762" s="249">
        <f>KPIs!$E$3</f>
        <v>46266</v>
      </c>
      <c r="B762" s="193" t="str">
        <f>KPIs!E$4</f>
        <v>Compresora</v>
      </c>
      <c r="C762" t="s">
        <v>91</v>
      </c>
      <c r="D762" s="193" t="str">
        <f>KPIs!$A$48</f>
        <v>13 · Días promedio para cerrar hallazgos · YTD</v>
      </c>
      <c r="E762" t="s">
        <v>601</v>
      </c>
      <c r="F762" s="251">
        <f>IF(ISNUMBER(KPIs!E48),KPIs!E48,"")</f>
        <v>1.08823529411765</v>
      </c>
      <c r="G762" s="193" t="str">
        <f>IF(ISNUMBER(KPIs!$C$48),KPIs!$C$48,"")</f>
        <v/>
      </c>
      <c r="H762" s="193" t="str">
        <f>IFERROR(INDEX(_TARGETS!$E$2:$E$17,MATCH($C762,_TARGETS!$A$2:$A$17,0))&amp;"","")</f>
        <v>≤</v>
      </c>
      <c r="I762" s="193" t="str">
        <f t="shared" si="55"/>
        <v/>
      </c>
      <c r="J762" s="193" t="str">
        <f t="shared" si="56"/>
        <v>YTD</v>
      </c>
      <c r="K762" s="193">
        <f>SUMIFS(Datos!$D$68:$AL$68,Datos!$D$3:$AL$3,"&gt;="&amp;DATE(YEAR(Datos!E$3),1,1),Datos!$D$3:$AL$3,"&lt;="&amp;Datos!E$3)</f>
        <v>37</v>
      </c>
      <c r="L762" s="193">
        <f>SUMIFS(Datos!$D$67:$AL$67,Datos!$D$3:$AL$3,"&gt;="&amp;DATE(YEAR(Datos!E$3),1,1),Datos!$D$3:$AL$3,"&lt;="&amp;Datos!E$3)</f>
        <v>34</v>
      </c>
      <c r="M762" s="193">
        <f>INDEX(_TARGETS!$J$2:$J$17,MATCH($C762,_TARGETS!$A$2:$A$17,0))</f>
        <v>1</v>
      </c>
      <c r="N762" s="193" t="str">
        <f>INDEX(_TARGETS!$D$2:$D$17,MATCH($C762,_TARGETS!$A$2:$A$17,0))</f>
        <v>días</v>
      </c>
      <c r="O762" s="193" t="str">
        <f>IF(NOT(ISNUMBER(F762)),IF(SUMPRODUCT(($C$2:$C$1300=C762)*($J$2:$J$1300="Monthly")*($A$2:$A$1300&lt;=A762)*(YEAR($A$2:$A$1300)=YEAR(A762))*ISNUMBER($K$2:$K$1300)*ISNUMBER($L$2:$L$1300)*($L$2:$L$1300=0)*($K$2:$K$1300&gt;0))&gt;0,"INCOMPLETE","MISSING"),O36)</f>
        <v>OK</v>
      </c>
      <c r="P762" s="193" t="str">
        <f>INDEX(_TARGETS!$K$2:$K$17,MATCH($C762,_TARGETS!$A$2:$A$17,0))</f>
        <v>Plant Findings (hoja Observaciones-SMP)</v>
      </c>
      <c r="Q762" s="193" t="str">
        <f t="shared" si="57"/>
        <v>202609|DPAS|YTD</v>
      </c>
      <c r="R762" s="193" t="str">
        <f>INDEX(_TARGETS!$H$2:$H$17,MATCH($C762,_TARGETS!$A$2:$A$17,0))</f>
        <v>Pendiente (meta 2027)</v>
      </c>
      <c r="S762" s="193">
        <f t="shared" si="58"/>
        <v>1.08823529411765</v>
      </c>
      <c r="T762" s="193">
        <f t="shared" si="59"/>
        <v>0</v>
      </c>
    </row>
    <row r="763" spans="1:20" ht="14.25" customHeight="1" x14ac:dyDescent="0.3">
      <c r="A763" s="249">
        <f>KPIs!$E$3</f>
        <v>46266</v>
      </c>
      <c r="B763" s="193" t="str">
        <f>KPIs!E$4</f>
        <v>Compresora</v>
      </c>
      <c r="C763" t="s">
        <v>96</v>
      </c>
      <c r="D763" s="193" t="str">
        <f>KPIs!$A$49</f>
        <v>C1 · % de desvíos detectados de gravedad Alta · YTD</v>
      </c>
      <c r="E763" t="s">
        <v>601</v>
      </c>
      <c r="F763" s="193" t="str">
        <f>IF(ISNUMBER(KPIs!E49),KPIs!E49,"")</f>
        <v/>
      </c>
      <c r="G763" s="193" t="str">
        <f>IF(ISNUMBER(KPIs!$C$49),KPIs!$C$49,"")</f>
        <v/>
      </c>
      <c r="H763" s="193" t="str">
        <f>IFERROR(INDEX(_TARGETS!$E$2:$E$17,MATCH($C763,_TARGETS!$A$2:$A$17,0))&amp;"","")</f>
        <v/>
      </c>
      <c r="I763" s="193" t="str">
        <f t="shared" si="55"/>
        <v/>
      </c>
      <c r="J763" s="193" t="str">
        <f t="shared" si="56"/>
        <v>YTD</v>
      </c>
      <c r="K763" s="193">
        <f>SUMIFS(Datos!$D$71:$AL$71,Datos!$D$3:$AL$3,"&gt;="&amp;DATE(YEAR(Datos!E$3),1,1),Datos!$D$3:$AL$3,"&lt;="&amp;Datos!E$3)</f>
        <v>0</v>
      </c>
      <c r="L763" s="193">
        <f>SUMIFS(Datos!$D$71:$AL$71,Datos!$D$3:$AL$3,"&gt;="&amp;DATE(YEAR(Datos!E$3),1,1),Datos!$D$3:$AL$3,"&lt;="&amp;Datos!E$3)+SUMIFS(Datos!$D$72:$AL$72,Datos!$D$3:$AL$3,"&gt;="&amp;DATE(YEAR(Datos!E$3),1,1),Datos!$D$3:$AL$3,"&lt;="&amp;Datos!E$3)+SUMIFS(Datos!$D$73:$AL$73,Datos!$D$3:$AL$3,"&gt;="&amp;DATE(YEAR(Datos!E$3),1,1),Datos!$D$3:$AL$3,"&lt;="&amp;Datos!E$3)</f>
        <v>0</v>
      </c>
      <c r="M763" s="193">
        <f>INDEX(_TARGETS!$J$2:$J$17,MATCH($C763,_TARGETS!$A$2:$A$17,0))</f>
        <v>1</v>
      </c>
      <c r="N763" s="193" t="str">
        <f>INDEX(_TARGETS!$D$2:$D$17,MATCH($C763,_TARGETS!$A$2:$A$17,0))</f>
        <v>% (fracción)</v>
      </c>
      <c r="O763" s="193" t="str">
        <f t="shared" ref="O763:O769" si="61">IF(NOT(ISNUMBER(F763)),IF(SUMPRODUCT(($C$2:$C$1300=C763)*($J$2:$J$1300="Monthly")*($A$2:$A$1300&lt;=A763)*(YEAR($A$2:$A$1300)=YEAR(A763))*ISNUMBER($K$2:$K$1300)*ISNUMBER($L$2:$L$1300)*($L$2:$L$1300=0)*($K$2:$K$1300&gt;0))&gt;0,"INCOMPLETE","MISSING"),O42)</f>
        <v>MISSING</v>
      </c>
      <c r="P763" s="193" t="str">
        <f>INDEX(_TARGETS!$K$2:$K$17,MATCH($C763,_TARGETS!$A$2:$A$17,0))</f>
        <v>Plant Findings (hoja Observaciones-SMP)</v>
      </c>
      <c r="Q763" s="193" t="str">
        <f t="shared" si="57"/>
        <v>202609|HAL_ALTA_PCT|YTD</v>
      </c>
      <c r="R763" s="193" t="str">
        <f>INDEX(_TARGETS!$H$2:$H$17,MATCH($C763,_TARGETS!$A$2:$A$17,0))</f>
        <v>Solo reporte</v>
      </c>
      <c r="S763" s="193" t="str">
        <f t="shared" si="58"/>
        <v/>
      </c>
      <c r="T763" s="193" t="str">
        <f t="shared" si="59"/>
        <v/>
      </c>
    </row>
    <row r="764" spans="1:20" ht="14.25" customHeight="1" x14ac:dyDescent="0.3">
      <c r="A764" s="249">
        <f>KPIs!$E$3</f>
        <v>46266</v>
      </c>
      <c r="B764" s="193" t="str">
        <f>KPIs!E$4</f>
        <v>Compresora</v>
      </c>
      <c r="C764" t="s">
        <v>98</v>
      </c>
      <c r="D764" s="193" t="str">
        <f>KPIs!$A$50</f>
        <v>C2 · Detenciones de tareas aplicadas · YTD</v>
      </c>
      <c r="E764" t="s">
        <v>601</v>
      </c>
      <c r="F764" s="193">
        <f>IF(ISNUMBER(KPIs!E50),KPIs!E50,"")</f>
        <v>0</v>
      </c>
      <c r="G764" s="193" t="str">
        <f>IF(ISNUMBER(KPIs!$C$50),KPIs!$C$50,"")</f>
        <v/>
      </c>
      <c r="H764" s="193" t="str">
        <f>IFERROR(INDEX(_TARGETS!$E$2:$E$17,MATCH($C764,_TARGETS!$A$2:$A$17,0))&amp;"","")</f>
        <v/>
      </c>
      <c r="I764" s="193" t="str">
        <f t="shared" si="55"/>
        <v/>
      </c>
      <c r="J764" s="193" t="str">
        <f t="shared" si="56"/>
        <v>YTD</v>
      </c>
      <c r="K764" s="193">
        <f>SUMIFS(Datos!$D$75:$AL$75,Datos!$D$3:$AL$3,"&gt;="&amp;DATE(YEAR(Datos!E$3),1,1),Datos!$D$3:$AL$3,"&lt;="&amp;Datos!E$3)</f>
        <v>0</v>
      </c>
      <c r="M764" s="193">
        <f>INDEX(_TARGETS!$J$2:$J$17,MATCH($C764,_TARGETS!$A$2:$A$17,0))</f>
        <v>1</v>
      </c>
      <c r="N764" s="193" t="str">
        <f>INDEX(_TARGETS!$D$2:$D$17,MATCH($C764,_TARGETS!$A$2:$A$17,0))</f>
        <v>u</v>
      </c>
      <c r="O764" s="193" t="str">
        <f t="shared" si="61"/>
        <v>OK</v>
      </c>
      <c r="P764" s="193" t="str">
        <f>INDEX(_TARGETS!$K$2:$K$17,MATCH($C764,_TARGETS!$A$2:$A$17,0))</f>
        <v>Plant Findings (hoja Observaciones-SMP)</v>
      </c>
      <c r="Q764" s="193" t="str">
        <f t="shared" si="57"/>
        <v>202609|DET|YTD</v>
      </c>
      <c r="R764" s="193" t="str">
        <f>INDEX(_TARGETS!$H$2:$H$17,MATCH($C764,_TARGETS!$A$2:$A$17,0))</f>
        <v>Solo reporte</v>
      </c>
      <c r="S764" s="193">
        <f t="shared" si="58"/>
        <v>0</v>
      </c>
      <c r="T764" s="193">
        <f t="shared" si="59"/>
        <v>0</v>
      </c>
    </row>
    <row r="765" spans="1:20" ht="14.25" customHeight="1" x14ac:dyDescent="0.3">
      <c r="A765" s="249">
        <f>KPIs!$F$3</f>
        <v>46296</v>
      </c>
      <c r="B765" s="193" t="str">
        <f>KPIs!F$4</f>
        <v>Compresora</v>
      </c>
      <c r="C765" t="s">
        <v>39</v>
      </c>
      <c r="D765" s="193" t="str">
        <f>KPIs!$A$37</f>
        <v>1 · Frecuencia de casos con días perdidos · YTD</v>
      </c>
      <c r="E765" t="s">
        <v>601</v>
      </c>
      <c r="F765" s="193" t="str">
        <f>IF(ISNUMBER(KPIs!F37),KPIs!F37,"")</f>
        <v/>
      </c>
      <c r="G765" s="250">
        <f>IF(ISNUMBER(KPIs!$C$37),KPIs!$C$37,"")</f>
        <v>0</v>
      </c>
      <c r="H765" s="193" t="str">
        <f>IFERROR(INDEX(_TARGETS!$E$2:$E$17,MATCH($C765,_TARGETS!$A$2:$A$17,0))&amp;"","")</f>
        <v>≤</v>
      </c>
      <c r="I765" s="193" t="str">
        <f t="shared" si="55"/>
        <v/>
      </c>
      <c r="J765" s="193" t="str">
        <f t="shared" si="56"/>
        <v>YTD</v>
      </c>
      <c r="K765" s="193">
        <f>SUMIFS(Datos!$D$33:$AL$33,Datos!$D$3:$AL$3,"&gt;="&amp;DATE(YEAR(Datos!F$3),1,1),Datos!$D$3:$AL$3,"&lt;="&amp;Datos!F$3)</f>
        <v>0</v>
      </c>
      <c r="L765" s="193">
        <f>SUMIFS(Datos!$D$14:$AL$14,Datos!$D$3:$AL$3,"&gt;="&amp;DATE(YEAR(Datos!F$3),1,1),Datos!$D$3:$AL$3,"&lt;="&amp;Datos!F$3)</f>
        <v>48332</v>
      </c>
      <c r="M765" s="193">
        <f>INDEX(_TARGETS!$J$2:$J$17,MATCH($C765,_TARGETS!$A$2:$A$17,0))</f>
        <v>1000000</v>
      </c>
      <c r="N765" s="193" t="str">
        <f>INDEX(_TARGETS!$D$2:$D$17,MATCH($C765,_TARGETS!$A$2:$A$17,0))</f>
        <v>casos / 10^6 HH</v>
      </c>
      <c r="O765" s="193" t="str">
        <f t="shared" si="61"/>
        <v>MISSING</v>
      </c>
      <c r="P765" s="193" t="str">
        <f>INDEX(_TARGETS!$K$2:$K$17,MATCH($C765,_TARGETS!$A$2:$A$17,0))</f>
        <v>OPS (carga manual en Datos)</v>
      </c>
      <c r="Q765" s="193" t="str">
        <f t="shared" si="57"/>
        <v>202610|DAFWCF|YTD</v>
      </c>
      <c r="R765" s="193" t="str">
        <f>INDEX(_TARGETS!$H$2:$H$17,MATCH($C765,_TARGETS!$A$2:$A$17,0))</f>
        <v>Definida</v>
      </c>
      <c r="S765" s="193">
        <f t="shared" si="58"/>
        <v>0</v>
      </c>
      <c r="T765" s="193" t="str">
        <f t="shared" si="59"/>
        <v/>
      </c>
    </row>
    <row r="766" spans="1:20" ht="14.25" customHeight="1" x14ac:dyDescent="0.3">
      <c r="A766" s="249">
        <f>KPIs!$F$3</f>
        <v>46296</v>
      </c>
      <c r="B766" s="193" t="str">
        <f>KPIs!F$4</f>
        <v>Compresora</v>
      </c>
      <c r="C766" t="s">
        <v>49</v>
      </c>
      <c r="D766" s="193" t="str">
        <f>KPIs!$A$38</f>
        <v>2 · Frecuencia de casos registrables · YTD</v>
      </c>
      <c r="E766" t="s">
        <v>601</v>
      </c>
      <c r="F766" s="193" t="str">
        <f>IF(ISNUMBER(KPIs!F38),KPIs!F38,"")</f>
        <v/>
      </c>
      <c r="G766" s="250">
        <f>IF(ISNUMBER(KPIs!$C$38),KPIs!$C$38,"")</f>
        <v>2.35</v>
      </c>
      <c r="H766" s="193" t="str">
        <f>IFERROR(INDEX(_TARGETS!$E$2:$E$17,MATCH($C766,_TARGETS!$A$2:$A$17,0))&amp;"","")</f>
        <v>≤</v>
      </c>
      <c r="I766" s="193" t="str">
        <f t="shared" si="55"/>
        <v/>
      </c>
      <c r="J766" s="193" t="str">
        <f t="shared" si="56"/>
        <v>YTD</v>
      </c>
      <c r="K766" s="193">
        <f>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f>
        <v>0</v>
      </c>
      <c r="L766" s="193">
        <f>SUMIFS(Datos!$D$14:$AL$14,Datos!$D$3:$AL$3,"&gt;="&amp;DATE(YEAR(Datos!F$3),1,1),Datos!$D$3:$AL$3,"&lt;="&amp;Datos!F$3)</f>
        <v>48332</v>
      </c>
      <c r="M766" s="193">
        <f>INDEX(_TARGETS!$J$2:$J$17,MATCH($C766,_TARGETS!$A$2:$A$17,0))</f>
        <v>1000000</v>
      </c>
      <c r="N766" s="193" t="str">
        <f>INDEX(_TARGETS!$D$2:$D$17,MATCH($C766,_TARGETS!$A$2:$A$17,0))</f>
        <v>casos / 10^6 HH</v>
      </c>
      <c r="O766" s="193" t="str">
        <f t="shared" si="61"/>
        <v>MISSING</v>
      </c>
      <c r="P766" s="193" t="str">
        <f>INDEX(_TARGETS!$K$2:$K$17,MATCH($C766,_TARGETS!$A$2:$A$17,0))</f>
        <v>OPS (carga manual en Datos)</v>
      </c>
      <c r="Q766" s="193" t="str">
        <f t="shared" si="57"/>
        <v>202610|TRICF|YTD</v>
      </c>
      <c r="R766" s="193" t="str">
        <f>INDEX(_TARGETS!$H$2:$H$17,MATCH($C766,_TARGETS!$A$2:$A$17,0))</f>
        <v>Definida</v>
      </c>
      <c r="S766" s="193">
        <f t="shared" si="58"/>
        <v>0</v>
      </c>
      <c r="T766" s="193" t="str">
        <f t="shared" si="59"/>
        <v/>
      </c>
    </row>
    <row r="767" spans="1:20" ht="14.25" customHeight="1" x14ac:dyDescent="0.3">
      <c r="A767" s="249">
        <f>KPIs!$F$3</f>
        <v>46296</v>
      </c>
      <c r="B767" s="193" t="str">
        <f>KPIs!F$4</f>
        <v>Compresora</v>
      </c>
      <c r="C767" t="s">
        <v>51</v>
      </c>
      <c r="D767" s="193" t="str">
        <f>KPIs!$A$39</f>
        <v>3 · Casos de primeros auxilios · YTD</v>
      </c>
      <c r="E767" t="s">
        <v>601</v>
      </c>
      <c r="F767" s="193" t="str">
        <f>IF(ISNUMBER(KPIs!F39),KPIs!F39,"")</f>
        <v/>
      </c>
      <c r="G767" s="193" t="str">
        <f>IF(ISNUMBER(KPIs!$C$39),KPIs!$C$39,"")</f>
        <v/>
      </c>
      <c r="H767" s="193" t="str">
        <f>IFERROR(INDEX(_TARGETS!$E$2:$E$17,MATCH($C767,_TARGETS!$A$2:$A$17,0))&amp;"","")</f>
        <v/>
      </c>
      <c r="I767" s="193" t="str">
        <f t="shared" si="55"/>
        <v/>
      </c>
      <c r="J767" s="193" t="str">
        <f t="shared" si="56"/>
        <v>YTD</v>
      </c>
      <c r="K767" s="193">
        <f>SUMIFS(Datos!$D$37:$AL$37,Datos!$D$3:$AL$3,"&gt;="&amp;DATE(YEAR(Datos!F$3),1,1),Datos!$D$3:$AL$3,"&lt;="&amp;Datos!F$3)</f>
        <v>0</v>
      </c>
      <c r="M767" s="193">
        <f>INDEX(_TARGETS!$J$2:$J$17,MATCH($C767,_TARGETS!$A$2:$A$17,0))</f>
        <v>1</v>
      </c>
      <c r="N767" s="193" t="str">
        <f>INDEX(_TARGETS!$D$2:$D$17,MATCH($C767,_TARGETS!$A$2:$A$17,0))</f>
        <v>casos</v>
      </c>
      <c r="O767" s="193" t="str">
        <f t="shared" si="61"/>
        <v>MISSING</v>
      </c>
      <c r="P767" s="193" t="str">
        <f>INDEX(_TARGETS!$K$2:$K$17,MATCH($C767,_TARGETS!$A$2:$A$17,0))</f>
        <v>OPS (carga manual en Datos)</v>
      </c>
      <c r="Q767" s="193" t="str">
        <f t="shared" si="57"/>
        <v>202610|FAC|YTD</v>
      </c>
      <c r="R767" s="193" t="str">
        <f>INDEX(_TARGETS!$H$2:$H$17,MATCH($C767,_TARGETS!$A$2:$A$17,0))</f>
        <v>Solo reporte</v>
      </c>
      <c r="S767" s="193">
        <f t="shared" si="58"/>
        <v>0</v>
      </c>
      <c r="T767" s="193" t="str">
        <f t="shared" si="59"/>
        <v/>
      </c>
    </row>
    <row r="768" spans="1:20" ht="14.25" customHeight="1" x14ac:dyDescent="0.3">
      <c r="A768" s="249">
        <f>KPIs!$F$3</f>
        <v>46296</v>
      </c>
      <c r="B768" s="193" t="str">
        <f>KPIs!F$4</f>
        <v>Compresora</v>
      </c>
      <c r="C768" t="s">
        <v>57</v>
      </c>
      <c r="D768" s="193" t="str">
        <f>KPIs!$A$40</f>
        <v>4 · Accidentes vehiculares severos por millón de km · YTD</v>
      </c>
      <c r="E768" t="s">
        <v>601</v>
      </c>
      <c r="F768" s="193" t="str">
        <f>IF(ISNUMBER(KPIs!F40),KPIs!F40,"")</f>
        <v/>
      </c>
      <c r="G768" s="193" t="str">
        <f>IF(ISNUMBER(KPIs!$C$40),KPIs!$C$40,"")</f>
        <v/>
      </c>
      <c r="H768" s="193" t="str">
        <f>IFERROR(INDEX(_TARGETS!$E$2:$E$17,MATCH($C768,_TARGETS!$A$2:$A$17,0))&amp;"","")</f>
        <v/>
      </c>
      <c r="I768" s="193" t="str">
        <f t="shared" si="55"/>
        <v/>
      </c>
      <c r="J768" s="193" t="str">
        <f t="shared" si="56"/>
        <v>YTD</v>
      </c>
      <c r="K768" s="193">
        <f>SUMIFS(Datos!$D$39:$AL$39,Datos!$D$3:$AL$3,"&gt;="&amp;DATE(YEAR(Datos!F$3),1,1),Datos!$D$3:$AL$3,"&lt;="&amp;Datos!F$3)+SUMIFS(Datos!$D$40:$AL$40,Datos!$D$3:$AL$3,"&gt;="&amp;DATE(YEAR(Datos!F$3),1,1),Datos!$D$3:$AL$3,"&lt;="&amp;Datos!F$3)+SUMIFS(Datos!$D$41:$AL$41,Datos!$D$3:$AL$3,"&gt;="&amp;DATE(YEAR(Datos!F$3),1,1),Datos!$D$3:$AL$3,"&lt;="&amp;Datos!F$3)</f>
        <v>0</v>
      </c>
      <c r="L768" s="193">
        <f>SUMIFS(Datos!$D$47:$AL$47,Datos!$D$3:$AL$3,"&gt;="&amp;DATE(YEAR(Datos!F$3),1,1),Datos!$D$3:$AL$3,"&lt;="&amp;Datos!F$3)</f>
        <v>172824</v>
      </c>
      <c r="M768" s="193">
        <f>INDEX(_TARGETS!$J$2:$J$17,MATCH($C768,_TARGETS!$A$2:$A$17,0))</f>
        <v>1000000</v>
      </c>
      <c r="N768" s="193" t="str">
        <f>INDEX(_TARGETS!$D$2:$D$17,MATCH($C768,_TARGETS!$A$2:$A$17,0))</f>
        <v>eventos / 10^6 km</v>
      </c>
      <c r="O768" s="193" t="str">
        <f t="shared" si="61"/>
        <v>MISSING</v>
      </c>
      <c r="P768" s="193" t="str">
        <f>INDEX(_TARGETS!$K$2:$K$17,MATCH($C768,_TARGETS!$A$2:$A$17,0))</f>
        <v>OPS (eventos) + Full Control GPS (km) - carga manual en Datos</v>
      </c>
      <c r="Q768" s="193" t="str">
        <f t="shared" si="57"/>
        <v>202610|SVCR|YTD</v>
      </c>
      <c r="R768" s="193" t="str">
        <f>INDEX(_TARGETS!$H$2:$H$17,MATCH($C768,_TARGETS!$A$2:$A$17,0))</f>
        <v>Solo reporte</v>
      </c>
      <c r="S768" s="193">
        <f t="shared" si="58"/>
        <v>0</v>
      </c>
      <c r="T768" s="193" t="str">
        <f t="shared" si="59"/>
        <v/>
      </c>
    </row>
    <row r="769" spans="1:20" ht="14.25" customHeight="1" x14ac:dyDescent="0.3">
      <c r="A769" s="249">
        <f>KPIs!$F$3</f>
        <v>46296</v>
      </c>
      <c r="B769" s="193" t="str">
        <f>KPIs!F$4</f>
        <v>Compresora</v>
      </c>
      <c r="C769" t="s">
        <v>61</v>
      </c>
      <c r="D769" s="193" t="str">
        <f>KPIs!$A$41</f>
        <v>5 · Accidentes vehiculares totales por millón de km · YTD</v>
      </c>
      <c r="E769" t="s">
        <v>601</v>
      </c>
      <c r="F769" s="193" t="str">
        <f>IF(ISNUMBER(KPIs!F41),KPIs!F41,"")</f>
        <v/>
      </c>
      <c r="G769" s="250">
        <f>IF(ISNUMBER(KPIs!$C$41),KPIs!$C$41,"")</f>
        <v>0.79</v>
      </c>
      <c r="H769" s="193" t="str">
        <f>IFERROR(INDEX(_TARGETS!$E$2:$E$17,MATCH($C769,_TARGETS!$A$2:$A$17,0))&amp;"","")</f>
        <v>≤</v>
      </c>
      <c r="I769" s="193" t="str">
        <f t="shared" si="55"/>
        <v/>
      </c>
      <c r="J769" s="193" t="str">
        <f t="shared" si="56"/>
        <v>YTD</v>
      </c>
      <c r="K769" s="193">
        <f>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f>
        <v>0</v>
      </c>
      <c r="L769" s="193">
        <f>SUMIFS(Datos!$D$47:$AL$47,Datos!$D$3:$AL$3,"&gt;="&amp;DATE(YEAR(Datos!F$3),1,1),Datos!$D$3:$AL$3,"&lt;="&amp;Datos!F$3)</f>
        <v>172824</v>
      </c>
      <c r="M769" s="193">
        <f>INDEX(_TARGETS!$J$2:$J$17,MATCH($C769,_TARGETS!$A$2:$A$17,0))</f>
        <v>1000000</v>
      </c>
      <c r="N769" s="193" t="str">
        <f>INDEX(_TARGETS!$D$2:$D$17,MATCH($C769,_TARGETS!$A$2:$A$17,0))</f>
        <v>eventos / 10^6 km</v>
      </c>
      <c r="O769" s="193" t="str">
        <f t="shared" si="61"/>
        <v>MISSING</v>
      </c>
      <c r="P769" s="193" t="str">
        <f>INDEX(_TARGETS!$K$2:$K$17,MATCH($C769,_TARGETS!$A$2:$A$17,0))</f>
        <v>OPS (eventos) + Full Control GPS (km) - carga manual en Datos</v>
      </c>
      <c r="Q769" s="193" t="str">
        <f t="shared" si="57"/>
        <v>202610|TVCR|YTD</v>
      </c>
      <c r="R769" s="193" t="str">
        <f>INDEX(_TARGETS!$H$2:$H$17,MATCH($C769,_TARGETS!$A$2:$A$17,0))</f>
        <v>Definida</v>
      </c>
      <c r="S769" s="193">
        <f t="shared" si="58"/>
        <v>0</v>
      </c>
      <c r="T769" s="193" t="str">
        <f t="shared" si="59"/>
        <v/>
      </c>
    </row>
    <row r="770" spans="1:20" ht="14.25" customHeight="1" x14ac:dyDescent="0.3">
      <c r="A770" s="249">
        <f>KPIs!$F$3</f>
        <v>46296</v>
      </c>
      <c r="B770" s="193" t="str">
        <f>KPIs!F$4</f>
        <v>Compresora</v>
      </c>
      <c r="C770" t="s">
        <v>71</v>
      </c>
      <c r="D770" s="193" t="str">
        <f>KPIs!$A$42</f>
        <v>7 · Investigaciones de accidentes: días promedio de cierre · YTD</v>
      </c>
      <c r="E770" t="s">
        <v>601</v>
      </c>
      <c r="F770" s="193" t="str">
        <f>IF(ISNUMBER(KPIs!F42),KPIs!F42,"")</f>
        <v/>
      </c>
      <c r="G770" s="251">
        <f>IF(ISNUMBER(KPIs!$C$42),KPIs!$C$42,"")</f>
        <v>20</v>
      </c>
      <c r="H770" s="193" t="str">
        <f>IFERROR(INDEX(_TARGETS!$E$2:$E$17,MATCH($C770,_TARGETS!$A$2:$A$17,0))&amp;"","")</f>
        <v>≤</v>
      </c>
      <c r="I770" s="193" t="str">
        <f t="shared" ref="I770:I833" si="62">IF(OR(H770="",F770="",G770=""),"",IF(IF(H770="≤",F770&lt;=G770,F770&gt;=G770),"Sí","No"))</f>
        <v/>
      </c>
      <c r="J770" s="193" t="str">
        <f t="shared" ref="J770:J833" si="63">IF(E770="Mensual","Monthly",IF(E770="Acumulado","Cumulative",E770))</f>
        <v>YTD</v>
      </c>
      <c r="K770" s="193">
        <f>SUMIFS(Datos!$D$31:$AL$31,Datos!$D$3:$AL$3,"&gt;="&amp;DATE(YEAR(Datos!F$3),1,1),Datos!$D$3:$AL$3,"&lt;="&amp;Datos!F$3)</f>
        <v>0</v>
      </c>
      <c r="L770" s="193">
        <f>SUMIFS(Datos!$D$30:$AL$30,Datos!$D$3:$AL$3,"&gt;="&amp;DATE(YEAR(Datos!F$3),1,1),Datos!$D$3:$AL$3,"&lt;="&amp;Datos!F$3)</f>
        <v>0</v>
      </c>
      <c r="M770" s="193">
        <f>INDEX(_TARGETS!$J$2:$J$17,MATCH($C770,_TARGETS!$A$2:$A$17,0))</f>
        <v>1</v>
      </c>
      <c r="N770" s="193" t="str">
        <f>INDEX(_TARGETS!$D$2:$D$17,MATCH($C770,_TARGETS!$A$2:$A$17,0))</f>
        <v>días</v>
      </c>
      <c r="O770" s="193" t="str">
        <f>IF(NOT(ISNUMBER(F770)),IF(SUMPRODUCT(($C$2:$C$1300=C770)*($J$2:$J$1300="Monthly")*($A$2:$A$1300&lt;=A770)*(YEAR($A$2:$A$1300)=YEAR(A770))*ISNUMBER($K$2:$K$1300)*ISNUMBER($L$2:$L$1300)*($L$2:$L$1300=0)*($K$2:$K$1300&gt;0))&gt;0,"INCOMPLETE","MISSING"),O50)</f>
        <v>MISSING</v>
      </c>
      <c r="P770" s="193" t="str">
        <f>INDEX(_TARGETS!$K$2:$K$17,MATCH($C770,_TARGETS!$A$2:$A$17,0))</f>
        <v>OPS (carga manual en Datos)</v>
      </c>
      <c r="Q770" s="193" t="str">
        <f t="shared" ref="Q770:Q833" si="64">YEAR(A770)*100+MONTH(A770)&amp;"|"&amp;C770&amp;"|"&amp;J770</f>
        <v>202610|INV|YTD</v>
      </c>
      <c r="R770" s="193" t="str">
        <f>INDEX(_TARGETS!$H$2:$H$17,MATCH($C770,_TARGETS!$A$2:$A$17,0))</f>
        <v>Definida</v>
      </c>
      <c r="S770" s="193" t="str">
        <f t="shared" ref="S770:S833" si="65">IF(AND(ISNUMBER(K770),ISNUMBER(L770)),IF(L770=0,"",K770*M770/L770),IF(ISNUMBER(K770),K770*M770,""))</f>
        <v/>
      </c>
      <c r="T770" s="193" t="str">
        <f t="shared" ref="T770:T833" si="66">IF(AND(ISNUMBER(F770),ISNUMBER(S770)),ABS(F770-S770),"")</f>
        <v/>
      </c>
    </row>
    <row r="771" spans="1:20" ht="14.25" customHeight="1" x14ac:dyDescent="0.3">
      <c r="A771" s="249">
        <f>KPIs!$F$3</f>
        <v>46296</v>
      </c>
      <c r="B771" s="193" t="str">
        <f>KPIs!F$4</f>
        <v>Compresora</v>
      </c>
      <c r="C771" t="s">
        <v>76</v>
      </c>
      <c r="D771" s="193" t="str">
        <f>KPIs!$A$43</f>
        <v>8 · % de capacitación en seguridad · YTD</v>
      </c>
      <c r="E771" t="s">
        <v>601</v>
      </c>
      <c r="F771" s="193" t="str">
        <f>IF(ISNUMBER(KPIs!F43),KPIs!F43,"")</f>
        <v/>
      </c>
      <c r="G771" s="252">
        <f>IF(ISNUMBER(KPIs!$C$43),KPIs!$C$43,"")</f>
        <v>0.01</v>
      </c>
      <c r="H771" s="193" t="str">
        <f>IFERROR(INDEX(_TARGETS!$E$2:$E$17,MATCH($C771,_TARGETS!$A$2:$A$17,0))&amp;"","")</f>
        <v>≥</v>
      </c>
      <c r="I771" s="193" t="str">
        <f t="shared" si="62"/>
        <v/>
      </c>
      <c r="J771" s="193" t="str">
        <f t="shared" si="63"/>
        <v>YTD</v>
      </c>
      <c r="K771" s="193">
        <f>SUMIFS(Datos!$D$18:$AL$18,Datos!$D$3:$AL$3,"&gt;="&amp;DATE(YEAR(Datos!F$3),1,1),Datos!$D$3:$AL$3,"&lt;="&amp;Datos!F$3)</f>
        <v>2151</v>
      </c>
      <c r="L771" s="193">
        <f>SUMIFS(Datos!$D$14:$AL$14,Datos!$D$3:$AL$3,"&gt;="&amp;DATE(YEAR(Datos!F$3),1,1),Datos!$D$3:$AL$3,"&lt;="&amp;Datos!F$3)</f>
        <v>48332</v>
      </c>
      <c r="M771" s="193">
        <f>INDEX(_TARGETS!$J$2:$J$17,MATCH($C771,_TARGETS!$A$2:$A$17,0))</f>
        <v>1</v>
      </c>
      <c r="N771" s="193" t="str">
        <f>INDEX(_TARGETS!$D$2:$D$17,MATCH($C771,_TARGETS!$A$2:$A$17,0))</f>
        <v>% (fracción)</v>
      </c>
      <c r="O771" s="193" t="str">
        <f>IF(NOT(ISNUMBER(F771)),IF(SUMPRODUCT(($C$2:$C$1300=C771)*($J$2:$J$1300="Monthly")*($A$2:$A$1300&lt;=A771)*(YEAR($A$2:$A$1300)=YEAR(A771))*ISNUMBER($K$2:$K$1300)*ISNUMBER($L$2:$L$1300)*($L$2:$L$1300=0)*($K$2:$K$1300&gt;0))&gt;0,"INCOMPLETE","MISSING"),O51)</f>
        <v>MISSING</v>
      </c>
      <c r="P771" s="193" t="str">
        <f>INDEX(_TARGETS!$K$2:$K$17,MATCH($C771,_TARGETS!$A$2:$A$17,0))</f>
        <v>OPS (carga manual en Datos)</v>
      </c>
      <c r="Q771" s="193" t="str">
        <f t="shared" si="64"/>
        <v>202610|HCS|YTD</v>
      </c>
      <c r="R771" s="193" t="str">
        <f>INDEX(_TARGETS!$H$2:$H$17,MATCH($C771,_TARGETS!$A$2:$A$17,0))</f>
        <v>Definida</v>
      </c>
      <c r="S771" s="193">
        <f t="shared" si="65"/>
        <v>0.0445046759910618</v>
      </c>
      <c r="T771" s="193" t="str">
        <f t="shared" si="66"/>
        <v/>
      </c>
    </row>
    <row r="772" spans="1:20" ht="14.25" customHeight="1" x14ac:dyDescent="0.3">
      <c r="A772" s="249">
        <f>KPIs!$F$3</f>
        <v>46296</v>
      </c>
      <c r="B772" s="193" t="str">
        <f>KPIs!F$4</f>
        <v>Compresora</v>
      </c>
      <c r="C772" t="s">
        <v>83</v>
      </c>
      <c r="D772" s="193" t="str">
        <f>KPIs!$A$44</f>
        <v>10 · Cumplimiento de simulacros (emergencia y operativos) · YTD</v>
      </c>
      <c r="E772" t="s">
        <v>601</v>
      </c>
      <c r="F772" s="193" t="str">
        <f>IF(ISNUMBER(KPIs!F44),KPIs!F44,"")</f>
        <v/>
      </c>
      <c r="G772" s="253">
        <f>IF(ISNUMBER(KPIs!$C$44),KPIs!$C$44,"")</f>
        <v>1</v>
      </c>
      <c r="H772" s="193" t="str">
        <f>IFERROR(INDEX(_TARGETS!$E$2:$E$17,MATCH($C772,_TARGETS!$A$2:$A$17,0))&amp;"","")</f>
        <v>≥</v>
      </c>
      <c r="I772" s="193" t="str">
        <f t="shared" si="62"/>
        <v/>
      </c>
      <c r="J772" s="193" t="str">
        <f t="shared" si="63"/>
        <v>YTD</v>
      </c>
      <c r="K772" s="193">
        <f>SUMIFS(Datos!$D$20:$AL$20,Datos!$D$3:$AL$3,"&gt;="&amp;DATE(YEAR(Datos!F$3),1,1),Datos!$D$3:$AL$3,"&lt;="&amp;Datos!F$3)</f>
        <v>3</v>
      </c>
      <c r="L772" s="193">
        <f>SUMIFS(Datos!$D$21:$AL$21,Datos!$D$3:$AL$3,"&gt;="&amp;DATE(YEAR(Datos!F$3),1,1),Datos!$D$3:$AL$3,"&lt;="&amp;Datos!F$3)</f>
        <v>3</v>
      </c>
      <c r="M772" s="193">
        <f>INDEX(_TARGETS!$J$2:$J$17,MATCH($C772,_TARGETS!$A$2:$A$17,0))</f>
        <v>1</v>
      </c>
      <c r="N772" s="193" t="str">
        <f>INDEX(_TARGETS!$D$2:$D$17,MATCH($C772,_TARGETS!$A$2:$A$17,0))</f>
        <v>% (fracción)</v>
      </c>
      <c r="O772" s="193" t="str">
        <f>IF(NOT(ISNUMBER(F772)),IF(SUMPRODUCT(($C$2:$C$1300=C772)*($J$2:$J$1300="Monthly")*($A$2:$A$1300&lt;=A772)*(YEAR($A$2:$A$1300)=YEAR(A772))*ISNUMBER($K$2:$K$1300)*ISNUMBER($L$2:$L$1300)*($L$2:$L$1300=0)*($K$2:$K$1300&gt;0))&gt;0,"INCOMPLETE","MISSING"),O53)</f>
        <v>MISSING</v>
      </c>
      <c r="P772" s="193" t="str">
        <f>INDEX(_TARGETS!$K$2:$K$17,MATCH($C772,_TARGETS!$A$2:$A$17,0))</f>
        <v>OPS (carga manual en Datos)</v>
      </c>
      <c r="Q772" s="193" t="str">
        <f t="shared" si="64"/>
        <v>202610|CPSE|YTD</v>
      </c>
      <c r="R772" s="193" t="str">
        <f>INDEX(_TARGETS!$H$2:$H$17,MATCH($C772,_TARGETS!$A$2:$A$17,0))</f>
        <v>Definida</v>
      </c>
      <c r="S772" s="193">
        <f t="shared" si="65"/>
        <v>1</v>
      </c>
      <c r="T772" s="193" t="str">
        <f t="shared" si="66"/>
        <v/>
      </c>
    </row>
    <row r="773" spans="1:20" ht="14.25" customHeight="1" x14ac:dyDescent="0.3">
      <c r="A773" s="249">
        <f>KPIs!$F$3</f>
        <v>46296</v>
      </c>
      <c r="B773" s="193" t="str">
        <f>KPIs!F$4</f>
        <v>Compresora</v>
      </c>
      <c r="C773" t="s">
        <v>85</v>
      </c>
      <c r="D773" s="193" t="str">
        <f>KPIs!$A$45</f>
        <v>10b · Cumplimiento de acciones de mejora de simulacros · YTD</v>
      </c>
      <c r="E773" t="s">
        <v>601</v>
      </c>
      <c r="F773" s="193" t="str">
        <f>IF(ISNUMBER(KPIs!F45),KPIs!F45,"")</f>
        <v/>
      </c>
      <c r="G773" s="254" t="str">
        <f>IF(ISNUMBER(KPIs!$C$45),KPIs!$C$45,"")</f>
        <v/>
      </c>
      <c r="H773" s="193" t="str">
        <f>IFERROR(INDEX(_TARGETS!$E$2:$E$17,MATCH($C773,_TARGETS!$A$2:$A$17,0))&amp;"","")</f>
        <v/>
      </c>
      <c r="I773" s="193" t="str">
        <f t="shared" si="62"/>
        <v/>
      </c>
      <c r="J773" s="193" t="str">
        <f t="shared" si="63"/>
        <v>YTD</v>
      </c>
      <c r="K773" s="193">
        <f>SUMIFS(Datos!$D$23:$AL$23,Datos!$D$3:$AL$3,"&gt;="&amp;DATE(YEAR(Datos!F$3),1,1),Datos!$D$3:$AL$3,"&lt;="&amp;Datos!F$3)</f>
        <v>1</v>
      </c>
      <c r="L773" s="193">
        <f>SUMIFS(Datos!$D$22:$AL$22,Datos!$D$3:$AL$3,"&gt;="&amp;DATE(YEAR(Datos!F$3),1,1),Datos!$D$3:$AL$3,"&lt;="&amp;Datos!F$3)</f>
        <v>1</v>
      </c>
      <c r="M773" s="193">
        <f>INDEX(_TARGETS!$J$2:$J$17,MATCH($C773,_TARGETS!$A$2:$A$17,0))</f>
        <v>1</v>
      </c>
      <c r="N773" s="193" t="str">
        <f>INDEX(_TARGETS!$D$2:$D$17,MATCH($C773,_TARGETS!$A$2:$A$17,0))</f>
        <v>% (fracción)</v>
      </c>
      <c r="O773" s="193" t="str">
        <f>IF(NOT(ISNUMBER(F773)),IF(SUMPRODUCT(($C$2:$C$1300=C773)*($J$2:$J$1300="Monthly")*($A$2:$A$1300&lt;=A773)*(YEAR($A$2:$A$1300)=YEAR(A773))*ISNUMBER($K$2:$K$1300)*ISNUMBER($L$2:$L$1300)*($L$2:$L$1300=0)*($K$2:$K$1300&gt;0))&gt;0,"INCOMPLETE","MISSING"),O54)</f>
        <v>MISSING</v>
      </c>
      <c r="P773" s="193" t="str">
        <f>INDEX(_TARGETS!$K$2:$K$17,MATCH($C773,_TARGETS!$A$2:$A$17,0))</f>
        <v>OPS (carga manual en Datos)</v>
      </c>
      <c r="Q773" s="193" t="str">
        <f t="shared" si="64"/>
        <v>202610|CAMS|YTD</v>
      </c>
      <c r="R773" s="193" t="str">
        <f>INDEX(_TARGETS!$H$2:$H$17,MATCH($C773,_TARGETS!$A$2:$A$17,0))</f>
        <v>Solo reporte</v>
      </c>
      <c r="S773" s="193">
        <f t="shared" si="65"/>
        <v>1</v>
      </c>
      <c r="T773" s="193" t="str">
        <f t="shared" si="66"/>
        <v/>
      </c>
    </row>
    <row r="774" spans="1:20" ht="14.25" customHeight="1" x14ac:dyDescent="0.3">
      <c r="A774" s="249">
        <f>KPIs!$F$3</f>
        <v>46296</v>
      </c>
      <c r="B774" s="193" t="str">
        <f>KPIs!F$4</f>
        <v>Compresora</v>
      </c>
      <c r="C774" t="s">
        <v>87</v>
      </c>
      <c r="D774" s="193" t="str">
        <f>KPIs!$A$46</f>
        <v>11 · Cumplimiento de caminatas gerenciales · YTD</v>
      </c>
      <c r="E774" t="s">
        <v>601</v>
      </c>
      <c r="F774" s="193" t="str">
        <f>IF(ISNUMBER(KPIs!F46),KPIs!F46,"")</f>
        <v/>
      </c>
      <c r="G774" s="254">
        <f>IF(ISNUMBER(KPIs!$C$46),KPIs!$C$46,"")</f>
        <v>1</v>
      </c>
      <c r="H774" s="193" t="str">
        <f>IFERROR(INDEX(_TARGETS!$E$2:$E$17,MATCH($C774,_TARGETS!$A$2:$A$17,0))&amp;"","")</f>
        <v>≥</v>
      </c>
      <c r="I774" s="193" t="str">
        <f t="shared" si="62"/>
        <v/>
      </c>
      <c r="J774" s="193" t="str">
        <f t="shared" si="63"/>
        <v>YTD</v>
      </c>
      <c r="K774" s="193">
        <f>SUMIFS(Datos!$D$24:$AL$24,Datos!$D$3:$AL$3,"&gt;="&amp;DATE(YEAR(Datos!F$3),1,1),Datos!$D$3:$AL$3,"&lt;="&amp;Datos!F$3)</f>
        <v>3</v>
      </c>
      <c r="L774" s="193">
        <f>SUMIFS(Datos!$D$25:$AL$25,Datos!$D$3:$AL$3,"&gt;="&amp;DATE(YEAR(Datos!F$3),1,1),Datos!$D$3:$AL$3,"&lt;="&amp;Datos!F$3)</f>
        <v>3</v>
      </c>
      <c r="M774" s="193">
        <f>INDEX(_TARGETS!$J$2:$J$17,MATCH($C774,_TARGETS!$A$2:$A$17,0))</f>
        <v>1</v>
      </c>
      <c r="N774" s="193" t="str">
        <f>INDEX(_TARGETS!$D$2:$D$17,MATCH($C774,_TARGETS!$A$2:$A$17,0))</f>
        <v>% (fracción)</v>
      </c>
      <c r="O774" s="193" t="str">
        <f>IF(NOT(ISNUMBER(F774)),IF(SUMPRODUCT(($C$2:$C$1300=C774)*($J$2:$J$1300="Monthly")*($A$2:$A$1300&lt;=A774)*(YEAR($A$2:$A$1300)=YEAR(A774))*ISNUMBER($K$2:$K$1300)*ISNUMBER($L$2:$L$1300)*($L$2:$L$1300=0)*($K$2:$K$1300&gt;0))&gt;0,"INCOMPLETE","MISSING"),O55)</f>
        <v>MISSING</v>
      </c>
      <c r="P774" s="193" t="str">
        <f>INDEX(_TARGETS!$K$2:$K$17,MATCH($C774,_TARGETS!$A$2:$A$17,0))</f>
        <v>OPS (carga manual en Datos)</v>
      </c>
      <c r="Q774" s="193" t="str">
        <f t="shared" si="64"/>
        <v>202610|ICCS|YTD</v>
      </c>
      <c r="R774" s="193" t="str">
        <f>INDEX(_TARGETS!$H$2:$H$17,MATCH($C774,_TARGETS!$A$2:$A$17,0))</f>
        <v>Definida</v>
      </c>
      <c r="S774" s="193">
        <f t="shared" si="65"/>
        <v>1</v>
      </c>
      <c r="T774" s="193" t="str">
        <f t="shared" si="66"/>
        <v/>
      </c>
    </row>
    <row r="775" spans="1:20" ht="14.25" customHeight="1" x14ac:dyDescent="0.3">
      <c r="A775" s="249">
        <f>KPIs!$F$3</f>
        <v>46296</v>
      </c>
      <c r="B775" s="193" t="str">
        <f>KPIs!F$4</f>
        <v>Compresora</v>
      </c>
      <c r="C775" t="s">
        <v>89</v>
      </c>
      <c r="D775" s="193" t="str">
        <f>KPIs!$A$47</f>
        <v>12 · Cumplimiento de comités y subcomités de seguridad · YTD</v>
      </c>
      <c r="E775" t="s">
        <v>601</v>
      </c>
      <c r="F775" s="193" t="str">
        <f>IF(ISNUMBER(KPIs!F47),KPIs!F47,"")</f>
        <v/>
      </c>
      <c r="G775" s="254">
        <f>IF(ISNUMBER(KPIs!$C$47),KPIs!$C$47,"")</f>
        <v>1</v>
      </c>
      <c r="H775" s="193" t="str">
        <f>IFERROR(INDEX(_TARGETS!$E$2:$E$17,MATCH($C775,_TARGETS!$A$2:$A$17,0))&amp;"","")</f>
        <v>≥</v>
      </c>
      <c r="I775" s="193" t="str">
        <f t="shared" si="62"/>
        <v/>
      </c>
      <c r="J775" s="193" t="str">
        <f t="shared" si="63"/>
        <v>YTD</v>
      </c>
      <c r="K775" s="193">
        <f>SUMIFS(Datos!$D$26:$AL$26,Datos!$D$3:$AL$3,"&gt;="&amp;DATE(YEAR(Datos!F$3),1,1),Datos!$D$3:$AL$3,"&lt;="&amp;Datos!F$3)</f>
        <v>1</v>
      </c>
      <c r="L775" s="193">
        <f>SUMIFS(Datos!$D$27:$AL$27,Datos!$D$3:$AL$3,"&gt;="&amp;DATE(YEAR(Datos!F$3),1,1),Datos!$D$3:$AL$3,"&lt;="&amp;Datos!F$3)</f>
        <v>1</v>
      </c>
      <c r="M775" s="193">
        <f>INDEX(_TARGETS!$J$2:$J$17,MATCH($C775,_TARGETS!$A$2:$A$17,0))</f>
        <v>1</v>
      </c>
      <c r="N775" s="193" t="str">
        <f>INDEX(_TARGETS!$D$2:$D$17,MATCH($C775,_TARGETS!$A$2:$A$17,0))</f>
        <v>% (fracción)</v>
      </c>
      <c r="O775" s="193" t="str">
        <f>IF(NOT(ISNUMBER(F775)),IF(SUMPRODUCT(($C$2:$C$1300=C775)*($J$2:$J$1300="Monthly")*($A$2:$A$1300&lt;=A775)*(YEAR($A$2:$A$1300)=YEAR(A775))*ISNUMBER($K$2:$K$1300)*ISNUMBER($L$2:$L$1300)*($L$2:$L$1300=0)*($K$2:$K$1300&gt;0))&gt;0,"INCOMPLETE","MISSING"),O56)</f>
        <v>MISSING</v>
      </c>
      <c r="P775" s="193" t="str">
        <f>INDEX(_TARGETS!$K$2:$K$17,MATCH($C775,_TARGETS!$A$2:$A$17,0))</f>
        <v>OPS (carga manual en Datos)</v>
      </c>
      <c r="Q775" s="193" t="str">
        <f t="shared" si="64"/>
        <v>202610|CCS|YTD</v>
      </c>
      <c r="R775" s="193" t="str">
        <f>INDEX(_TARGETS!$H$2:$H$17,MATCH($C775,_TARGETS!$A$2:$A$17,0))</f>
        <v>Definida</v>
      </c>
      <c r="S775" s="193">
        <f t="shared" si="65"/>
        <v>1</v>
      </c>
      <c r="T775" s="193" t="str">
        <f t="shared" si="66"/>
        <v/>
      </c>
    </row>
    <row r="776" spans="1:20" ht="14.25" customHeight="1" x14ac:dyDescent="0.3">
      <c r="A776" s="249">
        <f>KPIs!$F$3</f>
        <v>46296</v>
      </c>
      <c r="B776" s="193" t="str">
        <f>KPIs!F$4</f>
        <v>Compresora</v>
      </c>
      <c r="C776" t="s">
        <v>91</v>
      </c>
      <c r="D776" s="193" t="str">
        <f>KPIs!$A$48</f>
        <v>13 · Días promedio para cerrar hallazgos · YTD</v>
      </c>
      <c r="E776" t="s">
        <v>601</v>
      </c>
      <c r="F776" s="251" t="str">
        <f>IF(ISNUMBER(KPIs!F48),KPIs!F48,"")</f>
        <v/>
      </c>
      <c r="G776" s="193" t="str">
        <f>IF(ISNUMBER(KPIs!$C$48),KPIs!$C$48,"")</f>
        <v/>
      </c>
      <c r="H776" s="193" t="str">
        <f>IFERROR(INDEX(_TARGETS!$E$2:$E$17,MATCH($C776,_TARGETS!$A$2:$A$17,0))&amp;"","")</f>
        <v>≤</v>
      </c>
      <c r="I776" s="193" t="str">
        <f t="shared" si="62"/>
        <v/>
      </c>
      <c r="J776" s="193" t="str">
        <f t="shared" si="63"/>
        <v>YTD</v>
      </c>
      <c r="K776" s="193">
        <f>SUMIFS(Datos!$D$68:$AL$68,Datos!$D$3:$AL$3,"&gt;="&amp;DATE(YEAR(Datos!F$3),1,1),Datos!$D$3:$AL$3,"&lt;="&amp;Datos!F$3)</f>
        <v>37</v>
      </c>
      <c r="L776" s="193">
        <f>SUMIFS(Datos!$D$67:$AL$67,Datos!$D$3:$AL$3,"&gt;="&amp;DATE(YEAR(Datos!F$3),1,1),Datos!$D$3:$AL$3,"&lt;="&amp;Datos!F$3)</f>
        <v>34</v>
      </c>
      <c r="M776" s="193">
        <f>INDEX(_TARGETS!$J$2:$J$17,MATCH($C776,_TARGETS!$A$2:$A$17,0))</f>
        <v>1</v>
      </c>
      <c r="N776" s="193" t="str">
        <f>INDEX(_TARGETS!$D$2:$D$17,MATCH($C776,_TARGETS!$A$2:$A$17,0))</f>
        <v>días</v>
      </c>
      <c r="O776" s="193" t="str">
        <f>IF(NOT(ISNUMBER(F776)),IF(SUMPRODUCT(($C$2:$C$1300=C776)*($J$2:$J$1300="Monthly")*($A$2:$A$1300&lt;=A776)*(YEAR($A$2:$A$1300)=YEAR(A776))*ISNUMBER($K$2:$K$1300)*ISNUMBER($L$2:$L$1300)*($L$2:$L$1300=0)*($K$2:$K$1300&gt;0))&gt;0,"INCOMPLETE","MISSING"),O57)</f>
        <v>MISSING</v>
      </c>
      <c r="P776" s="193" t="str">
        <f>INDEX(_TARGETS!$K$2:$K$17,MATCH($C776,_TARGETS!$A$2:$A$17,0))</f>
        <v>Plant Findings (hoja Observaciones-SMP)</v>
      </c>
      <c r="Q776" s="193" t="str">
        <f t="shared" si="64"/>
        <v>202610|DPAS|YTD</v>
      </c>
      <c r="R776" s="193" t="str">
        <f>INDEX(_TARGETS!$H$2:$H$17,MATCH($C776,_TARGETS!$A$2:$A$17,0))</f>
        <v>Pendiente (meta 2027)</v>
      </c>
      <c r="S776" s="193">
        <f t="shared" si="65"/>
        <v>1.08823529411765</v>
      </c>
      <c r="T776" s="193" t="str">
        <f t="shared" si="66"/>
        <v/>
      </c>
    </row>
    <row r="777" spans="1:20" ht="14.25" customHeight="1" x14ac:dyDescent="0.3">
      <c r="A777" s="249">
        <f>KPIs!$F$3</f>
        <v>46296</v>
      </c>
      <c r="B777" s="193" t="str">
        <f>KPIs!F$4</f>
        <v>Compresora</v>
      </c>
      <c r="C777" t="s">
        <v>96</v>
      </c>
      <c r="D777" s="193" t="str">
        <f>KPIs!$A$49</f>
        <v>C1 · % de desvíos detectados de gravedad Alta · YTD</v>
      </c>
      <c r="E777" t="s">
        <v>601</v>
      </c>
      <c r="F777" s="193" t="str">
        <f>IF(ISNUMBER(KPIs!F49),KPIs!F49,"")</f>
        <v/>
      </c>
      <c r="G777" s="193" t="str">
        <f>IF(ISNUMBER(KPIs!$C$49),KPIs!$C$49,"")</f>
        <v/>
      </c>
      <c r="H777" s="193" t="str">
        <f>IFERROR(INDEX(_TARGETS!$E$2:$E$17,MATCH($C777,_TARGETS!$A$2:$A$17,0))&amp;"","")</f>
        <v/>
      </c>
      <c r="I777" s="193" t="str">
        <f t="shared" si="62"/>
        <v/>
      </c>
      <c r="J777" s="193" t="str">
        <f t="shared" si="63"/>
        <v>YTD</v>
      </c>
      <c r="K777" s="193">
        <f>SUMIFS(Datos!$D$71:$AL$71,Datos!$D$3:$AL$3,"&gt;="&amp;DATE(YEAR(Datos!F$3),1,1),Datos!$D$3:$AL$3,"&lt;="&amp;Datos!F$3)</f>
        <v>0</v>
      </c>
      <c r="L777" s="193">
        <f>SUMIFS(Datos!$D$71:$AL$71,Datos!$D$3:$AL$3,"&gt;="&amp;DATE(YEAR(Datos!F$3),1,1),Datos!$D$3:$AL$3,"&lt;="&amp;Datos!F$3)+SUMIFS(Datos!$D$72:$AL$72,Datos!$D$3:$AL$3,"&gt;="&amp;DATE(YEAR(Datos!F$3),1,1),Datos!$D$3:$AL$3,"&lt;="&amp;Datos!F$3)+SUMIFS(Datos!$D$73:$AL$73,Datos!$D$3:$AL$3,"&gt;="&amp;DATE(YEAR(Datos!F$3),1,1),Datos!$D$3:$AL$3,"&lt;="&amp;Datos!F$3)</f>
        <v>0</v>
      </c>
      <c r="M777" s="193">
        <f>INDEX(_TARGETS!$J$2:$J$17,MATCH($C777,_TARGETS!$A$2:$A$17,0))</f>
        <v>1</v>
      </c>
      <c r="N777" s="193" t="str">
        <f>INDEX(_TARGETS!$D$2:$D$17,MATCH($C777,_TARGETS!$A$2:$A$17,0))</f>
        <v>% (fracción)</v>
      </c>
      <c r="O777" s="193" t="str">
        <f t="shared" ref="O777:O783" si="67">IF(NOT(ISNUMBER(F777)),IF(SUMPRODUCT(($C$2:$C$1300=C777)*($J$2:$J$1300="Monthly")*($A$2:$A$1300&lt;=A777)*(YEAR($A$2:$A$1300)=YEAR(A777))*ISNUMBER($K$2:$K$1300)*ISNUMBER($L$2:$L$1300)*($L$2:$L$1300=0)*($K$2:$K$1300&gt;0))&gt;0,"INCOMPLETE","MISSING"),O63)</f>
        <v>MISSING</v>
      </c>
      <c r="P777" s="193" t="str">
        <f>INDEX(_TARGETS!$K$2:$K$17,MATCH($C777,_TARGETS!$A$2:$A$17,0))</f>
        <v>Plant Findings (hoja Observaciones-SMP)</v>
      </c>
      <c r="Q777" s="193" t="str">
        <f t="shared" si="64"/>
        <v>202610|HAL_ALTA_PCT|YTD</v>
      </c>
      <c r="R777" s="193" t="str">
        <f>INDEX(_TARGETS!$H$2:$H$17,MATCH($C777,_TARGETS!$A$2:$A$17,0))</f>
        <v>Solo reporte</v>
      </c>
      <c r="S777" s="193" t="str">
        <f t="shared" si="65"/>
        <v/>
      </c>
      <c r="T777" s="193" t="str">
        <f t="shared" si="66"/>
        <v/>
      </c>
    </row>
    <row r="778" spans="1:20" ht="14.25" customHeight="1" x14ac:dyDescent="0.3">
      <c r="A778" s="249">
        <f>KPIs!$F$3</f>
        <v>46296</v>
      </c>
      <c r="B778" s="193" t="str">
        <f>KPIs!F$4</f>
        <v>Compresora</v>
      </c>
      <c r="C778" t="s">
        <v>98</v>
      </c>
      <c r="D778" s="193" t="str">
        <f>KPIs!$A$50</f>
        <v>C2 · Detenciones de tareas aplicadas · YTD</v>
      </c>
      <c r="E778" t="s">
        <v>601</v>
      </c>
      <c r="F778" s="193" t="str">
        <f>IF(ISNUMBER(KPIs!F50),KPIs!F50,"")</f>
        <v/>
      </c>
      <c r="G778" s="193" t="str">
        <f>IF(ISNUMBER(KPIs!$C$50),KPIs!$C$50,"")</f>
        <v/>
      </c>
      <c r="H778" s="193" t="str">
        <f>IFERROR(INDEX(_TARGETS!$E$2:$E$17,MATCH($C778,_TARGETS!$A$2:$A$17,0))&amp;"","")</f>
        <v/>
      </c>
      <c r="I778" s="193" t="str">
        <f t="shared" si="62"/>
        <v/>
      </c>
      <c r="J778" s="193" t="str">
        <f t="shared" si="63"/>
        <v>YTD</v>
      </c>
      <c r="K778" s="193">
        <f>SUMIFS(Datos!$D$75:$AL$75,Datos!$D$3:$AL$3,"&gt;="&amp;DATE(YEAR(Datos!F$3),1,1),Datos!$D$3:$AL$3,"&lt;="&amp;Datos!F$3)</f>
        <v>0</v>
      </c>
      <c r="M778" s="193">
        <f>INDEX(_TARGETS!$J$2:$J$17,MATCH($C778,_TARGETS!$A$2:$A$17,0))</f>
        <v>1</v>
      </c>
      <c r="N778" s="193" t="str">
        <f>INDEX(_TARGETS!$D$2:$D$17,MATCH($C778,_TARGETS!$A$2:$A$17,0))</f>
        <v>u</v>
      </c>
      <c r="O778" s="193" t="str">
        <f t="shared" si="67"/>
        <v>MISSING</v>
      </c>
      <c r="P778" s="193" t="str">
        <f>INDEX(_TARGETS!$K$2:$K$17,MATCH($C778,_TARGETS!$A$2:$A$17,0))</f>
        <v>Plant Findings (hoja Observaciones-SMP)</v>
      </c>
      <c r="Q778" s="193" t="str">
        <f t="shared" si="64"/>
        <v>202610|DET|YTD</v>
      </c>
      <c r="R778" s="193" t="str">
        <f>INDEX(_TARGETS!$H$2:$H$17,MATCH($C778,_TARGETS!$A$2:$A$17,0))</f>
        <v>Solo reporte</v>
      </c>
      <c r="S778" s="193">
        <f t="shared" si="65"/>
        <v>0</v>
      </c>
      <c r="T778" s="193" t="str">
        <f t="shared" si="66"/>
        <v/>
      </c>
    </row>
    <row r="779" spans="1:20" ht="14.25" customHeight="1" x14ac:dyDescent="0.3">
      <c r="A779" s="249">
        <f>KPIs!$G$3</f>
        <v>46327</v>
      </c>
      <c r="B779" s="193" t="str">
        <f>KPIs!G$4</f>
        <v>Compresora</v>
      </c>
      <c r="C779" t="s">
        <v>39</v>
      </c>
      <c r="D779" s="193" t="str">
        <f>KPIs!$A$37</f>
        <v>1 · Frecuencia de casos con días perdidos · YTD</v>
      </c>
      <c r="E779" t="s">
        <v>601</v>
      </c>
      <c r="F779" s="193" t="str">
        <f>IF(ISNUMBER(KPIs!G37),KPIs!G37,"")</f>
        <v/>
      </c>
      <c r="G779" s="250">
        <f>IF(ISNUMBER(KPIs!$C$37),KPIs!$C$37,"")</f>
        <v>0</v>
      </c>
      <c r="H779" s="193" t="str">
        <f>IFERROR(INDEX(_TARGETS!$E$2:$E$17,MATCH($C779,_TARGETS!$A$2:$A$17,0))&amp;"","")</f>
        <v>≤</v>
      </c>
      <c r="I779" s="193" t="str">
        <f t="shared" si="62"/>
        <v/>
      </c>
      <c r="J779" s="193" t="str">
        <f t="shared" si="63"/>
        <v>YTD</v>
      </c>
      <c r="K779" s="193">
        <f>SUMIFS(Datos!$D$33:$AL$33,Datos!$D$3:$AL$3,"&gt;="&amp;DATE(YEAR(Datos!G$3),1,1),Datos!$D$3:$AL$3,"&lt;="&amp;Datos!G$3)</f>
        <v>0</v>
      </c>
      <c r="L779" s="193">
        <f>SUMIFS(Datos!$D$14:$AL$14,Datos!$D$3:$AL$3,"&gt;="&amp;DATE(YEAR(Datos!G$3),1,1),Datos!$D$3:$AL$3,"&lt;="&amp;Datos!G$3)</f>
        <v>48332</v>
      </c>
      <c r="M779" s="193">
        <f>INDEX(_TARGETS!$J$2:$J$17,MATCH($C779,_TARGETS!$A$2:$A$17,0))</f>
        <v>1000000</v>
      </c>
      <c r="N779" s="193" t="str">
        <f>INDEX(_TARGETS!$D$2:$D$17,MATCH($C779,_TARGETS!$A$2:$A$17,0))</f>
        <v>casos / 10^6 HH</v>
      </c>
      <c r="O779" s="193" t="str">
        <f t="shared" si="67"/>
        <v>MISSING</v>
      </c>
      <c r="P779" s="193" t="str">
        <f>INDEX(_TARGETS!$K$2:$K$17,MATCH($C779,_TARGETS!$A$2:$A$17,0))</f>
        <v>OPS (carga manual en Datos)</v>
      </c>
      <c r="Q779" s="193" t="str">
        <f t="shared" si="64"/>
        <v>202611|DAFWCF|YTD</v>
      </c>
      <c r="R779" s="193" t="str">
        <f>INDEX(_TARGETS!$H$2:$H$17,MATCH($C779,_TARGETS!$A$2:$A$17,0))</f>
        <v>Definida</v>
      </c>
      <c r="S779" s="193">
        <f t="shared" si="65"/>
        <v>0</v>
      </c>
      <c r="T779" s="193" t="str">
        <f t="shared" si="66"/>
        <v/>
      </c>
    </row>
    <row r="780" spans="1:20" ht="14.25" customHeight="1" x14ac:dyDescent="0.3">
      <c r="A780" s="249">
        <f>KPIs!$G$3</f>
        <v>46327</v>
      </c>
      <c r="B780" s="193" t="str">
        <f>KPIs!G$4</f>
        <v>Compresora</v>
      </c>
      <c r="C780" t="s">
        <v>49</v>
      </c>
      <c r="D780" s="193" t="str">
        <f>KPIs!$A$38</f>
        <v>2 · Frecuencia de casos registrables · YTD</v>
      </c>
      <c r="E780" t="s">
        <v>601</v>
      </c>
      <c r="F780" s="193" t="str">
        <f>IF(ISNUMBER(KPIs!G38),KPIs!G38,"")</f>
        <v/>
      </c>
      <c r="G780" s="250">
        <f>IF(ISNUMBER(KPIs!$C$38),KPIs!$C$38,"")</f>
        <v>2.35</v>
      </c>
      <c r="H780" s="193" t="str">
        <f>IFERROR(INDEX(_TARGETS!$E$2:$E$17,MATCH($C780,_TARGETS!$A$2:$A$17,0))&amp;"","")</f>
        <v>≤</v>
      </c>
      <c r="I780" s="193" t="str">
        <f t="shared" si="62"/>
        <v/>
      </c>
      <c r="J780" s="193" t="str">
        <f t="shared" si="63"/>
        <v>YTD</v>
      </c>
      <c r="K780" s="193">
        <f>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f>
        <v>0</v>
      </c>
      <c r="L780" s="193">
        <f>SUMIFS(Datos!$D$14:$AL$14,Datos!$D$3:$AL$3,"&gt;="&amp;DATE(YEAR(Datos!G$3),1,1),Datos!$D$3:$AL$3,"&lt;="&amp;Datos!G$3)</f>
        <v>48332</v>
      </c>
      <c r="M780" s="193">
        <f>INDEX(_TARGETS!$J$2:$J$17,MATCH($C780,_TARGETS!$A$2:$A$17,0))</f>
        <v>1000000</v>
      </c>
      <c r="N780" s="193" t="str">
        <f>INDEX(_TARGETS!$D$2:$D$17,MATCH($C780,_TARGETS!$A$2:$A$17,0))</f>
        <v>casos / 10^6 HH</v>
      </c>
      <c r="O780" s="193" t="str">
        <f t="shared" si="67"/>
        <v>MISSING</v>
      </c>
      <c r="P780" s="193" t="str">
        <f>INDEX(_TARGETS!$K$2:$K$17,MATCH($C780,_TARGETS!$A$2:$A$17,0))</f>
        <v>OPS (carga manual en Datos)</v>
      </c>
      <c r="Q780" s="193" t="str">
        <f t="shared" si="64"/>
        <v>202611|TRICF|YTD</v>
      </c>
      <c r="R780" s="193" t="str">
        <f>INDEX(_TARGETS!$H$2:$H$17,MATCH($C780,_TARGETS!$A$2:$A$17,0))</f>
        <v>Definida</v>
      </c>
      <c r="S780" s="193">
        <f t="shared" si="65"/>
        <v>0</v>
      </c>
      <c r="T780" s="193" t="str">
        <f t="shared" si="66"/>
        <v/>
      </c>
    </row>
    <row r="781" spans="1:20" ht="14.25" customHeight="1" x14ac:dyDescent="0.3">
      <c r="A781" s="249">
        <f>KPIs!$G$3</f>
        <v>46327</v>
      </c>
      <c r="B781" s="193" t="str">
        <f>KPIs!G$4</f>
        <v>Compresora</v>
      </c>
      <c r="C781" t="s">
        <v>51</v>
      </c>
      <c r="D781" s="193" t="str">
        <f>KPIs!$A$39</f>
        <v>3 · Casos de primeros auxilios · YTD</v>
      </c>
      <c r="E781" t="s">
        <v>601</v>
      </c>
      <c r="F781" s="193" t="str">
        <f>IF(ISNUMBER(KPIs!G39),KPIs!G39,"")</f>
        <v/>
      </c>
      <c r="G781" s="193" t="str">
        <f>IF(ISNUMBER(KPIs!$C$39),KPIs!$C$39,"")</f>
        <v/>
      </c>
      <c r="H781" s="193" t="str">
        <f>IFERROR(INDEX(_TARGETS!$E$2:$E$17,MATCH($C781,_TARGETS!$A$2:$A$17,0))&amp;"","")</f>
        <v/>
      </c>
      <c r="I781" s="193" t="str">
        <f t="shared" si="62"/>
        <v/>
      </c>
      <c r="J781" s="193" t="str">
        <f t="shared" si="63"/>
        <v>YTD</v>
      </c>
      <c r="K781" s="193">
        <f>SUMIFS(Datos!$D$37:$AL$37,Datos!$D$3:$AL$3,"&gt;="&amp;DATE(YEAR(Datos!G$3),1,1),Datos!$D$3:$AL$3,"&lt;="&amp;Datos!G$3)</f>
        <v>0</v>
      </c>
      <c r="M781" s="193">
        <f>INDEX(_TARGETS!$J$2:$J$17,MATCH($C781,_TARGETS!$A$2:$A$17,0))</f>
        <v>1</v>
      </c>
      <c r="N781" s="193" t="str">
        <f>INDEX(_TARGETS!$D$2:$D$17,MATCH($C781,_TARGETS!$A$2:$A$17,0))</f>
        <v>casos</v>
      </c>
      <c r="O781" s="193" t="str">
        <f t="shared" si="67"/>
        <v>MISSING</v>
      </c>
      <c r="P781" s="193" t="str">
        <f>INDEX(_TARGETS!$K$2:$K$17,MATCH($C781,_TARGETS!$A$2:$A$17,0))</f>
        <v>OPS (carga manual en Datos)</v>
      </c>
      <c r="Q781" s="193" t="str">
        <f t="shared" si="64"/>
        <v>202611|FAC|YTD</v>
      </c>
      <c r="R781" s="193" t="str">
        <f>INDEX(_TARGETS!$H$2:$H$17,MATCH($C781,_TARGETS!$A$2:$A$17,0))</f>
        <v>Solo reporte</v>
      </c>
      <c r="S781" s="193">
        <f t="shared" si="65"/>
        <v>0</v>
      </c>
      <c r="T781" s="193" t="str">
        <f t="shared" si="66"/>
        <v/>
      </c>
    </row>
    <row r="782" spans="1:20" ht="14.25" customHeight="1" x14ac:dyDescent="0.3">
      <c r="A782" s="249">
        <f>KPIs!$G$3</f>
        <v>46327</v>
      </c>
      <c r="B782" s="193" t="str">
        <f>KPIs!G$4</f>
        <v>Compresora</v>
      </c>
      <c r="C782" t="s">
        <v>57</v>
      </c>
      <c r="D782" s="193" t="str">
        <f>KPIs!$A$40</f>
        <v>4 · Accidentes vehiculares severos por millón de km · YTD</v>
      </c>
      <c r="E782" t="s">
        <v>601</v>
      </c>
      <c r="F782" s="193" t="str">
        <f>IF(ISNUMBER(KPIs!G40),KPIs!G40,"")</f>
        <v/>
      </c>
      <c r="G782" s="193" t="str">
        <f>IF(ISNUMBER(KPIs!$C$40),KPIs!$C$40,"")</f>
        <v/>
      </c>
      <c r="H782" s="193" t="str">
        <f>IFERROR(INDEX(_TARGETS!$E$2:$E$17,MATCH($C782,_TARGETS!$A$2:$A$17,0))&amp;"","")</f>
        <v/>
      </c>
      <c r="I782" s="193" t="str">
        <f t="shared" si="62"/>
        <v/>
      </c>
      <c r="J782" s="193" t="str">
        <f t="shared" si="63"/>
        <v>YTD</v>
      </c>
      <c r="K782" s="193">
        <f>SUMIFS(Datos!$D$39:$AL$39,Datos!$D$3:$AL$3,"&gt;="&amp;DATE(YEAR(Datos!G$3),1,1),Datos!$D$3:$AL$3,"&lt;="&amp;Datos!G$3)+SUMIFS(Datos!$D$40:$AL$40,Datos!$D$3:$AL$3,"&gt;="&amp;DATE(YEAR(Datos!G$3),1,1),Datos!$D$3:$AL$3,"&lt;="&amp;Datos!G$3)+SUMIFS(Datos!$D$41:$AL$41,Datos!$D$3:$AL$3,"&gt;="&amp;DATE(YEAR(Datos!G$3),1,1),Datos!$D$3:$AL$3,"&lt;="&amp;Datos!G$3)</f>
        <v>0</v>
      </c>
      <c r="L782" s="193">
        <f>SUMIFS(Datos!$D$47:$AL$47,Datos!$D$3:$AL$3,"&gt;="&amp;DATE(YEAR(Datos!G$3),1,1),Datos!$D$3:$AL$3,"&lt;="&amp;Datos!G$3)</f>
        <v>172824</v>
      </c>
      <c r="M782" s="193">
        <f>INDEX(_TARGETS!$J$2:$J$17,MATCH($C782,_TARGETS!$A$2:$A$17,0))</f>
        <v>1000000</v>
      </c>
      <c r="N782" s="193" t="str">
        <f>INDEX(_TARGETS!$D$2:$D$17,MATCH($C782,_TARGETS!$A$2:$A$17,0))</f>
        <v>eventos / 10^6 km</v>
      </c>
      <c r="O782" s="193" t="str">
        <f t="shared" si="67"/>
        <v>MISSING</v>
      </c>
      <c r="P782" s="193" t="str">
        <f>INDEX(_TARGETS!$K$2:$K$17,MATCH($C782,_TARGETS!$A$2:$A$17,0))</f>
        <v>OPS (eventos) + Full Control GPS (km) - carga manual en Datos</v>
      </c>
      <c r="Q782" s="193" t="str">
        <f t="shared" si="64"/>
        <v>202611|SVCR|YTD</v>
      </c>
      <c r="R782" s="193" t="str">
        <f>INDEX(_TARGETS!$H$2:$H$17,MATCH($C782,_TARGETS!$A$2:$A$17,0))</f>
        <v>Solo reporte</v>
      </c>
      <c r="S782" s="193">
        <f t="shared" si="65"/>
        <v>0</v>
      </c>
      <c r="T782" s="193" t="str">
        <f t="shared" si="66"/>
        <v/>
      </c>
    </row>
    <row r="783" spans="1:20" ht="14.25" customHeight="1" x14ac:dyDescent="0.3">
      <c r="A783" s="249">
        <f>KPIs!$G$3</f>
        <v>46327</v>
      </c>
      <c r="B783" s="193" t="str">
        <f>KPIs!G$4</f>
        <v>Compresora</v>
      </c>
      <c r="C783" t="s">
        <v>61</v>
      </c>
      <c r="D783" s="193" t="str">
        <f>KPIs!$A$41</f>
        <v>5 · Accidentes vehiculares totales por millón de km · YTD</v>
      </c>
      <c r="E783" t="s">
        <v>601</v>
      </c>
      <c r="F783" s="193" t="str">
        <f>IF(ISNUMBER(KPIs!G41),KPIs!G41,"")</f>
        <v/>
      </c>
      <c r="G783" s="250">
        <f>IF(ISNUMBER(KPIs!$C$41),KPIs!$C$41,"")</f>
        <v>0.79</v>
      </c>
      <c r="H783" s="193" t="str">
        <f>IFERROR(INDEX(_TARGETS!$E$2:$E$17,MATCH($C783,_TARGETS!$A$2:$A$17,0))&amp;"","")</f>
        <v>≤</v>
      </c>
      <c r="I783" s="193" t="str">
        <f t="shared" si="62"/>
        <v/>
      </c>
      <c r="J783" s="193" t="str">
        <f t="shared" si="63"/>
        <v>YTD</v>
      </c>
      <c r="K783" s="193">
        <f>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f>
        <v>0</v>
      </c>
      <c r="L783" s="193">
        <f>SUMIFS(Datos!$D$47:$AL$47,Datos!$D$3:$AL$3,"&gt;="&amp;DATE(YEAR(Datos!G$3),1,1),Datos!$D$3:$AL$3,"&lt;="&amp;Datos!G$3)</f>
        <v>172824</v>
      </c>
      <c r="M783" s="193">
        <f>INDEX(_TARGETS!$J$2:$J$17,MATCH($C783,_TARGETS!$A$2:$A$17,0))</f>
        <v>1000000</v>
      </c>
      <c r="N783" s="193" t="str">
        <f>INDEX(_TARGETS!$D$2:$D$17,MATCH($C783,_TARGETS!$A$2:$A$17,0))</f>
        <v>eventos / 10^6 km</v>
      </c>
      <c r="O783" s="193" t="str">
        <f t="shared" si="67"/>
        <v>MISSING</v>
      </c>
      <c r="P783" s="193" t="str">
        <f>INDEX(_TARGETS!$K$2:$K$17,MATCH($C783,_TARGETS!$A$2:$A$17,0))</f>
        <v>OPS (eventos) + Full Control GPS (km) - carga manual en Datos</v>
      </c>
      <c r="Q783" s="193" t="str">
        <f t="shared" si="64"/>
        <v>202611|TVCR|YTD</v>
      </c>
      <c r="R783" s="193" t="str">
        <f>INDEX(_TARGETS!$H$2:$H$17,MATCH($C783,_TARGETS!$A$2:$A$17,0))</f>
        <v>Definida</v>
      </c>
      <c r="S783" s="193">
        <f t="shared" si="65"/>
        <v>0</v>
      </c>
      <c r="T783" s="193" t="str">
        <f t="shared" si="66"/>
        <v/>
      </c>
    </row>
    <row r="784" spans="1:20" ht="14.25" customHeight="1" x14ac:dyDescent="0.3">
      <c r="A784" s="249">
        <f>KPIs!$G$3</f>
        <v>46327</v>
      </c>
      <c r="B784" s="193" t="str">
        <f>KPIs!G$4</f>
        <v>Compresora</v>
      </c>
      <c r="C784" t="s">
        <v>71</v>
      </c>
      <c r="D784" s="193" t="str">
        <f>KPIs!$A$42</f>
        <v>7 · Investigaciones de accidentes: días promedio de cierre · YTD</v>
      </c>
      <c r="E784" t="s">
        <v>601</v>
      </c>
      <c r="F784" s="193" t="str">
        <f>IF(ISNUMBER(KPIs!G42),KPIs!G42,"")</f>
        <v/>
      </c>
      <c r="G784" s="251">
        <f>IF(ISNUMBER(KPIs!$C$42),KPIs!$C$42,"")</f>
        <v>20</v>
      </c>
      <c r="H784" s="193" t="str">
        <f>IFERROR(INDEX(_TARGETS!$E$2:$E$17,MATCH($C784,_TARGETS!$A$2:$A$17,0))&amp;"","")</f>
        <v>≤</v>
      </c>
      <c r="I784" s="193" t="str">
        <f t="shared" si="62"/>
        <v/>
      </c>
      <c r="J784" s="193" t="str">
        <f t="shared" si="63"/>
        <v>YTD</v>
      </c>
      <c r="K784" s="193">
        <f>SUMIFS(Datos!$D$31:$AL$31,Datos!$D$3:$AL$3,"&gt;="&amp;DATE(YEAR(Datos!G$3),1,1),Datos!$D$3:$AL$3,"&lt;="&amp;Datos!G$3)</f>
        <v>0</v>
      </c>
      <c r="L784" s="193">
        <f>SUMIFS(Datos!$D$30:$AL$30,Datos!$D$3:$AL$3,"&gt;="&amp;DATE(YEAR(Datos!G$3),1,1),Datos!$D$3:$AL$3,"&lt;="&amp;Datos!G$3)</f>
        <v>0</v>
      </c>
      <c r="M784" s="193">
        <f>INDEX(_TARGETS!$J$2:$J$17,MATCH($C784,_TARGETS!$A$2:$A$17,0))</f>
        <v>1</v>
      </c>
      <c r="N784" s="193" t="str">
        <f>INDEX(_TARGETS!$D$2:$D$17,MATCH($C784,_TARGETS!$A$2:$A$17,0))</f>
        <v>días</v>
      </c>
      <c r="O784" s="193" t="str">
        <f>IF(NOT(ISNUMBER(F784)),IF(SUMPRODUCT(($C$2:$C$1300=C784)*($J$2:$J$1300="Monthly")*($A$2:$A$1300&lt;=A784)*(YEAR($A$2:$A$1300)=YEAR(A784))*ISNUMBER($K$2:$K$1300)*ISNUMBER($L$2:$L$1300)*($L$2:$L$1300=0)*($K$2:$K$1300&gt;0))&gt;0,"INCOMPLETE","MISSING"),O71)</f>
        <v>MISSING</v>
      </c>
      <c r="P784" s="193" t="str">
        <f>INDEX(_TARGETS!$K$2:$K$17,MATCH($C784,_TARGETS!$A$2:$A$17,0))</f>
        <v>OPS (carga manual en Datos)</v>
      </c>
      <c r="Q784" s="193" t="str">
        <f t="shared" si="64"/>
        <v>202611|INV|YTD</v>
      </c>
      <c r="R784" s="193" t="str">
        <f>INDEX(_TARGETS!$H$2:$H$17,MATCH($C784,_TARGETS!$A$2:$A$17,0))</f>
        <v>Definida</v>
      </c>
      <c r="S784" s="193" t="str">
        <f t="shared" si="65"/>
        <v/>
      </c>
      <c r="T784" s="193" t="str">
        <f t="shared" si="66"/>
        <v/>
      </c>
    </row>
    <row r="785" spans="1:20" ht="14.25" customHeight="1" x14ac:dyDescent="0.3">
      <c r="A785" s="249">
        <f>KPIs!$G$3</f>
        <v>46327</v>
      </c>
      <c r="B785" s="193" t="str">
        <f>KPIs!G$4</f>
        <v>Compresora</v>
      </c>
      <c r="C785" t="s">
        <v>76</v>
      </c>
      <c r="D785" s="193" t="str">
        <f>KPIs!$A$43</f>
        <v>8 · % de capacitación en seguridad · YTD</v>
      </c>
      <c r="E785" t="s">
        <v>601</v>
      </c>
      <c r="F785" s="193" t="str">
        <f>IF(ISNUMBER(KPIs!G43),KPIs!G43,"")</f>
        <v/>
      </c>
      <c r="G785" s="252">
        <f>IF(ISNUMBER(KPIs!$C$43),KPIs!$C$43,"")</f>
        <v>0.01</v>
      </c>
      <c r="H785" s="193" t="str">
        <f>IFERROR(INDEX(_TARGETS!$E$2:$E$17,MATCH($C785,_TARGETS!$A$2:$A$17,0))&amp;"","")</f>
        <v>≥</v>
      </c>
      <c r="I785" s="193" t="str">
        <f t="shared" si="62"/>
        <v/>
      </c>
      <c r="J785" s="193" t="str">
        <f t="shared" si="63"/>
        <v>YTD</v>
      </c>
      <c r="K785" s="193">
        <f>SUMIFS(Datos!$D$18:$AL$18,Datos!$D$3:$AL$3,"&gt;="&amp;DATE(YEAR(Datos!G$3),1,1),Datos!$D$3:$AL$3,"&lt;="&amp;Datos!G$3)</f>
        <v>2151</v>
      </c>
      <c r="L785" s="193">
        <f>SUMIFS(Datos!$D$14:$AL$14,Datos!$D$3:$AL$3,"&gt;="&amp;DATE(YEAR(Datos!G$3),1,1),Datos!$D$3:$AL$3,"&lt;="&amp;Datos!G$3)</f>
        <v>48332</v>
      </c>
      <c r="M785" s="193">
        <f>INDEX(_TARGETS!$J$2:$J$17,MATCH($C785,_TARGETS!$A$2:$A$17,0))</f>
        <v>1</v>
      </c>
      <c r="N785" s="193" t="str">
        <f>INDEX(_TARGETS!$D$2:$D$17,MATCH($C785,_TARGETS!$A$2:$A$17,0))</f>
        <v>% (fracción)</v>
      </c>
      <c r="O785" s="193" t="str">
        <f>IF(NOT(ISNUMBER(F785)),IF(SUMPRODUCT(($C$2:$C$1300=C785)*($J$2:$J$1300="Monthly")*($A$2:$A$1300&lt;=A785)*(YEAR($A$2:$A$1300)=YEAR(A785))*ISNUMBER($K$2:$K$1300)*ISNUMBER($L$2:$L$1300)*($L$2:$L$1300=0)*($K$2:$K$1300&gt;0))&gt;0,"INCOMPLETE","MISSING"),O72)</f>
        <v>MISSING</v>
      </c>
      <c r="P785" s="193" t="str">
        <f>INDEX(_TARGETS!$K$2:$K$17,MATCH($C785,_TARGETS!$A$2:$A$17,0))</f>
        <v>OPS (carga manual en Datos)</v>
      </c>
      <c r="Q785" s="193" t="str">
        <f t="shared" si="64"/>
        <v>202611|HCS|YTD</v>
      </c>
      <c r="R785" s="193" t="str">
        <f>INDEX(_TARGETS!$H$2:$H$17,MATCH($C785,_TARGETS!$A$2:$A$17,0))</f>
        <v>Definida</v>
      </c>
      <c r="S785" s="193">
        <f t="shared" si="65"/>
        <v>0.0445046759910618</v>
      </c>
      <c r="T785" s="193" t="str">
        <f t="shared" si="66"/>
        <v/>
      </c>
    </row>
    <row r="786" spans="1:20" ht="14.25" customHeight="1" x14ac:dyDescent="0.3">
      <c r="A786" s="249">
        <f>KPIs!$G$3</f>
        <v>46327</v>
      </c>
      <c r="B786" s="193" t="str">
        <f>KPIs!G$4</f>
        <v>Compresora</v>
      </c>
      <c r="C786" t="s">
        <v>83</v>
      </c>
      <c r="D786" s="193" t="str">
        <f>KPIs!$A$44</f>
        <v>10 · Cumplimiento de simulacros (emergencia y operativos) · YTD</v>
      </c>
      <c r="E786" t="s">
        <v>601</v>
      </c>
      <c r="F786" s="193" t="str">
        <f>IF(ISNUMBER(KPIs!G44),KPIs!G44,"")</f>
        <v/>
      </c>
      <c r="G786" s="253">
        <f>IF(ISNUMBER(KPIs!$C$44),KPIs!$C$44,"")</f>
        <v>1</v>
      </c>
      <c r="H786" s="193" t="str">
        <f>IFERROR(INDEX(_TARGETS!$E$2:$E$17,MATCH($C786,_TARGETS!$A$2:$A$17,0))&amp;"","")</f>
        <v>≥</v>
      </c>
      <c r="I786" s="193" t="str">
        <f t="shared" si="62"/>
        <v/>
      </c>
      <c r="J786" s="193" t="str">
        <f t="shared" si="63"/>
        <v>YTD</v>
      </c>
      <c r="K786" s="193">
        <f>SUMIFS(Datos!$D$20:$AL$20,Datos!$D$3:$AL$3,"&gt;="&amp;DATE(YEAR(Datos!G$3),1,1),Datos!$D$3:$AL$3,"&lt;="&amp;Datos!G$3)</f>
        <v>3</v>
      </c>
      <c r="L786" s="193">
        <f>SUMIFS(Datos!$D$21:$AL$21,Datos!$D$3:$AL$3,"&gt;="&amp;DATE(YEAR(Datos!G$3),1,1),Datos!$D$3:$AL$3,"&lt;="&amp;Datos!G$3)</f>
        <v>3</v>
      </c>
      <c r="M786" s="193">
        <f>INDEX(_TARGETS!$J$2:$J$17,MATCH($C786,_TARGETS!$A$2:$A$17,0))</f>
        <v>1</v>
      </c>
      <c r="N786" s="193" t="str">
        <f>INDEX(_TARGETS!$D$2:$D$17,MATCH($C786,_TARGETS!$A$2:$A$17,0))</f>
        <v>% (fracción)</v>
      </c>
      <c r="O786" s="193" t="str">
        <f>IF(NOT(ISNUMBER(F786)),IF(SUMPRODUCT(($C$2:$C$1300=C786)*($J$2:$J$1300="Monthly")*($A$2:$A$1300&lt;=A786)*(YEAR($A$2:$A$1300)=YEAR(A786))*ISNUMBER($K$2:$K$1300)*ISNUMBER($L$2:$L$1300)*($L$2:$L$1300=0)*($K$2:$K$1300&gt;0))&gt;0,"INCOMPLETE","MISSING"),O74)</f>
        <v>MISSING</v>
      </c>
      <c r="P786" s="193" t="str">
        <f>INDEX(_TARGETS!$K$2:$K$17,MATCH($C786,_TARGETS!$A$2:$A$17,0))</f>
        <v>OPS (carga manual en Datos)</v>
      </c>
      <c r="Q786" s="193" t="str">
        <f t="shared" si="64"/>
        <v>202611|CPSE|YTD</v>
      </c>
      <c r="R786" s="193" t="str">
        <f>INDEX(_TARGETS!$H$2:$H$17,MATCH($C786,_TARGETS!$A$2:$A$17,0))</f>
        <v>Definida</v>
      </c>
      <c r="S786" s="193">
        <f t="shared" si="65"/>
        <v>1</v>
      </c>
      <c r="T786" s="193" t="str">
        <f t="shared" si="66"/>
        <v/>
      </c>
    </row>
    <row r="787" spans="1:20" ht="14.25" customHeight="1" x14ac:dyDescent="0.3">
      <c r="A787" s="249">
        <f>KPIs!$G$3</f>
        <v>46327</v>
      </c>
      <c r="B787" s="193" t="str">
        <f>KPIs!G$4</f>
        <v>Compresora</v>
      </c>
      <c r="C787" t="s">
        <v>85</v>
      </c>
      <c r="D787" s="193" t="str">
        <f>KPIs!$A$45</f>
        <v>10b · Cumplimiento de acciones de mejora de simulacros · YTD</v>
      </c>
      <c r="E787" t="s">
        <v>601</v>
      </c>
      <c r="F787" s="193" t="str">
        <f>IF(ISNUMBER(KPIs!G45),KPIs!G45,"")</f>
        <v/>
      </c>
      <c r="G787" s="254" t="str">
        <f>IF(ISNUMBER(KPIs!$C$45),KPIs!$C$45,"")</f>
        <v/>
      </c>
      <c r="H787" s="193" t="str">
        <f>IFERROR(INDEX(_TARGETS!$E$2:$E$17,MATCH($C787,_TARGETS!$A$2:$A$17,0))&amp;"","")</f>
        <v/>
      </c>
      <c r="I787" s="193" t="str">
        <f t="shared" si="62"/>
        <v/>
      </c>
      <c r="J787" s="193" t="str">
        <f t="shared" si="63"/>
        <v>YTD</v>
      </c>
      <c r="K787" s="193">
        <f>SUMIFS(Datos!$D$23:$AL$23,Datos!$D$3:$AL$3,"&gt;="&amp;DATE(YEAR(Datos!G$3),1,1),Datos!$D$3:$AL$3,"&lt;="&amp;Datos!G$3)</f>
        <v>1</v>
      </c>
      <c r="L787" s="193">
        <f>SUMIFS(Datos!$D$22:$AL$22,Datos!$D$3:$AL$3,"&gt;="&amp;DATE(YEAR(Datos!G$3),1,1),Datos!$D$3:$AL$3,"&lt;="&amp;Datos!G$3)</f>
        <v>1</v>
      </c>
      <c r="M787" s="193">
        <f>INDEX(_TARGETS!$J$2:$J$17,MATCH($C787,_TARGETS!$A$2:$A$17,0))</f>
        <v>1</v>
      </c>
      <c r="N787" s="193" t="str">
        <f>INDEX(_TARGETS!$D$2:$D$17,MATCH($C787,_TARGETS!$A$2:$A$17,0))</f>
        <v>% (fracción)</v>
      </c>
      <c r="O787" s="193" t="str">
        <f>IF(NOT(ISNUMBER(F787)),IF(SUMPRODUCT(($C$2:$C$1300=C787)*($J$2:$J$1300="Monthly")*($A$2:$A$1300&lt;=A787)*(YEAR($A$2:$A$1300)=YEAR(A787))*ISNUMBER($K$2:$K$1300)*ISNUMBER($L$2:$L$1300)*($L$2:$L$1300=0)*($K$2:$K$1300&gt;0))&gt;0,"INCOMPLETE","MISSING"),O75)</f>
        <v>MISSING</v>
      </c>
      <c r="P787" s="193" t="str">
        <f>INDEX(_TARGETS!$K$2:$K$17,MATCH($C787,_TARGETS!$A$2:$A$17,0))</f>
        <v>OPS (carga manual en Datos)</v>
      </c>
      <c r="Q787" s="193" t="str">
        <f t="shared" si="64"/>
        <v>202611|CAMS|YTD</v>
      </c>
      <c r="R787" s="193" t="str">
        <f>INDEX(_TARGETS!$H$2:$H$17,MATCH($C787,_TARGETS!$A$2:$A$17,0))</f>
        <v>Solo reporte</v>
      </c>
      <c r="S787" s="193">
        <f t="shared" si="65"/>
        <v>1</v>
      </c>
      <c r="T787" s="193" t="str">
        <f t="shared" si="66"/>
        <v/>
      </c>
    </row>
    <row r="788" spans="1:20" ht="14.25" customHeight="1" x14ac:dyDescent="0.3">
      <c r="A788" s="249">
        <f>KPIs!$G$3</f>
        <v>46327</v>
      </c>
      <c r="B788" s="193" t="str">
        <f>KPIs!G$4</f>
        <v>Compresora</v>
      </c>
      <c r="C788" t="s">
        <v>87</v>
      </c>
      <c r="D788" s="193" t="str">
        <f>KPIs!$A$46</f>
        <v>11 · Cumplimiento de caminatas gerenciales · YTD</v>
      </c>
      <c r="E788" t="s">
        <v>601</v>
      </c>
      <c r="F788" s="193" t="str">
        <f>IF(ISNUMBER(KPIs!G46),KPIs!G46,"")</f>
        <v/>
      </c>
      <c r="G788" s="254">
        <f>IF(ISNUMBER(KPIs!$C$46),KPIs!$C$46,"")</f>
        <v>1</v>
      </c>
      <c r="H788" s="193" t="str">
        <f>IFERROR(INDEX(_TARGETS!$E$2:$E$17,MATCH($C788,_TARGETS!$A$2:$A$17,0))&amp;"","")</f>
        <v>≥</v>
      </c>
      <c r="I788" s="193" t="str">
        <f t="shared" si="62"/>
        <v/>
      </c>
      <c r="J788" s="193" t="str">
        <f t="shared" si="63"/>
        <v>YTD</v>
      </c>
      <c r="K788" s="193">
        <f>SUMIFS(Datos!$D$24:$AL$24,Datos!$D$3:$AL$3,"&gt;="&amp;DATE(YEAR(Datos!G$3),1,1),Datos!$D$3:$AL$3,"&lt;="&amp;Datos!G$3)</f>
        <v>3</v>
      </c>
      <c r="L788" s="193">
        <f>SUMIFS(Datos!$D$25:$AL$25,Datos!$D$3:$AL$3,"&gt;="&amp;DATE(YEAR(Datos!G$3),1,1),Datos!$D$3:$AL$3,"&lt;="&amp;Datos!G$3)</f>
        <v>3</v>
      </c>
      <c r="M788" s="193">
        <f>INDEX(_TARGETS!$J$2:$J$17,MATCH($C788,_TARGETS!$A$2:$A$17,0))</f>
        <v>1</v>
      </c>
      <c r="N788" s="193" t="str">
        <f>INDEX(_TARGETS!$D$2:$D$17,MATCH($C788,_TARGETS!$A$2:$A$17,0))</f>
        <v>% (fracción)</v>
      </c>
      <c r="O788" s="193" t="str">
        <f>IF(NOT(ISNUMBER(F788)),IF(SUMPRODUCT(($C$2:$C$1300=C788)*($J$2:$J$1300="Monthly")*($A$2:$A$1300&lt;=A788)*(YEAR($A$2:$A$1300)=YEAR(A788))*ISNUMBER($K$2:$K$1300)*ISNUMBER($L$2:$L$1300)*($L$2:$L$1300=0)*($K$2:$K$1300&gt;0))&gt;0,"INCOMPLETE","MISSING"),O76)</f>
        <v>MISSING</v>
      </c>
      <c r="P788" s="193" t="str">
        <f>INDEX(_TARGETS!$K$2:$K$17,MATCH($C788,_TARGETS!$A$2:$A$17,0))</f>
        <v>OPS (carga manual en Datos)</v>
      </c>
      <c r="Q788" s="193" t="str">
        <f t="shared" si="64"/>
        <v>202611|ICCS|YTD</v>
      </c>
      <c r="R788" s="193" t="str">
        <f>INDEX(_TARGETS!$H$2:$H$17,MATCH($C788,_TARGETS!$A$2:$A$17,0))</f>
        <v>Definida</v>
      </c>
      <c r="S788" s="193">
        <f t="shared" si="65"/>
        <v>1</v>
      </c>
      <c r="T788" s="193" t="str">
        <f t="shared" si="66"/>
        <v/>
      </c>
    </row>
    <row r="789" spans="1:20" ht="14.25" customHeight="1" x14ac:dyDescent="0.3">
      <c r="A789" s="249">
        <f>KPIs!$G$3</f>
        <v>46327</v>
      </c>
      <c r="B789" s="193" t="str">
        <f>KPIs!G$4</f>
        <v>Compresora</v>
      </c>
      <c r="C789" t="s">
        <v>89</v>
      </c>
      <c r="D789" s="193" t="str">
        <f>KPIs!$A$47</f>
        <v>12 · Cumplimiento de comités y subcomités de seguridad · YTD</v>
      </c>
      <c r="E789" t="s">
        <v>601</v>
      </c>
      <c r="F789" s="193" t="str">
        <f>IF(ISNUMBER(KPIs!G47),KPIs!G47,"")</f>
        <v/>
      </c>
      <c r="G789" s="254">
        <f>IF(ISNUMBER(KPIs!$C$47),KPIs!$C$47,"")</f>
        <v>1</v>
      </c>
      <c r="H789" s="193" t="str">
        <f>IFERROR(INDEX(_TARGETS!$E$2:$E$17,MATCH($C789,_TARGETS!$A$2:$A$17,0))&amp;"","")</f>
        <v>≥</v>
      </c>
      <c r="I789" s="193" t="str">
        <f t="shared" si="62"/>
        <v/>
      </c>
      <c r="J789" s="193" t="str">
        <f t="shared" si="63"/>
        <v>YTD</v>
      </c>
      <c r="K789" s="193">
        <f>SUMIFS(Datos!$D$26:$AL$26,Datos!$D$3:$AL$3,"&gt;="&amp;DATE(YEAR(Datos!G$3),1,1),Datos!$D$3:$AL$3,"&lt;="&amp;Datos!G$3)</f>
        <v>1</v>
      </c>
      <c r="L789" s="193">
        <f>SUMIFS(Datos!$D$27:$AL$27,Datos!$D$3:$AL$3,"&gt;="&amp;DATE(YEAR(Datos!G$3),1,1),Datos!$D$3:$AL$3,"&lt;="&amp;Datos!G$3)</f>
        <v>1</v>
      </c>
      <c r="M789" s="193">
        <f>INDEX(_TARGETS!$J$2:$J$17,MATCH($C789,_TARGETS!$A$2:$A$17,0))</f>
        <v>1</v>
      </c>
      <c r="N789" s="193" t="str">
        <f>INDEX(_TARGETS!$D$2:$D$17,MATCH($C789,_TARGETS!$A$2:$A$17,0))</f>
        <v>% (fracción)</v>
      </c>
      <c r="O789" s="193" t="str">
        <f>IF(NOT(ISNUMBER(F789)),IF(SUMPRODUCT(($C$2:$C$1300=C789)*($J$2:$J$1300="Monthly")*($A$2:$A$1300&lt;=A789)*(YEAR($A$2:$A$1300)=YEAR(A789))*ISNUMBER($K$2:$K$1300)*ISNUMBER($L$2:$L$1300)*($L$2:$L$1300=0)*($K$2:$K$1300&gt;0))&gt;0,"INCOMPLETE","MISSING"),O77)</f>
        <v>MISSING</v>
      </c>
      <c r="P789" s="193" t="str">
        <f>INDEX(_TARGETS!$K$2:$K$17,MATCH($C789,_TARGETS!$A$2:$A$17,0))</f>
        <v>OPS (carga manual en Datos)</v>
      </c>
      <c r="Q789" s="193" t="str">
        <f t="shared" si="64"/>
        <v>202611|CCS|YTD</v>
      </c>
      <c r="R789" s="193" t="str">
        <f>INDEX(_TARGETS!$H$2:$H$17,MATCH($C789,_TARGETS!$A$2:$A$17,0))</f>
        <v>Definida</v>
      </c>
      <c r="S789" s="193">
        <f t="shared" si="65"/>
        <v>1</v>
      </c>
      <c r="T789" s="193" t="str">
        <f t="shared" si="66"/>
        <v/>
      </c>
    </row>
    <row r="790" spans="1:20" ht="14.25" customHeight="1" x14ac:dyDescent="0.3">
      <c r="A790" s="249">
        <f>KPIs!$G$3</f>
        <v>46327</v>
      </c>
      <c r="B790" s="193" t="str">
        <f>KPIs!G$4</f>
        <v>Compresora</v>
      </c>
      <c r="C790" t="s">
        <v>91</v>
      </c>
      <c r="D790" s="193" t="str">
        <f>KPIs!$A$48</f>
        <v>13 · Días promedio para cerrar hallazgos · YTD</v>
      </c>
      <c r="E790" t="s">
        <v>601</v>
      </c>
      <c r="F790" s="251" t="str">
        <f>IF(ISNUMBER(KPIs!G48),KPIs!G48,"")</f>
        <v/>
      </c>
      <c r="G790" s="193" t="str">
        <f>IF(ISNUMBER(KPIs!$C$48),KPIs!$C$48,"")</f>
        <v/>
      </c>
      <c r="H790" s="193" t="str">
        <f>IFERROR(INDEX(_TARGETS!$E$2:$E$17,MATCH($C790,_TARGETS!$A$2:$A$17,0))&amp;"","")</f>
        <v>≤</v>
      </c>
      <c r="I790" s="193" t="str">
        <f t="shared" si="62"/>
        <v/>
      </c>
      <c r="J790" s="193" t="str">
        <f t="shared" si="63"/>
        <v>YTD</v>
      </c>
      <c r="K790" s="193">
        <f>SUMIFS(Datos!$D$68:$AL$68,Datos!$D$3:$AL$3,"&gt;="&amp;DATE(YEAR(Datos!G$3),1,1),Datos!$D$3:$AL$3,"&lt;="&amp;Datos!G$3)</f>
        <v>37</v>
      </c>
      <c r="L790" s="193">
        <f>SUMIFS(Datos!$D$67:$AL$67,Datos!$D$3:$AL$3,"&gt;="&amp;DATE(YEAR(Datos!G$3),1,1),Datos!$D$3:$AL$3,"&lt;="&amp;Datos!G$3)</f>
        <v>34</v>
      </c>
      <c r="M790" s="193">
        <f>INDEX(_TARGETS!$J$2:$J$17,MATCH($C790,_TARGETS!$A$2:$A$17,0))</f>
        <v>1</v>
      </c>
      <c r="N790" s="193" t="str">
        <f>INDEX(_TARGETS!$D$2:$D$17,MATCH($C790,_TARGETS!$A$2:$A$17,0))</f>
        <v>días</v>
      </c>
      <c r="O790" s="193" t="str">
        <f>IF(NOT(ISNUMBER(F790)),IF(SUMPRODUCT(($C$2:$C$1300=C790)*($J$2:$J$1300="Monthly")*($A$2:$A$1300&lt;=A790)*(YEAR($A$2:$A$1300)=YEAR(A790))*ISNUMBER($K$2:$K$1300)*ISNUMBER($L$2:$L$1300)*($L$2:$L$1300=0)*($K$2:$K$1300&gt;0))&gt;0,"INCOMPLETE","MISSING"),O78)</f>
        <v>MISSING</v>
      </c>
      <c r="P790" s="193" t="str">
        <f>INDEX(_TARGETS!$K$2:$K$17,MATCH($C790,_TARGETS!$A$2:$A$17,0))</f>
        <v>Plant Findings (hoja Observaciones-SMP)</v>
      </c>
      <c r="Q790" s="193" t="str">
        <f t="shared" si="64"/>
        <v>202611|DPAS|YTD</v>
      </c>
      <c r="R790" s="193" t="str">
        <f>INDEX(_TARGETS!$H$2:$H$17,MATCH($C790,_TARGETS!$A$2:$A$17,0))</f>
        <v>Pendiente (meta 2027)</v>
      </c>
      <c r="S790" s="193">
        <f t="shared" si="65"/>
        <v>1.08823529411765</v>
      </c>
      <c r="T790" s="193" t="str">
        <f t="shared" si="66"/>
        <v/>
      </c>
    </row>
    <row r="791" spans="1:20" ht="14.25" customHeight="1" x14ac:dyDescent="0.3">
      <c r="A791" s="249">
        <f>KPIs!$G$3</f>
        <v>46327</v>
      </c>
      <c r="B791" s="193" t="str">
        <f>KPIs!G$4</f>
        <v>Compresora</v>
      </c>
      <c r="C791" t="s">
        <v>96</v>
      </c>
      <c r="D791" s="193" t="str">
        <f>KPIs!$A$49</f>
        <v>C1 · % de desvíos detectados de gravedad Alta · YTD</v>
      </c>
      <c r="E791" t="s">
        <v>601</v>
      </c>
      <c r="F791" s="193" t="str">
        <f>IF(ISNUMBER(KPIs!G49),KPIs!G49,"")</f>
        <v/>
      </c>
      <c r="G791" s="193" t="str">
        <f>IF(ISNUMBER(KPIs!$C$49),KPIs!$C$49,"")</f>
        <v/>
      </c>
      <c r="H791" s="193" t="str">
        <f>IFERROR(INDEX(_TARGETS!$E$2:$E$17,MATCH($C791,_TARGETS!$A$2:$A$17,0))&amp;"","")</f>
        <v/>
      </c>
      <c r="I791" s="193" t="str">
        <f t="shared" si="62"/>
        <v/>
      </c>
      <c r="J791" s="193" t="str">
        <f t="shared" si="63"/>
        <v>YTD</v>
      </c>
      <c r="K791" s="193">
        <f>SUMIFS(Datos!$D$71:$AL$71,Datos!$D$3:$AL$3,"&gt;="&amp;DATE(YEAR(Datos!G$3),1,1),Datos!$D$3:$AL$3,"&lt;="&amp;Datos!G$3)</f>
        <v>0</v>
      </c>
      <c r="L791" s="193">
        <f>SUMIFS(Datos!$D$71:$AL$71,Datos!$D$3:$AL$3,"&gt;="&amp;DATE(YEAR(Datos!G$3),1,1),Datos!$D$3:$AL$3,"&lt;="&amp;Datos!G$3)+SUMIFS(Datos!$D$72:$AL$72,Datos!$D$3:$AL$3,"&gt;="&amp;DATE(YEAR(Datos!G$3),1,1),Datos!$D$3:$AL$3,"&lt;="&amp;Datos!G$3)+SUMIFS(Datos!$D$73:$AL$73,Datos!$D$3:$AL$3,"&gt;="&amp;DATE(YEAR(Datos!G$3),1,1),Datos!$D$3:$AL$3,"&lt;="&amp;Datos!G$3)</f>
        <v>0</v>
      </c>
      <c r="M791" s="193">
        <f>INDEX(_TARGETS!$J$2:$J$17,MATCH($C791,_TARGETS!$A$2:$A$17,0))</f>
        <v>1</v>
      </c>
      <c r="N791" s="193" t="str">
        <f>INDEX(_TARGETS!$D$2:$D$17,MATCH($C791,_TARGETS!$A$2:$A$17,0))</f>
        <v>% (fracción)</v>
      </c>
      <c r="O791" s="193" t="str">
        <f t="shared" ref="O791:O797" si="68">IF(NOT(ISNUMBER(F791)),IF(SUMPRODUCT(($C$2:$C$1300=C791)*($J$2:$J$1300="Monthly")*($A$2:$A$1300&lt;=A791)*(YEAR($A$2:$A$1300)=YEAR(A791))*ISNUMBER($K$2:$K$1300)*ISNUMBER($L$2:$L$1300)*($L$2:$L$1300=0)*($K$2:$K$1300&gt;0))&gt;0,"INCOMPLETE","MISSING"),O84)</f>
        <v>MISSING</v>
      </c>
      <c r="P791" s="193" t="str">
        <f>INDEX(_TARGETS!$K$2:$K$17,MATCH($C791,_TARGETS!$A$2:$A$17,0))</f>
        <v>Plant Findings (hoja Observaciones-SMP)</v>
      </c>
      <c r="Q791" s="193" t="str">
        <f t="shared" si="64"/>
        <v>202611|HAL_ALTA_PCT|YTD</v>
      </c>
      <c r="R791" s="193" t="str">
        <f>INDEX(_TARGETS!$H$2:$H$17,MATCH($C791,_TARGETS!$A$2:$A$17,0))</f>
        <v>Solo reporte</v>
      </c>
      <c r="S791" s="193" t="str">
        <f t="shared" si="65"/>
        <v/>
      </c>
      <c r="T791" s="193" t="str">
        <f t="shared" si="66"/>
        <v/>
      </c>
    </row>
    <row r="792" spans="1:20" ht="14.25" customHeight="1" x14ac:dyDescent="0.3">
      <c r="A792" s="249">
        <f>KPIs!$G$3</f>
        <v>46327</v>
      </c>
      <c r="B792" s="193" t="str">
        <f>KPIs!G$4</f>
        <v>Compresora</v>
      </c>
      <c r="C792" t="s">
        <v>98</v>
      </c>
      <c r="D792" s="193" t="str">
        <f>KPIs!$A$50</f>
        <v>C2 · Detenciones de tareas aplicadas · YTD</v>
      </c>
      <c r="E792" t="s">
        <v>601</v>
      </c>
      <c r="F792" s="193" t="str">
        <f>IF(ISNUMBER(KPIs!G50),KPIs!G50,"")</f>
        <v/>
      </c>
      <c r="G792" s="193" t="str">
        <f>IF(ISNUMBER(KPIs!$C$50),KPIs!$C$50,"")</f>
        <v/>
      </c>
      <c r="H792" s="193" t="str">
        <f>IFERROR(INDEX(_TARGETS!$E$2:$E$17,MATCH($C792,_TARGETS!$A$2:$A$17,0))&amp;"","")</f>
        <v/>
      </c>
      <c r="I792" s="193" t="str">
        <f t="shared" si="62"/>
        <v/>
      </c>
      <c r="J792" s="193" t="str">
        <f t="shared" si="63"/>
        <v>YTD</v>
      </c>
      <c r="K792" s="193">
        <f>SUMIFS(Datos!$D$75:$AL$75,Datos!$D$3:$AL$3,"&gt;="&amp;DATE(YEAR(Datos!G$3),1,1),Datos!$D$3:$AL$3,"&lt;="&amp;Datos!G$3)</f>
        <v>0</v>
      </c>
      <c r="M792" s="193">
        <f>INDEX(_TARGETS!$J$2:$J$17,MATCH($C792,_TARGETS!$A$2:$A$17,0))</f>
        <v>1</v>
      </c>
      <c r="N792" s="193" t="str">
        <f>INDEX(_TARGETS!$D$2:$D$17,MATCH($C792,_TARGETS!$A$2:$A$17,0))</f>
        <v>u</v>
      </c>
      <c r="O792" s="193" t="str">
        <f t="shared" si="68"/>
        <v>MISSING</v>
      </c>
      <c r="P792" s="193" t="str">
        <f>INDEX(_TARGETS!$K$2:$K$17,MATCH($C792,_TARGETS!$A$2:$A$17,0))</f>
        <v>Plant Findings (hoja Observaciones-SMP)</v>
      </c>
      <c r="Q792" s="193" t="str">
        <f t="shared" si="64"/>
        <v>202611|DET|YTD</v>
      </c>
      <c r="R792" s="193" t="str">
        <f>INDEX(_TARGETS!$H$2:$H$17,MATCH($C792,_TARGETS!$A$2:$A$17,0))</f>
        <v>Solo reporte</v>
      </c>
      <c r="S792" s="193">
        <f t="shared" si="65"/>
        <v>0</v>
      </c>
      <c r="T792" s="193" t="str">
        <f t="shared" si="66"/>
        <v/>
      </c>
    </row>
    <row r="793" spans="1:20" ht="14.25" customHeight="1" x14ac:dyDescent="0.3">
      <c r="A793" s="249">
        <f>KPIs!$H$3</f>
        <v>46357</v>
      </c>
      <c r="B793" s="193" t="str">
        <f>KPIs!H$4</f>
        <v>Compresora</v>
      </c>
      <c r="C793" t="s">
        <v>39</v>
      </c>
      <c r="D793" s="193" t="str">
        <f>KPIs!$A$37</f>
        <v>1 · Frecuencia de casos con días perdidos · YTD</v>
      </c>
      <c r="E793" t="s">
        <v>601</v>
      </c>
      <c r="F793" s="193" t="str">
        <f>IF(ISNUMBER(KPIs!H37),KPIs!H37,"")</f>
        <v/>
      </c>
      <c r="G793" s="250">
        <f>IF(ISNUMBER(KPIs!$C$37),KPIs!$C$37,"")</f>
        <v>0</v>
      </c>
      <c r="H793" s="193" t="str">
        <f>IFERROR(INDEX(_TARGETS!$E$2:$E$17,MATCH($C793,_TARGETS!$A$2:$A$17,0))&amp;"","")</f>
        <v>≤</v>
      </c>
      <c r="I793" s="193" t="str">
        <f t="shared" si="62"/>
        <v/>
      </c>
      <c r="J793" s="193" t="str">
        <f t="shared" si="63"/>
        <v>YTD</v>
      </c>
      <c r="K793" s="193">
        <f>SUMIFS(Datos!$D$33:$AL$33,Datos!$D$3:$AL$3,"&gt;="&amp;DATE(YEAR(Datos!H$3),1,1),Datos!$D$3:$AL$3,"&lt;="&amp;Datos!H$3)</f>
        <v>0</v>
      </c>
      <c r="L793" s="193">
        <f>SUMIFS(Datos!$D$14:$AL$14,Datos!$D$3:$AL$3,"&gt;="&amp;DATE(YEAR(Datos!H$3),1,1),Datos!$D$3:$AL$3,"&lt;="&amp;Datos!H$3)</f>
        <v>48332</v>
      </c>
      <c r="M793" s="193">
        <f>INDEX(_TARGETS!$J$2:$J$17,MATCH($C793,_TARGETS!$A$2:$A$17,0))</f>
        <v>1000000</v>
      </c>
      <c r="N793" s="193" t="str">
        <f>INDEX(_TARGETS!$D$2:$D$17,MATCH($C793,_TARGETS!$A$2:$A$17,0))</f>
        <v>casos / 10^6 HH</v>
      </c>
      <c r="O793" s="193" t="str">
        <f t="shared" si="68"/>
        <v>MISSING</v>
      </c>
      <c r="P793" s="193" t="str">
        <f>INDEX(_TARGETS!$K$2:$K$17,MATCH($C793,_TARGETS!$A$2:$A$17,0))</f>
        <v>OPS (carga manual en Datos)</v>
      </c>
      <c r="Q793" s="193" t="str">
        <f t="shared" si="64"/>
        <v>202612|DAFWCF|YTD</v>
      </c>
      <c r="R793" s="193" t="str">
        <f>INDEX(_TARGETS!$H$2:$H$17,MATCH($C793,_TARGETS!$A$2:$A$17,0))</f>
        <v>Definida</v>
      </c>
      <c r="S793" s="193">
        <f t="shared" si="65"/>
        <v>0</v>
      </c>
      <c r="T793" s="193" t="str">
        <f t="shared" si="66"/>
        <v/>
      </c>
    </row>
    <row r="794" spans="1:20" ht="14.25" customHeight="1" x14ac:dyDescent="0.3">
      <c r="A794" s="249">
        <f>KPIs!$H$3</f>
        <v>46357</v>
      </c>
      <c r="B794" s="193" t="str">
        <f>KPIs!H$4</f>
        <v>Compresora</v>
      </c>
      <c r="C794" t="s">
        <v>49</v>
      </c>
      <c r="D794" s="193" t="str">
        <f>KPIs!$A$38</f>
        <v>2 · Frecuencia de casos registrables · YTD</v>
      </c>
      <c r="E794" t="s">
        <v>601</v>
      </c>
      <c r="F794" s="193" t="str">
        <f>IF(ISNUMBER(KPIs!H38),KPIs!H38,"")</f>
        <v/>
      </c>
      <c r="G794" s="250">
        <f>IF(ISNUMBER(KPIs!$C$38),KPIs!$C$38,"")</f>
        <v>2.35</v>
      </c>
      <c r="H794" s="193" t="str">
        <f>IFERROR(INDEX(_TARGETS!$E$2:$E$17,MATCH($C794,_TARGETS!$A$2:$A$17,0))&amp;"","")</f>
        <v>≤</v>
      </c>
      <c r="I794" s="193" t="str">
        <f t="shared" si="62"/>
        <v/>
      </c>
      <c r="J794" s="193" t="str">
        <f t="shared" si="63"/>
        <v>YTD</v>
      </c>
      <c r="K794" s="193">
        <f>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f>
        <v>0</v>
      </c>
      <c r="L794" s="193">
        <f>SUMIFS(Datos!$D$14:$AL$14,Datos!$D$3:$AL$3,"&gt;="&amp;DATE(YEAR(Datos!H$3),1,1),Datos!$D$3:$AL$3,"&lt;="&amp;Datos!H$3)</f>
        <v>48332</v>
      </c>
      <c r="M794" s="193">
        <f>INDEX(_TARGETS!$J$2:$J$17,MATCH($C794,_TARGETS!$A$2:$A$17,0))</f>
        <v>1000000</v>
      </c>
      <c r="N794" s="193" t="str">
        <f>INDEX(_TARGETS!$D$2:$D$17,MATCH($C794,_TARGETS!$A$2:$A$17,0))</f>
        <v>casos / 10^6 HH</v>
      </c>
      <c r="O794" s="193" t="str">
        <f t="shared" si="68"/>
        <v>MISSING</v>
      </c>
      <c r="P794" s="193" t="str">
        <f>INDEX(_TARGETS!$K$2:$K$17,MATCH($C794,_TARGETS!$A$2:$A$17,0))</f>
        <v>OPS (carga manual en Datos)</v>
      </c>
      <c r="Q794" s="193" t="str">
        <f t="shared" si="64"/>
        <v>202612|TRICF|YTD</v>
      </c>
      <c r="R794" s="193" t="str">
        <f>INDEX(_TARGETS!$H$2:$H$17,MATCH($C794,_TARGETS!$A$2:$A$17,0))</f>
        <v>Definida</v>
      </c>
      <c r="S794" s="193">
        <f t="shared" si="65"/>
        <v>0</v>
      </c>
      <c r="T794" s="193" t="str">
        <f t="shared" si="66"/>
        <v/>
      </c>
    </row>
    <row r="795" spans="1:20" ht="14.25" customHeight="1" x14ac:dyDescent="0.3">
      <c r="A795" s="249">
        <f>KPIs!$H$3</f>
        <v>46357</v>
      </c>
      <c r="B795" s="193" t="str">
        <f>KPIs!H$4</f>
        <v>Compresora</v>
      </c>
      <c r="C795" t="s">
        <v>51</v>
      </c>
      <c r="D795" s="193" t="str">
        <f>KPIs!$A$39</f>
        <v>3 · Casos de primeros auxilios · YTD</v>
      </c>
      <c r="E795" t="s">
        <v>601</v>
      </c>
      <c r="F795" s="193" t="str">
        <f>IF(ISNUMBER(KPIs!H39),KPIs!H39,"")</f>
        <v/>
      </c>
      <c r="G795" s="193" t="str">
        <f>IF(ISNUMBER(KPIs!$C$39),KPIs!$C$39,"")</f>
        <v/>
      </c>
      <c r="H795" s="193" t="str">
        <f>IFERROR(INDEX(_TARGETS!$E$2:$E$17,MATCH($C795,_TARGETS!$A$2:$A$17,0))&amp;"","")</f>
        <v/>
      </c>
      <c r="I795" s="193" t="str">
        <f t="shared" si="62"/>
        <v/>
      </c>
      <c r="J795" s="193" t="str">
        <f t="shared" si="63"/>
        <v>YTD</v>
      </c>
      <c r="K795" s="193">
        <f>SUMIFS(Datos!$D$37:$AL$37,Datos!$D$3:$AL$3,"&gt;="&amp;DATE(YEAR(Datos!H$3),1,1),Datos!$D$3:$AL$3,"&lt;="&amp;Datos!H$3)</f>
        <v>0</v>
      </c>
      <c r="M795" s="193">
        <f>INDEX(_TARGETS!$J$2:$J$17,MATCH($C795,_TARGETS!$A$2:$A$17,0))</f>
        <v>1</v>
      </c>
      <c r="N795" s="193" t="str">
        <f>INDEX(_TARGETS!$D$2:$D$17,MATCH($C795,_TARGETS!$A$2:$A$17,0))</f>
        <v>casos</v>
      </c>
      <c r="O795" s="193" t="str">
        <f t="shared" si="68"/>
        <v>MISSING</v>
      </c>
      <c r="P795" s="193" t="str">
        <f>INDEX(_TARGETS!$K$2:$K$17,MATCH($C795,_TARGETS!$A$2:$A$17,0))</f>
        <v>OPS (carga manual en Datos)</v>
      </c>
      <c r="Q795" s="193" t="str">
        <f t="shared" si="64"/>
        <v>202612|FAC|YTD</v>
      </c>
      <c r="R795" s="193" t="str">
        <f>INDEX(_TARGETS!$H$2:$H$17,MATCH($C795,_TARGETS!$A$2:$A$17,0))</f>
        <v>Solo reporte</v>
      </c>
      <c r="S795" s="193">
        <f t="shared" si="65"/>
        <v>0</v>
      </c>
      <c r="T795" s="193" t="str">
        <f t="shared" si="66"/>
        <v/>
      </c>
    </row>
    <row r="796" spans="1:20" ht="14.25" customHeight="1" x14ac:dyDescent="0.3">
      <c r="A796" s="249">
        <f>KPIs!$H$3</f>
        <v>46357</v>
      </c>
      <c r="B796" s="193" t="str">
        <f>KPIs!H$4</f>
        <v>Compresora</v>
      </c>
      <c r="C796" t="s">
        <v>57</v>
      </c>
      <c r="D796" s="193" t="str">
        <f>KPIs!$A$40</f>
        <v>4 · Accidentes vehiculares severos por millón de km · YTD</v>
      </c>
      <c r="E796" t="s">
        <v>601</v>
      </c>
      <c r="F796" s="193" t="str">
        <f>IF(ISNUMBER(KPIs!H40),KPIs!H40,"")</f>
        <v/>
      </c>
      <c r="G796" s="193" t="str">
        <f>IF(ISNUMBER(KPIs!$C$40),KPIs!$C$40,"")</f>
        <v/>
      </c>
      <c r="H796" s="193" t="str">
        <f>IFERROR(INDEX(_TARGETS!$E$2:$E$17,MATCH($C796,_TARGETS!$A$2:$A$17,0))&amp;"","")</f>
        <v/>
      </c>
      <c r="I796" s="193" t="str">
        <f t="shared" si="62"/>
        <v/>
      </c>
      <c r="J796" s="193" t="str">
        <f t="shared" si="63"/>
        <v>YTD</v>
      </c>
      <c r="K796" s="193">
        <f>SUMIFS(Datos!$D$39:$AL$39,Datos!$D$3:$AL$3,"&gt;="&amp;DATE(YEAR(Datos!H$3),1,1),Datos!$D$3:$AL$3,"&lt;="&amp;Datos!H$3)+SUMIFS(Datos!$D$40:$AL$40,Datos!$D$3:$AL$3,"&gt;="&amp;DATE(YEAR(Datos!H$3),1,1),Datos!$D$3:$AL$3,"&lt;="&amp;Datos!H$3)+SUMIFS(Datos!$D$41:$AL$41,Datos!$D$3:$AL$3,"&gt;="&amp;DATE(YEAR(Datos!H$3),1,1),Datos!$D$3:$AL$3,"&lt;="&amp;Datos!H$3)</f>
        <v>0</v>
      </c>
      <c r="L796" s="193">
        <f>SUMIFS(Datos!$D$47:$AL$47,Datos!$D$3:$AL$3,"&gt;="&amp;DATE(YEAR(Datos!H$3),1,1),Datos!$D$3:$AL$3,"&lt;="&amp;Datos!H$3)</f>
        <v>172824</v>
      </c>
      <c r="M796" s="193">
        <f>INDEX(_TARGETS!$J$2:$J$17,MATCH($C796,_TARGETS!$A$2:$A$17,0))</f>
        <v>1000000</v>
      </c>
      <c r="N796" s="193" t="str">
        <f>INDEX(_TARGETS!$D$2:$D$17,MATCH($C796,_TARGETS!$A$2:$A$17,0))</f>
        <v>eventos / 10^6 km</v>
      </c>
      <c r="O796" s="193" t="str">
        <f t="shared" si="68"/>
        <v>MISSING</v>
      </c>
      <c r="P796" s="193" t="str">
        <f>INDEX(_TARGETS!$K$2:$K$17,MATCH($C796,_TARGETS!$A$2:$A$17,0))</f>
        <v>OPS (eventos) + Full Control GPS (km) - carga manual en Datos</v>
      </c>
      <c r="Q796" s="193" t="str">
        <f t="shared" si="64"/>
        <v>202612|SVCR|YTD</v>
      </c>
      <c r="R796" s="193" t="str">
        <f>INDEX(_TARGETS!$H$2:$H$17,MATCH($C796,_TARGETS!$A$2:$A$17,0))</f>
        <v>Solo reporte</v>
      </c>
      <c r="S796" s="193">
        <f t="shared" si="65"/>
        <v>0</v>
      </c>
      <c r="T796" s="193" t="str">
        <f t="shared" si="66"/>
        <v/>
      </c>
    </row>
    <row r="797" spans="1:20" ht="14.25" customHeight="1" x14ac:dyDescent="0.3">
      <c r="A797" s="249">
        <f>KPIs!$H$3</f>
        <v>46357</v>
      </c>
      <c r="B797" s="193" t="str">
        <f>KPIs!H$4</f>
        <v>Compresora</v>
      </c>
      <c r="C797" t="s">
        <v>61</v>
      </c>
      <c r="D797" s="193" t="str">
        <f>KPIs!$A$41</f>
        <v>5 · Accidentes vehiculares totales por millón de km · YTD</v>
      </c>
      <c r="E797" t="s">
        <v>601</v>
      </c>
      <c r="F797" s="193" t="str">
        <f>IF(ISNUMBER(KPIs!H41),KPIs!H41,"")</f>
        <v/>
      </c>
      <c r="G797" s="250">
        <f>IF(ISNUMBER(KPIs!$C$41),KPIs!$C$41,"")</f>
        <v>0.79</v>
      </c>
      <c r="H797" s="193" t="str">
        <f>IFERROR(INDEX(_TARGETS!$E$2:$E$17,MATCH($C797,_TARGETS!$A$2:$A$17,0))&amp;"","")</f>
        <v>≤</v>
      </c>
      <c r="I797" s="193" t="str">
        <f t="shared" si="62"/>
        <v/>
      </c>
      <c r="J797" s="193" t="str">
        <f t="shared" si="63"/>
        <v>YTD</v>
      </c>
      <c r="K797" s="193">
        <f>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f>
        <v>0</v>
      </c>
      <c r="L797" s="193">
        <f>SUMIFS(Datos!$D$47:$AL$47,Datos!$D$3:$AL$3,"&gt;="&amp;DATE(YEAR(Datos!H$3),1,1),Datos!$D$3:$AL$3,"&lt;="&amp;Datos!H$3)</f>
        <v>172824</v>
      </c>
      <c r="M797" s="193">
        <f>INDEX(_TARGETS!$J$2:$J$17,MATCH($C797,_TARGETS!$A$2:$A$17,0))</f>
        <v>1000000</v>
      </c>
      <c r="N797" s="193" t="str">
        <f>INDEX(_TARGETS!$D$2:$D$17,MATCH($C797,_TARGETS!$A$2:$A$17,0))</f>
        <v>eventos / 10^6 km</v>
      </c>
      <c r="O797" s="193" t="str">
        <f t="shared" si="68"/>
        <v>MISSING</v>
      </c>
      <c r="P797" s="193" t="str">
        <f>INDEX(_TARGETS!$K$2:$K$17,MATCH($C797,_TARGETS!$A$2:$A$17,0))</f>
        <v>OPS (eventos) + Full Control GPS (km) - carga manual en Datos</v>
      </c>
      <c r="Q797" s="193" t="str">
        <f t="shared" si="64"/>
        <v>202612|TVCR|YTD</v>
      </c>
      <c r="R797" s="193" t="str">
        <f>INDEX(_TARGETS!$H$2:$H$17,MATCH($C797,_TARGETS!$A$2:$A$17,0))</f>
        <v>Definida</v>
      </c>
      <c r="S797" s="193">
        <f t="shared" si="65"/>
        <v>0</v>
      </c>
      <c r="T797" s="193" t="str">
        <f t="shared" si="66"/>
        <v/>
      </c>
    </row>
    <row r="798" spans="1:20" ht="14.25" customHeight="1" x14ac:dyDescent="0.3">
      <c r="A798" s="249">
        <f>KPIs!$H$3</f>
        <v>46357</v>
      </c>
      <c r="B798" s="193" t="str">
        <f>KPIs!H$4</f>
        <v>Compresora</v>
      </c>
      <c r="C798" t="s">
        <v>71</v>
      </c>
      <c r="D798" s="193" t="str">
        <f>KPIs!$A$42</f>
        <v>7 · Investigaciones de accidentes: días promedio de cierre · YTD</v>
      </c>
      <c r="E798" t="s">
        <v>601</v>
      </c>
      <c r="F798" s="193" t="str">
        <f>IF(ISNUMBER(KPIs!H42),KPIs!H42,"")</f>
        <v/>
      </c>
      <c r="G798" s="251">
        <f>IF(ISNUMBER(KPIs!$C$42),KPIs!$C$42,"")</f>
        <v>20</v>
      </c>
      <c r="H798" s="193" t="str">
        <f>IFERROR(INDEX(_TARGETS!$E$2:$E$17,MATCH($C798,_TARGETS!$A$2:$A$17,0))&amp;"","")</f>
        <v>≤</v>
      </c>
      <c r="I798" s="193" t="str">
        <f t="shared" si="62"/>
        <v/>
      </c>
      <c r="J798" s="193" t="str">
        <f t="shared" si="63"/>
        <v>YTD</v>
      </c>
      <c r="K798" s="193">
        <f>SUMIFS(Datos!$D$31:$AL$31,Datos!$D$3:$AL$3,"&gt;="&amp;DATE(YEAR(Datos!H$3),1,1),Datos!$D$3:$AL$3,"&lt;="&amp;Datos!H$3)</f>
        <v>0</v>
      </c>
      <c r="L798" s="193">
        <f>SUMIFS(Datos!$D$30:$AL$30,Datos!$D$3:$AL$3,"&gt;="&amp;DATE(YEAR(Datos!H$3),1,1),Datos!$D$3:$AL$3,"&lt;="&amp;Datos!H$3)</f>
        <v>0</v>
      </c>
      <c r="M798" s="193">
        <f>INDEX(_TARGETS!$J$2:$J$17,MATCH($C798,_TARGETS!$A$2:$A$17,0))</f>
        <v>1</v>
      </c>
      <c r="N798" s="193" t="str">
        <f>INDEX(_TARGETS!$D$2:$D$17,MATCH($C798,_TARGETS!$A$2:$A$17,0))</f>
        <v>días</v>
      </c>
      <c r="O798" s="193" t="str">
        <f>IF(NOT(ISNUMBER(F798)),IF(SUMPRODUCT(($C$2:$C$1300=C798)*($J$2:$J$1300="Monthly")*($A$2:$A$1300&lt;=A798)*(YEAR($A$2:$A$1300)=YEAR(A798))*ISNUMBER($K$2:$K$1300)*ISNUMBER($L$2:$L$1300)*($L$2:$L$1300=0)*($K$2:$K$1300&gt;0))&gt;0,"INCOMPLETE","MISSING"),O92)</f>
        <v>MISSING</v>
      </c>
      <c r="P798" s="193" t="str">
        <f>INDEX(_TARGETS!$K$2:$K$17,MATCH($C798,_TARGETS!$A$2:$A$17,0))</f>
        <v>OPS (carga manual en Datos)</v>
      </c>
      <c r="Q798" s="193" t="str">
        <f t="shared" si="64"/>
        <v>202612|INV|YTD</v>
      </c>
      <c r="R798" s="193" t="str">
        <f>INDEX(_TARGETS!$H$2:$H$17,MATCH($C798,_TARGETS!$A$2:$A$17,0))</f>
        <v>Definida</v>
      </c>
      <c r="S798" s="193" t="str">
        <f t="shared" si="65"/>
        <v/>
      </c>
      <c r="T798" s="193" t="str">
        <f t="shared" si="66"/>
        <v/>
      </c>
    </row>
    <row r="799" spans="1:20" ht="14.25" customHeight="1" x14ac:dyDescent="0.3">
      <c r="A799" s="249">
        <f>KPIs!$H$3</f>
        <v>46357</v>
      </c>
      <c r="B799" s="193" t="str">
        <f>KPIs!H$4</f>
        <v>Compresora</v>
      </c>
      <c r="C799" t="s">
        <v>76</v>
      </c>
      <c r="D799" s="193" t="str">
        <f>KPIs!$A$43</f>
        <v>8 · % de capacitación en seguridad · YTD</v>
      </c>
      <c r="E799" t="s">
        <v>601</v>
      </c>
      <c r="F799" s="193" t="str">
        <f>IF(ISNUMBER(KPIs!H43),KPIs!H43,"")</f>
        <v/>
      </c>
      <c r="G799" s="252">
        <f>IF(ISNUMBER(KPIs!$C$43),KPIs!$C$43,"")</f>
        <v>0.01</v>
      </c>
      <c r="H799" s="193" t="str">
        <f>IFERROR(INDEX(_TARGETS!$E$2:$E$17,MATCH($C799,_TARGETS!$A$2:$A$17,0))&amp;"","")</f>
        <v>≥</v>
      </c>
      <c r="I799" s="193" t="str">
        <f t="shared" si="62"/>
        <v/>
      </c>
      <c r="J799" s="193" t="str">
        <f t="shared" si="63"/>
        <v>YTD</v>
      </c>
      <c r="K799" s="193">
        <f>SUMIFS(Datos!$D$18:$AL$18,Datos!$D$3:$AL$3,"&gt;="&amp;DATE(YEAR(Datos!H$3),1,1),Datos!$D$3:$AL$3,"&lt;="&amp;Datos!H$3)</f>
        <v>2151</v>
      </c>
      <c r="L799" s="193">
        <f>SUMIFS(Datos!$D$14:$AL$14,Datos!$D$3:$AL$3,"&gt;="&amp;DATE(YEAR(Datos!H$3),1,1),Datos!$D$3:$AL$3,"&lt;="&amp;Datos!H$3)</f>
        <v>48332</v>
      </c>
      <c r="M799" s="193">
        <f>INDEX(_TARGETS!$J$2:$J$17,MATCH($C799,_TARGETS!$A$2:$A$17,0))</f>
        <v>1</v>
      </c>
      <c r="N799" s="193" t="str">
        <f>INDEX(_TARGETS!$D$2:$D$17,MATCH($C799,_TARGETS!$A$2:$A$17,0))</f>
        <v>% (fracción)</v>
      </c>
      <c r="O799" s="193" t="str">
        <f>IF(NOT(ISNUMBER(F799)),IF(SUMPRODUCT(($C$2:$C$1300=C799)*($J$2:$J$1300="Monthly")*($A$2:$A$1300&lt;=A799)*(YEAR($A$2:$A$1300)=YEAR(A799))*ISNUMBER($K$2:$K$1300)*ISNUMBER($L$2:$L$1300)*($L$2:$L$1300=0)*($K$2:$K$1300&gt;0))&gt;0,"INCOMPLETE","MISSING"),O93)</f>
        <v>MISSING</v>
      </c>
      <c r="P799" s="193" t="str">
        <f>INDEX(_TARGETS!$K$2:$K$17,MATCH($C799,_TARGETS!$A$2:$A$17,0))</f>
        <v>OPS (carga manual en Datos)</v>
      </c>
      <c r="Q799" s="193" t="str">
        <f t="shared" si="64"/>
        <v>202612|HCS|YTD</v>
      </c>
      <c r="R799" s="193" t="str">
        <f>INDEX(_TARGETS!$H$2:$H$17,MATCH($C799,_TARGETS!$A$2:$A$17,0))</f>
        <v>Definida</v>
      </c>
      <c r="S799" s="193">
        <f t="shared" si="65"/>
        <v>0.0445046759910618</v>
      </c>
      <c r="T799" s="193" t="str">
        <f t="shared" si="66"/>
        <v/>
      </c>
    </row>
    <row r="800" spans="1:20" ht="14.25" customHeight="1" x14ac:dyDescent="0.3">
      <c r="A800" s="249">
        <f>KPIs!$H$3</f>
        <v>46357</v>
      </c>
      <c r="B800" s="193" t="str">
        <f>KPIs!H$4</f>
        <v>Compresora</v>
      </c>
      <c r="C800" t="s">
        <v>83</v>
      </c>
      <c r="D800" s="193" t="str">
        <f>KPIs!$A$44</f>
        <v>10 · Cumplimiento de simulacros (emergencia y operativos) · YTD</v>
      </c>
      <c r="E800" t="s">
        <v>601</v>
      </c>
      <c r="F800" s="193" t="str">
        <f>IF(ISNUMBER(KPIs!H44),KPIs!H44,"")</f>
        <v/>
      </c>
      <c r="G800" s="253">
        <f>IF(ISNUMBER(KPIs!$C$44),KPIs!$C$44,"")</f>
        <v>1</v>
      </c>
      <c r="H800" s="193" t="str">
        <f>IFERROR(INDEX(_TARGETS!$E$2:$E$17,MATCH($C800,_TARGETS!$A$2:$A$17,0))&amp;"","")</f>
        <v>≥</v>
      </c>
      <c r="I800" s="193" t="str">
        <f t="shared" si="62"/>
        <v/>
      </c>
      <c r="J800" s="193" t="str">
        <f t="shared" si="63"/>
        <v>YTD</v>
      </c>
      <c r="K800" s="193">
        <f>SUMIFS(Datos!$D$20:$AL$20,Datos!$D$3:$AL$3,"&gt;="&amp;DATE(YEAR(Datos!H$3),1,1),Datos!$D$3:$AL$3,"&lt;="&amp;Datos!H$3)</f>
        <v>3</v>
      </c>
      <c r="L800" s="193">
        <f>SUMIFS(Datos!$D$21:$AL$21,Datos!$D$3:$AL$3,"&gt;="&amp;DATE(YEAR(Datos!H$3),1,1),Datos!$D$3:$AL$3,"&lt;="&amp;Datos!H$3)</f>
        <v>3</v>
      </c>
      <c r="M800" s="193">
        <f>INDEX(_TARGETS!$J$2:$J$17,MATCH($C800,_TARGETS!$A$2:$A$17,0))</f>
        <v>1</v>
      </c>
      <c r="N800" s="193" t="str">
        <f>INDEX(_TARGETS!$D$2:$D$17,MATCH($C800,_TARGETS!$A$2:$A$17,0))</f>
        <v>% (fracción)</v>
      </c>
      <c r="O800" s="193" t="str">
        <f>IF(NOT(ISNUMBER(F800)),IF(SUMPRODUCT(($C$2:$C$1300=C800)*($J$2:$J$1300="Monthly")*($A$2:$A$1300&lt;=A800)*(YEAR($A$2:$A$1300)=YEAR(A800))*ISNUMBER($K$2:$K$1300)*ISNUMBER($L$2:$L$1300)*($L$2:$L$1300=0)*($K$2:$K$1300&gt;0))&gt;0,"INCOMPLETE","MISSING"),O95)</f>
        <v>MISSING</v>
      </c>
      <c r="P800" s="193" t="str">
        <f>INDEX(_TARGETS!$K$2:$K$17,MATCH($C800,_TARGETS!$A$2:$A$17,0))</f>
        <v>OPS (carga manual en Datos)</v>
      </c>
      <c r="Q800" s="193" t="str">
        <f t="shared" si="64"/>
        <v>202612|CPSE|YTD</v>
      </c>
      <c r="R800" s="193" t="str">
        <f>INDEX(_TARGETS!$H$2:$H$17,MATCH($C800,_TARGETS!$A$2:$A$17,0))</f>
        <v>Definida</v>
      </c>
      <c r="S800" s="193">
        <f t="shared" si="65"/>
        <v>1</v>
      </c>
      <c r="T800" s="193" t="str">
        <f t="shared" si="66"/>
        <v/>
      </c>
    </row>
    <row r="801" spans="1:20" ht="14.25" customHeight="1" x14ac:dyDescent="0.3">
      <c r="A801" s="249">
        <f>KPIs!$H$3</f>
        <v>46357</v>
      </c>
      <c r="B801" s="193" t="str">
        <f>KPIs!H$4</f>
        <v>Compresora</v>
      </c>
      <c r="C801" t="s">
        <v>85</v>
      </c>
      <c r="D801" s="193" t="str">
        <f>KPIs!$A$45</f>
        <v>10b · Cumplimiento de acciones de mejora de simulacros · YTD</v>
      </c>
      <c r="E801" t="s">
        <v>601</v>
      </c>
      <c r="F801" s="193" t="str">
        <f>IF(ISNUMBER(KPIs!H45),KPIs!H45,"")</f>
        <v/>
      </c>
      <c r="G801" s="254" t="str">
        <f>IF(ISNUMBER(KPIs!$C$45),KPIs!$C$45,"")</f>
        <v/>
      </c>
      <c r="H801" s="193" t="str">
        <f>IFERROR(INDEX(_TARGETS!$E$2:$E$17,MATCH($C801,_TARGETS!$A$2:$A$17,0))&amp;"","")</f>
        <v/>
      </c>
      <c r="I801" s="193" t="str">
        <f t="shared" si="62"/>
        <v/>
      </c>
      <c r="J801" s="193" t="str">
        <f t="shared" si="63"/>
        <v>YTD</v>
      </c>
      <c r="K801" s="193">
        <f>SUMIFS(Datos!$D$23:$AL$23,Datos!$D$3:$AL$3,"&gt;="&amp;DATE(YEAR(Datos!H$3),1,1),Datos!$D$3:$AL$3,"&lt;="&amp;Datos!H$3)</f>
        <v>1</v>
      </c>
      <c r="L801" s="193">
        <f>SUMIFS(Datos!$D$22:$AL$22,Datos!$D$3:$AL$3,"&gt;="&amp;DATE(YEAR(Datos!H$3),1,1),Datos!$D$3:$AL$3,"&lt;="&amp;Datos!H$3)</f>
        <v>1</v>
      </c>
      <c r="M801" s="193">
        <f>INDEX(_TARGETS!$J$2:$J$17,MATCH($C801,_TARGETS!$A$2:$A$17,0))</f>
        <v>1</v>
      </c>
      <c r="N801" s="193" t="str">
        <f>INDEX(_TARGETS!$D$2:$D$17,MATCH($C801,_TARGETS!$A$2:$A$17,0))</f>
        <v>% (fracción)</v>
      </c>
      <c r="O801" s="193" t="str">
        <f>IF(NOT(ISNUMBER(F801)),IF(SUMPRODUCT(($C$2:$C$1300=C801)*($J$2:$J$1300="Monthly")*($A$2:$A$1300&lt;=A801)*(YEAR($A$2:$A$1300)=YEAR(A801))*ISNUMBER($K$2:$K$1300)*ISNUMBER($L$2:$L$1300)*($L$2:$L$1300=0)*($K$2:$K$1300&gt;0))&gt;0,"INCOMPLETE","MISSING"),O96)</f>
        <v>MISSING</v>
      </c>
      <c r="P801" s="193" t="str">
        <f>INDEX(_TARGETS!$K$2:$K$17,MATCH($C801,_TARGETS!$A$2:$A$17,0))</f>
        <v>OPS (carga manual en Datos)</v>
      </c>
      <c r="Q801" s="193" t="str">
        <f t="shared" si="64"/>
        <v>202612|CAMS|YTD</v>
      </c>
      <c r="R801" s="193" t="str">
        <f>INDEX(_TARGETS!$H$2:$H$17,MATCH($C801,_TARGETS!$A$2:$A$17,0))</f>
        <v>Solo reporte</v>
      </c>
      <c r="S801" s="193">
        <f t="shared" si="65"/>
        <v>1</v>
      </c>
      <c r="T801" s="193" t="str">
        <f t="shared" si="66"/>
        <v/>
      </c>
    </row>
    <row r="802" spans="1:20" ht="14.25" customHeight="1" x14ac:dyDescent="0.3">
      <c r="A802" s="249">
        <f>KPIs!$H$3</f>
        <v>46357</v>
      </c>
      <c r="B802" s="193" t="str">
        <f>KPIs!H$4</f>
        <v>Compresora</v>
      </c>
      <c r="C802" t="s">
        <v>87</v>
      </c>
      <c r="D802" s="193" t="str">
        <f>KPIs!$A$46</f>
        <v>11 · Cumplimiento de caminatas gerenciales · YTD</v>
      </c>
      <c r="E802" t="s">
        <v>601</v>
      </c>
      <c r="F802" s="193" t="str">
        <f>IF(ISNUMBER(KPIs!H46),KPIs!H46,"")</f>
        <v/>
      </c>
      <c r="G802" s="254">
        <f>IF(ISNUMBER(KPIs!$C$46),KPIs!$C$46,"")</f>
        <v>1</v>
      </c>
      <c r="H802" s="193" t="str">
        <f>IFERROR(INDEX(_TARGETS!$E$2:$E$17,MATCH($C802,_TARGETS!$A$2:$A$17,0))&amp;"","")</f>
        <v>≥</v>
      </c>
      <c r="I802" s="193" t="str">
        <f t="shared" si="62"/>
        <v/>
      </c>
      <c r="J802" s="193" t="str">
        <f t="shared" si="63"/>
        <v>YTD</v>
      </c>
      <c r="K802" s="193">
        <f>SUMIFS(Datos!$D$24:$AL$24,Datos!$D$3:$AL$3,"&gt;="&amp;DATE(YEAR(Datos!H$3),1,1),Datos!$D$3:$AL$3,"&lt;="&amp;Datos!H$3)</f>
        <v>3</v>
      </c>
      <c r="L802" s="193">
        <f>SUMIFS(Datos!$D$25:$AL$25,Datos!$D$3:$AL$3,"&gt;="&amp;DATE(YEAR(Datos!H$3),1,1),Datos!$D$3:$AL$3,"&lt;="&amp;Datos!H$3)</f>
        <v>3</v>
      </c>
      <c r="M802" s="193">
        <f>INDEX(_TARGETS!$J$2:$J$17,MATCH($C802,_TARGETS!$A$2:$A$17,0))</f>
        <v>1</v>
      </c>
      <c r="N802" s="193" t="str">
        <f>INDEX(_TARGETS!$D$2:$D$17,MATCH($C802,_TARGETS!$A$2:$A$17,0))</f>
        <v>% (fracción)</v>
      </c>
      <c r="O802" s="193" t="str">
        <f>IF(NOT(ISNUMBER(F802)),IF(SUMPRODUCT(($C$2:$C$1300=C802)*($J$2:$J$1300="Monthly")*($A$2:$A$1300&lt;=A802)*(YEAR($A$2:$A$1300)=YEAR(A802))*ISNUMBER($K$2:$K$1300)*ISNUMBER($L$2:$L$1300)*($L$2:$L$1300=0)*($K$2:$K$1300&gt;0))&gt;0,"INCOMPLETE","MISSING"),O97)</f>
        <v>MISSING</v>
      </c>
      <c r="P802" s="193" t="str">
        <f>INDEX(_TARGETS!$K$2:$K$17,MATCH($C802,_TARGETS!$A$2:$A$17,0))</f>
        <v>OPS (carga manual en Datos)</v>
      </c>
      <c r="Q802" s="193" t="str">
        <f t="shared" si="64"/>
        <v>202612|ICCS|YTD</v>
      </c>
      <c r="R802" s="193" t="str">
        <f>INDEX(_TARGETS!$H$2:$H$17,MATCH($C802,_TARGETS!$A$2:$A$17,0))</f>
        <v>Definida</v>
      </c>
      <c r="S802" s="193">
        <f t="shared" si="65"/>
        <v>1</v>
      </c>
      <c r="T802" s="193" t="str">
        <f t="shared" si="66"/>
        <v/>
      </c>
    </row>
    <row r="803" spans="1:20" ht="14.25" customHeight="1" x14ac:dyDescent="0.3">
      <c r="A803" s="249">
        <f>KPIs!$H$3</f>
        <v>46357</v>
      </c>
      <c r="B803" s="193" t="str">
        <f>KPIs!H$4</f>
        <v>Compresora</v>
      </c>
      <c r="C803" t="s">
        <v>89</v>
      </c>
      <c r="D803" s="193" t="str">
        <f>KPIs!$A$47</f>
        <v>12 · Cumplimiento de comités y subcomités de seguridad · YTD</v>
      </c>
      <c r="E803" t="s">
        <v>601</v>
      </c>
      <c r="F803" s="193" t="str">
        <f>IF(ISNUMBER(KPIs!H47),KPIs!H47,"")</f>
        <v/>
      </c>
      <c r="G803" s="254">
        <f>IF(ISNUMBER(KPIs!$C$47),KPIs!$C$47,"")</f>
        <v>1</v>
      </c>
      <c r="H803" s="193" t="str">
        <f>IFERROR(INDEX(_TARGETS!$E$2:$E$17,MATCH($C803,_TARGETS!$A$2:$A$17,0))&amp;"","")</f>
        <v>≥</v>
      </c>
      <c r="I803" s="193" t="str">
        <f t="shared" si="62"/>
        <v/>
      </c>
      <c r="J803" s="193" t="str">
        <f t="shared" si="63"/>
        <v>YTD</v>
      </c>
      <c r="K803" s="193">
        <f>SUMIFS(Datos!$D$26:$AL$26,Datos!$D$3:$AL$3,"&gt;="&amp;DATE(YEAR(Datos!H$3),1,1),Datos!$D$3:$AL$3,"&lt;="&amp;Datos!H$3)</f>
        <v>1</v>
      </c>
      <c r="L803" s="193">
        <f>SUMIFS(Datos!$D$27:$AL$27,Datos!$D$3:$AL$3,"&gt;="&amp;DATE(YEAR(Datos!H$3),1,1),Datos!$D$3:$AL$3,"&lt;="&amp;Datos!H$3)</f>
        <v>1</v>
      </c>
      <c r="M803" s="193">
        <f>INDEX(_TARGETS!$J$2:$J$17,MATCH($C803,_TARGETS!$A$2:$A$17,0))</f>
        <v>1</v>
      </c>
      <c r="N803" s="193" t="str">
        <f>INDEX(_TARGETS!$D$2:$D$17,MATCH($C803,_TARGETS!$A$2:$A$17,0))</f>
        <v>% (fracción)</v>
      </c>
      <c r="O803" s="193" t="str">
        <f>IF(NOT(ISNUMBER(F803)),IF(SUMPRODUCT(($C$2:$C$1300=C803)*($J$2:$J$1300="Monthly")*($A$2:$A$1300&lt;=A803)*(YEAR($A$2:$A$1300)=YEAR(A803))*ISNUMBER($K$2:$K$1300)*ISNUMBER($L$2:$L$1300)*($L$2:$L$1300=0)*($K$2:$K$1300&gt;0))&gt;0,"INCOMPLETE","MISSING"),O98)</f>
        <v>MISSING</v>
      </c>
      <c r="P803" s="193" t="str">
        <f>INDEX(_TARGETS!$K$2:$K$17,MATCH($C803,_TARGETS!$A$2:$A$17,0))</f>
        <v>OPS (carga manual en Datos)</v>
      </c>
      <c r="Q803" s="193" t="str">
        <f t="shared" si="64"/>
        <v>202612|CCS|YTD</v>
      </c>
      <c r="R803" s="193" t="str">
        <f>INDEX(_TARGETS!$H$2:$H$17,MATCH($C803,_TARGETS!$A$2:$A$17,0))</f>
        <v>Definida</v>
      </c>
      <c r="S803" s="193">
        <f t="shared" si="65"/>
        <v>1</v>
      </c>
      <c r="T803" s="193" t="str">
        <f t="shared" si="66"/>
        <v/>
      </c>
    </row>
    <row r="804" spans="1:20" ht="14.25" customHeight="1" x14ac:dyDescent="0.3">
      <c r="A804" s="249">
        <f>KPIs!$H$3</f>
        <v>46357</v>
      </c>
      <c r="B804" s="193" t="str">
        <f>KPIs!H$4</f>
        <v>Compresora</v>
      </c>
      <c r="C804" t="s">
        <v>91</v>
      </c>
      <c r="D804" s="193" t="str">
        <f>KPIs!$A$48</f>
        <v>13 · Días promedio para cerrar hallazgos · YTD</v>
      </c>
      <c r="E804" t="s">
        <v>601</v>
      </c>
      <c r="F804" s="251" t="str">
        <f>IF(ISNUMBER(KPIs!H48),KPIs!H48,"")</f>
        <v/>
      </c>
      <c r="G804" s="193" t="str">
        <f>IF(ISNUMBER(KPIs!$C$48),KPIs!$C$48,"")</f>
        <v/>
      </c>
      <c r="H804" s="193" t="str">
        <f>IFERROR(INDEX(_TARGETS!$E$2:$E$17,MATCH($C804,_TARGETS!$A$2:$A$17,0))&amp;"","")</f>
        <v>≤</v>
      </c>
      <c r="I804" s="193" t="str">
        <f t="shared" si="62"/>
        <v/>
      </c>
      <c r="J804" s="193" t="str">
        <f t="shared" si="63"/>
        <v>YTD</v>
      </c>
      <c r="K804" s="193">
        <f>SUMIFS(Datos!$D$68:$AL$68,Datos!$D$3:$AL$3,"&gt;="&amp;DATE(YEAR(Datos!H$3),1,1),Datos!$D$3:$AL$3,"&lt;="&amp;Datos!H$3)</f>
        <v>37</v>
      </c>
      <c r="L804" s="193">
        <f>SUMIFS(Datos!$D$67:$AL$67,Datos!$D$3:$AL$3,"&gt;="&amp;DATE(YEAR(Datos!H$3),1,1),Datos!$D$3:$AL$3,"&lt;="&amp;Datos!H$3)</f>
        <v>34</v>
      </c>
      <c r="M804" s="193">
        <f>INDEX(_TARGETS!$J$2:$J$17,MATCH($C804,_TARGETS!$A$2:$A$17,0))</f>
        <v>1</v>
      </c>
      <c r="N804" s="193" t="str">
        <f>INDEX(_TARGETS!$D$2:$D$17,MATCH($C804,_TARGETS!$A$2:$A$17,0))</f>
        <v>días</v>
      </c>
      <c r="O804" s="193" t="str">
        <f>IF(NOT(ISNUMBER(F804)),IF(SUMPRODUCT(($C$2:$C$1300=C804)*($J$2:$J$1300="Monthly")*($A$2:$A$1300&lt;=A804)*(YEAR($A$2:$A$1300)=YEAR(A804))*ISNUMBER($K$2:$K$1300)*ISNUMBER($L$2:$L$1300)*($L$2:$L$1300=0)*($K$2:$K$1300&gt;0))&gt;0,"INCOMPLETE","MISSING"),O99)</f>
        <v>MISSING</v>
      </c>
      <c r="P804" s="193" t="str">
        <f>INDEX(_TARGETS!$K$2:$K$17,MATCH($C804,_TARGETS!$A$2:$A$17,0))</f>
        <v>Plant Findings (hoja Observaciones-SMP)</v>
      </c>
      <c r="Q804" s="193" t="str">
        <f t="shared" si="64"/>
        <v>202612|DPAS|YTD</v>
      </c>
      <c r="R804" s="193" t="str">
        <f>INDEX(_TARGETS!$H$2:$H$17,MATCH($C804,_TARGETS!$A$2:$A$17,0))</f>
        <v>Pendiente (meta 2027)</v>
      </c>
      <c r="S804" s="193">
        <f t="shared" si="65"/>
        <v>1.08823529411765</v>
      </c>
      <c r="T804" s="193" t="str">
        <f t="shared" si="66"/>
        <v/>
      </c>
    </row>
    <row r="805" spans="1:20" ht="14.25" customHeight="1" x14ac:dyDescent="0.3">
      <c r="A805" s="249">
        <f>KPIs!$H$3</f>
        <v>46357</v>
      </c>
      <c r="B805" s="193" t="str">
        <f>KPIs!H$4</f>
        <v>Compresora</v>
      </c>
      <c r="C805" t="s">
        <v>96</v>
      </c>
      <c r="D805" s="193" t="str">
        <f>KPIs!$A$49</f>
        <v>C1 · % de desvíos detectados de gravedad Alta · YTD</v>
      </c>
      <c r="E805" t="s">
        <v>601</v>
      </c>
      <c r="F805" s="193" t="str">
        <f>IF(ISNUMBER(KPIs!H49),KPIs!H49,"")</f>
        <v/>
      </c>
      <c r="G805" s="193" t="str">
        <f>IF(ISNUMBER(KPIs!$C$49),KPIs!$C$49,"")</f>
        <v/>
      </c>
      <c r="H805" s="193" t="str">
        <f>IFERROR(INDEX(_TARGETS!$E$2:$E$17,MATCH($C805,_TARGETS!$A$2:$A$17,0))&amp;"","")</f>
        <v/>
      </c>
      <c r="I805" s="193" t="str">
        <f t="shared" si="62"/>
        <v/>
      </c>
      <c r="J805" s="193" t="str">
        <f t="shared" si="63"/>
        <v>YTD</v>
      </c>
      <c r="K805" s="193">
        <f>SUMIFS(Datos!$D$71:$AL$71,Datos!$D$3:$AL$3,"&gt;="&amp;DATE(YEAR(Datos!H$3),1,1),Datos!$D$3:$AL$3,"&lt;="&amp;Datos!H$3)</f>
        <v>0</v>
      </c>
      <c r="L805" s="193">
        <f>SUMIFS(Datos!$D$71:$AL$71,Datos!$D$3:$AL$3,"&gt;="&amp;DATE(YEAR(Datos!H$3),1,1),Datos!$D$3:$AL$3,"&lt;="&amp;Datos!H$3)+SUMIFS(Datos!$D$72:$AL$72,Datos!$D$3:$AL$3,"&gt;="&amp;DATE(YEAR(Datos!H$3),1,1),Datos!$D$3:$AL$3,"&lt;="&amp;Datos!H$3)+SUMIFS(Datos!$D$73:$AL$73,Datos!$D$3:$AL$3,"&gt;="&amp;DATE(YEAR(Datos!H$3),1,1),Datos!$D$3:$AL$3,"&lt;="&amp;Datos!H$3)</f>
        <v>0</v>
      </c>
      <c r="M805" s="193">
        <f>INDEX(_TARGETS!$J$2:$J$17,MATCH($C805,_TARGETS!$A$2:$A$17,0))</f>
        <v>1</v>
      </c>
      <c r="N805" s="193" t="str">
        <f>INDEX(_TARGETS!$D$2:$D$17,MATCH($C805,_TARGETS!$A$2:$A$17,0))</f>
        <v>% (fracción)</v>
      </c>
      <c r="O805" s="193" t="str">
        <f t="shared" ref="O805:O811" si="69">IF(NOT(ISNUMBER(F805)),IF(SUMPRODUCT(($C$2:$C$1300=C805)*($J$2:$J$1300="Monthly")*($A$2:$A$1300&lt;=A805)*(YEAR($A$2:$A$1300)=YEAR(A805))*ISNUMBER($K$2:$K$1300)*ISNUMBER($L$2:$L$1300)*($L$2:$L$1300=0)*($K$2:$K$1300&gt;0))&gt;0,"INCOMPLETE","MISSING"),O105)</f>
        <v>MISSING</v>
      </c>
      <c r="P805" s="193" t="str">
        <f>INDEX(_TARGETS!$K$2:$K$17,MATCH($C805,_TARGETS!$A$2:$A$17,0))</f>
        <v>Plant Findings (hoja Observaciones-SMP)</v>
      </c>
      <c r="Q805" s="193" t="str">
        <f t="shared" si="64"/>
        <v>202612|HAL_ALTA_PCT|YTD</v>
      </c>
      <c r="R805" s="193" t="str">
        <f>INDEX(_TARGETS!$H$2:$H$17,MATCH($C805,_TARGETS!$A$2:$A$17,0))</f>
        <v>Solo reporte</v>
      </c>
      <c r="S805" s="193" t="str">
        <f t="shared" si="65"/>
        <v/>
      </c>
      <c r="T805" s="193" t="str">
        <f t="shared" si="66"/>
        <v/>
      </c>
    </row>
    <row r="806" spans="1:20" ht="14.25" customHeight="1" x14ac:dyDescent="0.3">
      <c r="A806" s="249">
        <f>KPIs!$H$3</f>
        <v>46357</v>
      </c>
      <c r="B806" s="193" t="str">
        <f>KPIs!H$4</f>
        <v>Compresora</v>
      </c>
      <c r="C806" t="s">
        <v>98</v>
      </c>
      <c r="D806" s="193" t="str">
        <f>KPIs!$A$50</f>
        <v>C2 · Detenciones de tareas aplicadas · YTD</v>
      </c>
      <c r="E806" t="s">
        <v>601</v>
      </c>
      <c r="F806" s="193" t="str">
        <f>IF(ISNUMBER(KPIs!H50),KPIs!H50,"")</f>
        <v/>
      </c>
      <c r="G806" s="193" t="str">
        <f>IF(ISNUMBER(KPIs!$C$50),KPIs!$C$50,"")</f>
        <v/>
      </c>
      <c r="H806" s="193" t="str">
        <f>IFERROR(INDEX(_TARGETS!$E$2:$E$17,MATCH($C806,_TARGETS!$A$2:$A$17,0))&amp;"","")</f>
        <v/>
      </c>
      <c r="I806" s="193" t="str">
        <f t="shared" si="62"/>
        <v/>
      </c>
      <c r="J806" s="193" t="str">
        <f t="shared" si="63"/>
        <v>YTD</v>
      </c>
      <c r="K806" s="193">
        <f>SUMIFS(Datos!$D$75:$AL$75,Datos!$D$3:$AL$3,"&gt;="&amp;DATE(YEAR(Datos!H$3),1,1),Datos!$D$3:$AL$3,"&lt;="&amp;Datos!H$3)</f>
        <v>0</v>
      </c>
      <c r="M806" s="193">
        <f>INDEX(_TARGETS!$J$2:$J$17,MATCH($C806,_TARGETS!$A$2:$A$17,0))</f>
        <v>1</v>
      </c>
      <c r="N806" s="193" t="str">
        <f>INDEX(_TARGETS!$D$2:$D$17,MATCH($C806,_TARGETS!$A$2:$A$17,0))</f>
        <v>u</v>
      </c>
      <c r="O806" s="193" t="str">
        <f t="shared" si="69"/>
        <v>MISSING</v>
      </c>
      <c r="P806" s="193" t="str">
        <f>INDEX(_TARGETS!$K$2:$K$17,MATCH($C806,_TARGETS!$A$2:$A$17,0))</f>
        <v>Plant Findings (hoja Observaciones-SMP)</v>
      </c>
      <c r="Q806" s="193" t="str">
        <f t="shared" si="64"/>
        <v>202612|DET|YTD</v>
      </c>
      <c r="R806" s="193" t="str">
        <f>INDEX(_TARGETS!$H$2:$H$17,MATCH($C806,_TARGETS!$A$2:$A$17,0))</f>
        <v>Solo reporte</v>
      </c>
      <c r="S806" s="193">
        <f t="shared" si="65"/>
        <v>0</v>
      </c>
      <c r="T806" s="193" t="str">
        <f t="shared" si="66"/>
        <v/>
      </c>
    </row>
    <row r="807" spans="1:20" ht="14.25" customHeight="1" x14ac:dyDescent="0.3">
      <c r="A807" s="249">
        <f>KPIs!$I$3</f>
        <v>46388</v>
      </c>
      <c r="B807" s="193" t="str">
        <f>KPIs!I$4</f>
        <v>Compresora</v>
      </c>
      <c r="C807" t="s">
        <v>39</v>
      </c>
      <c r="D807" s="193" t="str">
        <f>KPIs!$A$37</f>
        <v>1 · Frecuencia de casos con días perdidos · YTD</v>
      </c>
      <c r="E807" t="s">
        <v>601</v>
      </c>
      <c r="F807" s="193" t="str">
        <f>IF(ISNUMBER(KPIs!I37),KPIs!I37,"")</f>
        <v/>
      </c>
      <c r="G807" s="250">
        <f>IF(ISNUMBER(KPIs!$C$37),KPIs!$C$37,"")</f>
        <v>0</v>
      </c>
      <c r="H807" s="193" t="str">
        <f>IFERROR(INDEX(_TARGETS!$E$2:$E$17,MATCH($C807,_TARGETS!$A$2:$A$17,0))&amp;"","")</f>
        <v>≤</v>
      </c>
      <c r="I807" s="193" t="str">
        <f t="shared" si="62"/>
        <v/>
      </c>
      <c r="J807" s="193" t="str">
        <f t="shared" si="63"/>
        <v>YTD</v>
      </c>
      <c r="K807" s="193">
        <f>SUMIFS(Datos!$D$33:$AL$33,Datos!$D$3:$AL$3,"&gt;="&amp;DATE(YEAR(Datos!I$3),1,1),Datos!$D$3:$AL$3,"&lt;="&amp;Datos!I$3)</f>
        <v>0</v>
      </c>
      <c r="L807" s="193">
        <f>SUMIFS(Datos!$D$14:$AL$14,Datos!$D$3:$AL$3,"&gt;="&amp;DATE(YEAR(Datos!I$3),1,1),Datos!$D$3:$AL$3,"&lt;="&amp;Datos!I$3)</f>
        <v>0</v>
      </c>
      <c r="M807" s="193">
        <f>INDEX(_TARGETS!$J$2:$J$17,MATCH($C807,_TARGETS!$A$2:$A$17,0))</f>
        <v>1000000</v>
      </c>
      <c r="N807" s="193" t="str">
        <f>INDEX(_TARGETS!$D$2:$D$17,MATCH($C807,_TARGETS!$A$2:$A$17,0))</f>
        <v>casos / 10^6 HH</v>
      </c>
      <c r="O807" s="193" t="str">
        <f t="shared" si="69"/>
        <v>MISSING</v>
      </c>
      <c r="P807" s="193" t="str">
        <f>INDEX(_TARGETS!$K$2:$K$17,MATCH($C807,_TARGETS!$A$2:$A$17,0))</f>
        <v>OPS (carga manual en Datos)</v>
      </c>
      <c r="Q807" s="193" t="str">
        <f t="shared" si="64"/>
        <v>202701|DAFWCF|YTD</v>
      </c>
      <c r="R807" s="193" t="str">
        <f>INDEX(_TARGETS!$H$2:$H$17,MATCH($C807,_TARGETS!$A$2:$A$17,0))</f>
        <v>Definida</v>
      </c>
      <c r="S807" s="193" t="str">
        <f t="shared" si="65"/>
        <v/>
      </c>
      <c r="T807" s="193" t="str">
        <f t="shared" si="66"/>
        <v/>
      </c>
    </row>
    <row r="808" spans="1:20" ht="14.25" customHeight="1" x14ac:dyDescent="0.3">
      <c r="A808" s="249">
        <f>KPIs!$I$3</f>
        <v>46388</v>
      </c>
      <c r="B808" s="193" t="str">
        <f>KPIs!I$4</f>
        <v>Compresora</v>
      </c>
      <c r="C808" t="s">
        <v>49</v>
      </c>
      <c r="D808" s="193" t="str">
        <f>KPIs!$A$38</f>
        <v>2 · Frecuencia de casos registrables · YTD</v>
      </c>
      <c r="E808" t="s">
        <v>601</v>
      </c>
      <c r="F808" s="193" t="str">
        <f>IF(ISNUMBER(KPIs!I38),KPIs!I38,"")</f>
        <v/>
      </c>
      <c r="G808" s="250">
        <f>IF(ISNUMBER(KPIs!$C$38),KPIs!$C$38,"")</f>
        <v>2.35</v>
      </c>
      <c r="H808" s="193" t="str">
        <f>IFERROR(INDEX(_TARGETS!$E$2:$E$17,MATCH($C808,_TARGETS!$A$2:$A$17,0))&amp;"","")</f>
        <v>≤</v>
      </c>
      <c r="I808" s="193" t="str">
        <f t="shared" si="62"/>
        <v/>
      </c>
      <c r="J808" s="193" t="str">
        <f t="shared" si="63"/>
        <v>YTD</v>
      </c>
      <c r="K808" s="193">
        <f>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f>
        <v>0</v>
      </c>
      <c r="L808" s="193">
        <f>SUMIFS(Datos!$D$14:$AL$14,Datos!$D$3:$AL$3,"&gt;="&amp;DATE(YEAR(Datos!I$3),1,1),Datos!$D$3:$AL$3,"&lt;="&amp;Datos!I$3)</f>
        <v>0</v>
      </c>
      <c r="M808" s="193">
        <f>INDEX(_TARGETS!$J$2:$J$17,MATCH($C808,_TARGETS!$A$2:$A$17,0))</f>
        <v>1000000</v>
      </c>
      <c r="N808" s="193" t="str">
        <f>INDEX(_TARGETS!$D$2:$D$17,MATCH($C808,_TARGETS!$A$2:$A$17,0))</f>
        <v>casos / 10^6 HH</v>
      </c>
      <c r="O808" s="193" t="str">
        <f t="shared" si="69"/>
        <v>MISSING</v>
      </c>
      <c r="P808" s="193" t="str">
        <f>INDEX(_TARGETS!$K$2:$K$17,MATCH($C808,_TARGETS!$A$2:$A$17,0))</f>
        <v>OPS (carga manual en Datos)</v>
      </c>
      <c r="Q808" s="193" t="str">
        <f t="shared" si="64"/>
        <v>202701|TRICF|YTD</v>
      </c>
      <c r="R808" s="193" t="str">
        <f>INDEX(_TARGETS!$H$2:$H$17,MATCH($C808,_TARGETS!$A$2:$A$17,0))</f>
        <v>Definida</v>
      </c>
      <c r="S808" s="193" t="str">
        <f t="shared" si="65"/>
        <v/>
      </c>
      <c r="T808" s="193" t="str">
        <f t="shared" si="66"/>
        <v/>
      </c>
    </row>
    <row r="809" spans="1:20" ht="14.25" customHeight="1" x14ac:dyDescent="0.3">
      <c r="A809" s="249">
        <f>KPIs!$I$3</f>
        <v>46388</v>
      </c>
      <c r="B809" s="193" t="str">
        <f>KPIs!I$4</f>
        <v>Compresora</v>
      </c>
      <c r="C809" t="s">
        <v>51</v>
      </c>
      <c r="D809" s="193" t="str">
        <f>KPIs!$A$39</f>
        <v>3 · Casos de primeros auxilios · YTD</v>
      </c>
      <c r="E809" t="s">
        <v>601</v>
      </c>
      <c r="F809" s="193" t="str">
        <f>IF(ISNUMBER(KPIs!I39),KPIs!I39,"")</f>
        <v/>
      </c>
      <c r="G809" s="193" t="str">
        <f>IF(ISNUMBER(KPIs!$C$39),KPIs!$C$39,"")</f>
        <v/>
      </c>
      <c r="H809" s="193" t="str">
        <f>IFERROR(INDEX(_TARGETS!$E$2:$E$17,MATCH($C809,_TARGETS!$A$2:$A$17,0))&amp;"","")</f>
        <v/>
      </c>
      <c r="I809" s="193" t="str">
        <f t="shared" si="62"/>
        <v/>
      </c>
      <c r="J809" s="193" t="str">
        <f t="shared" si="63"/>
        <v>YTD</v>
      </c>
      <c r="K809" s="193">
        <f>SUMIFS(Datos!$D$37:$AL$37,Datos!$D$3:$AL$3,"&gt;="&amp;DATE(YEAR(Datos!I$3),1,1),Datos!$D$3:$AL$3,"&lt;="&amp;Datos!I$3)</f>
        <v>0</v>
      </c>
      <c r="M809" s="193">
        <f>INDEX(_TARGETS!$J$2:$J$17,MATCH($C809,_TARGETS!$A$2:$A$17,0))</f>
        <v>1</v>
      </c>
      <c r="N809" s="193" t="str">
        <f>INDEX(_TARGETS!$D$2:$D$17,MATCH($C809,_TARGETS!$A$2:$A$17,0))</f>
        <v>casos</v>
      </c>
      <c r="O809" s="193" t="str">
        <f t="shared" si="69"/>
        <v>MISSING</v>
      </c>
      <c r="P809" s="193" t="str">
        <f>INDEX(_TARGETS!$K$2:$K$17,MATCH($C809,_TARGETS!$A$2:$A$17,0))</f>
        <v>OPS (carga manual en Datos)</v>
      </c>
      <c r="Q809" s="193" t="str">
        <f t="shared" si="64"/>
        <v>202701|FAC|YTD</v>
      </c>
      <c r="R809" s="193" t="str">
        <f>INDEX(_TARGETS!$H$2:$H$17,MATCH($C809,_TARGETS!$A$2:$A$17,0))</f>
        <v>Solo reporte</v>
      </c>
      <c r="S809" s="193">
        <f t="shared" si="65"/>
        <v>0</v>
      </c>
      <c r="T809" s="193" t="str">
        <f t="shared" si="66"/>
        <v/>
      </c>
    </row>
    <row r="810" spans="1:20" ht="14.25" customHeight="1" x14ac:dyDescent="0.3">
      <c r="A810" s="249">
        <f>KPIs!$I$3</f>
        <v>46388</v>
      </c>
      <c r="B810" s="193" t="str">
        <f>KPIs!I$4</f>
        <v>Compresora</v>
      </c>
      <c r="C810" t="s">
        <v>57</v>
      </c>
      <c r="D810" s="193" t="str">
        <f>KPIs!$A$40</f>
        <v>4 · Accidentes vehiculares severos por millón de km · YTD</v>
      </c>
      <c r="E810" t="s">
        <v>601</v>
      </c>
      <c r="F810" s="193" t="str">
        <f>IF(ISNUMBER(KPIs!I40),KPIs!I40,"")</f>
        <v/>
      </c>
      <c r="G810" s="193" t="str">
        <f>IF(ISNUMBER(KPIs!$C$40),KPIs!$C$40,"")</f>
        <v/>
      </c>
      <c r="H810" s="193" t="str">
        <f>IFERROR(INDEX(_TARGETS!$E$2:$E$17,MATCH($C810,_TARGETS!$A$2:$A$17,0))&amp;"","")</f>
        <v/>
      </c>
      <c r="I810" s="193" t="str">
        <f t="shared" si="62"/>
        <v/>
      </c>
      <c r="J810" s="193" t="str">
        <f t="shared" si="63"/>
        <v>YTD</v>
      </c>
      <c r="K810" s="193">
        <f>SUMIFS(Datos!$D$39:$AL$39,Datos!$D$3:$AL$3,"&gt;="&amp;DATE(YEAR(Datos!I$3),1,1),Datos!$D$3:$AL$3,"&lt;="&amp;Datos!I$3)+SUMIFS(Datos!$D$40:$AL$40,Datos!$D$3:$AL$3,"&gt;="&amp;DATE(YEAR(Datos!I$3),1,1),Datos!$D$3:$AL$3,"&lt;="&amp;Datos!I$3)+SUMIFS(Datos!$D$41:$AL$41,Datos!$D$3:$AL$3,"&gt;="&amp;DATE(YEAR(Datos!I$3),1,1),Datos!$D$3:$AL$3,"&lt;="&amp;Datos!I$3)</f>
        <v>0</v>
      </c>
      <c r="L810" s="193">
        <f>SUMIFS(Datos!$D$47:$AL$47,Datos!$D$3:$AL$3,"&gt;="&amp;DATE(YEAR(Datos!I$3),1,1),Datos!$D$3:$AL$3,"&lt;="&amp;Datos!I$3)</f>
        <v>0</v>
      </c>
      <c r="M810" s="193">
        <f>INDEX(_TARGETS!$J$2:$J$17,MATCH($C810,_TARGETS!$A$2:$A$17,0))</f>
        <v>1000000</v>
      </c>
      <c r="N810" s="193" t="str">
        <f>INDEX(_TARGETS!$D$2:$D$17,MATCH($C810,_TARGETS!$A$2:$A$17,0))</f>
        <v>eventos / 10^6 km</v>
      </c>
      <c r="O810" s="193" t="str">
        <f t="shared" si="69"/>
        <v>MISSING</v>
      </c>
      <c r="P810" s="193" t="str">
        <f>INDEX(_TARGETS!$K$2:$K$17,MATCH($C810,_TARGETS!$A$2:$A$17,0))</f>
        <v>OPS (eventos) + Full Control GPS (km) - carga manual en Datos</v>
      </c>
      <c r="Q810" s="193" t="str">
        <f t="shared" si="64"/>
        <v>202701|SVCR|YTD</v>
      </c>
      <c r="R810" s="193" t="str">
        <f>INDEX(_TARGETS!$H$2:$H$17,MATCH($C810,_TARGETS!$A$2:$A$17,0))</f>
        <v>Solo reporte</v>
      </c>
      <c r="S810" s="193" t="str">
        <f t="shared" si="65"/>
        <v/>
      </c>
      <c r="T810" s="193" t="str">
        <f t="shared" si="66"/>
        <v/>
      </c>
    </row>
    <row r="811" spans="1:20" ht="14.25" customHeight="1" x14ac:dyDescent="0.3">
      <c r="A811" s="249">
        <f>KPIs!$I$3</f>
        <v>46388</v>
      </c>
      <c r="B811" s="193" t="str">
        <f>KPIs!I$4</f>
        <v>Compresora</v>
      </c>
      <c r="C811" t="s">
        <v>61</v>
      </c>
      <c r="D811" s="193" t="str">
        <f>KPIs!$A$41</f>
        <v>5 · Accidentes vehiculares totales por millón de km · YTD</v>
      </c>
      <c r="E811" t="s">
        <v>601</v>
      </c>
      <c r="F811" s="193" t="str">
        <f>IF(ISNUMBER(KPIs!I41),KPIs!I41,"")</f>
        <v/>
      </c>
      <c r="G811" s="250">
        <f>IF(ISNUMBER(KPIs!$C$41),KPIs!$C$41,"")</f>
        <v>0.79</v>
      </c>
      <c r="H811" s="193" t="str">
        <f>IFERROR(INDEX(_TARGETS!$E$2:$E$17,MATCH($C811,_TARGETS!$A$2:$A$17,0))&amp;"","")</f>
        <v>≤</v>
      </c>
      <c r="I811" s="193" t="str">
        <f t="shared" si="62"/>
        <v/>
      </c>
      <c r="J811" s="193" t="str">
        <f t="shared" si="63"/>
        <v>YTD</v>
      </c>
      <c r="K811" s="193">
        <f>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f>
        <v>0</v>
      </c>
      <c r="L811" s="193">
        <f>SUMIFS(Datos!$D$47:$AL$47,Datos!$D$3:$AL$3,"&gt;="&amp;DATE(YEAR(Datos!I$3),1,1),Datos!$D$3:$AL$3,"&lt;="&amp;Datos!I$3)</f>
        <v>0</v>
      </c>
      <c r="M811" s="193">
        <f>INDEX(_TARGETS!$J$2:$J$17,MATCH($C811,_TARGETS!$A$2:$A$17,0))</f>
        <v>1000000</v>
      </c>
      <c r="N811" s="193" t="str">
        <f>INDEX(_TARGETS!$D$2:$D$17,MATCH($C811,_TARGETS!$A$2:$A$17,0))</f>
        <v>eventos / 10^6 km</v>
      </c>
      <c r="O811" s="193" t="str">
        <f t="shared" si="69"/>
        <v>MISSING</v>
      </c>
      <c r="P811" s="193" t="str">
        <f>INDEX(_TARGETS!$K$2:$K$17,MATCH($C811,_TARGETS!$A$2:$A$17,0))</f>
        <v>OPS (eventos) + Full Control GPS (km) - carga manual en Datos</v>
      </c>
      <c r="Q811" s="193" t="str">
        <f t="shared" si="64"/>
        <v>202701|TVCR|YTD</v>
      </c>
      <c r="R811" s="193" t="str">
        <f>INDEX(_TARGETS!$H$2:$H$17,MATCH($C811,_TARGETS!$A$2:$A$17,0))</f>
        <v>Definida</v>
      </c>
      <c r="S811" s="193" t="str">
        <f t="shared" si="65"/>
        <v/>
      </c>
      <c r="T811" s="193" t="str">
        <f t="shared" si="66"/>
        <v/>
      </c>
    </row>
    <row r="812" spans="1:20" ht="14.25" customHeight="1" x14ac:dyDescent="0.3">
      <c r="A812" s="249">
        <f>KPIs!$I$3</f>
        <v>46388</v>
      </c>
      <c r="B812" s="193" t="str">
        <f>KPIs!I$4</f>
        <v>Compresora</v>
      </c>
      <c r="C812" t="s">
        <v>71</v>
      </c>
      <c r="D812" s="193" t="str">
        <f>KPIs!$A$42</f>
        <v>7 · Investigaciones de accidentes: días promedio de cierre · YTD</v>
      </c>
      <c r="E812" t="s">
        <v>601</v>
      </c>
      <c r="F812" s="193" t="str">
        <f>IF(ISNUMBER(KPIs!I42),KPIs!I42,"")</f>
        <v/>
      </c>
      <c r="G812" s="251">
        <f>IF(ISNUMBER(KPIs!$C$42),KPIs!$C$42,"")</f>
        <v>20</v>
      </c>
      <c r="H812" s="193" t="str">
        <f>IFERROR(INDEX(_TARGETS!$E$2:$E$17,MATCH($C812,_TARGETS!$A$2:$A$17,0))&amp;"","")</f>
        <v>≤</v>
      </c>
      <c r="I812" s="193" t="str">
        <f t="shared" si="62"/>
        <v/>
      </c>
      <c r="J812" s="193" t="str">
        <f t="shared" si="63"/>
        <v>YTD</v>
      </c>
      <c r="K812" s="193">
        <f>SUMIFS(Datos!$D$31:$AL$31,Datos!$D$3:$AL$3,"&gt;="&amp;DATE(YEAR(Datos!I$3),1,1),Datos!$D$3:$AL$3,"&lt;="&amp;Datos!I$3)</f>
        <v>0</v>
      </c>
      <c r="L812" s="193">
        <f>SUMIFS(Datos!$D$30:$AL$30,Datos!$D$3:$AL$3,"&gt;="&amp;DATE(YEAR(Datos!I$3),1,1),Datos!$D$3:$AL$3,"&lt;="&amp;Datos!I$3)</f>
        <v>0</v>
      </c>
      <c r="M812" s="193">
        <f>INDEX(_TARGETS!$J$2:$J$17,MATCH($C812,_TARGETS!$A$2:$A$17,0))</f>
        <v>1</v>
      </c>
      <c r="N812" s="193" t="str">
        <f>INDEX(_TARGETS!$D$2:$D$17,MATCH($C812,_TARGETS!$A$2:$A$17,0))</f>
        <v>días</v>
      </c>
      <c r="O812" s="193" t="str">
        <f>IF(NOT(ISNUMBER(F812)),IF(SUMPRODUCT(($C$2:$C$1300=C812)*($J$2:$J$1300="Monthly")*($A$2:$A$1300&lt;=A812)*(YEAR($A$2:$A$1300)=YEAR(A812))*ISNUMBER($K$2:$K$1300)*ISNUMBER($L$2:$L$1300)*($L$2:$L$1300=0)*($K$2:$K$1300&gt;0))&gt;0,"INCOMPLETE","MISSING"),O113)</f>
        <v>MISSING</v>
      </c>
      <c r="P812" s="193" t="str">
        <f>INDEX(_TARGETS!$K$2:$K$17,MATCH($C812,_TARGETS!$A$2:$A$17,0))</f>
        <v>OPS (carga manual en Datos)</v>
      </c>
      <c r="Q812" s="193" t="str">
        <f t="shared" si="64"/>
        <v>202701|INV|YTD</v>
      </c>
      <c r="R812" s="193" t="str">
        <f>INDEX(_TARGETS!$H$2:$H$17,MATCH($C812,_TARGETS!$A$2:$A$17,0))</f>
        <v>Definida</v>
      </c>
      <c r="S812" s="193" t="str">
        <f t="shared" si="65"/>
        <v/>
      </c>
      <c r="T812" s="193" t="str">
        <f t="shared" si="66"/>
        <v/>
      </c>
    </row>
    <row r="813" spans="1:20" ht="14.25" customHeight="1" x14ac:dyDescent="0.3">
      <c r="A813" s="249">
        <f>KPIs!$I$3</f>
        <v>46388</v>
      </c>
      <c r="B813" s="193" t="str">
        <f>KPIs!I$4</f>
        <v>Compresora</v>
      </c>
      <c r="C813" t="s">
        <v>76</v>
      </c>
      <c r="D813" s="193" t="str">
        <f>KPIs!$A$43</f>
        <v>8 · % de capacitación en seguridad · YTD</v>
      </c>
      <c r="E813" t="s">
        <v>601</v>
      </c>
      <c r="F813" s="193" t="str">
        <f>IF(ISNUMBER(KPIs!I43),KPIs!I43,"")</f>
        <v/>
      </c>
      <c r="G813" s="252">
        <f>IF(ISNUMBER(KPIs!$C$43),KPIs!$C$43,"")</f>
        <v>0.01</v>
      </c>
      <c r="H813" s="193" t="str">
        <f>IFERROR(INDEX(_TARGETS!$E$2:$E$17,MATCH($C813,_TARGETS!$A$2:$A$17,0))&amp;"","")</f>
        <v>≥</v>
      </c>
      <c r="I813" s="193" t="str">
        <f t="shared" si="62"/>
        <v/>
      </c>
      <c r="J813" s="193" t="str">
        <f t="shared" si="63"/>
        <v>YTD</v>
      </c>
      <c r="K813" s="193">
        <f>SUMIFS(Datos!$D$18:$AL$18,Datos!$D$3:$AL$3,"&gt;="&amp;DATE(YEAR(Datos!I$3),1,1),Datos!$D$3:$AL$3,"&lt;="&amp;Datos!I$3)</f>
        <v>0</v>
      </c>
      <c r="L813" s="193">
        <f>SUMIFS(Datos!$D$14:$AL$14,Datos!$D$3:$AL$3,"&gt;="&amp;DATE(YEAR(Datos!I$3),1,1),Datos!$D$3:$AL$3,"&lt;="&amp;Datos!I$3)</f>
        <v>0</v>
      </c>
      <c r="M813" s="193">
        <f>INDEX(_TARGETS!$J$2:$J$17,MATCH($C813,_TARGETS!$A$2:$A$17,0))</f>
        <v>1</v>
      </c>
      <c r="N813" s="193" t="str">
        <f>INDEX(_TARGETS!$D$2:$D$17,MATCH($C813,_TARGETS!$A$2:$A$17,0))</f>
        <v>% (fracción)</v>
      </c>
      <c r="O813" s="193" t="str">
        <f>IF(NOT(ISNUMBER(F813)),IF(SUMPRODUCT(($C$2:$C$1300=C813)*($J$2:$J$1300="Monthly")*($A$2:$A$1300&lt;=A813)*(YEAR($A$2:$A$1300)=YEAR(A813))*ISNUMBER($K$2:$K$1300)*ISNUMBER($L$2:$L$1300)*($L$2:$L$1300=0)*($K$2:$K$1300&gt;0))&gt;0,"INCOMPLETE","MISSING"),O114)</f>
        <v>MISSING</v>
      </c>
      <c r="P813" s="193" t="str">
        <f>INDEX(_TARGETS!$K$2:$K$17,MATCH($C813,_TARGETS!$A$2:$A$17,0))</f>
        <v>OPS (carga manual en Datos)</v>
      </c>
      <c r="Q813" s="193" t="str">
        <f t="shared" si="64"/>
        <v>202701|HCS|YTD</v>
      </c>
      <c r="R813" s="193" t="str">
        <f>INDEX(_TARGETS!$H$2:$H$17,MATCH($C813,_TARGETS!$A$2:$A$17,0))</f>
        <v>Definida</v>
      </c>
      <c r="S813" s="193" t="str">
        <f t="shared" si="65"/>
        <v/>
      </c>
      <c r="T813" s="193" t="str">
        <f t="shared" si="66"/>
        <v/>
      </c>
    </row>
    <row r="814" spans="1:20" ht="14.25" customHeight="1" x14ac:dyDescent="0.3">
      <c r="A814" s="249">
        <f>KPIs!$I$3</f>
        <v>46388</v>
      </c>
      <c r="B814" s="193" t="str">
        <f>KPIs!I$4</f>
        <v>Compresora</v>
      </c>
      <c r="C814" t="s">
        <v>83</v>
      </c>
      <c r="D814" s="193" t="str">
        <f>KPIs!$A$44</f>
        <v>10 · Cumplimiento de simulacros (emergencia y operativos) · YTD</v>
      </c>
      <c r="E814" t="s">
        <v>601</v>
      </c>
      <c r="F814" s="193" t="str">
        <f>IF(ISNUMBER(KPIs!I44),KPIs!I44,"")</f>
        <v/>
      </c>
      <c r="G814" s="253">
        <f>IF(ISNUMBER(KPIs!$C$44),KPIs!$C$44,"")</f>
        <v>1</v>
      </c>
      <c r="H814" s="193" t="str">
        <f>IFERROR(INDEX(_TARGETS!$E$2:$E$17,MATCH($C814,_TARGETS!$A$2:$A$17,0))&amp;"","")</f>
        <v>≥</v>
      </c>
      <c r="I814" s="193" t="str">
        <f t="shared" si="62"/>
        <v/>
      </c>
      <c r="J814" s="193" t="str">
        <f t="shared" si="63"/>
        <v>YTD</v>
      </c>
      <c r="K814" s="193">
        <f>SUMIFS(Datos!$D$20:$AL$20,Datos!$D$3:$AL$3,"&gt;="&amp;DATE(YEAR(Datos!I$3),1,1),Datos!$D$3:$AL$3,"&lt;="&amp;Datos!I$3)</f>
        <v>0</v>
      </c>
      <c r="L814" s="193">
        <f>SUMIFS(Datos!$D$21:$AL$21,Datos!$D$3:$AL$3,"&gt;="&amp;DATE(YEAR(Datos!I$3),1,1),Datos!$D$3:$AL$3,"&lt;="&amp;Datos!I$3)</f>
        <v>0</v>
      </c>
      <c r="M814" s="193">
        <f>INDEX(_TARGETS!$J$2:$J$17,MATCH($C814,_TARGETS!$A$2:$A$17,0))</f>
        <v>1</v>
      </c>
      <c r="N814" s="193" t="str">
        <f>INDEX(_TARGETS!$D$2:$D$17,MATCH($C814,_TARGETS!$A$2:$A$17,0))</f>
        <v>% (fracción)</v>
      </c>
      <c r="O814" s="193" t="str">
        <f>IF(NOT(ISNUMBER(F814)),IF(SUMPRODUCT(($C$2:$C$1300=C814)*($J$2:$J$1300="Monthly")*($A$2:$A$1300&lt;=A814)*(YEAR($A$2:$A$1300)=YEAR(A814))*ISNUMBER($K$2:$K$1300)*ISNUMBER($L$2:$L$1300)*($L$2:$L$1300=0)*($K$2:$K$1300&gt;0))&gt;0,"INCOMPLETE","MISSING"),O116)</f>
        <v>MISSING</v>
      </c>
      <c r="P814" s="193" t="str">
        <f>INDEX(_TARGETS!$K$2:$K$17,MATCH($C814,_TARGETS!$A$2:$A$17,0))</f>
        <v>OPS (carga manual en Datos)</v>
      </c>
      <c r="Q814" s="193" t="str">
        <f t="shared" si="64"/>
        <v>202701|CPSE|YTD</v>
      </c>
      <c r="R814" s="193" t="str">
        <f>INDEX(_TARGETS!$H$2:$H$17,MATCH($C814,_TARGETS!$A$2:$A$17,0))</f>
        <v>Definida</v>
      </c>
      <c r="S814" s="193" t="str">
        <f t="shared" si="65"/>
        <v/>
      </c>
      <c r="T814" s="193" t="str">
        <f t="shared" si="66"/>
        <v/>
      </c>
    </row>
    <row r="815" spans="1:20" ht="14.25" customHeight="1" x14ac:dyDescent="0.3">
      <c r="A815" s="249">
        <f>KPIs!$I$3</f>
        <v>46388</v>
      </c>
      <c r="B815" s="193" t="str">
        <f>KPIs!I$4</f>
        <v>Compresora</v>
      </c>
      <c r="C815" t="s">
        <v>85</v>
      </c>
      <c r="D815" s="193" t="str">
        <f>KPIs!$A$45</f>
        <v>10b · Cumplimiento de acciones de mejora de simulacros · YTD</v>
      </c>
      <c r="E815" t="s">
        <v>601</v>
      </c>
      <c r="F815" s="193" t="str">
        <f>IF(ISNUMBER(KPIs!I45),KPIs!I45,"")</f>
        <v/>
      </c>
      <c r="G815" s="254" t="str">
        <f>IF(ISNUMBER(KPIs!$C$45),KPIs!$C$45,"")</f>
        <v/>
      </c>
      <c r="H815" s="193" t="str">
        <f>IFERROR(INDEX(_TARGETS!$E$2:$E$17,MATCH($C815,_TARGETS!$A$2:$A$17,0))&amp;"","")</f>
        <v/>
      </c>
      <c r="I815" s="193" t="str">
        <f t="shared" si="62"/>
        <v/>
      </c>
      <c r="J815" s="193" t="str">
        <f t="shared" si="63"/>
        <v>YTD</v>
      </c>
      <c r="K815" s="193">
        <f>SUMIFS(Datos!$D$23:$AL$23,Datos!$D$3:$AL$3,"&gt;="&amp;DATE(YEAR(Datos!I$3),1,1),Datos!$D$3:$AL$3,"&lt;="&amp;Datos!I$3)</f>
        <v>0</v>
      </c>
      <c r="L815" s="193">
        <f>SUMIFS(Datos!$D$22:$AL$22,Datos!$D$3:$AL$3,"&gt;="&amp;DATE(YEAR(Datos!I$3),1,1),Datos!$D$3:$AL$3,"&lt;="&amp;Datos!I$3)</f>
        <v>0</v>
      </c>
      <c r="M815" s="193">
        <f>INDEX(_TARGETS!$J$2:$J$17,MATCH($C815,_TARGETS!$A$2:$A$17,0))</f>
        <v>1</v>
      </c>
      <c r="N815" s="193" t="str">
        <f>INDEX(_TARGETS!$D$2:$D$17,MATCH($C815,_TARGETS!$A$2:$A$17,0))</f>
        <v>% (fracción)</v>
      </c>
      <c r="O815" s="193" t="str">
        <f>IF(NOT(ISNUMBER(F815)),IF(SUMPRODUCT(($C$2:$C$1300=C815)*($J$2:$J$1300="Monthly")*($A$2:$A$1300&lt;=A815)*(YEAR($A$2:$A$1300)=YEAR(A815))*ISNUMBER($K$2:$K$1300)*ISNUMBER($L$2:$L$1300)*($L$2:$L$1300=0)*($K$2:$K$1300&gt;0))&gt;0,"INCOMPLETE","MISSING"),O117)</f>
        <v>MISSING</v>
      </c>
      <c r="P815" s="193" t="str">
        <f>INDEX(_TARGETS!$K$2:$K$17,MATCH($C815,_TARGETS!$A$2:$A$17,0))</f>
        <v>OPS (carga manual en Datos)</v>
      </c>
      <c r="Q815" s="193" t="str">
        <f t="shared" si="64"/>
        <v>202701|CAMS|YTD</v>
      </c>
      <c r="R815" s="193" t="str">
        <f>INDEX(_TARGETS!$H$2:$H$17,MATCH($C815,_TARGETS!$A$2:$A$17,0))</f>
        <v>Solo reporte</v>
      </c>
      <c r="S815" s="193" t="str">
        <f t="shared" si="65"/>
        <v/>
      </c>
      <c r="T815" s="193" t="str">
        <f t="shared" si="66"/>
        <v/>
      </c>
    </row>
    <row r="816" spans="1:20" ht="14.25" customHeight="1" x14ac:dyDescent="0.3">
      <c r="A816" s="249">
        <f>KPIs!$I$3</f>
        <v>46388</v>
      </c>
      <c r="B816" s="193" t="str">
        <f>KPIs!I$4</f>
        <v>Compresora</v>
      </c>
      <c r="C816" t="s">
        <v>87</v>
      </c>
      <c r="D816" s="193" t="str">
        <f>KPIs!$A$46</f>
        <v>11 · Cumplimiento de caminatas gerenciales · YTD</v>
      </c>
      <c r="E816" t="s">
        <v>601</v>
      </c>
      <c r="F816" s="193" t="str">
        <f>IF(ISNUMBER(KPIs!I46),KPIs!I46,"")</f>
        <v/>
      </c>
      <c r="G816" s="254">
        <f>IF(ISNUMBER(KPIs!$C$46),KPIs!$C$46,"")</f>
        <v>1</v>
      </c>
      <c r="H816" s="193" t="str">
        <f>IFERROR(INDEX(_TARGETS!$E$2:$E$17,MATCH($C816,_TARGETS!$A$2:$A$17,0))&amp;"","")</f>
        <v>≥</v>
      </c>
      <c r="I816" s="193" t="str">
        <f t="shared" si="62"/>
        <v/>
      </c>
      <c r="J816" s="193" t="str">
        <f t="shared" si="63"/>
        <v>YTD</v>
      </c>
      <c r="K816" s="193">
        <f>SUMIFS(Datos!$D$24:$AL$24,Datos!$D$3:$AL$3,"&gt;="&amp;DATE(YEAR(Datos!I$3),1,1),Datos!$D$3:$AL$3,"&lt;="&amp;Datos!I$3)</f>
        <v>0</v>
      </c>
      <c r="L816" s="193">
        <f>SUMIFS(Datos!$D$25:$AL$25,Datos!$D$3:$AL$3,"&gt;="&amp;DATE(YEAR(Datos!I$3),1,1),Datos!$D$3:$AL$3,"&lt;="&amp;Datos!I$3)</f>
        <v>0</v>
      </c>
      <c r="M816" s="193">
        <f>INDEX(_TARGETS!$J$2:$J$17,MATCH($C816,_TARGETS!$A$2:$A$17,0))</f>
        <v>1</v>
      </c>
      <c r="N816" s="193" t="str">
        <f>INDEX(_TARGETS!$D$2:$D$17,MATCH($C816,_TARGETS!$A$2:$A$17,0))</f>
        <v>% (fracción)</v>
      </c>
      <c r="O816" s="193" t="str">
        <f>IF(NOT(ISNUMBER(F816)),IF(SUMPRODUCT(($C$2:$C$1300=C816)*($J$2:$J$1300="Monthly")*($A$2:$A$1300&lt;=A816)*(YEAR($A$2:$A$1300)=YEAR(A816))*ISNUMBER($K$2:$K$1300)*ISNUMBER($L$2:$L$1300)*($L$2:$L$1300=0)*($K$2:$K$1300&gt;0))&gt;0,"INCOMPLETE","MISSING"),O118)</f>
        <v>MISSING</v>
      </c>
      <c r="P816" s="193" t="str">
        <f>INDEX(_TARGETS!$K$2:$K$17,MATCH($C816,_TARGETS!$A$2:$A$17,0))</f>
        <v>OPS (carga manual en Datos)</v>
      </c>
      <c r="Q816" s="193" t="str">
        <f t="shared" si="64"/>
        <v>202701|ICCS|YTD</v>
      </c>
      <c r="R816" s="193" t="str">
        <f>INDEX(_TARGETS!$H$2:$H$17,MATCH($C816,_TARGETS!$A$2:$A$17,0))</f>
        <v>Definida</v>
      </c>
      <c r="S816" s="193" t="str">
        <f t="shared" si="65"/>
        <v/>
      </c>
      <c r="T816" s="193" t="str">
        <f t="shared" si="66"/>
        <v/>
      </c>
    </row>
    <row r="817" spans="1:20" ht="14.25" customHeight="1" x14ac:dyDescent="0.3">
      <c r="A817" s="249">
        <f>KPIs!$I$3</f>
        <v>46388</v>
      </c>
      <c r="B817" s="193" t="str">
        <f>KPIs!I$4</f>
        <v>Compresora</v>
      </c>
      <c r="C817" t="s">
        <v>89</v>
      </c>
      <c r="D817" s="193" t="str">
        <f>KPIs!$A$47</f>
        <v>12 · Cumplimiento de comités y subcomités de seguridad · YTD</v>
      </c>
      <c r="E817" t="s">
        <v>601</v>
      </c>
      <c r="F817" s="193" t="str">
        <f>IF(ISNUMBER(KPIs!I47),KPIs!I47,"")</f>
        <v/>
      </c>
      <c r="G817" s="254">
        <f>IF(ISNUMBER(KPIs!$C$47),KPIs!$C$47,"")</f>
        <v>1</v>
      </c>
      <c r="H817" s="193" t="str">
        <f>IFERROR(INDEX(_TARGETS!$E$2:$E$17,MATCH($C817,_TARGETS!$A$2:$A$17,0))&amp;"","")</f>
        <v>≥</v>
      </c>
      <c r="I817" s="193" t="str">
        <f t="shared" si="62"/>
        <v/>
      </c>
      <c r="J817" s="193" t="str">
        <f t="shared" si="63"/>
        <v>YTD</v>
      </c>
      <c r="K817" s="193">
        <f>SUMIFS(Datos!$D$26:$AL$26,Datos!$D$3:$AL$3,"&gt;="&amp;DATE(YEAR(Datos!I$3),1,1),Datos!$D$3:$AL$3,"&lt;="&amp;Datos!I$3)</f>
        <v>0</v>
      </c>
      <c r="L817" s="193">
        <f>SUMIFS(Datos!$D$27:$AL$27,Datos!$D$3:$AL$3,"&gt;="&amp;DATE(YEAR(Datos!I$3),1,1),Datos!$D$3:$AL$3,"&lt;="&amp;Datos!I$3)</f>
        <v>0</v>
      </c>
      <c r="M817" s="193">
        <f>INDEX(_TARGETS!$J$2:$J$17,MATCH($C817,_TARGETS!$A$2:$A$17,0))</f>
        <v>1</v>
      </c>
      <c r="N817" s="193" t="str">
        <f>INDEX(_TARGETS!$D$2:$D$17,MATCH($C817,_TARGETS!$A$2:$A$17,0))</f>
        <v>% (fracción)</v>
      </c>
      <c r="O817" s="193" t="str">
        <f>IF(NOT(ISNUMBER(F817)),IF(SUMPRODUCT(($C$2:$C$1300=C817)*($J$2:$J$1300="Monthly")*($A$2:$A$1300&lt;=A817)*(YEAR($A$2:$A$1300)=YEAR(A817))*ISNUMBER($K$2:$K$1300)*ISNUMBER($L$2:$L$1300)*($L$2:$L$1300=0)*($K$2:$K$1300&gt;0))&gt;0,"INCOMPLETE","MISSING"),O119)</f>
        <v>MISSING</v>
      </c>
      <c r="P817" s="193" t="str">
        <f>INDEX(_TARGETS!$K$2:$K$17,MATCH($C817,_TARGETS!$A$2:$A$17,0))</f>
        <v>OPS (carga manual en Datos)</v>
      </c>
      <c r="Q817" s="193" t="str">
        <f t="shared" si="64"/>
        <v>202701|CCS|YTD</v>
      </c>
      <c r="R817" s="193" t="str">
        <f>INDEX(_TARGETS!$H$2:$H$17,MATCH($C817,_TARGETS!$A$2:$A$17,0))</f>
        <v>Definida</v>
      </c>
      <c r="S817" s="193" t="str">
        <f t="shared" si="65"/>
        <v/>
      </c>
      <c r="T817" s="193" t="str">
        <f t="shared" si="66"/>
        <v/>
      </c>
    </row>
    <row r="818" spans="1:20" ht="14.25" customHeight="1" x14ac:dyDescent="0.3">
      <c r="A818" s="249">
        <f>KPIs!$I$3</f>
        <v>46388</v>
      </c>
      <c r="B818" s="193" t="str">
        <f>KPIs!I$4</f>
        <v>Compresora</v>
      </c>
      <c r="C818" t="s">
        <v>91</v>
      </c>
      <c r="D818" s="193" t="str">
        <f>KPIs!$A$48</f>
        <v>13 · Días promedio para cerrar hallazgos · YTD</v>
      </c>
      <c r="E818" t="s">
        <v>601</v>
      </c>
      <c r="F818" s="251" t="str">
        <f>IF(ISNUMBER(KPIs!I48),KPIs!I48,"")</f>
        <v/>
      </c>
      <c r="G818" s="193" t="str">
        <f>IF(ISNUMBER(KPIs!$C$48),KPIs!$C$48,"")</f>
        <v/>
      </c>
      <c r="H818" s="193" t="str">
        <f>IFERROR(INDEX(_TARGETS!$E$2:$E$17,MATCH($C818,_TARGETS!$A$2:$A$17,0))&amp;"","")</f>
        <v>≤</v>
      </c>
      <c r="I818" s="193" t="str">
        <f t="shared" si="62"/>
        <v/>
      </c>
      <c r="J818" s="193" t="str">
        <f t="shared" si="63"/>
        <v>YTD</v>
      </c>
      <c r="K818" s="193">
        <f>SUMIFS(Datos!$D$68:$AL$68,Datos!$D$3:$AL$3,"&gt;="&amp;DATE(YEAR(Datos!I$3),1,1),Datos!$D$3:$AL$3,"&lt;="&amp;Datos!I$3)</f>
        <v>0</v>
      </c>
      <c r="L818" s="193">
        <f>SUMIFS(Datos!$D$67:$AL$67,Datos!$D$3:$AL$3,"&gt;="&amp;DATE(YEAR(Datos!I$3),1,1),Datos!$D$3:$AL$3,"&lt;="&amp;Datos!I$3)</f>
        <v>0</v>
      </c>
      <c r="M818" s="193">
        <f>INDEX(_TARGETS!$J$2:$J$17,MATCH($C818,_TARGETS!$A$2:$A$17,0))</f>
        <v>1</v>
      </c>
      <c r="N818" s="193" t="str">
        <f>INDEX(_TARGETS!$D$2:$D$17,MATCH($C818,_TARGETS!$A$2:$A$17,0))</f>
        <v>días</v>
      </c>
      <c r="O818" s="193" t="str">
        <f>IF(NOT(ISNUMBER(F818)),IF(SUMPRODUCT(($C$2:$C$1300=C818)*($J$2:$J$1300="Monthly")*($A$2:$A$1300&lt;=A818)*(YEAR($A$2:$A$1300)=YEAR(A818))*ISNUMBER($K$2:$K$1300)*ISNUMBER($L$2:$L$1300)*($L$2:$L$1300=0)*($K$2:$K$1300&gt;0))&gt;0,"INCOMPLETE","MISSING"),O120)</f>
        <v>MISSING</v>
      </c>
      <c r="P818" s="193" t="str">
        <f>INDEX(_TARGETS!$K$2:$K$17,MATCH($C818,_TARGETS!$A$2:$A$17,0))</f>
        <v>Plant Findings (hoja Observaciones-SMP)</v>
      </c>
      <c r="Q818" s="193" t="str">
        <f t="shared" si="64"/>
        <v>202701|DPAS|YTD</v>
      </c>
      <c r="R818" s="193" t="str">
        <f>INDEX(_TARGETS!$H$2:$H$17,MATCH($C818,_TARGETS!$A$2:$A$17,0))</f>
        <v>Pendiente (meta 2027)</v>
      </c>
      <c r="S818" s="193" t="str">
        <f t="shared" si="65"/>
        <v/>
      </c>
      <c r="T818" s="193" t="str">
        <f t="shared" si="66"/>
        <v/>
      </c>
    </row>
    <row r="819" spans="1:20" ht="14.25" customHeight="1" x14ac:dyDescent="0.3">
      <c r="A819" s="249">
        <f>KPIs!$I$3</f>
        <v>46388</v>
      </c>
      <c r="B819" s="193" t="str">
        <f>KPIs!I$4</f>
        <v>Compresora</v>
      </c>
      <c r="C819" t="s">
        <v>96</v>
      </c>
      <c r="D819" s="193" t="str">
        <f>KPIs!$A$49</f>
        <v>C1 · % de desvíos detectados de gravedad Alta · YTD</v>
      </c>
      <c r="E819" t="s">
        <v>601</v>
      </c>
      <c r="F819" s="193" t="str">
        <f>IF(ISNUMBER(KPIs!I49),KPIs!I49,"")</f>
        <v/>
      </c>
      <c r="G819" s="193" t="str">
        <f>IF(ISNUMBER(KPIs!$C$49),KPIs!$C$49,"")</f>
        <v/>
      </c>
      <c r="H819" s="193" t="str">
        <f>IFERROR(INDEX(_TARGETS!$E$2:$E$17,MATCH($C819,_TARGETS!$A$2:$A$17,0))&amp;"","")</f>
        <v/>
      </c>
      <c r="I819" s="193" t="str">
        <f t="shared" si="62"/>
        <v/>
      </c>
      <c r="J819" s="193" t="str">
        <f t="shared" si="63"/>
        <v>YTD</v>
      </c>
      <c r="K819" s="193">
        <f>SUMIFS(Datos!$D$71:$AL$71,Datos!$D$3:$AL$3,"&gt;="&amp;DATE(YEAR(Datos!I$3),1,1),Datos!$D$3:$AL$3,"&lt;="&amp;Datos!I$3)</f>
        <v>0</v>
      </c>
      <c r="L819" s="193">
        <f>SUMIFS(Datos!$D$71:$AL$71,Datos!$D$3:$AL$3,"&gt;="&amp;DATE(YEAR(Datos!I$3),1,1),Datos!$D$3:$AL$3,"&lt;="&amp;Datos!I$3)+SUMIFS(Datos!$D$72:$AL$72,Datos!$D$3:$AL$3,"&gt;="&amp;DATE(YEAR(Datos!I$3),1,1),Datos!$D$3:$AL$3,"&lt;="&amp;Datos!I$3)+SUMIFS(Datos!$D$73:$AL$73,Datos!$D$3:$AL$3,"&gt;="&amp;DATE(YEAR(Datos!I$3),1,1),Datos!$D$3:$AL$3,"&lt;="&amp;Datos!I$3)</f>
        <v>0</v>
      </c>
      <c r="M819" s="193">
        <f>INDEX(_TARGETS!$J$2:$J$17,MATCH($C819,_TARGETS!$A$2:$A$17,0))</f>
        <v>1</v>
      </c>
      <c r="N819" s="193" t="str">
        <f>INDEX(_TARGETS!$D$2:$D$17,MATCH($C819,_TARGETS!$A$2:$A$17,0))</f>
        <v>% (fracción)</v>
      </c>
      <c r="O819" s="193" t="str">
        <f t="shared" ref="O819:O825" si="70">IF(NOT(ISNUMBER(F819)),IF(SUMPRODUCT(($C$2:$C$1300=C819)*($J$2:$J$1300="Monthly")*($A$2:$A$1300&lt;=A819)*(YEAR($A$2:$A$1300)=YEAR(A819))*ISNUMBER($K$2:$K$1300)*ISNUMBER($L$2:$L$1300)*($L$2:$L$1300=0)*($K$2:$K$1300&gt;0))&gt;0,"INCOMPLETE","MISSING"),O126)</f>
        <v>MISSING</v>
      </c>
      <c r="P819" s="193" t="str">
        <f>INDEX(_TARGETS!$K$2:$K$17,MATCH($C819,_TARGETS!$A$2:$A$17,0))</f>
        <v>Plant Findings (hoja Observaciones-SMP)</v>
      </c>
      <c r="Q819" s="193" t="str">
        <f t="shared" si="64"/>
        <v>202701|HAL_ALTA_PCT|YTD</v>
      </c>
      <c r="R819" s="193" t="str">
        <f>INDEX(_TARGETS!$H$2:$H$17,MATCH($C819,_TARGETS!$A$2:$A$17,0))</f>
        <v>Solo reporte</v>
      </c>
      <c r="S819" s="193" t="str">
        <f t="shared" si="65"/>
        <v/>
      </c>
      <c r="T819" s="193" t="str">
        <f t="shared" si="66"/>
        <v/>
      </c>
    </row>
    <row r="820" spans="1:20" ht="14.25" customHeight="1" x14ac:dyDescent="0.3">
      <c r="A820" s="249">
        <f>KPIs!$I$3</f>
        <v>46388</v>
      </c>
      <c r="B820" s="193" t="str">
        <f>KPIs!I$4</f>
        <v>Compresora</v>
      </c>
      <c r="C820" t="s">
        <v>98</v>
      </c>
      <c r="D820" s="193" t="str">
        <f>KPIs!$A$50</f>
        <v>C2 · Detenciones de tareas aplicadas · YTD</v>
      </c>
      <c r="E820" t="s">
        <v>601</v>
      </c>
      <c r="F820" s="193" t="str">
        <f>IF(ISNUMBER(KPIs!I50),KPIs!I50,"")</f>
        <v/>
      </c>
      <c r="G820" s="193" t="str">
        <f>IF(ISNUMBER(KPIs!$C$50),KPIs!$C$50,"")</f>
        <v/>
      </c>
      <c r="H820" s="193" t="str">
        <f>IFERROR(INDEX(_TARGETS!$E$2:$E$17,MATCH($C820,_TARGETS!$A$2:$A$17,0))&amp;"","")</f>
        <v/>
      </c>
      <c r="I820" s="193" t="str">
        <f t="shared" si="62"/>
        <v/>
      </c>
      <c r="J820" s="193" t="str">
        <f t="shared" si="63"/>
        <v>YTD</v>
      </c>
      <c r="K820" s="193">
        <f>SUMIFS(Datos!$D$75:$AL$75,Datos!$D$3:$AL$3,"&gt;="&amp;DATE(YEAR(Datos!I$3),1,1),Datos!$D$3:$AL$3,"&lt;="&amp;Datos!I$3)</f>
        <v>0</v>
      </c>
      <c r="M820" s="193">
        <f>INDEX(_TARGETS!$J$2:$J$17,MATCH($C820,_TARGETS!$A$2:$A$17,0))</f>
        <v>1</v>
      </c>
      <c r="N820" s="193" t="str">
        <f>INDEX(_TARGETS!$D$2:$D$17,MATCH($C820,_TARGETS!$A$2:$A$17,0))</f>
        <v>u</v>
      </c>
      <c r="O820" s="193" t="str">
        <f t="shared" si="70"/>
        <v>MISSING</v>
      </c>
      <c r="P820" s="193" t="str">
        <f>INDEX(_TARGETS!$K$2:$K$17,MATCH($C820,_TARGETS!$A$2:$A$17,0))</f>
        <v>Plant Findings (hoja Observaciones-SMP)</v>
      </c>
      <c r="Q820" s="193" t="str">
        <f t="shared" si="64"/>
        <v>202701|DET|YTD</v>
      </c>
      <c r="R820" s="193" t="str">
        <f>INDEX(_TARGETS!$H$2:$H$17,MATCH($C820,_TARGETS!$A$2:$A$17,0))</f>
        <v>Solo reporte</v>
      </c>
      <c r="S820" s="193">
        <f t="shared" si="65"/>
        <v>0</v>
      </c>
      <c r="T820" s="193" t="str">
        <f t="shared" si="66"/>
        <v/>
      </c>
    </row>
    <row r="821" spans="1:20" ht="14.25" customHeight="1" x14ac:dyDescent="0.3">
      <c r="A821" s="249">
        <f>KPIs!$J$3</f>
        <v>46419</v>
      </c>
      <c r="B821" s="193" t="str">
        <f>KPIs!J$4</f>
        <v>Compresora</v>
      </c>
      <c r="C821" t="s">
        <v>39</v>
      </c>
      <c r="D821" s="193" t="str">
        <f>KPIs!$A$37</f>
        <v>1 · Frecuencia de casos con días perdidos · YTD</v>
      </c>
      <c r="E821" t="s">
        <v>601</v>
      </c>
      <c r="F821" s="193" t="str">
        <f>IF(ISNUMBER(KPIs!J37),KPIs!J37,"")</f>
        <v/>
      </c>
      <c r="G821" s="250">
        <f>IF(ISNUMBER(KPIs!$C$37),KPIs!$C$37,"")</f>
        <v>0</v>
      </c>
      <c r="H821" s="193" t="str">
        <f>IFERROR(INDEX(_TARGETS!$E$2:$E$17,MATCH($C821,_TARGETS!$A$2:$A$17,0))&amp;"","")</f>
        <v>≤</v>
      </c>
      <c r="I821" s="193" t="str">
        <f t="shared" si="62"/>
        <v/>
      </c>
      <c r="J821" s="193" t="str">
        <f t="shared" si="63"/>
        <v>YTD</v>
      </c>
      <c r="K821" s="193">
        <f>SUMIFS(Datos!$D$33:$AL$33,Datos!$D$3:$AL$3,"&gt;="&amp;DATE(YEAR(Datos!J$3),1,1),Datos!$D$3:$AL$3,"&lt;="&amp;Datos!J$3)</f>
        <v>0</v>
      </c>
      <c r="L821" s="193">
        <f>SUMIFS(Datos!$D$14:$AL$14,Datos!$D$3:$AL$3,"&gt;="&amp;DATE(YEAR(Datos!J$3),1,1),Datos!$D$3:$AL$3,"&lt;="&amp;Datos!J$3)</f>
        <v>0</v>
      </c>
      <c r="M821" s="193">
        <f>INDEX(_TARGETS!$J$2:$J$17,MATCH($C821,_TARGETS!$A$2:$A$17,0))</f>
        <v>1000000</v>
      </c>
      <c r="N821" s="193" t="str">
        <f>INDEX(_TARGETS!$D$2:$D$17,MATCH($C821,_TARGETS!$A$2:$A$17,0))</f>
        <v>casos / 10^6 HH</v>
      </c>
      <c r="O821" s="193" t="str">
        <f t="shared" si="70"/>
        <v>MISSING</v>
      </c>
      <c r="P821" s="193" t="str">
        <f>INDEX(_TARGETS!$K$2:$K$17,MATCH($C821,_TARGETS!$A$2:$A$17,0))</f>
        <v>OPS (carga manual en Datos)</v>
      </c>
      <c r="Q821" s="193" t="str">
        <f t="shared" si="64"/>
        <v>202702|DAFWCF|YTD</v>
      </c>
      <c r="R821" s="193" t="str">
        <f>INDEX(_TARGETS!$H$2:$H$17,MATCH($C821,_TARGETS!$A$2:$A$17,0))</f>
        <v>Definida</v>
      </c>
      <c r="S821" s="193" t="str">
        <f t="shared" si="65"/>
        <v/>
      </c>
      <c r="T821" s="193" t="str">
        <f t="shared" si="66"/>
        <v/>
      </c>
    </row>
    <row r="822" spans="1:20" ht="14.25" customHeight="1" x14ac:dyDescent="0.3">
      <c r="A822" s="249">
        <f>KPIs!$J$3</f>
        <v>46419</v>
      </c>
      <c r="B822" s="193" t="str">
        <f>KPIs!J$4</f>
        <v>Compresora</v>
      </c>
      <c r="C822" t="s">
        <v>49</v>
      </c>
      <c r="D822" s="193" t="str">
        <f>KPIs!$A$38</f>
        <v>2 · Frecuencia de casos registrables · YTD</v>
      </c>
      <c r="E822" t="s">
        <v>601</v>
      </c>
      <c r="F822" s="193" t="str">
        <f>IF(ISNUMBER(KPIs!J38),KPIs!J38,"")</f>
        <v/>
      </c>
      <c r="G822" s="250">
        <f>IF(ISNUMBER(KPIs!$C$38),KPIs!$C$38,"")</f>
        <v>2.35</v>
      </c>
      <c r="H822" s="193" t="str">
        <f>IFERROR(INDEX(_TARGETS!$E$2:$E$17,MATCH($C822,_TARGETS!$A$2:$A$17,0))&amp;"","")</f>
        <v>≤</v>
      </c>
      <c r="I822" s="193" t="str">
        <f t="shared" si="62"/>
        <v/>
      </c>
      <c r="J822" s="193" t="str">
        <f t="shared" si="63"/>
        <v>YTD</v>
      </c>
      <c r="K822" s="193">
        <f>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f>
        <v>0</v>
      </c>
      <c r="L822" s="193">
        <f>SUMIFS(Datos!$D$14:$AL$14,Datos!$D$3:$AL$3,"&gt;="&amp;DATE(YEAR(Datos!J$3),1,1),Datos!$D$3:$AL$3,"&lt;="&amp;Datos!J$3)</f>
        <v>0</v>
      </c>
      <c r="M822" s="193">
        <f>INDEX(_TARGETS!$J$2:$J$17,MATCH($C822,_TARGETS!$A$2:$A$17,0))</f>
        <v>1000000</v>
      </c>
      <c r="N822" s="193" t="str">
        <f>INDEX(_TARGETS!$D$2:$D$17,MATCH($C822,_TARGETS!$A$2:$A$17,0))</f>
        <v>casos / 10^6 HH</v>
      </c>
      <c r="O822" s="193" t="str">
        <f t="shared" si="70"/>
        <v>MISSING</v>
      </c>
      <c r="P822" s="193" t="str">
        <f>INDEX(_TARGETS!$K$2:$K$17,MATCH($C822,_TARGETS!$A$2:$A$17,0))</f>
        <v>OPS (carga manual en Datos)</v>
      </c>
      <c r="Q822" s="193" t="str">
        <f t="shared" si="64"/>
        <v>202702|TRICF|YTD</v>
      </c>
      <c r="R822" s="193" t="str">
        <f>INDEX(_TARGETS!$H$2:$H$17,MATCH($C822,_TARGETS!$A$2:$A$17,0))</f>
        <v>Definida</v>
      </c>
      <c r="S822" s="193" t="str">
        <f t="shared" si="65"/>
        <v/>
      </c>
      <c r="T822" s="193" t="str">
        <f t="shared" si="66"/>
        <v/>
      </c>
    </row>
    <row r="823" spans="1:20" ht="14.25" customHeight="1" x14ac:dyDescent="0.3">
      <c r="A823" s="249">
        <f>KPIs!$J$3</f>
        <v>46419</v>
      </c>
      <c r="B823" s="193" t="str">
        <f>KPIs!J$4</f>
        <v>Compresora</v>
      </c>
      <c r="C823" t="s">
        <v>51</v>
      </c>
      <c r="D823" s="193" t="str">
        <f>KPIs!$A$39</f>
        <v>3 · Casos de primeros auxilios · YTD</v>
      </c>
      <c r="E823" t="s">
        <v>601</v>
      </c>
      <c r="F823" s="193" t="str">
        <f>IF(ISNUMBER(KPIs!J39),KPIs!J39,"")</f>
        <v/>
      </c>
      <c r="G823" s="193" t="str">
        <f>IF(ISNUMBER(KPIs!$C$39),KPIs!$C$39,"")</f>
        <v/>
      </c>
      <c r="H823" s="193" t="str">
        <f>IFERROR(INDEX(_TARGETS!$E$2:$E$17,MATCH($C823,_TARGETS!$A$2:$A$17,0))&amp;"","")</f>
        <v/>
      </c>
      <c r="I823" s="193" t="str">
        <f t="shared" si="62"/>
        <v/>
      </c>
      <c r="J823" s="193" t="str">
        <f t="shared" si="63"/>
        <v>YTD</v>
      </c>
      <c r="K823" s="193">
        <f>SUMIFS(Datos!$D$37:$AL$37,Datos!$D$3:$AL$3,"&gt;="&amp;DATE(YEAR(Datos!J$3),1,1),Datos!$D$3:$AL$3,"&lt;="&amp;Datos!J$3)</f>
        <v>0</v>
      </c>
      <c r="M823" s="193">
        <f>INDEX(_TARGETS!$J$2:$J$17,MATCH($C823,_TARGETS!$A$2:$A$17,0))</f>
        <v>1</v>
      </c>
      <c r="N823" s="193" t="str">
        <f>INDEX(_TARGETS!$D$2:$D$17,MATCH($C823,_TARGETS!$A$2:$A$17,0))</f>
        <v>casos</v>
      </c>
      <c r="O823" s="193" t="str">
        <f t="shared" si="70"/>
        <v>MISSING</v>
      </c>
      <c r="P823" s="193" t="str">
        <f>INDEX(_TARGETS!$K$2:$K$17,MATCH($C823,_TARGETS!$A$2:$A$17,0))</f>
        <v>OPS (carga manual en Datos)</v>
      </c>
      <c r="Q823" s="193" t="str">
        <f t="shared" si="64"/>
        <v>202702|FAC|YTD</v>
      </c>
      <c r="R823" s="193" t="str">
        <f>INDEX(_TARGETS!$H$2:$H$17,MATCH($C823,_TARGETS!$A$2:$A$17,0))</f>
        <v>Solo reporte</v>
      </c>
      <c r="S823" s="193">
        <f t="shared" si="65"/>
        <v>0</v>
      </c>
      <c r="T823" s="193" t="str">
        <f t="shared" si="66"/>
        <v/>
      </c>
    </row>
    <row r="824" spans="1:20" ht="14.25" customHeight="1" x14ac:dyDescent="0.3">
      <c r="A824" s="249">
        <f>KPIs!$J$3</f>
        <v>46419</v>
      </c>
      <c r="B824" s="193" t="str">
        <f>KPIs!J$4</f>
        <v>Compresora</v>
      </c>
      <c r="C824" t="s">
        <v>57</v>
      </c>
      <c r="D824" s="193" t="str">
        <f>KPIs!$A$40</f>
        <v>4 · Accidentes vehiculares severos por millón de km · YTD</v>
      </c>
      <c r="E824" t="s">
        <v>601</v>
      </c>
      <c r="F824" s="193" t="str">
        <f>IF(ISNUMBER(KPIs!J40),KPIs!J40,"")</f>
        <v/>
      </c>
      <c r="G824" s="193" t="str">
        <f>IF(ISNUMBER(KPIs!$C$40),KPIs!$C$40,"")</f>
        <v/>
      </c>
      <c r="H824" s="193" t="str">
        <f>IFERROR(INDEX(_TARGETS!$E$2:$E$17,MATCH($C824,_TARGETS!$A$2:$A$17,0))&amp;"","")</f>
        <v/>
      </c>
      <c r="I824" s="193" t="str">
        <f t="shared" si="62"/>
        <v/>
      </c>
      <c r="J824" s="193" t="str">
        <f t="shared" si="63"/>
        <v>YTD</v>
      </c>
      <c r="K824" s="193">
        <f>SUMIFS(Datos!$D$39:$AL$39,Datos!$D$3:$AL$3,"&gt;="&amp;DATE(YEAR(Datos!J$3),1,1),Datos!$D$3:$AL$3,"&lt;="&amp;Datos!J$3)+SUMIFS(Datos!$D$40:$AL$40,Datos!$D$3:$AL$3,"&gt;="&amp;DATE(YEAR(Datos!J$3),1,1),Datos!$D$3:$AL$3,"&lt;="&amp;Datos!J$3)+SUMIFS(Datos!$D$41:$AL$41,Datos!$D$3:$AL$3,"&gt;="&amp;DATE(YEAR(Datos!J$3),1,1),Datos!$D$3:$AL$3,"&lt;="&amp;Datos!J$3)</f>
        <v>0</v>
      </c>
      <c r="L824" s="193">
        <f>SUMIFS(Datos!$D$47:$AL$47,Datos!$D$3:$AL$3,"&gt;="&amp;DATE(YEAR(Datos!J$3),1,1),Datos!$D$3:$AL$3,"&lt;="&amp;Datos!J$3)</f>
        <v>0</v>
      </c>
      <c r="M824" s="193">
        <f>INDEX(_TARGETS!$J$2:$J$17,MATCH($C824,_TARGETS!$A$2:$A$17,0))</f>
        <v>1000000</v>
      </c>
      <c r="N824" s="193" t="str">
        <f>INDEX(_TARGETS!$D$2:$D$17,MATCH($C824,_TARGETS!$A$2:$A$17,0))</f>
        <v>eventos / 10^6 km</v>
      </c>
      <c r="O824" s="193" t="str">
        <f t="shared" si="70"/>
        <v>MISSING</v>
      </c>
      <c r="P824" s="193" t="str">
        <f>INDEX(_TARGETS!$K$2:$K$17,MATCH($C824,_TARGETS!$A$2:$A$17,0))</f>
        <v>OPS (eventos) + Full Control GPS (km) - carga manual en Datos</v>
      </c>
      <c r="Q824" s="193" t="str">
        <f t="shared" si="64"/>
        <v>202702|SVCR|YTD</v>
      </c>
      <c r="R824" s="193" t="str">
        <f>INDEX(_TARGETS!$H$2:$H$17,MATCH($C824,_TARGETS!$A$2:$A$17,0))</f>
        <v>Solo reporte</v>
      </c>
      <c r="S824" s="193" t="str">
        <f t="shared" si="65"/>
        <v/>
      </c>
      <c r="T824" s="193" t="str">
        <f t="shared" si="66"/>
        <v/>
      </c>
    </row>
    <row r="825" spans="1:20" ht="14.25" customHeight="1" x14ac:dyDescent="0.3">
      <c r="A825" s="249">
        <f>KPIs!$J$3</f>
        <v>46419</v>
      </c>
      <c r="B825" s="193" t="str">
        <f>KPIs!J$4</f>
        <v>Compresora</v>
      </c>
      <c r="C825" t="s">
        <v>61</v>
      </c>
      <c r="D825" s="193" t="str">
        <f>KPIs!$A$41</f>
        <v>5 · Accidentes vehiculares totales por millón de km · YTD</v>
      </c>
      <c r="E825" t="s">
        <v>601</v>
      </c>
      <c r="F825" s="193" t="str">
        <f>IF(ISNUMBER(KPIs!J41),KPIs!J41,"")</f>
        <v/>
      </c>
      <c r="G825" s="250">
        <f>IF(ISNUMBER(KPIs!$C$41),KPIs!$C$41,"")</f>
        <v>0.79</v>
      </c>
      <c r="H825" s="193" t="str">
        <f>IFERROR(INDEX(_TARGETS!$E$2:$E$17,MATCH($C825,_TARGETS!$A$2:$A$17,0))&amp;"","")</f>
        <v>≤</v>
      </c>
      <c r="I825" s="193" t="str">
        <f t="shared" si="62"/>
        <v/>
      </c>
      <c r="J825" s="193" t="str">
        <f t="shared" si="63"/>
        <v>YTD</v>
      </c>
      <c r="K825" s="193">
        <f>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f>
        <v>0</v>
      </c>
      <c r="L825" s="193">
        <f>SUMIFS(Datos!$D$47:$AL$47,Datos!$D$3:$AL$3,"&gt;="&amp;DATE(YEAR(Datos!J$3),1,1),Datos!$D$3:$AL$3,"&lt;="&amp;Datos!J$3)</f>
        <v>0</v>
      </c>
      <c r="M825" s="193">
        <f>INDEX(_TARGETS!$J$2:$J$17,MATCH($C825,_TARGETS!$A$2:$A$17,0))</f>
        <v>1000000</v>
      </c>
      <c r="N825" s="193" t="str">
        <f>INDEX(_TARGETS!$D$2:$D$17,MATCH($C825,_TARGETS!$A$2:$A$17,0))</f>
        <v>eventos / 10^6 km</v>
      </c>
      <c r="O825" s="193" t="str">
        <f t="shared" si="70"/>
        <v>MISSING</v>
      </c>
      <c r="P825" s="193" t="str">
        <f>INDEX(_TARGETS!$K$2:$K$17,MATCH($C825,_TARGETS!$A$2:$A$17,0))</f>
        <v>OPS (eventos) + Full Control GPS (km) - carga manual en Datos</v>
      </c>
      <c r="Q825" s="193" t="str">
        <f t="shared" si="64"/>
        <v>202702|TVCR|YTD</v>
      </c>
      <c r="R825" s="193" t="str">
        <f>INDEX(_TARGETS!$H$2:$H$17,MATCH($C825,_TARGETS!$A$2:$A$17,0))</f>
        <v>Definida</v>
      </c>
      <c r="S825" s="193" t="str">
        <f t="shared" si="65"/>
        <v/>
      </c>
      <c r="T825" s="193" t="str">
        <f t="shared" si="66"/>
        <v/>
      </c>
    </row>
    <row r="826" spans="1:20" ht="14.25" customHeight="1" x14ac:dyDescent="0.3">
      <c r="A826" s="249">
        <f>KPIs!$J$3</f>
        <v>46419</v>
      </c>
      <c r="B826" s="193" t="str">
        <f>KPIs!J$4</f>
        <v>Compresora</v>
      </c>
      <c r="C826" t="s">
        <v>71</v>
      </c>
      <c r="D826" s="193" t="str">
        <f>KPIs!$A$42</f>
        <v>7 · Investigaciones de accidentes: días promedio de cierre · YTD</v>
      </c>
      <c r="E826" t="s">
        <v>601</v>
      </c>
      <c r="F826" s="193" t="str">
        <f>IF(ISNUMBER(KPIs!J42),KPIs!J42,"")</f>
        <v/>
      </c>
      <c r="G826" s="251">
        <f>IF(ISNUMBER(KPIs!$C$42),KPIs!$C$42,"")</f>
        <v>20</v>
      </c>
      <c r="H826" s="193" t="str">
        <f>IFERROR(INDEX(_TARGETS!$E$2:$E$17,MATCH($C826,_TARGETS!$A$2:$A$17,0))&amp;"","")</f>
        <v>≤</v>
      </c>
      <c r="I826" s="193" t="str">
        <f t="shared" si="62"/>
        <v/>
      </c>
      <c r="J826" s="193" t="str">
        <f t="shared" si="63"/>
        <v>YTD</v>
      </c>
      <c r="K826" s="193">
        <f>SUMIFS(Datos!$D$31:$AL$31,Datos!$D$3:$AL$3,"&gt;="&amp;DATE(YEAR(Datos!J$3),1,1),Datos!$D$3:$AL$3,"&lt;="&amp;Datos!J$3)</f>
        <v>0</v>
      </c>
      <c r="L826" s="193">
        <f>SUMIFS(Datos!$D$30:$AL$30,Datos!$D$3:$AL$3,"&gt;="&amp;DATE(YEAR(Datos!J$3),1,1),Datos!$D$3:$AL$3,"&lt;="&amp;Datos!J$3)</f>
        <v>0</v>
      </c>
      <c r="M826" s="193">
        <f>INDEX(_TARGETS!$J$2:$J$17,MATCH($C826,_TARGETS!$A$2:$A$17,0))</f>
        <v>1</v>
      </c>
      <c r="N826" s="193" t="str">
        <f>INDEX(_TARGETS!$D$2:$D$17,MATCH($C826,_TARGETS!$A$2:$A$17,0))</f>
        <v>días</v>
      </c>
      <c r="O826" s="193" t="str">
        <f>IF(NOT(ISNUMBER(F826)),IF(SUMPRODUCT(($C$2:$C$1300=C826)*($J$2:$J$1300="Monthly")*($A$2:$A$1300&lt;=A826)*(YEAR($A$2:$A$1300)=YEAR(A826))*ISNUMBER($K$2:$K$1300)*ISNUMBER($L$2:$L$1300)*($L$2:$L$1300=0)*($K$2:$K$1300&gt;0))&gt;0,"INCOMPLETE","MISSING"),O134)</f>
        <v>MISSING</v>
      </c>
      <c r="P826" s="193" t="str">
        <f>INDEX(_TARGETS!$K$2:$K$17,MATCH($C826,_TARGETS!$A$2:$A$17,0))</f>
        <v>OPS (carga manual en Datos)</v>
      </c>
      <c r="Q826" s="193" t="str">
        <f t="shared" si="64"/>
        <v>202702|INV|YTD</v>
      </c>
      <c r="R826" s="193" t="str">
        <f>INDEX(_TARGETS!$H$2:$H$17,MATCH($C826,_TARGETS!$A$2:$A$17,0))</f>
        <v>Definida</v>
      </c>
      <c r="S826" s="193" t="str">
        <f t="shared" si="65"/>
        <v/>
      </c>
      <c r="T826" s="193" t="str">
        <f t="shared" si="66"/>
        <v/>
      </c>
    </row>
    <row r="827" spans="1:20" ht="14.25" customHeight="1" x14ac:dyDescent="0.3">
      <c r="A827" s="249">
        <f>KPIs!$J$3</f>
        <v>46419</v>
      </c>
      <c r="B827" s="193" t="str">
        <f>KPIs!J$4</f>
        <v>Compresora</v>
      </c>
      <c r="C827" t="s">
        <v>76</v>
      </c>
      <c r="D827" s="193" t="str">
        <f>KPIs!$A$43</f>
        <v>8 · % de capacitación en seguridad · YTD</v>
      </c>
      <c r="E827" t="s">
        <v>601</v>
      </c>
      <c r="F827" s="193" t="str">
        <f>IF(ISNUMBER(KPIs!J43),KPIs!J43,"")</f>
        <v/>
      </c>
      <c r="G827" s="252">
        <f>IF(ISNUMBER(KPIs!$C$43),KPIs!$C$43,"")</f>
        <v>0.01</v>
      </c>
      <c r="H827" s="193" t="str">
        <f>IFERROR(INDEX(_TARGETS!$E$2:$E$17,MATCH($C827,_TARGETS!$A$2:$A$17,0))&amp;"","")</f>
        <v>≥</v>
      </c>
      <c r="I827" s="193" t="str">
        <f t="shared" si="62"/>
        <v/>
      </c>
      <c r="J827" s="193" t="str">
        <f t="shared" si="63"/>
        <v>YTD</v>
      </c>
      <c r="K827" s="193">
        <f>SUMIFS(Datos!$D$18:$AL$18,Datos!$D$3:$AL$3,"&gt;="&amp;DATE(YEAR(Datos!J$3),1,1),Datos!$D$3:$AL$3,"&lt;="&amp;Datos!J$3)</f>
        <v>0</v>
      </c>
      <c r="L827" s="193">
        <f>SUMIFS(Datos!$D$14:$AL$14,Datos!$D$3:$AL$3,"&gt;="&amp;DATE(YEAR(Datos!J$3),1,1),Datos!$D$3:$AL$3,"&lt;="&amp;Datos!J$3)</f>
        <v>0</v>
      </c>
      <c r="M827" s="193">
        <f>INDEX(_TARGETS!$J$2:$J$17,MATCH($C827,_TARGETS!$A$2:$A$17,0))</f>
        <v>1</v>
      </c>
      <c r="N827" s="193" t="str">
        <f>INDEX(_TARGETS!$D$2:$D$17,MATCH($C827,_TARGETS!$A$2:$A$17,0))</f>
        <v>% (fracción)</v>
      </c>
      <c r="O827" s="193" t="str">
        <f>IF(NOT(ISNUMBER(F827)),IF(SUMPRODUCT(($C$2:$C$1300=C827)*($J$2:$J$1300="Monthly")*($A$2:$A$1300&lt;=A827)*(YEAR($A$2:$A$1300)=YEAR(A827))*ISNUMBER($K$2:$K$1300)*ISNUMBER($L$2:$L$1300)*($L$2:$L$1300=0)*($K$2:$K$1300&gt;0))&gt;0,"INCOMPLETE","MISSING"),O135)</f>
        <v>MISSING</v>
      </c>
      <c r="P827" s="193" t="str">
        <f>INDEX(_TARGETS!$K$2:$K$17,MATCH($C827,_TARGETS!$A$2:$A$17,0))</f>
        <v>OPS (carga manual en Datos)</v>
      </c>
      <c r="Q827" s="193" t="str">
        <f t="shared" si="64"/>
        <v>202702|HCS|YTD</v>
      </c>
      <c r="R827" s="193" t="str">
        <f>INDEX(_TARGETS!$H$2:$H$17,MATCH($C827,_TARGETS!$A$2:$A$17,0))</f>
        <v>Definida</v>
      </c>
      <c r="S827" s="193" t="str">
        <f t="shared" si="65"/>
        <v/>
      </c>
      <c r="T827" s="193" t="str">
        <f t="shared" si="66"/>
        <v/>
      </c>
    </row>
    <row r="828" spans="1:20" ht="14.25" customHeight="1" x14ac:dyDescent="0.3">
      <c r="A828" s="249">
        <f>KPIs!$J$3</f>
        <v>46419</v>
      </c>
      <c r="B828" s="193" t="str">
        <f>KPIs!J$4</f>
        <v>Compresora</v>
      </c>
      <c r="C828" t="s">
        <v>83</v>
      </c>
      <c r="D828" s="193" t="str">
        <f>KPIs!$A$44</f>
        <v>10 · Cumplimiento de simulacros (emergencia y operativos) · YTD</v>
      </c>
      <c r="E828" t="s">
        <v>601</v>
      </c>
      <c r="F828" s="193" t="str">
        <f>IF(ISNUMBER(KPIs!J44),KPIs!J44,"")</f>
        <v/>
      </c>
      <c r="G828" s="253">
        <f>IF(ISNUMBER(KPIs!$C$44),KPIs!$C$44,"")</f>
        <v>1</v>
      </c>
      <c r="H828" s="193" t="str">
        <f>IFERROR(INDEX(_TARGETS!$E$2:$E$17,MATCH($C828,_TARGETS!$A$2:$A$17,0))&amp;"","")</f>
        <v>≥</v>
      </c>
      <c r="I828" s="193" t="str">
        <f t="shared" si="62"/>
        <v/>
      </c>
      <c r="J828" s="193" t="str">
        <f t="shared" si="63"/>
        <v>YTD</v>
      </c>
      <c r="K828" s="193">
        <f>SUMIFS(Datos!$D$20:$AL$20,Datos!$D$3:$AL$3,"&gt;="&amp;DATE(YEAR(Datos!J$3),1,1),Datos!$D$3:$AL$3,"&lt;="&amp;Datos!J$3)</f>
        <v>0</v>
      </c>
      <c r="L828" s="193">
        <f>SUMIFS(Datos!$D$21:$AL$21,Datos!$D$3:$AL$3,"&gt;="&amp;DATE(YEAR(Datos!J$3),1,1),Datos!$D$3:$AL$3,"&lt;="&amp;Datos!J$3)</f>
        <v>0</v>
      </c>
      <c r="M828" s="193">
        <f>INDEX(_TARGETS!$J$2:$J$17,MATCH($C828,_TARGETS!$A$2:$A$17,0))</f>
        <v>1</v>
      </c>
      <c r="N828" s="193" t="str">
        <f>INDEX(_TARGETS!$D$2:$D$17,MATCH($C828,_TARGETS!$A$2:$A$17,0))</f>
        <v>% (fracción)</v>
      </c>
      <c r="O828" s="193" t="str">
        <f>IF(NOT(ISNUMBER(F828)),IF(SUMPRODUCT(($C$2:$C$1300=C828)*($J$2:$J$1300="Monthly")*($A$2:$A$1300&lt;=A828)*(YEAR($A$2:$A$1300)=YEAR(A828))*ISNUMBER($K$2:$K$1300)*ISNUMBER($L$2:$L$1300)*($L$2:$L$1300=0)*($K$2:$K$1300&gt;0))&gt;0,"INCOMPLETE","MISSING"),O137)</f>
        <v>MISSING</v>
      </c>
      <c r="P828" s="193" t="str">
        <f>INDEX(_TARGETS!$K$2:$K$17,MATCH($C828,_TARGETS!$A$2:$A$17,0))</f>
        <v>OPS (carga manual en Datos)</v>
      </c>
      <c r="Q828" s="193" t="str">
        <f t="shared" si="64"/>
        <v>202702|CPSE|YTD</v>
      </c>
      <c r="R828" s="193" t="str">
        <f>INDEX(_TARGETS!$H$2:$H$17,MATCH($C828,_TARGETS!$A$2:$A$17,0))</f>
        <v>Definida</v>
      </c>
      <c r="S828" s="193" t="str">
        <f t="shared" si="65"/>
        <v/>
      </c>
      <c r="T828" s="193" t="str">
        <f t="shared" si="66"/>
        <v/>
      </c>
    </row>
    <row r="829" spans="1:20" ht="14.25" customHeight="1" x14ac:dyDescent="0.3">
      <c r="A829" s="249">
        <f>KPIs!$J$3</f>
        <v>46419</v>
      </c>
      <c r="B829" s="193" t="str">
        <f>KPIs!J$4</f>
        <v>Compresora</v>
      </c>
      <c r="C829" t="s">
        <v>85</v>
      </c>
      <c r="D829" s="193" t="str">
        <f>KPIs!$A$45</f>
        <v>10b · Cumplimiento de acciones de mejora de simulacros · YTD</v>
      </c>
      <c r="E829" t="s">
        <v>601</v>
      </c>
      <c r="F829" s="193" t="str">
        <f>IF(ISNUMBER(KPIs!J45),KPIs!J45,"")</f>
        <v/>
      </c>
      <c r="G829" s="254" t="str">
        <f>IF(ISNUMBER(KPIs!$C$45),KPIs!$C$45,"")</f>
        <v/>
      </c>
      <c r="H829" s="193" t="str">
        <f>IFERROR(INDEX(_TARGETS!$E$2:$E$17,MATCH($C829,_TARGETS!$A$2:$A$17,0))&amp;"","")</f>
        <v/>
      </c>
      <c r="I829" s="193" t="str">
        <f t="shared" si="62"/>
        <v/>
      </c>
      <c r="J829" s="193" t="str">
        <f t="shared" si="63"/>
        <v>YTD</v>
      </c>
      <c r="K829" s="193">
        <f>SUMIFS(Datos!$D$23:$AL$23,Datos!$D$3:$AL$3,"&gt;="&amp;DATE(YEAR(Datos!J$3),1,1),Datos!$D$3:$AL$3,"&lt;="&amp;Datos!J$3)</f>
        <v>0</v>
      </c>
      <c r="L829" s="193">
        <f>SUMIFS(Datos!$D$22:$AL$22,Datos!$D$3:$AL$3,"&gt;="&amp;DATE(YEAR(Datos!J$3),1,1),Datos!$D$3:$AL$3,"&lt;="&amp;Datos!J$3)</f>
        <v>0</v>
      </c>
      <c r="M829" s="193">
        <f>INDEX(_TARGETS!$J$2:$J$17,MATCH($C829,_TARGETS!$A$2:$A$17,0))</f>
        <v>1</v>
      </c>
      <c r="N829" s="193" t="str">
        <f>INDEX(_TARGETS!$D$2:$D$17,MATCH($C829,_TARGETS!$A$2:$A$17,0))</f>
        <v>% (fracción)</v>
      </c>
      <c r="O829" s="193" t="str">
        <f>IF(NOT(ISNUMBER(F829)),IF(SUMPRODUCT(($C$2:$C$1300=C829)*($J$2:$J$1300="Monthly")*($A$2:$A$1300&lt;=A829)*(YEAR($A$2:$A$1300)=YEAR(A829))*ISNUMBER($K$2:$K$1300)*ISNUMBER($L$2:$L$1300)*($L$2:$L$1300=0)*($K$2:$K$1300&gt;0))&gt;0,"INCOMPLETE","MISSING"),O138)</f>
        <v>MISSING</v>
      </c>
      <c r="P829" s="193" t="str">
        <f>INDEX(_TARGETS!$K$2:$K$17,MATCH($C829,_TARGETS!$A$2:$A$17,0))</f>
        <v>OPS (carga manual en Datos)</v>
      </c>
      <c r="Q829" s="193" t="str">
        <f t="shared" si="64"/>
        <v>202702|CAMS|YTD</v>
      </c>
      <c r="R829" s="193" t="str">
        <f>INDEX(_TARGETS!$H$2:$H$17,MATCH($C829,_TARGETS!$A$2:$A$17,0))</f>
        <v>Solo reporte</v>
      </c>
      <c r="S829" s="193" t="str">
        <f t="shared" si="65"/>
        <v/>
      </c>
      <c r="T829" s="193" t="str">
        <f t="shared" si="66"/>
        <v/>
      </c>
    </row>
    <row r="830" spans="1:20" ht="14.25" customHeight="1" x14ac:dyDescent="0.3">
      <c r="A830" s="249">
        <f>KPIs!$J$3</f>
        <v>46419</v>
      </c>
      <c r="B830" s="193" t="str">
        <f>KPIs!J$4</f>
        <v>Compresora</v>
      </c>
      <c r="C830" t="s">
        <v>87</v>
      </c>
      <c r="D830" s="193" t="str">
        <f>KPIs!$A$46</f>
        <v>11 · Cumplimiento de caminatas gerenciales · YTD</v>
      </c>
      <c r="E830" t="s">
        <v>601</v>
      </c>
      <c r="F830" s="193" t="str">
        <f>IF(ISNUMBER(KPIs!J46),KPIs!J46,"")</f>
        <v/>
      </c>
      <c r="G830" s="254">
        <f>IF(ISNUMBER(KPIs!$C$46),KPIs!$C$46,"")</f>
        <v>1</v>
      </c>
      <c r="H830" s="193" t="str">
        <f>IFERROR(INDEX(_TARGETS!$E$2:$E$17,MATCH($C830,_TARGETS!$A$2:$A$17,0))&amp;"","")</f>
        <v>≥</v>
      </c>
      <c r="I830" s="193" t="str">
        <f t="shared" si="62"/>
        <v/>
      </c>
      <c r="J830" s="193" t="str">
        <f t="shared" si="63"/>
        <v>YTD</v>
      </c>
      <c r="K830" s="193">
        <f>SUMIFS(Datos!$D$24:$AL$24,Datos!$D$3:$AL$3,"&gt;="&amp;DATE(YEAR(Datos!J$3),1,1),Datos!$D$3:$AL$3,"&lt;="&amp;Datos!J$3)</f>
        <v>0</v>
      </c>
      <c r="L830" s="193">
        <f>SUMIFS(Datos!$D$25:$AL$25,Datos!$D$3:$AL$3,"&gt;="&amp;DATE(YEAR(Datos!J$3),1,1),Datos!$D$3:$AL$3,"&lt;="&amp;Datos!J$3)</f>
        <v>0</v>
      </c>
      <c r="M830" s="193">
        <f>INDEX(_TARGETS!$J$2:$J$17,MATCH($C830,_TARGETS!$A$2:$A$17,0))</f>
        <v>1</v>
      </c>
      <c r="N830" s="193" t="str">
        <f>INDEX(_TARGETS!$D$2:$D$17,MATCH($C830,_TARGETS!$A$2:$A$17,0))</f>
        <v>% (fracción)</v>
      </c>
      <c r="O830" s="193" t="str">
        <f>IF(NOT(ISNUMBER(F830)),IF(SUMPRODUCT(($C$2:$C$1300=C830)*($J$2:$J$1300="Monthly")*($A$2:$A$1300&lt;=A830)*(YEAR($A$2:$A$1300)=YEAR(A830))*ISNUMBER($K$2:$K$1300)*ISNUMBER($L$2:$L$1300)*($L$2:$L$1300=0)*($K$2:$K$1300&gt;0))&gt;0,"INCOMPLETE","MISSING"),O139)</f>
        <v>MISSING</v>
      </c>
      <c r="P830" s="193" t="str">
        <f>INDEX(_TARGETS!$K$2:$K$17,MATCH($C830,_TARGETS!$A$2:$A$17,0))</f>
        <v>OPS (carga manual en Datos)</v>
      </c>
      <c r="Q830" s="193" t="str">
        <f t="shared" si="64"/>
        <v>202702|ICCS|YTD</v>
      </c>
      <c r="R830" s="193" t="str">
        <f>INDEX(_TARGETS!$H$2:$H$17,MATCH($C830,_TARGETS!$A$2:$A$17,0))</f>
        <v>Definida</v>
      </c>
      <c r="S830" s="193" t="str">
        <f t="shared" si="65"/>
        <v/>
      </c>
      <c r="T830" s="193" t="str">
        <f t="shared" si="66"/>
        <v/>
      </c>
    </row>
    <row r="831" spans="1:20" ht="14.25" customHeight="1" x14ac:dyDescent="0.3">
      <c r="A831" s="249">
        <f>KPIs!$J$3</f>
        <v>46419</v>
      </c>
      <c r="B831" s="193" t="str">
        <f>KPIs!J$4</f>
        <v>Compresora</v>
      </c>
      <c r="C831" t="s">
        <v>89</v>
      </c>
      <c r="D831" s="193" t="str">
        <f>KPIs!$A$47</f>
        <v>12 · Cumplimiento de comités y subcomités de seguridad · YTD</v>
      </c>
      <c r="E831" t="s">
        <v>601</v>
      </c>
      <c r="F831" s="193" t="str">
        <f>IF(ISNUMBER(KPIs!J47),KPIs!J47,"")</f>
        <v/>
      </c>
      <c r="G831" s="254">
        <f>IF(ISNUMBER(KPIs!$C$47),KPIs!$C$47,"")</f>
        <v>1</v>
      </c>
      <c r="H831" s="193" t="str">
        <f>IFERROR(INDEX(_TARGETS!$E$2:$E$17,MATCH($C831,_TARGETS!$A$2:$A$17,0))&amp;"","")</f>
        <v>≥</v>
      </c>
      <c r="I831" s="193" t="str">
        <f t="shared" si="62"/>
        <v/>
      </c>
      <c r="J831" s="193" t="str">
        <f t="shared" si="63"/>
        <v>YTD</v>
      </c>
      <c r="K831" s="193">
        <f>SUMIFS(Datos!$D$26:$AL$26,Datos!$D$3:$AL$3,"&gt;="&amp;DATE(YEAR(Datos!J$3),1,1),Datos!$D$3:$AL$3,"&lt;="&amp;Datos!J$3)</f>
        <v>0</v>
      </c>
      <c r="L831" s="193">
        <f>SUMIFS(Datos!$D$27:$AL$27,Datos!$D$3:$AL$3,"&gt;="&amp;DATE(YEAR(Datos!J$3),1,1),Datos!$D$3:$AL$3,"&lt;="&amp;Datos!J$3)</f>
        <v>0</v>
      </c>
      <c r="M831" s="193">
        <f>INDEX(_TARGETS!$J$2:$J$17,MATCH($C831,_TARGETS!$A$2:$A$17,0))</f>
        <v>1</v>
      </c>
      <c r="N831" s="193" t="str">
        <f>INDEX(_TARGETS!$D$2:$D$17,MATCH($C831,_TARGETS!$A$2:$A$17,0))</f>
        <v>% (fracción)</v>
      </c>
      <c r="O831" s="193" t="str">
        <f>IF(NOT(ISNUMBER(F831)),IF(SUMPRODUCT(($C$2:$C$1300=C831)*($J$2:$J$1300="Monthly")*($A$2:$A$1300&lt;=A831)*(YEAR($A$2:$A$1300)=YEAR(A831))*ISNUMBER($K$2:$K$1300)*ISNUMBER($L$2:$L$1300)*($L$2:$L$1300=0)*($K$2:$K$1300&gt;0))&gt;0,"INCOMPLETE","MISSING"),O140)</f>
        <v>MISSING</v>
      </c>
      <c r="P831" s="193" t="str">
        <f>INDEX(_TARGETS!$K$2:$K$17,MATCH($C831,_TARGETS!$A$2:$A$17,0))</f>
        <v>OPS (carga manual en Datos)</v>
      </c>
      <c r="Q831" s="193" t="str">
        <f t="shared" si="64"/>
        <v>202702|CCS|YTD</v>
      </c>
      <c r="R831" s="193" t="str">
        <f>INDEX(_TARGETS!$H$2:$H$17,MATCH($C831,_TARGETS!$A$2:$A$17,0))</f>
        <v>Definida</v>
      </c>
      <c r="S831" s="193" t="str">
        <f t="shared" si="65"/>
        <v/>
      </c>
      <c r="T831" s="193" t="str">
        <f t="shared" si="66"/>
        <v/>
      </c>
    </row>
    <row r="832" spans="1:20" ht="14.25" customHeight="1" x14ac:dyDescent="0.3">
      <c r="A832" s="249">
        <f>KPIs!$J$3</f>
        <v>46419</v>
      </c>
      <c r="B832" s="193" t="str">
        <f>KPIs!J$4</f>
        <v>Compresora</v>
      </c>
      <c r="C832" t="s">
        <v>91</v>
      </c>
      <c r="D832" s="193" t="str">
        <f>KPIs!$A$48</f>
        <v>13 · Días promedio para cerrar hallazgos · YTD</v>
      </c>
      <c r="E832" t="s">
        <v>601</v>
      </c>
      <c r="F832" s="251" t="str">
        <f>IF(ISNUMBER(KPIs!J48),KPIs!J48,"")</f>
        <v/>
      </c>
      <c r="G832" s="193" t="str">
        <f>IF(ISNUMBER(KPIs!$C$48),KPIs!$C$48,"")</f>
        <v/>
      </c>
      <c r="H832" s="193" t="str">
        <f>IFERROR(INDEX(_TARGETS!$E$2:$E$17,MATCH($C832,_TARGETS!$A$2:$A$17,0))&amp;"","")</f>
        <v>≤</v>
      </c>
      <c r="I832" s="193" t="str">
        <f t="shared" si="62"/>
        <v/>
      </c>
      <c r="J832" s="193" t="str">
        <f t="shared" si="63"/>
        <v>YTD</v>
      </c>
      <c r="K832" s="193">
        <f>SUMIFS(Datos!$D$68:$AL$68,Datos!$D$3:$AL$3,"&gt;="&amp;DATE(YEAR(Datos!J$3),1,1),Datos!$D$3:$AL$3,"&lt;="&amp;Datos!J$3)</f>
        <v>0</v>
      </c>
      <c r="L832" s="193">
        <f>SUMIFS(Datos!$D$67:$AL$67,Datos!$D$3:$AL$3,"&gt;="&amp;DATE(YEAR(Datos!J$3),1,1),Datos!$D$3:$AL$3,"&lt;="&amp;Datos!J$3)</f>
        <v>0</v>
      </c>
      <c r="M832" s="193">
        <f>INDEX(_TARGETS!$J$2:$J$17,MATCH($C832,_TARGETS!$A$2:$A$17,0))</f>
        <v>1</v>
      </c>
      <c r="N832" s="193" t="str">
        <f>INDEX(_TARGETS!$D$2:$D$17,MATCH($C832,_TARGETS!$A$2:$A$17,0))</f>
        <v>días</v>
      </c>
      <c r="O832" s="193" t="str">
        <f>IF(NOT(ISNUMBER(F832)),IF(SUMPRODUCT(($C$2:$C$1300=C832)*($J$2:$J$1300="Monthly")*($A$2:$A$1300&lt;=A832)*(YEAR($A$2:$A$1300)=YEAR(A832))*ISNUMBER($K$2:$K$1300)*ISNUMBER($L$2:$L$1300)*($L$2:$L$1300=0)*($K$2:$K$1300&gt;0))&gt;0,"INCOMPLETE","MISSING"),O141)</f>
        <v>MISSING</v>
      </c>
      <c r="P832" s="193" t="str">
        <f>INDEX(_TARGETS!$K$2:$K$17,MATCH($C832,_TARGETS!$A$2:$A$17,0))</f>
        <v>Plant Findings (hoja Observaciones-SMP)</v>
      </c>
      <c r="Q832" s="193" t="str">
        <f t="shared" si="64"/>
        <v>202702|DPAS|YTD</v>
      </c>
      <c r="R832" s="193" t="str">
        <f>INDEX(_TARGETS!$H$2:$H$17,MATCH($C832,_TARGETS!$A$2:$A$17,0))</f>
        <v>Pendiente (meta 2027)</v>
      </c>
      <c r="S832" s="193" t="str">
        <f t="shared" si="65"/>
        <v/>
      </c>
      <c r="T832" s="193" t="str">
        <f t="shared" si="66"/>
        <v/>
      </c>
    </row>
    <row r="833" spans="1:20" ht="14.25" customHeight="1" x14ac:dyDescent="0.3">
      <c r="A833" s="249">
        <f>KPIs!$J$3</f>
        <v>46419</v>
      </c>
      <c r="B833" s="193" t="str">
        <f>KPIs!J$4</f>
        <v>Compresora</v>
      </c>
      <c r="C833" t="s">
        <v>96</v>
      </c>
      <c r="D833" s="193" t="str">
        <f>KPIs!$A$49</f>
        <v>C1 · % de desvíos detectados de gravedad Alta · YTD</v>
      </c>
      <c r="E833" t="s">
        <v>601</v>
      </c>
      <c r="F833" s="193" t="str">
        <f>IF(ISNUMBER(KPIs!J49),KPIs!J49,"")</f>
        <v/>
      </c>
      <c r="G833" s="193" t="str">
        <f>IF(ISNUMBER(KPIs!$C$49),KPIs!$C$49,"")</f>
        <v/>
      </c>
      <c r="H833" s="193" t="str">
        <f>IFERROR(INDEX(_TARGETS!$E$2:$E$17,MATCH($C833,_TARGETS!$A$2:$A$17,0))&amp;"","")</f>
        <v/>
      </c>
      <c r="I833" s="193" t="str">
        <f t="shared" si="62"/>
        <v/>
      </c>
      <c r="J833" s="193" t="str">
        <f t="shared" si="63"/>
        <v>YTD</v>
      </c>
      <c r="K833" s="193">
        <f>SUMIFS(Datos!$D$71:$AL$71,Datos!$D$3:$AL$3,"&gt;="&amp;DATE(YEAR(Datos!J$3),1,1),Datos!$D$3:$AL$3,"&lt;="&amp;Datos!J$3)</f>
        <v>0</v>
      </c>
      <c r="L833" s="193">
        <f>SUMIFS(Datos!$D$71:$AL$71,Datos!$D$3:$AL$3,"&gt;="&amp;DATE(YEAR(Datos!J$3),1,1),Datos!$D$3:$AL$3,"&lt;="&amp;Datos!J$3)+SUMIFS(Datos!$D$72:$AL$72,Datos!$D$3:$AL$3,"&gt;="&amp;DATE(YEAR(Datos!J$3),1,1),Datos!$D$3:$AL$3,"&lt;="&amp;Datos!J$3)+SUMIFS(Datos!$D$73:$AL$73,Datos!$D$3:$AL$3,"&gt;="&amp;DATE(YEAR(Datos!J$3),1,1),Datos!$D$3:$AL$3,"&lt;="&amp;Datos!J$3)</f>
        <v>0</v>
      </c>
      <c r="M833" s="193">
        <f>INDEX(_TARGETS!$J$2:$J$17,MATCH($C833,_TARGETS!$A$2:$A$17,0))</f>
        <v>1</v>
      </c>
      <c r="N833" s="193" t="str">
        <f>INDEX(_TARGETS!$D$2:$D$17,MATCH($C833,_TARGETS!$A$2:$A$17,0))</f>
        <v>% (fracción)</v>
      </c>
      <c r="O833" s="193" t="str">
        <f t="shared" ref="O833:O839" si="71">IF(NOT(ISNUMBER(F833)),IF(SUMPRODUCT(($C$2:$C$1300=C833)*($J$2:$J$1300="Monthly")*($A$2:$A$1300&lt;=A833)*(YEAR($A$2:$A$1300)=YEAR(A833))*ISNUMBER($K$2:$K$1300)*ISNUMBER($L$2:$L$1300)*($L$2:$L$1300=0)*($K$2:$K$1300&gt;0))&gt;0,"INCOMPLETE","MISSING"),O147)</f>
        <v>MISSING</v>
      </c>
      <c r="P833" s="193" t="str">
        <f>INDEX(_TARGETS!$K$2:$K$17,MATCH($C833,_TARGETS!$A$2:$A$17,0))</f>
        <v>Plant Findings (hoja Observaciones-SMP)</v>
      </c>
      <c r="Q833" s="193" t="str">
        <f t="shared" si="64"/>
        <v>202702|HAL_ALTA_PCT|YTD</v>
      </c>
      <c r="R833" s="193" t="str">
        <f>INDEX(_TARGETS!$H$2:$H$17,MATCH($C833,_TARGETS!$A$2:$A$17,0))</f>
        <v>Solo reporte</v>
      </c>
      <c r="S833" s="193" t="str">
        <f t="shared" si="65"/>
        <v/>
      </c>
      <c r="T833" s="193" t="str">
        <f t="shared" si="66"/>
        <v/>
      </c>
    </row>
    <row r="834" spans="1:20" ht="14.25" customHeight="1" x14ac:dyDescent="0.3">
      <c r="A834" s="249">
        <f>KPIs!$J$3</f>
        <v>46419</v>
      </c>
      <c r="B834" s="193" t="str">
        <f>KPIs!J$4</f>
        <v>Compresora</v>
      </c>
      <c r="C834" t="s">
        <v>98</v>
      </c>
      <c r="D834" s="193" t="str">
        <f>KPIs!$A$50</f>
        <v>C2 · Detenciones de tareas aplicadas · YTD</v>
      </c>
      <c r="E834" t="s">
        <v>601</v>
      </c>
      <c r="F834" s="193" t="str">
        <f>IF(ISNUMBER(KPIs!J50),KPIs!J50,"")</f>
        <v/>
      </c>
      <c r="G834" s="193" t="str">
        <f>IF(ISNUMBER(KPIs!$C$50),KPIs!$C$50,"")</f>
        <v/>
      </c>
      <c r="H834" s="193" t="str">
        <f>IFERROR(INDEX(_TARGETS!$E$2:$E$17,MATCH($C834,_TARGETS!$A$2:$A$17,0))&amp;"","")</f>
        <v/>
      </c>
      <c r="I834" s="193" t="str">
        <f t="shared" ref="I834:I897" si="72">IF(OR(H834="",F834="",G834=""),"",IF(IF(H834="≤",F834&lt;=G834,F834&gt;=G834),"Sí","No"))</f>
        <v/>
      </c>
      <c r="J834" s="193" t="str">
        <f t="shared" ref="J834:J897" si="73">IF(E834="Mensual","Monthly",IF(E834="Acumulado","Cumulative",E834))</f>
        <v>YTD</v>
      </c>
      <c r="K834" s="193">
        <f>SUMIFS(Datos!$D$75:$AL$75,Datos!$D$3:$AL$3,"&gt;="&amp;DATE(YEAR(Datos!J$3),1,1),Datos!$D$3:$AL$3,"&lt;="&amp;Datos!J$3)</f>
        <v>0</v>
      </c>
      <c r="M834" s="193">
        <f>INDEX(_TARGETS!$J$2:$J$17,MATCH($C834,_TARGETS!$A$2:$A$17,0))</f>
        <v>1</v>
      </c>
      <c r="N834" s="193" t="str">
        <f>INDEX(_TARGETS!$D$2:$D$17,MATCH($C834,_TARGETS!$A$2:$A$17,0))</f>
        <v>u</v>
      </c>
      <c r="O834" s="193" t="str">
        <f t="shared" si="71"/>
        <v>MISSING</v>
      </c>
      <c r="P834" s="193" t="str">
        <f>INDEX(_TARGETS!$K$2:$K$17,MATCH($C834,_TARGETS!$A$2:$A$17,0))</f>
        <v>Plant Findings (hoja Observaciones-SMP)</v>
      </c>
      <c r="Q834" s="193" t="str">
        <f t="shared" ref="Q834:Q897" si="74">YEAR(A834)*100+MONTH(A834)&amp;"|"&amp;C834&amp;"|"&amp;J834</f>
        <v>202702|DET|YTD</v>
      </c>
      <c r="R834" s="193" t="str">
        <f>INDEX(_TARGETS!$H$2:$H$17,MATCH($C834,_TARGETS!$A$2:$A$17,0))</f>
        <v>Solo reporte</v>
      </c>
      <c r="S834" s="193">
        <f t="shared" ref="S834:S897" si="75">IF(AND(ISNUMBER(K834),ISNUMBER(L834)),IF(L834=0,"",K834*M834/L834),IF(ISNUMBER(K834),K834*M834,""))</f>
        <v>0</v>
      </c>
      <c r="T834" s="193" t="str">
        <f t="shared" ref="T834:T897" si="76">IF(AND(ISNUMBER(F834),ISNUMBER(S834)),ABS(F834-S834),"")</f>
        <v/>
      </c>
    </row>
    <row r="835" spans="1:20" ht="14.25" customHeight="1" x14ac:dyDescent="0.3">
      <c r="A835" s="249">
        <f>KPIs!$K$3</f>
        <v>46447</v>
      </c>
      <c r="B835" s="193" t="str">
        <f>KPIs!K$4</f>
        <v>Compresora</v>
      </c>
      <c r="C835" t="s">
        <v>39</v>
      </c>
      <c r="D835" s="193" t="str">
        <f>KPIs!$A$37</f>
        <v>1 · Frecuencia de casos con días perdidos · YTD</v>
      </c>
      <c r="E835" t="s">
        <v>601</v>
      </c>
      <c r="F835" s="193" t="str">
        <f>IF(ISNUMBER(KPIs!K37),KPIs!K37,"")</f>
        <v/>
      </c>
      <c r="G835" s="250">
        <f>IF(ISNUMBER(KPIs!$C$37),KPIs!$C$37,"")</f>
        <v>0</v>
      </c>
      <c r="H835" s="193" t="str">
        <f>IFERROR(INDEX(_TARGETS!$E$2:$E$17,MATCH($C835,_TARGETS!$A$2:$A$17,0))&amp;"","")</f>
        <v>≤</v>
      </c>
      <c r="I835" s="193" t="str">
        <f t="shared" si="72"/>
        <v/>
      </c>
      <c r="J835" s="193" t="str">
        <f t="shared" si="73"/>
        <v>YTD</v>
      </c>
      <c r="K835" s="193">
        <f>SUMIFS(Datos!$D$33:$AL$33,Datos!$D$3:$AL$3,"&gt;="&amp;DATE(YEAR(Datos!K$3),1,1),Datos!$D$3:$AL$3,"&lt;="&amp;Datos!K$3)</f>
        <v>0</v>
      </c>
      <c r="L835" s="193">
        <f>SUMIFS(Datos!$D$14:$AL$14,Datos!$D$3:$AL$3,"&gt;="&amp;DATE(YEAR(Datos!K$3),1,1),Datos!$D$3:$AL$3,"&lt;="&amp;Datos!K$3)</f>
        <v>0</v>
      </c>
      <c r="M835" s="193">
        <f>INDEX(_TARGETS!$J$2:$J$17,MATCH($C835,_TARGETS!$A$2:$A$17,0))</f>
        <v>1000000</v>
      </c>
      <c r="N835" s="193" t="str">
        <f>INDEX(_TARGETS!$D$2:$D$17,MATCH($C835,_TARGETS!$A$2:$A$17,0))</f>
        <v>casos / 10^6 HH</v>
      </c>
      <c r="O835" s="193" t="str">
        <f t="shared" si="71"/>
        <v>MISSING</v>
      </c>
      <c r="P835" s="193" t="str">
        <f>INDEX(_TARGETS!$K$2:$K$17,MATCH($C835,_TARGETS!$A$2:$A$17,0))</f>
        <v>OPS (carga manual en Datos)</v>
      </c>
      <c r="Q835" s="193" t="str">
        <f t="shared" si="74"/>
        <v>202703|DAFWCF|YTD</v>
      </c>
      <c r="R835" s="193" t="str">
        <f>INDEX(_TARGETS!$H$2:$H$17,MATCH($C835,_TARGETS!$A$2:$A$17,0))</f>
        <v>Definida</v>
      </c>
      <c r="S835" s="193" t="str">
        <f t="shared" si="75"/>
        <v/>
      </c>
      <c r="T835" s="193" t="str">
        <f t="shared" si="76"/>
        <v/>
      </c>
    </row>
    <row r="836" spans="1:20" ht="14.25" customHeight="1" x14ac:dyDescent="0.3">
      <c r="A836" s="249">
        <f>KPIs!$K$3</f>
        <v>46447</v>
      </c>
      <c r="B836" s="193" t="str">
        <f>KPIs!K$4</f>
        <v>Compresora</v>
      </c>
      <c r="C836" t="s">
        <v>49</v>
      </c>
      <c r="D836" s="193" t="str">
        <f>KPIs!$A$38</f>
        <v>2 · Frecuencia de casos registrables · YTD</v>
      </c>
      <c r="E836" t="s">
        <v>601</v>
      </c>
      <c r="F836" s="193" t="str">
        <f>IF(ISNUMBER(KPIs!K38),KPIs!K38,"")</f>
        <v/>
      </c>
      <c r="G836" s="250">
        <f>IF(ISNUMBER(KPIs!$C$38),KPIs!$C$38,"")</f>
        <v>2.35</v>
      </c>
      <c r="H836" s="193" t="str">
        <f>IFERROR(INDEX(_TARGETS!$E$2:$E$17,MATCH($C836,_TARGETS!$A$2:$A$17,0))&amp;"","")</f>
        <v>≤</v>
      </c>
      <c r="I836" s="193" t="str">
        <f t="shared" si="72"/>
        <v/>
      </c>
      <c r="J836" s="193" t="str">
        <f t="shared" si="73"/>
        <v>YTD</v>
      </c>
      <c r="K836" s="193">
        <f>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f>
        <v>0</v>
      </c>
      <c r="L836" s="193">
        <f>SUMIFS(Datos!$D$14:$AL$14,Datos!$D$3:$AL$3,"&gt;="&amp;DATE(YEAR(Datos!K$3),1,1),Datos!$D$3:$AL$3,"&lt;="&amp;Datos!K$3)</f>
        <v>0</v>
      </c>
      <c r="M836" s="193">
        <f>INDEX(_TARGETS!$J$2:$J$17,MATCH($C836,_TARGETS!$A$2:$A$17,0))</f>
        <v>1000000</v>
      </c>
      <c r="N836" s="193" t="str">
        <f>INDEX(_TARGETS!$D$2:$D$17,MATCH($C836,_TARGETS!$A$2:$A$17,0))</f>
        <v>casos / 10^6 HH</v>
      </c>
      <c r="O836" s="193" t="str">
        <f t="shared" si="71"/>
        <v>MISSING</v>
      </c>
      <c r="P836" s="193" t="str">
        <f>INDEX(_TARGETS!$K$2:$K$17,MATCH($C836,_TARGETS!$A$2:$A$17,0))</f>
        <v>OPS (carga manual en Datos)</v>
      </c>
      <c r="Q836" s="193" t="str">
        <f t="shared" si="74"/>
        <v>202703|TRICF|YTD</v>
      </c>
      <c r="R836" s="193" t="str">
        <f>INDEX(_TARGETS!$H$2:$H$17,MATCH($C836,_TARGETS!$A$2:$A$17,0))</f>
        <v>Definida</v>
      </c>
      <c r="S836" s="193" t="str">
        <f t="shared" si="75"/>
        <v/>
      </c>
      <c r="T836" s="193" t="str">
        <f t="shared" si="76"/>
        <v/>
      </c>
    </row>
    <row r="837" spans="1:20" ht="14.25" customHeight="1" x14ac:dyDescent="0.3">
      <c r="A837" s="249">
        <f>KPIs!$K$3</f>
        <v>46447</v>
      </c>
      <c r="B837" s="193" t="str">
        <f>KPIs!K$4</f>
        <v>Compresora</v>
      </c>
      <c r="C837" t="s">
        <v>51</v>
      </c>
      <c r="D837" s="193" t="str">
        <f>KPIs!$A$39</f>
        <v>3 · Casos de primeros auxilios · YTD</v>
      </c>
      <c r="E837" t="s">
        <v>601</v>
      </c>
      <c r="F837" s="193" t="str">
        <f>IF(ISNUMBER(KPIs!K39),KPIs!K39,"")</f>
        <v/>
      </c>
      <c r="G837" s="193" t="str">
        <f>IF(ISNUMBER(KPIs!$C$39),KPIs!$C$39,"")</f>
        <v/>
      </c>
      <c r="H837" s="193" t="str">
        <f>IFERROR(INDEX(_TARGETS!$E$2:$E$17,MATCH($C837,_TARGETS!$A$2:$A$17,0))&amp;"","")</f>
        <v/>
      </c>
      <c r="I837" s="193" t="str">
        <f t="shared" si="72"/>
        <v/>
      </c>
      <c r="J837" s="193" t="str">
        <f t="shared" si="73"/>
        <v>YTD</v>
      </c>
      <c r="K837" s="193">
        <f>SUMIFS(Datos!$D$37:$AL$37,Datos!$D$3:$AL$3,"&gt;="&amp;DATE(YEAR(Datos!K$3),1,1),Datos!$D$3:$AL$3,"&lt;="&amp;Datos!K$3)</f>
        <v>0</v>
      </c>
      <c r="M837" s="193">
        <f>INDEX(_TARGETS!$J$2:$J$17,MATCH($C837,_TARGETS!$A$2:$A$17,0))</f>
        <v>1</v>
      </c>
      <c r="N837" s="193" t="str">
        <f>INDEX(_TARGETS!$D$2:$D$17,MATCH($C837,_TARGETS!$A$2:$A$17,0))</f>
        <v>casos</v>
      </c>
      <c r="O837" s="193" t="str">
        <f t="shared" si="71"/>
        <v>MISSING</v>
      </c>
      <c r="P837" s="193" t="str">
        <f>INDEX(_TARGETS!$K$2:$K$17,MATCH($C837,_TARGETS!$A$2:$A$17,0))</f>
        <v>OPS (carga manual en Datos)</v>
      </c>
      <c r="Q837" s="193" t="str">
        <f t="shared" si="74"/>
        <v>202703|FAC|YTD</v>
      </c>
      <c r="R837" s="193" t="str">
        <f>INDEX(_TARGETS!$H$2:$H$17,MATCH($C837,_TARGETS!$A$2:$A$17,0))</f>
        <v>Solo reporte</v>
      </c>
      <c r="S837" s="193">
        <f t="shared" si="75"/>
        <v>0</v>
      </c>
      <c r="T837" s="193" t="str">
        <f t="shared" si="76"/>
        <v/>
      </c>
    </row>
    <row r="838" spans="1:20" ht="14.25" customHeight="1" x14ac:dyDescent="0.3">
      <c r="A838" s="249">
        <f>KPIs!$K$3</f>
        <v>46447</v>
      </c>
      <c r="B838" s="193" t="str">
        <f>KPIs!K$4</f>
        <v>Compresora</v>
      </c>
      <c r="C838" t="s">
        <v>57</v>
      </c>
      <c r="D838" s="193" t="str">
        <f>KPIs!$A$40</f>
        <v>4 · Accidentes vehiculares severos por millón de km · YTD</v>
      </c>
      <c r="E838" t="s">
        <v>601</v>
      </c>
      <c r="F838" s="193" t="str">
        <f>IF(ISNUMBER(KPIs!K40),KPIs!K40,"")</f>
        <v/>
      </c>
      <c r="G838" s="193" t="str">
        <f>IF(ISNUMBER(KPIs!$C$40),KPIs!$C$40,"")</f>
        <v/>
      </c>
      <c r="H838" s="193" t="str">
        <f>IFERROR(INDEX(_TARGETS!$E$2:$E$17,MATCH($C838,_TARGETS!$A$2:$A$17,0))&amp;"","")</f>
        <v/>
      </c>
      <c r="I838" s="193" t="str">
        <f t="shared" si="72"/>
        <v/>
      </c>
      <c r="J838" s="193" t="str">
        <f t="shared" si="73"/>
        <v>YTD</v>
      </c>
      <c r="K838" s="193">
        <f>SUMIFS(Datos!$D$39:$AL$39,Datos!$D$3:$AL$3,"&gt;="&amp;DATE(YEAR(Datos!K$3),1,1),Datos!$D$3:$AL$3,"&lt;="&amp;Datos!K$3)+SUMIFS(Datos!$D$40:$AL$40,Datos!$D$3:$AL$3,"&gt;="&amp;DATE(YEAR(Datos!K$3),1,1),Datos!$D$3:$AL$3,"&lt;="&amp;Datos!K$3)+SUMIFS(Datos!$D$41:$AL$41,Datos!$D$3:$AL$3,"&gt;="&amp;DATE(YEAR(Datos!K$3),1,1),Datos!$D$3:$AL$3,"&lt;="&amp;Datos!K$3)</f>
        <v>0</v>
      </c>
      <c r="L838" s="193">
        <f>SUMIFS(Datos!$D$47:$AL$47,Datos!$D$3:$AL$3,"&gt;="&amp;DATE(YEAR(Datos!K$3),1,1),Datos!$D$3:$AL$3,"&lt;="&amp;Datos!K$3)</f>
        <v>0</v>
      </c>
      <c r="M838" s="193">
        <f>INDEX(_TARGETS!$J$2:$J$17,MATCH($C838,_TARGETS!$A$2:$A$17,0))</f>
        <v>1000000</v>
      </c>
      <c r="N838" s="193" t="str">
        <f>INDEX(_TARGETS!$D$2:$D$17,MATCH($C838,_TARGETS!$A$2:$A$17,0))</f>
        <v>eventos / 10^6 km</v>
      </c>
      <c r="O838" s="193" t="str">
        <f t="shared" si="71"/>
        <v>MISSING</v>
      </c>
      <c r="P838" s="193" t="str">
        <f>INDEX(_TARGETS!$K$2:$K$17,MATCH($C838,_TARGETS!$A$2:$A$17,0))</f>
        <v>OPS (eventos) + Full Control GPS (km) - carga manual en Datos</v>
      </c>
      <c r="Q838" s="193" t="str">
        <f t="shared" si="74"/>
        <v>202703|SVCR|YTD</v>
      </c>
      <c r="R838" s="193" t="str">
        <f>INDEX(_TARGETS!$H$2:$H$17,MATCH($C838,_TARGETS!$A$2:$A$17,0))</f>
        <v>Solo reporte</v>
      </c>
      <c r="S838" s="193" t="str">
        <f t="shared" si="75"/>
        <v/>
      </c>
      <c r="T838" s="193" t="str">
        <f t="shared" si="76"/>
        <v/>
      </c>
    </row>
    <row r="839" spans="1:20" ht="14.25" customHeight="1" x14ac:dyDescent="0.3">
      <c r="A839" s="249">
        <f>KPIs!$K$3</f>
        <v>46447</v>
      </c>
      <c r="B839" s="193" t="str">
        <f>KPIs!K$4</f>
        <v>Compresora</v>
      </c>
      <c r="C839" t="s">
        <v>61</v>
      </c>
      <c r="D839" s="193" t="str">
        <f>KPIs!$A$41</f>
        <v>5 · Accidentes vehiculares totales por millón de km · YTD</v>
      </c>
      <c r="E839" t="s">
        <v>601</v>
      </c>
      <c r="F839" s="193" t="str">
        <f>IF(ISNUMBER(KPIs!K41),KPIs!K41,"")</f>
        <v/>
      </c>
      <c r="G839" s="250">
        <f>IF(ISNUMBER(KPIs!$C$41),KPIs!$C$41,"")</f>
        <v>0.79</v>
      </c>
      <c r="H839" s="193" t="str">
        <f>IFERROR(INDEX(_TARGETS!$E$2:$E$17,MATCH($C839,_TARGETS!$A$2:$A$17,0))&amp;"","")</f>
        <v>≤</v>
      </c>
      <c r="I839" s="193" t="str">
        <f t="shared" si="72"/>
        <v/>
      </c>
      <c r="J839" s="193" t="str">
        <f t="shared" si="73"/>
        <v>YTD</v>
      </c>
      <c r="K839" s="193">
        <f>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f>
        <v>0</v>
      </c>
      <c r="L839" s="193">
        <f>SUMIFS(Datos!$D$47:$AL$47,Datos!$D$3:$AL$3,"&gt;="&amp;DATE(YEAR(Datos!K$3),1,1),Datos!$D$3:$AL$3,"&lt;="&amp;Datos!K$3)</f>
        <v>0</v>
      </c>
      <c r="M839" s="193">
        <f>INDEX(_TARGETS!$J$2:$J$17,MATCH($C839,_TARGETS!$A$2:$A$17,0))</f>
        <v>1000000</v>
      </c>
      <c r="N839" s="193" t="str">
        <f>INDEX(_TARGETS!$D$2:$D$17,MATCH($C839,_TARGETS!$A$2:$A$17,0))</f>
        <v>eventos / 10^6 km</v>
      </c>
      <c r="O839" s="193" t="str">
        <f t="shared" si="71"/>
        <v>MISSING</v>
      </c>
      <c r="P839" s="193" t="str">
        <f>INDEX(_TARGETS!$K$2:$K$17,MATCH($C839,_TARGETS!$A$2:$A$17,0))</f>
        <v>OPS (eventos) + Full Control GPS (km) - carga manual en Datos</v>
      </c>
      <c r="Q839" s="193" t="str">
        <f t="shared" si="74"/>
        <v>202703|TVCR|YTD</v>
      </c>
      <c r="R839" s="193" t="str">
        <f>INDEX(_TARGETS!$H$2:$H$17,MATCH($C839,_TARGETS!$A$2:$A$17,0))</f>
        <v>Definida</v>
      </c>
      <c r="S839" s="193" t="str">
        <f t="shared" si="75"/>
        <v/>
      </c>
      <c r="T839" s="193" t="str">
        <f t="shared" si="76"/>
        <v/>
      </c>
    </row>
    <row r="840" spans="1:20" ht="14.25" customHeight="1" x14ac:dyDescent="0.3">
      <c r="A840" s="249">
        <f>KPIs!$K$3</f>
        <v>46447</v>
      </c>
      <c r="B840" s="193" t="str">
        <f>KPIs!K$4</f>
        <v>Compresora</v>
      </c>
      <c r="C840" t="s">
        <v>71</v>
      </c>
      <c r="D840" s="193" t="str">
        <f>KPIs!$A$42</f>
        <v>7 · Investigaciones de accidentes: días promedio de cierre · YTD</v>
      </c>
      <c r="E840" t="s">
        <v>601</v>
      </c>
      <c r="F840" s="193" t="str">
        <f>IF(ISNUMBER(KPIs!K42),KPIs!K42,"")</f>
        <v/>
      </c>
      <c r="G840" s="251">
        <f>IF(ISNUMBER(KPIs!$C$42),KPIs!$C$42,"")</f>
        <v>20</v>
      </c>
      <c r="H840" s="193" t="str">
        <f>IFERROR(INDEX(_TARGETS!$E$2:$E$17,MATCH($C840,_TARGETS!$A$2:$A$17,0))&amp;"","")</f>
        <v>≤</v>
      </c>
      <c r="I840" s="193" t="str">
        <f t="shared" si="72"/>
        <v/>
      </c>
      <c r="J840" s="193" t="str">
        <f t="shared" si="73"/>
        <v>YTD</v>
      </c>
      <c r="K840" s="193">
        <f>SUMIFS(Datos!$D$31:$AL$31,Datos!$D$3:$AL$3,"&gt;="&amp;DATE(YEAR(Datos!K$3),1,1),Datos!$D$3:$AL$3,"&lt;="&amp;Datos!K$3)</f>
        <v>0</v>
      </c>
      <c r="L840" s="193">
        <f>SUMIFS(Datos!$D$30:$AL$30,Datos!$D$3:$AL$3,"&gt;="&amp;DATE(YEAR(Datos!K$3),1,1),Datos!$D$3:$AL$3,"&lt;="&amp;Datos!K$3)</f>
        <v>0</v>
      </c>
      <c r="M840" s="193">
        <f>INDEX(_TARGETS!$J$2:$J$17,MATCH($C840,_TARGETS!$A$2:$A$17,0))</f>
        <v>1</v>
      </c>
      <c r="N840" s="193" t="str">
        <f>INDEX(_TARGETS!$D$2:$D$17,MATCH($C840,_TARGETS!$A$2:$A$17,0))</f>
        <v>días</v>
      </c>
      <c r="O840" s="193" t="str">
        <f>IF(NOT(ISNUMBER(F840)),IF(SUMPRODUCT(($C$2:$C$1300=C840)*($J$2:$J$1300="Monthly")*($A$2:$A$1300&lt;=A840)*(YEAR($A$2:$A$1300)=YEAR(A840))*ISNUMBER($K$2:$K$1300)*ISNUMBER($L$2:$L$1300)*($L$2:$L$1300=0)*($K$2:$K$1300&gt;0))&gt;0,"INCOMPLETE","MISSING"),O155)</f>
        <v>MISSING</v>
      </c>
      <c r="P840" s="193" t="str">
        <f>INDEX(_TARGETS!$K$2:$K$17,MATCH($C840,_TARGETS!$A$2:$A$17,0))</f>
        <v>OPS (carga manual en Datos)</v>
      </c>
      <c r="Q840" s="193" t="str">
        <f t="shared" si="74"/>
        <v>202703|INV|YTD</v>
      </c>
      <c r="R840" s="193" t="str">
        <f>INDEX(_TARGETS!$H$2:$H$17,MATCH($C840,_TARGETS!$A$2:$A$17,0))</f>
        <v>Definida</v>
      </c>
      <c r="S840" s="193" t="str">
        <f t="shared" si="75"/>
        <v/>
      </c>
      <c r="T840" s="193" t="str">
        <f t="shared" si="76"/>
        <v/>
      </c>
    </row>
    <row r="841" spans="1:20" ht="14.25" customHeight="1" x14ac:dyDescent="0.3">
      <c r="A841" s="249">
        <f>KPIs!$K$3</f>
        <v>46447</v>
      </c>
      <c r="B841" s="193" t="str">
        <f>KPIs!K$4</f>
        <v>Compresora</v>
      </c>
      <c r="C841" t="s">
        <v>76</v>
      </c>
      <c r="D841" s="193" t="str">
        <f>KPIs!$A$43</f>
        <v>8 · % de capacitación en seguridad · YTD</v>
      </c>
      <c r="E841" t="s">
        <v>601</v>
      </c>
      <c r="F841" s="193" t="str">
        <f>IF(ISNUMBER(KPIs!K43),KPIs!K43,"")</f>
        <v/>
      </c>
      <c r="G841" s="252">
        <f>IF(ISNUMBER(KPIs!$C$43),KPIs!$C$43,"")</f>
        <v>0.01</v>
      </c>
      <c r="H841" s="193" t="str">
        <f>IFERROR(INDEX(_TARGETS!$E$2:$E$17,MATCH($C841,_TARGETS!$A$2:$A$17,0))&amp;"","")</f>
        <v>≥</v>
      </c>
      <c r="I841" s="193" t="str">
        <f t="shared" si="72"/>
        <v/>
      </c>
      <c r="J841" s="193" t="str">
        <f t="shared" si="73"/>
        <v>YTD</v>
      </c>
      <c r="K841" s="193">
        <f>SUMIFS(Datos!$D$18:$AL$18,Datos!$D$3:$AL$3,"&gt;="&amp;DATE(YEAR(Datos!K$3),1,1),Datos!$D$3:$AL$3,"&lt;="&amp;Datos!K$3)</f>
        <v>0</v>
      </c>
      <c r="L841" s="193">
        <f>SUMIFS(Datos!$D$14:$AL$14,Datos!$D$3:$AL$3,"&gt;="&amp;DATE(YEAR(Datos!K$3),1,1),Datos!$D$3:$AL$3,"&lt;="&amp;Datos!K$3)</f>
        <v>0</v>
      </c>
      <c r="M841" s="193">
        <f>INDEX(_TARGETS!$J$2:$J$17,MATCH($C841,_TARGETS!$A$2:$A$17,0))</f>
        <v>1</v>
      </c>
      <c r="N841" s="193" t="str">
        <f>INDEX(_TARGETS!$D$2:$D$17,MATCH($C841,_TARGETS!$A$2:$A$17,0))</f>
        <v>% (fracción)</v>
      </c>
      <c r="O841" s="193" t="str">
        <f>IF(NOT(ISNUMBER(F841)),IF(SUMPRODUCT(($C$2:$C$1300=C841)*($J$2:$J$1300="Monthly")*($A$2:$A$1300&lt;=A841)*(YEAR($A$2:$A$1300)=YEAR(A841))*ISNUMBER($K$2:$K$1300)*ISNUMBER($L$2:$L$1300)*($L$2:$L$1300=0)*($K$2:$K$1300&gt;0))&gt;0,"INCOMPLETE","MISSING"),O156)</f>
        <v>MISSING</v>
      </c>
      <c r="P841" s="193" t="str">
        <f>INDEX(_TARGETS!$K$2:$K$17,MATCH($C841,_TARGETS!$A$2:$A$17,0))</f>
        <v>OPS (carga manual en Datos)</v>
      </c>
      <c r="Q841" s="193" t="str">
        <f t="shared" si="74"/>
        <v>202703|HCS|YTD</v>
      </c>
      <c r="R841" s="193" t="str">
        <f>INDEX(_TARGETS!$H$2:$H$17,MATCH($C841,_TARGETS!$A$2:$A$17,0))</f>
        <v>Definida</v>
      </c>
      <c r="S841" s="193" t="str">
        <f t="shared" si="75"/>
        <v/>
      </c>
      <c r="T841" s="193" t="str">
        <f t="shared" si="76"/>
        <v/>
      </c>
    </row>
    <row r="842" spans="1:20" ht="14.25" customHeight="1" x14ac:dyDescent="0.3">
      <c r="A842" s="249">
        <f>KPIs!$K$3</f>
        <v>46447</v>
      </c>
      <c r="B842" s="193" t="str">
        <f>KPIs!K$4</f>
        <v>Compresora</v>
      </c>
      <c r="C842" t="s">
        <v>83</v>
      </c>
      <c r="D842" s="193" t="str">
        <f>KPIs!$A$44</f>
        <v>10 · Cumplimiento de simulacros (emergencia y operativos) · YTD</v>
      </c>
      <c r="E842" t="s">
        <v>601</v>
      </c>
      <c r="F842" s="193" t="str">
        <f>IF(ISNUMBER(KPIs!K44),KPIs!K44,"")</f>
        <v/>
      </c>
      <c r="G842" s="253">
        <f>IF(ISNUMBER(KPIs!$C$44),KPIs!$C$44,"")</f>
        <v>1</v>
      </c>
      <c r="H842" s="193" t="str">
        <f>IFERROR(INDEX(_TARGETS!$E$2:$E$17,MATCH($C842,_TARGETS!$A$2:$A$17,0))&amp;"","")</f>
        <v>≥</v>
      </c>
      <c r="I842" s="193" t="str">
        <f t="shared" si="72"/>
        <v/>
      </c>
      <c r="J842" s="193" t="str">
        <f t="shared" si="73"/>
        <v>YTD</v>
      </c>
      <c r="K842" s="193">
        <f>SUMIFS(Datos!$D$20:$AL$20,Datos!$D$3:$AL$3,"&gt;="&amp;DATE(YEAR(Datos!K$3),1,1),Datos!$D$3:$AL$3,"&lt;="&amp;Datos!K$3)</f>
        <v>0</v>
      </c>
      <c r="L842" s="193">
        <f>SUMIFS(Datos!$D$21:$AL$21,Datos!$D$3:$AL$3,"&gt;="&amp;DATE(YEAR(Datos!K$3),1,1),Datos!$D$3:$AL$3,"&lt;="&amp;Datos!K$3)</f>
        <v>0</v>
      </c>
      <c r="M842" s="193">
        <f>INDEX(_TARGETS!$J$2:$J$17,MATCH($C842,_TARGETS!$A$2:$A$17,0))</f>
        <v>1</v>
      </c>
      <c r="N842" s="193" t="str">
        <f>INDEX(_TARGETS!$D$2:$D$17,MATCH($C842,_TARGETS!$A$2:$A$17,0))</f>
        <v>% (fracción)</v>
      </c>
      <c r="O842" s="193" t="str">
        <f>IF(NOT(ISNUMBER(F842)),IF(SUMPRODUCT(($C$2:$C$1300=C842)*($J$2:$J$1300="Monthly")*($A$2:$A$1300&lt;=A842)*(YEAR($A$2:$A$1300)=YEAR(A842))*ISNUMBER($K$2:$K$1300)*ISNUMBER($L$2:$L$1300)*($L$2:$L$1300=0)*($K$2:$K$1300&gt;0))&gt;0,"INCOMPLETE","MISSING"),O158)</f>
        <v>MISSING</v>
      </c>
      <c r="P842" s="193" t="str">
        <f>INDEX(_TARGETS!$K$2:$K$17,MATCH($C842,_TARGETS!$A$2:$A$17,0))</f>
        <v>OPS (carga manual en Datos)</v>
      </c>
      <c r="Q842" s="193" t="str">
        <f t="shared" si="74"/>
        <v>202703|CPSE|YTD</v>
      </c>
      <c r="R842" s="193" t="str">
        <f>INDEX(_TARGETS!$H$2:$H$17,MATCH($C842,_TARGETS!$A$2:$A$17,0))</f>
        <v>Definida</v>
      </c>
      <c r="S842" s="193" t="str">
        <f t="shared" si="75"/>
        <v/>
      </c>
      <c r="T842" s="193" t="str">
        <f t="shared" si="76"/>
        <v/>
      </c>
    </row>
    <row r="843" spans="1:20" ht="14.25" customHeight="1" x14ac:dyDescent="0.3">
      <c r="A843" s="249">
        <f>KPIs!$K$3</f>
        <v>46447</v>
      </c>
      <c r="B843" s="193" t="str">
        <f>KPIs!K$4</f>
        <v>Compresora</v>
      </c>
      <c r="C843" t="s">
        <v>85</v>
      </c>
      <c r="D843" s="193" t="str">
        <f>KPIs!$A$45</f>
        <v>10b · Cumplimiento de acciones de mejora de simulacros · YTD</v>
      </c>
      <c r="E843" t="s">
        <v>601</v>
      </c>
      <c r="F843" s="193" t="str">
        <f>IF(ISNUMBER(KPIs!K45),KPIs!K45,"")</f>
        <v/>
      </c>
      <c r="G843" s="254" t="str">
        <f>IF(ISNUMBER(KPIs!$C$45),KPIs!$C$45,"")</f>
        <v/>
      </c>
      <c r="H843" s="193" t="str">
        <f>IFERROR(INDEX(_TARGETS!$E$2:$E$17,MATCH($C843,_TARGETS!$A$2:$A$17,0))&amp;"","")</f>
        <v/>
      </c>
      <c r="I843" s="193" t="str">
        <f t="shared" si="72"/>
        <v/>
      </c>
      <c r="J843" s="193" t="str">
        <f t="shared" si="73"/>
        <v>YTD</v>
      </c>
      <c r="K843" s="193">
        <f>SUMIFS(Datos!$D$23:$AL$23,Datos!$D$3:$AL$3,"&gt;="&amp;DATE(YEAR(Datos!K$3),1,1),Datos!$D$3:$AL$3,"&lt;="&amp;Datos!K$3)</f>
        <v>0</v>
      </c>
      <c r="L843" s="193">
        <f>SUMIFS(Datos!$D$22:$AL$22,Datos!$D$3:$AL$3,"&gt;="&amp;DATE(YEAR(Datos!K$3),1,1),Datos!$D$3:$AL$3,"&lt;="&amp;Datos!K$3)</f>
        <v>0</v>
      </c>
      <c r="M843" s="193">
        <f>INDEX(_TARGETS!$J$2:$J$17,MATCH($C843,_TARGETS!$A$2:$A$17,0))</f>
        <v>1</v>
      </c>
      <c r="N843" s="193" t="str">
        <f>INDEX(_TARGETS!$D$2:$D$17,MATCH($C843,_TARGETS!$A$2:$A$17,0))</f>
        <v>% (fracción)</v>
      </c>
      <c r="O843" s="193" t="str">
        <f>IF(NOT(ISNUMBER(F843)),IF(SUMPRODUCT(($C$2:$C$1300=C843)*($J$2:$J$1300="Monthly")*($A$2:$A$1300&lt;=A843)*(YEAR($A$2:$A$1300)=YEAR(A843))*ISNUMBER($K$2:$K$1300)*ISNUMBER($L$2:$L$1300)*($L$2:$L$1300=0)*($K$2:$K$1300&gt;0))&gt;0,"INCOMPLETE","MISSING"),O159)</f>
        <v>MISSING</v>
      </c>
      <c r="P843" s="193" t="str">
        <f>INDEX(_TARGETS!$K$2:$K$17,MATCH($C843,_TARGETS!$A$2:$A$17,0))</f>
        <v>OPS (carga manual en Datos)</v>
      </c>
      <c r="Q843" s="193" t="str">
        <f t="shared" si="74"/>
        <v>202703|CAMS|YTD</v>
      </c>
      <c r="R843" s="193" t="str">
        <f>INDEX(_TARGETS!$H$2:$H$17,MATCH($C843,_TARGETS!$A$2:$A$17,0))</f>
        <v>Solo reporte</v>
      </c>
      <c r="S843" s="193" t="str">
        <f t="shared" si="75"/>
        <v/>
      </c>
      <c r="T843" s="193" t="str">
        <f t="shared" si="76"/>
        <v/>
      </c>
    </row>
    <row r="844" spans="1:20" ht="14.25" customHeight="1" x14ac:dyDescent="0.3">
      <c r="A844" s="249">
        <f>KPIs!$K$3</f>
        <v>46447</v>
      </c>
      <c r="B844" s="193" t="str">
        <f>KPIs!K$4</f>
        <v>Compresora</v>
      </c>
      <c r="C844" t="s">
        <v>87</v>
      </c>
      <c r="D844" s="193" t="str">
        <f>KPIs!$A$46</f>
        <v>11 · Cumplimiento de caminatas gerenciales · YTD</v>
      </c>
      <c r="E844" t="s">
        <v>601</v>
      </c>
      <c r="F844" s="193" t="str">
        <f>IF(ISNUMBER(KPIs!K46),KPIs!K46,"")</f>
        <v/>
      </c>
      <c r="G844" s="254">
        <f>IF(ISNUMBER(KPIs!$C$46),KPIs!$C$46,"")</f>
        <v>1</v>
      </c>
      <c r="H844" s="193" t="str">
        <f>IFERROR(INDEX(_TARGETS!$E$2:$E$17,MATCH($C844,_TARGETS!$A$2:$A$17,0))&amp;"","")</f>
        <v>≥</v>
      </c>
      <c r="I844" s="193" t="str">
        <f t="shared" si="72"/>
        <v/>
      </c>
      <c r="J844" s="193" t="str">
        <f t="shared" si="73"/>
        <v>YTD</v>
      </c>
      <c r="K844" s="193">
        <f>SUMIFS(Datos!$D$24:$AL$24,Datos!$D$3:$AL$3,"&gt;="&amp;DATE(YEAR(Datos!K$3),1,1),Datos!$D$3:$AL$3,"&lt;="&amp;Datos!K$3)</f>
        <v>0</v>
      </c>
      <c r="L844" s="193">
        <f>SUMIFS(Datos!$D$25:$AL$25,Datos!$D$3:$AL$3,"&gt;="&amp;DATE(YEAR(Datos!K$3),1,1),Datos!$D$3:$AL$3,"&lt;="&amp;Datos!K$3)</f>
        <v>0</v>
      </c>
      <c r="M844" s="193">
        <f>INDEX(_TARGETS!$J$2:$J$17,MATCH($C844,_TARGETS!$A$2:$A$17,0))</f>
        <v>1</v>
      </c>
      <c r="N844" s="193" t="str">
        <f>INDEX(_TARGETS!$D$2:$D$17,MATCH($C844,_TARGETS!$A$2:$A$17,0))</f>
        <v>% (fracción)</v>
      </c>
      <c r="O844" s="193" t="str">
        <f>IF(NOT(ISNUMBER(F844)),IF(SUMPRODUCT(($C$2:$C$1300=C844)*($J$2:$J$1300="Monthly")*($A$2:$A$1300&lt;=A844)*(YEAR($A$2:$A$1300)=YEAR(A844))*ISNUMBER($K$2:$K$1300)*ISNUMBER($L$2:$L$1300)*($L$2:$L$1300=0)*($K$2:$K$1300&gt;0))&gt;0,"INCOMPLETE","MISSING"),O160)</f>
        <v>MISSING</v>
      </c>
      <c r="P844" s="193" t="str">
        <f>INDEX(_TARGETS!$K$2:$K$17,MATCH($C844,_TARGETS!$A$2:$A$17,0))</f>
        <v>OPS (carga manual en Datos)</v>
      </c>
      <c r="Q844" s="193" t="str">
        <f t="shared" si="74"/>
        <v>202703|ICCS|YTD</v>
      </c>
      <c r="R844" s="193" t="str">
        <f>INDEX(_TARGETS!$H$2:$H$17,MATCH($C844,_TARGETS!$A$2:$A$17,0))</f>
        <v>Definida</v>
      </c>
      <c r="S844" s="193" t="str">
        <f t="shared" si="75"/>
        <v/>
      </c>
      <c r="T844" s="193" t="str">
        <f t="shared" si="76"/>
        <v/>
      </c>
    </row>
    <row r="845" spans="1:20" ht="14.25" customHeight="1" x14ac:dyDescent="0.3">
      <c r="A845" s="249">
        <f>KPIs!$K$3</f>
        <v>46447</v>
      </c>
      <c r="B845" s="193" t="str">
        <f>KPIs!K$4</f>
        <v>Compresora</v>
      </c>
      <c r="C845" t="s">
        <v>89</v>
      </c>
      <c r="D845" s="193" t="str">
        <f>KPIs!$A$47</f>
        <v>12 · Cumplimiento de comités y subcomités de seguridad · YTD</v>
      </c>
      <c r="E845" t="s">
        <v>601</v>
      </c>
      <c r="F845" s="193" t="str">
        <f>IF(ISNUMBER(KPIs!K47),KPIs!K47,"")</f>
        <v/>
      </c>
      <c r="G845" s="254">
        <f>IF(ISNUMBER(KPIs!$C$47),KPIs!$C$47,"")</f>
        <v>1</v>
      </c>
      <c r="H845" s="193" t="str">
        <f>IFERROR(INDEX(_TARGETS!$E$2:$E$17,MATCH($C845,_TARGETS!$A$2:$A$17,0))&amp;"","")</f>
        <v>≥</v>
      </c>
      <c r="I845" s="193" t="str">
        <f t="shared" si="72"/>
        <v/>
      </c>
      <c r="J845" s="193" t="str">
        <f t="shared" si="73"/>
        <v>YTD</v>
      </c>
      <c r="K845" s="193">
        <f>SUMIFS(Datos!$D$26:$AL$26,Datos!$D$3:$AL$3,"&gt;="&amp;DATE(YEAR(Datos!K$3),1,1),Datos!$D$3:$AL$3,"&lt;="&amp;Datos!K$3)</f>
        <v>0</v>
      </c>
      <c r="L845" s="193">
        <f>SUMIFS(Datos!$D$27:$AL$27,Datos!$D$3:$AL$3,"&gt;="&amp;DATE(YEAR(Datos!K$3),1,1),Datos!$D$3:$AL$3,"&lt;="&amp;Datos!K$3)</f>
        <v>0</v>
      </c>
      <c r="M845" s="193">
        <f>INDEX(_TARGETS!$J$2:$J$17,MATCH($C845,_TARGETS!$A$2:$A$17,0))</f>
        <v>1</v>
      </c>
      <c r="N845" s="193" t="str">
        <f>INDEX(_TARGETS!$D$2:$D$17,MATCH($C845,_TARGETS!$A$2:$A$17,0))</f>
        <v>% (fracción)</v>
      </c>
      <c r="O845" s="193" t="str">
        <f>IF(NOT(ISNUMBER(F845)),IF(SUMPRODUCT(($C$2:$C$1300=C845)*($J$2:$J$1300="Monthly")*($A$2:$A$1300&lt;=A845)*(YEAR($A$2:$A$1300)=YEAR(A845))*ISNUMBER($K$2:$K$1300)*ISNUMBER($L$2:$L$1300)*($L$2:$L$1300=0)*($K$2:$K$1300&gt;0))&gt;0,"INCOMPLETE","MISSING"),O161)</f>
        <v>MISSING</v>
      </c>
      <c r="P845" s="193" t="str">
        <f>INDEX(_TARGETS!$K$2:$K$17,MATCH($C845,_TARGETS!$A$2:$A$17,0))</f>
        <v>OPS (carga manual en Datos)</v>
      </c>
      <c r="Q845" s="193" t="str">
        <f t="shared" si="74"/>
        <v>202703|CCS|YTD</v>
      </c>
      <c r="R845" s="193" t="str">
        <f>INDEX(_TARGETS!$H$2:$H$17,MATCH($C845,_TARGETS!$A$2:$A$17,0))</f>
        <v>Definida</v>
      </c>
      <c r="S845" s="193" t="str">
        <f t="shared" si="75"/>
        <v/>
      </c>
      <c r="T845" s="193" t="str">
        <f t="shared" si="76"/>
        <v/>
      </c>
    </row>
    <row r="846" spans="1:20" ht="14.25" customHeight="1" x14ac:dyDescent="0.3">
      <c r="A846" s="249">
        <f>KPIs!$K$3</f>
        <v>46447</v>
      </c>
      <c r="B846" s="193" t="str">
        <f>KPIs!K$4</f>
        <v>Compresora</v>
      </c>
      <c r="C846" t="s">
        <v>91</v>
      </c>
      <c r="D846" s="193" t="str">
        <f>KPIs!$A$48</f>
        <v>13 · Días promedio para cerrar hallazgos · YTD</v>
      </c>
      <c r="E846" t="s">
        <v>601</v>
      </c>
      <c r="F846" s="251" t="str">
        <f>IF(ISNUMBER(KPIs!K48),KPIs!K48,"")</f>
        <v/>
      </c>
      <c r="G846" s="193" t="str">
        <f>IF(ISNUMBER(KPIs!$C$48),KPIs!$C$48,"")</f>
        <v/>
      </c>
      <c r="H846" s="193" t="str">
        <f>IFERROR(INDEX(_TARGETS!$E$2:$E$17,MATCH($C846,_TARGETS!$A$2:$A$17,0))&amp;"","")</f>
        <v>≤</v>
      </c>
      <c r="I846" s="193" t="str">
        <f t="shared" si="72"/>
        <v/>
      </c>
      <c r="J846" s="193" t="str">
        <f t="shared" si="73"/>
        <v>YTD</v>
      </c>
      <c r="K846" s="193">
        <f>SUMIFS(Datos!$D$68:$AL$68,Datos!$D$3:$AL$3,"&gt;="&amp;DATE(YEAR(Datos!K$3),1,1),Datos!$D$3:$AL$3,"&lt;="&amp;Datos!K$3)</f>
        <v>0</v>
      </c>
      <c r="L846" s="193">
        <f>SUMIFS(Datos!$D$67:$AL$67,Datos!$D$3:$AL$3,"&gt;="&amp;DATE(YEAR(Datos!K$3),1,1),Datos!$D$3:$AL$3,"&lt;="&amp;Datos!K$3)</f>
        <v>0</v>
      </c>
      <c r="M846" s="193">
        <f>INDEX(_TARGETS!$J$2:$J$17,MATCH($C846,_TARGETS!$A$2:$A$17,0))</f>
        <v>1</v>
      </c>
      <c r="N846" s="193" t="str">
        <f>INDEX(_TARGETS!$D$2:$D$17,MATCH($C846,_TARGETS!$A$2:$A$17,0))</f>
        <v>días</v>
      </c>
      <c r="O846" s="193" t="str">
        <f>IF(NOT(ISNUMBER(F846)),IF(SUMPRODUCT(($C$2:$C$1300=C846)*($J$2:$J$1300="Monthly")*($A$2:$A$1300&lt;=A846)*(YEAR($A$2:$A$1300)=YEAR(A846))*ISNUMBER($K$2:$K$1300)*ISNUMBER($L$2:$L$1300)*($L$2:$L$1300=0)*($K$2:$K$1300&gt;0))&gt;0,"INCOMPLETE","MISSING"),O162)</f>
        <v>MISSING</v>
      </c>
      <c r="P846" s="193" t="str">
        <f>INDEX(_TARGETS!$K$2:$K$17,MATCH($C846,_TARGETS!$A$2:$A$17,0))</f>
        <v>Plant Findings (hoja Observaciones-SMP)</v>
      </c>
      <c r="Q846" s="193" t="str">
        <f t="shared" si="74"/>
        <v>202703|DPAS|YTD</v>
      </c>
      <c r="R846" s="193" t="str">
        <f>INDEX(_TARGETS!$H$2:$H$17,MATCH($C846,_TARGETS!$A$2:$A$17,0))</f>
        <v>Pendiente (meta 2027)</v>
      </c>
      <c r="S846" s="193" t="str">
        <f t="shared" si="75"/>
        <v/>
      </c>
      <c r="T846" s="193" t="str">
        <f t="shared" si="76"/>
        <v/>
      </c>
    </row>
    <row r="847" spans="1:20" ht="14.25" customHeight="1" x14ac:dyDescent="0.3">
      <c r="A847" s="249">
        <f>KPIs!$K$3</f>
        <v>46447</v>
      </c>
      <c r="B847" s="193" t="str">
        <f>KPIs!K$4</f>
        <v>Compresora</v>
      </c>
      <c r="C847" t="s">
        <v>96</v>
      </c>
      <c r="D847" s="193" t="str">
        <f>KPIs!$A$49</f>
        <v>C1 · % de desvíos detectados de gravedad Alta · YTD</v>
      </c>
      <c r="E847" t="s">
        <v>601</v>
      </c>
      <c r="F847" s="193" t="str">
        <f>IF(ISNUMBER(KPIs!K49),KPIs!K49,"")</f>
        <v/>
      </c>
      <c r="G847" s="193" t="str">
        <f>IF(ISNUMBER(KPIs!$C$49),KPIs!$C$49,"")</f>
        <v/>
      </c>
      <c r="H847" s="193" t="str">
        <f>IFERROR(INDEX(_TARGETS!$E$2:$E$17,MATCH($C847,_TARGETS!$A$2:$A$17,0))&amp;"","")</f>
        <v/>
      </c>
      <c r="I847" s="193" t="str">
        <f t="shared" si="72"/>
        <v/>
      </c>
      <c r="J847" s="193" t="str">
        <f t="shared" si="73"/>
        <v>YTD</v>
      </c>
      <c r="K847" s="193">
        <f>SUMIFS(Datos!$D$71:$AL$71,Datos!$D$3:$AL$3,"&gt;="&amp;DATE(YEAR(Datos!K$3),1,1),Datos!$D$3:$AL$3,"&lt;="&amp;Datos!K$3)</f>
        <v>0</v>
      </c>
      <c r="L847" s="193">
        <f>SUMIFS(Datos!$D$71:$AL$71,Datos!$D$3:$AL$3,"&gt;="&amp;DATE(YEAR(Datos!K$3),1,1),Datos!$D$3:$AL$3,"&lt;="&amp;Datos!K$3)+SUMIFS(Datos!$D$72:$AL$72,Datos!$D$3:$AL$3,"&gt;="&amp;DATE(YEAR(Datos!K$3),1,1),Datos!$D$3:$AL$3,"&lt;="&amp;Datos!K$3)+SUMIFS(Datos!$D$73:$AL$73,Datos!$D$3:$AL$3,"&gt;="&amp;DATE(YEAR(Datos!K$3),1,1),Datos!$D$3:$AL$3,"&lt;="&amp;Datos!K$3)</f>
        <v>0</v>
      </c>
      <c r="M847" s="193">
        <f>INDEX(_TARGETS!$J$2:$J$17,MATCH($C847,_TARGETS!$A$2:$A$17,0))</f>
        <v>1</v>
      </c>
      <c r="N847" s="193" t="str">
        <f>INDEX(_TARGETS!$D$2:$D$17,MATCH($C847,_TARGETS!$A$2:$A$17,0))</f>
        <v>% (fracción)</v>
      </c>
      <c r="O847" s="193" t="str">
        <f t="shared" ref="O847:O853" si="77">IF(NOT(ISNUMBER(F847)),IF(SUMPRODUCT(($C$2:$C$1300=C847)*($J$2:$J$1300="Monthly")*($A$2:$A$1300&lt;=A847)*(YEAR($A$2:$A$1300)=YEAR(A847))*ISNUMBER($K$2:$K$1300)*ISNUMBER($L$2:$L$1300)*($L$2:$L$1300=0)*($K$2:$K$1300&gt;0))&gt;0,"INCOMPLETE","MISSING"),O168)</f>
        <v>MISSING</v>
      </c>
      <c r="P847" s="193" t="str">
        <f>INDEX(_TARGETS!$K$2:$K$17,MATCH($C847,_TARGETS!$A$2:$A$17,0))</f>
        <v>Plant Findings (hoja Observaciones-SMP)</v>
      </c>
      <c r="Q847" s="193" t="str">
        <f t="shared" si="74"/>
        <v>202703|HAL_ALTA_PCT|YTD</v>
      </c>
      <c r="R847" s="193" t="str">
        <f>INDEX(_TARGETS!$H$2:$H$17,MATCH($C847,_TARGETS!$A$2:$A$17,0))</f>
        <v>Solo reporte</v>
      </c>
      <c r="S847" s="193" t="str">
        <f t="shared" si="75"/>
        <v/>
      </c>
      <c r="T847" s="193" t="str">
        <f t="shared" si="76"/>
        <v/>
      </c>
    </row>
    <row r="848" spans="1:20" ht="14.25" customHeight="1" x14ac:dyDescent="0.3">
      <c r="A848" s="249">
        <f>KPIs!$K$3</f>
        <v>46447</v>
      </c>
      <c r="B848" s="193" t="str">
        <f>KPIs!K$4</f>
        <v>Compresora</v>
      </c>
      <c r="C848" t="s">
        <v>98</v>
      </c>
      <c r="D848" s="193" t="str">
        <f>KPIs!$A$50</f>
        <v>C2 · Detenciones de tareas aplicadas · YTD</v>
      </c>
      <c r="E848" t="s">
        <v>601</v>
      </c>
      <c r="F848" s="193" t="str">
        <f>IF(ISNUMBER(KPIs!K50),KPIs!K50,"")</f>
        <v/>
      </c>
      <c r="G848" s="193" t="str">
        <f>IF(ISNUMBER(KPIs!$C$50),KPIs!$C$50,"")</f>
        <v/>
      </c>
      <c r="H848" s="193" t="str">
        <f>IFERROR(INDEX(_TARGETS!$E$2:$E$17,MATCH($C848,_TARGETS!$A$2:$A$17,0))&amp;"","")</f>
        <v/>
      </c>
      <c r="I848" s="193" t="str">
        <f t="shared" si="72"/>
        <v/>
      </c>
      <c r="J848" s="193" t="str">
        <f t="shared" si="73"/>
        <v>YTD</v>
      </c>
      <c r="K848" s="193">
        <f>SUMIFS(Datos!$D$75:$AL$75,Datos!$D$3:$AL$3,"&gt;="&amp;DATE(YEAR(Datos!K$3),1,1),Datos!$D$3:$AL$3,"&lt;="&amp;Datos!K$3)</f>
        <v>0</v>
      </c>
      <c r="M848" s="193">
        <f>INDEX(_TARGETS!$J$2:$J$17,MATCH($C848,_TARGETS!$A$2:$A$17,0))</f>
        <v>1</v>
      </c>
      <c r="N848" s="193" t="str">
        <f>INDEX(_TARGETS!$D$2:$D$17,MATCH($C848,_TARGETS!$A$2:$A$17,0))</f>
        <v>u</v>
      </c>
      <c r="O848" s="193" t="str">
        <f t="shared" si="77"/>
        <v>MISSING</v>
      </c>
      <c r="P848" s="193" t="str">
        <f>INDEX(_TARGETS!$K$2:$K$17,MATCH($C848,_TARGETS!$A$2:$A$17,0))</f>
        <v>Plant Findings (hoja Observaciones-SMP)</v>
      </c>
      <c r="Q848" s="193" t="str">
        <f t="shared" si="74"/>
        <v>202703|DET|YTD</v>
      </c>
      <c r="R848" s="193" t="str">
        <f>INDEX(_TARGETS!$H$2:$H$17,MATCH($C848,_TARGETS!$A$2:$A$17,0))</f>
        <v>Solo reporte</v>
      </c>
      <c r="S848" s="193">
        <f t="shared" si="75"/>
        <v>0</v>
      </c>
      <c r="T848" s="193" t="str">
        <f t="shared" si="76"/>
        <v/>
      </c>
    </row>
    <row r="849" spans="1:20" ht="14.25" customHeight="1" x14ac:dyDescent="0.3">
      <c r="A849" s="249">
        <f>KPIs!$L$3</f>
        <v>46478</v>
      </c>
      <c r="B849" s="193" t="str">
        <f>KPIs!L$4</f>
        <v>Compresora</v>
      </c>
      <c r="C849" t="s">
        <v>39</v>
      </c>
      <c r="D849" s="193" t="str">
        <f>KPIs!$A$37</f>
        <v>1 · Frecuencia de casos con días perdidos · YTD</v>
      </c>
      <c r="E849" t="s">
        <v>601</v>
      </c>
      <c r="F849" s="193" t="str">
        <f>IF(ISNUMBER(KPIs!L37),KPIs!L37,"")</f>
        <v/>
      </c>
      <c r="G849" s="250">
        <f>IF(ISNUMBER(KPIs!$C$37),KPIs!$C$37,"")</f>
        <v>0</v>
      </c>
      <c r="H849" s="193" t="str">
        <f>IFERROR(INDEX(_TARGETS!$E$2:$E$17,MATCH($C849,_TARGETS!$A$2:$A$17,0))&amp;"","")</f>
        <v>≤</v>
      </c>
      <c r="I849" s="193" t="str">
        <f t="shared" si="72"/>
        <v/>
      </c>
      <c r="J849" s="193" t="str">
        <f t="shared" si="73"/>
        <v>YTD</v>
      </c>
      <c r="K849" s="193">
        <f>SUMIFS(Datos!$D$33:$AL$33,Datos!$D$3:$AL$3,"&gt;="&amp;DATE(YEAR(Datos!L$3),1,1),Datos!$D$3:$AL$3,"&lt;="&amp;Datos!L$3)</f>
        <v>0</v>
      </c>
      <c r="L849" s="193">
        <f>SUMIFS(Datos!$D$14:$AL$14,Datos!$D$3:$AL$3,"&gt;="&amp;DATE(YEAR(Datos!L$3),1,1),Datos!$D$3:$AL$3,"&lt;="&amp;Datos!L$3)</f>
        <v>0</v>
      </c>
      <c r="M849" s="193">
        <f>INDEX(_TARGETS!$J$2:$J$17,MATCH($C849,_TARGETS!$A$2:$A$17,0))</f>
        <v>1000000</v>
      </c>
      <c r="N849" s="193" t="str">
        <f>INDEX(_TARGETS!$D$2:$D$17,MATCH($C849,_TARGETS!$A$2:$A$17,0))</f>
        <v>casos / 10^6 HH</v>
      </c>
      <c r="O849" s="193" t="str">
        <f t="shared" si="77"/>
        <v>MISSING</v>
      </c>
      <c r="P849" s="193" t="str">
        <f>INDEX(_TARGETS!$K$2:$K$17,MATCH($C849,_TARGETS!$A$2:$A$17,0))</f>
        <v>OPS (carga manual en Datos)</v>
      </c>
      <c r="Q849" s="193" t="str">
        <f t="shared" si="74"/>
        <v>202704|DAFWCF|YTD</v>
      </c>
      <c r="R849" s="193" t="str">
        <f>INDEX(_TARGETS!$H$2:$H$17,MATCH($C849,_TARGETS!$A$2:$A$17,0))</f>
        <v>Definida</v>
      </c>
      <c r="S849" s="193" t="str">
        <f t="shared" si="75"/>
        <v/>
      </c>
      <c r="T849" s="193" t="str">
        <f t="shared" si="76"/>
        <v/>
      </c>
    </row>
    <row r="850" spans="1:20" ht="14.25" customHeight="1" x14ac:dyDescent="0.3">
      <c r="A850" s="249">
        <f>KPIs!$L$3</f>
        <v>46478</v>
      </c>
      <c r="B850" s="193" t="str">
        <f>KPIs!L$4</f>
        <v>Compresora</v>
      </c>
      <c r="C850" t="s">
        <v>49</v>
      </c>
      <c r="D850" s="193" t="str">
        <f>KPIs!$A$38</f>
        <v>2 · Frecuencia de casos registrables · YTD</v>
      </c>
      <c r="E850" t="s">
        <v>601</v>
      </c>
      <c r="F850" s="193" t="str">
        <f>IF(ISNUMBER(KPIs!L38),KPIs!L38,"")</f>
        <v/>
      </c>
      <c r="G850" s="250">
        <f>IF(ISNUMBER(KPIs!$C$38),KPIs!$C$38,"")</f>
        <v>2.35</v>
      </c>
      <c r="H850" s="193" t="str">
        <f>IFERROR(INDEX(_TARGETS!$E$2:$E$17,MATCH($C850,_TARGETS!$A$2:$A$17,0))&amp;"","")</f>
        <v>≤</v>
      </c>
      <c r="I850" s="193" t="str">
        <f t="shared" si="72"/>
        <v/>
      </c>
      <c r="J850" s="193" t="str">
        <f t="shared" si="73"/>
        <v>YTD</v>
      </c>
      <c r="K850" s="193">
        <f>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f>
        <v>0</v>
      </c>
      <c r="L850" s="193">
        <f>SUMIFS(Datos!$D$14:$AL$14,Datos!$D$3:$AL$3,"&gt;="&amp;DATE(YEAR(Datos!L$3),1,1),Datos!$D$3:$AL$3,"&lt;="&amp;Datos!L$3)</f>
        <v>0</v>
      </c>
      <c r="M850" s="193">
        <f>INDEX(_TARGETS!$J$2:$J$17,MATCH($C850,_TARGETS!$A$2:$A$17,0))</f>
        <v>1000000</v>
      </c>
      <c r="N850" s="193" t="str">
        <f>INDEX(_TARGETS!$D$2:$D$17,MATCH($C850,_TARGETS!$A$2:$A$17,0))</f>
        <v>casos / 10^6 HH</v>
      </c>
      <c r="O850" s="193" t="str">
        <f t="shared" si="77"/>
        <v>MISSING</v>
      </c>
      <c r="P850" s="193" t="str">
        <f>INDEX(_TARGETS!$K$2:$K$17,MATCH($C850,_TARGETS!$A$2:$A$17,0))</f>
        <v>OPS (carga manual en Datos)</v>
      </c>
      <c r="Q850" s="193" t="str">
        <f t="shared" si="74"/>
        <v>202704|TRICF|YTD</v>
      </c>
      <c r="R850" s="193" t="str">
        <f>INDEX(_TARGETS!$H$2:$H$17,MATCH($C850,_TARGETS!$A$2:$A$17,0))</f>
        <v>Definida</v>
      </c>
      <c r="S850" s="193" t="str">
        <f t="shared" si="75"/>
        <v/>
      </c>
      <c r="T850" s="193" t="str">
        <f t="shared" si="76"/>
        <v/>
      </c>
    </row>
    <row r="851" spans="1:20" ht="14.25" customHeight="1" x14ac:dyDescent="0.3">
      <c r="A851" s="249">
        <f>KPIs!$L$3</f>
        <v>46478</v>
      </c>
      <c r="B851" s="193" t="str">
        <f>KPIs!L$4</f>
        <v>Compresora</v>
      </c>
      <c r="C851" t="s">
        <v>51</v>
      </c>
      <c r="D851" s="193" t="str">
        <f>KPIs!$A$39</f>
        <v>3 · Casos de primeros auxilios · YTD</v>
      </c>
      <c r="E851" t="s">
        <v>601</v>
      </c>
      <c r="F851" s="193" t="str">
        <f>IF(ISNUMBER(KPIs!L39),KPIs!L39,"")</f>
        <v/>
      </c>
      <c r="G851" s="193" t="str">
        <f>IF(ISNUMBER(KPIs!$C$39),KPIs!$C$39,"")</f>
        <v/>
      </c>
      <c r="H851" s="193" t="str">
        <f>IFERROR(INDEX(_TARGETS!$E$2:$E$17,MATCH($C851,_TARGETS!$A$2:$A$17,0))&amp;"","")</f>
        <v/>
      </c>
      <c r="I851" s="193" t="str">
        <f t="shared" si="72"/>
        <v/>
      </c>
      <c r="J851" s="193" t="str">
        <f t="shared" si="73"/>
        <v>YTD</v>
      </c>
      <c r="K851" s="193">
        <f>SUMIFS(Datos!$D$37:$AL$37,Datos!$D$3:$AL$3,"&gt;="&amp;DATE(YEAR(Datos!L$3),1,1),Datos!$D$3:$AL$3,"&lt;="&amp;Datos!L$3)</f>
        <v>0</v>
      </c>
      <c r="M851" s="193">
        <f>INDEX(_TARGETS!$J$2:$J$17,MATCH($C851,_TARGETS!$A$2:$A$17,0))</f>
        <v>1</v>
      </c>
      <c r="N851" s="193" t="str">
        <f>INDEX(_TARGETS!$D$2:$D$17,MATCH($C851,_TARGETS!$A$2:$A$17,0))</f>
        <v>casos</v>
      </c>
      <c r="O851" s="193" t="str">
        <f t="shared" si="77"/>
        <v>MISSING</v>
      </c>
      <c r="P851" s="193" t="str">
        <f>INDEX(_TARGETS!$K$2:$K$17,MATCH($C851,_TARGETS!$A$2:$A$17,0))</f>
        <v>OPS (carga manual en Datos)</v>
      </c>
      <c r="Q851" s="193" t="str">
        <f t="shared" si="74"/>
        <v>202704|FAC|YTD</v>
      </c>
      <c r="R851" s="193" t="str">
        <f>INDEX(_TARGETS!$H$2:$H$17,MATCH($C851,_TARGETS!$A$2:$A$17,0))</f>
        <v>Solo reporte</v>
      </c>
      <c r="S851" s="193">
        <f t="shared" si="75"/>
        <v>0</v>
      </c>
      <c r="T851" s="193" t="str">
        <f t="shared" si="76"/>
        <v/>
      </c>
    </row>
    <row r="852" spans="1:20" ht="14.25" customHeight="1" x14ac:dyDescent="0.3">
      <c r="A852" s="249">
        <f>KPIs!$L$3</f>
        <v>46478</v>
      </c>
      <c r="B852" s="193" t="str">
        <f>KPIs!L$4</f>
        <v>Compresora</v>
      </c>
      <c r="C852" t="s">
        <v>57</v>
      </c>
      <c r="D852" s="193" t="str">
        <f>KPIs!$A$40</f>
        <v>4 · Accidentes vehiculares severos por millón de km · YTD</v>
      </c>
      <c r="E852" t="s">
        <v>601</v>
      </c>
      <c r="F852" s="193" t="str">
        <f>IF(ISNUMBER(KPIs!L40),KPIs!L40,"")</f>
        <v/>
      </c>
      <c r="G852" s="193" t="str">
        <f>IF(ISNUMBER(KPIs!$C$40),KPIs!$C$40,"")</f>
        <v/>
      </c>
      <c r="H852" s="193" t="str">
        <f>IFERROR(INDEX(_TARGETS!$E$2:$E$17,MATCH($C852,_TARGETS!$A$2:$A$17,0))&amp;"","")</f>
        <v/>
      </c>
      <c r="I852" s="193" t="str">
        <f t="shared" si="72"/>
        <v/>
      </c>
      <c r="J852" s="193" t="str">
        <f t="shared" si="73"/>
        <v>YTD</v>
      </c>
      <c r="K852" s="193">
        <f>SUMIFS(Datos!$D$39:$AL$39,Datos!$D$3:$AL$3,"&gt;="&amp;DATE(YEAR(Datos!L$3),1,1),Datos!$D$3:$AL$3,"&lt;="&amp;Datos!L$3)+SUMIFS(Datos!$D$40:$AL$40,Datos!$D$3:$AL$3,"&gt;="&amp;DATE(YEAR(Datos!L$3),1,1),Datos!$D$3:$AL$3,"&lt;="&amp;Datos!L$3)+SUMIFS(Datos!$D$41:$AL$41,Datos!$D$3:$AL$3,"&gt;="&amp;DATE(YEAR(Datos!L$3),1,1),Datos!$D$3:$AL$3,"&lt;="&amp;Datos!L$3)</f>
        <v>0</v>
      </c>
      <c r="L852" s="193">
        <f>SUMIFS(Datos!$D$47:$AL$47,Datos!$D$3:$AL$3,"&gt;="&amp;DATE(YEAR(Datos!L$3),1,1),Datos!$D$3:$AL$3,"&lt;="&amp;Datos!L$3)</f>
        <v>0</v>
      </c>
      <c r="M852" s="193">
        <f>INDEX(_TARGETS!$J$2:$J$17,MATCH($C852,_TARGETS!$A$2:$A$17,0))</f>
        <v>1000000</v>
      </c>
      <c r="N852" s="193" t="str">
        <f>INDEX(_TARGETS!$D$2:$D$17,MATCH($C852,_TARGETS!$A$2:$A$17,0))</f>
        <v>eventos / 10^6 km</v>
      </c>
      <c r="O852" s="193" t="str">
        <f t="shared" si="77"/>
        <v>MISSING</v>
      </c>
      <c r="P852" s="193" t="str">
        <f>INDEX(_TARGETS!$K$2:$K$17,MATCH($C852,_TARGETS!$A$2:$A$17,0))</f>
        <v>OPS (eventos) + Full Control GPS (km) - carga manual en Datos</v>
      </c>
      <c r="Q852" s="193" t="str">
        <f t="shared" si="74"/>
        <v>202704|SVCR|YTD</v>
      </c>
      <c r="R852" s="193" t="str">
        <f>INDEX(_TARGETS!$H$2:$H$17,MATCH($C852,_TARGETS!$A$2:$A$17,0))</f>
        <v>Solo reporte</v>
      </c>
      <c r="S852" s="193" t="str">
        <f t="shared" si="75"/>
        <v/>
      </c>
      <c r="T852" s="193" t="str">
        <f t="shared" si="76"/>
        <v/>
      </c>
    </row>
    <row r="853" spans="1:20" ht="14.25" customHeight="1" x14ac:dyDescent="0.3">
      <c r="A853" s="249">
        <f>KPIs!$L$3</f>
        <v>46478</v>
      </c>
      <c r="B853" s="193" t="str">
        <f>KPIs!L$4</f>
        <v>Compresora</v>
      </c>
      <c r="C853" t="s">
        <v>61</v>
      </c>
      <c r="D853" s="193" t="str">
        <f>KPIs!$A$41</f>
        <v>5 · Accidentes vehiculares totales por millón de km · YTD</v>
      </c>
      <c r="E853" t="s">
        <v>601</v>
      </c>
      <c r="F853" s="193" t="str">
        <f>IF(ISNUMBER(KPIs!L41),KPIs!L41,"")</f>
        <v/>
      </c>
      <c r="G853" s="250">
        <f>IF(ISNUMBER(KPIs!$C$41),KPIs!$C$41,"")</f>
        <v>0.79</v>
      </c>
      <c r="H853" s="193" t="str">
        <f>IFERROR(INDEX(_TARGETS!$E$2:$E$17,MATCH($C853,_TARGETS!$A$2:$A$17,0))&amp;"","")</f>
        <v>≤</v>
      </c>
      <c r="I853" s="193" t="str">
        <f t="shared" si="72"/>
        <v/>
      </c>
      <c r="J853" s="193" t="str">
        <f t="shared" si="73"/>
        <v>YTD</v>
      </c>
      <c r="K853" s="193">
        <f>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f>
        <v>0</v>
      </c>
      <c r="L853" s="193">
        <f>SUMIFS(Datos!$D$47:$AL$47,Datos!$D$3:$AL$3,"&gt;="&amp;DATE(YEAR(Datos!L$3),1,1),Datos!$D$3:$AL$3,"&lt;="&amp;Datos!L$3)</f>
        <v>0</v>
      </c>
      <c r="M853" s="193">
        <f>INDEX(_TARGETS!$J$2:$J$17,MATCH($C853,_TARGETS!$A$2:$A$17,0))</f>
        <v>1000000</v>
      </c>
      <c r="N853" s="193" t="str">
        <f>INDEX(_TARGETS!$D$2:$D$17,MATCH($C853,_TARGETS!$A$2:$A$17,0))</f>
        <v>eventos / 10^6 km</v>
      </c>
      <c r="O853" s="193" t="str">
        <f t="shared" si="77"/>
        <v>MISSING</v>
      </c>
      <c r="P853" s="193" t="str">
        <f>INDEX(_TARGETS!$K$2:$K$17,MATCH($C853,_TARGETS!$A$2:$A$17,0))</f>
        <v>OPS (eventos) + Full Control GPS (km) - carga manual en Datos</v>
      </c>
      <c r="Q853" s="193" t="str">
        <f t="shared" si="74"/>
        <v>202704|TVCR|YTD</v>
      </c>
      <c r="R853" s="193" t="str">
        <f>INDEX(_TARGETS!$H$2:$H$17,MATCH($C853,_TARGETS!$A$2:$A$17,0))</f>
        <v>Definida</v>
      </c>
      <c r="S853" s="193" t="str">
        <f t="shared" si="75"/>
        <v/>
      </c>
      <c r="T853" s="193" t="str">
        <f t="shared" si="76"/>
        <v/>
      </c>
    </row>
    <row r="854" spans="1:20" ht="14.25" customHeight="1" x14ac:dyDescent="0.3">
      <c r="A854" s="249">
        <f>KPIs!$L$3</f>
        <v>46478</v>
      </c>
      <c r="B854" s="193" t="str">
        <f>KPIs!L$4</f>
        <v>Compresora</v>
      </c>
      <c r="C854" t="s">
        <v>71</v>
      </c>
      <c r="D854" s="193" t="str">
        <f>KPIs!$A$42</f>
        <v>7 · Investigaciones de accidentes: días promedio de cierre · YTD</v>
      </c>
      <c r="E854" t="s">
        <v>601</v>
      </c>
      <c r="F854" s="193" t="str">
        <f>IF(ISNUMBER(KPIs!L42),KPIs!L42,"")</f>
        <v/>
      </c>
      <c r="G854" s="251">
        <f>IF(ISNUMBER(KPIs!$C$42),KPIs!$C$42,"")</f>
        <v>20</v>
      </c>
      <c r="H854" s="193" t="str">
        <f>IFERROR(INDEX(_TARGETS!$E$2:$E$17,MATCH($C854,_TARGETS!$A$2:$A$17,0))&amp;"","")</f>
        <v>≤</v>
      </c>
      <c r="I854" s="193" t="str">
        <f t="shared" si="72"/>
        <v/>
      </c>
      <c r="J854" s="193" t="str">
        <f t="shared" si="73"/>
        <v>YTD</v>
      </c>
      <c r="K854" s="193">
        <f>SUMIFS(Datos!$D$31:$AL$31,Datos!$D$3:$AL$3,"&gt;="&amp;DATE(YEAR(Datos!L$3),1,1),Datos!$D$3:$AL$3,"&lt;="&amp;Datos!L$3)</f>
        <v>0</v>
      </c>
      <c r="L854" s="193">
        <f>SUMIFS(Datos!$D$30:$AL$30,Datos!$D$3:$AL$3,"&gt;="&amp;DATE(YEAR(Datos!L$3),1,1),Datos!$D$3:$AL$3,"&lt;="&amp;Datos!L$3)</f>
        <v>0</v>
      </c>
      <c r="M854" s="193">
        <f>INDEX(_TARGETS!$J$2:$J$17,MATCH($C854,_TARGETS!$A$2:$A$17,0))</f>
        <v>1</v>
      </c>
      <c r="N854" s="193" t="str">
        <f>INDEX(_TARGETS!$D$2:$D$17,MATCH($C854,_TARGETS!$A$2:$A$17,0))</f>
        <v>días</v>
      </c>
      <c r="O854" s="193" t="str">
        <f>IF(NOT(ISNUMBER(F854)),IF(SUMPRODUCT(($C$2:$C$1300=C854)*($J$2:$J$1300="Monthly")*($A$2:$A$1300&lt;=A854)*(YEAR($A$2:$A$1300)=YEAR(A854))*ISNUMBER($K$2:$K$1300)*ISNUMBER($L$2:$L$1300)*($L$2:$L$1300=0)*($K$2:$K$1300&gt;0))&gt;0,"INCOMPLETE","MISSING"),O176)</f>
        <v>MISSING</v>
      </c>
      <c r="P854" s="193" t="str">
        <f>INDEX(_TARGETS!$K$2:$K$17,MATCH($C854,_TARGETS!$A$2:$A$17,0))</f>
        <v>OPS (carga manual en Datos)</v>
      </c>
      <c r="Q854" s="193" t="str">
        <f t="shared" si="74"/>
        <v>202704|INV|YTD</v>
      </c>
      <c r="R854" s="193" t="str">
        <f>INDEX(_TARGETS!$H$2:$H$17,MATCH($C854,_TARGETS!$A$2:$A$17,0))</f>
        <v>Definida</v>
      </c>
      <c r="S854" s="193" t="str">
        <f t="shared" si="75"/>
        <v/>
      </c>
      <c r="T854" s="193" t="str">
        <f t="shared" si="76"/>
        <v/>
      </c>
    </row>
    <row r="855" spans="1:20" ht="14.25" customHeight="1" x14ac:dyDescent="0.3">
      <c r="A855" s="249">
        <f>KPIs!$L$3</f>
        <v>46478</v>
      </c>
      <c r="B855" s="193" t="str">
        <f>KPIs!L$4</f>
        <v>Compresora</v>
      </c>
      <c r="C855" t="s">
        <v>76</v>
      </c>
      <c r="D855" s="193" t="str">
        <f>KPIs!$A$43</f>
        <v>8 · % de capacitación en seguridad · YTD</v>
      </c>
      <c r="E855" t="s">
        <v>601</v>
      </c>
      <c r="F855" s="193" t="str">
        <f>IF(ISNUMBER(KPIs!L43),KPIs!L43,"")</f>
        <v/>
      </c>
      <c r="G855" s="252">
        <f>IF(ISNUMBER(KPIs!$C$43),KPIs!$C$43,"")</f>
        <v>0.01</v>
      </c>
      <c r="H855" s="193" t="str">
        <f>IFERROR(INDEX(_TARGETS!$E$2:$E$17,MATCH($C855,_TARGETS!$A$2:$A$17,0))&amp;"","")</f>
        <v>≥</v>
      </c>
      <c r="I855" s="193" t="str">
        <f t="shared" si="72"/>
        <v/>
      </c>
      <c r="J855" s="193" t="str">
        <f t="shared" si="73"/>
        <v>YTD</v>
      </c>
      <c r="K855" s="193">
        <f>SUMIFS(Datos!$D$18:$AL$18,Datos!$D$3:$AL$3,"&gt;="&amp;DATE(YEAR(Datos!L$3),1,1),Datos!$D$3:$AL$3,"&lt;="&amp;Datos!L$3)</f>
        <v>0</v>
      </c>
      <c r="L855" s="193">
        <f>SUMIFS(Datos!$D$14:$AL$14,Datos!$D$3:$AL$3,"&gt;="&amp;DATE(YEAR(Datos!L$3),1,1),Datos!$D$3:$AL$3,"&lt;="&amp;Datos!L$3)</f>
        <v>0</v>
      </c>
      <c r="M855" s="193">
        <f>INDEX(_TARGETS!$J$2:$J$17,MATCH($C855,_TARGETS!$A$2:$A$17,0))</f>
        <v>1</v>
      </c>
      <c r="N855" s="193" t="str">
        <f>INDEX(_TARGETS!$D$2:$D$17,MATCH($C855,_TARGETS!$A$2:$A$17,0))</f>
        <v>% (fracción)</v>
      </c>
      <c r="O855" s="193" t="str">
        <f>IF(NOT(ISNUMBER(F855)),IF(SUMPRODUCT(($C$2:$C$1300=C855)*($J$2:$J$1300="Monthly")*($A$2:$A$1300&lt;=A855)*(YEAR($A$2:$A$1300)=YEAR(A855))*ISNUMBER($K$2:$K$1300)*ISNUMBER($L$2:$L$1300)*($L$2:$L$1300=0)*($K$2:$K$1300&gt;0))&gt;0,"INCOMPLETE","MISSING"),O177)</f>
        <v>MISSING</v>
      </c>
      <c r="P855" s="193" t="str">
        <f>INDEX(_TARGETS!$K$2:$K$17,MATCH($C855,_TARGETS!$A$2:$A$17,0))</f>
        <v>OPS (carga manual en Datos)</v>
      </c>
      <c r="Q855" s="193" t="str">
        <f t="shared" si="74"/>
        <v>202704|HCS|YTD</v>
      </c>
      <c r="R855" s="193" t="str">
        <f>INDEX(_TARGETS!$H$2:$H$17,MATCH($C855,_TARGETS!$A$2:$A$17,0))</f>
        <v>Definida</v>
      </c>
      <c r="S855" s="193" t="str">
        <f t="shared" si="75"/>
        <v/>
      </c>
      <c r="T855" s="193" t="str">
        <f t="shared" si="76"/>
        <v/>
      </c>
    </row>
    <row r="856" spans="1:20" ht="14.25" customHeight="1" x14ac:dyDescent="0.3">
      <c r="A856" s="249">
        <f>KPIs!$L$3</f>
        <v>46478</v>
      </c>
      <c r="B856" s="193" t="str">
        <f>KPIs!L$4</f>
        <v>Compresora</v>
      </c>
      <c r="C856" t="s">
        <v>83</v>
      </c>
      <c r="D856" s="193" t="str">
        <f>KPIs!$A$44</f>
        <v>10 · Cumplimiento de simulacros (emergencia y operativos) · YTD</v>
      </c>
      <c r="E856" t="s">
        <v>601</v>
      </c>
      <c r="F856" s="193" t="str">
        <f>IF(ISNUMBER(KPIs!L44),KPIs!L44,"")</f>
        <v/>
      </c>
      <c r="G856" s="253">
        <f>IF(ISNUMBER(KPIs!$C$44),KPIs!$C$44,"")</f>
        <v>1</v>
      </c>
      <c r="H856" s="193" t="str">
        <f>IFERROR(INDEX(_TARGETS!$E$2:$E$17,MATCH($C856,_TARGETS!$A$2:$A$17,0))&amp;"","")</f>
        <v>≥</v>
      </c>
      <c r="I856" s="193" t="str">
        <f t="shared" si="72"/>
        <v/>
      </c>
      <c r="J856" s="193" t="str">
        <f t="shared" si="73"/>
        <v>YTD</v>
      </c>
      <c r="K856" s="193">
        <f>SUMIFS(Datos!$D$20:$AL$20,Datos!$D$3:$AL$3,"&gt;="&amp;DATE(YEAR(Datos!L$3),1,1),Datos!$D$3:$AL$3,"&lt;="&amp;Datos!L$3)</f>
        <v>0</v>
      </c>
      <c r="L856" s="193">
        <f>SUMIFS(Datos!$D$21:$AL$21,Datos!$D$3:$AL$3,"&gt;="&amp;DATE(YEAR(Datos!L$3),1,1),Datos!$D$3:$AL$3,"&lt;="&amp;Datos!L$3)</f>
        <v>0</v>
      </c>
      <c r="M856" s="193">
        <f>INDEX(_TARGETS!$J$2:$J$17,MATCH($C856,_TARGETS!$A$2:$A$17,0))</f>
        <v>1</v>
      </c>
      <c r="N856" s="193" t="str">
        <f>INDEX(_TARGETS!$D$2:$D$17,MATCH($C856,_TARGETS!$A$2:$A$17,0))</f>
        <v>% (fracción)</v>
      </c>
      <c r="O856" s="193" t="str">
        <f>IF(NOT(ISNUMBER(F856)),IF(SUMPRODUCT(($C$2:$C$1300=C856)*($J$2:$J$1300="Monthly")*($A$2:$A$1300&lt;=A856)*(YEAR($A$2:$A$1300)=YEAR(A856))*ISNUMBER($K$2:$K$1300)*ISNUMBER($L$2:$L$1300)*($L$2:$L$1300=0)*($K$2:$K$1300&gt;0))&gt;0,"INCOMPLETE","MISSING"),O179)</f>
        <v>MISSING</v>
      </c>
      <c r="P856" s="193" t="str">
        <f>INDEX(_TARGETS!$K$2:$K$17,MATCH($C856,_TARGETS!$A$2:$A$17,0))</f>
        <v>OPS (carga manual en Datos)</v>
      </c>
      <c r="Q856" s="193" t="str">
        <f t="shared" si="74"/>
        <v>202704|CPSE|YTD</v>
      </c>
      <c r="R856" s="193" t="str">
        <f>INDEX(_TARGETS!$H$2:$H$17,MATCH($C856,_TARGETS!$A$2:$A$17,0))</f>
        <v>Definida</v>
      </c>
      <c r="S856" s="193" t="str">
        <f t="shared" si="75"/>
        <v/>
      </c>
      <c r="T856" s="193" t="str">
        <f t="shared" si="76"/>
        <v/>
      </c>
    </row>
    <row r="857" spans="1:20" ht="14.25" customHeight="1" x14ac:dyDescent="0.3">
      <c r="A857" s="249">
        <f>KPIs!$L$3</f>
        <v>46478</v>
      </c>
      <c r="B857" s="193" t="str">
        <f>KPIs!L$4</f>
        <v>Compresora</v>
      </c>
      <c r="C857" t="s">
        <v>85</v>
      </c>
      <c r="D857" s="193" t="str">
        <f>KPIs!$A$45</f>
        <v>10b · Cumplimiento de acciones de mejora de simulacros · YTD</v>
      </c>
      <c r="E857" t="s">
        <v>601</v>
      </c>
      <c r="F857" s="193" t="str">
        <f>IF(ISNUMBER(KPIs!L45),KPIs!L45,"")</f>
        <v/>
      </c>
      <c r="G857" s="254" t="str">
        <f>IF(ISNUMBER(KPIs!$C$45),KPIs!$C$45,"")</f>
        <v/>
      </c>
      <c r="H857" s="193" t="str">
        <f>IFERROR(INDEX(_TARGETS!$E$2:$E$17,MATCH($C857,_TARGETS!$A$2:$A$17,0))&amp;"","")</f>
        <v/>
      </c>
      <c r="I857" s="193" t="str">
        <f t="shared" si="72"/>
        <v/>
      </c>
      <c r="J857" s="193" t="str">
        <f t="shared" si="73"/>
        <v>YTD</v>
      </c>
      <c r="K857" s="193">
        <f>SUMIFS(Datos!$D$23:$AL$23,Datos!$D$3:$AL$3,"&gt;="&amp;DATE(YEAR(Datos!L$3),1,1),Datos!$D$3:$AL$3,"&lt;="&amp;Datos!L$3)</f>
        <v>0</v>
      </c>
      <c r="L857" s="193">
        <f>SUMIFS(Datos!$D$22:$AL$22,Datos!$D$3:$AL$3,"&gt;="&amp;DATE(YEAR(Datos!L$3),1,1),Datos!$D$3:$AL$3,"&lt;="&amp;Datos!L$3)</f>
        <v>0</v>
      </c>
      <c r="M857" s="193">
        <f>INDEX(_TARGETS!$J$2:$J$17,MATCH($C857,_TARGETS!$A$2:$A$17,0))</f>
        <v>1</v>
      </c>
      <c r="N857" s="193" t="str">
        <f>INDEX(_TARGETS!$D$2:$D$17,MATCH($C857,_TARGETS!$A$2:$A$17,0))</f>
        <v>% (fracción)</v>
      </c>
      <c r="O857" s="193" t="str">
        <f>IF(NOT(ISNUMBER(F857)),IF(SUMPRODUCT(($C$2:$C$1300=C857)*($J$2:$J$1300="Monthly")*($A$2:$A$1300&lt;=A857)*(YEAR($A$2:$A$1300)=YEAR(A857))*ISNUMBER($K$2:$K$1300)*ISNUMBER($L$2:$L$1300)*($L$2:$L$1300=0)*($K$2:$K$1300&gt;0))&gt;0,"INCOMPLETE","MISSING"),O180)</f>
        <v>MISSING</v>
      </c>
      <c r="P857" s="193" t="str">
        <f>INDEX(_TARGETS!$K$2:$K$17,MATCH($C857,_TARGETS!$A$2:$A$17,0))</f>
        <v>OPS (carga manual en Datos)</v>
      </c>
      <c r="Q857" s="193" t="str">
        <f t="shared" si="74"/>
        <v>202704|CAMS|YTD</v>
      </c>
      <c r="R857" s="193" t="str">
        <f>INDEX(_TARGETS!$H$2:$H$17,MATCH($C857,_TARGETS!$A$2:$A$17,0))</f>
        <v>Solo reporte</v>
      </c>
      <c r="S857" s="193" t="str">
        <f t="shared" si="75"/>
        <v/>
      </c>
      <c r="T857" s="193" t="str">
        <f t="shared" si="76"/>
        <v/>
      </c>
    </row>
    <row r="858" spans="1:20" ht="14.25" customHeight="1" x14ac:dyDescent="0.3">
      <c r="A858" s="249">
        <f>KPIs!$L$3</f>
        <v>46478</v>
      </c>
      <c r="B858" s="193" t="str">
        <f>KPIs!L$4</f>
        <v>Compresora</v>
      </c>
      <c r="C858" t="s">
        <v>87</v>
      </c>
      <c r="D858" s="193" t="str">
        <f>KPIs!$A$46</f>
        <v>11 · Cumplimiento de caminatas gerenciales · YTD</v>
      </c>
      <c r="E858" t="s">
        <v>601</v>
      </c>
      <c r="F858" s="193" t="str">
        <f>IF(ISNUMBER(KPIs!L46),KPIs!L46,"")</f>
        <v/>
      </c>
      <c r="G858" s="254">
        <f>IF(ISNUMBER(KPIs!$C$46),KPIs!$C$46,"")</f>
        <v>1</v>
      </c>
      <c r="H858" s="193" t="str">
        <f>IFERROR(INDEX(_TARGETS!$E$2:$E$17,MATCH($C858,_TARGETS!$A$2:$A$17,0))&amp;"","")</f>
        <v>≥</v>
      </c>
      <c r="I858" s="193" t="str">
        <f t="shared" si="72"/>
        <v/>
      </c>
      <c r="J858" s="193" t="str">
        <f t="shared" si="73"/>
        <v>YTD</v>
      </c>
      <c r="K858" s="193">
        <f>SUMIFS(Datos!$D$24:$AL$24,Datos!$D$3:$AL$3,"&gt;="&amp;DATE(YEAR(Datos!L$3),1,1),Datos!$D$3:$AL$3,"&lt;="&amp;Datos!L$3)</f>
        <v>0</v>
      </c>
      <c r="L858" s="193">
        <f>SUMIFS(Datos!$D$25:$AL$25,Datos!$D$3:$AL$3,"&gt;="&amp;DATE(YEAR(Datos!L$3),1,1),Datos!$D$3:$AL$3,"&lt;="&amp;Datos!L$3)</f>
        <v>0</v>
      </c>
      <c r="M858" s="193">
        <f>INDEX(_TARGETS!$J$2:$J$17,MATCH($C858,_TARGETS!$A$2:$A$17,0))</f>
        <v>1</v>
      </c>
      <c r="N858" s="193" t="str">
        <f>INDEX(_TARGETS!$D$2:$D$17,MATCH($C858,_TARGETS!$A$2:$A$17,0))</f>
        <v>% (fracción)</v>
      </c>
      <c r="O858" s="193" t="str">
        <f>IF(NOT(ISNUMBER(F858)),IF(SUMPRODUCT(($C$2:$C$1300=C858)*($J$2:$J$1300="Monthly")*($A$2:$A$1300&lt;=A858)*(YEAR($A$2:$A$1300)=YEAR(A858))*ISNUMBER($K$2:$K$1300)*ISNUMBER($L$2:$L$1300)*($L$2:$L$1300=0)*($K$2:$K$1300&gt;0))&gt;0,"INCOMPLETE","MISSING"),O181)</f>
        <v>MISSING</v>
      </c>
      <c r="P858" s="193" t="str">
        <f>INDEX(_TARGETS!$K$2:$K$17,MATCH($C858,_TARGETS!$A$2:$A$17,0))</f>
        <v>OPS (carga manual en Datos)</v>
      </c>
      <c r="Q858" s="193" t="str">
        <f t="shared" si="74"/>
        <v>202704|ICCS|YTD</v>
      </c>
      <c r="R858" s="193" t="str">
        <f>INDEX(_TARGETS!$H$2:$H$17,MATCH($C858,_TARGETS!$A$2:$A$17,0))</f>
        <v>Definida</v>
      </c>
      <c r="S858" s="193" t="str">
        <f t="shared" si="75"/>
        <v/>
      </c>
      <c r="T858" s="193" t="str">
        <f t="shared" si="76"/>
        <v/>
      </c>
    </row>
    <row r="859" spans="1:20" ht="14.25" customHeight="1" x14ac:dyDescent="0.3">
      <c r="A859" s="249">
        <f>KPIs!$L$3</f>
        <v>46478</v>
      </c>
      <c r="B859" s="193" t="str">
        <f>KPIs!L$4</f>
        <v>Compresora</v>
      </c>
      <c r="C859" t="s">
        <v>89</v>
      </c>
      <c r="D859" s="193" t="str">
        <f>KPIs!$A$47</f>
        <v>12 · Cumplimiento de comités y subcomités de seguridad · YTD</v>
      </c>
      <c r="E859" t="s">
        <v>601</v>
      </c>
      <c r="F859" s="193" t="str">
        <f>IF(ISNUMBER(KPIs!L47),KPIs!L47,"")</f>
        <v/>
      </c>
      <c r="G859" s="254">
        <f>IF(ISNUMBER(KPIs!$C$47),KPIs!$C$47,"")</f>
        <v>1</v>
      </c>
      <c r="H859" s="193" t="str">
        <f>IFERROR(INDEX(_TARGETS!$E$2:$E$17,MATCH($C859,_TARGETS!$A$2:$A$17,0))&amp;"","")</f>
        <v>≥</v>
      </c>
      <c r="I859" s="193" t="str">
        <f t="shared" si="72"/>
        <v/>
      </c>
      <c r="J859" s="193" t="str">
        <f t="shared" si="73"/>
        <v>YTD</v>
      </c>
      <c r="K859" s="193">
        <f>SUMIFS(Datos!$D$26:$AL$26,Datos!$D$3:$AL$3,"&gt;="&amp;DATE(YEAR(Datos!L$3),1,1),Datos!$D$3:$AL$3,"&lt;="&amp;Datos!L$3)</f>
        <v>0</v>
      </c>
      <c r="L859" s="193">
        <f>SUMIFS(Datos!$D$27:$AL$27,Datos!$D$3:$AL$3,"&gt;="&amp;DATE(YEAR(Datos!L$3),1,1),Datos!$D$3:$AL$3,"&lt;="&amp;Datos!L$3)</f>
        <v>0</v>
      </c>
      <c r="M859" s="193">
        <f>INDEX(_TARGETS!$J$2:$J$17,MATCH($C859,_TARGETS!$A$2:$A$17,0))</f>
        <v>1</v>
      </c>
      <c r="N859" s="193" t="str">
        <f>INDEX(_TARGETS!$D$2:$D$17,MATCH($C859,_TARGETS!$A$2:$A$17,0))</f>
        <v>% (fracción)</v>
      </c>
      <c r="O859" s="193" t="str">
        <f>IF(NOT(ISNUMBER(F859)),IF(SUMPRODUCT(($C$2:$C$1300=C859)*($J$2:$J$1300="Monthly")*($A$2:$A$1300&lt;=A859)*(YEAR($A$2:$A$1300)=YEAR(A859))*ISNUMBER($K$2:$K$1300)*ISNUMBER($L$2:$L$1300)*($L$2:$L$1300=0)*($K$2:$K$1300&gt;0))&gt;0,"INCOMPLETE","MISSING"),O182)</f>
        <v>MISSING</v>
      </c>
      <c r="P859" s="193" t="str">
        <f>INDEX(_TARGETS!$K$2:$K$17,MATCH($C859,_TARGETS!$A$2:$A$17,0))</f>
        <v>OPS (carga manual en Datos)</v>
      </c>
      <c r="Q859" s="193" t="str">
        <f t="shared" si="74"/>
        <v>202704|CCS|YTD</v>
      </c>
      <c r="R859" s="193" t="str">
        <f>INDEX(_TARGETS!$H$2:$H$17,MATCH($C859,_TARGETS!$A$2:$A$17,0))</f>
        <v>Definida</v>
      </c>
      <c r="S859" s="193" t="str">
        <f t="shared" si="75"/>
        <v/>
      </c>
      <c r="T859" s="193" t="str">
        <f t="shared" si="76"/>
        <v/>
      </c>
    </row>
    <row r="860" spans="1:20" ht="14.25" customHeight="1" x14ac:dyDescent="0.3">
      <c r="A860" s="249">
        <f>KPIs!$L$3</f>
        <v>46478</v>
      </c>
      <c r="B860" s="193" t="str">
        <f>KPIs!L$4</f>
        <v>Compresora</v>
      </c>
      <c r="C860" t="s">
        <v>91</v>
      </c>
      <c r="D860" s="193" t="str">
        <f>KPIs!$A$48</f>
        <v>13 · Días promedio para cerrar hallazgos · YTD</v>
      </c>
      <c r="E860" t="s">
        <v>601</v>
      </c>
      <c r="F860" s="251" t="str">
        <f>IF(ISNUMBER(KPIs!L48),KPIs!L48,"")</f>
        <v/>
      </c>
      <c r="G860" s="193" t="str">
        <f>IF(ISNUMBER(KPIs!$C$48),KPIs!$C$48,"")</f>
        <v/>
      </c>
      <c r="H860" s="193" t="str">
        <f>IFERROR(INDEX(_TARGETS!$E$2:$E$17,MATCH($C860,_TARGETS!$A$2:$A$17,0))&amp;"","")</f>
        <v>≤</v>
      </c>
      <c r="I860" s="193" t="str">
        <f t="shared" si="72"/>
        <v/>
      </c>
      <c r="J860" s="193" t="str">
        <f t="shared" si="73"/>
        <v>YTD</v>
      </c>
      <c r="K860" s="193">
        <f>SUMIFS(Datos!$D$68:$AL$68,Datos!$D$3:$AL$3,"&gt;="&amp;DATE(YEAR(Datos!L$3),1,1),Datos!$D$3:$AL$3,"&lt;="&amp;Datos!L$3)</f>
        <v>0</v>
      </c>
      <c r="L860" s="193">
        <f>SUMIFS(Datos!$D$67:$AL$67,Datos!$D$3:$AL$3,"&gt;="&amp;DATE(YEAR(Datos!L$3),1,1),Datos!$D$3:$AL$3,"&lt;="&amp;Datos!L$3)</f>
        <v>0</v>
      </c>
      <c r="M860" s="193">
        <f>INDEX(_TARGETS!$J$2:$J$17,MATCH($C860,_TARGETS!$A$2:$A$17,0))</f>
        <v>1</v>
      </c>
      <c r="N860" s="193" t="str">
        <f>INDEX(_TARGETS!$D$2:$D$17,MATCH($C860,_TARGETS!$A$2:$A$17,0))</f>
        <v>días</v>
      </c>
      <c r="O860" s="193" t="str">
        <f>IF(NOT(ISNUMBER(F860)),IF(SUMPRODUCT(($C$2:$C$1300=C860)*($J$2:$J$1300="Monthly")*($A$2:$A$1300&lt;=A860)*(YEAR($A$2:$A$1300)=YEAR(A860))*ISNUMBER($K$2:$K$1300)*ISNUMBER($L$2:$L$1300)*($L$2:$L$1300=0)*($K$2:$K$1300&gt;0))&gt;0,"INCOMPLETE","MISSING"),O183)</f>
        <v>MISSING</v>
      </c>
      <c r="P860" s="193" t="str">
        <f>INDEX(_TARGETS!$K$2:$K$17,MATCH($C860,_TARGETS!$A$2:$A$17,0))</f>
        <v>Plant Findings (hoja Observaciones-SMP)</v>
      </c>
      <c r="Q860" s="193" t="str">
        <f t="shared" si="74"/>
        <v>202704|DPAS|YTD</v>
      </c>
      <c r="R860" s="193" t="str">
        <f>INDEX(_TARGETS!$H$2:$H$17,MATCH($C860,_TARGETS!$A$2:$A$17,0))</f>
        <v>Pendiente (meta 2027)</v>
      </c>
      <c r="S860" s="193" t="str">
        <f t="shared" si="75"/>
        <v/>
      </c>
      <c r="T860" s="193" t="str">
        <f t="shared" si="76"/>
        <v/>
      </c>
    </row>
    <row r="861" spans="1:20" ht="14.25" customHeight="1" x14ac:dyDescent="0.3">
      <c r="A861" s="249">
        <f>KPIs!$L$3</f>
        <v>46478</v>
      </c>
      <c r="B861" s="193" t="str">
        <f>KPIs!L$4</f>
        <v>Compresora</v>
      </c>
      <c r="C861" t="s">
        <v>96</v>
      </c>
      <c r="D861" s="193" t="str">
        <f>KPIs!$A$49</f>
        <v>C1 · % de desvíos detectados de gravedad Alta · YTD</v>
      </c>
      <c r="E861" t="s">
        <v>601</v>
      </c>
      <c r="F861" s="193" t="str">
        <f>IF(ISNUMBER(KPIs!L49),KPIs!L49,"")</f>
        <v/>
      </c>
      <c r="G861" s="193" t="str">
        <f>IF(ISNUMBER(KPIs!$C$49),KPIs!$C$49,"")</f>
        <v/>
      </c>
      <c r="H861" s="193" t="str">
        <f>IFERROR(INDEX(_TARGETS!$E$2:$E$17,MATCH($C861,_TARGETS!$A$2:$A$17,0))&amp;"","")</f>
        <v/>
      </c>
      <c r="I861" s="193" t="str">
        <f t="shared" si="72"/>
        <v/>
      </c>
      <c r="J861" s="193" t="str">
        <f t="shared" si="73"/>
        <v>YTD</v>
      </c>
      <c r="K861" s="193">
        <f>SUMIFS(Datos!$D$71:$AL$71,Datos!$D$3:$AL$3,"&gt;="&amp;DATE(YEAR(Datos!L$3),1,1),Datos!$D$3:$AL$3,"&lt;="&amp;Datos!L$3)</f>
        <v>0</v>
      </c>
      <c r="L861" s="193">
        <f>SUMIFS(Datos!$D$71:$AL$71,Datos!$D$3:$AL$3,"&gt;="&amp;DATE(YEAR(Datos!L$3),1,1),Datos!$D$3:$AL$3,"&lt;="&amp;Datos!L$3)+SUMIFS(Datos!$D$72:$AL$72,Datos!$D$3:$AL$3,"&gt;="&amp;DATE(YEAR(Datos!L$3),1,1),Datos!$D$3:$AL$3,"&lt;="&amp;Datos!L$3)+SUMIFS(Datos!$D$73:$AL$73,Datos!$D$3:$AL$3,"&gt;="&amp;DATE(YEAR(Datos!L$3),1,1),Datos!$D$3:$AL$3,"&lt;="&amp;Datos!L$3)</f>
        <v>0</v>
      </c>
      <c r="M861" s="193">
        <f>INDEX(_TARGETS!$J$2:$J$17,MATCH($C861,_TARGETS!$A$2:$A$17,0))</f>
        <v>1</v>
      </c>
      <c r="N861" s="193" t="str">
        <f>INDEX(_TARGETS!$D$2:$D$17,MATCH($C861,_TARGETS!$A$2:$A$17,0))</f>
        <v>% (fracción)</v>
      </c>
      <c r="O861" s="193" t="str">
        <f t="shared" ref="O861:O867" si="78">IF(NOT(ISNUMBER(F861)),IF(SUMPRODUCT(($C$2:$C$1300=C861)*($J$2:$J$1300="Monthly")*($A$2:$A$1300&lt;=A861)*(YEAR($A$2:$A$1300)=YEAR(A861))*ISNUMBER($K$2:$K$1300)*ISNUMBER($L$2:$L$1300)*($L$2:$L$1300=0)*($K$2:$K$1300&gt;0))&gt;0,"INCOMPLETE","MISSING"),O189)</f>
        <v>MISSING</v>
      </c>
      <c r="P861" s="193" t="str">
        <f>INDEX(_TARGETS!$K$2:$K$17,MATCH($C861,_TARGETS!$A$2:$A$17,0))</f>
        <v>Plant Findings (hoja Observaciones-SMP)</v>
      </c>
      <c r="Q861" s="193" t="str">
        <f t="shared" si="74"/>
        <v>202704|HAL_ALTA_PCT|YTD</v>
      </c>
      <c r="R861" s="193" t="str">
        <f>INDEX(_TARGETS!$H$2:$H$17,MATCH($C861,_TARGETS!$A$2:$A$17,0))</f>
        <v>Solo reporte</v>
      </c>
      <c r="S861" s="193" t="str">
        <f t="shared" si="75"/>
        <v/>
      </c>
      <c r="T861" s="193" t="str">
        <f t="shared" si="76"/>
        <v/>
      </c>
    </row>
    <row r="862" spans="1:20" ht="14.25" customHeight="1" x14ac:dyDescent="0.3">
      <c r="A862" s="249">
        <f>KPIs!$L$3</f>
        <v>46478</v>
      </c>
      <c r="B862" s="193" t="str">
        <f>KPIs!L$4</f>
        <v>Compresora</v>
      </c>
      <c r="C862" t="s">
        <v>98</v>
      </c>
      <c r="D862" s="193" t="str">
        <f>KPIs!$A$50</f>
        <v>C2 · Detenciones de tareas aplicadas · YTD</v>
      </c>
      <c r="E862" t="s">
        <v>601</v>
      </c>
      <c r="F862" s="193" t="str">
        <f>IF(ISNUMBER(KPIs!L50),KPIs!L50,"")</f>
        <v/>
      </c>
      <c r="G862" s="193" t="str">
        <f>IF(ISNUMBER(KPIs!$C$50),KPIs!$C$50,"")</f>
        <v/>
      </c>
      <c r="H862" s="193" t="str">
        <f>IFERROR(INDEX(_TARGETS!$E$2:$E$17,MATCH($C862,_TARGETS!$A$2:$A$17,0))&amp;"","")</f>
        <v/>
      </c>
      <c r="I862" s="193" t="str">
        <f t="shared" si="72"/>
        <v/>
      </c>
      <c r="J862" s="193" t="str">
        <f t="shared" si="73"/>
        <v>YTD</v>
      </c>
      <c r="K862" s="193">
        <f>SUMIFS(Datos!$D$75:$AL$75,Datos!$D$3:$AL$3,"&gt;="&amp;DATE(YEAR(Datos!L$3),1,1),Datos!$D$3:$AL$3,"&lt;="&amp;Datos!L$3)</f>
        <v>0</v>
      </c>
      <c r="M862" s="193">
        <f>INDEX(_TARGETS!$J$2:$J$17,MATCH($C862,_TARGETS!$A$2:$A$17,0))</f>
        <v>1</v>
      </c>
      <c r="N862" s="193" t="str">
        <f>INDEX(_TARGETS!$D$2:$D$17,MATCH($C862,_TARGETS!$A$2:$A$17,0))</f>
        <v>u</v>
      </c>
      <c r="O862" s="193" t="str">
        <f t="shared" si="78"/>
        <v>MISSING</v>
      </c>
      <c r="P862" s="193" t="str">
        <f>INDEX(_TARGETS!$K$2:$K$17,MATCH($C862,_TARGETS!$A$2:$A$17,0))</f>
        <v>Plant Findings (hoja Observaciones-SMP)</v>
      </c>
      <c r="Q862" s="193" t="str">
        <f t="shared" si="74"/>
        <v>202704|DET|YTD</v>
      </c>
      <c r="R862" s="193" t="str">
        <f>INDEX(_TARGETS!$H$2:$H$17,MATCH($C862,_TARGETS!$A$2:$A$17,0))</f>
        <v>Solo reporte</v>
      </c>
      <c r="S862" s="193">
        <f t="shared" si="75"/>
        <v>0</v>
      </c>
      <c r="T862" s="193" t="str">
        <f t="shared" si="76"/>
        <v/>
      </c>
    </row>
    <row r="863" spans="1:20" ht="14.25" customHeight="1" x14ac:dyDescent="0.3">
      <c r="A863" s="249">
        <f>KPIs!$M$3</f>
        <v>46508</v>
      </c>
      <c r="B863" s="193" t="str">
        <f>KPIs!M$4</f>
        <v>Compresora</v>
      </c>
      <c r="C863" t="s">
        <v>39</v>
      </c>
      <c r="D863" s="193" t="str">
        <f>KPIs!$A$37</f>
        <v>1 · Frecuencia de casos con días perdidos · YTD</v>
      </c>
      <c r="E863" t="s">
        <v>601</v>
      </c>
      <c r="F863" s="193" t="str">
        <f>IF(ISNUMBER(KPIs!M37),KPIs!M37,"")</f>
        <v/>
      </c>
      <c r="G863" s="250">
        <f>IF(ISNUMBER(KPIs!$C$37),KPIs!$C$37,"")</f>
        <v>0</v>
      </c>
      <c r="H863" s="193" t="str">
        <f>IFERROR(INDEX(_TARGETS!$E$2:$E$17,MATCH($C863,_TARGETS!$A$2:$A$17,0))&amp;"","")</f>
        <v>≤</v>
      </c>
      <c r="I863" s="193" t="str">
        <f t="shared" si="72"/>
        <v/>
      </c>
      <c r="J863" s="193" t="str">
        <f t="shared" si="73"/>
        <v>YTD</v>
      </c>
      <c r="K863" s="193">
        <f>SUMIFS(Datos!$D$33:$AL$33,Datos!$D$3:$AL$3,"&gt;="&amp;DATE(YEAR(Datos!M$3),1,1),Datos!$D$3:$AL$3,"&lt;="&amp;Datos!M$3)</f>
        <v>0</v>
      </c>
      <c r="L863" s="193">
        <f>SUMIFS(Datos!$D$14:$AL$14,Datos!$D$3:$AL$3,"&gt;="&amp;DATE(YEAR(Datos!M$3),1,1),Datos!$D$3:$AL$3,"&lt;="&amp;Datos!M$3)</f>
        <v>0</v>
      </c>
      <c r="M863" s="193">
        <f>INDEX(_TARGETS!$J$2:$J$17,MATCH($C863,_TARGETS!$A$2:$A$17,0))</f>
        <v>1000000</v>
      </c>
      <c r="N863" s="193" t="str">
        <f>INDEX(_TARGETS!$D$2:$D$17,MATCH($C863,_TARGETS!$A$2:$A$17,0))</f>
        <v>casos / 10^6 HH</v>
      </c>
      <c r="O863" s="193" t="str">
        <f t="shared" si="78"/>
        <v>MISSING</v>
      </c>
      <c r="P863" s="193" t="str">
        <f>INDEX(_TARGETS!$K$2:$K$17,MATCH($C863,_TARGETS!$A$2:$A$17,0))</f>
        <v>OPS (carga manual en Datos)</v>
      </c>
      <c r="Q863" s="193" t="str">
        <f t="shared" si="74"/>
        <v>202705|DAFWCF|YTD</v>
      </c>
      <c r="R863" s="193" t="str">
        <f>INDEX(_TARGETS!$H$2:$H$17,MATCH($C863,_TARGETS!$A$2:$A$17,0))</f>
        <v>Definida</v>
      </c>
      <c r="S863" s="193" t="str">
        <f t="shared" si="75"/>
        <v/>
      </c>
      <c r="T863" s="193" t="str">
        <f t="shared" si="76"/>
        <v/>
      </c>
    </row>
    <row r="864" spans="1:20" ht="14.25" customHeight="1" x14ac:dyDescent="0.3">
      <c r="A864" s="249">
        <f>KPIs!$M$3</f>
        <v>46508</v>
      </c>
      <c r="B864" s="193" t="str">
        <f>KPIs!M$4</f>
        <v>Compresora</v>
      </c>
      <c r="C864" t="s">
        <v>49</v>
      </c>
      <c r="D864" s="193" t="str">
        <f>KPIs!$A$38</f>
        <v>2 · Frecuencia de casos registrables · YTD</v>
      </c>
      <c r="E864" t="s">
        <v>601</v>
      </c>
      <c r="F864" s="193" t="str">
        <f>IF(ISNUMBER(KPIs!M38),KPIs!M38,"")</f>
        <v/>
      </c>
      <c r="G864" s="250">
        <f>IF(ISNUMBER(KPIs!$C$38),KPIs!$C$38,"")</f>
        <v>2.35</v>
      </c>
      <c r="H864" s="193" t="str">
        <f>IFERROR(INDEX(_TARGETS!$E$2:$E$17,MATCH($C864,_TARGETS!$A$2:$A$17,0))&amp;"","")</f>
        <v>≤</v>
      </c>
      <c r="I864" s="193" t="str">
        <f t="shared" si="72"/>
        <v/>
      </c>
      <c r="J864" s="193" t="str">
        <f t="shared" si="73"/>
        <v>YTD</v>
      </c>
      <c r="K864" s="193">
        <f>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f>
        <v>0</v>
      </c>
      <c r="L864" s="193">
        <f>SUMIFS(Datos!$D$14:$AL$14,Datos!$D$3:$AL$3,"&gt;="&amp;DATE(YEAR(Datos!M$3),1,1),Datos!$D$3:$AL$3,"&lt;="&amp;Datos!M$3)</f>
        <v>0</v>
      </c>
      <c r="M864" s="193">
        <f>INDEX(_TARGETS!$J$2:$J$17,MATCH($C864,_TARGETS!$A$2:$A$17,0))</f>
        <v>1000000</v>
      </c>
      <c r="N864" s="193" t="str">
        <f>INDEX(_TARGETS!$D$2:$D$17,MATCH($C864,_TARGETS!$A$2:$A$17,0))</f>
        <v>casos / 10^6 HH</v>
      </c>
      <c r="O864" s="193" t="str">
        <f t="shared" si="78"/>
        <v>MISSING</v>
      </c>
      <c r="P864" s="193" t="str">
        <f>INDEX(_TARGETS!$K$2:$K$17,MATCH($C864,_TARGETS!$A$2:$A$17,0))</f>
        <v>OPS (carga manual en Datos)</v>
      </c>
      <c r="Q864" s="193" t="str">
        <f t="shared" si="74"/>
        <v>202705|TRICF|YTD</v>
      </c>
      <c r="R864" s="193" t="str">
        <f>INDEX(_TARGETS!$H$2:$H$17,MATCH($C864,_TARGETS!$A$2:$A$17,0))</f>
        <v>Definida</v>
      </c>
      <c r="S864" s="193" t="str">
        <f t="shared" si="75"/>
        <v/>
      </c>
      <c r="T864" s="193" t="str">
        <f t="shared" si="76"/>
        <v/>
      </c>
    </row>
    <row r="865" spans="1:20" ht="14.25" customHeight="1" x14ac:dyDescent="0.3">
      <c r="A865" s="249">
        <f>KPIs!$M$3</f>
        <v>46508</v>
      </c>
      <c r="B865" s="193" t="str">
        <f>KPIs!M$4</f>
        <v>Compresora</v>
      </c>
      <c r="C865" t="s">
        <v>51</v>
      </c>
      <c r="D865" s="193" t="str">
        <f>KPIs!$A$39</f>
        <v>3 · Casos de primeros auxilios · YTD</v>
      </c>
      <c r="E865" t="s">
        <v>601</v>
      </c>
      <c r="F865" s="193" t="str">
        <f>IF(ISNUMBER(KPIs!M39),KPIs!M39,"")</f>
        <v/>
      </c>
      <c r="G865" s="193" t="str">
        <f>IF(ISNUMBER(KPIs!$C$39),KPIs!$C$39,"")</f>
        <v/>
      </c>
      <c r="H865" s="193" t="str">
        <f>IFERROR(INDEX(_TARGETS!$E$2:$E$17,MATCH($C865,_TARGETS!$A$2:$A$17,0))&amp;"","")</f>
        <v/>
      </c>
      <c r="I865" s="193" t="str">
        <f t="shared" si="72"/>
        <v/>
      </c>
      <c r="J865" s="193" t="str">
        <f t="shared" si="73"/>
        <v>YTD</v>
      </c>
      <c r="K865" s="193">
        <f>SUMIFS(Datos!$D$37:$AL$37,Datos!$D$3:$AL$3,"&gt;="&amp;DATE(YEAR(Datos!M$3),1,1),Datos!$D$3:$AL$3,"&lt;="&amp;Datos!M$3)</f>
        <v>0</v>
      </c>
      <c r="M865" s="193">
        <f>INDEX(_TARGETS!$J$2:$J$17,MATCH($C865,_TARGETS!$A$2:$A$17,0))</f>
        <v>1</v>
      </c>
      <c r="N865" s="193" t="str">
        <f>INDEX(_TARGETS!$D$2:$D$17,MATCH($C865,_TARGETS!$A$2:$A$17,0))</f>
        <v>casos</v>
      </c>
      <c r="O865" s="193" t="str">
        <f t="shared" si="78"/>
        <v>MISSING</v>
      </c>
      <c r="P865" s="193" t="str">
        <f>INDEX(_TARGETS!$K$2:$K$17,MATCH($C865,_TARGETS!$A$2:$A$17,0))</f>
        <v>OPS (carga manual en Datos)</v>
      </c>
      <c r="Q865" s="193" t="str">
        <f t="shared" si="74"/>
        <v>202705|FAC|YTD</v>
      </c>
      <c r="R865" s="193" t="str">
        <f>INDEX(_TARGETS!$H$2:$H$17,MATCH($C865,_TARGETS!$A$2:$A$17,0))</f>
        <v>Solo reporte</v>
      </c>
      <c r="S865" s="193">
        <f t="shared" si="75"/>
        <v>0</v>
      </c>
      <c r="T865" s="193" t="str">
        <f t="shared" si="76"/>
        <v/>
      </c>
    </row>
    <row r="866" spans="1:20" ht="14.25" customHeight="1" x14ac:dyDescent="0.3">
      <c r="A866" s="249">
        <f>KPIs!$M$3</f>
        <v>46508</v>
      </c>
      <c r="B866" s="193" t="str">
        <f>KPIs!M$4</f>
        <v>Compresora</v>
      </c>
      <c r="C866" t="s">
        <v>57</v>
      </c>
      <c r="D866" s="193" t="str">
        <f>KPIs!$A$40</f>
        <v>4 · Accidentes vehiculares severos por millón de km · YTD</v>
      </c>
      <c r="E866" t="s">
        <v>601</v>
      </c>
      <c r="F866" s="193" t="str">
        <f>IF(ISNUMBER(KPIs!M40),KPIs!M40,"")</f>
        <v/>
      </c>
      <c r="G866" s="193" t="str">
        <f>IF(ISNUMBER(KPIs!$C$40),KPIs!$C$40,"")</f>
        <v/>
      </c>
      <c r="H866" s="193" t="str">
        <f>IFERROR(INDEX(_TARGETS!$E$2:$E$17,MATCH($C866,_TARGETS!$A$2:$A$17,0))&amp;"","")</f>
        <v/>
      </c>
      <c r="I866" s="193" t="str">
        <f t="shared" si="72"/>
        <v/>
      </c>
      <c r="J866" s="193" t="str">
        <f t="shared" si="73"/>
        <v>YTD</v>
      </c>
      <c r="K866" s="193">
        <f>SUMIFS(Datos!$D$39:$AL$39,Datos!$D$3:$AL$3,"&gt;="&amp;DATE(YEAR(Datos!M$3),1,1),Datos!$D$3:$AL$3,"&lt;="&amp;Datos!M$3)+SUMIFS(Datos!$D$40:$AL$40,Datos!$D$3:$AL$3,"&gt;="&amp;DATE(YEAR(Datos!M$3),1,1),Datos!$D$3:$AL$3,"&lt;="&amp;Datos!M$3)+SUMIFS(Datos!$D$41:$AL$41,Datos!$D$3:$AL$3,"&gt;="&amp;DATE(YEAR(Datos!M$3),1,1),Datos!$D$3:$AL$3,"&lt;="&amp;Datos!M$3)</f>
        <v>0</v>
      </c>
      <c r="L866" s="193">
        <f>SUMIFS(Datos!$D$47:$AL$47,Datos!$D$3:$AL$3,"&gt;="&amp;DATE(YEAR(Datos!M$3),1,1),Datos!$D$3:$AL$3,"&lt;="&amp;Datos!M$3)</f>
        <v>0</v>
      </c>
      <c r="M866" s="193">
        <f>INDEX(_TARGETS!$J$2:$J$17,MATCH($C866,_TARGETS!$A$2:$A$17,0))</f>
        <v>1000000</v>
      </c>
      <c r="N866" s="193" t="str">
        <f>INDEX(_TARGETS!$D$2:$D$17,MATCH($C866,_TARGETS!$A$2:$A$17,0))</f>
        <v>eventos / 10^6 km</v>
      </c>
      <c r="O866" s="193" t="str">
        <f t="shared" si="78"/>
        <v>MISSING</v>
      </c>
      <c r="P866" s="193" t="str">
        <f>INDEX(_TARGETS!$K$2:$K$17,MATCH($C866,_TARGETS!$A$2:$A$17,0))</f>
        <v>OPS (eventos) + Full Control GPS (km) - carga manual en Datos</v>
      </c>
      <c r="Q866" s="193" t="str">
        <f t="shared" si="74"/>
        <v>202705|SVCR|YTD</v>
      </c>
      <c r="R866" s="193" t="str">
        <f>INDEX(_TARGETS!$H$2:$H$17,MATCH($C866,_TARGETS!$A$2:$A$17,0))</f>
        <v>Solo reporte</v>
      </c>
      <c r="S866" s="193" t="str">
        <f t="shared" si="75"/>
        <v/>
      </c>
      <c r="T866" s="193" t="str">
        <f t="shared" si="76"/>
        <v/>
      </c>
    </row>
    <row r="867" spans="1:20" ht="14.25" customHeight="1" x14ac:dyDescent="0.3">
      <c r="A867" s="249">
        <f>KPIs!$M$3</f>
        <v>46508</v>
      </c>
      <c r="B867" s="193" t="str">
        <f>KPIs!M$4</f>
        <v>Compresora</v>
      </c>
      <c r="C867" t="s">
        <v>61</v>
      </c>
      <c r="D867" s="193" t="str">
        <f>KPIs!$A$41</f>
        <v>5 · Accidentes vehiculares totales por millón de km · YTD</v>
      </c>
      <c r="E867" t="s">
        <v>601</v>
      </c>
      <c r="F867" s="193" t="str">
        <f>IF(ISNUMBER(KPIs!M41),KPIs!M41,"")</f>
        <v/>
      </c>
      <c r="G867" s="250">
        <f>IF(ISNUMBER(KPIs!$C$41),KPIs!$C$41,"")</f>
        <v>0.79</v>
      </c>
      <c r="H867" s="193" t="str">
        <f>IFERROR(INDEX(_TARGETS!$E$2:$E$17,MATCH($C867,_TARGETS!$A$2:$A$17,0))&amp;"","")</f>
        <v>≤</v>
      </c>
      <c r="I867" s="193" t="str">
        <f t="shared" si="72"/>
        <v/>
      </c>
      <c r="J867" s="193" t="str">
        <f t="shared" si="73"/>
        <v>YTD</v>
      </c>
      <c r="K867" s="193">
        <f>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f>
        <v>0</v>
      </c>
      <c r="L867" s="193">
        <f>SUMIFS(Datos!$D$47:$AL$47,Datos!$D$3:$AL$3,"&gt;="&amp;DATE(YEAR(Datos!M$3),1,1),Datos!$D$3:$AL$3,"&lt;="&amp;Datos!M$3)</f>
        <v>0</v>
      </c>
      <c r="M867" s="193">
        <f>INDEX(_TARGETS!$J$2:$J$17,MATCH($C867,_TARGETS!$A$2:$A$17,0))</f>
        <v>1000000</v>
      </c>
      <c r="N867" s="193" t="str">
        <f>INDEX(_TARGETS!$D$2:$D$17,MATCH($C867,_TARGETS!$A$2:$A$17,0))</f>
        <v>eventos / 10^6 km</v>
      </c>
      <c r="O867" s="193" t="str">
        <f t="shared" si="78"/>
        <v>MISSING</v>
      </c>
      <c r="P867" s="193" t="str">
        <f>INDEX(_TARGETS!$K$2:$K$17,MATCH($C867,_TARGETS!$A$2:$A$17,0))</f>
        <v>OPS (eventos) + Full Control GPS (km) - carga manual en Datos</v>
      </c>
      <c r="Q867" s="193" t="str">
        <f t="shared" si="74"/>
        <v>202705|TVCR|YTD</v>
      </c>
      <c r="R867" s="193" t="str">
        <f>INDEX(_TARGETS!$H$2:$H$17,MATCH($C867,_TARGETS!$A$2:$A$17,0))</f>
        <v>Definida</v>
      </c>
      <c r="S867" s="193" t="str">
        <f t="shared" si="75"/>
        <v/>
      </c>
      <c r="T867" s="193" t="str">
        <f t="shared" si="76"/>
        <v/>
      </c>
    </row>
    <row r="868" spans="1:20" ht="14.25" customHeight="1" x14ac:dyDescent="0.3">
      <c r="A868" s="249">
        <f>KPIs!$M$3</f>
        <v>46508</v>
      </c>
      <c r="B868" s="193" t="str">
        <f>KPIs!M$4</f>
        <v>Compresora</v>
      </c>
      <c r="C868" t="s">
        <v>71</v>
      </c>
      <c r="D868" s="193" t="str">
        <f>KPIs!$A$42</f>
        <v>7 · Investigaciones de accidentes: días promedio de cierre · YTD</v>
      </c>
      <c r="E868" t="s">
        <v>601</v>
      </c>
      <c r="F868" s="193" t="str">
        <f>IF(ISNUMBER(KPIs!M42),KPIs!M42,"")</f>
        <v/>
      </c>
      <c r="G868" s="251">
        <f>IF(ISNUMBER(KPIs!$C$42),KPIs!$C$42,"")</f>
        <v>20</v>
      </c>
      <c r="H868" s="193" t="str">
        <f>IFERROR(INDEX(_TARGETS!$E$2:$E$17,MATCH($C868,_TARGETS!$A$2:$A$17,0))&amp;"","")</f>
        <v>≤</v>
      </c>
      <c r="I868" s="193" t="str">
        <f t="shared" si="72"/>
        <v/>
      </c>
      <c r="J868" s="193" t="str">
        <f t="shared" si="73"/>
        <v>YTD</v>
      </c>
      <c r="K868" s="193">
        <f>SUMIFS(Datos!$D$31:$AL$31,Datos!$D$3:$AL$3,"&gt;="&amp;DATE(YEAR(Datos!M$3),1,1),Datos!$D$3:$AL$3,"&lt;="&amp;Datos!M$3)</f>
        <v>0</v>
      </c>
      <c r="L868" s="193">
        <f>SUMIFS(Datos!$D$30:$AL$30,Datos!$D$3:$AL$3,"&gt;="&amp;DATE(YEAR(Datos!M$3),1,1),Datos!$D$3:$AL$3,"&lt;="&amp;Datos!M$3)</f>
        <v>0</v>
      </c>
      <c r="M868" s="193">
        <f>INDEX(_TARGETS!$J$2:$J$17,MATCH($C868,_TARGETS!$A$2:$A$17,0))</f>
        <v>1</v>
      </c>
      <c r="N868" s="193" t="str">
        <f>INDEX(_TARGETS!$D$2:$D$17,MATCH($C868,_TARGETS!$A$2:$A$17,0))</f>
        <v>días</v>
      </c>
      <c r="O868" s="193" t="str">
        <f>IF(NOT(ISNUMBER(F868)),IF(SUMPRODUCT(($C$2:$C$1300=C868)*($J$2:$J$1300="Monthly")*($A$2:$A$1300&lt;=A868)*(YEAR($A$2:$A$1300)=YEAR(A868))*ISNUMBER($K$2:$K$1300)*ISNUMBER($L$2:$L$1300)*($L$2:$L$1300=0)*($K$2:$K$1300&gt;0))&gt;0,"INCOMPLETE","MISSING"),O197)</f>
        <v>MISSING</v>
      </c>
      <c r="P868" s="193" t="str">
        <f>INDEX(_TARGETS!$K$2:$K$17,MATCH($C868,_TARGETS!$A$2:$A$17,0))</f>
        <v>OPS (carga manual en Datos)</v>
      </c>
      <c r="Q868" s="193" t="str">
        <f t="shared" si="74"/>
        <v>202705|INV|YTD</v>
      </c>
      <c r="R868" s="193" t="str">
        <f>INDEX(_TARGETS!$H$2:$H$17,MATCH($C868,_TARGETS!$A$2:$A$17,0))</f>
        <v>Definida</v>
      </c>
      <c r="S868" s="193" t="str">
        <f t="shared" si="75"/>
        <v/>
      </c>
      <c r="T868" s="193" t="str">
        <f t="shared" si="76"/>
        <v/>
      </c>
    </row>
    <row r="869" spans="1:20" ht="14.25" customHeight="1" x14ac:dyDescent="0.3">
      <c r="A869" s="249">
        <f>KPIs!$M$3</f>
        <v>46508</v>
      </c>
      <c r="B869" s="193" t="str">
        <f>KPIs!M$4</f>
        <v>Compresora</v>
      </c>
      <c r="C869" t="s">
        <v>76</v>
      </c>
      <c r="D869" s="193" t="str">
        <f>KPIs!$A$43</f>
        <v>8 · % de capacitación en seguridad · YTD</v>
      </c>
      <c r="E869" t="s">
        <v>601</v>
      </c>
      <c r="F869" s="193" t="str">
        <f>IF(ISNUMBER(KPIs!M43),KPIs!M43,"")</f>
        <v/>
      </c>
      <c r="G869" s="252">
        <f>IF(ISNUMBER(KPIs!$C$43),KPIs!$C$43,"")</f>
        <v>0.01</v>
      </c>
      <c r="H869" s="193" t="str">
        <f>IFERROR(INDEX(_TARGETS!$E$2:$E$17,MATCH($C869,_TARGETS!$A$2:$A$17,0))&amp;"","")</f>
        <v>≥</v>
      </c>
      <c r="I869" s="193" t="str">
        <f t="shared" si="72"/>
        <v/>
      </c>
      <c r="J869" s="193" t="str">
        <f t="shared" si="73"/>
        <v>YTD</v>
      </c>
      <c r="K869" s="193">
        <f>SUMIFS(Datos!$D$18:$AL$18,Datos!$D$3:$AL$3,"&gt;="&amp;DATE(YEAR(Datos!M$3),1,1),Datos!$D$3:$AL$3,"&lt;="&amp;Datos!M$3)</f>
        <v>0</v>
      </c>
      <c r="L869" s="193">
        <f>SUMIFS(Datos!$D$14:$AL$14,Datos!$D$3:$AL$3,"&gt;="&amp;DATE(YEAR(Datos!M$3),1,1),Datos!$D$3:$AL$3,"&lt;="&amp;Datos!M$3)</f>
        <v>0</v>
      </c>
      <c r="M869" s="193">
        <f>INDEX(_TARGETS!$J$2:$J$17,MATCH($C869,_TARGETS!$A$2:$A$17,0))</f>
        <v>1</v>
      </c>
      <c r="N869" s="193" t="str">
        <f>INDEX(_TARGETS!$D$2:$D$17,MATCH($C869,_TARGETS!$A$2:$A$17,0))</f>
        <v>% (fracción)</v>
      </c>
      <c r="O869" s="193" t="str">
        <f>IF(NOT(ISNUMBER(F869)),IF(SUMPRODUCT(($C$2:$C$1300=C869)*($J$2:$J$1300="Monthly")*($A$2:$A$1300&lt;=A869)*(YEAR($A$2:$A$1300)=YEAR(A869))*ISNUMBER($K$2:$K$1300)*ISNUMBER($L$2:$L$1300)*($L$2:$L$1300=0)*($K$2:$K$1300&gt;0))&gt;0,"INCOMPLETE","MISSING"),O198)</f>
        <v>MISSING</v>
      </c>
      <c r="P869" s="193" t="str">
        <f>INDEX(_TARGETS!$K$2:$K$17,MATCH($C869,_TARGETS!$A$2:$A$17,0))</f>
        <v>OPS (carga manual en Datos)</v>
      </c>
      <c r="Q869" s="193" t="str">
        <f t="shared" si="74"/>
        <v>202705|HCS|YTD</v>
      </c>
      <c r="R869" s="193" t="str">
        <f>INDEX(_TARGETS!$H$2:$H$17,MATCH($C869,_TARGETS!$A$2:$A$17,0))</f>
        <v>Definida</v>
      </c>
      <c r="S869" s="193" t="str">
        <f t="shared" si="75"/>
        <v/>
      </c>
      <c r="T869" s="193" t="str">
        <f t="shared" si="76"/>
        <v/>
      </c>
    </row>
    <row r="870" spans="1:20" ht="14.25" customHeight="1" x14ac:dyDescent="0.3">
      <c r="A870" s="249">
        <f>KPIs!$M$3</f>
        <v>46508</v>
      </c>
      <c r="B870" s="193" t="str">
        <f>KPIs!M$4</f>
        <v>Compresora</v>
      </c>
      <c r="C870" t="s">
        <v>83</v>
      </c>
      <c r="D870" s="193" t="str">
        <f>KPIs!$A$44</f>
        <v>10 · Cumplimiento de simulacros (emergencia y operativos) · YTD</v>
      </c>
      <c r="E870" t="s">
        <v>601</v>
      </c>
      <c r="F870" s="193" t="str">
        <f>IF(ISNUMBER(KPIs!M44),KPIs!M44,"")</f>
        <v/>
      </c>
      <c r="G870" s="253">
        <f>IF(ISNUMBER(KPIs!$C$44),KPIs!$C$44,"")</f>
        <v>1</v>
      </c>
      <c r="H870" s="193" t="str">
        <f>IFERROR(INDEX(_TARGETS!$E$2:$E$17,MATCH($C870,_TARGETS!$A$2:$A$17,0))&amp;"","")</f>
        <v>≥</v>
      </c>
      <c r="I870" s="193" t="str">
        <f t="shared" si="72"/>
        <v/>
      </c>
      <c r="J870" s="193" t="str">
        <f t="shared" si="73"/>
        <v>YTD</v>
      </c>
      <c r="K870" s="193">
        <f>SUMIFS(Datos!$D$20:$AL$20,Datos!$D$3:$AL$3,"&gt;="&amp;DATE(YEAR(Datos!M$3),1,1),Datos!$D$3:$AL$3,"&lt;="&amp;Datos!M$3)</f>
        <v>0</v>
      </c>
      <c r="L870" s="193">
        <f>SUMIFS(Datos!$D$21:$AL$21,Datos!$D$3:$AL$3,"&gt;="&amp;DATE(YEAR(Datos!M$3),1,1),Datos!$D$3:$AL$3,"&lt;="&amp;Datos!M$3)</f>
        <v>0</v>
      </c>
      <c r="M870" s="193">
        <f>INDEX(_TARGETS!$J$2:$J$17,MATCH($C870,_TARGETS!$A$2:$A$17,0))</f>
        <v>1</v>
      </c>
      <c r="N870" s="193" t="str">
        <f>INDEX(_TARGETS!$D$2:$D$17,MATCH($C870,_TARGETS!$A$2:$A$17,0))</f>
        <v>% (fracción)</v>
      </c>
      <c r="O870" s="193" t="str">
        <f>IF(NOT(ISNUMBER(F870)),IF(SUMPRODUCT(($C$2:$C$1300=C870)*($J$2:$J$1300="Monthly")*($A$2:$A$1300&lt;=A870)*(YEAR($A$2:$A$1300)=YEAR(A870))*ISNUMBER($K$2:$K$1300)*ISNUMBER($L$2:$L$1300)*($L$2:$L$1300=0)*($K$2:$K$1300&gt;0))&gt;0,"INCOMPLETE","MISSING"),O200)</f>
        <v>MISSING</v>
      </c>
      <c r="P870" s="193" t="str">
        <f>INDEX(_TARGETS!$K$2:$K$17,MATCH($C870,_TARGETS!$A$2:$A$17,0))</f>
        <v>OPS (carga manual en Datos)</v>
      </c>
      <c r="Q870" s="193" t="str">
        <f t="shared" si="74"/>
        <v>202705|CPSE|YTD</v>
      </c>
      <c r="R870" s="193" t="str">
        <f>INDEX(_TARGETS!$H$2:$H$17,MATCH($C870,_TARGETS!$A$2:$A$17,0))</f>
        <v>Definida</v>
      </c>
      <c r="S870" s="193" t="str">
        <f t="shared" si="75"/>
        <v/>
      </c>
      <c r="T870" s="193" t="str">
        <f t="shared" si="76"/>
        <v/>
      </c>
    </row>
    <row r="871" spans="1:20" ht="14.25" customHeight="1" x14ac:dyDescent="0.3">
      <c r="A871" s="249">
        <f>KPIs!$M$3</f>
        <v>46508</v>
      </c>
      <c r="B871" s="193" t="str">
        <f>KPIs!M$4</f>
        <v>Compresora</v>
      </c>
      <c r="C871" t="s">
        <v>85</v>
      </c>
      <c r="D871" s="193" t="str">
        <f>KPIs!$A$45</f>
        <v>10b · Cumplimiento de acciones de mejora de simulacros · YTD</v>
      </c>
      <c r="E871" t="s">
        <v>601</v>
      </c>
      <c r="F871" s="193" t="str">
        <f>IF(ISNUMBER(KPIs!M45),KPIs!M45,"")</f>
        <v/>
      </c>
      <c r="G871" s="254" t="str">
        <f>IF(ISNUMBER(KPIs!$C$45),KPIs!$C$45,"")</f>
        <v/>
      </c>
      <c r="H871" s="193" t="str">
        <f>IFERROR(INDEX(_TARGETS!$E$2:$E$17,MATCH($C871,_TARGETS!$A$2:$A$17,0))&amp;"","")</f>
        <v/>
      </c>
      <c r="I871" s="193" t="str">
        <f t="shared" si="72"/>
        <v/>
      </c>
      <c r="J871" s="193" t="str">
        <f t="shared" si="73"/>
        <v>YTD</v>
      </c>
      <c r="K871" s="193">
        <f>SUMIFS(Datos!$D$23:$AL$23,Datos!$D$3:$AL$3,"&gt;="&amp;DATE(YEAR(Datos!M$3),1,1),Datos!$D$3:$AL$3,"&lt;="&amp;Datos!M$3)</f>
        <v>0</v>
      </c>
      <c r="L871" s="193">
        <f>SUMIFS(Datos!$D$22:$AL$22,Datos!$D$3:$AL$3,"&gt;="&amp;DATE(YEAR(Datos!M$3),1,1),Datos!$D$3:$AL$3,"&lt;="&amp;Datos!M$3)</f>
        <v>0</v>
      </c>
      <c r="M871" s="193">
        <f>INDEX(_TARGETS!$J$2:$J$17,MATCH($C871,_TARGETS!$A$2:$A$17,0))</f>
        <v>1</v>
      </c>
      <c r="N871" s="193" t="str">
        <f>INDEX(_TARGETS!$D$2:$D$17,MATCH($C871,_TARGETS!$A$2:$A$17,0))</f>
        <v>% (fracción)</v>
      </c>
      <c r="O871" s="193" t="str">
        <f>IF(NOT(ISNUMBER(F871)),IF(SUMPRODUCT(($C$2:$C$1300=C871)*($J$2:$J$1300="Monthly")*($A$2:$A$1300&lt;=A871)*(YEAR($A$2:$A$1300)=YEAR(A871))*ISNUMBER($K$2:$K$1300)*ISNUMBER($L$2:$L$1300)*($L$2:$L$1300=0)*($K$2:$K$1300&gt;0))&gt;0,"INCOMPLETE","MISSING"),O201)</f>
        <v>MISSING</v>
      </c>
      <c r="P871" s="193" t="str">
        <f>INDEX(_TARGETS!$K$2:$K$17,MATCH($C871,_TARGETS!$A$2:$A$17,0))</f>
        <v>OPS (carga manual en Datos)</v>
      </c>
      <c r="Q871" s="193" t="str">
        <f t="shared" si="74"/>
        <v>202705|CAMS|YTD</v>
      </c>
      <c r="R871" s="193" t="str">
        <f>INDEX(_TARGETS!$H$2:$H$17,MATCH($C871,_TARGETS!$A$2:$A$17,0))</f>
        <v>Solo reporte</v>
      </c>
      <c r="S871" s="193" t="str">
        <f t="shared" si="75"/>
        <v/>
      </c>
      <c r="T871" s="193" t="str">
        <f t="shared" si="76"/>
        <v/>
      </c>
    </row>
    <row r="872" spans="1:20" ht="14.25" customHeight="1" x14ac:dyDescent="0.3">
      <c r="A872" s="249">
        <f>KPIs!$M$3</f>
        <v>46508</v>
      </c>
      <c r="B872" s="193" t="str">
        <f>KPIs!M$4</f>
        <v>Compresora</v>
      </c>
      <c r="C872" t="s">
        <v>87</v>
      </c>
      <c r="D872" s="193" t="str">
        <f>KPIs!$A$46</f>
        <v>11 · Cumplimiento de caminatas gerenciales · YTD</v>
      </c>
      <c r="E872" t="s">
        <v>601</v>
      </c>
      <c r="F872" s="193" t="str">
        <f>IF(ISNUMBER(KPIs!M46),KPIs!M46,"")</f>
        <v/>
      </c>
      <c r="G872" s="254">
        <f>IF(ISNUMBER(KPIs!$C$46),KPIs!$C$46,"")</f>
        <v>1</v>
      </c>
      <c r="H872" s="193" t="str">
        <f>IFERROR(INDEX(_TARGETS!$E$2:$E$17,MATCH($C872,_TARGETS!$A$2:$A$17,0))&amp;"","")</f>
        <v>≥</v>
      </c>
      <c r="I872" s="193" t="str">
        <f t="shared" si="72"/>
        <v/>
      </c>
      <c r="J872" s="193" t="str">
        <f t="shared" si="73"/>
        <v>YTD</v>
      </c>
      <c r="K872" s="193">
        <f>SUMIFS(Datos!$D$24:$AL$24,Datos!$D$3:$AL$3,"&gt;="&amp;DATE(YEAR(Datos!M$3),1,1),Datos!$D$3:$AL$3,"&lt;="&amp;Datos!M$3)</f>
        <v>0</v>
      </c>
      <c r="L872" s="193">
        <f>SUMIFS(Datos!$D$25:$AL$25,Datos!$D$3:$AL$3,"&gt;="&amp;DATE(YEAR(Datos!M$3),1,1),Datos!$D$3:$AL$3,"&lt;="&amp;Datos!M$3)</f>
        <v>0</v>
      </c>
      <c r="M872" s="193">
        <f>INDEX(_TARGETS!$J$2:$J$17,MATCH($C872,_TARGETS!$A$2:$A$17,0))</f>
        <v>1</v>
      </c>
      <c r="N872" s="193" t="str">
        <f>INDEX(_TARGETS!$D$2:$D$17,MATCH($C872,_TARGETS!$A$2:$A$17,0))</f>
        <v>% (fracción)</v>
      </c>
      <c r="O872" s="193" t="str">
        <f>IF(NOT(ISNUMBER(F872)),IF(SUMPRODUCT(($C$2:$C$1300=C872)*($J$2:$J$1300="Monthly")*($A$2:$A$1300&lt;=A872)*(YEAR($A$2:$A$1300)=YEAR(A872))*ISNUMBER($K$2:$K$1300)*ISNUMBER($L$2:$L$1300)*($L$2:$L$1300=0)*($K$2:$K$1300&gt;0))&gt;0,"INCOMPLETE","MISSING"),O202)</f>
        <v>MISSING</v>
      </c>
      <c r="P872" s="193" t="str">
        <f>INDEX(_TARGETS!$K$2:$K$17,MATCH($C872,_TARGETS!$A$2:$A$17,0))</f>
        <v>OPS (carga manual en Datos)</v>
      </c>
      <c r="Q872" s="193" t="str">
        <f t="shared" si="74"/>
        <v>202705|ICCS|YTD</v>
      </c>
      <c r="R872" s="193" t="str">
        <f>INDEX(_TARGETS!$H$2:$H$17,MATCH($C872,_TARGETS!$A$2:$A$17,0))</f>
        <v>Definida</v>
      </c>
      <c r="S872" s="193" t="str">
        <f t="shared" si="75"/>
        <v/>
      </c>
      <c r="T872" s="193" t="str">
        <f t="shared" si="76"/>
        <v/>
      </c>
    </row>
    <row r="873" spans="1:20" ht="14.25" customHeight="1" x14ac:dyDescent="0.3">
      <c r="A873" s="249">
        <f>KPIs!$M$3</f>
        <v>46508</v>
      </c>
      <c r="B873" s="193" t="str">
        <f>KPIs!M$4</f>
        <v>Compresora</v>
      </c>
      <c r="C873" t="s">
        <v>89</v>
      </c>
      <c r="D873" s="193" t="str">
        <f>KPIs!$A$47</f>
        <v>12 · Cumplimiento de comités y subcomités de seguridad · YTD</v>
      </c>
      <c r="E873" t="s">
        <v>601</v>
      </c>
      <c r="F873" s="193" t="str">
        <f>IF(ISNUMBER(KPIs!M47),KPIs!M47,"")</f>
        <v/>
      </c>
      <c r="G873" s="254">
        <f>IF(ISNUMBER(KPIs!$C$47),KPIs!$C$47,"")</f>
        <v>1</v>
      </c>
      <c r="H873" s="193" t="str">
        <f>IFERROR(INDEX(_TARGETS!$E$2:$E$17,MATCH($C873,_TARGETS!$A$2:$A$17,0))&amp;"","")</f>
        <v>≥</v>
      </c>
      <c r="I873" s="193" t="str">
        <f t="shared" si="72"/>
        <v/>
      </c>
      <c r="J873" s="193" t="str">
        <f t="shared" si="73"/>
        <v>YTD</v>
      </c>
      <c r="K873" s="193">
        <f>SUMIFS(Datos!$D$26:$AL$26,Datos!$D$3:$AL$3,"&gt;="&amp;DATE(YEAR(Datos!M$3),1,1),Datos!$D$3:$AL$3,"&lt;="&amp;Datos!M$3)</f>
        <v>0</v>
      </c>
      <c r="L873" s="193">
        <f>SUMIFS(Datos!$D$27:$AL$27,Datos!$D$3:$AL$3,"&gt;="&amp;DATE(YEAR(Datos!M$3),1,1),Datos!$D$3:$AL$3,"&lt;="&amp;Datos!M$3)</f>
        <v>0</v>
      </c>
      <c r="M873" s="193">
        <f>INDEX(_TARGETS!$J$2:$J$17,MATCH($C873,_TARGETS!$A$2:$A$17,0))</f>
        <v>1</v>
      </c>
      <c r="N873" s="193" t="str">
        <f>INDEX(_TARGETS!$D$2:$D$17,MATCH($C873,_TARGETS!$A$2:$A$17,0))</f>
        <v>% (fracción)</v>
      </c>
      <c r="O873" s="193" t="str">
        <f>IF(NOT(ISNUMBER(F873)),IF(SUMPRODUCT(($C$2:$C$1300=C873)*($J$2:$J$1300="Monthly")*($A$2:$A$1300&lt;=A873)*(YEAR($A$2:$A$1300)=YEAR(A873))*ISNUMBER($K$2:$K$1300)*ISNUMBER($L$2:$L$1300)*($L$2:$L$1300=0)*($K$2:$K$1300&gt;0))&gt;0,"INCOMPLETE","MISSING"),O203)</f>
        <v>MISSING</v>
      </c>
      <c r="P873" s="193" t="str">
        <f>INDEX(_TARGETS!$K$2:$K$17,MATCH($C873,_TARGETS!$A$2:$A$17,0))</f>
        <v>OPS (carga manual en Datos)</v>
      </c>
      <c r="Q873" s="193" t="str">
        <f t="shared" si="74"/>
        <v>202705|CCS|YTD</v>
      </c>
      <c r="R873" s="193" t="str">
        <f>INDEX(_TARGETS!$H$2:$H$17,MATCH($C873,_TARGETS!$A$2:$A$17,0))</f>
        <v>Definida</v>
      </c>
      <c r="S873" s="193" t="str">
        <f t="shared" si="75"/>
        <v/>
      </c>
      <c r="T873" s="193" t="str">
        <f t="shared" si="76"/>
        <v/>
      </c>
    </row>
    <row r="874" spans="1:20" ht="14.25" customHeight="1" x14ac:dyDescent="0.3">
      <c r="A874" s="249">
        <f>KPIs!$M$3</f>
        <v>46508</v>
      </c>
      <c r="B874" s="193" t="str">
        <f>KPIs!M$4</f>
        <v>Compresora</v>
      </c>
      <c r="C874" t="s">
        <v>91</v>
      </c>
      <c r="D874" s="193" t="str">
        <f>KPIs!$A$48</f>
        <v>13 · Días promedio para cerrar hallazgos · YTD</v>
      </c>
      <c r="E874" t="s">
        <v>601</v>
      </c>
      <c r="F874" s="251" t="str">
        <f>IF(ISNUMBER(KPIs!M48),KPIs!M48,"")</f>
        <v/>
      </c>
      <c r="G874" s="193" t="str">
        <f>IF(ISNUMBER(KPIs!$C$48),KPIs!$C$48,"")</f>
        <v/>
      </c>
      <c r="H874" s="193" t="str">
        <f>IFERROR(INDEX(_TARGETS!$E$2:$E$17,MATCH($C874,_TARGETS!$A$2:$A$17,0))&amp;"","")</f>
        <v>≤</v>
      </c>
      <c r="I874" s="193" t="str">
        <f t="shared" si="72"/>
        <v/>
      </c>
      <c r="J874" s="193" t="str">
        <f t="shared" si="73"/>
        <v>YTD</v>
      </c>
      <c r="K874" s="193">
        <f>SUMIFS(Datos!$D$68:$AL$68,Datos!$D$3:$AL$3,"&gt;="&amp;DATE(YEAR(Datos!M$3),1,1),Datos!$D$3:$AL$3,"&lt;="&amp;Datos!M$3)</f>
        <v>0</v>
      </c>
      <c r="L874" s="193">
        <f>SUMIFS(Datos!$D$67:$AL$67,Datos!$D$3:$AL$3,"&gt;="&amp;DATE(YEAR(Datos!M$3),1,1),Datos!$D$3:$AL$3,"&lt;="&amp;Datos!M$3)</f>
        <v>0</v>
      </c>
      <c r="M874" s="193">
        <f>INDEX(_TARGETS!$J$2:$J$17,MATCH($C874,_TARGETS!$A$2:$A$17,0))</f>
        <v>1</v>
      </c>
      <c r="N874" s="193" t="str">
        <f>INDEX(_TARGETS!$D$2:$D$17,MATCH($C874,_TARGETS!$A$2:$A$17,0))</f>
        <v>días</v>
      </c>
      <c r="O874" s="193" t="str">
        <f>IF(NOT(ISNUMBER(F874)),IF(SUMPRODUCT(($C$2:$C$1300=C874)*($J$2:$J$1300="Monthly")*($A$2:$A$1300&lt;=A874)*(YEAR($A$2:$A$1300)=YEAR(A874))*ISNUMBER($K$2:$K$1300)*ISNUMBER($L$2:$L$1300)*($L$2:$L$1300=0)*($K$2:$K$1300&gt;0))&gt;0,"INCOMPLETE","MISSING"),O204)</f>
        <v>MISSING</v>
      </c>
      <c r="P874" s="193" t="str">
        <f>INDEX(_TARGETS!$K$2:$K$17,MATCH($C874,_TARGETS!$A$2:$A$17,0))</f>
        <v>Plant Findings (hoja Observaciones-SMP)</v>
      </c>
      <c r="Q874" s="193" t="str">
        <f t="shared" si="74"/>
        <v>202705|DPAS|YTD</v>
      </c>
      <c r="R874" s="193" t="str">
        <f>INDEX(_TARGETS!$H$2:$H$17,MATCH($C874,_TARGETS!$A$2:$A$17,0))</f>
        <v>Pendiente (meta 2027)</v>
      </c>
      <c r="S874" s="193" t="str">
        <f t="shared" si="75"/>
        <v/>
      </c>
      <c r="T874" s="193" t="str">
        <f t="shared" si="76"/>
        <v/>
      </c>
    </row>
    <row r="875" spans="1:20" ht="14.25" customHeight="1" x14ac:dyDescent="0.3">
      <c r="A875" s="249">
        <f>KPIs!$M$3</f>
        <v>46508</v>
      </c>
      <c r="B875" s="193" t="str">
        <f>KPIs!M$4</f>
        <v>Compresora</v>
      </c>
      <c r="C875" t="s">
        <v>96</v>
      </c>
      <c r="D875" s="193" t="str">
        <f>KPIs!$A$49</f>
        <v>C1 · % de desvíos detectados de gravedad Alta · YTD</v>
      </c>
      <c r="E875" t="s">
        <v>601</v>
      </c>
      <c r="F875" s="193" t="str">
        <f>IF(ISNUMBER(KPIs!M49),KPIs!M49,"")</f>
        <v/>
      </c>
      <c r="G875" s="193" t="str">
        <f>IF(ISNUMBER(KPIs!$C$49),KPIs!$C$49,"")</f>
        <v/>
      </c>
      <c r="H875" s="193" t="str">
        <f>IFERROR(INDEX(_TARGETS!$E$2:$E$17,MATCH($C875,_TARGETS!$A$2:$A$17,0))&amp;"","")</f>
        <v/>
      </c>
      <c r="I875" s="193" t="str">
        <f t="shared" si="72"/>
        <v/>
      </c>
      <c r="J875" s="193" t="str">
        <f t="shared" si="73"/>
        <v>YTD</v>
      </c>
      <c r="K875" s="193">
        <f>SUMIFS(Datos!$D$71:$AL$71,Datos!$D$3:$AL$3,"&gt;="&amp;DATE(YEAR(Datos!M$3),1,1),Datos!$D$3:$AL$3,"&lt;="&amp;Datos!M$3)</f>
        <v>0</v>
      </c>
      <c r="L875" s="193">
        <f>SUMIFS(Datos!$D$71:$AL$71,Datos!$D$3:$AL$3,"&gt;="&amp;DATE(YEAR(Datos!M$3),1,1),Datos!$D$3:$AL$3,"&lt;="&amp;Datos!M$3)+SUMIFS(Datos!$D$72:$AL$72,Datos!$D$3:$AL$3,"&gt;="&amp;DATE(YEAR(Datos!M$3),1,1),Datos!$D$3:$AL$3,"&lt;="&amp;Datos!M$3)+SUMIFS(Datos!$D$73:$AL$73,Datos!$D$3:$AL$3,"&gt;="&amp;DATE(YEAR(Datos!M$3),1,1),Datos!$D$3:$AL$3,"&lt;="&amp;Datos!M$3)</f>
        <v>0</v>
      </c>
      <c r="M875" s="193">
        <f>INDEX(_TARGETS!$J$2:$J$17,MATCH($C875,_TARGETS!$A$2:$A$17,0))</f>
        <v>1</v>
      </c>
      <c r="N875" s="193" t="str">
        <f>INDEX(_TARGETS!$D$2:$D$17,MATCH($C875,_TARGETS!$A$2:$A$17,0))</f>
        <v>% (fracción)</v>
      </c>
      <c r="O875" s="193" t="str">
        <f t="shared" ref="O875:O881" si="79">IF(NOT(ISNUMBER(F875)),IF(SUMPRODUCT(($C$2:$C$1300=C875)*($J$2:$J$1300="Monthly")*($A$2:$A$1300&lt;=A875)*(YEAR($A$2:$A$1300)=YEAR(A875))*ISNUMBER($K$2:$K$1300)*ISNUMBER($L$2:$L$1300)*($L$2:$L$1300=0)*($K$2:$K$1300&gt;0))&gt;0,"INCOMPLETE","MISSING"),O210)</f>
        <v>MISSING</v>
      </c>
      <c r="P875" s="193" t="str">
        <f>INDEX(_TARGETS!$K$2:$K$17,MATCH($C875,_TARGETS!$A$2:$A$17,0))</f>
        <v>Plant Findings (hoja Observaciones-SMP)</v>
      </c>
      <c r="Q875" s="193" t="str">
        <f t="shared" si="74"/>
        <v>202705|HAL_ALTA_PCT|YTD</v>
      </c>
      <c r="R875" s="193" t="str">
        <f>INDEX(_TARGETS!$H$2:$H$17,MATCH($C875,_TARGETS!$A$2:$A$17,0))</f>
        <v>Solo reporte</v>
      </c>
      <c r="S875" s="193" t="str">
        <f t="shared" si="75"/>
        <v/>
      </c>
      <c r="T875" s="193" t="str">
        <f t="shared" si="76"/>
        <v/>
      </c>
    </row>
    <row r="876" spans="1:20" ht="14.25" customHeight="1" x14ac:dyDescent="0.3">
      <c r="A876" s="249">
        <f>KPIs!$M$3</f>
        <v>46508</v>
      </c>
      <c r="B876" s="193" t="str">
        <f>KPIs!M$4</f>
        <v>Compresora</v>
      </c>
      <c r="C876" t="s">
        <v>98</v>
      </c>
      <c r="D876" s="193" t="str">
        <f>KPIs!$A$50</f>
        <v>C2 · Detenciones de tareas aplicadas · YTD</v>
      </c>
      <c r="E876" t="s">
        <v>601</v>
      </c>
      <c r="F876" s="193" t="str">
        <f>IF(ISNUMBER(KPIs!M50),KPIs!M50,"")</f>
        <v/>
      </c>
      <c r="G876" s="193" t="str">
        <f>IF(ISNUMBER(KPIs!$C$50),KPIs!$C$50,"")</f>
        <v/>
      </c>
      <c r="H876" s="193" t="str">
        <f>IFERROR(INDEX(_TARGETS!$E$2:$E$17,MATCH($C876,_TARGETS!$A$2:$A$17,0))&amp;"","")</f>
        <v/>
      </c>
      <c r="I876" s="193" t="str">
        <f t="shared" si="72"/>
        <v/>
      </c>
      <c r="J876" s="193" t="str">
        <f t="shared" si="73"/>
        <v>YTD</v>
      </c>
      <c r="K876" s="193">
        <f>SUMIFS(Datos!$D$75:$AL$75,Datos!$D$3:$AL$3,"&gt;="&amp;DATE(YEAR(Datos!M$3),1,1),Datos!$D$3:$AL$3,"&lt;="&amp;Datos!M$3)</f>
        <v>0</v>
      </c>
      <c r="M876" s="193">
        <f>INDEX(_TARGETS!$J$2:$J$17,MATCH($C876,_TARGETS!$A$2:$A$17,0))</f>
        <v>1</v>
      </c>
      <c r="N876" s="193" t="str">
        <f>INDEX(_TARGETS!$D$2:$D$17,MATCH($C876,_TARGETS!$A$2:$A$17,0))</f>
        <v>u</v>
      </c>
      <c r="O876" s="193" t="str">
        <f t="shared" si="79"/>
        <v>MISSING</v>
      </c>
      <c r="P876" s="193" t="str">
        <f>INDEX(_TARGETS!$K$2:$K$17,MATCH($C876,_TARGETS!$A$2:$A$17,0))</f>
        <v>Plant Findings (hoja Observaciones-SMP)</v>
      </c>
      <c r="Q876" s="193" t="str">
        <f t="shared" si="74"/>
        <v>202705|DET|YTD</v>
      </c>
      <c r="R876" s="193" t="str">
        <f>INDEX(_TARGETS!$H$2:$H$17,MATCH($C876,_TARGETS!$A$2:$A$17,0))</f>
        <v>Solo reporte</v>
      </c>
      <c r="S876" s="193">
        <f t="shared" si="75"/>
        <v>0</v>
      </c>
      <c r="T876" s="193" t="str">
        <f t="shared" si="76"/>
        <v/>
      </c>
    </row>
    <row r="877" spans="1:20" ht="14.25" customHeight="1" x14ac:dyDescent="0.3">
      <c r="A877" s="249">
        <f>KPIs!$N$3</f>
        <v>46539</v>
      </c>
      <c r="B877" s="193" t="str">
        <f>KPIs!N$4</f>
        <v>Compresora</v>
      </c>
      <c r="C877" t="s">
        <v>39</v>
      </c>
      <c r="D877" s="193" t="str">
        <f>KPIs!$A$37</f>
        <v>1 · Frecuencia de casos con días perdidos · YTD</v>
      </c>
      <c r="E877" t="s">
        <v>601</v>
      </c>
      <c r="F877" s="193" t="str">
        <f>IF(ISNUMBER(KPIs!N37),KPIs!N37,"")</f>
        <v/>
      </c>
      <c r="G877" s="250">
        <f>IF(ISNUMBER(KPIs!$C$37),KPIs!$C$37,"")</f>
        <v>0</v>
      </c>
      <c r="H877" s="193" t="str">
        <f>IFERROR(INDEX(_TARGETS!$E$2:$E$17,MATCH($C877,_TARGETS!$A$2:$A$17,0))&amp;"","")</f>
        <v>≤</v>
      </c>
      <c r="I877" s="193" t="str">
        <f t="shared" si="72"/>
        <v/>
      </c>
      <c r="J877" s="193" t="str">
        <f t="shared" si="73"/>
        <v>YTD</v>
      </c>
      <c r="K877" s="193">
        <f>SUMIFS(Datos!$D$33:$AL$33,Datos!$D$3:$AL$3,"&gt;="&amp;DATE(YEAR(Datos!N$3),1,1),Datos!$D$3:$AL$3,"&lt;="&amp;Datos!N$3)</f>
        <v>0</v>
      </c>
      <c r="L877" s="193">
        <f>SUMIFS(Datos!$D$14:$AL$14,Datos!$D$3:$AL$3,"&gt;="&amp;DATE(YEAR(Datos!N$3),1,1),Datos!$D$3:$AL$3,"&lt;="&amp;Datos!N$3)</f>
        <v>0</v>
      </c>
      <c r="M877" s="193">
        <f>INDEX(_TARGETS!$J$2:$J$17,MATCH($C877,_TARGETS!$A$2:$A$17,0))</f>
        <v>1000000</v>
      </c>
      <c r="N877" s="193" t="str">
        <f>INDEX(_TARGETS!$D$2:$D$17,MATCH($C877,_TARGETS!$A$2:$A$17,0))</f>
        <v>casos / 10^6 HH</v>
      </c>
      <c r="O877" s="193" t="str">
        <f t="shared" si="79"/>
        <v>MISSING</v>
      </c>
      <c r="P877" s="193" t="str">
        <f>INDEX(_TARGETS!$K$2:$K$17,MATCH($C877,_TARGETS!$A$2:$A$17,0))</f>
        <v>OPS (carga manual en Datos)</v>
      </c>
      <c r="Q877" s="193" t="str">
        <f t="shared" si="74"/>
        <v>202706|DAFWCF|YTD</v>
      </c>
      <c r="R877" s="193" t="str">
        <f>INDEX(_TARGETS!$H$2:$H$17,MATCH($C877,_TARGETS!$A$2:$A$17,0))</f>
        <v>Definida</v>
      </c>
      <c r="S877" s="193" t="str">
        <f t="shared" si="75"/>
        <v/>
      </c>
      <c r="T877" s="193" t="str">
        <f t="shared" si="76"/>
        <v/>
      </c>
    </row>
    <row r="878" spans="1:20" ht="14.25" customHeight="1" x14ac:dyDescent="0.3">
      <c r="A878" s="249">
        <f>KPIs!$N$3</f>
        <v>46539</v>
      </c>
      <c r="B878" s="193" t="str">
        <f>KPIs!N$4</f>
        <v>Compresora</v>
      </c>
      <c r="C878" t="s">
        <v>49</v>
      </c>
      <c r="D878" s="193" t="str">
        <f>KPIs!$A$38</f>
        <v>2 · Frecuencia de casos registrables · YTD</v>
      </c>
      <c r="E878" t="s">
        <v>601</v>
      </c>
      <c r="F878" s="193" t="str">
        <f>IF(ISNUMBER(KPIs!N38),KPIs!N38,"")</f>
        <v/>
      </c>
      <c r="G878" s="250">
        <f>IF(ISNUMBER(KPIs!$C$38),KPIs!$C$38,"")</f>
        <v>2.35</v>
      </c>
      <c r="H878" s="193" t="str">
        <f>IFERROR(INDEX(_TARGETS!$E$2:$E$17,MATCH($C878,_TARGETS!$A$2:$A$17,0))&amp;"","")</f>
        <v>≤</v>
      </c>
      <c r="I878" s="193" t="str">
        <f t="shared" si="72"/>
        <v/>
      </c>
      <c r="J878" s="193" t="str">
        <f t="shared" si="73"/>
        <v>YTD</v>
      </c>
      <c r="K878" s="193">
        <f>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f>
        <v>0</v>
      </c>
      <c r="L878" s="193">
        <f>SUMIFS(Datos!$D$14:$AL$14,Datos!$D$3:$AL$3,"&gt;="&amp;DATE(YEAR(Datos!N$3),1,1),Datos!$D$3:$AL$3,"&lt;="&amp;Datos!N$3)</f>
        <v>0</v>
      </c>
      <c r="M878" s="193">
        <f>INDEX(_TARGETS!$J$2:$J$17,MATCH($C878,_TARGETS!$A$2:$A$17,0))</f>
        <v>1000000</v>
      </c>
      <c r="N878" s="193" t="str">
        <f>INDEX(_TARGETS!$D$2:$D$17,MATCH($C878,_TARGETS!$A$2:$A$17,0))</f>
        <v>casos / 10^6 HH</v>
      </c>
      <c r="O878" s="193" t="str">
        <f t="shared" si="79"/>
        <v>MISSING</v>
      </c>
      <c r="P878" s="193" t="str">
        <f>INDEX(_TARGETS!$K$2:$K$17,MATCH($C878,_TARGETS!$A$2:$A$17,0))</f>
        <v>OPS (carga manual en Datos)</v>
      </c>
      <c r="Q878" s="193" t="str">
        <f t="shared" si="74"/>
        <v>202706|TRICF|YTD</v>
      </c>
      <c r="R878" s="193" t="str">
        <f>INDEX(_TARGETS!$H$2:$H$17,MATCH($C878,_TARGETS!$A$2:$A$17,0))</f>
        <v>Definida</v>
      </c>
      <c r="S878" s="193" t="str">
        <f t="shared" si="75"/>
        <v/>
      </c>
      <c r="T878" s="193" t="str">
        <f t="shared" si="76"/>
        <v/>
      </c>
    </row>
    <row r="879" spans="1:20" ht="14.25" customHeight="1" x14ac:dyDescent="0.3">
      <c r="A879" s="249">
        <f>KPIs!$N$3</f>
        <v>46539</v>
      </c>
      <c r="B879" s="193" t="str">
        <f>KPIs!N$4</f>
        <v>Compresora</v>
      </c>
      <c r="C879" t="s">
        <v>51</v>
      </c>
      <c r="D879" s="193" t="str">
        <f>KPIs!$A$39</f>
        <v>3 · Casos de primeros auxilios · YTD</v>
      </c>
      <c r="E879" t="s">
        <v>601</v>
      </c>
      <c r="F879" s="193" t="str">
        <f>IF(ISNUMBER(KPIs!N39),KPIs!N39,"")</f>
        <v/>
      </c>
      <c r="G879" s="193" t="str">
        <f>IF(ISNUMBER(KPIs!$C$39),KPIs!$C$39,"")</f>
        <v/>
      </c>
      <c r="H879" s="193" t="str">
        <f>IFERROR(INDEX(_TARGETS!$E$2:$E$17,MATCH($C879,_TARGETS!$A$2:$A$17,0))&amp;"","")</f>
        <v/>
      </c>
      <c r="I879" s="193" t="str">
        <f t="shared" si="72"/>
        <v/>
      </c>
      <c r="J879" s="193" t="str">
        <f t="shared" si="73"/>
        <v>YTD</v>
      </c>
      <c r="K879" s="193">
        <f>SUMIFS(Datos!$D$37:$AL$37,Datos!$D$3:$AL$3,"&gt;="&amp;DATE(YEAR(Datos!N$3),1,1),Datos!$D$3:$AL$3,"&lt;="&amp;Datos!N$3)</f>
        <v>0</v>
      </c>
      <c r="M879" s="193">
        <f>INDEX(_TARGETS!$J$2:$J$17,MATCH($C879,_TARGETS!$A$2:$A$17,0))</f>
        <v>1</v>
      </c>
      <c r="N879" s="193" t="str">
        <f>INDEX(_TARGETS!$D$2:$D$17,MATCH($C879,_TARGETS!$A$2:$A$17,0))</f>
        <v>casos</v>
      </c>
      <c r="O879" s="193" t="str">
        <f t="shared" si="79"/>
        <v>MISSING</v>
      </c>
      <c r="P879" s="193" t="str">
        <f>INDEX(_TARGETS!$K$2:$K$17,MATCH($C879,_TARGETS!$A$2:$A$17,0))</f>
        <v>OPS (carga manual en Datos)</v>
      </c>
      <c r="Q879" s="193" t="str">
        <f t="shared" si="74"/>
        <v>202706|FAC|YTD</v>
      </c>
      <c r="R879" s="193" t="str">
        <f>INDEX(_TARGETS!$H$2:$H$17,MATCH($C879,_TARGETS!$A$2:$A$17,0))</f>
        <v>Solo reporte</v>
      </c>
      <c r="S879" s="193">
        <f t="shared" si="75"/>
        <v>0</v>
      </c>
      <c r="T879" s="193" t="str">
        <f t="shared" si="76"/>
        <v/>
      </c>
    </row>
    <row r="880" spans="1:20" ht="14.25" customHeight="1" x14ac:dyDescent="0.3">
      <c r="A880" s="249">
        <f>KPIs!$N$3</f>
        <v>46539</v>
      </c>
      <c r="B880" s="193" t="str">
        <f>KPIs!N$4</f>
        <v>Compresora</v>
      </c>
      <c r="C880" t="s">
        <v>57</v>
      </c>
      <c r="D880" s="193" t="str">
        <f>KPIs!$A$40</f>
        <v>4 · Accidentes vehiculares severos por millón de km · YTD</v>
      </c>
      <c r="E880" t="s">
        <v>601</v>
      </c>
      <c r="F880" s="193" t="str">
        <f>IF(ISNUMBER(KPIs!N40),KPIs!N40,"")</f>
        <v/>
      </c>
      <c r="G880" s="193" t="str">
        <f>IF(ISNUMBER(KPIs!$C$40),KPIs!$C$40,"")</f>
        <v/>
      </c>
      <c r="H880" s="193" t="str">
        <f>IFERROR(INDEX(_TARGETS!$E$2:$E$17,MATCH($C880,_TARGETS!$A$2:$A$17,0))&amp;"","")</f>
        <v/>
      </c>
      <c r="I880" s="193" t="str">
        <f t="shared" si="72"/>
        <v/>
      </c>
      <c r="J880" s="193" t="str">
        <f t="shared" si="73"/>
        <v>YTD</v>
      </c>
      <c r="K880" s="193">
        <f>SUMIFS(Datos!$D$39:$AL$39,Datos!$D$3:$AL$3,"&gt;="&amp;DATE(YEAR(Datos!N$3),1,1),Datos!$D$3:$AL$3,"&lt;="&amp;Datos!N$3)+SUMIFS(Datos!$D$40:$AL$40,Datos!$D$3:$AL$3,"&gt;="&amp;DATE(YEAR(Datos!N$3),1,1),Datos!$D$3:$AL$3,"&lt;="&amp;Datos!N$3)+SUMIFS(Datos!$D$41:$AL$41,Datos!$D$3:$AL$3,"&gt;="&amp;DATE(YEAR(Datos!N$3),1,1),Datos!$D$3:$AL$3,"&lt;="&amp;Datos!N$3)</f>
        <v>0</v>
      </c>
      <c r="L880" s="193">
        <f>SUMIFS(Datos!$D$47:$AL$47,Datos!$D$3:$AL$3,"&gt;="&amp;DATE(YEAR(Datos!N$3),1,1),Datos!$D$3:$AL$3,"&lt;="&amp;Datos!N$3)</f>
        <v>0</v>
      </c>
      <c r="M880" s="193">
        <f>INDEX(_TARGETS!$J$2:$J$17,MATCH($C880,_TARGETS!$A$2:$A$17,0))</f>
        <v>1000000</v>
      </c>
      <c r="N880" s="193" t="str">
        <f>INDEX(_TARGETS!$D$2:$D$17,MATCH($C880,_TARGETS!$A$2:$A$17,0))</f>
        <v>eventos / 10^6 km</v>
      </c>
      <c r="O880" s="193" t="str">
        <f t="shared" si="79"/>
        <v>MISSING</v>
      </c>
      <c r="P880" s="193" t="str">
        <f>INDEX(_TARGETS!$K$2:$K$17,MATCH($C880,_TARGETS!$A$2:$A$17,0))</f>
        <v>OPS (eventos) + Full Control GPS (km) - carga manual en Datos</v>
      </c>
      <c r="Q880" s="193" t="str">
        <f t="shared" si="74"/>
        <v>202706|SVCR|YTD</v>
      </c>
      <c r="R880" s="193" t="str">
        <f>INDEX(_TARGETS!$H$2:$H$17,MATCH($C880,_TARGETS!$A$2:$A$17,0))</f>
        <v>Solo reporte</v>
      </c>
      <c r="S880" s="193" t="str">
        <f t="shared" si="75"/>
        <v/>
      </c>
      <c r="T880" s="193" t="str">
        <f t="shared" si="76"/>
        <v/>
      </c>
    </row>
    <row r="881" spans="1:20" ht="14.25" customHeight="1" x14ac:dyDescent="0.3">
      <c r="A881" s="249">
        <f>KPIs!$N$3</f>
        <v>46539</v>
      </c>
      <c r="B881" s="193" t="str">
        <f>KPIs!N$4</f>
        <v>Compresora</v>
      </c>
      <c r="C881" t="s">
        <v>61</v>
      </c>
      <c r="D881" s="193" t="str">
        <f>KPIs!$A$41</f>
        <v>5 · Accidentes vehiculares totales por millón de km · YTD</v>
      </c>
      <c r="E881" t="s">
        <v>601</v>
      </c>
      <c r="F881" s="193" t="str">
        <f>IF(ISNUMBER(KPIs!N41),KPIs!N41,"")</f>
        <v/>
      </c>
      <c r="G881" s="250">
        <f>IF(ISNUMBER(KPIs!$C$41),KPIs!$C$41,"")</f>
        <v>0.79</v>
      </c>
      <c r="H881" s="193" t="str">
        <f>IFERROR(INDEX(_TARGETS!$E$2:$E$17,MATCH($C881,_TARGETS!$A$2:$A$17,0))&amp;"","")</f>
        <v>≤</v>
      </c>
      <c r="I881" s="193" t="str">
        <f t="shared" si="72"/>
        <v/>
      </c>
      <c r="J881" s="193" t="str">
        <f t="shared" si="73"/>
        <v>YTD</v>
      </c>
      <c r="K881" s="193">
        <f>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f>
        <v>0</v>
      </c>
      <c r="L881" s="193">
        <f>SUMIFS(Datos!$D$47:$AL$47,Datos!$D$3:$AL$3,"&gt;="&amp;DATE(YEAR(Datos!N$3),1,1),Datos!$D$3:$AL$3,"&lt;="&amp;Datos!N$3)</f>
        <v>0</v>
      </c>
      <c r="M881" s="193">
        <f>INDEX(_TARGETS!$J$2:$J$17,MATCH($C881,_TARGETS!$A$2:$A$17,0))</f>
        <v>1000000</v>
      </c>
      <c r="N881" s="193" t="str">
        <f>INDEX(_TARGETS!$D$2:$D$17,MATCH($C881,_TARGETS!$A$2:$A$17,0))</f>
        <v>eventos / 10^6 km</v>
      </c>
      <c r="O881" s="193" t="str">
        <f t="shared" si="79"/>
        <v>MISSING</v>
      </c>
      <c r="P881" s="193" t="str">
        <f>INDEX(_TARGETS!$K$2:$K$17,MATCH($C881,_TARGETS!$A$2:$A$17,0))</f>
        <v>OPS (eventos) + Full Control GPS (km) - carga manual en Datos</v>
      </c>
      <c r="Q881" s="193" t="str">
        <f t="shared" si="74"/>
        <v>202706|TVCR|YTD</v>
      </c>
      <c r="R881" s="193" t="str">
        <f>INDEX(_TARGETS!$H$2:$H$17,MATCH($C881,_TARGETS!$A$2:$A$17,0))</f>
        <v>Definida</v>
      </c>
      <c r="S881" s="193" t="str">
        <f t="shared" si="75"/>
        <v/>
      </c>
      <c r="T881" s="193" t="str">
        <f t="shared" si="76"/>
        <v/>
      </c>
    </row>
    <row r="882" spans="1:20" ht="14.25" customHeight="1" x14ac:dyDescent="0.3">
      <c r="A882" s="249">
        <f>KPIs!$N$3</f>
        <v>46539</v>
      </c>
      <c r="B882" s="193" t="str">
        <f>KPIs!N$4</f>
        <v>Compresora</v>
      </c>
      <c r="C882" t="s">
        <v>71</v>
      </c>
      <c r="D882" s="193" t="str">
        <f>KPIs!$A$42</f>
        <v>7 · Investigaciones de accidentes: días promedio de cierre · YTD</v>
      </c>
      <c r="E882" t="s">
        <v>601</v>
      </c>
      <c r="F882" s="193" t="str">
        <f>IF(ISNUMBER(KPIs!N42),KPIs!N42,"")</f>
        <v/>
      </c>
      <c r="G882" s="251">
        <f>IF(ISNUMBER(KPIs!$C$42),KPIs!$C$42,"")</f>
        <v>20</v>
      </c>
      <c r="H882" s="193" t="str">
        <f>IFERROR(INDEX(_TARGETS!$E$2:$E$17,MATCH($C882,_TARGETS!$A$2:$A$17,0))&amp;"","")</f>
        <v>≤</v>
      </c>
      <c r="I882" s="193" t="str">
        <f t="shared" si="72"/>
        <v/>
      </c>
      <c r="J882" s="193" t="str">
        <f t="shared" si="73"/>
        <v>YTD</v>
      </c>
      <c r="K882" s="193">
        <f>SUMIFS(Datos!$D$31:$AL$31,Datos!$D$3:$AL$3,"&gt;="&amp;DATE(YEAR(Datos!N$3),1,1),Datos!$D$3:$AL$3,"&lt;="&amp;Datos!N$3)</f>
        <v>0</v>
      </c>
      <c r="L882" s="193">
        <f>SUMIFS(Datos!$D$30:$AL$30,Datos!$D$3:$AL$3,"&gt;="&amp;DATE(YEAR(Datos!N$3),1,1),Datos!$D$3:$AL$3,"&lt;="&amp;Datos!N$3)</f>
        <v>0</v>
      </c>
      <c r="M882" s="193">
        <f>INDEX(_TARGETS!$J$2:$J$17,MATCH($C882,_TARGETS!$A$2:$A$17,0))</f>
        <v>1</v>
      </c>
      <c r="N882" s="193" t="str">
        <f>INDEX(_TARGETS!$D$2:$D$17,MATCH($C882,_TARGETS!$A$2:$A$17,0))</f>
        <v>días</v>
      </c>
      <c r="O882" s="193" t="str">
        <f>IF(NOT(ISNUMBER(F882)),IF(SUMPRODUCT(($C$2:$C$1300=C882)*($J$2:$J$1300="Monthly")*($A$2:$A$1300&lt;=A882)*(YEAR($A$2:$A$1300)=YEAR(A882))*ISNUMBER($K$2:$K$1300)*ISNUMBER($L$2:$L$1300)*($L$2:$L$1300=0)*($K$2:$K$1300&gt;0))&gt;0,"INCOMPLETE","MISSING"),O218)</f>
        <v>MISSING</v>
      </c>
      <c r="P882" s="193" t="str">
        <f>INDEX(_TARGETS!$K$2:$K$17,MATCH($C882,_TARGETS!$A$2:$A$17,0))</f>
        <v>OPS (carga manual en Datos)</v>
      </c>
      <c r="Q882" s="193" t="str">
        <f t="shared" si="74"/>
        <v>202706|INV|YTD</v>
      </c>
      <c r="R882" s="193" t="str">
        <f>INDEX(_TARGETS!$H$2:$H$17,MATCH($C882,_TARGETS!$A$2:$A$17,0))</f>
        <v>Definida</v>
      </c>
      <c r="S882" s="193" t="str">
        <f t="shared" si="75"/>
        <v/>
      </c>
      <c r="T882" s="193" t="str">
        <f t="shared" si="76"/>
        <v/>
      </c>
    </row>
    <row r="883" spans="1:20" ht="14.25" customHeight="1" x14ac:dyDescent="0.3">
      <c r="A883" s="249">
        <f>KPIs!$N$3</f>
        <v>46539</v>
      </c>
      <c r="B883" s="193" t="str">
        <f>KPIs!N$4</f>
        <v>Compresora</v>
      </c>
      <c r="C883" t="s">
        <v>76</v>
      </c>
      <c r="D883" s="193" t="str">
        <f>KPIs!$A$43</f>
        <v>8 · % de capacitación en seguridad · YTD</v>
      </c>
      <c r="E883" t="s">
        <v>601</v>
      </c>
      <c r="F883" s="193" t="str">
        <f>IF(ISNUMBER(KPIs!N43),KPIs!N43,"")</f>
        <v/>
      </c>
      <c r="G883" s="252">
        <f>IF(ISNUMBER(KPIs!$C$43),KPIs!$C$43,"")</f>
        <v>0.01</v>
      </c>
      <c r="H883" s="193" t="str">
        <f>IFERROR(INDEX(_TARGETS!$E$2:$E$17,MATCH($C883,_TARGETS!$A$2:$A$17,0))&amp;"","")</f>
        <v>≥</v>
      </c>
      <c r="I883" s="193" t="str">
        <f t="shared" si="72"/>
        <v/>
      </c>
      <c r="J883" s="193" t="str">
        <f t="shared" si="73"/>
        <v>YTD</v>
      </c>
      <c r="K883" s="193">
        <f>SUMIFS(Datos!$D$18:$AL$18,Datos!$D$3:$AL$3,"&gt;="&amp;DATE(YEAR(Datos!N$3),1,1),Datos!$D$3:$AL$3,"&lt;="&amp;Datos!N$3)</f>
        <v>0</v>
      </c>
      <c r="L883" s="193">
        <f>SUMIFS(Datos!$D$14:$AL$14,Datos!$D$3:$AL$3,"&gt;="&amp;DATE(YEAR(Datos!N$3),1,1),Datos!$D$3:$AL$3,"&lt;="&amp;Datos!N$3)</f>
        <v>0</v>
      </c>
      <c r="M883" s="193">
        <f>INDEX(_TARGETS!$J$2:$J$17,MATCH($C883,_TARGETS!$A$2:$A$17,0))</f>
        <v>1</v>
      </c>
      <c r="N883" s="193" t="str">
        <f>INDEX(_TARGETS!$D$2:$D$17,MATCH($C883,_TARGETS!$A$2:$A$17,0))</f>
        <v>% (fracción)</v>
      </c>
      <c r="O883" s="193" t="str">
        <f>IF(NOT(ISNUMBER(F883)),IF(SUMPRODUCT(($C$2:$C$1300=C883)*($J$2:$J$1300="Monthly")*($A$2:$A$1300&lt;=A883)*(YEAR($A$2:$A$1300)=YEAR(A883))*ISNUMBER($K$2:$K$1300)*ISNUMBER($L$2:$L$1300)*($L$2:$L$1300=0)*($K$2:$K$1300&gt;0))&gt;0,"INCOMPLETE","MISSING"),O219)</f>
        <v>MISSING</v>
      </c>
      <c r="P883" s="193" t="str">
        <f>INDEX(_TARGETS!$K$2:$K$17,MATCH($C883,_TARGETS!$A$2:$A$17,0))</f>
        <v>OPS (carga manual en Datos)</v>
      </c>
      <c r="Q883" s="193" t="str">
        <f t="shared" si="74"/>
        <v>202706|HCS|YTD</v>
      </c>
      <c r="R883" s="193" t="str">
        <f>INDEX(_TARGETS!$H$2:$H$17,MATCH($C883,_TARGETS!$A$2:$A$17,0))</f>
        <v>Definida</v>
      </c>
      <c r="S883" s="193" t="str">
        <f t="shared" si="75"/>
        <v/>
      </c>
      <c r="T883" s="193" t="str">
        <f t="shared" si="76"/>
        <v/>
      </c>
    </row>
    <row r="884" spans="1:20" ht="14.25" customHeight="1" x14ac:dyDescent="0.3">
      <c r="A884" s="249">
        <f>KPIs!$N$3</f>
        <v>46539</v>
      </c>
      <c r="B884" s="193" t="str">
        <f>KPIs!N$4</f>
        <v>Compresora</v>
      </c>
      <c r="C884" t="s">
        <v>83</v>
      </c>
      <c r="D884" s="193" t="str">
        <f>KPIs!$A$44</f>
        <v>10 · Cumplimiento de simulacros (emergencia y operativos) · YTD</v>
      </c>
      <c r="E884" t="s">
        <v>601</v>
      </c>
      <c r="F884" s="193" t="str">
        <f>IF(ISNUMBER(KPIs!N44),KPIs!N44,"")</f>
        <v/>
      </c>
      <c r="G884" s="253">
        <f>IF(ISNUMBER(KPIs!$C$44),KPIs!$C$44,"")</f>
        <v>1</v>
      </c>
      <c r="H884" s="193" t="str">
        <f>IFERROR(INDEX(_TARGETS!$E$2:$E$17,MATCH($C884,_TARGETS!$A$2:$A$17,0))&amp;"","")</f>
        <v>≥</v>
      </c>
      <c r="I884" s="193" t="str">
        <f t="shared" si="72"/>
        <v/>
      </c>
      <c r="J884" s="193" t="str">
        <f t="shared" si="73"/>
        <v>YTD</v>
      </c>
      <c r="K884" s="193">
        <f>SUMIFS(Datos!$D$20:$AL$20,Datos!$D$3:$AL$3,"&gt;="&amp;DATE(YEAR(Datos!N$3),1,1),Datos!$D$3:$AL$3,"&lt;="&amp;Datos!N$3)</f>
        <v>0</v>
      </c>
      <c r="L884" s="193">
        <f>SUMIFS(Datos!$D$21:$AL$21,Datos!$D$3:$AL$3,"&gt;="&amp;DATE(YEAR(Datos!N$3),1,1),Datos!$D$3:$AL$3,"&lt;="&amp;Datos!N$3)</f>
        <v>0</v>
      </c>
      <c r="M884" s="193">
        <f>INDEX(_TARGETS!$J$2:$J$17,MATCH($C884,_TARGETS!$A$2:$A$17,0))</f>
        <v>1</v>
      </c>
      <c r="N884" s="193" t="str">
        <f>INDEX(_TARGETS!$D$2:$D$17,MATCH($C884,_TARGETS!$A$2:$A$17,0))</f>
        <v>% (fracción)</v>
      </c>
      <c r="O884" s="193" t="str">
        <f>IF(NOT(ISNUMBER(F884)),IF(SUMPRODUCT(($C$2:$C$1300=C884)*($J$2:$J$1300="Monthly")*($A$2:$A$1300&lt;=A884)*(YEAR($A$2:$A$1300)=YEAR(A884))*ISNUMBER($K$2:$K$1300)*ISNUMBER($L$2:$L$1300)*($L$2:$L$1300=0)*($K$2:$K$1300&gt;0))&gt;0,"INCOMPLETE","MISSING"),O221)</f>
        <v>MISSING</v>
      </c>
      <c r="P884" s="193" t="str">
        <f>INDEX(_TARGETS!$K$2:$K$17,MATCH($C884,_TARGETS!$A$2:$A$17,0))</f>
        <v>OPS (carga manual en Datos)</v>
      </c>
      <c r="Q884" s="193" t="str">
        <f t="shared" si="74"/>
        <v>202706|CPSE|YTD</v>
      </c>
      <c r="R884" s="193" t="str">
        <f>INDEX(_TARGETS!$H$2:$H$17,MATCH($C884,_TARGETS!$A$2:$A$17,0))</f>
        <v>Definida</v>
      </c>
      <c r="S884" s="193" t="str">
        <f t="shared" si="75"/>
        <v/>
      </c>
      <c r="T884" s="193" t="str">
        <f t="shared" si="76"/>
        <v/>
      </c>
    </row>
    <row r="885" spans="1:20" ht="14.25" customHeight="1" x14ac:dyDescent="0.3">
      <c r="A885" s="249">
        <f>KPIs!$N$3</f>
        <v>46539</v>
      </c>
      <c r="B885" s="193" t="str">
        <f>KPIs!N$4</f>
        <v>Compresora</v>
      </c>
      <c r="C885" t="s">
        <v>85</v>
      </c>
      <c r="D885" s="193" t="str">
        <f>KPIs!$A$45</f>
        <v>10b · Cumplimiento de acciones de mejora de simulacros · YTD</v>
      </c>
      <c r="E885" t="s">
        <v>601</v>
      </c>
      <c r="F885" s="193" t="str">
        <f>IF(ISNUMBER(KPIs!N45),KPIs!N45,"")</f>
        <v/>
      </c>
      <c r="G885" s="254" t="str">
        <f>IF(ISNUMBER(KPIs!$C$45),KPIs!$C$45,"")</f>
        <v/>
      </c>
      <c r="H885" s="193" t="str">
        <f>IFERROR(INDEX(_TARGETS!$E$2:$E$17,MATCH($C885,_TARGETS!$A$2:$A$17,0))&amp;"","")</f>
        <v/>
      </c>
      <c r="I885" s="193" t="str">
        <f t="shared" si="72"/>
        <v/>
      </c>
      <c r="J885" s="193" t="str">
        <f t="shared" si="73"/>
        <v>YTD</v>
      </c>
      <c r="K885" s="193">
        <f>SUMIFS(Datos!$D$23:$AL$23,Datos!$D$3:$AL$3,"&gt;="&amp;DATE(YEAR(Datos!N$3),1,1),Datos!$D$3:$AL$3,"&lt;="&amp;Datos!N$3)</f>
        <v>0</v>
      </c>
      <c r="L885" s="193">
        <f>SUMIFS(Datos!$D$22:$AL$22,Datos!$D$3:$AL$3,"&gt;="&amp;DATE(YEAR(Datos!N$3),1,1),Datos!$D$3:$AL$3,"&lt;="&amp;Datos!N$3)</f>
        <v>0</v>
      </c>
      <c r="M885" s="193">
        <f>INDEX(_TARGETS!$J$2:$J$17,MATCH($C885,_TARGETS!$A$2:$A$17,0))</f>
        <v>1</v>
      </c>
      <c r="N885" s="193" t="str">
        <f>INDEX(_TARGETS!$D$2:$D$17,MATCH($C885,_TARGETS!$A$2:$A$17,0))</f>
        <v>% (fracción)</v>
      </c>
      <c r="O885" s="193" t="str">
        <f>IF(NOT(ISNUMBER(F885)),IF(SUMPRODUCT(($C$2:$C$1300=C885)*($J$2:$J$1300="Monthly")*($A$2:$A$1300&lt;=A885)*(YEAR($A$2:$A$1300)=YEAR(A885))*ISNUMBER($K$2:$K$1300)*ISNUMBER($L$2:$L$1300)*($L$2:$L$1300=0)*($K$2:$K$1300&gt;0))&gt;0,"INCOMPLETE","MISSING"),O222)</f>
        <v>MISSING</v>
      </c>
      <c r="P885" s="193" t="str">
        <f>INDEX(_TARGETS!$K$2:$K$17,MATCH($C885,_TARGETS!$A$2:$A$17,0))</f>
        <v>OPS (carga manual en Datos)</v>
      </c>
      <c r="Q885" s="193" t="str">
        <f t="shared" si="74"/>
        <v>202706|CAMS|YTD</v>
      </c>
      <c r="R885" s="193" t="str">
        <f>INDEX(_TARGETS!$H$2:$H$17,MATCH($C885,_TARGETS!$A$2:$A$17,0))</f>
        <v>Solo reporte</v>
      </c>
      <c r="S885" s="193" t="str">
        <f t="shared" si="75"/>
        <v/>
      </c>
      <c r="T885" s="193" t="str">
        <f t="shared" si="76"/>
        <v/>
      </c>
    </row>
    <row r="886" spans="1:20" ht="14.25" customHeight="1" x14ac:dyDescent="0.3">
      <c r="A886" s="249">
        <f>KPIs!$N$3</f>
        <v>46539</v>
      </c>
      <c r="B886" s="193" t="str">
        <f>KPIs!N$4</f>
        <v>Compresora</v>
      </c>
      <c r="C886" t="s">
        <v>87</v>
      </c>
      <c r="D886" s="193" t="str">
        <f>KPIs!$A$46</f>
        <v>11 · Cumplimiento de caminatas gerenciales · YTD</v>
      </c>
      <c r="E886" t="s">
        <v>601</v>
      </c>
      <c r="F886" s="193" t="str">
        <f>IF(ISNUMBER(KPIs!N46),KPIs!N46,"")</f>
        <v/>
      </c>
      <c r="G886" s="254">
        <f>IF(ISNUMBER(KPIs!$C$46),KPIs!$C$46,"")</f>
        <v>1</v>
      </c>
      <c r="H886" s="193" t="str">
        <f>IFERROR(INDEX(_TARGETS!$E$2:$E$17,MATCH($C886,_TARGETS!$A$2:$A$17,0))&amp;"","")</f>
        <v>≥</v>
      </c>
      <c r="I886" s="193" t="str">
        <f t="shared" si="72"/>
        <v/>
      </c>
      <c r="J886" s="193" t="str">
        <f t="shared" si="73"/>
        <v>YTD</v>
      </c>
      <c r="K886" s="193">
        <f>SUMIFS(Datos!$D$24:$AL$24,Datos!$D$3:$AL$3,"&gt;="&amp;DATE(YEAR(Datos!N$3),1,1),Datos!$D$3:$AL$3,"&lt;="&amp;Datos!N$3)</f>
        <v>0</v>
      </c>
      <c r="L886" s="193">
        <f>SUMIFS(Datos!$D$25:$AL$25,Datos!$D$3:$AL$3,"&gt;="&amp;DATE(YEAR(Datos!N$3),1,1),Datos!$D$3:$AL$3,"&lt;="&amp;Datos!N$3)</f>
        <v>0</v>
      </c>
      <c r="M886" s="193">
        <f>INDEX(_TARGETS!$J$2:$J$17,MATCH($C886,_TARGETS!$A$2:$A$17,0))</f>
        <v>1</v>
      </c>
      <c r="N886" s="193" t="str">
        <f>INDEX(_TARGETS!$D$2:$D$17,MATCH($C886,_TARGETS!$A$2:$A$17,0))</f>
        <v>% (fracción)</v>
      </c>
      <c r="O886" s="193" t="str">
        <f>IF(NOT(ISNUMBER(F886)),IF(SUMPRODUCT(($C$2:$C$1300=C886)*($J$2:$J$1300="Monthly")*($A$2:$A$1300&lt;=A886)*(YEAR($A$2:$A$1300)=YEAR(A886))*ISNUMBER($K$2:$K$1300)*ISNUMBER($L$2:$L$1300)*($L$2:$L$1300=0)*($K$2:$K$1300&gt;0))&gt;0,"INCOMPLETE","MISSING"),O223)</f>
        <v>MISSING</v>
      </c>
      <c r="P886" s="193" t="str">
        <f>INDEX(_TARGETS!$K$2:$K$17,MATCH($C886,_TARGETS!$A$2:$A$17,0))</f>
        <v>OPS (carga manual en Datos)</v>
      </c>
      <c r="Q886" s="193" t="str">
        <f t="shared" si="74"/>
        <v>202706|ICCS|YTD</v>
      </c>
      <c r="R886" s="193" t="str">
        <f>INDEX(_TARGETS!$H$2:$H$17,MATCH($C886,_TARGETS!$A$2:$A$17,0))</f>
        <v>Definida</v>
      </c>
      <c r="S886" s="193" t="str">
        <f t="shared" si="75"/>
        <v/>
      </c>
      <c r="T886" s="193" t="str">
        <f t="shared" si="76"/>
        <v/>
      </c>
    </row>
    <row r="887" spans="1:20" ht="14.25" customHeight="1" x14ac:dyDescent="0.3">
      <c r="A887" s="249">
        <f>KPIs!$N$3</f>
        <v>46539</v>
      </c>
      <c r="B887" s="193" t="str">
        <f>KPIs!N$4</f>
        <v>Compresora</v>
      </c>
      <c r="C887" t="s">
        <v>89</v>
      </c>
      <c r="D887" s="193" t="str">
        <f>KPIs!$A$47</f>
        <v>12 · Cumplimiento de comités y subcomités de seguridad · YTD</v>
      </c>
      <c r="E887" t="s">
        <v>601</v>
      </c>
      <c r="F887" s="193" t="str">
        <f>IF(ISNUMBER(KPIs!N47),KPIs!N47,"")</f>
        <v/>
      </c>
      <c r="G887" s="254">
        <f>IF(ISNUMBER(KPIs!$C$47),KPIs!$C$47,"")</f>
        <v>1</v>
      </c>
      <c r="H887" s="193" t="str">
        <f>IFERROR(INDEX(_TARGETS!$E$2:$E$17,MATCH($C887,_TARGETS!$A$2:$A$17,0))&amp;"","")</f>
        <v>≥</v>
      </c>
      <c r="I887" s="193" t="str">
        <f t="shared" si="72"/>
        <v/>
      </c>
      <c r="J887" s="193" t="str">
        <f t="shared" si="73"/>
        <v>YTD</v>
      </c>
      <c r="K887" s="193">
        <f>SUMIFS(Datos!$D$26:$AL$26,Datos!$D$3:$AL$3,"&gt;="&amp;DATE(YEAR(Datos!N$3),1,1),Datos!$D$3:$AL$3,"&lt;="&amp;Datos!N$3)</f>
        <v>0</v>
      </c>
      <c r="L887" s="193">
        <f>SUMIFS(Datos!$D$27:$AL$27,Datos!$D$3:$AL$3,"&gt;="&amp;DATE(YEAR(Datos!N$3),1,1),Datos!$D$3:$AL$3,"&lt;="&amp;Datos!N$3)</f>
        <v>0</v>
      </c>
      <c r="M887" s="193">
        <f>INDEX(_TARGETS!$J$2:$J$17,MATCH($C887,_TARGETS!$A$2:$A$17,0))</f>
        <v>1</v>
      </c>
      <c r="N887" s="193" t="str">
        <f>INDEX(_TARGETS!$D$2:$D$17,MATCH($C887,_TARGETS!$A$2:$A$17,0))</f>
        <v>% (fracción)</v>
      </c>
      <c r="O887" s="193" t="str">
        <f>IF(NOT(ISNUMBER(F887)),IF(SUMPRODUCT(($C$2:$C$1300=C887)*($J$2:$J$1300="Monthly")*($A$2:$A$1300&lt;=A887)*(YEAR($A$2:$A$1300)=YEAR(A887))*ISNUMBER($K$2:$K$1300)*ISNUMBER($L$2:$L$1300)*($L$2:$L$1300=0)*($K$2:$K$1300&gt;0))&gt;0,"INCOMPLETE","MISSING"),O224)</f>
        <v>MISSING</v>
      </c>
      <c r="P887" s="193" t="str">
        <f>INDEX(_TARGETS!$K$2:$K$17,MATCH($C887,_TARGETS!$A$2:$A$17,0))</f>
        <v>OPS (carga manual en Datos)</v>
      </c>
      <c r="Q887" s="193" t="str">
        <f t="shared" si="74"/>
        <v>202706|CCS|YTD</v>
      </c>
      <c r="R887" s="193" t="str">
        <f>INDEX(_TARGETS!$H$2:$H$17,MATCH($C887,_TARGETS!$A$2:$A$17,0))</f>
        <v>Definida</v>
      </c>
      <c r="S887" s="193" t="str">
        <f t="shared" si="75"/>
        <v/>
      </c>
      <c r="T887" s="193" t="str">
        <f t="shared" si="76"/>
        <v/>
      </c>
    </row>
    <row r="888" spans="1:20" ht="14.25" customHeight="1" x14ac:dyDescent="0.3">
      <c r="A888" s="249">
        <f>KPIs!$N$3</f>
        <v>46539</v>
      </c>
      <c r="B888" s="193" t="str">
        <f>KPIs!N$4</f>
        <v>Compresora</v>
      </c>
      <c r="C888" t="s">
        <v>91</v>
      </c>
      <c r="D888" s="193" t="str">
        <f>KPIs!$A$48</f>
        <v>13 · Días promedio para cerrar hallazgos · YTD</v>
      </c>
      <c r="E888" t="s">
        <v>601</v>
      </c>
      <c r="F888" s="251" t="str">
        <f>IF(ISNUMBER(KPIs!N48),KPIs!N48,"")</f>
        <v/>
      </c>
      <c r="G888" s="193" t="str">
        <f>IF(ISNUMBER(KPIs!$C$48),KPIs!$C$48,"")</f>
        <v/>
      </c>
      <c r="H888" s="193" t="str">
        <f>IFERROR(INDEX(_TARGETS!$E$2:$E$17,MATCH($C888,_TARGETS!$A$2:$A$17,0))&amp;"","")</f>
        <v>≤</v>
      </c>
      <c r="I888" s="193" t="str">
        <f t="shared" si="72"/>
        <v/>
      </c>
      <c r="J888" s="193" t="str">
        <f t="shared" si="73"/>
        <v>YTD</v>
      </c>
      <c r="K888" s="193">
        <f>SUMIFS(Datos!$D$68:$AL$68,Datos!$D$3:$AL$3,"&gt;="&amp;DATE(YEAR(Datos!N$3),1,1),Datos!$D$3:$AL$3,"&lt;="&amp;Datos!N$3)</f>
        <v>0</v>
      </c>
      <c r="L888" s="193">
        <f>SUMIFS(Datos!$D$67:$AL$67,Datos!$D$3:$AL$3,"&gt;="&amp;DATE(YEAR(Datos!N$3),1,1),Datos!$D$3:$AL$3,"&lt;="&amp;Datos!N$3)</f>
        <v>0</v>
      </c>
      <c r="M888" s="193">
        <f>INDEX(_TARGETS!$J$2:$J$17,MATCH($C888,_TARGETS!$A$2:$A$17,0))</f>
        <v>1</v>
      </c>
      <c r="N888" s="193" t="str">
        <f>INDEX(_TARGETS!$D$2:$D$17,MATCH($C888,_TARGETS!$A$2:$A$17,0))</f>
        <v>días</v>
      </c>
      <c r="O888" s="193" t="str">
        <f>IF(NOT(ISNUMBER(F888)),IF(SUMPRODUCT(($C$2:$C$1300=C888)*($J$2:$J$1300="Monthly")*($A$2:$A$1300&lt;=A888)*(YEAR($A$2:$A$1300)=YEAR(A888))*ISNUMBER($K$2:$K$1300)*ISNUMBER($L$2:$L$1300)*($L$2:$L$1300=0)*($K$2:$K$1300&gt;0))&gt;0,"INCOMPLETE","MISSING"),O225)</f>
        <v>MISSING</v>
      </c>
      <c r="P888" s="193" t="str">
        <f>INDEX(_TARGETS!$K$2:$K$17,MATCH($C888,_TARGETS!$A$2:$A$17,0))</f>
        <v>Plant Findings (hoja Observaciones-SMP)</v>
      </c>
      <c r="Q888" s="193" t="str">
        <f t="shared" si="74"/>
        <v>202706|DPAS|YTD</v>
      </c>
      <c r="R888" s="193" t="str">
        <f>INDEX(_TARGETS!$H$2:$H$17,MATCH($C888,_TARGETS!$A$2:$A$17,0))</f>
        <v>Pendiente (meta 2027)</v>
      </c>
      <c r="S888" s="193" t="str">
        <f t="shared" si="75"/>
        <v/>
      </c>
      <c r="T888" s="193" t="str">
        <f t="shared" si="76"/>
        <v/>
      </c>
    </row>
    <row r="889" spans="1:20" ht="14.25" customHeight="1" x14ac:dyDescent="0.3">
      <c r="A889" s="249">
        <f>KPIs!$N$3</f>
        <v>46539</v>
      </c>
      <c r="B889" s="193" t="str">
        <f>KPIs!N$4</f>
        <v>Compresora</v>
      </c>
      <c r="C889" t="s">
        <v>96</v>
      </c>
      <c r="D889" s="193" t="str">
        <f>KPIs!$A$49</f>
        <v>C1 · % de desvíos detectados de gravedad Alta · YTD</v>
      </c>
      <c r="E889" t="s">
        <v>601</v>
      </c>
      <c r="F889" s="193" t="str">
        <f>IF(ISNUMBER(KPIs!N49),KPIs!N49,"")</f>
        <v/>
      </c>
      <c r="G889" s="193" t="str">
        <f>IF(ISNUMBER(KPIs!$C$49),KPIs!$C$49,"")</f>
        <v/>
      </c>
      <c r="H889" s="193" t="str">
        <f>IFERROR(INDEX(_TARGETS!$E$2:$E$17,MATCH($C889,_TARGETS!$A$2:$A$17,0))&amp;"","")</f>
        <v/>
      </c>
      <c r="I889" s="193" t="str">
        <f t="shared" si="72"/>
        <v/>
      </c>
      <c r="J889" s="193" t="str">
        <f t="shared" si="73"/>
        <v>YTD</v>
      </c>
      <c r="K889" s="193">
        <f>SUMIFS(Datos!$D$71:$AL$71,Datos!$D$3:$AL$3,"&gt;="&amp;DATE(YEAR(Datos!N$3),1,1),Datos!$D$3:$AL$3,"&lt;="&amp;Datos!N$3)</f>
        <v>0</v>
      </c>
      <c r="L889" s="193">
        <f>SUMIFS(Datos!$D$71:$AL$71,Datos!$D$3:$AL$3,"&gt;="&amp;DATE(YEAR(Datos!N$3),1,1),Datos!$D$3:$AL$3,"&lt;="&amp;Datos!N$3)+SUMIFS(Datos!$D$72:$AL$72,Datos!$D$3:$AL$3,"&gt;="&amp;DATE(YEAR(Datos!N$3),1,1),Datos!$D$3:$AL$3,"&lt;="&amp;Datos!N$3)+SUMIFS(Datos!$D$73:$AL$73,Datos!$D$3:$AL$3,"&gt;="&amp;DATE(YEAR(Datos!N$3),1,1),Datos!$D$3:$AL$3,"&lt;="&amp;Datos!N$3)</f>
        <v>0</v>
      </c>
      <c r="M889" s="193">
        <f>INDEX(_TARGETS!$J$2:$J$17,MATCH($C889,_TARGETS!$A$2:$A$17,0))</f>
        <v>1</v>
      </c>
      <c r="N889" s="193" t="str">
        <f>INDEX(_TARGETS!$D$2:$D$17,MATCH($C889,_TARGETS!$A$2:$A$17,0))</f>
        <v>% (fracción)</v>
      </c>
      <c r="O889" s="193" t="str">
        <f t="shared" ref="O889:O895" si="80">IF(NOT(ISNUMBER(F889)),IF(SUMPRODUCT(($C$2:$C$1300=C889)*($J$2:$J$1300="Monthly")*($A$2:$A$1300&lt;=A889)*(YEAR($A$2:$A$1300)=YEAR(A889))*ISNUMBER($K$2:$K$1300)*ISNUMBER($L$2:$L$1300)*($L$2:$L$1300=0)*($K$2:$K$1300&gt;0))&gt;0,"INCOMPLETE","MISSING"),O231)</f>
        <v>MISSING</v>
      </c>
      <c r="P889" s="193" t="str">
        <f>INDEX(_TARGETS!$K$2:$K$17,MATCH($C889,_TARGETS!$A$2:$A$17,0))</f>
        <v>Plant Findings (hoja Observaciones-SMP)</v>
      </c>
      <c r="Q889" s="193" t="str">
        <f t="shared" si="74"/>
        <v>202706|HAL_ALTA_PCT|YTD</v>
      </c>
      <c r="R889" s="193" t="str">
        <f>INDEX(_TARGETS!$H$2:$H$17,MATCH($C889,_TARGETS!$A$2:$A$17,0))</f>
        <v>Solo reporte</v>
      </c>
      <c r="S889" s="193" t="str">
        <f t="shared" si="75"/>
        <v/>
      </c>
      <c r="T889" s="193" t="str">
        <f t="shared" si="76"/>
        <v/>
      </c>
    </row>
    <row r="890" spans="1:20" ht="14.25" customHeight="1" x14ac:dyDescent="0.3">
      <c r="A890" s="249">
        <f>KPIs!$N$3</f>
        <v>46539</v>
      </c>
      <c r="B890" s="193" t="str">
        <f>KPIs!N$4</f>
        <v>Compresora</v>
      </c>
      <c r="C890" t="s">
        <v>98</v>
      </c>
      <c r="D890" s="193" t="str">
        <f>KPIs!$A$50</f>
        <v>C2 · Detenciones de tareas aplicadas · YTD</v>
      </c>
      <c r="E890" t="s">
        <v>601</v>
      </c>
      <c r="F890" s="193" t="str">
        <f>IF(ISNUMBER(KPIs!N50),KPIs!N50,"")</f>
        <v/>
      </c>
      <c r="G890" s="193" t="str">
        <f>IF(ISNUMBER(KPIs!$C$50),KPIs!$C$50,"")</f>
        <v/>
      </c>
      <c r="H890" s="193" t="str">
        <f>IFERROR(INDEX(_TARGETS!$E$2:$E$17,MATCH($C890,_TARGETS!$A$2:$A$17,0))&amp;"","")</f>
        <v/>
      </c>
      <c r="I890" s="193" t="str">
        <f t="shared" si="72"/>
        <v/>
      </c>
      <c r="J890" s="193" t="str">
        <f t="shared" si="73"/>
        <v>YTD</v>
      </c>
      <c r="K890" s="193">
        <f>SUMIFS(Datos!$D$75:$AL$75,Datos!$D$3:$AL$3,"&gt;="&amp;DATE(YEAR(Datos!N$3),1,1),Datos!$D$3:$AL$3,"&lt;="&amp;Datos!N$3)</f>
        <v>0</v>
      </c>
      <c r="M890" s="193">
        <f>INDEX(_TARGETS!$J$2:$J$17,MATCH($C890,_TARGETS!$A$2:$A$17,0))</f>
        <v>1</v>
      </c>
      <c r="N890" s="193" t="str">
        <f>INDEX(_TARGETS!$D$2:$D$17,MATCH($C890,_TARGETS!$A$2:$A$17,0))</f>
        <v>u</v>
      </c>
      <c r="O890" s="193" t="str">
        <f t="shared" si="80"/>
        <v>MISSING</v>
      </c>
      <c r="P890" s="193" t="str">
        <f>INDEX(_TARGETS!$K$2:$K$17,MATCH($C890,_TARGETS!$A$2:$A$17,0))</f>
        <v>Plant Findings (hoja Observaciones-SMP)</v>
      </c>
      <c r="Q890" s="193" t="str">
        <f t="shared" si="74"/>
        <v>202706|DET|YTD</v>
      </c>
      <c r="R890" s="193" t="str">
        <f>INDEX(_TARGETS!$H$2:$H$17,MATCH($C890,_TARGETS!$A$2:$A$17,0))</f>
        <v>Solo reporte</v>
      </c>
      <c r="S890" s="193">
        <f t="shared" si="75"/>
        <v>0</v>
      </c>
      <c r="T890" s="193" t="str">
        <f t="shared" si="76"/>
        <v/>
      </c>
    </row>
    <row r="891" spans="1:20" ht="14.25" customHeight="1" x14ac:dyDescent="0.3">
      <c r="A891" s="249">
        <f>KPIs!$O$3</f>
        <v>46569</v>
      </c>
      <c r="B891" s="193" t="str">
        <f>KPIs!O$4</f>
        <v>Compresora</v>
      </c>
      <c r="C891" t="s">
        <v>39</v>
      </c>
      <c r="D891" s="193" t="str">
        <f>KPIs!$A$37</f>
        <v>1 · Frecuencia de casos con días perdidos · YTD</v>
      </c>
      <c r="E891" t="s">
        <v>601</v>
      </c>
      <c r="F891" s="193" t="str">
        <f>IF(ISNUMBER(KPIs!O37),KPIs!O37,"")</f>
        <v/>
      </c>
      <c r="G891" s="250">
        <f>IF(ISNUMBER(KPIs!$C$37),KPIs!$C$37,"")</f>
        <v>0</v>
      </c>
      <c r="H891" s="193" t="str">
        <f>IFERROR(INDEX(_TARGETS!$E$2:$E$17,MATCH($C891,_TARGETS!$A$2:$A$17,0))&amp;"","")</f>
        <v>≤</v>
      </c>
      <c r="I891" s="193" t="str">
        <f t="shared" si="72"/>
        <v/>
      </c>
      <c r="J891" s="193" t="str">
        <f t="shared" si="73"/>
        <v>YTD</v>
      </c>
      <c r="K891" s="193">
        <f>SUMIFS(Datos!$D$33:$AL$33,Datos!$D$3:$AL$3,"&gt;="&amp;DATE(YEAR(Datos!O$3),1,1),Datos!$D$3:$AL$3,"&lt;="&amp;Datos!O$3)</f>
        <v>0</v>
      </c>
      <c r="L891" s="193">
        <f>SUMIFS(Datos!$D$14:$AL$14,Datos!$D$3:$AL$3,"&gt;="&amp;DATE(YEAR(Datos!O$3),1,1),Datos!$D$3:$AL$3,"&lt;="&amp;Datos!O$3)</f>
        <v>0</v>
      </c>
      <c r="M891" s="193">
        <f>INDEX(_TARGETS!$J$2:$J$17,MATCH($C891,_TARGETS!$A$2:$A$17,0))</f>
        <v>1000000</v>
      </c>
      <c r="N891" s="193" t="str">
        <f>INDEX(_TARGETS!$D$2:$D$17,MATCH($C891,_TARGETS!$A$2:$A$17,0))</f>
        <v>casos / 10^6 HH</v>
      </c>
      <c r="O891" s="193" t="str">
        <f t="shared" si="80"/>
        <v>MISSING</v>
      </c>
      <c r="P891" s="193" t="str">
        <f>INDEX(_TARGETS!$K$2:$K$17,MATCH($C891,_TARGETS!$A$2:$A$17,0))</f>
        <v>OPS (carga manual en Datos)</v>
      </c>
      <c r="Q891" s="193" t="str">
        <f t="shared" si="74"/>
        <v>202707|DAFWCF|YTD</v>
      </c>
      <c r="R891" s="193" t="str">
        <f>INDEX(_TARGETS!$H$2:$H$17,MATCH($C891,_TARGETS!$A$2:$A$17,0))</f>
        <v>Definida</v>
      </c>
      <c r="S891" s="193" t="str">
        <f t="shared" si="75"/>
        <v/>
      </c>
      <c r="T891" s="193" t="str">
        <f t="shared" si="76"/>
        <v/>
      </c>
    </row>
    <row r="892" spans="1:20" ht="14.25" customHeight="1" x14ac:dyDescent="0.3">
      <c r="A892" s="249">
        <f>KPIs!$O$3</f>
        <v>46569</v>
      </c>
      <c r="B892" s="193" t="str">
        <f>KPIs!O$4</f>
        <v>Compresora</v>
      </c>
      <c r="C892" t="s">
        <v>49</v>
      </c>
      <c r="D892" s="193" t="str">
        <f>KPIs!$A$38</f>
        <v>2 · Frecuencia de casos registrables · YTD</v>
      </c>
      <c r="E892" t="s">
        <v>601</v>
      </c>
      <c r="F892" s="193" t="str">
        <f>IF(ISNUMBER(KPIs!O38),KPIs!O38,"")</f>
        <v/>
      </c>
      <c r="G892" s="250">
        <f>IF(ISNUMBER(KPIs!$C$38),KPIs!$C$38,"")</f>
        <v>2.35</v>
      </c>
      <c r="H892" s="193" t="str">
        <f>IFERROR(INDEX(_TARGETS!$E$2:$E$17,MATCH($C892,_TARGETS!$A$2:$A$17,0))&amp;"","")</f>
        <v>≤</v>
      </c>
      <c r="I892" s="193" t="str">
        <f t="shared" si="72"/>
        <v/>
      </c>
      <c r="J892" s="193" t="str">
        <f t="shared" si="73"/>
        <v>YTD</v>
      </c>
      <c r="K892" s="193">
        <f>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f>
        <v>0</v>
      </c>
      <c r="L892" s="193">
        <f>SUMIFS(Datos!$D$14:$AL$14,Datos!$D$3:$AL$3,"&gt;="&amp;DATE(YEAR(Datos!O$3),1,1),Datos!$D$3:$AL$3,"&lt;="&amp;Datos!O$3)</f>
        <v>0</v>
      </c>
      <c r="M892" s="193">
        <f>INDEX(_TARGETS!$J$2:$J$17,MATCH($C892,_TARGETS!$A$2:$A$17,0))</f>
        <v>1000000</v>
      </c>
      <c r="N892" s="193" t="str">
        <f>INDEX(_TARGETS!$D$2:$D$17,MATCH($C892,_TARGETS!$A$2:$A$17,0))</f>
        <v>casos / 10^6 HH</v>
      </c>
      <c r="O892" s="193" t="str">
        <f t="shared" si="80"/>
        <v>MISSING</v>
      </c>
      <c r="P892" s="193" t="str">
        <f>INDEX(_TARGETS!$K$2:$K$17,MATCH($C892,_TARGETS!$A$2:$A$17,0))</f>
        <v>OPS (carga manual en Datos)</v>
      </c>
      <c r="Q892" s="193" t="str">
        <f t="shared" si="74"/>
        <v>202707|TRICF|YTD</v>
      </c>
      <c r="R892" s="193" t="str">
        <f>INDEX(_TARGETS!$H$2:$H$17,MATCH($C892,_TARGETS!$A$2:$A$17,0))</f>
        <v>Definida</v>
      </c>
      <c r="S892" s="193" t="str">
        <f t="shared" si="75"/>
        <v/>
      </c>
      <c r="T892" s="193" t="str">
        <f t="shared" si="76"/>
        <v/>
      </c>
    </row>
    <row r="893" spans="1:20" ht="14.25" customHeight="1" x14ac:dyDescent="0.3">
      <c r="A893" s="249">
        <f>KPIs!$O$3</f>
        <v>46569</v>
      </c>
      <c r="B893" s="193" t="str">
        <f>KPIs!O$4</f>
        <v>Compresora</v>
      </c>
      <c r="C893" t="s">
        <v>51</v>
      </c>
      <c r="D893" s="193" t="str">
        <f>KPIs!$A$39</f>
        <v>3 · Casos de primeros auxilios · YTD</v>
      </c>
      <c r="E893" t="s">
        <v>601</v>
      </c>
      <c r="F893" s="193" t="str">
        <f>IF(ISNUMBER(KPIs!O39),KPIs!O39,"")</f>
        <v/>
      </c>
      <c r="G893" s="193" t="str">
        <f>IF(ISNUMBER(KPIs!$C$39),KPIs!$C$39,"")</f>
        <v/>
      </c>
      <c r="H893" s="193" t="str">
        <f>IFERROR(INDEX(_TARGETS!$E$2:$E$17,MATCH($C893,_TARGETS!$A$2:$A$17,0))&amp;"","")</f>
        <v/>
      </c>
      <c r="I893" s="193" t="str">
        <f t="shared" si="72"/>
        <v/>
      </c>
      <c r="J893" s="193" t="str">
        <f t="shared" si="73"/>
        <v>YTD</v>
      </c>
      <c r="K893" s="193">
        <f>SUMIFS(Datos!$D$37:$AL$37,Datos!$D$3:$AL$3,"&gt;="&amp;DATE(YEAR(Datos!O$3),1,1),Datos!$D$3:$AL$3,"&lt;="&amp;Datos!O$3)</f>
        <v>0</v>
      </c>
      <c r="M893" s="193">
        <f>INDEX(_TARGETS!$J$2:$J$17,MATCH($C893,_TARGETS!$A$2:$A$17,0))</f>
        <v>1</v>
      </c>
      <c r="N893" s="193" t="str">
        <f>INDEX(_TARGETS!$D$2:$D$17,MATCH($C893,_TARGETS!$A$2:$A$17,0))</f>
        <v>casos</v>
      </c>
      <c r="O893" s="193" t="str">
        <f t="shared" si="80"/>
        <v>MISSING</v>
      </c>
      <c r="P893" s="193" t="str">
        <f>INDEX(_TARGETS!$K$2:$K$17,MATCH($C893,_TARGETS!$A$2:$A$17,0))</f>
        <v>OPS (carga manual en Datos)</v>
      </c>
      <c r="Q893" s="193" t="str">
        <f t="shared" si="74"/>
        <v>202707|FAC|YTD</v>
      </c>
      <c r="R893" s="193" t="str">
        <f>INDEX(_TARGETS!$H$2:$H$17,MATCH($C893,_TARGETS!$A$2:$A$17,0))</f>
        <v>Solo reporte</v>
      </c>
      <c r="S893" s="193">
        <f t="shared" si="75"/>
        <v>0</v>
      </c>
      <c r="T893" s="193" t="str">
        <f t="shared" si="76"/>
        <v/>
      </c>
    </row>
    <row r="894" spans="1:20" ht="14.25" customHeight="1" x14ac:dyDescent="0.3">
      <c r="A894" s="249">
        <f>KPIs!$O$3</f>
        <v>46569</v>
      </c>
      <c r="B894" s="193" t="str">
        <f>KPIs!O$4</f>
        <v>Compresora</v>
      </c>
      <c r="C894" t="s">
        <v>57</v>
      </c>
      <c r="D894" s="193" t="str">
        <f>KPIs!$A$40</f>
        <v>4 · Accidentes vehiculares severos por millón de km · YTD</v>
      </c>
      <c r="E894" t="s">
        <v>601</v>
      </c>
      <c r="F894" s="193" t="str">
        <f>IF(ISNUMBER(KPIs!O40),KPIs!O40,"")</f>
        <v/>
      </c>
      <c r="G894" s="193" t="str">
        <f>IF(ISNUMBER(KPIs!$C$40),KPIs!$C$40,"")</f>
        <v/>
      </c>
      <c r="H894" s="193" t="str">
        <f>IFERROR(INDEX(_TARGETS!$E$2:$E$17,MATCH($C894,_TARGETS!$A$2:$A$17,0))&amp;"","")</f>
        <v/>
      </c>
      <c r="I894" s="193" t="str">
        <f t="shared" si="72"/>
        <v/>
      </c>
      <c r="J894" s="193" t="str">
        <f t="shared" si="73"/>
        <v>YTD</v>
      </c>
      <c r="K894" s="193">
        <f>SUMIFS(Datos!$D$39:$AL$39,Datos!$D$3:$AL$3,"&gt;="&amp;DATE(YEAR(Datos!O$3),1,1),Datos!$D$3:$AL$3,"&lt;="&amp;Datos!O$3)+SUMIFS(Datos!$D$40:$AL$40,Datos!$D$3:$AL$3,"&gt;="&amp;DATE(YEAR(Datos!O$3),1,1),Datos!$D$3:$AL$3,"&lt;="&amp;Datos!O$3)+SUMIFS(Datos!$D$41:$AL$41,Datos!$D$3:$AL$3,"&gt;="&amp;DATE(YEAR(Datos!O$3),1,1),Datos!$D$3:$AL$3,"&lt;="&amp;Datos!O$3)</f>
        <v>0</v>
      </c>
      <c r="L894" s="193">
        <f>SUMIFS(Datos!$D$47:$AL$47,Datos!$D$3:$AL$3,"&gt;="&amp;DATE(YEAR(Datos!O$3),1,1),Datos!$D$3:$AL$3,"&lt;="&amp;Datos!O$3)</f>
        <v>0</v>
      </c>
      <c r="M894" s="193">
        <f>INDEX(_TARGETS!$J$2:$J$17,MATCH($C894,_TARGETS!$A$2:$A$17,0))</f>
        <v>1000000</v>
      </c>
      <c r="N894" s="193" t="str">
        <f>INDEX(_TARGETS!$D$2:$D$17,MATCH($C894,_TARGETS!$A$2:$A$17,0))</f>
        <v>eventos / 10^6 km</v>
      </c>
      <c r="O894" s="193" t="str">
        <f t="shared" si="80"/>
        <v>MISSING</v>
      </c>
      <c r="P894" s="193" t="str">
        <f>INDEX(_TARGETS!$K$2:$K$17,MATCH($C894,_TARGETS!$A$2:$A$17,0))</f>
        <v>OPS (eventos) + Full Control GPS (km) - carga manual en Datos</v>
      </c>
      <c r="Q894" s="193" t="str">
        <f t="shared" si="74"/>
        <v>202707|SVCR|YTD</v>
      </c>
      <c r="R894" s="193" t="str">
        <f>INDEX(_TARGETS!$H$2:$H$17,MATCH($C894,_TARGETS!$A$2:$A$17,0))</f>
        <v>Solo reporte</v>
      </c>
      <c r="S894" s="193" t="str">
        <f t="shared" si="75"/>
        <v/>
      </c>
      <c r="T894" s="193" t="str">
        <f t="shared" si="76"/>
        <v/>
      </c>
    </row>
    <row r="895" spans="1:20" ht="14.25" customHeight="1" x14ac:dyDescent="0.3">
      <c r="A895" s="249">
        <f>KPIs!$O$3</f>
        <v>46569</v>
      </c>
      <c r="B895" s="193" t="str">
        <f>KPIs!O$4</f>
        <v>Compresora</v>
      </c>
      <c r="C895" t="s">
        <v>61</v>
      </c>
      <c r="D895" s="193" t="str">
        <f>KPIs!$A$41</f>
        <v>5 · Accidentes vehiculares totales por millón de km · YTD</v>
      </c>
      <c r="E895" t="s">
        <v>601</v>
      </c>
      <c r="F895" s="193" t="str">
        <f>IF(ISNUMBER(KPIs!O41),KPIs!O41,"")</f>
        <v/>
      </c>
      <c r="G895" s="250">
        <f>IF(ISNUMBER(KPIs!$C$41),KPIs!$C$41,"")</f>
        <v>0.79</v>
      </c>
      <c r="H895" s="193" t="str">
        <f>IFERROR(INDEX(_TARGETS!$E$2:$E$17,MATCH($C895,_TARGETS!$A$2:$A$17,0))&amp;"","")</f>
        <v>≤</v>
      </c>
      <c r="I895" s="193" t="str">
        <f t="shared" si="72"/>
        <v/>
      </c>
      <c r="J895" s="193" t="str">
        <f t="shared" si="73"/>
        <v>YTD</v>
      </c>
      <c r="K895" s="193">
        <f>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f>
        <v>0</v>
      </c>
      <c r="L895" s="193">
        <f>SUMIFS(Datos!$D$47:$AL$47,Datos!$D$3:$AL$3,"&gt;="&amp;DATE(YEAR(Datos!O$3),1,1),Datos!$D$3:$AL$3,"&lt;="&amp;Datos!O$3)</f>
        <v>0</v>
      </c>
      <c r="M895" s="193">
        <f>INDEX(_TARGETS!$J$2:$J$17,MATCH($C895,_TARGETS!$A$2:$A$17,0))</f>
        <v>1000000</v>
      </c>
      <c r="N895" s="193" t="str">
        <f>INDEX(_TARGETS!$D$2:$D$17,MATCH($C895,_TARGETS!$A$2:$A$17,0))</f>
        <v>eventos / 10^6 km</v>
      </c>
      <c r="O895" s="193" t="str">
        <f t="shared" si="80"/>
        <v>MISSING</v>
      </c>
      <c r="P895" s="193" t="str">
        <f>INDEX(_TARGETS!$K$2:$K$17,MATCH($C895,_TARGETS!$A$2:$A$17,0))</f>
        <v>OPS (eventos) + Full Control GPS (km) - carga manual en Datos</v>
      </c>
      <c r="Q895" s="193" t="str">
        <f t="shared" si="74"/>
        <v>202707|TVCR|YTD</v>
      </c>
      <c r="R895" s="193" t="str">
        <f>INDEX(_TARGETS!$H$2:$H$17,MATCH($C895,_TARGETS!$A$2:$A$17,0))</f>
        <v>Definida</v>
      </c>
      <c r="S895" s="193" t="str">
        <f t="shared" si="75"/>
        <v/>
      </c>
      <c r="T895" s="193" t="str">
        <f t="shared" si="76"/>
        <v/>
      </c>
    </row>
    <row r="896" spans="1:20" ht="14.25" customHeight="1" x14ac:dyDescent="0.3">
      <c r="A896" s="249">
        <f>KPIs!$O$3</f>
        <v>46569</v>
      </c>
      <c r="B896" s="193" t="str">
        <f>KPIs!O$4</f>
        <v>Compresora</v>
      </c>
      <c r="C896" t="s">
        <v>71</v>
      </c>
      <c r="D896" s="193" t="str">
        <f>KPIs!$A$42</f>
        <v>7 · Investigaciones de accidentes: días promedio de cierre · YTD</v>
      </c>
      <c r="E896" t="s">
        <v>601</v>
      </c>
      <c r="F896" s="193" t="str">
        <f>IF(ISNUMBER(KPIs!O42),KPIs!O42,"")</f>
        <v/>
      </c>
      <c r="G896" s="251">
        <f>IF(ISNUMBER(KPIs!$C$42),KPIs!$C$42,"")</f>
        <v>20</v>
      </c>
      <c r="H896" s="193" t="str">
        <f>IFERROR(INDEX(_TARGETS!$E$2:$E$17,MATCH($C896,_TARGETS!$A$2:$A$17,0))&amp;"","")</f>
        <v>≤</v>
      </c>
      <c r="I896" s="193" t="str">
        <f t="shared" si="72"/>
        <v/>
      </c>
      <c r="J896" s="193" t="str">
        <f t="shared" si="73"/>
        <v>YTD</v>
      </c>
      <c r="K896" s="193">
        <f>SUMIFS(Datos!$D$31:$AL$31,Datos!$D$3:$AL$3,"&gt;="&amp;DATE(YEAR(Datos!O$3),1,1),Datos!$D$3:$AL$3,"&lt;="&amp;Datos!O$3)</f>
        <v>0</v>
      </c>
      <c r="L896" s="193">
        <f>SUMIFS(Datos!$D$30:$AL$30,Datos!$D$3:$AL$3,"&gt;="&amp;DATE(YEAR(Datos!O$3),1,1),Datos!$D$3:$AL$3,"&lt;="&amp;Datos!O$3)</f>
        <v>0</v>
      </c>
      <c r="M896" s="193">
        <f>INDEX(_TARGETS!$J$2:$J$17,MATCH($C896,_TARGETS!$A$2:$A$17,0))</f>
        <v>1</v>
      </c>
      <c r="N896" s="193" t="str">
        <f>INDEX(_TARGETS!$D$2:$D$17,MATCH($C896,_TARGETS!$A$2:$A$17,0))</f>
        <v>días</v>
      </c>
      <c r="O896" s="193" t="str">
        <f>IF(NOT(ISNUMBER(F896)),IF(SUMPRODUCT(($C$2:$C$1300=C896)*($J$2:$J$1300="Monthly")*($A$2:$A$1300&lt;=A896)*(YEAR($A$2:$A$1300)=YEAR(A896))*ISNUMBER($K$2:$K$1300)*ISNUMBER($L$2:$L$1300)*($L$2:$L$1300=0)*($K$2:$K$1300&gt;0))&gt;0,"INCOMPLETE","MISSING"),O239)</f>
        <v>MISSING</v>
      </c>
      <c r="P896" s="193" t="str">
        <f>INDEX(_TARGETS!$K$2:$K$17,MATCH($C896,_TARGETS!$A$2:$A$17,0))</f>
        <v>OPS (carga manual en Datos)</v>
      </c>
      <c r="Q896" s="193" t="str">
        <f t="shared" si="74"/>
        <v>202707|INV|YTD</v>
      </c>
      <c r="R896" s="193" t="str">
        <f>INDEX(_TARGETS!$H$2:$H$17,MATCH($C896,_TARGETS!$A$2:$A$17,0))</f>
        <v>Definida</v>
      </c>
      <c r="S896" s="193" t="str">
        <f t="shared" si="75"/>
        <v/>
      </c>
      <c r="T896" s="193" t="str">
        <f t="shared" si="76"/>
        <v/>
      </c>
    </row>
    <row r="897" spans="1:20" ht="14.25" customHeight="1" x14ac:dyDescent="0.3">
      <c r="A897" s="249">
        <f>KPIs!$O$3</f>
        <v>46569</v>
      </c>
      <c r="B897" s="193" t="str">
        <f>KPIs!O$4</f>
        <v>Compresora</v>
      </c>
      <c r="C897" t="s">
        <v>76</v>
      </c>
      <c r="D897" s="193" t="str">
        <f>KPIs!$A$43</f>
        <v>8 · % de capacitación en seguridad · YTD</v>
      </c>
      <c r="E897" t="s">
        <v>601</v>
      </c>
      <c r="F897" s="193" t="str">
        <f>IF(ISNUMBER(KPIs!O43),KPIs!O43,"")</f>
        <v/>
      </c>
      <c r="G897" s="252">
        <f>IF(ISNUMBER(KPIs!$C$43),KPIs!$C$43,"")</f>
        <v>0.01</v>
      </c>
      <c r="H897" s="193" t="str">
        <f>IFERROR(INDEX(_TARGETS!$E$2:$E$17,MATCH($C897,_TARGETS!$A$2:$A$17,0))&amp;"","")</f>
        <v>≥</v>
      </c>
      <c r="I897" s="193" t="str">
        <f t="shared" si="72"/>
        <v/>
      </c>
      <c r="J897" s="193" t="str">
        <f t="shared" si="73"/>
        <v>YTD</v>
      </c>
      <c r="K897" s="193">
        <f>SUMIFS(Datos!$D$18:$AL$18,Datos!$D$3:$AL$3,"&gt;="&amp;DATE(YEAR(Datos!O$3),1,1),Datos!$D$3:$AL$3,"&lt;="&amp;Datos!O$3)</f>
        <v>0</v>
      </c>
      <c r="L897" s="193">
        <f>SUMIFS(Datos!$D$14:$AL$14,Datos!$D$3:$AL$3,"&gt;="&amp;DATE(YEAR(Datos!O$3),1,1),Datos!$D$3:$AL$3,"&lt;="&amp;Datos!O$3)</f>
        <v>0</v>
      </c>
      <c r="M897" s="193">
        <f>INDEX(_TARGETS!$J$2:$J$17,MATCH($C897,_TARGETS!$A$2:$A$17,0))</f>
        <v>1</v>
      </c>
      <c r="N897" s="193" t="str">
        <f>INDEX(_TARGETS!$D$2:$D$17,MATCH($C897,_TARGETS!$A$2:$A$17,0))</f>
        <v>% (fracción)</v>
      </c>
      <c r="O897" s="193" t="str">
        <f>IF(NOT(ISNUMBER(F897)),IF(SUMPRODUCT(($C$2:$C$1300=C897)*($J$2:$J$1300="Monthly")*($A$2:$A$1300&lt;=A897)*(YEAR($A$2:$A$1300)=YEAR(A897))*ISNUMBER($K$2:$K$1300)*ISNUMBER($L$2:$L$1300)*($L$2:$L$1300=0)*($K$2:$K$1300&gt;0))&gt;0,"INCOMPLETE","MISSING"),O240)</f>
        <v>MISSING</v>
      </c>
      <c r="P897" s="193" t="str">
        <f>INDEX(_TARGETS!$K$2:$K$17,MATCH($C897,_TARGETS!$A$2:$A$17,0))</f>
        <v>OPS (carga manual en Datos)</v>
      </c>
      <c r="Q897" s="193" t="str">
        <f t="shared" si="74"/>
        <v>202707|HCS|YTD</v>
      </c>
      <c r="R897" s="193" t="str">
        <f>INDEX(_TARGETS!$H$2:$H$17,MATCH($C897,_TARGETS!$A$2:$A$17,0))</f>
        <v>Definida</v>
      </c>
      <c r="S897" s="193" t="str">
        <f t="shared" si="75"/>
        <v/>
      </c>
      <c r="T897" s="193" t="str">
        <f t="shared" si="76"/>
        <v/>
      </c>
    </row>
    <row r="898" spans="1:20" ht="14.25" customHeight="1" x14ac:dyDescent="0.3">
      <c r="A898" s="249">
        <f>KPIs!$O$3</f>
        <v>46569</v>
      </c>
      <c r="B898" s="193" t="str">
        <f>KPIs!O$4</f>
        <v>Compresora</v>
      </c>
      <c r="C898" t="s">
        <v>83</v>
      </c>
      <c r="D898" s="193" t="str">
        <f>KPIs!$A$44</f>
        <v>10 · Cumplimiento de simulacros (emergencia y operativos) · YTD</v>
      </c>
      <c r="E898" t="s">
        <v>601</v>
      </c>
      <c r="F898" s="193" t="str">
        <f>IF(ISNUMBER(KPIs!O44),KPIs!O44,"")</f>
        <v/>
      </c>
      <c r="G898" s="253">
        <f>IF(ISNUMBER(KPIs!$C$44),KPIs!$C$44,"")</f>
        <v>1</v>
      </c>
      <c r="H898" s="193" t="str">
        <f>IFERROR(INDEX(_TARGETS!$E$2:$E$17,MATCH($C898,_TARGETS!$A$2:$A$17,0))&amp;"","")</f>
        <v>≥</v>
      </c>
      <c r="I898" s="193" t="str">
        <f t="shared" ref="I898:I961" si="81">IF(OR(H898="",F898="",G898=""),"",IF(IF(H898="≤",F898&lt;=G898,F898&gt;=G898),"Sí","No"))</f>
        <v/>
      </c>
      <c r="J898" s="193" t="str">
        <f t="shared" ref="J898:J961" si="82">IF(E898="Mensual","Monthly",IF(E898="Acumulado","Cumulative",E898))</f>
        <v>YTD</v>
      </c>
      <c r="K898" s="193">
        <f>SUMIFS(Datos!$D$20:$AL$20,Datos!$D$3:$AL$3,"&gt;="&amp;DATE(YEAR(Datos!O$3),1,1),Datos!$D$3:$AL$3,"&lt;="&amp;Datos!O$3)</f>
        <v>0</v>
      </c>
      <c r="L898" s="193">
        <f>SUMIFS(Datos!$D$21:$AL$21,Datos!$D$3:$AL$3,"&gt;="&amp;DATE(YEAR(Datos!O$3),1,1),Datos!$D$3:$AL$3,"&lt;="&amp;Datos!O$3)</f>
        <v>0</v>
      </c>
      <c r="M898" s="193">
        <f>INDEX(_TARGETS!$J$2:$J$17,MATCH($C898,_TARGETS!$A$2:$A$17,0))</f>
        <v>1</v>
      </c>
      <c r="N898" s="193" t="str">
        <f>INDEX(_TARGETS!$D$2:$D$17,MATCH($C898,_TARGETS!$A$2:$A$17,0))</f>
        <v>% (fracción)</v>
      </c>
      <c r="O898" s="193" t="str">
        <f>IF(NOT(ISNUMBER(F898)),IF(SUMPRODUCT(($C$2:$C$1300=C898)*($J$2:$J$1300="Monthly")*($A$2:$A$1300&lt;=A898)*(YEAR($A$2:$A$1300)=YEAR(A898))*ISNUMBER($K$2:$K$1300)*ISNUMBER($L$2:$L$1300)*($L$2:$L$1300=0)*($K$2:$K$1300&gt;0))&gt;0,"INCOMPLETE","MISSING"),O242)</f>
        <v>MISSING</v>
      </c>
      <c r="P898" s="193" t="str">
        <f>INDEX(_TARGETS!$K$2:$K$17,MATCH($C898,_TARGETS!$A$2:$A$17,0))</f>
        <v>OPS (carga manual en Datos)</v>
      </c>
      <c r="Q898" s="193" t="str">
        <f t="shared" ref="Q898:Q961" si="83">YEAR(A898)*100+MONTH(A898)&amp;"|"&amp;C898&amp;"|"&amp;J898</f>
        <v>202707|CPSE|YTD</v>
      </c>
      <c r="R898" s="193" t="str">
        <f>INDEX(_TARGETS!$H$2:$H$17,MATCH($C898,_TARGETS!$A$2:$A$17,0))</f>
        <v>Definida</v>
      </c>
      <c r="S898" s="193" t="str">
        <f t="shared" ref="S898:S961" si="84">IF(AND(ISNUMBER(K898),ISNUMBER(L898)),IF(L898=0,"",K898*M898/L898),IF(ISNUMBER(K898),K898*M898,""))</f>
        <v/>
      </c>
      <c r="T898" s="193" t="str">
        <f t="shared" ref="T898:T961" si="85">IF(AND(ISNUMBER(F898),ISNUMBER(S898)),ABS(F898-S898),"")</f>
        <v/>
      </c>
    </row>
    <row r="899" spans="1:20" ht="14.25" customHeight="1" x14ac:dyDescent="0.3">
      <c r="A899" s="249">
        <f>KPIs!$O$3</f>
        <v>46569</v>
      </c>
      <c r="B899" s="193" t="str">
        <f>KPIs!O$4</f>
        <v>Compresora</v>
      </c>
      <c r="C899" t="s">
        <v>85</v>
      </c>
      <c r="D899" s="193" t="str">
        <f>KPIs!$A$45</f>
        <v>10b · Cumplimiento de acciones de mejora de simulacros · YTD</v>
      </c>
      <c r="E899" t="s">
        <v>601</v>
      </c>
      <c r="F899" s="193" t="str">
        <f>IF(ISNUMBER(KPIs!O45),KPIs!O45,"")</f>
        <v/>
      </c>
      <c r="G899" s="254" t="str">
        <f>IF(ISNUMBER(KPIs!$C$45),KPIs!$C$45,"")</f>
        <v/>
      </c>
      <c r="H899" s="193" t="str">
        <f>IFERROR(INDEX(_TARGETS!$E$2:$E$17,MATCH($C899,_TARGETS!$A$2:$A$17,0))&amp;"","")</f>
        <v/>
      </c>
      <c r="I899" s="193" t="str">
        <f t="shared" si="81"/>
        <v/>
      </c>
      <c r="J899" s="193" t="str">
        <f t="shared" si="82"/>
        <v>YTD</v>
      </c>
      <c r="K899" s="193">
        <f>SUMIFS(Datos!$D$23:$AL$23,Datos!$D$3:$AL$3,"&gt;="&amp;DATE(YEAR(Datos!O$3),1,1),Datos!$D$3:$AL$3,"&lt;="&amp;Datos!O$3)</f>
        <v>0</v>
      </c>
      <c r="L899" s="193">
        <f>SUMIFS(Datos!$D$22:$AL$22,Datos!$D$3:$AL$3,"&gt;="&amp;DATE(YEAR(Datos!O$3),1,1),Datos!$D$3:$AL$3,"&lt;="&amp;Datos!O$3)</f>
        <v>0</v>
      </c>
      <c r="M899" s="193">
        <f>INDEX(_TARGETS!$J$2:$J$17,MATCH($C899,_TARGETS!$A$2:$A$17,0))</f>
        <v>1</v>
      </c>
      <c r="N899" s="193" t="str">
        <f>INDEX(_TARGETS!$D$2:$D$17,MATCH($C899,_TARGETS!$A$2:$A$17,0))</f>
        <v>% (fracción)</v>
      </c>
      <c r="O899" s="193" t="str">
        <f>IF(NOT(ISNUMBER(F899)),IF(SUMPRODUCT(($C$2:$C$1300=C899)*($J$2:$J$1300="Monthly")*($A$2:$A$1300&lt;=A899)*(YEAR($A$2:$A$1300)=YEAR(A899))*ISNUMBER($K$2:$K$1300)*ISNUMBER($L$2:$L$1300)*($L$2:$L$1300=0)*($K$2:$K$1300&gt;0))&gt;0,"INCOMPLETE","MISSING"),O243)</f>
        <v>MISSING</v>
      </c>
      <c r="P899" s="193" t="str">
        <f>INDEX(_TARGETS!$K$2:$K$17,MATCH($C899,_TARGETS!$A$2:$A$17,0))</f>
        <v>OPS (carga manual en Datos)</v>
      </c>
      <c r="Q899" s="193" t="str">
        <f t="shared" si="83"/>
        <v>202707|CAMS|YTD</v>
      </c>
      <c r="R899" s="193" t="str">
        <f>INDEX(_TARGETS!$H$2:$H$17,MATCH($C899,_TARGETS!$A$2:$A$17,0))</f>
        <v>Solo reporte</v>
      </c>
      <c r="S899" s="193" t="str">
        <f t="shared" si="84"/>
        <v/>
      </c>
      <c r="T899" s="193" t="str">
        <f t="shared" si="85"/>
        <v/>
      </c>
    </row>
    <row r="900" spans="1:20" ht="14.25" customHeight="1" x14ac:dyDescent="0.3">
      <c r="A900" s="249">
        <f>KPIs!$O$3</f>
        <v>46569</v>
      </c>
      <c r="B900" s="193" t="str">
        <f>KPIs!O$4</f>
        <v>Compresora</v>
      </c>
      <c r="C900" t="s">
        <v>87</v>
      </c>
      <c r="D900" s="193" t="str">
        <f>KPIs!$A$46</f>
        <v>11 · Cumplimiento de caminatas gerenciales · YTD</v>
      </c>
      <c r="E900" t="s">
        <v>601</v>
      </c>
      <c r="F900" s="193" t="str">
        <f>IF(ISNUMBER(KPIs!O46),KPIs!O46,"")</f>
        <v/>
      </c>
      <c r="G900" s="254">
        <f>IF(ISNUMBER(KPIs!$C$46),KPIs!$C$46,"")</f>
        <v>1</v>
      </c>
      <c r="H900" s="193" t="str">
        <f>IFERROR(INDEX(_TARGETS!$E$2:$E$17,MATCH($C900,_TARGETS!$A$2:$A$17,0))&amp;"","")</f>
        <v>≥</v>
      </c>
      <c r="I900" s="193" t="str">
        <f t="shared" si="81"/>
        <v/>
      </c>
      <c r="J900" s="193" t="str">
        <f t="shared" si="82"/>
        <v>YTD</v>
      </c>
      <c r="K900" s="193">
        <f>SUMIFS(Datos!$D$24:$AL$24,Datos!$D$3:$AL$3,"&gt;="&amp;DATE(YEAR(Datos!O$3),1,1),Datos!$D$3:$AL$3,"&lt;="&amp;Datos!O$3)</f>
        <v>0</v>
      </c>
      <c r="L900" s="193">
        <f>SUMIFS(Datos!$D$25:$AL$25,Datos!$D$3:$AL$3,"&gt;="&amp;DATE(YEAR(Datos!O$3),1,1),Datos!$D$3:$AL$3,"&lt;="&amp;Datos!O$3)</f>
        <v>0</v>
      </c>
      <c r="M900" s="193">
        <f>INDEX(_TARGETS!$J$2:$J$17,MATCH($C900,_TARGETS!$A$2:$A$17,0))</f>
        <v>1</v>
      </c>
      <c r="N900" s="193" t="str">
        <f>INDEX(_TARGETS!$D$2:$D$17,MATCH($C900,_TARGETS!$A$2:$A$17,0))</f>
        <v>% (fracción)</v>
      </c>
      <c r="O900" s="193" t="str">
        <f>IF(NOT(ISNUMBER(F900)),IF(SUMPRODUCT(($C$2:$C$1300=C900)*($J$2:$J$1300="Monthly")*($A$2:$A$1300&lt;=A900)*(YEAR($A$2:$A$1300)=YEAR(A900))*ISNUMBER($K$2:$K$1300)*ISNUMBER($L$2:$L$1300)*($L$2:$L$1300=0)*($K$2:$K$1300&gt;0))&gt;0,"INCOMPLETE","MISSING"),O244)</f>
        <v>MISSING</v>
      </c>
      <c r="P900" s="193" t="str">
        <f>INDEX(_TARGETS!$K$2:$K$17,MATCH($C900,_TARGETS!$A$2:$A$17,0))</f>
        <v>OPS (carga manual en Datos)</v>
      </c>
      <c r="Q900" s="193" t="str">
        <f t="shared" si="83"/>
        <v>202707|ICCS|YTD</v>
      </c>
      <c r="R900" s="193" t="str">
        <f>INDEX(_TARGETS!$H$2:$H$17,MATCH($C900,_TARGETS!$A$2:$A$17,0))</f>
        <v>Definida</v>
      </c>
      <c r="S900" s="193" t="str">
        <f t="shared" si="84"/>
        <v/>
      </c>
      <c r="T900" s="193" t="str">
        <f t="shared" si="85"/>
        <v/>
      </c>
    </row>
    <row r="901" spans="1:20" ht="14.25" customHeight="1" x14ac:dyDescent="0.3">
      <c r="A901" s="249">
        <f>KPIs!$O$3</f>
        <v>46569</v>
      </c>
      <c r="B901" s="193" t="str">
        <f>KPIs!O$4</f>
        <v>Compresora</v>
      </c>
      <c r="C901" t="s">
        <v>89</v>
      </c>
      <c r="D901" s="193" t="str">
        <f>KPIs!$A$47</f>
        <v>12 · Cumplimiento de comités y subcomités de seguridad · YTD</v>
      </c>
      <c r="E901" t="s">
        <v>601</v>
      </c>
      <c r="F901" s="193" t="str">
        <f>IF(ISNUMBER(KPIs!O47),KPIs!O47,"")</f>
        <v/>
      </c>
      <c r="G901" s="254">
        <f>IF(ISNUMBER(KPIs!$C$47),KPIs!$C$47,"")</f>
        <v>1</v>
      </c>
      <c r="H901" s="193" t="str">
        <f>IFERROR(INDEX(_TARGETS!$E$2:$E$17,MATCH($C901,_TARGETS!$A$2:$A$17,0))&amp;"","")</f>
        <v>≥</v>
      </c>
      <c r="I901" s="193" t="str">
        <f t="shared" si="81"/>
        <v/>
      </c>
      <c r="J901" s="193" t="str">
        <f t="shared" si="82"/>
        <v>YTD</v>
      </c>
      <c r="K901" s="193">
        <f>SUMIFS(Datos!$D$26:$AL$26,Datos!$D$3:$AL$3,"&gt;="&amp;DATE(YEAR(Datos!O$3),1,1),Datos!$D$3:$AL$3,"&lt;="&amp;Datos!O$3)</f>
        <v>0</v>
      </c>
      <c r="L901" s="193">
        <f>SUMIFS(Datos!$D$27:$AL$27,Datos!$D$3:$AL$3,"&gt;="&amp;DATE(YEAR(Datos!O$3),1,1),Datos!$D$3:$AL$3,"&lt;="&amp;Datos!O$3)</f>
        <v>0</v>
      </c>
      <c r="M901" s="193">
        <f>INDEX(_TARGETS!$J$2:$J$17,MATCH($C901,_TARGETS!$A$2:$A$17,0))</f>
        <v>1</v>
      </c>
      <c r="N901" s="193" t="str">
        <f>INDEX(_TARGETS!$D$2:$D$17,MATCH($C901,_TARGETS!$A$2:$A$17,0))</f>
        <v>% (fracción)</v>
      </c>
      <c r="O901" s="193" t="str">
        <f>IF(NOT(ISNUMBER(F901)),IF(SUMPRODUCT(($C$2:$C$1300=C901)*($J$2:$J$1300="Monthly")*($A$2:$A$1300&lt;=A901)*(YEAR($A$2:$A$1300)=YEAR(A901))*ISNUMBER($K$2:$K$1300)*ISNUMBER($L$2:$L$1300)*($L$2:$L$1300=0)*($K$2:$K$1300&gt;0))&gt;0,"INCOMPLETE","MISSING"),O245)</f>
        <v>MISSING</v>
      </c>
      <c r="P901" s="193" t="str">
        <f>INDEX(_TARGETS!$K$2:$K$17,MATCH($C901,_TARGETS!$A$2:$A$17,0))</f>
        <v>OPS (carga manual en Datos)</v>
      </c>
      <c r="Q901" s="193" t="str">
        <f t="shared" si="83"/>
        <v>202707|CCS|YTD</v>
      </c>
      <c r="R901" s="193" t="str">
        <f>INDEX(_TARGETS!$H$2:$H$17,MATCH($C901,_TARGETS!$A$2:$A$17,0))</f>
        <v>Definida</v>
      </c>
      <c r="S901" s="193" t="str">
        <f t="shared" si="84"/>
        <v/>
      </c>
      <c r="T901" s="193" t="str">
        <f t="shared" si="85"/>
        <v/>
      </c>
    </row>
    <row r="902" spans="1:20" ht="14.25" customHeight="1" x14ac:dyDescent="0.3">
      <c r="A902" s="249">
        <f>KPIs!$O$3</f>
        <v>46569</v>
      </c>
      <c r="B902" s="193" t="str">
        <f>KPIs!O$4</f>
        <v>Compresora</v>
      </c>
      <c r="C902" t="s">
        <v>91</v>
      </c>
      <c r="D902" s="193" t="str">
        <f>KPIs!$A$48</f>
        <v>13 · Días promedio para cerrar hallazgos · YTD</v>
      </c>
      <c r="E902" t="s">
        <v>601</v>
      </c>
      <c r="F902" s="251" t="str">
        <f>IF(ISNUMBER(KPIs!O48),KPIs!O48,"")</f>
        <v/>
      </c>
      <c r="G902" s="193" t="str">
        <f>IF(ISNUMBER(KPIs!$C$48),KPIs!$C$48,"")</f>
        <v/>
      </c>
      <c r="H902" s="193" t="str">
        <f>IFERROR(INDEX(_TARGETS!$E$2:$E$17,MATCH($C902,_TARGETS!$A$2:$A$17,0))&amp;"","")</f>
        <v>≤</v>
      </c>
      <c r="I902" s="193" t="str">
        <f t="shared" si="81"/>
        <v/>
      </c>
      <c r="J902" s="193" t="str">
        <f t="shared" si="82"/>
        <v>YTD</v>
      </c>
      <c r="K902" s="193">
        <f>SUMIFS(Datos!$D$68:$AL$68,Datos!$D$3:$AL$3,"&gt;="&amp;DATE(YEAR(Datos!O$3),1,1),Datos!$D$3:$AL$3,"&lt;="&amp;Datos!O$3)</f>
        <v>0</v>
      </c>
      <c r="L902" s="193">
        <f>SUMIFS(Datos!$D$67:$AL$67,Datos!$D$3:$AL$3,"&gt;="&amp;DATE(YEAR(Datos!O$3),1,1),Datos!$D$3:$AL$3,"&lt;="&amp;Datos!O$3)</f>
        <v>0</v>
      </c>
      <c r="M902" s="193">
        <f>INDEX(_TARGETS!$J$2:$J$17,MATCH($C902,_TARGETS!$A$2:$A$17,0))</f>
        <v>1</v>
      </c>
      <c r="N902" s="193" t="str">
        <f>INDEX(_TARGETS!$D$2:$D$17,MATCH($C902,_TARGETS!$A$2:$A$17,0))</f>
        <v>días</v>
      </c>
      <c r="O902" s="193" t="str">
        <f>IF(NOT(ISNUMBER(F902)),IF(SUMPRODUCT(($C$2:$C$1300=C902)*($J$2:$J$1300="Monthly")*($A$2:$A$1300&lt;=A902)*(YEAR($A$2:$A$1300)=YEAR(A902))*ISNUMBER($K$2:$K$1300)*ISNUMBER($L$2:$L$1300)*($L$2:$L$1300=0)*($K$2:$K$1300&gt;0))&gt;0,"INCOMPLETE","MISSING"),O246)</f>
        <v>MISSING</v>
      </c>
      <c r="P902" s="193" t="str">
        <f>INDEX(_TARGETS!$K$2:$K$17,MATCH($C902,_TARGETS!$A$2:$A$17,0))</f>
        <v>Plant Findings (hoja Observaciones-SMP)</v>
      </c>
      <c r="Q902" s="193" t="str">
        <f t="shared" si="83"/>
        <v>202707|DPAS|YTD</v>
      </c>
      <c r="R902" s="193" t="str">
        <f>INDEX(_TARGETS!$H$2:$H$17,MATCH($C902,_TARGETS!$A$2:$A$17,0))</f>
        <v>Pendiente (meta 2027)</v>
      </c>
      <c r="S902" s="193" t="str">
        <f t="shared" si="84"/>
        <v/>
      </c>
      <c r="T902" s="193" t="str">
        <f t="shared" si="85"/>
        <v/>
      </c>
    </row>
    <row r="903" spans="1:20" ht="14.25" customHeight="1" x14ac:dyDescent="0.3">
      <c r="A903" s="249">
        <f>KPIs!$O$3</f>
        <v>46569</v>
      </c>
      <c r="B903" s="193" t="str">
        <f>KPIs!O$4</f>
        <v>Compresora</v>
      </c>
      <c r="C903" t="s">
        <v>96</v>
      </c>
      <c r="D903" s="193" t="str">
        <f>KPIs!$A$49</f>
        <v>C1 · % de desvíos detectados de gravedad Alta · YTD</v>
      </c>
      <c r="E903" t="s">
        <v>601</v>
      </c>
      <c r="F903" s="193" t="str">
        <f>IF(ISNUMBER(KPIs!O49),KPIs!O49,"")</f>
        <v/>
      </c>
      <c r="G903" s="193" t="str">
        <f>IF(ISNUMBER(KPIs!$C$49),KPIs!$C$49,"")</f>
        <v/>
      </c>
      <c r="H903" s="193" t="str">
        <f>IFERROR(INDEX(_TARGETS!$E$2:$E$17,MATCH($C903,_TARGETS!$A$2:$A$17,0))&amp;"","")</f>
        <v/>
      </c>
      <c r="I903" s="193" t="str">
        <f t="shared" si="81"/>
        <v/>
      </c>
      <c r="J903" s="193" t="str">
        <f t="shared" si="82"/>
        <v>YTD</v>
      </c>
      <c r="K903" s="193">
        <f>SUMIFS(Datos!$D$71:$AL$71,Datos!$D$3:$AL$3,"&gt;="&amp;DATE(YEAR(Datos!O$3),1,1),Datos!$D$3:$AL$3,"&lt;="&amp;Datos!O$3)</f>
        <v>0</v>
      </c>
      <c r="L903" s="193">
        <f>SUMIFS(Datos!$D$71:$AL$71,Datos!$D$3:$AL$3,"&gt;="&amp;DATE(YEAR(Datos!O$3),1,1),Datos!$D$3:$AL$3,"&lt;="&amp;Datos!O$3)+SUMIFS(Datos!$D$72:$AL$72,Datos!$D$3:$AL$3,"&gt;="&amp;DATE(YEAR(Datos!O$3),1,1),Datos!$D$3:$AL$3,"&lt;="&amp;Datos!O$3)+SUMIFS(Datos!$D$73:$AL$73,Datos!$D$3:$AL$3,"&gt;="&amp;DATE(YEAR(Datos!O$3),1,1),Datos!$D$3:$AL$3,"&lt;="&amp;Datos!O$3)</f>
        <v>0</v>
      </c>
      <c r="M903" s="193">
        <f>INDEX(_TARGETS!$J$2:$J$17,MATCH($C903,_TARGETS!$A$2:$A$17,0))</f>
        <v>1</v>
      </c>
      <c r="N903" s="193" t="str">
        <f>INDEX(_TARGETS!$D$2:$D$17,MATCH($C903,_TARGETS!$A$2:$A$17,0))</f>
        <v>% (fracción)</v>
      </c>
      <c r="O903" s="193" t="str">
        <f t="shared" ref="O903:O909" si="86">IF(NOT(ISNUMBER(F903)),IF(SUMPRODUCT(($C$2:$C$1300=C903)*($J$2:$J$1300="Monthly")*($A$2:$A$1300&lt;=A903)*(YEAR($A$2:$A$1300)=YEAR(A903))*ISNUMBER($K$2:$K$1300)*ISNUMBER($L$2:$L$1300)*($L$2:$L$1300=0)*($K$2:$K$1300&gt;0))&gt;0,"INCOMPLETE","MISSING"),O252)</f>
        <v>MISSING</v>
      </c>
      <c r="P903" s="193" t="str">
        <f>INDEX(_TARGETS!$K$2:$K$17,MATCH($C903,_TARGETS!$A$2:$A$17,0))</f>
        <v>Plant Findings (hoja Observaciones-SMP)</v>
      </c>
      <c r="Q903" s="193" t="str">
        <f t="shared" si="83"/>
        <v>202707|HAL_ALTA_PCT|YTD</v>
      </c>
      <c r="R903" s="193" t="str">
        <f>INDEX(_TARGETS!$H$2:$H$17,MATCH($C903,_TARGETS!$A$2:$A$17,0))</f>
        <v>Solo reporte</v>
      </c>
      <c r="S903" s="193" t="str">
        <f t="shared" si="84"/>
        <v/>
      </c>
      <c r="T903" s="193" t="str">
        <f t="shared" si="85"/>
        <v/>
      </c>
    </row>
    <row r="904" spans="1:20" ht="14.25" customHeight="1" x14ac:dyDescent="0.3">
      <c r="A904" s="249">
        <f>KPIs!$O$3</f>
        <v>46569</v>
      </c>
      <c r="B904" s="193" t="str">
        <f>KPIs!O$4</f>
        <v>Compresora</v>
      </c>
      <c r="C904" t="s">
        <v>98</v>
      </c>
      <c r="D904" s="193" t="str">
        <f>KPIs!$A$50</f>
        <v>C2 · Detenciones de tareas aplicadas · YTD</v>
      </c>
      <c r="E904" t="s">
        <v>601</v>
      </c>
      <c r="F904" s="193" t="str">
        <f>IF(ISNUMBER(KPIs!O50),KPIs!O50,"")</f>
        <v/>
      </c>
      <c r="G904" s="193" t="str">
        <f>IF(ISNUMBER(KPIs!$C$50),KPIs!$C$50,"")</f>
        <v/>
      </c>
      <c r="H904" s="193" t="str">
        <f>IFERROR(INDEX(_TARGETS!$E$2:$E$17,MATCH($C904,_TARGETS!$A$2:$A$17,0))&amp;"","")</f>
        <v/>
      </c>
      <c r="I904" s="193" t="str">
        <f t="shared" si="81"/>
        <v/>
      </c>
      <c r="J904" s="193" t="str">
        <f t="shared" si="82"/>
        <v>YTD</v>
      </c>
      <c r="K904" s="193">
        <f>SUMIFS(Datos!$D$75:$AL$75,Datos!$D$3:$AL$3,"&gt;="&amp;DATE(YEAR(Datos!O$3),1,1),Datos!$D$3:$AL$3,"&lt;="&amp;Datos!O$3)</f>
        <v>0</v>
      </c>
      <c r="M904" s="193">
        <f>INDEX(_TARGETS!$J$2:$J$17,MATCH($C904,_TARGETS!$A$2:$A$17,0))</f>
        <v>1</v>
      </c>
      <c r="N904" s="193" t="str">
        <f>INDEX(_TARGETS!$D$2:$D$17,MATCH($C904,_TARGETS!$A$2:$A$17,0))</f>
        <v>u</v>
      </c>
      <c r="O904" s="193" t="str">
        <f t="shared" si="86"/>
        <v>MISSING</v>
      </c>
      <c r="P904" s="193" t="str">
        <f>INDEX(_TARGETS!$K$2:$K$17,MATCH($C904,_TARGETS!$A$2:$A$17,0))</f>
        <v>Plant Findings (hoja Observaciones-SMP)</v>
      </c>
      <c r="Q904" s="193" t="str">
        <f t="shared" si="83"/>
        <v>202707|DET|YTD</v>
      </c>
      <c r="R904" s="193" t="str">
        <f>INDEX(_TARGETS!$H$2:$H$17,MATCH($C904,_TARGETS!$A$2:$A$17,0))</f>
        <v>Solo reporte</v>
      </c>
      <c r="S904" s="193">
        <f t="shared" si="84"/>
        <v>0</v>
      </c>
      <c r="T904" s="193" t="str">
        <f t="shared" si="85"/>
        <v/>
      </c>
    </row>
    <row r="905" spans="1:20" ht="14.25" customHeight="1" x14ac:dyDescent="0.3">
      <c r="A905" s="249">
        <f>KPIs!$P$3</f>
        <v>46600</v>
      </c>
      <c r="B905" s="193" t="str">
        <f>KPIs!P$4</f>
        <v>Compresora</v>
      </c>
      <c r="C905" t="s">
        <v>39</v>
      </c>
      <c r="D905" s="193" t="str">
        <f>KPIs!$A$37</f>
        <v>1 · Frecuencia de casos con días perdidos · YTD</v>
      </c>
      <c r="E905" t="s">
        <v>601</v>
      </c>
      <c r="F905" s="193" t="str">
        <f>IF(ISNUMBER(KPIs!P37),KPIs!P37,"")</f>
        <v/>
      </c>
      <c r="G905" s="250">
        <f>IF(ISNUMBER(KPIs!$C$37),KPIs!$C$37,"")</f>
        <v>0</v>
      </c>
      <c r="H905" s="193" t="str">
        <f>IFERROR(INDEX(_TARGETS!$E$2:$E$17,MATCH($C905,_TARGETS!$A$2:$A$17,0))&amp;"","")</f>
        <v>≤</v>
      </c>
      <c r="I905" s="193" t="str">
        <f t="shared" si="81"/>
        <v/>
      </c>
      <c r="J905" s="193" t="str">
        <f t="shared" si="82"/>
        <v>YTD</v>
      </c>
      <c r="K905" s="193">
        <f>SUMIFS(Datos!$D$33:$AL$33,Datos!$D$3:$AL$3,"&gt;="&amp;DATE(YEAR(Datos!P$3),1,1),Datos!$D$3:$AL$3,"&lt;="&amp;Datos!P$3)</f>
        <v>0</v>
      </c>
      <c r="L905" s="193">
        <f>SUMIFS(Datos!$D$14:$AL$14,Datos!$D$3:$AL$3,"&gt;="&amp;DATE(YEAR(Datos!P$3),1,1),Datos!$D$3:$AL$3,"&lt;="&amp;Datos!P$3)</f>
        <v>0</v>
      </c>
      <c r="M905" s="193">
        <f>INDEX(_TARGETS!$J$2:$J$17,MATCH($C905,_TARGETS!$A$2:$A$17,0))</f>
        <v>1000000</v>
      </c>
      <c r="N905" s="193" t="str">
        <f>INDEX(_TARGETS!$D$2:$D$17,MATCH($C905,_TARGETS!$A$2:$A$17,0))</f>
        <v>casos / 10^6 HH</v>
      </c>
      <c r="O905" s="193" t="str">
        <f t="shared" si="86"/>
        <v>MISSING</v>
      </c>
      <c r="P905" s="193" t="str">
        <f>INDEX(_TARGETS!$K$2:$K$17,MATCH($C905,_TARGETS!$A$2:$A$17,0))</f>
        <v>OPS (carga manual en Datos)</v>
      </c>
      <c r="Q905" s="193" t="str">
        <f t="shared" si="83"/>
        <v>202708|DAFWCF|YTD</v>
      </c>
      <c r="R905" s="193" t="str">
        <f>INDEX(_TARGETS!$H$2:$H$17,MATCH($C905,_TARGETS!$A$2:$A$17,0))</f>
        <v>Definida</v>
      </c>
      <c r="S905" s="193" t="str">
        <f t="shared" si="84"/>
        <v/>
      </c>
      <c r="T905" s="193" t="str">
        <f t="shared" si="85"/>
        <v/>
      </c>
    </row>
    <row r="906" spans="1:20" ht="14.25" customHeight="1" x14ac:dyDescent="0.3">
      <c r="A906" s="249">
        <f>KPIs!$P$3</f>
        <v>46600</v>
      </c>
      <c r="B906" s="193" t="str">
        <f>KPIs!P$4</f>
        <v>Compresora</v>
      </c>
      <c r="C906" t="s">
        <v>49</v>
      </c>
      <c r="D906" s="193" t="str">
        <f>KPIs!$A$38</f>
        <v>2 · Frecuencia de casos registrables · YTD</v>
      </c>
      <c r="E906" t="s">
        <v>601</v>
      </c>
      <c r="F906" s="193" t="str">
        <f>IF(ISNUMBER(KPIs!P38),KPIs!P38,"")</f>
        <v/>
      </c>
      <c r="G906" s="250">
        <f>IF(ISNUMBER(KPIs!$C$38),KPIs!$C$38,"")</f>
        <v>2.35</v>
      </c>
      <c r="H906" s="193" t="str">
        <f>IFERROR(INDEX(_TARGETS!$E$2:$E$17,MATCH($C906,_TARGETS!$A$2:$A$17,0))&amp;"","")</f>
        <v>≤</v>
      </c>
      <c r="I906" s="193" t="str">
        <f t="shared" si="81"/>
        <v/>
      </c>
      <c r="J906" s="193" t="str">
        <f t="shared" si="82"/>
        <v>YTD</v>
      </c>
      <c r="K906" s="193">
        <f>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f>
        <v>0</v>
      </c>
      <c r="L906" s="193">
        <f>SUMIFS(Datos!$D$14:$AL$14,Datos!$D$3:$AL$3,"&gt;="&amp;DATE(YEAR(Datos!P$3),1,1),Datos!$D$3:$AL$3,"&lt;="&amp;Datos!P$3)</f>
        <v>0</v>
      </c>
      <c r="M906" s="193">
        <f>INDEX(_TARGETS!$J$2:$J$17,MATCH($C906,_TARGETS!$A$2:$A$17,0))</f>
        <v>1000000</v>
      </c>
      <c r="N906" s="193" t="str">
        <f>INDEX(_TARGETS!$D$2:$D$17,MATCH($C906,_TARGETS!$A$2:$A$17,0))</f>
        <v>casos / 10^6 HH</v>
      </c>
      <c r="O906" s="193" t="str">
        <f t="shared" si="86"/>
        <v>MISSING</v>
      </c>
      <c r="P906" s="193" t="str">
        <f>INDEX(_TARGETS!$K$2:$K$17,MATCH($C906,_TARGETS!$A$2:$A$17,0))</f>
        <v>OPS (carga manual en Datos)</v>
      </c>
      <c r="Q906" s="193" t="str">
        <f t="shared" si="83"/>
        <v>202708|TRICF|YTD</v>
      </c>
      <c r="R906" s="193" t="str">
        <f>INDEX(_TARGETS!$H$2:$H$17,MATCH($C906,_TARGETS!$A$2:$A$17,0))</f>
        <v>Definida</v>
      </c>
      <c r="S906" s="193" t="str">
        <f t="shared" si="84"/>
        <v/>
      </c>
      <c r="T906" s="193" t="str">
        <f t="shared" si="85"/>
        <v/>
      </c>
    </row>
    <row r="907" spans="1:20" ht="14.25" customHeight="1" x14ac:dyDescent="0.3">
      <c r="A907" s="249">
        <f>KPIs!$P$3</f>
        <v>46600</v>
      </c>
      <c r="B907" s="193" t="str">
        <f>KPIs!P$4</f>
        <v>Compresora</v>
      </c>
      <c r="C907" t="s">
        <v>51</v>
      </c>
      <c r="D907" s="193" t="str">
        <f>KPIs!$A$39</f>
        <v>3 · Casos de primeros auxilios · YTD</v>
      </c>
      <c r="E907" t="s">
        <v>601</v>
      </c>
      <c r="F907" s="193" t="str">
        <f>IF(ISNUMBER(KPIs!P39),KPIs!P39,"")</f>
        <v/>
      </c>
      <c r="G907" s="193" t="str">
        <f>IF(ISNUMBER(KPIs!$C$39),KPIs!$C$39,"")</f>
        <v/>
      </c>
      <c r="H907" s="193" t="str">
        <f>IFERROR(INDEX(_TARGETS!$E$2:$E$17,MATCH($C907,_TARGETS!$A$2:$A$17,0))&amp;"","")</f>
        <v/>
      </c>
      <c r="I907" s="193" t="str">
        <f t="shared" si="81"/>
        <v/>
      </c>
      <c r="J907" s="193" t="str">
        <f t="shared" si="82"/>
        <v>YTD</v>
      </c>
      <c r="K907" s="193">
        <f>SUMIFS(Datos!$D$37:$AL$37,Datos!$D$3:$AL$3,"&gt;="&amp;DATE(YEAR(Datos!P$3),1,1),Datos!$D$3:$AL$3,"&lt;="&amp;Datos!P$3)</f>
        <v>0</v>
      </c>
      <c r="M907" s="193">
        <f>INDEX(_TARGETS!$J$2:$J$17,MATCH($C907,_TARGETS!$A$2:$A$17,0))</f>
        <v>1</v>
      </c>
      <c r="N907" s="193" t="str">
        <f>INDEX(_TARGETS!$D$2:$D$17,MATCH($C907,_TARGETS!$A$2:$A$17,0))</f>
        <v>casos</v>
      </c>
      <c r="O907" s="193" t="str">
        <f t="shared" si="86"/>
        <v>MISSING</v>
      </c>
      <c r="P907" s="193" t="str">
        <f>INDEX(_TARGETS!$K$2:$K$17,MATCH($C907,_TARGETS!$A$2:$A$17,0))</f>
        <v>OPS (carga manual en Datos)</v>
      </c>
      <c r="Q907" s="193" t="str">
        <f t="shared" si="83"/>
        <v>202708|FAC|YTD</v>
      </c>
      <c r="R907" s="193" t="str">
        <f>INDEX(_TARGETS!$H$2:$H$17,MATCH($C907,_TARGETS!$A$2:$A$17,0))</f>
        <v>Solo reporte</v>
      </c>
      <c r="S907" s="193">
        <f t="shared" si="84"/>
        <v>0</v>
      </c>
      <c r="T907" s="193" t="str">
        <f t="shared" si="85"/>
        <v/>
      </c>
    </row>
    <row r="908" spans="1:20" ht="14.25" customHeight="1" x14ac:dyDescent="0.3">
      <c r="A908" s="249">
        <f>KPIs!$P$3</f>
        <v>46600</v>
      </c>
      <c r="B908" s="193" t="str">
        <f>KPIs!P$4</f>
        <v>Compresora</v>
      </c>
      <c r="C908" t="s">
        <v>57</v>
      </c>
      <c r="D908" s="193" t="str">
        <f>KPIs!$A$40</f>
        <v>4 · Accidentes vehiculares severos por millón de km · YTD</v>
      </c>
      <c r="E908" t="s">
        <v>601</v>
      </c>
      <c r="F908" s="193" t="str">
        <f>IF(ISNUMBER(KPIs!P40),KPIs!P40,"")</f>
        <v/>
      </c>
      <c r="G908" s="193" t="str">
        <f>IF(ISNUMBER(KPIs!$C$40),KPIs!$C$40,"")</f>
        <v/>
      </c>
      <c r="H908" s="193" t="str">
        <f>IFERROR(INDEX(_TARGETS!$E$2:$E$17,MATCH($C908,_TARGETS!$A$2:$A$17,0))&amp;"","")</f>
        <v/>
      </c>
      <c r="I908" s="193" t="str">
        <f t="shared" si="81"/>
        <v/>
      </c>
      <c r="J908" s="193" t="str">
        <f t="shared" si="82"/>
        <v>YTD</v>
      </c>
      <c r="K908" s="193">
        <f>SUMIFS(Datos!$D$39:$AL$39,Datos!$D$3:$AL$3,"&gt;="&amp;DATE(YEAR(Datos!P$3),1,1),Datos!$D$3:$AL$3,"&lt;="&amp;Datos!P$3)+SUMIFS(Datos!$D$40:$AL$40,Datos!$D$3:$AL$3,"&gt;="&amp;DATE(YEAR(Datos!P$3),1,1),Datos!$D$3:$AL$3,"&lt;="&amp;Datos!P$3)+SUMIFS(Datos!$D$41:$AL$41,Datos!$D$3:$AL$3,"&gt;="&amp;DATE(YEAR(Datos!P$3),1,1),Datos!$D$3:$AL$3,"&lt;="&amp;Datos!P$3)</f>
        <v>0</v>
      </c>
      <c r="L908" s="193">
        <f>SUMIFS(Datos!$D$47:$AL$47,Datos!$D$3:$AL$3,"&gt;="&amp;DATE(YEAR(Datos!P$3),1,1),Datos!$D$3:$AL$3,"&lt;="&amp;Datos!P$3)</f>
        <v>0</v>
      </c>
      <c r="M908" s="193">
        <f>INDEX(_TARGETS!$J$2:$J$17,MATCH($C908,_TARGETS!$A$2:$A$17,0))</f>
        <v>1000000</v>
      </c>
      <c r="N908" s="193" t="str">
        <f>INDEX(_TARGETS!$D$2:$D$17,MATCH($C908,_TARGETS!$A$2:$A$17,0))</f>
        <v>eventos / 10^6 km</v>
      </c>
      <c r="O908" s="193" t="str">
        <f t="shared" si="86"/>
        <v>MISSING</v>
      </c>
      <c r="P908" s="193" t="str">
        <f>INDEX(_TARGETS!$K$2:$K$17,MATCH($C908,_TARGETS!$A$2:$A$17,0))</f>
        <v>OPS (eventos) + Full Control GPS (km) - carga manual en Datos</v>
      </c>
      <c r="Q908" s="193" t="str">
        <f t="shared" si="83"/>
        <v>202708|SVCR|YTD</v>
      </c>
      <c r="R908" s="193" t="str">
        <f>INDEX(_TARGETS!$H$2:$H$17,MATCH($C908,_TARGETS!$A$2:$A$17,0))</f>
        <v>Solo reporte</v>
      </c>
      <c r="S908" s="193" t="str">
        <f t="shared" si="84"/>
        <v/>
      </c>
      <c r="T908" s="193" t="str">
        <f t="shared" si="85"/>
        <v/>
      </c>
    </row>
    <row r="909" spans="1:20" ht="14.25" customHeight="1" x14ac:dyDescent="0.3">
      <c r="A909" s="249">
        <f>KPIs!$P$3</f>
        <v>46600</v>
      </c>
      <c r="B909" s="193" t="str">
        <f>KPIs!P$4</f>
        <v>Compresora</v>
      </c>
      <c r="C909" t="s">
        <v>61</v>
      </c>
      <c r="D909" s="193" t="str">
        <f>KPIs!$A$41</f>
        <v>5 · Accidentes vehiculares totales por millón de km · YTD</v>
      </c>
      <c r="E909" t="s">
        <v>601</v>
      </c>
      <c r="F909" s="193" t="str">
        <f>IF(ISNUMBER(KPIs!P41),KPIs!P41,"")</f>
        <v/>
      </c>
      <c r="G909" s="250">
        <f>IF(ISNUMBER(KPIs!$C$41),KPIs!$C$41,"")</f>
        <v>0.79</v>
      </c>
      <c r="H909" s="193" t="str">
        <f>IFERROR(INDEX(_TARGETS!$E$2:$E$17,MATCH($C909,_TARGETS!$A$2:$A$17,0))&amp;"","")</f>
        <v>≤</v>
      </c>
      <c r="I909" s="193" t="str">
        <f t="shared" si="81"/>
        <v/>
      </c>
      <c r="J909" s="193" t="str">
        <f t="shared" si="82"/>
        <v>YTD</v>
      </c>
      <c r="K909" s="193">
        <f>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f>
        <v>0</v>
      </c>
      <c r="L909" s="193">
        <f>SUMIFS(Datos!$D$47:$AL$47,Datos!$D$3:$AL$3,"&gt;="&amp;DATE(YEAR(Datos!P$3),1,1),Datos!$D$3:$AL$3,"&lt;="&amp;Datos!P$3)</f>
        <v>0</v>
      </c>
      <c r="M909" s="193">
        <f>INDEX(_TARGETS!$J$2:$J$17,MATCH($C909,_TARGETS!$A$2:$A$17,0))</f>
        <v>1000000</v>
      </c>
      <c r="N909" s="193" t="str">
        <f>INDEX(_TARGETS!$D$2:$D$17,MATCH($C909,_TARGETS!$A$2:$A$17,0))</f>
        <v>eventos / 10^6 km</v>
      </c>
      <c r="O909" s="193" t="str">
        <f t="shared" si="86"/>
        <v>MISSING</v>
      </c>
      <c r="P909" s="193" t="str">
        <f>INDEX(_TARGETS!$K$2:$K$17,MATCH($C909,_TARGETS!$A$2:$A$17,0))</f>
        <v>OPS (eventos) + Full Control GPS (km) - carga manual en Datos</v>
      </c>
      <c r="Q909" s="193" t="str">
        <f t="shared" si="83"/>
        <v>202708|TVCR|YTD</v>
      </c>
      <c r="R909" s="193" t="str">
        <f>INDEX(_TARGETS!$H$2:$H$17,MATCH($C909,_TARGETS!$A$2:$A$17,0))</f>
        <v>Definida</v>
      </c>
      <c r="S909" s="193" t="str">
        <f t="shared" si="84"/>
        <v/>
      </c>
      <c r="T909" s="193" t="str">
        <f t="shared" si="85"/>
        <v/>
      </c>
    </row>
    <row r="910" spans="1:20" ht="14.25" customHeight="1" x14ac:dyDescent="0.3">
      <c r="A910" s="249">
        <f>KPIs!$P$3</f>
        <v>46600</v>
      </c>
      <c r="B910" s="193" t="str">
        <f>KPIs!P$4</f>
        <v>Compresora</v>
      </c>
      <c r="C910" t="s">
        <v>71</v>
      </c>
      <c r="D910" s="193" t="str">
        <f>KPIs!$A$42</f>
        <v>7 · Investigaciones de accidentes: días promedio de cierre · YTD</v>
      </c>
      <c r="E910" t="s">
        <v>601</v>
      </c>
      <c r="F910" s="193" t="str">
        <f>IF(ISNUMBER(KPIs!P42),KPIs!P42,"")</f>
        <v/>
      </c>
      <c r="G910" s="251">
        <f>IF(ISNUMBER(KPIs!$C$42),KPIs!$C$42,"")</f>
        <v>20</v>
      </c>
      <c r="H910" s="193" t="str">
        <f>IFERROR(INDEX(_TARGETS!$E$2:$E$17,MATCH($C910,_TARGETS!$A$2:$A$17,0))&amp;"","")</f>
        <v>≤</v>
      </c>
      <c r="I910" s="193" t="str">
        <f t="shared" si="81"/>
        <v/>
      </c>
      <c r="J910" s="193" t="str">
        <f t="shared" si="82"/>
        <v>YTD</v>
      </c>
      <c r="K910" s="193">
        <f>SUMIFS(Datos!$D$31:$AL$31,Datos!$D$3:$AL$3,"&gt;="&amp;DATE(YEAR(Datos!P$3),1,1),Datos!$D$3:$AL$3,"&lt;="&amp;Datos!P$3)</f>
        <v>0</v>
      </c>
      <c r="L910" s="193">
        <f>SUMIFS(Datos!$D$30:$AL$30,Datos!$D$3:$AL$3,"&gt;="&amp;DATE(YEAR(Datos!P$3),1,1),Datos!$D$3:$AL$3,"&lt;="&amp;Datos!P$3)</f>
        <v>0</v>
      </c>
      <c r="M910" s="193">
        <f>INDEX(_TARGETS!$J$2:$J$17,MATCH($C910,_TARGETS!$A$2:$A$17,0))</f>
        <v>1</v>
      </c>
      <c r="N910" s="193" t="str">
        <f>INDEX(_TARGETS!$D$2:$D$17,MATCH($C910,_TARGETS!$A$2:$A$17,0))</f>
        <v>días</v>
      </c>
      <c r="O910" s="193" t="str">
        <f>IF(NOT(ISNUMBER(F910)),IF(SUMPRODUCT(($C$2:$C$1300=C910)*($J$2:$J$1300="Monthly")*($A$2:$A$1300&lt;=A910)*(YEAR($A$2:$A$1300)=YEAR(A910))*ISNUMBER($K$2:$K$1300)*ISNUMBER($L$2:$L$1300)*($L$2:$L$1300=0)*($K$2:$K$1300&gt;0))&gt;0,"INCOMPLETE","MISSING"),O260)</f>
        <v>MISSING</v>
      </c>
      <c r="P910" s="193" t="str">
        <f>INDEX(_TARGETS!$K$2:$K$17,MATCH($C910,_TARGETS!$A$2:$A$17,0))</f>
        <v>OPS (carga manual en Datos)</v>
      </c>
      <c r="Q910" s="193" t="str">
        <f t="shared" si="83"/>
        <v>202708|INV|YTD</v>
      </c>
      <c r="R910" s="193" t="str">
        <f>INDEX(_TARGETS!$H$2:$H$17,MATCH($C910,_TARGETS!$A$2:$A$17,0))</f>
        <v>Definida</v>
      </c>
      <c r="S910" s="193" t="str">
        <f t="shared" si="84"/>
        <v/>
      </c>
      <c r="T910" s="193" t="str">
        <f t="shared" si="85"/>
        <v/>
      </c>
    </row>
    <row r="911" spans="1:20" ht="14.25" customHeight="1" x14ac:dyDescent="0.3">
      <c r="A911" s="249">
        <f>KPIs!$P$3</f>
        <v>46600</v>
      </c>
      <c r="B911" s="193" t="str">
        <f>KPIs!P$4</f>
        <v>Compresora</v>
      </c>
      <c r="C911" t="s">
        <v>76</v>
      </c>
      <c r="D911" s="193" t="str">
        <f>KPIs!$A$43</f>
        <v>8 · % de capacitación en seguridad · YTD</v>
      </c>
      <c r="E911" t="s">
        <v>601</v>
      </c>
      <c r="F911" s="193" t="str">
        <f>IF(ISNUMBER(KPIs!P43),KPIs!P43,"")</f>
        <v/>
      </c>
      <c r="G911" s="252">
        <f>IF(ISNUMBER(KPIs!$C$43),KPIs!$C$43,"")</f>
        <v>0.01</v>
      </c>
      <c r="H911" s="193" t="str">
        <f>IFERROR(INDEX(_TARGETS!$E$2:$E$17,MATCH($C911,_TARGETS!$A$2:$A$17,0))&amp;"","")</f>
        <v>≥</v>
      </c>
      <c r="I911" s="193" t="str">
        <f t="shared" si="81"/>
        <v/>
      </c>
      <c r="J911" s="193" t="str">
        <f t="shared" si="82"/>
        <v>YTD</v>
      </c>
      <c r="K911" s="193">
        <f>SUMIFS(Datos!$D$18:$AL$18,Datos!$D$3:$AL$3,"&gt;="&amp;DATE(YEAR(Datos!P$3),1,1),Datos!$D$3:$AL$3,"&lt;="&amp;Datos!P$3)</f>
        <v>0</v>
      </c>
      <c r="L911" s="193">
        <f>SUMIFS(Datos!$D$14:$AL$14,Datos!$D$3:$AL$3,"&gt;="&amp;DATE(YEAR(Datos!P$3),1,1),Datos!$D$3:$AL$3,"&lt;="&amp;Datos!P$3)</f>
        <v>0</v>
      </c>
      <c r="M911" s="193">
        <f>INDEX(_TARGETS!$J$2:$J$17,MATCH($C911,_TARGETS!$A$2:$A$17,0))</f>
        <v>1</v>
      </c>
      <c r="N911" s="193" t="str">
        <f>INDEX(_TARGETS!$D$2:$D$17,MATCH($C911,_TARGETS!$A$2:$A$17,0))</f>
        <v>% (fracción)</v>
      </c>
      <c r="O911" s="193" t="str">
        <f>IF(NOT(ISNUMBER(F911)),IF(SUMPRODUCT(($C$2:$C$1300=C911)*($J$2:$J$1300="Monthly")*($A$2:$A$1300&lt;=A911)*(YEAR($A$2:$A$1300)=YEAR(A911))*ISNUMBER($K$2:$K$1300)*ISNUMBER($L$2:$L$1300)*($L$2:$L$1300=0)*($K$2:$K$1300&gt;0))&gt;0,"INCOMPLETE","MISSING"),O261)</f>
        <v>MISSING</v>
      </c>
      <c r="P911" s="193" t="str">
        <f>INDEX(_TARGETS!$K$2:$K$17,MATCH($C911,_TARGETS!$A$2:$A$17,0))</f>
        <v>OPS (carga manual en Datos)</v>
      </c>
      <c r="Q911" s="193" t="str">
        <f t="shared" si="83"/>
        <v>202708|HCS|YTD</v>
      </c>
      <c r="R911" s="193" t="str">
        <f>INDEX(_TARGETS!$H$2:$H$17,MATCH($C911,_TARGETS!$A$2:$A$17,0))</f>
        <v>Definida</v>
      </c>
      <c r="S911" s="193" t="str">
        <f t="shared" si="84"/>
        <v/>
      </c>
      <c r="T911" s="193" t="str">
        <f t="shared" si="85"/>
        <v/>
      </c>
    </row>
    <row r="912" spans="1:20" ht="14.25" customHeight="1" x14ac:dyDescent="0.3">
      <c r="A912" s="249">
        <f>KPIs!$P$3</f>
        <v>46600</v>
      </c>
      <c r="B912" s="193" t="str">
        <f>KPIs!P$4</f>
        <v>Compresora</v>
      </c>
      <c r="C912" t="s">
        <v>83</v>
      </c>
      <c r="D912" s="193" t="str">
        <f>KPIs!$A$44</f>
        <v>10 · Cumplimiento de simulacros (emergencia y operativos) · YTD</v>
      </c>
      <c r="E912" t="s">
        <v>601</v>
      </c>
      <c r="F912" s="193" t="str">
        <f>IF(ISNUMBER(KPIs!P44),KPIs!P44,"")</f>
        <v/>
      </c>
      <c r="G912" s="253">
        <f>IF(ISNUMBER(KPIs!$C$44),KPIs!$C$44,"")</f>
        <v>1</v>
      </c>
      <c r="H912" s="193" t="str">
        <f>IFERROR(INDEX(_TARGETS!$E$2:$E$17,MATCH($C912,_TARGETS!$A$2:$A$17,0))&amp;"","")</f>
        <v>≥</v>
      </c>
      <c r="I912" s="193" t="str">
        <f t="shared" si="81"/>
        <v/>
      </c>
      <c r="J912" s="193" t="str">
        <f t="shared" si="82"/>
        <v>YTD</v>
      </c>
      <c r="K912" s="193">
        <f>SUMIFS(Datos!$D$20:$AL$20,Datos!$D$3:$AL$3,"&gt;="&amp;DATE(YEAR(Datos!P$3),1,1),Datos!$D$3:$AL$3,"&lt;="&amp;Datos!P$3)</f>
        <v>0</v>
      </c>
      <c r="L912" s="193">
        <f>SUMIFS(Datos!$D$21:$AL$21,Datos!$D$3:$AL$3,"&gt;="&amp;DATE(YEAR(Datos!P$3),1,1),Datos!$D$3:$AL$3,"&lt;="&amp;Datos!P$3)</f>
        <v>0</v>
      </c>
      <c r="M912" s="193">
        <f>INDEX(_TARGETS!$J$2:$J$17,MATCH($C912,_TARGETS!$A$2:$A$17,0))</f>
        <v>1</v>
      </c>
      <c r="N912" s="193" t="str">
        <f>INDEX(_TARGETS!$D$2:$D$17,MATCH($C912,_TARGETS!$A$2:$A$17,0))</f>
        <v>% (fracción)</v>
      </c>
      <c r="O912" s="193" t="str">
        <f>IF(NOT(ISNUMBER(F912)),IF(SUMPRODUCT(($C$2:$C$1300=C912)*($J$2:$J$1300="Monthly")*($A$2:$A$1300&lt;=A912)*(YEAR($A$2:$A$1300)=YEAR(A912))*ISNUMBER($K$2:$K$1300)*ISNUMBER($L$2:$L$1300)*($L$2:$L$1300=0)*($K$2:$K$1300&gt;0))&gt;0,"INCOMPLETE","MISSING"),O263)</f>
        <v>MISSING</v>
      </c>
      <c r="P912" s="193" t="str">
        <f>INDEX(_TARGETS!$K$2:$K$17,MATCH($C912,_TARGETS!$A$2:$A$17,0))</f>
        <v>OPS (carga manual en Datos)</v>
      </c>
      <c r="Q912" s="193" t="str">
        <f t="shared" si="83"/>
        <v>202708|CPSE|YTD</v>
      </c>
      <c r="R912" s="193" t="str">
        <f>INDEX(_TARGETS!$H$2:$H$17,MATCH($C912,_TARGETS!$A$2:$A$17,0))</f>
        <v>Definida</v>
      </c>
      <c r="S912" s="193" t="str">
        <f t="shared" si="84"/>
        <v/>
      </c>
      <c r="T912" s="193" t="str">
        <f t="shared" si="85"/>
        <v/>
      </c>
    </row>
    <row r="913" spans="1:20" ht="14.25" customHeight="1" x14ac:dyDescent="0.3">
      <c r="A913" s="249">
        <f>KPIs!$P$3</f>
        <v>46600</v>
      </c>
      <c r="B913" s="193" t="str">
        <f>KPIs!P$4</f>
        <v>Compresora</v>
      </c>
      <c r="C913" t="s">
        <v>85</v>
      </c>
      <c r="D913" s="193" t="str">
        <f>KPIs!$A$45</f>
        <v>10b · Cumplimiento de acciones de mejora de simulacros · YTD</v>
      </c>
      <c r="E913" t="s">
        <v>601</v>
      </c>
      <c r="F913" s="193" t="str">
        <f>IF(ISNUMBER(KPIs!P45),KPIs!P45,"")</f>
        <v/>
      </c>
      <c r="G913" s="254" t="str">
        <f>IF(ISNUMBER(KPIs!$C$45),KPIs!$C$45,"")</f>
        <v/>
      </c>
      <c r="H913" s="193" t="str">
        <f>IFERROR(INDEX(_TARGETS!$E$2:$E$17,MATCH($C913,_TARGETS!$A$2:$A$17,0))&amp;"","")</f>
        <v/>
      </c>
      <c r="I913" s="193" t="str">
        <f t="shared" si="81"/>
        <v/>
      </c>
      <c r="J913" s="193" t="str">
        <f t="shared" si="82"/>
        <v>YTD</v>
      </c>
      <c r="K913" s="193">
        <f>SUMIFS(Datos!$D$23:$AL$23,Datos!$D$3:$AL$3,"&gt;="&amp;DATE(YEAR(Datos!P$3),1,1),Datos!$D$3:$AL$3,"&lt;="&amp;Datos!P$3)</f>
        <v>0</v>
      </c>
      <c r="L913" s="193">
        <f>SUMIFS(Datos!$D$22:$AL$22,Datos!$D$3:$AL$3,"&gt;="&amp;DATE(YEAR(Datos!P$3),1,1),Datos!$D$3:$AL$3,"&lt;="&amp;Datos!P$3)</f>
        <v>0</v>
      </c>
      <c r="M913" s="193">
        <f>INDEX(_TARGETS!$J$2:$J$17,MATCH($C913,_TARGETS!$A$2:$A$17,0))</f>
        <v>1</v>
      </c>
      <c r="N913" s="193" t="str">
        <f>INDEX(_TARGETS!$D$2:$D$17,MATCH($C913,_TARGETS!$A$2:$A$17,0))</f>
        <v>% (fracción)</v>
      </c>
      <c r="O913" s="193" t="str">
        <f>IF(NOT(ISNUMBER(F913)),IF(SUMPRODUCT(($C$2:$C$1300=C913)*($J$2:$J$1300="Monthly")*($A$2:$A$1300&lt;=A913)*(YEAR($A$2:$A$1300)=YEAR(A913))*ISNUMBER($K$2:$K$1300)*ISNUMBER($L$2:$L$1300)*($L$2:$L$1300=0)*($K$2:$K$1300&gt;0))&gt;0,"INCOMPLETE","MISSING"),O264)</f>
        <v>MISSING</v>
      </c>
      <c r="P913" s="193" t="str">
        <f>INDEX(_TARGETS!$K$2:$K$17,MATCH($C913,_TARGETS!$A$2:$A$17,0))</f>
        <v>OPS (carga manual en Datos)</v>
      </c>
      <c r="Q913" s="193" t="str">
        <f t="shared" si="83"/>
        <v>202708|CAMS|YTD</v>
      </c>
      <c r="R913" s="193" t="str">
        <f>INDEX(_TARGETS!$H$2:$H$17,MATCH($C913,_TARGETS!$A$2:$A$17,0))</f>
        <v>Solo reporte</v>
      </c>
      <c r="S913" s="193" t="str">
        <f t="shared" si="84"/>
        <v/>
      </c>
      <c r="T913" s="193" t="str">
        <f t="shared" si="85"/>
        <v/>
      </c>
    </row>
    <row r="914" spans="1:20" ht="14.25" customHeight="1" x14ac:dyDescent="0.3">
      <c r="A914" s="249">
        <f>KPIs!$P$3</f>
        <v>46600</v>
      </c>
      <c r="B914" s="193" t="str">
        <f>KPIs!P$4</f>
        <v>Compresora</v>
      </c>
      <c r="C914" t="s">
        <v>87</v>
      </c>
      <c r="D914" s="193" t="str">
        <f>KPIs!$A$46</f>
        <v>11 · Cumplimiento de caminatas gerenciales · YTD</v>
      </c>
      <c r="E914" t="s">
        <v>601</v>
      </c>
      <c r="F914" s="193" t="str">
        <f>IF(ISNUMBER(KPIs!P46),KPIs!P46,"")</f>
        <v/>
      </c>
      <c r="G914" s="254">
        <f>IF(ISNUMBER(KPIs!$C$46),KPIs!$C$46,"")</f>
        <v>1</v>
      </c>
      <c r="H914" s="193" t="str">
        <f>IFERROR(INDEX(_TARGETS!$E$2:$E$17,MATCH($C914,_TARGETS!$A$2:$A$17,0))&amp;"","")</f>
        <v>≥</v>
      </c>
      <c r="I914" s="193" t="str">
        <f t="shared" si="81"/>
        <v/>
      </c>
      <c r="J914" s="193" t="str">
        <f t="shared" si="82"/>
        <v>YTD</v>
      </c>
      <c r="K914" s="193">
        <f>SUMIFS(Datos!$D$24:$AL$24,Datos!$D$3:$AL$3,"&gt;="&amp;DATE(YEAR(Datos!P$3),1,1),Datos!$D$3:$AL$3,"&lt;="&amp;Datos!P$3)</f>
        <v>0</v>
      </c>
      <c r="L914" s="193">
        <f>SUMIFS(Datos!$D$25:$AL$25,Datos!$D$3:$AL$3,"&gt;="&amp;DATE(YEAR(Datos!P$3),1,1),Datos!$D$3:$AL$3,"&lt;="&amp;Datos!P$3)</f>
        <v>0</v>
      </c>
      <c r="M914" s="193">
        <f>INDEX(_TARGETS!$J$2:$J$17,MATCH($C914,_TARGETS!$A$2:$A$17,0))</f>
        <v>1</v>
      </c>
      <c r="N914" s="193" t="str">
        <f>INDEX(_TARGETS!$D$2:$D$17,MATCH($C914,_TARGETS!$A$2:$A$17,0))</f>
        <v>% (fracción)</v>
      </c>
      <c r="O914" s="193" t="str">
        <f>IF(NOT(ISNUMBER(F914)),IF(SUMPRODUCT(($C$2:$C$1300=C914)*($J$2:$J$1300="Monthly")*($A$2:$A$1300&lt;=A914)*(YEAR($A$2:$A$1300)=YEAR(A914))*ISNUMBER($K$2:$K$1300)*ISNUMBER($L$2:$L$1300)*($L$2:$L$1300=0)*($K$2:$K$1300&gt;0))&gt;0,"INCOMPLETE","MISSING"),O265)</f>
        <v>MISSING</v>
      </c>
      <c r="P914" s="193" t="str">
        <f>INDEX(_TARGETS!$K$2:$K$17,MATCH($C914,_TARGETS!$A$2:$A$17,0))</f>
        <v>OPS (carga manual en Datos)</v>
      </c>
      <c r="Q914" s="193" t="str">
        <f t="shared" si="83"/>
        <v>202708|ICCS|YTD</v>
      </c>
      <c r="R914" s="193" t="str">
        <f>INDEX(_TARGETS!$H$2:$H$17,MATCH($C914,_TARGETS!$A$2:$A$17,0))</f>
        <v>Definida</v>
      </c>
      <c r="S914" s="193" t="str">
        <f t="shared" si="84"/>
        <v/>
      </c>
      <c r="T914" s="193" t="str">
        <f t="shared" si="85"/>
        <v/>
      </c>
    </row>
    <row r="915" spans="1:20" ht="14.25" customHeight="1" x14ac:dyDescent="0.3">
      <c r="A915" s="249">
        <f>KPIs!$P$3</f>
        <v>46600</v>
      </c>
      <c r="B915" s="193" t="str">
        <f>KPIs!P$4</f>
        <v>Compresora</v>
      </c>
      <c r="C915" t="s">
        <v>89</v>
      </c>
      <c r="D915" s="193" t="str">
        <f>KPIs!$A$47</f>
        <v>12 · Cumplimiento de comités y subcomités de seguridad · YTD</v>
      </c>
      <c r="E915" t="s">
        <v>601</v>
      </c>
      <c r="F915" s="193" t="str">
        <f>IF(ISNUMBER(KPIs!P47),KPIs!P47,"")</f>
        <v/>
      </c>
      <c r="G915" s="254">
        <f>IF(ISNUMBER(KPIs!$C$47),KPIs!$C$47,"")</f>
        <v>1</v>
      </c>
      <c r="H915" s="193" t="str">
        <f>IFERROR(INDEX(_TARGETS!$E$2:$E$17,MATCH($C915,_TARGETS!$A$2:$A$17,0))&amp;"","")</f>
        <v>≥</v>
      </c>
      <c r="I915" s="193" t="str">
        <f t="shared" si="81"/>
        <v/>
      </c>
      <c r="J915" s="193" t="str">
        <f t="shared" si="82"/>
        <v>YTD</v>
      </c>
      <c r="K915" s="193">
        <f>SUMIFS(Datos!$D$26:$AL$26,Datos!$D$3:$AL$3,"&gt;="&amp;DATE(YEAR(Datos!P$3),1,1),Datos!$D$3:$AL$3,"&lt;="&amp;Datos!P$3)</f>
        <v>0</v>
      </c>
      <c r="L915" s="193">
        <f>SUMIFS(Datos!$D$27:$AL$27,Datos!$D$3:$AL$3,"&gt;="&amp;DATE(YEAR(Datos!P$3),1,1),Datos!$D$3:$AL$3,"&lt;="&amp;Datos!P$3)</f>
        <v>0</v>
      </c>
      <c r="M915" s="193">
        <f>INDEX(_TARGETS!$J$2:$J$17,MATCH($C915,_TARGETS!$A$2:$A$17,0))</f>
        <v>1</v>
      </c>
      <c r="N915" s="193" t="str">
        <f>INDEX(_TARGETS!$D$2:$D$17,MATCH($C915,_TARGETS!$A$2:$A$17,0))</f>
        <v>% (fracción)</v>
      </c>
      <c r="O915" s="193" t="str">
        <f>IF(NOT(ISNUMBER(F915)),IF(SUMPRODUCT(($C$2:$C$1300=C915)*($J$2:$J$1300="Monthly")*($A$2:$A$1300&lt;=A915)*(YEAR($A$2:$A$1300)=YEAR(A915))*ISNUMBER($K$2:$K$1300)*ISNUMBER($L$2:$L$1300)*($L$2:$L$1300=0)*($K$2:$K$1300&gt;0))&gt;0,"INCOMPLETE","MISSING"),O266)</f>
        <v>MISSING</v>
      </c>
      <c r="P915" s="193" t="str">
        <f>INDEX(_TARGETS!$K$2:$K$17,MATCH($C915,_TARGETS!$A$2:$A$17,0))</f>
        <v>OPS (carga manual en Datos)</v>
      </c>
      <c r="Q915" s="193" t="str">
        <f t="shared" si="83"/>
        <v>202708|CCS|YTD</v>
      </c>
      <c r="R915" s="193" t="str">
        <f>INDEX(_TARGETS!$H$2:$H$17,MATCH($C915,_TARGETS!$A$2:$A$17,0))</f>
        <v>Definida</v>
      </c>
      <c r="S915" s="193" t="str">
        <f t="shared" si="84"/>
        <v/>
      </c>
      <c r="T915" s="193" t="str">
        <f t="shared" si="85"/>
        <v/>
      </c>
    </row>
    <row r="916" spans="1:20" ht="14.25" customHeight="1" x14ac:dyDescent="0.3">
      <c r="A916" s="249">
        <f>KPIs!$P$3</f>
        <v>46600</v>
      </c>
      <c r="B916" s="193" t="str">
        <f>KPIs!P$4</f>
        <v>Compresora</v>
      </c>
      <c r="C916" t="s">
        <v>91</v>
      </c>
      <c r="D916" s="193" t="str">
        <f>KPIs!$A$48</f>
        <v>13 · Días promedio para cerrar hallazgos · YTD</v>
      </c>
      <c r="E916" t="s">
        <v>601</v>
      </c>
      <c r="F916" s="251" t="str">
        <f>IF(ISNUMBER(KPIs!P48),KPIs!P48,"")</f>
        <v/>
      </c>
      <c r="G916" s="193" t="str">
        <f>IF(ISNUMBER(KPIs!$C$48),KPIs!$C$48,"")</f>
        <v/>
      </c>
      <c r="H916" s="193" t="str">
        <f>IFERROR(INDEX(_TARGETS!$E$2:$E$17,MATCH($C916,_TARGETS!$A$2:$A$17,0))&amp;"","")</f>
        <v>≤</v>
      </c>
      <c r="I916" s="193" t="str">
        <f t="shared" si="81"/>
        <v/>
      </c>
      <c r="J916" s="193" t="str">
        <f t="shared" si="82"/>
        <v>YTD</v>
      </c>
      <c r="K916" s="193">
        <f>SUMIFS(Datos!$D$68:$AL$68,Datos!$D$3:$AL$3,"&gt;="&amp;DATE(YEAR(Datos!P$3),1,1),Datos!$D$3:$AL$3,"&lt;="&amp;Datos!P$3)</f>
        <v>0</v>
      </c>
      <c r="L916" s="193">
        <f>SUMIFS(Datos!$D$67:$AL$67,Datos!$D$3:$AL$3,"&gt;="&amp;DATE(YEAR(Datos!P$3),1,1),Datos!$D$3:$AL$3,"&lt;="&amp;Datos!P$3)</f>
        <v>0</v>
      </c>
      <c r="M916" s="193">
        <f>INDEX(_TARGETS!$J$2:$J$17,MATCH($C916,_TARGETS!$A$2:$A$17,0))</f>
        <v>1</v>
      </c>
      <c r="N916" s="193" t="str">
        <f>INDEX(_TARGETS!$D$2:$D$17,MATCH($C916,_TARGETS!$A$2:$A$17,0))</f>
        <v>días</v>
      </c>
      <c r="O916" s="193" t="str">
        <f>IF(NOT(ISNUMBER(F916)),IF(SUMPRODUCT(($C$2:$C$1300=C916)*($J$2:$J$1300="Monthly")*($A$2:$A$1300&lt;=A916)*(YEAR($A$2:$A$1300)=YEAR(A916))*ISNUMBER($K$2:$K$1300)*ISNUMBER($L$2:$L$1300)*($L$2:$L$1300=0)*($K$2:$K$1300&gt;0))&gt;0,"INCOMPLETE","MISSING"),O267)</f>
        <v>MISSING</v>
      </c>
      <c r="P916" s="193" t="str">
        <f>INDEX(_TARGETS!$K$2:$K$17,MATCH($C916,_TARGETS!$A$2:$A$17,0))</f>
        <v>Plant Findings (hoja Observaciones-SMP)</v>
      </c>
      <c r="Q916" s="193" t="str">
        <f t="shared" si="83"/>
        <v>202708|DPAS|YTD</v>
      </c>
      <c r="R916" s="193" t="str">
        <f>INDEX(_TARGETS!$H$2:$H$17,MATCH($C916,_TARGETS!$A$2:$A$17,0))</f>
        <v>Pendiente (meta 2027)</v>
      </c>
      <c r="S916" s="193" t="str">
        <f t="shared" si="84"/>
        <v/>
      </c>
      <c r="T916" s="193" t="str">
        <f t="shared" si="85"/>
        <v/>
      </c>
    </row>
    <row r="917" spans="1:20" ht="14.25" customHeight="1" x14ac:dyDescent="0.3">
      <c r="A917" s="249">
        <f>KPIs!$P$3</f>
        <v>46600</v>
      </c>
      <c r="B917" s="193" t="str">
        <f>KPIs!P$4</f>
        <v>Compresora</v>
      </c>
      <c r="C917" t="s">
        <v>96</v>
      </c>
      <c r="D917" s="193" t="str">
        <f>KPIs!$A$49</f>
        <v>C1 · % de desvíos detectados de gravedad Alta · YTD</v>
      </c>
      <c r="E917" t="s">
        <v>601</v>
      </c>
      <c r="F917" s="193" t="str">
        <f>IF(ISNUMBER(KPIs!P49),KPIs!P49,"")</f>
        <v/>
      </c>
      <c r="G917" s="193" t="str">
        <f>IF(ISNUMBER(KPIs!$C$49),KPIs!$C$49,"")</f>
        <v/>
      </c>
      <c r="H917" s="193" t="str">
        <f>IFERROR(INDEX(_TARGETS!$E$2:$E$17,MATCH($C917,_TARGETS!$A$2:$A$17,0))&amp;"","")</f>
        <v/>
      </c>
      <c r="I917" s="193" t="str">
        <f t="shared" si="81"/>
        <v/>
      </c>
      <c r="J917" s="193" t="str">
        <f t="shared" si="82"/>
        <v>YTD</v>
      </c>
      <c r="K917" s="193">
        <f>SUMIFS(Datos!$D$71:$AL$71,Datos!$D$3:$AL$3,"&gt;="&amp;DATE(YEAR(Datos!P$3),1,1),Datos!$D$3:$AL$3,"&lt;="&amp;Datos!P$3)</f>
        <v>0</v>
      </c>
      <c r="L917" s="193">
        <f>SUMIFS(Datos!$D$71:$AL$71,Datos!$D$3:$AL$3,"&gt;="&amp;DATE(YEAR(Datos!P$3),1,1),Datos!$D$3:$AL$3,"&lt;="&amp;Datos!P$3)+SUMIFS(Datos!$D$72:$AL$72,Datos!$D$3:$AL$3,"&gt;="&amp;DATE(YEAR(Datos!P$3),1,1),Datos!$D$3:$AL$3,"&lt;="&amp;Datos!P$3)+SUMIFS(Datos!$D$73:$AL$73,Datos!$D$3:$AL$3,"&gt;="&amp;DATE(YEAR(Datos!P$3),1,1),Datos!$D$3:$AL$3,"&lt;="&amp;Datos!P$3)</f>
        <v>0</v>
      </c>
      <c r="M917" s="193">
        <f>INDEX(_TARGETS!$J$2:$J$17,MATCH($C917,_TARGETS!$A$2:$A$17,0))</f>
        <v>1</v>
      </c>
      <c r="N917" s="193" t="str">
        <f>INDEX(_TARGETS!$D$2:$D$17,MATCH($C917,_TARGETS!$A$2:$A$17,0))</f>
        <v>% (fracción)</v>
      </c>
      <c r="O917" s="193" t="str">
        <f t="shared" ref="O917:O923" si="87">IF(NOT(ISNUMBER(F917)),IF(SUMPRODUCT(($C$2:$C$1300=C917)*($J$2:$J$1300="Monthly")*($A$2:$A$1300&lt;=A917)*(YEAR($A$2:$A$1300)=YEAR(A917))*ISNUMBER($K$2:$K$1300)*ISNUMBER($L$2:$L$1300)*($L$2:$L$1300=0)*($K$2:$K$1300&gt;0))&gt;0,"INCOMPLETE","MISSING"),O273)</f>
        <v>MISSING</v>
      </c>
      <c r="P917" s="193" t="str">
        <f>INDEX(_TARGETS!$K$2:$K$17,MATCH($C917,_TARGETS!$A$2:$A$17,0))</f>
        <v>Plant Findings (hoja Observaciones-SMP)</v>
      </c>
      <c r="Q917" s="193" t="str">
        <f t="shared" si="83"/>
        <v>202708|HAL_ALTA_PCT|YTD</v>
      </c>
      <c r="R917" s="193" t="str">
        <f>INDEX(_TARGETS!$H$2:$H$17,MATCH($C917,_TARGETS!$A$2:$A$17,0))</f>
        <v>Solo reporte</v>
      </c>
      <c r="S917" s="193" t="str">
        <f t="shared" si="84"/>
        <v/>
      </c>
      <c r="T917" s="193" t="str">
        <f t="shared" si="85"/>
        <v/>
      </c>
    </row>
    <row r="918" spans="1:20" ht="14.25" customHeight="1" x14ac:dyDescent="0.3">
      <c r="A918" s="249">
        <f>KPIs!$P$3</f>
        <v>46600</v>
      </c>
      <c r="B918" s="193" t="str">
        <f>KPIs!P$4</f>
        <v>Compresora</v>
      </c>
      <c r="C918" t="s">
        <v>98</v>
      </c>
      <c r="D918" s="193" t="str">
        <f>KPIs!$A$50</f>
        <v>C2 · Detenciones de tareas aplicadas · YTD</v>
      </c>
      <c r="E918" t="s">
        <v>601</v>
      </c>
      <c r="F918" s="193" t="str">
        <f>IF(ISNUMBER(KPIs!P50),KPIs!P50,"")</f>
        <v/>
      </c>
      <c r="G918" s="193" t="str">
        <f>IF(ISNUMBER(KPIs!$C$50),KPIs!$C$50,"")</f>
        <v/>
      </c>
      <c r="H918" s="193" t="str">
        <f>IFERROR(INDEX(_TARGETS!$E$2:$E$17,MATCH($C918,_TARGETS!$A$2:$A$17,0))&amp;"","")</f>
        <v/>
      </c>
      <c r="I918" s="193" t="str">
        <f t="shared" si="81"/>
        <v/>
      </c>
      <c r="J918" s="193" t="str">
        <f t="shared" si="82"/>
        <v>YTD</v>
      </c>
      <c r="K918" s="193">
        <f>SUMIFS(Datos!$D$75:$AL$75,Datos!$D$3:$AL$3,"&gt;="&amp;DATE(YEAR(Datos!P$3),1,1),Datos!$D$3:$AL$3,"&lt;="&amp;Datos!P$3)</f>
        <v>0</v>
      </c>
      <c r="M918" s="193">
        <f>INDEX(_TARGETS!$J$2:$J$17,MATCH($C918,_TARGETS!$A$2:$A$17,0))</f>
        <v>1</v>
      </c>
      <c r="N918" s="193" t="str">
        <f>INDEX(_TARGETS!$D$2:$D$17,MATCH($C918,_TARGETS!$A$2:$A$17,0))</f>
        <v>u</v>
      </c>
      <c r="O918" s="193" t="str">
        <f t="shared" si="87"/>
        <v>MISSING</v>
      </c>
      <c r="P918" s="193" t="str">
        <f>INDEX(_TARGETS!$K$2:$K$17,MATCH($C918,_TARGETS!$A$2:$A$17,0))</f>
        <v>Plant Findings (hoja Observaciones-SMP)</v>
      </c>
      <c r="Q918" s="193" t="str">
        <f t="shared" si="83"/>
        <v>202708|DET|YTD</v>
      </c>
      <c r="R918" s="193" t="str">
        <f>INDEX(_TARGETS!$H$2:$H$17,MATCH($C918,_TARGETS!$A$2:$A$17,0))</f>
        <v>Solo reporte</v>
      </c>
      <c r="S918" s="193">
        <f t="shared" si="84"/>
        <v>0</v>
      </c>
      <c r="T918" s="193" t="str">
        <f t="shared" si="85"/>
        <v/>
      </c>
    </row>
    <row r="919" spans="1:20" ht="14.25" customHeight="1" x14ac:dyDescent="0.3">
      <c r="A919" s="249">
        <f>KPIs!$Q$3</f>
        <v>46631</v>
      </c>
      <c r="B919" s="193" t="str">
        <f>KPIs!Q$4</f>
        <v>Compresora</v>
      </c>
      <c r="C919" t="s">
        <v>39</v>
      </c>
      <c r="D919" s="193" t="str">
        <f>KPIs!$A$37</f>
        <v>1 · Frecuencia de casos con días perdidos · YTD</v>
      </c>
      <c r="E919" t="s">
        <v>601</v>
      </c>
      <c r="F919" s="193" t="str">
        <f>IF(ISNUMBER(KPIs!Q37),KPIs!Q37,"")</f>
        <v/>
      </c>
      <c r="G919" s="250">
        <f>IF(ISNUMBER(KPIs!$C$37),KPIs!$C$37,"")</f>
        <v>0</v>
      </c>
      <c r="H919" s="193" t="str">
        <f>IFERROR(INDEX(_TARGETS!$E$2:$E$17,MATCH($C919,_TARGETS!$A$2:$A$17,0))&amp;"","")</f>
        <v>≤</v>
      </c>
      <c r="I919" s="193" t="str">
        <f t="shared" si="81"/>
        <v/>
      </c>
      <c r="J919" s="193" t="str">
        <f t="shared" si="82"/>
        <v>YTD</v>
      </c>
      <c r="K919" s="193">
        <f>SUMIFS(Datos!$D$33:$AL$33,Datos!$D$3:$AL$3,"&gt;="&amp;DATE(YEAR(Datos!Q$3),1,1),Datos!$D$3:$AL$3,"&lt;="&amp;Datos!Q$3)</f>
        <v>0</v>
      </c>
      <c r="L919" s="193">
        <f>SUMIFS(Datos!$D$14:$AL$14,Datos!$D$3:$AL$3,"&gt;="&amp;DATE(YEAR(Datos!Q$3),1,1),Datos!$D$3:$AL$3,"&lt;="&amp;Datos!Q$3)</f>
        <v>0</v>
      </c>
      <c r="M919" s="193">
        <f>INDEX(_TARGETS!$J$2:$J$17,MATCH($C919,_TARGETS!$A$2:$A$17,0))</f>
        <v>1000000</v>
      </c>
      <c r="N919" s="193" t="str">
        <f>INDEX(_TARGETS!$D$2:$D$17,MATCH($C919,_TARGETS!$A$2:$A$17,0))</f>
        <v>casos / 10^6 HH</v>
      </c>
      <c r="O919" s="193" t="str">
        <f t="shared" si="87"/>
        <v>MISSING</v>
      </c>
      <c r="P919" s="193" t="str">
        <f>INDEX(_TARGETS!$K$2:$K$17,MATCH($C919,_TARGETS!$A$2:$A$17,0))</f>
        <v>OPS (carga manual en Datos)</v>
      </c>
      <c r="Q919" s="193" t="str">
        <f t="shared" si="83"/>
        <v>202709|DAFWCF|YTD</v>
      </c>
      <c r="R919" s="193" t="str">
        <f>INDEX(_TARGETS!$H$2:$H$17,MATCH($C919,_TARGETS!$A$2:$A$17,0))</f>
        <v>Definida</v>
      </c>
      <c r="S919" s="193" t="str">
        <f t="shared" si="84"/>
        <v/>
      </c>
      <c r="T919" s="193" t="str">
        <f t="shared" si="85"/>
        <v/>
      </c>
    </row>
    <row r="920" spans="1:20" ht="14.25" customHeight="1" x14ac:dyDescent="0.3">
      <c r="A920" s="249">
        <f>KPIs!$Q$3</f>
        <v>46631</v>
      </c>
      <c r="B920" s="193" t="str">
        <f>KPIs!Q$4</f>
        <v>Compresora</v>
      </c>
      <c r="C920" t="s">
        <v>49</v>
      </c>
      <c r="D920" s="193" t="str">
        <f>KPIs!$A$38</f>
        <v>2 · Frecuencia de casos registrables · YTD</v>
      </c>
      <c r="E920" t="s">
        <v>601</v>
      </c>
      <c r="F920" s="193" t="str">
        <f>IF(ISNUMBER(KPIs!Q38),KPIs!Q38,"")</f>
        <v/>
      </c>
      <c r="G920" s="250">
        <f>IF(ISNUMBER(KPIs!$C$38),KPIs!$C$38,"")</f>
        <v>2.35</v>
      </c>
      <c r="H920" s="193" t="str">
        <f>IFERROR(INDEX(_TARGETS!$E$2:$E$17,MATCH($C920,_TARGETS!$A$2:$A$17,0))&amp;"","")</f>
        <v>≤</v>
      </c>
      <c r="I920" s="193" t="str">
        <f t="shared" si="81"/>
        <v/>
      </c>
      <c r="J920" s="193" t="str">
        <f t="shared" si="82"/>
        <v>YTD</v>
      </c>
      <c r="K920" s="193">
        <f>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f>
        <v>0</v>
      </c>
      <c r="L920" s="193">
        <f>SUMIFS(Datos!$D$14:$AL$14,Datos!$D$3:$AL$3,"&gt;="&amp;DATE(YEAR(Datos!Q$3),1,1),Datos!$D$3:$AL$3,"&lt;="&amp;Datos!Q$3)</f>
        <v>0</v>
      </c>
      <c r="M920" s="193">
        <f>INDEX(_TARGETS!$J$2:$J$17,MATCH($C920,_TARGETS!$A$2:$A$17,0))</f>
        <v>1000000</v>
      </c>
      <c r="N920" s="193" t="str">
        <f>INDEX(_TARGETS!$D$2:$D$17,MATCH($C920,_TARGETS!$A$2:$A$17,0))</f>
        <v>casos / 10^6 HH</v>
      </c>
      <c r="O920" s="193" t="str">
        <f t="shared" si="87"/>
        <v>MISSING</v>
      </c>
      <c r="P920" s="193" t="str">
        <f>INDEX(_TARGETS!$K$2:$K$17,MATCH($C920,_TARGETS!$A$2:$A$17,0))</f>
        <v>OPS (carga manual en Datos)</v>
      </c>
      <c r="Q920" s="193" t="str">
        <f t="shared" si="83"/>
        <v>202709|TRICF|YTD</v>
      </c>
      <c r="R920" s="193" t="str">
        <f>INDEX(_TARGETS!$H$2:$H$17,MATCH($C920,_TARGETS!$A$2:$A$17,0))</f>
        <v>Definida</v>
      </c>
      <c r="S920" s="193" t="str">
        <f t="shared" si="84"/>
        <v/>
      </c>
      <c r="T920" s="193" t="str">
        <f t="shared" si="85"/>
        <v/>
      </c>
    </row>
    <row r="921" spans="1:20" ht="14.25" customHeight="1" x14ac:dyDescent="0.3">
      <c r="A921" s="249">
        <f>KPIs!$Q$3</f>
        <v>46631</v>
      </c>
      <c r="B921" s="193" t="str">
        <f>KPIs!Q$4</f>
        <v>Compresora</v>
      </c>
      <c r="C921" t="s">
        <v>51</v>
      </c>
      <c r="D921" s="193" t="str">
        <f>KPIs!$A$39</f>
        <v>3 · Casos de primeros auxilios · YTD</v>
      </c>
      <c r="E921" t="s">
        <v>601</v>
      </c>
      <c r="F921" s="193" t="str">
        <f>IF(ISNUMBER(KPIs!Q39),KPIs!Q39,"")</f>
        <v/>
      </c>
      <c r="G921" s="193" t="str">
        <f>IF(ISNUMBER(KPIs!$C$39),KPIs!$C$39,"")</f>
        <v/>
      </c>
      <c r="H921" s="193" t="str">
        <f>IFERROR(INDEX(_TARGETS!$E$2:$E$17,MATCH($C921,_TARGETS!$A$2:$A$17,0))&amp;"","")</f>
        <v/>
      </c>
      <c r="I921" s="193" t="str">
        <f t="shared" si="81"/>
        <v/>
      </c>
      <c r="J921" s="193" t="str">
        <f t="shared" si="82"/>
        <v>YTD</v>
      </c>
      <c r="K921" s="193">
        <f>SUMIFS(Datos!$D$37:$AL$37,Datos!$D$3:$AL$3,"&gt;="&amp;DATE(YEAR(Datos!Q$3),1,1),Datos!$D$3:$AL$3,"&lt;="&amp;Datos!Q$3)</f>
        <v>0</v>
      </c>
      <c r="M921" s="193">
        <f>INDEX(_TARGETS!$J$2:$J$17,MATCH($C921,_TARGETS!$A$2:$A$17,0))</f>
        <v>1</v>
      </c>
      <c r="N921" s="193" t="str">
        <f>INDEX(_TARGETS!$D$2:$D$17,MATCH($C921,_TARGETS!$A$2:$A$17,0))</f>
        <v>casos</v>
      </c>
      <c r="O921" s="193" t="str">
        <f t="shared" si="87"/>
        <v>MISSING</v>
      </c>
      <c r="P921" s="193" t="str">
        <f>INDEX(_TARGETS!$K$2:$K$17,MATCH($C921,_TARGETS!$A$2:$A$17,0))</f>
        <v>OPS (carga manual en Datos)</v>
      </c>
      <c r="Q921" s="193" t="str">
        <f t="shared" si="83"/>
        <v>202709|FAC|YTD</v>
      </c>
      <c r="R921" s="193" t="str">
        <f>INDEX(_TARGETS!$H$2:$H$17,MATCH($C921,_TARGETS!$A$2:$A$17,0))</f>
        <v>Solo reporte</v>
      </c>
      <c r="S921" s="193">
        <f t="shared" si="84"/>
        <v>0</v>
      </c>
      <c r="T921" s="193" t="str">
        <f t="shared" si="85"/>
        <v/>
      </c>
    </row>
    <row r="922" spans="1:20" ht="14.25" customHeight="1" x14ac:dyDescent="0.3">
      <c r="A922" s="249">
        <f>KPIs!$Q$3</f>
        <v>46631</v>
      </c>
      <c r="B922" s="193" t="str">
        <f>KPIs!Q$4</f>
        <v>Compresora</v>
      </c>
      <c r="C922" t="s">
        <v>57</v>
      </c>
      <c r="D922" s="193" t="str">
        <f>KPIs!$A$40</f>
        <v>4 · Accidentes vehiculares severos por millón de km · YTD</v>
      </c>
      <c r="E922" t="s">
        <v>601</v>
      </c>
      <c r="F922" s="193" t="str">
        <f>IF(ISNUMBER(KPIs!Q40),KPIs!Q40,"")</f>
        <v/>
      </c>
      <c r="G922" s="193" t="str">
        <f>IF(ISNUMBER(KPIs!$C$40),KPIs!$C$40,"")</f>
        <v/>
      </c>
      <c r="H922" s="193" t="str">
        <f>IFERROR(INDEX(_TARGETS!$E$2:$E$17,MATCH($C922,_TARGETS!$A$2:$A$17,0))&amp;"","")</f>
        <v/>
      </c>
      <c r="I922" s="193" t="str">
        <f t="shared" si="81"/>
        <v/>
      </c>
      <c r="J922" s="193" t="str">
        <f t="shared" si="82"/>
        <v>YTD</v>
      </c>
      <c r="K922" s="193">
        <f>SUMIFS(Datos!$D$39:$AL$39,Datos!$D$3:$AL$3,"&gt;="&amp;DATE(YEAR(Datos!Q$3),1,1),Datos!$D$3:$AL$3,"&lt;="&amp;Datos!Q$3)+SUMIFS(Datos!$D$40:$AL$40,Datos!$D$3:$AL$3,"&gt;="&amp;DATE(YEAR(Datos!Q$3),1,1),Datos!$D$3:$AL$3,"&lt;="&amp;Datos!Q$3)+SUMIFS(Datos!$D$41:$AL$41,Datos!$D$3:$AL$3,"&gt;="&amp;DATE(YEAR(Datos!Q$3),1,1),Datos!$D$3:$AL$3,"&lt;="&amp;Datos!Q$3)</f>
        <v>0</v>
      </c>
      <c r="L922" s="193">
        <f>SUMIFS(Datos!$D$47:$AL$47,Datos!$D$3:$AL$3,"&gt;="&amp;DATE(YEAR(Datos!Q$3),1,1),Datos!$D$3:$AL$3,"&lt;="&amp;Datos!Q$3)</f>
        <v>0</v>
      </c>
      <c r="M922" s="193">
        <f>INDEX(_TARGETS!$J$2:$J$17,MATCH($C922,_TARGETS!$A$2:$A$17,0))</f>
        <v>1000000</v>
      </c>
      <c r="N922" s="193" t="str">
        <f>INDEX(_TARGETS!$D$2:$D$17,MATCH($C922,_TARGETS!$A$2:$A$17,0))</f>
        <v>eventos / 10^6 km</v>
      </c>
      <c r="O922" s="193" t="str">
        <f t="shared" si="87"/>
        <v>MISSING</v>
      </c>
      <c r="P922" s="193" t="str">
        <f>INDEX(_TARGETS!$K$2:$K$17,MATCH($C922,_TARGETS!$A$2:$A$17,0))</f>
        <v>OPS (eventos) + Full Control GPS (km) - carga manual en Datos</v>
      </c>
      <c r="Q922" s="193" t="str">
        <f t="shared" si="83"/>
        <v>202709|SVCR|YTD</v>
      </c>
      <c r="R922" s="193" t="str">
        <f>INDEX(_TARGETS!$H$2:$H$17,MATCH($C922,_TARGETS!$A$2:$A$17,0))</f>
        <v>Solo reporte</v>
      </c>
      <c r="S922" s="193" t="str">
        <f t="shared" si="84"/>
        <v/>
      </c>
      <c r="T922" s="193" t="str">
        <f t="shared" si="85"/>
        <v/>
      </c>
    </row>
    <row r="923" spans="1:20" ht="14.25" customHeight="1" x14ac:dyDescent="0.3">
      <c r="A923" s="249">
        <f>KPIs!$Q$3</f>
        <v>46631</v>
      </c>
      <c r="B923" s="193" t="str">
        <f>KPIs!Q$4</f>
        <v>Compresora</v>
      </c>
      <c r="C923" t="s">
        <v>61</v>
      </c>
      <c r="D923" s="193" t="str">
        <f>KPIs!$A$41</f>
        <v>5 · Accidentes vehiculares totales por millón de km · YTD</v>
      </c>
      <c r="E923" t="s">
        <v>601</v>
      </c>
      <c r="F923" s="193" t="str">
        <f>IF(ISNUMBER(KPIs!Q41),KPIs!Q41,"")</f>
        <v/>
      </c>
      <c r="G923" s="250">
        <f>IF(ISNUMBER(KPIs!$C$41),KPIs!$C$41,"")</f>
        <v>0.79</v>
      </c>
      <c r="H923" s="193" t="str">
        <f>IFERROR(INDEX(_TARGETS!$E$2:$E$17,MATCH($C923,_TARGETS!$A$2:$A$17,0))&amp;"","")</f>
        <v>≤</v>
      </c>
      <c r="I923" s="193" t="str">
        <f t="shared" si="81"/>
        <v/>
      </c>
      <c r="J923" s="193" t="str">
        <f t="shared" si="82"/>
        <v>YTD</v>
      </c>
      <c r="K923" s="193">
        <f>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f>
        <v>0</v>
      </c>
      <c r="L923" s="193">
        <f>SUMIFS(Datos!$D$47:$AL$47,Datos!$D$3:$AL$3,"&gt;="&amp;DATE(YEAR(Datos!Q$3),1,1),Datos!$D$3:$AL$3,"&lt;="&amp;Datos!Q$3)</f>
        <v>0</v>
      </c>
      <c r="M923" s="193">
        <f>INDEX(_TARGETS!$J$2:$J$17,MATCH($C923,_TARGETS!$A$2:$A$17,0))</f>
        <v>1000000</v>
      </c>
      <c r="N923" s="193" t="str">
        <f>INDEX(_TARGETS!$D$2:$D$17,MATCH($C923,_TARGETS!$A$2:$A$17,0))</f>
        <v>eventos / 10^6 km</v>
      </c>
      <c r="O923" s="193" t="str">
        <f t="shared" si="87"/>
        <v>MISSING</v>
      </c>
      <c r="P923" s="193" t="str">
        <f>INDEX(_TARGETS!$K$2:$K$17,MATCH($C923,_TARGETS!$A$2:$A$17,0))</f>
        <v>OPS (eventos) + Full Control GPS (km) - carga manual en Datos</v>
      </c>
      <c r="Q923" s="193" t="str">
        <f t="shared" si="83"/>
        <v>202709|TVCR|YTD</v>
      </c>
      <c r="R923" s="193" t="str">
        <f>INDEX(_TARGETS!$H$2:$H$17,MATCH($C923,_TARGETS!$A$2:$A$17,0))</f>
        <v>Definida</v>
      </c>
      <c r="S923" s="193" t="str">
        <f t="shared" si="84"/>
        <v/>
      </c>
      <c r="T923" s="193" t="str">
        <f t="shared" si="85"/>
        <v/>
      </c>
    </row>
    <row r="924" spans="1:20" ht="14.25" customHeight="1" x14ac:dyDescent="0.3">
      <c r="A924" s="249">
        <f>KPIs!$Q$3</f>
        <v>46631</v>
      </c>
      <c r="B924" s="193" t="str">
        <f>KPIs!Q$4</f>
        <v>Compresora</v>
      </c>
      <c r="C924" t="s">
        <v>71</v>
      </c>
      <c r="D924" s="193" t="str">
        <f>KPIs!$A$42</f>
        <v>7 · Investigaciones de accidentes: días promedio de cierre · YTD</v>
      </c>
      <c r="E924" t="s">
        <v>601</v>
      </c>
      <c r="F924" s="193" t="str">
        <f>IF(ISNUMBER(KPIs!Q42),KPIs!Q42,"")</f>
        <v/>
      </c>
      <c r="G924" s="251">
        <f>IF(ISNUMBER(KPIs!$C$42),KPIs!$C$42,"")</f>
        <v>20</v>
      </c>
      <c r="H924" s="193" t="str">
        <f>IFERROR(INDEX(_TARGETS!$E$2:$E$17,MATCH($C924,_TARGETS!$A$2:$A$17,0))&amp;"","")</f>
        <v>≤</v>
      </c>
      <c r="I924" s="193" t="str">
        <f t="shared" si="81"/>
        <v/>
      </c>
      <c r="J924" s="193" t="str">
        <f t="shared" si="82"/>
        <v>YTD</v>
      </c>
      <c r="K924" s="193">
        <f>SUMIFS(Datos!$D$31:$AL$31,Datos!$D$3:$AL$3,"&gt;="&amp;DATE(YEAR(Datos!Q$3),1,1),Datos!$D$3:$AL$3,"&lt;="&amp;Datos!Q$3)</f>
        <v>0</v>
      </c>
      <c r="L924" s="193">
        <f>SUMIFS(Datos!$D$30:$AL$30,Datos!$D$3:$AL$3,"&gt;="&amp;DATE(YEAR(Datos!Q$3),1,1),Datos!$D$3:$AL$3,"&lt;="&amp;Datos!Q$3)</f>
        <v>0</v>
      </c>
      <c r="M924" s="193">
        <f>INDEX(_TARGETS!$J$2:$J$17,MATCH($C924,_TARGETS!$A$2:$A$17,0))</f>
        <v>1</v>
      </c>
      <c r="N924" s="193" t="str">
        <f>INDEX(_TARGETS!$D$2:$D$17,MATCH($C924,_TARGETS!$A$2:$A$17,0))</f>
        <v>días</v>
      </c>
      <c r="O924" s="193" t="str">
        <f>IF(NOT(ISNUMBER(F924)),IF(SUMPRODUCT(($C$2:$C$1300=C924)*($J$2:$J$1300="Monthly")*($A$2:$A$1300&lt;=A924)*(YEAR($A$2:$A$1300)=YEAR(A924))*ISNUMBER($K$2:$K$1300)*ISNUMBER($L$2:$L$1300)*($L$2:$L$1300=0)*($K$2:$K$1300&gt;0))&gt;0,"INCOMPLETE","MISSING"),O281)</f>
        <v>MISSING</v>
      </c>
      <c r="P924" s="193" t="str">
        <f>INDEX(_TARGETS!$K$2:$K$17,MATCH($C924,_TARGETS!$A$2:$A$17,0))</f>
        <v>OPS (carga manual en Datos)</v>
      </c>
      <c r="Q924" s="193" t="str">
        <f t="shared" si="83"/>
        <v>202709|INV|YTD</v>
      </c>
      <c r="R924" s="193" t="str">
        <f>INDEX(_TARGETS!$H$2:$H$17,MATCH($C924,_TARGETS!$A$2:$A$17,0))</f>
        <v>Definida</v>
      </c>
      <c r="S924" s="193" t="str">
        <f t="shared" si="84"/>
        <v/>
      </c>
      <c r="T924" s="193" t="str">
        <f t="shared" si="85"/>
        <v/>
      </c>
    </row>
    <row r="925" spans="1:20" ht="14.25" customHeight="1" x14ac:dyDescent="0.3">
      <c r="A925" s="249">
        <f>KPIs!$Q$3</f>
        <v>46631</v>
      </c>
      <c r="B925" s="193" t="str">
        <f>KPIs!Q$4</f>
        <v>Compresora</v>
      </c>
      <c r="C925" t="s">
        <v>76</v>
      </c>
      <c r="D925" s="193" t="str">
        <f>KPIs!$A$43</f>
        <v>8 · % de capacitación en seguridad · YTD</v>
      </c>
      <c r="E925" t="s">
        <v>601</v>
      </c>
      <c r="F925" s="193" t="str">
        <f>IF(ISNUMBER(KPIs!Q43),KPIs!Q43,"")</f>
        <v/>
      </c>
      <c r="G925" s="252">
        <f>IF(ISNUMBER(KPIs!$C$43),KPIs!$C$43,"")</f>
        <v>0.01</v>
      </c>
      <c r="H925" s="193" t="str">
        <f>IFERROR(INDEX(_TARGETS!$E$2:$E$17,MATCH($C925,_TARGETS!$A$2:$A$17,0))&amp;"","")</f>
        <v>≥</v>
      </c>
      <c r="I925" s="193" t="str">
        <f t="shared" si="81"/>
        <v/>
      </c>
      <c r="J925" s="193" t="str">
        <f t="shared" si="82"/>
        <v>YTD</v>
      </c>
      <c r="K925" s="193">
        <f>SUMIFS(Datos!$D$18:$AL$18,Datos!$D$3:$AL$3,"&gt;="&amp;DATE(YEAR(Datos!Q$3),1,1),Datos!$D$3:$AL$3,"&lt;="&amp;Datos!Q$3)</f>
        <v>0</v>
      </c>
      <c r="L925" s="193">
        <f>SUMIFS(Datos!$D$14:$AL$14,Datos!$D$3:$AL$3,"&gt;="&amp;DATE(YEAR(Datos!Q$3),1,1),Datos!$D$3:$AL$3,"&lt;="&amp;Datos!Q$3)</f>
        <v>0</v>
      </c>
      <c r="M925" s="193">
        <f>INDEX(_TARGETS!$J$2:$J$17,MATCH($C925,_TARGETS!$A$2:$A$17,0))</f>
        <v>1</v>
      </c>
      <c r="N925" s="193" t="str">
        <f>INDEX(_TARGETS!$D$2:$D$17,MATCH($C925,_TARGETS!$A$2:$A$17,0))</f>
        <v>% (fracción)</v>
      </c>
      <c r="O925" s="193" t="str">
        <f>IF(NOT(ISNUMBER(F925)),IF(SUMPRODUCT(($C$2:$C$1300=C925)*($J$2:$J$1300="Monthly")*($A$2:$A$1300&lt;=A925)*(YEAR($A$2:$A$1300)=YEAR(A925))*ISNUMBER($K$2:$K$1300)*ISNUMBER($L$2:$L$1300)*($L$2:$L$1300=0)*($K$2:$K$1300&gt;0))&gt;0,"INCOMPLETE","MISSING"),O282)</f>
        <v>MISSING</v>
      </c>
      <c r="P925" s="193" t="str">
        <f>INDEX(_TARGETS!$K$2:$K$17,MATCH($C925,_TARGETS!$A$2:$A$17,0))</f>
        <v>OPS (carga manual en Datos)</v>
      </c>
      <c r="Q925" s="193" t="str">
        <f t="shared" si="83"/>
        <v>202709|HCS|YTD</v>
      </c>
      <c r="R925" s="193" t="str">
        <f>INDEX(_TARGETS!$H$2:$H$17,MATCH($C925,_TARGETS!$A$2:$A$17,0))</f>
        <v>Definida</v>
      </c>
      <c r="S925" s="193" t="str">
        <f t="shared" si="84"/>
        <v/>
      </c>
      <c r="T925" s="193" t="str">
        <f t="shared" si="85"/>
        <v/>
      </c>
    </row>
    <row r="926" spans="1:20" ht="14.25" customHeight="1" x14ac:dyDescent="0.3">
      <c r="A926" s="249">
        <f>KPIs!$Q$3</f>
        <v>46631</v>
      </c>
      <c r="B926" s="193" t="str">
        <f>KPIs!Q$4</f>
        <v>Compresora</v>
      </c>
      <c r="C926" t="s">
        <v>83</v>
      </c>
      <c r="D926" s="193" t="str">
        <f>KPIs!$A$44</f>
        <v>10 · Cumplimiento de simulacros (emergencia y operativos) · YTD</v>
      </c>
      <c r="E926" t="s">
        <v>601</v>
      </c>
      <c r="F926" s="193" t="str">
        <f>IF(ISNUMBER(KPIs!Q44),KPIs!Q44,"")</f>
        <v/>
      </c>
      <c r="G926" s="253">
        <f>IF(ISNUMBER(KPIs!$C$44),KPIs!$C$44,"")</f>
        <v>1</v>
      </c>
      <c r="H926" s="193" t="str">
        <f>IFERROR(INDEX(_TARGETS!$E$2:$E$17,MATCH($C926,_TARGETS!$A$2:$A$17,0))&amp;"","")</f>
        <v>≥</v>
      </c>
      <c r="I926" s="193" t="str">
        <f t="shared" si="81"/>
        <v/>
      </c>
      <c r="J926" s="193" t="str">
        <f t="shared" si="82"/>
        <v>YTD</v>
      </c>
      <c r="K926" s="193">
        <f>SUMIFS(Datos!$D$20:$AL$20,Datos!$D$3:$AL$3,"&gt;="&amp;DATE(YEAR(Datos!Q$3),1,1),Datos!$D$3:$AL$3,"&lt;="&amp;Datos!Q$3)</f>
        <v>0</v>
      </c>
      <c r="L926" s="193">
        <f>SUMIFS(Datos!$D$21:$AL$21,Datos!$D$3:$AL$3,"&gt;="&amp;DATE(YEAR(Datos!Q$3),1,1),Datos!$D$3:$AL$3,"&lt;="&amp;Datos!Q$3)</f>
        <v>0</v>
      </c>
      <c r="M926" s="193">
        <f>INDEX(_TARGETS!$J$2:$J$17,MATCH($C926,_TARGETS!$A$2:$A$17,0))</f>
        <v>1</v>
      </c>
      <c r="N926" s="193" t="str">
        <f>INDEX(_TARGETS!$D$2:$D$17,MATCH($C926,_TARGETS!$A$2:$A$17,0))</f>
        <v>% (fracción)</v>
      </c>
      <c r="O926" s="193" t="str">
        <f>IF(NOT(ISNUMBER(F926)),IF(SUMPRODUCT(($C$2:$C$1300=C926)*($J$2:$J$1300="Monthly")*($A$2:$A$1300&lt;=A926)*(YEAR($A$2:$A$1300)=YEAR(A926))*ISNUMBER($K$2:$K$1300)*ISNUMBER($L$2:$L$1300)*($L$2:$L$1300=0)*($K$2:$K$1300&gt;0))&gt;0,"INCOMPLETE","MISSING"),O284)</f>
        <v>MISSING</v>
      </c>
      <c r="P926" s="193" t="str">
        <f>INDEX(_TARGETS!$K$2:$K$17,MATCH($C926,_TARGETS!$A$2:$A$17,0))</f>
        <v>OPS (carga manual en Datos)</v>
      </c>
      <c r="Q926" s="193" t="str">
        <f t="shared" si="83"/>
        <v>202709|CPSE|YTD</v>
      </c>
      <c r="R926" s="193" t="str">
        <f>INDEX(_TARGETS!$H$2:$H$17,MATCH($C926,_TARGETS!$A$2:$A$17,0))</f>
        <v>Definida</v>
      </c>
      <c r="S926" s="193" t="str">
        <f t="shared" si="84"/>
        <v/>
      </c>
      <c r="T926" s="193" t="str">
        <f t="shared" si="85"/>
        <v/>
      </c>
    </row>
    <row r="927" spans="1:20" ht="14.25" customHeight="1" x14ac:dyDescent="0.3">
      <c r="A927" s="249">
        <f>KPIs!$Q$3</f>
        <v>46631</v>
      </c>
      <c r="B927" s="193" t="str">
        <f>KPIs!Q$4</f>
        <v>Compresora</v>
      </c>
      <c r="C927" t="s">
        <v>85</v>
      </c>
      <c r="D927" s="193" t="str">
        <f>KPIs!$A$45</f>
        <v>10b · Cumplimiento de acciones de mejora de simulacros · YTD</v>
      </c>
      <c r="E927" t="s">
        <v>601</v>
      </c>
      <c r="F927" s="193" t="str">
        <f>IF(ISNUMBER(KPIs!Q45),KPIs!Q45,"")</f>
        <v/>
      </c>
      <c r="G927" s="254" t="str">
        <f>IF(ISNUMBER(KPIs!$C$45),KPIs!$C$45,"")</f>
        <v/>
      </c>
      <c r="H927" s="193" t="str">
        <f>IFERROR(INDEX(_TARGETS!$E$2:$E$17,MATCH($C927,_TARGETS!$A$2:$A$17,0))&amp;"","")</f>
        <v/>
      </c>
      <c r="I927" s="193" t="str">
        <f t="shared" si="81"/>
        <v/>
      </c>
      <c r="J927" s="193" t="str">
        <f t="shared" si="82"/>
        <v>YTD</v>
      </c>
      <c r="K927" s="193">
        <f>SUMIFS(Datos!$D$23:$AL$23,Datos!$D$3:$AL$3,"&gt;="&amp;DATE(YEAR(Datos!Q$3),1,1),Datos!$D$3:$AL$3,"&lt;="&amp;Datos!Q$3)</f>
        <v>0</v>
      </c>
      <c r="L927" s="193">
        <f>SUMIFS(Datos!$D$22:$AL$22,Datos!$D$3:$AL$3,"&gt;="&amp;DATE(YEAR(Datos!Q$3),1,1),Datos!$D$3:$AL$3,"&lt;="&amp;Datos!Q$3)</f>
        <v>0</v>
      </c>
      <c r="M927" s="193">
        <f>INDEX(_TARGETS!$J$2:$J$17,MATCH($C927,_TARGETS!$A$2:$A$17,0))</f>
        <v>1</v>
      </c>
      <c r="N927" s="193" t="str">
        <f>INDEX(_TARGETS!$D$2:$D$17,MATCH($C927,_TARGETS!$A$2:$A$17,0))</f>
        <v>% (fracción)</v>
      </c>
      <c r="O927" s="193" t="str">
        <f>IF(NOT(ISNUMBER(F927)),IF(SUMPRODUCT(($C$2:$C$1300=C927)*($J$2:$J$1300="Monthly")*($A$2:$A$1300&lt;=A927)*(YEAR($A$2:$A$1300)=YEAR(A927))*ISNUMBER($K$2:$K$1300)*ISNUMBER($L$2:$L$1300)*($L$2:$L$1300=0)*($K$2:$K$1300&gt;0))&gt;0,"INCOMPLETE","MISSING"),O285)</f>
        <v>MISSING</v>
      </c>
      <c r="P927" s="193" t="str">
        <f>INDEX(_TARGETS!$K$2:$K$17,MATCH($C927,_TARGETS!$A$2:$A$17,0))</f>
        <v>OPS (carga manual en Datos)</v>
      </c>
      <c r="Q927" s="193" t="str">
        <f t="shared" si="83"/>
        <v>202709|CAMS|YTD</v>
      </c>
      <c r="R927" s="193" t="str">
        <f>INDEX(_TARGETS!$H$2:$H$17,MATCH($C927,_TARGETS!$A$2:$A$17,0))</f>
        <v>Solo reporte</v>
      </c>
      <c r="S927" s="193" t="str">
        <f t="shared" si="84"/>
        <v/>
      </c>
      <c r="T927" s="193" t="str">
        <f t="shared" si="85"/>
        <v/>
      </c>
    </row>
    <row r="928" spans="1:20" ht="14.25" customHeight="1" x14ac:dyDescent="0.3">
      <c r="A928" s="249">
        <f>KPIs!$Q$3</f>
        <v>46631</v>
      </c>
      <c r="B928" s="193" t="str">
        <f>KPIs!Q$4</f>
        <v>Compresora</v>
      </c>
      <c r="C928" t="s">
        <v>87</v>
      </c>
      <c r="D928" s="193" t="str">
        <f>KPIs!$A$46</f>
        <v>11 · Cumplimiento de caminatas gerenciales · YTD</v>
      </c>
      <c r="E928" t="s">
        <v>601</v>
      </c>
      <c r="F928" s="193" t="str">
        <f>IF(ISNUMBER(KPIs!Q46),KPIs!Q46,"")</f>
        <v/>
      </c>
      <c r="G928" s="254">
        <f>IF(ISNUMBER(KPIs!$C$46),KPIs!$C$46,"")</f>
        <v>1</v>
      </c>
      <c r="H928" s="193" t="str">
        <f>IFERROR(INDEX(_TARGETS!$E$2:$E$17,MATCH($C928,_TARGETS!$A$2:$A$17,0))&amp;"","")</f>
        <v>≥</v>
      </c>
      <c r="I928" s="193" t="str">
        <f t="shared" si="81"/>
        <v/>
      </c>
      <c r="J928" s="193" t="str">
        <f t="shared" si="82"/>
        <v>YTD</v>
      </c>
      <c r="K928" s="193">
        <f>SUMIFS(Datos!$D$24:$AL$24,Datos!$D$3:$AL$3,"&gt;="&amp;DATE(YEAR(Datos!Q$3),1,1),Datos!$D$3:$AL$3,"&lt;="&amp;Datos!Q$3)</f>
        <v>0</v>
      </c>
      <c r="L928" s="193">
        <f>SUMIFS(Datos!$D$25:$AL$25,Datos!$D$3:$AL$3,"&gt;="&amp;DATE(YEAR(Datos!Q$3),1,1),Datos!$D$3:$AL$3,"&lt;="&amp;Datos!Q$3)</f>
        <v>0</v>
      </c>
      <c r="M928" s="193">
        <f>INDEX(_TARGETS!$J$2:$J$17,MATCH($C928,_TARGETS!$A$2:$A$17,0))</f>
        <v>1</v>
      </c>
      <c r="N928" s="193" t="str">
        <f>INDEX(_TARGETS!$D$2:$D$17,MATCH($C928,_TARGETS!$A$2:$A$17,0))</f>
        <v>% (fracción)</v>
      </c>
      <c r="O928" s="193" t="str">
        <f>IF(NOT(ISNUMBER(F928)),IF(SUMPRODUCT(($C$2:$C$1300=C928)*($J$2:$J$1300="Monthly")*($A$2:$A$1300&lt;=A928)*(YEAR($A$2:$A$1300)=YEAR(A928))*ISNUMBER($K$2:$K$1300)*ISNUMBER($L$2:$L$1300)*($L$2:$L$1300=0)*($K$2:$K$1300&gt;0))&gt;0,"INCOMPLETE","MISSING"),O286)</f>
        <v>MISSING</v>
      </c>
      <c r="P928" s="193" t="str">
        <f>INDEX(_TARGETS!$K$2:$K$17,MATCH($C928,_TARGETS!$A$2:$A$17,0))</f>
        <v>OPS (carga manual en Datos)</v>
      </c>
      <c r="Q928" s="193" t="str">
        <f t="shared" si="83"/>
        <v>202709|ICCS|YTD</v>
      </c>
      <c r="R928" s="193" t="str">
        <f>INDEX(_TARGETS!$H$2:$H$17,MATCH($C928,_TARGETS!$A$2:$A$17,0))</f>
        <v>Definida</v>
      </c>
      <c r="S928" s="193" t="str">
        <f t="shared" si="84"/>
        <v/>
      </c>
      <c r="T928" s="193" t="str">
        <f t="shared" si="85"/>
        <v/>
      </c>
    </row>
    <row r="929" spans="1:20" ht="14.25" customHeight="1" x14ac:dyDescent="0.3">
      <c r="A929" s="249">
        <f>KPIs!$Q$3</f>
        <v>46631</v>
      </c>
      <c r="B929" s="193" t="str">
        <f>KPIs!Q$4</f>
        <v>Compresora</v>
      </c>
      <c r="C929" t="s">
        <v>89</v>
      </c>
      <c r="D929" s="193" t="str">
        <f>KPIs!$A$47</f>
        <v>12 · Cumplimiento de comités y subcomités de seguridad · YTD</v>
      </c>
      <c r="E929" t="s">
        <v>601</v>
      </c>
      <c r="F929" s="193" t="str">
        <f>IF(ISNUMBER(KPIs!Q47),KPIs!Q47,"")</f>
        <v/>
      </c>
      <c r="G929" s="254">
        <f>IF(ISNUMBER(KPIs!$C$47),KPIs!$C$47,"")</f>
        <v>1</v>
      </c>
      <c r="H929" s="193" t="str">
        <f>IFERROR(INDEX(_TARGETS!$E$2:$E$17,MATCH($C929,_TARGETS!$A$2:$A$17,0))&amp;"","")</f>
        <v>≥</v>
      </c>
      <c r="I929" s="193" t="str">
        <f t="shared" si="81"/>
        <v/>
      </c>
      <c r="J929" s="193" t="str">
        <f t="shared" si="82"/>
        <v>YTD</v>
      </c>
      <c r="K929" s="193">
        <f>SUMIFS(Datos!$D$26:$AL$26,Datos!$D$3:$AL$3,"&gt;="&amp;DATE(YEAR(Datos!Q$3),1,1),Datos!$D$3:$AL$3,"&lt;="&amp;Datos!Q$3)</f>
        <v>0</v>
      </c>
      <c r="L929" s="193">
        <f>SUMIFS(Datos!$D$27:$AL$27,Datos!$D$3:$AL$3,"&gt;="&amp;DATE(YEAR(Datos!Q$3),1,1),Datos!$D$3:$AL$3,"&lt;="&amp;Datos!Q$3)</f>
        <v>0</v>
      </c>
      <c r="M929" s="193">
        <f>INDEX(_TARGETS!$J$2:$J$17,MATCH($C929,_TARGETS!$A$2:$A$17,0))</f>
        <v>1</v>
      </c>
      <c r="N929" s="193" t="str">
        <f>INDEX(_TARGETS!$D$2:$D$17,MATCH($C929,_TARGETS!$A$2:$A$17,0))</f>
        <v>% (fracción)</v>
      </c>
      <c r="O929" s="193" t="str">
        <f>IF(NOT(ISNUMBER(F929)),IF(SUMPRODUCT(($C$2:$C$1300=C929)*($J$2:$J$1300="Monthly")*($A$2:$A$1300&lt;=A929)*(YEAR($A$2:$A$1300)=YEAR(A929))*ISNUMBER($K$2:$K$1300)*ISNUMBER($L$2:$L$1300)*($L$2:$L$1300=0)*($K$2:$K$1300&gt;0))&gt;0,"INCOMPLETE","MISSING"),O287)</f>
        <v>MISSING</v>
      </c>
      <c r="P929" s="193" t="str">
        <f>INDEX(_TARGETS!$K$2:$K$17,MATCH($C929,_TARGETS!$A$2:$A$17,0))</f>
        <v>OPS (carga manual en Datos)</v>
      </c>
      <c r="Q929" s="193" t="str">
        <f t="shared" si="83"/>
        <v>202709|CCS|YTD</v>
      </c>
      <c r="R929" s="193" t="str">
        <f>INDEX(_TARGETS!$H$2:$H$17,MATCH($C929,_TARGETS!$A$2:$A$17,0))</f>
        <v>Definida</v>
      </c>
      <c r="S929" s="193" t="str">
        <f t="shared" si="84"/>
        <v/>
      </c>
      <c r="T929" s="193" t="str">
        <f t="shared" si="85"/>
        <v/>
      </c>
    </row>
    <row r="930" spans="1:20" ht="14.25" customHeight="1" x14ac:dyDescent="0.3">
      <c r="A930" s="249">
        <f>KPIs!$Q$3</f>
        <v>46631</v>
      </c>
      <c r="B930" s="193" t="str">
        <f>KPIs!Q$4</f>
        <v>Compresora</v>
      </c>
      <c r="C930" t="s">
        <v>91</v>
      </c>
      <c r="D930" s="193" t="str">
        <f>KPIs!$A$48</f>
        <v>13 · Días promedio para cerrar hallazgos · YTD</v>
      </c>
      <c r="E930" t="s">
        <v>601</v>
      </c>
      <c r="F930" s="251" t="str">
        <f>IF(ISNUMBER(KPIs!Q48),KPIs!Q48,"")</f>
        <v/>
      </c>
      <c r="G930" s="193" t="str">
        <f>IF(ISNUMBER(KPIs!$C$48),KPIs!$C$48,"")</f>
        <v/>
      </c>
      <c r="H930" s="193" t="str">
        <f>IFERROR(INDEX(_TARGETS!$E$2:$E$17,MATCH($C930,_TARGETS!$A$2:$A$17,0))&amp;"","")</f>
        <v>≤</v>
      </c>
      <c r="I930" s="193" t="str">
        <f t="shared" si="81"/>
        <v/>
      </c>
      <c r="J930" s="193" t="str">
        <f t="shared" si="82"/>
        <v>YTD</v>
      </c>
      <c r="K930" s="193">
        <f>SUMIFS(Datos!$D$68:$AL$68,Datos!$D$3:$AL$3,"&gt;="&amp;DATE(YEAR(Datos!Q$3),1,1),Datos!$D$3:$AL$3,"&lt;="&amp;Datos!Q$3)</f>
        <v>0</v>
      </c>
      <c r="L930" s="193">
        <f>SUMIFS(Datos!$D$67:$AL$67,Datos!$D$3:$AL$3,"&gt;="&amp;DATE(YEAR(Datos!Q$3),1,1),Datos!$D$3:$AL$3,"&lt;="&amp;Datos!Q$3)</f>
        <v>0</v>
      </c>
      <c r="M930" s="193">
        <f>INDEX(_TARGETS!$J$2:$J$17,MATCH($C930,_TARGETS!$A$2:$A$17,0))</f>
        <v>1</v>
      </c>
      <c r="N930" s="193" t="str">
        <f>INDEX(_TARGETS!$D$2:$D$17,MATCH($C930,_TARGETS!$A$2:$A$17,0))</f>
        <v>días</v>
      </c>
      <c r="O930" s="193" t="str">
        <f>IF(NOT(ISNUMBER(F930)),IF(SUMPRODUCT(($C$2:$C$1300=C930)*($J$2:$J$1300="Monthly")*($A$2:$A$1300&lt;=A930)*(YEAR($A$2:$A$1300)=YEAR(A930))*ISNUMBER($K$2:$K$1300)*ISNUMBER($L$2:$L$1300)*($L$2:$L$1300=0)*($K$2:$K$1300&gt;0))&gt;0,"INCOMPLETE","MISSING"),O288)</f>
        <v>MISSING</v>
      </c>
      <c r="P930" s="193" t="str">
        <f>INDEX(_TARGETS!$K$2:$K$17,MATCH($C930,_TARGETS!$A$2:$A$17,0))</f>
        <v>Plant Findings (hoja Observaciones-SMP)</v>
      </c>
      <c r="Q930" s="193" t="str">
        <f t="shared" si="83"/>
        <v>202709|DPAS|YTD</v>
      </c>
      <c r="R930" s="193" t="str">
        <f>INDEX(_TARGETS!$H$2:$H$17,MATCH($C930,_TARGETS!$A$2:$A$17,0))</f>
        <v>Pendiente (meta 2027)</v>
      </c>
      <c r="S930" s="193" t="str">
        <f t="shared" si="84"/>
        <v/>
      </c>
      <c r="T930" s="193" t="str">
        <f t="shared" si="85"/>
        <v/>
      </c>
    </row>
    <row r="931" spans="1:20" ht="14.25" customHeight="1" x14ac:dyDescent="0.3">
      <c r="A931" s="249">
        <f>KPIs!$Q$3</f>
        <v>46631</v>
      </c>
      <c r="B931" s="193" t="str">
        <f>KPIs!Q$4</f>
        <v>Compresora</v>
      </c>
      <c r="C931" t="s">
        <v>96</v>
      </c>
      <c r="D931" s="193" t="str">
        <f>KPIs!$A$49</f>
        <v>C1 · % de desvíos detectados de gravedad Alta · YTD</v>
      </c>
      <c r="E931" t="s">
        <v>601</v>
      </c>
      <c r="F931" s="193" t="str">
        <f>IF(ISNUMBER(KPIs!Q49),KPIs!Q49,"")</f>
        <v/>
      </c>
      <c r="G931" s="193" t="str">
        <f>IF(ISNUMBER(KPIs!$C$49),KPIs!$C$49,"")</f>
        <v/>
      </c>
      <c r="H931" s="193" t="str">
        <f>IFERROR(INDEX(_TARGETS!$E$2:$E$17,MATCH($C931,_TARGETS!$A$2:$A$17,0))&amp;"","")</f>
        <v/>
      </c>
      <c r="I931" s="193" t="str">
        <f t="shared" si="81"/>
        <v/>
      </c>
      <c r="J931" s="193" t="str">
        <f t="shared" si="82"/>
        <v>YTD</v>
      </c>
      <c r="K931" s="193">
        <f>SUMIFS(Datos!$D$71:$AL$71,Datos!$D$3:$AL$3,"&gt;="&amp;DATE(YEAR(Datos!Q$3),1,1),Datos!$D$3:$AL$3,"&lt;="&amp;Datos!Q$3)</f>
        <v>0</v>
      </c>
      <c r="L931" s="193">
        <f>SUMIFS(Datos!$D$71:$AL$71,Datos!$D$3:$AL$3,"&gt;="&amp;DATE(YEAR(Datos!Q$3),1,1),Datos!$D$3:$AL$3,"&lt;="&amp;Datos!Q$3)+SUMIFS(Datos!$D$72:$AL$72,Datos!$D$3:$AL$3,"&gt;="&amp;DATE(YEAR(Datos!Q$3),1,1),Datos!$D$3:$AL$3,"&lt;="&amp;Datos!Q$3)+SUMIFS(Datos!$D$73:$AL$73,Datos!$D$3:$AL$3,"&gt;="&amp;DATE(YEAR(Datos!Q$3),1,1),Datos!$D$3:$AL$3,"&lt;="&amp;Datos!Q$3)</f>
        <v>0</v>
      </c>
      <c r="M931" s="193">
        <f>INDEX(_TARGETS!$J$2:$J$17,MATCH($C931,_TARGETS!$A$2:$A$17,0))</f>
        <v>1</v>
      </c>
      <c r="N931" s="193" t="str">
        <f>INDEX(_TARGETS!$D$2:$D$17,MATCH($C931,_TARGETS!$A$2:$A$17,0))</f>
        <v>% (fracción)</v>
      </c>
      <c r="O931" s="193" t="str">
        <f t="shared" ref="O931:O937" si="88">IF(NOT(ISNUMBER(F931)),IF(SUMPRODUCT(($C$2:$C$1300=C931)*($J$2:$J$1300="Monthly")*($A$2:$A$1300&lt;=A931)*(YEAR($A$2:$A$1300)=YEAR(A931))*ISNUMBER($K$2:$K$1300)*ISNUMBER($L$2:$L$1300)*($L$2:$L$1300=0)*($K$2:$K$1300&gt;0))&gt;0,"INCOMPLETE","MISSING"),O294)</f>
        <v>MISSING</v>
      </c>
      <c r="P931" s="193" t="str">
        <f>INDEX(_TARGETS!$K$2:$K$17,MATCH($C931,_TARGETS!$A$2:$A$17,0))</f>
        <v>Plant Findings (hoja Observaciones-SMP)</v>
      </c>
      <c r="Q931" s="193" t="str">
        <f t="shared" si="83"/>
        <v>202709|HAL_ALTA_PCT|YTD</v>
      </c>
      <c r="R931" s="193" t="str">
        <f>INDEX(_TARGETS!$H$2:$H$17,MATCH($C931,_TARGETS!$A$2:$A$17,0))</f>
        <v>Solo reporte</v>
      </c>
      <c r="S931" s="193" t="str">
        <f t="shared" si="84"/>
        <v/>
      </c>
      <c r="T931" s="193" t="str">
        <f t="shared" si="85"/>
        <v/>
      </c>
    </row>
    <row r="932" spans="1:20" ht="14.25" customHeight="1" x14ac:dyDescent="0.3">
      <c r="A932" s="249">
        <f>KPIs!$Q$3</f>
        <v>46631</v>
      </c>
      <c r="B932" s="193" t="str">
        <f>KPIs!Q$4</f>
        <v>Compresora</v>
      </c>
      <c r="C932" t="s">
        <v>98</v>
      </c>
      <c r="D932" s="193" t="str">
        <f>KPIs!$A$50</f>
        <v>C2 · Detenciones de tareas aplicadas · YTD</v>
      </c>
      <c r="E932" t="s">
        <v>601</v>
      </c>
      <c r="F932" s="193" t="str">
        <f>IF(ISNUMBER(KPIs!Q50),KPIs!Q50,"")</f>
        <v/>
      </c>
      <c r="G932" s="193" t="str">
        <f>IF(ISNUMBER(KPIs!$C$50),KPIs!$C$50,"")</f>
        <v/>
      </c>
      <c r="H932" s="193" t="str">
        <f>IFERROR(INDEX(_TARGETS!$E$2:$E$17,MATCH($C932,_TARGETS!$A$2:$A$17,0))&amp;"","")</f>
        <v/>
      </c>
      <c r="I932" s="193" t="str">
        <f t="shared" si="81"/>
        <v/>
      </c>
      <c r="J932" s="193" t="str">
        <f t="shared" si="82"/>
        <v>YTD</v>
      </c>
      <c r="K932" s="193">
        <f>SUMIFS(Datos!$D$75:$AL$75,Datos!$D$3:$AL$3,"&gt;="&amp;DATE(YEAR(Datos!Q$3),1,1),Datos!$D$3:$AL$3,"&lt;="&amp;Datos!Q$3)</f>
        <v>0</v>
      </c>
      <c r="M932" s="193">
        <f>INDEX(_TARGETS!$J$2:$J$17,MATCH($C932,_TARGETS!$A$2:$A$17,0))</f>
        <v>1</v>
      </c>
      <c r="N932" s="193" t="str">
        <f>INDEX(_TARGETS!$D$2:$D$17,MATCH($C932,_TARGETS!$A$2:$A$17,0))</f>
        <v>u</v>
      </c>
      <c r="O932" s="193" t="str">
        <f t="shared" si="88"/>
        <v>MISSING</v>
      </c>
      <c r="P932" s="193" t="str">
        <f>INDEX(_TARGETS!$K$2:$K$17,MATCH($C932,_TARGETS!$A$2:$A$17,0))</f>
        <v>Plant Findings (hoja Observaciones-SMP)</v>
      </c>
      <c r="Q932" s="193" t="str">
        <f t="shared" si="83"/>
        <v>202709|DET|YTD</v>
      </c>
      <c r="R932" s="193" t="str">
        <f>INDEX(_TARGETS!$H$2:$H$17,MATCH($C932,_TARGETS!$A$2:$A$17,0))</f>
        <v>Solo reporte</v>
      </c>
      <c r="S932" s="193">
        <f t="shared" si="84"/>
        <v>0</v>
      </c>
      <c r="T932" s="193" t="str">
        <f t="shared" si="85"/>
        <v/>
      </c>
    </row>
    <row r="933" spans="1:20" ht="14.25" customHeight="1" x14ac:dyDescent="0.3">
      <c r="A933" s="249">
        <f>KPIs!$R$3</f>
        <v>46661</v>
      </c>
      <c r="B933" s="193" t="str">
        <f>KPIs!R$4</f>
        <v>Compresora</v>
      </c>
      <c r="C933" t="s">
        <v>39</v>
      </c>
      <c r="D933" s="193" t="str">
        <f>KPIs!$A$37</f>
        <v>1 · Frecuencia de casos con días perdidos · YTD</v>
      </c>
      <c r="E933" t="s">
        <v>601</v>
      </c>
      <c r="F933" s="193" t="str">
        <f>IF(ISNUMBER(KPIs!R37),KPIs!R37,"")</f>
        <v/>
      </c>
      <c r="G933" s="250">
        <f>IF(ISNUMBER(KPIs!$C$37),KPIs!$C$37,"")</f>
        <v>0</v>
      </c>
      <c r="H933" s="193" t="str">
        <f>IFERROR(INDEX(_TARGETS!$E$2:$E$17,MATCH($C933,_TARGETS!$A$2:$A$17,0))&amp;"","")</f>
        <v>≤</v>
      </c>
      <c r="I933" s="193" t="str">
        <f t="shared" si="81"/>
        <v/>
      </c>
      <c r="J933" s="193" t="str">
        <f t="shared" si="82"/>
        <v>YTD</v>
      </c>
      <c r="K933" s="193">
        <f>SUMIFS(Datos!$D$33:$AL$33,Datos!$D$3:$AL$3,"&gt;="&amp;DATE(YEAR(Datos!R$3),1,1),Datos!$D$3:$AL$3,"&lt;="&amp;Datos!R$3)</f>
        <v>0</v>
      </c>
      <c r="L933" s="193">
        <f>SUMIFS(Datos!$D$14:$AL$14,Datos!$D$3:$AL$3,"&gt;="&amp;DATE(YEAR(Datos!R$3),1,1),Datos!$D$3:$AL$3,"&lt;="&amp;Datos!R$3)</f>
        <v>0</v>
      </c>
      <c r="M933" s="193">
        <f>INDEX(_TARGETS!$J$2:$J$17,MATCH($C933,_TARGETS!$A$2:$A$17,0))</f>
        <v>1000000</v>
      </c>
      <c r="N933" s="193" t="str">
        <f>INDEX(_TARGETS!$D$2:$D$17,MATCH($C933,_TARGETS!$A$2:$A$17,0))</f>
        <v>casos / 10^6 HH</v>
      </c>
      <c r="O933" s="193" t="str">
        <f t="shared" si="88"/>
        <v>MISSING</v>
      </c>
      <c r="P933" s="193" t="str">
        <f>INDEX(_TARGETS!$K$2:$K$17,MATCH($C933,_TARGETS!$A$2:$A$17,0))</f>
        <v>OPS (carga manual en Datos)</v>
      </c>
      <c r="Q933" s="193" t="str">
        <f t="shared" si="83"/>
        <v>202710|DAFWCF|YTD</v>
      </c>
      <c r="R933" s="193" t="str">
        <f>INDEX(_TARGETS!$H$2:$H$17,MATCH($C933,_TARGETS!$A$2:$A$17,0))</f>
        <v>Definida</v>
      </c>
      <c r="S933" s="193" t="str">
        <f t="shared" si="84"/>
        <v/>
      </c>
      <c r="T933" s="193" t="str">
        <f t="shared" si="85"/>
        <v/>
      </c>
    </row>
    <row r="934" spans="1:20" ht="14.25" customHeight="1" x14ac:dyDescent="0.3">
      <c r="A934" s="249">
        <f>KPIs!$R$3</f>
        <v>46661</v>
      </c>
      <c r="B934" s="193" t="str">
        <f>KPIs!R$4</f>
        <v>Compresora</v>
      </c>
      <c r="C934" t="s">
        <v>49</v>
      </c>
      <c r="D934" s="193" t="str">
        <f>KPIs!$A$38</f>
        <v>2 · Frecuencia de casos registrables · YTD</v>
      </c>
      <c r="E934" t="s">
        <v>601</v>
      </c>
      <c r="F934" s="193" t="str">
        <f>IF(ISNUMBER(KPIs!R38),KPIs!R38,"")</f>
        <v/>
      </c>
      <c r="G934" s="250">
        <f>IF(ISNUMBER(KPIs!$C$38),KPIs!$C$38,"")</f>
        <v>2.35</v>
      </c>
      <c r="H934" s="193" t="str">
        <f>IFERROR(INDEX(_TARGETS!$E$2:$E$17,MATCH($C934,_TARGETS!$A$2:$A$17,0))&amp;"","")</f>
        <v>≤</v>
      </c>
      <c r="I934" s="193" t="str">
        <f t="shared" si="81"/>
        <v/>
      </c>
      <c r="J934" s="193" t="str">
        <f t="shared" si="82"/>
        <v>YTD</v>
      </c>
      <c r="K934" s="193">
        <f>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f>
        <v>0</v>
      </c>
      <c r="L934" s="193">
        <f>SUMIFS(Datos!$D$14:$AL$14,Datos!$D$3:$AL$3,"&gt;="&amp;DATE(YEAR(Datos!R$3),1,1),Datos!$D$3:$AL$3,"&lt;="&amp;Datos!R$3)</f>
        <v>0</v>
      </c>
      <c r="M934" s="193">
        <f>INDEX(_TARGETS!$J$2:$J$17,MATCH($C934,_TARGETS!$A$2:$A$17,0))</f>
        <v>1000000</v>
      </c>
      <c r="N934" s="193" t="str">
        <f>INDEX(_TARGETS!$D$2:$D$17,MATCH($C934,_TARGETS!$A$2:$A$17,0))</f>
        <v>casos / 10^6 HH</v>
      </c>
      <c r="O934" s="193" t="str">
        <f t="shared" si="88"/>
        <v>MISSING</v>
      </c>
      <c r="P934" s="193" t="str">
        <f>INDEX(_TARGETS!$K$2:$K$17,MATCH($C934,_TARGETS!$A$2:$A$17,0))</f>
        <v>OPS (carga manual en Datos)</v>
      </c>
      <c r="Q934" s="193" t="str">
        <f t="shared" si="83"/>
        <v>202710|TRICF|YTD</v>
      </c>
      <c r="R934" s="193" t="str">
        <f>INDEX(_TARGETS!$H$2:$H$17,MATCH($C934,_TARGETS!$A$2:$A$17,0))</f>
        <v>Definida</v>
      </c>
      <c r="S934" s="193" t="str">
        <f t="shared" si="84"/>
        <v/>
      </c>
      <c r="T934" s="193" t="str">
        <f t="shared" si="85"/>
        <v/>
      </c>
    </row>
    <row r="935" spans="1:20" ht="14.25" customHeight="1" x14ac:dyDescent="0.3">
      <c r="A935" s="249">
        <f>KPIs!$R$3</f>
        <v>46661</v>
      </c>
      <c r="B935" s="193" t="str">
        <f>KPIs!R$4</f>
        <v>Compresora</v>
      </c>
      <c r="C935" t="s">
        <v>51</v>
      </c>
      <c r="D935" s="193" t="str">
        <f>KPIs!$A$39</f>
        <v>3 · Casos de primeros auxilios · YTD</v>
      </c>
      <c r="E935" t="s">
        <v>601</v>
      </c>
      <c r="F935" s="193" t="str">
        <f>IF(ISNUMBER(KPIs!R39),KPIs!R39,"")</f>
        <v/>
      </c>
      <c r="G935" s="193" t="str">
        <f>IF(ISNUMBER(KPIs!$C$39),KPIs!$C$39,"")</f>
        <v/>
      </c>
      <c r="H935" s="193" t="str">
        <f>IFERROR(INDEX(_TARGETS!$E$2:$E$17,MATCH($C935,_TARGETS!$A$2:$A$17,0))&amp;"","")</f>
        <v/>
      </c>
      <c r="I935" s="193" t="str">
        <f t="shared" si="81"/>
        <v/>
      </c>
      <c r="J935" s="193" t="str">
        <f t="shared" si="82"/>
        <v>YTD</v>
      </c>
      <c r="K935" s="193">
        <f>SUMIFS(Datos!$D$37:$AL$37,Datos!$D$3:$AL$3,"&gt;="&amp;DATE(YEAR(Datos!R$3),1,1),Datos!$D$3:$AL$3,"&lt;="&amp;Datos!R$3)</f>
        <v>0</v>
      </c>
      <c r="M935" s="193">
        <f>INDEX(_TARGETS!$J$2:$J$17,MATCH($C935,_TARGETS!$A$2:$A$17,0))</f>
        <v>1</v>
      </c>
      <c r="N935" s="193" t="str">
        <f>INDEX(_TARGETS!$D$2:$D$17,MATCH($C935,_TARGETS!$A$2:$A$17,0))</f>
        <v>casos</v>
      </c>
      <c r="O935" s="193" t="str">
        <f t="shared" si="88"/>
        <v>MISSING</v>
      </c>
      <c r="P935" s="193" t="str">
        <f>INDEX(_TARGETS!$K$2:$K$17,MATCH($C935,_TARGETS!$A$2:$A$17,0))</f>
        <v>OPS (carga manual en Datos)</v>
      </c>
      <c r="Q935" s="193" t="str">
        <f t="shared" si="83"/>
        <v>202710|FAC|YTD</v>
      </c>
      <c r="R935" s="193" t="str">
        <f>INDEX(_TARGETS!$H$2:$H$17,MATCH($C935,_TARGETS!$A$2:$A$17,0))</f>
        <v>Solo reporte</v>
      </c>
      <c r="S935" s="193">
        <f t="shared" si="84"/>
        <v>0</v>
      </c>
      <c r="T935" s="193" t="str">
        <f t="shared" si="85"/>
        <v/>
      </c>
    </row>
    <row r="936" spans="1:20" ht="14.25" customHeight="1" x14ac:dyDescent="0.3">
      <c r="A936" s="249">
        <f>KPIs!$R$3</f>
        <v>46661</v>
      </c>
      <c r="B936" s="193" t="str">
        <f>KPIs!R$4</f>
        <v>Compresora</v>
      </c>
      <c r="C936" t="s">
        <v>57</v>
      </c>
      <c r="D936" s="193" t="str">
        <f>KPIs!$A$40</f>
        <v>4 · Accidentes vehiculares severos por millón de km · YTD</v>
      </c>
      <c r="E936" t="s">
        <v>601</v>
      </c>
      <c r="F936" s="193" t="str">
        <f>IF(ISNUMBER(KPIs!R40),KPIs!R40,"")</f>
        <v/>
      </c>
      <c r="G936" s="193" t="str">
        <f>IF(ISNUMBER(KPIs!$C$40),KPIs!$C$40,"")</f>
        <v/>
      </c>
      <c r="H936" s="193" t="str">
        <f>IFERROR(INDEX(_TARGETS!$E$2:$E$17,MATCH($C936,_TARGETS!$A$2:$A$17,0))&amp;"","")</f>
        <v/>
      </c>
      <c r="I936" s="193" t="str">
        <f t="shared" si="81"/>
        <v/>
      </c>
      <c r="J936" s="193" t="str">
        <f t="shared" si="82"/>
        <v>YTD</v>
      </c>
      <c r="K936" s="193">
        <f>SUMIFS(Datos!$D$39:$AL$39,Datos!$D$3:$AL$3,"&gt;="&amp;DATE(YEAR(Datos!R$3),1,1),Datos!$D$3:$AL$3,"&lt;="&amp;Datos!R$3)+SUMIFS(Datos!$D$40:$AL$40,Datos!$D$3:$AL$3,"&gt;="&amp;DATE(YEAR(Datos!R$3),1,1),Datos!$D$3:$AL$3,"&lt;="&amp;Datos!R$3)+SUMIFS(Datos!$D$41:$AL$41,Datos!$D$3:$AL$3,"&gt;="&amp;DATE(YEAR(Datos!R$3),1,1),Datos!$D$3:$AL$3,"&lt;="&amp;Datos!R$3)</f>
        <v>0</v>
      </c>
      <c r="L936" s="193">
        <f>SUMIFS(Datos!$D$47:$AL$47,Datos!$D$3:$AL$3,"&gt;="&amp;DATE(YEAR(Datos!R$3),1,1),Datos!$D$3:$AL$3,"&lt;="&amp;Datos!R$3)</f>
        <v>0</v>
      </c>
      <c r="M936" s="193">
        <f>INDEX(_TARGETS!$J$2:$J$17,MATCH($C936,_TARGETS!$A$2:$A$17,0))</f>
        <v>1000000</v>
      </c>
      <c r="N936" s="193" t="str">
        <f>INDEX(_TARGETS!$D$2:$D$17,MATCH($C936,_TARGETS!$A$2:$A$17,0))</f>
        <v>eventos / 10^6 km</v>
      </c>
      <c r="O936" s="193" t="str">
        <f t="shared" si="88"/>
        <v>MISSING</v>
      </c>
      <c r="P936" s="193" t="str">
        <f>INDEX(_TARGETS!$K$2:$K$17,MATCH($C936,_TARGETS!$A$2:$A$17,0))</f>
        <v>OPS (eventos) + Full Control GPS (km) - carga manual en Datos</v>
      </c>
      <c r="Q936" s="193" t="str">
        <f t="shared" si="83"/>
        <v>202710|SVCR|YTD</v>
      </c>
      <c r="R936" s="193" t="str">
        <f>INDEX(_TARGETS!$H$2:$H$17,MATCH($C936,_TARGETS!$A$2:$A$17,0))</f>
        <v>Solo reporte</v>
      </c>
      <c r="S936" s="193" t="str">
        <f t="shared" si="84"/>
        <v/>
      </c>
      <c r="T936" s="193" t="str">
        <f t="shared" si="85"/>
        <v/>
      </c>
    </row>
    <row r="937" spans="1:20" ht="14.25" customHeight="1" x14ac:dyDescent="0.3">
      <c r="A937" s="249">
        <f>KPIs!$R$3</f>
        <v>46661</v>
      </c>
      <c r="B937" s="193" t="str">
        <f>KPIs!R$4</f>
        <v>Compresora</v>
      </c>
      <c r="C937" t="s">
        <v>61</v>
      </c>
      <c r="D937" s="193" t="str">
        <f>KPIs!$A$41</f>
        <v>5 · Accidentes vehiculares totales por millón de km · YTD</v>
      </c>
      <c r="E937" t="s">
        <v>601</v>
      </c>
      <c r="F937" s="193" t="str">
        <f>IF(ISNUMBER(KPIs!R41),KPIs!R41,"")</f>
        <v/>
      </c>
      <c r="G937" s="250">
        <f>IF(ISNUMBER(KPIs!$C$41),KPIs!$C$41,"")</f>
        <v>0.79</v>
      </c>
      <c r="H937" s="193" t="str">
        <f>IFERROR(INDEX(_TARGETS!$E$2:$E$17,MATCH($C937,_TARGETS!$A$2:$A$17,0))&amp;"","")</f>
        <v>≤</v>
      </c>
      <c r="I937" s="193" t="str">
        <f t="shared" si="81"/>
        <v/>
      </c>
      <c r="J937" s="193" t="str">
        <f t="shared" si="82"/>
        <v>YTD</v>
      </c>
      <c r="K937" s="193">
        <f>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f>
        <v>0</v>
      </c>
      <c r="L937" s="193">
        <f>SUMIFS(Datos!$D$47:$AL$47,Datos!$D$3:$AL$3,"&gt;="&amp;DATE(YEAR(Datos!R$3),1,1),Datos!$D$3:$AL$3,"&lt;="&amp;Datos!R$3)</f>
        <v>0</v>
      </c>
      <c r="M937" s="193">
        <f>INDEX(_TARGETS!$J$2:$J$17,MATCH($C937,_TARGETS!$A$2:$A$17,0))</f>
        <v>1000000</v>
      </c>
      <c r="N937" s="193" t="str">
        <f>INDEX(_TARGETS!$D$2:$D$17,MATCH($C937,_TARGETS!$A$2:$A$17,0))</f>
        <v>eventos / 10^6 km</v>
      </c>
      <c r="O937" s="193" t="str">
        <f t="shared" si="88"/>
        <v>MISSING</v>
      </c>
      <c r="P937" s="193" t="str">
        <f>INDEX(_TARGETS!$K$2:$K$17,MATCH($C937,_TARGETS!$A$2:$A$17,0))</f>
        <v>OPS (eventos) + Full Control GPS (km) - carga manual en Datos</v>
      </c>
      <c r="Q937" s="193" t="str">
        <f t="shared" si="83"/>
        <v>202710|TVCR|YTD</v>
      </c>
      <c r="R937" s="193" t="str">
        <f>INDEX(_TARGETS!$H$2:$H$17,MATCH($C937,_TARGETS!$A$2:$A$17,0))</f>
        <v>Definida</v>
      </c>
      <c r="S937" s="193" t="str">
        <f t="shared" si="84"/>
        <v/>
      </c>
      <c r="T937" s="193" t="str">
        <f t="shared" si="85"/>
        <v/>
      </c>
    </row>
    <row r="938" spans="1:20" ht="14.25" customHeight="1" x14ac:dyDescent="0.3">
      <c r="A938" s="249">
        <f>KPIs!$R$3</f>
        <v>46661</v>
      </c>
      <c r="B938" s="193" t="str">
        <f>KPIs!R$4</f>
        <v>Compresora</v>
      </c>
      <c r="C938" t="s">
        <v>71</v>
      </c>
      <c r="D938" s="193" t="str">
        <f>KPIs!$A$42</f>
        <v>7 · Investigaciones de accidentes: días promedio de cierre · YTD</v>
      </c>
      <c r="E938" t="s">
        <v>601</v>
      </c>
      <c r="F938" s="193" t="str">
        <f>IF(ISNUMBER(KPIs!R42),KPIs!R42,"")</f>
        <v/>
      </c>
      <c r="G938" s="251">
        <f>IF(ISNUMBER(KPIs!$C$42),KPIs!$C$42,"")</f>
        <v>20</v>
      </c>
      <c r="H938" s="193" t="str">
        <f>IFERROR(INDEX(_TARGETS!$E$2:$E$17,MATCH($C938,_TARGETS!$A$2:$A$17,0))&amp;"","")</f>
        <v>≤</v>
      </c>
      <c r="I938" s="193" t="str">
        <f t="shared" si="81"/>
        <v/>
      </c>
      <c r="J938" s="193" t="str">
        <f t="shared" si="82"/>
        <v>YTD</v>
      </c>
      <c r="K938" s="193">
        <f>SUMIFS(Datos!$D$31:$AL$31,Datos!$D$3:$AL$3,"&gt;="&amp;DATE(YEAR(Datos!R$3),1,1),Datos!$D$3:$AL$3,"&lt;="&amp;Datos!R$3)</f>
        <v>0</v>
      </c>
      <c r="L938" s="193">
        <f>SUMIFS(Datos!$D$30:$AL$30,Datos!$D$3:$AL$3,"&gt;="&amp;DATE(YEAR(Datos!R$3),1,1),Datos!$D$3:$AL$3,"&lt;="&amp;Datos!R$3)</f>
        <v>0</v>
      </c>
      <c r="M938" s="193">
        <f>INDEX(_TARGETS!$J$2:$J$17,MATCH($C938,_TARGETS!$A$2:$A$17,0))</f>
        <v>1</v>
      </c>
      <c r="N938" s="193" t="str">
        <f>INDEX(_TARGETS!$D$2:$D$17,MATCH($C938,_TARGETS!$A$2:$A$17,0))</f>
        <v>días</v>
      </c>
      <c r="O938" s="193" t="str">
        <f>IF(NOT(ISNUMBER(F938)),IF(SUMPRODUCT(($C$2:$C$1300=C938)*($J$2:$J$1300="Monthly")*($A$2:$A$1300&lt;=A938)*(YEAR($A$2:$A$1300)=YEAR(A938))*ISNUMBER($K$2:$K$1300)*ISNUMBER($L$2:$L$1300)*($L$2:$L$1300=0)*($K$2:$K$1300&gt;0))&gt;0,"INCOMPLETE","MISSING"),O302)</f>
        <v>MISSING</v>
      </c>
      <c r="P938" s="193" t="str">
        <f>INDEX(_TARGETS!$K$2:$K$17,MATCH($C938,_TARGETS!$A$2:$A$17,0))</f>
        <v>OPS (carga manual en Datos)</v>
      </c>
      <c r="Q938" s="193" t="str">
        <f t="shared" si="83"/>
        <v>202710|INV|YTD</v>
      </c>
      <c r="R938" s="193" t="str">
        <f>INDEX(_TARGETS!$H$2:$H$17,MATCH($C938,_TARGETS!$A$2:$A$17,0))</f>
        <v>Definida</v>
      </c>
      <c r="S938" s="193" t="str">
        <f t="shared" si="84"/>
        <v/>
      </c>
      <c r="T938" s="193" t="str">
        <f t="shared" si="85"/>
        <v/>
      </c>
    </row>
    <row r="939" spans="1:20" ht="14.25" customHeight="1" x14ac:dyDescent="0.3">
      <c r="A939" s="249">
        <f>KPIs!$R$3</f>
        <v>46661</v>
      </c>
      <c r="B939" s="193" t="str">
        <f>KPIs!R$4</f>
        <v>Compresora</v>
      </c>
      <c r="C939" t="s">
        <v>76</v>
      </c>
      <c r="D939" s="193" t="str">
        <f>KPIs!$A$43</f>
        <v>8 · % de capacitación en seguridad · YTD</v>
      </c>
      <c r="E939" t="s">
        <v>601</v>
      </c>
      <c r="F939" s="193" t="str">
        <f>IF(ISNUMBER(KPIs!R43),KPIs!R43,"")</f>
        <v/>
      </c>
      <c r="G939" s="252">
        <f>IF(ISNUMBER(KPIs!$C$43),KPIs!$C$43,"")</f>
        <v>0.01</v>
      </c>
      <c r="H939" s="193" t="str">
        <f>IFERROR(INDEX(_TARGETS!$E$2:$E$17,MATCH($C939,_TARGETS!$A$2:$A$17,0))&amp;"","")</f>
        <v>≥</v>
      </c>
      <c r="I939" s="193" t="str">
        <f t="shared" si="81"/>
        <v/>
      </c>
      <c r="J939" s="193" t="str">
        <f t="shared" si="82"/>
        <v>YTD</v>
      </c>
      <c r="K939" s="193">
        <f>SUMIFS(Datos!$D$18:$AL$18,Datos!$D$3:$AL$3,"&gt;="&amp;DATE(YEAR(Datos!R$3),1,1),Datos!$D$3:$AL$3,"&lt;="&amp;Datos!R$3)</f>
        <v>0</v>
      </c>
      <c r="L939" s="193">
        <f>SUMIFS(Datos!$D$14:$AL$14,Datos!$D$3:$AL$3,"&gt;="&amp;DATE(YEAR(Datos!R$3),1,1),Datos!$D$3:$AL$3,"&lt;="&amp;Datos!R$3)</f>
        <v>0</v>
      </c>
      <c r="M939" s="193">
        <f>INDEX(_TARGETS!$J$2:$J$17,MATCH($C939,_TARGETS!$A$2:$A$17,0))</f>
        <v>1</v>
      </c>
      <c r="N939" s="193" t="str">
        <f>INDEX(_TARGETS!$D$2:$D$17,MATCH($C939,_TARGETS!$A$2:$A$17,0))</f>
        <v>% (fracción)</v>
      </c>
      <c r="O939" s="193" t="str">
        <f>IF(NOT(ISNUMBER(F939)),IF(SUMPRODUCT(($C$2:$C$1300=C939)*($J$2:$J$1300="Monthly")*($A$2:$A$1300&lt;=A939)*(YEAR($A$2:$A$1300)=YEAR(A939))*ISNUMBER($K$2:$K$1300)*ISNUMBER($L$2:$L$1300)*($L$2:$L$1300=0)*($K$2:$K$1300&gt;0))&gt;0,"INCOMPLETE","MISSING"),O303)</f>
        <v>MISSING</v>
      </c>
      <c r="P939" s="193" t="str">
        <f>INDEX(_TARGETS!$K$2:$K$17,MATCH($C939,_TARGETS!$A$2:$A$17,0))</f>
        <v>OPS (carga manual en Datos)</v>
      </c>
      <c r="Q939" s="193" t="str">
        <f t="shared" si="83"/>
        <v>202710|HCS|YTD</v>
      </c>
      <c r="R939" s="193" t="str">
        <f>INDEX(_TARGETS!$H$2:$H$17,MATCH($C939,_TARGETS!$A$2:$A$17,0))</f>
        <v>Definida</v>
      </c>
      <c r="S939" s="193" t="str">
        <f t="shared" si="84"/>
        <v/>
      </c>
      <c r="T939" s="193" t="str">
        <f t="shared" si="85"/>
        <v/>
      </c>
    </row>
    <row r="940" spans="1:20" ht="14.25" customHeight="1" x14ac:dyDescent="0.3">
      <c r="A940" s="249">
        <f>KPIs!$R$3</f>
        <v>46661</v>
      </c>
      <c r="B940" s="193" t="str">
        <f>KPIs!R$4</f>
        <v>Compresora</v>
      </c>
      <c r="C940" t="s">
        <v>83</v>
      </c>
      <c r="D940" s="193" t="str">
        <f>KPIs!$A$44</f>
        <v>10 · Cumplimiento de simulacros (emergencia y operativos) · YTD</v>
      </c>
      <c r="E940" t="s">
        <v>601</v>
      </c>
      <c r="F940" s="193" t="str">
        <f>IF(ISNUMBER(KPIs!R44),KPIs!R44,"")</f>
        <v/>
      </c>
      <c r="G940" s="253">
        <f>IF(ISNUMBER(KPIs!$C$44),KPIs!$C$44,"")</f>
        <v>1</v>
      </c>
      <c r="H940" s="193" t="str">
        <f>IFERROR(INDEX(_TARGETS!$E$2:$E$17,MATCH($C940,_TARGETS!$A$2:$A$17,0))&amp;"","")</f>
        <v>≥</v>
      </c>
      <c r="I940" s="193" t="str">
        <f t="shared" si="81"/>
        <v/>
      </c>
      <c r="J940" s="193" t="str">
        <f t="shared" si="82"/>
        <v>YTD</v>
      </c>
      <c r="K940" s="193">
        <f>SUMIFS(Datos!$D$20:$AL$20,Datos!$D$3:$AL$3,"&gt;="&amp;DATE(YEAR(Datos!R$3),1,1),Datos!$D$3:$AL$3,"&lt;="&amp;Datos!R$3)</f>
        <v>0</v>
      </c>
      <c r="L940" s="193">
        <f>SUMIFS(Datos!$D$21:$AL$21,Datos!$D$3:$AL$3,"&gt;="&amp;DATE(YEAR(Datos!R$3),1,1),Datos!$D$3:$AL$3,"&lt;="&amp;Datos!R$3)</f>
        <v>0</v>
      </c>
      <c r="M940" s="193">
        <f>INDEX(_TARGETS!$J$2:$J$17,MATCH($C940,_TARGETS!$A$2:$A$17,0))</f>
        <v>1</v>
      </c>
      <c r="N940" s="193" t="str">
        <f>INDEX(_TARGETS!$D$2:$D$17,MATCH($C940,_TARGETS!$A$2:$A$17,0))</f>
        <v>% (fracción)</v>
      </c>
      <c r="O940" s="193" t="str">
        <f>IF(NOT(ISNUMBER(F940)),IF(SUMPRODUCT(($C$2:$C$1300=C940)*($J$2:$J$1300="Monthly")*($A$2:$A$1300&lt;=A940)*(YEAR($A$2:$A$1300)=YEAR(A940))*ISNUMBER($K$2:$K$1300)*ISNUMBER($L$2:$L$1300)*($L$2:$L$1300=0)*($K$2:$K$1300&gt;0))&gt;0,"INCOMPLETE","MISSING"),O305)</f>
        <v>MISSING</v>
      </c>
      <c r="P940" s="193" t="str">
        <f>INDEX(_TARGETS!$K$2:$K$17,MATCH($C940,_TARGETS!$A$2:$A$17,0))</f>
        <v>OPS (carga manual en Datos)</v>
      </c>
      <c r="Q940" s="193" t="str">
        <f t="shared" si="83"/>
        <v>202710|CPSE|YTD</v>
      </c>
      <c r="R940" s="193" t="str">
        <f>INDEX(_TARGETS!$H$2:$H$17,MATCH($C940,_TARGETS!$A$2:$A$17,0))</f>
        <v>Definida</v>
      </c>
      <c r="S940" s="193" t="str">
        <f t="shared" si="84"/>
        <v/>
      </c>
      <c r="T940" s="193" t="str">
        <f t="shared" si="85"/>
        <v/>
      </c>
    </row>
    <row r="941" spans="1:20" ht="14.25" customHeight="1" x14ac:dyDescent="0.3">
      <c r="A941" s="249">
        <f>KPIs!$R$3</f>
        <v>46661</v>
      </c>
      <c r="B941" s="193" t="str">
        <f>KPIs!R$4</f>
        <v>Compresora</v>
      </c>
      <c r="C941" t="s">
        <v>85</v>
      </c>
      <c r="D941" s="193" t="str">
        <f>KPIs!$A$45</f>
        <v>10b · Cumplimiento de acciones de mejora de simulacros · YTD</v>
      </c>
      <c r="E941" t="s">
        <v>601</v>
      </c>
      <c r="F941" s="193" t="str">
        <f>IF(ISNUMBER(KPIs!R45),KPIs!R45,"")</f>
        <v/>
      </c>
      <c r="G941" s="254" t="str">
        <f>IF(ISNUMBER(KPIs!$C$45),KPIs!$C$45,"")</f>
        <v/>
      </c>
      <c r="H941" s="193" t="str">
        <f>IFERROR(INDEX(_TARGETS!$E$2:$E$17,MATCH($C941,_TARGETS!$A$2:$A$17,0))&amp;"","")</f>
        <v/>
      </c>
      <c r="I941" s="193" t="str">
        <f t="shared" si="81"/>
        <v/>
      </c>
      <c r="J941" s="193" t="str">
        <f t="shared" si="82"/>
        <v>YTD</v>
      </c>
      <c r="K941" s="193">
        <f>SUMIFS(Datos!$D$23:$AL$23,Datos!$D$3:$AL$3,"&gt;="&amp;DATE(YEAR(Datos!R$3),1,1),Datos!$D$3:$AL$3,"&lt;="&amp;Datos!R$3)</f>
        <v>0</v>
      </c>
      <c r="L941" s="193">
        <f>SUMIFS(Datos!$D$22:$AL$22,Datos!$D$3:$AL$3,"&gt;="&amp;DATE(YEAR(Datos!R$3),1,1),Datos!$D$3:$AL$3,"&lt;="&amp;Datos!R$3)</f>
        <v>0</v>
      </c>
      <c r="M941" s="193">
        <f>INDEX(_TARGETS!$J$2:$J$17,MATCH($C941,_TARGETS!$A$2:$A$17,0))</f>
        <v>1</v>
      </c>
      <c r="N941" s="193" t="str">
        <f>INDEX(_TARGETS!$D$2:$D$17,MATCH($C941,_TARGETS!$A$2:$A$17,0))</f>
        <v>% (fracción)</v>
      </c>
      <c r="O941" s="193" t="str">
        <f>IF(NOT(ISNUMBER(F941)),IF(SUMPRODUCT(($C$2:$C$1300=C941)*($J$2:$J$1300="Monthly")*($A$2:$A$1300&lt;=A941)*(YEAR($A$2:$A$1300)=YEAR(A941))*ISNUMBER($K$2:$K$1300)*ISNUMBER($L$2:$L$1300)*($L$2:$L$1300=0)*($K$2:$K$1300&gt;0))&gt;0,"INCOMPLETE","MISSING"),O306)</f>
        <v>MISSING</v>
      </c>
      <c r="P941" s="193" t="str">
        <f>INDEX(_TARGETS!$K$2:$K$17,MATCH($C941,_TARGETS!$A$2:$A$17,0))</f>
        <v>OPS (carga manual en Datos)</v>
      </c>
      <c r="Q941" s="193" t="str">
        <f t="shared" si="83"/>
        <v>202710|CAMS|YTD</v>
      </c>
      <c r="R941" s="193" t="str">
        <f>INDEX(_TARGETS!$H$2:$H$17,MATCH($C941,_TARGETS!$A$2:$A$17,0))</f>
        <v>Solo reporte</v>
      </c>
      <c r="S941" s="193" t="str">
        <f t="shared" si="84"/>
        <v/>
      </c>
      <c r="T941" s="193" t="str">
        <f t="shared" si="85"/>
        <v/>
      </c>
    </row>
    <row r="942" spans="1:20" ht="14.25" customHeight="1" x14ac:dyDescent="0.3">
      <c r="A942" s="249">
        <f>KPIs!$R$3</f>
        <v>46661</v>
      </c>
      <c r="B942" s="193" t="str">
        <f>KPIs!R$4</f>
        <v>Compresora</v>
      </c>
      <c r="C942" t="s">
        <v>87</v>
      </c>
      <c r="D942" s="193" t="str">
        <f>KPIs!$A$46</f>
        <v>11 · Cumplimiento de caminatas gerenciales · YTD</v>
      </c>
      <c r="E942" t="s">
        <v>601</v>
      </c>
      <c r="F942" s="193" t="str">
        <f>IF(ISNUMBER(KPIs!R46),KPIs!R46,"")</f>
        <v/>
      </c>
      <c r="G942" s="254">
        <f>IF(ISNUMBER(KPIs!$C$46),KPIs!$C$46,"")</f>
        <v>1</v>
      </c>
      <c r="H942" s="193" t="str">
        <f>IFERROR(INDEX(_TARGETS!$E$2:$E$17,MATCH($C942,_TARGETS!$A$2:$A$17,0))&amp;"","")</f>
        <v>≥</v>
      </c>
      <c r="I942" s="193" t="str">
        <f t="shared" si="81"/>
        <v/>
      </c>
      <c r="J942" s="193" t="str">
        <f t="shared" si="82"/>
        <v>YTD</v>
      </c>
      <c r="K942" s="193">
        <f>SUMIFS(Datos!$D$24:$AL$24,Datos!$D$3:$AL$3,"&gt;="&amp;DATE(YEAR(Datos!R$3),1,1),Datos!$D$3:$AL$3,"&lt;="&amp;Datos!R$3)</f>
        <v>0</v>
      </c>
      <c r="L942" s="193">
        <f>SUMIFS(Datos!$D$25:$AL$25,Datos!$D$3:$AL$3,"&gt;="&amp;DATE(YEAR(Datos!R$3),1,1),Datos!$D$3:$AL$3,"&lt;="&amp;Datos!R$3)</f>
        <v>0</v>
      </c>
      <c r="M942" s="193">
        <f>INDEX(_TARGETS!$J$2:$J$17,MATCH($C942,_TARGETS!$A$2:$A$17,0))</f>
        <v>1</v>
      </c>
      <c r="N942" s="193" t="str">
        <f>INDEX(_TARGETS!$D$2:$D$17,MATCH($C942,_TARGETS!$A$2:$A$17,0))</f>
        <v>% (fracción)</v>
      </c>
      <c r="O942" s="193" t="str">
        <f>IF(NOT(ISNUMBER(F942)),IF(SUMPRODUCT(($C$2:$C$1300=C942)*($J$2:$J$1300="Monthly")*($A$2:$A$1300&lt;=A942)*(YEAR($A$2:$A$1300)=YEAR(A942))*ISNUMBER($K$2:$K$1300)*ISNUMBER($L$2:$L$1300)*($L$2:$L$1300=0)*($K$2:$K$1300&gt;0))&gt;0,"INCOMPLETE","MISSING"),O307)</f>
        <v>MISSING</v>
      </c>
      <c r="P942" s="193" t="str">
        <f>INDEX(_TARGETS!$K$2:$K$17,MATCH($C942,_TARGETS!$A$2:$A$17,0))</f>
        <v>OPS (carga manual en Datos)</v>
      </c>
      <c r="Q942" s="193" t="str">
        <f t="shared" si="83"/>
        <v>202710|ICCS|YTD</v>
      </c>
      <c r="R942" s="193" t="str">
        <f>INDEX(_TARGETS!$H$2:$H$17,MATCH($C942,_TARGETS!$A$2:$A$17,0))</f>
        <v>Definida</v>
      </c>
      <c r="S942" s="193" t="str">
        <f t="shared" si="84"/>
        <v/>
      </c>
      <c r="T942" s="193" t="str">
        <f t="shared" si="85"/>
        <v/>
      </c>
    </row>
    <row r="943" spans="1:20" ht="14.25" customHeight="1" x14ac:dyDescent="0.3">
      <c r="A943" s="249">
        <f>KPIs!$R$3</f>
        <v>46661</v>
      </c>
      <c r="B943" s="193" t="str">
        <f>KPIs!R$4</f>
        <v>Compresora</v>
      </c>
      <c r="C943" t="s">
        <v>89</v>
      </c>
      <c r="D943" s="193" t="str">
        <f>KPIs!$A$47</f>
        <v>12 · Cumplimiento de comités y subcomités de seguridad · YTD</v>
      </c>
      <c r="E943" t="s">
        <v>601</v>
      </c>
      <c r="F943" s="193" t="str">
        <f>IF(ISNUMBER(KPIs!R47),KPIs!R47,"")</f>
        <v/>
      </c>
      <c r="G943" s="254">
        <f>IF(ISNUMBER(KPIs!$C$47),KPIs!$C$47,"")</f>
        <v>1</v>
      </c>
      <c r="H943" s="193" t="str">
        <f>IFERROR(INDEX(_TARGETS!$E$2:$E$17,MATCH($C943,_TARGETS!$A$2:$A$17,0))&amp;"","")</f>
        <v>≥</v>
      </c>
      <c r="I943" s="193" t="str">
        <f t="shared" si="81"/>
        <v/>
      </c>
      <c r="J943" s="193" t="str">
        <f t="shared" si="82"/>
        <v>YTD</v>
      </c>
      <c r="K943" s="193">
        <f>SUMIFS(Datos!$D$26:$AL$26,Datos!$D$3:$AL$3,"&gt;="&amp;DATE(YEAR(Datos!R$3),1,1),Datos!$D$3:$AL$3,"&lt;="&amp;Datos!R$3)</f>
        <v>0</v>
      </c>
      <c r="L943" s="193">
        <f>SUMIFS(Datos!$D$27:$AL$27,Datos!$D$3:$AL$3,"&gt;="&amp;DATE(YEAR(Datos!R$3),1,1),Datos!$D$3:$AL$3,"&lt;="&amp;Datos!R$3)</f>
        <v>0</v>
      </c>
      <c r="M943" s="193">
        <f>INDEX(_TARGETS!$J$2:$J$17,MATCH($C943,_TARGETS!$A$2:$A$17,0))</f>
        <v>1</v>
      </c>
      <c r="N943" s="193" t="str">
        <f>INDEX(_TARGETS!$D$2:$D$17,MATCH($C943,_TARGETS!$A$2:$A$17,0))</f>
        <v>% (fracción)</v>
      </c>
      <c r="O943" s="193" t="str">
        <f>IF(NOT(ISNUMBER(F943)),IF(SUMPRODUCT(($C$2:$C$1300=C943)*($J$2:$J$1300="Monthly")*($A$2:$A$1300&lt;=A943)*(YEAR($A$2:$A$1300)=YEAR(A943))*ISNUMBER($K$2:$K$1300)*ISNUMBER($L$2:$L$1300)*($L$2:$L$1300=0)*($K$2:$K$1300&gt;0))&gt;0,"INCOMPLETE","MISSING"),O308)</f>
        <v>MISSING</v>
      </c>
      <c r="P943" s="193" t="str">
        <f>INDEX(_TARGETS!$K$2:$K$17,MATCH($C943,_TARGETS!$A$2:$A$17,0))</f>
        <v>OPS (carga manual en Datos)</v>
      </c>
      <c r="Q943" s="193" t="str">
        <f t="shared" si="83"/>
        <v>202710|CCS|YTD</v>
      </c>
      <c r="R943" s="193" t="str">
        <f>INDEX(_TARGETS!$H$2:$H$17,MATCH($C943,_TARGETS!$A$2:$A$17,0))</f>
        <v>Definida</v>
      </c>
      <c r="S943" s="193" t="str">
        <f t="shared" si="84"/>
        <v/>
      </c>
      <c r="T943" s="193" t="str">
        <f t="shared" si="85"/>
        <v/>
      </c>
    </row>
    <row r="944" spans="1:20" ht="14.25" customHeight="1" x14ac:dyDescent="0.3">
      <c r="A944" s="249">
        <f>KPIs!$R$3</f>
        <v>46661</v>
      </c>
      <c r="B944" s="193" t="str">
        <f>KPIs!R$4</f>
        <v>Compresora</v>
      </c>
      <c r="C944" t="s">
        <v>91</v>
      </c>
      <c r="D944" s="193" t="str">
        <f>KPIs!$A$48</f>
        <v>13 · Días promedio para cerrar hallazgos · YTD</v>
      </c>
      <c r="E944" t="s">
        <v>601</v>
      </c>
      <c r="F944" s="251" t="str">
        <f>IF(ISNUMBER(KPIs!R48),KPIs!R48,"")</f>
        <v/>
      </c>
      <c r="G944" s="193" t="str">
        <f>IF(ISNUMBER(KPIs!$C$48),KPIs!$C$48,"")</f>
        <v/>
      </c>
      <c r="H944" s="193" t="str">
        <f>IFERROR(INDEX(_TARGETS!$E$2:$E$17,MATCH($C944,_TARGETS!$A$2:$A$17,0))&amp;"","")</f>
        <v>≤</v>
      </c>
      <c r="I944" s="193" t="str">
        <f t="shared" si="81"/>
        <v/>
      </c>
      <c r="J944" s="193" t="str">
        <f t="shared" si="82"/>
        <v>YTD</v>
      </c>
      <c r="K944" s="193">
        <f>SUMIFS(Datos!$D$68:$AL$68,Datos!$D$3:$AL$3,"&gt;="&amp;DATE(YEAR(Datos!R$3),1,1),Datos!$D$3:$AL$3,"&lt;="&amp;Datos!R$3)</f>
        <v>0</v>
      </c>
      <c r="L944" s="193">
        <f>SUMIFS(Datos!$D$67:$AL$67,Datos!$D$3:$AL$3,"&gt;="&amp;DATE(YEAR(Datos!R$3),1,1),Datos!$D$3:$AL$3,"&lt;="&amp;Datos!R$3)</f>
        <v>0</v>
      </c>
      <c r="M944" s="193">
        <f>INDEX(_TARGETS!$J$2:$J$17,MATCH($C944,_TARGETS!$A$2:$A$17,0))</f>
        <v>1</v>
      </c>
      <c r="N944" s="193" t="str">
        <f>INDEX(_TARGETS!$D$2:$D$17,MATCH($C944,_TARGETS!$A$2:$A$17,0))</f>
        <v>días</v>
      </c>
      <c r="O944" s="193" t="str">
        <f>IF(NOT(ISNUMBER(F944)),IF(SUMPRODUCT(($C$2:$C$1300=C944)*($J$2:$J$1300="Monthly")*($A$2:$A$1300&lt;=A944)*(YEAR($A$2:$A$1300)=YEAR(A944))*ISNUMBER($K$2:$K$1300)*ISNUMBER($L$2:$L$1300)*($L$2:$L$1300=0)*($K$2:$K$1300&gt;0))&gt;0,"INCOMPLETE","MISSING"),O309)</f>
        <v>MISSING</v>
      </c>
      <c r="P944" s="193" t="str">
        <f>INDEX(_TARGETS!$K$2:$K$17,MATCH($C944,_TARGETS!$A$2:$A$17,0))</f>
        <v>Plant Findings (hoja Observaciones-SMP)</v>
      </c>
      <c r="Q944" s="193" t="str">
        <f t="shared" si="83"/>
        <v>202710|DPAS|YTD</v>
      </c>
      <c r="R944" s="193" t="str">
        <f>INDEX(_TARGETS!$H$2:$H$17,MATCH($C944,_TARGETS!$A$2:$A$17,0))</f>
        <v>Pendiente (meta 2027)</v>
      </c>
      <c r="S944" s="193" t="str">
        <f t="shared" si="84"/>
        <v/>
      </c>
      <c r="T944" s="193" t="str">
        <f t="shared" si="85"/>
        <v/>
      </c>
    </row>
    <row r="945" spans="1:20" ht="14.25" customHeight="1" x14ac:dyDescent="0.3">
      <c r="A945" s="249">
        <f>KPIs!$R$3</f>
        <v>46661</v>
      </c>
      <c r="B945" s="193" t="str">
        <f>KPIs!R$4</f>
        <v>Compresora</v>
      </c>
      <c r="C945" t="s">
        <v>96</v>
      </c>
      <c r="D945" s="193" t="str">
        <f>KPIs!$A$49</f>
        <v>C1 · % de desvíos detectados de gravedad Alta · YTD</v>
      </c>
      <c r="E945" t="s">
        <v>601</v>
      </c>
      <c r="F945" s="193" t="str">
        <f>IF(ISNUMBER(KPIs!R49),KPIs!R49,"")</f>
        <v/>
      </c>
      <c r="G945" s="193" t="str">
        <f>IF(ISNUMBER(KPIs!$C$49),KPIs!$C$49,"")</f>
        <v/>
      </c>
      <c r="H945" s="193" t="str">
        <f>IFERROR(INDEX(_TARGETS!$E$2:$E$17,MATCH($C945,_TARGETS!$A$2:$A$17,0))&amp;"","")</f>
        <v/>
      </c>
      <c r="I945" s="193" t="str">
        <f t="shared" si="81"/>
        <v/>
      </c>
      <c r="J945" s="193" t="str">
        <f t="shared" si="82"/>
        <v>YTD</v>
      </c>
      <c r="K945" s="193">
        <f>SUMIFS(Datos!$D$71:$AL$71,Datos!$D$3:$AL$3,"&gt;="&amp;DATE(YEAR(Datos!R$3),1,1),Datos!$D$3:$AL$3,"&lt;="&amp;Datos!R$3)</f>
        <v>0</v>
      </c>
      <c r="L945" s="193">
        <f>SUMIFS(Datos!$D$71:$AL$71,Datos!$D$3:$AL$3,"&gt;="&amp;DATE(YEAR(Datos!R$3),1,1),Datos!$D$3:$AL$3,"&lt;="&amp;Datos!R$3)+SUMIFS(Datos!$D$72:$AL$72,Datos!$D$3:$AL$3,"&gt;="&amp;DATE(YEAR(Datos!R$3),1,1),Datos!$D$3:$AL$3,"&lt;="&amp;Datos!R$3)+SUMIFS(Datos!$D$73:$AL$73,Datos!$D$3:$AL$3,"&gt;="&amp;DATE(YEAR(Datos!R$3),1,1),Datos!$D$3:$AL$3,"&lt;="&amp;Datos!R$3)</f>
        <v>0</v>
      </c>
      <c r="M945" s="193">
        <f>INDEX(_TARGETS!$J$2:$J$17,MATCH($C945,_TARGETS!$A$2:$A$17,0))</f>
        <v>1</v>
      </c>
      <c r="N945" s="193" t="str">
        <f>INDEX(_TARGETS!$D$2:$D$17,MATCH($C945,_TARGETS!$A$2:$A$17,0))</f>
        <v>% (fracción)</v>
      </c>
      <c r="O945" s="193" t="str">
        <f t="shared" ref="O945:O951" si="89">IF(NOT(ISNUMBER(F945)),IF(SUMPRODUCT(($C$2:$C$1300=C945)*($J$2:$J$1300="Monthly")*($A$2:$A$1300&lt;=A945)*(YEAR($A$2:$A$1300)=YEAR(A945))*ISNUMBER($K$2:$K$1300)*ISNUMBER($L$2:$L$1300)*($L$2:$L$1300=0)*($K$2:$K$1300&gt;0))&gt;0,"INCOMPLETE","MISSING"),O315)</f>
        <v>MISSING</v>
      </c>
      <c r="P945" s="193" t="str">
        <f>INDEX(_TARGETS!$K$2:$K$17,MATCH($C945,_TARGETS!$A$2:$A$17,0))</f>
        <v>Plant Findings (hoja Observaciones-SMP)</v>
      </c>
      <c r="Q945" s="193" t="str">
        <f t="shared" si="83"/>
        <v>202710|HAL_ALTA_PCT|YTD</v>
      </c>
      <c r="R945" s="193" t="str">
        <f>INDEX(_TARGETS!$H$2:$H$17,MATCH($C945,_TARGETS!$A$2:$A$17,0))</f>
        <v>Solo reporte</v>
      </c>
      <c r="S945" s="193" t="str">
        <f t="shared" si="84"/>
        <v/>
      </c>
      <c r="T945" s="193" t="str">
        <f t="shared" si="85"/>
        <v/>
      </c>
    </row>
    <row r="946" spans="1:20" ht="14.25" customHeight="1" x14ac:dyDescent="0.3">
      <c r="A946" s="249">
        <f>KPIs!$R$3</f>
        <v>46661</v>
      </c>
      <c r="B946" s="193" t="str">
        <f>KPIs!R$4</f>
        <v>Compresora</v>
      </c>
      <c r="C946" t="s">
        <v>98</v>
      </c>
      <c r="D946" s="193" t="str">
        <f>KPIs!$A$50</f>
        <v>C2 · Detenciones de tareas aplicadas · YTD</v>
      </c>
      <c r="E946" t="s">
        <v>601</v>
      </c>
      <c r="F946" s="193" t="str">
        <f>IF(ISNUMBER(KPIs!R50),KPIs!R50,"")</f>
        <v/>
      </c>
      <c r="G946" s="193" t="str">
        <f>IF(ISNUMBER(KPIs!$C$50),KPIs!$C$50,"")</f>
        <v/>
      </c>
      <c r="H946" s="193" t="str">
        <f>IFERROR(INDEX(_TARGETS!$E$2:$E$17,MATCH($C946,_TARGETS!$A$2:$A$17,0))&amp;"","")</f>
        <v/>
      </c>
      <c r="I946" s="193" t="str">
        <f t="shared" si="81"/>
        <v/>
      </c>
      <c r="J946" s="193" t="str">
        <f t="shared" si="82"/>
        <v>YTD</v>
      </c>
      <c r="K946" s="193">
        <f>SUMIFS(Datos!$D$75:$AL$75,Datos!$D$3:$AL$3,"&gt;="&amp;DATE(YEAR(Datos!R$3),1,1),Datos!$D$3:$AL$3,"&lt;="&amp;Datos!R$3)</f>
        <v>0</v>
      </c>
      <c r="M946" s="193">
        <f>INDEX(_TARGETS!$J$2:$J$17,MATCH($C946,_TARGETS!$A$2:$A$17,0))</f>
        <v>1</v>
      </c>
      <c r="N946" s="193" t="str">
        <f>INDEX(_TARGETS!$D$2:$D$17,MATCH($C946,_TARGETS!$A$2:$A$17,0))</f>
        <v>u</v>
      </c>
      <c r="O946" s="193" t="str">
        <f t="shared" si="89"/>
        <v>MISSING</v>
      </c>
      <c r="P946" s="193" t="str">
        <f>INDEX(_TARGETS!$K$2:$K$17,MATCH($C946,_TARGETS!$A$2:$A$17,0))</f>
        <v>Plant Findings (hoja Observaciones-SMP)</v>
      </c>
      <c r="Q946" s="193" t="str">
        <f t="shared" si="83"/>
        <v>202710|DET|YTD</v>
      </c>
      <c r="R946" s="193" t="str">
        <f>INDEX(_TARGETS!$H$2:$H$17,MATCH($C946,_TARGETS!$A$2:$A$17,0))</f>
        <v>Solo reporte</v>
      </c>
      <c r="S946" s="193">
        <f t="shared" si="84"/>
        <v>0</v>
      </c>
      <c r="T946" s="193" t="str">
        <f t="shared" si="85"/>
        <v/>
      </c>
    </row>
    <row r="947" spans="1:20" ht="14.25" customHeight="1" x14ac:dyDescent="0.3">
      <c r="A947" s="249">
        <f>KPIs!$S$3</f>
        <v>46692</v>
      </c>
      <c r="B947" s="193" t="str">
        <f>KPIs!S$4</f>
        <v>Compresora</v>
      </c>
      <c r="C947" t="s">
        <v>39</v>
      </c>
      <c r="D947" s="193" t="str">
        <f>KPIs!$A$37</f>
        <v>1 · Frecuencia de casos con días perdidos · YTD</v>
      </c>
      <c r="E947" t="s">
        <v>601</v>
      </c>
      <c r="F947" s="193" t="str">
        <f>IF(ISNUMBER(KPIs!S37),KPIs!S37,"")</f>
        <v/>
      </c>
      <c r="G947" s="250">
        <f>IF(ISNUMBER(KPIs!$C$37),KPIs!$C$37,"")</f>
        <v>0</v>
      </c>
      <c r="H947" s="193" t="str">
        <f>IFERROR(INDEX(_TARGETS!$E$2:$E$17,MATCH($C947,_TARGETS!$A$2:$A$17,0))&amp;"","")</f>
        <v>≤</v>
      </c>
      <c r="I947" s="193" t="str">
        <f t="shared" si="81"/>
        <v/>
      </c>
      <c r="J947" s="193" t="str">
        <f t="shared" si="82"/>
        <v>YTD</v>
      </c>
      <c r="K947" s="193">
        <f>SUMIFS(Datos!$D$33:$AL$33,Datos!$D$3:$AL$3,"&gt;="&amp;DATE(YEAR(Datos!S$3),1,1),Datos!$D$3:$AL$3,"&lt;="&amp;Datos!S$3)</f>
        <v>0</v>
      </c>
      <c r="L947" s="193">
        <f>SUMIFS(Datos!$D$14:$AL$14,Datos!$D$3:$AL$3,"&gt;="&amp;DATE(YEAR(Datos!S$3),1,1),Datos!$D$3:$AL$3,"&lt;="&amp;Datos!S$3)</f>
        <v>0</v>
      </c>
      <c r="M947" s="193">
        <f>INDEX(_TARGETS!$J$2:$J$17,MATCH($C947,_TARGETS!$A$2:$A$17,0))</f>
        <v>1000000</v>
      </c>
      <c r="N947" s="193" t="str">
        <f>INDEX(_TARGETS!$D$2:$D$17,MATCH($C947,_TARGETS!$A$2:$A$17,0))</f>
        <v>casos / 10^6 HH</v>
      </c>
      <c r="O947" s="193" t="str">
        <f t="shared" si="89"/>
        <v>MISSING</v>
      </c>
      <c r="P947" s="193" t="str">
        <f>INDEX(_TARGETS!$K$2:$K$17,MATCH($C947,_TARGETS!$A$2:$A$17,0))</f>
        <v>OPS (carga manual en Datos)</v>
      </c>
      <c r="Q947" s="193" t="str">
        <f t="shared" si="83"/>
        <v>202711|DAFWCF|YTD</v>
      </c>
      <c r="R947" s="193" t="str">
        <f>INDEX(_TARGETS!$H$2:$H$17,MATCH($C947,_TARGETS!$A$2:$A$17,0))</f>
        <v>Definida</v>
      </c>
      <c r="S947" s="193" t="str">
        <f t="shared" si="84"/>
        <v/>
      </c>
      <c r="T947" s="193" t="str">
        <f t="shared" si="85"/>
        <v/>
      </c>
    </row>
    <row r="948" spans="1:20" ht="14.25" customHeight="1" x14ac:dyDescent="0.3">
      <c r="A948" s="249">
        <f>KPIs!$S$3</f>
        <v>46692</v>
      </c>
      <c r="B948" s="193" t="str">
        <f>KPIs!S$4</f>
        <v>Compresora</v>
      </c>
      <c r="C948" t="s">
        <v>49</v>
      </c>
      <c r="D948" s="193" t="str">
        <f>KPIs!$A$38</f>
        <v>2 · Frecuencia de casos registrables · YTD</v>
      </c>
      <c r="E948" t="s">
        <v>601</v>
      </c>
      <c r="F948" s="193" t="str">
        <f>IF(ISNUMBER(KPIs!S38),KPIs!S38,"")</f>
        <v/>
      </c>
      <c r="G948" s="250">
        <f>IF(ISNUMBER(KPIs!$C$38),KPIs!$C$38,"")</f>
        <v>2.35</v>
      </c>
      <c r="H948" s="193" t="str">
        <f>IFERROR(INDEX(_TARGETS!$E$2:$E$17,MATCH($C948,_TARGETS!$A$2:$A$17,0))&amp;"","")</f>
        <v>≤</v>
      </c>
      <c r="I948" s="193" t="str">
        <f t="shared" si="81"/>
        <v/>
      </c>
      <c r="J948" s="193" t="str">
        <f t="shared" si="82"/>
        <v>YTD</v>
      </c>
      <c r="K948" s="193">
        <f>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f>
        <v>0</v>
      </c>
      <c r="L948" s="193">
        <f>SUMIFS(Datos!$D$14:$AL$14,Datos!$D$3:$AL$3,"&gt;="&amp;DATE(YEAR(Datos!S$3),1,1),Datos!$D$3:$AL$3,"&lt;="&amp;Datos!S$3)</f>
        <v>0</v>
      </c>
      <c r="M948" s="193">
        <f>INDEX(_TARGETS!$J$2:$J$17,MATCH($C948,_TARGETS!$A$2:$A$17,0))</f>
        <v>1000000</v>
      </c>
      <c r="N948" s="193" t="str">
        <f>INDEX(_TARGETS!$D$2:$D$17,MATCH($C948,_TARGETS!$A$2:$A$17,0))</f>
        <v>casos / 10^6 HH</v>
      </c>
      <c r="O948" s="193" t="str">
        <f t="shared" si="89"/>
        <v>MISSING</v>
      </c>
      <c r="P948" s="193" t="str">
        <f>INDEX(_TARGETS!$K$2:$K$17,MATCH($C948,_TARGETS!$A$2:$A$17,0))</f>
        <v>OPS (carga manual en Datos)</v>
      </c>
      <c r="Q948" s="193" t="str">
        <f t="shared" si="83"/>
        <v>202711|TRICF|YTD</v>
      </c>
      <c r="R948" s="193" t="str">
        <f>INDEX(_TARGETS!$H$2:$H$17,MATCH($C948,_TARGETS!$A$2:$A$17,0))</f>
        <v>Definida</v>
      </c>
      <c r="S948" s="193" t="str">
        <f t="shared" si="84"/>
        <v/>
      </c>
      <c r="T948" s="193" t="str">
        <f t="shared" si="85"/>
        <v/>
      </c>
    </row>
    <row r="949" spans="1:20" ht="14.25" customHeight="1" x14ac:dyDescent="0.3">
      <c r="A949" s="249">
        <f>KPIs!$S$3</f>
        <v>46692</v>
      </c>
      <c r="B949" s="193" t="str">
        <f>KPIs!S$4</f>
        <v>Compresora</v>
      </c>
      <c r="C949" t="s">
        <v>51</v>
      </c>
      <c r="D949" s="193" t="str">
        <f>KPIs!$A$39</f>
        <v>3 · Casos de primeros auxilios · YTD</v>
      </c>
      <c r="E949" t="s">
        <v>601</v>
      </c>
      <c r="F949" s="193" t="str">
        <f>IF(ISNUMBER(KPIs!S39),KPIs!S39,"")</f>
        <v/>
      </c>
      <c r="G949" s="193" t="str">
        <f>IF(ISNUMBER(KPIs!$C$39),KPIs!$C$39,"")</f>
        <v/>
      </c>
      <c r="H949" s="193" t="str">
        <f>IFERROR(INDEX(_TARGETS!$E$2:$E$17,MATCH($C949,_TARGETS!$A$2:$A$17,0))&amp;"","")</f>
        <v/>
      </c>
      <c r="I949" s="193" t="str">
        <f t="shared" si="81"/>
        <v/>
      </c>
      <c r="J949" s="193" t="str">
        <f t="shared" si="82"/>
        <v>YTD</v>
      </c>
      <c r="K949" s="193">
        <f>SUMIFS(Datos!$D$37:$AL$37,Datos!$D$3:$AL$3,"&gt;="&amp;DATE(YEAR(Datos!S$3),1,1),Datos!$D$3:$AL$3,"&lt;="&amp;Datos!S$3)</f>
        <v>0</v>
      </c>
      <c r="M949" s="193">
        <f>INDEX(_TARGETS!$J$2:$J$17,MATCH($C949,_TARGETS!$A$2:$A$17,0))</f>
        <v>1</v>
      </c>
      <c r="N949" s="193" t="str">
        <f>INDEX(_TARGETS!$D$2:$D$17,MATCH($C949,_TARGETS!$A$2:$A$17,0))</f>
        <v>casos</v>
      </c>
      <c r="O949" s="193" t="str">
        <f t="shared" si="89"/>
        <v>MISSING</v>
      </c>
      <c r="P949" s="193" t="str">
        <f>INDEX(_TARGETS!$K$2:$K$17,MATCH($C949,_TARGETS!$A$2:$A$17,0))</f>
        <v>OPS (carga manual en Datos)</v>
      </c>
      <c r="Q949" s="193" t="str">
        <f t="shared" si="83"/>
        <v>202711|FAC|YTD</v>
      </c>
      <c r="R949" s="193" t="str">
        <f>INDEX(_TARGETS!$H$2:$H$17,MATCH($C949,_TARGETS!$A$2:$A$17,0))</f>
        <v>Solo reporte</v>
      </c>
      <c r="S949" s="193">
        <f t="shared" si="84"/>
        <v>0</v>
      </c>
      <c r="T949" s="193" t="str">
        <f t="shared" si="85"/>
        <v/>
      </c>
    </row>
    <row r="950" spans="1:20" ht="14.25" customHeight="1" x14ac:dyDescent="0.3">
      <c r="A950" s="249">
        <f>KPIs!$S$3</f>
        <v>46692</v>
      </c>
      <c r="B950" s="193" t="str">
        <f>KPIs!S$4</f>
        <v>Compresora</v>
      </c>
      <c r="C950" t="s">
        <v>57</v>
      </c>
      <c r="D950" s="193" t="str">
        <f>KPIs!$A$40</f>
        <v>4 · Accidentes vehiculares severos por millón de km · YTD</v>
      </c>
      <c r="E950" t="s">
        <v>601</v>
      </c>
      <c r="F950" s="193" t="str">
        <f>IF(ISNUMBER(KPIs!S40),KPIs!S40,"")</f>
        <v/>
      </c>
      <c r="G950" s="193" t="str">
        <f>IF(ISNUMBER(KPIs!$C$40),KPIs!$C$40,"")</f>
        <v/>
      </c>
      <c r="H950" s="193" t="str">
        <f>IFERROR(INDEX(_TARGETS!$E$2:$E$17,MATCH($C950,_TARGETS!$A$2:$A$17,0))&amp;"","")</f>
        <v/>
      </c>
      <c r="I950" s="193" t="str">
        <f t="shared" si="81"/>
        <v/>
      </c>
      <c r="J950" s="193" t="str">
        <f t="shared" si="82"/>
        <v>YTD</v>
      </c>
      <c r="K950" s="193">
        <f>SUMIFS(Datos!$D$39:$AL$39,Datos!$D$3:$AL$3,"&gt;="&amp;DATE(YEAR(Datos!S$3),1,1),Datos!$D$3:$AL$3,"&lt;="&amp;Datos!S$3)+SUMIFS(Datos!$D$40:$AL$40,Datos!$D$3:$AL$3,"&gt;="&amp;DATE(YEAR(Datos!S$3),1,1),Datos!$D$3:$AL$3,"&lt;="&amp;Datos!S$3)+SUMIFS(Datos!$D$41:$AL$41,Datos!$D$3:$AL$3,"&gt;="&amp;DATE(YEAR(Datos!S$3),1,1),Datos!$D$3:$AL$3,"&lt;="&amp;Datos!S$3)</f>
        <v>0</v>
      </c>
      <c r="L950" s="193">
        <f>SUMIFS(Datos!$D$47:$AL$47,Datos!$D$3:$AL$3,"&gt;="&amp;DATE(YEAR(Datos!S$3),1,1),Datos!$D$3:$AL$3,"&lt;="&amp;Datos!S$3)</f>
        <v>0</v>
      </c>
      <c r="M950" s="193">
        <f>INDEX(_TARGETS!$J$2:$J$17,MATCH($C950,_TARGETS!$A$2:$A$17,0))</f>
        <v>1000000</v>
      </c>
      <c r="N950" s="193" t="str">
        <f>INDEX(_TARGETS!$D$2:$D$17,MATCH($C950,_TARGETS!$A$2:$A$17,0))</f>
        <v>eventos / 10^6 km</v>
      </c>
      <c r="O950" s="193" t="str">
        <f t="shared" si="89"/>
        <v>MISSING</v>
      </c>
      <c r="P950" s="193" t="str">
        <f>INDEX(_TARGETS!$K$2:$K$17,MATCH($C950,_TARGETS!$A$2:$A$17,0))</f>
        <v>OPS (eventos) + Full Control GPS (km) - carga manual en Datos</v>
      </c>
      <c r="Q950" s="193" t="str">
        <f t="shared" si="83"/>
        <v>202711|SVCR|YTD</v>
      </c>
      <c r="R950" s="193" t="str">
        <f>INDEX(_TARGETS!$H$2:$H$17,MATCH($C950,_TARGETS!$A$2:$A$17,0))</f>
        <v>Solo reporte</v>
      </c>
      <c r="S950" s="193" t="str">
        <f t="shared" si="84"/>
        <v/>
      </c>
      <c r="T950" s="193" t="str">
        <f t="shared" si="85"/>
        <v/>
      </c>
    </row>
    <row r="951" spans="1:20" ht="14.25" customHeight="1" x14ac:dyDescent="0.3">
      <c r="A951" s="249">
        <f>KPIs!$S$3</f>
        <v>46692</v>
      </c>
      <c r="B951" s="193" t="str">
        <f>KPIs!S$4</f>
        <v>Compresora</v>
      </c>
      <c r="C951" t="s">
        <v>61</v>
      </c>
      <c r="D951" s="193" t="str">
        <f>KPIs!$A$41</f>
        <v>5 · Accidentes vehiculares totales por millón de km · YTD</v>
      </c>
      <c r="E951" t="s">
        <v>601</v>
      </c>
      <c r="F951" s="193" t="str">
        <f>IF(ISNUMBER(KPIs!S41),KPIs!S41,"")</f>
        <v/>
      </c>
      <c r="G951" s="250">
        <f>IF(ISNUMBER(KPIs!$C$41),KPIs!$C$41,"")</f>
        <v>0.79</v>
      </c>
      <c r="H951" s="193" t="str">
        <f>IFERROR(INDEX(_TARGETS!$E$2:$E$17,MATCH($C951,_TARGETS!$A$2:$A$17,0))&amp;"","")</f>
        <v>≤</v>
      </c>
      <c r="I951" s="193" t="str">
        <f t="shared" si="81"/>
        <v/>
      </c>
      <c r="J951" s="193" t="str">
        <f t="shared" si="82"/>
        <v>YTD</v>
      </c>
      <c r="K951" s="193">
        <f>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f>
        <v>0</v>
      </c>
      <c r="L951" s="193">
        <f>SUMIFS(Datos!$D$47:$AL$47,Datos!$D$3:$AL$3,"&gt;="&amp;DATE(YEAR(Datos!S$3),1,1),Datos!$D$3:$AL$3,"&lt;="&amp;Datos!S$3)</f>
        <v>0</v>
      </c>
      <c r="M951" s="193">
        <f>INDEX(_TARGETS!$J$2:$J$17,MATCH($C951,_TARGETS!$A$2:$A$17,0))</f>
        <v>1000000</v>
      </c>
      <c r="N951" s="193" t="str">
        <f>INDEX(_TARGETS!$D$2:$D$17,MATCH($C951,_TARGETS!$A$2:$A$17,0))</f>
        <v>eventos / 10^6 km</v>
      </c>
      <c r="O951" s="193" t="str">
        <f t="shared" si="89"/>
        <v>MISSING</v>
      </c>
      <c r="P951" s="193" t="str">
        <f>INDEX(_TARGETS!$K$2:$K$17,MATCH($C951,_TARGETS!$A$2:$A$17,0))</f>
        <v>OPS (eventos) + Full Control GPS (km) - carga manual en Datos</v>
      </c>
      <c r="Q951" s="193" t="str">
        <f t="shared" si="83"/>
        <v>202711|TVCR|YTD</v>
      </c>
      <c r="R951" s="193" t="str">
        <f>INDEX(_TARGETS!$H$2:$H$17,MATCH($C951,_TARGETS!$A$2:$A$17,0))</f>
        <v>Definida</v>
      </c>
      <c r="S951" s="193" t="str">
        <f t="shared" si="84"/>
        <v/>
      </c>
      <c r="T951" s="193" t="str">
        <f t="shared" si="85"/>
        <v/>
      </c>
    </row>
    <row r="952" spans="1:20" ht="14.25" customHeight="1" x14ac:dyDescent="0.3">
      <c r="A952" s="249">
        <f>KPIs!$S$3</f>
        <v>46692</v>
      </c>
      <c r="B952" s="193" t="str">
        <f>KPIs!S$4</f>
        <v>Compresora</v>
      </c>
      <c r="C952" t="s">
        <v>71</v>
      </c>
      <c r="D952" s="193" t="str">
        <f>KPIs!$A$42</f>
        <v>7 · Investigaciones de accidentes: días promedio de cierre · YTD</v>
      </c>
      <c r="E952" t="s">
        <v>601</v>
      </c>
      <c r="F952" s="193" t="str">
        <f>IF(ISNUMBER(KPIs!S42),KPIs!S42,"")</f>
        <v/>
      </c>
      <c r="G952" s="251">
        <f>IF(ISNUMBER(KPIs!$C$42),KPIs!$C$42,"")</f>
        <v>20</v>
      </c>
      <c r="H952" s="193" t="str">
        <f>IFERROR(INDEX(_TARGETS!$E$2:$E$17,MATCH($C952,_TARGETS!$A$2:$A$17,0))&amp;"","")</f>
        <v>≤</v>
      </c>
      <c r="I952" s="193" t="str">
        <f t="shared" si="81"/>
        <v/>
      </c>
      <c r="J952" s="193" t="str">
        <f t="shared" si="82"/>
        <v>YTD</v>
      </c>
      <c r="K952" s="193">
        <f>SUMIFS(Datos!$D$31:$AL$31,Datos!$D$3:$AL$3,"&gt;="&amp;DATE(YEAR(Datos!S$3),1,1),Datos!$D$3:$AL$3,"&lt;="&amp;Datos!S$3)</f>
        <v>0</v>
      </c>
      <c r="L952" s="193">
        <f>SUMIFS(Datos!$D$30:$AL$30,Datos!$D$3:$AL$3,"&gt;="&amp;DATE(YEAR(Datos!S$3),1,1),Datos!$D$3:$AL$3,"&lt;="&amp;Datos!S$3)</f>
        <v>0</v>
      </c>
      <c r="M952" s="193">
        <f>INDEX(_TARGETS!$J$2:$J$17,MATCH($C952,_TARGETS!$A$2:$A$17,0))</f>
        <v>1</v>
      </c>
      <c r="N952" s="193" t="str">
        <f>INDEX(_TARGETS!$D$2:$D$17,MATCH($C952,_TARGETS!$A$2:$A$17,0))</f>
        <v>días</v>
      </c>
      <c r="O952" s="193" t="str">
        <f>IF(NOT(ISNUMBER(F952)),IF(SUMPRODUCT(($C$2:$C$1300=C952)*($J$2:$J$1300="Monthly")*($A$2:$A$1300&lt;=A952)*(YEAR($A$2:$A$1300)=YEAR(A952))*ISNUMBER($K$2:$K$1300)*ISNUMBER($L$2:$L$1300)*($L$2:$L$1300=0)*($K$2:$K$1300&gt;0))&gt;0,"INCOMPLETE","MISSING"),O323)</f>
        <v>MISSING</v>
      </c>
      <c r="P952" s="193" t="str">
        <f>INDEX(_TARGETS!$K$2:$K$17,MATCH($C952,_TARGETS!$A$2:$A$17,0))</f>
        <v>OPS (carga manual en Datos)</v>
      </c>
      <c r="Q952" s="193" t="str">
        <f t="shared" si="83"/>
        <v>202711|INV|YTD</v>
      </c>
      <c r="R952" s="193" t="str">
        <f>INDEX(_TARGETS!$H$2:$H$17,MATCH($C952,_TARGETS!$A$2:$A$17,0))</f>
        <v>Definida</v>
      </c>
      <c r="S952" s="193" t="str">
        <f t="shared" si="84"/>
        <v/>
      </c>
      <c r="T952" s="193" t="str">
        <f t="shared" si="85"/>
        <v/>
      </c>
    </row>
    <row r="953" spans="1:20" ht="14.25" customHeight="1" x14ac:dyDescent="0.3">
      <c r="A953" s="249">
        <f>KPIs!$S$3</f>
        <v>46692</v>
      </c>
      <c r="B953" s="193" t="str">
        <f>KPIs!S$4</f>
        <v>Compresora</v>
      </c>
      <c r="C953" t="s">
        <v>76</v>
      </c>
      <c r="D953" s="193" t="str">
        <f>KPIs!$A$43</f>
        <v>8 · % de capacitación en seguridad · YTD</v>
      </c>
      <c r="E953" t="s">
        <v>601</v>
      </c>
      <c r="F953" s="193" t="str">
        <f>IF(ISNUMBER(KPIs!S43),KPIs!S43,"")</f>
        <v/>
      </c>
      <c r="G953" s="252">
        <f>IF(ISNUMBER(KPIs!$C$43),KPIs!$C$43,"")</f>
        <v>0.01</v>
      </c>
      <c r="H953" s="193" t="str">
        <f>IFERROR(INDEX(_TARGETS!$E$2:$E$17,MATCH($C953,_TARGETS!$A$2:$A$17,0))&amp;"","")</f>
        <v>≥</v>
      </c>
      <c r="I953" s="193" t="str">
        <f t="shared" si="81"/>
        <v/>
      </c>
      <c r="J953" s="193" t="str">
        <f t="shared" si="82"/>
        <v>YTD</v>
      </c>
      <c r="K953" s="193">
        <f>SUMIFS(Datos!$D$18:$AL$18,Datos!$D$3:$AL$3,"&gt;="&amp;DATE(YEAR(Datos!S$3),1,1),Datos!$D$3:$AL$3,"&lt;="&amp;Datos!S$3)</f>
        <v>0</v>
      </c>
      <c r="L953" s="193">
        <f>SUMIFS(Datos!$D$14:$AL$14,Datos!$D$3:$AL$3,"&gt;="&amp;DATE(YEAR(Datos!S$3),1,1),Datos!$D$3:$AL$3,"&lt;="&amp;Datos!S$3)</f>
        <v>0</v>
      </c>
      <c r="M953" s="193">
        <f>INDEX(_TARGETS!$J$2:$J$17,MATCH($C953,_TARGETS!$A$2:$A$17,0))</f>
        <v>1</v>
      </c>
      <c r="N953" s="193" t="str">
        <f>INDEX(_TARGETS!$D$2:$D$17,MATCH($C953,_TARGETS!$A$2:$A$17,0))</f>
        <v>% (fracción)</v>
      </c>
      <c r="O953" s="193" t="str">
        <f>IF(NOT(ISNUMBER(F953)),IF(SUMPRODUCT(($C$2:$C$1300=C953)*($J$2:$J$1300="Monthly")*($A$2:$A$1300&lt;=A953)*(YEAR($A$2:$A$1300)=YEAR(A953))*ISNUMBER($K$2:$K$1300)*ISNUMBER($L$2:$L$1300)*($L$2:$L$1300=0)*($K$2:$K$1300&gt;0))&gt;0,"INCOMPLETE","MISSING"),O324)</f>
        <v>MISSING</v>
      </c>
      <c r="P953" s="193" t="str">
        <f>INDEX(_TARGETS!$K$2:$K$17,MATCH($C953,_TARGETS!$A$2:$A$17,0))</f>
        <v>OPS (carga manual en Datos)</v>
      </c>
      <c r="Q953" s="193" t="str">
        <f t="shared" si="83"/>
        <v>202711|HCS|YTD</v>
      </c>
      <c r="R953" s="193" t="str">
        <f>INDEX(_TARGETS!$H$2:$H$17,MATCH($C953,_TARGETS!$A$2:$A$17,0))</f>
        <v>Definida</v>
      </c>
      <c r="S953" s="193" t="str">
        <f t="shared" si="84"/>
        <v/>
      </c>
      <c r="T953" s="193" t="str">
        <f t="shared" si="85"/>
        <v/>
      </c>
    </row>
    <row r="954" spans="1:20" ht="14.25" customHeight="1" x14ac:dyDescent="0.3">
      <c r="A954" s="249">
        <f>KPIs!$S$3</f>
        <v>46692</v>
      </c>
      <c r="B954" s="193" t="str">
        <f>KPIs!S$4</f>
        <v>Compresora</v>
      </c>
      <c r="C954" t="s">
        <v>83</v>
      </c>
      <c r="D954" s="193" t="str">
        <f>KPIs!$A$44</f>
        <v>10 · Cumplimiento de simulacros (emergencia y operativos) · YTD</v>
      </c>
      <c r="E954" t="s">
        <v>601</v>
      </c>
      <c r="F954" s="193" t="str">
        <f>IF(ISNUMBER(KPIs!S44),KPIs!S44,"")</f>
        <v/>
      </c>
      <c r="G954" s="253">
        <f>IF(ISNUMBER(KPIs!$C$44),KPIs!$C$44,"")</f>
        <v>1</v>
      </c>
      <c r="H954" s="193" t="str">
        <f>IFERROR(INDEX(_TARGETS!$E$2:$E$17,MATCH($C954,_TARGETS!$A$2:$A$17,0))&amp;"","")</f>
        <v>≥</v>
      </c>
      <c r="I954" s="193" t="str">
        <f t="shared" si="81"/>
        <v/>
      </c>
      <c r="J954" s="193" t="str">
        <f t="shared" si="82"/>
        <v>YTD</v>
      </c>
      <c r="K954" s="193">
        <f>SUMIFS(Datos!$D$20:$AL$20,Datos!$D$3:$AL$3,"&gt;="&amp;DATE(YEAR(Datos!S$3),1,1),Datos!$D$3:$AL$3,"&lt;="&amp;Datos!S$3)</f>
        <v>0</v>
      </c>
      <c r="L954" s="193">
        <f>SUMIFS(Datos!$D$21:$AL$21,Datos!$D$3:$AL$3,"&gt;="&amp;DATE(YEAR(Datos!S$3),1,1),Datos!$D$3:$AL$3,"&lt;="&amp;Datos!S$3)</f>
        <v>0</v>
      </c>
      <c r="M954" s="193">
        <f>INDEX(_TARGETS!$J$2:$J$17,MATCH($C954,_TARGETS!$A$2:$A$17,0))</f>
        <v>1</v>
      </c>
      <c r="N954" s="193" t="str">
        <f>INDEX(_TARGETS!$D$2:$D$17,MATCH($C954,_TARGETS!$A$2:$A$17,0))</f>
        <v>% (fracción)</v>
      </c>
      <c r="O954" s="193" t="str">
        <f>IF(NOT(ISNUMBER(F954)),IF(SUMPRODUCT(($C$2:$C$1300=C954)*($J$2:$J$1300="Monthly")*($A$2:$A$1300&lt;=A954)*(YEAR($A$2:$A$1300)=YEAR(A954))*ISNUMBER($K$2:$K$1300)*ISNUMBER($L$2:$L$1300)*($L$2:$L$1300=0)*($K$2:$K$1300&gt;0))&gt;0,"INCOMPLETE","MISSING"),O326)</f>
        <v>MISSING</v>
      </c>
      <c r="P954" s="193" t="str">
        <f>INDEX(_TARGETS!$K$2:$K$17,MATCH($C954,_TARGETS!$A$2:$A$17,0))</f>
        <v>OPS (carga manual en Datos)</v>
      </c>
      <c r="Q954" s="193" t="str">
        <f t="shared" si="83"/>
        <v>202711|CPSE|YTD</v>
      </c>
      <c r="R954" s="193" t="str">
        <f>INDEX(_TARGETS!$H$2:$H$17,MATCH($C954,_TARGETS!$A$2:$A$17,0))</f>
        <v>Definida</v>
      </c>
      <c r="S954" s="193" t="str">
        <f t="shared" si="84"/>
        <v/>
      </c>
      <c r="T954" s="193" t="str">
        <f t="shared" si="85"/>
        <v/>
      </c>
    </row>
    <row r="955" spans="1:20" ht="14.25" customHeight="1" x14ac:dyDescent="0.3">
      <c r="A955" s="249">
        <f>KPIs!$S$3</f>
        <v>46692</v>
      </c>
      <c r="B955" s="193" t="str">
        <f>KPIs!S$4</f>
        <v>Compresora</v>
      </c>
      <c r="C955" t="s">
        <v>85</v>
      </c>
      <c r="D955" s="193" t="str">
        <f>KPIs!$A$45</f>
        <v>10b · Cumplimiento de acciones de mejora de simulacros · YTD</v>
      </c>
      <c r="E955" t="s">
        <v>601</v>
      </c>
      <c r="F955" s="193" t="str">
        <f>IF(ISNUMBER(KPIs!S45),KPIs!S45,"")</f>
        <v/>
      </c>
      <c r="G955" s="254" t="str">
        <f>IF(ISNUMBER(KPIs!$C$45),KPIs!$C$45,"")</f>
        <v/>
      </c>
      <c r="H955" s="193" t="str">
        <f>IFERROR(INDEX(_TARGETS!$E$2:$E$17,MATCH($C955,_TARGETS!$A$2:$A$17,0))&amp;"","")</f>
        <v/>
      </c>
      <c r="I955" s="193" t="str">
        <f t="shared" si="81"/>
        <v/>
      </c>
      <c r="J955" s="193" t="str">
        <f t="shared" si="82"/>
        <v>YTD</v>
      </c>
      <c r="K955" s="193">
        <f>SUMIFS(Datos!$D$23:$AL$23,Datos!$D$3:$AL$3,"&gt;="&amp;DATE(YEAR(Datos!S$3),1,1),Datos!$D$3:$AL$3,"&lt;="&amp;Datos!S$3)</f>
        <v>0</v>
      </c>
      <c r="L955" s="193">
        <f>SUMIFS(Datos!$D$22:$AL$22,Datos!$D$3:$AL$3,"&gt;="&amp;DATE(YEAR(Datos!S$3),1,1),Datos!$D$3:$AL$3,"&lt;="&amp;Datos!S$3)</f>
        <v>0</v>
      </c>
      <c r="M955" s="193">
        <f>INDEX(_TARGETS!$J$2:$J$17,MATCH($C955,_TARGETS!$A$2:$A$17,0))</f>
        <v>1</v>
      </c>
      <c r="N955" s="193" t="str">
        <f>INDEX(_TARGETS!$D$2:$D$17,MATCH($C955,_TARGETS!$A$2:$A$17,0))</f>
        <v>% (fracción)</v>
      </c>
      <c r="O955" s="193" t="str">
        <f>IF(NOT(ISNUMBER(F955)),IF(SUMPRODUCT(($C$2:$C$1300=C955)*($J$2:$J$1300="Monthly")*($A$2:$A$1300&lt;=A955)*(YEAR($A$2:$A$1300)=YEAR(A955))*ISNUMBER($K$2:$K$1300)*ISNUMBER($L$2:$L$1300)*($L$2:$L$1300=0)*($K$2:$K$1300&gt;0))&gt;0,"INCOMPLETE","MISSING"),O327)</f>
        <v>MISSING</v>
      </c>
      <c r="P955" s="193" t="str">
        <f>INDEX(_TARGETS!$K$2:$K$17,MATCH($C955,_TARGETS!$A$2:$A$17,0))</f>
        <v>OPS (carga manual en Datos)</v>
      </c>
      <c r="Q955" s="193" t="str">
        <f t="shared" si="83"/>
        <v>202711|CAMS|YTD</v>
      </c>
      <c r="R955" s="193" t="str">
        <f>INDEX(_TARGETS!$H$2:$H$17,MATCH($C955,_TARGETS!$A$2:$A$17,0))</f>
        <v>Solo reporte</v>
      </c>
      <c r="S955" s="193" t="str">
        <f t="shared" si="84"/>
        <v/>
      </c>
      <c r="T955" s="193" t="str">
        <f t="shared" si="85"/>
        <v/>
      </c>
    </row>
    <row r="956" spans="1:20" ht="14.25" customHeight="1" x14ac:dyDescent="0.3">
      <c r="A956" s="249">
        <f>KPIs!$S$3</f>
        <v>46692</v>
      </c>
      <c r="B956" s="193" t="str">
        <f>KPIs!S$4</f>
        <v>Compresora</v>
      </c>
      <c r="C956" t="s">
        <v>87</v>
      </c>
      <c r="D956" s="193" t="str">
        <f>KPIs!$A$46</f>
        <v>11 · Cumplimiento de caminatas gerenciales · YTD</v>
      </c>
      <c r="E956" t="s">
        <v>601</v>
      </c>
      <c r="F956" s="193" t="str">
        <f>IF(ISNUMBER(KPIs!S46),KPIs!S46,"")</f>
        <v/>
      </c>
      <c r="G956" s="254">
        <f>IF(ISNUMBER(KPIs!$C$46),KPIs!$C$46,"")</f>
        <v>1</v>
      </c>
      <c r="H956" s="193" t="str">
        <f>IFERROR(INDEX(_TARGETS!$E$2:$E$17,MATCH($C956,_TARGETS!$A$2:$A$17,0))&amp;"","")</f>
        <v>≥</v>
      </c>
      <c r="I956" s="193" t="str">
        <f t="shared" si="81"/>
        <v/>
      </c>
      <c r="J956" s="193" t="str">
        <f t="shared" si="82"/>
        <v>YTD</v>
      </c>
      <c r="K956" s="193">
        <f>SUMIFS(Datos!$D$24:$AL$24,Datos!$D$3:$AL$3,"&gt;="&amp;DATE(YEAR(Datos!S$3),1,1),Datos!$D$3:$AL$3,"&lt;="&amp;Datos!S$3)</f>
        <v>0</v>
      </c>
      <c r="L956" s="193">
        <f>SUMIFS(Datos!$D$25:$AL$25,Datos!$D$3:$AL$3,"&gt;="&amp;DATE(YEAR(Datos!S$3),1,1),Datos!$D$3:$AL$3,"&lt;="&amp;Datos!S$3)</f>
        <v>0</v>
      </c>
      <c r="M956" s="193">
        <f>INDEX(_TARGETS!$J$2:$J$17,MATCH($C956,_TARGETS!$A$2:$A$17,0))</f>
        <v>1</v>
      </c>
      <c r="N956" s="193" t="str">
        <f>INDEX(_TARGETS!$D$2:$D$17,MATCH($C956,_TARGETS!$A$2:$A$17,0))</f>
        <v>% (fracción)</v>
      </c>
      <c r="O956" s="193" t="str">
        <f>IF(NOT(ISNUMBER(F956)),IF(SUMPRODUCT(($C$2:$C$1300=C956)*($J$2:$J$1300="Monthly")*($A$2:$A$1300&lt;=A956)*(YEAR($A$2:$A$1300)=YEAR(A956))*ISNUMBER($K$2:$K$1300)*ISNUMBER($L$2:$L$1300)*($L$2:$L$1300=0)*($K$2:$K$1300&gt;0))&gt;0,"INCOMPLETE","MISSING"),O328)</f>
        <v>MISSING</v>
      </c>
      <c r="P956" s="193" t="str">
        <f>INDEX(_TARGETS!$K$2:$K$17,MATCH($C956,_TARGETS!$A$2:$A$17,0))</f>
        <v>OPS (carga manual en Datos)</v>
      </c>
      <c r="Q956" s="193" t="str">
        <f t="shared" si="83"/>
        <v>202711|ICCS|YTD</v>
      </c>
      <c r="R956" s="193" t="str">
        <f>INDEX(_TARGETS!$H$2:$H$17,MATCH($C956,_TARGETS!$A$2:$A$17,0))</f>
        <v>Definida</v>
      </c>
      <c r="S956" s="193" t="str">
        <f t="shared" si="84"/>
        <v/>
      </c>
      <c r="T956" s="193" t="str">
        <f t="shared" si="85"/>
        <v/>
      </c>
    </row>
    <row r="957" spans="1:20" ht="14.25" customHeight="1" x14ac:dyDescent="0.3">
      <c r="A957" s="249">
        <f>KPIs!$S$3</f>
        <v>46692</v>
      </c>
      <c r="B957" s="193" t="str">
        <f>KPIs!S$4</f>
        <v>Compresora</v>
      </c>
      <c r="C957" t="s">
        <v>89</v>
      </c>
      <c r="D957" s="193" t="str">
        <f>KPIs!$A$47</f>
        <v>12 · Cumplimiento de comités y subcomités de seguridad · YTD</v>
      </c>
      <c r="E957" t="s">
        <v>601</v>
      </c>
      <c r="F957" s="193" t="str">
        <f>IF(ISNUMBER(KPIs!S47),KPIs!S47,"")</f>
        <v/>
      </c>
      <c r="G957" s="254">
        <f>IF(ISNUMBER(KPIs!$C$47),KPIs!$C$47,"")</f>
        <v>1</v>
      </c>
      <c r="H957" s="193" t="str">
        <f>IFERROR(INDEX(_TARGETS!$E$2:$E$17,MATCH($C957,_TARGETS!$A$2:$A$17,0))&amp;"","")</f>
        <v>≥</v>
      </c>
      <c r="I957" s="193" t="str">
        <f t="shared" si="81"/>
        <v/>
      </c>
      <c r="J957" s="193" t="str">
        <f t="shared" si="82"/>
        <v>YTD</v>
      </c>
      <c r="K957" s="193">
        <f>SUMIFS(Datos!$D$26:$AL$26,Datos!$D$3:$AL$3,"&gt;="&amp;DATE(YEAR(Datos!S$3),1,1),Datos!$D$3:$AL$3,"&lt;="&amp;Datos!S$3)</f>
        <v>0</v>
      </c>
      <c r="L957" s="193">
        <f>SUMIFS(Datos!$D$27:$AL$27,Datos!$D$3:$AL$3,"&gt;="&amp;DATE(YEAR(Datos!S$3),1,1),Datos!$D$3:$AL$3,"&lt;="&amp;Datos!S$3)</f>
        <v>0</v>
      </c>
      <c r="M957" s="193">
        <f>INDEX(_TARGETS!$J$2:$J$17,MATCH($C957,_TARGETS!$A$2:$A$17,0))</f>
        <v>1</v>
      </c>
      <c r="N957" s="193" t="str">
        <f>INDEX(_TARGETS!$D$2:$D$17,MATCH($C957,_TARGETS!$A$2:$A$17,0))</f>
        <v>% (fracción)</v>
      </c>
      <c r="O957" s="193" t="str">
        <f>IF(NOT(ISNUMBER(F957)),IF(SUMPRODUCT(($C$2:$C$1300=C957)*($J$2:$J$1300="Monthly")*($A$2:$A$1300&lt;=A957)*(YEAR($A$2:$A$1300)=YEAR(A957))*ISNUMBER($K$2:$K$1300)*ISNUMBER($L$2:$L$1300)*($L$2:$L$1300=0)*($K$2:$K$1300&gt;0))&gt;0,"INCOMPLETE","MISSING"),O329)</f>
        <v>MISSING</v>
      </c>
      <c r="P957" s="193" t="str">
        <f>INDEX(_TARGETS!$K$2:$K$17,MATCH($C957,_TARGETS!$A$2:$A$17,0))</f>
        <v>OPS (carga manual en Datos)</v>
      </c>
      <c r="Q957" s="193" t="str">
        <f t="shared" si="83"/>
        <v>202711|CCS|YTD</v>
      </c>
      <c r="R957" s="193" t="str">
        <f>INDEX(_TARGETS!$H$2:$H$17,MATCH($C957,_TARGETS!$A$2:$A$17,0))</f>
        <v>Definida</v>
      </c>
      <c r="S957" s="193" t="str">
        <f t="shared" si="84"/>
        <v/>
      </c>
      <c r="T957" s="193" t="str">
        <f t="shared" si="85"/>
        <v/>
      </c>
    </row>
    <row r="958" spans="1:20" ht="14.25" customHeight="1" x14ac:dyDescent="0.3">
      <c r="A958" s="249">
        <f>KPIs!$S$3</f>
        <v>46692</v>
      </c>
      <c r="B958" s="193" t="str">
        <f>KPIs!S$4</f>
        <v>Compresora</v>
      </c>
      <c r="C958" t="s">
        <v>91</v>
      </c>
      <c r="D958" s="193" t="str">
        <f>KPIs!$A$48</f>
        <v>13 · Días promedio para cerrar hallazgos · YTD</v>
      </c>
      <c r="E958" t="s">
        <v>601</v>
      </c>
      <c r="F958" s="251" t="str">
        <f>IF(ISNUMBER(KPIs!S48),KPIs!S48,"")</f>
        <v/>
      </c>
      <c r="G958" s="193" t="str">
        <f>IF(ISNUMBER(KPIs!$C$48),KPIs!$C$48,"")</f>
        <v/>
      </c>
      <c r="H958" s="193" t="str">
        <f>IFERROR(INDEX(_TARGETS!$E$2:$E$17,MATCH($C958,_TARGETS!$A$2:$A$17,0))&amp;"","")</f>
        <v>≤</v>
      </c>
      <c r="I958" s="193" t="str">
        <f t="shared" si="81"/>
        <v/>
      </c>
      <c r="J958" s="193" t="str">
        <f t="shared" si="82"/>
        <v>YTD</v>
      </c>
      <c r="K958" s="193">
        <f>SUMIFS(Datos!$D$68:$AL$68,Datos!$D$3:$AL$3,"&gt;="&amp;DATE(YEAR(Datos!S$3),1,1),Datos!$D$3:$AL$3,"&lt;="&amp;Datos!S$3)</f>
        <v>0</v>
      </c>
      <c r="L958" s="193">
        <f>SUMIFS(Datos!$D$67:$AL$67,Datos!$D$3:$AL$3,"&gt;="&amp;DATE(YEAR(Datos!S$3),1,1),Datos!$D$3:$AL$3,"&lt;="&amp;Datos!S$3)</f>
        <v>0</v>
      </c>
      <c r="M958" s="193">
        <f>INDEX(_TARGETS!$J$2:$J$17,MATCH($C958,_TARGETS!$A$2:$A$17,0))</f>
        <v>1</v>
      </c>
      <c r="N958" s="193" t="str">
        <f>INDEX(_TARGETS!$D$2:$D$17,MATCH($C958,_TARGETS!$A$2:$A$17,0))</f>
        <v>días</v>
      </c>
      <c r="O958" s="193" t="str">
        <f>IF(NOT(ISNUMBER(F958)),IF(SUMPRODUCT(($C$2:$C$1300=C958)*($J$2:$J$1300="Monthly")*($A$2:$A$1300&lt;=A958)*(YEAR($A$2:$A$1300)=YEAR(A958))*ISNUMBER($K$2:$K$1300)*ISNUMBER($L$2:$L$1300)*($L$2:$L$1300=0)*($K$2:$K$1300&gt;0))&gt;0,"INCOMPLETE","MISSING"),O330)</f>
        <v>MISSING</v>
      </c>
      <c r="P958" s="193" t="str">
        <f>INDEX(_TARGETS!$K$2:$K$17,MATCH($C958,_TARGETS!$A$2:$A$17,0))</f>
        <v>Plant Findings (hoja Observaciones-SMP)</v>
      </c>
      <c r="Q958" s="193" t="str">
        <f t="shared" si="83"/>
        <v>202711|DPAS|YTD</v>
      </c>
      <c r="R958" s="193" t="str">
        <f>INDEX(_TARGETS!$H$2:$H$17,MATCH($C958,_TARGETS!$A$2:$A$17,0))</f>
        <v>Pendiente (meta 2027)</v>
      </c>
      <c r="S958" s="193" t="str">
        <f t="shared" si="84"/>
        <v/>
      </c>
      <c r="T958" s="193" t="str">
        <f t="shared" si="85"/>
        <v/>
      </c>
    </row>
    <row r="959" spans="1:20" ht="14.25" customHeight="1" x14ac:dyDescent="0.3">
      <c r="A959" s="249">
        <f>KPIs!$S$3</f>
        <v>46692</v>
      </c>
      <c r="B959" s="193" t="str">
        <f>KPIs!S$4</f>
        <v>Compresora</v>
      </c>
      <c r="C959" t="s">
        <v>96</v>
      </c>
      <c r="D959" s="193" t="str">
        <f>KPIs!$A$49</f>
        <v>C1 · % de desvíos detectados de gravedad Alta · YTD</v>
      </c>
      <c r="E959" t="s">
        <v>601</v>
      </c>
      <c r="F959" s="193" t="str">
        <f>IF(ISNUMBER(KPIs!S49),KPIs!S49,"")</f>
        <v/>
      </c>
      <c r="G959" s="193" t="str">
        <f>IF(ISNUMBER(KPIs!$C$49),KPIs!$C$49,"")</f>
        <v/>
      </c>
      <c r="H959" s="193" t="str">
        <f>IFERROR(INDEX(_TARGETS!$E$2:$E$17,MATCH($C959,_TARGETS!$A$2:$A$17,0))&amp;"","")</f>
        <v/>
      </c>
      <c r="I959" s="193" t="str">
        <f t="shared" si="81"/>
        <v/>
      </c>
      <c r="J959" s="193" t="str">
        <f t="shared" si="82"/>
        <v>YTD</v>
      </c>
      <c r="K959" s="193">
        <f>SUMIFS(Datos!$D$71:$AL$71,Datos!$D$3:$AL$3,"&gt;="&amp;DATE(YEAR(Datos!S$3),1,1),Datos!$D$3:$AL$3,"&lt;="&amp;Datos!S$3)</f>
        <v>0</v>
      </c>
      <c r="L959" s="193">
        <f>SUMIFS(Datos!$D$71:$AL$71,Datos!$D$3:$AL$3,"&gt;="&amp;DATE(YEAR(Datos!S$3),1,1),Datos!$D$3:$AL$3,"&lt;="&amp;Datos!S$3)+SUMIFS(Datos!$D$72:$AL$72,Datos!$D$3:$AL$3,"&gt;="&amp;DATE(YEAR(Datos!S$3),1,1),Datos!$D$3:$AL$3,"&lt;="&amp;Datos!S$3)+SUMIFS(Datos!$D$73:$AL$73,Datos!$D$3:$AL$3,"&gt;="&amp;DATE(YEAR(Datos!S$3),1,1),Datos!$D$3:$AL$3,"&lt;="&amp;Datos!S$3)</f>
        <v>0</v>
      </c>
      <c r="M959" s="193">
        <f>INDEX(_TARGETS!$J$2:$J$17,MATCH($C959,_TARGETS!$A$2:$A$17,0))</f>
        <v>1</v>
      </c>
      <c r="N959" s="193" t="str">
        <f>INDEX(_TARGETS!$D$2:$D$17,MATCH($C959,_TARGETS!$A$2:$A$17,0))</f>
        <v>% (fracción)</v>
      </c>
      <c r="O959" s="193" t="str">
        <f t="shared" ref="O959:O965" si="90">IF(NOT(ISNUMBER(F959)),IF(SUMPRODUCT(($C$2:$C$1300=C959)*($J$2:$J$1300="Monthly")*($A$2:$A$1300&lt;=A959)*(YEAR($A$2:$A$1300)=YEAR(A959))*ISNUMBER($K$2:$K$1300)*ISNUMBER($L$2:$L$1300)*($L$2:$L$1300=0)*($K$2:$K$1300&gt;0))&gt;0,"INCOMPLETE","MISSING"),O336)</f>
        <v>MISSING</v>
      </c>
      <c r="P959" s="193" t="str">
        <f>INDEX(_TARGETS!$K$2:$K$17,MATCH($C959,_TARGETS!$A$2:$A$17,0))</f>
        <v>Plant Findings (hoja Observaciones-SMP)</v>
      </c>
      <c r="Q959" s="193" t="str">
        <f t="shared" si="83"/>
        <v>202711|HAL_ALTA_PCT|YTD</v>
      </c>
      <c r="R959" s="193" t="str">
        <f>INDEX(_TARGETS!$H$2:$H$17,MATCH($C959,_TARGETS!$A$2:$A$17,0))</f>
        <v>Solo reporte</v>
      </c>
      <c r="S959" s="193" t="str">
        <f t="shared" si="84"/>
        <v/>
      </c>
      <c r="T959" s="193" t="str">
        <f t="shared" si="85"/>
        <v/>
      </c>
    </row>
    <row r="960" spans="1:20" ht="14.25" customHeight="1" x14ac:dyDescent="0.3">
      <c r="A960" s="249">
        <f>KPIs!$S$3</f>
        <v>46692</v>
      </c>
      <c r="B960" s="193" t="str">
        <f>KPIs!S$4</f>
        <v>Compresora</v>
      </c>
      <c r="C960" t="s">
        <v>98</v>
      </c>
      <c r="D960" s="193" t="str">
        <f>KPIs!$A$50</f>
        <v>C2 · Detenciones de tareas aplicadas · YTD</v>
      </c>
      <c r="E960" t="s">
        <v>601</v>
      </c>
      <c r="F960" s="193" t="str">
        <f>IF(ISNUMBER(KPIs!S50),KPIs!S50,"")</f>
        <v/>
      </c>
      <c r="G960" s="193" t="str">
        <f>IF(ISNUMBER(KPIs!$C$50),KPIs!$C$50,"")</f>
        <v/>
      </c>
      <c r="H960" s="193" t="str">
        <f>IFERROR(INDEX(_TARGETS!$E$2:$E$17,MATCH($C960,_TARGETS!$A$2:$A$17,0))&amp;"","")</f>
        <v/>
      </c>
      <c r="I960" s="193" t="str">
        <f t="shared" si="81"/>
        <v/>
      </c>
      <c r="J960" s="193" t="str">
        <f t="shared" si="82"/>
        <v>YTD</v>
      </c>
      <c r="K960" s="193">
        <f>SUMIFS(Datos!$D$75:$AL$75,Datos!$D$3:$AL$3,"&gt;="&amp;DATE(YEAR(Datos!S$3),1,1),Datos!$D$3:$AL$3,"&lt;="&amp;Datos!S$3)</f>
        <v>0</v>
      </c>
      <c r="M960" s="193">
        <f>INDEX(_TARGETS!$J$2:$J$17,MATCH($C960,_TARGETS!$A$2:$A$17,0))</f>
        <v>1</v>
      </c>
      <c r="N960" s="193" t="str">
        <f>INDEX(_TARGETS!$D$2:$D$17,MATCH($C960,_TARGETS!$A$2:$A$17,0))</f>
        <v>u</v>
      </c>
      <c r="O960" s="193" t="str">
        <f t="shared" si="90"/>
        <v>MISSING</v>
      </c>
      <c r="P960" s="193" t="str">
        <f>INDEX(_TARGETS!$K$2:$K$17,MATCH($C960,_TARGETS!$A$2:$A$17,0))</f>
        <v>Plant Findings (hoja Observaciones-SMP)</v>
      </c>
      <c r="Q960" s="193" t="str">
        <f t="shared" si="83"/>
        <v>202711|DET|YTD</v>
      </c>
      <c r="R960" s="193" t="str">
        <f>INDEX(_TARGETS!$H$2:$H$17,MATCH($C960,_TARGETS!$A$2:$A$17,0))</f>
        <v>Solo reporte</v>
      </c>
      <c r="S960" s="193">
        <f t="shared" si="84"/>
        <v>0</v>
      </c>
      <c r="T960" s="193" t="str">
        <f t="shared" si="85"/>
        <v/>
      </c>
    </row>
    <row r="961" spans="1:20" ht="14.25" customHeight="1" x14ac:dyDescent="0.3">
      <c r="A961" s="249">
        <f>KPIs!$T$3</f>
        <v>46722</v>
      </c>
      <c r="B961" s="193" t="str">
        <f>KPIs!T$4</f>
        <v>Compresora</v>
      </c>
      <c r="C961" t="s">
        <v>39</v>
      </c>
      <c r="D961" s="193" t="str">
        <f>KPIs!$A$37</f>
        <v>1 · Frecuencia de casos con días perdidos · YTD</v>
      </c>
      <c r="E961" t="s">
        <v>601</v>
      </c>
      <c r="F961" s="193" t="str">
        <f>IF(ISNUMBER(KPIs!T37),KPIs!T37,"")</f>
        <v/>
      </c>
      <c r="G961" s="250">
        <f>IF(ISNUMBER(KPIs!$C$37),KPIs!$C$37,"")</f>
        <v>0</v>
      </c>
      <c r="H961" s="193" t="str">
        <f>IFERROR(INDEX(_TARGETS!$E$2:$E$17,MATCH($C961,_TARGETS!$A$2:$A$17,0))&amp;"","")</f>
        <v>≤</v>
      </c>
      <c r="I961" s="193" t="str">
        <f t="shared" si="81"/>
        <v/>
      </c>
      <c r="J961" s="193" t="str">
        <f t="shared" si="82"/>
        <v>YTD</v>
      </c>
      <c r="K961" s="193">
        <f>SUMIFS(Datos!$D$33:$AL$33,Datos!$D$3:$AL$3,"&gt;="&amp;DATE(YEAR(Datos!T$3),1,1),Datos!$D$3:$AL$3,"&lt;="&amp;Datos!T$3)</f>
        <v>0</v>
      </c>
      <c r="L961" s="193">
        <f>SUMIFS(Datos!$D$14:$AL$14,Datos!$D$3:$AL$3,"&gt;="&amp;DATE(YEAR(Datos!T$3),1,1),Datos!$D$3:$AL$3,"&lt;="&amp;Datos!T$3)</f>
        <v>0</v>
      </c>
      <c r="M961" s="193">
        <f>INDEX(_TARGETS!$J$2:$J$17,MATCH($C961,_TARGETS!$A$2:$A$17,0))</f>
        <v>1000000</v>
      </c>
      <c r="N961" s="193" t="str">
        <f>INDEX(_TARGETS!$D$2:$D$17,MATCH($C961,_TARGETS!$A$2:$A$17,0))</f>
        <v>casos / 10^6 HH</v>
      </c>
      <c r="O961" s="193" t="str">
        <f t="shared" si="90"/>
        <v>MISSING</v>
      </c>
      <c r="P961" s="193" t="str">
        <f>INDEX(_TARGETS!$K$2:$K$17,MATCH($C961,_TARGETS!$A$2:$A$17,0))</f>
        <v>OPS (carga manual en Datos)</v>
      </c>
      <c r="Q961" s="193" t="str">
        <f t="shared" si="83"/>
        <v>202712|DAFWCF|YTD</v>
      </c>
      <c r="R961" s="193" t="str">
        <f>INDEX(_TARGETS!$H$2:$H$17,MATCH($C961,_TARGETS!$A$2:$A$17,0))</f>
        <v>Definida</v>
      </c>
      <c r="S961" s="193" t="str">
        <f t="shared" si="84"/>
        <v/>
      </c>
      <c r="T961" s="193" t="str">
        <f t="shared" si="85"/>
        <v/>
      </c>
    </row>
    <row r="962" spans="1:20" ht="14.25" customHeight="1" x14ac:dyDescent="0.3">
      <c r="A962" s="249">
        <f>KPIs!$T$3</f>
        <v>46722</v>
      </c>
      <c r="B962" s="193" t="str">
        <f>KPIs!T$4</f>
        <v>Compresora</v>
      </c>
      <c r="C962" t="s">
        <v>49</v>
      </c>
      <c r="D962" s="193" t="str">
        <f>KPIs!$A$38</f>
        <v>2 · Frecuencia de casos registrables · YTD</v>
      </c>
      <c r="E962" t="s">
        <v>601</v>
      </c>
      <c r="F962" s="193" t="str">
        <f>IF(ISNUMBER(KPIs!T38),KPIs!T38,"")</f>
        <v/>
      </c>
      <c r="G962" s="250">
        <f>IF(ISNUMBER(KPIs!$C$38),KPIs!$C$38,"")</f>
        <v>2.35</v>
      </c>
      <c r="H962" s="193" t="str">
        <f>IFERROR(INDEX(_TARGETS!$E$2:$E$17,MATCH($C962,_TARGETS!$A$2:$A$17,0))&amp;"","")</f>
        <v>≤</v>
      </c>
      <c r="I962" s="193" t="str">
        <f t="shared" ref="I962:I1025" si="91">IF(OR(H962="",F962="",G962=""),"",IF(IF(H962="≤",F962&lt;=G962,F962&gt;=G962),"Sí","No"))</f>
        <v/>
      </c>
      <c r="J962" s="193" t="str">
        <f t="shared" ref="J962:J1025" si="92">IF(E962="Mensual","Monthly",IF(E962="Acumulado","Cumulative",E962))</f>
        <v>YTD</v>
      </c>
      <c r="K962" s="193">
        <f>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f>
        <v>0</v>
      </c>
      <c r="L962" s="193">
        <f>SUMIFS(Datos!$D$14:$AL$14,Datos!$D$3:$AL$3,"&gt;="&amp;DATE(YEAR(Datos!T$3),1,1),Datos!$D$3:$AL$3,"&lt;="&amp;Datos!T$3)</f>
        <v>0</v>
      </c>
      <c r="M962" s="193">
        <f>INDEX(_TARGETS!$J$2:$J$17,MATCH($C962,_TARGETS!$A$2:$A$17,0))</f>
        <v>1000000</v>
      </c>
      <c r="N962" s="193" t="str">
        <f>INDEX(_TARGETS!$D$2:$D$17,MATCH($C962,_TARGETS!$A$2:$A$17,0))</f>
        <v>casos / 10^6 HH</v>
      </c>
      <c r="O962" s="193" t="str">
        <f t="shared" si="90"/>
        <v>MISSING</v>
      </c>
      <c r="P962" s="193" t="str">
        <f>INDEX(_TARGETS!$K$2:$K$17,MATCH($C962,_TARGETS!$A$2:$A$17,0))</f>
        <v>OPS (carga manual en Datos)</v>
      </c>
      <c r="Q962" s="193" t="str">
        <f t="shared" ref="Q962:Q1025" si="93">YEAR(A962)*100+MONTH(A962)&amp;"|"&amp;C962&amp;"|"&amp;J962</f>
        <v>202712|TRICF|YTD</v>
      </c>
      <c r="R962" s="193" t="str">
        <f>INDEX(_TARGETS!$H$2:$H$17,MATCH($C962,_TARGETS!$A$2:$A$17,0))</f>
        <v>Definida</v>
      </c>
      <c r="S962" s="193" t="str">
        <f t="shared" ref="S962:S1025" si="94">IF(AND(ISNUMBER(K962),ISNUMBER(L962)),IF(L962=0,"",K962*M962/L962),IF(ISNUMBER(K962),K962*M962,""))</f>
        <v/>
      </c>
      <c r="T962" s="193" t="str">
        <f t="shared" ref="T962:T1025" si="95">IF(AND(ISNUMBER(F962),ISNUMBER(S962)),ABS(F962-S962),"")</f>
        <v/>
      </c>
    </row>
    <row r="963" spans="1:20" ht="14.25" customHeight="1" x14ac:dyDescent="0.3">
      <c r="A963" s="249">
        <f>KPIs!$T$3</f>
        <v>46722</v>
      </c>
      <c r="B963" s="193" t="str">
        <f>KPIs!T$4</f>
        <v>Compresora</v>
      </c>
      <c r="C963" t="s">
        <v>51</v>
      </c>
      <c r="D963" s="193" t="str">
        <f>KPIs!$A$39</f>
        <v>3 · Casos de primeros auxilios · YTD</v>
      </c>
      <c r="E963" t="s">
        <v>601</v>
      </c>
      <c r="F963" s="193" t="str">
        <f>IF(ISNUMBER(KPIs!T39),KPIs!T39,"")</f>
        <v/>
      </c>
      <c r="G963" s="193" t="str">
        <f>IF(ISNUMBER(KPIs!$C$39),KPIs!$C$39,"")</f>
        <v/>
      </c>
      <c r="H963" s="193" t="str">
        <f>IFERROR(INDEX(_TARGETS!$E$2:$E$17,MATCH($C963,_TARGETS!$A$2:$A$17,0))&amp;"","")</f>
        <v/>
      </c>
      <c r="I963" s="193" t="str">
        <f t="shared" si="91"/>
        <v/>
      </c>
      <c r="J963" s="193" t="str">
        <f t="shared" si="92"/>
        <v>YTD</v>
      </c>
      <c r="K963" s="193">
        <f>SUMIFS(Datos!$D$37:$AL$37,Datos!$D$3:$AL$3,"&gt;="&amp;DATE(YEAR(Datos!T$3),1,1),Datos!$D$3:$AL$3,"&lt;="&amp;Datos!T$3)</f>
        <v>0</v>
      </c>
      <c r="M963" s="193">
        <f>INDEX(_TARGETS!$J$2:$J$17,MATCH($C963,_TARGETS!$A$2:$A$17,0))</f>
        <v>1</v>
      </c>
      <c r="N963" s="193" t="str">
        <f>INDEX(_TARGETS!$D$2:$D$17,MATCH($C963,_TARGETS!$A$2:$A$17,0))</f>
        <v>casos</v>
      </c>
      <c r="O963" s="193" t="str">
        <f t="shared" si="90"/>
        <v>MISSING</v>
      </c>
      <c r="P963" s="193" t="str">
        <f>INDEX(_TARGETS!$K$2:$K$17,MATCH($C963,_TARGETS!$A$2:$A$17,0))</f>
        <v>OPS (carga manual en Datos)</v>
      </c>
      <c r="Q963" s="193" t="str">
        <f t="shared" si="93"/>
        <v>202712|FAC|YTD</v>
      </c>
      <c r="R963" s="193" t="str">
        <f>INDEX(_TARGETS!$H$2:$H$17,MATCH($C963,_TARGETS!$A$2:$A$17,0))</f>
        <v>Solo reporte</v>
      </c>
      <c r="S963" s="193">
        <f t="shared" si="94"/>
        <v>0</v>
      </c>
      <c r="T963" s="193" t="str">
        <f t="shared" si="95"/>
        <v/>
      </c>
    </row>
    <row r="964" spans="1:20" ht="14.25" customHeight="1" x14ac:dyDescent="0.3">
      <c r="A964" s="249">
        <f>KPIs!$T$3</f>
        <v>46722</v>
      </c>
      <c r="B964" s="193" t="str">
        <f>KPIs!T$4</f>
        <v>Compresora</v>
      </c>
      <c r="C964" t="s">
        <v>57</v>
      </c>
      <c r="D964" s="193" t="str">
        <f>KPIs!$A$40</f>
        <v>4 · Accidentes vehiculares severos por millón de km · YTD</v>
      </c>
      <c r="E964" t="s">
        <v>601</v>
      </c>
      <c r="F964" s="193" t="str">
        <f>IF(ISNUMBER(KPIs!T40),KPIs!T40,"")</f>
        <v/>
      </c>
      <c r="G964" s="193" t="str">
        <f>IF(ISNUMBER(KPIs!$C$40),KPIs!$C$40,"")</f>
        <v/>
      </c>
      <c r="H964" s="193" t="str">
        <f>IFERROR(INDEX(_TARGETS!$E$2:$E$17,MATCH($C964,_TARGETS!$A$2:$A$17,0))&amp;"","")</f>
        <v/>
      </c>
      <c r="I964" s="193" t="str">
        <f t="shared" si="91"/>
        <v/>
      </c>
      <c r="J964" s="193" t="str">
        <f t="shared" si="92"/>
        <v>YTD</v>
      </c>
      <c r="K964" s="193">
        <f>SUMIFS(Datos!$D$39:$AL$39,Datos!$D$3:$AL$3,"&gt;="&amp;DATE(YEAR(Datos!T$3),1,1),Datos!$D$3:$AL$3,"&lt;="&amp;Datos!T$3)+SUMIFS(Datos!$D$40:$AL$40,Datos!$D$3:$AL$3,"&gt;="&amp;DATE(YEAR(Datos!T$3),1,1),Datos!$D$3:$AL$3,"&lt;="&amp;Datos!T$3)+SUMIFS(Datos!$D$41:$AL$41,Datos!$D$3:$AL$3,"&gt;="&amp;DATE(YEAR(Datos!T$3),1,1),Datos!$D$3:$AL$3,"&lt;="&amp;Datos!T$3)</f>
        <v>0</v>
      </c>
      <c r="L964" s="193">
        <f>SUMIFS(Datos!$D$47:$AL$47,Datos!$D$3:$AL$3,"&gt;="&amp;DATE(YEAR(Datos!T$3),1,1),Datos!$D$3:$AL$3,"&lt;="&amp;Datos!T$3)</f>
        <v>0</v>
      </c>
      <c r="M964" s="193">
        <f>INDEX(_TARGETS!$J$2:$J$17,MATCH($C964,_TARGETS!$A$2:$A$17,0))</f>
        <v>1000000</v>
      </c>
      <c r="N964" s="193" t="str">
        <f>INDEX(_TARGETS!$D$2:$D$17,MATCH($C964,_TARGETS!$A$2:$A$17,0))</f>
        <v>eventos / 10^6 km</v>
      </c>
      <c r="O964" s="193" t="str">
        <f t="shared" si="90"/>
        <v>MISSING</v>
      </c>
      <c r="P964" s="193" t="str">
        <f>INDEX(_TARGETS!$K$2:$K$17,MATCH($C964,_TARGETS!$A$2:$A$17,0))</f>
        <v>OPS (eventos) + Full Control GPS (km) - carga manual en Datos</v>
      </c>
      <c r="Q964" s="193" t="str">
        <f t="shared" si="93"/>
        <v>202712|SVCR|YTD</v>
      </c>
      <c r="R964" s="193" t="str">
        <f>INDEX(_TARGETS!$H$2:$H$17,MATCH($C964,_TARGETS!$A$2:$A$17,0))</f>
        <v>Solo reporte</v>
      </c>
      <c r="S964" s="193" t="str">
        <f t="shared" si="94"/>
        <v/>
      </c>
      <c r="T964" s="193" t="str">
        <f t="shared" si="95"/>
        <v/>
      </c>
    </row>
    <row r="965" spans="1:20" ht="14.25" customHeight="1" x14ac:dyDescent="0.3">
      <c r="A965" s="249">
        <f>KPIs!$T$3</f>
        <v>46722</v>
      </c>
      <c r="B965" s="193" t="str">
        <f>KPIs!T$4</f>
        <v>Compresora</v>
      </c>
      <c r="C965" t="s">
        <v>61</v>
      </c>
      <c r="D965" s="193" t="str">
        <f>KPIs!$A$41</f>
        <v>5 · Accidentes vehiculares totales por millón de km · YTD</v>
      </c>
      <c r="E965" t="s">
        <v>601</v>
      </c>
      <c r="F965" s="193" t="str">
        <f>IF(ISNUMBER(KPIs!T41),KPIs!T41,"")</f>
        <v/>
      </c>
      <c r="G965" s="250">
        <f>IF(ISNUMBER(KPIs!$C$41),KPIs!$C$41,"")</f>
        <v>0.79</v>
      </c>
      <c r="H965" s="193" t="str">
        <f>IFERROR(INDEX(_TARGETS!$E$2:$E$17,MATCH($C965,_TARGETS!$A$2:$A$17,0))&amp;"","")</f>
        <v>≤</v>
      </c>
      <c r="I965" s="193" t="str">
        <f t="shared" si="91"/>
        <v/>
      </c>
      <c r="J965" s="193" t="str">
        <f t="shared" si="92"/>
        <v>YTD</v>
      </c>
      <c r="K965" s="193">
        <f>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f>
        <v>0</v>
      </c>
      <c r="L965" s="193">
        <f>SUMIFS(Datos!$D$47:$AL$47,Datos!$D$3:$AL$3,"&gt;="&amp;DATE(YEAR(Datos!T$3),1,1),Datos!$D$3:$AL$3,"&lt;="&amp;Datos!T$3)</f>
        <v>0</v>
      </c>
      <c r="M965" s="193">
        <f>INDEX(_TARGETS!$J$2:$J$17,MATCH($C965,_TARGETS!$A$2:$A$17,0))</f>
        <v>1000000</v>
      </c>
      <c r="N965" s="193" t="str">
        <f>INDEX(_TARGETS!$D$2:$D$17,MATCH($C965,_TARGETS!$A$2:$A$17,0))</f>
        <v>eventos / 10^6 km</v>
      </c>
      <c r="O965" s="193" t="str">
        <f t="shared" si="90"/>
        <v>MISSING</v>
      </c>
      <c r="P965" s="193" t="str">
        <f>INDEX(_TARGETS!$K$2:$K$17,MATCH($C965,_TARGETS!$A$2:$A$17,0))</f>
        <v>OPS (eventos) + Full Control GPS (km) - carga manual en Datos</v>
      </c>
      <c r="Q965" s="193" t="str">
        <f t="shared" si="93"/>
        <v>202712|TVCR|YTD</v>
      </c>
      <c r="R965" s="193" t="str">
        <f>INDEX(_TARGETS!$H$2:$H$17,MATCH($C965,_TARGETS!$A$2:$A$17,0))</f>
        <v>Definida</v>
      </c>
      <c r="S965" s="193" t="str">
        <f t="shared" si="94"/>
        <v/>
      </c>
      <c r="T965" s="193" t="str">
        <f t="shared" si="95"/>
        <v/>
      </c>
    </row>
    <row r="966" spans="1:20" ht="14.25" customHeight="1" x14ac:dyDescent="0.3">
      <c r="A966" s="249">
        <f>KPIs!$T$3</f>
        <v>46722</v>
      </c>
      <c r="B966" s="193" t="str">
        <f>KPIs!T$4</f>
        <v>Compresora</v>
      </c>
      <c r="C966" t="s">
        <v>71</v>
      </c>
      <c r="D966" s="193" t="str">
        <f>KPIs!$A$42</f>
        <v>7 · Investigaciones de accidentes: días promedio de cierre · YTD</v>
      </c>
      <c r="E966" t="s">
        <v>601</v>
      </c>
      <c r="F966" s="193" t="str">
        <f>IF(ISNUMBER(KPIs!T42),KPIs!T42,"")</f>
        <v/>
      </c>
      <c r="G966" s="251">
        <f>IF(ISNUMBER(KPIs!$C$42),KPIs!$C$42,"")</f>
        <v>20</v>
      </c>
      <c r="H966" s="193" t="str">
        <f>IFERROR(INDEX(_TARGETS!$E$2:$E$17,MATCH($C966,_TARGETS!$A$2:$A$17,0))&amp;"","")</f>
        <v>≤</v>
      </c>
      <c r="I966" s="193" t="str">
        <f t="shared" si="91"/>
        <v/>
      </c>
      <c r="J966" s="193" t="str">
        <f t="shared" si="92"/>
        <v>YTD</v>
      </c>
      <c r="K966" s="193">
        <f>SUMIFS(Datos!$D$31:$AL$31,Datos!$D$3:$AL$3,"&gt;="&amp;DATE(YEAR(Datos!T$3),1,1),Datos!$D$3:$AL$3,"&lt;="&amp;Datos!T$3)</f>
        <v>0</v>
      </c>
      <c r="L966" s="193">
        <f>SUMIFS(Datos!$D$30:$AL$30,Datos!$D$3:$AL$3,"&gt;="&amp;DATE(YEAR(Datos!T$3),1,1),Datos!$D$3:$AL$3,"&lt;="&amp;Datos!T$3)</f>
        <v>0</v>
      </c>
      <c r="M966" s="193">
        <f>INDEX(_TARGETS!$J$2:$J$17,MATCH($C966,_TARGETS!$A$2:$A$17,0))</f>
        <v>1</v>
      </c>
      <c r="N966" s="193" t="str">
        <f>INDEX(_TARGETS!$D$2:$D$17,MATCH($C966,_TARGETS!$A$2:$A$17,0))</f>
        <v>días</v>
      </c>
      <c r="O966" s="193" t="str">
        <f>IF(NOT(ISNUMBER(F966)),IF(SUMPRODUCT(($C$2:$C$1300=C966)*($J$2:$J$1300="Monthly")*($A$2:$A$1300&lt;=A966)*(YEAR($A$2:$A$1300)=YEAR(A966))*ISNUMBER($K$2:$K$1300)*ISNUMBER($L$2:$L$1300)*($L$2:$L$1300=0)*($K$2:$K$1300&gt;0))&gt;0,"INCOMPLETE","MISSING"),O344)</f>
        <v>MISSING</v>
      </c>
      <c r="P966" s="193" t="str">
        <f>INDEX(_TARGETS!$K$2:$K$17,MATCH($C966,_TARGETS!$A$2:$A$17,0))</f>
        <v>OPS (carga manual en Datos)</v>
      </c>
      <c r="Q966" s="193" t="str">
        <f t="shared" si="93"/>
        <v>202712|INV|YTD</v>
      </c>
      <c r="R966" s="193" t="str">
        <f>INDEX(_TARGETS!$H$2:$H$17,MATCH($C966,_TARGETS!$A$2:$A$17,0))</f>
        <v>Definida</v>
      </c>
      <c r="S966" s="193" t="str">
        <f t="shared" si="94"/>
        <v/>
      </c>
      <c r="T966" s="193" t="str">
        <f t="shared" si="95"/>
        <v/>
      </c>
    </row>
    <row r="967" spans="1:20" ht="14.25" customHeight="1" x14ac:dyDescent="0.3">
      <c r="A967" s="249">
        <f>KPIs!$T$3</f>
        <v>46722</v>
      </c>
      <c r="B967" s="193" t="str">
        <f>KPIs!T$4</f>
        <v>Compresora</v>
      </c>
      <c r="C967" t="s">
        <v>76</v>
      </c>
      <c r="D967" s="193" t="str">
        <f>KPIs!$A$43</f>
        <v>8 · % de capacitación en seguridad · YTD</v>
      </c>
      <c r="E967" t="s">
        <v>601</v>
      </c>
      <c r="F967" s="193" t="str">
        <f>IF(ISNUMBER(KPIs!T43),KPIs!T43,"")</f>
        <v/>
      </c>
      <c r="G967" s="252">
        <f>IF(ISNUMBER(KPIs!$C$43),KPIs!$C$43,"")</f>
        <v>0.01</v>
      </c>
      <c r="H967" s="193" t="str">
        <f>IFERROR(INDEX(_TARGETS!$E$2:$E$17,MATCH($C967,_TARGETS!$A$2:$A$17,0))&amp;"","")</f>
        <v>≥</v>
      </c>
      <c r="I967" s="193" t="str">
        <f t="shared" si="91"/>
        <v/>
      </c>
      <c r="J967" s="193" t="str">
        <f t="shared" si="92"/>
        <v>YTD</v>
      </c>
      <c r="K967" s="193">
        <f>SUMIFS(Datos!$D$18:$AL$18,Datos!$D$3:$AL$3,"&gt;="&amp;DATE(YEAR(Datos!T$3),1,1),Datos!$D$3:$AL$3,"&lt;="&amp;Datos!T$3)</f>
        <v>0</v>
      </c>
      <c r="L967" s="193">
        <f>SUMIFS(Datos!$D$14:$AL$14,Datos!$D$3:$AL$3,"&gt;="&amp;DATE(YEAR(Datos!T$3),1,1),Datos!$D$3:$AL$3,"&lt;="&amp;Datos!T$3)</f>
        <v>0</v>
      </c>
      <c r="M967" s="193">
        <f>INDEX(_TARGETS!$J$2:$J$17,MATCH($C967,_TARGETS!$A$2:$A$17,0))</f>
        <v>1</v>
      </c>
      <c r="N967" s="193" t="str">
        <f>INDEX(_TARGETS!$D$2:$D$17,MATCH($C967,_TARGETS!$A$2:$A$17,0))</f>
        <v>% (fracción)</v>
      </c>
      <c r="O967" s="193" t="str">
        <f>IF(NOT(ISNUMBER(F967)),IF(SUMPRODUCT(($C$2:$C$1300=C967)*($J$2:$J$1300="Monthly")*($A$2:$A$1300&lt;=A967)*(YEAR($A$2:$A$1300)=YEAR(A967))*ISNUMBER($K$2:$K$1300)*ISNUMBER($L$2:$L$1300)*($L$2:$L$1300=0)*($K$2:$K$1300&gt;0))&gt;0,"INCOMPLETE","MISSING"),O345)</f>
        <v>MISSING</v>
      </c>
      <c r="P967" s="193" t="str">
        <f>INDEX(_TARGETS!$K$2:$K$17,MATCH($C967,_TARGETS!$A$2:$A$17,0))</f>
        <v>OPS (carga manual en Datos)</v>
      </c>
      <c r="Q967" s="193" t="str">
        <f t="shared" si="93"/>
        <v>202712|HCS|YTD</v>
      </c>
      <c r="R967" s="193" t="str">
        <f>INDEX(_TARGETS!$H$2:$H$17,MATCH($C967,_TARGETS!$A$2:$A$17,0))</f>
        <v>Definida</v>
      </c>
      <c r="S967" s="193" t="str">
        <f t="shared" si="94"/>
        <v/>
      </c>
      <c r="T967" s="193" t="str">
        <f t="shared" si="95"/>
        <v/>
      </c>
    </row>
    <row r="968" spans="1:20" ht="14.25" customHeight="1" x14ac:dyDescent="0.3">
      <c r="A968" s="249">
        <f>KPIs!$T$3</f>
        <v>46722</v>
      </c>
      <c r="B968" s="193" t="str">
        <f>KPIs!T$4</f>
        <v>Compresora</v>
      </c>
      <c r="C968" t="s">
        <v>83</v>
      </c>
      <c r="D968" s="193" t="str">
        <f>KPIs!$A$44</f>
        <v>10 · Cumplimiento de simulacros (emergencia y operativos) · YTD</v>
      </c>
      <c r="E968" t="s">
        <v>601</v>
      </c>
      <c r="F968" s="193" t="str">
        <f>IF(ISNUMBER(KPIs!T44),KPIs!T44,"")</f>
        <v/>
      </c>
      <c r="G968" s="253">
        <f>IF(ISNUMBER(KPIs!$C$44),KPIs!$C$44,"")</f>
        <v>1</v>
      </c>
      <c r="H968" s="193" t="str">
        <f>IFERROR(INDEX(_TARGETS!$E$2:$E$17,MATCH($C968,_TARGETS!$A$2:$A$17,0))&amp;"","")</f>
        <v>≥</v>
      </c>
      <c r="I968" s="193" t="str">
        <f t="shared" si="91"/>
        <v/>
      </c>
      <c r="J968" s="193" t="str">
        <f t="shared" si="92"/>
        <v>YTD</v>
      </c>
      <c r="K968" s="193">
        <f>SUMIFS(Datos!$D$20:$AL$20,Datos!$D$3:$AL$3,"&gt;="&amp;DATE(YEAR(Datos!T$3),1,1),Datos!$D$3:$AL$3,"&lt;="&amp;Datos!T$3)</f>
        <v>0</v>
      </c>
      <c r="L968" s="193">
        <f>SUMIFS(Datos!$D$21:$AL$21,Datos!$D$3:$AL$3,"&gt;="&amp;DATE(YEAR(Datos!T$3),1,1),Datos!$D$3:$AL$3,"&lt;="&amp;Datos!T$3)</f>
        <v>0</v>
      </c>
      <c r="M968" s="193">
        <f>INDEX(_TARGETS!$J$2:$J$17,MATCH($C968,_TARGETS!$A$2:$A$17,0))</f>
        <v>1</v>
      </c>
      <c r="N968" s="193" t="str">
        <f>INDEX(_TARGETS!$D$2:$D$17,MATCH($C968,_TARGETS!$A$2:$A$17,0))</f>
        <v>% (fracción)</v>
      </c>
      <c r="O968" s="193" t="str">
        <f>IF(NOT(ISNUMBER(F968)),IF(SUMPRODUCT(($C$2:$C$1300=C968)*($J$2:$J$1300="Monthly")*($A$2:$A$1300&lt;=A968)*(YEAR($A$2:$A$1300)=YEAR(A968))*ISNUMBER($K$2:$K$1300)*ISNUMBER($L$2:$L$1300)*($L$2:$L$1300=0)*($K$2:$K$1300&gt;0))&gt;0,"INCOMPLETE","MISSING"),O347)</f>
        <v>MISSING</v>
      </c>
      <c r="P968" s="193" t="str">
        <f>INDEX(_TARGETS!$K$2:$K$17,MATCH($C968,_TARGETS!$A$2:$A$17,0))</f>
        <v>OPS (carga manual en Datos)</v>
      </c>
      <c r="Q968" s="193" t="str">
        <f t="shared" si="93"/>
        <v>202712|CPSE|YTD</v>
      </c>
      <c r="R968" s="193" t="str">
        <f>INDEX(_TARGETS!$H$2:$H$17,MATCH($C968,_TARGETS!$A$2:$A$17,0))</f>
        <v>Definida</v>
      </c>
      <c r="S968" s="193" t="str">
        <f t="shared" si="94"/>
        <v/>
      </c>
      <c r="T968" s="193" t="str">
        <f t="shared" si="95"/>
        <v/>
      </c>
    </row>
    <row r="969" spans="1:20" ht="14.25" customHeight="1" x14ac:dyDescent="0.3">
      <c r="A969" s="249">
        <f>KPIs!$T$3</f>
        <v>46722</v>
      </c>
      <c r="B969" s="193" t="str">
        <f>KPIs!T$4</f>
        <v>Compresora</v>
      </c>
      <c r="C969" t="s">
        <v>85</v>
      </c>
      <c r="D969" s="193" t="str">
        <f>KPIs!$A$45</f>
        <v>10b · Cumplimiento de acciones de mejora de simulacros · YTD</v>
      </c>
      <c r="E969" t="s">
        <v>601</v>
      </c>
      <c r="F969" s="193" t="str">
        <f>IF(ISNUMBER(KPIs!T45),KPIs!T45,"")</f>
        <v/>
      </c>
      <c r="G969" s="254" t="str">
        <f>IF(ISNUMBER(KPIs!$C$45),KPIs!$C$45,"")</f>
        <v/>
      </c>
      <c r="H969" s="193" t="str">
        <f>IFERROR(INDEX(_TARGETS!$E$2:$E$17,MATCH($C969,_TARGETS!$A$2:$A$17,0))&amp;"","")</f>
        <v/>
      </c>
      <c r="I969" s="193" t="str">
        <f t="shared" si="91"/>
        <v/>
      </c>
      <c r="J969" s="193" t="str">
        <f t="shared" si="92"/>
        <v>YTD</v>
      </c>
      <c r="K969" s="193">
        <f>SUMIFS(Datos!$D$23:$AL$23,Datos!$D$3:$AL$3,"&gt;="&amp;DATE(YEAR(Datos!T$3),1,1),Datos!$D$3:$AL$3,"&lt;="&amp;Datos!T$3)</f>
        <v>0</v>
      </c>
      <c r="L969" s="193">
        <f>SUMIFS(Datos!$D$22:$AL$22,Datos!$D$3:$AL$3,"&gt;="&amp;DATE(YEAR(Datos!T$3),1,1),Datos!$D$3:$AL$3,"&lt;="&amp;Datos!T$3)</f>
        <v>0</v>
      </c>
      <c r="M969" s="193">
        <f>INDEX(_TARGETS!$J$2:$J$17,MATCH($C969,_TARGETS!$A$2:$A$17,0))</f>
        <v>1</v>
      </c>
      <c r="N969" s="193" t="str">
        <f>INDEX(_TARGETS!$D$2:$D$17,MATCH($C969,_TARGETS!$A$2:$A$17,0))</f>
        <v>% (fracción)</v>
      </c>
      <c r="O969" s="193" t="str">
        <f>IF(NOT(ISNUMBER(F969)),IF(SUMPRODUCT(($C$2:$C$1300=C969)*($J$2:$J$1300="Monthly")*($A$2:$A$1300&lt;=A969)*(YEAR($A$2:$A$1300)=YEAR(A969))*ISNUMBER($K$2:$K$1300)*ISNUMBER($L$2:$L$1300)*($L$2:$L$1300=0)*($K$2:$K$1300&gt;0))&gt;0,"INCOMPLETE","MISSING"),O348)</f>
        <v>MISSING</v>
      </c>
      <c r="P969" s="193" t="str">
        <f>INDEX(_TARGETS!$K$2:$K$17,MATCH($C969,_TARGETS!$A$2:$A$17,0))</f>
        <v>OPS (carga manual en Datos)</v>
      </c>
      <c r="Q969" s="193" t="str">
        <f t="shared" si="93"/>
        <v>202712|CAMS|YTD</v>
      </c>
      <c r="R969" s="193" t="str">
        <f>INDEX(_TARGETS!$H$2:$H$17,MATCH($C969,_TARGETS!$A$2:$A$17,0))</f>
        <v>Solo reporte</v>
      </c>
      <c r="S969" s="193" t="str">
        <f t="shared" si="94"/>
        <v/>
      </c>
      <c r="T969" s="193" t="str">
        <f t="shared" si="95"/>
        <v/>
      </c>
    </row>
    <row r="970" spans="1:20" ht="14.25" customHeight="1" x14ac:dyDescent="0.3">
      <c r="A970" s="249">
        <f>KPIs!$T$3</f>
        <v>46722</v>
      </c>
      <c r="B970" s="193" t="str">
        <f>KPIs!T$4</f>
        <v>Compresora</v>
      </c>
      <c r="C970" t="s">
        <v>87</v>
      </c>
      <c r="D970" s="193" t="str">
        <f>KPIs!$A$46</f>
        <v>11 · Cumplimiento de caminatas gerenciales · YTD</v>
      </c>
      <c r="E970" t="s">
        <v>601</v>
      </c>
      <c r="F970" s="193" t="str">
        <f>IF(ISNUMBER(KPIs!T46),KPIs!T46,"")</f>
        <v/>
      </c>
      <c r="G970" s="254">
        <f>IF(ISNUMBER(KPIs!$C$46),KPIs!$C$46,"")</f>
        <v>1</v>
      </c>
      <c r="H970" s="193" t="str">
        <f>IFERROR(INDEX(_TARGETS!$E$2:$E$17,MATCH($C970,_TARGETS!$A$2:$A$17,0))&amp;"","")</f>
        <v>≥</v>
      </c>
      <c r="I970" s="193" t="str">
        <f t="shared" si="91"/>
        <v/>
      </c>
      <c r="J970" s="193" t="str">
        <f t="shared" si="92"/>
        <v>YTD</v>
      </c>
      <c r="K970" s="193">
        <f>SUMIFS(Datos!$D$24:$AL$24,Datos!$D$3:$AL$3,"&gt;="&amp;DATE(YEAR(Datos!T$3),1,1),Datos!$D$3:$AL$3,"&lt;="&amp;Datos!T$3)</f>
        <v>0</v>
      </c>
      <c r="L970" s="193">
        <f>SUMIFS(Datos!$D$25:$AL$25,Datos!$D$3:$AL$3,"&gt;="&amp;DATE(YEAR(Datos!T$3),1,1),Datos!$D$3:$AL$3,"&lt;="&amp;Datos!T$3)</f>
        <v>0</v>
      </c>
      <c r="M970" s="193">
        <f>INDEX(_TARGETS!$J$2:$J$17,MATCH($C970,_TARGETS!$A$2:$A$17,0))</f>
        <v>1</v>
      </c>
      <c r="N970" s="193" t="str">
        <f>INDEX(_TARGETS!$D$2:$D$17,MATCH($C970,_TARGETS!$A$2:$A$17,0))</f>
        <v>% (fracción)</v>
      </c>
      <c r="O970" s="193" t="str">
        <f>IF(NOT(ISNUMBER(F970)),IF(SUMPRODUCT(($C$2:$C$1300=C970)*($J$2:$J$1300="Monthly")*($A$2:$A$1300&lt;=A970)*(YEAR($A$2:$A$1300)=YEAR(A970))*ISNUMBER($K$2:$K$1300)*ISNUMBER($L$2:$L$1300)*($L$2:$L$1300=0)*($K$2:$K$1300&gt;0))&gt;0,"INCOMPLETE","MISSING"),O349)</f>
        <v>MISSING</v>
      </c>
      <c r="P970" s="193" t="str">
        <f>INDEX(_TARGETS!$K$2:$K$17,MATCH($C970,_TARGETS!$A$2:$A$17,0))</f>
        <v>OPS (carga manual en Datos)</v>
      </c>
      <c r="Q970" s="193" t="str">
        <f t="shared" si="93"/>
        <v>202712|ICCS|YTD</v>
      </c>
      <c r="R970" s="193" t="str">
        <f>INDEX(_TARGETS!$H$2:$H$17,MATCH($C970,_TARGETS!$A$2:$A$17,0))</f>
        <v>Definida</v>
      </c>
      <c r="S970" s="193" t="str">
        <f t="shared" si="94"/>
        <v/>
      </c>
      <c r="T970" s="193" t="str">
        <f t="shared" si="95"/>
        <v/>
      </c>
    </row>
    <row r="971" spans="1:20" ht="14.25" customHeight="1" x14ac:dyDescent="0.3">
      <c r="A971" s="249">
        <f>KPIs!$T$3</f>
        <v>46722</v>
      </c>
      <c r="B971" s="193" t="str">
        <f>KPIs!T$4</f>
        <v>Compresora</v>
      </c>
      <c r="C971" t="s">
        <v>89</v>
      </c>
      <c r="D971" s="193" t="str">
        <f>KPIs!$A$47</f>
        <v>12 · Cumplimiento de comités y subcomités de seguridad · YTD</v>
      </c>
      <c r="E971" t="s">
        <v>601</v>
      </c>
      <c r="F971" s="193" t="str">
        <f>IF(ISNUMBER(KPIs!T47),KPIs!T47,"")</f>
        <v/>
      </c>
      <c r="G971" s="254">
        <f>IF(ISNUMBER(KPIs!$C$47),KPIs!$C$47,"")</f>
        <v>1</v>
      </c>
      <c r="H971" s="193" t="str">
        <f>IFERROR(INDEX(_TARGETS!$E$2:$E$17,MATCH($C971,_TARGETS!$A$2:$A$17,0))&amp;"","")</f>
        <v>≥</v>
      </c>
      <c r="I971" s="193" t="str">
        <f t="shared" si="91"/>
        <v/>
      </c>
      <c r="J971" s="193" t="str">
        <f t="shared" si="92"/>
        <v>YTD</v>
      </c>
      <c r="K971" s="193">
        <f>SUMIFS(Datos!$D$26:$AL$26,Datos!$D$3:$AL$3,"&gt;="&amp;DATE(YEAR(Datos!T$3),1,1),Datos!$D$3:$AL$3,"&lt;="&amp;Datos!T$3)</f>
        <v>0</v>
      </c>
      <c r="L971" s="193">
        <f>SUMIFS(Datos!$D$27:$AL$27,Datos!$D$3:$AL$3,"&gt;="&amp;DATE(YEAR(Datos!T$3),1,1),Datos!$D$3:$AL$3,"&lt;="&amp;Datos!T$3)</f>
        <v>0</v>
      </c>
      <c r="M971" s="193">
        <f>INDEX(_TARGETS!$J$2:$J$17,MATCH($C971,_TARGETS!$A$2:$A$17,0))</f>
        <v>1</v>
      </c>
      <c r="N971" s="193" t="str">
        <f>INDEX(_TARGETS!$D$2:$D$17,MATCH($C971,_TARGETS!$A$2:$A$17,0))</f>
        <v>% (fracción)</v>
      </c>
      <c r="O971" s="193" t="str">
        <f>IF(NOT(ISNUMBER(F971)),IF(SUMPRODUCT(($C$2:$C$1300=C971)*($J$2:$J$1300="Monthly")*($A$2:$A$1300&lt;=A971)*(YEAR($A$2:$A$1300)=YEAR(A971))*ISNUMBER($K$2:$K$1300)*ISNUMBER($L$2:$L$1300)*($L$2:$L$1300=0)*($K$2:$K$1300&gt;0))&gt;0,"INCOMPLETE","MISSING"),O350)</f>
        <v>MISSING</v>
      </c>
      <c r="P971" s="193" t="str">
        <f>INDEX(_TARGETS!$K$2:$K$17,MATCH($C971,_TARGETS!$A$2:$A$17,0))</f>
        <v>OPS (carga manual en Datos)</v>
      </c>
      <c r="Q971" s="193" t="str">
        <f t="shared" si="93"/>
        <v>202712|CCS|YTD</v>
      </c>
      <c r="R971" s="193" t="str">
        <f>INDEX(_TARGETS!$H$2:$H$17,MATCH($C971,_TARGETS!$A$2:$A$17,0))</f>
        <v>Definida</v>
      </c>
      <c r="S971" s="193" t="str">
        <f t="shared" si="94"/>
        <v/>
      </c>
      <c r="T971" s="193" t="str">
        <f t="shared" si="95"/>
        <v/>
      </c>
    </row>
    <row r="972" spans="1:20" ht="14.25" customHeight="1" x14ac:dyDescent="0.3">
      <c r="A972" s="249">
        <f>KPIs!$T$3</f>
        <v>46722</v>
      </c>
      <c r="B972" s="193" t="str">
        <f>KPIs!T$4</f>
        <v>Compresora</v>
      </c>
      <c r="C972" t="s">
        <v>91</v>
      </c>
      <c r="D972" s="193" t="str">
        <f>KPIs!$A$48</f>
        <v>13 · Días promedio para cerrar hallazgos · YTD</v>
      </c>
      <c r="E972" t="s">
        <v>601</v>
      </c>
      <c r="F972" s="251" t="str">
        <f>IF(ISNUMBER(KPIs!T48),KPIs!T48,"")</f>
        <v/>
      </c>
      <c r="G972" s="193" t="str">
        <f>IF(ISNUMBER(KPIs!$C$48),KPIs!$C$48,"")</f>
        <v/>
      </c>
      <c r="H972" s="193" t="str">
        <f>IFERROR(INDEX(_TARGETS!$E$2:$E$17,MATCH($C972,_TARGETS!$A$2:$A$17,0))&amp;"","")</f>
        <v>≤</v>
      </c>
      <c r="I972" s="193" t="str">
        <f t="shared" si="91"/>
        <v/>
      </c>
      <c r="J972" s="193" t="str">
        <f t="shared" si="92"/>
        <v>YTD</v>
      </c>
      <c r="K972" s="193">
        <f>SUMIFS(Datos!$D$68:$AL$68,Datos!$D$3:$AL$3,"&gt;="&amp;DATE(YEAR(Datos!T$3),1,1),Datos!$D$3:$AL$3,"&lt;="&amp;Datos!T$3)</f>
        <v>0</v>
      </c>
      <c r="L972" s="193">
        <f>SUMIFS(Datos!$D$67:$AL$67,Datos!$D$3:$AL$3,"&gt;="&amp;DATE(YEAR(Datos!T$3),1,1),Datos!$D$3:$AL$3,"&lt;="&amp;Datos!T$3)</f>
        <v>0</v>
      </c>
      <c r="M972" s="193">
        <f>INDEX(_TARGETS!$J$2:$J$17,MATCH($C972,_TARGETS!$A$2:$A$17,0))</f>
        <v>1</v>
      </c>
      <c r="N972" s="193" t="str">
        <f>INDEX(_TARGETS!$D$2:$D$17,MATCH($C972,_TARGETS!$A$2:$A$17,0))</f>
        <v>días</v>
      </c>
      <c r="O972" s="193" t="str">
        <f>IF(NOT(ISNUMBER(F972)),IF(SUMPRODUCT(($C$2:$C$1300=C972)*($J$2:$J$1300="Monthly")*($A$2:$A$1300&lt;=A972)*(YEAR($A$2:$A$1300)=YEAR(A972))*ISNUMBER($K$2:$K$1300)*ISNUMBER($L$2:$L$1300)*($L$2:$L$1300=0)*($K$2:$K$1300&gt;0))&gt;0,"INCOMPLETE","MISSING"),O351)</f>
        <v>MISSING</v>
      </c>
      <c r="P972" s="193" t="str">
        <f>INDEX(_TARGETS!$K$2:$K$17,MATCH($C972,_TARGETS!$A$2:$A$17,0))</f>
        <v>Plant Findings (hoja Observaciones-SMP)</v>
      </c>
      <c r="Q972" s="193" t="str">
        <f t="shared" si="93"/>
        <v>202712|DPAS|YTD</v>
      </c>
      <c r="R972" s="193" t="str">
        <f>INDEX(_TARGETS!$H$2:$H$17,MATCH($C972,_TARGETS!$A$2:$A$17,0))</f>
        <v>Pendiente (meta 2027)</v>
      </c>
      <c r="S972" s="193" t="str">
        <f t="shared" si="94"/>
        <v/>
      </c>
      <c r="T972" s="193" t="str">
        <f t="shared" si="95"/>
        <v/>
      </c>
    </row>
    <row r="973" spans="1:20" ht="14.25" customHeight="1" x14ac:dyDescent="0.3">
      <c r="A973" s="249">
        <f>KPIs!$T$3</f>
        <v>46722</v>
      </c>
      <c r="B973" s="193" t="str">
        <f>KPIs!T$4</f>
        <v>Compresora</v>
      </c>
      <c r="C973" t="s">
        <v>96</v>
      </c>
      <c r="D973" s="193" t="str">
        <f>KPIs!$A$49</f>
        <v>C1 · % de desvíos detectados de gravedad Alta · YTD</v>
      </c>
      <c r="E973" t="s">
        <v>601</v>
      </c>
      <c r="F973" s="193" t="str">
        <f>IF(ISNUMBER(KPIs!T49),KPIs!T49,"")</f>
        <v/>
      </c>
      <c r="G973" s="193" t="str">
        <f>IF(ISNUMBER(KPIs!$C$49),KPIs!$C$49,"")</f>
        <v/>
      </c>
      <c r="H973" s="193" t="str">
        <f>IFERROR(INDEX(_TARGETS!$E$2:$E$17,MATCH($C973,_TARGETS!$A$2:$A$17,0))&amp;"","")</f>
        <v/>
      </c>
      <c r="I973" s="193" t="str">
        <f t="shared" si="91"/>
        <v/>
      </c>
      <c r="J973" s="193" t="str">
        <f t="shared" si="92"/>
        <v>YTD</v>
      </c>
      <c r="K973" s="193">
        <f>SUMIFS(Datos!$D$71:$AL$71,Datos!$D$3:$AL$3,"&gt;="&amp;DATE(YEAR(Datos!T$3),1,1),Datos!$D$3:$AL$3,"&lt;="&amp;Datos!T$3)</f>
        <v>0</v>
      </c>
      <c r="L973" s="193">
        <f>SUMIFS(Datos!$D$71:$AL$71,Datos!$D$3:$AL$3,"&gt;="&amp;DATE(YEAR(Datos!T$3),1,1),Datos!$D$3:$AL$3,"&lt;="&amp;Datos!T$3)+SUMIFS(Datos!$D$72:$AL$72,Datos!$D$3:$AL$3,"&gt;="&amp;DATE(YEAR(Datos!T$3),1,1),Datos!$D$3:$AL$3,"&lt;="&amp;Datos!T$3)+SUMIFS(Datos!$D$73:$AL$73,Datos!$D$3:$AL$3,"&gt;="&amp;DATE(YEAR(Datos!T$3),1,1),Datos!$D$3:$AL$3,"&lt;="&amp;Datos!T$3)</f>
        <v>0</v>
      </c>
      <c r="M973" s="193">
        <f>INDEX(_TARGETS!$J$2:$J$17,MATCH($C973,_TARGETS!$A$2:$A$17,0))</f>
        <v>1</v>
      </c>
      <c r="N973" s="193" t="str">
        <f>INDEX(_TARGETS!$D$2:$D$17,MATCH($C973,_TARGETS!$A$2:$A$17,0))</f>
        <v>% (fracción)</v>
      </c>
      <c r="O973" s="193" t="str">
        <f t="shared" ref="O973:O979" si="96">IF(NOT(ISNUMBER(F973)),IF(SUMPRODUCT(($C$2:$C$1300=C973)*($J$2:$J$1300="Monthly")*($A$2:$A$1300&lt;=A973)*(YEAR($A$2:$A$1300)=YEAR(A973))*ISNUMBER($K$2:$K$1300)*ISNUMBER($L$2:$L$1300)*($L$2:$L$1300=0)*($K$2:$K$1300&gt;0))&gt;0,"INCOMPLETE","MISSING"),O357)</f>
        <v>MISSING</v>
      </c>
      <c r="P973" s="193" t="str">
        <f>INDEX(_TARGETS!$K$2:$K$17,MATCH($C973,_TARGETS!$A$2:$A$17,0))</f>
        <v>Plant Findings (hoja Observaciones-SMP)</v>
      </c>
      <c r="Q973" s="193" t="str">
        <f t="shared" si="93"/>
        <v>202712|HAL_ALTA_PCT|YTD</v>
      </c>
      <c r="R973" s="193" t="str">
        <f>INDEX(_TARGETS!$H$2:$H$17,MATCH($C973,_TARGETS!$A$2:$A$17,0))</f>
        <v>Solo reporte</v>
      </c>
      <c r="S973" s="193" t="str">
        <f t="shared" si="94"/>
        <v/>
      </c>
      <c r="T973" s="193" t="str">
        <f t="shared" si="95"/>
        <v/>
      </c>
    </row>
    <row r="974" spans="1:20" ht="14.25" customHeight="1" x14ac:dyDescent="0.3">
      <c r="A974" s="249">
        <f>KPIs!$T$3</f>
        <v>46722</v>
      </c>
      <c r="B974" s="193" t="str">
        <f>KPIs!T$4</f>
        <v>Compresora</v>
      </c>
      <c r="C974" t="s">
        <v>98</v>
      </c>
      <c r="D974" s="193" t="str">
        <f>KPIs!$A$50</f>
        <v>C2 · Detenciones de tareas aplicadas · YTD</v>
      </c>
      <c r="E974" t="s">
        <v>601</v>
      </c>
      <c r="F974" s="193" t="str">
        <f>IF(ISNUMBER(KPIs!T50),KPIs!T50,"")</f>
        <v/>
      </c>
      <c r="G974" s="193" t="str">
        <f>IF(ISNUMBER(KPIs!$C$50),KPIs!$C$50,"")</f>
        <v/>
      </c>
      <c r="H974" s="193" t="str">
        <f>IFERROR(INDEX(_TARGETS!$E$2:$E$17,MATCH($C974,_TARGETS!$A$2:$A$17,0))&amp;"","")</f>
        <v/>
      </c>
      <c r="I974" s="193" t="str">
        <f t="shared" si="91"/>
        <v/>
      </c>
      <c r="J974" s="193" t="str">
        <f t="shared" si="92"/>
        <v>YTD</v>
      </c>
      <c r="K974" s="193">
        <f>SUMIFS(Datos!$D$75:$AL$75,Datos!$D$3:$AL$3,"&gt;="&amp;DATE(YEAR(Datos!T$3),1,1),Datos!$D$3:$AL$3,"&lt;="&amp;Datos!T$3)</f>
        <v>0</v>
      </c>
      <c r="M974" s="193">
        <f>INDEX(_TARGETS!$J$2:$J$17,MATCH($C974,_TARGETS!$A$2:$A$17,0))</f>
        <v>1</v>
      </c>
      <c r="N974" s="193" t="str">
        <f>INDEX(_TARGETS!$D$2:$D$17,MATCH($C974,_TARGETS!$A$2:$A$17,0))</f>
        <v>u</v>
      </c>
      <c r="O974" s="193" t="str">
        <f t="shared" si="96"/>
        <v>MISSING</v>
      </c>
      <c r="P974" s="193" t="str">
        <f>INDEX(_TARGETS!$K$2:$K$17,MATCH($C974,_TARGETS!$A$2:$A$17,0))</f>
        <v>Plant Findings (hoja Observaciones-SMP)</v>
      </c>
      <c r="Q974" s="193" t="str">
        <f t="shared" si="93"/>
        <v>202712|DET|YTD</v>
      </c>
      <c r="R974" s="193" t="str">
        <f>INDEX(_TARGETS!$H$2:$H$17,MATCH($C974,_TARGETS!$A$2:$A$17,0))</f>
        <v>Solo reporte</v>
      </c>
      <c r="S974" s="193">
        <f t="shared" si="94"/>
        <v>0</v>
      </c>
      <c r="T974" s="193" t="str">
        <f t="shared" si="95"/>
        <v/>
      </c>
    </row>
    <row r="975" spans="1:20" ht="14.25" customHeight="1" x14ac:dyDescent="0.3">
      <c r="A975" s="249">
        <f>KPIs!$U$3</f>
        <v>46753</v>
      </c>
      <c r="B975" s="193" t="str">
        <f>KPIs!U$4</f>
        <v>Compresora</v>
      </c>
      <c r="C975" t="s">
        <v>39</v>
      </c>
      <c r="D975" s="193" t="str">
        <f>KPIs!$A$37</f>
        <v>1 · Frecuencia de casos con días perdidos · YTD</v>
      </c>
      <c r="E975" t="s">
        <v>601</v>
      </c>
      <c r="F975" s="193" t="str">
        <f>IF(ISNUMBER(KPIs!U37),KPIs!U37,"")</f>
        <v/>
      </c>
      <c r="G975" s="250">
        <f>IF(ISNUMBER(KPIs!$C$37),KPIs!$C$37,"")</f>
        <v>0</v>
      </c>
      <c r="H975" s="193" t="str">
        <f>IFERROR(INDEX(_TARGETS!$E$2:$E$17,MATCH($C975,_TARGETS!$A$2:$A$17,0))&amp;"","")</f>
        <v>≤</v>
      </c>
      <c r="I975" s="193" t="str">
        <f t="shared" si="91"/>
        <v/>
      </c>
      <c r="J975" s="193" t="str">
        <f t="shared" si="92"/>
        <v>YTD</v>
      </c>
      <c r="K975" s="193">
        <f>SUMIFS(Datos!$D$33:$AL$33,Datos!$D$3:$AL$3,"&gt;="&amp;DATE(YEAR(Datos!U$3),1,1),Datos!$D$3:$AL$3,"&lt;="&amp;Datos!U$3)</f>
        <v>0</v>
      </c>
      <c r="L975" s="193">
        <f>SUMIFS(Datos!$D$14:$AL$14,Datos!$D$3:$AL$3,"&gt;="&amp;DATE(YEAR(Datos!U$3),1,1),Datos!$D$3:$AL$3,"&lt;="&amp;Datos!U$3)</f>
        <v>0</v>
      </c>
      <c r="M975" s="193">
        <f>INDEX(_TARGETS!$J$2:$J$17,MATCH($C975,_TARGETS!$A$2:$A$17,0))</f>
        <v>1000000</v>
      </c>
      <c r="N975" s="193" t="str">
        <f>INDEX(_TARGETS!$D$2:$D$17,MATCH($C975,_TARGETS!$A$2:$A$17,0))</f>
        <v>casos / 10^6 HH</v>
      </c>
      <c r="O975" s="193" t="str">
        <f t="shared" si="96"/>
        <v>MISSING</v>
      </c>
      <c r="P975" s="193" t="str">
        <f>INDEX(_TARGETS!$K$2:$K$17,MATCH($C975,_TARGETS!$A$2:$A$17,0))</f>
        <v>OPS (carga manual en Datos)</v>
      </c>
      <c r="Q975" s="193" t="str">
        <f t="shared" si="93"/>
        <v>202801|DAFWCF|YTD</v>
      </c>
      <c r="R975" s="193" t="str">
        <f>INDEX(_TARGETS!$H$2:$H$17,MATCH($C975,_TARGETS!$A$2:$A$17,0))</f>
        <v>Definida</v>
      </c>
      <c r="S975" s="193" t="str">
        <f t="shared" si="94"/>
        <v/>
      </c>
      <c r="T975" s="193" t="str">
        <f t="shared" si="95"/>
        <v/>
      </c>
    </row>
    <row r="976" spans="1:20" ht="14.25" customHeight="1" x14ac:dyDescent="0.3">
      <c r="A976" s="249">
        <f>KPIs!$U$3</f>
        <v>46753</v>
      </c>
      <c r="B976" s="193" t="str">
        <f>KPIs!U$4</f>
        <v>Compresora</v>
      </c>
      <c r="C976" t="s">
        <v>49</v>
      </c>
      <c r="D976" s="193" t="str">
        <f>KPIs!$A$38</f>
        <v>2 · Frecuencia de casos registrables · YTD</v>
      </c>
      <c r="E976" t="s">
        <v>601</v>
      </c>
      <c r="F976" s="193" t="str">
        <f>IF(ISNUMBER(KPIs!U38),KPIs!U38,"")</f>
        <v/>
      </c>
      <c r="G976" s="250">
        <f>IF(ISNUMBER(KPIs!$C$38),KPIs!$C$38,"")</f>
        <v>2.35</v>
      </c>
      <c r="H976" s="193" t="str">
        <f>IFERROR(INDEX(_TARGETS!$E$2:$E$17,MATCH($C976,_TARGETS!$A$2:$A$17,0))&amp;"","")</f>
        <v>≤</v>
      </c>
      <c r="I976" s="193" t="str">
        <f t="shared" si="91"/>
        <v/>
      </c>
      <c r="J976" s="193" t="str">
        <f t="shared" si="92"/>
        <v>YTD</v>
      </c>
      <c r="K976" s="193">
        <f>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f>
        <v>0</v>
      </c>
      <c r="L976" s="193">
        <f>SUMIFS(Datos!$D$14:$AL$14,Datos!$D$3:$AL$3,"&gt;="&amp;DATE(YEAR(Datos!U$3),1,1),Datos!$D$3:$AL$3,"&lt;="&amp;Datos!U$3)</f>
        <v>0</v>
      </c>
      <c r="M976" s="193">
        <f>INDEX(_TARGETS!$J$2:$J$17,MATCH($C976,_TARGETS!$A$2:$A$17,0))</f>
        <v>1000000</v>
      </c>
      <c r="N976" s="193" t="str">
        <f>INDEX(_TARGETS!$D$2:$D$17,MATCH($C976,_TARGETS!$A$2:$A$17,0))</f>
        <v>casos / 10^6 HH</v>
      </c>
      <c r="O976" s="193" t="str">
        <f t="shared" si="96"/>
        <v>MISSING</v>
      </c>
      <c r="P976" s="193" t="str">
        <f>INDEX(_TARGETS!$K$2:$K$17,MATCH($C976,_TARGETS!$A$2:$A$17,0))</f>
        <v>OPS (carga manual en Datos)</v>
      </c>
      <c r="Q976" s="193" t="str">
        <f t="shared" si="93"/>
        <v>202801|TRICF|YTD</v>
      </c>
      <c r="R976" s="193" t="str">
        <f>INDEX(_TARGETS!$H$2:$H$17,MATCH($C976,_TARGETS!$A$2:$A$17,0))</f>
        <v>Definida</v>
      </c>
      <c r="S976" s="193" t="str">
        <f t="shared" si="94"/>
        <v/>
      </c>
      <c r="T976" s="193" t="str">
        <f t="shared" si="95"/>
        <v/>
      </c>
    </row>
    <row r="977" spans="1:20" ht="14.25" customHeight="1" x14ac:dyDescent="0.3">
      <c r="A977" s="249">
        <f>KPIs!$U$3</f>
        <v>46753</v>
      </c>
      <c r="B977" s="193" t="str">
        <f>KPIs!U$4</f>
        <v>Compresora</v>
      </c>
      <c r="C977" t="s">
        <v>51</v>
      </c>
      <c r="D977" s="193" t="str">
        <f>KPIs!$A$39</f>
        <v>3 · Casos de primeros auxilios · YTD</v>
      </c>
      <c r="E977" t="s">
        <v>601</v>
      </c>
      <c r="F977" s="193" t="str">
        <f>IF(ISNUMBER(KPIs!U39),KPIs!U39,"")</f>
        <v/>
      </c>
      <c r="G977" s="193" t="str">
        <f>IF(ISNUMBER(KPIs!$C$39),KPIs!$C$39,"")</f>
        <v/>
      </c>
      <c r="H977" s="193" t="str">
        <f>IFERROR(INDEX(_TARGETS!$E$2:$E$17,MATCH($C977,_TARGETS!$A$2:$A$17,0))&amp;"","")</f>
        <v/>
      </c>
      <c r="I977" s="193" t="str">
        <f t="shared" si="91"/>
        <v/>
      </c>
      <c r="J977" s="193" t="str">
        <f t="shared" si="92"/>
        <v>YTD</v>
      </c>
      <c r="K977" s="193">
        <f>SUMIFS(Datos!$D$37:$AL$37,Datos!$D$3:$AL$3,"&gt;="&amp;DATE(YEAR(Datos!U$3),1,1),Datos!$D$3:$AL$3,"&lt;="&amp;Datos!U$3)</f>
        <v>0</v>
      </c>
      <c r="M977" s="193">
        <f>INDEX(_TARGETS!$J$2:$J$17,MATCH($C977,_TARGETS!$A$2:$A$17,0))</f>
        <v>1</v>
      </c>
      <c r="N977" s="193" t="str">
        <f>INDEX(_TARGETS!$D$2:$D$17,MATCH($C977,_TARGETS!$A$2:$A$17,0))</f>
        <v>casos</v>
      </c>
      <c r="O977" s="193" t="str">
        <f t="shared" si="96"/>
        <v>MISSING</v>
      </c>
      <c r="P977" s="193" t="str">
        <f>INDEX(_TARGETS!$K$2:$K$17,MATCH($C977,_TARGETS!$A$2:$A$17,0))</f>
        <v>OPS (carga manual en Datos)</v>
      </c>
      <c r="Q977" s="193" t="str">
        <f t="shared" si="93"/>
        <v>202801|FAC|YTD</v>
      </c>
      <c r="R977" s="193" t="str">
        <f>INDEX(_TARGETS!$H$2:$H$17,MATCH($C977,_TARGETS!$A$2:$A$17,0))</f>
        <v>Solo reporte</v>
      </c>
      <c r="S977" s="193">
        <f t="shared" si="94"/>
        <v>0</v>
      </c>
      <c r="T977" s="193" t="str">
        <f t="shared" si="95"/>
        <v/>
      </c>
    </row>
    <row r="978" spans="1:20" ht="14.25" customHeight="1" x14ac:dyDescent="0.3">
      <c r="A978" s="249">
        <f>KPIs!$U$3</f>
        <v>46753</v>
      </c>
      <c r="B978" s="193" t="str">
        <f>KPIs!U$4</f>
        <v>Compresora</v>
      </c>
      <c r="C978" t="s">
        <v>57</v>
      </c>
      <c r="D978" s="193" t="str">
        <f>KPIs!$A$40</f>
        <v>4 · Accidentes vehiculares severos por millón de km · YTD</v>
      </c>
      <c r="E978" t="s">
        <v>601</v>
      </c>
      <c r="F978" s="193" t="str">
        <f>IF(ISNUMBER(KPIs!U40),KPIs!U40,"")</f>
        <v/>
      </c>
      <c r="G978" s="193" t="str">
        <f>IF(ISNUMBER(KPIs!$C$40),KPIs!$C$40,"")</f>
        <v/>
      </c>
      <c r="H978" s="193" t="str">
        <f>IFERROR(INDEX(_TARGETS!$E$2:$E$17,MATCH($C978,_TARGETS!$A$2:$A$17,0))&amp;"","")</f>
        <v/>
      </c>
      <c r="I978" s="193" t="str">
        <f t="shared" si="91"/>
        <v/>
      </c>
      <c r="J978" s="193" t="str">
        <f t="shared" si="92"/>
        <v>YTD</v>
      </c>
      <c r="K978" s="193">
        <f>SUMIFS(Datos!$D$39:$AL$39,Datos!$D$3:$AL$3,"&gt;="&amp;DATE(YEAR(Datos!U$3),1,1),Datos!$D$3:$AL$3,"&lt;="&amp;Datos!U$3)+SUMIFS(Datos!$D$40:$AL$40,Datos!$D$3:$AL$3,"&gt;="&amp;DATE(YEAR(Datos!U$3),1,1),Datos!$D$3:$AL$3,"&lt;="&amp;Datos!U$3)+SUMIFS(Datos!$D$41:$AL$41,Datos!$D$3:$AL$3,"&gt;="&amp;DATE(YEAR(Datos!U$3),1,1),Datos!$D$3:$AL$3,"&lt;="&amp;Datos!U$3)</f>
        <v>0</v>
      </c>
      <c r="L978" s="193">
        <f>SUMIFS(Datos!$D$47:$AL$47,Datos!$D$3:$AL$3,"&gt;="&amp;DATE(YEAR(Datos!U$3),1,1),Datos!$D$3:$AL$3,"&lt;="&amp;Datos!U$3)</f>
        <v>0</v>
      </c>
      <c r="M978" s="193">
        <f>INDEX(_TARGETS!$J$2:$J$17,MATCH($C978,_TARGETS!$A$2:$A$17,0))</f>
        <v>1000000</v>
      </c>
      <c r="N978" s="193" t="str">
        <f>INDEX(_TARGETS!$D$2:$D$17,MATCH($C978,_TARGETS!$A$2:$A$17,0))</f>
        <v>eventos / 10^6 km</v>
      </c>
      <c r="O978" s="193" t="str">
        <f t="shared" si="96"/>
        <v>MISSING</v>
      </c>
      <c r="P978" s="193" t="str">
        <f>INDEX(_TARGETS!$K$2:$K$17,MATCH($C978,_TARGETS!$A$2:$A$17,0))</f>
        <v>OPS (eventos) + Full Control GPS (km) - carga manual en Datos</v>
      </c>
      <c r="Q978" s="193" t="str">
        <f t="shared" si="93"/>
        <v>202801|SVCR|YTD</v>
      </c>
      <c r="R978" s="193" t="str">
        <f>INDEX(_TARGETS!$H$2:$H$17,MATCH($C978,_TARGETS!$A$2:$A$17,0))</f>
        <v>Solo reporte</v>
      </c>
      <c r="S978" s="193" t="str">
        <f t="shared" si="94"/>
        <v/>
      </c>
      <c r="T978" s="193" t="str">
        <f t="shared" si="95"/>
        <v/>
      </c>
    </row>
    <row r="979" spans="1:20" ht="14.25" customHeight="1" x14ac:dyDescent="0.3">
      <c r="A979" s="249">
        <f>KPIs!$U$3</f>
        <v>46753</v>
      </c>
      <c r="B979" s="193" t="str">
        <f>KPIs!U$4</f>
        <v>Compresora</v>
      </c>
      <c r="C979" t="s">
        <v>61</v>
      </c>
      <c r="D979" s="193" t="str">
        <f>KPIs!$A$41</f>
        <v>5 · Accidentes vehiculares totales por millón de km · YTD</v>
      </c>
      <c r="E979" t="s">
        <v>601</v>
      </c>
      <c r="F979" s="193" t="str">
        <f>IF(ISNUMBER(KPIs!U41),KPIs!U41,"")</f>
        <v/>
      </c>
      <c r="G979" s="250">
        <f>IF(ISNUMBER(KPIs!$C$41),KPIs!$C$41,"")</f>
        <v>0.79</v>
      </c>
      <c r="H979" s="193" t="str">
        <f>IFERROR(INDEX(_TARGETS!$E$2:$E$17,MATCH($C979,_TARGETS!$A$2:$A$17,0))&amp;"","")</f>
        <v>≤</v>
      </c>
      <c r="I979" s="193" t="str">
        <f t="shared" si="91"/>
        <v/>
      </c>
      <c r="J979" s="193" t="str">
        <f t="shared" si="92"/>
        <v>YTD</v>
      </c>
      <c r="K979" s="193">
        <f>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f>
        <v>0</v>
      </c>
      <c r="L979" s="193">
        <f>SUMIFS(Datos!$D$47:$AL$47,Datos!$D$3:$AL$3,"&gt;="&amp;DATE(YEAR(Datos!U$3),1,1),Datos!$D$3:$AL$3,"&lt;="&amp;Datos!U$3)</f>
        <v>0</v>
      </c>
      <c r="M979" s="193">
        <f>INDEX(_TARGETS!$J$2:$J$17,MATCH($C979,_TARGETS!$A$2:$A$17,0))</f>
        <v>1000000</v>
      </c>
      <c r="N979" s="193" t="str">
        <f>INDEX(_TARGETS!$D$2:$D$17,MATCH($C979,_TARGETS!$A$2:$A$17,0))</f>
        <v>eventos / 10^6 km</v>
      </c>
      <c r="O979" s="193" t="str">
        <f t="shared" si="96"/>
        <v>MISSING</v>
      </c>
      <c r="P979" s="193" t="str">
        <f>INDEX(_TARGETS!$K$2:$K$17,MATCH($C979,_TARGETS!$A$2:$A$17,0))</f>
        <v>OPS (eventos) + Full Control GPS (km) - carga manual en Datos</v>
      </c>
      <c r="Q979" s="193" t="str">
        <f t="shared" si="93"/>
        <v>202801|TVCR|YTD</v>
      </c>
      <c r="R979" s="193" t="str">
        <f>INDEX(_TARGETS!$H$2:$H$17,MATCH($C979,_TARGETS!$A$2:$A$17,0))</f>
        <v>Definida</v>
      </c>
      <c r="S979" s="193" t="str">
        <f t="shared" si="94"/>
        <v/>
      </c>
      <c r="T979" s="193" t="str">
        <f t="shared" si="95"/>
        <v/>
      </c>
    </row>
    <row r="980" spans="1:20" ht="14.25" customHeight="1" x14ac:dyDescent="0.3">
      <c r="A980" s="249">
        <f>KPIs!$U$3</f>
        <v>46753</v>
      </c>
      <c r="B980" s="193" t="str">
        <f>KPIs!U$4</f>
        <v>Compresora</v>
      </c>
      <c r="C980" t="s">
        <v>71</v>
      </c>
      <c r="D980" s="193" t="str">
        <f>KPIs!$A$42</f>
        <v>7 · Investigaciones de accidentes: días promedio de cierre · YTD</v>
      </c>
      <c r="E980" t="s">
        <v>601</v>
      </c>
      <c r="F980" s="193" t="str">
        <f>IF(ISNUMBER(KPIs!U42),KPIs!U42,"")</f>
        <v/>
      </c>
      <c r="G980" s="251">
        <f>IF(ISNUMBER(KPIs!$C$42),KPIs!$C$42,"")</f>
        <v>20</v>
      </c>
      <c r="H980" s="193" t="str">
        <f>IFERROR(INDEX(_TARGETS!$E$2:$E$17,MATCH($C980,_TARGETS!$A$2:$A$17,0))&amp;"","")</f>
        <v>≤</v>
      </c>
      <c r="I980" s="193" t="str">
        <f t="shared" si="91"/>
        <v/>
      </c>
      <c r="J980" s="193" t="str">
        <f t="shared" si="92"/>
        <v>YTD</v>
      </c>
      <c r="K980" s="193">
        <f>SUMIFS(Datos!$D$31:$AL$31,Datos!$D$3:$AL$3,"&gt;="&amp;DATE(YEAR(Datos!U$3),1,1),Datos!$D$3:$AL$3,"&lt;="&amp;Datos!U$3)</f>
        <v>0</v>
      </c>
      <c r="L980" s="193">
        <f>SUMIFS(Datos!$D$30:$AL$30,Datos!$D$3:$AL$3,"&gt;="&amp;DATE(YEAR(Datos!U$3),1,1),Datos!$D$3:$AL$3,"&lt;="&amp;Datos!U$3)</f>
        <v>0</v>
      </c>
      <c r="M980" s="193">
        <f>INDEX(_TARGETS!$J$2:$J$17,MATCH($C980,_TARGETS!$A$2:$A$17,0))</f>
        <v>1</v>
      </c>
      <c r="N980" s="193" t="str">
        <f>INDEX(_TARGETS!$D$2:$D$17,MATCH($C980,_TARGETS!$A$2:$A$17,0))</f>
        <v>días</v>
      </c>
      <c r="O980" s="193" t="str">
        <f>IF(NOT(ISNUMBER(F980)),IF(SUMPRODUCT(($C$2:$C$1300=C980)*($J$2:$J$1300="Monthly")*($A$2:$A$1300&lt;=A980)*(YEAR($A$2:$A$1300)=YEAR(A980))*ISNUMBER($K$2:$K$1300)*ISNUMBER($L$2:$L$1300)*($L$2:$L$1300=0)*($K$2:$K$1300&gt;0))&gt;0,"INCOMPLETE","MISSING"),O365)</f>
        <v>MISSING</v>
      </c>
      <c r="P980" s="193" t="str">
        <f>INDEX(_TARGETS!$K$2:$K$17,MATCH($C980,_TARGETS!$A$2:$A$17,0))</f>
        <v>OPS (carga manual en Datos)</v>
      </c>
      <c r="Q980" s="193" t="str">
        <f t="shared" si="93"/>
        <v>202801|INV|YTD</v>
      </c>
      <c r="R980" s="193" t="str">
        <f>INDEX(_TARGETS!$H$2:$H$17,MATCH($C980,_TARGETS!$A$2:$A$17,0))</f>
        <v>Definida</v>
      </c>
      <c r="S980" s="193" t="str">
        <f t="shared" si="94"/>
        <v/>
      </c>
      <c r="T980" s="193" t="str">
        <f t="shared" si="95"/>
        <v/>
      </c>
    </row>
    <row r="981" spans="1:20" ht="14.25" customHeight="1" x14ac:dyDescent="0.3">
      <c r="A981" s="249">
        <f>KPIs!$U$3</f>
        <v>46753</v>
      </c>
      <c r="B981" s="193" t="str">
        <f>KPIs!U$4</f>
        <v>Compresora</v>
      </c>
      <c r="C981" t="s">
        <v>76</v>
      </c>
      <c r="D981" s="193" t="str">
        <f>KPIs!$A$43</f>
        <v>8 · % de capacitación en seguridad · YTD</v>
      </c>
      <c r="E981" t="s">
        <v>601</v>
      </c>
      <c r="F981" s="193" t="str">
        <f>IF(ISNUMBER(KPIs!U43),KPIs!U43,"")</f>
        <v/>
      </c>
      <c r="G981" s="252">
        <f>IF(ISNUMBER(KPIs!$C$43),KPIs!$C$43,"")</f>
        <v>0.01</v>
      </c>
      <c r="H981" s="193" t="str">
        <f>IFERROR(INDEX(_TARGETS!$E$2:$E$17,MATCH($C981,_TARGETS!$A$2:$A$17,0))&amp;"","")</f>
        <v>≥</v>
      </c>
      <c r="I981" s="193" t="str">
        <f t="shared" si="91"/>
        <v/>
      </c>
      <c r="J981" s="193" t="str">
        <f t="shared" si="92"/>
        <v>YTD</v>
      </c>
      <c r="K981" s="193">
        <f>SUMIFS(Datos!$D$18:$AL$18,Datos!$D$3:$AL$3,"&gt;="&amp;DATE(YEAR(Datos!U$3),1,1),Datos!$D$3:$AL$3,"&lt;="&amp;Datos!U$3)</f>
        <v>0</v>
      </c>
      <c r="L981" s="193">
        <f>SUMIFS(Datos!$D$14:$AL$14,Datos!$D$3:$AL$3,"&gt;="&amp;DATE(YEAR(Datos!U$3),1,1),Datos!$D$3:$AL$3,"&lt;="&amp;Datos!U$3)</f>
        <v>0</v>
      </c>
      <c r="M981" s="193">
        <f>INDEX(_TARGETS!$J$2:$J$17,MATCH($C981,_TARGETS!$A$2:$A$17,0))</f>
        <v>1</v>
      </c>
      <c r="N981" s="193" t="str">
        <f>INDEX(_TARGETS!$D$2:$D$17,MATCH($C981,_TARGETS!$A$2:$A$17,0))</f>
        <v>% (fracción)</v>
      </c>
      <c r="O981" s="193" t="str">
        <f>IF(NOT(ISNUMBER(F981)),IF(SUMPRODUCT(($C$2:$C$1300=C981)*($J$2:$J$1300="Monthly")*($A$2:$A$1300&lt;=A981)*(YEAR($A$2:$A$1300)=YEAR(A981))*ISNUMBER($K$2:$K$1300)*ISNUMBER($L$2:$L$1300)*($L$2:$L$1300=0)*($K$2:$K$1300&gt;0))&gt;0,"INCOMPLETE","MISSING"),O366)</f>
        <v>MISSING</v>
      </c>
      <c r="P981" s="193" t="str">
        <f>INDEX(_TARGETS!$K$2:$K$17,MATCH($C981,_TARGETS!$A$2:$A$17,0))</f>
        <v>OPS (carga manual en Datos)</v>
      </c>
      <c r="Q981" s="193" t="str">
        <f t="shared" si="93"/>
        <v>202801|HCS|YTD</v>
      </c>
      <c r="R981" s="193" t="str">
        <f>INDEX(_TARGETS!$H$2:$H$17,MATCH($C981,_TARGETS!$A$2:$A$17,0))</f>
        <v>Definida</v>
      </c>
      <c r="S981" s="193" t="str">
        <f t="shared" si="94"/>
        <v/>
      </c>
      <c r="T981" s="193" t="str">
        <f t="shared" si="95"/>
        <v/>
      </c>
    </row>
    <row r="982" spans="1:20" ht="14.25" customHeight="1" x14ac:dyDescent="0.3">
      <c r="A982" s="249">
        <f>KPIs!$U$3</f>
        <v>46753</v>
      </c>
      <c r="B982" s="193" t="str">
        <f>KPIs!U$4</f>
        <v>Compresora</v>
      </c>
      <c r="C982" t="s">
        <v>83</v>
      </c>
      <c r="D982" s="193" t="str">
        <f>KPIs!$A$44</f>
        <v>10 · Cumplimiento de simulacros (emergencia y operativos) · YTD</v>
      </c>
      <c r="E982" t="s">
        <v>601</v>
      </c>
      <c r="F982" s="193" t="str">
        <f>IF(ISNUMBER(KPIs!U44),KPIs!U44,"")</f>
        <v/>
      </c>
      <c r="G982" s="253">
        <f>IF(ISNUMBER(KPIs!$C$44),KPIs!$C$44,"")</f>
        <v>1</v>
      </c>
      <c r="H982" s="193" t="str">
        <f>IFERROR(INDEX(_TARGETS!$E$2:$E$17,MATCH($C982,_TARGETS!$A$2:$A$17,0))&amp;"","")</f>
        <v>≥</v>
      </c>
      <c r="I982" s="193" t="str">
        <f t="shared" si="91"/>
        <v/>
      </c>
      <c r="J982" s="193" t="str">
        <f t="shared" si="92"/>
        <v>YTD</v>
      </c>
      <c r="K982" s="193">
        <f>SUMIFS(Datos!$D$20:$AL$20,Datos!$D$3:$AL$3,"&gt;="&amp;DATE(YEAR(Datos!U$3),1,1),Datos!$D$3:$AL$3,"&lt;="&amp;Datos!U$3)</f>
        <v>0</v>
      </c>
      <c r="L982" s="193">
        <f>SUMIFS(Datos!$D$21:$AL$21,Datos!$D$3:$AL$3,"&gt;="&amp;DATE(YEAR(Datos!U$3),1,1),Datos!$D$3:$AL$3,"&lt;="&amp;Datos!U$3)</f>
        <v>0</v>
      </c>
      <c r="M982" s="193">
        <f>INDEX(_TARGETS!$J$2:$J$17,MATCH($C982,_TARGETS!$A$2:$A$17,0))</f>
        <v>1</v>
      </c>
      <c r="N982" s="193" t="str">
        <f>INDEX(_TARGETS!$D$2:$D$17,MATCH($C982,_TARGETS!$A$2:$A$17,0))</f>
        <v>% (fracción)</v>
      </c>
      <c r="O982" s="193" t="str">
        <f>IF(NOT(ISNUMBER(F982)),IF(SUMPRODUCT(($C$2:$C$1300=C982)*($J$2:$J$1300="Monthly")*($A$2:$A$1300&lt;=A982)*(YEAR($A$2:$A$1300)=YEAR(A982))*ISNUMBER($K$2:$K$1300)*ISNUMBER($L$2:$L$1300)*($L$2:$L$1300=0)*($K$2:$K$1300&gt;0))&gt;0,"INCOMPLETE","MISSING"),O368)</f>
        <v>MISSING</v>
      </c>
      <c r="P982" s="193" t="str">
        <f>INDEX(_TARGETS!$K$2:$K$17,MATCH($C982,_TARGETS!$A$2:$A$17,0))</f>
        <v>OPS (carga manual en Datos)</v>
      </c>
      <c r="Q982" s="193" t="str">
        <f t="shared" si="93"/>
        <v>202801|CPSE|YTD</v>
      </c>
      <c r="R982" s="193" t="str">
        <f>INDEX(_TARGETS!$H$2:$H$17,MATCH($C982,_TARGETS!$A$2:$A$17,0))</f>
        <v>Definida</v>
      </c>
      <c r="S982" s="193" t="str">
        <f t="shared" si="94"/>
        <v/>
      </c>
      <c r="T982" s="193" t="str">
        <f t="shared" si="95"/>
        <v/>
      </c>
    </row>
    <row r="983" spans="1:20" ht="14.25" customHeight="1" x14ac:dyDescent="0.3">
      <c r="A983" s="249">
        <f>KPIs!$U$3</f>
        <v>46753</v>
      </c>
      <c r="B983" s="193" t="str">
        <f>KPIs!U$4</f>
        <v>Compresora</v>
      </c>
      <c r="C983" t="s">
        <v>85</v>
      </c>
      <c r="D983" s="193" t="str">
        <f>KPIs!$A$45</f>
        <v>10b · Cumplimiento de acciones de mejora de simulacros · YTD</v>
      </c>
      <c r="E983" t="s">
        <v>601</v>
      </c>
      <c r="F983" s="193" t="str">
        <f>IF(ISNUMBER(KPIs!U45),KPIs!U45,"")</f>
        <v/>
      </c>
      <c r="G983" s="254" t="str">
        <f>IF(ISNUMBER(KPIs!$C$45),KPIs!$C$45,"")</f>
        <v/>
      </c>
      <c r="H983" s="193" t="str">
        <f>IFERROR(INDEX(_TARGETS!$E$2:$E$17,MATCH($C983,_TARGETS!$A$2:$A$17,0))&amp;"","")</f>
        <v/>
      </c>
      <c r="I983" s="193" t="str">
        <f t="shared" si="91"/>
        <v/>
      </c>
      <c r="J983" s="193" t="str">
        <f t="shared" si="92"/>
        <v>YTD</v>
      </c>
      <c r="K983" s="193">
        <f>SUMIFS(Datos!$D$23:$AL$23,Datos!$D$3:$AL$3,"&gt;="&amp;DATE(YEAR(Datos!U$3),1,1),Datos!$D$3:$AL$3,"&lt;="&amp;Datos!U$3)</f>
        <v>0</v>
      </c>
      <c r="L983" s="193">
        <f>SUMIFS(Datos!$D$22:$AL$22,Datos!$D$3:$AL$3,"&gt;="&amp;DATE(YEAR(Datos!U$3),1,1),Datos!$D$3:$AL$3,"&lt;="&amp;Datos!U$3)</f>
        <v>0</v>
      </c>
      <c r="M983" s="193">
        <f>INDEX(_TARGETS!$J$2:$J$17,MATCH($C983,_TARGETS!$A$2:$A$17,0))</f>
        <v>1</v>
      </c>
      <c r="N983" s="193" t="str">
        <f>INDEX(_TARGETS!$D$2:$D$17,MATCH($C983,_TARGETS!$A$2:$A$17,0))</f>
        <v>% (fracción)</v>
      </c>
      <c r="O983" s="193" t="str">
        <f>IF(NOT(ISNUMBER(F983)),IF(SUMPRODUCT(($C$2:$C$1300=C983)*($J$2:$J$1300="Monthly")*($A$2:$A$1300&lt;=A983)*(YEAR($A$2:$A$1300)=YEAR(A983))*ISNUMBER($K$2:$K$1300)*ISNUMBER($L$2:$L$1300)*($L$2:$L$1300=0)*($K$2:$K$1300&gt;0))&gt;0,"INCOMPLETE","MISSING"),O369)</f>
        <v>MISSING</v>
      </c>
      <c r="P983" s="193" t="str">
        <f>INDEX(_TARGETS!$K$2:$K$17,MATCH($C983,_TARGETS!$A$2:$A$17,0))</f>
        <v>OPS (carga manual en Datos)</v>
      </c>
      <c r="Q983" s="193" t="str">
        <f t="shared" si="93"/>
        <v>202801|CAMS|YTD</v>
      </c>
      <c r="R983" s="193" t="str">
        <f>INDEX(_TARGETS!$H$2:$H$17,MATCH($C983,_TARGETS!$A$2:$A$17,0))</f>
        <v>Solo reporte</v>
      </c>
      <c r="S983" s="193" t="str">
        <f t="shared" si="94"/>
        <v/>
      </c>
      <c r="T983" s="193" t="str">
        <f t="shared" si="95"/>
        <v/>
      </c>
    </row>
    <row r="984" spans="1:20" ht="14.25" customHeight="1" x14ac:dyDescent="0.3">
      <c r="A984" s="249">
        <f>KPIs!$U$3</f>
        <v>46753</v>
      </c>
      <c r="B984" s="193" t="str">
        <f>KPIs!U$4</f>
        <v>Compresora</v>
      </c>
      <c r="C984" t="s">
        <v>87</v>
      </c>
      <c r="D984" s="193" t="str">
        <f>KPIs!$A$46</f>
        <v>11 · Cumplimiento de caminatas gerenciales · YTD</v>
      </c>
      <c r="E984" t="s">
        <v>601</v>
      </c>
      <c r="F984" s="193" t="str">
        <f>IF(ISNUMBER(KPIs!U46),KPIs!U46,"")</f>
        <v/>
      </c>
      <c r="G984" s="254">
        <f>IF(ISNUMBER(KPIs!$C$46),KPIs!$C$46,"")</f>
        <v>1</v>
      </c>
      <c r="H984" s="193" t="str">
        <f>IFERROR(INDEX(_TARGETS!$E$2:$E$17,MATCH($C984,_TARGETS!$A$2:$A$17,0))&amp;"","")</f>
        <v>≥</v>
      </c>
      <c r="I984" s="193" t="str">
        <f t="shared" si="91"/>
        <v/>
      </c>
      <c r="J984" s="193" t="str">
        <f t="shared" si="92"/>
        <v>YTD</v>
      </c>
      <c r="K984" s="193">
        <f>SUMIFS(Datos!$D$24:$AL$24,Datos!$D$3:$AL$3,"&gt;="&amp;DATE(YEAR(Datos!U$3),1,1),Datos!$D$3:$AL$3,"&lt;="&amp;Datos!U$3)</f>
        <v>0</v>
      </c>
      <c r="L984" s="193">
        <f>SUMIFS(Datos!$D$25:$AL$25,Datos!$D$3:$AL$3,"&gt;="&amp;DATE(YEAR(Datos!U$3),1,1),Datos!$D$3:$AL$3,"&lt;="&amp;Datos!U$3)</f>
        <v>0</v>
      </c>
      <c r="M984" s="193">
        <f>INDEX(_TARGETS!$J$2:$J$17,MATCH($C984,_TARGETS!$A$2:$A$17,0))</f>
        <v>1</v>
      </c>
      <c r="N984" s="193" t="str">
        <f>INDEX(_TARGETS!$D$2:$D$17,MATCH($C984,_TARGETS!$A$2:$A$17,0))</f>
        <v>% (fracción)</v>
      </c>
      <c r="O984" s="193" t="str">
        <f>IF(NOT(ISNUMBER(F984)),IF(SUMPRODUCT(($C$2:$C$1300=C984)*($J$2:$J$1300="Monthly")*($A$2:$A$1300&lt;=A984)*(YEAR($A$2:$A$1300)=YEAR(A984))*ISNUMBER($K$2:$K$1300)*ISNUMBER($L$2:$L$1300)*($L$2:$L$1300=0)*($K$2:$K$1300&gt;0))&gt;0,"INCOMPLETE","MISSING"),O370)</f>
        <v>MISSING</v>
      </c>
      <c r="P984" s="193" t="str">
        <f>INDEX(_TARGETS!$K$2:$K$17,MATCH($C984,_TARGETS!$A$2:$A$17,0))</f>
        <v>OPS (carga manual en Datos)</v>
      </c>
      <c r="Q984" s="193" t="str">
        <f t="shared" si="93"/>
        <v>202801|ICCS|YTD</v>
      </c>
      <c r="R984" s="193" t="str">
        <f>INDEX(_TARGETS!$H$2:$H$17,MATCH($C984,_TARGETS!$A$2:$A$17,0))</f>
        <v>Definida</v>
      </c>
      <c r="S984" s="193" t="str">
        <f t="shared" si="94"/>
        <v/>
      </c>
      <c r="T984" s="193" t="str">
        <f t="shared" si="95"/>
        <v/>
      </c>
    </row>
    <row r="985" spans="1:20" ht="14.25" customHeight="1" x14ac:dyDescent="0.3">
      <c r="A985" s="249">
        <f>KPIs!$U$3</f>
        <v>46753</v>
      </c>
      <c r="B985" s="193" t="str">
        <f>KPIs!U$4</f>
        <v>Compresora</v>
      </c>
      <c r="C985" t="s">
        <v>89</v>
      </c>
      <c r="D985" s="193" t="str">
        <f>KPIs!$A$47</f>
        <v>12 · Cumplimiento de comités y subcomités de seguridad · YTD</v>
      </c>
      <c r="E985" t="s">
        <v>601</v>
      </c>
      <c r="F985" s="193" t="str">
        <f>IF(ISNUMBER(KPIs!U47),KPIs!U47,"")</f>
        <v/>
      </c>
      <c r="G985" s="254">
        <f>IF(ISNUMBER(KPIs!$C$47),KPIs!$C$47,"")</f>
        <v>1</v>
      </c>
      <c r="H985" s="193" t="str">
        <f>IFERROR(INDEX(_TARGETS!$E$2:$E$17,MATCH($C985,_TARGETS!$A$2:$A$17,0))&amp;"","")</f>
        <v>≥</v>
      </c>
      <c r="I985" s="193" t="str">
        <f t="shared" si="91"/>
        <v/>
      </c>
      <c r="J985" s="193" t="str">
        <f t="shared" si="92"/>
        <v>YTD</v>
      </c>
      <c r="K985" s="193">
        <f>SUMIFS(Datos!$D$26:$AL$26,Datos!$D$3:$AL$3,"&gt;="&amp;DATE(YEAR(Datos!U$3),1,1),Datos!$D$3:$AL$3,"&lt;="&amp;Datos!U$3)</f>
        <v>0</v>
      </c>
      <c r="L985" s="193">
        <f>SUMIFS(Datos!$D$27:$AL$27,Datos!$D$3:$AL$3,"&gt;="&amp;DATE(YEAR(Datos!U$3),1,1),Datos!$D$3:$AL$3,"&lt;="&amp;Datos!U$3)</f>
        <v>0</v>
      </c>
      <c r="M985" s="193">
        <f>INDEX(_TARGETS!$J$2:$J$17,MATCH($C985,_TARGETS!$A$2:$A$17,0))</f>
        <v>1</v>
      </c>
      <c r="N985" s="193" t="str">
        <f>INDEX(_TARGETS!$D$2:$D$17,MATCH($C985,_TARGETS!$A$2:$A$17,0))</f>
        <v>% (fracción)</v>
      </c>
      <c r="O985" s="193" t="str">
        <f>IF(NOT(ISNUMBER(F985)),IF(SUMPRODUCT(($C$2:$C$1300=C985)*($J$2:$J$1300="Monthly")*($A$2:$A$1300&lt;=A985)*(YEAR($A$2:$A$1300)=YEAR(A985))*ISNUMBER($K$2:$K$1300)*ISNUMBER($L$2:$L$1300)*($L$2:$L$1300=0)*($K$2:$K$1300&gt;0))&gt;0,"INCOMPLETE","MISSING"),O371)</f>
        <v>MISSING</v>
      </c>
      <c r="P985" s="193" t="str">
        <f>INDEX(_TARGETS!$K$2:$K$17,MATCH($C985,_TARGETS!$A$2:$A$17,0))</f>
        <v>OPS (carga manual en Datos)</v>
      </c>
      <c r="Q985" s="193" t="str">
        <f t="shared" si="93"/>
        <v>202801|CCS|YTD</v>
      </c>
      <c r="R985" s="193" t="str">
        <f>INDEX(_TARGETS!$H$2:$H$17,MATCH($C985,_TARGETS!$A$2:$A$17,0))</f>
        <v>Definida</v>
      </c>
      <c r="S985" s="193" t="str">
        <f t="shared" si="94"/>
        <v/>
      </c>
      <c r="T985" s="193" t="str">
        <f t="shared" si="95"/>
        <v/>
      </c>
    </row>
    <row r="986" spans="1:20" ht="14.25" customHeight="1" x14ac:dyDescent="0.3">
      <c r="A986" s="249">
        <f>KPIs!$U$3</f>
        <v>46753</v>
      </c>
      <c r="B986" s="193" t="str">
        <f>KPIs!U$4</f>
        <v>Compresora</v>
      </c>
      <c r="C986" t="s">
        <v>91</v>
      </c>
      <c r="D986" s="193" t="str">
        <f>KPIs!$A$48</f>
        <v>13 · Días promedio para cerrar hallazgos · YTD</v>
      </c>
      <c r="E986" t="s">
        <v>601</v>
      </c>
      <c r="F986" s="251" t="str">
        <f>IF(ISNUMBER(KPIs!U48),KPIs!U48,"")</f>
        <v/>
      </c>
      <c r="G986" s="193" t="str">
        <f>IF(ISNUMBER(KPIs!$C$48),KPIs!$C$48,"")</f>
        <v/>
      </c>
      <c r="H986" s="193" t="str">
        <f>IFERROR(INDEX(_TARGETS!$E$2:$E$17,MATCH($C986,_TARGETS!$A$2:$A$17,0))&amp;"","")</f>
        <v>≤</v>
      </c>
      <c r="I986" s="193" t="str">
        <f t="shared" si="91"/>
        <v/>
      </c>
      <c r="J986" s="193" t="str">
        <f t="shared" si="92"/>
        <v>YTD</v>
      </c>
      <c r="K986" s="193">
        <f>SUMIFS(Datos!$D$68:$AL$68,Datos!$D$3:$AL$3,"&gt;="&amp;DATE(YEAR(Datos!U$3),1,1),Datos!$D$3:$AL$3,"&lt;="&amp;Datos!U$3)</f>
        <v>0</v>
      </c>
      <c r="L986" s="193">
        <f>SUMIFS(Datos!$D$67:$AL$67,Datos!$D$3:$AL$3,"&gt;="&amp;DATE(YEAR(Datos!U$3),1,1),Datos!$D$3:$AL$3,"&lt;="&amp;Datos!U$3)</f>
        <v>0</v>
      </c>
      <c r="M986" s="193">
        <f>INDEX(_TARGETS!$J$2:$J$17,MATCH($C986,_TARGETS!$A$2:$A$17,0))</f>
        <v>1</v>
      </c>
      <c r="N986" s="193" t="str">
        <f>INDEX(_TARGETS!$D$2:$D$17,MATCH($C986,_TARGETS!$A$2:$A$17,0))</f>
        <v>días</v>
      </c>
      <c r="O986" s="193" t="str">
        <f>IF(NOT(ISNUMBER(F986)),IF(SUMPRODUCT(($C$2:$C$1300=C986)*($J$2:$J$1300="Monthly")*($A$2:$A$1300&lt;=A986)*(YEAR($A$2:$A$1300)=YEAR(A986))*ISNUMBER($K$2:$K$1300)*ISNUMBER($L$2:$L$1300)*($L$2:$L$1300=0)*($K$2:$K$1300&gt;0))&gt;0,"INCOMPLETE","MISSING"),O372)</f>
        <v>MISSING</v>
      </c>
      <c r="P986" s="193" t="str">
        <f>INDEX(_TARGETS!$K$2:$K$17,MATCH($C986,_TARGETS!$A$2:$A$17,0))</f>
        <v>Plant Findings (hoja Observaciones-SMP)</v>
      </c>
      <c r="Q986" s="193" t="str">
        <f t="shared" si="93"/>
        <v>202801|DPAS|YTD</v>
      </c>
      <c r="R986" s="193" t="str">
        <f>INDEX(_TARGETS!$H$2:$H$17,MATCH($C986,_TARGETS!$A$2:$A$17,0))</f>
        <v>Pendiente (meta 2027)</v>
      </c>
      <c r="S986" s="193" t="str">
        <f t="shared" si="94"/>
        <v/>
      </c>
      <c r="T986" s="193" t="str">
        <f t="shared" si="95"/>
        <v/>
      </c>
    </row>
    <row r="987" spans="1:20" ht="14.25" customHeight="1" x14ac:dyDescent="0.3">
      <c r="A987" s="249">
        <f>KPIs!$U$3</f>
        <v>46753</v>
      </c>
      <c r="B987" s="193" t="str">
        <f>KPIs!U$4</f>
        <v>Compresora</v>
      </c>
      <c r="C987" t="s">
        <v>96</v>
      </c>
      <c r="D987" s="193" t="str">
        <f>KPIs!$A$49</f>
        <v>C1 · % de desvíos detectados de gravedad Alta · YTD</v>
      </c>
      <c r="E987" t="s">
        <v>601</v>
      </c>
      <c r="F987" s="193" t="str">
        <f>IF(ISNUMBER(KPIs!U49),KPIs!U49,"")</f>
        <v/>
      </c>
      <c r="G987" s="193" t="str">
        <f>IF(ISNUMBER(KPIs!$C$49),KPIs!$C$49,"")</f>
        <v/>
      </c>
      <c r="H987" s="193" t="str">
        <f>IFERROR(INDEX(_TARGETS!$E$2:$E$17,MATCH($C987,_TARGETS!$A$2:$A$17,0))&amp;"","")</f>
        <v/>
      </c>
      <c r="I987" s="193" t="str">
        <f t="shared" si="91"/>
        <v/>
      </c>
      <c r="J987" s="193" t="str">
        <f t="shared" si="92"/>
        <v>YTD</v>
      </c>
      <c r="K987" s="193">
        <f>SUMIFS(Datos!$D$71:$AL$71,Datos!$D$3:$AL$3,"&gt;="&amp;DATE(YEAR(Datos!U$3),1,1),Datos!$D$3:$AL$3,"&lt;="&amp;Datos!U$3)</f>
        <v>0</v>
      </c>
      <c r="L987" s="193">
        <f>SUMIFS(Datos!$D$71:$AL$71,Datos!$D$3:$AL$3,"&gt;="&amp;DATE(YEAR(Datos!U$3),1,1),Datos!$D$3:$AL$3,"&lt;="&amp;Datos!U$3)+SUMIFS(Datos!$D$72:$AL$72,Datos!$D$3:$AL$3,"&gt;="&amp;DATE(YEAR(Datos!U$3),1,1),Datos!$D$3:$AL$3,"&lt;="&amp;Datos!U$3)+SUMIFS(Datos!$D$73:$AL$73,Datos!$D$3:$AL$3,"&gt;="&amp;DATE(YEAR(Datos!U$3),1,1),Datos!$D$3:$AL$3,"&lt;="&amp;Datos!U$3)</f>
        <v>0</v>
      </c>
      <c r="M987" s="193">
        <f>INDEX(_TARGETS!$J$2:$J$17,MATCH($C987,_TARGETS!$A$2:$A$17,0))</f>
        <v>1</v>
      </c>
      <c r="N987" s="193" t="str">
        <f>INDEX(_TARGETS!$D$2:$D$17,MATCH($C987,_TARGETS!$A$2:$A$17,0))</f>
        <v>% (fracción)</v>
      </c>
      <c r="O987" s="193" t="str">
        <f t="shared" ref="O987:O993" si="97">IF(NOT(ISNUMBER(F987)),IF(SUMPRODUCT(($C$2:$C$1300=C987)*($J$2:$J$1300="Monthly")*($A$2:$A$1300&lt;=A987)*(YEAR($A$2:$A$1300)=YEAR(A987))*ISNUMBER($K$2:$K$1300)*ISNUMBER($L$2:$L$1300)*($L$2:$L$1300=0)*($K$2:$K$1300&gt;0))&gt;0,"INCOMPLETE","MISSING"),O378)</f>
        <v>MISSING</v>
      </c>
      <c r="P987" s="193" t="str">
        <f>INDEX(_TARGETS!$K$2:$K$17,MATCH($C987,_TARGETS!$A$2:$A$17,0))</f>
        <v>Plant Findings (hoja Observaciones-SMP)</v>
      </c>
      <c r="Q987" s="193" t="str">
        <f t="shared" si="93"/>
        <v>202801|HAL_ALTA_PCT|YTD</v>
      </c>
      <c r="R987" s="193" t="str">
        <f>INDEX(_TARGETS!$H$2:$H$17,MATCH($C987,_TARGETS!$A$2:$A$17,0))</f>
        <v>Solo reporte</v>
      </c>
      <c r="S987" s="193" t="str">
        <f t="shared" si="94"/>
        <v/>
      </c>
      <c r="T987" s="193" t="str">
        <f t="shared" si="95"/>
        <v/>
      </c>
    </row>
    <row r="988" spans="1:20" ht="14.25" customHeight="1" x14ac:dyDescent="0.3">
      <c r="A988" s="249">
        <f>KPIs!$U$3</f>
        <v>46753</v>
      </c>
      <c r="B988" s="193" t="str">
        <f>KPIs!U$4</f>
        <v>Compresora</v>
      </c>
      <c r="C988" t="s">
        <v>98</v>
      </c>
      <c r="D988" s="193" t="str">
        <f>KPIs!$A$50</f>
        <v>C2 · Detenciones de tareas aplicadas · YTD</v>
      </c>
      <c r="E988" t="s">
        <v>601</v>
      </c>
      <c r="F988" s="193" t="str">
        <f>IF(ISNUMBER(KPIs!U50),KPIs!U50,"")</f>
        <v/>
      </c>
      <c r="G988" s="193" t="str">
        <f>IF(ISNUMBER(KPIs!$C$50),KPIs!$C$50,"")</f>
        <v/>
      </c>
      <c r="H988" s="193" t="str">
        <f>IFERROR(INDEX(_TARGETS!$E$2:$E$17,MATCH($C988,_TARGETS!$A$2:$A$17,0))&amp;"","")</f>
        <v/>
      </c>
      <c r="I988" s="193" t="str">
        <f t="shared" si="91"/>
        <v/>
      </c>
      <c r="J988" s="193" t="str">
        <f t="shared" si="92"/>
        <v>YTD</v>
      </c>
      <c r="K988" s="193">
        <f>SUMIFS(Datos!$D$75:$AL$75,Datos!$D$3:$AL$3,"&gt;="&amp;DATE(YEAR(Datos!U$3),1,1),Datos!$D$3:$AL$3,"&lt;="&amp;Datos!U$3)</f>
        <v>0</v>
      </c>
      <c r="M988" s="193">
        <f>INDEX(_TARGETS!$J$2:$J$17,MATCH($C988,_TARGETS!$A$2:$A$17,0))</f>
        <v>1</v>
      </c>
      <c r="N988" s="193" t="str">
        <f>INDEX(_TARGETS!$D$2:$D$17,MATCH($C988,_TARGETS!$A$2:$A$17,0))</f>
        <v>u</v>
      </c>
      <c r="O988" s="193" t="str">
        <f t="shared" si="97"/>
        <v>MISSING</v>
      </c>
      <c r="P988" s="193" t="str">
        <f>INDEX(_TARGETS!$K$2:$K$17,MATCH($C988,_TARGETS!$A$2:$A$17,0))</f>
        <v>Plant Findings (hoja Observaciones-SMP)</v>
      </c>
      <c r="Q988" s="193" t="str">
        <f t="shared" si="93"/>
        <v>202801|DET|YTD</v>
      </c>
      <c r="R988" s="193" t="str">
        <f>INDEX(_TARGETS!$H$2:$H$17,MATCH($C988,_TARGETS!$A$2:$A$17,0))</f>
        <v>Solo reporte</v>
      </c>
      <c r="S988" s="193">
        <f t="shared" si="94"/>
        <v>0</v>
      </c>
      <c r="T988" s="193" t="str">
        <f t="shared" si="95"/>
        <v/>
      </c>
    </row>
    <row r="989" spans="1:20" ht="14.25" customHeight="1" x14ac:dyDescent="0.3">
      <c r="A989" s="249">
        <f>KPIs!$V$3</f>
        <v>46784</v>
      </c>
      <c r="B989" s="193" t="str">
        <f>KPIs!V$4</f>
        <v>Compresora</v>
      </c>
      <c r="C989" t="s">
        <v>39</v>
      </c>
      <c r="D989" s="193" t="str">
        <f>KPIs!$A$37</f>
        <v>1 · Frecuencia de casos con días perdidos · YTD</v>
      </c>
      <c r="E989" t="s">
        <v>601</v>
      </c>
      <c r="F989" s="193" t="str">
        <f>IF(ISNUMBER(KPIs!V37),KPIs!V37,"")</f>
        <v/>
      </c>
      <c r="G989" s="250">
        <f>IF(ISNUMBER(KPIs!$C$37),KPIs!$C$37,"")</f>
        <v>0</v>
      </c>
      <c r="H989" s="193" t="str">
        <f>IFERROR(INDEX(_TARGETS!$E$2:$E$17,MATCH($C989,_TARGETS!$A$2:$A$17,0))&amp;"","")</f>
        <v>≤</v>
      </c>
      <c r="I989" s="193" t="str">
        <f t="shared" si="91"/>
        <v/>
      </c>
      <c r="J989" s="193" t="str">
        <f t="shared" si="92"/>
        <v>YTD</v>
      </c>
      <c r="K989" s="193">
        <f>SUMIFS(Datos!$D$33:$AL$33,Datos!$D$3:$AL$3,"&gt;="&amp;DATE(YEAR(Datos!V$3),1,1),Datos!$D$3:$AL$3,"&lt;="&amp;Datos!V$3)</f>
        <v>0</v>
      </c>
      <c r="L989" s="193">
        <f>SUMIFS(Datos!$D$14:$AL$14,Datos!$D$3:$AL$3,"&gt;="&amp;DATE(YEAR(Datos!V$3),1,1),Datos!$D$3:$AL$3,"&lt;="&amp;Datos!V$3)</f>
        <v>0</v>
      </c>
      <c r="M989" s="193">
        <f>INDEX(_TARGETS!$J$2:$J$17,MATCH($C989,_TARGETS!$A$2:$A$17,0))</f>
        <v>1000000</v>
      </c>
      <c r="N989" s="193" t="str">
        <f>INDEX(_TARGETS!$D$2:$D$17,MATCH($C989,_TARGETS!$A$2:$A$17,0))</f>
        <v>casos / 10^6 HH</v>
      </c>
      <c r="O989" s="193" t="str">
        <f t="shared" si="97"/>
        <v>MISSING</v>
      </c>
      <c r="P989" s="193" t="str">
        <f>INDEX(_TARGETS!$K$2:$K$17,MATCH($C989,_TARGETS!$A$2:$A$17,0))</f>
        <v>OPS (carga manual en Datos)</v>
      </c>
      <c r="Q989" s="193" t="str">
        <f t="shared" si="93"/>
        <v>202802|DAFWCF|YTD</v>
      </c>
      <c r="R989" s="193" t="str">
        <f>INDEX(_TARGETS!$H$2:$H$17,MATCH($C989,_TARGETS!$A$2:$A$17,0))</f>
        <v>Definida</v>
      </c>
      <c r="S989" s="193" t="str">
        <f t="shared" si="94"/>
        <v/>
      </c>
      <c r="T989" s="193" t="str">
        <f t="shared" si="95"/>
        <v/>
      </c>
    </row>
    <row r="990" spans="1:20" ht="14.25" customHeight="1" x14ac:dyDescent="0.3">
      <c r="A990" s="249">
        <f>KPIs!$V$3</f>
        <v>46784</v>
      </c>
      <c r="B990" s="193" t="str">
        <f>KPIs!V$4</f>
        <v>Compresora</v>
      </c>
      <c r="C990" t="s">
        <v>49</v>
      </c>
      <c r="D990" s="193" t="str">
        <f>KPIs!$A$38</f>
        <v>2 · Frecuencia de casos registrables · YTD</v>
      </c>
      <c r="E990" t="s">
        <v>601</v>
      </c>
      <c r="F990" s="193" t="str">
        <f>IF(ISNUMBER(KPIs!V38),KPIs!V38,"")</f>
        <v/>
      </c>
      <c r="G990" s="250">
        <f>IF(ISNUMBER(KPIs!$C$38),KPIs!$C$38,"")</f>
        <v>2.35</v>
      </c>
      <c r="H990" s="193" t="str">
        <f>IFERROR(INDEX(_TARGETS!$E$2:$E$17,MATCH($C990,_TARGETS!$A$2:$A$17,0))&amp;"","")</f>
        <v>≤</v>
      </c>
      <c r="I990" s="193" t="str">
        <f t="shared" si="91"/>
        <v/>
      </c>
      <c r="J990" s="193" t="str">
        <f t="shared" si="92"/>
        <v>YTD</v>
      </c>
      <c r="K990" s="193">
        <f>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f>
        <v>0</v>
      </c>
      <c r="L990" s="193">
        <f>SUMIFS(Datos!$D$14:$AL$14,Datos!$D$3:$AL$3,"&gt;="&amp;DATE(YEAR(Datos!V$3),1,1),Datos!$D$3:$AL$3,"&lt;="&amp;Datos!V$3)</f>
        <v>0</v>
      </c>
      <c r="M990" s="193">
        <f>INDEX(_TARGETS!$J$2:$J$17,MATCH($C990,_TARGETS!$A$2:$A$17,0))</f>
        <v>1000000</v>
      </c>
      <c r="N990" s="193" t="str">
        <f>INDEX(_TARGETS!$D$2:$D$17,MATCH($C990,_TARGETS!$A$2:$A$17,0))</f>
        <v>casos / 10^6 HH</v>
      </c>
      <c r="O990" s="193" t="str">
        <f t="shared" si="97"/>
        <v>MISSING</v>
      </c>
      <c r="P990" s="193" t="str">
        <f>INDEX(_TARGETS!$K$2:$K$17,MATCH($C990,_TARGETS!$A$2:$A$17,0))</f>
        <v>OPS (carga manual en Datos)</v>
      </c>
      <c r="Q990" s="193" t="str">
        <f t="shared" si="93"/>
        <v>202802|TRICF|YTD</v>
      </c>
      <c r="R990" s="193" t="str">
        <f>INDEX(_TARGETS!$H$2:$H$17,MATCH($C990,_TARGETS!$A$2:$A$17,0))</f>
        <v>Definida</v>
      </c>
      <c r="S990" s="193" t="str">
        <f t="shared" si="94"/>
        <v/>
      </c>
      <c r="T990" s="193" t="str">
        <f t="shared" si="95"/>
        <v/>
      </c>
    </row>
    <row r="991" spans="1:20" ht="14.25" customHeight="1" x14ac:dyDescent="0.3">
      <c r="A991" s="249">
        <f>KPIs!$V$3</f>
        <v>46784</v>
      </c>
      <c r="B991" s="193" t="str">
        <f>KPIs!V$4</f>
        <v>Compresora</v>
      </c>
      <c r="C991" t="s">
        <v>51</v>
      </c>
      <c r="D991" s="193" t="str">
        <f>KPIs!$A$39</f>
        <v>3 · Casos de primeros auxilios · YTD</v>
      </c>
      <c r="E991" t="s">
        <v>601</v>
      </c>
      <c r="F991" s="193" t="str">
        <f>IF(ISNUMBER(KPIs!V39),KPIs!V39,"")</f>
        <v/>
      </c>
      <c r="G991" s="193" t="str">
        <f>IF(ISNUMBER(KPIs!$C$39),KPIs!$C$39,"")</f>
        <v/>
      </c>
      <c r="H991" s="193" t="str">
        <f>IFERROR(INDEX(_TARGETS!$E$2:$E$17,MATCH($C991,_TARGETS!$A$2:$A$17,0))&amp;"","")</f>
        <v/>
      </c>
      <c r="I991" s="193" t="str">
        <f t="shared" si="91"/>
        <v/>
      </c>
      <c r="J991" s="193" t="str">
        <f t="shared" si="92"/>
        <v>YTD</v>
      </c>
      <c r="K991" s="193">
        <f>SUMIFS(Datos!$D$37:$AL$37,Datos!$D$3:$AL$3,"&gt;="&amp;DATE(YEAR(Datos!V$3),1,1),Datos!$D$3:$AL$3,"&lt;="&amp;Datos!V$3)</f>
        <v>0</v>
      </c>
      <c r="M991" s="193">
        <f>INDEX(_TARGETS!$J$2:$J$17,MATCH($C991,_TARGETS!$A$2:$A$17,0))</f>
        <v>1</v>
      </c>
      <c r="N991" s="193" t="str">
        <f>INDEX(_TARGETS!$D$2:$D$17,MATCH($C991,_TARGETS!$A$2:$A$17,0))</f>
        <v>casos</v>
      </c>
      <c r="O991" s="193" t="str">
        <f t="shared" si="97"/>
        <v>MISSING</v>
      </c>
      <c r="P991" s="193" t="str">
        <f>INDEX(_TARGETS!$K$2:$K$17,MATCH($C991,_TARGETS!$A$2:$A$17,0))</f>
        <v>OPS (carga manual en Datos)</v>
      </c>
      <c r="Q991" s="193" t="str">
        <f t="shared" si="93"/>
        <v>202802|FAC|YTD</v>
      </c>
      <c r="R991" s="193" t="str">
        <f>INDEX(_TARGETS!$H$2:$H$17,MATCH($C991,_TARGETS!$A$2:$A$17,0))</f>
        <v>Solo reporte</v>
      </c>
      <c r="S991" s="193">
        <f t="shared" si="94"/>
        <v>0</v>
      </c>
      <c r="T991" s="193" t="str">
        <f t="shared" si="95"/>
        <v/>
      </c>
    </row>
    <row r="992" spans="1:20" ht="14.25" customHeight="1" x14ac:dyDescent="0.3">
      <c r="A992" s="249">
        <f>KPIs!$V$3</f>
        <v>46784</v>
      </c>
      <c r="B992" s="193" t="str">
        <f>KPIs!V$4</f>
        <v>Compresora</v>
      </c>
      <c r="C992" t="s">
        <v>57</v>
      </c>
      <c r="D992" s="193" t="str">
        <f>KPIs!$A$40</f>
        <v>4 · Accidentes vehiculares severos por millón de km · YTD</v>
      </c>
      <c r="E992" t="s">
        <v>601</v>
      </c>
      <c r="F992" s="193" t="str">
        <f>IF(ISNUMBER(KPIs!V40),KPIs!V40,"")</f>
        <v/>
      </c>
      <c r="G992" s="193" t="str">
        <f>IF(ISNUMBER(KPIs!$C$40),KPIs!$C$40,"")</f>
        <v/>
      </c>
      <c r="H992" s="193" t="str">
        <f>IFERROR(INDEX(_TARGETS!$E$2:$E$17,MATCH($C992,_TARGETS!$A$2:$A$17,0))&amp;"","")</f>
        <v/>
      </c>
      <c r="I992" s="193" t="str">
        <f t="shared" si="91"/>
        <v/>
      </c>
      <c r="J992" s="193" t="str">
        <f t="shared" si="92"/>
        <v>YTD</v>
      </c>
      <c r="K992" s="193">
        <f>SUMIFS(Datos!$D$39:$AL$39,Datos!$D$3:$AL$3,"&gt;="&amp;DATE(YEAR(Datos!V$3),1,1),Datos!$D$3:$AL$3,"&lt;="&amp;Datos!V$3)+SUMIFS(Datos!$D$40:$AL$40,Datos!$D$3:$AL$3,"&gt;="&amp;DATE(YEAR(Datos!V$3),1,1),Datos!$D$3:$AL$3,"&lt;="&amp;Datos!V$3)+SUMIFS(Datos!$D$41:$AL$41,Datos!$D$3:$AL$3,"&gt;="&amp;DATE(YEAR(Datos!V$3),1,1),Datos!$D$3:$AL$3,"&lt;="&amp;Datos!V$3)</f>
        <v>0</v>
      </c>
      <c r="L992" s="193">
        <f>SUMIFS(Datos!$D$47:$AL$47,Datos!$D$3:$AL$3,"&gt;="&amp;DATE(YEAR(Datos!V$3),1,1),Datos!$D$3:$AL$3,"&lt;="&amp;Datos!V$3)</f>
        <v>0</v>
      </c>
      <c r="M992" s="193">
        <f>INDEX(_TARGETS!$J$2:$J$17,MATCH($C992,_TARGETS!$A$2:$A$17,0))</f>
        <v>1000000</v>
      </c>
      <c r="N992" s="193" t="str">
        <f>INDEX(_TARGETS!$D$2:$D$17,MATCH($C992,_TARGETS!$A$2:$A$17,0))</f>
        <v>eventos / 10^6 km</v>
      </c>
      <c r="O992" s="193" t="str">
        <f t="shared" si="97"/>
        <v>MISSING</v>
      </c>
      <c r="P992" s="193" t="str">
        <f>INDEX(_TARGETS!$K$2:$K$17,MATCH($C992,_TARGETS!$A$2:$A$17,0))</f>
        <v>OPS (eventos) + Full Control GPS (km) - carga manual en Datos</v>
      </c>
      <c r="Q992" s="193" t="str">
        <f t="shared" si="93"/>
        <v>202802|SVCR|YTD</v>
      </c>
      <c r="R992" s="193" t="str">
        <f>INDEX(_TARGETS!$H$2:$H$17,MATCH($C992,_TARGETS!$A$2:$A$17,0))</f>
        <v>Solo reporte</v>
      </c>
      <c r="S992" s="193" t="str">
        <f t="shared" si="94"/>
        <v/>
      </c>
      <c r="T992" s="193" t="str">
        <f t="shared" si="95"/>
        <v/>
      </c>
    </row>
    <row r="993" spans="1:20" ht="14.25" customHeight="1" x14ac:dyDescent="0.3">
      <c r="A993" s="249">
        <f>KPIs!$V$3</f>
        <v>46784</v>
      </c>
      <c r="B993" s="193" t="str">
        <f>KPIs!V$4</f>
        <v>Compresora</v>
      </c>
      <c r="C993" t="s">
        <v>61</v>
      </c>
      <c r="D993" s="193" t="str">
        <f>KPIs!$A$41</f>
        <v>5 · Accidentes vehiculares totales por millón de km · YTD</v>
      </c>
      <c r="E993" t="s">
        <v>601</v>
      </c>
      <c r="F993" s="193" t="str">
        <f>IF(ISNUMBER(KPIs!V41),KPIs!V41,"")</f>
        <v/>
      </c>
      <c r="G993" s="250">
        <f>IF(ISNUMBER(KPIs!$C$41),KPIs!$C$41,"")</f>
        <v>0.79</v>
      </c>
      <c r="H993" s="193" t="str">
        <f>IFERROR(INDEX(_TARGETS!$E$2:$E$17,MATCH($C993,_TARGETS!$A$2:$A$17,0))&amp;"","")</f>
        <v>≤</v>
      </c>
      <c r="I993" s="193" t="str">
        <f t="shared" si="91"/>
        <v/>
      </c>
      <c r="J993" s="193" t="str">
        <f t="shared" si="92"/>
        <v>YTD</v>
      </c>
      <c r="K993" s="193">
        <f>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f>
        <v>0</v>
      </c>
      <c r="L993" s="193">
        <f>SUMIFS(Datos!$D$47:$AL$47,Datos!$D$3:$AL$3,"&gt;="&amp;DATE(YEAR(Datos!V$3),1,1),Datos!$D$3:$AL$3,"&lt;="&amp;Datos!V$3)</f>
        <v>0</v>
      </c>
      <c r="M993" s="193">
        <f>INDEX(_TARGETS!$J$2:$J$17,MATCH($C993,_TARGETS!$A$2:$A$17,0))</f>
        <v>1000000</v>
      </c>
      <c r="N993" s="193" t="str">
        <f>INDEX(_TARGETS!$D$2:$D$17,MATCH($C993,_TARGETS!$A$2:$A$17,0))</f>
        <v>eventos / 10^6 km</v>
      </c>
      <c r="O993" s="193" t="str">
        <f t="shared" si="97"/>
        <v>MISSING</v>
      </c>
      <c r="P993" s="193" t="str">
        <f>INDEX(_TARGETS!$K$2:$K$17,MATCH($C993,_TARGETS!$A$2:$A$17,0))</f>
        <v>OPS (eventos) + Full Control GPS (km) - carga manual en Datos</v>
      </c>
      <c r="Q993" s="193" t="str">
        <f t="shared" si="93"/>
        <v>202802|TVCR|YTD</v>
      </c>
      <c r="R993" s="193" t="str">
        <f>INDEX(_TARGETS!$H$2:$H$17,MATCH($C993,_TARGETS!$A$2:$A$17,0))</f>
        <v>Definida</v>
      </c>
      <c r="S993" s="193" t="str">
        <f t="shared" si="94"/>
        <v/>
      </c>
      <c r="T993" s="193" t="str">
        <f t="shared" si="95"/>
        <v/>
      </c>
    </row>
    <row r="994" spans="1:20" ht="14.25" customHeight="1" x14ac:dyDescent="0.3">
      <c r="A994" s="249">
        <f>KPIs!$V$3</f>
        <v>46784</v>
      </c>
      <c r="B994" s="193" t="str">
        <f>KPIs!V$4</f>
        <v>Compresora</v>
      </c>
      <c r="C994" t="s">
        <v>71</v>
      </c>
      <c r="D994" s="193" t="str">
        <f>KPIs!$A$42</f>
        <v>7 · Investigaciones de accidentes: días promedio de cierre · YTD</v>
      </c>
      <c r="E994" t="s">
        <v>601</v>
      </c>
      <c r="F994" s="193" t="str">
        <f>IF(ISNUMBER(KPIs!V42),KPIs!V42,"")</f>
        <v/>
      </c>
      <c r="G994" s="251">
        <f>IF(ISNUMBER(KPIs!$C$42),KPIs!$C$42,"")</f>
        <v>20</v>
      </c>
      <c r="H994" s="193" t="str">
        <f>IFERROR(INDEX(_TARGETS!$E$2:$E$17,MATCH($C994,_TARGETS!$A$2:$A$17,0))&amp;"","")</f>
        <v>≤</v>
      </c>
      <c r="I994" s="193" t="str">
        <f t="shared" si="91"/>
        <v/>
      </c>
      <c r="J994" s="193" t="str">
        <f t="shared" si="92"/>
        <v>YTD</v>
      </c>
      <c r="K994" s="193">
        <f>SUMIFS(Datos!$D$31:$AL$31,Datos!$D$3:$AL$3,"&gt;="&amp;DATE(YEAR(Datos!V$3),1,1),Datos!$D$3:$AL$3,"&lt;="&amp;Datos!V$3)</f>
        <v>0</v>
      </c>
      <c r="L994" s="193">
        <f>SUMIFS(Datos!$D$30:$AL$30,Datos!$D$3:$AL$3,"&gt;="&amp;DATE(YEAR(Datos!V$3),1,1),Datos!$D$3:$AL$3,"&lt;="&amp;Datos!V$3)</f>
        <v>0</v>
      </c>
      <c r="M994" s="193">
        <f>INDEX(_TARGETS!$J$2:$J$17,MATCH($C994,_TARGETS!$A$2:$A$17,0))</f>
        <v>1</v>
      </c>
      <c r="N994" s="193" t="str">
        <f>INDEX(_TARGETS!$D$2:$D$17,MATCH($C994,_TARGETS!$A$2:$A$17,0))</f>
        <v>días</v>
      </c>
      <c r="O994" s="193" t="str">
        <f>IF(NOT(ISNUMBER(F994)),IF(SUMPRODUCT(($C$2:$C$1300=C994)*($J$2:$J$1300="Monthly")*($A$2:$A$1300&lt;=A994)*(YEAR($A$2:$A$1300)=YEAR(A994))*ISNUMBER($K$2:$K$1300)*ISNUMBER($L$2:$L$1300)*($L$2:$L$1300=0)*($K$2:$K$1300&gt;0))&gt;0,"INCOMPLETE","MISSING"),O386)</f>
        <v>MISSING</v>
      </c>
      <c r="P994" s="193" t="str">
        <f>INDEX(_TARGETS!$K$2:$K$17,MATCH($C994,_TARGETS!$A$2:$A$17,0))</f>
        <v>OPS (carga manual en Datos)</v>
      </c>
      <c r="Q994" s="193" t="str">
        <f t="shared" si="93"/>
        <v>202802|INV|YTD</v>
      </c>
      <c r="R994" s="193" t="str">
        <f>INDEX(_TARGETS!$H$2:$H$17,MATCH($C994,_TARGETS!$A$2:$A$17,0))</f>
        <v>Definida</v>
      </c>
      <c r="S994" s="193" t="str">
        <f t="shared" si="94"/>
        <v/>
      </c>
      <c r="T994" s="193" t="str">
        <f t="shared" si="95"/>
        <v/>
      </c>
    </row>
    <row r="995" spans="1:20" ht="14.25" customHeight="1" x14ac:dyDescent="0.3">
      <c r="A995" s="249">
        <f>KPIs!$V$3</f>
        <v>46784</v>
      </c>
      <c r="B995" s="193" t="str">
        <f>KPIs!V$4</f>
        <v>Compresora</v>
      </c>
      <c r="C995" t="s">
        <v>76</v>
      </c>
      <c r="D995" s="193" t="str">
        <f>KPIs!$A$43</f>
        <v>8 · % de capacitación en seguridad · YTD</v>
      </c>
      <c r="E995" t="s">
        <v>601</v>
      </c>
      <c r="F995" s="193" t="str">
        <f>IF(ISNUMBER(KPIs!V43),KPIs!V43,"")</f>
        <v/>
      </c>
      <c r="G995" s="252">
        <f>IF(ISNUMBER(KPIs!$C$43),KPIs!$C$43,"")</f>
        <v>0.01</v>
      </c>
      <c r="H995" s="193" t="str">
        <f>IFERROR(INDEX(_TARGETS!$E$2:$E$17,MATCH($C995,_TARGETS!$A$2:$A$17,0))&amp;"","")</f>
        <v>≥</v>
      </c>
      <c r="I995" s="193" t="str">
        <f t="shared" si="91"/>
        <v/>
      </c>
      <c r="J995" s="193" t="str">
        <f t="shared" si="92"/>
        <v>YTD</v>
      </c>
      <c r="K995" s="193">
        <f>SUMIFS(Datos!$D$18:$AL$18,Datos!$D$3:$AL$3,"&gt;="&amp;DATE(YEAR(Datos!V$3),1,1),Datos!$D$3:$AL$3,"&lt;="&amp;Datos!V$3)</f>
        <v>0</v>
      </c>
      <c r="L995" s="193">
        <f>SUMIFS(Datos!$D$14:$AL$14,Datos!$D$3:$AL$3,"&gt;="&amp;DATE(YEAR(Datos!V$3),1,1),Datos!$D$3:$AL$3,"&lt;="&amp;Datos!V$3)</f>
        <v>0</v>
      </c>
      <c r="M995" s="193">
        <f>INDEX(_TARGETS!$J$2:$J$17,MATCH($C995,_TARGETS!$A$2:$A$17,0))</f>
        <v>1</v>
      </c>
      <c r="N995" s="193" t="str">
        <f>INDEX(_TARGETS!$D$2:$D$17,MATCH($C995,_TARGETS!$A$2:$A$17,0))</f>
        <v>% (fracción)</v>
      </c>
      <c r="O995" s="193" t="str">
        <f>IF(NOT(ISNUMBER(F995)),IF(SUMPRODUCT(($C$2:$C$1300=C995)*($J$2:$J$1300="Monthly")*($A$2:$A$1300&lt;=A995)*(YEAR($A$2:$A$1300)=YEAR(A995))*ISNUMBER($K$2:$K$1300)*ISNUMBER($L$2:$L$1300)*($L$2:$L$1300=0)*($K$2:$K$1300&gt;0))&gt;0,"INCOMPLETE","MISSING"),O387)</f>
        <v>MISSING</v>
      </c>
      <c r="P995" s="193" t="str">
        <f>INDEX(_TARGETS!$K$2:$K$17,MATCH($C995,_TARGETS!$A$2:$A$17,0))</f>
        <v>OPS (carga manual en Datos)</v>
      </c>
      <c r="Q995" s="193" t="str">
        <f t="shared" si="93"/>
        <v>202802|HCS|YTD</v>
      </c>
      <c r="R995" s="193" t="str">
        <f>INDEX(_TARGETS!$H$2:$H$17,MATCH($C995,_TARGETS!$A$2:$A$17,0))</f>
        <v>Definida</v>
      </c>
      <c r="S995" s="193" t="str">
        <f t="shared" si="94"/>
        <v/>
      </c>
      <c r="T995" s="193" t="str">
        <f t="shared" si="95"/>
        <v/>
      </c>
    </row>
    <row r="996" spans="1:20" ht="14.25" customHeight="1" x14ac:dyDescent="0.3">
      <c r="A996" s="249">
        <f>KPIs!$V$3</f>
        <v>46784</v>
      </c>
      <c r="B996" s="193" t="str">
        <f>KPIs!V$4</f>
        <v>Compresora</v>
      </c>
      <c r="C996" t="s">
        <v>83</v>
      </c>
      <c r="D996" s="193" t="str">
        <f>KPIs!$A$44</f>
        <v>10 · Cumplimiento de simulacros (emergencia y operativos) · YTD</v>
      </c>
      <c r="E996" t="s">
        <v>601</v>
      </c>
      <c r="F996" s="193" t="str">
        <f>IF(ISNUMBER(KPIs!V44),KPIs!V44,"")</f>
        <v/>
      </c>
      <c r="G996" s="253">
        <f>IF(ISNUMBER(KPIs!$C$44),KPIs!$C$44,"")</f>
        <v>1</v>
      </c>
      <c r="H996" s="193" t="str">
        <f>IFERROR(INDEX(_TARGETS!$E$2:$E$17,MATCH($C996,_TARGETS!$A$2:$A$17,0))&amp;"","")</f>
        <v>≥</v>
      </c>
      <c r="I996" s="193" t="str">
        <f t="shared" si="91"/>
        <v/>
      </c>
      <c r="J996" s="193" t="str">
        <f t="shared" si="92"/>
        <v>YTD</v>
      </c>
      <c r="K996" s="193">
        <f>SUMIFS(Datos!$D$20:$AL$20,Datos!$D$3:$AL$3,"&gt;="&amp;DATE(YEAR(Datos!V$3),1,1),Datos!$D$3:$AL$3,"&lt;="&amp;Datos!V$3)</f>
        <v>0</v>
      </c>
      <c r="L996" s="193">
        <f>SUMIFS(Datos!$D$21:$AL$21,Datos!$D$3:$AL$3,"&gt;="&amp;DATE(YEAR(Datos!V$3),1,1),Datos!$D$3:$AL$3,"&lt;="&amp;Datos!V$3)</f>
        <v>0</v>
      </c>
      <c r="M996" s="193">
        <f>INDEX(_TARGETS!$J$2:$J$17,MATCH($C996,_TARGETS!$A$2:$A$17,0))</f>
        <v>1</v>
      </c>
      <c r="N996" s="193" t="str">
        <f>INDEX(_TARGETS!$D$2:$D$17,MATCH($C996,_TARGETS!$A$2:$A$17,0))</f>
        <v>% (fracción)</v>
      </c>
      <c r="O996" s="193" t="str">
        <f>IF(NOT(ISNUMBER(F996)),IF(SUMPRODUCT(($C$2:$C$1300=C996)*($J$2:$J$1300="Monthly")*($A$2:$A$1300&lt;=A996)*(YEAR($A$2:$A$1300)=YEAR(A996))*ISNUMBER($K$2:$K$1300)*ISNUMBER($L$2:$L$1300)*($L$2:$L$1300=0)*($K$2:$K$1300&gt;0))&gt;0,"INCOMPLETE","MISSING"),O389)</f>
        <v>MISSING</v>
      </c>
      <c r="P996" s="193" t="str">
        <f>INDEX(_TARGETS!$K$2:$K$17,MATCH($C996,_TARGETS!$A$2:$A$17,0))</f>
        <v>OPS (carga manual en Datos)</v>
      </c>
      <c r="Q996" s="193" t="str">
        <f t="shared" si="93"/>
        <v>202802|CPSE|YTD</v>
      </c>
      <c r="R996" s="193" t="str">
        <f>INDEX(_TARGETS!$H$2:$H$17,MATCH($C996,_TARGETS!$A$2:$A$17,0))</f>
        <v>Definida</v>
      </c>
      <c r="S996" s="193" t="str">
        <f t="shared" si="94"/>
        <v/>
      </c>
      <c r="T996" s="193" t="str">
        <f t="shared" si="95"/>
        <v/>
      </c>
    </row>
    <row r="997" spans="1:20" ht="14.25" customHeight="1" x14ac:dyDescent="0.3">
      <c r="A997" s="249">
        <f>KPIs!$V$3</f>
        <v>46784</v>
      </c>
      <c r="B997" s="193" t="str">
        <f>KPIs!V$4</f>
        <v>Compresora</v>
      </c>
      <c r="C997" t="s">
        <v>85</v>
      </c>
      <c r="D997" s="193" t="str">
        <f>KPIs!$A$45</f>
        <v>10b · Cumplimiento de acciones de mejora de simulacros · YTD</v>
      </c>
      <c r="E997" t="s">
        <v>601</v>
      </c>
      <c r="F997" s="193" t="str">
        <f>IF(ISNUMBER(KPIs!V45),KPIs!V45,"")</f>
        <v/>
      </c>
      <c r="G997" s="254" t="str">
        <f>IF(ISNUMBER(KPIs!$C$45),KPIs!$C$45,"")</f>
        <v/>
      </c>
      <c r="H997" s="193" t="str">
        <f>IFERROR(INDEX(_TARGETS!$E$2:$E$17,MATCH($C997,_TARGETS!$A$2:$A$17,0))&amp;"","")</f>
        <v/>
      </c>
      <c r="I997" s="193" t="str">
        <f t="shared" si="91"/>
        <v/>
      </c>
      <c r="J997" s="193" t="str">
        <f t="shared" si="92"/>
        <v>YTD</v>
      </c>
      <c r="K997" s="193">
        <f>SUMIFS(Datos!$D$23:$AL$23,Datos!$D$3:$AL$3,"&gt;="&amp;DATE(YEAR(Datos!V$3),1,1),Datos!$D$3:$AL$3,"&lt;="&amp;Datos!V$3)</f>
        <v>0</v>
      </c>
      <c r="L997" s="193">
        <f>SUMIFS(Datos!$D$22:$AL$22,Datos!$D$3:$AL$3,"&gt;="&amp;DATE(YEAR(Datos!V$3),1,1),Datos!$D$3:$AL$3,"&lt;="&amp;Datos!V$3)</f>
        <v>0</v>
      </c>
      <c r="M997" s="193">
        <f>INDEX(_TARGETS!$J$2:$J$17,MATCH($C997,_TARGETS!$A$2:$A$17,0))</f>
        <v>1</v>
      </c>
      <c r="N997" s="193" t="str">
        <f>INDEX(_TARGETS!$D$2:$D$17,MATCH($C997,_TARGETS!$A$2:$A$17,0))</f>
        <v>% (fracción)</v>
      </c>
      <c r="O997" s="193" t="str">
        <f>IF(NOT(ISNUMBER(F997)),IF(SUMPRODUCT(($C$2:$C$1300=C997)*($J$2:$J$1300="Monthly")*($A$2:$A$1300&lt;=A997)*(YEAR($A$2:$A$1300)=YEAR(A997))*ISNUMBER($K$2:$K$1300)*ISNUMBER($L$2:$L$1300)*($L$2:$L$1300=0)*($K$2:$K$1300&gt;0))&gt;0,"INCOMPLETE","MISSING"),O390)</f>
        <v>MISSING</v>
      </c>
      <c r="P997" s="193" t="str">
        <f>INDEX(_TARGETS!$K$2:$K$17,MATCH($C997,_TARGETS!$A$2:$A$17,0))</f>
        <v>OPS (carga manual en Datos)</v>
      </c>
      <c r="Q997" s="193" t="str">
        <f t="shared" si="93"/>
        <v>202802|CAMS|YTD</v>
      </c>
      <c r="R997" s="193" t="str">
        <f>INDEX(_TARGETS!$H$2:$H$17,MATCH($C997,_TARGETS!$A$2:$A$17,0))</f>
        <v>Solo reporte</v>
      </c>
      <c r="S997" s="193" t="str">
        <f t="shared" si="94"/>
        <v/>
      </c>
      <c r="T997" s="193" t="str">
        <f t="shared" si="95"/>
        <v/>
      </c>
    </row>
    <row r="998" spans="1:20" ht="14.25" customHeight="1" x14ac:dyDescent="0.3">
      <c r="A998" s="249">
        <f>KPIs!$V$3</f>
        <v>46784</v>
      </c>
      <c r="B998" s="193" t="str">
        <f>KPIs!V$4</f>
        <v>Compresora</v>
      </c>
      <c r="C998" t="s">
        <v>87</v>
      </c>
      <c r="D998" s="193" t="str">
        <f>KPIs!$A$46</f>
        <v>11 · Cumplimiento de caminatas gerenciales · YTD</v>
      </c>
      <c r="E998" t="s">
        <v>601</v>
      </c>
      <c r="F998" s="193" t="str">
        <f>IF(ISNUMBER(KPIs!V46),KPIs!V46,"")</f>
        <v/>
      </c>
      <c r="G998" s="254">
        <f>IF(ISNUMBER(KPIs!$C$46),KPIs!$C$46,"")</f>
        <v>1</v>
      </c>
      <c r="H998" s="193" t="str">
        <f>IFERROR(INDEX(_TARGETS!$E$2:$E$17,MATCH($C998,_TARGETS!$A$2:$A$17,0))&amp;"","")</f>
        <v>≥</v>
      </c>
      <c r="I998" s="193" t="str">
        <f t="shared" si="91"/>
        <v/>
      </c>
      <c r="J998" s="193" t="str">
        <f t="shared" si="92"/>
        <v>YTD</v>
      </c>
      <c r="K998" s="193">
        <f>SUMIFS(Datos!$D$24:$AL$24,Datos!$D$3:$AL$3,"&gt;="&amp;DATE(YEAR(Datos!V$3),1,1),Datos!$D$3:$AL$3,"&lt;="&amp;Datos!V$3)</f>
        <v>0</v>
      </c>
      <c r="L998" s="193">
        <f>SUMIFS(Datos!$D$25:$AL$25,Datos!$D$3:$AL$3,"&gt;="&amp;DATE(YEAR(Datos!V$3),1,1),Datos!$D$3:$AL$3,"&lt;="&amp;Datos!V$3)</f>
        <v>0</v>
      </c>
      <c r="M998" s="193">
        <f>INDEX(_TARGETS!$J$2:$J$17,MATCH($C998,_TARGETS!$A$2:$A$17,0))</f>
        <v>1</v>
      </c>
      <c r="N998" s="193" t="str">
        <f>INDEX(_TARGETS!$D$2:$D$17,MATCH($C998,_TARGETS!$A$2:$A$17,0))</f>
        <v>% (fracción)</v>
      </c>
      <c r="O998" s="193" t="str">
        <f>IF(NOT(ISNUMBER(F998)),IF(SUMPRODUCT(($C$2:$C$1300=C998)*($J$2:$J$1300="Monthly")*($A$2:$A$1300&lt;=A998)*(YEAR($A$2:$A$1300)=YEAR(A998))*ISNUMBER($K$2:$K$1300)*ISNUMBER($L$2:$L$1300)*($L$2:$L$1300=0)*($K$2:$K$1300&gt;0))&gt;0,"INCOMPLETE","MISSING"),O391)</f>
        <v>MISSING</v>
      </c>
      <c r="P998" s="193" t="str">
        <f>INDEX(_TARGETS!$K$2:$K$17,MATCH($C998,_TARGETS!$A$2:$A$17,0))</f>
        <v>OPS (carga manual en Datos)</v>
      </c>
      <c r="Q998" s="193" t="str">
        <f t="shared" si="93"/>
        <v>202802|ICCS|YTD</v>
      </c>
      <c r="R998" s="193" t="str">
        <f>INDEX(_TARGETS!$H$2:$H$17,MATCH($C998,_TARGETS!$A$2:$A$17,0))</f>
        <v>Definida</v>
      </c>
      <c r="S998" s="193" t="str">
        <f t="shared" si="94"/>
        <v/>
      </c>
      <c r="T998" s="193" t="str">
        <f t="shared" si="95"/>
        <v/>
      </c>
    </row>
    <row r="999" spans="1:20" ht="14.25" customHeight="1" x14ac:dyDescent="0.3">
      <c r="A999" s="249">
        <f>KPIs!$V$3</f>
        <v>46784</v>
      </c>
      <c r="B999" s="193" t="str">
        <f>KPIs!V$4</f>
        <v>Compresora</v>
      </c>
      <c r="C999" t="s">
        <v>89</v>
      </c>
      <c r="D999" s="193" t="str">
        <f>KPIs!$A$47</f>
        <v>12 · Cumplimiento de comités y subcomités de seguridad · YTD</v>
      </c>
      <c r="E999" t="s">
        <v>601</v>
      </c>
      <c r="F999" s="193" t="str">
        <f>IF(ISNUMBER(KPIs!V47),KPIs!V47,"")</f>
        <v/>
      </c>
      <c r="G999" s="254">
        <f>IF(ISNUMBER(KPIs!$C$47),KPIs!$C$47,"")</f>
        <v>1</v>
      </c>
      <c r="H999" s="193" t="str">
        <f>IFERROR(INDEX(_TARGETS!$E$2:$E$17,MATCH($C999,_TARGETS!$A$2:$A$17,0))&amp;"","")</f>
        <v>≥</v>
      </c>
      <c r="I999" s="193" t="str">
        <f t="shared" si="91"/>
        <v/>
      </c>
      <c r="J999" s="193" t="str">
        <f t="shared" si="92"/>
        <v>YTD</v>
      </c>
      <c r="K999" s="193">
        <f>SUMIFS(Datos!$D$26:$AL$26,Datos!$D$3:$AL$3,"&gt;="&amp;DATE(YEAR(Datos!V$3),1,1),Datos!$D$3:$AL$3,"&lt;="&amp;Datos!V$3)</f>
        <v>0</v>
      </c>
      <c r="L999" s="193">
        <f>SUMIFS(Datos!$D$27:$AL$27,Datos!$D$3:$AL$3,"&gt;="&amp;DATE(YEAR(Datos!V$3),1,1),Datos!$D$3:$AL$3,"&lt;="&amp;Datos!V$3)</f>
        <v>0</v>
      </c>
      <c r="M999" s="193">
        <f>INDEX(_TARGETS!$J$2:$J$17,MATCH($C999,_TARGETS!$A$2:$A$17,0))</f>
        <v>1</v>
      </c>
      <c r="N999" s="193" t="str">
        <f>INDEX(_TARGETS!$D$2:$D$17,MATCH($C999,_TARGETS!$A$2:$A$17,0))</f>
        <v>% (fracción)</v>
      </c>
      <c r="O999" s="193" t="str">
        <f>IF(NOT(ISNUMBER(F999)),IF(SUMPRODUCT(($C$2:$C$1300=C999)*($J$2:$J$1300="Monthly")*($A$2:$A$1300&lt;=A999)*(YEAR($A$2:$A$1300)=YEAR(A999))*ISNUMBER($K$2:$K$1300)*ISNUMBER($L$2:$L$1300)*($L$2:$L$1300=0)*($K$2:$K$1300&gt;0))&gt;0,"INCOMPLETE","MISSING"),O392)</f>
        <v>MISSING</v>
      </c>
      <c r="P999" s="193" t="str">
        <f>INDEX(_TARGETS!$K$2:$K$17,MATCH($C999,_TARGETS!$A$2:$A$17,0))</f>
        <v>OPS (carga manual en Datos)</v>
      </c>
      <c r="Q999" s="193" t="str">
        <f t="shared" si="93"/>
        <v>202802|CCS|YTD</v>
      </c>
      <c r="R999" s="193" t="str">
        <f>INDEX(_TARGETS!$H$2:$H$17,MATCH($C999,_TARGETS!$A$2:$A$17,0))</f>
        <v>Definida</v>
      </c>
      <c r="S999" s="193" t="str">
        <f t="shared" si="94"/>
        <v/>
      </c>
      <c r="T999" s="193" t="str">
        <f t="shared" si="95"/>
        <v/>
      </c>
    </row>
    <row r="1000" spans="1:20" ht="14.25" customHeight="1" x14ac:dyDescent="0.3">
      <c r="A1000" s="249">
        <f>KPIs!$V$3</f>
        <v>46784</v>
      </c>
      <c r="B1000" s="193" t="str">
        <f>KPIs!V$4</f>
        <v>Compresora</v>
      </c>
      <c r="C1000" t="s">
        <v>91</v>
      </c>
      <c r="D1000" s="193" t="str">
        <f>KPIs!$A$48</f>
        <v>13 · Días promedio para cerrar hallazgos · YTD</v>
      </c>
      <c r="E1000" t="s">
        <v>601</v>
      </c>
      <c r="F1000" s="251" t="str">
        <f>IF(ISNUMBER(KPIs!V48),KPIs!V48,"")</f>
        <v/>
      </c>
      <c r="G1000" s="193" t="str">
        <f>IF(ISNUMBER(KPIs!$C$48),KPIs!$C$48,"")</f>
        <v/>
      </c>
      <c r="H1000" s="193" t="str">
        <f>IFERROR(INDEX(_TARGETS!$E$2:$E$17,MATCH($C1000,_TARGETS!$A$2:$A$17,0))&amp;"","")</f>
        <v>≤</v>
      </c>
      <c r="I1000" s="193" t="str">
        <f t="shared" si="91"/>
        <v/>
      </c>
      <c r="J1000" s="193" t="str">
        <f t="shared" si="92"/>
        <v>YTD</v>
      </c>
      <c r="K1000" s="193">
        <f>SUMIFS(Datos!$D$68:$AL$68,Datos!$D$3:$AL$3,"&gt;="&amp;DATE(YEAR(Datos!V$3),1,1),Datos!$D$3:$AL$3,"&lt;="&amp;Datos!V$3)</f>
        <v>0</v>
      </c>
      <c r="L1000" s="193">
        <f>SUMIFS(Datos!$D$67:$AL$67,Datos!$D$3:$AL$3,"&gt;="&amp;DATE(YEAR(Datos!V$3),1,1),Datos!$D$3:$AL$3,"&lt;="&amp;Datos!V$3)</f>
        <v>0</v>
      </c>
      <c r="M1000" s="193">
        <f>INDEX(_TARGETS!$J$2:$J$17,MATCH($C1000,_TARGETS!$A$2:$A$17,0))</f>
        <v>1</v>
      </c>
      <c r="N1000" s="193" t="str">
        <f>INDEX(_TARGETS!$D$2:$D$17,MATCH($C1000,_TARGETS!$A$2:$A$17,0))</f>
        <v>días</v>
      </c>
      <c r="O1000" s="193" t="str">
        <f>IF(NOT(ISNUMBER(F1000)),IF(SUMPRODUCT(($C$2:$C$1300=C1000)*($J$2:$J$1300="Monthly")*($A$2:$A$1300&lt;=A1000)*(YEAR($A$2:$A$1300)=YEAR(A1000))*ISNUMBER($K$2:$K$1300)*ISNUMBER($L$2:$L$1300)*($L$2:$L$1300=0)*($K$2:$K$1300&gt;0))&gt;0,"INCOMPLETE","MISSING"),O393)</f>
        <v>MISSING</v>
      </c>
      <c r="P1000" s="193" t="str">
        <f>INDEX(_TARGETS!$K$2:$K$17,MATCH($C1000,_TARGETS!$A$2:$A$17,0))</f>
        <v>Plant Findings (hoja Observaciones-SMP)</v>
      </c>
      <c r="Q1000" s="193" t="str">
        <f t="shared" si="93"/>
        <v>202802|DPAS|YTD</v>
      </c>
      <c r="R1000" s="193" t="str">
        <f>INDEX(_TARGETS!$H$2:$H$17,MATCH($C1000,_TARGETS!$A$2:$A$17,0))</f>
        <v>Pendiente (meta 2027)</v>
      </c>
      <c r="S1000" s="193" t="str">
        <f t="shared" si="94"/>
        <v/>
      </c>
      <c r="T1000" s="193" t="str">
        <f t="shared" si="95"/>
        <v/>
      </c>
    </row>
    <row r="1001" spans="1:20" ht="14.25" customHeight="1" x14ac:dyDescent="0.3">
      <c r="A1001" s="249">
        <f>KPIs!$V$3</f>
        <v>46784</v>
      </c>
      <c r="B1001" s="193" t="str">
        <f>KPIs!V$4</f>
        <v>Compresora</v>
      </c>
      <c r="C1001" t="s">
        <v>96</v>
      </c>
      <c r="D1001" s="193" t="str">
        <f>KPIs!$A$49</f>
        <v>C1 · % de desvíos detectados de gravedad Alta · YTD</v>
      </c>
      <c r="E1001" t="s">
        <v>601</v>
      </c>
      <c r="F1001" s="193" t="str">
        <f>IF(ISNUMBER(KPIs!V49),KPIs!V49,"")</f>
        <v/>
      </c>
      <c r="G1001" s="193" t="str">
        <f>IF(ISNUMBER(KPIs!$C$49),KPIs!$C$49,"")</f>
        <v/>
      </c>
      <c r="H1001" s="193" t="str">
        <f>IFERROR(INDEX(_TARGETS!$E$2:$E$17,MATCH($C1001,_TARGETS!$A$2:$A$17,0))&amp;"","")</f>
        <v/>
      </c>
      <c r="I1001" s="193" t="str">
        <f t="shared" si="91"/>
        <v/>
      </c>
      <c r="J1001" s="193" t="str">
        <f t="shared" si="92"/>
        <v>YTD</v>
      </c>
      <c r="K1001" s="193">
        <f>SUMIFS(Datos!$D$71:$AL$71,Datos!$D$3:$AL$3,"&gt;="&amp;DATE(YEAR(Datos!V$3),1,1),Datos!$D$3:$AL$3,"&lt;="&amp;Datos!V$3)</f>
        <v>0</v>
      </c>
      <c r="L1001" s="193">
        <f>SUMIFS(Datos!$D$71:$AL$71,Datos!$D$3:$AL$3,"&gt;="&amp;DATE(YEAR(Datos!V$3),1,1),Datos!$D$3:$AL$3,"&lt;="&amp;Datos!V$3)+SUMIFS(Datos!$D$72:$AL$72,Datos!$D$3:$AL$3,"&gt;="&amp;DATE(YEAR(Datos!V$3),1,1),Datos!$D$3:$AL$3,"&lt;="&amp;Datos!V$3)+SUMIFS(Datos!$D$73:$AL$73,Datos!$D$3:$AL$3,"&gt;="&amp;DATE(YEAR(Datos!V$3),1,1),Datos!$D$3:$AL$3,"&lt;="&amp;Datos!V$3)</f>
        <v>0</v>
      </c>
      <c r="M1001" s="193">
        <f>INDEX(_TARGETS!$J$2:$J$17,MATCH($C1001,_TARGETS!$A$2:$A$17,0))</f>
        <v>1</v>
      </c>
      <c r="N1001" s="193" t="str">
        <f>INDEX(_TARGETS!$D$2:$D$17,MATCH($C1001,_TARGETS!$A$2:$A$17,0))</f>
        <v>% (fracción)</v>
      </c>
      <c r="O1001" s="193" t="str">
        <f t="shared" ref="O1001:O1007" si="98">IF(NOT(ISNUMBER(F1001)),IF(SUMPRODUCT(($C$2:$C$1300=C1001)*($J$2:$J$1300="Monthly")*($A$2:$A$1300&lt;=A1001)*(YEAR($A$2:$A$1300)=YEAR(A1001))*ISNUMBER($K$2:$K$1300)*ISNUMBER($L$2:$L$1300)*($L$2:$L$1300=0)*($K$2:$K$1300&gt;0))&gt;0,"INCOMPLETE","MISSING"),O399)</f>
        <v>MISSING</v>
      </c>
      <c r="P1001" s="193" t="str">
        <f>INDEX(_TARGETS!$K$2:$K$17,MATCH($C1001,_TARGETS!$A$2:$A$17,0))</f>
        <v>Plant Findings (hoja Observaciones-SMP)</v>
      </c>
      <c r="Q1001" s="193" t="str">
        <f t="shared" si="93"/>
        <v>202802|HAL_ALTA_PCT|YTD</v>
      </c>
      <c r="R1001" s="193" t="str">
        <f>INDEX(_TARGETS!$H$2:$H$17,MATCH($C1001,_TARGETS!$A$2:$A$17,0))</f>
        <v>Solo reporte</v>
      </c>
      <c r="S1001" s="193" t="str">
        <f t="shared" si="94"/>
        <v/>
      </c>
      <c r="T1001" s="193" t="str">
        <f t="shared" si="95"/>
        <v/>
      </c>
    </row>
    <row r="1002" spans="1:20" ht="14.25" customHeight="1" x14ac:dyDescent="0.3">
      <c r="A1002" s="249">
        <f>KPIs!$V$3</f>
        <v>46784</v>
      </c>
      <c r="B1002" s="193" t="str">
        <f>KPIs!V$4</f>
        <v>Compresora</v>
      </c>
      <c r="C1002" t="s">
        <v>98</v>
      </c>
      <c r="D1002" s="193" t="str">
        <f>KPIs!$A$50</f>
        <v>C2 · Detenciones de tareas aplicadas · YTD</v>
      </c>
      <c r="E1002" t="s">
        <v>601</v>
      </c>
      <c r="F1002" s="193" t="str">
        <f>IF(ISNUMBER(KPIs!V50),KPIs!V50,"")</f>
        <v/>
      </c>
      <c r="G1002" s="193" t="str">
        <f>IF(ISNUMBER(KPIs!$C$50),KPIs!$C$50,"")</f>
        <v/>
      </c>
      <c r="H1002" s="193" t="str">
        <f>IFERROR(INDEX(_TARGETS!$E$2:$E$17,MATCH($C1002,_TARGETS!$A$2:$A$17,0))&amp;"","")</f>
        <v/>
      </c>
      <c r="I1002" s="193" t="str">
        <f t="shared" si="91"/>
        <v/>
      </c>
      <c r="J1002" s="193" t="str">
        <f t="shared" si="92"/>
        <v>YTD</v>
      </c>
      <c r="K1002" s="193">
        <f>SUMIFS(Datos!$D$75:$AL$75,Datos!$D$3:$AL$3,"&gt;="&amp;DATE(YEAR(Datos!V$3),1,1),Datos!$D$3:$AL$3,"&lt;="&amp;Datos!V$3)</f>
        <v>0</v>
      </c>
      <c r="M1002" s="193">
        <f>INDEX(_TARGETS!$J$2:$J$17,MATCH($C1002,_TARGETS!$A$2:$A$17,0))</f>
        <v>1</v>
      </c>
      <c r="N1002" s="193" t="str">
        <f>INDEX(_TARGETS!$D$2:$D$17,MATCH($C1002,_TARGETS!$A$2:$A$17,0))</f>
        <v>u</v>
      </c>
      <c r="O1002" s="193" t="str">
        <f t="shared" si="98"/>
        <v>MISSING</v>
      </c>
      <c r="P1002" s="193" t="str">
        <f>INDEX(_TARGETS!$K$2:$K$17,MATCH($C1002,_TARGETS!$A$2:$A$17,0))</f>
        <v>Plant Findings (hoja Observaciones-SMP)</v>
      </c>
      <c r="Q1002" s="193" t="str">
        <f t="shared" si="93"/>
        <v>202802|DET|YTD</v>
      </c>
      <c r="R1002" s="193" t="str">
        <f>INDEX(_TARGETS!$H$2:$H$17,MATCH($C1002,_TARGETS!$A$2:$A$17,0))</f>
        <v>Solo reporte</v>
      </c>
      <c r="S1002" s="193">
        <f t="shared" si="94"/>
        <v>0</v>
      </c>
      <c r="T1002" s="193" t="str">
        <f t="shared" si="95"/>
        <v/>
      </c>
    </row>
    <row r="1003" spans="1:20" ht="14.25" customHeight="1" x14ac:dyDescent="0.3">
      <c r="A1003" s="249">
        <f>KPIs!$W$3</f>
        <v>46813</v>
      </c>
      <c r="B1003" s="193" t="str">
        <f>KPIs!W$4</f>
        <v>Compresora</v>
      </c>
      <c r="C1003" t="s">
        <v>39</v>
      </c>
      <c r="D1003" s="193" t="str">
        <f>KPIs!$A$37</f>
        <v>1 · Frecuencia de casos con días perdidos · YTD</v>
      </c>
      <c r="E1003" t="s">
        <v>601</v>
      </c>
      <c r="F1003" s="193" t="str">
        <f>IF(ISNUMBER(KPIs!W37),KPIs!W37,"")</f>
        <v/>
      </c>
      <c r="G1003" s="250">
        <f>IF(ISNUMBER(KPIs!$C$37),KPIs!$C$37,"")</f>
        <v>0</v>
      </c>
      <c r="H1003" s="193" t="str">
        <f>IFERROR(INDEX(_TARGETS!$E$2:$E$17,MATCH($C1003,_TARGETS!$A$2:$A$17,0))&amp;"","")</f>
        <v>≤</v>
      </c>
      <c r="I1003" s="193" t="str">
        <f t="shared" si="91"/>
        <v/>
      </c>
      <c r="J1003" s="193" t="str">
        <f t="shared" si="92"/>
        <v>YTD</v>
      </c>
      <c r="K1003" s="193">
        <f>SUMIFS(Datos!$D$33:$AL$33,Datos!$D$3:$AL$3,"&gt;="&amp;DATE(YEAR(Datos!W$3),1,1),Datos!$D$3:$AL$3,"&lt;="&amp;Datos!W$3)</f>
        <v>0</v>
      </c>
      <c r="L1003" s="193">
        <f>SUMIFS(Datos!$D$14:$AL$14,Datos!$D$3:$AL$3,"&gt;="&amp;DATE(YEAR(Datos!W$3),1,1),Datos!$D$3:$AL$3,"&lt;="&amp;Datos!W$3)</f>
        <v>0</v>
      </c>
      <c r="M1003" s="193">
        <f>INDEX(_TARGETS!$J$2:$J$17,MATCH($C1003,_TARGETS!$A$2:$A$17,0))</f>
        <v>1000000</v>
      </c>
      <c r="N1003" s="193" t="str">
        <f>INDEX(_TARGETS!$D$2:$D$17,MATCH($C1003,_TARGETS!$A$2:$A$17,0))</f>
        <v>casos / 10^6 HH</v>
      </c>
      <c r="O1003" s="193" t="str">
        <f t="shared" si="98"/>
        <v>MISSING</v>
      </c>
      <c r="P1003" s="193" t="str">
        <f>INDEX(_TARGETS!$K$2:$K$17,MATCH($C1003,_TARGETS!$A$2:$A$17,0))</f>
        <v>OPS (carga manual en Datos)</v>
      </c>
      <c r="Q1003" s="193" t="str">
        <f t="shared" si="93"/>
        <v>202803|DAFWCF|YTD</v>
      </c>
      <c r="R1003" s="193" t="str">
        <f>INDEX(_TARGETS!$H$2:$H$17,MATCH($C1003,_TARGETS!$A$2:$A$17,0))</f>
        <v>Definida</v>
      </c>
      <c r="S1003" s="193" t="str">
        <f t="shared" si="94"/>
        <v/>
      </c>
      <c r="T1003" s="193" t="str">
        <f t="shared" si="95"/>
        <v/>
      </c>
    </row>
    <row r="1004" spans="1:20" ht="14.25" customHeight="1" x14ac:dyDescent="0.3">
      <c r="A1004" s="249">
        <f>KPIs!$W$3</f>
        <v>46813</v>
      </c>
      <c r="B1004" s="193" t="str">
        <f>KPIs!W$4</f>
        <v>Compresora</v>
      </c>
      <c r="C1004" t="s">
        <v>49</v>
      </c>
      <c r="D1004" s="193" t="str">
        <f>KPIs!$A$38</f>
        <v>2 · Frecuencia de casos registrables · YTD</v>
      </c>
      <c r="E1004" t="s">
        <v>601</v>
      </c>
      <c r="F1004" s="193" t="str">
        <f>IF(ISNUMBER(KPIs!W38),KPIs!W38,"")</f>
        <v/>
      </c>
      <c r="G1004" s="250">
        <f>IF(ISNUMBER(KPIs!$C$38),KPIs!$C$38,"")</f>
        <v>2.35</v>
      </c>
      <c r="H1004" s="193" t="str">
        <f>IFERROR(INDEX(_TARGETS!$E$2:$E$17,MATCH($C1004,_TARGETS!$A$2:$A$17,0))&amp;"","")</f>
        <v>≤</v>
      </c>
      <c r="I1004" s="193" t="str">
        <f t="shared" si="91"/>
        <v/>
      </c>
      <c r="J1004" s="193" t="str">
        <f t="shared" si="92"/>
        <v>YTD</v>
      </c>
      <c r="K1004" s="193">
        <f>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f>
        <v>0</v>
      </c>
      <c r="L1004" s="193">
        <f>SUMIFS(Datos!$D$14:$AL$14,Datos!$D$3:$AL$3,"&gt;="&amp;DATE(YEAR(Datos!W$3),1,1),Datos!$D$3:$AL$3,"&lt;="&amp;Datos!W$3)</f>
        <v>0</v>
      </c>
      <c r="M1004" s="193">
        <f>INDEX(_TARGETS!$J$2:$J$17,MATCH($C1004,_TARGETS!$A$2:$A$17,0))</f>
        <v>1000000</v>
      </c>
      <c r="N1004" s="193" t="str">
        <f>INDEX(_TARGETS!$D$2:$D$17,MATCH($C1004,_TARGETS!$A$2:$A$17,0))</f>
        <v>casos / 10^6 HH</v>
      </c>
      <c r="O1004" s="193" t="str">
        <f t="shared" si="98"/>
        <v>MISSING</v>
      </c>
      <c r="P1004" s="193" t="str">
        <f>INDEX(_TARGETS!$K$2:$K$17,MATCH($C1004,_TARGETS!$A$2:$A$17,0))</f>
        <v>OPS (carga manual en Datos)</v>
      </c>
      <c r="Q1004" s="193" t="str">
        <f t="shared" si="93"/>
        <v>202803|TRICF|YTD</v>
      </c>
      <c r="R1004" s="193" t="str">
        <f>INDEX(_TARGETS!$H$2:$H$17,MATCH($C1004,_TARGETS!$A$2:$A$17,0))</f>
        <v>Definida</v>
      </c>
      <c r="S1004" s="193" t="str">
        <f t="shared" si="94"/>
        <v/>
      </c>
      <c r="T1004" s="193" t="str">
        <f t="shared" si="95"/>
        <v/>
      </c>
    </row>
    <row r="1005" spans="1:20" ht="14.25" customHeight="1" x14ac:dyDescent="0.3">
      <c r="A1005" s="249">
        <f>KPIs!$W$3</f>
        <v>46813</v>
      </c>
      <c r="B1005" s="193" t="str">
        <f>KPIs!W$4</f>
        <v>Compresora</v>
      </c>
      <c r="C1005" t="s">
        <v>51</v>
      </c>
      <c r="D1005" s="193" t="str">
        <f>KPIs!$A$39</f>
        <v>3 · Casos de primeros auxilios · YTD</v>
      </c>
      <c r="E1005" t="s">
        <v>601</v>
      </c>
      <c r="F1005" s="193" t="str">
        <f>IF(ISNUMBER(KPIs!W39),KPIs!W39,"")</f>
        <v/>
      </c>
      <c r="G1005" s="193" t="str">
        <f>IF(ISNUMBER(KPIs!$C$39),KPIs!$C$39,"")</f>
        <v/>
      </c>
      <c r="H1005" s="193" t="str">
        <f>IFERROR(INDEX(_TARGETS!$E$2:$E$17,MATCH($C1005,_TARGETS!$A$2:$A$17,0))&amp;"","")</f>
        <v/>
      </c>
      <c r="I1005" s="193" t="str">
        <f t="shared" si="91"/>
        <v/>
      </c>
      <c r="J1005" s="193" t="str">
        <f t="shared" si="92"/>
        <v>YTD</v>
      </c>
      <c r="K1005" s="193">
        <f>SUMIFS(Datos!$D$37:$AL$37,Datos!$D$3:$AL$3,"&gt;="&amp;DATE(YEAR(Datos!W$3),1,1),Datos!$D$3:$AL$3,"&lt;="&amp;Datos!W$3)</f>
        <v>0</v>
      </c>
      <c r="M1005" s="193">
        <f>INDEX(_TARGETS!$J$2:$J$17,MATCH($C1005,_TARGETS!$A$2:$A$17,0))</f>
        <v>1</v>
      </c>
      <c r="N1005" s="193" t="str">
        <f>INDEX(_TARGETS!$D$2:$D$17,MATCH($C1005,_TARGETS!$A$2:$A$17,0))</f>
        <v>casos</v>
      </c>
      <c r="O1005" s="193" t="str">
        <f t="shared" si="98"/>
        <v>MISSING</v>
      </c>
      <c r="P1005" s="193" t="str">
        <f>INDEX(_TARGETS!$K$2:$K$17,MATCH($C1005,_TARGETS!$A$2:$A$17,0))</f>
        <v>OPS (carga manual en Datos)</v>
      </c>
      <c r="Q1005" s="193" t="str">
        <f t="shared" si="93"/>
        <v>202803|FAC|YTD</v>
      </c>
      <c r="R1005" s="193" t="str">
        <f>INDEX(_TARGETS!$H$2:$H$17,MATCH($C1005,_TARGETS!$A$2:$A$17,0))</f>
        <v>Solo reporte</v>
      </c>
      <c r="S1005" s="193">
        <f t="shared" si="94"/>
        <v>0</v>
      </c>
      <c r="T1005" s="193" t="str">
        <f t="shared" si="95"/>
        <v/>
      </c>
    </row>
    <row r="1006" spans="1:20" ht="14.25" customHeight="1" x14ac:dyDescent="0.3">
      <c r="A1006" s="249">
        <f>KPIs!$W$3</f>
        <v>46813</v>
      </c>
      <c r="B1006" s="193" t="str">
        <f>KPIs!W$4</f>
        <v>Compresora</v>
      </c>
      <c r="C1006" t="s">
        <v>57</v>
      </c>
      <c r="D1006" s="193" t="str">
        <f>KPIs!$A$40</f>
        <v>4 · Accidentes vehiculares severos por millón de km · YTD</v>
      </c>
      <c r="E1006" t="s">
        <v>601</v>
      </c>
      <c r="F1006" s="193" t="str">
        <f>IF(ISNUMBER(KPIs!W40),KPIs!W40,"")</f>
        <v/>
      </c>
      <c r="G1006" s="193" t="str">
        <f>IF(ISNUMBER(KPIs!$C$40),KPIs!$C$40,"")</f>
        <v/>
      </c>
      <c r="H1006" s="193" t="str">
        <f>IFERROR(INDEX(_TARGETS!$E$2:$E$17,MATCH($C1006,_TARGETS!$A$2:$A$17,0))&amp;"","")</f>
        <v/>
      </c>
      <c r="I1006" s="193" t="str">
        <f t="shared" si="91"/>
        <v/>
      </c>
      <c r="J1006" s="193" t="str">
        <f t="shared" si="92"/>
        <v>YTD</v>
      </c>
      <c r="K1006" s="193">
        <f>SUMIFS(Datos!$D$39:$AL$39,Datos!$D$3:$AL$3,"&gt;="&amp;DATE(YEAR(Datos!W$3),1,1),Datos!$D$3:$AL$3,"&lt;="&amp;Datos!W$3)+SUMIFS(Datos!$D$40:$AL$40,Datos!$D$3:$AL$3,"&gt;="&amp;DATE(YEAR(Datos!W$3),1,1),Datos!$D$3:$AL$3,"&lt;="&amp;Datos!W$3)+SUMIFS(Datos!$D$41:$AL$41,Datos!$D$3:$AL$3,"&gt;="&amp;DATE(YEAR(Datos!W$3),1,1),Datos!$D$3:$AL$3,"&lt;="&amp;Datos!W$3)</f>
        <v>0</v>
      </c>
      <c r="L1006" s="193">
        <f>SUMIFS(Datos!$D$47:$AL$47,Datos!$D$3:$AL$3,"&gt;="&amp;DATE(YEAR(Datos!W$3),1,1),Datos!$D$3:$AL$3,"&lt;="&amp;Datos!W$3)</f>
        <v>0</v>
      </c>
      <c r="M1006" s="193">
        <f>INDEX(_TARGETS!$J$2:$J$17,MATCH($C1006,_TARGETS!$A$2:$A$17,0))</f>
        <v>1000000</v>
      </c>
      <c r="N1006" s="193" t="str">
        <f>INDEX(_TARGETS!$D$2:$D$17,MATCH($C1006,_TARGETS!$A$2:$A$17,0))</f>
        <v>eventos / 10^6 km</v>
      </c>
      <c r="O1006" s="193" t="str">
        <f t="shared" si="98"/>
        <v>MISSING</v>
      </c>
      <c r="P1006" s="193" t="str">
        <f>INDEX(_TARGETS!$K$2:$K$17,MATCH($C1006,_TARGETS!$A$2:$A$17,0))</f>
        <v>OPS (eventos) + Full Control GPS (km) - carga manual en Datos</v>
      </c>
      <c r="Q1006" s="193" t="str">
        <f t="shared" si="93"/>
        <v>202803|SVCR|YTD</v>
      </c>
      <c r="R1006" s="193" t="str">
        <f>INDEX(_TARGETS!$H$2:$H$17,MATCH($C1006,_TARGETS!$A$2:$A$17,0))</f>
        <v>Solo reporte</v>
      </c>
      <c r="S1006" s="193" t="str">
        <f t="shared" si="94"/>
        <v/>
      </c>
      <c r="T1006" s="193" t="str">
        <f t="shared" si="95"/>
        <v/>
      </c>
    </row>
    <row r="1007" spans="1:20" ht="14.25" customHeight="1" x14ac:dyDescent="0.3">
      <c r="A1007" s="249">
        <f>KPIs!$W$3</f>
        <v>46813</v>
      </c>
      <c r="B1007" s="193" t="str">
        <f>KPIs!W$4</f>
        <v>Compresora</v>
      </c>
      <c r="C1007" t="s">
        <v>61</v>
      </c>
      <c r="D1007" s="193" t="str">
        <f>KPIs!$A$41</f>
        <v>5 · Accidentes vehiculares totales por millón de km · YTD</v>
      </c>
      <c r="E1007" t="s">
        <v>601</v>
      </c>
      <c r="F1007" s="193" t="str">
        <f>IF(ISNUMBER(KPIs!W41),KPIs!W41,"")</f>
        <v/>
      </c>
      <c r="G1007" s="250">
        <f>IF(ISNUMBER(KPIs!$C$41),KPIs!$C$41,"")</f>
        <v>0.79</v>
      </c>
      <c r="H1007" s="193" t="str">
        <f>IFERROR(INDEX(_TARGETS!$E$2:$E$17,MATCH($C1007,_TARGETS!$A$2:$A$17,0))&amp;"","")</f>
        <v>≤</v>
      </c>
      <c r="I1007" s="193" t="str">
        <f t="shared" si="91"/>
        <v/>
      </c>
      <c r="J1007" s="193" t="str">
        <f t="shared" si="92"/>
        <v>YTD</v>
      </c>
      <c r="K1007" s="193">
        <f>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f>
        <v>0</v>
      </c>
      <c r="L1007" s="193">
        <f>SUMIFS(Datos!$D$47:$AL$47,Datos!$D$3:$AL$3,"&gt;="&amp;DATE(YEAR(Datos!W$3),1,1),Datos!$D$3:$AL$3,"&lt;="&amp;Datos!W$3)</f>
        <v>0</v>
      </c>
      <c r="M1007" s="193">
        <f>INDEX(_TARGETS!$J$2:$J$17,MATCH($C1007,_TARGETS!$A$2:$A$17,0))</f>
        <v>1000000</v>
      </c>
      <c r="N1007" s="193" t="str">
        <f>INDEX(_TARGETS!$D$2:$D$17,MATCH($C1007,_TARGETS!$A$2:$A$17,0))</f>
        <v>eventos / 10^6 km</v>
      </c>
      <c r="O1007" s="193" t="str">
        <f t="shared" si="98"/>
        <v>MISSING</v>
      </c>
      <c r="P1007" s="193" t="str">
        <f>INDEX(_TARGETS!$K$2:$K$17,MATCH($C1007,_TARGETS!$A$2:$A$17,0))</f>
        <v>OPS (eventos) + Full Control GPS (km) - carga manual en Datos</v>
      </c>
      <c r="Q1007" s="193" t="str">
        <f t="shared" si="93"/>
        <v>202803|TVCR|YTD</v>
      </c>
      <c r="R1007" s="193" t="str">
        <f>INDEX(_TARGETS!$H$2:$H$17,MATCH($C1007,_TARGETS!$A$2:$A$17,0))</f>
        <v>Definida</v>
      </c>
      <c r="S1007" s="193" t="str">
        <f t="shared" si="94"/>
        <v/>
      </c>
      <c r="T1007" s="193" t="str">
        <f t="shared" si="95"/>
        <v/>
      </c>
    </row>
    <row r="1008" spans="1:20" ht="14.25" customHeight="1" x14ac:dyDescent="0.3">
      <c r="A1008" s="249">
        <f>KPIs!$W$3</f>
        <v>46813</v>
      </c>
      <c r="B1008" s="193" t="str">
        <f>KPIs!W$4</f>
        <v>Compresora</v>
      </c>
      <c r="C1008" t="s">
        <v>71</v>
      </c>
      <c r="D1008" s="193" t="str">
        <f>KPIs!$A$42</f>
        <v>7 · Investigaciones de accidentes: días promedio de cierre · YTD</v>
      </c>
      <c r="E1008" t="s">
        <v>601</v>
      </c>
      <c r="F1008" s="193" t="str">
        <f>IF(ISNUMBER(KPIs!W42),KPIs!W42,"")</f>
        <v/>
      </c>
      <c r="G1008" s="251">
        <f>IF(ISNUMBER(KPIs!$C$42),KPIs!$C$42,"")</f>
        <v>20</v>
      </c>
      <c r="H1008" s="193" t="str">
        <f>IFERROR(INDEX(_TARGETS!$E$2:$E$17,MATCH($C1008,_TARGETS!$A$2:$A$17,0))&amp;"","")</f>
        <v>≤</v>
      </c>
      <c r="I1008" s="193" t="str">
        <f t="shared" si="91"/>
        <v/>
      </c>
      <c r="J1008" s="193" t="str">
        <f t="shared" si="92"/>
        <v>YTD</v>
      </c>
      <c r="K1008" s="193">
        <f>SUMIFS(Datos!$D$31:$AL$31,Datos!$D$3:$AL$3,"&gt;="&amp;DATE(YEAR(Datos!W$3),1,1),Datos!$D$3:$AL$3,"&lt;="&amp;Datos!W$3)</f>
        <v>0</v>
      </c>
      <c r="L1008" s="193">
        <f>SUMIFS(Datos!$D$30:$AL$30,Datos!$D$3:$AL$3,"&gt;="&amp;DATE(YEAR(Datos!W$3),1,1),Datos!$D$3:$AL$3,"&lt;="&amp;Datos!W$3)</f>
        <v>0</v>
      </c>
      <c r="M1008" s="193">
        <f>INDEX(_TARGETS!$J$2:$J$17,MATCH($C1008,_TARGETS!$A$2:$A$17,0))</f>
        <v>1</v>
      </c>
      <c r="N1008" s="193" t="str">
        <f>INDEX(_TARGETS!$D$2:$D$17,MATCH($C1008,_TARGETS!$A$2:$A$17,0))</f>
        <v>días</v>
      </c>
      <c r="O1008" s="193" t="str">
        <f>IF(NOT(ISNUMBER(F1008)),IF(SUMPRODUCT(($C$2:$C$1300=C1008)*($J$2:$J$1300="Monthly")*($A$2:$A$1300&lt;=A1008)*(YEAR($A$2:$A$1300)=YEAR(A1008))*ISNUMBER($K$2:$K$1300)*ISNUMBER($L$2:$L$1300)*($L$2:$L$1300=0)*($K$2:$K$1300&gt;0))&gt;0,"INCOMPLETE","MISSING"),O407)</f>
        <v>MISSING</v>
      </c>
      <c r="P1008" s="193" t="str">
        <f>INDEX(_TARGETS!$K$2:$K$17,MATCH($C1008,_TARGETS!$A$2:$A$17,0))</f>
        <v>OPS (carga manual en Datos)</v>
      </c>
      <c r="Q1008" s="193" t="str">
        <f t="shared" si="93"/>
        <v>202803|INV|YTD</v>
      </c>
      <c r="R1008" s="193" t="str">
        <f>INDEX(_TARGETS!$H$2:$H$17,MATCH($C1008,_TARGETS!$A$2:$A$17,0))</f>
        <v>Definida</v>
      </c>
      <c r="S1008" s="193" t="str">
        <f t="shared" si="94"/>
        <v/>
      </c>
      <c r="T1008" s="193" t="str">
        <f t="shared" si="95"/>
        <v/>
      </c>
    </row>
    <row r="1009" spans="1:20" ht="14.25" customHeight="1" x14ac:dyDescent="0.3">
      <c r="A1009" s="249">
        <f>KPIs!$W$3</f>
        <v>46813</v>
      </c>
      <c r="B1009" s="193" t="str">
        <f>KPIs!W$4</f>
        <v>Compresora</v>
      </c>
      <c r="C1009" t="s">
        <v>76</v>
      </c>
      <c r="D1009" s="193" t="str">
        <f>KPIs!$A$43</f>
        <v>8 · % de capacitación en seguridad · YTD</v>
      </c>
      <c r="E1009" t="s">
        <v>601</v>
      </c>
      <c r="F1009" s="193" t="str">
        <f>IF(ISNUMBER(KPIs!W43),KPIs!W43,"")</f>
        <v/>
      </c>
      <c r="G1009" s="252">
        <f>IF(ISNUMBER(KPIs!$C$43),KPIs!$C$43,"")</f>
        <v>0.01</v>
      </c>
      <c r="H1009" s="193" t="str">
        <f>IFERROR(INDEX(_TARGETS!$E$2:$E$17,MATCH($C1009,_TARGETS!$A$2:$A$17,0))&amp;"","")</f>
        <v>≥</v>
      </c>
      <c r="I1009" s="193" t="str">
        <f t="shared" si="91"/>
        <v/>
      </c>
      <c r="J1009" s="193" t="str">
        <f t="shared" si="92"/>
        <v>YTD</v>
      </c>
      <c r="K1009" s="193">
        <f>SUMIFS(Datos!$D$18:$AL$18,Datos!$D$3:$AL$3,"&gt;="&amp;DATE(YEAR(Datos!W$3),1,1),Datos!$D$3:$AL$3,"&lt;="&amp;Datos!W$3)</f>
        <v>0</v>
      </c>
      <c r="L1009" s="193">
        <f>SUMIFS(Datos!$D$14:$AL$14,Datos!$D$3:$AL$3,"&gt;="&amp;DATE(YEAR(Datos!W$3),1,1),Datos!$D$3:$AL$3,"&lt;="&amp;Datos!W$3)</f>
        <v>0</v>
      </c>
      <c r="M1009" s="193">
        <f>INDEX(_TARGETS!$J$2:$J$17,MATCH($C1009,_TARGETS!$A$2:$A$17,0))</f>
        <v>1</v>
      </c>
      <c r="N1009" s="193" t="str">
        <f>INDEX(_TARGETS!$D$2:$D$17,MATCH($C1009,_TARGETS!$A$2:$A$17,0))</f>
        <v>% (fracción)</v>
      </c>
      <c r="O1009" s="193" t="str">
        <f>IF(NOT(ISNUMBER(F1009)),IF(SUMPRODUCT(($C$2:$C$1300=C1009)*($J$2:$J$1300="Monthly")*($A$2:$A$1300&lt;=A1009)*(YEAR($A$2:$A$1300)=YEAR(A1009))*ISNUMBER($K$2:$K$1300)*ISNUMBER($L$2:$L$1300)*($L$2:$L$1300=0)*($K$2:$K$1300&gt;0))&gt;0,"INCOMPLETE","MISSING"),O408)</f>
        <v>MISSING</v>
      </c>
      <c r="P1009" s="193" t="str">
        <f>INDEX(_TARGETS!$K$2:$K$17,MATCH($C1009,_TARGETS!$A$2:$A$17,0))</f>
        <v>OPS (carga manual en Datos)</v>
      </c>
      <c r="Q1009" s="193" t="str">
        <f t="shared" si="93"/>
        <v>202803|HCS|YTD</v>
      </c>
      <c r="R1009" s="193" t="str">
        <f>INDEX(_TARGETS!$H$2:$H$17,MATCH($C1009,_TARGETS!$A$2:$A$17,0))</f>
        <v>Definida</v>
      </c>
      <c r="S1009" s="193" t="str">
        <f t="shared" si="94"/>
        <v/>
      </c>
      <c r="T1009" s="193" t="str">
        <f t="shared" si="95"/>
        <v/>
      </c>
    </row>
    <row r="1010" spans="1:20" ht="14.25" customHeight="1" x14ac:dyDescent="0.3">
      <c r="A1010" s="249">
        <f>KPIs!$W$3</f>
        <v>46813</v>
      </c>
      <c r="B1010" s="193" t="str">
        <f>KPIs!W$4</f>
        <v>Compresora</v>
      </c>
      <c r="C1010" t="s">
        <v>83</v>
      </c>
      <c r="D1010" s="193" t="str">
        <f>KPIs!$A$44</f>
        <v>10 · Cumplimiento de simulacros (emergencia y operativos) · YTD</v>
      </c>
      <c r="E1010" t="s">
        <v>601</v>
      </c>
      <c r="F1010" s="193" t="str">
        <f>IF(ISNUMBER(KPIs!W44),KPIs!W44,"")</f>
        <v/>
      </c>
      <c r="G1010" s="253">
        <f>IF(ISNUMBER(KPIs!$C$44),KPIs!$C$44,"")</f>
        <v>1</v>
      </c>
      <c r="H1010" s="193" t="str">
        <f>IFERROR(INDEX(_TARGETS!$E$2:$E$17,MATCH($C1010,_TARGETS!$A$2:$A$17,0))&amp;"","")</f>
        <v>≥</v>
      </c>
      <c r="I1010" s="193" t="str">
        <f t="shared" si="91"/>
        <v/>
      </c>
      <c r="J1010" s="193" t="str">
        <f t="shared" si="92"/>
        <v>YTD</v>
      </c>
      <c r="K1010" s="193">
        <f>SUMIFS(Datos!$D$20:$AL$20,Datos!$D$3:$AL$3,"&gt;="&amp;DATE(YEAR(Datos!W$3),1,1),Datos!$D$3:$AL$3,"&lt;="&amp;Datos!W$3)</f>
        <v>0</v>
      </c>
      <c r="L1010" s="193">
        <f>SUMIFS(Datos!$D$21:$AL$21,Datos!$D$3:$AL$3,"&gt;="&amp;DATE(YEAR(Datos!W$3),1,1),Datos!$D$3:$AL$3,"&lt;="&amp;Datos!W$3)</f>
        <v>0</v>
      </c>
      <c r="M1010" s="193">
        <f>INDEX(_TARGETS!$J$2:$J$17,MATCH($C1010,_TARGETS!$A$2:$A$17,0))</f>
        <v>1</v>
      </c>
      <c r="N1010" s="193" t="str">
        <f>INDEX(_TARGETS!$D$2:$D$17,MATCH($C1010,_TARGETS!$A$2:$A$17,0))</f>
        <v>% (fracción)</v>
      </c>
      <c r="O1010" s="193" t="str">
        <f>IF(NOT(ISNUMBER(F1010)),IF(SUMPRODUCT(($C$2:$C$1300=C1010)*($J$2:$J$1300="Monthly")*($A$2:$A$1300&lt;=A1010)*(YEAR($A$2:$A$1300)=YEAR(A1010))*ISNUMBER($K$2:$K$1300)*ISNUMBER($L$2:$L$1300)*($L$2:$L$1300=0)*($K$2:$K$1300&gt;0))&gt;0,"INCOMPLETE","MISSING"),O410)</f>
        <v>MISSING</v>
      </c>
      <c r="P1010" s="193" t="str">
        <f>INDEX(_TARGETS!$K$2:$K$17,MATCH($C1010,_TARGETS!$A$2:$A$17,0))</f>
        <v>OPS (carga manual en Datos)</v>
      </c>
      <c r="Q1010" s="193" t="str">
        <f t="shared" si="93"/>
        <v>202803|CPSE|YTD</v>
      </c>
      <c r="R1010" s="193" t="str">
        <f>INDEX(_TARGETS!$H$2:$H$17,MATCH($C1010,_TARGETS!$A$2:$A$17,0))</f>
        <v>Definida</v>
      </c>
      <c r="S1010" s="193" t="str">
        <f t="shared" si="94"/>
        <v/>
      </c>
      <c r="T1010" s="193" t="str">
        <f t="shared" si="95"/>
        <v/>
      </c>
    </row>
    <row r="1011" spans="1:20" ht="14.25" customHeight="1" x14ac:dyDescent="0.3">
      <c r="A1011" s="249">
        <f>KPIs!$W$3</f>
        <v>46813</v>
      </c>
      <c r="B1011" s="193" t="str">
        <f>KPIs!W$4</f>
        <v>Compresora</v>
      </c>
      <c r="C1011" t="s">
        <v>85</v>
      </c>
      <c r="D1011" s="193" t="str">
        <f>KPIs!$A$45</f>
        <v>10b · Cumplimiento de acciones de mejora de simulacros · YTD</v>
      </c>
      <c r="E1011" t="s">
        <v>601</v>
      </c>
      <c r="F1011" s="193" t="str">
        <f>IF(ISNUMBER(KPIs!W45),KPIs!W45,"")</f>
        <v/>
      </c>
      <c r="G1011" s="254" t="str">
        <f>IF(ISNUMBER(KPIs!$C$45),KPIs!$C$45,"")</f>
        <v/>
      </c>
      <c r="H1011" s="193" t="str">
        <f>IFERROR(INDEX(_TARGETS!$E$2:$E$17,MATCH($C1011,_TARGETS!$A$2:$A$17,0))&amp;"","")</f>
        <v/>
      </c>
      <c r="I1011" s="193" t="str">
        <f t="shared" si="91"/>
        <v/>
      </c>
      <c r="J1011" s="193" t="str">
        <f t="shared" si="92"/>
        <v>YTD</v>
      </c>
      <c r="K1011" s="193">
        <f>SUMIFS(Datos!$D$23:$AL$23,Datos!$D$3:$AL$3,"&gt;="&amp;DATE(YEAR(Datos!W$3),1,1),Datos!$D$3:$AL$3,"&lt;="&amp;Datos!W$3)</f>
        <v>0</v>
      </c>
      <c r="L1011" s="193">
        <f>SUMIFS(Datos!$D$22:$AL$22,Datos!$D$3:$AL$3,"&gt;="&amp;DATE(YEAR(Datos!W$3),1,1),Datos!$D$3:$AL$3,"&lt;="&amp;Datos!W$3)</f>
        <v>0</v>
      </c>
      <c r="M1011" s="193">
        <f>INDEX(_TARGETS!$J$2:$J$17,MATCH($C1011,_TARGETS!$A$2:$A$17,0))</f>
        <v>1</v>
      </c>
      <c r="N1011" s="193" t="str">
        <f>INDEX(_TARGETS!$D$2:$D$17,MATCH($C1011,_TARGETS!$A$2:$A$17,0))</f>
        <v>% (fracción)</v>
      </c>
      <c r="O1011" s="193" t="str">
        <f>IF(NOT(ISNUMBER(F1011)),IF(SUMPRODUCT(($C$2:$C$1300=C1011)*($J$2:$J$1300="Monthly")*($A$2:$A$1300&lt;=A1011)*(YEAR($A$2:$A$1300)=YEAR(A1011))*ISNUMBER($K$2:$K$1300)*ISNUMBER($L$2:$L$1300)*($L$2:$L$1300=0)*($K$2:$K$1300&gt;0))&gt;0,"INCOMPLETE","MISSING"),O411)</f>
        <v>MISSING</v>
      </c>
      <c r="P1011" s="193" t="str">
        <f>INDEX(_TARGETS!$K$2:$K$17,MATCH($C1011,_TARGETS!$A$2:$A$17,0))</f>
        <v>OPS (carga manual en Datos)</v>
      </c>
      <c r="Q1011" s="193" t="str">
        <f t="shared" si="93"/>
        <v>202803|CAMS|YTD</v>
      </c>
      <c r="R1011" s="193" t="str">
        <f>INDEX(_TARGETS!$H$2:$H$17,MATCH($C1011,_TARGETS!$A$2:$A$17,0))</f>
        <v>Solo reporte</v>
      </c>
      <c r="S1011" s="193" t="str">
        <f t="shared" si="94"/>
        <v/>
      </c>
      <c r="T1011" s="193" t="str">
        <f t="shared" si="95"/>
        <v/>
      </c>
    </row>
    <row r="1012" spans="1:20" ht="14.25" customHeight="1" x14ac:dyDescent="0.3">
      <c r="A1012" s="249">
        <f>KPIs!$W$3</f>
        <v>46813</v>
      </c>
      <c r="B1012" s="193" t="str">
        <f>KPIs!W$4</f>
        <v>Compresora</v>
      </c>
      <c r="C1012" t="s">
        <v>87</v>
      </c>
      <c r="D1012" s="193" t="str">
        <f>KPIs!$A$46</f>
        <v>11 · Cumplimiento de caminatas gerenciales · YTD</v>
      </c>
      <c r="E1012" t="s">
        <v>601</v>
      </c>
      <c r="F1012" s="193" t="str">
        <f>IF(ISNUMBER(KPIs!W46),KPIs!W46,"")</f>
        <v/>
      </c>
      <c r="G1012" s="254">
        <f>IF(ISNUMBER(KPIs!$C$46),KPIs!$C$46,"")</f>
        <v>1</v>
      </c>
      <c r="H1012" s="193" t="str">
        <f>IFERROR(INDEX(_TARGETS!$E$2:$E$17,MATCH($C1012,_TARGETS!$A$2:$A$17,0))&amp;"","")</f>
        <v>≥</v>
      </c>
      <c r="I1012" s="193" t="str">
        <f t="shared" si="91"/>
        <v/>
      </c>
      <c r="J1012" s="193" t="str">
        <f t="shared" si="92"/>
        <v>YTD</v>
      </c>
      <c r="K1012" s="193">
        <f>SUMIFS(Datos!$D$24:$AL$24,Datos!$D$3:$AL$3,"&gt;="&amp;DATE(YEAR(Datos!W$3),1,1),Datos!$D$3:$AL$3,"&lt;="&amp;Datos!W$3)</f>
        <v>0</v>
      </c>
      <c r="L1012" s="193">
        <f>SUMIFS(Datos!$D$25:$AL$25,Datos!$D$3:$AL$3,"&gt;="&amp;DATE(YEAR(Datos!W$3),1,1),Datos!$D$3:$AL$3,"&lt;="&amp;Datos!W$3)</f>
        <v>0</v>
      </c>
      <c r="M1012" s="193">
        <f>INDEX(_TARGETS!$J$2:$J$17,MATCH($C1012,_TARGETS!$A$2:$A$17,0))</f>
        <v>1</v>
      </c>
      <c r="N1012" s="193" t="str">
        <f>INDEX(_TARGETS!$D$2:$D$17,MATCH($C1012,_TARGETS!$A$2:$A$17,0))</f>
        <v>% (fracción)</v>
      </c>
      <c r="O1012" s="193" t="str">
        <f>IF(NOT(ISNUMBER(F1012)),IF(SUMPRODUCT(($C$2:$C$1300=C1012)*($J$2:$J$1300="Monthly")*($A$2:$A$1300&lt;=A1012)*(YEAR($A$2:$A$1300)=YEAR(A1012))*ISNUMBER($K$2:$K$1300)*ISNUMBER($L$2:$L$1300)*($L$2:$L$1300=0)*($K$2:$K$1300&gt;0))&gt;0,"INCOMPLETE","MISSING"),O412)</f>
        <v>MISSING</v>
      </c>
      <c r="P1012" s="193" t="str">
        <f>INDEX(_TARGETS!$K$2:$K$17,MATCH($C1012,_TARGETS!$A$2:$A$17,0))</f>
        <v>OPS (carga manual en Datos)</v>
      </c>
      <c r="Q1012" s="193" t="str">
        <f t="shared" si="93"/>
        <v>202803|ICCS|YTD</v>
      </c>
      <c r="R1012" s="193" t="str">
        <f>INDEX(_TARGETS!$H$2:$H$17,MATCH($C1012,_TARGETS!$A$2:$A$17,0))</f>
        <v>Definida</v>
      </c>
      <c r="S1012" s="193" t="str">
        <f t="shared" si="94"/>
        <v/>
      </c>
      <c r="T1012" s="193" t="str">
        <f t="shared" si="95"/>
        <v/>
      </c>
    </row>
    <row r="1013" spans="1:20" ht="14.25" customHeight="1" x14ac:dyDescent="0.3">
      <c r="A1013" s="249">
        <f>KPIs!$W$3</f>
        <v>46813</v>
      </c>
      <c r="B1013" s="193" t="str">
        <f>KPIs!W$4</f>
        <v>Compresora</v>
      </c>
      <c r="C1013" t="s">
        <v>89</v>
      </c>
      <c r="D1013" s="193" t="str">
        <f>KPIs!$A$47</f>
        <v>12 · Cumplimiento de comités y subcomités de seguridad · YTD</v>
      </c>
      <c r="E1013" t="s">
        <v>601</v>
      </c>
      <c r="F1013" s="193" t="str">
        <f>IF(ISNUMBER(KPIs!W47),KPIs!W47,"")</f>
        <v/>
      </c>
      <c r="G1013" s="254">
        <f>IF(ISNUMBER(KPIs!$C$47),KPIs!$C$47,"")</f>
        <v>1</v>
      </c>
      <c r="H1013" s="193" t="str">
        <f>IFERROR(INDEX(_TARGETS!$E$2:$E$17,MATCH($C1013,_TARGETS!$A$2:$A$17,0))&amp;"","")</f>
        <v>≥</v>
      </c>
      <c r="I1013" s="193" t="str">
        <f t="shared" si="91"/>
        <v/>
      </c>
      <c r="J1013" s="193" t="str">
        <f t="shared" si="92"/>
        <v>YTD</v>
      </c>
      <c r="K1013" s="193">
        <f>SUMIFS(Datos!$D$26:$AL$26,Datos!$D$3:$AL$3,"&gt;="&amp;DATE(YEAR(Datos!W$3),1,1),Datos!$D$3:$AL$3,"&lt;="&amp;Datos!W$3)</f>
        <v>0</v>
      </c>
      <c r="L1013" s="193">
        <f>SUMIFS(Datos!$D$27:$AL$27,Datos!$D$3:$AL$3,"&gt;="&amp;DATE(YEAR(Datos!W$3),1,1),Datos!$D$3:$AL$3,"&lt;="&amp;Datos!W$3)</f>
        <v>0</v>
      </c>
      <c r="M1013" s="193">
        <f>INDEX(_TARGETS!$J$2:$J$17,MATCH($C1013,_TARGETS!$A$2:$A$17,0))</f>
        <v>1</v>
      </c>
      <c r="N1013" s="193" t="str">
        <f>INDEX(_TARGETS!$D$2:$D$17,MATCH($C1013,_TARGETS!$A$2:$A$17,0))</f>
        <v>% (fracción)</v>
      </c>
      <c r="O1013" s="193" t="str">
        <f>IF(NOT(ISNUMBER(F1013)),IF(SUMPRODUCT(($C$2:$C$1300=C1013)*($J$2:$J$1300="Monthly")*($A$2:$A$1300&lt;=A1013)*(YEAR($A$2:$A$1300)=YEAR(A1013))*ISNUMBER($K$2:$K$1300)*ISNUMBER($L$2:$L$1300)*($L$2:$L$1300=0)*($K$2:$K$1300&gt;0))&gt;0,"INCOMPLETE","MISSING"),O413)</f>
        <v>MISSING</v>
      </c>
      <c r="P1013" s="193" t="str">
        <f>INDEX(_TARGETS!$K$2:$K$17,MATCH($C1013,_TARGETS!$A$2:$A$17,0))</f>
        <v>OPS (carga manual en Datos)</v>
      </c>
      <c r="Q1013" s="193" t="str">
        <f t="shared" si="93"/>
        <v>202803|CCS|YTD</v>
      </c>
      <c r="R1013" s="193" t="str">
        <f>INDEX(_TARGETS!$H$2:$H$17,MATCH($C1013,_TARGETS!$A$2:$A$17,0))</f>
        <v>Definida</v>
      </c>
      <c r="S1013" s="193" t="str">
        <f t="shared" si="94"/>
        <v/>
      </c>
      <c r="T1013" s="193" t="str">
        <f t="shared" si="95"/>
        <v/>
      </c>
    </row>
    <row r="1014" spans="1:20" ht="14.25" customHeight="1" x14ac:dyDescent="0.3">
      <c r="A1014" s="249">
        <f>KPIs!$W$3</f>
        <v>46813</v>
      </c>
      <c r="B1014" s="193" t="str">
        <f>KPIs!W$4</f>
        <v>Compresora</v>
      </c>
      <c r="C1014" t="s">
        <v>91</v>
      </c>
      <c r="D1014" s="193" t="str">
        <f>KPIs!$A$48</f>
        <v>13 · Días promedio para cerrar hallazgos · YTD</v>
      </c>
      <c r="E1014" t="s">
        <v>601</v>
      </c>
      <c r="F1014" s="251" t="str">
        <f>IF(ISNUMBER(KPIs!W48),KPIs!W48,"")</f>
        <v/>
      </c>
      <c r="G1014" s="193" t="str">
        <f>IF(ISNUMBER(KPIs!$C$48),KPIs!$C$48,"")</f>
        <v/>
      </c>
      <c r="H1014" s="193" t="str">
        <f>IFERROR(INDEX(_TARGETS!$E$2:$E$17,MATCH($C1014,_TARGETS!$A$2:$A$17,0))&amp;"","")</f>
        <v>≤</v>
      </c>
      <c r="I1014" s="193" t="str">
        <f t="shared" si="91"/>
        <v/>
      </c>
      <c r="J1014" s="193" t="str">
        <f t="shared" si="92"/>
        <v>YTD</v>
      </c>
      <c r="K1014" s="193">
        <f>SUMIFS(Datos!$D$68:$AL$68,Datos!$D$3:$AL$3,"&gt;="&amp;DATE(YEAR(Datos!W$3),1,1),Datos!$D$3:$AL$3,"&lt;="&amp;Datos!W$3)</f>
        <v>0</v>
      </c>
      <c r="L1014" s="193">
        <f>SUMIFS(Datos!$D$67:$AL$67,Datos!$D$3:$AL$3,"&gt;="&amp;DATE(YEAR(Datos!W$3),1,1),Datos!$D$3:$AL$3,"&lt;="&amp;Datos!W$3)</f>
        <v>0</v>
      </c>
      <c r="M1014" s="193">
        <f>INDEX(_TARGETS!$J$2:$J$17,MATCH($C1014,_TARGETS!$A$2:$A$17,0))</f>
        <v>1</v>
      </c>
      <c r="N1014" s="193" t="str">
        <f>INDEX(_TARGETS!$D$2:$D$17,MATCH($C1014,_TARGETS!$A$2:$A$17,0))</f>
        <v>días</v>
      </c>
      <c r="O1014" s="193" t="str">
        <f>IF(NOT(ISNUMBER(F1014)),IF(SUMPRODUCT(($C$2:$C$1300=C1014)*($J$2:$J$1300="Monthly")*($A$2:$A$1300&lt;=A1014)*(YEAR($A$2:$A$1300)=YEAR(A1014))*ISNUMBER($K$2:$K$1300)*ISNUMBER($L$2:$L$1300)*($L$2:$L$1300=0)*($K$2:$K$1300&gt;0))&gt;0,"INCOMPLETE","MISSING"),O414)</f>
        <v>MISSING</v>
      </c>
      <c r="P1014" s="193" t="str">
        <f>INDEX(_TARGETS!$K$2:$K$17,MATCH($C1014,_TARGETS!$A$2:$A$17,0))</f>
        <v>Plant Findings (hoja Observaciones-SMP)</v>
      </c>
      <c r="Q1014" s="193" t="str">
        <f t="shared" si="93"/>
        <v>202803|DPAS|YTD</v>
      </c>
      <c r="R1014" s="193" t="str">
        <f>INDEX(_TARGETS!$H$2:$H$17,MATCH($C1014,_TARGETS!$A$2:$A$17,0))</f>
        <v>Pendiente (meta 2027)</v>
      </c>
      <c r="S1014" s="193" t="str">
        <f t="shared" si="94"/>
        <v/>
      </c>
      <c r="T1014" s="193" t="str">
        <f t="shared" si="95"/>
        <v/>
      </c>
    </row>
    <row r="1015" spans="1:20" ht="14.25" customHeight="1" x14ac:dyDescent="0.3">
      <c r="A1015" s="249">
        <f>KPIs!$W$3</f>
        <v>46813</v>
      </c>
      <c r="B1015" s="193" t="str">
        <f>KPIs!W$4</f>
        <v>Compresora</v>
      </c>
      <c r="C1015" t="s">
        <v>96</v>
      </c>
      <c r="D1015" s="193" t="str">
        <f>KPIs!$A$49</f>
        <v>C1 · % de desvíos detectados de gravedad Alta · YTD</v>
      </c>
      <c r="E1015" t="s">
        <v>601</v>
      </c>
      <c r="F1015" s="193" t="str">
        <f>IF(ISNUMBER(KPIs!W49),KPIs!W49,"")</f>
        <v/>
      </c>
      <c r="G1015" s="193" t="str">
        <f>IF(ISNUMBER(KPIs!$C$49),KPIs!$C$49,"")</f>
        <v/>
      </c>
      <c r="H1015" s="193" t="str">
        <f>IFERROR(INDEX(_TARGETS!$E$2:$E$17,MATCH($C1015,_TARGETS!$A$2:$A$17,0))&amp;"","")</f>
        <v/>
      </c>
      <c r="I1015" s="193" t="str">
        <f t="shared" si="91"/>
        <v/>
      </c>
      <c r="J1015" s="193" t="str">
        <f t="shared" si="92"/>
        <v>YTD</v>
      </c>
      <c r="K1015" s="193">
        <f>SUMIFS(Datos!$D$71:$AL$71,Datos!$D$3:$AL$3,"&gt;="&amp;DATE(YEAR(Datos!W$3),1,1),Datos!$D$3:$AL$3,"&lt;="&amp;Datos!W$3)</f>
        <v>0</v>
      </c>
      <c r="L1015" s="193">
        <f>SUMIFS(Datos!$D$71:$AL$71,Datos!$D$3:$AL$3,"&gt;="&amp;DATE(YEAR(Datos!W$3),1,1),Datos!$D$3:$AL$3,"&lt;="&amp;Datos!W$3)+SUMIFS(Datos!$D$72:$AL$72,Datos!$D$3:$AL$3,"&gt;="&amp;DATE(YEAR(Datos!W$3),1,1),Datos!$D$3:$AL$3,"&lt;="&amp;Datos!W$3)+SUMIFS(Datos!$D$73:$AL$73,Datos!$D$3:$AL$3,"&gt;="&amp;DATE(YEAR(Datos!W$3),1,1),Datos!$D$3:$AL$3,"&lt;="&amp;Datos!W$3)</f>
        <v>0</v>
      </c>
      <c r="M1015" s="193">
        <f>INDEX(_TARGETS!$J$2:$J$17,MATCH($C1015,_TARGETS!$A$2:$A$17,0))</f>
        <v>1</v>
      </c>
      <c r="N1015" s="193" t="str">
        <f>INDEX(_TARGETS!$D$2:$D$17,MATCH($C1015,_TARGETS!$A$2:$A$17,0))</f>
        <v>% (fracción)</v>
      </c>
      <c r="O1015" s="193" t="str">
        <f t="shared" ref="O1015:O1021" si="99">IF(NOT(ISNUMBER(F1015)),IF(SUMPRODUCT(($C$2:$C$1300=C1015)*($J$2:$J$1300="Monthly")*($A$2:$A$1300&lt;=A1015)*(YEAR($A$2:$A$1300)=YEAR(A1015))*ISNUMBER($K$2:$K$1300)*ISNUMBER($L$2:$L$1300)*($L$2:$L$1300=0)*($K$2:$K$1300&gt;0))&gt;0,"INCOMPLETE","MISSING"),O420)</f>
        <v>MISSING</v>
      </c>
      <c r="P1015" s="193" t="str">
        <f>INDEX(_TARGETS!$K$2:$K$17,MATCH($C1015,_TARGETS!$A$2:$A$17,0))</f>
        <v>Plant Findings (hoja Observaciones-SMP)</v>
      </c>
      <c r="Q1015" s="193" t="str">
        <f t="shared" si="93"/>
        <v>202803|HAL_ALTA_PCT|YTD</v>
      </c>
      <c r="R1015" s="193" t="str">
        <f>INDEX(_TARGETS!$H$2:$H$17,MATCH($C1015,_TARGETS!$A$2:$A$17,0))</f>
        <v>Solo reporte</v>
      </c>
      <c r="S1015" s="193" t="str">
        <f t="shared" si="94"/>
        <v/>
      </c>
      <c r="T1015" s="193" t="str">
        <f t="shared" si="95"/>
        <v/>
      </c>
    </row>
    <row r="1016" spans="1:20" ht="14.25" customHeight="1" x14ac:dyDescent="0.3">
      <c r="A1016" s="249">
        <f>KPIs!$W$3</f>
        <v>46813</v>
      </c>
      <c r="B1016" s="193" t="str">
        <f>KPIs!W$4</f>
        <v>Compresora</v>
      </c>
      <c r="C1016" t="s">
        <v>98</v>
      </c>
      <c r="D1016" s="193" t="str">
        <f>KPIs!$A$50</f>
        <v>C2 · Detenciones de tareas aplicadas · YTD</v>
      </c>
      <c r="E1016" t="s">
        <v>601</v>
      </c>
      <c r="F1016" s="193" t="str">
        <f>IF(ISNUMBER(KPIs!W50),KPIs!W50,"")</f>
        <v/>
      </c>
      <c r="G1016" s="193" t="str">
        <f>IF(ISNUMBER(KPIs!$C$50),KPIs!$C$50,"")</f>
        <v/>
      </c>
      <c r="H1016" s="193" t="str">
        <f>IFERROR(INDEX(_TARGETS!$E$2:$E$17,MATCH($C1016,_TARGETS!$A$2:$A$17,0))&amp;"","")</f>
        <v/>
      </c>
      <c r="I1016" s="193" t="str">
        <f t="shared" si="91"/>
        <v/>
      </c>
      <c r="J1016" s="193" t="str">
        <f t="shared" si="92"/>
        <v>YTD</v>
      </c>
      <c r="K1016" s="193">
        <f>SUMIFS(Datos!$D$75:$AL$75,Datos!$D$3:$AL$3,"&gt;="&amp;DATE(YEAR(Datos!W$3),1,1),Datos!$D$3:$AL$3,"&lt;="&amp;Datos!W$3)</f>
        <v>0</v>
      </c>
      <c r="M1016" s="193">
        <f>INDEX(_TARGETS!$J$2:$J$17,MATCH($C1016,_TARGETS!$A$2:$A$17,0))</f>
        <v>1</v>
      </c>
      <c r="N1016" s="193" t="str">
        <f>INDEX(_TARGETS!$D$2:$D$17,MATCH($C1016,_TARGETS!$A$2:$A$17,0))</f>
        <v>u</v>
      </c>
      <c r="O1016" s="193" t="str">
        <f t="shared" si="99"/>
        <v>MISSING</v>
      </c>
      <c r="P1016" s="193" t="str">
        <f>INDEX(_TARGETS!$K$2:$K$17,MATCH($C1016,_TARGETS!$A$2:$A$17,0))</f>
        <v>Plant Findings (hoja Observaciones-SMP)</v>
      </c>
      <c r="Q1016" s="193" t="str">
        <f t="shared" si="93"/>
        <v>202803|DET|YTD</v>
      </c>
      <c r="R1016" s="193" t="str">
        <f>INDEX(_TARGETS!$H$2:$H$17,MATCH($C1016,_TARGETS!$A$2:$A$17,0))</f>
        <v>Solo reporte</v>
      </c>
      <c r="S1016" s="193">
        <f t="shared" si="94"/>
        <v>0</v>
      </c>
      <c r="T1016" s="193" t="str">
        <f t="shared" si="95"/>
        <v/>
      </c>
    </row>
    <row r="1017" spans="1:20" ht="14.25" customHeight="1" x14ac:dyDescent="0.3">
      <c r="A1017" s="249">
        <f>KPIs!$X$3</f>
        <v>46844</v>
      </c>
      <c r="B1017" s="193" t="str">
        <f>KPIs!X$4</f>
        <v>Compresora</v>
      </c>
      <c r="C1017" t="s">
        <v>39</v>
      </c>
      <c r="D1017" s="193" t="str">
        <f>KPIs!$A$37</f>
        <v>1 · Frecuencia de casos con días perdidos · YTD</v>
      </c>
      <c r="E1017" t="s">
        <v>601</v>
      </c>
      <c r="F1017" s="193" t="str">
        <f>IF(ISNUMBER(KPIs!X37),KPIs!X37,"")</f>
        <v/>
      </c>
      <c r="G1017" s="250">
        <f>IF(ISNUMBER(KPIs!$C$37),KPIs!$C$37,"")</f>
        <v>0</v>
      </c>
      <c r="H1017" s="193" t="str">
        <f>IFERROR(INDEX(_TARGETS!$E$2:$E$17,MATCH($C1017,_TARGETS!$A$2:$A$17,0))&amp;"","")</f>
        <v>≤</v>
      </c>
      <c r="I1017" s="193" t="str">
        <f t="shared" si="91"/>
        <v/>
      </c>
      <c r="J1017" s="193" t="str">
        <f t="shared" si="92"/>
        <v>YTD</v>
      </c>
      <c r="K1017" s="193">
        <f>SUMIFS(Datos!$D$33:$AL$33,Datos!$D$3:$AL$3,"&gt;="&amp;DATE(YEAR(Datos!X$3),1,1),Datos!$D$3:$AL$3,"&lt;="&amp;Datos!X$3)</f>
        <v>0</v>
      </c>
      <c r="L1017" s="193">
        <f>SUMIFS(Datos!$D$14:$AL$14,Datos!$D$3:$AL$3,"&gt;="&amp;DATE(YEAR(Datos!X$3),1,1),Datos!$D$3:$AL$3,"&lt;="&amp;Datos!X$3)</f>
        <v>0</v>
      </c>
      <c r="M1017" s="193">
        <f>INDEX(_TARGETS!$J$2:$J$17,MATCH($C1017,_TARGETS!$A$2:$A$17,0))</f>
        <v>1000000</v>
      </c>
      <c r="N1017" s="193" t="str">
        <f>INDEX(_TARGETS!$D$2:$D$17,MATCH($C1017,_TARGETS!$A$2:$A$17,0))</f>
        <v>casos / 10^6 HH</v>
      </c>
      <c r="O1017" s="193" t="str">
        <f t="shared" si="99"/>
        <v>MISSING</v>
      </c>
      <c r="P1017" s="193" t="str">
        <f>INDEX(_TARGETS!$K$2:$K$17,MATCH($C1017,_TARGETS!$A$2:$A$17,0))</f>
        <v>OPS (carga manual en Datos)</v>
      </c>
      <c r="Q1017" s="193" t="str">
        <f t="shared" si="93"/>
        <v>202804|DAFWCF|YTD</v>
      </c>
      <c r="R1017" s="193" t="str">
        <f>INDEX(_TARGETS!$H$2:$H$17,MATCH($C1017,_TARGETS!$A$2:$A$17,0))</f>
        <v>Definida</v>
      </c>
      <c r="S1017" s="193" t="str">
        <f t="shared" si="94"/>
        <v/>
      </c>
      <c r="T1017" s="193" t="str">
        <f t="shared" si="95"/>
        <v/>
      </c>
    </row>
    <row r="1018" spans="1:20" ht="14.25" customHeight="1" x14ac:dyDescent="0.3">
      <c r="A1018" s="249">
        <f>KPIs!$X$3</f>
        <v>46844</v>
      </c>
      <c r="B1018" s="193" t="str">
        <f>KPIs!X$4</f>
        <v>Compresora</v>
      </c>
      <c r="C1018" t="s">
        <v>49</v>
      </c>
      <c r="D1018" s="193" t="str">
        <f>KPIs!$A$38</f>
        <v>2 · Frecuencia de casos registrables · YTD</v>
      </c>
      <c r="E1018" t="s">
        <v>601</v>
      </c>
      <c r="F1018" s="193" t="str">
        <f>IF(ISNUMBER(KPIs!X38),KPIs!X38,"")</f>
        <v/>
      </c>
      <c r="G1018" s="250">
        <f>IF(ISNUMBER(KPIs!$C$38),KPIs!$C$38,"")</f>
        <v>2.35</v>
      </c>
      <c r="H1018" s="193" t="str">
        <f>IFERROR(INDEX(_TARGETS!$E$2:$E$17,MATCH($C1018,_TARGETS!$A$2:$A$17,0))&amp;"","")</f>
        <v>≤</v>
      </c>
      <c r="I1018" s="193" t="str">
        <f t="shared" si="91"/>
        <v/>
      </c>
      <c r="J1018" s="193" t="str">
        <f t="shared" si="92"/>
        <v>YTD</v>
      </c>
      <c r="K1018" s="193">
        <f>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f>
        <v>0</v>
      </c>
      <c r="L1018" s="193">
        <f>SUMIFS(Datos!$D$14:$AL$14,Datos!$D$3:$AL$3,"&gt;="&amp;DATE(YEAR(Datos!X$3),1,1),Datos!$D$3:$AL$3,"&lt;="&amp;Datos!X$3)</f>
        <v>0</v>
      </c>
      <c r="M1018" s="193">
        <f>INDEX(_TARGETS!$J$2:$J$17,MATCH($C1018,_TARGETS!$A$2:$A$17,0))</f>
        <v>1000000</v>
      </c>
      <c r="N1018" s="193" t="str">
        <f>INDEX(_TARGETS!$D$2:$D$17,MATCH($C1018,_TARGETS!$A$2:$A$17,0))</f>
        <v>casos / 10^6 HH</v>
      </c>
      <c r="O1018" s="193" t="str">
        <f t="shared" si="99"/>
        <v>MISSING</v>
      </c>
      <c r="P1018" s="193" t="str">
        <f>INDEX(_TARGETS!$K$2:$K$17,MATCH($C1018,_TARGETS!$A$2:$A$17,0))</f>
        <v>OPS (carga manual en Datos)</v>
      </c>
      <c r="Q1018" s="193" t="str">
        <f t="shared" si="93"/>
        <v>202804|TRICF|YTD</v>
      </c>
      <c r="R1018" s="193" t="str">
        <f>INDEX(_TARGETS!$H$2:$H$17,MATCH($C1018,_TARGETS!$A$2:$A$17,0))</f>
        <v>Definida</v>
      </c>
      <c r="S1018" s="193" t="str">
        <f t="shared" si="94"/>
        <v/>
      </c>
      <c r="T1018" s="193" t="str">
        <f t="shared" si="95"/>
        <v/>
      </c>
    </row>
    <row r="1019" spans="1:20" ht="14.25" customHeight="1" x14ac:dyDescent="0.3">
      <c r="A1019" s="249">
        <f>KPIs!$X$3</f>
        <v>46844</v>
      </c>
      <c r="B1019" s="193" t="str">
        <f>KPIs!X$4</f>
        <v>Compresora</v>
      </c>
      <c r="C1019" t="s">
        <v>51</v>
      </c>
      <c r="D1019" s="193" t="str">
        <f>KPIs!$A$39</f>
        <v>3 · Casos de primeros auxilios · YTD</v>
      </c>
      <c r="E1019" t="s">
        <v>601</v>
      </c>
      <c r="F1019" s="193" t="str">
        <f>IF(ISNUMBER(KPIs!X39),KPIs!X39,"")</f>
        <v/>
      </c>
      <c r="G1019" s="193" t="str">
        <f>IF(ISNUMBER(KPIs!$C$39),KPIs!$C$39,"")</f>
        <v/>
      </c>
      <c r="H1019" s="193" t="str">
        <f>IFERROR(INDEX(_TARGETS!$E$2:$E$17,MATCH($C1019,_TARGETS!$A$2:$A$17,0))&amp;"","")</f>
        <v/>
      </c>
      <c r="I1019" s="193" t="str">
        <f t="shared" si="91"/>
        <v/>
      </c>
      <c r="J1019" s="193" t="str">
        <f t="shared" si="92"/>
        <v>YTD</v>
      </c>
      <c r="K1019" s="193">
        <f>SUMIFS(Datos!$D$37:$AL$37,Datos!$D$3:$AL$3,"&gt;="&amp;DATE(YEAR(Datos!X$3),1,1),Datos!$D$3:$AL$3,"&lt;="&amp;Datos!X$3)</f>
        <v>0</v>
      </c>
      <c r="M1019" s="193">
        <f>INDEX(_TARGETS!$J$2:$J$17,MATCH($C1019,_TARGETS!$A$2:$A$17,0))</f>
        <v>1</v>
      </c>
      <c r="N1019" s="193" t="str">
        <f>INDEX(_TARGETS!$D$2:$D$17,MATCH($C1019,_TARGETS!$A$2:$A$17,0))</f>
        <v>casos</v>
      </c>
      <c r="O1019" s="193" t="str">
        <f t="shared" si="99"/>
        <v>MISSING</v>
      </c>
      <c r="P1019" s="193" t="str">
        <f>INDEX(_TARGETS!$K$2:$K$17,MATCH($C1019,_TARGETS!$A$2:$A$17,0))</f>
        <v>OPS (carga manual en Datos)</v>
      </c>
      <c r="Q1019" s="193" t="str">
        <f t="shared" si="93"/>
        <v>202804|FAC|YTD</v>
      </c>
      <c r="R1019" s="193" t="str">
        <f>INDEX(_TARGETS!$H$2:$H$17,MATCH($C1019,_TARGETS!$A$2:$A$17,0))</f>
        <v>Solo reporte</v>
      </c>
      <c r="S1019" s="193">
        <f t="shared" si="94"/>
        <v>0</v>
      </c>
      <c r="T1019" s="193" t="str">
        <f t="shared" si="95"/>
        <v/>
      </c>
    </row>
    <row r="1020" spans="1:20" ht="14.25" customHeight="1" x14ac:dyDescent="0.3">
      <c r="A1020" s="249">
        <f>KPIs!$X$3</f>
        <v>46844</v>
      </c>
      <c r="B1020" s="193" t="str">
        <f>KPIs!X$4</f>
        <v>Compresora</v>
      </c>
      <c r="C1020" t="s">
        <v>57</v>
      </c>
      <c r="D1020" s="193" t="str">
        <f>KPIs!$A$40</f>
        <v>4 · Accidentes vehiculares severos por millón de km · YTD</v>
      </c>
      <c r="E1020" t="s">
        <v>601</v>
      </c>
      <c r="F1020" s="193" t="str">
        <f>IF(ISNUMBER(KPIs!X40),KPIs!X40,"")</f>
        <v/>
      </c>
      <c r="G1020" s="193" t="str">
        <f>IF(ISNUMBER(KPIs!$C$40),KPIs!$C$40,"")</f>
        <v/>
      </c>
      <c r="H1020" s="193" t="str">
        <f>IFERROR(INDEX(_TARGETS!$E$2:$E$17,MATCH($C1020,_TARGETS!$A$2:$A$17,0))&amp;"","")</f>
        <v/>
      </c>
      <c r="I1020" s="193" t="str">
        <f t="shared" si="91"/>
        <v/>
      </c>
      <c r="J1020" s="193" t="str">
        <f t="shared" si="92"/>
        <v>YTD</v>
      </c>
      <c r="K1020" s="193">
        <f>SUMIFS(Datos!$D$39:$AL$39,Datos!$D$3:$AL$3,"&gt;="&amp;DATE(YEAR(Datos!X$3),1,1),Datos!$D$3:$AL$3,"&lt;="&amp;Datos!X$3)+SUMIFS(Datos!$D$40:$AL$40,Datos!$D$3:$AL$3,"&gt;="&amp;DATE(YEAR(Datos!X$3),1,1),Datos!$D$3:$AL$3,"&lt;="&amp;Datos!X$3)+SUMIFS(Datos!$D$41:$AL$41,Datos!$D$3:$AL$3,"&gt;="&amp;DATE(YEAR(Datos!X$3),1,1),Datos!$D$3:$AL$3,"&lt;="&amp;Datos!X$3)</f>
        <v>0</v>
      </c>
      <c r="L1020" s="193">
        <f>SUMIFS(Datos!$D$47:$AL$47,Datos!$D$3:$AL$3,"&gt;="&amp;DATE(YEAR(Datos!X$3),1,1),Datos!$D$3:$AL$3,"&lt;="&amp;Datos!X$3)</f>
        <v>0</v>
      </c>
      <c r="M1020" s="193">
        <f>INDEX(_TARGETS!$J$2:$J$17,MATCH($C1020,_TARGETS!$A$2:$A$17,0))</f>
        <v>1000000</v>
      </c>
      <c r="N1020" s="193" t="str">
        <f>INDEX(_TARGETS!$D$2:$D$17,MATCH($C1020,_TARGETS!$A$2:$A$17,0))</f>
        <v>eventos / 10^6 km</v>
      </c>
      <c r="O1020" s="193" t="str">
        <f t="shared" si="99"/>
        <v>MISSING</v>
      </c>
      <c r="P1020" s="193" t="str">
        <f>INDEX(_TARGETS!$K$2:$K$17,MATCH($C1020,_TARGETS!$A$2:$A$17,0))</f>
        <v>OPS (eventos) + Full Control GPS (km) - carga manual en Datos</v>
      </c>
      <c r="Q1020" s="193" t="str">
        <f t="shared" si="93"/>
        <v>202804|SVCR|YTD</v>
      </c>
      <c r="R1020" s="193" t="str">
        <f>INDEX(_TARGETS!$H$2:$H$17,MATCH($C1020,_TARGETS!$A$2:$A$17,0))</f>
        <v>Solo reporte</v>
      </c>
      <c r="S1020" s="193" t="str">
        <f t="shared" si="94"/>
        <v/>
      </c>
      <c r="T1020" s="193" t="str">
        <f t="shared" si="95"/>
        <v/>
      </c>
    </row>
    <row r="1021" spans="1:20" ht="14.25" customHeight="1" x14ac:dyDescent="0.3">
      <c r="A1021" s="249">
        <f>KPIs!$X$3</f>
        <v>46844</v>
      </c>
      <c r="B1021" s="193" t="str">
        <f>KPIs!X$4</f>
        <v>Compresora</v>
      </c>
      <c r="C1021" t="s">
        <v>61</v>
      </c>
      <c r="D1021" s="193" t="str">
        <f>KPIs!$A$41</f>
        <v>5 · Accidentes vehiculares totales por millón de km · YTD</v>
      </c>
      <c r="E1021" t="s">
        <v>601</v>
      </c>
      <c r="F1021" s="193" t="str">
        <f>IF(ISNUMBER(KPIs!X41),KPIs!X41,"")</f>
        <v/>
      </c>
      <c r="G1021" s="250">
        <f>IF(ISNUMBER(KPIs!$C$41),KPIs!$C$41,"")</f>
        <v>0.79</v>
      </c>
      <c r="H1021" s="193" t="str">
        <f>IFERROR(INDEX(_TARGETS!$E$2:$E$17,MATCH($C1021,_TARGETS!$A$2:$A$17,0))&amp;"","")</f>
        <v>≤</v>
      </c>
      <c r="I1021" s="193" t="str">
        <f t="shared" si="91"/>
        <v/>
      </c>
      <c r="J1021" s="193" t="str">
        <f t="shared" si="92"/>
        <v>YTD</v>
      </c>
      <c r="K1021" s="193">
        <f>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f>
        <v>0</v>
      </c>
      <c r="L1021" s="193">
        <f>SUMIFS(Datos!$D$47:$AL$47,Datos!$D$3:$AL$3,"&gt;="&amp;DATE(YEAR(Datos!X$3),1,1),Datos!$D$3:$AL$3,"&lt;="&amp;Datos!X$3)</f>
        <v>0</v>
      </c>
      <c r="M1021" s="193">
        <f>INDEX(_TARGETS!$J$2:$J$17,MATCH($C1021,_TARGETS!$A$2:$A$17,0))</f>
        <v>1000000</v>
      </c>
      <c r="N1021" s="193" t="str">
        <f>INDEX(_TARGETS!$D$2:$D$17,MATCH($C1021,_TARGETS!$A$2:$A$17,0))</f>
        <v>eventos / 10^6 km</v>
      </c>
      <c r="O1021" s="193" t="str">
        <f t="shared" si="99"/>
        <v>MISSING</v>
      </c>
      <c r="P1021" s="193" t="str">
        <f>INDEX(_TARGETS!$K$2:$K$17,MATCH($C1021,_TARGETS!$A$2:$A$17,0))</f>
        <v>OPS (eventos) + Full Control GPS (km) - carga manual en Datos</v>
      </c>
      <c r="Q1021" s="193" t="str">
        <f t="shared" si="93"/>
        <v>202804|TVCR|YTD</v>
      </c>
      <c r="R1021" s="193" t="str">
        <f>INDEX(_TARGETS!$H$2:$H$17,MATCH($C1021,_TARGETS!$A$2:$A$17,0))</f>
        <v>Definida</v>
      </c>
      <c r="S1021" s="193" t="str">
        <f t="shared" si="94"/>
        <v/>
      </c>
      <c r="T1021" s="193" t="str">
        <f t="shared" si="95"/>
        <v/>
      </c>
    </row>
    <row r="1022" spans="1:20" ht="14.25" customHeight="1" x14ac:dyDescent="0.3">
      <c r="A1022" s="249">
        <f>KPIs!$X$3</f>
        <v>46844</v>
      </c>
      <c r="B1022" s="193" t="str">
        <f>KPIs!X$4</f>
        <v>Compresora</v>
      </c>
      <c r="C1022" t="s">
        <v>71</v>
      </c>
      <c r="D1022" s="193" t="str">
        <f>KPIs!$A$42</f>
        <v>7 · Investigaciones de accidentes: días promedio de cierre · YTD</v>
      </c>
      <c r="E1022" t="s">
        <v>601</v>
      </c>
      <c r="F1022" s="193" t="str">
        <f>IF(ISNUMBER(KPIs!X42),KPIs!X42,"")</f>
        <v/>
      </c>
      <c r="G1022" s="251">
        <f>IF(ISNUMBER(KPIs!$C$42),KPIs!$C$42,"")</f>
        <v>20</v>
      </c>
      <c r="H1022" s="193" t="str">
        <f>IFERROR(INDEX(_TARGETS!$E$2:$E$17,MATCH($C1022,_TARGETS!$A$2:$A$17,0))&amp;"","")</f>
        <v>≤</v>
      </c>
      <c r="I1022" s="193" t="str">
        <f t="shared" si="91"/>
        <v/>
      </c>
      <c r="J1022" s="193" t="str">
        <f t="shared" si="92"/>
        <v>YTD</v>
      </c>
      <c r="K1022" s="193">
        <f>SUMIFS(Datos!$D$31:$AL$31,Datos!$D$3:$AL$3,"&gt;="&amp;DATE(YEAR(Datos!X$3),1,1),Datos!$D$3:$AL$3,"&lt;="&amp;Datos!X$3)</f>
        <v>0</v>
      </c>
      <c r="L1022" s="193">
        <f>SUMIFS(Datos!$D$30:$AL$30,Datos!$D$3:$AL$3,"&gt;="&amp;DATE(YEAR(Datos!X$3),1,1),Datos!$D$3:$AL$3,"&lt;="&amp;Datos!X$3)</f>
        <v>0</v>
      </c>
      <c r="M1022" s="193">
        <f>INDEX(_TARGETS!$J$2:$J$17,MATCH($C1022,_TARGETS!$A$2:$A$17,0))</f>
        <v>1</v>
      </c>
      <c r="N1022" s="193" t="str">
        <f>INDEX(_TARGETS!$D$2:$D$17,MATCH($C1022,_TARGETS!$A$2:$A$17,0))</f>
        <v>días</v>
      </c>
      <c r="O1022" s="193" t="str">
        <f>IF(NOT(ISNUMBER(F1022)),IF(SUMPRODUCT(($C$2:$C$1300=C1022)*($J$2:$J$1300="Monthly")*($A$2:$A$1300&lt;=A1022)*(YEAR($A$2:$A$1300)=YEAR(A1022))*ISNUMBER($K$2:$K$1300)*ISNUMBER($L$2:$L$1300)*($L$2:$L$1300=0)*($K$2:$K$1300&gt;0))&gt;0,"INCOMPLETE","MISSING"),O428)</f>
        <v>MISSING</v>
      </c>
      <c r="P1022" s="193" t="str">
        <f>INDEX(_TARGETS!$K$2:$K$17,MATCH($C1022,_TARGETS!$A$2:$A$17,0))</f>
        <v>OPS (carga manual en Datos)</v>
      </c>
      <c r="Q1022" s="193" t="str">
        <f t="shared" si="93"/>
        <v>202804|INV|YTD</v>
      </c>
      <c r="R1022" s="193" t="str">
        <f>INDEX(_TARGETS!$H$2:$H$17,MATCH($C1022,_TARGETS!$A$2:$A$17,0))</f>
        <v>Definida</v>
      </c>
      <c r="S1022" s="193" t="str">
        <f t="shared" si="94"/>
        <v/>
      </c>
      <c r="T1022" s="193" t="str">
        <f t="shared" si="95"/>
        <v/>
      </c>
    </row>
    <row r="1023" spans="1:20" ht="14.25" customHeight="1" x14ac:dyDescent="0.3">
      <c r="A1023" s="249">
        <f>KPIs!$X$3</f>
        <v>46844</v>
      </c>
      <c r="B1023" s="193" t="str">
        <f>KPIs!X$4</f>
        <v>Compresora</v>
      </c>
      <c r="C1023" t="s">
        <v>76</v>
      </c>
      <c r="D1023" s="193" t="str">
        <f>KPIs!$A$43</f>
        <v>8 · % de capacitación en seguridad · YTD</v>
      </c>
      <c r="E1023" t="s">
        <v>601</v>
      </c>
      <c r="F1023" s="193" t="str">
        <f>IF(ISNUMBER(KPIs!X43),KPIs!X43,"")</f>
        <v/>
      </c>
      <c r="G1023" s="252">
        <f>IF(ISNUMBER(KPIs!$C$43),KPIs!$C$43,"")</f>
        <v>0.01</v>
      </c>
      <c r="H1023" s="193" t="str">
        <f>IFERROR(INDEX(_TARGETS!$E$2:$E$17,MATCH($C1023,_TARGETS!$A$2:$A$17,0))&amp;"","")</f>
        <v>≥</v>
      </c>
      <c r="I1023" s="193" t="str">
        <f t="shared" si="91"/>
        <v/>
      </c>
      <c r="J1023" s="193" t="str">
        <f t="shared" si="92"/>
        <v>YTD</v>
      </c>
      <c r="K1023" s="193">
        <f>SUMIFS(Datos!$D$18:$AL$18,Datos!$D$3:$AL$3,"&gt;="&amp;DATE(YEAR(Datos!X$3),1,1),Datos!$D$3:$AL$3,"&lt;="&amp;Datos!X$3)</f>
        <v>0</v>
      </c>
      <c r="L1023" s="193">
        <f>SUMIFS(Datos!$D$14:$AL$14,Datos!$D$3:$AL$3,"&gt;="&amp;DATE(YEAR(Datos!X$3),1,1),Datos!$D$3:$AL$3,"&lt;="&amp;Datos!X$3)</f>
        <v>0</v>
      </c>
      <c r="M1023" s="193">
        <f>INDEX(_TARGETS!$J$2:$J$17,MATCH($C1023,_TARGETS!$A$2:$A$17,0))</f>
        <v>1</v>
      </c>
      <c r="N1023" s="193" t="str">
        <f>INDEX(_TARGETS!$D$2:$D$17,MATCH($C1023,_TARGETS!$A$2:$A$17,0))</f>
        <v>% (fracción)</v>
      </c>
      <c r="O1023" s="193" t="str">
        <f>IF(NOT(ISNUMBER(F1023)),IF(SUMPRODUCT(($C$2:$C$1300=C1023)*($J$2:$J$1300="Monthly")*($A$2:$A$1300&lt;=A1023)*(YEAR($A$2:$A$1300)=YEAR(A1023))*ISNUMBER($K$2:$K$1300)*ISNUMBER($L$2:$L$1300)*($L$2:$L$1300=0)*($K$2:$K$1300&gt;0))&gt;0,"INCOMPLETE","MISSING"),O429)</f>
        <v>MISSING</v>
      </c>
      <c r="P1023" s="193" t="str">
        <f>INDEX(_TARGETS!$K$2:$K$17,MATCH($C1023,_TARGETS!$A$2:$A$17,0))</f>
        <v>OPS (carga manual en Datos)</v>
      </c>
      <c r="Q1023" s="193" t="str">
        <f t="shared" si="93"/>
        <v>202804|HCS|YTD</v>
      </c>
      <c r="R1023" s="193" t="str">
        <f>INDEX(_TARGETS!$H$2:$H$17,MATCH($C1023,_TARGETS!$A$2:$A$17,0))</f>
        <v>Definida</v>
      </c>
      <c r="S1023" s="193" t="str">
        <f t="shared" si="94"/>
        <v/>
      </c>
      <c r="T1023" s="193" t="str">
        <f t="shared" si="95"/>
        <v/>
      </c>
    </row>
    <row r="1024" spans="1:20" ht="14.25" customHeight="1" x14ac:dyDescent="0.3">
      <c r="A1024" s="249">
        <f>KPIs!$X$3</f>
        <v>46844</v>
      </c>
      <c r="B1024" s="193" t="str">
        <f>KPIs!X$4</f>
        <v>Compresora</v>
      </c>
      <c r="C1024" t="s">
        <v>83</v>
      </c>
      <c r="D1024" s="193" t="str">
        <f>KPIs!$A$44</f>
        <v>10 · Cumplimiento de simulacros (emergencia y operativos) · YTD</v>
      </c>
      <c r="E1024" t="s">
        <v>601</v>
      </c>
      <c r="F1024" s="193" t="str">
        <f>IF(ISNUMBER(KPIs!X44),KPIs!X44,"")</f>
        <v/>
      </c>
      <c r="G1024" s="253">
        <f>IF(ISNUMBER(KPIs!$C$44),KPIs!$C$44,"")</f>
        <v>1</v>
      </c>
      <c r="H1024" s="193" t="str">
        <f>IFERROR(INDEX(_TARGETS!$E$2:$E$17,MATCH($C1024,_TARGETS!$A$2:$A$17,0))&amp;"","")</f>
        <v>≥</v>
      </c>
      <c r="I1024" s="193" t="str">
        <f t="shared" si="91"/>
        <v/>
      </c>
      <c r="J1024" s="193" t="str">
        <f t="shared" si="92"/>
        <v>YTD</v>
      </c>
      <c r="K1024" s="193">
        <f>SUMIFS(Datos!$D$20:$AL$20,Datos!$D$3:$AL$3,"&gt;="&amp;DATE(YEAR(Datos!X$3),1,1),Datos!$D$3:$AL$3,"&lt;="&amp;Datos!X$3)</f>
        <v>0</v>
      </c>
      <c r="L1024" s="193">
        <f>SUMIFS(Datos!$D$21:$AL$21,Datos!$D$3:$AL$3,"&gt;="&amp;DATE(YEAR(Datos!X$3),1,1),Datos!$D$3:$AL$3,"&lt;="&amp;Datos!X$3)</f>
        <v>0</v>
      </c>
      <c r="M1024" s="193">
        <f>INDEX(_TARGETS!$J$2:$J$17,MATCH($C1024,_TARGETS!$A$2:$A$17,0))</f>
        <v>1</v>
      </c>
      <c r="N1024" s="193" t="str">
        <f>INDEX(_TARGETS!$D$2:$D$17,MATCH($C1024,_TARGETS!$A$2:$A$17,0))</f>
        <v>% (fracción)</v>
      </c>
      <c r="O1024" s="193" t="str">
        <f>IF(NOT(ISNUMBER(F1024)),IF(SUMPRODUCT(($C$2:$C$1300=C1024)*($J$2:$J$1300="Monthly")*($A$2:$A$1300&lt;=A1024)*(YEAR($A$2:$A$1300)=YEAR(A1024))*ISNUMBER($K$2:$K$1300)*ISNUMBER($L$2:$L$1300)*($L$2:$L$1300=0)*($K$2:$K$1300&gt;0))&gt;0,"INCOMPLETE","MISSING"),O431)</f>
        <v>MISSING</v>
      </c>
      <c r="P1024" s="193" t="str">
        <f>INDEX(_TARGETS!$K$2:$K$17,MATCH($C1024,_TARGETS!$A$2:$A$17,0))</f>
        <v>OPS (carga manual en Datos)</v>
      </c>
      <c r="Q1024" s="193" t="str">
        <f t="shared" si="93"/>
        <v>202804|CPSE|YTD</v>
      </c>
      <c r="R1024" s="193" t="str">
        <f>INDEX(_TARGETS!$H$2:$H$17,MATCH($C1024,_TARGETS!$A$2:$A$17,0))</f>
        <v>Definida</v>
      </c>
      <c r="S1024" s="193" t="str">
        <f t="shared" si="94"/>
        <v/>
      </c>
      <c r="T1024" s="193" t="str">
        <f t="shared" si="95"/>
        <v/>
      </c>
    </row>
    <row r="1025" spans="1:20" ht="14.25" customHeight="1" x14ac:dyDescent="0.3">
      <c r="A1025" s="249">
        <f>KPIs!$X$3</f>
        <v>46844</v>
      </c>
      <c r="B1025" s="193" t="str">
        <f>KPIs!X$4</f>
        <v>Compresora</v>
      </c>
      <c r="C1025" t="s">
        <v>85</v>
      </c>
      <c r="D1025" s="193" t="str">
        <f>KPIs!$A$45</f>
        <v>10b · Cumplimiento de acciones de mejora de simulacros · YTD</v>
      </c>
      <c r="E1025" t="s">
        <v>601</v>
      </c>
      <c r="F1025" s="193" t="str">
        <f>IF(ISNUMBER(KPIs!X45),KPIs!X45,"")</f>
        <v/>
      </c>
      <c r="G1025" s="254" t="str">
        <f>IF(ISNUMBER(KPIs!$C$45),KPIs!$C$45,"")</f>
        <v/>
      </c>
      <c r="H1025" s="193" t="str">
        <f>IFERROR(INDEX(_TARGETS!$E$2:$E$17,MATCH($C1025,_TARGETS!$A$2:$A$17,0))&amp;"","")</f>
        <v/>
      </c>
      <c r="I1025" s="193" t="str">
        <f t="shared" si="91"/>
        <v/>
      </c>
      <c r="J1025" s="193" t="str">
        <f t="shared" si="92"/>
        <v>YTD</v>
      </c>
      <c r="K1025" s="193">
        <f>SUMIFS(Datos!$D$23:$AL$23,Datos!$D$3:$AL$3,"&gt;="&amp;DATE(YEAR(Datos!X$3),1,1),Datos!$D$3:$AL$3,"&lt;="&amp;Datos!X$3)</f>
        <v>0</v>
      </c>
      <c r="L1025" s="193">
        <f>SUMIFS(Datos!$D$22:$AL$22,Datos!$D$3:$AL$3,"&gt;="&amp;DATE(YEAR(Datos!X$3),1,1),Datos!$D$3:$AL$3,"&lt;="&amp;Datos!X$3)</f>
        <v>0</v>
      </c>
      <c r="M1025" s="193">
        <f>INDEX(_TARGETS!$J$2:$J$17,MATCH($C1025,_TARGETS!$A$2:$A$17,0))</f>
        <v>1</v>
      </c>
      <c r="N1025" s="193" t="str">
        <f>INDEX(_TARGETS!$D$2:$D$17,MATCH($C1025,_TARGETS!$A$2:$A$17,0))</f>
        <v>% (fracción)</v>
      </c>
      <c r="O1025" s="193" t="str">
        <f>IF(NOT(ISNUMBER(F1025)),IF(SUMPRODUCT(($C$2:$C$1300=C1025)*($J$2:$J$1300="Monthly")*($A$2:$A$1300&lt;=A1025)*(YEAR($A$2:$A$1300)=YEAR(A1025))*ISNUMBER($K$2:$K$1300)*ISNUMBER($L$2:$L$1300)*($L$2:$L$1300=0)*($K$2:$K$1300&gt;0))&gt;0,"INCOMPLETE","MISSING"),O432)</f>
        <v>MISSING</v>
      </c>
      <c r="P1025" s="193" t="str">
        <f>INDEX(_TARGETS!$K$2:$K$17,MATCH($C1025,_TARGETS!$A$2:$A$17,0))</f>
        <v>OPS (carga manual en Datos)</v>
      </c>
      <c r="Q1025" s="193" t="str">
        <f t="shared" si="93"/>
        <v>202804|CAMS|YTD</v>
      </c>
      <c r="R1025" s="193" t="str">
        <f>INDEX(_TARGETS!$H$2:$H$17,MATCH($C1025,_TARGETS!$A$2:$A$17,0))</f>
        <v>Solo reporte</v>
      </c>
      <c r="S1025" s="193" t="str">
        <f t="shared" si="94"/>
        <v/>
      </c>
      <c r="T1025" s="193" t="str">
        <f t="shared" si="95"/>
        <v/>
      </c>
    </row>
    <row r="1026" spans="1:20" ht="14.25" customHeight="1" x14ac:dyDescent="0.3">
      <c r="A1026" s="249">
        <f>KPIs!$X$3</f>
        <v>46844</v>
      </c>
      <c r="B1026" s="193" t="str">
        <f>KPIs!X$4</f>
        <v>Compresora</v>
      </c>
      <c r="C1026" t="s">
        <v>87</v>
      </c>
      <c r="D1026" s="193" t="str">
        <f>KPIs!$A$46</f>
        <v>11 · Cumplimiento de caminatas gerenciales · YTD</v>
      </c>
      <c r="E1026" t="s">
        <v>601</v>
      </c>
      <c r="F1026" s="193" t="str">
        <f>IF(ISNUMBER(KPIs!X46),KPIs!X46,"")</f>
        <v/>
      </c>
      <c r="G1026" s="254">
        <f>IF(ISNUMBER(KPIs!$C$46),KPIs!$C$46,"")</f>
        <v>1</v>
      </c>
      <c r="H1026" s="193" t="str">
        <f>IFERROR(INDEX(_TARGETS!$E$2:$E$17,MATCH($C1026,_TARGETS!$A$2:$A$17,0))&amp;"","")</f>
        <v>≥</v>
      </c>
      <c r="I1026" s="193" t="str">
        <f t="shared" ref="I1026:I1089" si="100">IF(OR(H1026="",F1026="",G1026=""),"",IF(IF(H1026="≤",F1026&lt;=G1026,F1026&gt;=G1026),"Sí","No"))</f>
        <v/>
      </c>
      <c r="J1026" s="193" t="str">
        <f t="shared" ref="J1026:J1089" si="101">IF(E1026="Mensual","Monthly",IF(E1026="Acumulado","Cumulative",E1026))</f>
        <v>YTD</v>
      </c>
      <c r="K1026" s="193">
        <f>SUMIFS(Datos!$D$24:$AL$24,Datos!$D$3:$AL$3,"&gt;="&amp;DATE(YEAR(Datos!X$3),1,1),Datos!$D$3:$AL$3,"&lt;="&amp;Datos!X$3)</f>
        <v>0</v>
      </c>
      <c r="L1026" s="193">
        <f>SUMIFS(Datos!$D$25:$AL$25,Datos!$D$3:$AL$3,"&gt;="&amp;DATE(YEAR(Datos!X$3),1,1),Datos!$D$3:$AL$3,"&lt;="&amp;Datos!X$3)</f>
        <v>0</v>
      </c>
      <c r="M1026" s="193">
        <f>INDEX(_TARGETS!$J$2:$J$17,MATCH($C1026,_TARGETS!$A$2:$A$17,0))</f>
        <v>1</v>
      </c>
      <c r="N1026" s="193" t="str">
        <f>INDEX(_TARGETS!$D$2:$D$17,MATCH($C1026,_TARGETS!$A$2:$A$17,0))</f>
        <v>% (fracción)</v>
      </c>
      <c r="O1026" s="193" t="str">
        <f>IF(NOT(ISNUMBER(F1026)),IF(SUMPRODUCT(($C$2:$C$1300=C1026)*($J$2:$J$1300="Monthly")*($A$2:$A$1300&lt;=A1026)*(YEAR($A$2:$A$1300)=YEAR(A1026))*ISNUMBER($K$2:$K$1300)*ISNUMBER($L$2:$L$1300)*($L$2:$L$1300=0)*($K$2:$K$1300&gt;0))&gt;0,"INCOMPLETE","MISSING"),O433)</f>
        <v>MISSING</v>
      </c>
      <c r="P1026" s="193" t="str">
        <f>INDEX(_TARGETS!$K$2:$K$17,MATCH($C1026,_TARGETS!$A$2:$A$17,0))</f>
        <v>OPS (carga manual en Datos)</v>
      </c>
      <c r="Q1026" s="193" t="str">
        <f t="shared" ref="Q1026:Q1089" si="102">YEAR(A1026)*100+MONTH(A1026)&amp;"|"&amp;C1026&amp;"|"&amp;J1026</f>
        <v>202804|ICCS|YTD</v>
      </c>
      <c r="R1026" s="193" t="str">
        <f>INDEX(_TARGETS!$H$2:$H$17,MATCH($C1026,_TARGETS!$A$2:$A$17,0))</f>
        <v>Definida</v>
      </c>
      <c r="S1026" s="193" t="str">
        <f t="shared" ref="S1026:S1089" si="103">IF(AND(ISNUMBER(K1026),ISNUMBER(L1026)),IF(L1026=0,"",K1026*M1026/L1026),IF(ISNUMBER(K1026),K1026*M1026,""))</f>
        <v/>
      </c>
      <c r="T1026" s="193" t="str">
        <f t="shared" ref="T1026:T1089" si="104">IF(AND(ISNUMBER(F1026),ISNUMBER(S1026)),ABS(F1026-S1026),"")</f>
        <v/>
      </c>
    </row>
    <row r="1027" spans="1:20" ht="14.25" customHeight="1" x14ac:dyDescent="0.3">
      <c r="A1027" s="249">
        <f>KPIs!$X$3</f>
        <v>46844</v>
      </c>
      <c r="B1027" s="193" t="str">
        <f>KPIs!X$4</f>
        <v>Compresora</v>
      </c>
      <c r="C1027" t="s">
        <v>89</v>
      </c>
      <c r="D1027" s="193" t="str">
        <f>KPIs!$A$47</f>
        <v>12 · Cumplimiento de comités y subcomités de seguridad · YTD</v>
      </c>
      <c r="E1027" t="s">
        <v>601</v>
      </c>
      <c r="F1027" s="193" t="str">
        <f>IF(ISNUMBER(KPIs!X47),KPIs!X47,"")</f>
        <v/>
      </c>
      <c r="G1027" s="254">
        <f>IF(ISNUMBER(KPIs!$C$47),KPIs!$C$47,"")</f>
        <v>1</v>
      </c>
      <c r="H1027" s="193" t="str">
        <f>IFERROR(INDEX(_TARGETS!$E$2:$E$17,MATCH($C1027,_TARGETS!$A$2:$A$17,0))&amp;"","")</f>
        <v>≥</v>
      </c>
      <c r="I1027" s="193" t="str">
        <f t="shared" si="100"/>
        <v/>
      </c>
      <c r="J1027" s="193" t="str">
        <f t="shared" si="101"/>
        <v>YTD</v>
      </c>
      <c r="K1027" s="193">
        <f>SUMIFS(Datos!$D$26:$AL$26,Datos!$D$3:$AL$3,"&gt;="&amp;DATE(YEAR(Datos!X$3),1,1),Datos!$D$3:$AL$3,"&lt;="&amp;Datos!X$3)</f>
        <v>0</v>
      </c>
      <c r="L1027" s="193">
        <f>SUMIFS(Datos!$D$27:$AL$27,Datos!$D$3:$AL$3,"&gt;="&amp;DATE(YEAR(Datos!X$3),1,1),Datos!$D$3:$AL$3,"&lt;="&amp;Datos!X$3)</f>
        <v>0</v>
      </c>
      <c r="M1027" s="193">
        <f>INDEX(_TARGETS!$J$2:$J$17,MATCH($C1027,_TARGETS!$A$2:$A$17,0))</f>
        <v>1</v>
      </c>
      <c r="N1027" s="193" t="str">
        <f>INDEX(_TARGETS!$D$2:$D$17,MATCH($C1027,_TARGETS!$A$2:$A$17,0))</f>
        <v>% (fracción)</v>
      </c>
      <c r="O1027" s="193" t="str">
        <f>IF(NOT(ISNUMBER(F1027)),IF(SUMPRODUCT(($C$2:$C$1300=C1027)*($J$2:$J$1300="Monthly")*($A$2:$A$1300&lt;=A1027)*(YEAR($A$2:$A$1300)=YEAR(A1027))*ISNUMBER($K$2:$K$1300)*ISNUMBER($L$2:$L$1300)*($L$2:$L$1300=0)*($K$2:$K$1300&gt;0))&gt;0,"INCOMPLETE","MISSING"),O434)</f>
        <v>MISSING</v>
      </c>
      <c r="P1027" s="193" t="str">
        <f>INDEX(_TARGETS!$K$2:$K$17,MATCH($C1027,_TARGETS!$A$2:$A$17,0))</f>
        <v>OPS (carga manual en Datos)</v>
      </c>
      <c r="Q1027" s="193" t="str">
        <f t="shared" si="102"/>
        <v>202804|CCS|YTD</v>
      </c>
      <c r="R1027" s="193" t="str">
        <f>INDEX(_TARGETS!$H$2:$H$17,MATCH($C1027,_TARGETS!$A$2:$A$17,0))</f>
        <v>Definida</v>
      </c>
      <c r="S1027" s="193" t="str">
        <f t="shared" si="103"/>
        <v/>
      </c>
      <c r="T1027" s="193" t="str">
        <f t="shared" si="104"/>
        <v/>
      </c>
    </row>
    <row r="1028" spans="1:20" ht="14.25" customHeight="1" x14ac:dyDescent="0.3">
      <c r="A1028" s="249">
        <f>KPIs!$X$3</f>
        <v>46844</v>
      </c>
      <c r="B1028" s="193" t="str">
        <f>KPIs!X$4</f>
        <v>Compresora</v>
      </c>
      <c r="C1028" t="s">
        <v>91</v>
      </c>
      <c r="D1028" s="193" t="str">
        <f>KPIs!$A$48</f>
        <v>13 · Días promedio para cerrar hallazgos · YTD</v>
      </c>
      <c r="E1028" t="s">
        <v>601</v>
      </c>
      <c r="F1028" s="251" t="str">
        <f>IF(ISNUMBER(KPIs!X48),KPIs!X48,"")</f>
        <v/>
      </c>
      <c r="G1028" s="193" t="str">
        <f>IF(ISNUMBER(KPIs!$C$48),KPIs!$C$48,"")</f>
        <v/>
      </c>
      <c r="H1028" s="193" t="str">
        <f>IFERROR(INDEX(_TARGETS!$E$2:$E$17,MATCH($C1028,_TARGETS!$A$2:$A$17,0))&amp;"","")</f>
        <v>≤</v>
      </c>
      <c r="I1028" s="193" t="str">
        <f t="shared" si="100"/>
        <v/>
      </c>
      <c r="J1028" s="193" t="str">
        <f t="shared" si="101"/>
        <v>YTD</v>
      </c>
      <c r="K1028" s="193">
        <f>SUMIFS(Datos!$D$68:$AL$68,Datos!$D$3:$AL$3,"&gt;="&amp;DATE(YEAR(Datos!X$3),1,1),Datos!$D$3:$AL$3,"&lt;="&amp;Datos!X$3)</f>
        <v>0</v>
      </c>
      <c r="L1028" s="193">
        <f>SUMIFS(Datos!$D$67:$AL$67,Datos!$D$3:$AL$3,"&gt;="&amp;DATE(YEAR(Datos!X$3),1,1),Datos!$D$3:$AL$3,"&lt;="&amp;Datos!X$3)</f>
        <v>0</v>
      </c>
      <c r="M1028" s="193">
        <f>INDEX(_TARGETS!$J$2:$J$17,MATCH($C1028,_TARGETS!$A$2:$A$17,0))</f>
        <v>1</v>
      </c>
      <c r="N1028" s="193" t="str">
        <f>INDEX(_TARGETS!$D$2:$D$17,MATCH($C1028,_TARGETS!$A$2:$A$17,0))</f>
        <v>días</v>
      </c>
      <c r="O1028" s="193" t="str">
        <f>IF(NOT(ISNUMBER(F1028)),IF(SUMPRODUCT(($C$2:$C$1300=C1028)*($J$2:$J$1300="Monthly")*($A$2:$A$1300&lt;=A1028)*(YEAR($A$2:$A$1300)=YEAR(A1028))*ISNUMBER($K$2:$K$1300)*ISNUMBER($L$2:$L$1300)*($L$2:$L$1300=0)*($K$2:$K$1300&gt;0))&gt;0,"INCOMPLETE","MISSING"),O435)</f>
        <v>MISSING</v>
      </c>
      <c r="P1028" s="193" t="str">
        <f>INDEX(_TARGETS!$K$2:$K$17,MATCH($C1028,_TARGETS!$A$2:$A$17,0))</f>
        <v>Plant Findings (hoja Observaciones-SMP)</v>
      </c>
      <c r="Q1028" s="193" t="str">
        <f t="shared" si="102"/>
        <v>202804|DPAS|YTD</v>
      </c>
      <c r="R1028" s="193" t="str">
        <f>INDEX(_TARGETS!$H$2:$H$17,MATCH($C1028,_TARGETS!$A$2:$A$17,0))</f>
        <v>Pendiente (meta 2027)</v>
      </c>
      <c r="S1028" s="193" t="str">
        <f t="shared" si="103"/>
        <v/>
      </c>
      <c r="T1028" s="193" t="str">
        <f t="shared" si="104"/>
        <v/>
      </c>
    </row>
    <row r="1029" spans="1:20" ht="14.25" customHeight="1" x14ac:dyDescent="0.3">
      <c r="A1029" s="249">
        <f>KPIs!$X$3</f>
        <v>46844</v>
      </c>
      <c r="B1029" s="193" t="str">
        <f>KPIs!X$4</f>
        <v>Compresora</v>
      </c>
      <c r="C1029" t="s">
        <v>96</v>
      </c>
      <c r="D1029" s="193" t="str">
        <f>KPIs!$A$49</f>
        <v>C1 · % de desvíos detectados de gravedad Alta · YTD</v>
      </c>
      <c r="E1029" t="s">
        <v>601</v>
      </c>
      <c r="F1029" s="193" t="str">
        <f>IF(ISNUMBER(KPIs!X49),KPIs!X49,"")</f>
        <v/>
      </c>
      <c r="G1029" s="193" t="str">
        <f>IF(ISNUMBER(KPIs!$C$49),KPIs!$C$49,"")</f>
        <v/>
      </c>
      <c r="H1029" s="193" t="str">
        <f>IFERROR(INDEX(_TARGETS!$E$2:$E$17,MATCH($C1029,_TARGETS!$A$2:$A$17,0))&amp;"","")</f>
        <v/>
      </c>
      <c r="I1029" s="193" t="str">
        <f t="shared" si="100"/>
        <v/>
      </c>
      <c r="J1029" s="193" t="str">
        <f t="shared" si="101"/>
        <v>YTD</v>
      </c>
      <c r="K1029" s="193">
        <f>SUMIFS(Datos!$D$71:$AL$71,Datos!$D$3:$AL$3,"&gt;="&amp;DATE(YEAR(Datos!X$3),1,1),Datos!$D$3:$AL$3,"&lt;="&amp;Datos!X$3)</f>
        <v>0</v>
      </c>
      <c r="L1029" s="193">
        <f>SUMIFS(Datos!$D$71:$AL$71,Datos!$D$3:$AL$3,"&gt;="&amp;DATE(YEAR(Datos!X$3),1,1),Datos!$D$3:$AL$3,"&lt;="&amp;Datos!X$3)+SUMIFS(Datos!$D$72:$AL$72,Datos!$D$3:$AL$3,"&gt;="&amp;DATE(YEAR(Datos!X$3),1,1),Datos!$D$3:$AL$3,"&lt;="&amp;Datos!X$3)+SUMIFS(Datos!$D$73:$AL$73,Datos!$D$3:$AL$3,"&gt;="&amp;DATE(YEAR(Datos!X$3),1,1),Datos!$D$3:$AL$3,"&lt;="&amp;Datos!X$3)</f>
        <v>0</v>
      </c>
      <c r="M1029" s="193">
        <f>INDEX(_TARGETS!$J$2:$J$17,MATCH($C1029,_TARGETS!$A$2:$A$17,0))</f>
        <v>1</v>
      </c>
      <c r="N1029" s="193" t="str">
        <f>INDEX(_TARGETS!$D$2:$D$17,MATCH($C1029,_TARGETS!$A$2:$A$17,0))</f>
        <v>% (fracción)</v>
      </c>
      <c r="O1029" s="193" t="str">
        <f t="shared" ref="O1029:O1035" si="105">IF(NOT(ISNUMBER(F1029)),IF(SUMPRODUCT(($C$2:$C$1300=C1029)*($J$2:$J$1300="Monthly")*($A$2:$A$1300&lt;=A1029)*(YEAR($A$2:$A$1300)=YEAR(A1029))*ISNUMBER($K$2:$K$1300)*ISNUMBER($L$2:$L$1300)*($L$2:$L$1300=0)*($K$2:$K$1300&gt;0))&gt;0,"INCOMPLETE","MISSING"),O441)</f>
        <v>MISSING</v>
      </c>
      <c r="P1029" s="193" t="str">
        <f>INDEX(_TARGETS!$K$2:$K$17,MATCH($C1029,_TARGETS!$A$2:$A$17,0))</f>
        <v>Plant Findings (hoja Observaciones-SMP)</v>
      </c>
      <c r="Q1029" s="193" t="str">
        <f t="shared" si="102"/>
        <v>202804|HAL_ALTA_PCT|YTD</v>
      </c>
      <c r="R1029" s="193" t="str">
        <f>INDEX(_TARGETS!$H$2:$H$17,MATCH($C1029,_TARGETS!$A$2:$A$17,0))</f>
        <v>Solo reporte</v>
      </c>
      <c r="S1029" s="193" t="str">
        <f t="shared" si="103"/>
        <v/>
      </c>
      <c r="T1029" s="193" t="str">
        <f t="shared" si="104"/>
        <v/>
      </c>
    </row>
    <row r="1030" spans="1:20" ht="14.25" customHeight="1" x14ac:dyDescent="0.3">
      <c r="A1030" s="249">
        <f>KPIs!$X$3</f>
        <v>46844</v>
      </c>
      <c r="B1030" s="193" t="str">
        <f>KPIs!X$4</f>
        <v>Compresora</v>
      </c>
      <c r="C1030" t="s">
        <v>98</v>
      </c>
      <c r="D1030" s="193" t="str">
        <f>KPIs!$A$50</f>
        <v>C2 · Detenciones de tareas aplicadas · YTD</v>
      </c>
      <c r="E1030" t="s">
        <v>601</v>
      </c>
      <c r="F1030" s="193" t="str">
        <f>IF(ISNUMBER(KPIs!X50),KPIs!X50,"")</f>
        <v/>
      </c>
      <c r="G1030" s="193" t="str">
        <f>IF(ISNUMBER(KPIs!$C$50),KPIs!$C$50,"")</f>
        <v/>
      </c>
      <c r="H1030" s="193" t="str">
        <f>IFERROR(INDEX(_TARGETS!$E$2:$E$17,MATCH($C1030,_TARGETS!$A$2:$A$17,0))&amp;"","")</f>
        <v/>
      </c>
      <c r="I1030" s="193" t="str">
        <f t="shared" si="100"/>
        <v/>
      </c>
      <c r="J1030" s="193" t="str">
        <f t="shared" si="101"/>
        <v>YTD</v>
      </c>
      <c r="K1030" s="193">
        <f>SUMIFS(Datos!$D$75:$AL$75,Datos!$D$3:$AL$3,"&gt;="&amp;DATE(YEAR(Datos!X$3),1,1),Datos!$D$3:$AL$3,"&lt;="&amp;Datos!X$3)</f>
        <v>0</v>
      </c>
      <c r="M1030" s="193">
        <f>INDEX(_TARGETS!$J$2:$J$17,MATCH($C1030,_TARGETS!$A$2:$A$17,0))</f>
        <v>1</v>
      </c>
      <c r="N1030" s="193" t="str">
        <f>INDEX(_TARGETS!$D$2:$D$17,MATCH($C1030,_TARGETS!$A$2:$A$17,0))</f>
        <v>u</v>
      </c>
      <c r="O1030" s="193" t="str">
        <f t="shared" si="105"/>
        <v>MISSING</v>
      </c>
      <c r="P1030" s="193" t="str">
        <f>INDEX(_TARGETS!$K$2:$K$17,MATCH($C1030,_TARGETS!$A$2:$A$17,0))</f>
        <v>Plant Findings (hoja Observaciones-SMP)</v>
      </c>
      <c r="Q1030" s="193" t="str">
        <f t="shared" si="102"/>
        <v>202804|DET|YTD</v>
      </c>
      <c r="R1030" s="193" t="str">
        <f>INDEX(_TARGETS!$H$2:$H$17,MATCH($C1030,_TARGETS!$A$2:$A$17,0))</f>
        <v>Solo reporte</v>
      </c>
      <c r="S1030" s="193">
        <f t="shared" si="103"/>
        <v>0</v>
      </c>
      <c r="T1030" s="193" t="str">
        <f t="shared" si="104"/>
        <v/>
      </c>
    </row>
    <row r="1031" spans="1:20" ht="14.25" customHeight="1" x14ac:dyDescent="0.3">
      <c r="A1031" s="249">
        <f>KPIs!$Y$3</f>
        <v>46874</v>
      </c>
      <c r="B1031" s="193" t="str">
        <f>KPIs!Y$4</f>
        <v>Compresora</v>
      </c>
      <c r="C1031" t="s">
        <v>39</v>
      </c>
      <c r="D1031" s="193" t="str">
        <f>KPIs!$A$37</f>
        <v>1 · Frecuencia de casos con días perdidos · YTD</v>
      </c>
      <c r="E1031" t="s">
        <v>601</v>
      </c>
      <c r="F1031" s="193" t="str">
        <f>IF(ISNUMBER(KPIs!Y37),KPIs!Y37,"")</f>
        <v/>
      </c>
      <c r="G1031" s="250">
        <f>IF(ISNUMBER(KPIs!$C$37),KPIs!$C$37,"")</f>
        <v>0</v>
      </c>
      <c r="H1031" s="193" t="str">
        <f>IFERROR(INDEX(_TARGETS!$E$2:$E$17,MATCH($C1031,_TARGETS!$A$2:$A$17,0))&amp;"","")</f>
        <v>≤</v>
      </c>
      <c r="I1031" s="193" t="str">
        <f t="shared" si="100"/>
        <v/>
      </c>
      <c r="J1031" s="193" t="str">
        <f t="shared" si="101"/>
        <v>YTD</v>
      </c>
      <c r="K1031" s="193">
        <f>SUMIFS(Datos!$D$33:$AL$33,Datos!$D$3:$AL$3,"&gt;="&amp;DATE(YEAR(Datos!Y$3),1,1),Datos!$D$3:$AL$3,"&lt;="&amp;Datos!Y$3)</f>
        <v>0</v>
      </c>
      <c r="L1031" s="193">
        <f>SUMIFS(Datos!$D$14:$AL$14,Datos!$D$3:$AL$3,"&gt;="&amp;DATE(YEAR(Datos!Y$3),1,1),Datos!$D$3:$AL$3,"&lt;="&amp;Datos!Y$3)</f>
        <v>0</v>
      </c>
      <c r="M1031" s="193">
        <f>INDEX(_TARGETS!$J$2:$J$17,MATCH($C1031,_TARGETS!$A$2:$A$17,0))</f>
        <v>1000000</v>
      </c>
      <c r="N1031" s="193" t="str">
        <f>INDEX(_TARGETS!$D$2:$D$17,MATCH($C1031,_TARGETS!$A$2:$A$17,0))</f>
        <v>casos / 10^6 HH</v>
      </c>
      <c r="O1031" s="193" t="str">
        <f t="shared" si="105"/>
        <v>MISSING</v>
      </c>
      <c r="P1031" s="193" t="str">
        <f>INDEX(_TARGETS!$K$2:$K$17,MATCH($C1031,_TARGETS!$A$2:$A$17,0))</f>
        <v>OPS (carga manual en Datos)</v>
      </c>
      <c r="Q1031" s="193" t="str">
        <f t="shared" si="102"/>
        <v>202805|DAFWCF|YTD</v>
      </c>
      <c r="R1031" s="193" t="str">
        <f>INDEX(_TARGETS!$H$2:$H$17,MATCH($C1031,_TARGETS!$A$2:$A$17,0))</f>
        <v>Definida</v>
      </c>
      <c r="S1031" s="193" t="str">
        <f t="shared" si="103"/>
        <v/>
      </c>
      <c r="T1031" s="193" t="str">
        <f t="shared" si="104"/>
        <v/>
      </c>
    </row>
    <row r="1032" spans="1:20" ht="14.25" customHeight="1" x14ac:dyDescent="0.3">
      <c r="A1032" s="249">
        <f>KPIs!$Y$3</f>
        <v>46874</v>
      </c>
      <c r="B1032" s="193" t="str">
        <f>KPIs!Y$4</f>
        <v>Compresora</v>
      </c>
      <c r="C1032" t="s">
        <v>49</v>
      </c>
      <c r="D1032" s="193" t="str">
        <f>KPIs!$A$38</f>
        <v>2 · Frecuencia de casos registrables · YTD</v>
      </c>
      <c r="E1032" t="s">
        <v>601</v>
      </c>
      <c r="F1032" s="193" t="str">
        <f>IF(ISNUMBER(KPIs!Y38),KPIs!Y38,"")</f>
        <v/>
      </c>
      <c r="G1032" s="250">
        <f>IF(ISNUMBER(KPIs!$C$38),KPIs!$C$38,"")</f>
        <v>2.35</v>
      </c>
      <c r="H1032" s="193" t="str">
        <f>IFERROR(INDEX(_TARGETS!$E$2:$E$17,MATCH($C1032,_TARGETS!$A$2:$A$17,0))&amp;"","")</f>
        <v>≤</v>
      </c>
      <c r="I1032" s="193" t="str">
        <f t="shared" si="100"/>
        <v/>
      </c>
      <c r="J1032" s="193" t="str">
        <f t="shared" si="101"/>
        <v>YTD</v>
      </c>
      <c r="K1032" s="193">
        <f>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f>
        <v>0</v>
      </c>
      <c r="L1032" s="193">
        <f>SUMIFS(Datos!$D$14:$AL$14,Datos!$D$3:$AL$3,"&gt;="&amp;DATE(YEAR(Datos!Y$3),1,1),Datos!$D$3:$AL$3,"&lt;="&amp;Datos!Y$3)</f>
        <v>0</v>
      </c>
      <c r="M1032" s="193">
        <f>INDEX(_TARGETS!$J$2:$J$17,MATCH($C1032,_TARGETS!$A$2:$A$17,0))</f>
        <v>1000000</v>
      </c>
      <c r="N1032" s="193" t="str">
        <f>INDEX(_TARGETS!$D$2:$D$17,MATCH($C1032,_TARGETS!$A$2:$A$17,0))</f>
        <v>casos / 10^6 HH</v>
      </c>
      <c r="O1032" s="193" t="str">
        <f t="shared" si="105"/>
        <v>MISSING</v>
      </c>
      <c r="P1032" s="193" t="str">
        <f>INDEX(_TARGETS!$K$2:$K$17,MATCH($C1032,_TARGETS!$A$2:$A$17,0))</f>
        <v>OPS (carga manual en Datos)</v>
      </c>
      <c r="Q1032" s="193" t="str">
        <f t="shared" si="102"/>
        <v>202805|TRICF|YTD</v>
      </c>
      <c r="R1032" s="193" t="str">
        <f>INDEX(_TARGETS!$H$2:$H$17,MATCH($C1032,_TARGETS!$A$2:$A$17,0))</f>
        <v>Definida</v>
      </c>
      <c r="S1032" s="193" t="str">
        <f t="shared" si="103"/>
        <v/>
      </c>
      <c r="T1032" s="193" t="str">
        <f t="shared" si="104"/>
        <v/>
      </c>
    </row>
    <row r="1033" spans="1:20" ht="14.25" customHeight="1" x14ac:dyDescent="0.3">
      <c r="A1033" s="249">
        <f>KPIs!$Y$3</f>
        <v>46874</v>
      </c>
      <c r="B1033" s="193" t="str">
        <f>KPIs!Y$4</f>
        <v>Compresora</v>
      </c>
      <c r="C1033" t="s">
        <v>51</v>
      </c>
      <c r="D1033" s="193" t="str">
        <f>KPIs!$A$39</f>
        <v>3 · Casos de primeros auxilios · YTD</v>
      </c>
      <c r="E1033" t="s">
        <v>601</v>
      </c>
      <c r="F1033" s="193" t="str">
        <f>IF(ISNUMBER(KPIs!Y39),KPIs!Y39,"")</f>
        <v/>
      </c>
      <c r="G1033" s="193" t="str">
        <f>IF(ISNUMBER(KPIs!$C$39),KPIs!$C$39,"")</f>
        <v/>
      </c>
      <c r="H1033" s="193" t="str">
        <f>IFERROR(INDEX(_TARGETS!$E$2:$E$17,MATCH($C1033,_TARGETS!$A$2:$A$17,0))&amp;"","")</f>
        <v/>
      </c>
      <c r="I1033" s="193" t="str">
        <f t="shared" si="100"/>
        <v/>
      </c>
      <c r="J1033" s="193" t="str">
        <f t="shared" si="101"/>
        <v>YTD</v>
      </c>
      <c r="K1033" s="193">
        <f>SUMIFS(Datos!$D$37:$AL$37,Datos!$D$3:$AL$3,"&gt;="&amp;DATE(YEAR(Datos!Y$3),1,1),Datos!$D$3:$AL$3,"&lt;="&amp;Datos!Y$3)</f>
        <v>0</v>
      </c>
      <c r="M1033" s="193">
        <f>INDEX(_TARGETS!$J$2:$J$17,MATCH($C1033,_TARGETS!$A$2:$A$17,0))</f>
        <v>1</v>
      </c>
      <c r="N1033" s="193" t="str">
        <f>INDEX(_TARGETS!$D$2:$D$17,MATCH($C1033,_TARGETS!$A$2:$A$17,0))</f>
        <v>casos</v>
      </c>
      <c r="O1033" s="193" t="str">
        <f t="shared" si="105"/>
        <v>MISSING</v>
      </c>
      <c r="P1033" s="193" t="str">
        <f>INDEX(_TARGETS!$K$2:$K$17,MATCH($C1033,_TARGETS!$A$2:$A$17,0))</f>
        <v>OPS (carga manual en Datos)</v>
      </c>
      <c r="Q1033" s="193" t="str">
        <f t="shared" si="102"/>
        <v>202805|FAC|YTD</v>
      </c>
      <c r="R1033" s="193" t="str">
        <f>INDEX(_TARGETS!$H$2:$H$17,MATCH($C1033,_TARGETS!$A$2:$A$17,0))</f>
        <v>Solo reporte</v>
      </c>
      <c r="S1033" s="193">
        <f t="shared" si="103"/>
        <v>0</v>
      </c>
      <c r="T1033" s="193" t="str">
        <f t="shared" si="104"/>
        <v/>
      </c>
    </row>
    <row r="1034" spans="1:20" ht="14.25" customHeight="1" x14ac:dyDescent="0.3">
      <c r="A1034" s="249">
        <f>KPIs!$Y$3</f>
        <v>46874</v>
      </c>
      <c r="B1034" s="193" t="str">
        <f>KPIs!Y$4</f>
        <v>Compresora</v>
      </c>
      <c r="C1034" t="s">
        <v>57</v>
      </c>
      <c r="D1034" s="193" t="str">
        <f>KPIs!$A$40</f>
        <v>4 · Accidentes vehiculares severos por millón de km · YTD</v>
      </c>
      <c r="E1034" t="s">
        <v>601</v>
      </c>
      <c r="F1034" s="193" t="str">
        <f>IF(ISNUMBER(KPIs!Y40),KPIs!Y40,"")</f>
        <v/>
      </c>
      <c r="G1034" s="193" t="str">
        <f>IF(ISNUMBER(KPIs!$C$40),KPIs!$C$40,"")</f>
        <v/>
      </c>
      <c r="H1034" s="193" t="str">
        <f>IFERROR(INDEX(_TARGETS!$E$2:$E$17,MATCH($C1034,_TARGETS!$A$2:$A$17,0))&amp;"","")</f>
        <v/>
      </c>
      <c r="I1034" s="193" t="str">
        <f t="shared" si="100"/>
        <v/>
      </c>
      <c r="J1034" s="193" t="str">
        <f t="shared" si="101"/>
        <v>YTD</v>
      </c>
      <c r="K1034" s="193">
        <f>SUMIFS(Datos!$D$39:$AL$39,Datos!$D$3:$AL$3,"&gt;="&amp;DATE(YEAR(Datos!Y$3),1,1),Datos!$D$3:$AL$3,"&lt;="&amp;Datos!Y$3)+SUMIFS(Datos!$D$40:$AL$40,Datos!$D$3:$AL$3,"&gt;="&amp;DATE(YEAR(Datos!Y$3),1,1),Datos!$D$3:$AL$3,"&lt;="&amp;Datos!Y$3)+SUMIFS(Datos!$D$41:$AL$41,Datos!$D$3:$AL$3,"&gt;="&amp;DATE(YEAR(Datos!Y$3),1,1),Datos!$D$3:$AL$3,"&lt;="&amp;Datos!Y$3)</f>
        <v>0</v>
      </c>
      <c r="L1034" s="193">
        <f>SUMIFS(Datos!$D$47:$AL$47,Datos!$D$3:$AL$3,"&gt;="&amp;DATE(YEAR(Datos!Y$3),1,1),Datos!$D$3:$AL$3,"&lt;="&amp;Datos!Y$3)</f>
        <v>0</v>
      </c>
      <c r="M1034" s="193">
        <f>INDEX(_TARGETS!$J$2:$J$17,MATCH($C1034,_TARGETS!$A$2:$A$17,0))</f>
        <v>1000000</v>
      </c>
      <c r="N1034" s="193" t="str">
        <f>INDEX(_TARGETS!$D$2:$D$17,MATCH($C1034,_TARGETS!$A$2:$A$17,0))</f>
        <v>eventos / 10^6 km</v>
      </c>
      <c r="O1034" s="193" t="str">
        <f t="shared" si="105"/>
        <v>MISSING</v>
      </c>
      <c r="P1034" s="193" t="str">
        <f>INDEX(_TARGETS!$K$2:$K$17,MATCH($C1034,_TARGETS!$A$2:$A$17,0))</f>
        <v>OPS (eventos) + Full Control GPS (km) - carga manual en Datos</v>
      </c>
      <c r="Q1034" s="193" t="str">
        <f t="shared" si="102"/>
        <v>202805|SVCR|YTD</v>
      </c>
      <c r="R1034" s="193" t="str">
        <f>INDEX(_TARGETS!$H$2:$H$17,MATCH($C1034,_TARGETS!$A$2:$A$17,0))</f>
        <v>Solo reporte</v>
      </c>
      <c r="S1034" s="193" t="str">
        <f t="shared" si="103"/>
        <v/>
      </c>
      <c r="T1034" s="193" t="str">
        <f t="shared" si="104"/>
        <v/>
      </c>
    </row>
    <row r="1035" spans="1:20" ht="14.25" customHeight="1" x14ac:dyDescent="0.3">
      <c r="A1035" s="249">
        <f>KPIs!$Y$3</f>
        <v>46874</v>
      </c>
      <c r="B1035" s="193" t="str">
        <f>KPIs!Y$4</f>
        <v>Compresora</v>
      </c>
      <c r="C1035" t="s">
        <v>61</v>
      </c>
      <c r="D1035" s="193" t="str">
        <f>KPIs!$A$41</f>
        <v>5 · Accidentes vehiculares totales por millón de km · YTD</v>
      </c>
      <c r="E1035" t="s">
        <v>601</v>
      </c>
      <c r="F1035" s="193" t="str">
        <f>IF(ISNUMBER(KPIs!Y41),KPIs!Y41,"")</f>
        <v/>
      </c>
      <c r="G1035" s="250">
        <f>IF(ISNUMBER(KPIs!$C$41),KPIs!$C$41,"")</f>
        <v>0.79</v>
      </c>
      <c r="H1035" s="193" t="str">
        <f>IFERROR(INDEX(_TARGETS!$E$2:$E$17,MATCH($C1035,_TARGETS!$A$2:$A$17,0))&amp;"","")</f>
        <v>≤</v>
      </c>
      <c r="I1035" s="193" t="str">
        <f t="shared" si="100"/>
        <v/>
      </c>
      <c r="J1035" s="193" t="str">
        <f t="shared" si="101"/>
        <v>YTD</v>
      </c>
      <c r="K1035" s="193">
        <f>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f>
        <v>0</v>
      </c>
      <c r="L1035" s="193">
        <f>SUMIFS(Datos!$D$47:$AL$47,Datos!$D$3:$AL$3,"&gt;="&amp;DATE(YEAR(Datos!Y$3),1,1),Datos!$D$3:$AL$3,"&lt;="&amp;Datos!Y$3)</f>
        <v>0</v>
      </c>
      <c r="M1035" s="193">
        <f>INDEX(_TARGETS!$J$2:$J$17,MATCH($C1035,_TARGETS!$A$2:$A$17,0))</f>
        <v>1000000</v>
      </c>
      <c r="N1035" s="193" t="str">
        <f>INDEX(_TARGETS!$D$2:$D$17,MATCH($C1035,_TARGETS!$A$2:$A$17,0))</f>
        <v>eventos / 10^6 km</v>
      </c>
      <c r="O1035" s="193" t="str">
        <f t="shared" si="105"/>
        <v>MISSING</v>
      </c>
      <c r="P1035" s="193" t="str">
        <f>INDEX(_TARGETS!$K$2:$K$17,MATCH($C1035,_TARGETS!$A$2:$A$17,0))</f>
        <v>OPS (eventos) + Full Control GPS (km) - carga manual en Datos</v>
      </c>
      <c r="Q1035" s="193" t="str">
        <f t="shared" si="102"/>
        <v>202805|TVCR|YTD</v>
      </c>
      <c r="R1035" s="193" t="str">
        <f>INDEX(_TARGETS!$H$2:$H$17,MATCH($C1035,_TARGETS!$A$2:$A$17,0))</f>
        <v>Definida</v>
      </c>
      <c r="S1035" s="193" t="str">
        <f t="shared" si="103"/>
        <v/>
      </c>
      <c r="T1035" s="193" t="str">
        <f t="shared" si="104"/>
        <v/>
      </c>
    </row>
    <row r="1036" spans="1:20" ht="14.25" customHeight="1" x14ac:dyDescent="0.3">
      <c r="A1036" s="249">
        <f>KPIs!$Y$3</f>
        <v>46874</v>
      </c>
      <c r="B1036" s="193" t="str">
        <f>KPIs!Y$4</f>
        <v>Compresora</v>
      </c>
      <c r="C1036" t="s">
        <v>71</v>
      </c>
      <c r="D1036" s="193" t="str">
        <f>KPIs!$A$42</f>
        <v>7 · Investigaciones de accidentes: días promedio de cierre · YTD</v>
      </c>
      <c r="E1036" t="s">
        <v>601</v>
      </c>
      <c r="F1036" s="193" t="str">
        <f>IF(ISNUMBER(KPIs!Y42),KPIs!Y42,"")</f>
        <v/>
      </c>
      <c r="G1036" s="251">
        <f>IF(ISNUMBER(KPIs!$C$42),KPIs!$C$42,"")</f>
        <v>20</v>
      </c>
      <c r="H1036" s="193" t="str">
        <f>IFERROR(INDEX(_TARGETS!$E$2:$E$17,MATCH($C1036,_TARGETS!$A$2:$A$17,0))&amp;"","")</f>
        <v>≤</v>
      </c>
      <c r="I1036" s="193" t="str">
        <f t="shared" si="100"/>
        <v/>
      </c>
      <c r="J1036" s="193" t="str">
        <f t="shared" si="101"/>
        <v>YTD</v>
      </c>
      <c r="K1036" s="193">
        <f>SUMIFS(Datos!$D$31:$AL$31,Datos!$D$3:$AL$3,"&gt;="&amp;DATE(YEAR(Datos!Y$3),1,1),Datos!$D$3:$AL$3,"&lt;="&amp;Datos!Y$3)</f>
        <v>0</v>
      </c>
      <c r="L1036" s="193">
        <f>SUMIFS(Datos!$D$30:$AL$30,Datos!$D$3:$AL$3,"&gt;="&amp;DATE(YEAR(Datos!Y$3),1,1),Datos!$D$3:$AL$3,"&lt;="&amp;Datos!Y$3)</f>
        <v>0</v>
      </c>
      <c r="M1036" s="193">
        <f>INDEX(_TARGETS!$J$2:$J$17,MATCH($C1036,_TARGETS!$A$2:$A$17,0))</f>
        <v>1</v>
      </c>
      <c r="N1036" s="193" t="str">
        <f>INDEX(_TARGETS!$D$2:$D$17,MATCH($C1036,_TARGETS!$A$2:$A$17,0))</f>
        <v>días</v>
      </c>
      <c r="O1036" s="193" t="str">
        <f>IF(NOT(ISNUMBER(F1036)),IF(SUMPRODUCT(($C$2:$C$1300=C1036)*($J$2:$J$1300="Monthly")*($A$2:$A$1300&lt;=A1036)*(YEAR($A$2:$A$1300)=YEAR(A1036))*ISNUMBER($K$2:$K$1300)*ISNUMBER($L$2:$L$1300)*($L$2:$L$1300=0)*($K$2:$K$1300&gt;0))&gt;0,"INCOMPLETE","MISSING"),O449)</f>
        <v>MISSING</v>
      </c>
      <c r="P1036" s="193" t="str">
        <f>INDEX(_TARGETS!$K$2:$K$17,MATCH($C1036,_TARGETS!$A$2:$A$17,0))</f>
        <v>OPS (carga manual en Datos)</v>
      </c>
      <c r="Q1036" s="193" t="str">
        <f t="shared" si="102"/>
        <v>202805|INV|YTD</v>
      </c>
      <c r="R1036" s="193" t="str">
        <f>INDEX(_TARGETS!$H$2:$H$17,MATCH($C1036,_TARGETS!$A$2:$A$17,0))</f>
        <v>Definida</v>
      </c>
      <c r="S1036" s="193" t="str">
        <f t="shared" si="103"/>
        <v/>
      </c>
      <c r="T1036" s="193" t="str">
        <f t="shared" si="104"/>
        <v/>
      </c>
    </row>
    <row r="1037" spans="1:20" ht="14.25" customHeight="1" x14ac:dyDescent="0.3">
      <c r="A1037" s="249">
        <f>KPIs!$Y$3</f>
        <v>46874</v>
      </c>
      <c r="B1037" s="193" t="str">
        <f>KPIs!Y$4</f>
        <v>Compresora</v>
      </c>
      <c r="C1037" t="s">
        <v>76</v>
      </c>
      <c r="D1037" s="193" t="str">
        <f>KPIs!$A$43</f>
        <v>8 · % de capacitación en seguridad · YTD</v>
      </c>
      <c r="E1037" t="s">
        <v>601</v>
      </c>
      <c r="F1037" s="193" t="str">
        <f>IF(ISNUMBER(KPIs!Y43),KPIs!Y43,"")</f>
        <v/>
      </c>
      <c r="G1037" s="252">
        <f>IF(ISNUMBER(KPIs!$C$43),KPIs!$C$43,"")</f>
        <v>0.01</v>
      </c>
      <c r="H1037" s="193" t="str">
        <f>IFERROR(INDEX(_TARGETS!$E$2:$E$17,MATCH($C1037,_TARGETS!$A$2:$A$17,0))&amp;"","")</f>
        <v>≥</v>
      </c>
      <c r="I1037" s="193" t="str">
        <f t="shared" si="100"/>
        <v/>
      </c>
      <c r="J1037" s="193" t="str">
        <f t="shared" si="101"/>
        <v>YTD</v>
      </c>
      <c r="K1037" s="193">
        <f>SUMIFS(Datos!$D$18:$AL$18,Datos!$D$3:$AL$3,"&gt;="&amp;DATE(YEAR(Datos!Y$3),1,1),Datos!$D$3:$AL$3,"&lt;="&amp;Datos!Y$3)</f>
        <v>0</v>
      </c>
      <c r="L1037" s="193">
        <f>SUMIFS(Datos!$D$14:$AL$14,Datos!$D$3:$AL$3,"&gt;="&amp;DATE(YEAR(Datos!Y$3),1,1),Datos!$D$3:$AL$3,"&lt;="&amp;Datos!Y$3)</f>
        <v>0</v>
      </c>
      <c r="M1037" s="193">
        <f>INDEX(_TARGETS!$J$2:$J$17,MATCH($C1037,_TARGETS!$A$2:$A$17,0))</f>
        <v>1</v>
      </c>
      <c r="N1037" s="193" t="str">
        <f>INDEX(_TARGETS!$D$2:$D$17,MATCH($C1037,_TARGETS!$A$2:$A$17,0))</f>
        <v>% (fracción)</v>
      </c>
      <c r="O1037" s="193" t="str">
        <f>IF(NOT(ISNUMBER(F1037)),IF(SUMPRODUCT(($C$2:$C$1300=C1037)*($J$2:$J$1300="Monthly")*($A$2:$A$1300&lt;=A1037)*(YEAR($A$2:$A$1300)=YEAR(A1037))*ISNUMBER($K$2:$K$1300)*ISNUMBER($L$2:$L$1300)*($L$2:$L$1300=0)*($K$2:$K$1300&gt;0))&gt;0,"INCOMPLETE","MISSING"),O450)</f>
        <v>MISSING</v>
      </c>
      <c r="P1037" s="193" t="str">
        <f>INDEX(_TARGETS!$K$2:$K$17,MATCH($C1037,_TARGETS!$A$2:$A$17,0))</f>
        <v>OPS (carga manual en Datos)</v>
      </c>
      <c r="Q1037" s="193" t="str">
        <f t="shared" si="102"/>
        <v>202805|HCS|YTD</v>
      </c>
      <c r="R1037" s="193" t="str">
        <f>INDEX(_TARGETS!$H$2:$H$17,MATCH($C1037,_TARGETS!$A$2:$A$17,0))</f>
        <v>Definida</v>
      </c>
      <c r="S1037" s="193" t="str">
        <f t="shared" si="103"/>
        <v/>
      </c>
      <c r="T1037" s="193" t="str">
        <f t="shared" si="104"/>
        <v/>
      </c>
    </row>
    <row r="1038" spans="1:20" ht="14.25" customHeight="1" x14ac:dyDescent="0.3">
      <c r="A1038" s="249">
        <f>KPIs!$Y$3</f>
        <v>46874</v>
      </c>
      <c r="B1038" s="193" t="str">
        <f>KPIs!Y$4</f>
        <v>Compresora</v>
      </c>
      <c r="C1038" t="s">
        <v>83</v>
      </c>
      <c r="D1038" s="193" t="str">
        <f>KPIs!$A$44</f>
        <v>10 · Cumplimiento de simulacros (emergencia y operativos) · YTD</v>
      </c>
      <c r="E1038" t="s">
        <v>601</v>
      </c>
      <c r="F1038" s="193" t="str">
        <f>IF(ISNUMBER(KPIs!Y44),KPIs!Y44,"")</f>
        <v/>
      </c>
      <c r="G1038" s="253">
        <f>IF(ISNUMBER(KPIs!$C$44),KPIs!$C$44,"")</f>
        <v>1</v>
      </c>
      <c r="H1038" s="193" t="str">
        <f>IFERROR(INDEX(_TARGETS!$E$2:$E$17,MATCH($C1038,_TARGETS!$A$2:$A$17,0))&amp;"","")</f>
        <v>≥</v>
      </c>
      <c r="I1038" s="193" t="str">
        <f t="shared" si="100"/>
        <v/>
      </c>
      <c r="J1038" s="193" t="str">
        <f t="shared" si="101"/>
        <v>YTD</v>
      </c>
      <c r="K1038" s="193">
        <f>SUMIFS(Datos!$D$20:$AL$20,Datos!$D$3:$AL$3,"&gt;="&amp;DATE(YEAR(Datos!Y$3),1,1),Datos!$D$3:$AL$3,"&lt;="&amp;Datos!Y$3)</f>
        <v>0</v>
      </c>
      <c r="L1038" s="193">
        <f>SUMIFS(Datos!$D$21:$AL$21,Datos!$D$3:$AL$3,"&gt;="&amp;DATE(YEAR(Datos!Y$3),1,1),Datos!$D$3:$AL$3,"&lt;="&amp;Datos!Y$3)</f>
        <v>0</v>
      </c>
      <c r="M1038" s="193">
        <f>INDEX(_TARGETS!$J$2:$J$17,MATCH($C1038,_TARGETS!$A$2:$A$17,0))</f>
        <v>1</v>
      </c>
      <c r="N1038" s="193" t="str">
        <f>INDEX(_TARGETS!$D$2:$D$17,MATCH($C1038,_TARGETS!$A$2:$A$17,0))</f>
        <v>% (fracción)</v>
      </c>
      <c r="O1038" s="193" t="str">
        <f>IF(NOT(ISNUMBER(F1038)),IF(SUMPRODUCT(($C$2:$C$1300=C1038)*($J$2:$J$1300="Monthly")*($A$2:$A$1300&lt;=A1038)*(YEAR($A$2:$A$1300)=YEAR(A1038))*ISNUMBER($K$2:$K$1300)*ISNUMBER($L$2:$L$1300)*($L$2:$L$1300=0)*($K$2:$K$1300&gt;0))&gt;0,"INCOMPLETE","MISSING"),O452)</f>
        <v>MISSING</v>
      </c>
      <c r="P1038" s="193" t="str">
        <f>INDEX(_TARGETS!$K$2:$K$17,MATCH($C1038,_TARGETS!$A$2:$A$17,0))</f>
        <v>OPS (carga manual en Datos)</v>
      </c>
      <c r="Q1038" s="193" t="str">
        <f t="shared" si="102"/>
        <v>202805|CPSE|YTD</v>
      </c>
      <c r="R1038" s="193" t="str">
        <f>INDEX(_TARGETS!$H$2:$H$17,MATCH($C1038,_TARGETS!$A$2:$A$17,0))</f>
        <v>Definida</v>
      </c>
      <c r="S1038" s="193" t="str">
        <f t="shared" si="103"/>
        <v/>
      </c>
      <c r="T1038" s="193" t="str">
        <f t="shared" si="104"/>
        <v/>
      </c>
    </row>
    <row r="1039" spans="1:20" ht="14.25" customHeight="1" x14ac:dyDescent="0.3">
      <c r="A1039" s="249">
        <f>KPIs!$Y$3</f>
        <v>46874</v>
      </c>
      <c r="B1039" s="193" t="str">
        <f>KPIs!Y$4</f>
        <v>Compresora</v>
      </c>
      <c r="C1039" t="s">
        <v>85</v>
      </c>
      <c r="D1039" s="193" t="str">
        <f>KPIs!$A$45</f>
        <v>10b · Cumplimiento de acciones de mejora de simulacros · YTD</v>
      </c>
      <c r="E1039" t="s">
        <v>601</v>
      </c>
      <c r="F1039" s="193" t="str">
        <f>IF(ISNUMBER(KPIs!Y45),KPIs!Y45,"")</f>
        <v/>
      </c>
      <c r="G1039" s="254" t="str">
        <f>IF(ISNUMBER(KPIs!$C$45),KPIs!$C$45,"")</f>
        <v/>
      </c>
      <c r="H1039" s="193" t="str">
        <f>IFERROR(INDEX(_TARGETS!$E$2:$E$17,MATCH($C1039,_TARGETS!$A$2:$A$17,0))&amp;"","")</f>
        <v/>
      </c>
      <c r="I1039" s="193" t="str">
        <f t="shared" si="100"/>
        <v/>
      </c>
      <c r="J1039" s="193" t="str">
        <f t="shared" si="101"/>
        <v>YTD</v>
      </c>
      <c r="K1039" s="193">
        <f>SUMIFS(Datos!$D$23:$AL$23,Datos!$D$3:$AL$3,"&gt;="&amp;DATE(YEAR(Datos!Y$3),1,1),Datos!$D$3:$AL$3,"&lt;="&amp;Datos!Y$3)</f>
        <v>0</v>
      </c>
      <c r="L1039" s="193">
        <f>SUMIFS(Datos!$D$22:$AL$22,Datos!$D$3:$AL$3,"&gt;="&amp;DATE(YEAR(Datos!Y$3),1,1),Datos!$D$3:$AL$3,"&lt;="&amp;Datos!Y$3)</f>
        <v>0</v>
      </c>
      <c r="M1039" s="193">
        <f>INDEX(_TARGETS!$J$2:$J$17,MATCH($C1039,_TARGETS!$A$2:$A$17,0))</f>
        <v>1</v>
      </c>
      <c r="N1039" s="193" t="str">
        <f>INDEX(_TARGETS!$D$2:$D$17,MATCH($C1039,_TARGETS!$A$2:$A$17,0))</f>
        <v>% (fracción)</v>
      </c>
      <c r="O1039" s="193" t="str">
        <f>IF(NOT(ISNUMBER(F1039)),IF(SUMPRODUCT(($C$2:$C$1300=C1039)*($J$2:$J$1300="Monthly")*($A$2:$A$1300&lt;=A1039)*(YEAR($A$2:$A$1300)=YEAR(A1039))*ISNUMBER($K$2:$K$1300)*ISNUMBER($L$2:$L$1300)*($L$2:$L$1300=0)*($K$2:$K$1300&gt;0))&gt;0,"INCOMPLETE","MISSING"),O453)</f>
        <v>MISSING</v>
      </c>
      <c r="P1039" s="193" t="str">
        <f>INDEX(_TARGETS!$K$2:$K$17,MATCH($C1039,_TARGETS!$A$2:$A$17,0))</f>
        <v>OPS (carga manual en Datos)</v>
      </c>
      <c r="Q1039" s="193" t="str">
        <f t="shared" si="102"/>
        <v>202805|CAMS|YTD</v>
      </c>
      <c r="R1039" s="193" t="str">
        <f>INDEX(_TARGETS!$H$2:$H$17,MATCH($C1039,_TARGETS!$A$2:$A$17,0))</f>
        <v>Solo reporte</v>
      </c>
      <c r="S1039" s="193" t="str">
        <f t="shared" si="103"/>
        <v/>
      </c>
      <c r="T1039" s="193" t="str">
        <f t="shared" si="104"/>
        <v/>
      </c>
    </row>
    <row r="1040" spans="1:20" ht="14.25" customHeight="1" x14ac:dyDescent="0.3">
      <c r="A1040" s="249">
        <f>KPIs!$Y$3</f>
        <v>46874</v>
      </c>
      <c r="B1040" s="193" t="str">
        <f>KPIs!Y$4</f>
        <v>Compresora</v>
      </c>
      <c r="C1040" t="s">
        <v>87</v>
      </c>
      <c r="D1040" s="193" t="str">
        <f>KPIs!$A$46</f>
        <v>11 · Cumplimiento de caminatas gerenciales · YTD</v>
      </c>
      <c r="E1040" t="s">
        <v>601</v>
      </c>
      <c r="F1040" s="193" t="str">
        <f>IF(ISNUMBER(KPIs!Y46),KPIs!Y46,"")</f>
        <v/>
      </c>
      <c r="G1040" s="254">
        <f>IF(ISNUMBER(KPIs!$C$46),KPIs!$C$46,"")</f>
        <v>1</v>
      </c>
      <c r="H1040" s="193" t="str">
        <f>IFERROR(INDEX(_TARGETS!$E$2:$E$17,MATCH($C1040,_TARGETS!$A$2:$A$17,0))&amp;"","")</f>
        <v>≥</v>
      </c>
      <c r="I1040" s="193" t="str">
        <f t="shared" si="100"/>
        <v/>
      </c>
      <c r="J1040" s="193" t="str">
        <f t="shared" si="101"/>
        <v>YTD</v>
      </c>
      <c r="K1040" s="193">
        <f>SUMIFS(Datos!$D$24:$AL$24,Datos!$D$3:$AL$3,"&gt;="&amp;DATE(YEAR(Datos!Y$3),1,1),Datos!$D$3:$AL$3,"&lt;="&amp;Datos!Y$3)</f>
        <v>0</v>
      </c>
      <c r="L1040" s="193">
        <f>SUMIFS(Datos!$D$25:$AL$25,Datos!$D$3:$AL$3,"&gt;="&amp;DATE(YEAR(Datos!Y$3),1,1),Datos!$D$3:$AL$3,"&lt;="&amp;Datos!Y$3)</f>
        <v>0</v>
      </c>
      <c r="M1040" s="193">
        <f>INDEX(_TARGETS!$J$2:$J$17,MATCH($C1040,_TARGETS!$A$2:$A$17,0))</f>
        <v>1</v>
      </c>
      <c r="N1040" s="193" t="str">
        <f>INDEX(_TARGETS!$D$2:$D$17,MATCH($C1040,_TARGETS!$A$2:$A$17,0))</f>
        <v>% (fracción)</v>
      </c>
      <c r="O1040" s="193" t="str">
        <f>IF(NOT(ISNUMBER(F1040)),IF(SUMPRODUCT(($C$2:$C$1300=C1040)*($J$2:$J$1300="Monthly")*($A$2:$A$1300&lt;=A1040)*(YEAR($A$2:$A$1300)=YEAR(A1040))*ISNUMBER($K$2:$K$1300)*ISNUMBER($L$2:$L$1300)*($L$2:$L$1300=0)*($K$2:$K$1300&gt;0))&gt;0,"INCOMPLETE","MISSING"),O454)</f>
        <v>MISSING</v>
      </c>
      <c r="P1040" s="193" t="str">
        <f>INDEX(_TARGETS!$K$2:$K$17,MATCH($C1040,_TARGETS!$A$2:$A$17,0))</f>
        <v>OPS (carga manual en Datos)</v>
      </c>
      <c r="Q1040" s="193" t="str">
        <f t="shared" si="102"/>
        <v>202805|ICCS|YTD</v>
      </c>
      <c r="R1040" s="193" t="str">
        <f>INDEX(_TARGETS!$H$2:$H$17,MATCH($C1040,_TARGETS!$A$2:$A$17,0))</f>
        <v>Definida</v>
      </c>
      <c r="S1040" s="193" t="str">
        <f t="shared" si="103"/>
        <v/>
      </c>
      <c r="T1040" s="193" t="str">
        <f t="shared" si="104"/>
        <v/>
      </c>
    </row>
    <row r="1041" spans="1:20" ht="14.25" customHeight="1" x14ac:dyDescent="0.3">
      <c r="A1041" s="249">
        <f>KPIs!$Y$3</f>
        <v>46874</v>
      </c>
      <c r="B1041" s="193" t="str">
        <f>KPIs!Y$4</f>
        <v>Compresora</v>
      </c>
      <c r="C1041" t="s">
        <v>89</v>
      </c>
      <c r="D1041" s="193" t="str">
        <f>KPIs!$A$47</f>
        <v>12 · Cumplimiento de comités y subcomités de seguridad · YTD</v>
      </c>
      <c r="E1041" t="s">
        <v>601</v>
      </c>
      <c r="F1041" s="193" t="str">
        <f>IF(ISNUMBER(KPIs!Y47),KPIs!Y47,"")</f>
        <v/>
      </c>
      <c r="G1041" s="254">
        <f>IF(ISNUMBER(KPIs!$C$47),KPIs!$C$47,"")</f>
        <v>1</v>
      </c>
      <c r="H1041" s="193" t="str">
        <f>IFERROR(INDEX(_TARGETS!$E$2:$E$17,MATCH($C1041,_TARGETS!$A$2:$A$17,0))&amp;"","")</f>
        <v>≥</v>
      </c>
      <c r="I1041" s="193" t="str">
        <f t="shared" si="100"/>
        <v/>
      </c>
      <c r="J1041" s="193" t="str">
        <f t="shared" si="101"/>
        <v>YTD</v>
      </c>
      <c r="K1041" s="193">
        <f>SUMIFS(Datos!$D$26:$AL$26,Datos!$D$3:$AL$3,"&gt;="&amp;DATE(YEAR(Datos!Y$3),1,1),Datos!$D$3:$AL$3,"&lt;="&amp;Datos!Y$3)</f>
        <v>0</v>
      </c>
      <c r="L1041" s="193">
        <f>SUMIFS(Datos!$D$27:$AL$27,Datos!$D$3:$AL$3,"&gt;="&amp;DATE(YEAR(Datos!Y$3),1,1),Datos!$D$3:$AL$3,"&lt;="&amp;Datos!Y$3)</f>
        <v>0</v>
      </c>
      <c r="M1041" s="193">
        <f>INDEX(_TARGETS!$J$2:$J$17,MATCH($C1041,_TARGETS!$A$2:$A$17,0))</f>
        <v>1</v>
      </c>
      <c r="N1041" s="193" t="str">
        <f>INDEX(_TARGETS!$D$2:$D$17,MATCH($C1041,_TARGETS!$A$2:$A$17,0))</f>
        <v>% (fracción)</v>
      </c>
      <c r="O1041" s="193" t="str">
        <f>IF(NOT(ISNUMBER(F1041)),IF(SUMPRODUCT(($C$2:$C$1300=C1041)*($J$2:$J$1300="Monthly")*($A$2:$A$1300&lt;=A1041)*(YEAR($A$2:$A$1300)=YEAR(A1041))*ISNUMBER($K$2:$K$1300)*ISNUMBER($L$2:$L$1300)*($L$2:$L$1300=0)*($K$2:$K$1300&gt;0))&gt;0,"INCOMPLETE","MISSING"),O455)</f>
        <v>MISSING</v>
      </c>
      <c r="P1041" s="193" t="str">
        <f>INDEX(_TARGETS!$K$2:$K$17,MATCH($C1041,_TARGETS!$A$2:$A$17,0))</f>
        <v>OPS (carga manual en Datos)</v>
      </c>
      <c r="Q1041" s="193" t="str">
        <f t="shared" si="102"/>
        <v>202805|CCS|YTD</v>
      </c>
      <c r="R1041" s="193" t="str">
        <f>INDEX(_TARGETS!$H$2:$H$17,MATCH($C1041,_TARGETS!$A$2:$A$17,0))</f>
        <v>Definida</v>
      </c>
      <c r="S1041" s="193" t="str">
        <f t="shared" si="103"/>
        <v/>
      </c>
      <c r="T1041" s="193" t="str">
        <f t="shared" si="104"/>
        <v/>
      </c>
    </row>
    <row r="1042" spans="1:20" ht="14.25" customHeight="1" x14ac:dyDescent="0.3">
      <c r="A1042" s="249">
        <f>KPIs!$Y$3</f>
        <v>46874</v>
      </c>
      <c r="B1042" s="193" t="str">
        <f>KPIs!Y$4</f>
        <v>Compresora</v>
      </c>
      <c r="C1042" t="s">
        <v>91</v>
      </c>
      <c r="D1042" s="193" t="str">
        <f>KPIs!$A$48</f>
        <v>13 · Días promedio para cerrar hallazgos · YTD</v>
      </c>
      <c r="E1042" t="s">
        <v>601</v>
      </c>
      <c r="F1042" s="251" t="str">
        <f>IF(ISNUMBER(KPIs!Y48),KPIs!Y48,"")</f>
        <v/>
      </c>
      <c r="G1042" s="193" t="str">
        <f>IF(ISNUMBER(KPIs!$C$48),KPIs!$C$48,"")</f>
        <v/>
      </c>
      <c r="H1042" s="193" t="str">
        <f>IFERROR(INDEX(_TARGETS!$E$2:$E$17,MATCH($C1042,_TARGETS!$A$2:$A$17,0))&amp;"","")</f>
        <v>≤</v>
      </c>
      <c r="I1042" s="193" t="str">
        <f t="shared" si="100"/>
        <v/>
      </c>
      <c r="J1042" s="193" t="str">
        <f t="shared" si="101"/>
        <v>YTD</v>
      </c>
      <c r="K1042" s="193">
        <f>SUMIFS(Datos!$D$68:$AL$68,Datos!$D$3:$AL$3,"&gt;="&amp;DATE(YEAR(Datos!Y$3),1,1),Datos!$D$3:$AL$3,"&lt;="&amp;Datos!Y$3)</f>
        <v>0</v>
      </c>
      <c r="L1042" s="193">
        <f>SUMIFS(Datos!$D$67:$AL$67,Datos!$D$3:$AL$3,"&gt;="&amp;DATE(YEAR(Datos!Y$3),1,1),Datos!$D$3:$AL$3,"&lt;="&amp;Datos!Y$3)</f>
        <v>0</v>
      </c>
      <c r="M1042" s="193">
        <f>INDEX(_TARGETS!$J$2:$J$17,MATCH($C1042,_TARGETS!$A$2:$A$17,0))</f>
        <v>1</v>
      </c>
      <c r="N1042" s="193" t="str">
        <f>INDEX(_TARGETS!$D$2:$D$17,MATCH($C1042,_TARGETS!$A$2:$A$17,0))</f>
        <v>días</v>
      </c>
      <c r="O1042" s="193" t="str">
        <f>IF(NOT(ISNUMBER(F1042)),IF(SUMPRODUCT(($C$2:$C$1300=C1042)*($J$2:$J$1300="Monthly")*($A$2:$A$1300&lt;=A1042)*(YEAR($A$2:$A$1300)=YEAR(A1042))*ISNUMBER($K$2:$K$1300)*ISNUMBER($L$2:$L$1300)*($L$2:$L$1300=0)*($K$2:$K$1300&gt;0))&gt;0,"INCOMPLETE","MISSING"),O456)</f>
        <v>MISSING</v>
      </c>
      <c r="P1042" s="193" t="str">
        <f>INDEX(_TARGETS!$K$2:$K$17,MATCH($C1042,_TARGETS!$A$2:$A$17,0))</f>
        <v>Plant Findings (hoja Observaciones-SMP)</v>
      </c>
      <c r="Q1042" s="193" t="str">
        <f t="shared" si="102"/>
        <v>202805|DPAS|YTD</v>
      </c>
      <c r="R1042" s="193" t="str">
        <f>INDEX(_TARGETS!$H$2:$H$17,MATCH($C1042,_TARGETS!$A$2:$A$17,0))</f>
        <v>Pendiente (meta 2027)</v>
      </c>
      <c r="S1042" s="193" t="str">
        <f t="shared" si="103"/>
        <v/>
      </c>
      <c r="T1042" s="193" t="str">
        <f t="shared" si="104"/>
        <v/>
      </c>
    </row>
    <row r="1043" spans="1:20" ht="14.25" customHeight="1" x14ac:dyDescent="0.3">
      <c r="A1043" s="249">
        <f>KPIs!$Y$3</f>
        <v>46874</v>
      </c>
      <c r="B1043" s="193" t="str">
        <f>KPIs!Y$4</f>
        <v>Compresora</v>
      </c>
      <c r="C1043" t="s">
        <v>96</v>
      </c>
      <c r="D1043" s="193" t="str">
        <f>KPIs!$A$49</f>
        <v>C1 · % de desvíos detectados de gravedad Alta · YTD</v>
      </c>
      <c r="E1043" t="s">
        <v>601</v>
      </c>
      <c r="F1043" s="193" t="str">
        <f>IF(ISNUMBER(KPIs!Y49),KPIs!Y49,"")</f>
        <v/>
      </c>
      <c r="G1043" s="193" t="str">
        <f>IF(ISNUMBER(KPIs!$C$49),KPIs!$C$49,"")</f>
        <v/>
      </c>
      <c r="H1043" s="193" t="str">
        <f>IFERROR(INDEX(_TARGETS!$E$2:$E$17,MATCH($C1043,_TARGETS!$A$2:$A$17,0))&amp;"","")</f>
        <v/>
      </c>
      <c r="I1043" s="193" t="str">
        <f t="shared" si="100"/>
        <v/>
      </c>
      <c r="J1043" s="193" t="str">
        <f t="shared" si="101"/>
        <v>YTD</v>
      </c>
      <c r="K1043" s="193">
        <f>SUMIFS(Datos!$D$71:$AL$71,Datos!$D$3:$AL$3,"&gt;="&amp;DATE(YEAR(Datos!Y$3),1,1),Datos!$D$3:$AL$3,"&lt;="&amp;Datos!Y$3)</f>
        <v>0</v>
      </c>
      <c r="L1043" s="193">
        <f>SUMIFS(Datos!$D$71:$AL$71,Datos!$D$3:$AL$3,"&gt;="&amp;DATE(YEAR(Datos!Y$3),1,1),Datos!$D$3:$AL$3,"&lt;="&amp;Datos!Y$3)+SUMIFS(Datos!$D$72:$AL$72,Datos!$D$3:$AL$3,"&gt;="&amp;DATE(YEAR(Datos!Y$3),1,1),Datos!$D$3:$AL$3,"&lt;="&amp;Datos!Y$3)+SUMIFS(Datos!$D$73:$AL$73,Datos!$D$3:$AL$3,"&gt;="&amp;DATE(YEAR(Datos!Y$3),1,1),Datos!$D$3:$AL$3,"&lt;="&amp;Datos!Y$3)</f>
        <v>0</v>
      </c>
      <c r="M1043" s="193">
        <f>INDEX(_TARGETS!$J$2:$J$17,MATCH($C1043,_TARGETS!$A$2:$A$17,0))</f>
        <v>1</v>
      </c>
      <c r="N1043" s="193" t="str">
        <f>INDEX(_TARGETS!$D$2:$D$17,MATCH($C1043,_TARGETS!$A$2:$A$17,0))</f>
        <v>% (fracción)</v>
      </c>
      <c r="O1043" s="193" t="str">
        <f t="shared" ref="O1043:O1049" si="106">IF(NOT(ISNUMBER(F1043)),IF(SUMPRODUCT(($C$2:$C$1300=C1043)*($J$2:$J$1300="Monthly")*($A$2:$A$1300&lt;=A1043)*(YEAR($A$2:$A$1300)=YEAR(A1043))*ISNUMBER($K$2:$K$1300)*ISNUMBER($L$2:$L$1300)*($L$2:$L$1300=0)*($K$2:$K$1300&gt;0))&gt;0,"INCOMPLETE","MISSING"),O462)</f>
        <v>MISSING</v>
      </c>
      <c r="P1043" s="193" t="str">
        <f>INDEX(_TARGETS!$K$2:$K$17,MATCH($C1043,_TARGETS!$A$2:$A$17,0))</f>
        <v>Plant Findings (hoja Observaciones-SMP)</v>
      </c>
      <c r="Q1043" s="193" t="str">
        <f t="shared" si="102"/>
        <v>202805|HAL_ALTA_PCT|YTD</v>
      </c>
      <c r="R1043" s="193" t="str">
        <f>INDEX(_TARGETS!$H$2:$H$17,MATCH($C1043,_TARGETS!$A$2:$A$17,0))</f>
        <v>Solo reporte</v>
      </c>
      <c r="S1043" s="193" t="str">
        <f t="shared" si="103"/>
        <v/>
      </c>
      <c r="T1043" s="193" t="str">
        <f t="shared" si="104"/>
        <v/>
      </c>
    </row>
    <row r="1044" spans="1:20" ht="14.25" customHeight="1" x14ac:dyDescent="0.3">
      <c r="A1044" s="249">
        <f>KPIs!$Y$3</f>
        <v>46874</v>
      </c>
      <c r="B1044" s="193" t="str">
        <f>KPIs!Y$4</f>
        <v>Compresora</v>
      </c>
      <c r="C1044" t="s">
        <v>98</v>
      </c>
      <c r="D1044" s="193" t="str">
        <f>KPIs!$A$50</f>
        <v>C2 · Detenciones de tareas aplicadas · YTD</v>
      </c>
      <c r="E1044" t="s">
        <v>601</v>
      </c>
      <c r="F1044" s="193" t="str">
        <f>IF(ISNUMBER(KPIs!Y50),KPIs!Y50,"")</f>
        <v/>
      </c>
      <c r="G1044" s="193" t="str">
        <f>IF(ISNUMBER(KPIs!$C$50),KPIs!$C$50,"")</f>
        <v/>
      </c>
      <c r="H1044" s="193" t="str">
        <f>IFERROR(INDEX(_TARGETS!$E$2:$E$17,MATCH($C1044,_TARGETS!$A$2:$A$17,0))&amp;"","")</f>
        <v/>
      </c>
      <c r="I1044" s="193" t="str">
        <f t="shared" si="100"/>
        <v/>
      </c>
      <c r="J1044" s="193" t="str">
        <f t="shared" si="101"/>
        <v>YTD</v>
      </c>
      <c r="K1044" s="193">
        <f>SUMIFS(Datos!$D$75:$AL$75,Datos!$D$3:$AL$3,"&gt;="&amp;DATE(YEAR(Datos!Y$3),1,1),Datos!$D$3:$AL$3,"&lt;="&amp;Datos!Y$3)</f>
        <v>0</v>
      </c>
      <c r="M1044" s="193">
        <f>INDEX(_TARGETS!$J$2:$J$17,MATCH($C1044,_TARGETS!$A$2:$A$17,0))</f>
        <v>1</v>
      </c>
      <c r="N1044" s="193" t="str">
        <f>INDEX(_TARGETS!$D$2:$D$17,MATCH($C1044,_TARGETS!$A$2:$A$17,0))</f>
        <v>u</v>
      </c>
      <c r="O1044" s="193" t="str">
        <f t="shared" si="106"/>
        <v>MISSING</v>
      </c>
      <c r="P1044" s="193" t="str">
        <f>INDEX(_TARGETS!$K$2:$K$17,MATCH($C1044,_TARGETS!$A$2:$A$17,0))</f>
        <v>Plant Findings (hoja Observaciones-SMP)</v>
      </c>
      <c r="Q1044" s="193" t="str">
        <f t="shared" si="102"/>
        <v>202805|DET|YTD</v>
      </c>
      <c r="R1044" s="193" t="str">
        <f>INDEX(_TARGETS!$H$2:$H$17,MATCH($C1044,_TARGETS!$A$2:$A$17,0))</f>
        <v>Solo reporte</v>
      </c>
      <c r="S1044" s="193">
        <f t="shared" si="103"/>
        <v>0</v>
      </c>
      <c r="T1044" s="193" t="str">
        <f t="shared" si="104"/>
        <v/>
      </c>
    </row>
    <row r="1045" spans="1:20" ht="14.25" customHeight="1" x14ac:dyDescent="0.3">
      <c r="A1045" s="249">
        <f>KPIs!$Z$3</f>
        <v>46905</v>
      </c>
      <c r="B1045" s="193" t="str">
        <f>KPIs!Z$4</f>
        <v>Compresora</v>
      </c>
      <c r="C1045" t="s">
        <v>39</v>
      </c>
      <c r="D1045" s="193" t="str">
        <f>KPIs!$A$37</f>
        <v>1 · Frecuencia de casos con días perdidos · YTD</v>
      </c>
      <c r="E1045" t="s">
        <v>601</v>
      </c>
      <c r="F1045" s="193" t="str">
        <f>IF(ISNUMBER(KPIs!Z37),KPIs!Z37,"")</f>
        <v/>
      </c>
      <c r="G1045" s="250">
        <f>IF(ISNUMBER(KPIs!$C$37),KPIs!$C$37,"")</f>
        <v>0</v>
      </c>
      <c r="H1045" s="193" t="str">
        <f>IFERROR(INDEX(_TARGETS!$E$2:$E$17,MATCH($C1045,_TARGETS!$A$2:$A$17,0))&amp;"","")</f>
        <v>≤</v>
      </c>
      <c r="I1045" s="193" t="str">
        <f t="shared" si="100"/>
        <v/>
      </c>
      <c r="J1045" s="193" t="str">
        <f t="shared" si="101"/>
        <v>YTD</v>
      </c>
      <c r="K1045" s="193">
        <f>SUMIFS(Datos!$D$33:$AL$33,Datos!$D$3:$AL$3,"&gt;="&amp;DATE(YEAR(Datos!Z$3),1,1),Datos!$D$3:$AL$3,"&lt;="&amp;Datos!Z$3)</f>
        <v>0</v>
      </c>
      <c r="L1045" s="193">
        <f>SUMIFS(Datos!$D$14:$AL$14,Datos!$D$3:$AL$3,"&gt;="&amp;DATE(YEAR(Datos!Z$3),1,1),Datos!$D$3:$AL$3,"&lt;="&amp;Datos!Z$3)</f>
        <v>0</v>
      </c>
      <c r="M1045" s="193">
        <f>INDEX(_TARGETS!$J$2:$J$17,MATCH($C1045,_TARGETS!$A$2:$A$17,0))</f>
        <v>1000000</v>
      </c>
      <c r="N1045" s="193" t="str">
        <f>INDEX(_TARGETS!$D$2:$D$17,MATCH($C1045,_TARGETS!$A$2:$A$17,0))</f>
        <v>casos / 10^6 HH</v>
      </c>
      <c r="O1045" s="193" t="str">
        <f t="shared" si="106"/>
        <v>MISSING</v>
      </c>
      <c r="P1045" s="193" t="str">
        <f>INDEX(_TARGETS!$K$2:$K$17,MATCH($C1045,_TARGETS!$A$2:$A$17,0))</f>
        <v>OPS (carga manual en Datos)</v>
      </c>
      <c r="Q1045" s="193" t="str">
        <f t="shared" si="102"/>
        <v>202806|DAFWCF|YTD</v>
      </c>
      <c r="R1045" s="193" t="str">
        <f>INDEX(_TARGETS!$H$2:$H$17,MATCH($C1045,_TARGETS!$A$2:$A$17,0))</f>
        <v>Definida</v>
      </c>
      <c r="S1045" s="193" t="str">
        <f t="shared" si="103"/>
        <v/>
      </c>
      <c r="T1045" s="193" t="str">
        <f t="shared" si="104"/>
        <v/>
      </c>
    </row>
    <row r="1046" spans="1:20" ht="14.25" customHeight="1" x14ac:dyDescent="0.3">
      <c r="A1046" s="249">
        <f>KPIs!$Z$3</f>
        <v>46905</v>
      </c>
      <c r="B1046" s="193" t="str">
        <f>KPIs!Z$4</f>
        <v>Compresora</v>
      </c>
      <c r="C1046" t="s">
        <v>49</v>
      </c>
      <c r="D1046" s="193" t="str">
        <f>KPIs!$A$38</f>
        <v>2 · Frecuencia de casos registrables · YTD</v>
      </c>
      <c r="E1046" t="s">
        <v>601</v>
      </c>
      <c r="F1046" s="193" t="str">
        <f>IF(ISNUMBER(KPIs!Z38),KPIs!Z38,"")</f>
        <v/>
      </c>
      <c r="G1046" s="250">
        <f>IF(ISNUMBER(KPIs!$C$38),KPIs!$C$38,"")</f>
        <v>2.35</v>
      </c>
      <c r="H1046" s="193" t="str">
        <f>IFERROR(INDEX(_TARGETS!$E$2:$E$17,MATCH($C1046,_TARGETS!$A$2:$A$17,0))&amp;"","")</f>
        <v>≤</v>
      </c>
      <c r="I1046" s="193" t="str">
        <f t="shared" si="100"/>
        <v/>
      </c>
      <c r="J1046" s="193" t="str">
        <f t="shared" si="101"/>
        <v>YTD</v>
      </c>
      <c r="K1046" s="193">
        <f>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f>
        <v>0</v>
      </c>
      <c r="L1046" s="193">
        <f>SUMIFS(Datos!$D$14:$AL$14,Datos!$D$3:$AL$3,"&gt;="&amp;DATE(YEAR(Datos!Z$3),1,1),Datos!$D$3:$AL$3,"&lt;="&amp;Datos!Z$3)</f>
        <v>0</v>
      </c>
      <c r="M1046" s="193">
        <f>INDEX(_TARGETS!$J$2:$J$17,MATCH($C1046,_TARGETS!$A$2:$A$17,0))</f>
        <v>1000000</v>
      </c>
      <c r="N1046" s="193" t="str">
        <f>INDEX(_TARGETS!$D$2:$D$17,MATCH($C1046,_TARGETS!$A$2:$A$17,0))</f>
        <v>casos / 10^6 HH</v>
      </c>
      <c r="O1046" s="193" t="str">
        <f t="shared" si="106"/>
        <v>MISSING</v>
      </c>
      <c r="P1046" s="193" t="str">
        <f>INDEX(_TARGETS!$K$2:$K$17,MATCH($C1046,_TARGETS!$A$2:$A$17,0))</f>
        <v>OPS (carga manual en Datos)</v>
      </c>
      <c r="Q1046" s="193" t="str">
        <f t="shared" si="102"/>
        <v>202806|TRICF|YTD</v>
      </c>
      <c r="R1046" s="193" t="str">
        <f>INDEX(_TARGETS!$H$2:$H$17,MATCH($C1046,_TARGETS!$A$2:$A$17,0))</f>
        <v>Definida</v>
      </c>
      <c r="S1046" s="193" t="str">
        <f t="shared" si="103"/>
        <v/>
      </c>
      <c r="T1046" s="193" t="str">
        <f t="shared" si="104"/>
        <v/>
      </c>
    </row>
    <row r="1047" spans="1:20" ht="14.25" customHeight="1" x14ac:dyDescent="0.3">
      <c r="A1047" s="249">
        <f>KPIs!$Z$3</f>
        <v>46905</v>
      </c>
      <c r="B1047" s="193" t="str">
        <f>KPIs!Z$4</f>
        <v>Compresora</v>
      </c>
      <c r="C1047" t="s">
        <v>51</v>
      </c>
      <c r="D1047" s="193" t="str">
        <f>KPIs!$A$39</f>
        <v>3 · Casos de primeros auxilios · YTD</v>
      </c>
      <c r="E1047" t="s">
        <v>601</v>
      </c>
      <c r="F1047" s="193" t="str">
        <f>IF(ISNUMBER(KPIs!Z39),KPIs!Z39,"")</f>
        <v/>
      </c>
      <c r="G1047" s="193" t="str">
        <f>IF(ISNUMBER(KPIs!$C$39),KPIs!$C$39,"")</f>
        <v/>
      </c>
      <c r="H1047" s="193" t="str">
        <f>IFERROR(INDEX(_TARGETS!$E$2:$E$17,MATCH($C1047,_TARGETS!$A$2:$A$17,0))&amp;"","")</f>
        <v/>
      </c>
      <c r="I1047" s="193" t="str">
        <f t="shared" si="100"/>
        <v/>
      </c>
      <c r="J1047" s="193" t="str">
        <f t="shared" si="101"/>
        <v>YTD</v>
      </c>
      <c r="K1047" s="193">
        <f>SUMIFS(Datos!$D$37:$AL$37,Datos!$D$3:$AL$3,"&gt;="&amp;DATE(YEAR(Datos!Z$3),1,1),Datos!$D$3:$AL$3,"&lt;="&amp;Datos!Z$3)</f>
        <v>0</v>
      </c>
      <c r="M1047" s="193">
        <f>INDEX(_TARGETS!$J$2:$J$17,MATCH($C1047,_TARGETS!$A$2:$A$17,0))</f>
        <v>1</v>
      </c>
      <c r="N1047" s="193" t="str">
        <f>INDEX(_TARGETS!$D$2:$D$17,MATCH($C1047,_TARGETS!$A$2:$A$17,0))</f>
        <v>casos</v>
      </c>
      <c r="O1047" s="193" t="str">
        <f t="shared" si="106"/>
        <v>MISSING</v>
      </c>
      <c r="P1047" s="193" t="str">
        <f>INDEX(_TARGETS!$K$2:$K$17,MATCH($C1047,_TARGETS!$A$2:$A$17,0))</f>
        <v>OPS (carga manual en Datos)</v>
      </c>
      <c r="Q1047" s="193" t="str">
        <f t="shared" si="102"/>
        <v>202806|FAC|YTD</v>
      </c>
      <c r="R1047" s="193" t="str">
        <f>INDEX(_TARGETS!$H$2:$H$17,MATCH($C1047,_TARGETS!$A$2:$A$17,0))</f>
        <v>Solo reporte</v>
      </c>
      <c r="S1047" s="193">
        <f t="shared" si="103"/>
        <v>0</v>
      </c>
      <c r="T1047" s="193" t="str">
        <f t="shared" si="104"/>
        <v/>
      </c>
    </row>
    <row r="1048" spans="1:20" ht="14.25" customHeight="1" x14ac:dyDescent="0.3">
      <c r="A1048" s="249">
        <f>KPIs!$Z$3</f>
        <v>46905</v>
      </c>
      <c r="B1048" s="193" t="str">
        <f>KPIs!Z$4</f>
        <v>Compresora</v>
      </c>
      <c r="C1048" t="s">
        <v>57</v>
      </c>
      <c r="D1048" s="193" t="str">
        <f>KPIs!$A$40</f>
        <v>4 · Accidentes vehiculares severos por millón de km · YTD</v>
      </c>
      <c r="E1048" t="s">
        <v>601</v>
      </c>
      <c r="F1048" s="193" t="str">
        <f>IF(ISNUMBER(KPIs!Z40),KPIs!Z40,"")</f>
        <v/>
      </c>
      <c r="G1048" s="193" t="str">
        <f>IF(ISNUMBER(KPIs!$C$40),KPIs!$C$40,"")</f>
        <v/>
      </c>
      <c r="H1048" s="193" t="str">
        <f>IFERROR(INDEX(_TARGETS!$E$2:$E$17,MATCH($C1048,_TARGETS!$A$2:$A$17,0))&amp;"","")</f>
        <v/>
      </c>
      <c r="I1048" s="193" t="str">
        <f t="shared" si="100"/>
        <v/>
      </c>
      <c r="J1048" s="193" t="str">
        <f t="shared" si="101"/>
        <v>YTD</v>
      </c>
      <c r="K1048" s="193">
        <f>SUMIFS(Datos!$D$39:$AL$39,Datos!$D$3:$AL$3,"&gt;="&amp;DATE(YEAR(Datos!Z$3),1,1),Datos!$D$3:$AL$3,"&lt;="&amp;Datos!Z$3)+SUMIFS(Datos!$D$40:$AL$40,Datos!$D$3:$AL$3,"&gt;="&amp;DATE(YEAR(Datos!Z$3),1,1),Datos!$D$3:$AL$3,"&lt;="&amp;Datos!Z$3)+SUMIFS(Datos!$D$41:$AL$41,Datos!$D$3:$AL$3,"&gt;="&amp;DATE(YEAR(Datos!Z$3),1,1),Datos!$D$3:$AL$3,"&lt;="&amp;Datos!Z$3)</f>
        <v>0</v>
      </c>
      <c r="L1048" s="193">
        <f>SUMIFS(Datos!$D$47:$AL$47,Datos!$D$3:$AL$3,"&gt;="&amp;DATE(YEAR(Datos!Z$3),1,1),Datos!$D$3:$AL$3,"&lt;="&amp;Datos!Z$3)</f>
        <v>0</v>
      </c>
      <c r="M1048" s="193">
        <f>INDEX(_TARGETS!$J$2:$J$17,MATCH($C1048,_TARGETS!$A$2:$A$17,0))</f>
        <v>1000000</v>
      </c>
      <c r="N1048" s="193" t="str">
        <f>INDEX(_TARGETS!$D$2:$D$17,MATCH($C1048,_TARGETS!$A$2:$A$17,0))</f>
        <v>eventos / 10^6 km</v>
      </c>
      <c r="O1048" s="193" t="str">
        <f t="shared" si="106"/>
        <v>MISSING</v>
      </c>
      <c r="P1048" s="193" t="str">
        <f>INDEX(_TARGETS!$K$2:$K$17,MATCH($C1048,_TARGETS!$A$2:$A$17,0))</f>
        <v>OPS (eventos) + Full Control GPS (km) - carga manual en Datos</v>
      </c>
      <c r="Q1048" s="193" t="str">
        <f t="shared" si="102"/>
        <v>202806|SVCR|YTD</v>
      </c>
      <c r="R1048" s="193" t="str">
        <f>INDEX(_TARGETS!$H$2:$H$17,MATCH($C1048,_TARGETS!$A$2:$A$17,0))</f>
        <v>Solo reporte</v>
      </c>
      <c r="S1048" s="193" t="str">
        <f t="shared" si="103"/>
        <v/>
      </c>
      <c r="T1048" s="193" t="str">
        <f t="shared" si="104"/>
        <v/>
      </c>
    </row>
    <row r="1049" spans="1:20" ht="14.25" customHeight="1" x14ac:dyDescent="0.3">
      <c r="A1049" s="249">
        <f>KPIs!$Z$3</f>
        <v>46905</v>
      </c>
      <c r="B1049" s="193" t="str">
        <f>KPIs!Z$4</f>
        <v>Compresora</v>
      </c>
      <c r="C1049" t="s">
        <v>61</v>
      </c>
      <c r="D1049" s="193" t="str">
        <f>KPIs!$A$41</f>
        <v>5 · Accidentes vehiculares totales por millón de km · YTD</v>
      </c>
      <c r="E1049" t="s">
        <v>601</v>
      </c>
      <c r="F1049" s="193" t="str">
        <f>IF(ISNUMBER(KPIs!Z41),KPIs!Z41,"")</f>
        <v/>
      </c>
      <c r="G1049" s="250">
        <f>IF(ISNUMBER(KPIs!$C$41),KPIs!$C$41,"")</f>
        <v>0.79</v>
      </c>
      <c r="H1049" s="193" t="str">
        <f>IFERROR(INDEX(_TARGETS!$E$2:$E$17,MATCH($C1049,_TARGETS!$A$2:$A$17,0))&amp;"","")</f>
        <v>≤</v>
      </c>
      <c r="I1049" s="193" t="str">
        <f t="shared" si="100"/>
        <v/>
      </c>
      <c r="J1049" s="193" t="str">
        <f t="shared" si="101"/>
        <v>YTD</v>
      </c>
      <c r="K1049" s="193">
        <f>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f>
        <v>0</v>
      </c>
      <c r="L1049" s="193">
        <f>SUMIFS(Datos!$D$47:$AL$47,Datos!$D$3:$AL$3,"&gt;="&amp;DATE(YEAR(Datos!Z$3),1,1),Datos!$D$3:$AL$3,"&lt;="&amp;Datos!Z$3)</f>
        <v>0</v>
      </c>
      <c r="M1049" s="193">
        <f>INDEX(_TARGETS!$J$2:$J$17,MATCH($C1049,_TARGETS!$A$2:$A$17,0))</f>
        <v>1000000</v>
      </c>
      <c r="N1049" s="193" t="str">
        <f>INDEX(_TARGETS!$D$2:$D$17,MATCH($C1049,_TARGETS!$A$2:$A$17,0))</f>
        <v>eventos / 10^6 km</v>
      </c>
      <c r="O1049" s="193" t="str">
        <f t="shared" si="106"/>
        <v>MISSING</v>
      </c>
      <c r="P1049" s="193" t="str">
        <f>INDEX(_TARGETS!$K$2:$K$17,MATCH($C1049,_TARGETS!$A$2:$A$17,0))</f>
        <v>OPS (eventos) + Full Control GPS (km) - carga manual en Datos</v>
      </c>
      <c r="Q1049" s="193" t="str">
        <f t="shared" si="102"/>
        <v>202806|TVCR|YTD</v>
      </c>
      <c r="R1049" s="193" t="str">
        <f>INDEX(_TARGETS!$H$2:$H$17,MATCH($C1049,_TARGETS!$A$2:$A$17,0))</f>
        <v>Definida</v>
      </c>
      <c r="S1049" s="193" t="str">
        <f t="shared" si="103"/>
        <v/>
      </c>
      <c r="T1049" s="193" t="str">
        <f t="shared" si="104"/>
        <v/>
      </c>
    </row>
    <row r="1050" spans="1:20" ht="14.25" customHeight="1" x14ac:dyDescent="0.3">
      <c r="A1050" s="249">
        <f>KPIs!$Z$3</f>
        <v>46905</v>
      </c>
      <c r="B1050" s="193" t="str">
        <f>KPIs!Z$4</f>
        <v>Compresora</v>
      </c>
      <c r="C1050" t="s">
        <v>71</v>
      </c>
      <c r="D1050" s="193" t="str">
        <f>KPIs!$A$42</f>
        <v>7 · Investigaciones de accidentes: días promedio de cierre · YTD</v>
      </c>
      <c r="E1050" t="s">
        <v>601</v>
      </c>
      <c r="F1050" s="193" t="str">
        <f>IF(ISNUMBER(KPIs!Z42),KPIs!Z42,"")</f>
        <v/>
      </c>
      <c r="G1050" s="251">
        <f>IF(ISNUMBER(KPIs!$C$42),KPIs!$C$42,"")</f>
        <v>20</v>
      </c>
      <c r="H1050" s="193" t="str">
        <f>IFERROR(INDEX(_TARGETS!$E$2:$E$17,MATCH($C1050,_TARGETS!$A$2:$A$17,0))&amp;"","")</f>
        <v>≤</v>
      </c>
      <c r="I1050" s="193" t="str">
        <f t="shared" si="100"/>
        <v/>
      </c>
      <c r="J1050" s="193" t="str">
        <f t="shared" si="101"/>
        <v>YTD</v>
      </c>
      <c r="K1050" s="193">
        <f>SUMIFS(Datos!$D$31:$AL$31,Datos!$D$3:$AL$3,"&gt;="&amp;DATE(YEAR(Datos!Z$3),1,1),Datos!$D$3:$AL$3,"&lt;="&amp;Datos!Z$3)</f>
        <v>0</v>
      </c>
      <c r="L1050" s="193">
        <f>SUMIFS(Datos!$D$30:$AL$30,Datos!$D$3:$AL$3,"&gt;="&amp;DATE(YEAR(Datos!Z$3),1,1),Datos!$D$3:$AL$3,"&lt;="&amp;Datos!Z$3)</f>
        <v>0</v>
      </c>
      <c r="M1050" s="193">
        <f>INDEX(_TARGETS!$J$2:$J$17,MATCH($C1050,_TARGETS!$A$2:$A$17,0))</f>
        <v>1</v>
      </c>
      <c r="N1050" s="193" t="str">
        <f>INDEX(_TARGETS!$D$2:$D$17,MATCH($C1050,_TARGETS!$A$2:$A$17,0))</f>
        <v>días</v>
      </c>
      <c r="O1050" s="193" t="str">
        <f>IF(NOT(ISNUMBER(F1050)),IF(SUMPRODUCT(($C$2:$C$1300=C1050)*($J$2:$J$1300="Monthly")*($A$2:$A$1300&lt;=A1050)*(YEAR($A$2:$A$1300)=YEAR(A1050))*ISNUMBER($K$2:$K$1300)*ISNUMBER($L$2:$L$1300)*($L$2:$L$1300=0)*($K$2:$K$1300&gt;0))&gt;0,"INCOMPLETE","MISSING"),O470)</f>
        <v>MISSING</v>
      </c>
      <c r="P1050" s="193" t="str">
        <f>INDEX(_TARGETS!$K$2:$K$17,MATCH($C1050,_TARGETS!$A$2:$A$17,0))</f>
        <v>OPS (carga manual en Datos)</v>
      </c>
      <c r="Q1050" s="193" t="str">
        <f t="shared" si="102"/>
        <v>202806|INV|YTD</v>
      </c>
      <c r="R1050" s="193" t="str">
        <f>INDEX(_TARGETS!$H$2:$H$17,MATCH($C1050,_TARGETS!$A$2:$A$17,0))</f>
        <v>Definida</v>
      </c>
      <c r="S1050" s="193" t="str">
        <f t="shared" si="103"/>
        <v/>
      </c>
      <c r="T1050" s="193" t="str">
        <f t="shared" si="104"/>
        <v/>
      </c>
    </row>
    <row r="1051" spans="1:20" ht="14.25" customHeight="1" x14ac:dyDescent="0.3">
      <c r="A1051" s="249">
        <f>KPIs!$Z$3</f>
        <v>46905</v>
      </c>
      <c r="B1051" s="193" t="str">
        <f>KPIs!Z$4</f>
        <v>Compresora</v>
      </c>
      <c r="C1051" t="s">
        <v>76</v>
      </c>
      <c r="D1051" s="193" t="str">
        <f>KPIs!$A$43</f>
        <v>8 · % de capacitación en seguridad · YTD</v>
      </c>
      <c r="E1051" t="s">
        <v>601</v>
      </c>
      <c r="F1051" s="193" t="str">
        <f>IF(ISNUMBER(KPIs!Z43),KPIs!Z43,"")</f>
        <v/>
      </c>
      <c r="G1051" s="252">
        <f>IF(ISNUMBER(KPIs!$C$43),KPIs!$C$43,"")</f>
        <v>0.01</v>
      </c>
      <c r="H1051" s="193" t="str">
        <f>IFERROR(INDEX(_TARGETS!$E$2:$E$17,MATCH($C1051,_TARGETS!$A$2:$A$17,0))&amp;"","")</f>
        <v>≥</v>
      </c>
      <c r="I1051" s="193" t="str">
        <f t="shared" si="100"/>
        <v/>
      </c>
      <c r="J1051" s="193" t="str">
        <f t="shared" si="101"/>
        <v>YTD</v>
      </c>
      <c r="K1051" s="193">
        <f>SUMIFS(Datos!$D$18:$AL$18,Datos!$D$3:$AL$3,"&gt;="&amp;DATE(YEAR(Datos!Z$3),1,1),Datos!$D$3:$AL$3,"&lt;="&amp;Datos!Z$3)</f>
        <v>0</v>
      </c>
      <c r="L1051" s="193">
        <f>SUMIFS(Datos!$D$14:$AL$14,Datos!$D$3:$AL$3,"&gt;="&amp;DATE(YEAR(Datos!Z$3),1,1),Datos!$D$3:$AL$3,"&lt;="&amp;Datos!Z$3)</f>
        <v>0</v>
      </c>
      <c r="M1051" s="193">
        <f>INDEX(_TARGETS!$J$2:$J$17,MATCH($C1051,_TARGETS!$A$2:$A$17,0))</f>
        <v>1</v>
      </c>
      <c r="N1051" s="193" t="str">
        <f>INDEX(_TARGETS!$D$2:$D$17,MATCH($C1051,_TARGETS!$A$2:$A$17,0))</f>
        <v>% (fracción)</v>
      </c>
      <c r="O1051" s="193" t="str">
        <f>IF(NOT(ISNUMBER(F1051)),IF(SUMPRODUCT(($C$2:$C$1300=C1051)*($J$2:$J$1300="Monthly")*($A$2:$A$1300&lt;=A1051)*(YEAR($A$2:$A$1300)=YEAR(A1051))*ISNUMBER($K$2:$K$1300)*ISNUMBER($L$2:$L$1300)*($L$2:$L$1300=0)*($K$2:$K$1300&gt;0))&gt;0,"INCOMPLETE","MISSING"),O471)</f>
        <v>MISSING</v>
      </c>
      <c r="P1051" s="193" t="str">
        <f>INDEX(_TARGETS!$K$2:$K$17,MATCH($C1051,_TARGETS!$A$2:$A$17,0))</f>
        <v>OPS (carga manual en Datos)</v>
      </c>
      <c r="Q1051" s="193" t="str">
        <f t="shared" si="102"/>
        <v>202806|HCS|YTD</v>
      </c>
      <c r="R1051" s="193" t="str">
        <f>INDEX(_TARGETS!$H$2:$H$17,MATCH($C1051,_TARGETS!$A$2:$A$17,0))</f>
        <v>Definida</v>
      </c>
      <c r="S1051" s="193" t="str">
        <f t="shared" si="103"/>
        <v/>
      </c>
      <c r="T1051" s="193" t="str">
        <f t="shared" si="104"/>
        <v/>
      </c>
    </row>
    <row r="1052" spans="1:20" ht="14.25" customHeight="1" x14ac:dyDescent="0.3">
      <c r="A1052" s="249">
        <f>KPIs!$Z$3</f>
        <v>46905</v>
      </c>
      <c r="B1052" s="193" t="str">
        <f>KPIs!Z$4</f>
        <v>Compresora</v>
      </c>
      <c r="C1052" t="s">
        <v>83</v>
      </c>
      <c r="D1052" s="193" t="str">
        <f>KPIs!$A$44</f>
        <v>10 · Cumplimiento de simulacros (emergencia y operativos) · YTD</v>
      </c>
      <c r="E1052" t="s">
        <v>601</v>
      </c>
      <c r="F1052" s="193" t="str">
        <f>IF(ISNUMBER(KPIs!Z44),KPIs!Z44,"")</f>
        <v/>
      </c>
      <c r="G1052" s="253">
        <f>IF(ISNUMBER(KPIs!$C$44),KPIs!$C$44,"")</f>
        <v>1</v>
      </c>
      <c r="H1052" s="193" t="str">
        <f>IFERROR(INDEX(_TARGETS!$E$2:$E$17,MATCH($C1052,_TARGETS!$A$2:$A$17,0))&amp;"","")</f>
        <v>≥</v>
      </c>
      <c r="I1052" s="193" t="str">
        <f t="shared" si="100"/>
        <v/>
      </c>
      <c r="J1052" s="193" t="str">
        <f t="shared" si="101"/>
        <v>YTD</v>
      </c>
      <c r="K1052" s="193">
        <f>SUMIFS(Datos!$D$20:$AL$20,Datos!$D$3:$AL$3,"&gt;="&amp;DATE(YEAR(Datos!Z$3),1,1),Datos!$D$3:$AL$3,"&lt;="&amp;Datos!Z$3)</f>
        <v>0</v>
      </c>
      <c r="L1052" s="193">
        <f>SUMIFS(Datos!$D$21:$AL$21,Datos!$D$3:$AL$3,"&gt;="&amp;DATE(YEAR(Datos!Z$3),1,1),Datos!$D$3:$AL$3,"&lt;="&amp;Datos!Z$3)</f>
        <v>0</v>
      </c>
      <c r="M1052" s="193">
        <f>INDEX(_TARGETS!$J$2:$J$17,MATCH($C1052,_TARGETS!$A$2:$A$17,0))</f>
        <v>1</v>
      </c>
      <c r="N1052" s="193" t="str">
        <f>INDEX(_TARGETS!$D$2:$D$17,MATCH($C1052,_TARGETS!$A$2:$A$17,0))</f>
        <v>% (fracción)</v>
      </c>
      <c r="O1052" s="193" t="str">
        <f>IF(NOT(ISNUMBER(F1052)),IF(SUMPRODUCT(($C$2:$C$1300=C1052)*($J$2:$J$1300="Monthly")*($A$2:$A$1300&lt;=A1052)*(YEAR($A$2:$A$1300)=YEAR(A1052))*ISNUMBER($K$2:$K$1300)*ISNUMBER($L$2:$L$1300)*($L$2:$L$1300=0)*($K$2:$K$1300&gt;0))&gt;0,"INCOMPLETE","MISSING"),O473)</f>
        <v>MISSING</v>
      </c>
      <c r="P1052" s="193" t="str">
        <f>INDEX(_TARGETS!$K$2:$K$17,MATCH($C1052,_TARGETS!$A$2:$A$17,0))</f>
        <v>OPS (carga manual en Datos)</v>
      </c>
      <c r="Q1052" s="193" t="str">
        <f t="shared" si="102"/>
        <v>202806|CPSE|YTD</v>
      </c>
      <c r="R1052" s="193" t="str">
        <f>INDEX(_TARGETS!$H$2:$H$17,MATCH($C1052,_TARGETS!$A$2:$A$17,0))</f>
        <v>Definida</v>
      </c>
      <c r="S1052" s="193" t="str">
        <f t="shared" si="103"/>
        <v/>
      </c>
      <c r="T1052" s="193" t="str">
        <f t="shared" si="104"/>
        <v/>
      </c>
    </row>
    <row r="1053" spans="1:20" ht="14.25" customHeight="1" x14ac:dyDescent="0.3">
      <c r="A1053" s="249">
        <f>KPIs!$Z$3</f>
        <v>46905</v>
      </c>
      <c r="B1053" s="193" t="str">
        <f>KPIs!Z$4</f>
        <v>Compresora</v>
      </c>
      <c r="C1053" t="s">
        <v>85</v>
      </c>
      <c r="D1053" s="193" t="str">
        <f>KPIs!$A$45</f>
        <v>10b · Cumplimiento de acciones de mejora de simulacros · YTD</v>
      </c>
      <c r="E1053" t="s">
        <v>601</v>
      </c>
      <c r="F1053" s="193" t="str">
        <f>IF(ISNUMBER(KPIs!Z45),KPIs!Z45,"")</f>
        <v/>
      </c>
      <c r="G1053" s="254" t="str">
        <f>IF(ISNUMBER(KPIs!$C$45),KPIs!$C$45,"")</f>
        <v/>
      </c>
      <c r="H1053" s="193" t="str">
        <f>IFERROR(INDEX(_TARGETS!$E$2:$E$17,MATCH($C1053,_TARGETS!$A$2:$A$17,0))&amp;"","")</f>
        <v/>
      </c>
      <c r="I1053" s="193" t="str">
        <f t="shared" si="100"/>
        <v/>
      </c>
      <c r="J1053" s="193" t="str">
        <f t="shared" si="101"/>
        <v>YTD</v>
      </c>
      <c r="K1053" s="193">
        <f>SUMIFS(Datos!$D$23:$AL$23,Datos!$D$3:$AL$3,"&gt;="&amp;DATE(YEAR(Datos!Z$3),1,1),Datos!$D$3:$AL$3,"&lt;="&amp;Datos!Z$3)</f>
        <v>0</v>
      </c>
      <c r="L1053" s="193">
        <f>SUMIFS(Datos!$D$22:$AL$22,Datos!$D$3:$AL$3,"&gt;="&amp;DATE(YEAR(Datos!Z$3),1,1),Datos!$D$3:$AL$3,"&lt;="&amp;Datos!Z$3)</f>
        <v>0</v>
      </c>
      <c r="M1053" s="193">
        <f>INDEX(_TARGETS!$J$2:$J$17,MATCH($C1053,_TARGETS!$A$2:$A$17,0))</f>
        <v>1</v>
      </c>
      <c r="N1053" s="193" t="str">
        <f>INDEX(_TARGETS!$D$2:$D$17,MATCH($C1053,_TARGETS!$A$2:$A$17,0))</f>
        <v>% (fracción)</v>
      </c>
      <c r="O1053" s="193" t="str">
        <f>IF(NOT(ISNUMBER(F1053)),IF(SUMPRODUCT(($C$2:$C$1300=C1053)*($J$2:$J$1300="Monthly")*($A$2:$A$1300&lt;=A1053)*(YEAR($A$2:$A$1300)=YEAR(A1053))*ISNUMBER($K$2:$K$1300)*ISNUMBER($L$2:$L$1300)*($L$2:$L$1300=0)*($K$2:$K$1300&gt;0))&gt;0,"INCOMPLETE","MISSING"),O474)</f>
        <v>MISSING</v>
      </c>
      <c r="P1053" s="193" t="str">
        <f>INDEX(_TARGETS!$K$2:$K$17,MATCH($C1053,_TARGETS!$A$2:$A$17,0))</f>
        <v>OPS (carga manual en Datos)</v>
      </c>
      <c r="Q1053" s="193" t="str">
        <f t="shared" si="102"/>
        <v>202806|CAMS|YTD</v>
      </c>
      <c r="R1053" s="193" t="str">
        <f>INDEX(_TARGETS!$H$2:$H$17,MATCH($C1053,_TARGETS!$A$2:$A$17,0))</f>
        <v>Solo reporte</v>
      </c>
      <c r="S1053" s="193" t="str">
        <f t="shared" si="103"/>
        <v/>
      </c>
      <c r="T1053" s="193" t="str">
        <f t="shared" si="104"/>
        <v/>
      </c>
    </row>
    <row r="1054" spans="1:20" ht="14.25" customHeight="1" x14ac:dyDescent="0.3">
      <c r="A1054" s="249">
        <f>KPIs!$Z$3</f>
        <v>46905</v>
      </c>
      <c r="B1054" s="193" t="str">
        <f>KPIs!Z$4</f>
        <v>Compresora</v>
      </c>
      <c r="C1054" t="s">
        <v>87</v>
      </c>
      <c r="D1054" s="193" t="str">
        <f>KPIs!$A$46</f>
        <v>11 · Cumplimiento de caminatas gerenciales · YTD</v>
      </c>
      <c r="E1054" t="s">
        <v>601</v>
      </c>
      <c r="F1054" s="193" t="str">
        <f>IF(ISNUMBER(KPIs!Z46),KPIs!Z46,"")</f>
        <v/>
      </c>
      <c r="G1054" s="254">
        <f>IF(ISNUMBER(KPIs!$C$46),KPIs!$C$46,"")</f>
        <v>1</v>
      </c>
      <c r="H1054" s="193" t="str">
        <f>IFERROR(INDEX(_TARGETS!$E$2:$E$17,MATCH($C1054,_TARGETS!$A$2:$A$17,0))&amp;"","")</f>
        <v>≥</v>
      </c>
      <c r="I1054" s="193" t="str">
        <f t="shared" si="100"/>
        <v/>
      </c>
      <c r="J1054" s="193" t="str">
        <f t="shared" si="101"/>
        <v>YTD</v>
      </c>
      <c r="K1054" s="193">
        <f>SUMIFS(Datos!$D$24:$AL$24,Datos!$D$3:$AL$3,"&gt;="&amp;DATE(YEAR(Datos!Z$3),1,1),Datos!$D$3:$AL$3,"&lt;="&amp;Datos!Z$3)</f>
        <v>0</v>
      </c>
      <c r="L1054" s="193">
        <f>SUMIFS(Datos!$D$25:$AL$25,Datos!$D$3:$AL$3,"&gt;="&amp;DATE(YEAR(Datos!Z$3),1,1),Datos!$D$3:$AL$3,"&lt;="&amp;Datos!Z$3)</f>
        <v>0</v>
      </c>
      <c r="M1054" s="193">
        <f>INDEX(_TARGETS!$J$2:$J$17,MATCH($C1054,_TARGETS!$A$2:$A$17,0))</f>
        <v>1</v>
      </c>
      <c r="N1054" s="193" t="str">
        <f>INDEX(_TARGETS!$D$2:$D$17,MATCH($C1054,_TARGETS!$A$2:$A$17,0))</f>
        <v>% (fracción)</v>
      </c>
      <c r="O1054" s="193" t="str">
        <f>IF(NOT(ISNUMBER(F1054)),IF(SUMPRODUCT(($C$2:$C$1300=C1054)*($J$2:$J$1300="Monthly")*($A$2:$A$1300&lt;=A1054)*(YEAR($A$2:$A$1300)=YEAR(A1054))*ISNUMBER($K$2:$K$1300)*ISNUMBER($L$2:$L$1300)*($L$2:$L$1300=0)*($K$2:$K$1300&gt;0))&gt;0,"INCOMPLETE","MISSING"),O475)</f>
        <v>MISSING</v>
      </c>
      <c r="P1054" s="193" t="str">
        <f>INDEX(_TARGETS!$K$2:$K$17,MATCH($C1054,_TARGETS!$A$2:$A$17,0))</f>
        <v>OPS (carga manual en Datos)</v>
      </c>
      <c r="Q1054" s="193" t="str">
        <f t="shared" si="102"/>
        <v>202806|ICCS|YTD</v>
      </c>
      <c r="R1054" s="193" t="str">
        <f>INDEX(_TARGETS!$H$2:$H$17,MATCH($C1054,_TARGETS!$A$2:$A$17,0))</f>
        <v>Definida</v>
      </c>
      <c r="S1054" s="193" t="str">
        <f t="shared" si="103"/>
        <v/>
      </c>
      <c r="T1054" s="193" t="str">
        <f t="shared" si="104"/>
        <v/>
      </c>
    </row>
    <row r="1055" spans="1:20" ht="14.25" customHeight="1" x14ac:dyDescent="0.3">
      <c r="A1055" s="249">
        <f>KPIs!$Z$3</f>
        <v>46905</v>
      </c>
      <c r="B1055" s="193" t="str">
        <f>KPIs!Z$4</f>
        <v>Compresora</v>
      </c>
      <c r="C1055" t="s">
        <v>89</v>
      </c>
      <c r="D1055" s="193" t="str">
        <f>KPIs!$A$47</f>
        <v>12 · Cumplimiento de comités y subcomités de seguridad · YTD</v>
      </c>
      <c r="E1055" t="s">
        <v>601</v>
      </c>
      <c r="F1055" s="193" t="str">
        <f>IF(ISNUMBER(KPIs!Z47),KPIs!Z47,"")</f>
        <v/>
      </c>
      <c r="G1055" s="254">
        <f>IF(ISNUMBER(KPIs!$C$47),KPIs!$C$47,"")</f>
        <v>1</v>
      </c>
      <c r="H1055" s="193" t="str">
        <f>IFERROR(INDEX(_TARGETS!$E$2:$E$17,MATCH($C1055,_TARGETS!$A$2:$A$17,0))&amp;"","")</f>
        <v>≥</v>
      </c>
      <c r="I1055" s="193" t="str">
        <f t="shared" si="100"/>
        <v/>
      </c>
      <c r="J1055" s="193" t="str">
        <f t="shared" si="101"/>
        <v>YTD</v>
      </c>
      <c r="K1055" s="193">
        <f>SUMIFS(Datos!$D$26:$AL$26,Datos!$D$3:$AL$3,"&gt;="&amp;DATE(YEAR(Datos!Z$3),1,1),Datos!$D$3:$AL$3,"&lt;="&amp;Datos!Z$3)</f>
        <v>0</v>
      </c>
      <c r="L1055" s="193">
        <f>SUMIFS(Datos!$D$27:$AL$27,Datos!$D$3:$AL$3,"&gt;="&amp;DATE(YEAR(Datos!Z$3),1,1),Datos!$D$3:$AL$3,"&lt;="&amp;Datos!Z$3)</f>
        <v>0</v>
      </c>
      <c r="M1055" s="193">
        <f>INDEX(_TARGETS!$J$2:$J$17,MATCH($C1055,_TARGETS!$A$2:$A$17,0))</f>
        <v>1</v>
      </c>
      <c r="N1055" s="193" t="str">
        <f>INDEX(_TARGETS!$D$2:$D$17,MATCH($C1055,_TARGETS!$A$2:$A$17,0))</f>
        <v>% (fracción)</v>
      </c>
      <c r="O1055" s="193" t="str">
        <f>IF(NOT(ISNUMBER(F1055)),IF(SUMPRODUCT(($C$2:$C$1300=C1055)*($J$2:$J$1300="Monthly")*($A$2:$A$1300&lt;=A1055)*(YEAR($A$2:$A$1300)=YEAR(A1055))*ISNUMBER($K$2:$K$1300)*ISNUMBER($L$2:$L$1300)*($L$2:$L$1300=0)*($K$2:$K$1300&gt;0))&gt;0,"INCOMPLETE","MISSING"),O476)</f>
        <v>MISSING</v>
      </c>
      <c r="P1055" s="193" t="str">
        <f>INDEX(_TARGETS!$K$2:$K$17,MATCH($C1055,_TARGETS!$A$2:$A$17,0))</f>
        <v>OPS (carga manual en Datos)</v>
      </c>
      <c r="Q1055" s="193" t="str">
        <f t="shared" si="102"/>
        <v>202806|CCS|YTD</v>
      </c>
      <c r="R1055" s="193" t="str">
        <f>INDEX(_TARGETS!$H$2:$H$17,MATCH($C1055,_TARGETS!$A$2:$A$17,0))</f>
        <v>Definida</v>
      </c>
      <c r="S1055" s="193" t="str">
        <f t="shared" si="103"/>
        <v/>
      </c>
      <c r="T1055" s="193" t="str">
        <f t="shared" si="104"/>
        <v/>
      </c>
    </row>
    <row r="1056" spans="1:20" ht="14.25" customHeight="1" x14ac:dyDescent="0.3">
      <c r="A1056" s="249">
        <f>KPIs!$Z$3</f>
        <v>46905</v>
      </c>
      <c r="B1056" s="193" t="str">
        <f>KPIs!Z$4</f>
        <v>Compresora</v>
      </c>
      <c r="C1056" t="s">
        <v>91</v>
      </c>
      <c r="D1056" s="193" t="str">
        <f>KPIs!$A$48</f>
        <v>13 · Días promedio para cerrar hallazgos · YTD</v>
      </c>
      <c r="E1056" t="s">
        <v>601</v>
      </c>
      <c r="F1056" s="251" t="str">
        <f>IF(ISNUMBER(KPIs!Z48),KPIs!Z48,"")</f>
        <v/>
      </c>
      <c r="G1056" s="193" t="str">
        <f>IF(ISNUMBER(KPIs!$C$48),KPIs!$C$48,"")</f>
        <v/>
      </c>
      <c r="H1056" s="193" t="str">
        <f>IFERROR(INDEX(_TARGETS!$E$2:$E$17,MATCH($C1056,_TARGETS!$A$2:$A$17,0))&amp;"","")</f>
        <v>≤</v>
      </c>
      <c r="I1056" s="193" t="str">
        <f t="shared" si="100"/>
        <v/>
      </c>
      <c r="J1056" s="193" t="str">
        <f t="shared" si="101"/>
        <v>YTD</v>
      </c>
      <c r="K1056" s="193">
        <f>SUMIFS(Datos!$D$68:$AL$68,Datos!$D$3:$AL$3,"&gt;="&amp;DATE(YEAR(Datos!Z$3),1,1),Datos!$D$3:$AL$3,"&lt;="&amp;Datos!Z$3)</f>
        <v>0</v>
      </c>
      <c r="L1056" s="193">
        <f>SUMIFS(Datos!$D$67:$AL$67,Datos!$D$3:$AL$3,"&gt;="&amp;DATE(YEAR(Datos!Z$3),1,1),Datos!$D$3:$AL$3,"&lt;="&amp;Datos!Z$3)</f>
        <v>0</v>
      </c>
      <c r="M1056" s="193">
        <f>INDEX(_TARGETS!$J$2:$J$17,MATCH($C1056,_TARGETS!$A$2:$A$17,0))</f>
        <v>1</v>
      </c>
      <c r="N1056" s="193" t="str">
        <f>INDEX(_TARGETS!$D$2:$D$17,MATCH($C1056,_TARGETS!$A$2:$A$17,0))</f>
        <v>días</v>
      </c>
      <c r="O1056" s="193" t="str">
        <f>IF(NOT(ISNUMBER(F1056)),IF(SUMPRODUCT(($C$2:$C$1300=C1056)*($J$2:$J$1300="Monthly")*($A$2:$A$1300&lt;=A1056)*(YEAR($A$2:$A$1300)=YEAR(A1056))*ISNUMBER($K$2:$K$1300)*ISNUMBER($L$2:$L$1300)*($L$2:$L$1300=0)*($K$2:$K$1300&gt;0))&gt;0,"INCOMPLETE","MISSING"),O477)</f>
        <v>MISSING</v>
      </c>
      <c r="P1056" s="193" t="str">
        <f>INDEX(_TARGETS!$K$2:$K$17,MATCH($C1056,_TARGETS!$A$2:$A$17,0))</f>
        <v>Plant Findings (hoja Observaciones-SMP)</v>
      </c>
      <c r="Q1056" s="193" t="str">
        <f t="shared" si="102"/>
        <v>202806|DPAS|YTD</v>
      </c>
      <c r="R1056" s="193" t="str">
        <f>INDEX(_TARGETS!$H$2:$H$17,MATCH($C1056,_TARGETS!$A$2:$A$17,0))</f>
        <v>Pendiente (meta 2027)</v>
      </c>
      <c r="S1056" s="193" t="str">
        <f t="shared" si="103"/>
        <v/>
      </c>
      <c r="T1056" s="193" t="str">
        <f t="shared" si="104"/>
        <v/>
      </c>
    </row>
    <row r="1057" spans="1:20" ht="14.25" customHeight="1" x14ac:dyDescent="0.3">
      <c r="A1057" s="249">
        <f>KPIs!$Z$3</f>
        <v>46905</v>
      </c>
      <c r="B1057" s="193" t="str">
        <f>KPIs!Z$4</f>
        <v>Compresora</v>
      </c>
      <c r="C1057" t="s">
        <v>96</v>
      </c>
      <c r="D1057" s="193" t="str">
        <f>KPIs!$A$49</f>
        <v>C1 · % de desvíos detectados de gravedad Alta · YTD</v>
      </c>
      <c r="E1057" t="s">
        <v>601</v>
      </c>
      <c r="F1057" s="193" t="str">
        <f>IF(ISNUMBER(KPIs!Z49),KPIs!Z49,"")</f>
        <v/>
      </c>
      <c r="G1057" s="193" t="str">
        <f>IF(ISNUMBER(KPIs!$C$49),KPIs!$C$49,"")</f>
        <v/>
      </c>
      <c r="H1057" s="193" t="str">
        <f>IFERROR(INDEX(_TARGETS!$E$2:$E$17,MATCH($C1057,_TARGETS!$A$2:$A$17,0))&amp;"","")</f>
        <v/>
      </c>
      <c r="I1057" s="193" t="str">
        <f t="shared" si="100"/>
        <v/>
      </c>
      <c r="J1057" s="193" t="str">
        <f t="shared" si="101"/>
        <v>YTD</v>
      </c>
      <c r="K1057" s="193">
        <f>SUMIFS(Datos!$D$71:$AL$71,Datos!$D$3:$AL$3,"&gt;="&amp;DATE(YEAR(Datos!Z$3),1,1),Datos!$D$3:$AL$3,"&lt;="&amp;Datos!Z$3)</f>
        <v>0</v>
      </c>
      <c r="L1057" s="193">
        <f>SUMIFS(Datos!$D$71:$AL$71,Datos!$D$3:$AL$3,"&gt;="&amp;DATE(YEAR(Datos!Z$3),1,1),Datos!$D$3:$AL$3,"&lt;="&amp;Datos!Z$3)+SUMIFS(Datos!$D$72:$AL$72,Datos!$D$3:$AL$3,"&gt;="&amp;DATE(YEAR(Datos!Z$3),1,1),Datos!$D$3:$AL$3,"&lt;="&amp;Datos!Z$3)+SUMIFS(Datos!$D$73:$AL$73,Datos!$D$3:$AL$3,"&gt;="&amp;DATE(YEAR(Datos!Z$3),1,1),Datos!$D$3:$AL$3,"&lt;="&amp;Datos!Z$3)</f>
        <v>0</v>
      </c>
      <c r="M1057" s="193">
        <f>INDEX(_TARGETS!$J$2:$J$17,MATCH($C1057,_TARGETS!$A$2:$A$17,0))</f>
        <v>1</v>
      </c>
      <c r="N1057" s="193" t="str">
        <f>INDEX(_TARGETS!$D$2:$D$17,MATCH($C1057,_TARGETS!$A$2:$A$17,0))</f>
        <v>% (fracción)</v>
      </c>
      <c r="O1057" s="193" t="str">
        <f t="shared" ref="O1057:O1063" si="107">IF(NOT(ISNUMBER(F1057)),IF(SUMPRODUCT(($C$2:$C$1300=C1057)*($J$2:$J$1300="Monthly")*($A$2:$A$1300&lt;=A1057)*(YEAR($A$2:$A$1300)=YEAR(A1057))*ISNUMBER($K$2:$K$1300)*ISNUMBER($L$2:$L$1300)*($L$2:$L$1300=0)*($K$2:$K$1300&gt;0))&gt;0,"INCOMPLETE","MISSING"),O483)</f>
        <v>MISSING</v>
      </c>
      <c r="P1057" s="193" t="str">
        <f>INDEX(_TARGETS!$K$2:$K$17,MATCH($C1057,_TARGETS!$A$2:$A$17,0))</f>
        <v>Plant Findings (hoja Observaciones-SMP)</v>
      </c>
      <c r="Q1057" s="193" t="str">
        <f t="shared" si="102"/>
        <v>202806|HAL_ALTA_PCT|YTD</v>
      </c>
      <c r="R1057" s="193" t="str">
        <f>INDEX(_TARGETS!$H$2:$H$17,MATCH($C1057,_TARGETS!$A$2:$A$17,0))</f>
        <v>Solo reporte</v>
      </c>
      <c r="S1057" s="193" t="str">
        <f t="shared" si="103"/>
        <v/>
      </c>
      <c r="T1057" s="193" t="str">
        <f t="shared" si="104"/>
        <v/>
      </c>
    </row>
    <row r="1058" spans="1:20" ht="14.25" customHeight="1" x14ac:dyDescent="0.3">
      <c r="A1058" s="249">
        <f>KPIs!$Z$3</f>
        <v>46905</v>
      </c>
      <c r="B1058" s="193" t="str">
        <f>KPIs!Z$4</f>
        <v>Compresora</v>
      </c>
      <c r="C1058" t="s">
        <v>98</v>
      </c>
      <c r="D1058" s="193" t="str">
        <f>KPIs!$A$50</f>
        <v>C2 · Detenciones de tareas aplicadas · YTD</v>
      </c>
      <c r="E1058" t="s">
        <v>601</v>
      </c>
      <c r="F1058" s="193" t="str">
        <f>IF(ISNUMBER(KPIs!Z50),KPIs!Z50,"")</f>
        <v/>
      </c>
      <c r="G1058" s="193" t="str">
        <f>IF(ISNUMBER(KPIs!$C$50),KPIs!$C$50,"")</f>
        <v/>
      </c>
      <c r="H1058" s="193" t="str">
        <f>IFERROR(INDEX(_TARGETS!$E$2:$E$17,MATCH($C1058,_TARGETS!$A$2:$A$17,0))&amp;"","")</f>
        <v/>
      </c>
      <c r="I1058" s="193" t="str">
        <f t="shared" si="100"/>
        <v/>
      </c>
      <c r="J1058" s="193" t="str">
        <f t="shared" si="101"/>
        <v>YTD</v>
      </c>
      <c r="K1058" s="193">
        <f>SUMIFS(Datos!$D$75:$AL$75,Datos!$D$3:$AL$3,"&gt;="&amp;DATE(YEAR(Datos!Z$3),1,1),Datos!$D$3:$AL$3,"&lt;="&amp;Datos!Z$3)</f>
        <v>0</v>
      </c>
      <c r="M1058" s="193">
        <f>INDEX(_TARGETS!$J$2:$J$17,MATCH($C1058,_TARGETS!$A$2:$A$17,0))</f>
        <v>1</v>
      </c>
      <c r="N1058" s="193" t="str">
        <f>INDEX(_TARGETS!$D$2:$D$17,MATCH($C1058,_TARGETS!$A$2:$A$17,0))</f>
        <v>u</v>
      </c>
      <c r="O1058" s="193" t="str">
        <f t="shared" si="107"/>
        <v>MISSING</v>
      </c>
      <c r="P1058" s="193" t="str">
        <f>INDEX(_TARGETS!$K$2:$K$17,MATCH($C1058,_TARGETS!$A$2:$A$17,0))</f>
        <v>Plant Findings (hoja Observaciones-SMP)</v>
      </c>
      <c r="Q1058" s="193" t="str">
        <f t="shared" si="102"/>
        <v>202806|DET|YTD</v>
      </c>
      <c r="R1058" s="193" t="str">
        <f>INDEX(_TARGETS!$H$2:$H$17,MATCH($C1058,_TARGETS!$A$2:$A$17,0))</f>
        <v>Solo reporte</v>
      </c>
      <c r="S1058" s="193">
        <f t="shared" si="103"/>
        <v>0</v>
      </c>
      <c r="T1058" s="193" t="str">
        <f t="shared" si="104"/>
        <v/>
      </c>
    </row>
    <row r="1059" spans="1:20" ht="14.25" customHeight="1" x14ac:dyDescent="0.3">
      <c r="A1059" s="249">
        <f>KPIs!$AA$3</f>
        <v>46935</v>
      </c>
      <c r="B1059" s="193" t="str">
        <f>KPIs!AA$4</f>
        <v>Compresora</v>
      </c>
      <c r="C1059" t="s">
        <v>39</v>
      </c>
      <c r="D1059" s="193" t="str">
        <f>KPIs!$A$37</f>
        <v>1 · Frecuencia de casos con días perdidos · YTD</v>
      </c>
      <c r="E1059" t="s">
        <v>601</v>
      </c>
      <c r="F1059" s="193" t="str">
        <f>IF(ISNUMBER(KPIs!AA37),KPIs!AA37,"")</f>
        <v/>
      </c>
      <c r="G1059" s="250">
        <f>IF(ISNUMBER(KPIs!$C$37),KPIs!$C$37,"")</f>
        <v>0</v>
      </c>
      <c r="H1059" s="193" t="str">
        <f>IFERROR(INDEX(_TARGETS!$E$2:$E$17,MATCH($C1059,_TARGETS!$A$2:$A$17,0))&amp;"","")</f>
        <v>≤</v>
      </c>
      <c r="I1059" s="193" t="str">
        <f t="shared" si="100"/>
        <v/>
      </c>
      <c r="J1059" s="193" t="str">
        <f t="shared" si="101"/>
        <v>YTD</v>
      </c>
      <c r="K1059" s="193">
        <f>SUMIFS(Datos!$D$33:$AL$33,Datos!$D$3:$AL$3,"&gt;="&amp;DATE(YEAR(Datos!AA$3),1,1),Datos!$D$3:$AL$3,"&lt;="&amp;Datos!AA$3)</f>
        <v>0</v>
      </c>
      <c r="L1059" s="193">
        <f>SUMIFS(Datos!$D$14:$AL$14,Datos!$D$3:$AL$3,"&gt;="&amp;DATE(YEAR(Datos!AA$3),1,1),Datos!$D$3:$AL$3,"&lt;="&amp;Datos!AA$3)</f>
        <v>0</v>
      </c>
      <c r="M1059" s="193">
        <f>INDEX(_TARGETS!$J$2:$J$17,MATCH($C1059,_TARGETS!$A$2:$A$17,0))</f>
        <v>1000000</v>
      </c>
      <c r="N1059" s="193" t="str">
        <f>INDEX(_TARGETS!$D$2:$D$17,MATCH($C1059,_TARGETS!$A$2:$A$17,0))</f>
        <v>casos / 10^6 HH</v>
      </c>
      <c r="O1059" s="193" t="str">
        <f t="shared" si="107"/>
        <v>MISSING</v>
      </c>
      <c r="P1059" s="193" t="str">
        <f>INDEX(_TARGETS!$K$2:$K$17,MATCH($C1059,_TARGETS!$A$2:$A$17,0))</f>
        <v>OPS (carga manual en Datos)</v>
      </c>
      <c r="Q1059" s="193" t="str">
        <f t="shared" si="102"/>
        <v>202807|DAFWCF|YTD</v>
      </c>
      <c r="R1059" s="193" t="str">
        <f>INDEX(_TARGETS!$H$2:$H$17,MATCH($C1059,_TARGETS!$A$2:$A$17,0))</f>
        <v>Definida</v>
      </c>
      <c r="S1059" s="193" t="str">
        <f t="shared" si="103"/>
        <v/>
      </c>
      <c r="T1059" s="193" t="str">
        <f t="shared" si="104"/>
        <v/>
      </c>
    </row>
    <row r="1060" spans="1:20" ht="14.25" customHeight="1" x14ac:dyDescent="0.3">
      <c r="A1060" s="249">
        <f>KPIs!$AA$3</f>
        <v>46935</v>
      </c>
      <c r="B1060" s="193" t="str">
        <f>KPIs!AA$4</f>
        <v>Compresora</v>
      </c>
      <c r="C1060" t="s">
        <v>49</v>
      </c>
      <c r="D1060" s="193" t="str">
        <f>KPIs!$A$38</f>
        <v>2 · Frecuencia de casos registrables · YTD</v>
      </c>
      <c r="E1060" t="s">
        <v>601</v>
      </c>
      <c r="F1060" s="193" t="str">
        <f>IF(ISNUMBER(KPIs!AA38),KPIs!AA38,"")</f>
        <v/>
      </c>
      <c r="G1060" s="250">
        <f>IF(ISNUMBER(KPIs!$C$38),KPIs!$C$38,"")</f>
        <v>2.35</v>
      </c>
      <c r="H1060" s="193" t="str">
        <f>IFERROR(INDEX(_TARGETS!$E$2:$E$17,MATCH($C1060,_TARGETS!$A$2:$A$17,0))&amp;"","")</f>
        <v>≤</v>
      </c>
      <c r="I1060" s="193" t="str">
        <f t="shared" si="100"/>
        <v/>
      </c>
      <c r="J1060" s="193" t="str">
        <f t="shared" si="101"/>
        <v>YTD</v>
      </c>
      <c r="K1060" s="193">
        <f>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f>
        <v>0</v>
      </c>
      <c r="L1060" s="193">
        <f>SUMIFS(Datos!$D$14:$AL$14,Datos!$D$3:$AL$3,"&gt;="&amp;DATE(YEAR(Datos!AA$3),1,1),Datos!$D$3:$AL$3,"&lt;="&amp;Datos!AA$3)</f>
        <v>0</v>
      </c>
      <c r="M1060" s="193">
        <f>INDEX(_TARGETS!$J$2:$J$17,MATCH($C1060,_TARGETS!$A$2:$A$17,0))</f>
        <v>1000000</v>
      </c>
      <c r="N1060" s="193" t="str">
        <f>INDEX(_TARGETS!$D$2:$D$17,MATCH($C1060,_TARGETS!$A$2:$A$17,0))</f>
        <v>casos / 10^6 HH</v>
      </c>
      <c r="O1060" s="193" t="str">
        <f t="shared" si="107"/>
        <v>MISSING</v>
      </c>
      <c r="P1060" s="193" t="str">
        <f>INDEX(_TARGETS!$K$2:$K$17,MATCH($C1060,_TARGETS!$A$2:$A$17,0))</f>
        <v>OPS (carga manual en Datos)</v>
      </c>
      <c r="Q1060" s="193" t="str">
        <f t="shared" si="102"/>
        <v>202807|TRICF|YTD</v>
      </c>
      <c r="R1060" s="193" t="str">
        <f>INDEX(_TARGETS!$H$2:$H$17,MATCH($C1060,_TARGETS!$A$2:$A$17,0))</f>
        <v>Definida</v>
      </c>
      <c r="S1060" s="193" t="str">
        <f t="shared" si="103"/>
        <v/>
      </c>
      <c r="T1060" s="193" t="str">
        <f t="shared" si="104"/>
        <v/>
      </c>
    </row>
    <row r="1061" spans="1:20" ht="14.25" customHeight="1" x14ac:dyDescent="0.3">
      <c r="A1061" s="249">
        <f>KPIs!$AA$3</f>
        <v>46935</v>
      </c>
      <c r="B1061" s="193" t="str">
        <f>KPIs!AA$4</f>
        <v>Compresora</v>
      </c>
      <c r="C1061" t="s">
        <v>51</v>
      </c>
      <c r="D1061" s="193" t="str">
        <f>KPIs!$A$39</f>
        <v>3 · Casos de primeros auxilios · YTD</v>
      </c>
      <c r="E1061" t="s">
        <v>601</v>
      </c>
      <c r="F1061" s="193" t="str">
        <f>IF(ISNUMBER(KPIs!AA39),KPIs!AA39,"")</f>
        <v/>
      </c>
      <c r="G1061" s="193" t="str">
        <f>IF(ISNUMBER(KPIs!$C$39),KPIs!$C$39,"")</f>
        <v/>
      </c>
      <c r="H1061" s="193" t="str">
        <f>IFERROR(INDEX(_TARGETS!$E$2:$E$17,MATCH($C1061,_TARGETS!$A$2:$A$17,0))&amp;"","")</f>
        <v/>
      </c>
      <c r="I1061" s="193" t="str">
        <f t="shared" si="100"/>
        <v/>
      </c>
      <c r="J1061" s="193" t="str">
        <f t="shared" si="101"/>
        <v>YTD</v>
      </c>
      <c r="K1061" s="193">
        <f>SUMIFS(Datos!$D$37:$AL$37,Datos!$D$3:$AL$3,"&gt;="&amp;DATE(YEAR(Datos!AA$3),1,1),Datos!$D$3:$AL$3,"&lt;="&amp;Datos!AA$3)</f>
        <v>0</v>
      </c>
      <c r="M1061" s="193">
        <f>INDEX(_TARGETS!$J$2:$J$17,MATCH($C1061,_TARGETS!$A$2:$A$17,0))</f>
        <v>1</v>
      </c>
      <c r="N1061" s="193" t="str">
        <f>INDEX(_TARGETS!$D$2:$D$17,MATCH($C1061,_TARGETS!$A$2:$A$17,0))</f>
        <v>casos</v>
      </c>
      <c r="O1061" s="193" t="str">
        <f t="shared" si="107"/>
        <v>MISSING</v>
      </c>
      <c r="P1061" s="193" t="str">
        <f>INDEX(_TARGETS!$K$2:$K$17,MATCH($C1061,_TARGETS!$A$2:$A$17,0))</f>
        <v>OPS (carga manual en Datos)</v>
      </c>
      <c r="Q1061" s="193" t="str">
        <f t="shared" si="102"/>
        <v>202807|FAC|YTD</v>
      </c>
      <c r="R1061" s="193" t="str">
        <f>INDEX(_TARGETS!$H$2:$H$17,MATCH($C1061,_TARGETS!$A$2:$A$17,0))</f>
        <v>Solo reporte</v>
      </c>
      <c r="S1061" s="193">
        <f t="shared" si="103"/>
        <v>0</v>
      </c>
      <c r="T1061" s="193" t="str">
        <f t="shared" si="104"/>
        <v/>
      </c>
    </row>
    <row r="1062" spans="1:20" ht="14.25" customHeight="1" x14ac:dyDescent="0.3">
      <c r="A1062" s="249">
        <f>KPIs!$AA$3</f>
        <v>46935</v>
      </c>
      <c r="B1062" s="193" t="str">
        <f>KPIs!AA$4</f>
        <v>Compresora</v>
      </c>
      <c r="C1062" t="s">
        <v>57</v>
      </c>
      <c r="D1062" s="193" t="str">
        <f>KPIs!$A$40</f>
        <v>4 · Accidentes vehiculares severos por millón de km · YTD</v>
      </c>
      <c r="E1062" t="s">
        <v>601</v>
      </c>
      <c r="F1062" s="193" t="str">
        <f>IF(ISNUMBER(KPIs!AA40),KPIs!AA40,"")</f>
        <v/>
      </c>
      <c r="G1062" s="193" t="str">
        <f>IF(ISNUMBER(KPIs!$C$40),KPIs!$C$40,"")</f>
        <v/>
      </c>
      <c r="H1062" s="193" t="str">
        <f>IFERROR(INDEX(_TARGETS!$E$2:$E$17,MATCH($C1062,_TARGETS!$A$2:$A$17,0))&amp;"","")</f>
        <v/>
      </c>
      <c r="I1062" s="193" t="str">
        <f t="shared" si="100"/>
        <v/>
      </c>
      <c r="J1062" s="193" t="str">
        <f t="shared" si="101"/>
        <v>YTD</v>
      </c>
      <c r="K1062" s="193">
        <f>SUMIFS(Datos!$D$39:$AL$39,Datos!$D$3:$AL$3,"&gt;="&amp;DATE(YEAR(Datos!AA$3),1,1),Datos!$D$3:$AL$3,"&lt;="&amp;Datos!AA$3)+SUMIFS(Datos!$D$40:$AL$40,Datos!$D$3:$AL$3,"&gt;="&amp;DATE(YEAR(Datos!AA$3),1,1),Datos!$D$3:$AL$3,"&lt;="&amp;Datos!AA$3)+SUMIFS(Datos!$D$41:$AL$41,Datos!$D$3:$AL$3,"&gt;="&amp;DATE(YEAR(Datos!AA$3),1,1),Datos!$D$3:$AL$3,"&lt;="&amp;Datos!AA$3)</f>
        <v>0</v>
      </c>
      <c r="L1062" s="193">
        <f>SUMIFS(Datos!$D$47:$AL$47,Datos!$D$3:$AL$3,"&gt;="&amp;DATE(YEAR(Datos!AA$3),1,1),Datos!$D$3:$AL$3,"&lt;="&amp;Datos!AA$3)</f>
        <v>0</v>
      </c>
      <c r="M1062" s="193">
        <f>INDEX(_TARGETS!$J$2:$J$17,MATCH($C1062,_TARGETS!$A$2:$A$17,0))</f>
        <v>1000000</v>
      </c>
      <c r="N1062" s="193" t="str">
        <f>INDEX(_TARGETS!$D$2:$D$17,MATCH($C1062,_TARGETS!$A$2:$A$17,0))</f>
        <v>eventos / 10^6 km</v>
      </c>
      <c r="O1062" s="193" t="str">
        <f t="shared" si="107"/>
        <v>MISSING</v>
      </c>
      <c r="P1062" s="193" t="str">
        <f>INDEX(_TARGETS!$K$2:$K$17,MATCH($C1062,_TARGETS!$A$2:$A$17,0))</f>
        <v>OPS (eventos) + Full Control GPS (km) - carga manual en Datos</v>
      </c>
      <c r="Q1062" s="193" t="str">
        <f t="shared" si="102"/>
        <v>202807|SVCR|YTD</v>
      </c>
      <c r="R1062" s="193" t="str">
        <f>INDEX(_TARGETS!$H$2:$H$17,MATCH($C1062,_TARGETS!$A$2:$A$17,0))</f>
        <v>Solo reporte</v>
      </c>
      <c r="S1062" s="193" t="str">
        <f t="shared" si="103"/>
        <v/>
      </c>
      <c r="T1062" s="193" t="str">
        <f t="shared" si="104"/>
        <v/>
      </c>
    </row>
    <row r="1063" spans="1:20" ht="14.25" customHeight="1" x14ac:dyDescent="0.3">
      <c r="A1063" s="249">
        <f>KPIs!$AA$3</f>
        <v>46935</v>
      </c>
      <c r="B1063" s="193" t="str">
        <f>KPIs!AA$4</f>
        <v>Compresora</v>
      </c>
      <c r="C1063" t="s">
        <v>61</v>
      </c>
      <c r="D1063" s="193" t="str">
        <f>KPIs!$A$41</f>
        <v>5 · Accidentes vehiculares totales por millón de km · YTD</v>
      </c>
      <c r="E1063" t="s">
        <v>601</v>
      </c>
      <c r="F1063" s="193" t="str">
        <f>IF(ISNUMBER(KPIs!AA41),KPIs!AA41,"")</f>
        <v/>
      </c>
      <c r="G1063" s="250">
        <f>IF(ISNUMBER(KPIs!$C$41),KPIs!$C$41,"")</f>
        <v>0.79</v>
      </c>
      <c r="H1063" s="193" t="str">
        <f>IFERROR(INDEX(_TARGETS!$E$2:$E$17,MATCH($C1063,_TARGETS!$A$2:$A$17,0))&amp;"","")</f>
        <v>≤</v>
      </c>
      <c r="I1063" s="193" t="str">
        <f t="shared" si="100"/>
        <v/>
      </c>
      <c r="J1063" s="193" t="str">
        <f t="shared" si="101"/>
        <v>YTD</v>
      </c>
      <c r="K1063" s="193">
        <f>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f>
        <v>0</v>
      </c>
      <c r="L1063" s="193">
        <f>SUMIFS(Datos!$D$47:$AL$47,Datos!$D$3:$AL$3,"&gt;="&amp;DATE(YEAR(Datos!AA$3),1,1),Datos!$D$3:$AL$3,"&lt;="&amp;Datos!AA$3)</f>
        <v>0</v>
      </c>
      <c r="M1063" s="193">
        <f>INDEX(_TARGETS!$J$2:$J$17,MATCH($C1063,_TARGETS!$A$2:$A$17,0))</f>
        <v>1000000</v>
      </c>
      <c r="N1063" s="193" t="str">
        <f>INDEX(_TARGETS!$D$2:$D$17,MATCH($C1063,_TARGETS!$A$2:$A$17,0))</f>
        <v>eventos / 10^6 km</v>
      </c>
      <c r="O1063" s="193" t="str">
        <f t="shared" si="107"/>
        <v>MISSING</v>
      </c>
      <c r="P1063" s="193" t="str">
        <f>INDEX(_TARGETS!$K$2:$K$17,MATCH($C1063,_TARGETS!$A$2:$A$17,0))</f>
        <v>OPS (eventos) + Full Control GPS (km) - carga manual en Datos</v>
      </c>
      <c r="Q1063" s="193" t="str">
        <f t="shared" si="102"/>
        <v>202807|TVCR|YTD</v>
      </c>
      <c r="R1063" s="193" t="str">
        <f>INDEX(_TARGETS!$H$2:$H$17,MATCH($C1063,_TARGETS!$A$2:$A$17,0))</f>
        <v>Definida</v>
      </c>
      <c r="S1063" s="193" t="str">
        <f t="shared" si="103"/>
        <v/>
      </c>
      <c r="T1063" s="193" t="str">
        <f t="shared" si="104"/>
        <v/>
      </c>
    </row>
    <row r="1064" spans="1:20" ht="14.25" customHeight="1" x14ac:dyDescent="0.3">
      <c r="A1064" s="249">
        <f>KPIs!$AA$3</f>
        <v>46935</v>
      </c>
      <c r="B1064" s="193" t="str">
        <f>KPIs!AA$4</f>
        <v>Compresora</v>
      </c>
      <c r="C1064" t="s">
        <v>71</v>
      </c>
      <c r="D1064" s="193" t="str">
        <f>KPIs!$A$42</f>
        <v>7 · Investigaciones de accidentes: días promedio de cierre · YTD</v>
      </c>
      <c r="E1064" t="s">
        <v>601</v>
      </c>
      <c r="F1064" s="193" t="str">
        <f>IF(ISNUMBER(KPIs!AA42),KPIs!AA42,"")</f>
        <v/>
      </c>
      <c r="G1064" s="251">
        <f>IF(ISNUMBER(KPIs!$C$42),KPIs!$C$42,"")</f>
        <v>20</v>
      </c>
      <c r="H1064" s="193" t="str">
        <f>IFERROR(INDEX(_TARGETS!$E$2:$E$17,MATCH($C1064,_TARGETS!$A$2:$A$17,0))&amp;"","")</f>
        <v>≤</v>
      </c>
      <c r="I1064" s="193" t="str">
        <f t="shared" si="100"/>
        <v/>
      </c>
      <c r="J1064" s="193" t="str">
        <f t="shared" si="101"/>
        <v>YTD</v>
      </c>
      <c r="K1064" s="193">
        <f>SUMIFS(Datos!$D$31:$AL$31,Datos!$D$3:$AL$3,"&gt;="&amp;DATE(YEAR(Datos!AA$3),1,1),Datos!$D$3:$AL$3,"&lt;="&amp;Datos!AA$3)</f>
        <v>0</v>
      </c>
      <c r="L1064" s="193">
        <f>SUMIFS(Datos!$D$30:$AL$30,Datos!$D$3:$AL$3,"&gt;="&amp;DATE(YEAR(Datos!AA$3),1,1),Datos!$D$3:$AL$3,"&lt;="&amp;Datos!AA$3)</f>
        <v>0</v>
      </c>
      <c r="M1064" s="193">
        <f>INDEX(_TARGETS!$J$2:$J$17,MATCH($C1064,_TARGETS!$A$2:$A$17,0))</f>
        <v>1</v>
      </c>
      <c r="N1064" s="193" t="str">
        <f>INDEX(_TARGETS!$D$2:$D$17,MATCH($C1064,_TARGETS!$A$2:$A$17,0))</f>
        <v>días</v>
      </c>
      <c r="O1064" s="193" t="str">
        <f>IF(NOT(ISNUMBER(F1064)),IF(SUMPRODUCT(($C$2:$C$1300=C1064)*($J$2:$J$1300="Monthly")*($A$2:$A$1300&lt;=A1064)*(YEAR($A$2:$A$1300)=YEAR(A1064))*ISNUMBER($K$2:$K$1300)*ISNUMBER($L$2:$L$1300)*($L$2:$L$1300=0)*($K$2:$K$1300&gt;0))&gt;0,"INCOMPLETE","MISSING"),O491)</f>
        <v>MISSING</v>
      </c>
      <c r="P1064" s="193" t="str">
        <f>INDEX(_TARGETS!$K$2:$K$17,MATCH($C1064,_TARGETS!$A$2:$A$17,0))</f>
        <v>OPS (carga manual en Datos)</v>
      </c>
      <c r="Q1064" s="193" t="str">
        <f t="shared" si="102"/>
        <v>202807|INV|YTD</v>
      </c>
      <c r="R1064" s="193" t="str">
        <f>INDEX(_TARGETS!$H$2:$H$17,MATCH($C1064,_TARGETS!$A$2:$A$17,0))</f>
        <v>Definida</v>
      </c>
      <c r="S1064" s="193" t="str">
        <f t="shared" si="103"/>
        <v/>
      </c>
      <c r="T1064" s="193" t="str">
        <f t="shared" si="104"/>
        <v/>
      </c>
    </row>
    <row r="1065" spans="1:20" ht="14.25" customHeight="1" x14ac:dyDescent="0.3">
      <c r="A1065" s="249">
        <f>KPIs!$AA$3</f>
        <v>46935</v>
      </c>
      <c r="B1065" s="193" t="str">
        <f>KPIs!AA$4</f>
        <v>Compresora</v>
      </c>
      <c r="C1065" t="s">
        <v>76</v>
      </c>
      <c r="D1065" s="193" t="str">
        <f>KPIs!$A$43</f>
        <v>8 · % de capacitación en seguridad · YTD</v>
      </c>
      <c r="E1065" t="s">
        <v>601</v>
      </c>
      <c r="F1065" s="193" t="str">
        <f>IF(ISNUMBER(KPIs!AA43),KPIs!AA43,"")</f>
        <v/>
      </c>
      <c r="G1065" s="252">
        <f>IF(ISNUMBER(KPIs!$C$43),KPIs!$C$43,"")</f>
        <v>0.01</v>
      </c>
      <c r="H1065" s="193" t="str">
        <f>IFERROR(INDEX(_TARGETS!$E$2:$E$17,MATCH($C1065,_TARGETS!$A$2:$A$17,0))&amp;"","")</f>
        <v>≥</v>
      </c>
      <c r="I1065" s="193" t="str">
        <f t="shared" si="100"/>
        <v/>
      </c>
      <c r="J1065" s="193" t="str">
        <f t="shared" si="101"/>
        <v>YTD</v>
      </c>
      <c r="K1065" s="193">
        <f>SUMIFS(Datos!$D$18:$AL$18,Datos!$D$3:$AL$3,"&gt;="&amp;DATE(YEAR(Datos!AA$3),1,1),Datos!$D$3:$AL$3,"&lt;="&amp;Datos!AA$3)</f>
        <v>0</v>
      </c>
      <c r="L1065" s="193">
        <f>SUMIFS(Datos!$D$14:$AL$14,Datos!$D$3:$AL$3,"&gt;="&amp;DATE(YEAR(Datos!AA$3),1,1),Datos!$D$3:$AL$3,"&lt;="&amp;Datos!AA$3)</f>
        <v>0</v>
      </c>
      <c r="M1065" s="193">
        <f>INDEX(_TARGETS!$J$2:$J$17,MATCH($C1065,_TARGETS!$A$2:$A$17,0))</f>
        <v>1</v>
      </c>
      <c r="N1065" s="193" t="str">
        <f>INDEX(_TARGETS!$D$2:$D$17,MATCH($C1065,_TARGETS!$A$2:$A$17,0))</f>
        <v>% (fracción)</v>
      </c>
      <c r="O1065" s="193" t="str">
        <f>IF(NOT(ISNUMBER(F1065)),IF(SUMPRODUCT(($C$2:$C$1300=C1065)*($J$2:$J$1300="Monthly")*($A$2:$A$1300&lt;=A1065)*(YEAR($A$2:$A$1300)=YEAR(A1065))*ISNUMBER($K$2:$K$1300)*ISNUMBER($L$2:$L$1300)*($L$2:$L$1300=0)*($K$2:$K$1300&gt;0))&gt;0,"INCOMPLETE","MISSING"),O492)</f>
        <v>MISSING</v>
      </c>
      <c r="P1065" s="193" t="str">
        <f>INDEX(_TARGETS!$K$2:$K$17,MATCH($C1065,_TARGETS!$A$2:$A$17,0))</f>
        <v>OPS (carga manual en Datos)</v>
      </c>
      <c r="Q1065" s="193" t="str">
        <f t="shared" si="102"/>
        <v>202807|HCS|YTD</v>
      </c>
      <c r="R1065" s="193" t="str">
        <f>INDEX(_TARGETS!$H$2:$H$17,MATCH($C1065,_TARGETS!$A$2:$A$17,0))</f>
        <v>Definida</v>
      </c>
      <c r="S1065" s="193" t="str">
        <f t="shared" si="103"/>
        <v/>
      </c>
      <c r="T1065" s="193" t="str">
        <f t="shared" si="104"/>
        <v/>
      </c>
    </row>
    <row r="1066" spans="1:20" ht="14.25" customHeight="1" x14ac:dyDescent="0.3">
      <c r="A1066" s="249">
        <f>KPIs!$AA$3</f>
        <v>46935</v>
      </c>
      <c r="B1066" s="193" t="str">
        <f>KPIs!AA$4</f>
        <v>Compresora</v>
      </c>
      <c r="C1066" t="s">
        <v>83</v>
      </c>
      <c r="D1066" s="193" t="str">
        <f>KPIs!$A$44</f>
        <v>10 · Cumplimiento de simulacros (emergencia y operativos) · YTD</v>
      </c>
      <c r="E1066" t="s">
        <v>601</v>
      </c>
      <c r="F1066" s="193" t="str">
        <f>IF(ISNUMBER(KPIs!AA44),KPIs!AA44,"")</f>
        <v/>
      </c>
      <c r="G1066" s="253">
        <f>IF(ISNUMBER(KPIs!$C$44),KPIs!$C$44,"")</f>
        <v>1</v>
      </c>
      <c r="H1066" s="193" t="str">
        <f>IFERROR(INDEX(_TARGETS!$E$2:$E$17,MATCH($C1066,_TARGETS!$A$2:$A$17,0))&amp;"","")</f>
        <v>≥</v>
      </c>
      <c r="I1066" s="193" t="str">
        <f t="shared" si="100"/>
        <v/>
      </c>
      <c r="J1066" s="193" t="str">
        <f t="shared" si="101"/>
        <v>YTD</v>
      </c>
      <c r="K1066" s="193">
        <f>SUMIFS(Datos!$D$20:$AL$20,Datos!$D$3:$AL$3,"&gt;="&amp;DATE(YEAR(Datos!AA$3),1,1),Datos!$D$3:$AL$3,"&lt;="&amp;Datos!AA$3)</f>
        <v>0</v>
      </c>
      <c r="L1066" s="193">
        <f>SUMIFS(Datos!$D$21:$AL$21,Datos!$D$3:$AL$3,"&gt;="&amp;DATE(YEAR(Datos!AA$3),1,1),Datos!$D$3:$AL$3,"&lt;="&amp;Datos!AA$3)</f>
        <v>0</v>
      </c>
      <c r="M1066" s="193">
        <f>INDEX(_TARGETS!$J$2:$J$17,MATCH($C1066,_TARGETS!$A$2:$A$17,0))</f>
        <v>1</v>
      </c>
      <c r="N1066" s="193" t="str">
        <f>INDEX(_TARGETS!$D$2:$D$17,MATCH($C1066,_TARGETS!$A$2:$A$17,0))</f>
        <v>% (fracción)</v>
      </c>
      <c r="O1066" s="193" t="str">
        <f>IF(NOT(ISNUMBER(F1066)),IF(SUMPRODUCT(($C$2:$C$1300=C1066)*($J$2:$J$1300="Monthly")*($A$2:$A$1300&lt;=A1066)*(YEAR($A$2:$A$1300)=YEAR(A1066))*ISNUMBER($K$2:$K$1300)*ISNUMBER($L$2:$L$1300)*($L$2:$L$1300=0)*($K$2:$K$1300&gt;0))&gt;0,"INCOMPLETE","MISSING"),O494)</f>
        <v>MISSING</v>
      </c>
      <c r="P1066" s="193" t="str">
        <f>INDEX(_TARGETS!$K$2:$K$17,MATCH($C1066,_TARGETS!$A$2:$A$17,0))</f>
        <v>OPS (carga manual en Datos)</v>
      </c>
      <c r="Q1066" s="193" t="str">
        <f t="shared" si="102"/>
        <v>202807|CPSE|YTD</v>
      </c>
      <c r="R1066" s="193" t="str">
        <f>INDEX(_TARGETS!$H$2:$H$17,MATCH($C1066,_TARGETS!$A$2:$A$17,0))</f>
        <v>Definida</v>
      </c>
      <c r="S1066" s="193" t="str">
        <f t="shared" si="103"/>
        <v/>
      </c>
      <c r="T1066" s="193" t="str">
        <f t="shared" si="104"/>
        <v/>
      </c>
    </row>
    <row r="1067" spans="1:20" ht="14.25" customHeight="1" x14ac:dyDescent="0.3">
      <c r="A1067" s="249">
        <f>KPIs!$AA$3</f>
        <v>46935</v>
      </c>
      <c r="B1067" s="193" t="str">
        <f>KPIs!AA$4</f>
        <v>Compresora</v>
      </c>
      <c r="C1067" t="s">
        <v>85</v>
      </c>
      <c r="D1067" s="193" t="str">
        <f>KPIs!$A$45</f>
        <v>10b · Cumplimiento de acciones de mejora de simulacros · YTD</v>
      </c>
      <c r="E1067" t="s">
        <v>601</v>
      </c>
      <c r="F1067" s="193" t="str">
        <f>IF(ISNUMBER(KPIs!AA45),KPIs!AA45,"")</f>
        <v/>
      </c>
      <c r="G1067" s="254" t="str">
        <f>IF(ISNUMBER(KPIs!$C$45),KPIs!$C$45,"")</f>
        <v/>
      </c>
      <c r="H1067" s="193" t="str">
        <f>IFERROR(INDEX(_TARGETS!$E$2:$E$17,MATCH($C1067,_TARGETS!$A$2:$A$17,0))&amp;"","")</f>
        <v/>
      </c>
      <c r="I1067" s="193" t="str">
        <f t="shared" si="100"/>
        <v/>
      </c>
      <c r="J1067" s="193" t="str">
        <f t="shared" si="101"/>
        <v>YTD</v>
      </c>
      <c r="K1067" s="193">
        <f>SUMIFS(Datos!$D$23:$AL$23,Datos!$D$3:$AL$3,"&gt;="&amp;DATE(YEAR(Datos!AA$3),1,1),Datos!$D$3:$AL$3,"&lt;="&amp;Datos!AA$3)</f>
        <v>0</v>
      </c>
      <c r="L1067" s="193">
        <f>SUMIFS(Datos!$D$22:$AL$22,Datos!$D$3:$AL$3,"&gt;="&amp;DATE(YEAR(Datos!AA$3),1,1),Datos!$D$3:$AL$3,"&lt;="&amp;Datos!AA$3)</f>
        <v>0</v>
      </c>
      <c r="M1067" s="193">
        <f>INDEX(_TARGETS!$J$2:$J$17,MATCH($C1067,_TARGETS!$A$2:$A$17,0))</f>
        <v>1</v>
      </c>
      <c r="N1067" s="193" t="str">
        <f>INDEX(_TARGETS!$D$2:$D$17,MATCH($C1067,_TARGETS!$A$2:$A$17,0))</f>
        <v>% (fracción)</v>
      </c>
      <c r="O1067" s="193" t="str">
        <f>IF(NOT(ISNUMBER(F1067)),IF(SUMPRODUCT(($C$2:$C$1300=C1067)*($J$2:$J$1300="Monthly")*($A$2:$A$1300&lt;=A1067)*(YEAR($A$2:$A$1300)=YEAR(A1067))*ISNUMBER($K$2:$K$1300)*ISNUMBER($L$2:$L$1300)*($L$2:$L$1300=0)*($K$2:$K$1300&gt;0))&gt;0,"INCOMPLETE","MISSING"),O495)</f>
        <v>MISSING</v>
      </c>
      <c r="P1067" s="193" t="str">
        <f>INDEX(_TARGETS!$K$2:$K$17,MATCH($C1067,_TARGETS!$A$2:$A$17,0))</f>
        <v>OPS (carga manual en Datos)</v>
      </c>
      <c r="Q1067" s="193" t="str">
        <f t="shared" si="102"/>
        <v>202807|CAMS|YTD</v>
      </c>
      <c r="R1067" s="193" t="str">
        <f>INDEX(_TARGETS!$H$2:$H$17,MATCH($C1067,_TARGETS!$A$2:$A$17,0))</f>
        <v>Solo reporte</v>
      </c>
      <c r="S1067" s="193" t="str">
        <f t="shared" si="103"/>
        <v/>
      </c>
      <c r="T1067" s="193" t="str">
        <f t="shared" si="104"/>
        <v/>
      </c>
    </row>
    <row r="1068" spans="1:20" ht="14.25" customHeight="1" x14ac:dyDescent="0.3">
      <c r="A1068" s="249">
        <f>KPIs!$AA$3</f>
        <v>46935</v>
      </c>
      <c r="B1068" s="193" t="str">
        <f>KPIs!AA$4</f>
        <v>Compresora</v>
      </c>
      <c r="C1068" t="s">
        <v>87</v>
      </c>
      <c r="D1068" s="193" t="str">
        <f>KPIs!$A$46</f>
        <v>11 · Cumplimiento de caminatas gerenciales · YTD</v>
      </c>
      <c r="E1068" t="s">
        <v>601</v>
      </c>
      <c r="F1068" s="193" t="str">
        <f>IF(ISNUMBER(KPIs!AA46),KPIs!AA46,"")</f>
        <v/>
      </c>
      <c r="G1068" s="254">
        <f>IF(ISNUMBER(KPIs!$C$46),KPIs!$C$46,"")</f>
        <v>1</v>
      </c>
      <c r="H1068" s="193" t="str">
        <f>IFERROR(INDEX(_TARGETS!$E$2:$E$17,MATCH($C1068,_TARGETS!$A$2:$A$17,0))&amp;"","")</f>
        <v>≥</v>
      </c>
      <c r="I1068" s="193" t="str">
        <f t="shared" si="100"/>
        <v/>
      </c>
      <c r="J1068" s="193" t="str">
        <f t="shared" si="101"/>
        <v>YTD</v>
      </c>
      <c r="K1068" s="193">
        <f>SUMIFS(Datos!$D$24:$AL$24,Datos!$D$3:$AL$3,"&gt;="&amp;DATE(YEAR(Datos!AA$3),1,1),Datos!$D$3:$AL$3,"&lt;="&amp;Datos!AA$3)</f>
        <v>0</v>
      </c>
      <c r="L1068" s="193">
        <f>SUMIFS(Datos!$D$25:$AL$25,Datos!$D$3:$AL$3,"&gt;="&amp;DATE(YEAR(Datos!AA$3),1,1),Datos!$D$3:$AL$3,"&lt;="&amp;Datos!AA$3)</f>
        <v>0</v>
      </c>
      <c r="M1068" s="193">
        <f>INDEX(_TARGETS!$J$2:$J$17,MATCH($C1068,_TARGETS!$A$2:$A$17,0))</f>
        <v>1</v>
      </c>
      <c r="N1068" s="193" t="str">
        <f>INDEX(_TARGETS!$D$2:$D$17,MATCH($C1068,_TARGETS!$A$2:$A$17,0))</f>
        <v>% (fracción)</v>
      </c>
      <c r="O1068" s="193" t="str">
        <f>IF(NOT(ISNUMBER(F1068)),IF(SUMPRODUCT(($C$2:$C$1300=C1068)*($J$2:$J$1300="Monthly")*($A$2:$A$1300&lt;=A1068)*(YEAR($A$2:$A$1300)=YEAR(A1068))*ISNUMBER($K$2:$K$1300)*ISNUMBER($L$2:$L$1300)*($L$2:$L$1300=0)*($K$2:$K$1300&gt;0))&gt;0,"INCOMPLETE","MISSING"),O496)</f>
        <v>MISSING</v>
      </c>
      <c r="P1068" s="193" t="str">
        <f>INDEX(_TARGETS!$K$2:$K$17,MATCH($C1068,_TARGETS!$A$2:$A$17,0))</f>
        <v>OPS (carga manual en Datos)</v>
      </c>
      <c r="Q1068" s="193" t="str">
        <f t="shared" si="102"/>
        <v>202807|ICCS|YTD</v>
      </c>
      <c r="R1068" s="193" t="str">
        <f>INDEX(_TARGETS!$H$2:$H$17,MATCH($C1068,_TARGETS!$A$2:$A$17,0))</f>
        <v>Definida</v>
      </c>
      <c r="S1068" s="193" t="str">
        <f t="shared" si="103"/>
        <v/>
      </c>
      <c r="T1068" s="193" t="str">
        <f t="shared" si="104"/>
        <v/>
      </c>
    </row>
    <row r="1069" spans="1:20" ht="14.25" customHeight="1" x14ac:dyDescent="0.3">
      <c r="A1069" s="249">
        <f>KPIs!$AA$3</f>
        <v>46935</v>
      </c>
      <c r="B1069" s="193" t="str">
        <f>KPIs!AA$4</f>
        <v>Compresora</v>
      </c>
      <c r="C1069" t="s">
        <v>89</v>
      </c>
      <c r="D1069" s="193" t="str">
        <f>KPIs!$A$47</f>
        <v>12 · Cumplimiento de comités y subcomités de seguridad · YTD</v>
      </c>
      <c r="E1069" t="s">
        <v>601</v>
      </c>
      <c r="F1069" s="193" t="str">
        <f>IF(ISNUMBER(KPIs!AA47),KPIs!AA47,"")</f>
        <v/>
      </c>
      <c r="G1069" s="254">
        <f>IF(ISNUMBER(KPIs!$C$47),KPIs!$C$47,"")</f>
        <v>1</v>
      </c>
      <c r="H1069" s="193" t="str">
        <f>IFERROR(INDEX(_TARGETS!$E$2:$E$17,MATCH($C1069,_TARGETS!$A$2:$A$17,0))&amp;"","")</f>
        <v>≥</v>
      </c>
      <c r="I1069" s="193" t="str">
        <f t="shared" si="100"/>
        <v/>
      </c>
      <c r="J1069" s="193" t="str">
        <f t="shared" si="101"/>
        <v>YTD</v>
      </c>
      <c r="K1069" s="193">
        <f>SUMIFS(Datos!$D$26:$AL$26,Datos!$D$3:$AL$3,"&gt;="&amp;DATE(YEAR(Datos!AA$3),1,1),Datos!$D$3:$AL$3,"&lt;="&amp;Datos!AA$3)</f>
        <v>0</v>
      </c>
      <c r="L1069" s="193">
        <f>SUMIFS(Datos!$D$27:$AL$27,Datos!$D$3:$AL$3,"&gt;="&amp;DATE(YEAR(Datos!AA$3),1,1),Datos!$D$3:$AL$3,"&lt;="&amp;Datos!AA$3)</f>
        <v>0</v>
      </c>
      <c r="M1069" s="193">
        <f>INDEX(_TARGETS!$J$2:$J$17,MATCH($C1069,_TARGETS!$A$2:$A$17,0))</f>
        <v>1</v>
      </c>
      <c r="N1069" s="193" t="str">
        <f>INDEX(_TARGETS!$D$2:$D$17,MATCH($C1069,_TARGETS!$A$2:$A$17,0))</f>
        <v>% (fracción)</v>
      </c>
      <c r="O1069" s="193" t="str">
        <f>IF(NOT(ISNUMBER(F1069)),IF(SUMPRODUCT(($C$2:$C$1300=C1069)*($J$2:$J$1300="Monthly")*($A$2:$A$1300&lt;=A1069)*(YEAR($A$2:$A$1300)=YEAR(A1069))*ISNUMBER($K$2:$K$1300)*ISNUMBER($L$2:$L$1300)*($L$2:$L$1300=0)*($K$2:$K$1300&gt;0))&gt;0,"INCOMPLETE","MISSING"),O497)</f>
        <v>MISSING</v>
      </c>
      <c r="P1069" s="193" t="str">
        <f>INDEX(_TARGETS!$K$2:$K$17,MATCH($C1069,_TARGETS!$A$2:$A$17,0))</f>
        <v>OPS (carga manual en Datos)</v>
      </c>
      <c r="Q1069" s="193" t="str">
        <f t="shared" si="102"/>
        <v>202807|CCS|YTD</v>
      </c>
      <c r="R1069" s="193" t="str">
        <f>INDEX(_TARGETS!$H$2:$H$17,MATCH($C1069,_TARGETS!$A$2:$A$17,0))</f>
        <v>Definida</v>
      </c>
      <c r="S1069" s="193" t="str">
        <f t="shared" si="103"/>
        <v/>
      </c>
      <c r="T1069" s="193" t="str">
        <f t="shared" si="104"/>
        <v/>
      </c>
    </row>
    <row r="1070" spans="1:20" ht="14.25" customHeight="1" x14ac:dyDescent="0.3">
      <c r="A1070" s="249">
        <f>KPIs!$AA$3</f>
        <v>46935</v>
      </c>
      <c r="B1070" s="193" t="str">
        <f>KPIs!AA$4</f>
        <v>Compresora</v>
      </c>
      <c r="C1070" t="s">
        <v>91</v>
      </c>
      <c r="D1070" s="193" t="str">
        <f>KPIs!$A$48</f>
        <v>13 · Días promedio para cerrar hallazgos · YTD</v>
      </c>
      <c r="E1070" t="s">
        <v>601</v>
      </c>
      <c r="F1070" s="251" t="str">
        <f>IF(ISNUMBER(KPIs!AA48),KPIs!AA48,"")</f>
        <v/>
      </c>
      <c r="G1070" s="193" t="str">
        <f>IF(ISNUMBER(KPIs!$C$48),KPIs!$C$48,"")</f>
        <v/>
      </c>
      <c r="H1070" s="193" t="str">
        <f>IFERROR(INDEX(_TARGETS!$E$2:$E$17,MATCH($C1070,_TARGETS!$A$2:$A$17,0))&amp;"","")</f>
        <v>≤</v>
      </c>
      <c r="I1070" s="193" t="str">
        <f t="shared" si="100"/>
        <v/>
      </c>
      <c r="J1070" s="193" t="str">
        <f t="shared" si="101"/>
        <v>YTD</v>
      </c>
      <c r="K1070" s="193">
        <f>SUMIFS(Datos!$D$68:$AL$68,Datos!$D$3:$AL$3,"&gt;="&amp;DATE(YEAR(Datos!AA$3),1,1),Datos!$D$3:$AL$3,"&lt;="&amp;Datos!AA$3)</f>
        <v>0</v>
      </c>
      <c r="L1070" s="193">
        <f>SUMIFS(Datos!$D$67:$AL$67,Datos!$D$3:$AL$3,"&gt;="&amp;DATE(YEAR(Datos!AA$3),1,1),Datos!$D$3:$AL$3,"&lt;="&amp;Datos!AA$3)</f>
        <v>0</v>
      </c>
      <c r="M1070" s="193">
        <f>INDEX(_TARGETS!$J$2:$J$17,MATCH($C1070,_TARGETS!$A$2:$A$17,0))</f>
        <v>1</v>
      </c>
      <c r="N1070" s="193" t="str">
        <f>INDEX(_TARGETS!$D$2:$D$17,MATCH($C1070,_TARGETS!$A$2:$A$17,0))</f>
        <v>días</v>
      </c>
      <c r="O1070" s="193" t="str">
        <f>IF(NOT(ISNUMBER(F1070)),IF(SUMPRODUCT(($C$2:$C$1300=C1070)*($J$2:$J$1300="Monthly")*($A$2:$A$1300&lt;=A1070)*(YEAR($A$2:$A$1300)=YEAR(A1070))*ISNUMBER($K$2:$K$1300)*ISNUMBER($L$2:$L$1300)*($L$2:$L$1300=0)*($K$2:$K$1300&gt;0))&gt;0,"INCOMPLETE","MISSING"),O498)</f>
        <v>MISSING</v>
      </c>
      <c r="P1070" s="193" t="str">
        <f>INDEX(_TARGETS!$K$2:$K$17,MATCH($C1070,_TARGETS!$A$2:$A$17,0))</f>
        <v>Plant Findings (hoja Observaciones-SMP)</v>
      </c>
      <c r="Q1070" s="193" t="str">
        <f t="shared" si="102"/>
        <v>202807|DPAS|YTD</v>
      </c>
      <c r="R1070" s="193" t="str">
        <f>INDEX(_TARGETS!$H$2:$H$17,MATCH($C1070,_TARGETS!$A$2:$A$17,0))</f>
        <v>Pendiente (meta 2027)</v>
      </c>
      <c r="S1070" s="193" t="str">
        <f t="shared" si="103"/>
        <v/>
      </c>
      <c r="T1070" s="193" t="str">
        <f t="shared" si="104"/>
        <v/>
      </c>
    </row>
    <row r="1071" spans="1:20" ht="14.25" customHeight="1" x14ac:dyDescent="0.3">
      <c r="A1071" s="249">
        <f>KPIs!$AA$3</f>
        <v>46935</v>
      </c>
      <c r="B1071" s="193" t="str">
        <f>KPIs!AA$4</f>
        <v>Compresora</v>
      </c>
      <c r="C1071" t="s">
        <v>96</v>
      </c>
      <c r="D1071" s="193" t="str">
        <f>KPIs!$A$49</f>
        <v>C1 · % de desvíos detectados de gravedad Alta · YTD</v>
      </c>
      <c r="E1071" t="s">
        <v>601</v>
      </c>
      <c r="F1071" s="193" t="str">
        <f>IF(ISNUMBER(KPIs!AA49),KPIs!AA49,"")</f>
        <v/>
      </c>
      <c r="G1071" s="193" t="str">
        <f>IF(ISNUMBER(KPIs!$C$49),KPIs!$C$49,"")</f>
        <v/>
      </c>
      <c r="H1071" s="193" t="str">
        <f>IFERROR(INDEX(_TARGETS!$E$2:$E$17,MATCH($C1071,_TARGETS!$A$2:$A$17,0))&amp;"","")</f>
        <v/>
      </c>
      <c r="I1071" s="193" t="str">
        <f t="shared" si="100"/>
        <v/>
      </c>
      <c r="J1071" s="193" t="str">
        <f t="shared" si="101"/>
        <v>YTD</v>
      </c>
      <c r="K1071" s="193">
        <f>SUMIFS(Datos!$D$71:$AL$71,Datos!$D$3:$AL$3,"&gt;="&amp;DATE(YEAR(Datos!AA$3),1,1),Datos!$D$3:$AL$3,"&lt;="&amp;Datos!AA$3)</f>
        <v>0</v>
      </c>
      <c r="L1071" s="193">
        <f>SUMIFS(Datos!$D$71:$AL$71,Datos!$D$3:$AL$3,"&gt;="&amp;DATE(YEAR(Datos!AA$3),1,1),Datos!$D$3:$AL$3,"&lt;="&amp;Datos!AA$3)+SUMIFS(Datos!$D$72:$AL$72,Datos!$D$3:$AL$3,"&gt;="&amp;DATE(YEAR(Datos!AA$3),1,1),Datos!$D$3:$AL$3,"&lt;="&amp;Datos!AA$3)+SUMIFS(Datos!$D$73:$AL$73,Datos!$D$3:$AL$3,"&gt;="&amp;DATE(YEAR(Datos!AA$3),1,1),Datos!$D$3:$AL$3,"&lt;="&amp;Datos!AA$3)</f>
        <v>0</v>
      </c>
      <c r="M1071" s="193">
        <f>INDEX(_TARGETS!$J$2:$J$17,MATCH($C1071,_TARGETS!$A$2:$A$17,0))</f>
        <v>1</v>
      </c>
      <c r="N1071" s="193" t="str">
        <f>INDEX(_TARGETS!$D$2:$D$17,MATCH($C1071,_TARGETS!$A$2:$A$17,0))</f>
        <v>% (fracción)</v>
      </c>
      <c r="O1071" s="193" t="str">
        <f t="shared" ref="O1071:O1077" si="108">IF(NOT(ISNUMBER(F1071)),IF(SUMPRODUCT(($C$2:$C$1300=C1071)*($J$2:$J$1300="Monthly")*($A$2:$A$1300&lt;=A1071)*(YEAR($A$2:$A$1300)=YEAR(A1071))*ISNUMBER($K$2:$K$1300)*ISNUMBER($L$2:$L$1300)*($L$2:$L$1300=0)*($K$2:$K$1300&gt;0))&gt;0,"INCOMPLETE","MISSING"),O504)</f>
        <v>MISSING</v>
      </c>
      <c r="P1071" s="193" t="str">
        <f>INDEX(_TARGETS!$K$2:$K$17,MATCH($C1071,_TARGETS!$A$2:$A$17,0))</f>
        <v>Plant Findings (hoja Observaciones-SMP)</v>
      </c>
      <c r="Q1071" s="193" t="str">
        <f t="shared" si="102"/>
        <v>202807|HAL_ALTA_PCT|YTD</v>
      </c>
      <c r="R1071" s="193" t="str">
        <f>INDEX(_TARGETS!$H$2:$H$17,MATCH($C1071,_TARGETS!$A$2:$A$17,0))</f>
        <v>Solo reporte</v>
      </c>
      <c r="S1071" s="193" t="str">
        <f t="shared" si="103"/>
        <v/>
      </c>
      <c r="T1071" s="193" t="str">
        <f t="shared" si="104"/>
        <v/>
      </c>
    </row>
    <row r="1072" spans="1:20" ht="14.25" customHeight="1" x14ac:dyDescent="0.3">
      <c r="A1072" s="249">
        <f>KPIs!$AA$3</f>
        <v>46935</v>
      </c>
      <c r="B1072" s="193" t="str">
        <f>KPIs!AA$4</f>
        <v>Compresora</v>
      </c>
      <c r="C1072" t="s">
        <v>98</v>
      </c>
      <c r="D1072" s="193" t="str">
        <f>KPIs!$A$50</f>
        <v>C2 · Detenciones de tareas aplicadas · YTD</v>
      </c>
      <c r="E1072" t="s">
        <v>601</v>
      </c>
      <c r="F1072" s="193" t="str">
        <f>IF(ISNUMBER(KPIs!AA50),KPIs!AA50,"")</f>
        <v/>
      </c>
      <c r="G1072" s="193" t="str">
        <f>IF(ISNUMBER(KPIs!$C$50),KPIs!$C$50,"")</f>
        <v/>
      </c>
      <c r="H1072" s="193" t="str">
        <f>IFERROR(INDEX(_TARGETS!$E$2:$E$17,MATCH($C1072,_TARGETS!$A$2:$A$17,0))&amp;"","")</f>
        <v/>
      </c>
      <c r="I1072" s="193" t="str">
        <f t="shared" si="100"/>
        <v/>
      </c>
      <c r="J1072" s="193" t="str">
        <f t="shared" si="101"/>
        <v>YTD</v>
      </c>
      <c r="K1072" s="193">
        <f>SUMIFS(Datos!$D$75:$AL$75,Datos!$D$3:$AL$3,"&gt;="&amp;DATE(YEAR(Datos!AA$3),1,1),Datos!$D$3:$AL$3,"&lt;="&amp;Datos!AA$3)</f>
        <v>0</v>
      </c>
      <c r="M1072" s="193">
        <f>INDEX(_TARGETS!$J$2:$J$17,MATCH($C1072,_TARGETS!$A$2:$A$17,0))</f>
        <v>1</v>
      </c>
      <c r="N1072" s="193" t="str">
        <f>INDEX(_TARGETS!$D$2:$D$17,MATCH($C1072,_TARGETS!$A$2:$A$17,0))</f>
        <v>u</v>
      </c>
      <c r="O1072" s="193" t="str">
        <f t="shared" si="108"/>
        <v>MISSING</v>
      </c>
      <c r="P1072" s="193" t="str">
        <f>INDEX(_TARGETS!$K$2:$K$17,MATCH($C1072,_TARGETS!$A$2:$A$17,0))</f>
        <v>Plant Findings (hoja Observaciones-SMP)</v>
      </c>
      <c r="Q1072" s="193" t="str">
        <f t="shared" si="102"/>
        <v>202807|DET|YTD</v>
      </c>
      <c r="R1072" s="193" t="str">
        <f>INDEX(_TARGETS!$H$2:$H$17,MATCH($C1072,_TARGETS!$A$2:$A$17,0))</f>
        <v>Solo reporte</v>
      </c>
      <c r="S1072" s="193">
        <f t="shared" si="103"/>
        <v>0</v>
      </c>
      <c r="T1072" s="193" t="str">
        <f t="shared" si="104"/>
        <v/>
      </c>
    </row>
    <row r="1073" spans="1:20" ht="14.25" customHeight="1" x14ac:dyDescent="0.3">
      <c r="A1073" s="249">
        <f>KPIs!$AB$3</f>
        <v>46966</v>
      </c>
      <c r="B1073" s="193" t="str">
        <f>KPIs!AB$4</f>
        <v>Compresora</v>
      </c>
      <c r="C1073" t="s">
        <v>39</v>
      </c>
      <c r="D1073" s="193" t="str">
        <f>KPIs!$A$37</f>
        <v>1 · Frecuencia de casos con días perdidos · YTD</v>
      </c>
      <c r="E1073" t="s">
        <v>601</v>
      </c>
      <c r="F1073" s="193" t="str">
        <f>IF(ISNUMBER(KPIs!AB37),KPIs!AB37,"")</f>
        <v/>
      </c>
      <c r="G1073" s="250">
        <f>IF(ISNUMBER(KPIs!$C$37),KPIs!$C$37,"")</f>
        <v>0</v>
      </c>
      <c r="H1073" s="193" t="str">
        <f>IFERROR(INDEX(_TARGETS!$E$2:$E$17,MATCH($C1073,_TARGETS!$A$2:$A$17,0))&amp;"","")</f>
        <v>≤</v>
      </c>
      <c r="I1073" s="193" t="str">
        <f t="shared" si="100"/>
        <v/>
      </c>
      <c r="J1073" s="193" t="str">
        <f t="shared" si="101"/>
        <v>YTD</v>
      </c>
      <c r="K1073" s="193">
        <f>SUMIFS(Datos!$D$33:$AL$33,Datos!$D$3:$AL$3,"&gt;="&amp;DATE(YEAR(Datos!AB$3),1,1),Datos!$D$3:$AL$3,"&lt;="&amp;Datos!AB$3)</f>
        <v>0</v>
      </c>
      <c r="L1073" s="193">
        <f>SUMIFS(Datos!$D$14:$AL$14,Datos!$D$3:$AL$3,"&gt;="&amp;DATE(YEAR(Datos!AB$3),1,1),Datos!$D$3:$AL$3,"&lt;="&amp;Datos!AB$3)</f>
        <v>0</v>
      </c>
      <c r="M1073" s="193">
        <f>INDEX(_TARGETS!$J$2:$J$17,MATCH($C1073,_TARGETS!$A$2:$A$17,0))</f>
        <v>1000000</v>
      </c>
      <c r="N1073" s="193" t="str">
        <f>INDEX(_TARGETS!$D$2:$D$17,MATCH($C1073,_TARGETS!$A$2:$A$17,0))</f>
        <v>casos / 10^6 HH</v>
      </c>
      <c r="O1073" s="193" t="str">
        <f t="shared" si="108"/>
        <v>MISSING</v>
      </c>
      <c r="P1073" s="193" t="str">
        <f>INDEX(_TARGETS!$K$2:$K$17,MATCH($C1073,_TARGETS!$A$2:$A$17,0))</f>
        <v>OPS (carga manual en Datos)</v>
      </c>
      <c r="Q1073" s="193" t="str">
        <f t="shared" si="102"/>
        <v>202808|DAFWCF|YTD</v>
      </c>
      <c r="R1073" s="193" t="str">
        <f>INDEX(_TARGETS!$H$2:$H$17,MATCH($C1073,_TARGETS!$A$2:$A$17,0))</f>
        <v>Definida</v>
      </c>
      <c r="S1073" s="193" t="str">
        <f t="shared" si="103"/>
        <v/>
      </c>
      <c r="T1073" s="193" t="str">
        <f t="shared" si="104"/>
        <v/>
      </c>
    </row>
    <row r="1074" spans="1:20" ht="14.25" customHeight="1" x14ac:dyDescent="0.3">
      <c r="A1074" s="249">
        <f>KPIs!$AB$3</f>
        <v>46966</v>
      </c>
      <c r="B1074" s="193" t="str">
        <f>KPIs!AB$4</f>
        <v>Compresora</v>
      </c>
      <c r="C1074" t="s">
        <v>49</v>
      </c>
      <c r="D1074" s="193" t="str">
        <f>KPIs!$A$38</f>
        <v>2 · Frecuencia de casos registrables · YTD</v>
      </c>
      <c r="E1074" t="s">
        <v>601</v>
      </c>
      <c r="F1074" s="193" t="str">
        <f>IF(ISNUMBER(KPIs!AB38),KPIs!AB38,"")</f>
        <v/>
      </c>
      <c r="G1074" s="250">
        <f>IF(ISNUMBER(KPIs!$C$38),KPIs!$C$38,"")</f>
        <v>2.35</v>
      </c>
      <c r="H1074" s="193" t="str">
        <f>IFERROR(INDEX(_TARGETS!$E$2:$E$17,MATCH($C1074,_TARGETS!$A$2:$A$17,0))&amp;"","")</f>
        <v>≤</v>
      </c>
      <c r="I1074" s="193" t="str">
        <f t="shared" si="100"/>
        <v/>
      </c>
      <c r="J1074" s="193" t="str">
        <f t="shared" si="101"/>
        <v>YTD</v>
      </c>
      <c r="K1074" s="193">
        <f>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f>
        <v>0</v>
      </c>
      <c r="L1074" s="193">
        <f>SUMIFS(Datos!$D$14:$AL$14,Datos!$D$3:$AL$3,"&gt;="&amp;DATE(YEAR(Datos!AB$3),1,1),Datos!$D$3:$AL$3,"&lt;="&amp;Datos!AB$3)</f>
        <v>0</v>
      </c>
      <c r="M1074" s="193">
        <f>INDEX(_TARGETS!$J$2:$J$17,MATCH($C1074,_TARGETS!$A$2:$A$17,0))</f>
        <v>1000000</v>
      </c>
      <c r="N1074" s="193" t="str">
        <f>INDEX(_TARGETS!$D$2:$D$17,MATCH($C1074,_TARGETS!$A$2:$A$17,0))</f>
        <v>casos / 10^6 HH</v>
      </c>
      <c r="O1074" s="193" t="str">
        <f t="shared" si="108"/>
        <v>MISSING</v>
      </c>
      <c r="P1074" s="193" t="str">
        <f>INDEX(_TARGETS!$K$2:$K$17,MATCH($C1074,_TARGETS!$A$2:$A$17,0))</f>
        <v>OPS (carga manual en Datos)</v>
      </c>
      <c r="Q1074" s="193" t="str">
        <f t="shared" si="102"/>
        <v>202808|TRICF|YTD</v>
      </c>
      <c r="R1074" s="193" t="str">
        <f>INDEX(_TARGETS!$H$2:$H$17,MATCH($C1074,_TARGETS!$A$2:$A$17,0))</f>
        <v>Definida</v>
      </c>
      <c r="S1074" s="193" t="str">
        <f t="shared" si="103"/>
        <v/>
      </c>
      <c r="T1074" s="193" t="str">
        <f t="shared" si="104"/>
        <v/>
      </c>
    </row>
    <row r="1075" spans="1:20" ht="14.25" customHeight="1" x14ac:dyDescent="0.3">
      <c r="A1075" s="249">
        <f>KPIs!$AB$3</f>
        <v>46966</v>
      </c>
      <c r="B1075" s="193" t="str">
        <f>KPIs!AB$4</f>
        <v>Compresora</v>
      </c>
      <c r="C1075" t="s">
        <v>51</v>
      </c>
      <c r="D1075" s="193" t="str">
        <f>KPIs!$A$39</f>
        <v>3 · Casos de primeros auxilios · YTD</v>
      </c>
      <c r="E1075" t="s">
        <v>601</v>
      </c>
      <c r="F1075" s="193" t="str">
        <f>IF(ISNUMBER(KPIs!AB39),KPIs!AB39,"")</f>
        <v/>
      </c>
      <c r="G1075" s="193" t="str">
        <f>IF(ISNUMBER(KPIs!$C$39),KPIs!$C$39,"")</f>
        <v/>
      </c>
      <c r="H1075" s="193" t="str">
        <f>IFERROR(INDEX(_TARGETS!$E$2:$E$17,MATCH($C1075,_TARGETS!$A$2:$A$17,0))&amp;"","")</f>
        <v/>
      </c>
      <c r="I1075" s="193" t="str">
        <f t="shared" si="100"/>
        <v/>
      </c>
      <c r="J1075" s="193" t="str">
        <f t="shared" si="101"/>
        <v>YTD</v>
      </c>
      <c r="K1075" s="193">
        <f>SUMIFS(Datos!$D$37:$AL$37,Datos!$D$3:$AL$3,"&gt;="&amp;DATE(YEAR(Datos!AB$3),1,1),Datos!$D$3:$AL$3,"&lt;="&amp;Datos!AB$3)</f>
        <v>0</v>
      </c>
      <c r="M1075" s="193">
        <f>INDEX(_TARGETS!$J$2:$J$17,MATCH($C1075,_TARGETS!$A$2:$A$17,0))</f>
        <v>1</v>
      </c>
      <c r="N1075" s="193" t="str">
        <f>INDEX(_TARGETS!$D$2:$D$17,MATCH($C1075,_TARGETS!$A$2:$A$17,0))</f>
        <v>casos</v>
      </c>
      <c r="O1075" s="193" t="str">
        <f t="shared" si="108"/>
        <v>MISSING</v>
      </c>
      <c r="P1075" s="193" t="str">
        <f>INDEX(_TARGETS!$K$2:$K$17,MATCH($C1075,_TARGETS!$A$2:$A$17,0))</f>
        <v>OPS (carga manual en Datos)</v>
      </c>
      <c r="Q1075" s="193" t="str">
        <f t="shared" si="102"/>
        <v>202808|FAC|YTD</v>
      </c>
      <c r="R1075" s="193" t="str">
        <f>INDEX(_TARGETS!$H$2:$H$17,MATCH($C1075,_TARGETS!$A$2:$A$17,0))</f>
        <v>Solo reporte</v>
      </c>
      <c r="S1075" s="193">
        <f t="shared" si="103"/>
        <v>0</v>
      </c>
      <c r="T1075" s="193" t="str">
        <f t="shared" si="104"/>
        <v/>
      </c>
    </row>
    <row r="1076" spans="1:20" ht="14.25" customHeight="1" x14ac:dyDescent="0.3">
      <c r="A1076" s="249">
        <f>KPIs!$AB$3</f>
        <v>46966</v>
      </c>
      <c r="B1076" s="193" t="str">
        <f>KPIs!AB$4</f>
        <v>Compresora</v>
      </c>
      <c r="C1076" t="s">
        <v>57</v>
      </c>
      <c r="D1076" s="193" t="str">
        <f>KPIs!$A$40</f>
        <v>4 · Accidentes vehiculares severos por millón de km · YTD</v>
      </c>
      <c r="E1076" t="s">
        <v>601</v>
      </c>
      <c r="F1076" s="193" t="str">
        <f>IF(ISNUMBER(KPIs!AB40),KPIs!AB40,"")</f>
        <v/>
      </c>
      <c r="G1076" s="193" t="str">
        <f>IF(ISNUMBER(KPIs!$C$40),KPIs!$C$40,"")</f>
        <v/>
      </c>
      <c r="H1076" s="193" t="str">
        <f>IFERROR(INDEX(_TARGETS!$E$2:$E$17,MATCH($C1076,_TARGETS!$A$2:$A$17,0))&amp;"","")</f>
        <v/>
      </c>
      <c r="I1076" s="193" t="str">
        <f t="shared" si="100"/>
        <v/>
      </c>
      <c r="J1076" s="193" t="str">
        <f t="shared" si="101"/>
        <v>YTD</v>
      </c>
      <c r="K1076" s="193">
        <f>SUMIFS(Datos!$D$39:$AL$39,Datos!$D$3:$AL$3,"&gt;="&amp;DATE(YEAR(Datos!AB$3),1,1),Datos!$D$3:$AL$3,"&lt;="&amp;Datos!AB$3)+SUMIFS(Datos!$D$40:$AL$40,Datos!$D$3:$AL$3,"&gt;="&amp;DATE(YEAR(Datos!AB$3),1,1),Datos!$D$3:$AL$3,"&lt;="&amp;Datos!AB$3)+SUMIFS(Datos!$D$41:$AL$41,Datos!$D$3:$AL$3,"&gt;="&amp;DATE(YEAR(Datos!AB$3),1,1),Datos!$D$3:$AL$3,"&lt;="&amp;Datos!AB$3)</f>
        <v>0</v>
      </c>
      <c r="L1076" s="193">
        <f>SUMIFS(Datos!$D$47:$AL$47,Datos!$D$3:$AL$3,"&gt;="&amp;DATE(YEAR(Datos!AB$3),1,1),Datos!$D$3:$AL$3,"&lt;="&amp;Datos!AB$3)</f>
        <v>0</v>
      </c>
      <c r="M1076" s="193">
        <f>INDEX(_TARGETS!$J$2:$J$17,MATCH($C1076,_TARGETS!$A$2:$A$17,0))</f>
        <v>1000000</v>
      </c>
      <c r="N1076" s="193" t="str">
        <f>INDEX(_TARGETS!$D$2:$D$17,MATCH($C1076,_TARGETS!$A$2:$A$17,0))</f>
        <v>eventos / 10^6 km</v>
      </c>
      <c r="O1076" s="193" t="str">
        <f t="shared" si="108"/>
        <v>MISSING</v>
      </c>
      <c r="P1076" s="193" t="str">
        <f>INDEX(_TARGETS!$K$2:$K$17,MATCH($C1076,_TARGETS!$A$2:$A$17,0))</f>
        <v>OPS (eventos) + Full Control GPS (km) - carga manual en Datos</v>
      </c>
      <c r="Q1076" s="193" t="str">
        <f t="shared" si="102"/>
        <v>202808|SVCR|YTD</v>
      </c>
      <c r="R1076" s="193" t="str">
        <f>INDEX(_TARGETS!$H$2:$H$17,MATCH($C1076,_TARGETS!$A$2:$A$17,0))</f>
        <v>Solo reporte</v>
      </c>
      <c r="S1076" s="193" t="str">
        <f t="shared" si="103"/>
        <v/>
      </c>
      <c r="T1076" s="193" t="str">
        <f t="shared" si="104"/>
        <v/>
      </c>
    </row>
    <row r="1077" spans="1:20" ht="14.25" customHeight="1" x14ac:dyDescent="0.3">
      <c r="A1077" s="249">
        <f>KPIs!$AB$3</f>
        <v>46966</v>
      </c>
      <c r="B1077" s="193" t="str">
        <f>KPIs!AB$4</f>
        <v>Compresora</v>
      </c>
      <c r="C1077" t="s">
        <v>61</v>
      </c>
      <c r="D1077" s="193" t="str">
        <f>KPIs!$A$41</f>
        <v>5 · Accidentes vehiculares totales por millón de km · YTD</v>
      </c>
      <c r="E1077" t="s">
        <v>601</v>
      </c>
      <c r="F1077" s="193" t="str">
        <f>IF(ISNUMBER(KPIs!AB41),KPIs!AB41,"")</f>
        <v/>
      </c>
      <c r="G1077" s="250">
        <f>IF(ISNUMBER(KPIs!$C$41),KPIs!$C$41,"")</f>
        <v>0.79</v>
      </c>
      <c r="H1077" s="193" t="str">
        <f>IFERROR(INDEX(_TARGETS!$E$2:$E$17,MATCH($C1077,_TARGETS!$A$2:$A$17,0))&amp;"","")</f>
        <v>≤</v>
      </c>
      <c r="I1077" s="193" t="str">
        <f t="shared" si="100"/>
        <v/>
      </c>
      <c r="J1077" s="193" t="str">
        <f t="shared" si="101"/>
        <v>YTD</v>
      </c>
      <c r="K1077" s="193">
        <f>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f>
        <v>0</v>
      </c>
      <c r="L1077" s="193">
        <f>SUMIFS(Datos!$D$47:$AL$47,Datos!$D$3:$AL$3,"&gt;="&amp;DATE(YEAR(Datos!AB$3),1,1),Datos!$D$3:$AL$3,"&lt;="&amp;Datos!AB$3)</f>
        <v>0</v>
      </c>
      <c r="M1077" s="193">
        <f>INDEX(_TARGETS!$J$2:$J$17,MATCH($C1077,_TARGETS!$A$2:$A$17,0))</f>
        <v>1000000</v>
      </c>
      <c r="N1077" s="193" t="str">
        <f>INDEX(_TARGETS!$D$2:$D$17,MATCH($C1077,_TARGETS!$A$2:$A$17,0))</f>
        <v>eventos / 10^6 km</v>
      </c>
      <c r="O1077" s="193" t="str">
        <f t="shared" si="108"/>
        <v>MISSING</v>
      </c>
      <c r="P1077" s="193" t="str">
        <f>INDEX(_TARGETS!$K$2:$K$17,MATCH($C1077,_TARGETS!$A$2:$A$17,0))</f>
        <v>OPS (eventos) + Full Control GPS (km) - carga manual en Datos</v>
      </c>
      <c r="Q1077" s="193" t="str">
        <f t="shared" si="102"/>
        <v>202808|TVCR|YTD</v>
      </c>
      <c r="R1077" s="193" t="str">
        <f>INDEX(_TARGETS!$H$2:$H$17,MATCH($C1077,_TARGETS!$A$2:$A$17,0))</f>
        <v>Definida</v>
      </c>
      <c r="S1077" s="193" t="str">
        <f t="shared" si="103"/>
        <v/>
      </c>
      <c r="T1077" s="193" t="str">
        <f t="shared" si="104"/>
        <v/>
      </c>
    </row>
    <row r="1078" spans="1:20" ht="14.25" customHeight="1" x14ac:dyDescent="0.3">
      <c r="A1078" s="249">
        <f>KPIs!$AB$3</f>
        <v>46966</v>
      </c>
      <c r="B1078" s="193" t="str">
        <f>KPIs!AB$4</f>
        <v>Compresora</v>
      </c>
      <c r="C1078" t="s">
        <v>71</v>
      </c>
      <c r="D1078" s="193" t="str">
        <f>KPIs!$A$42</f>
        <v>7 · Investigaciones de accidentes: días promedio de cierre · YTD</v>
      </c>
      <c r="E1078" t="s">
        <v>601</v>
      </c>
      <c r="F1078" s="193" t="str">
        <f>IF(ISNUMBER(KPIs!AB42),KPIs!AB42,"")</f>
        <v/>
      </c>
      <c r="G1078" s="251">
        <f>IF(ISNUMBER(KPIs!$C$42),KPIs!$C$42,"")</f>
        <v>20</v>
      </c>
      <c r="H1078" s="193" t="str">
        <f>IFERROR(INDEX(_TARGETS!$E$2:$E$17,MATCH($C1078,_TARGETS!$A$2:$A$17,0))&amp;"","")</f>
        <v>≤</v>
      </c>
      <c r="I1078" s="193" t="str">
        <f t="shared" si="100"/>
        <v/>
      </c>
      <c r="J1078" s="193" t="str">
        <f t="shared" si="101"/>
        <v>YTD</v>
      </c>
      <c r="K1078" s="193">
        <f>SUMIFS(Datos!$D$31:$AL$31,Datos!$D$3:$AL$3,"&gt;="&amp;DATE(YEAR(Datos!AB$3),1,1),Datos!$D$3:$AL$3,"&lt;="&amp;Datos!AB$3)</f>
        <v>0</v>
      </c>
      <c r="L1078" s="193">
        <f>SUMIFS(Datos!$D$30:$AL$30,Datos!$D$3:$AL$3,"&gt;="&amp;DATE(YEAR(Datos!AB$3),1,1),Datos!$D$3:$AL$3,"&lt;="&amp;Datos!AB$3)</f>
        <v>0</v>
      </c>
      <c r="M1078" s="193">
        <f>INDEX(_TARGETS!$J$2:$J$17,MATCH($C1078,_TARGETS!$A$2:$A$17,0))</f>
        <v>1</v>
      </c>
      <c r="N1078" s="193" t="str">
        <f>INDEX(_TARGETS!$D$2:$D$17,MATCH($C1078,_TARGETS!$A$2:$A$17,0))</f>
        <v>días</v>
      </c>
      <c r="O1078" s="193" t="str">
        <f>IF(NOT(ISNUMBER(F1078)),IF(SUMPRODUCT(($C$2:$C$1300=C1078)*($J$2:$J$1300="Monthly")*($A$2:$A$1300&lt;=A1078)*(YEAR($A$2:$A$1300)=YEAR(A1078))*ISNUMBER($K$2:$K$1300)*ISNUMBER($L$2:$L$1300)*($L$2:$L$1300=0)*($K$2:$K$1300&gt;0))&gt;0,"INCOMPLETE","MISSING"),O512)</f>
        <v>MISSING</v>
      </c>
      <c r="P1078" s="193" t="str">
        <f>INDEX(_TARGETS!$K$2:$K$17,MATCH($C1078,_TARGETS!$A$2:$A$17,0))</f>
        <v>OPS (carga manual en Datos)</v>
      </c>
      <c r="Q1078" s="193" t="str">
        <f t="shared" si="102"/>
        <v>202808|INV|YTD</v>
      </c>
      <c r="R1078" s="193" t="str">
        <f>INDEX(_TARGETS!$H$2:$H$17,MATCH($C1078,_TARGETS!$A$2:$A$17,0))</f>
        <v>Definida</v>
      </c>
      <c r="S1078" s="193" t="str">
        <f t="shared" si="103"/>
        <v/>
      </c>
      <c r="T1078" s="193" t="str">
        <f t="shared" si="104"/>
        <v/>
      </c>
    </row>
    <row r="1079" spans="1:20" ht="14.25" customHeight="1" x14ac:dyDescent="0.3">
      <c r="A1079" s="249">
        <f>KPIs!$AB$3</f>
        <v>46966</v>
      </c>
      <c r="B1079" s="193" t="str">
        <f>KPIs!AB$4</f>
        <v>Compresora</v>
      </c>
      <c r="C1079" t="s">
        <v>76</v>
      </c>
      <c r="D1079" s="193" t="str">
        <f>KPIs!$A$43</f>
        <v>8 · % de capacitación en seguridad · YTD</v>
      </c>
      <c r="E1079" t="s">
        <v>601</v>
      </c>
      <c r="F1079" s="193" t="str">
        <f>IF(ISNUMBER(KPIs!AB43),KPIs!AB43,"")</f>
        <v/>
      </c>
      <c r="G1079" s="252">
        <f>IF(ISNUMBER(KPIs!$C$43),KPIs!$C$43,"")</f>
        <v>0.01</v>
      </c>
      <c r="H1079" s="193" t="str">
        <f>IFERROR(INDEX(_TARGETS!$E$2:$E$17,MATCH($C1079,_TARGETS!$A$2:$A$17,0))&amp;"","")</f>
        <v>≥</v>
      </c>
      <c r="I1079" s="193" t="str">
        <f t="shared" si="100"/>
        <v/>
      </c>
      <c r="J1079" s="193" t="str">
        <f t="shared" si="101"/>
        <v>YTD</v>
      </c>
      <c r="K1079" s="193">
        <f>SUMIFS(Datos!$D$18:$AL$18,Datos!$D$3:$AL$3,"&gt;="&amp;DATE(YEAR(Datos!AB$3),1,1),Datos!$D$3:$AL$3,"&lt;="&amp;Datos!AB$3)</f>
        <v>0</v>
      </c>
      <c r="L1079" s="193">
        <f>SUMIFS(Datos!$D$14:$AL$14,Datos!$D$3:$AL$3,"&gt;="&amp;DATE(YEAR(Datos!AB$3),1,1),Datos!$D$3:$AL$3,"&lt;="&amp;Datos!AB$3)</f>
        <v>0</v>
      </c>
      <c r="M1079" s="193">
        <f>INDEX(_TARGETS!$J$2:$J$17,MATCH($C1079,_TARGETS!$A$2:$A$17,0))</f>
        <v>1</v>
      </c>
      <c r="N1079" s="193" t="str">
        <f>INDEX(_TARGETS!$D$2:$D$17,MATCH($C1079,_TARGETS!$A$2:$A$17,0))</f>
        <v>% (fracción)</v>
      </c>
      <c r="O1079" s="193" t="str">
        <f>IF(NOT(ISNUMBER(F1079)),IF(SUMPRODUCT(($C$2:$C$1300=C1079)*($J$2:$J$1300="Monthly")*($A$2:$A$1300&lt;=A1079)*(YEAR($A$2:$A$1300)=YEAR(A1079))*ISNUMBER($K$2:$K$1300)*ISNUMBER($L$2:$L$1300)*($L$2:$L$1300=0)*($K$2:$K$1300&gt;0))&gt;0,"INCOMPLETE","MISSING"),O513)</f>
        <v>MISSING</v>
      </c>
      <c r="P1079" s="193" t="str">
        <f>INDEX(_TARGETS!$K$2:$K$17,MATCH($C1079,_TARGETS!$A$2:$A$17,0))</f>
        <v>OPS (carga manual en Datos)</v>
      </c>
      <c r="Q1079" s="193" t="str">
        <f t="shared" si="102"/>
        <v>202808|HCS|YTD</v>
      </c>
      <c r="R1079" s="193" t="str">
        <f>INDEX(_TARGETS!$H$2:$H$17,MATCH($C1079,_TARGETS!$A$2:$A$17,0))</f>
        <v>Definida</v>
      </c>
      <c r="S1079" s="193" t="str">
        <f t="shared" si="103"/>
        <v/>
      </c>
      <c r="T1079" s="193" t="str">
        <f t="shared" si="104"/>
        <v/>
      </c>
    </row>
    <row r="1080" spans="1:20" ht="14.25" customHeight="1" x14ac:dyDescent="0.3">
      <c r="A1080" s="249">
        <f>KPIs!$AB$3</f>
        <v>46966</v>
      </c>
      <c r="B1080" s="193" t="str">
        <f>KPIs!AB$4</f>
        <v>Compresora</v>
      </c>
      <c r="C1080" t="s">
        <v>83</v>
      </c>
      <c r="D1080" s="193" t="str">
        <f>KPIs!$A$44</f>
        <v>10 · Cumplimiento de simulacros (emergencia y operativos) · YTD</v>
      </c>
      <c r="E1080" t="s">
        <v>601</v>
      </c>
      <c r="F1080" s="193" t="str">
        <f>IF(ISNUMBER(KPIs!AB44),KPIs!AB44,"")</f>
        <v/>
      </c>
      <c r="G1080" s="253">
        <f>IF(ISNUMBER(KPIs!$C$44),KPIs!$C$44,"")</f>
        <v>1</v>
      </c>
      <c r="H1080" s="193" t="str">
        <f>IFERROR(INDEX(_TARGETS!$E$2:$E$17,MATCH($C1080,_TARGETS!$A$2:$A$17,0))&amp;"","")</f>
        <v>≥</v>
      </c>
      <c r="I1080" s="193" t="str">
        <f t="shared" si="100"/>
        <v/>
      </c>
      <c r="J1080" s="193" t="str">
        <f t="shared" si="101"/>
        <v>YTD</v>
      </c>
      <c r="K1080" s="193">
        <f>SUMIFS(Datos!$D$20:$AL$20,Datos!$D$3:$AL$3,"&gt;="&amp;DATE(YEAR(Datos!AB$3),1,1),Datos!$D$3:$AL$3,"&lt;="&amp;Datos!AB$3)</f>
        <v>0</v>
      </c>
      <c r="L1080" s="193">
        <f>SUMIFS(Datos!$D$21:$AL$21,Datos!$D$3:$AL$3,"&gt;="&amp;DATE(YEAR(Datos!AB$3),1,1),Datos!$D$3:$AL$3,"&lt;="&amp;Datos!AB$3)</f>
        <v>0</v>
      </c>
      <c r="M1080" s="193">
        <f>INDEX(_TARGETS!$J$2:$J$17,MATCH($C1080,_TARGETS!$A$2:$A$17,0))</f>
        <v>1</v>
      </c>
      <c r="N1080" s="193" t="str">
        <f>INDEX(_TARGETS!$D$2:$D$17,MATCH($C1080,_TARGETS!$A$2:$A$17,0))</f>
        <v>% (fracción)</v>
      </c>
      <c r="O1080" s="193" t="str">
        <f>IF(NOT(ISNUMBER(F1080)),IF(SUMPRODUCT(($C$2:$C$1300=C1080)*($J$2:$J$1300="Monthly")*($A$2:$A$1300&lt;=A1080)*(YEAR($A$2:$A$1300)=YEAR(A1080))*ISNUMBER($K$2:$K$1300)*ISNUMBER($L$2:$L$1300)*($L$2:$L$1300=0)*($K$2:$K$1300&gt;0))&gt;0,"INCOMPLETE","MISSING"),O515)</f>
        <v>MISSING</v>
      </c>
      <c r="P1080" s="193" t="str">
        <f>INDEX(_TARGETS!$K$2:$K$17,MATCH($C1080,_TARGETS!$A$2:$A$17,0))</f>
        <v>OPS (carga manual en Datos)</v>
      </c>
      <c r="Q1080" s="193" t="str">
        <f t="shared" si="102"/>
        <v>202808|CPSE|YTD</v>
      </c>
      <c r="R1080" s="193" t="str">
        <f>INDEX(_TARGETS!$H$2:$H$17,MATCH($C1080,_TARGETS!$A$2:$A$17,0))</f>
        <v>Definida</v>
      </c>
      <c r="S1080" s="193" t="str">
        <f t="shared" si="103"/>
        <v/>
      </c>
      <c r="T1080" s="193" t="str">
        <f t="shared" si="104"/>
        <v/>
      </c>
    </row>
    <row r="1081" spans="1:20" ht="14.25" customHeight="1" x14ac:dyDescent="0.3">
      <c r="A1081" s="249">
        <f>KPIs!$AB$3</f>
        <v>46966</v>
      </c>
      <c r="B1081" s="193" t="str">
        <f>KPIs!AB$4</f>
        <v>Compresora</v>
      </c>
      <c r="C1081" t="s">
        <v>85</v>
      </c>
      <c r="D1081" s="193" t="str">
        <f>KPIs!$A$45</f>
        <v>10b · Cumplimiento de acciones de mejora de simulacros · YTD</v>
      </c>
      <c r="E1081" t="s">
        <v>601</v>
      </c>
      <c r="F1081" s="193" t="str">
        <f>IF(ISNUMBER(KPIs!AB45),KPIs!AB45,"")</f>
        <v/>
      </c>
      <c r="G1081" s="254" t="str">
        <f>IF(ISNUMBER(KPIs!$C$45),KPIs!$C$45,"")</f>
        <v/>
      </c>
      <c r="H1081" s="193" t="str">
        <f>IFERROR(INDEX(_TARGETS!$E$2:$E$17,MATCH($C1081,_TARGETS!$A$2:$A$17,0))&amp;"","")</f>
        <v/>
      </c>
      <c r="I1081" s="193" t="str">
        <f t="shared" si="100"/>
        <v/>
      </c>
      <c r="J1081" s="193" t="str">
        <f t="shared" si="101"/>
        <v>YTD</v>
      </c>
      <c r="K1081" s="193">
        <f>SUMIFS(Datos!$D$23:$AL$23,Datos!$D$3:$AL$3,"&gt;="&amp;DATE(YEAR(Datos!AB$3),1,1),Datos!$D$3:$AL$3,"&lt;="&amp;Datos!AB$3)</f>
        <v>0</v>
      </c>
      <c r="L1081" s="193">
        <f>SUMIFS(Datos!$D$22:$AL$22,Datos!$D$3:$AL$3,"&gt;="&amp;DATE(YEAR(Datos!AB$3),1,1),Datos!$D$3:$AL$3,"&lt;="&amp;Datos!AB$3)</f>
        <v>0</v>
      </c>
      <c r="M1081" s="193">
        <f>INDEX(_TARGETS!$J$2:$J$17,MATCH($C1081,_TARGETS!$A$2:$A$17,0))</f>
        <v>1</v>
      </c>
      <c r="N1081" s="193" t="str">
        <f>INDEX(_TARGETS!$D$2:$D$17,MATCH($C1081,_TARGETS!$A$2:$A$17,0))</f>
        <v>% (fracción)</v>
      </c>
      <c r="O1081" s="193" t="str">
        <f>IF(NOT(ISNUMBER(F1081)),IF(SUMPRODUCT(($C$2:$C$1300=C1081)*($J$2:$J$1300="Monthly")*($A$2:$A$1300&lt;=A1081)*(YEAR($A$2:$A$1300)=YEAR(A1081))*ISNUMBER($K$2:$K$1300)*ISNUMBER($L$2:$L$1300)*($L$2:$L$1300=0)*($K$2:$K$1300&gt;0))&gt;0,"INCOMPLETE","MISSING"),O516)</f>
        <v>MISSING</v>
      </c>
      <c r="P1081" s="193" t="str">
        <f>INDEX(_TARGETS!$K$2:$K$17,MATCH($C1081,_TARGETS!$A$2:$A$17,0))</f>
        <v>OPS (carga manual en Datos)</v>
      </c>
      <c r="Q1081" s="193" t="str">
        <f t="shared" si="102"/>
        <v>202808|CAMS|YTD</v>
      </c>
      <c r="R1081" s="193" t="str">
        <f>INDEX(_TARGETS!$H$2:$H$17,MATCH($C1081,_TARGETS!$A$2:$A$17,0))</f>
        <v>Solo reporte</v>
      </c>
      <c r="S1081" s="193" t="str">
        <f t="shared" si="103"/>
        <v/>
      </c>
      <c r="T1081" s="193" t="str">
        <f t="shared" si="104"/>
        <v/>
      </c>
    </row>
    <row r="1082" spans="1:20" ht="14.25" customHeight="1" x14ac:dyDescent="0.3">
      <c r="A1082" s="249">
        <f>KPIs!$AB$3</f>
        <v>46966</v>
      </c>
      <c r="B1082" s="193" t="str">
        <f>KPIs!AB$4</f>
        <v>Compresora</v>
      </c>
      <c r="C1082" t="s">
        <v>87</v>
      </c>
      <c r="D1082" s="193" t="str">
        <f>KPIs!$A$46</f>
        <v>11 · Cumplimiento de caminatas gerenciales · YTD</v>
      </c>
      <c r="E1082" t="s">
        <v>601</v>
      </c>
      <c r="F1082" s="193" t="str">
        <f>IF(ISNUMBER(KPIs!AB46),KPIs!AB46,"")</f>
        <v/>
      </c>
      <c r="G1082" s="254">
        <f>IF(ISNUMBER(KPIs!$C$46),KPIs!$C$46,"")</f>
        <v>1</v>
      </c>
      <c r="H1082" s="193" t="str">
        <f>IFERROR(INDEX(_TARGETS!$E$2:$E$17,MATCH($C1082,_TARGETS!$A$2:$A$17,0))&amp;"","")</f>
        <v>≥</v>
      </c>
      <c r="I1082" s="193" t="str">
        <f t="shared" si="100"/>
        <v/>
      </c>
      <c r="J1082" s="193" t="str">
        <f t="shared" si="101"/>
        <v>YTD</v>
      </c>
      <c r="K1082" s="193">
        <f>SUMIFS(Datos!$D$24:$AL$24,Datos!$D$3:$AL$3,"&gt;="&amp;DATE(YEAR(Datos!AB$3),1,1),Datos!$D$3:$AL$3,"&lt;="&amp;Datos!AB$3)</f>
        <v>0</v>
      </c>
      <c r="L1082" s="193">
        <f>SUMIFS(Datos!$D$25:$AL$25,Datos!$D$3:$AL$3,"&gt;="&amp;DATE(YEAR(Datos!AB$3),1,1),Datos!$D$3:$AL$3,"&lt;="&amp;Datos!AB$3)</f>
        <v>0</v>
      </c>
      <c r="M1082" s="193">
        <f>INDEX(_TARGETS!$J$2:$J$17,MATCH($C1082,_TARGETS!$A$2:$A$17,0))</f>
        <v>1</v>
      </c>
      <c r="N1082" s="193" t="str">
        <f>INDEX(_TARGETS!$D$2:$D$17,MATCH($C1082,_TARGETS!$A$2:$A$17,0))</f>
        <v>% (fracción)</v>
      </c>
      <c r="O1082" s="193" t="str">
        <f>IF(NOT(ISNUMBER(F1082)),IF(SUMPRODUCT(($C$2:$C$1300=C1082)*($J$2:$J$1300="Monthly")*($A$2:$A$1300&lt;=A1082)*(YEAR($A$2:$A$1300)=YEAR(A1082))*ISNUMBER($K$2:$K$1300)*ISNUMBER($L$2:$L$1300)*($L$2:$L$1300=0)*($K$2:$K$1300&gt;0))&gt;0,"INCOMPLETE","MISSING"),O517)</f>
        <v>MISSING</v>
      </c>
      <c r="P1082" s="193" t="str">
        <f>INDEX(_TARGETS!$K$2:$K$17,MATCH($C1082,_TARGETS!$A$2:$A$17,0))</f>
        <v>OPS (carga manual en Datos)</v>
      </c>
      <c r="Q1082" s="193" t="str">
        <f t="shared" si="102"/>
        <v>202808|ICCS|YTD</v>
      </c>
      <c r="R1082" s="193" t="str">
        <f>INDEX(_TARGETS!$H$2:$H$17,MATCH($C1082,_TARGETS!$A$2:$A$17,0))</f>
        <v>Definida</v>
      </c>
      <c r="S1082" s="193" t="str">
        <f t="shared" si="103"/>
        <v/>
      </c>
      <c r="T1082" s="193" t="str">
        <f t="shared" si="104"/>
        <v/>
      </c>
    </row>
    <row r="1083" spans="1:20" ht="14.25" customHeight="1" x14ac:dyDescent="0.3">
      <c r="A1083" s="249">
        <f>KPIs!$AB$3</f>
        <v>46966</v>
      </c>
      <c r="B1083" s="193" t="str">
        <f>KPIs!AB$4</f>
        <v>Compresora</v>
      </c>
      <c r="C1083" t="s">
        <v>89</v>
      </c>
      <c r="D1083" s="193" t="str">
        <f>KPIs!$A$47</f>
        <v>12 · Cumplimiento de comités y subcomités de seguridad · YTD</v>
      </c>
      <c r="E1083" t="s">
        <v>601</v>
      </c>
      <c r="F1083" s="193" t="str">
        <f>IF(ISNUMBER(KPIs!AB47),KPIs!AB47,"")</f>
        <v/>
      </c>
      <c r="G1083" s="254">
        <f>IF(ISNUMBER(KPIs!$C$47),KPIs!$C$47,"")</f>
        <v>1</v>
      </c>
      <c r="H1083" s="193" t="str">
        <f>IFERROR(INDEX(_TARGETS!$E$2:$E$17,MATCH($C1083,_TARGETS!$A$2:$A$17,0))&amp;"","")</f>
        <v>≥</v>
      </c>
      <c r="I1083" s="193" t="str">
        <f t="shared" si="100"/>
        <v/>
      </c>
      <c r="J1083" s="193" t="str">
        <f t="shared" si="101"/>
        <v>YTD</v>
      </c>
      <c r="K1083" s="193">
        <f>SUMIFS(Datos!$D$26:$AL$26,Datos!$D$3:$AL$3,"&gt;="&amp;DATE(YEAR(Datos!AB$3),1,1),Datos!$D$3:$AL$3,"&lt;="&amp;Datos!AB$3)</f>
        <v>0</v>
      </c>
      <c r="L1083" s="193">
        <f>SUMIFS(Datos!$D$27:$AL$27,Datos!$D$3:$AL$3,"&gt;="&amp;DATE(YEAR(Datos!AB$3),1,1),Datos!$D$3:$AL$3,"&lt;="&amp;Datos!AB$3)</f>
        <v>0</v>
      </c>
      <c r="M1083" s="193">
        <f>INDEX(_TARGETS!$J$2:$J$17,MATCH($C1083,_TARGETS!$A$2:$A$17,0))</f>
        <v>1</v>
      </c>
      <c r="N1083" s="193" t="str">
        <f>INDEX(_TARGETS!$D$2:$D$17,MATCH($C1083,_TARGETS!$A$2:$A$17,0))</f>
        <v>% (fracción)</v>
      </c>
      <c r="O1083" s="193" t="str">
        <f>IF(NOT(ISNUMBER(F1083)),IF(SUMPRODUCT(($C$2:$C$1300=C1083)*($J$2:$J$1300="Monthly")*($A$2:$A$1300&lt;=A1083)*(YEAR($A$2:$A$1300)=YEAR(A1083))*ISNUMBER($K$2:$K$1300)*ISNUMBER($L$2:$L$1300)*($L$2:$L$1300=0)*($K$2:$K$1300&gt;0))&gt;0,"INCOMPLETE","MISSING"),O518)</f>
        <v>MISSING</v>
      </c>
      <c r="P1083" s="193" t="str">
        <f>INDEX(_TARGETS!$K$2:$K$17,MATCH($C1083,_TARGETS!$A$2:$A$17,0))</f>
        <v>OPS (carga manual en Datos)</v>
      </c>
      <c r="Q1083" s="193" t="str">
        <f t="shared" si="102"/>
        <v>202808|CCS|YTD</v>
      </c>
      <c r="R1083" s="193" t="str">
        <f>INDEX(_TARGETS!$H$2:$H$17,MATCH($C1083,_TARGETS!$A$2:$A$17,0))</f>
        <v>Definida</v>
      </c>
      <c r="S1083" s="193" t="str">
        <f t="shared" si="103"/>
        <v/>
      </c>
      <c r="T1083" s="193" t="str">
        <f t="shared" si="104"/>
        <v/>
      </c>
    </row>
    <row r="1084" spans="1:20" ht="14.25" customHeight="1" x14ac:dyDescent="0.3">
      <c r="A1084" s="249">
        <f>KPIs!$AB$3</f>
        <v>46966</v>
      </c>
      <c r="B1084" s="193" t="str">
        <f>KPIs!AB$4</f>
        <v>Compresora</v>
      </c>
      <c r="C1084" t="s">
        <v>91</v>
      </c>
      <c r="D1084" s="193" t="str">
        <f>KPIs!$A$48</f>
        <v>13 · Días promedio para cerrar hallazgos · YTD</v>
      </c>
      <c r="E1084" t="s">
        <v>601</v>
      </c>
      <c r="F1084" s="251" t="str">
        <f>IF(ISNUMBER(KPIs!AB48),KPIs!AB48,"")</f>
        <v/>
      </c>
      <c r="G1084" s="193" t="str">
        <f>IF(ISNUMBER(KPIs!$C$48),KPIs!$C$48,"")</f>
        <v/>
      </c>
      <c r="H1084" s="193" t="str">
        <f>IFERROR(INDEX(_TARGETS!$E$2:$E$17,MATCH($C1084,_TARGETS!$A$2:$A$17,0))&amp;"","")</f>
        <v>≤</v>
      </c>
      <c r="I1084" s="193" t="str">
        <f t="shared" si="100"/>
        <v/>
      </c>
      <c r="J1084" s="193" t="str">
        <f t="shared" si="101"/>
        <v>YTD</v>
      </c>
      <c r="K1084" s="193">
        <f>SUMIFS(Datos!$D$68:$AL$68,Datos!$D$3:$AL$3,"&gt;="&amp;DATE(YEAR(Datos!AB$3),1,1),Datos!$D$3:$AL$3,"&lt;="&amp;Datos!AB$3)</f>
        <v>0</v>
      </c>
      <c r="L1084" s="193">
        <f>SUMIFS(Datos!$D$67:$AL$67,Datos!$D$3:$AL$3,"&gt;="&amp;DATE(YEAR(Datos!AB$3),1,1),Datos!$D$3:$AL$3,"&lt;="&amp;Datos!AB$3)</f>
        <v>0</v>
      </c>
      <c r="M1084" s="193">
        <f>INDEX(_TARGETS!$J$2:$J$17,MATCH($C1084,_TARGETS!$A$2:$A$17,0))</f>
        <v>1</v>
      </c>
      <c r="N1084" s="193" t="str">
        <f>INDEX(_TARGETS!$D$2:$D$17,MATCH($C1084,_TARGETS!$A$2:$A$17,0))</f>
        <v>días</v>
      </c>
      <c r="O1084" s="193" t="str">
        <f>IF(NOT(ISNUMBER(F1084)),IF(SUMPRODUCT(($C$2:$C$1300=C1084)*($J$2:$J$1300="Monthly")*($A$2:$A$1300&lt;=A1084)*(YEAR($A$2:$A$1300)=YEAR(A1084))*ISNUMBER($K$2:$K$1300)*ISNUMBER($L$2:$L$1300)*($L$2:$L$1300=0)*($K$2:$K$1300&gt;0))&gt;0,"INCOMPLETE","MISSING"),O519)</f>
        <v>MISSING</v>
      </c>
      <c r="P1084" s="193" t="str">
        <f>INDEX(_TARGETS!$K$2:$K$17,MATCH($C1084,_TARGETS!$A$2:$A$17,0))</f>
        <v>Plant Findings (hoja Observaciones-SMP)</v>
      </c>
      <c r="Q1084" s="193" t="str">
        <f t="shared" si="102"/>
        <v>202808|DPAS|YTD</v>
      </c>
      <c r="R1084" s="193" t="str">
        <f>INDEX(_TARGETS!$H$2:$H$17,MATCH($C1084,_TARGETS!$A$2:$A$17,0))</f>
        <v>Pendiente (meta 2027)</v>
      </c>
      <c r="S1084" s="193" t="str">
        <f t="shared" si="103"/>
        <v/>
      </c>
      <c r="T1084" s="193" t="str">
        <f t="shared" si="104"/>
        <v/>
      </c>
    </row>
    <row r="1085" spans="1:20" ht="14.25" customHeight="1" x14ac:dyDescent="0.3">
      <c r="A1085" s="249">
        <f>KPIs!$AB$3</f>
        <v>46966</v>
      </c>
      <c r="B1085" s="193" t="str">
        <f>KPIs!AB$4</f>
        <v>Compresora</v>
      </c>
      <c r="C1085" t="s">
        <v>96</v>
      </c>
      <c r="D1085" s="193" t="str">
        <f>KPIs!$A$49</f>
        <v>C1 · % de desvíos detectados de gravedad Alta · YTD</v>
      </c>
      <c r="E1085" t="s">
        <v>601</v>
      </c>
      <c r="F1085" s="193" t="str">
        <f>IF(ISNUMBER(KPIs!AB49),KPIs!AB49,"")</f>
        <v/>
      </c>
      <c r="G1085" s="193" t="str">
        <f>IF(ISNUMBER(KPIs!$C$49),KPIs!$C$49,"")</f>
        <v/>
      </c>
      <c r="H1085" s="193" t="str">
        <f>IFERROR(INDEX(_TARGETS!$E$2:$E$17,MATCH($C1085,_TARGETS!$A$2:$A$17,0))&amp;"","")</f>
        <v/>
      </c>
      <c r="I1085" s="193" t="str">
        <f t="shared" si="100"/>
        <v/>
      </c>
      <c r="J1085" s="193" t="str">
        <f t="shared" si="101"/>
        <v>YTD</v>
      </c>
      <c r="K1085" s="193">
        <f>SUMIFS(Datos!$D$71:$AL$71,Datos!$D$3:$AL$3,"&gt;="&amp;DATE(YEAR(Datos!AB$3),1,1),Datos!$D$3:$AL$3,"&lt;="&amp;Datos!AB$3)</f>
        <v>0</v>
      </c>
      <c r="L1085" s="193">
        <f>SUMIFS(Datos!$D$71:$AL$71,Datos!$D$3:$AL$3,"&gt;="&amp;DATE(YEAR(Datos!AB$3),1,1),Datos!$D$3:$AL$3,"&lt;="&amp;Datos!AB$3)+SUMIFS(Datos!$D$72:$AL$72,Datos!$D$3:$AL$3,"&gt;="&amp;DATE(YEAR(Datos!AB$3),1,1),Datos!$D$3:$AL$3,"&lt;="&amp;Datos!AB$3)+SUMIFS(Datos!$D$73:$AL$73,Datos!$D$3:$AL$3,"&gt;="&amp;DATE(YEAR(Datos!AB$3),1,1),Datos!$D$3:$AL$3,"&lt;="&amp;Datos!AB$3)</f>
        <v>0</v>
      </c>
      <c r="M1085" s="193">
        <f>INDEX(_TARGETS!$J$2:$J$17,MATCH($C1085,_TARGETS!$A$2:$A$17,0))</f>
        <v>1</v>
      </c>
      <c r="N1085" s="193" t="str">
        <f>INDEX(_TARGETS!$D$2:$D$17,MATCH($C1085,_TARGETS!$A$2:$A$17,0))</f>
        <v>% (fracción)</v>
      </c>
      <c r="O1085" s="193" t="str">
        <f t="shared" ref="O1085:O1091" si="109">IF(NOT(ISNUMBER(F1085)),IF(SUMPRODUCT(($C$2:$C$1300=C1085)*($J$2:$J$1300="Monthly")*($A$2:$A$1300&lt;=A1085)*(YEAR($A$2:$A$1300)=YEAR(A1085))*ISNUMBER($K$2:$K$1300)*ISNUMBER($L$2:$L$1300)*($L$2:$L$1300=0)*($K$2:$K$1300&gt;0))&gt;0,"INCOMPLETE","MISSING"),O525)</f>
        <v>MISSING</v>
      </c>
      <c r="P1085" s="193" t="str">
        <f>INDEX(_TARGETS!$K$2:$K$17,MATCH($C1085,_TARGETS!$A$2:$A$17,0))</f>
        <v>Plant Findings (hoja Observaciones-SMP)</v>
      </c>
      <c r="Q1085" s="193" t="str">
        <f t="shared" si="102"/>
        <v>202808|HAL_ALTA_PCT|YTD</v>
      </c>
      <c r="R1085" s="193" t="str">
        <f>INDEX(_TARGETS!$H$2:$H$17,MATCH($C1085,_TARGETS!$A$2:$A$17,0))</f>
        <v>Solo reporte</v>
      </c>
      <c r="S1085" s="193" t="str">
        <f t="shared" si="103"/>
        <v/>
      </c>
      <c r="T1085" s="193" t="str">
        <f t="shared" si="104"/>
        <v/>
      </c>
    </row>
    <row r="1086" spans="1:20" ht="14.25" customHeight="1" x14ac:dyDescent="0.3">
      <c r="A1086" s="249">
        <f>KPIs!$AB$3</f>
        <v>46966</v>
      </c>
      <c r="B1086" s="193" t="str">
        <f>KPIs!AB$4</f>
        <v>Compresora</v>
      </c>
      <c r="C1086" t="s">
        <v>98</v>
      </c>
      <c r="D1086" s="193" t="str">
        <f>KPIs!$A$50</f>
        <v>C2 · Detenciones de tareas aplicadas · YTD</v>
      </c>
      <c r="E1086" t="s">
        <v>601</v>
      </c>
      <c r="F1086" s="193" t="str">
        <f>IF(ISNUMBER(KPIs!AB50),KPIs!AB50,"")</f>
        <v/>
      </c>
      <c r="G1086" s="193" t="str">
        <f>IF(ISNUMBER(KPIs!$C$50),KPIs!$C$50,"")</f>
        <v/>
      </c>
      <c r="H1086" s="193" t="str">
        <f>IFERROR(INDEX(_TARGETS!$E$2:$E$17,MATCH($C1086,_TARGETS!$A$2:$A$17,0))&amp;"","")</f>
        <v/>
      </c>
      <c r="I1086" s="193" t="str">
        <f t="shared" si="100"/>
        <v/>
      </c>
      <c r="J1086" s="193" t="str">
        <f t="shared" si="101"/>
        <v>YTD</v>
      </c>
      <c r="K1086" s="193">
        <f>SUMIFS(Datos!$D$75:$AL$75,Datos!$D$3:$AL$3,"&gt;="&amp;DATE(YEAR(Datos!AB$3),1,1),Datos!$D$3:$AL$3,"&lt;="&amp;Datos!AB$3)</f>
        <v>0</v>
      </c>
      <c r="M1086" s="193">
        <f>INDEX(_TARGETS!$J$2:$J$17,MATCH($C1086,_TARGETS!$A$2:$A$17,0))</f>
        <v>1</v>
      </c>
      <c r="N1086" s="193" t="str">
        <f>INDEX(_TARGETS!$D$2:$D$17,MATCH($C1086,_TARGETS!$A$2:$A$17,0))</f>
        <v>u</v>
      </c>
      <c r="O1086" s="193" t="str">
        <f t="shared" si="109"/>
        <v>MISSING</v>
      </c>
      <c r="P1086" s="193" t="str">
        <f>INDEX(_TARGETS!$K$2:$K$17,MATCH($C1086,_TARGETS!$A$2:$A$17,0))</f>
        <v>Plant Findings (hoja Observaciones-SMP)</v>
      </c>
      <c r="Q1086" s="193" t="str">
        <f t="shared" si="102"/>
        <v>202808|DET|YTD</v>
      </c>
      <c r="R1086" s="193" t="str">
        <f>INDEX(_TARGETS!$H$2:$H$17,MATCH($C1086,_TARGETS!$A$2:$A$17,0))</f>
        <v>Solo reporte</v>
      </c>
      <c r="S1086" s="193">
        <f t="shared" si="103"/>
        <v>0</v>
      </c>
      <c r="T1086" s="193" t="str">
        <f t="shared" si="104"/>
        <v/>
      </c>
    </row>
    <row r="1087" spans="1:20" ht="14.25" customHeight="1" x14ac:dyDescent="0.3">
      <c r="A1087" s="249">
        <f>KPIs!$AC$3</f>
        <v>46997</v>
      </c>
      <c r="B1087" s="193" t="str">
        <f>KPIs!AC$4</f>
        <v>Compresora</v>
      </c>
      <c r="C1087" t="s">
        <v>39</v>
      </c>
      <c r="D1087" s="193" t="str">
        <f>KPIs!$A$37</f>
        <v>1 · Frecuencia de casos con días perdidos · YTD</v>
      </c>
      <c r="E1087" t="s">
        <v>601</v>
      </c>
      <c r="F1087" s="193" t="str">
        <f>IF(ISNUMBER(KPIs!AC37),KPIs!AC37,"")</f>
        <v/>
      </c>
      <c r="G1087" s="250">
        <f>IF(ISNUMBER(KPIs!$C$37),KPIs!$C$37,"")</f>
        <v>0</v>
      </c>
      <c r="H1087" s="193" t="str">
        <f>IFERROR(INDEX(_TARGETS!$E$2:$E$17,MATCH($C1087,_TARGETS!$A$2:$A$17,0))&amp;"","")</f>
        <v>≤</v>
      </c>
      <c r="I1087" s="193" t="str">
        <f t="shared" si="100"/>
        <v/>
      </c>
      <c r="J1087" s="193" t="str">
        <f t="shared" si="101"/>
        <v>YTD</v>
      </c>
      <c r="K1087" s="193">
        <f>SUMIFS(Datos!$D$33:$AL$33,Datos!$D$3:$AL$3,"&gt;="&amp;DATE(YEAR(Datos!AC$3),1,1),Datos!$D$3:$AL$3,"&lt;="&amp;Datos!AC$3)</f>
        <v>0</v>
      </c>
      <c r="L1087" s="193">
        <f>SUMIFS(Datos!$D$14:$AL$14,Datos!$D$3:$AL$3,"&gt;="&amp;DATE(YEAR(Datos!AC$3),1,1),Datos!$D$3:$AL$3,"&lt;="&amp;Datos!AC$3)</f>
        <v>0</v>
      </c>
      <c r="M1087" s="193">
        <f>INDEX(_TARGETS!$J$2:$J$17,MATCH($C1087,_TARGETS!$A$2:$A$17,0))</f>
        <v>1000000</v>
      </c>
      <c r="N1087" s="193" t="str">
        <f>INDEX(_TARGETS!$D$2:$D$17,MATCH($C1087,_TARGETS!$A$2:$A$17,0))</f>
        <v>casos / 10^6 HH</v>
      </c>
      <c r="O1087" s="193" t="str">
        <f t="shared" si="109"/>
        <v>MISSING</v>
      </c>
      <c r="P1087" s="193" t="str">
        <f>INDEX(_TARGETS!$K$2:$K$17,MATCH($C1087,_TARGETS!$A$2:$A$17,0))</f>
        <v>OPS (carga manual en Datos)</v>
      </c>
      <c r="Q1087" s="193" t="str">
        <f t="shared" si="102"/>
        <v>202809|DAFWCF|YTD</v>
      </c>
      <c r="R1087" s="193" t="str">
        <f>INDEX(_TARGETS!$H$2:$H$17,MATCH($C1087,_TARGETS!$A$2:$A$17,0))</f>
        <v>Definida</v>
      </c>
      <c r="S1087" s="193" t="str">
        <f t="shared" si="103"/>
        <v/>
      </c>
      <c r="T1087" s="193" t="str">
        <f t="shared" si="104"/>
        <v/>
      </c>
    </row>
    <row r="1088" spans="1:20" ht="14.25" customHeight="1" x14ac:dyDescent="0.3">
      <c r="A1088" s="249">
        <f>KPIs!$AC$3</f>
        <v>46997</v>
      </c>
      <c r="B1088" s="193" t="str">
        <f>KPIs!AC$4</f>
        <v>Compresora</v>
      </c>
      <c r="C1088" t="s">
        <v>49</v>
      </c>
      <c r="D1088" s="193" t="str">
        <f>KPIs!$A$38</f>
        <v>2 · Frecuencia de casos registrables · YTD</v>
      </c>
      <c r="E1088" t="s">
        <v>601</v>
      </c>
      <c r="F1088" s="193" t="str">
        <f>IF(ISNUMBER(KPIs!AC38),KPIs!AC38,"")</f>
        <v/>
      </c>
      <c r="G1088" s="250">
        <f>IF(ISNUMBER(KPIs!$C$38),KPIs!$C$38,"")</f>
        <v>2.35</v>
      </c>
      <c r="H1088" s="193" t="str">
        <f>IFERROR(INDEX(_TARGETS!$E$2:$E$17,MATCH($C1088,_TARGETS!$A$2:$A$17,0))&amp;"","")</f>
        <v>≤</v>
      </c>
      <c r="I1088" s="193" t="str">
        <f t="shared" si="100"/>
        <v/>
      </c>
      <c r="J1088" s="193" t="str">
        <f t="shared" si="101"/>
        <v>YTD</v>
      </c>
      <c r="K1088" s="193">
        <f>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f>
        <v>0</v>
      </c>
      <c r="L1088" s="193">
        <f>SUMIFS(Datos!$D$14:$AL$14,Datos!$D$3:$AL$3,"&gt;="&amp;DATE(YEAR(Datos!AC$3),1,1),Datos!$D$3:$AL$3,"&lt;="&amp;Datos!AC$3)</f>
        <v>0</v>
      </c>
      <c r="M1088" s="193">
        <f>INDEX(_TARGETS!$J$2:$J$17,MATCH($C1088,_TARGETS!$A$2:$A$17,0))</f>
        <v>1000000</v>
      </c>
      <c r="N1088" s="193" t="str">
        <f>INDEX(_TARGETS!$D$2:$D$17,MATCH($C1088,_TARGETS!$A$2:$A$17,0))</f>
        <v>casos / 10^6 HH</v>
      </c>
      <c r="O1088" s="193" t="str">
        <f t="shared" si="109"/>
        <v>MISSING</v>
      </c>
      <c r="P1088" s="193" t="str">
        <f>INDEX(_TARGETS!$K$2:$K$17,MATCH($C1088,_TARGETS!$A$2:$A$17,0))</f>
        <v>OPS (carga manual en Datos)</v>
      </c>
      <c r="Q1088" s="193" t="str">
        <f t="shared" si="102"/>
        <v>202809|TRICF|YTD</v>
      </c>
      <c r="R1088" s="193" t="str">
        <f>INDEX(_TARGETS!$H$2:$H$17,MATCH($C1088,_TARGETS!$A$2:$A$17,0))</f>
        <v>Definida</v>
      </c>
      <c r="S1088" s="193" t="str">
        <f t="shared" si="103"/>
        <v/>
      </c>
      <c r="T1088" s="193" t="str">
        <f t="shared" si="104"/>
        <v/>
      </c>
    </row>
    <row r="1089" spans="1:20" ht="14.25" customHeight="1" x14ac:dyDescent="0.3">
      <c r="A1089" s="249">
        <f>KPIs!$AC$3</f>
        <v>46997</v>
      </c>
      <c r="B1089" s="193" t="str">
        <f>KPIs!AC$4</f>
        <v>Compresora</v>
      </c>
      <c r="C1089" t="s">
        <v>51</v>
      </c>
      <c r="D1089" s="193" t="str">
        <f>KPIs!$A$39</f>
        <v>3 · Casos de primeros auxilios · YTD</v>
      </c>
      <c r="E1089" t="s">
        <v>601</v>
      </c>
      <c r="F1089" s="193" t="str">
        <f>IF(ISNUMBER(KPIs!AC39),KPIs!AC39,"")</f>
        <v/>
      </c>
      <c r="G1089" s="193" t="str">
        <f>IF(ISNUMBER(KPIs!$C$39),KPIs!$C$39,"")</f>
        <v/>
      </c>
      <c r="H1089" s="193" t="str">
        <f>IFERROR(INDEX(_TARGETS!$E$2:$E$17,MATCH($C1089,_TARGETS!$A$2:$A$17,0))&amp;"","")</f>
        <v/>
      </c>
      <c r="I1089" s="193" t="str">
        <f t="shared" si="100"/>
        <v/>
      </c>
      <c r="J1089" s="193" t="str">
        <f t="shared" si="101"/>
        <v>YTD</v>
      </c>
      <c r="K1089" s="193">
        <f>SUMIFS(Datos!$D$37:$AL$37,Datos!$D$3:$AL$3,"&gt;="&amp;DATE(YEAR(Datos!AC$3),1,1),Datos!$D$3:$AL$3,"&lt;="&amp;Datos!AC$3)</f>
        <v>0</v>
      </c>
      <c r="M1089" s="193">
        <f>INDEX(_TARGETS!$J$2:$J$17,MATCH($C1089,_TARGETS!$A$2:$A$17,0))</f>
        <v>1</v>
      </c>
      <c r="N1089" s="193" t="str">
        <f>INDEX(_TARGETS!$D$2:$D$17,MATCH($C1089,_TARGETS!$A$2:$A$17,0))</f>
        <v>casos</v>
      </c>
      <c r="O1089" s="193" t="str">
        <f t="shared" si="109"/>
        <v>MISSING</v>
      </c>
      <c r="P1089" s="193" t="str">
        <f>INDEX(_TARGETS!$K$2:$K$17,MATCH($C1089,_TARGETS!$A$2:$A$17,0))</f>
        <v>OPS (carga manual en Datos)</v>
      </c>
      <c r="Q1089" s="193" t="str">
        <f t="shared" si="102"/>
        <v>202809|FAC|YTD</v>
      </c>
      <c r="R1089" s="193" t="str">
        <f>INDEX(_TARGETS!$H$2:$H$17,MATCH($C1089,_TARGETS!$A$2:$A$17,0))</f>
        <v>Solo reporte</v>
      </c>
      <c r="S1089" s="193">
        <f t="shared" si="103"/>
        <v>0</v>
      </c>
      <c r="T1089" s="193" t="str">
        <f t="shared" si="104"/>
        <v/>
      </c>
    </row>
    <row r="1090" spans="1:20" ht="14.25" customHeight="1" x14ac:dyDescent="0.3">
      <c r="A1090" s="249">
        <f>KPIs!$AC$3</f>
        <v>46997</v>
      </c>
      <c r="B1090" s="193" t="str">
        <f>KPIs!AC$4</f>
        <v>Compresora</v>
      </c>
      <c r="C1090" t="s">
        <v>57</v>
      </c>
      <c r="D1090" s="193" t="str">
        <f>KPIs!$A$40</f>
        <v>4 · Accidentes vehiculares severos por millón de km · YTD</v>
      </c>
      <c r="E1090" t="s">
        <v>601</v>
      </c>
      <c r="F1090" s="193" t="str">
        <f>IF(ISNUMBER(KPIs!AC40),KPIs!AC40,"")</f>
        <v/>
      </c>
      <c r="G1090" s="193" t="str">
        <f>IF(ISNUMBER(KPIs!$C$40),KPIs!$C$40,"")</f>
        <v/>
      </c>
      <c r="H1090" s="193" t="str">
        <f>IFERROR(INDEX(_TARGETS!$E$2:$E$17,MATCH($C1090,_TARGETS!$A$2:$A$17,0))&amp;"","")</f>
        <v/>
      </c>
      <c r="I1090" s="193" t="str">
        <f t="shared" ref="I1090:I1153" si="110">IF(OR(H1090="",F1090="",G1090=""),"",IF(IF(H1090="≤",F1090&lt;=G1090,F1090&gt;=G1090),"Sí","No"))</f>
        <v/>
      </c>
      <c r="J1090" s="193" t="str">
        <f t="shared" ref="J1090:J1153" si="111">IF(E1090="Mensual","Monthly",IF(E1090="Acumulado","Cumulative",E1090))</f>
        <v>YTD</v>
      </c>
      <c r="K1090" s="193">
        <f>SUMIFS(Datos!$D$39:$AL$39,Datos!$D$3:$AL$3,"&gt;="&amp;DATE(YEAR(Datos!AC$3),1,1),Datos!$D$3:$AL$3,"&lt;="&amp;Datos!AC$3)+SUMIFS(Datos!$D$40:$AL$40,Datos!$D$3:$AL$3,"&gt;="&amp;DATE(YEAR(Datos!AC$3),1,1),Datos!$D$3:$AL$3,"&lt;="&amp;Datos!AC$3)+SUMIFS(Datos!$D$41:$AL$41,Datos!$D$3:$AL$3,"&gt;="&amp;DATE(YEAR(Datos!AC$3),1,1),Datos!$D$3:$AL$3,"&lt;="&amp;Datos!AC$3)</f>
        <v>0</v>
      </c>
      <c r="L1090" s="193">
        <f>SUMIFS(Datos!$D$47:$AL$47,Datos!$D$3:$AL$3,"&gt;="&amp;DATE(YEAR(Datos!AC$3),1,1),Datos!$D$3:$AL$3,"&lt;="&amp;Datos!AC$3)</f>
        <v>0</v>
      </c>
      <c r="M1090" s="193">
        <f>INDEX(_TARGETS!$J$2:$J$17,MATCH($C1090,_TARGETS!$A$2:$A$17,0))</f>
        <v>1000000</v>
      </c>
      <c r="N1090" s="193" t="str">
        <f>INDEX(_TARGETS!$D$2:$D$17,MATCH($C1090,_TARGETS!$A$2:$A$17,0))</f>
        <v>eventos / 10^6 km</v>
      </c>
      <c r="O1090" s="193" t="str">
        <f t="shared" si="109"/>
        <v>MISSING</v>
      </c>
      <c r="P1090" s="193" t="str">
        <f>INDEX(_TARGETS!$K$2:$K$17,MATCH($C1090,_TARGETS!$A$2:$A$17,0))</f>
        <v>OPS (eventos) + Full Control GPS (km) - carga manual en Datos</v>
      </c>
      <c r="Q1090" s="193" t="str">
        <f t="shared" ref="Q1090:Q1153" si="112">YEAR(A1090)*100+MONTH(A1090)&amp;"|"&amp;C1090&amp;"|"&amp;J1090</f>
        <v>202809|SVCR|YTD</v>
      </c>
      <c r="R1090" s="193" t="str">
        <f>INDEX(_TARGETS!$H$2:$H$17,MATCH($C1090,_TARGETS!$A$2:$A$17,0))</f>
        <v>Solo reporte</v>
      </c>
      <c r="S1090" s="193" t="str">
        <f t="shared" ref="S1090:S1153" si="113">IF(AND(ISNUMBER(K1090),ISNUMBER(L1090)),IF(L1090=0,"",K1090*M1090/L1090),IF(ISNUMBER(K1090),K1090*M1090,""))</f>
        <v/>
      </c>
      <c r="T1090" s="193" t="str">
        <f t="shared" ref="T1090:T1153" si="114">IF(AND(ISNUMBER(F1090),ISNUMBER(S1090)),ABS(F1090-S1090),"")</f>
        <v/>
      </c>
    </row>
    <row r="1091" spans="1:20" ht="14.25" customHeight="1" x14ac:dyDescent="0.3">
      <c r="A1091" s="249">
        <f>KPIs!$AC$3</f>
        <v>46997</v>
      </c>
      <c r="B1091" s="193" t="str">
        <f>KPIs!AC$4</f>
        <v>Compresora</v>
      </c>
      <c r="C1091" t="s">
        <v>61</v>
      </c>
      <c r="D1091" s="193" t="str">
        <f>KPIs!$A$41</f>
        <v>5 · Accidentes vehiculares totales por millón de km · YTD</v>
      </c>
      <c r="E1091" t="s">
        <v>601</v>
      </c>
      <c r="F1091" s="193" t="str">
        <f>IF(ISNUMBER(KPIs!AC41),KPIs!AC41,"")</f>
        <v/>
      </c>
      <c r="G1091" s="250">
        <f>IF(ISNUMBER(KPIs!$C$41),KPIs!$C$41,"")</f>
        <v>0.79</v>
      </c>
      <c r="H1091" s="193" t="str">
        <f>IFERROR(INDEX(_TARGETS!$E$2:$E$17,MATCH($C1091,_TARGETS!$A$2:$A$17,0))&amp;"","")</f>
        <v>≤</v>
      </c>
      <c r="I1091" s="193" t="str">
        <f t="shared" si="110"/>
        <v/>
      </c>
      <c r="J1091" s="193" t="str">
        <f t="shared" si="111"/>
        <v>YTD</v>
      </c>
      <c r="K1091" s="193">
        <f>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f>
        <v>0</v>
      </c>
      <c r="L1091" s="193">
        <f>SUMIFS(Datos!$D$47:$AL$47,Datos!$D$3:$AL$3,"&gt;="&amp;DATE(YEAR(Datos!AC$3),1,1),Datos!$D$3:$AL$3,"&lt;="&amp;Datos!AC$3)</f>
        <v>0</v>
      </c>
      <c r="M1091" s="193">
        <f>INDEX(_TARGETS!$J$2:$J$17,MATCH($C1091,_TARGETS!$A$2:$A$17,0))</f>
        <v>1000000</v>
      </c>
      <c r="N1091" s="193" t="str">
        <f>INDEX(_TARGETS!$D$2:$D$17,MATCH($C1091,_TARGETS!$A$2:$A$17,0))</f>
        <v>eventos / 10^6 km</v>
      </c>
      <c r="O1091" s="193" t="str">
        <f t="shared" si="109"/>
        <v>MISSING</v>
      </c>
      <c r="P1091" s="193" t="str">
        <f>INDEX(_TARGETS!$K$2:$K$17,MATCH($C1091,_TARGETS!$A$2:$A$17,0))</f>
        <v>OPS (eventos) + Full Control GPS (km) - carga manual en Datos</v>
      </c>
      <c r="Q1091" s="193" t="str">
        <f t="shared" si="112"/>
        <v>202809|TVCR|YTD</v>
      </c>
      <c r="R1091" s="193" t="str">
        <f>INDEX(_TARGETS!$H$2:$H$17,MATCH($C1091,_TARGETS!$A$2:$A$17,0))</f>
        <v>Definida</v>
      </c>
      <c r="S1091" s="193" t="str">
        <f t="shared" si="113"/>
        <v/>
      </c>
      <c r="T1091" s="193" t="str">
        <f t="shared" si="114"/>
        <v/>
      </c>
    </row>
    <row r="1092" spans="1:20" ht="14.25" customHeight="1" x14ac:dyDescent="0.3">
      <c r="A1092" s="249">
        <f>KPIs!$AC$3</f>
        <v>46997</v>
      </c>
      <c r="B1092" s="193" t="str">
        <f>KPIs!AC$4</f>
        <v>Compresora</v>
      </c>
      <c r="C1092" t="s">
        <v>71</v>
      </c>
      <c r="D1092" s="193" t="str">
        <f>KPIs!$A$42</f>
        <v>7 · Investigaciones de accidentes: días promedio de cierre · YTD</v>
      </c>
      <c r="E1092" t="s">
        <v>601</v>
      </c>
      <c r="F1092" s="193" t="str">
        <f>IF(ISNUMBER(KPIs!AC42),KPIs!AC42,"")</f>
        <v/>
      </c>
      <c r="G1092" s="251">
        <f>IF(ISNUMBER(KPIs!$C$42),KPIs!$C$42,"")</f>
        <v>20</v>
      </c>
      <c r="H1092" s="193" t="str">
        <f>IFERROR(INDEX(_TARGETS!$E$2:$E$17,MATCH($C1092,_TARGETS!$A$2:$A$17,0))&amp;"","")</f>
        <v>≤</v>
      </c>
      <c r="I1092" s="193" t="str">
        <f t="shared" si="110"/>
        <v/>
      </c>
      <c r="J1092" s="193" t="str">
        <f t="shared" si="111"/>
        <v>YTD</v>
      </c>
      <c r="K1092" s="193">
        <f>SUMIFS(Datos!$D$31:$AL$31,Datos!$D$3:$AL$3,"&gt;="&amp;DATE(YEAR(Datos!AC$3),1,1),Datos!$D$3:$AL$3,"&lt;="&amp;Datos!AC$3)</f>
        <v>0</v>
      </c>
      <c r="L1092" s="193">
        <f>SUMIFS(Datos!$D$30:$AL$30,Datos!$D$3:$AL$3,"&gt;="&amp;DATE(YEAR(Datos!AC$3),1,1),Datos!$D$3:$AL$3,"&lt;="&amp;Datos!AC$3)</f>
        <v>0</v>
      </c>
      <c r="M1092" s="193">
        <f>INDEX(_TARGETS!$J$2:$J$17,MATCH($C1092,_TARGETS!$A$2:$A$17,0))</f>
        <v>1</v>
      </c>
      <c r="N1092" s="193" t="str">
        <f>INDEX(_TARGETS!$D$2:$D$17,MATCH($C1092,_TARGETS!$A$2:$A$17,0))</f>
        <v>días</v>
      </c>
      <c r="O1092" s="193" t="str">
        <f>IF(NOT(ISNUMBER(F1092)),IF(SUMPRODUCT(($C$2:$C$1300=C1092)*($J$2:$J$1300="Monthly")*($A$2:$A$1300&lt;=A1092)*(YEAR($A$2:$A$1300)=YEAR(A1092))*ISNUMBER($K$2:$K$1300)*ISNUMBER($L$2:$L$1300)*($L$2:$L$1300=0)*($K$2:$K$1300&gt;0))&gt;0,"INCOMPLETE","MISSING"),O533)</f>
        <v>MISSING</v>
      </c>
      <c r="P1092" s="193" t="str">
        <f>INDEX(_TARGETS!$K$2:$K$17,MATCH($C1092,_TARGETS!$A$2:$A$17,0))</f>
        <v>OPS (carga manual en Datos)</v>
      </c>
      <c r="Q1092" s="193" t="str">
        <f t="shared" si="112"/>
        <v>202809|INV|YTD</v>
      </c>
      <c r="R1092" s="193" t="str">
        <f>INDEX(_TARGETS!$H$2:$H$17,MATCH($C1092,_TARGETS!$A$2:$A$17,0))</f>
        <v>Definida</v>
      </c>
      <c r="S1092" s="193" t="str">
        <f t="shared" si="113"/>
        <v/>
      </c>
      <c r="T1092" s="193" t="str">
        <f t="shared" si="114"/>
        <v/>
      </c>
    </row>
    <row r="1093" spans="1:20" ht="14.25" customHeight="1" x14ac:dyDescent="0.3">
      <c r="A1093" s="249">
        <f>KPIs!$AC$3</f>
        <v>46997</v>
      </c>
      <c r="B1093" s="193" t="str">
        <f>KPIs!AC$4</f>
        <v>Compresora</v>
      </c>
      <c r="C1093" t="s">
        <v>76</v>
      </c>
      <c r="D1093" s="193" t="str">
        <f>KPIs!$A$43</f>
        <v>8 · % de capacitación en seguridad · YTD</v>
      </c>
      <c r="E1093" t="s">
        <v>601</v>
      </c>
      <c r="F1093" s="193" t="str">
        <f>IF(ISNUMBER(KPIs!AC43),KPIs!AC43,"")</f>
        <v/>
      </c>
      <c r="G1093" s="252">
        <f>IF(ISNUMBER(KPIs!$C$43),KPIs!$C$43,"")</f>
        <v>0.01</v>
      </c>
      <c r="H1093" s="193" t="str">
        <f>IFERROR(INDEX(_TARGETS!$E$2:$E$17,MATCH($C1093,_TARGETS!$A$2:$A$17,0))&amp;"","")</f>
        <v>≥</v>
      </c>
      <c r="I1093" s="193" t="str">
        <f t="shared" si="110"/>
        <v/>
      </c>
      <c r="J1093" s="193" t="str">
        <f t="shared" si="111"/>
        <v>YTD</v>
      </c>
      <c r="K1093" s="193">
        <f>SUMIFS(Datos!$D$18:$AL$18,Datos!$D$3:$AL$3,"&gt;="&amp;DATE(YEAR(Datos!AC$3),1,1),Datos!$D$3:$AL$3,"&lt;="&amp;Datos!AC$3)</f>
        <v>0</v>
      </c>
      <c r="L1093" s="193">
        <f>SUMIFS(Datos!$D$14:$AL$14,Datos!$D$3:$AL$3,"&gt;="&amp;DATE(YEAR(Datos!AC$3),1,1),Datos!$D$3:$AL$3,"&lt;="&amp;Datos!AC$3)</f>
        <v>0</v>
      </c>
      <c r="M1093" s="193">
        <f>INDEX(_TARGETS!$J$2:$J$17,MATCH($C1093,_TARGETS!$A$2:$A$17,0))</f>
        <v>1</v>
      </c>
      <c r="N1093" s="193" t="str">
        <f>INDEX(_TARGETS!$D$2:$D$17,MATCH($C1093,_TARGETS!$A$2:$A$17,0))</f>
        <v>% (fracción)</v>
      </c>
      <c r="O1093" s="193" t="str">
        <f>IF(NOT(ISNUMBER(F1093)),IF(SUMPRODUCT(($C$2:$C$1300=C1093)*($J$2:$J$1300="Monthly")*($A$2:$A$1300&lt;=A1093)*(YEAR($A$2:$A$1300)=YEAR(A1093))*ISNUMBER($K$2:$K$1300)*ISNUMBER($L$2:$L$1300)*($L$2:$L$1300=0)*($K$2:$K$1300&gt;0))&gt;0,"INCOMPLETE","MISSING"),O534)</f>
        <v>MISSING</v>
      </c>
      <c r="P1093" s="193" t="str">
        <f>INDEX(_TARGETS!$K$2:$K$17,MATCH($C1093,_TARGETS!$A$2:$A$17,0))</f>
        <v>OPS (carga manual en Datos)</v>
      </c>
      <c r="Q1093" s="193" t="str">
        <f t="shared" si="112"/>
        <v>202809|HCS|YTD</v>
      </c>
      <c r="R1093" s="193" t="str">
        <f>INDEX(_TARGETS!$H$2:$H$17,MATCH($C1093,_TARGETS!$A$2:$A$17,0))</f>
        <v>Definida</v>
      </c>
      <c r="S1093" s="193" t="str">
        <f t="shared" si="113"/>
        <v/>
      </c>
      <c r="T1093" s="193" t="str">
        <f t="shared" si="114"/>
        <v/>
      </c>
    </row>
    <row r="1094" spans="1:20" ht="14.25" customHeight="1" x14ac:dyDescent="0.3">
      <c r="A1094" s="249">
        <f>KPIs!$AC$3</f>
        <v>46997</v>
      </c>
      <c r="B1094" s="193" t="str">
        <f>KPIs!AC$4</f>
        <v>Compresora</v>
      </c>
      <c r="C1094" t="s">
        <v>83</v>
      </c>
      <c r="D1094" s="193" t="str">
        <f>KPIs!$A$44</f>
        <v>10 · Cumplimiento de simulacros (emergencia y operativos) · YTD</v>
      </c>
      <c r="E1094" t="s">
        <v>601</v>
      </c>
      <c r="F1094" s="193" t="str">
        <f>IF(ISNUMBER(KPIs!AC44),KPIs!AC44,"")</f>
        <v/>
      </c>
      <c r="G1094" s="253">
        <f>IF(ISNUMBER(KPIs!$C$44),KPIs!$C$44,"")</f>
        <v>1</v>
      </c>
      <c r="H1094" s="193" t="str">
        <f>IFERROR(INDEX(_TARGETS!$E$2:$E$17,MATCH($C1094,_TARGETS!$A$2:$A$17,0))&amp;"","")</f>
        <v>≥</v>
      </c>
      <c r="I1094" s="193" t="str">
        <f t="shared" si="110"/>
        <v/>
      </c>
      <c r="J1094" s="193" t="str">
        <f t="shared" si="111"/>
        <v>YTD</v>
      </c>
      <c r="K1094" s="193">
        <f>SUMIFS(Datos!$D$20:$AL$20,Datos!$D$3:$AL$3,"&gt;="&amp;DATE(YEAR(Datos!AC$3),1,1),Datos!$D$3:$AL$3,"&lt;="&amp;Datos!AC$3)</f>
        <v>0</v>
      </c>
      <c r="L1094" s="193">
        <f>SUMIFS(Datos!$D$21:$AL$21,Datos!$D$3:$AL$3,"&gt;="&amp;DATE(YEAR(Datos!AC$3),1,1),Datos!$D$3:$AL$3,"&lt;="&amp;Datos!AC$3)</f>
        <v>0</v>
      </c>
      <c r="M1094" s="193">
        <f>INDEX(_TARGETS!$J$2:$J$17,MATCH($C1094,_TARGETS!$A$2:$A$17,0))</f>
        <v>1</v>
      </c>
      <c r="N1094" s="193" t="str">
        <f>INDEX(_TARGETS!$D$2:$D$17,MATCH($C1094,_TARGETS!$A$2:$A$17,0))</f>
        <v>% (fracción)</v>
      </c>
      <c r="O1094" s="193" t="str">
        <f>IF(NOT(ISNUMBER(F1094)),IF(SUMPRODUCT(($C$2:$C$1300=C1094)*($J$2:$J$1300="Monthly")*($A$2:$A$1300&lt;=A1094)*(YEAR($A$2:$A$1300)=YEAR(A1094))*ISNUMBER($K$2:$K$1300)*ISNUMBER($L$2:$L$1300)*($L$2:$L$1300=0)*($K$2:$K$1300&gt;0))&gt;0,"INCOMPLETE","MISSING"),O536)</f>
        <v>MISSING</v>
      </c>
      <c r="P1094" s="193" t="str">
        <f>INDEX(_TARGETS!$K$2:$K$17,MATCH($C1094,_TARGETS!$A$2:$A$17,0))</f>
        <v>OPS (carga manual en Datos)</v>
      </c>
      <c r="Q1094" s="193" t="str">
        <f t="shared" si="112"/>
        <v>202809|CPSE|YTD</v>
      </c>
      <c r="R1094" s="193" t="str">
        <f>INDEX(_TARGETS!$H$2:$H$17,MATCH($C1094,_TARGETS!$A$2:$A$17,0))</f>
        <v>Definida</v>
      </c>
      <c r="S1094" s="193" t="str">
        <f t="shared" si="113"/>
        <v/>
      </c>
      <c r="T1094" s="193" t="str">
        <f t="shared" si="114"/>
        <v/>
      </c>
    </row>
    <row r="1095" spans="1:20" ht="14.25" customHeight="1" x14ac:dyDescent="0.3">
      <c r="A1095" s="249">
        <f>KPIs!$AC$3</f>
        <v>46997</v>
      </c>
      <c r="B1095" s="193" t="str">
        <f>KPIs!AC$4</f>
        <v>Compresora</v>
      </c>
      <c r="C1095" t="s">
        <v>85</v>
      </c>
      <c r="D1095" s="193" t="str">
        <f>KPIs!$A$45</f>
        <v>10b · Cumplimiento de acciones de mejora de simulacros · YTD</v>
      </c>
      <c r="E1095" t="s">
        <v>601</v>
      </c>
      <c r="F1095" s="193" t="str">
        <f>IF(ISNUMBER(KPIs!AC45),KPIs!AC45,"")</f>
        <v/>
      </c>
      <c r="G1095" s="254" t="str">
        <f>IF(ISNUMBER(KPIs!$C$45),KPIs!$C$45,"")</f>
        <v/>
      </c>
      <c r="H1095" s="193" t="str">
        <f>IFERROR(INDEX(_TARGETS!$E$2:$E$17,MATCH($C1095,_TARGETS!$A$2:$A$17,0))&amp;"","")</f>
        <v/>
      </c>
      <c r="I1095" s="193" t="str">
        <f t="shared" si="110"/>
        <v/>
      </c>
      <c r="J1095" s="193" t="str">
        <f t="shared" si="111"/>
        <v>YTD</v>
      </c>
      <c r="K1095" s="193">
        <f>SUMIFS(Datos!$D$23:$AL$23,Datos!$D$3:$AL$3,"&gt;="&amp;DATE(YEAR(Datos!AC$3),1,1),Datos!$D$3:$AL$3,"&lt;="&amp;Datos!AC$3)</f>
        <v>0</v>
      </c>
      <c r="L1095" s="193">
        <f>SUMIFS(Datos!$D$22:$AL$22,Datos!$D$3:$AL$3,"&gt;="&amp;DATE(YEAR(Datos!AC$3),1,1),Datos!$D$3:$AL$3,"&lt;="&amp;Datos!AC$3)</f>
        <v>0</v>
      </c>
      <c r="M1095" s="193">
        <f>INDEX(_TARGETS!$J$2:$J$17,MATCH($C1095,_TARGETS!$A$2:$A$17,0))</f>
        <v>1</v>
      </c>
      <c r="N1095" s="193" t="str">
        <f>INDEX(_TARGETS!$D$2:$D$17,MATCH($C1095,_TARGETS!$A$2:$A$17,0))</f>
        <v>% (fracción)</v>
      </c>
      <c r="O1095" s="193" t="str">
        <f>IF(NOT(ISNUMBER(F1095)),IF(SUMPRODUCT(($C$2:$C$1300=C1095)*($J$2:$J$1300="Monthly")*($A$2:$A$1300&lt;=A1095)*(YEAR($A$2:$A$1300)=YEAR(A1095))*ISNUMBER($K$2:$K$1300)*ISNUMBER($L$2:$L$1300)*($L$2:$L$1300=0)*($K$2:$K$1300&gt;0))&gt;0,"INCOMPLETE","MISSING"),O537)</f>
        <v>MISSING</v>
      </c>
      <c r="P1095" s="193" t="str">
        <f>INDEX(_TARGETS!$K$2:$K$17,MATCH($C1095,_TARGETS!$A$2:$A$17,0))</f>
        <v>OPS (carga manual en Datos)</v>
      </c>
      <c r="Q1095" s="193" t="str">
        <f t="shared" si="112"/>
        <v>202809|CAMS|YTD</v>
      </c>
      <c r="R1095" s="193" t="str">
        <f>INDEX(_TARGETS!$H$2:$H$17,MATCH($C1095,_TARGETS!$A$2:$A$17,0))</f>
        <v>Solo reporte</v>
      </c>
      <c r="S1095" s="193" t="str">
        <f t="shared" si="113"/>
        <v/>
      </c>
      <c r="T1095" s="193" t="str">
        <f t="shared" si="114"/>
        <v/>
      </c>
    </row>
    <row r="1096" spans="1:20" ht="14.25" customHeight="1" x14ac:dyDescent="0.3">
      <c r="A1096" s="249">
        <f>KPIs!$AC$3</f>
        <v>46997</v>
      </c>
      <c r="B1096" s="193" t="str">
        <f>KPIs!AC$4</f>
        <v>Compresora</v>
      </c>
      <c r="C1096" t="s">
        <v>87</v>
      </c>
      <c r="D1096" s="193" t="str">
        <f>KPIs!$A$46</f>
        <v>11 · Cumplimiento de caminatas gerenciales · YTD</v>
      </c>
      <c r="E1096" t="s">
        <v>601</v>
      </c>
      <c r="F1096" s="193" t="str">
        <f>IF(ISNUMBER(KPIs!AC46),KPIs!AC46,"")</f>
        <v/>
      </c>
      <c r="G1096" s="254">
        <f>IF(ISNUMBER(KPIs!$C$46),KPIs!$C$46,"")</f>
        <v>1</v>
      </c>
      <c r="H1096" s="193" t="str">
        <f>IFERROR(INDEX(_TARGETS!$E$2:$E$17,MATCH($C1096,_TARGETS!$A$2:$A$17,0))&amp;"","")</f>
        <v>≥</v>
      </c>
      <c r="I1096" s="193" t="str">
        <f t="shared" si="110"/>
        <v/>
      </c>
      <c r="J1096" s="193" t="str">
        <f t="shared" si="111"/>
        <v>YTD</v>
      </c>
      <c r="K1096" s="193">
        <f>SUMIFS(Datos!$D$24:$AL$24,Datos!$D$3:$AL$3,"&gt;="&amp;DATE(YEAR(Datos!AC$3),1,1),Datos!$D$3:$AL$3,"&lt;="&amp;Datos!AC$3)</f>
        <v>0</v>
      </c>
      <c r="L1096" s="193">
        <f>SUMIFS(Datos!$D$25:$AL$25,Datos!$D$3:$AL$3,"&gt;="&amp;DATE(YEAR(Datos!AC$3),1,1),Datos!$D$3:$AL$3,"&lt;="&amp;Datos!AC$3)</f>
        <v>0</v>
      </c>
      <c r="M1096" s="193">
        <f>INDEX(_TARGETS!$J$2:$J$17,MATCH($C1096,_TARGETS!$A$2:$A$17,0))</f>
        <v>1</v>
      </c>
      <c r="N1096" s="193" t="str">
        <f>INDEX(_TARGETS!$D$2:$D$17,MATCH($C1096,_TARGETS!$A$2:$A$17,0))</f>
        <v>% (fracción)</v>
      </c>
      <c r="O1096" s="193" t="str">
        <f>IF(NOT(ISNUMBER(F1096)),IF(SUMPRODUCT(($C$2:$C$1300=C1096)*($J$2:$J$1300="Monthly")*($A$2:$A$1300&lt;=A1096)*(YEAR($A$2:$A$1300)=YEAR(A1096))*ISNUMBER($K$2:$K$1300)*ISNUMBER($L$2:$L$1300)*($L$2:$L$1300=0)*($K$2:$K$1300&gt;0))&gt;0,"INCOMPLETE","MISSING"),O538)</f>
        <v>MISSING</v>
      </c>
      <c r="P1096" s="193" t="str">
        <f>INDEX(_TARGETS!$K$2:$K$17,MATCH($C1096,_TARGETS!$A$2:$A$17,0))</f>
        <v>OPS (carga manual en Datos)</v>
      </c>
      <c r="Q1096" s="193" t="str">
        <f t="shared" si="112"/>
        <v>202809|ICCS|YTD</v>
      </c>
      <c r="R1096" s="193" t="str">
        <f>INDEX(_TARGETS!$H$2:$H$17,MATCH($C1096,_TARGETS!$A$2:$A$17,0))</f>
        <v>Definida</v>
      </c>
      <c r="S1096" s="193" t="str">
        <f t="shared" si="113"/>
        <v/>
      </c>
      <c r="T1096" s="193" t="str">
        <f t="shared" si="114"/>
        <v/>
      </c>
    </row>
    <row r="1097" spans="1:20" ht="14.25" customHeight="1" x14ac:dyDescent="0.3">
      <c r="A1097" s="249">
        <f>KPIs!$AC$3</f>
        <v>46997</v>
      </c>
      <c r="B1097" s="193" t="str">
        <f>KPIs!AC$4</f>
        <v>Compresora</v>
      </c>
      <c r="C1097" t="s">
        <v>89</v>
      </c>
      <c r="D1097" s="193" t="str">
        <f>KPIs!$A$47</f>
        <v>12 · Cumplimiento de comités y subcomités de seguridad · YTD</v>
      </c>
      <c r="E1097" t="s">
        <v>601</v>
      </c>
      <c r="F1097" s="193" t="str">
        <f>IF(ISNUMBER(KPIs!AC47),KPIs!AC47,"")</f>
        <v/>
      </c>
      <c r="G1097" s="254">
        <f>IF(ISNUMBER(KPIs!$C$47),KPIs!$C$47,"")</f>
        <v>1</v>
      </c>
      <c r="H1097" s="193" t="str">
        <f>IFERROR(INDEX(_TARGETS!$E$2:$E$17,MATCH($C1097,_TARGETS!$A$2:$A$17,0))&amp;"","")</f>
        <v>≥</v>
      </c>
      <c r="I1097" s="193" t="str">
        <f t="shared" si="110"/>
        <v/>
      </c>
      <c r="J1097" s="193" t="str">
        <f t="shared" si="111"/>
        <v>YTD</v>
      </c>
      <c r="K1097" s="193">
        <f>SUMIFS(Datos!$D$26:$AL$26,Datos!$D$3:$AL$3,"&gt;="&amp;DATE(YEAR(Datos!AC$3),1,1),Datos!$D$3:$AL$3,"&lt;="&amp;Datos!AC$3)</f>
        <v>0</v>
      </c>
      <c r="L1097" s="193">
        <f>SUMIFS(Datos!$D$27:$AL$27,Datos!$D$3:$AL$3,"&gt;="&amp;DATE(YEAR(Datos!AC$3),1,1),Datos!$D$3:$AL$3,"&lt;="&amp;Datos!AC$3)</f>
        <v>0</v>
      </c>
      <c r="M1097" s="193">
        <f>INDEX(_TARGETS!$J$2:$J$17,MATCH($C1097,_TARGETS!$A$2:$A$17,0))</f>
        <v>1</v>
      </c>
      <c r="N1097" s="193" t="str">
        <f>INDEX(_TARGETS!$D$2:$D$17,MATCH($C1097,_TARGETS!$A$2:$A$17,0))</f>
        <v>% (fracción)</v>
      </c>
      <c r="O1097" s="193" t="str">
        <f>IF(NOT(ISNUMBER(F1097)),IF(SUMPRODUCT(($C$2:$C$1300=C1097)*($J$2:$J$1300="Monthly")*($A$2:$A$1300&lt;=A1097)*(YEAR($A$2:$A$1300)=YEAR(A1097))*ISNUMBER($K$2:$K$1300)*ISNUMBER($L$2:$L$1300)*($L$2:$L$1300=0)*($K$2:$K$1300&gt;0))&gt;0,"INCOMPLETE","MISSING"),O539)</f>
        <v>MISSING</v>
      </c>
      <c r="P1097" s="193" t="str">
        <f>INDEX(_TARGETS!$K$2:$K$17,MATCH($C1097,_TARGETS!$A$2:$A$17,0))</f>
        <v>OPS (carga manual en Datos)</v>
      </c>
      <c r="Q1097" s="193" t="str">
        <f t="shared" si="112"/>
        <v>202809|CCS|YTD</v>
      </c>
      <c r="R1097" s="193" t="str">
        <f>INDEX(_TARGETS!$H$2:$H$17,MATCH($C1097,_TARGETS!$A$2:$A$17,0))</f>
        <v>Definida</v>
      </c>
      <c r="S1097" s="193" t="str">
        <f t="shared" si="113"/>
        <v/>
      </c>
      <c r="T1097" s="193" t="str">
        <f t="shared" si="114"/>
        <v/>
      </c>
    </row>
    <row r="1098" spans="1:20" ht="14.25" customHeight="1" x14ac:dyDescent="0.3">
      <c r="A1098" s="249">
        <f>KPIs!$AC$3</f>
        <v>46997</v>
      </c>
      <c r="B1098" s="193" t="str">
        <f>KPIs!AC$4</f>
        <v>Compresora</v>
      </c>
      <c r="C1098" t="s">
        <v>91</v>
      </c>
      <c r="D1098" s="193" t="str">
        <f>KPIs!$A$48</f>
        <v>13 · Días promedio para cerrar hallazgos · YTD</v>
      </c>
      <c r="E1098" t="s">
        <v>601</v>
      </c>
      <c r="F1098" s="251" t="str">
        <f>IF(ISNUMBER(KPIs!AC48),KPIs!AC48,"")</f>
        <v/>
      </c>
      <c r="G1098" s="193" t="str">
        <f>IF(ISNUMBER(KPIs!$C$48),KPIs!$C$48,"")</f>
        <v/>
      </c>
      <c r="H1098" s="193" t="str">
        <f>IFERROR(INDEX(_TARGETS!$E$2:$E$17,MATCH($C1098,_TARGETS!$A$2:$A$17,0))&amp;"","")</f>
        <v>≤</v>
      </c>
      <c r="I1098" s="193" t="str">
        <f t="shared" si="110"/>
        <v/>
      </c>
      <c r="J1098" s="193" t="str">
        <f t="shared" si="111"/>
        <v>YTD</v>
      </c>
      <c r="K1098" s="193">
        <f>SUMIFS(Datos!$D$68:$AL$68,Datos!$D$3:$AL$3,"&gt;="&amp;DATE(YEAR(Datos!AC$3),1,1),Datos!$D$3:$AL$3,"&lt;="&amp;Datos!AC$3)</f>
        <v>0</v>
      </c>
      <c r="L1098" s="193">
        <f>SUMIFS(Datos!$D$67:$AL$67,Datos!$D$3:$AL$3,"&gt;="&amp;DATE(YEAR(Datos!AC$3),1,1),Datos!$D$3:$AL$3,"&lt;="&amp;Datos!AC$3)</f>
        <v>0</v>
      </c>
      <c r="M1098" s="193">
        <f>INDEX(_TARGETS!$J$2:$J$17,MATCH($C1098,_TARGETS!$A$2:$A$17,0))</f>
        <v>1</v>
      </c>
      <c r="N1098" s="193" t="str">
        <f>INDEX(_TARGETS!$D$2:$D$17,MATCH($C1098,_TARGETS!$A$2:$A$17,0))</f>
        <v>días</v>
      </c>
      <c r="O1098" s="193" t="str">
        <f>IF(NOT(ISNUMBER(F1098)),IF(SUMPRODUCT(($C$2:$C$1300=C1098)*($J$2:$J$1300="Monthly")*($A$2:$A$1300&lt;=A1098)*(YEAR($A$2:$A$1300)=YEAR(A1098))*ISNUMBER($K$2:$K$1300)*ISNUMBER($L$2:$L$1300)*($L$2:$L$1300=0)*($K$2:$K$1300&gt;0))&gt;0,"INCOMPLETE","MISSING"),O540)</f>
        <v>MISSING</v>
      </c>
      <c r="P1098" s="193" t="str">
        <f>INDEX(_TARGETS!$K$2:$K$17,MATCH($C1098,_TARGETS!$A$2:$A$17,0))</f>
        <v>Plant Findings (hoja Observaciones-SMP)</v>
      </c>
      <c r="Q1098" s="193" t="str">
        <f t="shared" si="112"/>
        <v>202809|DPAS|YTD</v>
      </c>
      <c r="R1098" s="193" t="str">
        <f>INDEX(_TARGETS!$H$2:$H$17,MATCH($C1098,_TARGETS!$A$2:$A$17,0))</f>
        <v>Pendiente (meta 2027)</v>
      </c>
      <c r="S1098" s="193" t="str">
        <f t="shared" si="113"/>
        <v/>
      </c>
      <c r="T1098" s="193" t="str">
        <f t="shared" si="114"/>
        <v/>
      </c>
    </row>
    <row r="1099" spans="1:20" ht="14.25" customHeight="1" x14ac:dyDescent="0.3">
      <c r="A1099" s="249">
        <f>KPIs!$AC$3</f>
        <v>46997</v>
      </c>
      <c r="B1099" s="193" t="str">
        <f>KPIs!AC$4</f>
        <v>Compresora</v>
      </c>
      <c r="C1099" t="s">
        <v>96</v>
      </c>
      <c r="D1099" s="193" t="str">
        <f>KPIs!$A$49</f>
        <v>C1 · % de desvíos detectados de gravedad Alta · YTD</v>
      </c>
      <c r="E1099" t="s">
        <v>601</v>
      </c>
      <c r="F1099" s="193" t="str">
        <f>IF(ISNUMBER(KPIs!AC49),KPIs!AC49,"")</f>
        <v/>
      </c>
      <c r="G1099" s="193" t="str">
        <f>IF(ISNUMBER(KPIs!$C$49),KPIs!$C$49,"")</f>
        <v/>
      </c>
      <c r="H1099" s="193" t="str">
        <f>IFERROR(INDEX(_TARGETS!$E$2:$E$17,MATCH($C1099,_TARGETS!$A$2:$A$17,0))&amp;"","")</f>
        <v/>
      </c>
      <c r="I1099" s="193" t="str">
        <f t="shared" si="110"/>
        <v/>
      </c>
      <c r="J1099" s="193" t="str">
        <f t="shared" si="111"/>
        <v>YTD</v>
      </c>
      <c r="K1099" s="193">
        <f>SUMIFS(Datos!$D$71:$AL$71,Datos!$D$3:$AL$3,"&gt;="&amp;DATE(YEAR(Datos!AC$3),1,1),Datos!$D$3:$AL$3,"&lt;="&amp;Datos!AC$3)</f>
        <v>0</v>
      </c>
      <c r="L1099" s="193">
        <f>SUMIFS(Datos!$D$71:$AL$71,Datos!$D$3:$AL$3,"&gt;="&amp;DATE(YEAR(Datos!AC$3),1,1),Datos!$D$3:$AL$3,"&lt;="&amp;Datos!AC$3)+SUMIFS(Datos!$D$72:$AL$72,Datos!$D$3:$AL$3,"&gt;="&amp;DATE(YEAR(Datos!AC$3),1,1),Datos!$D$3:$AL$3,"&lt;="&amp;Datos!AC$3)+SUMIFS(Datos!$D$73:$AL$73,Datos!$D$3:$AL$3,"&gt;="&amp;DATE(YEAR(Datos!AC$3),1,1),Datos!$D$3:$AL$3,"&lt;="&amp;Datos!AC$3)</f>
        <v>0</v>
      </c>
      <c r="M1099" s="193">
        <f>INDEX(_TARGETS!$J$2:$J$17,MATCH($C1099,_TARGETS!$A$2:$A$17,0))</f>
        <v>1</v>
      </c>
      <c r="N1099" s="193" t="str">
        <f>INDEX(_TARGETS!$D$2:$D$17,MATCH($C1099,_TARGETS!$A$2:$A$17,0))</f>
        <v>% (fracción)</v>
      </c>
      <c r="O1099" s="193" t="str">
        <f t="shared" ref="O1099:O1105" si="115">IF(NOT(ISNUMBER(F1099)),IF(SUMPRODUCT(($C$2:$C$1300=C1099)*($J$2:$J$1300="Monthly")*($A$2:$A$1300&lt;=A1099)*(YEAR($A$2:$A$1300)=YEAR(A1099))*ISNUMBER($K$2:$K$1300)*ISNUMBER($L$2:$L$1300)*($L$2:$L$1300=0)*($K$2:$K$1300&gt;0))&gt;0,"INCOMPLETE","MISSING"),O546)</f>
        <v>MISSING</v>
      </c>
      <c r="P1099" s="193" t="str">
        <f>INDEX(_TARGETS!$K$2:$K$17,MATCH($C1099,_TARGETS!$A$2:$A$17,0))</f>
        <v>Plant Findings (hoja Observaciones-SMP)</v>
      </c>
      <c r="Q1099" s="193" t="str">
        <f t="shared" si="112"/>
        <v>202809|HAL_ALTA_PCT|YTD</v>
      </c>
      <c r="R1099" s="193" t="str">
        <f>INDEX(_TARGETS!$H$2:$H$17,MATCH($C1099,_TARGETS!$A$2:$A$17,0))</f>
        <v>Solo reporte</v>
      </c>
      <c r="S1099" s="193" t="str">
        <f t="shared" si="113"/>
        <v/>
      </c>
      <c r="T1099" s="193" t="str">
        <f t="shared" si="114"/>
        <v/>
      </c>
    </row>
    <row r="1100" spans="1:20" ht="14.25" customHeight="1" x14ac:dyDescent="0.3">
      <c r="A1100" s="249">
        <f>KPIs!$AC$3</f>
        <v>46997</v>
      </c>
      <c r="B1100" s="193" t="str">
        <f>KPIs!AC$4</f>
        <v>Compresora</v>
      </c>
      <c r="C1100" t="s">
        <v>98</v>
      </c>
      <c r="D1100" s="193" t="str">
        <f>KPIs!$A$50</f>
        <v>C2 · Detenciones de tareas aplicadas · YTD</v>
      </c>
      <c r="E1100" t="s">
        <v>601</v>
      </c>
      <c r="F1100" s="193" t="str">
        <f>IF(ISNUMBER(KPIs!AC50),KPIs!AC50,"")</f>
        <v/>
      </c>
      <c r="G1100" s="193" t="str">
        <f>IF(ISNUMBER(KPIs!$C$50),KPIs!$C$50,"")</f>
        <v/>
      </c>
      <c r="H1100" s="193" t="str">
        <f>IFERROR(INDEX(_TARGETS!$E$2:$E$17,MATCH($C1100,_TARGETS!$A$2:$A$17,0))&amp;"","")</f>
        <v/>
      </c>
      <c r="I1100" s="193" t="str">
        <f t="shared" si="110"/>
        <v/>
      </c>
      <c r="J1100" s="193" t="str">
        <f t="shared" si="111"/>
        <v>YTD</v>
      </c>
      <c r="K1100" s="193">
        <f>SUMIFS(Datos!$D$75:$AL$75,Datos!$D$3:$AL$3,"&gt;="&amp;DATE(YEAR(Datos!AC$3),1,1),Datos!$D$3:$AL$3,"&lt;="&amp;Datos!AC$3)</f>
        <v>0</v>
      </c>
      <c r="M1100" s="193">
        <f>INDEX(_TARGETS!$J$2:$J$17,MATCH($C1100,_TARGETS!$A$2:$A$17,0))</f>
        <v>1</v>
      </c>
      <c r="N1100" s="193" t="str">
        <f>INDEX(_TARGETS!$D$2:$D$17,MATCH($C1100,_TARGETS!$A$2:$A$17,0))</f>
        <v>u</v>
      </c>
      <c r="O1100" s="193" t="str">
        <f t="shared" si="115"/>
        <v>MISSING</v>
      </c>
      <c r="P1100" s="193" t="str">
        <f>INDEX(_TARGETS!$K$2:$K$17,MATCH($C1100,_TARGETS!$A$2:$A$17,0))</f>
        <v>Plant Findings (hoja Observaciones-SMP)</v>
      </c>
      <c r="Q1100" s="193" t="str">
        <f t="shared" si="112"/>
        <v>202809|DET|YTD</v>
      </c>
      <c r="R1100" s="193" t="str">
        <f>INDEX(_TARGETS!$H$2:$H$17,MATCH($C1100,_TARGETS!$A$2:$A$17,0))</f>
        <v>Solo reporte</v>
      </c>
      <c r="S1100" s="193">
        <f t="shared" si="113"/>
        <v>0</v>
      </c>
      <c r="T1100" s="193" t="str">
        <f t="shared" si="114"/>
        <v/>
      </c>
    </row>
    <row r="1101" spans="1:20" ht="14.25" customHeight="1" x14ac:dyDescent="0.3">
      <c r="A1101" s="249">
        <f>KPIs!$AD$3</f>
        <v>47027</v>
      </c>
      <c r="B1101" s="193" t="str">
        <f>KPIs!AD$4</f>
        <v>Compresora</v>
      </c>
      <c r="C1101" t="s">
        <v>39</v>
      </c>
      <c r="D1101" s="193" t="str">
        <f>KPIs!$A$37</f>
        <v>1 · Frecuencia de casos con días perdidos · YTD</v>
      </c>
      <c r="E1101" t="s">
        <v>601</v>
      </c>
      <c r="F1101" s="193" t="str">
        <f>IF(ISNUMBER(KPIs!AD37),KPIs!AD37,"")</f>
        <v/>
      </c>
      <c r="G1101" s="250">
        <f>IF(ISNUMBER(KPIs!$C$37),KPIs!$C$37,"")</f>
        <v>0</v>
      </c>
      <c r="H1101" s="193" t="str">
        <f>IFERROR(INDEX(_TARGETS!$E$2:$E$17,MATCH($C1101,_TARGETS!$A$2:$A$17,0))&amp;"","")</f>
        <v>≤</v>
      </c>
      <c r="I1101" s="193" t="str">
        <f t="shared" si="110"/>
        <v/>
      </c>
      <c r="J1101" s="193" t="str">
        <f t="shared" si="111"/>
        <v>YTD</v>
      </c>
      <c r="K1101" s="193">
        <f>SUMIFS(Datos!$D$33:$AL$33,Datos!$D$3:$AL$3,"&gt;="&amp;DATE(YEAR(Datos!AD$3),1,1),Datos!$D$3:$AL$3,"&lt;="&amp;Datos!AD$3)</f>
        <v>0</v>
      </c>
      <c r="L1101" s="193">
        <f>SUMIFS(Datos!$D$14:$AL$14,Datos!$D$3:$AL$3,"&gt;="&amp;DATE(YEAR(Datos!AD$3),1,1),Datos!$D$3:$AL$3,"&lt;="&amp;Datos!AD$3)</f>
        <v>0</v>
      </c>
      <c r="M1101" s="193">
        <f>INDEX(_TARGETS!$J$2:$J$17,MATCH($C1101,_TARGETS!$A$2:$A$17,0))</f>
        <v>1000000</v>
      </c>
      <c r="N1101" s="193" t="str">
        <f>INDEX(_TARGETS!$D$2:$D$17,MATCH($C1101,_TARGETS!$A$2:$A$17,0))</f>
        <v>casos / 10^6 HH</v>
      </c>
      <c r="O1101" s="193" t="str">
        <f t="shared" si="115"/>
        <v>MISSING</v>
      </c>
      <c r="P1101" s="193" t="str">
        <f>INDEX(_TARGETS!$K$2:$K$17,MATCH($C1101,_TARGETS!$A$2:$A$17,0))</f>
        <v>OPS (carga manual en Datos)</v>
      </c>
      <c r="Q1101" s="193" t="str">
        <f t="shared" si="112"/>
        <v>202810|DAFWCF|YTD</v>
      </c>
      <c r="R1101" s="193" t="str">
        <f>INDEX(_TARGETS!$H$2:$H$17,MATCH($C1101,_TARGETS!$A$2:$A$17,0))</f>
        <v>Definida</v>
      </c>
      <c r="S1101" s="193" t="str">
        <f t="shared" si="113"/>
        <v/>
      </c>
      <c r="T1101" s="193" t="str">
        <f t="shared" si="114"/>
        <v/>
      </c>
    </row>
    <row r="1102" spans="1:20" ht="14.25" customHeight="1" x14ac:dyDescent="0.3">
      <c r="A1102" s="249">
        <f>KPIs!$AD$3</f>
        <v>47027</v>
      </c>
      <c r="B1102" s="193" t="str">
        <f>KPIs!AD$4</f>
        <v>Compresora</v>
      </c>
      <c r="C1102" t="s">
        <v>49</v>
      </c>
      <c r="D1102" s="193" t="str">
        <f>KPIs!$A$38</f>
        <v>2 · Frecuencia de casos registrables · YTD</v>
      </c>
      <c r="E1102" t="s">
        <v>601</v>
      </c>
      <c r="F1102" s="193" t="str">
        <f>IF(ISNUMBER(KPIs!AD38),KPIs!AD38,"")</f>
        <v/>
      </c>
      <c r="G1102" s="250">
        <f>IF(ISNUMBER(KPIs!$C$38),KPIs!$C$38,"")</f>
        <v>2.35</v>
      </c>
      <c r="H1102" s="193" t="str">
        <f>IFERROR(INDEX(_TARGETS!$E$2:$E$17,MATCH($C1102,_TARGETS!$A$2:$A$17,0))&amp;"","")</f>
        <v>≤</v>
      </c>
      <c r="I1102" s="193" t="str">
        <f t="shared" si="110"/>
        <v/>
      </c>
      <c r="J1102" s="193" t="str">
        <f t="shared" si="111"/>
        <v>YTD</v>
      </c>
      <c r="K1102" s="193">
        <f>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f>
        <v>0</v>
      </c>
      <c r="L1102" s="193">
        <f>SUMIFS(Datos!$D$14:$AL$14,Datos!$D$3:$AL$3,"&gt;="&amp;DATE(YEAR(Datos!AD$3),1,1),Datos!$D$3:$AL$3,"&lt;="&amp;Datos!AD$3)</f>
        <v>0</v>
      </c>
      <c r="M1102" s="193">
        <f>INDEX(_TARGETS!$J$2:$J$17,MATCH($C1102,_TARGETS!$A$2:$A$17,0))</f>
        <v>1000000</v>
      </c>
      <c r="N1102" s="193" t="str">
        <f>INDEX(_TARGETS!$D$2:$D$17,MATCH($C1102,_TARGETS!$A$2:$A$17,0))</f>
        <v>casos / 10^6 HH</v>
      </c>
      <c r="O1102" s="193" t="str">
        <f t="shared" si="115"/>
        <v>MISSING</v>
      </c>
      <c r="P1102" s="193" t="str">
        <f>INDEX(_TARGETS!$K$2:$K$17,MATCH($C1102,_TARGETS!$A$2:$A$17,0))</f>
        <v>OPS (carga manual en Datos)</v>
      </c>
      <c r="Q1102" s="193" t="str">
        <f t="shared" si="112"/>
        <v>202810|TRICF|YTD</v>
      </c>
      <c r="R1102" s="193" t="str">
        <f>INDEX(_TARGETS!$H$2:$H$17,MATCH($C1102,_TARGETS!$A$2:$A$17,0))</f>
        <v>Definida</v>
      </c>
      <c r="S1102" s="193" t="str">
        <f t="shared" si="113"/>
        <v/>
      </c>
      <c r="T1102" s="193" t="str">
        <f t="shared" si="114"/>
        <v/>
      </c>
    </row>
    <row r="1103" spans="1:20" ht="14.25" customHeight="1" x14ac:dyDescent="0.3">
      <c r="A1103" s="249">
        <f>KPIs!$AD$3</f>
        <v>47027</v>
      </c>
      <c r="B1103" s="193" t="str">
        <f>KPIs!AD$4</f>
        <v>Compresora</v>
      </c>
      <c r="C1103" t="s">
        <v>51</v>
      </c>
      <c r="D1103" s="193" t="str">
        <f>KPIs!$A$39</f>
        <v>3 · Casos de primeros auxilios · YTD</v>
      </c>
      <c r="E1103" t="s">
        <v>601</v>
      </c>
      <c r="F1103" s="193" t="str">
        <f>IF(ISNUMBER(KPIs!AD39),KPIs!AD39,"")</f>
        <v/>
      </c>
      <c r="G1103" s="193" t="str">
        <f>IF(ISNUMBER(KPIs!$C$39),KPIs!$C$39,"")</f>
        <v/>
      </c>
      <c r="H1103" s="193" t="str">
        <f>IFERROR(INDEX(_TARGETS!$E$2:$E$17,MATCH($C1103,_TARGETS!$A$2:$A$17,0))&amp;"","")</f>
        <v/>
      </c>
      <c r="I1103" s="193" t="str">
        <f t="shared" si="110"/>
        <v/>
      </c>
      <c r="J1103" s="193" t="str">
        <f t="shared" si="111"/>
        <v>YTD</v>
      </c>
      <c r="K1103" s="193">
        <f>SUMIFS(Datos!$D$37:$AL$37,Datos!$D$3:$AL$3,"&gt;="&amp;DATE(YEAR(Datos!AD$3),1,1),Datos!$D$3:$AL$3,"&lt;="&amp;Datos!AD$3)</f>
        <v>0</v>
      </c>
      <c r="M1103" s="193">
        <f>INDEX(_TARGETS!$J$2:$J$17,MATCH($C1103,_TARGETS!$A$2:$A$17,0))</f>
        <v>1</v>
      </c>
      <c r="N1103" s="193" t="str">
        <f>INDEX(_TARGETS!$D$2:$D$17,MATCH($C1103,_TARGETS!$A$2:$A$17,0))</f>
        <v>casos</v>
      </c>
      <c r="O1103" s="193" t="str">
        <f t="shared" si="115"/>
        <v>MISSING</v>
      </c>
      <c r="P1103" s="193" t="str">
        <f>INDEX(_TARGETS!$K$2:$K$17,MATCH($C1103,_TARGETS!$A$2:$A$17,0))</f>
        <v>OPS (carga manual en Datos)</v>
      </c>
      <c r="Q1103" s="193" t="str">
        <f t="shared" si="112"/>
        <v>202810|FAC|YTD</v>
      </c>
      <c r="R1103" s="193" t="str">
        <f>INDEX(_TARGETS!$H$2:$H$17,MATCH($C1103,_TARGETS!$A$2:$A$17,0))</f>
        <v>Solo reporte</v>
      </c>
      <c r="S1103" s="193">
        <f t="shared" si="113"/>
        <v>0</v>
      </c>
      <c r="T1103" s="193" t="str">
        <f t="shared" si="114"/>
        <v/>
      </c>
    </row>
    <row r="1104" spans="1:20" ht="14.25" customHeight="1" x14ac:dyDescent="0.3">
      <c r="A1104" s="249">
        <f>KPIs!$AD$3</f>
        <v>47027</v>
      </c>
      <c r="B1104" s="193" t="str">
        <f>KPIs!AD$4</f>
        <v>Compresora</v>
      </c>
      <c r="C1104" t="s">
        <v>57</v>
      </c>
      <c r="D1104" s="193" t="str">
        <f>KPIs!$A$40</f>
        <v>4 · Accidentes vehiculares severos por millón de km · YTD</v>
      </c>
      <c r="E1104" t="s">
        <v>601</v>
      </c>
      <c r="F1104" s="193" t="str">
        <f>IF(ISNUMBER(KPIs!AD40),KPIs!AD40,"")</f>
        <v/>
      </c>
      <c r="G1104" s="193" t="str">
        <f>IF(ISNUMBER(KPIs!$C$40),KPIs!$C$40,"")</f>
        <v/>
      </c>
      <c r="H1104" s="193" t="str">
        <f>IFERROR(INDEX(_TARGETS!$E$2:$E$17,MATCH($C1104,_TARGETS!$A$2:$A$17,0))&amp;"","")</f>
        <v/>
      </c>
      <c r="I1104" s="193" t="str">
        <f t="shared" si="110"/>
        <v/>
      </c>
      <c r="J1104" s="193" t="str">
        <f t="shared" si="111"/>
        <v>YTD</v>
      </c>
      <c r="K1104" s="193">
        <f>SUMIFS(Datos!$D$39:$AL$39,Datos!$D$3:$AL$3,"&gt;="&amp;DATE(YEAR(Datos!AD$3),1,1),Datos!$D$3:$AL$3,"&lt;="&amp;Datos!AD$3)+SUMIFS(Datos!$D$40:$AL$40,Datos!$D$3:$AL$3,"&gt;="&amp;DATE(YEAR(Datos!AD$3),1,1),Datos!$D$3:$AL$3,"&lt;="&amp;Datos!AD$3)+SUMIFS(Datos!$D$41:$AL$41,Datos!$D$3:$AL$3,"&gt;="&amp;DATE(YEAR(Datos!AD$3),1,1),Datos!$D$3:$AL$3,"&lt;="&amp;Datos!AD$3)</f>
        <v>0</v>
      </c>
      <c r="L1104" s="193">
        <f>SUMIFS(Datos!$D$47:$AL$47,Datos!$D$3:$AL$3,"&gt;="&amp;DATE(YEAR(Datos!AD$3),1,1),Datos!$D$3:$AL$3,"&lt;="&amp;Datos!AD$3)</f>
        <v>0</v>
      </c>
      <c r="M1104" s="193">
        <f>INDEX(_TARGETS!$J$2:$J$17,MATCH($C1104,_TARGETS!$A$2:$A$17,0))</f>
        <v>1000000</v>
      </c>
      <c r="N1104" s="193" t="str">
        <f>INDEX(_TARGETS!$D$2:$D$17,MATCH($C1104,_TARGETS!$A$2:$A$17,0))</f>
        <v>eventos / 10^6 km</v>
      </c>
      <c r="O1104" s="193" t="str">
        <f t="shared" si="115"/>
        <v>MISSING</v>
      </c>
      <c r="P1104" s="193" t="str">
        <f>INDEX(_TARGETS!$K$2:$K$17,MATCH($C1104,_TARGETS!$A$2:$A$17,0))</f>
        <v>OPS (eventos) + Full Control GPS (km) - carga manual en Datos</v>
      </c>
      <c r="Q1104" s="193" t="str">
        <f t="shared" si="112"/>
        <v>202810|SVCR|YTD</v>
      </c>
      <c r="R1104" s="193" t="str">
        <f>INDEX(_TARGETS!$H$2:$H$17,MATCH($C1104,_TARGETS!$A$2:$A$17,0))</f>
        <v>Solo reporte</v>
      </c>
      <c r="S1104" s="193" t="str">
        <f t="shared" si="113"/>
        <v/>
      </c>
      <c r="T1104" s="193" t="str">
        <f t="shared" si="114"/>
        <v/>
      </c>
    </row>
    <row r="1105" spans="1:20" ht="14.25" customHeight="1" x14ac:dyDescent="0.3">
      <c r="A1105" s="249">
        <f>KPIs!$AD$3</f>
        <v>47027</v>
      </c>
      <c r="B1105" s="193" t="str">
        <f>KPIs!AD$4</f>
        <v>Compresora</v>
      </c>
      <c r="C1105" t="s">
        <v>61</v>
      </c>
      <c r="D1105" s="193" t="str">
        <f>KPIs!$A$41</f>
        <v>5 · Accidentes vehiculares totales por millón de km · YTD</v>
      </c>
      <c r="E1105" t="s">
        <v>601</v>
      </c>
      <c r="F1105" s="193" t="str">
        <f>IF(ISNUMBER(KPIs!AD41),KPIs!AD41,"")</f>
        <v/>
      </c>
      <c r="G1105" s="250">
        <f>IF(ISNUMBER(KPIs!$C$41),KPIs!$C$41,"")</f>
        <v>0.79</v>
      </c>
      <c r="H1105" s="193" t="str">
        <f>IFERROR(INDEX(_TARGETS!$E$2:$E$17,MATCH($C1105,_TARGETS!$A$2:$A$17,0))&amp;"","")</f>
        <v>≤</v>
      </c>
      <c r="I1105" s="193" t="str">
        <f t="shared" si="110"/>
        <v/>
      </c>
      <c r="J1105" s="193" t="str">
        <f t="shared" si="111"/>
        <v>YTD</v>
      </c>
      <c r="K1105" s="193">
        <f>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f>
        <v>0</v>
      </c>
      <c r="L1105" s="193">
        <f>SUMIFS(Datos!$D$47:$AL$47,Datos!$D$3:$AL$3,"&gt;="&amp;DATE(YEAR(Datos!AD$3),1,1),Datos!$D$3:$AL$3,"&lt;="&amp;Datos!AD$3)</f>
        <v>0</v>
      </c>
      <c r="M1105" s="193">
        <f>INDEX(_TARGETS!$J$2:$J$17,MATCH($C1105,_TARGETS!$A$2:$A$17,0))</f>
        <v>1000000</v>
      </c>
      <c r="N1105" s="193" t="str">
        <f>INDEX(_TARGETS!$D$2:$D$17,MATCH($C1105,_TARGETS!$A$2:$A$17,0))</f>
        <v>eventos / 10^6 km</v>
      </c>
      <c r="O1105" s="193" t="str">
        <f t="shared" si="115"/>
        <v>MISSING</v>
      </c>
      <c r="P1105" s="193" t="str">
        <f>INDEX(_TARGETS!$K$2:$K$17,MATCH($C1105,_TARGETS!$A$2:$A$17,0))</f>
        <v>OPS (eventos) + Full Control GPS (km) - carga manual en Datos</v>
      </c>
      <c r="Q1105" s="193" t="str">
        <f t="shared" si="112"/>
        <v>202810|TVCR|YTD</v>
      </c>
      <c r="R1105" s="193" t="str">
        <f>INDEX(_TARGETS!$H$2:$H$17,MATCH($C1105,_TARGETS!$A$2:$A$17,0))</f>
        <v>Definida</v>
      </c>
      <c r="S1105" s="193" t="str">
        <f t="shared" si="113"/>
        <v/>
      </c>
      <c r="T1105" s="193" t="str">
        <f t="shared" si="114"/>
        <v/>
      </c>
    </row>
    <row r="1106" spans="1:20" ht="14.25" customHeight="1" x14ac:dyDescent="0.3">
      <c r="A1106" s="249">
        <f>KPIs!$AD$3</f>
        <v>47027</v>
      </c>
      <c r="B1106" s="193" t="str">
        <f>KPIs!AD$4</f>
        <v>Compresora</v>
      </c>
      <c r="C1106" t="s">
        <v>71</v>
      </c>
      <c r="D1106" s="193" t="str">
        <f>KPIs!$A$42</f>
        <v>7 · Investigaciones de accidentes: días promedio de cierre · YTD</v>
      </c>
      <c r="E1106" t="s">
        <v>601</v>
      </c>
      <c r="F1106" s="193" t="str">
        <f>IF(ISNUMBER(KPIs!AD42),KPIs!AD42,"")</f>
        <v/>
      </c>
      <c r="G1106" s="251">
        <f>IF(ISNUMBER(KPIs!$C$42),KPIs!$C$42,"")</f>
        <v>20</v>
      </c>
      <c r="H1106" s="193" t="str">
        <f>IFERROR(INDEX(_TARGETS!$E$2:$E$17,MATCH($C1106,_TARGETS!$A$2:$A$17,0))&amp;"","")</f>
        <v>≤</v>
      </c>
      <c r="I1106" s="193" t="str">
        <f t="shared" si="110"/>
        <v/>
      </c>
      <c r="J1106" s="193" t="str">
        <f t="shared" si="111"/>
        <v>YTD</v>
      </c>
      <c r="K1106" s="193">
        <f>SUMIFS(Datos!$D$31:$AL$31,Datos!$D$3:$AL$3,"&gt;="&amp;DATE(YEAR(Datos!AD$3),1,1),Datos!$D$3:$AL$3,"&lt;="&amp;Datos!AD$3)</f>
        <v>0</v>
      </c>
      <c r="L1106" s="193">
        <f>SUMIFS(Datos!$D$30:$AL$30,Datos!$D$3:$AL$3,"&gt;="&amp;DATE(YEAR(Datos!AD$3),1,1),Datos!$D$3:$AL$3,"&lt;="&amp;Datos!AD$3)</f>
        <v>0</v>
      </c>
      <c r="M1106" s="193">
        <f>INDEX(_TARGETS!$J$2:$J$17,MATCH($C1106,_TARGETS!$A$2:$A$17,0))</f>
        <v>1</v>
      </c>
      <c r="N1106" s="193" t="str">
        <f>INDEX(_TARGETS!$D$2:$D$17,MATCH($C1106,_TARGETS!$A$2:$A$17,0))</f>
        <v>días</v>
      </c>
      <c r="O1106" s="193" t="str">
        <f>IF(NOT(ISNUMBER(F1106)),IF(SUMPRODUCT(($C$2:$C$1300=C1106)*($J$2:$J$1300="Monthly")*($A$2:$A$1300&lt;=A1106)*(YEAR($A$2:$A$1300)=YEAR(A1106))*ISNUMBER($K$2:$K$1300)*ISNUMBER($L$2:$L$1300)*($L$2:$L$1300=0)*($K$2:$K$1300&gt;0))&gt;0,"INCOMPLETE","MISSING"),O554)</f>
        <v>MISSING</v>
      </c>
      <c r="P1106" s="193" t="str">
        <f>INDEX(_TARGETS!$K$2:$K$17,MATCH($C1106,_TARGETS!$A$2:$A$17,0))</f>
        <v>OPS (carga manual en Datos)</v>
      </c>
      <c r="Q1106" s="193" t="str">
        <f t="shared" si="112"/>
        <v>202810|INV|YTD</v>
      </c>
      <c r="R1106" s="193" t="str">
        <f>INDEX(_TARGETS!$H$2:$H$17,MATCH($C1106,_TARGETS!$A$2:$A$17,0))</f>
        <v>Definida</v>
      </c>
      <c r="S1106" s="193" t="str">
        <f t="shared" si="113"/>
        <v/>
      </c>
      <c r="T1106" s="193" t="str">
        <f t="shared" si="114"/>
        <v/>
      </c>
    </row>
    <row r="1107" spans="1:20" ht="14.25" customHeight="1" x14ac:dyDescent="0.3">
      <c r="A1107" s="249">
        <f>KPIs!$AD$3</f>
        <v>47027</v>
      </c>
      <c r="B1107" s="193" t="str">
        <f>KPIs!AD$4</f>
        <v>Compresora</v>
      </c>
      <c r="C1107" t="s">
        <v>76</v>
      </c>
      <c r="D1107" s="193" t="str">
        <f>KPIs!$A$43</f>
        <v>8 · % de capacitación en seguridad · YTD</v>
      </c>
      <c r="E1107" t="s">
        <v>601</v>
      </c>
      <c r="F1107" s="193" t="str">
        <f>IF(ISNUMBER(KPIs!AD43),KPIs!AD43,"")</f>
        <v/>
      </c>
      <c r="G1107" s="252">
        <f>IF(ISNUMBER(KPIs!$C$43),KPIs!$C$43,"")</f>
        <v>0.01</v>
      </c>
      <c r="H1107" s="193" t="str">
        <f>IFERROR(INDEX(_TARGETS!$E$2:$E$17,MATCH($C1107,_TARGETS!$A$2:$A$17,0))&amp;"","")</f>
        <v>≥</v>
      </c>
      <c r="I1107" s="193" t="str">
        <f t="shared" si="110"/>
        <v/>
      </c>
      <c r="J1107" s="193" t="str">
        <f t="shared" si="111"/>
        <v>YTD</v>
      </c>
      <c r="K1107" s="193">
        <f>SUMIFS(Datos!$D$18:$AL$18,Datos!$D$3:$AL$3,"&gt;="&amp;DATE(YEAR(Datos!AD$3),1,1),Datos!$D$3:$AL$3,"&lt;="&amp;Datos!AD$3)</f>
        <v>0</v>
      </c>
      <c r="L1107" s="193">
        <f>SUMIFS(Datos!$D$14:$AL$14,Datos!$D$3:$AL$3,"&gt;="&amp;DATE(YEAR(Datos!AD$3),1,1),Datos!$D$3:$AL$3,"&lt;="&amp;Datos!AD$3)</f>
        <v>0</v>
      </c>
      <c r="M1107" s="193">
        <f>INDEX(_TARGETS!$J$2:$J$17,MATCH($C1107,_TARGETS!$A$2:$A$17,0))</f>
        <v>1</v>
      </c>
      <c r="N1107" s="193" t="str">
        <f>INDEX(_TARGETS!$D$2:$D$17,MATCH($C1107,_TARGETS!$A$2:$A$17,0))</f>
        <v>% (fracción)</v>
      </c>
      <c r="O1107" s="193" t="str">
        <f>IF(NOT(ISNUMBER(F1107)),IF(SUMPRODUCT(($C$2:$C$1300=C1107)*($J$2:$J$1300="Monthly")*($A$2:$A$1300&lt;=A1107)*(YEAR($A$2:$A$1300)=YEAR(A1107))*ISNUMBER($K$2:$K$1300)*ISNUMBER($L$2:$L$1300)*($L$2:$L$1300=0)*($K$2:$K$1300&gt;0))&gt;0,"INCOMPLETE","MISSING"),O555)</f>
        <v>MISSING</v>
      </c>
      <c r="P1107" s="193" t="str">
        <f>INDEX(_TARGETS!$K$2:$K$17,MATCH($C1107,_TARGETS!$A$2:$A$17,0))</f>
        <v>OPS (carga manual en Datos)</v>
      </c>
      <c r="Q1107" s="193" t="str">
        <f t="shared" si="112"/>
        <v>202810|HCS|YTD</v>
      </c>
      <c r="R1107" s="193" t="str">
        <f>INDEX(_TARGETS!$H$2:$H$17,MATCH($C1107,_TARGETS!$A$2:$A$17,0))</f>
        <v>Definida</v>
      </c>
      <c r="S1107" s="193" t="str">
        <f t="shared" si="113"/>
        <v/>
      </c>
      <c r="T1107" s="193" t="str">
        <f t="shared" si="114"/>
        <v/>
      </c>
    </row>
    <row r="1108" spans="1:20" ht="14.25" customHeight="1" x14ac:dyDescent="0.3">
      <c r="A1108" s="249">
        <f>KPIs!$AD$3</f>
        <v>47027</v>
      </c>
      <c r="B1108" s="193" t="str">
        <f>KPIs!AD$4</f>
        <v>Compresora</v>
      </c>
      <c r="C1108" t="s">
        <v>83</v>
      </c>
      <c r="D1108" s="193" t="str">
        <f>KPIs!$A$44</f>
        <v>10 · Cumplimiento de simulacros (emergencia y operativos) · YTD</v>
      </c>
      <c r="E1108" t="s">
        <v>601</v>
      </c>
      <c r="F1108" s="193" t="str">
        <f>IF(ISNUMBER(KPIs!AD44),KPIs!AD44,"")</f>
        <v/>
      </c>
      <c r="G1108" s="253">
        <f>IF(ISNUMBER(KPIs!$C$44),KPIs!$C$44,"")</f>
        <v>1</v>
      </c>
      <c r="H1108" s="193" t="str">
        <f>IFERROR(INDEX(_TARGETS!$E$2:$E$17,MATCH($C1108,_TARGETS!$A$2:$A$17,0))&amp;"","")</f>
        <v>≥</v>
      </c>
      <c r="I1108" s="193" t="str">
        <f t="shared" si="110"/>
        <v/>
      </c>
      <c r="J1108" s="193" t="str">
        <f t="shared" si="111"/>
        <v>YTD</v>
      </c>
      <c r="K1108" s="193">
        <f>SUMIFS(Datos!$D$20:$AL$20,Datos!$D$3:$AL$3,"&gt;="&amp;DATE(YEAR(Datos!AD$3),1,1),Datos!$D$3:$AL$3,"&lt;="&amp;Datos!AD$3)</f>
        <v>0</v>
      </c>
      <c r="L1108" s="193">
        <f>SUMIFS(Datos!$D$21:$AL$21,Datos!$D$3:$AL$3,"&gt;="&amp;DATE(YEAR(Datos!AD$3),1,1),Datos!$D$3:$AL$3,"&lt;="&amp;Datos!AD$3)</f>
        <v>0</v>
      </c>
      <c r="M1108" s="193">
        <f>INDEX(_TARGETS!$J$2:$J$17,MATCH($C1108,_TARGETS!$A$2:$A$17,0))</f>
        <v>1</v>
      </c>
      <c r="N1108" s="193" t="str">
        <f>INDEX(_TARGETS!$D$2:$D$17,MATCH($C1108,_TARGETS!$A$2:$A$17,0))</f>
        <v>% (fracción)</v>
      </c>
      <c r="O1108" s="193" t="str">
        <f>IF(NOT(ISNUMBER(F1108)),IF(SUMPRODUCT(($C$2:$C$1300=C1108)*($J$2:$J$1300="Monthly")*($A$2:$A$1300&lt;=A1108)*(YEAR($A$2:$A$1300)=YEAR(A1108))*ISNUMBER($K$2:$K$1300)*ISNUMBER($L$2:$L$1300)*($L$2:$L$1300=0)*($K$2:$K$1300&gt;0))&gt;0,"INCOMPLETE","MISSING"),O557)</f>
        <v>MISSING</v>
      </c>
      <c r="P1108" s="193" t="str">
        <f>INDEX(_TARGETS!$K$2:$K$17,MATCH($C1108,_TARGETS!$A$2:$A$17,0))</f>
        <v>OPS (carga manual en Datos)</v>
      </c>
      <c r="Q1108" s="193" t="str">
        <f t="shared" si="112"/>
        <v>202810|CPSE|YTD</v>
      </c>
      <c r="R1108" s="193" t="str">
        <f>INDEX(_TARGETS!$H$2:$H$17,MATCH($C1108,_TARGETS!$A$2:$A$17,0))</f>
        <v>Definida</v>
      </c>
      <c r="S1108" s="193" t="str">
        <f t="shared" si="113"/>
        <v/>
      </c>
      <c r="T1108" s="193" t="str">
        <f t="shared" si="114"/>
        <v/>
      </c>
    </row>
    <row r="1109" spans="1:20" ht="14.25" customHeight="1" x14ac:dyDescent="0.3">
      <c r="A1109" s="249">
        <f>KPIs!$AD$3</f>
        <v>47027</v>
      </c>
      <c r="B1109" s="193" t="str">
        <f>KPIs!AD$4</f>
        <v>Compresora</v>
      </c>
      <c r="C1109" t="s">
        <v>85</v>
      </c>
      <c r="D1109" s="193" t="str">
        <f>KPIs!$A$45</f>
        <v>10b · Cumplimiento de acciones de mejora de simulacros · YTD</v>
      </c>
      <c r="E1109" t="s">
        <v>601</v>
      </c>
      <c r="F1109" s="193" t="str">
        <f>IF(ISNUMBER(KPIs!AD45),KPIs!AD45,"")</f>
        <v/>
      </c>
      <c r="G1109" s="254" t="str">
        <f>IF(ISNUMBER(KPIs!$C$45),KPIs!$C$45,"")</f>
        <v/>
      </c>
      <c r="H1109" s="193" t="str">
        <f>IFERROR(INDEX(_TARGETS!$E$2:$E$17,MATCH($C1109,_TARGETS!$A$2:$A$17,0))&amp;"","")</f>
        <v/>
      </c>
      <c r="I1109" s="193" t="str">
        <f t="shared" si="110"/>
        <v/>
      </c>
      <c r="J1109" s="193" t="str">
        <f t="shared" si="111"/>
        <v>YTD</v>
      </c>
      <c r="K1109" s="193">
        <f>SUMIFS(Datos!$D$23:$AL$23,Datos!$D$3:$AL$3,"&gt;="&amp;DATE(YEAR(Datos!AD$3),1,1),Datos!$D$3:$AL$3,"&lt;="&amp;Datos!AD$3)</f>
        <v>0</v>
      </c>
      <c r="L1109" s="193">
        <f>SUMIFS(Datos!$D$22:$AL$22,Datos!$D$3:$AL$3,"&gt;="&amp;DATE(YEAR(Datos!AD$3),1,1),Datos!$D$3:$AL$3,"&lt;="&amp;Datos!AD$3)</f>
        <v>0</v>
      </c>
      <c r="M1109" s="193">
        <f>INDEX(_TARGETS!$J$2:$J$17,MATCH($C1109,_TARGETS!$A$2:$A$17,0))</f>
        <v>1</v>
      </c>
      <c r="N1109" s="193" t="str">
        <f>INDEX(_TARGETS!$D$2:$D$17,MATCH($C1109,_TARGETS!$A$2:$A$17,0))</f>
        <v>% (fracción)</v>
      </c>
      <c r="O1109" s="193" t="str">
        <f>IF(NOT(ISNUMBER(F1109)),IF(SUMPRODUCT(($C$2:$C$1300=C1109)*($J$2:$J$1300="Monthly")*($A$2:$A$1300&lt;=A1109)*(YEAR($A$2:$A$1300)=YEAR(A1109))*ISNUMBER($K$2:$K$1300)*ISNUMBER($L$2:$L$1300)*($L$2:$L$1300=0)*($K$2:$K$1300&gt;0))&gt;0,"INCOMPLETE","MISSING"),O558)</f>
        <v>MISSING</v>
      </c>
      <c r="P1109" s="193" t="str">
        <f>INDEX(_TARGETS!$K$2:$K$17,MATCH($C1109,_TARGETS!$A$2:$A$17,0))</f>
        <v>OPS (carga manual en Datos)</v>
      </c>
      <c r="Q1109" s="193" t="str">
        <f t="shared" si="112"/>
        <v>202810|CAMS|YTD</v>
      </c>
      <c r="R1109" s="193" t="str">
        <f>INDEX(_TARGETS!$H$2:$H$17,MATCH($C1109,_TARGETS!$A$2:$A$17,0))</f>
        <v>Solo reporte</v>
      </c>
      <c r="S1109" s="193" t="str">
        <f t="shared" si="113"/>
        <v/>
      </c>
      <c r="T1109" s="193" t="str">
        <f t="shared" si="114"/>
        <v/>
      </c>
    </row>
    <row r="1110" spans="1:20" ht="14.25" customHeight="1" x14ac:dyDescent="0.3">
      <c r="A1110" s="249">
        <f>KPIs!$AD$3</f>
        <v>47027</v>
      </c>
      <c r="B1110" s="193" t="str">
        <f>KPIs!AD$4</f>
        <v>Compresora</v>
      </c>
      <c r="C1110" t="s">
        <v>87</v>
      </c>
      <c r="D1110" s="193" t="str">
        <f>KPIs!$A$46</f>
        <v>11 · Cumplimiento de caminatas gerenciales · YTD</v>
      </c>
      <c r="E1110" t="s">
        <v>601</v>
      </c>
      <c r="F1110" s="193" t="str">
        <f>IF(ISNUMBER(KPIs!AD46),KPIs!AD46,"")</f>
        <v/>
      </c>
      <c r="G1110" s="254">
        <f>IF(ISNUMBER(KPIs!$C$46),KPIs!$C$46,"")</f>
        <v>1</v>
      </c>
      <c r="H1110" s="193" t="str">
        <f>IFERROR(INDEX(_TARGETS!$E$2:$E$17,MATCH($C1110,_TARGETS!$A$2:$A$17,0))&amp;"","")</f>
        <v>≥</v>
      </c>
      <c r="I1110" s="193" t="str">
        <f t="shared" si="110"/>
        <v/>
      </c>
      <c r="J1110" s="193" t="str">
        <f t="shared" si="111"/>
        <v>YTD</v>
      </c>
      <c r="K1110" s="193">
        <f>SUMIFS(Datos!$D$24:$AL$24,Datos!$D$3:$AL$3,"&gt;="&amp;DATE(YEAR(Datos!AD$3),1,1),Datos!$D$3:$AL$3,"&lt;="&amp;Datos!AD$3)</f>
        <v>0</v>
      </c>
      <c r="L1110" s="193">
        <f>SUMIFS(Datos!$D$25:$AL$25,Datos!$D$3:$AL$3,"&gt;="&amp;DATE(YEAR(Datos!AD$3),1,1),Datos!$D$3:$AL$3,"&lt;="&amp;Datos!AD$3)</f>
        <v>0</v>
      </c>
      <c r="M1110" s="193">
        <f>INDEX(_TARGETS!$J$2:$J$17,MATCH($C1110,_TARGETS!$A$2:$A$17,0))</f>
        <v>1</v>
      </c>
      <c r="N1110" s="193" t="str">
        <f>INDEX(_TARGETS!$D$2:$D$17,MATCH($C1110,_TARGETS!$A$2:$A$17,0))</f>
        <v>% (fracción)</v>
      </c>
      <c r="O1110" s="193" t="str">
        <f>IF(NOT(ISNUMBER(F1110)),IF(SUMPRODUCT(($C$2:$C$1300=C1110)*($J$2:$J$1300="Monthly")*($A$2:$A$1300&lt;=A1110)*(YEAR($A$2:$A$1300)=YEAR(A1110))*ISNUMBER($K$2:$K$1300)*ISNUMBER($L$2:$L$1300)*($L$2:$L$1300=0)*($K$2:$K$1300&gt;0))&gt;0,"INCOMPLETE","MISSING"),O559)</f>
        <v>MISSING</v>
      </c>
      <c r="P1110" s="193" t="str">
        <f>INDEX(_TARGETS!$K$2:$K$17,MATCH($C1110,_TARGETS!$A$2:$A$17,0))</f>
        <v>OPS (carga manual en Datos)</v>
      </c>
      <c r="Q1110" s="193" t="str">
        <f t="shared" si="112"/>
        <v>202810|ICCS|YTD</v>
      </c>
      <c r="R1110" s="193" t="str">
        <f>INDEX(_TARGETS!$H$2:$H$17,MATCH($C1110,_TARGETS!$A$2:$A$17,0))</f>
        <v>Definida</v>
      </c>
      <c r="S1110" s="193" t="str">
        <f t="shared" si="113"/>
        <v/>
      </c>
      <c r="T1110" s="193" t="str">
        <f t="shared" si="114"/>
        <v/>
      </c>
    </row>
    <row r="1111" spans="1:20" ht="14.25" customHeight="1" x14ac:dyDescent="0.3">
      <c r="A1111" s="249">
        <f>KPIs!$AD$3</f>
        <v>47027</v>
      </c>
      <c r="B1111" s="193" t="str">
        <f>KPIs!AD$4</f>
        <v>Compresora</v>
      </c>
      <c r="C1111" t="s">
        <v>89</v>
      </c>
      <c r="D1111" s="193" t="str">
        <f>KPIs!$A$47</f>
        <v>12 · Cumplimiento de comités y subcomités de seguridad · YTD</v>
      </c>
      <c r="E1111" t="s">
        <v>601</v>
      </c>
      <c r="F1111" s="193" t="str">
        <f>IF(ISNUMBER(KPIs!AD47),KPIs!AD47,"")</f>
        <v/>
      </c>
      <c r="G1111" s="254">
        <f>IF(ISNUMBER(KPIs!$C$47),KPIs!$C$47,"")</f>
        <v>1</v>
      </c>
      <c r="H1111" s="193" t="str">
        <f>IFERROR(INDEX(_TARGETS!$E$2:$E$17,MATCH($C1111,_TARGETS!$A$2:$A$17,0))&amp;"","")</f>
        <v>≥</v>
      </c>
      <c r="I1111" s="193" t="str">
        <f t="shared" si="110"/>
        <v/>
      </c>
      <c r="J1111" s="193" t="str">
        <f t="shared" si="111"/>
        <v>YTD</v>
      </c>
      <c r="K1111" s="193">
        <f>SUMIFS(Datos!$D$26:$AL$26,Datos!$D$3:$AL$3,"&gt;="&amp;DATE(YEAR(Datos!AD$3),1,1),Datos!$D$3:$AL$3,"&lt;="&amp;Datos!AD$3)</f>
        <v>0</v>
      </c>
      <c r="L1111" s="193">
        <f>SUMIFS(Datos!$D$27:$AL$27,Datos!$D$3:$AL$3,"&gt;="&amp;DATE(YEAR(Datos!AD$3),1,1),Datos!$D$3:$AL$3,"&lt;="&amp;Datos!AD$3)</f>
        <v>0</v>
      </c>
      <c r="M1111" s="193">
        <f>INDEX(_TARGETS!$J$2:$J$17,MATCH($C1111,_TARGETS!$A$2:$A$17,0))</f>
        <v>1</v>
      </c>
      <c r="N1111" s="193" t="str">
        <f>INDEX(_TARGETS!$D$2:$D$17,MATCH($C1111,_TARGETS!$A$2:$A$17,0))</f>
        <v>% (fracción)</v>
      </c>
      <c r="O1111" s="193" t="str">
        <f>IF(NOT(ISNUMBER(F1111)),IF(SUMPRODUCT(($C$2:$C$1300=C1111)*($J$2:$J$1300="Monthly")*($A$2:$A$1300&lt;=A1111)*(YEAR($A$2:$A$1300)=YEAR(A1111))*ISNUMBER($K$2:$K$1300)*ISNUMBER($L$2:$L$1300)*($L$2:$L$1300=0)*($K$2:$K$1300&gt;0))&gt;0,"INCOMPLETE","MISSING"),O560)</f>
        <v>MISSING</v>
      </c>
      <c r="P1111" s="193" t="str">
        <f>INDEX(_TARGETS!$K$2:$K$17,MATCH($C1111,_TARGETS!$A$2:$A$17,0))</f>
        <v>OPS (carga manual en Datos)</v>
      </c>
      <c r="Q1111" s="193" t="str">
        <f t="shared" si="112"/>
        <v>202810|CCS|YTD</v>
      </c>
      <c r="R1111" s="193" t="str">
        <f>INDEX(_TARGETS!$H$2:$H$17,MATCH($C1111,_TARGETS!$A$2:$A$17,0))</f>
        <v>Definida</v>
      </c>
      <c r="S1111" s="193" t="str">
        <f t="shared" si="113"/>
        <v/>
      </c>
      <c r="T1111" s="193" t="str">
        <f t="shared" si="114"/>
        <v/>
      </c>
    </row>
    <row r="1112" spans="1:20" ht="14.25" customHeight="1" x14ac:dyDescent="0.3">
      <c r="A1112" s="249">
        <f>KPIs!$AD$3</f>
        <v>47027</v>
      </c>
      <c r="B1112" s="193" t="str">
        <f>KPIs!AD$4</f>
        <v>Compresora</v>
      </c>
      <c r="C1112" t="s">
        <v>91</v>
      </c>
      <c r="D1112" s="193" t="str">
        <f>KPIs!$A$48</f>
        <v>13 · Días promedio para cerrar hallazgos · YTD</v>
      </c>
      <c r="E1112" t="s">
        <v>601</v>
      </c>
      <c r="F1112" s="251" t="str">
        <f>IF(ISNUMBER(KPIs!AD48),KPIs!AD48,"")</f>
        <v/>
      </c>
      <c r="G1112" s="193" t="str">
        <f>IF(ISNUMBER(KPIs!$C$48),KPIs!$C$48,"")</f>
        <v/>
      </c>
      <c r="H1112" s="193" t="str">
        <f>IFERROR(INDEX(_TARGETS!$E$2:$E$17,MATCH($C1112,_TARGETS!$A$2:$A$17,0))&amp;"","")</f>
        <v>≤</v>
      </c>
      <c r="I1112" s="193" t="str">
        <f t="shared" si="110"/>
        <v/>
      </c>
      <c r="J1112" s="193" t="str">
        <f t="shared" si="111"/>
        <v>YTD</v>
      </c>
      <c r="K1112" s="193">
        <f>SUMIFS(Datos!$D$68:$AL$68,Datos!$D$3:$AL$3,"&gt;="&amp;DATE(YEAR(Datos!AD$3),1,1),Datos!$D$3:$AL$3,"&lt;="&amp;Datos!AD$3)</f>
        <v>0</v>
      </c>
      <c r="L1112" s="193">
        <f>SUMIFS(Datos!$D$67:$AL$67,Datos!$D$3:$AL$3,"&gt;="&amp;DATE(YEAR(Datos!AD$3),1,1),Datos!$D$3:$AL$3,"&lt;="&amp;Datos!AD$3)</f>
        <v>0</v>
      </c>
      <c r="M1112" s="193">
        <f>INDEX(_TARGETS!$J$2:$J$17,MATCH($C1112,_TARGETS!$A$2:$A$17,0))</f>
        <v>1</v>
      </c>
      <c r="N1112" s="193" t="str">
        <f>INDEX(_TARGETS!$D$2:$D$17,MATCH($C1112,_TARGETS!$A$2:$A$17,0))</f>
        <v>días</v>
      </c>
      <c r="O1112" s="193" t="str">
        <f>IF(NOT(ISNUMBER(F1112)),IF(SUMPRODUCT(($C$2:$C$1300=C1112)*($J$2:$J$1300="Monthly")*($A$2:$A$1300&lt;=A1112)*(YEAR($A$2:$A$1300)=YEAR(A1112))*ISNUMBER($K$2:$K$1300)*ISNUMBER($L$2:$L$1300)*($L$2:$L$1300=0)*($K$2:$K$1300&gt;0))&gt;0,"INCOMPLETE","MISSING"),O561)</f>
        <v>MISSING</v>
      </c>
      <c r="P1112" s="193" t="str">
        <f>INDEX(_TARGETS!$K$2:$K$17,MATCH($C1112,_TARGETS!$A$2:$A$17,0))</f>
        <v>Plant Findings (hoja Observaciones-SMP)</v>
      </c>
      <c r="Q1112" s="193" t="str">
        <f t="shared" si="112"/>
        <v>202810|DPAS|YTD</v>
      </c>
      <c r="R1112" s="193" t="str">
        <f>INDEX(_TARGETS!$H$2:$H$17,MATCH($C1112,_TARGETS!$A$2:$A$17,0))</f>
        <v>Pendiente (meta 2027)</v>
      </c>
      <c r="S1112" s="193" t="str">
        <f t="shared" si="113"/>
        <v/>
      </c>
      <c r="T1112" s="193" t="str">
        <f t="shared" si="114"/>
        <v/>
      </c>
    </row>
    <row r="1113" spans="1:20" ht="14.25" customHeight="1" x14ac:dyDescent="0.3">
      <c r="A1113" s="249">
        <f>KPIs!$AD$3</f>
        <v>47027</v>
      </c>
      <c r="B1113" s="193" t="str">
        <f>KPIs!AD$4</f>
        <v>Compresora</v>
      </c>
      <c r="C1113" t="s">
        <v>96</v>
      </c>
      <c r="D1113" s="193" t="str">
        <f>KPIs!$A$49</f>
        <v>C1 · % de desvíos detectados de gravedad Alta · YTD</v>
      </c>
      <c r="E1113" t="s">
        <v>601</v>
      </c>
      <c r="F1113" s="193" t="str">
        <f>IF(ISNUMBER(KPIs!AD49),KPIs!AD49,"")</f>
        <v/>
      </c>
      <c r="G1113" s="193" t="str">
        <f>IF(ISNUMBER(KPIs!$C$49),KPIs!$C$49,"")</f>
        <v/>
      </c>
      <c r="H1113" s="193" t="str">
        <f>IFERROR(INDEX(_TARGETS!$E$2:$E$17,MATCH($C1113,_TARGETS!$A$2:$A$17,0))&amp;"","")</f>
        <v/>
      </c>
      <c r="I1113" s="193" t="str">
        <f t="shared" si="110"/>
        <v/>
      </c>
      <c r="J1113" s="193" t="str">
        <f t="shared" si="111"/>
        <v>YTD</v>
      </c>
      <c r="K1113" s="193">
        <f>SUMIFS(Datos!$D$71:$AL$71,Datos!$D$3:$AL$3,"&gt;="&amp;DATE(YEAR(Datos!AD$3),1,1),Datos!$D$3:$AL$3,"&lt;="&amp;Datos!AD$3)</f>
        <v>0</v>
      </c>
      <c r="L1113" s="193">
        <f>SUMIFS(Datos!$D$71:$AL$71,Datos!$D$3:$AL$3,"&gt;="&amp;DATE(YEAR(Datos!AD$3),1,1),Datos!$D$3:$AL$3,"&lt;="&amp;Datos!AD$3)+SUMIFS(Datos!$D$72:$AL$72,Datos!$D$3:$AL$3,"&gt;="&amp;DATE(YEAR(Datos!AD$3),1,1),Datos!$D$3:$AL$3,"&lt;="&amp;Datos!AD$3)+SUMIFS(Datos!$D$73:$AL$73,Datos!$D$3:$AL$3,"&gt;="&amp;DATE(YEAR(Datos!AD$3),1,1),Datos!$D$3:$AL$3,"&lt;="&amp;Datos!AD$3)</f>
        <v>0</v>
      </c>
      <c r="M1113" s="193">
        <f>INDEX(_TARGETS!$J$2:$J$17,MATCH($C1113,_TARGETS!$A$2:$A$17,0))</f>
        <v>1</v>
      </c>
      <c r="N1113" s="193" t="str">
        <f>INDEX(_TARGETS!$D$2:$D$17,MATCH($C1113,_TARGETS!$A$2:$A$17,0))</f>
        <v>% (fracción)</v>
      </c>
      <c r="O1113" s="193" t="str">
        <f t="shared" ref="O1113:O1119" si="116">IF(NOT(ISNUMBER(F1113)),IF(SUMPRODUCT(($C$2:$C$1300=C1113)*($J$2:$J$1300="Monthly")*($A$2:$A$1300&lt;=A1113)*(YEAR($A$2:$A$1300)=YEAR(A1113))*ISNUMBER($K$2:$K$1300)*ISNUMBER($L$2:$L$1300)*($L$2:$L$1300=0)*($K$2:$K$1300&gt;0))&gt;0,"INCOMPLETE","MISSING"),O567)</f>
        <v>MISSING</v>
      </c>
      <c r="P1113" s="193" t="str">
        <f>INDEX(_TARGETS!$K$2:$K$17,MATCH($C1113,_TARGETS!$A$2:$A$17,0))</f>
        <v>Plant Findings (hoja Observaciones-SMP)</v>
      </c>
      <c r="Q1113" s="193" t="str">
        <f t="shared" si="112"/>
        <v>202810|HAL_ALTA_PCT|YTD</v>
      </c>
      <c r="R1113" s="193" t="str">
        <f>INDEX(_TARGETS!$H$2:$H$17,MATCH($C1113,_TARGETS!$A$2:$A$17,0))</f>
        <v>Solo reporte</v>
      </c>
      <c r="S1113" s="193" t="str">
        <f t="shared" si="113"/>
        <v/>
      </c>
      <c r="T1113" s="193" t="str">
        <f t="shared" si="114"/>
        <v/>
      </c>
    </row>
    <row r="1114" spans="1:20" ht="14.25" customHeight="1" x14ac:dyDescent="0.3">
      <c r="A1114" s="249">
        <f>KPIs!$AD$3</f>
        <v>47027</v>
      </c>
      <c r="B1114" s="193" t="str">
        <f>KPIs!AD$4</f>
        <v>Compresora</v>
      </c>
      <c r="C1114" t="s">
        <v>98</v>
      </c>
      <c r="D1114" s="193" t="str">
        <f>KPIs!$A$50</f>
        <v>C2 · Detenciones de tareas aplicadas · YTD</v>
      </c>
      <c r="E1114" t="s">
        <v>601</v>
      </c>
      <c r="F1114" s="193" t="str">
        <f>IF(ISNUMBER(KPIs!AD50),KPIs!AD50,"")</f>
        <v/>
      </c>
      <c r="G1114" s="193" t="str">
        <f>IF(ISNUMBER(KPIs!$C$50),KPIs!$C$50,"")</f>
        <v/>
      </c>
      <c r="H1114" s="193" t="str">
        <f>IFERROR(INDEX(_TARGETS!$E$2:$E$17,MATCH($C1114,_TARGETS!$A$2:$A$17,0))&amp;"","")</f>
        <v/>
      </c>
      <c r="I1114" s="193" t="str">
        <f t="shared" si="110"/>
        <v/>
      </c>
      <c r="J1114" s="193" t="str">
        <f t="shared" si="111"/>
        <v>YTD</v>
      </c>
      <c r="K1114" s="193">
        <f>SUMIFS(Datos!$D$75:$AL$75,Datos!$D$3:$AL$3,"&gt;="&amp;DATE(YEAR(Datos!AD$3),1,1),Datos!$D$3:$AL$3,"&lt;="&amp;Datos!AD$3)</f>
        <v>0</v>
      </c>
      <c r="M1114" s="193">
        <f>INDEX(_TARGETS!$J$2:$J$17,MATCH($C1114,_TARGETS!$A$2:$A$17,0))</f>
        <v>1</v>
      </c>
      <c r="N1114" s="193" t="str">
        <f>INDEX(_TARGETS!$D$2:$D$17,MATCH($C1114,_TARGETS!$A$2:$A$17,0))</f>
        <v>u</v>
      </c>
      <c r="O1114" s="193" t="str">
        <f t="shared" si="116"/>
        <v>MISSING</v>
      </c>
      <c r="P1114" s="193" t="str">
        <f>INDEX(_TARGETS!$K$2:$K$17,MATCH($C1114,_TARGETS!$A$2:$A$17,0))</f>
        <v>Plant Findings (hoja Observaciones-SMP)</v>
      </c>
      <c r="Q1114" s="193" t="str">
        <f t="shared" si="112"/>
        <v>202810|DET|YTD</v>
      </c>
      <c r="R1114" s="193" t="str">
        <f>INDEX(_TARGETS!$H$2:$H$17,MATCH($C1114,_TARGETS!$A$2:$A$17,0))</f>
        <v>Solo reporte</v>
      </c>
      <c r="S1114" s="193">
        <f t="shared" si="113"/>
        <v>0</v>
      </c>
      <c r="T1114" s="193" t="str">
        <f t="shared" si="114"/>
        <v/>
      </c>
    </row>
    <row r="1115" spans="1:20" ht="14.25" customHeight="1" x14ac:dyDescent="0.3">
      <c r="A1115" s="249">
        <f>KPIs!$AE$3</f>
        <v>47058</v>
      </c>
      <c r="B1115" s="193" t="str">
        <f>KPIs!AE$4</f>
        <v>Compresora</v>
      </c>
      <c r="C1115" t="s">
        <v>39</v>
      </c>
      <c r="D1115" s="193" t="str">
        <f>KPIs!$A$37</f>
        <v>1 · Frecuencia de casos con días perdidos · YTD</v>
      </c>
      <c r="E1115" t="s">
        <v>601</v>
      </c>
      <c r="F1115" s="193" t="str">
        <f>IF(ISNUMBER(KPIs!AE37),KPIs!AE37,"")</f>
        <v/>
      </c>
      <c r="G1115" s="250">
        <f>IF(ISNUMBER(KPIs!$C$37),KPIs!$C$37,"")</f>
        <v>0</v>
      </c>
      <c r="H1115" s="193" t="str">
        <f>IFERROR(INDEX(_TARGETS!$E$2:$E$17,MATCH($C1115,_TARGETS!$A$2:$A$17,0))&amp;"","")</f>
        <v>≤</v>
      </c>
      <c r="I1115" s="193" t="str">
        <f t="shared" si="110"/>
        <v/>
      </c>
      <c r="J1115" s="193" t="str">
        <f t="shared" si="111"/>
        <v>YTD</v>
      </c>
      <c r="K1115" s="193">
        <f>SUMIFS(Datos!$D$33:$AL$33,Datos!$D$3:$AL$3,"&gt;="&amp;DATE(YEAR(Datos!AE$3),1,1),Datos!$D$3:$AL$3,"&lt;="&amp;Datos!AE$3)</f>
        <v>0</v>
      </c>
      <c r="L1115" s="193">
        <f>SUMIFS(Datos!$D$14:$AL$14,Datos!$D$3:$AL$3,"&gt;="&amp;DATE(YEAR(Datos!AE$3),1,1),Datos!$D$3:$AL$3,"&lt;="&amp;Datos!AE$3)</f>
        <v>0</v>
      </c>
      <c r="M1115" s="193">
        <f>INDEX(_TARGETS!$J$2:$J$17,MATCH($C1115,_TARGETS!$A$2:$A$17,0))</f>
        <v>1000000</v>
      </c>
      <c r="N1115" s="193" t="str">
        <f>INDEX(_TARGETS!$D$2:$D$17,MATCH($C1115,_TARGETS!$A$2:$A$17,0))</f>
        <v>casos / 10^6 HH</v>
      </c>
      <c r="O1115" s="193" t="str">
        <f t="shared" si="116"/>
        <v>MISSING</v>
      </c>
      <c r="P1115" s="193" t="str">
        <f>INDEX(_TARGETS!$K$2:$K$17,MATCH($C1115,_TARGETS!$A$2:$A$17,0))</f>
        <v>OPS (carga manual en Datos)</v>
      </c>
      <c r="Q1115" s="193" t="str">
        <f t="shared" si="112"/>
        <v>202811|DAFWCF|YTD</v>
      </c>
      <c r="R1115" s="193" t="str">
        <f>INDEX(_TARGETS!$H$2:$H$17,MATCH($C1115,_TARGETS!$A$2:$A$17,0))</f>
        <v>Definida</v>
      </c>
      <c r="S1115" s="193" t="str">
        <f t="shared" si="113"/>
        <v/>
      </c>
      <c r="T1115" s="193" t="str">
        <f t="shared" si="114"/>
        <v/>
      </c>
    </row>
    <row r="1116" spans="1:20" ht="14.25" customHeight="1" x14ac:dyDescent="0.3">
      <c r="A1116" s="249">
        <f>KPIs!$AE$3</f>
        <v>47058</v>
      </c>
      <c r="B1116" s="193" t="str">
        <f>KPIs!AE$4</f>
        <v>Compresora</v>
      </c>
      <c r="C1116" t="s">
        <v>49</v>
      </c>
      <c r="D1116" s="193" t="str">
        <f>KPIs!$A$38</f>
        <v>2 · Frecuencia de casos registrables · YTD</v>
      </c>
      <c r="E1116" t="s">
        <v>601</v>
      </c>
      <c r="F1116" s="193" t="str">
        <f>IF(ISNUMBER(KPIs!AE38),KPIs!AE38,"")</f>
        <v/>
      </c>
      <c r="G1116" s="250">
        <f>IF(ISNUMBER(KPIs!$C$38),KPIs!$C$38,"")</f>
        <v>2.35</v>
      </c>
      <c r="H1116" s="193" t="str">
        <f>IFERROR(INDEX(_TARGETS!$E$2:$E$17,MATCH($C1116,_TARGETS!$A$2:$A$17,0))&amp;"","")</f>
        <v>≤</v>
      </c>
      <c r="I1116" s="193" t="str">
        <f t="shared" si="110"/>
        <v/>
      </c>
      <c r="J1116" s="193" t="str">
        <f t="shared" si="111"/>
        <v>YTD</v>
      </c>
      <c r="K1116" s="193">
        <f>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f>
        <v>0</v>
      </c>
      <c r="L1116" s="193">
        <f>SUMIFS(Datos!$D$14:$AL$14,Datos!$D$3:$AL$3,"&gt;="&amp;DATE(YEAR(Datos!AE$3),1,1),Datos!$D$3:$AL$3,"&lt;="&amp;Datos!AE$3)</f>
        <v>0</v>
      </c>
      <c r="M1116" s="193">
        <f>INDEX(_TARGETS!$J$2:$J$17,MATCH($C1116,_TARGETS!$A$2:$A$17,0))</f>
        <v>1000000</v>
      </c>
      <c r="N1116" s="193" t="str">
        <f>INDEX(_TARGETS!$D$2:$D$17,MATCH($C1116,_TARGETS!$A$2:$A$17,0))</f>
        <v>casos / 10^6 HH</v>
      </c>
      <c r="O1116" s="193" t="str">
        <f t="shared" si="116"/>
        <v>MISSING</v>
      </c>
      <c r="P1116" s="193" t="str">
        <f>INDEX(_TARGETS!$K$2:$K$17,MATCH($C1116,_TARGETS!$A$2:$A$17,0))</f>
        <v>OPS (carga manual en Datos)</v>
      </c>
      <c r="Q1116" s="193" t="str">
        <f t="shared" si="112"/>
        <v>202811|TRICF|YTD</v>
      </c>
      <c r="R1116" s="193" t="str">
        <f>INDEX(_TARGETS!$H$2:$H$17,MATCH($C1116,_TARGETS!$A$2:$A$17,0))</f>
        <v>Definida</v>
      </c>
      <c r="S1116" s="193" t="str">
        <f t="shared" si="113"/>
        <v/>
      </c>
      <c r="T1116" s="193" t="str">
        <f t="shared" si="114"/>
        <v/>
      </c>
    </row>
    <row r="1117" spans="1:20" ht="14.25" customHeight="1" x14ac:dyDescent="0.3">
      <c r="A1117" s="249">
        <f>KPIs!$AE$3</f>
        <v>47058</v>
      </c>
      <c r="B1117" s="193" t="str">
        <f>KPIs!AE$4</f>
        <v>Compresora</v>
      </c>
      <c r="C1117" t="s">
        <v>51</v>
      </c>
      <c r="D1117" s="193" t="str">
        <f>KPIs!$A$39</f>
        <v>3 · Casos de primeros auxilios · YTD</v>
      </c>
      <c r="E1117" t="s">
        <v>601</v>
      </c>
      <c r="F1117" s="193" t="str">
        <f>IF(ISNUMBER(KPIs!AE39),KPIs!AE39,"")</f>
        <v/>
      </c>
      <c r="G1117" s="193" t="str">
        <f>IF(ISNUMBER(KPIs!$C$39),KPIs!$C$39,"")</f>
        <v/>
      </c>
      <c r="H1117" s="193" t="str">
        <f>IFERROR(INDEX(_TARGETS!$E$2:$E$17,MATCH($C1117,_TARGETS!$A$2:$A$17,0))&amp;"","")</f>
        <v/>
      </c>
      <c r="I1117" s="193" t="str">
        <f t="shared" si="110"/>
        <v/>
      </c>
      <c r="J1117" s="193" t="str">
        <f t="shared" si="111"/>
        <v>YTD</v>
      </c>
      <c r="K1117" s="193">
        <f>SUMIFS(Datos!$D$37:$AL$37,Datos!$D$3:$AL$3,"&gt;="&amp;DATE(YEAR(Datos!AE$3),1,1),Datos!$D$3:$AL$3,"&lt;="&amp;Datos!AE$3)</f>
        <v>0</v>
      </c>
      <c r="M1117" s="193">
        <f>INDEX(_TARGETS!$J$2:$J$17,MATCH($C1117,_TARGETS!$A$2:$A$17,0))</f>
        <v>1</v>
      </c>
      <c r="N1117" s="193" t="str">
        <f>INDEX(_TARGETS!$D$2:$D$17,MATCH($C1117,_TARGETS!$A$2:$A$17,0))</f>
        <v>casos</v>
      </c>
      <c r="O1117" s="193" t="str">
        <f t="shared" si="116"/>
        <v>MISSING</v>
      </c>
      <c r="P1117" s="193" t="str">
        <f>INDEX(_TARGETS!$K$2:$K$17,MATCH($C1117,_TARGETS!$A$2:$A$17,0))</f>
        <v>OPS (carga manual en Datos)</v>
      </c>
      <c r="Q1117" s="193" t="str">
        <f t="shared" si="112"/>
        <v>202811|FAC|YTD</v>
      </c>
      <c r="R1117" s="193" t="str">
        <f>INDEX(_TARGETS!$H$2:$H$17,MATCH($C1117,_TARGETS!$A$2:$A$17,0))</f>
        <v>Solo reporte</v>
      </c>
      <c r="S1117" s="193">
        <f t="shared" si="113"/>
        <v>0</v>
      </c>
      <c r="T1117" s="193" t="str">
        <f t="shared" si="114"/>
        <v/>
      </c>
    </row>
    <row r="1118" spans="1:20" ht="14.25" customHeight="1" x14ac:dyDescent="0.3">
      <c r="A1118" s="249">
        <f>KPIs!$AE$3</f>
        <v>47058</v>
      </c>
      <c r="B1118" s="193" t="str">
        <f>KPIs!AE$4</f>
        <v>Compresora</v>
      </c>
      <c r="C1118" t="s">
        <v>57</v>
      </c>
      <c r="D1118" s="193" t="str">
        <f>KPIs!$A$40</f>
        <v>4 · Accidentes vehiculares severos por millón de km · YTD</v>
      </c>
      <c r="E1118" t="s">
        <v>601</v>
      </c>
      <c r="F1118" s="193" t="str">
        <f>IF(ISNUMBER(KPIs!AE40),KPIs!AE40,"")</f>
        <v/>
      </c>
      <c r="G1118" s="193" t="str">
        <f>IF(ISNUMBER(KPIs!$C$40),KPIs!$C$40,"")</f>
        <v/>
      </c>
      <c r="H1118" s="193" t="str">
        <f>IFERROR(INDEX(_TARGETS!$E$2:$E$17,MATCH($C1118,_TARGETS!$A$2:$A$17,0))&amp;"","")</f>
        <v/>
      </c>
      <c r="I1118" s="193" t="str">
        <f t="shared" si="110"/>
        <v/>
      </c>
      <c r="J1118" s="193" t="str">
        <f t="shared" si="111"/>
        <v>YTD</v>
      </c>
      <c r="K1118" s="193">
        <f>SUMIFS(Datos!$D$39:$AL$39,Datos!$D$3:$AL$3,"&gt;="&amp;DATE(YEAR(Datos!AE$3),1,1),Datos!$D$3:$AL$3,"&lt;="&amp;Datos!AE$3)+SUMIFS(Datos!$D$40:$AL$40,Datos!$D$3:$AL$3,"&gt;="&amp;DATE(YEAR(Datos!AE$3),1,1),Datos!$D$3:$AL$3,"&lt;="&amp;Datos!AE$3)+SUMIFS(Datos!$D$41:$AL$41,Datos!$D$3:$AL$3,"&gt;="&amp;DATE(YEAR(Datos!AE$3),1,1),Datos!$D$3:$AL$3,"&lt;="&amp;Datos!AE$3)</f>
        <v>0</v>
      </c>
      <c r="L1118" s="193">
        <f>SUMIFS(Datos!$D$47:$AL$47,Datos!$D$3:$AL$3,"&gt;="&amp;DATE(YEAR(Datos!AE$3),1,1),Datos!$D$3:$AL$3,"&lt;="&amp;Datos!AE$3)</f>
        <v>0</v>
      </c>
      <c r="M1118" s="193">
        <f>INDEX(_TARGETS!$J$2:$J$17,MATCH($C1118,_TARGETS!$A$2:$A$17,0))</f>
        <v>1000000</v>
      </c>
      <c r="N1118" s="193" t="str">
        <f>INDEX(_TARGETS!$D$2:$D$17,MATCH($C1118,_TARGETS!$A$2:$A$17,0))</f>
        <v>eventos / 10^6 km</v>
      </c>
      <c r="O1118" s="193" t="str">
        <f t="shared" si="116"/>
        <v>MISSING</v>
      </c>
      <c r="P1118" s="193" t="str">
        <f>INDEX(_TARGETS!$K$2:$K$17,MATCH($C1118,_TARGETS!$A$2:$A$17,0))</f>
        <v>OPS (eventos) + Full Control GPS (km) - carga manual en Datos</v>
      </c>
      <c r="Q1118" s="193" t="str">
        <f t="shared" si="112"/>
        <v>202811|SVCR|YTD</v>
      </c>
      <c r="R1118" s="193" t="str">
        <f>INDEX(_TARGETS!$H$2:$H$17,MATCH($C1118,_TARGETS!$A$2:$A$17,0))</f>
        <v>Solo reporte</v>
      </c>
      <c r="S1118" s="193" t="str">
        <f t="shared" si="113"/>
        <v/>
      </c>
      <c r="T1118" s="193" t="str">
        <f t="shared" si="114"/>
        <v/>
      </c>
    </row>
    <row r="1119" spans="1:20" ht="14.25" customHeight="1" x14ac:dyDescent="0.3">
      <c r="A1119" s="249">
        <f>KPIs!$AE$3</f>
        <v>47058</v>
      </c>
      <c r="B1119" s="193" t="str">
        <f>KPIs!AE$4</f>
        <v>Compresora</v>
      </c>
      <c r="C1119" t="s">
        <v>61</v>
      </c>
      <c r="D1119" s="193" t="str">
        <f>KPIs!$A$41</f>
        <v>5 · Accidentes vehiculares totales por millón de km · YTD</v>
      </c>
      <c r="E1119" t="s">
        <v>601</v>
      </c>
      <c r="F1119" s="193" t="str">
        <f>IF(ISNUMBER(KPIs!AE41),KPIs!AE41,"")</f>
        <v/>
      </c>
      <c r="G1119" s="250">
        <f>IF(ISNUMBER(KPIs!$C$41),KPIs!$C$41,"")</f>
        <v>0.79</v>
      </c>
      <c r="H1119" s="193" t="str">
        <f>IFERROR(INDEX(_TARGETS!$E$2:$E$17,MATCH($C1119,_TARGETS!$A$2:$A$17,0))&amp;"","")</f>
        <v>≤</v>
      </c>
      <c r="I1119" s="193" t="str">
        <f t="shared" si="110"/>
        <v/>
      </c>
      <c r="J1119" s="193" t="str">
        <f t="shared" si="111"/>
        <v>YTD</v>
      </c>
      <c r="K1119" s="193">
        <f>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f>
        <v>0</v>
      </c>
      <c r="L1119" s="193">
        <f>SUMIFS(Datos!$D$47:$AL$47,Datos!$D$3:$AL$3,"&gt;="&amp;DATE(YEAR(Datos!AE$3),1,1),Datos!$D$3:$AL$3,"&lt;="&amp;Datos!AE$3)</f>
        <v>0</v>
      </c>
      <c r="M1119" s="193">
        <f>INDEX(_TARGETS!$J$2:$J$17,MATCH($C1119,_TARGETS!$A$2:$A$17,0))</f>
        <v>1000000</v>
      </c>
      <c r="N1119" s="193" t="str">
        <f>INDEX(_TARGETS!$D$2:$D$17,MATCH($C1119,_TARGETS!$A$2:$A$17,0))</f>
        <v>eventos / 10^6 km</v>
      </c>
      <c r="O1119" s="193" t="str">
        <f t="shared" si="116"/>
        <v>MISSING</v>
      </c>
      <c r="P1119" s="193" t="str">
        <f>INDEX(_TARGETS!$K$2:$K$17,MATCH($C1119,_TARGETS!$A$2:$A$17,0))</f>
        <v>OPS (eventos) + Full Control GPS (km) - carga manual en Datos</v>
      </c>
      <c r="Q1119" s="193" t="str">
        <f t="shared" si="112"/>
        <v>202811|TVCR|YTD</v>
      </c>
      <c r="R1119" s="193" t="str">
        <f>INDEX(_TARGETS!$H$2:$H$17,MATCH($C1119,_TARGETS!$A$2:$A$17,0))</f>
        <v>Definida</v>
      </c>
      <c r="S1119" s="193" t="str">
        <f t="shared" si="113"/>
        <v/>
      </c>
      <c r="T1119" s="193" t="str">
        <f t="shared" si="114"/>
        <v/>
      </c>
    </row>
    <row r="1120" spans="1:20" ht="14.25" customHeight="1" x14ac:dyDescent="0.3">
      <c r="A1120" s="249">
        <f>KPIs!$AE$3</f>
        <v>47058</v>
      </c>
      <c r="B1120" s="193" t="str">
        <f>KPIs!AE$4</f>
        <v>Compresora</v>
      </c>
      <c r="C1120" t="s">
        <v>71</v>
      </c>
      <c r="D1120" s="193" t="str">
        <f>KPIs!$A$42</f>
        <v>7 · Investigaciones de accidentes: días promedio de cierre · YTD</v>
      </c>
      <c r="E1120" t="s">
        <v>601</v>
      </c>
      <c r="F1120" s="193" t="str">
        <f>IF(ISNUMBER(KPIs!AE42),KPIs!AE42,"")</f>
        <v/>
      </c>
      <c r="G1120" s="251">
        <f>IF(ISNUMBER(KPIs!$C$42),KPIs!$C$42,"")</f>
        <v>20</v>
      </c>
      <c r="H1120" s="193" t="str">
        <f>IFERROR(INDEX(_TARGETS!$E$2:$E$17,MATCH($C1120,_TARGETS!$A$2:$A$17,0))&amp;"","")</f>
        <v>≤</v>
      </c>
      <c r="I1120" s="193" t="str">
        <f t="shared" si="110"/>
        <v/>
      </c>
      <c r="J1120" s="193" t="str">
        <f t="shared" si="111"/>
        <v>YTD</v>
      </c>
      <c r="K1120" s="193">
        <f>SUMIFS(Datos!$D$31:$AL$31,Datos!$D$3:$AL$3,"&gt;="&amp;DATE(YEAR(Datos!AE$3),1,1),Datos!$D$3:$AL$3,"&lt;="&amp;Datos!AE$3)</f>
        <v>0</v>
      </c>
      <c r="L1120" s="193">
        <f>SUMIFS(Datos!$D$30:$AL$30,Datos!$D$3:$AL$3,"&gt;="&amp;DATE(YEAR(Datos!AE$3),1,1),Datos!$D$3:$AL$3,"&lt;="&amp;Datos!AE$3)</f>
        <v>0</v>
      </c>
      <c r="M1120" s="193">
        <f>INDEX(_TARGETS!$J$2:$J$17,MATCH($C1120,_TARGETS!$A$2:$A$17,0))</f>
        <v>1</v>
      </c>
      <c r="N1120" s="193" t="str">
        <f>INDEX(_TARGETS!$D$2:$D$17,MATCH($C1120,_TARGETS!$A$2:$A$17,0))</f>
        <v>días</v>
      </c>
      <c r="O1120" s="193" t="str">
        <f>IF(NOT(ISNUMBER(F1120)),IF(SUMPRODUCT(($C$2:$C$1300=C1120)*($J$2:$J$1300="Monthly")*($A$2:$A$1300&lt;=A1120)*(YEAR($A$2:$A$1300)=YEAR(A1120))*ISNUMBER($K$2:$K$1300)*ISNUMBER($L$2:$L$1300)*($L$2:$L$1300=0)*($K$2:$K$1300&gt;0))&gt;0,"INCOMPLETE","MISSING"),O575)</f>
        <v>MISSING</v>
      </c>
      <c r="P1120" s="193" t="str">
        <f>INDEX(_TARGETS!$K$2:$K$17,MATCH($C1120,_TARGETS!$A$2:$A$17,0))</f>
        <v>OPS (carga manual en Datos)</v>
      </c>
      <c r="Q1120" s="193" t="str">
        <f t="shared" si="112"/>
        <v>202811|INV|YTD</v>
      </c>
      <c r="R1120" s="193" t="str">
        <f>INDEX(_TARGETS!$H$2:$H$17,MATCH($C1120,_TARGETS!$A$2:$A$17,0))</f>
        <v>Definida</v>
      </c>
      <c r="S1120" s="193" t="str">
        <f t="shared" si="113"/>
        <v/>
      </c>
      <c r="T1120" s="193" t="str">
        <f t="shared" si="114"/>
        <v/>
      </c>
    </row>
    <row r="1121" spans="1:20" ht="14.25" customHeight="1" x14ac:dyDescent="0.3">
      <c r="A1121" s="249">
        <f>KPIs!$AE$3</f>
        <v>47058</v>
      </c>
      <c r="B1121" s="193" t="str">
        <f>KPIs!AE$4</f>
        <v>Compresora</v>
      </c>
      <c r="C1121" t="s">
        <v>76</v>
      </c>
      <c r="D1121" s="193" t="str">
        <f>KPIs!$A$43</f>
        <v>8 · % de capacitación en seguridad · YTD</v>
      </c>
      <c r="E1121" t="s">
        <v>601</v>
      </c>
      <c r="F1121" s="193" t="str">
        <f>IF(ISNUMBER(KPIs!AE43),KPIs!AE43,"")</f>
        <v/>
      </c>
      <c r="G1121" s="252">
        <f>IF(ISNUMBER(KPIs!$C$43),KPIs!$C$43,"")</f>
        <v>0.01</v>
      </c>
      <c r="H1121" s="193" t="str">
        <f>IFERROR(INDEX(_TARGETS!$E$2:$E$17,MATCH($C1121,_TARGETS!$A$2:$A$17,0))&amp;"","")</f>
        <v>≥</v>
      </c>
      <c r="I1121" s="193" t="str">
        <f t="shared" si="110"/>
        <v/>
      </c>
      <c r="J1121" s="193" t="str">
        <f t="shared" si="111"/>
        <v>YTD</v>
      </c>
      <c r="K1121" s="193">
        <f>SUMIFS(Datos!$D$18:$AL$18,Datos!$D$3:$AL$3,"&gt;="&amp;DATE(YEAR(Datos!AE$3),1,1),Datos!$D$3:$AL$3,"&lt;="&amp;Datos!AE$3)</f>
        <v>0</v>
      </c>
      <c r="L1121" s="193">
        <f>SUMIFS(Datos!$D$14:$AL$14,Datos!$D$3:$AL$3,"&gt;="&amp;DATE(YEAR(Datos!AE$3),1,1),Datos!$D$3:$AL$3,"&lt;="&amp;Datos!AE$3)</f>
        <v>0</v>
      </c>
      <c r="M1121" s="193">
        <f>INDEX(_TARGETS!$J$2:$J$17,MATCH($C1121,_TARGETS!$A$2:$A$17,0))</f>
        <v>1</v>
      </c>
      <c r="N1121" s="193" t="str">
        <f>INDEX(_TARGETS!$D$2:$D$17,MATCH($C1121,_TARGETS!$A$2:$A$17,0))</f>
        <v>% (fracción)</v>
      </c>
      <c r="O1121" s="193" t="str">
        <f>IF(NOT(ISNUMBER(F1121)),IF(SUMPRODUCT(($C$2:$C$1300=C1121)*($J$2:$J$1300="Monthly")*($A$2:$A$1300&lt;=A1121)*(YEAR($A$2:$A$1300)=YEAR(A1121))*ISNUMBER($K$2:$K$1300)*ISNUMBER($L$2:$L$1300)*($L$2:$L$1300=0)*($K$2:$K$1300&gt;0))&gt;0,"INCOMPLETE","MISSING"),O576)</f>
        <v>MISSING</v>
      </c>
      <c r="P1121" s="193" t="str">
        <f>INDEX(_TARGETS!$K$2:$K$17,MATCH($C1121,_TARGETS!$A$2:$A$17,0))</f>
        <v>OPS (carga manual en Datos)</v>
      </c>
      <c r="Q1121" s="193" t="str">
        <f t="shared" si="112"/>
        <v>202811|HCS|YTD</v>
      </c>
      <c r="R1121" s="193" t="str">
        <f>INDEX(_TARGETS!$H$2:$H$17,MATCH($C1121,_TARGETS!$A$2:$A$17,0))</f>
        <v>Definida</v>
      </c>
      <c r="S1121" s="193" t="str">
        <f t="shared" si="113"/>
        <v/>
      </c>
      <c r="T1121" s="193" t="str">
        <f t="shared" si="114"/>
        <v/>
      </c>
    </row>
    <row r="1122" spans="1:20" ht="14.25" customHeight="1" x14ac:dyDescent="0.3">
      <c r="A1122" s="249">
        <f>KPIs!$AE$3</f>
        <v>47058</v>
      </c>
      <c r="B1122" s="193" t="str">
        <f>KPIs!AE$4</f>
        <v>Compresora</v>
      </c>
      <c r="C1122" t="s">
        <v>83</v>
      </c>
      <c r="D1122" s="193" t="str">
        <f>KPIs!$A$44</f>
        <v>10 · Cumplimiento de simulacros (emergencia y operativos) · YTD</v>
      </c>
      <c r="E1122" t="s">
        <v>601</v>
      </c>
      <c r="F1122" s="193" t="str">
        <f>IF(ISNUMBER(KPIs!AE44),KPIs!AE44,"")</f>
        <v/>
      </c>
      <c r="G1122" s="253">
        <f>IF(ISNUMBER(KPIs!$C$44),KPIs!$C$44,"")</f>
        <v>1</v>
      </c>
      <c r="H1122" s="193" t="str">
        <f>IFERROR(INDEX(_TARGETS!$E$2:$E$17,MATCH($C1122,_TARGETS!$A$2:$A$17,0))&amp;"","")</f>
        <v>≥</v>
      </c>
      <c r="I1122" s="193" t="str">
        <f t="shared" si="110"/>
        <v/>
      </c>
      <c r="J1122" s="193" t="str">
        <f t="shared" si="111"/>
        <v>YTD</v>
      </c>
      <c r="K1122" s="193">
        <f>SUMIFS(Datos!$D$20:$AL$20,Datos!$D$3:$AL$3,"&gt;="&amp;DATE(YEAR(Datos!AE$3),1,1),Datos!$D$3:$AL$3,"&lt;="&amp;Datos!AE$3)</f>
        <v>0</v>
      </c>
      <c r="L1122" s="193">
        <f>SUMIFS(Datos!$D$21:$AL$21,Datos!$D$3:$AL$3,"&gt;="&amp;DATE(YEAR(Datos!AE$3),1,1),Datos!$D$3:$AL$3,"&lt;="&amp;Datos!AE$3)</f>
        <v>0</v>
      </c>
      <c r="M1122" s="193">
        <f>INDEX(_TARGETS!$J$2:$J$17,MATCH($C1122,_TARGETS!$A$2:$A$17,0))</f>
        <v>1</v>
      </c>
      <c r="N1122" s="193" t="str">
        <f>INDEX(_TARGETS!$D$2:$D$17,MATCH($C1122,_TARGETS!$A$2:$A$17,0))</f>
        <v>% (fracción)</v>
      </c>
      <c r="O1122" s="193" t="str">
        <f>IF(NOT(ISNUMBER(F1122)),IF(SUMPRODUCT(($C$2:$C$1300=C1122)*($J$2:$J$1300="Monthly")*($A$2:$A$1300&lt;=A1122)*(YEAR($A$2:$A$1300)=YEAR(A1122))*ISNUMBER($K$2:$K$1300)*ISNUMBER($L$2:$L$1300)*($L$2:$L$1300=0)*($K$2:$K$1300&gt;0))&gt;0,"INCOMPLETE","MISSING"),O578)</f>
        <v>MISSING</v>
      </c>
      <c r="P1122" s="193" t="str">
        <f>INDEX(_TARGETS!$K$2:$K$17,MATCH($C1122,_TARGETS!$A$2:$A$17,0))</f>
        <v>OPS (carga manual en Datos)</v>
      </c>
      <c r="Q1122" s="193" t="str">
        <f t="shared" si="112"/>
        <v>202811|CPSE|YTD</v>
      </c>
      <c r="R1122" s="193" t="str">
        <f>INDEX(_TARGETS!$H$2:$H$17,MATCH($C1122,_TARGETS!$A$2:$A$17,0))</f>
        <v>Definida</v>
      </c>
      <c r="S1122" s="193" t="str">
        <f t="shared" si="113"/>
        <v/>
      </c>
      <c r="T1122" s="193" t="str">
        <f t="shared" si="114"/>
        <v/>
      </c>
    </row>
    <row r="1123" spans="1:20" ht="14.25" customHeight="1" x14ac:dyDescent="0.3">
      <c r="A1123" s="249">
        <f>KPIs!$AE$3</f>
        <v>47058</v>
      </c>
      <c r="B1123" s="193" t="str">
        <f>KPIs!AE$4</f>
        <v>Compresora</v>
      </c>
      <c r="C1123" t="s">
        <v>85</v>
      </c>
      <c r="D1123" s="193" t="str">
        <f>KPIs!$A$45</f>
        <v>10b · Cumplimiento de acciones de mejora de simulacros · YTD</v>
      </c>
      <c r="E1123" t="s">
        <v>601</v>
      </c>
      <c r="F1123" s="193" t="str">
        <f>IF(ISNUMBER(KPIs!AE45),KPIs!AE45,"")</f>
        <v/>
      </c>
      <c r="G1123" s="254" t="str">
        <f>IF(ISNUMBER(KPIs!$C$45),KPIs!$C$45,"")</f>
        <v/>
      </c>
      <c r="H1123" s="193" t="str">
        <f>IFERROR(INDEX(_TARGETS!$E$2:$E$17,MATCH($C1123,_TARGETS!$A$2:$A$17,0))&amp;"","")</f>
        <v/>
      </c>
      <c r="I1123" s="193" t="str">
        <f t="shared" si="110"/>
        <v/>
      </c>
      <c r="J1123" s="193" t="str">
        <f t="shared" si="111"/>
        <v>YTD</v>
      </c>
      <c r="K1123" s="193">
        <f>SUMIFS(Datos!$D$23:$AL$23,Datos!$D$3:$AL$3,"&gt;="&amp;DATE(YEAR(Datos!AE$3),1,1),Datos!$D$3:$AL$3,"&lt;="&amp;Datos!AE$3)</f>
        <v>0</v>
      </c>
      <c r="L1123" s="193">
        <f>SUMIFS(Datos!$D$22:$AL$22,Datos!$D$3:$AL$3,"&gt;="&amp;DATE(YEAR(Datos!AE$3),1,1),Datos!$D$3:$AL$3,"&lt;="&amp;Datos!AE$3)</f>
        <v>0</v>
      </c>
      <c r="M1123" s="193">
        <f>INDEX(_TARGETS!$J$2:$J$17,MATCH($C1123,_TARGETS!$A$2:$A$17,0))</f>
        <v>1</v>
      </c>
      <c r="N1123" s="193" t="str">
        <f>INDEX(_TARGETS!$D$2:$D$17,MATCH($C1123,_TARGETS!$A$2:$A$17,0))</f>
        <v>% (fracción)</v>
      </c>
      <c r="O1123" s="193" t="str">
        <f>IF(NOT(ISNUMBER(F1123)),IF(SUMPRODUCT(($C$2:$C$1300=C1123)*($J$2:$J$1300="Monthly")*($A$2:$A$1300&lt;=A1123)*(YEAR($A$2:$A$1300)=YEAR(A1123))*ISNUMBER($K$2:$K$1300)*ISNUMBER($L$2:$L$1300)*($L$2:$L$1300=0)*($K$2:$K$1300&gt;0))&gt;0,"INCOMPLETE","MISSING"),O579)</f>
        <v>MISSING</v>
      </c>
      <c r="P1123" s="193" t="str">
        <f>INDEX(_TARGETS!$K$2:$K$17,MATCH($C1123,_TARGETS!$A$2:$A$17,0))</f>
        <v>OPS (carga manual en Datos)</v>
      </c>
      <c r="Q1123" s="193" t="str">
        <f t="shared" si="112"/>
        <v>202811|CAMS|YTD</v>
      </c>
      <c r="R1123" s="193" t="str">
        <f>INDEX(_TARGETS!$H$2:$H$17,MATCH($C1123,_TARGETS!$A$2:$A$17,0))</f>
        <v>Solo reporte</v>
      </c>
      <c r="S1123" s="193" t="str">
        <f t="shared" si="113"/>
        <v/>
      </c>
      <c r="T1123" s="193" t="str">
        <f t="shared" si="114"/>
        <v/>
      </c>
    </row>
    <row r="1124" spans="1:20" ht="14.25" customHeight="1" x14ac:dyDescent="0.3">
      <c r="A1124" s="249">
        <f>KPIs!$AE$3</f>
        <v>47058</v>
      </c>
      <c r="B1124" s="193" t="str">
        <f>KPIs!AE$4</f>
        <v>Compresora</v>
      </c>
      <c r="C1124" t="s">
        <v>87</v>
      </c>
      <c r="D1124" s="193" t="str">
        <f>KPIs!$A$46</f>
        <v>11 · Cumplimiento de caminatas gerenciales · YTD</v>
      </c>
      <c r="E1124" t="s">
        <v>601</v>
      </c>
      <c r="F1124" s="193" t="str">
        <f>IF(ISNUMBER(KPIs!AE46),KPIs!AE46,"")</f>
        <v/>
      </c>
      <c r="G1124" s="254">
        <f>IF(ISNUMBER(KPIs!$C$46),KPIs!$C$46,"")</f>
        <v>1</v>
      </c>
      <c r="H1124" s="193" t="str">
        <f>IFERROR(INDEX(_TARGETS!$E$2:$E$17,MATCH($C1124,_TARGETS!$A$2:$A$17,0))&amp;"","")</f>
        <v>≥</v>
      </c>
      <c r="I1124" s="193" t="str">
        <f t="shared" si="110"/>
        <v/>
      </c>
      <c r="J1124" s="193" t="str">
        <f t="shared" si="111"/>
        <v>YTD</v>
      </c>
      <c r="K1124" s="193">
        <f>SUMIFS(Datos!$D$24:$AL$24,Datos!$D$3:$AL$3,"&gt;="&amp;DATE(YEAR(Datos!AE$3),1,1),Datos!$D$3:$AL$3,"&lt;="&amp;Datos!AE$3)</f>
        <v>0</v>
      </c>
      <c r="L1124" s="193">
        <f>SUMIFS(Datos!$D$25:$AL$25,Datos!$D$3:$AL$3,"&gt;="&amp;DATE(YEAR(Datos!AE$3),1,1),Datos!$D$3:$AL$3,"&lt;="&amp;Datos!AE$3)</f>
        <v>0</v>
      </c>
      <c r="M1124" s="193">
        <f>INDEX(_TARGETS!$J$2:$J$17,MATCH($C1124,_TARGETS!$A$2:$A$17,0))</f>
        <v>1</v>
      </c>
      <c r="N1124" s="193" t="str">
        <f>INDEX(_TARGETS!$D$2:$D$17,MATCH($C1124,_TARGETS!$A$2:$A$17,0))</f>
        <v>% (fracción)</v>
      </c>
      <c r="O1124" s="193" t="str">
        <f>IF(NOT(ISNUMBER(F1124)),IF(SUMPRODUCT(($C$2:$C$1300=C1124)*($J$2:$J$1300="Monthly")*($A$2:$A$1300&lt;=A1124)*(YEAR($A$2:$A$1300)=YEAR(A1124))*ISNUMBER($K$2:$K$1300)*ISNUMBER($L$2:$L$1300)*($L$2:$L$1300=0)*($K$2:$K$1300&gt;0))&gt;0,"INCOMPLETE","MISSING"),O580)</f>
        <v>MISSING</v>
      </c>
      <c r="P1124" s="193" t="str">
        <f>INDEX(_TARGETS!$K$2:$K$17,MATCH($C1124,_TARGETS!$A$2:$A$17,0))</f>
        <v>OPS (carga manual en Datos)</v>
      </c>
      <c r="Q1124" s="193" t="str">
        <f t="shared" si="112"/>
        <v>202811|ICCS|YTD</v>
      </c>
      <c r="R1124" s="193" t="str">
        <f>INDEX(_TARGETS!$H$2:$H$17,MATCH($C1124,_TARGETS!$A$2:$A$17,0))</f>
        <v>Definida</v>
      </c>
      <c r="S1124" s="193" t="str">
        <f t="shared" si="113"/>
        <v/>
      </c>
      <c r="T1124" s="193" t="str">
        <f t="shared" si="114"/>
        <v/>
      </c>
    </row>
    <row r="1125" spans="1:20" ht="14.25" customHeight="1" x14ac:dyDescent="0.3">
      <c r="A1125" s="249">
        <f>KPIs!$AE$3</f>
        <v>47058</v>
      </c>
      <c r="B1125" s="193" t="str">
        <f>KPIs!AE$4</f>
        <v>Compresora</v>
      </c>
      <c r="C1125" t="s">
        <v>89</v>
      </c>
      <c r="D1125" s="193" t="str">
        <f>KPIs!$A$47</f>
        <v>12 · Cumplimiento de comités y subcomités de seguridad · YTD</v>
      </c>
      <c r="E1125" t="s">
        <v>601</v>
      </c>
      <c r="F1125" s="193" t="str">
        <f>IF(ISNUMBER(KPIs!AE47),KPIs!AE47,"")</f>
        <v/>
      </c>
      <c r="G1125" s="254">
        <f>IF(ISNUMBER(KPIs!$C$47),KPIs!$C$47,"")</f>
        <v>1</v>
      </c>
      <c r="H1125" s="193" t="str">
        <f>IFERROR(INDEX(_TARGETS!$E$2:$E$17,MATCH($C1125,_TARGETS!$A$2:$A$17,0))&amp;"","")</f>
        <v>≥</v>
      </c>
      <c r="I1125" s="193" t="str">
        <f t="shared" si="110"/>
        <v/>
      </c>
      <c r="J1125" s="193" t="str">
        <f t="shared" si="111"/>
        <v>YTD</v>
      </c>
      <c r="K1125" s="193">
        <f>SUMIFS(Datos!$D$26:$AL$26,Datos!$D$3:$AL$3,"&gt;="&amp;DATE(YEAR(Datos!AE$3),1,1),Datos!$D$3:$AL$3,"&lt;="&amp;Datos!AE$3)</f>
        <v>0</v>
      </c>
      <c r="L1125" s="193">
        <f>SUMIFS(Datos!$D$27:$AL$27,Datos!$D$3:$AL$3,"&gt;="&amp;DATE(YEAR(Datos!AE$3),1,1),Datos!$D$3:$AL$3,"&lt;="&amp;Datos!AE$3)</f>
        <v>0</v>
      </c>
      <c r="M1125" s="193">
        <f>INDEX(_TARGETS!$J$2:$J$17,MATCH($C1125,_TARGETS!$A$2:$A$17,0))</f>
        <v>1</v>
      </c>
      <c r="N1125" s="193" t="str">
        <f>INDEX(_TARGETS!$D$2:$D$17,MATCH($C1125,_TARGETS!$A$2:$A$17,0))</f>
        <v>% (fracción)</v>
      </c>
      <c r="O1125" s="193" t="str">
        <f>IF(NOT(ISNUMBER(F1125)),IF(SUMPRODUCT(($C$2:$C$1300=C1125)*($J$2:$J$1300="Monthly")*($A$2:$A$1300&lt;=A1125)*(YEAR($A$2:$A$1300)=YEAR(A1125))*ISNUMBER($K$2:$K$1300)*ISNUMBER($L$2:$L$1300)*($L$2:$L$1300=0)*($K$2:$K$1300&gt;0))&gt;0,"INCOMPLETE","MISSING"),O581)</f>
        <v>MISSING</v>
      </c>
      <c r="P1125" s="193" t="str">
        <f>INDEX(_TARGETS!$K$2:$K$17,MATCH($C1125,_TARGETS!$A$2:$A$17,0))</f>
        <v>OPS (carga manual en Datos)</v>
      </c>
      <c r="Q1125" s="193" t="str">
        <f t="shared" si="112"/>
        <v>202811|CCS|YTD</v>
      </c>
      <c r="R1125" s="193" t="str">
        <f>INDEX(_TARGETS!$H$2:$H$17,MATCH($C1125,_TARGETS!$A$2:$A$17,0))</f>
        <v>Definida</v>
      </c>
      <c r="S1125" s="193" t="str">
        <f t="shared" si="113"/>
        <v/>
      </c>
      <c r="T1125" s="193" t="str">
        <f t="shared" si="114"/>
        <v/>
      </c>
    </row>
    <row r="1126" spans="1:20" ht="14.25" customHeight="1" x14ac:dyDescent="0.3">
      <c r="A1126" s="249">
        <f>KPIs!$AE$3</f>
        <v>47058</v>
      </c>
      <c r="B1126" s="193" t="str">
        <f>KPIs!AE$4</f>
        <v>Compresora</v>
      </c>
      <c r="C1126" t="s">
        <v>91</v>
      </c>
      <c r="D1126" s="193" t="str">
        <f>KPIs!$A$48</f>
        <v>13 · Días promedio para cerrar hallazgos · YTD</v>
      </c>
      <c r="E1126" t="s">
        <v>601</v>
      </c>
      <c r="F1126" s="251" t="str">
        <f>IF(ISNUMBER(KPIs!AE48),KPIs!AE48,"")</f>
        <v/>
      </c>
      <c r="G1126" s="193" t="str">
        <f>IF(ISNUMBER(KPIs!$C$48),KPIs!$C$48,"")</f>
        <v/>
      </c>
      <c r="H1126" s="193" t="str">
        <f>IFERROR(INDEX(_TARGETS!$E$2:$E$17,MATCH($C1126,_TARGETS!$A$2:$A$17,0))&amp;"","")</f>
        <v>≤</v>
      </c>
      <c r="I1126" s="193" t="str">
        <f t="shared" si="110"/>
        <v/>
      </c>
      <c r="J1126" s="193" t="str">
        <f t="shared" si="111"/>
        <v>YTD</v>
      </c>
      <c r="K1126" s="193">
        <f>SUMIFS(Datos!$D$68:$AL$68,Datos!$D$3:$AL$3,"&gt;="&amp;DATE(YEAR(Datos!AE$3),1,1),Datos!$D$3:$AL$3,"&lt;="&amp;Datos!AE$3)</f>
        <v>0</v>
      </c>
      <c r="L1126" s="193">
        <f>SUMIFS(Datos!$D$67:$AL$67,Datos!$D$3:$AL$3,"&gt;="&amp;DATE(YEAR(Datos!AE$3),1,1),Datos!$D$3:$AL$3,"&lt;="&amp;Datos!AE$3)</f>
        <v>0</v>
      </c>
      <c r="M1126" s="193">
        <f>INDEX(_TARGETS!$J$2:$J$17,MATCH($C1126,_TARGETS!$A$2:$A$17,0))</f>
        <v>1</v>
      </c>
      <c r="N1126" s="193" t="str">
        <f>INDEX(_TARGETS!$D$2:$D$17,MATCH($C1126,_TARGETS!$A$2:$A$17,0))</f>
        <v>días</v>
      </c>
      <c r="O1126" s="193" t="str">
        <f>IF(NOT(ISNUMBER(F1126)),IF(SUMPRODUCT(($C$2:$C$1300=C1126)*($J$2:$J$1300="Monthly")*($A$2:$A$1300&lt;=A1126)*(YEAR($A$2:$A$1300)=YEAR(A1126))*ISNUMBER($K$2:$K$1300)*ISNUMBER($L$2:$L$1300)*($L$2:$L$1300=0)*($K$2:$K$1300&gt;0))&gt;0,"INCOMPLETE","MISSING"),O582)</f>
        <v>MISSING</v>
      </c>
      <c r="P1126" s="193" t="str">
        <f>INDEX(_TARGETS!$K$2:$K$17,MATCH($C1126,_TARGETS!$A$2:$A$17,0))</f>
        <v>Plant Findings (hoja Observaciones-SMP)</v>
      </c>
      <c r="Q1126" s="193" t="str">
        <f t="shared" si="112"/>
        <v>202811|DPAS|YTD</v>
      </c>
      <c r="R1126" s="193" t="str">
        <f>INDEX(_TARGETS!$H$2:$H$17,MATCH($C1126,_TARGETS!$A$2:$A$17,0))</f>
        <v>Pendiente (meta 2027)</v>
      </c>
      <c r="S1126" s="193" t="str">
        <f t="shared" si="113"/>
        <v/>
      </c>
      <c r="T1126" s="193" t="str">
        <f t="shared" si="114"/>
        <v/>
      </c>
    </row>
    <row r="1127" spans="1:20" ht="14.25" customHeight="1" x14ac:dyDescent="0.3">
      <c r="A1127" s="249">
        <f>KPIs!$AE$3</f>
        <v>47058</v>
      </c>
      <c r="B1127" s="193" t="str">
        <f>KPIs!AE$4</f>
        <v>Compresora</v>
      </c>
      <c r="C1127" t="s">
        <v>96</v>
      </c>
      <c r="D1127" s="193" t="str">
        <f>KPIs!$A$49</f>
        <v>C1 · % de desvíos detectados de gravedad Alta · YTD</v>
      </c>
      <c r="E1127" t="s">
        <v>601</v>
      </c>
      <c r="F1127" s="193" t="str">
        <f>IF(ISNUMBER(KPIs!AE49),KPIs!AE49,"")</f>
        <v/>
      </c>
      <c r="G1127" s="193" t="str">
        <f>IF(ISNUMBER(KPIs!$C$49),KPIs!$C$49,"")</f>
        <v/>
      </c>
      <c r="H1127" s="193" t="str">
        <f>IFERROR(INDEX(_TARGETS!$E$2:$E$17,MATCH($C1127,_TARGETS!$A$2:$A$17,0))&amp;"","")</f>
        <v/>
      </c>
      <c r="I1127" s="193" t="str">
        <f t="shared" si="110"/>
        <v/>
      </c>
      <c r="J1127" s="193" t="str">
        <f t="shared" si="111"/>
        <v>YTD</v>
      </c>
      <c r="K1127" s="193">
        <f>SUMIFS(Datos!$D$71:$AL$71,Datos!$D$3:$AL$3,"&gt;="&amp;DATE(YEAR(Datos!AE$3),1,1),Datos!$D$3:$AL$3,"&lt;="&amp;Datos!AE$3)</f>
        <v>0</v>
      </c>
      <c r="L1127" s="193">
        <f>SUMIFS(Datos!$D$71:$AL$71,Datos!$D$3:$AL$3,"&gt;="&amp;DATE(YEAR(Datos!AE$3),1,1),Datos!$D$3:$AL$3,"&lt;="&amp;Datos!AE$3)+SUMIFS(Datos!$D$72:$AL$72,Datos!$D$3:$AL$3,"&gt;="&amp;DATE(YEAR(Datos!AE$3),1,1),Datos!$D$3:$AL$3,"&lt;="&amp;Datos!AE$3)+SUMIFS(Datos!$D$73:$AL$73,Datos!$D$3:$AL$3,"&gt;="&amp;DATE(YEAR(Datos!AE$3),1,1),Datos!$D$3:$AL$3,"&lt;="&amp;Datos!AE$3)</f>
        <v>0</v>
      </c>
      <c r="M1127" s="193">
        <f>INDEX(_TARGETS!$J$2:$J$17,MATCH($C1127,_TARGETS!$A$2:$A$17,0))</f>
        <v>1</v>
      </c>
      <c r="N1127" s="193" t="str">
        <f>INDEX(_TARGETS!$D$2:$D$17,MATCH($C1127,_TARGETS!$A$2:$A$17,0))</f>
        <v>% (fracción)</v>
      </c>
      <c r="O1127" s="193" t="str">
        <f t="shared" ref="O1127:O1133" si="117">IF(NOT(ISNUMBER(F1127)),IF(SUMPRODUCT(($C$2:$C$1300=C1127)*($J$2:$J$1300="Monthly")*($A$2:$A$1300&lt;=A1127)*(YEAR($A$2:$A$1300)=YEAR(A1127))*ISNUMBER($K$2:$K$1300)*ISNUMBER($L$2:$L$1300)*($L$2:$L$1300=0)*($K$2:$K$1300&gt;0))&gt;0,"INCOMPLETE","MISSING"),O588)</f>
        <v>MISSING</v>
      </c>
      <c r="P1127" s="193" t="str">
        <f>INDEX(_TARGETS!$K$2:$K$17,MATCH($C1127,_TARGETS!$A$2:$A$17,0))</f>
        <v>Plant Findings (hoja Observaciones-SMP)</v>
      </c>
      <c r="Q1127" s="193" t="str">
        <f t="shared" si="112"/>
        <v>202811|HAL_ALTA_PCT|YTD</v>
      </c>
      <c r="R1127" s="193" t="str">
        <f>INDEX(_TARGETS!$H$2:$H$17,MATCH($C1127,_TARGETS!$A$2:$A$17,0))</f>
        <v>Solo reporte</v>
      </c>
      <c r="S1127" s="193" t="str">
        <f t="shared" si="113"/>
        <v/>
      </c>
      <c r="T1127" s="193" t="str">
        <f t="shared" si="114"/>
        <v/>
      </c>
    </row>
    <row r="1128" spans="1:20" ht="14.25" customHeight="1" x14ac:dyDescent="0.3">
      <c r="A1128" s="249">
        <f>KPIs!$AE$3</f>
        <v>47058</v>
      </c>
      <c r="B1128" s="193" t="str">
        <f>KPIs!AE$4</f>
        <v>Compresora</v>
      </c>
      <c r="C1128" t="s">
        <v>98</v>
      </c>
      <c r="D1128" s="193" t="str">
        <f>KPIs!$A$50</f>
        <v>C2 · Detenciones de tareas aplicadas · YTD</v>
      </c>
      <c r="E1128" t="s">
        <v>601</v>
      </c>
      <c r="F1128" s="193" t="str">
        <f>IF(ISNUMBER(KPIs!AE50),KPIs!AE50,"")</f>
        <v/>
      </c>
      <c r="G1128" s="193" t="str">
        <f>IF(ISNUMBER(KPIs!$C$50),KPIs!$C$50,"")</f>
        <v/>
      </c>
      <c r="H1128" s="193" t="str">
        <f>IFERROR(INDEX(_TARGETS!$E$2:$E$17,MATCH($C1128,_TARGETS!$A$2:$A$17,0))&amp;"","")</f>
        <v/>
      </c>
      <c r="I1128" s="193" t="str">
        <f t="shared" si="110"/>
        <v/>
      </c>
      <c r="J1128" s="193" t="str">
        <f t="shared" si="111"/>
        <v>YTD</v>
      </c>
      <c r="K1128" s="193">
        <f>SUMIFS(Datos!$D$75:$AL$75,Datos!$D$3:$AL$3,"&gt;="&amp;DATE(YEAR(Datos!AE$3),1,1),Datos!$D$3:$AL$3,"&lt;="&amp;Datos!AE$3)</f>
        <v>0</v>
      </c>
      <c r="M1128" s="193">
        <f>INDEX(_TARGETS!$J$2:$J$17,MATCH($C1128,_TARGETS!$A$2:$A$17,0))</f>
        <v>1</v>
      </c>
      <c r="N1128" s="193" t="str">
        <f>INDEX(_TARGETS!$D$2:$D$17,MATCH($C1128,_TARGETS!$A$2:$A$17,0))</f>
        <v>u</v>
      </c>
      <c r="O1128" s="193" t="str">
        <f t="shared" si="117"/>
        <v>MISSING</v>
      </c>
      <c r="P1128" s="193" t="str">
        <f>INDEX(_TARGETS!$K$2:$K$17,MATCH($C1128,_TARGETS!$A$2:$A$17,0))</f>
        <v>Plant Findings (hoja Observaciones-SMP)</v>
      </c>
      <c r="Q1128" s="193" t="str">
        <f t="shared" si="112"/>
        <v>202811|DET|YTD</v>
      </c>
      <c r="R1128" s="193" t="str">
        <f>INDEX(_TARGETS!$H$2:$H$17,MATCH($C1128,_TARGETS!$A$2:$A$17,0))</f>
        <v>Solo reporte</v>
      </c>
      <c r="S1128" s="193">
        <f t="shared" si="113"/>
        <v>0</v>
      </c>
      <c r="T1128" s="193" t="str">
        <f t="shared" si="114"/>
        <v/>
      </c>
    </row>
    <row r="1129" spans="1:20" ht="14.25" customHeight="1" x14ac:dyDescent="0.3">
      <c r="A1129" s="249">
        <f>KPIs!$AF$3</f>
        <v>47088</v>
      </c>
      <c r="B1129" s="193" t="str">
        <f>KPIs!AF$4</f>
        <v>Compresora</v>
      </c>
      <c r="C1129" t="s">
        <v>39</v>
      </c>
      <c r="D1129" s="193" t="str">
        <f>KPIs!$A$37</f>
        <v>1 · Frecuencia de casos con días perdidos · YTD</v>
      </c>
      <c r="E1129" t="s">
        <v>601</v>
      </c>
      <c r="F1129" s="193" t="str">
        <f>IF(ISNUMBER(KPIs!AF37),KPIs!AF37,"")</f>
        <v/>
      </c>
      <c r="G1129" s="250">
        <f>IF(ISNUMBER(KPIs!$C$37),KPIs!$C$37,"")</f>
        <v>0</v>
      </c>
      <c r="H1129" s="193" t="str">
        <f>IFERROR(INDEX(_TARGETS!$E$2:$E$17,MATCH($C1129,_TARGETS!$A$2:$A$17,0))&amp;"","")</f>
        <v>≤</v>
      </c>
      <c r="I1129" s="193" t="str">
        <f t="shared" si="110"/>
        <v/>
      </c>
      <c r="J1129" s="193" t="str">
        <f t="shared" si="111"/>
        <v>YTD</v>
      </c>
      <c r="K1129" s="193">
        <f>SUMIFS(Datos!$D$33:$AL$33,Datos!$D$3:$AL$3,"&gt;="&amp;DATE(YEAR(Datos!AF$3),1,1),Datos!$D$3:$AL$3,"&lt;="&amp;Datos!AF$3)</f>
        <v>0</v>
      </c>
      <c r="L1129" s="193">
        <f>SUMIFS(Datos!$D$14:$AL$14,Datos!$D$3:$AL$3,"&gt;="&amp;DATE(YEAR(Datos!AF$3),1,1),Datos!$D$3:$AL$3,"&lt;="&amp;Datos!AF$3)</f>
        <v>0</v>
      </c>
      <c r="M1129" s="193">
        <f>INDEX(_TARGETS!$J$2:$J$17,MATCH($C1129,_TARGETS!$A$2:$A$17,0))</f>
        <v>1000000</v>
      </c>
      <c r="N1129" s="193" t="str">
        <f>INDEX(_TARGETS!$D$2:$D$17,MATCH($C1129,_TARGETS!$A$2:$A$17,0))</f>
        <v>casos / 10^6 HH</v>
      </c>
      <c r="O1129" s="193" t="str">
        <f t="shared" si="117"/>
        <v>MISSING</v>
      </c>
      <c r="P1129" s="193" t="str">
        <f>INDEX(_TARGETS!$K$2:$K$17,MATCH($C1129,_TARGETS!$A$2:$A$17,0))</f>
        <v>OPS (carga manual en Datos)</v>
      </c>
      <c r="Q1129" s="193" t="str">
        <f t="shared" si="112"/>
        <v>202812|DAFWCF|YTD</v>
      </c>
      <c r="R1129" s="193" t="str">
        <f>INDEX(_TARGETS!$H$2:$H$17,MATCH($C1129,_TARGETS!$A$2:$A$17,0))</f>
        <v>Definida</v>
      </c>
      <c r="S1129" s="193" t="str">
        <f t="shared" si="113"/>
        <v/>
      </c>
      <c r="T1129" s="193" t="str">
        <f t="shared" si="114"/>
        <v/>
      </c>
    </row>
    <row r="1130" spans="1:20" ht="14.25" customHeight="1" x14ac:dyDescent="0.3">
      <c r="A1130" s="249">
        <f>KPIs!$AF$3</f>
        <v>47088</v>
      </c>
      <c r="B1130" s="193" t="str">
        <f>KPIs!AF$4</f>
        <v>Compresora</v>
      </c>
      <c r="C1130" t="s">
        <v>49</v>
      </c>
      <c r="D1130" s="193" t="str">
        <f>KPIs!$A$38</f>
        <v>2 · Frecuencia de casos registrables · YTD</v>
      </c>
      <c r="E1130" t="s">
        <v>601</v>
      </c>
      <c r="F1130" s="193" t="str">
        <f>IF(ISNUMBER(KPIs!AF38),KPIs!AF38,"")</f>
        <v/>
      </c>
      <c r="G1130" s="250">
        <f>IF(ISNUMBER(KPIs!$C$38),KPIs!$C$38,"")</f>
        <v>2.35</v>
      </c>
      <c r="H1130" s="193" t="str">
        <f>IFERROR(INDEX(_TARGETS!$E$2:$E$17,MATCH($C1130,_TARGETS!$A$2:$A$17,0))&amp;"","")</f>
        <v>≤</v>
      </c>
      <c r="I1130" s="193" t="str">
        <f t="shared" si="110"/>
        <v/>
      </c>
      <c r="J1130" s="193" t="str">
        <f t="shared" si="111"/>
        <v>YTD</v>
      </c>
      <c r="K1130" s="193">
        <f>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f>
        <v>0</v>
      </c>
      <c r="L1130" s="193">
        <f>SUMIFS(Datos!$D$14:$AL$14,Datos!$D$3:$AL$3,"&gt;="&amp;DATE(YEAR(Datos!AF$3),1,1),Datos!$D$3:$AL$3,"&lt;="&amp;Datos!AF$3)</f>
        <v>0</v>
      </c>
      <c r="M1130" s="193">
        <f>INDEX(_TARGETS!$J$2:$J$17,MATCH($C1130,_TARGETS!$A$2:$A$17,0))</f>
        <v>1000000</v>
      </c>
      <c r="N1130" s="193" t="str">
        <f>INDEX(_TARGETS!$D$2:$D$17,MATCH($C1130,_TARGETS!$A$2:$A$17,0))</f>
        <v>casos / 10^6 HH</v>
      </c>
      <c r="O1130" s="193" t="str">
        <f t="shared" si="117"/>
        <v>MISSING</v>
      </c>
      <c r="P1130" s="193" t="str">
        <f>INDEX(_TARGETS!$K$2:$K$17,MATCH($C1130,_TARGETS!$A$2:$A$17,0))</f>
        <v>OPS (carga manual en Datos)</v>
      </c>
      <c r="Q1130" s="193" t="str">
        <f t="shared" si="112"/>
        <v>202812|TRICF|YTD</v>
      </c>
      <c r="R1130" s="193" t="str">
        <f>INDEX(_TARGETS!$H$2:$H$17,MATCH($C1130,_TARGETS!$A$2:$A$17,0))</f>
        <v>Definida</v>
      </c>
      <c r="S1130" s="193" t="str">
        <f t="shared" si="113"/>
        <v/>
      </c>
      <c r="T1130" s="193" t="str">
        <f t="shared" si="114"/>
        <v/>
      </c>
    </row>
    <row r="1131" spans="1:20" ht="14.25" customHeight="1" x14ac:dyDescent="0.3">
      <c r="A1131" s="249">
        <f>KPIs!$AF$3</f>
        <v>47088</v>
      </c>
      <c r="B1131" s="193" t="str">
        <f>KPIs!AF$4</f>
        <v>Compresora</v>
      </c>
      <c r="C1131" t="s">
        <v>51</v>
      </c>
      <c r="D1131" s="193" t="str">
        <f>KPIs!$A$39</f>
        <v>3 · Casos de primeros auxilios · YTD</v>
      </c>
      <c r="E1131" t="s">
        <v>601</v>
      </c>
      <c r="F1131" s="193" t="str">
        <f>IF(ISNUMBER(KPIs!AF39),KPIs!AF39,"")</f>
        <v/>
      </c>
      <c r="G1131" s="193" t="str">
        <f>IF(ISNUMBER(KPIs!$C$39),KPIs!$C$39,"")</f>
        <v/>
      </c>
      <c r="H1131" s="193" t="str">
        <f>IFERROR(INDEX(_TARGETS!$E$2:$E$17,MATCH($C1131,_TARGETS!$A$2:$A$17,0))&amp;"","")</f>
        <v/>
      </c>
      <c r="I1131" s="193" t="str">
        <f t="shared" si="110"/>
        <v/>
      </c>
      <c r="J1131" s="193" t="str">
        <f t="shared" si="111"/>
        <v>YTD</v>
      </c>
      <c r="K1131" s="193">
        <f>SUMIFS(Datos!$D$37:$AL$37,Datos!$D$3:$AL$3,"&gt;="&amp;DATE(YEAR(Datos!AF$3),1,1),Datos!$D$3:$AL$3,"&lt;="&amp;Datos!AF$3)</f>
        <v>0</v>
      </c>
      <c r="M1131" s="193">
        <f>INDEX(_TARGETS!$J$2:$J$17,MATCH($C1131,_TARGETS!$A$2:$A$17,0))</f>
        <v>1</v>
      </c>
      <c r="N1131" s="193" t="str">
        <f>INDEX(_TARGETS!$D$2:$D$17,MATCH($C1131,_TARGETS!$A$2:$A$17,0))</f>
        <v>casos</v>
      </c>
      <c r="O1131" s="193" t="str">
        <f t="shared" si="117"/>
        <v>MISSING</v>
      </c>
      <c r="P1131" s="193" t="str">
        <f>INDEX(_TARGETS!$K$2:$K$17,MATCH($C1131,_TARGETS!$A$2:$A$17,0))</f>
        <v>OPS (carga manual en Datos)</v>
      </c>
      <c r="Q1131" s="193" t="str">
        <f t="shared" si="112"/>
        <v>202812|FAC|YTD</v>
      </c>
      <c r="R1131" s="193" t="str">
        <f>INDEX(_TARGETS!$H$2:$H$17,MATCH($C1131,_TARGETS!$A$2:$A$17,0))</f>
        <v>Solo reporte</v>
      </c>
      <c r="S1131" s="193">
        <f t="shared" si="113"/>
        <v>0</v>
      </c>
      <c r="T1131" s="193" t="str">
        <f t="shared" si="114"/>
        <v/>
      </c>
    </row>
    <row r="1132" spans="1:20" ht="14.25" customHeight="1" x14ac:dyDescent="0.3">
      <c r="A1132" s="249">
        <f>KPIs!$AF$3</f>
        <v>47088</v>
      </c>
      <c r="B1132" s="193" t="str">
        <f>KPIs!AF$4</f>
        <v>Compresora</v>
      </c>
      <c r="C1132" t="s">
        <v>57</v>
      </c>
      <c r="D1132" s="193" t="str">
        <f>KPIs!$A$40</f>
        <v>4 · Accidentes vehiculares severos por millón de km · YTD</v>
      </c>
      <c r="E1132" t="s">
        <v>601</v>
      </c>
      <c r="F1132" s="193" t="str">
        <f>IF(ISNUMBER(KPIs!AF40),KPIs!AF40,"")</f>
        <v/>
      </c>
      <c r="G1132" s="193" t="str">
        <f>IF(ISNUMBER(KPIs!$C$40),KPIs!$C$40,"")</f>
        <v/>
      </c>
      <c r="H1132" s="193" t="str">
        <f>IFERROR(INDEX(_TARGETS!$E$2:$E$17,MATCH($C1132,_TARGETS!$A$2:$A$17,0))&amp;"","")</f>
        <v/>
      </c>
      <c r="I1132" s="193" t="str">
        <f t="shared" si="110"/>
        <v/>
      </c>
      <c r="J1132" s="193" t="str">
        <f t="shared" si="111"/>
        <v>YTD</v>
      </c>
      <c r="K1132" s="193">
        <f>SUMIFS(Datos!$D$39:$AL$39,Datos!$D$3:$AL$3,"&gt;="&amp;DATE(YEAR(Datos!AF$3),1,1),Datos!$D$3:$AL$3,"&lt;="&amp;Datos!AF$3)+SUMIFS(Datos!$D$40:$AL$40,Datos!$D$3:$AL$3,"&gt;="&amp;DATE(YEAR(Datos!AF$3),1,1),Datos!$D$3:$AL$3,"&lt;="&amp;Datos!AF$3)+SUMIFS(Datos!$D$41:$AL$41,Datos!$D$3:$AL$3,"&gt;="&amp;DATE(YEAR(Datos!AF$3),1,1),Datos!$D$3:$AL$3,"&lt;="&amp;Datos!AF$3)</f>
        <v>0</v>
      </c>
      <c r="L1132" s="193">
        <f>SUMIFS(Datos!$D$47:$AL$47,Datos!$D$3:$AL$3,"&gt;="&amp;DATE(YEAR(Datos!AF$3),1,1),Datos!$D$3:$AL$3,"&lt;="&amp;Datos!AF$3)</f>
        <v>0</v>
      </c>
      <c r="M1132" s="193">
        <f>INDEX(_TARGETS!$J$2:$J$17,MATCH($C1132,_TARGETS!$A$2:$A$17,0))</f>
        <v>1000000</v>
      </c>
      <c r="N1132" s="193" t="str">
        <f>INDEX(_TARGETS!$D$2:$D$17,MATCH($C1132,_TARGETS!$A$2:$A$17,0))</f>
        <v>eventos / 10^6 km</v>
      </c>
      <c r="O1132" s="193" t="str">
        <f t="shared" si="117"/>
        <v>MISSING</v>
      </c>
      <c r="P1132" s="193" t="str">
        <f>INDEX(_TARGETS!$K$2:$K$17,MATCH($C1132,_TARGETS!$A$2:$A$17,0))</f>
        <v>OPS (eventos) + Full Control GPS (km) - carga manual en Datos</v>
      </c>
      <c r="Q1132" s="193" t="str">
        <f t="shared" si="112"/>
        <v>202812|SVCR|YTD</v>
      </c>
      <c r="R1132" s="193" t="str">
        <f>INDEX(_TARGETS!$H$2:$H$17,MATCH($C1132,_TARGETS!$A$2:$A$17,0))</f>
        <v>Solo reporte</v>
      </c>
      <c r="S1132" s="193" t="str">
        <f t="shared" si="113"/>
        <v/>
      </c>
      <c r="T1132" s="193" t="str">
        <f t="shared" si="114"/>
        <v/>
      </c>
    </row>
    <row r="1133" spans="1:20" ht="14.25" customHeight="1" x14ac:dyDescent="0.3">
      <c r="A1133" s="249">
        <f>KPIs!$AF$3</f>
        <v>47088</v>
      </c>
      <c r="B1133" s="193" t="str">
        <f>KPIs!AF$4</f>
        <v>Compresora</v>
      </c>
      <c r="C1133" t="s">
        <v>61</v>
      </c>
      <c r="D1133" s="193" t="str">
        <f>KPIs!$A$41</f>
        <v>5 · Accidentes vehiculares totales por millón de km · YTD</v>
      </c>
      <c r="E1133" t="s">
        <v>601</v>
      </c>
      <c r="F1133" s="193" t="str">
        <f>IF(ISNUMBER(KPIs!AF41),KPIs!AF41,"")</f>
        <v/>
      </c>
      <c r="G1133" s="250">
        <f>IF(ISNUMBER(KPIs!$C$41),KPIs!$C$41,"")</f>
        <v>0.79</v>
      </c>
      <c r="H1133" s="193" t="str">
        <f>IFERROR(INDEX(_TARGETS!$E$2:$E$17,MATCH($C1133,_TARGETS!$A$2:$A$17,0))&amp;"","")</f>
        <v>≤</v>
      </c>
      <c r="I1133" s="193" t="str">
        <f t="shared" si="110"/>
        <v/>
      </c>
      <c r="J1133" s="193" t="str">
        <f t="shared" si="111"/>
        <v>YTD</v>
      </c>
      <c r="K1133" s="193">
        <f>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f>
        <v>0</v>
      </c>
      <c r="L1133" s="193">
        <f>SUMIFS(Datos!$D$47:$AL$47,Datos!$D$3:$AL$3,"&gt;="&amp;DATE(YEAR(Datos!AF$3),1,1),Datos!$D$3:$AL$3,"&lt;="&amp;Datos!AF$3)</f>
        <v>0</v>
      </c>
      <c r="M1133" s="193">
        <f>INDEX(_TARGETS!$J$2:$J$17,MATCH($C1133,_TARGETS!$A$2:$A$17,0))</f>
        <v>1000000</v>
      </c>
      <c r="N1133" s="193" t="str">
        <f>INDEX(_TARGETS!$D$2:$D$17,MATCH($C1133,_TARGETS!$A$2:$A$17,0))</f>
        <v>eventos / 10^6 km</v>
      </c>
      <c r="O1133" s="193" t="str">
        <f t="shared" si="117"/>
        <v>MISSING</v>
      </c>
      <c r="P1133" s="193" t="str">
        <f>INDEX(_TARGETS!$K$2:$K$17,MATCH($C1133,_TARGETS!$A$2:$A$17,0))</f>
        <v>OPS (eventos) + Full Control GPS (km) - carga manual en Datos</v>
      </c>
      <c r="Q1133" s="193" t="str">
        <f t="shared" si="112"/>
        <v>202812|TVCR|YTD</v>
      </c>
      <c r="R1133" s="193" t="str">
        <f>INDEX(_TARGETS!$H$2:$H$17,MATCH($C1133,_TARGETS!$A$2:$A$17,0))</f>
        <v>Definida</v>
      </c>
      <c r="S1133" s="193" t="str">
        <f t="shared" si="113"/>
        <v/>
      </c>
      <c r="T1133" s="193" t="str">
        <f t="shared" si="114"/>
        <v/>
      </c>
    </row>
    <row r="1134" spans="1:20" ht="14.25" customHeight="1" x14ac:dyDescent="0.3">
      <c r="A1134" s="249">
        <f>KPIs!$AF$3</f>
        <v>47088</v>
      </c>
      <c r="B1134" s="193" t="str">
        <f>KPIs!AF$4</f>
        <v>Compresora</v>
      </c>
      <c r="C1134" t="s">
        <v>71</v>
      </c>
      <c r="D1134" s="193" t="str">
        <f>KPIs!$A$42</f>
        <v>7 · Investigaciones de accidentes: días promedio de cierre · YTD</v>
      </c>
      <c r="E1134" t="s">
        <v>601</v>
      </c>
      <c r="F1134" s="193" t="str">
        <f>IF(ISNUMBER(KPIs!AF42),KPIs!AF42,"")</f>
        <v/>
      </c>
      <c r="G1134" s="251">
        <f>IF(ISNUMBER(KPIs!$C$42),KPIs!$C$42,"")</f>
        <v>20</v>
      </c>
      <c r="H1134" s="193" t="str">
        <f>IFERROR(INDEX(_TARGETS!$E$2:$E$17,MATCH($C1134,_TARGETS!$A$2:$A$17,0))&amp;"","")</f>
        <v>≤</v>
      </c>
      <c r="I1134" s="193" t="str">
        <f t="shared" si="110"/>
        <v/>
      </c>
      <c r="J1134" s="193" t="str">
        <f t="shared" si="111"/>
        <v>YTD</v>
      </c>
      <c r="K1134" s="193">
        <f>SUMIFS(Datos!$D$31:$AL$31,Datos!$D$3:$AL$3,"&gt;="&amp;DATE(YEAR(Datos!AF$3),1,1),Datos!$D$3:$AL$3,"&lt;="&amp;Datos!AF$3)</f>
        <v>0</v>
      </c>
      <c r="L1134" s="193">
        <f>SUMIFS(Datos!$D$30:$AL$30,Datos!$D$3:$AL$3,"&gt;="&amp;DATE(YEAR(Datos!AF$3),1,1),Datos!$D$3:$AL$3,"&lt;="&amp;Datos!AF$3)</f>
        <v>0</v>
      </c>
      <c r="M1134" s="193">
        <f>INDEX(_TARGETS!$J$2:$J$17,MATCH($C1134,_TARGETS!$A$2:$A$17,0))</f>
        <v>1</v>
      </c>
      <c r="N1134" s="193" t="str">
        <f>INDEX(_TARGETS!$D$2:$D$17,MATCH($C1134,_TARGETS!$A$2:$A$17,0))</f>
        <v>días</v>
      </c>
      <c r="O1134" s="193" t="str">
        <f>IF(NOT(ISNUMBER(F1134)),IF(SUMPRODUCT(($C$2:$C$1300=C1134)*($J$2:$J$1300="Monthly")*($A$2:$A$1300&lt;=A1134)*(YEAR($A$2:$A$1300)=YEAR(A1134))*ISNUMBER($K$2:$K$1300)*ISNUMBER($L$2:$L$1300)*($L$2:$L$1300=0)*($K$2:$K$1300&gt;0))&gt;0,"INCOMPLETE","MISSING"),O596)</f>
        <v>MISSING</v>
      </c>
      <c r="P1134" s="193" t="str">
        <f>INDEX(_TARGETS!$K$2:$K$17,MATCH($C1134,_TARGETS!$A$2:$A$17,0))</f>
        <v>OPS (carga manual en Datos)</v>
      </c>
      <c r="Q1134" s="193" t="str">
        <f t="shared" si="112"/>
        <v>202812|INV|YTD</v>
      </c>
      <c r="R1134" s="193" t="str">
        <f>INDEX(_TARGETS!$H$2:$H$17,MATCH($C1134,_TARGETS!$A$2:$A$17,0))</f>
        <v>Definida</v>
      </c>
      <c r="S1134" s="193" t="str">
        <f t="shared" si="113"/>
        <v/>
      </c>
      <c r="T1134" s="193" t="str">
        <f t="shared" si="114"/>
        <v/>
      </c>
    </row>
    <row r="1135" spans="1:20" ht="14.25" customHeight="1" x14ac:dyDescent="0.3">
      <c r="A1135" s="249">
        <f>KPIs!$AF$3</f>
        <v>47088</v>
      </c>
      <c r="B1135" s="193" t="str">
        <f>KPIs!AF$4</f>
        <v>Compresora</v>
      </c>
      <c r="C1135" t="s">
        <v>76</v>
      </c>
      <c r="D1135" s="193" t="str">
        <f>KPIs!$A$43</f>
        <v>8 · % de capacitación en seguridad · YTD</v>
      </c>
      <c r="E1135" t="s">
        <v>601</v>
      </c>
      <c r="F1135" s="193" t="str">
        <f>IF(ISNUMBER(KPIs!AF43),KPIs!AF43,"")</f>
        <v/>
      </c>
      <c r="G1135" s="252">
        <f>IF(ISNUMBER(KPIs!$C$43),KPIs!$C$43,"")</f>
        <v>0.01</v>
      </c>
      <c r="H1135" s="193" t="str">
        <f>IFERROR(INDEX(_TARGETS!$E$2:$E$17,MATCH($C1135,_TARGETS!$A$2:$A$17,0))&amp;"","")</f>
        <v>≥</v>
      </c>
      <c r="I1135" s="193" t="str">
        <f t="shared" si="110"/>
        <v/>
      </c>
      <c r="J1135" s="193" t="str">
        <f t="shared" si="111"/>
        <v>YTD</v>
      </c>
      <c r="K1135" s="193">
        <f>SUMIFS(Datos!$D$18:$AL$18,Datos!$D$3:$AL$3,"&gt;="&amp;DATE(YEAR(Datos!AF$3),1,1),Datos!$D$3:$AL$3,"&lt;="&amp;Datos!AF$3)</f>
        <v>0</v>
      </c>
      <c r="L1135" s="193">
        <f>SUMIFS(Datos!$D$14:$AL$14,Datos!$D$3:$AL$3,"&gt;="&amp;DATE(YEAR(Datos!AF$3),1,1),Datos!$D$3:$AL$3,"&lt;="&amp;Datos!AF$3)</f>
        <v>0</v>
      </c>
      <c r="M1135" s="193">
        <f>INDEX(_TARGETS!$J$2:$J$17,MATCH($C1135,_TARGETS!$A$2:$A$17,0))</f>
        <v>1</v>
      </c>
      <c r="N1135" s="193" t="str">
        <f>INDEX(_TARGETS!$D$2:$D$17,MATCH($C1135,_TARGETS!$A$2:$A$17,0))</f>
        <v>% (fracción)</v>
      </c>
      <c r="O1135" s="193" t="str">
        <f>IF(NOT(ISNUMBER(F1135)),IF(SUMPRODUCT(($C$2:$C$1300=C1135)*($J$2:$J$1300="Monthly")*($A$2:$A$1300&lt;=A1135)*(YEAR($A$2:$A$1300)=YEAR(A1135))*ISNUMBER($K$2:$K$1300)*ISNUMBER($L$2:$L$1300)*($L$2:$L$1300=0)*($K$2:$K$1300&gt;0))&gt;0,"INCOMPLETE","MISSING"),O597)</f>
        <v>MISSING</v>
      </c>
      <c r="P1135" s="193" t="str">
        <f>INDEX(_TARGETS!$K$2:$K$17,MATCH($C1135,_TARGETS!$A$2:$A$17,0))</f>
        <v>OPS (carga manual en Datos)</v>
      </c>
      <c r="Q1135" s="193" t="str">
        <f t="shared" si="112"/>
        <v>202812|HCS|YTD</v>
      </c>
      <c r="R1135" s="193" t="str">
        <f>INDEX(_TARGETS!$H$2:$H$17,MATCH($C1135,_TARGETS!$A$2:$A$17,0))</f>
        <v>Definida</v>
      </c>
      <c r="S1135" s="193" t="str">
        <f t="shared" si="113"/>
        <v/>
      </c>
      <c r="T1135" s="193" t="str">
        <f t="shared" si="114"/>
        <v/>
      </c>
    </row>
    <row r="1136" spans="1:20" ht="14.25" customHeight="1" x14ac:dyDescent="0.3">
      <c r="A1136" s="249">
        <f>KPIs!$AF$3</f>
        <v>47088</v>
      </c>
      <c r="B1136" s="193" t="str">
        <f>KPIs!AF$4</f>
        <v>Compresora</v>
      </c>
      <c r="C1136" t="s">
        <v>83</v>
      </c>
      <c r="D1136" s="193" t="str">
        <f>KPIs!$A$44</f>
        <v>10 · Cumplimiento de simulacros (emergencia y operativos) · YTD</v>
      </c>
      <c r="E1136" t="s">
        <v>601</v>
      </c>
      <c r="F1136" s="193" t="str">
        <f>IF(ISNUMBER(KPIs!AF44),KPIs!AF44,"")</f>
        <v/>
      </c>
      <c r="G1136" s="253">
        <f>IF(ISNUMBER(KPIs!$C$44),KPIs!$C$44,"")</f>
        <v>1</v>
      </c>
      <c r="H1136" s="193" t="str">
        <f>IFERROR(INDEX(_TARGETS!$E$2:$E$17,MATCH($C1136,_TARGETS!$A$2:$A$17,0))&amp;"","")</f>
        <v>≥</v>
      </c>
      <c r="I1136" s="193" t="str">
        <f t="shared" si="110"/>
        <v/>
      </c>
      <c r="J1136" s="193" t="str">
        <f t="shared" si="111"/>
        <v>YTD</v>
      </c>
      <c r="K1136" s="193">
        <f>SUMIFS(Datos!$D$20:$AL$20,Datos!$D$3:$AL$3,"&gt;="&amp;DATE(YEAR(Datos!AF$3),1,1),Datos!$D$3:$AL$3,"&lt;="&amp;Datos!AF$3)</f>
        <v>0</v>
      </c>
      <c r="L1136" s="193">
        <f>SUMIFS(Datos!$D$21:$AL$21,Datos!$D$3:$AL$3,"&gt;="&amp;DATE(YEAR(Datos!AF$3),1,1),Datos!$D$3:$AL$3,"&lt;="&amp;Datos!AF$3)</f>
        <v>0</v>
      </c>
      <c r="M1136" s="193">
        <f>INDEX(_TARGETS!$J$2:$J$17,MATCH($C1136,_TARGETS!$A$2:$A$17,0))</f>
        <v>1</v>
      </c>
      <c r="N1136" s="193" t="str">
        <f>INDEX(_TARGETS!$D$2:$D$17,MATCH($C1136,_TARGETS!$A$2:$A$17,0))</f>
        <v>% (fracción)</v>
      </c>
      <c r="O1136" s="193" t="str">
        <f>IF(NOT(ISNUMBER(F1136)),IF(SUMPRODUCT(($C$2:$C$1300=C1136)*($J$2:$J$1300="Monthly")*($A$2:$A$1300&lt;=A1136)*(YEAR($A$2:$A$1300)=YEAR(A1136))*ISNUMBER($K$2:$K$1300)*ISNUMBER($L$2:$L$1300)*($L$2:$L$1300=0)*($K$2:$K$1300&gt;0))&gt;0,"INCOMPLETE","MISSING"),O599)</f>
        <v>MISSING</v>
      </c>
      <c r="P1136" s="193" t="str">
        <f>INDEX(_TARGETS!$K$2:$K$17,MATCH($C1136,_TARGETS!$A$2:$A$17,0))</f>
        <v>OPS (carga manual en Datos)</v>
      </c>
      <c r="Q1136" s="193" t="str">
        <f t="shared" si="112"/>
        <v>202812|CPSE|YTD</v>
      </c>
      <c r="R1136" s="193" t="str">
        <f>INDEX(_TARGETS!$H$2:$H$17,MATCH($C1136,_TARGETS!$A$2:$A$17,0))</f>
        <v>Definida</v>
      </c>
      <c r="S1136" s="193" t="str">
        <f t="shared" si="113"/>
        <v/>
      </c>
      <c r="T1136" s="193" t="str">
        <f t="shared" si="114"/>
        <v/>
      </c>
    </row>
    <row r="1137" spans="1:20" ht="14.25" customHeight="1" x14ac:dyDescent="0.3">
      <c r="A1137" s="249">
        <f>KPIs!$AF$3</f>
        <v>47088</v>
      </c>
      <c r="B1137" s="193" t="str">
        <f>KPIs!AF$4</f>
        <v>Compresora</v>
      </c>
      <c r="C1137" t="s">
        <v>85</v>
      </c>
      <c r="D1137" s="193" t="str">
        <f>KPIs!$A$45</f>
        <v>10b · Cumplimiento de acciones de mejora de simulacros · YTD</v>
      </c>
      <c r="E1137" t="s">
        <v>601</v>
      </c>
      <c r="F1137" s="193" t="str">
        <f>IF(ISNUMBER(KPIs!AF45),KPIs!AF45,"")</f>
        <v/>
      </c>
      <c r="G1137" s="254" t="str">
        <f>IF(ISNUMBER(KPIs!$C$45),KPIs!$C$45,"")</f>
        <v/>
      </c>
      <c r="H1137" s="193" t="str">
        <f>IFERROR(INDEX(_TARGETS!$E$2:$E$17,MATCH($C1137,_TARGETS!$A$2:$A$17,0))&amp;"","")</f>
        <v/>
      </c>
      <c r="I1137" s="193" t="str">
        <f t="shared" si="110"/>
        <v/>
      </c>
      <c r="J1137" s="193" t="str">
        <f t="shared" si="111"/>
        <v>YTD</v>
      </c>
      <c r="K1137" s="193">
        <f>SUMIFS(Datos!$D$23:$AL$23,Datos!$D$3:$AL$3,"&gt;="&amp;DATE(YEAR(Datos!AF$3),1,1),Datos!$D$3:$AL$3,"&lt;="&amp;Datos!AF$3)</f>
        <v>0</v>
      </c>
      <c r="L1137" s="193">
        <f>SUMIFS(Datos!$D$22:$AL$22,Datos!$D$3:$AL$3,"&gt;="&amp;DATE(YEAR(Datos!AF$3),1,1),Datos!$D$3:$AL$3,"&lt;="&amp;Datos!AF$3)</f>
        <v>0</v>
      </c>
      <c r="M1137" s="193">
        <f>INDEX(_TARGETS!$J$2:$J$17,MATCH($C1137,_TARGETS!$A$2:$A$17,0))</f>
        <v>1</v>
      </c>
      <c r="N1137" s="193" t="str">
        <f>INDEX(_TARGETS!$D$2:$D$17,MATCH($C1137,_TARGETS!$A$2:$A$17,0))</f>
        <v>% (fracción)</v>
      </c>
      <c r="O1137" s="193" t="str">
        <f>IF(NOT(ISNUMBER(F1137)),IF(SUMPRODUCT(($C$2:$C$1300=C1137)*($J$2:$J$1300="Monthly")*($A$2:$A$1300&lt;=A1137)*(YEAR($A$2:$A$1300)=YEAR(A1137))*ISNUMBER($K$2:$K$1300)*ISNUMBER($L$2:$L$1300)*($L$2:$L$1300=0)*($K$2:$K$1300&gt;0))&gt;0,"INCOMPLETE","MISSING"),O600)</f>
        <v>MISSING</v>
      </c>
      <c r="P1137" s="193" t="str">
        <f>INDEX(_TARGETS!$K$2:$K$17,MATCH($C1137,_TARGETS!$A$2:$A$17,0))</f>
        <v>OPS (carga manual en Datos)</v>
      </c>
      <c r="Q1137" s="193" t="str">
        <f t="shared" si="112"/>
        <v>202812|CAMS|YTD</v>
      </c>
      <c r="R1137" s="193" t="str">
        <f>INDEX(_TARGETS!$H$2:$H$17,MATCH($C1137,_TARGETS!$A$2:$A$17,0))</f>
        <v>Solo reporte</v>
      </c>
      <c r="S1137" s="193" t="str">
        <f t="shared" si="113"/>
        <v/>
      </c>
      <c r="T1137" s="193" t="str">
        <f t="shared" si="114"/>
        <v/>
      </c>
    </row>
    <row r="1138" spans="1:20" ht="14.25" customHeight="1" x14ac:dyDescent="0.3">
      <c r="A1138" s="249">
        <f>KPIs!$AF$3</f>
        <v>47088</v>
      </c>
      <c r="B1138" s="193" t="str">
        <f>KPIs!AF$4</f>
        <v>Compresora</v>
      </c>
      <c r="C1138" t="s">
        <v>87</v>
      </c>
      <c r="D1138" s="193" t="str">
        <f>KPIs!$A$46</f>
        <v>11 · Cumplimiento de caminatas gerenciales · YTD</v>
      </c>
      <c r="E1138" t="s">
        <v>601</v>
      </c>
      <c r="F1138" s="193" t="str">
        <f>IF(ISNUMBER(KPIs!AF46),KPIs!AF46,"")</f>
        <v/>
      </c>
      <c r="G1138" s="254">
        <f>IF(ISNUMBER(KPIs!$C$46),KPIs!$C$46,"")</f>
        <v>1</v>
      </c>
      <c r="H1138" s="193" t="str">
        <f>IFERROR(INDEX(_TARGETS!$E$2:$E$17,MATCH($C1138,_TARGETS!$A$2:$A$17,0))&amp;"","")</f>
        <v>≥</v>
      </c>
      <c r="I1138" s="193" t="str">
        <f t="shared" si="110"/>
        <v/>
      </c>
      <c r="J1138" s="193" t="str">
        <f t="shared" si="111"/>
        <v>YTD</v>
      </c>
      <c r="K1138" s="193">
        <f>SUMIFS(Datos!$D$24:$AL$24,Datos!$D$3:$AL$3,"&gt;="&amp;DATE(YEAR(Datos!AF$3),1,1),Datos!$D$3:$AL$3,"&lt;="&amp;Datos!AF$3)</f>
        <v>0</v>
      </c>
      <c r="L1138" s="193">
        <f>SUMIFS(Datos!$D$25:$AL$25,Datos!$D$3:$AL$3,"&gt;="&amp;DATE(YEAR(Datos!AF$3),1,1),Datos!$D$3:$AL$3,"&lt;="&amp;Datos!AF$3)</f>
        <v>0</v>
      </c>
      <c r="M1138" s="193">
        <f>INDEX(_TARGETS!$J$2:$J$17,MATCH($C1138,_TARGETS!$A$2:$A$17,0))</f>
        <v>1</v>
      </c>
      <c r="N1138" s="193" t="str">
        <f>INDEX(_TARGETS!$D$2:$D$17,MATCH($C1138,_TARGETS!$A$2:$A$17,0))</f>
        <v>% (fracción)</v>
      </c>
      <c r="O1138" s="193" t="str">
        <f>IF(NOT(ISNUMBER(F1138)),IF(SUMPRODUCT(($C$2:$C$1300=C1138)*($J$2:$J$1300="Monthly")*($A$2:$A$1300&lt;=A1138)*(YEAR($A$2:$A$1300)=YEAR(A1138))*ISNUMBER($K$2:$K$1300)*ISNUMBER($L$2:$L$1300)*($L$2:$L$1300=0)*($K$2:$K$1300&gt;0))&gt;0,"INCOMPLETE","MISSING"),O601)</f>
        <v>MISSING</v>
      </c>
      <c r="P1138" s="193" t="str">
        <f>INDEX(_TARGETS!$K$2:$K$17,MATCH($C1138,_TARGETS!$A$2:$A$17,0))</f>
        <v>OPS (carga manual en Datos)</v>
      </c>
      <c r="Q1138" s="193" t="str">
        <f t="shared" si="112"/>
        <v>202812|ICCS|YTD</v>
      </c>
      <c r="R1138" s="193" t="str">
        <f>INDEX(_TARGETS!$H$2:$H$17,MATCH($C1138,_TARGETS!$A$2:$A$17,0))</f>
        <v>Definida</v>
      </c>
      <c r="S1138" s="193" t="str">
        <f t="shared" si="113"/>
        <v/>
      </c>
      <c r="T1138" s="193" t="str">
        <f t="shared" si="114"/>
        <v/>
      </c>
    </row>
    <row r="1139" spans="1:20" ht="14.25" customHeight="1" x14ac:dyDescent="0.3">
      <c r="A1139" s="249">
        <f>KPIs!$AF$3</f>
        <v>47088</v>
      </c>
      <c r="B1139" s="193" t="str">
        <f>KPIs!AF$4</f>
        <v>Compresora</v>
      </c>
      <c r="C1139" t="s">
        <v>89</v>
      </c>
      <c r="D1139" s="193" t="str">
        <f>KPIs!$A$47</f>
        <v>12 · Cumplimiento de comités y subcomités de seguridad · YTD</v>
      </c>
      <c r="E1139" t="s">
        <v>601</v>
      </c>
      <c r="F1139" s="193" t="str">
        <f>IF(ISNUMBER(KPIs!AF47),KPIs!AF47,"")</f>
        <v/>
      </c>
      <c r="G1139" s="254">
        <f>IF(ISNUMBER(KPIs!$C$47),KPIs!$C$47,"")</f>
        <v>1</v>
      </c>
      <c r="H1139" s="193" t="str">
        <f>IFERROR(INDEX(_TARGETS!$E$2:$E$17,MATCH($C1139,_TARGETS!$A$2:$A$17,0))&amp;"","")</f>
        <v>≥</v>
      </c>
      <c r="I1139" s="193" t="str">
        <f t="shared" si="110"/>
        <v/>
      </c>
      <c r="J1139" s="193" t="str">
        <f t="shared" si="111"/>
        <v>YTD</v>
      </c>
      <c r="K1139" s="193">
        <f>SUMIFS(Datos!$D$26:$AL$26,Datos!$D$3:$AL$3,"&gt;="&amp;DATE(YEAR(Datos!AF$3),1,1),Datos!$D$3:$AL$3,"&lt;="&amp;Datos!AF$3)</f>
        <v>0</v>
      </c>
      <c r="L1139" s="193">
        <f>SUMIFS(Datos!$D$27:$AL$27,Datos!$D$3:$AL$3,"&gt;="&amp;DATE(YEAR(Datos!AF$3),1,1),Datos!$D$3:$AL$3,"&lt;="&amp;Datos!AF$3)</f>
        <v>0</v>
      </c>
      <c r="M1139" s="193">
        <f>INDEX(_TARGETS!$J$2:$J$17,MATCH($C1139,_TARGETS!$A$2:$A$17,0))</f>
        <v>1</v>
      </c>
      <c r="N1139" s="193" t="str">
        <f>INDEX(_TARGETS!$D$2:$D$17,MATCH($C1139,_TARGETS!$A$2:$A$17,0))</f>
        <v>% (fracción)</v>
      </c>
      <c r="O1139" s="193" t="str">
        <f>IF(NOT(ISNUMBER(F1139)),IF(SUMPRODUCT(($C$2:$C$1300=C1139)*($J$2:$J$1300="Monthly")*($A$2:$A$1300&lt;=A1139)*(YEAR($A$2:$A$1300)=YEAR(A1139))*ISNUMBER($K$2:$K$1300)*ISNUMBER($L$2:$L$1300)*($L$2:$L$1300=0)*($K$2:$K$1300&gt;0))&gt;0,"INCOMPLETE","MISSING"),O602)</f>
        <v>MISSING</v>
      </c>
      <c r="P1139" s="193" t="str">
        <f>INDEX(_TARGETS!$K$2:$K$17,MATCH($C1139,_TARGETS!$A$2:$A$17,0))</f>
        <v>OPS (carga manual en Datos)</v>
      </c>
      <c r="Q1139" s="193" t="str">
        <f t="shared" si="112"/>
        <v>202812|CCS|YTD</v>
      </c>
      <c r="R1139" s="193" t="str">
        <f>INDEX(_TARGETS!$H$2:$H$17,MATCH($C1139,_TARGETS!$A$2:$A$17,0))</f>
        <v>Definida</v>
      </c>
      <c r="S1139" s="193" t="str">
        <f t="shared" si="113"/>
        <v/>
      </c>
      <c r="T1139" s="193" t="str">
        <f t="shared" si="114"/>
        <v/>
      </c>
    </row>
    <row r="1140" spans="1:20" ht="14.25" customHeight="1" x14ac:dyDescent="0.3">
      <c r="A1140" s="249">
        <f>KPIs!$AF$3</f>
        <v>47088</v>
      </c>
      <c r="B1140" s="193" t="str">
        <f>KPIs!AF$4</f>
        <v>Compresora</v>
      </c>
      <c r="C1140" t="s">
        <v>91</v>
      </c>
      <c r="D1140" s="193" t="str">
        <f>KPIs!$A$48</f>
        <v>13 · Días promedio para cerrar hallazgos · YTD</v>
      </c>
      <c r="E1140" t="s">
        <v>601</v>
      </c>
      <c r="F1140" s="251" t="str">
        <f>IF(ISNUMBER(KPIs!AF48),KPIs!AF48,"")</f>
        <v/>
      </c>
      <c r="G1140" s="193" t="str">
        <f>IF(ISNUMBER(KPIs!$C$48),KPIs!$C$48,"")</f>
        <v/>
      </c>
      <c r="H1140" s="193" t="str">
        <f>IFERROR(INDEX(_TARGETS!$E$2:$E$17,MATCH($C1140,_TARGETS!$A$2:$A$17,0))&amp;"","")</f>
        <v>≤</v>
      </c>
      <c r="I1140" s="193" t="str">
        <f t="shared" si="110"/>
        <v/>
      </c>
      <c r="J1140" s="193" t="str">
        <f t="shared" si="111"/>
        <v>YTD</v>
      </c>
      <c r="K1140" s="193">
        <f>SUMIFS(Datos!$D$68:$AL$68,Datos!$D$3:$AL$3,"&gt;="&amp;DATE(YEAR(Datos!AF$3),1,1),Datos!$D$3:$AL$3,"&lt;="&amp;Datos!AF$3)</f>
        <v>0</v>
      </c>
      <c r="L1140" s="193">
        <f>SUMIFS(Datos!$D$67:$AL$67,Datos!$D$3:$AL$3,"&gt;="&amp;DATE(YEAR(Datos!AF$3),1,1),Datos!$D$3:$AL$3,"&lt;="&amp;Datos!AF$3)</f>
        <v>0</v>
      </c>
      <c r="M1140" s="193">
        <f>INDEX(_TARGETS!$J$2:$J$17,MATCH($C1140,_TARGETS!$A$2:$A$17,0))</f>
        <v>1</v>
      </c>
      <c r="N1140" s="193" t="str">
        <f>INDEX(_TARGETS!$D$2:$D$17,MATCH($C1140,_TARGETS!$A$2:$A$17,0))</f>
        <v>días</v>
      </c>
      <c r="O1140" s="193" t="str">
        <f>IF(NOT(ISNUMBER(F1140)),IF(SUMPRODUCT(($C$2:$C$1300=C1140)*($J$2:$J$1300="Monthly")*($A$2:$A$1300&lt;=A1140)*(YEAR($A$2:$A$1300)=YEAR(A1140))*ISNUMBER($K$2:$K$1300)*ISNUMBER($L$2:$L$1300)*($L$2:$L$1300=0)*($K$2:$K$1300&gt;0))&gt;0,"INCOMPLETE","MISSING"),O603)</f>
        <v>MISSING</v>
      </c>
      <c r="P1140" s="193" t="str">
        <f>INDEX(_TARGETS!$K$2:$K$17,MATCH($C1140,_TARGETS!$A$2:$A$17,0))</f>
        <v>Plant Findings (hoja Observaciones-SMP)</v>
      </c>
      <c r="Q1140" s="193" t="str">
        <f t="shared" si="112"/>
        <v>202812|DPAS|YTD</v>
      </c>
      <c r="R1140" s="193" t="str">
        <f>INDEX(_TARGETS!$H$2:$H$17,MATCH($C1140,_TARGETS!$A$2:$A$17,0))</f>
        <v>Pendiente (meta 2027)</v>
      </c>
      <c r="S1140" s="193" t="str">
        <f t="shared" si="113"/>
        <v/>
      </c>
      <c r="T1140" s="193" t="str">
        <f t="shared" si="114"/>
        <v/>
      </c>
    </row>
    <row r="1141" spans="1:20" ht="14.25" customHeight="1" x14ac:dyDescent="0.3">
      <c r="A1141" s="249">
        <f>KPIs!$AF$3</f>
        <v>47088</v>
      </c>
      <c r="B1141" s="193" t="str">
        <f>KPIs!AF$4</f>
        <v>Compresora</v>
      </c>
      <c r="C1141" t="s">
        <v>96</v>
      </c>
      <c r="D1141" s="193" t="str">
        <f>KPIs!$A$49</f>
        <v>C1 · % de desvíos detectados de gravedad Alta · YTD</v>
      </c>
      <c r="E1141" t="s">
        <v>601</v>
      </c>
      <c r="F1141" s="193" t="str">
        <f>IF(ISNUMBER(KPIs!AF49),KPIs!AF49,"")</f>
        <v/>
      </c>
      <c r="G1141" s="193" t="str">
        <f>IF(ISNUMBER(KPIs!$C$49),KPIs!$C$49,"")</f>
        <v/>
      </c>
      <c r="H1141" s="193" t="str">
        <f>IFERROR(INDEX(_TARGETS!$E$2:$E$17,MATCH($C1141,_TARGETS!$A$2:$A$17,0))&amp;"","")</f>
        <v/>
      </c>
      <c r="I1141" s="193" t="str">
        <f t="shared" si="110"/>
        <v/>
      </c>
      <c r="J1141" s="193" t="str">
        <f t="shared" si="111"/>
        <v>YTD</v>
      </c>
      <c r="K1141" s="193">
        <f>SUMIFS(Datos!$D$71:$AL$71,Datos!$D$3:$AL$3,"&gt;="&amp;DATE(YEAR(Datos!AF$3),1,1),Datos!$D$3:$AL$3,"&lt;="&amp;Datos!AF$3)</f>
        <v>0</v>
      </c>
      <c r="L1141" s="193">
        <f>SUMIFS(Datos!$D$71:$AL$71,Datos!$D$3:$AL$3,"&gt;="&amp;DATE(YEAR(Datos!AF$3),1,1),Datos!$D$3:$AL$3,"&lt;="&amp;Datos!AF$3)+SUMIFS(Datos!$D$72:$AL$72,Datos!$D$3:$AL$3,"&gt;="&amp;DATE(YEAR(Datos!AF$3),1,1),Datos!$D$3:$AL$3,"&lt;="&amp;Datos!AF$3)+SUMIFS(Datos!$D$73:$AL$73,Datos!$D$3:$AL$3,"&gt;="&amp;DATE(YEAR(Datos!AF$3),1,1),Datos!$D$3:$AL$3,"&lt;="&amp;Datos!AF$3)</f>
        <v>0</v>
      </c>
      <c r="M1141" s="193">
        <f>INDEX(_TARGETS!$J$2:$J$17,MATCH($C1141,_TARGETS!$A$2:$A$17,0))</f>
        <v>1</v>
      </c>
      <c r="N1141" s="193" t="str">
        <f>INDEX(_TARGETS!$D$2:$D$17,MATCH($C1141,_TARGETS!$A$2:$A$17,0))</f>
        <v>% (fracción)</v>
      </c>
      <c r="O1141" s="193" t="str">
        <f t="shared" ref="O1141:O1147" si="118">IF(NOT(ISNUMBER(F1141)),IF(SUMPRODUCT(($C$2:$C$1300=C1141)*($J$2:$J$1300="Monthly")*($A$2:$A$1300&lt;=A1141)*(YEAR($A$2:$A$1300)=YEAR(A1141))*ISNUMBER($K$2:$K$1300)*ISNUMBER($L$2:$L$1300)*($L$2:$L$1300=0)*($K$2:$K$1300&gt;0))&gt;0,"INCOMPLETE","MISSING"),O609)</f>
        <v>MISSING</v>
      </c>
      <c r="P1141" s="193" t="str">
        <f>INDEX(_TARGETS!$K$2:$K$17,MATCH($C1141,_TARGETS!$A$2:$A$17,0))</f>
        <v>Plant Findings (hoja Observaciones-SMP)</v>
      </c>
      <c r="Q1141" s="193" t="str">
        <f t="shared" si="112"/>
        <v>202812|HAL_ALTA_PCT|YTD</v>
      </c>
      <c r="R1141" s="193" t="str">
        <f>INDEX(_TARGETS!$H$2:$H$17,MATCH($C1141,_TARGETS!$A$2:$A$17,0))</f>
        <v>Solo reporte</v>
      </c>
      <c r="S1141" s="193" t="str">
        <f t="shared" si="113"/>
        <v/>
      </c>
      <c r="T1141" s="193" t="str">
        <f t="shared" si="114"/>
        <v/>
      </c>
    </row>
    <row r="1142" spans="1:20" ht="14.25" customHeight="1" x14ac:dyDescent="0.3">
      <c r="A1142" s="249">
        <f>KPIs!$AF$3</f>
        <v>47088</v>
      </c>
      <c r="B1142" s="193" t="str">
        <f>KPIs!AF$4</f>
        <v>Compresora</v>
      </c>
      <c r="C1142" t="s">
        <v>98</v>
      </c>
      <c r="D1142" s="193" t="str">
        <f>KPIs!$A$50</f>
        <v>C2 · Detenciones de tareas aplicadas · YTD</v>
      </c>
      <c r="E1142" t="s">
        <v>601</v>
      </c>
      <c r="F1142" s="193" t="str">
        <f>IF(ISNUMBER(KPIs!AF50),KPIs!AF50,"")</f>
        <v/>
      </c>
      <c r="G1142" s="193" t="str">
        <f>IF(ISNUMBER(KPIs!$C$50),KPIs!$C$50,"")</f>
        <v/>
      </c>
      <c r="H1142" s="193" t="str">
        <f>IFERROR(INDEX(_TARGETS!$E$2:$E$17,MATCH($C1142,_TARGETS!$A$2:$A$17,0))&amp;"","")</f>
        <v/>
      </c>
      <c r="I1142" s="193" t="str">
        <f t="shared" si="110"/>
        <v/>
      </c>
      <c r="J1142" s="193" t="str">
        <f t="shared" si="111"/>
        <v>YTD</v>
      </c>
      <c r="K1142" s="193">
        <f>SUMIFS(Datos!$D$75:$AL$75,Datos!$D$3:$AL$3,"&gt;="&amp;DATE(YEAR(Datos!AF$3),1,1),Datos!$D$3:$AL$3,"&lt;="&amp;Datos!AF$3)</f>
        <v>0</v>
      </c>
      <c r="M1142" s="193">
        <f>INDEX(_TARGETS!$J$2:$J$17,MATCH($C1142,_TARGETS!$A$2:$A$17,0))</f>
        <v>1</v>
      </c>
      <c r="N1142" s="193" t="str">
        <f>INDEX(_TARGETS!$D$2:$D$17,MATCH($C1142,_TARGETS!$A$2:$A$17,0))</f>
        <v>u</v>
      </c>
      <c r="O1142" s="193" t="str">
        <f t="shared" si="118"/>
        <v>MISSING</v>
      </c>
      <c r="P1142" s="193" t="str">
        <f>INDEX(_TARGETS!$K$2:$K$17,MATCH($C1142,_TARGETS!$A$2:$A$17,0))</f>
        <v>Plant Findings (hoja Observaciones-SMP)</v>
      </c>
      <c r="Q1142" s="193" t="str">
        <f t="shared" si="112"/>
        <v>202812|DET|YTD</v>
      </c>
      <c r="R1142" s="193" t="str">
        <f>INDEX(_TARGETS!$H$2:$H$17,MATCH($C1142,_TARGETS!$A$2:$A$17,0))</f>
        <v>Solo reporte</v>
      </c>
      <c r="S1142" s="193">
        <f t="shared" si="113"/>
        <v>0</v>
      </c>
      <c r="T1142" s="193" t="str">
        <f t="shared" si="114"/>
        <v/>
      </c>
    </row>
    <row r="1143" spans="1:20" ht="14.25" customHeight="1" x14ac:dyDescent="0.3">
      <c r="A1143" s="249">
        <f>KPIs!$AG$3</f>
        <v>47119</v>
      </c>
      <c r="B1143" s="193" t="str">
        <f>KPIs!AG$4</f>
        <v>Compresora</v>
      </c>
      <c r="C1143" t="s">
        <v>39</v>
      </c>
      <c r="D1143" s="193" t="str">
        <f>KPIs!$A$37</f>
        <v>1 · Frecuencia de casos con días perdidos · YTD</v>
      </c>
      <c r="E1143" t="s">
        <v>601</v>
      </c>
      <c r="F1143" s="193" t="str">
        <f>IF(ISNUMBER(KPIs!AG37),KPIs!AG37,"")</f>
        <v/>
      </c>
      <c r="G1143" s="250">
        <f>IF(ISNUMBER(KPIs!$C$37),KPIs!$C$37,"")</f>
        <v>0</v>
      </c>
      <c r="H1143" s="193" t="str">
        <f>IFERROR(INDEX(_TARGETS!$E$2:$E$17,MATCH($C1143,_TARGETS!$A$2:$A$17,0))&amp;"","")</f>
        <v>≤</v>
      </c>
      <c r="I1143" s="193" t="str">
        <f t="shared" si="110"/>
        <v/>
      </c>
      <c r="J1143" s="193" t="str">
        <f t="shared" si="111"/>
        <v>YTD</v>
      </c>
      <c r="K1143" s="193">
        <f>SUMIFS(Datos!$D$33:$AL$33,Datos!$D$3:$AL$3,"&gt;="&amp;DATE(YEAR(Datos!AG$3),1,1),Datos!$D$3:$AL$3,"&lt;="&amp;Datos!AG$3)</f>
        <v>0</v>
      </c>
      <c r="L1143" s="193">
        <f>SUMIFS(Datos!$D$14:$AL$14,Datos!$D$3:$AL$3,"&gt;="&amp;DATE(YEAR(Datos!AG$3),1,1),Datos!$D$3:$AL$3,"&lt;="&amp;Datos!AG$3)</f>
        <v>0</v>
      </c>
      <c r="M1143" s="193">
        <f>INDEX(_TARGETS!$J$2:$J$17,MATCH($C1143,_TARGETS!$A$2:$A$17,0))</f>
        <v>1000000</v>
      </c>
      <c r="N1143" s="193" t="str">
        <f>INDEX(_TARGETS!$D$2:$D$17,MATCH($C1143,_TARGETS!$A$2:$A$17,0))</f>
        <v>casos / 10^6 HH</v>
      </c>
      <c r="O1143" s="193" t="str">
        <f t="shared" si="118"/>
        <v>MISSING</v>
      </c>
      <c r="P1143" s="193" t="str">
        <f>INDEX(_TARGETS!$K$2:$K$17,MATCH($C1143,_TARGETS!$A$2:$A$17,0))</f>
        <v>OPS (carga manual en Datos)</v>
      </c>
      <c r="Q1143" s="193" t="str">
        <f t="shared" si="112"/>
        <v>202901|DAFWCF|YTD</v>
      </c>
      <c r="R1143" s="193" t="str">
        <f>INDEX(_TARGETS!$H$2:$H$17,MATCH($C1143,_TARGETS!$A$2:$A$17,0))</f>
        <v>Definida</v>
      </c>
      <c r="S1143" s="193" t="str">
        <f t="shared" si="113"/>
        <v/>
      </c>
      <c r="T1143" s="193" t="str">
        <f t="shared" si="114"/>
        <v/>
      </c>
    </row>
    <row r="1144" spans="1:20" ht="14.25" customHeight="1" x14ac:dyDescent="0.3">
      <c r="A1144" s="249">
        <f>KPIs!$AG$3</f>
        <v>47119</v>
      </c>
      <c r="B1144" s="193" t="str">
        <f>KPIs!AG$4</f>
        <v>Compresora</v>
      </c>
      <c r="C1144" t="s">
        <v>49</v>
      </c>
      <c r="D1144" s="193" t="str">
        <f>KPIs!$A$38</f>
        <v>2 · Frecuencia de casos registrables · YTD</v>
      </c>
      <c r="E1144" t="s">
        <v>601</v>
      </c>
      <c r="F1144" s="193" t="str">
        <f>IF(ISNUMBER(KPIs!AG38),KPIs!AG38,"")</f>
        <v/>
      </c>
      <c r="G1144" s="250">
        <f>IF(ISNUMBER(KPIs!$C$38),KPIs!$C$38,"")</f>
        <v>2.35</v>
      </c>
      <c r="H1144" s="193" t="str">
        <f>IFERROR(INDEX(_TARGETS!$E$2:$E$17,MATCH($C1144,_TARGETS!$A$2:$A$17,0))&amp;"","")</f>
        <v>≤</v>
      </c>
      <c r="I1144" s="193" t="str">
        <f t="shared" si="110"/>
        <v/>
      </c>
      <c r="J1144" s="193" t="str">
        <f t="shared" si="111"/>
        <v>YTD</v>
      </c>
      <c r="K1144" s="193">
        <f>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f>
        <v>0</v>
      </c>
      <c r="L1144" s="193">
        <f>SUMIFS(Datos!$D$14:$AL$14,Datos!$D$3:$AL$3,"&gt;="&amp;DATE(YEAR(Datos!AG$3),1,1),Datos!$D$3:$AL$3,"&lt;="&amp;Datos!AG$3)</f>
        <v>0</v>
      </c>
      <c r="M1144" s="193">
        <f>INDEX(_TARGETS!$J$2:$J$17,MATCH($C1144,_TARGETS!$A$2:$A$17,0))</f>
        <v>1000000</v>
      </c>
      <c r="N1144" s="193" t="str">
        <f>INDEX(_TARGETS!$D$2:$D$17,MATCH($C1144,_TARGETS!$A$2:$A$17,0))</f>
        <v>casos / 10^6 HH</v>
      </c>
      <c r="O1144" s="193" t="str">
        <f t="shared" si="118"/>
        <v>MISSING</v>
      </c>
      <c r="P1144" s="193" t="str">
        <f>INDEX(_TARGETS!$K$2:$K$17,MATCH($C1144,_TARGETS!$A$2:$A$17,0))</f>
        <v>OPS (carga manual en Datos)</v>
      </c>
      <c r="Q1144" s="193" t="str">
        <f t="shared" si="112"/>
        <v>202901|TRICF|YTD</v>
      </c>
      <c r="R1144" s="193" t="str">
        <f>INDEX(_TARGETS!$H$2:$H$17,MATCH($C1144,_TARGETS!$A$2:$A$17,0))</f>
        <v>Definida</v>
      </c>
      <c r="S1144" s="193" t="str">
        <f t="shared" si="113"/>
        <v/>
      </c>
      <c r="T1144" s="193" t="str">
        <f t="shared" si="114"/>
        <v/>
      </c>
    </row>
    <row r="1145" spans="1:20" ht="14.25" customHeight="1" x14ac:dyDescent="0.3">
      <c r="A1145" s="249">
        <f>KPIs!$AG$3</f>
        <v>47119</v>
      </c>
      <c r="B1145" s="193" t="str">
        <f>KPIs!AG$4</f>
        <v>Compresora</v>
      </c>
      <c r="C1145" t="s">
        <v>51</v>
      </c>
      <c r="D1145" s="193" t="str">
        <f>KPIs!$A$39</f>
        <v>3 · Casos de primeros auxilios · YTD</v>
      </c>
      <c r="E1145" t="s">
        <v>601</v>
      </c>
      <c r="F1145" s="193" t="str">
        <f>IF(ISNUMBER(KPIs!AG39),KPIs!AG39,"")</f>
        <v/>
      </c>
      <c r="G1145" s="193" t="str">
        <f>IF(ISNUMBER(KPIs!$C$39),KPIs!$C$39,"")</f>
        <v/>
      </c>
      <c r="H1145" s="193" t="str">
        <f>IFERROR(INDEX(_TARGETS!$E$2:$E$17,MATCH($C1145,_TARGETS!$A$2:$A$17,0))&amp;"","")</f>
        <v/>
      </c>
      <c r="I1145" s="193" t="str">
        <f t="shared" si="110"/>
        <v/>
      </c>
      <c r="J1145" s="193" t="str">
        <f t="shared" si="111"/>
        <v>YTD</v>
      </c>
      <c r="K1145" s="193">
        <f>SUMIFS(Datos!$D$37:$AL$37,Datos!$D$3:$AL$3,"&gt;="&amp;DATE(YEAR(Datos!AG$3),1,1),Datos!$D$3:$AL$3,"&lt;="&amp;Datos!AG$3)</f>
        <v>0</v>
      </c>
      <c r="M1145" s="193">
        <f>INDEX(_TARGETS!$J$2:$J$17,MATCH($C1145,_TARGETS!$A$2:$A$17,0))</f>
        <v>1</v>
      </c>
      <c r="N1145" s="193" t="str">
        <f>INDEX(_TARGETS!$D$2:$D$17,MATCH($C1145,_TARGETS!$A$2:$A$17,0))</f>
        <v>casos</v>
      </c>
      <c r="O1145" s="193" t="str">
        <f t="shared" si="118"/>
        <v>MISSING</v>
      </c>
      <c r="P1145" s="193" t="str">
        <f>INDEX(_TARGETS!$K$2:$K$17,MATCH($C1145,_TARGETS!$A$2:$A$17,0))</f>
        <v>OPS (carga manual en Datos)</v>
      </c>
      <c r="Q1145" s="193" t="str">
        <f t="shared" si="112"/>
        <v>202901|FAC|YTD</v>
      </c>
      <c r="R1145" s="193" t="str">
        <f>INDEX(_TARGETS!$H$2:$H$17,MATCH($C1145,_TARGETS!$A$2:$A$17,0))</f>
        <v>Solo reporte</v>
      </c>
      <c r="S1145" s="193">
        <f t="shared" si="113"/>
        <v>0</v>
      </c>
      <c r="T1145" s="193" t="str">
        <f t="shared" si="114"/>
        <v/>
      </c>
    </row>
    <row r="1146" spans="1:20" ht="14.25" customHeight="1" x14ac:dyDescent="0.3">
      <c r="A1146" s="249">
        <f>KPIs!$AG$3</f>
        <v>47119</v>
      </c>
      <c r="B1146" s="193" t="str">
        <f>KPIs!AG$4</f>
        <v>Compresora</v>
      </c>
      <c r="C1146" t="s">
        <v>57</v>
      </c>
      <c r="D1146" s="193" t="str">
        <f>KPIs!$A$40</f>
        <v>4 · Accidentes vehiculares severos por millón de km · YTD</v>
      </c>
      <c r="E1146" t="s">
        <v>601</v>
      </c>
      <c r="F1146" s="193" t="str">
        <f>IF(ISNUMBER(KPIs!AG40),KPIs!AG40,"")</f>
        <v/>
      </c>
      <c r="G1146" s="193" t="str">
        <f>IF(ISNUMBER(KPIs!$C$40),KPIs!$C$40,"")</f>
        <v/>
      </c>
      <c r="H1146" s="193" t="str">
        <f>IFERROR(INDEX(_TARGETS!$E$2:$E$17,MATCH($C1146,_TARGETS!$A$2:$A$17,0))&amp;"","")</f>
        <v/>
      </c>
      <c r="I1146" s="193" t="str">
        <f t="shared" si="110"/>
        <v/>
      </c>
      <c r="J1146" s="193" t="str">
        <f t="shared" si="111"/>
        <v>YTD</v>
      </c>
      <c r="K1146" s="193">
        <f>SUMIFS(Datos!$D$39:$AL$39,Datos!$D$3:$AL$3,"&gt;="&amp;DATE(YEAR(Datos!AG$3),1,1),Datos!$D$3:$AL$3,"&lt;="&amp;Datos!AG$3)+SUMIFS(Datos!$D$40:$AL$40,Datos!$D$3:$AL$3,"&gt;="&amp;DATE(YEAR(Datos!AG$3),1,1),Datos!$D$3:$AL$3,"&lt;="&amp;Datos!AG$3)+SUMIFS(Datos!$D$41:$AL$41,Datos!$D$3:$AL$3,"&gt;="&amp;DATE(YEAR(Datos!AG$3),1,1),Datos!$D$3:$AL$3,"&lt;="&amp;Datos!AG$3)</f>
        <v>0</v>
      </c>
      <c r="L1146" s="193">
        <f>SUMIFS(Datos!$D$47:$AL$47,Datos!$D$3:$AL$3,"&gt;="&amp;DATE(YEAR(Datos!AG$3),1,1),Datos!$D$3:$AL$3,"&lt;="&amp;Datos!AG$3)</f>
        <v>0</v>
      </c>
      <c r="M1146" s="193">
        <f>INDEX(_TARGETS!$J$2:$J$17,MATCH($C1146,_TARGETS!$A$2:$A$17,0))</f>
        <v>1000000</v>
      </c>
      <c r="N1146" s="193" t="str">
        <f>INDEX(_TARGETS!$D$2:$D$17,MATCH($C1146,_TARGETS!$A$2:$A$17,0))</f>
        <v>eventos / 10^6 km</v>
      </c>
      <c r="O1146" s="193" t="str">
        <f t="shared" si="118"/>
        <v>MISSING</v>
      </c>
      <c r="P1146" s="193" t="str">
        <f>INDEX(_TARGETS!$K$2:$K$17,MATCH($C1146,_TARGETS!$A$2:$A$17,0))</f>
        <v>OPS (eventos) + Full Control GPS (km) - carga manual en Datos</v>
      </c>
      <c r="Q1146" s="193" t="str">
        <f t="shared" si="112"/>
        <v>202901|SVCR|YTD</v>
      </c>
      <c r="R1146" s="193" t="str">
        <f>INDEX(_TARGETS!$H$2:$H$17,MATCH($C1146,_TARGETS!$A$2:$A$17,0))</f>
        <v>Solo reporte</v>
      </c>
      <c r="S1146" s="193" t="str">
        <f t="shared" si="113"/>
        <v/>
      </c>
      <c r="T1146" s="193" t="str">
        <f t="shared" si="114"/>
        <v/>
      </c>
    </row>
    <row r="1147" spans="1:20" ht="14.25" customHeight="1" x14ac:dyDescent="0.3">
      <c r="A1147" s="249">
        <f>KPIs!$AG$3</f>
        <v>47119</v>
      </c>
      <c r="B1147" s="193" t="str">
        <f>KPIs!AG$4</f>
        <v>Compresora</v>
      </c>
      <c r="C1147" t="s">
        <v>61</v>
      </c>
      <c r="D1147" s="193" t="str">
        <f>KPIs!$A$41</f>
        <v>5 · Accidentes vehiculares totales por millón de km · YTD</v>
      </c>
      <c r="E1147" t="s">
        <v>601</v>
      </c>
      <c r="F1147" s="193" t="str">
        <f>IF(ISNUMBER(KPIs!AG41),KPIs!AG41,"")</f>
        <v/>
      </c>
      <c r="G1147" s="250">
        <f>IF(ISNUMBER(KPIs!$C$41),KPIs!$C$41,"")</f>
        <v>0.79</v>
      </c>
      <c r="H1147" s="193" t="str">
        <f>IFERROR(INDEX(_TARGETS!$E$2:$E$17,MATCH($C1147,_TARGETS!$A$2:$A$17,0))&amp;"","")</f>
        <v>≤</v>
      </c>
      <c r="I1147" s="193" t="str">
        <f t="shared" si="110"/>
        <v/>
      </c>
      <c r="J1147" s="193" t="str">
        <f t="shared" si="111"/>
        <v>YTD</v>
      </c>
      <c r="K1147" s="193">
        <f>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f>
        <v>0</v>
      </c>
      <c r="L1147" s="193">
        <f>SUMIFS(Datos!$D$47:$AL$47,Datos!$D$3:$AL$3,"&gt;="&amp;DATE(YEAR(Datos!AG$3),1,1),Datos!$D$3:$AL$3,"&lt;="&amp;Datos!AG$3)</f>
        <v>0</v>
      </c>
      <c r="M1147" s="193">
        <f>INDEX(_TARGETS!$J$2:$J$17,MATCH($C1147,_TARGETS!$A$2:$A$17,0))</f>
        <v>1000000</v>
      </c>
      <c r="N1147" s="193" t="str">
        <f>INDEX(_TARGETS!$D$2:$D$17,MATCH($C1147,_TARGETS!$A$2:$A$17,0))</f>
        <v>eventos / 10^6 km</v>
      </c>
      <c r="O1147" s="193" t="str">
        <f t="shared" si="118"/>
        <v>MISSING</v>
      </c>
      <c r="P1147" s="193" t="str">
        <f>INDEX(_TARGETS!$K$2:$K$17,MATCH($C1147,_TARGETS!$A$2:$A$17,0))</f>
        <v>OPS (eventos) + Full Control GPS (km) - carga manual en Datos</v>
      </c>
      <c r="Q1147" s="193" t="str">
        <f t="shared" si="112"/>
        <v>202901|TVCR|YTD</v>
      </c>
      <c r="R1147" s="193" t="str">
        <f>INDEX(_TARGETS!$H$2:$H$17,MATCH($C1147,_TARGETS!$A$2:$A$17,0))</f>
        <v>Definida</v>
      </c>
      <c r="S1147" s="193" t="str">
        <f t="shared" si="113"/>
        <v/>
      </c>
      <c r="T1147" s="193" t="str">
        <f t="shared" si="114"/>
        <v/>
      </c>
    </row>
    <row r="1148" spans="1:20" ht="14.25" customHeight="1" x14ac:dyDescent="0.3">
      <c r="A1148" s="249">
        <f>KPIs!$AG$3</f>
        <v>47119</v>
      </c>
      <c r="B1148" s="193" t="str">
        <f>KPIs!AG$4</f>
        <v>Compresora</v>
      </c>
      <c r="C1148" t="s">
        <v>71</v>
      </c>
      <c r="D1148" s="193" t="str">
        <f>KPIs!$A$42</f>
        <v>7 · Investigaciones de accidentes: días promedio de cierre · YTD</v>
      </c>
      <c r="E1148" t="s">
        <v>601</v>
      </c>
      <c r="F1148" s="193" t="str">
        <f>IF(ISNUMBER(KPIs!AG42),KPIs!AG42,"")</f>
        <v/>
      </c>
      <c r="G1148" s="251">
        <f>IF(ISNUMBER(KPIs!$C$42),KPIs!$C$42,"")</f>
        <v>20</v>
      </c>
      <c r="H1148" s="193" t="str">
        <f>IFERROR(INDEX(_TARGETS!$E$2:$E$17,MATCH($C1148,_TARGETS!$A$2:$A$17,0))&amp;"","")</f>
        <v>≤</v>
      </c>
      <c r="I1148" s="193" t="str">
        <f t="shared" si="110"/>
        <v/>
      </c>
      <c r="J1148" s="193" t="str">
        <f t="shared" si="111"/>
        <v>YTD</v>
      </c>
      <c r="K1148" s="193">
        <f>SUMIFS(Datos!$D$31:$AL$31,Datos!$D$3:$AL$3,"&gt;="&amp;DATE(YEAR(Datos!AG$3),1,1),Datos!$D$3:$AL$3,"&lt;="&amp;Datos!AG$3)</f>
        <v>0</v>
      </c>
      <c r="L1148" s="193">
        <f>SUMIFS(Datos!$D$30:$AL$30,Datos!$D$3:$AL$3,"&gt;="&amp;DATE(YEAR(Datos!AG$3),1,1),Datos!$D$3:$AL$3,"&lt;="&amp;Datos!AG$3)</f>
        <v>0</v>
      </c>
      <c r="M1148" s="193">
        <f>INDEX(_TARGETS!$J$2:$J$17,MATCH($C1148,_TARGETS!$A$2:$A$17,0))</f>
        <v>1</v>
      </c>
      <c r="N1148" s="193" t="str">
        <f>INDEX(_TARGETS!$D$2:$D$17,MATCH($C1148,_TARGETS!$A$2:$A$17,0))</f>
        <v>días</v>
      </c>
      <c r="O1148" s="193" t="str">
        <f>IF(NOT(ISNUMBER(F1148)),IF(SUMPRODUCT(($C$2:$C$1300=C1148)*($J$2:$J$1300="Monthly")*($A$2:$A$1300&lt;=A1148)*(YEAR($A$2:$A$1300)=YEAR(A1148))*ISNUMBER($K$2:$K$1300)*ISNUMBER($L$2:$L$1300)*($L$2:$L$1300=0)*($K$2:$K$1300&gt;0))&gt;0,"INCOMPLETE","MISSING"),O617)</f>
        <v>MISSING</v>
      </c>
      <c r="P1148" s="193" t="str">
        <f>INDEX(_TARGETS!$K$2:$K$17,MATCH($C1148,_TARGETS!$A$2:$A$17,0))</f>
        <v>OPS (carga manual en Datos)</v>
      </c>
      <c r="Q1148" s="193" t="str">
        <f t="shared" si="112"/>
        <v>202901|INV|YTD</v>
      </c>
      <c r="R1148" s="193" t="str">
        <f>INDEX(_TARGETS!$H$2:$H$17,MATCH($C1148,_TARGETS!$A$2:$A$17,0))</f>
        <v>Definida</v>
      </c>
      <c r="S1148" s="193" t="str">
        <f t="shared" si="113"/>
        <v/>
      </c>
      <c r="T1148" s="193" t="str">
        <f t="shared" si="114"/>
        <v/>
      </c>
    </row>
    <row r="1149" spans="1:20" ht="14.25" customHeight="1" x14ac:dyDescent="0.3">
      <c r="A1149" s="249">
        <f>KPIs!$AG$3</f>
        <v>47119</v>
      </c>
      <c r="B1149" s="193" t="str">
        <f>KPIs!AG$4</f>
        <v>Compresora</v>
      </c>
      <c r="C1149" t="s">
        <v>76</v>
      </c>
      <c r="D1149" s="193" t="str">
        <f>KPIs!$A$43</f>
        <v>8 · % de capacitación en seguridad · YTD</v>
      </c>
      <c r="E1149" t="s">
        <v>601</v>
      </c>
      <c r="F1149" s="193" t="str">
        <f>IF(ISNUMBER(KPIs!AG43),KPIs!AG43,"")</f>
        <v/>
      </c>
      <c r="G1149" s="252">
        <f>IF(ISNUMBER(KPIs!$C$43),KPIs!$C$43,"")</f>
        <v>0.01</v>
      </c>
      <c r="H1149" s="193" t="str">
        <f>IFERROR(INDEX(_TARGETS!$E$2:$E$17,MATCH($C1149,_TARGETS!$A$2:$A$17,0))&amp;"","")</f>
        <v>≥</v>
      </c>
      <c r="I1149" s="193" t="str">
        <f t="shared" si="110"/>
        <v/>
      </c>
      <c r="J1149" s="193" t="str">
        <f t="shared" si="111"/>
        <v>YTD</v>
      </c>
      <c r="K1149" s="193">
        <f>SUMIFS(Datos!$D$18:$AL$18,Datos!$D$3:$AL$3,"&gt;="&amp;DATE(YEAR(Datos!AG$3),1,1),Datos!$D$3:$AL$3,"&lt;="&amp;Datos!AG$3)</f>
        <v>0</v>
      </c>
      <c r="L1149" s="193">
        <f>SUMIFS(Datos!$D$14:$AL$14,Datos!$D$3:$AL$3,"&gt;="&amp;DATE(YEAR(Datos!AG$3),1,1),Datos!$D$3:$AL$3,"&lt;="&amp;Datos!AG$3)</f>
        <v>0</v>
      </c>
      <c r="M1149" s="193">
        <f>INDEX(_TARGETS!$J$2:$J$17,MATCH($C1149,_TARGETS!$A$2:$A$17,0))</f>
        <v>1</v>
      </c>
      <c r="N1149" s="193" t="str">
        <f>INDEX(_TARGETS!$D$2:$D$17,MATCH($C1149,_TARGETS!$A$2:$A$17,0))</f>
        <v>% (fracción)</v>
      </c>
      <c r="O1149" s="193" t="str">
        <f>IF(NOT(ISNUMBER(F1149)),IF(SUMPRODUCT(($C$2:$C$1300=C1149)*($J$2:$J$1300="Monthly")*($A$2:$A$1300&lt;=A1149)*(YEAR($A$2:$A$1300)=YEAR(A1149))*ISNUMBER($K$2:$K$1300)*ISNUMBER($L$2:$L$1300)*($L$2:$L$1300=0)*($K$2:$K$1300&gt;0))&gt;0,"INCOMPLETE","MISSING"),O618)</f>
        <v>MISSING</v>
      </c>
      <c r="P1149" s="193" t="str">
        <f>INDEX(_TARGETS!$K$2:$K$17,MATCH($C1149,_TARGETS!$A$2:$A$17,0))</f>
        <v>OPS (carga manual en Datos)</v>
      </c>
      <c r="Q1149" s="193" t="str">
        <f t="shared" si="112"/>
        <v>202901|HCS|YTD</v>
      </c>
      <c r="R1149" s="193" t="str">
        <f>INDEX(_TARGETS!$H$2:$H$17,MATCH($C1149,_TARGETS!$A$2:$A$17,0))</f>
        <v>Definida</v>
      </c>
      <c r="S1149" s="193" t="str">
        <f t="shared" si="113"/>
        <v/>
      </c>
      <c r="T1149" s="193" t="str">
        <f t="shared" si="114"/>
        <v/>
      </c>
    </row>
    <row r="1150" spans="1:20" ht="14.25" customHeight="1" x14ac:dyDescent="0.3">
      <c r="A1150" s="249">
        <f>KPIs!$AG$3</f>
        <v>47119</v>
      </c>
      <c r="B1150" s="193" t="str">
        <f>KPIs!AG$4</f>
        <v>Compresora</v>
      </c>
      <c r="C1150" t="s">
        <v>83</v>
      </c>
      <c r="D1150" s="193" t="str">
        <f>KPIs!$A$44</f>
        <v>10 · Cumplimiento de simulacros (emergencia y operativos) · YTD</v>
      </c>
      <c r="E1150" t="s">
        <v>601</v>
      </c>
      <c r="F1150" s="193" t="str">
        <f>IF(ISNUMBER(KPIs!AG44),KPIs!AG44,"")</f>
        <v/>
      </c>
      <c r="G1150" s="253">
        <f>IF(ISNUMBER(KPIs!$C$44),KPIs!$C$44,"")</f>
        <v>1</v>
      </c>
      <c r="H1150" s="193" t="str">
        <f>IFERROR(INDEX(_TARGETS!$E$2:$E$17,MATCH($C1150,_TARGETS!$A$2:$A$17,0))&amp;"","")</f>
        <v>≥</v>
      </c>
      <c r="I1150" s="193" t="str">
        <f t="shared" si="110"/>
        <v/>
      </c>
      <c r="J1150" s="193" t="str">
        <f t="shared" si="111"/>
        <v>YTD</v>
      </c>
      <c r="K1150" s="193">
        <f>SUMIFS(Datos!$D$20:$AL$20,Datos!$D$3:$AL$3,"&gt;="&amp;DATE(YEAR(Datos!AG$3),1,1),Datos!$D$3:$AL$3,"&lt;="&amp;Datos!AG$3)</f>
        <v>0</v>
      </c>
      <c r="L1150" s="193">
        <f>SUMIFS(Datos!$D$21:$AL$21,Datos!$D$3:$AL$3,"&gt;="&amp;DATE(YEAR(Datos!AG$3),1,1),Datos!$D$3:$AL$3,"&lt;="&amp;Datos!AG$3)</f>
        <v>0</v>
      </c>
      <c r="M1150" s="193">
        <f>INDEX(_TARGETS!$J$2:$J$17,MATCH($C1150,_TARGETS!$A$2:$A$17,0))</f>
        <v>1</v>
      </c>
      <c r="N1150" s="193" t="str">
        <f>INDEX(_TARGETS!$D$2:$D$17,MATCH($C1150,_TARGETS!$A$2:$A$17,0))</f>
        <v>% (fracción)</v>
      </c>
      <c r="O1150" s="193" t="str">
        <f>IF(NOT(ISNUMBER(F1150)),IF(SUMPRODUCT(($C$2:$C$1300=C1150)*($J$2:$J$1300="Monthly")*($A$2:$A$1300&lt;=A1150)*(YEAR($A$2:$A$1300)=YEAR(A1150))*ISNUMBER($K$2:$K$1300)*ISNUMBER($L$2:$L$1300)*($L$2:$L$1300=0)*($K$2:$K$1300&gt;0))&gt;0,"INCOMPLETE","MISSING"),O620)</f>
        <v>MISSING</v>
      </c>
      <c r="P1150" s="193" t="str">
        <f>INDEX(_TARGETS!$K$2:$K$17,MATCH($C1150,_TARGETS!$A$2:$A$17,0))</f>
        <v>OPS (carga manual en Datos)</v>
      </c>
      <c r="Q1150" s="193" t="str">
        <f t="shared" si="112"/>
        <v>202901|CPSE|YTD</v>
      </c>
      <c r="R1150" s="193" t="str">
        <f>INDEX(_TARGETS!$H$2:$H$17,MATCH($C1150,_TARGETS!$A$2:$A$17,0))</f>
        <v>Definida</v>
      </c>
      <c r="S1150" s="193" t="str">
        <f t="shared" si="113"/>
        <v/>
      </c>
      <c r="T1150" s="193" t="str">
        <f t="shared" si="114"/>
        <v/>
      </c>
    </row>
    <row r="1151" spans="1:20" ht="14.25" customHeight="1" x14ac:dyDescent="0.3">
      <c r="A1151" s="249">
        <f>KPIs!$AG$3</f>
        <v>47119</v>
      </c>
      <c r="B1151" s="193" t="str">
        <f>KPIs!AG$4</f>
        <v>Compresora</v>
      </c>
      <c r="C1151" t="s">
        <v>85</v>
      </c>
      <c r="D1151" s="193" t="str">
        <f>KPIs!$A$45</f>
        <v>10b · Cumplimiento de acciones de mejora de simulacros · YTD</v>
      </c>
      <c r="E1151" t="s">
        <v>601</v>
      </c>
      <c r="F1151" s="193" t="str">
        <f>IF(ISNUMBER(KPIs!AG45),KPIs!AG45,"")</f>
        <v/>
      </c>
      <c r="G1151" s="254" t="str">
        <f>IF(ISNUMBER(KPIs!$C$45),KPIs!$C$45,"")</f>
        <v/>
      </c>
      <c r="H1151" s="193" t="str">
        <f>IFERROR(INDEX(_TARGETS!$E$2:$E$17,MATCH($C1151,_TARGETS!$A$2:$A$17,0))&amp;"","")</f>
        <v/>
      </c>
      <c r="I1151" s="193" t="str">
        <f t="shared" si="110"/>
        <v/>
      </c>
      <c r="J1151" s="193" t="str">
        <f t="shared" si="111"/>
        <v>YTD</v>
      </c>
      <c r="K1151" s="193">
        <f>SUMIFS(Datos!$D$23:$AL$23,Datos!$D$3:$AL$3,"&gt;="&amp;DATE(YEAR(Datos!AG$3),1,1),Datos!$D$3:$AL$3,"&lt;="&amp;Datos!AG$3)</f>
        <v>0</v>
      </c>
      <c r="L1151" s="193">
        <f>SUMIFS(Datos!$D$22:$AL$22,Datos!$D$3:$AL$3,"&gt;="&amp;DATE(YEAR(Datos!AG$3),1,1),Datos!$D$3:$AL$3,"&lt;="&amp;Datos!AG$3)</f>
        <v>0</v>
      </c>
      <c r="M1151" s="193">
        <f>INDEX(_TARGETS!$J$2:$J$17,MATCH($C1151,_TARGETS!$A$2:$A$17,0))</f>
        <v>1</v>
      </c>
      <c r="N1151" s="193" t="str">
        <f>INDEX(_TARGETS!$D$2:$D$17,MATCH($C1151,_TARGETS!$A$2:$A$17,0))</f>
        <v>% (fracción)</v>
      </c>
      <c r="O1151" s="193" t="str">
        <f>IF(NOT(ISNUMBER(F1151)),IF(SUMPRODUCT(($C$2:$C$1300=C1151)*($J$2:$J$1300="Monthly")*($A$2:$A$1300&lt;=A1151)*(YEAR($A$2:$A$1300)=YEAR(A1151))*ISNUMBER($K$2:$K$1300)*ISNUMBER($L$2:$L$1300)*($L$2:$L$1300=0)*($K$2:$K$1300&gt;0))&gt;0,"INCOMPLETE","MISSING"),O621)</f>
        <v>MISSING</v>
      </c>
      <c r="P1151" s="193" t="str">
        <f>INDEX(_TARGETS!$K$2:$K$17,MATCH($C1151,_TARGETS!$A$2:$A$17,0))</f>
        <v>OPS (carga manual en Datos)</v>
      </c>
      <c r="Q1151" s="193" t="str">
        <f t="shared" si="112"/>
        <v>202901|CAMS|YTD</v>
      </c>
      <c r="R1151" s="193" t="str">
        <f>INDEX(_TARGETS!$H$2:$H$17,MATCH($C1151,_TARGETS!$A$2:$A$17,0))</f>
        <v>Solo reporte</v>
      </c>
      <c r="S1151" s="193" t="str">
        <f t="shared" si="113"/>
        <v/>
      </c>
      <c r="T1151" s="193" t="str">
        <f t="shared" si="114"/>
        <v/>
      </c>
    </row>
    <row r="1152" spans="1:20" ht="14.25" customHeight="1" x14ac:dyDescent="0.3">
      <c r="A1152" s="249">
        <f>KPIs!$AG$3</f>
        <v>47119</v>
      </c>
      <c r="B1152" s="193" t="str">
        <f>KPIs!AG$4</f>
        <v>Compresora</v>
      </c>
      <c r="C1152" t="s">
        <v>87</v>
      </c>
      <c r="D1152" s="193" t="str">
        <f>KPIs!$A$46</f>
        <v>11 · Cumplimiento de caminatas gerenciales · YTD</v>
      </c>
      <c r="E1152" t="s">
        <v>601</v>
      </c>
      <c r="F1152" s="193" t="str">
        <f>IF(ISNUMBER(KPIs!AG46),KPIs!AG46,"")</f>
        <v/>
      </c>
      <c r="G1152" s="254">
        <f>IF(ISNUMBER(KPIs!$C$46),KPIs!$C$46,"")</f>
        <v>1</v>
      </c>
      <c r="H1152" s="193" t="str">
        <f>IFERROR(INDEX(_TARGETS!$E$2:$E$17,MATCH($C1152,_TARGETS!$A$2:$A$17,0))&amp;"","")</f>
        <v>≥</v>
      </c>
      <c r="I1152" s="193" t="str">
        <f t="shared" si="110"/>
        <v/>
      </c>
      <c r="J1152" s="193" t="str">
        <f t="shared" si="111"/>
        <v>YTD</v>
      </c>
      <c r="K1152" s="193">
        <f>SUMIFS(Datos!$D$24:$AL$24,Datos!$D$3:$AL$3,"&gt;="&amp;DATE(YEAR(Datos!AG$3),1,1),Datos!$D$3:$AL$3,"&lt;="&amp;Datos!AG$3)</f>
        <v>0</v>
      </c>
      <c r="L1152" s="193">
        <f>SUMIFS(Datos!$D$25:$AL$25,Datos!$D$3:$AL$3,"&gt;="&amp;DATE(YEAR(Datos!AG$3),1,1),Datos!$D$3:$AL$3,"&lt;="&amp;Datos!AG$3)</f>
        <v>0</v>
      </c>
      <c r="M1152" s="193">
        <f>INDEX(_TARGETS!$J$2:$J$17,MATCH($C1152,_TARGETS!$A$2:$A$17,0))</f>
        <v>1</v>
      </c>
      <c r="N1152" s="193" t="str">
        <f>INDEX(_TARGETS!$D$2:$D$17,MATCH($C1152,_TARGETS!$A$2:$A$17,0))</f>
        <v>% (fracción)</v>
      </c>
      <c r="O1152" s="193" t="str">
        <f>IF(NOT(ISNUMBER(F1152)),IF(SUMPRODUCT(($C$2:$C$1300=C1152)*($J$2:$J$1300="Monthly")*($A$2:$A$1300&lt;=A1152)*(YEAR($A$2:$A$1300)=YEAR(A1152))*ISNUMBER($K$2:$K$1300)*ISNUMBER($L$2:$L$1300)*($L$2:$L$1300=0)*($K$2:$K$1300&gt;0))&gt;0,"INCOMPLETE","MISSING"),O622)</f>
        <v>MISSING</v>
      </c>
      <c r="P1152" s="193" t="str">
        <f>INDEX(_TARGETS!$K$2:$K$17,MATCH($C1152,_TARGETS!$A$2:$A$17,0))</f>
        <v>OPS (carga manual en Datos)</v>
      </c>
      <c r="Q1152" s="193" t="str">
        <f t="shared" si="112"/>
        <v>202901|ICCS|YTD</v>
      </c>
      <c r="R1152" s="193" t="str">
        <f>INDEX(_TARGETS!$H$2:$H$17,MATCH($C1152,_TARGETS!$A$2:$A$17,0))</f>
        <v>Definida</v>
      </c>
      <c r="S1152" s="193" t="str">
        <f t="shared" si="113"/>
        <v/>
      </c>
      <c r="T1152" s="193" t="str">
        <f t="shared" si="114"/>
        <v/>
      </c>
    </row>
    <row r="1153" spans="1:20" ht="14.25" customHeight="1" x14ac:dyDescent="0.3">
      <c r="A1153" s="249">
        <f>KPIs!$AG$3</f>
        <v>47119</v>
      </c>
      <c r="B1153" s="193" t="str">
        <f>KPIs!AG$4</f>
        <v>Compresora</v>
      </c>
      <c r="C1153" t="s">
        <v>89</v>
      </c>
      <c r="D1153" s="193" t="str">
        <f>KPIs!$A$47</f>
        <v>12 · Cumplimiento de comités y subcomités de seguridad · YTD</v>
      </c>
      <c r="E1153" t="s">
        <v>601</v>
      </c>
      <c r="F1153" s="193" t="str">
        <f>IF(ISNUMBER(KPIs!AG47),KPIs!AG47,"")</f>
        <v/>
      </c>
      <c r="G1153" s="254">
        <f>IF(ISNUMBER(KPIs!$C$47),KPIs!$C$47,"")</f>
        <v>1</v>
      </c>
      <c r="H1153" s="193" t="str">
        <f>IFERROR(INDEX(_TARGETS!$E$2:$E$17,MATCH($C1153,_TARGETS!$A$2:$A$17,0))&amp;"","")</f>
        <v>≥</v>
      </c>
      <c r="I1153" s="193" t="str">
        <f t="shared" si="110"/>
        <v/>
      </c>
      <c r="J1153" s="193" t="str">
        <f t="shared" si="111"/>
        <v>YTD</v>
      </c>
      <c r="K1153" s="193">
        <f>SUMIFS(Datos!$D$26:$AL$26,Datos!$D$3:$AL$3,"&gt;="&amp;DATE(YEAR(Datos!AG$3),1,1),Datos!$D$3:$AL$3,"&lt;="&amp;Datos!AG$3)</f>
        <v>0</v>
      </c>
      <c r="L1153" s="193">
        <f>SUMIFS(Datos!$D$27:$AL$27,Datos!$D$3:$AL$3,"&gt;="&amp;DATE(YEAR(Datos!AG$3),1,1),Datos!$D$3:$AL$3,"&lt;="&amp;Datos!AG$3)</f>
        <v>0</v>
      </c>
      <c r="M1153" s="193">
        <f>INDEX(_TARGETS!$J$2:$J$17,MATCH($C1153,_TARGETS!$A$2:$A$17,0))</f>
        <v>1</v>
      </c>
      <c r="N1153" s="193" t="str">
        <f>INDEX(_TARGETS!$D$2:$D$17,MATCH($C1153,_TARGETS!$A$2:$A$17,0))</f>
        <v>% (fracción)</v>
      </c>
      <c r="O1153" s="193" t="str">
        <f>IF(NOT(ISNUMBER(F1153)),IF(SUMPRODUCT(($C$2:$C$1300=C1153)*($J$2:$J$1300="Monthly")*($A$2:$A$1300&lt;=A1153)*(YEAR($A$2:$A$1300)=YEAR(A1153))*ISNUMBER($K$2:$K$1300)*ISNUMBER($L$2:$L$1300)*($L$2:$L$1300=0)*($K$2:$K$1300&gt;0))&gt;0,"INCOMPLETE","MISSING"),O623)</f>
        <v>MISSING</v>
      </c>
      <c r="P1153" s="193" t="str">
        <f>INDEX(_TARGETS!$K$2:$K$17,MATCH($C1153,_TARGETS!$A$2:$A$17,0))</f>
        <v>OPS (carga manual en Datos)</v>
      </c>
      <c r="Q1153" s="193" t="str">
        <f t="shared" si="112"/>
        <v>202901|CCS|YTD</v>
      </c>
      <c r="R1153" s="193" t="str">
        <f>INDEX(_TARGETS!$H$2:$H$17,MATCH($C1153,_TARGETS!$A$2:$A$17,0))</f>
        <v>Definida</v>
      </c>
      <c r="S1153" s="193" t="str">
        <f t="shared" si="113"/>
        <v/>
      </c>
      <c r="T1153" s="193" t="str">
        <f t="shared" si="114"/>
        <v/>
      </c>
    </row>
    <row r="1154" spans="1:20" ht="14.25" customHeight="1" x14ac:dyDescent="0.3">
      <c r="A1154" s="249">
        <f>KPIs!$AG$3</f>
        <v>47119</v>
      </c>
      <c r="B1154" s="193" t="str">
        <f>KPIs!AG$4</f>
        <v>Compresora</v>
      </c>
      <c r="C1154" t="s">
        <v>91</v>
      </c>
      <c r="D1154" s="193" t="str">
        <f>KPIs!$A$48</f>
        <v>13 · Días promedio para cerrar hallazgos · YTD</v>
      </c>
      <c r="E1154" t="s">
        <v>601</v>
      </c>
      <c r="F1154" s="251" t="str">
        <f>IF(ISNUMBER(KPIs!AG48),KPIs!AG48,"")</f>
        <v/>
      </c>
      <c r="G1154" s="193" t="str">
        <f>IF(ISNUMBER(KPIs!$C$48),KPIs!$C$48,"")</f>
        <v/>
      </c>
      <c r="H1154" s="193" t="str">
        <f>IFERROR(INDEX(_TARGETS!$E$2:$E$17,MATCH($C1154,_TARGETS!$A$2:$A$17,0))&amp;"","")</f>
        <v>≤</v>
      </c>
      <c r="I1154" s="193" t="str">
        <f t="shared" ref="I1154:I1217" si="119">IF(OR(H1154="",F1154="",G1154=""),"",IF(IF(H1154="≤",F1154&lt;=G1154,F1154&gt;=G1154),"Sí","No"))</f>
        <v/>
      </c>
      <c r="J1154" s="193" t="str">
        <f t="shared" ref="J1154:J1217" si="120">IF(E1154="Mensual","Monthly",IF(E1154="Acumulado","Cumulative",E1154))</f>
        <v>YTD</v>
      </c>
      <c r="K1154" s="193">
        <f>SUMIFS(Datos!$D$68:$AL$68,Datos!$D$3:$AL$3,"&gt;="&amp;DATE(YEAR(Datos!AG$3),1,1),Datos!$D$3:$AL$3,"&lt;="&amp;Datos!AG$3)</f>
        <v>0</v>
      </c>
      <c r="L1154" s="193">
        <f>SUMIFS(Datos!$D$67:$AL$67,Datos!$D$3:$AL$3,"&gt;="&amp;DATE(YEAR(Datos!AG$3),1,1),Datos!$D$3:$AL$3,"&lt;="&amp;Datos!AG$3)</f>
        <v>0</v>
      </c>
      <c r="M1154" s="193">
        <f>INDEX(_TARGETS!$J$2:$J$17,MATCH($C1154,_TARGETS!$A$2:$A$17,0))</f>
        <v>1</v>
      </c>
      <c r="N1154" s="193" t="str">
        <f>INDEX(_TARGETS!$D$2:$D$17,MATCH($C1154,_TARGETS!$A$2:$A$17,0))</f>
        <v>días</v>
      </c>
      <c r="O1154" s="193" t="str">
        <f>IF(NOT(ISNUMBER(F1154)),IF(SUMPRODUCT(($C$2:$C$1300=C1154)*($J$2:$J$1300="Monthly")*($A$2:$A$1300&lt;=A1154)*(YEAR($A$2:$A$1300)=YEAR(A1154))*ISNUMBER($K$2:$K$1300)*ISNUMBER($L$2:$L$1300)*($L$2:$L$1300=0)*($K$2:$K$1300&gt;0))&gt;0,"INCOMPLETE","MISSING"),O624)</f>
        <v>MISSING</v>
      </c>
      <c r="P1154" s="193" t="str">
        <f>INDEX(_TARGETS!$K$2:$K$17,MATCH($C1154,_TARGETS!$A$2:$A$17,0))</f>
        <v>Plant Findings (hoja Observaciones-SMP)</v>
      </c>
      <c r="Q1154" s="193" t="str">
        <f t="shared" ref="Q1154:Q1217" si="121">YEAR(A1154)*100+MONTH(A1154)&amp;"|"&amp;C1154&amp;"|"&amp;J1154</f>
        <v>202901|DPAS|YTD</v>
      </c>
      <c r="R1154" s="193" t="str">
        <f>INDEX(_TARGETS!$H$2:$H$17,MATCH($C1154,_TARGETS!$A$2:$A$17,0))</f>
        <v>Pendiente (meta 2027)</v>
      </c>
      <c r="S1154" s="193" t="str">
        <f t="shared" ref="S1154:S1217" si="122">IF(AND(ISNUMBER(K1154),ISNUMBER(L1154)),IF(L1154=0,"",K1154*M1154/L1154),IF(ISNUMBER(K1154),K1154*M1154,""))</f>
        <v/>
      </c>
      <c r="T1154" s="193" t="str">
        <f t="shared" ref="T1154:T1217" si="123">IF(AND(ISNUMBER(F1154),ISNUMBER(S1154)),ABS(F1154-S1154),"")</f>
        <v/>
      </c>
    </row>
    <row r="1155" spans="1:20" ht="14.25" customHeight="1" x14ac:dyDescent="0.3">
      <c r="A1155" s="249">
        <f>KPIs!$AG$3</f>
        <v>47119</v>
      </c>
      <c r="B1155" s="193" t="str">
        <f>KPIs!AG$4</f>
        <v>Compresora</v>
      </c>
      <c r="C1155" t="s">
        <v>96</v>
      </c>
      <c r="D1155" s="193" t="str">
        <f>KPIs!$A$49</f>
        <v>C1 · % de desvíos detectados de gravedad Alta · YTD</v>
      </c>
      <c r="E1155" t="s">
        <v>601</v>
      </c>
      <c r="F1155" s="193" t="str">
        <f>IF(ISNUMBER(KPIs!AG49),KPIs!AG49,"")</f>
        <v/>
      </c>
      <c r="G1155" s="193" t="str">
        <f>IF(ISNUMBER(KPIs!$C$49),KPIs!$C$49,"")</f>
        <v/>
      </c>
      <c r="H1155" s="193" t="str">
        <f>IFERROR(INDEX(_TARGETS!$E$2:$E$17,MATCH($C1155,_TARGETS!$A$2:$A$17,0))&amp;"","")</f>
        <v/>
      </c>
      <c r="I1155" s="193" t="str">
        <f t="shared" si="119"/>
        <v/>
      </c>
      <c r="J1155" s="193" t="str">
        <f t="shared" si="120"/>
        <v>YTD</v>
      </c>
      <c r="K1155" s="193">
        <f>SUMIFS(Datos!$D$71:$AL$71,Datos!$D$3:$AL$3,"&gt;="&amp;DATE(YEAR(Datos!AG$3),1,1),Datos!$D$3:$AL$3,"&lt;="&amp;Datos!AG$3)</f>
        <v>0</v>
      </c>
      <c r="L1155" s="193">
        <f>SUMIFS(Datos!$D$71:$AL$71,Datos!$D$3:$AL$3,"&gt;="&amp;DATE(YEAR(Datos!AG$3),1,1),Datos!$D$3:$AL$3,"&lt;="&amp;Datos!AG$3)+SUMIFS(Datos!$D$72:$AL$72,Datos!$D$3:$AL$3,"&gt;="&amp;DATE(YEAR(Datos!AG$3),1,1),Datos!$D$3:$AL$3,"&lt;="&amp;Datos!AG$3)+SUMIFS(Datos!$D$73:$AL$73,Datos!$D$3:$AL$3,"&gt;="&amp;DATE(YEAR(Datos!AG$3),1,1),Datos!$D$3:$AL$3,"&lt;="&amp;Datos!AG$3)</f>
        <v>0</v>
      </c>
      <c r="M1155" s="193">
        <f>INDEX(_TARGETS!$J$2:$J$17,MATCH($C1155,_TARGETS!$A$2:$A$17,0))</f>
        <v>1</v>
      </c>
      <c r="N1155" s="193" t="str">
        <f>INDEX(_TARGETS!$D$2:$D$17,MATCH($C1155,_TARGETS!$A$2:$A$17,0))</f>
        <v>% (fracción)</v>
      </c>
      <c r="O1155" s="193" t="str">
        <f t="shared" ref="O1155:O1161" si="124">IF(NOT(ISNUMBER(F1155)),IF(SUMPRODUCT(($C$2:$C$1300=C1155)*($J$2:$J$1300="Monthly")*($A$2:$A$1300&lt;=A1155)*(YEAR($A$2:$A$1300)=YEAR(A1155))*ISNUMBER($K$2:$K$1300)*ISNUMBER($L$2:$L$1300)*($L$2:$L$1300=0)*($K$2:$K$1300&gt;0))&gt;0,"INCOMPLETE","MISSING"),O630)</f>
        <v>MISSING</v>
      </c>
      <c r="P1155" s="193" t="str">
        <f>INDEX(_TARGETS!$K$2:$K$17,MATCH($C1155,_TARGETS!$A$2:$A$17,0))</f>
        <v>Plant Findings (hoja Observaciones-SMP)</v>
      </c>
      <c r="Q1155" s="193" t="str">
        <f t="shared" si="121"/>
        <v>202901|HAL_ALTA_PCT|YTD</v>
      </c>
      <c r="R1155" s="193" t="str">
        <f>INDEX(_TARGETS!$H$2:$H$17,MATCH($C1155,_TARGETS!$A$2:$A$17,0))</f>
        <v>Solo reporte</v>
      </c>
      <c r="S1155" s="193" t="str">
        <f t="shared" si="122"/>
        <v/>
      </c>
      <c r="T1155" s="193" t="str">
        <f t="shared" si="123"/>
        <v/>
      </c>
    </row>
    <row r="1156" spans="1:20" ht="14.25" customHeight="1" x14ac:dyDescent="0.3">
      <c r="A1156" s="249">
        <f>KPIs!$AG$3</f>
        <v>47119</v>
      </c>
      <c r="B1156" s="193" t="str">
        <f>KPIs!AG$4</f>
        <v>Compresora</v>
      </c>
      <c r="C1156" t="s">
        <v>98</v>
      </c>
      <c r="D1156" s="193" t="str">
        <f>KPIs!$A$50</f>
        <v>C2 · Detenciones de tareas aplicadas · YTD</v>
      </c>
      <c r="E1156" t="s">
        <v>601</v>
      </c>
      <c r="F1156" s="193" t="str">
        <f>IF(ISNUMBER(KPIs!AG50),KPIs!AG50,"")</f>
        <v/>
      </c>
      <c r="G1156" s="193" t="str">
        <f>IF(ISNUMBER(KPIs!$C$50),KPIs!$C$50,"")</f>
        <v/>
      </c>
      <c r="H1156" s="193" t="str">
        <f>IFERROR(INDEX(_TARGETS!$E$2:$E$17,MATCH($C1156,_TARGETS!$A$2:$A$17,0))&amp;"","")</f>
        <v/>
      </c>
      <c r="I1156" s="193" t="str">
        <f t="shared" si="119"/>
        <v/>
      </c>
      <c r="J1156" s="193" t="str">
        <f t="shared" si="120"/>
        <v>YTD</v>
      </c>
      <c r="K1156" s="193">
        <f>SUMIFS(Datos!$D$75:$AL$75,Datos!$D$3:$AL$3,"&gt;="&amp;DATE(YEAR(Datos!AG$3),1,1),Datos!$D$3:$AL$3,"&lt;="&amp;Datos!AG$3)</f>
        <v>0</v>
      </c>
      <c r="M1156" s="193">
        <f>INDEX(_TARGETS!$J$2:$J$17,MATCH($C1156,_TARGETS!$A$2:$A$17,0))</f>
        <v>1</v>
      </c>
      <c r="N1156" s="193" t="str">
        <f>INDEX(_TARGETS!$D$2:$D$17,MATCH($C1156,_TARGETS!$A$2:$A$17,0))</f>
        <v>u</v>
      </c>
      <c r="O1156" s="193" t="str">
        <f t="shared" si="124"/>
        <v>MISSING</v>
      </c>
      <c r="P1156" s="193" t="str">
        <f>INDEX(_TARGETS!$K$2:$K$17,MATCH($C1156,_TARGETS!$A$2:$A$17,0))</f>
        <v>Plant Findings (hoja Observaciones-SMP)</v>
      </c>
      <c r="Q1156" s="193" t="str">
        <f t="shared" si="121"/>
        <v>202901|DET|YTD</v>
      </c>
      <c r="R1156" s="193" t="str">
        <f>INDEX(_TARGETS!$H$2:$H$17,MATCH($C1156,_TARGETS!$A$2:$A$17,0))</f>
        <v>Solo reporte</v>
      </c>
      <c r="S1156" s="193">
        <f t="shared" si="122"/>
        <v>0</v>
      </c>
      <c r="T1156" s="193" t="str">
        <f t="shared" si="123"/>
        <v/>
      </c>
    </row>
    <row r="1157" spans="1:20" ht="14.25" customHeight="1" x14ac:dyDescent="0.3">
      <c r="A1157" s="249">
        <f>KPIs!$AH$3</f>
        <v>47150</v>
      </c>
      <c r="B1157" s="193" t="str">
        <f>KPIs!AH$4</f>
        <v>Compresora</v>
      </c>
      <c r="C1157" t="s">
        <v>39</v>
      </c>
      <c r="D1157" s="193" t="str">
        <f>KPIs!$A$37</f>
        <v>1 · Frecuencia de casos con días perdidos · YTD</v>
      </c>
      <c r="E1157" t="s">
        <v>601</v>
      </c>
      <c r="F1157" s="193" t="str">
        <f>IF(ISNUMBER(KPIs!AH37),KPIs!AH37,"")</f>
        <v/>
      </c>
      <c r="G1157" s="250">
        <f>IF(ISNUMBER(KPIs!$C$37),KPIs!$C$37,"")</f>
        <v>0</v>
      </c>
      <c r="H1157" s="193" t="str">
        <f>IFERROR(INDEX(_TARGETS!$E$2:$E$17,MATCH($C1157,_TARGETS!$A$2:$A$17,0))&amp;"","")</f>
        <v>≤</v>
      </c>
      <c r="I1157" s="193" t="str">
        <f t="shared" si="119"/>
        <v/>
      </c>
      <c r="J1157" s="193" t="str">
        <f t="shared" si="120"/>
        <v>YTD</v>
      </c>
      <c r="K1157" s="193">
        <f>SUMIFS(Datos!$D$33:$AL$33,Datos!$D$3:$AL$3,"&gt;="&amp;DATE(YEAR(Datos!AH$3),1,1),Datos!$D$3:$AL$3,"&lt;="&amp;Datos!AH$3)</f>
        <v>0</v>
      </c>
      <c r="L1157" s="193">
        <f>SUMIFS(Datos!$D$14:$AL$14,Datos!$D$3:$AL$3,"&gt;="&amp;DATE(YEAR(Datos!AH$3),1,1),Datos!$D$3:$AL$3,"&lt;="&amp;Datos!AH$3)</f>
        <v>0</v>
      </c>
      <c r="M1157" s="193">
        <f>INDEX(_TARGETS!$J$2:$J$17,MATCH($C1157,_TARGETS!$A$2:$A$17,0))</f>
        <v>1000000</v>
      </c>
      <c r="N1157" s="193" t="str">
        <f>INDEX(_TARGETS!$D$2:$D$17,MATCH($C1157,_TARGETS!$A$2:$A$17,0))</f>
        <v>casos / 10^6 HH</v>
      </c>
      <c r="O1157" s="193" t="str">
        <f t="shared" si="124"/>
        <v>MISSING</v>
      </c>
      <c r="P1157" s="193" t="str">
        <f>INDEX(_TARGETS!$K$2:$K$17,MATCH($C1157,_TARGETS!$A$2:$A$17,0))</f>
        <v>OPS (carga manual en Datos)</v>
      </c>
      <c r="Q1157" s="193" t="str">
        <f t="shared" si="121"/>
        <v>202902|DAFWCF|YTD</v>
      </c>
      <c r="R1157" s="193" t="str">
        <f>INDEX(_TARGETS!$H$2:$H$17,MATCH($C1157,_TARGETS!$A$2:$A$17,0))</f>
        <v>Definida</v>
      </c>
      <c r="S1157" s="193" t="str">
        <f t="shared" si="122"/>
        <v/>
      </c>
      <c r="T1157" s="193" t="str">
        <f t="shared" si="123"/>
        <v/>
      </c>
    </row>
    <row r="1158" spans="1:20" ht="14.25" customHeight="1" x14ac:dyDescent="0.3">
      <c r="A1158" s="249">
        <f>KPIs!$AH$3</f>
        <v>47150</v>
      </c>
      <c r="B1158" s="193" t="str">
        <f>KPIs!AH$4</f>
        <v>Compresora</v>
      </c>
      <c r="C1158" t="s">
        <v>49</v>
      </c>
      <c r="D1158" s="193" t="str">
        <f>KPIs!$A$38</f>
        <v>2 · Frecuencia de casos registrables · YTD</v>
      </c>
      <c r="E1158" t="s">
        <v>601</v>
      </c>
      <c r="F1158" s="193" t="str">
        <f>IF(ISNUMBER(KPIs!AH38),KPIs!AH38,"")</f>
        <v/>
      </c>
      <c r="G1158" s="250">
        <f>IF(ISNUMBER(KPIs!$C$38),KPIs!$C$38,"")</f>
        <v>2.35</v>
      </c>
      <c r="H1158" s="193" t="str">
        <f>IFERROR(INDEX(_TARGETS!$E$2:$E$17,MATCH($C1158,_TARGETS!$A$2:$A$17,0))&amp;"","")</f>
        <v>≤</v>
      </c>
      <c r="I1158" s="193" t="str">
        <f t="shared" si="119"/>
        <v/>
      </c>
      <c r="J1158" s="193" t="str">
        <f t="shared" si="120"/>
        <v>YTD</v>
      </c>
      <c r="K1158" s="193">
        <f>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f>
        <v>0</v>
      </c>
      <c r="L1158" s="193">
        <f>SUMIFS(Datos!$D$14:$AL$14,Datos!$D$3:$AL$3,"&gt;="&amp;DATE(YEAR(Datos!AH$3),1,1),Datos!$D$3:$AL$3,"&lt;="&amp;Datos!AH$3)</f>
        <v>0</v>
      </c>
      <c r="M1158" s="193">
        <f>INDEX(_TARGETS!$J$2:$J$17,MATCH($C1158,_TARGETS!$A$2:$A$17,0))</f>
        <v>1000000</v>
      </c>
      <c r="N1158" s="193" t="str">
        <f>INDEX(_TARGETS!$D$2:$D$17,MATCH($C1158,_TARGETS!$A$2:$A$17,0))</f>
        <v>casos / 10^6 HH</v>
      </c>
      <c r="O1158" s="193" t="str">
        <f t="shared" si="124"/>
        <v>MISSING</v>
      </c>
      <c r="P1158" s="193" t="str">
        <f>INDEX(_TARGETS!$K$2:$K$17,MATCH($C1158,_TARGETS!$A$2:$A$17,0))</f>
        <v>OPS (carga manual en Datos)</v>
      </c>
      <c r="Q1158" s="193" t="str">
        <f t="shared" si="121"/>
        <v>202902|TRICF|YTD</v>
      </c>
      <c r="R1158" s="193" t="str">
        <f>INDEX(_TARGETS!$H$2:$H$17,MATCH($C1158,_TARGETS!$A$2:$A$17,0))</f>
        <v>Definida</v>
      </c>
      <c r="S1158" s="193" t="str">
        <f t="shared" si="122"/>
        <v/>
      </c>
      <c r="T1158" s="193" t="str">
        <f t="shared" si="123"/>
        <v/>
      </c>
    </row>
    <row r="1159" spans="1:20" ht="14.25" customHeight="1" x14ac:dyDescent="0.3">
      <c r="A1159" s="249">
        <f>KPIs!$AH$3</f>
        <v>47150</v>
      </c>
      <c r="B1159" s="193" t="str">
        <f>KPIs!AH$4</f>
        <v>Compresora</v>
      </c>
      <c r="C1159" t="s">
        <v>51</v>
      </c>
      <c r="D1159" s="193" t="str">
        <f>KPIs!$A$39</f>
        <v>3 · Casos de primeros auxilios · YTD</v>
      </c>
      <c r="E1159" t="s">
        <v>601</v>
      </c>
      <c r="F1159" s="193" t="str">
        <f>IF(ISNUMBER(KPIs!AH39),KPIs!AH39,"")</f>
        <v/>
      </c>
      <c r="G1159" s="193" t="str">
        <f>IF(ISNUMBER(KPIs!$C$39),KPIs!$C$39,"")</f>
        <v/>
      </c>
      <c r="H1159" s="193" t="str">
        <f>IFERROR(INDEX(_TARGETS!$E$2:$E$17,MATCH($C1159,_TARGETS!$A$2:$A$17,0))&amp;"","")</f>
        <v/>
      </c>
      <c r="I1159" s="193" t="str">
        <f t="shared" si="119"/>
        <v/>
      </c>
      <c r="J1159" s="193" t="str">
        <f t="shared" si="120"/>
        <v>YTD</v>
      </c>
      <c r="K1159" s="193">
        <f>SUMIFS(Datos!$D$37:$AL$37,Datos!$D$3:$AL$3,"&gt;="&amp;DATE(YEAR(Datos!AH$3),1,1),Datos!$D$3:$AL$3,"&lt;="&amp;Datos!AH$3)</f>
        <v>0</v>
      </c>
      <c r="M1159" s="193">
        <f>INDEX(_TARGETS!$J$2:$J$17,MATCH($C1159,_TARGETS!$A$2:$A$17,0))</f>
        <v>1</v>
      </c>
      <c r="N1159" s="193" t="str">
        <f>INDEX(_TARGETS!$D$2:$D$17,MATCH($C1159,_TARGETS!$A$2:$A$17,0))</f>
        <v>casos</v>
      </c>
      <c r="O1159" s="193" t="str">
        <f t="shared" si="124"/>
        <v>MISSING</v>
      </c>
      <c r="P1159" s="193" t="str">
        <f>INDEX(_TARGETS!$K$2:$K$17,MATCH($C1159,_TARGETS!$A$2:$A$17,0))</f>
        <v>OPS (carga manual en Datos)</v>
      </c>
      <c r="Q1159" s="193" t="str">
        <f t="shared" si="121"/>
        <v>202902|FAC|YTD</v>
      </c>
      <c r="R1159" s="193" t="str">
        <f>INDEX(_TARGETS!$H$2:$H$17,MATCH($C1159,_TARGETS!$A$2:$A$17,0))</f>
        <v>Solo reporte</v>
      </c>
      <c r="S1159" s="193">
        <f t="shared" si="122"/>
        <v>0</v>
      </c>
      <c r="T1159" s="193" t="str">
        <f t="shared" si="123"/>
        <v/>
      </c>
    </row>
    <row r="1160" spans="1:20" ht="14.25" customHeight="1" x14ac:dyDescent="0.3">
      <c r="A1160" s="249">
        <f>KPIs!$AH$3</f>
        <v>47150</v>
      </c>
      <c r="B1160" s="193" t="str">
        <f>KPIs!AH$4</f>
        <v>Compresora</v>
      </c>
      <c r="C1160" t="s">
        <v>57</v>
      </c>
      <c r="D1160" s="193" t="str">
        <f>KPIs!$A$40</f>
        <v>4 · Accidentes vehiculares severos por millón de km · YTD</v>
      </c>
      <c r="E1160" t="s">
        <v>601</v>
      </c>
      <c r="F1160" s="193" t="str">
        <f>IF(ISNUMBER(KPIs!AH40),KPIs!AH40,"")</f>
        <v/>
      </c>
      <c r="G1160" s="193" t="str">
        <f>IF(ISNUMBER(KPIs!$C$40),KPIs!$C$40,"")</f>
        <v/>
      </c>
      <c r="H1160" s="193" t="str">
        <f>IFERROR(INDEX(_TARGETS!$E$2:$E$17,MATCH($C1160,_TARGETS!$A$2:$A$17,0))&amp;"","")</f>
        <v/>
      </c>
      <c r="I1160" s="193" t="str">
        <f t="shared" si="119"/>
        <v/>
      </c>
      <c r="J1160" s="193" t="str">
        <f t="shared" si="120"/>
        <v>YTD</v>
      </c>
      <c r="K1160" s="193">
        <f>SUMIFS(Datos!$D$39:$AL$39,Datos!$D$3:$AL$3,"&gt;="&amp;DATE(YEAR(Datos!AH$3),1,1),Datos!$D$3:$AL$3,"&lt;="&amp;Datos!AH$3)+SUMIFS(Datos!$D$40:$AL$40,Datos!$D$3:$AL$3,"&gt;="&amp;DATE(YEAR(Datos!AH$3),1,1),Datos!$D$3:$AL$3,"&lt;="&amp;Datos!AH$3)+SUMIFS(Datos!$D$41:$AL$41,Datos!$D$3:$AL$3,"&gt;="&amp;DATE(YEAR(Datos!AH$3),1,1),Datos!$D$3:$AL$3,"&lt;="&amp;Datos!AH$3)</f>
        <v>0</v>
      </c>
      <c r="L1160" s="193">
        <f>SUMIFS(Datos!$D$47:$AL$47,Datos!$D$3:$AL$3,"&gt;="&amp;DATE(YEAR(Datos!AH$3),1,1),Datos!$D$3:$AL$3,"&lt;="&amp;Datos!AH$3)</f>
        <v>0</v>
      </c>
      <c r="M1160" s="193">
        <f>INDEX(_TARGETS!$J$2:$J$17,MATCH($C1160,_TARGETS!$A$2:$A$17,0))</f>
        <v>1000000</v>
      </c>
      <c r="N1160" s="193" t="str">
        <f>INDEX(_TARGETS!$D$2:$D$17,MATCH($C1160,_TARGETS!$A$2:$A$17,0))</f>
        <v>eventos / 10^6 km</v>
      </c>
      <c r="O1160" s="193" t="str">
        <f t="shared" si="124"/>
        <v>MISSING</v>
      </c>
      <c r="P1160" s="193" t="str">
        <f>INDEX(_TARGETS!$K$2:$K$17,MATCH($C1160,_TARGETS!$A$2:$A$17,0))</f>
        <v>OPS (eventos) + Full Control GPS (km) - carga manual en Datos</v>
      </c>
      <c r="Q1160" s="193" t="str">
        <f t="shared" si="121"/>
        <v>202902|SVCR|YTD</v>
      </c>
      <c r="R1160" s="193" t="str">
        <f>INDEX(_TARGETS!$H$2:$H$17,MATCH($C1160,_TARGETS!$A$2:$A$17,0))</f>
        <v>Solo reporte</v>
      </c>
      <c r="S1160" s="193" t="str">
        <f t="shared" si="122"/>
        <v/>
      </c>
      <c r="T1160" s="193" t="str">
        <f t="shared" si="123"/>
        <v/>
      </c>
    </row>
    <row r="1161" spans="1:20" ht="14.25" customHeight="1" x14ac:dyDescent="0.3">
      <c r="A1161" s="249">
        <f>KPIs!$AH$3</f>
        <v>47150</v>
      </c>
      <c r="B1161" s="193" t="str">
        <f>KPIs!AH$4</f>
        <v>Compresora</v>
      </c>
      <c r="C1161" t="s">
        <v>61</v>
      </c>
      <c r="D1161" s="193" t="str">
        <f>KPIs!$A$41</f>
        <v>5 · Accidentes vehiculares totales por millón de km · YTD</v>
      </c>
      <c r="E1161" t="s">
        <v>601</v>
      </c>
      <c r="F1161" s="193" t="str">
        <f>IF(ISNUMBER(KPIs!AH41),KPIs!AH41,"")</f>
        <v/>
      </c>
      <c r="G1161" s="250">
        <f>IF(ISNUMBER(KPIs!$C$41),KPIs!$C$41,"")</f>
        <v>0.79</v>
      </c>
      <c r="H1161" s="193" t="str">
        <f>IFERROR(INDEX(_TARGETS!$E$2:$E$17,MATCH($C1161,_TARGETS!$A$2:$A$17,0))&amp;"","")</f>
        <v>≤</v>
      </c>
      <c r="I1161" s="193" t="str">
        <f t="shared" si="119"/>
        <v/>
      </c>
      <c r="J1161" s="193" t="str">
        <f t="shared" si="120"/>
        <v>YTD</v>
      </c>
      <c r="K1161" s="193">
        <f>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f>
        <v>0</v>
      </c>
      <c r="L1161" s="193">
        <f>SUMIFS(Datos!$D$47:$AL$47,Datos!$D$3:$AL$3,"&gt;="&amp;DATE(YEAR(Datos!AH$3),1,1),Datos!$D$3:$AL$3,"&lt;="&amp;Datos!AH$3)</f>
        <v>0</v>
      </c>
      <c r="M1161" s="193">
        <f>INDEX(_TARGETS!$J$2:$J$17,MATCH($C1161,_TARGETS!$A$2:$A$17,0))</f>
        <v>1000000</v>
      </c>
      <c r="N1161" s="193" t="str">
        <f>INDEX(_TARGETS!$D$2:$D$17,MATCH($C1161,_TARGETS!$A$2:$A$17,0))</f>
        <v>eventos / 10^6 km</v>
      </c>
      <c r="O1161" s="193" t="str">
        <f t="shared" si="124"/>
        <v>MISSING</v>
      </c>
      <c r="P1161" s="193" t="str">
        <f>INDEX(_TARGETS!$K$2:$K$17,MATCH($C1161,_TARGETS!$A$2:$A$17,0))</f>
        <v>OPS (eventos) + Full Control GPS (km) - carga manual en Datos</v>
      </c>
      <c r="Q1161" s="193" t="str">
        <f t="shared" si="121"/>
        <v>202902|TVCR|YTD</v>
      </c>
      <c r="R1161" s="193" t="str">
        <f>INDEX(_TARGETS!$H$2:$H$17,MATCH($C1161,_TARGETS!$A$2:$A$17,0))</f>
        <v>Definida</v>
      </c>
      <c r="S1161" s="193" t="str">
        <f t="shared" si="122"/>
        <v/>
      </c>
      <c r="T1161" s="193" t="str">
        <f t="shared" si="123"/>
        <v/>
      </c>
    </row>
    <row r="1162" spans="1:20" ht="14.25" customHeight="1" x14ac:dyDescent="0.3">
      <c r="A1162" s="249">
        <f>KPIs!$AH$3</f>
        <v>47150</v>
      </c>
      <c r="B1162" s="193" t="str">
        <f>KPIs!AH$4</f>
        <v>Compresora</v>
      </c>
      <c r="C1162" t="s">
        <v>71</v>
      </c>
      <c r="D1162" s="193" t="str">
        <f>KPIs!$A$42</f>
        <v>7 · Investigaciones de accidentes: días promedio de cierre · YTD</v>
      </c>
      <c r="E1162" t="s">
        <v>601</v>
      </c>
      <c r="F1162" s="193" t="str">
        <f>IF(ISNUMBER(KPIs!AH42),KPIs!AH42,"")</f>
        <v/>
      </c>
      <c r="G1162" s="251">
        <f>IF(ISNUMBER(KPIs!$C$42),KPIs!$C$42,"")</f>
        <v>20</v>
      </c>
      <c r="H1162" s="193" t="str">
        <f>IFERROR(INDEX(_TARGETS!$E$2:$E$17,MATCH($C1162,_TARGETS!$A$2:$A$17,0))&amp;"","")</f>
        <v>≤</v>
      </c>
      <c r="I1162" s="193" t="str">
        <f t="shared" si="119"/>
        <v/>
      </c>
      <c r="J1162" s="193" t="str">
        <f t="shared" si="120"/>
        <v>YTD</v>
      </c>
      <c r="K1162" s="193">
        <f>SUMIFS(Datos!$D$31:$AL$31,Datos!$D$3:$AL$3,"&gt;="&amp;DATE(YEAR(Datos!AH$3),1,1),Datos!$D$3:$AL$3,"&lt;="&amp;Datos!AH$3)</f>
        <v>0</v>
      </c>
      <c r="L1162" s="193">
        <f>SUMIFS(Datos!$D$30:$AL$30,Datos!$D$3:$AL$3,"&gt;="&amp;DATE(YEAR(Datos!AH$3),1,1),Datos!$D$3:$AL$3,"&lt;="&amp;Datos!AH$3)</f>
        <v>0</v>
      </c>
      <c r="M1162" s="193">
        <f>INDEX(_TARGETS!$J$2:$J$17,MATCH($C1162,_TARGETS!$A$2:$A$17,0))</f>
        <v>1</v>
      </c>
      <c r="N1162" s="193" t="str">
        <f>INDEX(_TARGETS!$D$2:$D$17,MATCH($C1162,_TARGETS!$A$2:$A$17,0))</f>
        <v>días</v>
      </c>
      <c r="O1162" s="193" t="str">
        <f>IF(NOT(ISNUMBER(F1162)),IF(SUMPRODUCT(($C$2:$C$1300=C1162)*($J$2:$J$1300="Monthly")*($A$2:$A$1300&lt;=A1162)*(YEAR($A$2:$A$1300)=YEAR(A1162))*ISNUMBER($K$2:$K$1300)*ISNUMBER($L$2:$L$1300)*($L$2:$L$1300=0)*($K$2:$K$1300&gt;0))&gt;0,"INCOMPLETE","MISSING"),O638)</f>
        <v>MISSING</v>
      </c>
      <c r="P1162" s="193" t="str">
        <f>INDEX(_TARGETS!$K$2:$K$17,MATCH($C1162,_TARGETS!$A$2:$A$17,0))</f>
        <v>OPS (carga manual en Datos)</v>
      </c>
      <c r="Q1162" s="193" t="str">
        <f t="shared" si="121"/>
        <v>202902|INV|YTD</v>
      </c>
      <c r="R1162" s="193" t="str">
        <f>INDEX(_TARGETS!$H$2:$H$17,MATCH($C1162,_TARGETS!$A$2:$A$17,0))</f>
        <v>Definida</v>
      </c>
      <c r="S1162" s="193" t="str">
        <f t="shared" si="122"/>
        <v/>
      </c>
      <c r="T1162" s="193" t="str">
        <f t="shared" si="123"/>
        <v/>
      </c>
    </row>
    <row r="1163" spans="1:20" ht="14.25" customHeight="1" x14ac:dyDescent="0.3">
      <c r="A1163" s="249">
        <f>KPIs!$AH$3</f>
        <v>47150</v>
      </c>
      <c r="B1163" s="193" t="str">
        <f>KPIs!AH$4</f>
        <v>Compresora</v>
      </c>
      <c r="C1163" t="s">
        <v>76</v>
      </c>
      <c r="D1163" s="193" t="str">
        <f>KPIs!$A$43</f>
        <v>8 · % de capacitación en seguridad · YTD</v>
      </c>
      <c r="E1163" t="s">
        <v>601</v>
      </c>
      <c r="F1163" s="193" t="str">
        <f>IF(ISNUMBER(KPIs!AH43),KPIs!AH43,"")</f>
        <v/>
      </c>
      <c r="G1163" s="252">
        <f>IF(ISNUMBER(KPIs!$C$43),KPIs!$C$43,"")</f>
        <v>0.01</v>
      </c>
      <c r="H1163" s="193" t="str">
        <f>IFERROR(INDEX(_TARGETS!$E$2:$E$17,MATCH($C1163,_TARGETS!$A$2:$A$17,0))&amp;"","")</f>
        <v>≥</v>
      </c>
      <c r="I1163" s="193" t="str">
        <f t="shared" si="119"/>
        <v/>
      </c>
      <c r="J1163" s="193" t="str">
        <f t="shared" si="120"/>
        <v>YTD</v>
      </c>
      <c r="K1163" s="193">
        <f>SUMIFS(Datos!$D$18:$AL$18,Datos!$D$3:$AL$3,"&gt;="&amp;DATE(YEAR(Datos!AH$3),1,1),Datos!$D$3:$AL$3,"&lt;="&amp;Datos!AH$3)</f>
        <v>0</v>
      </c>
      <c r="L1163" s="193">
        <f>SUMIFS(Datos!$D$14:$AL$14,Datos!$D$3:$AL$3,"&gt;="&amp;DATE(YEAR(Datos!AH$3),1,1),Datos!$D$3:$AL$3,"&lt;="&amp;Datos!AH$3)</f>
        <v>0</v>
      </c>
      <c r="M1163" s="193">
        <f>INDEX(_TARGETS!$J$2:$J$17,MATCH($C1163,_TARGETS!$A$2:$A$17,0))</f>
        <v>1</v>
      </c>
      <c r="N1163" s="193" t="str">
        <f>INDEX(_TARGETS!$D$2:$D$17,MATCH($C1163,_TARGETS!$A$2:$A$17,0))</f>
        <v>% (fracción)</v>
      </c>
      <c r="O1163" s="193" t="str">
        <f>IF(NOT(ISNUMBER(F1163)),IF(SUMPRODUCT(($C$2:$C$1300=C1163)*($J$2:$J$1300="Monthly")*($A$2:$A$1300&lt;=A1163)*(YEAR($A$2:$A$1300)=YEAR(A1163))*ISNUMBER($K$2:$K$1300)*ISNUMBER($L$2:$L$1300)*($L$2:$L$1300=0)*($K$2:$K$1300&gt;0))&gt;0,"INCOMPLETE","MISSING"),O639)</f>
        <v>MISSING</v>
      </c>
      <c r="P1163" s="193" t="str">
        <f>INDEX(_TARGETS!$K$2:$K$17,MATCH($C1163,_TARGETS!$A$2:$A$17,0))</f>
        <v>OPS (carga manual en Datos)</v>
      </c>
      <c r="Q1163" s="193" t="str">
        <f t="shared" si="121"/>
        <v>202902|HCS|YTD</v>
      </c>
      <c r="R1163" s="193" t="str">
        <f>INDEX(_TARGETS!$H$2:$H$17,MATCH($C1163,_TARGETS!$A$2:$A$17,0))</f>
        <v>Definida</v>
      </c>
      <c r="S1163" s="193" t="str">
        <f t="shared" si="122"/>
        <v/>
      </c>
      <c r="T1163" s="193" t="str">
        <f t="shared" si="123"/>
        <v/>
      </c>
    </row>
    <row r="1164" spans="1:20" ht="14.25" customHeight="1" x14ac:dyDescent="0.3">
      <c r="A1164" s="249">
        <f>KPIs!$AH$3</f>
        <v>47150</v>
      </c>
      <c r="B1164" s="193" t="str">
        <f>KPIs!AH$4</f>
        <v>Compresora</v>
      </c>
      <c r="C1164" t="s">
        <v>83</v>
      </c>
      <c r="D1164" s="193" t="str">
        <f>KPIs!$A$44</f>
        <v>10 · Cumplimiento de simulacros (emergencia y operativos) · YTD</v>
      </c>
      <c r="E1164" t="s">
        <v>601</v>
      </c>
      <c r="F1164" s="193" t="str">
        <f>IF(ISNUMBER(KPIs!AH44),KPIs!AH44,"")</f>
        <v/>
      </c>
      <c r="G1164" s="253">
        <f>IF(ISNUMBER(KPIs!$C$44),KPIs!$C$44,"")</f>
        <v>1</v>
      </c>
      <c r="H1164" s="193" t="str">
        <f>IFERROR(INDEX(_TARGETS!$E$2:$E$17,MATCH($C1164,_TARGETS!$A$2:$A$17,0))&amp;"","")</f>
        <v>≥</v>
      </c>
      <c r="I1164" s="193" t="str">
        <f t="shared" si="119"/>
        <v/>
      </c>
      <c r="J1164" s="193" t="str">
        <f t="shared" si="120"/>
        <v>YTD</v>
      </c>
      <c r="K1164" s="193">
        <f>SUMIFS(Datos!$D$20:$AL$20,Datos!$D$3:$AL$3,"&gt;="&amp;DATE(YEAR(Datos!AH$3),1,1),Datos!$D$3:$AL$3,"&lt;="&amp;Datos!AH$3)</f>
        <v>0</v>
      </c>
      <c r="L1164" s="193">
        <f>SUMIFS(Datos!$D$21:$AL$21,Datos!$D$3:$AL$3,"&gt;="&amp;DATE(YEAR(Datos!AH$3),1,1),Datos!$D$3:$AL$3,"&lt;="&amp;Datos!AH$3)</f>
        <v>0</v>
      </c>
      <c r="M1164" s="193">
        <f>INDEX(_TARGETS!$J$2:$J$17,MATCH($C1164,_TARGETS!$A$2:$A$17,0))</f>
        <v>1</v>
      </c>
      <c r="N1164" s="193" t="str">
        <f>INDEX(_TARGETS!$D$2:$D$17,MATCH($C1164,_TARGETS!$A$2:$A$17,0))</f>
        <v>% (fracción)</v>
      </c>
      <c r="O1164" s="193" t="str">
        <f>IF(NOT(ISNUMBER(F1164)),IF(SUMPRODUCT(($C$2:$C$1300=C1164)*($J$2:$J$1300="Monthly")*($A$2:$A$1300&lt;=A1164)*(YEAR($A$2:$A$1300)=YEAR(A1164))*ISNUMBER($K$2:$K$1300)*ISNUMBER($L$2:$L$1300)*($L$2:$L$1300=0)*($K$2:$K$1300&gt;0))&gt;0,"INCOMPLETE","MISSING"),O641)</f>
        <v>MISSING</v>
      </c>
      <c r="P1164" s="193" t="str">
        <f>INDEX(_TARGETS!$K$2:$K$17,MATCH($C1164,_TARGETS!$A$2:$A$17,0))</f>
        <v>OPS (carga manual en Datos)</v>
      </c>
      <c r="Q1164" s="193" t="str">
        <f t="shared" si="121"/>
        <v>202902|CPSE|YTD</v>
      </c>
      <c r="R1164" s="193" t="str">
        <f>INDEX(_TARGETS!$H$2:$H$17,MATCH($C1164,_TARGETS!$A$2:$A$17,0))</f>
        <v>Definida</v>
      </c>
      <c r="S1164" s="193" t="str">
        <f t="shared" si="122"/>
        <v/>
      </c>
      <c r="T1164" s="193" t="str">
        <f t="shared" si="123"/>
        <v/>
      </c>
    </row>
    <row r="1165" spans="1:20" ht="14.25" customHeight="1" x14ac:dyDescent="0.3">
      <c r="A1165" s="249">
        <f>KPIs!$AH$3</f>
        <v>47150</v>
      </c>
      <c r="B1165" s="193" t="str">
        <f>KPIs!AH$4</f>
        <v>Compresora</v>
      </c>
      <c r="C1165" t="s">
        <v>85</v>
      </c>
      <c r="D1165" s="193" t="str">
        <f>KPIs!$A$45</f>
        <v>10b · Cumplimiento de acciones de mejora de simulacros · YTD</v>
      </c>
      <c r="E1165" t="s">
        <v>601</v>
      </c>
      <c r="F1165" s="193" t="str">
        <f>IF(ISNUMBER(KPIs!AH45),KPIs!AH45,"")</f>
        <v/>
      </c>
      <c r="G1165" s="254" t="str">
        <f>IF(ISNUMBER(KPIs!$C$45),KPIs!$C$45,"")</f>
        <v/>
      </c>
      <c r="H1165" s="193" t="str">
        <f>IFERROR(INDEX(_TARGETS!$E$2:$E$17,MATCH($C1165,_TARGETS!$A$2:$A$17,0))&amp;"","")</f>
        <v/>
      </c>
      <c r="I1165" s="193" t="str">
        <f t="shared" si="119"/>
        <v/>
      </c>
      <c r="J1165" s="193" t="str">
        <f t="shared" si="120"/>
        <v>YTD</v>
      </c>
      <c r="K1165" s="193">
        <f>SUMIFS(Datos!$D$23:$AL$23,Datos!$D$3:$AL$3,"&gt;="&amp;DATE(YEAR(Datos!AH$3),1,1),Datos!$D$3:$AL$3,"&lt;="&amp;Datos!AH$3)</f>
        <v>0</v>
      </c>
      <c r="L1165" s="193">
        <f>SUMIFS(Datos!$D$22:$AL$22,Datos!$D$3:$AL$3,"&gt;="&amp;DATE(YEAR(Datos!AH$3),1,1),Datos!$D$3:$AL$3,"&lt;="&amp;Datos!AH$3)</f>
        <v>0</v>
      </c>
      <c r="M1165" s="193">
        <f>INDEX(_TARGETS!$J$2:$J$17,MATCH($C1165,_TARGETS!$A$2:$A$17,0))</f>
        <v>1</v>
      </c>
      <c r="N1165" s="193" t="str">
        <f>INDEX(_TARGETS!$D$2:$D$17,MATCH($C1165,_TARGETS!$A$2:$A$17,0))</f>
        <v>% (fracción)</v>
      </c>
      <c r="O1165" s="193" t="str">
        <f>IF(NOT(ISNUMBER(F1165)),IF(SUMPRODUCT(($C$2:$C$1300=C1165)*($J$2:$J$1300="Monthly")*($A$2:$A$1300&lt;=A1165)*(YEAR($A$2:$A$1300)=YEAR(A1165))*ISNUMBER($K$2:$K$1300)*ISNUMBER($L$2:$L$1300)*($L$2:$L$1300=0)*($K$2:$K$1300&gt;0))&gt;0,"INCOMPLETE","MISSING"),O642)</f>
        <v>MISSING</v>
      </c>
      <c r="P1165" s="193" t="str">
        <f>INDEX(_TARGETS!$K$2:$K$17,MATCH($C1165,_TARGETS!$A$2:$A$17,0))</f>
        <v>OPS (carga manual en Datos)</v>
      </c>
      <c r="Q1165" s="193" t="str">
        <f t="shared" si="121"/>
        <v>202902|CAMS|YTD</v>
      </c>
      <c r="R1165" s="193" t="str">
        <f>INDEX(_TARGETS!$H$2:$H$17,MATCH($C1165,_TARGETS!$A$2:$A$17,0))</f>
        <v>Solo reporte</v>
      </c>
      <c r="S1165" s="193" t="str">
        <f t="shared" si="122"/>
        <v/>
      </c>
      <c r="T1165" s="193" t="str">
        <f t="shared" si="123"/>
        <v/>
      </c>
    </row>
    <row r="1166" spans="1:20" ht="14.25" customHeight="1" x14ac:dyDescent="0.3">
      <c r="A1166" s="249">
        <f>KPIs!$AH$3</f>
        <v>47150</v>
      </c>
      <c r="B1166" s="193" t="str">
        <f>KPIs!AH$4</f>
        <v>Compresora</v>
      </c>
      <c r="C1166" t="s">
        <v>87</v>
      </c>
      <c r="D1166" s="193" t="str">
        <f>KPIs!$A$46</f>
        <v>11 · Cumplimiento de caminatas gerenciales · YTD</v>
      </c>
      <c r="E1166" t="s">
        <v>601</v>
      </c>
      <c r="F1166" s="193" t="str">
        <f>IF(ISNUMBER(KPIs!AH46),KPIs!AH46,"")</f>
        <v/>
      </c>
      <c r="G1166" s="254">
        <f>IF(ISNUMBER(KPIs!$C$46),KPIs!$C$46,"")</f>
        <v>1</v>
      </c>
      <c r="H1166" s="193" t="str">
        <f>IFERROR(INDEX(_TARGETS!$E$2:$E$17,MATCH($C1166,_TARGETS!$A$2:$A$17,0))&amp;"","")</f>
        <v>≥</v>
      </c>
      <c r="I1166" s="193" t="str">
        <f t="shared" si="119"/>
        <v/>
      </c>
      <c r="J1166" s="193" t="str">
        <f t="shared" si="120"/>
        <v>YTD</v>
      </c>
      <c r="K1166" s="193">
        <f>SUMIFS(Datos!$D$24:$AL$24,Datos!$D$3:$AL$3,"&gt;="&amp;DATE(YEAR(Datos!AH$3),1,1),Datos!$D$3:$AL$3,"&lt;="&amp;Datos!AH$3)</f>
        <v>0</v>
      </c>
      <c r="L1166" s="193">
        <f>SUMIFS(Datos!$D$25:$AL$25,Datos!$D$3:$AL$3,"&gt;="&amp;DATE(YEAR(Datos!AH$3),1,1),Datos!$D$3:$AL$3,"&lt;="&amp;Datos!AH$3)</f>
        <v>0</v>
      </c>
      <c r="M1166" s="193">
        <f>INDEX(_TARGETS!$J$2:$J$17,MATCH($C1166,_TARGETS!$A$2:$A$17,0))</f>
        <v>1</v>
      </c>
      <c r="N1166" s="193" t="str">
        <f>INDEX(_TARGETS!$D$2:$D$17,MATCH($C1166,_TARGETS!$A$2:$A$17,0))</f>
        <v>% (fracción)</v>
      </c>
      <c r="O1166" s="193" t="str">
        <f>IF(NOT(ISNUMBER(F1166)),IF(SUMPRODUCT(($C$2:$C$1300=C1166)*($J$2:$J$1300="Monthly")*($A$2:$A$1300&lt;=A1166)*(YEAR($A$2:$A$1300)=YEAR(A1166))*ISNUMBER($K$2:$K$1300)*ISNUMBER($L$2:$L$1300)*($L$2:$L$1300=0)*($K$2:$K$1300&gt;0))&gt;0,"INCOMPLETE","MISSING"),O643)</f>
        <v>MISSING</v>
      </c>
      <c r="P1166" s="193" t="str">
        <f>INDEX(_TARGETS!$K$2:$K$17,MATCH($C1166,_TARGETS!$A$2:$A$17,0))</f>
        <v>OPS (carga manual en Datos)</v>
      </c>
      <c r="Q1166" s="193" t="str">
        <f t="shared" si="121"/>
        <v>202902|ICCS|YTD</v>
      </c>
      <c r="R1166" s="193" t="str">
        <f>INDEX(_TARGETS!$H$2:$H$17,MATCH($C1166,_TARGETS!$A$2:$A$17,0))</f>
        <v>Definida</v>
      </c>
      <c r="S1166" s="193" t="str">
        <f t="shared" si="122"/>
        <v/>
      </c>
      <c r="T1166" s="193" t="str">
        <f t="shared" si="123"/>
        <v/>
      </c>
    </row>
    <row r="1167" spans="1:20" ht="14.25" customHeight="1" x14ac:dyDescent="0.3">
      <c r="A1167" s="249">
        <f>KPIs!$AH$3</f>
        <v>47150</v>
      </c>
      <c r="B1167" s="193" t="str">
        <f>KPIs!AH$4</f>
        <v>Compresora</v>
      </c>
      <c r="C1167" t="s">
        <v>89</v>
      </c>
      <c r="D1167" s="193" t="str">
        <f>KPIs!$A$47</f>
        <v>12 · Cumplimiento de comités y subcomités de seguridad · YTD</v>
      </c>
      <c r="E1167" t="s">
        <v>601</v>
      </c>
      <c r="F1167" s="193" t="str">
        <f>IF(ISNUMBER(KPIs!AH47),KPIs!AH47,"")</f>
        <v/>
      </c>
      <c r="G1167" s="254">
        <f>IF(ISNUMBER(KPIs!$C$47),KPIs!$C$47,"")</f>
        <v>1</v>
      </c>
      <c r="H1167" s="193" t="str">
        <f>IFERROR(INDEX(_TARGETS!$E$2:$E$17,MATCH($C1167,_TARGETS!$A$2:$A$17,0))&amp;"","")</f>
        <v>≥</v>
      </c>
      <c r="I1167" s="193" t="str">
        <f t="shared" si="119"/>
        <v/>
      </c>
      <c r="J1167" s="193" t="str">
        <f t="shared" si="120"/>
        <v>YTD</v>
      </c>
      <c r="K1167" s="193">
        <f>SUMIFS(Datos!$D$26:$AL$26,Datos!$D$3:$AL$3,"&gt;="&amp;DATE(YEAR(Datos!AH$3),1,1),Datos!$D$3:$AL$3,"&lt;="&amp;Datos!AH$3)</f>
        <v>0</v>
      </c>
      <c r="L1167" s="193">
        <f>SUMIFS(Datos!$D$27:$AL$27,Datos!$D$3:$AL$3,"&gt;="&amp;DATE(YEAR(Datos!AH$3),1,1),Datos!$D$3:$AL$3,"&lt;="&amp;Datos!AH$3)</f>
        <v>0</v>
      </c>
      <c r="M1167" s="193">
        <f>INDEX(_TARGETS!$J$2:$J$17,MATCH($C1167,_TARGETS!$A$2:$A$17,0))</f>
        <v>1</v>
      </c>
      <c r="N1167" s="193" t="str">
        <f>INDEX(_TARGETS!$D$2:$D$17,MATCH($C1167,_TARGETS!$A$2:$A$17,0))</f>
        <v>% (fracción)</v>
      </c>
      <c r="O1167" s="193" t="str">
        <f>IF(NOT(ISNUMBER(F1167)),IF(SUMPRODUCT(($C$2:$C$1300=C1167)*($J$2:$J$1300="Monthly")*($A$2:$A$1300&lt;=A1167)*(YEAR($A$2:$A$1300)=YEAR(A1167))*ISNUMBER($K$2:$K$1300)*ISNUMBER($L$2:$L$1300)*($L$2:$L$1300=0)*($K$2:$K$1300&gt;0))&gt;0,"INCOMPLETE","MISSING"),O644)</f>
        <v>MISSING</v>
      </c>
      <c r="P1167" s="193" t="str">
        <f>INDEX(_TARGETS!$K$2:$K$17,MATCH($C1167,_TARGETS!$A$2:$A$17,0))</f>
        <v>OPS (carga manual en Datos)</v>
      </c>
      <c r="Q1167" s="193" t="str">
        <f t="shared" si="121"/>
        <v>202902|CCS|YTD</v>
      </c>
      <c r="R1167" s="193" t="str">
        <f>INDEX(_TARGETS!$H$2:$H$17,MATCH($C1167,_TARGETS!$A$2:$A$17,0))</f>
        <v>Definida</v>
      </c>
      <c r="S1167" s="193" t="str">
        <f t="shared" si="122"/>
        <v/>
      </c>
      <c r="T1167" s="193" t="str">
        <f t="shared" si="123"/>
        <v/>
      </c>
    </row>
    <row r="1168" spans="1:20" ht="14.25" customHeight="1" x14ac:dyDescent="0.3">
      <c r="A1168" s="249">
        <f>KPIs!$AH$3</f>
        <v>47150</v>
      </c>
      <c r="B1168" s="193" t="str">
        <f>KPIs!AH$4</f>
        <v>Compresora</v>
      </c>
      <c r="C1168" t="s">
        <v>91</v>
      </c>
      <c r="D1168" s="193" t="str">
        <f>KPIs!$A$48</f>
        <v>13 · Días promedio para cerrar hallazgos · YTD</v>
      </c>
      <c r="E1168" t="s">
        <v>601</v>
      </c>
      <c r="F1168" s="251" t="str">
        <f>IF(ISNUMBER(KPIs!AH48),KPIs!AH48,"")</f>
        <v/>
      </c>
      <c r="G1168" s="193" t="str">
        <f>IF(ISNUMBER(KPIs!$C$48),KPIs!$C$48,"")</f>
        <v/>
      </c>
      <c r="H1168" s="193" t="str">
        <f>IFERROR(INDEX(_TARGETS!$E$2:$E$17,MATCH($C1168,_TARGETS!$A$2:$A$17,0))&amp;"","")</f>
        <v>≤</v>
      </c>
      <c r="I1168" s="193" t="str">
        <f t="shared" si="119"/>
        <v/>
      </c>
      <c r="J1168" s="193" t="str">
        <f t="shared" si="120"/>
        <v>YTD</v>
      </c>
      <c r="K1168" s="193">
        <f>SUMIFS(Datos!$D$68:$AL$68,Datos!$D$3:$AL$3,"&gt;="&amp;DATE(YEAR(Datos!AH$3),1,1),Datos!$D$3:$AL$3,"&lt;="&amp;Datos!AH$3)</f>
        <v>0</v>
      </c>
      <c r="L1168" s="193">
        <f>SUMIFS(Datos!$D$67:$AL$67,Datos!$D$3:$AL$3,"&gt;="&amp;DATE(YEAR(Datos!AH$3),1,1),Datos!$D$3:$AL$3,"&lt;="&amp;Datos!AH$3)</f>
        <v>0</v>
      </c>
      <c r="M1168" s="193">
        <f>INDEX(_TARGETS!$J$2:$J$17,MATCH($C1168,_TARGETS!$A$2:$A$17,0))</f>
        <v>1</v>
      </c>
      <c r="N1168" s="193" t="str">
        <f>INDEX(_TARGETS!$D$2:$D$17,MATCH($C1168,_TARGETS!$A$2:$A$17,0))</f>
        <v>días</v>
      </c>
      <c r="O1168" s="193" t="str">
        <f>IF(NOT(ISNUMBER(F1168)),IF(SUMPRODUCT(($C$2:$C$1300=C1168)*($J$2:$J$1300="Monthly")*($A$2:$A$1300&lt;=A1168)*(YEAR($A$2:$A$1300)=YEAR(A1168))*ISNUMBER($K$2:$K$1300)*ISNUMBER($L$2:$L$1300)*($L$2:$L$1300=0)*($K$2:$K$1300&gt;0))&gt;0,"INCOMPLETE","MISSING"),O645)</f>
        <v>MISSING</v>
      </c>
      <c r="P1168" s="193" t="str">
        <f>INDEX(_TARGETS!$K$2:$K$17,MATCH($C1168,_TARGETS!$A$2:$A$17,0))</f>
        <v>Plant Findings (hoja Observaciones-SMP)</v>
      </c>
      <c r="Q1168" s="193" t="str">
        <f t="shared" si="121"/>
        <v>202902|DPAS|YTD</v>
      </c>
      <c r="R1168" s="193" t="str">
        <f>INDEX(_TARGETS!$H$2:$H$17,MATCH($C1168,_TARGETS!$A$2:$A$17,0))</f>
        <v>Pendiente (meta 2027)</v>
      </c>
      <c r="S1168" s="193" t="str">
        <f t="shared" si="122"/>
        <v/>
      </c>
      <c r="T1168" s="193" t="str">
        <f t="shared" si="123"/>
        <v/>
      </c>
    </row>
    <row r="1169" spans="1:20" ht="14.25" customHeight="1" x14ac:dyDescent="0.3">
      <c r="A1169" s="249">
        <f>KPIs!$AH$3</f>
        <v>47150</v>
      </c>
      <c r="B1169" s="193" t="str">
        <f>KPIs!AH$4</f>
        <v>Compresora</v>
      </c>
      <c r="C1169" t="s">
        <v>96</v>
      </c>
      <c r="D1169" s="193" t="str">
        <f>KPIs!$A$49</f>
        <v>C1 · % de desvíos detectados de gravedad Alta · YTD</v>
      </c>
      <c r="E1169" t="s">
        <v>601</v>
      </c>
      <c r="F1169" s="193" t="str">
        <f>IF(ISNUMBER(KPIs!AH49),KPIs!AH49,"")</f>
        <v/>
      </c>
      <c r="G1169" s="193" t="str">
        <f>IF(ISNUMBER(KPIs!$C$49),KPIs!$C$49,"")</f>
        <v/>
      </c>
      <c r="H1169" s="193" t="str">
        <f>IFERROR(INDEX(_TARGETS!$E$2:$E$17,MATCH($C1169,_TARGETS!$A$2:$A$17,0))&amp;"","")</f>
        <v/>
      </c>
      <c r="I1169" s="193" t="str">
        <f t="shared" si="119"/>
        <v/>
      </c>
      <c r="J1169" s="193" t="str">
        <f t="shared" si="120"/>
        <v>YTD</v>
      </c>
      <c r="K1169" s="193">
        <f>SUMIFS(Datos!$D$71:$AL$71,Datos!$D$3:$AL$3,"&gt;="&amp;DATE(YEAR(Datos!AH$3),1,1),Datos!$D$3:$AL$3,"&lt;="&amp;Datos!AH$3)</f>
        <v>0</v>
      </c>
      <c r="L1169" s="193">
        <f>SUMIFS(Datos!$D$71:$AL$71,Datos!$D$3:$AL$3,"&gt;="&amp;DATE(YEAR(Datos!AH$3),1,1),Datos!$D$3:$AL$3,"&lt;="&amp;Datos!AH$3)+SUMIFS(Datos!$D$72:$AL$72,Datos!$D$3:$AL$3,"&gt;="&amp;DATE(YEAR(Datos!AH$3),1,1),Datos!$D$3:$AL$3,"&lt;="&amp;Datos!AH$3)+SUMIFS(Datos!$D$73:$AL$73,Datos!$D$3:$AL$3,"&gt;="&amp;DATE(YEAR(Datos!AH$3),1,1),Datos!$D$3:$AL$3,"&lt;="&amp;Datos!AH$3)</f>
        <v>0</v>
      </c>
      <c r="M1169" s="193">
        <f>INDEX(_TARGETS!$J$2:$J$17,MATCH($C1169,_TARGETS!$A$2:$A$17,0))</f>
        <v>1</v>
      </c>
      <c r="N1169" s="193" t="str">
        <f>INDEX(_TARGETS!$D$2:$D$17,MATCH($C1169,_TARGETS!$A$2:$A$17,0))</f>
        <v>% (fracción)</v>
      </c>
      <c r="O1169" s="193" t="str">
        <f t="shared" ref="O1169:O1175" si="125">IF(NOT(ISNUMBER(F1169)),IF(SUMPRODUCT(($C$2:$C$1300=C1169)*($J$2:$J$1300="Monthly")*($A$2:$A$1300&lt;=A1169)*(YEAR($A$2:$A$1300)=YEAR(A1169))*ISNUMBER($K$2:$K$1300)*ISNUMBER($L$2:$L$1300)*($L$2:$L$1300=0)*($K$2:$K$1300&gt;0))&gt;0,"INCOMPLETE","MISSING"),O651)</f>
        <v>MISSING</v>
      </c>
      <c r="P1169" s="193" t="str">
        <f>INDEX(_TARGETS!$K$2:$K$17,MATCH($C1169,_TARGETS!$A$2:$A$17,0))</f>
        <v>Plant Findings (hoja Observaciones-SMP)</v>
      </c>
      <c r="Q1169" s="193" t="str">
        <f t="shared" si="121"/>
        <v>202902|HAL_ALTA_PCT|YTD</v>
      </c>
      <c r="R1169" s="193" t="str">
        <f>INDEX(_TARGETS!$H$2:$H$17,MATCH($C1169,_TARGETS!$A$2:$A$17,0))</f>
        <v>Solo reporte</v>
      </c>
      <c r="S1169" s="193" t="str">
        <f t="shared" si="122"/>
        <v/>
      </c>
      <c r="T1169" s="193" t="str">
        <f t="shared" si="123"/>
        <v/>
      </c>
    </row>
    <row r="1170" spans="1:20" ht="14.25" customHeight="1" x14ac:dyDescent="0.3">
      <c r="A1170" s="249">
        <f>KPIs!$AH$3</f>
        <v>47150</v>
      </c>
      <c r="B1170" s="193" t="str">
        <f>KPIs!AH$4</f>
        <v>Compresora</v>
      </c>
      <c r="C1170" t="s">
        <v>98</v>
      </c>
      <c r="D1170" s="193" t="str">
        <f>KPIs!$A$50</f>
        <v>C2 · Detenciones de tareas aplicadas · YTD</v>
      </c>
      <c r="E1170" t="s">
        <v>601</v>
      </c>
      <c r="F1170" s="193" t="str">
        <f>IF(ISNUMBER(KPIs!AH50),KPIs!AH50,"")</f>
        <v/>
      </c>
      <c r="G1170" s="193" t="str">
        <f>IF(ISNUMBER(KPIs!$C$50),KPIs!$C$50,"")</f>
        <v/>
      </c>
      <c r="H1170" s="193" t="str">
        <f>IFERROR(INDEX(_TARGETS!$E$2:$E$17,MATCH($C1170,_TARGETS!$A$2:$A$17,0))&amp;"","")</f>
        <v/>
      </c>
      <c r="I1170" s="193" t="str">
        <f t="shared" si="119"/>
        <v/>
      </c>
      <c r="J1170" s="193" t="str">
        <f t="shared" si="120"/>
        <v>YTD</v>
      </c>
      <c r="K1170" s="193">
        <f>SUMIFS(Datos!$D$75:$AL$75,Datos!$D$3:$AL$3,"&gt;="&amp;DATE(YEAR(Datos!AH$3),1,1),Datos!$D$3:$AL$3,"&lt;="&amp;Datos!AH$3)</f>
        <v>0</v>
      </c>
      <c r="M1170" s="193">
        <f>INDEX(_TARGETS!$J$2:$J$17,MATCH($C1170,_TARGETS!$A$2:$A$17,0))</f>
        <v>1</v>
      </c>
      <c r="N1170" s="193" t="str">
        <f>INDEX(_TARGETS!$D$2:$D$17,MATCH($C1170,_TARGETS!$A$2:$A$17,0))</f>
        <v>u</v>
      </c>
      <c r="O1170" s="193" t="str">
        <f t="shared" si="125"/>
        <v>MISSING</v>
      </c>
      <c r="P1170" s="193" t="str">
        <f>INDEX(_TARGETS!$K$2:$K$17,MATCH($C1170,_TARGETS!$A$2:$A$17,0))</f>
        <v>Plant Findings (hoja Observaciones-SMP)</v>
      </c>
      <c r="Q1170" s="193" t="str">
        <f t="shared" si="121"/>
        <v>202902|DET|YTD</v>
      </c>
      <c r="R1170" s="193" t="str">
        <f>INDEX(_TARGETS!$H$2:$H$17,MATCH($C1170,_TARGETS!$A$2:$A$17,0))</f>
        <v>Solo reporte</v>
      </c>
      <c r="S1170" s="193">
        <f t="shared" si="122"/>
        <v>0</v>
      </c>
      <c r="T1170" s="193" t="str">
        <f t="shared" si="123"/>
        <v/>
      </c>
    </row>
    <row r="1171" spans="1:20" ht="14.25" customHeight="1" x14ac:dyDescent="0.3">
      <c r="A1171" s="249">
        <f>KPIs!$AI$3</f>
        <v>47178</v>
      </c>
      <c r="B1171" s="193" t="str">
        <f>KPIs!AI$4</f>
        <v>Compresora</v>
      </c>
      <c r="C1171" t="s">
        <v>39</v>
      </c>
      <c r="D1171" s="193" t="str">
        <f>KPIs!$A$37</f>
        <v>1 · Frecuencia de casos con días perdidos · YTD</v>
      </c>
      <c r="E1171" t="s">
        <v>601</v>
      </c>
      <c r="F1171" s="193" t="str">
        <f>IF(ISNUMBER(KPIs!AI37),KPIs!AI37,"")</f>
        <v/>
      </c>
      <c r="G1171" s="250">
        <f>IF(ISNUMBER(KPIs!$C$37),KPIs!$C$37,"")</f>
        <v>0</v>
      </c>
      <c r="H1171" s="193" t="str">
        <f>IFERROR(INDEX(_TARGETS!$E$2:$E$17,MATCH($C1171,_TARGETS!$A$2:$A$17,0))&amp;"","")</f>
        <v>≤</v>
      </c>
      <c r="I1171" s="193" t="str">
        <f t="shared" si="119"/>
        <v/>
      </c>
      <c r="J1171" s="193" t="str">
        <f t="shared" si="120"/>
        <v>YTD</v>
      </c>
      <c r="K1171" s="193">
        <f>SUMIFS(Datos!$D$33:$AL$33,Datos!$D$3:$AL$3,"&gt;="&amp;DATE(YEAR(Datos!AI$3),1,1),Datos!$D$3:$AL$3,"&lt;="&amp;Datos!AI$3)</f>
        <v>0</v>
      </c>
      <c r="L1171" s="193">
        <f>SUMIFS(Datos!$D$14:$AL$14,Datos!$D$3:$AL$3,"&gt;="&amp;DATE(YEAR(Datos!AI$3),1,1),Datos!$D$3:$AL$3,"&lt;="&amp;Datos!AI$3)</f>
        <v>0</v>
      </c>
      <c r="M1171" s="193">
        <f>INDEX(_TARGETS!$J$2:$J$17,MATCH($C1171,_TARGETS!$A$2:$A$17,0))</f>
        <v>1000000</v>
      </c>
      <c r="N1171" s="193" t="str">
        <f>INDEX(_TARGETS!$D$2:$D$17,MATCH($C1171,_TARGETS!$A$2:$A$17,0))</f>
        <v>casos / 10^6 HH</v>
      </c>
      <c r="O1171" s="193" t="str">
        <f t="shared" si="125"/>
        <v>MISSING</v>
      </c>
      <c r="P1171" s="193" t="str">
        <f>INDEX(_TARGETS!$K$2:$K$17,MATCH($C1171,_TARGETS!$A$2:$A$17,0))</f>
        <v>OPS (carga manual en Datos)</v>
      </c>
      <c r="Q1171" s="193" t="str">
        <f t="shared" si="121"/>
        <v>202903|DAFWCF|YTD</v>
      </c>
      <c r="R1171" s="193" t="str">
        <f>INDEX(_TARGETS!$H$2:$H$17,MATCH($C1171,_TARGETS!$A$2:$A$17,0))</f>
        <v>Definida</v>
      </c>
      <c r="S1171" s="193" t="str">
        <f t="shared" si="122"/>
        <v/>
      </c>
      <c r="T1171" s="193" t="str">
        <f t="shared" si="123"/>
        <v/>
      </c>
    </row>
    <row r="1172" spans="1:20" ht="14.25" customHeight="1" x14ac:dyDescent="0.3">
      <c r="A1172" s="249">
        <f>KPIs!$AI$3</f>
        <v>47178</v>
      </c>
      <c r="B1172" s="193" t="str">
        <f>KPIs!AI$4</f>
        <v>Compresora</v>
      </c>
      <c r="C1172" t="s">
        <v>49</v>
      </c>
      <c r="D1172" s="193" t="str">
        <f>KPIs!$A$38</f>
        <v>2 · Frecuencia de casos registrables · YTD</v>
      </c>
      <c r="E1172" t="s">
        <v>601</v>
      </c>
      <c r="F1172" s="193" t="str">
        <f>IF(ISNUMBER(KPIs!AI38),KPIs!AI38,"")</f>
        <v/>
      </c>
      <c r="G1172" s="250">
        <f>IF(ISNUMBER(KPIs!$C$38),KPIs!$C$38,"")</f>
        <v>2.35</v>
      </c>
      <c r="H1172" s="193" t="str">
        <f>IFERROR(INDEX(_TARGETS!$E$2:$E$17,MATCH($C1172,_TARGETS!$A$2:$A$17,0))&amp;"","")</f>
        <v>≤</v>
      </c>
      <c r="I1172" s="193" t="str">
        <f t="shared" si="119"/>
        <v/>
      </c>
      <c r="J1172" s="193" t="str">
        <f t="shared" si="120"/>
        <v>YTD</v>
      </c>
      <c r="K1172" s="193">
        <f>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f>
        <v>0</v>
      </c>
      <c r="L1172" s="193">
        <f>SUMIFS(Datos!$D$14:$AL$14,Datos!$D$3:$AL$3,"&gt;="&amp;DATE(YEAR(Datos!AI$3),1,1),Datos!$D$3:$AL$3,"&lt;="&amp;Datos!AI$3)</f>
        <v>0</v>
      </c>
      <c r="M1172" s="193">
        <f>INDEX(_TARGETS!$J$2:$J$17,MATCH($C1172,_TARGETS!$A$2:$A$17,0))</f>
        <v>1000000</v>
      </c>
      <c r="N1172" s="193" t="str">
        <f>INDEX(_TARGETS!$D$2:$D$17,MATCH($C1172,_TARGETS!$A$2:$A$17,0))</f>
        <v>casos / 10^6 HH</v>
      </c>
      <c r="O1172" s="193" t="str">
        <f t="shared" si="125"/>
        <v>MISSING</v>
      </c>
      <c r="P1172" s="193" t="str">
        <f>INDEX(_TARGETS!$K$2:$K$17,MATCH($C1172,_TARGETS!$A$2:$A$17,0))</f>
        <v>OPS (carga manual en Datos)</v>
      </c>
      <c r="Q1172" s="193" t="str">
        <f t="shared" si="121"/>
        <v>202903|TRICF|YTD</v>
      </c>
      <c r="R1172" s="193" t="str">
        <f>INDEX(_TARGETS!$H$2:$H$17,MATCH($C1172,_TARGETS!$A$2:$A$17,0))</f>
        <v>Definida</v>
      </c>
      <c r="S1172" s="193" t="str">
        <f t="shared" si="122"/>
        <v/>
      </c>
      <c r="T1172" s="193" t="str">
        <f t="shared" si="123"/>
        <v/>
      </c>
    </row>
    <row r="1173" spans="1:20" ht="14.25" customHeight="1" x14ac:dyDescent="0.3">
      <c r="A1173" s="249">
        <f>KPIs!$AI$3</f>
        <v>47178</v>
      </c>
      <c r="B1173" s="193" t="str">
        <f>KPIs!AI$4</f>
        <v>Compresora</v>
      </c>
      <c r="C1173" t="s">
        <v>51</v>
      </c>
      <c r="D1173" s="193" t="str">
        <f>KPIs!$A$39</f>
        <v>3 · Casos de primeros auxilios · YTD</v>
      </c>
      <c r="E1173" t="s">
        <v>601</v>
      </c>
      <c r="F1173" s="193" t="str">
        <f>IF(ISNUMBER(KPIs!AI39),KPIs!AI39,"")</f>
        <v/>
      </c>
      <c r="G1173" s="193" t="str">
        <f>IF(ISNUMBER(KPIs!$C$39),KPIs!$C$39,"")</f>
        <v/>
      </c>
      <c r="H1173" s="193" t="str">
        <f>IFERROR(INDEX(_TARGETS!$E$2:$E$17,MATCH($C1173,_TARGETS!$A$2:$A$17,0))&amp;"","")</f>
        <v/>
      </c>
      <c r="I1173" s="193" t="str">
        <f t="shared" si="119"/>
        <v/>
      </c>
      <c r="J1173" s="193" t="str">
        <f t="shared" si="120"/>
        <v>YTD</v>
      </c>
      <c r="K1173" s="193">
        <f>SUMIFS(Datos!$D$37:$AL$37,Datos!$D$3:$AL$3,"&gt;="&amp;DATE(YEAR(Datos!AI$3),1,1),Datos!$D$3:$AL$3,"&lt;="&amp;Datos!AI$3)</f>
        <v>0</v>
      </c>
      <c r="M1173" s="193">
        <f>INDEX(_TARGETS!$J$2:$J$17,MATCH($C1173,_TARGETS!$A$2:$A$17,0))</f>
        <v>1</v>
      </c>
      <c r="N1173" s="193" t="str">
        <f>INDEX(_TARGETS!$D$2:$D$17,MATCH($C1173,_TARGETS!$A$2:$A$17,0))</f>
        <v>casos</v>
      </c>
      <c r="O1173" s="193" t="str">
        <f t="shared" si="125"/>
        <v>MISSING</v>
      </c>
      <c r="P1173" s="193" t="str">
        <f>INDEX(_TARGETS!$K$2:$K$17,MATCH($C1173,_TARGETS!$A$2:$A$17,0))</f>
        <v>OPS (carga manual en Datos)</v>
      </c>
      <c r="Q1173" s="193" t="str">
        <f t="shared" si="121"/>
        <v>202903|FAC|YTD</v>
      </c>
      <c r="R1173" s="193" t="str">
        <f>INDEX(_TARGETS!$H$2:$H$17,MATCH($C1173,_TARGETS!$A$2:$A$17,0))</f>
        <v>Solo reporte</v>
      </c>
      <c r="S1173" s="193">
        <f t="shared" si="122"/>
        <v>0</v>
      </c>
      <c r="T1173" s="193" t="str">
        <f t="shared" si="123"/>
        <v/>
      </c>
    </row>
    <row r="1174" spans="1:20" ht="14.25" customHeight="1" x14ac:dyDescent="0.3">
      <c r="A1174" s="249">
        <f>KPIs!$AI$3</f>
        <v>47178</v>
      </c>
      <c r="B1174" s="193" t="str">
        <f>KPIs!AI$4</f>
        <v>Compresora</v>
      </c>
      <c r="C1174" t="s">
        <v>57</v>
      </c>
      <c r="D1174" s="193" t="str">
        <f>KPIs!$A$40</f>
        <v>4 · Accidentes vehiculares severos por millón de km · YTD</v>
      </c>
      <c r="E1174" t="s">
        <v>601</v>
      </c>
      <c r="F1174" s="193" t="str">
        <f>IF(ISNUMBER(KPIs!AI40),KPIs!AI40,"")</f>
        <v/>
      </c>
      <c r="G1174" s="193" t="str">
        <f>IF(ISNUMBER(KPIs!$C$40),KPIs!$C$40,"")</f>
        <v/>
      </c>
      <c r="H1174" s="193" t="str">
        <f>IFERROR(INDEX(_TARGETS!$E$2:$E$17,MATCH($C1174,_TARGETS!$A$2:$A$17,0))&amp;"","")</f>
        <v/>
      </c>
      <c r="I1174" s="193" t="str">
        <f t="shared" si="119"/>
        <v/>
      </c>
      <c r="J1174" s="193" t="str">
        <f t="shared" si="120"/>
        <v>YTD</v>
      </c>
      <c r="K1174" s="193">
        <f>SUMIFS(Datos!$D$39:$AL$39,Datos!$D$3:$AL$3,"&gt;="&amp;DATE(YEAR(Datos!AI$3),1,1),Datos!$D$3:$AL$3,"&lt;="&amp;Datos!AI$3)+SUMIFS(Datos!$D$40:$AL$40,Datos!$D$3:$AL$3,"&gt;="&amp;DATE(YEAR(Datos!AI$3),1,1),Datos!$D$3:$AL$3,"&lt;="&amp;Datos!AI$3)+SUMIFS(Datos!$D$41:$AL$41,Datos!$D$3:$AL$3,"&gt;="&amp;DATE(YEAR(Datos!AI$3),1,1),Datos!$D$3:$AL$3,"&lt;="&amp;Datos!AI$3)</f>
        <v>0</v>
      </c>
      <c r="L1174" s="193">
        <f>SUMIFS(Datos!$D$47:$AL$47,Datos!$D$3:$AL$3,"&gt;="&amp;DATE(YEAR(Datos!AI$3),1,1),Datos!$D$3:$AL$3,"&lt;="&amp;Datos!AI$3)</f>
        <v>0</v>
      </c>
      <c r="M1174" s="193">
        <f>INDEX(_TARGETS!$J$2:$J$17,MATCH($C1174,_TARGETS!$A$2:$A$17,0))</f>
        <v>1000000</v>
      </c>
      <c r="N1174" s="193" t="str">
        <f>INDEX(_TARGETS!$D$2:$D$17,MATCH($C1174,_TARGETS!$A$2:$A$17,0))</f>
        <v>eventos / 10^6 km</v>
      </c>
      <c r="O1174" s="193" t="str">
        <f t="shared" si="125"/>
        <v>MISSING</v>
      </c>
      <c r="P1174" s="193" t="str">
        <f>INDEX(_TARGETS!$K$2:$K$17,MATCH($C1174,_TARGETS!$A$2:$A$17,0))</f>
        <v>OPS (eventos) + Full Control GPS (km) - carga manual en Datos</v>
      </c>
      <c r="Q1174" s="193" t="str">
        <f t="shared" si="121"/>
        <v>202903|SVCR|YTD</v>
      </c>
      <c r="R1174" s="193" t="str">
        <f>INDEX(_TARGETS!$H$2:$H$17,MATCH($C1174,_TARGETS!$A$2:$A$17,0))</f>
        <v>Solo reporte</v>
      </c>
      <c r="S1174" s="193" t="str">
        <f t="shared" si="122"/>
        <v/>
      </c>
      <c r="T1174" s="193" t="str">
        <f t="shared" si="123"/>
        <v/>
      </c>
    </row>
    <row r="1175" spans="1:20" ht="14.25" customHeight="1" x14ac:dyDescent="0.3">
      <c r="A1175" s="249">
        <f>KPIs!$AI$3</f>
        <v>47178</v>
      </c>
      <c r="B1175" s="193" t="str">
        <f>KPIs!AI$4</f>
        <v>Compresora</v>
      </c>
      <c r="C1175" t="s">
        <v>61</v>
      </c>
      <c r="D1175" s="193" t="str">
        <f>KPIs!$A$41</f>
        <v>5 · Accidentes vehiculares totales por millón de km · YTD</v>
      </c>
      <c r="E1175" t="s">
        <v>601</v>
      </c>
      <c r="F1175" s="193" t="str">
        <f>IF(ISNUMBER(KPIs!AI41),KPIs!AI41,"")</f>
        <v/>
      </c>
      <c r="G1175" s="250">
        <f>IF(ISNUMBER(KPIs!$C$41),KPIs!$C$41,"")</f>
        <v>0.79</v>
      </c>
      <c r="H1175" s="193" t="str">
        <f>IFERROR(INDEX(_TARGETS!$E$2:$E$17,MATCH($C1175,_TARGETS!$A$2:$A$17,0))&amp;"","")</f>
        <v>≤</v>
      </c>
      <c r="I1175" s="193" t="str">
        <f t="shared" si="119"/>
        <v/>
      </c>
      <c r="J1175" s="193" t="str">
        <f t="shared" si="120"/>
        <v>YTD</v>
      </c>
      <c r="K1175" s="193">
        <f>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f>
        <v>0</v>
      </c>
      <c r="L1175" s="193">
        <f>SUMIFS(Datos!$D$47:$AL$47,Datos!$D$3:$AL$3,"&gt;="&amp;DATE(YEAR(Datos!AI$3),1,1),Datos!$D$3:$AL$3,"&lt;="&amp;Datos!AI$3)</f>
        <v>0</v>
      </c>
      <c r="M1175" s="193">
        <f>INDEX(_TARGETS!$J$2:$J$17,MATCH($C1175,_TARGETS!$A$2:$A$17,0))</f>
        <v>1000000</v>
      </c>
      <c r="N1175" s="193" t="str">
        <f>INDEX(_TARGETS!$D$2:$D$17,MATCH($C1175,_TARGETS!$A$2:$A$17,0))</f>
        <v>eventos / 10^6 km</v>
      </c>
      <c r="O1175" s="193" t="str">
        <f t="shared" si="125"/>
        <v>MISSING</v>
      </c>
      <c r="P1175" s="193" t="str">
        <f>INDEX(_TARGETS!$K$2:$K$17,MATCH($C1175,_TARGETS!$A$2:$A$17,0))</f>
        <v>OPS (eventos) + Full Control GPS (km) - carga manual en Datos</v>
      </c>
      <c r="Q1175" s="193" t="str">
        <f t="shared" si="121"/>
        <v>202903|TVCR|YTD</v>
      </c>
      <c r="R1175" s="193" t="str">
        <f>INDEX(_TARGETS!$H$2:$H$17,MATCH($C1175,_TARGETS!$A$2:$A$17,0))</f>
        <v>Definida</v>
      </c>
      <c r="S1175" s="193" t="str">
        <f t="shared" si="122"/>
        <v/>
      </c>
      <c r="T1175" s="193" t="str">
        <f t="shared" si="123"/>
        <v/>
      </c>
    </row>
    <row r="1176" spans="1:20" ht="14.25" customHeight="1" x14ac:dyDescent="0.3">
      <c r="A1176" s="249">
        <f>KPIs!$AI$3</f>
        <v>47178</v>
      </c>
      <c r="B1176" s="193" t="str">
        <f>KPIs!AI$4</f>
        <v>Compresora</v>
      </c>
      <c r="C1176" t="s">
        <v>71</v>
      </c>
      <c r="D1176" s="193" t="str">
        <f>KPIs!$A$42</f>
        <v>7 · Investigaciones de accidentes: días promedio de cierre · YTD</v>
      </c>
      <c r="E1176" t="s">
        <v>601</v>
      </c>
      <c r="F1176" s="193" t="str">
        <f>IF(ISNUMBER(KPIs!AI42),KPIs!AI42,"")</f>
        <v/>
      </c>
      <c r="G1176" s="251">
        <f>IF(ISNUMBER(KPIs!$C$42),KPIs!$C$42,"")</f>
        <v>20</v>
      </c>
      <c r="H1176" s="193" t="str">
        <f>IFERROR(INDEX(_TARGETS!$E$2:$E$17,MATCH($C1176,_TARGETS!$A$2:$A$17,0))&amp;"","")</f>
        <v>≤</v>
      </c>
      <c r="I1176" s="193" t="str">
        <f t="shared" si="119"/>
        <v/>
      </c>
      <c r="J1176" s="193" t="str">
        <f t="shared" si="120"/>
        <v>YTD</v>
      </c>
      <c r="K1176" s="193">
        <f>SUMIFS(Datos!$D$31:$AL$31,Datos!$D$3:$AL$3,"&gt;="&amp;DATE(YEAR(Datos!AI$3),1,1),Datos!$D$3:$AL$3,"&lt;="&amp;Datos!AI$3)</f>
        <v>0</v>
      </c>
      <c r="L1176" s="193">
        <f>SUMIFS(Datos!$D$30:$AL$30,Datos!$D$3:$AL$3,"&gt;="&amp;DATE(YEAR(Datos!AI$3),1,1),Datos!$D$3:$AL$3,"&lt;="&amp;Datos!AI$3)</f>
        <v>0</v>
      </c>
      <c r="M1176" s="193">
        <f>INDEX(_TARGETS!$J$2:$J$17,MATCH($C1176,_TARGETS!$A$2:$A$17,0))</f>
        <v>1</v>
      </c>
      <c r="N1176" s="193" t="str">
        <f>INDEX(_TARGETS!$D$2:$D$17,MATCH($C1176,_TARGETS!$A$2:$A$17,0))</f>
        <v>días</v>
      </c>
      <c r="O1176" s="193" t="str">
        <f>IF(NOT(ISNUMBER(F1176)),IF(SUMPRODUCT(($C$2:$C$1300=C1176)*($J$2:$J$1300="Monthly")*($A$2:$A$1300&lt;=A1176)*(YEAR($A$2:$A$1300)=YEAR(A1176))*ISNUMBER($K$2:$K$1300)*ISNUMBER($L$2:$L$1300)*($L$2:$L$1300=0)*($K$2:$K$1300&gt;0))&gt;0,"INCOMPLETE","MISSING"),O659)</f>
        <v>MISSING</v>
      </c>
      <c r="P1176" s="193" t="str">
        <f>INDEX(_TARGETS!$K$2:$K$17,MATCH($C1176,_TARGETS!$A$2:$A$17,0))</f>
        <v>OPS (carga manual en Datos)</v>
      </c>
      <c r="Q1176" s="193" t="str">
        <f t="shared" si="121"/>
        <v>202903|INV|YTD</v>
      </c>
      <c r="R1176" s="193" t="str">
        <f>INDEX(_TARGETS!$H$2:$H$17,MATCH($C1176,_TARGETS!$A$2:$A$17,0))</f>
        <v>Definida</v>
      </c>
      <c r="S1176" s="193" t="str">
        <f t="shared" si="122"/>
        <v/>
      </c>
      <c r="T1176" s="193" t="str">
        <f t="shared" si="123"/>
        <v/>
      </c>
    </row>
    <row r="1177" spans="1:20" ht="14.25" customHeight="1" x14ac:dyDescent="0.3">
      <c r="A1177" s="249">
        <f>KPIs!$AI$3</f>
        <v>47178</v>
      </c>
      <c r="B1177" s="193" t="str">
        <f>KPIs!AI$4</f>
        <v>Compresora</v>
      </c>
      <c r="C1177" t="s">
        <v>76</v>
      </c>
      <c r="D1177" s="193" t="str">
        <f>KPIs!$A$43</f>
        <v>8 · % de capacitación en seguridad · YTD</v>
      </c>
      <c r="E1177" t="s">
        <v>601</v>
      </c>
      <c r="F1177" s="193" t="str">
        <f>IF(ISNUMBER(KPIs!AI43),KPIs!AI43,"")</f>
        <v/>
      </c>
      <c r="G1177" s="252">
        <f>IF(ISNUMBER(KPIs!$C$43),KPIs!$C$43,"")</f>
        <v>0.01</v>
      </c>
      <c r="H1177" s="193" t="str">
        <f>IFERROR(INDEX(_TARGETS!$E$2:$E$17,MATCH($C1177,_TARGETS!$A$2:$A$17,0))&amp;"","")</f>
        <v>≥</v>
      </c>
      <c r="I1177" s="193" t="str">
        <f t="shared" si="119"/>
        <v/>
      </c>
      <c r="J1177" s="193" t="str">
        <f t="shared" si="120"/>
        <v>YTD</v>
      </c>
      <c r="K1177" s="193">
        <f>SUMIFS(Datos!$D$18:$AL$18,Datos!$D$3:$AL$3,"&gt;="&amp;DATE(YEAR(Datos!AI$3),1,1),Datos!$D$3:$AL$3,"&lt;="&amp;Datos!AI$3)</f>
        <v>0</v>
      </c>
      <c r="L1177" s="193">
        <f>SUMIFS(Datos!$D$14:$AL$14,Datos!$D$3:$AL$3,"&gt;="&amp;DATE(YEAR(Datos!AI$3),1,1),Datos!$D$3:$AL$3,"&lt;="&amp;Datos!AI$3)</f>
        <v>0</v>
      </c>
      <c r="M1177" s="193">
        <f>INDEX(_TARGETS!$J$2:$J$17,MATCH($C1177,_TARGETS!$A$2:$A$17,0))</f>
        <v>1</v>
      </c>
      <c r="N1177" s="193" t="str">
        <f>INDEX(_TARGETS!$D$2:$D$17,MATCH($C1177,_TARGETS!$A$2:$A$17,0))</f>
        <v>% (fracción)</v>
      </c>
      <c r="O1177" s="193" t="str">
        <f>IF(NOT(ISNUMBER(F1177)),IF(SUMPRODUCT(($C$2:$C$1300=C1177)*($J$2:$J$1300="Monthly")*($A$2:$A$1300&lt;=A1177)*(YEAR($A$2:$A$1300)=YEAR(A1177))*ISNUMBER($K$2:$K$1300)*ISNUMBER($L$2:$L$1300)*($L$2:$L$1300=0)*($K$2:$K$1300&gt;0))&gt;0,"INCOMPLETE","MISSING"),O660)</f>
        <v>MISSING</v>
      </c>
      <c r="P1177" s="193" t="str">
        <f>INDEX(_TARGETS!$K$2:$K$17,MATCH($C1177,_TARGETS!$A$2:$A$17,0))</f>
        <v>OPS (carga manual en Datos)</v>
      </c>
      <c r="Q1177" s="193" t="str">
        <f t="shared" si="121"/>
        <v>202903|HCS|YTD</v>
      </c>
      <c r="R1177" s="193" t="str">
        <f>INDEX(_TARGETS!$H$2:$H$17,MATCH($C1177,_TARGETS!$A$2:$A$17,0))</f>
        <v>Definida</v>
      </c>
      <c r="S1177" s="193" t="str">
        <f t="shared" si="122"/>
        <v/>
      </c>
      <c r="T1177" s="193" t="str">
        <f t="shared" si="123"/>
        <v/>
      </c>
    </row>
    <row r="1178" spans="1:20" ht="14.25" customHeight="1" x14ac:dyDescent="0.3">
      <c r="A1178" s="249">
        <f>KPIs!$AI$3</f>
        <v>47178</v>
      </c>
      <c r="B1178" s="193" t="str">
        <f>KPIs!AI$4</f>
        <v>Compresora</v>
      </c>
      <c r="C1178" t="s">
        <v>83</v>
      </c>
      <c r="D1178" s="193" t="str">
        <f>KPIs!$A$44</f>
        <v>10 · Cumplimiento de simulacros (emergencia y operativos) · YTD</v>
      </c>
      <c r="E1178" t="s">
        <v>601</v>
      </c>
      <c r="F1178" s="193" t="str">
        <f>IF(ISNUMBER(KPIs!AI44),KPIs!AI44,"")</f>
        <v/>
      </c>
      <c r="G1178" s="253">
        <f>IF(ISNUMBER(KPIs!$C$44),KPIs!$C$44,"")</f>
        <v>1</v>
      </c>
      <c r="H1178" s="193" t="str">
        <f>IFERROR(INDEX(_TARGETS!$E$2:$E$17,MATCH($C1178,_TARGETS!$A$2:$A$17,0))&amp;"","")</f>
        <v>≥</v>
      </c>
      <c r="I1178" s="193" t="str">
        <f t="shared" si="119"/>
        <v/>
      </c>
      <c r="J1178" s="193" t="str">
        <f t="shared" si="120"/>
        <v>YTD</v>
      </c>
      <c r="K1178" s="193">
        <f>SUMIFS(Datos!$D$20:$AL$20,Datos!$D$3:$AL$3,"&gt;="&amp;DATE(YEAR(Datos!AI$3),1,1),Datos!$D$3:$AL$3,"&lt;="&amp;Datos!AI$3)</f>
        <v>0</v>
      </c>
      <c r="L1178" s="193">
        <f>SUMIFS(Datos!$D$21:$AL$21,Datos!$D$3:$AL$3,"&gt;="&amp;DATE(YEAR(Datos!AI$3),1,1),Datos!$D$3:$AL$3,"&lt;="&amp;Datos!AI$3)</f>
        <v>0</v>
      </c>
      <c r="M1178" s="193">
        <f>INDEX(_TARGETS!$J$2:$J$17,MATCH($C1178,_TARGETS!$A$2:$A$17,0))</f>
        <v>1</v>
      </c>
      <c r="N1178" s="193" t="str">
        <f>INDEX(_TARGETS!$D$2:$D$17,MATCH($C1178,_TARGETS!$A$2:$A$17,0))</f>
        <v>% (fracción)</v>
      </c>
      <c r="O1178" s="193" t="str">
        <f>IF(NOT(ISNUMBER(F1178)),IF(SUMPRODUCT(($C$2:$C$1300=C1178)*($J$2:$J$1300="Monthly")*($A$2:$A$1300&lt;=A1178)*(YEAR($A$2:$A$1300)=YEAR(A1178))*ISNUMBER($K$2:$K$1300)*ISNUMBER($L$2:$L$1300)*($L$2:$L$1300=0)*($K$2:$K$1300&gt;0))&gt;0,"INCOMPLETE","MISSING"),O662)</f>
        <v>MISSING</v>
      </c>
      <c r="P1178" s="193" t="str">
        <f>INDEX(_TARGETS!$K$2:$K$17,MATCH($C1178,_TARGETS!$A$2:$A$17,0))</f>
        <v>OPS (carga manual en Datos)</v>
      </c>
      <c r="Q1178" s="193" t="str">
        <f t="shared" si="121"/>
        <v>202903|CPSE|YTD</v>
      </c>
      <c r="R1178" s="193" t="str">
        <f>INDEX(_TARGETS!$H$2:$H$17,MATCH($C1178,_TARGETS!$A$2:$A$17,0))</f>
        <v>Definida</v>
      </c>
      <c r="S1178" s="193" t="str">
        <f t="shared" si="122"/>
        <v/>
      </c>
      <c r="T1178" s="193" t="str">
        <f t="shared" si="123"/>
        <v/>
      </c>
    </row>
    <row r="1179" spans="1:20" ht="14.25" customHeight="1" x14ac:dyDescent="0.3">
      <c r="A1179" s="249">
        <f>KPIs!$AI$3</f>
        <v>47178</v>
      </c>
      <c r="B1179" s="193" t="str">
        <f>KPIs!AI$4</f>
        <v>Compresora</v>
      </c>
      <c r="C1179" t="s">
        <v>85</v>
      </c>
      <c r="D1179" s="193" t="str">
        <f>KPIs!$A$45</f>
        <v>10b · Cumplimiento de acciones de mejora de simulacros · YTD</v>
      </c>
      <c r="E1179" t="s">
        <v>601</v>
      </c>
      <c r="F1179" s="193" t="str">
        <f>IF(ISNUMBER(KPIs!AI45),KPIs!AI45,"")</f>
        <v/>
      </c>
      <c r="G1179" s="254" t="str">
        <f>IF(ISNUMBER(KPIs!$C$45),KPIs!$C$45,"")</f>
        <v/>
      </c>
      <c r="H1179" s="193" t="str">
        <f>IFERROR(INDEX(_TARGETS!$E$2:$E$17,MATCH($C1179,_TARGETS!$A$2:$A$17,0))&amp;"","")</f>
        <v/>
      </c>
      <c r="I1179" s="193" t="str">
        <f t="shared" si="119"/>
        <v/>
      </c>
      <c r="J1179" s="193" t="str">
        <f t="shared" si="120"/>
        <v>YTD</v>
      </c>
      <c r="K1179" s="193">
        <f>SUMIFS(Datos!$D$23:$AL$23,Datos!$D$3:$AL$3,"&gt;="&amp;DATE(YEAR(Datos!AI$3),1,1),Datos!$D$3:$AL$3,"&lt;="&amp;Datos!AI$3)</f>
        <v>0</v>
      </c>
      <c r="L1179" s="193">
        <f>SUMIFS(Datos!$D$22:$AL$22,Datos!$D$3:$AL$3,"&gt;="&amp;DATE(YEAR(Datos!AI$3),1,1),Datos!$D$3:$AL$3,"&lt;="&amp;Datos!AI$3)</f>
        <v>0</v>
      </c>
      <c r="M1179" s="193">
        <f>INDEX(_TARGETS!$J$2:$J$17,MATCH($C1179,_TARGETS!$A$2:$A$17,0))</f>
        <v>1</v>
      </c>
      <c r="N1179" s="193" t="str">
        <f>INDEX(_TARGETS!$D$2:$D$17,MATCH($C1179,_TARGETS!$A$2:$A$17,0))</f>
        <v>% (fracción)</v>
      </c>
      <c r="O1179" s="193" t="str">
        <f>IF(NOT(ISNUMBER(F1179)),IF(SUMPRODUCT(($C$2:$C$1300=C1179)*($J$2:$J$1300="Monthly")*($A$2:$A$1300&lt;=A1179)*(YEAR($A$2:$A$1300)=YEAR(A1179))*ISNUMBER($K$2:$K$1300)*ISNUMBER($L$2:$L$1300)*($L$2:$L$1300=0)*($K$2:$K$1300&gt;0))&gt;0,"INCOMPLETE","MISSING"),O663)</f>
        <v>MISSING</v>
      </c>
      <c r="P1179" s="193" t="str">
        <f>INDEX(_TARGETS!$K$2:$K$17,MATCH($C1179,_TARGETS!$A$2:$A$17,0))</f>
        <v>OPS (carga manual en Datos)</v>
      </c>
      <c r="Q1179" s="193" t="str">
        <f t="shared" si="121"/>
        <v>202903|CAMS|YTD</v>
      </c>
      <c r="R1179" s="193" t="str">
        <f>INDEX(_TARGETS!$H$2:$H$17,MATCH($C1179,_TARGETS!$A$2:$A$17,0))</f>
        <v>Solo reporte</v>
      </c>
      <c r="S1179" s="193" t="str">
        <f t="shared" si="122"/>
        <v/>
      </c>
      <c r="T1179" s="193" t="str">
        <f t="shared" si="123"/>
        <v/>
      </c>
    </row>
    <row r="1180" spans="1:20" ht="14.25" customHeight="1" x14ac:dyDescent="0.3">
      <c r="A1180" s="249">
        <f>KPIs!$AI$3</f>
        <v>47178</v>
      </c>
      <c r="B1180" s="193" t="str">
        <f>KPIs!AI$4</f>
        <v>Compresora</v>
      </c>
      <c r="C1180" t="s">
        <v>87</v>
      </c>
      <c r="D1180" s="193" t="str">
        <f>KPIs!$A$46</f>
        <v>11 · Cumplimiento de caminatas gerenciales · YTD</v>
      </c>
      <c r="E1180" t="s">
        <v>601</v>
      </c>
      <c r="F1180" s="193" t="str">
        <f>IF(ISNUMBER(KPIs!AI46),KPIs!AI46,"")</f>
        <v/>
      </c>
      <c r="G1180" s="254">
        <f>IF(ISNUMBER(KPIs!$C$46),KPIs!$C$46,"")</f>
        <v>1</v>
      </c>
      <c r="H1180" s="193" t="str">
        <f>IFERROR(INDEX(_TARGETS!$E$2:$E$17,MATCH($C1180,_TARGETS!$A$2:$A$17,0))&amp;"","")</f>
        <v>≥</v>
      </c>
      <c r="I1180" s="193" t="str">
        <f t="shared" si="119"/>
        <v/>
      </c>
      <c r="J1180" s="193" t="str">
        <f t="shared" si="120"/>
        <v>YTD</v>
      </c>
      <c r="K1180" s="193">
        <f>SUMIFS(Datos!$D$24:$AL$24,Datos!$D$3:$AL$3,"&gt;="&amp;DATE(YEAR(Datos!AI$3),1,1),Datos!$D$3:$AL$3,"&lt;="&amp;Datos!AI$3)</f>
        <v>0</v>
      </c>
      <c r="L1180" s="193">
        <f>SUMIFS(Datos!$D$25:$AL$25,Datos!$D$3:$AL$3,"&gt;="&amp;DATE(YEAR(Datos!AI$3),1,1),Datos!$D$3:$AL$3,"&lt;="&amp;Datos!AI$3)</f>
        <v>0</v>
      </c>
      <c r="M1180" s="193">
        <f>INDEX(_TARGETS!$J$2:$J$17,MATCH($C1180,_TARGETS!$A$2:$A$17,0))</f>
        <v>1</v>
      </c>
      <c r="N1180" s="193" t="str">
        <f>INDEX(_TARGETS!$D$2:$D$17,MATCH($C1180,_TARGETS!$A$2:$A$17,0))</f>
        <v>% (fracción)</v>
      </c>
      <c r="O1180" s="193" t="str">
        <f>IF(NOT(ISNUMBER(F1180)),IF(SUMPRODUCT(($C$2:$C$1300=C1180)*($J$2:$J$1300="Monthly")*($A$2:$A$1300&lt;=A1180)*(YEAR($A$2:$A$1300)=YEAR(A1180))*ISNUMBER($K$2:$K$1300)*ISNUMBER($L$2:$L$1300)*($L$2:$L$1300=0)*($K$2:$K$1300&gt;0))&gt;0,"INCOMPLETE","MISSING"),O664)</f>
        <v>MISSING</v>
      </c>
      <c r="P1180" s="193" t="str">
        <f>INDEX(_TARGETS!$K$2:$K$17,MATCH($C1180,_TARGETS!$A$2:$A$17,0))</f>
        <v>OPS (carga manual en Datos)</v>
      </c>
      <c r="Q1180" s="193" t="str">
        <f t="shared" si="121"/>
        <v>202903|ICCS|YTD</v>
      </c>
      <c r="R1180" s="193" t="str">
        <f>INDEX(_TARGETS!$H$2:$H$17,MATCH($C1180,_TARGETS!$A$2:$A$17,0))</f>
        <v>Definida</v>
      </c>
      <c r="S1180" s="193" t="str">
        <f t="shared" si="122"/>
        <v/>
      </c>
      <c r="T1180" s="193" t="str">
        <f t="shared" si="123"/>
        <v/>
      </c>
    </row>
    <row r="1181" spans="1:20" ht="14.25" customHeight="1" x14ac:dyDescent="0.3">
      <c r="A1181" s="249">
        <f>KPIs!$AI$3</f>
        <v>47178</v>
      </c>
      <c r="B1181" s="193" t="str">
        <f>KPIs!AI$4</f>
        <v>Compresora</v>
      </c>
      <c r="C1181" t="s">
        <v>89</v>
      </c>
      <c r="D1181" s="193" t="str">
        <f>KPIs!$A$47</f>
        <v>12 · Cumplimiento de comités y subcomités de seguridad · YTD</v>
      </c>
      <c r="E1181" t="s">
        <v>601</v>
      </c>
      <c r="F1181" s="193" t="str">
        <f>IF(ISNUMBER(KPIs!AI47),KPIs!AI47,"")</f>
        <v/>
      </c>
      <c r="G1181" s="254">
        <f>IF(ISNUMBER(KPIs!$C$47),KPIs!$C$47,"")</f>
        <v>1</v>
      </c>
      <c r="H1181" s="193" t="str">
        <f>IFERROR(INDEX(_TARGETS!$E$2:$E$17,MATCH($C1181,_TARGETS!$A$2:$A$17,0))&amp;"","")</f>
        <v>≥</v>
      </c>
      <c r="I1181" s="193" t="str">
        <f t="shared" si="119"/>
        <v/>
      </c>
      <c r="J1181" s="193" t="str">
        <f t="shared" si="120"/>
        <v>YTD</v>
      </c>
      <c r="K1181" s="193">
        <f>SUMIFS(Datos!$D$26:$AL$26,Datos!$D$3:$AL$3,"&gt;="&amp;DATE(YEAR(Datos!AI$3),1,1),Datos!$D$3:$AL$3,"&lt;="&amp;Datos!AI$3)</f>
        <v>0</v>
      </c>
      <c r="L1181" s="193">
        <f>SUMIFS(Datos!$D$27:$AL$27,Datos!$D$3:$AL$3,"&gt;="&amp;DATE(YEAR(Datos!AI$3),1,1),Datos!$D$3:$AL$3,"&lt;="&amp;Datos!AI$3)</f>
        <v>0</v>
      </c>
      <c r="M1181" s="193">
        <f>INDEX(_TARGETS!$J$2:$J$17,MATCH($C1181,_TARGETS!$A$2:$A$17,0))</f>
        <v>1</v>
      </c>
      <c r="N1181" s="193" t="str">
        <f>INDEX(_TARGETS!$D$2:$D$17,MATCH($C1181,_TARGETS!$A$2:$A$17,0))</f>
        <v>% (fracción)</v>
      </c>
      <c r="O1181" s="193" t="str">
        <f>IF(NOT(ISNUMBER(F1181)),IF(SUMPRODUCT(($C$2:$C$1300=C1181)*($J$2:$J$1300="Monthly")*($A$2:$A$1300&lt;=A1181)*(YEAR($A$2:$A$1300)=YEAR(A1181))*ISNUMBER($K$2:$K$1300)*ISNUMBER($L$2:$L$1300)*($L$2:$L$1300=0)*($K$2:$K$1300&gt;0))&gt;0,"INCOMPLETE","MISSING"),O665)</f>
        <v>MISSING</v>
      </c>
      <c r="P1181" s="193" t="str">
        <f>INDEX(_TARGETS!$K$2:$K$17,MATCH($C1181,_TARGETS!$A$2:$A$17,0))</f>
        <v>OPS (carga manual en Datos)</v>
      </c>
      <c r="Q1181" s="193" t="str">
        <f t="shared" si="121"/>
        <v>202903|CCS|YTD</v>
      </c>
      <c r="R1181" s="193" t="str">
        <f>INDEX(_TARGETS!$H$2:$H$17,MATCH($C1181,_TARGETS!$A$2:$A$17,0))</f>
        <v>Definida</v>
      </c>
      <c r="S1181" s="193" t="str">
        <f t="shared" si="122"/>
        <v/>
      </c>
      <c r="T1181" s="193" t="str">
        <f t="shared" si="123"/>
        <v/>
      </c>
    </row>
    <row r="1182" spans="1:20" ht="14.25" customHeight="1" x14ac:dyDescent="0.3">
      <c r="A1182" s="249">
        <f>KPIs!$AI$3</f>
        <v>47178</v>
      </c>
      <c r="B1182" s="193" t="str">
        <f>KPIs!AI$4</f>
        <v>Compresora</v>
      </c>
      <c r="C1182" t="s">
        <v>91</v>
      </c>
      <c r="D1182" s="193" t="str">
        <f>KPIs!$A$48</f>
        <v>13 · Días promedio para cerrar hallazgos · YTD</v>
      </c>
      <c r="E1182" t="s">
        <v>601</v>
      </c>
      <c r="F1182" s="251" t="str">
        <f>IF(ISNUMBER(KPIs!AI48),KPIs!AI48,"")</f>
        <v/>
      </c>
      <c r="G1182" s="193" t="str">
        <f>IF(ISNUMBER(KPIs!$C$48),KPIs!$C$48,"")</f>
        <v/>
      </c>
      <c r="H1182" s="193" t="str">
        <f>IFERROR(INDEX(_TARGETS!$E$2:$E$17,MATCH($C1182,_TARGETS!$A$2:$A$17,0))&amp;"","")</f>
        <v>≤</v>
      </c>
      <c r="I1182" s="193" t="str">
        <f t="shared" si="119"/>
        <v/>
      </c>
      <c r="J1182" s="193" t="str">
        <f t="shared" si="120"/>
        <v>YTD</v>
      </c>
      <c r="K1182" s="193">
        <f>SUMIFS(Datos!$D$68:$AL$68,Datos!$D$3:$AL$3,"&gt;="&amp;DATE(YEAR(Datos!AI$3),1,1),Datos!$D$3:$AL$3,"&lt;="&amp;Datos!AI$3)</f>
        <v>0</v>
      </c>
      <c r="L1182" s="193">
        <f>SUMIFS(Datos!$D$67:$AL$67,Datos!$D$3:$AL$3,"&gt;="&amp;DATE(YEAR(Datos!AI$3),1,1),Datos!$D$3:$AL$3,"&lt;="&amp;Datos!AI$3)</f>
        <v>0</v>
      </c>
      <c r="M1182" s="193">
        <f>INDEX(_TARGETS!$J$2:$J$17,MATCH($C1182,_TARGETS!$A$2:$A$17,0))</f>
        <v>1</v>
      </c>
      <c r="N1182" s="193" t="str">
        <f>INDEX(_TARGETS!$D$2:$D$17,MATCH($C1182,_TARGETS!$A$2:$A$17,0))</f>
        <v>días</v>
      </c>
      <c r="O1182" s="193" t="str">
        <f>IF(NOT(ISNUMBER(F1182)),IF(SUMPRODUCT(($C$2:$C$1300=C1182)*($J$2:$J$1300="Monthly")*($A$2:$A$1300&lt;=A1182)*(YEAR($A$2:$A$1300)=YEAR(A1182))*ISNUMBER($K$2:$K$1300)*ISNUMBER($L$2:$L$1300)*($L$2:$L$1300=0)*($K$2:$K$1300&gt;0))&gt;0,"INCOMPLETE","MISSING"),O666)</f>
        <v>MISSING</v>
      </c>
      <c r="P1182" s="193" t="str">
        <f>INDEX(_TARGETS!$K$2:$K$17,MATCH($C1182,_TARGETS!$A$2:$A$17,0))</f>
        <v>Plant Findings (hoja Observaciones-SMP)</v>
      </c>
      <c r="Q1182" s="193" t="str">
        <f t="shared" si="121"/>
        <v>202903|DPAS|YTD</v>
      </c>
      <c r="R1182" s="193" t="str">
        <f>INDEX(_TARGETS!$H$2:$H$17,MATCH($C1182,_TARGETS!$A$2:$A$17,0))</f>
        <v>Pendiente (meta 2027)</v>
      </c>
      <c r="S1182" s="193" t="str">
        <f t="shared" si="122"/>
        <v/>
      </c>
      <c r="T1182" s="193" t="str">
        <f t="shared" si="123"/>
        <v/>
      </c>
    </row>
    <row r="1183" spans="1:20" ht="14.25" customHeight="1" x14ac:dyDescent="0.3">
      <c r="A1183" s="249">
        <f>KPIs!$AI$3</f>
        <v>47178</v>
      </c>
      <c r="B1183" s="193" t="str">
        <f>KPIs!AI$4</f>
        <v>Compresora</v>
      </c>
      <c r="C1183" t="s">
        <v>96</v>
      </c>
      <c r="D1183" s="193" t="str">
        <f>KPIs!$A$49</f>
        <v>C1 · % de desvíos detectados de gravedad Alta · YTD</v>
      </c>
      <c r="E1183" t="s">
        <v>601</v>
      </c>
      <c r="F1183" s="193" t="str">
        <f>IF(ISNUMBER(KPIs!AI49),KPIs!AI49,"")</f>
        <v/>
      </c>
      <c r="G1183" s="193" t="str">
        <f>IF(ISNUMBER(KPIs!$C$49),KPIs!$C$49,"")</f>
        <v/>
      </c>
      <c r="H1183" s="193" t="str">
        <f>IFERROR(INDEX(_TARGETS!$E$2:$E$17,MATCH($C1183,_TARGETS!$A$2:$A$17,0))&amp;"","")</f>
        <v/>
      </c>
      <c r="I1183" s="193" t="str">
        <f t="shared" si="119"/>
        <v/>
      </c>
      <c r="J1183" s="193" t="str">
        <f t="shared" si="120"/>
        <v>YTD</v>
      </c>
      <c r="K1183" s="193">
        <f>SUMIFS(Datos!$D$71:$AL$71,Datos!$D$3:$AL$3,"&gt;="&amp;DATE(YEAR(Datos!AI$3),1,1),Datos!$D$3:$AL$3,"&lt;="&amp;Datos!AI$3)</f>
        <v>0</v>
      </c>
      <c r="L1183" s="193">
        <f>SUMIFS(Datos!$D$71:$AL$71,Datos!$D$3:$AL$3,"&gt;="&amp;DATE(YEAR(Datos!AI$3),1,1),Datos!$D$3:$AL$3,"&lt;="&amp;Datos!AI$3)+SUMIFS(Datos!$D$72:$AL$72,Datos!$D$3:$AL$3,"&gt;="&amp;DATE(YEAR(Datos!AI$3),1,1),Datos!$D$3:$AL$3,"&lt;="&amp;Datos!AI$3)+SUMIFS(Datos!$D$73:$AL$73,Datos!$D$3:$AL$3,"&gt;="&amp;DATE(YEAR(Datos!AI$3),1,1),Datos!$D$3:$AL$3,"&lt;="&amp;Datos!AI$3)</f>
        <v>0</v>
      </c>
      <c r="M1183" s="193">
        <f>INDEX(_TARGETS!$J$2:$J$17,MATCH($C1183,_TARGETS!$A$2:$A$17,0))</f>
        <v>1</v>
      </c>
      <c r="N1183" s="193" t="str">
        <f>INDEX(_TARGETS!$D$2:$D$17,MATCH($C1183,_TARGETS!$A$2:$A$17,0))</f>
        <v>% (fracción)</v>
      </c>
      <c r="O1183" s="193" t="str">
        <f t="shared" ref="O1183:O1189" si="126">IF(NOT(ISNUMBER(F1183)),IF(SUMPRODUCT(($C$2:$C$1300=C1183)*($J$2:$J$1300="Monthly")*($A$2:$A$1300&lt;=A1183)*(YEAR($A$2:$A$1300)=YEAR(A1183))*ISNUMBER($K$2:$K$1300)*ISNUMBER($L$2:$L$1300)*($L$2:$L$1300=0)*($K$2:$K$1300&gt;0))&gt;0,"INCOMPLETE","MISSING"),O672)</f>
        <v>MISSING</v>
      </c>
      <c r="P1183" s="193" t="str">
        <f>INDEX(_TARGETS!$K$2:$K$17,MATCH($C1183,_TARGETS!$A$2:$A$17,0))</f>
        <v>Plant Findings (hoja Observaciones-SMP)</v>
      </c>
      <c r="Q1183" s="193" t="str">
        <f t="shared" si="121"/>
        <v>202903|HAL_ALTA_PCT|YTD</v>
      </c>
      <c r="R1183" s="193" t="str">
        <f>INDEX(_TARGETS!$H$2:$H$17,MATCH($C1183,_TARGETS!$A$2:$A$17,0))</f>
        <v>Solo reporte</v>
      </c>
      <c r="S1183" s="193" t="str">
        <f t="shared" si="122"/>
        <v/>
      </c>
      <c r="T1183" s="193" t="str">
        <f t="shared" si="123"/>
        <v/>
      </c>
    </row>
    <row r="1184" spans="1:20" ht="14.25" customHeight="1" x14ac:dyDescent="0.3">
      <c r="A1184" s="249">
        <f>KPIs!$AI$3</f>
        <v>47178</v>
      </c>
      <c r="B1184" s="193" t="str">
        <f>KPIs!AI$4</f>
        <v>Compresora</v>
      </c>
      <c r="C1184" t="s">
        <v>98</v>
      </c>
      <c r="D1184" s="193" t="str">
        <f>KPIs!$A$50</f>
        <v>C2 · Detenciones de tareas aplicadas · YTD</v>
      </c>
      <c r="E1184" t="s">
        <v>601</v>
      </c>
      <c r="F1184" s="193" t="str">
        <f>IF(ISNUMBER(KPIs!AI50),KPIs!AI50,"")</f>
        <v/>
      </c>
      <c r="G1184" s="193" t="str">
        <f>IF(ISNUMBER(KPIs!$C$50),KPIs!$C$50,"")</f>
        <v/>
      </c>
      <c r="H1184" s="193" t="str">
        <f>IFERROR(INDEX(_TARGETS!$E$2:$E$17,MATCH($C1184,_TARGETS!$A$2:$A$17,0))&amp;"","")</f>
        <v/>
      </c>
      <c r="I1184" s="193" t="str">
        <f t="shared" si="119"/>
        <v/>
      </c>
      <c r="J1184" s="193" t="str">
        <f t="shared" si="120"/>
        <v>YTD</v>
      </c>
      <c r="K1184" s="193">
        <f>SUMIFS(Datos!$D$75:$AL$75,Datos!$D$3:$AL$3,"&gt;="&amp;DATE(YEAR(Datos!AI$3),1,1),Datos!$D$3:$AL$3,"&lt;="&amp;Datos!AI$3)</f>
        <v>0</v>
      </c>
      <c r="M1184" s="193">
        <f>INDEX(_TARGETS!$J$2:$J$17,MATCH($C1184,_TARGETS!$A$2:$A$17,0))</f>
        <v>1</v>
      </c>
      <c r="N1184" s="193" t="str">
        <f>INDEX(_TARGETS!$D$2:$D$17,MATCH($C1184,_TARGETS!$A$2:$A$17,0))</f>
        <v>u</v>
      </c>
      <c r="O1184" s="193" t="str">
        <f t="shared" si="126"/>
        <v>MISSING</v>
      </c>
      <c r="P1184" s="193" t="str">
        <f>INDEX(_TARGETS!$K$2:$K$17,MATCH($C1184,_TARGETS!$A$2:$A$17,0))</f>
        <v>Plant Findings (hoja Observaciones-SMP)</v>
      </c>
      <c r="Q1184" s="193" t="str">
        <f t="shared" si="121"/>
        <v>202903|DET|YTD</v>
      </c>
      <c r="R1184" s="193" t="str">
        <f>INDEX(_TARGETS!$H$2:$H$17,MATCH($C1184,_TARGETS!$A$2:$A$17,0))</f>
        <v>Solo reporte</v>
      </c>
      <c r="S1184" s="193">
        <f t="shared" si="122"/>
        <v>0</v>
      </c>
      <c r="T1184" s="193" t="str">
        <f t="shared" si="123"/>
        <v/>
      </c>
    </row>
    <row r="1185" spans="1:20" ht="14.25" customHeight="1" x14ac:dyDescent="0.3">
      <c r="A1185" s="249">
        <f>KPIs!$AJ$3</f>
        <v>47209</v>
      </c>
      <c r="B1185" s="193" t="str">
        <f>KPIs!AJ$4</f>
        <v>Compresora</v>
      </c>
      <c r="C1185" t="s">
        <v>39</v>
      </c>
      <c r="D1185" s="193" t="str">
        <f>KPIs!$A$37</f>
        <v>1 · Frecuencia de casos con días perdidos · YTD</v>
      </c>
      <c r="E1185" t="s">
        <v>601</v>
      </c>
      <c r="F1185" s="193" t="str">
        <f>IF(ISNUMBER(KPIs!AJ37),KPIs!AJ37,"")</f>
        <v/>
      </c>
      <c r="G1185" s="250">
        <f>IF(ISNUMBER(KPIs!$C$37),KPIs!$C$37,"")</f>
        <v>0</v>
      </c>
      <c r="H1185" s="193" t="str">
        <f>IFERROR(INDEX(_TARGETS!$E$2:$E$17,MATCH($C1185,_TARGETS!$A$2:$A$17,0))&amp;"","")</f>
        <v>≤</v>
      </c>
      <c r="I1185" s="193" t="str">
        <f t="shared" si="119"/>
        <v/>
      </c>
      <c r="J1185" s="193" t="str">
        <f t="shared" si="120"/>
        <v>YTD</v>
      </c>
      <c r="K1185" s="193">
        <f>SUMIFS(Datos!$D$33:$AL$33,Datos!$D$3:$AL$3,"&gt;="&amp;DATE(YEAR(Datos!AJ$3),1,1),Datos!$D$3:$AL$3,"&lt;="&amp;Datos!AJ$3)</f>
        <v>0</v>
      </c>
      <c r="L1185" s="193">
        <f>SUMIFS(Datos!$D$14:$AL$14,Datos!$D$3:$AL$3,"&gt;="&amp;DATE(YEAR(Datos!AJ$3),1,1),Datos!$D$3:$AL$3,"&lt;="&amp;Datos!AJ$3)</f>
        <v>0</v>
      </c>
      <c r="M1185" s="193">
        <f>INDEX(_TARGETS!$J$2:$J$17,MATCH($C1185,_TARGETS!$A$2:$A$17,0))</f>
        <v>1000000</v>
      </c>
      <c r="N1185" s="193" t="str">
        <f>INDEX(_TARGETS!$D$2:$D$17,MATCH($C1185,_TARGETS!$A$2:$A$17,0))</f>
        <v>casos / 10^6 HH</v>
      </c>
      <c r="O1185" s="193" t="str">
        <f t="shared" si="126"/>
        <v>MISSING</v>
      </c>
      <c r="P1185" s="193" t="str">
        <f>INDEX(_TARGETS!$K$2:$K$17,MATCH($C1185,_TARGETS!$A$2:$A$17,0))</f>
        <v>OPS (carga manual en Datos)</v>
      </c>
      <c r="Q1185" s="193" t="str">
        <f t="shared" si="121"/>
        <v>202904|DAFWCF|YTD</v>
      </c>
      <c r="R1185" s="193" t="str">
        <f>INDEX(_TARGETS!$H$2:$H$17,MATCH($C1185,_TARGETS!$A$2:$A$17,0))</f>
        <v>Definida</v>
      </c>
      <c r="S1185" s="193" t="str">
        <f t="shared" si="122"/>
        <v/>
      </c>
      <c r="T1185" s="193" t="str">
        <f t="shared" si="123"/>
        <v/>
      </c>
    </row>
    <row r="1186" spans="1:20" ht="14.25" customHeight="1" x14ac:dyDescent="0.3">
      <c r="A1186" s="249">
        <f>KPIs!$AJ$3</f>
        <v>47209</v>
      </c>
      <c r="B1186" s="193" t="str">
        <f>KPIs!AJ$4</f>
        <v>Compresora</v>
      </c>
      <c r="C1186" t="s">
        <v>49</v>
      </c>
      <c r="D1186" s="193" t="str">
        <f>KPIs!$A$38</f>
        <v>2 · Frecuencia de casos registrables · YTD</v>
      </c>
      <c r="E1186" t="s">
        <v>601</v>
      </c>
      <c r="F1186" s="193" t="str">
        <f>IF(ISNUMBER(KPIs!AJ38),KPIs!AJ38,"")</f>
        <v/>
      </c>
      <c r="G1186" s="250">
        <f>IF(ISNUMBER(KPIs!$C$38),KPIs!$C$38,"")</f>
        <v>2.35</v>
      </c>
      <c r="H1186" s="193" t="str">
        <f>IFERROR(INDEX(_TARGETS!$E$2:$E$17,MATCH($C1186,_TARGETS!$A$2:$A$17,0))&amp;"","")</f>
        <v>≤</v>
      </c>
      <c r="I1186" s="193" t="str">
        <f t="shared" si="119"/>
        <v/>
      </c>
      <c r="J1186" s="193" t="str">
        <f t="shared" si="120"/>
        <v>YTD</v>
      </c>
      <c r="K1186" s="193">
        <f>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f>
        <v>0</v>
      </c>
      <c r="L1186" s="193">
        <f>SUMIFS(Datos!$D$14:$AL$14,Datos!$D$3:$AL$3,"&gt;="&amp;DATE(YEAR(Datos!AJ$3),1,1),Datos!$D$3:$AL$3,"&lt;="&amp;Datos!AJ$3)</f>
        <v>0</v>
      </c>
      <c r="M1186" s="193">
        <f>INDEX(_TARGETS!$J$2:$J$17,MATCH($C1186,_TARGETS!$A$2:$A$17,0))</f>
        <v>1000000</v>
      </c>
      <c r="N1186" s="193" t="str">
        <f>INDEX(_TARGETS!$D$2:$D$17,MATCH($C1186,_TARGETS!$A$2:$A$17,0))</f>
        <v>casos / 10^6 HH</v>
      </c>
      <c r="O1186" s="193" t="str">
        <f t="shared" si="126"/>
        <v>MISSING</v>
      </c>
      <c r="P1186" s="193" t="str">
        <f>INDEX(_TARGETS!$K$2:$K$17,MATCH($C1186,_TARGETS!$A$2:$A$17,0))</f>
        <v>OPS (carga manual en Datos)</v>
      </c>
      <c r="Q1186" s="193" t="str">
        <f t="shared" si="121"/>
        <v>202904|TRICF|YTD</v>
      </c>
      <c r="R1186" s="193" t="str">
        <f>INDEX(_TARGETS!$H$2:$H$17,MATCH($C1186,_TARGETS!$A$2:$A$17,0))</f>
        <v>Definida</v>
      </c>
      <c r="S1186" s="193" t="str">
        <f t="shared" si="122"/>
        <v/>
      </c>
      <c r="T1186" s="193" t="str">
        <f t="shared" si="123"/>
        <v/>
      </c>
    </row>
    <row r="1187" spans="1:20" ht="14.25" customHeight="1" x14ac:dyDescent="0.3">
      <c r="A1187" s="249">
        <f>KPIs!$AJ$3</f>
        <v>47209</v>
      </c>
      <c r="B1187" s="193" t="str">
        <f>KPIs!AJ$4</f>
        <v>Compresora</v>
      </c>
      <c r="C1187" t="s">
        <v>51</v>
      </c>
      <c r="D1187" s="193" t="str">
        <f>KPIs!$A$39</f>
        <v>3 · Casos de primeros auxilios · YTD</v>
      </c>
      <c r="E1187" t="s">
        <v>601</v>
      </c>
      <c r="F1187" s="193" t="str">
        <f>IF(ISNUMBER(KPIs!AJ39),KPIs!AJ39,"")</f>
        <v/>
      </c>
      <c r="G1187" s="193" t="str">
        <f>IF(ISNUMBER(KPIs!$C$39),KPIs!$C$39,"")</f>
        <v/>
      </c>
      <c r="H1187" s="193" t="str">
        <f>IFERROR(INDEX(_TARGETS!$E$2:$E$17,MATCH($C1187,_TARGETS!$A$2:$A$17,0))&amp;"","")</f>
        <v/>
      </c>
      <c r="I1187" s="193" t="str">
        <f t="shared" si="119"/>
        <v/>
      </c>
      <c r="J1187" s="193" t="str">
        <f t="shared" si="120"/>
        <v>YTD</v>
      </c>
      <c r="K1187" s="193">
        <f>SUMIFS(Datos!$D$37:$AL$37,Datos!$D$3:$AL$3,"&gt;="&amp;DATE(YEAR(Datos!AJ$3),1,1),Datos!$D$3:$AL$3,"&lt;="&amp;Datos!AJ$3)</f>
        <v>0</v>
      </c>
      <c r="M1187" s="193">
        <f>INDEX(_TARGETS!$J$2:$J$17,MATCH($C1187,_TARGETS!$A$2:$A$17,0))</f>
        <v>1</v>
      </c>
      <c r="N1187" s="193" t="str">
        <f>INDEX(_TARGETS!$D$2:$D$17,MATCH($C1187,_TARGETS!$A$2:$A$17,0))</f>
        <v>casos</v>
      </c>
      <c r="O1187" s="193" t="str">
        <f t="shared" si="126"/>
        <v>MISSING</v>
      </c>
      <c r="P1187" s="193" t="str">
        <f>INDEX(_TARGETS!$K$2:$K$17,MATCH($C1187,_TARGETS!$A$2:$A$17,0))</f>
        <v>OPS (carga manual en Datos)</v>
      </c>
      <c r="Q1187" s="193" t="str">
        <f t="shared" si="121"/>
        <v>202904|FAC|YTD</v>
      </c>
      <c r="R1187" s="193" t="str">
        <f>INDEX(_TARGETS!$H$2:$H$17,MATCH($C1187,_TARGETS!$A$2:$A$17,0))</f>
        <v>Solo reporte</v>
      </c>
      <c r="S1187" s="193">
        <f t="shared" si="122"/>
        <v>0</v>
      </c>
      <c r="T1187" s="193" t="str">
        <f t="shared" si="123"/>
        <v/>
      </c>
    </row>
    <row r="1188" spans="1:20" ht="14.25" customHeight="1" x14ac:dyDescent="0.3">
      <c r="A1188" s="249">
        <f>KPIs!$AJ$3</f>
        <v>47209</v>
      </c>
      <c r="B1188" s="193" t="str">
        <f>KPIs!AJ$4</f>
        <v>Compresora</v>
      </c>
      <c r="C1188" t="s">
        <v>57</v>
      </c>
      <c r="D1188" s="193" t="str">
        <f>KPIs!$A$40</f>
        <v>4 · Accidentes vehiculares severos por millón de km · YTD</v>
      </c>
      <c r="E1188" t="s">
        <v>601</v>
      </c>
      <c r="F1188" s="193" t="str">
        <f>IF(ISNUMBER(KPIs!AJ40),KPIs!AJ40,"")</f>
        <v/>
      </c>
      <c r="G1188" s="193" t="str">
        <f>IF(ISNUMBER(KPIs!$C$40),KPIs!$C$40,"")</f>
        <v/>
      </c>
      <c r="H1188" s="193" t="str">
        <f>IFERROR(INDEX(_TARGETS!$E$2:$E$17,MATCH($C1188,_TARGETS!$A$2:$A$17,0))&amp;"","")</f>
        <v/>
      </c>
      <c r="I1188" s="193" t="str">
        <f t="shared" si="119"/>
        <v/>
      </c>
      <c r="J1188" s="193" t="str">
        <f t="shared" si="120"/>
        <v>YTD</v>
      </c>
      <c r="K1188" s="193">
        <f>SUMIFS(Datos!$D$39:$AL$39,Datos!$D$3:$AL$3,"&gt;="&amp;DATE(YEAR(Datos!AJ$3),1,1),Datos!$D$3:$AL$3,"&lt;="&amp;Datos!AJ$3)+SUMIFS(Datos!$D$40:$AL$40,Datos!$D$3:$AL$3,"&gt;="&amp;DATE(YEAR(Datos!AJ$3),1,1),Datos!$D$3:$AL$3,"&lt;="&amp;Datos!AJ$3)+SUMIFS(Datos!$D$41:$AL$41,Datos!$D$3:$AL$3,"&gt;="&amp;DATE(YEAR(Datos!AJ$3),1,1),Datos!$D$3:$AL$3,"&lt;="&amp;Datos!AJ$3)</f>
        <v>0</v>
      </c>
      <c r="L1188" s="193">
        <f>SUMIFS(Datos!$D$47:$AL$47,Datos!$D$3:$AL$3,"&gt;="&amp;DATE(YEAR(Datos!AJ$3),1,1),Datos!$D$3:$AL$3,"&lt;="&amp;Datos!AJ$3)</f>
        <v>0</v>
      </c>
      <c r="M1188" s="193">
        <f>INDEX(_TARGETS!$J$2:$J$17,MATCH($C1188,_TARGETS!$A$2:$A$17,0))</f>
        <v>1000000</v>
      </c>
      <c r="N1188" s="193" t="str">
        <f>INDEX(_TARGETS!$D$2:$D$17,MATCH($C1188,_TARGETS!$A$2:$A$17,0))</f>
        <v>eventos / 10^6 km</v>
      </c>
      <c r="O1188" s="193" t="str">
        <f t="shared" si="126"/>
        <v>MISSING</v>
      </c>
      <c r="P1188" s="193" t="str">
        <f>INDEX(_TARGETS!$K$2:$K$17,MATCH($C1188,_TARGETS!$A$2:$A$17,0))</f>
        <v>OPS (eventos) + Full Control GPS (km) - carga manual en Datos</v>
      </c>
      <c r="Q1188" s="193" t="str">
        <f t="shared" si="121"/>
        <v>202904|SVCR|YTD</v>
      </c>
      <c r="R1188" s="193" t="str">
        <f>INDEX(_TARGETS!$H$2:$H$17,MATCH($C1188,_TARGETS!$A$2:$A$17,0))</f>
        <v>Solo reporte</v>
      </c>
      <c r="S1188" s="193" t="str">
        <f t="shared" si="122"/>
        <v/>
      </c>
      <c r="T1188" s="193" t="str">
        <f t="shared" si="123"/>
        <v/>
      </c>
    </row>
    <row r="1189" spans="1:20" ht="14.25" customHeight="1" x14ac:dyDescent="0.3">
      <c r="A1189" s="249">
        <f>KPIs!$AJ$3</f>
        <v>47209</v>
      </c>
      <c r="B1189" s="193" t="str">
        <f>KPIs!AJ$4</f>
        <v>Compresora</v>
      </c>
      <c r="C1189" t="s">
        <v>61</v>
      </c>
      <c r="D1189" s="193" t="str">
        <f>KPIs!$A$41</f>
        <v>5 · Accidentes vehiculares totales por millón de km · YTD</v>
      </c>
      <c r="E1189" t="s">
        <v>601</v>
      </c>
      <c r="F1189" s="193" t="str">
        <f>IF(ISNUMBER(KPIs!AJ41),KPIs!AJ41,"")</f>
        <v/>
      </c>
      <c r="G1189" s="250">
        <f>IF(ISNUMBER(KPIs!$C$41),KPIs!$C$41,"")</f>
        <v>0.79</v>
      </c>
      <c r="H1189" s="193" t="str">
        <f>IFERROR(INDEX(_TARGETS!$E$2:$E$17,MATCH($C1189,_TARGETS!$A$2:$A$17,0))&amp;"","")</f>
        <v>≤</v>
      </c>
      <c r="I1189" s="193" t="str">
        <f t="shared" si="119"/>
        <v/>
      </c>
      <c r="J1189" s="193" t="str">
        <f t="shared" si="120"/>
        <v>YTD</v>
      </c>
      <c r="K1189" s="193">
        <f>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f>
        <v>0</v>
      </c>
      <c r="L1189" s="193">
        <f>SUMIFS(Datos!$D$47:$AL$47,Datos!$D$3:$AL$3,"&gt;="&amp;DATE(YEAR(Datos!AJ$3),1,1),Datos!$D$3:$AL$3,"&lt;="&amp;Datos!AJ$3)</f>
        <v>0</v>
      </c>
      <c r="M1189" s="193">
        <f>INDEX(_TARGETS!$J$2:$J$17,MATCH($C1189,_TARGETS!$A$2:$A$17,0))</f>
        <v>1000000</v>
      </c>
      <c r="N1189" s="193" t="str">
        <f>INDEX(_TARGETS!$D$2:$D$17,MATCH($C1189,_TARGETS!$A$2:$A$17,0))</f>
        <v>eventos / 10^6 km</v>
      </c>
      <c r="O1189" s="193" t="str">
        <f t="shared" si="126"/>
        <v>MISSING</v>
      </c>
      <c r="P1189" s="193" t="str">
        <f>INDEX(_TARGETS!$K$2:$K$17,MATCH($C1189,_TARGETS!$A$2:$A$17,0))</f>
        <v>OPS (eventos) + Full Control GPS (km) - carga manual en Datos</v>
      </c>
      <c r="Q1189" s="193" t="str">
        <f t="shared" si="121"/>
        <v>202904|TVCR|YTD</v>
      </c>
      <c r="R1189" s="193" t="str">
        <f>INDEX(_TARGETS!$H$2:$H$17,MATCH($C1189,_TARGETS!$A$2:$A$17,0))</f>
        <v>Definida</v>
      </c>
      <c r="S1189" s="193" t="str">
        <f t="shared" si="122"/>
        <v/>
      </c>
      <c r="T1189" s="193" t="str">
        <f t="shared" si="123"/>
        <v/>
      </c>
    </row>
    <row r="1190" spans="1:20" ht="14.25" customHeight="1" x14ac:dyDescent="0.3">
      <c r="A1190" s="249">
        <f>KPIs!$AJ$3</f>
        <v>47209</v>
      </c>
      <c r="B1190" s="193" t="str">
        <f>KPIs!AJ$4</f>
        <v>Compresora</v>
      </c>
      <c r="C1190" t="s">
        <v>71</v>
      </c>
      <c r="D1190" s="193" t="str">
        <f>KPIs!$A$42</f>
        <v>7 · Investigaciones de accidentes: días promedio de cierre · YTD</v>
      </c>
      <c r="E1190" t="s">
        <v>601</v>
      </c>
      <c r="F1190" s="193" t="str">
        <f>IF(ISNUMBER(KPIs!AJ42),KPIs!AJ42,"")</f>
        <v/>
      </c>
      <c r="G1190" s="251">
        <f>IF(ISNUMBER(KPIs!$C$42),KPIs!$C$42,"")</f>
        <v>20</v>
      </c>
      <c r="H1190" s="193" t="str">
        <f>IFERROR(INDEX(_TARGETS!$E$2:$E$17,MATCH($C1190,_TARGETS!$A$2:$A$17,0))&amp;"","")</f>
        <v>≤</v>
      </c>
      <c r="I1190" s="193" t="str">
        <f t="shared" si="119"/>
        <v/>
      </c>
      <c r="J1190" s="193" t="str">
        <f t="shared" si="120"/>
        <v>YTD</v>
      </c>
      <c r="K1190" s="193">
        <f>SUMIFS(Datos!$D$31:$AL$31,Datos!$D$3:$AL$3,"&gt;="&amp;DATE(YEAR(Datos!AJ$3),1,1),Datos!$D$3:$AL$3,"&lt;="&amp;Datos!AJ$3)</f>
        <v>0</v>
      </c>
      <c r="L1190" s="193">
        <f>SUMIFS(Datos!$D$30:$AL$30,Datos!$D$3:$AL$3,"&gt;="&amp;DATE(YEAR(Datos!AJ$3),1,1),Datos!$D$3:$AL$3,"&lt;="&amp;Datos!AJ$3)</f>
        <v>0</v>
      </c>
      <c r="M1190" s="193">
        <f>INDEX(_TARGETS!$J$2:$J$17,MATCH($C1190,_TARGETS!$A$2:$A$17,0))</f>
        <v>1</v>
      </c>
      <c r="N1190" s="193" t="str">
        <f>INDEX(_TARGETS!$D$2:$D$17,MATCH($C1190,_TARGETS!$A$2:$A$17,0))</f>
        <v>días</v>
      </c>
      <c r="O1190" s="193" t="str">
        <f>IF(NOT(ISNUMBER(F1190)),IF(SUMPRODUCT(($C$2:$C$1300=C1190)*($J$2:$J$1300="Monthly")*($A$2:$A$1300&lt;=A1190)*(YEAR($A$2:$A$1300)=YEAR(A1190))*ISNUMBER($K$2:$K$1300)*ISNUMBER($L$2:$L$1300)*($L$2:$L$1300=0)*($K$2:$K$1300&gt;0))&gt;0,"INCOMPLETE","MISSING"),O680)</f>
        <v>MISSING</v>
      </c>
      <c r="P1190" s="193" t="str">
        <f>INDEX(_TARGETS!$K$2:$K$17,MATCH($C1190,_TARGETS!$A$2:$A$17,0))</f>
        <v>OPS (carga manual en Datos)</v>
      </c>
      <c r="Q1190" s="193" t="str">
        <f t="shared" si="121"/>
        <v>202904|INV|YTD</v>
      </c>
      <c r="R1190" s="193" t="str">
        <f>INDEX(_TARGETS!$H$2:$H$17,MATCH($C1190,_TARGETS!$A$2:$A$17,0))</f>
        <v>Definida</v>
      </c>
      <c r="S1190" s="193" t="str">
        <f t="shared" si="122"/>
        <v/>
      </c>
      <c r="T1190" s="193" t="str">
        <f t="shared" si="123"/>
        <v/>
      </c>
    </row>
    <row r="1191" spans="1:20" ht="14.25" customHeight="1" x14ac:dyDescent="0.3">
      <c r="A1191" s="249">
        <f>KPIs!$AJ$3</f>
        <v>47209</v>
      </c>
      <c r="B1191" s="193" t="str">
        <f>KPIs!AJ$4</f>
        <v>Compresora</v>
      </c>
      <c r="C1191" t="s">
        <v>76</v>
      </c>
      <c r="D1191" s="193" t="str">
        <f>KPIs!$A$43</f>
        <v>8 · % de capacitación en seguridad · YTD</v>
      </c>
      <c r="E1191" t="s">
        <v>601</v>
      </c>
      <c r="F1191" s="193" t="str">
        <f>IF(ISNUMBER(KPIs!AJ43),KPIs!AJ43,"")</f>
        <v/>
      </c>
      <c r="G1191" s="252">
        <f>IF(ISNUMBER(KPIs!$C$43),KPIs!$C$43,"")</f>
        <v>0.01</v>
      </c>
      <c r="H1191" s="193" t="str">
        <f>IFERROR(INDEX(_TARGETS!$E$2:$E$17,MATCH($C1191,_TARGETS!$A$2:$A$17,0))&amp;"","")</f>
        <v>≥</v>
      </c>
      <c r="I1191" s="193" t="str">
        <f t="shared" si="119"/>
        <v/>
      </c>
      <c r="J1191" s="193" t="str">
        <f t="shared" si="120"/>
        <v>YTD</v>
      </c>
      <c r="K1191" s="193">
        <f>SUMIFS(Datos!$D$18:$AL$18,Datos!$D$3:$AL$3,"&gt;="&amp;DATE(YEAR(Datos!AJ$3),1,1),Datos!$D$3:$AL$3,"&lt;="&amp;Datos!AJ$3)</f>
        <v>0</v>
      </c>
      <c r="L1191" s="193">
        <f>SUMIFS(Datos!$D$14:$AL$14,Datos!$D$3:$AL$3,"&gt;="&amp;DATE(YEAR(Datos!AJ$3),1,1),Datos!$D$3:$AL$3,"&lt;="&amp;Datos!AJ$3)</f>
        <v>0</v>
      </c>
      <c r="M1191" s="193">
        <f>INDEX(_TARGETS!$J$2:$J$17,MATCH($C1191,_TARGETS!$A$2:$A$17,0))</f>
        <v>1</v>
      </c>
      <c r="N1191" s="193" t="str">
        <f>INDEX(_TARGETS!$D$2:$D$17,MATCH($C1191,_TARGETS!$A$2:$A$17,0))</f>
        <v>% (fracción)</v>
      </c>
      <c r="O1191" s="193" t="str">
        <f>IF(NOT(ISNUMBER(F1191)),IF(SUMPRODUCT(($C$2:$C$1300=C1191)*($J$2:$J$1300="Monthly")*($A$2:$A$1300&lt;=A1191)*(YEAR($A$2:$A$1300)=YEAR(A1191))*ISNUMBER($K$2:$K$1300)*ISNUMBER($L$2:$L$1300)*($L$2:$L$1300=0)*($K$2:$K$1300&gt;0))&gt;0,"INCOMPLETE","MISSING"),O681)</f>
        <v>MISSING</v>
      </c>
      <c r="P1191" s="193" t="str">
        <f>INDEX(_TARGETS!$K$2:$K$17,MATCH($C1191,_TARGETS!$A$2:$A$17,0))</f>
        <v>OPS (carga manual en Datos)</v>
      </c>
      <c r="Q1191" s="193" t="str">
        <f t="shared" si="121"/>
        <v>202904|HCS|YTD</v>
      </c>
      <c r="R1191" s="193" t="str">
        <f>INDEX(_TARGETS!$H$2:$H$17,MATCH($C1191,_TARGETS!$A$2:$A$17,0))</f>
        <v>Definida</v>
      </c>
      <c r="S1191" s="193" t="str">
        <f t="shared" si="122"/>
        <v/>
      </c>
      <c r="T1191" s="193" t="str">
        <f t="shared" si="123"/>
        <v/>
      </c>
    </row>
    <row r="1192" spans="1:20" ht="14.25" customHeight="1" x14ac:dyDescent="0.3">
      <c r="A1192" s="249">
        <f>KPIs!$AJ$3</f>
        <v>47209</v>
      </c>
      <c r="B1192" s="193" t="str">
        <f>KPIs!AJ$4</f>
        <v>Compresora</v>
      </c>
      <c r="C1192" t="s">
        <v>83</v>
      </c>
      <c r="D1192" s="193" t="str">
        <f>KPIs!$A$44</f>
        <v>10 · Cumplimiento de simulacros (emergencia y operativos) · YTD</v>
      </c>
      <c r="E1192" t="s">
        <v>601</v>
      </c>
      <c r="F1192" s="193" t="str">
        <f>IF(ISNUMBER(KPIs!AJ44),KPIs!AJ44,"")</f>
        <v/>
      </c>
      <c r="G1192" s="253">
        <f>IF(ISNUMBER(KPIs!$C$44),KPIs!$C$44,"")</f>
        <v>1</v>
      </c>
      <c r="H1192" s="193" t="str">
        <f>IFERROR(INDEX(_TARGETS!$E$2:$E$17,MATCH($C1192,_TARGETS!$A$2:$A$17,0))&amp;"","")</f>
        <v>≥</v>
      </c>
      <c r="I1192" s="193" t="str">
        <f t="shared" si="119"/>
        <v/>
      </c>
      <c r="J1192" s="193" t="str">
        <f t="shared" si="120"/>
        <v>YTD</v>
      </c>
      <c r="K1192" s="193">
        <f>SUMIFS(Datos!$D$20:$AL$20,Datos!$D$3:$AL$3,"&gt;="&amp;DATE(YEAR(Datos!AJ$3),1,1),Datos!$D$3:$AL$3,"&lt;="&amp;Datos!AJ$3)</f>
        <v>0</v>
      </c>
      <c r="L1192" s="193">
        <f>SUMIFS(Datos!$D$21:$AL$21,Datos!$D$3:$AL$3,"&gt;="&amp;DATE(YEAR(Datos!AJ$3),1,1),Datos!$D$3:$AL$3,"&lt;="&amp;Datos!AJ$3)</f>
        <v>0</v>
      </c>
      <c r="M1192" s="193">
        <f>INDEX(_TARGETS!$J$2:$J$17,MATCH($C1192,_TARGETS!$A$2:$A$17,0))</f>
        <v>1</v>
      </c>
      <c r="N1192" s="193" t="str">
        <f>INDEX(_TARGETS!$D$2:$D$17,MATCH($C1192,_TARGETS!$A$2:$A$17,0))</f>
        <v>% (fracción)</v>
      </c>
      <c r="O1192" s="193" t="str">
        <f>IF(NOT(ISNUMBER(F1192)),IF(SUMPRODUCT(($C$2:$C$1300=C1192)*($J$2:$J$1300="Monthly")*($A$2:$A$1300&lt;=A1192)*(YEAR($A$2:$A$1300)=YEAR(A1192))*ISNUMBER($K$2:$K$1300)*ISNUMBER($L$2:$L$1300)*($L$2:$L$1300=0)*($K$2:$K$1300&gt;0))&gt;0,"INCOMPLETE","MISSING"),O683)</f>
        <v>MISSING</v>
      </c>
      <c r="P1192" s="193" t="str">
        <f>INDEX(_TARGETS!$K$2:$K$17,MATCH($C1192,_TARGETS!$A$2:$A$17,0))</f>
        <v>OPS (carga manual en Datos)</v>
      </c>
      <c r="Q1192" s="193" t="str">
        <f t="shared" si="121"/>
        <v>202904|CPSE|YTD</v>
      </c>
      <c r="R1192" s="193" t="str">
        <f>INDEX(_TARGETS!$H$2:$H$17,MATCH($C1192,_TARGETS!$A$2:$A$17,0))</f>
        <v>Definida</v>
      </c>
      <c r="S1192" s="193" t="str">
        <f t="shared" si="122"/>
        <v/>
      </c>
      <c r="T1192" s="193" t="str">
        <f t="shared" si="123"/>
        <v/>
      </c>
    </row>
    <row r="1193" spans="1:20" ht="14.25" customHeight="1" x14ac:dyDescent="0.3">
      <c r="A1193" s="249">
        <f>KPIs!$AJ$3</f>
        <v>47209</v>
      </c>
      <c r="B1193" s="193" t="str">
        <f>KPIs!AJ$4</f>
        <v>Compresora</v>
      </c>
      <c r="C1193" t="s">
        <v>85</v>
      </c>
      <c r="D1193" s="193" t="str">
        <f>KPIs!$A$45</f>
        <v>10b · Cumplimiento de acciones de mejora de simulacros · YTD</v>
      </c>
      <c r="E1193" t="s">
        <v>601</v>
      </c>
      <c r="F1193" s="193" t="str">
        <f>IF(ISNUMBER(KPIs!AJ45),KPIs!AJ45,"")</f>
        <v/>
      </c>
      <c r="G1193" s="254" t="str">
        <f>IF(ISNUMBER(KPIs!$C$45),KPIs!$C$45,"")</f>
        <v/>
      </c>
      <c r="H1193" s="193" t="str">
        <f>IFERROR(INDEX(_TARGETS!$E$2:$E$17,MATCH($C1193,_TARGETS!$A$2:$A$17,0))&amp;"","")</f>
        <v/>
      </c>
      <c r="I1193" s="193" t="str">
        <f t="shared" si="119"/>
        <v/>
      </c>
      <c r="J1193" s="193" t="str">
        <f t="shared" si="120"/>
        <v>YTD</v>
      </c>
      <c r="K1193" s="193">
        <f>SUMIFS(Datos!$D$23:$AL$23,Datos!$D$3:$AL$3,"&gt;="&amp;DATE(YEAR(Datos!AJ$3),1,1),Datos!$D$3:$AL$3,"&lt;="&amp;Datos!AJ$3)</f>
        <v>0</v>
      </c>
      <c r="L1193" s="193">
        <f>SUMIFS(Datos!$D$22:$AL$22,Datos!$D$3:$AL$3,"&gt;="&amp;DATE(YEAR(Datos!AJ$3),1,1),Datos!$D$3:$AL$3,"&lt;="&amp;Datos!AJ$3)</f>
        <v>0</v>
      </c>
      <c r="M1193" s="193">
        <f>INDEX(_TARGETS!$J$2:$J$17,MATCH($C1193,_TARGETS!$A$2:$A$17,0))</f>
        <v>1</v>
      </c>
      <c r="N1193" s="193" t="str">
        <f>INDEX(_TARGETS!$D$2:$D$17,MATCH($C1193,_TARGETS!$A$2:$A$17,0))</f>
        <v>% (fracción)</v>
      </c>
      <c r="O1193" s="193" t="str">
        <f>IF(NOT(ISNUMBER(F1193)),IF(SUMPRODUCT(($C$2:$C$1300=C1193)*($J$2:$J$1300="Monthly")*($A$2:$A$1300&lt;=A1193)*(YEAR($A$2:$A$1300)=YEAR(A1193))*ISNUMBER($K$2:$K$1300)*ISNUMBER($L$2:$L$1300)*($L$2:$L$1300=0)*($K$2:$K$1300&gt;0))&gt;0,"INCOMPLETE","MISSING"),O684)</f>
        <v>MISSING</v>
      </c>
      <c r="P1193" s="193" t="str">
        <f>INDEX(_TARGETS!$K$2:$K$17,MATCH($C1193,_TARGETS!$A$2:$A$17,0))</f>
        <v>OPS (carga manual en Datos)</v>
      </c>
      <c r="Q1193" s="193" t="str">
        <f t="shared" si="121"/>
        <v>202904|CAMS|YTD</v>
      </c>
      <c r="R1193" s="193" t="str">
        <f>INDEX(_TARGETS!$H$2:$H$17,MATCH($C1193,_TARGETS!$A$2:$A$17,0))</f>
        <v>Solo reporte</v>
      </c>
      <c r="S1193" s="193" t="str">
        <f t="shared" si="122"/>
        <v/>
      </c>
      <c r="T1193" s="193" t="str">
        <f t="shared" si="123"/>
        <v/>
      </c>
    </row>
    <row r="1194" spans="1:20" ht="14.25" customHeight="1" x14ac:dyDescent="0.3">
      <c r="A1194" s="249">
        <f>KPIs!$AJ$3</f>
        <v>47209</v>
      </c>
      <c r="B1194" s="193" t="str">
        <f>KPIs!AJ$4</f>
        <v>Compresora</v>
      </c>
      <c r="C1194" t="s">
        <v>87</v>
      </c>
      <c r="D1194" s="193" t="str">
        <f>KPIs!$A$46</f>
        <v>11 · Cumplimiento de caminatas gerenciales · YTD</v>
      </c>
      <c r="E1194" t="s">
        <v>601</v>
      </c>
      <c r="F1194" s="193" t="str">
        <f>IF(ISNUMBER(KPIs!AJ46),KPIs!AJ46,"")</f>
        <v/>
      </c>
      <c r="G1194" s="254">
        <f>IF(ISNUMBER(KPIs!$C$46),KPIs!$C$46,"")</f>
        <v>1</v>
      </c>
      <c r="H1194" s="193" t="str">
        <f>IFERROR(INDEX(_TARGETS!$E$2:$E$17,MATCH($C1194,_TARGETS!$A$2:$A$17,0))&amp;"","")</f>
        <v>≥</v>
      </c>
      <c r="I1194" s="193" t="str">
        <f t="shared" si="119"/>
        <v/>
      </c>
      <c r="J1194" s="193" t="str">
        <f t="shared" si="120"/>
        <v>YTD</v>
      </c>
      <c r="K1194" s="193">
        <f>SUMIFS(Datos!$D$24:$AL$24,Datos!$D$3:$AL$3,"&gt;="&amp;DATE(YEAR(Datos!AJ$3),1,1),Datos!$D$3:$AL$3,"&lt;="&amp;Datos!AJ$3)</f>
        <v>0</v>
      </c>
      <c r="L1194" s="193">
        <f>SUMIFS(Datos!$D$25:$AL$25,Datos!$D$3:$AL$3,"&gt;="&amp;DATE(YEAR(Datos!AJ$3),1,1),Datos!$D$3:$AL$3,"&lt;="&amp;Datos!AJ$3)</f>
        <v>0</v>
      </c>
      <c r="M1194" s="193">
        <f>INDEX(_TARGETS!$J$2:$J$17,MATCH($C1194,_TARGETS!$A$2:$A$17,0))</f>
        <v>1</v>
      </c>
      <c r="N1194" s="193" t="str">
        <f>INDEX(_TARGETS!$D$2:$D$17,MATCH($C1194,_TARGETS!$A$2:$A$17,0))</f>
        <v>% (fracción)</v>
      </c>
      <c r="O1194" s="193" t="str">
        <f>IF(NOT(ISNUMBER(F1194)),IF(SUMPRODUCT(($C$2:$C$1300=C1194)*($J$2:$J$1300="Monthly")*($A$2:$A$1300&lt;=A1194)*(YEAR($A$2:$A$1300)=YEAR(A1194))*ISNUMBER($K$2:$K$1300)*ISNUMBER($L$2:$L$1300)*($L$2:$L$1300=0)*($K$2:$K$1300&gt;0))&gt;0,"INCOMPLETE","MISSING"),O685)</f>
        <v>MISSING</v>
      </c>
      <c r="P1194" s="193" t="str">
        <f>INDEX(_TARGETS!$K$2:$K$17,MATCH($C1194,_TARGETS!$A$2:$A$17,0))</f>
        <v>OPS (carga manual en Datos)</v>
      </c>
      <c r="Q1194" s="193" t="str">
        <f t="shared" si="121"/>
        <v>202904|ICCS|YTD</v>
      </c>
      <c r="R1194" s="193" t="str">
        <f>INDEX(_TARGETS!$H$2:$H$17,MATCH($C1194,_TARGETS!$A$2:$A$17,0))</f>
        <v>Definida</v>
      </c>
      <c r="S1194" s="193" t="str">
        <f t="shared" si="122"/>
        <v/>
      </c>
      <c r="T1194" s="193" t="str">
        <f t="shared" si="123"/>
        <v/>
      </c>
    </row>
    <row r="1195" spans="1:20" ht="14.25" customHeight="1" x14ac:dyDescent="0.3">
      <c r="A1195" s="249">
        <f>KPIs!$AJ$3</f>
        <v>47209</v>
      </c>
      <c r="B1195" s="193" t="str">
        <f>KPIs!AJ$4</f>
        <v>Compresora</v>
      </c>
      <c r="C1195" t="s">
        <v>89</v>
      </c>
      <c r="D1195" s="193" t="str">
        <f>KPIs!$A$47</f>
        <v>12 · Cumplimiento de comités y subcomités de seguridad · YTD</v>
      </c>
      <c r="E1195" t="s">
        <v>601</v>
      </c>
      <c r="F1195" s="193" t="str">
        <f>IF(ISNUMBER(KPIs!AJ47),KPIs!AJ47,"")</f>
        <v/>
      </c>
      <c r="G1195" s="254">
        <f>IF(ISNUMBER(KPIs!$C$47),KPIs!$C$47,"")</f>
        <v>1</v>
      </c>
      <c r="H1195" s="193" t="str">
        <f>IFERROR(INDEX(_TARGETS!$E$2:$E$17,MATCH($C1195,_TARGETS!$A$2:$A$17,0))&amp;"","")</f>
        <v>≥</v>
      </c>
      <c r="I1195" s="193" t="str">
        <f t="shared" si="119"/>
        <v/>
      </c>
      <c r="J1195" s="193" t="str">
        <f t="shared" si="120"/>
        <v>YTD</v>
      </c>
      <c r="K1195" s="193">
        <f>SUMIFS(Datos!$D$26:$AL$26,Datos!$D$3:$AL$3,"&gt;="&amp;DATE(YEAR(Datos!AJ$3),1,1),Datos!$D$3:$AL$3,"&lt;="&amp;Datos!AJ$3)</f>
        <v>0</v>
      </c>
      <c r="L1195" s="193">
        <f>SUMIFS(Datos!$D$27:$AL$27,Datos!$D$3:$AL$3,"&gt;="&amp;DATE(YEAR(Datos!AJ$3),1,1),Datos!$D$3:$AL$3,"&lt;="&amp;Datos!AJ$3)</f>
        <v>0</v>
      </c>
      <c r="M1195" s="193">
        <f>INDEX(_TARGETS!$J$2:$J$17,MATCH($C1195,_TARGETS!$A$2:$A$17,0))</f>
        <v>1</v>
      </c>
      <c r="N1195" s="193" t="str">
        <f>INDEX(_TARGETS!$D$2:$D$17,MATCH($C1195,_TARGETS!$A$2:$A$17,0))</f>
        <v>% (fracción)</v>
      </c>
      <c r="O1195" s="193" t="str">
        <f>IF(NOT(ISNUMBER(F1195)),IF(SUMPRODUCT(($C$2:$C$1300=C1195)*($J$2:$J$1300="Monthly")*($A$2:$A$1300&lt;=A1195)*(YEAR($A$2:$A$1300)=YEAR(A1195))*ISNUMBER($K$2:$K$1300)*ISNUMBER($L$2:$L$1300)*($L$2:$L$1300=0)*($K$2:$K$1300&gt;0))&gt;0,"INCOMPLETE","MISSING"),O686)</f>
        <v>MISSING</v>
      </c>
      <c r="P1195" s="193" t="str">
        <f>INDEX(_TARGETS!$K$2:$K$17,MATCH($C1195,_TARGETS!$A$2:$A$17,0))</f>
        <v>OPS (carga manual en Datos)</v>
      </c>
      <c r="Q1195" s="193" t="str">
        <f t="shared" si="121"/>
        <v>202904|CCS|YTD</v>
      </c>
      <c r="R1195" s="193" t="str">
        <f>INDEX(_TARGETS!$H$2:$H$17,MATCH($C1195,_TARGETS!$A$2:$A$17,0))</f>
        <v>Definida</v>
      </c>
      <c r="S1195" s="193" t="str">
        <f t="shared" si="122"/>
        <v/>
      </c>
      <c r="T1195" s="193" t="str">
        <f t="shared" si="123"/>
        <v/>
      </c>
    </row>
    <row r="1196" spans="1:20" ht="14.25" customHeight="1" x14ac:dyDescent="0.3">
      <c r="A1196" s="249">
        <f>KPIs!$AJ$3</f>
        <v>47209</v>
      </c>
      <c r="B1196" s="193" t="str">
        <f>KPIs!AJ$4</f>
        <v>Compresora</v>
      </c>
      <c r="C1196" t="s">
        <v>91</v>
      </c>
      <c r="D1196" s="193" t="str">
        <f>KPIs!$A$48</f>
        <v>13 · Días promedio para cerrar hallazgos · YTD</v>
      </c>
      <c r="E1196" t="s">
        <v>601</v>
      </c>
      <c r="F1196" s="251" t="str">
        <f>IF(ISNUMBER(KPIs!AJ48),KPIs!AJ48,"")</f>
        <v/>
      </c>
      <c r="G1196" s="193" t="str">
        <f>IF(ISNUMBER(KPIs!$C$48),KPIs!$C$48,"")</f>
        <v/>
      </c>
      <c r="H1196" s="193" t="str">
        <f>IFERROR(INDEX(_TARGETS!$E$2:$E$17,MATCH($C1196,_TARGETS!$A$2:$A$17,0))&amp;"","")</f>
        <v>≤</v>
      </c>
      <c r="I1196" s="193" t="str">
        <f t="shared" si="119"/>
        <v/>
      </c>
      <c r="J1196" s="193" t="str">
        <f t="shared" si="120"/>
        <v>YTD</v>
      </c>
      <c r="K1196" s="193">
        <f>SUMIFS(Datos!$D$68:$AL$68,Datos!$D$3:$AL$3,"&gt;="&amp;DATE(YEAR(Datos!AJ$3),1,1),Datos!$D$3:$AL$3,"&lt;="&amp;Datos!AJ$3)</f>
        <v>0</v>
      </c>
      <c r="L1196" s="193">
        <f>SUMIFS(Datos!$D$67:$AL$67,Datos!$D$3:$AL$3,"&gt;="&amp;DATE(YEAR(Datos!AJ$3),1,1),Datos!$D$3:$AL$3,"&lt;="&amp;Datos!AJ$3)</f>
        <v>0</v>
      </c>
      <c r="M1196" s="193">
        <f>INDEX(_TARGETS!$J$2:$J$17,MATCH($C1196,_TARGETS!$A$2:$A$17,0))</f>
        <v>1</v>
      </c>
      <c r="N1196" s="193" t="str">
        <f>INDEX(_TARGETS!$D$2:$D$17,MATCH($C1196,_TARGETS!$A$2:$A$17,0))</f>
        <v>días</v>
      </c>
      <c r="O1196" s="193" t="str">
        <f>IF(NOT(ISNUMBER(F1196)),IF(SUMPRODUCT(($C$2:$C$1300=C1196)*($J$2:$J$1300="Monthly")*($A$2:$A$1300&lt;=A1196)*(YEAR($A$2:$A$1300)=YEAR(A1196))*ISNUMBER($K$2:$K$1300)*ISNUMBER($L$2:$L$1300)*($L$2:$L$1300=0)*($K$2:$K$1300&gt;0))&gt;0,"INCOMPLETE","MISSING"),O687)</f>
        <v>MISSING</v>
      </c>
      <c r="P1196" s="193" t="str">
        <f>INDEX(_TARGETS!$K$2:$K$17,MATCH($C1196,_TARGETS!$A$2:$A$17,0))</f>
        <v>Plant Findings (hoja Observaciones-SMP)</v>
      </c>
      <c r="Q1196" s="193" t="str">
        <f t="shared" si="121"/>
        <v>202904|DPAS|YTD</v>
      </c>
      <c r="R1196" s="193" t="str">
        <f>INDEX(_TARGETS!$H$2:$H$17,MATCH($C1196,_TARGETS!$A$2:$A$17,0))</f>
        <v>Pendiente (meta 2027)</v>
      </c>
      <c r="S1196" s="193" t="str">
        <f t="shared" si="122"/>
        <v/>
      </c>
      <c r="T1196" s="193" t="str">
        <f t="shared" si="123"/>
        <v/>
      </c>
    </row>
    <row r="1197" spans="1:20" ht="14.25" customHeight="1" x14ac:dyDescent="0.3">
      <c r="A1197" s="249">
        <f>KPIs!$AJ$3</f>
        <v>47209</v>
      </c>
      <c r="B1197" s="193" t="str">
        <f>KPIs!AJ$4</f>
        <v>Compresora</v>
      </c>
      <c r="C1197" t="s">
        <v>96</v>
      </c>
      <c r="D1197" s="193" t="str">
        <f>KPIs!$A$49</f>
        <v>C1 · % de desvíos detectados de gravedad Alta · YTD</v>
      </c>
      <c r="E1197" t="s">
        <v>601</v>
      </c>
      <c r="F1197" s="193" t="str">
        <f>IF(ISNUMBER(KPIs!AJ49),KPIs!AJ49,"")</f>
        <v/>
      </c>
      <c r="G1197" s="193" t="str">
        <f>IF(ISNUMBER(KPIs!$C$49),KPIs!$C$49,"")</f>
        <v/>
      </c>
      <c r="H1197" s="193" t="str">
        <f>IFERROR(INDEX(_TARGETS!$E$2:$E$17,MATCH($C1197,_TARGETS!$A$2:$A$17,0))&amp;"","")</f>
        <v/>
      </c>
      <c r="I1197" s="193" t="str">
        <f t="shared" si="119"/>
        <v/>
      </c>
      <c r="J1197" s="193" t="str">
        <f t="shared" si="120"/>
        <v>YTD</v>
      </c>
      <c r="K1197" s="193">
        <f>SUMIFS(Datos!$D$71:$AL$71,Datos!$D$3:$AL$3,"&gt;="&amp;DATE(YEAR(Datos!AJ$3),1,1),Datos!$D$3:$AL$3,"&lt;="&amp;Datos!AJ$3)</f>
        <v>0</v>
      </c>
      <c r="L1197" s="193">
        <f>SUMIFS(Datos!$D$71:$AL$71,Datos!$D$3:$AL$3,"&gt;="&amp;DATE(YEAR(Datos!AJ$3),1,1),Datos!$D$3:$AL$3,"&lt;="&amp;Datos!AJ$3)+SUMIFS(Datos!$D$72:$AL$72,Datos!$D$3:$AL$3,"&gt;="&amp;DATE(YEAR(Datos!AJ$3),1,1),Datos!$D$3:$AL$3,"&lt;="&amp;Datos!AJ$3)+SUMIFS(Datos!$D$73:$AL$73,Datos!$D$3:$AL$3,"&gt;="&amp;DATE(YEAR(Datos!AJ$3),1,1),Datos!$D$3:$AL$3,"&lt;="&amp;Datos!AJ$3)</f>
        <v>0</v>
      </c>
      <c r="M1197" s="193">
        <f>INDEX(_TARGETS!$J$2:$J$17,MATCH($C1197,_TARGETS!$A$2:$A$17,0))</f>
        <v>1</v>
      </c>
      <c r="N1197" s="193" t="str">
        <f>INDEX(_TARGETS!$D$2:$D$17,MATCH($C1197,_TARGETS!$A$2:$A$17,0))</f>
        <v>% (fracción)</v>
      </c>
      <c r="O1197" s="193" t="str">
        <f t="shared" ref="O1197:O1203" si="127">IF(NOT(ISNUMBER(F1197)),IF(SUMPRODUCT(($C$2:$C$1300=C1197)*($J$2:$J$1300="Monthly")*($A$2:$A$1300&lt;=A1197)*(YEAR($A$2:$A$1300)=YEAR(A1197))*ISNUMBER($K$2:$K$1300)*ISNUMBER($L$2:$L$1300)*($L$2:$L$1300=0)*($K$2:$K$1300&gt;0))&gt;0,"INCOMPLETE","MISSING"),O693)</f>
        <v>MISSING</v>
      </c>
      <c r="P1197" s="193" t="str">
        <f>INDEX(_TARGETS!$K$2:$K$17,MATCH($C1197,_TARGETS!$A$2:$A$17,0))</f>
        <v>Plant Findings (hoja Observaciones-SMP)</v>
      </c>
      <c r="Q1197" s="193" t="str">
        <f t="shared" si="121"/>
        <v>202904|HAL_ALTA_PCT|YTD</v>
      </c>
      <c r="R1197" s="193" t="str">
        <f>INDEX(_TARGETS!$H$2:$H$17,MATCH($C1197,_TARGETS!$A$2:$A$17,0))</f>
        <v>Solo reporte</v>
      </c>
      <c r="S1197" s="193" t="str">
        <f t="shared" si="122"/>
        <v/>
      </c>
      <c r="T1197" s="193" t="str">
        <f t="shared" si="123"/>
        <v/>
      </c>
    </row>
    <row r="1198" spans="1:20" ht="14.25" customHeight="1" x14ac:dyDescent="0.3">
      <c r="A1198" s="249">
        <f>KPIs!$AJ$3</f>
        <v>47209</v>
      </c>
      <c r="B1198" s="193" t="str">
        <f>KPIs!AJ$4</f>
        <v>Compresora</v>
      </c>
      <c r="C1198" t="s">
        <v>98</v>
      </c>
      <c r="D1198" s="193" t="str">
        <f>KPIs!$A$50</f>
        <v>C2 · Detenciones de tareas aplicadas · YTD</v>
      </c>
      <c r="E1198" t="s">
        <v>601</v>
      </c>
      <c r="F1198" s="193" t="str">
        <f>IF(ISNUMBER(KPIs!AJ50),KPIs!AJ50,"")</f>
        <v/>
      </c>
      <c r="G1198" s="193" t="str">
        <f>IF(ISNUMBER(KPIs!$C$50),KPIs!$C$50,"")</f>
        <v/>
      </c>
      <c r="H1198" s="193" t="str">
        <f>IFERROR(INDEX(_TARGETS!$E$2:$E$17,MATCH($C1198,_TARGETS!$A$2:$A$17,0))&amp;"","")</f>
        <v/>
      </c>
      <c r="I1198" s="193" t="str">
        <f t="shared" si="119"/>
        <v/>
      </c>
      <c r="J1198" s="193" t="str">
        <f t="shared" si="120"/>
        <v>YTD</v>
      </c>
      <c r="K1198" s="193">
        <f>SUMIFS(Datos!$D$75:$AL$75,Datos!$D$3:$AL$3,"&gt;="&amp;DATE(YEAR(Datos!AJ$3),1,1),Datos!$D$3:$AL$3,"&lt;="&amp;Datos!AJ$3)</f>
        <v>0</v>
      </c>
      <c r="M1198" s="193">
        <f>INDEX(_TARGETS!$J$2:$J$17,MATCH($C1198,_TARGETS!$A$2:$A$17,0))</f>
        <v>1</v>
      </c>
      <c r="N1198" s="193" t="str">
        <f>INDEX(_TARGETS!$D$2:$D$17,MATCH($C1198,_TARGETS!$A$2:$A$17,0))</f>
        <v>u</v>
      </c>
      <c r="O1198" s="193" t="str">
        <f t="shared" si="127"/>
        <v>MISSING</v>
      </c>
      <c r="P1198" s="193" t="str">
        <f>INDEX(_TARGETS!$K$2:$K$17,MATCH($C1198,_TARGETS!$A$2:$A$17,0))</f>
        <v>Plant Findings (hoja Observaciones-SMP)</v>
      </c>
      <c r="Q1198" s="193" t="str">
        <f t="shared" si="121"/>
        <v>202904|DET|YTD</v>
      </c>
      <c r="R1198" s="193" t="str">
        <f>INDEX(_TARGETS!$H$2:$H$17,MATCH($C1198,_TARGETS!$A$2:$A$17,0))</f>
        <v>Solo reporte</v>
      </c>
      <c r="S1198" s="193">
        <f t="shared" si="122"/>
        <v>0</v>
      </c>
      <c r="T1198" s="193" t="str">
        <f t="shared" si="123"/>
        <v/>
      </c>
    </row>
    <row r="1199" spans="1:20" ht="14.25" customHeight="1" x14ac:dyDescent="0.3">
      <c r="A1199" s="249">
        <f>KPIs!$AK$3</f>
        <v>47239</v>
      </c>
      <c r="B1199" s="193" t="str">
        <f>KPIs!AK$4</f>
        <v>Compresora</v>
      </c>
      <c r="C1199" t="s">
        <v>39</v>
      </c>
      <c r="D1199" s="193" t="str">
        <f>KPIs!$A$37</f>
        <v>1 · Frecuencia de casos con días perdidos · YTD</v>
      </c>
      <c r="E1199" t="s">
        <v>601</v>
      </c>
      <c r="F1199" s="193" t="str">
        <f>IF(ISNUMBER(KPIs!AK37),KPIs!AK37,"")</f>
        <v/>
      </c>
      <c r="G1199" s="250">
        <f>IF(ISNUMBER(KPIs!$C$37),KPIs!$C$37,"")</f>
        <v>0</v>
      </c>
      <c r="H1199" s="193" t="str">
        <f>IFERROR(INDEX(_TARGETS!$E$2:$E$17,MATCH($C1199,_TARGETS!$A$2:$A$17,0))&amp;"","")</f>
        <v>≤</v>
      </c>
      <c r="I1199" s="193" t="str">
        <f t="shared" si="119"/>
        <v/>
      </c>
      <c r="J1199" s="193" t="str">
        <f t="shared" si="120"/>
        <v>YTD</v>
      </c>
      <c r="K1199" s="193">
        <f>SUMIFS(Datos!$D$33:$AL$33,Datos!$D$3:$AL$3,"&gt;="&amp;DATE(YEAR(Datos!AK$3),1,1),Datos!$D$3:$AL$3,"&lt;="&amp;Datos!AK$3)</f>
        <v>0</v>
      </c>
      <c r="L1199" s="193">
        <f>SUMIFS(Datos!$D$14:$AL$14,Datos!$D$3:$AL$3,"&gt;="&amp;DATE(YEAR(Datos!AK$3),1,1),Datos!$D$3:$AL$3,"&lt;="&amp;Datos!AK$3)</f>
        <v>0</v>
      </c>
      <c r="M1199" s="193">
        <f>INDEX(_TARGETS!$J$2:$J$17,MATCH($C1199,_TARGETS!$A$2:$A$17,0))</f>
        <v>1000000</v>
      </c>
      <c r="N1199" s="193" t="str">
        <f>INDEX(_TARGETS!$D$2:$D$17,MATCH($C1199,_TARGETS!$A$2:$A$17,0))</f>
        <v>casos / 10^6 HH</v>
      </c>
      <c r="O1199" s="193" t="str">
        <f t="shared" si="127"/>
        <v>MISSING</v>
      </c>
      <c r="P1199" s="193" t="str">
        <f>INDEX(_TARGETS!$K$2:$K$17,MATCH($C1199,_TARGETS!$A$2:$A$17,0))</f>
        <v>OPS (carga manual en Datos)</v>
      </c>
      <c r="Q1199" s="193" t="str">
        <f t="shared" si="121"/>
        <v>202905|DAFWCF|YTD</v>
      </c>
      <c r="R1199" s="193" t="str">
        <f>INDEX(_TARGETS!$H$2:$H$17,MATCH($C1199,_TARGETS!$A$2:$A$17,0))</f>
        <v>Definida</v>
      </c>
      <c r="S1199" s="193" t="str">
        <f t="shared" si="122"/>
        <v/>
      </c>
      <c r="T1199" s="193" t="str">
        <f t="shared" si="123"/>
        <v/>
      </c>
    </row>
    <row r="1200" spans="1:20" ht="14.25" customHeight="1" x14ac:dyDescent="0.3">
      <c r="A1200" s="249">
        <f>KPIs!$AK$3</f>
        <v>47239</v>
      </c>
      <c r="B1200" s="193" t="str">
        <f>KPIs!AK$4</f>
        <v>Compresora</v>
      </c>
      <c r="C1200" t="s">
        <v>49</v>
      </c>
      <c r="D1200" s="193" t="str">
        <f>KPIs!$A$38</f>
        <v>2 · Frecuencia de casos registrables · YTD</v>
      </c>
      <c r="E1200" t="s">
        <v>601</v>
      </c>
      <c r="F1200" s="193" t="str">
        <f>IF(ISNUMBER(KPIs!AK38),KPIs!AK38,"")</f>
        <v/>
      </c>
      <c r="G1200" s="250">
        <f>IF(ISNUMBER(KPIs!$C$38),KPIs!$C$38,"")</f>
        <v>2.35</v>
      </c>
      <c r="H1200" s="193" t="str">
        <f>IFERROR(INDEX(_TARGETS!$E$2:$E$17,MATCH($C1200,_TARGETS!$A$2:$A$17,0))&amp;"","")</f>
        <v>≤</v>
      </c>
      <c r="I1200" s="193" t="str">
        <f t="shared" si="119"/>
        <v/>
      </c>
      <c r="J1200" s="193" t="str">
        <f t="shared" si="120"/>
        <v>YTD</v>
      </c>
      <c r="K1200" s="193">
        <f>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f>
        <v>0</v>
      </c>
      <c r="L1200" s="193">
        <f>SUMIFS(Datos!$D$14:$AL$14,Datos!$D$3:$AL$3,"&gt;="&amp;DATE(YEAR(Datos!AK$3),1,1),Datos!$D$3:$AL$3,"&lt;="&amp;Datos!AK$3)</f>
        <v>0</v>
      </c>
      <c r="M1200" s="193">
        <f>INDEX(_TARGETS!$J$2:$J$17,MATCH($C1200,_TARGETS!$A$2:$A$17,0))</f>
        <v>1000000</v>
      </c>
      <c r="N1200" s="193" t="str">
        <f>INDEX(_TARGETS!$D$2:$D$17,MATCH($C1200,_TARGETS!$A$2:$A$17,0))</f>
        <v>casos / 10^6 HH</v>
      </c>
      <c r="O1200" s="193" t="str">
        <f t="shared" si="127"/>
        <v>MISSING</v>
      </c>
      <c r="P1200" s="193" t="str">
        <f>INDEX(_TARGETS!$K$2:$K$17,MATCH($C1200,_TARGETS!$A$2:$A$17,0))</f>
        <v>OPS (carga manual en Datos)</v>
      </c>
      <c r="Q1200" s="193" t="str">
        <f t="shared" si="121"/>
        <v>202905|TRICF|YTD</v>
      </c>
      <c r="R1200" s="193" t="str">
        <f>INDEX(_TARGETS!$H$2:$H$17,MATCH($C1200,_TARGETS!$A$2:$A$17,0))</f>
        <v>Definida</v>
      </c>
      <c r="S1200" s="193" t="str">
        <f t="shared" si="122"/>
        <v/>
      </c>
      <c r="T1200" s="193" t="str">
        <f t="shared" si="123"/>
        <v/>
      </c>
    </row>
    <row r="1201" spans="1:20" ht="14.25" customHeight="1" x14ac:dyDescent="0.3">
      <c r="A1201" s="249">
        <f>KPIs!$AK$3</f>
        <v>47239</v>
      </c>
      <c r="B1201" s="193" t="str">
        <f>KPIs!AK$4</f>
        <v>Compresora</v>
      </c>
      <c r="C1201" t="s">
        <v>51</v>
      </c>
      <c r="D1201" s="193" t="str">
        <f>KPIs!$A$39</f>
        <v>3 · Casos de primeros auxilios · YTD</v>
      </c>
      <c r="E1201" t="s">
        <v>601</v>
      </c>
      <c r="F1201" s="193" t="str">
        <f>IF(ISNUMBER(KPIs!AK39),KPIs!AK39,"")</f>
        <v/>
      </c>
      <c r="G1201" s="193" t="str">
        <f>IF(ISNUMBER(KPIs!$C$39),KPIs!$C$39,"")</f>
        <v/>
      </c>
      <c r="H1201" s="193" t="str">
        <f>IFERROR(INDEX(_TARGETS!$E$2:$E$17,MATCH($C1201,_TARGETS!$A$2:$A$17,0))&amp;"","")</f>
        <v/>
      </c>
      <c r="I1201" s="193" t="str">
        <f t="shared" si="119"/>
        <v/>
      </c>
      <c r="J1201" s="193" t="str">
        <f t="shared" si="120"/>
        <v>YTD</v>
      </c>
      <c r="K1201" s="193">
        <f>SUMIFS(Datos!$D$37:$AL$37,Datos!$D$3:$AL$3,"&gt;="&amp;DATE(YEAR(Datos!AK$3),1,1),Datos!$D$3:$AL$3,"&lt;="&amp;Datos!AK$3)</f>
        <v>0</v>
      </c>
      <c r="M1201" s="193">
        <f>INDEX(_TARGETS!$J$2:$J$17,MATCH($C1201,_TARGETS!$A$2:$A$17,0))</f>
        <v>1</v>
      </c>
      <c r="N1201" s="193" t="str">
        <f>INDEX(_TARGETS!$D$2:$D$17,MATCH($C1201,_TARGETS!$A$2:$A$17,0))</f>
        <v>casos</v>
      </c>
      <c r="O1201" s="193" t="str">
        <f t="shared" si="127"/>
        <v>MISSING</v>
      </c>
      <c r="P1201" s="193" t="str">
        <f>INDEX(_TARGETS!$K$2:$K$17,MATCH($C1201,_TARGETS!$A$2:$A$17,0))</f>
        <v>OPS (carga manual en Datos)</v>
      </c>
      <c r="Q1201" s="193" t="str">
        <f t="shared" si="121"/>
        <v>202905|FAC|YTD</v>
      </c>
      <c r="R1201" s="193" t="str">
        <f>INDEX(_TARGETS!$H$2:$H$17,MATCH($C1201,_TARGETS!$A$2:$A$17,0))</f>
        <v>Solo reporte</v>
      </c>
      <c r="S1201" s="193">
        <f t="shared" si="122"/>
        <v>0</v>
      </c>
      <c r="T1201" s="193" t="str">
        <f t="shared" si="123"/>
        <v/>
      </c>
    </row>
    <row r="1202" spans="1:20" ht="14.25" customHeight="1" x14ac:dyDescent="0.3">
      <c r="A1202" s="249">
        <f>KPIs!$AK$3</f>
        <v>47239</v>
      </c>
      <c r="B1202" s="193" t="str">
        <f>KPIs!AK$4</f>
        <v>Compresora</v>
      </c>
      <c r="C1202" t="s">
        <v>57</v>
      </c>
      <c r="D1202" s="193" t="str">
        <f>KPIs!$A$40</f>
        <v>4 · Accidentes vehiculares severos por millón de km · YTD</v>
      </c>
      <c r="E1202" t="s">
        <v>601</v>
      </c>
      <c r="F1202" s="193" t="str">
        <f>IF(ISNUMBER(KPIs!AK40),KPIs!AK40,"")</f>
        <v/>
      </c>
      <c r="G1202" s="193" t="str">
        <f>IF(ISNUMBER(KPIs!$C$40),KPIs!$C$40,"")</f>
        <v/>
      </c>
      <c r="H1202" s="193" t="str">
        <f>IFERROR(INDEX(_TARGETS!$E$2:$E$17,MATCH($C1202,_TARGETS!$A$2:$A$17,0))&amp;"","")</f>
        <v/>
      </c>
      <c r="I1202" s="193" t="str">
        <f t="shared" si="119"/>
        <v/>
      </c>
      <c r="J1202" s="193" t="str">
        <f t="shared" si="120"/>
        <v>YTD</v>
      </c>
      <c r="K1202" s="193">
        <f>SUMIFS(Datos!$D$39:$AL$39,Datos!$D$3:$AL$3,"&gt;="&amp;DATE(YEAR(Datos!AK$3),1,1),Datos!$D$3:$AL$3,"&lt;="&amp;Datos!AK$3)+SUMIFS(Datos!$D$40:$AL$40,Datos!$D$3:$AL$3,"&gt;="&amp;DATE(YEAR(Datos!AK$3),1,1),Datos!$D$3:$AL$3,"&lt;="&amp;Datos!AK$3)+SUMIFS(Datos!$D$41:$AL$41,Datos!$D$3:$AL$3,"&gt;="&amp;DATE(YEAR(Datos!AK$3),1,1),Datos!$D$3:$AL$3,"&lt;="&amp;Datos!AK$3)</f>
        <v>0</v>
      </c>
      <c r="L1202" s="193">
        <f>SUMIFS(Datos!$D$47:$AL$47,Datos!$D$3:$AL$3,"&gt;="&amp;DATE(YEAR(Datos!AK$3),1,1),Datos!$D$3:$AL$3,"&lt;="&amp;Datos!AK$3)</f>
        <v>0</v>
      </c>
      <c r="M1202" s="193">
        <f>INDEX(_TARGETS!$J$2:$J$17,MATCH($C1202,_TARGETS!$A$2:$A$17,0))</f>
        <v>1000000</v>
      </c>
      <c r="N1202" s="193" t="str">
        <f>INDEX(_TARGETS!$D$2:$D$17,MATCH($C1202,_TARGETS!$A$2:$A$17,0))</f>
        <v>eventos / 10^6 km</v>
      </c>
      <c r="O1202" s="193" t="str">
        <f t="shared" si="127"/>
        <v>MISSING</v>
      </c>
      <c r="P1202" s="193" t="str">
        <f>INDEX(_TARGETS!$K$2:$K$17,MATCH($C1202,_TARGETS!$A$2:$A$17,0))</f>
        <v>OPS (eventos) + Full Control GPS (km) - carga manual en Datos</v>
      </c>
      <c r="Q1202" s="193" t="str">
        <f t="shared" si="121"/>
        <v>202905|SVCR|YTD</v>
      </c>
      <c r="R1202" s="193" t="str">
        <f>INDEX(_TARGETS!$H$2:$H$17,MATCH($C1202,_TARGETS!$A$2:$A$17,0))</f>
        <v>Solo reporte</v>
      </c>
      <c r="S1202" s="193" t="str">
        <f t="shared" si="122"/>
        <v/>
      </c>
      <c r="T1202" s="193" t="str">
        <f t="shared" si="123"/>
        <v/>
      </c>
    </row>
    <row r="1203" spans="1:20" ht="14.25" customHeight="1" x14ac:dyDescent="0.3">
      <c r="A1203" s="249">
        <f>KPIs!$AK$3</f>
        <v>47239</v>
      </c>
      <c r="B1203" s="193" t="str">
        <f>KPIs!AK$4</f>
        <v>Compresora</v>
      </c>
      <c r="C1203" t="s">
        <v>61</v>
      </c>
      <c r="D1203" s="193" t="str">
        <f>KPIs!$A$41</f>
        <v>5 · Accidentes vehiculares totales por millón de km · YTD</v>
      </c>
      <c r="E1203" t="s">
        <v>601</v>
      </c>
      <c r="F1203" s="193" t="str">
        <f>IF(ISNUMBER(KPIs!AK41),KPIs!AK41,"")</f>
        <v/>
      </c>
      <c r="G1203" s="250">
        <f>IF(ISNUMBER(KPIs!$C$41),KPIs!$C$41,"")</f>
        <v>0.79</v>
      </c>
      <c r="H1203" s="193" t="str">
        <f>IFERROR(INDEX(_TARGETS!$E$2:$E$17,MATCH($C1203,_TARGETS!$A$2:$A$17,0))&amp;"","")</f>
        <v>≤</v>
      </c>
      <c r="I1203" s="193" t="str">
        <f t="shared" si="119"/>
        <v/>
      </c>
      <c r="J1203" s="193" t="str">
        <f t="shared" si="120"/>
        <v>YTD</v>
      </c>
      <c r="K1203" s="193">
        <f>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f>
        <v>0</v>
      </c>
      <c r="L1203" s="193">
        <f>SUMIFS(Datos!$D$47:$AL$47,Datos!$D$3:$AL$3,"&gt;="&amp;DATE(YEAR(Datos!AK$3),1,1),Datos!$D$3:$AL$3,"&lt;="&amp;Datos!AK$3)</f>
        <v>0</v>
      </c>
      <c r="M1203" s="193">
        <f>INDEX(_TARGETS!$J$2:$J$17,MATCH($C1203,_TARGETS!$A$2:$A$17,0))</f>
        <v>1000000</v>
      </c>
      <c r="N1203" s="193" t="str">
        <f>INDEX(_TARGETS!$D$2:$D$17,MATCH($C1203,_TARGETS!$A$2:$A$17,0))</f>
        <v>eventos / 10^6 km</v>
      </c>
      <c r="O1203" s="193" t="str">
        <f t="shared" si="127"/>
        <v>MISSING</v>
      </c>
      <c r="P1203" s="193" t="str">
        <f>INDEX(_TARGETS!$K$2:$K$17,MATCH($C1203,_TARGETS!$A$2:$A$17,0))</f>
        <v>OPS (eventos) + Full Control GPS (km) - carga manual en Datos</v>
      </c>
      <c r="Q1203" s="193" t="str">
        <f t="shared" si="121"/>
        <v>202905|TVCR|YTD</v>
      </c>
      <c r="R1203" s="193" t="str">
        <f>INDEX(_TARGETS!$H$2:$H$17,MATCH($C1203,_TARGETS!$A$2:$A$17,0))</f>
        <v>Definida</v>
      </c>
      <c r="S1203" s="193" t="str">
        <f t="shared" si="122"/>
        <v/>
      </c>
      <c r="T1203" s="193" t="str">
        <f t="shared" si="123"/>
        <v/>
      </c>
    </row>
    <row r="1204" spans="1:20" ht="14.25" customHeight="1" x14ac:dyDescent="0.3">
      <c r="A1204" s="249">
        <f>KPIs!$AK$3</f>
        <v>47239</v>
      </c>
      <c r="B1204" s="193" t="str">
        <f>KPIs!AK$4</f>
        <v>Compresora</v>
      </c>
      <c r="C1204" t="s">
        <v>71</v>
      </c>
      <c r="D1204" s="193" t="str">
        <f>KPIs!$A$42</f>
        <v>7 · Investigaciones de accidentes: días promedio de cierre · YTD</v>
      </c>
      <c r="E1204" t="s">
        <v>601</v>
      </c>
      <c r="F1204" s="193" t="str">
        <f>IF(ISNUMBER(KPIs!AK42),KPIs!AK42,"")</f>
        <v/>
      </c>
      <c r="G1204" s="251">
        <f>IF(ISNUMBER(KPIs!$C$42),KPIs!$C$42,"")</f>
        <v>20</v>
      </c>
      <c r="H1204" s="193" t="str">
        <f>IFERROR(INDEX(_TARGETS!$E$2:$E$17,MATCH($C1204,_TARGETS!$A$2:$A$17,0))&amp;"","")</f>
        <v>≤</v>
      </c>
      <c r="I1204" s="193" t="str">
        <f t="shared" si="119"/>
        <v/>
      </c>
      <c r="J1204" s="193" t="str">
        <f t="shared" si="120"/>
        <v>YTD</v>
      </c>
      <c r="K1204" s="193">
        <f>SUMIFS(Datos!$D$31:$AL$31,Datos!$D$3:$AL$3,"&gt;="&amp;DATE(YEAR(Datos!AK$3),1,1),Datos!$D$3:$AL$3,"&lt;="&amp;Datos!AK$3)</f>
        <v>0</v>
      </c>
      <c r="L1204" s="193">
        <f>SUMIFS(Datos!$D$30:$AL$30,Datos!$D$3:$AL$3,"&gt;="&amp;DATE(YEAR(Datos!AK$3),1,1),Datos!$D$3:$AL$3,"&lt;="&amp;Datos!AK$3)</f>
        <v>0</v>
      </c>
      <c r="M1204" s="193">
        <f>INDEX(_TARGETS!$J$2:$J$17,MATCH($C1204,_TARGETS!$A$2:$A$17,0))</f>
        <v>1</v>
      </c>
      <c r="N1204" s="193" t="str">
        <f>INDEX(_TARGETS!$D$2:$D$17,MATCH($C1204,_TARGETS!$A$2:$A$17,0))</f>
        <v>días</v>
      </c>
      <c r="O1204" s="193" t="str">
        <f>IF(NOT(ISNUMBER(F1204)),IF(SUMPRODUCT(($C$2:$C$1300=C1204)*($J$2:$J$1300="Monthly")*($A$2:$A$1300&lt;=A1204)*(YEAR($A$2:$A$1300)=YEAR(A1204))*ISNUMBER($K$2:$K$1300)*ISNUMBER($L$2:$L$1300)*($L$2:$L$1300=0)*($K$2:$K$1300&gt;0))&gt;0,"INCOMPLETE","MISSING"),O701)</f>
        <v>MISSING</v>
      </c>
      <c r="P1204" s="193" t="str">
        <f>INDEX(_TARGETS!$K$2:$K$17,MATCH($C1204,_TARGETS!$A$2:$A$17,0))</f>
        <v>OPS (carga manual en Datos)</v>
      </c>
      <c r="Q1204" s="193" t="str">
        <f t="shared" si="121"/>
        <v>202905|INV|YTD</v>
      </c>
      <c r="R1204" s="193" t="str">
        <f>INDEX(_TARGETS!$H$2:$H$17,MATCH($C1204,_TARGETS!$A$2:$A$17,0))</f>
        <v>Definida</v>
      </c>
      <c r="S1204" s="193" t="str">
        <f t="shared" si="122"/>
        <v/>
      </c>
      <c r="T1204" s="193" t="str">
        <f t="shared" si="123"/>
        <v/>
      </c>
    </row>
    <row r="1205" spans="1:20" ht="14.25" customHeight="1" x14ac:dyDescent="0.3">
      <c r="A1205" s="249">
        <f>KPIs!$AK$3</f>
        <v>47239</v>
      </c>
      <c r="B1205" s="193" t="str">
        <f>KPIs!AK$4</f>
        <v>Compresora</v>
      </c>
      <c r="C1205" t="s">
        <v>76</v>
      </c>
      <c r="D1205" s="193" t="str">
        <f>KPIs!$A$43</f>
        <v>8 · % de capacitación en seguridad · YTD</v>
      </c>
      <c r="E1205" t="s">
        <v>601</v>
      </c>
      <c r="F1205" s="193" t="str">
        <f>IF(ISNUMBER(KPIs!AK43),KPIs!AK43,"")</f>
        <v/>
      </c>
      <c r="G1205" s="252">
        <f>IF(ISNUMBER(KPIs!$C$43),KPIs!$C$43,"")</f>
        <v>0.01</v>
      </c>
      <c r="H1205" s="193" t="str">
        <f>IFERROR(INDEX(_TARGETS!$E$2:$E$17,MATCH($C1205,_TARGETS!$A$2:$A$17,0))&amp;"","")</f>
        <v>≥</v>
      </c>
      <c r="I1205" s="193" t="str">
        <f t="shared" si="119"/>
        <v/>
      </c>
      <c r="J1205" s="193" t="str">
        <f t="shared" si="120"/>
        <v>YTD</v>
      </c>
      <c r="K1205" s="193">
        <f>SUMIFS(Datos!$D$18:$AL$18,Datos!$D$3:$AL$3,"&gt;="&amp;DATE(YEAR(Datos!AK$3),1,1),Datos!$D$3:$AL$3,"&lt;="&amp;Datos!AK$3)</f>
        <v>0</v>
      </c>
      <c r="L1205" s="193">
        <f>SUMIFS(Datos!$D$14:$AL$14,Datos!$D$3:$AL$3,"&gt;="&amp;DATE(YEAR(Datos!AK$3),1,1),Datos!$D$3:$AL$3,"&lt;="&amp;Datos!AK$3)</f>
        <v>0</v>
      </c>
      <c r="M1205" s="193">
        <f>INDEX(_TARGETS!$J$2:$J$17,MATCH($C1205,_TARGETS!$A$2:$A$17,0))</f>
        <v>1</v>
      </c>
      <c r="N1205" s="193" t="str">
        <f>INDEX(_TARGETS!$D$2:$D$17,MATCH($C1205,_TARGETS!$A$2:$A$17,0))</f>
        <v>% (fracción)</v>
      </c>
      <c r="O1205" s="193" t="str">
        <f>IF(NOT(ISNUMBER(F1205)),IF(SUMPRODUCT(($C$2:$C$1300=C1205)*($J$2:$J$1300="Monthly")*($A$2:$A$1300&lt;=A1205)*(YEAR($A$2:$A$1300)=YEAR(A1205))*ISNUMBER($K$2:$K$1300)*ISNUMBER($L$2:$L$1300)*($L$2:$L$1300=0)*($K$2:$K$1300&gt;0))&gt;0,"INCOMPLETE","MISSING"),O702)</f>
        <v>MISSING</v>
      </c>
      <c r="P1205" s="193" t="str">
        <f>INDEX(_TARGETS!$K$2:$K$17,MATCH($C1205,_TARGETS!$A$2:$A$17,0))</f>
        <v>OPS (carga manual en Datos)</v>
      </c>
      <c r="Q1205" s="193" t="str">
        <f t="shared" si="121"/>
        <v>202905|HCS|YTD</v>
      </c>
      <c r="R1205" s="193" t="str">
        <f>INDEX(_TARGETS!$H$2:$H$17,MATCH($C1205,_TARGETS!$A$2:$A$17,0))</f>
        <v>Definida</v>
      </c>
      <c r="S1205" s="193" t="str">
        <f t="shared" si="122"/>
        <v/>
      </c>
      <c r="T1205" s="193" t="str">
        <f t="shared" si="123"/>
        <v/>
      </c>
    </row>
    <row r="1206" spans="1:20" ht="14.25" customHeight="1" x14ac:dyDescent="0.3">
      <c r="A1206" s="249">
        <f>KPIs!$AK$3</f>
        <v>47239</v>
      </c>
      <c r="B1206" s="193" t="str">
        <f>KPIs!AK$4</f>
        <v>Compresora</v>
      </c>
      <c r="C1206" t="s">
        <v>83</v>
      </c>
      <c r="D1206" s="193" t="str">
        <f>KPIs!$A$44</f>
        <v>10 · Cumplimiento de simulacros (emergencia y operativos) · YTD</v>
      </c>
      <c r="E1206" t="s">
        <v>601</v>
      </c>
      <c r="F1206" s="193" t="str">
        <f>IF(ISNUMBER(KPIs!AK44),KPIs!AK44,"")</f>
        <v/>
      </c>
      <c r="G1206" s="253">
        <f>IF(ISNUMBER(KPIs!$C$44),KPIs!$C$44,"")</f>
        <v>1</v>
      </c>
      <c r="H1206" s="193" t="str">
        <f>IFERROR(INDEX(_TARGETS!$E$2:$E$17,MATCH($C1206,_TARGETS!$A$2:$A$17,0))&amp;"","")</f>
        <v>≥</v>
      </c>
      <c r="I1206" s="193" t="str">
        <f t="shared" si="119"/>
        <v/>
      </c>
      <c r="J1206" s="193" t="str">
        <f t="shared" si="120"/>
        <v>YTD</v>
      </c>
      <c r="K1206" s="193">
        <f>SUMIFS(Datos!$D$20:$AL$20,Datos!$D$3:$AL$3,"&gt;="&amp;DATE(YEAR(Datos!AK$3),1,1),Datos!$D$3:$AL$3,"&lt;="&amp;Datos!AK$3)</f>
        <v>0</v>
      </c>
      <c r="L1206" s="193">
        <f>SUMIFS(Datos!$D$21:$AL$21,Datos!$D$3:$AL$3,"&gt;="&amp;DATE(YEAR(Datos!AK$3),1,1),Datos!$D$3:$AL$3,"&lt;="&amp;Datos!AK$3)</f>
        <v>0</v>
      </c>
      <c r="M1206" s="193">
        <f>INDEX(_TARGETS!$J$2:$J$17,MATCH($C1206,_TARGETS!$A$2:$A$17,0))</f>
        <v>1</v>
      </c>
      <c r="N1206" s="193" t="str">
        <f>INDEX(_TARGETS!$D$2:$D$17,MATCH($C1206,_TARGETS!$A$2:$A$17,0))</f>
        <v>% (fracción)</v>
      </c>
      <c r="O1206" s="193" t="str">
        <f>IF(NOT(ISNUMBER(F1206)),IF(SUMPRODUCT(($C$2:$C$1300=C1206)*($J$2:$J$1300="Monthly")*($A$2:$A$1300&lt;=A1206)*(YEAR($A$2:$A$1300)=YEAR(A1206))*ISNUMBER($K$2:$K$1300)*ISNUMBER($L$2:$L$1300)*($L$2:$L$1300=0)*($K$2:$K$1300&gt;0))&gt;0,"INCOMPLETE","MISSING"),O704)</f>
        <v>MISSING</v>
      </c>
      <c r="P1206" s="193" t="str">
        <f>INDEX(_TARGETS!$K$2:$K$17,MATCH($C1206,_TARGETS!$A$2:$A$17,0))</f>
        <v>OPS (carga manual en Datos)</v>
      </c>
      <c r="Q1206" s="193" t="str">
        <f t="shared" si="121"/>
        <v>202905|CPSE|YTD</v>
      </c>
      <c r="R1206" s="193" t="str">
        <f>INDEX(_TARGETS!$H$2:$H$17,MATCH($C1206,_TARGETS!$A$2:$A$17,0))</f>
        <v>Definida</v>
      </c>
      <c r="S1206" s="193" t="str">
        <f t="shared" si="122"/>
        <v/>
      </c>
      <c r="T1206" s="193" t="str">
        <f t="shared" si="123"/>
        <v/>
      </c>
    </row>
    <row r="1207" spans="1:20" ht="14.25" customHeight="1" x14ac:dyDescent="0.3">
      <c r="A1207" s="249">
        <f>KPIs!$AK$3</f>
        <v>47239</v>
      </c>
      <c r="B1207" s="193" t="str">
        <f>KPIs!AK$4</f>
        <v>Compresora</v>
      </c>
      <c r="C1207" t="s">
        <v>85</v>
      </c>
      <c r="D1207" s="193" t="str">
        <f>KPIs!$A$45</f>
        <v>10b · Cumplimiento de acciones de mejora de simulacros · YTD</v>
      </c>
      <c r="E1207" t="s">
        <v>601</v>
      </c>
      <c r="F1207" s="193" t="str">
        <f>IF(ISNUMBER(KPIs!AK45),KPIs!AK45,"")</f>
        <v/>
      </c>
      <c r="G1207" s="254" t="str">
        <f>IF(ISNUMBER(KPIs!$C$45),KPIs!$C$45,"")</f>
        <v/>
      </c>
      <c r="H1207" s="193" t="str">
        <f>IFERROR(INDEX(_TARGETS!$E$2:$E$17,MATCH($C1207,_TARGETS!$A$2:$A$17,0))&amp;"","")</f>
        <v/>
      </c>
      <c r="I1207" s="193" t="str">
        <f t="shared" si="119"/>
        <v/>
      </c>
      <c r="J1207" s="193" t="str">
        <f t="shared" si="120"/>
        <v>YTD</v>
      </c>
      <c r="K1207" s="193">
        <f>SUMIFS(Datos!$D$23:$AL$23,Datos!$D$3:$AL$3,"&gt;="&amp;DATE(YEAR(Datos!AK$3),1,1),Datos!$D$3:$AL$3,"&lt;="&amp;Datos!AK$3)</f>
        <v>0</v>
      </c>
      <c r="L1207" s="193">
        <f>SUMIFS(Datos!$D$22:$AL$22,Datos!$D$3:$AL$3,"&gt;="&amp;DATE(YEAR(Datos!AK$3),1,1),Datos!$D$3:$AL$3,"&lt;="&amp;Datos!AK$3)</f>
        <v>0</v>
      </c>
      <c r="M1207" s="193">
        <f>INDEX(_TARGETS!$J$2:$J$17,MATCH($C1207,_TARGETS!$A$2:$A$17,0))</f>
        <v>1</v>
      </c>
      <c r="N1207" s="193" t="str">
        <f>INDEX(_TARGETS!$D$2:$D$17,MATCH($C1207,_TARGETS!$A$2:$A$17,0))</f>
        <v>% (fracción)</v>
      </c>
      <c r="O1207" s="193" t="str">
        <f>IF(NOT(ISNUMBER(F1207)),IF(SUMPRODUCT(($C$2:$C$1300=C1207)*($J$2:$J$1300="Monthly")*($A$2:$A$1300&lt;=A1207)*(YEAR($A$2:$A$1300)=YEAR(A1207))*ISNUMBER($K$2:$K$1300)*ISNUMBER($L$2:$L$1300)*($L$2:$L$1300=0)*($K$2:$K$1300&gt;0))&gt;0,"INCOMPLETE","MISSING"),O705)</f>
        <v>MISSING</v>
      </c>
      <c r="P1207" s="193" t="str">
        <f>INDEX(_TARGETS!$K$2:$K$17,MATCH($C1207,_TARGETS!$A$2:$A$17,0))</f>
        <v>OPS (carga manual en Datos)</v>
      </c>
      <c r="Q1207" s="193" t="str">
        <f t="shared" si="121"/>
        <v>202905|CAMS|YTD</v>
      </c>
      <c r="R1207" s="193" t="str">
        <f>INDEX(_TARGETS!$H$2:$H$17,MATCH($C1207,_TARGETS!$A$2:$A$17,0))</f>
        <v>Solo reporte</v>
      </c>
      <c r="S1207" s="193" t="str">
        <f t="shared" si="122"/>
        <v/>
      </c>
      <c r="T1207" s="193" t="str">
        <f t="shared" si="123"/>
        <v/>
      </c>
    </row>
    <row r="1208" spans="1:20" ht="14.25" customHeight="1" x14ac:dyDescent="0.3">
      <c r="A1208" s="249">
        <f>KPIs!$AK$3</f>
        <v>47239</v>
      </c>
      <c r="B1208" s="193" t="str">
        <f>KPIs!AK$4</f>
        <v>Compresora</v>
      </c>
      <c r="C1208" t="s">
        <v>87</v>
      </c>
      <c r="D1208" s="193" t="str">
        <f>KPIs!$A$46</f>
        <v>11 · Cumplimiento de caminatas gerenciales · YTD</v>
      </c>
      <c r="E1208" t="s">
        <v>601</v>
      </c>
      <c r="F1208" s="193" t="str">
        <f>IF(ISNUMBER(KPIs!AK46),KPIs!AK46,"")</f>
        <v/>
      </c>
      <c r="G1208" s="254">
        <f>IF(ISNUMBER(KPIs!$C$46),KPIs!$C$46,"")</f>
        <v>1</v>
      </c>
      <c r="H1208" s="193" t="str">
        <f>IFERROR(INDEX(_TARGETS!$E$2:$E$17,MATCH($C1208,_TARGETS!$A$2:$A$17,0))&amp;"","")</f>
        <v>≥</v>
      </c>
      <c r="I1208" s="193" t="str">
        <f t="shared" si="119"/>
        <v/>
      </c>
      <c r="J1208" s="193" t="str">
        <f t="shared" si="120"/>
        <v>YTD</v>
      </c>
      <c r="K1208" s="193">
        <f>SUMIFS(Datos!$D$24:$AL$24,Datos!$D$3:$AL$3,"&gt;="&amp;DATE(YEAR(Datos!AK$3),1,1),Datos!$D$3:$AL$3,"&lt;="&amp;Datos!AK$3)</f>
        <v>0</v>
      </c>
      <c r="L1208" s="193">
        <f>SUMIFS(Datos!$D$25:$AL$25,Datos!$D$3:$AL$3,"&gt;="&amp;DATE(YEAR(Datos!AK$3),1,1),Datos!$D$3:$AL$3,"&lt;="&amp;Datos!AK$3)</f>
        <v>0</v>
      </c>
      <c r="M1208" s="193">
        <f>INDEX(_TARGETS!$J$2:$J$17,MATCH($C1208,_TARGETS!$A$2:$A$17,0))</f>
        <v>1</v>
      </c>
      <c r="N1208" s="193" t="str">
        <f>INDEX(_TARGETS!$D$2:$D$17,MATCH($C1208,_TARGETS!$A$2:$A$17,0))</f>
        <v>% (fracción)</v>
      </c>
      <c r="O1208" s="193" t="str">
        <f>IF(NOT(ISNUMBER(F1208)),IF(SUMPRODUCT(($C$2:$C$1300=C1208)*($J$2:$J$1300="Monthly")*($A$2:$A$1300&lt;=A1208)*(YEAR($A$2:$A$1300)=YEAR(A1208))*ISNUMBER($K$2:$K$1300)*ISNUMBER($L$2:$L$1300)*($L$2:$L$1300=0)*($K$2:$K$1300&gt;0))&gt;0,"INCOMPLETE","MISSING"),O706)</f>
        <v>MISSING</v>
      </c>
      <c r="P1208" s="193" t="str">
        <f>INDEX(_TARGETS!$K$2:$K$17,MATCH($C1208,_TARGETS!$A$2:$A$17,0))</f>
        <v>OPS (carga manual en Datos)</v>
      </c>
      <c r="Q1208" s="193" t="str">
        <f t="shared" si="121"/>
        <v>202905|ICCS|YTD</v>
      </c>
      <c r="R1208" s="193" t="str">
        <f>INDEX(_TARGETS!$H$2:$H$17,MATCH($C1208,_TARGETS!$A$2:$A$17,0))</f>
        <v>Definida</v>
      </c>
      <c r="S1208" s="193" t="str">
        <f t="shared" si="122"/>
        <v/>
      </c>
      <c r="T1208" s="193" t="str">
        <f t="shared" si="123"/>
        <v/>
      </c>
    </row>
    <row r="1209" spans="1:20" ht="14.25" customHeight="1" x14ac:dyDescent="0.3">
      <c r="A1209" s="249">
        <f>KPIs!$AK$3</f>
        <v>47239</v>
      </c>
      <c r="B1209" s="193" t="str">
        <f>KPIs!AK$4</f>
        <v>Compresora</v>
      </c>
      <c r="C1209" t="s">
        <v>89</v>
      </c>
      <c r="D1209" s="193" t="str">
        <f>KPIs!$A$47</f>
        <v>12 · Cumplimiento de comités y subcomités de seguridad · YTD</v>
      </c>
      <c r="E1209" t="s">
        <v>601</v>
      </c>
      <c r="F1209" s="193" t="str">
        <f>IF(ISNUMBER(KPIs!AK47),KPIs!AK47,"")</f>
        <v/>
      </c>
      <c r="G1209" s="254">
        <f>IF(ISNUMBER(KPIs!$C$47),KPIs!$C$47,"")</f>
        <v>1</v>
      </c>
      <c r="H1209" s="193" t="str">
        <f>IFERROR(INDEX(_TARGETS!$E$2:$E$17,MATCH($C1209,_TARGETS!$A$2:$A$17,0))&amp;"","")</f>
        <v>≥</v>
      </c>
      <c r="I1209" s="193" t="str">
        <f t="shared" si="119"/>
        <v/>
      </c>
      <c r="J1209" s="193" t="str">
        <f t="shared" si="120"/>
        <v>YTD</v>
      </c>
      <c r="K1209" s="193">
        <f>SUMIFS(Datos!$D$26:$AL$26,Datos!$D$3:$AL$3,"&gt;="&amp;DATE(YEAR(Datos!AK$3),1,1),Datos!$D$3:$AL$3,"&lt;="&amp;Datos!AK$3)</f>
        <v>0</v>
      </c>
      <c r="L1209" s="193">
        <f>SUMIFS(Datos!$D$27:$AL$27,Datos!$D$3:$AL$3,"&gt;="&amp;DATE(YEAR(Datos!AK$3),1,1),Datos!$D$3:$AL$3,"&lt;="&amp;Datos!AK$3)</f>
        <v>0</v>
      </c>
      <c r="M1209" s="193">
        <f>INDEX(_TARGETS!$J$2:$J$17,MATCH($C1209,_TARGETS!$A$2:$A$17,0))</f>
        <v>1</v>
      </c>
      <c r="N1209" s="193" t="str">
        <f>INDEX(_TARGETS!$D$2:$D$17,MATCH($C1209,_TARGETS!$A$2:$A$17,0))</f>
        <v>% (fracción)</v>
      </c>
      <c r="O1209" s="193" t="str">
        <f>IF(NOT(ISNUMBER(F1209)),IF(SUMPRODUCT(($C$2:$C$1300=C1209)*($J$2:$J$1300="Monthly")*($A$2:$A$1300&lt;=A1209)*(YEAR($A$2:$A$1300)=YEAR(A1209))*ISNUMBER($K$2:$K$1300)*ISNUMBER($L$2:$L$1300)*($L$2:$L$1300=0)*($K$2:$K$1300&gt;0))&gt;0,"INCOMPLETE","MISSING"),O707)</f>
        <v>MISSING</v>
      </c>
      <c r="P1209" s="193" t="str">
        <f>INDEX(_TARGETS!$K$2:$K$17,MATCH($C1209,_TARGETS!$A$2:$A$17,0))</f>
        <v>OPS (carga manual en Datos)</v>
      </c>
      <c r="Q1209" s="193" t="str">
        <f t="shared" si="121"/>
        <v>202905|CCS|YTD</v>
      </c>
      <c r="R1209" s="193" t="str">
        <f>INDEX(_TARGETS!$H$2:$H$17,MATCH($C1209,_TARGETS!$A$2:$A$17,0))</f>
        <v>Definida</v>
      </c>
      <c r="S1209" s="193" t="str">
        <f t="shared" si="122"/>
        <v/>
      </c>
      <c r="T1209" s="193" t="str">
        <f t="shared" si="123"/>
        <v/>
      </c>
    </row>
    <row r="1210" spans="1:20" ht="14.25" customHeight="1" x14ac:dyDescent="0.3">
      <c r="A1210" s="249">
        <f>KPIs!$AK$3</f>
        <v>47239</v>
      </c>
      <c r="B1210" s="193" t="str">
        <f>KPIs!AK$4</f>
        <v>Compresora</v>
      </c>
      <c r="C1210" t="s">
        <v>91</v>
      </c>
      <c r="D1210" s="193" t="str">
        <f>KPIs!$A$48</f>
        <v>13 · Días promedio para cerrar hallazgos · YTD</v>
      </c>
      <c r="E1210" t="s">
        <v>601</v>
      </c>
      <c r="F1210" s="251" t="str">
        <f>IF(ISNUMBER(KPIs!AK48),KPIs!AK48,"")</f>
        <v/>
      </c>
      <c r="G1210" s="193" t="str">
        <f>IF(ISNUMBER(KPIs!$C$48),KPIs!$C$48,"")</f>
        <v/>
      </c>
      <c r="H1210" s="193" t="str">
        <f>IFERROR(INDEX(_TARGETS!$E$2:$E$17,MATCH($C1210,_TARGETS!$A$2:$A$17,0))&amp;"","")</f>
        <v>≤</v>
      </c>
      <c r="I1210" s="193" t="str">
        <f t="shared" si="119"/>
        <v/>
      </c>
      <c r="J1210" s="193" t="str">
        <f t="shared" si="120"/>
        <v>YTD</v>
      </c>
      <c r="K1210" s="193">
        <f>SUMIFS(Datos!$D$68:$AL$68,Datos!$D$3:$AL$3,"&gt;="&amp;DATE(YEAR(Datos!AK$3),1,1),Datos!$D$3:$AL$3,"&lt;="&amp;Datos!AK$3)</f>
        <v>0</v>
      </c>
      <c r="L1210" s="193">
        <f>SUMIFS(Datos!$D$67:$AL$67,Datos!$D$3:$AL$3,"&gt;="&amp;DATE(YEAR(Datos!AK$3),1,1),Datos!$D$3:$AL$3,"&lt;="&amp;Datos!AK$3)</f>
        <v>0</v>
      </c>
      <c r="M1210" s="193">
        <f>INDEX(_TARGETS!$J$2:$J$17,MATCH($C1210,_TARGETS!$A$2:$A$17,0))</f>
        <v>1</v>
      </c>
      <c r="N1210" s="193" t="str">
        <f>INDEX(_TARGETS!$D$2:$D$17,MATCH($C1210,_TARGETS!$A$2:$A$17,0))</f>
        <v>días</v>
      </c>
      <c r="O1210" s="193" t="str">
        <f>IF(NOT(ISNUMBER(F1210)),IF(SUMPRODUCT(($C$2:$C$1300=C1210)*($J$2:$J$1300="Monthly")*($A$2:$A$1300&lt;=A1210)*(YEAR($A$2:$A$1300)=YEAR(A1210))*ISNUMBER($K$2:$K$1300)*ISNUMBER($L$2:$L$1300)*($L$2:$L$1300=0)*($K$2:$K$1300&gt;0))&gt;0,"INCOMPLETE","MISSING"),O708)</f>
        <v>MISSING</v>
      </c>
      <c r="P1210" s="193" t="str">
        <f>INDEX(_TARGETS!$K$2:$K$17,MATCH($C1210,_TARGETS!$A$2:$A$17,0))</f>
        <v>Plant Findings (hoja Observaciones-SMP)</v>
      </c>
      <c r="Q1210" s="193" t="str">
        <f t="shared" si="121"/>
        <v>202905|DPAS|YTD</v>
      </c>
      <c r="R1210" s="193" t="str">
        <f>INDEX(_TARGETS!$H$2:$H$17,MATCH($C1210,_TARGETS!$A$2:$A$17,0))</f>
        <v>Pendiente (meta 2027)</v>
      </c>
      <c r="S1210" s="193" t="str">
        <f t="shared" si="122"/>
        <v/>
      </c>
      <c r="T1210" s="193" t="str">
        <f t="shared" si="123"/>
        <v/>
      </c>
    </row>
    <row r="1211" spans="1:20" ht="14.25" customHeight="1" x14ac:dyDescent="0.3">
      <c r="A1211" s="249">
        <f>KPIs!$AK$3</f>
        <v>47239</v>
      </c>
      <c r="B1211" s="193" t="str">
        <f>KPIs!AK$4</f>
        <v>Compresora</v>
      </c>
      <c r="C1211" t="s">
        <v>96</v>
      </c>
      <c r="D1211" s="193" t="str">
        <f>KPIs!$A$49</f>
        <v>C1 · % de desvíos detectados de gravedad Alta · YTD</v>
      </c>
      <c r="E1211" t="s">
        <v>601</v>
      </c>
      <c r="F1211" s="193" t="str">
        <f>IF(ISNUMBER(KPIs!AK49),KPIs!AK49,"")</f>
        <v/>
      </c>
      <c r="G1211" s="193" t="str">
        <f>IF(ISNUMBER(KPIs!$C$49),KPIs!$C$49,"")</f>
        <v/>
      </c>
      <c r="H1211" s="193" t="str">
        <f>IFERROR(INDEX(_TARGETS!$E$2:$E$17,MATCH($C1211,_TARGETS!$A$2:$A$17,0))&amp;"","")</f>
        <v/>
      </c>
      <c r="I1211" s="193" t="str">
        <f t="shared" si="119"/>
        <v/>
      </c>
      <c r="J1211" s="193" t="str">
        <f t="shared" si="120"/>
        <v>YTD</v>
      </c>
      <c r="K1211" s="193">
        <f>SUMIFS(Datos!$D$71:$AL$71,Datos!$D$3:$AL$3,"&gt;="&amp;DATE(YEAR(Datos!AK$3),1,1),Datos!$D$3:$AL$3,"&lt;="&amp;Datos!AK$3)</f>
        <v>0</v>
      </c>
      <c r="L1211" s="193">
        <f>SUMIFS(Datos!$D$71:$AL$71,Datos!$D$3:$AL$3,"&gt;="&amp;DATE(YEAR(Datos!AK$3),1,1),Datos!$D$3:$AL$3,"&lt;="&amp;Datos!AK$3)+SUMIFS(Datos!$D$72:$AL$72,Datos!$D$3:$AL$3,"&gt;="&amp;DATE(YEAR(Datos!AK$3),1,1),Datos!$D$3:$AL$3,"&lt;="&amp;Datos!AK$3)+SUMIFS(Datos!$D$73:$AL$73,Datos!$D$3:$AL$3,"&gt;="&amp;DATE(YEAR(Datos!AK$3),1,1),Datos!$D$3:$AL$3,"&lt;="&amp;Datos!AK$3)</f>
        <v>0</v>
      </c>
      <c r="M1211" s="193">
        <f>INDEX(_TARGETS!$J$2:$J$17,MATCH($C1211,_TARGETS!$A$2:$A$17,0))</f>
        <v>1</v>
      </c>
      <c r="N1211" s="193" t="str">
        <f>INDEX(_TARGETS!$D$2:$D$17,MATCH($C1211,_TARGETS!$A$2:$A$17,0))</f>
        <v>% (fracción)</v>
      </c>
      <c r="O1211" s="193" t="str">
        <f t="shared" ref="O1211:O1217" si="128">IF(NOT(ISNUMBER(F1211)),IF(SUMPRODUCT(($C$2:$C$1300=C1211)*($J$2:$J$1300="Monthly")*($A$2:$A$1300&lt;=A1211)*(YEAR($A$2:$A$1300)=YEAR(A1211))*ISNUMBER($K$2:$K$1300)*ISNUMBER($L$2:$L$1300)*($L$2:$L$1300=0)*($K$2:$K$1300&gt;0))&gt;0,"INCOMPLETE","MISSING"),O714)</f>
        <v>MISSING</v>
      </c>
      <c r="P1211" s="193" t="str">
        <f>INDEX(_TARGETS!$K$2:$K$17,MATCH($C1211,_TARGETS!$A$2:$A$17,0))</f>
        <v>Plant Findings (hoja Observaciones-SMP)</v>
      </c>
      <c r="Q1211" s="193" t="str">
        <f t="shared" si="121"/>
        <v>202905|HAL_ALTA_PCT|YTD</v>
      </c>
      <c r="R1211" s="193" t="str">
        <f>INDEX(_TARGETS!$H$2:$H$17,MATCH($C1211,_TARGETS!$A$2:$A$17,0))</f>
        <v>Solo reporte</v>
      </c>
      <c r="S1211" s="193" t="str">
        <f t="shared" si="122"/>
        <v/>
      </c>
      <c r="T1211" s="193" t="str">
        <f t="shared" si="123"/>
        <v/>
      </c>
    </row>
    <row r="1212" spans="1:20" ht="14.25" customHeight="1" x14ac:dyDescent="0.3">
      <c r="A1212" s="249">
        <f>KPIs!$AK$3</f>
        <v>47239</v>
      </c>
      <c r="B1212" s="193" t="str">
        <f>KPIs!AK$4</f>
        <v>Compresora</v>
      </c>
      <c r="C1212" t="s">
        <v>98</v>
      </c>
      <c r="D1212" s="193" t="str">
        <f>KPIs!$A$50</f>
        <v>C2 · Detenciones de tareas aplicadas · YTD</v>
      </c>
      <c r="E1212" t="s">
        <v>601</v>
      </c>
      <c r="F1212" s="193" t="str">
        <f>IF(ISNUMBER(KPIs!AK50),KPIs!AK50,"")</f>
        <v/>
      </c>
      <c r="G1212" s="193" t="str">
        <f>IF(ISNUMBER(KPIs!$C$50),KPIs!$C$50,"")</f>
        <v/>
      </c>
      <c r="H1212" s="193" t="str">
        <f>IFERROR(INDEX(_TARGETS!$E$2:$E$17,MATCH($C1212,_TARGETS!$A$2:$A$17,0))&amp;"","")</f>
        <v/>
      </c>
      <c r="I1212" s="193" t="str">
        <f t="shared" si="119"/>
        <v/>
      </c>
      <c r="J1212" s="193" t="str">
        <f t="shared" si="120"/>
        <v>YTD</v>
      </c>
      <c r="K1212" s="193">
        <f>SUMIFS(Datos!$D$75:$AL$75,Datos!$D$3:$AL$3,"&gt;="&amp;DATE(YEAR(Datos!AK$3),1,1),Datos!$D$3:$AL$3,"&lt;="&amp;Datos!AK$3)</f>
        <v>0</v>
      </c>
      <c r="M1212" s="193">
        <f>INDEX(_TARGETS!$J$2:$J$17,MATCH($C1212,_TARGETS!$A$2:$A$17,0))</f>
        <v>1</v>
      </c>
      <c r="N1212" s="193" t="str">
        <f>INDEX(_TARGETS!$D$2:$D$17,MATCH($C1212,_TARGETS!$A$2:$A$17,0))</f>
        <v>u</v>
      </c>
      <c r="O1212" s="193" t="str">
        <f t="shared" si="128"/>
        <v>MISSING</v>
      </c>
      <c r="P1212" s="193" t="str">
        <f>INDEX(_TARGETS!$K$2:$K$17,MATCH($C1212,_TARGETS!$A$2:$A$17,0))</f>
        <v>Plant Findings (hoja Observaciones-SMP)</v>
      </c>
      <c r="Q1212" s="193" t="str">
        <f t="shared" si="121"/>
        <v>202905|DET|YTD</v>
      </c>
      <c r="R1212" s="193" t="str">
        <f>INDEX(_TARGETS!$H$2:$H$17,MATCH($C1212,_TARGETS!$A$2:$A$17,0))</f>
        <v>Solo reporte</v>
      </c>
      <c r="S1212" s="193">
        <f t="shared" si="122"/>
        <v>0</v>
      </c>
      <c r="T1212" s="193" t="str">
        <f t="shared" si="123"/>
        <v/>
      </c>
    </row>
    <row r="1213" spans="1:20" ht="14.25" customHeight="1" x14ac:dyDescent="0.3">
      <c r="A1213" s="249">
        <f>KPIs!$AL$3</f>
        <v>47270</v>
      </c>
      <c r="B1213" s="193" t="str">
        <f>KPIs!AL$4</f>
        <v>Compresora</v>
      </c>
      <c r="C1213" t="s">
        <v>39</v>
      </c>
      <c r="D1213" s="193" t="str">
        <f>KPIs!$A$37</f>
        <v>1 · Frecuencia de casos con días perdidos · YTD</v>
      </c>
      <c r="E1213" t="s">
        <v>601</v>
      </c>
      <c r="F1213" s="193" t="str">
        <f>IF(ISNUMBER(KPIs!AL37),KPIs!AL37,"")</f>
        <v/>
      </c>
      <c r="G1213" s="250">
        <f>IF(ISNUMBER(KPIs!$C$37),KPIs!$C$37,"")</f>
        <v>0</v>
      </c>
      <c r="H1213" s="193" t="str">
        <f>IFERROR(INDEX(_TARGETS!$E$2:$E$17,MATCH($C1213,_TARGETS!$A$2:$A$17,0))&amp;"","")</f>
        <v>≤</v>
      </c>
      <c r="I1213" s="193" t="str">
        <f t="shared" si="119"/>
        <v/>
      </c>
      <c r="J1213" s="193" t="str">
        <f t="shared" si="120"/>
        <v>YTD</v>
      </c>
      <c r="K1213" s="193">
        <f>SUMIFS(Datos!$D$33:$AL$33,Datos!$D$3:$AL$3,"&gt;="&amp;DATE(YEAR(Datos!AL$3),1,1),Datos!$D$3:$AL$3,"&lt;="&amp;Datos!AL$3)</f>
        <v>0</v>
      </c>
      <c r="L1213" s="193">
        <f>SUMIFS(Datos!$D$14:$AL$14,Datos!$D$3:$AL$3,"&gt;="&amp;DATE(YEAR(Datos!AL$3),1,1),Datos!$D$3:$AL$3,"&lt;="&amp;Datos!AL$3)</f>
        <v>0</v>
      </c>
      <c r="M1213" s="193">
        <f>INDEX(_TARGETS!$J$2:$J$17,MATCH($C1213,_TARGETS!$A$2:$A$17,0))</f>
        <v>1000000</v>
      </c>
      <c r="N1213" s="193" t="str">
        <f>INDEX(_TARGETS!$D$2:$D$17,MATCH($C1213,_TARGETS!$A$2:$A$17,0))</f>
        <v>casos / 10^6 HH</v>
      </c>
      <c r="O1213" s="193" t="str">
        <f t="shared" si="128"/>
        <v>MISSING</v>
      </c>
      <c r="P1213" s="193" t="str">
        <f>INDEX(_TARGETS!$K$2:$K$17,MATCH($C1213,_TARGETS!$A$2:$A$17,0))</f>
        <v>OPS (carga manual en Datos)</v>
      </c>
      <c r="Q1213" s="193" t="str">
        <f t="shared" si="121"/>
        <v>202906|DAFWCF|YTD</v>
      </c>
      <c r="R1213" s="193" t="str">
        <f>INDEX(_TARGETS!$H$2:$H$17,MATCH($C1213,_TARGETS!$A$2:$A$17,0))</f>
        <v>Definida</v>
      </c>
      <c r="S1213" s="193" t="str">
        <f t="shared" si="122"/>
        <v/>
      </c>
      <c r="T1213" s="193" t="str">
        <f t="shared" si="123"/>
        <v/>
      </c>
    </row>
    <row r="1214" spans="1:20" ht="14.25" customHeight="1" x14ac:dyDescent="0.3">
      <c r="A1214" s="249">
        <f>KPIs!$AL$3</f>
        <v>47270</v>
      </c>
      <c r="B1214" s="193" t="str">
        <f>KPIs!AL$4</f>
        <v>Compresora</v>
      </c>
      <c r="C1214" t="s">
        <v>49</v>
      </c>
      <c r="D1214" s="193" t="str">
        <f>KPIs!$A$38</f>
        <v>2 · Frecuencia de casos registrables · YTD</v>
      </c>
      <c r="E1214" t="s">
        <v>601</v>
      </c>
      <c r="F1214" s="193" t="str">
        <f>IF(ISNUMBER(KPIs!AL38),KPIs!AL38,"")</f>
        <v/>
      </c>
      <c r="G1214" s="250">
        <f>IF(ISNUMBER(KPIs!$C$38),KPIs!$C$38,"")</f>
        <v>2.35</v>
      </c>
      <c r="H1214" s="193" t="str">
        <f>IFERROR(INDEX(_TARGETS!$E$2:$E$17,MATCH($C1214,_TARGETS!$A$2:$A$17,0))&amp;"","")</f>
        <v>≤</v>
      </c>
      <c r="I1214" s="193" t="str">
        <f t="shared" si="119"/>
        <v/>
      </c>
      <c r="J1214" s="193" t="str">
        <f t="shared" si="120"/>
        <v>YTD</v>
      </c>
      <c r="K1214" s="193">
        <f>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f>
        <v>0</v>
      </c>
      <c r="L1214" s="193">
        <f>SUMIFS(Datos!$D$14:$AL$14,Datos!$D$3:$AL$3,"&gt;="&amp;DATE(YEAR(Datos!AL$3),1,1),Datos!$D$3:$AL$3,"&lt;="&amp;Datos!AL$3)</f>
        <v>0</v>
      </c>
      <c r="M1214" s="193">
        <f>INDEX(_TARGETS!$J$2:$J$17,MATCH($C1214,_TARGETS!$A$2:$A$17,0))</f>
        <v>1000000</v>
      </c>
      <c r="N1214" s="193" t="str">
        <f>INDEX(_TARGETS!$D$2:$D$17,MATCH($C1214,_TARGETS!$A$2:$A$17,0))</f>
        <v>casos / 10^6 HH</v>
      </c>
      <c r="O1214" s="193" t="str">
        <f t="shared" si="128"/>
        <v>MISSING</v>
      </c>
      <c r="P1214" s="193" t="str">
        <f>INDEX(_TARGETS!$K$2:$K$17,MATCH($C1214,_TARGETS!$A$2:$A$17,0))</f>
        <v>OPS (carga manual en Datos)</v>
      </c>
      <c r="Q1214" s="193" t="str">
        <f t="shared" si="121"/>
        <v>202906|TRICF|YTD</v>
      </c>
      <c r="R1214" s="193" t="str">
        <f>INDEX(_TARGETS!$H$2:$H$17,MATCH($C1214,_TARGETS!$A$2:$A$17,0))</f>
        <v>Definida</v>
      </c>
      <c r="S1214" s="193" t="str">
        <f t="shared" si="122"/>
        <v/>
      </c>
      <c r="T1214" s="193" t="str">
        <f t="shared" si="123"/>
        <v/>
      </c>
    </row>
    <row r="1215" spans="1:20" ht="14.25" customHeight="1" x14ac:dyDescent="0.3">
      <c r="A1215" s="249">
        <f>KPIs!$AL$3</f>
        <v>47270</v>
      </c>
      <c r="B1215" s="193" t="str">
        <f>KPIs!AL$4</f>
        <v>Compresora</v>
      </c>
      <c r="C1215" t="s">
        <v>51</v>
      </c>
      <c r="D1215" s="193" t="str">
        <f>KPIs!$A$39</f>
        <v>3 · Casos de primeros auxilios · YTD</v>
      </c>
      <c r="E1215" t="s">
        <v>601</v>
      </c>
      <c r="F1215" s="193" t="str">
        <f>IF(ISNUMBER(KPIs!AL39),KPIs!AL39,"")</f>
        <v/>
      </c>
      <c r="G1215" s="193" t="str">
        <f>IF(ISNUMBER(KPIs!$C$39),KPIs!$C$39,"")</f>
        <v/>
      </c>
      <c r="H1215" s="193" t="str">
        <f>IFERROR(INDEX(_TARGETS!$E$2:$E$17,MATCH($C1215,_TARGETS!$A$2:$A$17,0))&amp;"","")</f>
        <v/>
      </c>
      <c r="I1215" s="193" t="str">
        <f t="shared" si="119"/>
        <v/>
      </c>
      <c r="J1215" s="193" t="str">
        <f t="shared" si="120"/>
        <v>YTD</v>
      </c>
      <c r="K1215" s="193">
        <f>SUMIFS(Datos!$D$37:$AL$37,Datos!$D$3:$AL$3,"&gt;="&amp;DATE(YEAR(Datos!AL$3),1,1),Datos!$D$3:$AL$3,"&lt;="&amp;Datos!AL$3)</f>
        <v>0</v>
      </c>
      <c r="M1215" s="193">
        <f>INDEX(_TARGETS!$J$2:$J$17,MATCH($C1215,_TARGETS!$A$2:$A$17,0))</f>
        <v>1</v>
      </c>
      <c r="N1215" s="193" t="str">
        <f>INDEX(_TARGETS!$D$2:$D$17,MATCH($C1215,_TARGETS!$A$2:$A$17,0))</f>
        <v>casos</v>
      </c>
      <c r="O1215" s="193" t="str">
        <f t="shared" si="128"/>
        <v>MISSING</v>
      </c>
      <c r="P1215" s="193" t="str">
        <f>INDEX(_TARGETS!$K$2:$K$17,MATCH($C1215,_TARGETS!$A$2:$A$17,0))</f>
        <v>OPS (carga manual en Datos)</v>
      </c>
      <c r="Q1215" s="193" t="str">
        <f t="shared" si="121"/>
        <v>202906|FAC|YTD</v>
      </c>
      <c r="R1215" s="193" t="str">
        <f>INDEX(_TARGETS!$H$2:$H$17,MATCH($C1215,_TARGETS!$A$2:$A$17,0))</f>
        <v>Solo reporte</v>
      </c>
      <c r="S1215" s="193">
        <f t="shared" si="122"/>
        <v>0</v>
      </c>
      <c r="T1215" s="193" t="str">
        <f t="shared" si="123"/>
        <v/>
      </c>
    </row>
    <row r="1216" spans="1:20" ht="14.25" customHeight="1" x14ac:dyDescent="0.3">
      <c r="A1216" s="249">
        <f>KPIs!$AL$3</f>
        <v>47270</v>
      </c>
      <c r="B1216" s="193" t="str">
        <f>KPIs!AL$4</f>
        <v>Compresora</v>
      </c>
      <c r="C1216" t="s">
        <v>57</v>
      </c>
      <c r="D1216" s="193" t="str">
        <f>KPIs!$A$40</f>
        <v>4 · Accidentes vehiculares severos por millón de km · YTD</v>
      </c>
      <c r="E1216" t="s">
        <v>601</v>
      </c>
      <c r="F1216" s="193" t="str">
        <f>IF(ISNUMBER(KPIs!AL40),KPIs!AL40,"")</f>
        <v/>
      </c>
      <c r="G1216" s="193" t="str">
        <f>IF(ISNUMBER(KPIs!$C$40),KPIs!$C$40,"")</f>
        <v/>
      </c>
      <c r="H1216" s="193" t="str">
        <f>IFERROR(INDEX(_TARGETS!$E$2:$E$17,MATCH($C1216,_TARGETS!$A$2:$A$17,0))&amp;"","")</f>
        <v/>
      </c>
      <c r="I1216" s="193" t="str">
        <f t="shared" si="119"/>
        <v/>
      </c>
      <c r="J1216" s="193" t="str">
        <f t="shared" si="120"/>
        <v>YTD</v>
      </c>
      <c r="K1216" s="193">
        <f>SUMIFS(Datos!$D$39:$AL$39,Datos!$D$3:$AL$3,"&gt;="&amp;DATE(YEAR(Datos!AL$3),1,1),Datos!$D$3:$AL$3,"&lt;="&amp;Datos!AL$3)+SUMIFS(Datos!$D$40:$AL$40,Datos!$D$3:$AL$3,"&gt;="&amp;DATE(YEAR(Datos!AL$3),1,1),Datos!$D$3:$AL$3,"&lt;="&amp;Datos!AL$3)+SUMIFS(Datos!$D$41:$AL$41,Datos!$D$3:$AL$3,"&gt;="&amp;DATE(YEAR(Datos!AL$3),1,1),Datos!$D$3:$AL$3,"&lt;="&amp;Datos!AL$3)</f>
        <v>0</v>
      </c>
      <c r="L1216" s="193">
        <f>SUMIFS(Datos!$D$47:$AL$47,Datos!$D$3:$AL$3,"&gt;="&amp;DATE(YEAR(Datos!AL$3),1,1),Datos!$D$3:$AL$3,"&lt;="&amp;Datos!AL$3)</f>
        <v>0</v>
      </c>
      <c r="M1216" s="193">
        <f>INDEX(_TARGETS!$J$2:$J$17,MATCH($C1216,_TARGETS!$A$2:$A$17,0))</f>
        <v>1000000</v>
      </c>
      <c r="N1216" s="193" t="str">
        <f>INDEX(_TARGETS!$D$2:$D$17,MATCH($C1216,_TARGETS!$A$2:$A$17,0))</f>
        <v>eventos / 10^6 km</v>
      </c>
      <c r="O1216" s="193" t="str">
        <f t="shared" si="128"/>
        <v>MISSING</v>
      </c>
      <c r="P1216" s="193" t="str">
        <f>INDEX(_TARGETS!$K$2:$K$17,MATCH($C1216,_TARGETS!$A$2:$A$17,0))</f>
        <v>OPS (eventos) + Full Control GPS (km) - carga manual en Datos</v>
      </c>
      <c r="Q1216" s="193" t="str">
        <f t="shared" si="121"/>
        <v>202906|SVCR|YTD</v>
      </c>
      <c r="R1216" s="193" t="str">
        <f>INDEX(_TARGETS!$H$2:$H$17,MATCH($C1216,_TARGETS!$A$2:$A$17,0))</f>
        <v>Solo reporte</v>
      </c>
      <c r="S1216" s="193" t="str">
        <f t="shared" si="122"/>
        <v/>
      </c>
      <c r="T1216" s="193" t="str">
        <f t="shared" si="123"/>
        <v/>
      </c>
    </row>
    <row r="1217" spans="1:20" ht="14.25" customHeight="1" x14ac:dyDescent="0.3">
      <c r="A1217" s="249">
        <f>KPIs!$AL$3</f>
        <v>47270</v>
      </c>
      <c r="B1217" s="193" t="str">
        <f>KPIs!AL$4</f>
        <v>Compresora</v>
      </c>
      <c r="C1217" t="s">
        <v>61</v>
      </c>
      <c r="D1217" s="193" t="str">
        <f>KPIs!$A$41</f>
        <v>5 · Accidentes vehiculares totales por millón de km · YTD</v>
      </c>
      <c r="E1217" t="s">
        <v>601</v>
      </c>
      <c r="F1217" s="193" t="str">
        <f>IF(ISNUMBER(KPIs!AL41),KPIs!AL41,"")</f>
        <v/>
      </c>
      <c r="G1217" s="250">
        <f>IF(ISNUMBER(KPIs!$C$41),KPIs!$C$41,"")</f>
        <v>0.79</v>
      </c>
      <c r="H1217" s="193" t="str">
        <f>IFERROR(INDEX(_TARGETS!$E$2:$E$17,MATCH($C1217,_TARGETS!$A$2:$A$17,0))&amp;"","")</f>
        <v>≤</v>
      </c>
      <c r="I1217" s="193" t="str">
        <f t="shared" si="119"/>
        <v/>
      </c>
      <c r="J1217" s="193" t="str">
        <f t="shared" si="120"/>
        <v>YTD</v>
      </c>
      <c r="K1217" s="193">
        <f>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f>
        <v>0</v>
      </c>
      <c r="L1217" s="193">
        <f>SUMIFS(Datos!$D$47:$AL$47,Datos!$D$3:$AL$3,"&gt;="&amp;DATE(YEAR(Datos!AL$3),1,1),Datos!$D$3:$AL$3,"&lt;="&amp;Datos!AL$3)</f>
        <v>0</v>
      </c>
      <c r="M1217" s="193">
        <f>INDEX(_TARGETS!$J$2:$J$17,MATCH($C1217,_TARGETS!$A$2:$A$17,0))</f>
        <v>1000000</v>
      </c>
      <c r="N1217" s="193" t="str">
        <f>INDEX(_TARGETS!$D$2:$D$17,MATCH($C1217,_TARGETS!$A$2:$A$17,0))</f>
        <v>eventos / 10^6 km</v>
      </c>
      <c r="O1217" s="193" t="str">
        <f t="shared" si="128"/>
        <v>MISSING</v>
      </c>
      <c r="P1217" s="193" t="str">
        <f>INDEX(_TARGETS!$K$2:$K$17,MATCH($C1217,_TARGETS!$A$2:$A$17,0))</f>
        <v>OPS (eventos) + Full Control GPS (km) - carga manual en Datos</v>
      </c>
      <c r="Q1217" s="193" t="str">
        <f t="shared" si="121"/>
        <v>202906|TVCR|YTD</v>
      </c>
      <c r="R1217" s="193" t="str">
        <f>INDEX(_TARGETS!$H$2:$H$17,MATCH($C1217,_TARGETS!$A$2:$A$17,0))</f>
        <v>Definida</v>
      </c>
      <c r="S1217" s="193" t="str">
        <f t="shared" si="122"/>
        <v/>
      </c>
      <c r="T1217" s="193" t="str">
        <f t="shared" si="123"/>
        <v/>
      </c>
    </row>
    <row r="1218" spans="1:20" ht="14.25" customHeight="1" x14ac:dyDescent="0.3">
      <c r="A1218" s="249">
        <f>KPIs!$AL$3</f>
        <v>47270</v>
      </c>
      <c r="B1218" s="193" t="str">
        <f>KPIs!AL$4</f>
        <v>Compresora</v>
      </c>
      <c r="C1218" t="s">
        <v>71</v>
      </c>
      <c r="D1218" s="193" t="str">
        <f>KPIs!$A$42</f>
        <v>7 · Investigaciones de accidentes: días promedio de cierre · YTD</v>
      </c>
      <c r="E1218" t="s">
        <v>601</v>
      </c>
      <c r="F1218" s="193" t="str">
        <f>IF(ISNUMBER(KPIs!AL42),KPIs!AL42,"")</f>
        <v/>
      </c>
      <c r="G1218" s="251">
        <f>IF(ISNUMBER(KPIs!$C$42),KPIs!$C$42,"")</f>
        <v>20</v>
      </c>
      <c r="H1218" s="193" t="str">
        <f>IFERROR(INDEX(_TARGETS!$E$2:$E$17,MATCH($C1218,_TARGETS!$A$2:$A$17,0))&amp;"","")</f>
        <v>≤</v>
      </c>
      <c r="I1218" s="193" t="str">
        <f t="shared" ref="I1218:I1281" si="129">IF(OR(H1218="",F1218="",G1218=""),"",IF(IF(H1218="≤",F1218&lt;=G1218,F1218&gt;=G1218),"Sí","No"))</f>
        <v/>
      </c>
      <c r="J1218" s="193" t="str">
        <f t="shared" ref="J1218:J1281" si="130">IF(E1218="Mensual","Monthly",IF(E1218="Acumulado","Cumulative",E1218))</f>
        <v>YTD</v>
      </c>
      <c r="K1218" s="193">
        <f>SUMIFS(Datos!$D$31:$AL$31,Datos!$D$3:$AL$3,"&gt;="&amp;DATE(YEAR(Datos!AL$3),1,1),Datos!$D$3:$AL$3,"&lt;="&amp;Datos!AL$3)</f>
        <v>0</v>
      </c>
      <c r="L1218" s="193">
        <f>SUMIFS(Datos!$D$30:$AL$30,Datos!$D$3:$AL$3,"&gt;="&amp;DATE(YEAR(Datos!AL$3),1,1),Datos!$D$3:$AL$3,"&lt;="&amp;Datos!AL$3)</f>
        <v>0</v>
      </c>
      <c r="M1218" s="193">
        <f>INDEX(_TARGETS!$J$2:$J$17,MATCH($C1218,_TARGETS!$A$2:$A$17,0))</f>
        <v>1</v>
      </c>
      <c r="N1218" s="193" t="str">
        <f>INDEX(_TARGETS!$D$2:$D$17,MATCH($C1218,_TARGETS!$A$2:$A$17,0))</f>
        <v>días</v>
      </c>
      <c r="O1218" s="193" t="str">
        <f>IF(NOT(ISNUMBER(F1218)),IF(SUMPRODUCT(($C$2:$C$1300=C1218)*($J$2:$J$1300="Monthly")*($A$2:$A$1300&lt;=A1218)*(YEAR($A$2:$A$1300)=YEAR(A1218))*ISNUMBER($K$2:$K$1300)*ISNUMBER($L$2:$L$1300)*($L$2:$L$1300=0)*($K$2:$K$1300&gt;0))&gt;0,"INCOMPLETE","MISSING"),O722)</f>
        <v>MISSING</v>
      </c>
      <c r="P1218" s="193" t="str">
        <f>INDEX(_TARGETS!$K$2:$K$17,MATCH($C1218,_TARGETS!$A$2:$A$17,0))</f>
        <v>OPS (carga manual en Datos)</v>
      </c>
      <c r="Q1218" s="193" t="str">
        <f t="shared" ref="Q1218:Q1281" si="131">YEAR(A1218)*100+MONTH(A1218)&amp;"|"&amp;C1218&amp;"|"&amp;J1218</f>
        <v>202906|INV|YTD</v>
      </c>
      <c r="R1218" s="193" t="str">
        <f>INDEX(_TARGETS!$H$2:$H$17,MATCH($C1218,_TARGETS!$A$2:$A$17,0))</f>
        <v>Definida</v>
      </c>
      <c r="S1218" s="193" t="str">
        <f t="shared" ref="S1218:S1226" si="132">IF(AND(ISNUMBER(K1218),ISNUMBER(L1218)),IF(L1218=0,"",K1218*M1218/L1218),IF(ISNUMBER(K1218),K1218*M1218,""))</f>
        <v/>
      </c>
      <c r="T1218" s="193" t="str">
        <f t="shared" ref="T1218:T1281" si="133">IF(AND(ISNUMBER(F1218),ISNUMBER(S1218)),ABS(F1218-S1218),"")</f>
        <v/>
      </c>
    </row>
    <row r="1219" spans="1:20" ht="14.25" customHeight="1" x14ac:dyDescent="0.3">
      <c r="A1219" s="249">
        <f>KPIs!$AL$3</f>
        <v>47270</v>
      </c>
      <c r="B1219" s="193" t="str">
        <f>KPIs!AL$4</f>
        <v>Compresora</v>
      </c>
      <c r="C1219" t="s">
        <v>76</v>
      </c>
      <c r="D1219" s="193" t="str">
        <f>KPIs!$A$43</f>
        <v>8 · % de capacitación en seguridad · YTD</v>
      </c>
      <c r="E1219" t="s">
        <v>601</v>
      </c>
      <c r="F1219" s="193" t="str">
        <f>IF(ISNUMBER(KPIs!AL43),KPIs!AL43,"")</f>
        <v/>
      </c>
      <c r="G1219" s="252">
        <f>IF(ISNUMBER(KPIs!$C$43),KPIs!$C$43,"")</f>
        <v>0.01</v>
      </c>
      <c r="H1219" s="193" t="str">
        <f>IFERROR(INDEX(_TARGETS!$E$2:$E$17,MATCH($C1219,_TARGETS!$A$2:$A$17,0))&amp;"","")</f>
        <v>≥</v>
      </c>
      <c r="I1219" s="193" t="str">
        <f t="shared" si="129"/>
        <v/>
      </c>
      <c r="J1219" s="193" t="str">
        <f t="shared" si="130"/>
        <v>YTD</v>
      </c>
      <c r="K1219" s="193">
        <f>SUMIFS(Datos!$D$18:$AL$18,Datos!$D$3:$AL$3,"&gt;="&amp;DATE(YEAR(Datos!AL$3),1,1),Datos!$D$3:$AL$3,"&lt;="&amp;Datos!AL$3)</f>
        <v>0</v>
      </c>
      <c r="L1219" s="193">
        <f>SUMIFS(Datos!$D$14:$AL$14,Datos!$D$3:$AL$3,"&gt;="&amp;DATE(YEAR(Datos!AL$3),1,1),Datos!$D$3:$AL$3,"&lt;="&amp;Datos!AL$3)</f>
        <v>0</v>
      </c>
      <c r="M1219" s="193">
        <f>INDEX(_TARGETS!$J$2:$J$17,MATCH($C1219,_TARGETS!$A$2:$A$17,0))</f>
        <v>1</v>
      </c>
      <c r="N1219" s="193" t="str">
        <f>INDEX(_TARGETS!$D$2:$D$17,MATCH($C1219,_TARGETS!$A$2:$A$17,0))</f>
        <v>% (fracción)</v>
      </c>
      <c r="O1219" s="193" t="str">
        <f>IF(NOT(ISNUMBER(F1219)),IF(SUMPRODUCT(($C$2:$C$1300=C1219)*($J$2:$J$1300="Monthly")*($A$2:$A$1300&lt;=A1219)*(YEAR($A$2:$A$1300)=YEAR(A1219))*ISNUMBER($K$2:$K$1300)*ISNUMBER($L$2:$L$1300)*($L$2:$L$1300=0)*($K$2:$K$1300&gt;0))&gt;0,"INCOMPLETE","MISSING"),O723)</f>
        <v>MISSING</v>
      </c>
      <c r="P1219" s="193" t="str">
        <f>INDEX(_TARGETS!$K$2:$K$17,MATCH($C1219,_TARGETS!$A$2:$A$17,0))</f>
        <v>OPS (carga manual en Datos)</v>
      </c>
      <c r="Q1219" s="193" t="str">
        <f t="shared" si="131"/>
        <v>202906|HCS|YTD</v>
      </c>
      <c r="R1219" s="193" t="str">
        <f>INDEX(_TARGETS!$H$2:$H$17,MATCH($C1219,_TARGETS!$A$2:$A$17,0))</f>
        <v>Definida</v>
      </c>
      <c r="S1219" s="193" t="str">
        <f t="shared" si="132"/>
        <v/>
      </c>
      <c r="T1219" s="193" t="str">
        <f t="shared" si="133"/>
        <v/>
      </c>
    </row>
    <row r="1220" spans="1:20" ht="14.25" customHeight="1" x14ac:dyDescent="0.3">
      <c r="A1220" s="249">
        <f>KPIs!$AL$3</f>
        <v>47270</v>
      </c>
      <c r="B1220" s="193" t="str">
        <f>KPIs!AL$4</f>
        <v>Compresora</v>
      </c>
      <c r="C1220" t="s">
        <v>83</v>
      </c>
      <c r="D1220" s="193" t="str">
        <f>KPIs!$A$44</f>
        <v>10 · Cumplimiento de simulacros (emergencia y operativos) · YTD</v>
      </c>
      <c r="E1220" t="s">
        <v>601</v>
      </c>
      <c r="F1220" s="193" t="str">
        <f>IF(ISNUMBER(KPIs!AL44),KPIs!AL44,"")</f>
        <v/>
      </c>
      <c r="G1220" s="253">
        <f>IF(ISNUMBER(KPIs!$C$44),KPIs!$C$44,"")</f>
        <v>1</v>
      </c>
      <c r="H1220" s="193" t="str">
        <f>IFERROR(INDEX(_TARGETS!$E$2:$E$17,MATCH($C1220,_TARGETS!$A$2:$A$17,0))&amp;"","")</f>
        <v>≥</v>
      </c>
      <c r="I1220" s="193" t="str">
        <f t="shared" si="129"/>
        <v/>
      </c>
      <c r="J1220" s="193" t="str">
        <f t="shared" si="130"/>
        <v>YTD</v>
      </c>
      <c r="K1220" s="193">
        <f>SUMIFS(Datos!$D$20:$AL$20,Datos!$D$3:$AL$3,"&gt;="&amp;DATE(YEAR(Datos!AL$3),1,1),Datos!$D$3:$AL$3,"&lt;="&amp;Datos!AL$3)</f>
        <v>0</v>
      </c>
      <c r="L1220" s="193">
        <f>SUMIFS(Datos!$D$21:$AL$21,Datos!$D$3:$AL$3,"&gt;="&amp;DATE(YEAR(Datos!AL$3),1,1),Datos!$D$3:$AL$3,"&lt;="&amp;Datos!AL$3)</f>
        <v>0</v>
      </c>
      <c r="M1220" s="193">
        <f>INDEX(_TARGETS!$J$2:$J$17,MATCH($C1220,_TARGETS!$A$2:$A$17,0))</f>
        <v>1</v>
      </c>
      <c r="N1220" s="193" t="str">
        <f>INDEX(_TARGETS!$D$2:$D$17,MATCH($C1220,_TARGETS!$A$2:$A$17,0))</f>
        <v>% (fracción)</v>
      </c>
      <c r="O1220" s="193" t="str">
        <f>IF(NOT(ISNUMBER(F1220)),IF(SUMPRODUCT(($C$2:$C$1300=C1220)*($J$2:$J$1300="Monthly")*($A$2:$A$1300&lt;=A1220)*(YEAR($A$2:$A$1300)=YEAR(A1220))*ISNUMBER($K$2:$K$1300)*ISNUMBER($L$2:$L$1300)*($L$2:$L$1300=0)*($K$2:$K$1300&gt;0))&gt;0,"INCOMPLETE","MISSING"),O725)</f>
        <v>MISSING</v>
      </c>
      <c r="P1220" s="193" t="str">
        <f>INDEX(_TARGETS!$K$2:$K$17,MATCH($C1220,_TARGETS!$A$2:$A$17,0))</f>
        <v>OPS (carga manual en Datos)</v>
      </c>
      <c r="Q1220" s="193" t="str">
        <f t="shared" si="131"/>
        <v>202906|CPSE|YTD</v>
      </c>
      <c r="R1220" s="193" t="str">
        <f>INDEX(_TARGETS!$H$2:$H$17,MATCH($C1220,_TARGETS!$A$2:$A$17,0))</f>
        <v>Definida</v>
      </c>
      <c r="S1220" s="193" t="str">
        <f t="shared" si="132"/>
        <v/>
      </c>
      <c r="T1220" s="193" t="str">
        <f t="shared" si="133"/>
        <v/>
      </c>
    </row>
    <row r="1221" spans="1:20" ht="14.25" customHeight="1" x14ac:dyDescent="0.3">
      <c r="A1221" s="249">
        <f>KPIs!$AL$3</f>
        <v>47270</v>
      </c>
      <c r="B1221" s="193" t="str">
        <f>KPIs!AL$4</f>
        <v>Compresora</v>
      </c>
      <c r="C1221" t="s">
        <v>85</v>
      </c>
      <c r="D1221" s="193" t="str">
        <f>KPIs!$A$45</f>
        <v>10b · Cumplimiento de acciones de mejora de simulacros · YTD</v>
      </c>
      <c r="E1221" t="s">
        <v>601</v>
      </c>
      <c r="F1221" s="193" t="str">
        <f>IF(ISNUMBER(KPIs!AL45),KPIs!AL45,"")</f>
        <v/>
      </c>
      <c r="G1221" s="254" t="str">
        <f>IF(ISNUMBER(KPIs!$C$45),KPIs!$C$45,"")</f>
        <v/>
      </c>
      <c r="H1221" s="193" t="str">
        <f>IFERROR(INDEX(_TARGETS!$E$2:$E$17,MATCH($C1221,_TARGETS!$A$2:$A$17,0))&amp;"","")</f>
        <v/>
      </c>
      <c r="I1221" s="193" t="str">
        <f t="shared" si="129"/>
        <v/>
      </c>
      <c r="J1221" s="193" t="str">
        <f t="shared" si="130"/>
        <v>YTD</v>
      </c>
      <c r="K1221" s="193">
        <f>SUMIFS(Datos!$D$23:$AL$23,Datos!$D$3:$AL$3,"&gt;="&amp;DATE(YEAR(Datos!AL$3),1,1),Datos!$D$3:$AL$3,"&lt;="&amp;Datos!AL$3)</f>
        <v>0</v>
      </c>
      <c r="L1221" s="193">
        <f>SUMIFS(Datos!$D$22:$AL$22,Datos!$D$3:$AL$3,"&gt;="&amp;DATE(YEAR(Datos!AL$3),1,1),Datos!$D$3:$AL$3,"&lt;="&amp;Datos!AL$3)</f>
        <v>0</v>
      </c>
      <c r="M1221" s="193">
        <f>INDEX(_TARGETS!$J$2:$J$17,MATCH($C1221,_TARGETS!$A$2:$A$17,0))</f>
        <v>1</v>
      </c>
      <c r="N1221" s="193" t="str">
        <f>INDEX(_TARGETS!$D$2:$D$17,MATCH($C1221,_TARGETS!$A$2:$A$17,0))</f>
        <v>% (fracción)</v>
      </c>
      <c r="O1221" s="193" t="str">
        <f>IF(NOT(ISNUMBER(F1221)),IF(SUMPRODUCT(($C$2:$C$1300=C1221)*($J$2:$J$1300="Monthly")*($A$2:$A$1300&lt;=A1221)*(YEAR($A$2:$A$1300)=YEAR(A1221))*ISNUMBER($K$2:$K$1300)*ISNUMBER($L$2:$L$1300)*($L$2:$L$1300=0)*($K$2:$K$1300&gt;0))&gt;0,"INCOMPLETE","MISSING"),O726)</f>
        <v>MISSING</v>
      </c>
      <c r="P1221" s="193" t="str">
        <f>INDEX(_TARGETS!$K$2:$K$17,MATCH($C1221,_TARGETS!$A$2:$A$17,0))</f>
        <v>OPS (carga manual en Datos)</v>
      </c>
      <c r="Q1221" s="193" t="str">
        <f t="shared" si="131"/>
        <v>202906|CAMS|YTD</v>
      </c>
      <c r="R1221" s="193" t="str">
        <f>INDEX(_TARGETS!$H$2:$H$17,MATCH($C1221,_TARGETS!$A$2:$A$17,0))</f>
        <v>Solo reporte</v>
      </c>
      <c r="S1221" s="193" t="str">
        <f t="shared" si="132"/>
        <v/>
      </c>
      <c r="T1221" s="193" t="str">
        <f t="shared" si="133"/>
        <v/>
      </c>
    </row>
    <row r="1222" spans="1:20" ht="14.25" customHeight="1" x14ac:dyDescent="0.3">
      <c r="A1222" s="249">
        <f>KPIs!$AL$3</f>
        <v>47270</v>
      </c>
      <c r="B1222" s="193" t="str">
        <f>KPIs!AL$4</f>
        <v>Compresora</v>
      </c>
      <c r="C1222" t="s">
        <v>87</v>
      </c>
      <c r="D1222" s="193" t="str">
        <f>KPIs!$A$46</f>
        <v>11 · Cumplimiento de caminatas gerenciales · YTD</v>
      </c>
      <c r="E1222" t="s">
        <v>601</v>
      </c>
      <c r="F1222" s="193" t="str">
        <f>IF(ISNUMBER(KPIs!AL46),KPIs!AL46,"")</f>
        <v/>
      </c>
      <c r="G1222" s="254">
        <f>IF(ISNUMBER(KPIs!$C$46),KPIs!$C$46,"")</f>
        <v>1</v>
      </c>
      <c r="H1222" s="193" t="str">
        <f>IFERROR(INDEX(_TARGETS!$E$2:$E$17,MATCH($C1222,_TARGETS!$A$2:$A$17,0))&amp;"","")</f>
        <v>≥</v>
      </c>
      <c r="I1222" s="193" t="str">
        <f t="shared" si="129"/>
        <v/>
      </c>
      <c r="J1222" s="193" t="str">
        <f t="shared" si="130"/>
        <v>YTD</v>
      </c>
      <c r="K1222" s="193">
        <f>SUMIFS(Datos!$D$24:$AL$24,Datos!$D$3:$AL$3,"&gt;="&amp;DATE(YEAR(Datos!AL$3),1,1),Datos!$D$3:$AL$3,"&lt;="&amp;Datos!AL$3)</f>
        <v>0</v>
      </c>
      <c r="L1222" s="193">
        <f>SUMIFS(Datos!$D$25:$AL$25,Datos!$D$3:$AL$3,"&gt;="&amp;DATE(YEAR(Datos!AL$3),1,1),Datos!$D$3:$AL$3,"&lt;="&amp;Datos!AL$3)</f>
        <v>0</v>
      </c>
      <c r="M1222" s="193">
        <f>INDEX(_TARGETS!$J$2:$J$17,MATCH($C1222,_TARGETS!$A$2:$A$17,0))</f>
        <v>1</v>
      </c>
      <c r="N1222" s="193" t="str">
        <f>INDEX(_TARGETS!$D$2:$D$17,MATCH($C1222,_TARGETS!$A$2:$A$17,0))</f>
        <v>% (fracción)</v>
      </c>
      <c r="O1222" s="193" t="str">
        <f>IF(NOT(ISNUMBER(F1222)),IF(SUMPRODUCT(($C$2:$C$1300=C1222)*($J$2:$J$1300="Monthly")*($A$2:$A$1300&lt;=A1222)*(YEAR($A$2:$A$1300)=YEAR(A1222))*ISNUMBER($K$2:$K$1300)*ISNUMBER($L$2:$L$1300)*($L$2:$L$1300=0)*($K$2:$K$1300&gt;0))&gt;0,"INCOMPLETE","MISSING"),O727)</f>
        <v>MISSING</v>
      </c>
      <c r="P1222" s="193" t="str">
        <f>INDEX(_TARGETS!$K$2:$K$17,MATCH($C1222,_TARGETS!$A$2:$A$17,0))</f>
        <v>OPS (carga manual en Datos)</v>
      </c>
      <c r="Q1222" s="193" t="str">
        <f t="shared" si="131"/>
        <v>202906|ICCS|YTD</v>
      </c>
      <c r="R1222" s="193" t="str">
        <f>INDEX(_TARGETS!$H$2:$H$17,MATCH($C1222,_TARGETS!$A$2:$A$17,0))</f>
        <v>Definida</v>
      </c>
      <c r="S1222" s="193" t="str">
        <f t="shared" si="132"/>
        <v/>
      </c>
      <c r="T1222" s="193" t="str">
        <f t="shared" si="133"/>
        <v/>
      </c>
    </row>
    <row r="1223" spans="1:20" ht="14.25" customHeight="1" x14ac:dyDescent="0.3">
      <c r="A1223" s="249">
        <f>KPIs!$AL$3</f>
        <v>47270</v>
      </c>
      <c r="B1223" s="193" t="str">
        <f>KPIs!AL$4</f>
        <v>Compresora</v>
      </c>
      <c r="C1223" t="s">
        <v>89</v>
      </c>
      <c r="D1223" s="193" t="str">
        <f>KPIs!$A$47</f>
        <v>12 · Cumplimiento de comités y subcomités de seguridad · YTD</v>
      </c>
      <c r="E1223" t="s">
        <v>601</v>
      </c>
      <c r="F1223" s="193" t="str">
        <f>IF(ISNUMBER(KPIs!AL47),KPIs!AL47,"")</f>
        <v/>
      </c>
      <c r="G1223" s="254">
        <f>IF(ISNUMBER(KPIs!$C$47),KPIs!$C$47,"")</f>
        <v>1</v>
      </c>
      <c r="H1223" s="193" t="str">
        <f>IFERROR(INDEX(_TARGETS!$E$2:$E$17,MATCH($C1223,_TARGETS!$A$2:$A$17,0))&amp;"","")</f>
        <v>≥</v>
      </c>
      <c r="I1223" s="193" t="str">
        <f t="shared" si="129"/>
        <v/>
      </c>
      <c r="J1223" s="193" t="str">
        <f t="shared" si="130"/>
        <v>YTD</v>
      </c>
      <c r="K1223" s="193">
        <f>SUMIFS(Datos!$D$26:$AL$26,Datos!$D$3:$AL$3,"&gt;="&amp;DATE(YEAR(Datos!AL$3),1,1),Datos!$D$3:$AL$3,"&lt;="&amp;Datos!AL$3)</f>
        <v>0</v>
      </c>
      <c r="L1223" s="193">
        <f>SUMIFS(Datos!$D$27:$AL$27,Datos!$D$3:$AL$3,"&gt;="&amp;DATE(YEAR(Datos!AL$3),1,1),Datos!$D$3:$AL$3,"&lt;="&amp;Datos!AL$3)</f>
        <v>0</v>
      </c>
      <c r="M1223" s="193">
        <f>INDEX(_TARGETS!$J$2:$J$17,MATCH($C1223,_TARGETS!$A$2:$A$17,0))</f>
        <v>1</v>
      </c>
      <c r="N1223" s="193" t="str">
        <f>INDEX(_TARGETS!$D$2:$D$17,MATCH($C1223,_TARGETS!$A$2:$A$17,0))</f>
        <v>% (fracción)</v>
      </c>
      <c r="O1223" s="193" t="str">
        <f>IF(NOT(ISNUMBER(F1223)),IF(SUMPRODUCT(($C$2:$C$1300=C1223)*($J$2:$J$1300="Monthly")*($A$2:$A$1300&lt;=A1223)*(YEAR($A$2:$A$1300)=YEAR(A1223))*ISNUMBER($K$2:$K$1300)*ISNUMBER($L$2:$L$1300)*($L$2:$L$1300=0)*($K$2:$K$1300&gt;0))&gt;0,"INCOMPLETE","MISSING"),O728)</f>
        <v>MISSING</v>
      </c>
      <c r="P1223" s="193" t="str">
        <f>INDEX(_TARGETS!$K$2:$K$17,MATCH($C1223,_TARGETS!$A$2:$A$17,0))</f>
        <v>OPS (carga manual en Datos)</v>
      </c>
      <c r="Q1223" s="193" t="str">
        <f t="shared" si="131"/>
        <v>202906|CCS|YTD</v>
      </c>
      <c r="R1223" s="193" t="str">
        <f>INDEX(_TARGETS!$H$2:$H$17,MATCH($C1223,_TARGETS!$A$2:$A$17,0))</f>
        <v>Definida</v>
      </c>
      <c r="S1223" s="193" t="str">
        <f t="shared" si="132"/>
        <v/>
      </c>
      <c r="T1223" s="193" t="str">
        <f t="shared" si="133"/>
        <v/>
      </c>
    </row>
    <row r="1224" spans="1:20" ht="14.25" customHeight="1" x14ac:dyDescent="0.3">
      <c r="A1224" s="249">
        <f>KPIs!$AL$3</f>
        <v>47270</v>
      </c>
      <c r="B1224" s="193" t="str">
        <f>KPIs!AL$4</f>
        <v>Compresora</v>
      </c>
      <c r="C1224" t="s">
        <v>91</v>
      </c>
      <c r="D1224" s="193" t="str">
        <f>KPIs!$A$48</f>
        <v>13 · Días promedio para cerrar hallazgos · YTD</v>
      </c>
      <c r="E1224" t="s">
        <v>601</v>
      </c>
      <c r="F1224" s="251" t="str">
        <f>IF(ISNUMBER(KPIs!AL48),KPIs!AL48,"")</f>
        <v/>
      </c>
      <c r="G1224" s="193" t="str">
        <f>IF(ISNUMBER(KPIs!$C$48),KPIs!$C$48,"")</f>
        <v/>
      </c>
      <c r="H1224" s="193" t="str">
        <f>IFERROR(INDEX(_TARGETS!$E$2:$E$17,MATCH($C1224,_TARGETS!$A$2:$A$17,0))&amp;"","")</f>
        <v>≤</v>
      </c>
      <c r="I1224" s="193" t="str">
        <f t="shared" si="129"/>
        <v/>
      </c>
      <c r="J1224" s="193" t="str">
        <f t="shared" si="130"/>
        <v>YTD</v>
      </c>
      <c r="K1224" s="193">
        <f>SUMIFS(Datos!$D$68:$AL$68,Datos!$D$3:$AL$3,"&gt;="&amp;DATE(YEAR(Datos!AL$3),1,1),Datos!$D$3:$AL$3,"&lt;="&amp;Datos!AL$3)</f>
        <v>0</v>
      </c>
      <c r="L1224" s="193">
        <f>SUMIFS(Datos!$D$67:$AL$67,Datos!$D$3:$AL$3,"&gt;="&amp;DATE(YEAR(Datos!AL$3),1,1),Datos!$D$3:$AL$3,"&lt;="&amp;Datos!AL$3)</f>
        <v>0</v>
      </c>
      <c r="M1224" s="193">
        <f>INDEX(_TARGETS!$J$2:$J$17,MATCH($C1224,_TARGETS!$A$2:$A$17,0))</f>
        <v>1</v>
      </c>
      <c r="N1224" s="193" t="str">
        <f>INDEX(_TARGETS!$D$2:$D$17,MATCH($C1224,_TARGETS!$A$2:$A$17,0))</f>
        <v>días</v>
      </c>
      <c r="O1224" s="193" t="str">
        <f>IF(NOT(ISNUMBER(F1224)),IF(SUMPRODUCT(($C$2:$C$1300=C1224)*($J$2:$J$1300="Monthly")*($A$2:$A$1300&lt;=A1224)*(YEAR($A$2:$A$1300)=YEAR(A1224))*ISNUMBER($K$2:$K$1300)*ISNUMBER($L$2:$L$1300)*($L$2:$L$1300=0)*($K$2:$K$1300&gt;0))&gt;0,"INCOMPLETE","MISSING"),O729)</f>
        <v>MISSING</v>
      </c>
      <c r="P1224" s="193" t="str">
        <f>INDEX(_TARGETS!$K$2:$K$17,MATCH($C1224,_TARGETS!$A$2:$A$17,0))</f>
        <v>Plant Findings (hoja Observaciones-SMP)</v>
      </c>
      <c r="Q1224" s="193" t="str">
        <f t="shared" si="131"/>
        <v>202906|DPAS|YTD</v>
      </c>
      <c r="R1224" s="193" t="str">
        <f>INDEX(_TARGETS!$H$2:$H$17,MATCH($C1224,_TARGETS!$A$2:$A$17,0))</f>
        <v>Pendiente (meta 2027)</v>
      </c>
      <c r="S1224" s="193" t="str">
        <f t="shared" si="132"/>
        <v/>
      </c>
      <c r="T1224" s="193" t="str">
        <f t="shared" si="133"/>
        <v/>
      </c>
    </row>
    <row r="1225" spans="1:20" ht="14.25" customHeight="1" x14ac:dyDescent="0.3">
      <c r="A1225" s="249">
        <f>KPIs!$AL$3</f>
        <v>47270</v>
      </c>
      <c r="B1225" s="193" t="str">
        <f>KPIs!AL$4</f>
        <v>Compresora</v>
      </c>
      <c r="C1225" t="s">
        <v>96</v>
      </c>
      <c r="D1225" s="193" t="str">
        <f>KPIs!$A$49</f>
        <v>C1 · % de desvíos detectados de gravedad Alta · YTD</v>
      </c>
      <c r="E1225" t="s">
        <v>601</v>
      </c>
      <c r="F1225" s="193" t="str">
        <f>IF(ISNUMBER(KPIs!AL49),KPIs!AL49,"")</f>
        <v/>
      </c>
      <c r="G1225" s="193" t="str">
        <f>IF(ISNUMBER(KPIs!$C$49),KPIs!$C$49,"")</f>
        <v/>
      </c>
      <c r="H1225" s="193" t="str">
        <f>IFERROR(INDEX(_TARGETS!$E$2:$E$17,MATCH($C1225,_TARGETS!$A$2:$A$17,0))&amp;"","")</f>
        <v/>
      </c>
      <c r="I1225" s="193" t="str">
        <f t="shared" si="129"/>
        <v/>
      </c>
      <c r="J1225" s="193" t="str">
        <f t="shared" si="130"/>
        <v>YTD</v>
      </c>
      <c r="K1225" s="193">
        <f>SUMIFS(Datos!$D$71:$AL$71,Datos!$D$3:$AL$3,"&gt;="&amp;DATE(YEAR(Datos!AL$3),1,1),Datos!$D$3:$AL$3,"&lt;="&amp;Datos!AL$3)</f>
        <v>0</v>
      </c>
      <c r="L1225" s="193">
        <f>SUMIFS(Datos!$D$71:$AL$71,Datos!$D$3:$AL$3,"&gt;="&amp;DATE(YEAR(Datos!AL$3),1,1),Datos!$D$3:$AL$3,"&lt;="&amp;Datos!AL$3)+SUMIFS(Datos!$D$72:$AL$72,Datos!$D$3:$AL$3,"&gt;="&amp;DATE(YEAR(Datos!AL$3),1,1),Datos!$D$3:$AL$3,"&lt;="&amp;Datos!AL$3)+SUMIFS(Datos!$D$73:$AL$73,Datos!$D$3:$AL$3,"&gt;="&amp;DATE(YEAR(Datos!AL$3),1,1),Datos!$D$3:$AL$3,"&lt;="&amp;Datos!AL$3)</f>
        <v>0</v>
      </c>
      <c r="M1225" s="193">
        <f>INDEX(_TARGETS!$J$2:$J$17,MATCH($C1225,_TARGETS!$A$2:$A$17,0))</f>
        <v>1</v>
      </c>
      <c r="N1225" s="193" t="str">
        <f>INDEX(_TARGETS!$D$2:$D$17,MATCH($C1225,_TARGETS!$A$2:$A$17,0))</f>
        <v>% (fracción)</v>
      </c>
      <c r="O1225" s="193" t="str">
        <f>IF(NOT(ISNUMBER(F1225)),IF(SUMPRODUCT(($C$2:$C$1300=C1225)*($J$2:$J$1300="Monthly")*($A$2:$A$1300&lt;=A1225)*(YEAR($A$2:$A$1300)=YEAR(A1225))*ISNUMBER($K$2:$K$1300)*ISNUMBER($L$2:$L$1300)*($L$2:$L$1300=0)*($K$2:$K$1300&gt;0))&gt;0,"INCOMPLETE","MISSING"),O735)</f>
        <v>MISSING</v>
      </c>
      <c r="P1225" s="193" t="str">
        <f>INDEX(_TARGETS!$K$2:$K$17,MATCH($C1225,_TARGETS!$A$2:$A$17,0))</f>
        <v>Plant Findings (hoja Observaciones-SMP)</v>
      </c>
      <c r="Q1225" s="193" t="str">
        <f t="shared" si="131"/>
        <v>202906|HAL_ALTA_PCT|YTD</v>
      </c>
      <c r="R1225" s="193" t="str">
        <f>INDEX(_TARGETS!$H$2:$H$17,MATCH($C1225,_TARGETS!$A$2:$A$17,0))</f>
        <v>Solo reporte</v>
      </c>
      <c r="S1225" s="193" t="str">
        <f t="shared" si="132"/>
        <v/>
      </c>
      <c r="T1225" s="193" t="str">
        <f t="shared" si="133"/>
        <v/>
      </c>
    </row>
    <row r="1226" spans="1:20" ht="14.25" customHeight="1" x14ac:dyDescent="0.3">
      <c r="A1226" s="249">
        <f>KPIs!$AL$3</f>
        <v>47270</v>
      </c>
      <c r="B1226" s="193" t="str">
        <f>KPIs!AL$4</f>
        <v>Compresora</v>
      </c>
      <c r="C1226" t="s">
        <v>98</v>
      </c>
      <c r="D1226" s="193" t="str">
        <f>KPIs!$A$50</f>
        <v>C2 · Detenciones de tareas aplicadas · YTD</v>
      </c>
      <c r="E1226" t="s">
        <v>601</v>
      </c>
      <c r="F1226" s="193" t="str">
        <f>IF(ISNUMBER(KPIs!AL50),KPIs!AL50,"")</f>
        <v/>
      </c>
      <c r="G1226" s="193" t="str">
        <f>IF(ISNUMBER(KPIs!$C$50),KPIs!$C$50,"")</f>
        <v/>
      </c>
      <c r="H1226" s="193" t="str">
        <f>IFERROR(INDEX(_TARGETS!$E$2:$E$17,MATCH($C1226,_TARGETS!$A$2:$A$17,0))&amp;"","")</f>
        <v/>
      </c>
      <c r="I1226" s="193" t="str">
        <f t="shared" si="129"/>
        <v/>
      </c>
      <c r="J1226" s="193" t="str">
        <f t="shared" si="130"/>
        <v>YTD</v>
      </c>
      <c r="K1226" s="193">
        <f>SUMIFS(Datos!$D$75:$AL$75,Datos!$D$3:$AL$3,"&gt;="&amp;DATE(YEAR(Datos!AL$3),1,1),Datos!$D$3:$AL$3,"&lt;="&amp;Datos!AL$3)</f>
        <v>0</v>
      </c>
      <c r="M1226" s="193">
        <f>INDEX(_TARGETS!$J$2:$J$17,MATCH($C1226,_TARGETS!$A$2:$A$17,0))</f>
        <v>1</v>
      </c>
      <c r="N1226" s="193" t="str">
        <f>INDEX(_TARGETS!$D$2:$D$17,MATCH($C1226,_TARGETS!$A$2:$A$17,0))</f>
        <v>u</v>
      </c>
      <c r="O1226" s="193" t="str">
        <f>IF(NOT(ISNUMBER(F1226)),IF(SUMPRODUCT(($C$2:$C$1300=C1226)*($J$2:$J$1300="Monthly")*($A$2:$A$1300&lt;=A1226)*(YEAR($A$2:$A$1300)=YEAR(A1226))*ISNUMBER($K$2:$K$1300)*ISNUMBER($L$2:$L$1300)*($L$2:$L$1300=0)*($K$2:$K$1300&gt;0))&gt;0,"INCOMPLETE","MISSING"),O736)</f>
        <v>MISSING</v>
      </c>
      <c r="P1226" s="193" t="str">
        <f>INDEX(_TARGETS!$K$2:$K$17,MATCH($C1226,_TARGETS!$A$2:$A$17,0))</f>
        <v>Plant Findings (hoja Observaciones-SMP)</v>
      </c>
      <c r="Q1226" s="193" t="str">
        <f t="shared" si="131"/>
        <v>202906|DET|YTD</v>
      </c>
      <c r="R1226" s="193" t="str">
        <f>INDEX(_TARGETS!$H$2:$H$17,MATCH($C1226,_TARGETS!$A$2:$A$17,0))</f>
        <v>Solo reporte</v>
      </c>
      <c r="S1226" s="193">
        <f t="shared" si="132"/>
        <v>0</v>
      </c>
      <c r="T1226" s="193" t="str">
        <f t="shared" si="133"/>
        <v/>
      </c>
    </row>
    <row r="1227" spans="1:20" x14ac:dyDescent="0.3">
      <c r="A1227" s="245">
        <f>KPIs!$D$3</f>
        <v>46235</v>
      </c>
      <c r="B1227" s="199" t="str">
        <f>KPIs!D$4</f>
        <v>Compresora</v>
      </c>
      <c r="C1227" s="31" t="s">
        <v>602</v>
      </c>
      <c r="D1227" s="199" t="str">
        <f>KPIs!$A$57</f>
        <v>IAP · Accidentes de alto potencial x 1.000.000 / Horas Hombre Trabajadas</v>
      </c>
      <c r="E1227" s="31" t="s">
        <v>599</v>
      </c>
      <c r="F1227" s="247" t="str">
        <f>IF(ISNUMBER(KPIs!D57),KPIs!D57,"")</f>
        <v/>
      </c>
      <c r="G1227" s="247" t="str">
        <f>IF(ISNUMBER(KPIs!$C$57),KPIs!$C$57,"")</f>
        <v/>
      </c>
      <c r="H1227" s="199" t="str">
        <f>""</f>
        <v/>
      </c>
      <c r="I1227" s="199" t="str">
        <f t="shared" si="129"/>
        <v/>
      </c>
      <c r="J1227" s="193" t="str">
        <f t="shared" si="130"/>
        <v>Monthly</v>
      </c>
      <c r="K1227" s="88"/>
      <c r="L1227" s="88"/>
      <c r="M1227">
        <v>1000000</v>
      </c>
      <c r="N1227" t="s">
        <v>603</v>
      </c>
      <c r="O1227" s="193" t="str">
        <f t="shared" ref="O1227:O1258" si="134">IF(ISNUMBER(F1227),"OK","MISSING")</f>
        <v>MISSING</v>
      </c>
      <c r="P1227" t="s">
        <v>604</v>
      </c>
      <c r="Q1227" s="193" t="str">
        <f t="shared" si="131"/>
        <v>202608|IAP|Monthly</v>
      </c>
      <c r="R1227" t="s">
        <v>605</v>
      </c>
      <c r="S1227" s="193" t="str">
        <f t="shared" ref="S1227:S1258" si="135">IF(ISNUMBER(F1227),F1227,"")</f>
        <v/>
      </c>
      <c r="T1227" s="193" t="str">
        <f t="shared" si="133"/>
        <v/>
      </c>
    </row>
    <row r="1228" spans="1:20" x14ac:dyDescent="0.3">
      <c r="A1228" s="245">
        <f>KPIs!$D$3</f>
        <v>46235</v>
      </c>
      <c r="B1228" s="199" t="str">
        <f>KPIs!D$4</f>
        <v>Compresora</v>
      </c>
      <c r="C1228" s="31" t="s">
        <v>606</v>
      </c>
      <c r="D1228" s="199" t="str">
        <f>KPIs!$A$58</f>
        <v>IAE · Accidentes de alta energía x 1.000.000 / Horas Hombre Trabajadas</v>
      </c>
      <c r="E1228" s="31" t="s">
        <v>599</v>
      </c>
      <c r="F1228" s="247" t="str">
        <f>IF(ISNUMBER(KPIs!D58),KPIs!D58,"")</f>
        <v/>
      </c>
      <c r="G1228" s="247" t="str">
        <f>IF(ISNUMBER(KPIs!$C$58),KPIs!$C$58,"")</f>
        <v/>
      </c>
      <c r="H1228" s="199" t="str">
        <f>""</f>
        <v/>
      </c>
      <c r="I1228" s="199" t="str">
        <f t="shared" si="129"/>
        <v/>
      </c>
      <c r="J1228" s="193" t="str">
        <f t="shared" si="130"/>
        <v>Monthly</v>
      </c>
      <c r="K1228" s="88"/>
      <c r="L1228" s="88"/>
      <c r="M1228">
        <v>1000000</v>
      </c>
      <c r="N1228" t="s">
        <v>603</v>
      </c>
      <c r="O1228" s="193" t="str">
        <f t="shared" si="134"/>
        <v>MISSING</v>
      </c>
      <c r="P1228" t="s">
        <v>604</v>
      </c>
      <c r="Q1228" s="193" t="str">
        <f t="shared" si="131"/>
        <v>202608|IAE|Monthly</v>
      </c>
      <c r="R1228" t="s">
        <v>605</v>
      </c>
      <c r="S1228" s="193" t="str">
        <f t="shared" si="135"/>
        <v/>
      </c>
      <c r="T1228" s="193" t="str">
        <f t="shared" si="133"/>
        <v/>
      </c>
    </row>
    <row r="1229" spans="1:20" x14ac:dyDescent="0.3">
      <c r="A1229" s="245">
        <f>KPIs!$E$3</f>
        <v>46266</v>
      </c>
      <c r="B1229" s="199" t="str">
        <f>KPIs!E$4</f>
        <v>Compresora</v>
      </c>
      <c r="C1229" s="31" t="s">
        <v>602</v>
      </c>
      <c r="D1229" s="199" t="str">
        <f>KPIs!$A$57</f>
        <v>IAP · Accidentes de alto potencial x 1.000.000 / Horas Hombre Trabajadas</v>
      </c>
      <c r="E1229" s="31" t="s">
        <v>599</v>
      </c>
      <c r="F1229" s="247" t="str">
        <f>IF(ISNUMBER(KPIs!E57),KPIs!E57,"")</f>
        <v/>
      </c>
      <c r="G1229" s="247" t="str">
        <f>IF(ISNUMBER(KPIs!$C$57),KPIs!$C$57,"")</f>
        <v/>
      </c>
      <c r="H1229" s="199" t="str">
        <f>""</f>
        <v/>
      </c>
      <c r="I1229" s="199" t="str">
        <f t="shared" si="129"/>
        <v/>
      </c>
      <c r="J1229" s="193" t="str">
        <f t="shared" si="130"/>
        <v>Monthly</v>
      </c>
      <c r="K1229" s="88"/>
      <c r="L1229" s="88"/>
      <c r="M1229">
        <v>1000000</v>
      </c>
      <c r="N1229" t="s">
        <v>603</v>
      </c>
      <c r="O1229" s="193" t="str">
        <f t="shared" si="134"/>
        <v>MISSING</v>
      </c>
      <c r="P1229" t="s">
        <v>604</v>
      </c>
      <c r="Q1229" s="193" t="str">
        <f t="shared" si="131"/>
        <v>202609|IAP|Monthly</v>
      </c>
      <c r="R1229" t="s">
        <v>605</v>
      </c>
      <c r="S1229" s="193" t="str">
        <f t="shared" si="135"/>
        <v/>
      </c>
      <c r="T1229" s="193" t="str">
        <f t="shared" si="133"/>
        <v/>
      </c>
    </row>
    <row r="1230" spans="1:20" x14ac:dyDescent="0.3">
      <c r="A1230" s="245">
        <f>KPIs!$E$3</f>
        <v>46266</v>
      </c>
      <c r="B1230" s="199" t="str">
        <f>KPIs!E$4</f>
        <v>Compresora</v>
      </c>
      <c r="C1230" s="31" t="s">
        <v>606</v>
      </c>
      <c r="D1230" s="199" t="str">
        <f>KPIs!$A$58</f>
        <v>IAE · Accidentes de alta energía x 1.000.000 / Horas Hombre Trabajadas</v>
      </c>
      <c r="E1230" s="31" t="s">
        <v>599</v>
      </c>
      <c r="F1230" s="247" t="str">
        <f>IF(ISNUMBER(KPIs!E58),KPIs!E58,"")</f>
        <v/>
      </c>
      <c r="G1230" s="247" t="str">
        <f>IF(ISNUMBER(KPIs!$C$58),KPIs!$C$58,"")</f>
        <v/>
      </c>
      <c r="H1230" s="199" t="str">
        <f>""</f>
        <v/>
      </c>
      <c r="I1230" s="199" t="str">
        <f t="shared" si="129"/>
        <v/>
      </c>
      <c r="J1230" s="193" t="str">
        <f t="shared" si="130"/>
        <v>Monthly</v>
      </c>
      <c r="K1230" s="88"/>
      <c r="L1230" s="88"/>
      <c r="M1230">
        <v>1000000</v>
      </c>
      <c r="N1230" t="s">
        <v>603</v>
      </c>
      <c r="O1230" s="193" t="str">
        <f t="shared" si="134"/>
        <v>MISSING</v>
      </c>
      <c r="P1230" t="s">
        <v>604</v>
      </c>
      <c r="Q1230" s="193" t="str">
        <f t="shared" si="131"/>
        <v>202609|IAE|Monthly</v>
      </c>
      <c r="R1230" t="s">
        <v>605</v>
      </c>
      <c r="S1230" s="193" t="str">
        <f t="shared" si="135"/>
        <v/>
      </c>
      <c r="T1230" s="193" t="str">
        <f t="shared" si="133"/>
        <v/>
      </c>
    </row>
    <row r="1231" spans="1:20" x14ac:dyDescent="0.3">
      <c r="A1231" s="245">
        <f>KPIs!$F$3</f>
        <v>46296</v>
      </c>
      <c r="B1231" s="199" t="str">
        <f>KPIs!F$4</f>
        <v>Compresora</v>
      </c>
      <c r="C1231" s="31" t="s">
        <v>602</v>
      </c>
      <c r="D1231" s="199" t="str">
        <f>KPIs!$A$57</f>
        <v>IAP · Accidentes de alto potencial x 1.000.000 / Horas Hombre Trabajadas</v>
      </c>
      <c r="E1231" s="31" t="s">
        <v>599</v>
      </c>
      <c r="F1231" s="247" t="str">
        <f>IF(ISNUMBER(KPIs!F57),KPIs!F57,"")</f>
        <v/>
      </c>
      <c r="G1231" s="247" t="str">
        <f>IF(ISNUMBER(KPIs!$C$57),KPIs!$C$57,"")</f>
        <v/>
      </c>
      <c r="H1231" s="199" t="str">
        <f>""</f>
        <v/>
      </c>
      <c r="I1231" s="199" t="str">
        <f t="shared" si="129"/>
        <v/>
      </c>
      <c r="J1231" s="193" t="str">
        <f t="shared" si="130"/>
        <v>Monthly</v>
      </c>
      <c r="K1231" s="88"/>
      <c r="L1231" s="88"/>
      <c r="M1231">
        <v>1000000</v>
      </c>
      <c r="N1231" t="s">
        <v>603</v>
      </c>
      <c r="O1231" s="193" t="str">
        <f t="shared" si="134"/>
        <v>MISSING</v>
      </c>
      <c r="P1231" t="s">
        <v>604</v>
      </c>
      <c r="Q1231" s="193" t="str">
        <f t="shared" si="131"/>
        <v>202610|IAP|Monthly</v>
      </c>
      <c r="R1231" t="s">
        <v>605</v>
      </c>
      <c r="S1231" s="193" t="str">
        <f t="shared" si="135"/>
        <v/>
      </c>
      <c r="T1231" s="193" t="str">
        <f t="shared" si="133"/>
        <v/>
      </c>
    </row>
    <row r="1232" spans="1:20" x14ac:dyDescent="0.3">
      <c r="A1232" s="245">
        <f>KPIs!$F$3</f>
        <v>46296</v>
      </c>
      <c r="B1232" s="199" t="str">
        <f>KPIs!F$4</f>
        <v>Compresora</v>
      </c>
      <c r="C1232" s="31" t="s">
        <v>606</v>
      </c>
      <c r="D1232" s="199" t="str">
        <f>KPIs!$A$58</f>
        <v>IAE · Accidentes de alta energía x 1.000.000 / Horas Hombre Trabajadas</v>
      </c>
      <c r="E1232" s="31" t="s">
        <v>599</v>
      </c>
      <c r="F1232" s="247" t="str">
        <f>IF(ISNUMBER(KPIs!F58),KPIs!F58,"")</f>
        <v/>
      </c>
      <c r="G1232" s="247" t="str">
        <f>IF(ISNUMBER(KPIs!$C$58),KPIs!$C$58,"")</f>
        <v/>
      </c>
      <c r="H1232" s="199" t="str">
        <f>""</f>
        <v/>
      </c>
      <c r="I1232" s="199" t="str">
        <f t="shared" si="129"/>
        <v/>
      </c>
      <c r="J1232" s="193" t="str">
        <f t="shared" si="130"/>
        <v>Monthly</v>
      </c>
      <c r="K1232" s="88"/>
      <c r="L1232" s="88"/>
      <c r="M1232">
        <v>1000000</v>
      </c>
      <c r="N1232" t="s">
        <v>603</v>
      </c>
      <c r="O1232" s="193" t="str">
        <f t="shared" si="134"/>
        <v>MISSING</v>
      </c>
      <c r="P1232" t="s">
        <v>604</v>
      </c>
      <c r="Q1232" s="193" t="str">
        <f t="shared" si="131"/>
        <v>202610|IAE|Monthly</v>
      </c>
      <c r="R1232" t="s">
        <v>605</v>
      </c>
      <c r="S1232" s="193" t="str">
        <f t="shared" si="135"/>
        <v/>
      </c>
      <c r="T1232" s="193" t="str">
        <f t="shared" si="133"/>
        <v/>
      </c>
    </row>
    <row r="1233" spans="1:20" x14ac:dyDescent="0.3">
      <c r="A1233" s="245">
        <f>KPIs!$G$3</f>
        <v>46327</v>
      </c>
      <c r="B1233" s="199" t="str">
        <f>KPIs!G$4</f>
        <v>Compresora</v>
      </c>
      <c r="C1233" s="31" t="s">
        <v>602</v>
      </c>
      <c r="D1233" s="199" t="str">
        <f>KPIs!$A$57</f>
        <v>IAP · Accidentes de alto potencial x 1.000.000 / Horas Hombre Trabajadas</v>
      </c>
      <c r="E1233" s="31" t="s">
        <v>599</v>
      </c>
      <c r="F1233" s="247" t="str">
        <f>IF(ISNUMBER(KPIs!G57),KPIs!G57,"")</f>
        <v/>
      </c>
      <c r="G1233" s="247" t="str">
        <f>IF(ISNUMBER(KPIs!$C$57),KPIs!$C$57,"")</f>
        <v/>
      </c>
      <c r="H1233" s="199" t="str">
        <f>""</f>
        <v/>
      </c>
      <c r="I1233" s="199" t="str">
        <f t="shared" si="129"/>
        <v/>
      </c>
      <c r="J1233" s="193" t="str">
        <f t="shared" si="130"/>
        <v>Monthly</v>
      </c>
      <c r="K1233" s="88"/>
      <c r="L1233" s="88"/>
      <c r="M1233">
        <v>1000000</v>
      </c>
      <c r="N1233" t="s">
        <v>603</v>
      </c>
      <c r="O1233" s="193" t="str">
        <f t="shared" si="134"/>
        <v>MISSING</v>
      </c>
      <c r="P1233" t="s">
        <v>604</v>
      </c>
      <c r="Q1233" s="193" t="str">
        <f t="shared" si="131"/>
        <v>202611|IAP|Monthly</v>
      </c>
      <c r="R1233" t="s">
        <v>605</v>
      </c>
      <c r="S1233" s="193" t="str">
        <f t="shared" si="135"/>
        <v/>
      </c>
      <c r="T1233" s="193" t="str">
        <f t="shared" si="133"/>
        <v/>
      </c>
    </row>
    <row r="1234" spans="1:20" x14ac:dyDescent="0.3">
      <c r="A1234" s="245">
        <f>KPIs!$G$3</f>
        <v>46327</v>
      </c>
      <c r="B1234" s="199" t="str">
        <f>KPIs!G$4</f>
        <v>Compresora</v>
      </c>
      <c r="C1234" s="31" t="s">
        <v>606</v>
      </c>
      <c r="D1234" s="199" t="str">
        <f>KPIs!$A$58</f>
        <v>IAE · Accidentes de alta energía x 1.000.000 / Horas Hombre Trabajadas</v>
      </c>
      <c r="E1234" s="31" t="s">
        <v>599</v>
      </c>
      <c r="F1234" s="247" t="str">
        <f>IF(ISNUMBER(KPIs!G58),KPIs!G58,"")</f>
        <v/>
      </c>
      <c r="G1234" s="247" t="str">
        <f>IF(ISNUMBER(KPIs!$C$58),KPIs!$C$58,"")</f>
        <v/>
      </c>
      <c r="H1234" s="199" t="str">
        <f>""</f>
        <v/>
      </c>
      <c r="I1234" s="199" t="str">
        <f t="shared" si="129"/>
        <v/>
      </c>
      <c r="J1234" s="193" t="str">
        <f t="shared" si="130"/>
        <v>Monthly</v>
      </c>
      <c r="K1234" s="88"/>
      <c r="L1234" s="88"/>
      <c r="M1234">
        <v>1000000</v>
      </c>
      <c r="N1234" t="s">
        <v>603</v>
      </c>
      <c r="O1234" s="193" t="str">
        <f t="shared" si="134"/>
        <v>MISSING</v>
      </c>
      <c r="P1234" t="s">
        <v>604</v>
      </c>
      <c r="Q1234" s="193" t="str">
        <f t="shared" si="131"/>
        <v>202611|IAE|Monthly</v>
      </c>
      <c r="R1234" t="s">
        <v>605</v>
      </c>
      <c r="S1234" s="193" t="str">
        <f t="shared" si="135"/>
        <v/>
      </c>
      <c r="T1234" s="193" t="str">
        <f t="shared" si="133"/>
        <v/>
      </c>
    </row>
    <row r="1235" spans="1:20" x14ac:dyDescent="0.3">
      <c r="A1235" s="245">
        <f>KPIs!$H$3</f>
        <v>46357</v>
      </c>
      <c r="B1235" s="199" t="str">
        <f>KPIs!H$4</f>
        <v>Compresora</v>
      </c>
      <c r="C1235" s="31" t="s">
        <v>602</v>
      </c>
      <c r="D1235" s="199" t="str">
        <f>KPIs!$A$57</f>
        <v>IAP · Accidentes de alto potencial x 1.000.000 / Horas Hombre Trabajadas</v>
      </c>
      <c r="E1235" s="31" t="s">
        <v>599</v>
      </c>
      <c r="F1235" s="247" t="str">
        <f>IF(ISNUMBER(KPIs!H57),KPIs!H57,"")</f>
        <v/>
      </c>
      <c r="G1235" s="247" t="str">
        <f>IF(ISNUMBER(KPIs!$C$57),KPIs!$C$57,"")</f>
        <v/>
      </c>
      <c r="H1235" s="199" t="str">
        <f>""</f>
        <v/>
      </c>
      <c r="I1235" s="199" t="str">
        <f t="shared" si="129"/>
        <v/>
      </c>
      <c r="J1235" s="193" t="str">
        <f t="shared" si="130"/>
        <v>Monthly</v>
      </c>
      <c r="K1235" s="88"/>
      <c r="L1235" s="88"/>
      <c r="M1235">
        <v>1000000</v>
      </c>
      <c r="N1235" t="s">
        <v>603</v>
      </c>
      <c r="O1235" s="193" t="str">
        <f t="shared" si="134"/>
        <v>MISSING</v>
      </c>
      <c r="P1235" t="s">
        <v>604</v>
      </c>
      <c r="Q1235" s="193" t="str">
        <f t="shared" si="131"/>
        <v>202612|IAP|Monthly</v>
      </c>
      <c r="R1235" t="s">
        <v>605</v>
      </c>
      <c r="S1235" s="193" t="str">
        <f t="shared" si="135"/>
        <v/>
      </c>
      <c r="T1235" s="193" t="str">
        <f t="shared" si="133"/>
        <v/>
      </c>
    </row>
    <row r="1236" spans="1:20" x14ac:dyDescent="0.3">
      <c r="A1236" s="245">
        <f>KPIs!$H$3</f>
        <v>46357</v>
      </c>
      <c r="B1236" s="199" t="str">
        <f>KPIs!H$4</f>
        <v>Compresora</v>
      </c>
      <c r="C1236" s="31" t="s">
        <v>606</v>
      </c>
      <c r="D1236" s="199" t="str">
        <f>KPIs!$A$58</f>
        <v>IAE · Accidentes de alta energía x 1.000.000 / Horas Hombre Trabajadas</v>
      </c>
      <c r="E1236" s="31" t="s">
        <v>599</v>
      </c>
      <c r="F1236" s="247" t="str">
        <f>IF(ISNUMBER(KPIs!H58),KPIs!H58,"")</f>
        <v/>
      </c>
      <c r="G1236" s="247" t="str">
        <f>IF(ISNUMBER(KPIs!$C$58),KPIs!$C$58,"")</f>
        <v/>
      </c>
      <c r="H1236" s="199" t="str">
        <f>""</f>
        <v/>
      </c>
      <c r="I1236" s="199" t="str">
        <f t="shared" si="129"/>
        <v/>
      </c>
      <c r="J1236" s="193" t="str">
        <f t="shared" si="130"/>
        <v>Monthly</v>
      </c>
      <c r="K1236" s="88"/>
      <c r="L1236" s="88"/>
      <c r="M1236">
        <v>1000000</v>
      </c>
      <c r="N1236" t="s">
        <v>603</v>
      </c>
      <c r="O1236" s="193" t="str">
        <f t="shared" si="134"/>
        <v>MISSING</v>
      </c>
      <c r="P1236" t="s">
        <v>604</v>
      </c>
      <c r="Q1236" s="193" t="str">
        <f t="shared" si="131"/>
        <v>202612|IAE|Monthly</v>
      </c>
      <c r="R1236" t="s">
        <v>605</v>
      </c>
      <c r="S1236" s="193" t="str">
        <f t="shared" si="135"/>
        <v/>
      </c>
      <c r="T1236" s="193" t="str">
        <f t="shared" si="133"/>
        <v/>
      </c>
    </row>
    <row r="1237" spans="1:20" x14ac:dyDescent="0.3">
      <c r="A1237" s="245">
        <f>KPIs!$I$3</f>
        <v>46388</v>
      </c>
      <c r="B1237" s="199" t="str">
        <f>KPIs!I$4</f>
        <v>Compresora</v>
      </c>
      <c r="C1237" s="31" t="s">
        <v>602</v>
      </c>
      <c r="D1237" s="199" t="str">
        <f>KPIs!$A$57</f>
        <v>IAP · Accidentes de alto potencial x 1.000.000 / Horas Hombre Trabajadas</v>
      </c>
      <c r="E1237" s="31" t="s">
        <v>599</v>
      </c>
      <c r="F1237" s="247" t="str">
        <f>IF(ISNUMBER(KPIs!I57),KPIs!I57,"")</f>
        <v/>
      </c>
      <c r="G1237" s="247" t="str">
        <f>IF(ISNUMBER(KPIs!$C$57),KPIs!$C$57,"")</f>
        <v/>
      </c>
      <c r="H1237" s="199" t="str">
        <f>""</f>
        <v/>
      </c>
      <c r="I1237" s="199" t="str">
        <f t="shared" si="129"/>
        <v/>
      </c>
      <c r="J1237" s="193" t="str">
        <f t="shared" si="130"/>
        <v>Monthly</v>
      </c>
      <c r="K1237" s="88"/>
      <c r="L1237" s="88"/>
      <c r="M1237">
        <v>1000000</v>
      </c>
      <c r="N1237" t="s">
        <v>603</v>
      </c>
      <c r="O1237" s="193" t="str">
        <f t="shared" si="134"/>
        <v>MISSING</v>
      </c>
      <c r="P1237" t="s">
        <v>604</v>
      </c>
      <c r="Q1237" s="193" t="str">
        <f t="shared" si="131"/>
        <v>202701|IAP|Monthly</v>
      </c>
      <c r="R1237" t="s">
        <v>605</v>
      </c>
      <c r="S1237" s="193" t="str">
        <f t="shared" si="135"/>
        <v/>
      </c>
      <c r="T1237" s="193" t="str">
        <f t="shared" si="133"/>
        <v/>
      </c>
    </row>
    <row r="1238" spans="1:20" x14ac:dyDescent="0.3">
      <c r="A1238" s="245">
        <f>KPIs!$I$3</f>
        <v>46388</v>
      </c>
      <c r="B1238" s="199" t="str">
        <f>KPIs!I$4</f>
        <v>Compresora</v>
      </c>
      <c r="C1238" s="31" t="s">
        <v>606</v>
      </c>
      <c r="D1238" s="199" t="str">
        <f>KPIs!$A$58</f>
        <v>IAE · Accidentes de alta energía x 1.000.000 / Horas Hombre Trabajadas</v>
      </c>
      <c r="E1238" s="31" t="s">
        <v>599</v>
      </c>
      <c r="F1238" s="247" t="str">
        <f>IF(ISNUMBER(KPIs!I58),KPIs!I58,"")</f>
        <v/>
      </c>
      <c r="G1238" s="247" t="str">
        <f>IF(ISNUMBER(KPIs!$C$58),KPIs!$C$58,"")</f>
        <v/>
      </c>
      <c r="H1238" s="199" t="str">
        <f>""</f>
        <v/>
      </c>
      <c r="I1238" s="199" t="str">
        <f t="shared" si="129"/>
        <v/>
      </c>
      <c r="J1238" s="193" t="str">
        <f t="shared" si="130"/>
        <v>Monthly</v>
      </c>
      <c r="K1238" s="88"/>
      <c r="L1238" s="88"/>
      <c r="M1238">
        <v>1000000</v>
      </c>
      <c r="N1238" t="s">
        <v>603</v>
      </c>
      <c r="O1238" s="193" t="str">
        <f t="shared" si="134"/>
        <v>MISSING</v>
      </c>
      <c r="P1238" t="s">
        <v>604</v>
      </c>
      <c r="Q1238" s="193" t="str">
        <f t="shared" si="131"/>
        <v>202701|IAE|Monthly</v>
      </c>
      <c r="R1238" t="s">
        <v>605</v>
      </c>
      <c r="S1238" s="193" t="str">
        <f t="shared" si="135"/>
        <v/>
      </c>
      <c r="T1238" s="193" t="str">
        <f t="shared" si="133"/>
        <v/>
      </c>
    </row>
    <row r="1239" spans="1:20" x14ac:dyDescent="0.3">
      <c r="A1239" s="245">
        <f>KPIs!$J$3</f>
        <v>46419</v>
      </c>
      <c r="B1239" s="199" t="str">
        <f>KPIs!J$4</f>
        <v>Compresora</v>
      </c>
      <c r="C1239" s="31" t="s">
        <v>602</v>
      </c>
      <c r="D1239" s="199" t="str">
        <f>KPIs!$A$57</f>
        <v>IAP · Accidentes de alto potencial x 1.000.000 / Horas Hombre Trabajadas</v>
      </c>
      <c r="E1239" s="31" t="s">
        <v>599</v>
      </c>
      <c r="F1239" s="247" t="str">
        <f>IF(ISNUMBER(KPIs!J57),KPIs!J57,"")</f>
        <v/>
      </c>
      <c r="G1239" s="247" t="str">
        <f>IF(ISNUMBER(KPIs!$C$57),KPIs!$C$57,"")</f>
        <v/>
      </c>
      <c r="H1239" s="199" t="str">
        <f>""</f>
        <v/>
      </c>
      <c r="I1239" s="199" t="str">
        <f t="shared" si="129"/>
        <v/>
      </c>
      <c r="J1239" s="193" t="str">
        <f t="shared" si="130"/>
        <v>Monthly</v>
      </c>
      <c r="K1239" s="88"/>
      <c r="L1239" s="88"/>
      <c r="M1239">
        <v>1000000</v>
      </c>
      <c r="N1239" t="s">
        <v>603</v>
      </c>
      <c r="O1239" s="193" t="str">
        <f t="shared" si="134"/>
        <v>MISSING</v>
      </c>
      <c r="P1239" t="s">
        <v>604</v>
      </c>
      <c r="Q1239" s="193" t="str">
        <f t="shared" si="131"/>
        <v>202702|IAP|Monthly</v>
      </c>
      <c r="R1239" t="s">
        <v>605</v>
      </c>
      <c r="S1239" s="193" t="str">
        <f t="shared" si="135"/>
        <v/>
      </c>
      <c r="T1239" s="193" t="str">
        <f t="shared" si="133"/>
        <v/>
      </c>
    </row>
    <row r="1240" spans="1:20" x14ac:dyDescent="0.3">
      <c r="A1240" s="245">
        <f>KPIs!$J$3</f>
        <v>46419</v>
      </c>
      <c r="B1240" s="199" t="str">
        <f>KPIs!J$4</f>
        <v>Compresora</v>
      </c>
      <c r="C1240" s="31" t="s">
        <v>606</v>
      </c>
      <c r="D1240" s="199" t="str">
        <f>KPIs!$A$58</f>
        <v>IAE · Accidentes de alta energía x 1.000.000 / Horas Hombre Trabajadas</v>
      </c>
      <c r="E1240" s="31" t="s">
        <v>599</v>
      </c>
      <c r="F1240" s="247" t="str">
        <f>IF(ISNUMBER(KPIs!J58),KPIs!J58,"")</f>
        <v/>
      </c>
      <c r="G1240" s="247" t="str">
        <f>IF(ISNUMBER(KPIs!$C$58),KPIs!$C$58,"")</f>
        <v/>
      </c>
      <c r="H1240" s="199" t="str">
        <f>""</f>
        <v/>
      </c>
      <c r="I1240" s="199" t="str">
        <f t="shared" si="129"/>
        <v/>
      </c>
      <c r="J1240" s="193" t="str">
        <f t="shared" si="130"/>
        <v>Monthly</v>
      </c>
      <c r="K1240" s="88"/>
      <c r="L1240" s="88"/>
      <c r="M1240">
        <v>1000000</v>
      </c>
      <c r="N1240" t="s">
        <v>603</v>
      </c>
      <c r="O1240" s="193" t="str">
        <f t="shared" si="134"/>
        <v>MISSING</v>
      </c>
      <c r="P1240" t="s">
        <v>604</v>
      </c>
      <c r="Q1240" s="193" t="str">
        <f t="shared" si="131"/>
        <v>202702|IAE|Monthly</v>
      </c>
      <c r="R1240" t="s">
        <v>605</v>
      </c>
      <c r="S1240" s="193" t="str">
        <f t="shared" si="135"/>
        <v/>
      </c>
      <c r="T1240" s="193" t="str">
        <f t="shared" si="133"/>
        <v/>
      </c>
    </row>
    <row r="1241" spans="1:20" x14ac:dyDescent="0.3">
      <c r="A1241" s="245">
        <f>KPIs!$K$3</f>
        <v>46447</v>
      </c>
      <c r="B1241" s="199" t="str">
        <f>KPIs!K$4</f>
        <v>Compresora</v>
      </c>
      <c r="C1241" s="31" t="s">
        <v>602</v>
      </c>
      <c r="D1241" s="199" t="str">
        <f>KPIs!$A$57</f>
        <v>IAP · Accidentes de alto potencial x 1.000.000 / Horas Hombre Trabajadas</v>
      </c>
      <c r="E1241" s="31" t="s">
        <v>599</v>
      </c>
      <c r="F1241" s="247" t="str">
        <f>IF(ISNUMBER(KPIs!K57),KPIs!K57,"")</f>
        <v/>
      </c>
      <c r="G1241" s="247" t="str">
        <f>IF(ISNUMBER(KPIs!$C$57),KPIs!$C$57,"")</f>
        <v/>
      </c>
      <c r="H1241" s="199" t="str">
        <f>""</f>
        <v/>
      </c>
      <c r="I1241" s="199" t="str">
        <f t="shared" si="129"/>
        <v/>
      </c>
      <c r="J1241" s="193" t="str">
        <f t="shared" si="130"/>
        <v>Monthly</v>
      </c>
      <c r="K1241" s="88"/>
      <c r="L1241" s="88"/>
      <c r="M1241">
        <v>1000000</v>
      </c>
      <c r="N1241" t="s">
        <v>603</v>
      </c>
      <c r="O1241" s="193" t="str">
        <f t="shared" si="134"/>
        <v>MISSING</v>
      </c>
      <c r="P1241" t="s">
        <v>604</v>
      </c>
      <c r="Q1241" s="193" t="str">
        <f t="shared" si="131"/>
        <v>202703|IAP|Monthly</v>
      </c>
      <c r="R1241" t="s">
        <v>605</v>
      </c>
      <c r="S1241" s="193" t="str">
        <f t="shared" si="135"/>
        <v/>
      </c>
      <c r="T1241" s="193" t="str">
        <f t="shared" si="133"/>
        <v/>
      </c>
    </row>
    <row r="1242" spans="1:20" x14ac:dyDescent="0.3">
      <c r="A1242" s="245">
        <f>KPIs!$K$3</f>
        <v>46447</v>
      </c>
      <c r="B1242" s="199" t="str">
        <f>KPIs!K$4</f>
        <v>Compresora</v>
      </c>
      <c r="C1242" s="31" t="s">
        <v>606</v>
      </c>
      <c r="D1242" s="199" t="str">
        <f>KPIs!$A$58</f>
        <v>IAE · Accidentes de alta energía x 1.000.000 / Horas Hombre Trabajadas</v>
      </c>
      <c r="E1242" s="31" t="s">
        <v>599</v>
      </c>
      <c r="F1242" s="247" t="str">
        <f>IF(ISNUMBER(KPIs!K58),KPIs!K58,"")</f>
        <v/>
      </c>
      <c r="G1242" s="247" t="str">
        <f>IF(ISNUMBER(KPIs!$C$58),KPIs!$C$58,"")</f>
        <v/>
      </c>
      <c r="H1242" s="199" t="str">
        <f>""</f>
        <v/>
      </c>
      <c r="I1242" s="199" t="str">
        <f t="shared" si="129"/>
        <v/>
      </c>
      <c r="J1242" s="193" t="str">
        <f t="shared" si="130"/>
        <v>Monthly</v>
      </c>
      <c r="K1242" s="88"/>
      <c r="L1242" s="88"/>
      <c r="M1242">
        <v>1000000</v>
      </c>
      <c r="N1242" t="s">
        <v>603</v>
      </c>
      <c r="O1242" s="193" t="str">
        <f t="shared" si="134"/>
        <v>MISSING</v>
      </c>
      <c r="P1242" t="s">
        <v>604</v>
      </c>
      <c r="Q1242" s="193" t="str">
        <f t="shared" si="131"/>
        <v>202703|IAE|Monthly</v>
      </c>
      <c r="R1242" t="s">
        <v>605</v>
      </c>
      <c r="S1242" s="193" t="str">
        <f t="shared" si="135"/>
        <v/>
      </c>
      <c r="T1242" s="193" t="str">
        <f t="shared" si="133"/>
        <v/>
      </c>
    </row>
    <row r="1243" spans="1:20" x14ac:dyDescent="0.3">
      <c r="A1243" s="245">
        <f>KPIs!$L$3</f>
        <v>46478</v>
      </c>
      <c r="B1243" s="199" t="str">
        <f>KPIs!L$4</f>
        <v>Compresora</v>
      </c>
      <c r="C1243" s="31" t="s">
        <v>602</v>
      </c>
      <c r="D1243" s="199" t="str">
        <f>KPIs!$A$57</f>
        <v>IAP · Accidentes de alto potencial x 1.000.000 / Horas Hombre Trabajadas</v>
      </c>
      <c r="E1243" s="31" t="s">
        <v>599</v>
      </c>
      <c r="F1243" s="247" t="str">
        <f>IF(ISNUMBER(KPIs!L57),KPIs!L57,"")</f>
        <v/>
      </c>
      <c r="G1243" s="247" t="str">
        <f>IF(ISNUMBER(KPIs!$C$57),KPIs!$C$57,"")</f>
        <v/>
      </c>
      <c r="H1243" s="199" t="str">
        <f>""</f>
        <v/>
      </c>
      <c r="I1243" s="199" t="str">
        <f t="shared" si="129"/>
        <v/>
      </c>
      <c r="J1243" s="193" t="str">
        <f t="shared" si="130"/>
        <v>Monthly</v>
      </c>
      <c r="K1243" s="88"/>
      <c r="L1243" s="88"/>
      <c r="M1243">
        <v>1000000</v>
      </c>
      <c r="N1243" t="s">
        <v>603</v>
      </c>
      <c r="O1243" s="193" t="str">
        <f t="shared" si="134"/>
        <v>MISSING</v>
      </c>
      <c r="P1243" t="s">
        <v>604</v>
      </c>
      <c r="Q1243" s="193" t="str">
        <f t="shared" si="131"/>
        <v>202704|IAP|Monthly</v>
      </c>
      <c r="R1243" t="s">
        <v>605</v>
      </c>
      <c r="S1243" s="193" t="str">
        <f t="shared" si="135"/>
        <v/>
      </c>
      <c r="T1243" s="193" t="str">
        <f t="shared" si="133"/>
        <v/>
      </c>
    </row>
    <row r="1244" spans="1:20" x14ac:dyDescent="0.3">
      <c r="A1244" s="245">
        <f>KPIs!$L$3</f>
        <v>46478</v>
      </c>
      <c r="B1244" s="199" t="str">
        <f>KPIs!L$4</f>
        <v>Compresora</v>
      </c>
      <c r="C1244" s="31" t="s">
        <v>606</v>
      </c>
      <c r="D1244" s="199" t="str">
        <f>KPIs!$A$58</f>
        <v>IAE · Accidentes de alta energía x 1.000.000 / Horas Hombre Trabajadas</v>
      </c>
      <c r="E1244" s="31" t="s">
        <v>599</v>
      </c>
      <c r="F1244" s="247" t="str">
        <f>IF(ISNUMBER(KPIs!L58),KPIs!L58,"")</f>
        <v/>
      </c>
      <c r="G1244" s="247" t="str">
        <f>IF(ISNUMBER(KPIs!$C$58),KPIs!$C$58,"")</f>
        <v/>
      </c>
      <c r="H1244" s="199" t="str">
        <f>""</f>
        <v/>
      </c>
      <c r="I1244" s="199" t="str">
        <f t="shared" si="129"/>
        <v/>
      </c>
      <c r="J1244" s="193" t="str">
        <f t="shared" si="130"/>
        <v>Monthly</v>
      </c>
      <c r="K1244" s="88"/>
      <c r="L1244" s="88"/>
      <c r="M1244">
        <v>1000000</v>
      </c>
      <c r="N1244" t="s">
        <v>603</v>
      </c>
      <c r="O1244" s="193" t="str">
        <f t="shared" si="134"/>
        <v>MISSING</v>
      </c>
      <c r="P1244" t="s">
        <v>604</v>
      </c>
      <c r="Q1244" s="193" t="str">
        <f t="shared" si="131"/>
        <v>202704|IAE|Monthly</v>
      </c>
      <c r="R1244" t="s">
        <v>605</v>
      </c>
      <c r="S1244" s="193" t="str">
        <f t="shared" si="135"/>
        <v/>
      </c>
      <c r="T1244" s="193" t="str">
        <f t="shared" si="133"/>
        <v/>
      </c>
    </row>
    <row r="1245" spans="1:20" x14ac:dyDescent="0.3">
      <c r="A1245" s="245">
        <f>KPIs!$M$3</f>
        <v>46508</v>
      </c>
      <c r="B1245" s="199" t="str">
        <f>KPIs!M$4</f>
        <v>Compresora</v>
      </c>
      <c r="C1245" s="31" t="s">
        <v>602</v>
      </c>
      <c r="D1245" s="199" t="str">
        <f>KPIs!$A$57</f>
        <v>IAP · Accidentes de alto potencial x 1.000.000 / Horas Hombre Trabajadas</v>
      </c>
      <c r="E1245" s="31" t="s">
        <v>599</v>
      </c>
      <c r="F1245" s="247" t="str">
        <f>IF(ISNUMBER(KPIs!M57),KPIs!M57,"")</f>
        <v/>
      </c>
      <c r="G1245" s="247" t="str">
        <f>IF(ISNUMBER(KPIs!$C$57),KPIs!$C$57,"")</f>
        <v/>
      </c>
      <c r="H1245" s="199" t="str">
        <f>""</f>
        <v/>
      </c>
      <c r="I1245" s="199" t="str">
        <f t="shared" si="129"/>
        <v/>
      </c>
      <c r="J1245" s="193" t="str">
        <f t="shared" si="130"/>
        <v>Monthly</v>
      </c>
      <c r="K1245" s="88"/>
      <c r="L1245" s="88"/>
      <c r="M1245">
        <v>1000000</v>
      </c>
      <c r="N1245" t="s">
        <v>603</v>
      </c>
      <c r="O1245" s="193" t="str">
        <f t="shared" si="134"/>
        <v>MISSING</v>
      </c>
      <c r="P1245" t="s">
        <v>604</v>
      </c>
      <c r="Q1245" s="193" t="str">
        <f t="shared" si="131"/>
        <v>202705|IAP|Monthly</v>
      </c>
      <c r="R1245" t="s">
        <v>605</v>
      </c>
      <c r="S1245" s="193" t="str">
        <f t="shared" si="135"/>
        <v/>
      </c>
      <c r="T1245" s="193" t="str">
        <f t="shared" si="133"/>
        <v/>
      </c>
    </row>
    <row r="1246" spans="1:20" x14ac:dyDescent="0.3">
      <c r="A1246" s="245">
        <f>KPIs!$M$3</f>
        <v>46508</v>
      </c>
      <c r="B1246" s="199" t="str">
        <f>KPIs!M$4</f>
        <v>Compresora</v>
      </c>
      <c r="C1246" s="31" t="s">
        <v>606</v>
      </c>
      <c r="D1246" s="199" t="str">
        <f>KPIs!$A$58</f>
        <v>IAE · Accidentes de alta energía x 1.000.000 / Horas Hombre Trabajadas</v>
      </c>
      <c r="E1246" s="31" t="s">
        <v>599</v>
      </c>
      <c r="F1246" s="247" t="str">
        <f>IF(ISNUMBER(KPIs!M58),KPIs!M58,"")</f>
        <v/>
      </c>
      <c r="G1246" s="247" t="str">
        <f>IF(ISNUMBER(KPIs!$C$58),KPIs!$C$58,"")</f>
        <v/>
      </c>
      <c r="H1246" s="199" t="str">
        <f>""</f>
        <v/>
      </c>
      <c r="I1246" s="199" t="str">
        <f t="shared" si="129"/>
        <v/>
      </c>
      <c r="J1246" s="193" t="str">
        <f t="shared" si="130"/>
        <v>Monthly</v>
      </c>
      <c r="K1246" s="88"/>
      <c r="L1246" s="88"/>
      <c r="M1246">
        <v>1000000</v>
      </c>
      <c r="N1246" t="s">
        <v>603</v>
      </c>
      <c r="O1246" s="193" t="str">
        <f t="shared" si="134"/>
        <v>MISSING</v>
      </c>
      <c r="P1246" t="s">
        <v>604</v>
      </c>
      <c r="Q1246" s="193" t="str">
        <f t="shared" si="131"/>
        <v>202705|IAE|Monthly</v>
      </c>
      <c r="R1246" t="s">
        <v>605</v>
      </c>
      <c r="S1246" s="193" t="str">
        <f t="shared" si="135"/>
        <v/>
      </c>
      <c r="T1246" s="193" t="str">
        <f t="shared" si="133"/>
        <v/>
      </c>
    </row>
    <row r="1247" spans="1:20" x14ac:dyDescent="0.3">
      <c r="A1247" s="245">
        <f>KPIs!$N$3</f>
        <v>46539</v>
      </c>
      <c r="B1247" s="199" t="str">
        <f>KPIs!N$4</f>
        <v>Compresora</v>
      </c>
      <c r="C1247" s="31" t="s">
        <v>602</v>
      </c>
      <c r="D1247" s="199" t="str">
        <f>KPIs!$A$57</f>
        <v>IAP · Accidentes de alto potencial x 1.000.000 / Horas Hombre Trabajadas</v>
      </c>
      <c r="E1247" s="31" t="s">
        <v>599</v>
      </c>
      <c r="F1247" s="247" t="str">
        <f>IF(ISNUMBER(KPIs!N57),KPIs!N57,"")</f>
        <v/>
      </c>
      <c r="G1247" s="247" t="str">
        <f>IF(ISNUMBER(KPIs!$C$57),KPIs!$C$57,"")</f>
        <v/>
      </c>
      <c r="H1247" s="199" t="str">
        <f>""</f>
        <v/>
      </c>
      <c r="I1247" s="199" t="str">
        <f t="shared" si="129"/>
        <v/>
      </c>
      <c r="J1247" s="193" t="str">
        <f t="shared" si="130"/>
        <v>Monthly</v>
      </c>
      <c r="K1247" s="88"/>
      <c r="L1247" s="88"/>
      <c r="M1247">
        <v>1000000</v>
      </c>
      <c r="N1247" t="s">
        <v>603</v>
      </c>
      <c r="O1247" s="193" t="str">
        <f t="shared" si="134"/>
        <v>MISSING</v>
      </c>
      <c r="P1247" t="s">
        <v>604</v>
      </c>
      <c r="Q1247" s="193" t="str">
        <f t="shared" si="131"/>
        <v>202706|IAP|Monthly</v>
      </c>
      <c r="R1247" t="s">
        <v>605</v>
      </c>
      <c r="S1247" s="193" t="str">
        <f t="shared" si="135"/>
        <v/>
      </c>
      <c r="T1247" s="193" t="str">
        <f t="shared" si="133"/>
        <v/>
      </c>
    </row>
    <row r="1248" spans="1:20" x14ac:dyDescent="0.3">
      <c r="A1248" s="245">
        <f>KPIs!$N$3</f>
        <v>46539</v>
      </c>
      <c r="B1248" s="199" t="str">
        <f>KPIs!N$4</f>
        <v>Compresora</v>
      </c>
      <c r="C1248" s="31" t="s">
        <v>606</v>
      </c>
      <c r="D1248" s="199" t="str">
        <f>KPIs!$A$58</f>
        <v>IAE · Accidentes de alta energía x 1.000.000 / Horas Hombre Trabajadas</v>
      </c>
      <c r="E1248" s="31" t="s">
        <v>599</v>
      </c>
      <c r="F1248" s="247" t="str">
        <f>IF(ISNUMBER(KPIs!N58),KPIs!N58,"")</f>
        <v/>
      </c>
      <c r="G1248" s="247" t="str">
        <f>IF(ISNUMBER(KPIs!$C$58),KPIs!$C$58,"")</f>
        <v/>
      </c>
      <c r="H1248" s="199" t="str">
        <f>""</f>
        <v/>
      </c>
      <c r="I1248" s="199" t="str">
        <f t="shared" si="129"/>
        <v/>
      </c>
      <c r="J1248" s="193" t="str">
        <f t="shared" si="130"/>
        <v>Monthly</v>
      </c>
      <c r="K1248" s="88"/>
      <c r="L1248" s="88"/>
      <c r="M1248">
        <v>1000000</v>
      </c>
      <c r="N1248" t="s">
        <v>603</v>
      </c>
      <c r="O1248" s="193" t="str">
        <f t="shared" si="134"/>
        <v>MISSING</v>
      </c>
      <c r="P1248" t="s">
        <v>604</v>
      </c>
      <c r="Q1248" s="193" t="str">
        <f t="shared" si="131"/>
        <v>202706|IAE|Monthly</v>
      </c>
      <c r="R1248" t="s">
        <v>605</v>
      </c>
      <c r="S1248" s="193" t="str">
        <f t="shared" si="135"/>
        <v/>
      </c>
      <c r="T1248" s="193" t="str">
        <f t="shared" si="133"/>
        <v/>
      </c>
    </row>
    <row r="1249" spans="1:20" x14ac:dyDescent="0.3">
      <c r="A1249" s="245">
        <f>KPIs!$O$3</f>
        <v>46569</v>
      </c>
      <c r="B1249" s="199" t="str">
        <f>KPIs!O$4</f>
        <v>Compresora</v>
      </c>
      <c r="C1249" s="31" t="s">
        <v>602</v>
      </c>
      <c r="D1249" s="199" t="str">
        <f>KPIs!$A$57</f>
        <v>IAP · Accidentes de alto potencial x 1.000.000 / Horas Hombre Trabajadas</v>
      </c>
      <c r="E1249" s="31" t="s">
        <v>599</v>
      </c>
      <c r="F1249" s="247" t="str">
        <f>IF(ISNUMBER(KPIs!O57),KPIs!O57,"")</f>
        <v/>
      </c>
      <c r="G1249" s="247" t="str">
        <f>IF(ISNUMBER(KPIs!$C$57),KPIs!$C$57,"")</f>
        <v/>
      </c>
      <c r="H1249" s="199" t="str">
        <f>""</f>
        <v/>
      </c>
      <c r="I1249" s="199" t="str">
        <f t="shared" si="129"/>
        <v/>
      </c>
      <c r="J1249" s="193" t="str">
        <f t="shared" si="130"/>
        <v>Monthly</v>
      </c>
      <c r="K1249" s="88"/>
      <c r="L1249" s="88"/>
      <c r="M1249">
        <v>1000000</v>
      </c>
      <c r="N1249" t="s">
        <v>603</v>
      </c>
      <c r="O1249" s="193" t="str">
        <f t="shared" si="134"/>
        <v>MISSING</v>
      </c>
      <c r="P1249" t="s">
        <v>604</v>
      </c>
      <c r="Q1249" s="193" t="str">
        <f t="shared" si="131"/>
        <v>202707|IAP|Monthly</v>
      </c>
      <c r="R1249" t="s">
        <v>605</v>
      </c>
      <c r="S1249" s="193" t="str">
        <f t="shared" si="135"/>
        <v/>
      </c>
      <c r="T1249" s="193" t="str">
        <f t="shared" si="133"/>
        <v/>
      </c>
    </row>
    <row r="1250" spans="1:20" x14ac:dyDescent="0.3">
      <c r="A1250" s="245">
        <f>KPIs!$O$3</f>
        <v>46569</v>
      </c>
      <c r="B1250" s="199" t="str">
        <f>KPIs!O$4</f>
        <v>Compresora</v>
      </c>
      <c r="C1250" s="31" t="s">
        <v>606</v>
      </c>
      <c r="D1250" s="199" t="str">
        <f>KPIs!$A$58</f>
        <v>IAE · Accidentes de alta energía x 1.000.000 / Horas Hombre Trabajadas</v>
      </c>
      <c r="E1250" s="31" t="s">
        <v>599</v>
      </c>
      <c r="F1250" s="247" t="str">
        <f>IF(ISNUMBER(KPIs!O58),KPIs!O58,"")</f>
        <v/>
      </c>
      <c r="G1250" s="247" t="str">
        <f>IF(ISNUMBER(KPIs!$C$58),KPIs!$C$58,"")</f>
        <v/>
      </c>
      <c r="H1250" s="199" t="str">
        <f>""</f>
        <v/>
      </c>
      <c r="I1250" s="199" t="str">
        <f t="shared" si="129"/>
        <v/>
      </c>
      <c r="J1250" s="193" t="str">
        <f t="shared" si="130"/>
        <v>Monthly</v>
      </c>
      <c r="K1250" s="88"/>
      <c r="L1250" s="88"/>
      <c r="M1250">
        <v>1000000</v>
      </c>
      <c r="N1250" t="s">
        <v>603</v>
      </c>
      <c r="O1250" s="193" t="str">
        <f t="shared" si="134"/>
        <v>MISSING</v>
      </c>
      <c r="P1250" t="s">
        <v>604</v>
      </c>
      <c r="Q1250" s="193" t="str">
        <f t="shared" si="131"/>
        <v>202707|IAE|Monthly</v>
      </c>
      <c r="R1250" t="s">
        <v>605</v>
      </c>
      <c r="S1250" s="193" t="str">
        <f t="shared" si="135"/>
        <v/>
      </c>
      <c r="T1250" s="193" t="str">
        <f t="shared" si="133"/>
        <v/>
      </c>
    </row>
    <row r="1251" spans="1:20" x14ac:dyDescent="0.3">
      <c r="A1251" s="245">
        <f>KPIs!$P$3</f>
        <v>46600</v>
      </c>
      <c r="B1251" s="199" t="str">
        <f>KPIs!P$4</f>
        <v>Compresora</v>
      </c>
      <c r="C1251" s="31" t="s">
        <v>602</v>
      </c>
      <c r="D1251" s="199" t="str">
        <f>KPIs!$A$57</f>
        <v>IAP · Accidentes de alto potencial x 1.000.000 / Horas Hombre Trabajadas</v>
      </c>
      <c r="E1251" s="31" t="s">
        <v>599</v>
      </c>
      <c r="F1251" s="247" t="str">
        <f>IF(ISNUMBER(KPIs!P57),KPIs!P57,"")</f>
        <v/>
      </c>
      <c r="G1251" s="247" t="str">
        <f>IF(ISNUMBER(KPIs!$C$57),KPIs!$C$57,"")</f>
        <v/>
      </c>
      <c r="H1251" s="199" t="str">
        <f>""</f>
        <v/>
      </c>
      <c r="I1251" s="199" t="str">
        <f t="shared" si="129"/>
        <v/>
      </c>
      <c r="J1251" s="193" t="str">
        <f t="shared" si="130"/>
        <v>Monthly</v>
      </c>
      <c r="K1251" s="88"/>
      <c r="L1251" s="88"/>
      <c r="M1251">
        <v>1000000</v>
      </c>
      <c r="N1251" t="s">
        <v>603</v>
      </c>
      <c r="O1251" s="193" t="str">
        <f t="shared" si="134"/>
        <v>MISSING</v>
      </c>
      <c r="P1251" t="s">
        <v>604</v>
      </c>
      <c r="Q1251" s="193" t="str">
        <f t="shared" si="131"/>
        <v>202708|IAP|Monthly</v>
      </c>
      <c r="R1251" t="s">
        <v>605</v>
      </c>
      <c r="S1251" s="193" t="str">
        <f t="shared" si="135"/>
        <v/>
      </c>
      <c r="T1251" s="193" t="str">
        <f t="shared" si="133"/>
        <v/>
      </c>
    </row>
    <row r="1252" spans="1:20" x14ac:dyDescent="0.3">
      <c r="A1252" s="245">
        <f>KPIs!$P$3</f>
        <v>46600</v>
      </c>
      <c r="B1252" s="199" t="str">
        <f>KPIs!P$4</f>
        <v>Compresora</v>
      </c>
      <c r="C1252" s="31" t="s">
        <v>606</v>
      </c>
      <c r="D1252" s="199" t="str">
        <f>KPIs!$A$58</f>
        <v>IAE · Accidentes de alta energía x 1.000.000 / Horas Hombre Trabajadas</v>
      </c>
      <c r="E1252" s="31" t="s">
        <v>599</v>
      </c>
      <c r="F1252" s="247" t="str">
        <f>IF(ISNUMBER(KPIs!P58),KPIs!P58,"")</f>
        <v/>
      </c>
      <c r="G1252" s="247" t="str">
        <f>IF(ISNUMBER(KPIs!$C$58),KPIs!$C$58,"")</f>
        <v/>
      </c>
      <c r="H1252" s="199" t="str">
        <f>""</f>
        <v/>
      </c>
      <c r="I1252" s="199" t="str">
        <f t="shared" si="129"/>
        <v/>
      </c>
      <c r="J1252" s="193" t="str">
        <f t="shared" si="130"/>
        <v>Monthly</v>
      </c>
      <c r="K1252" s="88"/>
      <c r="L1252" s="88"/>
      <c r="M1252">
        <v>1000000</v>
      </c>
      <c r="N1252" t="s">
        <v>603</v>
      </c>
      <c r="O1252" s="193" t="str">
        <f t="shared" si="134"/>
        <v>MISSING</v>
      </c>
      <c r="P1252" t="s">
        <v>604</v>
      </c>
      <c r="Q1252" s="193" t="str">
        <f t="shared" si="131"/>
        <v>202708|IAE|Monthly</v>
      </c>
      <c r="R1252" t="s">
        <v>605</v>
      </c>
      <c r="S1252" s="193" t="str">
        <f t="shared" si="135"/>
        <v/>
      </c>
      <c r="T1252" s="193" t="str">
        <f t="shared" si="133"/>
        <v/>
      </c>
    </row>
    <row r="1253" spans="1:20" x14ac:dyDescent="0.3">
      <c r="A1253" s="245">
        <f>KPIs!$Q$3</f>
        <v>46631</v>
      </c>
      <c r="B1253" s="199" t="str">
        <f>KPIs!Q$4</f>
        <v>Compresora</v>
      </c>
      <c r="C1253" s="31" t="s">
        <v>602</v>
      </c>
      <c r="D1253" s="199" t="str">
        <f>KPIs!$A$57</f>
        <v>IAP · Accidentes de alto potencial x 1.000.000 / Horas Hombre Trabajadas</v>
      </c>
      <c r="E1253" s="31" t="s">
        <v>599</v>
      </c>
      <c r="F1253" s="247" t="str">
        <f>IF(ISNUMBER(KPIs!Q57),KPIs!Q57,"")</f>
        <v/>
      </c>
      <c r="G1253" s="247" t="str">
        <f>IF(ISNUMBER(KPIs!$C$57),KPIs!$C$57,"")</f>
        <v/>
      </c>
      <c r="H1253" s="199" t="str">
        <f>""</f>
        <v/>
      </c>
      <c r="I1253" s="199" t="str">
        <f t="shared" si="129"/>
        <v/>
      </c>
      <c r="J1253" s="193" t="str">
        <f t="shared" si="130"/>
        <v>Monthly</v>
      </c>
      <c r="K1253" s="88"/>
      <c r="L1253" s="88"/>
      <c r="M1253">
        <v>1000000</v>
      </c>
      <c r="N1253" t="s">
        <v>603</v>
      </c>
      <c r="O1253" s="193" t="str">
        <f t="shared" si="134"/>
        <v>MISSING</v>
      </c>
      <c r="P1253" t="s">
        <v>604</v>
      </c>
      <c r="Q1253" s="193" t="str">
        <f t="shared" si="131"/>
        <v>202709|IAP|Monthly</v>
      </c>
      <c r="R1253" t="s">
        <v>605</v>
      </c>
      <c r="S1253" s="193" t="str">
        <f t="shared" si="135"/>
        <v/>
      </c>
      <c r="T1253" s="193" t="str">
        <f t="shared" si="133"/>
        <v/>
      </c>
    </row>
    <row r="1254" spans="1:20" x14ac:dyDescent="0.3">
      <c r="A1254" s="245">
        <f>KPIs!$Q$3</f>
        <v>46631</v>
      </c>
      <c r="B1254" s="199" t="str">
        <f>KPIs!Q$4</f>
        <v>Compresora</v>
      </c>
      <c r="C1254" s="31" t="s">
        <v>606</v>
      </c>
      <c r="D1254" s="199" t="str">
        <f>KPIs!$A$58</f>
        <v>IAE · Accidentes de alta energía x 1.000.000 / Horas Hombre Trabajadas</v>
      </c>
      <c r="E1254" s="31" t="s">
        <v>599</v>
      </c>
      <c r="F1254" s="247" t="str">
        <f>IF(ISNUMBER(KPIs!Q58),KPIs!Q58,"")</f>
        <v/>
      </c>
      <c r="G1254" s="247" t="str">
        <f>IF(ISNUMBER(KPIs!$C$58),KPIs!$C$58,"")</f>
        <v/>
      </c>
      <c r="H1254" s="199" t="str">
        <f>""</f>
        <v/>
      </c>
      <c r="I1254" s="199" t="str">
        <f t="shared" si="129"/>
        <v/>
      </c>
      <c r="J1254" s="193" t="str">
        <f t="shared" si="130"/>
        <v>Monthly</v>
      </c>
      <c r="K1254" s="88"/>
      <c r="L1254" s="88"/>
      <c r="M1254">
        <v>1000000</v>
      </c>
      <c r="N1254" t="s">
        <v>603</v>
      </c>
      <c r="O1254" s="193" t="str">
        <f t="shared" si="134"/>
        <v>MISSING</v>
      </c>
      <c r="P1254" t="s">
        <v>604</v>
      </c>
      <c r="Q1254" s="193" t="str">
        <f t="shared" si="131"/>
        <v>202709|IAE|Monthly</v>
      </c>
      <c r="R1254" t="s">
        <v>605</v>
      </c>
      <c r="S1254" s="193" t="str">
        <f t="shared" si="135"/>
        <v/>
      </c>
      <c r="T1254" s="193" t="str">
        <f t="shared" si="133"/>
        <v/>
      </c>
    </row>
    <row r="1255" spans="1:20" x14ac:dyDescent="0.3">
      <c r="A1255" s="245">
        <f>KPIs!$R$3</f>
        <v>46661</v>
      </c>
      <c r="B1255" s="199" t="str">
        <f>KPIs!R$4</f>
        <v>Compresora</v>
      </c>
      <c r="C1255" s="31" t="s">
        <v>602</v>
      </c>
      <c r="D1255" s="199" t="str">
        <f>KPIs!$A$57</f>
        <v>IAP · Accidentes de alto potencial x 1.000.000 / Horas Hombre Trabajadas</v>
      </c>
      <c r="E1255" s="31" t="s">
        <v>599</v>
      </c>
      <c r="F1255" s="247" t="str">
        <f>IF(ISNUMBER(KPIs!R57),KPIs!R57,"")</f>
        <v/>
      </c>
      <c r="G1255" s="247" t="str">
        <f>IF(ISNUMBER(KPIs!$C$57),KPIs!$C$57,"")</f>
        <v/>
      </c>
      <c r="H1255" s="199" t="str">
        <f>""</f>
        <v/>
      </c>
      <c r="I1255" s="199" t="str">
        <f t="shared" si="129"/>
        <v/>
      </c>
      <c r="J1255" s="193" t="str">
        <f t="shared" si="130"/>
        <v>Monthly</v>
      </c>
      <c r="K1255" s="88"/>
      <c r="L1255" s="88"/>
      <c r="M1255">
        <v>1000000</v>
      </c>
      <c r="N1255" t="s">
        <v>603</v>
      </c>
      <c r="O1255" s="193" t="str">
        <f t="shared" si="134"/>
        <v>MISSING</v>
      </c>
      <c r="P1255" t="s">
        <v>604</v>
      </c>
      <c r="Q1255" s="193" t="str">
        <f t="shared" si="131"/>
        <v>202710|IAP|Monthly</v>
      </c>
      <c r="R1255" t="s">
        <v>605</v>
      </c>
      <c r="S1255" s="193" t="str">
        <f t="shared" si="135"/>
        <v/>
      </c>
      <c r="T1255" s="193" t="str">
        <f t="shared" si="133"/>
        <v/>
      </c>
    </row>
    <row r="1256" spans="1:20" x14ac:dyDescent="0.3">
      <c r="A1256" s="245">
        <f>KPIs!$R$3</f>
        <v>46661</v>
      </c>
      <c r="B1256" s="199" t="str">
        <f>KPIs!R$4</f>
        <v>Compresora</v>
      </c>
      <c r="C1256" s="31" t="s">
        <v>606</v>
      </c>
      <c r="D1256" s="199" t="str">
        <f>KPIs!$A$58</f>
        <v>IAE · Accidentes de alta energía x 1.000.000 / Horas Hombre Trabajadas</v>
      </c>
      <c r="E1256" s="31" t="s">
        <v>599</v>
      </c>
      <c r="F1256" s="247" t="str">
        <f>IF(ISNUMBER(KPIs!R58),KPIs!R58,"")</f>
        <v/>
      </c>
      <c r="G1256" s="247" t="str">
        <f>IF(ISNUMBER(KPIs!$C$58),KPIs!$C$58,"")</f>
        <v/>
      </c>
      <c r="H1256" s="199" t="str">
        <f>""</f>
        <v/>
      </c>
      <c r="I1256" s="199" t="str">
        <f t="shared" si="129"/>
        <v/>
      </c>
      <c r="J1256" s="193" t="str">
        <f t="shared" si="130"/>
        <v>Monthly</v>
      </c>
      <c r="K1256" s="88"/>
      <c r="L1256" s="88"/>
      <c r="M1256">
        <v>1000000</v>
      </c>
      <c r="N1256" t="s">
        <v>603</v>
      </c>
      <c r="O1256" s="193" t="str">
        <f t="shared" si="134"/>
        <v>MISSING</v>
      </c>
      <c r="P1256" t="s">
        <v>604</v>
      </c>
      <c r="Q1256" s="193" t="str">
        <f t="shared" si="131"/>
        <v>202710|IAE|Monthly</v>
      </c>
      <c r="R1256" t="s">
        <v>605</v>
      </c>
      <c r="S1256" s="193" t="str">
        <f t="shared" si="135"/>
        <v/>
      </c>
      <c r="T1256" s="193" t="str">
        <f t="shared" si="133"/>
        <v/>
      </c>
    </row>
    <row r="1257" spans="1:20" x14ac:dyDescent="0.3">
      <c r="A1257" s="245">
        <f>KPIs!$S$3</f>
        <v>46692</v>
      </c>
      <c r="B1257" s="199" t="str">
        <f>KPIs!S$4</f>
        <v>Compresora</v>
      </c>
      <c r="C1257" s="31" t="s">
        <v>602</v>
      </c>
      <c r="D1257" s="199" t="str">
        <f>KPIs!$A$57</f>
        <v>IAP · Accidentes de alto potencial x 1.000.000 / Horas Hombre Trabajadas</v>
      </c>
      <c r="E1257" s="31" t="s">
        <v>599</v>
      </c>
      <c r="F1257" s="247" t="str">
        <f>IF(ISNUMBER(KPIs!S57),KPIs!S57,"")</f>
        <v/>
      </c>
      <c r="G1257" s="247" t="str">
        <f>IF(ISNUMBER(KPIs!$C$57),KPIs!$C$57,"")</f>
        <v/>
      </c>
      <c r="H1257" s="199" t="str">
        <f>""</f>
        <v/>
      </c>
      <c r="I1257" s="199" t="str">
        <f t="shared" si="129"/>
        <v/>
      </c>
      <c r="J1257" s="193" t="str">
        <f t="shared" si="130"/>
        <v>Monthly</v>
      </c>
      <c r="K1257" s="88"/>
      <c r="L1257" s="88"/>
      <c r="M1257">
        <v>1000000</v>
      </c>
      <c r="N1257" t="s">
        <v>603</v>
      </c>
      <c r="O1257" s="193" t="str">
        <f t="shared" si="134"/>
        <v>MISSING</v>
      </c>
      <c r="P1257" t="s">
        <v>604</v>
      </c>
      <c r="Q1257" s="193" t="str">
        <f t="shared" si="131"/>
        <v>202711|IAP|Monthly</v>
      </c>
      <c r="R1257" t="s">
        <v>605</v>
      </c>
      <c r="S1257" s="193" t="str">
        <f t="shared" si="135"/>
        <v/>
      </c>
      <c r="T1257" s="193" t="str">
        <f t="shared" si="133"/>
        <v/>
      </c>
    </row>
    <row r="1258" spans="1:20" x14ac:dyDescent="0.3">
      <c r="A1258" s="245">
        <f>KPIs!$S$3</f>
        <v>46692</v>
      </c>
      <c r="B1258" s="199" t="str">
        <f>KPIs!S$4</f>
        <v>Compresora</v>
      </c>
      <c r="C1258" s="31" t="s">
        <v>606</v>
      </c>
      <c r="D1258" s="199" t="str">
        <f>KPIs!$A$58</f>
        <v>IAE · Accidentes de alta energía x 1.000.000 / Horas Hombre Trabajadas</v>
      </c>
      <c r="E1258" s="31" t="s">
        <v>599</v>
      </c>
      <c r="F1258" s="247" t="str">
        <f>IF(ISNUMBER(KPIs!S58),KPIs!S58,"")</f>
        <v/>
      </c>
      <c r="G1258" s="247" t="str">
        <f>IF(ISNUMBER(KPIs!$C$58),KPIs!$C$58,"")</f>
        <v/>
      </c>
      <c r="H1258" s="199" t="str">
        <f>""</f>
        <v/>
      </c>
      <c r="I1258" s="199" t="str">
        <f t="shared" si="129"/>
        <v/>
      </c>
      <c r="J1258" s="193" t="str">
        <f t="shared" si="130"/>
        <v>Monthly</v>
      </c>
      <c r="K1258" s="88"/>
      <c r="L1258" s="88"/>
      <c r="M1258">
        <v>1000000</v>
      </c>
      <c r="N1258" t="s">
        <v>603</v>
      </c>
      <c r="O1258" s="193" t="str">
        <f t="shared" si="134"/>
        <v>MISSING</v>
      </c>
      <c r="P1258" t="s">
        <v>604</v>
      </c>
      <c r="Q1258" s="193" t="str">
        <f t="shared" si="131"/>
        <v>202711|IAE|Monthly</v>
      </c>
      <c r="R1258" t="s">
        <v>605</v>
      </c>
      <c r="S1258" s="193" t="str">
        <f t="shared" si="135"/>
        <v/>
      </c>
      <c r="T1258" s="193" t="str">
        <f t="shared" si="133"/>
        <v/>
      </c>
    </row>
    <row r="1259" spans="1:20" x14ac:dyDescent="0.3">
      <c r="A1259" s="245">
        <f>KPIs!$T$3</f>
        <v>46722</v>
      </c>
      <c r="B1259" s="199" t="str">
        <f>KPIs!T$4</f>
        <v>Compresora</v>
      </c>
      <c r="C1259" s="31" t="s">
        <v>602</v>
      </c>
      <c r="D1259" s="199" t="str">
        <f>KPIs!$A$57</f>
        <v>IAP · Accidentes de alto potencial x 1.000.000 / Horas Hombre Trabajadas</v>
      </c>
      <c r="E1259" s="31" t="s">
        <v>599</v>
      </c>
      <c r="F1259" s="247" t="str">
        <f>IF(ISNUMBER(KPIs!T57),KPIs!T57,"")</f>
        <v/>
      </c>
      <c r="G1259" s="247" t="str">
        <f>IF(ISNUMBER(KPIs!$C$57),KPIs!$C$57,"")</f>
        <v/>
      </c>
      <c r="H1259" s="199" t="str">
        <f>""</f>
        <v/>
      </c>
      <c r="I1259" s="199" t="str">
        <f t="shared" si="129"/>
        <v/>
      </c>
      <c r="J1259" s="193" t="str">
        <f t="shared" si="130"/>
        <v>Monthly</v>
      </c>
      <c r="K1259" s="88"/>
      <c r="L1259" s="88"/>
      <c r="M1259">
        <v>1000000</v>
      </c>
      <c r="N1259" t="s">
        <v>603</v>
      </c>
      <c r="O1259" s="193" t="str">
        <f t="shared" ref="O1259:O1290" si="136">IF(ISNUMBER(F1259),"OK","MISSING")</f>
        <v>MISSING</v>
      </c>
      <c r="P1259" t="s">
        <v>604</v>
      </c>
      <c r="Q1259" s="193" t="str">
        <f t="shared" si="131"/>
        <v>202712|IAP|Monthly</v>
      </c>
      <c r="R1259" t="s">
        <v>605</v>
      </c>
      <c r="S1259" s="193" t="str">
        <f t="shared" ref="S1259:S1290" si="137">IF(ISNUMBER(F1259),F1259,"")</f>
        <v/>
      </c>
      <c r="T1259" s="193" t="str">
        <f t="shared" si="133"/>
        <v/>
      </c>
    </row>
    <row r="1260" spans="1:20" x14ac:dyDescent="0.3">
      <c r="A1260" s="245">
        <f>KPIs!$T$3</f>
        <v>46722</v>
      </c>
      <c r="B1260" s="199" t="str">
        <f>KPIs!T$4</f>
        <v>Compresora</v>
      </c>
      <c r="C1260" s="31" t="s">
        <v>606</v>
      </c>
      <c r="D1260" s="199" t="str">
        <f>KPIs!$A$58</f>
        <v>IAE · Accidentes de alta energía x 1.000.000 / Horas Hombre Trabajadas</v>
      </c>
      <c r="E1260" s="31" t="s">
        <v>599</v>
      </c>
      <c r="F1260" s="247" t="str">
        <f>IF(ISNUMBER(KPIs!T58),KPIs!T58,"")</f>
        <v/>
      </c>
      <c r="G1260" s="247" t="str">
        <f>IF(ISNUMBER(KPIs!$C$58),KPIs!$C$58,"")</f>
        <v/>
      </c>
      <c r="H1260" s="199" t="str">
        <f>""</f>
        <v/>
      </c>
      <c r="I1260" s="199" t="str">
        <f t="shared" si="129"/>
        <v/>
      </c>
      <c r="J1260" s="193" t="str">
        <f t="shared" si="130"/>
        <v>Monthly</v>
      </c>
      <c r="K1260" s="88"/>
      <c r="L1260" s="88"/>
      <c r="M1260">
        <v>1000000</v>
      </c>
      <c r="N1260" t="s">
        <v>603</v>
      </c>
      <c r="O1260" s="193" t="str">
        <f t="shared" si="136"/>
        <v>MISSING</v>
      </c>
      <c r="P1260" t="s">
        <v>604</v>
      </c>
      <c r="Q1260" s="193" t="str">
        <f t="shared" si="131"/>
        <v>202712|IAE|Monthly</v>
      </c>
      <c r="R1260" t="s">
        <v>605</v>
      </c>
      <c r="S1260" s="193" t="str">
        <f t="shared" si="137"/>
        <v/>
      </c>
      <c r="T1260" s="193" t="str">
        <f t="shared" si="133"/>
        <v/>
      </c>
    </row>
    <row r="1261" spans="1:20" x14ac:dyDescent="0.3">
      <c r="A1261" s="245">
        <f>KPIs!$U$3</f>
        <v>46753</v>
      </c>
      <c r="B1261" s="199" t="str">
        <f>KPIs!U$4</f>
        <v>Compresora</v>
      </c>
      <c r="C1261" s="31" t="s">
        <v>602</v>
      </c>
      <c r="D1261" s="199" t="str">
        <f>KPIs!$A$57</f>
        <v>IAP · Accidentes de alto potencial x 1.000.000 / Horas Hombre Trabajadas</v>
      </c>
      <c r="E1261" s="31" t="s">
        <v>599</v>
      </c>
      <c r="F1261" s="247" t="str">
        <f>IF(ISNUMBER(KPIs!U57),KPIs!U57,"")</f>
        <v/>
      </c>
      <c r="G1261" s="247" t="str">
        <f>IF(ISNUMBER(KPIs!$C$57),KPIs!$C$57,"")</f>
        <v/>
      </c>
      <c r="H1261" s="199" t="str">
        <f>""</f>
        <v/>
      </c>
      <c r="I1261" s="199" t="str">
        <f t="shared" si="129"/>
        <v/>
      </c>
      <c r="J1261" s="193" t="str">
        <f t="shared" si="130"/>
        <v>Monthly</v>
      </c>
      <c r="K1261" s="88"/>
      <c r="L1261" s="88"/>
      <c r="M1261">
        <v>1000000</v>
      </c>
      <c r="N1261" t="s">
        <v>603</v>
      </c>
      <c r="O1261" s="193" t="str">
        <f t="shared" si="136"/>
        <v>MISSING</v>
      </c>
      <c r="P1261" t="s">
        <v>604</v>
      </c>
      <c r="Q1261" s="193" t="str">
        <f t="shared" si="131"/>
        <v>202801|IAP|Monthly</v>
      </c>
      <c r="R1261" t="s">
        <v>605</v>
      </c>
      <c r="S1261" s="193" t="str">
        <f t="shared" si="137"/>
        <v/>
      </c>
      <c r="T1261" s="193" t="str">
        <f t="shared" si="133"/>
        <v/>
      </c>
    </row>
    <row r="1262" spans="1:20" x14ac:dyDescent="0.3">
      <c r="A1262" s="245">
        <f>KPIs!$U$3</f>
        <v>46753</v>
      </c>
      <c r="B1262" s="199" t="str">
        <f>KPIs!U$4</f>
        <v>Compresora</v>
      </c>
      <c r="C1262" s="31" t="s">
        <v>606</v>
      </c>
      <c r="D1262" s="199" t="str">
        <f>KPIs!$A$58</f>
        <v>IAE · Accidentes de alta energía x 1.000.000 / Horas Hombre Trabajadas</v>
      </c>
      <c r="E1262" s="31" t="s">
        <v>599</v>
      </c>
      <c r="F1262" s="247" t="str">
        <f>IF(ISNUMBER(KPIs!U58),KPIs!U58,"")</f>
        <v/>
      </c>
      <c r="G1262" s="247" t="str">
        <f>IF(ISNUMBER(KPIs!$C$58),KPIs!$C$58,"")</f>
        <v/>
      </c>
      <c r="H1262" s="199" t="str">
        <f>""</f>
        <v/>
      </c>
      <c r="I1262" s="199" t="str">
        <f t="shared" si="129"/>
        <v/>
      </c>
      <c r="J1262" s="193" t="str">
        <f t="shared" si="130"/>
        <v>Monthly</v>
      </c>
      <c r="K1262" s="88"/>
      <c r="L1262" s="88"/>
      <c r="M1262">
        <v>1000000</v>
      </c>
      <c r="N1262" t="s">
        <v>603</v>
      </c>
      <c r="O1262" s="193" t="str">
        <f t="shared" si="136"/>
        <v>MISSING</v>
      </c>
      <c r="P1262" t="s">
        <v>604</v>
      </c>
      <c r="Q1262" s="193" t="str">
        <f t="shared" si="131"/>
        <v>202801|IAE|Monthly</v>
      </c>
      <c r="R1262" t="s">
        <v>605</v>
      </c>
      <c r="S1262" s="193" t="str">
        <f t="shared" si="137"/>
        <v/>
      </c>
      <c r="T1262" s="193" t="str">
        <f t="shared" si="133"/>
        <v/>
      </c>
    </row>
    <row r="1263" spans="1:20" x14ac:dyDescent="0.3">
      <c r="A1263" s="245">
        <f>KPIs!$V$3</f>
        <v>46784</v>
      </c>
      <c r="B1263" s="199" t="str">
        <f>KPIs!V$4</f>
        <v>Compresora</v>
      </c>
      <c r="C1263" s="31" t="s">
        <v>602</v>
      </c>
      <c r="D1263" s="199" t="str">
        <f>KPIs!$A$57</f>
        <v>IAP · Accidentes de alto potencial x 1.000.000 / Horas Hombre Trabajadas</v>
      </c>
      <c r="E1263" s="31" t="s">
        <v>599</v>
      </c>
      <c r="F1263" s="247" t="str">
        <f>IF(ISNUMBER(KPIs!V57),KPIs!V57,"")</f>
        <v/>
      </c>
      <c r="G1263" s="247" t="str">
        <f>IF(ISNUMBER(KPIs!$C$57),KPIs!$C$57,"")</f>
        <v/>
      </c>
      <c r="H1263" s="199" t="str">
        <f>""</f>
        <v/>
      </c>
      <c r="I1263" s="199" t="str">
        <f t="shared" si="129"/>
        <v/>
      </c>
      <c r="J1263" s="193" t="str">
        <f t="shared" si="130"/>
        <v>Monthly</v>
      </c>
      <c r="K1263" s="88"/>
      <c r="L1263" s="88"/>
      <c r="M1263">
        <v>1000000</v>
      </c>
      <c r="N1263" t="s">
        <v>603</v>
      </c>
      <c r="O1263" s="193" t="str">
        <f t="shared" si="136"/>
        <v>MISSING</v>
      </c>
      <c r="P1263" t="s">
        <v>604</v>
      </c>
      <c r="Q1263" s="193" t="str">
        <f t="shared" si="131"/>
        <v>202802|IAP|Monthly</v>
      </c>
      <c r="R1263" t="s">
        <v>605</v>
      </c>
      <c r="S1263" s="193" t="str">
        <f t="shared" si="137"/>
        <v/>
      </c>
      <c r="T1263" s="193" t="str">
        <f t="shared" si="133"/>
        <v/>
      </c>
    </row>
    <row r="1264" spans="1:20" x14ac:dyDescent="0.3">
      <c r="A1264" s="245">
        <f>KPIs!$V$3</f>
        <v>46784</v>
      </c>
      <c r="B1264" s="199" t="str">
        <f>KPIs!V$4</f>
        <v>Compresora</v>
      </c>
      <c r="C1264" s="31" t="s">
        <v>606</v>
      </c>
      <c r="D1264" s="199" t="str">
        <f>KPIs!$A$58</f>
        <v>IAE · Accidentes de alta energía x 1.000.000 / Horas Hombre Trabajadas</v>
      </c>
      <c r="E1264" s="31" t="s">
        <v>599</v>
      </c>
      <c r="F1264" s="247" t="str">
        <f>IF(ISNUMBER(KPIs!V58),KPIs!V58,"")</f>
        <v/>
      </c>
      <c r="G1264" s="247" t="str">
        <f>IF(ISNUMBER(KPIs!$C$58),KPIs!$C$58,"")</f>
        <v/>
      </c>
      <c r="H1264" s="199" t="str">
        <f>""</f>
        <v/>
      </c>
      <c r="I1264" s="199" t="str">
        <f t="shared" si="129"/>
        <v/>
      </c>
      <c r="J1264" s="193" t="str">
        <f t="shared" si="130"/>
        <v>Monthly</v>
      </c>
      <c r="K1264" s="88"/>
      <c r="L1264" s="88"/>
      <c r="M1264">
        <v>1000000</v>
      </c>
      <c r="N1264" t="s">
        <v>603</v>
      </c>
      <c r="O1264" s="193" t="str">
        <f t="shared" si="136"/>
        <v>MISSING</v>
      </c>
      <c r="P1264" t="s">
        <v>604</v>
      </c>
      <c r="Q1264" s="193" t="str">
        <f t="shared" si="131"/>
        <v>202802|IAE|Monthly</v>
      </c>
      <c r="R1264" t="s">
        <v>605</v>
      </c>
      <c r="S1264" s="193" t="str">
        <f t="shared" si="137"/>
        <v/>
      </c>
      <c r="T1264" s="193" t="str">
        <f t="shared" si="133"/>
        <v/>
      </c>
    </row>
    <row r="1265" spans="1:20" x14ac:dyDescent="0.3">
      <c r="A1265" s="245">
        <f>KPIs!$W$3</f>
        <v>46813</v>
      </c>
      <c r="B1265" s="199" t="str">
        <f>KPIs!W$4</f>
        <v>Compresora</v>
      </c>
      <c r="C1265" s="31" t="s">
        <v>602</v>
      </c>
      <c r="D1265" s="199" t="str">
        <f>KPIs!$A$57</f>
        <v>IAP · Accidentes de alto potencial x 1.000.000 / Horas Hombre Trabajadas</v>
      </c>
      <c r="E1265" s="31" t="s">
        <v>599</v>
      </c>
      <c r="F1265" s="247" t="str">
        <f>IF(ISNUMBER(KPIs!W57),KPIs!W57,"")</f>
        <v/>
      </c>
      <c r="G1265" s="247" t="str">
        <f>IF(ISNUMBER(KPIs!$C$57),KPIs!$C$57,"")</f>
        <v/>
      </c>
      <c r="H1265" s="199" t="str">
        <f>""</f>
        <v/>
      </c>
      <c r="I1265" s="199" t="str">
        <f t="shared" si="129"/>
        <v/>
      </c>
      <c r="J1265" s="193" t="str">
        <f t="shared" si="130"/>
        <v>Monthly</v>
      </c>
      <c r="K1265" s="88"/>
      <c r="L1265" s="88"/>
      <c r="M1265">
        <v>1000000</v>
      </c>
      <c r="N1265" t="s">
        <v>603</v>
      </c>
      <c r="O1265" s="193" t="str">
        <f t="shared" si="136"/>
        <v>MISSING</v>
      </c>
      <c r="P1265" t="s">
        <v>604</v>
      </c>
      <c r="Q1265" s="193" t="str">
        <f t="shared" si="131"/>
        <v>202803|IAP|Monthly</v>
      </c>
      <c r="R1265" t="s">
        <v>605</v>
      </c>
      <c r="S1265" s="193" t="str">
        <f t="shared" si="137"/>
        <v/>
      </c>
      <c r="T1265" s="193" t="str">
        <f t="shared" si="133"/>
        <v/>
      </c>
    </row>
    <row r="1266" spans="1:20" x14ac:dyDescent="0.3">
      <c r="A1266" s="245">
        <f>KPIs!$W$3</f>
        <v>46813</v>
      </c>
      <c r="B1266" s="199" t="str">
        <f>KPIs!W$4</f>
        <v>Compresora</v>
      </c>
      <c r="C1266" s="31" t="s">
        <v>606</v>
      </c>
      <c r="D1266" s="199" t="str">
        <f>KPIs!$A$58</f>
        <v>IAE · Accidentes de alta energía x 1.000.000 / Horas Hombre Trabajadas</v>
      </c>
      <c r="E1266" s="31" t="s">
        <v>599</v>
      </c>
      <c r="F1266" s="247" t="str">
        <f>IF(ISNUMBER(KPIs!W58),KPIs!W58,"")</f>
        <v/>
      </c>
      <c r="G1266" s="247" t="str">
        <f>IF(ISNUMBER(KPIs!$C$58),KPIs!$C$58,"")</f>
        <v/>
      </c>
      <c r="H1266" s="199" t="str">
        <f>""</f>
        <v/>
      </c>
      <c r="I1266" s="199" t="str">
        <f t="shared" si="129"/>
        <v/>
      </c>
      <c r="J1266" s="193" t="str">
        <f t="shared" si="130"/>
        <v>Monthly</v>
      </c>
      <c r="K1266" s="88"/>
      <c r="L1266" s="88"/>
      <c r="M1266">
        <v>1000000</v>
      </c>
      <c r="N1266" t="s">
        <v>603</v>
      </c>
      <c r="O1266" s="193" t="str">
        <f t="shared" si="136"/>
        <v>MISSING</v>
      </c>
      <c r="P1266" t="s">
        <v>604</v>
      </c>
      <c r="Q1266" s="193" t="str">
        <f t="shared" si="131"/>
        <v>202803|IAE|Monthly</v>
      </c>
      <c r="R1266" t="s">
        <v>605</v>
      </c>
      <c r="S1266" s="193" t="str">
        <f t="shared" si="137"/>
        <v/>
      </c>
      <c r="T1266" s="193" t="str">
        <f t="shared" si="133"/>
        <v/>
      </c>
    </row>
    <row r="1267" spans="1:20" x14ac:dyDescent="0.3">
      <c r="A1267" s="245">
        <f>KPIs!$X$3</f>
        <v>46844</v>
      </c>
      <c r="B1267" s="199" t="str">
        <f>KPIs!X$4</f>
        <v>Compresora</v>
      </c>
      <c r="C1267" s="31" t="s">
        <v>602</v>
      </c>
      <c r="D1267" s="199" t="str">
        <f>KPIs!$A$57</f>
        <v>IAP · Accidentes de alto potencial x 1.000.000 / Horas Hombre Trabajadas</v>
      </c>
      <c r="E1267" s="31" t="s">
        <v>599</v>
      </c>
      <c r="F1267" s="247" t="str">
        <f>IF(ISNUMBER(KPIs!X57),KPIs!X57,"")</f>
        <v/>
      </c>
      <c r="G1267" s="247" t="str">
        <f>IF(ISNUMBER(KPIs!$C$57),KPIs!$C$57,"")</f>
        <v/>
      </c>
      <c r="H1267" s="199" t="str">
        <f>""</f>
        <v/>
      </c>
      <c r="I1267" s="199" t="str">
        <f t="shared" si="129"/>
        <v/>
      </c>
      <c r="J1267" s="193" t="str">
        <f t="shared" si="130"/>
        <v>Monthly</v>
      </c>
      <c r="K1267" s="88"/>
      <c r="L1267" s="88"/>
      <c r="M1267">
        <v>1000000</v>
      </c>
      <c r="N1267" t="s">
        <v>603</v>
      </c>
      <c r="O1267" s="193" t="str">
        <f t="shared" si="136"/>
        <v>MISSING</v>
      </c>
      <c r="P1267" t="s">
        <v>604</v>
      </c>
      <c r="Q1267" s="193" t="str">
        <f t="shared" si="131"/>
        <v>202804|IAP|Monthly</v>
      </c>
      <c r="R1267" t="s">
        <v>605</v>
      </c>
      <c r="S1267" s="193" t="str">
        <f t="shared" si="137"/>
        <v/>
      </c>
      <c r="T1267" s="193" t="str">
        <f t="shared" si="133"/>
        <v/>
      </c>
    </row>
    <row r="1268" spans="1:20" x14ac:dyDescent="0.3">
      <c r="A1268" s="245">
        <f>KPIs!$X$3</f>
        <v>46844</v>
      </c>
      <c r="B1268" s="199" t="str">
        <f>KPIs!X$4</f>
        <v>Compresora</v>
      </c>
      <c r="C1268" s="31" t="s">
        <v>606</v>
      </c>
      <c r="D1268" s="199" t="str">
        <f>KPIs!$A$58</f>
        <v>IAE · Accidentes de alta energía x 1.000.000 / Horas Hombre Trabajadas</v>
      </c>
      <c r="E1268" s="31" t="s">
        <v>599</v>
      </c>
      <c r="F1268" s="247" t="str">
        <f>IF(ISNUMBER(KPIs!X58),KPIs!X58,"")</f>
        <v/>
      </c>
      <c r="G1268" s="247" t="str">
        <f>IF(ISNUMBER(KPIs!$C$58),KPIs!$C$58,"")</f>
        <v/>
      </c>
      <c r="H1268" s="199" t="str">
        <f>""</f>
        <v/>
      </c>
      <c r="I1268" s="199" t="str">
        <f t="shared" si="129"/>
        <v/>
      </c>
      <c r="J1268" s="193" t="str">
        <f t="shared" si="130"/>
        <v>Monthly</v>
      </c>
      <c r="K1268" s="88"/>
      <c r="L1268" s="88"/>
      <c r="M1268">
        <v>1000000</v>
      </c>
      <c r="N1268" t="s">
        <v>603</v>
      </c>
      <c r="O1268" s="193" t="str">
        <f t="shared" si="136"/>
        <v>MISSING</v>
      </c>
      <c r="P1268" t="s">
        <v>604</v>
      </c>
      <c r="Q1268" s="193" t="str">
        <f t="shared" si="131"/>
        <v>202804|IAE|Monthly</v>
      </c>
      <c r="R1268" t="s">
        <v>605</v>
      </c>
      <c r="S1268" s="193" t="str">
        <f t="shared" si="137"/>
        <v/>
      </c>
      <c r="T1268" s="193" t="str">
        <f t="shared" si="133"/>
        <v/>
      </c>
    </row>
    <row r="1269" spans="1:20" x14ac:dyDescent="0.3">
      <c r="A1269" s="245">
        <f>KPIs!$Y$3</f>
        <v>46874</v>
      </c>
      <c r="B1269" s="199" t="str">
        <f>KPIs!Y$4</f>
        <v>Compresora</v>
      </c>
      <c r="C1269" s="31" t="s">
        <v>602</v>
      </c>
      <c r="D1269" s="199" t="str">
        <f>KPIs!$A$57</f>
        <v>IAP · Accidentes de alto potencial x 1.000.000 / Horas Hombre Trabajadas</v>
      </c>
      <c r="E1269" s="31" t="s">
        <v>599</v>
      </c>
      <c r="F1269" s="247" t="str">
        <f>IF(ISNUMBER(KPIs!Y57),KPIs!Y57,"")</f>
        <v/>
      </c>
      <c r="G1269" s="247" t="str">
        <f>IF(ISNUMBER(KPIs!$C$57),KPIs!$C$57,"")</f>
        <v/>
      </c>
      <c r="H1269" s="199" t="str">
        <f>""</f>
        <v/>
      </c>
      <c r="I1269" s="199" t="str">
        <f t="shared" si="129"/>
        <v/>
      </c>
      <c r="J1269" s="193" t="str">
        <f t="shared" si="130"/>
        <v>Monthly</v>
      </c>
      <c r="K1269" s="88"/>
      <c r="L1269" s="88"/>
      <c r="M1269">
        <v>1000000</v>
      </c>
      <c r="N1269" t="s">
        <v>603</v>
      </c>
      <c r="O1269" s="193" t="str">
        <f t="shared" si="136"/>
        <v>MISSING</v>
      </c>
      <c r="P1269" t="s">
        <v>604</v>
      </c>
      <c r="Q1269" s="193" t="str">
        <f t="shared" si="131"/>
        <v>202805|IAP|Monthly</v>
      </c>
      <c r="R1269" t="s">
        <v>605</v>
      </c>
      <c r="S1269" s="193" t="str">
        <f t="shared" si="137"/>
        <v/>
      </c>
      <c r="T1269" s="193" t="str">
        <f t="shared" si="133"/>
        <v/>
      </c>
    </row>
    <row r="1270" spans="1:20" x14ac:dyDescent="0.3">
      <c r="A1270" s="245">
        <f>KPIs!$Y$3</f>
        <v>46874</v>
      </c>
      <c r="B1270" s="199" t="str">
        <f>KPIs!Y$4</f>
        <v>Compresora</v>
      </c>
      <c r="C1270" s="31" t="s">
        <v>606</v>
      </c>
      <c r="D1270" s="199" t="str">
        <f>KPIs!$A$58</f>
        <v>IAE · Accidentes de alta energía x 1.000.000 / Horas Hombre Trabajadas</v>
      </c>
      <c r="E1270" s="31" t="s">
        <v>599</v>
      </c>
      <c r="F1270" s="247" t="str">
        <f>IF(ISNUMBER(KPIs!Y58),KPIs!Y58,"")</f>
        <v/>
      </c>
      <c r="G1270" s="247" t="str">
        <f>IF(ISNUMBER(KPIs!$C$58),KPIs!$C$58,"")</f>
        <v/>
      </c>
      <c r="H1270" s="199" t="str">
        <f>""</f>
        <v/>
      </c>
      <c r="I1270" s="199" t="str">
        <f t="shared" si="129"/>
        <v/>
      </c>
      <c r="J1270" s="193" t="str">
        <f t="shared" si="130"/>
        <v>Monthly</v>
      </c>
      <c r="K1270" s="88"/>
      <c r="L1270" s="88"/>
      <c r="M1270">
        <v>1000000</v>
      </c>
      <c r="N1270" t="s">
        <v>603</v>
      </c>
      <c r="O1270" s="193" t="str">
        <f t="shared" si="136"/>
        <v>MISSING</v>
      </c>
      <c r="P1270" t="s">
        <v>604</v>
      </c>
      <c r="Q1270" s="193" t="str">
        <f t="shared" si="131"/>
        <v>202805|IAE|Monthly</v>
      </c>
      <c r="R1270" t="s">
        <v>605</v>
      </c>
      <c r="S1270" s="193" t="str">
        <f t="shared" si="137"/>
        <v/>
      </c>
      <c r="T1270" s="193" t="str">
        <f t="shared" si="133"/>
        <v/>
      </c>
    </row>
    <row r="1271" spans="1:20" x14ac:dyDescent="0.3">
      <c r="A1271" s="245">
        <f>KPIs!$Z$3</f>
        <v>46905</v>
      </c>
      <c r="B1271" s="199" t="str">
        <f>KPIs!Z$4</f>
        <v>Compresora</v>
      </c>
      <c r="C1271" s="31" t="s">
        <v>602</v>
      </c>
      <c r="D1271" s="199" t="str">
        <f>KPIs!$A$57</f>
        <v>IAP · Accidentes de alto potencial x 1.000.000 / Horas Hombre Trabajadas</v>
      </c>
      <c r="E1271" s="31" t="s">
        <v>599</v>
      </c>
      <c r="F1271" s="247" t="str">
        <f>IF(ISNUMBER(KPIs!Z57),KPIs!Z57,"")</f>
        <v/>
      </c>
      <c r="G1271" s="247" t="str">
        <f>IF(ISNUMBER(KPIs!$C$57),KPIs!$C$57,"")</f>
        <v/>
      </c>
      <c r="H1271" s="199" t="str">
        <f>""</f>
        <v/>
      </c>
      <c r="I1271" s="199" t="str">
        <f t="shared" si="129"/>
        <v/>
      </c>
      <c r="J1271" s="193" t="str">
        <f t="shared" si="130"/>
        <v>Monthly</v>
      </c>
      <c r="K1271" s="88"/>
      <c r="L1271" s="88"/>
      <c r="M1271">
        <v>1000000</v>
      </c>
      <c r="N1271" t="s">
        <v>603</v>
      </c>
      <c r="O1271" s="193" t="str">
        <f t="shared" si="136"/>
        <v>MISSING</v>
      </c>
      <c r="P1271" t="s">
        <v>604</v>
      </c>
      <c r="Q1271" s="193" t="str">
        <f t="shared" si="131"/>
        <v>202806|IAP|Monthly</v>
      </c>
      <c r="R1271" t="s">
        <v>605</v>
      </c>
      <c r="S1271" s="193" t="str">
        <f t="shared" si="137"/>
        <v/>
      </c>
      <c r="T1271" s="193" t="str">
        <f t="shared" si="133"/>
        <v/>
      </c>
    </row>
    <row r="1272" spans="1:20" x14ac:dyDescent="0.3">
      <c r="A1272" s="245">
        <f>KPIs!$Z$3</f>
        <v>46905</v>
      </c>
      <c r="B1272" s="199" t="str">
        <f>KPIs!Z$4</f>
        <v>Compresora</v>
      </c>
      <c r="C1272" s="31" t="s">
        <v>606</v>
      </c>
      <c r="D1272" s="199" t="str">
        <f>KPIs!$A$58</f>
        <v>IAE · Accidentes de alta energía x 1.000.000 / Horas Hombre Trabajadas</v>
      </c>
      <c r="E1272" s="31" t="s">
        <v>599</v>
      </c>
      <c r="F1272" s="247" t="str">
        <f>IF(ISNUMBER(KPIs!Z58),KPIs!Z58,"")</f>
        <v/>
      </c>
      <c r="G1272" s="247" t="str">
        <f>IF(ISNUMBER(KPIs!$C$58),KPIs!$C$58,"")</f>
        <v/>
      </c>
      <c r="H1272" s="199" t="str">
        <f>""</f>
        <v/>
      </c>
      <c r="I1272" s="199" t="str">
        <f t="shared" si="129"/>
        <v/>
      </c>
      <c r="J1272" s="193" t="str">
        <f t="shared" si="130"/>
        <v>Monthly</v>
      </c>
      <c r="K1272" s="88"/>
      <c r="L1272" s="88"/>
      <c r="M1272">
        <v>1000000</v>
      </c>
      <c r="N1272" t="s">
        <v>603</v>
      </c>
      <c r="O1272" s="193" t="str">
        <f t="shared" si="136"/>
        <v>MISSING</v>
      </c>
      <c r="P1272" t="s">
        <v>604</v>
      </c>
      <c r="Q1272" s="193" t="str">
        <f t="shared" si="131"/>
        <v>202806|IAE|Monthly</v>
      </c>
      <c r="R1272" t="s">
        <v>605</v>
      </c>
      <c r="S1272" s="193" t="str">
        <f t="shared" si="137"/>
        <v/>
      </c>
      <c r="T1272" s="193" t="str">
        <f t="shared" si="133"/>
        <v/>
      </c>
    </row>
    <row r="1273" spans="1:20" x14ac:dyDescent="0.3">
      <c r="A1273" s="245">
        <f>KPIs!$AA$3</f>
        <v>46935</v>
      </c>
      <c r="B1273" s="199" t="str">
        <f>KPIs!AA$4</f>
        <v>Compresora</v>
      </c>
      <c r="C1273" s="31" t="s">
        <v>602</v>
      </c>
      <c r="D1273" s="199" t="str">
        <f>KPIs!$A$57</f>
        <v>IAP · Accidentes de alto potencial x 1.000.000 / Horas Hombre Trabajadas</v>
      </c>
      <c r="E1273" s="31" t="s">
        <v>599</v>
      </c>
      <c r="F1273" s="247" t="str">
        <f>IF(ISNUMBER(KPIs!AA57),KPIs!AA57,"")</f>
        <v/>
      </c>
      <c r="G1273" s="247" t="str">
        <f>IF(ISNUMBER(KPIs!$C$57),KPIs!$C$57,"")</f>
        <v/>
      </c>
      <c r="H1273" s="199" t="str">
        <f>""</f>
        <v/>
      </c>
      <c r="I1273" s="199" t="str">
        <f t="shared" si="129"/>
        <v/>
      </c>
      <c r="J1273" s="193" t="str">
        <f t="shared" si="130"/>
        <v>Monthly</v>
      </c>
      <c r="K1273" s="88"/>
      <c r="L1273" s="88"/>
      <c r="M1273">
        <v>1000000</v>
      </c>
      <c r="N1273" t="s">
        <v>603</v>
      </c>
      <c r="O1273" s="193" t="str">
        <f t="shared" si="136"/>
        <v>MISSING</v>
      </c>
      <c r="P1273" t="s">
        <v>604</v>
      </c>
      <c r="Q1273" s="193" t="str">
        <f t="shared" si="131"/>
        <v>202807|IAP|Monthly</v>
      </c>
      <c r="R1273" t="s">
        <v>605</v>
      </c>
      <c r="S1273" s="193" t="str">
        <f t="shared" si="137"/>
        <v/>
      </c>
      <c r="T1273" s="193" t="str">
        <f t="shared" si="133"/>
        <v/>
      </c>
    </row>
    <row r="1274" spans="1:20" x14ac:dyDescent="0.3">
      <c r="A1274" s="245">
        <f>KPIs!$AA$3</f>
        <v>46935</v>
      </c>
      <c r="B1274" s="199" t="str">
        <f>KPIs!AA$4</f>
        <v>Compresora</v>
      </c>
      <c r="C1274" s="31" t="s">
        <v>606</v>
      </c>
      <c r="D1274" s="199" t="str">
        <f>KPIs!$A$58</f>
        <v>IAE · Accidentes de alta energía x 1.000.000 / Horas Hombre Trabajadas</v>
      </c>
      <c r="E1274" s="31" t="s">
        <v>599</v>
      </c>
      <c r="F1274" s="247" t="str">
        <f>IF(ISNUMBER(KPIs!AA58),KPIs!AA58,"")</f>
        <v/>
      </c>
      <c r="G1274" s="247" t="str">
        <f>IF(ISNUMBER(KPIs!$C$58),KPIs!$C$58,"")</f>
        <v/>
      </c>
      <c r="H1274" s="199" t="str">
        <f>""</f>
        <v/>
      </c>
      <c r="I1274" s="199" t="str">
        <f t="shared" si="129"/>
        <v/>
      </c>
      <c r="J1274" s="193" t="str">
        <f t="shared" si="130"/>
        <v>Monthly</v>
      </c>
      <c r="K1274" s="88"/>
      <c r="L1274" s="88"/>
      <c r="M1274">
        <v>1000000</v>
      </c>
      <c r="N1274" t="s">
        <v>603</v>
      </c>
      <c r="O1274" s="193" t="str">
        <f t="shared" si="136"/>
        <v>MISSING</v>
      </c>
      <c r="P1274" t="s">
        <v>604</v>
      </c>
      <c r="Q1274" s="193" t="str">
        <f t="shared" si="131"/>
        <v>202807|IAE|Monthly</v>
      </c>
      <c r="R1274" t="s">
        <v>605</v>
      </c>
      <c r="S1274" s="193" t="str">
        <f t="shared" si="137"/>
        <v/>
      </c>
      <c r="T1274" s="193" t="str">
        <f t="shared" si="133"/>
        <v/>
      </c>
    </row>
    <row r="1275" spans="1:20" x14ac:dyDescent="0.3">
      <c r="A1275" s="245">
        <f>KPIs!$AB$3</f>
        <v>46966</v>
      </c>
      <c r="B1275" s="199" t="str">
        <f>KPIs!AB$4</f>
        <v>Compresora</v>
      </c>
      <c r="C1275" s="31" t="s">
        <v>602</v>
      </c>
      <c r="D1275" s="199" t="str">
        <f>KPIs!$A$57</f>
        <v>IAP · Accidentes de alto potencial x 1.000.000 / Horas Hombre Trabajadas</v>
      </c>
      <c r="E1275" s="31" t="s">
        <v>599</v>
      </c>
      <c r="F1275" s="247" t="str">
        <f>IF(ISNUMBER(KPIs!AB57),KPIs!AB57,"")</f>
        <v/>
      </c>
      <c r="G1275" s="247" t="str">
        <f>IF(ISNUMBER(KPIs!$C$57),KPIs!$C$57,"")</f>
        <v/>
      </c>
      <c r="H1275" s="199" t="str">
        <f>""</f>
        <v/>
      </c>
      <c r="I1275" s="199" t="str">
        <f t="shared" si="129"/>
        <v/>
      </c>
      <c r="J1275" s="193" t="str">
        <f t="shared" si="130"/>
        <v>Monthly</v>
      </c>
      <c r="K1275" s="88"/>
      <c r="L1275" s="88"/>
      <c r="M1275">
        <v>1000000</v>
      </c>
      <c r="N1275" t="s">
        <v>603</v>
      </c>
      <c r="O1275" s="193" t="str">
        <f t="shared" si="136"/>
        <v>MISSING</v>
      </c>
      <c r="P1275" t="s">
        <v>604</v>
      </c>
      <c r="Q1275" s="193" t="str">
        <f t="shared" si="131"/>
        <v>202808|IAP|Monthly</v>
      </c>
      <c r="R1275" t="s">
        <v>605</v>
      </c>
      <c r="S1275" s="193" t="str">
        <f t="shared" si="137"/>
        <v/>
      </c>
      <c r="T1275" s="193" t="str">
        <f t="shared" si="133"/>
        <v/>
      </c>
    </row>
    <row r="1276" spans="1:20" x14ac:dyDescent="0.3">
      <c r="A1276" s="245">
        <f>KPIs!$AB$3</f>
        <v>46966</v>
      </c>
      <c r="B1276" s="199" t="str">
        <f>KPIs!AB$4</f>
        <v>Compresora</v>
      </c>
      <c r="C1276" s="31" t="s">
        <v>606</v>
      </c>
      <c r="D1276" s="199" t="str">
        <f>KPIs!$A$58</f>
        <v>IAE · Accidentes de alta energía x 1.000.000 / Horas Hombre Trabajadas</v>
      </c>
      <c r="E1276" s="31" t="s">
        <v>599</v>
      </c>
      <c r="F1276" s="247" t="str">
        <f>IF(ISNUMBER(KPIs!AB58),KPIs!AB58,"")</f>
        <v/>
      </c>
      <c r="G1276" s="247" t="str">
        <f>IF(ISNUMBER(KPIs!$C$58),KPIs!$C$58,"")</f>
        <v/>
      </c>
      <c r="H1276" s="199" t="str">
        <f>""</f>
        <v/>
      </c>
      <c r="I1276" s="199" t="str">
        <f t="shared" si="129"/>
        <v/>
      </c>
      <c r="J1276" s="193" t="str">
        <f t="shared" si="130"/>
        <v>Monthly</v>
      </c>
      <c r="K1276" s="88"/>
      <c r="L1276" s="88"/>
      <c r="M1276">
        <v>1000000</v>
      </c>
      <c r="N1276" t="s">
        <v>603</v>
      </c>
      <c r="O1276" s="193" t="str">
        <f t="shared" si="136"/>
        <v>MISSING</v>
      </c>
      <c r="P1276" t="s">
        <v>604</v>
      </c>
      <c r="Q1276" s="193" t="str">
        <f t="shared" si="131"/>
        <v>202808|IAE|Monthly</v>
      </c>
      <c r="R1276" t="s">
        <v>605</v>
      </c>
      <c r="S1276" s="193" t="str">
        <f t="shared" si="137"/>
        <v/>
      </c>
      <c r="T1276" s="193" t="str">
        <f t="shared" si="133"/>
        <v/>
      </c>
    </row>
    <row r="1277" spans="1:20" x14ac:dyDescent="0.3">
      <c r="A1277" s="245">
        <f>KPIs!$AC$3</f>
        <v>46997</v>
      </c>
      <c r="B1277" s="199" t="str">
        <f>KPIs!AC$4</f>
        <v>Compresora</v>
      </c>
      <c r="C1277" s="31" t="s">
        <v>602</v>
      </c>
      <c r="D1277" s="199" t="str">
        <f>KPIs!$A$57</f>
        <v>IAP · Accidentes de alto potencial x 1.000.000 / Horas Hombre Trabajadas</v>
      </c>
      <c r="E1277" s="31" t="s">
        <v>599</v>
      </c>
      <c r="F1277" s="247" t="str">
        <f>IF(ISNUMBER(KPIs!AC57),KPIs!AC57,"")</f>
        <v/>
      </c>
      <c r="G1277" s="247" t="str">
        <f>IF(ISNUMBER(KPIs!$C$57),KPIs!$C$57,"")</f>
        <v/>
      </c>
      <c r="H1277" s="199" t="str">
        <f>""</f>
        <v/>
      </c>
      <c r="I1277" s="199" t="str">
        <f t="shared" si="129"/>
        <v/>
      </c>
      <c r="J1277" s="193" t="str">
        <f t="shared" si="130"/>
        <v>Monthly</v>
      </c>
      <c r="K1277" s="88"/>
      <c r="L1277" s="88"/>
      <c r="M1277">
        <v>1000000</v>
      </c>
      <c r="N1277" t="s">
        <v>603</v>
      </c>
      <c r="O1277" s="193" t="str">
        <f t="shared" si="136"/>
        <v>MISSING</v>
      </c>
      <c r="P1277" t="s">
        <v>604</v>
      </c>
      <c r="Q1277" s="193" t="str">
        <f t="shared" si="131"/>
        <v>202809|IAP|Monthly</v>
      </c>
      <c r="R1277" t="s">
        <v>605</v>
      </c>
      <c r="S1277" s="193" t="str">
        <f t="shared" si="137"/>
        <v/>
      </c>
      <c r="T1277" s="193" t="str">
        <f t="shared" si="133"/>
        <v/>
      </c>
    </row>
    <row r="1278" spans="1:20" x14ac:dyDescent="0.3">
      <c r="A1278" s="245">
        <f>KPIs!$AC$3</f>
        <v>46997</v>
      </c>
      <c r="B1278" s="199" t="str">
        <f>KPIs!AC$4</f>
        <v>Compresora</v>
      </c>
      <c r="C1278" s="31" t="s">
        <v>606</v>
      </c>
      <c r="D1278" s="199" t="str">
        <f>KPIs!$A$58</f>
        <v>IAE · Accidentes de alta energía x 1.000.000 / Horas Hombre Trabajadas</v>
      </c>
      <c r="E1278" s="31" t="s">
        <v>599</v>
      </c>
      <c r="F1278" s="247" t="str">
        <f>IF(ISNUMBER(KPIs!AC58),KPIs!AC58,"")</f>
        <v/>
      </c>
      <c r="G1278" s="247" t="str">
        <f>IF(ISNUMBER(KPIs!$C$58),KPIs!$C$58,"")</f>
        <v/>
      </c>
      <c r="H1278" s="199" t="str">
        <f>""</f>
        <v/>
      </c>
      <c r="I1278" s="199" t="str">
        <f t="shared" si="129"/>
        <v/>
      </c>
      <c r="J1278" s="193" t="str">
        <f t="shared" si="130"/>
        <v>Monthly</v>
      </c>
      <c r="K1278" s="88"/>
      <c r="L1278" s="88"/>
      <c r="M1278">
        <v>1000000</v>
      </c>
      <c r="N1278" t="s">
        <v>603</v>
      </c>
      <c r="O1278" s="193" t="str">
        <f t="shared" si="136"/>
        <v>MISSING</v>
      </c>
      <c r="P1278" t="s">
        <v>604</v>
      </c>
      <c r="Q1278" s="193" t="str">
        <f t="shared" si="131"/>
        <v>202809|IAE|Monthly</v>
      </c>
      <c r="R1278" t="s">
        <v>605</v>
      </c>
      <c r="S1278" s="193" t="str">
        <f t="shared" si="137"/>
        <v/>
      </c>
      <c r="T1278" s="193" t="str">
        <f t="shared" si="133"/>
        <v/>
      </c>
    </row>
    <row r="1279" spans="1:20" x14ac:dyDescent="0.3">
      <c r="A1279" s="245">
        <f>KPIs!$AD$3</f>
        <v>47027</v>
      </c>
      <c r="B1279" s="199" t="str">
        <f>KPIs!AD$4</f>
        <v>Compresora</v>
      </c>
      <c r="C1279" s="31" t="s">
        <v>602</v>
      </c>
      <c r="D1279" s="199" t="str">
        <f>KPIs!$A$57</f>
        <v>IAP · Accidentes de alto potencial x 1.000.000 / Horas Hombre Trabajadas</v>
      </c>
      <c r="E1279" s="31" t="s">
        <v>599</v>
      </c>
      <c r="F1279" s="247" t="str">
        <f>IF(ISNUMBER(KPIs!AD57),KPIs!AD57,"")</f>
        <v/>
      </c>
      <c r="G1279" s="247" t="str">
        <f>IF(ISNUMBER(KPIs!$C$57),KPIs!$C$57,"")</f>
        <v/>
      </c>
      <c r="H1279" s="199" t="str">
        <f>""</f>
        <v/>
      </c>
      <c r="I1279" s="199" t="str">
        <f t="shared" si="129"/>
        <v/>
      </c>
      <c r="J1279" s="193" t="str">
        <f t="shared" si="130"/>
        <v>Monthly</v>
      </c>
      <c r="K1279" s="88"/>
      <c r="L1279" s="88"/>
      <c r="M1279">
        <v>1000000</v>
      </c>
      <c r="N1279" t="s">
        <v>603</v>
      </c>
      <c r="O1279" s="193" t="str">
        <f t="shared" si="136"/>
        <v>MISSING</v>
      </c>
      <c r="P1279" t="s">
        <v>604</v>
      </c>
      <c r="Q1279" s="193" t="str">
        <f t="shared" si="131"/>
        <v>202810|IAP|Monthly</v>
      </c>
      <c r="R1279" t="s">
        <v>605</v>
      </c>
      <c r="S1279" s="193" t="str">
        <f t="shared" si="137"/>
        <v/>
      </c>
      <c r="T1279" s="193" t="str">
        <f t="shared" si="133"/>
        <v/>
      </c>
    </row>
    <row r="1280" spans="1:20" x14ac:dyDescent="0.3">
      <c r="A1280" s="245">
        <f>KPIs!$AD$3</f>
        <v>47027</v>
      </c>
      <c r="B1280" s="199" t="str">
        <f>KPIs!AD$4</f>
        <v>Compresora</v>
      </c>
      <c r="C1280" s="31" t="s">
        <v>606</v>
      </c>
      <c r="D1280" s="199" t="str">
        <f>KPIs!$A$58</f>
        <v>IAE · Accidentes de alta energía x 1.000.000 / Horas Hombre Trabajadas</v>
      </c>
      <c r="E1280" s="31" t="s">
        <v>599</v>
      </c>
      <c r="F1280" s="247" t="str">
        <f>IF(ISNUMBER(KPIs!AD58),KPIs!AD58,"")</f>
        <v/>
      </c>
      <c r="G1280" s="247" t="str">
        <f>IF(ISNUMBER(KPIs!$C$58),KPIs!$C$58,"")</f>
        <v/>
      </c>
      <c r="H1280" s="199" t="str">
        <f>""</f>
        <v/>
      </c>
      <c r="I1280" s="199" t="str">
        <f t="shared" si="129"/>
        <v/>
      </c>
      <c r="J1280" s="193" t="str">
        <f t="shared" si="130"/>
        <v>Monthly</v>
      </c>
      <c r="K1280" s="88"/>
      <c r="L1280" s="88"/>
      <c r="M1280">
        <v>1000000</v>
      </c>
      <c r="N1280" t="s">
        <v>603</v>
      </c>
      <c r="O1280" s="193" t="str">
        <f t="shared" si="136"/>
        <v>MISSING</v>
      </c>
      <c r="P1280" t="s">
        <v>604</v>
      </c>
      <c r="Q1280" s="193" t="str">
        <f t="shared" si="131"/>
        <v>202810|IAE|Monthly</v>
      </c>
      <c r="R1280" t="s">
        <v>605</v>
      </c>
      <c r="S1280" s="193" t="str">
        <f t="shared" si="137"/>
        <v/>
      </c>
      <c r="T1280" s="193" t="str">
        <f t="shared" si="133"/>
        <v/>
      </c>
    </row>
    <row r="1281" spans="1:20" x14ac:dyDescent="0.3">
      <c r="A1281" s="245">
        <f>KPIs!$AE$3</f>
        <v>47058</v>
      </c>
      <c r="B1281" s="199" t="str">
        <f>KPIs!AE$4</f>
        <v>Compresora</v>
      </c>
      <c r="C1281" s="31" t="s">
        <v>602</v>
      </c>
      <c r="D1281" s="199" t="str">
        <f>KPIs!$A$57</f>
        <v>IAP · Accidentes de alto potencial x 1.000.000 / Horas Hombre Trabajadas</v>
      </c>
      <c r="E1281" s="31" t="s">
        <v>599</v>
      </c>
      <c r="F1281" s="247" t="str">
        <f>IF(ISNUMBER(KPIs!AE57),KPIs!AE57,"")</f>
        <v/>
      </c>
      <c r="G1281" s="247" t="str">
        <f>IF(ISNUMBER(KPIs!$C$57),KPIs!$C$57,"")</f>
        <v/>
      </c>
      <c r="H1281" s="199" t="str">
        <f>""</f>
        <v/>
      </c>
      <c r="I1281" s="199" t="str">
        <f t="shared" si="129"/>
        <v/>
      </c>
      <c r="J1281" s="193" t="str">
        <f t="shared" si="130"/>
        <v>Monthly</v>
      </c>
      <c r="K1281" s="88"/>
      <c r="L1281" s="88"/>
      <c r="M1281">
        <v>1000000</v>
      </c>
      <c r="N1281" t="s">
        <v>603</v>
      </c>
      <c r="O1281" s="193" t="str">
        <f t="shared" si="136"/>
        <v>MISSING</v>
      </c>
      <c r="P1281" t="s">
        <v>604</v>
      </c>
      <c r="Q1281" s="193" t="str">
        <f t="shared" si="131"/>
        <v>202811|IAP|Monthly</v>
      </c>
      <c r="R1281" t="s">
        <v>605</v>
      </c>
      <c r="S1281" s="193" t="str">
        <f t="shared" si="137"/>
        <v/>
      </c>
      <c r="T1281" s="193" t="str">
        <f t="shared" si="133"/>
        <v/>
      </c>
    </row>
    <row r="1282" spans="1:20" x14ac:dyDescent="0.3">
      <c r="A1282" s="245">
        <f>KPIs!$AE$3</f>
        <v>47058</v>
      </c>
      <c r="B1282" s="199" t="str">
        <f>KPIs!AE$4</f>
        <v>Compresora</v>
      </c>
      <c r="C1282" s="31" t="s">
        <v>606</v>
      </c>
      <c r="D1282" s="199" t="str">
        <f>KPIs!$A$58</f>
        <v>IAE · Accidentes de alta energía x 1.000.000 / Horas Hombre Trabajadas</v>
      </c>
      <c r="E1282" s="31" t="s">
        <v>599</v>
      </c>
      <c r="F1282" s="247" t="str">
        <f>IF(ISNUMBER(KPIs!AE58),KPIs!AE58,"")</f>
        <v/>
      </c>
      <c r="G1282" s="247" t="str">
        <f>IF(ISNUMBER(KPIs!$C$58),KPIs!$C$58,"")</f>
        <v/>
      </c>
      <c r="H1282" s="199" t="str">
        <f>""</f>
        <v/>
      </c>
      <c r="I1282" s="199" t="str">
        <f t="shared" ref="I1282:I1296" si="138">IF(OR(H1282="",F1282="",G1282=""),"",IF(IF(H1282="≤",F1282&lt;=G1282,F1282&gt;=G1282),"Sí","No"))</f>
        <v/>
      </c>
      <c r="J1282" s="193" t="str">
        <f t="shared" ref="J1282:J1296" si="139">IF(E1282="Mensual","Monthly",IF(E1282="Acumulado","Cumulative",E1282))</f>
        <v>Monthly</v>
      </c>
      <c r="K1282" s="88"/>
      <c r="L1282" s="88"/>
      <c r="M1282">
        <v>1000000</v>
      </c>
      <c r="N1282" t="s">
        <v>603</v>
      </c>
      <c r="O1282" s="193" t="str">
        <f t="shared" si="136"/>
        <v>MISSING</v>
      </c>
      <c r="P1282" t="s">
        <v>604</v>
      </c>
      <c r="Q1282" s="193" t="str">
        <f t="shared" ref="Q1282:Q1296" si="140">YEAR(A1282)*100+MONTH(A1282)&amp;"|"&amp;C1282&amp;"|"&amp;J1282</f>
        <v>202811|IAE|Monthly</v>
      </c>
      <c r="R1282" t="s">
        <v>605</v>
      </c>
      <c r="S1282" s="193" t="str">
        <f t="shared" si="137"/>
        <v/>
      </c>
      <c r="T1282" s="193" t="str">
        <f t="shared" ref="T1282:T1296" si="141">IF(AND(ISNUMBER(F1282),ISNUMBER(S1282)),ABS(F1282-S1282),"")</f>
        <v/>
      </c>
    </row>
    <row r="1283" spans="1:20" x14ac:dyDescent="0.3">
      <c r="A1283" s="245">
        <f>KPIs!$AF$3</f>
        <v>47088</v>
      </c>
      <c r="B1283" s="199" t="str">
        <f>KPIs!AF$4</f>
        <v>Compresora</v>
      </c>
      <c r="C1283" s="31" t="s">
        <v>602</v>
      </c>
      <c r="D1283" s="199" t="str">
        <f>KPIs!$A$57</f>
        <v>IAP · Accidentes de alto potencial x 1.000.000 / Horas Hombre Trabajadas</v>
      </c>
      <c r="E1283" s="31" t="s">
        <v>599</v>
      </c>
      <c r="F1283" s="247" t="str">
        <f>IF(ISNUMBER(KPIs!AF57),KPIs!AF57,"")</f>
        <v/>
      </c>
      <c r="G1283" s="247" t="str">
        <f>IF(ISNUMBER(KPIs!$C$57),KPIs!$C$57,"")</f>
        <v/>
      </c>
      <c r="H1283" s="199" t="str">
        <f>""</f>
        <v/>
      </c>
      <c r="I1283" s="199" t="str">
        <f t="shared" si="138"/>
        <v/>
      </c>
      <c r="J1283" s="193" t="str">
        <f t="shared" si="139"/>
        <v>Monthly</v>
      </c>
      <c r="K1283" s="88"/>
      <c r="L1283" s="88"/>
      <c r="M1283">
        <v>1000000</v>
      </c>
      <c r="N1283" t="s">
        <v>603</v>
      </c>
      <c r="O1283" s="193" t="str">
        <f t="shared" si="136"/>
        <v>MISSING</v>
      </c>
      <c r="P1283" t="s">
        <v>604</v>
      </c>
      <c r="Q1283" s="193" t="str">
        <f t="shared" si="140"/>
        <v>202812|IAP|Monthly</v>
      </c>
      <c r="R1283" t="s">
        <v>605</v>
      </c>
      <c r="S1283" s="193" t="str">
        <f t="shared" si="137"/>
        <v/>
      </c>
      <c r="T1283" s="193" t="str">
        <f t="shared" si="141"/>
        <v/>
      </c>
    </row>
    <row r="1284" spans="1:20" x14ac:dyDescent="0.3">
      <c r="A1284" s="245">
        <f>KPIs!$AF$3</f>
        <v>47088</v>
      </c>
      <c r="B1284" s="199" t="str">
        <f>KPIs!AF$4</f>
        <v>Compresora</v>
      </c>
      <c r="C1284" s="31" t="s">
        <v>606</v>
      </c>
      <c r="D1284" s="199" t="str">
        <f>KPIs!$A$58</f>
        <v>IAE · Accidentes de alta energía x 1.000.000 / Horas Hombre Trabajadas</v>
      </c>
      <c r="E1284" s="31" t="s">
        <v>599</v>
      </c>
      <c r="F1284" s="247" t="str">
        <f>IF(ISNUMBER(KPIs!AF58),KPIs!AF58,"")</f>
        <v/>
      </c>
      <c r="G1284" s="247" t="str">
        <f>IF(ISNUMBER(KPIs!$C$58),KPIs!$C$58,"")</f>
        <v/>
      </c>
      <c r="H1284" s="199" t="str">
        <f>""</f>
        <v/>
      </c>
      <c r="I1284" s="199" t="str">
        <f t="shared" si="138"/>
        <v/>
      </c>
      <c r="J1284" s="193" t="str">
        <f t="shared" si="139"/>
        <v>Monthly</v>
      </c>
      <c r="K1284" s="88"/>
      <c r="L1284" s="88"/>
      <c r="M1284">
        <v>1000000</v>
      </c>
      <c r="N1284" t="s">
        <v>603</v>
      </c>
      <c r="O1284" s="193" t="str">
        <f t="shared" si="136"/>
        <v>MISSING</v>
      </c>
      <c r="P1284" t="s">
        <v>604</v>
      </c>
      <c r="Q1284" s="193" t="str">
        <f t="shared" si="140"/>
        <v>202812|IAE|Monthly</v>
      </c>
      <c r="R1284" t="s">
        <v>605</v>
      </c>
      <c r="S1284" s="193" t="str">
        <f t="shared" si="137"/>
        <v/>
      </c>
      <c r="T1284" s="193" t="str">
        <f t="shared" si="141"/>
        <v/>
      </c>
    </row>
    <row r="1285" spans="1:20" x14ac:dyDescent="0.3">
      <c r="A1285" s="245">
        <f>KPIs!$AG$3</f>
        <v>47119</v>
      </c>
      <c r="B1285" s="199" t="str">
        <f>KPIs!AG$4</f>
        <v>Compresora</v>
      </c>
      <c r="C1285" s="31" t="s">
        <v>602</v>
      </c>
      <c r="D1285" s="199" t="str">
        <f>KPIs!$A$57</f>
        <v>IAP · Accidentes de alto potencial x 1.000.000 / Horas Hombre Trabajadas</v>
      </c>
      <c r="E1285" s="31" t="s">
        <v>599</v>
      </c>
      <c r="F1285" s="247" t="str">
        <f>IF(ISNUMBER(KPIs!AG57),KPIs!AG57,"")</f>
        <v/>
      </c>
      <c r="G1285" s="247" t="str">
        <f>IF(ISNUMBER(KPIs!$C$57),KPIs!$C$57,"")</f>
        <v/>
      </c>
      <c r="H1285" s="199" t="str">
        <f>""</f>
        <v/>
      </c>
      <c r="I1285" s="199" t="str">
        <f t="shared" si="138"/>
        <v/>
      </c>
      <c r="J1285" s="193" t="str">
        <f t="shared" si="139"/>
        <v>Monthly</v>
      </c>
      <c r="K1285" s="88"/>
      <c r="L1285" s="88"/>
      <c r="M1285">
        <v>1000000</v>
      </c>
      <c r="N1285" t="s">
        <v>603</v>
      </c>
      <c r="O1285" s="193" t="str">
        <f t="shared" si="136"/>
        <v>MISSING</v>
      </c>
      <c r="P1285" t="s">
        <v>604</v>
      </c>
      <c r="Q1285" s="193" t="str">
        <f t="shared" si="140"/>
        <v>202901|IAP|Monthly</v>
      </c>
      <c r="R1285" t="s">
        <v>605</v>
      </c>
      <c r="S1285" s="193" t="str">
        <f t="shared" si="137"/>
        <v/>
      </c>
      <c r="T1285" s="193" t="str">
        <f t="shared" si="141"/>
        <v/>
      </c>
    </row>
    <row r="1286" spans="1:20" x14ac:dyDescent="0.3">
      <c r="A1286" s="245">
        <f>KPIs!$AG$3</f>
        <v>47119</v>
      </c>
      <c r="B1286" s="199" t="str">
        <f>KPIs!AG$4</f>
        <v>Compresora</v>
      </c>
      <c r="C1286" s="31" t="s">
        <v>606</v>
      </c>
      <c r="D1286" s="199" t="str">
        <f>KPIs!$A$58</f>
        <v>IAE · Accidentes de alta energía x 1.000.000 / Horas Hombre Trabajadas</v>
      </c>
      <c r="E1286" s="31" t="s">
        <v>599</v>
      </c>
      <c r="F1286" s="247" t="str">
        <f>IF(ISNUMBER(KPIs!AG58),KPIs!AG58,"")</f>
        <v/>
      </c>
      <c r="G1286" s="247" t="str">
        <f>IF(ISNUMBER(KPIs!$C$58),KPIs!$C$58,"")</f>
        <v/>
      </c>
      <c r="H1286" s="199" t="str">
        <f>""</f>
        <v/>
      </c>
      <c r="I1286" s="199" t="str">
        <f t="shared" si="138"/>
        <v/>
      </c>
      <c r="J1286" s="193" t="str">
        <f t="shared" si="139"/>
        <v>Monthly</v>
      </c>
      <c r="K1286" s="88"/>
      <c r="L1286" s="88"/>
      <c r="M1286">
        <v>1000000</v>
      </c>
      <c r="N1286" t="s">
        <v>603</v>
      </c>
      <c r="O1286" s="193" t="str">
        <f t="shared" si="136"/>
        <v>MISSING</v>
      </c>
      <c r="P1286" t="s">
        <v>604</v>
      </c>
      <c r="Q1286" s="193" t="str">
        <f t="shared" si="140"/>
        <v>202901|IAE|Monthly</v>
      </c>
      <c r="R1286" t="s">
        <v>605</v>
      </c>
      <c r="S1286" s="193" t="str">
        <f t="shared" si="137"/>
        <v/>
      </c>
      <c r="T1286" s="193" t="str">
        <f t="shared" si="141"/>
        <v/>
      </c>
    </row>
    <row r="1287" spans="1:20" x14ac:dyDescent="0.3">
      <c r="A1287" s="245">
        <f>KPIs!$AH$3</f>
        <v>47150</v>
      </c>
      <c r="B1287" s="199" t="str">
        <f>KPIs!AH$4</f>
        <v>Compresora</v>
      </c>
      <c r="C1287" s="31" t="s">
        <v>602</v>
      </c>
      <c r="D1287" s="199" t="str">
        <f>KPIs!$A$57</f>
        <v>IAP · Accidentes de alto potencial x 1.000.000 / Horas Hombre Trabajadas</v>
      </c>
      <c r="E1287" s="31" t="s">
        <v>599</v>
      </c>
      <c r="F1287" s="247" t="str">
        <f>IF(ISNUMBER(KPIs!AH57),KPIs!AH57,"")</f>
        <v/>
      </c>
      <c r="G1287" s="247" t="str">
        <f>IF(ISNUMBER(KPIs!$C$57),KPIs!$C$57,"")</f>
        <v/>
      </c>
      <c r="H1287" s="199" t="str">
        <f>""</f>
        <v/>
      </c>
      <c r="I1287" s="199" t="str">
        <f t="shared" si="138"/>
        <v/>
      </c>
      <c r="J1287" s="193" t="str">
        <f t="shared" si="139"/>
        <v>Monthly</v>
      </c>
      <c r="K1287" s="88"/>
      <c r="L1287" s="88"/>
      <c r="M1287">
        <v>1000000</v>
      </c>
      <c r="N1287" t="s">
        <v>603</v>
      </c>
      <c r="O1287" s="193" t="str">
        <f t="shared" si="136"/>
        <v>MISSING</v>
      </c>
      <c r="P1287" t="s">
        <v>604</v>
      </c>
      <c r="Q1287" s="193" t="str">
        <f t="shared" si="140"/>
        <v>202902|IAP|Monthly</v>
      </c>
      <c r="R1287" t="s">
        <v>605</v>
      </c>
      <c r="S1287" s="193" t="str">
        <f t="shared" si="137"/>
        <v/>
      </c>
      <c r="T1287" s="193" t="str">
        <f t="shared" si="141"/>
        <v/>
      </c>
    </row>
    <row r="1288" spans="1:20" x14ac:dyDescent="0.3">
      <c r="A1288" s="245">
        <f>KPIs!$AH$3</f>
        <v>47150</v>
      </c>
      <c r="B1288" s="199" t="str">
        <f>KPIs!AH$4</f>
        <v>Compresora</v>
      </c>
      <c r="C1288" s="31" t="s">
        <v>606</v>
      </c>
      <c r="D1288" s="199" t="str">
        <f>KPIs!$A$58</f>
        <v>IAE · Accidentes de alta energía x 1.000.000 / Horas Hombre Trabajadas</v>
      </c>
      <c r="E1288" s="31" t="s">
        <v>599</v>
      </c>
      <c r="F1288" s="247" t="str">
        <f>IF(ISNUMBER(KPIs!AH58),KPIs!AH58,"")</f>
        <v/>
      </c>
      <c r="G1288" s="247" t="str">
        <f>IF(ISNUMBER(KPIs!$C$58),KPIs!$C$58,"")</f>
        <v/>
      </c>
      <c r="H1288" s="199" t="str">
        <f>""</f>
        <v/>
      </c>
      <c r="I1288" s="199" t="str">
        <f t="shared" si="138"/>
        <v/>
      </c>
      <c r="J1288" s="193" t="str">
        <f t="shared" si="139"/>
        <v>Monthly</v>
      </c>
      <c r="K1288" s="88"/>
      <c r="L1288" s="88"/>
      <c r="M1288">
        <v>1000000</v>
      </c>
      <c r="N1288" t="s">
        <v>603</v>
      </c>
      <c r="O1288" s="193" t="str">
        <f t="shared" si="136"/>
        <v>MISSING</v>
      </c>
      <c r="P1288" t="s">
        <v>604</v>
      </c>
      <c r="Q1288" s="193" t="str">
        <f t="shared" si="140"/>
        <v>202902|IAE|Monthly</v>
      </c>
      <c r="R1288" t="s">
        <v>605</v>
      </c>
      <c r="S1288" s="193" t="str">
        <f t="shared" si="137"/>
        <v/>
      </c>
      <c r="T1288" s="193" t="str">
        <f t="shared" si="141"/>
        <v/>
      </c>
    </row>
    <row r="1289" spans="1:20" x14ac:dyDescent="0.3">
      <c r="A1289" s="245">
        <f>KPIs!$AI$3</f>
        <v>47178</v>
      </c>
      <c r="B1289" s="199" t="str">
        <f>KPIs!AI$4</f>
        <v>Compresora</v>
      </c>
      <c r="C1289" s="31" t="s">
        <v>602</v>
      </c>
      <c r="D1289" s="199" t="str">
        <f>KPIs!$A$57</f>
        <v>IAP · Accidentes de alto potencial x 1.000.000 / Horas Hombre Trabajadas</v>
      </c>
      <c r="E1289" s="31" t="s">
        <v>599</v>
      </c>
      <c r="F1289" s="247" t="str">
        <f>IF(ISNUMBER(KPIs!AI57),KPIs!AI57,"")</f>
        <v/>
      </c>
      <c r="G1289" s="247" t="str">
        <f>IF(ISNUMBER(KPIs!$C$57),KPIs!$C$57,"")</f>
        <v/>
      </c>
      <c r="H1289" s="199" t="str">
        <f>""</f>
        <v/>
      </c>
      <c r="I1289" s="199" t="str">
        <f t="shared" si="138"/>
        <v/>
      </c>
      <c r="J1289" s="193" t="str">
        <f t="shared" si="139"/>
        <v>Monthly</v>
      </c>
      <c r="K1289" s="88"/>
      <c r="L1289" s="88"/>
      <c r="M1289">
        <v>1000000</v>
      </c>
      <c r="N1289" t="s">
        <v>603</v>
      </c>
      <c r="O1289" s="193" t="str">
        <f t="shared" si="136"/>
        <v>MISSING</v>
      </c>
      <c r="P1289" t="s">
        <v>604</v>
      </c>
      <c r="Q1289" s="193" t="str">
        <f t="shared" si="140"/>
        <v>202903|IAP|Monthly</v>
      </c>
      <c r="R1289" t="s">
        <v>605</v>
      </c>
      <c r="S1289" s="193" t="str">
        <f t="shared" si="137"/>
        <v/>
      </c>
      <c r="T1289" s="193" t="str">
        <f t="shared" si="141"/>
        <v/>
      </c>
    </row>
    <row r="1290" spans="1:20" x14ac:dyDescent="0.3">
      <c r="A1290" s="245">
        <f>KPIs!$AI$3</f>
        <v>47178</v>
      </c>
      <c r="B1290" s="199" t="str">
        <f>KPIs!AI$4</f>
        <v>Compresora</v>
      </c>
      <c r="C1290" s="31" t="s">
        <v>606</v>
      </c>
      <c r="D1290" s="199" t="str">
        <f>KPIs!$A$58</f>
        <v>IAE · Accidentes de alta energía x 1.000.000 / Horas Hombre Trabajadas</v>
      </c>
      <c r="E1290" s="31" t="s">
        <v>599</v>
      </c>
      <c r="F1290" s="247" t="str">
        <f>IF(ISNUMBER(KPIs!AI58),KPIs!AI58,"")</f>
        <v/>
      </c>
      <c r="G1290" s="247" t="str">
        <f>IF(ISNUMBER(KPIs!$C$58),KPIs!$C$58,"")</f>
        <v/>
      </c>
      <c r="H1290" s="199" t="str">
        <f>""</f>
        <v/>
      </c>
      <c r="I1290" s="199" t="str">
        <f t="shared" si="138"/>
        <v/>
      </c>
      <c r="J1290" s="193" t="str">
        <f t="shared" si="139"/>
        <v>Monthly</v>
      </c>
      <c r="K1290" s="88"/>
      <c r="L1290" s="88"/>
      <c r="M1290">
        <v>1000000</v>
      </c>
      <c r="N1290" t="s">
        <v>603</v>
      </c>
      <c r="O1290" s="193" t="str">
        <f t="shared" si="136"/>
        <v>MISSING</v>
      </c>
      <c r="P1290" t="s">
        <v>604</v>
      </c>
      <c r="Q1290" s="193" t="str">
        <f t="shared" si="140"/>
        <v>202903|IAE|Monthly</v>
      </c>
      <c r="R1290" t="s">
        <v>605</v>
      </c>
      <c r="S1290" s="193" t="str">
        <f t="shared" si="137"/>
        <v/>
      </c>
      <c r="T1290" s="193" t="str">
        <f t="shared" si="141"/>
        <v/>
      </c>
    </row>
    <row r="1291" spans="1:20" x14ac:dyDescent="0.3">
      <c r="A1291" s="245">
        <f>KPIs!$AJ$3</f>
        <v>47209</v>
      </c>
      <c r="B1291" s="199" t="str">
        <f>KPIs!AJ$4</f>
        <v>Compresora</v>
      </c>
      <c r="C1291" s="31" t="s">
        <v>602</v>
      </c>
      <c r="D1291" s="199" t="str">
        <f>KPIs!$A$57</f>
        <v>IAP · Accidentes de alto potencial x 1.000.000 / Horas Hombre Trabajadas</v>
      </c>
      <c r="E1291" s="31" t="s">
        <v>599</v>
      </c>
      <c r="F1291" s="247" t="str">
        <f>IF(ISNUMBER(KPIs!AJ57),KPIs!AJ57,"")</f>
        <v/>
      </c>
      <c r="G1291" s="247" t="str">
        <f>IF(ISNUMBER(KPIs!$C$57),KPIs!$C$57,"")</f>
        <v/>
      </c>
      <c r="H1291" s="199" t="str">
        <f>""</f>
        <v/>
      </c>
      <c r="I1291" s="199" t="str">
        <f t="shared" si="138"/>
        <v/>
      </c>
      <c r="J1291" s="193" t="str">
        <f t="shared" si="139"/>
        <v>Monthly</v>
      </c>
      <c r="K1291" s="88"/>
      <c r="L1291" s="88"/>
      <c r="M1291">
        <v>1000000</v>
      </c>
      <c r="N1291" t="s">
        <v>603</v>
      </c>
      <c r="O1291" s="193" t="str">
        <f t="shared" ref="O1291:O1296" si="142">IF(ISNUMBER(F1291),"OK","MISSING")</f>
        <v>MISSING</v>
      </c>
      <c r="P1291" t="s">
        <v>604</v>
      </c>
      <c r="Q1291" s="193" t="str">
        <f t="shared" si="140"/>
        <v>202904|IAP|Monthly</v>
      </c>
      <c r="R1291" t="s">
        <v>605</v>
      </c>
      <c r="S1291" s="193" t="str">
        <f t="shared" ref="S1291:S1296" si="143">IF(ISNUMBER(F1291),F1291,"")</f>
        <v/>
      </c>
      <c r="T1291" s="193" t="str">
        <f t="shared" si="141"/>
        <v/>
      </c>
    </row>
    <row r="1292" spans="1:20" x14ac:dyDescent="0.3">
      <c r="A1292" s="245">
        <f>KPIs!$AJ$3</f>
        <v>47209</v>
      </c>
      <c r="B1292" s="199" t="str">
        <f>KPIs!AJ$4</f>
        <v>Compresora</v>
      </c>
      <c r="C1292" s="31" t="s">
        <v>606</v>
      </c>
      <c r="D1292" s="199" t="str">
        <f>KPIs!$A$58</f>
        <v>IAE · Accidentes de alta energía x 1.000.000 / Horas Hombre Trabajadas</v>
      </c>
      <c r="E1292" s="31" t="s">
        <v>599</v>
      </c>
      <c r="F1292" s="247" t="str">
        <f>IF(ISNUMBER(KPIs!AJ58),KPIs!AJ58,"")</f>
        <v/>
      </c>
      <c r="G1292" s="247" t="str">
        <f>IF(ISNUMBER(KPIs!$C$58),KPIs!$C$58,"")</f>
        <v/>
      </c>
      <c r="H1292" s="199" t="str">
        <f>""</f>
        <v/>
      </c>
      <c r="I1292" s="199" t="str">
        <f t="shared" si="138"/>
        <v/>
      </c>
      <c r="J1292" s="193" t="str">
        <f t="shared" si="139"/>
        <v>Monthly</v>
      </c>
      <c r="K1292" s="88"/>
      <c r="L1292" s="88"/>
      <c r="M1292">
        <v>1000000</v>
      </c>
      <c r="N1292" t="s">
        <v>603</v>
      </c>
      <c r="O1292" s="193" t="str">
        <f t="shared" si="142"/>
        <v>MISSING</v>
      </c>
      <c r="P1292" t="s">
        <v>604</v>
      </c>
      <c r="Q1292" s="193" t="str">
        <f t="shared" si="140"/>
        <v>202904|IAE|Monthly</v>
      </c>
      <c r="R1292" t="s">
        <v>605</v>
      </c>
      <c r="S1292" s="193" t="str">
        <f t="shared" si="143"/>
        <v/>
      </c>
      <c r="T1292" s="193" t="str">
        <f t="shared" si="141"/>
        <v/>
      </c>
    </row>
    <row r="1293" spans="1:20" x14ac:dyDescent="0.3">
      <c r="A1293" s="245">
        <f>KPIs!$AK$3</f>
        <v>47239</v>
      </c>
      <c r="B1293" s="199" t="str">
        <f>KPIs!AK$4</f>
        <v>Compresora</v>
      </c>
      <c r="C1293" s="31" t="s">
        <v>602</v>
      </c>
      <c r="D1293" s="199" t="str">
        <f>KPIs!$A$57</f>
        <v>IAP · Accidentes de alto potencial x 1.000.000 / Horas Hombre Trabajadas</v>
      </c>
      <c r="E1293" s="31" t="s">
        <v>599</v>
      </c>
      <c r="F1293" s="247" t="str">
        <f>IF(ISNUMBER(KPIs!AK57),KPIs!AK57,"")</f>
        <v/>
      </c>
      <c r="G1293" s="247" t="str">
        <f>IF(ISNUMBER(KPIs!$C$57),KPIs!$C$57,"")</f>
        <v/>
      </c>
      <c r="H1293" s="199" t="str">
        <f>""</f>
        <v/>
      </c>
      <c r="I1293" s="199" t="str">
        <f t="shared" si="138"/>
        <v/>
      </c>
      <c r="J1293" s="193" t="str">
        <f t="shared" si="139"/>
        <v>Monthly</v>
      </c>
      <c r="K1293" s="88"/>
      <c r="L1293" s="88"/>
      <c r="M1293">
        <v>1000000</v>
      </c>
      <c r="N1293" t="s">
        <v>603</v>
      </c>
      <c r="O1293" s="193" t="str">
        <f t="shared" si="142"/>
        <v>MISSING</v>
      </c>
      <c r="P1293" t="s">
        <v>604</v>
      </c>
      <c r="Q1293" s="193" t="str">
        <f t="shared" si="140"/>
        <v>202905|IAP|Monthly</v>
      </c>
      <c r="R1293" t="s">
        <v>605</v>
      </c>
      <c r="S1293" s="193" t="str">
        <f t="shared" si="143"/>
        <v/>
      </c>
      <c r="T1293" s="193" t="str">
        <f t="shared" si="141"/>
        <v/>
      </c>
    </row>
    <row r="1294" spans="1:20" x14ac:dyDescent="0.3">
      <c r="A1294" s="245">
        <f>KPIs!$AK$3</f>
        <v>47239</v>
      </c>
      <c r="B1294" s="199" t="str">
        <f>KPIs!AK$4</f>
        <v>Compresora</v>
      </c>
      <c r="C1294" s="31" t="s">
        <v>606</v>
      </c>
      <c r="D1294" s="199" t="str">
        <f>KPIs!$A$58</f>
        <v>IAE · Accidentes de alta energía x 1.000.000 / Horas Hombre Trabajadas</v>
      </c>
      <c r="E1294" s="31" t="s">
        <v>599</v>
      </c>
      <c r="F1294" s="247" t="str">
        <f>IF(ISNUMBER(KPIs!AK58),KPIs!AK58,"")</f>
        <v/>
      </c>
      <c r="G1294" s="247" t="str">
        <f>IF(ISNUMBER(KPIs!$C$58),KPIs!$C$58,"")</f>
        <v/>
      </c>
      <c r="H1294" s="199" t="str">
        <f>""</f>
        <v/>
      </c>
      <c r="I1294" s="199" t="str">
        <f t="shared" si="138"/>
        <v/>
      </c>
      <c r="J1294" s="193" t="str">
        <f t="shared" si="139"/>
        <v>Monthly</v>
      </c>
      <c r="K1294" s="88"/>
      <c r="L1294" s="88"/>
      <c r="M1294">
        <v>1000000</v>
      </c>
      <c r="N1294" t="s">
        <v>603</v>
      </c>
      <c r="O1294" s="193" t="str">
        <f t="shared" si="142"/>
        <v>MISSING</v>
      </c>
      <c r="P1294" t="s">
        <v>604</v>
      </c>
      <c r="Q1294" s="193" t="str">
        <f t="shared" si="140"/>
        <v>202905|IAE|Monthly</v>
      </c>
      <c r="R1294" t="s">
        <v>605</v>
      </c>
      <c r="S1294" s="193" t="str">
        <f t="shared" si="143"/>
        <v/>
      </c>
      <c r="T1294" s="193" t="str">
        <f t="shared" si="141"/>
        <v/>
      </c>
    </row>
    <row r="1295" spans="1:20" x14ac:dyDescent="0.3">
      <c r="A1295" s="245">
        <f>KPIs!$AL$3</f>
        <v>47270</v>
      </c>
      <c r="B1295" s="199" t="str">
        <f>KPIs!AL$4</f>
        <v>Compresora</v>
      </c>
      <c r="C1295" s="31" t="s">
        <v>602</v>
      </c>
      <c r="D1295" s="199" t="str">
        <f>KPIs!$A$57</f>
        <v>IAP · Accidentes de alto potencial x 1.000.000 / Horas Hombre Trabajadas</v>
      </c>
      <c r="E1295" s="31" t="s">
        <v>599</v>
      </c>
      <c r="F1295" s="247" t="str">
        <f>IF(ISNUMBER(KPIs!AL57),KPIs!AL57,"")</f>
        <v/>
      </c>
      <c r="G1295" s="247" t="str">
        <f>IF(ISNUMBER(KPIs!$C$57),KPIs!$C$57,"")</f>
        <v/>
      </c>
      <c r="H1295" s="199" t="str">
        <f>""</f>
        <v/>
      </c>
      <c r="I1295" s="199" t="str">
        <f t="shared" si="138"/>
        <v/>
      </c>
      <c r="J1295" s="193" t="str">
        <f t="shared" si="139"/>
        <v>Monthly</v>
      </c>
      <c r="K1295" s="88"/>
      <c r="L1295" s="88"/>
      <c r="M1295">
        <v>1000000</v>
      </c>
      <c r="N1295" t="s">
        <v>603</v>
      </c>
      <c r="O1295" s="193" t="str">
        <f t="shared" si="142"/>
        <v>MISSING</v>
      </c>
      <c r="P1295" t="s">
        <v>604</v>
      </c>
      <c r="Q1295" s="193" t="str">
        <f t="shared" si="140"/>
        <v>202906|IAP|Monthly</v>
      </c>
      <c r="R1295" t="s">
        <v>605</v>
      </c>
      <c r="S1295" s="193" t="str">
        <f t="shared" si="143"/>
        <v/>
      </c>
      <c r="T1295" s="193" t="str">
        <f t="shared" si="141"/>
        <v/>
      </c>
    </row>
    <row r="1296" spans="1:20" x14ac:dyDescent="0.3">
      <c r="A1296" s="245">
        <f>KPIs!$AL$3</f>
        <v>47270</v>
      </c>
      <c r="B1296" s="199" t="str">
        <f>KPIs!AL$4</f>
        <v>Compresora</v>
      </c>
      <c r="C1296" s="31" t="s">
        <v>606</v>
      </c>
      <c r="D1296" s="199" t="str">
        <f>KPIs!$A$58</f>
        <v>IAE · Accidentes de alta energía x 1.000.000 / Horas Hombre Trabajadas</v>
      </c>
      <c r="E1296" s="31" t="s">
        <v>599</v>
      </c>
      <c r="F1296" s="247" t="str">
        <f>IF(ISNUMBER(KPIs!AL58),KPIs!AL58,"")</f>
        <v/>
      </c>
      <c r="G1296" s="247" t="str">
        <f>IF(ISNUMBER(KPIs!$C$58),KPIs!$C$58,"")</f>
        <v/>
      </c>
      <c r="H1296" s="199" t="str">
        <f>""</f>
        <v/>
      </c>
      <c r="I1296" s="199" t="str">
        <f t="shared" si="138"/>
        <v/>
      </c>
      <c r="J1296" s="193" t="str">
        <f t="shared" si="139"/>
        <v>Monthly</v>
      </c>
      <c r="K1296" s="88"/>
      <c r="L1296" s="88"/>
      <c r="M1296">
        <v>1000000</v>
      </c>
      <c r="N1296" t="s">
        <v>603</v>
      </c>
      <c r="O1296" s="193" t="str">
        <f t="shared" si="142"/>
        <v>MISSING</v>
      </c>
      <c r="P1296" t="s">
        <v>604</v>
      </c>
      <c r="Q1296" s="193" t="str">
        <f t="shared" si="140"/>
        <v>202906|IAE|Monthly</v>
      </c>
      <c r="R1296" t="s">
        <v>605</v>
      </c>
      <c r="S1296" s="193" t="str">
        <f t="shared" si="143"/>
        <v/>
      </c>
      <c r="T1296" s="193" t="str">
        <f t="shared" si="141"/>
        <v/>
      </c>
    </row>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sheet="1" objects="1" scenarios="1" formatCells="1" formatColumns="1" formatRows="1" insertColumns="1" insertRows="1" insertHyperlinks="0" deleteColumns="1" deleteRows="1" selectLockedCells="0" selectUnlockedCells="0" sort="0" autoFilter="0" pivotTables="1" password="9F52"/>
  <autoFilter ref="A1:T1296" xr:uid="{00000000-0009-0000-0000-00002A000000}"/>
  <dataValidations count="1">
    <dataValidation operator="equal" allowBlank="1" showInputMessage="1" promptTitle="Base para Power BI" prompt="No se edita: copia de KPIs en formato largo. Para el consolidado de varios inspectores, recalcular desde BD_Datos." sqref="A1" xr:uid="{00000000-0002-0000-2A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CFE-1B62-4554-8A3D-865C783ADFCD}">
  <sheetPr>
    <tabColor rgb="FF7F7F7F"/>
  </sheetPr>
  <dimension ref="A1:AL6"/>
  <sheetViews>
    <sheetView workbookViewId="0"/>
  </sheetViews>
  <sheetFormatPr baseColWidth="10" defaultColWidth="8.77734375" defaultRowHeight="14.4" x14ac:dyDescent="0.3"/>
  <cols>
    <col min="1" max="1" width="10" style="108" customWidth="1"/>
    <col min="2" max="2" width="62" style="108" customWidth="1"/>
    <col min="3" max="3" width="12" style="108" customWidth="1"/>
    <col min="4" max="38" width="11" style="108" customWidth="1"/>
  </cols>
  <sheetData>
    <row r="1" spans="1:38" ht="15.6" customHeight="1" x14ac:dyDescent="0.3">
      <c r="A1" s="100" t="s">
        <v>607</v>
      </c>
    </row>
    <row r="2" spans="1:38" x14ac:dyDescent="0.3">
      <c r="A2" s="101" t="s">
        <v>608</v>
      </c>
    </row>
    <row r="3" spans="1:38" x14ac:dyDescent="0.3">
      <c r="A3" s="102" t="s">
        <v>531</v>
      </c>
      <c r="B3" s="102"/>
      <c r="C3" s="102"/>
      <c r="D3" s="255">
        <f>KPIs!D$3</f>
        <v>46235</v>
      </c>
      <c r="E3" s="255">
        <f>KPIs!E$3</f>
        <v>46266</v>
      </c>
      <c r="F3" s="255">
        <f>KPIs!F$3</f>
        <v>46296</v>
      </c>
      <c r="G3" s="255">
        <f>KPIs!G$3</f>
        <v>46327</v>
      </c>
      <c r="H3" s="255">
        <f>KPIs!H$3</f>
        <v>46357</v>
      </c>
      <c r="I3" s="255">
        <f>KPIs!I$3</f>
        <v>46388</v>
      </c>
      <c r="J3" s="255">
        <f>KPIs!J$3</f>
        <v>46419</v>
      </c>
      <c r="K3" s="255">
        <f>KPIs!K$3</f>
        <v>46447</v>
      </c>
      <c r="L3" s="255">
        <f>KPIs!L$3</f>
        <v>46478</v>
      </c>
      <c r="M3" s="255">
        <f>KPIs!M$3</f>
        <v>46508</v>
      </c>
      <c r="N3" s="255">
        <f>KPIs!N$3</f>
        <v>46539</v>
      </c>
      <c r="O3" s="255">
        <f>KPIs!O$3</f>
        <v>46569</v>
      </c>
      <c r="P3" s="255">
        <f>KPIs!P$3</f>
        <v>46600</v>
      </c>
      <c r="Q3" s="255">
        <f>KPIs!Q$3</f>
        <v>46631</v>
      </c>
      <c r="R3" s="255">
        <f>KPIs!R$3</f>
        <v>46661</v>
      </c>
      <c r="S3" s="255">
        <f>KPIs!S$3</f>
        <v>46692</v>
      </c>
      <c r="T3" s="255">
        <f>KPIs!T$3</f>
        <v>46722</v>
      </c>
      <c r="U3" s="255">
        <f>KPIs!U$3</f>
        <v>46753</v>
      </c>
      <c r="V3" s="255">
        <f>KPIs!V$3</f>
        <v>46784</v>
      </c>
      <c r="W3" s="255">
        <f>KPIs!W$3</f>
        <v>46813</v>
      </c>
      <c r="X3" s="255">
        <f>KPIs!X$3</f>
        <v>46844</v>
      </c>
      <c r="Y3" s="255">
        <f>KPIs!Y$3</f>
        <v>46874</v>
      </c>
      <c r="Z3" s="255">
        <f>KPIs!Z$3</f>
        <v>46905</v>
      </c>
      <c r="AA3" s="255">
        <f>KPIs!AA$3</f>
        <v>46935</v>
      </c>
      <c r="AB3" s="255">
        <f>KPIs!AB$3</f>
        <v>46966</v>
      </c>
      <c r="AC3" s="255">
        <f>KPIs!AC$3</f>
        <v>46997</v>
      </c>
      <c r="AD3" s="255">
        <f>KPIs!AD$3</f>
        <v>47027</v>
      </c>
      <c r="AE3" s="255">
        <f>KPIs!AE$3</f>
        <v>47058</v>
      </c>
      <c r="AF3" s="255">
        <f>KPIs!AF$3</f>
        <v>47088</v>
      </c>
      <c r="AG3" s="255">
        <f>KPIs!AG$3</f>
        <v>47119</v>
      </c>
      <c r="AH3" s="255">
        <f>KPIs!AH$3</f>
        <v>47150</v>
      </c>
      <c r="AI3" s="255">
        <f>KPIs!AI$3</f>
        <v>47178</v>
      </c>
      <c r="AJ3" s="255">
        <f>KPIs!AJ$3</f>
        <v>47209</v>
      </c>
      <c r="AK3" s="255">
        <f>KPIs!AK$3</f>
        <v>47239</v>
      </c>
      <c r="AL3" s="255">
        <f>KPIs!AL$3</f>
        <v>47270</v>
      </c>
    </row>
    <row r="4" spans="1:38" x14ac:dyDescent="0.3">
      <c r="A4" s="102" t="s">
        <v>532</v>
      </c>
      <c r="B4" s="102" t="s">
        <v>585</v>
      </c>
      <c r="C4" s="102" t="s">
        <v>26</v>
      </c>
      <c r="D4" s="256" t="str">
        <f>KPIs!D$4</f>
        <v>Compresora</v>
      </c>
      <c r="E4" s="256" t="str">
        <f>KPIs!E$4</f>
        <v>Compresora</v>
      </c>
      <c r="F4" s="256" t="str">
        <f>KPIs!F$4</f>
        <v>Compresora</v>
      </c>
      <c r="G4" s="256" t="str">
        <f>KPIs!G$4</f>
        <v>Compresora</v>
      </c>
      <c r="H4" s="256" t="str">
        <f>KPIs!H$4</f>
        <v>Compresora</v>
      </c>
      <c r="I4" s="256" t="str">
        <f>KPIs!I$4</f>
        <v>Compresora</v>
      </c>
      <c r="J4" s="256" t="str">
        <f>KPIs!J$4</f>
        <v>Compresora</v>
      </c>
      <c r="K4" s="256" t="str">
        <f>KPIs!K$4</f>
        <v>Compresora</v>
      </c>
      <c r="L4" s="256" t="str">
        <f>KPIs!L$4</f>
        <v>Compresora</v>
      </c>
      <c r="M4" s="256" t="str">
        <f>KPIs!M$4</f>
        <v>Compresora</v>
      </c>
      <c r="N4" s="256" t="str">
        <f>KPIs!N$4</f>
        <v>Compresora</v>
      </c>
      <c r="O4" s="256" t="str">
        <f>KPIs!O$4</f>
        <v>Compresora</v>
      </c>
      <c r="P4" s="256" t="str">
        <f>KPIs!P$4</f>
        <v>Compresora</v>
      </c>
      <c r="Q4" s="256" t="str">
        <f>KPIs!Q$4</f>
        <v>Compresora</v>
      </c>
      <c r="R4" s="256" t="str">
        <f>KPIs!R$4</f>
        <v>Compresora</v>
      </c>
      <c r="S4" s="256" t="str">
        <f>KPIs!S$4</f>
        <v>Compresora</v>
      </c>
      <c r="T4" s="256" t="str">
        <f>KPIs!T$4</f>
        <v>Compresora</v>
      </c>
      <c r="U4" s="256" t="str">
        <f>KPIs!U$4</f>
        <v>Compresora</v>
      </c>
      <c r="V4" s="256" t="str">
        <f>KPIs!V$4</f>
        <v>Compresora</v>
      </c>
      <c r="W4" s="256" t="str">
        <f>KPIs!W$4</f>
        <v>Compresora</v>
      </c>
      <c r="X4" s="256" t="str">
        <f>KPIs!X$4</f>
        <v>Compresora</v>
      </c>
      <c r="Y4" s="256" t="str">
        <f>KPIs!Y$4</f>
        <v>Compresora</v>
      </c>
      <c r="Z4" s="256" t="str">
        <f>KPIs!Z$4</f>
        <v>Compresora</v>
      </c>
      <c r="AA4" s="256" t="str">
        <f>KPIs!AA$4</f>
        <v>Compresora</v>
      </c>
      <c r="AB4" s="256" t="str">
        <f>KPIs!AB$4</f>
        <v>Compresora</v>
      </c>
      <c r="AC4" s="256" t="str">
        <f>KPIs!AC$4</f>
        <v>Compresora</v>
      </c>
      <c r="AD4" s="256" t="str">
        <f>KPIs!AD$4</f>
        <v>Compresora</v>
      </c>
      <c r="AE4" s="256" t="str">
        <f>KPIs!AE$4</f>
        <v>Compresora</v>
      </c>
      <c r="AF4" s="256" t="str">
        <f>KPIs!AF$4</f>
        <v>Compresora</v>
      </c>
      <c r="AG4" s="256" t="str">
        <f>KPIs!AG$4</f>
        <v>Compresora</v>
      </c>
      <c r="AH4" s="256" t="str">
        <f>KPIs!AH$4</f>
        <v>Compresora</v>
      </c>
      <c r="AI4" s="256" t="str">
        <f>KPIs!AI$4</f>
        <v>Compresora</v>
      </c>
      <c r="AJ4" s="256" t="str">
        <f>KPIs!AJ$4</f>
        <v>Compresora</v>
      </c>
      <c r="AK4" s="256" t="str">
        <f>KPIs!AK$4</f>
        <v>Compresora</v>
      </c>
      <c r="AL4" s="256" t="str">
        <f>KPIs!AL$4</f>
        <v>Compresora</v>
      </c>
    </row>
    <row r="5" spans="1:38" x14ac:dyDescent="0.3">
      <c r="A5" s="105" t="s">
        <v>602</v>
      </c>
      <c r="B5" t="s">
        <v>609</v>
      </c>
      <c r="C5" t="s">
        <v>610</v>
      </c>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row>
    <row r="6" spans="1:38" x14ac:dyDescent="0.3">
      <c r="A6" s="105" t="s">
        <v>606</v>
      </c>
      <c r="B6" t="s">
        <v>611</v>
      </c>
      <c r="C6" t="s">
        <v>610</v>
      </c>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row>
  </sheetData>
  <sheetProtection sheet="1" objects="1" scenarios="1" formatCells="1" formatColumns="1" formatRows="1" insertColumns="1" insertRows="1" insertHyperlinks="0" deleteColumns="1" deleteRows="1" selectLockedCells="0" selectUnlockedCells="0" sort="0" autoFilter="0" pivotTables="1" password="9F52"/>
  <dataValidations count="1">
    <dataValidation type="decimal" operator="greaterThanOrEqual" allowBlank="1" showErrorMessage="1" errorTitle="Valor inválido" error="Ingresar un número mayor o igual a 0." sqref="D5:AL6" xr:uid="{00000000-0002-0000-2B00-000000000000}">
      <formula1>0</formula1>
    </dataValidation>
  </dataValidations>
  <pageMargins left="0.75" right="0.75" top="1" bottom="1" header="0.5" footer="0.5"/>
  <headerFooter>
    <oddHeader>&amp;R&amp;"Aptos"&amp;1 &amp;K000000 Documento: YPF-Público#_x000D_</oddHeader>
    <oddFooter>&amp;R&amp;"Aptos"&amp;10 &amp;K000000_x000D_# Documento: YPF-Público</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F09-47C2-4FE7-A6FB-A43DE8F77F95}">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612</v>
      </c>
    </row>
    <row r="2" spans="1:4" ht="13.5" customHeight="1" x14ac:dyDescent="0.3">
      <c r="A2" t="s">
        <v>613</v>
      </c>
    </row>
    <row r="3" spans="1:4" ht="13.5" customHeight="1" x14ac:dyDescent="0.3">
      <c r="A3" t="s">
        <v>614</v>
      </c>
    </row>
    <row r="4" spans="1:4" ht="13.5" customHeight="1" x14ac:dyDescent="0.3">
      <c r="A4" s="7" t="s">
        <v>615</v>
      </c>
      <c r="B4" s="7" t="s">
        <v>616</v>
      </c>
      <c r="C4" s="7" t="s">
        <v>617</v>
      </c>
      <c r="D4" s="7" t="s">
        <v>618</v>
      </c>
    </row>
    <row r="5" spans="1:4" ht="13.5" customHeight="1" x14ac:dyDescent="0.3">
      <c r="A5" t="s">
        <v>619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A91-A73A-464B-BED0-981ADB5CCD52}">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620</v>
      </c>
    </row>
    <row r="2" spans="1:4" ht="13.5" customHeight="1" x14ac:dyDescent="0.3">
      <c r="A2" t="s">
        <v>613</v>
      </c>
    </row>
    <row r="3" spans="1:4" ht="13.5" customHeight="1" x14ac:dyDescent="0.3">
      <c r="A3" t="s">
        <v>614</v>
      </c>
    </row>
    <row r="4" spans="1:4" ht="13.5" customHeight="1" x14ac:dyDescent="0.3">
      <c r="A4" s="7" t="s">
        <v>615</v>
      </c>
      <c r="B4" s="7" t="s">
        <v>616</v>
      </c>
      <c r="C4" s="7" t="s">
        <v>617</v>
      </c>
      <c r="D4" s="7" t="s">
        <v>618</v>
      </c>
    </row>
    <row r="5" spans="1:4" ht="13.5" customHeight="1" x14ac:dyDescent="0.3">
      <c r="A5" t="s">
        <v>619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D40B-6755-4D86-8534-D51BE050AE77}">
  <dimension ref="A1:I47"/>
  <sheetViews>
    <sheetView workbookViewId="0"/>
  </sheetViews>
  <sheetFormatPr baseColWidth="10" defaultColWidth="11.5546875" defaultRowHeight="14.4" x14ac:dyDescent="0.3"/>
  <cols>
    <col min="1" max="1" width="25.77734375" style="108" customWidth="1"/>
    <col min="2" max="2" width="14.109375" style="108" customWidth="1"/>
    <col min="3" max="3" width="70.44140625" style="108" customWidth="1"/>
    <col min="4" max="5" width="9.33203125" style="108" customWidth="1"/>
    <col min="6" max="6" width="35.21875" style="108" customWidth="1"/>
    <col min="7" max="7" width="39.88671875" style="108" customWidth="1"/>
    <col min="8" max="8" width="23.44140625" style="108" customWidth="1"/>
    <col min="9" max="9" width="30.5546875" style="108" customWidth="1"/>
  </cols>
  <sheetData>
    <row r="1" spans="1:9" ht="13.5" customHeight="1" x14ac:dyDescent="0.3">
      <c r="A1" t="s">
        <v>621</v>
      </c>
    </row>
    <row r="2" spans="1:9" ht="13.5" customHeight="1" x14ac:dyDescent="0.3">
      <c r="A2" t="s">
        <v>622</v>
      </c>
    </row>
    <row r="3" spans="1:9" ht="13.5" customHeight="1" x14ac:dyDescent="0.3"/>
    <row r="4" spans="1:9" ht="13.5" customHeight="1" x14ac:dyDescent="0.3">
      <c r="A4" s="7" t="s">
        <v>623</v>
      </c>
      <c r="B4" s="7" t="s">
        <v>624</v>
      </c>
      <c r="C4" s="7" t="s">
        <v>177</v>
      </c>
      <c r="D4" s="7" t="s">
        <v>26</v>
      </c>
      <c r="E4" s="7" t="s">
        <v>534</v>
      </c>
      <c r="F4" s="7" t="s">
        <v>625</v>
      </c>
      <c r="G4" s="7" t="s">
        <v>626</v>
      </c>
      <c r="H4" s="7" t="s">
        <v>627</v>
      </c>
      <c r="I4" s="7" t="s">
        <v>628</v>
      </c>
    </row>
    <row r="5" spans="1:9" ht="13.5" customHeight="1" x14ac:dyDescent="0.3">
      <c r="A5" t="s">
        <v>537</v>
      </c>
      <c r="B5">
        <v>6</v>
      </c>
      <c r="C5" s="193" t="str">
        <f>Datos!$B$9</f>
        <v>Dotación promedio: Personal OPS</v>
      </c>
      <c r="D5" s="193" t="str">
        <f>Datos!$C$9</f>
        <v>pers</v>
      </c>
      <c r="F5" t="s">
        <v>195</v>
      </c>
      <c r="G5" t="s">
        <v>629</v>
      </c>
      <c r="I5" t="s">
        <v>630</v>
      </c>
    </row>
    <row r="6" spans="1:9" ht="13.5" customHeight="1" x14ac:dyDescent="0.3">
      <c r="A6" t="s">
        <v>539</v>
      </c>
      <c r="B6">
        <v>7</v>
      </c>
      <c r="C6" s="193" t="str">
        <f>Datos!$B$10</f>
        <v>Dotación promedio: Personal SMP(IEBC, PAE e YPF) </v>
      </c>
      <c r="D6" s="193" t="str">
        <f>Datos!$C$10</f>
        <v>pers</v>
      </c>
      <c r="F6" t="s">
        <v>631</v>
      </c>
      <c r="I6" t="s">
        <v>630</v>
      </c>
    </row>
    <row r="7" spans="1:9" ht="13.5" customHeight="1" x14ac:dyDescent="0.3">
      <c r="A7" t="s">
        <v>540</v>
      </c>
      <c r="B7">
        <v>8</v>
      </c>
      <c r="C7" s="193" t="str">
        <f>Datos!$B$11</f>
        <v>Dotación promedio: TOTAL</v>
      </c>
      <c r="D7" s="193" t="str">
        <f>Datos!$C$11</f>
        <v>pers</v>
      </c>
      <c r="F7" t="s">
        <v>195</v>
      </c>
      <c r="G7" t="s">
        <v>629</v>
      </c>
      <c r="I7" t="s">
        <v>632</v>
      </c>
    </row>
    <row r="8" spans="1:9" ht="13.5" customHeight="1" x14ac:dyDescent="0.3">
      <c r="A8" t="s">
        <v>542</v>
      </c>
      <c r="B8">
        <v>9</v>
      </c>
      <c r="C8" s="193" t="str">
        <f>Datos!$B$12</f>
        <v>Horas hombre trabajadas: Personal OPS</v>
      </c>
      <c r="D8" s="193" t="str">
        <f>Datos!$C$12</f>
        <v>h</v>
      </c>
      <c r="F8" t="s">
        <v>195</v>
      </c>
      <c r="G8" t="s">
        <v>629</v>
      </c>
      <c r="I8" t="s">
        <v>630</v>
      </c>
    </row>
    <row r="9" spans="1:9" ht="13.5" customHeight="1" x14ac:dyDescent="0.3">
      <c r="A9" t="s">
        <v>543</v>
      </c>
      <c r="B9">
        <v>10</v>
      </c>
      <c r="C9" s="193" t="str">
        <f>Datos!$B$13</f>
        <v>Horas hombre trabajadas: Personal SMP(IEBC, PAE e YPF) en campo</v>
      </c>
      <c r="D9" s="193" t="str">
        <f>Datos!$C$13</f>
        <v>h</v>
      </c>
      <c r="F9" t="s">
        <v>631</v>
      </c>
      <c r="I9" t="s">
        <v>630</v>
      </c>
    </row>
    <row r="10" spans="1:9" ht="13.5" customHeight="1" x14ac:dyDescent="0.3">
      <c r="A10" t="s">
        <v>544</v>
      </c>
      <c r="B10">
        <v>11</v>
      </c>
      <c r="C10" s="193" t="str">
        <f>Datos!$B$14</f>
        <v>Horas hombre trabajadas: TOTAL</v>
      </c>
      <c r="D10" s="193" t="str">
        <f>Datos!$C$14</f>
        <v>h</v>
      </c>
      <c r="F10" t="s">
        <v>195</v>
      </c>
      <c r="G10" t="s">
        <v>629</v>
      </c>
      <c r="I10" t="s">
        <v>632</v>
      </c>
    </row>
    <row r="11" spans="1:9" ht="13.5" customHeight="1" x14ac:dyDescent="0.3">
      <c r="A11" t="s">
        <v>545</v>
      </c>
      <c r="B11">
        <v>12</v>
      </c>
      <c r="C11" s="193" t="str">
        <f>Datos!$B$15</f>
        <v>CAPACITACIÓN EN SEGURIDAD</v>
      </c>
      <c r="D11" s="193">
        <f>Datos!$C$15</f>
        <v>0</v>
      </c>
      <c r="F11" t="s">
        <v>195</v>
      </c>
      <c r="G11" t="s">
        <v>629</v>
      </c>
      <c r="I11" t="s">
        <v>630</v>
      </c>
    </row>
    <row r="12" spans="1:9" ht="13.5" customHeight="1" x14ac:dyDescent="0.3">
      <c r="A12" t="s">
        <v>546</v>
      </c>
      <c r="B12">
        <v>13</v>
      </c>
      <c r="C12" s="193" t="str">
        <f>Datos!$B$16</f>
        <v>Horas hombre de formación en seguridad: Personal OPS</v>
      </c>
      <c r="D12" s="193" t="str">
        <f>Datos!$C$16</f>
        <v>h</v>
      </c>
      <c r="F12" t="s">
        <v>631</v>
      </c>
      <c r="I12" t="s">
        <v>630</v>
      </c>
    </row>
    <row r="13" spans="1:9" ht="13.5" customHeight="1" x14ac:dyDescent="0.3">
      <c r="A13" t="s">
        <v>547</v>
      </c>
      <c r="B13">
        <v>14</v>
      </c>
      <c r="C13" s="193" t="str">
        <f>Datos!$B$17</f>
        <v>Horas hombre de formación en seguridad: Personal SMP(IEBC, PAE e YPF) </v>
      </c>
      <c r="D13" s="193" t="str">
        <f>Datos!$C$17</f>
        <v>h</v>
      </c>
      <c r="F13" t="s">
        <v>195</v>
      </c>
      <c r="G13" t="s">
        <v>629</v>
      </c>
      <c r="I13" t="s">
        <v>632</v>
      </c>
    </row>
    <row r="14" spans="1:9" ht="13.5" customHeight="1" x14ac:dyDescent="0.3">
      <c r="A14" t="s">
        <v>548</v>
      </c>
      <c r="B14">
        <v>15</v>
      </c>
      <c r="C14" s="193" t="str">
        <f>Datos!$B$18</f>
        <v>Horas hombre de formación en seguridad: TOTAL</v>
      </c>
      <c r="D14" s="193" t="str">
        <f>Datos!$C$18</f>
        <v>h</v>
      </c>
      <c r="F14" t="s">
        <v>195</v>
      </c>
      <c r="G14" t="s">
        <v>629</v>
      </c>
      <c r="I14" t="s">
        <v>630</v>
      </c>
    </row>
    <row r="15" spans="1:9" ht="13.5" customHeight="1" x14ac:dyDescent="0.3">
      <c r="A15" t="s">
        <v>549</v>
      </c>
      <c r="B15">
        <v>16</v>
      </c>
      <c r="C15" s="193" t="str">
        <f>Datos!$B$19</f>
        <v>GESTIÓN</v>
      </c>
      <c r="D15" s="193">
        <f>Datos!$C$19</f>
        <v>0</v>
      </c>
      <c r="F15" t="s">
        <v>195</v>
      </c>
      <c r="G15" t="s">
        <v>629</v>
      </c>
      <c r="I15" t="s">
        <v>630</v>
      </c>
    </row>
    <row r="16" spans="1:9" ht="13.5" customHeight="1" x14ac:dyDescent="0.3">
      <c r="A16" t="s">
        <v>550</v>
      </c>
      <c r="B16">
        <v>17</v>
      </c>
      <c r="C16" s="193" t="str">
        <f>Datos!$B$20</f>
        <v>SIMULACROS · Realizados (emergencia y operativos)</v>
      </c>
      <c r="D16" s="193" t="str">
        <f>Datos!$C$20</f>
        <v>u</v>
      </c>
      <c r="F16" t="s">
        <v>195</v>
      </c>
      <c r="G16" t="s">
        <v>629</v>
      </c>
      <c r="I16" t="s">
        <v>630</v>
      </c>
    </row>
    <row r="17" spans="1:9" ht="13.5" customHeight="1" x14ac:dyDescent="0.3">
      <c r="A17" t="s">
        <v>551</v>
      </c>
      <c r="B17">
        <v>18</v>
      </c>
      <c r="C17" s="193" t="str">
        <f>Datos!$B$21</f>
        <v>SIMULACROS · Programados (emergencia y operativos)</v>
      </c>
      <c r="D17" s="193" t="str">
        <f>Datos!$C$21</f>
        <v>u</v>
      </c>
      <c r="F17" t="s">
        <v>195</v>
      </c>
      <c r="G17" t="s">
        <v>629</v>
      </c>
      <c r="I17" t="s">
        <v>630</v>
      </c>
    </row>
    <row r="18" spans="1:9" ht="13.5" customHeight="1" x14ac:dyDescent="0.3">
      <c r="A18" t="s">
        <v>552</v>
      </c>
      <c r="B18">
        <v>19</v>
      </c>
      <c r="C18" s="193" t="str">
        <f>Datos!$B$22</f>
        <v>SIMULACROS · Acciones de mejora surgidas de los simulacros (en el mes informado)</v>
      </c>
      <c r="D18" s="193" t="str">
        <f>Datos!$C$22</f>
        <v>u</v>
      </c>
      <c r="F18" t="s">
        <v>195</v>
      </c>
      <c r="G18" t="s">
        <v>629</v>
      </c>
      <c r="I18" t="s">
        <v>630</v>
      </c>
    </row>
    <row r="19" spans="1:9" ht="13.5" customHeight="1" x14ac:dyDescent="0.3">
      <c r="A19" t="s">
        <v>553</v>
      </c>
      <c r="B19">
        <v>20</v>
      </c>
      <c r="C19" s="193" t="str">
        <f>Datos!$B$23</f>
        <v>SIMULACROS · Acciones de mejora implementadas surgidas de los simulacros (ICME) (en el mes informado)</v>
      </c>
      <c r="D19" s="193" t="str">
        <f>Datos!$C$23</f>
        <v>u</v>
      </c>
      <c r="F19" t="s">
        <v>195</v>
      </c>
      <c r="G19" t="s">
        <v>629</v>
      </c>
      <c r="I19" t="s">
        <v>630</v>
      </c>
    </row>
    <row r="20" spans="1:9" ht="13.5" customHeight="1" x14ac:dyDescent="0.3">
      <c r="A20" t="s">
        <v>554</v>
      </c>
      <c r="B20">
        <v>21</v>
      </c>
      <c r="C20" s="193" t="str">
        <f>Datos!$B$24</f>
        <v>Caminatas gerenciales realizadas</v>
      </c>
      <c r="D20" s="193" t="str">
        <f>Datos!$C$24</f>
        <v>u</v>
      </c>
      <c r="F20" t="s">
        <v>195</v>
      </c>
      <c r="G20" t="s">
        <v>629</v>
      </c>
      <c r="I20" t="s">
        <v>630</v>
      </c>
    </row>
    <row r="21" spans="1:9" ht="13.5" customHeight="1" x14ac:dyDescent="0.3">
      <c r="A21" t="s">
        <v>555</v>
      </c>
      <c r="B21">
        <v>22</v>
      </c>
      <c r="C21" s="193" t="str">
        <f>Datos!$B$25</f>
        <v>Caminatas gerenciales planificadas</v>
      </c>
      <c r="D21" s="193" t="str">
        <f>Datos!$C$25</f>
        <v>u</v>
      </c>
      <c r="F21" t="s">
        <v>195</v>
      </c>
      <c r="G21" t="s">
        <v>629</v>
      </c>
      <c r="I21" t="s">
        <v>630</v>
      </c>
    </row>
    <row r="22" spans="1:9" ht="13.5" customHeight="1" x14ac:dyDescent="0.3">
      <c r="A22" t="s">
        <v>556</v>
      </c>
      <c r="B22">
        <v>23</v>
      </c>
      <c r="C22" s="193" t="str">
        <f>Datos!$B$26</f>
        <v>Comités y subcomités de seguridad realizados</v>
      </c>
      <c r="D22" s="193" t="str">
        <f>Datos!$C$26</f>
        <v>u</v>
      </c>
      <c r="F22" t="s">
        <v>195</v>
      </c>
      <c r="G22" t="s">
        <v>629</v>
      </c>
      <c r="I22" t="s">
        <v>630</v>
      </c>
    </row>
    <row r="23" spans="1:9" ht="13.5" customHeight="1" x14ac:dyDescent="0.3">
      <c r="A23" t="s">
        <v>557</v>
      </c>
      <c r="B23">
        <v>24</v>
      </c>
      <c r="C23" s="193" t="str">
        <f>Datos!$B$27</f>
        <v>Comités y subcomités de seguridad planificados</v>
      </c>
      <c r="D23" s="193" t="str">
        <f>Datos!$C$27</f>
        <v>u</v>
      </c>
      <c r="F23" t="s">
        <v>195</v>
      </c>
      <c r="G23" t="s">
        <v>629</v>
      </c>
      <c r="I23" t="s">
        <v>630</v>
      </c>
    </row>
    <row r="24" spans="1:9" ht="13.5" customHeight="1" x14ac:dyDescent="0.3">
      <c r="A24" t="s">
        <v>558</v>
      </c>
      <c r="B24">
        <v>25</v>
      </c>
      <c r="C24" t="inlineStr">
        <is>
          <t>Observaciones de comportamiento seguro: total del mes (OPS + SMP)</t>
        </is>
      </c>
      <c r="D24" s="193" t="str">
        <f>Datos!$C$28</f>
        <v>u</v>
      </c>
      <c r="F24" t="s">
        <v>195</v>
      </c>
      <c r="G24" t="s">
        <v>629</v>
      </c>
      <c r="I24" t="s">
        <v>630</v>
      </c>
    </row>
    <row r="25" spans="1:9" ht="13.5" customHeight="1" x14ac:dyDescent="0.3">
      <c r="A25" t="s">
        <v>559</v>
      </c>
      <c r="B25">
        <v>26</v>
      </c>
      <c r="C25" s="193" t="str">
        <f>Datos!$B$30</f>
        <v>Investigaciones de accidentes cerradas en el mes</v>
      </c>
      <c r="D25" s="193" t="str">
        <f>Datos!$C$30</f>
        <v>u</v>
      </c>
      <c r="F25" t="s">
        <v>195</v>
      </c>
      <c r="G25" t="s">
        <v>629</v>
      </c>
      <c r="I25" t="s">
        <v>630</v>
      </c>
    </row>
    <row r="26" spans="1:9" ht="13.5" customHeight="1" x14ac:dyDescent="0.3">
      <c r="A26" t="s">
        <v>560</v>
      </c>
      <c r="B26">
        <v>27</v>
      </c>
      <c r="C26" s="193" t="str">
        <f>Datos!$B$31</f>
        <v>Días que llevaron esas investigaciones (suma)</v>
      </c>
      <c r="D26" s="193" t="str">
        <f>Datos!$C$31</f>
        <v>días</v>
      </c>
      <c r="F26" t="s">
        <v>195</v>
      </c>
      <c r="G26" t="s">
        <v>629</v>
      </c>
      <c r="I26" t="s">
        <v>630</v>
      </c>
    </row>
    <row r="27" spans="1:9" ht="13.5" customHeight="1" x14ac:dyDescent="0.3">
      <c r="A27" t="s">
        <v>561</v>
      </c>
      <c r="B27">
        <v>28</v>
      </c>
      <c r="C27" s="193" t="str">
        <f>Datos!$B$32</f>
        <v>ACCIDENTES CON LESIÓN</v>
      </c>
      <c r="D27" s="193">
        <f>Datos!$C$32</f>
        <v>0</v>
      </c>
      <c r="F27" t="s">
        <v>195</v>
      </c>
      <c r="G27" t="s">
        <v>629</v>
      </c>
      <c r="I27" t="s">
        <v>630</v>
      </c>
    </row>
    <row r="28" spans="1:9" ht="13.5" customHeight="1" x14ac:dyDescent="0.3">
      <c r="A28" t="s">
        <v>562</v>
      </c>
      <c r="B28">
        <v>29</v>
      </c>
      <c r="C28" s="193" t="str">
        <f>Datos!$B$33</f>
        <v>Casos con días perdidos</v>
      </c>
      <c r="D28" s="193" t="str">
        <f>Datos!$C$33</f>
        <v>u</v>
      </c>
      <c r="F28" t="s">
        <v>195</v>
      </c>
      <c r="G28" t="s">
        <v>629</v>
      </c>
      <c r="I28" t="s">
        <v>630</v>
      </c>
    </row>
    <row r="29" spans="1:9" ht="13.5" customHeight="1" x14ac:dyDescent="0.3">
      <c r="A29" t="s">
        <v>51</v>
      </c>
      <c r="B29">
        <v>30</v>
      </c>
      <c r="C29" s="193" t="str">
        <f>Datos!$B$34</f>
        <v>Casos con trabajo restringido</v>
      </c>
      <c r="D29" s="193" t="str">
        <f>Datos!$C$34</f>
        <v>u</v>
      </c>
      <c r="F29" t="s">
        <v>195</v>
      </c>
      <c r="G29" t="s">
        <v>629</v>
      </c>
      <c r="I29" t="s">
        <v>630</v>
      </c>
    </row>
    <row r="30" spans="1:9" ht="13.5" customHeight="1" x14ac:dyDescent="0.3">
      <c r="A30" t="s">
        <v>563</v>
      </c>
      <c r="B30">
        <v>31</v>
      </c>
      <c r="C30" s="193" t="str">
        <f>Datos!$B$35</f>
        <v>Casos con tratamiento médico</v>
      </c>
      <c r="D30" s="193" t="str">
        <f>Datos!$C$35</f>
        <v>u</v>
      </c>
      <c r="F30" t="s">
        <v>195</v>
      </c>
      <c r="G30" t="s">
        <v>629</v>
      </c>
      <c r="I30" t="s">
        <v>630</v>
      </c>
    </row>
    <row r="31" spans="1:9" ht="13.5" customHeight="1" x14ac:dyDescent="0.3">
      <c r="A31" t="s">
        <v>564</v>
      </c>
      <c r="B31">
        <v>32</v>
      </c>
      <c r="C31" s="193" t="str">
        <f>Datos!$B$36</f>
        <v>Fatalidades</v>
      </c>
      <c r="D31" s="193" t="str">
        <f>Datos!$C$36</f>
        <v>u</v>
      </c>
      <c r="F31" t="s">
        <v>195</v>
      </c>
      <c r="G31" t="s">
        <v>629</v>
      </c>
      <c r="I31" t="s">
        <v>630</v>
      </c>
    </row>
    <row r="32" spans="1:9" ht="13.5" customHeight="1" x14ac:dyDescent="0.3">
      <c r="A32" t="s">
        <v>565</v>
      </c>
      <c r="B32">
        <v>33</v>
      </c>
      <c r="C32" s="193" t="str">
        <f>Datos!$B$37</f>
        <v>Casos de primeros auxilios</v>
      </c>
      <c r="D32" s="193" t="str">
        <f>Datos!$C$37</f>
        <v>u</v>
      </c>
      <c r="F32" t="s">
        <v>195</v>
      </c>
      <c r="G32" t="s">
        <v>629</v>
      </c>
      <c r="I32" t="s">
        <v>630</v>
      </c>
    </row>
    <row r="33" spans="1:9" ht="13.5" customHeight="1" x14ac:dyDescent="0.3">
      <c r="A33" t="s">
        <v>566</v>
      </c>
      <c r="B33">
        <v>34</v>
      </c>
      <c r="C33" s="193" t="str">
        <f>Datos!$B$38</f>
        <v>ACCIDENTES VEHICULARES  ·  CVM (Colisión de Vehículo Motor), categorías IOGP</v>
      </c>
      <c r="D33" s="193">
        <f>Datos!$C$38</f>
        <v>0</v>
      </c>
      <c r="F33" t="s">
        <v>195</v>
      </c>
      <c r="G33" t="s">
        <v>629</v>
      </c>
      <c r="I33" t="s">
        <v>630</v>
      </c>
    </row>
    <row r="34" spans="1:9" ht="13.5" customHeight="1" x14ac:dyDescent="0.3">
      <c r="A34" t="s">
        <v>567</v>
      </c>
      <c r="B34">
        <v>35</v>
      </c>
      <c r="C34" s="193" t="str">
        <f>Datos!$B$39</f>
        <v>CVM catastróficas</v>
      </c>
      <c r="D34" s="193" t="str">
        <f>Datos!$C$39</f>
        <v>u</v>
      </c>
      <c r="F34" t="s">
        <v>633</v>
      </c>
      <c r="G34" t="s">
        <v>629</v>
      </c>
      <c r="I34" t="s">
        <v>630</v>
      </c>
    </row>
    <row r="35" spans="1:9" ht="13.5" customHeight="1" x14ac:dyDescent="0.3">
      <c r="A35" t="s">
        <v>568</v>
      </c>
      <c r="B35">
        <v>36</v>
      </c>
      <c r="C35" s="193" t="str">
        <f>Datos!$B$40</f>
        <v>CVM mayores</v>
      </c>
      <c r="D35" s="193" t="str">
        <f>Datos!$C$40</f>
        <v>u</v>
      </c>
      <c r="F35" t="s">
        <v>633</v>
      </c>
      <c r="G35" t="s">
        <v>629</v>
      </c>
      <c r="I35" t="s">
        <v>630</v>
      </c>
    </row>
    <row r="36" spans="1:9" ht="13.5" customHeight="1" x14ac:dyDescent="0.3">
      <c r="A36" t="s">
        <v>569</v>
      </c>
      <c r="B36">
        <v>37</v>
      </c>
      <c r="C36" s="193" t="str">
        <f>Datos!$B$41</f>
        <v>CVM serias</v>
      </c>
      <c r="D36" s="193" t="str">
        <f>Datos!$C$41</f>
        <v>u</v>
      </c>
      <c r="F36" t="s">
        <v>633</v>
      </c>
      <c r="G36" t="s">
        <v>629</v>
      </c>
      <c r="I36" t="s">
        <v>630</v>
      </c>
    </row>
    <row r="37" spans="1:9" ht="13.5" customHeight="1" x14ac:dyDescent="0.3">
      <c r="A37" t="s">
        <v>570</v>
      </c>
      <c r="B37">
        <v>38</v>
      </c>
      <c r="C37" s="193" t="str">
        <f>Datos!$B$42</f>
        <v>CVM otras / menores</v>
      </c>
      <c r="D37" s="193" t="str">
        <f>Datos!$C$42</f>
        <v>u</v>
      </c>
      <c r="F37" t="s">
        <v>633</v>
      </c>
      <c r="G37" t="s">
        <v>629</v>
      </c>
      <c r="I37" t="s">
        <v>632</v>
      </c>
    </row>
    <row r="38" spans="1:9" ht="13.5" customHeight="1" x14ac:dyDescent="0.3">
      <c r="A38" t="s">
        <v>571</v>
      </c>
      <c r="B38">
        <v>39</v>
      </c>
      <c r="C38" s="193" t="str">
        <f>Datos!$B$43</f>
        <v>KM RECORRIDOS</v>
      </c>
      <c r="D38" s="193">
        <f>Datos!$C$43</f>
        <v>0</v>
      </c>
      <c r="F38" t="s">
        <v>195</v>
      </c>
      <c r="G38" t="s">
        <v>629</v>
      </c>
      <c r="I38" t="s">
        <v>630</v>
      </c>
    </row>
    <row r="39" spans="1:9" ht="13.5" customHeight="1" x14ac:dyDescent="0.3">
      <c r="A39" t="s">
        <v>573</v>
      </c>
      <c r="B39">
        <v>40</v>
      </c>
      <c r="C39" s="193" t="str">
        <f>Datos!$B$44</f>
        <v>Km recorridos: vehículos livianos (camionetas)</v>
      </c>
      <c r="D39" s="193" t="str">
        <f>Datos!$C$44</f>
        <v>km</v>
      </c>
      <c r="F39" t="s">
        <v>195</v>
      </c>
      <c r="G39" t="s">
        <v>629</v>
      </c>
      <c r="I39" t="s">
        <v>630</v>
      </c>
    </row>
    <row r="40" spans="1:9" ht="13.5" customHeight="1" x14ac:dyDescent="0.3">
      <c r="A40" t="s">
        <v>574</v>
      </c>
      <c r="B40">
        <v>41</v>
      </c>
      <c r="C40" s="193" t="str">
        <f>Datos!$B$45</f>
        <v>Km recorridos: vehículos pesados (camiones)</v>
      </c>
      <c r="D40" s="193" t="str">
        <f>Datos!$C$45</f>
        <v>km</v>
      </c>
      <c r="F40" t="s">
        <v>195</v>
      </c>
      <c r="G40" t="s">
        <v>629</v>
      </c>
      <c r="I40" t="s">
        <v>630</v>
      </c>
    </row>
    <row r="41" spans="1:9" ht="13.5" customHeight="1" x14ac:dyDescent="0.3">
      <c r="A41" t="s">
        <v>575</v>
      </c>
      <c r="B41">
        <v>42</v>
      </c>
      <c r="C41" s="193" t="str">
        <f>Datos!$B$46</f>
        <v>Km recorridos: vehículos de transporte de personal (combis)</v>
      </c>
      <c r="D41" s="193" t="str">
        <f>Datos!$C$46</f>
        <v>km</v>
      </c>
      <c r="F41" t="s">
        <v>195</v>
      </c>
      <c r="G41" t="s">
        <v>629</v>
      </c>
      <c r="I41" t="s">
        <v>630</v>
      </c>
    </row>
    <row r="42" spans="1:9" ht="13.5" customHeight="1" x14ac:dyDescent="0.3">
      <c r="A42" t="s">
        <v>576</v>
      </c>
      <c r="B42">
        <v>43</v>
      </c>
      <c r="C42" s="193" t="str">
        <f>Datos!$B$47</f>
        <v>Km recorridos: TOTAL</v>
      </c>
      <c r="D42" s="193" t="str">
        <f>Datos!$C$47</f>
        <v>km</v>
      </c>
      <c r="F42" t="s">
        <v>195</v>
      </c>
      <c r="G42" t="s">
        <v>629</v>
      </c>
      <c r="I42" t="s">
        <v>630</v>
      </c>
    </row>
    <row r="43" spans="1:9" ht="13.5" customHeight="1" x14ac:dyDescent="0.3">
      <c r="A43" t="s">
        <v>577</v>
      </c>
      <c r="B43">
        <v>44</v>
      </c>
      <c r="C43" s="193" t="str">
        <f>Datos!$B$66</f>
        <v>DPAS Y HALLAZGOS · carga manual (dependen de las caminatas gerenciales y demás) · desvíos, gravedad y detenciones</v>
      </c>
      <c r="D43" s="193">
        <f>Datos!$C$66</f>
        <v>0</v>
      </c>
      <c r="F43" t="s">
        <v>195</v>
      </c>
      <c r="G43" t="s">
        <v>629</v>
      </c>
      <c r="I43" t="s">
        <v>630</v>
      </c>
    </row>
    <row r="44" spans="1:9" ht="13.5" customHeight="1" x14ac:dyDescent="0.3">
      <c r="A44" t="s">
        <v>578</v>
      </c>
      <c r="B44">
        <v>45</v>
      </c>
      <c r="C44" s="193" t="str">
        <f>Datos!$B$67</f>
        <v>Hallazgos (desvíos) cerrados en el mes</v>
      </c>
      <c r="D44" s="193" t="str">
        <f>Datos!$C$67</f>
        <v>u</v>
      </c>
      <c r="F44" t="s">
        <v>95</v>
      </c>
      <c r="I44" t="s">
        <v>634</v>
      </c>
    </row>
    <row r="45" spans="1:9" ht="13.5" customHeight="1" x14ac:dyDescent="0.3">
      <c r="A45" t="s">
        <v>579</v>
      </c>
      <c r="B45">
        <v>46</v>
      </c>
      <c r="C45" s="193" t="str">
        <f>Datos!$B$68</f>
        <v>Días que llevaron esos hallazgos (suma)</v>
      </c>
      <c r="D45" s="193" t="str">
        <f>Datos!$C$68</f>
        <v>días</v>
      </c>
      <c r="F45" t="s">
        <v>95</v>
      </c>
      <c r="I45" t="s">
        <v>634</v>
      </c>
    </row>
    <row r="46" spans="1:9" ht="13.5" customHeight="1" x14ac:dyDescent="0.3">
      <c r="A46" t="s">
        <v>580</v>
      </c>
      <c r="B46">
        <v>47</v>
      </c>
      <c r="C46" s="193" t="str">
        <f>Datos!$B$69</f>
        <v>Hallazgos (desvíos) abiertos a fin de mes</v>
      </c>
      <c r="D46" s="193" t="str">
        <f>Datos!$C$69</f>
        <v>u</v>
      </c>
      <c r="F46" t="s">
        <v>95</v>
      </c>
      <c r="I46" t="s">
        <v>634</v>
      </c>
    </row>
    <row r="47" spans="1:9" ht="13.5" customHeight="1" x14ac:dyDescent="0.3">
      <c r="A47" t="s">
        <v>581</v>
      </c>
      <c r="B47">
        <v>48</v>
      </c>
      <c r="C47" s="193" t="str">
        <f>Datos!$B$70</f>
        <v>Hallazgos (desvíos) detectados en el mes</v>
      </c>
      <c r="D47" s="193" t="str">
        <f>Datos!$C$70</f>
        <v>u</v>
      </c>
      <c r="F47" t="s">
        <v>95</v>
      </c>
      <c r="I47" t="s">
        <v>634</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19AD-FB30-4479-AD24-56B2B4D9940E}">
  <dimension ref="A1:AA1001"/>
  <sheetViews>
    <sheetView workbookViewId="0"/>
  </sheetViews>
  <sheetFormatPr baseColWidth="10" defaultColWidth="11.5546875" defaultRowHeight="14.4" x14ac:dyDescent="0.3"/>
  <sheetData>
    <row r="1" spans="1:27" ht="13.5" customHeight="1" x14ac:dyDescent="0.3">
      <c r="A1" s="7" t="s">
        <v>17</v>
      </c>
      <c r="B1" s="7" t="s">
        <v>635</v>
      </c>
      <c r="C1" s="7" t="s">
        <v>172</v>
      </c>
      <c r="D1" s="7" t="s">
        <v>478</v>
      </c>
      <c r="E1" s="7" t="s">
        <v>174</v>
      </c>
      <c r="F1" s="7" t="s">
        <v>175</v>
      </c>
      <c r="G1" s="7" t="s">
        <v>176</v>
      </c>
      <c r="H1" s="7" t="s">
        <v>177</v>
      </c>
      <c r="I1" s="7" t="s">
        <v>178</v>
      </c>
      <c r="J1" s="7" t="s">
        <v>636</v>
      </c>
      <c r="K1" s="7" t="s">
        <v>637</v>
      </c>
      <c r="L1" s="7" t="s">
        <v>638</v>
      </c>
      <c r="M1" s="7" t="s">
        <v>182</v>
      </c>
      <c r="N1" s="7" t="s">
        <v>639</v>
      </c>
      <c r="O1" s="7" t="s">
        <v>21</v>
      </c>
      <c r="P1" s="7" t="s">
        <v>184</v>
      </c>
      <c r="Q1" s="7" t="s">
        <v>187</v>
      </c>
      <c r="R1" s="7" t="s">
        <v>1713</v>
      </c>
      <c r="S1" s="7" t="s">
        <v>1714</v>
      </c>
      <c r="T1" s="7" t="s">
        <v>1715</v>
      </c>
      <c r="U1" s="7" t="s">
        <v>1716</v>
      </c>
      <c r="V1" s="7" t="s">
        <v>1717</v>
      </c>
      <c r="W1" s="7" t="s">
        <v>1718</v>
      </c>
      <c r="X1" s="7" t="s">
        <v>640</v>
      </c>
      <c r="Y1" s="7" t="s">
        <v>641</v>
      </c>
      <c r="Z1" s="7" t="s">
        <v>642</v>
      </c>
      <c r="AA1" s="7" t="s">
        <v>643</v>
      </c>
    </row>
    <row r="2" spans="1:27" ht="13.5" customHeight="1" x14ac:dyDescent="0.3">
      <c r="A2" s="193" t="str">
        <f>IF('Observaciones-SMP'!A2="","",'Observaciones-SMP'!A2)</f>
        <v>2026-1</v>
      </c>
      <c r="B2" s="257">
        <f>IF('Observaciones-SMP'!B2="","",'Observaciones-SMP'!B2)</f>
        <v>46245</v>
      </c>
      <c r="C2" s="193" t="str">
        <f>IF('Observaciones-SMP'!C2="","",'Observaciones-SMP'!C2)</f>
        <v>Karina Gentile IEBC</v>
      </c>
      <c r="D2" s="193" t="str">
        <f>IF('Observaciones-SMP'!D2="","",'Observaciones-SMP'!D2)</f>
        <v>Área 1 Obrador</v>
      </c>
      <c r="E2" s="193" t="str">
        <f>IF('Observaciones-SMP'!E2="","",'Observaciones-SMP'!E2)</f>
        <v>Civil</v>
      </c>
      <c r="F2" s="193" t="str">
        <f>IF('Observaciones-SMP'!F2="","",'Observaciones-SMP'!F2)</f>
        <v>OPS</v>
      </c>
      <c r="G2" s="193" t="str">
        <f>IF('Observaciones-SMP'!G2="","",'Observaciones-SMP'!G2)</f>
        <v>Civil</v>
      </c>
      <c r="H2" s="193" t="str">
        <f>IF('Observaciones-SMP'!H2="","",'Observaciones-SMP'!H2)</f>
        <v>Se observa la falta de identificación del punto de encuentro</v>
      </c>
      <c r="I2" s="193" t="str">
        <f>IF('Observaciones-SMP'!I2="","",'Observaciones-SMP'!I2)</f>
        <v>Desvío requisito legal</v>
      </c>
      <c r="J2" s="193" t="str">
        <f>IF('Observaciones-SMP'!J2="","",'Observaciones-SMP'!J2)</f>
        <v>Compromiso compartido</v>
      </c>
      <c r="K2" s="193" t="str">
        <f>IF('Observaciones-SMP'!K2="","",'Observaciones-SMP'!K2)</f>
        <v>Señalización y Sectorización</v>
      </c>
      <c r="L2" s="193" t="str">
        <f>IF('Observaciones-SMP'!L2="","",'Observaciones-SMP'!L2)</f>
        <v>Bajo</v>
      </c>
      <c r="M2" s="193" t="str">
        <f>IF('Observaciones-SMP'!M2="","",'Observaciones-SMP'!M2)</f>
        <v>Identificación</v>
      </c>
      <c r="N2" s="193" t="str">
        <f>IF('Observaciones-SMP'!N2="","",'Observaciones-SMP'!N2)</f>
        <v>Si</v>
      </c>
      <c r="O2" s="193" t="str">
        <f>IF('Observaciones-SMP'!O2="","",'Observaciones-SMP'!O2)</f>
        <v>Cerrado</v>
      </c>
      <c r="P2" s="193" t="str">
        <f>IF('Observaciones-SMP'!P2="","",'Observaciones-SMP'!P2)</f>
        <v>Supervisión</v>
      </c>
      <c r="Q2" s="257">
        <f>IF('Observaciones-SMP'!S2="","",'Observaciones-SMP'!S2)</f>
        <v>46249</v>
      </c>
      <c r="R2" s="193" t="str">
        <f>IF('Observaciones-SMP'!T2="","",'Observaciones-SMP'!T2)</f>
        <v/>
      </c>
      <c r="S2" s="193" t="str">
        <f>""</f>
        <v/>
      </c>
      <c r="T2" s="193" t="str">
        <f>""</f>
        <v/>
      </c>
      <c r="U2" s="193">
        <f t="shared" ref="U2:U65" si="0">IF(AND(ISNUMBER(B2),ISNUMBER(Q2)),IF(Q2&gt;=B2,Q2-B2,""),"")</f>
        <v>4</v>
      </c>
      <c r="V2" s="193" t="str">
        <f>""</f>
        <v/>
      </c>
      <c r="W2" s="193" t="str">
        <f>""</f>
        <v/>
      </c>
      <c r="X2" s="258">
        <f t="shared" ref="X2:X65" si="1">IF(ISNUMBER(B2),DATE(YEAR(B2),MONTH(B2),1),"")</f>
        <v>46235</v>
      </c>
      <c r="Y2" s="258">
        <f t="shared" ref="Y2:Y65" si="2">IF(ISNUMBER(Q2),DATE(YEAR(Q2),MONTH(Q2),1),"")</f>
        <v>46235</v>
      </c>
      <c r="Z2" s="193">
        <f>IF(A2="","",IF(COUNTIF('Observaciones-SMP'!$A$2:$A$1001,A2)&gt;1,1,0))</f>
        <v>0</v>
      </c>
      <c r="AA2" s="193">
        <f t="shared" ref="AA2:AA65" si="3">IF(ISNUMBER(B2),IF(ISNUMBER(Q2),Q2,DATE(YEAR(RPT_MONTH),MONTH(RPT_MONTH)+1,0))-B2,"")</f>
        <v>4</v>
      </c>
    </row>
    <row r="3" spans="1:27" ht="13.5" customHeight="1" x14ac:dyDescent="0.3">
      <c r="A3" s="193" t="str">
        <f>IF('Observaciones-SMP'!A3="","",'Observaciones-SMP'!A3)</f>
        <v>2026-2</v>
      </c>
      <c r="B3" s="257">
        <f>IF('Observaciones-SMP'!B3="","",'Observaciones-SMP'!B3)</f>
        <v>46245</v>
      </c>
      <c r="C3" s="193" t="str">
        <f>IF('Observaciones-SMP'!C3="","",'Observaciones-SMP'!C3)</f>
        <v>Karina Gentile IEBC</v>
      </c>
      <c r="D3" s="193" t="str">
        <f>IF('Observaciones-SMP'!D3="","",'Observaciones-SMP'!D3)</f>
        <v>Área 1 Obrador</v>
      </c>
      <c r="E3" s="193" t="str">
        <f>IF('Observaciones-SMP'!E3="","",'Observaciones-SMP'!E3)</f>
        <v>Electricidad e Instrumentos</v>
      </c>
      <c r="F3" s="193" t="str">
        <f>IF('Observaciones-SMP'!F3="","",'Observaciones-SMP'!F3)</f>
        <v>OPS</v>
      </c>
      <c r="G3" s="193" t="str">
        <f>IF('Observaciones-SMP'!G3="","",'Observaciones-SMP'!G3)</f>
        <v>Electricidad e Instrumentos</v>
      </c>
      <c r="H3" s="193" t="str">
        <f>IF('Observaciones-SMP'!H3="","",'Observaciones-SMP'!H3)</f>
        <v>Tablero eléctrico sin vallado perimetral. </v>
      </c>
      <c r="I3" s="193" t="str">
        <f>IF('Observaciones-SMP'!I3="","",'Observaciones-SMP'!I3)</f>
        <v>Condición subestándar</v>
      </c>
      <c r="J3" s="193" t="str">
        <f>IF('Observaciones-SMP'!J3="","",'Observaciones-SMP'!J3)</f>
        <v>Área de proyección y contacto</v>
      </c>
      <c r="K3" s="193" t="str">
        <f>IF('Observaciones-SMP'!K3="","",'Observaciones-SMP'!K3)</f>
        <v>Herramientas eléctricas y/o a baterias</v>
      </c>
      <c r="L3" s="193" t="str">
        <f>IF('Observaciones-SMP'!L3="","",'Observaciones-SMP'!L3)</f>
        <v>Bajo</v>
      </c>
      <c r="M3" s="193" t="str">
        <f>IF('Observaciones-SMP'!M3="","",'Observaciones-SMP'!M3)</f>
        <v>Señalizar y perimetral los tableros eléctricos.</v>
      </c>
      <c r="N3" s="193" t="str">
        <f>IF('Observaciones-SMP'!N3="","",'Observaciones-SMP'!N3)</f>
        <v>Si</v>
      </c>
      <c r="O3" s="193" t="str">
        <f>IF('Observaciones-SMP'!O3="","",'Observaciones-SMP'!O3)</f>
        <v>Cerrado</v>
      </c>
      <c r="P3" s="193" t="str">
        <f>IF('Observaciones-SMP'!P3="","",'Observaciones-SMP'!P3)</f>
        <v>Supervisión</v>
      </c>
      <c r="Q3" s="257">
        <f>IF('Observaciones-SMP'!S3="","",'Observaciones-SMP'!S3)</f>
        <v>46246</v>
      </c>
      <c r="R3" s="193" t="str">
        <f>IF('Observaciones-SMP'!T3="","",'Observaciones-SMP'!T3)</f>
        <v/>
      </c>
      <c r="S3" s="193" t="str">
        <f>""</f>
        <v/>
      </c>
      <c r="T3" s="193" t="str">
        <f>""</f>
        <v/>
      </c>
      <c r="U3" s="193">
        <f t="shared" si="0"/>
        <v>1</v>
      </c>
      <c r="V3" s="193" t="str">
        <f>""</f>
        <v/>
      </c>
      <c r="W3" s="193" t="str">
        <f>""</f>
        <v/>
      </c>
      <c r="X3" s="258">
        <f t="shared" si="1"/>
        <v>46235</v>
      </c>
      <c r="Y3" s="258">
        <f t="shared" si="2"/>
        <v>46235</v>
      </c>
      <c r="Z3" s="193">
        <f>IF(A3="","",IF(COUNTIF('Observaciones-SMP'!$A$2:$A$1001,A3)&gt;1,1,0))</f>
        <v>0</v>
      </c>
      <c r="AA3" s="193">
        <f t="shared" si="3"/>
        <v>1</v>
      </c>
    </row>
    <row r="4" spans="1:27" ht="13.5" customHeight="1" x14ac:dyDescent="0.3">
      <c r="A4" s="193" t="str">
        <f>IF('Observaciones-SMP'!A4="","",'Observaciones-SMP'!A4)</f>
        <v>2026-3</v>
      </c>
      <c r="B4" s="257">
        <f>IF('Observaciones-SMP'!B4="","",'Observaciones-SMP'!B4)</f>
        <v>46245</v>
      </c>
      <c r="C4" s="193" t="str">
        <f>IF('Observaciones-SMP'!C4="","",'Observaciones-SMP'!C4)</f>
        <v>Karina Gentile IEBC</v>
      </c>
      <c r="D4" s="193" t="str">
        <f>IF('Observaciones-SMP'!D4="","",'Observaciones-SMP'!D4)</f>
        <v>Área 1 Obrador</v>
      </c>
      <c r="E4" s="193" t="str">
        <f>IF('Observaciones-SMP'!E4="","",'Observaciones-SMP'!E4)</f>
        <v>Izaje</v>
      </c>
      <c r="F4" s="193" t="str">
        <f>IF('Observaciones-SMP'!F4="","",'Observaciones-SMP'!F4)</f>
        <v>SPUSA</v>
      </c>
      <c r="G4" s="193" t="str">
        <f>IF('Observaciones-SMP'!G4="","",'Observaciones-SMP'!G4)</f>
        <v>Izaje</v>
      </c>
      <c r="H4" s="193" t="str">
        <f>IF('Observaciones-SMP'!H4="","",'Observaciones-SMP'!H4)</f>
        <v>Se observa que la pasteca de la grúa se encuentra sin sujetar.</v>
      </c>
      <c r="I4" s="193" t="str">
        <f>IF('Observaciones-SMP'!I4="","",'Observaciones-SMP'!I4)</f>
        <v>Condición subestándar</v>
      </c>
      <c r="J4" s="193" t="str">
        <f>IF('Observaciones-SMP'!J4="","",'Observaciones-SMP'!J4)</f>
        <v>Operaciones de Izado</v>
      </c>
      <c r="K4" s="193" t="str">
        <f>IF('Observaciones-SMP'!K4="","",'Observaciones-SMP'!K4)</f>
        <v>Equipos de Izaje</v>
      </c>
      <c r="L4" s="193" t="str">
        <f>IF('Observaciones-SMP'!L4="","",'Observaciones-SMP'!L4)</f>
        <v>Bajo</v>
      </c>
      <c r="M4" s="193" t="str">
        <f>IF('Observaciones-SMP'!M4="","",'Observaciones-SMP'!M4)</f>
        <v>Se pidió que se mantenga siempre asegurada la pasteca.</v>
      </c>
      <c r="N4" s="193" t="str">
        <f>IF('Observaciones-SMP'!N4="","",'Observaciones-SMP'!N4)</f>
        <v>No Aplica</v>
      </c>
      <c r="O4" s="193" t="str">
        <f>IF('Observaciones-SMP'!O4="","",'Observaciones-SMP'!O4)</f>
        <v>Cerrado</v>
      </c>
      <c r="P4" s="193" t="str">
        <f>IF('Observaciones-SMP'!P4="","",'Observaciones-SMP'!P4)</f>
        <v>Supervisión</v>
      </c>
      <c r="Q4" s="257">
        <f>IF('Observaciones-SMP'!S4="","",'Observaciones-SMP'!S4)</f>
        <v>46246</v>
      </c>
      <c r="R4" s="193" t="str">
        <f>IF('Observaciones-SMP'!T4="","",'Observaciones-SMP'!T4)</f>
        <v/>
      </c>
      <c r="S4" s="193" t="str">
        <f>""</f>
        <v/>
      </c>
      <c r="T4" s="193" t="str">
        <f>""</f>
        <v/>
      </c>
      <c r="U4" s="193">
        <f t="shared" si="0"/>
        <v>1</v>
      </c>
      <c r="V4" s="193" t="str">
        <f>""</f>
        <v/>
      </c>
      <c r="W4" s="193" t="str">
        <f>""</f>
        <v/>
      </c>
      <c r="X4" s="258">
        <f t="shared" si="1"/>
        <v>46235</v>
      </c>
      <c r="Y4" s="258">
        <f t="shared" si="2"/>
        <v>46235</v>
      </c>
      <c r="Z4" s="193">
        <f>IF(A4="","",IF(COUNTIF('Observaciones-SMP'!$A$2:$A$1001,A4)&gt;1,1,0))</f>
        <v>0</v>
      </c>
      <c r="AA4" s="193">
        <f t="shared" si="3"/>
        <v>1</v>
      </c>
    </row>
    <row r="5" spans="1:27" ht="13.5" customHeight="1" x14ac:dyDescent="0.3">
      <c r="A5" s="193" t="str">
        <f>IF('Observaciones-SMP'!A5="","",'Observaciones-SMP'!A5)</f>
        <v>2026-4</v>
      </c>
      <c r="B5" s="257">
        <f>IF('Observaciones-SMP'!B5="","",'Observaciones-SMP'!B5)</f>
        <v>46246</v>
      </c>
      <c r="C5" s="193" t="str">
        <f>IF('Observaciones-SMP'!C5="","",'Observaciones-SMP'!C5)</f>
        <v>Karina Gentile IEBC</v>
      </c>
      <c r="D5" s="193" t="str">
        <f>IF('Observaciones-SMP'!D5="","",'Observaciones-SMP'!D5)</f>
        <v>Área 1 Obrador</v>
      </c>
      <c r="E5" s="193" t="str">
        <f>IF('Observaciones-SMP'!E5="","",'Observaciones-SMP'!E5)</f>
        <v>Logística</v>
      </c>
      <c r="F5" s="193" t="str">
        <f>IF('Observaciones-SMP'!F5="","",'Observaciones-SMP'!F5)</f>
        <v>OPS</v>
      </c>
      <c r="G5" s="193" t="str">
        <f>IF('Observaciones-SMP'!G5="","",'Observaciones-SMP'!G5)</f>
        <v>Logística</v>
      </c>
      <c r="H5" s="193" t="str">
        <f>IF('Observaciones-SMP'!H5="","",'Observaciones-SMP'!H5)</f>
        <v>Acopio con falta de señalización y delimitación de sectores.</v>
      </c>
      <c r="I5" s="193" t="str">
        <f>IF('Observaciones-SMP'!I5="","",'Observaciones-SMP'!I5)</f>
        <v>Condición subestándar</v>
      </c>
      <c r="J5" s="193" t="str">
        <f>IF('Observaciones-SMP'!J5="","",'Observaciones-SMP'!J5)</f>
        <v>Compromiso compartido</v>
      </c>
      <c r="K5" s="193" t="str">
        <f>IF('Observaciones-SMP'!K5="","",'Observaciones-SMP'!K5)</f>
        <v>Señalización y Sectorización</v>
      </c>
      <c r="L5" s="193" t="str">
        <f>IF('Observaciones-SMP'!L5="","",'Observaciones-SMP'!L5)</f>
        <v>Medio</v>
      </c>
      <c r="M5" s="193" t="str">
        <f>IF('Observaciones-SMP'!M5="","",'Observaciones-SMP'!M5)</f>
        <v>Identificación</v>
      </c>
      <c r="N5" s="193" t="str">
        <f>IF('Observaciones-SMP'!N5="","",'Observaciones-SMP'!N5)</f>
        <v>No Aplica</v>
      </c>
      <c r="O5" s="193" t="str">
        <f>IF('Observaciones-SMP'!O5="","",'Observaciones-SMP'!O5)</f>
        <v>Cerrado</v>
      </c>
      <c r="P5" s="193" t="str">
        <f>IF('Observaciones-SMP'!P5="","",'Observaciones-SMP'!P5)</f>
        <v>SSA Contratista</v>
      </c>
      <c r="Q5" s="257">
        <f>IF('Observaciones-SMP'!S5="","",'Observaciones-SMP'!S5)</f>
        <v>46249</v>
      </c>
      <c r="R5" s="193" t="str">
        <f>IF('Observaciones-SMP'!T5="","",'Observaciones-SMP'!T5)</f>
        <v/>
      </c>
      <c r="S5" s="193" t="str">
        <f>""</f>
        <v/>
      </c>
      <c r="T5" s="193" t="str">
        <f>""</f>
        <v/>
      </c>
      <c r="U5" s="193">
        <f t="shared" si="0"/>
        <v>3</v>
      </c>
      <c r="V5" s="193" t="str">
        <f>""</f>
        <v/>
      </c>
      <c r="W5" s="193" t="str">
        <f>""</f>
        <v/>
      </c>
      <c r="X5" s="258">
        <f t="shared" si="1"/>
        <v>46235</v>
      </c>
      <c r="Y5" s="258">
        <f t="shared" si="2"/>
        <v>46235</v>
      </c>
      <c r="Z5" s="193">
        <f>IF(A5="","",IF(COUNTIF('Observaciones-SMP'!$A$2:$A$1001,A5)&gt;1,1,0))</f>
        <v>0</v>
      </c>
      <c r="AA5" s="193">
        <f t="shared" si="3"/>
        <v>3</v>
      </c>
    </row>
    <row r="6" spans="1:27" ht="13.5" customHeight="1" x14ac:dyDescent="0.3">
      <c r="A6" s="193" t="str">
        <f>IF('Observaciones-SMP'!A6="","",'Observaciones-SMP'!A6)</f>
        <v>2026-5</v>
      </c>
      <c r="B6" s="257">
        <f>IF('Observaciones-SMP'!B6="","",'Observaciones-SMP'!B6)</f>
        <v>46246</v>
      </c>
      <c r="C6" s="193" t="str">
        <f>IF('Observaciones-SMP'!C6="","",'Observaciones-SMP'!C6)</f>
        <v>Karina Gentile IEBC</v>
      </c>
      <c r="D6" s="193" t="str">
        <f>IF('Observaciones-SMP'!D6="","",'Observaciones-SMP'!D6)</f>
        <v>Área 2 Est. Pesados</v>
      </c>
      <c r="E6" s="193" t="str">
        <f>IF('Observaciones-SMP'!E6="","",'Observaciones-SMP'!E6)</f>
        <v>Camiones Volcadores</v>
      </c>
      <c r="F6" s="193" t="str">
        <f>IF('Observaciones-SMP'!F6="","",'Observaciones-SMP'!F6)</f>
        <v>OPS</v>
      </c>
      <c r="G6" s="193" t="str">
        <f>IF('Observaciones-SMP'!G6="","",'Observaciones-SMP'!G6)</f>
        <v>Juan José Fernández (OPS)</v>
      </c>
      <c r="H6" s="193" t="str">
        <f>IF('Observaciones-SMP'!H6="","",'Observaciones-SMP'!H6)</f>
        <v>Se solicita determinar un sector para vehículos pesados</v>
      </c>
      <c r="I6" s="193" t="str">
        <f>IF('Observaciones-SMP'!I6="","",'Observaciones-SMP'!I6)</f>
        <v>Condición subestándar</v>
      </c>
      <c r="J6" s="193" t="str">
        <f>IF('Observaciones-SMP'!J6="","",'Observaciones-SMP'!J6)</f>
        <v>Seguridad Vial</v>
      </c>
      <c r="K6" s="193" t="str">
        <f>IF('Observaciones-SMP'!K6="","",'Observaciones-SMP'!K6)</f>
        <v>Señalización y Sectorización</v>
      </c>
      <c r="L6" s="193" t="str">
        <f>IF('Observaciones-SMP'!L6="","",'Observaciones-SMP'!L6)</f>
        <v>Bajo</v>
      </c>
      <c r="M6" s="193" t="str">
        <f>IF('Observaciones-SMP'!M6="","",'Observaciones-SMP'!M6)</f>
        <v>Identificación</v>
      </c>
      <c r="N6" s="193" t="str">
        <f>IF('Observaciones-SMP'!N6="","",'Observaciones-SMP'!N6)</f>
        <v>No</v>
      </c>
      <c r="O6" s="193" t="str">
        <f>IF('Observaciones-SMP'!O6="","",'Observaciones-SMP'!O6)</f>
        <v>Cerrado</v>
      </c>
      <c r="P6" s="193" t="str">
        <f>IF('Observaciones-SMP'!P6="","",'Observaciones-SMP'!P6)</f>
        <v>Supervisión</v>
      </c>
      <c r="Q6" s="257">
        <f>IF('Observaciones-SMP'!S6="","",'Observaciones-SMP'!S6)</f>
        <v>46249</v>
      </c>
      <c r="R6" s="193" t="str">
        <f>IF('Observaciones-SMP'!T6="","",'Observaciones-SMP'!T6)</f>
        <v/>
      </c>
      <c r="S6" s="193" t="str">
        <f>""</f>
        <v/>
      </c>
      <c r="T6" s="193" t="str">
        <f>""</f>
        <v/>
      </c>
      <c r="U6" s="193">
        <f t="shared" si="0"/>
        <v>3</v>
      </c>
      <c r="V6" s="193" t="str">
        <f>""</f>
        <v/>
      </c>
      <c r="W6" s="193" t="str">
        <f>""</f>
        <v/>
      </c>
      <c r="X6" s="258">
        <f t="shared" si="1"/>
        <v>46235</v>
      </c>
      <c r="Y6" s="258">
        <f t="shared" si="2"/>
        <v>46235</v>
      </c>
      <c r="Z6" s="193">
        <f>IF(A6="","",IF(COUNTIF('Observaciones-SMP'!$A$2:$A$1001,A6)&gt;1,1,0))</f>
        <v>0</v>
      </c>
      <c r="AA6" s="193">
        <f t="shared" si="3"/>
        <v>3</v>
      </c>
    </row>
    <row r="7" spans="1:27" ht="13.5" customHeight="1" x14ac:dyDescent="0.3">
      <c r="A7" s="193" t="str">
        <f>IF('Observaciones-SMP'!A7="","",'Observaciones-SMP'!A7)</f>
        <v>2026-6</v>
      </c>
      <c r="B7" s="257">
        <f>IF('Observaciones-SMP'!B7="","",'Observaciones-SMP'!B7)</f>
        <v>46247</v>
      </c>
      <c r="C7" s="193" t="str">
        <f>IF('Observaciones-SMP'!C7="","",'Observaciones-SMP'!C7)</f>
        <v>Mario Acosta IEBC</v>
      </c>
      <c r="D7" s="193" t="str">
        <f>IF('Observaciones-SMP'!D7="","",'Observaciones-SMP'!D7)</f>
        <v>Área 1 Obrador</v>
      </c>
      <c r="E7" s="193" t="str">
        <f>IF('Observaciones-SMP'!E7="","",'Observaciones-SMP'!E7)</f>
        <v>Logística</v>
      </c>
      <c r="F7" s="193" t="str">
        <f>IF('Observaciones-SMP'!F7="","",'Observaciones-SMP'!F7)</f>
        <v>OPS</v>
      </c>
      <c r="G7" s="193" t="str">
        <f>IF('Observaciones-SMP'!G7="","",'Observaciones-SMP'!G7)</f>
        <v>Juan José Fernández (OPS)</v>
      </c>
      <c r="H7" s="193" t="str">
        <f>IF('Observaciones-SMP'!H7="","",'Observaciones-SMP'!H7)</f>
        <v>Falta de arriostramientos de sujeción en las oficinas.</v>
      </c>
      <c r="I7" s="193" t="str">
        <f>IF('Observaciones-SMP'!I7="","",'Observaciones-SMP'!I7)</f>
        <v>Condición subestándar</v>
      </c>
      <c r="J7" s="193" t="str">
        <f>IF('Observaciones-SMP'!J7="","",'Observaciones-SMP'!J7)</f>
        <v>Área de proyección y contacto</v>
      </c>
      <c r="K7" s="193" t="str">
        <f>IF('Observaciones-SMP'!K7="","",'Observaciones-SMP'!K7)</f>
        <v>Otros</v>
      </c>
      <c r="L7" s="193" t="str">
        <f>IF('Observaciones-SMP'!L7="","",'Observaciones-SMP'!L7)</f>
        <v>Bajo</v>
      </c>
      <c r="M7" s="193" t="str">
        <f>IF('Observaciones-SMP'!M7="","",'Observaciones-SMP'!M7)</f>
        <v>Sujeción de las oficinas </v>
      </c>
      <c r="N7" s="193" t="str">
        <f>IF('Observaciones-SMP'!N7="","",'Observaciones-SMP'!N7)</f>
        <v>No</v>
      </c>
      <c r="O7" s="193" t="str">
        <f>IF('Observaciones-SMP'!O7="","",'Observaciones-SMP'!O7)</f>
        <v>En proceso</v>
      </c>
      <c r="P7" s="193" t="str">
        <f>IF('Observaciones-SMP'!P7="","",'Observaciones-SMP'!P7)</f>
        <v>Supervisión</v>
      </c>
      <c r="Q7" s="257" t="str">
        <f>IF('Observaciones-SMP'!S7="","",'Observaciones-SMP'!S7)</f>
        <v/>
      </c>
      <c r="R7" s="193" t="str">
        <f>IF('Observaciones-SMP'!T7="","",'Observaciones-SMP'!T7)</f>
        <v/>
      </c>
      <c r="S7" s="193" t="str">
        <f>""</f>
        <v/>
      </c>
      <c r="T7" s="193" t="str">
        <f>""</f>
        <v/>
      </c>
      <c r="U7" s="193" t="str">
        <f t="shared" si="0"/>
        <v/>
      </c>
      <c r="V7" s="193" t="str">
        <f>""</f>
        <v/>
      </c>
      <c r="W7" s="193" t="str">
        <f>""</f>
        <v/>
      </c>
      <c r="X7" s="258">
        <f t="shared" si="1"/>
        <v>46235</v>
      </c>
      <c r="Y7" s="258" t="str">
        <f t="shared" si="2"/>
        <v/>
      </c>
      <c r="Z7" s="193">
        <f>IF(A7="","",IF(COUNTIF('Observaciones-SMP'!$A$2:$A$1001,A7)&gt;1,1,0))</f>
        <v>0</v>
      </c>
      <c r="AA7" s="193">
        <f t="shared" si="3"/>
        <v>79</v>
      </c>
    </row>
    <row r="8" spans="1:27" ht="13.5" customHeight="1" x14ac:dyDescent="0.3">
      <c r="A8" s="193" t="str">
        <f>IF('Observaciones-SMP'!A8="","",'Observaciones-SMP'!A8)</f>
        <v>2026-7</v>
      </c>
      <c r="B8" s="257">
        <f>IF('Observaciones-SMP'!B8="","",'Observaciones-SMP'!B8)</f>
        <v>46247</v>
      </c>
      <c r="C8" s="193" t="str">
        <f>IF('Observaciones-SMP'!C8="","",'Observaciones-SMP'!C8)</f>
        <v>Mario Acosta IEBC</v>
      </c>
      <c r="D8" s="193" t="str">
        <f>IF('Observaciones-SMP'!D8="","",'Observaciones-SMP'!D8)</f>
        <v>Área 3 Pta. combustible</v>
      </c>
      <c r="E8" s="193" t="str">
        <f>IF('Observaciones-SMP'!E8="","",'Observaciones-SMP'!E8)</f>
        <v>Despacho de combustible Pta.</v>
      </c>
      <c r="F8" s="193" t="str">
        <f>IF('Observaciones-SMP'!F8="","",'Observaciones-SMP'!F8)</f>
        <v>OPS</v>
      </c>
      <c r="G8" s="193" t="str">
        <f>IF('Observaciones-SMP'!G8="","",'Observaciones-SMP'!G8)</f>
        <v>Logística</v>
      </c>
      <c r="H8" s="193" t="str">
        <f>IF('Observaciones-SMP'!H8="","",'Observaciones-SMP'!H8)</f>
        <v>Tablero eléctrico sin protecciones mecánicas.</v>
      </c>
      <c r="I8" s="193" t="str">
        <f>IF('Observaciones-SMP'!I8="","",'Observaciones-SMP'!I8)</f>
        <v>Condición subestándar</v>
      </c>
      <c r="J8" s="193" t="str">
        <f>IF('Observaciones-SMP'!J8="","",'Observaciones-SMP'!J8)</f>
        <v>Área de proyección y contacto</v>
      </c>
      <c r="K8" s="193" t="str">
        <f>IF('Observaciones-SMP'!K8="","",'Observaciones-SMP'!K8)</f>
        <v>Otros</v>
      </c>
      <c r="L8" s="193" t="str">
        <f>IF('Observaciones-SMP'!L8="","",'Observaciones-SMP'!L8)</f>
        <v>Medio</v>
      </c>
      <c r="M8" s="193" t="str">
        <f>IF('Observaciones-SMP'!M8="","",'Observaciones-SMP'!M8)</f>
        <v>Reacondicionar tableros e inst. elect.</v>
      </c>
      <c r="N8" s="193" t="str">
        <f>IF('Observaciones-SMP'!N8="","",'Observaciones-SMP'!N8)</f>
        <v>No Aplica</v>
      </c>
      <c r="O8" s="193" t="str">
        <f>IF('Observaciones-SMP'!O8="","",'Observaciones-SMP'!O8)</f>
        <v>Cerrado</v>
      </c>
      <c r="P8" s="193" t="str">
        <f>IF('Observaciones-SMP'!P8="","",'Observaciones-SMP'!P8)</f>
        <v>SSA Contratista</v>
      </c>
      <c r="Q8" s="257">
        <f>IF('Observaciones-SMP'!S8="","",'Observaciones-SMP'!S8)</f>
        <v>46249</v>
      </c>
      <c r="R8" s="193" t="str">
        <f>IF('Observaciones-SMP'!T8="","",'Observaciones-SMP'!T8)</f>
        <v/>
      </c>
      <c r="S8" s="193" t="str">
        <f>""</f>
        <v/>
      </c>
      <c r="T8" s="193" t="str">
        <f>""</f>
        <v/>
      </c>
      <c r="U8" s="193">
        <f t="shared" si="0"/>
        <v>2</v>
      </c>
      <c r="V8" s="193" t="str">
        <f>""</f>
        <v/>
      </c>
      <c r="W8" s="193" t="str">
        <f>""</f>
        <v/>
      </c>
      <c r="X8" s="258">
        <f t="shared" si="1"/>
        <v>46235</v>
      </c>
      <c r="Y8" s="258">
        <f t="shared" si="2"/>
        <v>46235</v>
      </c>
      <c r="Z8" s="193">
        <f>IF(A8="","",IF(COUNTIF('Observaciones-SMP'!$A$2:$A$1001,A8)&gt;1,1,0))</f>
        <v>0</v>
      </c>
      <c r="AA8" s="193">
        <f t="shared" si="3"/>
        <v>2</v>
      </c>
    </row>
    <row r="9" spans="1:27" ht="13.5" customHeight="1" x14ac:dyDescent="0.3">
      <c r="A9" s="193" t="str">
        <f>IF('Observaciones-SMP'!A9="","",'Observaciones-SMP'!A9)</f>
        <v>2026-8</v>
      </c>
      <c r="B9" s="257">
        <f>IF('Observaciones-SMP'!B9="","",'Observaciones-SMP'!B9)</f>
        <v>46247</v>
      </c>
      <c r="C9" s="193" t="str">
        <f>IF('Observaciones-SMP'!C9="","",'Observaciones-SMP'!C9)</f>
        <v>Mario Acosta IEBC</v>
      </c>
      <c r="D9" s="193" t="str">
        <f>IF('Observaciones-SMP'!D9="","",'Observaciones-SMP'!D9)</f>
        <v>Área 5 Mtto Mco.</v>
      </c>
      <c r="E9" s="193" t="str">
        <f>IF('Observaciones-SMP'!E9="","",'Observaciones-SMP'!E9)</f>
        <v>Mant. Mecánico</v>
      </c>
      <c r="F9" s="193" t="str">
        <f>IF('Observaciones-SMP'!F9="","",'Observaciones-SMP'!F9)</f>
        <v>OPS</v>
      </c>
      <c r="G9" s="193" t="str">
        <f>IF('Observaciones-SMP'!G9="","",'Observaciones-SMP'!G9)</f>
        <v>Lucas Antolínez (OPS MM)</v>
      </c>
      <c r="H9" s="193" t="str">
        <f>IF('Observaciones-SMP'!H9="","",'Observaciones-SMP'!H9)</f>
        <v>Clasificación de residuos  mesclados.</v>
      </c>
      <c r="I9" s="193" t="str">
        <f>IF('Observaciones-SMP'!I9="","",'Observaciones-SMP'!I9)</f>
        <v>Desvío requisito legal</v>
      </c>
      <c r="J9" s="193" t="str">
        <f>IF('Observaciones-SMP'!J9="","",'Observaciones-SMP'!J9)</f>
        <v>Compromiso compartido</v>
      </c>
      <c r="K9" s="193" t="str">
        <f>IF('Observaciones-SMP'!K9="","",'Observaciones-SMP'!K9)</f>
        <v>Segregación de Residuos</v>
      </c>
      <c r="L9" s="193" t="str">
        <f>IF('Observaciones-SMP'!L9="","",'Observaciones-SMP'!L9)</f>
        <v>Bajo</v>
      </c>
      <c r="M9" s="193" t="str">
        <f>IF('Observaciones-SMP'!M9="","",'Observaciones-SMP'!M9)</f>
        <v>Charla / Capacitación</v>
      </c>
      <c r="N9" s="193" t="str">
        <f>IF('Observaciones-SMP'!N9="","",'Observaciones-SMP'!N9)</f>
        <v>Si</v>
      </c>
      <c r="O9" s="193" t="str">
        <f>IF('Observaciones-SMP'!O9="","",'Observaciones-SMP'!O9)</f>
        <v>Cerrado</v>
      </c>
      <c r="P9" s="193" t="str">
        <f>IF('Observaciones-SMP'!P9="","",'Observaciones-SMP'!P9)</f>
        <v>SSA Contratista</v>
      </c>
      <c r="Q9" s="257">
        <f>IF('Observaciones-SMP'!S9="","",'Observaciones-SMP'!S9)</f>
        <v>46248</v>
      </c>
      <c r="R9" s="193" t="str">
        <f>IF('Observaciones-SMP'!T9="","",'Observaciones-SMP'!T9)</f>
        <v/>
      </c>
      <c r="S9" s="193" t="str">
        <f>""</f>
        <v/>
      </c>
      <c r="T9" s="193" t="str">
        <f>""</f>
        <v/>
      </c>
      <c r="U9" s="193">
        <f t="shared" si="0"/>
        <v>1</v>
      </c>
      <c r="V9" s="193" t="str">
        <f>""</f>
        <v/>
      </c>
      <c r="W9" s="193" t="str">
        <f>""</f>
        <v/>
      </c>
      <c r="X9" s="258">
        <f t="shared" si="1"/>
        <v>46235</v>
      </c>
      <c r="Y9" s="258">
        <f t="shared" si="2"/>
        <v>46235</v>
      </c>
      <c r="Z9" s="193">
        <f>IF(A9="","",IF(COUNTIF('Observaciones-SMP'!$A$2:$A$1001,A9)&gt;1,1,0))</f>
        <v>0</v>
      </c>
      <c r="AA9" s="193">
        <f t="shared" si="3"/>
        <v>1</v>
      </c>
    </row>
    <row r="10" spans="1:27" ht="13.5" customHeight="1" x14ac:dyDescent="0.3">
      <c r="A10" s="193" t="str">
        <f>IF('Observaciones-SMP'!A10="","",'Observaciones-SMP'!A10)</f>
        <v>2026-9</v>
      </c>
      <c r="B10" s="257">
        <f>IF('Observaciones-SMP'!B10="","",'Observaciones-SMP'!B10)</f>
        <v>46247</v>
      </c>
      <c r="C10" s="193" t="str">
        <f>IF('Observaciones-SMP'!C10="","",'Observaciones-SMP'!C10)</f>
        <v>Mario Acosta IEBC</v>
      </c>
      <c r="D10" s="193" t="str">
        <f>IF('Observaciones-SMP'!D10="","",'Observaciones-SMP'!D10)</f>
        <v>Área 5 Mtto. Mco.</v>
      </c>
      <c r="E10" s="193" t="str">
        <f>IF('Observaciones-SMP'!E10="","",'Observaciones-SMP'!E10)</f>
        <v>Mant. Mecánico</v>
      </c>
      <c r="F10" s="193" t="str">
        <f>IF('Observaciones-SMP'!F10="","",'Observaciones-SMP'!F10)</f>
        <v>OPS</v>
      </c>
      <c r="G10" s="193" t="str">
        <f>IF('Observaciones-SMP'!G10="","",'Observaciones-SMP'!G10)</f>
        <v>Lucas Antolínez (OPS MM)</v>
      </c>
      <c r="H10" s="193" t="str">
        <f>IF('Observaciones-SMP'!H10="","",'Observaciones-SMP'!H10)</f>
        <v>Bomba de vacío sin bandeja secundaria.</v>
      </c>
      <c r="I10" s="193" t="str">
        <f>IF('Observaciones-SMP'!I10="","",'Observaciones-SMP'!I10)</f>
        <v>Desvío requisito legal</v>
      </c>
      <c r="J10" s="193" t="str">
        <f>IF('Observaciones-SMP'!J10="","",'Observaciones-SMP'!J10)</f>
        <v>Compromiso compartido</v>
      </c>
      <c r="K10" s="193" t="str">
        <f>IF('Observaciones-SMP'!K10="","",'Observaciones-SMP'!K10)</f>
        <v>Segregación de Residuos</v>
      </c>
      <c r="L10" s="193" t="str">
        <f>IF('Observaciones-SMP'!L10="","",'Observaciones-SMP'!L10)</f>
        <v>Bajo</v>
      </c>
      <c r="M10" s="193" t="str">
        <f>IF('Observaciones-SMP'!M10="","",'Observaciones-SMP'!M10)</f>
        <v>Charla / Capacitación</v>
      </c>
      <c r="N10" s="193" t="str">
        <f>IF('Observaciones-SMP'!N10="","",'Observaciones-SMP'!N10)</f>
        <v>Si</v>
      </c>
      <c r="O10" s="193" t="str">
        <f>IF('Observaciones-SMP'!O10="","",'Observaciones-SMP'!O10)</f>
        <v>Cerrado</v>
      </c>
      <c r="P10" s="193" t="str">
        <f>IF('Observaciones-SMP'!P10="","",'Observaciones-SMP'!P10)</f>
        <v>SSA Contratista</v>
      </c>
      <c r="Q10" s="257">
        <f>IF('Observaciones-SMP'!S10="","",'Observaciones-SMP'!S10)</f>
        <v>46249</v>
      </c>
      <c r="R10" s="193" t="str">
        <f>IF('Observaciones-SMP'!T10="","",'Observaciones-SMP'!T10)</f>
        <v/>
      </c>
      <c r="S10" s="193" t="str">
        <f>""</f>
        <v/>
      </c>
      <c r="T10" s="193" t="str">
        <f>""</f>
        <v/>
      </c>
      <c r="U10" s="193">
        <f t="shared" si="0"/>
        <v>2</v>
      </c>
      <c r="V10" s="193" t="str">
        <f>""</f>
        <v/>
      </c>
      <c r="W10" s="193" t="str">
        <f>""</f>
        <v/>
      </c>
      <c r="X10" s="258">
        <f t="shared" si="1"/>
        <v>46235</v>
      </c>
      <c r="Y10" s="258">
        <f t="shared" si="2"/>
        <v>46235</v>
      </c>
      <c r="Z10" s="193">
        <f>IF(A10="","",IF(COUNTIF('Observaciones-SMP'!$A$2:$A$1001,A10)&gt;1,1,0))</f>
        <v>0</v>
      </c>
      <c r="AA10" s="193">
        <f t="shared" si="3"/>
        <v>2</v>
      </c>
    </row>
    <row r="11" spans="1:27" ht="13.5" customHeight="1" x14ac:dyDescent="0.3">
      <c r="A11" s="193" t="str">
        <f>IF('Observaciones-SMP'!A11="","",'Observaciones-SMP'!A11)</f>
        <v>2026-10</v>
      </c>
      <c r="B11" s="257">
        <f>IF('Observaciones-SMP'!B11="","",'Observaciones-SMP'!B11)</f>
        <v>46247</v>
      </c>
      <c r="C11" s="193" t="str">
        <f>IF('Observaciones-SMP'!C11="","",'Observaciones-SMP'!C11)</f>
        <v>Mario Acosta IEBC</v>
      </c>
      <c r="D11" s="193" t="str">
        <f>IF('Observaciones-SMP'!D11="","",'Observaciones-SMP'!D11)</f>
        <v>Área 6 Lab. - baños</v>
      </c>
      <c r="E11" s="193" t="str">
        <f>IF('Observaciones-SMP'!E11="","",'Observaciones-SMP'!E11)</f>
        <v>Fumadores</v>
      </c>
      <c r="F11" s="193" t="str">
        <f>IF('Observaciones-SMP'!F11="","",'Observaciones-SMP'!F11)</f>
        <v>OPS</v>
      </c>
      <c r="G11" s="193" t="str">
        <f>IF('Observaciones-SMP'!G11="","",'Observaciones-SMP'!G11)</f>
        <v>SSGG</v>
      </c>
      <c r="H11" s="193" t="str">
        <f>IF('Observaciones-SMP'!H11="","",'Observaciones-SMP'!H11)</f>
        <v>Sector fumadores, falta cenicero y extintor</v>
      </c>
      <c r="I11" s="193" t="str">
        <f>IF('Observaciones-SMP'!I11="","",'Observaciones-SMP'!I11)</f>
        <v>Condición subestándar</v>
      </c>
      <c r="J11" s="193" t="str">
        <f>IF('Observaciones-SMP'!J11="","",'Observaciones-SMP'!J11)</f>
        <v>Compromiso compartido</v>
      </c>
      <c r="K11" s="193" t="str">
        <f>IF('Observaciones-SMP'!K11="","",'Observaciones-SMP'!K11)</f>
        <v>Otros</v>
      </c>
      <c r="L11" s="193" t="str">
        <f>IF('Observaciones-SMP'!L11="","",'Observaciones-SMP'!L11)</f>
        <v>Bajo</v>
      </c>
      <c r="M11" s="193" t="str">
        <f>IF('Observaciones-SMP'!M11="","",'Observaciones-SMP'!M11)</f>
        <v>Reacondicionar sector</v>
      </c>
      <c r="N11" s="193" t="str">
        <f>IF('Observaciones-SMP'!N11="","",'Observaciones-SMP'!N11)</f>
        <v>No Aplica</v>
      </c>
      <c r="O11" s="193" t="str">
        <f>IF('Observaciones-SMP'!O11="","",'Observaciones-SMP'!O11)</f>
        <v>Cerrado</v>
      </c>
      <c r="P11" s="193" t="str">
        <f>IF('Observaciones-SMP'!P11="","",'Observaciones-SMP'!P11)</f>
        <v>SSA Contratista</v>
      </c>
      <c r="Q11" s="257">
        <f>IF('Observaciones-SMP'!S11="","",'Observaciones-SMP'!S11)</f>
        <v>46248</v>
      </c>
      <c r="R11" s="193" t="str">
        <f>IF('Observaciones-SMP'!T11="","",'Observaciones-SMP'!T11)</f>
        <v/>
      </c>
      <c r="S11" s="193" t="str">
        <f>""</f>
        <v/>
      </c>
      <c r="T11" s="193" t="str">
        <f>""</f>
        <v/>
      </c>
      <c r="U11" s="193">
        <f t="shared" si="0"/>
        <v>1</v>
      </c>
      <c r="V11" s="193" t="str">
        <f>""</f>
        <v/>
      </c>
      <c r="W11" s="193" t="str">
        <f>""</f>
        <v/>
      </c>
      <c r="X11" s="258">
        <f t="shared" si="1"/>
        <v>46235</v>
      </c>
      <c r="Y11" s="258">
        <f t="shared" si="2"/>
        <v>46235</v>
      </c>
      <c r="Z11" s="193">
        <f>IF(A11="","",IF(COUNTIF('Observaciones-SMP'!$A$2:$A$1001,A11)&gt;1,1,0))</f>
        <v>0</v>
      </c>
      <c r="AA11" s="193">
        <f t="shared" si="3"/>
        <v>1</v>
      </c>
    </row>
    <row r="12" spans="1:27" ht="13.5" customHeight="1" x14ac:dyDescent="0.3">
      <c r="A12" s="193" t="str">
        <f>IF('Observaciones-SMP'!A12="","",'Observaciones-SMP'!A12)</f>
        <v>2026-11</v>
      </c>
      <c r="B12" s="257">
        <f>IF('Observaciones-SMP'!B12="","",'Observaciones-SMP'!B12)</f>
        <v>46247</v>
      </c>
      <c r="C12" s="193" t="str">
        <f>IF('Observaciones-SMP'!C12="","",'Observaciones-SMP'!C12)</f>
        <v>Mario Acosta IEBC</v>
      </c>
      <c r="D12" s="193" t="str">
        <f>IF('Observaciones-SMP'!D12="","",'Observaciones-SMP'!D12)</f>
        <v>Área 7 Prefabricados</v>
      </c>
      <c r="E12" s="193" t="str">
        <f>IF('Observaciones-SMP'!E12="","",'Observaciones-SMP'!E12)</f>
        <v>Soldadura</v>
      </c>
      <c r="F12" s="193" t="str">
        <f>IF('Observaciones-SMP'!F12="","",'Observaciones-SMP'!F12)</f>
        <v>OPS</v>
      </c>
      <c r="G12" s="193" t="str">
        <f>IF('Observaciones-SMP'!G12="","",'Observaciones-SMP'!G12)</f>
        <v>Juan José Fernández (OPS)</v>
      </c>
      <c r="H12" s="193" t="str">
        <f>IF('Observaciones-SMP'!H12="","",'Observaciones-SMP'!H12)</f>
        <v>Prefabricado de soldadura el uso de piquetas hechizas.</v>
      </c>
      <c r="I12" s="193" t="str">
        <f>IF('Observaciones-SMP'!I12="","",'Observaciones-SMP'!I12)</f>
        <v>Condición subestándar</v>
      </c>
      <c r="J12" s="193" t="str">
        <f>IF('Observaciones-SMP'!J12="","",'Observaciones-SMP'!J12)</f>
        <v>Línea de fuego</v>
      </c>
      <c r="K12" s="193" t="str">
        <f>IF('Observaciones-SMP'!K12="","",'Observaciones-SMP'!K12)</f>
        <v>Elementos y accesorios de izaje</v>
      </c>
      <c r="L12" s="193" t="str">
        <f>IF('Observaciones-SMP'!L12="","",'Observaciones-SMP'!L12)</f>
        <v>Bajo</v>
      </c>
      <c r="M12" s="193" t="str">
        <f>IF('Observaciones-SMP'!M12="","",'Observaciones-SMP'!M12)</f>
        <v>Reacondicionar sector</v>
      </c>
      <c r="N12" s="193" t="str">
        <f>IF('Observaciones-SMP'!N12="","",'Observaciones-SMP'!N12)</f>
        <v>No</v>
      </c>
      <c r="O12" s="193" t="str">
        <f>IF('Observaciones-SMP'!O12="","",'Observaciones-SMP'!O12)</f>
        <v>En proceso</v>
      </c>
      <c r="P12" s="193" t="str">
        <f>IF('Observaciones-SMP'!P12="","",'Observaciones-SMP'!P12)</f>
        <v>Jefatura de Obra</v>
      </c>
      <c r="Q12" s="257" t="str">
        <f>IF('Observaciones-SMP'!S12="","",'Observaciones-SMP'!S12)</f>
        <v/>
      </c>
      <c r="R12" s="193" t="str">
        <f>IF('Observaciones-SMP'!T12="","",'Observaciones-SMP'!T12)</f>
        <v/>
      </c>
      <c r="S12" s="193" t="str">
        <f>""</f>
        <v/>
      </c>
      <c r="T12" s="193" t="str">
        <f>""</f>
        <v/>
      </c>
      <c r="U12" s="193" t="str">
        <f t="shared" si="0"/>
        <v/>
      </c>
      <c r="V12" s="193" t="str">
        <f>""</f>
        <v/>
      </c>
      <c r="W12" s="193" t="str">
        <f>""</f>
        <v/>
      </c>
      <c r="X12" s="258">
        <f t="shared" si="1"/>
        <v>46235</v>
      </c>
      <c r="Y12" s="258" t="str">
        <f t="shared" si="2"/>
        <v/>
      </c>
      <c r="Z12" s="193">
        <f>IF(A12="","",IF(COUNTIF('Observaciones-SMP'!$A$2:$A$1001,A12)&gt;1,1,0))</f>
        <v>0</v>
      </c>
      <c r="AA12" s="193">
        <f t="shared" si="3"/>
        <v>79</v>
      </c>
    </row>
    <row r="13" spans="1:27" ht="13.5" customHeight="1" x14ac:dyDescent="0.3">
      <c r="A13" s="193" t="str">
        <f>IF('Observaciones-SMP'!A13="","",'Observaciones-SMP'!A13)</f>
        <v>2026-12</v>
      </c>
      <c r="B13" s="257">
        <f>IF('Observaciones-SMP'!B13="","",'Observaciones-SMP'!B13)</f>
        <v>46247</v>
      </c>
      <c r="C13" s="193" t="str">
        <f>IF('Observaciones-SMP'!C13="","",'Observaciones-SMP'!C13)</f>
        <v>Mario Acosta IEBC</v>
      </c>
      <c r="D13" s="193" t="str">
        <f>IF('Observaciones-SMP'!D13="","",'Observaciones-SMP'!D13)</f>
        <v>Área 8 Periferia</v>
      </c>
      <c r="E13" s="193" t="str">
        <f>IF('Observaciones-SMP'!E13="","",'Observaciones-SMP'!E13)</f>
        <v>Periferia</v>
      </c>
      <c r="F13" s="193" t="str">
        <f>IF('Observaciones-SMP'!F13="","",'Observaciones-SMP'!F13)</f>
        <v>OPS</v>
      </c>
      <c r="G13" s="193" t="str">
        <f>IF('Observaciones-SMP'!G13="","",'Observaciones-SMP'!G13)</f>
        <v>SSGG</v>
      </c>
      <c r="H13" s="193" t="str">
        <f>IF('Observaciones-SMP'!H13="","",'Observaciones-SMP'!H13)</f>
        <v>Residuos en los alrededores del obrador y futura planta compresora.</v>
      </c>
      <c r="I13" s="193" t="str">
        <f>IF('Observaciones-SMP'!I13="","",'Observaciones-SMP'!I13)</f>
        <v>Condición subestándar</v>
      </c>
      <c r="J13" s="193" t="str">
        <f>IF('Observaciones-SMP'!J13="","",'Observaciones-SMP'!J13)</f>
        <v>Compromiso compartido</v>
      </c>
      <c r="K13" s="193" t="str">
        <f>IF('Observaciones-SMP'!K13="","",'Observaciones-SMP'!K13)</f>
        <v>Orden y limpieza</v>
      </c>
      <c r="L13" s="193" t="str">
        <f>IF('Observaciones-SMP'!L13="","",'Observaciones-SMP'!L13)</f>
        <v>Bajo</v>
      </c>
      <c r="M13" s="193" t="str">
        <f>IF('Observaciones-SMP'!M13="","",'Observaciones-SMP'!M13)</f>
        <v>Charla / Capacitación</v>
      </c>
      <c r="N13" s="193" t="str">
        <f>IF('Observaciones-SMP'!N13="","",'Observaciones-SMP'!N13)</f>
        <v>Si</v>
      </c>
      <c r="O13" s="193" t="str">
        <f>IF('Observaciones-SMP'!O13="","",'Observaciones-SMP'!O13)</f>
        <v>Cerrado</v>
      </c>
      <c r="P13" s="193" t="str">
        <f>IF('Observaciones-SMP'!P13="","",'Observaciones-SMP'!P13)</f>
        <v>Jefatura de Obra</v>
      </c>
      <c r="Q13" s="257">
        <f>IF('Observaciones-SMP'!S13="","",'Observaciones-SMP'!S13)</f>
        <v>46253</v>
      </c>
      <c r="R13" s="193" t="str">
        <f>IF('Observaciones-SMP'!T13="","",'Observaciones-SMP'!T13)</f>
        <v/>
      </c>
      <c r="S13" s="193" t="str">
        <f>""</f>
        <v/>
      </c>
      <c r="T13" s="193" t="str">
        <f>""</f>
        <v/>
      </c>
      <c r="U13" s="193">
        <f t="shared" si="0"/>
        <v>6</v>
      </c>
      <c r="V13" s="193" t="str">
        <f>""</f>
        <v/>
      </c>
      <c r="W13" s="193" t="str">
        <f>""</f>
        <v/>
      </c>
      <c r="X13" s="258">
        <f t="shared" si="1"/>
        <v>46235</v>
      </c>
      <c r="Y13" s="258">
        <f t="shared" si="2"/>
        <v>46235</v>
      </c>
      <c r="Z13" s="193">
        <f>IF(A13="","",IF(COUNTIF('Observaciones-SMP'!$A$2:$A$1001,A13)&gt;1,1,0))</f>
        <v>0</v>
      </c>
      <c r="AA13" s="193">
        <f t="shared" si="3"/>
        <v>6</v>
      </c>
    </row>
    <row r="14" spans="1:27" ht="13.5" customHeight="1" x14ac:dyDescent="0.3">
      <c r="A14" s="193" t="str">
        <f>IF('Observaciones-SMP'!A14="","",'Observaciones-SMP'!A14)</f>
        <v>2026-13</v>
      </c>
      <c r="B14" s="257">
        <f>IF('Observaciones-SMP'!B14="","",'Observaciones-SMP'!B14)</f>
        <v>46247</v>
      </c>
      <c r="C14" s="193" t="str">
        <f>IF('Observaciones-SMP'!C14="","",'Observaciones-SMP'!C14)</f>
        <v>Mario Acosta IEBC</v>
      </c>
      <c r="D14" s="193" t="str">
        <f>IF('Observaciones-SMP'!D14="","",'Observaciones-SMP'!D14)</f>
        <v>Área 7 Prefabricados</v>
      </c>
      <c r="E14" s="193" t="str">
        <f>IF('Observaciones-SMP'!E14="","",'Observaciones-SMP'!E14)</f>
        <v>Soldadura</v>
      </c>
      <c r="F14" s="193" t="str">
        <f>IF('Observaciones-SMP'!F14="","",'Observaciones-SMP'!F14)</f>
        <v>OPS</v>
      </c>
      <c r="G14" s="193" t="str">
        <f>IF('Observaciones-SMP'!G14="","",'Observaciones-SMP'!G14)</f>
        <v>Juan José Fernández (OPS)</v>
      </c>
      <c r="H14" s="193" t="str">
        <f>IF('Observaciones-SMP'!H14="","",'Observaciones-SMP'!H14)</f>
        <v>Limpieza de rebarbas de soldadura, con disco de corte.</v>
      </c>
      <c r="I14" s="193" t="str">
        <f>IF('Observaciones-SMP'!I14="","",'Observaciones-SMP'!I14)</f>
        <v>Condición subestándar</v>
      </c>
      <c r="J14" s="193" t="str">
        <f>IF('Observaciones-SMP'!J14="","",'Observaciones-SMP'!J14)</f>
        <v>Área de proyección y contacto</v>
      </c>
      <c r="K14" s="193" t="str">
        <f>IF('Observaciones-SMP'!K14="","",'Observaciones-SMP'!K14)</f>
        <v>Herramientas eléctricas y/o a baterias</v>
      </c>
      <c r="L14" s="193" t="str">
        <f>IF('Observaciones-SMP'!L14="","",'Observaciones-SMP'!L14)</f>
        <v>Medio</v>
      </c>
      <c r="M14" s="193" t="str">
        <f>IF('Observaciones-SMP'!M14="","",'Observaciones-SMP'!M14)</f>
        <v>Proveer elementos faltantes</v>
      </c>
      <c r="N14" s="193" t="str">
        <f>IF('Observaciones-SMP'!N14="","",'Observaciones-SMP'!N14)</f>
        <v>No</v>
      </c>
      <c r="O14" s="193" t="str">
        <f>IF('Observaciones-SMP'!O14="","",'Observaciones-SMP'!O14)</f>
        <v>En proceso</v>
      </c>
      <c r="P14" s="193" t="str">
        <f>IF('Observaciones-SMP'!P14="","",'Observaciones-SMP'!P14)</f>
        <v>Jefatura de Obra</v>
      </c>
      <c r="Q14" s="257" t="str">
        <f>IF('Observaciones-SMP'!S14="","",'Observaciones-SMP'!S14)</f>
        <v/>
      </c>
      <c r="R14" s="193" t="str">
        <f>IF('Observaciones-SMP'!T14="","",'Observaciones-SMP'!T14)</f>
        <v/>
      </c>
      <c r="S14" s="193" t="str">
        <f>""</f>
        <v/>
      </c>
      <c r="T14" s="193" t="str">
        <f>""</f>
        <v/>
      </c>
      <c r="U14" s="193" t="str">
        <f t="shared" si="0"/>
        <v/>
      </c>
      <c r="V14" s="193" t="str">
        <f>""</f>
        <v/>
      </c>
      <c r="W14" s="193" t="str">
        <f>""</f>
        <v/>
      </c>
      <c r="X14" s="258">
        <f t="shared" si="1"/>
        <v>46235</v>
      </c>
      <c r="Y14" s="258" t="str">
        <f t="shared" si="2"/>
        <v/>
      </c>
      <c r="Z14" s="193">
        <f>IF(A14="","",IF(COUNTIF('Observaciones-SMP'!$A$2:$A$1001,A14)&gt;1,1,0))</f>
        <v>0</v>
      </c>
      <c r="AA14" s="193">
        <f t="shared" si="3"/>
        <v>79</v>
      </c>
    </row>
    <row r="15" spans="1:27" ht="13.5" customHeight="1" x14ac:dyDescent="0.3">
      <c r="A15" s="193" t="str">
        <f>IF('Observaciones-SMP'!A15="","",'Observaciones-SMP'!A15)</f>
        <v>2026-14</v>
      </c>
      <c r="B15" s="257">
        <f>IF('Observaciones-SMP'!B15="","",'Observaciones-SMP'!B15)</f>
        <v>46248</v>
      </c>
      <c r="C15" s="193" t="str">
        <f>IF('Observaciones-SMP'!C15="","",'Observaciones-SMP'!C15)</f>
        <v>Mario Acosta IEBC</v>
      </c>
      <c r="D15" s="193" t="str">
        <f>IF('Observaciones-SMP'!D15="","",'Observaciones-SMP'!D15)</f>
        <v>Área 2 Est. Pesados</v>
      </c>
      <c r="E15" s="193" t="str">
        <f>IF('Observaciones-SMP'!E15="","",'Observaciones-SMP'!E15)</f>
        <v>Izaje</v>
      </c>
      <c r="F15" s="193" t="str">
        <f>IF('Observaciones-SMP'!F15="","",'Observaciones-SMP'!F15)</f>
        <v>SPUSA</v>
      </c>
      <c r="G15" s="193" t="str">
        <f>IF('Observaciones-SMP'!G15="","",'Observaciones-SMP'!G15)</f>
        <v>Izaje</v>
      </c>
      <c r="H15" s="193" t="str">
        <f>IF('Observaciones-SMP'!H15="","",'Observaciones-SMP'!H15)</f>
        <v>Colocación de agropol sobre las eslingas de acero .</v>
      </c>
      <c r="I15" s="193" t="str">
        <f>IF('Observaciones-SMP'!I15="","",'Observaciones-SMP'!I15)</f>
        <v>Acto estándar</v>
      </c>
      <c r="J15" s="193" t="str">
        <f>IF('Observaciones-SMP'!J15="","",'Observaciones-SMP'!J15)</f>
        <v>Compromiso compartido</v>
      </c>
      <c r="K15" s="193" t="str">
        <f>IF('Observaciones-SMP'!K15="","",'Observaciones-SMP'!K15)</f>
        <v>Equipos de Izaje</v>
      </c>
      <c r="L15" s="193" t="str">
        <f>IF('Observaciones-SMP'!L15="","",'Observaciones-SMP'!L15)</f>
        <v>Bajo</v>
      </c>
      <c r="M15" s="193" t="str">
        <f>IF('Observaciones-SMP'!M15="","",'Observaciones-SMP'!M15)</f>
        <v>Acción</v>
      </c>
      <c r="N15" s="193" t="str">
        <f>IF('Observaciones-SMP'!N15="","",'Observaciones-SMP'!N15)</f>
        <v>No</v>
      </c>
      <c r="O15" s="193" t="str">
        <f>IF('Observaciones-SMP'!O15="","",'Observaciones-SMP'!O15)</f>
        <v>Cerrado</v>
      </c>
      <c r="P15" s="193" t="str">
        <f>IF('Observaciones-SMP'!P15="","",'Observaciones-SMP'!P15)</f>
        <v>Supervisión</v>
      </c>
      <c r="Q15" s="257">
        <f>IF('Observaciones-SMP'!S15="","",'Observaciones-SMP'!S15)</f>
        <v>46248</v>
      </c>
      <c r="R15" s="193" t="str">
        <f>IF('Observaciones-SMP'!T15="","",'Observaciones-SMP'!T15)</f>
        <v/>
      </c>
      <c r="S15" s="193" t="str">
        <f>""</f>
        <v/>
      </c>
      <c r="T15" s="193" t="str">
        <f>""</f>
        <v/>
      </c>
      <c r="U15" s="193">
        <f t="shared" si="0"/>
        <v>0</v>
      </c>
      <c r="V15" s="193" t="str">
        <f>""</f>
        <v/>
      </c>
      <c r="W15" s="193" t="str">
        <f>""</f>
        <v/>
      </c>
      <c r="X15" s="258">
        <f t="shared" si="1"/>
        <v>46235</v>
      </c>
      <c r="Y15" s="258">
        <f t="shared" si="2"/>
        <v>46235</v>
      </c>
      <c r="Z15" s="193">
        <f>IF(A15="","",IF(COUNTIF('Observaciones-SMP'!$A$2:$A$1001,A15)&gt;1,1,0))</f>
        <v>0</v>
      </c>
      <c r="AA15" s="193">
        <f t="shared" si="3"/>
        <v>0</v>
      </c>
    </row>
    <row r="16" spans="1:27" ht="13.5" customHeight="1" x14ac:dyDescent="0.3">
      <c r="A16" s="193" t="str">
        <f>IF('Observaciones-SMP'!A16="","",'Observaciones-SMP'!A16)</f>
        <v>2026-15</v>
      </c>
      <c r="B16" s="257">
        <f>IF('Observaciones-SMP'!B16="","",'Observaciones-SMP'!B16)</f>
        <v>46248</v>
      </c>
      <c r="C16" s="193" t="str">
        <f>IF('Observaciones-SMP'!C16="","",'Observaciones-SMP'!C16)</f>
        <v>Mario Acosta IEBC</v>
      </c>
      <c r="D16" s="193" t="str">
        <f>IF('Observaciones-SMP'!D16="","",'Observaciones-SMP'!D16)</f>
        <v>Área 4   Generadores</v>
      </c>
      <c r="E16" s="193" t="str">
        <f>IF('Observaciones-SMP'!E16="","",'Observaciones-SMP'!E16)</f>
        <v>Electricidad e Instrumentos</v>
      </c>
      <c r="F16" s="193" t="str">
        <f>IF('Observaciones-SMP'!F16="","",'Observaciones-SMP'!F16)</f>
        <v>OPS</v>
      </c>
      <c r="G16" s="193" t="str">
        <f>IF('Observaciones-SMP'!G16="","",'Observaciones-SMP'!G16)</f>
        <v>SSGG</v>
      </c>
      <c r="H16" s="193" t="str">
        <f>IF('Observaciones-SMP'!H16="","",'Observaciones-SMP'!H16)</f>
        <v>Tableros eléctricos de obra.  Inspección mensual.</v>
      </c>
      <c r="I16" s="193" t="str">
        <f>IF('Observaciones-SMP'!I16="","",'Observaciones-SMP'!I16)</f>
        <v>Acto estándar</v>
      </c>
      <c r="J16" s="193" t="str">
        <f>IF('Observaciones-SMP'!J16="","",'Observaciones-SMP'!J16)</f>
        <v>Aislamiento de la Energía</v>
      </c>
      <c r="K16" s="193" t="str">
        <f>IF('Observaciones-SMP'!K16="","",'Observaciones-SMP'!K16)</f>
        <v>Señalización y Sectorización</v>
      </c>
      <c r="L16" s="193" t="str">
        <f>IF('Observaciones-SMP'!L16="","",'Observaciones-SMP'!L16)</f>
        <v>Bajo</v>
      </c>
      <c r="M16" s="193" t="str">
        <f>IF('Observaciones-SMP'!M16="","",'Observaciones-SMP'!M16)</f>
        <v>Acción</v>
      </c>
      <c r="N16" s="193" t="str">
        <f>IF('Observaciones-SMP'!N16="","",'Observaciones-SMP'!N16)</f>
        <v>No</v>
      </c>
      <c r="O16" s="193" t="str">
        <f>IF('Observaciones-SMP'!O16="","",'Observaciones-SMP'!O16)</f>
        <v>Cerrado</v>
      </c>
      <c r="P16" s="193" t="str">
        <f>IF('Observaciones-SMP'!P16="","",'Observaciones-SMP'!P16)</f>
        <v>SSA Contratista</v>
      </c>
      <c r="Q16" s="257">
        <f>IF('Observaciones-SMP'!S16="","",'Observaciones-SMP'!S16)</f>
        <v>46249</v>
      </c>
      <c r="R16" s="193" t="str">
        <f>IF('Observaciones-SMP'!T16="","",'Observaciones-SMP'!T16)</f>
        <v/>
      </c>
      <c r="S16" s="193" t="str">
        <f>""</f>
        <v/>
      </c>
      <c r="T16" s="193" t="str">
        <f>""</f>
        <v/>
      </c>
      <c r="U16" s="193">
        <f t="shared" si="0"/>
        <v>1</v>
      </c>
      <c r="V16" s="193" t="str">
        <f>""</f>
        <v/>
      </c>
      <c r="W16" s="193" t="str">
        <f>""</f>
        <v/>
      </c>
      <c r="X16" s="258">
        <f t="shared" si="1"/>
        <v>46235</v>
      </c>
      <c r="Y16" s="258">
        <f t="shared" si="2"/>
        <v>46235</v>
      </c>
      <c r="Z16" s="193">
        <f>IF(A16="","",IF(COUNTIF('Observaciones-SMP'!$A$2:$A$1001,A16)&gt;1,1,0))</f>
        <v>0</v>
      </c>
      <c r="AA16" s="193">
        <f t="shared" si="3"/>
        <v>1</v>
      </c>
    </row>
    <row r="17" spans="1:27" ht="13.5" customHeight="1" x14ac:dyDescent="0.3">
      <c r="A17" s="193" t="str">
        <f>IF('Observaciones-SMP'!A17="","",'Observaciones-SMP'!A17)</f>
        <v>2026-16</v>
      </c>
      <c r="B17" s="257">
        <f>IF('Observaciones-SMP'!B17="","",'Observaciones-SMP'!B17)</f>
        <v>46249</v>
      </c>
      <c r="C17" s="193" t="str">
        <f>IF('Observaciones-SMP'!C17="","",'Observaciones-SMP'!C17)</f>
        <v>Mario Acosta IEBC</v>
      </c>
      <c r="D17" s="193" t="str">
        <f>IF('Observaciones-SMP'!D17="","",'Observaciones-SMP'!D17)</f>
        <v>Área 4   Generadores</v>
      </c>
      <c r="E17" s="193" t="str">
        <f>IF('Observaciones-SMP'!E17="","",'Observaciones-SMP'!E17)</f>
        <v>Generación de energía</v>
      </c>
      <c r="F17" s="193" t="str">
        <f>IF('Observaciones-SMP'!F17="","",'Observaciones-SMP'!F17)</f>
        <v>OPS</v>
      </c>
      <c r="G17" s="193" t="str">
        <f>IF('Observaciones-SMP'!G17="","",'Observaciones-SMP'!G17)</f>
        <v>Electricidad e Instrumentos</v>
      </c>
      <c r="H17" s="193" t="str">
        <f>IF('Observaciones-SMP'!H17="","",'Observaciones-SMP'!H17)</f>
        <v>Generadores de energía, delimitación y completamiento con insumos ante derrame.</v>
      </c>
      <c r="I17" s="193" t="str">
        <f>IF('Observaciones-SMP'!I17="","",'Observaciones-SMP'!I17)</f>
        <v>Condición subestándar</v>
      </c>
      <c r="J17" s="193" t="str">
        <f>IF('Observaciones-SMP'!J17="","",'Observaciones-SMP'!J17)</f>
        <v>Aislamiento de la Energía</v>
      </c>
      <c r="K17" s="193" t="str">
        <f>IF('Observaciones-SMP'!K17="","",'Observaciones-SMP'!K17)</f>
        <v>Señalización y Sectorización</v>
      </c>
      <c r="L17" s="193" t="str">
        <f>IF('Observaciones-SMP'!L17="","",'Observaciones-SMP'!L17)</f>
        <v>Bajo</v>
      </c>
      <c r="M17" s="193" t="str">
        <f>IF('Observaciones-SMP'!M17="","",'Observaciones-SMP'!M17)</f>
        <v>Reacondicionar sector</v>
      </c>
      <c r="N17" s="193" t="str">
        <f>IF('Observaciones-SMP'!N17="","",'Observaciones-SMP'!N17)</f>
        <v>No</v>
      </c>
      <c r="O17" s="193" t="str">
        <f>IF('Observaciones-SMP'!O17="","",'Observaciones-SMP'!O17)</f>
        <v>Cerrado</v>
      </c>
      <c r="P17" s="193" t="str">
        <f>IF('Observaciones-SMP'!P17="","",'Observaciones-SMP'!P17)</f>
        <v>SSA Contratista</v>
      </c>
      <c r="Q17" s="257">
        <f>IF('Observaciones-SMP'!S17="","",'Observaciones-SMP'!S17)</f>
        <v>46250</v>
      </c>
      <c r="R17" s="193" t="str">
        <f>IF('Observaciones-SMP'!T17="","",'Observaciones-SMP'!T17)</f>
        <v/>
      </c>
      <c r="S17" s="193" t="str">
        <f>""</f>
        <v/>
      </c>
      <c r="T17" s="193" t="str">
        <f>""</f>
        <v/>
      </c>
      <c r="U17" s="193">
        <f t="shared" si="0"/>
        <v>1</v>
      </c>
      <c r="V17" s="193" t="str">
        <f>""</f>
        <v/>
      </c>
      <c r="W17" s="193" t="str">
        <f>""</f>
        <v/>
      </c>
      <c r="X17" s="258">
        <f t="shared" si="1"/>
        <v>46235</v>
      </c>
      <c r="Y17" s="258">
        <f t="shared" si="2"/>
        <v>46235</v>
      </c>
      <c r="Z17" s="193">
        <f>IF(A17="","",IF(COUNTIF('Observaciones-SMP'!$A$2:$A$1001,A17)&gt;1,1,0))</f>
        <v>0</v>
      </c>
      <c r="AA17" s="193">
        <f t="shared" si="3"/>
        <v>1</v>
      </c>
    </row>
    <row r="18" spans="1:27" ht="13.5" customHeight="1" x14ac:dyDescent="0.3">
      <c r="A18" s="193" t="str">
        <f>IF('Observaciones-SMP'!A18="","",'Observaciones-SMP'!A18)</f>
        <v>2026-17</v>
      </c>
      <c r="B18" s="257">
        <f>IF('Observaciones-SMP'!B18="","",'Observaciones-SMP'!B18)</f>
        <v>46249</v>
      </c>
      <c r="C18" s="193" t="str">
        <f>IF('Observaciones-SMP'!C18="","",'Observaciones-SMP'!C18)</f>
        <v>Mario Acosta IEBC</v>
      </c>
      <c r="D18" s="193" t="str">
        <f>IF('Observaciones-SMP'!D18="","",'Observaciones-SMP'!D18)</f>
        <v>Área 2   Est. Pesados</v>
      </c>
      <c r="E18" s="193" t="str">
        <f>IF('Observaciones-SMP'!E18="","",'Observaciones-SMP'!E18)</f>
        <v>Vehículos pesados y viales</v>
      </c>
      <c r="F18" s="193" t="str">
        <f>IF('Observaciones-SMP'!F18="","",'Observaciones-SMP'!F18)</f>
        <v>OPS</v>
      </c>
      <c r="G18" s="193" t="str">
        <f>IF('Observaciones-SMP'!G18="","",'Observaciones-SMP'!G18)</f>
        <v>Logística</v>
      </c>
      <c r="H18" s="193" t="str">
        <f>IF('Observaciones-SMP'!H18="","",'Observaciones-SMP'!H18)</f>
        <v>Estacionamiento de pesados y viales falta kit antiderrame.</v>
      </c>
      <c r="I18" s="193" t="str">
        <f>IF('Observaciones-SMP'!I18="","",'Observaciones-SMP'!I18)</f>
        <v>Condición subestándar</v>
      </c>
      <c r="J18" s="193" t="str">
        <f>IF('Observaciones-SMP'!J18="","",'Observaciones-SMP'!J18)</f>
        <v>Área de proyección y contacto</v>
      </c>
      <c r="K18" s="193" t="str">
        <f>IF('Observaciones-SMP'!K18="","",'Observaciones-SMP'!K18)</f>
        <v>Otros</v>
      </c>
      <c r="L18" s="193" t="str">
        <f>IF('Observaciones-SMP'!L18="","",'Observaciones-SMP'!L18)</f>
        <v>Bajo</v>
      </c>
      <c r="M18" s="193" t="str">
        <f>IF('Observaciones-SMP'!M18="","",'Observaciones-SMP'!M18)</f>
        <v>Proveer elementos faltantes</v>
      </c>
      <c r="N18" s="193" t="str">
        <f>IF('Observaciones-SMP'!N18="","",'Observaciones-SMP'!N18)</f>
        <v>No</v>
      </c>
      <c r="O18" s="193" t="str">
        <f>IF('Observaciones-SMP'!O18="","",'Observaciones-SMP'!O18)</f>
        <v>En proceso</v>
      </c>
      <c r="P18" s="193" t="str">
        <f>IF('Observaciones-SMP'!P18="","",'Observaciones-SMP'!P18)</f>
        <v>SSA Contratista</v>
      </c>
      <c r="Q18" s="257" t="str">
        <f>IF('Observaciones-SMP'!S18="","",'Observaciones-SMP'!S18)</f>
        <v/>
      </c>
      <c r="R18" s="193" t="str">
        <f>IF('Observaciones-SMP'!T18="","",'Observaciones-SMP'!T18)</f>
        <v/>
      </c>
      <c r="S18" s="193" t="str">
        <f>""</f>
        <v/>
      </c>
      <c r="T18" s="193" t="str">
        <f>""</f>
        <v/>
      </c>
      <c r="U18" s="193" t="str">
        <f t="shared" si="0"/>
        <v/>
      </c>
      <c r="V18" s="193" t="str">
        <f>""</f>
        <v/>
      </c>
      <c r="W18" s="193" t="str">
        <f>""</f>
        <v/>
      </c>
      <c r="X18" s="258">
        <f t="shared" si="1"/>
        <v>46235</v>
      </c>
      <c r="Y18" s="258" t="str">
        <f t="shared" si="2"/>
        <v/>
      </c>
      <c r="Z18" s="193">
        <f>IF(A18="","",IF(COUNTIF('Observaciones-SMP'!$A$2:$A$1001,A18)&gt;1,1,0))</f>
        <v>0</v>
      </c>
      <c r="AA18" s="193">
        <f t="shared" si="3"/>
        <v>77</v>
      </c>
    </row>
    <row r="19" spans="1:27" ht="13.5" customHeight="1" x14ac:dyDescent="0.3">
      <c r="A19" s="193" t="str">
        <f>IF('Observaciones-SMP'!A19="","",'Observaciones-SMP'!A19)</f>
        <v>2026-18</v>
      </c>
      <c r="B19" s="257">
        <f>IF('Observaciones-SMP'!B19="","",'Observaciones-SMP'!B19)</f>
        <v>46249</v>
      </c>
      <c r="C19" s="193" t="str">
        <f>IF('Observaciones-SMP'!C19="","",'Observaciones-SMP'!C19)</f>
        <v>Mario Acosta IEBC</v>
      </c>
      <c r="D19" s="193" t="str">
        <f>IF('Observaciones-SMP'!D19="","",'Observaciones-SMP'!D19)</f>
        <v>Área 9   Sendas peatonales</v>
      </c>
      <c r="E19" s="193" t="str">
        <f>IF('Observaciones-SMP'!E19="","",'Observaciones-SMP'!E19)</f>
        <v>Civil</v>
      </c>
      <c r="F19" s="193" t="str">
        <f>IF('Observaciones-SMP'!F19="","",'Observaciones-SMP'!F19)</f>
        <v>OPS</v>
      </c>
      <c r="G19" s="193" t="str">
        <f>IF('Observaciones-SMP'!G19="","",'Observaciones-SMP'!G19)</f>
        <v>Civil</v>
      </c>
      <c r="H19" s="193" t="str">
        <f>IF('Observaciones-SMP'!H19="","",'Observaciones-SMP'!H19)</f>
        <v>Clavos salientes en señalización.</v>
      </c>
      <c r="I19" s="193" t="str">
        <f>IF('Observaciones-SMP'!I19="","",'Observaciones-SMP'!I19)</f>
        <v>Condición subestándar</v>
      </c>
      <c r="J19" s="193" t="str">
        <f>IF('Observaciones-SMP'!J19="","",'Observaciones-SMP'!J19)</f>
        <v>Área de proyección y contacto</v>
      </c>
      <c r="K19" s="193" t="str">
        <f>IF('Observaciones-SMP'!K19="","",'Observaciones-SMP'!K19)</f>
        <v>Señalización y Sectorización</v>
      </c>
      <c r="L19" s="193" t="str">
        <f>IF('Observaciones-SMP'!L19="","",'Observaciones-SMP'!L19)</f>
        <v>Medio</v>
      </c>
      <c r="M19" s="193" t="str">
        <f>IF('Observaciones-SMP'!M19="","",'Observaciones-SMP'!M19)</f>
        <v>Reacondicionar sector</v>
      </c>
      <c r="N19" s="193" t="str">
        <f>IF('Observaciones-SMP'!N19="","",'Observaciones-SMP'!N19)</f>
        <v>No</v>
      </c>
      <c r="O19" s="193" t="str">
        <f>IF('Observaciones-SMP'!O19="","",'Observaciones-SMP'!O19)</f>
        <v>Cerrado</v>
      </c>
      <c r="P19" s="193" t="str">
        <f>IF('Observaciones-SMP'!P19="","",'Observaciones-SMP'!P19)</f>
        <v>SSA Contratista</v>
      </c>
      <c r="Q19" s="257">
        <f>IF('Observaciones-SMP'!S19="","",'Observaciones-SMP'!S19)</f>
        <v>46249</v>
      </c>
      <c r="R19" s="193" t="str">
        <f>IF('Observaciones-SMP'!T19="","",'Observaciones-SMP'!T19)</f>
        <v/>
      </c>
      <c r="S19" s="193" t="str">
        <f>""</f>
        <v/>
      </c>
      <c r="T19" s="193" t="str">
        <f>""</f>
        <v/>
      </c>
      <c r="U19" s="193">
        <f t="shared" si="0"/>
        <v>0</v>
      </c>
      <c r="V19" s="193" t="str">
        <f>""</f>
        <v/>
      </c>
      <c r="W19" s="193" t="str">
        <f>""</f>
        <v/>
      </c>
      <c r="X19" s="258">
        <f t="shared" si="1"/>
        <v>46235</v>
      </c>
      <c r="Y19" s="258">
        <f t="shared" si="2"/>
        <v>46235</v>
      </c>
      <c r="Z19" s="193">
        <f>IF(A19="","",IF(COUNTIF('Observaciones-SMP'!$A$2:$A$1001,A19)&gt;1,1,0))</f>
        <v>0</v>
      </c>
      <c r="AA19" s="193">
        <f t="shared" si="3"/>
        <v>0</v>
      </c>
    </row>
    <row r="20" spans="1:27" ht="13.5" customHeight="1" x14ac:dyDescent="0.3">
      <c r="A20" s="193" t="str">
        <f>IF('Observaciones-SMP'!A20="","",'Observaciones-SMP'!A20)</f>
        <v>2026-19</v>
      </c>
      <c r="B20" s="257">
        <f>IF('Observaciones-SMP'!B20="","",'Observaciones-SMP'!B20)</f>
        <v>46252</v>
      </c>
      <c r="C20" s="193" t="str">
        <f>IF('Observaciones-SMP'!C20="","",'Observaciones-SMP'!C20)</f>
        <v>Mario Acosta IEBC</v>
      </c>
      <c r="D20" s="193" t="str">
        <f>IF('Observaciones-SMP'!D20="","",'Observaciones-SMP'!D20)</f>
        <v>Área 8   Periferia</v>
      </c>
      <c r="E20" s="193" t="str">
        <f>IF('Observaciones-SMP'!E20="","",'Observaciones-SMP'!E20)</f>
        <v>Civil</v>
      </c>
      <c r="F20" s="193" t="str">
        <f>IF('Observaciones-SMP'!F20="","",'Observaciones-SMP'!F20)</f>
        <v>OPS</v>
      </c>
      <c r="G20" s="193" t="str">
        <f>IF('Observaciones-SMP'!G20="","",'Observaciones-SMP'!G20)</f>
        <v>Civil</v>
      </c>
      <c r="H20" s="193" t="str">
        <f>IF('Observaciones-SMP'!H20="","",'Observaciones-SMP'!H20)</f>
        <v>Residuos en los alrededores del obrador y futura planta compresora.</v>
      </c>
      <c r="I20" s="193" t="str">
        <f>IF('Observaciones-SMP'!I20="","",'Observaciones-SMP'!I20)</f>
        <v>Condición subestándar</v>
      </c>
      <c r="J20" s="193" t="str">
        <f>IF('Observaciones-SMP'!J20="","",'Observaciones-SMP'!J20)</f>
        <v>Compromiso compartido</v>
      </c>
      <c r="K20" s="193" t="str">
        <f>IF('Observaciones-SMP'!K20="","",'Observaciones-SMP'!K20)</f>
        <v>Orden y limpieza</v>
      </c>
      <c r="L20" s="193" t="str">
        <f>IF('Observaciones-SMP'!L20="","",'Observaciones-SMP'!L20)</f>
        <v>Bajo</v>
      </c>
      <c r="M20" s="193" t="str">
        <f>IF('Observaciones-SMP'!M20="","",'Observaciones-SMP'!M20)</f>
        <v>Levantamiento de residuos</v>
      </c>
      <c r="N20" s="193" t="str">
        <f>IF('Observaciones-SMP'!N20="","",'Observaciones-SMP'!N20)</f>
        <v>No</v>
      </c>
      <c r="O20" s="193" t="str">
        <f>IF('Observaciones-SMP'!O20="","",'Observaciones-SMP'!O20)</f>
        <v>Cerrado</v>
      </c>
      <c r="P20" s="193" t="str">
        <f>IF('Observaciones-SMP'!P20="","",'Observaciones-SMP'!P20)</f>
        <v>Jefatura de Obra</v>
      </c>
      <c r="Q20" s="257">
        <f>IF('Observaciones-SMP'!S20="","",'Observaciones-SMP'!S20)</f>
        <v>46252</v>
      </c>
      <c r="R20" s="193" t="str">
        <f>IF('Observaciones-SMP'!T20="","",'Observaciones-SMP'!T20)</f>
        <v/>
      </c>
      <c r="S20" s="193" t="str">
        <f>""</f>
        <v/>
      </c>
      <c r="T20" s="193" t="str">
        <f>""</f>
        <v/>
      </c>
      <c r="U20" s="193">
        <f t="shared" si="0"/>
        <v>0</v>
      </c>
      <c r="V20" s="193" t="str">
        <f>""</f>
        <v/>
      </c>
      <c r="W20" s="193" t="str">
        <f>""</f>
        <v/>
      </c>
      <c r="X20" s="258">
        <f t="shared" si="1"/>
        <v>46235</v>
      </c>
      <c r="Y20" s="258">
        <f t="shared" si="2"/>
        <v>46235</v>
      </c>
      <c r="Z20" s="193">
        <f>IF(A20="","",IF(COUNTIF('Observaciones-SMP'!$A$2:$A$1001,A20)&gt;1,1,0))</f>
        <v>0</v>
      </c>
      <c r="AA20" s="193">
        <f t="shared" si="3"/>
        <v>0</v>
      </c>
    </row>
    <row r="21" spans="1:27" ht="13.5" customHeight="1" x14ac:dyDescent="0.3">
      <c r="A21" s="193" t="str">
        <f>IF('Observaciones-SMP'!A21="","",'Observaciones-SMP'!A21)</f>
        <v>2026-20</v>
      </c>
      <c r="B21" s="257">
        <f>IF('Observaciones-SMP'!B21="","",'Observaciones-SMP'!B21)</f>
        <v>46252</v>
      </c>
      <c r="C21" s="193" t="str">
        <f>IF('Observaciones-SMP'!C21="","",'Observaciones-SMP'!C21)</f>
        <v>Mario Acosta IEBC</v>
      </c>
      <c r="D21" s="193" t="str">
        <f>IF('Observaciones-SMP'!D21="","",'Observaciones-SMP'!D21)</f>
        <v>Área 1   Obrador</v>
      </c>
      <c r="E21" s="193" t="str">
        <f>IF('Observaciones-SMP'!E21="","",'Observaciones-SMP'!E21)</f>
        <v>Logística</v>
      </c>
      <c r="F21" s="193" t="str">
        <f>IF('Observaciones-SMP'!F21="","",'Observaciones-SMP'!F21)</f>
        <v>OPS</v>
      </c>
      <c r="G21" s="193" t="str">
        <f>IF('Observaciones-SMP'!G21="","",'Observaciones-SMP'!G21)</f>
        <v>Juan José Fernández (OPS)</v>
      </c>
      <c r="H21" s="193" t="str">
        <f>IF('Observaciones-SMP'!H21="","",'Observaciones-SMP'!H21)</f>
        <v>Montaje de PAT + medición.</v>
      </c>
      <c r="I21" s="193" t="str">
        <f>IF('Observaciones-SMP'!I21="","",'Observaciones-SMP'!I21)</f>
        <v>Desvío requisito legal</v>
      </c>
      <c r="J21" s="193" t="str">
        <f>IF('Observaciones-SMP'!J21="","",'Observaciones-SMP'!J21)</f>
        <v>Aislamiento de la Energía</v>
      </c>
      <c r="K21" s="193" t="str">
        <f>IF('Observaciones-SMP'!K21="","",'Observaciones-SMP'!K21)</f>
        <v>Otros</v>
      </c>
      <c r="L21" s="193" t="str">
        <f>IF('Observaciones-SMP'!L21="","",'Observaciones-SMP'!L21)</f>
        <v>Bajo</v>
      </c>
      <c r="M21" s="193" t="str">
        <f>IF('Observaciones-SMP'!M21="","",'Observaciones-SMP'!M21)</f>
        <v>Acción</v>
      </c>
      <c r="N21" s="193" t="str">
        <f>IF('Observaciones-SMP'!N21="","",'Observaciones-SMP'!N21)</f>
        <v>Si</v>
      </c>
      <c r="O21" s="193" t="str">
        <f>IF('Observaciones-SMP'!O21="","",'Observaciones-SMP'!O21)</f>
        <v>Cerrado</v>
      </c>
      <c r="P21" s="193" t="str">
        <f>IF('Observaciones-SMP'!P21="","",'Observaciones-SMP'!P21)</f>
        <v>Jefatura de Obra</v>
      </c>
      <c r="Q21" s="257">
        <f>IF('Observaciones-SMP'!S21="","",'Observaciones-SMP'!S21)</f>
        <v>46254</v>
      </c>
      <c r="R21" s="193" t="str">
        <f>IF('Observaciones-SMP'!T21="","",'Observaciones-SMP'!T21)</f>
        <v/>
      </c>
      <c r="S21" s="193" t="str">
        <f>""</f>
        <v/>
      </c>
      <c r="T21" s="193" t="str">
        <f>""</f>
        <v/>
      </c>
      <c r="U21" s="193">
        <f t="shared" si="0"/>
        <v>2</v>
      </c>
      <c r="V21" s="193" t="str">
        <f>""</f>
        <v/>
      </c>
      <c r="W21" s="193" t="str">
        <f>""</f>
        <v/>
      </c>
      <c r="X21" s="258">
        <f t="shared" si="1"/>
        <v>46235</v>
      </c>
      <c r="Y21" s="258">
        <f t="shared" si="2"/>
        <v>46235</v>
      </c>
      <c r="Z21" s="193">
        <f>IF(A21="","",IF(COUNTIF('Observaciones-SMP'!$A$2:$A$1001,A21)&gt;1,1,0))</f>
        <v>0</v>
      </c>
      <c r="AA21" s="193">
        <f t="shared" si="3"/>
        <v>2</v>
      </c>
    </row>
    <row r="22" spans="1:27" ht="13.5" customHeight="1" x14ac:dyDescent="0.3">
      <c r="A22" s="193" t="str">
        <f>IF('Observaciones-SMP'!A22="","",'Observaciones-SMP'!A22)</f>
        <v>2026-21</v>
      </c>
      <c r="B22" s="257">
        <f>IF('Observaciones-SMP'!B22="","",'Observaciones-SMP'!B22)</f>
        <v>46252</v>
      </c>
      <c r="C22" s="193" t="str">
        <f>IF('Observaciones-SMP'!C22="","",'Observaciones-SMP'!C22)</f>
        <v>Mario Acosta IEBC</v>
      </c>
      <c r="D22" s="193" t="str">
        <f>IF('Observaciones-SMP'!D22="","",'Observaciones-SMP'!D22)</f>
        <v>Área 1   Obrador</v>
      </c>
      <c r="E22" s="193" t="str">
        <f>IF('Observaciones-SMP'!E22="","",'Observaciones-SMP'!E22)</f>
        <v>Logística</v>
      </c>
      <c r="F22" s="193" t="str">
        <f>IF('Observaciones-SMP'!F22="","",'Observaciones-SMP'!F22)</f>
        <v>OPS</v>
      </c>
      <c r="G22" s="193" t="str">
        <f>IF('Observaciones-SMP'!G22="","",'Observaciones-SMP'!G22)</f>
        <v>Juan José Fernández (OPS)</v>
      </c>
      <c r="H22" s="193" t="str">
        <f>IF('Observaciones-SMP'!H22="","",'Observaciones-SMP'!H22)</f>
        <v>Carga de fuego.</v>
      </c>
      <c r="I22" s="193" t="str">
        <f>IF('Observaciones-SMP'!I22="","",'Observaciones-SMP'!I22)</f>
        <v>Desvío requisito legal</v>
      </c>
      <c r="J22" s="193" t="str">
        <f>IF('Observaciones-SMP'!J22="","",'Observaciones-SMP'!J22)</f>
        <v/>
      </c>
      <c r="K22" s="193" t="str">
        <f>IF('Observaciones-SMP'!K22="","",'Observaciones-SMP'!K22)</f>
        <v>Otros</v>
      </c>
      <c r="L22" s="193" t="str">
        <f>IF('Observaciones-SMP'!L22="","",'Observaciones-SMP'!L22)</f>
        <v>Bajo</v>
      </c>
      <c r="M22" s="193" t="str">
        <f>IF('Observaciones-SMP'!M22="","",'Observaciones-SMP'!M22)</f>
        <v>Acción</v>
      </c>
      <c r="N22" s="193" t="str">
        <f>IF('Observaciones-SMP'!N22="","",'Observaciones-SMP'!N22)</f>
        <v>Si</v>
      </c>
      <c r="O22" s="193" t="str">
        <f>IF('Observaciones-SMP'!O22="","",'Observaciones-SMP'!O22)</f>
        <v>En proceso</v>
      </c>
      <c r="P22" s="193" t="str">
        <f>IF('Observaciones-SMP'!P22="","",'Observaciones-SMP'!P22)</f>
        <v>SSA Contratista</v>
      </c>
      <c r="Q22" s="257" t="str">
        <f>IF('Observaciones-SMP'!S22="","",'Observaciones-SMP'!S22)</f>
        <v/>
      </c>
      <c r="R22" s="193" t="str">
        <f>IF('Observaciones-SMP'!T22="","",'Observaciones-SMP'!T22)</f>
        <v/>
      </c>
      <c r="S22" s="193" t="str">
        <f>""</f>
        <v/>
      </c>
      <c r="T22" s="193" t="str">
        <f>""</f>
        <v/>
      </c>
      <c r="U22" s="193" t="str">
        <f t="shared" si="0"/>
        <v/>
      </c>
      <c r="V22" s="193" t="str">
        <f>""</f>
        <v/>
      </c>
      <c r="W22" s="193" t="str">
        <f>""</f>
        <v/>
      </c>
      <c r="X22" s="258">
        <f t="shared" si="1"/>
        <v>46235</v>
      </c>
      <c r="Y22" s="258" t="str">
        <f t="shared" si="2"/>
        <v/>
      </c>
      <c r="Z22" s="193">
        <f>IF(A22="","",IF(COUNTIF('Observaciones-SMP'!$A$2:$A$1001,A22)&gt;1,1,0))</f>
        <v>0</v>
      </c>
      <c r="AA22" s="193">
        <f t="shared" si="3"/>
        <v>74</v>
      </c>
    </row>
    <row r="23" spans="1:27" ht="13.5" customHeight="1" x14ac:dyDescent="0.3">
      <c r="A23" s="193" t="str">
        <f>IF('Observaciones-SMP'!A23="","",'Observaciones-SMP'!A23)</f>
        <v>2026-22</v>
      </c>
      <c r="B23" s="257">
        <f>IF('Observaciones-SMP'!B23="","",'Observaciones-SMP'!B23)</f>
        <v>46252</v>
      </c>
      <c r="C23" s="193" t="str">
        <f>IF('Observaciones-SMP'!C23="","",'Observaciones-SMP'!C23)</f>
        <v>Mario Acosta IEBC</v>
      </c>
      <c r="D23" s="193" t="str">
        <f>IF('Observaciones-SMP'!D23="","",'Observaciones-SMP'!D23)</f>
        <v>Área 2   Est. Pesados</v>
      </c>
      <c r="E23" s="193" t="str">
        <f>IF('Observaciones-SMP'!E23="","",'Observaciones-SMP'!E23)</f>
        <v>Vehículos pesados y viales</v>
      </c>
      <c r="F23" s="193" t="str">
        <f>IF('Observaciones-SMP'!F23="","",'Observaciones-SMP'!F23)</f>
        <v>CAT Finning</v>
      </c>
      <c r="G23" s="193" t="str">
        <f>IF('Observaciones-SMP'!G23="","",'Observaciones-SMP'!G23)</f>
        <v>Lucas Antolínez (OPS MM)</v>
      </c>
      <c r="H23" s="193" t="str">
        <f>IF('Observaciones-SMP'!H23="","",'Observaciones-SMP'!H23)</f>
        <v>AST sin firmar</v>
      </c>
      <c r="I23" s="193" t="str">
        <f>IF('Observaciones-SMP'!I23="","",'Observaciones-SMP'!I23)</f>
        <v>Desvío requisito legal</v>
      </c>
      <c r="J23" s="193" t="str">
        <f>IF('Observaciones-SMP'!J23="","",'Observaciones-SMP'!J23)</f>
        <v>Permiso de trabajo</v>
      </c>
      <c r="K23" s="193" t="str">
        <f>IF('Observaciones-SMP'!K23="","",'Observaciones-SMP'!K23)</f>
        <v>ATS</v>
      </c>
      <c r="L23" s="193" t="str">
        <f>IF('Observaciones-SMP'!L23="","",'Observaciones-SMP'!L23)</f>
        <v>Bajo</v>
      </c>
      <c r="M23" s="193" t="str">
        <f>IF('Observaciones-SMP'!M23="","",'Observaciones-SMP'!M23)</f>
        <v>Completamiento de documentos</v>
      </c>
      <c r="N23" s="193" t="str">
        <f>IF('Observaciones-SMP'!N23="","",'Observaciones-SMP'!N23)</f>
        <v>Aporte de documentos/registros</v>
      </c>
      <c r="O23" s="193" t="str">
        <f>IF('Observaciones-SMP'!O23="","",'Observaciones-SMP'!O23)</f>
        <v>Cerrado</v>
      </c>
      <c r="P23" s="193" t="str">
        <f>IF('Observaciones-SMP'!P23="","",'Observaciones-SMP'!P23)</f>
        <v>SSA Contratista</v>
      </c>
      <c r="Q23" s="257">
        <f>IF('Observaciones-SMP'!S23="","",'Observaciones-SMP'!S23)</f>
        <v>46252</v>
      </c>
      <c r="R23" s="193" t="str">
        <f>IF('Observaciones-SMP'!T23="","",'Observaciones-SMP'!T23)</f>
        <v/>
      </c>
      <c r="S23" s="193" t="str">
        <f>""</f>
        <v/>
      </c>
      <c r="T23" s="193" t="str">
        <f>""</f>
        <v/>
      </c>
      <c r="U23" s="193">
        <f t="shared" si="0"/>
        <v>0</v>
      </c>
      <c r="V23" s="193" t="str">
        <f>""</f>
        <v/>
      </c>
      <c r="W23" s="193" t="str">
        <f>""</f>
        <v/>
      </c>
      <c r="X23" s="258">
        <f t="shared" si="1"/>
        <v>46235</v>
      </c>
      <c r="Y23" s="258">
        <f t="shared" si="2"/>
        <v>46235</v>
      </c>
      <c r="Z23" s="193">
        <f>IF(A23="","",IF(COUNTIF('Observaciones-SMP'!$A$2:$A$1001,A23)&gt;1,1,0))</f>
        <v>0</v>
      </c>
      <c r="AA23" s="193">
        <f t="shared" si="3"/>
        <v>0</v>
      </c>
    </row>
    <row r="24" spans="1:27" ht="13.5" customHeight="1" x14ac:dyDescent="0.3">
      <c r="A24" s="193" t="str">
        <f>IF('Observaciones-SMP'!A24="","",'Observaciones-SMP'!A24)</f>
        <v>2026-23</v>
      </c>
      <c r="B24" s="257">
        <f>IF('Observaciones-SMP'!B24="","",'Observaciones-SMP'!B24)</f>
        <v>46252</v>
      </c>
      <c r="C24" s="193" t="str">
        <f>IF('Observaciones-SMP'!C24="","",'Observaciones-SMP'!C24)</f>
        <v>Mario Acosta IEBC</v>
      </c>
      <c r="D24" s="193" t="str">
        <f>IF('Observaciones-SMP'!D24="","",'Observaciones-SMP'!D24)</f>
        <v>Área 1   Obrador</v>
      </c>
      <c r="E24" s="193" t="str">
        <f>IF('Observaciones-SMP'!E24="","",'Observaciones-SMP'!E24)</f>
        <v>Electricidad e Instrumentos</v>
      </c>
      <c r="F24" s="193" t="str">
        <f>IF('Observaciones-SMP'!F24="","",'Observaciones-SMP'!F24)</f>
        <v>OPS</v>
      </c>
      <c r="G24" s="193" t="str">
        <f>IF('Observaciones-SMP'!G24="","",'Observaciones-SMP'!G24)</f>
        <v>Electricidad e Instrumentos</v>
      </c>
      <c r="H24" s="193" t="str">
        <f>IF('Observaciones-SMP'!H24="","",'Observaciones-SMP'!H24)</f>
        <v>Herramientas manuales sin cinta de inspección mensual</v>
      </c>
      <c r="I24" s="193" t="str">
        <f>IF('Observaciones-SMP'!I24="","",'Observaciones-SMP'!I24)</f>
        <v>Condición subestándar</v>
      </c>
      <c r="J24" s="193" t="str">
        <f>IF('Observaciones-SMP'!J24="","",'Observaciones-SMP'!J24)</f>
        <v>Área de proyección y contacto</v>
      </c>
      <c r="K24" s="193" t="str">
        <f>IF('Observaciones-SMP'!K24="","",'Observaciones-SMP'!K24)</f>
        <v>Herramientas eléctricas y/o a baterias</v>
      </c>
      <c r="L24" s="193" t="str">
        <f>IF('Observaciones-SMP'!L24="","",'Observaciones-SMP'!L24)</f>
        <v>Bajo</v>
      </c>
      <c r="M24" s="193" t="str">
        <f>IF('Observaciones-SMP'!M24="","",'Observaciones-SMP'!M24)</f>
        <v>Inspección de equipos y herramientas</v>
      </c>
      <c r="N24" s="193" t="str">
        <f>IF('Observaciones-SMP'!N24="","",'Observaciones-SMP'!N24)</f>
        <v>No</v>
      </c>
      <c r="O24" s="193" t="str">
        <f>IF('Observaciones-SMP'!O24="","",'Observaciones-SMP'!O24)</f>
        <v>Cerrado</v>
      </c>
      <c r="P24" s="193" t="str">
        <f>IF('Observaciones-SMP'!P24="","",'Observaciones-SMP'!P24)</f>
        <v>SSA Contratista</v>
      </c>
      <c r="Q24" s="257">
        <f>IF('Observaciones-SMP'!S24="","",'Observaciones-SMP'!S24)</f>
        <v>46254</v>
      </c>
      <c r="R24" s="193" t="str">
        <f>IF('Observaciones-SMP'!T24="","",'Observaciones-SMP'!T24)</f>
        <v/>
      </c>
      <c r="S24" s="193" t="str">
        <f>""</f>
        <v/>
      </c>
      <c r="T24" s="193" t="str">
        <f>""</f>
        <v/>
      </c>
      <c r="U24" s="193">
        <f t="shared" si="0"/>
        <v>2</v>
      </c>
      <c r="V24" s="193" t="str">
        <f>""</f>
        <v/>
      </c>
      <c r="W24" s="193" t="str">
        <f>""</f>
        <v/>
      </c>
      <c r="X24" s="258">
        <f t="shared" si="1"/>
        <v>46235</v>
      </c>
      <c r="Y24" s="258">
        <f t="shared" si="2"/>
        <v>46235</v>
      </c>
      <c r="Z24" s="193">
        <f>IF(A24="","",IF(COUNTIF('Observaciones-SMP'!$A$2:$A$1001,A24)&gt;1,1,0))</f>
        <v>0</v>
      </c>
      <c r="AA24" s="193">
        <f t="shared" si="3"/>
        <v>2</v>
      </c>
    </row>
    <row r="25" spans="1:27" ht="13.5" customHeight="1" x14ac:dyDescent="0.3">
      <c r="A25" s="193" t="str">
        <f>IF('Observaciones-SMP'!A25="","",'Observaciones-SMP'!A25)</f>
        <v>2026-24</v>
      </c>
      <c r="B25" s="257">
        <f>IF('Observaciones-SMP'!B25="","",'Observaciones-SMP'!B25)</f>
        <v>46252</v>
      </c>
      <c r="C25" s="193" t="str">
        <f>IF('Observaciones-SMP'!C25="","",'Observaciones-SMP'!C25)</f>
        <v>Mario Acosta IEBC</v>
      </c>
      <c r="D25" s="193" t="str">
        <f>IF('Observaciones-SMP'!D25="","",'Observaciones-SMP'!D25)</f>
        <v>Área 11 Plataforma de PC</v>
      </c>
      <c r="E25" s="193" t="str">
        <f>IF('Observaciones-SMP'!E25="","",'Observaciones-SMP'!E25)</f>
        <v>Laboratorio  civil</v>
      </c>
      <c r="F25" s="193" t="str">
        <f>IF('Observaciones-SMP'!F25="","",'Observaciones-SMP'!F25)</f>
        <v>OPS</v>
      </c>
      <c r="G25" s="193" t="str">
        <f>IF('Observaciones-SMP'!G25="","",'Observaciones-SMP'!G25)</f>
        <v>Civil</v>
      </c>
      <c r="H25" s="193" t="str">
        <f>IF('Observaciones-SMP'!H25="","",'Observaciones-SMP'!H25)</f>
        <v>Uso de corta frio sin protección en manos, manopla.</v>
      </c>
      <c r="I25" s="193" t="str">
        <f>IF('Observaciones-SMP'!I25="","",'Observaciones-SMP'!I25)</f>
        <v>Condición subestándar</v>
      </c>
      <c r="J25" s="193" t="str">
        <f>IF('Observaciones-SMP'!J25="","",'Observaciones-SMP'!J25)</f>
        <v>Área de proyección y contacto</v>
      </c>
      <c r="K25" s="193" t="str">
        <f>IF('Observaciones-SMP'!K25="","",'Observaciones-SMP'!K25)</f>
        <v>Uso de EPP especifico</v>
      </c>
      <c r="L25" s="193" t="str">
        <f>IF('Observaciones-SMP'!L25="","",'Observaciones-SMP'!L25)</f>
        <v>Medio</v>
      </c>
      <c r="M25" s="193" t="str">
        <f>IF('Observaciones-SMP'!M25="","",'Observaciones-SMP'!M25)</f>
        <v>Proveer elementos faltantes</v>
      </c>
      <c r="N25" s="193" t="str">
        <f>IF('Observaciones-SMP'!N25="","",'Observaciones-SMP'!N25)</f>
        <v>No</v>
      </c>
      <c r="O25" s="193" t="str">
        <f>IF('Observaciones-SMP'!O25="","",'Observaciones-SMP'!O25)</f>
        <v>En proceso</v>
      </c>
      <c r="P25" s="193" t="str">
        <f>IF('Observaciones-SMP'!P25="","",'Observaciones-SMP'!P25)</f>
        <v>SSA Contratista</v>
      </c>
      <c r="Q25" s="257" t="str">
        <f>IF('Observaciones-SMP'!S25="","",'Observaciones-SMP'!S25)</f>
        <v/>
      </c>
      <c r="R25" s="193" t="str">
        <f>IF('Observaciones-SMP'!T25="","",'Observaciones-SMP'!T25)</f>
        <v/>
      </c>
      <c r="S25" s="193" t="str">
        <f>""</f>
        <v/>
      </c>
      <c r="T25" s="193" t="str">
        <f>""</f>
        <v/>
      </c>
      <c r="U25" s="193" t="str">
        <f t="shared" si="0"/>
        <v/>
      </c>
      <c r="V25" s="193" t="str">
        <f>""</f>
        <v/>
      </c>
      <c r="W25" s="193" t="str">
        <f>""</f>
        <v/>
      </c>
      <c r="X25" s="258">
        <f t="shared" si="1"/>
        <v>46235</v>
      </c>
      <c r="Y25" s="258" t="str">
        <f t="shared" si="2"/>
        <v/>
      </c>
      <c r="Z25" s="193">
        <f>IF(A25="","",IF(COUNTIF('Observaciones-SMP'!$A$2:$A$1001,A25)&gt;1,1,0))</f>
        <v>0</v>
      </c>
      <c r="AA25" s="193">
        <f t="shared" si="3"/>
        <v>74</v>
      </c>
    </row>
    <row r="26" spans="1:27" ht="13.5" customHeight="1" x14ac:dyDescent="0.3">
      <c r="A26" s="193" t="str">
        <f>IF('Observaciones-SMP'!A26="","",'Observaciones-SMP'!A26)</f>
        <v>2026-25</v>
      </c>
      <c r="B26" s="257">
        <f>IF('Observaciones-SMP'!B26="","",'Observaciones-SMP'!B26)</f>
        <v>46252</v>
      </c>
      <c r="C26" s="193" t="str">
        <f>IF('Observaciones-SMP'!C26="","",'Observaciones-SMP'!C26)</f>
        <v>Mario Acosta IEBC</v>
      </c>
      <c r="D26" s="193" t="str">
        <f>IF('Observaciones-SMP'!D26="","",'Observaciones-SMP'!D26)</f>
        <v>Área 11 Plataforma de PC</v>
      </c>
      <c r="E26" s="193" t="str">
        <f>IF('Observaciones-SMP'!E26="","",'Observaciones-SMP'!E26)</f>
        <v>Laboratorio  civil</v>
      </c>
      <c r="F26" s="193" t="str">
        <f>IF('Observaciones-SMP'!F26="","",'Observaciones-SMP'!F26)</f>
        <v>OPS</v>
      </c>
      <c r="G26" s="193" t="str">
        <f>IF('Observaciones-SMP'!G26="","",'Observaciones-SMP'!G26)</f>
        <v>Civil</v>
      </c>
      <c r="H26" s="193" t="str">
        <f>IF('Observaciones-SMP'!H26="","",'Observaciones-SMP'!H26)</f>
        <v>Uso de caja de herramientas como banqueta.</v>
      </c>
      <c r="I26" s="193" t="str">
        <f>IF('Observaciones-SMP'!I26="","",'Observaciones-SMP'!I26)</f>
        <v>Condición subestándar</v>
      </c>
      <c r="J26" s="193" t="str">
        <f>IF('Observaciones-SMP'!J26="","",'Observaciones-SMP'!J26)</f>
        <v>Área de proyección y contacto</v>
      </c>
      <c r="K26" s="193" t="str">
        <f>IF('Observaciones-SMP'!K26="","",'Observaciones-SMP'!K26)</f>
        <v>Otros</v>
      </c>
      <c r="L26" s="193" t="str">
        <f>IF('Observaciones-SMP'!L26="","",'Observaciones-SMP'!L26)</f>
        <v>Bajo</v>
      </c>
      <c r="M26" s="193" t="str">
        <f>IF('Observaciones-SMP'!M26="","",'Observaciones-SMP'!M26)</f>
        <v>Proveer elementos faltantes</v>
      </c>
      <c r="N26" s="193" t="str">
        <f>IF('Observaciones-SMP'!N26="","",'Observaciones-SMP'!N26)</f>
        <v>No</v>
      </c>
      <c r="O26" s="193" t="str">
        <f>IF('Observaciones-SMP'!O26="","",'Observaciones-SMP'!O26)</f>
        <v>Cerrado</v>
      </c>
      <c r="P26" s="193" t="str">
        <f>IF('Observaciones-SMP'!P26="","",'Observaciones-SMP'!P26)</f>
        <v>SSA Contratista</v>
      </c>
      <c r="Q26" s="257">
        <f>IF('Observaciones-SMP'!S26="","",'Observaciones-SMP'!S26)</f>
        <v>46253</v>
      </c>
      <c r="R26" s="193" t="str">
        <f>IF('Observaciones-SMP'!T26="","",'Observaciones-SMP'!T26)</f>
        <v/>
      </c>
      <c r="S26" s="193" t="str">
        <f>""</f>
        <v/>
      </c>
      <c r="T26" s="193" t="str">
        <f>""</f>
        <v/>
      </c>
      <c r="U26" s="193">
        <f t="shared" si="0"/>
        <v>1</v>
      </c>
      <c r="V26" s="193" t="str">
        <f>""</f>
        <v/>
      </c>
      <c r="W26" s="193" t="str">
        <f>""</f>
        <v/>
      </c>
      <c r="X26" s="258">
        <f t="shared" si="1"/>
        <v>46235</v>
      </c>
      <c r="Y26" s="258">
        <f t="shared" si="2"/>
        <v>46235</v>
      </c>
      <c r="Z26" s="193">
        <f>IF(A26="","",IF(COUNTIF('Observaciones-SMP'!$A$2:$A$1001,A26)&gt;1,1,0))</f>
        <v>0</v>
      </c>
      <c r="AA26" s="193">
        <f t="shared" si="3"/>
        <v>1</v>
      </c>
    </row>
    <row r="27" spans="1:27" ht="13.5" customHeight="1" x14ac:dyDescent="0.3">
      <c r="A27" s="193" t="str">
        <f>IF('Observaciones-SMP'!A27="","",'Observaciones-SMP'!A27)</f>
        <v>2026-26</v>
      </c>
      <c r="B27" s="257">
        <f>IF('Observaciones-SMP'!B27="","",'Observaciones-SMP'!B27)</f>
        <v>46252</v>
      </c>
      <c r="C27" s="193" t="str">
        <f>IF('Observaciones-SMP'!C27="","",'Observaciones-SMP'!C27)</f>
        <v>Mario Acosta IEBC</v>
      </c>
      <c r="D27" s="193" t="str">
        <f>IF('Observaciones-SMP'!D27="","",'Observaciones-SMP'!D27)</f>
        <v>Área 6   Lab.- baños</v>
      </c>
      <c r="E27" s="193" t="str">
        <f>IF('Observaciones-SMP'!E27="","",'Observaciones-SMP'!E27)</f>
        <v>Logística</v>
      </c>
      <c r="F27" s="193" t="str">
        <f>IF('Observaciones-SMP'!F27="","",'Observaciones-SMP'!F27)</f>
        <v>OPS</v>
      </c>
      <c r="G27" s="193" t="str">
        <f>IF('Observaciones-SMP'!G27="","",'Observaciones-SMP'!G27)</f>
        <v>Logística</v>
      </c>
      <c r="H27" s="193" t="str">
        <f>IF('Observaciones-SMP'!H27="","",'Observaciones-SMP'!H27)</f>
        <v>Falta de agua en baños. Bomba de agua rota.</v>
      </c>
      <c r="I27" s="193" t="str">
        <f>IF('Observaciones-SMP'!I27="","",'Observaciones-SMP'!I27)</f>
        <v>Condición subestándar</v>
      </c>
      <c r="J27" s="193" t="str">
        <f>IF('Observaciones-SMP'!J27="","",'Observaciones-SMP'!J27)</f>
        <v>Compromiso compartido</v>
      </c>
      <c r="K27" s="193" t="str">
        <f>IF('Observaciones-SMP'!K27="","",'Observaciones-SMP'!K27)</f>
        <v>Orden y limpieza</v>
      </c>
      <c r="L27" s="193" t="str">
        <f>IF('Observaciones-SMP'!L27="","",'Observaciones-SMP'!L27)</f>
        <v>Bajo</v>
      </c>
      <c r="M27" s="193" t="str">
        <f>IF('Observaciones-SMP'!M27="","",'Observaciones-SMP'!M27)</f>
        <v>Retiro de elemento dañado</v>
      </c>
      <c r="N27" s="193" t="str">
        <f>IF('Observaciones-SMP'!N27="","",'Observaciones-SMP'!N27)</f>
        <v>No</v>
      </c>
      <c r="O27" s="193" t="str">
        <f>IF('Observaciones-SMP'!O27="","",'Observaciones-SMP'!O27)</f>
        <v>Cerrado</v>
      </c>
      <c r="P27" s="193" t="str">
        <f>IF('Observaciones-SMP'!P27="","",'Observaciones-SMP'!P27)</f>
        <v>SSA Contratista</v>
      </c>
      <c r="Q27" s="257">
        <f>IF('Observaciones-SMP'!S27="","",'Observaciones-SMP'!S27)</f>
        <v>46253</v>
      </c>
      <c r="R27" s="193" t="str">
        <f>IF('Observaciones-SMP'!T27="","",'Observaciones-SMP'!T27)</f>
        <v/>
      </c>
      <c r="S27" s="193" t="str">
        <f>""</f>
        <v/>
      </c>
      <c r="T27" s="193" t="str">
        <f>""</f>
        <v/>
      </c>
      <c r="U27" s="193">
        <f t="shared" si="0"/>
        <v>1</v>
      </c>
      <c r="V27" s="193" t="str">
        <f>""</f>
        <v/>
      </c>
      <c r="W27" s="193" t="str">
        <f>""</f>
        <v/>
      </c>
      <c r="X27" s="258">
        <f t="shared" si="1"/>
        <v>46235</v>
      </c>
      <c r="Y27" s="258">
        <f t="shared" si="2"/>
        <v>46235</v>
      </c>
      <c r="Z27" s="193">
        <f>IF(A27="","",IF(COUNTIF('Observaciones-SMP'!$A$2:$A$1001,A27)&gt;1,1,0))</f>
        <v>0</v>
      </c>
      <c r="AA27" s="193">
        <f t="shared" si="3"/>
        <v>1</v>
      </c>
    </row>
    <row r="28" spans="1:27" ht="13.5" customHeight="1" x14ac:dyDescent="0.3">
      <c r="A28" s="193" t="str">
        <f>IF('Observaciones-SMP'!A28="","",'Observaciones-SMP'!A28)</f>
        <v>2026-27</v>
      </c>
      <c r="B28" s="257">
        <f>IF('Observaciones-SMP'!B28="","",'Observaciones-SMP'!B28)</f>
        <v>46252</v>
      </c>
      <c r="C28" s="193" t="str">
        <f>IF('Observaciones-SMP'!C28="","",'Observaciones-SMP'!C28)</f>
        <v>Mario Acosta IEBC</v>
      </c>
      <c r="D28" s="193" t="str">
        <f>IF('Observaciones-SMP'!D28="","",'Observaciones-SMP'!D28)</f>
        <v>Área 8   Periferia</v>
      </c>
      <c r="E28" s="193" t="str">
        <f>IF('Observaciones-SMP'!E28="","",'Observaciones-SMP'!E28)</f>
        <v>Civil</v>
      </c>
      <c r="F28" s="193" t="str">
        <f>IF('Observaciones-SMP'!F28="","",'Observaciones-SMP'!F28)</f>
        <v>OPS</v>
      </c>
      <c r="G28" s="193" t="str">
        <f>IF('Observaciones-SMP'!G28="","",'Observaciones-SMP'!G28)</f>
        <v>Civil</v>
      </c>
      <c r="H28" s="193" t="str">
        <f>IF('Observaciones-SMP'!H28="","",'Observaciones-SMP'!H28)</f>
        <v>Acumulación de residuos en el perímetro de la obra.</v>
      </c>
      <c r="I28" s="193" t="str">
        <f>IF('Observaciones-SMP'!I28="","",'Observaciones-SMP'!I28)</f>
        <v>Condición subestándar</v>
      </c>
      <c r="J28" s="193" t="str">
        <f>IF('Observaciones-SMP'!J28="","",'Observaciones-SMP'!J28)</f>
        <v>Compromiso compartido</v>
      </c>
      <c r="K28" s="193" t="str">
        <f>IF('Observaciones-SMP'!K28="","",'Observaciones-SMP'!K28)</f>
        <v>Orden y limpieza</v>
      </c>
      <c r="L28" s="193" t="str">
        <f>IF('Observaciones-SMP'!L28="","",'Observaciones-SMP'!L28)</f>
        <v>Bajo</v>
      </c>
      <c r="M28" s="193" t="str">
        <f>IF('Observaciones-SMP'!M28="","",'Observaciones-SMP'!M28)</f>
        <v>Reacondicionar sector</v>
      </c>
      <c r="N28" s="193" t="str">
        <f>IF('Observaciones-SMP'!N28="","",'Observaciones-SMP'!N28)</f>
        <v>No</v>
      </c>
      <c r="O28" s="193" t="str">
        <f>IF('Observaciones-SMP'!O28="","",'Observaciones-SMP'!O28)</f>
        <v>Cerrado</v>
      </c>
      <c r="P28" s="193" t="str">
        <f>IF('Observaciones-SMP'!P28="","",'Observaciones-SMP'!P28)</f>
        <v>SSA Contratista</v>
      </c>
      <c r="Q28" s="257">
        <f>IF('Observaciones-SMP'!S28="","",'Observaciones-SMP'!S28)</f>
        <v>46253</v>
      </c>
      <c r="R28" s="193" t="str">
        <f>IF('Observaciones-SMP'!T28="","",'Observaciones-SMP'!T28)</f>
        <v/>
      </c>
      <c r="S28" s="193" t="str">
        <f>""</f>
        <v/>
      </c>
      <c r="T28" s="193" t="str">
        <f>""</f>
        <v/>
      </c>
      <c r="U28" s="193">
        <f t="shared" si="0"/>
        <v>1</v>
      </c>
      <c r="V28" s="193" t="str">
        <f>""</f>
        <v/>
      </c>
      <c r="W28" s="193" t="str">
        <f>""</f>
        <v/>
      </c>
      <c r="X28" s="258">
        <f t="shared" si="1"/>
        <v>46235</v>
      </c>
      <c r="Y28" s="258">
        <f t="shared" si="2"/>
        <v>46235</v>
      </c>
      <c r="Z28" s="193">
        <f>IF(A28="","",IF(COUNTIF('Observaciones-SMP'!$A$2:$A$1001,A28)&gt;1,1,0))</f>
        <v>0</v>
      </c>
      <c r="AA28" s="193">
        <f t="shared" si="3"/>
        <v>1</v>
      </c>
    </row>
    <row r="29" spans="1:27" ht="13.5" customHeight="1" x14ac:dyDescent="0.3">
      <c r="A29" s="193" t="str">
        <f>IF('Observaciones-SMP'!A29="","",'Observaciones-SMP'!A29)</f>
        <v>2026-28</v>
      </c>
      <c r="B29" s="257">
        <f>IF('Observaciones-SMP'!B29="","",'Observaciones-SMP'!B29)</f>
        <v>46253</v>
      </c>
      <c r="C29" s="193" t="str">
        <f>IF('Observaciones-SMP'!C29="","",'Observaciones-SMP'!C29)</f>
        <v>Mario Acosta IEBC</v>
      </c>
      <c r="D29" s="193" t="str">
        <f>IF('Observaciones-SMP'!D29="","",'Observaciones-SMP'!D29)</f>
        <v>Área 1   Obrador</v>
      </c>
      <c r="E29" s="193" t="str">
        <f>IF('Observaciones-SMP'!E29="","",'Observaciones-SMP'!E29)</f>
        <v>Pañol</v>
      </c>
      <c r="F29" s="193" t="str">
        <f>IF('Observaciones-SMP'!F29="","",'Observaciones-SMP'!F29)</f>
        <v>OPS</v>
      </c>
      <c r="G29" s="193" t="str">
        <f>IF('Observaciones-SMP'!G29="","",'Observaciones-SMP'!G29)</f>
        <v>Romina Segura (OPS)</v>
      </c>
      <c r="H29" s="193" t="str">
        <f>IF('Observaciones-SMP'!H29="","",'Observaciones-SMP'!H29)</f>
        <v>ATS sin confeccionar a las 09:00 hs</v>
      </c>
      <c r="I29" s="193" t="str">
        <f>IF('Observaciones-SMP'!I29="","",'Observaciones-SMP'!I29)</f>
        <v>Acto Subestándar</v>
      </c>
      <c r="J29" s="193" t="str">
        <f>IF('Observaciones-SMP'!J29="","",'Observaciones-SMP'!J29)</f>
        <v>Compromiso compartido</v>
      </c>
      <c r="K29" s="193" t="str">
        <f>IF('Observaciones-SMP'!K29="","",'Observaciones-SMP'!K29)</f>
        <v>ATS</v>
      </c>
      <c r="L29" s="193" t="str">
        <f>IF('Observaciones-SMP'!L29="","",'Observaciones-SMP'!L29)</f>
        <v>Bajo</v>
      </c>
      <c r="M29" s="193" t="str">
        <f>IF('Observaciones-SMP'!M29="","",'Observaciones-SMP'!M29)</f>
        <v>Completamiento de documentos</v>
      </c>
      <c r="N29" s="193" t="str">
        <f>IF('Observaciones-SMP'!N29="","",'Observaciones-SMP'!N29)</f>
        <v>Aporte de documentos/registros</v>
      </c>
      <c r="O29" s="193" t="str">
        <f>IF('Observaciones-SMP'!O29="","",'Observaciones-SMP'!O29)</f>
        <v>Cerrado</v>
      </c>
      <c r="P29" s="193" t="str">
        <f>IF('Observaciones-SMP'!P29="","",'Observaciones-SMP'!P29)</f>
        <v>SSA Contratista</v>
      </c>
      <c r="Q29" s="257">
        <f>IF('Observaciones-SMP'!S29="","",'Observaciones-SMP'!S29)</f>
        <v>46254</v>
      </c>
      <c r="R29" s="193" t="str">
        <f>IF('Observaciones-SMP'!T29="","",'Observaciones-SMP'!T29)</f>
        <v/>
      </c>
      <c r="S29" s="193" t="str">
        <f>""</f>
        <v/>
      </c>
      <c r="T29" s="193" t="str">
        <f>""</f>
        <v/>
      </c>
      <c r="U29" s="193">
        <f t="shared" si="0"/>
        <v>1</v>
      </c>
      <c r="V29" s="193" t="str">
        <f>""</f>
        <v/>
      </c>
      <c r="W29" s="193" t="str">
        <f>""</f>
        <v/>
      </c>
      <c r="X29" s="258">
        <f t="shared" si="1"/>
        <v>46235</v>
      </c>
      <c r="Y29" s="258">
        <f t="shared" si="2"/>
        <v>46235</v>
      </c>
      <c r="Z29" s="193">
        <f>IF(A29="","",IF(COUNTIF('Observaciones-SMP'!$A$2:$A$1001,A29)&gt;1,1,0))</f>
        <v>0</v>
      </c>
      <c r="AA29" s="193">
        <f t="shared" si="3"/>
        <v>1</v>
      </c>
    </row>
    <row r="30" spans="1:27" ht="13.5" customHeight="1" x14ac:dyDescent="0.3">
      <c r="A30" s="193" t="str">
        <f>IF('Observaciones-SMP'!A30="","",'Observaciones-SMP'!A30)</f>
        <v>2026-29</v>
      </c>
      <c r="B30" s="257">
        <f>IF('Observaciones-SMP'!B30="","",'Observaciones-SMP'!B30)</f>
        <v>46253</v>
      </c>
      <c r="C30" s="193" t="str">
        <f>IF('Observaciones-SMP'!C30="","",'Observaciones-SMP'!C30)</f>
        <v>Mario Acosta IEBC</v>
      </c>
      <c r="D30" s="193" t="str">
        <f>IF('Observaciones-SMP'!D30="","",'Observaciones-SMP'!D30)</f>
        <v>Área 1   Obrador</v>
      </c>
      <c r="E30" s="193" t="str">
        <f>IF('Observaciones-SMP'!E30="","",'Observaciones-SMP'!E30)</f>
        <v>Pañol</v>
      </c>
      <c r="F30" s="193" t="str">
        <f>IF('Observaciones-SMP'!F30="","",'Observaciones-SMP'!F30)</f>
        <v>OPS</v>
      </c>
      <c r="G30" s="193" t="str">
        <f>IF('Observaciones-SMP'!G30="","",'Observaciones-SMP'!G30)</f>
        <v>Romina Segura (OPS)</v>
      </c>
      <c r="H30" s="193" t="str">
        <f>IF('Observaciones-SMP'!H30="","",'Observaciones-SMP'!H30)</f>
        <v>Equipos y herramientas sin inspeccionar.</v>
      </c>
      <c r="I30" s="193" t="str">
        <f>IF('Observaciones-SMP'!I30="","",'Observaciones-SMP'!I30)</f>
        <v>Condición subestándar</v>
      </c>
      <c r="J30" s="193" t="str">
        <f>IF('Observaciones-SMP'!J30="","",'Observaciones-SMP'!J30)</f>
        <v>Compromiso compartido</v>
      </c>
      <c r="K30" s="193" t="str">
        <f>IF('Observaciones-SMP'!K30="","",'Observaciones-SMP'!K30)</f>
        <v>Herramientas eléctricas y/o a baterias</v>
      </c>
      <c r="L30" s="193" t="str">
        <f>IF('Observaciones-SMP'!L30="","",'Observaciones-SMP'!L30)</f>
        <v>Bajo</v>
      </c>
      <c r="M30" s="193" t="str">
        <f>IF('Observaciones-SMP'!M30="","",'Observaciones-SMP'!M30)</f>
        <v>Inspección de equipos y herramientas</v>
      </c>
      <c r="N30" s="193" t="str">
        <f>IF('Observaciones-SMP'!N30="","",'Observaciones-SMP'!N30)</f>
        <v>No</v>
      </c>
      <c r="O30" s="193" t="str">
        <f>IF('Observaciones-SMP'!O30="","",'Observaciones-SMP'!O30)</f>
        <v>Cerrado</v>
      </c>
      <c r="P30" s="193" t="str">
        <f>IF('Observaciones-SMP'!P30="","",'Observaciones-SMP'!P30)</f>
        <v>SSA Contratista</v>
      </c>
      <c r="Q30" s="257">
        <f>IF('Observaciones-SMP'!S30="","",'Observaciones-SMP'!S30)</f>
        <v>46255</v>
      </c>
      <c r="R30" s="193" t="str">
        <f>IF('Observaciones-SMP'!T30="","",'Observaciones-SMP'!T30)</f>
        <v/>
      </c>
      <c r="S30" s="193" t="str">
        <f>""</f>
        <v/>
      </c>
      <c r="T30" s="193" t="str">
        <f>""</f>
        <v/>
      </c>
      <c r="U30" s="193">
        <f t="shared" si="0"/>
        <v>2</v>
      </c>
      <c r="V30" s="193" t="str">
        <f>""</f>
        <v/>
      </c>
      <c r="W30" s="193" t="str">
        <f>""</f>
        <v/>
      </c>
      <c r="X30" s="258">
        <f t="shared" si="1"/>
        <v>46235</v>
      </c>
      <c r="Y30" s="258">
        <f t="shared" si="2"/>
        <v>46235</v>
      </c>
      <c r="Z30" s="193">
        <f>IF(A30="","",IF(COUNTIF('Observaciones-SMP'!$A$2:$A$1001,A30)&gt;1,1,0))</f>
        <v>0</v>
      </c>
      <c r="AA30" s="193">
        <f t="shared" si="3"/>
        <v>2</v>
      </c>
    </row>
    <row r="31" spans="1:27" ht="13.5" customHeight="1" x14ac:dyDescent="0.3">
      <c r="A31" s="193" t="str">
        <f>IF('Observaciones-SMP'!A31="","",'Observaciones-SMP'!A31)</f>
        <v>2026-30</v>
      </c>
      <c r="B31" s="257">
        <f>IF('Observaciones-SMP'!B31="","",'Observaciones-SMP'!B31)</f>
        <v>46254</v>
      </c>
      <c r="C31" s="193" t="str">
        <f>IF('Observaciones-SMP'!C31="","",'Observaciones-SMP'!C31)</f>
        <v>Mario Acosta IEBC</v>
      </c>
      <c r="D31" s="193" t="str">
        <f>IF('Observaciones-SMP'!D31="","",'Observaciones-SMP'!D31)</f>
        <v>Área 12 Ingreso desde Ruta N° 6</v>
      </c>
      <c r="E31" s="193" t="str">
        <f>IF('Observaciones-SMP'!E31="","",'Observaciones-SMP'!E31)</f>
        <v>Logística</v>
      </c>
      <c r="F31" s="193" t="str">
        <f>IF('Observaciones-SMP'!F31="","",'Observaciones-SMP'!F31)</f>
        <v>OPS</v>
      </c>
      <c r="G31" s="193" t="str">
        <f>IF('Observaciones-SMP'!G31="","",'Observaciones-SMP'!G31)</f>
        <v>Juan José Fernández (OPS)</v>
      </c>
      <c r="H31" s="193" t="str">
        <f>IF('Observaciones-SMP'!H31="","",'Observaciones-SMP'!H31)</f>
        <v>Acumulación de residuos en zona mencionada</v>
      </c>
      <c r="I31" s="193" t="str">
        <f>IF('Observaciones-SMP'!I31="","",'Observaciones-SMP'!I31)</f>
        <v>Condición subestándar</v>
      </c>
      <c r="J31" s="193" t="str">
        <f>IF('Observaciones-SMP'!J31="","",'Observaciones-SMP'!J31)</f>
        <v>Compromiso compartido</v>
      </c>
      <c r="K31" s="193" t="str">
        <f>IF('Observaciones-SMP'!K31="","",'Observaciones-SMP'!K31)</f>
        <v>Orden y limpieza</v>
      </c>
      <c r="L31" s="193" t="str">
        <f>IF('Observaciones-SMP'!L31="","",'Observaciones-SMP'!L31)</f>
        <v>Bajo</v>
      </c>
      <c r="M31" s="193" t="str">
        <f>IF('Observaciones-SMP'!M31="","",'Observaciones-SMP'!M31)</f>
        <v>Charla / Capacitación</v>
      </c>
      <c r="N31" s="193" t="str">
        <f>IF('Observaciones-SMP'!N31="","",'Observaciones-SMP'!N31)</f>
        <v>Si</v>
      </c>
      <c r="O31" s="193" t="str">
        <f>IF('Observaciones-SMP'!O31="","",'Observaciones-SMP'!O31)</f>
        <v>Cerrado</v>
      </c>
      <c r="P31" s="193" t="str">
        <f>IF('Observaciones-SMP'!P31="","",'Observaciones-SMP'!P31)</f>
        <v>Jefatura de Obra</v>
      </c>
      <c r="Q31" s="257">
        <f>IF('Observaciones-SMP'!S31="","",'Observaciones-SMP'!S31)</f>
        <v>46254</v>
      </c>
      <c r="R31" s="193" t="str">
        <f>IF('Observaciones-SMP'!T31="","",'Observaciones-SMP'!T31)</f>
        <v/>
      </c>
      <c r="S31" s="193" t="str">
        <f>""</f>
        <v/>
      </c>
      <c r="T31" s="193" t="str">
        <f>""</f>
        <v/>
      </c>
      <c r="U31" s="193">
        <f t="shared" si="0"/>
        <v>0</v>
      </c>
      <c r="V31" s="193" t="str">
        <f>""</f>
        <v/>
      </c>
      <c r="W31" s="193" t="str">
        <f>""</f>
        <v/>
      </c>
      <c r="X31" s="258">
        <f t="shared" si="1"/>
        <v>46235</v>
      </c>
      <c r="Y31" s="258">
        <f t="shared" si="2"/>
        <v>46235</v>
      </c>
      <c r="Z31" s="193">
        <f>IF(A31="","",IF(COUNTIF('Observaciones-SMP'!$A$2:$A$1001,A31)&gt;1,1,0))</f>
        <v>0</v>
      </c>
      <c r="AA31" s="193">
        <f t="shared" si="3"/>
        <v>0</v>
      </c>
    </row>
    <row r="32" spans="1:27" ht="13.5" customHeight="1" x14ac:dyDescent="0.3">
      <c r="A32" s="193" t="str">
        <f>IF('Observaciones-SMP'!A32="","",'Observaciones-SMP'!A32)</f>
        <v>2026-31</v>
      </c>
      <c r="B32" s="257">
        <f>IF('Observaciones-SMP'!B32="","",'Observaciones-SMP'!B32)</f>
        <v>46254</v>
      </c>
      <c r="C32" s="193" t="str">
        <f>IF('Observaciones-SMP'!C32="","",'Observaciones-SMP'!C32)</f>
        <v>Mario Acosta IEBC</v>
      </c>
      <c r="D32" s="193" t="str">
        <f>IF('Observaciones-SMP'!D32="","",'Observaciones-SMP'!D32)</f>
        <v>Área 11 Plataforma de PC</v>
      </c>
      <c r="E32" s="193" t="str">
        <f>IF('Observaciones-SMP'!E32="","",'Observaciones-SMP'!E32)</f>
        <v>Vehículos pesados y viales</v>
      </c>
      <c r="F32" s="193" t="str">
        <f>IF('Observaciones-SMP'!F32="","",'Observaciones-SMP'!F32)</f>
        <v>OPS</v>
      </c>
      <c r="G32" s="193" t="str">
        <f>IF('Observaciones-SMP'!G32="","",'Observaciones-SMP'!G32)</f>
        <v>Civil</v>
      </c>
      <c r="H32" s="193" t="str">
        <f>IF('Observaciones-SMP'!H32="","",'Observaciones-SMP'!H32)</f>
        <v>Falta de paleta PARE - SIGA para señalero en descarga de material.</v>
      </c>
      <c r="I32" s="193" t="str">
        <f>IF('Observaciones-SMP'!I32="","",'Observaciones-SMP'!I32)</f>
        <v>Acto Subestándar</v>
      </c>
      <c r="J32" s="193" t="str">
        <f>IF('Observaciones-SMP'!J32="","",'Observaciones-SMP'!J32)</f>
        <v>Gestión de cambio</v>
      </c>
      <c r="K32" s="193" t="str">
        <f>IF('Observaciones-SMP'!K32="","",'Observaciones-SMP'!K32)</f>
        <v>Otros</v>
      </c>
      <c r="L32" s="193" t="str">
        <f>IF('Observaciones-SMP'!L32="","",'Observaciones-SMP'!L32)</f>
        <v>Bajo</v>
      </c>
      <c r="M32" s="193" t="str">
        <f>IF('Observaciones-SMP'!M32="","",'Observaciones-SMP'!M32)</f>
        <v>Proveer elementos faltantes</v>
      </c>
      <c r="N32" s="193" t="str">
        <f>IF('Observaciones-SMP'!N32="","",'Observaciones-SMP'!N32)</f>
        <v>No</v>
      </c>
      <c r="O32" s="193" t="str">
        <f>IF('Observaciones-SMP'!O32="","",'Observaciones-SMP'!O32)</f>
        <v>Cerrado</v>
      </c>
      <c r="P32" s="193" t="str">
        <f>IF('Observaciones-SMP'!P32="","",'Observaciones-SMP'!P32)</f>
        <v>Supervisión</v>
      </c>
      <c r="Q32" s="257">
        <f>IF('Observaciones-SMP'!S32="","",'Observaciones-SMP'!S32)</f>
        <v>46254</v>
      </c>
      <c r="R32" s="193" t="str">
        <f>IF('Observaciones-SMP'!T32="","",'Observaciones-SMP'!T32)</f>
        <v/>
      </c>
      <c r="S32" s="193" t="str">
        <f>""</f>
        <v/>
      </c>
      <c r="T32" s="193" t="str">
        <f>""</f>
        <v/>
      </c>
      <c r="U32" s="193">
        <f t="shared" si="0"/>
        <v>0</v>
      </c>
      <c r="V32" s="193" t="str">
        <f>""</f>
        <v/>
      </c>
      <c r="W32" s="193" t="str">
        <f>""</f>
        <v/>
      </c>
      <c r="X32" s="258">
        <f t="shared" si="1"/>
        <v>46235</v>
      </c>
      <c r="Y32" s="258">
        <f t="shared" si="2"/>
        <v>46235</v>
      </c>
      <c r="Z32" s="193">
        <f>IF(A32="","",IF(COUNTIF('Observaciones-SMP'!$A$2:$A$1001,A32)&gt;1,1,0))</f>
        <v>0</v>
      </c>
      <c r="AA32" s="193">
        <f t="shared" si="3"/>
        <v>0</v>
      </c>
    </row>
    <row r="33" spans="1:27" ht="13.5" customHeight="1" x14ac:dyDescent="0.3">
      <c r="A33" s="193" t="str">
        <f>IF('Observaciones-SMP'!A33="","",'Observaciones-SMP'!A33)</f>
        <v>2026-32</v>
      </c>
      <c r="B33" s="257">
        <f>IF('Observaciones-SMP'!B33="","",'Observaciones-SMP'!B33)</f>
        <v>46254</v>
      </c>
      <c r="C33" s="193" t="str">
        <f>IF('Observaciones-SMP'!C33="","",'Observaciones-SMP'!C33)</f>
        <v>Mario Acosta IEBC</v>
      </c>
      <c r="D33" s="193" t="str">
        <f>IF('Observaciones-SMP'!D33="","",'Observaciones-SMP'!D33)</f>
        <v>Área 5   Mtto. Mecánico.</v>
      </c>
      <c r="E33" s="193" t="str">
        <f>IF('Observaciones-SMP'!E33="","",'Observaciones-SMP'!E33)</f>
        <v>Mant. Mecánico</v>
      </c>
      <c r="F33" s="193" t="str">
        <f>IF('Observaciones-SMP'!F33="","",'Observaciones-SMP'!F33)</f>
        <v>OPS</v>
      </c>
      <c r="G33" s="193" t="str">
        <f>IF('Observaciones-SMP'!G33="","",'Observaciones-SMP'!G33)</f>
        <v>Lucas Antolínez (OPS MM)</v>
      </c>
      <c r="H33" s="193" t="str">
        <f>IF('Observaciones-SMP'!H33="","",'Observaciones-SMP'!H33)</f>
        <v>Faja de traca traca cortada. Fuera ed servicio.</v>
      </c>
      <c r="I33" s="193" t="str">
        <f>IF('Observaciones-SMP'!I33="","",'Observaciones-SMP'!I33)</f>
        <v>Condición subestándar</v>
      </c>
      <c r="J33" s="193" t="str">
        <f>IF('Observaciones-SMP'!J33="","",'Observaciones-SMP'!J33)</f>
        <v>Gestión de cambio</v>
      </c>
      <c r="K33" s="193" t="str">
        <f>IF('Observaciones-SMP'!K33="","",'Observaciones-SMP'!K33)</f>
        <v>Elementos y accesorios de izaje</v>
      </c>
      <c r="L33" s="193" t="str">
        <f>IF('Observaciones-SMP'!L33="","",'Observaciones-SMP'!L33)</f>
        <v>Medio</v>
      </c>
      <c r="M33" s="193" t="str">
        <f>IF('Observaciones-SMP'!M33="","",'Observaciones-SMP'!M33)</f>
        <v>Retiro de elemento dañado</v>
      </c>
      <c r="N33" s="193" t="str">
        <f>IF('Observaciones-SMP'!N33="","",'Observaciones-SMP'!N33)</f>
        <v>No</v>
      </c>
      <c r="O33" s="193" t="str">
        <f>IF('Observaciones-SMP'!O33="","",'Observaciones-SMP'!O33)</f>
        <v>Cerrado</v>
      </c>
      <c r="P33" s="193" t="str">
        <f>IF('Observaciones-SMP'!P33="","",'Observaciones-SMP'!P33)</f>
        <v>Supervisión</v>
      </c>
      <c r="Q33" s="257">
        <f>IF('Observaciones-SMP'!S33="","",'Observaciones-SMP'!S33)</f>
        <v>46254</v>
      </c>
      <c r="R33" s="193" t="str">
        <f>IF('Observaciones-SMP'!T33="","",'Observaciones-SMP'!T33)</f>
        <v/>
      </c>
      <c r="S33" s="193" t="str">
        <f>""</f>
        <v/>
      </c>
      <c r="T33" s="193" t="str">
        <f>""</f>
        <v/>
      </c>
      <c r="U33" s="193">
        <f t="shared" si="0"/>
        <v>0</v>
      </c>
      <c r="V33" s="193" t="str">
        <f>""</f>
        <v/>
      </c>
      <c r="W33" s="193" t="str">
        <f>""</f>
        <v/>
      </c>
      <c r="X33" s="258">
        <f t="shared" si="1"/>
        <v>46235</v>
      </c>
      <c r="Y33" s="258">
        <f t="shared" si="2"/>
        <v>46235</v>
      </c>
      <c r="Z33" s="193">
        <f>IF(A33="","",IF(COUNTIF('Observaciones-SMP'!$A$2:$A$1001,A33)&gt;1,1,0))</f>
        <v>0</v>
      </c>
      <c r="AA33" s="193">
        <f t="shared" si="3"/>
        <v>0</v>
      </c>
    </row>
    <row r="34" spans="1:27" ht="13.5" customHeight="1" x14ac:dyDescent="0.3">
      <c r="A34" s="193" t="str">
        <f>IF('Observaciones-SMP'!A34="","",'Observaciones-SMP'!A34)</f>
        <v>2026-33</v>
      </c>
      <c r="B34" s="257">
        <f>IF('Observaciones-SMP'!B34="","",'Observaciones-SMP'!B34)</f>
        <v>46254</v>
      </c>
      <c r="C34" s="193" t="str">
        <f>IF('Observaciones-SMP'!C34="","",'Observaciones-SMP'!C34)</f>
        <v>Mario Acosta IEBC</v>
      </c>
      <c r="D34" s="193" t="str">
        <f>IF('Observaciones-SMP'!D34="","",'Observaciones-SMP'!D34)</f>
        <v>Área 13 Acopio contenedores de residuos</v>
      </c>
      <c r="E34" s="193" t="str">
        <f>IF('Observaciones-SMP'!E34="","",'Observaciones-SMP'!E34)</f>
        <v>Maestranza</v>
      </c>
      <c r="F34" s="193" t="str">
        <f>IF('Observaciones-SMP'!F34="","",'Observaciones-SMP'!F34)</f>
        <v>OPS</v>
      </c>
      <c r="G34" s="193" t="str">
        <f>IF('Observaciones-SMP'!G34="","",'Observaciones-SMP'!G34)</f>
        <v>Serge</v>
      </c>
      <c r="H34" s="193" t="str">
        <f>IF('Observaciones-SMP'!H34="","",'Observaciones-SMP'!H34)</f>
        <v>Armado de acopio de residuos</v>
      </c>
      <c r="I34" s="193" t="str">
        <f>IF('Observaciones-SMP'!I34="","",'Observaciones-SMP'!I34)</f>
        <v>Condición estándar</v>
      </c>
      <c r="J34" s="193" t="str">
        <f>IF('Observaciones-SMP'!J34="","",'Observaciones-SMP'!J34)</f>
        <v>Gestión de cambio</v>
      </c>
      <c r="K34" s="193" t="str">
        <f>IF('Observaciones-SMP'!K34="","",'Observaciones-SMP'!K34)</f>
        <v>Orden y limpieza</v>
      </c>
      <c r="L34" s="193" t="str">
        <f>IF('Observaciones-SMP'!L34="","",'Observaciones-SMP'!L34)</f>
        <v>Bajo</v>
      </c>
      <c r="M34" s="193" t="str">
        <f>IF('Observaciones-SMP'!M34="","",'Observaciones-SMP'!M34)</f>
        <v>Reconocimiento</v>
      </c>
      <c r="N34" s="193" t="str">
        <f>IF('Observaciones-SMP'!N34="","",'Observaciones-SMP'!N34)</f>
        <v>No Aplica</v>
      </c>
      <c r="O34" s="193" t="str">
        <f>IF('Observaciones-SMP'!O34="","",'Observaciones-SMP'!O34)</f>
        <v>Cerrado</v>
      </c>
      <c r="P34" s="193" t="str">
        <f>IF('Observaciones-SMP'!P34="","",'Observaciones-SMP'!P34)</f>
        <v>SSA Contratista</v>
      </c>
      <c r="Q34" s="257">
        <f>IF('Observaciones-SMP'!S34="","",'Observaciones-SMP'!S34)</f>
        <v>38950</v>
      </c>
      <c r="R34" s="193" t="str">
        <f>IF('Observaciones-SMP'!T34="","",'Observaciones-SMP'!T34)</f>
        <v/>
      </c>
      <c r="S34" s="193" t="str">
        <f>""</f>
        <v/>
      </c>
      <c r="T34" s="193" t="str">
        <f>""</f>
        <v/>
      </c>
      <c r="U34" s="193" t="str">
        <f t="shared" si="0"/>
        <v/>
      </c>
      <c r="V34" s="193" t="str">
        <f>""</f>
        <v/>
      </c>
      <c r="W34" s="193" t="str">
        <f>""</f>
        <v/>
      </c>
      <c r="X34" s="258">
        <f t="shared" si="1"/>
        <v>46235</v>
      </c>
      <c r="Y34" s="258">
        <f t="shared" si="2"/>
        <v>38930</v>
      </c>
      <c r="Z34" s="193">
        <f>IF(A34="","",IF(COUNTIF('Observaciones-SMP'!$A$2:$A$1001,A34)&gt;1,1,0))</f>
        <v>0</v>
      </c>
      <c r="AA34" s="193">
        <f t="shared" si="3"/>
        <v>-7304</v>
      </c>
    </row>
    <row r="35" spans="1:27" ht="13.5" customHeight="1" x14ac:dyDescent="0.3">
      <c r="A35" s="193" t="str">
        <f>IF('Observaciones-SMP'!A35="","",'Observaciones-SMP'!A35)</f>
        <v>2026-34</v>
      </c>
      <c r="B35" s="257">
        <f>IF('Observaciones-SMP'!B35="","",'Observaciones-SMP'!B35)</f>
        <v>46255</v>
      </c>
      <c r="C35" s="193" t="str">
        <f>IF('Observaciones-SMP'!C35="","",'Observaciones-SMP'!C35)</f>
        <v>Mario Acosta IEBC</v>
      </c>
      <c r="D35" s="193" t="str">
        <f>IF('Observaciones-SMP'!D35="","",'Observaciones-SMP'!D35)</f>
        <v>Área 10  Sector de hormigonado</v>
      </c>
      <c r="E35" s="193" t="str">
        <f>IF('Observaciones-SMP'!E35="","",'Observaciones-SMP'!E35)</f>
        <v>Civil</v>
      </c>
      <c r="F35" s="193" t="str">
        <f>IF('Observaciones-SMP'!F35="","",'Observaciones-SMP'!F35)</f>
        <v>OPS</v>
      </c>
      <c r="G35" s="193" t="str">
        <f>IF('Observaciones-SMP'!G35="","",'Observaciones-SMP'!G35)</f>
        <v>Civil</v>
      </c>
      <c r="H35" s="193" t="str">
        <f>IF('Observaciones-SMP'!H35="","",'Observaciones-SMP'!H35)</f>
        <v>Equipos del sector de hormigonado sin sticker de insp. Mensual.</v>
      </c>
      <c r="I35" s="193" t="str">
        <f>IF('Observaciones-SMP'!I35="","",'Observaciones-SMP'!I35)</f>
        <v>Condición subestándar</v>
      </c>
      <c r="J35" s="193" t="str">
        <f>IF('Observaciones-SMP'!J35="","",'Observaciones-SMP'!J35)</f>
        <v>Compromiso compartido</v>
      </c>
      <c r="K35" s="193" t="str">
        <f>IF('Observaciones-SMP'!K35="","",'Observaciones-SMP'!K35)</f>
        <v>Herramientas eléctricas y/o a baterias</v>
      </c>
      <c r="L35" s="193" t="str">
        <f>IF('Observaciones-SMP'!L35="","",'Observaciones-SMP'!L35)</f>
        <v>Bajo</v>
      </c>
      <c r="M35" s="193" t="str">
        <f>IF('Observaciones-SMP'!M35="","",'Observaciones-SMP'!M35)</f>
        <v>Inspección de equipos y herramientas</v>
      </c>
      <c r="N35" s="193" t="str">
        <f>IF('Observaciones-SMP'!N35="","",'Observaciones-SMP'!N35)</f>
        <v>No</v>
      </c>
      <c r="O35" s="193" t="str">
        <f>IF('Observaciones-SMP'!O35="","",'Observaciones-SMP'!O35)</f>
        <v>Cerrado</v>
      </c>
      <c r="P35" s="193" t="str">
        <f>IF('Observaciones-SMP'!P35="","",'Observaciones-SMP'!P35)</f>
        <v>SSA Contratista</v>
      </c>
      <c r="Q35" s="257">
        <f>IF('Observaciones-SMP'!S35="","",'Observaciones-SMP'!S35)</f>
        <v>46255</v>
      </c>
      <c r="R35" s="193" t="str">
        <f>IF('Observaciones-SMP'!T35="","",'Observaciones-SMP'!T35)</f>
        <v/>
      </c>
      <c r="S35" s="193" t="str">
        <f>""</f>
        <v/>
      </c>
      <c r="T35" s="193" t="str">
        <f>""</f>
        <v/>
      </c>
      <c r="U35" s="193">
        <f t="shared" si="0"/>
        <v>0</v>
      </c>
      <c r="V35" s="193" t="str">
        <f>""</f>
        <v/>
      </c>
      <c r="W35" s="193" t="str">
        <f>""</f>
        <v/>
      </c>
      <c r="X35" s="258">
        <f t="shared" si="1"/>
        <v>46235</v>
      </c>
      <c r="Y35" s="258">
        <f t="shared" si="2"/>
        <v>46235</v>
      </c>
      <c r="Z35" s="193">
        <f>IF(A35="","",IF(COUNTIF('Observaciones-SMP'!$A$2:$A$1001,A35)&gt;1,1,0))</f>
        <v>0</v>
      </c>
      <c r="AA35" s="193">
        <f t="shared" si="3"/>
        <v>0</v>
      </c>
    </row>
    <row r="36" spans="1:27" ht="13.5" customHeight="1" x14ac:dyDescent="0.3">
      <c r="A36" s="193" t="str">
        <f>IF('Observaciones-SMP'!A36="","",'Observaciones-SMP'!A36)</f>
        <v>2026-35</v>
      </c>
      <c r="B36" s="257">
        <f>IF('Observaciones-SMP'!B36="","",'Observaciones-SMP'!B36)</f>
        <v>46255</v>
      </c>
      <c r="C36" s="193" t="str">
        <f>IF('Observaciones-SMP'!C36="","",'Observaciones-SMP'!C36)</f>
        <v>Mario Acosta IEBC</v>
      </c>
      <c r="D36" s="193" t="str">
        <f>IF('Observaciones-SMP'!D36="","",'Observaciones-SMP'!D36)</f>
        <v>Área 10  Sector de hormigonado</v>
      </c>
      <c r="E36" s="193" t="str">
        <f>IF('Observaciones-SMP'!E36="","",'Observaciones-SMP'!E36)</f>
        <v>Logística</v>
      </c>
      <c r="F36" s="193" t="str">
        <f>IF('Observaciones-SMP'!F36="","",'Observaciones-SMP'!F36)</f>
        <v>OPS</v>
      </c>
      <c r="G36" s="193" t="str">
        <f>IF('Observaciones-SMP'!G36="","",'Observaciones-SMP'!G36)</f>
        <v>Civil</v>
      </c>
      <c r="H36" s="193" t="str">
        <f>IF('Observaciones-SMP'!H36="","",'Observaciones-SMP'!H36)</f>
        <v>Generador de corriente sin extintor</v>
      </c>
      <c r="I36" s="193" t="str">
        <f>IF('Observaciones-SMP'!I36="","",'Observaciones-SMP'!I36)</f>
        <v>Condición subestándar</v>
      </c>
      <c r="J36" s="193" t="str">
        <f>IF('Observaciones-SMP'!J36="","",'Observaciones-SMP'!J36)</f>
        <v>Compromiso compartido</v>
      </c>
      <c r="K36" s="193" t="str">
        <f>IF('Observaciones-SMP'!K36="","",'Observaciones-SMP'!K36)</f>
        <v>Otros</v>
      </c>
      <c r="L36" s="193" t="str">
        <f>IF('Observaciones-SMP'!L36="","",'Observaciones-SMP'!L36)</f>
        <v>Bajo</v>
      </c>
      <c r="M36" s="193" t="str">
        <f>IF('Observaciones-SMP'!M36="","",'Observaciones-SMP'!M36)</f>
        <v>Proveer elementos faltantes</v>
      </c>
      <c r="N36" s="193" t="str">
        <f>IF('Observaciones-SMP'!N36="","",'Observaciones-SMP'!N36)</f>
        <v>No</v>
      </c>
      <c r="O36" s="193" t="str">
        <f>IF('Observaciones-SMP'!O36="","",'Observaciones-SMP'!O36)</f>
        <v>Cerrado</v>
      </c>
      <c r="P36" s="193" t="str">
        <f>IF('Observaciones-SMP'!P36="","",'Observaciones-SMP'!P36)</f>
        <v>SSA Contratista</v>
      </c>
      <c r="Q36" s="257">
        <f>IF('Observaciones-SMP'!S36="","",'Observaciones-SMP'!S36)</f>
        <v>46255</v>
      </c>
      <c r="R36" s="193" t="str">
        <f>IF('Observaciones-SMP'!T36="","",'Observaciones-SMP'!T36)</f>
        <v/>
      </c>
      <c r="S36" s="193" t="str">
        <f>""</f>
        <v/>
      </c>
      <c r="T36" s="193" t="str">
        <f>""</f>
        <v/>
      </c>
      <c r="U36" s="193">
        <f t="shared" si="0"/>
        <v>0</v>
      </c>
      <c r="V36" s="193" t="str">
        <f>""</f>
        <v/>
      </c>
      <c r="W36" s="193" t="str">
        <f>""</f>
        <v/>
      </c>
      <c r="X36" s="258">
        <f t="shared" si="1"/>
        <v>46235</v>
      </c>
      <c r="Y36" s="258">
        <f t="shared" si="2"/>
        <v>46235</v>
      </c>
      <c r="Z36" s="193">
        <f>IF(A36="","",IF(COUNTIF('Observaciones-SMP'!$A$2:$A$1001,A36)&gt;1,1,0))</f>
        <v>0</v>
      </c>
      <c r="AA36" s="193">
        <f t="shared" si="3"/>
        <v>0</v>
      </c>
    </row>
    <row r="37" spans="1:27" ht="13.5" customHeight="1" x14ac:dyDescent="0.3">
      <c r="A37" s="193" t="str">
        <f>IF('Observaciones-SMP'!A37="","",'Observaciones-SMP'!A37)</f>
        <v>2026-36</v>
      </c>
      <c r="B37" s="257">
        <f>IF('Observaciones-SMP'!B37="","",'Observaciones-SMP'!B37)</f>
        <v>46275</v>
      </c>
      <c r="C37" s="193" t="str">
        <f>IF('Observaciones-SMP'!C37="","",'Observaciones-SMP'!C37)</f>
        <v>Mario Acosta</v>
      </c>
      <c r="D37" s="193" t="str">
        <f>IF('Observaciones-SMP'!D37="","",'Observaciones-SMP'!D37)</f>
        <v>Area 18 Planta de H°A°</v>
      </c>
      <c r="E37" s="193" t="str">
        <f>IF('Observaciones-SMP'!E37="","",'Observaciones-SMP'!E37)</f>
        <v>Civil</v>
      </c>
      <c r="F37" s="193" t="str">
        <f>IF('Observaciones-SMP'!F37="","",'Observaciones-SMP'!F37)</f>
        <v>OPS</v>
      </c>
      <c r="G37" s="193" t="str">
        <f>IF('Observaciones-SMP'!G37="","",'Observaciones-SMP'!G37)</f>
        <v>Sanhuesa Dario (OPS Sup. Civil)</v>
      </c>
      <c r="H37" s="193" t="str">
        <f>IF('Observaciones-SMP'!H37="","",'Observaciones-SMP'!H37)</f>
        <v>Acopio de lats de 20 lt s con Solventes sin bandeja de contención</v>
      </c>
      <c r="I37" s="193" t="str">
        <f>IF('Observaciones-SMP'!I37="","",'Observaciones-SMP'!I37)</f>
        <v>Condicion subestándard</v>
      </c>
      <c r="J37" s="193" t="str">
        <f>IF('Observaciones-SMP'!J37="","",'Observaciones-SMP'!J37)</f>
        <v>Compromiso compartido</v>
      </c>
      <c r="K37" s="193" t="str">
        <f>IF('Observaciones-SMP'!K37="","",'Observaciones-SMP'!K37)</f>
        <v>Otros</v>
      </c>
      <c r="L37" s="193" t="str">
        <f>IF('Observaciones-SMP'!L37="","",'Observaciones-SMP'!L37)</f>
        <v>Bajo</v>
      </c>
      <c r="M37" s="193" t="str">
        <f>IF('Observaciones-SMP'!M37="","",'Observaciones-SMP'!M37)</f>
        <v>Levantamiento de residuos</v>
      </c>
      <c r="N37" s="193" t="str">
        <f>IF('Observaciones-SMP'!N37="","",'Observaciones-SMP'!N37)</f>
        <v>No</v>
      </c>
      <c r="O37" s="193" t="str">
        <f>IF('Observaciones-SMP'!O37="","",'Observaciones-SMP'!O37)</f>
        <v>Cerrado</v>
      </c>
      <c r="P37" s="193" t="str">
        <f>IF('Observaciones-SMP'!P37="","",'Observaciones-SMP'!P37)</f>
        <v>Supervisión</v>
      </c>
      <c r="Q37" s="257" t="str">
        <f>IF('Observaciones-SMP'!S37="","",'Observaciones-SMP'!S37)</f>
        <v/>
      </c>
      <c r="R37" s="193" t="str">
        <f>IF('Observaciones-SMP'!T37="","",'Observaciones-SMP'!T37)</f>
        <v/>
      </c>
      <c r="S37" s="193" t="str">
        <f>""</f>
        <v/>
      </c>
      <c r="T37" s="193" t="str">
        <f>""</f>
        <v/>
      </c>
      <c r="U37" s="193" t="str">
        <f t="shared" si="0"/>
        <v/>
      </c>
      <c r="V37" s="193" t="str">
        <f>""</f>
        <v/>
      </c>
      <c r="W37" s="193" t="str">
        <f>""</f>
        <v/>
      </c>
      <c r="X37" s="258">
        <f t="shared" si="1"/>
        <v>46266</v>
      </c>
      <c r="Y37" s="258" t="str">
        <f t="shared" si="2"/>
        <v/>
      </c>
      <c r="Z37" s="193">
        <f>IF(A37="","",IF(COUNTIF('Observaciones-SMP'!$A$2:$A$1001,A37)&gt;1,1,0))</f>
        <v>0</v>
      </c>
      <c r="AA37" s="193">
        <f t="shared" si="3"/>
        <v>51</v>
      </c>
    </row>
    <row r="38" spans="1:27" ht="13.5" customHeight="1" x14ac:dyDescent="0.3">
      <c r="A38" s="193" t="str">
        <f>IF('Observaciones-SMP'!A38="","",'Observaciones-SMP'!A38)</f>
        <v>2026-37</v>
      </c>
      <c r="B38" s="257">
        <f>IF('Observaciones-SMP'!B38="","",'Observaciones-SMP'!B38)</f>
        <v>46277</v>
      </c>
      <c r="C38" s="193" t="str">
        <f>IF('Observaciones-SMP'!C38="","",'Observaciones-SMP'!C38)</f>
        <v>Mario Acosta</v>
      </c>
      <c r="D38" s="193" t="str">
        <f>IF('Observaciones-SMP'!D38="","",'Observaciones-SMP'!D38)</f>
        <v>Área 7   Soldadura</v>
      </c>
      <c r="E38" s="193" t="str">
        <f>IF('Observaciones-SMP'!E38="","",'Observaciones-SMP'!E38)</f>
        <v>Soldadura</v>
      </c>
      <c r="F38" s="193" t="str">
        <f>IF('Observaciones-SMP'!F38="","",'Observaciones-SMP'!F38)</f>
        <v>OPS</v>
      </c>
      <c r="G38" s="193" t="str">
        <f>IF('Observaciones-SMP'!G38="","",'Observaciones-SMP'!G38)</f>
        <v>Ortega Ruben (Piping)</v>
      </c>
      <c r="H38" s="193" t="str">
        <f>IF('Observaciones-SMP'!H38="","",'Observaciones-SMP'!H38)</f>
        <v>Trabajos de biselado de codo, se obsea la falta de panatlallas protectoras.</v>
      </c>
      <c r="I38" s="193" t="str">
        <f>IF('Observaciones-SMP'!I38="","",'Observaciones-SMP'!I38)</f>
        <v>Condicion subestándard</v>
      </c>
      <c r="J38" s="193" t="str">
        <f>IF('Observaciones-SMP'!J38="","",'Observaciones-SMP'!J38)</f>
        <v>Línea de fuego</v>
      </c>
      <c r="K38" s="193" t="str">
        <f>IF('Observaciones-SMP'!K38="","",'Observaciones-SMP'!K38)</f>
        <v>Señalización y Sectorización</v>
      </c>
      <c r="L38" s="193" t="str">
        <f>IF('Observaciones-SMP'!L38="","",'Observaciones-SMP'!L38)</f>
        <v>Bajo</v>
      </c>
      <c r="M38" s="193" t="str">
        <f>IF('Observaciones-SMP'!M38="","",'Observaciones-SMP'!M38)</f>
        <v>Reacondicionar sector</v>
      </c>
      <c r="N38" s="193" t="str">
        <f>IF('Observaciones-SMP'!N38="","",'Observaciones-SMP'!N38)</f>
        <v>No</v>
      </c>
      <c r="O38" s="193" t="str">
        <f>IF('Observaciones-SMP'!O38="","",'Observaciones-SMP'!O38)</f>
        <v>Abierto</v>
      </c>
      <c r="P38" s="193" t="str">
        <f>IF('Observaciones-SMP'!P38="","",'Observaciones-SMP'!P38)</f>
        <v>Supervisión</v>
      </c>
      <c r="Q38" s="257" t="str">
        <f>IF('Observaciones-SMP'!S38="","",'Observaciones-SMP'!S38)</f>
        <v/>
      </c>
      <c r="R38" s="193" t="str">
        <f>IF('Observaciones-SMP'!T38="","",'Observaciones-SMP'!T38)</f>
        <v/>
      </c>
      <c r="S38" s="193" t="str">
        <f>""</f>
        <v/>
      </c>
      <c r="T38" s="193" t="str">
        <f>""</f>
        <v/>
      </c>
      <c r="U38" s="193" t="str">
        <f t="shared" si="0"/>
        <v/>
      </c>
      <c r="V38" s="193" t="str">
        <f>""</f>
        <v/>
      </c>
      <c r="W38" s="193" t="str">
        <f>""</f>
        <v/>
      </c>
      <c r="X38" s="258">
        <f t="shared" si="1"/>
        <v>46266</v>
      </c>
      <c r="Y38" s="258" t="str">
        <f t="shared" si="2"/>
        <v/>
      </c>
      <c r="Z38" s="193">
        <f>IF(A38="","",IF(COUNTIF('Observaciones-SMP'!$A$2:$A$1001,A38)&gt;1,1,0))</f>
        <v>0</v>
      </c>
      <c r="AA38" s="193">
        <f t="shared" si="3"/>
        <v>49</v>
      </c>
    </row>
    <row r="39" spans="1:27" ht="13.5" customHeight="1" x14ac:dyDescent="0.3">
      <c r="A39" s="193" t="str">
        <f>IF('Observaciones-SMP'!A39="","",'Observaciones-SMP'!A39)</f>
        <v>2026-38</v>
      </c>
      <c r="B39" s="257">
        <f>IF('Observaciones-SMP'!B39="","",'Observaciones-SMP'!B39)</f>
        <v>46277</v>
      </c>
      <c r="C39" s="193" t="str">
        <f>IF('Observaciones-SMP'!C39="","",'Observaciones-SMP'!C39)</f>
        <v>Mario Acosta</v>
      </c>
      <c r="D39" s="193" t="str">
        <f>IF('Observaciones-SMP'!D39="","",'Observaciones-SMP'!D39)</f>
        <v>Área 8   Periferia</v>
      </c>
      <c r="E39" s="193" t="str">
        <f>IF('Observaciones-SMP'!E39="","",'Observaciones-SMP'!E39)</f>
        <v>Logistica</v>
      </c>
      <c r="F39" s="193" t="str">
        <f>IF('Observaciones-SMP'!F39="","",'Observaciones-SMP'!F39)</f>
        <v>OPS</v>
      </c>
      <c r="G39" s="193" t="str">
        <f>IF('Observaciones-SMP'!G39="","",'Observaciones-SMP'!G39)</f>
        <v>Juan Jose Fernandez (OPS)</v>
      </c>
      <c r="H39" s="193" t="str">
        <f>IF('Observaciones-SMP'!H39="","",'Observaciones-SMP'!H39)</f>
        <v>Se hace control de los recipientes de residuos y se observa segregación inadecuada.</v>
      </c>
      <c r="I39" s="193" t="str">
        <f>IF('Observaciones-SMP'!I39="","",'Observaciones-SMP'!I39)</f>
        <v>Acto Subestándard</v>
      </c>
      <c r="J39" s="193" t="str">
        <f>IF('Observaciones-SMP'!J39="","",'Observaciones-SMP'!J39)</f>
        <v>Compromiso compartido</v>
      </c>
      <c r="K39" s="193" t="str">
        <f>IF('Observaciones-SMP'!K39="","",'Observaciones-SMP'!K39)</f>
        <v>Acopio de materiales</v>
      </c>
      <c r="L39" s="193" t="str">
        <f>IF('Observaciones-SMP'!L39="","",'Observaciones-SMP'!L39)</f>
        <v>Bajo</v>
      </c>
      <c r="M39" s="193" t="str">
        <f>IF('Observaciones-SMP'!M39="","",'Observaciones-SMP'!M39)</f>
        <v>Levantamiento de residuos</v>
      </c>
      <c r="N39" s="193" t="str">
        <f>IF('Observaciones-SMP'!N39="","",'Observaciones-SMP'!N39)</f>
        <v>No</v>
      </c>
      <c r="O39" s="193" t="str">
        <f>IF('Observaciones-SMP'!O39="","",'Observaciones-SMP'!O39)</f>
        <v>Cerrado</v>
      </c>
      <c r="P39" s="193" t="str">
        <f>IF('Observaciones-SMP'!P39="","",'Observaciones-SMP'!P39)</f>
        <v>Supervisión</v>
      </c>
      <c r="Q39" s="257" t="str">
        <f>IF('Observaciones-SMP'!S39="","",'Observaciones-SMP'!S39)</f>
        <v/>
      </c>
      <c r="R39" s="193" t="str">
        <f>IF('Observaciones-SMP'!T39="","",'Observaciones-SMP'!T39)</f>
        <v/>
      </c>
      <c r="S39" s="193" t="str">
        <f>""</f>
        <v/>
      </c>
      <c r="T39" s="193" t="str">
        <f>""</f>
        <v/>
      </c>
      <c r="U39" s="193" t="str">
        <f t="shared" si="0"/>
        <v/>
      </c>
      <c r="V39" s="193" t="str">
        <f>""</f>
        <v/>
      </c>
      <c r="W39" s="193" t="str">
        <f>""</f>
        <v/>
      </c>
      <c r="X39" s="258">
        <f t="shared" si="1"/>
        <v>46266</v>
      </c>
      <c r="Y39" s="258" t="str">
        <f t="shared" si="2"/>
        <v/>
      </c>
      <c r="Z39" s="193">
        <f>IF(A39="","",IF(COUNTIF('Observaciones-SMP'!$A$2:$A$1001,A39)&gt;1,1,0))</f>
        <v>0</v>
      </c>
      <c r="AA39" s="193">
        <f t="shared" si="3"/>
        <v>49</v>
      </c>
    </row>
    <row r="40" spans="1:27" ht="13.5" customHeight="1" x14ac:dyDescent="0.3">
      <c r="A40" s="193" t="str">
        <f>IF('Observaciones-SMP'!A40="","",'Observaciones-SMP'!A40)</f>
        <v>2026-39</v>
      </c>
      <c r="B40" s="257">
        <f>IF('Observaciones-SMP'!B40="","",'Observaciones-SMP'!B40)</f>
        <v>46277</v>
      </c>
      <c r="C40" s="193" t="str">
        <f>IF('Observaciones-SMP'!C40="","",'Observaciones-SMP'!C40)</f>
        <v>Mario Acosta</v>
      </c>
      <c r="D40" s="193" t="str">
        <f>IF('Observaciones-SMP'!D40="","",'Observaciones-SMP'!D40)</f>
        <v>Área 14  Porteria de acceso</v>
      </c>
      <c r="E40" s="193" t="str">
        <f>IF('Observaciones-SMP'!E40="","",'Observaciones-SMP'!E40)</f>
        <v>Seguridad Patrimonial</v>
      </c>
      <c r="F40" s="193" t="str">
        <f>IF('Observaciones-SMP'!F40="","",'Observaciones-SMP'!F40)</f>
        <v>Contratista</v>
      </c>
      <c r="G40" s="193" t="str">
        <f>IF('Observaciones-SMP'!G40="","",'Observaciones-SMP'!G40)</f>
        <v>Frank Marco (Grupo SEI)</v>
      </c>
      <c r="H40" s="193" t="str">
        <f>IF('Observaciones-SMP'!H40="","",'Observaciones-SMP'!H40)</f>
        <v>Se observa la no utilización de lentes transparentes.</v>
      </c>
      <c r="I40" s="193" t="str">
        <f>IF('Observaciones-SMP'!I40="","",'Observaciones-SMP'!I40)</f>
        <v>Acto Subestándard</v>
      </c>
      <c r="J40" s="193" t="str">
        <f>IF('Observaciones-SMP'!J40="","",'Observaciones-SMP'!J40)</f>
        <v>Compromiso compartido</v>
      </c>
      <c r="K40" s="193" t="str">
        <f>IF('Observaciones-SMP'!K40="","",'Observaciones-SMP'!K40)</f>
        <v>Uso de EPP especifico</v>
      </c>
      <c r="L40" s="193" t="str">
        <f>IF('Observaciones-SMP'!L40="","",'Observaciones-SMP'!L40)</f>
        <v>Bajo</v>
      </c>
      <c r="M40" s="193" t="str">
        <f>IF('Observaciones-SMP'!M40="","",'Observaciones-SMP'!M40)</f>
        <v>Proveer elementos faltantes</v>
      </c>
      <c r="N40" s="193" t="str">
        <f>IF('Observaciones-SMP'!N40="","",'Observaciones-SMP'!N40)</f>
        <v>No</v>
      </c>
      <c r="O40" s="193" t="str">
        <f>IF('Observaciones-SMP'!O40="","",'Observaciones-SMP'!O40)</f>
        <v>Abierto</v>
      </c>
      <c r="P40" s="193" t="str">
        <f>IF('Observaciones-SMP'!P40="","",'Observaciones-SMP'!P40)</f>
        <v/>
      </c>
      <c r="Q40" s="257" t="str">
        <f>IF('Observaciones-SMP'!S40="","",'Observaciones-SMP'!S40)</f>
        <v/>
      </c>
      <c r="R40" s="193" t="str">
        <f>IF('Observaciones-SMP'!T40="","",'Observaciones-SMP'!T40)</f>
        <v/>
      </c>
      <c r="S40" s="193" t="str">
        <f>""</f>
        <v/>
      </c>
      <c r="T40" s="193" t="str">
        <f>""</f>
        <v/>
      </c>
      <c r="U40" s="193" t="str">
        <f t="shared" si="0"/>
        <v/>
      </c>
      <c r="V40" s="193" t="str">
        <f>""</f>
        <v/>
      </c>
      <c r="W40" s="193" t="str">
        <f>""</f>
        <v/>
      </c>
      <c r="X40" s="258">
        <f t="shared" si="1"/>
        <v>46266</v>
      </c>
      <c r="Y40" s="258" t="str">
        <f t="shared" si="2"/>
        <v/>
      </c>
      <c r="Z40" s="193">
        <f>IF(A40="","",IF(COUNTIF('Observaciones-SMP'!$A$2:$A$1001,A40)&gt;1,1,0))</f>
        <v>0</v>
      </c>
      <c r="AA40" s="193">
        <f t="shared" si="3"/>
        <v>49</v>
      </c>
    </row>
    <row r="41" spans="1:27" ht="13.5" customHeight="1" x14ac:dyDescent="0.3">
      <c r="A41" s="193" t="str">
        <f>IF('Observaciones-SMP'!A41="","",'Observaciones-SMP'!A41)</f>
        <v>2026-40</v>
      </c>
      <c r="B41" s="257">
        <f>IF('Observaciones-SMP'!B41="","",'Observaciones-SMP'!B41)</f>
        <v>46279</v>
      </c>
      <c r="C41" s="193" t="str">
        <f>IF('Observaciones-SMP'!C41="","",'Observaciones-SMP'!C41)</f>
        <v>Mario Acosta</v>
      </c>
      <c r="D41" s="193" t="str">
        <f>IF('Observaciones-SMP'!D41="","",'Observaciones-SMP'!D41)</f>
        <v>Área 11  Plataforma de PC</v>
      </c>
      <c r="E41" s="193" t="str">
        <f>IF('Observaciones-SMP'!E41="","",'Observaciones-SMP'!E41)</f>
        <v>Civil</v>
      </c>
      <c r="F41" s="193" t="str">
        <f>IF('Observaciones-SMP'!F41="","",'Observaciones-SMP'!F41)</f>
        <v>OPS</v>
      </c>
      <c r="G41" s="193" t="str">
        <f>IF('Observaciones-SMP'!G41="","",'Observaciones-SMP'!G41)</f>
        <v>Sanhuesa Dario (OPS Sup. Civil)</v>
      </c>
      <c r="H41" s="193" t="str">
        <f>IF('Observaciones-SMP'!H41="","",'Observaciones-SMP'!H41)</f>
        <v>Movimiento de materiales con manipulador telescópico sin sujetar</v>
      </c>
      <c r="I41" s="193" t="str">
        <f>IF('Observaciones-SMP'!I41="","",'Observaciones-SMP'!I41)</f>
        <v>Condicion subestándard</v>
      </c>
      <c r="J41" s="193" t="str">
        <f>IF('Observaciones-SMP'!J41="","",'Observaciones-SMP'!J41)</f>
        <v>Línea de fuego</v>
      </c>
      <c r="K41" s="193" t="str">
        <f>IF('Observaciones-SMP'!K41="","",'Observaciones-SMP'!K41)</f>
        <v>Equipos de Izaje</v>
      </c>
      <c r="L41" s="193" t="str">
        <f>IF('Observaciones-SMP'!L41="","",'Observaciones-SMP'!L41)</f>
        <v>Bajo</v>
      </c>
      <c r="M41" s="193" t="str">
        <f>IF('Observaciones-SMP'!M41="","",'Observaciones-SMP'!M41)</f>
        <v>Reacondicionar sector</v>
      </c>
      <c r="N41" s="193" t="str">
        <f>IF('Observaciones-SMP'!N41="","",'Observaciones-SMP'!N41)</f>
        <v>No</v>
      </c>
      <c r="O41" s="193" t="str">
        <f>IF('Observaciones-SMP'!O41="","",'Observaciones-SMP'!O41)</f>
        <v>Cerrado</v>
      </c>
      <c r="P41" s="193" t="str">
        <f>IF('Observaciones-SMP'!P41="","",'Observaciones-SMP'!P41)</f>
        <v>Supervisión</v>
      </c>
      <c r="Q41" s="257" t="str">
        <f>IF('Observaciones-SMP'!S41="","",'Observaciones-SMP'!S41)</f>
        <v/>
      </c>
      <c r="R41" s="193" t="str">
        <f>IF('Observaciones-SMP'!T41="","",'Observaciones-SMP'!T41)</f>
        <v/>
      </c>
      <c r="S41" s="193" t="str">
        <f>""</f>
        <v/>
      </c>
      <c r="T41" s="193" t="str">
        <f>""</f>
        <v/>
      </c>
      <c r="U41" s="193" t="str">
        <f t="shared" si="0"/>
        <v/>
      </c>
      <c r="V41" s="193" t="str">
        <f>""</f>
        <v/>
      </c>
      <c r="W41" s="193" t="str">
        <f>""</f>
        <v/>
      </c>
      <c r="X41" s="258">
        <f t="shared" si="1"/>
        <v>46266</v>
      </c>
      <c r="Y41" s="258" t="str">
        <f t="shared" si="2"/>
        <v/>
      </c>
      <c r="Z41" s="193">
        <f>IF(A41="","",IF(COUNTIF('Observaciones-SMP'!$A$2:$A$1001,A41)&gt;1,1,0))</f>
        <v>0</v>
      </c>
      <c r="AA41" s="193">
        <f t="shared" si="3"/>
        <v>47</v>
      </c>
    </row>
    <row r="42" spans="1:27" ht="13.5" customHeight="1" x14ac:dyDescent="0.3">
      <c r="A42" s="193" t="str">
        <f>IF('Observaciones-SMP'!A42="","",'Observaciones-SMP'!A42)</f>
        <v>2026-41</v>
      </c>
      <c r="B42" s="257">
        <f>IF('Observaciones-SMP'!B42="","",'Observaciones-SMP'!B42)</f>
        <v>46279</v>
      </c>
      <c r="C42" s="193" t="str">
        <f>IF('Observaciones-SMP'!C42="","",'Observaciones-SMP'!C42)</f>
        <v>Mario Acosta</v>
      </c>
      <c r="D42" s="193" t="str">
        <f>IF('Observaciones-SMP'!D42="","",'Observaciones-SMP'!D42)</f>
        <v>Area 1 Obrador</v>
      </c>
      <c r="E42" s="193" t="str">
        <f>IF('Observaciones-SMP'!E42="","",'Observaciones-SMP'!E42)</f>
        <v>Civil</v>
      </c>
      <c r="F42" s="193" t="str">
        <f>IF('Observaciones-SMP'!F42="","",'Observaciones-SMP'!F42)</f>
        <v>OPS</v>
      </c>
      <c r="G42" s="193" t="str">
        <f>IF('Observaciones-SMP'!G42="","",'Observaciones-SMP'!G42)</f>
        <v>Sanhuesa Dario (OPS Sup. Civil)</v>
      </c>
      <c r="H42" s="193" t="str">
        <f>IF('Observaciones-SMP'!H42="","",'Observaciones-SMP'!H42)</f>
        <v>Se observa bidón de nafta en la plataforma fuera de la bandeja de contención secundaria</v>
      </c>
      <c r="I42" s="193" t="str">
        <f>IF('Observaciones-SMP'!I42="","",'Observaciones-SMP'!I42)</f>
        <v>Acto Subestándard</v>
      </c>
      <c r="J42" s="193" t="str">
        <f>IF('Observaciones-SMP'!J42="","",'Observaciones-SMP'!J42)</f>
        <v>Línea de fuego</v>
      </c>
      <c r="K42" s="193" t="str">
        <f>IF('Observaciones-SMP'!K42="","",'Observaciones-SMP'!K42)</f>
        <v>Elementos y accesorios de izaje</v>
      </c>
      <c r="L42" s="193" t="str">
        <f>IF('Observaciones-SMP'!L42="","",'Observaciones-SMP'!L42)</f>
        <v>Medio</v>
      </c>
      <c r="M42" s="193" t="str">
        <f>IF('Observaciones-SMP'!M42="","",'Observaciones-SMP'!M42)</f>
        <v>Charla / Capacitación</v>
      </c>
      <c r="N42" s="193" t="str">
        <f>IF('Observaciones-SMP'!N42="","",'Observaciones-SMP'!N42)</f>
        <v>No</v>
      </c>
      <c r="O42" s="193" t="str">
        <f>IF('Observaciones-SMP'!O42="","",'Observaciones-SMP'!O42)</f>
        <v>Cerrado</v>
      </c>
      <c r="P42" s="193" t="str">
        <f>IF('Observaciones-SMP'!P42="","",'Observaciones-SMP'!P42)</f>
        <v>SSA Contratista</v>
      </c>
      <c r="Q42" s="257" t="str">
        <f>IF('Observaciones-SMP'!S42="","",'Observaciones-SMP'!S42)</f>
        <v/>
      </c>
      <c r="R42" s="193" t="str">
        <f>IF('Observaciones-SMP'!T42="","",'Observaciones-SMP'!T42)</f>
        <v/>
      </c>
      <c r="S42" s="193" t="str">
        <f>""</f>
        <v/>
      </c>
      <c r="T42" s="193" t="str">
        <f>""</f>
        <v/>
      </c>
      <c r="U42" s="193" t="str">
        <f t="shared" si="0"/>
        <v/>
      </c>
      <c r="V42" s="193" t="str">
        <f>""</f>
        <v/>
      </c>
      <c r="W42" s="193" t="str">
        <f>""</f>
        <v/>
      </c>
      <c r="X42" s="258">
        <f t="shared" si="1"/>
        <v>46266</v>
      </c>
      <c r="Y42" s="258" t="str">
        <f t="shared" si="2"/>
        <v/>
      </c>
      <c r="Z42" s="193">
        <f>IF(A42="","",IF(COUNTIF('Observaciones-SMP'!$A$2:$A$1001,A42)&gt;1,1,0))</f>
        <v>0</v>
      </c>
      <c r="AA42" s="193">
        <f t="shared" si="3"/>
        <v>47</v>
      </c>
    </row>
    <row r="43" spans="1:27" ht="13.5" customHeight="1" x14ac:dyDescent="0.3">
      <c r="A43" s="193" t="str">
        <f>IF('Observaciones-SMP'!A43="","",'Observaciones-SMP'!A43)</f>
        <v>2026-42</v>
      </c>
      <c r="B43" s="257">
        <f>IF('Observaciones-SMP'!B43="","",'Observaciones-SMP'!B43)</f>
        <v>46281</v>
      </c>
      <c r="C43" s="193" t="str">
        <f>IF('Observaciones-SMP'!C43="","",'Observaciones-SMP'!C43)</f>
        <v>Mario Acosta</v>
      </c>
      <c r="D43" s="193" t="str">
        <f>IF('Observaciones-SMP'!D43="","",'Observaciones-SMP'!D43)</f>
        <v>Área 11  Plataforma de PC</v>
      </c>
      <c r="E43" s="193" t="str">
        <f>IF('Observaciones-SMP'!E43="","",'Observaciones-SMP'!E43)</f>
        <v>Electricidad e Instrumentos</v>
      </c>
      <c r="F43" s="193" t="str">
        <f>IF('Observaciones-SMP'!F43="","",'Observaciones-SMP'!F43)</f>
        <v>OPS</v>
      </c>
      <c r="G43" s="193" t="str">
        <f>IF('Observaciones-SMP'!G43="","",'Observaciones-SMP'!G43)</f>
        <v>Caneo Javier (OPS Elect. E inst.))</v>
      </c>
      <c r="H43" s="193" t="str">
        <f>IF('Observaciones-SMP'!H43="","",'Observaciones-SMP'!H43)</f>
        <v>Vallado rigido en excavaciones de PAT en el centro de la Plataforma.</v>
      </c>
      <c r="I43" s="193" t="str">
        <f>IF('Observaciones-SMP'!I43="","",'Observaciones-SMP'!I43)</f>
        <v>Acto estándar</v>
      </c>
      <c r="J43" s="193" t="str">
        <f>IF('Observaciones-SMP'!J43="","",'Observaciones-SMP'!J43)</f>
        <v>Excavaciones</v>
      </c>
      <c r="K43" s="193" t="str">
        <f>IF('Observaciones-SMP'!K43="","",'Observaciones-SMP'!K43)</f>
        <v>Tendido de cables</v>
      </c>
      <c r="L43" s="193" t="str">
        <f>IF('Observaciones-SMP'!L43="","",'Observaciones-SMP'!L43)</f>
        <v>Bajo</v>
      </c>
      <c r="M43" s="193" t="str">
        <f>IF('Observaciones-SMP'!M43="","",'Observaciones-SMP'!M43)</f>
        <v>Identificación</v>
      </c>
      <c r="N43" s="193" t="str">
        <f>IF('Observaciones-SMP'!N43="","",'Observaciones-SMP'!N43)</f>
        <v>No</v>
      </c>
      <c r="O43" s="193" t="str">
        <f>IF('Observaciones-SMP'!O43="","",'Observaciones-SMP'!O43)</f>
        <v>Cerrado</v>
      </c>
      <c r="P43" s="193" t="str">
        <f>IF('Observaciones-SMP'!P43="","",'Observaciones-SMP'!P43)</f>
        <v/>
      </c>
      <c r="Q43" s="257" t="str">
        <f>IF('Observaciones-SMP'!S43="","",'Observaciones-SMP'!S43)</f>
        <v/>
      </c>
      <c r="R43" s="193" t="str">
        <f>IF('Observaciones-SMP'!T43="","",'Observaciones-SMP'!T43)</f>
        <v/>
      </c>
      <c r="S43" s="193" t="str">
        <f>""</f>
        <v/>
      </c>
      <c r="T43" s="193" t="str">
        <f>""</f>
        <v/>
      </c>
      <c r="U43" s="193" t="str">
        <f t="shared" si="0"/>
        <v/>
      </c>
      <c r="V43" s="193" t="str">
        <f>""</f>
        <v/>
      </c>
      <c r="W43" s="193" t="str">
        <f>""</f>
        <v/>
      </c>
      <c r="X43" s="258">
        <f t="shared" si="1"/>
        <v>46266</v>
      </c>
      <c r="Y43" s="258" t="str">
        <f t="shared" si="2"/>
        <v/>
      </c>
      <c r="Z43" s="193">
        <f>IF(A43="","",IF(COUNTIF('Observaciones-SMP'!$A$2:$A$1001,A43)&gt;1,1,0))</f>
        <v>0</v>
      </c>
      <c r="AA43" s="193">
        <f t="shared" si="3"/>
        <v>45</v>
      </c>
    </row>
    <row r="44" spans="1:27" ht="13.5" customHeight="1" x14ac:dyDescent="0.3">
      <c r="A44" s="193" t="str">
        <f>IF('Observaciones-SMP'!A44="","",'Observaciones-SMP'!A44)</f>
        <v>2026-43</v>
      </c>
      <c r="B44" s="257">
        <f>IF('Observaciones-SMP'!B44="","",'Observaciones-SMP'!B44)</f>
        <v>46281</v>
      </c>
      <c r="C44" s="193" t="str">
        <f>IF('Observaciones-SMP'!C44="","",'Observaciones-SMP'!C44)</f>
        <v>Mario Acosta</v>
      </c>
      <c r="D44" s="193" t="str">
        <f>IF('Observaciones-SMP'!D44="","",'Observaciones-SMP'!D44)</f>
        <v>Área 16  Acopio Pref. H°A°</v>
      </c>
      <c r="E44" s="193" t="str">
        <f>IF('Observaciones-SMP'!E44="","",'Observaciones-SMP'!E44)</f>
        <v>Civil</v>
      </c>
      <c r="F44" s="193" t="str">
        <f>IF('Observaciones-SMP'!F44="","",'Observaciones-SMP'!F44)</f>
        <v>OPS</v>
      </c>
      <c r="G44" s="193" t="str">
        <f>IF('Observaciones-SMP'!G44="","",'Observaciones-SMP'!G44)</f>
        <v>Sanhuesa Dario (OPS Sup. Civil)</v>
      </c>
      <c r="H44" s="193" t="str">
        <f>IF('Observaciones-SMP'!H44="","",'Observaciones-SMP'!H44)</f>
        <v>Descarga de bases de H°A°, con manipulador telescopico. Las cargas vienen y sin tacos de madera. Desvío recurrente. Se informa a Ref. de Seguridad OPS y  Jefe de Obra.</v>
      </c>
      <c r="I44" s="193" t="str">
        <f>IF('Observaciones-SMP'!I44="","",'Observaciones-SMP'!I44)</f>
        <v>Condicion subestándard</v>
      </c>
      <c r="J44" s="193" t="str">
        <f>IF('Observaciones-SMP'!J44="","",'Observaciones-SMP'!J44)</f>
        <v>Línea de fuego</v>
      </c>
      <c r="K44" s="193" t="str">
        <f>IF('Observaciones-SMP'!K44="","",'Observaciones-SMP'!K44)</f>
        <v>Equipos de Izaje</v>
      </c>
      <c r="L44" s="193" t="str">
        <f>IF('Observaciones-SMP'!L44="","",'Observaciones-SMP'!L44)</f>
        <v>Medio</v>
      </c>
      <c r="M44" s="193" t="str">
        <f>IF('Observaciones-SMP'!M44="","",'Observaciones-SMP'!M44)</f>
        <v>Proveer elementos faltantes</v>
      </c>
      <c r="N44" s="193" t="str">
        <f>IF('Observaciones-SMP'!N44="","",'Observaciones-SMP'!N44)</f>
        <v>No</v>
      </c>
      <c r="O44" s="193" t="str">
        <f>IF('Observaciones-SMP'!O44="","",'Observaciones-SMP'!O44)</f>
        <v>Abierto</v>
      </c>
      <c r="P44" s="193" t="str">
        <f>IF('Observaciones-SMP'!P44="","",'Observaciones-SMP'!P44)</f>
        <v/>
      </c>
      <c r="Q44" s="257" t="str">
        <f>IF('Observaciones-SMP'!S44="","",'Observaciones-SMP'!S44)</f>
        <v/>
      </c>
      <c r="R44" s="193" t="str">
        <f>IF('Observaciones-SMP'!T44="","",'Observaciones-SMP'!T44)</f>
        <v/>
      </c>
      <c r="S44" s="193" t="str">
        <f>""</f>
        <v/>
      </c>
      <c r="T44" s="193" t="str">
        <f>""</f>
        <v/>
      </c>
      <c r="U44" s="193" t="str">
        <f t="shared" si="0"/>
        <v/>
      </c>
      <c r="V44" s="193" t="str">
        <f>""</f>
        <v/>
      </c>
      <c r="W44" s="193" t="str">
        <f>""</f>
        <v/>
      </c>
      <c r="X44" s="258">
        <f t="shared" si="1"/>
        <v>46266</v>
      </c>
      <c r="Y44" s="258" t="str">
        <f t="shared" si="2"/>
        <v/>
      </c>
      <c r="Z44" s="193">
        <f>IF(A44="","",IF(COUNTIF('Observaciones-SMP'!$A$2:$A$1001,A44)&gt;1,1,0))</f>
        <v>0</v>
      </c>
      <c r="AA44" s="193">
        <f t="shared" si="3"/>
        <v>45</v>
      </c>
    </row>
    <row r="45" spans="1:27" ht="13.5" customHeight="1" x14ac:dyDescent="0.3">
      <c r="A45" s="193" t="str">
        <f>IF('Observaciones-SMP'!A45="","",'Observaciones-SMP'!A45)</f>
        <v>2026-44</v>
      </c>
      <c r="B45" s="257">
        <f>IF('Observaciones-SMP'!B45="","",'Observaciones-SMP'!B45)</f>
        <v>46282</v>
      </c>
      <c r="C45" s="193" t="str">
        <f>IF('Observaciones-SMP'!C45="","",'Observaciones-SMP'!C45)</f>
        <v>Mario Acosta</v>
      </c>
      <c r="D45" s="193" t="str">
        <f>IF('Observaciones-SMP'!D45="","",'Observaciones-SMP'!D45)</f>
        <v>Area 19 Camino de acceso a obra</v>
      </c>
      <c r="E45" s="193" t="str">
        <f>IF('Observaciones-SMP'!E45="","",'Observaciones-SMP'!E45)</f>
        <v>Laboratorio de ensayos civiles</v>
      </c>
      <c r="F45" s="193" t="str">
        <f>IF('Observaciones-SMP'!F45="","",'Observaciones-SMP'!F45)</f>
        <v>OPS</v>
      </c>
      <c r="G45" s="193" t="str">
        <f>IF('Observaciones-SMP'!G45="","",'Observaciones-SMP'!G45)</f>
        <v>Mario Dominguez  (OPS Sup. Mov.Suelo)</v>
      </c>
      <c r="H45" s="193" t="str">
        <f>IF('Observaciones-SMP'!H45="","",'Observaciones-SMP'!H45)</f>
        <v>Toma de muestra de suelo para realizar la densidad de rasante del camino.</v>
      </c>
      <c r="I45" s="193" t="str">
        <f>IF('Observaciones-SMP'!I45="","",'Observaciones-SMP'!I45)</f>
        <v>Condicion subestándard</v>
      </c>
      <c r="J45" s="193" t="str">
        <f>IF('Observaciones-SMP'!J45="","",'Observaciones-SMP'!J45)</f>
        <v>Excavaciones</v>
      </c>
      <c r="K45" s="193" t="str">
        <f>IF('Observaciones-SMP'!K45="","",'Observaciones-SMP'!K45)</f>
        <v>ATS</v>
      </c>
      <c r="L45" s="193" t="str">
        <f>IF('Observaciones-SMP'!L45="","",'Observaciones-SMP'!L45)</f>
        <v>Bajo</v>
      </c>
      <c r="M45" s="193" t="str">
        <f>IF('Observaciones-SMP'!M45="","",'Observaciones-SMP'!M45)</f>
        <v>Correccion ARO/ATS/IPERC</v>
      </c>
      <c r="N45" s="193" t="str">
        <f>IF('Observaciones-SMP'!N45="","",'Observaciones-SMP'!N45)</f>
        <v>No</v>
      </c>
      <c r="O45" s="193" t="str">
        <f>IF('Observaciones-SMP'!O45="","",'Observaciones-SMP'!O45)</f>
        <v>Cerrado</v>
      </c>
      <c r="P45" s="193" t="str">
        <f>IF('Observaciones-SMP'!P45="","",'Observaciones-SMP'!P45)</f>
        <v>SSA Contratista</v>
      </c>
      <c r="Q45" s="257" t="str">
        <f>IF('Observaciones-SMP'!S45="","",'Observaciones-SMP'!S45)</f>
        <v/>
      </c>
      <c r="R45" s="193" t="str">
        <f>IF('Observaciones-SMP'!T45="","",'Observaciones-SMP'!T45)</f>
        <v/>
      </c>
      <c r="S45" s="193" t="str">
        <f>""</f>
        <v/>
      </c>
      <c r="T45" s="193" t="str">
        <f>""</f>
        <v/>
      </c>
      <c r="U45" s="193" t="str">
        <f t="shared" si="0"/>
        <v/>
      </c>
      <c r="V45" s="193" t="str">
        <f>""</f>
        <v/>
      </c>
      <c r="W45" s="193" t="str">
        <f>""</f>
        <v/>
      </c>
      <c r="X45" s="258">
        <f t="shared" si="1"/>
        <v>46266</v>
      </c>
      <c r="Y45" s="258" t="str">
        <f t="shared" si="2"/>
        <v/>
      </c>
      <c r="Z45" s="193">
        <f>IF(A45="","",IF(COUNTIF('Observaciones-SMP'!$A$2:$A$1001,A45)&gt;1,1,0))</f>
        <v>0</v>
      </c>
      <c r="AA45" s="193">
        <f t="shared" si="3"/>
        <v>44</v>
      </c>
    </row>
    <row r="46" spans="1:27" ht="13.5" customHeight="1" x14ac:dyDescent="0.3">
      <c r="A46" s="193" t="str">
        <f>IF('Observaciones-SMP'!A46="","",'Observaciones-SMP'!A46)</f>
        <v>2026-45</v>
      </c>
      <c r="B46" s="257">
        <f>IF('Observaciones-SMP'!B46="","",'Observaciones-SMP'!B46)</f>
        <v>46282</v>
      </c>
      <c r="C46" s="193" t="str">
        <f>IF('Observaciones-SMP'!C46="","",'Observaciones-SMP'!C46)</f>
        <v>Mario Acosta</v>
      </c>
      <c r="D46" s="193" t="str">
        <f>IF('Observaciones-SMP'!D46="","",'Observaciones-SMP'!D46)</f>
        <v>Área 11  Plataforma de PC</v>
      </c>
      <c r="E46" s="193" t="str">
        <f>IF('Observaciones-SMP'!E46="","",'Observaciones-SMP'!E46)</f>
        <v>Civil</v>
      </c>
      <c r="F46" s="193" t="str">
        <f>IF('Observaciones-SMP'!F46="","",'Observaciones-SMP'!F46)</f>
        <v>OPS</v>
      </c>
      <c r="G46" s="193" t="str">
        <f>IF('Observaciones-SMP'!G46="","",'Observaciones-SMP'!G46)</f>
        <v>Sanhuesa Dario (OPS Sup. Civil)</v>
      </c>
      <c r="H46" s="193" t="str">
        <f>IF('Observaciones-SMP'!H46="","",'Observaciones-SMP'!H46)</f>
        <v>Excavaciones para colocación de postes de cercos perimetral, sector sin señalizar.</v>
      </c>
      <c r="I46" s="193" t="str">
        <f>IF('Observaciones-SMP'!I46="","",'Observaciones-SMP'!I46)</f>
        <v>Condicion subestándard</v>
      </c>
      <c r="J46" s="193" t="str">
        <f>IF('Observaciones-SMP'!J46="","",'Observaciones-SMP'!J46)</f>
        <v>Excavaciones</v>
      </c>
      <c r="K46" s="193" t="str">
        <f>IF('Observaciones-SMP'!K46="","",'Observaciones-SMP'!K46)</f>
        <v>Señalización y Sectorización</v>
      </c>
      <c r="L46" s="193" t="str">
        <f>IF('Observaciones-SMP'!L46="","",'Observaciones-SMP'!L46)</f>
        <v>Bajo</v>
      </c>
      <c r="M46" s="193" t="str">
        <f>IF('Observaciones-SMP'!M46="","",'Observaciones-SMP'!M46)</f>
        <v>Reacondicionar sector</v>
      </c>
      <c r="N46" s="193" t="str">
        <f>IF('Observaciones-SMP'!N46="","",'Observaciones-SMP'!N46)</f>
        <v>No</v>
      </c>
      <c r="O46" s="193" t="str">
        <f>IF('Observaciones-SMP'!O46="","",'Observaciones-SMP'!O46)</f>
        <v>Cerrado</v>
      </c>
      <c r="P46" s="193" t="str">
        <f>IF('Observaciones-SMP'!P46="","",'Observaciones-SMP'!P46)</f>
        <v>SSA Contratista</v>
      </c>
      <c r="Q46" s="257" t="str">
        <f>IF('Observaciones-SMP'!S46="","",'Observaciones-SMP'!S46)</f>
        <v/>
      </c>
      <c r="R46" s="193" t="str">
        <f>IF('Observaciones-SMP'!T46="","",'Observaciones-SMP'!T46)</f>
        <v/>
      </c>
      <c r="S46" s="193" t="str">
        <f>""</f>
        <v/>
      </c>
      <c r="T46" s="193" t="str">
        <f>""</f>
        <v/>
      </c>
      <c r="U46" s="193" t="str">
        <f t="shared" si="0"/>
        <v/>
      </c>
      <c r="V46" s="193" t="str">
        <f>""</f>
        <v/>
      </c>
      <c r="W46" s="193" t="str">
        <f>""</f>
        <v/>
      </c>
      <c r="X46" s="258">
        <f t="shared" si="1"/>
        <v>46266</v>
      </c>
      <c r="Y46" s="258" t="str">
        <f t="shared" si="2"/>
        <v/>
      </c>
      <c r="Z46" s="193">
        <f>IF(A46="","",IF(COUNTIF('Observaciones-SMP'!$A$2:$A$1001,A46)&gt;1,1,0))</f>
        <v>0</v>
      </c>
      <c r="AA46" s="193">
        <f t="shared" si="3"/>
        <v>44</v>
      </c>
    </row>
    <row r="47" spans="1:27" ht="13.5" customHeight="1" x14ac:dyDescent="0.3">
      <c r="A47" s="193" t="str">
        <f>IF('Observaciones-SMP'!A47="","",'Observaciones-SMP'!A47)</f>
        <v>2026-46</v>
      </c>
      <c r="B47" s="257">
        <f>IF('Observaciones-SMP'!B47="","",'Observaciones-SMP'!B47)</f>
        <v>46276</v>
      </c>
      <c r="C47" s="193" t="str">
        <f>IF('Observaciones-SMP'!C47="","",'Observaciones-SMP'!C47)</f>
        <v>Franco Demarchi</v>
      </c>
      <c r="D47" s="193" t="str">
        <f>IF('Observaciones-SMP'!D47="","",'Observaciones-SMP'!D47)</f>
        <v>Area 11. Plataforma de PC.</v>
      </c>
      <c r="E47" s="193" t="str">
        <f>IF('Observaciones-SMP'!E47="","",'Observaciones-SMP'!E47)</f>
        <v>Civil</v>
      </c>
      <c r="F47" s="193" t="str">
        <f>IF('Observaciones-SMP'!F47="","",'Observaciones-SMP'!F47)</f>
        <v>OPS</v>
      </c>
      <c r="G47" s="193" t="str">
        <f>IF('Observaciones-SMP'!G47="","",'Observaciones-SMP'!G47)</f>
        <v>Sanhuesa Dario (Sup. Civil)</v>
      </c>
      <c r="H47" s="193" t="str">
        <f>IF('Observaciones-SMP'!H47="","",'Observaciones-SMP'!H47)</f>
        <v>Construccion de cerco perimetral sin seañlización y cartelería. Se le comunico al Sup. Civil que se implementara las medidas correspondientes.</v>
      </c>
      <c r="I47" s="193" t="str">
        <f>IF('Observaciones-SMP'!I47="","",'Observaciones-SMP'!I47)</f>
        <v>Condicion subestándard</v>
      </c>
      <c r="J47" s="193" t="str">
        <f>IF('Observaciones-SMP'!J47="","",'Observaciones-SMP'!J47)</f>
        <v>Compromiso compartido</v>
      </c>
      <c r="K47" s="193" t="str">
        <f>IF('Observaciones-SMP'!K47="","",'Observaciones-SMP'!K47)</f>
        <v>Señalización y Sectorización</v>
      </c>
      <c r="L47" s="193" t="str">
        <f>IF('Observaciones-SMP'!L47="","",'Observaciones-SMP'!L47)</f>
        <v>Bajo</v>
      </c>
      <c r="M47" s="193" t="str">
        <f>IF('Observaciones-SMP'!M47="","",'Observaciones-SMP'!M47)</f>
        <v>Reacondicionar sector</v>
      </c>
      <c r="N47" s="193" t="str">
        <f>IF('Observaciones-SMP'!N47="","",'Observaciones-SMP'!N47)</f>
        <v>No</v>
      </c>
      <c r="O47" s="193" t="str">
        <f>IF('Observaciones-SMP'!O47="","",'Observaciones-SMP'!O47)</f>
        <v>Abierto</v>
      </c>
      <c r="P47" s="193" t="str">
        <f>IF('Observaciones-SMP'!P47="","",'Observaciones-SMP'!P47)</f>
        <v>Supervisión</v>
      </c>
      <c r="Q47" s="257" t="str">
        <f>IF('Observaciones-SMP'!S47="","",'Observaciones-SMP'!S47)</f>
        <v/>
      </c>
      <c r="R47" s="193" t="str">
        <f>IF('Observaciones-SMP'!T47="","",'Observaciones-SMP'!T47)</f>
        <v/>
      </c>
      <c r="S47" s="193" t="str">
        <f>""</f>
        <v/>
      </c>
      <c r="T47" s="193" t="str">
        <f>""</f>
        <v/>
      </c>
      <c r="U47" s="193" t="str">
        <f t="shared" si="0"/>
        <v/>
      </c>
      <c r="V47" s="193" t="str">
        <f>""</f>
        <v/>
      </c>
      <c r="W47" s="193" t="str">
        <f>""</f>
        <v/>
      </c>
      <c r="X47" s="258">
        <f t="shared" si="1"/>
        <v>46266</v>
      </c>
      <c r="Y47" s="258" t="str">
        <f t="shared" si="2"/>
        <v/>
      </c>
      <c r="Z47" s="193">
        <f>IF(A47="","",IF(COUNTIF('Observaciones-SMP'!$A$2:$A$1001,A47)&gt;1,1,0))</f>
        <v>0</v>
      </c>
      <c r="AA47" s="193">
        <f t="shared" si="3"/>
        <v>50</v>
      </c>
    </row>
    <row r="48" spans="1:27" ht="13.5" customHeight="1" x14ac:dyDescent="0.3">
      <c r="A48" s="193" t="str">
        <f>IF('Observaciones-SMP'!A48="","",'Observaciones-SMP'!A48)</f>
        <v>2026-47</v>
      </c>
      <c r="B48" s="257">
        <f>IF('Observaciones-SMP'!B48="","",'Observaciones-SMP'!B48)</f>
        <v>46277</v>
      </c>
      <c r="C48" s="193" t="str">
        <f>IF('Observaciones-SMP'!C48="","",'Observaciones-SMP'!C48)</f>
        <v>Franco Demarchi</v>
      </c>
      <c r="D48" s="193" t="str">
        <f>IF('Observaciones-SMP'!D48="","",'Observaciones-SMP'!D48)</f>
        <v>Area 1 Obrador.</v>
      </c>
      <c r="E48" s="193" t="str">
        <f>IF('Observaciones-SMP'!E48="","",'Observaciones-SMP'!E48)</f>
        <v>SSGG</v>
      </c>
      <c r="F48" s="193" t="str">
        <f>IF('Observaciones-SMP'!F48="","",'Observaciones-SMP'!F48)</f>
        <v>OPS</v>
      </c>
      <c r="G48" s="193" t="str">
        <f>IF('Observaciones-SMP'!G48="","",'Observaciones-SMP'!G48)</f>
        <v>Romina Segura (OPS)</v>
      </c>
      <c r="H48" s="193" t="str">
        <f>IF('Observaciones-SMP'!H48="","",'Observaciones-SMP'!H48)</f>
        <v>Gestión de residuos. Se observo y se comunico a SSA que habían residuos mezclados, incumpliendo la correcta clasificación de residuos.</v>
      </c>
      <c r="I48" s="193" t="str">
        <f>IF('Observaciones-SMP'!I48="","",'Observaciones-SMP'!I48)</f>
        <v>Acto Subestándard</v>
      </c>
      <c r="J48" s="193" t="str">
        <f>IF('Observaciones-SMP'!J48="","",'Observaciones-SMP'!J48)</f>
        <v>Compromiso compartido</v>
      </c>
      <c r="K48" s="193" t="str">
        <f>IF('Observaciones-SMP'!K48="","",'Observaciones-SMP'!K48)</f>
        <v>Orden y limpieza</v>
      </c>
      <c r="L48" s="193" t="str">
        <f>IF('Observaciones-SMP'!L48="","",'Observaciones-SMP'!L48)</f>
        <v>Bajo</v>
      </c>
      <c r="M48" s="193" t="str">
        <f>IF('Observaciones-SMP'!M48="","",'Observaciones-SMP'!M48)</f>
        <v>Charla / Capacitación</v>
      </c>
      <c r="N48" s="193" t="str">
        <f>IF('Observaciones-SMP'!N48="","",'Observaciones-SMP'!N48)</f>
        <v>No</v>
      </c>
      <c r="O48" s="193" t="str">
        <f>IF('Observaciones-SMP'!O48="","",'Observaciones-SMP'!O48)</f>
        <v>Cerrado</v>
      </c>
      <c r="P48" s="193" t="str">
        <f>IF('Observaciones-SMP'!P48="","",'Observaciones-SMP'!P48)</f>
        <v>SSA Contratista</v>
      </c>
      <c r="Q48" s="257" t="str">
        <f>IF('Observaciones-SMP'!S48="","",'Observaciones-SMP'!S48)</f>
        <v/>
      </c>
      <c r="R48" s="193" t="str">
        <f>IF('Observaciones-SMP'!T48="","",'Observaciones-SMP'!T48)</f>
        <v/>
      </c>
      <c r="S48" s="193" t="str">
        <f>""</f>
        <v/>
      </c>
      <c r="T48" s="193" t="str">
        <f>""</f>
        <v/>
      </c>
      <c r="U48" s="193" t="str">
        <f t="shared" si="0"/>
        <v/>
      </c>
      <c r="V48" s="193" t="str">
        <f>""</f>
        <v/>
      </c>
      <c r="W48" s="193" t="str">
        <f>""</f>
        <v/>
      </c>
      <c r="X48" s="258">
        <f t="shared" si="1"/>
        <v>46266</v>
      </c>
      <c r="Y48" s="258" t="str">
        <f t="shared" si="2"/>
        <v/>
      </c>
      <c r="Z48" s="193">
        <f>IF(A48="","",IF(COUNTIF('Observaciones-SMP'!$A$2:$A$1001,A48)&gt;1,1,0))</f>
        <v>0</v>
      </c>
      <c r="AA48" s="193">
        <f t="shared" si="3"/>
        <v>49</v>
      </c>
    </row>
    <row r="49" spans="1:27" ht="13.5" customHeight="1" x14ac:dyDescent="0.3">
      <c r="A49" s="193" t="str">
        <f>IF('Observaciones-SMP'!A49="","",'Observaciones-SMP'!A49)</f>
        <v>2026-48</v>
      </c>
      <c r="B49" s="257">
        <f>IF('Observaciones-SMP'!B49="","",'Observaciones-SMP'!B49)</f>
        <v>46277</v>
      </c>
      <c r="C49" s="193" t="str">
        <f>IF('Observaciones-SMP'!C49="","",'Observaciones-SMP'!C49)</f>
        <v>Franco Demarchi</v>
      </c>
      <c r="D49" s="193" t="str">
        <f>IF('Observaciones-SMP'!D49="","",'Observaciones-SMP'!D49)</f>
        <v>Area 11. Plataforma de PC.</v>
      </c>
      <c r="E49" s="193" t="str">
        <f>IF('Observaciones-SMP'!E49="","",'Observaciones-SMP'!E49)</f>
        <v>SSGG</v>
      </c>
      <c r="F49" s="193" t="str">
        <f>IF('Observaciones-SMP'!F49="","",'Observaciones-SMP'!F49)</f>
        <v>OPS</v>
      </c>
      <c r="G49" s="193" t="str">
        <f>IF('Observaciones-SMP'!G49="","",'Observaciones-SMP'!G49)</f>
        <v>Romina Segura (OPS)</v>
      </c>
      <c r="H49" s="193" t="str">
        <f>IF('Observaciones-SMP'!H49="","",'Observaciones-SMP'!H49)</f>
        <v>Manipulación de productos quimicos (Bentonita/Cemento). Se observó que no se utilizan barbijos correspondientes como indica FDS y ARO</v>
      </c>
      <c r="I49" s="193" t="str">
        <f>IF('Observaciones-SMP'!I49="","",'Observaciones-SMP'!I49)</f>
        <v>Acto Subestándard</v>
      </c>
      <c r="J49" s="193" t="str">
        <f>IF('Observaciones-SMP'!J49="","",'Observaciones-SMP'!J49)</f>
        <v>Compromiso compartido</v>
      </c>
      <c r="K49" s="193" t="str">
        <f>IF('Observaciones-SMP'!K49="","",'Observaciones-SMP'!K49)</f>
        <v>Uso de EPP especifico</v>
      </c>
      <c r="L49" s="193" t="str">
        <f>IF('Observaciones-SMP'!L49="","",'Observaciones-SMP'!L49)</f>
        <v>Medio</v>
      </c>
      <c r="M49" s="193" t="str">
        <f>IF('Observaciones-SMP'!M49="","",'Observaciones-SMP'!M49)</f>
        <v>Proveer elementos faltantes</v>
      </c>
      <c r="N49" s="193" t="str">
        <f>IF('Observaciones-SMP'!N49="","",'Observaciones-SMP'!N49)</f>
        <v>No</v>
      </c>
      <c r="O49" s="193" t="str">
        <f>IF('Observaciones-SMP'!O49="","",'Observaciones-SMP'!O49)</f>
        <v>Abierto</v>
      </c>
      <c r="P49" s="193" t="str">
        <f>IF('Observaciones-SMP'!P49="","",'Observaciones-SMP'!P49)</f>
        <v>SSA Contratista</v>
      </c>
      <c r="Q49" s="257" t="str">
        <f>IF('Observaciones-SMP'!S49="","",'Observaciones-SMP'!S49)</f>
        <v/>
      </c>
      <c r="R49" s="193" t="str">
        <f>IF('Observaciones-SMP'!T49="","",'Observaciones-SMP'!T49)</f>
        <v/>
      </c>
      <c r="S49" s="193" t="str">
        <f>""</f>
        <v/>
      </c>
      <c r="T49" s="193" t="str">
        <f>""</f>
        <v/>
      </c>
      <c r="U49" s="193" t="str">
        <f t="shared" si="0"/>
        <v/>
      </c>
      <c r="V49" s="193" t="str">
        <f>""</f>
        <v/>
      </c>
      <c r="W49" s="193" t="str">
        <f>""</f>
        <v/>
      </c>
      <c r="X49" s="258">
        <f t="shared" si="1"/>
        <v>46266</v>
      </c>
      <c r="Y49" s="258" t="str">
        <f t="shared" si="2"/>
        <v/>
      </c>
      <c r="Z49" s="193">
        <f>IF(A49="","",IF(COUNTIF('Observaciones-SMP'!$A$2:$A$1001,A49)&gt;1,1,0))</f>
        <v>0</v>
      </c>
      <c r="AA49" s="193">
        <f t="shared" si="3"/>
        <v>49</v>
      </c>
    </row>
    <row r="50" spans="1:27" ht="13.5" customHeight="1" x14ac:dyDescent="0.3">
      <c r="A50" s="193" t="str">
        <f>IF('Observaciones-SMP'!A50="","",'Observaciones-SMP'!A50)</f>
        <v>2026-49</v>
      </c>
      <c r="B50" s="257">
        <f>IF('Observaciones-SMP'!B50="","",'Observaciones-SMP'!B50)</f>
        <v>46280</v>
      </c>
      <c r="C50" s="193" t="str">
        <f>IF('Observaciones-SMP'!C50="","",'Observaciones-SMP'!C50)</f>
        <v>Franco Demarchi</v>
      </c>
      <c r="D50" s="193" t="str">
        <f>IF('Observaciones-SMP'!D50="","",'Observaciones-SMP'!D50)</f>
        <v>Area 1 Obrador.</v>
      </c>
      <c r="E50" s="193" t="str">
        <f>IF('Observaciones-SMP'!E50="","",'Observaciones-SMP'!E50)</f>
        <v>Izaje</v>
      </c>
      <c r="F50" s="193" t="str">
        <f>IF('Observaciones-SMP'!F50="","",'Observaciones-SMP'!F50)</f>
        <v>OPS</v>
      </c>
      <c r="G50" s="193" t="str">
        <f>IF('Observaciones-SMP'!G50="","",'Observaciones-SMP'!G50)</f>
        <v>Romina Segura (OPS)</v>
      </c>
      <c r="H50" s="193" t="str">
        <f>IF('Observaciones-SMP'!H50="","",'Observaciones-SMP'!H50)</f>
        <v>Incumplimiento de roles de Izajes. Se observó una superposición de 2 señaleros en el izaje de comedor de inspección. </v>
      </c>
      <c r="I50" s="193" t="str">
        <f>IF('Observaciones-SMP'!I50="","",'Observaciones-SMP'!I50)</f>
        <v>Acto Subestándard</v>
      </c>
      <c r="J50" s="193" t="str">
        <f>IF('Observaciones-SMP'!J50="","",'Observaciones-SMP'!J50)</f>
        <v>Izajes</v>
      </c>
      <c r="K50" s="193" t="str">
        <f>IF('Observaciones-SMP'!K50="","",'Observaciones-SMP'!K50)</f>
        <v>ATS</v>
      </c>
      <c r="L50" s="193" t="str">
        <f>IF('Observaciones-SMP'!L50="","",'Observaciones-SMP'!L50)</f>
        <v>Bajo</v>
      </c>
      <c r="M50" s="193" t="str">
        <f>IF('Observaciones-SMP'!M50="","",'Observaciones-SMP'!M50)</f>
        <v>Acción corretiva</v>
      </c>
      <c r="N50" s="193" t="str">
        <f>IF('Observaciones-SMP'!N50="","",'Observaciones-SMP'!N50)</f>
        <v>No</v>
      </c>
      <c r="O50" s="193" t="str">
        <f>IF('Observaciones-SMP'!O50="","",'Observaciones-SMP'!O50)</f>
        <v>Cerrado</v>
      </c>
      <c r="P50" s="193" t="str">
        <f>IF('Observaciones-SMP'!P50="","",'Observaciones-SMP'!P50)</f>
        <v>SSA Contratista</v>
      </c>
      <c r="Q50" s="257" t="str">
        <f>IF('Observaciones-SMP'!S50="","",'Observaciones-SMP'!S50)</f>
        <v/>
      </c>
      <c r="R50" s="193" t="str">
        <f>IF('Observaciones-SMP'!T50="","",'Observaciones-SMP'!T50)</f>
        <v/>
      </c>
      <c r="S50" s="193" t="str">
        <f>""</f>
        <v/>
      </c>
      <c r="T50" s="193" t="str">
        <f>""</f>
        <v/>
      </c>
      <c r="U50" s="193" t="str">
        <f t="shared" si="0"/>
        <v/>
      </c>
      <c r="V50" s="193" t="str">
        <f>""</f>
        <v/>
      </c>
      <c r="W50" s="193" t="str">
        <f>""</f>
        <v/>
      </c>
      <c r="X50" s="258">
        <f t="shared" si="1"/>
        <v>46266</v>
      </c>
      <c r="Y50" s="258" t="str">
        <f t="shared" si="2"/>
        <v/>
      </c>
      <c r="Z50" s="193">
        <f>IF(A50="","",IF(COUNTIF('Observaciones-SMP'!$A$2:$A$1001,A50)&gt;1,1,0))</f>
        <v>0</v>
      </c>
      <c r="AA50" s="193">
        <f t="shared" si="3"/>
        <v>46</v>
      </c>
    </row>
    <row r="51" spans="1:27" ht="13.5" customHeight="1" x14ac:dyDescent="0.3">
      <c r="A51" s="193" t="str">
        <f>IF('Observaciones-SMP'!A51="","",'Observaciones-SMP'!A51)</f>
        <v>2026-50</v>
      </c>
      <c r="B51" s="257">
        <f>IF('Observaciones-SMP'!B51="","",'Observaciones-SMP'!B51)</f>
        <v>46281</v>
      </c>
      <c r="C51" s="193" t="str">
        <f>IF('Observaciones-SMP'!C51="","",'Observaciones-SMP'!C51)</f>
        <v>Franco Demarchi</v>
      </c>
      <c r="D51" s="193" t="str">
        <f>IF('Observaciones-SMP'!D51="","",'Observaciones-SMP'!D51)</f>
        <v>Area 11. Plataforma de PC.</v>
      </c>
      <c r="E51" s="193" t="str">
        <f>IF('Observaciones-SMP'!E51="","",'Observaciones-SMP'!E51)</f>
        <v>Civil</v>
      </c>
      <c r="F51" s="193" t="str">
        <f>IF('Observaciones-SMP'!F51="","",'Observaciones-SMP'!F51)</f>
        <v>OPS</v>
      </c>
      <c r="G51" s="193" t="str">
        <f>IF('Observaciones-SMP'!G51="","",'Observaciones-SMP'!G51)</f>
        <v>Romina Segura (OPS)</v>
      </c>
      <c r="H51" s="193" t="str">
        <f>IF('Observaciones-SMP'!H51="","",'Observaciones-SMP'!H51)</f>
        <v>Falta de uso de E.P.P. Se observó la falta de uso de protectores auditivos (copa) al utilizar zapato compactador.</v>
      </c>
      <c r="I51" s="193" t="str">
        <f>IF('Observaciones-SMP'!I51="","",'Observaciones-SMP'!I51)</f>
        <v>Acto Subestándard</v>
      </c>
      <c r="J51" s="193" t="str">
        <f>IF('Observaciones-SMP'!J51="","",'Observaciones-SMP'!J51)</f>
        <v>Compromiso compartido</v>
      </c>
      <c r="K51" s="193" t="str">
        <f>IF('Observaciones-SMP'!K51="","",'Observaciones-SMP'!K51)</f>
        <v>Uso de EPP especifico</v>
      </c>
      <c r="L51" s="193" t="str">
        <f>IF('Observaciones-SMP'!L51="","",'Observaciones-SMP'!L51)</f>
        <v>Medio</v>
      </c>
      <c r="M51" s="193" t="str">
        <f>IF('Observaciones-SMP'!M51="","",'Observaciones-SMP'!M51)</f>
        <v>Acción corretiva</v>
      </c>
      <c r="N51" s="193" t="str">
        <f>IF('Observaciones-SMP'!N51="","",'Observaciones-SMP'!N51)</f>
        <v>No</v>
      </c>
      <c r="O51" s="193" t="str">
        <f>IF('Observaciones-SMP'!O51="","",'Observaciones-SMP'!O51)</f>
        <v>Abierto</v>
      </c>
      <c r="P51" s="193" t="str">
        <f>IF('Observaciones-SMP'!P51="","",'Observaciones-SMP'!P51)</f>
        <v>SSA Contratista</v>
      </c>
      <c r="Q51" s="257" t="str">
        <f>IF('Observaciones-SMP'!S51="","",'Observaciones-SMP'!S51)</f>
        <v/>
      </c>
      <c r="R51" s="193" t="str">
        <f>IF('Observaciones-SMP'!T51="","",'Observaciones-SMP'!T51)</f>
        <v/>
      </c>
      <c r="S51" s="193" t="str">
        <f>""</f>
        <v/>
      </c>
      <c r="T51" s="193" t="str">
        <f>""</f>
        <v/>
      </c>
      <c r="U51" s="193" t="str">
        <f t="shared" si="0"/>
        <v/>
      </c>
      <c r="V51" s="193" t="str">
        <f>""</f>
        <v/>
      </c>
      <c r="W51" s="193" t="str">
        <f>""</f>
        <v/>
      </c>
      <c r="X51" s="258">
        <f t="shared" si="1"/>
        <v>46266</v>
      </c>
      <c r="Y51" s="258" t="str">
        <f t="shared" si="2"/>
        <v/>
      </c>
      <c r="Z51" s="193">
        <f>IF(A51="","",IF(COUNTIF('Observaciones-SMP'!$A$2:$A$1001,A51)&gt;1,1,0))</f>
        <v>0</v>
      </c>
      <c r="AA51" s="193">
        <f t="shared" si="3"/>
        <v>45</v>
      </c>
    </row>
    <row r="52" spans="1:27" ht="13.5" customHeight="1" x14ac:dyDescent="0.3">
      <c r="A52" s="193" t="str">
        <f>IF('Observaciones-SMP'!A52="","",'Observaciones-SMP'!A52)</f>
        <v>2026-51</v>
      </c>
      <c r="B52" s="257">
        <f>IF('Observaciones-SMP'!B52="","",'Observaciones-SMP'!B52)</f>
        <v>46281</v>
      </c>
      <c r="C52" s="193" t="str">
        <f>IF('Observaciones-SMP'!C52="","",'Observaciones-SMP'!C52)</f>
        <v>Franco Demarchi</v>
      </c>
      <c r="D52" s="193" t="str">
        <f>IF('Observaciones-SMP'!D52="","",'Observaciones-SMP'!D52)</f>
        <v>Area 11. Plataforma de PC.</v>
      </c>
      <c r="E52" s="193" t="str">
        <f>IF('Observaciones-SMP'!E52="","",'Observaciones-SMP'!E52)</f>
        <v>Civil</v>
      </c>
      <c r="F52" s="193" t="str">
        <f>IF('Observaciones-SMP'!F52="","",'Observaciones-SMP'!F52)</f>
        <v>OPS</v>
      </c>
      <c r="G52" s="193" t="str">
        <f>IF('Observaciones-SMP'!G52="","",'Observaciones-SMP'!G52)</f>
        <v>Sanhuesa Dario (Sup. Civil)</v>
      </c>
      <c r="H52" s="193" t="str">
        <f>IF('Observaciones-SMP'!H52="","",'Observaciones-SMP'!H52)</f>
        <v>Construccion de cerco perimetral sin seañlización y cartelería. Se le comunico al Sup. Civil que se implementara las medidas correspondientes.</v>
      </c>
      <c r="I52" s="193" t="str">
        <f>IF('Observaciones-SMP'!I52="","",'Observaciones-SMP'!I52)</f>
        <v>Condicion subestándard</v>
      </c>
      <c r="J52" s="193" t="str">
        <f>IF('Observaciones-SMP'!J52="","",'Observaciones-SMP'!J52)</f>
        <v>Compromiso compartido</v>
      </c>
      <c r="K52" s="193" t="str">
        <f>IF('Observaciones-SMP'!K52="","",'Observaciones-SMP'!K52)</f>
        <v>Señalización y Sectorización</v>
      </c>
      <c r="L52" s="193" t="str">
        <f>IF('Observaciones-SMP'!L52="","",'Observaciones-SMP'!L52)</f>
        <v>Bajo</v>
      </c>
      <c r="M52" s="193" t="str">
        <f>IF('Observaciones-SMP'!M52="","",'Observaciones-SMP'!M52)</f>
        <v>Reacondicionar sector</v>
      </c>
      <c r="N52" s="193" t="str">
        <f>IF('Observaciones-SMP'!N52="","",'Observaciones-SMP'!N52)</f>
        <v>No</v>
      </c>
      <c r="O52" s="193" t="str">
        <f>IF('Observaciones-SMP'!O52="","",'Observaciones-SMP'!O52)</f>
        <v>Cerrado</v>
      </c>
      <c r="P52" s="193" t="str">
        <f>IF('Observaciones-SMP'!P52="","",'Observaciones-SMP'!P52)</f>
        <v>Supervisión</v>
      </c>
      <c r="Q52" s="257" t="str">
        <f>IF('Observaciones-SMP'!S52="","",'Observaciones-SMP'!S52)</f>
        <v/>
      </c>
      <c r="R52" s="193" t="str">
        <f>IF('Observaciones-SMP'!T52="","",'Observaciones-SMP'!T52)</f>
        <v/>
      </c>
      <c r="S52" s="193" t="str">
        <f>""</f>
        <v/>
      </c>
      <c r="T52" s="193" t="str">
        <f>""</f>
        <v/>
      </c>
      <c r="U52" s="193" t="str">
        <f t="shared" si="0"/>
        <v/>
      </c>
      <c r="V52" s="193" t="str">
        <f>""</f>
        <v/>
      </c>
      <c r="W52" s="193" t="str">
        <f>""</f>
        <v/>
      </c>
      <c r="X52" s="258">
        <f t="shared" si="1"/>
        <v>46266</v>
      </c>
      <c r="Y52" s="258" t="str">
        <f t="shared" si="2"/>
        <v/>
      </c>
      <c r="Z52" s="193">
        <f>IF(A52="","",IF(COUNTIF('Observaciones-SMP'!$A$2:$A$1001,A52)&gt;1,1,0))</f>
        <v>0</v>
      </c>
      <c r="AA52" s="193">
        <f t="shared" si="3"/>
        <v>45</v>
      </c>
    </row>
    <row r="53" spans="1:27" ht="13.5" customHeight="1" x14ac:dyDescent="0.3">
      <c r="A53" s="193" t="str">
        <f>IF('Observaciones-SMP'!A53="","",'Observaciones-SMP'!A53)</f>
        <v>2026-52</v>
      </c>
      <c r="B53" s="257">
        <f>IF('Observaciones-SMP'!B53="","",'Observaciones-SMP'!B53)</f>
        <v>46283</v>
      </c>
      <c r="C53" s="193" t="str">
        <f>IF('Observaciones-SMP'!C53="","",'Observaciones-SMP'!C53)</f>
        <v>Franco Demarchi</v>
      </c>
      <c r="D53" s="193" t="str">
        <f>IF('Observaciones-SMP'!D53="","",'Observaciones-SMP'!D53)</f>
        <v>Area 11. Plataforma de PC.</v>
      </c>
      <c r="E53" s="193" t="str">
        <f>IF('Observaciones-SMP'!E53="","",'Observaciones-SMP'!E53)</f>
        <v>Civil</v>
      </c>
      <c r="F53" s="193" t="str">
        <f>IF('Observaciones-SMP'!F53="","",'Observaciones-SMP'!F53)</f>
        <v>OPS</v>
      </c>
      <c r="G53" s="193" t="str">
        <f>IF('Observaciones-SMP'!G53="","",'Observaciones-SMP'!G53)</f>
        <v>Sanhuesa Dario (Sup. Civil)</v>
      </c>
      <c r="H53" s="193" t="str">
        <f>IF('Observaciones-SMP'!H53="","",'Observaciones-SMP'!H53)</f>
        <v>Señalizacion area de excavación. Se observó la CORRECTA señalización y vallado en las excavaciones abiertas, cumpliendo con las medidas de seguridad.</v>
      </c>
      <c r="I53" s="193" t="str">
        <f>IF('Observaciones-SMP'!I53="","",'Observaciones-SMP'!I53)</f>
        <v>Condicion estándar</v>
      </c>
      <c r="J53" s="193" t="str">
        <f>IF('Observaciones-SMP'!J53="","",'Observaciones-SMP'!J53)</f>
        <v>Excavaciones</v>
      </c>
      <c r="K53" s="193" t="str">
        <f>IF('Observaciones-SMP'!K53="","",'Observaciones-SMP'!K53)</f>
        <v>Señalización y Sectorización</v>
      </c>
      <c r="L53" s="193" t="str">
        <f>IF('Observaciones-SMP'!L53="","",'Observaciones-SMP'!L53)</f>
        <v>Bajo</v>
      </c>
      <c r="M53" s="193" t="str">
        <f>IF('Observaciones-SMP'!M53="","",'Observaciones-SMP'!M53)</f>
        <v>Reconocimiento</v>
      </c>
      <c r="N53" s="193" t="str">
        <f>IF('Observaciones-SMP'!N53="","",'Observaciones-SMP'!N53)</f>
        <v>No</v>
      </c>
      <c r="O53" s="193" t="str">
        <f>IF('Observaciones-SMP'!O53="","",'Observaciones-SMP'!O53)</f>
        <v>Cerrado</v>
      </c>
      <c r="P53" s="193" t="str">
        <f>IF('Observaciones-SMP'!P53="","",'Observaciones-SMP'!P53)</f>
        <v>Supervisión</v>
      </c>
      <c r="Q53" s="257" t="str">
        <f>IF('Observaciones-SMP'!S53="","",'Observaciones-SMP'!S53)</f>
        <v/>
      </c>
      <c r="R53" s="193" t="str">
        <f>IF('Observaciones-SMP'!T53="","",'Observaciones-SMP'!T53)</f>
        <v/>
      </c>
      <c r="S53" s="193" t="str">
        <f>""</f>
        <v/>
      </c>
      <c r="T53" s="193" t="str">
        <f>""</f>
        <v/>
      </c>
      <c r="U53" s="193" t="str">
        <f t="shared" si="0"/>
        <v/>
      </c>
      <c r="V53" s="193" t="str">
        <f>""</f>
        <v/>
      </c>
      <c r="W53" s="193" t="str">
        <f>""</f>
        <v/>
      </c>
      <c r="X53" s="258">
        <f t="shared" si="1"/>
        <v>46266</v>
      </c>
      <c r="Y53" s="258" t="str">
        <f t="shared" si="2"/>
        <v/>
      </c>
      <c r="Z53" s="193">
        <f>IF(A53="","",IF(COUNTIF('Observaciones-SMP'!$A$2:$A$1001,A53)&gt;1,1,0))</f>
        <v>0</v>
      </c>
      <c r="AA53" s="193">
        <f t="shared" si="3"/>
        <v>43</v>
      </c>
    </row>
    <row r="54" spans="1:27" ht="13.5" customHeight="1" x14ac:dyDescent="0.3">
      <c r="A54" s="193" t="str">
        <f>IF('Observaciones-SMP'!A54="","",'Observaciones-SMP'!A54)</f>
        <v>2026-53</v>
      </c>
      <c r="B54" s="257">
        <f>IF('Observaciones-SMP'!B54="","",'Observaciones-SMP'!B54)</f>
        <v>46284</v>
      </c>
      <c r="C54" s="193" t="str">
        <f>IF('Observaciones-SMP'!C54="","",'Observaciones-SMP'!C54)</f>
        <v>Franco Demarchi</v>
      </c>
      <c r="D54" s="193" t="str">
        <f>IF('Observaciones-SMP'!D54="","",'Observaciones-SMP'!D54)</f>
        <v>Area 11. Plataforma de PC.</v>
      </c>
      <c r="E54" s="193" t="str">
        <f>IF('Observaciones-SMP'!E54="","",'Observaciones-SMP'!E54)</f>
        <v>Civil</v>
      </c>
      <c r="F54" s="193" t="str">
        <f>IF('Observaciones-SMP'!F54="","",'Observaciones-SMP'!F54)</f>
        <v>OPS</v>
      </c>
      <c r="G54" s="193" t="str">
        <f>IF('Observaciones-SMP'!G54="","",'Observaciones-SMP'!G54)</f>
        <v>Sanhuesa Dario (Sup. Civil)</v>
      </c>
      <c r="H54" s="193" t="str">
        <f>IF('Observaciones-SMP'!H54="","",'Observaciones-SMP'!H54)</f>
        <v>Señalización y vallados de maquinas. Se observo la CORRECTA  señalización y vallados de las areas en las que se encuentran trabjando las maquinas.</v>
      </c>
      <c r="I54" s="193" t="str">
        <f>IF('Observaciones-SMP'!I54="","",'Observaciones-SMP'!I54)</f>
        <v>Condicion estándar</v>
      </c>
      <c r="J54" s="193" t="str">
        <f>IF('Observaciones-SMP'!J54="","",'Observaciones-SMP'!J54)</f>
        <v>Excavaciones</v>
      </c>
      <c r="K54" s="193" t="str">
        <f>IF('Observaciones-SMP'!K54="","",'Observaciones-SMP'!K54)</f>
        <v>Señalización y Sectorización</v>
      </c>
      <c r="L54" s="193" t="str">
        <f>IF('Observaciones-SMP'!L54="","",'Observaciones-SMP'!L54)</f>
        <v>Bajo</v>
      </c>
      <c r="M54" s="193" t="str">
        <f>IF('Observaciones-SMP'!M54="","",'Observaciones-SMP'!M54)</f>
        <v>Reconocimiento</v>
      </c>
      <c r="N54" s="193" t="str">
        <f>IF('Observaciones-SMP'!N54="","",'Observaciones-SMP'!N54)</f>
        <v>No</v>
      </c>
      <c r="O54" s="193" t="str">
        <f>IF('Observaciones-SMP'!O54="","",'Observaciones-SMP'!O54)</f>
        <v>Cerrado</v>
      </c>
      <c r="P54" s="193" t="str">
        <f>IF('Observaciones-SMP'!P54="","",'Observaciones-SMP'!P54)</f>
        <v>Supervisión</v>
      </c>
      <c r="Q54" s="257" t="str">
        <f>IF('Observaciones-SMP'!S54="","",'Observaciones-SMP'!S54)</f>
        <v/>
      </c>
      <c r="R54" s="193" t="str">
        <f>IF('Observaciones-SMP'!T54="","",'Observaciones-SMP'!T54)</f>
        <v/>
      </c>
      <c r="S54" s="193" t="str">
        <f>""</f>
        <v/>
      </c>
      <c r="T54" s="193" t="str">
        <f>""</f>
        <v/>
      </c>
      <c r="U54" s="193" t="str">
        <f t="shared" si="0"/>
        <v/>
      </c>
      <c r="V54" s="193" t="str">
        <f>""</f>
        <v/>
      </c>
      <c r="W54" s="193" t="str">
        <f>""</f>
        <v/>
      </c>
      <c r="X54" s="258">
        <f t="shared" si="1"/>
        <v>46266</v>
      </c>
      <c r="Y54" s="258" t="str">
        <f t="shared" si="2"/>
        <v/>
      </c>
      <c r="Z54" s="193">
        <f>IF(A54="","",IF(COUNTIF('Observaciones-SMP'!$A$2:$A$1001,A54)&gt;1,1,0))</f>
        <v>0</v>
      </c>
      <c r="AA54" s="193">
        <f t="shared" si="3"/>
        <v>42</v>
      </c>
    </row>
    <row r="55" spans="1:27" ht="13.5" customHeight="1" x14ac:dyDescent="0.3">
      <c r="A55" s="193" t="str">
        <f>IF('Observaciones-SMP'!A55="","",'Observaciones-SMP'!A55)</f>
        <v>2026-54</v>
      </c>
      <c r="B55" s="257">
        <f>IF('Observaciones-SMP'!B55="","",'Observaciones-SMP'!B55)</f>
        <v>46287</v>
      </c>
      <c r="C55" s="193" t="str">
        <f>IF('Observaciones-SMP'!C55="","",'Observaciones-SMP'!C55)</f>
        <v>Franco Demarchi</v>
      </c>
      <c r="D55" s="193" t="str">
        <f>IF('Observaciones-SMP'!D55="","",'Observaciones-SMP'!D55)</f>
        <v>Area 21. Pañol</v>
      </c>
      <c r="E55" s="193" t="str">
        <f>IF('Observaciones-SMP'!E55="","",'Observaciones-SMP'!E55)</f>
        <v>Electricidad e Instrumentos</v>
      </c>
      <c r="F55" s="193" t="str">
        <f>IF('Observaciones-SMP'!F55="","",'Observaciones-SMP'!F55)</f>
        <v>OPS</v>
      </c>
      <c r="G55" s="193" t="str">
        <f>IF('Observaciones-SMP'!G55="","",'Observaciones-SMP'!G55)</f>
        <v>Caneo Javier (Electricista)</v>
      </c>
      <c r="H55" s="193" t="str">
        <f>IF('Observaciones-SMP'!H55="","",'Observaciones-SMP'!H55)</f>
        <v>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v>
      </c>
      <c r="I55" s="193" t="str">
        <f>IF('Observaciones-SMP'!I55="","",'Observaciones-SMP'!I55)</f>
        <v>Acto Subestándard</v>
      </c>
      <c r="J55" s="193" t="str">
        <f>IF('Observaciones-SMP'!J55="","",'Observaciones-SMP'!J55)</f>
        <v>Area de proyección y contacto</v>
      </c>
      <c r="K55" s="193" t="str">
        <f>IF('Observaciones-SMP'!K55="","",'Observaciones-SMP'!K55)</f>
        <v>Herramientas eléctricas</v>
      </c>
      <c r="L55" s="193" t="str">
        <f>IF('Observaciones-SMP'!L55="","",'Observaciones-SMP'!L55)</f>
        <v>Medio</v>
      </c>
      <c r="M55" s="193" t="str">
        <f>IF('Observaciones-SMP'!M55="","",'Observaciones-SMP'!M55)</f>
        <v>Inspección de equipos y herramientas.</v>
      </c>
      <c r="N55" s="193" t="str">
        <f>IF('Observaciones-SMP'!N55="","",'Observaciones-SMP'!N55)</f>
        <v>No</v>
      </c>
      <c r="O55" s="193" t="str">
        <f>IF('Observaciones-SMP'!O55="","",'Observaciones-SMP'!O55)</f>
        <v>Cerrado</v>
      </c>
      <c r="P55" s="193" t="str">
        <f>IF('Observaciones-SMP'!P55="","",'Observaciones-SMP'!P55)</f>
        <v>SSA Contratista</v>
      </c>
      <c r="Q55" s="257" t="str">
        <f>IF('Observaciones-SMP'!S55="","",'Observaciones-SMP'!S55)</f>
        <v>SI</v>
      </c>
      <c r="R55" s="193" t="str">
        <f>IF('Observaciones-SMP'!T55="","",'Observaciones-SMP'!T55)</f>
        <v/>
      </c>
      <c r="S55" s="193" t="str">
        <f>""</f>
        <v/>
      </c>
      <c r="T55" s="193" t="str">
        <f>""</f>
        <v/>
      </c>
      <c r="U55" s="193" t="str">
        <f t="shared" si="0"/>
        <v/>
      </c>
      <c r="V55" s="193" t="str">
        <f>""</f>
        <v/>
      </c>
      <c r="W55" s="193" t="str">
        <f>""</f>
        <v/>
      </c>
      <c r="X55" s="258">
        <f t="shared" si="1"/>
        <v>46266</v>
      </c>
      <c r="Y55" s="258" t="str">
        <f t="shared" si="2"/>
        <v/>
      </c>
      <c r="Z55" s="193">
        <f>IF(A55="","",IF(COUNTIF('Observaciones-SMP'!$A$2:$A$1001,A55)&gt;1,1,0))</f>
        <v>0</v>
      </c>
      <c r="AA55" s="193">
        <f t="shared" si="3"/>
        <v>39</v>
      </c>
    </row>
    <row r="56" spans="1:27" ht="13.5" customHeight="1" x14ac:dyDescent="0.3">
      <c r="A56" s="193" t="str">
        <f>IF('Observaciones-SMP'!A56="","",'Observaciones-SMP'!A56)</f>
        <v>2026-55</v>
      </c>
      <c r="B56" s="257">
        <f>IF('Observaciones-SMP'!B56="","",'Observaciones-SMP'!B56)</f>
        <v>46288</v>
      </c>
      <c r="C56" s="193" t="str">
        <f>IF('Observaciones-SMP'!C56="","",'Observaciones-SMP'!C56)</f>
        <v>Franco Demarchi</v>
      </c>
      <c r="D56" s="193" t="str">
        <f>IF('Observaciones-SMP'!D56="","",'Observaciones-SMP'!D56)</f>
        <v>Area 20. Pipping</v>
      </c>
      <c r="E56" s="193" t="str">
        <f>IF('Observaciones-SMP'!E56="","",'Observaciones-SMP'!E56)</f>
        <v>Soldadura</v>
      </c>
      <c r="F56" s="193" t="str">
        <f>IF('Observaciones-SMP'!F56="","",'Observaciones-SMP'!F56)</f>
        <v>OPS</v>
      </c>
      <c r="G56" s="193" t="str">
        <f>IF('Observaciones-SMP'!G56="","",'Observaciones-SMP'!G56)</f>
        <v>Sanhuesa Dario (Sup. Civil)</v>
      </c>
      <c r="H56" s="193" t="str">
        <f>IF('Observaciones-SMP'!H56="","",'Observaciones-SMP'!H56)</f>
        <v>Se observo que en el area de soldadura el ayudante del soldador no contaba con mascara facil con filtros y el delantal correspondiente a fin de evitar riesgos de salud provenientes de la radiación y/o quemaduras</v>
      </c>
      <c r="I56" s="193" t="str">
        <f>IF('Observaciones-SMP'!I56="","",'Observaciones-SMP'!I56)</f>
        <v>Acto Subestándard</v>
      </c>
      <c r="J56" s="193" t="str">
        <f>IF('Observaciones-SMP'!J56="","",'Observaciones-SMP'!J56)</f>
        <v>Area de proyección y contacto</v>
      </c>
      <c r="K56" s="193" t="str">
        <f>IF('Observaciones-SMP'!K56="","",'Observaciones-SMP'!K56)</f>
        <v>Uso de EPP especifico</v>
      </c>
      <c r="L56" s="193" t="str">
        <f>IF('Observaciones-SMP'!L56="","",'Observaciones-SMP'!L56)</f>
        <v>Medio</v>
      </c>
      <c r="M56" s="193" t="str">
        <f>IF('Observaciones-SMP'!M56="","",'Observaciones-SMP'!M56)</f>
        <v>Acción corretiva</v>
      </c>
      <c r="N56" s="193" t="str">
        <f>IF('Observaciones-SMP'!N56="","",'Observaciones-SMP'!N56)</f>
        <v>No</v>
      </c>
      <c r="O56" s="193" t="str">
        <f>IF('Observaciones-SMP'!O56="","",'Observaciones-SMP'!O56)</f>
        <v>Cerrado</v>
      </c>
      <c r="P56" s="193" t="str">
        <f>IF('Observaciones-SMP'!P56="","",'Observaciones-SMP'!P56)</f>
        <v>Supervisión</v>
      </c>
      <c r="Q56" s="257" t="str">
        <f>IF('Observaciones-SMP'!S56="","",'Observaciones-SMP'!S56)</f>
        <v>si</v>
      </c>
      <c r="R56" s="193" t="str">
        <f>IF('Observaciones-SMP'!T56="","",'Observaciones-SMP'!T56)</f>
        <v/>
      </c>
      <c r="S56" s="193" t="str">
        <f>""</f>
        <v/>
      </c>
      <c r="T56" s="193" t="str">
        <f>""</f>
        <v/>
      </c>
      <c r="U56" s="193" t="str">
        <f t="shared" si="0"/>
        <v/>
      </c>
      <c r="V56" s="193" t="str">
        <f>""</f>
        <v/>
      </c>
      <c r="W56" s="193" t="str">
        <f>""</f>
        <v/>
      </c>
      <c r="X56" s="258">
        <f t="shared" si="1"/>
        <v>46266</v>
      </c>
      <c r="Y56" s="258" t="str">
        <f t="shared" si="2"/>
        <v/>
      </c>
      <c r="Z56" s="193">
        <f>IF(A56="","",IF(COUNTIF('Observaciones-SMP'!$A$2:$A$1001,A56)&gt;1,1,0))</f>
        <v>0</v>
      </c>
      <c r="AA56" s="193">
        <f t="shared" si="3"/>
        <v>38</v>
      </c>
    </row>
    <row r="57" spans="1:27" ht="13.5" customHeight="1" x14ac:dyDescent="0.3">
      <c r="A57" s="193" t="str">
        <f>IF('Observaciones-SMP'!A57="","",'Observaciones-SMP'!A57)</f>
        <v>2026-56</v>
      </c>
      <c r="B57" s="257">
        <f>IF('Observaciones-SMP'!B57="","",'Observaciones-SMP'!B57)</f>
        <v>46287</v>
      </c>
      <c r="C57" s="193" t="str">
        <f>IF('Observaciones-SMP'!C57="","",'Observaciones-SMP'!C57)</f>
        <v>Mario Acosta IEBC</v>
      </c>
      <c r="D57" s="193" t="str">
        <f>IF('Observaciones-SMP'!D57="","",'Observaciones-SMP'!D57)</f>
        <v>Área 7   Prefabricados</v>
      </c>
      <c r="E57" s="193" t="str">
        <f>IF('Observaciones-SMP'!E57="","",'Observaciones-SMP'!E57)</f>
        <v>Electricidad e Instrumentos</v>
      </c>
      <c r="F57" s="193" t="str">
        <f>IF('Observaciones-SMP'!F57="","",'Observaciones-SMP'!F57)</f>
        <v>OPS</v>
      </c>
      <c r="G57" s="193" t="str">
        <f>IF('Observaciones-SMP'!G57="","",'Observaciones-SMP'!G57)</f>
        <v>Almacenes</v>
      </c>
      <c r="H57" s="193" t="str">
        <f>IF('Observaciones-SMP'!H57="","",'Observaciones-SMP'!H57)</f>
        <v>Se observan herramientas (amoladoras, turbinetas, sierra circular manual), sin inspección.</v>
      </c>
      <c r="I57" s="193" t="str">
        <f>IF('Observaciones-SMP'!I57="","",'Observaciones-SMP'!I57)</f>
        <v>Condición subestándar</v>
      </c>
      <c r="J57" s="193" t="str">
        <f>IF('Observaciones-SMP'!J57="","",'Observaciones-SMP'!J57)</f>
        <v>Gestión de cambio</v>
      </c>
      <c r="K57" s="193" t="str">
        <f>IF('Observaciones-SMP'!K57="","",'Observaciones-SMP'!K57)</f>
        <v>Herramientas eléctricas y/o a baterías</v>
      </c>
      <c r="L57" s="193" t="str">
        <f>IF('Observaciones-SMP'!L57="","",'Observaciones-SMP'!L57)</f>
        <v>Bajo</v>
      </c>
      <c r="M57" s="193" t="str">
        <f>IF('Observaciones-SMP'!M57="","",'Observaciones-SMP'!M57)</f>
        <v>Identificación</v>
      </c>
      <c r="N57" s="193" t="str">
        <f>IF('Observaciones-SMP'!N57="","",'Observaciones-SMP'!N57)</f>
        <v>No</v>
      </c>
      <c r="O57" s="193" t="str">
        <f>IF('Observaciones-SMP'!O57="","",'Observaciones-SMP'!O57)</f>
        <v>Cerrado</v>
      </c>
      <c r="P57" s="193" t="str">
        <f>IF('Observaciones-SMP'!P57="","",'Observaciones-SMP'!P57)</f>
        <v>Supervisión</v>
      </c>
      <c r="Q57" s="257">
        <f>IF('Observaciones-SMP'!S57="","",'Observaciones-SMP'!S57)</f>
        <v>46287</v>
      </c>
      <c r="R57" s="193" t="str">
        <f>IF('Observaciones-SMP'!T57="","",'Observaciones-SMP'!T57)</f>
        <v/>
      </c>
      <c r="S57" s="193" t="str">
        <f>""</f>
        <v/>
      </c>
      <c r="T57" s="193" t="str">
        <f>""</f>
        <v/>
      </c>
      <c r="U57" s="193">
        <f t="shared" si="0"/>
        <v>0</v>
      </c>
      <c r="V57" s="193" t="str">
        <f>""</f>
        <v/>
      </c>
      <c r="W57" s="193" t="str">
        <f>""</f>
        <v/>
      </c>
      <c r="X57" s="258">
        <f t="shared" si="1"/>
        <v>46266</v>
      </c>
      <c r="Y57" s="258">
        <f t="shared" si="2"/>
        <v>46266</v>
      </c>
      <c r="Z57" s="193">
        <f>IF(A57="","",IF(COUNTIF('Observaciones-SMP'!$A$2:$A$1001,A57)&gt;1,1,0))</f>
        <v>0</v>
      </c>
      <c r="AA57" s="193">
        <f t="shared" si="3"/>
        <v>0</v>
      </c>
    </row>
    <row r="58" spans="1:27" ht="13.5" customHeight="1" x14ac:dyDescent="0.3">
      <c r="A58" s="193" t="str">
        <f>IF('Observaciones-SMP'!A58="","",'Observaciones-SMP'!A58)</f>
        <v>2026-57</v>
      </c>
      <c r="B58" s="257">
        <f>IF('Observaciones-SMP'!B58="","",'Observaciones-SMP'!B58)</f>
        <v>46287</v>
      </c>
      <c r="C58" s="193" t="str">
        <f>IF('Observaciones-SMP'!C58="","",'Observaciones-SMP'!C58)</f>
        <v>Mario Acosta IEBC</v>
      </c>
      <c r="D58" s="193" t="str">
        <f>IF('Observaciones-SMP'!D58="","",'Observaciones-SMP'!D58)</f>
        <v>Área 17 Carpintería</v>
      </c>
      <c r="E58" s="193" t="str">
        <f>IF('Observaciones-SMP'!E58="","",'Observaciones-SMP'!E58)</f>
        <v>Civil</v>
      </c>
      <c r="F58" s="193" t="str">
        <f>IF('Observaciones-SMP'!F58="","",'Observaciones-SMP'!F58)</f>
        <v>OPS</v>
      </c>
      <c r="G58" s="193" t="str">
        <f>IF('Observaciones-SMP'!G58="","",'Observaciones-SMP'!G58)</f>
        <v>Civil</v>
      </c>
      <c r="H58" s="193" t="str">
        <f>IF('Observaciones-SMP'!H58="","",'Observaciones-SMP'!H58)</f>
        <v>Se encuentra sierra circular de mano sin etiqueta de inspección mensual.</v>
      </c>
      <c r="I58" s="193" t="str">
        <f>IF('Observaciones-SMP'!I58="","",'Observaciones-SMP'!I58)</f>
        <v>Condición subestándar</v>
      </c>
      <c r="J58" s="193" t="str">
        <f>IF('Observaciones-SMP'!J58="","",'Observaciones-SMP'!J58)</f>
        <v>Gestión de cambio</v>
      </c>
      <c r="K58" s="193" t="str">
        <f>IF('Observaciones-SMP'!K58="","",'Observaciones-SMP'!K58)</f>
        <v>Herramientas eléctricas y/o a baterías</v>
      </c>
      <c r="L58" s="193" t="str">
        <f>IF('Observaciones-SMP'!L58="","",'Observaciones-SMP'!L58)</f>
        <v>Bajo</v>
      </c>
      <c r="M58" s="193" t="str">
        <f>IF('Observaciones-SMP'!M58="","",'Observaciones-SMP'!M58)</f>
        <v>Identificación</v>
      </c>
      <c r="N58" s="193" t="str">
        <f>IF('Observaciones-SMP'!N58="","",'Observaciones-SMP'!N58)</f>
        <v>No</v>
      </c>
      <c r="O58" s="193" t="str">
        <f>IF('Observaciones-SMP'!O58="","",'Observaciones-SMP'!O58)</f>
        <v>Cerrado</v>
      </c>
      <c r="P58" s="193" t="str">
        <f>IF('Observaciones-SMP'!P58="","",'Observaciones-SMP'!P58)</f>
        <v>SSA Contratista</v>
      </c>
      <c r="Q58" s="257" t="str">
        <f>IF('Observaciones-SMP'!S58="","",'Observaciones-SMP'!S58)</f>
        <v>22/09/206</v>
      </c>
      <c r="R58" s="193" t="str">
        <f>IF('Observaciones-SMP'!T58="","",'Observaciones-SMP'!T58)</f>
        <v/>
      </c>
      <c r="S58" s="193" t="str">
        <f>""</f>
        <v/>
      </c>
      <c r="T58" s="193" t="str">
        <f>""</f>
        <v/>
      </c>
      <c r="U58" s="193" t="str">
        <f t="shared" si="0"/>
        <v/>
      </c>
      <c r="V58" s="193" t="str">
        <f>""</f>
        <v/>
      </c>
      <c r="W58" s="193" t="str">
        <f>""</f>
        <v/>
      </c>
      <c r="X58" s="258">
        <f t="shared" si="1"/>
        <v>46266</v>
      </c>
      <c r="Y58" s="258" t="str">
        <f t="shared" si="2"/>
        <v/>
      </c>
      <c r="Z58" s="193">
        <f>IF(A58="","",IF(COUNTIF('Observaciones-SMP'!$A$2:$A$1001,A58)&gt;1,1,0))</f>
        <v>0</v>
      </c>
      <c r="AA58" s="193">
        <f t="shared" si="3"/>
        <v>39</v>
      </c>
    </row>
    <row r="59" spans="1:27" ht="13.5" customHeight="1" x14ac:dyDescent="0.3">
      <c r="A59" s="193" t="str">
        <f>IF('Observaciones-SMP'!A59="","",'Observaciones-SMP'!A59)</f>
        <v>2026-58</v>
      </c>
      <c r="B59" s="257">
        <f>IF('Observaciones-SMP'!B59="","",'Observaciones-SMP'!B59)</f>
        <v>46287</v>
      </c>
      <c r="C59" s="193" t="str">
        <f>IF('Observaciones-SMP'!C59="","",'Observaciones-SMP'!C59)</f>
        <v>Mario Acosta IEBC</v>
      </c>
      <c r="D59" s="193" t="str">
        <f>IF('Observaciones-SMP'!D59="","",'Observaciones-SMP'!D59)</f>
        <v>Área 11 Plataforma de PC</v>
      </c>
      <c r="E59" s="193" t="str">
        <f>IF('Observaciones-SMP'!E59="","",'Observaciones-SMP'!E59)</f>
        <v>Civil</v>
      </c>
      <c r="F59" s="193" t="str">
        <f>IF('Observaciones-SMP'!F59="","",'Observaciones-SMP'!F59)</f>
        <v>OPS</v>
      </c>
      <c r="G59" s="193" t="str">
        <f>IF('Observaciones-SMP'!G59="","",'Observaciones-SMP'!G59)</f>
        <v>Sanhueza Darío (Sup Civil)</v>
      </c>
      <c r="H59" s="193" t="str">
        <f>IF('Observaciones-SMP'!H59="","",'Observaciones-SMP'!H59)</f>
        <v>Las inclemencias climáticas ocasionaron que los caballetes que señalizaban las excavaciones se encuentran en el suelo.</v>
      </c>
      <c r="I59" s="193" t="str">
        <f>IF('Observaciones-SMP'!I59="","",'Observaciones-SMP'!I59)</f>
        <v>Condición subestándar</v>
      </c>
      <c r="J59" s="193" t="str">
        <f>IF('Observaciones-SMP'!J59="","",'Observaciones-SMP'!J59)</f>
        <v>Excavaciones</v>
      </c>
      <c r="K59" s="193" t="str">
        <f>IF('Observaciones-SMP'!K59="","",'Observaciones-SMP'!K59)</f>
        <v>Señalización y Sectorización</v>
      </c>
      <c r="L59" s="193" t="str">
        <f>IF('Observaciones-SMP'!L59="","",'Observaciones-SMP'!L59)</f>
        <v>Bajo</v>
      </c>
      <c r="M59" s="193" t="str">
        <f>IF('Observaciones-SMP'!M59="","",'Observaciones-SMP'!M59)</f>
        <v>Reacondicionar sector</v>
      </c>
      <c r="N59" s="193" t="str">
        <f>IF('Observaciones-SMP'!N59="","",'Observaciones-SMP'!N59)</f>
        <v>No</v>
      </c>
      <c r="O59" s="193" t="str">
        <f>IF('Observaciones-SMP'!O59="","",'Observaciones-SMP'!O59)</f>
        <v>Cerrado</v>
      </c>
      <c r="P59" s="193" t="str">
        <f>IF('Observaciones-SMP'!P59="","",'Observaciones-SMP'!P59)</f>
        <v>SSA Contratista</v>
      </c>
      <c r="Q59" s="257" t="str">
        <f>IF('Observaciones-SMP'!S59="","",'Observaciones-SMP'!S59)</f>
        <v>22/09/206</v>
      </c>
      <c r="R59" s="193" t="str">
        <f>IF('Observaciones-SMP'!T59="","",'Observaciones-SMP'!T59)</f>
        <v/>
      </c>
      <c r="S59" s="193" t="str">
        <f>""</f>
        <v/>
      </c>
      <c r="T59" s="193" t="str">
        <f>""</f>
        <v/>
      </c>
      <c r="U59" s="193" t="str">
        <f t="shared" si="0"/>
        <v/>
      </c>
      <c r="V59" s="193" t="str">
        <f>""</f>
        <v/>
      </c>
      <c r="W59" s="193" t="str">
        <f>""</f>
        <v/>
      </c>
      <c r="X59" s="258">
        <f t="shared" si="1"/>
        <v>46266</v>
      </c>
      <c r="Y59" s="258" t="str">
        <f t="shared" si="2"/>
        <v/>
      </c>
      <c r="Z59" s="193">
        <f>IF(A59="","",IF(COUNTIF('Observaciones-SMP'!$A$2:$A$1001,A59)&gt;1,1,0))</f>
        <v>0</v>
      </c>
      <c r="AA59" s="193">
        <f t="shared" si="3"/>
        <v>39</v>
      </c>
    </row>
    <row r="60" spans="1:27" ht="13.5" customHeight="1" x14ac:dyDescent="0.3">
      <c r="A60" s="193" t="str">
        <f>IF('Observaciones-SMP'!A60="","",'Observaciones-SMP'!A60)</f>
        <v>2026-59</v>
      </c>
      <c r="B60" s="257">
        <f>IF('Observaciones-SMP'!B60="","",'Observaciones-SMP'!B60)</f>
        <v>46287</v>
      </c>
      <c r="C60" s="193" t="str">
        <f>IF('Observaciones-SMP'!C60="","",'Observaciones-SMP'!C60)</f>
        <v>Mario Acosta IEBC</v>
      </c>
      <c r="D60" s="193" t="str">
        <f>IF('Observaciones-SMP'!D60="","",'Observaciones-SMP'!D60)</f>
        <v>Área 1   Obrador</v>
      </c>
      <c r="E60" s="193" t="str">
        <f>IF('Observaciones-SMP'!E60="","",'Observaciones-SMP'!E60)</f>
        <v>Electricidad e Instrumentos</v>
      </c>
      <c r="F60" s="193" t="str">
        <f>IF('Observaciones-SMP'!F60="","",'Observaciones-SMP'!F60)</f>
        <v>OPS</v>
      </c>
      <c r="G60" s="193" t="str">
        <f>IF('Observaciones-SMP'!G60="","",'Observaciones-SMP'!G60)</f>
        <v>Caneo Javier (OPS Elect. E inst.)</v>
      </c>
      <c r="H60" s="193" t="str">
        <f>IF('Observaciones-SMP'!H60="","",'Observaciones-SMP'!H60)</f>
        <v>Se observa la falta del cumplimiento de la consignación efectiva en los tableros de obra.</v>
      </c>
      <c r="I60" s="193" t="str">
        <f>IF('Observaciones-SMP'!I60="","",'Observaciones-SMP'!I60)</f>
        <v>Condición subestándar</v>
      </c>
      <c r="J60" s="193" t="str">
        <f>IF('Observaciones-SMP'!J60="","",'Observaciones-SMP'!J60)</f>
        <v>Aislamiento de la Energía</v>
      </c>
      <c r="K60" s="193" t="str">
        <f>IF('Observaciones-SMP'!K60="","",'Observaciones-SMP'!K60)</f>
        <v>Otros</v>
      </c>
      <c r="L60" s="193" t="str">
        <f>IF('Observaciones-SMP'!L60="","",'Observaciones-SMP'!L60)</f>
        <v>Medio</v>
      </c>
      <c r="M60" s="193" t="str">
        <f>IF('Observaciones-SMP'!M60="","",'Observaciones-SMP'!M60)</f>
        <v>Reacondicionar tableros e inst. elect.</v>
      </c>
      <c r="N60" s="193" t="str">
        <f>IF('Observaciones-SMP'!N60="","",'Observaciones-SMP'!N60)</f>
        <v>No</v>
      </c>
      <c r="O60" s="193" t="str">
        <f>IF('Observaciones-SMP'!O60="","",'Observaciones-SMP'!O60)</f>
        <v>Cerrado</v>
      </c>
      <c r="P60" s="193" t="str">
        <f>IF('Observaciones-SMP'!P60="","",'Observaciones-SMP'!P60)</f>
        <v>SSA Contratista</v>
      </c>
      <c r="Q60" s="257">
        <f>IF('Observaciones-SMP'!S60="","",'Observaciones-SMP'!S60)</f>
        <v>46287</v>
      </c>
      <c r="R60" s="193" t="str">
        <f>IF('Observaciones-SMP'!T60="","",'Observaciones-SMP'!T60)</f>
        <v/>
      </c>
      <c r="S60" s="193" t="str">
        <f>""</f>
        <v/>
      </c>
      <c r="T60" s="193" t="str">
        <f>""</f>
        <v/>
      </c>
      <c r="U60" s="193">
        <f t="shared" si="0"/>
        <v>0</v>
      </c>
      <c r="V60" s="193" t="str">
        <f>""</f>
        <v/>
      </c>
      <c r="W60" s="193" t="str">
        <f>""</f>
        <v/>
      </c>
      <c r="X60" s="258">
        <f t="shared" si="1"/>
        <v>46266</v>
      </c>
      <c r="Y60" s="258">
        <f t="shared" si="2"/>
        <v>46266</v>
      </c>
      <c r="Z60" s="193">
        <f>IF(A60="","",IF(COUNTIF('Observaciones-SMP'!$A$2:$A$1001,A60)&gt;1,1,0))</f>
        <v>0</v>
      </c>
      <c r="AA60" s="193">
        <f t="shared" si="3"/>
        <v>0</v>
      </c>
    </row>
    <row r="61" spans="1:27" ht="13.5" customHeight="1" x14ac:dyDescent="0.3">
      <c r="A61" s="193" t="str">
        <f>IF('Observaciones-SMP'!A61="","",'Observaciones-SMP'!A61)</f>
        <v>2026-60</v>
      </c>
      <c r="B61" s="257">
        <f>IF('Observaciones-SMP'!B61="","",'Observaciones-SMP'!B61)</f>
        <v>46288</v>
      </c>
      <c r="C61" s="193" t="str">
        <f>IF('Observaciones-SMP'!C61="","",'Observaciones-SMP'!C61)</f>
        <v>Mario Acosta IEBC</v>
      </c>
      <c r="D61" s="193" t="str">
        <f>IF('Observaciones-SMP'!D61="","",'Observaciones-SMP'!D61)</f>
        <v>Área 20  Área Piping</v>
      </c>
      <c r="E61" s="193" t="str">
        <f>IF('Observaciones-SMP'!E61="","",'Observaciones-SMP'!E61)</f>
        <v>Piping</v>
      </c>
      <c r="F61" s="193" t="str">
        <f>IF('Observaciones-SMP'!F61="","",'Observaciones-SMP'!F61)</f>
        <v>OPS</v>
      </c>
      <c r="G61" s="193" t="str">
        <f>IF('Observaciones-SMP'!G61="","",'Observaciones-SMP'!G61)</f>
        <v>Ortega Rubén (Sup Piping)</v>
      </c>
      <c r="H61" s="193" t="str">
        <f>IF('Observaciones-SMP'!H61="","",'Observaciones-SMP'!H61)</f>
        <v>Limpieza de cañería con cepillo de acero, tarea realizada fuera del interior de la carpa. Se recomendó el armado de biombos al Sup. Ortega Rubén</v>
      </c>
      <c r="I61" s="193" t="str">
        <f>IF('Observaciones-SMP'!I61="","",'Observaciones-SMP'!I61)</f>
        <v>Acto Subestándar</v>
      </c>
      <c r="J61" s="193" t="str">
        <f>IF('Observaciones-SMP'!J61="","",'Observaciones-SMP'!J61)</f>
        <v>Área de proyección y contacto</v>
      </c>
      <c r="K61" s="193" t="str">
        <f>IF('Observaciones-SMP'!K61="","",'Observaciones-SMP'!K61)</f>
        <v>Otros</v>
      </c>
      <c r="L61" s="193" t="str">
        <f>IF('Observaciones-SMP'!L61="","",'Observaciones-SMP'!L61)</f>
        <v>Bajo</v>
      </c>
      <c r="M61" s="193" t="str">
        <f>IF('Observaciones-SMP'!M61="","",'Observaciones-SMP'!M61)</f>
        <v>Charla / Capacitación</v>
      </c>
      <c r="N61" s="193" t="str">
        <f>IF('Observaciones-SMP'!N61="","",'Observaciones-SMP'!N61)</f>
        <v>No</v>
      </c>
      <c r="O61" s="193" t="str">
        <f>IF('Observaciones-SMP'!O61="","",'Observaciones-SMP'!O61)</f>
        <v>Cerrado</v>
      </c>
      <c r="P61" s="193" t="str">
        <f>IF('Observaciones-SMP'!P61="","",'Observaciones-SMP'!P61)</f>
        <v>Supervisión</v>
      </c>
      <c r="Q61" s="257">
        <f>IF('Observaciones-SMP'!S61="","",'Observaciones-SMP'!S61)</f>
        <v>46287</v>
      </c>
      <c r="R61" s="193" t="str">
        <f>IF('Observaciones-SMP'!T61="","",'Observaciones-SMP'!T61)</f>
        <v/>
      </c>
      <c r="S61" s="193" t="str">
        <f>""</f>
        <v/>
      </c>
      <c r="T61" s="193" t="str">
        <f>""</f>
        <v/>
      </c>
      <c r="U61" s="193" t="str">
        <f t="shared" si="0"/>
        <v/>
      </c>
      <c r="V61" s="193" t="str">
        <f>""</f>
        <v/>
      </c>
      <c r="W61" s="193" t="str">
        <f>""</f>
        <v/>
      </c>
      <c r="X61" s="258">
        <f t="shared" si="1"/>
        <v>46266</v>
      </c>
      <c r="Y61" s="258">
        <f t="shared" si="2"/>
        <v>46266</v>
      </c>
      <c r="Z61" s="193">
        <f>IF(A61="","",IF(COUNTIF('Observaciones-SMP'!$A$2:$A$1001,A61)&gt;1,1,0))</f>
        <v>0</v>
      </c>
      <c r="AA61" s="193">
        <f t="shared" si="3"/>
        <v>-1</v>
      </c>
    </row>
    <row r="62" spans="1:27" ht="13.5" customHeight="1" x14ac:dyDescent="0.3">
      <c r="A62" s="193" t="str">
        <f>IF('Observaciones-SMP'!A62="","",'Observaciones-SMP'!A62)</f>
        <v>2026-61</v>
      </c>
      <c r="B62" s="257">
        <f>IF('Observaciones-SMP'!B62="","",'Observaciones-SMP'!B62)</f>
        <v>46288</v>
      </c>
      <c r="C62" s="193" t="str">
        <f>IF('Observaciones-SMP'!C62="","",'Observaciones-SMP'!C62)</f>
        <v>Mario Acosta IEBC</v>
      </c>
      <c r="D62" s="193" t="str">
        <f>IF('Observaciones-SMP'!D62="","",'Observaciones-SMP'!D62)</f>
        <v>Área 20  Área Piping</v>
      </c>
      <c r="E62" s="193" t="str">
        <f>IF('Observaciones-SMP'!E62="","",'Observaciones-SMP'!E62)</f>
        <v>Piping</v>
      </c>
      <c r="F62" s="193" t="str">
        <f>IF('Observaciones-SMP'!F62="","",'Observaciones-SMP'!F62)</f>
        <v>OPS</v>
      </c>
      <c r="G62" s="193" t="str">
        <f>IF('Observaciones-SMP'!G62="","",'Observaciones-SMP'!G62)</f>
        <v>Ortega Rubén (Sup Piping)</v>
      </c>
      <c r="H62" s="193" t="str">
        <f>IF('Observaciones-SMP'!H62="","",'Observaciones-SMP'!H62)</f>
        <v>Soldador haciendo limpieza de soldaduras con amoladora sin utilizar protector facial.</v>
      </c>
      <c r="I62" s="193" t="str">
        <f>IF('Observaciones-SMP'!I62="","",'Observaciones-SMP'!I62)</f>
        <v>Acto Subestándar</v>
      </c>
      <c r="J62" s="193" t="str">
        <f>IF('Observaciones-SMP'!J62="","",'Observaciones-SMP'!J62)</f>
        <v>Área de proyección y contacto</v>
      </c>
      <c r="K62" s="193" t="str">
        <f>IF('Observaciones-SMP'!K62="","",'Observaciones-SMP'!K62)</f>
        <v>Otros</v>
      </c>
      <c r="L62" s="193" t="str">
        <f>IF('Observaciones-SMP'!L62="","",'Observaciones-SMP'!L62)</f>
        <v>Bajo</v>
      </c>
      <c r="M62" s="193" t="str">
        <f>IF('Observaciones-SMP'!M62="","",'Observaciones-SMP'!M62)</f>
        <v>Charla / Capacitación</v>
      </c>
      <c r="N62" s="193" t="str">
        <f>IF('Observaciones-SMP'!N62="","",'Observaciones-SMP'!N62)</f>
        <v>No</v>
      </c>
      <c r="O62" s="193" t="str">
        <f>IF('Observaciones-SMP'!O62="","",'Observaciones-SMP'!O62)</f>
        <v>Cerrado</v>
      </c>
      <c r="P62" s="193" t="str">
        <f>IF('Observaciones-SMP'!P62="","",'Observaciones-SMP'!P62)</f>
        <v>Supervisión</v>
      </c>
      <c r="Q62" s="257">
        <f>IF('Observaciones-SMP'!S62="","",'Observaciones-SMP'!S62)</f>
        <v>46288</v>
      </c>
      <c r="R62" s="193" t="str">
        <f>IF('Observaciones-SMP'!T62="","",'Observaciones-SMP'!T62)</f>
        <v/>
      </c>
      <c r="S62" s="193" t="str">
        <f>""</f>
        <v/>
      </c>
      <c r="T62" s="193" t="str">
        <f>""</f>
        <v/>
      </c>
      <c r="U62" s="193">
        <f t="shared" si="0"/>
        <v>0</v>
      </c>
      <c r="V62" s="193" t="str">
        <f>""</f>
        <v/>
      </c>
      <c r="W62" s="193" t="str">
        <f>""</f>
        <v/>
      </c>
      <c r="X62" s="258">
        <f t="shared" si="1"/>
        <v>46266</v>
      </c>
      <c r="Y62" s="258">
        <f t="shared" si="2"/>
        <v>46266</v>
      </c>
      <c r="Z62" s="193">
        <f>IF(A62="","",IF(COUNTIF('Observaciones-SMP'!$A$2:$A$1001,A62)&gt;1,1,0))</f>
        <v>0</v>
      </c>
      <c r="AA62" s="193">
        <f t="shared" si="3"/>
        <v>0</v>
      </c>
    </row>
    <row r="63" spans="1:27" ht="13.5" customHeight="1" x14ac:dyDescent="0.3">
      <c r="A63" s="193" t="str">
        <f>IF('Observaciones-SMP'!A63="","",'Observaciones-SMP'!A63)</f>
        <v>2026-62</v>
      </c>
      <c r="B63" s="257">
        <f>IF('Observaciones-SMP'!B63="","",'Observaciones-SMP'!B63)</f>
        <v>46288</v>
      </c>
      <c r="C63" s="193" t="str">
        <f>IF('Observaciones-SMP'!C63="","",'Observaciones-SMP'!C63)</f>
        <v>Mario Acosta IEBC</v>
      </c>
      <c r="D63" s="193" t="str">
        <f>IF('Observaciones-SMP'!D63="","",'Observaciones-SMP'!D63)</f>
        <v>Área 1   Obrador</v>
      </c>
      <c r="E63" s="193" t="str">
        <f>IF('Observaciones-SMP'!E63="","",'Observaciones-SMP'!E63)</f>
        <v>Piping</v>
      </c>
      <c r="F63" s="193" t="str">
        <f>IF('Observaciones-SMP'!F63="","",'Observaciones-SMP'!F63)</f>
        <v>OPS</v>
      </c>
      <c r="G63" s="193" t="str">
        <f>IF('Observaciones-SMP'!G63="","",'Observaciones-SMP'!G63)</f>
        <v>Ortega Rubén (Sup Piping)</v>
      </c>
      <c r="H63" s="193" t="str">
        <f>IF('Observaciones-SMP'!H63="","",'Observaciones-SMP'!H63)</f>
        <v>Se observa tendido eléctrico para alimentación de soldadora portátil cruzando la calle principal del obrador sin vallar.</v>
      </c>
      <c r="I63" s="193" t="str">
        <f>IF('Observaciones-SMP'!I63="","",'Observaciones-SMP'!I63)</f>
        <v>Condición subestándar</v>
      </c>
      <c r="J63" s="193" t="str">
        <f>IF('Observaciones-SMP'!J63="","",'Observaciones-SMP'!J63)</f>
        <v>Aislamiento de la Energía</v>
      </c>
      <c r="K63" s="193" t="str">
        <f>IF('Observaciones-SMP'!K63="","",'Observaciones-SMP'!K63)</f>
        <v>Señalización y Sectorización</v>
      </c>
      <c r="L63" s="193" t="str">
        <f>IF('Observaciones-SMP'!L63="","",'Observaciones-SMP'!L63)</f>
        <v>Bajo</v>
      </c>
      <c r="M63" s="193" t="str">
        <f>IF('Observaciones-SMP'!M63="","",'Observaciones-SMP'!M63)</f>
        <v>Reacondicionar sector</v>
      </c>
      <c r="N63" s="193" t="str">
        <f>IF('Observaciones-SMP'!N63="","",'Observaciones-SMP'!N63)</f>
        <v>No Aplica</v>
      </c>
      <c r="O63" s="193" t="str">
        <f>IF('Observaciones-SMP'!O63="","",'Observaciones-SMP'!O63)</f>
        <v>Cerrado</v>
      </c>
      <c r="P63" s="193" t="str">
        <f>IF('Observaciones-SMP'!P63="","",'Observaciones-SMP'!P63)</f>
        <v>Supervisión</v>
      </c>
      <c r="Q63" s="257">
        <f>IF('Observaciones-SMP'!S63="","",'Observaciones-SMP'!S63)</f>
        <v>46288</v>
      </c>
      <c r="R63" s="193" t="str">
        <f>IF('Observaciones-SMP'!T63="","",'Observaciones-SMP'!T63)</f>
        <v/>
      </c>
      <c r="S63" s="193" t="str">
        <f>""</f>
        <v/>
      </c>
      <c r="T63" s="193" t="str">
        <f>""</f>
        <v/>
      </c>
      <c r="U63" s="193">
        <f t="shared" si="0"/>
        <v>0</v>
      </c>
      <c r="V63" s="193" t="str">
        <f>""</f>
        <v/>
      </c>
      <c r="W63" s="193" t="str">
        <f>""</f>
        <v/>
      </c>
      <c r="X63" s="258">
        <f t="shared" si="1"/>
        <v>46266</v>
      </c>
      <c r="Y63" s="258">
        <f t="shared" si="2"/>
        <v>46266</v>
      </c>
      <c r="Z63" s="193">
        <f>IF(A63="","",IF(COUNTIF('Observaciones-SMP'!$A$2:$A$1001,A63)&gt;1,1,0))</f>
        <v>0</v>
      </c>
      <c r="AA63" s="193">
        <f t="shared" si="3"/>
        <v>0</v>
      </c>
    </row>
    <row r="64" spans="1:27" ht="13.5" customHeight="1" x14ac:dyDescent="0.3">
      <c r="A64" s="193" t="str">
        <f>IF('Observaciones-SMP'!A64="","",'Observaciones-SMP'!A64)</f>
        <v>2026-63</v>
      </c>
      <c r="B64" s="257">
        <f>IF('Observaciones-SMP'!B64="","",'Observaciones-SMP'!B64)</f>
        <v>46290</v>
      </c>
      <c r="C64" s="193" t="str">
        <f>IF('Observaciones-SMP'!C64="","",'Observaciones-SMP'!C64)</f>
        <v>Mario Acosta IEBC</v>
      </c>
      <c r="D64" s="193" t="str">
        <f>IF('Observaciones-SMP'!D64="","",'Observaciones-SMP'!D64)</f>
        <v>Área 20  Área Piping</v>
      </c>
      <c r="E64" s="193" t="str">
        <f>IF('Observaciones-SMP'!E64="","",'Observaciones-SMP'!E64)</f>
        <v>Piping</v>
      </c>
      <c r="F64" s="193" t="str">
        <f>IF('Observaciones-SMP'!F64="","",'Observaciones-SMP'!F64)</f>
        <v>OPS</v>
      </c>
      <c r="G64" s="193" t="str">
        <f>IF('Observaciones-SMP'!G64="","",'Observaciones-SMP'!G64)</f>
        <v>Ortega Rubén (Sup Piping)</v>
      </c>
      <c r="H64" s="193" t="str">
        <f>IF('Observaciones-SMP'!H64="","",'Observaciones-SMP'!H64)</f>
        <v>Corte de varillas de Fe de construcción con amoladora a nivel suelo.</v>
      </c>
      <c r="I64" s="193" t="str">
        <f>IF('Observaciones-SMP'!I64="","",'Observaciones-SMP'!I64)</f>
        <v>Acto Subestándar</v>
      </c>
      <c r="J64" s="193" t="str">
        <f>IF('Observaciones-SMP'!J64="","",'Observaciones-SMP'!J64)</f>
        <v>Área de proyección y contacto</v>
      </c>
      <c r="K64" s="193" t="str">
        <f>IF('Observaciones-SMP'!K64="","",'Observaciones-SMP'!K64)</f>
        <v>Sobreesfuerzo</v>
      </c>
      <c r="L64" s="193" t="str">
        <f>IF('Observaciones-SMP'!L64="","",'Observaciones-SMP'!L64)</f>
        <v>Bajo</v>
      </c>
      <c r="M64" s="193" t="str">
        <f>IF('Observaciones-SMP'!M64="","",'Observaciones-SMP'!M64)</f>
        <v>Charla / Capacitación</v>
      </c>
      <c r="N64" s="193" t="str">
        <f>IF('Observaciones-SMP'!N64="","",'Observaciones-SMP'!N64)</f>
        <v>No</v>
      </c>
      <c r="O64" s="193" t="str">
        <f>IF('Observaciones-SMP'!O64="","",'Observaciones-SMP'!O64)</f>
        <v>Cerrado</v>
      </c>
      <c r="P64" s="193" t="str">
        <f>IF('Observaciones-SMP'!P64="","",'Observaciones-SMP'!P64)</f>
        <v>Supervisión</v>
      </c>
      <c r="Q64" s="257">
        <f>IF('Observaciones-SMP'!S64="","",'Observaciones-SMP'!S64)</f>
        <v>46290</v>
      </c>
      <c r="R64" s="193" t="str">
        <f>IF('Observaciones-SMP'!T64="","",'Observaciones-SMP'!T64)</f>
        <v/>
      </c>
      <c r="S64" s="193" t="str">
        <f>""</f>
        <v/>
      </c>
      <c r="T64" s="193" t="str">
        <f>""</f>
        <v/>
      </c>
      <c r="U64" s="193">
        <f t="shared" si="0"/>
        <v>0</v>
      </c>
      <c r="V64" s="193" t="str">
        <f>""</f>
        <v/>
      </c>
      <c r="W64" s="193" t="str">
        <f>""</f>
        <v/>
      </c>
      <c r="X64" s="258">
        <f t="shared" si="1"/>
        <v>46266</v>
      </c>
      <c r="Y64" s="258">
        <f t="shared" si="2"/>
        <v>46266</v>
      </c>
      <c r="Z64" s="193">
        <f>IF(A64="","",IF(COUNTIF('Observaciones-SMP'!$A$2:$A$1001,A64)&gt;1,1,0))</f>
        <v>0</v>
      </c>
      <c r="AA64" s="193">
        <f t="shared" si="3"/>
        <v>0</v>
      </c>
    </row>
    <row r="65" spans="1:27" ht="13.5" customHeight="1" x14ac:dyDescent="0.3">
      <c r="A65" s="193" t="str">
        <f>IF('Observaciones-SMP'!A65="","",'Observaciones-SMP'!A65)</f>
        <v>2026-64</v>
      </c>
      <c r="B65" s="257">
        <f>IF('Observaciones-SMP'!B65="","",'Observaciones-SMP'!B65)</f>
        <v>46291</v>
      </c>
      <c r="C65" s="193" t="str">
        <f>IF('Observaciones-SMP'!C65="","",'Observaciones-SMP'!C65)</f>
        <v>Mario Acosta IEBC</v>
      </c>
      <c r="D65" s="193" t="str">
        <f>IF('Observaciones-SMP'!D65="","",'Observaciones-SMP'!D65)</f>
        <v>Área 11 Plataforma de PC</v>
      </c>
      <c r="E65" s="193" t="str">
        <f>IF('Observaciones-SMP'!E65="","",'Observaciones-SMP'!E65)</f>
        <v>Civil</v>
      </c>
      <c r="F65" s="193" t="str">
        <f>IF('Observaciones-SMP'!F65="","",'Observaciones-SMP'!F65)</f>
        <v>OPS</v>
      </c>
      <c r="G65" s="193" t="str">
        <f>IF('Observaciones-SMP'!G65="","",'Observaciones-SMP'!G65)</f>
        <v>Sanhueza Darío (Sup Civil)</v>
      </c>
      <c r="H65" s="193" t="str">
        <f>IF('Observaciones-SMP'!H65="","",'Observaciones-SMP'!H65)</f>
        <v>Se observa que los Fe de construcción que sostienen el encofrado del cerco perimetral no cuentan con protecciones de puntas.</v>
      </c>
      <c r="I65" s="193" t="str">
        <f>IF('Observaciones-SMP'!I65="","",'Observaciones-SMP'!I65)</f>
        <v>Condición subestándar</v>
      </c>
      <c r="J65" s="193" t="str">
        <f>IF('Observaciones-SMP'!J65="","",'Observaciones-SMP'!J65)</f>
        <v>Área de proyección y contacto</v>
      </c>
      <c r="K65" s="193" t="str">
        <f>IF('Observaciones-SMP'!K65="","",'Observaciones-SMP'!K65)</f>
        <v>Otros</v>
      </c>
      <c r="L65" s="193" t="str">
        <f>IF('Observaciones-SMP'!L65="","",'Observaciones-SMP'!L65)</f>
        <v>Bajo</v>
      </c>
      <c r="M65" s="193" t="str">
        <f>IF('Observaciones-SMP'!M65="","",'Observaciones-SMP'!M65)</f>
        <v>Reacondicionar sector</v>
      </c>
      <c r="N65" s="193" t="str">
        <f>IF('Observaciones-SMP'!N65="","",'Observaciones-SMP'!N65)</f>
        <v>No Aplica</v>
      </c>
      <c r="O65" s="193" t="str">
        <f>IF('Observaciones-SMP'!O65="","",'Observaciones-SMP'!O65)</f>
        <v>Cerrado</v>
      </c>
      <c r="P65" s="193" t="str">
        <f>IF('Observaciones-SMP'!P65="","",'Observaciones-SMP'!P65)</f>
        <v>Supervisión</v>
      </c>
      <c r="Q65" s="257">
        <f>IF('Observaciones-SMP'!S65="","",'Observaciones-SMP'!S65)</f>
        <v>46291</v>
      </c>
      <c r="R65" s="193" t="str">
        <f>IF('Observaciones-SMP'!T65="","",'Observaciones-SMP'!T65)</f>
        <v/>
      </c>
      <c r="S65" s="193" t="str">
        <f>""</f>
        <v/>
      </c>
      <c r="T65" s="193" t="str">
        <f>""</f>
        <v/>
      </c>
      <c r="U65" s="193">
        <f t="shared" si="0"/>
        <v>0</v>
      </c>
      <c r="V65" s="193" t="str">
        <f>""</f>
        <v/>
      </c>
      <c r="W65" s="193" t="str">
        <f>""</f>
        <v/>
      </c>
      <c r="X65" s="258">
        <f t="shared" si="1"/>
        <v>46266</v>
      </c>
      <c r="Y65" s="258">
        <f t="shared" si="2"/>
        <v>46266</v>
      </c>
      <c r="Z65" s="193">
        <f>IF(A65="","",IF(COUNTIF('Observaciones-SMP'!$A$2:$A$1001,A65)&gt;1,1,0))</f>
        <v>0</v>
      </c>
      <c r="AA65" s="193">
        <f t="shared" si="3"/>
        <v>0</v>
      </c>
    </row>
    <row r="66" spans="1:27" ht="13.5" customHeight="1" x14ac:dyDescent="0.3">
      <c r="A66" s="193" t="str">
        <f>IF('Observaciones-SMP'!A66="","",'Observaciones-SMP'!A66)</f>
        <v>2026-65</v>
      </c>
      <c r="B66" s="257">
        <f>IF('Observaciones-SMP'!B66="","",'Observaciones-SMP'!B66)</f>
        <v>46291</v>
      </c>
      <c r="C66" s="193" t="str">
        <f>IF('Observaciones-SMP'!C66="","",'Observaciones-SMP'!C66)</f>
        <v>Mario Acosta IEBC</v>
      </c>
      <c r="D66" s="193" t="str">
        <f>IF('Observaciones-SMP'!D66="","",'Observaciones-SMP'!D66)</f>
        <v>Área 11 Plataforma de PC</v>
      </c>
      <c r="E66" s="193" t="str">
        <f>IF('Observaciones-SMP'!E66="","",'Observaciones-SMP'!E66)</f>
        <v>Civil</v>
      </c>
      <c r="F66" s="193" t="str">
        <f>IF('Observaciones-SMP'!F66="","",'Observaciones-SMP'!F66)</f>
        <v>OPS</v>
      </c>
      <c r="G66" s="193" t="str">
        <f>IF('Observaciones-SMP'!G66="","",'Observaciones-SMP'!G66)</f>
        <v>Domínguez Mario (Sup Civil)</v>
      </c>
      <c r="H66" s="193" t="str">
        <f>IF('Observaciones-SMP'!H66="","",'Observaciones-SMP'!H66)</f>
        <v>Compactador a explosión sin inspección mensual.</v>
      </c>
      <c r="I66" s="193" t="str">
        <f>IF('Observaciones-SMP'!I66="","",'Observaciones-SMP'!I66)</f>
        <v>Condición subestándar</v>
      </c>
      <c r="J66" s="193" t="str">
        <f>IF('Observaciones-SMP'!J66="","",'Observaciones-SMP'!J66)</f>
        <v>Área de proyección y contacto</v>
      </c>
      <c r="K66" s="193" t="str">
        <f>IF('Observaciones-SMP'!K66="","",'Observaciones-SMP'!K66)</f>
        <v>Otros</v>
      </c>
      <c r="L66" s="193" t="str">
        <f>IF('Observaciones-SMP'!L66="","",'Observaciones-SMP'!L66)</f>
        <v>Bajo</v>
      </c>
      <c r="M66" s="193" t="str">
        <f>IF('Observaciones-SMP'!M66="","",'Observaciones-SMP'!M66)</f>
        <v>Inspección de equipos y herramientas</v>
      </c>
      <c r="N66" s="193" t="str">
        <f>IF('Observaciones-SMP'!N66="","",'Observaciones-SMP'!N66)</f>
        <v>No Aplica</v>
      </c>
      <c r="O66" s="193" t="str">
        <f>IF('Observaciones-SMP'!O66="","",'Observaciones-SMP'!O66)</f>
        <v>Cerrado</v>
      </c>
      <c r="P66" s="193" t="str">
        <f>IF('Observaciones-SMP'!P66="","",'Observaciones-SMP'!P66)</f>
        <v>SSA Contratista</v>
      </c>
      <c r="Q66" s="257">
        <f>IF('Observaciones-SMP'!S66="","",'Observaciones-SMP'!S66)</f>
        <v>46291</v>
      </c>
      <c r="R66" s="193" t="str">
        <f>IF('Observaciones-SMP'!T66="","",'Observaciones-SMP'!T66)</f>
        <v/>
      </c>
      <c r="S66" s="193" t="str">
        <f>""</f>
        <v/>
      </c>
      <c r="T66" s="193" t="str">
        <f>""</f>
        <v/>
      </c>
      <c r="U66" s="193">
        <f t="shared" ref="U66:U129" si="4">IF(AND(ISNUMBER(B66),ISNUMBER(Q66)),IF(Q66&gt;=B66,Q66-B66,""),"")</f>
        <v>0</v>
      </c>
      <c r="V66" s="193" t="str">
        <f>""</f>
        <v/>
      </c>
      <c r="W66" s="193" t="str">
        <f>""</f>
        <v/>
      </c>
      <c r="X66" s="258">
        <f t="shared" ref="X66:X129" si="5">IF(ISNUMBER(B66),DATE(YEAR(B66),MONTH(B66),1),"")</f>
        <v>46266</v>
      </c>
      <c r="Y66" s="258">
        <f t="shared" ref="Y66:Y129" si="6">IF(ISNUMBER(Q66),DATE(YEAR(Q66),MONTH(Q66),1),"")</f>
        <v>46266</v>
      </c>
      <c r="Z66" s="193">
        <f>IF(A66="","",IF(COUNTIF('Observaciones-SMP'!$A$2:$A$1001,A66)&gt;1,1,0))</f>
        <v>0</v>
      </c>
      <c r="AA66" s="193">
        <f t="shared" ref="AA66:AA129" si="7">IF(ISNUMBER(B66),IF(ISNUMBER(Q66),Q66,DATE(YEAR(RPT_MONTH),MONTH(RPT_MONTH)+1,0))-B66,"")</f>
        <v>0</v>
      </c>
    </row>
    <row r="67" spans="1:27" ht="13.5" customHeight="1" x14ac:dyDescent="0.3">
      <c r="A67" s="193" t="str">
        <f>IF('Observaciones-SMP'!A67="","",'Observaciones-SMP'!A67)</f>
        <v>2026-66</v>
      </c>
      <c r="B67" s="257">
        <f>IF('Observaciones-SMP'!B67="","",'Observaciones-SMP'!B67)</f>
        <v>46291</v>
      </c>
      <c r="C67" s="193" t="str">
        <f>IF('Observaciones-SMP'!C67="","",'Observaciones-SMP'!C67)</f>
        <v>Mario Acosta IEBC</v>
      </c>
      <c r="D67" s="193" t="str">
        <f>IF('Observaciones-SMP'!D67="","",'Observaciones-SMP'!D67)</f>
        <v>Área 11 Plataforma de PC</v>
      </c>
      <c r="E67" s="193" t="str">
        <f>IF('Observaciones-SMP'!E67="","",'Observaciones-SMP'!E67)</f>
        <v>Civil</v>
      </c>
      <c r="F67" s="193" t="str">
        <f>IF('Observaciones-SMP'!F67="","",'Observaciones-SMP'!F67)</f>
        <v>OPS</v>
      </c>
      <c r="G67" s="193" t="str">
        <f>IF('Observaciones-SMP'!G67="","",'Observaciones-SMP'!G67)</f>
        <v>Domínguez Mario (Sup Civil)</v>
      </c>
      <c r="H67" s="193" t="str">
        <f>IF('Observaciones-SMP'!H67="","",'Observaciones-SMP'!H67)</f>
        <v>Excavaciones con retroexcavadoras, falta señalización.</v>
      </c>
      <c r="I67" s="193" t="str">
        <f>IF('Observaciones-SMP'!I67="","",'Observaciones-SMP'!I67)</f>
        <v>Condición subestándar</v>
      </c>
      <c r="J67" s="193" t="str">
        <f>IF('Observaciones-SMP'!J67="","",'Observaciones-SMP'!J67)</f>
        <v>Excavaciones</v>
      </c>
      <c r="K67" s="193" t="str">
        <f>IF('Observaciones-SMP'!K67="","",'Observaciones-SMP'!K67)</f>
        <v>Señalización y Sectorización</v>
      </c>
      <c r="L67" s="193" t="str">
        <f>IF('Observaciones-SMP'!L67="","",'Observaciones-SMP'!L67)</f>
        <v>Bajo</v>
      </c>
      <c r="M67" s="193" t="str">
        <f>IF('Observaciones-SMP'!M67="","",'Observaciones-SMP'!M67)</f>
        <v>Reacondicionar sector</v>
      </c>
      <c r="N67" s="193" t="str">
        <f>IF('Observaciones-SMP'!N67="","",'Observaciones-SMP'!N67)</f>
        <v>No Aplica</v>
      </c>
      <c r="O67" s="193" t="str">
        <f>IF('Observaciones-SMP'!O67="","",'Observaciones-SMP'!O67)</f>
        <v>Cerrado</v>
      </c>
      <c r="P67" s="193" t="str">
        <f>IF('Observaciones-SMP'!P67="","",'Observaciones-SMP'!P67)</f>
        <v>Supervisión</v>
      </c>
      <c r="Q67" s="257">
        <f>IF('Observaciones-SMP'!S67="","",'Observaciones-SMP'!S67)</f>
        <v>46293</v>
      </c>
      <c r="R67" s="193" t="str">
        <f>IF('Observaciones-SMP'!T67="","",'Observaciones-SMP'!T67)</f>
        <v/>
      </c>
      <c r="S67" s="193" t="str">
        <f>""</f>
        <v/>
      </c>
      <c r="T67" s="193" t="str">
        <f>""</f>
        <v/>
      </c>
      <c r="U67" s="193">
        <f t="shared" si="4"/>
        <v>2</v>
      </c>
      <c r="V67" s="193" t="str">
        <f>""</f>
        <v/>
      </c>
      <c r="W67" s="193" t="str">
        <f>""</f>
        <v/>
      </c>
      <c r="X67" s="258">
        <f t="shared" si="5"/>
        <v>46266</v>
      </c>
      <c r="Y67" s="258">
        <f t="shared" si="6"/>
        <v>46266</v>
      </c>
      <c r="Z67" s="193">
        <f>IF(A67="","",IF(COUNTIF('Observaciones-SMP'!$A$2:$A$1001,A67)&gt;1,1,0))</f>
        <v>0</v>
      </c>
      <c r="AA67" s="193">
        <f t="shared" si="7"/>
        <v>2</v>
      </c>
    </row>
    <row r="68" spans="1:27" ht="13.5" customHeight="1" x14ac:dyDescent="0.3">
      <c r="A68" s="193" t="str">
        <f>IF('Observaciones-SMP'!A68="","",'Observaciones-SMP'!A68)</f>
        <v>2026-67</v>
      </c>
      <c r="B68" s="257">
        <f>IF('Observaciones-SMP'!B68="","",'Observaciones-SMP'!B68)</f>
        <v>46291</v>
      </c>
      <c r="C68" s="193" t="str">
        <f>IF('Observaciones-SMP'!C68="","",'Observaciones-SMP'!C68)</f>
        <v>Mario Acosta IEBC</v>
      </c>
      <c r="D68" s="193" t="str">
        <f>IF('Observaciones-SMP'!D68="","",'Observaciones-SMP'!D68)</f>
        <v>Área 11 Plataforma de PC</v>
      </c>
      <c r="E68" s="193" t="str">
        <f>IF('Observaciones-SMP'!E68="","",'Observaciones-SMP'!E68)</f>
        <v>Pañol</v>
      </c>
      <c r="F68" s="193" t="str">
        <f>IF('Observaciones-SMP'!F68="","",'Observaciones-SMP'!F68)</f>
        <v>OPS</v>
      </c>
      <c r="G68" s="193" t="str">
        <f>IF('Observaciones-SMP'!G68="","",'Observaciones-SMP'!G68)</f>
        <v>Domínguez Mario (Sup Civil)</v>
      </c>
      <c r="H68" s="193" t="str">
        <f>IF('Observaciones-SMP'!H68="","",'Observaciones-SMP'!H68)</f>
        <v>Vibrador de hormigón sin inspección mensual.</v>
      </c>
      <c r="I68" s="193" t="str">
        <f>IF('Observaciones-SMP'!I68="","",'Observaciones-SMP'!I68)</f>
        <v>Condición subestándar</v>
      </c>
      <c r="J68" s="193" t="str">
        <f>IF('Observaciones-SMP'!J68="","",'Observaciones-SMP'!J68)</f>
        <v>Gestión de cambio</v>
      </c>
      <c r="K68" s="193" t="str">
        <f>IF('Observaciones-SMP'!K68="","",'Observaciones-SMP'!K68)</f>
        <v>Otros</v>
      </c>
      <c r="L68" s="193" t="str">
        <f>IF('Observaciones-SMP'!L68="","",'Observaciones-SMP'!L68)</f>
        <v>Bajo</v>
      </c>
      <c r="M68" s="193" t="str">
        <f>IF('Observaciones-SMP'!M68="","",'Observaciones-SMP'!M68)</f>
        <v>Inspección de equipos y herramientas</v>
      </c>
      <c r="N68" s="193" t="str">
        <f>IF('Observaciones-SMP'!N68="","",'Observaciones-SMP'!N68)</f>
        <v>No Aplica</v>
      </c>
      <c r="O68" s="193" t="str">
        <f>IF('Observaciones-SMP'!O68="","",'Observaciones-SMP'!O68)</f>
        <v>Cerrado</v>
      </c>
      <c r="P68" s="193" t="str">
        <f>IF('Observaciones-SMP'!P68="","",'Observaciones-SMP'!P68)</f>
        <v>SSA Contratista</v>
      </c>
      <c r="Q68" s="257">
        <f>IF('Observaciones-SMP'!S68="","",'Observaciones-SMP'!S68)</f>
        <v>46291</v>
      </c>
      <c r="R68" s="193" t="str">
        <f>IF('Observaciones-SMP'!T68="","",'Observaciones-SMP'!T68)</f>
        <v/>
      </c>
      <c r="S68" s="193" t="str">
        <f>""</f>
        <v/>
      </c>
      <c r="T68" s="193" t="str">
        <f>""</f>
        <v/>
      </c>
      <c r="U68" s="193">
        <f t="shared" si="4"/>
        <v>0</v>
      </c>
      <c r="V68" s="193" t="str">
        <f>""</f>
        <v/>
      </c>
      <c r="W68" s="193" t="str">
        <f>""</f>
        <v/>
      </c>
      <c r="X68" s="258">
        <f t="shared" si="5"/>
        <v>46266</v>
      </c>
      <c r="Y68" s="258">
        <f t="shared" si="6"/>
        <v>46266</v>
      </c>
      <c r="Z68" s="193">
        <f>IF(A68="","",IF(COUNTIF('Observaciones-SMP'!$A$2:$A$1001,A68)&gt;1,1,0))</f>
        <v>0</v>
      </c>
      <c r="AA68" s="193">
        <f t="shared" si="7"/>
        <v>0</v>
      </c>
    </row>
    <row r="69" spans="1:27" ht="13.5" customHeight="1" x14ac:dyDescent="0.3">
      <c r="A69" s="193" t="str">
        <f>IF('Observaciones-SMP'!A69="","",'Observaciones-SMP'!A69)</f>
        <v>2026-68</v>
      </c>
      <c r="B69" s="257">
        <f>IF('Observaciones-SMP'!B69="","",'Observaciones-SMP'!B69)</f>
        <v>46296</v>
      </c>
      <c r="C69" s="193" t="str">
        <f>IF('Observaciones-SMP'!C69="","",'Observaciones-SMP'!C69)</f>
        <v>Franco Demarchi</v>
      </c>
      <c r="D69" s="193" t="str">
        <f>IF('Observaciones-SMP'!D69="","",'Observaciones-SMP'!D69)</f>
        <v>Area 11. Plataforma de PC.</v>
      </c>
      <c r="E69" s="193" t="str">
        <f>IF('Observaciones-SMP'!E69="","",'Observaciones-SMP'!E69)</f>
        <v>Izaje</v>
      </c>
      <c r="F69" s="193" t="str">
        <f>IF('Observaciones-SMP'!F69="","",'Observaciones-SMP'!F69)</f>
        <v>OPS</v>
      </c>
      <c r="G69" s="193" t="str">
        <f>IF('Observaciones-SMP'!G69="","",'Observaciones-SMP'!G69)</f>
        <v>Matias Riera (Sup. Izaje)</v>
      </c>
      <c r="H69" s="193" t="str">
        <f>IF('Observaciones-SMP'!H69="","",'Observaciones-SMP'!H69)</f>
        <v>Dentro del área de plataforma de P.C se encontraba personal realizando tareas de izajes y algunos operarios no contaban con chaleco reflectivo. </v>
      </c>
      <c r="I69" s="193" t="str">
        <f>IF('Observaciones-SMP'!I69="","",'Observaciones-SMP'!I69)</f>
        <v>Acto Subestándard</v>
      </c>
      <c r="J69" s="193" t="str">
        <f>IF('Observaciones-SMP'!J69="","",'Observaciones-SMP'!J69)</f>
        <v>Seguridad Vial</v>
      </c>
      <c r="K69" s="193" t="str">
        <f>IF('Observaciones-SMP'!K69="","",'Observaciones-SMP'!K69)</f>
        <v>Uso de EPP especifico</v>
      </c>
      <c r="L69" s="193" t="str">
        <f>IF('Observaciones-SMP'!L69="","",'Observaciones-SMP'!L69)</f>
        <v>NO</v>
      </c>
      <c r="M69" s="193" t="str">
        <f>IF('Observaciones-SMP'!M69="","",'Observaciones-SMP'!M69)</f>
        <v>Bajo</v>
      </c>
      <c r="N69" s="193" t="str">
        <f>IF('Observaciones-SMP'!N69="","",'Observaciones-SMP'!N69)</f>
        <v>Acción</v>
      </c>
      <c r="O69" s="193" t="str">
        <f>IF('Observaciones-SMP'!O69="","",'Observaciones-SMP'!O69)</f>
        <v>Cerrado</v>
      </c>
      <c r="P69" s="193" t="str">
        <f>IF('Observaciones-SMP'!P69="","",'Observaciones-SMP'!P69)</f>
        <v>Supervisión</v>
      </c>
      <c r="Q69" s="257" t="str">
        <f>IF('Observaciones-SMP'!S69="","",'Observaciones-SMP'!S69)</f>
        <v/>
      </c>
      <c r="R69" s="193" t="str">
        <f>IF('Observaciones-SMP'!T69="","",'Observaciones-SMP'!T69)</f>
        <v/>
      </c>
      <c r="S69" s="193" t="str">
        <f>""</f>
        <v/>
      </c>
      <c r="T69" s="193" t="str">
        <f>""</f>
        <v/>
      </c>
      <c r="U69" s="193" t="str">
        <f t="shared" si="4"/>
        <v/>
      </c>
      <c r="V69" s="193" t="str">
        <f>""</f>
        <v/>
      </c>
      <c r="W69" s="193" t="str">
        <f>""</f>
        <v/>
      </c>
      <c r="X69" s="258">
        <f t="shared" si="5"/>
        <v>46296</v>
      </c>
      <c r="Y69" s="258" t="str">
        <f t="shared" si="6"/>
        <v/>
      </c>
      <c r="Z69" s="193">
        <f>IF(A69="","",IF(COUNTIF('Observaciones-SMP'!$A$2:$A$1001,A69)&gt;1,1,0))</f>
        <v>0</v>
      </c>
      <c r="AA69" s="193">
        <f t="shared" si="7"/>
        <v>30</v>
      </c>
    </row>
    <row r="70" spans="1:27" ht="13.5" customHeight="1" x14ac:dyDescent="0.3">
      <c r="A70" s="193" t="str">
        <f>IF('Observaciones-SMP'!A70="","",'Observaciones-SMP'!A70)</f>
        <v>2026-69</v>
      </c>
      <c r="B70" s="257">
        <f>IF('Observaciones-SMP'!B70="","",'Observaciones-SMP'!B70)</f>
        <v>46296</v>
      </c>
      <c r="C70" s="193" t="str">
        <f>IF('Observaciones-SMP'!C70="","",'Observaciones-SMP'!C70)</f>
        <v>Franco Demarchi</v>
      </c>
      <c r="D70" s="193" t="str">
        <f>IF('Observaciones-SMP'!D70="","",'Observaciones-SMP'!D70)</f>
        <v>Area 11. Plataforma de PC.</v>
      </c>
      <c r="E70" s="193" t="str">
        <f>IF('Observaciones-SMP'!E70="","",'Observaciones-SMP'!E70)</f>
        <v>Civil</v>
      </c>
      <c r="F70" s="193" t="str">
        <f>IF('Observaciones-SMP'!F70="","",'Observaciones-SMP'!F70)</f>
        <v>OPS</v>
      </c>
      <c r="G70" s="193" t="str">
        <f>IF('Observaciones-SMP'!G70="","",'Observaciones-SMP'!G70)</f>
        <v>Sanhuesa Dario (Sup. Civil)</v>
      </c>
      <c r="H70" s="193" t="str">
        <f>IF('Observaciones-SMP'!H70="","",'Observaciones-SMP'!H70)</f>
        <v>Se observo dentro del area de plataforma de P.C operario civil se encontraba trabajando sin chaleco reflectivo en tareas de contrucción de cerco perimetral.</v>
      </c>
      <c r="I70" s="193" t="str">
        <f>IF('Observaciones-SMP'!I70="","",'Observaciones-SMP'!I70)</f>
        <v>Acto Subestándard</v>
      </c>
      <c r="J70" s="193" t="str">
        <f>IF('Observaciones-SMP'!J70="","",'Observaciones-SMP'!J70)</f>
        <v>Seguridad Vial</v>
      </c>
      <c r="K70" s="193" t="str">
        <f>IF('Observaciones-SMP'!K70="","",'Observaciones-SMP'!K70)</f>
        <v>Uso de EPP especifico</v>
      </c>
      <c r="L70" s="193" t="str">
        <f>IF('Observaciones-SMP'!L70="","",'Observaciones-SMP'!L70)</f>
        <v>NO</v>
      </c>
      <c r="M70" s="193" t="str">
        <f>IF('Observaciones-SMP'!M70="","",'Observaciones-SMP'!M70)</f>
        <v>Bajo</v>
      </c>
      <c r="N70" s="193" t="str">
        <f>IF('Observaciones-SMP'!N70="","",'Observaciones-SMP'!N70)</f>
        <v>Acción</v>
      </c>
      <c r="O70" s="193" t="str">
        <f>IF('Observaciones-SMP'!O70="","",'Observaciones-SMP'!O70)</f>
        <v>Cerrado</v>
      </c>
      <c r="P70" s="193" t="str">
        <f>IF('Observaciones-SMP'!P70="","",'Observaciones-SMP'!P70)</f>
        <v/>
      </c>
      <c r="Q70" s="257" t="str">
        <f>IF('Observaciones-SMP'!S70="","",'Observaciones-SMP'!S70)</f>
        <v/>
      </c>
      <c r="R70" s="193" t="str">
        <f>IF('Observaciones-SMP'!T70="","",'Observaciones-SMP'!T70)</f>
        <v/>
      </c>
      <c r="S70" s="193" t="str">
        <f>""</f>
        <v/>
      </c>
      <c r="T70" s="193" t="str">
        <f>""</f>
        <v/>
      </c>
      <c r="U70" s="193" t="str">
        <f t="shared" si="4"/>
        <v/>
      </c>
      <c r="V70" s="193" t="str">
        <f>""</f>
        <v/>
      </c>
      <c r="W70" s="193" t="str">
        <f>""</f>
        <v/>
      </c>
      <c r="X70" s="258">
        <f t="shared" si="5"/>
        <v>46296</v>
      </c>
      <c r="Y70" s="258" t="str">
        <f t="shared" si="6"/>
        <v/>
      </c>
      <c r="Z70" s="193">
        <f>IF(A70="","",IF(COUNTIF('Observaciones-SMP'!$A$2:$A$1001,A70)&gt;1,1,0))</f>
        <v>0</v>
      </c>
      <c r="AA70" s="193">
        <f t="shared" si="7"/>
        <v>30</v>
      </c>
    </row>
    <row r="71" spans="1:27" ht="13.5" customHeight="1" x14ac:dyDescent="0.3">
      <c r="A71" s="193" t="str">
        <f>IF('Observaciones-SMP'!A71="","",'Observaciones-SMP'!A71)</f>
        <v>2026-70</v>
      </c>
      <c r="B71" s="257">
        <f>IF('Observaciones-SMP'!B71="","",'Observaciones-SMP'!B71)</f>
        <v>46296</v>
      </c>
      <c r="C71" s="193" t="str">
        <f>IF('Observaciones-SMP'!C71="","",'Observaciones-SMP'!C71)</f>
        <v>Franco Demarchi</v>
      </c>
      <c r="D71" s="193" t="str">
        <f>IF('Observaciones-SMP'!D71="","",'Observaciones-SMP'!D71)</f>
        <v>Area 1. Obrador</v>
      </c>
      <c r="E71" s="193" t="str">
        <f>IF('Observaciones-SMP'!E71="","",'Observaciones-SMP'!E71)</f>
        <v>Izaje</v>
      </c>
      <c r="F71" s="193" t="str">
        <f>IF('Observaciones-SMP'!F71="","",'Observaciones-SMP'!F71)</f>
        <v>OPS</v>
      </c>
      <c r="G71" s="193" t="str">
        <f>IF('Observaciones-SMP'!G71="","",'Observaciones-SMP'!G71)</f>
        <v>Matias Riera (Sup. Izaje)</v>
      </c>
      <c r="H71" s="193" t="str">
        <f>IF('Observaciones-SMP'!H71="","",'Observaciones-SMP'!H71)</f>
        <v>Realizando izaje de trailer se observo que en la primer maniobra la hidrogrua se bloqueo realizando la primer maniobra, despues de haberse bloqueado se realizo una segunda maniobra luego de haberse bloqueado el equipo en la primer maniobra.</v>
      </c>
      <c r="I71" s="193" t="str">
        <f>IF('Observaciones-SMP'!I71="","",'Observaciones-SMP'!I71)</f>
        <v>Acto Subestándard</v>
      </c>
      <c r="J71" s="193" t="str">
        <f>IF('Observaciones-SMP'!J71="","",'Observaciones-SMP'!J71)</f>
        <v>Izajes</v>
      </c>
      <c r="K71" s="193" t="str">
        <f>IF('Observaciones-SMP'!K71="","",'Observaciones-SMP'!K71)</f>
        <v>Equipos de Izaje</v>
      </c>
      <c r="L71" s="193" t="str">
        <f>IF('Observaciones-SMP'!L71="","",'Observaciones-SMP'!L71)</f>
        <v>NO</v>
      </c>
      <c r="M71" s="193" t="str">
        <f>IF('Observaciones-SMP'!M71="","",'Observaciones-SMP'!M71)</f>
        <v>Medio</v>
      </c>
      <c r="N71" s="193" t="str">
        <f>IF('Observaciones-SMP'!N71="","",'Observaciones-SMP'!N71)</f>
        <v>Acción</v>
      </c>
      <c r="O71" s="193" t="str">
        <f>IF('Observaciones-SMP'!O71="","",'Observaciones-SMP'!O71)</f>
        <v>Cerrado</v>
      </c>
      <c r="P71" s="193" t="str">
        <f>IF('Observaciones-SMP'!P71="","",'Observaciones-SMP'!P71)</f>
        <v>SSA Contratista</v>
      </c>
      <c r="Q71" s="257" t="str">
        <f>IF('Observaciones-SMP'!S71="","",'Observaciones-SMP'!S71)</f>
        <v/>
      </c>
      <c r="R71" s="193" t="str">
        <f>IF('Observaciones-SMP'!T71="","",'Observaciones-SMP'!T71)</f>
        <v/>
      </c>
      <c r="S71" s="193" t="str">
        <f>""</f>
        <v/>
      </c>
      <c r="T71" s="193" t="str">
        <f>""</f>
        <v/>
      </c>
      <c r="U71" s="193" t="str">
        <f t="shared" si="4"/>
        <v/>
      </c>
      <c r="V71" s="193" t="str">
        <f>""</f>
        <v/>
      </c>
      <c r="W71" s="193" t="str">
        <f>""</f>
        <v/>
      </c>
      <c r="X71" s="258">
        <f t="shared" si="5"/>
        <v>46296</v>
      </c>
      <c r="Y71" s="258" t="str">
        <f t="shared" si="6"/>
        <v/>
      </c>
      <c r="Z71" s="193">
        <f>IF(A71="","",IF(COUNTIF('Observaciones-SMP'!$A$2:$A$1001,A71)&gt;1,1,0))</f>
        <v>0</v>
      </c>
      <c r="AA71" s="193">
        <f t="shared" si="7"/>
        <v>30</v>
      </c>
    </row>
    <row r="72" spans="1:27" ht="13.5" customHeight="1" x14ac:dyDescent="0.3">
      <c r="A72" s="193" t="str">
        <f>IF('Observaciones-SMP'!A72="","",'Observaciones-SMP'!A72)</f>
        <v/>
      </c>
      <c r="B72" s="257" t="str">
        <f>IF('Observaciones-SMP'!B72="","",'Observaciones-SMP'!B72)</f>
        <v/>
      </c>
      <c r="C72" s="193" t="str">
        <f>IF('Observaciones-SMP'!C72="","",'Observaciones-SMP'!C72)</f>
        <v/>
      </c>
      <c r="D72" s="193" t="str">
        <f>IF('Observaciones-SMP'!D72="","",'Observaciones-SMP'!D72)</f>
        <v/>
      </c>
      <c r="E72" s="193" t="str">
        <f>IF('Observaciones-SMP'!E72="","",'Observaciones-SMP'!E72)</f>
        <v/>
      </c>
      <c r="F72" s="193" t="str">
        <f>IF('Observaciones-SMP'!F72="","",'Observaciones-SMP'!F72)</f>
        <v/>
      </c>
      <c r="G72" s="193" t="str">
        <f>IF('Observaciones-SMP'!G72="","",'Observaciones-SMP'!G72)</f>
        <v/>
      </c>
      <c r="H72" s="193" t="str">
        <f>IF('Observaciones-SMP'!H72="","",'Observaciones-SMP'!H72)</f>
        <v/>
      </c>
      <c r="I72" s="193" t="str">
        <f>IF('Observaciones-SMP'!I72="","",'Observaciones-SMP'!I72)</f>
        <v/>
      </c>
      <c r="J72" s="193" t="str">
        <f>IF('Observaciones-SMP'!J72="","",'Observaciones-SMP'!J72)</f>
        <v/>
      </c>
      <c r="K72" s="193" t="str">
        <f>IF('Observaciones-SMP'!K72="","",'Observaciones-SMP'!K72)</f>
        <v/>
      </c>
      <c r="L72" s="193" t="str">
        <f>IF('Observaciones-SMP'!L72="","",'Observaciones-SMP'!L72)</f>
        <v/>
      </c>
      <c r="M72" s="193" t="str">
        <f>IF('Observaciones-SMP'!M72="","",'Observaciones-SMP'!M72)</f>
        <v/>
      </c>
      <c r="N72" s="193" t="str">
        <f>IF('Observaciones-SMP'!N72="","",'Observaciones-SMP'!N72)</f>
        <v/>
      </c>
      <c r="O72" s="193" t="str">
        <f>IF('Observaciones-SMP'!O72="","",'Observaciones-SMP'!O72)</f>
        <v/>
      </c>
      <c r="P72" s="193" t="str">
        <f>IF('Observaciones-SMP'!P72="","",'Observaciones-SMP'!P72)</f>
        <v/>
      </c>
      <c r="Q72" s="257" t="str">
        <f>IF('Observaciones-SMP'!S72="","",'Observaciones-SMP'!S72)</f>
        <v/>
      </c>
      <c r="R72" s="193" t="str">
        <f>IF('Observaciones-SMP'!T72="","",'Observaciones-SMP'!T72)</f>
        <v/>
      </c>
      <c r="S72" s="193" t="str">
        <f>""</f>
        <v/>
      </c>
      <c r="T72" s="193" t="str">
        <f>""</f>
        <v/>
      </c>
      <c r="U72" s="193" t="str">
        <f t="shared" si="4"/>
        <v/>
      </c>
      <c r="V72" s="193" t="str">
        <f>""</f>
        <v/>
      </c>
      <c r="W72" s="193" t="str">
        <f>""</f>
        <v/>
      </c>
      <c r="X72" s="258" t="str">
        <f t="shared" si="5"/>
        <v/>
      </c>
      <c r="Y72" s="258" t="str">
        <f t="shared" si="6"/>
        <v/>
      </c>
      <c r="Z72" s="193" t="str">
        <f>IF(A72="","",IF(COUNTIF('Observaciones-SMP'!$A$2:$A$1001,A72)&gt;1,1,0))</f>
        <v/>
      </c>
      <c r="AA72" s="193" t="str">
        <f t="shared" si="7"/>
        <v/>
      </c>
    </row>
    <row r="73" spans="1:27" ht="13.5" customHeight="1" x14ac:dyDescent="0.3">
      <c r="A73" s="193" t="str">
        <f>IF('Observaciones-SMP'!A73="","",'Observaciones-SMP'!A73)</f>
        <v/>
      </c>
      <c r="B73" s="257" t="str">
        <f>IF('Observaciones-SMP'!B73="","",'Observaciones-SMP'!B73)</f>
        <v/>
      </c>
      <c r="C73" s="193" t="str">
        <f>IF('Observaciones-SMP'!C73="","",'Observaciones-SMP'!C73)</f>
        <v/>
      </c>
      <c r="D73" s="193" t="str">
        <f>IF('Observaciones-SMP'!D73="","",'Observaciones-SMP'!D73)</f>
        <v/>
      </c>
      <c r="E73" s="193" t="str">
        <f>IF('Observaciones-SMP'!E73="","",'Observaciones-SMP'!E73)</f>
        <v/>
      </c>
      <c r="F73" s="193" t="str">
        <f>IF('Observaciones-SMP'!F73="","",'Observaciones-SMP'!F73)</f>
        <v/>
      </c>
      <c r="G73" s="193" t="str">
        <f>IF('Observaciones-SMP'!G73="","",'Observaciones-SMP'!G73)</f>
        <v/>
      </c>
      <c r="H73" s="193" t="str">
        <f>IF('Observaciones-SMP'!H73="","",'Observaciones-SMP'!H73)</f>
        <v/>
      </c>
      <c r="I73" s="193" t="str">
        <f>IF('Observaciones-SMP'!I73="","",'Observaciones-SMP'!I73)</f>
        <v/>
      </c>
      <c r="J73" s="193" t="str">
        <f>IF('Observaciones-SMP'!J73="","",'Observaciones-SMP'!J73)</f>
        <v/>
      </c>
      <c r="K73" s="193" t="str">
        <f>IF('Observaciones-SMP'!K73="","",'Observaciones-SMP'!K73)</f>
        <v/>
      </c>
      <c r="L73" s="193" t="str">
        <f>IF('Observaciones-SMP'!L73="","",'Observaciones-SMP'!L73)</f>
        <v/>
      </c>
      <c r="M73" s="193" t="str">
        <f>IF('Observaciones-SMP'!M73="","",'Observaciones-SMP'!M73)</f>
        <v/>
      </c>
      <c r="N73" s="193" t="str">
        <f>IF('Observaciones-SMP'!N73="","",'Observaciones-SMP'!N73)</f>
        <v/>
      </c>
      <c r="O73" s="193" t="str">
        <f>IF('Observaciones-SMP'!O73="","",'Observaciones-SMP'!O73)</f>
        <v/>
      </c>
      <c r="P73" s="193" t="str">
        <f>IF('Observaciones-SMP'!P73="","",'Observaciones-SMP'!P73)</f>
        <v/>
      </c>
      <c r="Q73" s="257" t="str">
        <f>IF('Observaciones-SMP'!S73="","",'Observaciones-SMP'!S73)</f>
        <v/>
      </c>
      <c r="R73" s="193" t="str">
        <f>IF('Observaciones-SMP'!T73="","",'Observaciones-SMP'!T73)</f>
        <v/>
      </c>
      <c r="S73" s="193" t="str">
        <f>""</f>
        <v/>
      </c>
      <c r="T73" s="193" t="str">
        <f>""</f>
        <v/>
      </c>
      <c r="U73" s="193" t="str">
        <f t="shared" si="4"/>
        <v/>
      </c>
      <c r="V73" s="193" t="str">
        <f>""</f>
        <v/>
      </c>
      <c r="W73" s="193" t="str">
        <f>""</f>
        <v/>
      </c>
      <c r="X73" s="258" t="str">
        <f t="shared" si="5"/>
        <v/>
      </c>
      <c r="Y73" s="258" t="str">
        <f t="shared" si="6"/>
        <v/>
      </c>
      <c r="Z73" s="193" t="str">
        <f>IF(A73="","",IF(COUNTIF('Observaciones-SMP'!$A$2:$A$1001,A73)&gt;1,1,0))</f>
        <v/>
      </c>
      <c r="AA73" s="193" t="str">
        <f t="shared" si="7"/>
        <v/>
      </c>
    </row>
    <row r="74" spans="1:27" ht="13.5" customHeight="1" x14ac:dyDescent="0.3">
      <c r="A74" s="193" t="str">
        <f>IF('Observaciones-SMP'!A74="","",'Observaciones-SMP'!A74)</f>
        <v/>
      </c>
      <c r="B74" s="257" t="str">
        <f>IF('Observaciones-SMP'!B74="","",'Observaciones-SMP'!B74)</f>
        <v/>
      </c>
      <c r="C74" s="193" t="str">
        <f>IF('Observaciones-SMP'!C74="","",'Observaciones-SMP'!C74)</f>
        <v/>
      </c>
      <c r="D74" s="193" t="str">
        <f>IF('Observaciones-SMP'!D74="","",'Observaciones-SMP'!D74)</f>
        <v/>
      </c>
      <c r="E74" s="193" t="str">
        <f>IF('Observaciones-SMP'!E74="","",'Observaciones-SMP'!E74)</f>
        <v/>
      </c>
      <c r="F74" s="193" t="str">
        <f>IF('Observaciones-SMP'!F74="","",'Observaciones-SMP'!F74)</f>
        <v/>
      </c>
      <c r="G74" s="193" t="str">
        <f>IF('Observaciones-SMP'!G74="","",'Observaciones-SMP'!G74)</f>
        <v/>
      </c>
      <c r="H74" s="193" t="str">
        <f>IF('Observaciones-SMP'!H74="","",'Observaciones-SMP'!H74)</f>
        <v/>
      </c>
      <c r="I74" s="193" t="str">
        <f>IF('Observaciones-SMP'!I74="","",'Observaciones-SMP'!I74)</f>
        <v/>
      </c>
      <c r="J74" s="193" t="str">
        <f>IF('Observaciones-SMP'!J74="","",'Observaciones-SMP'!J74)</f>
        <v/>
      </c>
      <c r="K74" s="193" t="str">
        <f>IF('Observaciones-SMP'!K74="","",'Observaciones-SMP'!K74)</f>
        <v/>
      </c>
      <c r="L74" s="193" t="str">
        <f>IF('Observaciones-SMP'!L74="","",'Observaciones-SMP'!L74)</f>
        <v/>
      </c>
      <c r="M74" s="193" t="str">
        <f>IF('Observaciones-SMP'!M74="","",'Observaciones-SMP'!M74)</f>
        <v/>
      </c>
      <c r="N74" s="193" t="str">
        <f>IF('Observaciones-SMP'!N74="","",'Observaciones-SMP'!N74)</f>
        <v/>
      </c>
      <c r="O74" s="193" t="str">
        <f>IF('Observaciones-SMP'!O74="","",'Observaciones-SMP'!O74)</f>
        <v/>
      </c>
      <c r="P74" s="193" t="str">
        <f>IF('Observaciones-SMP'!P74="","",'Observaciones-SMP'!P74)</f>
        <v/>
      </c>
      <c r="Q74" s="257" t="str">
        <f>IF('Observaciones-SMP'!S74="","",'Observaciones-SMP'!S74)</f>
        <v/>
      </c>
      <c r="R74" s="193" t="str">
        <f>IF('Observaciones-SMP'!T74="","",'Observaciones-SMP'!T74)</f>
        <v/>
      </c>
      <c r="S74" s="193" t="str">
        <f>""</f>
        <v/>
      </c>
      <c r="T74" s="193" t="str">
        <f>""</f>
        <v/>
      </c>
      <c r="U74" s="193" t="str">
        <f t="shared" si="4"/>
        <v/>
      </c>
      <c r="V74" s="193" t="str">
        <f>""</f>
        <v/>
      </c>
      <c r="W74" s="193" t="str">
        <f>""</f>
        <v/>
      </c>
      <c r="X74" s="258" t="str">
        <f t="shared" si="5"/>
        <v/>
      </c>
      <c r="Y74" s="258" t="str">
        <f t="shared" si="6"/>
        <v/>
      </c>
      <c r="Z74" s="193" t="str">
        <f>IF(A74="","",IF(COUNTIF('Observaciones-SMP'!$A$2:$A$1001,A74)&gt;1,1,0))</f>
        <v/>
      </c>
      <c r="AA74" s="193" t="str">
        <f t="shared" si="7"/>
        <v/>
      </c>
    </row>
    <row r="75" spans="1:27" ht="13.5" customHeight="1" x14ac:dyDescent="0.3">
      <c r="A75" s="193" t="str">
        <f>IF('Observaciones-SMP'!A75="","",'Observaciones-SMP'!A75)</f>
        <v/>
      </c>
      <c r="B75" s="257" t="str">
        <f>IF('Observaciones-SMP'!B75="","",'Observaciones-SMP'!B75)</f>
        <v/>
      </c>
      <c r="C75" s="193" t="str">
        <f>IF('Observaciones-SMP'!C75="","",'Observaciones-SMP'!C75)</f>
        <v/>
      </c>
      <c r="D75" s="193" t="str">
        <f>IF('Observaciones-SMP'!D75="","",'Observaciones-SMP'!D75)</f>
        <v/>
      </c>
      <c r="E75" s="193" t="str">
        <f>IF('Observaciones-SMP'!E75="","",'Observaciones-SMP'!E75)</f>
        <v/>
      </c>
      <c r="F75" s="193" t="str">
        <f>IF('Observaciones-SMP'!F75="","",'Observaciones-SMP'!F75)</f>
        <v/>
      </c>
      <c r="G75" s="193" t="str">
        <f>IF('Observaciones-SMP'!G75="","",'Observaciones-SMP'!G75)</f>
        <v/>
      </c>
      <c r="H75" s="193" t="str">
        <f>IF('Observaciones-SMP'!H75="","",'Observaciones-SMP'!H75)</f>
        <v/>
      </c>
      <c r="I75" s="193" t="str">
        <f>IF('Observaciones-SMP'!I75="","",'Observaciones-SMP'!I75)</f>
        <v/>
      </c>
      <c r="J75" s="193" t="str">
        <f>IF('Observaciones-SMP'!J75="","",'Observaciones-SMP'!J75)</f>
        <v/>
      </c>
      <c r="K75" s="193" t="str">
        <f>IF('Observaciones-SMP'!K75="","",'Observaciones-SMP'!K75)</f>
        <v/>
      </c>
      <c r="L75" s="193" t="str">
        <f>IF('Observaciones-SMP'!L75="","",'Observaciones-SMP'!L75)</f>
        <v/>
      </c>
      <c r="M75" s="193" t="str">
        <f>IF('Observaciones-SMP'!M75="","",'Observaciones-SMP'!M75)</f>
        <v/>
      </c>
      <c r="N75" s="193" t="str">
        <f>IF('Observaciones-SMP'!N75="","",'Observaciones-SMP'!N75)</f>
        <v/>
      </c>
      <c r="O75" s="193" t="str">
        <f>IF('Observaciones-SMP'!O75="","",'Observaciones-SMP'!O75)</f>
        <v/>
      </c>
      <c r="P75" s="193" t="str">
        <f>IF('Observaciones-SMP'!P75="","",'Observaciones-SMP'!P75)</f>
        <v/>
      </c>
      <c r="Q75" s="257" t="str">
        <f>IF('Observaciones-SMP'!S75="","",'Observaciones-SMP'!S75)</f>
        <v/>
      </c>
      <c r="R75" s="193" t="str">
        <f>IF('Observaciones-SMP'!T75="","",'Observaciones-SMP'!T75)</f>
        <v/>
      </c>
      <c r="S75" s="193" t="str">
        <f>""</f>
        <v/>
      </c>
      <c r="T75" s="193" t="str">
        <f>""</f>
        <v/>
      </c>
      <c r="U75" s="193" t="str">
        <f t="shared" si="4"/>
        <v/>
      </c>
      <c r="V75" s="193" t="str">
        <f>""</f>
        <v/>
      </c>
      <c r="W75" s="193" t="str">
        <f>""</f>
        <v/>
      </c>
      <c r="X75" s="258" t="str">
        <f t="shared" si="5"/>
        <v/>
      </c>
      <c r="Y75" s="258" t="str">
        <f t="shared" si="6"/>
        <v/>
      </c>
      <c r="Z75" s="193" t="str">
        <f>IF(A75="","",IF(COUNTIF('Observaciones-SMP'!$A$2:$A$1001,A75)&gt;1,1,0))</f>
        <v/>
      </c>
      <c r="AA75" s="193" t="str">
        <f t="shared" si="7"/>
        <v/>
      </c>
    </row>
    <row r="76" spans="1:27" ht="13.5" customHeight="1" x14ac:dyDescent="0.3">
      <c r="A76" s="193" t="str">
        <f>IF('Observaciones-SMP'!A76="","",'Observaciones-SMP'!A76)</f>
        <v/>
      </c>
      <c r="B76" s="257" t="str">
        <f>IF('Observaciones-SMP'!B76="","",'Observaciones-SMP'!B76)</f>
        <v/>
      </c>
      <c r="C76" s="193" t="str">
        <f>IF('Observaciones-SMP'!C76="","",'Observaciones-SMP'!C76)</f>
        <v/>
      </c>
      <c r="D76" s="193" t="str">
        <f>IF('Observaciones-SMP'!D76="","",'Observaciones-SMP'!D76)</f>
        <v/>
      </c>
      <c r="E76" s="193" t="str">
        <f>IF('Observaciones-SMP'!E76="","",'Observaciones-SMP'!E76)</f>
        <v/>
      </c>
      <c r="F76" s="193" t="str">
        <f>IF('Observaciones-SMP'!F76="","",'Observaciones-SMP'!F76)</f>
        <v/>
      </c>
      <c r="G76" s="193" t="str">
        <f>IF('Observaciones-SMP'!G76="","",'Observaciones-SMP'!G76)</f>
        <v/>
      </c>
      <c r="H76" s="193" t="str">
        <f>IF('Observaciones-SMP'!H76="","",'Observaciones-SMP'!H76)</f>
        <v/>
      </c>
      <c r="I76" s="193" t="str">
        <f>IF('Observaciones-SMP'!I76="","",'Observaciones-SMP'!I76)</f>
        <v/>
      </c>
      <c r="J76" s="193" t="str">
        <f>IF('Observaciones-SMP'!J76="","",'Observaciones-SMP'!J76)</f>
        <v/>
      </c>
      <c r="K76" s="193" t="str">
        <f>IF('Observaciones-SMP'!K76="","",'Observaciones-SMP'!K76)</f>
        <v/>
      </c>
      <c r="L76" s="193" t="str">
        <f>IF('Observaciones-SMP'!L76="","",'Observaciones-SMP'!L76)</f>
        <v/>
      </c>
      <c r="M76" s="193" t="str">
        <f>IF('Observaciones-SMP'!M76="","",'Observaciones-SMP'!M76)</f>
        <v/>
      </c>
      <c r="N76" s="193" t="str">
        <f>IF('Observaciones-SMP'!N76="","",'Observaciones-SMP'!N76)</f>
        <v/>
      </c>
      <c r="O76" s="193" t="str">
        <f>IF('Observaciones-SMP'!O76="","",'Observaciones-SMP'!O76)</f>
        <v/>
      </c>
      <c r="P76" s="193" t="str">
        <f>IF('Observaciones-SMP'!P76="","",'Observaciones-SMP'!P76)</f>
        <v/>
      </c>
      <c r="Q76" s="257" t="str">
        <f>IF('Observaciones-SMP'!S76="","",'Observaciones-SMP'!S76)</f>
        <v/>
      </c>
      <c r="R76" s="193" t="str">
        <f>IF('Observaciones-SMP'!T76="","",'Observaciones-SMP'!T76)</f>
        <v/>
      </c>
      <c r="S76" s="193" t="str">
        <f>""</f>
        <v/>
      </c>
      <c r="T76" s="193" t="str">
        <f>""</f>
        <v/>
      </c>
      <c r="U76" s="193" t="str">
        <f t="shared" si="4"/>
        <v/>
      </c>
      <c r="V76" s="193" t="str">
        <f>""</f>
        <v/>
      </c>
      <c r="W76" s="193" t="str">
        <f>""</f>
        <v/>
      </c>
      <c r="X76" s="258" t="str">
        <f t="shared" si="5"/>
        <v/>
      </c>
      <c r="Y76" s="258" t="str">
        <f t="shared" si="6"/>
        <v/>
      </c>
      <c r="Z76" s="193" t="str">
        <f>IF(A76="","",IF(COUNTIF('Observaciones-SMP'!$A$2:$A$1001,A76)&gt;1,1,0))</f>
        <v/>
      </c>
      <c r="AA76" s="193" t="str">
        <f t="shared" si="7"/>
        <v/>
      </c>
    </row>
    <row r="77" spans="1:27" ht="13.5" customHeight="1" x14ac:dyDescent="0.3">
      <c r="A77" s="193" t="str">
        <f>IF('Observaciones-SMP'!A77="","",'Observaciones-SMP'!A77)</f>
        <v/>
      </c>
      <c r="B77" s="257" t="str">
        <f>IF('Observaciones-SMP'!B77="","",'Observaciones-SMP'!B77)</f>
        <v/>
      </c>
      <c r="C77" s="193" t="str">
        <f>IF('Observaciones-SMP'!C77="","",'Observaciones-SMP'!C77)</f>
        <v/>
      </c>
      <c r="D77" s="193" t="str">
        <f>IF('Observaciones-SMP'!D77="","",'Observaciones-SMP'!D77)</f>
        <v/>
      </c>
      <c r="E77" s="193" t="str">
        <f>IF('Observaciones-SMP'!E77="","",'Observaciones-SMP'!E77)</f>
        <v/>
      </c>
      <c r="F77" s="193" t="str">
        <f>IF('Observaciones-SMP'!F77="","",'Observaciones-SMP'!F77)</f>
        <v/>
      </c>
      <c r="G77" s="193" t="str">
        <f>IF('Observaciones-SMP'!G77="","",'Observaciones-SMP'!G77)</f>
        <v/>
      </c>
      <c r="H77" s="193" t="str">
        <f>IF('Observaciones-SMP'!H77="","",'Observaciones-SMP'!H77)</f>
        <v/>
      </c>
      <c r="I77" s="193" t="str">
        <f>IF('Observaciones-SMP'!I77="","",'Observaciones-SMP'!I77)</f>
        <v/>
      </c>
      <c r="J77" s="193" t="str">
        <f>IF('Observaciones-SMP'!J77="","",'Observaciones-SMP'!J77)</f>
        <v/>
      </c>
      <c r="K77" s="193" t="str">
        <f>IF('Observaciones-SMP'!K77="","",'Observaciones-SMP'!K77)</f>
        <v/>
      </c>
      <c r="L77" s="193" t="str">
        <f>IF('Observaciones-SMP'!L77="","",'Observaciones-SMP'!L77)</f>
        <v/>
      </c>
      <c r="M77" s="193" t="str">
        <f>IF('Observaciones-SMP'!M77="","",'Observaciones-SMP'!M77)</f>
        <v/>
      </c>
      <c r="N77" s="193" t="str">
        <f>IF('Observaciones-SMP'!N77="","",'Observaciones-SMP'!N77)</f>
        <v/>
      </c>
      <c r="O77" s="193" t="str">
        <f>IF('Observaciones-SMP'!O77="","",'Observaciones-SMP'!O77)</f>
        <v/>
      </c>
      <c r="P77" s="193" t="str">
        <f>IF('Observaciones-SMP'!P77="","",'Observaciones-SMP'!P77)</f>
        <v/>
      </c>
      <c r="Q77" s="257" t="str">
        <f>IF('Observaciones-SMP'!S77="","",'Observaciones-SMP'!S77)</f>
        <v/>
      </c>
      <c r="R77" s="193" t="str">
        <f>IF('Observaciones-SMP'!T77="","",'Observaciones-SMP'!T77)</f>
        <v/>
      </c>
      <c r="S77" s="193" t="str">
        <f>""</f>
        <v/>
      </c>
      <c r="T77" s="193" t="str">
        <f>""</f>
        <v/>
      </c>
      <c r="U77" s="193" t="str">
        <f t="shared" si="4"/>
        <v/>
      </c>
      <c r="V77" s="193" t="str">
        <f>""</f>
        <v/>
      </c>
      <c r="W77" s="193" t="str">
        <f>""</f>
        <v/>
      </c>
      <c r="X77" s="258" t="str">
        <f t="shared" si="5"/>
        <v/>
      </c>
      <c r="Y77" s="258" t="str">
        <f t="shared" si="6"/>
        <v/>
      </c>
      <c r="Z77" s="193" t="str">
        <f>IF(A77="","",IF(COUNTIF('Observaciones-SMP'!$A$2:$A$1001,A77)&gt;1,1,0))</f>
        <v/>
      </c>
      <c r="AA77" s="193" t="str">
        <f t="shared" si="7"/>
        <v/>
      </c>
    </row>
    <row r="78" spans="1:27" ht="13.5" customHeight="1" x14ac:dyDescent="0.3">
      <c r="A78" s="193" t="str">
        <f>IF('Observaciones-SMP'!A78="","",'Observaciones-SMP'!A78)</f>
        <v/>
      </c>
      <c r="B78" s="257" t="str">
        <f>IF('Observaciones-SMP'!B78="","",'Observaciones-SMP'!B78)</f>
        <v/>
      </c>
      <c r="C78" s="193" t="str">
        <f>IF('Observaciones-SMP'!C78="","",'Observaciones-SMP'!C78)</f>
        <v/>
      </c>
      <c r="D78" s="193" t="str">
        <f>IF('Observaciones-SMP'!D78="","",'Observaciones-SMP'!D78)</f>
        <v/>
      </c>
      <c r="E78" s="193" t="str">
        <f>IF('Observaciones-SMP'!E78="","",'Observaciones-SMP'!E78)</f>
        <v/>
      </c>
      <c r="F78" s="193" t="str">
        <f>IF('Observaciones-SMP'!F78="","",'Observaciones-SMP'!F78)</f>
        <v/>
      </c>
      <c r="G78" s="193" t="str">
        <f>IF('Observaciones-SMP'!G78="","",'Observaciones-SMP'!G78)</f>
        <v/>
      </c>
      <c r="H78" s="193" t="str">
        <f>IF('Observaciones-SMP'!H78="","",'Observaciones-SMP'!H78)</f>
        <v/>
      </c>
      <c r="I78" s="193" t="str">
        <f>IF('Observaciones-SMP'!I78="","",'Observaciones-SMP'!I78)</f>
        <v/>
      </c>
      <c r="J78" s="193" t="str">
        <f>IF('Observaciones-SMP'!J78="","",'Observaciones-SMP'!J78)</f>
        <v/>
      </c>
      <c r="K78" s="193" t="str">
        <f>IF('Observaciones-SMP'!K78="","",'Observaciones-SMP'!K78)</f>
        <v/>
      </c>
      <c r="L78" s="193" t="str">
        <f>IF('Observaciones-SMP'!L78="","",'Observaciones-SMP'!L78)</f>
        <v/>
      </c>
      <c r="M78" s="193" t="str">
        <f>IF('Observaciones-SMP'!M78="","",'Observaciones-SMP'!M78)</f>
        <v/>
      </c>
      <c r="N78" s="193" t="str">
        <f>IF('Observaciones-SMP'!N78="","",'Observaciones-SMP'!N78)</f>
        <v/>
      </c>
      <c r="O78" s="193" t="str">
        <f>IF('Observaciones-SMP'!O78="","",'Observaciones-SMP'!O78)</f>
        <v/>
      </c>
      <c r="P78" s="193" t="str">
        <f>IF('Observaciones-SMP'!P78="","",'Observaciones-SMP'!P78)</f>
        <v/>
      </c>
      <c r="Q78" s="257" t="str">
        <f>IF('Observaciones-SMP'!S78="","",'Observaciones-SMP'!S78)</f>
        <v/>
      </c>
      <c r="R78" s="193" t="str">
        <f>IF('Observaciones-SMP'!T78="","",'Observaciones-SMP'!T78)</f>
        <v/>
      </c>
      <c r="S78" s="193" t="str">
        <f>""</f>
        <v/>
      </c>
      <c r="T78" s="193" t="str">
        <f>""</f>
        <v/>
      </c>
      <c r="U78" s="193" t="str">
        <f t="shared" si="4"/>
        <v/>
      </c>
      <c r="V78" s="193" t="str">
        <f>""</f>
        <v/>
      </c>
      <c r="W78" s="193" t="str">
        <f>""</f>
        <v/>
      </c>
      <c r="X78" s="258" t="str">
        <f t="shared" si="5"/>
        <v/>
      </c>
      <c r="Y78" s="258" t="str">
        <f t="shared" si="6"/>
        <v/>
      </c>
      <c r="Z78" s="193" t="str">
        <f>IF(A78="","",IF(COUNTIF('Observaciones-SMP'!$A$2:$A$1001,A78)&gt;1,1,0))</f>
        <v/>
      </c>
      <c r="AA78" s="193" t="str">
        <f t="shared" si="7"/>
        <v/>
      </c>
    </row>
    <row r="79" spans="1:27" ht="13.5" customHeight="1" x14ac:dyDescent="0.3">
      <c r="A79" s="193" t="str">
        <f>IF('Observaciones-SMP'!A79="","",'Observaciones-SMP'!A79)</f>
        <v/>
      </c>
      <c r="B79" s="257" t="str">
        <f>IF('Observaciones-SMP'!B79="","",'Observaciones-SMP'!B79)</f>
        <v/>
      </c>
      <c r="C79" s="193" t="str">
        <f>IF('Observaciones-SMP'!C79="","",'Observaciones-SMP'!C79)</f>
        <v/>
      </c>
      <c r="D79" s="193" t="str">
        <f>IF('Observaciones-SMP'!D79="","",'Observaciones-SMP'!D79)</f>
        <v/>
      </c>
      <c r="E79" s="193" t="str">
        <f>IF('Observaciones-SMP'!E79="","",'Observaciones-SMP'!E79)</f>
        <v/>
      </c>
      <c r="F79" s="193" t="str">
        <f>IF('Observaciones-SMP'!F79="","",'Observaciones-SMP'!F79)</f>
        <v/>
      </c>
      <c r="G79" s="193" t="str">
        <f>IF('Observaciones-SMP'!G79="","",'Observaciones-SMP'!G79)</f>
        <v/>
      </c>
      <c r="H79" s="193" t="str">
        <f>IF('Observaciones-SMP'!H79="","",'Observaciones-SMP'!H79)</f>
        <v/>
      </c>
      <c r="I79" s="193" t="str">
        <f>IF('Observaciones-SMP'!I79="","",'Observaciones-SMP'!I79)</f>
        <v/>
      </c>
      <c r="J79" s="193" t="str">
        <f>IF('Observaciones-SMP'!J79="","",'Observaciones-SMP'!J79)</f>
        <v/>
      </c>
      <c r="K79" s="193" t="str">
        <f>IF('Observaciones-SMP'!K79="","",'Observaciones-SMP'!K79)</f>
        <v/>
      </c>
      <c r="L79" s="193" t="str">
        <f>IF('Observaciones-SMP'!L79="","",'Observaciones-SMP'!L79)</f>
        <v/>
      </c>
      <c r="M79" s="193" t="str">
        <f>IF('Observaciones-SMP'!M79="","",'Observaciones-SMP'!M79)</f>
        <v/>
      </c>
      <c r="N79" s="193" t="str">
        <f>IF('Observaciones-SMP'!N79="","",'Observaciones-SMP'!N79)</f>
        <v/>
      </c>
      <c r="O79" s="193" t="str">
        <f>IF('Observaciones-SMP'!O79="","",'Observaciones-SMP'!O79)</f>
        <v/>
      </c>
      <c r="P79" s="193" t="str">
        <f>IF('Observaciones-SMP'!P79="","",'Observaciones-SMP'!P79)</f>
        <v/>
      </c>
      <c r="Q79" s="257" t="str">
        <f>IF('Observaciones-SMP'!S79="","",'Observaciones-SMP'!S79)</f>
        <v/>
      </c>
      <c r="R79" s="193" t="str">
        <f>IF('Observaciones-SMP'!T79="","",'Observaciones-SMP'!T79)</f>
        <v/>
      </c>
      <c r="S79" s="193" t="str">
        <f>""</f>
        <v/>
      </c>
      <c r="T79" s="193" t="str">
        <f>""</f>
        <v/>
      </c>
      <c r="U79" s="193" t="str">
        <f t="shared" si="4"/>
        <v/>
      </c>
      <c r="V79" s="193" t="str">
        <f>""</f>
        <v/>
      </c>
      <c r="W79" s="193" t="str">
        <f>""</f>
        <v/>
      </c>
      <c r="X79" s="258" t="str">
        <f t="shared" si="5"/>
        <v/>
      </c>
      <c r="Y79" s="258" t="str">
        <f t="shared" si="6"/>
        <v/>
      </c>
      <c r="Z79" s="193" t="str">
        <f>IF(A79="","",IF(COUNTIF('Observaciones-SMP'!$A$2:$A$1001,A79)&gt;1,1,0))</f>
        <v/>
      </c>
      <c r="AA79" s="193" t="str">
        <f t="shared" si="7"/>
        <v/>
      </c>
    </row>
    <row r="80" spans="1:27" ht="13.5" customHeight="1" x14ac:dyDescent="0.3">
      <c r="A80" s="193" t="str">
        <f>IF('Observaciones-SMP'!A80="","",'Observaciones-SMP'!A80)</f>
        <v/>
      </c>
      <c r="B80" s="257" t="str">
        <f>IF('Observaciones-SMP'!B80="","",'Observaciones-SMP'!B80)</f>
        <v/>
      </c>
      <c r="C80" s="193" t="str">
        <f>IF('Observaciones-SMP'!C80="","",'Observaciones-SMP'!C80)</f>
        <v/>
      </c>
      <c r="D80" s="193" t="str">
        <f>IF('Observaciones-SMP'!D80="","",'Observaciones-SMP'!D80)</f>
        <v/>
      </c>
      <c r="E80" s="193" t="str">
        <f>IF('Observaciones-SMP'!E80="","",'Observaciones-SMP'!E80)</f>
        <v/>
      </c>
      <c r="F80" s="193" t="str">
        <f>IF('Observaciones-SMP'!F80="","",'Observaciones-SMP'!F80)</f>
        <v/>
      </c>
      <c r="G80" s="193" t="str">
        <f>IF('Observaciones-SMP'!G80="","",'Observaciones-SMP'!G80)</f>
        <v/>
      </c>
      <c r="H80" s="193" t="str">
        <f>IF('Observaciones-SMP'!H80="","",'Observaciones-SMP'!H80)</f>
        <v/>
      </c>
      <c r="I80" s="193" t="str">
        <f>IF('Observaciones-SMP'!I80="","",'Observaciones-SMP'!I80)</f>
        <v/>
      </c>
      <c r="J80" s="193" t="str">
        <f>IF('Observaciones-SMP'!J80="","",'Observaciones-SMP'!J80)</f>
        <v/>
      </c>
      <c r="K80" s="193" t="str">
        <f>IF('Observaciones-SMP'!K80="","",'Observaciones-SMP'!K80)</f>
        <v/>
      </c>
      <c r="L80" s="193" t="str">
        <f>IF('Observaciones-SMP'!L80="","",'Observaciones-SMP'!L80)</f>
        <v/>
      </c>
      <c r="M80" s="193" t="str">
        <f>IF('Observaciones-SMP'!M80="","",'Observaciones-SMP'!M80)</f>
        <v/>
      </c>
      <c r="N80" s="193" t="str">
        <f>IF('Observaciones-SMP'!N80="","",'Observaciones-SMP'!N80)</f>
        <v/>
      </c>
      <c r="O80" s="193" t="str">
        <f>IF('Observaciones-SMP'!O80="","",'Observaciones-SMP'!O80)</f>
        <v/>
      </c>
      <c r="P80" s="193" t="str">
        <f>IF('Observaciones-SMP'!P80="","",'Observaciones-SMP'!P80)</f>
        <v/>
      </c>
      <c r="Q80" s="257" t="str">
        <f>IF('Observaciones-SMP'!S80="","",'Observaciones-SMP'!S80)</f>
        <v/>
      </c>
      <c r="R80" s="193" t="str">
        <f>IF('Observaciones-SMP'!T80="","",'Observaciones-SMP'!T80)</f>
        <v/>
      </c>
      <c r="S80" s="193" t="str">
        <f>""</f>
        <v/>
      </c>
      <c r="T80" s="193" t="str">
        <f>""</f>
        <v/>
      </c>
      <c r="U80" s="193" t="str">
        <f t="shared" si="4"/>
        <v/>
      </c>
      <c r="V80" s="193" t="str">
        <f>""</f>
        <v/>
      </c>
      <c r="W80" s="193" t="str">
        <f>""</f>
        <v/>
      </c>
      <c r="X80" s="258" t="str">
        <f t="shared" si="5"/>
        <v/>
      </c>
      <c r="Y80" s="258" t="str">
        <f t="shared" si="6"/>
        <v/>
      </c>
      <c r="Z80" s="193" t="str">
        <f>IF(A80="","",IF(COUNTIF('Observaciones-SMP'!$A$2:$A$1001,A80)&gt;1,1,0))</f>
        <v/>
      </c>
      <c r="AA80" s="193" t="str">
        <f t="shared" si="7"/>
        <v/>
      </c>
    </row>
    <row r="81" spans="1:27" ht="13.5" customHeight="1" x14ac:dyDescent="0.3">
      <c r="A81" s="193" t="str">
        <f>IF('Observaciones-SMP'!A81="","",'Observaciones-SMP'!A81)</f>
        <v/>
      </c>
      <c r="B81" s="257" t="str">
        <f>IF('Observaciones-SMP'!B81="","",'Observaciones-SMP'!B81)</f>
        <v/>
      </c>
      <c r="C81" s="193" t="str">
        <f>IF('Observaciones-SMP'!C81="","",'Observaciones-SMP'!C81)</f>
        <v/>
      </c>
      <c r="D81" s="193" t="str">
        <f>IF('Observaciones-SMP'!D81="","",'Observaciones-SMP'!D81)</f>
        <v/>
      </c>
      <c r="E81" s="193" t="str">
        <f>IF('Observaciones-SMP'!E81="","",'Observaciones-SMP'!E81)</f>
        <v/>
      </c>
      <c r="F81" s="193" t="str">
        <f>IF('Observaciones-SMP'!F81="","",'Observaciones-SMP'!F81)</f>
        <v/>
      </c>
      <c r="G81" s="193" t="str">
        <f>IF('Observaciones-SMP'!G81="","",'Observaciones-SMP'!G81)</f>
        <v/>
      </c>
      <c r="H81" s="193" t="str">
        <f>IF('Observaciones-SMP'!H81="","",'Observaciones-SMP'!H81)</f>
        <v/>
      </c>
      <c r="I81" s="193" t="str">
        <f>IF('Observaciones-SMP'!I81="","",'Observaciones-SMP'!I81)</f>
        <v/>
      </c>
      <c r="J81" s="193" t="str">
        <f>IF('Observaciones-SMP'!J81="","",'Observaciones-SMP'!J81)</f>
        <v/>
      </c>
      <c r="K81" s="193" t="str">
        <f>IF('Observaciones-SMP'!K81="","",'Observaciones-SMP'!K81)</f>
        <v/>
      </c>
      <c r="L81" s="193" t="str">
        <f>IF('Observaciones-SMP'!L81="","",'Observaciones-SMP'!L81)</f>
        <v/>
      </c>
      <c r="M81" s="193" t="str">
        <f>IF('Observaciones-SMP'!M81="","",'Observaciones-SMP'!M81)</f>
        <v/>
      </c>
      <c r="N81" s="193" t="str">
        <f>IF('Observaciones-SMP'!N81="","",'Observaciones-SMP'!N81)</f>
        <v/>
      </c>
      <c r="O81" s="193" t="str">
        <f>IF('Observaciones-SMP'!O81="","",'Observaciones-SMP'!O81)</f>
        <v/>
      </c>
      <c r="P81" s="193" t="str">
        <f>IF('Observaciones-SMP'!P81="","",'Observaciones-SMP'!P81)</f>
        <v/>
      </c>
      <c r="Q81" s="257" t="str">
        <f>IF('Observaciones-SMP'!S81="","",'Observaciones-SMP'!S81)</f>
        <v/>
      </c>
      <c r="R81" s="193" t="str">
        <f>IF('Observaciones-SMP'!T81="","",'Observaciones-SMP'!T81)</f>
        <v/>
      </c>
      <c r="S81" s="193" t="str">
        <f>""</f>
        <v/>
      </c>
      <c r="T81" s="193" t="str">
        <f>""</f>
        <v/>
      </c>
      <c r="U81" s="193" t="str">
        <f t="shared" si="4"/>
        <v/>
      </c>
      <c r="V81" s="193" t="str">
        <f>""</f>
        <v/>
      </c>
      <c r="W81" s="193" t="str">
        <f>""</f>
        <v/>
      </c>
      <c r="X81" s="258" t="str">
        <f t="shared" si="5"/>
        <v/>
      </c>
      <c r="Y81" s="258" t="str">
        <f t="shared" si="6"/>
        <v/>
      </c>
      <c r="Z81" s="193" t="str">
        <f>IF(A81="","",IF(COUNTIF('Observaciones-SMP'!$A$2:$A$1001,A81)&gt;1,1,0))</f>
        <v/>
      </c>
      <c r="AA81" s="193" t="str">
        <f t="shared" si="7"/>
        <v/>
      </c>
    </row>
    <row r="82" spans="1:27" ht="13.5" customHeight="1" x14ac:dyDescent="0.3">
      <c r="A82" s="193" t="str">
        <f>IF('Observaciones-SMP'!A82="","",'Observaciones-SMP'!A82)</f>
        <v/>
      </c>
      <c r="B82" s="257" t="str">
        <f>IF('Observaciones-SMP'!B82="","",'Observaciones-SMP'!B82)</f>
        <v/>
      </c>
      <c r="C82" s="193" t="str">
        <f>IF('Observaciones-SMP'!C82="","",'Observaciones-SMP'!C82)</f>
        <v/>
      </c>
      <c r="D82" s="193" t="str">
        <f>IF('Observaciones-SMP'!D82="","",'Observaciones-SMP'!D82)</f>
        <v/>
      </c>
      <c r="E82" s="193" t="str">
        <f>IF('Observaciones-SMP'!E82="","",'Observaciones-SMP'!E82)</f>
        <v/>
      </c>
      <c r="F82" s="193" t="str">
        <f>IF('Observaciones-SMP'!F82="","",'Observaciones-SMP'!F82)</f>
        <v/>
      </c>
      <c r="G82" s="193" t="str">
        <f>IF('Observaciones-SMP'!G82="","",'Observaciones-SMP'!G82)</f>
        <v/>
      </c>
      <c r="H82" s="193" t="str">
        <f>IF('Observaciones-SMP'!H82="","",'Observaciones-SMP'!H82)</f>
        <v/>
      </c>
      <c r="I82" s="193" t="str">
        <f>IF('Observaciones-SMP'!I82="","",'Observaciones-SMP'!I82)</f>
        <v/>
      </c>
      <c r="J82" s="193" t="str">
        <f>IF('Observaciones-SMP'!J82="","",'Observaciones-SMP'!J82)</f>
        <v/>
      </c>
      <c r="K82" s="193" t="str">
        <f>IF('Observaciones-SMP'!K82="","",'Observaciones-SMP'!K82)</f>
        <v/>
      </c>
      <c r="L82" s="193" t="str">
        <f>IF('Observaciones-SMP'!L82="","",'Observaciones-SMP'!L82)</f>
        <v/>
      </c>
      <c r="M82" s="193" t="str">
        <f>IF('Observaciones-SMP'!M82="","",'Observaciones-SMP'!M82)</f>
        <v/>
      </c>
      <c r="N82" s="193" t="str">
        <f>IF('Observaciones-SMP'!N82="","",'Observaciones-SMP'!N82)</f>
        <v/>
      </c>
      <c r="O82" s="193" t="str">
        <f>IF('Observaciones-SMP'!O82="","",'Observaciones-SMP'!O82)</f>
        <v/>
      </c>
      <c r="P82" s="193" t="str">
        <f>IF('Observaciones-SMP'!P82="","",'Observaciones-SMP'!P82)</f>
        <v/>
      </c>
      <c r="Q82" s="257" t="str">
        <f>IF('Observaciones-SMP'!S82="","",'Observaciones-SMP'!S82)</f>
        <v/>
      </c>
      <c r="R82" s="193" t="str">
        <f>IF('Observaciones-SMP'!T82="","",'Observaciones-SMP'!T82)</f>
        <v/>
      </c>
      <c r="S82" s="193" t="str">
        <f>""</f>
        <v/>
      </c>
      <c r="T82" s="193" t="str">
        <f>""</f>
        <v/>
      </c>
      <c r="U82" s="193" t="str">
        <f t="shared" si="4"/>
        <v/>
      </c>
      <c r="V82" s="193" t="str">
        <f>""</f>
        <v/>
      </c>
      <c r="W82" s="193" t="str">
        <f>""</f>
        <v/>
      </c>
      <c r="X82" s="258" t="str">
        <f t="shared" si="5"/>
        <v/>
      </c>
      <c r="Y82" s="258" t="str">
        <f t="shared" si="6"/>
        <v/>
      </c>
      <c r="Z82" s="193" t="str">
        <f>IF(A82="","",IF(COUNTIF('Observaciones-SMP'!$A$2:$A$1001,A82)&gt;1,1,0))</f>
        <v/>
      </c>
      <c r="AA82" s="193" t="str">
        <f t="shared" si="7"/>
        <v/>
      </c>
    </row>
    <row r="83" spans="1:27" ht="13.5" customHeight="1" x14ac:dyDescent="0.3">
      <c r="A83" s="193" t="str">
        <f>IF('Observaciones-SMP'!A83="","",'Observaciones-SMP'!A83)</f>
        <v/>
      </c>
      <c r="B83" s="257" t="str">
        <f>IF('Observaciones-SMP'!B83="","",'Observaciones-SMP'!B83)</f>
        <v/>
      </c>
      <c r="C83" s="193" t="str">
        <f>IF('Observaciones-SMP'!C83="","",'Observaciones-SMP'!C83)</f>
        <v/>
      </c>
      <c r="D83" s="193" t="str">
        <f>IF('Observaciones-SMP'!D83="","",'Observaciones-SMP'!D83)</f>
        <v/>
      </c>
      <c r="E83" s="193" t="str">
        <f>IF('Observaciones-SMP'!E83="","",'Observaciones-SMP'!E83)</f>
        <v/>
      </c>
      <c r="F83" s="193" t="str">
        <f>IF('Observaciones-SMP'!F83="","",'Observaciones-SMP'!F83)</f>
        <v/>
      </c>
      <c r="G83" s="193" t="str">
        <f>IF('Observaciones-SMP'!G83="","",'Observaciones-SMP'!G83)</f>
        <v/>
      </c>
      <c r="H83" s="193" t="str">
        <f>IF('Observaciones-SMP'!H83="","",'Observaciones-SMP'!H83)</f>
        <v/>
      </c>
      <c r="I83" s="193" t="str">
        <f>IF('Observaciones-SMP'!I83="","",'Observaciones-SMP'!I83)</f>
        <v/>
      </c>
      <c r="J83" s="193" t="str">
        <f>IF('Observaciones-SMP'!J83="","",'Observaciones-SMP'!J83)</f>
        <v/>
      </c>
      <c r="K83" s="193" t="str">
        <f>IF('Observaciones-SMP'!K83="","",'Observaciones-SMP'!K83)</f>
        <v/>
      </c>
      <c r="L83" s="193" t="str">
        <f>IF('Observaciones-SMP'!L83="","",'Observaciones-SMP'!L83)</f>
        <v/>
      </c>
      <c r="M83" s="193" t="str">
        <f>IF('Observaciones-SMP'!M83="","",'Observaciones-SMP'!M83)</f>
        <v/>
      </c>
      <c r="N83" s="193" t="str">
        <f>IF('Observaciones-SMP'!N83="","",'Observaciones-SMP'!N83)</f>
        <v/>
      </c>
      <c r="O83" s="193" t="str">
        <f>IF('Observaciones-SMP'!O83="","",'Observaciones-SMP'!O83)</f>
        <v/>
      </c>
      <c r="P83" s="193" t="str">
        <f>IF('Observaciones-SMP'!P83="","",'Observaciones-SMP'!P83)</f>
        <v/>
      </c>
      <c r="Q83" s="257" t="str">
        <f>IF('Observaciones-SMP'!S83="","",'Observaciones-SMP'!S83)</f>
        <v/>
      </c>
      <c r="R83" s="193" t="str">
        <f>IF('Observaciones-SMP'!T83="","",'Observaciones-SMP'!T83)</f>
        <v/>
      </c>
      <c r="S83" s="193" t="str">
        <f>""</f>
        <v/>
      </c>
      <c r="T83" s="193" t="str">
        <f>""</f>
        <v/>
      </c>
      <c r="U83" s="193" t="str">
        <f t="shared" si="4"/>
        <v/>
      </c>
      <c r="V83" s="193" t="str">
        <f>""</f>
        <v/>
      </c>
      <c r="W83" s="193" t="str">
        <f>""</f>
        <v/>
      </c>
      <c r="X83" s="258" t="str">
        <f t="shared" si="5"/>
        <v/>
      </c>
      <c r="Y83" s="258" t="str">
        <f t="shared" si="6"/>
        <v/>
      </c>
      <c r="Z83" s="193" t="str">
        <f>IF(A83="","",IF(COUNTIF('Observaciones-SMP'!$A$2:$A$1001,A83)&gt;1,1,0))</f>
        <v/>
      </c>
      <c r="AA83" s="193" t="str">
        <f t="shared" si="7"/>
        <v/>
      </c>
    </row>
    <row r="84" spans="1:27" ht="13.5" customHeight="1" x14ac:dyDescent="0.3">
      <c r="A84" s="193" t="str">
        <f>IF('Observaciones-SMP'!A84="","",'Observaciones-SMP'!A84)</f>
        <v/>
      </c>
      <c r="B84" s="257" t="str">
        <f>IF('Observaciones-SMP'!B84="","",'Observaciones-SMP'!B84)</f>
        <v/>
      </c>
      <c r="C84" s="193" t="str">
        <f>IF('Observaciones-SMP'!C84="","",'Observaciones-SMP'!C84)</f>
        <v/>
      </c>
      <c r="D84" s="193" t="str">
        <f>IF('Observaciones-SMP'!D84="","",'Observaciones-SMP'!D84)</f>
        <v/>
      </c>
      <c r="E84" s="193" t="str">
        <f>IF('Observaciones-SMP'!E84="","",'Observaciones-SMP'!E84)</f>
        <v/>
      </c>
      <c r="F84" s="193" t="str">
        <f>IF('Observaciones-SMP'!F84="","",'Observaciones-SMP'!F84)</f>
        <v/>
      </c>
      <c r="G84" s="193" t="str">
        <f>IF('Observaciones-SMP'!G84="","",'Observaciones-SMP'!G84)</f>
        <v/>
      </c>
      <c r="H84" s="193" t="str">
        <f>IF('Observaciones-SMP'!H84="","",'Observaciones-SMP'!H84)</f>
        <v/>
      </c>
      <c r="I84" s="193" t="str">
        <f>IF('Observaciones-SMP'!I84="","",'Observaciones-SMP'!I84)</f>
        <v/>
      </c>
      <c r="J84" s="193" t="str">
        <f>IF('Observaciones-SMP'!J84="","",'Observaciones-SMP'!J84)</f>
        <v/>
      </c>
      <c r="K84" s="193" t="str">
        <f>IF('Observaciones-SMP'!K84="","",'Observaciones-SMP'!K84)</f>
        <v/>
      </c>
      <c r="L84" s="193" t="str">
        <f>IF('Observaciones-SMP'!L84="","",'Observaciones-SMP'!L84)</f>
        <v/>
      </c>
      <c r="M84" s="193" t="str">
        <f>IF('Observaciones-SMP'!M84="","",'Observaciones-SMP'!M84)</f>
        <v/>
      </c>
      <c r="N84" s="193" t="str">
        <f>IF('Observaciones-SMP'!N84="","",'Observaciones-SMP'!N84)</f>
        <v/>
      </c>
      <c r="O84" s="193" t="str">
        <f>IF('Observaciones-SMP'!O84="","",'Observaciones-SMP'!O84)</f>
        <v/>
      </c>
      <c r="P84" s="193" t="str">
        <f>IF('Observaciones-SMP'!P84="","",'Observaciones-SMP'!P84)</f>
        <v/>
      </c>
      <c r="Q84" s="257" t="str">
        <f>IF('Observaciones-SMP'!S84="","",'Observaciones-SMP'!S84)</f>
        <v/>
      </c>
      <c r="R84" s="193" t="str">
        <f>IF('Observaciones-SMP'!T84="","",'Observaciones-SMP'!T84)</f>
        <v/>
      </c>
      <c r="S84" s="193" t="str">
        <f>""</f>
        <v/>
      </c>
      <c r="T84" s="193" t="str">
        <f>""</f>
        <v/>
      </c>
      <c r="U84" s="193" t="str">
        <f t="shared" si="4"/>
        <v/>
      </c>
      <c r="V84" s="193" t="str">
        <f>""</f>
        <v/>
      </c>
      <c r="W84" s="193" t="str">
        <f>""</f>
        <v/>
      </c>
      <c r="X84" s="258" t="str">
        <f t="shared" si="5"/>
        <v/>
      </c>
      <c r="Y84" s="258" t="str">
        <f t="shared" si="6"/>
        <v/>
      </c>
      <c r="Z84" s="193" t="str">
        <f>IF(A84="","",IF(COUNTIF('Observaciones-SMP'!$A$2:$A$1001,A84)&gt;1,1,0))</f>
        <v/>
      </c>
      <c r="AA84" s="193" t="str">
        <f t="shared" si="7"/>
        <v/>
      </c>
    </row>
    <row r="85" spans="1:27" ht="13.5" customHeight="1" x14ac:dyDescent="0.3">
      <c r="A85" s="193" t="str">
        <f>IF('Observaciones-SMP'!A85="","",'Observaciones-SMP'!A85)</f>
        <v/>
      </c>
      <c r="B85" s="257" t="str">
        <f>IF('Observaciones-SMP'!B85="","",'Observaciones-SMP'!B85)</f>
        <v/>
      </c>
      <c r="C85" s="193" t="str">
        <f>IF('Observaciones-SMP'!C85="","",'Observaciones-SMP'!C85)</f>
        <v/>
      </c>
      <c r="D85" s="193" t="str">
        <f>IF('Observaciones-SMP'!D85="","",'Observaciones-SMP'!D85)</f>
        <v/>
      </c>
      <c r="E85" s="193" t="str">
        <f>IF('Observaciones-SMP'!E85="","",'Observaciones-SMP'!E85)</f>
        <v/>
      </c>
      <c r="F85" s="193" t="str">
        <f>IF('Observaciones-SMP'!F85="","",'Observaciones-SMP'!F85)</f>
        <v/>
      </c>
      <c r="G85" s="193" t="str">
        <f>IF('Observaciones-SMP'!G85="","",'Observaciones-SMP'!G85)</f>
        <v/>
      </c>
      <c r="H85" s="193" t="str">
        <f>IF('Observaciones-SMP'!H85="","",'Observaciones-SMP'!H85)</f>
        <v/>
      </c>
      <c r="I85" s="193" t="str">
        <f>IF('Observaciones-SMP'!I85="","",'Observaciones-SMP'!I85)</f>
        <v/>
      </c>
      <c r="J85" s="193" t="str">
        <f>IF('Observaciones-SMP'!J85="","",'Observaciones-SMP'!J85)</f>
        <v/>
      </c>
      <c r="K85" s="193" t="str">
        <f>IF('Observaciones-SMP'!K85="","",'Observaciones-SMP'!K85)</f>
        <v/>
      </c>
      <c r="L85" s="193" t="str">
        <f>IF('Observaciones-SMP'!L85="","",'Observaciones-SMP'!L85)</f>
        <v/>
      </c>
      <c r="M85" s="193" t="str">
        <f>IF('Observaciones-SMP'!M85="","",'Observaciones-SMP'!M85)</f>
        <v/>
      </c>
      <c r="N85" s="193" t="str">
        <f>IF('Observaciones-SMP'!N85="","",'Observaciones-SMP'!N85)</f>
        <v/>
      </c>
      <c r="O85" s="193" t="str">
        <f>IF('Observaciones-SMP'!O85="","",'Observaciones-SMP'!O85)</f>
        <v/>
      </c>
      <c r="P85" s="193" t="str">
        <f>IF('Observaciones-SMP'!P85="","",'Observaciones-SMP'!P85)</f>
        <v/>
      </c>
      <c r="Q85" s="257" t="str">
        <f>IF('Observaciones-SMP'!S85="","",'Observaciones-SMP'!S85)</f>
        <v/>
      </c>
      <c r="R85" s="193" t="str">
        <f>IF('Observaciones-SMP'!T85="","",'Observaciones-SMP'!T85)</f>
        <v/>
      </c>
      <c r="S85" s="193" t="str">
        <f>""</f>
        <v/>
      </c>
      <c r="T85" s="193" t="str">
        <f>""</f>
        <v/>
      </c>
      <c r="U85" s="193" t="str">
        <f t="shared" si="4"/>
        <v/>
      </c>
      <c r="V85" s="193" t="str">
        <f>""</f>
        <v/>
      </c>
      <c r="W85" s="193" t="str">
        <f>""</f>
        <v/>
      </c>
      <c r="X85" s="258" t="str">
        <f t="shared" si="5"/>
        <v/>
      </c>
      <c r="Y85" s="258" t="str">
        <f t="shared" si="6"/>
        <v/>
      </c>
      <c r="Z85" s="193" t="str">
        <f>IF(A85="","",IF(COUNTIF('Observaciones-SMP'!$A$2:$A$1001,A85)&gt;1,1,0))</f>
        <v/>
      </c>
      <c r="AA85" s="193" t="str">
        <f t="shared" si="7"/>
        <v/>
      </c>
    </row>
    <row r="86" spans="1:27" ht="13.5" customHeight="1" x14ac:dyDescent="0.3">
      <c r="A86" s="193" t="str">
        <f>IF('Observaciones-SMP'!A86="","",'Observaciones-SMP'!A86)</f>
        <v/>
      </c>
      <c r="B86" s="257" t="str">
        <f>IF('Observaciones-SMP'!B86="","",'Observaciones-SMP'!B86)</f>
        <v/>
      </c>
      <c r="C86" s="193" t="str">
        <f>IF('Observaciones-SMP'!C86="","",'Observaciones-SMP'!C86)</f>
        <v/>
      </c>
      <c r="D86" s="193" t="str">
        <f>IF('Observaciones-SMP'!D86="","",'Observaciones-SMP'!D86)</f>
        <v/>
      </c>
      <c r="E86" s="193" t="str">
        <f>IF('Observaciones-SMP'!E86="","",'Observaciones-SMP'!E86)</f>
        <v/>
      </c>
      <c r="F86" s="193" t="str">
        <f>IF('Observaciones-SMP'!F86="","",'Observaciones-SMP'!F86)</f>
        <v/>
      </c>
      <c r="G86" s="193" t="str">
        <f>IF('Observaciones-SMP'!G86="","",'Observaciones-SMP'!G86)</f>
        <v/>
      </c>
      <c r="H86" s="193" t="str">
        <f>IF('Observaciones-SMP'!H86="","",'Observaciones-SMP'!H86)</f>
        <v/>
      </c>
      <c r="I86" s="193" t="str">
        <f>IF('Observaciones-SMP'!I86="","",'Observaciones-SMP'!I86)</f>
        <v/>
      </c>
      <c r="J86" s="193" t="str">
        <f>IF('Observaciones-SMP'!J86="","",'Observaciones-SMP'!J86)</f>
        <v/>
      </c>
      <c r="K86" s="193" t="str">
        <f>IF('Observaciones-SMP'!K86="","",'Observaciones-SMP'!K86)</f>
        <v/>
      </c>
      <c r="L86" s="193" t="str">
        <f>IF('Observaciones-SMP'!L86="","",'Observaciones-SMP'!L86)</f>
        <v/>
      </c>
      <c r="M86" s="193" t="str">
        <f>IF('Observaciones-SMP'!M86="","",'Observaciones-SMP'!M86)</f>
        <v/>
      </c>
      <c r="N86" s="193" t="str">
        <f>IF('Observaciones-SMP'!N86="","",'Observaciones-SMP'!N86)</f>
        <v/>
      </c>
      <c r="O86" s="193" t="str">
        <f>IF('Observaciones-SMP'!O86="","",'Observaciones-SMP'!O86)</f>
        <v/>
      </c>
      <c r="P86" s="193" t="str">
        <f>IF('Observaciones-SMP'!P86="","",'Observaciones-SMP'!P86)</f>
        <v/>
      </c>
      <c r="Q86" s="257" t="str">
        <f>IF('Observaciones-SMP'!S86="","",'Observaciones-SMP'!S86)</f>
        <v/>
      </c>
      <c r="R86" s="193" t="str">
        <f>IF('Observaciones-SMP'!T86="","",'Observaciones-SMP'!T86)</f>
        <v/>
      </c>
      <c r="S86" s="193" t="str">
        <f>""</f>
        <v/>
      </c>
      <c r="T86" s="193" t="str">
        <f>""</f>
        <v/>
      </c>
      <c r="U86" s="193" t="str">
        <f t="shared" si="4"/>
        <v/>
      </c>
      <c r="V86" s="193" t="str">
        <f>""</f>
        <v/>
      </c>
      <c r="W86" s="193" t="str">
        <f>""</f>
        <v/>
      </c>
      <c r="X86" s="258" t="str">
        <f t="shared" si="5"/>
        <v/>
      </c>
      <c r="Y86" s="258" t="str">
        <f t="shared" si="6"/>
        <v/>
      </c>
      <c r="Z86" s="193" t="str">
        <f>IF(A86="","",IF(COUNTIF('Observaciones-SMP'!$A$2:$A$1001,A86)&gt;1,1,0))</f>
        <v/>
      </c>
      <c r="AA86" s="193" t="str">
        <f t="shared" si="7"/>
        <v/>
      </c>
    </row>
    <row r="87" spans="1:27" ht="13.5" customHeight="1" x14ac:dyDescent="0.3">
      <c r="A87" s="193" t="str">
        <f>IF('Observaciones-SMP'!A87="","",'Observaciones-SMP'!A87)</f>
        <v/>
      </c>
      <c r="B87" s="257" t="str">
        <f>IF('Observaciones-SMP'!B87="","",'Observaciones-SMP'!B87)</f>
        <v/>
      </c>
      <c r="C87" s="193" t="str">
        <f>IF('Observaciones-SMP'!C87="","",'Observaciones-SMP'!C87)</f>
        <v/>
      </c>
      <c r="D87" s="193" t="str">
        <f>IF('Observaciones-SMP'!D87="","",'Observaciones-SMP'!D87)</f>
        <v/>
      </c>
      <c r="E87" s="193" t="str">
        <f>IF('Observaciones-SMP'!E87="","",'Observaciones-SMP'!E87)</f>
        <v/>
      </c>
      <c r="F87" s="193" t="str">
        <f>IF('Observaciones-SMP'!F87="","",'Observaciones-SMP'!F87)</f>
        <v/>
      </c>
      <c r="G87" s="193" t="str">
        <f>IF('Observaciones-SMP'!G87="","",'Observaciones-SMP'!G87)</f>
        <v/>
      </c>
      <c r="H87" s="193" t="str">
        <f>IF('Observaciones-SMP'!H87="","",'Observaciones-SMP'!H87)</f>
        <v/>
      </c>
      <c r="I87" s="193" t="str">
        <f>IF('Observaciones-SMP'!I87="","",'Observaciones-SMP'!I87)</f>
        <v/>
      </c>
      <c r="J87" s="193" t="str">
        <f>IF('Observaciones-SMP'!J87="","",'Observaciones-SMP'!J87)</f>
        <v/>
      </c>
      <c r="K87" s="193" t="str">
        <f>IF('Observaciones-SMP'!K87="","",'Observaciones-SMP'!K87)</f>
        <v/>
      </c>
      <c r="L87" s="193" t="str">
        <f>IF('Observaciones-SMP'!L87="","",'Observaciones-SMP'!L87)</f>
        <v/>
      </c>
      <c r="M87" s="193" t="str">
        <f>IF('Observaciones-SMP'!M87="","",'Observaciones-SMP'!M87)</f>
        <v/>
      </c>
      <c r="N87" s="193" t="str">
        <f>IF('Observaciones-SMP'!N87="","",'Observaciones-SMP'!N87)</f>
        <v/>
      </c>
      <c r="O87" s="193" t="str">
        <f>IF('Observaciones-SMP'!O87="","",'Observaciones-SMP'!O87)</f>
        <v/>
      </c>
      <c r="P87" s="193" t="str">
        <f>IF('Observaciones-SMP'!P87="","",'Observaciones-SMP'!P87)</f>
        <v/>
      </c>
      <c r="Q87" s="257" t="str">
        <f>IF('Observaciones-SMP'!S87="","",'Observaciones-SMP'!S87)</f>
        <v/>
      </c>
      <c r="R87" s="193" t="str">
        <f>IF('Observaciones-SMP'!T87="","",'Observaciones-SMP'!T87)</f>
        <v/>
      </c>
      <c r="S87" s="193" t="str">
        <f>""</f>
        <v/>
      </c>
      <c r="T87" s="193" t="str">
        <f>""</f>
        <v/>
      </c>
      <c r="U87" s="193" t="str">
        <f t="shared" si="4"/>
        <v/>
      </c>
      <c r="V87" s="193" t="str">
        <f>""</f>
        <v/>
      </c>
      <c r="W87" s="193" t="str">
        <f>""</f>
        <v/>
      </c>
      <c r="X87" s="258" t="str">
        <f t="shared" si="5"/>
        <v/>
      </c>
      <c r="Y87" s="258" t="str">
        <f t="shared" si="6"/>
        <v/>
      </c>
      <c r="Z87" s="193" t="str">
        <f>IF(A87="","",IF(COUNTIF('Observaciones-SMP'!$A$2:$A$1001,A87)&gt;1,1,0))</f>
        <v/>
      </c>
      <c r="AA87" s="193" t="str">
        <f t="shared" si="7"/>
        <v/>
      </c>
    </row>
    <row r="88" spans="1:27" ht="13.5" customHeight="1" x14ac:dyDescent="0.3">
      <c r="A88" s="193" t="str">
        <f>IF('Observaciones-SMP'!A88="","",'Observaciones-SMP'!A88)</f>
        <v/>
      </c>
      <c r="B88" s="257" t="str">
        <f>IF('Observaciones-SMP'!B88="","",'Observaciones-SMP'!B88)</f>
        <v/>
      </c>
      <c r="C88" s="193" t="str">
        <f>IF('Observaciones-SMP'!C88="","",'Observaciones-SMP'!C88)</f>
        <v/>
      </c>
      <c r="D88" s="193" t="str">
        <f>IF('Observaciones-SMP'!D88="","",'Observaciones-SMP'!D88)</f>
        <v/>
      </c>
      <c r="E88" s="193" t="str">
        <f>IF('Observaciones-SMP'!E88="","",'Observaciones-SMP'!E88)</f>
        <v/>
      </c>
      <c r="F88" s="193" t="str">
        <f>IF('Observaciones-SMP'!F88="","",'Observaciones-SMP'!F88)</f>
        <v/>
      </c>
      <c r="G88" s="193" t="str">
        <f>IF('Observaciones-SMP'!G88="","",'Observaciones-SMP'!G88)</f>
        <v/>
      </c>
      <c r="H88" s="193" t="str">
        <f>IF('Observaciones-SMP'!H88="","",'Observaciones-SMP'!H88)</f>
        <v/>
      </c>
      <c r="I88" s="193" t="str">
        <f>IF('Observaciones-SMP'!I88="","",'Observaciones-SMP'!I88)</f>
        <v/>
      </c>
      <c r="J88" s="193" t="str">
        <f>IF('Observaciones-SMP'!J88="","",'Observaciones-SMP'!J88)</f>
        <v/>
      </c>
      <c r="K88" s="193" t="str">
        <f>IF('Observaciones-SMP'!K88="","",'Observaciones-SMP'!K88)</f>
        <v/>
      </c>
      <c r="L88" s="193" t="str">
        <f>IF('Observaciones-SMP'!L88="","",'Observaciones-SMP'!L88)</f>
        <v/>
      </c>
      <c r="M88" s="193" t="str">
        <f>IF('Observaciones-SMP'!M88="","",'Observaciones-SMP'!M88)</f>
        <v/>
      </c>
      <c r="N88" s="193" t="str">
        <f>IF('Observaciones-SMP'!N88="","",'Observaciones-SMP'!N88)</f>
        <v/>
      </c>
      <c r="O88" s="193" t="str">
        <f>IF('Observaciones-SMP'!O88="","",'Observaciones-SMP'!O88)</f>
        <v/>
      </c>
      <c r="P88" s="193" t="str">
        <f>IF('Observaciones-SMP'!P88="","",'Observaciones-SMP'!P88)</f>
        <v/>
      </c>
      <c r="Q88" s="257" t="str">
        <f>IF('Observaciones-SMP'!S88="","",'Observaciones-SMP'!S88)</f>
        <v/>
      </c>
      <c r="R88" s="193" t="str">
        <f>IF('Observaciones-SMP'!T88="","",'Observaciones-SMP'!T88)</f>
        <v/>
      </c>
      <c r="S88" s="193" t="str">
        <f>""</f>
        <v/>
      </c>
      <c r="T88" s="193" t="str">
        <f>""</f>
        <v/>
      </c>
      <c r="U88" s="193" t="str">
        <f t="shared" si="4"/>
        <v/>
      </c>
      <c r="V88" s="193" t="str">
        <f>""</f>
        <v/>
      </c>
      <c r="W88" s="193" t="str">
        <f>""</f>
        <v/>
      </c>
      <c r="X88" s="258" t="str">
        <f t="shared" si="5"/>
        <v/>
      </c>
      <c r="Y88" s="258" t="str">
        <f t="shared" si="6"/>
        <v/>
      </c>
      <c r="Z88" s="193" t="str">
        <f>IF(A88="","",IF(COUNTIF('Observaciones-SMP'!$A$2:$A$1001,A88)&gt;1,1,0))</f>
        <v/>
      </c>
      <c r="AA88" s="193" t="str">
        <f t="shared" si="7"/>
        <v/>
      </c>
    </row>
    <row r="89" spans="1:27" ht="13.5" customHeight="1" x14ac:dyDescent="0.3">
      <c r="A89" s="193" t="str">
        <f>IF('Observaciones-SMP'!A89="","",'Observaciones-SMP'!A89)</f>
        <v/>
      </c>
      <c r="B89" s="257" t="str">
        <f>IF('Observaciones-SMP'!B89="","",'Observaciones-SMP'!B89)</f>
        <v/>
      </c>
      <c r="C89" s="193" t="str">
        <f>IF('Observaciones-SMP'!C89="","",'Observaciones-SMP'!C89)</f>
        <v/>
      </c>
      <c r="D89" s="193" t="str">
        <f>IF('Observaciones-SMP'!D89="","",'Observaciones-SMP'!D89)</f>
        <v/>
      </c>
      <c r="E89" s="193" t="str">
        <f>IF('Observaciones-SMP'!E89="","",'Observaciones-SMP'!E89)</f>
        <v/>
      </c>
      <c r="F89" s="193" t="str">
        <f>IF('Observaciones-SMP'!F89="","",'Observaciones-SMP'!F89)</f>
        <v/>
      </c>
      <c r="G89" s="193" t="str">
        <f>IF('Observaciones-SMP'!G89="","",'Observaciones-SMP'!G89)</f>
        <v/>
      </c>
      <c r="H89" s="193" t="str">
        <f>IF('Observaciones-SMP'!H89="","",'Observaciones-SMP'!H89)</f>
        <v/>
      </c>
      <c r="I89" s="193" t="str">
        <f>IF('Observaciones-SMP'!I89="","",'Observaciones-SMP'!I89)</f>
        <v/>
      </c>
      <c r="J89" s="193" t="str">
        <f>IF('Observaciones-SMP'!J89="","",'Observaciones-SMP'!J89)</f>
        <v/>
      </c>
      <c r="K89" s="193" t="str">
        <f>IF('Observaciones-SMP'!K89="","",'Observaciones-SMP'!K89)</f>
        <v/>
      </c>
      <c r="L89" s="193" t="str">
        <f>IF('Observaciones-SMP'!L89="","",'Observaciones-SMP'!L89)</f>
        <v/>
      </c>
      <c r="M89" s="193" t="str">
        <f>IF('Observaciones-SMP'!M89="","",'Observaciones-SMP'!M89)</f>
        <v/>
      </c>
      <c r="N89" s="193" t="str">
        <f>IF('Observaciones-SMP'!N89="","",'Observaciones-SMP'!N89)</f>
        <v/>
      </c>
      <c r="O89" s="193" t="str">
        <f>IF('Observaciones-SMP'!O89="","",'Observaciones-SMP'!O89)</f>
        <v/>
      </c>
      <c r="P89" s="193" t="str">
        <f>IF('Observaciones-SMP'!P89="","",'Observaciones-SMP'!P89)</f>
        <v/>
      </c>
      <c r="Q89" s="257" t="str">
        <f>IF('Observaciones-SMP'!S89="","",'Observaciones-SMP'!S89)</f>
        <v/>
      </c>
      <c r="R89" s="193" t="str">
        <f>IF('Observaciones-SMP'!T89="","",'Observaciones-SMP'!T89)</f>
        <v/>
      </c>
      <c r="S89" s="193" t="str">
        <f>""</f>
        <v/>
      </c>
      <c r="T89" s="193" t="str">
        <f>""</f>
        <v/>
      </c>
      <c r="U89" s="193" t="str">
        <f t="shared" si="4"/>
        <v/>
      </c>
      <c r="V89" s="193" t="str">
        <f>""</f>
        <v/>
      </c>
      <c r="W89" s="193" t="str">
        <f>""</f>
        <v/>
      </c>
      <c r="X89" s="258" t="str">
        <f t="shared" si="5"/>
        <v/>
      </c>
      <c r="Y89" s="258" t="str">
        <f t="shared" si="6"/>
        <v/>
      </c>
      <c r="Z89" s="193" t="str">
        <f>IF(A89="","",IF(COUNTIF('Observaciones-SMP'!$A$2:$A$1001,A89)&gt;1,1,0))</f>
        <v/>
      </c>
      <c r="AA89" s="193" t="str">
        <f t="shared" si="7"/>
        <v/>
      </c>
    </row>
    <row r="90" spans="1:27" ht="13.5" customHeight="1" x14ac:dyDescent="0.3">
      <c r="A90" s="193" t="str">
        <f>IF('Observaciones-SMP'!A90="","",'Observaciones-SMP'!A90)</f>
        <v/>
      </c>
      <c r="B90" s="257" t="str">
        <f>IF('Observaciones-SMP'!B90="","",'Observaciones-SMP'!B90)</f>
        <v/>
      </c>
      <c r="C90" s="193" t="str">
        <f>IF('Observaciones-SMP'!C90="","",'Observaciones-SMP'!C90)</f>
        <v/>
      </c>
      <c r="D90" s="193" t="str">
        <f>IF('Observaciones-SMP'!D90="","",'Observaciones-SMP'!D90)</f>
        <v/>
      </c>
      <c r="E90" s="193" t="str">
        <f>IF('Observaciones-SMP'!E90="","",'Observaciones-SMP'!E90)</f>
        <v/>
      </c>
      <c r="F90" s="193" t="str">
        <f>IF('Observaciones-SMP'!F90="","",'Observaciones-SMP'!F90)</f>
        <v/>
      </c>
      <c r="G90" s="193" t="str">
        <f>IF('Observaciones-SMP'!G90="","",'Observaciones-SMP'!G90)</f>
        <v/>
      </c>
      <c r="H90" s="193" t="str">
        <f>IF('Observaciones-SMP'!H90="","",'Observaciones-SMP'!H90)</f>
        <v/>
      </c>
      <c r="I90" s="193" t="str">
        <f>IF('Observaciones-SMP'!I90="","",'Observaciones-SMP'!I90)</f>
        <v/>
      </c>
      <c r="J90" s="193" t="str">
        <f>IF('Observaciones-SMP'!J90="","",'Observaciones-SMP'!J90)</f>
        <v/>
      </c>
      <c r="K90" s="193" t="str">
        <f>IF('Observaciones-SMP'!K90="","",'Observaciones-SMP'!K90)</f>
        <v/>
      </c>
      <c r="L90" s="193" t="str">
        <f>IF('Observaciones-SMP'!L90="","",'Observaciones-SMP'!L90)</f>
        <v/>
      </c>
      <c r="M90" s="193" t="str">
        <f>IF('Observaciones-SMP'!M90="","",'Observaciones-SMP'!M90)</f>
        <v/>
      </c>
      <c r="N90" s="193" t="str">
        <f>IF('Observaciones-SMP'!N90="","",'Observaciones-SMP'!N90)</f>
        <v/>
      </c>
      <c r="O90" s="193" t="str">
        <f>IF('Observaciones-SMP'!O90="","",'Observaciones-SMP'!O90)</f>
        <v/>
      </c>
      <c r="P90" s="193" t="str">
        <f>IF('Observaciones-SMP'!P90="","",'Observaciones-SMP'!P90)</f>
        <v/>
      </c>
      <c r="Q90" s="257" t="str">
        <f>IF('Observaciones-SMP'!S90="","",'Observaciones-SMP'!S90)</f>
        <v/>
      </c>
      <c r="R90" s="193" t="str">
        <f>IF('Observaciones-SMP'!T90="","",'Observaciones-SMP'!T90)</f>
        <v/>
      </c>
      <c r="S90" s="193" t="str">
        <f>""</f>
        <v/>
      </c>
      <c r="T90" s="193" t="str">
        <f>""</f>
        <v/>
      </c>
      <c r="U90" s="193" t="str">
        <f t="shared" si="4"/>
        <v/>
      </c>
      <c r="V90" s="193" t="str">
        <f>""</f>
        <v/>
      </c>
      <c r="W90" s="193" t="str">
        <f>""</f>
        <v/>
      </c>
      <c r="X90" s="258" t="str">
        <f t="shared" si="5"/>
        <v/>
      </c>
      <c r="Y90" s="258" t="str">
        <f t="shared" si="6"/>
        <v/>
      </c>
      <c r="Z90" s="193" t="str">
        <f>IF(A90="","",IF(COUNTIF('Observaciones-SMP'!$A$2:$A$1001,A90)&gt;1,1,0))</f>
        <v/>
      </c>
      <c r="AA90" s="193" t="str">
        <f t="shared" si="7"/>
        <v/>
      </c>
    </row>
    <row r="91" spans="1:27" ht="13.5" customHeight="1" x14ac:dyDescent="0.3">
      <c r="A91" s="193" t="str">
        <f>IF('Observaciones-SMP'!A91="","",'Observaciones-SMP'!A91)</f>
        <v/>
      </c>
      <c r="B91" s="257" t="str">
        <f>IF('Observaciones-SMP'!B91="","",'Observaciones-SMP'!B91)</f>
        <v/>
      </c>
      <c r="C91" s="193" t="str">
        <f>IF('Observaciones-SMP'!C91="","",'Observaciones-SMP'!C91)</f>
        <v/>
      </c>
      <c r="D91" s="193" t="str">
        <f>IF('Observaciones-SMP'!D91="","",'Observaciones-SMP'!D91)</f>
        <v/>
      </c>
      <c r="E91" s="193" t="str">
        <f>IF('Observaciones-SMP'!E91="","",'Observaciones-SMP'!E91)</f>
        <v/>
      </c>
      <c r="F91" s="193" t="str">
        <f>IF('Observaciones-SMP'!F91="","",'Observaciones-SMP'!F91)</f>
        <v/>
      </c>
      <c r="G91" s="193" t="str">
        <f>IF('Observaciones-SMP'!G91="","",'Observaciones-SMP'!G91)</f>
        <v/>
      </c>
      <c r="H91" s="193" t="str">
        <f>IF('Observaciones-SMP'!H91="","",'Observaciones-SMP'!H91)</f>
        <v/>
      </c>
      <c r="I91" s="193" t="str">
        <f>IF('Observaciones-SMP'!I91="","",'Observaciones-SMP'!I91)</f>
        <v/>
      </c>
      <c r="J91" s="193" t="str">
        <f>IF('Observaciones-SMP'!J91="","",'Observaciones-SMP'!J91)</f>
        <v/>
      </c>
      <c r="K91" s="193" t="str">
        <f>IF('Observaciones-SMP'!K91="","",'Observaciones-SMP'!K91)</f>
        <v/>
      </c>
      <c r="L91" s="193" t="str">
        <f>IF('Observaciones-SMP'!L91="","",'Observaciones-SMP'!L91)</f>
        <v/>
      </c>
      <c r="M91" s="193" t="str">
        <f>IF('Observaciones-SMP'!M91="","",'Observaciones-SMP'!M91)</f>
        <v/>
      </c>
      <c r="N91" s="193" t="str">
        <f>IF('Observaciones-SMP'!N91="","",'Observaciones-SMP'!N91)</f>
        <v/>
      </c>
      <c r="O91" s="193" t="str">
        <f>IF('Observaciones-SMP'!O91="","",'Observaciones-SMP'!O91)</f>
        <v/>
      </c>
      <c r="P91" s="193" t="str">
        <f>IF('Observaciones-SMP'!P91="","",'Observaciones-SMP'!P91)</f>
        <v/>
      </c>
      <c r="Q91" s="257" t="str">
        <f>IF('Observaciones-SMP'!S91="","",'Observaciones-SMP'!S91)</f>
        <v/>
      </c>
      <c r="R91" s="193" t="str">
        <f>IF('Observaciones-SMP'!T91="","",'Observaciones-SMP'!T91)</f>
        <v/>
      </c>
      <c r="S91" s="193" t="str">
        <f>""</f>
        <v/>
      </c>
      <c r="T91" s="193" t="str">
        <f>""</f>
        <v/>
      </c>
      <c r="U91" s="193" t="str">
        <f t="shared" si="4"/>
        <v/>
      </c>
      <c r="V91" s="193" t="str">
        <f>""</f>
        <v/>
      </c>
      <c r="W91" s="193" t="str">
        <f>""</f>
        <v/>
      </c>
      <c r="X91" s="258" t="str">
        <f t="shared" si="5"/>
        <v/>
      </c>
      <c r="Y91" s="258" t="str">
        <f t="shared" si="6"/>
        <v/>
      </c>
      <c r="Z91" s="193" t="str">
        <f>IF(A91="","",IF(COUNTIF('Observaciones-SMP'!$A$2:$A$1001,A91)&gt;1,1,0))</f>
        <v/>
      </c>
      <c r="AA91" s="193" t="str">
        <f t="shared" si="7"/>
        <v/>
      </c>
    </row>
    <row r="92" spans="1:27" ht="13.5" customHeight="1" x14ac:dyDescent="0.3">
      <c r="A92" s="193" t="str">
        <f>IF('Observaciones-SMP'!A92="","",'Observaciones-SMP'!A92)</f>
        <v/>
      </c>
      <c r="B92" s="257" t="str">
        <f>IF('Observaciones-SMP'!B92="","",'Observaciones-SMP'!B92)</f>
        <v/>
      </c>
      <c r="C92" s="193" t="str">
        <f>IF('Observaciones-SMP'!C92="","",'Observaciones-SMP'!C92)</f>
        <v/>
      </c>
      <c r="D92" s="193" t="str">
        <f>IF('Observaciones-SMP'!D92="","",'Observaciones-SMP'!D92)</f>
        <v/>
      </c>
      <c r="E92" s="193" t="str">
        <f>IF('Observaciones-SMP'!E92="","",'Observaciones-SMP'!E92)</f>
        <v/>
      </c>
      <c r="F92" s="193" t="str">
        <f>IF('Observaciones-SMP'!F92="","",'Observaciones-SMP'!F92)</f>
        <v/>
      </c>
      <c r="G92" s="193" t="str">
        <f>IF('Observaciones-SMP'!G92="","",'Observaciones-SMP'!G92)</f>
        <v/>
      </c>
      <c r="H92" s="193" t="str">
        <f>IF('Observaciones-SMP'!H92="","",'Observaciones-SMP'!H92)</f>
        <v/>
      </c>
      <c r="I92" s="193" t="str">
        <f>IF('Observaciones-SMP'!I92="","",'Observaciones-SMP'!I92)</f>
        <v/>
      </c>
      <c r="J92" s="193" t="str">
        <f>IF('Observaciones-SMP'!J92="","",'Observaciones-SMP'!J92)</f>
        <v/>
      </c>
      <c r="K92" s="193" t="str">
        <f>IF('Observaciones-SMP'!K92="","",'Observaciones-SMP'!K92)</f>
        <v/>
      </c>
      <c r="L92" s="193" t="str">
        <f>IF('Observaciones-SMP'!L92="","",'Observaciones-SMP'!L92)</f>
        <v/>
      </c>
      <c r="M92" s="193" t="str">
        <f>IF('Observaciones-SMP'!M92="","",'Observaciones-SMP'!M92)</f>
        <v/>
      </c>
      <c r="N92" s="193" t="str">
        <f>IF('Observaciones-SMP'!N92="","",'Observaciones-SMP'!N92)</f>
        <v/>
      </c>
      <c r="O92" s="193" t="str">
        <f>IF('Observaciones-SMP'!O92="","",'Observaciones-SMP'!O92)</f>
        <v/>
      </c>
      <c r="P92" s="193" t="str">
        <f>IF('Observaciones-SMP'!P92="","",'Observaciones-SMP'!P92)</f>
        <v/>
      </c>
      <c r="Q92" s="257" t="str">
        <f>IF('Observaciones-SMP'!S92="","",'Observaciones-SMP'!S92)</f>
        <v/>
      </c>
      <c r="R92" s="193" t="str">
        <f>IF('Observaciones-SMP'!T92="","",'Observaciones-SMP'!T92)</f>
        <v/>
      </c>
      <c r="S92" s="193" t="str">
        <f>""</f>
        <v/>
      </c>
      <c r="T92" s="193" t="str">
        <f>""</f>
        <v/>
      </c>
      <c r="U92" s="193" t="str">
        <f t="shared" si="4"/>
        <v/>
      </c>
      <c r="V92" s="193" t="str">
        <f>""</f>
        <v/>
      </c>
      <c r="W92" s="193" t="str">
        <f>""</f>
        <v/>
      </c>
      <c r="X92" s="258" t="str">
        <f t="shared" si="5"/>
        <v/>
      </c>
      <c r="Y92" s="258" t="str">
        <f t="shared" si="6"/>
        <v/>
      </c>
      <c r="Z92" s="193" t="str">
        <f>IF(A92="","",IF(COUNTIF('Observaciones-SMP'!$A$2:$A$1001,A92)&gt;1,1,0))</f>
        <v/>
      </c>
      <c r="AA92" s="193" t="str">
        <f t="shared" si="7"/>
        <v/>
      </c>
    </row>
    <row r="93" spans="1:27" ht="13.5" customHeight="1" x14ac:dyDescent="0.3">
      <c r="A93" s="193" t="str">
        <f>IF('Observaciones-SMP'!A93="","",'Observaciones-SMP'!A93)</f>
        <v/>
      </c>
      <c r="B93" s="257" t="str">
        <f>IF('Observaciones-SMP'!B93="","",'Observaciones-SMP'!B93)</f>
        <v/>
      </c>
      <c r="C93" s="193" t="str">
        <f>IF('Observaciones-SMP'!C93="","",'Observaciones-SMP'!C93)</f>
        <v/>
      </c>
      <c r="D93" s="193" t="str">
        <f>IF('Observaciones-SMP'!D93="","",'Observaciones-SMP'!D93)</f>
        <v/>
      </c>
      <c r="E93" s="193" t="str">
        <f>IF('Observaciones-SMP'!E93="","",'Observaciones-SMP'!E93)</f>
        <v/>
      </c>
      <c r="F93" s="193" t="str">
        <f>IF('Observaciones-SMP'!F93="","",'Observaciones-SMP'!F93)</f>
        <v/>
      </c>
      <c r="G93" s="193" t="str">
        <f>IF('Observaciones-SMP'!G93="","",'Observaciones-SMP'!G93)</f>
        <v/>
      </c>
      <c r="H93" s="193" t="str">
        <f>IF('Observaciones-SMP'!H93="","",'Observaciones-SMP'!H93)</f>
        <v/>
      </c>
      <c r="I93" s="193" t="str">
        <f>IF('Observaciones-SMP'!I93="","",'Observaciones-SMP'!I93)</f>
        <v/>
      </c>
      <c r="J93" s="193" t="str">
        <f>IF('Observaciones-SMP'!J93="","",'Observaciones-SMP'!J93)</f>
        <v/>
      </c>
      <c r="K93" s="193" t="str">
        <f>IF('Observaciones-SMP'!K93="","",'Observaciones-SMP'!K93)</f>
        <v/>
      </c>
      <c r="L93" s="193" t="str">
        <f>IF('Observaciones-SMP'!L93="","",'Observaciones-SMP'!L93)</f>
        <v/>
      </c>
      <c r="M93" s="193" t="str">
        <f>IF('Observaciones-SMP'!M93="","",'Observaciones-SMP'!M93)</f>
        <v/>
      </c>
      <c r="N93" s="193" t="str">
        <f>IF('Observaciones-SMP'!N93="","",'Observaciones-SMP'!N93)</f>
        <v/>
      </c>
      <c r="O93" s="193" t="str">
        <f>IF('Observaciones-SMP'!O93="","",'Observaciones-SMP'!O93)</f>
        <v/>
      </c>
      <c r="P93" s="193" t="str">
        <f>IF('Observaciones-SMP'!P93="","",'Observaciones-SMP'!P93)</f>
        <v/>
      </c>
      <c r="Q93" s="257" t="str">
        <f>IF('Observaciones-SMP'!S93="","",'Observaciones-SMP'!S93)</f>
        <v/>
      </c>
      <c r="R93" s="193" t="str">
        <f>IF('Observaciones-SMP'!T93="","",'Observaciones-SMP'!T93)</f>
        <v/>
      </c>
      <c r="S93" s="193" t="str">
        <f>""</f>
        <v/>
      </c>
      <c r="T93" s="193" t="str">
        <f>""</f>
        <v/>
      </c>
      <c r="U93" s="193" t="str">
        <f t="shared" si="4"/>
        <v/>
      </c>
      <c r="V93" s="193" t="str">
        <f>""</f>
        <v/>
      </c>
      <c r="W93" s="193" t="str">
        <f>""</f>
        <v/>
      </c>
      <c r="X93" s="258" t="str">
        <f t="shared" si="5"/>
        <v/>
      </c>
      <c r="Y93" s="258" t="str">
        <f t="shared" si="6"/>
        <v/>
      </c>
      <c r="Z93" s="193" t="str">
        <f>IF(A93="","",IF(COUNTIF('Observaciones-SMP'!$A$2:$A$1001,A93)&gt;1,1,0))</f>
        <v/>
      </c>
      <c r="AA93" s="193" t="str">
        <f t="shared" si="7"/>
        <v/>
      </c>
    </row>
    <row r="94" spans="1:27" ht="13.5" customHeight="1" x14ac:dyDescent="0.3">
      <c r="A94" s="193" t="str">
        <f>IF('Observaciones-SMP'!A94="","",'Observaciones-SMP'!A94)</f>
        <v/>
      </c>
      <c r="B94" s="257" t="str">
        <f>IF('Observaciones-SMP'!B94="","",'Observaciones-SMP'!B94)</f>
        <v/>
      </c>
      <c r="C94" s="193" t="str">
        <f>IF('Observaciones-SMP'!C94="","",'Observaciones-SMP'!C94)</f>
        <v/>
      </c>
      <c r="D94" s="193" t="str">
        <f>IF('Observaciones-SMP'!D94="","",'Observaciones-SMP'!D94)</f>
        <v/>
      </c>
      <c r="E94" s="193" t="str">
        <f>IF('Observaciones-SMP'!E94="","",'Observaciones-SMP'!E94)</f>
        <v/>
      </c>
      <c r="F94" s="193" t="str">
        <f>IF('Observaciones-SMP'!F94="","",'Observaciones-SMP'!F94)</f>
        <v/>
      </c>
      <c r="G94" s="193" t="str">
        <f>IF('Observaciones-SMP'!G94="","",'Observaciones-SMP'!G94)</f>
        <v/>
      </c>
      <c r="H94" s="193" t="str">
        <f>IF('Observaciones-SMP'!H94="","",'Observaciones-SMP'!H94)</f>
        <v/>
      </c>
      <c r="I94" s="193" t="str">
        <f>IF('Observaciones-SMP'!I94="","",'Observaciones-SMP'!I94)</f>
        <v/>
      </c>
      <c r="J94" s="193" t="str">
        <f>IF('Observaciones-SMP'!J94="","",'Observaciones-SMP'!J94)</f>
        <v/>
      </c>
      <c r="K94" s="193" t="str">
        <f>IF('Observaciones-SMP'!K94="","",'Observaciones-SMP'!K94)</f>
        <v/>
      </c>
      <c r="L94" s="193" t="str">
        <f>IF('Observaciones-SMP'!L94="","",'Observaciones-SMP'!L94)</f>
        <v/>
      </c>
      <c r="M94" s="193" t="str">
        <f>IF('Observaciones-SMP'!M94="","",'Observaciones-SMP'!M94)</f>
        <v/>
      </c>
      <c r="N94" s="193" t="str">
        <f>IF('Observaciones-SMP'!N94="","",'Observaciones-SMP'!N94)</f>
        <v/>
      </c>
      <c r="O94" s="193" t="str">
        <f>IF('Observaciones-SMP'!O94="","",'Observaciones-SMP'!O94)</f>
        <v/>
      </c>
      <c r="P94" s="193" t="str">
        <f>IF('Observaciones-SMP'!P94="","",'Observaciones-SMP'!P94)</f>
        <v/>
      </c>
      <c r="Q94" s="257" t="str">
        <f>IF('Observaciones-SMP'!S94="","",'Observaciones-SMP'!S94)</f>
        <v/>
      </c>
      <c r="R94" s="193" t="str">
        <f>IF('Observaciones-SMP'!T94="","",'Observaciones-SMP'!T94)</f>
        <v/>
      </c>
      <c r="S94" s="193" t="str">
        <f>""</f>
        <v/>
      </c>
      <c r="T94" s="193" t="str">
        <f>""</f>
        <v/>
      </c>
      <c r="U94" s="193" t="str">
        <f t="shared" si="4"/>
        <v/>
      </c>
      <c r="V94" s="193" t="str">
        <f>""</f>
        <v/>
      </c>
      <c r="W94" s="193" t="str">
        <f>""</f>
        <v/>
      </c>
      <c r="X94" s="258" t="str">
        <f t="shared" si="5"/>
        <v/>
      </c>
      <c r="Y94" s="258" t="str">
        <f t="shared" si="6"/>
        <v/>
      </c>
      <c r="Z94" s="193" t="str">
        <f>IF(A94="","",IF(COUNTIF('Observaciones-SMP'!$A$2:$A$1001,A94)&gt;1,1,0))</f>
        <v/>
      </c>
      <c r="AA94" s="193" t="str">
        <f t="shared" si="7"/>
        <v/>
      </c>
    </row>
    <row r="95" spans="1:27" ht="13.5" customHeight="1" x14ac:dyDescent="0.3">
      <c r="A95" s="193" t="str">
        <f>IF('Observaciones-SMP'!A95="","",'Observaciones-SMP'!A95)</f>
        <v/>
      </c>
      <c r="B95" s="257" t="str">
        <f>IF('Observaciones-SMP'!B95="","",'Observaciones-SMP'!B95)</f>
        <v/>
      </c>
      <c r="C95" s="193" t="str">
        <f>IF('Observaciones-SMP'!C95="","",'Observaciones-SMP'!C95)</f>
        <v/>
      </c>
      <c r="D95" s="193" t="str">
        <f>IF('Observaciones-SMP'!D95="","",'Observaciones-SMP'!D95)</f>
        <v/>
      </c>
      <c r="E95" s="193" t="str">
        <f>IF('Observaciones-SMP'!E95="","",'Observaciones-SMP'!E95)</f>
        <v/>
      </c>
      <c r="F95" s="193" t="str">
        <f>IF('Observaciones-SMP'!F95="","",'Observaciones-SMP'!F95)</f>
        <v/>
      </c>
      <c r="G95" s="193" t="str">
        <f>IF('Observaciones-SMP'!G95="","",'Observaciones-SMP'!G95)</f>
        <v/>
      </c>
      <c r="H95" s="193" t="str">
        <f>IF('Observaciones-SMP'!H95="","",'Observaciones-SMP'!H95)</f>
        <v/>
      </c>
      <c r="I95" s="193" t="str">
        <f>IF('Observaciones-SMP'!I95="","",'Observaciones-SMP'!I95)</f>
        <v/>
      </c>
      <c r="J95" s="193" t="str">
        <f>IF('Observaciones-SMP'!J95="","",'Observaciones-SMP'!J95)</f>
        <v/>
      </c>
      <c r="K95" s="193" t="str">
        <f>IF('Observaciones-SMP'!K95="","",'Observaciones-SMP'!K95)</f>
        <v/>
      </c>
      <c r="L95" s="193" t="str">
        <f>IF('Observaciones-SMP'!L95="","",'Observaciones-SMP'!L95)</f>
        <v/>
      </c>
      <c r="M95" s="193" t="str">
        <f>IF('Observaciones-SMP'!M95="","",'Observaciones-SMP'!M95)</f>
        <v/>
      </c>
      <c r="N95" s="193" t="str">
        <f>IF('Observaciones-SMP'!N95="","",'Observaciones-SMP'!N95)</f>
        <v/>
      </c>
      <c r="O95" s="193" t="str">
        <f>IF('Observaciones-SMP'!O95="","",'Observaciones-SMP'!O95)</f>
        <v/>
      </c>
      <c r="P95" s="193" t="str">
        <f>IF('Observaciones-SMP'!P95="","",'Observaciones-SMP'!P95)</f>
        <v/>
      </c>
      <c r="Q95" s="257" t="str">
        <f>IF('Observaciones-SMP'!S95="","",'Observaciones-SMP'!S95)</f>
        <v/>
      </c>
      <c r="R95" s="193" t="str">
        <f>IF('Observaciones-SMP'!T95="","",'Observaciones-SMP'!T95)</f>
        <v/>
      </c>
      <c r="S95" s="193" t="str">
        <f>""</f>
        <v/>
      </c>
      <c r="T95" s="193" t="str">
        <f>""</f>
        <v/>
      </c>
      <c r="U95" s="193" t="str">
        <f t="shared" si="4"/>
        <v/>
      </c>
      <c r="V95" s="193" t="str">
        <f>""</f>
        <v/>
      </c>
      <c r="W95" s="193" t="str">
        <f>""</f>
        <v/>
      </c>
      <c r="X95" s="258" t="str">
        <f t="shared" si="5"/>
        <v/>
      </c>
      <c r="Y95" s="258" t="str">
        <f t="shared" si="6"/>
        <v/>
      </c>
      <c r="Z95" s="193" t="str">
        <f>IF(A95="","",IF(COUNTIF('Observaciones-SMP'!$A$2:$A$1001,A95)&gt;1,1,0))</f>
        <v/>
      </c>
      <c r="AA95" s="193" t="str">
        <f t="shared" si="7"/>
        <v/>
      </c>
    </row>
    <row r="96" spans="1:27" ht="13.5" customHeight="1" x14ac:dyDescent="0.3">
      <c r="A96" s="193" t="str">
        <f>IF('Observaciones-SMP'!A96="","",'Observaciones-SMP'!A96)</f>
        <v/>
      </c>
      <c r="B96" s="257" t="str">
        <f>IF('Observaciones-SMP'!B96="","",'Observaciones-SMP'!B96)</f>
        <v/>
      </c>
      <c r="C96" s="193" t="str">
        <f>IF('Observaciones-SMP'!C96="","",'Observaciones-SMP'!C96)</f>
        <v/>
      </c>
      <c r="D96" s="193" t="str">
        <f>IF('Observaciones-SMP'!D96="","",'Observaciones-SMP'!D96)</f>
        <v/>
      </c>
      <c r="E96" s="193" t="str">
        <f>IF('Observaciones-SMP'!E96="","",'Observaciones-SMP'!E96)</f>
        <v/>
      </c>
      <c r="F96" s="193" t="str">
        <f>IF('Observaciones-SMP'!F96="","",'Observaciones-SMP'!F96)</f>
        <v/>
      </c>
      <c r="G96" s="193" t="str">
        <f>IF('Observaciones-SMP'!G96="","",'Observaciones-SMP'!G96)</f>
        <v/>
      </c>
      <c r="H96" s="193" t="str">
        <f>IF('Observaciones-SMP'!H96="","",'Observaciones-SMP'!H96)</f>
        <v/>
      </c>
      <c r="I96" s="193" t="str">
        <f>IF('Observaciones-SMP'!I96="","",'Observaciones-SMP'!I96)</f>
        <v/>
      </c>
      <c r="J96" s="193" t="str">
        <f>IF('Observaciones-SMP'!J96="","",'Observaciones-SMP'!J96)</f>
        <v/>
      </c>
      <c r="K96" s="193" t="str">
        <f>IF('Observaciones-SMP'!K96="","",'Observaciones-SMP'!K96)</f>
        <v/>
      </c>
      <c r="L96" s="193" t="str">
        <f>IF('Observaciones-SMP'!L96="","",'Observaciones-SMP'!L96)</f>
        <v/>
      </c>
      <c r="M96" s="193" t="str">
        <f>IF('Observaciones-SMP'!M96="","",'Observaciones-SMP'!M96)</f>
        <v/>
      </c>
      <c r="N96" s="193" t="str">
        <f>IF('Observaciones-SMP'!N96="","",'Observaciones-SMP'!N96)</f>
        <v/>
      </c>
      <c r="O96" s="193" t="str">
        <f>IF('Observaciones-SMP'!O96="","",'Observaciones-SMP'!O96)</f>
        <v/>
      </c>
      <c r="P96" s="193" t="str">
        <f>IF('Observaciones-SMP'!P96="","",'Observaciones-SMP'!P96)</f>
        <v/>
      </c>
      <c r="Q96" s="257" t="str">
        <f>IF('Observaciones-SMP'!S96="","",'Observaciones-SMP'!S96)</f>
        <v/>
      </c>
      <c r="R96" s="193" t="str">
        <f>IF('Observaciones-SMP'!T96="","",'Observaciones-SMP'!T96)</f>
        <v/>
      </c>
      <c r="S96" s="193" t="str">
        <f>""</f>
        <v/>
      </c>
      <c r="T96" s="193" t="str">
        <f>""</f>
        <v/>
      </c>
      <c r="U96" s="193" t="str">
        <f t="shared" si="4"/>
        <v/>
      </c>
      <c r="V96" s="193" t="str">
        <f>""</f>
        <v/>
      </c>
      <c r="W96" s="193" t="str">
        <f>""</f>
        <v/>
      </c>
      <c r="X96" s="258" t="str">
        <f t="shared" si="5"/>
        <v/>
      </c>
      <c r="Y96" s="258" t="str">
        <f t="shared" si="6"/>
        <v/>
      </c>
      <c r="Z96" s="193" t="str">
        <f>IF(A96="","",IF(COUNTIF('Observaciones-SMP'!$A$2:$A$1001,A96)&gt;1,1,0))</f>
        <v/>
      </c>
      <c r="AA96" s="193" t="str">
        <f t="shared" si="7"/>
        <v/>
      </c>
    </row>
    <row r="97" spans="1:27" ht="13.5" customHeight="1" x14ac:dyDescent="0.3">
      <c r="A97" s="193" t="str">
        <f>IF('Observaciones-SMP'!A97="","",'Observaciones-SMP'!A97)</f>
        <v/>
      </c>
      <c r="B97" s="257" t="str">
        <f>IF('Observaciones-SMP'!B97="","",'Observaciones-SMP'!B97)</f>
        <v/>
      </c>
      <c r="C97" s="193" t="str">
        <f>IF('Observaciones-SMP'!C97="","",'Observaciones-SMP'!C97)</f>
        <v/>
      </c>
      <c r="D97" s="193" t="str">
        <f>IF('Observaciones-SMP'!D97="","",'Observaciones-SMP'!D97)</f>
        <v/>
      </c>
      <c r="E97" s="193" t="str">
        <f>IF('Observaciones-SMP'!E97="","",'Observaciones-SMP'!E97)</f>
        <v/>
      </c>
      <c r="F97" s="193" t="str">
        <f>IF('Observaciones-SMP'!F97="","",'Observaciones-SMP'!F97)</f>
        <v/>
      </c>
      <c r="G97" s="193" t="str">
        <f>IF('Observaciones-SMP'!G97="","",'Observaciones-SMP'!G97)</f>
        <v/>
      </c>
      <c r="H97" s="193" t="str">
        <f>IF('Observaciones-SMP'!H97="","",'Observaciones-SMP'!H97)</f>
        <v/>
      </c>
      <c r="I97" s="193" t="str">
        <f>IF('Observaciones-SMP'!I97="","",'Observaciones-SMP'!I97)</f>
        <v/>
      </c>
      <c r="J97" s="193" t="str">
        <f>IF('Observaciones-SMP'!J97="","",'Observaciones-SMP'!J97)</f>
        <v/>
      </c>
      <c r="K97" s="193" t="str">
        <f>IF('Observaciones-SMP'!K97="","",'Observaciones-SMP'!K97)</f>
        <v/>
      </c>
      <c r="L97" s="193" t="str">
        <f>IF('Observaciones-SMP'!L97="","",'Observaciones-SMP'!L97)</f>
        <v/>
      </c>
      <c r="M97" s="193" t="str">
        <f>IF('Observaciones-SMP'!M97="","",'Observaciones-SMP'!M97)</f>
        <v/>
      </c>
      <c r="N97" s="193" t="str">
        <f>IF('Observaciones-SMP'!N97="","",'Observaciones-SMP'!N97)</f>
        <v/>
      </c>
      <c r="O97" s="193" t="str">
        <f>IF('Observaciones-SMP'!O97="","",'Observaciones-SMP'!O97)</f>
        <v/>
      </c>
      <c r="P97" s="193" t="str">
        <f>IF('Observaciones-SMP'!P97="","",'Observaciones-SMP'!P97)</f>
        <v/>
      </c>
      <c r="Q97" s="257" t="str">
        <f>IF('Observaciones-SMP'!S97="","",'Observaciones-SMP'!S97)</f>
        <v/>
      </c>
      <c r="R97" s="193" t="str">
        <f>IF('Observaciones-SMP'!T97="","",'Observaciones-SMP'!T97)</f>
        <v/>
      </c>
      <c r="S97" s="193" t="str">
        <f>""</f>
        <v/>
      </c>
      <c r="T97" s="193" t="str">
        <f>""</f>
        <v/>
      </c>
      <c r="U97" s="193" t="str">
        <f t="shared" si="4"/>
        <v/>
      </c>
      <c r="V97" s="193" t="str">
        <f>""</f>
        <v/>
      </c>
      <c r="W97" s="193" t="str">
        <f>""</f>
        <v/>
      </c>
      <c r="X97" s="258" t="str">
        <f t="shared" si="5"/>
        <v/>
      </c>
      <c r="Y97" s="258" t="str">
        <f t="shared" si="6"/>
        <v/>
      </c>
      <c r="Z97" s="193" t="str">
        <f>IF(A97="","",IF(COUNTIF('Observaciones-SMP'!$A$2:$A$1001,A97)&gt;1,1,0))</f>
        <v/>
      </c>
      <c r="AA97" s="193" t="str">
        <f t="shared" si="7"/>
        <v/>
      </c>
    </row>
    <row r="98" spans="1:27" ht="13.5" customHeight="1" x14ac:dyDescent="0.3">
      <c r="A98" s="193" t="str">
        <f>IF('Observaciones-SMP'!A98="","",'Observaciones-SMP'!A98)</f>
        <v/>
      </c>
      <c r="B98" s="257" t="str">
        <f>IF('Observaciones-SMP'!B98="","",'Observaciones-SMP'!B98)</f>
        <v/>
      </c>
      <c r="C98" s="193" t="str">
        <f>IF('Observaciones-SMP'!C98="","",'Observaciones-SMP'!C98)</f>
        <v/>
      </c>
      <c r="D98" s="193" t="str">
        <f>IF('Observaciones-SMP'!D98="","",'Observaciones-SMP'!D98)</f>
        <v/>
      </c>
      <c r="E98" s="193" t="str">
        <f>IF('Observaciones-SMP'!E98="","",'Observaciones-SMP'!E98)</f>
        <v/>
      </c>
      <c r="F98" s="193" t="str">
        <f>IF('Observaciones-SMP'!F98="","",'Observaciones-SMP'!F98)</f>
        <v/>
      </c>
      <c r="G98" s="193" t="str">
        <f>IF('Observaciones-SMP'!G98="","",'Observaciones-SMP'!G98)</f>
        <v/>
      </c>
      <c r="H98" s="193" t="str">
        <f>IF('Observaciones-SMP'!H98="","",'Observaciones-SMP'!H98)</f>
        <v/>
      </c>
      <c r="I98" s="193" t="str">
        <f>IF('Observaciones-SMP'!I98="","",'Observaciones-SMP'!I98)</f>
        <v/>
      </c>
      <c r="J98" s="193" t="str">
        <f>IF('Observaciones-SMP'!J98="","",'Observaciones-SMP'!J98)</f>
        <v/>
      </c>
      <c r="K98" s="193" t="str">
        <f>IF('Observaciones-SMP'!K98="","",'Observaciones-SMP'!K98)</f>
        <v/>
      </c>
      <c r="L98" s="193" t="str">
        <f>IF('Observaciones-SMP'!L98="","",'Observaciones-SMP'!L98)</f>
        <v/>
      </c>
      <c r="M98" s="193" t="str">
        <f>IF('Observaciones-SMP'!M98="","",'Observaciones-SMP'!M98)</f>
        <v/>
      </c>
      <c r="N98" s="193" t="str">
        <f>IF('Observaciones-SMP'!N98="","",'Observaciones-SMP'!N98)</f>
        <v/>
      </c>
      <c r="O98" s="193" t="str">
        <f>IF('Observaciones-SMP'!O98="","",'Observaciones-SMP'!O98)</f>
        <v/>
      </c>
      <c r="P98" s="193" t="str">
        <f>IF('Observaciones-SMP'!P98="","",'Observaciones-SMP'!P98)</f>
        <v/>
      </c>
      <c r="Q98" s="257" t="str">
        <f>IF('Observaciones-SMP'!S98="","",'Observaciones-SMP'!S98)</f>
        <v/>
      </c>
      <c r="R98" s="193" t="str">
        <f>IF('Observaciones-SMP'!T98="","",'Observaciones-SMP'!T98)</f>
        <v/>
      </c>
      <c r="S98" s="193" t="str">
        <f>""</f>
        <v/>
      </c>
      <c r="T98" s="193" t="str">
        <f>""</f>
        <v/>
      </c>
      <c r="U98" s="193" t="str">
        <f t="shared" si="4"/>
        <v/>
      </c>
      <c r="V98" s="193" t="str">
        <f>""</f>
        <v/>
      </c>
      <c r="W98" s="193" t="str">
        <f>""</f>
        <v/>
      </c>
      <c r="X98" s="258" t="str">
        <f t="shared" si="5"/>
        <v/>
      </c>
      <c r="Y98" s="258" t="str">
        <f t="shared" si="6"/>
        <v/>
      </c>
      <c r="Z98" s="193" t="str">
        <f>IF(A98="","",IF(COUNTIF('Observaciones-SMP'!$A$2:$A$1001,A98)&gt;1,1,0))</f>
        <v/>
      </c>
      <c r="AA98" s="193" t="str">
        <f t="shared" si="7"/>
        <v/>
      </c>
    </row>
    <row r="99" spans="1:27" ht="13.5" customHeight="1" x14ac:dyDescent="0.3">
      <c r="A99" s="193" t="str">
        <f>IF('Observaciones-SMP'!A99="","",'Observaciones-SMP'!A99)</f>
        <v/>
      </c>
      <c r="B99" s="257" t="str">
        <f>IF('Observaciones-SMP'!B99="","",'Observaciones-SMP'!B99)</f>
        <v/>
      </c>
      <c r="C99" s="193" t="str">
        <f>IF('Observaciones-SMP'!C99="","",'Observaciones-SMP'!C99)</f>
        <v/>
      </c>
      <c r="D99" s="193" t="str">
        <f>IF('Observaciones-SMP'!D99="","",'Observaciones-SMP'!D99)</f>
        <v/>
      </c>
      <c r="E99" s="193" t="str">
        <f>IF('Observaciones-SMP'!E99="","",'Observaciones-SMP'!E99)</f>
        <v/>
      </c>
      <c r="F99" s="193" t="str">
        <f>IF('Observaciones-SMP'!F99="","",'Observaciones-SMP'!F99)</f>
        <v/>
      </c>
      <c r="G99" s="193" t="str">
        <f>IF('Observaciones-SMP'!G99="","",'Observaciones-SMP'!G99)</f>
        <v/>
      </c>
      <c r="H99" s="193" t="str">
        <f>IF('Observaciones-SMP'!H99="","",'Observaciones-SMP'!H99)</f>
        <v/>
      </c>
      <c r="I99" s="193" t="str">
        <f>IF('Observaciones-SMP'!I99="","",'Observaciones-SMP'!I99)</f>
        <v/>
      </c>
      <c r="J99" s="193" t="str">
        <f>IF('Observaciones-SMP'!J99="","",'Observaciones-SMP'!J99)</f>
        <v/>
      </c>
      <c r="K99" s="193" t="str">
        <f>IF('Observaciones-SMP'!K99="","",'Observaciones-SMP'!K99)</f>
        <v/>
      </c>
      <c r="L99" s="193" t="str">
        <f>IF('Observaciones-SMP'!L99="","",'Observaciones-SMP'!L99)</f>
        <v/>
      </c>
      <c r="M99" s="193" t="str">
        <f>IF('Observaciones-SMP'!M99="","",'Observaciones-SMP'!M99)</f>
        <v/>
      </c>
      <c r="N99" s="193" t="str">
        <f>IF('Observaciones-SMP'!N99="","",'Observaciones-SMP'!N99)</f>
        <v/>
      </c>
      <c r="O99" s="193" t="str">
        <f>IF('Observaciones-SMP'!O99="","",'Observaciones-SMP'!O99)</f>
        <v/>
      </c>
      <c r="P99" s="193" t="str">
        <f>IF('Observaciones-SMP'!P99="","",'Observaciones-SMP'!P99)</f>
        <v/>
      </c>
      <c r="Q99" s="257" t="str">
        <f>IF('Observaciones-SMP'!S99="","",'Observaciones-SMP'!S99)</f>
        <v/>
      </c>
      <c r="R99" s="193" t="str">
        <f>IF('Observaciones-SMP'!T99="","",'Observaciones-SMP'!T99)</f>
        <v/>
      </c>
      <c r="S99" s="193" t="str">
        <f>""</f>
        <v/>
      </c>
      <c r="T99" s="193" t="str">
        <f>""</f>
        <v/>
      </c>
      <c r="U99" s="193" t="str">
        <f t="shared" si="4"/>
        <v/>
      </c>
      <c r="V99" s="193" t="str">
        <f>""</f>
        <v/>
      </c>
      <c r="W99" s="193" t="str">
        <f>""</f>
        <v/>
      </c>
      <c r="X99" s="258" t="str">
        <f t="shared" si="5"/>
        <v/>
      </c>
      <c r="Y99" s="258" t="str">
        <f t="shared" si="6"/>
        <v/>
      </c>
      <c r="Z99" s="193" t="str">
        <f>IF(A99="","",IF(COUNTIF('Observaciones-SMP'!$A$2:$A$1001,A99)&gt;1,1,0))</f>
        <v/>
      </c>
      <c r="AA99" s="193" t="str">
        <f t="shared" si="7"/>
        <v/>
      </c>
    </row>
    <row r="100" spans="1:27" ht="13.5" customHeight="1" x14ac:dyDescent="0.3">
      <c r="A100" s="193" t="str">
        <f>IF('Observaciones-SMP'!A100="","",'Observaciones-SMP'!A100)</f>
        <v/>
      </c>
      <c r="B100" s="257" t="str">
        <f>IF('Observaciones-SMP'!B100="","",'Observaciones-SMP'!B100)</f>
        <v/>
      </c>
      <c r="C100" s="193" t="str">
        <f>IF('Observaciones-SMP'!C100="","",'Observaciones-SMP'!C100)</f>
        <v/>
      </c>
      <c r="D100" s="193" t="str">
        <f>IF('Observaciones-SMP'!D100="","",'Observaciones-SMP'!D100)</f>
        <v/>
      </c>
      <c r="E100" s="193" t="str">
        <f>IF('Observaciones-SMP'!E100="","",'Observaciones-SMP'!E100)</f>
        <v/>
      </c>
      <c r="F100" s="193" t="str">
        <f>IF('Observaciones-SMP'!F100="","",'Observaciones-SMP'!F100)</f>
        <v/>
      </c>
      <c r="G100" s="193" t="str">
        <f>IF('Observaciones-SMP'!G100="","",'Observaciones-SMP'!G100)</f>
        <v/>
      </c>
      <c r="H100" s="193" t="str">
        <f>IF('Observaciones-SMP'!H100="","",'Observaciones-SMP'!H100)</f>
        <v/>
      </c>
      <c r="I100" s="193" t="str">
        <f>IF('Observaciones-SMP'!I100="","",'Observaciones-SMP'!I100)</f>
        <v/>
      </c>
      <c r="J100" s="193" t="str">
        <f>IF('Observaciones-SMP'!J100="","",'Observaciones-SMP'!J100)</f>
        <v/>
      </c>
      <c r="K100" s="193" t="str">
        <f>IF('Observaciones-SMP'!K100="","",'Observaciones-SMP'!K100)</f>
        <v/>
      </c>
      <c r="L100" s="193" t="str">
        <f>IF('Observaciones-SMP'!L100="","",'Observaciones-SMP'!L100)</f>
        <v/>
      </c>
      <c r="M100" s="193" t="str">
        <f>IF('Observaciones-SMP'!M100="","",'Observaciones-SMP'!M100)</f>
        <v/>
      </c>
      <c r="N100" s="193" t="str">
        <f>IF('Observaciones-SMP'!N100="","",'Observaciones-SMP'!N100)</f>
        <v/>
      </c>
      <c r="O100" s="193" t="str">
        <f>IF('Observaciones-SMP'!O100="","",'Observaciones-SMP'!O100)</f>
        <v/>
      </c>
      <c r="P100" s="193" t="str">
        <f>IF('Observaciones-SMP'!P100="","",'Observaciones-SMP'!P100)</f>
        <v/>
      </c>
      <c r="Q100" s="257" t="str">
        <f>IF('Observaciones-SMP'!S100="","",'Observaciones-SMP'!S100)</f>
        <v/>
      </c>
      <c r="R100" s="193" t="str">
        <f>IF('Observaciones-SMP'!T100="","",'Observaciones-SMP'!T100)</f>
        <v/>
      </c>
      <c r="S100" s="193" t="str">
        <f>""</f>
        <v/>
      </c>
      <c r="T100" s="193" t="str">
        <f>""</f>
        <v/>
      </c>
      <c r="U100" s="193" t="str">
        <f t="shared" si="4"/>
        <v/>
      </c>
      <c r="V100" s="193" t="str">
        <f>""</f>
        <v/>
      </c>
      <c r="W100" s="193" t="str">
        <f>""</f>
        <v/>
      </c>
      <c r="X100" s="258" t="str">
        <f t="shared" si="5"/>
        <v/>
      </c>
      <c r="Y100" s="258" t="str">
        <f t="shared" si="6"/>
        <v/>
      </c>
      <c r="Z100" s="193" t="str">
        <f>IF(A100="","",IF(COUNTIF('Observaciones-SMP'!$A$2:$A$1001,A100)&gt;1,1,0))</f>
        <v/>
      </c>
      <c r="AA100" s="193" t="str">
        <f t="shared" si="7"/>
        <v/>
      </c>
    </row>
    <row r="101" spans="1:27" ht="13.5" customHeight="1" x14ac:dyDescent="0.3">
      <c r="A101" s="193" t="str">
        <f>IF('Observaciones-SMP'!A101="","",'Observaciones-SMP'!A101)</f>
        <v/>
      </c>
      <c r="B101" s="257" t="str">
        <f>IF('Observaciones-SMP'!B101="","",'Observaciones-SMP'!B101)</f>
        <v/>
      </c>
      <c r="C101" s="193" t="str">
        <f>IF('Observaciones-SMP'!C101="","",'Observaciones-SMP'!C101)</f>
        <v/>
      </c>
      <c r="D101" s="193" t="str">
        <f>IF('Observaciones-SMP'!D101="","",'Observaciones-SMP'!D101)</f>
        <v/>
      </c>
      <c r="E101" s="193" t="str">
        <f>IF('Observaciones-SMP'!E101="","",'Observaciones-SMP'!E101)</f>
        <v/>
      </c>
      <c r="F101" s="193" t="str">
        <f>IF('Observaciones-SMP'!F101="","",'Observaciones-SMP'!F101)</f>
        <v/>
      </c>
      <c r="G101" s="193" t="str">
        <f>IF('Observaciones-SMP'!G101="","",'Observaciones-SMP'!G101)</f>
        <v/>
      </c>
      <c r="H101" s="193" t="str">
        <f>IF('Observaciones-SMP'!H101="","",'Observaciones-SMP'!H101)</f>
        <v/>
      </c>
      <c r="I101" s="193" t="str">
        <f>IF('Observaciones-SMP'!I101="","",'Observaciones-SMP'!I101)</f>
        <v/>
      </c>
      <c r="J101" s="193" t="str">
        <f>IF('Observaciones-SMP'!J101="","",'Observaciones-SMP'!J101)</f>
        <v/>
      </c>
      <c r="K101" s="193" t="str">
        <f>IF('Observaciones-SMP'!K101="","",'Observaciones-SMP'!K101)</f>
        <v/>
      </c>
      <c r="L101" s="193" t="str">
        <f>IF('Observaciones-SMP'!L101="","",'Observaciones-SMP'!L101)</f>
        <v/>
      </c>
      <c r="M101" s="193" t="str">
        <f>IF('Observaciones-SMP'!M101="","",'Observaciones-SMP'!M101)</f>
        <v/>
      </c>
      <c r="N101" s="193" t="str">
        <f>IF('Observaciones-SMP'!N101="","",'Observaciones-SMP'!N101)</f>
        <v/>
      </c>
      <c r="O101" s="193" t="str">
        <f>IF('Observaciones-SMP'!O101="","",'Observaciones-SMP'!O101)</f>
        <v/>
      </c>
      <c r="P101" s="193" t="str">
        <f>IF('Observaciones-SMP'!P101="","",'Observaciones-SMP'!P101)</f>
        <v/>
      </c>
      <c r="Q101" s="257" t="str">
        <f>IF('Observaciones-SMP'!S101="","",'Observaciones-SMP'!S101)</f>
        <v/>
      </c>
      <c r="R101" s="193" t="str">
        <f>IF('Observaciones-SMP'!T101="","",'Observaciones-SMP'!T101)</f>
        <v/>
      </c>
      <c r="S101" s="193" t="str">
        <f>""</f>
        <v/>
      </c>
      <c r="T101" s="193" t="str">
        <f>""</f>
        <v/>
      </c>
      <c r="U101" s="193" t="str">
        <f t="shared" si="4"/>
        <v/>
      </c>
      <c r="V101" s="193" t="str">
        <f>""</f>
        <v/>
      </c>
      <c r="W101" s="193" t="str">
        <f>""</f>
        <v/>
      </c>
      <c r="X101" s="258" t="str">
        <f t="shared" si="5"/>
        <v/>
      </c>
      <c r="Y101" s="258" t="str">
        <f t="shared" si="6"/>
        <v/>
      </c>
      <c r="Z101" s="193" t="str">
        <f>IF(A101="","",IF(COUNTIF('Observaciones-SMP'!$A$2:$A$1001,A101)&gt;1,1,0))</f>
        <v/>
      </c>
      <c r="AA101" s="193" t="str">
        <f t="shared" si="7"/>
        <v/>
      </c>
    </row>
    <row r="102" spans="1:27" ht="13.5" customHeight="1" x14ac:dyDescent="0.3">
      <c r="A102" s="193" t="str">
        <f>IF('Observaciones-SMP'!A102="","",'Observaciones-SMP'!A102)</f>
        <v/>
      </c>
      <c r="B102" s="257" t="str">
        <f>IF('Observaciones-SMP'!B102="","",'Observaciones-SMP'!B102)</f>
        <v/>
      </c>
      <c r="C102" s="193" t="str">
        <f>IF('Observaciones-SMP'!C102="","",'Observaciones-SMP'!C102)</f>
        <v/>
      </c>
      <c r="D102" s="193" t="str">
        <f>IF('Observaciones-SMP'!D102="","",'Observaciones-SMP'!D102)</f>
        <v/>
      </c>
      <c r="E102" s="193" t="str">
        <f>IF('Observaciones-SMP'!E102="","",'Observaciones-SMP'!E102)</f>
        <v/>
      </c>
      <c r="F102" s="193" t="str">
        <f>IF('Observaciones-SMP'!F102="","",'Observaciones-SMP'!F102)</f>
        <v/>
      </c>
      <c r="G102" s="193" t="str">
        <f>IF('Observaciones-SMP'!G102="","",'Observaciones-SMP'!G102)</f>
        <v/>
      </c>
      <c r="H102" s="193" t="str">
        <f>IF('Observaciones-SMP'!H102="","",'Observaciones-SMP'!H102)</f>
        <v/>
      </c>
      <c r="I102" s="193" t="str">
        <f>IF('Observaciones-SMP'!I102="","",'Observaciones-SMP'!I102)</f>
        <v/>
      </c>
      <c r="J102" s="193" t="str">
        <f>IF('Observaciones-SMP'!J102="","",'Observaciones-SMP'!J102)</f>
        <v/>
      </c>
      <c r="K102" s="193" t="str">
        <f>IF('Observaciones-SMP'!K102="","",'Observaciones-SMP'!K102)</f>
        <v/>
      </c>
      <c r="L102" s="193" t="str">
        <f>IF('Observaciones-SMP'!L102="","",'Observaciones-SMP'!L102)</f>
        <v/>
      </c>
      <c r="M102" s="193" t="str">
        <f>IF('Observaciones-SMP'!M102="","",'Observaciones-SMP'!M102)</f>
        <v/>
      </c>
      <c r="N102" s="193" t="str">
        <f>IF('Observaciones-SMP'!N102="","",'Observaciones-SMP'!N102)</f>
        <v/>
      </c>
      <c r="O102" s="193" t="str">
        <f>IF('Observaciones-SMP'!O102="","",'Observaciones-SMP'!O102)</f>
        <v/>
      </c>
      <c r="P102" s="193" t="str">
        <f>IF('Observaciones-SMP'!P102="","",'Observaciones-SMP'!P102)</f>
        <v/>
      </c>
      <c r="Q102" s="257" t="str">
        <f>IF('Observaciones-SMP'!S102="","",'Observaciones-SMP'!S102)</f>
        <v/>
      </c>
      <c r="R102" s="193" t="str">
        <f>IF('Observaciones-SMP'!T102="","",'Observaciones-SMP'!T102)</f>
        <v/>
      </c>
      <c r="S102" s="193" t="str">
        <f>""</f>
        <v/>
      </c>
      <c r="T102" s="193" t="str">
        <f>""</f>
        <v/>
      </c>
      <c r="U102" s="193" t="str">
        <f t="shared" si="4"/>
        <v/>
      </c>
      <c r="V102" s="193" t="str">
        <f>""</f>
        <v/>
      </c>
      <c r="W102" s="193" t="str">
        <f>""</f>
        <v/>
      </c>
      <c r="X102" s="258" t="str">
        <f t="shared" si="5"/>
        <v/>
      </c>
      <c r="Y102" s="258" t="str">
        <f t="shared" si="6"/>
        <v/>
      </c>
      <c r="Z102" s="193" t="str">
        <f>IF(A102="","",IF(COUNTIF('Observaciones-SMP'!$A$2:$A$1001,A102)&gt;1,1,0))</f>
        <v/>
      </c>
      <c r="AA102" s="193" t="str">
        <f t="shared" si="7"/>
        <v/>
      </c>
    </row>
    <row r="103" spans="1:27" ht="13.5" customHeight="1" x14ac:dyDescent="0.3">
      <c r="A103" s="193" t="str">
        <f>IF('Observaciones-SMP'!A103="","",'Observaciones-SMP'!A103)</f>
        <v/>
      </c>
      <c r="B103" s="257" t="str">
        <f>IF('Observaciones-SMP'!B103="","",'Observaciones-SMP'!B103)</f>
        <v/>
      </c>
      <c r="C103" s="193" t="str">
        <f>IF('Observaciones-SMP'!C103="","",'Observaciones-SMP'!C103)</f>
        <v/>
      </c>
      <c r="D103" s="193" t="str">
        <f>IF('Observaciones-SMP'!D103="","",'Observaciones-SMP'!D103)</f>
        <v/>
      </c>
      <c r="E103" s="193" t="str">
        <f>IF('Observaciones-SMP'!E103="","",'Observaciones-SMP'!E103)</f>
        <v/>
      </c>
      <c r="F103" s="193" t="str">
        <f>IF('Observaciones-SMP'!F103="","",'Observaciones-SMP'!F103)</f>
        <v/>
      </c>
      <c r="G103" s="193" t="str">
        <f>IF('Observaciones-SMP'!G103="","",'Observaciones-SMP'!G103)</f>
        <v/>
      </c>
      <c r="H103" s="193" t="str">
        <f>IF('Observaciones-SMP'!H103="","",'Observaciones-SMP'!H103)</f>
        <v/>
      </c>
      <c r="I103" s="193" t="str">
        <f>IF('Observaciones-SMP'!I103="","",'Observaciones-SMP'!I103)</f>
        <v/>
      </c>
      <c r="J103" s="193" t="str">
        <f>IF('Observaciones-SMP'!J103="","",'Observaciones-SMP'!J103)</f>
        <v/>
      </c>
      <c r="K103" s="193" t="str">
        <f>IF('Observaciones-SMP'!K103="","",'Observaciones-SMP'!K103)</f>
        <v/>
      </c>
      <c r="L103" s="193" t="str">
        <f>IF('Observaciones-SMP'!L103="","",'Observaciones-SMP'!L103)</f>
        <v/>
      </c>
      <c r="M103" s="193" t="str">
        <f>IF('Observaciones-SMP'!M103="","",'Observaciones-SMP'!M103)</f>
        <v/>
      </c>
      <c r="N103" s="193" t="str">
        <f>IF('Observaciones-SMP'!N103="","",'Observaciones-SMP'!N103)</f>
        <v/>
      </c>
      <c r="O103" s="193" t="str">
        <f>IF('Observaciones-SMP'!O103="","",'Observaciones-SMP'!O103)</f>
        <v/>
      </c>
      <c r="P103" s="193" t="str">
        <f>IF('Observaciones-SMP'!P103="","",'Observaciones-SMP'!P103)</f>
        <v/>
      </c>
      <c r="Q103" s="257" t="str">
        <f>IF('Observaciones-SMP'!S103="","",'Observaciones-SMP'!S103)</f>
        <v/>
      </c>
      <c r="R103" s="193" t="str">
        <f>IF('Observaciones-SMP'!T103="","",'Observaciones-SMP'!T103)</f>
        <v/>
      </c>
      <c r="S103" s="193" t="str">
        <f>""</f>
        <v/>
      </c>
      <c r="T103" s="193" t="str">
        <f>""</f>
        <v/>
      </c>
      <c r="U103" s="193" t="str">
        <f t="shared" si="4"/>
        <v/>
      </c>
      <c r="V103" s="193" t="str">
        <f>""</f>
        <v/>
      </c>
      <c r="W103" s="193" t="str">
        <f>""</f>
        <v/>
      </c>
      <c r="X103" s="258" t="str">
        <f t="shared" si="5"/>
        <v/>
      </c>
      <c r="Y103" s="258" t="str">
        <f t="shared" si="6"/>
        <v/>
      </c>
      <c r="Z103" s="193" t="str">
        <f>IF(A103="","",IF(COUNTIF('Observaciones-SMP'!$A$2:$A$1001,A103)&gt;1,1,0))</f>
        <v/>
      </c>
      <c r="AA103" s="193" t="str">
        <f t="shared" si="7"/>
        <v/>
      </c>
    </row>
    <row r="104" spans="1:27" ht="13.5" customHeight="1" x14ac:dyDescent="0.3">
      <c r="A104" s="193" t="str">
        <f>IF('Observaciones-SMP'!A104="","",'Observaciones-SMP'!A104)</f>
        <v/>
      </c>
      <c r="B104" s="257" t="str">
        <f>IF('Observaciones-SMP'!B104="","",'Observaciones-SMP'!B104)</f>
        <v/>
      </c>
      <c r="C104" s="193" t="str">
        <f>IF('Observaciones-SMP'!C104="","",'Observaciones-SMP'!C104)</f>
        <v/>
      </c>
      <c r="D104" s="193" t="str">
        <f>IF('Observaciones-SMP'!D104="","",'Observaciones-SMP'!D104)</f>
        <v/>
      </c>
      <c r="E104" s="193" t="str">
        <f>IF('Observaciones-SMP'!E104="","",'Observaciones-SMP'!E104)</f>
        <v/>
      </c>
      <c r="F104" s="193" t="str">
        <f>IF('Observaciones-SMP'!F104="","",'Observaciones-SMP'!F104)</f>
        <v/>
      </c>
      <c r="G104" s="193" t="str">
        <f>IF('Observaciones-SMP'!G104="","",'Observaciones-SMP'!G104)</f>
        <v/>
      </c>
      <c r="H104" s="193" t="str">
        <f>IF('Observaciones-SMP'!H104="","",'Observaciones-SMP'!H104)</f>
        <v/>
      </c>
      <c r="I104" s="193" t="str">
        <f>IF('Observaciones-SMP'!I104="","",'Observaciones-SMP'!I104)</f>
        <v/>
      </c>
      <c r="J104" s="193" t="str">
        <f>IF('Observaciones-SMP'!J104="","",'Observaciones-SMP'!J104)</f>
        <v/>
      </c>
      <c r="K104" s="193" t="str">
        <f>IF('Observaciones-SMP'!K104="","",'Observaciones-SMP'!K104)</f>
        <v/>
      </c>
      <c r="L104" s="193" t="str">
        <f>IF('Observaciones-SMP'!L104="","",'Observaciones-SMP'!L104)</f>
        <v/>
      </c>
      <c r="M104" s="193" t="str">
        <f>IF('Observaciones-SMP'!M104="","",'Observaciones-SMP'!M104)</f>
        <v/>
      </c>
      <c r="N104" s="193" t="str">
        <f>IF('Observaciones-SMP'!N104="","",'Observaciones-SMP'!N104)</f>
        <v/>
      </c>
      <c r="O104" s="193" t="str">
        <f>IF('Observaciones-SMP'!O104="","",'Observaciones-SMP'!O104)</f>
        <v/>
      </c>
      <c r="P104" s="193" t="str">
        <f>IF('Observaciones-SMP'!P104="","",'Observaciones-SMP'!P104)</f>
        <v/>
      </c>
      <c r="Q104" s="257" t="str">
        <f>IF('Observaciones-SMP'!S104="","",'Observaciones-SMP'!S104)</f>
        <v/>
      </c>
      <c r="R104" s="193" t="str">
        <f>IF('Observaciones-SMP'!T104="","",'Observaciones-SMP'!T104)</f>
        <v/>
      </c>
      <c r="S104" s="193" t="str">
        <f>""</f>
        <v/>
      </c>
      <c r="T104" s="193" t="str">
        <f>""</f>
        <v/>
      </c>
      <c r="U104" s="193" t="str">
        <f t="shared" si="4"/>
        <v/>
      </c>
      <c r="V104" s="193" t="str">
        <f>""</f>
        <v/>
      </c>
      <c r="W104" s="193" t="str">
        <f>""</f>
        <v/>
      </c>
      <c r="X104" s="258" t="str">
        <f t="shared" si="5"/>
        <v/>
      </c>
      <c r="Y104" s="258" t="str">
        <f t="shared" si="6"/>
        <v/>
      </c>
      <c r="Z104" s="193" t="str">
        <f>IF(A104="","",IF(COUNTIF('Observaciones-SMP'!$A$2:$A$1001,A104)&gt;1,1,0))</f>
        <v/>
      </c>
      <c r="AA104" s="193" t="str">
        <f t="shared" si="7"/>
        <v/>
      </c>
    </row>
    <row r="105" spans="1:27" ht="13.5" customHeight="1" x14ac:dyDescent="0.3">
      <c r="A105" s="193" t="str">
        <f>IF('Observaciones-SMP'!A105="","",'Observaciones-SMP'!A105)</f>
        <v/>
      </c>
      <c r="B105" s="257" t="str">
        <f>IF('Observaciones-SMP'!B105="","",'Observaciones-SMP'!B105)</f>
        <v/>
      </c>
      <c r="C105" s="193" t="str">
        <f>IF('Observaciones-SMP'!C105="","",'Observaciones-SMP'!C105)</f>
        <v/>
      </c>
      <c r="D105" s="193" t="str">
        <f>IF('Observaciones-SMP'!D105="","",'Observaciones-SMP'!D105)</f>
        <v/>
      </c>
      <c r="E105" s="193" t="str">
        <f>IF('Observaciones-SMP'!E105="","",'Observaciones-SMP'!E105)</f>
        <v/>
      </c>
      <c r="F105" s="193" t="str">
        <f>IF('Observaciones-SMP'!F105="","",'Observaciones-SMP'!F105)</f>
        <v/>
      </c>
      <c r="G105" s="193" t="str">
        <f>IF('Observaciones-SMP'!G105="","",'Observaciones-SMP'!G105)</f>
        <v/>
      </c>
      <c r="H105" s="193" t="str">
        <f>IF('Observaciones-SMP'!H105="","",'Observaciones-SMP'!H105)</f>
        <v/>
      </c>
      <c r="I105" s="193" t="str">
        <f>IF('Observaciones-SMP'!I105="","",'Observaciones-SMP'!I105)</f>
        <v/>
      </c>
      <c r="J105" s="193" t="str">
        <f>IF('Observaciones-SMP'!J105="","",'Observaciones-SMP'!J105)</f>
        <v/>
      </c>
      <c r="K105" s="193" t="str">
        <f>IF('Observaciones-SMP'!K105="","",'Observaciones-SMP'!K105)</f>
        <v/>
      </c>
      <c r="L105" s="193" t="str">
        <f>IF('Observaciones-SMP'!L105="","",'Observaciones-SMP'!L105)</f>
        <v/>
      </c>
      <c r="M105" s="193" t="str">
        <f>IF('Observaciones-SMP'!M105="","",'Observaciones-SMP'!M105)</f>
        <v/>
      </c>
      <c r="N105" s="193" t="str">
        <f>IF('Observaciones-SMP'!N105="","",'Observaciones-SMP'!N105)</f>
        <v/>
      </c>
      <c r="O105" s="193" t="str">
        <f>IF('Observaciones-SMP'!O105="","",'Observaciones-SMP'!O105)</f>
        <v/>
      </c>
      <c r="P105" s="193" t="str">
        <f>IF('Observaciones-SMP'!P105="","",'Observaciones-SMP'!P105)</f>
        <v/>
      </c>
      <c r="Q105" s="257" t="str">
        <f>IF('Observaciones-SMP'!S105="","",'Observaciones-SMP'!S105)</f>
        <v/>
      </c>
      <c r="R105" s="193" t="str">
        <f>IF('Observaciones-SMP'!T105="","",'Observaciones-SMP'!T105)</f>
        <v/>
      </c>
      <c r="S105" s="193" t="str">
        <f>""</f>
        <v/>
      </c>
      <c r="T105" s="193" t="str">
        <f>""</f>
        <v/>
      </c>
      <c r="U105" s="193" t="str">
        <f t="shared" si="4"/>
        <v/>
      </c>
      <c r="V105" s="193" t="str">
        <f>""</f>
        <v/>
      </c>
      <c r="W105" s="193" t="str">
        <f>""</f>
        <v/>
      </c>
      <c r="X105" s="258" t="str">
        <f t="shared" si="5"/>
        <v/>
      </c>
      <c r="Y105" s="258" t="str">
        <f t="shared" si="6"/>
        <v/>
      </c>
      <c r="Z105" s="193" t="str">
        <f>IF(A105="","",IF(COUNTIF('Observaciones-SMP'!$A$2:$A$1001,A105)&gt;1,1,0))</f>
        <v/>
      </c>
      <c r="AA105" s="193" t="str">
        <f t="shared" si="7"/>
        <v/>
      </c>
    </row>
    <row r="106" spans="1:27" ht="13.5" customHeight="1" x14ac:dyDescent="0.3">
      <c r="A106" s="193" t="str">
        <f>IF('Observaciones-SMP'!A106="","",'Observaciones-SMP'!A106)</f>
        <v/>
      </c>
      <c r="B106" s="257" t="str">
        <f>IF('Observaciones-SMP'!B106="","",'Observaciones-SMP'!B106)</f>
        <v/>
      </c>
      <c r="C106" s="193" t="str">
        <f>IF('Observaciones-SMP'!C106="","",'Observaciones-SMP'!C106)</f>
        <v/>
      </c>
      <c r="D106" s="193" t="str">
        <f>IF('Observaciones-SMP'!D106="","",'Observaciones-SMP'!D106)</f>
        <v/>
      </c>
      <c r="E106" s="193" t="str">
        <f>IF('Observaciones-SMP'!E106="","",'Observaciones-SMP'!E106)</f>
        <v/>
      </c>
      <c r="F106" s="193" t="str">
        <f>IF('Observaciones-SMP'!F106="","",'Observaciones-SMP'!F106)</f>
        <v/>
      </c>
      <c r="G106" s="193" t="str">
        <f>IF('Observaciones-SMP'!G106="","",'Observaciones-SMP'!G106)</f>
        <v/>
      </c>
      <c r="H106" s="193" t="str">
        <f>IF('Observaciones-SMP'!H106="","",'Observaciones-SMP'!H106)</f>
        <v/>
      </c>
      <c r="I106" s="193" t="str">
        <f>IF('Observaciones-SMP'!I106="","",'Observaciones-SMP'!I106)</f>
        <v/>
      </c>
      <c r="J106" s="193" t="str">
        <f>IF('Observaciones-SMP'!J106="","",'Observaciones-SMP'!J106)</f>
        <v/>
      </c>
      <c r="K106" s="193" t="str">
        <f>IF('Observaciones-SMP'!K106="","",'Observaciones-SMP'!K106)</f>
        <v/>
      </c>
      <c r="L106" s="193" t="str">
        <f>IF('Observaciones-SMP'!L106="","",'Observaciones-SMP'!L106)</f>
        <v/>
      </c>
      <c r="M106" s="193" t="str">
        <f>IF('Observaciones-SMP'!M106="","",'Observaciones-SMP'!M106)</f>
        <v/>
      </c>
      <c r="N106" s="193" t="str">
        <f>IF('Observaciones-SMP'!N106="","",'Observaciones-SMP'!N106)</f>
        <v/>
      </c>
      <c r="O106" s="193" t="str">
        <f>IF('Observaciones-SMP'!O106="","",'Observaciones-SMP'!O106)</f>
        <v/>
      </c>
      <c r="P106" s="193" t="str">
        <f>IF('Observaciones-SMP'!P106="","",'Observaciones-SMP'!P106)</f>
        <v/>
      </c>
      <c r="Q106" s="257" t="str">
        <f>IF('Observaciones-SMP'!S106="","",'Observaciones-SMP'!S106)</f>
        <v/>
      </c>
      <c r="R106" s="193" t="str">
        <f>IF('Observaciones-SMP'!T106="","",'Observaciones-SMP'!T106)</f>
        <v/>
      </c>
      <c r="S106" s="193" t="str">
        <f>""</f>
        <v/>
      </c>
      <c r="T106" s="193" t="str">
        <f>""</f>
        <v/>
      </c>
      <c r="U106" s="193" t="str">
        <f t="shared" si="4"/>
        <v/>
      </c>
      <c r="V106" s="193" t="str">
        <f>""</f>
        <v/>
      </c>
      <c r="W106" s="193" t="str">
        <f>""</f>
        <v/>
      </c>
      <c r="X106" s="258" t="str">
        <f t="shared" si="5"/>
        <v/>
      </c>
      <c r="Y106" s="258" t="str">
        <f t="shared" si="6"/>
        <v/>
      </c>
      <c r="Z106" s="193" t="str">
        <f>IF(A106="","",IF(COUNTIF('Observaciones-SMP'!$A$2:$A$1001,A106)&gt;1,1,0))</f>
        <v/>
      </c>
      <c r="AA106" s="193" t="str">
        <f t="shared" si="7"/>
        <v/>
      </c>
    </row>
    <row r="107" spans="1:27" ht="13.5" customHeight="1" x14ac:dyDescent="0.3">
      <c r="A107" s="193" t="str">
        <f>IF('Observaciones-SMP'!A107="","",'Observaciones-SMP'!A107)</f>
        <v/>
      </c>
      <c r="B107" s="257" t="str">
        <f>IF('Observaciones-SMP'!B107="","",'Observaciones-SMP'!B107)</f>
        <v/>
      </c>
      <c r="C107" s="193" t="str">
        <f>IF('Observaciones-SMP'!C107="","",'Observaciones-SMP'!C107)</f>
        <v/>
      </c>
      <c r="D107" s="193" t="str">
        <f>IF('Observaciones-SMP'!D107="","",'Observaciones-SMP'!D107)</f>
        <v/>
      </c>
      <c r="E107" s="193" t="str">
        <f>IF('Observaciones-SMP'!E107="","",'Observaciones-SMP'!E107)</f>
        <v/>
      </c>
      <c r="F107" s="193" t="str">
        <f>IF('Observaciones-SMP'!F107="","",'Observaciones-SMP'!F107)</f>
        <v/>
      </c>
      <c r="G107" s="193" t="str">
        <f>IF('Observaciones-SMP'!G107="","",'Observaciones-SMP'!G107)</f>
        <v/>
      </c>
      <c r="H107" s="193" t="str">
        <f>IF('Observaciones-SMP'!H107="","",'Observaciones-SMP'!H107)</f>
        <v/>
      </c>
      <c r="I107" s="193" t="str">
        <f>IF('Observaciones-SMP'!I107="","",'Observaciones-SMP'!I107)</f>
        <v/>
      </c>
      <c r="J107" s="193" t="str">
        <f>IF('Observaciones-SMP'!J107="","",'Observaciones-SMP'!J107)</f>
        <v/>
      </c>
      <c r="K107" s="193" t="str">
        <f>IF('Observaciones-SMP'!K107="","",'Observaciones-SMP'!K107)</f>
        <v/>
      </c>
      <c r="L107" s="193" t="str">
        <f>IF('Observaciones-SMP'!L107="","",'Observaciones-SMP'!L107)</f>
        <v/>
      </c>
      <c r="M107" s="193" t="str">
        <f>IF('Observaciones-SMP'!M107="","",'Observaciones-SMP'!M107)</f>
        <v/>
      </c>
      <c r="N107" s="193" t="str">
        <f>IF('Observaciones-SMP'!N107="","",'Observaciones-SMP'!N107)</f>
        <v/>
      </c>
      <c r="O107" s="193" t="str">
        <f>IF('Observaciones-SMP'!O107="","",'Observaciones-SMP'!O107)</f>
        <v/>
      </c>
      <c r="P107" s="193" t="str">
        <f>IF('Observaciones-SMP'!P107="","",'Observaciones-SMP'!P107)</f>
        <v/>
      </c>
      <c r="Q107" s="257" t="str">
        <f>IF('Observaciones-SMP'!S107="","",'Observaciones-SMP'!S107)</f>
        <v/>
      </c>
      <c r="R107" s="193" t="str">
        <f>IF('Observaciones-SMP'!T107="","",'Observaciones-SMP'!T107)</f>
        <v/>
      </c>
      <c r="S107" s="193" t="str">
        <f>""</f>
        <v/>
      </c>
      <c r="T107" s="193" t="str">
        <f>""</f>
        <v/>
      </c>
      <c r="U107" s="193" t="str">
        <f t="shared" si="4"/>
        <v/>
      </c>
      <c r="V107" s="193" t="str">
        <f>""</f>
        <v/>
      </c>
      <c r="W107" s="193" t="str">
        <f>""</f>
        <v/>
      </c>
      <c r="X107" s="258" t="str">
        <f t="shared" si="5"/>
        <v/>
      </c>
      <c r="Y107" s="258" t="str">
        <f t="shared" si="6"/>
        <v/>
      </c>
      <c r="Z107" s="193" t="str">
        <f>IF(A107="","",IF(COUNTIF('Observaciones-SMP'!$A$2:$A$1001,A107)&gt;1,1,0))</f>
        <v/>
      </c>
      <c r="AA107" s="193" t="str">
        <f t="shared" si="7"/>
        <v/>
      </c>
    </row>
    <row r="108" spans="1:27" ht="13.5" customHeight="1" x14ac:dyDescent="0.3">
      <c r="A108" s="193" t="str">
        <f>IF('Observaciones-SMP'!A108="","",'Observaciones-SMP'!A108)</f>
        <v/>
      </c>
      <c r="B108" s="257" t="str">
        <f>IF('Observaciones-SMP'!B108="","",'Observaciones-SMP'!B108)</f>
        <v/>
      </c>
      <c r="C108" s="193" t="str">
        <f>IF('Observaciones-SMP'!C108="","",'Observaciones-SMP'!C108)</f>
        <v/>
      </c>
      <c r="D108" s="193" t="str">
        <f>IF('Observaciones-SMP'!D108="","",'Observaciones-SMP'!D108)</f>
        <v/>
      </c>
      <c r="E108" s="193" t="str">
        <f>IF('Observaciones-SMP'!E108="","",'Observaciones-SMP'!E108)</f>
        <v/>
      </c>
      <c r="F108" s="193" t="str">
        <f>IF('Observaciones-SMP'!F108="","",'Observaciones-SMP'!F108)</f>
        <v/>
      </c>
      <c r="G108" s="193" t="str">
        <f>IF('Observaciones-SMP'!G108="","",'Observaciones-SMP'!G108)</f>
        <v/>
      </c>
      <c r="H108" s="193" t="str">
        <f>IF('Observaciones-SMP'!H108="","",'Observaciones-SMP'!H108)</f>
        <v/>
      </c>
      <c r="I108" s="193" t="str">
        <f>IF('Observaciones-SMP'!I108="","",'Observaciones-SMP'!I108)</f>
        <v/>
      </c>
      <c r="J108" s="193" t="str">
        <f>IF('Observaciones-SMP'!J108="","",'Observaciones-SMP'!J108)</f>
        <v/>
      </c>
      <c r="K108" s="193" t="str">
        <f>IF('Observaciones-SMP'!K108="","",'Observaciones-SMP'!K108)</f>
        <v/>
      </c>
      <c r="L108" s="193" t="str">
        <f>IF('Observaciones-SMP'!L108="","",'Observaciones-SMP'!L108)</f>
        <v/>
      </c>
      <c r="M108" s="193" t="str">
        <f>IF('Observaciones-SMP'!M108="","",'Observaciones-SMP'!M108)</f>
        <v/>
      </c>
      <c r="N108" s="193" t="str">
        <f>IF('Observaciones-SMP'!N108="","",'Observaciones-SMP'!N108)</f>
        <v/>
      </c>
      <c r="O108" s="193" t="str">
        <f>IF('Observaciones-SMP'!O108="","",'Observaciones-SMP'!O108)</f>
        <v/>
      </c>
      <c r="P108" s="193" t="str">
        <f>IF('Observaciones-SMP'!P108="","",'Observaciones-SMP'!P108)</f>
        <v/>
      </c>
      <c r="Q108" s="257" t="str">
        <f>IF('Observaciones-SMP'!S108="","",'Observaciones-SMP'!S108)</f>
        <v/>
      </c>
      <c r="R108" s="193" t="str">
        <f>IF('Observaciones-SMP'!T108="","",'Observaciones-SMP'!T108)</f>
        <v/>
      </c>
      <c r="S108" s="193" t="str">
        <f>""</f>
        <v/>
      </c>
      <c r="T108" s="193" t="str">
        <f>""</f>
        <v/>
      </c>
      <c r="U108" s="193" t="str">
        <f t="shared" si="4"/>
        <v/>
      </c>
      <c r="V108" s="193" t="str">
        <f>""</f>
        <v/>
      </c>
      <c r="W108" s="193" t="str">
        <f>""</f>
        <v/>
      </c>
      <c r="X108" s="258" t="str">
        <f t="shared" si="5"/>
        <v/>
      </c>
      <c r="Y108" s="258" t="str">
        <f t="shared" si="6"/>
        <v/>
      </c>
      <c r="Z108" s="193" t="str">
        <f>IF(A108="","",IF(COUNTIF('Observaciones-SMP'!$A$2:$A$1001,A108)&gt;1,1,0))</f>
        <v/>
      </c>
      <c r="AA108" s="193" t="str">
        <f t="shared" si="7"/>
        <v/>
      </c>
    </row>
    <row r="109" spans="1:27" ht="13.5" customHeight="1" x14ac:dyDescent="0.3">
      <c r="A109" s="193" t="str">
        <f>IF('Observaciones-SMP'!A109="","",'Observaciones-SMP'!A109)</f>
        <v/>
      </c>
      <c r="B109" s="257" t="str">
        <f>IF('Observaciones-SMP'!B109="","",'Observaciones-SMP'!B109)</f>
        <v/>
      </c>
      <c r="C109" s="193" t="str">
        <f>IF('Observaciones-SMP'!C109="","",'Observaciones-SMP'!C109)</f>
        <v/>
      </c>
      <c r="D109" s="193" t="str">
        <f>IF('Observaciones-SMP'!D109="","",'Observaciones-SMP'!D109)</f>
        <v/>
      </c>
      <c r="E109" s="193" t="str">
        <f>IF('Observaciones-SMP'!E109="","",'Observaciones-SMP'!E109)</f>
        <v/>
      </c>
      <c r="F109" s="193" t="str">
        <f>IF('Observaciones-SMP'!F109="","",'Observaciones-SMP'!F109)</f>
        <v/>
      </c>
      <c r="G109" s="193" t="str">
        <f>IF('Observaciones-SMP'!G109="","",'Observaciones-SMP'!G109)</f>
        <v/>
      </c>
      <c r="H109" s="193" t="str">
        <f>IF('Observaciones-SMP'!H109="","",'Observaciones-SMP'!H109)</f>
        <v/>
      </c>
      <c r="I109" s="193" t="str">
        <f>IF('Observaciones-SMP'!I109="","",'Observaciones-SMP'!I109)</f>
        <v/>
      </c>
      <c r="J109" s="193" t="str">
        <f>IF('Observaciones-SMP'!J109="","",'Observaciones-SMP'!J109)</f>
        <v/>
      </c>
      <c r="K109" s="193" t="str">
        <f>IF('Observaciones-SMP'!K109="","",'Observaciones-SMP'!K109)</f>
        <v/>
      </c>
      <c r="L109" s="193" t="str">
        <f>IF('Observaciones-SMP'!L109="","",'Observaciones-SMP'!L109)</f>
        <v/>
      </c>
      <c r="M109" s="193" t="str">
        <f>IF('Observaciones-SMP'!M109="","",'Observaciones-SMP'!M109)</f>
        <v/>
      </c>
      <c r="N109" s="193" t="str">
        <f>IF('Observaciones-SMP'!N109="","",'Observaciones-SMP'!N109)</f>
        <v/>
      </c>
      <c r="O109" s="193" t="str">
        <f>IF('Observaciones-SMP'!O109="","",'Observaciones-SMP'!O109)</f>
        <v/>
      </c>
      <c r="P109" s="193" t="str">
        <f>IF('Observaciones-SMP'!P109="","",'Observaciones-SMP'!P109)</f>
        <v/>
      </c>
      <c r="Q109" s="257" t="str">
        <f>IF('Observaciones-SMP'!S109="","",'Observaciones-SMP'!S109)</f>
        <v/>
      </c>
      <c r="R109" s="193" t="str">
        <f>IF('Observaciones-SMP'!T109="","",'Observaciones-SMP'!T109)</f>
        <v/>
      </c>
      <c r="S109" s="193" t="str">
        <f>""</f>
        <v/>
      </c>
      <c r="T109" s="193" t="str">
        <f>""</f>
        <v/>
      </c>
      <c r="U109" s="193" t="str">
        <f t="shared" si="4"/>
        <v/>
      </c>
      <c r="V109" s="193" t="str">
        <f>""</f>
        <v/>
      </c>
      <c r="W109" s="193" t="str">
        <f>""</f>
        <v/>
      </c>
      <c r="X109" s="258" t="str">
        <f t="shared" si="5"/>
        <v/>
      </c>
      <c r="Y109" s="258" t="str">
        <f t="shared" si="6"/>
        <v/>
      </c>
      <c r="Z109" s="193" t="str">
        <f>IF(A109="","",IF(COUNTIF('Observaciones-SMP'!$A$2:$A$1001,A109)&gt;1,1,0))</f>
        <v/>
      </c>
      <c r="AA109" s="193" t="str">
        <f t="shared" si="7"/>
        <v/>
      </c>
    </row>
    <row r="110" spans="1:27" ht="13.5" customHeight="1" x14ac:dyDescent="0.3">
      <c r="A110" s="193" t="str">
        <f>IF('Observaciones-SMP'!A110="","",'Observaciones-SMP'!A110)</f>
        <v/>
      </c>
      <c r="B110" s="257" t="str">
        <f>IF('Observaciones-SMP'!B110="","",'Observaciones-SMP'!B110)</f>
        <v/>
      </c>
      <c r="C110" s="193" t="str">
        <f>IF('Observaciones-SMP'!C110="","",'Observaciones-SMP'!C110)</f>
        <v/>
      </c>
      <c r="D110" s="193" t="str">
        <f>IF('Observaciones-SMP'!D110="","",'Observaciones-SMP'!D110)</f>
        <v/>
      </c>
      <c r="E110" s="193" t="str">
        <f>IF('Observaciones-SMP'!E110="","",'Observaciones-SMP'!E110)</f>
        <v/>
      </c>
      <c r="F110" s="193" t="str">
        <f>IF('Observaciones-SMP'!F110="","",'Observaciones-SMP'!F110)</f>
        <v/>
      </c>
      <c r="G110" s="193" t="str">
        <f>IF('Observaciones-SMP'!G110="","",'Observaciones-SMP'!G110)</f>
        <v/>
      </c>
      <c r="H110" s="193" t="str">
        <f>IF('Observaciones-SMP'!H110="","",'Observaciones-SMP'!H110)</f>
        <v/>
      </c>
      <c r="I110" s="193" t="str">
        <f>IF('Observaciones-SMP'!I110="","",'Observaciones-SMP'!I110)</f>
        <v/>
      </c>
      <c r="J110" s="193" t="str">
        <f>IF('Observaciones-SMP'!J110="","",'Observaciones-SMP'!J110)</f>
        <v/>
      </c>
      <c r="K110" s="193" t="str">
        <f>IF('Observaciones-SMP'!K110="","",'Observaciones-SMP'!K110)</f>
        <v/>
      </c>
      <c r="L110" s="193" t="str">
        <f>IF('Observaciones-SMP'!L110="","",'Observaciones-SMP'!L110)</f>
        <v/>
      </c>
      <c r="M110" s="193" t="str">
        <f>IF('Observaciones-SMP'!M110="","",'Observaciones-SMP'!M110)</f>
        <v/>
      </c>
      <c r="N110" s="193" t="str">
        <f>IF('Observaciones-SMP'!N110="","",'Observaciones-SMP'!N110)</f>
        <v/>
      </c>
      <c r="O110" s="193" t="str">
        <f>IF('Observaciones-SMP'!O110="","",'Observaciones-SMP'!O110)</f>
        <v/>
      </c>
      <c r="P110" s="193" t="str">
        <f>IF('Observaciones-SMP'!P110="","",'Observaciones-SMP'!P110)</f>
        <v/>
      </c>
      <c r="Q110" s="257" t="str">
        <f>IF('Observaciones-SMP'!S110="","",'Observaciones-SMP'!S110)</f>
        <v/>
      </c>
      <c r="R110" s="193" t="str">
        <f>IF('Observaciones-SMP'!T110="","",'Observaciones-SMP'!T110)</f>
        <v/>
      </c>
      <c r="S110" s="193" t="str">
        <f>""</f>
        <v/>
      </c>
      <c r="T110" s="193" t="str">
        <f>""</f>
        <v/>
      </c>
      <c r="U110" s="193" t="str">
        <f t="shared" si="4"/>
        <v/>
      </c>
      <c r="V110" s="193" t="str">
        <f>""</f>
        <v/>
      </c>
      <c r="W110" s="193" t="str">
        <f>""</f>
        <v/>
      </c>
      <c r="X110" s="258" t="str">
        <f t="shared" si="5"/>
        <v/>
      </c>
      <c r="Y110" s="258" t="str">
        <f t="shared" si="6"/>
        <v/>
      </c>
      <c r="Z110" s="193" t="str">
        <f>IF(A110="","",IF(COUNTIF('Observaciones-SMP'!$A$2:$A$1001,A110)&gt;1,1,0))</f>
        <v/>
      </c>
      <c r="AA110" s="193" t="str">
        <f t="shared" si="7"/>
        <v/>
      </c>
    </row>
    <row r="111" spans="1:27" ht="13.5" customHeight="1" x14ac:dyDescent="0.3">
      <c r="A111" s="193" t="str">
        <f>IF('Observaciones-SMP'!A111="","",'Observaciones-SMP'!A111)</f>
        <v/>
      </c>
      <c r="B111" s="257" t="str">
        <f>IF('Observaciones-SMP'!B111="","",'Observaciones-SMP'!B111)</f>
        <v/>
      </c>
      <c r="C111" s="193" t="str">
        <f>IF('Observaciones-SMP'!C111="","",'Observaciones-SMP'!C111)</f>
        <v/>
      </c>
      <c r="D111" s="193" t="str">
        <f>IF('Observaciones-SMP'!D111="","",'Observaciones-SMP'!D111)</f>
        <v/>
      </c>
      <c r="E111" s="193" t="str">
        <f>IF('Observaciones-SMP'!E111="","",'Observaciones-SMP'!E111)</f>
        <v/>
      </c>
      <c r="F111" s="193" t="str">
        <f>IF('Observaciones-SMP'!F111="","",'Observaciones-SMP'!F111)</f>
        <v/>
      </c>
      <c r="G111" s="193" t="str">
        <f>IF('Observaciones-SMP'!G111="","",'Observaciones-SMP'!G111)</f>
        <v/>
      </c>
      <c r="H111" s="193" t="str">
        <f>IF('Observaciones-SMP'!H111="","",'Observaciones-SMP'!H111)</f>
        <v/>
      </c>
      <c r="I111" s="193" t="str">
        <f>IF('Observaciones-SMP'!I111="","",'Observaciones-SMP'!I111)</f>
        <v/>
      </c>
      <c r="J111" s="193" t="str">
        <f>IF('Observaciones-SMP'!J111="","",'Observaciones-SMP'!J111)</f>
        <v/>
      </c>
      <c r="K111" s="193" t="str">
        <f>IF('Observaciones-SMP'!K111="","",'Observaciones-SMP'!K111)</f>
        <v/>
      </c>
      <c r="L111" s="193" t="str">
        <f>IF('Observaciones-SMP'!L111="","",'Observaciones-SMP'!L111)</f>
        <v/>
      </c>
      <c r="M111" s="193" t="str">
        <f>IF('Observaciones-SMP'!M111="","",'Observaciones-SMP'!M111)</f>
        <v/>
      </c>
      <c r="N111" s="193" t="str">
        <f>IF('Observaciones-SMP'!N111="","",'Observaciones-SMP'!N111)</f>
        <v/>
      </c>
      <c r="O111" s="193" t="str">
        <f>IF('Observaciones-SMP'!O111="","",'Observaciones-SMP'!O111)</f>
        <v/>
      </c>
      <c r="P111" s="193" t="str">
        <f>IF('Observaciones-SMP'!P111="","",'Observaciones-SMP'!P111)</f>
        <v/>
      </c>
      <c r="Q111" s="257" t="str">
        <f>IF('Observaciones-SMP'!S111="","",'Observaciones-SMP'!S111)</f>
        <v/>
      </c>
      <c r="R111" s="193" t="str">
        <f>IF('Observaciones-SMP'!T111="","",'Observaciones-SMP'!T111)</f>
        <v/>
      </c>
      <c r="S111" s="193" t="str">
        <f>""</f>
        <v/>
      </c>
      <c r="T111" s="193" t="str">
        <f>""</f>
        <v/>
      </c>
      <c r="U111" s="193" t="str">
        <f t="shared" si="4"/>
        <v/>
      </c>
      <c r="V111" s="193" t="str">
        <f>""</f>
        <v/>
      </c>
      <c r="W111" s="193" t="str">
        <f>""</f>
        <v/>
      </c>
      <c r="X111" s="258" t="str">
        <f t="shared" si="5"/>
        <v/>
      </c>
      <c r="Y111" s="258" t="str">
        <f t="shared" si="6"/>
        <v/>
      </c>
      <c r="Z111" s="193" t="str">
        <f>IF(A111="","",IF(COUNTIF('Observaciones-SMP'!$A$2:$A$1001,A111)&gt;1,1,0))</f>
        <v/>
      </c>
      <c r="AA111" s="193" t="str">
        <f t="shared" si="7"/>
        <v/>
      </c>
    </row>
    <row r="112" spans="1:27" ht="13.5" customHeight="1" x14ac:dyDescent="0.3">
      <c r="A112" s="193" t="str">
        <f>IF('Observaciones-SMP'!A112="","",'Observaciones-SMP'!A112)</f>
        <v/>
      </c>
      <c r="B112" s="257" t="str">
        <f>IF('Observaciones-SMP'!B112="","",'Observaciones-SMP'!B112)</f>
        <v/>
      </c>
      <c r="C112" s="193" t="str">
        <f>IF('Observaciones-SMP'!C112="","",'Observaciones-SMP'!C112)</f>
        <v/>
      </c>
      <c r="D112" s="193" t="str">
        <f>IF('Observaciones-SMP'!D112="","",'Observaciones-SMP'!D112)</f>
        <v/>
      </c>
      <c r="E112" s="193" t="str">
        <f>IF('Observaciones-SMP'!E112="","",'Observaciones-SMP'!E112)</f>
        <v/>
      </c>
      <c r="F112" s="193" t="str">
        <f>IF('Observaciones-SMP'!F112="","",'Observaciones-SMP'!F112)</f>
        <v/>
      </c>
      <c r="G112" s="193" t="str">
        <f>IF('Observaciones-SMP'!G112="","",'Observaciones-SMP'!G112)</f>
        <v/>
      </c>
      <c r="H112" s="193" t="str">
        <f>IF('Observaciones-SMP'!H112="","",'Observaciones-SMP'!H112)</f>
        <v/>
      </c>
      <c r="I112" s="193" t="str">
        <f>IF('Observaciones-SMP'!I112="","",'Observaciones-SMP'!I112)</f>
        <v/>
      </c>
      <c r="J112" s="193" t="str">
        <f>IF('Observaciones-SMP'!J112="","",'Observaciones-SMP'!J112)</f>
        <v/>
      </c>
      <c r="K112" s="193" t="str">
        <f>IF('Observaciones-SMP'!K112="","",'Observaciones-SMP'!K112)</f>
        <v/>
      </c>
      <c r="L112" s="193" t="str">
        <f>IF('Observaciones-SMP'!L112="","",'Observaciones-SMP'!L112)</f>
        <v/>
      </c>
      <c r="M112" s="193" t="str">
        <f>IF('Observaciones-SMP'!M112="","",'Observaciones-SMP'!M112)</f>
        <v/>
      </c>
      <c r="N112" s="193" t="str">
        <f>IF('Observaciones-SMP'!N112="","",'Observaciones-SMP'!N112)</f>
        <v/>
      </c>
      <c r="O112" s="193" t="str">
        <f>IF('Observaciones-SMP'!O112="","",'Observaciones-SMP'!O112)</f>
        <v/>
      </c>
      <c r="P112" s="193" t="str">
        <f>IF('Observaciones-SMP'!P112="","",'Observaciones-SMP'!P112)</f>
        <v/>
      </c>
      <c r="Q112" s="257" t="str">
        <f>IF('Observaciones-SMP'!S112="","",'Observaciones-SMP'!S112)</f>
        <v/>
      </c>
      <c r="R112" s="193" t="str">
        <f>IF('Observaciones-SMP'!T112="","",'Observaciones-SMP'!T112)</f>
        <v/>
      </c>
      <c r="S112" s="193" t="str">
        <f>""</f>
        <v/>
      </c>
      <c r="T112" s="193" t="str">
        <f>""</f>
        <v/>
      </c>
      <c r="U112" s="193" t="str">
        <f t="shared" si="4"/>
        <v/>
      </c>
      <c r="V112" s="193" t="str">
        <f>""</f>
        <v/>
      </c>
      <c r="W112" s="193" t="str">
        <f>""</f>
        <v/>
      </c>
      <c r="X112" s="258" t="str">
        <f t="shared" si="5"/>
        <v/>
      </c>
      <c r="Y112" s="258" t="str">
        <f t="shared" si="6"/>
        <v/>
      </c>
      <c r="Z112" s="193" t="str">
        <f>IF(A112="","",IF(COUNTIF('Observaciones-SMP'!$A$2:$A$1001,A112)&gt;1,1,0))</f>
        <v/>
      </c>
      <c r="AA112" s="193" t="str">
        <f t="shared" si="7"/>
        <v/>
      </c>
    </row>
    <row r="113" spans="1:27" ht="13.5" customHeight="1" x14ac:dyDescent="0.3">
      <c r="A113" s="193" t="str">
        <f>IF('Observaciones-SMP'!A113="","",'Observaciones-SMP'!A113)</f>
        <v/>
      </c>
      <c r="B113" s="257" t="str">
        <f>IF('Observaciones-SMP'!B113="","",'Observaciones-SMP'!B113)</f>
        <v/>
      </c>
      <c r="C113" s="193" t="str">
        <f>IF('Observaciones-SMP'!C113="","",'Observaciones-SMP'!C113)</f>
        <v/>
      </c>
      <c r="D113" s="193" t="str">
        <f>IF('Observaciones-SMP'!D113="","",'Observaciones-SMP'!D113)</f>
        <v/>
      </c>
      <c r="E113" s="193" t="str">
        <f>IF('Observaciones-SMP'!E113="","",'Observaciones-SMP'!E113)</f>
        <v/>
      </c>
      <c r="F113" s="193" t="str">
        <f>IF('Observaciones-SMP'!F113="","",'Observaciones-SMP'!F113)</f>
        <v/>
      </c>
      <c r="G113" s="193" t="str">
        <f>IF('Observaciones-SMP'!G113="","",'Observaciones-SMP'!G113)</f>
        <v/>
      </c>
      <c r="H113" s="193" t="str">
        <f>IF('Observaciones-SMP'!H113="","",'Observaciones-SMP'!H113)</f>
        <v/>
      </c>
      <c r="I113" s="193" t="str">
        <f>IF('Observaciones-SMP'!I113="","",'Observaciones-SMP'!I113)</f>
        <v/>
      </c>
      <c r="J113" s="193" t="str">
        <f>IF('Observaciones-SMP'!J113="","",'Observaciones-SMP'!J113)</f>
        <v/>
      </c>
      <c r="K113" s="193" t="str">
        <f>IF('Observaciones-SMP'!K113="","",'Observaciones-SMP'!K113)</f>
        <v/>
      </c>
      <c r="L113" s="193" t="str">
        <f>IF('Observaciones-SMP'!L113="","",'Observaciones-SMP'!L113)</f>
        <v/>
      </c>
      <c r="M113" s="193" t="str">
        <f>IF('Observaciones-SMP'!M113="","",'Observaciones-SMP'!M113)</f>
        <v/>
      </c>
      <c r="N113" s="193" t="str">
        <f>IF('Observaciones-SMP'!N113="","",'Observaciones-SMP'!N113)</f>
        <v/>
      </c>
      <c r="O113" s="193" t="str">
        <f>IF('Observaciones-SMP'!O113="","",'Observaciones-SMP'!O113)</f>
        <v/>
      </c>
      <c r="P113" s="193" t="str">
        <f>IF('Observaciones-SMP'!P113="","",'Observaciones-SMP'!P113)</f>
        <v/>
      </c>
      <c r="Q113" s="257" t="str">
        <f>IF('Observaciones-SMP'!S113="","",'Observaciones-SMP'!S113)</f>
        <v/>
      </c>
      <c r="R113" s="193" t="str">
        <f>IF('Observaciones-SMP'!T113="","",'Observaciones-SMP'!T113)</f>
        <v/>
      </c>
      <c r="S113" s="193" t="str">
        <f>""</f>
        <v/>
      </c>
      <c r="T113" s="193" t="str">
        <f>""</f>
        <v/>
      </c>
      <c r="U113" s="193" t="str">
        <f t="shared" si="4"/>
        <v/>
      </c>
      <c r="V113" s="193" t="str">
        <f>""</f>
        <v/>
      </c>
      <c r="W113" s="193" t="str">
        <f>""</f>
        <v/>
      </c>
      <c r="X113" s="258" t="str">
        <f t="shared" si="5"/>
        <v/>
      </c>
      <c r="Y113" s="258" t="str">
        <f t="shared" si="6"/>
        <v/>
      </c>
      <c r="Z113" s="193" t="str">
        <f>IF(A113="","",IF(COUNTIF('Observaciones-SMP'!$A$2:$A$1001,A113)&gt;1,1,0))</f>
        <v/>
      </c>
      <c r="AA113" s="193" t="str">
        <f t="shared" si="7"/>
        <v/>
      </c>
    </row>
    <row r="114" spans="1:27" ht="13.5" customHeight="1" x14ac:dyDescent="0.3">
      <c r="A114" s="193" t="str">
        <f>IF('Observaciones-SMP'!A114="","",'Observaciones-SMP'!A114)</f>
        <v/>
      </c>
      <c r="B114" s="257" t="str">
        <f>IF('Observaciones-SMP'!B114="","",'Observaciones-SMP'!B114)</f>
        <v/>
      </c>
      <c r="C114" s="193" t="str">
        <f>IF('Observaciones-SMP'!C114="","",'Observaciones-SMP'!C114)</f>
        <v/>
      </c>
      <c r="D114" s="193" t="str">
        <f>IF('Observaciones-SMP'!D114="","",'Observaciones-SMP'!D114)</f>
        <v/>
      </c>
      <c r="E114" s="193" t="str">
        <f>IF('Observaciones-SMP'!E114="","",'Observaciones-SMP'!E114)</f>
        <v/>
      </c>
      <c r="F114" s="193" t="str">
        <f>IF('Observaciones-SMP'!F114="","",'Observaciones-SMP'!F114)</f>
        <v/>
      </c>
      <c r="G114" s="193" t="str">
        <f>IF('Observaciones-SMP'!G114="","",'Observaciones-SMP'!G114)</f>
        <v/>
      </c>
      <c r="H114" s="193" t="str">
        <f>IF('Observaciones-SMP'!H114="","",'Observaciones-SMP'!H114)</f>
        <v/>
      </c>
      <c r="I114" s="193" t="str">
        <f>IF('Observaciones-SMP'!I114="","",'Observaciones-SMP'!I114)</f>
        <v/>
      </c>
      <c r="J114" s="193" t="str">
        <f>IF('Observaciones-SMP'!J114="","",'Observaciones-SMP'!J114)</f>
        <v/>
      </c>
      <c r="K114" s="193" t="str">
        <f>IF('Observaciones-SMP'!K114="","",'Observaciones-SMP'!K114)</f>
        <v/>
      </c>
      <c r="L114" s="193" t="str">
        <f>IF('Observaciones-SMP'!L114="","",'Observaciones-SMP'!L114)</f>
        <v/>
      </c>
      <c r="M114" s="193" t="str">
        <f>IF('Observaciones-SMP'!M114="","",'Observaciones-SMP'!M114)</f>
        <v/>
      </c>
      <c r="N114" s="193" t="str">
        <f>IF('Observaciones-SMP'!N114="","",'Observaciones-SMP'!N114)</f>
        <v/>
      </c>
      <c r="O114" s="193" t="str">
        <f>IF('Observaciones-SMP'!O114="","",'Observaciones-SMP'!O114)</f>
        <v/>
      </c>
      <c r="P114" s="193" t="str">
        <f>IF('Observaciones-SMP'!P114="","",'Observaciones-SMP'!P114)</f>
        <v/>
      </c>
      <c r="Q114" s="257" t="str">
        <f>IF('Observaciones-SMP'!S114="","",'Observaciones-SMP'!S114)</f>
        <v/>
      </c>
      <c r="R114" s="193" t="str">
        <f>IF('Observaciones-SMP'!T114="","",'Observaciones-SMP'!T114)</f>
        <v/>
      </c>
      <c r="S114" s="193" t="str">
        <f>""</f>
        <v/>
      </c>
      <c r="T114" s="193" t="str">
        <f>""</f>
        <v/>
      </c>
      <c r="U114" s="193" t="str">
        <f t="shared" si="4"/>
        <v/>
      </c>
      <c r="V114" s="193" t="str">
        <f>""</f>
        <v/>
      </c>
      <c r="W114" s="193" t="str">
        <f>""</f>
        <v/>
      </c>
      <c r="X114" s="258" t="str">
        <f t="shared" si="5"/>
        <v/>
      </c>
      <c r="Y114" s="258" t="str">
        <f t="shared" si="6"/>
        <v/>
      </c>
      <c r="Z114" s="193" t="str">
        <f>IF(A114="","",IF(COUNTIF('Observaciones-SMP'!$A$2:$A$1001,A114)&gt;1,1,0))</f>
        <v/>
      </c>
      <c r="AA114" s="193" t="str">
        <f t="shared" si="7"/>
        <v/>
      </c>
    </row>
    <row r="115" spans="1:27" ht="13.5" customHeight="1" x14ac:dyDescent="0.3">
      <c r="A115" s="193" t="str">
        <f>IF('Observaciones-SMP'!A115="","",'Observaciones-SMP'!A115)</f>
        <v/>
      </c>
      <c r="B115" s="257" t="str">
        <f>IF('Observaciones-SMP'!B115="","",'Observaciones-SMP'!B115)</f>
        <v/>
      </c>
      <c r="C115" s="193" t="str">
        <f>IF('Observaciones-SMP'!C115="","",'Observaciones-SMP'!C115)</f>
        <v/>
      </c>
      <c r="D115" s="193" t="str">
        <f>IF('Observaciones-SMP'!D115="","",'Observaciones-SMP'!D115)</f>
        <v/>
      </c>
      <c r="E115" s="193" t="str">
        <f>IF('Observaciones-SMP'!E115="","",'Observaciones-SMP'!E115)</f>
        <v/>
      </c>
      <c r="F115" s="193" t="str">
        <f>IF('Observaciones-SMP'!F115="","",'Observaciones-SMP'!F115)</f>
        <v/>
      </c>
      <c r="G115" s="193" t="str">
        <f>IF('Observaciones-SMP'!G115="","",'Observaciones-SMP'!G115)</f>
        <v/>
      </c>
      <c r="H115" s="193" t="str">
        <f>IF('Observaciones-SMP'!H115="","",'Observaciones-SMP'!H115)</f>
        <v/>
      </c>
      <c r="I115" s="193" t="str">
        <f>IF('Observaciones-SMP'!I115="","",'Observaciones-SMP'!I115)</f>
        <v/>
      </c>
      <c r="J115" s="193" t="str">
        <f>IF('Observaciones-SMP'!J115="","",'Observaciones-SMP'!J115)</f>
        <v/>
      </c>
      <c r="K115" s="193" t="str">
        <f>IF('Observaciones-SMP'!K115="","",'Observaciones-SMP'!K115)</f>
        <v/>
      </c>
      <c r="L115" s="193" t="str">
        <f>IF('Observaciones-SMP'!L115="","",'Observaciones-SMP'!L115)</f>
        <v/>
      </c>
      <c r="M115" s="193" t="str">
        <f>IF('Observaciones-SMP'!M115="","",'Observaciones-SMP'!M115)</f>
        <v/>
      </c>
      <c r="N115" s="193" t="str">
        <f>IF('Observaciones-SMP'!N115="","",'Observaciones-SMP'!N115)</f>
        <v/>
      </c>
      <c r="O115" s="193" t="str">
        <f>IF('Observaciones-SMP'!O115="","",'Observaciones-SMP'!O115)</f>
        <v/>
      </c>
      <c r="P115" s="193" t="str">
        <f>IF('Observaciones-SMP'!P115="","",'Observaciones-SMP'!P115)</f>
        <v/>
      </c>
      <c r="Q115" s="257" t="str">
        <f>IF('Observaciones-SMP'!S115="","",'Observaciones-SMP'!S115)</f>
        <v/>
      </c>
      <c r="R115" s="193" t="str">
        <f>IF('Observaciones-SMP'!T115="","",'Observaciones-SMP'!T115)</f>
        <v/>
      </c>
      <c r="S115" s="193" t="str">
        <f>""</f>
        <v/>
      </c>
      <c r="T115" s="193" t="str">
        <f>""</f>
        <v/>
      </c>
      <c r="U115" s="193" t="str">
        <f t="shared" si="4"/>
        <v/>
      </c>
      <c r="V115" s="193" t="str">
        <f>""</f>
        <v/>
      </c>
      <c r="W115" s="193" t="str">
        <f>""</f>
        <v/>
      </c>
      <c r="X115" s="258" t="str">
        <f t="shared" si="5"/>
        <v/>
      </c>
      <c r="Y115" s="258" t="str">
        <f t="shared" si="6"/>
        <v/>
      </c>
      <c r="Z115" s="193" t="str">
        <f>IF(A115="","",IF(COUNTIF('Observaciones-SMP'!$A$2:$A$1001,A115)&gt;1,1,0))</f>
        <v/>
      </c>
      <c r="AA115" s="193" t="str">
        <f t="shared" si="7"/>
        <v/>
      </c>
    </row>
    <row r="116" spans="1:27" ht="13.5" customHeight="1" x14ac:dyDescent="0.3">
      <c r="A116" s="193" t="str">
        <f>IF('Observaciones-SMP'!A116="","",'Observaciones-SMP'!A116)</f>
        <v/>
      </c>
      <c r="B116" s="257" t="str">
        <f>IF('Observaciones-SMP'!B116="","",'Observaciones-SMP'!B116)</f>
        <v/>
      </c>
      <c r="C116" s="193" t="str">
        <f>IF('Observaciones-SMP'!C116="","",'Observaciones-SMP'!C116)</f>
        <v/>
      </c>
      <c r="D116" s="193" t="str">
        <f>IF('Observaciones-SMP'!D116="","",'Observaciones-SMP'!D116)</f>
        <v/>
      </c>
      <c r="E116" s="193" t="str">
        <f>IF('Observaciones-SMP'!E116="","",'Observaciones-SMP'!E116)</f>
        <v/>
      </c>
      <c r="F116" s="193" t="str">
        <f>IF('Observaciones-SMP'!F116="","",'Observaciones-SMP'!F116)</f>
        <v/>
      </c>
      <c r="G116" s="193" t="str">
        <f>IF('Observaciones-SMP'!G116="","",'Observaciones-SMP'!G116)</f>
        <v/>
      </c>
      <c r="H116" s="193" t="str">
        <f>IF('Observaciones-SMP'!H116="","",'Observaciones-SMP'!H116)</f>
        <v/>
      </c>
      <c r="I116" s="193" t="str">
        <f>IF('Observaciones-SMP'!I116="","",'Observaciones-SMP'!I116)</f>
        <v/>
      </c>
      <c r="J116" s="193" t="str">
        <f>IF('Observaciones-SMP'!J116="","",'Observaciones-SMP'!J116)</f>
        <v/>
      </c>
      <c r="K116" s="193" t="str">
        <f>IF('Observaciones-SMP'!K116="","",'Observaciones-SMP'!K116)</f>
        <v/>
      </c>
      <c r="L116" s="193" t="str">
        <f>IF('Observaciones-SMP'!L116="","",'Observaciones-SMP'!L116)</f>
        <v/>
      </c>
      <c r="M116" s="193" t="str">
        <f>IF('Observaciones-SMP'!M116="","",'Observaciones-SMP'!M116)</f>
        <v/>
      </c>
      <c r="N116" s="193" t="str">
        <f>IF('Observaciones-SMP'!N116="","",'Observaciones-SMP'!N116)</f>
        <v/>
      </c>
      <c r="O116" s="193" t="str">
        <f>IF('Observaciones-SMP'!O116="","",'Observaciones-SMP'!O116)</f>
        <v/>
      </c>
      <c r="P116" s="193" t="str">
        <f>IF('Observaciones-SMP'!P116="","",'Observaciones-SMP'!P116)</f>
        <v/>
      </c>
      <c r="Q116" s="257" t="str">
        <f>IF('Observaciones-SMP'!S116="","",'Observaciones-SMP'!S116)</f>
        <v/>
      </c>
      <c r="R116" s="193" t="str">
        <f>IF('Observaciones-SMP'!T116="","",'Observaciones-SMP'!T116)</f>
        <v/>
      </c>
      <c r="S116" s="193" t="str">
        <f>""</f>
        <v/>
      </c>
      <c r="T116" s="193" t="str">
        <f>""</f>
        <v/>
      </c>
      <c r="U116" s="193" t="str">
        <f t="shared" si="4"/>
        <v/>
      </c>
      <c r="V116" s="193" t="str">
        <f>""</f>
        <v/>
      </c>
      <c r="W116" s="193" t="str">
        <f>""</f>
        <v/>
      </c>
      <c r="X116" s="258" t="str">
        <f t="shared" si="5"/>
        <v/>
      </c>
      <c r="Y116" s="258" t="str">
        <f t="shared" si="6"/>
        <v/>
      </c>
      <c r="Z116" s="193" t="str">
        <f>IF(A116="","",IF(COUNTIF('Observaciones-SMP'!$A$2:$A$1001,A116)&gt;1,1,0))</f>
        <v/>
      </c>
      <c r="AA116" s="193" t="str">
        <f t="shared" si="7"/>
        <v/>
      </c>
    </row>
    <row r="117" spans="1:27" ht="13.5" customHeight="1" x14ac:dyDescent="0.3">
      <c r="A117" s="193" t="str">
        <f>IF('Observaciones-SMP'!A117="","",'Observaciones-SMP'!A117)</f>
        <v/>
      </c>
      <c r="B117" s="257" t="str">
        <f>IF('Observaciones-SMP'!B117="","",'Observaciones-SMP'!B117)</f>
        <v/>
      </c>
      <c r="C117" s="193" t="str">
        <f>IF('Observaciones-SMP'!C117="","",'Observaciones-SMP'!C117)</f>
        <v/>
      </c>
      <c r="D117" s="193" t="str">
        <f>IF('Observaciones-SMP'!D117="","",'Observaciones-SMP'!D117)</f>
        <v/>
      </c>
      <c r="E117" s="193" t="str">
        <f>IF('Observaciones-SMP'!E117="","",'Observaciones-SMP'!E117)</f>
        <v/>
      </c>
      <c r="F117" s="193" t="str">
        <f>IF('Observaciones-SMP'!F117="","",'Observaciones-SMP'!F117)</f>
        <v/>
      </c>
      <c r="G117" s="193" t="str">
        <f>IF('Observaciones-SMP'!G117="","",'Observaciones-SMP'!G117)</f>
        <v/>
      </c>
      <c r="H117" s="193" t="str">
        <f>IF('Observaciones-SMP'!H117="","",'Observaciones-SMP'!H117)</f>
        <v/>
      </c>
      <c r="I117" s="193" t="str">
        <f>IF('Observaciones-SMP'!I117="","",'Observaciones-SMP'!I117)</f>
        <v/>
      </c>
      <c r="J117" s="193" t="str">
        <f>IF('Observaciones-SMP'!J117="","",'Observaciones-SMP'!J117)</f>
        <v/>
      </c>
      <c r="K117" s="193" t="str">
        <f>IF('Observaciones-SMP'!K117="","",'Observaciones-SMP'!K117)</f>
        <v/>
      </c>
      <c r="L117" s="193" t="str">
        <f>IF('Observaciones-SMP'!L117="","",'Observaciones-SMP'!L117)</f>
        <v/>
      </c>
      <c r="M117" s="193" t="str">
        <f>IF('Observaciones-SMP'!M117="","",'Observaciones-SMP'!M117)</f>
        <v/>
      </c>
      <c r="N117" s="193" t="str">
        <f>IF('Observaciones-SMP'!N117="","",'Observaciones-SMP'!N117)</f>
        <v/>
      </c>
      <c r="O117" s="193" t="str">
        <f>IF('Observaciones-SMP'!O117="","",'Observaciones-SMP'!O117)</f>
        <v/>
      </c>
      <c r="P117" s="193" t="str">
        <f>IF('Observaciones-SMP'!P117="","",'Observaciones-SMP'!P117)</f>
        <v/>
      </c>
      <c r="Q117" s="257" t="str">
        <f>IF('Observaciones-SMP'!S117="","",'Observaciones-SMP'!S117)</f>
        <v/>
      </c>
      <c r="R117" s="193" t="str">
        <f>IF('Observaciones-SMP'!T117="","",'Observaciones-SMP'!T117)</f>
        <v/>
      </c>
      <c r="S117" s="193" t="str">
        <f>""</f>
        <v/>
      </c>
      <c r="T117" s="193" t="str">
        <f>""</f>
        <v/>
      </c>
      <c r="U117" s="193" t="str">
        <f t="shared" si="4"/>
        <v/>
      </c>
      <c r="V117" s="193" t="str">
        <f>""</f>
        <v/>
      </c>
      <c r="W117" s="193" t="str">
        <f>""</f>
        <v/>
      </c>
      <c r="X117" s="258" t="str">
        <f t="shared" si="5"/>
        <v/>
      </c>
      <c r="Y117" s="258" t="str">
        <f t="shared" si="6"/>
        <v/>
      </c>
      <c r="Z117" s="193" t="str">
        <f>IF(A117="","",IF(COUNTIF('Observaciones-SMP'!$A$2:$A$1001,A117)&gt;1,1,0))</f>
        <v/>
      </c>
      <c r="AA117" s="193" t="str">
        <f t="shared" si="7"/>
        <v/>
      </c>
    </row>
    <row r="118" spans="1:27" ht="13.5" customHeight="1" x14ac:dyDescent="0.3">
      <c r="A118" s="193" t="str">
        <f>IF('Observaciones-SMP'!A118="","",'Observaciones-SMP'!A118)</f>
        <v/>
      </c>
      <c r="B118" s="257" t="str">
        <f>IF('Observaciones-SMP'!B118="","",'Observaciones-SMP'!B118)</f>
        <v/>
      </c>
      <c r="C118" s="193" t="str">
        <f>IF('Observaciones-SMP'!C118="","",'Observaciones-SMP'!C118)</f>
        <v/>
      </c>
      <c r="D118" s="193" t="str">
        <f>IF('Observaciones-SMP'!D118="","",'Observaciones-SMP'!D118)</f>
        <v/>
      </c>
      <c r="E118" s="193" t="str">
        <f>IF('Observaciones-SMP'!E118="","",'Observaciones-SMP'!E118)</f>
        <v/>
      </c>
      <c r="F118" s="193" t="str">
        <f>IF('Observaciones-SMP'!F118="","",'Observaciones-SMP'!F118)</f>
        <v/>
      </c>
      <c r="G118" s="193" t="str">
        <f>IF('Observaciones-SMP'!G118="","",'Observaciones-SMP'!G118)</f>
        <v/>
      </c>
      <c r="H118" s="193" t="str">
        <f>IF('Observaciones-SMP'!H118="","",'Observaciones-SMP'!H118)</f>
        <v/>
      </c>
      <c r="I118" s="193" t="str">
        <f>IF('Observaciones-SMP'!I118="","",'Observaciones-SMP'!I118)</f>
        <v/>
      </c>
      <c r="J118" s="193" t="str">
        <f>IF('Observaciones-SMP'!J118="","",'Observaciones-SMP'!J118)</f>
        <v/>
      </c>
      <c r="K118" s="193" t="str">
        <f>IF('Observaciones-SMP'!K118="","",'Observaciones-SMP'!K118)</f>
        <v/>
      </c>
      <c r="L118" s="193" t="str">
        <f>IF('Observaciones-SMP'!L118="","",'Observaciones-SMP'!L118)</f>
        <v/>
      </c>
      <c r="M118" s="193" t="str">
        <f>IF('Observaciones-SMP'!M118="","",'Observaciones-SMP'!M118)</f>
        <v/>
      </c>
      <c r="N118" s="193" t="str">
        <f>IF('Observaciones-SMP'!N118="","",'Observaciones-SMP'!N118)</f>
        <v/>
      </c>
      <c r="O118" s="193" t="str">
        <f>IF('Observaciones-SMP'!O118="","",'Observaciones-SMP'!O118)</f>
        <v/>
      </c>
      <c r="P118" s="193" t="str">
        <f>IF('Observaciones-SMP'!P118="","",'Observaciones-SMP'!P118)</f>
        <v/>
      </c>
      <c r="Q118" s="257" t="str">
        <f>IF('Observaciones-SMP'!S118="","",'Observaciones-SMP'!S118)</f>
        <v/>
      </c>
      <c r="R118" s="193" t="str">
        <f>IF('Observaciones-SMP'!T118="","",'Observaciones-SMP'!T118)</f>
        <v/>
      </c>
      <c r="S118" s="193" t="str">
        <f>""</f>
        <v/>
      </c>
      <c r="T118" s="193" t="str">
        <f>""</f>
        <v/>
      </c>
      <c r="U118" s="193" t="str">
        <f t="shared" si="4"/>
        <v/>
      </c>
      <c r="V118" s="193" t="str">
        <f>""</f>
        <v/>
      </c>
      <c r="W118" s="193" t="str">
        <f>""</f>
        <v/>
      </c>
      <c r="X118" s="258" t="str">
        <f t="shared" si="5"/>
        <v/>
      </c>
      <c r="Y118" s="258" t="str">
        <f t="shared" si="6"/>
        <v/>
      </c>
      <c r="Z118" s="193" t="str">
        <f>IF(A118="","",IF(COUNTIF('Observaciones-SMP'!$A$2:$A$1001,A118)&gt;1,1,0))</f>
        <v/>
      </c>
      <c r="AA118" s="193" t="str">
        <f t="shared" si="7"/>
        <v/>
      </c>
    </row>
    <row r="119" spans="1:27" ht="13.5" customHeight="1" x14ac:dyDescent="0.3">
      <c r="A119" s="193" t="str">
        <f>IF('Observaciones-SMP'!A119="","",'Observaciones-SMP'!A119)</f>
        <v/>
      </c>
      <c r="B119" s="257" t="str">
        <f>IF('Observaciones-SMP'!B119="","",'Observaciones-SMP'!B119)</f>
        <v/>
      </c>
      <c r="C119" s="193" t="str">
        <f>IF('Observaciones-SMP'!C119="","",'Observaciones-SMP'!C119)</f>
        <v/>
      </c>
      <c r="D119" s="193" t="str">
        <f>IF('Observaciones-SMP'!D119="","",'Observaciones-SMP'!D119)</f>
        <v/>
      </c>
      <c r="E119" s="193" t="str">
        <f>IF('Observaciones-SMP'!E119="","",'Observaciones-SMP'!E119)</f>
        <v/>
      </c>
      <c r="F119" s="193" t="str">
        <f>IF('Observaciones-SMP'!F119="","",'Observaciones-SMP'!F119)</f>
        <v/>
      </c>
      <c r="G119" s="193" t="str">
        <f>IF('Observaciones-SMP'!G119="","",'Observaciones-SMP'!G119)</f>
        <v/>
      </c>
      <c r="H119" s="193" t="str">
        <f>IF('Observaciones-SMP'!H119="","",'Observaciones-SMP'!H119)</f>
        <v/>
      </c>
      <c r="I119" s="193" t="str">
        <f>IF('Observaciones-SMP'!I119="","",'Observaciones-SMP'!I119)</f>
        <v/>
      </c>
      <c r="J119" s="193" t="str">
        <f>IF('Observaciones-SMP'!J119="","",'Observaciones-SMP'!J119)</f>
        <v/>
      </c>
      <c r="K119" s="193" t="str">
        <f>IF('Observaciones-SMP'!K119="","",'Observaciones-SMP'!K119)</f>
        <v/>
      </c>
      <c r="L119" s="193" t="str">
        <f>IF('Observaciones-SMP'!L119="","",'Observaciones-SMP'!L119)</f>
        <v/>
      </c>
      <c r="M119" s="193" t="str">
        <f>IF('Observaciones-SMP'!M119="","",'Observaciones-SMP'!M119)</f>
        <v/>
      </c>
      <c r="N119" s="193" t="str">
        <f>IF('Observaciones-SMP'!N119="","",'Observaciones-SMP'!N119)</f>
        <v/>
      </c>
      <c r="O119" s="193" t="str">
        <f>IF('Observaciones-SMP'!O119="","",'Observaciones-SMP'!O119)</f>
        <v/>
      </c>
      <c r="P119" s="193" t="str">
        <f>IF('Observaciones-SMP'!P119="","",'Observaciones-SMP'!P119)</f>
        <v/>
      </c>
      <c r="Q119" s="257" t="str">
        <f>IF('Observaciones-SMP'!S119="","",'Observaciones-SMP'!S119)</f>
        <v/>
      </c>
      <c r="R119" s="193" t="str">
        <f>IF('Observaciones-SMP'!T119="","",'Observaciones-SMP'!T119)</f>
        <v/>
      </c>
      <c r="S119" s="193" t="str">
        <f>""</f>
        <v/>
      </c>
      <c r="T119" s="193" t="str">
        <f>""</f>
        <v/>
      </c>
      <c r="U119" s="193" t="str">
        <f t="shared" si="4"/>
        <v/>
      </c>
      <c r="V119" s="193" t="str">
        <f>""</f>
        <v/>
      </c>
      <c r="W119" s="193" t="str">
        <f>""</f>
        <v/>
      </c>
      <c r="X119" s="258" t="str">
        <f t="shared" si="5"/>
        <v/>
      </c>
      <c r="Y119" s="258" t="str">
        <f t="shared" si="6"/>
        <v/>
      </c>
      <c r="Z119" s="193" t="str">
        <f>IF(A119="","",IF(COUNTIF('Observaciones-SMP'!$A$2:$A$1001,A119)&gt;1,1,0))</f>
        <v/>
      </c>
      <c r="AA119" s="193" t="str">
        <f t="shared" si="7"/>
        <v/>
      </c>
    </row>
    <row r="120" spans="1:27" ht="13.5" customHeight="1" x14ac:dyDescent="0.3">
      <c r="A120" s="193" t="str">
        <f>IF('Observaciones-SMP'!A120="","",'Observaciones-SMP'!A120)</f>
        <v/>
      </c>
      <c r="B120" s="257" t="str">
        <f>IF('Observaciones-SMP'!B120="","",'Observaciones-SMP'!B120)</f>
        <v/>
      </c>
      <c r="C120" s="193" t="str">
        <f>IF('Observaciones-SMP'!C120="","",'Observaciones-SMP'!C120)</f>
        <v/>
      </c>
      <c r="D120" s="193" t="str">
        <f>IF('Observaciones-SMP'!D120="","",'Observaciones-SMP'!D120)</f>
        <v/>
      </c>
      <c r="E120" s="193" t="str">
        <f>IF('Observaciones-SMP'!E120="","",'Observaciones-SMP'!E120)</f>
        <v/>
      </c>
      <c r="F120" s="193" t="str">
        <f>IF('Observaciones-SMP'!F120="","",'Observaciones-SMP'!F120)</f>
        <v/>
      </c>
      <c r="G120" s="193" t="str">
        <f>IF('Observaciones-SMP'!G120="","",'Observaciones-SMP'!G120)</f>
        <v/>
      </c>
      <c r="H120" s="193" t="str">
        <f>IF('Observaciones-SMP'!H120="","",'Observaciones-SMP'!H120)</f>
        <v/>
      </c>
      <c r="I120" s="193" t="str">
        <f>IF('Observaciones-SMP'!I120="","",'Observaciones-SMP'!I120)</f>
        <v/>
      </c>
      <c r="J120" s="193" t="str">
        <f>IF('Observaciones-SMP'!J120="","",'Observaciones-SMP'!J120)</f>
        <v/>
      </c>
      <c r="K120" s="193" t="str">
        <f>IF('Observaciones-SMP'!K120="","",'Observaciones-SMP'!K120)</f>
        <v/>
      </c>
      <c r="L120" s="193" t="str">
        <f>IF('Observaciones-SMP'!L120="","",'Observaciones-SMP'!L120)</f>
        <v/>
      </c>
      <c r="M120" s="193" t="str">
        <f>IF('Observaciones-SMP'!M120="","",'Observaciones-SMP'!M120)</f>
        <v/>
      </c>
      <c r="N120" s="193" t="str">
        <f>IF('Observaciones-SMP'!N120="","",'Observaciones-SMP'!N120)</f>
        <v/>
      </c>
      <c r="O120" s="193" t="str">
        <f>IF('Observaciones-SMP'!O120="","",'Observaciones-SMP'!O120)</f>
        <v/>
      </c>
      <c r="P120" s="193" t="str">
        <f>IF('Observaciones-SMP'!P120="","",'Observaciones-SMP'!P120)</f>
        <v/>
      </c>
      <c r="Q120" s="257" t="str">
        <f>IF('Observaciones-SMP'!S120="","",'Observaciones-SMP'!S120)</f>
        <v/>
      </c>
      <c r="R120" s="193" t="str">
        <f>IF('Observaciones-SMP'!T120="","",'Observaciones-SMP'!T120)</f>
        <v/>
      </c>
      <c r="S120" s="193" t="str">
        <f>""</f>
        <v/>
      </c>
      <c r="T120" s="193" t="str">
        <f>""</f>
        <v/>
      </c>
      <c r="U120" s="193" t="str">
        <f t="shared" si="4"/>
        <v/>
      </c>
      <c r="V120" s="193" t="str">
        <f>""</f>
        <v/>
      </c>
      <c r="W120" s="193" t="str">
        <f>""</f>
        <v/>
      </c>
      <c r="X120" s="258" t="str">
        <f t="shared" si="5"/>
        <v/>
      </c>
      <c r="Y120" s="258" t="str">
        <f t="shared" si="6"/>
        <v/>
      </c>
      <c r="Z120" s="193" t="str">
        <f>IF(A120="","",IF(COUNTIF('Observaciones-SMP'!$A$2:$A$1001,A120)&gt;1,1,0))</f>
        <v/>
      </c>
      <c r="AA120" s="193" t="str">
        <f t="shared" si="7"/>
        <v/>
      </c>
    </row>
    <row r="121" spans="1:27" ht="13.5" customHeight="1" x14ac:dyDescent="0.3">
      <c r="A121" s="193" t="str">
        <f>IF('Observaciones-SMP'!A121="","",'Observaciones-SMP'!A121)</f>
        <v/>
      </c>
      <c r="B121" s="257" t="str">
        <f>IF('Observaciones-SMP'!B121="","",'Observaciones-SMP'!B121)</f>
        <v/>
      </c>
      <c r="C121" s="193" t="str">
        <f>IF('Observaciones-SMP'!C121="","",'Observaciones-SMP'!C121)</f>
        <v/>
      </c>
      <c r="D121" s="193" t="str">
        <f>IF('Observaciones-SMP'!D121="","",'Observaciones-SMP'!D121)</f>
        <v/>
      </c>
      <c r="E121" s="193" t="str">
        <f>IF('Observaciones-SMP'!E121="","",'Observaciones-SMP'!E121)</f>
        <v/>
      </c>
      <c r="F121" s="193" t="str">
        <f>IF('Observaciones-SMP'!F121="","",'Observaciones-SMP'!F121)</f>
        <v/>
      </c>
      <c r="G121" s="193" t="str">
        <f>IF('Observaciones-SMP'!G121="","",'Observaciones-SMP'!G121)</f>
        <v/>
      </c>
      <c r="H121" s="193" t="str">
        <f>IF('Observaciones-SMP'!H121="","",'Observaciones-SMP'!H121)</f>
        <v/>
      </c>
      <c r="I121" s="193" t="str">
        <f>IF('Observaciones-SMP'!I121="","",'Observaciones-SMP'!I121)</f>
        <v/>
      </c>
      <c r="J121" s="193" t="str">
        <f>IF('Observaciones-SMP'!J121="","",'Observaciones-SMP'!J121)</f>
        <v/>
      </c>
      <c r="K121" s="193" t="str">
        <f>IF('Observaciones-SMP'!K121="","",'Observaciones-SMP'!K121)</f>
        <v/>
      </c>
      <c r="L121" s="193" t="str">
        <f>IF('Observaciones-SMP'!L121="","",'Observaciones-SMP'!L121)</f>
        <v/>
      </c>
      <c r="M121" s="193" t="str">
        <f>IF('Observaciones-SMP'!M121="","",'Observaciones-SMP'!M121)</f>
        <v/>
      </c>
      <c r="N121" s="193" t="str">
        <f>IF('Observaciones-SMP'!N121="","",'Observaciones-SMP'!N121)</f>
        <v/>
      </c>
      <c r="O121" s="193" t="str">
        <f>IF('Observaciones-SMP'!O121="","",'Observaciones-SMP'!O121)</f>
        <v/>
      </c>
      <c r="P121" s="193" t="str">
        <f>IF('Observaciones-SMP'!P121="","",'Observaciones-SMP'!P121)</f>
        <v/>
      </c>
      <c r="Q121" s="257" t="str">
        <f>IF('Observaciones-SMP'!S121="","",'Observaciones-SMP'!S121)</f>
        <v/>
      </c>
      <c r="R121" s="193" t="str">
        <f>IF('Observaciones-SMP'!T121="","",'Observaciones-SMP'!T121)</f>
        <v/>
      </c>
      <c r="S121" s="193" t="str">
        <f>""</f>
        <v/>
      </c>
      <c r="T121" s="193" t="str">
        <f>""</f>
        <v/>
      </c>
      <c r="U121" s="193" t="str">
        <f t="shared" si="4"/>
        <v/>
      </c>
      <c r="V121" s="193" t="str">
        <f>""</f>
        <v/>
      </c>
      <c r="W121" s="193" t="str">
        <f>""</f>
        <v/>
      </c>
      <c r="X121" s="258" t="str">
        <f t="shared" si="5"/>
        <v/>
      </c>
      <c r="Y121" s="258" t="str">
        <f t="shared" si="6"/>
        <v/>
      </c>
      <c r="Z121" s="193" t="str">
        <f>IF(A121="","",IF(COUNTIF('Observaciones-SMP'!$A$2:$A$1001,A121)&gt;1,1,0))</f>
        <v/>
      </c>
      <c r="AA121" s="193" t="str">
        <f t="shared" si="7"/>
        <v/>
      </c>
    </row>
    <row r="122" spans="1:27" ht="13.5" customHeight="1" x14ac:dyDescent="0.3">
      <c r="A122" s="193" t="str">
        <f>IF('Observaciones-SMP'!A122="","",'Observaciones-SMP'!A122)</f>
        <v/>
      </c>
      <c r="B122" s="257" t="str">
        <f>IF('Observaciones-SMP'!B122="","",'Observaciones-SMP'!B122)</f>
        <v/>
      </c>
      <c r="C122" s="193" t="str">
        <f>IF('Observaciones-SMP'!C122="","",'Observaciones-SMP'!C122)</f>
        <v/>
      </c>
      <c r="D122" s="193" t="str">
        <f>IF('Observaciones-SMP'!D122="","",'Observaciones-SMP'!D122)</f>
        <v/>
      </c>
      <c r="E122" s="193" t="str">
        <f>IF('Observaciones-SMP'!E122="","",'Observaciones-SMP'!E122)</f>
        <v/>
      </c>
      <c r="F122" s="193" t="str">
        <f>IF('Observaciones-SMP'!F122="","",'Observaciones-SMP'!F122)</f>
        <v/>
      </c>
      <c r="G122" s="193" t="str">
        <f>IF('Observaciones-SMP'!G122="","",'Observaciones-SMP'!G122)</f>
        <v/>
      </c>
      <c r="H122" s="193" t="str">
        <f>IF('Observaciones-SMP'!H122="","",'Observaciones-SMP'!H122)</f>
        <v/>
      </c>
      <c r="I122" s="193" t="str">
        <f>IF('Observaciones-SMP'!I122="","",'Observaciones-SMP'!I122)</f>
        <v/>
      </c>
      <c r="J122" s="193" t="str">
        <f>IF('Observaciones-SMP'!J122="","",'Observaciones-SMP'!J122)</f>
        <v/>
      </c>
      <c r="K122" s="193" t="str">
        <f>IF('Observaciones-SMP'!K122="","",'Observaciones-SMP'!K122)</f>
        <v/>
      </c>
      <c r="L122" s="193" t="str">
        <f>IF('Observaciones-SMP'!L122="","",'Observaciones-SMP'!L122)</f>
        <v/>
      </c>
      <c r="M122" s="193" t="str">
        <f>IF('Observaciones-SMP'!M122="","",'Observaciones-SMP'!M122)</f>
        <v/>
      </c>
      <c r="N122" s="193" t="str">
        <f>IF('Observaciones-SMP'!N122="","",'Observaciones-SMP'!N122)</f>
        <v/>
      </c>
      <c r="O122" s="193" t="str">
        <f>IF('Observaciones-SMP'!O122="","",'Observaciones-SMP'!O122)</f>
        <v/>
      </c>
      <c r="P122" s="193" t="str">
        <f>IF('Observaciones-SMP'!P122="","",'Observaciones-SMP'!P122)</f>
        <v/>
      </c>
      <c r="Q122" s="257" t="str">
        <f>IF('Observaciones-SMP'!S122="","",'Observaciones-SMP'!S122)</f>
        <v/>
      </c>
      <c r="R122" s="193" t="str">
        <f>IF('Observaciones-SMP'!T122="","",'Observaciones-SMP'!T122)</f>
        <v/>
      </c>
      <c r="S122" s="193" t="str">
        <f>""</f>
        <v/>
      </c>
      <c r="T122" s="193" t="str">
        <f>""</f>
        <v/>
      </c>
      <c r="U122" s="193" t="str">
        <f t="shared" si="4"/>
        <v/>
      </c>
      <c r="V122" s="193" t="str">
        <f>""</f>
        <v/>
      </c>
      <c r="W122" s="193" t="str">
        <f>""</f>
        <v/>
      </c>
      <c r="X122" s="258" t="str">
        <f t="shared" si="5"/>
        <v/>
      </c>
      <c r="Y122" s="258" t="str">
        <f t="shared" si="6"/>
        <v/>
      </c>
      <c r="Z122" s="193" t="str">
        <f>IF(A122="","",IF(COUNTIF('Observaciones-SMP'!$A$2:$A$1001,A122)&gt;1,1,0))</f>
        <v/>
      </c>
      <c r="AA122" s="193" t="str">
        <f t="shared" si="7"/>
        <v/>
      </c>
    </row>
    <row r="123" spans="1:27" ht="13.5" customHeight="1" x14ac:dyDescent="0.3">
      <c r="A123" s="193" t="str">
        <f>IF('Observaciones-SMP'!A123="","",'Observaciones-SMP'!A123)</f>
        <v/>
      </c>
      <c r="B123" s="257" t="str">
        <f>IF('Observaciones-SMP'!B123="","",'Observaciones-SMP'!B123)</f>
        <v/>
      </c>
      <c r="C123" s="193" t="str">
        <f>IF('Observaciones-SMP'!C123="","",'Observaciones-SMP'!C123)</f>
        <v/>
      </c>
      <c r="D123" s="193" t="str">
        <f>IF('Observaciones-SMP'!D123="","",'Observaciones-SMP'!D123)</f>
        <v/>
      </c>
      <c r="E123" s="193" t="str">
        <f>IF('Observaciones-SMP'!E123="","",'Observaciones-SMP'!E123)</f>
        <v/>
      </c>
      <c r="F123" s="193" t="str">
        <f>IF('Observaciones-SMP'!F123="","",'Observaciones-SMP'!F123)</f>
        <v/>
      </c>
      <c r="G123" s="193" t="str">
        <f>IF('Observaciones-SMP'!G123="","",'Observaciones-SMP'!G123)</f>
        <v/>
      </c>
      <c r="H123" s="193" t="str">
        <f>IF('Observaciones-SMP'!H123="","",'Observaciones-SMP'!H123)</f>
        <v/>
      </c>
      <c r="I123" s="193" t="str">
        <f>IF('Observaciones-SMP'!I123="","",'Observaciones-SMP'!I123)</f>
        <v/>
      </c>
      <c r="J123" s="193" t="str">
        <f>IF('Observaciones-SMP'!J123="","",'Observaciones-SMP'!J123)</f>
        <v/>
      </c>
      <c r="K123" s="193" t="str">
        <f>IF('Observaciones-SMP'!K123="","",'Observaciones-SMP'!K123)</f>
        <v/>
      </c>
      <c r="L123" s="193" t="str">
        <f>IF('Observaciones-SMP'!L123="","",'Observaciones-SMP'!L123)</f>
        <v/>
      </c>
      <c r="M123" s="193" t="str">
        <f>IF('Observaciones-SMP'!M123="","",'Observaciones-SMP'!M123)</f>
        <v/>
      </c>
      <c r="N123" s="193" t="str">
        <f>IF('Observaciones-SMP'!N123="","",'Observaciones-SMP'!N123)</f>
        <v/>
      </c>
      <c r="O123" s="193" t="str">
        <f>IF('Observaciones-SMP'!O123="","",'Observaciones-SMP'!O123)</f>
        <v/>
      </c>
      <c r="P123" s="193" t="str">
        <f>IF('Observaciones-SMP'!P123="","",'Observaciones-SMP'!P123)</f>
        <v/>
      </c>
      <c r="Q123" s="257" t="str">
        <f>IF('Observaciones-SMP'!S123="","",'Observaciones-SMP'!S123)</f>
        <v/>
      </c>
      <c r="R123" s="193" t="str">
        <f>IF('Observaciones-SMP'!T123="","",'Observaciones-SMP'!T123)</f>
        <v/>
      </c>
      <c r="S123" s="193" t="str">
        <f>""</f>
        <v/>
      </c>
      <c r="T123" s="193" t="str">
        <f>""</f>
        <v/>
      </c>
      <c r="U123" s="193" t="str">
        <f t="shared" si="4"/>
        <v/>
      </c>
      <c r="V123" s="193" t="str">
        <f>""</f>
        <v/>
      </c>
      <c r="W123" s="193" t="str">
        <f>""</f>
        <v/>
      </c>
      <c r="X123" s="258" t="str">
        <f t="shared" si="5"/>
        <v/>
      </c>
      <c r="Y123" s="258" t="str">
        <f t="shared" si="6"/>
        <v/>
      </c>
      <c r="Z123" s="193" t="str">
        <f>IF(A123="","",IF(COUNTIF('Observaciones-SMP'!$A$2:$A$1001,A123)&gt;1,1,0))</f>
        <v/>
      </c>
      <c r="AA123" s="193" t="str">
        <f t="shared" si="7"/>
        <v/>
      </c>
    </row>
    <row r="124" spans="1:27" ht="13.5" customHeight="1" x14ac:dyDescent="0.3">
      <c r="A124" s="193" t="str">
        <f>IF('Observaciones-SMP'!A124="","",'Observaciones-SMP'!A124)</f>
        <v/>
      </c>
      <c r="B124" s="257" t="str">
        <f>IF('Observaciones-SMP'!B124="","",'Observaciones-SMP'!B124)</f>
        <v/>
      </c>
      <c r="C124" s="193" t="str">
        <f>IF('Observaciones-SMP'!C124="","",'Observaciones-SMP'!C124)</f>
        <v/>
      </c>
      <c r="D124" s="193" t="str">
        <f>IF('Observaciones-SMP'!D124="","",'Observaciones-SMP'!D124)</f>
        <v/>
      </c>
      <c r="E124" s="193" t="str">
        <f>IF('Observaciones-SMP'!E124="","",'Observaciones-SMP'!E124)</f>
        <v/>
      </c>
      <c r="F124" s="193" t="str">
        <f>IF('Observaciones-SMP'!F124="","",'Observaciones-SMP'!F124)</f>
        <v/>
      </c>
      <c r="G124" s="193" t="str">
        <f>IF('Observaciones-SMP'!G124="","",'Observaciones-SMP'!G124)</f>
        <v/>
      </c>
      <c r="H124" s="193" t="str">
        <f>IF('Observaciones-SMP'!H124="","",'Observaciones-SMP'!H124)</f>
        <v/>
      </c>
      <c r="I124" s="193" t="str">
        <f>IF('Observaciones-SMP'!I124="","",'Observaciones-SMP'!I124)</f>
        <v/>
      </c>
      <c r="J124" s="193" t="str">
        <f>IF('Observaciones-SMP'!J124="","",'Observaciones-SMP'!J124)</f>
        <v/>
      </c>
      <c r="K124" s="193" t="str">
        <f>IF('Observaciones-SMP'!K124="","",'Observaciones-SMP'!K124)</f>
        <v/>
      </c>
      <c r="L124" s="193" t="str">
        <f>IF('Observaciones-SMP'!L124="","",'Observaciones-SMP'!L124)</f>
        <v/>
      </c>
      <c r="M124" s="193" t="str">
        <f>IF('Observaciones-SMP'!M124="","",'Observaciones-SMP'!M124)</f>
        <v/>
      </c>
      <c r="N124" s="193" t="str">
        <f>IF('Observaciones-SMP'!N124="","",'Observaciones-SMP'!N124)</f>
        <v/>
      </c>
      <c r="O124" s="193" t="str">
        <f>IF('Observaciones-SMP'!O124="","",'Observaciones-SMP'!O124)</f>
        <v/>
      </c>
      <c r="P124" s="193" t="str">
        <f>IF('Observaciones-SMP'!P124="","",'Observaciones-SMP'!P124)</f>
        <v/>
      </c>
      <c r="Q124" s="257" t="str">
        <f>IF('Observaciones-SMP'!S124="","",'Observaciones-SMP'!S124)</f>
        <v/>
      </c>
      <c r="R124" s="193" t="str">
        <f>IF('Observaciones-SMP'!T124="","",'Observaciones-SMP'!T124)</f>
        <v/>
      </c>
      <c r="S124" s="193" t="str">
        <f>""</f>
        <v/>
      </c>
      <c r="T124" s="193" t="str">
        <f>""</f>
        <v/>
      </c>
      <c r="U124" s="193" t="str">
        <f t="shared" si="4"/>
        <v/>
      </c>
      <c r="V124" s="193" t="str">
        <f>""</f>
        <v/>
      </c>
      <c r="W124" s="193" t="str">
        <f>""</f>
        <v/>
      </c>
      <c r="X124" s="258" t="str">
        <f t="shared" si="5"/>
        <v/>
      </c>
      <c r="Y124" s="258" t="str">
        <f t="shared" si="6"/>
        <v/>
      </c>
      <c r="Z124" s="193" t="str">
        <f>IF(A124="","",IF(COUNTIF('Observaciones-SMP'!$A$2:$A$1001,A124)&gt;1,1,0))</f>
        <v/>
      </c>
      <c r="AA124" s="193" t="str">
        <f t="shared" si="7"/>
        <v/>
      </c>
    </row>
    <row r="125" spans="1:27" ht="13.5" customHeight="1" x14ac:dyDescent="0.3">
      <c r="A125" s="193" t="str">
        <f>IF('Observaciones-SMP'!A125="","",'Observaciones-SMP'!A125)</f>
        <v/>
      </c>
      <c r="B125" s="257" t="str">
        <f>IF('Observaciones-SMP'!B125="","",'Observaciones-SMP'!B125)</f>
        <v/>
      </c>
      <c r="C125" s="193" t="str">
        <f>IF('Observaciones-SMP'!C125="","",'Observaciones-SMP'!C125)</f>
        <v/>
      </c>
      <c r="D125" s="193" t="str">
        <f>IF('Observaciones-SMP'!D125="","",'Observaciones-SMP'!D125)</f>
        <v/>
      </c>
      <c r="E125" s="193" t="str">
        <f>IF('Observaciones-SMP'!E125="","",'Observaciones-SMP'!E125)</f>
        <v/>
      </c>
      <c r="F125" s="193" t="str">
        <f>IF('Observaciones-SMP'!F125="","",'Observaciones-SMP'!F125)</f>
        <v/>
      </c>
      <c r="G125" s="193" t="str">
        <f>IF('Observaciones-SMP'!G125="","",'Observaciones-SMP'!G125)</f>
        <v/>
      </c>
      <c r="H125" s="193" t="str">
        <f>IF('Observaciones-SMP'!H125="","",'Observaciones-SMP'!H125)</f>
        <v/>
      </c>
      <c r="I125" s="193" t="str">
        <f>IF('Observaciones-SMP'!I125="","",'Observaciones-SMP'!I125)</f>
        <v/>
      </c>
      <c r="J125" s="193" t="str">
        <f>IF('Observaciones-SMP'!J125="","",'Observaciones-SMP'!J125)</f>
        <v/>
      </c>
      <c r="K125" s="193" t="str">
        <f>IF('Observaciones-SMP'!K125="","",'Observaciones-SMP'!K125)</f>
        <v/>
      </c>
      <c r="L125" s="193" t="str">
        <f>IF('Observaciones-SMP'!L125="","",'Observaciones-SMP'!L125)</f>
        <v/>
      </c>
      <c r="M125" s="193" t="str">
        <f>IF('Observaciones-SMP'!M125="","",'Observaciones-SMP'!M125)</f>
        <v/>
      </c>
      <c r="N125" s="193" t="str">
        <f>IF('Observaciones-SMP'!N125="","",'Observaciones-SMP'!N125)</f>
        <v/>
      </c>
      <c r="O125" s="193" t="str">
        <f>IF('Observaciones-SMP'!O125="","",'Observaciones-SMP'!O125)</f>
        <v/>
      </c>
      <c r="P125" s="193" t="str">
        <f>IF('Observaciones-SMP'!P125="","",'Observaciones-SMP'!P125)</f>
        <v/>
      </c>
      <c r="Q125" s="257" t="str">
        <f>IF('Observaciones-SMP'!S125="","",'Observaciones-SMP'!S125)</f>
        <v/>
      </c>
      <c r="R125" s="193" t="str">
        <f>IF('Observaciones-SMP'!T125="","",'Observaciones-SMP'!T125)</f>
        <v/>
      </c>
      <c r="S125" s="193" t="str">
        <f>""</f>
        <v/>
      </c>
      <c r="T125" s="193" t="str">
        <f>""</f>
        <v/>
      </c>
      <c r="U125" s="193" t="str">
        <f t="shared" si="4"/>
        <v/>
      </c>
      <c r="V125" s="193" t="str">
        <f>""</f>
        <v/>
      </c>
      <c r="W125" s="193" t="str">
        <f>""</f>
        <v/>
      </c>
      <c r="X125" s="258" t="str">
        <f t="shared" si="5"/>
        <v/>
      </c>
      <c r="Y125" s="258" t="str">
        <f t="shared" si="6"/>
        <v/>
      </c>
      <c r="Z125" s="193" t="str">
        <f>IF(A125="","",IF(COUNTIF('Observaciones-SMP'!$A$2:$A$1001,A125)&gt;1,1,0))</f>
        <v/>
      </c>
      <c r="AA125" s="193" t="str">
        <f t="shared" si="7"/>
        <v/>
      </c>
    </row>
    <row r="126" spans="1:27" ht="13.5" customHeight="1" x14ac:dyDescent="0.3">
      <c r="A126" s="193" t="str">
        <f>IF('Observaciones-SMP'!A126="","",'Observaciones-SMP'!A126)</f>
        <v/>
      </c>
      <c r="B126" s="257" t="str">
        <f>IF('Observaciones-SMP'!B126="","",'Observaciones-SMP'!B126)</f>
        <v/>
      </c>
      <c r="C126" s="193" t="str">
        <f>IF('Observaciones-SMP'!C126="","",'Observaciones-SMP'!C126)</f>
        <v/>
      </c>
      <c r="D126" s="193" t="str">
        <f>IF('Observaciones-SMP'!D126="","",'Observaciones-SMP'!D126)</f>
        <v/>
      </c>
      <c r="E126" s="193" t="str">
        <f>IF('Observaciones-SMP'!E126="","",'Observaciones-SMP'!E126)</f>
        <v/>
      </c>
      <c r="F126" s="193" t="str">
        <f>IF('Observaciones-SMP'!F126="","",'Observaciones-SMP'!F126)</f>
        <v/>
      </c>
      <c r="G126" s="193" t="str">
        <f>IF('Observaciones-SMP'!G126="","",'Observaciones-SMP'!G126)</f>
        <v/>
      </c>
      <c r="H126" s="193" t="str">
        <f>IF('Observaciones-SMP'!H126="","",'Observaciones-SMP'!H126)</f>
        <v/>
      </c>
      <c r="I126" s="193" t="str">
        <f>IF('Observaciones-SMP'!I126="","",'Observaciones-SMP'!I126)</f>
        <v/>
      </c>
      <c r="J126" s="193" t="str">
        <f>IF('Observaciones-SMP'!J126="","",'Observaciones-SMP'!J126)</f>
        <v/>
      </c>
      <c r="K126" s="193" t="str">
        <f>IF('Observaciones-SMP'!K126="","",'Observaciones-SMP'!K126)</f>
        <v/>
      </c>
      <c r="L126" s="193" t="str">
        <f>IF('Observaciones-SMP'!L126="","",'Observaciones-SMP'!L126)</f>
        <v/>
      </c>
      <c r="M126" s="193" t="str">
        <f>IF('Observaciones-SMP'!M126="","",'Observaciones-SMP'!M126)</f>
        <v/>
      </c>
      <c r="N126" s="193" t="str">
        <f>IF('Observaciones-SMP'!N126="","",'Observaciones-SMP'!N126)</f>
        <v/>
      </c>
      <c r="O126" s="193" t="str">
        <f>IF('Observaciones-SMP'!O126="","",'Observaciones-SMP'!O126)</f>
        <v/>
      </c>
      <c r="P126" s="193" t="str">
        <f>IF('Observaciones-SMP'!P126="","",'Observaciones-SMP'!P126)</f>
        <v/>
      </c>
      <c r="Q126" s="257" t="str">
        <f>IF('Observaciones-SMP'!S126="","",'Observaciones-SMP'!S126)</f>
        <v/>
      </c>
      <c r="R126" s="193" t="str">
        <f>IF('Observaciones-SMP'!T126="","",'Observaciones-SMP'!T126)</f>
        <v/>
      </c>
      <c r="S126" s="193" t="str">
        <f>""</f>
        <v/>
      </c>
      <c r="T126" s="193" t="str">
        <f>""</f>
        <v/>
      </c>
      <c r="U126" s="193" t="str">
        <f t="shared" si="4"/>
        <v/>
      </c>
      <c r="V126" s="193" t="str">
        <f>""</f>
        <v/>
      </c>
      <c r="W126" s="193" t="str">
        <f>""</f>
        <v/>
      </c>
      <c r="X126" s="258" t="str">
        <f t="shared" si="5"/>
        <v/>
      </c>
      <c r="Y126" s="258" t="str">
        <f t="shared" si="6"/>
        <v/>
      </c>
      <c r="Z126" s="193" t="str">
        <f>IF(A126="","",IF(COUNTIF('Observaciones-SMP'!$A$2:$A$1001,A126)&gt;1,1,0))</f>
        <v/>
      </c>
      <c r="AA126" s="193" t="str">
        <f t="shared" si="7"/>
        <v/>
      </c>
    </row>
    <row r="127" spans="1:27" ht="13.5" customHeight="1" x14ac:dyDescent="0.3">
      <c r="A127" s="193" t="str">
        <f>IF('Observaciones-SMP'!A127="","",'Observaciones-SMP'!A127)</f>
        <v/>
      </c>
      <c r="B127" s="257" t="str">
        <f>IF('Observaciones-SMP'!B127="","",'Observaciones-SMP'!B127)</f>
        <v/>
      </c>
      <c r="C127" s="193" t="str">
        <f>IF('Observaciones-SMP'!C127="","",'Observaciones-SMP'!C127)</f>
        <v/>
      </c>
      <c r="D127" s="193" t="str">
        <f>IF('Observaciones-SMP'!D127="","",'Observaciones-SMP'!D127)</f>
        <v/>
      </c>
      <c r="E127" s="193" t="str">
        <f>IF('Observaciones-SMP'!E127="","",'Observaciones-SMP'!E127)</f>
        <v/>
      </c>
      <c r="F127" s="193" t="str">
        <f>IF('Observaciones-SMP'!F127="","",'Observaciones-SMP'!F127)</f>
        <v/>
      </c>
      <c r="G127" s="193" t="str">
        <f>IF('Observaciones-SMP'!G127="","",'Observaciones-SMP'!G127)</f>
        <v/>
      </c>
      <c r="H127" s="193" t="str">
        <f>IF('Observaciones-SMP'!H127="","",'Observaciones-SMP'!H127)</f>
        <v/>
      </c>
      <c r="I127" s="193" t="str">
        <f>IF('Observaciones-SMP'!I127="","",'Observaciones-SMP'!I127)</f>
        <v/>
      </c>
      <c r="J127" s="193" t="str">
        <f>IF('Observaciones-SMP'!J127="","",'Observaciones-SMP'!J127)</f>
        <v/>
      </c>
      <c r="K127" s="193" t="str">
        <f>IF('Observaciones-SMP'!K127="","",'Observaciones-SMP'!K127)</f>
        <v/>
      </c>
      <c r="L127" s="193" t="str">
        <f>IF('Observaciones-SMP'!L127="","",'Observaciones-SMP'!L127)</f>
        <v/>
      </c>
      <c r="M127" s="193" t="str">
        <f>IF('Observaciones-SMP'!M127="","",'Observaciones-SMP'!M127)</f>
        <v/>
      </c>
      <c r="N127" s="193" t="str">
        <f>IF('Observaciones-SMP'!N127="","",'Observaciones-SMP'!N127)</f>
        <v/>
      </c>
      <c r="O127" s="193" t="str">
        <f>IF('Observaciones-SMP'!O127="","",'Observaciones-SMP'!O127)</f>
        <v/>
      </c>
      <c r="P127" s="193" t="str">
        <f>IF('Observaciones-SMP'!P127="","",'Observaciones-SMP'!P127)</f>
        <v/>
      </c>
      <c r="Q127" s="257" t="str">
        <f>IF('Observaciones-SMP'!S127="","",'Observaciones-SMP'!S127)</f>
        <v/>
      </c>
      <c r="R127" s="193" t="str">
        <f>IF('Observaciones-SMP'!T127="","",'Observaciones-SMP'!T127)</f>
        <v/>
      </c>
      <c r="S127" s="193" t="str">
        <f>""</f>
        <v/>
      </c>
      <c r="T127" s="193" t="str">
        <f>""</f>
        <v/>
      </c>
      <c r="U127" s="193" t="str">
        <f t="shared" si="4"/>
        <v/>
      </c>
      <c r="V127" s="193" t="str">
        <f>""</f>
        <v/>
      </c>
      <c r="W127" s="193" t="str">
        <f>""</f>
        <v/>
      </c>
      <c r="X127" s="258" t="str">
        <f t="shared" si="5"/>
        <v/>
      </c>
      <c r="Y127" s="258" t="str">
        <f t="shared" si="6"/>
        <v/>
      </c>
      <c r="Z127" s="193" t="str">
        <f>IF(A127="","",IF(COUNTIF('Observaciones-SMP'!$A$2:$A$1001,A127)&gt;1,1,0))</f>
        <v/>
      </c>
      <c r="AA127" s="193" t="str">
        <f t="shared" si="7"/>
        <v/>
      </c>
    </row>
    <row r="128" spans="1:27" ht="13.5" customHeight="1" x14ac:dyDescent="0.3">
      <c r="A128" s="193" t="str">
        <f>IF('Observaciones-SMP'!A128="","",'Observaciones-SMP'!A128)</f>
        <v/>
      </c>
      <c r="B128" s="257" t="str">
        <f>IF('Observaciones-SMP'!B128="","",'Observaciones-SMP'!B128)</f>
        <v/>
      </c>
      <c r="C128" s="193" t="str">
        <f>IF('Observaciones-SMP'!C128="","",'Observaciones-SMP'!C128)</f>
        <v/>
      </c>
      <c r="D128" s="193" t="str">
        <f>IF('Observaciones-SMP'!D128="","",'Observaciones-SMP'!D128)</f>
        <v/>
      </c>
      <c r="E128" s="193" t="str">
        <f>IF('Observaciones-SMP'!E128="","",'Observaciones-SMP'!E128)</f>
        <v/>
      </c>
      <c r="F128" s="193" t="str">
        <f>IF('Observaciones-SMP'!F128="","",'Observaciones-SMP'!F128)</f>
        <v/>
      </c>
      <c r="G128" s="193" t="str">
        <f>IF('Observaciones-SMP'!G128="","",'Observaciones-SMP'!G128)</f>
        <v/>
      </c>
      <c r="H128" s="193" t="str">
        <f>IF('Observaciones-SMP'!H128="","",'Observaciones-SMP'!H128)</f>
        <v/>
      </c>
      <c r="I128" s="193" t="str">
        <f>IF('Observaciones-SMP'!I128="","",'Observaciones-SMP'!I128)</f>
        <v/>
      </c>
      <c r="J128" s="193" t="str">
        <f>IF('Observaciones-SMP'!J128="","",'Observaciones-SMP'!J128)</f>
        <v/>
      </c>
      <c r="K128" s="193" t="str">
        <f>IF('Observaciones-SMP'!K128="","",'Observaciones-SMP'!K128)</f>
        <v/>
      </c>
      <c r="L128" s="193" t="str">
        <f>IF('Observaciones-SMP'!L128="","",'Observaciones-SMP'!L128)</f>
        <v/>
      </c>
      <c r="M128" s="193" t="str">
        <f>IF('Observaciones-SMP'!M128="","",'Observaciones-SMP'!M128)</f>
        <v/>
      </c>
      <c r="N128" s="193" t="str">
        <f>IF('Observaciones-SMP'!N128="","",'Observaciones-SMP'!N128)</f>
        <v/>
      </c>
      <c r="O128" s="193" t="str">
        <f>IF('Observaciones-SMP'!O128="","",'Observaciones-SMP'!O128)</f>
        <v/>
      </c>
      <c r="P128" s="193" t="str">
        <f>IF('Observaciones-SMP'!P128="","",'Observaciones-SMP'!P128)</f>
        <v/>
      </c>
      <c r="Q128" s="257" t="str">
        <f>IF('Observaciones-SMP'!S128="","",'Observaciones-SMP'!S128)</f>
        <v/>
      </c>
      <c r="R128" s="193" t="str">
        <f>IF('Observaciones-SMP'!T128="","",'Observaciones-SMP'!T128)</f>
        <v/>
      </c>
      <c r="S128" s="193" t="str">
        <f>""</f>
        <v/>
      </c>
      <c r="T128" s="193" t="str">
        <f>""</f>
        <v/>
      </c>
      <c r="U128" s="193" t="str">
        <f t="shared" si="4"/>
        <v/>
      </c>
      <c r="V128" s="193" t="str">
        <f>""</f>
        <v/>
      </c>
      <c r="W128" s="193" t="str">
        <f>""</f>
        <v/>
      </c>
      <c r="X128" s="258" t="str">
        <f t="shared" si="5"/>
        <v/>
      </c>
      <c r="Y128" s="258" t="str">
        <f t="shared" si="6"/>
        <v/>
      </c>
      <c r="Z128" s="193" t="str">
        <f>IF(A128="","",IF(COUNTIF('Observaciones-SMP'!$A$2:$A$1001,A128)&gt;1,1,0))</f>
        <v/>
      </c>
      <c r="AA128" s="193" t="str">
        <f t="shared" si="7"/>
        <v/>
      </c>
    </row>
    <row r="129" spans="1:27" ht="13.5" customHeight="1" x14ac:dyDescent="0.3">
      <c r="A129" s="193" t="str">
        <f>IF('Observaciones-SMP'!A129="","",'Observaciones-SMP'!A129)</f>
        <v/>
      </c>
      <c r="B129" s="257" t="str">
        <f>IF('Observaciones-SMP'!B129="","",'Observaciones-SMP'!B129)</f>
        <v/>
      </c>
      <c r="C129" s="193" t="str">
        <f>IF('Observaciones-SMP'!C129="","",'Observaciones-SMP'!C129)</f>
        <v/>
      </c>
      <c r="D129" s="193" t="str">
        <f>IF('Observaciones-SMP'!D129="","",'Observaciones-SMP'!D129)</f>
        <v/>
      </c>
      <c r="E129" s="193" t="str">
        <f>IF('Observaciones-SMP'!E129="","",'Observaciones-SMP'!E129)</f>
        <v/>
      </c>
      <c r="F129" s="193" t="str">
        <f>IF('Observaciones-SMP'!F129="","",'Observaciones-SMP'!F129)</f>
        <v/>
      </c>
      <c r="G129" s="193" t="str">
        <f>IF('Observaciones-SMP'!G129="","",'Observaciones-SMP'!G129)</f>
        <v/>
      </c>
      <c r="H129" s="193" t="str">
        <f>IF('Observaciones-SMP'!H129="","",'Observaciones-SMP'!H129)</f>
        <v/>
      </c>
      <c r="I129" s="193" t="str">
        <f>IF('Observaciones-SMP'!I129="","",'Observaciones-SMP'!I129)</f>
        <v/>
      </c>
      <c r="J129" s="193" t="str">
        <f>IF('Observaciones-SMP'!J129="","",'Observaciones-SMP'!J129)</f>
        <v/>
      </c>
      <c r="K129" s="193" t="str">
        <f>IF('Observaciones-SMP'!K129="","",'Observaciones-SMP'!K129)</f>
        <v/>
      </c>
      <c r="L129" s="193" t="str">
        <f>IF('Observaciones-SMP'!L129="","",'Observaciones-SMP'!L129)</f>
        <v/>
      </c>
      <c r="M129" s="193" t="str">
        <f>IF('Observaciones-SMP'!M129="","",'Observaciones-SMP'!M129)</f>
        <v/>
      </c>
      <c r="N129" s="193" t="str">
        <f>IF('Observaciones-SMP'!N129="","",'Observaciones-SMP'!N129)</f>
        <v/>
      </c>
      <c r="O129" s="193" t="str">
        <f>IF('Observaciones-SMP'!O129="","",'Observaciones-SMP'!O129)</f>
        <v/>
      </c>
      <c r="P129" s="193" t="str">
        <f>IF('Observaciones-SMP'!P129="","",'Observaciones-SMP'!P129)</f>
        <v/>
      </c>
      <c r="Q129" s="257" t="str">
        <f>IF('Observaciones-SMP'!S129="","",'Observaciones-SMP'!S129)</f>
        <v/>
      </c>
      <c r="R129" s="193" t="str">
        <f>IF('Observaciones-SMP'!T129="","",'Observaciones-SMP'!T129)</f>
        <v/>
      </c>
      <c r="S129" s="193" t="str">
        <f>""</f>
        <v/>
      </c>
      <c r="T129" s="193" t="str">
        <f>""</f>
        <v/>
      </c>
      <c r="U129" s="193" t="str">
        <f t="shared" si="4"/>
        <v/>
      </c>
      <c r="V129" s="193" t="str">
        <f>""</f>
        <v/>
      </c>
      <c r="W129" s="193" t="str">
        <f>""</f>
        <v/>
      </c>
      <c r="X129" s="258" t="str">
        <f t="shared" si="5"/>
        <v/>
      </c>
      <c r="Y129" s="258" t="str">
        <f t="shared" si="6"/>
        <v/>
      </c>
      <c r="Z129" s="193" t="str">
        <f>IF(A129="","",IF(COUNTIF('Observaciones-SMP'!$A$2:$A$1001,A129)&gt;1,1,0))</f>
        <v/>
      </c>
      <c r="AA129" s="193" t="str">
        <f t="shared" si="7"/>
        <v/>
      </c>
    </row>
    <row r="130" spans="1:27" ht="13.5" customHeight="1" x14ac:dyDescent="0.3">
      <c r="A130" s="193" t="str">
        <f>IF('Observaciones-SMP'!A130="","",'Observaciones-SMP'!A130)</f>
        <v/>
      </c>
      <c r="B130" s="257" t="str">
        <f>IF('Observaciones-SMP'!B130="","",'Observaciones-SMP'!B130)</f>
        <v/>
      </c>
      <c r="C130" s="193" t="str">
        <f>IF('Observaciones-SMP'!C130="","",'Observaciones-SMP'!C130)</f>
        <v/>
      </c>
      <c r="D130" s="193" t="str">
        <f>IF('Observaciones-SMP'!D130="","",'Observaciones-SMP'!D130)</f>
        <v/>
      </c>
      <c r="E130" s="193" t="str">
        <f>IF('Observaciones-SMP'!E130="","",'Observaciones-SMP'!E130)</f>
        <v/>
      </c>
      <c r="F130" s="193" t="str">
        <f>IF('Observaciones-SMP'!F130="","",'Observaciones-SMP'!F130)</f>
        <v/>
      </c>
      <c r="G130" s="193" t="str">
        <f>IF('Observaciones-SMP'!G130="","",'Observaciones-SMP'!G130)</f>
        <v/>
      </c>
      <c r="H130" s="193" t="str">
        <f>IF('Observaciones-SMP'!H130="","",'Observaciones-SMP'!H130)</f>
        <v/>
      </c>
      <c r="I130" s="193" t="str">
        <f>IF('Observaciones-SMP'!I130="","",'Observaciones-SMP'!I130)</f>
        <v/>
      </c>
      <c r="J130" s="193" t="str">
        <f>IF('Observaciones-SMP'!J130="","",'Observaciones-SMP'!J130)</f>
        <v/>
      </c>
      <c r="K130" s="193" t="str">
        <f>IF('Observaciones-SMP'!K130="","",'Observaciones-SMP'!K130)</f>
        <v/>
      </c>
      <c r="L130" s="193" t="str">
        <f>IF('Observaciones-SMP'!L130="","",'Observaciones-SMP'!L130)</f>
        <v/>
      </c>
      <c r="M130" s="193" t="str">
        <f>IF('Observaciones-SMP'!M130="","",'Observaciones-SMP'!M130)</f>
        <v/>
      </c>
      <c r="N130" s="193" t="str">
        <f>IF('Observaciones-SMP'!N130="","",'Observaciones-SMP'!N130)</f>
        <v/>
      </c>
      <c r="O130" s="193" t="str">
        <f>IF('Observaciones-SMP'!O130="","",'Observaciones-SMP'!O130)</f>
        <v/>
      </c>
      <c r="P130" s="193" t="str">
        <f>IF('Observaciones-SMP'!P130="","",'Observaciones-SMP'!P130)</f>
        <v/>
      </c>
      <c r="Q130" s="257" t="str">
        <f>IF('Observaciones-SMP'!S130="","",'Observaciones-SMP'!S130)</f>
        <v/>
      </c>
      <c r="R130" s="193" t="str">
        <f>IF('Observaciones-SMP'!T130="","",'Observaciones-SMP'!T130)</f>
        <v/>
      </c>
      <c r="S130" s="193" t="str">
        <f>""</f>
        <v/>
      </c>
      <c r="T130" s="193" t="str">
        <f>""</f>
        <v/>
      </c>
      <c r="U130" s="193" t="str">
        <f t="shared" ref="U130:U193" si="8">IF(AND(ISNUMBER(B130),ISNUMBER(Q130)),IF(Q130&gt;=B130,Q130-B130,""),"")</f>
        <v/>
      </c>
      <c r="V130" s="193" t="str">
        <f>""</f>
        <v/>
      </c>
      <c r="W130" s="193" t="str">
        <f>""</f>
        <v/>
      </c>
      <c r="X130" s="258" t="str">
        <f t="shared" ref="X130:X193" si="9">IF(ISNUMBER(B130),DATE(YEAR(B130),MONTH(B130),1),"")</f>
        <v/>
      </c>
      <c r="Y130" s="258" t="str">
        <f t="shared" ref="Y130:Y193" si="10">IF(ISNUMBER(Q130),DATE(YEAR(Q130),MONTH(Q130),1),"")</f>
        <v/>
      </c>
      <c r="Z130" s="193" t="str">
        <f>IF(A130="","",IF(COUNTIF('Observaciones-SMP'!$A$2:$A$1001,A130)&gt;1,1,0))</f>
        <v/>
      </c>
      <c r="AA130" s="193" t="str">
        <f t="shared" ref="AA130:AA193" si="11">IF(ISNUMBER(B130),IF(ISNUMBER(Q130),Q130,DATE(YEAR(RPT_MONTH),MONTH(RPT_MONTH)+1,0))-B130,"")</f>
        <v/>
      </c>
    </row>
    <row r="131" spans="1:27" ht="13.5" customHeight="1" x14ac:dyDescent="0.3">
      <c r="A131" s="193" t="str">
        <f>IF('Observaciones-SMP'!A131="","",'Observaciones-SMP'!A131)</f>
        <v/>
      </c>
      <c r="B131" s="257" t="str">
        <f>IF('Observaciones-SMP'!B131="","",'Observaciones-SMP'!B131)</f>
        <v/>
      </c>
      <c r="C131" s="193" t="str">
        <f>IF('Observaciones-SMP'!C131="","",'Observaciones-SMP'!C131)</f>
        <v/>
      </c>
      <c r="D131" s="193" t="str">
        <f>IF('Observaciones-SMP'!D131="","",'Observaciones-SMP'!D131)</f>
        <v/>
      </c>
      <c r="E131" s="193" t="str">
        <f>IF('Observaciones-SMP'!E131="","",'Observaciones-SMP'!E131)</f>
        <v/>
      </c>
      <c r="F131" s="193" t="str">
        <f>IF('Observaciones-SMP'!F131="","",'Observaciones-SMP'!F131)</f>
        <v/>
      </c>
      <c r="G131" s="193" t="str">
        <f>IF('Observaciones-SMP'!G131="","",'Observaciones-SMP'!G131)</f>
        <v/>
      </c>
      <c r="H131" s="193" t="str">
        <f>IF('Observaciones-SMP'!H131="","",'Observaciones-SMP'!H131)</f>
        <v/>
      </c>
      <c r="I131" s="193" t="str">
        <f>IF('Observaciones-SMP'!I131="","",'Observaciones-SMP'!I131)</f>
        <v/>
      </c>
      <c r="J131" s="193" t="str">
        <f>IF('Observaciones-SMP'!J131="","",'Observaciones-SMP'!J131)</f>
        <v/>
      </c>
      <c r="K131" s="193" t="str">
        <f>IF('Observaciones-SMP'!K131="","",'Observaciones-SMP'!K131)</f>
        <v/>
      </c>
      <c r="L131" s="193" t="str">
        <f>IF('Observaciones-SMP'!L131="","",'Observaciones-SMP'!L131)</f>
        <v/>
      </c>
      <c r="M131" s="193" t="str">
        <f>IF('Observaciones-SMP'!M131="","",'Observaciones-SMP'!M131)</f>
        <v/>
      </c>
      <c r="N131" s="193" t="str">
        <f>IF('Observaciones-SMP'!N131="","",'Observaciones-SMP'!N131)</f>
        <v/>
      </c>
      <c r="O131" s="193" t="str">
        <f>IF('Observaciones-SMP'!O131="","",'Observaciones-SMP'!O131)</f>
        <v/>
      </c>
      <c r="P131" s="193" t="str">
        <f>IF('Observaciones-SMP'!P131="","",'Observaciones-SMP'!P131)</f>
        <v/>
      </c>
      <c r="Q131" s="257" t="str">
        <f>IF('Observaciones-SMP'!S131="","",'Observaciones-SMP'!S131)</f>
        <v/>
      </c>
      <c r="R131" s="193" t="str">
        <f>IF('Observaciones-SMP'!T131="","",'Observaciones-SMP'!T131)</f>
        <v/>
      </c>
      <c r="S131" s="193" t="str">
        <f>""</f>
        <v/>
      </c>
      <c r="T131" s="193" t="str">
        <f>""</f>
        <v/>
      </c>
      <c r="U131" s="193" t="str">
        <f t="shared" si="8"/>
        <v/>
      </c>
      <c r="V131" s="193" t="str">
        <f>""</f>
        <v/>
      </c>
      <c r="W131" s="193" t="str">
        <f>""</f>
        <v/>
      </c>
      <c r="X131" s="258" t="str">
        <f t="shared" si="9"/>
        <v/>
      </c>
      <c r="Y131" s="258" t="str">
        <f t="shared" si="10"/>
        <v/>
      </c>
      <c r="Z131" s="193" t="str">
        <f>IF(A131="","",IF(COUNTIF('Observaciones-SMP'!$A$2:$A$1001,A131)&gt;1,1,0))</f>
        <v/>
      </c>
      <c r="AA131" s="193" t="str">
        <f t="shared" si="11"/>
        <v/>
      </c>
    </row>
    <row r="132" spans="1:27" ht="13.5" customHeight="1" x14ac:dyDescent="0.3">
      <c r="A132" s="193" t="str">
        <f>IF('Observaciones-SMP'!A132="","",'Observaciones-SMP'!A132)</f>
        <v/>
      </c>
      <c r="B132" s="257" t="str">
        <f>IF('Observaciones-SMP'!B132="","",'Observaciones-SMP'!B132)</f>
        <v/>
      </c>
      <c r="C132" s="193" t="str">
        <f>IF('Observaciones-SMP'!C132="","",'Observaciones-SMP'!C132)</f>
        <v/>
      </c>
      <c r="D132" s="193" t="str">
        <f>IF('Observaciones-SMP'!D132="","",'Observaciones-SMP'!D132)</f>
        <v/>
      </c>
      <c r="E132" s="193" t="str">
        <f>IF('Observaciones-SMP'!E132="","",'Observaciones-SMP'!E132)</f>
        <v/>
      </c>
      <c r="F132" s="193" t="str">
        <f>IF('Observaciones-SMP'!F132="","",'Observaciones-SMP'!F132)</f>
        <v/>
      </c>
      <c r="G132" s="193" t="str">
        <f>IF('Observaciones-SMP'!G132="","",'Observaciones-SMP'!G132)</f>
        <v/>
      </c>
      <c r="H132" s="193" t="str">
        <f>IF('Observaciones-SMP'!H132="","",'Observaciones-SMP'!H132)</f>
        <v/>
      </c>
      <c r="I132" s="193" t="str">
        <f>IF('Observaciones-SMP'!I132="","",'Observaciones-SMP'!I132)</f>
        <v/>
      </c>
      <c r="J132" s="193" t="str">
        <f>IF('Observaciones-SMP'!J132="","",'Observaciones-SMP'!J132)</f>
        <v/>
      </c>
      <c r="K132" s="193" t="str">
        <f>IF('Observaciones-SMP'!K132="","",'Observaciones-SMP'!K132)</f>
        <v/>
      </c>
      <c r="L132" s="193" t="str">
        <f>IF('Observaciones-SMP'!L132="","",'Observaciones-SMP'!L132)</f>
        <v/>
      </c>
      <c r="M132" s="193" t="str">
        <f>IF('Observaciones-SMP'!M132="","",'Observaciones-SMP'!M132)</f>
        <v/>
      </c>
      <c r="N132" s="193" t="str">
        <f>IF('Observaciones-SMP'!N132="","",'Observaciones-SMP'!N132)</f>
        <v/>
      </c>
      <c r="O132" s="193" t="str">
        <f>IF('Observaciones-SMP'!O132="","",'Observaciones-SMP'!O132)</f>
        <v/>
      </c>
      <c r="P132" s="193" t="str">
        <f>IF('Observaciones-SMP'!P132="","",'Observaciones-SMP'!P132)</f>
        <v/>
      </c>
      <c r="Q132" s="257" t="str">
        <f>IF('Observaciones-SMP'!S132="","",'Observaciones-SMP'!S132)</f>
        <v/>
      </c>
      <c r="R132" s="193" t="str">
        <f>IF('Observaciones-SMP'!T132="","",'Observaciones-SMP'!T132)</f>
        <v/>
      </c>
      <c r="S132" s="193" t="str">
        <f>""</f>
        <v/>
      </c>
      <c r="T132" s="193" t="str">
        <f>""</f>
        <v/>
      </c>
      <c r="U132" s="193" t="str">
        <f t="shared" si="8"/>
        <v/>
      </c>
      <c r="V132" s="193" t="str">
        <f>""</f>
        <v/>
      </c>
      <c r="W132" s="193" t="str">
        <f>""</f>
        <v/>
      </c>
      <c r="X132" s="258" t="str">
        <f t="shared" si="9"/>
        <v/>
      </c>
      <c r="Y132" s="258" t="str">
        <f t="shared" si="10"/>
        <v/>
      </c>
      <c r="Z132" s="193" t="str">
        <f>IF(A132="","",IF(COUNTIF('Observaciones-SMP'!$A$2:$A$1001,A132)&gt;1,1,0))</f>
        <v/>
      </c>
      <c r="AA132" s="193" t="str">
        <f t="shared" si="11"/>
        <v/>
      </c>
    </row>
    <row r="133" spans="1:27" ht="13.5" customHeight="1" x14ac:dyDescent="0.3">
      <c r="A133" s="193" t="str">
        <f>IF('Observaciones-SMP'!A133="","",'Observaciones-SMP'!A133)</f>
        <v/>
      </c>
      <c r="B133" s="257" t="str">
        <f>IF('Observaciones-SMP'!B133="","",'Observaciones-SMP'!B133)</f>
        <v/>
      </c>
      <c r="C133" s="193" t="str">
        <f>IF('Observaciones-SMP'!C133="","",'Observaciones-SMP'!C133)</f>
        <v/>
      </c>
      <c r="D133" s="193" t="str">
        <f>IF('Observaciones-SMP'!D133="","",'Observaciones-SMP'!D133)</f>
        <v/>
      </c>
      <c r="E133" s="193" t="str">
        <f>IF('Observaciones-SMP'!E133="","",'Observaciones-SMP'!E133)</f>
        <v/>
      </c>
      <c r="F133" s="193" t="str">
        <f>IF('Observaciones-SMP'!F133="","",'Observaciones-SMP'!F133)</f>
        <v/>
      </c>
      <c r="G133" s="193" t="str">
        <f>IF('Observaciones-SMP'!G133="","",'Observaciones-SMP'!G133)</f>
        <v/>
      </c>
      <c r="H133" s="193" t="str">
        <f>IF('Observaciones-SMP'!H133="","",'Observaciones-SMP'!H133)</f>
        <v/>
      </c>
      <c r="I133" s="193" t="str">
        <f>IF('Observaciones-SMP'!I133="","",'Observaciones-SMP'!I133)</f>
        <v/>
      </c>
      <c r="J133" s="193" t="str">
        <f>IF('Observaciones-SMP'!J133="","",'Observaciones-SMP'!J133)</f>
        <v/>
      </c>
      <c r="K133" s="193" t="str">
        <f>IF('Observaciones-SMP'!K133="","",'Observaciones-SMP'!K133)</f>
        <v/>
      </c>
      <c r="L133" s="193" t="str">
        <f>IF('Observaciones-SMP'!L133="","",'Observaciones-SMP'!L133)</f>
        <v/>
      </c>
      <c r="M133" s="193" t="str">
        <f>IF('Observaciones-SMP'!M133="","",'Observaciones-SMP'!M133)</f>
        <v/>
      </c>
      <c r="N133" s="193" t="str">
        <f>IF('Observaciones-SMP'!N133="","",'Observaciones-SMP'!N133)</f>
        <v/>
      </c>
      <c r="O133" s="193" t="str">
        <f>IF('Observaciones-SMP'!O133="","",'Observaciones-SMP'!O133)</f>
        <v/>
      </c>
      <c r="P133" s="193" t="str">
        <f>IF('Observaciones-SMP'!P133="","",'Observaciones-SMP'!P133)</f>
        <v/>
      </c>
      <c r="Q133" s="257" t="str">
        <f>IF('Observaciones-SMP'!S133="","",'Observaciones-SMP'!S133)</f>
        <v/>
      </c>
      <c r="R133" s="193" t="str">
        <f>IF('Observaciones-SMP'!T133="","",'Observaciones-SMP'!T133)</f>
        <v/>
      </c>
      <c r="S133" s="193" t="str">
        <f>""</f>
        <v/>
      </c>
      <c r="T133" s="193" t="str">
        <f>""</f>
        <v/>
      </c>
      <c r="U133" s="193" t="str">
        <f t="shared" si="8"/>
        <v/>
      </c>
      <c r="V133" s="193" t="str">
        <f>""</f>
        <v/>
      </c>
      <c r="W133" s="193" t="str">
        <f>""</f>
        <v/>
      </c>
      <c r="X133" s="258" t="str">
        <f t="shared" si="9"/>
        <v/>
      </c>
      <c r="Y133" s="258" t="str">
        <f t="shared" si="10"/>
        <v/>
      </c>
      <c r="Z133" s="193" t="str">
        <f>IF(A133="","",IF(COUNTIF('Observaciones-SMP'!$A$2:$A$1001,A133)&gt;1,1,0))</f>
        <v/>
      </c>
      <c r="AA133" s="193" t="str">
        <f t="shared" si="11"/>
        <v/>
      </c>
    </row>
    <row r="134" spans="1:27" ht="13.5" customHeight="1" x14ac:dyDescent="0.3">
      <c r="A134" s="193" t="str">
        <f>IF('Observaciones-SMP'!A134="","",'Observaciones-SMP'!A134)</f>
        <v/>
      </c>
      <c r="B134" s="257" t="str">
        <f>IF('Observaciones-SMP'!B134="","",'Observaciones-SMP'!B134)</f>
        <v/>
      </c>
      <c r="C134" s="193" t="str">
        <f>IF('Observaciones-SMP'!C134="","",'Observaciones-SMP'!C134)</f>
        <v/>
      </c>
      <c r="D134" s="193" t="str">
        <f>IF('Observaciones-SMP'!D134="","",'Observaciones-SMP'!D134)</f>
        <v/>
      </c>
      <c r="E134" s="193" t="str">
        <f>IF('Observaciones-SMP'!E134="","",'Observaciones-SMP'!E134)</f>
        <v/>
      </c>
      <c r="F134" s="193" t="str">
        <f>IF('Observaciones-SMP'!F134="","",'Observaciones-SMP'!F134)</f>
        <v/>
      </c>
      <c r="G134" s="193" t="str">
        <f>IF('Observaciones-SMP'!G134="","",'Observaciones-SMP'!G134)</f>
        <v/>
      </c>
      <c r="H134" s="193" t="str">
        <f>IF('Observaciones-SMP'!H134="","",'Observaciones-SMP'!H134)</f>
        <v/>
      </c>
      <c r="I134" s="193" t="str">
        <f>IF('Observaciones-SMP'!I134="","",'Observaciones-SMP'!I134)</f>
        <v/>
      </c>
      <c r="J134" s="193" t="str">
        <f>IF('Observaciones-SMP'!J134="","",'Observaciones-SMP'!J134)</f>
        <v/>
      </c>
      <c r="K134" s="193" t="str">
        <f>IF('Observaciones-SMP'!K134="","",'Observaciones-SMP'!K134)</f>
        <v/>
      </c>
      <c r="L134" s="193" t="str">
        <f>IF('Observaciones-SMP'!L134="","",'Observaciones-SMP'!L134)</f>
        <v/>
      </c>
      <c r="M134" s="193" t="str">
        <f>IF('Observaciones-SMP'!M134="","",'Observaciones-SMP'!M134)</f>
        <v/>
      </c>
      <c r="N134" s="193" t="str">
        <f>IF('Observaciones-SMP'!N134="","",'Observaciones-SMP'!N134)</f>
        <v/>
      </c>
      <c r="O134" s="193" t="str">
        <f>IF('Observaciones-SMP'!O134="","",'Observaciones-SMP'!O134)</f>
        <v/>
      </c>
      <c r="P134" s="193" t="str">
        <f>IF('Observaciones-SMP'!P134="","",'Observaciones-SMP'!P134)</f>
        <v/>
      </c>
      <c r="Q134" s="257" t="str">
        <f>IF('Observaciones-SMP'!S134="","",'Observaciones-SMP'!S134)</f>
        <v/>
      </c>
      <c r="R134" s="193" t="str">
        <f>IF('Observaciones-SMP'!T134="","",'Observaciones-SMP'!T134)</f>
        <v/>
      </c>
      <c r="S134" s="193" t="str">
        <f>""</f>
        <v/>
      </c>
      <c r="T134" s="193" t="str">
        <f>""</f>
        <v/>
      </c>
      <c r="U134" s="193" t="str">
        <f t="shared" si="8"/>
        <v/>
      </c>
      <c r="V134" s="193" t="str">
        <f>""</f>
        <v/>
      </c>
      <c r="W134" s="193" t="str">
        <f>""</f>
        <v/>
      </c>
      <c r="X134" s="258" t="str">
        <f t="shared" si="9"/>
        <v/>
      </c>
      <c r="Y134" s="258" t="str">
        <f t="shared" si="10"/>
        <v/>
      </c>
      <c r="Z134" s="193" t="str">
        <f>IF(A134="","",IF(COUNTIF('Observaciones-SMP'!$A$2:$A$1001,A134)&gt;1,1,0))</f>
        <v/>
      </c>
      <c r="AA134" s="193" t="str">
        <f t="shared" si="11"/>
        <v/>
      </c>
    </row>
    <row r="135" spans="1:27" ht="13.5" customHeight="1" x14ac:dyDescent="0.3">
      <c r="A135" s="193" t="str">
        <f>IF('Observaciones-SMP'!A135="","",'Observaciones-SMP'!A135)</f>
        <v/>
      </c>
      <c r="B135" s="257" t="str">
        <f>IF('Observaciones-SMP'!B135="","",'Observaciones-SMP'!B135)</f>
        <v/>
      </c>
      <c r="C135" s="193" t="str">
        <f>IF('Observaciones-SMP'!C135="","",'Observaciones-SMP'!C135)</f>
        <v/>
      </c>
      <c r="D135" s="193" t="str">
        <f>IF('Observaciones-SMP'!D135="","",'Observaciones-SMP'!D135)</f>
        <v/>
      </c>
      <c r="E135" s="193" t="str">
        <f>IF('Observaciones-SMP'!E135="","",'Observaciones-SMP'!E135)</f>
        <v/>
      </c>
      <c r="F135" s="193" t="str">
        <f>IF('Observaciones-SMP'!F135="","",'Observaciones-SMP'!F135)</f>
        <v/>
      </c>
      <c r="G135" s="193" t="str">
        <f>IF('Observaciones-SMP'!G135="","",'Observaciones-SMP'!G135)</f>
        <v/>
      </c>
      <c r="H135" s="193" t="str">
        <f>IF('Observaciones-SMP'!H135="","",'Observaciones-SMP'!H135)</f>
        <v/>
      </c>
      <c r="I135" s="193" t="str">
        <f>IF('Observaciones-SMP'!I135="","",'Observaciones-SMP'!I135)</f>
        <v/>
      </c>
      <c r="J135" s="193" t="str">
        <f>IF('Observaciones-SMP'!J135="","",'Observaciones-SMP'!J135)</f>
        <v/>
      </c>
      <c r="K135" s="193" t="str">
        <f>IF('Observaciones-SMP'!K135="","",'Observaciones-SMP'!K135)</f>
        <v/>
      </c>
      <c r="L135" s="193" t="str">
        <f>IF('Observaciones-SMP'!L135="","",'Observaciones-SMP'!L135)</f>
        <v/>
      </c>
      <c r="M135" s="193" t="str">
        <f>IF('Observaciones-SMP'!M135="","",'Observaciones-SMP'!M135)</f>
        <v/>
      </c>
      <c r="N135" s="193" t="str">
        <f>IF('Observaciones-SMP'!N135="","",'Observaciones-SMP'!N135)</f>
        <v/>
      </c>
      <c r="O135" s="193" t="str">
        <f>IF('Observaciones-SMP'!O135="","",'Observaciones-SMP'!O135)</f>
        <v/>
      </c>
      <c r="P135" s="193" t="str">
        <f>IF('Observaciones-SMP'!P135="","",'Observaciones-SMP'!P135)</f>
        <v/>
      </c>
      <c r="Q135" s="257" t="str">
        <f>IF('Observaciones-SMP'!S135="","",'Observaciones-SMP'!S135)</f>
        <v/>
      </c>
      <c r="R135" s="193" t="str">
        <f>IF('Observaciones-SMP'!T135="","",'Observaciones-SMP'!T135)</f>
        <v/>
      </c>
      <c r="S135" s="193" t="str">
        <f>""</f>
        <v/>
      </c>
      <c r="T135" s="193" t="str">
        <f>""</f>
        <v/>
      </c>
      <c r="U135" s="193" t="str">
        <f t="shared" si="8"/>
        <v/>
      </c>
      <c r="V135" s="193" t="str">
        <f>""</f>
        <v/>
      </c>
      <c r="W135" s="193" t="str">
        <f>""</f>
        <v/>
      </c>
      <c r="X135" s="258" t="str">
        <f t="shared" si="9"/>
        <v/>
      </c>
      <c r="Y135" s="258" t="str">
        <f t="shared" si="10"/>
        <v/>
      </c>
      <c r="Z135" s="193" t="str">
        <f>IF(A135="","",IF(COUNTIF('Observaciones-SMP'!$A$2:$A$1001,A135)&gt;1,1,0))</f>
        <v/>
      </c>
      <c r="AA135" s="193" t="str">
        <f t="shared" si="11"/>
        <v/>
      </c>
    </row>
    <row r="136" spans="1:27" ht="13.5" customHeight="1" x14ac:dyDescent="0.3">
      <c r="A136" s="193" t="str">
        <f>IF('Observaciones-SMP'!A136="","",'Observaciones-SMP'!A136)</f>
        <v/>
      </c>
      <c r="B136" s="257" t="str">
        <f>IF('Observaciones-SMP'!B136="","",'Observaciones-SMP'!B136)</f>
        <v/>
      </c>
      <c r="C136" s="193" t="str">
        <f>IF('Observaciones-SMP'!C136="","",'Observaciones-SMP'!C136)</f>
        <v/>
      </c>
      <c r="D136" s="193" t="str">
        <f>IF('Observaciones-SMP'!D136="","",'Observaciones-SMP'!D136)</f>
        <v/>
      </c>
      <c r="E136" s="193" t="str">
        <f>IF('Observaciones-SMP'!E136="","",'Observaciones-SMP'!E136)</f>
        <v/>
      </c>
      <c r="F136" s="193" t="str">
        <f>IF('Observaciones-SMP'!F136="","",'Observaciones-SMP'!F136)</f>
        <v/>
      </c>
      <c r="G136" s="193" t="str">
        <f>IF('Observaciones-SMP'!G136="","",'Observaciones-SMP'!G136)</f>
        <v/>
      </c>
      <c r="H136" s="193" t="str">
        <f>IF('Observaciones-SMP'!H136="","",'Observaciones-SMP'!H136)</f>
        <v/>
      </c>
      <c r="I136" s="193" t="str">
        <f>IF('Observaciones-SMP'!I136="","",'Observaciones-SMP'!I136)</f>
        <v/>
      </c>
      <c r="J136" s="193" t="str">
        <f>IF('Observaciones-SMP'!J136="","",'Observaciones-SMP'!J136)</f>
        <v/>
      </c>
      <c r="K136" s="193" t="str">
        <f>IF('Observaciones-SMP'!K136="","",'Observaciones-SMP'!K136)</f>
        <v/>
      </c>
      <c r="L136" s="193" t="str">
        <f>IF('Observaciones-SMP'!L136="","",'Observaciones-SMP'!L136)</f>
        <v/>
      </c>
      <c r="M136" s="193" t="str">
        <f>IF('Observaciones-SMP'!M136="","",'Observaciones-SMP'!M136)</f>
        <v/>
      </c>
      <c r="N136" s="193" t="str">
        <f>IF('Observaciones-SMP'!N136="","",'Observaciones-SMP'!N136)</f>
        <v/>
      </c>
      <c r="O136" s="193" t="str">
        <f>IF('Observaciones-SMP'!O136="","",'Observaciones-SMP'!O136)</f>
        <v/>
      </c>
      <c r="P136" s="193" t="str">
        <f>IF('Observaciones-SMP'!P136="","",'Observaciones-SMP'!P136)</f>
        <v/>
      </c>
      <c r="Q136" s="257" t="str">
        <f>IF('Observaciones-SMP'!S136="","",'Observaciones-SMP'!S136)</f>
        <v/>
      </c>
      <c r="R136" s="193" t="str">
        <f>IF('Observaciones-SMP'!T136="","",'Observaciones-SMP'!T136)</f>
        <v/>
      </c>
      <c r="S136" s="193" t="str">
        <f>""</f>
        <v/>
      </c>
      <c r="T136" s="193" t="str">
        <f>""</f>
        <v/>
      </c>
      <c r="U136" s="193" t="str">
        <f t="shared" si="8"/>
        <v/>
      </c>
      <c r="V136" s="193" t="str">
        <f>""</f>
        <v/>
      </c>
      <c r="W136" s="193" t="str">
        <f>""</f>
        <v/>
      </c>
      <c r="X136" s="258" t="str">
        <f t="shared" si="9"/>
        <v/>
      </c>
      <c r="Y136" s="258" t="str">
        <f t="shared" si="10"/>
        <v/>
      </c>
      <c r="Z136" s="193" t="str">
        <f>IF(A136="","",IF(COUNTIF('Observaciones-SMP'!$A$2:$A$1001,A136)&gt;1,1,0))</f>
        <v/>
      </c>
      <c r="AA136" s="193" t="str">
        <f t="shared" si="11"/>
        <v/>
      </c>
    </row>
    <row r="137" spans="1:27" ht="13.5" customHeight="1" x14ac:dyDescent="0.3">
      <c r="A137" s="193" t="str">
        <f>IF('Observaciones-SMP'!A137="","",'Observaciones-SMP'!A137)</f>
        <v/>
      </c>
      <c r="B137" s="257" t="str">
        <f>IF('Observaciones-SMP'!B137="","",'Observaciones-SMP'!B137)</f>
        <v/>
      </c>
      <c r="C137" s="193" t="str">
        <f>IF('Observaciones-SMP'!C137="","",'Observaciones-SMP'!C137)</f>
        <v/>
      </c>
      <c r="D137" s="193" t="str">
        <f>IF('Observaciones-SMP'!D137="","",'Observaciones-SMP'!D137)</f>
        <v/>
      </c>
      <c r="E137" s="193" t="str">
        <f>IF('Observaciones-SMP'!E137="","",'Observaciones-SMP'!E137)</f>
        <v/>
      </c>
      <c r="F137" s="193" t="str">
        <f>IF('Observaciones-SMP'!F137="","",'Observaciones-SMP'!F137)</f>
        <v/>
      </c>
      <c r="G137" s="193" t="str">
        <f>IF('Observaciones-SMP'!G137="","",'Observaciones-SMP'!G137)</f>
        <v/>
      </c>
      <c r="H137" s="193" t="str">
        <f>IF('Observaciones-SMP'!H137="","",'Observaciones-SMP'!H137)</f>
        <v/>
      </c>
      <c r="I137" s="193" t="str">
        <f>IF('Observaciones-SMP'!I137="","",'Observaciones-SMP'!I137)</f>
        <v/>
      </c>
      <c r="J137" s="193" t="str">
        <f>IF('Observaciones-SMP'!J137="","",'Observaciones-SMP'!J137)</f>
        <v/>
      </c>
      <c r="K137" s="193" t="str">
        <f>IF('Observaciones-SMP'!K137="","",'Observaciones-SMP'!K137)</f>
        <v/>
      </c>
      <c r="L137" s="193" t="str">
        <f>IF('Observaciones-SMP'!L137="","",'Observaciones-SMP'!L137)</f>
        <v/>
      </c>
      <c r="M137" s="193" t="str">
        <f>IF('Observaciones-SMP'!M137="","",'Observaciones-SMP'!M137)</f>
        <v/>
      </c>
      <c r="N137" s="193" t="str">
        <f>IF('Observaciones-SMP'!N137="","",'Observaciones-SMP'!N137)</f>
        <v/>
      </c>
      <c r="O137" s="193" t="str">
        <f>IF('Observaciones-SMP'!O137="","",'Observaciones-SMP'!O137)</f>
        <v/>
      </c>
      <c r="P137" s="193" t="str">
        <f>IF('Observaciones-SMP'!P137="","",'Observaciones-SMP'!P137)</f>
        <v/>
      </c>
      <c r="Q137" s="257" t="str">
        <f>IF('Observaciones-SMP'!S137="","",'Observaciones-SMP'!S137)</f>
        <v/>
      </c>
      <c r="R137" s="193" t="str">
        <f>IF('Observaciones-SMP'!T137="","",'Observaciones-SMP'!T137)</f>
        <v/>
      </c>
      <c r="S137" s="193" t="str">
        <f>""</f>
        <v/>
      </c>
      <c r="T137" s="193" t="str">
        <f>""</f>
        <v/>
      </c>
      <c r="U137" s="193" t="str">
        <f t="shared" si="8"/>
        <v/>
      </c>
      <c r="V137" s="193" t="str">
        <f>""</f>
        <v/>
      </c>
      <c r="W137" s="193" t="str">
        <f>""</f>
        <v/>
      </c>
      <c r="X137" s="258" t="str">
        <f t="shared" si="9"/>
        <v/>
      </c>
      <c r="Y137" s="258" t="str">
        <f t="shared" si="10"/>
        <v/>
      </c>
      <c r="Z137" s="193" t="str">
        <f>IF(A137="","",IF(COUNTIF('Observaciones-SMP'!$A$2:$A$1001,A137)&gt;1,1,0))</f>
        <v/>
      </c>
      <c r="AA137" s="193" t="str">
        <f t="shared" si="11"/>
        <v/>
      </c>
    </row>
    <row r="138" spans="1:27" ht="13.5" customHeight="1" x14ac:dyDescent="0.3">
      <c r="A138" s="193" t="str">
        <f>IF('Observaciones-SMP'!A138="","",'Observaciones-SMP'!A138)</f>
        <v/>
      </c>
      <c r="B138" s="257" t="str">
        <f>IF('Observaciones-SMP'!B138="","",'Observaciones-SMP'!B138)</f>
        <v/>
      </c>
      <c r="C138" s="193" t="str">
        <f>IF('Observaciones-SMP'!C138="","",'Observaciones-SMP'!C138)</f>
        <v/>
      </c>
      <c r="D138" s="193" t="str">
        <f>IF('Observaciones-SMP'!D138="","",'Observaciones-SMP'!D138)</f>
        <v/>
      </c>
      <c r="E138" s="193" t="str">
        <f>IF('Observaciones-SMP'!E138="","",'Observaciones-SMP'!E138)</f>
        <v/>
      </c>
      <c r="F138" s="193" t="str">
        <f>IF('Observaciones-SMP'!F138="","",'Observaciones-SMP'!F138)</f>
        <v/>
      </c>
      <c r="G138" s="193" t="str">
        <f>IF('Observaciones-SMP'!G138="","",'Observaciones-SMP'!G138)</f>
        <v/>
      </c>
      <c r="H138" s="193" t="str">
        <f>IF('Observaciones-SMP'!H138="","",'Observaciones-SMP'!H138)</f>
        <v/>
      </c>
      <c r="I138" s="193" t="str">
        <f>IF('Observaciones-SMP'!I138="","",'Observaciones-SMP'!I138)</f>
        <v/>
      </c>
      <c r="J138" s="193" t="str">
        <f>IF('Observaciones-SMP'!J138="","",'Observaciones-SMP'!J138)</f>
        <v/>
      </c>
      <c r="K138" s="193" t="str">
        <f>IF('Observaciones-SMP'!K138="","",'Observaciones-SMP'!K138)</f>
        <v/>
      </c>
      <c r="L138" s="193" t="str">
        <f>IF('Observaciones-SMP'!L138="","",'Observaciones-SMP'!L138)</f>
        <v/>
      </c>
      <c r="M138" s="193" t="str">
        <f>IF('Observaciones-SMP'!M138="","",'Observaciones-SMP'!M138)</f>
        <v/>
      </c>
      <c r="N138" s="193" t="str">
        <f>IF('Observaciones-SMP'!N138="","",'Observaciones-SMP'!N138)</f>
        <v/>
      </c>
      <c r="O138" s="193" t="str">
        <f>IF('Observaciones-SMP'!O138="","",'Observaciones-SMP'!O138)</f>
        <v/>
      </c>
      <c r="P138" s="193" t="str">
        <f>IF('Observaciones-SMP'!P138="","",'Observaciones-SMP'!P138)</f>
        <v/>
      </c>
      <c r="Q138" s="257" t="str">
        <f>IF('Observaciones-SMP'!S138="","",'Observaciones-SMP'!S138)</f>
        <v/>
      </c>
      <c r="R138" s="193" t="str">
        <f>IF('Observaciones-SMP'!T138="","",'Observaciones-SMP'!T138)</f>
        <v/>
      </c>
      <c r="S138" s="193" t="str">
        <f>""</f>
        <v/>
      </c>
      <c r="T138" s="193" t="str">
        <f>""</f>
        <v/>
      </c>
      <c r="U138" s="193" t="str">
        <f t="shared" si="8"/>
        <v/>
      </c>
      <c r="V138" s="193" t="str">
        <f>""</f>
        <v/>
      </c>
      <c r="W138" s="193" t="str">
        <f>""</f>
        <v/>
      </c>
      <c r="X138" s="258" t="str">
        <f t="shared" si="9"/>
        <v/>
      </c>
      <c r="Y138" s="258" t="str">
        <f t="shared" si="10"/>
        <v/>
      </c>
      <c r="Z138" s="193" t="str">
        <f>IF(A138="","",IF(COUNTIF('Observaciones-SMP'!$A$2:$A$1001,A138)&gt;1,1,0))</f>
        <v/>
      </c>
      <c r="AA138" s="193" t="str">
        <f t="shared" si="11"/>
        <v/>
      </c>
    </row>
    <row r="139" spans="1:27" ht="13.5" customHeight="1" x14ac:dyDescent="0.3">
      <c r="A139" s="193" t="str">
        <f>IF('Observaciones-SMP'!A139="","",'Observaciones-SMP'!A139)</f>
        <v/>
      </c>
      <c r="B139" s="257" t="str">
        <f>IF('Observaciones-SMP'!B139="","",'Observaciones-SMP'!B139)</f>
        <v/>
      </c>
      <c r="C139" s="193" t="str">
        <f>IF('Observaciones-SMP'!C139="","",'Observaciones-SMP'!C139)</f>
        <v/>
      </c>
      <c r="D139" s="193" t="str">
        <f>IF('Observaciones-SMP'!D139="","",'Observaciones-SMP'!D139)</f>
        <v/>
      </c>
      <c r="E139" s="193" t="str">
        <f>IF('Observaciones-SMP'!E139="","",'Observaciones-SMP'!E139)</f>
        <v/>
      </c>
      <c r="F139" s="193" t="str">
        <f>IF('Observaciones-SMP'!F139="","",'Observaciones-SMP'!F139)</f>
        <v/>
      </c>
      <c r="G139" s="193" t="str">
        <f>IF('Observaciones-SMP'!G139="","",'Observaciones-SMP'!G139)</f>
        <v/>
      </c>
      <c r="H139" s="193" t="str">
        <f>IF('Observaciones-SMP'!H139="","",'Observaciones-SMP'!H139)</f>
        <v/>
      </c>
      <c r="I139" s="193" t="str">
        <f>IF('Observaciones-SMP'!I139="","",'Observaciones-SMP'!I139)</f>
        <v/>
      </c>
      <c r="J139" s="193" t="str">
        <f>IF('Observaciones-SMP'!J139="","",'Observaciones-SMP'!J139)</f>
        <v/>
      </c>
      <c r="K139" s="193" t="str">
        <f>IF('Observaciones-SMP'!K139="","",'Observaciones-SMP'!K139)</f>
        <v/>
      </c>
      <c r="L139" s="193" t="str">
        <f>IF('Observaciones-SMP'!L139="","",'Observaciones-SMP'!L139)</f>
        <v/>
      </c>
      <c r="M139" s="193" t="str">
        <f>IF('Observaciones-SMP'!M139="","",'Observaciones-SMP'!M139)</f>
        <v/>
      </c>
      <c r="N139" s="193" t="str">
        <f>IF('Observaciones-SMP'!N139="","",'Observaciones-SMP'!N139)</f>
        <v/>
      </c>
      <c r="O139" s="193" t="str">
        <f>IF('Observaciones-SMP'!O139="","",'Observaciones-SMP'!O139)</f>
        <v/>
      </c>
      <c r="P139" s="193" t="str">
        <f>IF('Observaciones-SMP'!P139="","",'Observaciones-SMP'!P139)</f>
        <v/>
      </c>
      <c r="Q139" s="257" t="str">
        <f>IF('Observaciones-SMP'!S139="","",'Observaciones-SMP'!S139)</f>
        <v/>
      </c>
      <c r="R139" s="193" t="str">
        <f>IF('Observaciones-SMP'!T139="","",'Observaciones-SMP'!T139)</f>
        <v/>
      </c>
      <c r="S139" s="193" t="str">
        <f>""</f>
        <v/>
      </c>
      <c r="T139" s="193" t="str">
        <f>""</f>
        <v/>
      </c>
      <c r="U139" s="193" t="str">
        <f t="shared" si="8"/>
        <v/>
      </c>
      <c r="V139" s="193" t="str">
        <f>""</f>
        <v/>
      </c>
      <c r="W139" s="193" t="str">
        <f>""</f>
        <v/>
      </c>
      <c r="X139" s="258" t="str">
        <f t="shared" si="9"/>
        <v/>
      </c>
      <c r="Y139" s="258" t="str">
        <f t="shared" si="10"/>
        <v/>
      </c>
      <c r="Z139" s="193" t="str">
        <f>IF(A139="","",IF(COUNTIF('Observaciones-SMP'!$A$2:$A$1001,A139)&gt;1,1,0))</f>
        <v/>
      </c>
      <c r="AA139" s="193" t="str">
        <f t="shared" si="11"/>
        <v/>
      </c>
    </row>
    <row r="140" spans="1:27" ht="13.5" customHeight="1" x14ac:dyDescent="0.3">
      <c r="A140" s="193" t="str">
        <f>IF('Observaciones-SMP'!A140="","",'Observaciones-SMP'!A140)</f>
        <v/>
      </c>
      <c r="B140" s="257" t="str">
        <f>IF('Observaciones-SMP'!B140="","",'Observaciones-SMP'!B140)</f>
        <v/>
      </c>
      <c r="C140" s="193" t="str">
        <f>IF('Observaciones-SMP'!C140="","",'Observaciones-SMP'!C140)</f>
        <v/>
      </c>
      <c r="D140" s="193" t="str">
        <f>IF('Observaciones-SMP'!D140="","",'Observaciones-SMP'!D140)</f>
        <v/>
      </c>
      <c r="E140" s="193" t="str">
        <f>IF('Observaciones-SMP'!E140="","",'Observaciones-SMP'!E140)</f>
        <v/>
      </c>
      <c r="F140" s="193" t="str">
        <f>IF('Observaciones-SMP'!F140="","",'Observaciones-SMP'!F140)</f>
        <v/>
      </c>
      <c r="G140" s="193" t="str">
        <f>IF('Observaciones-SMP'!G140="","",'Observaciones-SMP'!G140)</f>
        <v/>
      </c>
      <c r="H140" s="193" t="str">
        <f>IF('Observaciones-SMP'!H140="","",'Observaciones-SMP'!H140)</f>
        <v/>
      </c>
      <c r="I140" s="193" t="str">
        <f>IF('Observaciones-SMP'!I140="","",'Observaciones-SMP'!I140)</f>
        <v/>
      </c>
      <c r="J140" s="193" t="str">
        <f>IF('Observaciones-SMP'!J140="","",'Observaciones-SMP'!J140)</f>
        <v/>
      </c>
      <c r="K140" s="193" t="str">
        <f>IF('Observaciones-SMP'!K140="","",'Observaciones-SMP'!K140)</f>
        <v/>
      </c>
      <c r="L140" s="193" t="str">
        <f>IF('Observaciones-SMP'!L140="","",'Observaciones-SMP'!L140)</f>
        <v/>
      </c>
      <c r="M140" s="193" t="str">
        <f>IF('Observaciones-SMP'!M140="","",'Observaciones-SMP'!M140)</f>
        <v/>
      </c>
      <c r="N140" s="193" t="str">
        <f>IF('Observaciones-SMP'!N140="","",'Observaciones-SMP'!N140)</f>
        <v/>
      </c>
      <c r="O140" s="193" t="str">
        <f>IF('Observaciones-SMP'!O140="","",'Observaciones-SMP'!O140)</f>
        <v/>
      </c>
      <c r="P140" s="193" t="str">
        <f>IF('Observaciones-SMP'!P140="","",'Observaciones-SMP'!P140)</f>
        <v/>
      </c>
      <c r="Q140" s="257" t="str">
        <f>IF('Observaciones-SMP'!S140="","",'Observaciones-SMP'!S140)</f>
        <v/>
      </c>
      <c r="R140" s="193" t="str">
        <f>IF('Observaciones-SMP'!T140="","",'Observaciones-SMP'!T140)</f>
        <v/>
      </c>
      <c r="S140" s="193" t="str">
        <f>""</f>
        <v/>
      </c>
      <c r="T140" s="193" t="str">
        <f>""</f>
        <v/>
      </c>
      <c r="U140" s="193" t="str">
        <f t="shared" si="8"/>
        <v/>
      </c>
      <c r="V140" s="193" t="str">
        <f>""</f>
        <v/>
      </c>
      <c r="W140" s="193" t="str">
        <f>""</f>
        <v/>
      </c>
      <c r="X140" s="258" t="str">
        <f t="shared" si="9"/>
        <v/>
      </c>
      <c r="Y140" s="258" t="str">
        <f t="shared" si="10"/>
        <v/>
      </c>
      <c r="Z140" s="193" t="str">
        <f>IF(A140="","",IF(COUNTIF('Observaciones-SMP'!$A$2:$A$1001,A140)&gt;1,1,0))</f>
        <v/>
      </c>
      <c r="AA140" s="193" t="str">
        <f t="shared" si="11"/>
        <v/>
      </c>
    </row>
    <row r="141" spans="1:27" ht="13.5" customHeight="1" x14ac:dyDescent="0.3">
      <c r="A141" s="193" t="str">
        <f>IF('Observaciones-SMP'!A141="","",'Observaciones-SMP'!A141)</f>
        <v/>
      </c>
      <c r="B141" s="257" t="str">
        <f>IF('Observaciones-SMP'!B141="","",'Observaciones-SMP'!B141)</f>
        <v/>
      </c>
      <c r="C141" s="193" t="str">
        <f>IF('Observaciones-SMP'!C141="","",'Observaciones-SMP'!C141)</f>
        <v/>
      </c>
      <c r="D141" s="193" t="str">
        <f>IF('Observaciones-SMP'!D141="","",'Observaciones-SMP'!D141)</f>
        <v/>
      </c>
      <c r="E141" s="193" t="str">
        <f>IF('Observaciones-SMP'!E141="","",'Observaciones-SMP'!E141)</f>
        <v/>
      </c>
      <c r="F141" s="193" t="str">
        <f>IF('Observaciones-SMP'!F141="","",'Observaciones-SMP'!F141)</f>
        <v/>
      </c>
      <c r="G141" s="193" t="str">
        <f>IF('Observaciones-SMP'!G141="","",'Observaciones-SMP'!G141)</f>
        <v/>
      </c>
      <c r="H141" s="193" t="str">
        <f>IF('Observaciones-SMP'!H141="","",'Observaciones-SMP'!H141)</f>
        <v/>
      </c>
      <c r="I141" s="193" t="str">
        <f>IF('Observaciones-SMP'!I141="","",'Observaciones-SMP'!I141)</f>
        <v/>
      </c>
      <c r="J141" s="193" t="str">
        <f>IF('Observaciones-SMP'!J141="","",'Observaciones-SMP'!J141)</f>
        <v/>
      </c>
      <c r="K141" s="193" t="str">
        <f>IF('Observaciones-SMP'!K141="","",'Observaciones-SMP'!K141)</f>
        <v/>
      </c>
      <c r="L141" s="193" t="str">
        <f>IF('Observaciones-SMP'!L141="","",'Observaciones-SMP'!L141)</f>
        <v/>
      </c>
      <c r="M141" s="193" t="str">
        <f>IF('Observaciones-SMP'!M141="","",'Observaciones-SMP'!M141)</f>
        <v/>
      </c>
      <c r="N141" s="193" t="str">
        <f>IF('Observaciones-SMP'!N141="","",'Observaciones-SMP'!N141)</f>
        <v/>
      </c>
      <c r="O141" s="193" t="str">
        <f>IF('Observaciones-SMP'!O141="","",'Observaciones-SMP'!O141)</f>
        <v/>
      </c>
      <c r="P141" s="193" t="str">
        <f>IF('Observaciones-SMP'!P141="","",'Observaciones-SMP'!P141)</f>
        <v/>
      </c>
      <c r="Q141" s="257" t="str">
        <f>IF('Observaciones-SMP'!S141="","",'Observaciones-SMP'!S141)</f>
        <v/>
      </c>
      <c r="R141" s="193" t="str">
        <f>IF('Observaciones-SMP'!T141="","",'Observaciones-SMP'!T141)</f>
        <v/>
      </c>
      <c r="S141" s="193" t="str">
        <f>""</f>
        <v/>
      </c>
      <c r="T141" s="193" t="str">
        <f>""</f>
        <v/>
      </c>
      <c r="U141" s="193" t="str">
        <f t="shared" si="8"/>
        <v/>
      </c>
      <c r="V141" s="193" t="str">
        <f>""</f>
        <v/>
      </c>
      <c r="W141" s="193" t="str">
        <f>""</f>
        <v/>
      </c>
      <c r="X141" s="258" t="str">
        <f t="shared" si="9"/>
        <v/>
      </c>
      <c r="Y141" s="258" t="str">
        <f t="shared" si="10"/>
        <v/>
      </c>
      <c r="Z141" s="193" t="str">
        <f>IF(A141="","",IF(COUNTIF('Observaciones-SMP'!$A$2:$A$1001,A141)&gt;1,1,0))</f>
        <v/>
      </c>
      <c r="AA141" s="193" t="str">
        <f t="shared" si="11"/>
        <v/>
      </c>
    </row>
    <row r="142" spans="1:27" ht="13.5" customHeight="1" x14ac:dyDescent="0.3">
      <c r="A142" s="193" t="str">
        <f>IF('Observaciones-SMP'!A142="","",'Observaciones-SMP'!A142)</f>
        <v/>
      </c>
      <c r="B142" s="257" t="str">
        <f>IF('Observaciones-SMP'!B142="","",'Observaciones-SMP'!B142)</f>
        <v/>
      </c>
      <c r="C142" s="193" t="str">
        <f>IF('Observaciones-SMP'!C142="","",'Observaciones-SMP'!C142)</f>
        <v/>
      </c>
      <c r="D142" s="193" t="str">
        <f>IF('Observaciones-SMP'!D142="","",'Observaciones-SMP'!D142)</f>
        <v/>
      </c>
      <c r="E142" s="193" t="str">
        <f>IF('Observaciones-SMP'!E142="","",'Observaciones-SMP'!E142)</f>
        <v/>
      </c>
      <c r="F142" s="193" t="str">
        <f>IF('Observaciones-SMP'!F142="","",'Observaciones-SMP'!F142)</f>
        <v/>
      </c>
      <c r="G142" s="193" t="str">
        <f>IF('Observaciones-SMP'!G142="","",'Observaciones-SMP'!G142)</f>
        <v/>
      </c>
      <c r="H142" s="193" t="str">
        <f>IF('Observaciones-SMP'!H142="","",'Observaciones-SMP'!H142)</f>
        <v/>
      </c>
      <c r="I142" s="193" t="str">
        <f>IF('Observaciones-SMP'!I142="","",'Observaciones-SMP'!I142)</f>
        <v/>
      </c>
      <c r="J142" s="193" t="str">
        <f>IF('Observaciones-SMP'!J142="","",'Observaciones-SMP'!J142)</f>
        <v/>
      </c>
      <c r="K142" s="193" t="str">
        <f>IF('Observaciones-SMP'!K142="","",'Observaciones-SMP'!K142)</f>
        <v/>
      </c>
      <c r="L142" s="193" t="str">
        <f>IF('Observaciones-SMP'!L142="","",'Observaciones-SMP'!L142)</f>
        <v/>
      </c>
      <c r="M142" s="193" t="str">
        <f>IF('Observaciones-SMP'!M142="","",'Observaciones-SMP'!M142)</f>
        <v/>
      </c>
      <c r="N142" s="193" t="str">
        <f>IF('Observaciones-SMP'!N142="","",'Observaciones-SMP'!N142)</f>
        <v/>
      </c>
      <c r="O142" s="193" t="str">
        <f>IF('Observaciones-SMP'!O142="","",'Observaciones-SMP'!O142)</f>
        <v/>
      </c>
      <c r="P142" s="193" t="str">
        <f>IF('Observaciones-SMP'!P142="","",'Observaciones-SMP'!P142)</f>
        <v/>
      </c>
      <c r="Q142" s="257" t="str">
        <f>IF('Observaciones-SMP'!S142="","",'Observaciones-SMP'!S142)</f>
        <v/>
      </c>
      <c r="R142" s="193" t="str">
        <f>IF('Observaciones-SMP'!T142="","",'Observaciones-SMP'!T142)</f>
        <v/>
      </c>
      <c r="S142" s="193" t="str">
        <f>""</f>
        <v/>
      </c>
      <c r="T142" s="193" t="str">
        <f>""</f>
        <v/>
      </c>
      <c r="U142" s="193" t="str">
        <f t="shared" si="8"/>
        <v/>
      </c>
      <c r="V142" s="193" t="str">
        <f>""</f>
        <v/>
      </c>
      <c r="W142" s="193" t="str">
        <f>""</f>
        <v/>
      </c>
      <c r="X142" s="258" t="str">
        <f t="shared" si="9"/>
        <v/>
      </c>
      <c r="Y142" s="258" t="str">
        <f t="shared" si="10"/>
        <v/>
      </c>
      <c r="Z142" s="193" t="str">
        <f>IF(A142="","",IF(COUNTIF('Observaciones-SMP'!$A$2:$A$1001,A142)&gt;1,1,0))</f>
        <v/>
      </c>
      <c r="AA142" s="193" t="str">
        <f t="shared" si="11"/>
        <v/>
      </c>
    </row>
    <row r="143" spans="1:27" ht="13.5" customHeight="1" x14ac:dyDescent="0.3">
      <c r="A143" s="193" t="str">
        <f>IF('Observaciones-SMP'!A143="","",'Observaciones-SMP'!A143)</f>
        <v/>
      </c>
      <c r="B143" s="257" t="str">
        <f>IF('Observaciones-SMP'!B143="","",'Observaciones-SMP'!B143)</f>
        <v/>
      </c>
      <c r="C143" s="193" t="str">
        <f>IF('Observaciones-SMP'!C143="","",'Observaciones-SMP'!C143)</f>
        <v/>
      </c>
      <c r="D143" s="193" t="str">
        <f>IF('Observaciones-SMP'!D143="","",'Observaciones-SMP'!D143)</f>
        <v/>
      </c>
      <c r="E143" s="193" t="str">
        <f>IF('Observaciones-SMP'!E143="","",'Observaciones-SMP'!E143)</f>
        <v/>
      </c>
      <c r="F143" s="193" t="str">
        <f>IF('Observaciones-SMP'!F143="","",'Observaciones-SMP'!F143)</f>
        <v/>
      </c>
      <c r="G143" s="193" t="str">
        <f>IF('Observaciones-SMP'!G143="","",'Observaciones-SMP'!G143)</f>
        <v/>
      </c>
      <c r="H143" s="193" t="str">
        <f>IF('Observaciones-SMP'!H143="","",'Observaciones-SMP'!H143)</f>
        <v/>
      </c>
      <c r="I143" s="193" t="str">
        <f>IF('Observaciones-SMP'!I143="","",'Observaciones-SMP'!I143)</f>
        <v/>
      </c>
      <c r="J143" s="193" t="str">
        <f>IF('Observaciones-SMP'!J143="","",'Observaciones-SMP'!J143)</f>
        <v/>
      </c>
      <c r="K143" s="193" t="str">
        <f>IF('Observaciones-SMP'!K143="","",'Observaciones-SMP'!K143)</f>
        <v/>
      </c>
      <c r="L143" s="193" t="str">
        <f>IF('Observaciones-SMP'!L143="","",'Observaciones-SMP'!L143)</f>
        <v/>
      </c>
      <c r="M143" s="193" t="str">
        <f>IF('Observaciones-SMP'!M143="","",'Observaciones-SMP'!M143)</f>
        <v/>
      </c>
      <c r="N143" s="193" t="str">
        <f>IF('Observaciones-SMP'!N143="","",'Observaciones-SMP'!N143)</f>
        <v/>
      </c>
      <c r="O143" s="193" t="str">
        <f>IF('Observaciones-SMP'!O143="","",'Observaciones-SMP'!O143)</f>
        <v/>
      </c>
      <c r="P143" s="193" t="str">
        <f>IF('Observaciones-SMP'!P143="","",'Observaciones-SMP'!P143)</f>
        <v/>
      </c>
      <c r="Q143" s="257" t="str">
        <f>IF('Observaciones-SMP'!S143="","",'Observaciones-SMP'!S143)</f>
        <v/>
      </c>
      <c r="R143" s="193" t="str">
        <f>IF('Observaciones-SMP'!T143="","",'Observaciones-SMP'!T143)</f>
        <v/>
      </c>
      <c r="S143" s="193" t="str">
        <f>""</f>
        <v/>
      </c>
      <c r="T143" s="193" t="str">
        <f>""</f>
        <v/>
      </c>
      <c r="U143" s="193" t="str">
        <f t="shared" si="8"/>
        <v/>
      </c>
      <c r="V143" s="193" t="str">
        <f>""</f>
        <v/>
      </c>
      <c r="W143" s="193" t="str">
        <f>""</f>
        <v/>
      </c>
      <c r="X143" s="258" t="str">
        <f t="shared" si="9"/>
        <v/>
      </c>
      <c r="Y143" s="258" t="str">
        <f t="shared" si="10"/>
        <v/>
      </c>
      <c r="Z143" s="193" t="str">
        <f>IF(A143="","",IF(COUNTIF('Observaciones-SMP'!$A$2:$A$1001,A143)&gt;1,1,0))</f>
        <v/>
      </c>
      <c r="AA143" s="193" t="str">
        <f t="shared" si="11"/>
        <v/>
      </c>
    </row>
    <row r="144" spans="1:27" ht="13.5" customHeight="1" x14ac:dyDescent="0.3">
      <c r="A144" s="193" t="str">
        <f>IF('Observaciones-SMP'!A144="","",'Observaciones-SMP'!A144)</f>
        <v/>
      </c>
      <c r="B144" s="257" t="str">
        <f>IF('Observaciones-SMP'!B144="","",'Observaciones-SMP'!B144)</f>
        <v/>
      </c>
      <c r="C144" s="193" t="str">
        <f>IF('Observaciones-SMP'!C144="","",'Observaciones-SMP'!C144)</f>
        <v/>
      </c>
      <c r="D144" s="193" t="str">
        <f>IF('Observaciones-SMP'!D144="","",'Observaciones-SMP'!D144)</f>
        <v/>
      </c>
      <c r="E144" s="193" t="str">
        <f>IF('Observaciones-SMP'!E144="","",'Observaciones-SMP'!E144)</f>
        <v/>
      </c>
      <c r="F144" s="193" t="str">
        <f>IF('Observaciones-SMP'!F144="","",'Observaciones-SMP'!F144)</f>
        <v/>
      </c>
      <c r="G144" s="193" t="str">
        <f>IF('Observaciones-SMP'!G144="","",'Observaciones-SMP'!G144)</f>
        <v/>
      </c>
      <c r="H144" s="193" t="str">
        <f>IF('Observaciones-SMP'!H144="","",'Observaciones-SMP'!H144)</f>
        <v/>
      </c>
      <c r="I144" s="193" t="str">
        <f>IF('Observaciones-SMP'!I144="","",'Observaciones-SMP'!I144)</f>
        <v/>
      </c>
      <c r="J144" s="193" t="str">
        <f>IF('Observaciones-SMP'!J144="","",'Observaciones-SMP'!J144)</f>
        <v/>
      </c>
      <c r="K144" s="193" t="str">
        <f>IF('Observaciones-SMP'!K144="","",'Observaciones-SMP'!K144)</f>
        <v/>
      </c>
      <c r="L144" s="193" t="str">
        <f>IF('Observaciones-SMP'!L144="","",'Observaciones-SMP'!L144)</f>
        <v/>
      </c>
      <c r="M144" s="193" t="str">
        <f>IF('Observaciones-SMP'!M144="","",'Observaciones-SMP'!M144)</f>
        <v/>
      </c>
      <c r="N144" s="193" t="str">
        <f>IF('Observaciones-SMP'!N144="","",'Observaciones-SMP'!N144)</f>
        <v/>
      </c>
      <c r="O144" s="193" t="str">
        <f>IF('Observaciones-SMP'!O144="","",'Observaciones-SMP'!O144)</f>
        <v/>
      </c>
      <c r="P144" s="193" t="str">
        <f>IF('Observaciones-SMP'!P144="","",'Observaciones-SMP'!P144)</f>
        <v/>
      </c>
      <c r="Q144" s="257" t="str">
        <f>IF('Observaciones-SMP'!S144="","",'Observaciones-SMP'!S144)</f>
        <v/>
      </c>
      <c r="R144" s="193" t="str">
        <f>IF('Observaciones-SMP'!T144="","",'Observaciones-SMP'!T144)</f>
        <v/>
      </c>
      <c r="S144" s="193" t="str">
        <f>""</f>
        <v/>
      </c>
      <c r="T144" s="193" t="str">
        <f>""</f>
        <v/>
      </c>
      <c r="U144" s="193" t="str">
        <f t="shared" si="8"/>
        <v/>
      </c>
      <c r="V144" s="193" t="str">
        <f>""</f>
        <v/>
      </c>
      <c r="W144" s="193" t="str">
        <f>""</f>
        <v/>
      </c>
      <c r="X144" s="258" t="str">
        <f t="shared" si="9"/>
        <v/>
      </c>
      <c r="Y144" s="258" t="str">
        <f t="shared" si="10"/>
        <v/>
      </c>
      <c r="Z144" s="193" t="str">
        <f>IF(A144="","",IF(COUNTIF('Observaciones-SMP'!$A$2:$A$1001,A144)&gt;1,1,0))</f>
        <v/>
      </c>
      <c r="AA144" s="193" t="str">
        <f t="shared" si="11"/>
        <v/>
      </c>
    </row>
    <row r="145" spans="1:27" ht="13.5" customHeight="1" x14ac:dyDescent="0.3">
      <c r="A145" s="193" t="str">
        <f>IF('Observaciones-SMP'!A145="","",'Observaciones-SMP'!A145)</f>
        <v/>
      </c>
      <c r="B145" s="257" t="str">
        <f>IF('Observaciones-SMP'!B145="","",'Observaciones-SMP'!B145)</f>
        <v/>
      </c>
      <c r="C145" s="193" t="str">
        <f>IF('Observaciones-SMP'!C145="","",'Observaciones-SMP'!C145)</f>
        <v/>
      </c>
      <c r="D145" s="193" t="str">
        <f>IF('Observaciones-SMP'!D145="","",'Observaciones-SMP'!D145)</f>
        <v/>
      </c>
      <c r="E145" s="193" t="str">
        <f>IF('Observaciones-SMP'!E145="","",'Observaciones-SMP'!E145)</f>
        <v/>
      </c>
      <c r="F145" s="193" t="str">
        <f>IF('Observaciones-SMP'!F145="","",'Observaciones-SMP'!F145)</f>
        <v/>
      </c>
      <c r="G145" s="193" t="str">
        <f>IF('Observaciones-SMP'!G145="","",'Observaciones-SMP'!G145)</f>
        <v/>
      </c>
      <c r="H145" s="193" t="str">
        <f>IF('Observaciones-SMP'!H145="","",'Observaciones-SMP'!H145)</f>
        <v/>
      </c>
      <c r="I145" s="193" t="str">
        <f>IF('Observaciones-SMP'!I145="","",'Observaciones-SMP'!I145)</f>
        <v/>
      </c>
      <c r="J145" s="193" t="str">
        <f>IF('Observaciones-SMP'!J145="","",'Observaciones-SMP'!J145)</f>
        <v/>
      </c>
      <c r="K145" s="193" t="str">
        <f>IF('Observaciones-SMP'!K145="","",'Observaciones-SMP'!K145)</f>
        <v/>
      </c>
      <c r="L145" s="193" t="str">
        <f>IF('Observaciones-SMP'!L145="","",'Observaciones-SMP'!L145)</f>
        <v/>
      </c>
      <c r="M145" s="193" t="str">
        <f>IF('Observaciones-SMP'!M145="","",'Observaciones-SMP'!M145)</f>
        <v/>
      </c>
      <c r="N145" s="193" t="str">
        <f>IF('Observaciones-SMP'!N145="","",'Observaciones-SMP'!N145)</f>
        <v/>
      </c>
      <c r="O145" s="193" t="str">
        <f>IF('Observaciones-SMP'!O145="","",'Observaciones-SMP'!O145)</f>
        <v/>
      </c>
      <c r="P145" s="193" t="str">
        <f>IF('Observaciones-SMP'!P145="","",'Observaciones-SMP'!P145)</f>
        <v/>
      </c>
      <c r="Q145" s="257" t="str">
        <f>IF('Observaciones-SMP'!S145="","",'Observaciones-SMP'!S145)</f>
        <v/>
      </c>
      <c r="R145" s="193" t="str">
        <f>IF('Observaciones-SMP'!T145="","",'Observaciones-SMP'!T145)</f>
        <v/>
      </c>
      <c r="S145" s="193" t="str">
        <f>""</f>
        <v/>
      </c>
      <c r="T145" s="193" t="str">
        <f>""</f>
        <v/>
      </c>
      <c r="U145" s="193" t="str">
        <f t="shared" si="8"/>
        <v/>
      </c>
      <c r="V145" s="193" t="str">
        <f>""</f>
        <v/>
      </c>
      <c r="W145" s="193" t="str">
        <f>""</f>
        <v/>
      </c>
      <c r="X145" s="258" t="str">
        <f t="shared" si="9"/>
        <v/>
      </c>
      <c r="Y145" s="258" t="str">
        <f t="shared" si="10"/>
        <v/>
      </c>
      <c r="Z145" s="193" t="str">
        <f>IF(A145="","",IF(COUNTIF('Observaciones-SMP'!$A$2:$A$1001,A145)&gt;1,1,0))</f>
        <v/>
      </c>
      <c r="AA145" s="193" t="str">
        <f t="shared" si="11"/>
        <v/>
      </c>
    </row>
    <row r="146" spans="1:27" ht="13.5" customHeight="1" x14ac:dyDescent="0.3">
      <c r="A146" s="193" t="str">
        <f>IF('Observaciones-SMP'!A146="","",'Observaciones-SMP'!A146)</f>
        <v/>
      </c>
      <c r="B146" s="257" t="str">
        <f>IF('Observaciones-SMP'!B146="","",'Observaciones-SMP'!B146)</f>
        <v/>
      </c>
      <c r="C146" s="193" t="str">
        <f>IF('Observaciones-SMP'!C146="","",'Observaciones-SMP'!C146)</f>
        <v/>
      </c>
      <c r="D146" s="193" t="str">
        <f>IF('Observaciones-SMP'!D146="","",'Observaciones-SMP'!D146)</f>
        <v/>
      </c>
      <c r="E146" s="193" t="str">
        <f>IF('Observaciones-SMP'!E146="","",'Observaciones-SMP'!E146)</f>
        <v/>
      </c>
      <c r="F146" s="193" t="str">
        <f>IF('Observaciones-SMP'!F146="","",'Observaciones-SMP'!F146)</f>
        <v/>
      </c>
      <c r="G146" s="193" t="str">
        <f>IF('Observaciones-SMP'!G146="","",'Observaciones-SMP'!G146)</f>
        <v/>
      </c>
      <c r="H146" s="193" t="str">
        <f>IF('Observaciones-SMP'!H146="","",'Observaciones-SMP'!H146)</f>
        <v/>
      </c>
      <c r="I146" s="193" t="str">
        <f>IF('Observaciones-SMP'!I146="","",'Observaciones-SMP'!I146)</f>
        <v/>
      </c>
      <c r="J146" s="193" t="str">
        <f>IF('Observaciones-SMP'!J146="","",'Observaciones-SMP'!J146)</f>
        <v/>
      </c>
      <c r="K146" s="193" t="str">
        <f>IF('Observaciones-SMP'!K146="","",'Observaciones-SMP'!K146)</f>
        <v/>
      </c>
      <c r="L146" s="193" t="str">
        <f>IF('Observaciones-SMP'!L146="","",'Observaciones-SMP'!L146)</f>
        <v/>
      </c>
      <c r="M146" s="193" t="str">
        <f>IF('Observaciones-SMP'!M146="","",'Observaciones-SMP'!M146)</f>
        <v/>
      </c>
      <c r="N146" s="193" t="str">
        <f>IF('Observaciones-SMP'!N146="","",'Observaciones-SMP'!N146)</f>
        <v/>
      </c>
      <c r="O146" s="193" t="str">
        <f>IF('Observaciones-SMP'!O146="","",'Observaciones-SMP'!O146)</f>
        <v/>
      </c>
      <c r="P146" s="193" t="str">
        <f>IF('Observaciones-SMP'!P146="","",'Observaciones-SMP'!P146)</f>
        <v/>
      </c>
      <c r="Q146" s="257" t="str">
        <f>IF('Observaciones-SMP'!S146="","",'Observaciones-SMP'!S146)</f>
        <v/>
      </c>
      <c r="R146" s="193" t="str">
        <f>IF('Observaciones-SMP'!T146="","",'Observaciones-SMP'!T146)</f>
        <v/>
      </c>
      <c r="S146" s="193" t="str">
        <f>""</f>
        <v/>
      </c>
      <c r="T146" s="193" t="str">
        <f>""</f>
        <v/>
      </c>
      <c r="U146" s="193" t="str">
        <f t="shared" si="8"/>
        <v/>
      </c>
      <c r="V146" s="193" t="str">
        <f>""</f>
        <v/>
      </c>
      <c r="W146" s="193" t="str">
        <f>""</f>
        <v/>
      </c>
      <c r="X146" s="258" t="str">
        <f t="shared" si="9"/>
        <v/>
      </c>
      <c r="Y146" s="258" t="str">
        <f t="shared" si="10"/>
        <v/>
      </c>
      <c r="Z146" s="193" t="str">
        <f>IF(A146="","",IF(COUNTIF('Observaciones-SMP'!$A$2:$A$1001,A146)&gt;1,1,0))</f>
        <v/>
      </c>
      <c r="AA146" s="193" t="str">
        <f t="shared" si="11"/>
        <v/>
      </c>
    </row>
    <row r="147" spans="1:27" ht="13.5" customHeight="1" x14ac:dyDescent="0.3">
      <c r="A147" s="193" t="str">
        <f>IF('Observaciones-SMP'!A147="","",'Observaciones-SMP'!A147)</f>
        <v/>
      </c>
      <c r="B147" s="257" t="str">
        <f>IF('Observaciones-SMP'!B147="","",'Observaciones-SMP'!B147)</f>
        <v/>
      </c>
      <c r="C147" s="193" t="str">
        <f>IF('Observaciones-SMP'!C147="","",'Observaciones-SMP'!C147)</f>
        <v/>
      </c>
      <c r="D147" s="193" t="str">
        <f>IF('Observaciones-SMP'!D147="","",'Observaciones-SMP'!D147)</f>
        <v/>
      </c>
      <c r="E147" s="193" t="str">
        <f>IF('Observaciones-SMP'!E147="","",'Observaciones-SMP'!E147)</f>
        <v/>
      </c>
      <c r="F147" s="193" t="str">
        <f>IF('Observaciones-SMP'!F147="","",'Observaciones-SMP'!F147)</f>
        <v/>
      </c>
      <c r="G147" s="193" t="str">
        <f>IF('Observaciones-SMP'!G147="","",'Observaciones-SMP'!G147)</f>
        <v/>
      </c>
      <c r="H147" s="193" t="str">
        <f>IF('Observaciones-SMP'!H147="","",'Observaciones-SMP'!H147)</f>
        <v/>
      </c>
      <c r="I147" s="193" t="str">
        <f>IF('Observaciones-SMP'!I147="","",'Observaciones-SMP'!I147)</f>
        <v/>
      </c>
      <c r="J147" s="193" t="str">
        <f>IF('Observaciones-SMP'!J147="","",'Observaciones-SMP'!J147)</f>
        <v/>
      </c>
      <c r="K147" s="193" t="str">
        <f>IF('Observaciones-SMP'!K147="","",'Observaciones-SMP'!K147)</f>
        <v/>
      </c>
      <c r="L147" s="193" t="str">
        <f>IF('Observaciones-SMP'!L147="","",'Observaciones-SMP'!L147)</f>
        <v/>
      </c>
      <c r="M147" s="193" t="str">
        <f>IF('Observaciones-SMP'!M147="","",'Observaciones-SMP'!M147)</f>
        <v/>
      </c>
      <c r="N147" s="193" t="str">
        <f>IF('Observaciones-SMP'!N147="","",'Observaciones-SMP'!N147)</f>
        <v/>
      </c>
      <c r="O147" s="193" t="str">
        <f>IF('Observaciones-SMP'!O147="","",'Observaciones-SMP'!O147)</f>
        <v/>
      </c>
      <c r="P147" s="193" t="str">
        <f>IF('Observaciones-SMP'!P147="","",'Observaciones-SMP'!P147)</f>
        <v/>
      </c>
      <c r="Q147" s="257" t="str">
        <f>IF('Observaciones-SMP'!S147="","",'Observaciones-SMP'!S147)</f>
        <v/>
      </c>
      <c r="R147" s="193" t="str">
        <f>IF('Observaciones-SMP'!T147="","",'Observaciones-SMP'!T147)</f>
        <v/>
      </c>
      <c r="S147" s="193" t="str">
        <f>""</f>
        <v/>
      </c>
      <c r="T147" s="193" t="str">
        <f>""</f>
        <v/>
      </c>
      <c r="U147" s="193" t="str">
        <f t="shared" si="8"/>
        <v/>
      </c>
      <c r="V147" s="193" t="str">
        <f>""</f>
        <v/>
      </c>
      <c r="W147" s="193" t="str">
        <f>""</f>
        <v/>
      </c>
      <c r="X147" s="258" t="str">
        <f t="shared" si="9"/>
        <v/>
      </c>
      <c r="Y147" s="258" t="str">
        <f t="shared" si="10"/>
        <v/>
      </c>
      <c r="Z147" s="193" t="str">
        <f>IF(A147="","",IF(COUNTIF('Observaciones-SMP'!$A$2:$A$1001,A147)&gt;1,1,0))</f>
        <v/>
      </c>
      <c r="AA147" s="193" t="str">
        <f t="shared" si="11"/>
        <v/>
      </c>
    </row>
    <row r="148" spans="1:27" ht="13.5" customHeight="1" x14ac:dyDescent="0.3">
      <c r="A148" s="193" t="str">
        <f>IF('Observaciones-SMP'!A148="","",'Observaciones-SMP'!A148)</f>
        <v/>
      </c>
      <c r="B148" s="257" t="str">
        <f>IF('Observaciones-SMP'!B148="","",'Observaciones-SMP'!B148)</f>
        <v/>
      </c>
      <c r="C148" s="193" t="str">
        <f>IF('Observaciones-SMP'!C148="","",'Observaciones-SMP'!C148)</f>
        <v/>
      </c>
      <c r="D148" s="193" t="str">
        <f>IF('Observaciones-SMP'!D148="","",'Observaciones-SMP'!D148)</f>
        <v/>
      </c>
      <c r="E148" s="193" t="str">
        <f>IF('Observaciones-SMP'!E148="","",'Observaciones-SMP'!E148)</f>
        <v/>
      </c>
      <c r="F148" s="193" t="str">
        <f>IF('Observaciones-SMP'!F148="","",'Observaciones-SMP'!F148)</f>
        <v/>
      </c>
      <c r="G148" s="193" t="str">
        <f>IF('Observaciones-SMP'!G148="","",'Observaciones-SMP'!G148)</f>
        <v/>
      </c>
      <c r="H148" s="193" t="str">
        <f>IF('Observaciones-SMP'!H148="","",'Observaciones-SMP'!H148)</f>
        <v/>
      </c>
      <c r="I148" s="193" t="str">
        <f>IF('Observaciones-SMP'!I148="","",'Observaciones-SMP'!I148)</f>
        <v/>
      </c>
      <c r="J148" s="193" t="str">
        <f>IF('Observaciones-SMP'!J148="","",'Observaciones-SMP'!J148)</f>
        <v/>
      </c>
      <c r="K148" s="193" t="str">
        <f>IF('Observaciones-SMP'!K148="","",'Observaciones-SMP'!K148)</f>
        <v/>
      </c>
      <c r="L148" s="193" t="str">
        <f>IF('Observaciones-SMP'!L148="","",'Observaciones-SMP'!L148)</f>
        <v/>
      </c>
      <c r="M148" s="193" t="str">
        <f>IF('Observaciones-SMP'!M148="","",'Observaciones-SMP'!M148)</f>
        <v/>
      </c>
      <c r="N148" s="193" t="str">
        <f>IF('Observaciones-SMP'!N148="","",'Observaciones-SMP'!N148)</f>
        <v/>
      </c>
      <c r="O148" s="193" t="str">
        <f>IF('Observaciones-SMP'!O148="","",'Observaciones-SMP'!O148)</f>
        <v/>
      </c>
      <c r="P148" s="193" t="str">
        <f>IF('Observaciones-SMP'!P148="","",'Observaciones-SMP'!P148)</f>
        <v/>
      </c>
      <c r="Q148" s="257" t="str">
        <f>IF('Observaciones-SMP'!S148="","",'Observaciones-SMP'!S148)</f>
        <v/>
      </c>
      <c r="R148" s="193" t="str">
        <f>IF('Observaciones-SMP'!T148="","",'Observaciones-SMP'!T148)</f>
        <v/>
      </c>
      <c r="S148" s="193" t="str">
        <f>""</f>
        <v/>
      </c>
      <c r="T148" s="193" t="str">
        <f>""</f>
        <v/>
      </c>
      <c r="U148" s="193" t="str">
        <f t="shared" si="8"/>
        <v/>
      </c>
      <c r="V148" s="193" t="str">
        <f>""</f>
        <v/>
      </c>
      <c r="W148" s="193" t="str">
        <f>""</f>
        <v/>
      </c>
      <c r="X148" s="258" t="str">
        <f t="shared" si="9"/>
        <v/>
      </c>
      <c r="Y148" s="258" t="str">
        <f t="shared" si="10"/>
        <v/>
      </c>
      <c r="Z148" s="193" t="str">
        <f>IF(A148="","",IF(COUNTIF('Observaciones-SMP'!$A$2:$A$1001,A148)&gt;1,1,0))</f>
        <v/>
      </c>
      <c r="AA148" s="193" t="str">
        <f t="shared" si="11"/>
        <v/>
      </c>
    </row>
    <row r="149" spans="1:27" ht="13.5" customHeight="1" x14ac:dyDescent="0.3">
      <c r="A149" s="193" t="str">
        <f>IF('Observaciones-SMP'!A149="","",'Observaciones-SMP'!A149)</f>
        <v/>
      </c>
      <c r="B149" s="257" t="str">
        <f>IF('Observaciones-SMP'!B149="","",'Observaciones-SMP'!B149)</f>
        <v/>
      </c>
      <c r="C149" s="193" t="str">
        <f>IF('Observaciones-SMP'!C149="","",'Observaciones-SMP'!C149)</f>
        <v/>
      </c>
      <c r="D149" s="193" t="str">
        <f>IF('Observaciones-SMP'!D149="","",'Observaciones-SMP'!D149)</f>
        <v/>
      </c>
      <c r="E149" s="193" t="str">
        <f>IF('Observaciones-SMP'!E149="","",'Observaciones-SMP'!E149)</f>
        <v/>
      </c>
      <c r="F149" s="193" t="str">
        <f>IF('Observaciones-SMP'!F149="","",'Observaciones-SMP'!F149)</f>
        <v/>
      </c>
      <c r="G149" s="193" t="str">
        <f>IF('Observaciones-SMP'!G149="","",'Observaciones-SMP'!G149)</f>
        <v/>
      </c>
      <c r="H149" s="193" t="str">
        <f>IF('Observaciones-SMP'!H149="","",'Observaciones-SMP'!H149)</f>
        <v/>
      </c>
      <c r="I149" s="193" t="str">
        <f>IF('Observaciones-SMP'!I149="","",'Observaciones-SMP'!I149)</f>
        <v/>
      </c>
      <c r="J149" s="193" t="str">
        <f>IF('Observaciones-SMP'!J149="","",'Observaciones-SMP'!J149)</f>
        <v/>
      </c>
      <c r="K149" s="193" t="str">
        <f>IF('Observaciones-SMP'!K149="","",'Observaciones-SMP'!K149)</f>
        <v/>
      </c>
      <c r="L149" s="193" t="str">
        <f>IF('Observaciones-SMP'!L149="","",'Observaciones-SMP'!L149)</f>
        <v/>
      </c>
      <c r="M149" s="193" t="str">
        <f>IF('Observaciones-SMP'!M149="","",'Observaciones-SMP'!M149)</f>
        <v/>
      </c>
      <c r="N149" s="193" t="str">
        <f>IF('Observaciones-SMP'!N149="","",'Observaciones-SMP'!N149)</f>
        <v/>
      </c>
      <c r="O149" s="193" t="str">
        <f>IF('Observaciones-SMP'!O149="","",'Observaciones-SMP'!O149)</f>
        <v/>
      </c>
      <c r="P149" s="193" t="str">
        <f>IF('Observaciones-SMP'!P149="","",'Observaciones-SMP'!P149)</f>
        <v/>
      </c>
      <c r="Q149" s="257" t="str">
        <f>IF('Observaciones-SMP'!S149="","",'Observaciones-SMP'!S149)</f>
        <v/>
      </c>
      <c r="R149" s="193" t="str">
        <f>IF('Observaciones-SMP'!T149="","",'Observaciones-SMP'!T149)</f>
        <v/>
      </c>
      <c r="S149" s="193" t="str">
        <f>""</f>
        <v/>
      </c>
      <c r="T149" s="193" t="str">
        <f>""</f>
        <v/>
      </c>
      <c r="U149" s="193" t="str">
        <f t="shared" si="8"/>
        <v/>
      </c>
      <c r="V149" s="193" t="str">
        <f>""</f>
        <v/>
      </c>
      <c r="W149" s="193" t="str">
        <f>""</f>
        <v/>
      </c>
      <c r="X149" s="258" t="str">
        <f t="shared" si="9"/>
        <v/>
      </c>
      <c r="Y149" s="258" t="str">
        <f t="shared" si="10"/>
        <v/>
      </c>
      <c r="Z149" s="193" t="str">
        <f>IF(A149="","",IF(COUNTIF('Observaciones-SMP'!$A$2:$A$1001,A149)&gt;1,1,0))</f>
        <v/>
      </c>
      <c r="AA149" s="193" t="str">
        <f t="shared" si="11"/>
        <v/>
      </c>
    </row>
    <row r="150" spans="1:27" ht="13.5" customHeight="1" x14ac:dyDescent="0.3">
      <c r="A150" s="193" t="str">
        <f>IF('Observaciones-SMP'!A150="","",'Observaciones-SMP'!A150)</f>
        <v/>
      </c>
      <c r="B150" s="257" t="str">
        <f>IF('Observaciones-SMP'!B150="","",'Observaciones-SMP'!B150)</f>
        <v/>
      </c>
      <c r="C150" s="193" t="str">
        <f>IF('Observaciones-SMP'!C150="","",'Observaciones-SMP'!C150)</f>
        <v/>
      </c>
      <c r="D150" s="193" t="str">
        <f>IF('Observaciones-SMP'!D150="","",'Observaciones-SMP'!D150)</f>
        <v/>
      </c>
      <c r="E150" s="193" t="str">
        <f>IF('Observaciones-SMP'!E150="","",'Observaciones-SMP'!E150)</f>
        <v/>
      </c>
      <c r="F150" s="193" t="str">
        <f>IF('Observaciones-SMP'!F150="","",'Observaciones-SMP'!F150)</f>
        <v/>
      </c>
      <c r="G150" s="193" t="str">
        <f>IF('Observaciones-SMP'!G150="","",'Observaciones-SMP'!G150)</f>
        <v/>
      </c>
      <c r="H150" s="193" t="str">
        <f>IF('Observaciones-SMP'!H150="","",'Observaciones-SMP'!H150)</f>
        <v/>
      </c>
      <c r="I150" s="193" t="str">
        <f>IF('Observaciones-SMP'!I150="","",'Observaciones-SMP'!I150)</f>
        <v/>
      </c>
      <c r="J150" s="193" t="str">
        <f>IF('Observaciones-SMP'!J150="","",'Observaciones-SMP'!J150)</f>
        <v/>
      </c>
      <c r="K150" s="193" t="str">
        <f>IF('Observaciones-SMP'!K150="","",'Observaciones-SMP'!K150)</f>
        <v/>
      </c>
      <c r="L150" s="193" t="str">
        <f>IF('Observaciones-SMP'!L150="","",'Observaciones-SMP'!L150)</f>
        <v/>
      </c>
      <c r="M150" s="193" t="str">
        <f>IF('Observaciones-SMP'!M150="","",'Observaciones-SMP'!M150)</f>
        <v/>
      </c>
      <c r="N150" s="193" t="str">
        <f>IF('Observaciones-SMP'!N150="","",'Observaciones-SMP'!N150)</f>
        <v/>
      </c>
      <c r="O150" s="193" t="str">
        <f>IF('Observaciones-SMP'!O150="","",'Observaciones-SMP'!O150)</f>
        <v/>
      </c>
      <c r="P150" s="193" t="str">
        <f>IF('Observaciones-SMP'!P150="","",'Observaciones-SMP'!P150)</f>
        <v/>
      </c>
      <c r="Q150" s="257" t="str">
        <f>IF('Observaciones-SMP'!S150="","",'Observaciones-SMP'!S150)</f>
        <v/>
      </c>
      <c r="R150" s="193" t="str">
        <f>IF('Observaciones-SMP'!T150="","",'Observaciones-SMP'!T150)</f>
        <v/>
      </c>
      <c r="S150" s="193" t="str">
        <f>""</f>
        <v/>
      </c>
      <c r="T150" s="193" t="str">
        <f>""</f>
        <v/>
      </c>
      <c r="U150" s="193" t="str">
        <f t="shared" si="8"/>
        <v/>
      </c>
      <c r="V150" s="193" t="str">
        <f>""</f>
        <v/>
      </c>
      <c r="W150" s="193" t="str">
        <f>""</f>
        <v/>
      </c>
      <c r="X150" s="258" t="str">
        <f t="shared" si="9"/>
        <v/>
      </c>
      <c r="Y150" s="258" t="str">
        <f t="shared" si="10"/>
        <v/>
      </c>
      <c r="Z150" s="193" t="str">
        <f>IF(A150="","",IF(COUNTIF('Observaciones-SMP'!$A$2:$A$1001,A150)&gt;1,1,0))</f>
        <v/>
      </c>
      <c r="AA150" s="193" t="str">
        <f t="shared" si="11"/>
        <v/>
      </c>
    </row>
    <row r="151" spans="1:27" ht="13.5" customHeight="1" x14ac:dyDescent="0.3">
      <c r="A151" s="193" t="str">
        <f>IF('Observaciones-SMP'!A151="","",'Observaciones-SMP'!A151)</f>
        <v/>
      </c>
      <c r="B151" s="257" t="str">
        <f>IF('Observaciones-SMP'!B151="","",'Observaciones-SMP'!B151)</f>
        <v/>
      </c>
      <c r="C151" s="193" t="str">
        <f>IF('Observaciones-SMP'!C151="","",'Observaciones-SMP'!C151)</f>
        <v/>
      </c>
      <c r="D151" s="193" t="str">
        <f>IF('Observaciones-SMP'!D151="","",'Observaciones-SMP'!D151)</f>
        <v/>
      </c>
      <c r="E151" s="193" t="str">
        <f>IF('Observaciones-SMP'!E151="","",'Observaciones-SMP'!E151)</f>
        <v/>
      </c>
      <c r="F151" s="193" t="str">
        <f>IF('Observaciones-SMP'!F151="","",'Observaciones-SMP'!F151)</f>
        <v/>
      </c>
      <c r="G151" s="193" t="str">
        <f>IF('Observaciones-SMP'!G151="","",'Observaciones-SMP'!G151)</f>
        <v/>
      </c>
      <c r="H151" s="193" t="str">
        <f>IF('Observaciones-SMP'!H151="","",'Observaciones-SMP'!H151)</f>
        <v/>
      </c>
      <c r="I151" s="193" t="str">
        <f>IF('Observaciones-SMP'!I151="","",'Observaciones-SMP'!I151)</f>
        <v/>
      </c>
      <c r="J151" s="193" t="str">
        <f>IF('Observaciones-SMP'!J151="","",'Observaciones-SMP'!J151)</f>
        <v/>
      </c>
      <c r="K151" s="193" t="str">
        <f>IF('Observaciones-SMP'!K151="","",'Observaciones-SMP'!K151)</f>
        <v/>
      </c>
      <c r="L151" s="193" t="str">
        <f>IF('Observaciones-SMP'!L151="","",'Observaciones-SMP'!L151)</f>
        <v/>
      </c>
      <c r="M151" s="193" t="str">
        <f>IF('Observaciones-SMP'!M151="","",'Observaciones-SMP'!M151)</f>
        <v/>
      </c>
      <c r="N151" s="193" t="str">
        <f>IF('Observaciones-SMP'!N151="","",'Observaciones-SMP'!N151)</f>
        <v/>
      </c>
      <c r="O151" s="193" t="str">
        <f>IF('Observaciones-SMP'!O151="","",'Observaciones-SMP'!O151)</f>
        <v/>
      </c>
      <c r="P151" s="193" t="str">
        <f>IF('Observaciones-SMP'!P151="","",'Observaciones-SMP'!P151)</f>
        <v/>
      </c>
      <c r="Q151" s="257" t="str">
        <f>IF('Observaciones-SMP'!S151="","",'Observaciones-SMP'!S151)</f>
        <v/>
      </c>
      <c r="R151" s="193" t="str">
        <f>IF('Observaciones-SMP'!T151="","",'Observaciones-SMP'!T151)</f>
        <v/>
      </c>
      <c r="S151" s="193" t="str">
        <f>""</f>
        <v/>
      </c>
      <c r="T151" s="193" t="str">
        <f>""</f>
        <v/>
      </c>
      <c r="U151" s="193" t="str">
        <f t="shared" si="8"/>
        <v/>
      </c>
      <c r="V151" s="193" t="str">
        <f>""</f>
        <v/>
      </c>
      <c r="W151" s="193" t="str">
        <f>""</f>
        <v/>
      </c>
      <c r="X151" s="258" t="str">
        <f t="shared" si="9"/>
        <v/>
      </c>
      <c r="Y151" s="258" t="str">
        <f t="shared" si="10"/>
        <v/>
      </c>
      <c r="Z151" s="193" t="str">
        <f>IF(A151="","",IF(COUNTIF('Observaciones-SMP'!$A$2:$A$1001,A151)&gt;1,1,0))</f>
        <v/>
      </c>
      <c r="AA151" s="193" t="str">
        <f t="shared" si="11"/>
        <v/>
      </c>
    </row>
    <row r="152" spans="1:27" ht="13.5" customHeight="1" x14ac:dyDescent="0.3">
      <c r="A152" s="193" t="str">
        <f>IF('Observaciones-SMP'!A152="","",'Observaciones-SMP'!A152)</f>
        <v/>
      </c>
      <c r="B152" s="257" t="str">
        <f>IF('Observaciones-SMP'!B152="","",'Observaciones-SMP'!B152)</f>
        <v/>
      </c>
      <c r="C152" s="193" t="str">
        <f>IF('Observaciones-SMP'!C152="","",'Observaciones-SMP'!C152)</f>
        <v/>
      </c>
      <c r="D152" s="193" t="str">
        <f>IF('Observaciones-SMP'!D152="","",'Observaciones-SMP'!D152)</f>
        <v/>
      </c>
      <c r="E152" s="193" t="str">
        <f>IF('Observaciones-SMP'!E152="","",'Observaciones-SMP'!E152)</f>
        <v/>
      </c>
      <c r="F152" s="193" t="str">
        <f>IF('Observaciones-SMP'!F152="","",'Observaciones-SMP'!F152)</f>
        <v/>
      </c>
      <c r="G152" s="193" t="str">
        <f>IF('Observaciones-SMP'!G152="","",'Observaciones-SMP'!G152)</f>
        <v/>
      </c>
      <c r="H152" s="193" t="str">
        <f>IF('Observaciones-SMP'!H152="","",'Observaciones-SMP'!H152)</f>
        <v/>
      </c>
      <c r="I152" s="193" t="str">
        <f>IF('Observaciones-SMP'!I152="","",'Observaciones-SMP'!I152)</f>
        <v/>
      </c>
      <c r="J152" s="193" t="str">
        <f>IF('Observaciones-SMP'!J152="","",'Observaciones-SMP'!J152)</f>
        <v/>
      </c>
      <c r="K152" s="193" t="str">
        <f>IF('Observaciones-SMP'!K152="","",'Observaciones-SMP'!K152)</f>
        <v/>
      </c>
      <c r="L152" s="193" t="str">
        <f>IF('Observaciones-SMP'!L152="","",'Observaciones-SMP'!L152)</f>
        <v/>
      </c>
      <c r="M152" s="193" t="str">
        <f>IF('Observaciones-SMP'!M152="","",'Observaciones-SMP'!M152)</f>
        <v/>
      </c>
      <c r="N152" s="193" t="str">
        <f>IF('Observaciones-SMP'!N152="","",'Observaciones-SMP'!N152)</f>
        <v/>
      </c>
      <c r="O152" s="193" t="str">
        <f>IF('Observaciones-SMP'!O152="","",'Observaciones-SMP'!O152)</f>
        <v/>
      </c>
      <c r="P152" s="193" t="str">
        <f>IF('Observaciones-SMP'!P152="","",'Observaciones-SMP'!P152)</f>
        <v/>
      </c>
      <c r="Q152" s="257" t="str">
        <f>IF('Observaciones-SMP'!S152="","",'Observaciones-SMP'!S152)</f>
        <v/>
      </c>
      <c r="R152" s="193" t="str">
        <f>IF('Observaciones-SMP'!T152="","",'Observaciones-SMP'!T152)</f>
        <v/>
      </c>
      <c r="S152" s="193" t="str">
        <f>""</f>
        <v/>
      </c>
      <c r="T152" s="193" t="str">
        <f>""</f>
        <v/>
      </c>
      <c r="U152" s="193" t="str">
        <f t="shared" si="8"/>
        <v/>
      </c>
      <c r="V152" s="193" t="str">
        <f>""</f>
        <v/>
      </c>
      <c r="W152" s="193" t="str">
        <f>""</f>
        <v/>
      </c>
      <c r="X152" s="258" t="str">
        <f t="shared" si="9"/>
        <v/>
      </c>
      <c r="Y152" s="258" t="str">
        <f t="shared" si="10"/>
        <v/>
      </c>
      <c r="Z152" s="193" t="str">
        <f>IF(A152="","",IF(COUNTIF('Observaciones-SMP'!$A$2:$A$1001,A152)&gt;1,1,0))</f>
        <v/>
      </c>
      <c r="AA152" s="193" t="str">
        <f t="shared" si="11"/>
        <v/>
      </c>
    </row>
    <row r="153" spans="1:27" ht="13.5" customHeight="1" x14ac:dyDescent="0.3">
      <c r="A153" s="193" t="str">
        <f>IF('Observaciones-SMP'!A153="","",'Observaciones-SMP'!A153)</f>
        <v/>
      </c>
      <c r="B153" s="257" t="str">
        <f>IF('Observaciones-SMP'!B153="","",'Observaciones-SMP'!B153)</f>
        <v/>
      </c>
      <c r="C153" s="193" t="str">
        <f>IF('Observaciones-SMP'!C153="","",'Observaciones-SMP'!C153)</f>
        <v/>
      </c>
      <c r="D153" s="193" t="str">
        <f>IF('Observaciones-SMP'!D153="","",'Observaciones-SMP'!D153)</f>
        <v/>
      </c>
      <c r="E153" s="193" t="str">
        <f>IF('Observaciones-SMP'!E153="","",'Observaciones-SMP'!E153)</f>
        <v/>
      </c>
      <c r="F153" s="193" t="str">
        <f>IF('Observaciones-SMP'!F153="","",'Observaciones-SMP'!F153)</f>
        <v/>
      </c>
      <c r="G153" s="193" t="str">
        <f>IF('Observaciones-SMP'!G153="","",'Observaciones-SMP'!G153)</f>
        <v/>
      </c>
      <c r="H153" s="193" t="str">
        <f>IF('Observaciones-SMP'!H153="","",'Observaciones-SMP'!H153)</f>
        <v/>
      </c>
      <c r="I153" s="193" t="str">
        <f>IF('Observaciones-SMP'!I153="","",'Observaciones-SMP'!I153)</f>
        <v/>
      </c>
      <c r="J153" s="193" t="str">
        <f>IF('Observaciones-SMP'!J153="","",'Observaciones-SMP'!J153)</f>
        <v/>
      </c>
      <c r="K153" s="193" t="str">
        <f>IF('Observaciones-SMP'!K153="","",'Observaciones-SMP'!K153)</f>
        <v/>
      </c>
      <c r="L153" s="193" t="str">
        <f>IF('Observaciones-SMP'!L153="","",'Observaciones-SMP'!L153)</f>
        <v/>
      </c>
      <c r="M153" s="193" t="str">
        <f>IF('Observaciones-SMP'!M153="","",'Observaciones-SMP'!M153)</f>
        <v/>
      </c>
      <c r="N153" s="193" t="str">
        <f>IF('Observaciones-SMP'!N153="","",'Observaciones-SMP'!N153)</f>
        <v/>
      </c>
      <c r="O153" s="193" t="str">
        <f>IF('Observaciones-SMP'!O153="","",'Observaciones-SMP'!O153)</f>
        <v/>
      </c>
      <c r="P153" s="193" t="str">
        <f>IF('Observaciones-SMP'!P153="","",'Observaciones-SMP'!P153)</f>
        <v/>
      </c>
      <c r="Q153" s="257" t="str">
        <f>IF('Observaciones-SMP'!S153="","",'Observaciones-SMP'!S153)</f>
        <v/>
      </c>
      <c r="R153" s="193" t="str">
        <f>IF('Observaciones-SMP'!T153="","",'Observaciones-SMP'!T153)</f>
        <v/>
      </c>
      <c r="S153" s="193" t="str">
        <f>""</f>
        <v/>
      </c>
      <c r="T153" s="193" t="str">
        <f>""</f>
        <v/>
      </c>
      <c r="U153" s="193" t="str">
        <f t="shared" si="8"/>
        <v/>
      </c>
      <c r="V153" s="193" t="str">
        <f>""</f>
        <v/>
      </c>
      <c r="W153" s="193" t="str">
        <f>""</f>
        <v/>
      </c>
      <c r="X153" s="258" t="str">
        <f t="shared" si="9"/>
        <v/>
      </c>
      <c r="Y153" s="258" t="str">
        <f t="shared" si="10"/>
        <v/>
      </c>
      <c r="Z153" s="193" t="str">
        <f>IF(A153="","",IF(COUNTIF('Observaciones-SMP'!$A$2:$A$1001,A153)&gt;1,1,0))</f>
        <v/>
      </c>
      <c r="AA153" s="193" t="str">
        <f t="shared" si="11"/>
        <v/>
      </c>
    </row>
    <row r="154" spans="1:27" ht="13.5" customHeight="1" x14ac:dyDescent="0.3">
      <c r="A154" s="193" t="str">
        <f>IF('Observaciones-SMP'!A154="","",'Observaciones-SMP'!A154)</f>
        <v/>
      </c>
      <c r="B154" s="257" t="str">
        <f>IF('Observaciones-SMP'!B154="","",'Observaciones-SMP'!B154)</f>
        <v/>
      </c>
      <c r="C154" s="193" t="str">
        <f>IF('Observaciones-SMP'!C154="","",'Observaciones-SMP'!C154)</f>
        <v/>
      </c>
      <c r="D154" s="193" t="str">
        <f>IF('Observaciones-SMP'!D154="","",'Observaciones-SMP'!D154)</f>
        <v/>
      </c>
      <c r="E154" s="193" t="str">
        <f>IF('Observaciones-SMP'!E154="","",'Observaciones-SMP'!E154)</f>
        <v/>
      </c>
      <c r="F154" s="193" t="str">
        <f>IF('Observaciones-SMP'!F154="","",'Observaciones-SMP'!F154)</f>
        <v/>
      </c>
      <c r="G154" s="193" t="str">
        <f>IF('Observaciones-SMP'!G154="","",'Observaciones-SMP'!G154)</f>
        <v/>
      </c>
      <c r="H154" s="193" t="str">
        <f>IF('Observaciones-SMP'!H154="","",'Observaciones-SMP'!H154)</f>
        <v/>
      </c>
      <c r="I154" s="193" t="str">
        <f>IF('Observaciones-SMP'!I154="","",'Observaciones-SMP'!I154)</f>
        <v/>
      </c>
      <c r="J154" s="193" t="str">
        <f>IF('Observaciones-SMP'!J154="","",'Observaciones-SMP'!J154)</f>
        <v/>
      </c>
      <c r="K154" s="193" t="str">
        <f>IF('Observaciones-SMP'!K154="","",'Observaciones-SMP'!K154)</f>
        <v/>
      </c>
      <c r="L154" s="193" t="str">
        <f>IF('Observaciones-SMP'!L154="","",'Observaciones-SMP'!L154)</f>
        <v/>
      </c>
      <c r="M154" s="193" t="str">
        <f>IF('Observaciones-SMP'!M154="","",'Observaciones-SMP'!M154)</f>
        <v/>
      </c>
      <c r="N154" s="193" t="str">
        <f>IF('Observaciones-SMP'!N154="","",'Observaciones-SMP'!N154)</f>
        <v/>
      </c>
      <c r="O154" s="193" t="str">
        <f>IF('Observaciones-SMP'!O154="","",'Observaciones-SMP'!O154)</f>
        <v/>
      </c>
      <c r="P154" s="193" t="str">
        <f>IF('Observaciones-SMP'!P154="","",'Observaciones-SMP'!P154)</f>
        <v/>
      </c>
      <c r="Q154" s="257" t="str">
        <f>IF('Observaciones-SMP'!S154="","",'Observaciones-SMP'!S154)</f>
        <v/>
      </c>
      <c r="R154" s="193" t="str">
        <f>IF('Observaciones-SMP'!T154="","",'Observaciones-SMP'!T154)</f>
        <v/>
      </c>
      <c r="S154" s="193" t="str">
        <f>""</f>
        <v/>
      </c>
      <c r="T154" s="193" t="str">
        <f>""</f>
        <v/>
      </c>
      <c r="U154" s="193" t="str">
        <f t="shared" si="8"/>
        <v/>
      </c>
      <c r="V154" s="193" t="str">
        <f>""</f>
        <v/>
      </c>
      <c r="W154" s="193" t="str">
        <f>""</f>
        <v/>
      </c>
      <c r="X154" s="258" t="str">
        <f t="shared" si="9"/>
        <v/>
      </c>
      <c r="Y154" s="258" t="str">
        <f t="shared" si="10"/>
        <v/>
      </c>
      <c r="Z154" s="193" t="str">
        <f>IF(A154="","",IF(COUNTIF('Observaciones-SMP'!$A$2:$A$1001,A154)&gt;1,1,0))</f>
        <v/>
      </c>
      <c r="AA154" s="193" t="str">
        <f t="shared" si="11"/>
        <v/>
      </c>
    </row>
    <row r="155" spans="1:27" ht="13.5" customHeight="1" x14ac:dyDescent="0.3">
      <c r="A155" s="193" t="str">
        <f>IF('Observaciones-SMP'!A155="","",'Observaciones-SMP'!A155)</f>
        <v/>
      </c>
      <c r="B155" s="257" t="str">
        <f>IF('Observaciones-SMP'!B155="","",'Observaciones-SMP'!B155)</f>
        <v/>
      </c>
      <c r="C155" s="193" t="str">
        <f>IF('Observaciones-SMP'!C155="","",'Observaciones-SMP'!C155)</f>
        <v/>
      </c>
      <c r="D155" s="193" t="str">
        <f>IF('Observaciones-SMP'!D155="","",'Observaciones-SMP'!D155)</f>
        <v/>
      </c>
      <c r="E155" s="193" t="str">
        <f>IF('Observaciones-SMP'!E155="","",'Observaciones-SMP'!E155)</f>
        <v/>
      </c>
      <c r="F155" s="193" t="str">
        <f>IF('Observaciones-SMP'!F155="","",'Observaciones-SMP'!F155)</f>
        <v/>
      </c>
      <c r="G155" s="193" t="str">
        <f>IF('Observaciones-SMP'!G155="","",'Observaciones-SMP'!G155)</f>
        <v/>
      </c>
      <c r="H155" s="193" t="str">
        <f>IF('Observaciones-SMP'!H155="","",'Observaciones-SMP'!H155)</f>
        <v/>
      </c>
      <c r="I155" s="193" t="str">
        <f>IF('Observaciones-SMP'!I155="","",'Observaciones-SMP'!I155)</f>
        <v/>
      </c>
      <c r="J155" s="193" t="str">
        <f>IF('Observaciones-SMP'!J155="","",'Observaciones-SMP'!J155)</f>
        <v/>
      </c>
      <c r="K155" s="193" t="str">
        <f>IF('Observaciones-SMP'!K155="","",'Observaciones-SMP'!K155)</f>
        <v/>
      </c>
      <c r="L155" s="193" t="str">
        <f>IF('Observaciones-SMP'!L155="","",'Observaciones-SMP'!L155)</f>
        <v/>
      </c>
      <c r="M155" s="193" t="str">
        <f>IF('Observaciones-SMP'!M155="","",'Observaciones-SMP'!M155)</f>
        <v/>
      </c>
      <c r="N155" s="193" t="str">
        <f>IF('Observaciones-SMP'!N155="","",'Observaciones-SMP'!N155)</f>
        <v/>
      </c>
      <c r="O155" s="193" t="str">
        <f>IF('Observaciones-SMP'!O155="","",'Observaciones-SMP'!O155)</f>
        <v/>
      </c>
      <c r="P155" s="193" t="str">
        <f>IF('Observaciones-SMP'!P155="","",'Observaciones-SMP'!P155)</f>
        <v/>
      </c>
      <c r="Q155" s="257" t="str">
        <f>IF('Observaciones-SMP'!S155="","",'Observaciones-SMP'!S155)</f>
        <v/>
      </c>
      <c r="R155" s="193" t="str">
        <f>IF('Observaciones-SMP'!T155="","",'Observaciones-SMP'!T155)</f>
        <v/>
      </c>
      <c r="S155" s="193" t="str">
        <f>""</f>
        <v/>
      </c>
      <c r="T155" s="193" t="str">
        <f>""</f>
        <v/>
      </c>
      <c r="U155" s="193" t="str">
        <f t="shared" si="8"/>
        <v/>
      </c>
      <c r="V155" s="193" t="str">
        <f>""</f>
        <v/>
      </c>
      <c r="W155" s="193" t="str">
        <f>""</f>
        <v/>
      </c>
      <c r="X155" s="258" t="str">
        <f t="shared" si="9"/>
        <v/>
      </c>
      <c r="Y155" s="258" t="str">
        <f t="shared" si="10"/>
        <v/>
      </c>
      <c r="Z155" s="193" t="str">
        <f>IF(A155="","",IF(COUNTIF('Observaciones-SMP'!$A$2:$A$1001,A155)&gt;1,1,0))</f>
        <v/>
      </c>
      <c r="AA155" s="193" t="str">
        <f t="shared" si="11"/>
        <v/>
      </c>
    </row>
    <row r="156" spans="1:27" ht="13.5" customHeight="1" x14ac:dyDescent="0.3">
      <c r="A156" s="193" t="str">
        <f>IF('Observaciones-SMP'!A156="","",'Observaciones-SMP'!A156)</f>
        <v/>
      </c>
      <c r="B156" s="257" t="str">
        <f>IF('Observaciones-SMP'!B156="","",'Observaciones-SMP'!B156)</f>
        <v/>
      </c>
      <c r="C156" s="193" t="str">
        <f>IF('Observaciones-SMP'!C156="","",'Observaciones-SMP'!C156)</f>
        <v/>
      </c>
      <c r="D156" s="193" t="str">
        <f>IF('Observaciones-SMP'!D156="","",'Observaciones-SMP'!D156)</f>
        <v/>
      </c>
      <c r="E156" s="193" t="str">
        <f>IF('Observaciones-SMP'!E156="","",'Observaciones-SMP'!E156)</f>
        <v/>
      </c>
      <c r="F156" s="193" t="str">
        <f>IF('Observaciones-SMP'!F156="","",'Observaciones-SMP'!F156)</f>
        <v/>
      </c>
      <c r="G156" s="193" t="str">
        <f>IF('Observaciones-SMP'!G156="","",'Observaciones-SMP'!G156)</f>
        <v/>
      </c>
      <c r="H156" s="193" t="str">
        <f>IF('Observaciones-SMP'!H156="","",'Observaciones-SMP'!H156)</f>
        <v/>
      </c>
      <c r="I156" s="193" t="str">
        <f>IF('Observaciones-SMP'!I156="","",'Observaciones-SMP'!I156)</f>
        <v/>
      </c>
      <c r="J156" s="193" t="str">
        <f>IF('Observaciones-SMP'!J156="","",'Observaciones-SMP'!J156)</f>
        <v/>
      </c>
      <c r="K156" s="193" t="str">
        <f>IF('Observaciones-SMP'!K156="","",'Observaciones-SMP'!K156)</f>
        <v/>
      </c>
      <c r="L156" s="193" t="str">
        <f>IF('Observaciones-SMP'!L156="","",'Observaciones-SMP'!L156)</f>
        <v/>
      </c>
      <c r="M156" s="193" t="str">
        <f>IF('Observaciones-SMP'!M156="","",'Observaciones-SMP'!M156)</f>
        <v/>
      </c>
      <c r="N156" s="193" t="str">
        <f>IF('Observaciones-SMP'!N156="","",'Observaciones-SMP'!N156)</f>
        <v/>
      </c>
      <c r="O156" s="193" t="str">
        <f>IF('Observaciones-SMP'!O156="","",'Observaciones-SMP'!O156)</f>
        <v/>
      </c>
      <c r="P156" s="193" t="str">
        <f>IF('Observaciones-SMP'!P156="","",'Observaciones-SMP'!P156)</f>
        <v/>
      </c>
      <c r="Q156" s="257" t="str">
        <f>IF('Observaciones-SMP'!S156="","",'Observaciones-SMP'!S156)</f>
        <v/>
      </c>
      <c r="R156" s="193" t="str">
        <f>IF('Observaciones-SMP'!T156="","",'Observaciones-SMP'!T156)</f>
        <v/>
      </c>
      <c r="S156" s="193" t="str">
        <f>""</f>
        <v/>
      </c>
      <c r="T156" s="193" t="str">
        <f>""</f>
        <v/>
      </c>
      <c r="U156" s="193" t="str">
        <f t="shared" si="8"/>
        <v/>
      </c>
      <c r="V156" s="193" t="str">
        <f>""</f>
        <v/>
      </c>
      <c r="W156" s="193" t="str">
        <f>""</f>
        <v/>
      </c>
      <c r="X156" s="258" t="str">
        <f t="shared" si="9"/>
        <v/>
      </c>
      <c r="Y156" s="258" t="str">
        <f t="shared" si="10"/>
        <v/>
      </c>
      <c r="Z156" s="193" t="str">
        <f>IF(A156="","",IF(COUNTIF('Observaciones-SMP'!$A$2:$A$1001,A156)&gt;1,1,0))</f>
        <v/>
      </c>
      <c r="AA156" s="193" t="str">
        <f t="shared" si="11"/>
        <v/>
      </c>
    </row>
    <row r="157" spans="1:27" ht="13.5" customHeight="1" x14ac:dyDescent="0.3">
      <c r="A157" s="193" t="str">
        <f>IF('Observaciones-SMP'!A157="","",'Observaciones-SMP'!A157)</f>
        <v/>
      </c>
      <c r="B157" s="257" t="str">
        <f>IF('Observaciones-SMP'!B157="","",'Observaciones-SMP'!B157)</f>
        <v/>
      </c>
      <c r="C157" s="193" t="str">
        <f>IF('Observaciones-SMP'!C157="","",'Observaciones-SMP'!C157)</f>
        <v/>
      </c>
      <c r="D157" s="193" t="str">
        <f>IF('Observaciones-SMP'!D157="","",'Observaciones-SMP'!D157)</f>
        <v/>
      </c>
      <c r="E157" s="193" t="str">
        <f>IF('Observaciones-SMP'!E157="","",'Observaciones-SMP'!E157)</f>
        <v/>
      </c>
      <c r="F157" s="193" t="str">
        <f>IF('Observaciones-SMP'!F157="","",'Observaciones-SMP'!F157)</f>
        <v/>
      </c>
      <c r="G157" s="193" t="str">
        <f>IF('Observaciones-SMP'!G157="","",'Observaciones-SMP'!G157)</f>
        <v/>
      </c>
      <c r="H157" s="193" t="str">
        <f>IF('Observaciones-SMP'!H157="","",'Observaciones-SMP'!H157)</f>
        <v/>
      </c>
      <c r="I157" s="193" t="str">
        <f>IF('Observaciones-SMP'!I157="","",'Observaciones-SMP'!I157)</f>
        <v/>
      </c>
      <c r="J157" s="193" t="str">
        <f>IF('Observaciones-SMP'!J157="","",'Observaciones-SMP'!J157)</f>
        <v/>
      </c>
      <c r="K157" s="193" t="str">
        <f>IF('Observaciones-SMP'!K157="","",'Observaciones-SMP'!K157)</f>
        <v/>
      </c>
      <c r="L157" s="193" t="str">
        <f>IF('Observaciones-SMP'!L157="","",'Observaciones-SMP'!L157)</f>
        <v/>
      </c>
      <c r="M157" s="193" t="str">
        <f>IF('Observaciones-SMP'!M157="","",'Observaciones-SMP'!M157)</f>
        <v/>
      </c>
      <c r="N157" s="193" t="str">
        <f>IF('Observaciones-SMP'!N157="","",'Observaciones-SMP'!N157)</f>
        <v/>
      </c>
      <c r="O157" s="193" t="str">
        <f>IF('Observaciones-SMP'!O157="","",'Observaciones-SMP'!O157)</f>
        <v/>
      </c>
      <c r="P157" s="193" t="str">
        <f>IF('Observaciones-SMP'!P157="","",'Observaciones-SMP'!P157)</f>
        <v/>
      </c>
      <c r="Q157" s="257" t="str">
        <f>IF('Observaciones-SMP'!S157="","",'Observaciones-SMP'!S157)</f>
        <v/>
      </c>
      <c r="R157" s="193" t="str">
        <f>IF('Observaciones-SMP'!T157="","",'Observaciones-SMP'!T157)</f>
        <v/>
      </c>
      <c r="S157" s="193" t="str">
        <f>""</f>
        <v/>
      </c>
      <c r="T157" s="193" t="str">
        <f>""</f>
        <v/>
      </c>
      <c r="U157" s="193" t="str">
        <f t="shared" si="8"/>
        <v/>
      </c>
      <c r="V157" s="193" t="str">
        <f>""</f>
        <v/>
      </c>
      <c r="W157" s="193" t="str">
        <f>""</f>
        <v/>
      </c>
      <c r="X157" s="258" t="str">
        <f t="shared" si="9"/>
        <v/>
      </c>
      <c r="Y157" s="258" t="str">
        <f t="shared" si="10"/>
        <v/>
      </c>
      <c r="Z157" s="193" t="str">
        <f>IF(A157="","",IF(COUNTIF('Observaciones-SMP'!$A$2:$A$1001,A157)&gt;1,1,0))</f>
        <v/>
      </c>
      <c r="AA157" s="193" t="str">
        <f t="shared" si="11"/>
        <v/>
      </c>
    </row>
    <row r="158" spans="1:27" ht="13.5" customHeight="1" x14ac:dyDescent="0.3">
      <c r="A158" s="193" t="str">
        <f>IF('Observaciones-SMP'!A158="","",'Observaciones-SMP'!A158)</f>
        <v/>
      </c>
      <c r="B158" s="257" t="str">
        <f>IF('Observaciones-SMP'!B158="","",'Observaciones-SMP'!B158)</f>
        <v/>
      </c>
      <c r="C158" s="193" t="str">
        <f>IF('Observaciones-SMP'!C158="","",'Observaciones-SMP'!C158)</f>
        <v/>
      </c>
      <c r="D158" s="193" t="str">
        <f>IF('Observaciones-SMP'!D158="","",'Observaciones-SMP'!D158)</f>
        <v/>
      </c>
      <c r="E158" s="193" t="str">
        <f>IF('Observaciones-SMP'!E158="","",'Observaciones-SMP'!E158)</f>
        <v/>
      </c>
      <c r="F158" s="193" t="str">
        <f>IF('Observaciones-SMP'!F158="","",'Observaciones-SMP'!F158)</f>
        <v/>
      </c>
      <c r="G158" s="193" t="str">
        <f>IF('Observaciones-SMP'!G158="","",'Observaciones-SMP'!G158)</f>
        <v/>
      </c>
      <c r="H158" s="193" t="str">
        <f>IF('Observaciones-SMP'!H158="","",'Observaciones-SMP'!H158)</f>
        <v/>
      </c>
      <c r="I158" s="193" t="str">
        <f>IF('Observaciones-SMP'!I158="","",'Observaciones-SMP'!I158)</f>
        <v/>
      </c>
      <c r="J158" s="193" t="str">
        <f>IF('Observaciones-SMP'!J158="","",'Observaciones-SMP'!J158)</f>
        <v/>
      </c>
      <c r="K158" s="193" t="str">
        <f>IF('Observaciones-SMP'!K158="","",'Observaciones-SMP'!K158)</f>
        <v/>
      </c>
      <c r="L158" s="193" t="str">
        <f>IF('Observaciones-SMP'!L158="","",'Observaciones-SMP'!L158)</f>
        <v/>
      </c>
      <c r="M158" s="193" t="str">
        <f>IF('Observaciones-SMP'!M158="","",'Observaciones-SMP'!M158)</f>
        <v/>
      </c>
      <c r="N158" s="193" t="str">
        <f>IF('Observaciones-SMP'!N158="","",'Observaciones-SMP'!N158)</f>
        <v/>
      </c>
      <c r="O158" s="193" t="str">
        <f>IF('Observaciones-SMP'!O158="","",'Observaciones-SMP'!O158)</f>
        <v/>
      </c>
      <c r="P158" s="193" t="str">
        <f>IF('Observaciones-SMP'!P158="","",'Observaciones-SMP'!P158)</f>
        <v/>
      </c>
      <c r="Q158" s="257" t="str">
        <f>IF('Observaciones-SMP'!S158="","",'Observaciones-SMP'!S158)</f>
        <v/>
      </c>
      <c r="R158" s="193" t="str">
        <f>IF('Observaciones-SMP'!T158="","",'Observaciones-SMP'!T158)</f>
        <v/>
      </c>
      <c r="S158" s="193" t="str">
        <f>""</f>
        <v/>
      </c>
      <c r="T158" s="193" t="str">
        <f>""</f>
        <v/>
      </c>
      <c r="U158" s="193" t="str">
        <f t="shared" si="8"/>
        <v/>
      </c>
      <c r="V158" s="193" t="str">
        <f>""</f>
        <v/>
      </c>
      <c r="W158" s="193" t="str">
        <f>""</f>
        <v/>
      </c>
      <c r="X158" s="258" t="str">
        <f t="shared" si="9"/>
        <v/>
      </c>
      <c r="Y158" s="258" t="str">
        <f t="shared" si="10"/>
        <v/>
      </c>
      <c r="Z158" s="193" t="str">
        <f>IF(A158="","",IF(COUNTIF('Observaciones-SMP'!$A$2:$A$1001,A158)&gt;1,1,0))</f>
        <v/>
      </c>
      <c r="AA158" s="193" t="str">
        <f t="shared" si="11"/>
        <v/>
      </c>
    </row>
    <row r="159" spans="1:27" ht="13.5" customHeight="1" x14ac:dyDescent="0.3">
      <c r="A159" s="193" t="str">
        <f>IF('Observaciones-SMP'!A159="","",'Observaciones-SMP'!A159)</f>
        <v/>
      </c>
      <c r="B159" s="257" t="str">
        <f>IF('Observaciones-SMP'!B159="","",'Observaciones-SMP'!B159)</f>
        <v/>
      </c>
      <c r="C159" s="193" t="str">
        <f>IF('Observaciones-SMP'!C159="","",'Observaciones-SMP'!C159)</f>
        <v/>
      </c>
      <c r="D159" s="193" t="str">
        <f>IF('Observaciones-SMP'!D159="","",'Observaciones-SMP'!D159)</f>
        <v/>
      </c>
      <c r="E159" s="193" t="str">
        <f>IF('Observaciones-SMP'!E159="","",'Observaciones-SMP'!E159)</f>
        <v/>
      </c>
      <c r="F159" s="193" t="str">
        <f>IF('Observaciones-SMP'!F159="","",'Observaciones-SMP'!F159)</f>
        <v/>
      </c>
      <c r="G159" s="193" t="str">
        <f>IF('Observaciones-SMP'!G159="","",'Observaciones-SMP'!G159)</f>
        <v/>
      </c>
      <c r="H159" s="193" t="str">
        <f>IF('Observaciones-SMP'!H159="","",'Observaciones-SMP'!H159)</f>
        <v/>
      </c>
      <c r="I159" s="193" t="str">
        <f>IF('Observaciones-SMP'!I159="","",'Observaciones-SMP'!I159)</f>
        <v/>
      </c>
      <c r="J159" s="193" t="str">
        <f>IF('Observaciones-SMP'!J159="","",'Observaciones-SMP'!J159)</f>
        <v/>
      </c>
      <c r="K159" s="193" t="str">
        <f>IF('Observaciones-SMP'!K159="","",'Observaciones-SMP'!K159)</f>
        <v/>
      </c>
      <c r="L159" s="193" t="str">
        <f>IF('Observaciones-SMP'!L159="","",'Observaciones-SMP'!L159)</f>
        <v/>
      </c>
      <c r="M159" s="193" t="str">
        <f>IF('Observaciones-SMP'!M159="","",'Observaciones-SMP'!M159)</f>
        <v/>
      </c>
      <c r="N159" s="193" t="str">
        <f>IF('Observaciones-SMP'!N159="","",'Observaciones-SMP'!N159)</f>
        <v/>
      </c>
      <c r="O159" s="193" t="str">
        <f>IF('Observaciones-SMP'!O159="","",'Observaciones-SMP'!O159)</f>
        <v/>
      </c>
      <c r="P159" s="193" t="str">
        <f>IF('Observaciones-SMP'!P159="","",'Observaciones-SMP'!P159)</f>
        <v/>
      </c>
      <c r="Q159" s="257" t="str">
        <f>IF('Observaciones-SMP'!S159="","",'Observaciones-SMP'!S159)</f>
        <v/>
      </c>
      <c r="R159" s="193" t="str">
        <f>IF('Observaciones-SMP'!T159="","",'Observaciones-SMP'!T159)</f>
        <v/>
      </c>
      <c r="S159" s="193" t="str">
        <f>""</f>
        <v/>
      </c>
      <c r="T159" s="193" t="str">
        <f>""</f>
        <v/>
      </c>
      <c r="U159" s="193" t="str">
        <f t="shared" si="8"/>
        <v/>
      </c>
      <c r="V159" s="193" t="str">
        <f>""</f>
        <v/>
      </c>
      <c r="W159" s="193" t="str">
        <f>""</f>
        <v/>
      </c>
      <c r="X159" s="258" t="str">
        <f t="shared" si="9"/>
        <v/>
      </c>
      <c r="Y159" s="258" t="str">
        <f t="shared" si="10"/>
        <v/>
      </c>
      <c r="Z159" s="193" t="str">
        <f>IF(A159="","",IF(COUNTIF('Observaciones-SMP'!$A$2:$A$1001,A159)&gt;1,1,0))</f>
        <v/>
      </c>
      <c r="AA159" s="193" t="str">
        <f t="shared" si="11"/>
        <v/>
      </c>
    </row>
    <row r="160" spans="1:27" ht="13.5" customHeight="1" x14ac:dyDescent="0.3">
      <c r="A160" s="193" t="str">
        <f>IF('Observaciones-SMP'!A160="","",'Observaciones-SMP'!A160)</f>
        <v/>
      </c>
      <c r="B160" s="257" t="str">
        <f>IF('Observaciones-SMP'!B160="","",'Observaciones-SMP'!B160)</f>
        <v/>
      </c>
      <c r="C160" s="193" t="str">
        <f>IF('Observaciones-SMP'!C160="","",'Observaciones-SMP'!C160)</f>
        <v/>
      </c>
      <c r="D160" s="193" t="str">
        <f>IF('Observaciones-SMP'!D160="","",'Observaciones-SMP'!D160)</f>
        <v/>
      </c>
      <c r="E160" s="193" t="str">
        <f>IF('Observaciones-SMP'!E160="","",'Observaciones-SMP'!E160)</f>
        <v/>
      </c>
      <c r="F160" s="193" t="str">
        <f>IF('Observaciones-SMP'!F160="","",'Observaciones-SMP'!F160)</f>
        <v/>
      </c>
      <c r="G160" s="193" t="str">
        <f>IF('Observaciones-SMP'!G160="","",'Observaciones-SMP'!G160)</f>
        <v/>
      </c>
      <c r="H160" s="193" t="str">
        <f>IF('Observaciones-SMP'!H160="","",'Observaciones-SMP'!H160)</f>
        <v/>
      </c>
      <c r="I160" s="193" t="str">
        <f>IF('Observaciones-SMP'!I160="","",'Observaciones-SMP'!I160)</f>
        <v/>
      </c>
      <c r="J160" s="193" t="str">
        <f>IF('Observaciones-SMP'!J160="","",'Observaciones-SMP'!J160)</f>
        <v/>
      </c>
      <c r="K160" s="193" t="str">
        <f>IF('Observaciones-SMP'!K160="","",'Observaciones-SMP'!K160)</f>
        <v/>
      </c>
      <c r="L160" s="193" t="str">
        <f>IF('Observaciones-SMP'!L160="","",'Observaciones-SMP'!L160)</f>
        <v/>
      </c>
      <c r="M160" s="193" t="str">
        <f>IF('Observaciones-SMP'!M160="","",'Observaciones-SMP'!M160)</f>
        <v/>
      </c>
      <c r="N160" s="193" t="str">
        <f>IF('Observaciones-SMP'!N160="","",'Observaciones-SMP'!N160)</f>
        <v/>
      </c>
      <c r="O160" s="193" t="str">
        <f>IF('Observaciones-SMP'!O160="","",'Observaciones-SMP'!O160)</f>
        <v/>
      </c>
      <c r="P160" s="193" t="str">
        <f>IF('Observaciones-SMP'!P160="","",'Observaciones-SMP'!P160)</f>
        <v/>
      </c>
      <c r="Q160" s="257" t="str">
        <f>IF('Observaciones-SMP'!S160="","",'Observaciones-SMP'!S160)</f>
        <v/>
      </c>
      <c r="R160" s="193" t="str">
        <f>IF('Observaciones-SMP'!T160="","",'Observaciones-SMP'!T160)</f>
        <v/>
      </c>
      <c r="S160" s="193" t="str">
        <f>""</f>
        <v/>
      </c>
      <c r="T160" s="193" t="str">
        <f>""</f>
        <v/>
      </c>
      <c r="U160" s="193" t="str">
        <f t="shared" si="8"/>
        <v/>
      </c>
      <c r="V160" s="193" t="str">
        <f>""</f>
        <v/>
      </c>
      <c r="W160" s="193" t="str">
        <f>""</f>
        <v/>
      </c>
      <c r="X160" s="258" t="str">
        <f t="shared" si="9"/>
        <v/>
      </c>
      <c r="Y160" s="258" t="str">
        <f t="shared" si="10"/>
        <v/>
      </c>
      <c r="Z160" s="193" t="str">
        <f>IF(A160="","",IF(COUNTIF('Observaciones-SMP'!$A$2:$A$1001,A160)&gt;1,1,0))</f>
        <v/>
      </c>
      <c r="AA160" s="193" t="str">
        <f t="shared" si="11"/>
        <v/>
      </c>
    </row>
    <row r="161" spans="1:27" ht="13.5" customHeight="1" x14ac:dyDescent="0.3">
      <c r="A161" s="193" t="str">
        <f>IF('Observaciones-SMP'!A161="","",'Observaciones-SMP'!A161)</f>
        <v/>
      </c>
      <c r="B161" s="257" t="str">
        <f>IF('Observaciones-SMP'!B161="","",'Observaciones-SMP'!B161)</f>
        <v/>
      </c>
      <c r="C161" s="193" t="str">
        <f>IF('Observaciones-SMP'!C161="","",'Observaciones-SMP'!C161)</f>
        <v/>
      </c>
      <c r="D161" s="193" t="str">
        <f>IF('Observaciones-SMP'!D161="","",'Observaciones-SMP'!D161)</f>
        <v/>
      </c>
      <c r="E161" s="193" t="str">
        <f>IF('Observaciones-SMP'!E161="","",'Observaciones-SMP'!E161)</f>
        <v/>
      </c>
      <c r="F161" s="193" t="str">
        <f>IF('Observaciones-SMP'!F161="","",'Observaciones-SMP'!F161)</f>
        <v/>
      </c>
      <c r="G161" s="193" t="str">
        <f>IF('Observaciones-SMP'!G161="","",'Observaciones-SMP'!G161)</f>
        <v/>
      </c>
      <c r="H161" s="193" t="str">
        <f>IF('Observaciones-SMP'!H161="","",'Observaciones-SMP'!H161)</f>
        <v/>
      </c>
      <c r="I161" s="193" t="str">
        <f>IF('Observaciones-SMP'!I161="","",'Observaciones-SMP'!I161)</f>
        <v/>
      </c>
      <c r="J161" s="193" t="str">
        <f>IF('Observaciones-SMP'!J161="","",'Observaciones-SMP'!J161)</f>
        <v/>
      </c>
      <c r="K161" s="193" t="str">
        <f>IF('Observaciones-SMP'!K161="","",'Observaciones-SMP'!K161)</f>
        <v/>
      </c>
      <c r="L161" s="193" t="str">
        <f>IF('Observaciones-SMP'!L161="","",'Observaciones-SMP'!L161)</f>
        <v/>
      </c>
      <c r="M161" s="193" t="str">
        <f>IF('Observaciones-SMP'!M161="","",'Observaciones-SMP'!M161)</f>
        <v/>
      </c>
      <c r="N161" s="193" t="str">
        <f>IF('Observaciones-SMP'!N161="","",'Observaciones-SMP'!N161)</f>
        <v/>
      </c>
      <c r="O161" s="193" t="str">
        <f>IF('Observaciones-SMP'!O161="","",'Observaciones-SMP'!O161)</f>
        <v/>
      </c>
      <c r="P161" s="193" t="str">
        <f>IF('Observaciones-SMP'!P161="","",'Observaciones-SMP'!P161)</f>
        <v/>
      </c>
      <c r="Q161" s="257" t="str">
        <f>IF('Observaciones-SMP'!S161="","",'Observaciones-SMP'!S161)</f>
        <v/>
      </c>
      <c r="R161" s="193" t="str">
        <f>IF('Observaciones-SMP'!T161="","",'Observaciones-SMP'!T161)</f>
        <v/>
      </c>
      <c r="S161" s="193" t="str">
        <f>""</f>
        <v/>
      </c>
      <c r="T161" s="193" t="str">
        <f>""</f>
        <v/>
      </c>
      <c r="U161" s="193" t="str">
        <f t="shared" si="8"/>
        <v/>
      </c>
      <c r="V161" s="193" t="str">
        <f>""</f>
        <v/>
      </c>
      <c r="W161" s="193" t="str">
        <f>""</f>
        <v/>
      </c>
      <c r="X161" s="258" t="str">
        <f t="shared" si="9"/>
        <v/>
      </c>
      <c r="Y161" s="258" t="str">
        <f t="shared" si="10"/>
        <v/>
      </c>
      <c r="Z161" s="193" t="str">
        <f>IF(A161="","",IF(COUNTIF('Observaciones-SMP'!$A$2:$A$1001,A161)&gt;1,1,0))</f>
        <v/>
      </c>
      <c r="AA161" s="193" t="str">
        <f t="shared" si="11"/>
        <v/>
      </c>
    </row>
    <row r="162" spans="1:27" ht="13.5" customHeight="1" x14ac:dyDescent="0.3">
      <c r="A162" s="193" t="str">
        <f>IF('Observaciones-SMP'!A162="","",'Observaciones-SMP'!A162)</f>
        <v/>
      </c>
      <c r="B162" s="257" t="str">
        <f>IF('Observaciones-SMP'!B162="","",'Observaciones-SMP'!B162)</f>
        <v/>
      </c>
      <c r="C162" s="193" t="str">
        <f>IF('Observaciones-SMP'!C162="","",'Observaciones-SMP'!C162)</f>
        <v/>
      </c>
      <c r="D162" s="193" t="str">
        <f>IF('Observaciones-SMP'!D162="","",'Observaciones-SMP'!D162)</f>
        <v/>
      </c>
      <c r="E162" s="193" t="str">
        <f>IF('Observaciones-SMP'!E162="","",'Observaciones-SMP'!E162)</f>
        <v/>
      </c>
      <c r="F162" s="193" t="str">
        <f>IF('Observaciones-SMP'!F162="","",'Observaciones-SMP'!F162)</f>
        <v/>
      </c>
      <c r="G162" s="193" t="str">
        <f>IF('Observaciones-SMP'!G162="","",'Observaciones-SMP'!G162)</f>
        <v/>
      </c>
      <c r="H162" s="193" t="str">
        <f>IF('Observaciones-SMP'!H162="","",'Observaciones-SMP'!H162)</f>
        <v/>
      </c>
      <c r="I162" s="193" t="str">
        <f>IF('Observaciones-SMP'!I162="","",'Observaciones-SMP'!I162)</f>
        <v/>
      </c>
      <c r="J162" s="193" t="str">
        <f>IF('Observaciones-SMP'!J162="","",'Observaciones-SMP'!J162)</f>
        <v/>
      </c>
      <c r="K162" s="193" t="str">
        <f>IF('Observaciones-SMP'!K162="","",'Observaciones-SMP'!K162)</f>
        <v/>
      </c>
      <c r="L162" s="193" t="str">
        <f>IF('Observaciones-SMP'!L162="","",'Observaciones-SMP'!L162)</f>
        <v/>
      </c>
      <c r="M162" s="193" t="str">
        <f>IF('Observaciones-SMP'!M162="","",'Observaciones-SMP'!M162)</f>
        <v/>
      </c>
      <c r="N162" s="193" t="str">
        <f>IF('Observaciones-SMP'!N162="","",'Observaciones-SMP'!N162)</f>
        <v/>
      </c>
      <c r="O162" s="193" t="str">
        <f>IF('Observaciones-SMP'!O162="","",'Observaciones-SMP'!O162)</f>
        <v/>
      </c>
      <c r="P162" s="193" t="str">
        <f>IF('Observaciones-SMP'!P162="","",'Observaciones-SMP'!P162)</f>
        <v/>
      </c>
      <c r="Q162" s="257" t="str">
        <f>IF('Observaciones-SMP'!S162="","",'Observaciones-SMP'!S162)</f>
        <v/>
      </c>
      <c r="R162" s="193" t="str">
        <f>IF('Observaciones-SMP'!T162="","",'Observaciones-SMP'!T162)</f>
        <v/>
      </c>
      <c r="S162" s="193" t="str">
        <f>""</f>
        <v/>
      </c>
      <c r="T162" s="193" t="str">
        <f>""</f>
        <v/>
      </c>
      <c r="U162" s="193" t="str">
        <f t="shared" si="8"/>
        <v/>
      </c>
      <c r="V162" s="193" t="str">
        <f>""</f>
        <v/>
      </c>
      <c r="W162" s="193" t="str">
        <f>""</f>
        <v/>
      </c>
      <c r="X162" s="258" t="str">
        <f t="shared" si="9"/>
        <v/>
      </c>
      <c r="Y162" s="258" t="str">
        <f t="shared" si="10"/>
        <v/>
      </c>
      <c r="Z162" s="193" t="str">
        <f>IF(A162="","",IF(COUNTIF('Observaciones-SMP'!$A$2:$A$1001,A162)&gt;1,1,0))</f>
        <v/>
      </c>
      <c r="AA162" s="193" t="str">
        <f t="shared" si="11"/>
        <v/>
      </c>
    </row>
    <row r="163" spans="1:27" ht="13.5" customHeight="1" x14ac:dyDescent="0.3">
      <c r="A163" s="193" t="str">
        <f>IF('Observaciones-SMP'!A163="","",'Observaciones-SMP'!A163)</f>
        <v/>
      </c>
      <c r="B163" s="257" t="str">
        <f>IF('Observaciones-SMP'!B163="","",'Observaciones-SMP'!B163)</f>
        <v/>
      </c>
      <c r="C163" s="193" t="str">
        <f>IF('Observaciones-SMP'!C163="","",'Observaciones-SMP'!C163)</f>
        <v/>
      </c>
      <c r="D163" s="193" t="str">
        <f>IF('Observaciones-SMP'!D163="","",'Observaciones-SMP'!D163)</f>
        <v/>
      </c>
      <c r="E163" s="193" t="str">
        <f>IF('Observaciones-SMP'!E163="","",'Observaciones-SMP'!E163)</f>
        <v/>
      </c>
      <c r="F163" s="193" t="str">
        <f>IF('Observaciones-SMP'!F163="","",'Observaciones-SMP'!F163)</f>
        <v/>
      </c>
      <c r="G163" s="193" t="str">
        <f>IF('Observaciones-SMP'!G163="","",'Observaciones-SMP'!G163)</f>
        <v/>
      </c>
      <c r="H163" s="193" t="str">
        <f>IF('Observaciones-SMP'!H163="","",'Observaciones-SMP'!H163)</f>
        <v/>
      </c>
      <c r="I163" s="193" t="str">
        <f>IF('Observaciones-SMP'!I163="","",'Observaciones-SMP'!I163)</f>
        <v/>
      </c>
      <c r="J163" s="193" t="str">
        <f>IF('Observaciones-SMP'!J163="","",'Observaciones-SMP'!J163)</f>
        <v/>
      </c>
      <c r="K163" s="193" t="str">
        <f>IF('Observaciones-SMP'!K163="","",'Observaciones-SMP'!K163)</f>
        <v/>
      </c>
      <c r="L163" s="193" t="str">
        <f>IF('Observaciones-SMP'!L163="","",'Observaciones-SMP'!L163)</f>
        <v/>
      </c>
      <c r="M163" s="193" t="str">
        <f>IF('Observaciones-SMP'!M163="","",'Observaciones-SMP'!M163)</f>
        <v/>
      </c>
      <c r="N163" s="193" t="str">
        <f>IF('Observaciones-SMP'!N163="","",'Observaciones-SMP'!N163)</f>
        <v/>
      </c>
      <c r="O163" s="193" t="str">
        <f>IF('Observaciones-SMP'!O163="","",'Observaciones-SMP'!O163)</f>
        <v/>
      </c>
      <c r="P163" s="193" t="str">
        <f>IF('Observaciones-SMP'!P163="","",'Observaciones-SMP'!P163)</f>
        <v/>
      </c>
      <c r="Q163" s="257" t="str">
        <f>IF('Observaciones-SMP'!S163="","",'Observaciones-SMP'!S163)</f>
        <v/>
      </c>
      <c r="R163" s="193" t="str">
        <f>IF('Observaciones-SMP'!T163="","",'Observaciones-SMP'!T163)</f>
        <v/>
      </c>
      <c r="S163" s="193" t="str">
        <f>""</f>
        <v/>
      </c>
      <c r="T163" s="193" t="str">
        <f>""</f>
        <v/>
      </c>
      <c r="U163" s="193" t="str">
        <f t="shared" si="8"/>
        <v/>
      </c>
      <c r="V163" s="193" t="str">
        <f>""</f>
        <v/>
      </c>
      <c r="W163" s="193" t="str">
        <f>""</f>
        <v/>
      </c>
      <c r="X163" s="258" t="str">
        <f t="shared" si="9"/>
        <v/>
      </c>
      <c r="Y163" s="258" t="str">
        <f t="shared" si="10"/>
        <v/>
      </c>
      <c r="Z163" s="193" t="str">
        <f>IF(A163="","",IF(COUNTIF('Observaciones-SMP'!$A$2:$A$1001,A163)&gt;1,1,0))</f>
        <v/>
      </c>
      <c r="AA163" s="193" t="str">
        <f t="shared" si="11"/>
        <v/>
      </c>
    </row>
    <row r="164" spans="1:27" ht="13.5" customHeight="1" x14ac:dyDescent="0.3">
      <c r="A164" s="193" t="str">
        <f>IF('Observaciones-SMP'!A164="","",'Observaciones-SMP'!A164)</f>
        <v/>
      </c>
      <c r="B164" s="257" t="str">
        <f>IF('Observaciones-SMP'!B164="","",'Observaciones-SMP'!B164)</f>
        <v/>
      </c>
      <c r="C164" s="193" t="str">
        <f>IF('Observaciones-SMP'!C164="","",'Observaciones-SMP'!C164)</f>
        <v/>
      </c>
      <c r="D164" s="193" t="str">
        <f>IF('Observaciones-SMP'!D164="","",'Observaciones-SMP'!D164)</f>
        <v/>
      </c>
      <c r="E164" s="193" t="str">
        <f>IF('Observaciones-SMP'!E164="","",'Observaciones-SMP'!E164)</f>
        <v/>
      </c>
      <c r="F164" s="193" t="str">
        <f>IF('Observaciones-SMP'!F164="","",'Observaciones-SMP'!F164)</f>
        <v/>
      </c>
      <c r="G164" s="193" t="str">
        <f>IF('Observaciones-SMP'!G164="","",'Observaciones-SMP'!G164)</f>
        <v/>
      </c>
      <c r="H164" s="193" t="str">
        <f>IF('Observaciones-SMP'!H164="","",'Observaciones-SMP'!H164)</f>
        <v/>
      </c>
      <c r="I164" s="193" t="str">
        <f>IF('Observaciones-SMP'!I164="","",'Observaciones-SMP'!I164)</f>
        <v/>
      </c>
      <c r="J164" s="193" t="str">
        <f>IF('Observaciones-SMP'!J164="","",'Observaciones-SMP'!J164)</f>
        <v/>
      </c>
      <c r="K164" s="193" t="str">
        <f>IF('Observaciones-SMP'!K164="","",'Observaciones-SMP'!K164)</f>
        <v/>
      </c>
      <c r="L164" s="193" t="str">
        <f>IF('Observaciones-SMP'!L164="","",'Observaciones-SMP'!L164)</f>
        <v/>
      </c>
      <c r="M164" s="193" t="str">
        <f>IF('Observaciones-SMP'!M164="","",'Observaciones-SMP'!M164)</f>
        <v/>
      </c>
      <c r="N164" s="193" t="str">
        <f>IF('Observaciones-SMP'!N164="","",'Observaciones-SMP'!N164)</f>
        <v/>
      </c>
      <c r="O164" s="193" t="str">
        <f>IF('Observaciones-SMP'!O164="","",'Observaciones-SMP'!O164)</f>
        <v/>
      </c>
      <c r="P164" s="193" t="str">
        <f>IF('Observaciones-SMP'!P164="","",'Observaciones-SMP'!P164)</f>
        <v/>
      </c>
      <c r="Q164" s="257" t="str">
        <f>IF('Observaciones-SMP'!S164="","",'Observaciones-SMP'!S164)</f>
        <v/>
      </c>
      <c r="R164" s="193" t="str">
        <f>IF('Observaciones-SMP'!T164="","",'Observaciones-SMP'!T164)</f>
        <v/>
      </c>
      <c r="S164" s="193" t="str">
        <f>""</f>
        <v/>
      </c>
      <c r="T164" s="193" t="str">
        <f>""</f>
        <v/>
      </c>
      <c r="U164" s="193" t="str">
        <f t="shared" si="8"/>
        <v/>
      </c>
      <c r="V164" s="193" t="str">
        <f>""</f>
        <v/>
      </c>
      <c r="W164" s="193" t="str">
        <f>""</f>
        <v/>
      </c>
      <c r="X164" s="258" t="str">
        <f t="shared" si="9"/>
        <v/>
      </c>
      <c r="Y164" s="258" t="str">
        <f t="shared" si="10"/>
        <v/>
      </c>
      <c r="Z164" s="193" t="str">
        <f>IF(A164="","",IF(COUNTIF('Observaciones-SMP'!$A$2:$A$1001,A164)&gt;1,1,0))</f>
        <v/>
      </c>
      <c r="AA164" s="193" t="str">
        <f t="shared" si="11"/>
        <v/>
      </c>
    </row>
    <row r="165" spans="1:27" ht="13.5" customHeight="1" x14ac:dyDescent="0.3">
      <c r="A165" s="193" t="str">
        <f>IF('Observaciones-SMP'!A165="","",'Observaciones-SMP'!A165)</f>
        <v/>
      </c>
      <c r="B165" s="257" t="str">
        <f>IF('Observaciones-SMP'!B165="","",'Observaciones-SMP'!B165)</f>
        <v/>
      </c>
      <c r="C165" s="193" t="str">
        <f>IF('Observaciones-SMP'!C165="","",'Observaciones-SMP'!C165)</f>
        <v/>
      </c>
      <c r="D165" s="193" t="str">
        <f>IF('Observaciones-SMP'!D165="","",'Observaciones-SMP'!D165)</f>
        <v/>
      </c>
      <c r="E165" s="193" t="str">
        <f>IF('Observaciones-SMP'!E165="","",'Observaciones-SMP'!E165)</f>
        <v/>
      </c>
      <c r="F165" s="193" t="str">
        <f>IF('Observaciones-SMP'!F165="","",'Observaciones-SMP'!F165)</f>
        <v/>
      </c>
      <c r="G165" s="193" t="str">
        <f>IF('Observaciones-SMP'!G165="","",'Observaciones-SMP'!G165)</f>
        <v/>
      </c>
      <c r="H165" s="193" t="str">
        <f>IF('Observaciones-SMP'!H165="","",'Observaciones-SMP'!H165)</f>
        <v/>
      </c>
      <c r="I165" s="193" t="str">
        <f>IF('Observaciones-SMP'!I165="","",'Observaciones-SMP'!I165)</f>
        <v/>
      </c>
      <c r="J165" s="193" t="str">
        <f>IF('Observaciones-SMP'!J165="","",'Observaciones-SMP'!J165)</f>
        <v/>
      </c>
      <c r="K165" s="193" t="str">
        <f>IF('Observaciones-SMP'!K165="","",'Observaciones-SMP'!K165)</f>
        <v/>
      </c>
      <c r="L165" s="193" t="str">
        <f>IF('Observaciones-SMP'!L165="","",'Observaciones-SMP'!L165)</f>
        <v/>
      </c>
      <c r="M165" s="193" t="str">
        <f>IF('Observaciones-SMP'!M165="","",'Observaciones-SMP'!M165)</f>
        <v/>
      </c>
      <c r="N165" s="193" t="str">
        <f>IF('Observaciones-SMP'!N165="","",'Observaciones-SMP'!N165)</f>
        <v/>
      </c>
      <c r="O165" s="193" t="str">
        <f>IF('Observaciones-SMP'!O165="","",'Observaciones-SMP'!O165)</f>
        <v/>
      </c>
      <c r="P165" s="193" t="str">
        <f>IF('Observaciones-SMP'!P165="","",'Observaciones-SMP'!P165)</f>
        <v/>
      </c>
      <c r="Q165" s="257" t="str">
        <f>IF('Observaciones-SMP'!S165="","",'Observaciones-SMP'!S165)</f>
        <v/>
      </c>
      <c r="R165" s="193" t="str">
        <f>IF('Observaciones-SMP'!T165="","",'Observaciones-SMP'!T165)</f>
        <v/>
      </c>
      <c r="S165" s="193" t="str">
        <f>""</f>
        <v/>
      </c>
      <c r="T165" s="193" t="str">
        <f>""</f>
        <v/>
      </c>
      <c r="U165" s="193" t="str">
        <f t="shared" si="8"/>
        <v/>
      </c>
      <c r="V165" s="193" t="str">
        <f>""</f>
        <v/>
      </c>
      <c r="W165" s="193" t="str">
        <f>""</f>
        <v/>
      </c>
      <c r="X165" s="258" t="str">
        <f t="shared" si="9"/>
        <v/>
      </c>
      <c r="Y165" s="258" t="str">
        <f t="shared" si="10"/>
        <v/>
      </c>
      <c r="Z165" s="193" t="str">
        <f>IF(A165="","",IF(COUNTIF('Observaciones-SMP'!$A$2:$A$1001,A165)&gt;1,1,0))</f>
        <v/>
      </c>
      <c r="AA165" s="193" t="str">
        <f t="shared" si="11"/>
        <v/>
      </c>
    </row>
    <row r="166" spans="1:27" ht="13.5" customHeight="1" x14ac:dyDescent="0.3">
      <c r="A166" s="193" t="str">
        <f>IF('Observaciones-SMP'!A166="","",'Observaciones-SMP'!A166)</f>
        <v/>
      </c>
      <c r="B166" s="257" t="str">
        <f>IF('Observaciones-SMP'!B166="","",'Observaciones-SMP'!B166)</f>
        <v/>
      </c>
      <c r="C166" s="193" t="str">
        <f>IF('Observaciones-SMP'!C166="","",'Observaciones-SMP'!C166)</f>
        <v/>
      </c>
      <c r="D166" s="193" t="str">
        <f>IF('Observaciones-SMP'!D166="","",'Observaciones-SMP'!D166)</f>
        <v/>
      </c>
      <c r="E166" s="193" t="str">
        <f>IF('Observaciones-SMP'!E166="","",'Observaciones-SMP'!E166)</f>
        <v/>
      </c>
      <c r="F166" s="193" t="str">
        <f>IF('Observaciones-SMP'!F166="","",'Observaciones-SMP'!F166)</f>
        <v/>
      </c>
      <c r="G166" s="193" t="str">
        <f>IF('Observaciones-SMP'!G166="","",'Observaciones-SMP'!G166)</f>
        <v/>
      </c>
      <c r="H166" s="193" t="str">
        <f>IF('Observaciones-SMP'!H166="","",'Observaciones-SMP'!H166)</f>
        <v/>
      </c>
      <c r="I166" s="193" t="str">
        <f>IF('Observaciones-SMP'!I166="","",'Observaciones-SMP'!I166)</f>
        <v/>
      </c>
      <c r="J166" s="193" t="str">
        <f>IF('Observaciones-SMP'!J166="","",'Observaciones-SMP'!J166)</f>
        <v/>
      </c>
      <c r="K166" s="193" t="str">
        <f>IF('Observaciones-SMP'!K166="","",'Observaciones-SMP'!K166)</f>
        <v/>
      </c>
      <c r="L166" s="193" t="str">
        <f>IF('Observaciones-SMP'!L166="","",'Observaciones-SMP'!L166)</f>
        <v/>
      </c>
      <c r="M166" s="193" t="str">
        <f>IF('Observaciones-SMP'!M166="","",'Observaciones-SMP'!M166)</f>
        <v/>
      </c>
      <c r="N166" s="193" t="str">
        <f>IF('Observaciones-SMP'!N166="","",'Observaciones-SMP'!N166)</f>
        <v/>
      </c>
      <c r="O166" s="193" t="str">
        <f>IF('Observaciones-SMP'!O166="","",'Observaciones-SMP'!O166)</f>
        <v/>
      </c>
      <c r="P166" s="193" t="str">
        <f>IF('Observaciones-SMP'!P166="","",'Observaciones-SMP'!P166)</f>
        <v/>
      </c>
      <c r="Q166" s="257" t="str">
        <f>IF('Observaciones-SMP'!S166="","",'Observaciones-SMP'!S166)</f>
        <v/>
      </c>
      <c r="R166" s="193" t="str">
        <f>IF('Observaciones-SMP'!T166="","",'Observaciones-SMP'!T166)</f>
        <v/>
      </c>
      <c r="S166" s="193" t="str">
        <f>""</f>
        <v/>
      </c>
      <c r="T166" s="193" t="str">
        <f>""</f>
        <v/>
      </c>
      <c r="U166" s="193" t="str">
        <f t="shared" si="8"/>
        <v/>
      </c>
      <c r="V166" s="193" t="str">
        <f>""</f>
        <v/>
      </c>
      <c r="W166" s="193" t="str">
        <f>""</f>
        <v/>
      </c>
      <c r="X166" s="258" t="str">
        <f t="shared" si="9"/>
        <v/>
      </c>
      <c r="Y166" s="258" t="str">
        <f t="shared" si="10"/>
        <v/>
      </c>
      <c r="Z166" s="193" t="str">
        <f>IF(A166="","",IF(COUNTIF('Observaciones-SMP'!$A$2:$A$1001,A166)&gt;1,1,0))</f>
        <v/>
      </c>
      <c r="AA166" s="193" t="str">
        <f t="shared" si="11"/>
        <v/>
      </c>
    </row>
    <row r="167" spans="1:27" ht="13.5" customHeight="1" x14ac:dyDescent="0.3">
      <c r="A167" s="193" t="str">
        <f>IF('Observaciones-SMP'!A167="","",'Observaciones-SMP'!A167)</f>
        <v/>
      </c>
      <c r="B167" s="257" t="str">
        <f>IF('Observaciones-SMP'!B167="","",'Observaciones-SMP'!B167)</f>
        <v/>
      </c>
      <c r="C167" s="193" t="str">
        <f>IF('Observaciones-SMP'!C167="","",'Observaciones-SMP'!C167)</f>
        <v/>
      </c>
      <c r="D167" s="193" t="str">
        <f>IF('Observaciones-SMP'!D167="","",'Observaciones-SMP'!D167)</f>
        <v/>
      </c>
      <c r="E167" s="193" t="str">
        <f>IF('Observaciones-SMP'!E167="","",'Observaciones-SMP'!E167)</f>
        <v/>
      </c>
      <c r="F167" s="193" t="str">
        <f>IF('Observaciones-SMP'!F167="","",'Observaciones-SMP'!F167)</f>
        <v/>
      </c>
      <c r="G167" s="193" t="str">
        <f>IF('Observaciones-SMP'!G167="","",'Observaciones-SMP'!G167)</f>
        <v/>
      </c>
      <c r="H167" s="193" t="str">
        <f>IF('Observaciones-SMP'!H167="","",'Observaciones-SMP'!H167)</f>
        <v/>
      </c>
      <c r="I167" s="193" t="str">
        <f>IF('Observaciones-SMP'!I167="","",'Observaciones-SMP'!I167)</f>
        <v/>
      </c>
      <c r="J167" s="193" t="str">
        <f>IF('Observaciones-SMP'!J167="","",'Observaciones-SMP'!J167)</f>
        <v/>
      </c>
      <c r="K167" s="193" t="str">
        <f>IF('Observaciones-SMP'!K167="","",'Observaciones-SMP'!K167)</f>
        <v/>
      </c>
      <c r="L167" s="193" t="str">
        <f>IF('Observaciones-SMP'!L167="","",'Observaciones-SMP'!L167)</f>
        <v/>
      </c>
      <c r="M167" s="193" t="str">
        <f>IF('Observaciones-SMP'!M167="","",'Observaciones-SMP'!M167)</f>
        <v/>
      </c>
      <c r="N167" s="193" t="str">
        <f>IF('Observaciones-SMP'!N167="","",'Observaciones-SMP'!N167)</f>
        <v/>
      </c>
      <c r="O167" s="193" t="str">
        <f>IF('Observaciones-SMP'!O167="","",'Observaciones-SMP'!O167)</f>
        <v/>
      </c>
      <c r="P167" s="193" t="str">
        <f>IF('Observaciones-SMP'!P167="","",'Observaciones-SMP'!P167)</f>
        <v/>
      </c>
      <c r="Q167" s="257" t="str">
        <f>IF('Observaciones-SMP'!S167="","",'Observaciones-SMP'!S167)</f>
        <v/>
      </c>
      <c r="R167" s="193" t="str">
        <f>IF('Observaciones-SMP'!T167="","",'Observaciones-SMP'!T167)</f>
        <v/>
      </c>
      <c r="S167" s="193" t="str">
        <f>""</f>
        <v/>
      </c>
      <c r="T167" s="193" t="str">
        <f>""</f>
        <v/>
      </c>
      <c r="U167" s="193" t="str">
        <f t="shared" si="8"/>
        <v/>
      </c>
      <c r="V167" s="193" t="str">
        <f>""</f>
        <v/>
      </c>
      <c r="W167" s="193" t="str">
        <f>""</f>
        <v/>
      </c>
      <c r="X167" s="258" t="str">
        <f t="shared" si="9"/>
        <v/>
      </c>
      <c r="Y167" s="258" t="str">
        <f t="shared" si="10"/>
        <v/>
      </c>
      <c r="Z167" s="193" t="str">
        <f>IF(A167="","",IF(COUNTIF('Observaciones-SMP'!$A$2:$A$1001,A167)&gt;1,1,0))</f>
        <v/>
      </c>
      <c r="AA167" s="193" t="str">
        <f t="shared" si="11"/>
        <v/>
      </c>
    </row>
    <row r="168" spans="1:27" ht="13.5" customHeight="1" x14ac:dyDescent="0.3">
      <c r="A168" s="193" t="str">
        <f>IF('Observaciones-SMP'!A168="","",'Observaciones-SMP'!A168)</f>
        <v/>
      </c>
      <c r="B168" s="257" t="str">
        <f>IF('Observaciones-SMP'!B168="","",'Observaciones-SMP'!B168)</f>
        <v/>
      </c>
      <c r="C168" s="193" t="str">
        <f>IF('Observaciones-SMP'!C168="","",'Observaciones-SMP'!C168)</f>
        <v/>
      </c>
      <c r="D168" s="193" t="str">
        <f>IF('Observaciones-SMP'!D168="","",'Observaciones-SMP'!D168)</f>
        <v/>
      </c>
      <c r="E168" s="193" t="str">
        <f>IF('Observaciones-SMP'!E168="","",'Observaciones-SMP'!E168)</f>
        <v/>
      </c>
      <c r="F168" s="193" t="str">
        <f>IF('Observaciones-SMP'!F168="","",'Observaciones-SMP'!F168)</f>
        <v/>
      </c>
      <c r="G168" s="193" t="str">
        <f>IF('Observaciones-SMP'!G168="","",'Observaciones-SMP'!G168)</f>
        <v/>
      </c>
      <c r="H168" s="193" t="str">
        <f>IF('Observaciones-SMP'!H168="","",'Observaciones-SMP'!H168)</f>
        <v/>
      </c>
      <c r="I168" s="193" t="str">
        <f>IF('Observaciones-SMP'!I168="","",'Observaciones-SMP'!I168)</f>
        <v/>
      </c>
      <c r="J168" s="193" t="str">
        <f>IF('Observaciones-SMP'!J168="","",'Observaciones-SMP'!J168)</f>
        <v/>
      </c>
      <c r="K168" s="193" t="str">
        <f>IF('Observaciones-SMP'!K168="","",'Observaciones-SMP'!K168)</f>
        <v/>
      </c>
      <c r="L168" s="193" t="str">
        <f>IF('Observaciones-SMP'!L168="","",'Observaciones-SMP'!L168)</f>
        <v/>
      </c>
      <c r="M168" s="193" t="str">
        <f>IF('Observaciones-SMP'!M168="","",'Observaciones-SMP'!M168)</f>
        <v/>
      </c>
      <c r="N168" s="193" t="str">
        <f>IF('Observaciones-SMP'!N168="","",'Observaciones-SMP'!N168)</f>
        <v/>
      </c>
      <c r="O168" s="193" t="str">
        <f>IF('Observaciones-SMP'!O168="","",'Observaciones-SMP'!O168)</f>
        <v/>
      </c>
      <c r="P168" s="193" t="str">
        <f>IF('Observaciones-SMP'!P168="","",'Observaciones-SMP'!P168)</f>
        <v/>
      </c>
      <c r="Q168" s="257" t="str">
        <f>IF('Observaciones-SMP'!S168="","",'Observaciones-SMP'!S168)</f>
        <v/>
      </c>
      <c r="R168" s="193" t="str">
        <f>IF('Observaciones-SMP'!T168="","",'Observaciones-SMP'!T168)</f>
        <v/>
      </c>
      <c r="S168" s="193" t="str">
        <f>""</f>
        <v/>
      </c>
      <c r="T168" s="193" t="str">
        <f>""</f>
        <v/>
      </c>
      <c r="U168" s="193" t="str">
        <f t="shared" si="8"/>
        <v/>
      </c>
      <c r="V168" s="193" t="str">
        <f>""</f>
        <v/>
      </c>
      <c r="W168" s="193" t="str">
        <f>""</f>
        <v/>
      </c>
      <c r="X168" s="258" t="str">
        <f t="shared" si="9"/>
        <v/>
      </c>
      <c r="Y168" s="258" t="str">
        <f t="shared" si="10"/>
        <v/>
      </c>
      <c r="Z168" s="193" t="str">
        <f>IF(A168="","",IF(COUNTIF('Observaciones-SMP'!$A$2:$A$1001,A168)&gt;1,1,0))</f>
        <v/>
      </c>
      <c r="AA168" s="193" t="str">
        <f t="shared" si="11"/>
        <v/>
      </c>
    </row>
    <row r="169" spans="1:27" ht="13.5" customHeight="1" x14ac:dyDescent="0.3">
      <c r="A169" s="193" t="str">
        <f>IF('Observaciones-SMP'!A169="","",'Observaciones-SMP'!A169)</f>
        <v/>
      </c>
      <c r="B169" s="257" t="str">
        <f>IF('Observaciones-SMP'!B169="","",'Observaciones-SMP'!B169)</f>
        <v/>
      </c>
      <c r="C169" s="193" t="str">
        <f>IF('Observaciones-SMP'!C169="","",'Observaciones-SMP'!C169)</f>
        <v/>
      </c>
      <c r="D169" s="193" t="str">
        <f>IF('Observaciones-SMP'!D169="","",'Observaciones-SMP'!D169)</f>
        <v/>
      </c>
      <c r="E169" s="193" t="str">
        <f>IF('Observaciones-SMP'!E169="","",'Observaciones-SMP'!E169)</f>
        <v/>
      </c>
      <c r="F169" s="193" t="str">
        <f>IF('Observaciones-SMP'!F169="","",'Observaciones-SMP'!F169)</f>
        <v/>
      </c>
      <c r="G169" s="193" t="str">
        <f>IF('Observaciones-SMP'!G169="","",'Observaciones-SMP'!G169)</f>
        <v/>
      </c>
      <c r="H169" s="193" t="str">
        <f>IF('Observaciones-SMP'!H169="","",'Observaciones-SMP'!H169)</f>
        <v/>
      </c>
      <c r="I169" s="193" t="str">
        <f>IF('Observaciones-SMP'!I169="","",'Observaciones-SMP'!I169)</f>
        <v/>
      </c>
      <c r="J169" s="193" t="str">
        <f>IF('Observaciones-SMP'!J169="","",'Observaciones-SMP'!J169)</f>
        <v/>
      </c>
      <c r="K169" s="193" t="str">
        <f>IF('Observaciones-SMP'!K169="","",'Observaciones-SMP'!K169)</f>
        <v/>
      </c>
      <c r="L169" s="193" t="str">
        <f>IF('Observaciones-SMP'!L169="","",'Observaciones-SMP'!L169)</f>
        <v/>
      </c>
      <c r="M169" s="193" t="str">
        <f>IF('Observaciones-SMP'!M169="","",'Observaciones-SMP'!M169)</f>
        <v/>
      </c>
      <c r="N169" s="193" t="str">
        <f>IF('Observaciones-SMP'!N169="","",'Observaciones-SMP'!N169)</f>
        <v/>
      </c>
      <c r="O169" s="193" t="str">
        <f>IF('Observaciones-SMP'!O169="","",'Observaciones-SMP'!O169)</f>
        <v/>
      </c>
      <c r="P169" s="193" t="str">
        <f>IF('Observaciones-SMP'!P169="","",'Observaciones-SMP'!P169)</f>
        <v/>
      </c>
      <c r="Q169" s="257" t="str">
        <f>IF('Observaciones-SMP'!S169="","",'Observaciones-SMP'!S169)</f>
        <v/>
      </c>
      <c r="R169" s="193" t="str">
        <f>IF('Observaciones-SMP'!T169="","",'Observaciones-SMP'!T169)</f>
        <v/>
      </c>
      <c r="S169" s="193" t="str">
        <f>""</f>
        <v/>
      </c>
      <c r="T169" s="193" t="str">
        <f>""</f>
        <v/>
      </c>
      <c r="U169" s="193" t="str">
        <f t="shared" si="8"/>
        <v/>
      </c>
      <c r="V169" s="193" t="str">
        <f>""</f>
        <v/>
      </c>
      <c r="W169" s="193" t="str">
        <f>""</f>
        <v/>
      </c>
      <c r="X169" s="258" t="str">
        <f t="shared" si="9"/>
        <v/>
      </c>
      <c r="Y169" s="258" t="str">
        <f t="shared" si="10"/>
        <v/>
      </c>
      <c r="Z169" s="193" t="str">
        <f>IF(A169="","",IF(COUNTIF('Observaciones-SMP'!$A$2:$A$1001,A169)&gt;1,1,0))</f>
        <v/>
      </c>
      <c r="AA169" s="193" t="str">
        <f t="shared" si="11"/>
        <v/>
      </c>
    </row>
    <row r="170" spans="1:27" ht="13.5" customHeight="1" x14ac:dyDescent="0.3">
      <c r="A170" s="193" t="str">
        <f>IF('Observaciones-SMP'!A170="","",'Observaciones-SMP'!A170)</f>
        <v/>
      </c>
      <c r="B170" s="257" t="str">
        <f>IF('Observaciones-SMP'!B170="","",'Observaciones-SMP'!B170)</f>
        <v/>
      </c>
      <c r="C170" s="193" t="str">
        <f>IF('Observaciones-SMP'!C170="","",'Observaciones-SMP'!C170)</f>
        <v/>
      </c>
      <c r="D170" s="193" t="str">
        <f>IF('Observaciones-SMP'!D170="","",'Observaciones-SMP'!D170)</f>
        <v/>
      </c>
      <c r="E170" s="193" t="str">
        <f>IF('Observaciones-SMP'!E170="","",'Observaciones-SMP'!E170)</f>
        <v/>
      </c>
      <c r="F170" s="193" t="str">
        <f>IF('Observaciones-SMP'!F170="","",'Observaciones-SMP'!F170)</f>
        <v/>
      </c>
      <c r="G170" s="193" t="str">
        <f>IF('Observaciones-SMP'!G170="","",'Observaciones-SMP'!G170)</f>
        <v/>
      </c>
      <c r="H170" s="193" t="str">
        <f>IF('Observaciones-SMP'!H170="","",'Observaciones-SMP'!H170)</f>
        <v/>
      </c>
      <c r="I170" s="193" t="str">
        <f>IF('Observaciones-SMP'!I170="","",'Observaciones-SMP'!I170)</f>
        <v/>
      </c>
      <c r="J170" s="193" t="str">
        <f>IF('Observaciones-SMP'!J170="","",'Observaciones-SMP'!J170)</f>
        <v/>
      </c>
      <c r="K170" s="193" t="str">
        <f>IF('Observaciones-SMP'!K170="","",'Observaciones-SMP'!K170)</f>
        <v/>
      </c>
      <c r="L170" s="193" t="str">
        <f>IF('Observaciones-SMP'!L170="","",'Observaciones-SMP'!L170)</f>
        <v/>
      </c>
      <c r="M170" s="193" t="str">
        <f>IF('Observaciones-SMP'!M170="","",'Observaciones-SMP'!M170)</f>
        <v/>
      </c>
      <c r="N170" s="193" t="str">
        <f>IF('Observaciones-SMP'!N170="","",'Observaciones-SMP'!N170)</f>
        <v/>
      </c>
      <c r="O170" s="193" t="str">
        <f>IF('Observaciones-SMP'!O170="","",'Observaciones-SMP'!O170)</f>
        <v/>
      </c>
      <c r="P170" s="193" t="str">
        <f>IF('Observaciones-SMP'!P170="","",'Observaciones-SMP'!P170)</f>
        <v/>
      </c>
      <c r="Q170" s="257" t="str">
        <f>IF('Observaciones-SMP'!S170="","",'Observaciones-SMP'!S170)</f>
        <v/>
      </c>
      <c r="R170" s="193" t="str">
        <f>IF('Observaciones-SMP'!T170="","",'Observaciones-SMP'!T170)</f>
        <v/>
      </c>
      <c r="S170" s="193" t="str">
        <f>""</f>
        <v/>
      </c>
      <c r="T170" s="193" t="str">
        <f>""</f>
        <v/>
      </c>
      <c r="U170" s="193" t="str">
        <f t="shared" si="8"/>
        <v/>
      </c>
      <c r="V170" s="193" t="str">
        <f>""</f>
        <v/>
      </c>
      <c r="W170" s="193" t="str">
        <f>""</f>
        <v/>
      </c>
      <c r="X170" s="258" t="str">
        <f t="shared" si="9"/>
        <v/>
      </c>
      <c r="Y170" s="258" t="str">
        <f t="shared" si="10"/>
        <v/>
      </c>
      <c r="Z170" s="193" t="str">
        <f>IF(A170="","",IF(COUNTIF('Observaciones-SMP'!$A$2:$A$1001,A170)&gt;1,1,0))</f>
        <v/>
      </c>
      <c r="AA170" s="193" t="str">
        <f t="shared" si="11"/>
        <v/>
      </c>
    </row>
    <row r="171" spans="1:27" ht="13.5" customHeight="1" x14ac:dyDescent="0.3">
      <c r="A171" s="193" t="str">
        <f>IF('Observaciones-SMP'!A171="","",'Observaciones-SMP'!A171)</f>
        <v/>
      </c>
      <c r="B171" s="257" t="str">
        <f>IF('Observaciones-SMP'!B171="","",'Observaciones-SMP'!B171)</f>
        <v/>
      </c>
      <c r="C171" s="193" t="str">
        <f>IF('Observaciones-SMP'!C171="","",'Observaciones-SMP'!C171)</f>
        <v/>
      </c>
      <c r="D171" s="193" t="str">
        <f>IF('Observaciones-SMP'!D171="","",'Observaciones-SMP'!D171)</f>
        <v/>
      </c>
      <c r="E171" s="193" t="str">
        <f>IF('Observaciones-SMP'!E171="","",'Observaciones-SMP'!E171)</f>
        <v/>
      </c>
      <c r="F171" s="193" t="str">
        <f>IF('Observaciones-SMP'!F171="","",'Observaciones-SMP'!F171)</f>
        <v/>
      </c>
      <c r="G171" s="193" t="str">
        <f>IF('Observaciones-SMP'!G171="","",'Observaciones-SMP'!G171)</f>
        <v/>
      </c>
      <c r="H171" s="193" t="str">
        <f>IF('Observaciones-SMP'!H171="","",'Observaciones-SMP'!H171)</f>
        <v/>
      </c>
      <c r="I171" s="193" t="str">
        <f>IF('Observaciones-SMP'!I171="","",'Observaciones-SMP'!I171)</f>
        <v/>
      </c>
      <c r="J171" s="193" t="str">
        <f>IF('Observaciones-SMP'!J171="","",'Observaciones-SMP'!J171)</f>
        <v/>
      </c>
      <c r="K171" s="193" t="str">
        <f>IF('Observaciones-SMP'!K171="","",'Observaciones-SMP'!K171)</f>
        <v/>
      </c>
      <c r="L171" s="193" t="str">
        <f>IF('Observaciones-SMP'!L171="","",'Observaciones-SMP'!L171)</f>
        <v/>
      </c>
      <c r="M171" s="193" t="str">
        <f>IF('Observaciones-SMP'!M171="","",'Observaciones-SMP'!M171)</f>
        <v/>
      </c>
      <c r="N171" s="193" t="str">
        <f>IF('Observaciones-SMP'!N171="","",'Observaciones-SMP'!N171)</f>
        <v/>
      </c>
      <c r="O171" s="193" t="str">
        <f>IF('Observaciones-SMP'!O171="","",'Observaciones-SMP'!O171)</f>
        <v/>
      </c>
      <c r="P171" s="193" t="str">
        <f>IF('Observaciones-SMP'!P171="","",'Observaciones-SMP'!P171)</f>
        <v/>
      </c>
      <c r="Q171" s="257" t="str">
        <f>IF('Observaciones-SMP'!S171="","",'Observaciones-SMP'!S171)</f>
        <v/>
      </c>
      <c r="R171" s="193" t="str">
        <f>IF('Observaciones-SMP'!T171="","",'Observaciones-SMP'!T171)</f>
        <v/>
      </c>
      <c r="S171" s="193" t="str">
        <f>""</f>
        <v/>
      </c>
      <c r="T171" s="193" t="str">
        <f>""</f>
        <v/>
      </c>
      <c r="U171" s="193" t="str">
        <f t="shared" si="8"/>
        <v/>
      </c>
      <c r="V171" s="193" t="str">
        <f>""</f>
        <v/>
      </c>
      <c r="W171" s="193" t="str">
        <f>""</f>
        <v/>
      </c>
      <c r="X171" s="258" t="str">
        <f t="shared" si="9"/>
        <v/>
      </c>
      <c r="Y171" s="258" t="str">
        <f t="shared" si="10"/>
        <v/>
      </c>
      <c r="Z171" s="193" t="str">
        <f>IF(A171="","",IF(COUNTIF('Observaciones-SMP'!$A$2:$A$1001,A171)&gt;1,1,0))</f>
        <v/>
      </c>
      <c r="AA171" s="193" t="str">
        <f t="shared" si="11"/>
        <v/>
      </c>
    </row>
    <row r="172" spans="1:27" ht="13.5" customHeight="1" x14ac:dyDescent="0.3">
      <c r="A172" s="193" t="str">
        <f>IF('Observaciones-SMP'!A172="","",'Observaciones-SMP'!A172)</f>
        <v/>
      </c>
      <c r="B172" s="257" t="str">
        <f>IF('Observaciones-SMP'!B172="","",'Observaciones-SMP'!B172)</f>
        <v/>
      </c>
      <c r="C172" s="193" t="str">
        <f>IF('Observaciones-SMP'!C172="","",'Observaciones-SMP'!C172)</f>
        <v/>
      </c>
      <c r="D172" s="193" t="str">
        <f>IF('Observaciones-SMP'!D172="","",'Observaciones-SMP'!D172)</f>
        <v/>
      </c>
      <c r="E172" s="193" t="str">
        <f>IF('Observaciones-SMP'!E172="","",'Observaciones-SMP'!E172)</f>
        <v/>
      </c>
      <c r="F172" s="193" t="str">
        <f>IF('Observaciones-SMP'!F172="","",'Observaciones-SMP'!F172)</f>
        <v/>
      </c>
      <c r="G172" s="193" t="str">
        <f>IF('Observaciones-SMP'!G172="","",'Observaciones-SMP'!G172)</f>
        <v/>
      </c>
      <c r="H172" s="193" t="str">
        <f>IF('Observaciones-SMP'!H172="","",'Observaciones-SMP'!H172)</f>
        <v/>
      </c>
      <c r="I172" s="193" t="str">
        <f>IF('Observaciones-SMP'!I172="","",'Observaciones-SMP'!I172)</f>
        <v/>
      </c>
      <c r="J172" s="193" t="str">
        <f>IF('Observaciones-SMP'!J172="","",'Observaciones-SMP'!J172)</f>
        <v/>
      </c>
      <c r="K172" s="193" t="str">
        <f>IF('Observaciones-SMP'!K172="","",'Observaciones-SMP'!K172)</f>
        <v/>
      </c>
      <c r="L172" s="193" t="str">
        <f>IF('Observaciones-SMP'!L172="","",'Observaciones-SMP'!L172)</f>
        <v/>
      </c>
      <c r="M172" s="193" t="str">
        <f>IF('Observaciones-SMP'!M172="","",'Observaciones-SMP'!M172)</f>
        <v/>
      </c>
      <c r="N172" s="193" t="str">
        <f>IF('Observaciones-SMP'!N172="","",'Observaciones-SMP'!N172)</f>
        <v/>
      </c>
      <c r="O172" s="193" t="str">
        <f>IF('Observaciones-SMP'!O172="","",'Observaciones-SMP'!O172)</f>
        <v/>
      </c>
      <c r="P172" s="193" t="str">
        <f>IF('Observaciones-SMP'!P172="","",'Observaciones-SMP'!P172)</f>
        <v/>
      </c>
      <c r="Q172" s="257" t="str">
        <f>IF('Observaciones-SMP'!S172="","",'Observaciones-SMP'!S172)</f>
        <v/>
      </c>
      <c r="R172" s="193" t="str">
        <f>IF('Observaciones-SMP'!T172="","",'Observaciones-SMP'!T172)</f>
        <v/>
      </c>
      <c r="S172" s="193" t="str">
        <f>""</f>
        <v/>
      </c>
      <c r="T172" s="193" t="str">
        <f>""</f>
        <v/>
      </c>
      <c r="U172" s="193" t="str">
        <f t="shared" si="8"/>
        <v/>
      </c>
      <c r="V172" s="193" t="str">
        <f>""</f>
        <v/>
      </c>
      <c r="W172" s="193" t="str">
        <f>""</f>
        <v/>
      </c>
      <c r="X172" s="258" t="str">
        <f t="shared" si="9"/>
        <v/>
      </c>
      <c r="Y172" s="258" t="str">
        <f t="shared" si="10"/>
        <v/>
      </c>
      <c r="Z172" s="193" t="str">
        <f>IF(A172="","",IF(COUNTIF('Observaciones-SMP'!$A$2:$A$1001,A172)&gt;1,1,0))</f>
        <v/>
      </c>
      <c r="AA172" s="193" t="str">
        <f t="shared" si="11"/>
        <v/>
      </c>
    </row>
    <row r="173" spans="1:27" ht="13.5" customHeight="1" x14ac:dyDescent="0.3">
      <c r="A173" s="193" t="str">
        <f>IF('Observaciones-SMP'!A173="","",'Observaciones-SMP'!A173)</f>
        <v/>
      </c>
      <c r="B173" s="257" t="str">
        <f>IF('Observaciones-SMP'!B173="","",'Observaciones-SMP'!B173)</f>
        <v/>
      </c>
      <c r="C173" s="193" t="str">
        <f>IF('Observaciones-SMP'!C173="","",'Observaciones-SMP'!C173)</f>
        <v/>
      </c>
      <c r="D173" s="193" t="str">
        <f>IF('Observaciones-SMP'!D173="","",'Observaciones-SMP'!D173)</f>
        <v/>
      </c>
      <c r="E173" s="193" t="str">
        <f>IF('Observaciones-SMP'!E173="","",'Observaciones-SMP'!E173)</f>
        <v/>
      </c>
      <c r="F173" s="193" t="str">
        <f>IF('Observaciones-SMP'!F173="","",'Observaciones-SMP'!F173)</f>
        <v/>
      </c>
      <c r="G173" s="193" t="str">
        <f>IF('Observaciones-SMP'!G173="","",'Observaciones-SMP'!G173)</f>
        <v/>
      </c>
      <c r="H173" s="193" t="str">
        <f>IF('Observaciones-SMP'!H173="","",'Observaciones-SMP'!H173)</f>
        <v/>
      </c>
      <c r="I173" s="193" t="str">
        <f>IF('Observaciones-SMP'!I173="","",'Observaciones-SMP'!I173)</f>
        <v/>
      </c>
      <c r="J173" s="193" t="str">
        <f>IF('Observaciones-SMP'!J173="","",'Observaciones-SMP'!J173)</f>
        <v/>
      </c>
      <c r="K173" s="193" t="str">
        <f>IF('Observaciones-SMP'!K173="","",'Observaciones-SMP'!K173)</f>
        <v/>
      </c>
      <c r="L173" s="193" t="str">
        <f>IF('Observaciones-SMP'!L173="","",'Observaciones-SMP'!L173)</f>
        <v/>
      </c>
      <c r="M173" s="193" t="str">
        <f>IF('Observaciones-SMP'!M173="","",'Observaciones-SMP'!M173)</f>
        <v/>
      </c>
      <c r="N173" s="193" t="str">
        <f>IF('Observaciones-SMP'!N173="","",'Observaciones-SMP'!N173)</f>
        <v/>
      </c>
      <c r="O173" s="193" t="str">
        <f>IF('Observaciones-SMP'!O173="","",'Observaciones-SMP'!O173)</f>
        <v/>
      </c>
      <c r="P173" s="193" t="str">
        <f>IF('Observaciones-SMP'!P173="","",'Observaciones-SMP'!P173)</f>
        <v/>
      </c>
      <c r="Q173" s="257" t="str">
        <f>IF('Observaciones-SMP'!S173="","",'Observaciones-SMP'!S173)</f>
        <v/>
      </c>
      <c r="R173" s="193" t="str">
        <f>IF('Observaciones-SMP'!T173="","",'Observaciones-SMP'!T173)</f>
        <v/>
      </c>
      <c r="S173" s="193" t="str">
        <f>""</f>
        <v/>
      </c>
      <c r="T173" s="193" t="str">
        <f>""</f>
        <v/>
      </c>
      <c r="U173" s="193" t="str">
        <f t="shared" si="8"/>
        <v/>
      </c>
      <c r="V173" s="193" t="str">
        <f>""</f>
        <v/>
      </c>
      <c r="W173" s="193" t="str">
        <f>""</f>
        <v/>
      </c>
      <c r="X173" s="258" t="str">
        <f t="shared" si="9"/>
        <v/>
      </c>
      <c r="Y173" s="258" t="str">
        <f t="shared" si="10"/>
        <v/>
      </c>
      <c r="Z173" s="193" t="str">
        <f>IF(A173="","",IF(COUNTIF('Observaciones-SMP'!$A$2:$A$1001,A173)&gt;1,1,0))</f>
        <v/>
      </c>
      <c r="AA173" s="193" t="str">
        <f t="shared" si="11"/>
        <v/>
      </c>
    </row>
    <row r="174" spans="1:27" ht="13.5" customHeight="1" x14ac:dyDescent="0.3">
      <c r="A174" s="193" t="str">
        <f>IF('Observaciones-SMP'!A174="","",'Observaciones-SMP'!A174)</f>
        <v/>
      </c>
      <c r="B174" s="257" t="str">
        <f>IF('Observaciones-SMP'!B174="","",'Observaciones-SMP'!B174)</f>
        <v/>
      </c>
      <c r="C174" s="193" t="str">
        <f>IF('Observaciones-SMP'!C174="","",'Observaciones-SMP'!C174)</f>
        <v/>
      </c>
      <c r="D174" s="193" t="str">
        <f>IF('Observaciones-SMP'!D174="","",'Observaciones-SMP'!D174)</f>
        <v/>
      </c>
      <c r="E174" s="193" t="str">
        <f>IF('Observaciones-SMP'!E174="","",'Observaciones-SMP'!E174)</f>
        <v/>
      </c>
      <c r="F174" s="193" t="str">
        <f>IF('Observaciones-SMP'!F174="","",'Observaciones-SMP'!F174)</f>
        <v/>
      </c>
      <c r="G174" s="193" t="str">
        <f>IF('Observaciones-SMP'!G174="","",'Observaciones-SMP'!G174)</f>
        <v/>
      </c>
      <c r="H174" s="193" t="str">
        <f>IF('Observaciones-SMP'!H174="","",'Observaciones-SMP'!H174)</f>
        <v/>
      </c>
      <c r="I174" s="193" t="str">
        <f>IF('Observaciones-SMP'!I174="","",'Observaciones-SMP'!I174)</f>
        <v/>
      </c>
      <c r="J174" s="193" t="str">
        <f>IF('Observaciones-SMP'!J174="","",'Observaciones-SMP'!J174)</f>
        <v/>
      </c>
      <c r="K174" s="193" t="str">
        <f>IF('Observaciones-SMP'!K174="","",'Observaciones-SMP'!K174)</f>
        <v/>
      </c>
      <c r="L174" s="193" t="str">
        <f>IF('Observaciones-SMP'!L174="","",'Observaciones-SMP'!L174)</f>
        <v/>
      </c>
      <c r="M174" s="193" t="str">
        <f>IF('Observaciones-SMP'!M174="","",'Observaciones-SMP'!M174)</f>
        <v/>
      </c>
      <c r="N174" s="193" t="str">
        <f>IF('Observaciones-SMP'!N174="","",'Observaciones-SMP'!N174)</f>
        <v/>
      </c>
      <c r="O174" s="193" t="str">
        <f>IF('Observaciones-SMP'!O174="","",'Observaciones-SMP'!O174)</f>
        <v/>
      </c>
      <c r="P174" s="193" t="str">
        <f>IF('Observaciones-SMP'!P174="","",'Observaciones-SMP'!P174)</f>
        <v/>
      </c>
      <c r="Q174" s="257" t="str">
        <f>IF('Observaciones-SMP'!S174="","",'Observaciones-SMP'!S174)</f>
        <v/>
      </c>
      <c r="R174" s="193" t="str">
        <f>IF('Observaciones-SMP'!T174="","",'Observaciones-SMP'!T174)</f>
        <v/>
      </c>
      <c r="S174" s="193" t="str">
        <f>""</f>
        <v/>
      </c>
      <c r="T174" s="193" t="str">
        <f>""</f>
        <v/>
      </c>
      <c r="U174" s="193" t="str">
        <f t="shared" si="8"/>
        <v/>
      </c>
      <c r="V174" s="193" t="str">
        <f>""</f>
        <v/>
      </c>
      <c r="W174" s="193" t="str">
        <f>""</f>
        <v/>
      </c>
      <c r="X174" s="258" t="str">
        <f t="shared" si="9"/>
        <v/>
      </c>
      <c r="Y174" s="258" t="str">
        <f t="shared" si="10"/>
        <v/>
      </c>
      <c r="Z174" s="193" t="str">
        <f>IF(A174="","",IF(COUNTIF('Observaciones-SMP'!$A$2:$A$1001,A174)&gt;1,1,0))</f>
        <v/>
      </c>
      <c r="AA174" s="193" t="str">
        <f t="shared" si="11"/>
        <v/>
      </c>
    </row>
    <row r="175" spans="1:27" ht="13.5" customHeight="1" x14ac:dyDescent="0.3">
      <c r="A175" s="193" t="str">
        <f>IF('Observaciones-SMP'!A175="","",'Observaciones-SMP'!A175)</f>
        <v/>
      </c>
      <c r="B175" s="257" t="str">
        <f>IF('Observaciones-SMP'!B175="","",'Observaciones-SMP'!B175)</f>
        <v/>
      </c>
      <c r="C175" s="193" t="str">
        <f>IF('Observaciones-SMP'!C175="","",'Observaciones-SMP'!C175)</f>
        <v/>
      </c>
      <c r="D175" s="193" t="str">
        <f>IF('Observaciones-SMP'!D175="","",'Observaciones-SMP'!D175)</f>
        <v/>
      </c>
      <c r="E175" s="193" t="str">
        <f>IF('Observaciones-SMP'!E175="","",'Observaciones-SMP'!E175)</f>
        <v/>
      </c>
      <c r="F175" s="193" t="str">
        <f>IF('Observaciones-SMP'!F175="","",'Observaciones-SMP'!F175)</f>
        <v/>
      </c>
      <c r="G175" s="193" t="str">
        <f>IF('Observaciones-SMP'!G175="","",'Observaciones-SMP'!G175)</f>
        <v/>
      </c>
      <c r="H175" s="193" t="str">
        <f>IF('Observaciones-SMP'!H175="","",'Observaciones-SMP'!H175)</f>
        <v/>
      </c>
      <c r="I175" s="193" t="str">
        <f>IF('Observaciones-SMP'!I175="","",'Observaciones-SMP'!I175)</f>
        <v/>
      </c>
      <c r="J175" s="193" t="str">
        <f>IF('Observaciones-SMP'!J175="","",'Observaciones-SMP'!J175)</f>
        <v/>
      </c>
      <c r="K175" s="193" t="str">
        <f>IF('Observaciones-SMP'!K175="","",'Observaciones-SMP'!K175)</f>
        <v/>
      </c>
      <c r="L175" s="193" t="str">
        <f>IF('Observaciones-SMP'!L175="","",'Observaciones-SMP'!L175)</f>
        <v/>
      </c>
      <c r="M175" s="193" t="str">
        <f>IF('Observaciones-SMP'!M175="","",'Observaciones-SMP'!M175)</f>
        <v/>
      </c>
      <c r="N175" s="193" t="str">
        <f>IF('Observaciones-SMP'!N175="","",'Observaciones-SMP'!N175)</f>
        <v/>
      </c>
      <c r="O175" s="193" t="str">
        <f>IF('Observaciones-SMP'!O175="","",'Observaciones-SMP'!O175)</f>
        <v/>
      </c>
      <c r="P175" s="193" t="str">
        <f>IF('Observaciones-SMP'!P175="","",'Observaciones-SMP'!P175)</f>
        <v/>
      </c>
      <c r="Q175" s="257" t="str">
        <f>IF('Observaciones-SMP'!S175="","",'Observaciones-SMP'!S175)</f>
        <v/>
      </c>
      <c r="R175" s="193" t="str">
        <f>IF('Observaciones-SMP'!T175="","",'Observaciones-SMP'!T175)</f>
        <v/>
      </c>
      <c r="S175" s="193" t="str">
        <f>""</f>
        <v/>
      </c>
      <c r="T175" s="193" t="str">
        <f>""</f>
        <v/>
      </c>
      <c r="U175" s="193" t="str">
        <f t="shared" si="8"/>
        <v/>
      </c>
      <c r="V175" s="193" t="str">
        <f>""</f>
        <v/>
      </c>
      <c r="W175" s="193" t="str">
        <f>""</f>
        <v/>
      </c>
      <c r="X175" s="258" t="str">
        <f t="shared" si="9"/>
        <v/>
      </c>
      <c r="Y175" s="258" t="str">
        <f t="shared" si="10"/>
        <v/>
      </c>
      <c r="Z175" s="193" t="str">
        <f>IF(A175="","",IF(COUNTIF('Observaciones-SMP'!$A$2:$A$1001,A175)&gt;1,1,0))</f>
        <v/>
      </c>
      <c r="AA175" s="193" t="str">
        <f t="shared" si="11"/>
        <v/>
      </c>
    </row>
    <row r="176" spans="1:27" ht="13.5" customHeight="1" x14ac:dyDescent="0.3">
      <c r="A176" s="193" t="str">
        <f>IF('Observaciones-SMP'!A176="","",'Observaciones-SMP'!A176)</f>
        <v/>
      </c>
      <c r="B176" s="257" t="str">
        <f>IF('Observaciones-SMP'!B176="","",'Observaciones-SMP'!B176)</f>
        <v/>
      </c>
      <c r="C176" s="193" t="str">
        <f>IF('Observaciones-SMP'!C176="","",'Observaciones-SMP'!C176)</f>
        <v/>
      </c>
      <c r="D176" s="193" t="str">
        <f>IF('Observaciones-SMP'!D176="","",'Observaciones-SMP'!D176)</f>
        <v/>
      </c>
      <c r="E176" s="193" t="str">
        <f>IF('Observaciones-SMP'!E176="","",'Observaciones-SMP'!E176)</f>
        <v/>
      </c>
      <c r="F176" s="193" t="str">
        <f>IF('Observaciones-SMP'!F176="","",'Observaciones-SMP'!F176)</f>
        <v/>
      </c>
      <c r="G176" s="193" t="str">
        <f>IF('Observaciones-SMP'!G176="","",'Observaciones-SMP'!G176)</f>
        <v/>
      </c>
      <c r="H176" s="193" t="str">
        <f>IF('Observaciones-SMP'!H176="","",'Observaciones-SMP'!H176)</f>
        <v/>
      </c>
      <c r="I176" s="193" t="str">
        <f>IF('Observaciones-SMP'!I176="","",'Observaciones-SMP'!I176)</f>
        <v/>
      </c>
      <c r="J176" s="193" t="str">
        <f>IF('Observaciones-SMP'!J176="","",'Observaciones-SMP'!J176)</f>
        <v/>
      </c>
      <c r="K176" s="193" t="str">
        <f>IF('Observaciones-SMP'!K176="","",'Observaciones-SMP'!K176)</f>
        <v/>
      </c>
      <c r="L176" s="193" t="str">
        <f>IF('Observaciones-SMP'!L176="","",'Observaciones-SMP'!L176)</f>
        <v/>
      </c>
      <c r="M176" s="193" t="str">
        <f>IF('Observaciones-SMP'!M176="","",'Observaciones-SMP'!M176)</f>
        <v/>
      </c>
      <c r="N176" s="193" t="str">
        <f>IF('Observaciones-SMP'!N176="","",'Observaciones-SMP'!N176)</f>
        <v/>
      </c>
      <c r="O176" s="193" t="str">
        <f>IF('Observaciones-SMP'!O176="","",'Observaciones-SMP'!O176)</f>
        <v/>
      </c>
      <c r="P176" s="193" t="str">
        <f>IF('Observaciones-SMP'!P176="","",'Observaciones-SMP'!P176)</f>
        <v/>
      </c>
      <c r="Q176" s="257" t="str">
        <f>IF('Observaciones-SMP'!S176="","",'Observaciones-SMP'!S176)</f>
        <v/>
      </c>
      <c r="R176" s="193" t="str">
        <f>IF('Observaciones-SMP'!T176="","",'Observaciones-SMP'!T176)</f>
        <v/>
      </c>
      <c r="S176" s="193" t="str">
        <f>""</f>
        <v/>
      </c>
      <c r="T176" s="193" t="str">
        <f>""</f>
        <v/>
      </c>
      <c r="U176" s="193" t="str">
        <f t="shared" si="8"/>
        <v/>
      </c>
      <c r="V176" s="193" t="str">
        <f>""</f>
        <v/>
      </c>
      <c r="W176" s="193" t="str">
        <f>""</f>
        <v/>
      </c>
      <c r="X176" s="258" t="str">
        <f t="shared" si="9"/>
        <v/>
      </c>
      <c r="Y176" s="258" t="str">
        <f t="shared" si="10"/>
        <v/>
      </c>
      <c r="Z176" s="193" t="str">
        <f>IF(A176="","",IF(COUNTIF('Observaciones-SMP'!$A$2:$A$1001,A176)&gt;1,1,0))</f>
        <v/>
      </c>
      <c r="AA176" s="193" t="str">
        <f t="shared" si="11"/>
        <v/>
      </c>
    </row>
    <row r="177" spans="1:27" ht="13.5" customHeight="1" x14ac:dyDescent="0.3">
      <c r="A177" s="193" t="str">
        <f>IF('Observaciones-SMP'!A177="","",'Observaciones-SMP'!A177)</f>
        <v/>
      </c>
      <c r="B177" s="257" t="str">
        <f>IF('Observaciones-SMP'!B177="","",'Observaciones-SMP'!B177)</f>
        <v/>
      </c>
      <c r="C177" s="193" t="str">
        <f>IF('Observaciones-SMP'!C177="","",'Observaciones-SMP'!C177)</f>
        <v/>
      </c>
      <c r="D177" s="193" t="str">
        <f>IF('Observaciones-SMP'!D177="","",'Observaciones-SMP'!D177)</f>
        <v/>
      </c>
      <c r="E177" s="193" t="str">
        <f>IF('Observaciones-SMP'!E177="","",'Observaciones-SMP'!E177)</f>
        <v/>
      </c>
      <c r="F177" s="193" t="str">
        <f>IF('Observaciones-SMP'!F177="","",'Observaciones-SMP'!F177)</f>
        <v/>
      </c>
      <c r="G177" s="193" t="str">
        <f>IF('Observaciones-SMP'!G177="","",'Observaciones-SMP'!G177)</f>
        <v/>
      </c>
      <c r="H177" s="193" t="str">
        <f>IF('Observaciones-SMP'!H177="","",'Observaciones-SMP'!H177)</f>
        <v/>
      </c>
      <c r="I177" s="193" t="str">
        <f>IF('Observaciones-SMP'!I177="","",'Observaciones-SMP'!I177)</f>
        <v/>
      </c>
      <c r="J177" s="193" t="str">
        <f>IF('Observaciones-SMP'!J177="","",'Observaciones-SMP'!J177)</f>
        <v/>
      </c>
      <c r="K177" s="193" t="str">
        <f>IF('Observaciones-SMP'!K177="","",'Observaciones-SMP'!K177)</f>
        <v/>
      </c>
      <c r="L177" s="193" t="str">
        <f>IF('Observaciones-SMP'!L177="","",'Observaciones-SMP'!L177)</f>
        <v/>
      </c>
      <c r="M177" s="193" t="str">
        <f>IF('Observaciones-SMP'!M177="","",'Observaciones-SMP'!M177)</f>
        <v/>
      </c>
      <c r="N177" s="193" t="str">
        <f>IF('Observaciones-SMP'!N177="","",'Observaciones-SMP'!N177)</f>
        <v/>
      </c>
      <c r="O177" s="193" t="str">
        <f>IF('Observaciones-SMP'!O177="","",'Observaciones-SMP'!O177)</f>
        <v/>
      </c>
      <c r="P177" s="193" t="str">
        <f>IF('Observaciones-SMP'!P177="","",'Observaciones-SMP'!P177)</f>
        <v/>
      </c>
      <c r="Q177" s="257" t="str">
        <f>IF('Observaciones-SMP'!S177="","",'Observaciones-SMP'!S177)</f>
        <v/>
      </c>
      <c r="R177" s="193" t="str">
        <f>IF('Observaciones-SMP'!T177="","",'Observaciones-SMP'!T177)</f>
        <v/>
      </c>
      <c r="S177" s="193" t="str">
        <f>""</f>
        <v/>
      </c>
      <c r="T177" s="193" t="str">
        <f>""</f>
        <v/>
      </c>
      <c r="U177" s="193" t="str">
        <f t="shared" si="8"/>
        <v/>
      </c>
      <c r="V177" s="193" t="str">
        <f>""</f>
        <v/>
      </c>
      <c r="W177" s="193" t="str">
        <f>""</f>
        <v/>
      </c>
      <c r="X177" s="258" t="str">
        <f t="shared" si="9"/>
        <v/>
      </c>
      <c r="Y177" s="258" t="str">
        <f t="shared" si="10"/>
        <v/>
      </c>
      <c r="Z177" s="193" t="str">
        <f>IF(A177="","",IF(COUNTIF('Observaciones-SMP'!$A$2:$A$1001,A177)&gt;1,1,0))</f>
        <v/>
      </c>
      <c r="AA177" s="193" t="str">
        <f t="shared" si="11"/>
        <v/>
      </c>
    </row>
    <row r="178" spans="1:27" ht="13.5" customHeight="1" x14ac:dyDescent="0.3">
      <c r="A178" s="193" t="str">
        <f>IF('Observaciones-SMP'!A178="","",'Observaciones-SMP'!A178)</f>
        <v/>
      </c>
      <c r="B178" s="257" t="str">
        <f>IF('Observaciones-SMP'!B178="","",'Observaciones-SMP'!B178)</f>
        <v/>
      </c>
      <c r="C178" s="193" t="str">
        <f>IF('Observaciones-SMP'!C178="","",'Observaciones-SMP'!C178)</f>
        <v/>
      </c>
      <c r="D178" s="193" t="str">
        <f>IF('Observaciones-SMP'!D178="","",'Observaciones-SMP'!D178)</f>
        <v/>
      </c>
      <c r="E178" s="193" t="str">
        <f>IF('Observaciones-SMP'!E178="","",'Observaciones-SMP'!E178)</f>
        <v/>
      </c>
      <c r="F178" s="193" t="str">
        <f>IF('Observaciones-SMP'!F178="","",'Observaciones-SMP'!F178)</f>
        <v/>
      </c>
      <c r="G178" s="193" t="str">
        <f>IF('Observaciones-SMP'!G178="","",'Observaciones-SMP'!G178)</f>
        <v/>
      </c>
      <c r="H178" s="193" t="str">
        <f>IF('Observaciones-SMP'!H178="","",'Observaciones-SMP'!H178)</f>
        <v/>
      </c>
      <c r="I178" s="193" t="str">
        <f>IF('Observaciones-SMP'!I178="","",'Observaciones-SMP'!I178)</f>
        <v/>
      </c>
      <c r="J178" s="193" t="str">
        <f>IF('Observaciones-SMP'!J178="","",'Observaciones-SMP'!J178)</f>
        <v/>
      </c>
      <c r="K178" s="193" t="str">
        <f>IF('Observaciones-SMP'!K178="","",'Observaciones-SMP'!K178)</f>
        <v/>
      </c>
      <c r="L178" s="193" t="str">
        <f>IF('Observaciones-SMP'!L178="","",'Observaciones-SMP'!L178)</f>
        <v/>
      </c>
      <c r="M178" s="193" t="str">
        <f>IF('Observaciones-SMP'!M178="","",'Observaciones-SMP'!M178)</f>
        <v/>
      </c>
      <c r="N178" s="193" t="str">
        <f>IF('Observaciones-SMP'!N178="","",'Observaciones-SMP'!N178)</f>
        <v/>
      </c>
      <c r="O178" s="193" t="str">
        <f>IF('Observaciones-SMP'!O178="","",'Observaciones-SMP'!O178)</f>
        <v/>
      </c>
      <c r="P178" s="193" t="str">
        <f>IF('Observaciones-SMP'!P178="","",'Observaciones-SMP'!P178)</f>
        <v/>
      </c>
      <c r="Q178" s="257" t="str">
        <f>IF('Observaciones-SMP'!S178="","",'Observaciones-SMP'!S178)</f>
        <v/>
      </c>
      <c r="R178" s="193" t="str">
        <f>IF('Observaciones-SMP'!T178="","",'Observaciones-SMP'!T178)</f>
        <v/>
      </c>
      <c r="S178" s="193" t="str">
        <f>""</f>
        <v/>
      </c>
      <c r="T178" s="193" t="str">
        <f>""</f>
        <v/>
      </c>
      <c r="U178" s="193" t="str">
        <f t="shared" si="8"/>
        <v/>
      </c>
      <c r="V178" s="193" t="str">
        <f>""</f>
        <v/>
      </c>
      <c r="W178" s="193" t="str">
        <f>""</f>
        <v/>
      </c>
      <c r="X178" s="258" t="str">
        <f t="shared" si="9"/>
        <v/>
      </c>
      <c r="Y178" s="258" t="str">
        <f t="shared" si="10"/>
        <v/>
      </c>
      <c r="Z178" s="193" t="str">
        <f>IF(A178="","",IF(COUNTIF('Observaciones-SMP'!$A$2:$A$1001,A178)&gt;1,1,0))</f>
        <v/>
      </c>
      <c r="AA178" s="193" t="str">
        <f t="shared" si="11"/>
        <v/>
      </c>
    </row>
    <row r="179" spans="1:27" ht="13.5" customHeight="1" x14ac:dyDescent="0.3">
      <c r="A179" s="193" t="str">
        <f>IF('Observaciones-SMP'!A179="","",'Observaciones-SMP'!A179)</f>
        <v/>
      </c>
      <c r="B179" s="257" t="str">
        <f>IF('Observaciones-SMP'!B179="","",'Observaciones-SMP'!B179)</f>
        <v/>
      </c>
      <c r="C179" s="193" t="str">
        <f>IF('Observaciones-SMP'!C179="","",'Observaciones-SMP'!C179)</f>
        <v/>
      </c>
      <c r="D179" s="193" t="str">
        <f>IF('Observaciones-SMP'!D179="","",'Observaciones-SMP'!D179)</f>
        <v/>
      </c>
      <c r="E179" s="193" t="str">
        <f>IF('Observaciones-SMP'!E179="","",'Observaciones-SMP'!E179)</f>
        <v/>
      </c>
      <c r="F179" s="193" t="str">
        <f>IF('Observaciones-SMP'!F179="","",'Observaciones-SMP'!F179)</f>
        <v/>
      </c>
      <c r="G179" s="193" t="str">
        <f>IF('Observaciones-SMP'!G179="","",'Observaciones-SMP'!G179)</f>
        <v/>
      </c>
      <c r="H179" s="193" t="str">
        <f>IF('Observaciones-SMP'!H179="","",'Observaciones-SMP'!H179)</f>
        <v/>
      </c>
      <c r="I179" s="193" t="str">
        <f>IF('Observaciones-SMP'!I179="","",'Observaciones-SMP'!I179)</f>
        <v/>
      </c>
      <c r="J179" s="193" t="str">
        <f>IF('Observaciones-SMP'!J179="","",'Observaciones-SMP'!J179)</f>
        <v/>
      </c>
      <c r="K179" s="193" t="str">
        <f>IF('Observaciones-SMP'!K179="","",'Observaciones-SMP'!K179)</f>
        <v/>
      </c>
      <c r="L179" s="193" t="str">
        <f>IF('Observaciones-SMP'!L179="","",'Observaciones-SMP'!L179)</f>
        <v/>
      </c>
      <c r="M179" s="193" t="str">
        <f>IF('Observaciones-SMP'!M179="","",'Observaciones-SMP'!M179)</f>
        <v/>
      </c>
      <c r="N179" s="193" t="str">
        <f>IF('Observaciones-SMP'!N179="","",'Observaciones-SMP'!N179)</f>
        <v/>
      </c>
      <c r="O179" s="193" t="str">
        <f>IF('Observaciones-SMP'!O179="","",'Observaciones-SMP'!O179)</f>
        <v/>
      </c>
      <c r="P179" s="193" t="str">
        <f>IF('Observaciones-SMP'!P179="","",'Observaciones-SMP'!P179)</f>
        <v/>
      </c>
      <c r="Q179" s="257" t="str">
        <f>IF('Observaciones-SMP'!S179="","",'Observaciones-SMP'!S179)</f>
        <v/>
      </c>
      <c r="R179" s="193" t="str">
        <f>IF('Observaciones-SMP'!T179="","",'Observaciones-SMP'!T179)</f>
        <v/>
      </c>
      <c r="S179" s="193" t="str">
        <f>""</f>
        <v/>
      </c>
      <c r="T179" s="193" t="str">
        <f>""</f>
        <v/>
      </c>
      <c r="U179" s="193" t="str">
        <f t="shared" si="8"/>
        <v/>
      </c>
      <c r="V179" s="193" t="str">
        <f>""</f>
        <v/>
      </c>
      <c r="W179" s="193" t="str">
        <f>""</f>
        <v/>
      </c>
      <c r="X179" s="258" t="str">
        <f t="shared" si="9"/>
        <v/>
      </c>
      <c r="Y179" s="258" t="str">
        <f t="shared" si="10"/>
        <v/>
      </c>
      <c r="Z179" s="193" t="str">
        <f>IF(A179="","",IF(COUNTIF('Observaciones-SMP'!$A$2:$A$1001,A179)&gt;1,1,0))</f>
        <v/>
      </c>
      <c r="AA179" s="193" t="str">
        <f t="shared" si="11"/>
        <v/>
      </c>
    </row>
    <row r="180" spans="1:27" ht="13.5" customHeight="1" x14ac:dyDescent="0.3">
      <c r="A180" s="193" t="str">
        <f>IF('Observaciones-SMP'!A180="","",'Observaciones-SMP'!A180)</f>
        <v/>
      </c>
      <c r="B180" s="257" t="str">
        <f>IF('Observaciones-SMP'!B180="","",'Observaciones-SMP'!B180)</f>
        <v/>
      </c>
      <c r="C180" s="193" t="str">
        <f>IF('Observaciones-SMP'!C180="","",'Observaciones-SMP'!C180)</f>
        <v/>
      </c>
      <c r="D180" s="193" t="str">
        <f>IF('Observaciones-SMP'!D180="","",'Observaciones-SMP'!D180)</f>
        <v/>
      </c>
      <c r="E180" s="193" t="str">
        <f>IF('Observaciones-SMP'!E180="","",'Observaciones-SMP'!E180)</f>
        <v/>
      </c>
      <c r="F180" s="193" t="str">
        <f>IF('Observaciones-SMP'!F180="","",'Observaciones-SMP'!F180)</f>
        <v/>
      </c>
      <c r="G180" s="193" t="str">
        <f>IF('Observaciones-SMP'!G180="","",'Observaciones-SMP'!G180)</f>
        <v/>
      </c>
      <c r="H180" s="193" t="str">
        <f>IF('Observaciones-SMP'!H180="","",'Observaciones-SMP'!H180)</f>
        <v/>
      </c>
      <c r="I180" s="193" t="str">
        <f>IF('Observaciones-SMP'!I180="","",'Observaciones-SMP'!I180)</f>
        <v/>
      </c>
      <c r="J180" s="193" t="str">
        <f>IF('Observaciones-SMP'!J180="","",'Observaciones-SMP'!J180)</f>
        <v/>
      </c>
      <c r="K180" s="193" t="str">
        <f>IF('Observaciones-SMP'!K180="","",'Observaciones-SMP'!K180)</f>
        <v/>
      </c>
      <c r="L180" s="193" t="str">
        <f>IF('Observaciones-SMP'!L180="","",'Observaciones-SMP'!L180)</f>
        <v/>
      </c>
      <c r="M180" s="193" t="str">
        <f>IF('Observaciones-SMP'!M180="","",'Observaciones-SMP'!M180)</f>
        <v/>
      </c>
      <c r="N180" s="193" t="str">
        <f>IF('Observaciones-SMP'!N180="","",'Observaciones-SMP'!N180)</f>
        <v/>
      </c>
      <c r="O180" s="193" t="str">
        <f>IF('Observaciones-SMP'!O180="","",'Observaciones-SMP'!O180)</f>
        <v/>
      </c>
      <c r="P180" s="193" t="str">
        <f>IF('Observaciones-SMP'!P180="","",'Observaciones-SMP'!P180)</f>
        <v/>
      </c>
      <c r="Q180" s="257" t="str">
        <f>IF('Observaciones-SMP'!S180="","",'Observaciones-SMP'!S180)</f>
        <v/>
      </c>
      <c r="R180" s="193" t="str">
        <f>IF('Observaciones-SMP'!T180="","",'Observaciones-SMP'!T180)</f>
        <v/>
      </c>
      <c r="S180" s="193" t="str">
        <f>""</f>
        <v/>
      </c>
      <c r="T180" s="193" t="str">
        <f>""</f>
        <v/>
      </c>
      <c r="U180" s="193" t="str">
        <f t="shared" si="8"/>
        <v/>
      </c>
      <c r="V180" s="193" t="str">
        <f>""</f>
        <v/>
      </c>
      <c r="W180" s="193" t="str">
        <f>""</f>
        <v/>
      </c>
      <c r="X180" s="258" t="str">
        <f t="shared" si="9"/>
        <v/>
      </c>
      <c r="Y180" s="258" t="str">
        <f t="shared" si="10"/>
        <v/>
      </c>
      <c r="Z180" s="193" t="str">
        <f>IF(A180="","",IF(COUNTIF('Observaciones-SMP'!$A$2:$A$1001,A180)&gt;1,1,0))</f>
        <v/>
      </c>
      <c r="AA180" s="193" t="str">
        <f t="shared" si="11"/>
        <v/>
      </c>
    </row>
    <row r="181" spans="1:27" ht="13.5" customHeight="1" x14ac:dyDescent="0.3">
      <c r="A181" s="193" t="str">
        <f>IF('Observaciones-SMP'!A181="","",'Observaciones-SMP'!A181)</f>
        <v/>
      </c>
      <c r="B181" s="257" t="str">
        <f>IF('Observaciones-SMP'!B181="","",'Observaciones-SMP'!B181)</f>
        <v/>
      </c>
      <c r="C181" s="193" t="str">
        <f>IF('Observaciones-SMP'!C181="","",'Observaciones-SMP'!C181)</f>
        <v/>
      </c>
      <c r="D181" s="193" t="str">
        <f>IF('Observaciones-SMP'!D181="","",'Observaciones-SMP'!D181)</f>
        <v/>
      </c>
      <c r="E181" s="193" t="str">
        <f>IF('Observaciones-SMP'!E181="","",'Observaciones-SMP'!E181)</f>
        <v/>
      </c>
      <c r="F181" s="193" t="str">
        <f>IF('Observaciones-SMP'!F181="","",'Observaciones-SMP'!F181)</f>
        <v/>
      </c>
      <c r="G181" s="193" t="str">
        <f>IF('Observaciones-SMP'!G181="","",'Observaciones-SMP'!G181)</f>
        <v/>
      </c>
      <c r="H181" s="193" t="str">
        <f>IF('Observaciones-SMP'!H181="","",'Observaciones-SMP'!H181)</f>
        <v/>
      </c>
      <c r="I181" s="193" t="str">
        <f>IF('Observaciones-SMP'!I181="","",'Observaciones-SMP'!I181)</f>
        <v/>
      </c>
      <c r="J181" s="193" t="str">
        <f>IF('Observaciones-SMP'!J181="","",'Observaciones-SMP'!J181)</f>
        <v/>
      </c>
      <c r="K181" s="193" t="str">
        <f>IF('Observaciones-SMP'!K181="","",'Observaciones-SMP'!K181)</f>
        <v/>
      </c>
      <c r="L181" s="193" t="str">
        <f>IF('Observaciones-SMP'!L181="","",'Observaciones-SMP'!L181)</f>
        <v/>
      </c>
      <c r="M181" s="193" t="str">
        <f>IF('Observaciones-SMP'!M181="","",'Observaciones-SMP'!M181)</f>
        <v/>
      </c>
      <c r="N181" s="193" t="str">
        <f>IF('Observaciones-SMP'!N181="","",'Observaciones-SMP'!N181)</f>
        <v/>
      </c>
      <c r="O181" s="193" t="str">
        <f>IF('Observaciones-SMP'!O181="","",'Observaciones-SMP'!O181)</f>
        <v/>
      </c>
      <c r="P181" s="193" t="str">
        <f>IF('Observaciones-SMP'!P181="","",'Observaciones-SMP'!P181)</f>
        <v/>
      </c>
      <c r="Q181" s="257" t="str">
        <f>IF('Observaciones-SMP'!S181="","",'Observaciones-SMP'!S181)</f>
        <v/>
      </c>
      <c r="R181" s="193" t="str">
        <f>IF('Observaciones-SMP'!T181="","",'Observaciones-SMP'!T181)</f>
        <v/>
      </c>
      <c r="S181" s="193" t="str">
        <f>""</f>
        <v/>
      </c>
      <c r="T181" s="193" t="str">
        <f>""</f>
        <v/>
      </c>
      <c r="U181" s="193" t="str">
        <f t="shared" si="8"/>
        <v/>
      </c>
      <c r="V181" s="193" t="str">
        <f>""</f>
        <v/>
      </c>
      <c r="W181" s="193" t="str">
        <f>""</f>
        <v/>
      </c>
      <c r="X181" s="258" t="str">
        <f t="shared" si="9"/>
        <v/>
      </c>
      <c r="Y181" s="258" t="str">
        <f t="shared" si="10"/>
        <v/>
      </c>
      <c r="Z181" s="193" t="str">
        <f>IF(A181="","",IF(COUNTIF('Observaciones-SMP'!$A$2:$A$1001,A181)&gt;1,1,0))</f>
        <v/>
      </c>
      <c r="AA181" s="193" t="str">
        <f t="shared" si="11"/>
        <v/>
      </c>
    </row>
    <row r="182" spans="1:27" ht="13.5" customHeight="1" x14ac:dyDescent="0.3">
      <c r="A182" s="193" t="str">
        <f>IF('Observaciones-SMP'!A182="","",'Observaciones-SMP'!A182)</f>
        <v/>
      </c>
      <c r="B182" s="257" t="str">
        <f>IF('Observaciones-SMP'!B182="","",'Observaciones-SMP'!B182)</f>
        <v/>
      </c>
      <c r="C182" s="193" t="str">
        <f>IF('Observaciones-SMP'!C182="","",'Observaciones-SMP'!C182)</f>
        <v/>
      </c>
      <c r="D182" s="193" t="str">
        <f>IF('Observaciones-SMP'!D182="","",'Observaciones-SMP'!D182)</f>
        <v/>
      </c>
      <c r="E182" s="193" t="str">
        <f>IF('Observaciones-SMP'!E182="","",'Observaciones-SMP'!E182)</f>
        <v/>
      </c>
      <c r="F182" s="193" t="str">
        <f>IF('Observaciones-SMP'!F182="","",'Observaciones-SMP'!F182)</f>
        <v/>
      </c>
      <c r="G182" s="193" t="str">
        <f>IF('Observaciones-SMP'!G182="","",'Observaciones-SMP'!G182)</f>
        <v/>
      </c>
      <c r="H182" s="193" t="str">
        <f>IF('Observaciones-SMP'!H182="","",'Observaciones-SMP'!H182)</f>
        <v/>
      </c>
      <c r="I182" s="193" t="str">
        <f>IF('Observaciones-SMP'!I182="","",'Observaciones-SMP'!I182)</f>
        <v/>
      </c>
      <c r="J182" s="193" t="str">
        <f>IF('Observaciones-SMP'!J182="","",'Observaciones-SMP'!J182)</f>
        <v/>
      </c>
      <c r="K182" s="193" t="str">
        <f>IF('Observaciones-SMP'!K182="","",'Observaciones-SMP'!K182)</f>
        <v/>
      </c>
      <c r="L182" s="193" t="str">
        <f>IF('Observaciones-SMP'!L182="","",'Observaciones-SMP'!L182)</f>
        <v/>
      </c>
      <c r="M182" s="193" t="str">
        <f>IF('Observaciones-SMP'!M182="","",'Observaciones-SMP'!M182)</f>
        <v/>
      </c>
      <c r="N182" s="193" t="str">
        <f>IF('Observaciones-SMP'!N182="","",'Observaciones-SMP'!N182)</f>
        <v/>
      </c>
      <c r="O182" s="193" t="str">
        <f>IF('Observaciones-SMP'!O182="","",'Observaciones-SMP'!O182)</f>
        <v/>
      </c>
      <c r="P182" s="193" t="str">
        <f>IF('Observaciones-SMP'!P182="","",'Observaciones-SMP'!P182)</f>
        <v/>
      </c>
      <c r="Q182" s="257" t="str">
        <f>IF('Observaciones-SMP'!S182="","",'Observaciones-SMP'!S182)</f>
        <v/>
      </c>
      <c r="R182" s="193" t="str">
        <f>IF('Observaciones-SMP'!T182="","",'Observaciones-SMP'!T182)</f>
        <v/>
      </c>
      <c r="S182" s="193" t="str">
        <f>""</f>
        <v/>
      </c>
      <c r="T182" s="193" t="str">
        <f>""</f>
        <v/>
      </c>
      <c r="U182" s="193" t="str">
        <f t="shared" si="8"/>
        <v/>
      </c>
      <c r="V182" s="193" t="str">
        <f>""</f>
        <v/>
      </c>
      <c r="W182" s="193" t="str">
        <f>""</f>
        <v/>
      </c>
      <c r="X182" s="258" t="str">
        <f t="shared" si="9"/>
        <v/>
      </c>
      <c r="Y182" s="258" t="str">
        <f t="shared" si="10"/>
        <v/>
      </c>
      <c r="Z182" s="193" t="str">
        <f>IF(A182="","",IF(COUNTIF('Observaciones-SMP'!$A$2:$A$1001,A182)&gt;1,1,0))</f>
        <v/>
      </c>
      <c r="AA182" s="193" t="str">
        <f t="shared" si="11"/>
        <v/>
      </c>
    </row>
    <row r="183" spans="1:27" ht="13.5" customHeight="1" x14ac:dyDescent="0.3">
      <c r="A183" s="193" t="str">
        <f>IF('Observaciones-SMP'!A183="","",'Observaciones-SMP'!A183)</f>
        <v/>
      </c>
      <c r="B183" s="257" t="str">
        <f>IF('Observaciones-SMP'!B183="","",'Observaciones-SMP'!B183)</f>
        <v/>
      </c>
      <c r="C183" s="193" t="str">
        <f>IF('Observaciones-SMP'!C183="","",'Observaciones-SMP'!C183)</f>
        <v/>
      </c>
      <c r="D183" s="193" t="str">
        <f>IF('Observaciones-SMP'!D183="","",'Observaciones-SMP'!D183)</f>
        <v/>
      </c>
      <c r="E183" s="193" t="str">
        <f>IF('Observaciones-SMP'!E183="","",'Observaciones-SMP'!E183)</f>
        <v/>
      </c>
      <c r="F183" s="193" t="str">
        <f>IF('Observaciones-SMP'!F183="","",'Observaciones-SMP'!F183)</f>
        <v/>
      </c>
      <c r="G183" s="193" t="str">
        <f>IF('Observaciones-SMP'!G183="","",'Observaciones-SMP'!G183)</f>
        <v/>
      </c>
      <c r="H183" s="193" t="str">
        <f>IF('Observaciones-SMP'!H183="","",'Observaciones-SMP'!H183)</f>
        <v/>
      </c>
      <c r="I183" s="193" t="str">
        <f>IF('Observaciones-SMP'!I183="","",'Observaciones-SMP'!I183)</f>
        <v/>
      </c>
      <c r="J183" s="193" t="str">
        <f>IF('Observaciones-SMP'!J183="","",'Observaciones-SMP'!J183)</f>
        <v/>
      </c>
      <c r="K183" s="193" t="str">
        <f>IF('Observaciones-SMP'!K183="","",'Observaciones-SMP'!K183)</f>
        <v/>
      </c>
      <c r="L183" s="193" t="str">
        <f>IF('Observaciones-SMP'!L183="","",'Observaciones-SMP'!L183)</f>
        <v/>
      </c>
      <c r="M183" s="193" t="str">
        <f>IF('Observaciones-SMP'!M183="","",'Observaciones-SMP'!M183)</f>
        <v/>
      </c>
      <c r="N183" s="193" t="str">
        <f>IF('Observaciones-SMP'!N183="","",'Observaciones-SMP'!N183)</f>
        <v/>
      </c>
      <c r="O183" s="193" t="str">
        <f>IF('Observaciones-SMP'!O183="","",'Observaciones-SMP'!O183)</f>
        <v/>
      </c>
      <c r="P183" s="193" t="str">
        <f>IF('Observaciones-SMP'!P183="","",'Observaciones-SMP'!P183)</f>
        <v/>
      </c>
      <c r="Q183" s="257" t="str">
        <f>IF('Observaciones-SMP'!S183="","",'Observaciones-SMP'!S183)</f>
        <v/>
      </c>
      <c r="R183" s="193" t="str">
        <f>IF('Observaciones-SMP'!T183="","",'Observaciones-SMP'!T183)</f>
        <v/>
      </c>
      <c r="S183" s="193" t="str">
        <f>""</f>
        <v/>
      </c>
      <c r="T183" s="193" t="str">
        <f>""</f>
        <v/>
      </c>
      <c r="U183" s="193" t="str">
        <f t="shared" si="8"/>
        <v/>
      </c>
      <c r="V183" s="193" t="str">
        <f>""</f>
        <v/>
      </c>
      <c r="W183" s="193" t="str">
        <f>""</f>
        <v/>
      </c>
      <c r="X183" s="258" t="str">
        <f t="shared" si="9"/>
        <v/>
      </c>
      <c r="Y183" s="258" t="str">
        <f t="shared" si="10"/>
        <v/>
      </c>
      <c r="Z183" s="193" t="str">
        <f>IF(A183="","",IF(COUNTIF('Observaciones-SMP'!$A$2:$A$1001,A183)&gt;1,1,0))</f>
        <v/>
      </c>
      <c r="AA183" s="193" t="str">
        <f t="shared" si="11"/>
        <v/>
      </c>
    </row>
    <row r="184" spans="1:27" ht="13.5" customHeight="1" x14ac:dyDescent="0.3">
      <c r="A184" s="193" t="str">
        <f>IF('Observaciones-SMP'!A184="","",'Observaciones-SMP'!A184)</f>
        <v/>
      </c>
      <c r="B184" s="257" t="str">
        <f>IF('Observaciones-SMP'!B184="","",'Observaciones-SMP'!B184)</f>
        <v/>
      </c>
      <c r="C184" s="193" t="str">
        <f>IF('Observaciones-SMP'!C184="","",'Observaciones-SMP'!C184)</f>
        <v/>
      </c>
      <c r="D184" s="193" t="str">
        <f>IF('Observaciones-SMP'!D184="","",'Observaciones-SMP'!D184)</f>
        <v/>
      </c>
      <c r="E184" s="193" t="str">
        <f>IF('Observaciones-SMP'!E184="","",'Observaciones-SMP'!E184)</f>
        <v/>
      </c>
      <c r="F184" s="193" t="str">
        <f>IF('Observaciones-SMP'!F184="","",'Observaciones-SMP'!F184)</f>
        <v/>
      </c>
      <c r="G184" s="193" t="str">
        <f>IF('Observaciones-SMP'!G184="","",'Observaciones-SMP'!G184)</f>
        <v/>
      </c>
      <c r="H184" s="193" t="str">
        <f>IF('Observaciones-SMP'!H184="","",'Observaciones-SMP'!H184)</f>
        <v/>
      </c>
      <c r="I184" s="193" t="str">
        <f>IF('Observaciones-SMP'!I184="","",'Observaciones-SMP'!I184)</f>
        <v/>
      </c>
      <c r="J184" s="193" t="str">
        <f>IF('Observaciones-SMP'!J184="","",'Observaciones-SMP'!J184)</f>
        <v/>
      </c>
      <c r="K184" s="193" t="str">
        <f>IF('Observaciones-SMP'!K184="","",'Observaciones-SMP'!K184)</f>
        <v/>
      </c>
      <c r="L184" s="193" t="str">
        <f>IF('Observaciones-SMP'!L184="","",'Observaciones-SMP'!L184)</f>
        <v/>
      </c>
      <c r="M184" s="193" t="str">
        <f>IF('Observaciones-SMP'!M184="","",'Observaciones-SMP'!M184)</f>
        <v/>
      </c>
      <c r="N184" s="193" t="str">
        <f>IF('Observaciones-SMP'!N184="","",'Observaciones-SMP'!N184)</f>
        <v/>
      </c>
      <c r="O184" s="193" t="str">
        <f>IF('Observaciones-SMP'!O184="","",'Observaciones-SMP'!O184)</f>
        <v/>
      </c>
      <c r="P184" s="193" t="str">
        <f>IF('Observaciones-SMP'!P184="","",'Observaciones-SMP'!P184)</f>
        <v/>
      </c>
      <c r="Q184" s="257" t="str">
        <f>IF('Observaciones-SMP'!S184="","",'Observaciones-SMP'!S184)</f>
        <v/>
      </c>
      <c r="R184" s="193" t="str">
        <f>IF('Observaciones-SMP'!T184="","",'Observaciones-SMP'!T184)</f>
        <v/>
      </c>
      <c r="S184" s="193" t="str">
        <f>""</f>
        <v/>
      </c>
      <c r="T184" s="193" t="str">
        <f>""</f>
        <v/>
      </c>
      <c r="U184" s="193" t="str">
        <f t="shared" si="8"/>
        <v/>
      </c>
      <c r="V184" s="193" t="str">
        <f>""</f>
        <v/>
      </c>
      <c r="W184" s="193" t="str">
        <f>""</f>
        <v/>
      </c>
      <c r="X184" s="258" t="str">
        <f t="shared" si="9"/>
        <v/>
      </c>
      <c r="Y184" s="258" t="str">
        <f t="shared" si="10"/>
        <v/>
      </c>
      <c r="Z184" s="193" t="str">
        <f>IF(A184="","",IF(COUNTIF('Observaciones-SMP'!$A$2:$A$1001,A184)&gt;1,1,0))</f>
        <v/>
      </c>
      <c r="AA184" s="193" t="str">
        <f t="shared" si="11"/>
        <v/>
      </c>
    </row>
    <row r="185" spans="1:27" ht="13.5" customHeight="1" x14ac:dyDescent="0.3">
      <c r="A185" s="193" t="str">
        <f>IF('Observaciones-SMP'!A185="","",'Observaciones-SMP'!A185)</f>
        <v/>
      </c>
      <c r="B185" s="257" t="str">
        <f>IF('Observaciones-SMP'!B185="","",'Observaciones-SMP'!B185)</f>
        <v/>
      </c>
      <c r="C185" s="193" t="str">
        <f>IF('Observaciones-SMP'!C185="","",'Observaciones-SMP'!C185)</f>
        <v/>
      </c>
      <c r="D185" s="193" t="str">
        <f>IF('Observaciones-SMP'!D185="","",'Observaciones-SMP'!D185)</f>
        <v/>
      </c>
      <c r="E185" s="193" t="str">
        <f>IF('Observaciones-SMP'!E185="","",'Observaciones-SMP'!E185)</f>
        <v/>
      </c>
      <c r="F185" s="193" t="str">
        <f>IF('Observaciones-SMP'!F185="","",'Observaciones-SMP'!F185)</f>
        <v/>
      </c>
      <c r="G185" s="193" t="str">
        <f>IF('Observaciones-SMP'!G185="","",'Observaciones-SMP'!G185)</f>
        <v/>
      </c>
      <c r="H185" s="193" t="str">
        <f>IF('Observaciones-SMP'!H185="","",'Observaciones-SMP'!H185)</f>
        <v/>
      </c>
      <c r="I185" s="193" t="str">
        <f>IF('Observaciones-SMP'!I185="","",'Observaciones-SMP'!I185)</f>
        <v/>
      </c>
      <c r="J185" s="193" t="str">
        <f>IF('Observaciones-SMP'!J185="","",'Observaciones-SMP'!J185)</f>
        <v/>
      </c>
      <c r="K185" s="193" t="str">
        <f>IF('Observaciones-SMP'!K185="","",'Observaciones-SMP'!K185)</f>
        <v/>
      </c>
      <c r="L185" s="193" t="str">
        <f>IF('Observaciones-SMP'!L185="","",'Observaciones-SMP'!L185)</f>
        <v/>
      </c>
      <c r="M185" s="193" t="str">
        <f>IF('Observaciones-SMP'!M185="","",'Observaciones-SMP'!M185)</f>
        <v/>
      </c>
      <c r="N185" s="193" t="str">
        <f>IF('Observaciones-SMP'!N185="","",'Observaciones-SMP'!N185)</f>
        <v/>
      </c>
      <c r="O185" s="193" t="str">
        <f>IF('Observaciones-SMP'!O185="","",'Observaciones-SMP'!O185)</f>
        <v/>
      </c>
      <c r="P185" s="193" t="str">
        <f>IF('Observaciones-SMP'!P185="","",'Observaciones-SMP'!P185)</f>
        <v/>
      </c>
      <c r="Q185" s="257" t="str">
        <f>IF('Observaciones-SMP'!S185="","",'Observaciones-SMP'!S185)</f>
        <v/>
      </c>
      <c r="R185" s="193" t="str">
        <f>IF('Observaciones-SMP'!T185="","",'Observaciones-SMP'!T185)</f>
        <v/>
      </c>
      <c r="S185" s="193" t="str">
        <f>""</f>
        <v/>
      </c>
      <c r="T185" s="193" t="str">
        <f>""</f>
        <v/>
      </c>
      <c r="U185" s="193" t="str">
        <f t="shared" si="8"/>
        <v/>
      </c>
      <c r="V185" s="193" t="str">
        <f>""</f>
        <v/>
      </c>
      <c r="W185" s="193" t="str">
        <f>""</f>
        <v/>
      </c>
      <c r="X185" s="258" t="str">
        <f t="shared" si="9"/>
        <v/>
      </c>
      <c r="Y185" s="258" t="str">
        <f t="shared" si="10"/>
        <v/>
      </c>
      <c r="Z185" s="193" t="str">
        <f>IF(A185="","",IF(COUNTIF('Observaciones-SMP'!$A$2:$A$1001,A185)&gt;1,1,0))</f>
        <v/>
      </c>
      <c r="AA185" s="193" t="str">
        <f t="shared" si="11"/>
        <v/>
      </c>
    </row>
    <row r="186" spans="1:27" ht="13.5" customHeight="1" x14ac:dyDescent="0.3">
      <c r="A186" s="193" t="str">
        <f>IF('Observaciones-SMP'!A186="","",'Observaciones-SMP'!A186)</f>
        <v/>
      </c>
      <c r="B186" s="257" t="str">
        <f>IF('Observaciones-SMP'!B186="","",'Observaciones-SMP'!B186)</f>
        <v/>
      </c>
      <c r="C186" s="193" t="str">
        <f>IF('Observaciones-SMP'!C186="","",'Observaciones-SMP'!C186)</f>
        <v/>
      </c>
      <c r="D186" s="193" t="str">
        <f>IF('Observaciones-SMP'!D186="","",'Observaciones-SMP'!D186)</f>
        <v/>
      </c>
      <c r="E186" s="193" t="str">
        <f>IF('Observaciones-SMP'!E186="","",'Observaciones-SMP'!E186)</f>
        <v/>
      </c>
      <c r="F186" s="193" t="str">
        <f>IF('Observaciones-SMP'!F186="","",'Observaciones-SMP'!F186)</f>
        <v/>
      </c>
      <c r="G186" s="193" t="str">
        <f>IF('Observaciones-SMP'!G186="","",'Observaciones-SMP'!G186)</f>
        <v/>
      </c>
      <c r="H186" s="193" t="str">
        <f>IF('Observaciones-SMP'!H186="","",'Observaciones-SMP'!H186)</f>
        <v/>
      </c>
      <c r="I186" s="193" t="str">
        <f>IF('Observaciones-SMP'!I186="","",'Observaciones-SMP'!I186)</f>
        <v/>
      </c>
      <c r="J186" s="193" t="str">
        <f>IF('Observaciones-SMP'!J186="","",'Observaciones-SMP'!J186)</f>
        <v/>
      </c>
      <c r="K186" s="193" t="str">
        <f>IF('Observaciones-SMP'!K186="","",'Observaciones-SMP'!K186)</f>
        <v/>
      </c>
      <c r="L186" s="193" t="str">
        <f>IF('Observaciones-SMP'!L186="","",'Observaciones-SMP'!L186)</f>
        <v/>
      </c>
      <c r="M186" s="193" t="str">
        <f>IF('Observaciones-SMP'!M186="","",'Observaciones-SMP'!M186)</f>
        <v/>
      </c>
      <c r="N186" s="193" t="str">
        <f>IF('Observaciones-SMP'!N186="","",'Observaciones-SMP'!N186)</f>
        <v/>
      </c>
      <c r="O186" s="193" t="str">
        <f>IF('Observaciones-SMP'!O186="","",'Observaciones-SMP'!O186)</f>
        <v/>
      </c>
      <c r="P186" s="193" t="str">
        <f>IF('Observaciones-SMP'!P186="","",'Observaciones-SMP'!P186)</f>
        <v/>
      </c>
      <c r="Q186" s="257" t="str">
        <f>IF('Observaciones-SMP'!S186="","",'Observaciones-SMP'!S186)</f>
        <v/>
      </c>
      <c r="R186" s="193" t="str">
        <f>IF('Observaciones-SMP'!T186="","",'Observaciones-SMP'!T186)</f>
        <v/>
      </c>
      <c r="S186" s="193" t="str">
        <f>""</f>
        <v/>
      </c>
      <c r="T186" s="193" t="str">
        <f>""</f>
        <v/>
      </c>
      <c r="U186" s="193" t="str">
        <f t="shared" si="8"/>
        <v/>
      </c>
      <c r="V186" s="193" t="str">
        <f>""</f>
        <v/>
      </c>
      <c r="W186" s="193" t="str">
        <f>""</f>
        <v/>
      </c>
      <c r="X186" s="258" t="str">
        <f t="shared" si="9"/>
        <v/>
      </c>
      <c r="Y186" s="258" t="str">
        <f t="shared" si="10"/>
        <v/>
      </c>
      <c r="Z186" s="193" t="str">
        <f>IF(A186="","",IF(COUNTIF('Observaciones-SMP'!$A$2:$A$1001,A186)&gt;1,1,0))</f>
        <v/>
      </c>
      <c r="AA186" s="193" t="str">
        <f t="shared" si="11"/>
        <v/>
      </c>
    </row>
    <row r="187" spans="1:27" ht="13.5" customHeight="1" x14ac:dyDescent="0.3">
      <c r="A187" s="193" t="str">
        <f>IF('Observaciones-SMP'!A187="","",'Observaciones-SMP'!A187)</f>
        <v/>
      </c>
      <c r="B187" s="257" t="str">
        <f>IF('Observaciones-SMP'!B187="","",'Observaciones-SMP'!B187)</f>
        <v/>
      </c>
      <c r="C187" s="193" t="str">
        <f>IF('Observaciones-SMP'!C187="","",'Observaciones-SMP'!C187)</f>
        <v/>
      </c>
      <c r="D187" s="193" t="str">
        <f>IF('Observaciones-SMP'!D187="","",'Observaciones-SMP'!D187)</f>
        <v/>
      </c>
      <c r="E187" s="193" t="str">
        <f>IF('Observaciones-SMP'!E187="","",'Observaciones-SMP'!E187)</f>
        <v/>
      </c>
      <c r="F187" s="193" t="str">
        <f>IF('Observaciones-SMP'!F187="","",'Observaciones-SMP'!F187)</f>
        <v/>
      </c>
      <c r="G187" s="193" t="str">
        <f>IF('Observaciones-SMP'!G187="","",'Observaciones-SMP'!G187)</f>
        <v/>
      </c>
      <c r="H187" s="193" t="str">
        <f>IF('Observaciones-SMP'!H187="","",'Observaciones-SMP'!H187)</f>
        <v/>
      </c>
      <c r="I187" s="193" t="str">
        <f>IF('Observaciones-SMP'!I187="","",'Observaciones-SMP'!I187)</f>
        <v/>
      </c>
      <c r="J187" s="193" t="str">
        <f>IF('Observaciones-SMP'!J187="","",'Observaciones-SMP'!J187)</f>
        <v/>
      </c>
      <c r="K187" s="193" t="str">
        <f>IF('Observaciones-SMP'!K187="","",'Observaciones-SMP'!K187)</f>
        <v/>
      </c>
      <c r="L187" s="193" t="str">
        <f>IF('Observaciones-SMP'!L187="","",'Observaciones-SMP'!L187)</f>
        <v/>
      </c>
      <c r="M187" s="193" t="str">
        <f>IF('Observaciones-SMP'!M187="","",'Observaciones-SMP'!M187)</f>
        <v/>
      </c>
      <c r="N187" s="193" t="str">
        <f>IF('Observaciones-SMP'!N187="","",'Observaciones-SMP'!N187)</f>
        <v/>
      </c>
      <c r="O187" s="193" t="str">
        <f>IF('Observaciones-SMP'!O187="","",'Observaciones-SMP'!O187)</f>
        <v/>
      </c>
      <c r="P187" s="193" t="str">
        <f>IF('Observaciones-SMP'!P187="","",'Observaciones-SMP'!P187)</f>
        <v/>
      </c>
      <c r="Q187" s="257" t="str">
        <f>IF('Observaciones-SMP'!S187="","",'Observaciones-SMP'!S187)</f>
        <v/>
      </c>
      <c r="R187" s="193" t="str">
        <f>IF('Observaciones-SMP'!T187="","",'Observaciones-SMP'!T187)</f>
        <v/>
      </c>
      <c r="S187" s="193" t="str">
        <f>""</f>
        <v/>
      </c>
      <c r="T187" s="193" t="str">
        <f>""</f>
        <v/>
      </c>
      <c r="U187" s="193" t="str">
        <f t="shared" si="8"/>
        <v/>
      </c>
      <c r="V187" s="193" t="str">
        <f>""</f>
        <v/>
      </c>
      <c r="W187" s="193" t="str">
        <f>""</f>
        <v/>
      </c>
      <c r="X187" s="258" t="str">
        <f t="shared" si="9"/>
        <v/>
      </c>
      <c r="Y187" s="258" t="str">
        <f t="shared" si="10"/>
        <v/>
      </c>
      <c r="Z187" s="193" t="str">
        <f>IF(A187="","",IF(COUNTIF('Observaciones-SMP'!$A$2:$A$1001,A187)&gt;1,1,0))</f>
        <v/>
      </c>
      <c r="AA187" s="193" t="str">
        <f t="shared" si="11"/>
        <v/>
      </c>
    </row>
    <row r="188" spans="1:27" ht="13.5" customHeight="1" x14ac:dyDescent="0.3">
      <c r="A188" s="193" t="str">
        <f>IF('Observaciones-SMP'!A188="","",'Observaciones-SMP'!A188)</f>
        <v/>
      </c>
      <c r="B188" s="257" t="str">
        <f>IF('Observaciones-SMP'!B188="","",'Observaciones-SMP'!B188)</f>
        <v/>
      </c>
      <c r="C188" s="193" t="str">
        <f>IF('Observaciones-SMP'!C188="","",'Observaciones-SMP'!C188)</f>
        <v/>
      </c>
      <c r="D188" s="193" t="str">
        <f>IF('Observaciones-SMP'!D188="","",'Observaciones-SMP'!D188)</f>
        <v/>
      </c>
      <c r="E188" s="193" t="str">
        <f>IF('Observaciones-SMP'!E188="","",'Observaciones-SMP'!E188)</f>
        <v/>
      </c>
      <c r="F188" s="193" t="str">
        <f>IF('Observaciones-SMP'!F188="","",'Observaciones-SMP'!F188)</f>
        <v/>
      </c>
      <c r="G188" s="193" t="str">
        <f>IF('Observaciones-SMP'!G188="","",'Observaciones-SMP'!G188)</f>
        <v/>
      </c>
      <c r="H188" s="193" t="str">
        <f>IF('Observaciones-SMP'!H188="","",'Observaciones-SMP'!H188)</f>
        <v/>
      </c>
      <c r="I188" s="193" t="str">
        <f>IF('Observaciones-SMP'!I188="","",'Observaciones-SMP'!I188)</f>
        <v/>
      </c>
      <c r="J188" s="193" t="str">
        <f>IF('Observaciones-SMP'!J188="","",'Observaciones-SMP'!J188)</f>
        <v/>
      </c>
      <c r="K188" s="193" t="str">
        <f>IF('Observaciones-SMP'!K188="","",'Observaciones-SMP'!K188)</f>
        <v/>
      </c>
      <c r="L188" s="193" t="str">
        <f>IF('Observaciones-SMP'!L188="","",'Observaciones-SMP'!L188)</f>
        <v/>
      </c>
      <c r="M188" s="193" t="str">
        <f>IF('Observaciones-SMP'!M188="","",'Observaciones-SMP'!M188)</f>
        <v/>
      </c>
      <c r="N188" s="193" t="str">
        <f>IF('Observaciones-SMP'!N188="","",'Observaciones-SMP'!N188)</f>
        <v/>
      </c>
      <c r="O188" s="193" t="str">
        <f>IF('Observaciones-SMP'!O188="","",'Observaciones-SMP'!O188)</f>
        <v/>
      </c>
      <c r="P188" s="193" t="str">
        <f>IF('Observaciones-SMP'!P188="","",'Observaciones-SMP'!P188)</f>
        <v/>
      </c>
      <c r="Q188" s="257" t="str">
        <f>IF('Observaciones-SMP'!S188="","",'Observaciones-SMP'!S188)</f>
        <v/>
      </c>
      <c r="R188" s="193" t="str">
        <f>IF('Observaciones-SMP'!T188="","",'Observaciones-SMP'!T188)</f>
        <v/>
      </c>
      <c r="S188" s="193" t="str">
        <f>""</f>
        <v/>
      </c>
      <c r="T188" s="193" t="str">
        <f>""</f>
        <v/>
      </c>
      <c r="U188" s="193" t="str">
        <f t="shared" si="8"/>
        <v/>
      </c>
      <c r="V188" s="193" t="str">
        <f>""</f>
        <v/>
      </c>
      <c r="W188" s="193" t="str">
        <f>""</f>
        <v/>
      </c>
      <c r="X188" s="258" t="str">
        <f t="shared" si="9"/>
        <v/>
      </c>
      <c r="Y188" s="258" t="str">
        <f t="shared" si="10"/>
        <v/>
      </c>
      <c r="Z188" s="193" t="str">
        <f>IF(A188="","",IF(COUNTIF('Observaciones-SMP'!$A$2:$A$1001,A188)&gt;1,1,0))</f>
        <v/>
      </c>
      <c r="AA188" s="193" t="str">
        <f t="shared" si="11"/>
        <v/>
      </c>
    </row>
    <row r="189" spans="1:27" ht="13.5" customHeight="1" x14ac:dyDescent="0.3">
      <c r="A189" s="193" t="str">
        <f>IF('Observaciones-SMP'!A189="","",'Observaciones-SMP'!A189)</f>
        <v/>
      </c>
      <c r="B189" s="257" t="str">
        <f>IF('Observaciones-SMP'!B189="","",'Observaciones-SMP'!B189)</f>
        <v/>
      </c>
      <c r="C189" s="193" t="str">
        <f>IF('Observaciones-SMP'!C189="","",'Observaciones-SMP'!C189)</f>
        <v/>
      </c>
      <c r="D189" s="193" t="str">
        <f>IF('Observaciones-SMP'!D189="","",'Observaciones-SMP'!D189)</f>
        <v/>
      </c>
      <c r="E189" s="193" t="str">
        <f>IF('Observaciones-SMP'!E189="","",'Observaciones-SMP'!E189)</f>
        <v/>
      </c>
      <c r="F189" s="193" t="str">
        <f>IF('Observaciones-SMP'!F189="","",'Observaciones-SMP'!F189)</f>
        <v/>
      </c>
      <c r="G189" s="193" t="str">
        <f>IF('Observaciones-SMP'!G189="","",'Observaciones-SMP'!G189)</f>
        <v/>
      </c>
      <c r="H189" s="193" t="str">
        <f>IF('Observaciones-SMP'!H189="","",'Observaciones-SMP'!H189)</f>
        <v/>
      </c>
      <c r="I189" s="193" t="str">
        <f>IF('Observaciones-SMP'!I189="","",'Observaciones-SMP'!I189)</f>
        <v/>
      </c>
      <c r="J189" s="193" t="str">
        <f>IF('Observaciones-SMP'!J189="","",'Observaciones-SMP'!J189)</f>
        <v/>
      </c>
      <c r="K189" s="193" t="str">
        <f>IF('Observaciones-SMP'!K189="","",'Observaciones-SMP'!K189)</f>
        <v/>
      </c>
      <c r="L189" s="193" t="str">
        <f>IF('Observaciones-SMP'!L189="","",'Observaciones-SMP'!L189)</f>
        <v/>
      </c>
      <c r="M189" s="193" t="str">
        <f>IF('Observaciones-SMP'!M189="","",'Observaciones-SMP'!M189)</f>
        <v/>
      </c>
      <c r="N189" s="193" t="str">
        <f>IF('Observaciones-SMP'!N189="","",'Observaciones-SMP'!N189)</f>
        <v/>
      </c>
      <c r="O189" s="193" t="str">
        <f>IF('Observaciones-SMP'!O189="","",'Observaciones-SMP'!O189)</f>
        <v/>
      </c>
      <c r="P189" s="193" t="str">
        <f>IF('Observaciones-SMP'!P189="","",'Observaciones-SMP'!P189)</f>
        <v/>
      </c>
      <c r="Q189" s="257" t="str">
        <f>IF('Observaciones-SMP'!S189="","",'Observaciones-SMP'!S189)</f>
        <v/>
      </c>
      <c r="R189" s="193" t="str">
        <f>IF('Observaciones-SMP'!T189="","",'Observaciones-SMP'!T189)</f>
        <v/>
      </c>
      <c r="S189" s="193" t="str">
        <f>""</f>
        <v/>
      </c>
      <c r="T189" s="193" t="str">
        <f>""</f>
        <v/>
      </c>
      <c r="U189" s="193" t="str">
        <f t="shared" si="8"/>
        <v/>
      </c>
      <c r="V189" s="193" t="str">
        <f>""</f>
        <v/>
      </c>
      <c r="W189" s="193" t="str">
        <f>""</f>
        <v/>
      </c>
      <c r="X189" s="258" t="str">
        <f t="shared" si="9"/>
        <v/>
      </c>
      <c r="Y189" s="258" t="str">
        <f t="shared" si="10"/>
        <v/>
      </c>
      <c r="Z189" s="193" t="str">
        <f>IF(A189="","",IF(COUNTIF('Observaciones-SMP'!$A$2:$A$1001,A189)&gt;1,1,0))</f>
        <v/>
      </c>
      <c r="AA189" s="193" t="str">
        <f t="shared" si="11"/>
        <v/>
      </c>
    </row>
    <row r="190" spans="1:27" ht="13.5" customHeight="1" x14ac:dyDescent="0.3">
      <c r="A190" s="193" t="str">
        <f>IF('Observaciones-SMP'!A190="","",'Observaciones-SMP'!A190)</f>
        <v/>
      </c>
      <c r="B190" s="257" t="str">
        <f>IF('Observaciones-SMP'!B190="","",'Observaciones-SMP'!B190)</f>
        <v/>
      </c>
      <c r="C190" s="193" t="str">
        <f>IF('Observaciones-SMP'!C190="","",'Observaciones-SMP'!C190)</f>
        <v/>
      </c>
      <c r="D190" s="193" t="str">
        <f>IF('Observaciones-SMP'!D190="","",'Observaciones-SMP'!D190)</f>
        <v/>
      </c>
      <c r="E190" s="193" t="str">
        <f>IF('Observaciones-SMP'!E190="","",'Observaciones-SMP'!E190)</f>
        <v/>
      </c>
      <c r="F190" s="193" t="str">
        <f>IF('Observaciones-SMP'!F190="","",'Observaciones-SMP'!F190)</f>
        <v/>
      </c>
      <c r="G190" s="193" t="str">
        <f>IF('Observaciones-SMP'!G190="","",'Observaciones-SMP'!G190)</f>
        <v/>
      </c>
      <c r="H190" s="193" t="str">
        <f>IF('Observaciones-SMP'!H190="","",'Observaciones-SMP'!H190)</f>
        <v/>
      </c>
      <c r="I190" s="193" t="str">
        <f>IF('Observaciones-SMP'!I190="","",'Observaciones-SMP'!I190)</f>
        <v/>
      </c>
      <c r="J190" s="193" t="str">
        <f>IF('Observaciones-SMP'!J190="","",'Observaciones-SMP'!J190)</f>
        <v/>
      </c>
      <c r="K190" s="193" t="str">
        <f>IF('Observaciones-SMP'!K190="","",'Observaciones-SMP'!K190)</f>
        <v/>
      </c>
      <c r="L190" s="193" t="str">
        <f>IF('Observaciones-SMP'!L190="","",'Observaciones-SMP'!L190)</f>
        <v/>
      </c>
      <c r="M190" s="193" t="str">
        <f>IF('Observaciones-SMP'!M190="","",'Observaciones-SMP'!M190)</f>
        <v/>
      </c>
      <c r="N190" s="193" t="str">
        <f>IF('Observaciones-SMP'!N190="","",'Observaciones-SMP'!N190)</f>
        <v/>
      </c>
      <c r="O190" s="193" t="str">
        <f>IF('Observaciones-SMP'!O190="","",'Observaciones-SMP'!O190)</f>
        <v/>
      </c>
      <c r="P190" s="193" t="str">
        <f>IF('Observaciones-SMP'!P190="","",'Observaciones-SMP'!P190)</f>
        <v/>
      </c>
      <c r="Q190" s="257" t="str">
        <f>IF('Observaciones-SMP'!S190="","",'Observaciones-SMP'!S190)</f>
        <v/>
      </c>
      <c r="R190" s="193" t="str">
        <f>IF('Observaciones-SMP'!T190="","",'Observaciones-SMP'!T190)</f>
        <v/>
      </c>
      <c r="S190" s="193" t="str">
        <f>""</f>
        <v/>
      </c>
      <c r="T190" s="193" t="str">
        <f>""</f>
        <v/>
      </c>
      <c r="U190" s="193" t="str">
        <f t="shared" si="8"/>
        <v/>
      </c>
      <c r="V190" s="193" t="str">
        <f>""</f>
        <v/>
      </c>
      <c r="W190" s="193" t="str">
        <f>""</f>
        <v/>
      </c>
      <c r="X190" s="258" t="str">
        <f t="shared" si="9"/>
        <v/>
      </c>
      <c r="Y190" s="258" t="str">
        <f t="shared" si="10"/>
        <v/>
      </c>
      <c r="Z190" s="193" t="str">
        <f>IF(A190="","",IF(COUNTIF('Observaciones-SMP'!$A$2:$A$1001,A190)&gt;1,1,0))</f>
        <v/>
      </c>
      <c r="AA190" s="193" t="str">
        <f t="shared" si="11"/>
        <v/>
      </c>
    </row>
    <row r="191" spans="1:27" ht="13.5" customHeight="1" x14ac:dyDescent="0.3">
      <c r="A191" s="193" t="str">
        <f>IF('Observaciones-SMP'!A191="","",'Observaciones-SMP'!A191)</f>
        <v/>
      </c>
      <c r="B191" s="257" t="str">
        <f>IF('Observaciones-SMP'!B191="","",'Observaciones-SMP'!B191)</f>
        <v/>
      </c>
      <c r="C191" s="193" t="str">
        <f>IF('Observaciones-SMP'!C191="","",'Observaciones-SMP'!C191)</f>
        <v/>
      </c>
      <c r="D191" s="193" t="str">
        <f>IF('Observaciones-SMP'!D191="","",'Observaciones-SMP'!D191)</f>
        <v/>
      </c>
      <c r="E191" s="193" t="str">
        <f>IF('Observaciones-SMP'!E191="","",'Observaciones-SMP'!E191)</f>
        <v/>
      </c>
      <c r="F191" s="193" t="str">
        <f>IF('Observaciones-SMP'!F191="","",'Observaciones-SMP'!F191)</f>
        <v/>
      </c>
      <c r="G191" s="193" t="str">
        <f>IF('Observaciones-SMP'!G191="","",'Observaciones-SMP'!G191)</f>
        <v/>
      </c>
      <c r="H191" s="193" t="str">
        <f>IF('Observaciones-SMP'!H191="","",'Observaciones-SMP'!H191)</f>
        <v/>
      </c>
      <c r="I191" s="193" t="str">
        <f>IF('Observaciones-SMP'!I191="","",'Observaciones-SMP'!I191)</f>
        <v/>
      </c>
      <c r="J191" s="193" t="str">
        <f>IF('Observaciones-SMP'!J191="","",'Observaciones-SMP'!J191)</f>
        <v/>
      </c>
      <c r="K191" s="193" t="str">
        <f>IF('Observaciones-SMP'!K191="","",'Observaciones-SMP'!K191)</f>
        <v/>
      </c>
      <c r="L191" s="193" t="str">
        <f>IF('Observaciones-SMP'!L191="","",'Observaciones-SMP'!L191)</f>
        <v/>
      </c>
      <c r="M191" s="193" t="str">
        <f>IF('Observaciones-SMP'!M191="","",'Observaciones-SMP'!M191)</f>
        <v/>
      </c>
      <c r="N191" s="193" t="str">
        <f>IF('Observaciones-SMP'!N191="","",'Observaciones-SMP'!N191)</f>
        <v/>
      </c>
      <c r="O191" s="193" t="str">
        <f>IF('Observaciones-SMP'!O191="","",'Observaciones-SMP'!O191)</f>
        <v/>
      </c>
      <c r="P191" s="193" t="str">
        <f>IF('Observaciones-SMP'!P191="","",'Observaciones-SMP'!P191)</f>
        <v/>
      </c>
      <c r="Q191" s="257" t="str">
        <f>IF('Observaciones-SMP'!S191="","",'Observaciones-SMP'!S191)</f>
        <v/>
      </c>
      <c r="R191" s="193" t="str">
        <f>IF('Observaciones-SMP'!T191="","",'Observaciones-SMP'!T191)</f>
        <v/>
      </c>
      <c r="S191" s="193" t="str">
        <f>""</f>
        <v/>
      </c>
      <c r="T191" s="193" t="str">
        <f>""</f>
        <v/>
      </c>
      <c r="U191" s="193" t="str">
        <f t="shared" si="8"/>
        <v/>
      </c>
      <c r="V191" s="193" t="str">
        <f>""</f>
        <v/>
      </c>
      <c r="W191" s="193" t="str">
        <f>""</f>
        <v/>
      </c>
      <c r="X191" s="258" t="str">
        <f t="shared" si="9"/>
        <v/>
      </c>
      <c r="Y191" s="258" t="str">
        <f t="shared" si="10"/>
        <v/>
      </c>
      <c r="Z191" s="193" t="str">
        <f>IF(A191="","",IF(COUNTIF('Observaciones-SMP'!$A$2:$A$1001,A191)&gt;1,1,0))</f>
        <v/>
      </c>
      <c r="AA191" s="193" t="str">
        <f t="shared" si="11"/>
        <v/>
      </c>
    </row>
    <row r="192" spans="1:27" ht="13.5" customHeight="1" x14ac:dyDescent="0.3">
      <c r="A192" s="193" t="str">
        <f>IF('Observaciones-SMP'!A192="","",'Observaciones-SMP'!A192)</f>
        <v/>
      </c>
      <c r="B192" s="257" t="str">
        <f>IF('Observaciones-SMP'!B192="","",'Observaciones-SMP'!B192)</f>
        <v/>
      </c>
      <c r="C192" s="193" t="str">
        <f>IF('Observaciones-SMP'!C192="","",'Observaciones-SMP'!C192)</f>
        <v/>
      </c>
      <c r="D192" s="193" t="str">
        <f>IF('Observaciones-SMP'!D192="","",'Observaciones-SMP'!D192)</f>
        <v/>
      </c>
      <c r="E192" s="193" t="str">
        <f>IF('Observaciones-SMP'!E192="","",'Observaciones-SMP'!E192)</f>
        <v/>
      </c>
      <c r="F192" s="193" t="str">
        <f>IF('Observaciones-SMP'!F192="","",'Observaciones-SMP'!F192)</f>
        <v/>
      </c>
      <c r="G192" s="193" t="str">
        <f>IF('Observaciones-SMP'!G192="","",'Observaciones-SMP'!G192)</f>
        <v/>
      </c>
      <c r="H192" s="193" t="str">
        <f>IF('Observaciones-SMP'!H192="","",'Observaciones-SMP'!H192)</f>
        <v/>
      </c>
      <c r="I192" s="193" t="str">
        <f>IF('Observaciones-SMP'!I192="","",'Observaciones-SMP'!I192)</f>
        <v/>
      </c>
      <c r="J192" s="193" t="str">
        <f>IF('Observaciones-SMP'!J192="","",'Observaciones-SMP'!J192)</f>
        <v/>
      </c>
      <c r="K192" s="193" t="str">
        <f>IF('Observaciones-SMP'!K192="","",'Observaciones-SMP'!K192)</f>
        <v/>
      </c>
      <c r="L192" s="193" t="str">
        <f>IF('Observaciones-SMP'!L192="","",'Observaciones-SMP'!L192)</f>
        <v/>
      </c>
      <c r="M192" s="193" t="str">
        <f>IF('Observaciones-SMP'!M192="","",'Observaciones-SMP'!M192)</f>
        <v/>
      </c>
      <c r="N192" s="193" t="str">
        <f>IF('Observaciones-SMP'!N192="","",'Observaciones-SMP'!N192)</f>
        <v/>
      </c>
      <c r="O192" s="193" t="str">
        <f>IF('Observaciones-SMP'!O192="","",'Observaciones-SMP'!O192)</f>
        <v/>
      </c>
      <c r="P192" s="193" t="str">
        <f>IF('Observaciones-SMP'!P192="","",'Observaciones-SMP'!P192)</f>
        <v/>
      </c>
      <c r="Q192" s="257" t="str">
        <f>IF('Observaciones-SMP'!S192="","",'Observaciones-SMP'!S192)</f>
        <v/>
      </c>
      <c r="R192" s="193" t="str">
        <f>IF('Observaciones-SMP'!T192="","",'Observaciones-SMP'!T192)</f>
        <v/>
      </c>
      <c r="S192" s="193" t="str">
        <f>""</f>
        <v/>
      </c>
      <c r="T192" s="193" t="str">
        <f>""</f>
        <v/>
      </c>
      <c r="U192" s="193" t="str">
        <f t="shared" si="8"/>
        <v/>
      </c>
      <c r="V192" s="193" t="str">
        <f>""</f>
        <v/>
      </c>
      <c r="W192" s="193" t="str">
        <f>""</f>
        <v/>
      </c>
      <c r="X192" s="258" t="str">
        <f t="shared" si="9"/>
        <v/>
      </c>
      <c r="Y192" s="258" t="str">
        <f t="shared" si="10"/>
        <v/>
      </c>
      <c r="Z192" s="193" t="str">
        <f>IF(A192="","",IF(COUNTIF('Observaciones-SMP'!$A$2:$A$1001,A192)&gt;1,1,0))</f>
        <v/>
      </c>
      <c r="AA192" s="193" t="str">
        <f t="shared" si="11"/>
        <v/>
      </c>
    </row>
    <row r="193" spans="1:27" ht="13.5" customHeight="1" x14ac:dyDescent="0.3">
      <c r="A193" s="193" t="str">
        <f>IF('Observaciones-SMP'!A193="","",'Observaciones-SMP'!A193)</f>
        <v/>
      </c>
      <c r="B193" s="257" t="str">
        <f>IF('Observaciones-SMP'!B193="","",'Observaciones-SMP'!B193)</f>
        <v/>
      </c>
      <c r="C193" s="193" t="str">
        <f>IF('Observaciones-SMP'!C193="","",'Observaciones-SMP'!C193)</f>
        <v/>
      </c>
      <c r="D193" s="193" t="str">
        <f>IF('Observaciones-SMP'!D193="","",'Observaciones-SMP'!D193)</f>
        <v/>
      </c>
      <c r="E193" s="193" t="str">
        <f>IF('Observaciones-SMP'!E193="","",'Observaciones-SMP'!E193)</f>
        <v/>
      </c>
      <c r="F193" s="193" t="str">
        <f>IF('Observaciones-SMP'!F193="","",'Observaciones-SMP'!F193)</f>
        <v/>
      </c>
      <c r="G193" s="193" t="str">
        <f>IF('Observaciones-SMP'!G193="","",'Observaciones-SMP'!G193)</f>
        <v/>
      </c>
      <c r="H193" s="193" t="str">
        <f>IF('Observaciones-SMP'!H193="","",'Observaciones-SMP'!H193)</f>
        <v/>
      </c>
      <c r="I193" s="193" t="str">
        <f>IF('Observaciones-SMP'!I193="","",'Observaciones-SMP'!I193)</f>
        <v/>
      </c>
      <c r="J193" s="193" t="str">
        <f>IF('Observaciones-SMP'!J193="","",'Observaciones-SMP'!J193)</f>
        <v/>
      </c>
      <c r="K193" s="193" t="str">
        <f>IF('Observaciones-SMP'!K193="","",'Observaciones-SMP'!K193)</f>
        <v/>
      </c>
      <c r="L193" s="193" t="str">
        <f>IF('Observaciones-SMP'!L193="","",'Observaciones-SMP'!L193)</f>
        <v/>
      </c>
      <c r="M193" s="193" t="str">
        <f>IF('Observaciones-SMP'!M193="","",'Observaciones-SMP'!M193)</f>
        <v/>
      </c>
      <c r="N193" s="193" t="str">
        <f>IF('Observaciones-SMP'!N193="","",'Observaciones-SMP'!N193)</f>
        <v/>
      </c>
      <c r="O193" s="193" t="str">
        <f>IF('Observaciones-SMP'!O193="","",'Observaciones-SMP'!O193)</f>
        <v/>
      </c>
      <c r="P193" s="193" t="str">
        <f>IF('Observaciones-SMP'!P193="","",'Observaciones-SMP'!P193)</f>
        <v/>
      </c>
      <c r="Q193" s="257" t="str">
        <f>IF('Observaciones-SMP'!S193="","",'Observaciones-SMP'!S193)</f>
        <v/>
      </c>
      <c r="R193" s="193" t="str">
        <f>IF('Observaciones-SMP'!T193="","",'Observaciones-SMP'!T193)</f>
        <v/>
      </c>
      <c r="S193" s="193" t="str">
        <f>""</f>
        <v/>
      </c>
      <c r="T193" s="193" t="str">
        <f>""</f>
        <v/>
      </c>
      <c r="U193" s="193" t="str">
        <f t="shared" si="8"/>
        <v/>
      </c>
      <c r="V193" s="193" t="str">
        <f>""</f>
        <v/>
      </c>
      <c r="W193" s="193" t="str">
        <f>""</f>
        <v/>
      </c>
      <c r="X193" s="258" t="str">
        <f t="shared" si="9"/>
        <v/>
      </c>
      <c r="Y193" s="258" t="str">
        <f t="shared" si="10"/>
        <v/>
      </c>
      <c r="Z193" s="193" t="str">
        <f>IF(A193="","",IF(COUNTIF('Observaciones-SMP'!$A$2:$A$1001,A193)&gt;1,1,0))</f>
        <v/>
      </c>
      <c r="AA193" s="193" t="str">
        <f t="shared" si="11"/>
        <v/>
      </c>
    </row>
    <row r="194" spans="1:27" ht="13.5" customHeight="1" x14ac:dyDescent="0.3">
      <c r="A194" s="193" t="str">
        <f>IF('Observaciones-SMP'!A194="","",'Observaciones-SMP'!A194)</f>
        <v/>
      </c>
      <c r="B194" s="257" t="str">
        <f>IF('Observaciones-SMP'!B194="","",'Observaciones-SMP'!B194)</f>
        <v/>
      </c>
      <c r="C194" s="193" t="str">
        <f>IF('Observaciones-SMP'!C194="","",'Observaciones-SMP'!C194)</f>
        <v/>
      </c>
      <c r="D194" s="193" t="str">
        <f>IF('Observaciones-SMP'!D194="","",'Observaciones-SMP'!D194)</f>
        <v/>
      </c>
      <c r="E194" s="193" t="str">
        <f>IF('Observaciones-SMP'!E194="","",'Observaciones-SMP'!E194)</f>
        <v/>
      </c>
      <c r="F194" s="193" t="str">
        <f>IF('Observaciones-SMP'!F194="","",'Observaciones-SMP'!F194)</f>
        <v/>
      </c>
      <c r="G194" s="193" t="str">
        <f>IF('Observaciones-SMP'!G194="","",'Observaciones-SMP'!G194)</f>
        <v/>
      </c>
      <c r="H194" s="193" t="str">
        <f>IF('Observaciones-SMP'!H194="","",'Observaciones-SMP'!H194)</f>
        <v/>
      </c>
      <c r="I194" s="193" t="str">
        <f>IF('Observaciones-SMP'!I194="","",'Observaciones-SMP'!I194)</f>
        <v/>
      </c>
      <c r="J194" s="193" t="str">
        <f>IF('Observaciones-SMP'!J194="","",'Observaciones-SMP'!J194)</f>
        <v/>
      </c>
      <c r="K194" s="193" t="str">
        <f>IF('Observaciones-SMP'!K194="","",'Observaciones-SMP'!K194)</f>
        <v/>
      </c>
      <c r="L194" s="193" t="str">
        <f>IF('Observaciones-SMP'!L194="","",'Observaciones-SMP'!L194)</f>
        <v/>
      </c>
      <c r="M194" s="193" t="str">
        <f>IF('Observaciones-SMP'!M194="","",'Observaciones-SMP'!M194)</f>
        <v/>
      </c>
      <c r="N194" s="193" t="str">
        <f>IF('Observaciones-SMP'!N194="","",'Observaciones-SMP'!N194)</f>
        <v/>
      </c>
      <c r="O194" s="193" t="str">
        <f>IF('Observaciones-SMP'!O194="","",'Observaciones-SMP'!O194)</f>
        <v/>
      </c>
      <c r="P194" s="193" t="str">
        <f>IF('Observaciones-SMP'!P194="","",'Observaciones-SMP'!P194)</f>
        <v/>
      </c>
      <c r="Q194" s="257" t="str">
        <f>IF('Observaciones-SMP'!S194="","",'Observaciones-SMP'!S194)</f>
        <v/>
      </c>
      <c r="R194" s="193" t="str">
        <f>IF('Observaciones-SMP'!T194="","",'Observaciones-SMP'!T194)</f>
        <v/>
      </c>
      <c r="S194" s="193" t="str">
        <f>""</f>
        <v/>
      </c>
      <c r="T194" s="193" t="str">
        <f>""</f>
        <v/>
      </c>
      <c r="U194" s="193" t="str">
        <f t="shared" ref="U194:U257" si="12">IF(AND(ISNUMBER(B194),ISNUMBER(Q194)),IF(Q194&gt;=B194,Q194-B194,""),"")</f>
        <v/>
      </c>
      <c r="V194" s="193" t="str">
        <f>""</f>
        <v/>
      </c>
      <c r="W194" s="193" t="str">
        <f>""</f>
        <v/>
      </c>
      <c r="X194" s="258" t="str">
        <f t="shared" ref="X194:X257" si="13">IF(ISNUMBER(B194),DATE(YEAR(B194),MONTH(B194),1),"")</f>
        <v/>
      </c>
      <c r="Y194" s="258" t="str">
        <f t="shared" ref="Y194:Y257" si="14">IF(ISNUMBER(Q194),DATE(YEAR(Q194),MONTH(Q194),1),"")</f>
        <v/>
      </c>
      <c r="Z194" s="193" t="str">
        <f>IF(A194="","",IF(COUNTIF('Observaciones-SMP'!$A$2:$A$1001,A194)&gt;1,1,0))</f>
        <v/>
      </c>
      <c r="AA194" s="193" t="str">
        <f t="shared" ref="AA194:AA257" si="15">IF(ISNUMBER(B194),IF(ISNUMBER(Q194),Q194,DATE(YEAR(RPT_MONTH),MONTH(RPT_MONTH)+1,0))-B194,"")</f>
        <v/>
      </c>
    </row>
    <row r="195" spans="1:27" ht="13.5" customHeight="1" x14ac:dyDescent="0.3">
      <c r="A195" s="193" t="str">
        <f>IF('Observaciones-SMP'!A195="","",'Observaciones-SMP'!A195)</f>
        <v/>
      </c>
      <c r="B195" s="257" t="str">
        <f>IF('Observaciones-SMP'!B195="","",'Observaciones-SMP'!B195)</f>
        <v/>
      </c>
      <c r="C195" s="193" t="str">
        <f>IF('Observaciones-SMP'!C195="","",'Observaciones-SMP'!C195)</f>
        <v/>
      </c>
      <c r="D195" s="193" t="str">
        <f>IF('Observaciones-SMP'!D195="","",'Observaciones-SMP'!D195)</f>
        <v/>
      </c>
      <c r="E195" s="193" t="str">
        <f>IF('Observaciones-SMP'!E195="","",'Observaciones-SMP'!E195)</f>
        <v/>
      </c>
      <c r="F195" s="193" t="str">
        <f>IF('Observaciones-SMP'!F195="","",'Observaciones-SMP'!F195)</f>
        <v/>
      </c>
      <c r="G195" s="193" t="str">
        <f>IF('Observaciones-SMP'!G195="","",'Observaciones-SMP'!G195)</f>
        <v/>
      </c>
      <c r="H195" s="193" t="str">
        <f>IF('Observaciones-SMP'!H195="","",'Observaciones-SMP'!H195)</f>
        <v/>
      </c>
      <c r="I195" s="193" t="str">
        <f>IF('Observaciones-SMP'!I195="","",'Observaciones-SMP'!I195)</f>
        <v/>
      </c>
      <c r="J195" s="193" t="str">
        <f>IF('Observaciones-SMP'!J195="","",'Observaciones-SMP'!J195)</f>
        <v/>
      </c>
      <c r="K195" s="193" t="str">
        <f>IF('Observaciones-SMP'!K195="","",'Observaciones-SMP'!K195)</f>
        <v/>
      </c>
      <c r="L195" s="193" t="str">
        <f>IF('Observaciones-SMP'!L195="","",'Observaciones-SMP'!L195)</f>
        <v/>
      </c>
      <c r="M195" s="193" t="str">
        <f>IF('Observaciones-SMP'!M195="","",'Observaciones-SMP'!M195)</f>
        <v/>
      </c>
      <c r="N195" s="193" t="str">
        <f>IF('Observaciones-SMP'!N195="","",'Observaciones-SMP'!N195)</f>
        <v/>
      </c>
      <c r="O195" s="193" t="str">
        <f>IF('Observaciones-SMP'!O195="","",'Observaciones-SMP'!O195)</f>
        <v/>
      </c>
      <c r="P195" s="193" t="str">
        <f>IF('Observaciones-SMP'!P195="","",'Observaciones-SMP'!P195)</f>
        <v/>
      </c>
      <c r="Q195" s="257" t="str">
        <f>IF('Observaciones-SMP'!S195="","",'Observaciones-SMP'!S195)</f>
        <v/>
      </c>
      <c r="R195" s="193" t="str">
        <f>IF('Observaciones-SMP'!T195="","",'Observaciones-SMP'!T195)</f>
        <v/>
      </c>
      <c r="S195" s="193" t="str">
        <f>""</f>
        <v/>
      </c>
      <c r="T195" s="193" t="str">
        <f>""</f>
        <v/>
      </c>
      <c r="U195" s="193" t="str">
        <f t="shared" si="12"/>
        <v/>
      </c>
      <c r="V195" s="193" t="str">
        <f>""</f>
        <v/>
      </c>
      <c r="W195" s="193" t="str">
        <f>""</f>
        <v/>
      </c>
      <c r="X195" s="258" t="str">
        <f t="shared" si="13"/>
        <v/>
      </c>
      <c r="Y195" s="258" t="str">
        <f t="shared" si="14"/>
        <v/>
      </c>
      <c r="Z195" s="193" t="str">
        <f>IF(A195="","",IF(COUNTIF('Observaciones-SMP'!$A$2:$A$1001,A195)&gt;1,1,0))</f>
        <v/>
      </c>
      <c r="AA195" s="193" t="str">
        <f t="shared" si="15"/>
        <v/>
      </c>
    </row>
    <row r="196" spans="1:27" ht="13.5" customHeight="1" x14ac:dyDescent="0.3">
      <c r="A196" s="193" t="str">
        <f>IF('Observaciones-SMP'!A196="","",'Observaciones-SMP'!A196)</f>
        <v/>
      </c>
      <c r="B196" s="257" t="str">
        <f>IF('Observaciones-SMP'!B196="","",'Observaciones-SMP'!B196)</f>
        <v/>
      </c>
      <c r="C196" s="193" t="str">
        <f>IF('Observaciones-SMP'!C196="","",'Observaciones-SMP'!C196)</f>
        <v/>
      </c>
      <c r="D196" s="193" t="str">
        <f>IF('Observaciones-SMP'!D196="","",'Observaciones-SMP'!D196)</f>
        <v/>
      </c>
      <c r="E196" s="193" t="str">
        <f>IF('Observaciones-SMP'!E196="","",'Observaciones-SMP'!E196)</f>
        <v/>
      </c>
      <c r="F196" s="193" t="str">
        <f>IF('Observaciones-SMP'!F196="","",'Observaciones-SMP'!F196)</f>
        <v/>
      </c>
      <c r="G196" s="193" t="str">
        <f>IF('Observaciones-SMP'!G196="","",'Observaciones-SMP'!G196)</f>
        <v/>
      </c>
      <c r="H196" s="193" t="str">
        <f>IF('Observaciones-SMP'!H196="","",'Observaciones-SMP'!H196)</f>
        <v/>
      </c>
      <c r="I196" s="193" t="str">
        <f>IF('Observaciones-SMP'!I196="","",'Observaciones-SMP'!I196)</f>
        <v/>
      </c>
      <c r="J196" s="193" t="str">
        <f>IF('Observaciones-SMP'!J196="","",'Observaciones-SMP'!J196)</f>
        <v/>
      </c>
      <c r="K196" s="193" t="str">
        <f>IF('Observaciones-SMP'!K196="","",'Observaciones-SMP'!K196)</f>
        <v/>
      </c>
      <c r="L196" s="193" t="str">
        <f>IF('Observaciones-SMP'!L196="","",'Observaciones-SMP'!L196)</f>
        <v/>
      </c>
      <c r="M196" s="193" t="str">
        <f>IF('Observaciones-SMP'!M196="","",'Observaciones-SMP'!M196)</f>
        <v/>
      </c>
      <c r="N196" s="193" t="str">
        <f>IF('Observaciones-SMP'!N196="","",'Observaciones-SMP'!N196)</f>
        <v/>
      </c>
      <c r="O196" s="193" t="str">
        <f>IF('Observaciones-SMP'!O196="","",'Observaciones-SMP'!O196)</f>
        <v/>
      </c>
      <c r="P196" s="193" t="str">
        <f>IF('Observaciones-SMP'!P196="","",'Observaciones-SMP'!P196)</f>
        <v/>
      </c>
      <c r="Q196" s="257" t="str">
        <f>IF('Observaciones-SMP'!S196="","",'Observaciones-SMP'!S196)</f>
        <v/>
      </c>
      <c r="R196" s="193" t="str">
        <f>IF('Observaciones-SMP'!T196="","",'Observaciones-SMP'!T196)</f>
        <v/>
      </c>
      <c r="S196" s="193" t="str">
        <f>""</f>
        <v/>
      </c>
      <c r="T196" s="193" t="str">
        <f>""</f>
        <v/>
      </c>
      <c r="U196" s="193" t="str">
        <f t="shared" si="12"/>
        <v/>
      </c>
      <c r="V196" s="193" t="str">
        <f>""</f>
        <v/>
      </c>
      <c r="W196" s="193" t="str">
        <f>""</f>
        <v/>
      </c>
      <c r="X196" s="258" t="str">
        <f t="shared" si="13"/>
        <v/>
      </c>
      <c r="Y196" s="258" t="str">
        <f t="shared" si="14"/>
        <v/>
      </c>
      <c r="Z196" s="193" t="str">
        <f>IF(A196="","",IF(COUNTIF('Observaciones-SMP'!$A$2:$A$1001,A196)&gt;1,1,0))</f>
        <v/>
      </c>
      <c r="AA196" s="193" t="str">
        <f t="shared" si="15"/>
        <v/>
      </c>
    </row>
    <row r="197" spans="1:27" ht="13.5" customHeight="1" x14ac:dyDescent="0.3">
      <c r="A197" s="193" t="str">
        <f>IF('Observaciones-SMP'!A197="","",'Observaciones-SMP'!A197)</f>
        <v/>
      </c>
      <c r="B197" s="257" t="str">
        <f>IF('Observaciones-SMP'!B197="","",'Observaciones-SMP'!B197)</f>
        <v/>
      </c>
      <c r="C197" s="193" t="str">
        <f>IF('Observaciones-SMP'!C197="","",'Observaciones-SMP'!C197)</f>
        <v/>
      </c>
      <c r="D197" s="193" t="str">
        <f>IF('Observaciones-SMP'!D197="","",'Observaciones-SMP'!D197)</f>
        <v/>
      </c>
      <c r="E197" s="193" t="str">
        <f>IF('Observaciones-SMP'!E197="","",'Observaciones-SMP'!E197)</f>
        <v/>
      </c>
      <c r="F197" s="193" t="str">
        <f>IF('Observaciones-SMP'!F197="","",'Observaciones-SMP'!F197)</f>
        <v/>
      </c>
      <c r="G197" s="193" t="str">
        <f>IF('Observaciones-SMP'!G197="","",'Observaciones-SMP'!G197)</f>
        <v/>
      </c>
      <c r="H197" s="193" t="str">
        <f>IF('Observaciones-SMP'!H197="","",'Observaciones-SMP'!H197)</f>
        <v/>
      </c>
      <c r="I197" s="193" t="str">
        <f>IF('Observaciones-SMP'!I197="","",'Observaciones-SMP'!I197)</f>
        <v/>
      </c>
      <c r="J197" s="193" t="str">
        <f>IF('Observaciones-SMP'!J197="","",'Observaciones-SMP'!J197)</f>
        <v/>
      </c>
      <c r="K197" s="193" t="str">
        <f>IF('Observaciones-SMP'!K197="","",'Observaciones-SMP'!K197)</f>
        <v/>
      </c>
      <c r="L197" s="193" t="str">
        <f>IF('Observaciones-SMP'!L197="","",'Observaciones-SMP'!L197)</f>
        <v/>
      </c>
      <c r="M197" s="193" t="str">
        <f>IF('Observaciones-SMP'!M197="","",'Observaciones-SMP'!M197)</f>
        <v/>
      </c>
      <c r="N197" s="193" t="str">
        <f>IF('Observaciones-SMP'!N197="","",'Observaciones-SMP'!N197)</f>
        <v/>
      </c>
      <c r="O197" s="193" t="str">
        <f>IF('Observaciones-SMP'!O197="","",'Observaciones-SMP'!O197)</f>
        <v/>
      </c>
      <c r="P197" s="193" t="str">
        <f>IF('Observaciones-SMP'!P197="","",'Observaciones-SMP'!P197)</f>
        <v/>
      </c>
      <c r="Q197" s="257" t="str">
        <f>IF('Observaciones-SMP'!S197="","",'Observaciones-SMP'!S197)</f>
        <v/>
      </c>
      <c r="R197" s="193" t="str">
        <f>IF('Observaciones-SMP'!T197="","",'Observaciones-SMP'!T197)</f>
        <v/>
      </c>
      <c r="S197" s="193" t="str">
        <f>""</f>
        <v/>
      </c>
      <c r="T197" s="193" t="str">
        <f>""</f>
        <v/>
      </c>
      <c r="U197" s="193" t="str">
        <f t="shared" si="12"/>
        <v/>
      </c>
      <c r="V197" s="193" t="str">
        <f>""</f>
        <v/>
      </c>
      <c r="W197" s="193" t="str">
        <f>""</f>
        <v/>
      </c>
      <c r="X197" s="258" t="str">
        <f t="shared" si="13"/>
        <v/>
      </c>
      <c r="Y197" s="258" t="str">
        <f t="shared" si="14"/>
        <v/>
      </c>
      <c r="Z197" s="193" t="str">
        <f>IF(A197="","",IF(COUNTIF('Observaciones-SMP'!$A$2:$A$1001,A197)&gt;1,1,0))</f>
        <v/>
      </c>
      <c r="AA197" s="193" t="str">
        <f t="shared" si="15"/>
        <v/>
      </c>
    </row>
    <row r="198" spans="1:27" ht="13.5" customHeight="1" x14ac:dyDescent="0.3">
      <c r="A198" s="193" t="str">
        <f>IF('Observaciones-SMP'!A198="","",'Observaciones-SMP'!A198)</f>
        <v/>
      </c>
      <c r="B198" s="257" t="str">
        <f>IF('Observaciones-SMP'!B198="","",'Observaciones-SMP'!B198)</f>
        <v/>
      </c>
      <c r="C198" s="193" t="str">
        <f>IF('Observaciones-SMP'!C198="","",'Observaciones-SMP'!C198)</f>
        <v/>
      </c>
      <c r="D198" s="193" t="str">
        <f>IF('Observaciones-SMP'!D198="","",'Observaciones-SMP'!D198)</f>
        <v/>
      </c>
      <c r="E198" s="193" t="str">
        <f>IF('Observaciones-SMP'!E198="","",'Observaciones-SMP'!E198)</f>
        <v/>
      </c>
      <c r="F198" s="193" t="str">
        <f>IF('Observaciones-SMP'!F198="","",'Observaciones-SMP'!F198)</f>
        <v/>
      </c>
      <c r="G198" s="193" t="str">
        <f>IF('Observaciones-SMP'!G198="","",'Observaciones-SMP'!G198)</f>
        <v/>
      </c>
      <c r="H198" s="193" t="str">
        <f>IF('Observaciones-SMP'!H198="","",'Observaciones-SMP'!H198)</f>
        <v/>
      </c>
      <c r="I198" s="193" t="str">
        <f>IF('Observaciones-SMP'!I198="","",'Observaciones-SMP'!I198)</f>
        <v/>
      </c>
      <c r="J198" s="193" t="str">
        <f>IF('Observaciones-SMP'!J198="","",'Observaciones-SMP'!J198)</f>
        <v/>
      </c>
      <c r="K198" s="193" t="str">
        <f>IF('Observaciones-SMP'!K198="","",'Observaciones-SMP'!K198)</f>
        <v/>
      </c>
      <c r="L198" s="193" t="str">
        <f>IF('Observaciones-SMP'!L198="","",'Observaciones-SMP'!L198)</f>
        <v/>
      </c>
      <c r="M198" s="193" t="str">
        <f>IF('Observaciones-SMP'!M198="","",'Observaciones-SMP'!M198)</f>
        <v/>
      </c>
      <c r="N198" s="193" t="str">
        <f>IF('Observaciones-SMP'!N198="","",'Observaciones-SMP'!N198)</f>
        <v/>
      </c>
      <c r="O198" s="193" t="str">
        <f>IF('Observaciones-SMP'!O198="","",'Observaciones-SMP'!O198)</f>
        <v/>
      </c>
      <c r="P198" s="193" t="str">
        <f>IF('Observaciones-SMP'!P198="","",'Observaciones-SMP'!P198)</f>
        <v/>
      </c>
      <c r="Q198" s="257" t="str">
        <f>IF('Observaciones-SMP'!S198="","",'Observaciones-SMP'!S198)</f>
        <v/>
      </c>
      <c r="R198" s="193" t="str">
        <f>IF('Observaciones-SMP'!T198="","",'Observaciones-SMP'!T198)</f>
        <v/>
      </c>
      <c r="S198" s="193" t="str">
        <f>""</f>
        <v/>
      </c>
      <c r="T198" s="193" t="str">
        <f>""</f>
        <v/>
      </c>
      <c r="U198" s="193" t="str">
        <f t="shared" si="12"/>
        <v/>
      </c>
      <c r="V198" s="193" t="str">
        <f>""</f>
        <v/>
      </c>
      <c r="W198" s="193" t="str">
        <f>""</f>
        <v/>
      </c>
      <c r="X198" s="258" t="str">
        <f t="shared" si="13"/>
        <v/>
      </c>
      <c r="Y198" s="258" t="str">
        <f t="shared" si="14"/>
        <v/>
      </c>
      <c r="Z198" s="193" t="str">
        <f>IF(A198="","",IF(COUNTIF('Observaciones-SMP'!$A$2:$A$1001,A198)&gt;1,1,0))</f>
        <v/>
      </c>
      <c r="AA198" s="193" t="str">
        <f t="shared" si="15"/>
        <v/>
      </c>
    </row>
    <row r="199" spans="1:27" ht="13.5" customHeight="1" x14ac:dyDescent="0.3">
      <c r="A199" s="193" t="str">
        <f>IF('Observaciones-SMP'!A199="","",'Observaciones-SMP'!A199)</f>
        <v/>
      </c>
      <c r="B199" s="257" t="str">
        <f>IF('Observaciones-SMP'!B199="","",'Observaciones-SMP'!B199)</f>
        <v/>
      </c>
      <c r="C199" s="193" t="str">
        <f>IF('Observaciones-SMP'!C199="","",'Observaciones-SMP'!C199)</f>
        <v/>
      </c>
      <c r="D199" s="193" t="str">
        <f>IF('Observaciones-SMP'!D199="","",'Observaciones-SMP'!D199)</f>
        <v/>
      </c>
      <c r="E199" s="193" t="str">
        <f>IF('Observaciones-SMP'!E199="","",'Observaciones-SMP'!E199)</f>
        <v/>
      </c>
      <c r="F199" s="193" t="str">
        <f>IF('Observaciones-SMP'!F199="","",'Observaciones-SMP'!F199)</f>
        <v/>
      </c>
      <c r="G199" s="193" t="str">
        <f>IF('Observaciones-SMP'!G199="","",'Observaciones-SMP'!G199)</f>
        <v/>
      </c>
      <c r="H199" s="193" t="str">
        <f>IF('Observaciones-SMP'!H199="","",'Observaciones-SMP'!H199)</f>
        <v/>
      </c>
      <c r="I199" s="193" t="str">
        <f>IF('Observaciones-SMP'!I199="","",'Observaciones-SMP'!I199)</f>
        <v/>
      </c>
      <c r="J199" s="193" t="str">
        <f>IF('Observaciones-SMP'!J199="","",'Observaciones-SMP'!J199)</f>
        <v/>
      </c>
      <c r="K199" s="193" t="str">
        <f>IF('Observaciones-SMP'!K199="","",'Observaciones-SMP'!K199)</f>
        <v/>
      </c>
      <c r="L199" s="193" t="str">
        <f>IF('Observaciones-SMP'!L199="","",'Observaciones-SMP'!L199)</f>
        <v/>
      </c>
      <c r="M199" s="193" t="str">
        <f>IF('Observaciones-SMP'!M199="","",'Observaciones-SMP'!M199)</f>
        <v/>
      </c>
      <c r="N199" s="193" t="str">
        <f>IF('Observaciones-SMP'!N199="","",'Observaciones-SMP'!N199)</f>
        <v/>
      </c>
      <c r="O199" s="193" t="str">
        <f>IF('Observaciones-SMP'!O199="","",'Observaciones-SMP'!O199)</f>
        <v/>
      </c>
      <c r="P199" s="193" t="str">
        <f>IF('Observaciones-SMP'!P199="","",'Observaciones-SMP'!P199)</f>
        <v/>
      </c>
      <c r="Q199" s="257" t="str">
        <f>IF('Observaciones-SMP'!S199="","",'Observaciones-SMP'!S199)</f>
        <v/>
      </c>
      <c r="R199" s="193" t="str">
        <f>IF('Observaciones-SMP'!T199="","",'Observaciones-SMP'!T199)</f>
        <v/>
      </c>
      <c r="S199" s="193" t="str">
        <f>""</f>
        <v/>
      </c>
      <c r="T199" s="193" t="str">
        <f>""</f>
        <v/>
      </c>
      <c r="U199" s="193" t="str">
        <f t="shared" si="12"/>
        <v/>
      </c>
      <c r="V199" s="193" t="str">
        <f>""</f>
        <v/>
      </c>
      <c r="W199" s="193" t="str">
        <f>""</f>
        <v/>
      </c>
      <c r="X199" s="258" t="str">
        <f t="shared" si="13"/>
        <v/>
      </c>
      <c r="Y199" s="258" t="str">
        <f t="shared" si="14"/>
        <v/>
      </c>
      <c r="Z199" s="193" t="str">
        <f>IF(A199="","",IF(COUNTIF('Observaciones-SMP'!$A$2:$A$1001,A199)&gt;1,1,0))</f>
        <v/>
      </c>
      <c r="AA199" s="193" t="str">
        <f t="shared" si="15"/>
        <v/>
      </c>
    </row>
    <row r="200" spans="1:27" ht="13.5" customHeight="1" x14ac:dyDescent="0.3">
      <c r="A200" s="193" t="str">
        <f>IF('Observaciones-SMP'!A200="","",'Observaciones-SMP'!A200)</f>
        <v/>
      </c>
      <c r="B200" s="257" t="str">
        <f>IF('Observaciones-SMP'!B200="","",'Observaciones-SMP'!B200)</f>
        <v/>
      </c>
      <c r="C200" s="193" t="str">
        <f>IF('Observaciones-SMP'!C200="","",'Observaciones-SMP'!C200)</f>
        <v/>
      </c>
      <c r="D200" s="193" t="str">
        <f>IF('Observaciones-SMP'!D200="","",'Observaciones-SMP'!D200)</f>
        <v/>
      </c>
      <c r="E200" s="193" t="str">
        <f>IF('Observaciones-SMP'!E200="","",'Observaciones-SMP'!E200)</f>
        <v/>
      </c>
      <c r="F200" s="193" t="str">
        <f>IF('Observaciones-SMP'!F200="","",'Observaciones-SMP'!F200)</f>
        <v/>
      </c>
      <c r="G200" s="193" t="str">
        <f>IF('Observaciones-SMP'!G200="","",'Observaciones-SMP'!G200)</f>
        <v/>
      </c>
      <c r="H200" s="193" t="str">
        <f>IF('Observaciones-SMP'!H200="","",'Observaciones-SMP'!H200)</f>
        <v/>
      </c>
      <c r="I200" s="193" t="str">
        <f>IF('Observaciones-SMP'!I200="","",'Observaciones-SMP'!I200)</f>
        <v/>
      </c>
      <c r="J200" s="193" t="str">
        <f>IF('Observaciones-SMP'!J200="","",'Observaciones-SMP'!J200)</f>
        <v/>
      </c>
      <c r="K200" s="193" t="str">
        <f>IF('Observaciones-SMP'!K200="","",'Observaciones-SMP'!K200)</f>
        <v/>
      </c>
      <c r="L200" s="193" t="str">
        <f>IF('Observaciones-SMP'!L200="","",'Observaciones-SMP'!L200)</f>
        <v/>
      </c>
      <c r="M200" s="193" t="str">
        <f>IF('Observaciones-SMP'!M200="","",'Observaciones-SMP'!M200)</f>
        <v/>
      </c>
      <c r="N200" s="193" t="str">
        <f>IF('Observaciones-SMP'!N200="","",'Observaciones-SMP'!N200)</f>
        <v/>
      </c>
      <c r="O200" s="193" t="str">
        <f>IF('Observaciones-SMP'!O200="","",'Observaciones-SMP'!O200)</f>
        <v/>
      </c>
      <c r="P200" s="193" t="str">
        <f>IF('Observaciones-SMP'!P200="","",'Observaciones-SMP'!P200)</f>
        <v/>
      </c>
      <c r="Q200" s="257" t="str">
        <f>IF('Observaciones-SMP'!S200="","",'Observaciones-SMP'!S200)</f>
        <v/>
      </c>
      <c r="R200" s="193" t="str">
        <f>IF('Observaciones-SMP'!T200="","",'Observaciones-SMP'!T200)</f>
        <v/>
      </c>
      <c r="S200" s="193" t="str">
        <f>""</f>
        <v/>
      </c>
      <c r="T200" s="193" t="str">
        <f>""</f>
        <v/>
      </c>
      <c r="U200" s="193" t="str">
        <f t="shared" si="12"/>
        <v/>
      </c>
      <c r="V200" s="193" t="str">
        <f>""</f>
        <v/>
      </c>
      <c r="W200" s="193" t="str">
        <f>""</f>
        <v/>
      </c>
      <c r="X200" s="258" t="str">
        <f t="shared" si="13"/>
        <v/>
      </c>
      <c r="Y200" s="258" t="str">
        <f t="shared" si="14"/>
        <v/>
      </c>
      <c r="Z200" s="193" t="str">
        <f>IF(A200="","",IF(COUNTIF('Observaciones-SMP'!$A$2:$A$1001,A200)&gt;1,1,0))</f>
        <v/>
      </c>
      <c r="AA200" s="193" t="str">
        <f t="shared" si="15"/>
        <v/>
      </c>
    </row>
    <row r="201" spans="1:27" ht="13.5" customHeight="1" x14ac:dyDescent="0.3">
      <c r="A201" s="193" t="str">
        <f>IF('Observaciones-SMP'!A201="","",'Observaciones-SMP'!A201)</f>
        <v/>
      </c>
      <c r="B201" s="257" t="str">
        <f>IF('Observaciones-SMP'!B201="","",'Observaciones-SMP'!B201)</f>
        <v/>
      </c>
      <c r="C201" s="193" t="str">
        <f>IF('Observaciones-SMP'!C201="","",'Observaciones-SMP'!C201)</f>
        <v/>
      </c>
      <c r="D201" s="193" t="str">
        <f>IF('Observaciones-SMP'!D201="","",'Observaciones-SMP'!D201)</f>
        <v/>
      </c>
      <c r="E201" s="193" t="str">
        <f>IF('Observaciones-SMP'!E201="","",'Observaciones-SMP'!E201)</f>
        <v/>
      </c>
      <c r="F201" s="193" t="str">
        <f>IF('Observaciones-SMP'!F201="","",'Observaciones-SMP'!F201)</f>
        <v/>
      </c>
      <c r="G201" s="193" t="str">
        <f>IF('Observaciones-SMP'!G201="","",'Observaciones-SMP'!G201)</f>
        <v/>
      </c>
      <c r="H201" s="193" t="str">
        <f>IF('Observaciones-SMP'!H201="","",'Observaciones-SMP'!H201)</f>
        <v/>
      </c>
      <c r="I201" s="193" t="str">
        <f>IF('Observaciones-SMP'!I201="","",'Observaciones-SMP'!I201)</f>
        <v/>
      </c>
      <c r="J201" s="193" t="str">
        <f>IF('Observaciones-SMP'!J201="","",'Observaciones-SMP'!J201)</f>
        <v/>
      </c>
      <c r="K201" s="193" t="str">
        <f>IF('Observaciones-SMP'!K201="","",'Observaciones-SMP'!K201)</f>
        <v/>
      </c>
      <c r="L201" s="193" t="str">
        <f>IF('Observaciones-SMP'!L201="","",'Observaciones-SMP'!L201)</f>
        <v/>
      </c>
      <c r="M201" s="193" t="str">
        <f>IF('Observaciones-SMP'!M201="","",'Observaciones-SMP'!M201)</f>
        <v/>
      </c>
      <c r="N201" s="193" t="str">
        <f>IF('Observaciones-SMP'!N201="","",'Observaciones-SMP'!N201)</f>
        <v/>
      </c>
      <c r="O201" s="193" t="str">
        <f>IF('Observaciones-SMP'!O201="","",'Observaciones-SMP'!O201)</f>
        <v/>
      </c>
      <c r="P201" s="193" t="str">
        <f>IF('Observaciones-SMP'!P201="","",'Observaciones-SMP'!P201)</f>
        <v/>
      </c>
      <c r="Q201" s="257" t="str">
        <f>IF('Observaciones-SMP'!S201="","",'Observaciones-SMP'!S201)</f>
        <v/>
      </c>
      <c r="R201" s="193" t="str">
        <f>IF('Observaciones-SMP'!T201="","",'Observaciones-SMP'!T201)</f>
        <v/>
      </c>
      <c r="S201" s="193" t="str">
        <f>""</f>
        <v/>
      </c>
      <c r="T201" s="193" t="str">
        <f>""</f>
        <v/>
      </c>
      <c r="U201" s="193" t="str">
        <f t="shared" si="12"/>
        <v/>
      </c>
      <c r="V201" s="193" t="str">
        <f>""</f>
        <v/>
      </c>
      <c r="W201" s="193" t="str">
        <f>""</f>
        <v/>
      </c>
      <c r="X201" s="258" t="str">
        <f t="shared" si="13"/>
        <v/>
      </c>
      <c r="Y201" s="258" t="str">
        <f t="shared" si="14"/>
        <v/>
      </c>
      <c r="Z201" s="193" t="str">
        <f>IF(A201="","",IF(COUNTIF('Observaciones-SMP'!$A$2:$A$1001,A201)&gt;1,1,0))</f>
        <v/>
      </c>
      <c r="AA201" s="193" t="str">
        <f t="shared" si="15"/>
        <v/>
      </c>
    </row>
    <row r="202" spans="1:27" ht="13.5" customHeight="1" x14ac:dyDescent="0.3">
      <c r="A202" s="193" t="str">
        <f>IF('Observaciones-SMP'!A202="","",'Observaciones-SMP'!A202)</f>
        <v/>
      </c>
      <c r="B202" s="257" t="str">
        <f>IF('Observaciones-SMP'!B202="","",'Observaciones-SMP'!B202)</f>
        <v/>
      </c>
      <c r="C202" s="193" t="str">
        <f>IF('Observaciones-SMP'!C202="","",'Observaciones-SMP'!C202)</f>
        <v/>
      </c>
      <c r="D202" s="193" t="str">
        <f>IF('Observaciones-SMP'!D202="","",'Observaciones-SMP'!D202)</f>
        <v/>
      </c>
      <c r="E202" s="193" t="str">
        <f>IF('Observaciones-SMP'!E202="","",'Observaciones-SMP'!E202)</f>
        <v/>
      </c>
      <c r="F202" s="193" t="str">
        <f>IF('Observaciones-SMP'!F202="","",'Observaciones-SMP'!F202)</f>
        <v/>
      </c>
      <c r="G202" s="193" t="str">
        <f>IF('Observaciones-SMP'!G202="","",'Observaciones-SMP'!G202)</f>
        <v/>
      </c>
      <c r="H202" s="193" t="str">
        <f>IF('Observaciones-SMP'!H202="","",'Observaciones-SMP'!H202)</f>
        <v/>
      </c>
      <c r="I202" s="193" t="str">
        <f>IF('Observaciones-SMP'!I202="","",'Observaciones-SMP'!I202)</f>
        <v/>
      </c>
      <c r="J202" s="193" t="str">
        <f>IF('Observaciones-SMP'!J202="","",'Observaciones-SMP'!J202)</f>
        <v/>
      </c>
      <c r="K202" s="193" t="str">
        <f>IF('Observaciones-SMP'!K202="","",'Observaciones-SMP'!K202)</f>
        <v/>
      </c>
      <c r="L202" s="193" t="str">
        <f>IF('Observaciones-SMP'!L202="","",'Observaciones-SMP'!L202)</f>
        <v/>
      </c>
      <c r="M202" s="193" t="str">
        <f>IF('Observaciones-SMP'!M202="","",'Observaciones-SMP'!M202)</f>
        <v/>
      </c>
      <c r="N202" s="193" t="str">
        <f>IF('Observaciones-SMP'!N202="","",'Observaciones-SMP'!N202)</f>
        <v/>
      </c>
      <c r="O202" s="193" t="str">
        <f>IF('Observaciones-SMP'!O202="","",'Observaciones-SMP'!O202)</f>
        <v/>
      </c>
      <c r="P202" s="193" t="str">
        <f>IF('Observaciones-SMP'!P202="","",'Observaciones-SMP'!P202)</f>
        <v/>
      </c>
      <c r="Q202" s="257" t="str">
        <f>IF('Observaciones-SMP'!S202="","",'Observaciones-SMP'!S202)</f>
        <v/>
      </c>
      <c r="R202" s="193" t="str">
        <f>IF('Observaciones-SMP'!T202="","",'Observaciones-SMP'!T202)</f>
        <v/>
      </c>
      <c r="S202" s="193" t="str">
        <f>""</f>
        <v/>
      </c>
      <c r="T202" s="193" t="str">
        <f>""</f>
        <v/>
      </c>
      <c r="U202" s="193" t="str">
        <f t="shared" si="12"/>
        <v/>
      </c>
      <c r="V202" s="193" t="str">
        <f>""</f>
        <v/>
      </c>
      <c r="W202" s="193" t="str">
        <f>""</f>
        <v/>
      </c>
      <c r="X202" s="258" t="str">
        <f t="shared" si="13"/>
        <v/>
      </c>
      <c r="Y202" s="258" t="str">
        <f t="shared" si="14"/>
        <v/>
      </c>
      <c r="Z202" s="193" t="str">
        <f>IF(A202="","",IF(COUNTIF('Observaciones-SMP'!$A$2:$A$1001,A202)&gt;1,1,0))</f>
        <v/>
      </c>
      <c r="AA202" s="193" t="str">
        <f t="shared" si="15"/>
        <v/>
      </c>
    </row>
    <row r="203" spans="1:27" ht="13.5" customHeight="1" x14ac:dyDescent="0.3">
      <c r="A203" s="193" t="str">
        <f>IF('Observaciones-SMP'!A203="","",'Observaciones-SMP'!A203)</f>
        <v/>
      </c>
      <c r="B203" s="257" t="str">
        <f>IF('Observaciones-SMP'!B203="","",'Observaciones-SMP'!B203)</f>
        <v/>
      </c>
      <c r="C203" s="193" t="str">
        <f>IF('Observaciones-SMP'!C203="","",'Observaciones-SMP'!C203)</f>
        <v/>
      </c>
      <c r="D203" s="193" t="str">
        <f>IF('Observaciones-SMP'!D203="","",'Observaciones-SMP'!D203)</f>
        <v/>
      </c>
      <c r="E203" s="193" t="str">
        <f>IF('Observaciones-SMP'!E203="","",'Observaciones-SMP'!E203)</f>
        <v/>
      </c>
      <c r="F203" s="193" t="str">
        <f>IF('Observaciones-SMP'!F203="","",'Observaciones-SMP'!F203)</f>
        <v/>
      </c>
      <c r="G203" s="193" t="str">
        <f>IF('Observaciones-SMP'!G203="","",'Observaciones-SMP'!G203)</f>
        <v/>
      </c>
      <c r="H203" s="193" t="str">
        <f>IF('Observaciones-SMP'!H203="","",'Observaciones-SMP'!H203)</f>
        <v/>
      </c>
      <c r="I203" s="193" t="str">
        <f>IF('Observaciones-SMP'!I203="","",'Observaciones-SMP'!I203)</f>
        <v/>
      </c>
      <c r="J203" s="193" t="str">
        <f>IF('Observaciones-SMP'!J203="","",'Observaciones-SMP'!J203)</f>
        <v/>
      </c>
      <c r="K203" s="193" t="str">
        <f>IF('Observaciones-SMP'!K203="","",'Observaciones-SMP'!K203)</f>
        <v/>
      </c>
      <c r="L203" s="193" t="str">
        <f>IF('Observaciones-SMP'!L203="","",'Observaciones-SMP'!L203)</f>
        <v/>
      </c>
      <c r="M203" s="193" t="str">
        <f>IF('Observaciones-SMP'!M203="","",'Observaciones-SMP'!M203)</f>
        <v/>
      </c>
      <c r="N203" s="193" t="str">
        <f>IF('Observaciones-SMP'!N203="","",'Observaciones-SMP'!N203)</f>
        <v/>
      </c>
      <c r="O203" s="193" t="str">
        <f>IF('Observaciones-SMP'!O203="","",'Observaciones-SMP'!O203)</f>
        <v/>
      </c>
      <c r="P203" s="193" t="str">
        <f>IF('Observaciones-SMP'!P203="","",'Observaciones-SMP'!P203)</f>
        <v/>
      </c>
      <c r="Q203" s="257" t="str">
        <f>IF('Observaciones-SMP'!S203="","",'Observaciones-SMP'!S203)</f>
        <v/>
      </c>
      <c r="R203" s="193" t="str">
        <f>IF('Observaciones-SMP'!T203="","",'Observaciones-SMP'!T203)</f>
        <v/>
      </c>
      <c r="S203" s="193" t="str">
        <f>""</f>
        <v/>
      </c>
      <c r="T203" s="193" t="str">
        <f>""</f>
        <v/>
      </c>
      <c r="U203" s="193" t="str">
        <f t="shared" si="12"/>
        <v/>
      </c>
      <c r="V203" s="193" t="str">
        <f>""</f>
        <v/>
      </c>
      <c r="W203" s="193" t="str">
        <f>""</f>
        <v/>
      </c>
      <c r="X203" s="258" t="str">
        <f t="shared" si="13"/>
        <v/>
      </c>
      <c r="Y203" s="258" t="str">
        <f t="shared" si="14"/>
        <v/>
      </c>
      <c r="Z203" s="193" t="str">
        <f>IF(A203="","",IF(COUNTIF('Observaciones-SMP'!$A$2:$A$1001,A203)&gt;1,1,0))</f>
        <v/>
      </c>
      <c r="AA203" s="193" t="str">
        <f t="shared" si="15"/>
        <v/>
      </c>
    </row>
    <row r="204" spans="1:27" ht="13.5" customHeight="1" x14ac:dyDescent="0.3">
      <c r="A204" s="193" t="str">
        <f>IF('Observaciones-SMP'!A204="","",'Observaciones-SMP'!A204)</f>
        <v/>
      </c>
      <c r="B204" s="257" t="str">
        <f>IF('Observaciones-SMP'!B204="","",'Observaciones-SMP'!B204)</f>
        <v/>
      </c>
      <c r="C204" s="193" t="str">
        <f>IF('Observaciones-SMP'!C204="","",'Observaciones-SMP'!C204)</f>
        <v/>
      </c>
      <c r="D204" s="193" t="str">
        <f>IF('Observaciones-SMP'!D204="","",'Observaciones-SMP'!D204)</f>
        <v/>
      </c>
      <c r="E204" s="193" t="str">
        <f>IF('Observaciones-SMP'!E204="","",'Observaciones-SMP'!E204)</f>
        <v/>
      </c>
      <c r="F204" s="193" t="str">
        <f>IF('Observaciones-SMP'!F204="","",'Observaciones-SMP'!F204)</f>
        <v/>
      </c>
      <c r="G204" s="193" t="str">
        <f>IF('Observaciones-SMP'!G204="","",'Observaciones-SMP'!G204)</f>
        <v/>
      </c>
      <c r="H204" s="193" t="str">
        <f>IF('Observaciones-SMP'!H204="","",'Observaciones-SMP'!H204)</f>
        <v/>
      </c>
      <c r="I204" s="193" t="str">
        <f>IF('Observaciones-SMP'!I204="","",'Observaciones-SMP'!I204)</f>
        <v/>
      </c>
      <c r="J204" s="193" t="str">
        <f>IF('Observaciones-SMP'!J204="","",'Observaciones-SMP'!J204)</f>
        <v/>
      </c>
      <c r="K204" s="193" t="str">
        <f>IF('Observaciones-SMP'!K204="","",'Observaciones-SMP'!K204)</f>
        <v/>
      </c>
      <c r="L204" s="193" t="str">
        <f>IF('Observaciones-SMP'!L204="","",'Observaciones-SMP'!L204)</f>
        <v/>
      </c>
      <c r="M204" s="193" t="str">
        <f>IF('Observaciones-SMP'!M204="","",'Observaciones-SMP'!M204)</f>
        <v/>
      </c>
      <c r="N204" s="193" t="str">
        <f>IF('Observaciones-SMP'!N204="","",'Observaciones-SMP'!N204)</f>
        <v/>
      </c>
      <c r="O204" s="193" t="str">
        <f>IF('Observaciones-SMP'!O204="","",'Observaciones-SMP'!O204)</f>
        <v/>
      </c>
      <c r="P204" s="193" t="str">
        <f>IF('Observaciones-SMP'!P204="","",'Observaciones-SMP'!P204)</f>
        <v/>
      </c>
      <c r="Q204" s="257" t="str">
        <f>IF('Observaciones-SMP'!S204="","",'Observaciones-SMP'!S204)</f>
        <v/>
      </c>
      <c r="R204" s="193" t="str">
        <f>IF('Observaciones-SMP'!T204="","",'Observaciones-SMP'!T204)</f>
        <v/>
      </c>
      <c r="S204" s="193" t="str">
        <f>""</f>
        <v/>
      </c>
      <c r="T204" s="193" t="str">
        <f>""</f>
        <v/>
      </c>
      <c r="U204" s="193" t="str">
        <f t="shared" si="12"/>
        <v/>
      </c>
      <c r="V204" s="193" t="str">
        <f>""</f>
        <v/>
      </c>
      <c r="W204" s="193" t="str">
        <f>""</f>
        <v/>
      </c>
      <c r="X204" s="258" t="str">
        <f t="shared" si="13"/>
        <v/>
      </c>
      <c r="Y204" s="258" t="str">
        <f t="shared" si="14"/>
        <v/>
      </c>
      <c r="Z204" s="193" t="str">
        <f>IF(A204="","",IF(COUNTIF('Observaciones-SMP'!$A$2:$A$1001,A204)&gt;1,1,0))</f>
        <v/>
      </c>
      <c r="AA204" s="193" t="str">
        <f t="shared" si="15"/>
        <v/>
      </c>
    </row>
    <row r="205" spans="1:27" ht="13.5" customHeight="1" x14ac:dyDescent="0.3">
      <c r="A205" s="193" t="str">
        <f>IF('Observaciones-SMP'!A205="","",'Observaciones-SMP'!A205)</f>
        <v/>
      </c>
      <c r="B205" s="257" t="str">
        <f>IF('Observaciones-SMP'!B205="","",'Observaciones-SMP'!B205)</f>
        <v/>
      </c>
      <c r="C205" s="193" t="str">
        <f>IF('Observaciones-SMP'!C205="","",'Observaciones-SMP'!C205)</f>
        <v/>
      </c>
      <c r="D205" s="193" t="str">
        <f>IF('Observaciones-SMP'!D205="","",'Observaciones-SMP'!D205)</f>
        <v/>
      </c>
      <c r="E205" s="193" t="str">
        <f>IF('Observaciones-SMP'!E205="","",'Observaciones-SMP'!E205)</f>
        <v/>
      </c>
      <c r="F205" s="193" t="str">
        <f>IF('Observaciones-SMP'!F205="","",'Observaciones-SMP'!F205)</f>
        <v/>
      </c>
      <c r="G205" s="193" t="str">
        <f>IF('Observaciones-SMP'!G205="","",'Observaciones-SMP'!G205)</f>
        <v/>
      </c>
      <c r="H205" s="193" t="str">
        <f>IF('Observaciones-SMP'!H205="","",'Observaciones-SMP'!H205)</f>
        <v/>
      </c>
      <c r="I205" s="193" t="str">
        <f>IF('Observaciones-SMP'!I205="","",'Observaciones-SMP'!I205)</f>
        <v/>
      </c>
      <c r="J205" s="193" t="str">
        <f>IF('Observaciones-SMP'!J205="","",'Observaciones-SMP'!J205)</f>
        <v/>
      </c>
      <c r="K205" s="193" t="str">
        <f>IF('Observaciones-SMP'!K205="","",'Observaciones-SMP'!K205)</f>
        <v/>
      </c>
      <c r="L205" s="193" t="str">
        <f>IF('Observaciones-SMP'!L205="","",'Observaciones-SMP'!L205)</f>
        <v/>
      </c>
      <c r="M205" s="193" t="str">
        <f>IF('Observaciones-SMP'!M205="","",'Observaciones-SMP'!M205)</f>
        <v/>
      </c>
      <c r="N205" s="193" t="str">
        <f>IF('Observaciones-SMP'!N205="","",'Observaciones-SMP'!N205)</f>
        <v/>
      </c>
      <c r="O205" s="193" t="str">
        <f>IF('Observaciones-SMP'!O205="","",'Observaciones-SMP'!O205)</f>
        <v/>
      </c>
      <c r="P205" s="193" t="str">
        <f>IF('Observaciones-SMP'!P205="","",'Observaciones-SMP'!P205)</f>
        <v/>
      </c>
      <c r="Q205" s="257" t="str">
        <f>IF('Observaciones-SMP'!S205="","",'Observaciones-SMP'!S205)</f>
        <v/>
      </c>
      <c r="R205" s="193" t="str">
        <f>IF('Observaciones-SMP'!T205="","",'Observaciones-SMP'!T205)</f>
        <v/>
      </c>
      <c r="S205" s="193" t="str">
        <f>""</f>
        <v/>
      </c>
      <c r="T205" s="193" t="str">
        <f>""</f>
        <v/>
      </c>
      <c r="U205" s="193" t="str">
        <f t="shared" si="12"/>
        <v/>
      </c>
      <c r="V205" s="193" t="str">
        <f>""</f>
        <v/>
      </c>
      <c r="W205" s="193" t="str">
        <f>""</f>
        <v/>
      </c>
      <c r="X205" s="258" t="str">
        <f t="shared" si="13"/>
        <v/>
      </c>
      <c r="Y205" s="258" t="str">
        <f t="shared" si="14"/>
        <v/>
      </c>
      <c r="Z205" s="193" t="str">
        <f>IF(A205="","",IF(COUNTIF('Observaciones-SMP'!$A$2:$A$1001,A205)&gt;1,1,0))</f>
        <v/>
      </c>
      <c r="AA205" s="193" t="str">
        <f t="shared" si="15"/>
        <v/>
      </c>
    </row>
    <row r="206" spans="1:27" ht="13.5" customHeight="1" x14ac:dyDescent="0.3">
      <c r="A206" s="193" t="str">
        <f>IF('Observaciones-SMP'!A206="","",'Observaciones-SMP'!A206)</f>
        <v/>
      </c>
      <c r="B206" s="257" t="str">
        <f>IF('Observaciones-SMP'!B206="","",'Observaciones-SMP'!B206)</f>
        <v/>
      </c>
      <c r="C206" s="193" t="str">
        <f>IF('Observaciones-SMP'!C206="","",'Observaciones-SMP'!C206)</f>
        <v/>
      </c>
      <c r="D206" s="193" t="str">
        <f>IF('Observaciones-SMP'!D206="","",'Observaciones-SMP'!D206)</f>
        <v/>
      </c>
      <c r="E206" s="193" t="str">
        <f>IF('Observaciones-SMP'!E206="","",'Observaciones-SMP'!E206)</f>
        <v/>
      </c>
      <c r="F206" s="193" t="str">
        <f>IF('Observaciones-SMP'!F206="","",'Observaciones-SMP'!F206)</f>
        <v/>
      </c>
      <c r="G206" s="193" t="str">
        <f>IF('Observaciones-SMP'!G206="","",'Observaciones-SMP'!G206)</f>
        <v/>
      </c>
      <c r="H206" s="193" t="str">
        <f>IF('Observaciones-SMP'!H206="","",'Observaciones-SMP'!H206)</f>
        <v/>
      </c>
      <c r="I206" s="193" t="str">
        <f>IF('Observaciones-SMP'!I206="","",'Observaciones-SMP'!I206)</f>
        <v/>
      </c>
      <c r="J206" s="193" t="str">
        <f>IF('Observaciones-SMP'!J206="","",'Observaciones-SMP'!J206)</f>
        <v/>
      </c>
      <c r="K206" s="193" t="str">
        <f>IF('Observaciones-SMP'!K206="","",'Observaciones-SMP'!K206)</f>
        <v/>
      </c>
      <c r="L206" s="193" t="str">
        <f>IF('Observaciones-SMP'!L206="","",'Observaciones-SMP'!L206)</f>
        <v/>
      </c>
      <c r="M206" s="193" t="str">
        <f>IF('Observaciones-SMP'!M206="","",'Observaciones-SMP'!M206)</f>
        <v/>
      </c>
      <c r="N206" s="193" t="str">
        <f>IF('Observaciones-SMP'!N206="","",'Observaciones-SMP'!N206)</f>
        <v/>
      </c>
      <c r="O206" s="193" t="str">
        <f>IF('Observaciones-SMP'!O206="","",'Observaciones-SMP'!O206)</f>
        <v/>
      </c>
      <c r="P206" s="193" t="str">
        <f>IF('Observaciones-SMP'!P206="","",'Observaciones-SMP'!P206)</f>
        <v/>
      </c>
      <c r="Q206" s="257" t="str">
        <f>IF('Observaciones-SMP'!S206="","",'Observaciones-SMP'!S206)</f>
        <v/>
      </c>
      <c r="R206" s="193" t="str">
        <f>IF('Observaciones-SMP'!T206="","",'Observaciones-SMP'!T206)</f>
        <v/>
      </c>
      <c r="S206" s="193" t="str">
        <f>""</f>
        <v/>
      </c>
      <c r="T206" s="193" t="str">
        <f>""</f>
        <v/>
      </c>
      <c r="U206" s="193" t="str">
        <f t="shared" si="12"/>
        <v/>
      </c>
      <c r="V206" s="193" t="str">
        <f>""</f>
        <v/>
      </c>
      <c r="W206" s="193" t="str">
        <f>""</f>
        <v/>
      </c>
      <c r="X206" s="258" t="str">
        <f t="shared" si="13"/>
        <v/>
      </c>
      <c r="Y206" s="258" t="str">
        <f t="shared" si="14"/>
        <v/>
      </c>
      <c r="Z206" s="193" t="str">
        <f>IF(A206="","",IF(COUNTIF('Observaciones-SMP'!$A$2:$A$1001,A206)&gt;1,1,0))</f>
        <v/>
      </c>
      <c r="AA206" s="193" t="str">
        <f t="shared" si="15"/>
        <v/>
      </c>
    </row>
    <row r="207" spans="1:27" ht="13.5" customHeight="1" x14ac:dyDescent="0.3">
      <c r="A207" s="193" t="str">
        <f>IF('Observaciones-SMP'!A207="","",'Observaciones-SMP'!A207)</f>
        <v/>
      </c>
      <c r="B207" s="257" t="str">
        <f>IF('Observaciones-SMP'!B207="","",'Observaciones-SMP'!B207)</f>
        <v/>
      </c>
      <c r="C207" s="193" t="str">
        <f>IF('Observaciones-SMP'!C207="","",'Observaciones-SMP'!C207)</f>
        <v/>
      </c>
      <c r="D207" s="193" t="str">
        <f>IF('Observaciones-SMP'!D207="","",'Observaciones-SMP'!D207)</f>
        <v/>
      </c>
      <c r="E207" s="193" t="str">
        <f>IF('Observaciones-SMP'!E207="","",'Observaciones-SMP'!E207)</f>
        <v/>
      </c>
      <c r="F207" s="193" t="str">
        <f>IF('Observaciones-SMP'!F207="","",'Observaciones-SMP'!F207)</f>
        <v/>
      </c>
      <c r="G207" s="193" t="str">
        <f>IF('Observaciones-SMP'!G207="","",'Observaciones-SMP'!G207)</f>
        <v/>
      </c>
      <c r="H207" s="193" t="str">
        <f>IF('Observaciones-SMP'!H207="","",'Observaciones-SMP'!H207)</f>
        <v/>
      </c>
      <c r="I207" s="193" t="str">
        <f>IF('Observaciones-SMP'!I207="","",'Observaciones-SMP'!I207)</f>
        <v/>
      </c>
      <c r="J207" s="193" t="str">
        <f>IF('Observaciones-SMP'!J207="","",'Observaciones-SMP'!J207)</f>
        <v/>
      </c>
      <c r="K207" s="193" t="str">
        <f>IF('Observaciones-SMP'!K207="","",'Observaciones-SMP'!K207)</f>
        <v/>
      </c>
      <c r="L207" s="193" t="str">
        <f>IF('Observaciones-SMP'!L207="","",'Observaciones-SMP'!L207)</f>
        <v/>
      </c>
      <c r="M207" s="193" t="str">
        <f>IF('Observaciones-SMP'!M207="","",'Observaciones-SMP'!M207)</f>
        <v/>
      </c>
      <c r="N207" s="193" t="str">
        <f>IF('Observaciones-SMP'!N207="","",'Observaciones-SMP'!N207)</f>
        <v/>
      </c>
      <c r="O207" s="193" t="str">
        <f>IF('Observaciones-SMP'!O207="","",'Observaciones-SMP'!O207)</f>
        <v/>
      </c>
      <c r="P207" s="193" t="str">
        <f>IF('Observaciones-SMP'!P207="","",'Observaciones-SMP'!P207)</f>
        <v/>
      </c>
      <c r="Q207" s="257" t="str">
        <f>IF('Observaciones-SMP'!S207="","",'Observaciones-SMP'!S207)</f>
        <v/>
      </c>
      <c r="R207" s="193" t="str">
        <f>IF('Observaciones-SMP'!T207="","",'Observaciones-SMP'!T207)</f>
        <v/>
      </c>
      <c r="S207" s="193" t="str">
        <f>""</f>
        <v/>
      </c>
      <c r="T207" s="193" t="str">
        <f>""</f>
        <v/>
      </c>
      <c r="U207" s="193" t="str">
        <f t="shared" si="12"/>
        <v/>
      </c>
      <c r="V207" s="193" t="str">
        <f>""</f>
        <v/>
      </c>
      <c r="W207" s="193" t="str">
        <f>""</f>
        <v/>
      </c>
      <c r="X207" s="258" t="str">
        <f t="shared" si="13"/>
        <v/>
      </c>
      <c r="Y207" s="258" t="str">
        <f t="shared" si="14"/>
        <v/>
      </c>
      <c r="Z207" s="193" t="str">
        <f>IF(A207="","",IF(COUNTIF('Observaciones-SMP'!$A$2:$A$1001,A207)&gt;1,1,0))</f>
        <v/>
      </c>
      <c r="AA207" s="193" t="str">
        <f t="shared" si="15"/>
        <v/>
      </c>
    </row>
    <row r="208" spans="1:27" ht="13.5" customHeight="1" x14ac:dyDescent="0.3">
      <c r="A208" s="193" t="str">
        <f>IF('Observaciones-SMP'!A208="","",'Observaciones-SMP'!A208)</f>
        <v/>
      </c>
      <c r="B208" s="257" t="str">
        <f>IF('Observaciones-SMP'!B208="","",'Observaciones-SMP'!B208)</f>
        <v/>
      </c>
      <c r="C208" s="193" t="str">
        <f>IF('Observaciones-SMP'!C208="","",'Observaciones-SMP'!C208)</f>
        <v/>
      </c>
      <c r="D208" s="193" t="str">
        <f>IF('Observaciones-SMP'!D208="","",'Observaciones-SMP'!D208)</f>
        <v/>
      </c>
      <c r="E208" s="193" t="str">
        <f>IF('Observaciones-SMP'!E208="","",'Observaciones-SMP'!E208)</f>
        <v/>
      </c>
      <c r="F208" s="193" t="str">
        <f>IF('Observaciones-SMP'!F208="","",'Observaciones-SMP'!F208)</f>
        <v/>
      </c>
      <c r="G208" s="193" t="str">
        <f>IF('Observaciones-SMP'!G208="","",'Observaciones-SMP'!G208)</f>
        <v/>
      </c>
      <c r="H208" s="193" t="str">
        <f>IF('Observaciones-SMP'!H208="","",'Observaciones-SMP'!H208)</f>
        <v/>
      </c>
      <c r="I208" s="193" t="str">
        <f>IF('Observaciones-SMP'!I208="","",'Observaciones-SMP'!I208)</f>
        <v/>
      </c>
      <c r="J208" s="193" t="str">
        <f>IF('Observaciones-SMP'!J208="","",'Observaciones-SMP'!J208)</f>
        <v/>
      </c>
      <c r="K208" s="193" t="str">
        <f>IF('Observaciones-SMP'!K208="","",'Observaciones-SMP'!K208)</f>
        <v/>
      </c>
      <c r="L208" s="193" t="str">
        <f>IF('Observaciones-SMP'!L208="","",'Observaciones-SMP'!L208)</f>
        <v/>
      </c>
      <c r="M208" s="193" t="str">
        <f>IF('Observaciones-SMP'!M208="","",'Observaciones-SMP'!M208)</f>
        <v/>
      </c>
      <c r="N208" s="193" t="str">
        <f>IF('Observaciones-SMP'!N208="","",'Observaciones-SMP'!N208)</f>
        <v/>
      </c>
      <c r="O208" s="193" t="str">
        <f>IF('Observaciones-SMP'!O208="","",'Observaciones-SMP'!O208)</f>
        <v/>
      </c>
      <c r="P208" s="193" t="str">
        <f>IF('Observaciones-SMP'!P208="","",'Observaciones-SMP'!P208)</f>
        <v/>
      </c>
      <c r="Q208" s="257" t="str">
        <f>IF('Observaciones-SMP'!S208="","",'Observaciones-SMP'!S208)</f>
        <v/>
      </c>
      <c r="R208" s="193" t="str">
        <f>IF('Observaciones-SMP'!T208="","",'Observaciones-SMP'!T208)</f>
        <v/>
      </c>
      <c r="S208" s="193" t="str">
        <f>""</f>
        <v/>
      </c>
      <c r="T208" s="193" t="str">
        <f>""</f>
        <v/>
      </c>
      <c r="U208" s="193" t="str">
        <f t="shared" si="12"/>
        <v/>
      </c>
      <c r="V208" s="193" t="str">
        <f>""</f>
        <v/>
      </c>
      <c r="W208" s="193" t="str">
        <f>""</f>
        <v/>
      </c>
      <c r="X208" s="258" t="str">
        <f t="shared" si="13"/>
        <v/>
      </c>
      <c r="Y208" s="258" t="str">
        <f t="shared" si="14"/>
        <v/>
      </c>
      <c r="Z208" s="193" t="str">
        <f>IF(A208="","",IF(COUNTIF('Observaciones-SMP'!$A$2:$A$1001,A208)&gt;1,1,0))</f>
        <v/>
      </c>
      <c r="AA208" s="193" t="str">
        <f t="shared" si="15"/>
        <v/>
      </c>
    </row>
    <row r="209" spans="1:27" ht="13.5" customHeight="1" x14ac:dyDescent="0.3">
      <c r="A209" s="193" t="str">
        <f>IF('Observaciones-SMP'!A209="","",'Observaciones-SMP'!A209)</f>
        <v/>
      </c>
      <c r="B209" s="257" t="str">
        <f>IF('Observaciones-SMP'!B209="","",'Observaciones-SMP'!B209)</f>
        <v/>
      </c>
      <c r="C209" s="193" t="str">
        <f>IF('Observaciones-SMP'!C209="","",'Observaciones-SMP'!C209)</f>
        <v/>
      </c>
      <c r="D209" s="193" t="str">
        <f>IF('Observaciones-SMP'!D209="","",'Observaciones-SMP'!D209)</f>
        <v/>
      </c>
      <c r="E209" s="193" t="str">
        <f>IF('Observaciones-SMP'!E209="","",'Observaciones-SMP'!E209)</f>
        <v/>
      </c>
      <c r="F209" s="193" t="str">
        <f>IF('Observaciones-SMP'!F209="","",'Observaciones-SMP'!F209)</f>
        <v/>
      </c>
      <c r="G209" s="193" t="str">
        <f>IF('Observaciones-SMP'!G209="","",'Observaciones-SMP'!G209)</f>
        <v/>
      </c>
      <c r="H209" s="193" t="str">
        <f>IF('Observaciones-SMP'!H209="","",'Observaciones-SMP'!H209)</f>
        <v/>
      </c>
      <c r="I209" s="193" t="str">
        <f>IF('Observaciones-SMP'!I209="","",'Observaciones-SMP'!I209)</f>
        <v/>
      </c>
      <c r="J209" s="193" t="str">
        <f>IF('Observaciones-SMP'!J209="","",'Observaciones-SMP'!J209)</f>
        <v/>
      </c>
      <c r="K209" s="193" t="str">
        <f>IF('Observaciones-SMP'!K209="","",'Observaciones-SMP'!K209)</f>
        <v/>
      </c>
      <c r="L209" s="193" t="str">
        <f>IF('Observaciones-SMP'!L209="","",'Observaciones-SMP'!L209)</f>
        <v/>
      </c>
      <c r="M209" s="193" t="str">
        <f>IF('Observaciones-SMP'!M209="","",'Observaciones-SMP'!M209)</f>
        <v/>
      </c>
      <c r="N209" s="193" t="str">
        <f>IF('Observaciones-SMP'!N209="","",'Observaciones-SMP'!N209)</f>
        <v/>
      </c>
      <c r="O209" s="193" t="str">
        <f>IF('Observaciones-SMP'!O209="","",'Observaciones-SMP'!O209)</f>
        <v/>
      </c>
      <c r="P209" s="193" t="str">
        <f>IF('Observaciones-SMP'!P209="","",'Observaciones-SMP'!P209)</f>
        <v/>
      </c>
      <c r="Q209" s="257" t="str">
        <f>IF('Observaciones-SMP'!S209="","",'Observaciones-SMP'!S209)</f>
        <v/>
      </c>
      <c r="R209" s="193" t="str">
        <f>IF('Observaciones-SMP'!T209="","",'Observaciones-SMP'!T209)</f>
        <v/>
      </c>
      <c r="S209" s="193" t="str">
        <f>""</f>
        <v/>
      </c>
      <c r="T209" s="193" t="str">
        <f>""</f>
        <v/>
      </c>
      <c r="U209" s="193" t="str">
        <f t="shared" si="12"/>
        <v/>
      </c>
      <c r="V209" s="193" t="str">
        <f>""</f>
        <v/>
      </c>
      <c r="W209" s="193" t="str">
        <f>""</f>
        <v/>
      </c>
      <c r="X209" s="258" t="str">
        <f t="shared" si="13"/>
        <v/>
      </c>
      <c r="Y209" s="258" t="str">
        <f t="shared" si="14"/>
        <v/>
      </c>
      <c r="Z209" s="193" t="str">
        <f>IF(A209="","",IF(COUNTIF('Observaciones-SMP'!$A$2:$A$1001,A209)&gt;1,1,0))</f>
        <v/>
      </c>
      <c r="AA209" s="193" t="str">
        <f t="shared" si="15"/>
        <v/>
      </c>
    </row>
    <row r="210" spans="1:27" ht="13.5" customHeight="1" x14ac:dyDescent="0.3">
      <c r="A210" s="193" t="str">
        <f>IF('Observaciones-SMP'!A210="","",'Observaciones-SMP'!A210)</f>
        <v/>
      </c>
      <c r="B210" s="257" t="str">
        <f>IF('Observaciones-SMP'!B210="","",'Observaciones-SMP'!B210)</f>
        <v/>
      </c>
      <c r="C210" s="193" t="str">
        <f>IF('Observaciones-SMP'!C210="","",'Observaciones-SMP'!C210)</f>
        <v/>
      </c>
      <c r="D210" s="193" t="str">
        <f>IF('Observaciones-SMP'!D210="","",'Observaciones-SMP'!D210)</f>
        <v/>
      </c>
      <c r="E210" s="193" t="str">
        <f>IF('Observaciones-SMP'!E210="","",'Observaciones-SMP'!E210)</f>
        <v/>
      </c>
      <c r="F210" s="193" t="str">
        <f>IF('Observaciones-SMP'!F210="","",'Observaciones-SMP'!F210)</f>
        <v/>
      </c>
      <c r="G210" s="193" t="str">
        <f>IF('Observaciones-SMP'!G210="","",'Observaciones-SMP'!G210)</f>
        <v/>
      </c>
      <c r="H210" s="193" t="str">
        <f>IF('Observaciones-SMP'!H210="","",'Observaciones-SMP'!H210)</f>
        <v/>
      </c>
      <c r="I210" s="193" t="str">
        <f>IF('Observaciones-SMP'!I210="","",'Observaciones-SMP'!I210)</f>
        <v/>
      </c>
      <c r="J210" s="193" t="str">
        <f>IF('Observaciones-SMP'!J210="","",'Observaciones-SMP'!J210)</f>
        <v/>
      </c>
      <c r="K210" s="193" t="str">
        <f>IF('Observaciones-SMP'!K210="","",'Observaciones-SMP'!K210)</f>
        <v/>
      </c>
      <c r="L210" s="193" t="str">
        <f>IF('Observaciones-SMP'!L210="","",'Observaciones-SMP'!L210)</f>
        <v/>
      </c>
      <c r="M210" s="193" t="str">
        <f>IF('Observaciones-SMP'!M210="","",'Observaciones-SMP'!M210)</f>
        <v/>
      </c>
      <c r="N210" s="193" t="str">
        <f>IF('Observaciones-SMP'!N210="","",'Observaciones-SMP'!N210)</f>
        <v/>
      </c>
      <c r="O210" s="193" t="str">
        <f>IF('Observaciones-SMP'!O210="","",'Observaciones-SMP'!O210)</f>
        <v/>
      </c>
      <c r="P210" s="193" t="str">
        <f>IF('Observaciones-SMP'!P210="","",'Observaciones-SMP'!P210)</f>
        <v/>
      </c>
      <c r="Q210" s="257" t="str">
        <f>IF('Observaciones-SMP'!S210="","",'Observaciones-SMP'!S210)</f>
        <v/>
      </c>
      <c r="R210" s="193" t="str">
        <f>IF('Observaciones-SMP'!T210="","",'Observaciones-SMP'!T210)</f>
        <v/>
      </c>
      <c r="S210" s="193" t="str">
        <f>""</f>
        <v/>
      </c>
      <c r="T210" s="193" t="str">
        <f>""</f>
        <v/>
      </c>
      <c r="U210" s="193" t="str">
        <f t="shared" si="12"/>
        <v/>
      </c>
      <c r="V210" s="193" t="str">
        <f>""</f>
        <v/>
      </c>
      <c r="W210" s="193" t="str">
        <f>""</f>
        <v/>
      </c>
      <c r="X210" s="258" t="str">
        <f t="shared" si="13"/>
        <v/>
      </c>
      <c r="Y210" s="258" t="str">
        <f t="shared" si="14"/>
        <v/>
      </c>
      <c r="Z210" s="193" t="str">
        <f>IF(A210="","",IF(COUNTIF('Observaciones-SMP'!$A$2:$A$1001,A210)&gt;1,1,0))</f>
        <v/>
      </c>
      <c r="AA210" s="193" t="str">
        <f t="shared" si="15"/>
        <v/>
      </c>
    </row>
    <row r="211" spans="1:27" ht="13.5" customHeight="1" x14ac:dyDescent="0.3">
      <c r="A211" s="193" t="str">
        <f>IF('Observaciones-SMP'!A211="","",'Observaciones-SMP'!A211)</f>
        <v/>
      </c>
      <c r="B211" s="257" t="str">
        <f>IF('Observaciones-SMP'!B211="","",'Observaciones-SMP'!B211)</f>
        <v/>
      </c>
      <c r="C211" s="193" t="str">
        <f>IF('Observaciones-SMP'!C211="","",'Observaciones-SMP'!C211)</f>
        <v/>
      </c>
      <c r="D211" s="193" t="str">
        <f>IF('Observaciones-SMP'!D211="","",'Observaciones-SMP'!D211)</f>
        <v/>
      </c>
      <c r="E211" s="193" t="str">
        <f>IF('Observaciones-SMP'!E211="","",'Observaciones-SMP'!E211)</f>
        <v/>
      </c>
      <c r="F211" s="193" t="str">
        <f>IF('Observaciones-SMP'!F211="","",'Observaciones-SMP'!F211)</f>
        <v/>
      </c>
      <c r="G211" s="193" t="str">
        <f>IF('Observaciones-SMP'!G211="","",'Observaciones-SMP'!G211)</f>
        <v/>
      </c>
      <c r="H211" s="193" t="str">
        <f>IF('Observaciones-SMP'!H211="","",'Observaciones-SMP'!H211)</f>
        <v/>
      </c>
      <c r="I211" s="193" t="str">
        <f>IF('Observaciones-SMP'!I211="","",'Observaciones-SMP'!I211)</f>
        <v/>
      </c>
      <c r="J211" s="193" t="str">
        <f>IF('Observaciones-SMP'!J211="","",'Observaciones-SMP'!J211)</f>
        <v/>
      </c>
      <c r="K211" s="193" t="str">
        <f>IF('Observaciones-SMP'!K211="","",'Observaciones-SMP'!K211)</f>
        <v/>
      </c>
      <c r="L211" s="193" t="str">
        <f>IF('Observaciones-SMP'!L211="","",'Observaciones-SMP'!L211)</f>
        <v/>
      </c>
      <c r="M211" s="193" t="str">
        <f>IF('Observaciones-SMP'!M211="","",'Observaciones-SMP'!M211)</f>
        <v/>
      </c>
      <c r="N211" s="193" t="str">
        <f>IF('Observaciones-SMP'!N211="","",'Observaciones-SMP'!N211)</f>
        <v/>
      </c>
      <c r="O211" s="193" t="str">
        <f>IF('Observaciones-SMP'!O211="","",'Observaciones-SMP'!O211)</f>
        <v/>
      </c>
      <c r="P211" s="193" t="str">
        <f>IF('Observaciones-SMP'!P211="","",'Observaciones-SMP'!P211)</f>
        <v/>
      </c>
      <c r="Q211" s="257" t="str">
        <f>IF('Observaciones-SMP'!S211="","",'Observaciones-SMP'!S211)</f>
        <v/>
      </c>
      <c r="R211" s="193" t="str">
        <f>IF('Observaciones-SMP'!T211="","",'Observaciones-SMP'!T211)</f>
        <v/>
      </c>
      <c r="S211" s="193" t="str">
        <f>""</f>
        <v/>
      </c>
      <c r="T211" s="193" t="str">
        <f>""</f>
        <v/>
      </c>
      <c r="U211" s="193" t="str">
        <f t="shared" si="12"/>
        <v/>
      </c>
      <c r="V211" s="193" t="str">
        <f>""</f>
        <v/>
      </c>
      <c r="W211" s="193" t="str">
        <f>""</f>
        <v/>
      </c>
      <c r="X211" s="258" t="str">
        <f t="shared" si="13"/>
        <v/>
      </c>
      <c r="Y211" s="258" t="str">
        <f t="shared" si="14"/>
        <v/>
      </c>
      <c r="Z211" s="193" t="str">
        <f>IF(A211="","",IF(COUNTIF('Observaciones-SMP'!$A$2:$A$1001,A211)&gt;1,1,0))</f>
        <v/>
      </c>
      <c r="AA211" s="193" t="str">
        <f t="shared" si="15"/>
        <v/>
      </c>
    </row>
    <row r="212" spans="1:27" ht="13.5" customHeight="1" x14ac:dyDescent="0.3">
      <c r="A212" s="193" t="str">
        <f>IF('Observaciones-SMP'!A212="","",'Observaciones-SMP'!A212)</f>
        <v/>
      </c>
      <c r="B212" s="257" t="str">
        <f>IF('Observaciones-SMP'!B212="","",'Observaciones-SMP'!B212)</f>
        <v/>
      </c>
      <c r="C212" s="193" t="str">
        <f>IF('Observaciones-SMP'!C212="","",'Observaciones-SMP'!C212)</f>
        <v/>
      </c>
      <c r="D212" s="193" t="str">
        <f>IF('Observaciones-SMP'!D212="","",'Observaciones-SMP'!D212)</f>
        <v/>
      </c>
      <c r="E212" s="193" t="str">
        <f>IF('Observaciones-SMP'!E212="","",'Observaciones-SMP'!E212)</f>
        <v/>
      </c>
      <c r="F212" s="193" t="str">
        <f>IF('Observaciones-SMP'!F212="","",'Observaciones-SMP'!F212)</f>
        <v/>
      </c>
      <c r="G212" s="193" t="str">
        <f>IF('Observaciones-SMP'!G212="","",'Observaciones-SMP'!G212)</f>
        <v/>
      </c>
      <c r="H212" s="193" t="str">
        <f>IF('Observaciones-SMP'!H212="","",'Observaciones-SMP'!H212)</f>
        <v/>
      </c>
      <c r="I212" s="193" t="str">
        <f>IF('Observaciones-SMP'!I212="","",'Observaciones-SMP'!I212)</f>
        <v/>
      </c>
      <c r="J212" s="193" t="str">
        <f>IF('Observaciones-SMP'!J212="","",'Observaciones-SMP'!J212)</f>
        <v/>
      </c>
      <c r="K212" s="193" t="str">
        <f>IF('Observaciones-SMP'!K212="","",'Observaciones-SMP'!K212)</f>
        <v/>
      </c>
      <c r="L212" s="193" t="str">
        <f>IF('Observaciones-SMP'!L212="","",'Observaciones-SMP'!L212)</f>
        <v/>
      </c>
      <c r="M212" s="193" t="str">
        <f>IF('Observaciones-SMP'!M212="","",'Observaciones-SMP'!M212)</f>
        <v/>
      </c>
      <c r="N212" s="193" t="str">
        <f>IF('Observaciones-SMP'!N212="","",'Observaciones-SMP'!N212)</f>
        <v/>
      </c>
      <c r="O212" s="193" t="str">
        <f>IF('Observaciones-SMP'!O212="","",'Observaciones-SMP'!O212)</f>
        <v/>
      </c>
      <c r="P212" s="193" t="str">
        <f>IF('Observaciones-SMP'!P212="","",'Observaciones-SMP'!P212)</f>
        <v/>
      </c>
      <c r="Q212" s="257" t="str">
        <f>IF('Observaciones-SMP'!S212="","",'Observaciones-SMP'!S212)</f>
        <v/>
      </c>
      <c r="R212" s="193" t="str">
        <f>IF('Observaciones-SMP'!T212="","",'Observaciones-SMP'!T212)</f>
        <v/>
      </c>
      <c r="S212" s="193" t="str">
        <f>""</f>
        <v/>
      </c>
      <c r="T212" s="193" t="str">
        <f>""</f>
        <v/>
      </c>
      <c r="U212" s="193" t="str">
        <f t="shared" si="12"/>
        <v/>
      </c>
      <c r="V212" s="193" t="str">
        <f>""</f>
        <v/>
      </c>
      <c r="W212" s="193" t="str">
        <f>""</f>
        <v/>
      </c>
      <c r="X212" s="258" t="str">
        <f t="shared" si="13"/>
        <v/>
      </c>
      <c r="Y212" s="258" t="str">
        <f t="shared" si="14"/>
        <v/>
      </c>
      <c r="Z212" s="193" t="str">
        <f>IF(A212="","",IF(COUNTIF('Observaciones-SMP'!$A$2:$A$1001,A212)&gt;1,1,0))</f>
        <v/>
      </c>
      <c r="AA212" s="193" t="str">
        <f t="shared" si="15"/>
        <v/>
      </c>
    </row>
    <row r="213" spans="1:27" ht="13.5" customHeight="1" x14ac:dyDescent="0.3">
      <c r="A213" s="193" t="str">
        <f>IF('Observaciones-SMP'!A213="","",'Observaciones-SMP'!A213)</f>
        <v/>
      </c>
      <c r="B213" s="257" t="str">
        <f>IF('Observaciones-SMP'!B213="","",'Observaciones-SMP'!B213)</f>
        <v/>
      </c>
      <c r="C213" s="193" t="str">
        <f>IF('Observaciones-SMP'!C213="","",'Observaciones-SMP'!C213)</f>
        <v/>
      </c>
      <c r="D213" s="193" t="str">
        <f>IF('Observaciones-SMP'!D213="","",'Observaciones-SMP'!D213)</f>
        <v/>
      </c>
      <c r="E213" s="193" t="str">
        <f>IF('Observaciones-SMP'!E213="","",'Observaciones-SMP'!E213)</f>
        <v/>
      </c>
      <c r="F213" s="193" t="str">
        <f>IF('Observaciones-SMP'!F213="","",'Observaciones-SMP'!F213)</f>
        <v/>
      </c>
      <c r="G213" s="193" t="str">
        <f>IF('Observaciones-SMP'!G213="","",'Observaciones-SMP'!G213)</f>
        <v/>
      </c>
      <c r="H213" s="193" t="str">
        <f>IF('Observaciones-SMP'!H213="","",'Observaciones-SMP'!H213)</f>
        <v/>
      </c>
      <c r="I213" s="193" t="str">
        <f>IF('Observaciones-SMP'!I213="","",'Observaciones-SMP'!I213)</f>
        <v/>
      </c>
      <c r="J213" s="193" t="str">
        <f>IF('Observaciones-SMP'!J213="","",'Observaciones-SMP'!J213)</f>
        <v/>
      </c>
      <c r="K213" s="193" t="str">
        <f>IF('Observaciones-SMP'!K213="","",'Observaciones-SMP'!K213)</f>
        <v/>
      </c>
      <c r="L213" s="193" t="str">
        <f>IF('Observaciones-SMP'!L213="","",'Observaciones-SMP'!L213)</f>
        <v/>
      </c>
      <c r="M213" s="193" t="str">
        <f>IF('Observaciones-SMP'!M213="","",'Observaciones-SMP'!M213)</f>
        <v/>
      </c>
      <c r="N213" s="193" t="str">
        <f>IF('Observaciones-SMP'!N213="","",'Observaciones-SMP'!N213)</f>
        <v/>
      </c>
      <c r="O213" s="193" t="str">
        <f>IF('Observaciones-SMP'!O213="","",'Observaciones-SMP'!O213)</f>
        <v/>
      </c>
      <c r="P213" s="193" t="str">
        <f>IF('Observaciones-SMP'!P213="","",'Observaciones-SMP'!P213)</f>
        <v/>
      </c>
      <c r="Q213" s="257" t="str">
        <f>IF('Observaciones-SMP'!S213="","",'Observaciones-SMP'!S213)</f>
        <v/>
      </c>
      <c r="R213" s="193" t="str">
        <f>IF('Observaciones-SMP'!T213="","",'Observaciones-SMP'!T213)</f>
        <v/>
      </c>
      <c r="S213" s="193" t="str">
        <f>""</f>
        <v/>
      </c>
      <c r="T213" s="193" t="str">
        <f>""</f>
        <v/>
      </c>
      <c r="U213" s="193" t="str">
        <f t="shared" si="12"/>
        <v/>
      </c>
      <c r="V213" s="193" t="str">
        <f>""</f>
        <v/>
      </c>
      <c r="W213" s="193" t="str">
        <f>""</f>
        <v/>
      </c>
      <c r="X213" s="258" t="str">
        <f t="shared" si="13"/>
        <v/>
      </c>
      <c r="Y213" s="258" t="str">
        <f t="shared" si="14"/>
        <v/>
      </c>
      <c r="Z213" s="193" t="str">
        <f>IF(A213="","",IF(COUNTIF('Observaciones-SMP'!$A$2:$A$1001,A213)&gt;1,1,0))</f>
        <v/>
      </c>
      <c r="AA213" s="193" t="str">
        <f t="shared" si="15"/>
        <v/>
      </c>
    </row>
    <row r="214" spans="1:27" ht="13.5" customHeight="1" x14ac:dyDescent="0.3">
      <c r="A214" s="193" t="str">
        <f>IF('Observaciones-SMP'!A214="","",'Observaciones-SMP'!A214)</f>
        <v/>
      </c>
      <c r="B214" s="257" t="str">
        <f>IF('Observaciones-SMP'!B214="","",'Observaciones-SMP'!B214)</f>
        <v/>
      </c>
      <c r="C214" s="193" t="str">
        <f>IF('Observaciones-SMP'!C214="","",'Observaciones-SMP'!C214)</f>
        <v/>
      </c>
      <c r="D214" s="193" t="str">
        <f>IF('Observaciones-SMP'!D214="","",'Observaciones-SMP'!D214)</f>
        <v/>
      </c>
      <c r="E214" s="193" t="str">
        <f>IF('Observaciones-SMP'!E214="","",'Observaciones-SMP'!E214)</f>
        <v/>
      </c>
      <c r="F214" s="193" t="str">
        <f>IF('Observaciones-SMP'!F214="","",'Observaciones-SMP'!F214)</f>
        <v/>
      </c>
      <c r="G214" s="193" t="str">
        <f>IF('Observaciones-SMP'!G214="","",'Observaciones-SMP'!G214)</f>
        <v/>
      </c>
      <c r="H214" s="193" t="str">
        <f>IF('Observaciones-SMP'!H214="","",'Observaciones-SMP'!H214)</f>
        <v/>
      </c>
      <c r="I214" s="193" t="str">
        <f>IF('Observaciones-SMP'!I214="","",'Observaciones-SMP'!I214)</f>
        <v/>
      </c>
      <c r="J214" s="193" t="str">
        <f>IF('Observaciones-SMP'!J214="","",'Observaciones-SMP'!J214)</f>
        <v/>
      </c>
      <c r="K214" s="193" t="str">
        <f>IF('Observaciones-SMP'!K214="","",'Observaciones-SMP'!K214)</f>
        <v/>
      </c>
      <c r="L214" s="193" t="str">
        <f>IF('Observaciones-SMP'!L214="","",'Observaciones-SMP'!L214)</f>
        <v/>
      </c>
      <c r="M214" s="193" t="str">
        <f>IF('Observaciones-SMP'!M214="","",'Observaciones-SMP'!M214)</f>
        <v/>
      </c>
      <c r="N214" s="193" t="str">
        <f>IF('Observaciones-SMP'!N214="","",'Observaciones-SMP'!N214)</f>
        <v/>
      </c>
      <c r="O214" s="193" t="str">
        <f>IF('Observaciones-SMP'!O214="","",'Observaciones-SMP'!O214)</f>
        <v/>
      </c>
      <c r="P214" s="193" t="str">
        <f>IF('Observaciones-SMP'!P214="","",'Observaciones-SMP'!P214)</f>
        <v/>
      </c>
      <c r="Q214" s="257" t="str">
        <f>IF('Observaciones-SMP'!S214="","",'Observaciones-SMP'!S214)</f>
        <v/>
      </c>
      <c r="R214" s="193" t="str">
        <f>IF('Observaciones-SMP'!T214="","",'Observaciones-SMP'!T214)</f>
        <v/>
      </c>
      <c r="S214" s="193" t="str">
        <f>""</f>
        <v/>
      </c>
      <c r="T214" s="193" t="str">
        <f>""</f>
        <v/>
      </c>
      <c r="U214" s="193" t="str">
        <f t="shared" si="12"/>
        <v/>
      </c>
      <c r="V214" s="193" t="str">
        <f>""</f>
        <v/>
      </c>
      <c r="W214" s="193" t="str">
        <f>""</f>
        <v/>
      </c>
      <c r="X214" s="258" t="str">
        <f t="shared" si="13"/>
        <v/>
      </c>
      <c r="Y214" s="258" t="str">
        <f t="shared" si="14"/>
        <v/>
      </c>
      <c r="Z214" s="193" t="str">
        <f>IF(A214="","",IF(COUNTIF('Observaciones-SMP'!$A$2:$A$1001,A214)&gt;1,1,0))</f>
        <v/>
      </c>
      <c r="AA214" s="193" t="str">
        <f t="shared" si="15"/>
        <v/>
      </c>
    </row>
    <row r="215" spans="1:27" ht="13.5" customHeight="1" x14ac:dyDescent="0.3">
      <c r="A215" s="193" t="str">
        <f>IF('Observaciones-SMP'!A215="","",'Observaciones-SMP'!A215)</f>
        <v/>
      </c>
      <c r="B215" s="257" t="str">
        <f>IF('Observaciones-SMP'!B215="","",'Observaciones-SMP'!B215)</f>
        <v/>
      </c>
      <c r="C215" s="193" t="str">
        <f>IF('Observaciones-SMP'!C215="","",'Observaciones-SMP'!C215)</f>
        <v/>
      </c>
      <c r="D215" s="193" t="str">
        <f>IF('Observaciones-SMP'!D215="","",'Observaciones-SMP'!D215)</f>
        <v/>
      </c>
      <c r="E215" s="193" t="str">
        <f>IF('Observaciones-SMP'!E215="","",'Observaciones-SMP'!E215)</f>
        <v/>
      </c>
      <c r="F215" s="193" t="str">
        <f>IF('Observaciones-SMP'!F215="","",'Observaciones-SMP'!F215)</f>
        <v/>
      </c>
      <c r="G215" s="193" t="str">
        <f>IF('Observaciones-SMP'!G215="","",'Observaciones-SMP'!G215)</f>
        <v/>
      </c>
      <c r="H215" s="193" t="str">
        <f>IF('Observaciones-SMP'!H215="","",'Observaciones-SMP'!H215)</f>
        <v/>
      </c>
      <c r="I215" s="193" t="str">
        <f>IF('Observaciones-SMP'!I215="","",'Observaciones-SMP'!I215)</f>
        <v/>
      </c>
      <c r="J215" s="193" t="str">
        <f>IF('Observaciones-SMP'!J215="","",'Observaciones-SMP'!J215)</f>
        <v/>
      </c>
      <c r="K215" s="193" t="str">
        <f>IF('Observaciones-SMP'!K215="","",'Observaciones-SMP'!K215)</f>
        <v/>
      </c>
      <c r="L215" s="193" t="str">
        <f>IF('Observaciones-SMP'!L215="","",'Observaciones-SMP'!L215)</f>
        <v/>
      </c>
      <c r="M215" s="193" t="str">
        <f>IF('Observaciones-SMP'!M215="","",'Observaciones-SMP'!M215)</f>
        <v/>
      </c>
      <c r="N215" s="193" t="str">
        <f>IF('Observaciones-SMP'!N215="","",'Observaciones-SMP'!N215)</f>
        <v/>
      </c>
      <c r="O215" s="193" t="str">
        <f>IF('Observaciones-SMP'!O215="","",'Observaciones-SMP'!O215)</f>
        <v/>
      </c>
      <c r="P215" s="193" t="str">
        <f>IF('Observaciones-SMP'!P215="","",'Observaciones-SMP'!P215)</f>
        <v/>
      </c>
      <c r="Q215" s="257" t="str">
        <f>IF('Observaciones-SMP'!S215="","",'Observaciones-SMP'!S215)</f>
        <v/>
      </c>
      <c r="R215" s="193" t="str">
        <f>IF('Observaciones-SMP'!T215="","",'Observaciones-SMP'!T215)</f>
        <v/>
      </c>
      <c r="S215" s="193" t="str">
        <f>""</f>
        <v/>
      </c>
      <c r="T215" s="193" t="str">
        <f>""</f>
        <v/>
      </c>
      <c r="U215" s="193" t="str">
        <f t="shared" si="12"/>
        <v/>
      </c>
      <c r="V215" s="193" t="str">
        <f>""</f>
        <v/>
      </c>
      <c r="W215" s="193" t="str">
        <f>""</f>
        <v/>
      </c>
      <c r="X215" s="258" t="str">
        <f t="shared" si="13"/>
        <v/>
      </c>
      <c r="Y215" s="258" t="str">
        <f t="shared" si="14"/>
        <v/>
      </c>
      <c r="Z215" s="193" t="str">
        <f>IF(A215="","",IF(COUNTIF('Observaciones-SMP'!$A$2:$A$1001,A215)&gt;1,1,0))</f>
        <v/>
      </c>
      <c r="AA215" s="193" t="str">
        <f t="shared" si="15"/>
        <v/>
      </c>
    </row>
    <row r="216" spans="1:27" ht="13.5" customHeight="1" x14ac:dyDescent="0.3">
      <c r="A216" s="193" t="str">
        <f>IF('Observaciones-SMP'!A216="","",'Observaciones-SMP'!A216)</f>
        <v/>
      </c>
      <c r="B216" s="257" t="str">
        <f>IF('Observaciones-SMP'!B216="","",'Observaciones-SMP'!B216)</f>
        <v/>
      </c>
      <c r="C216" s="193" t="str">
        <f>IF('Observaciones-SMP'!C216="","",'Observaciones-SMP'!C216)</f>
        <v/>
      </c>
      <c r="D216" s="193" t="str">
        <f>IF('Observaciones-SMP'!D216="","",'Observaciones-SMP'!D216)</f>
        <v/>
      </c>
      <c r="E216" s="193" t="str">
        <f>IF('Observaciones-SMP'!E216="","",'Observaciones-SMP'!E216)</f>
        <v/>
      </c>
      <c r="F216" s="193" t="str">
        <f>IF('Observaciones-SMP'!F216="","",'Observaciones-SMP'!F216)</f>
        <v/>
      </c>
      <c r="G216" s="193" t="str">
        <f>IF('Observaciones-SMP'!G216="","",'Observaciones-SMP'!G216)</f>
        <v/>
      </c>
      <c r="H216" s="193" t="str">
        <f>IF('Observaciones-SMP'!H216="","",'Observaciones-SMP'!H216)</f>
        <v/>
      </c>
      <c r="I216" s="193" t="str">
        <f>IF('Observaciones-SMP'!I216="","",'Observaciones-SMP'!I216)</f>
        <v/>
      </c>
      <c r="J216" s="193" t="str">
        <f>IF('Observaciones-SMP'!J216="","",'Observaciones-SMP'!J216)</f>
        <v/>
      </c>
      <c r="K216" s="193" t="str">
        <f>IF('Observaciones-SMP'!K216="","",'Observaciones-SMP'!K216)</f>
        <v/>
      </c>
      <c r="L216" s="193" t="str">
        <f>IF('Observaciones-SMP'!L216="","",'Observaciones-SMP'!L216)</f>
        <v/>
      </c>
      <c r="M216" s="193" t="str">
        <f>IF('Observaciones-SMP'!M216="","",'Observaciones-SMP'!M216)</f>
        <v/>
      </c>
      <c r="N216" s="193" t="str">
        <f>IF('Observaciones-SMP'!N216="","",'Observaciones-SMP'!N216)</f>
        <v/>
      </c>
      <c r="O216" s="193" t="str">
        <f>IF('Observaciones-SMP'!O216="","",'Observaciones-SMP'!O216)</f>
        <v/>
      </c>
      <c r="P216" s="193" t="str">
        <f>IF('Observaciones-SMP'!P216="","",'Observaciones-SMP'!P216)</f>
        <v/>
      </c>
      <c r="Q216" s="257" t="str">
        <f>IF('Observaciones-SMP'!S216="","",'Observaciones-SMP'!S216)</f>
        <v/>
      </c>
      <c r="R216" s="193" t="str">
        <f>IF('Observaciones-SMP'!T216="","",'Observaciones-SMP'!T216)</f>
        <v/>
      </c>
      <c r="S216" s="193" t="str">
        <f>""</f>
        <v/>
      </c>
      <c r="T216" s="193" t="str">
        <f>""</f>
        <v/>
      </c>
      <c r="U216" s="193" t="str">
        <f t="shared" si="12"/>
        <v/>
      </c>
      <c r="V216" s="193" t="str">
        <f>""</f>
        <v/>
      </c>
      <c r="W216" s="193" t="str">
        <f>""</f>
        <v/>
      </c>
      <c r="X216" s="258" t="str">
        <f t="shared" si="13"/>
        <v/>
      </c>
      <c r="Y216" s="258" t="str">
        <f t="shared" si="14"/>
        <v/>
      </c>
      <c r="Z216" s="193" t="str">
        <f>IF(A216="","",IF(COUNTIF('Observaciones-SMP'!$A$2:$A$1001,A216)&gt;1,1,0))</f>
        <v/>
      </c>
      <c r="AA216" s="193" t="str">
        <f t="shared" si="15"/>
        <v/>
      </c>
    </row>
    <row r="217" spans="1:27" ht="13.5" customHeight="1" x14ac:dyDescent="0.3">
      <c r="A217" s="193" t="str">
        <f>IF('Observaciones-SMP'!A217="","",'Observaciones-SMP'!A217)</f>
        <v/>
      </c>
      <c r="B217" s="257" t="str">
        <f>IF('Observaciones-SMP'!B217="","",'Observaciones-SMP'!B217)</f>
        <v/>
      </c>
      <c r="C217" s="193" t="str">
        <f>IF('Observaciones-SMP'!C217="","",'Observaciones-SMP'!C217)</f>
        <v/>
      </c>
      <c r="D217" s="193" t="str">
        <f>IF('Observaciones-SMP'!D217="","",'Observaciones-SMP'!D217)</f>
        <v/>
      </c>
      <c r="E217" s="193" t="str">
        <f>IF('Observaciones-SMP'!E217="","",'Observaciones-SMP'!E217)</f>
        <v/>
      </c>
      <c r="F217" s="193" t="str">
        <f>IF('Observaciones-SMP'!F217="","",'Observaciones-SMP'!F217)</f>
        <v/>
      </c>
      <c r="G217" s="193" t="str">
        <f>IF('Observaciones-SMP'!G217="","",'Observaciones-SMP'!G217)</f>
        <v/>
      </c>
      <c r="H217" s="193" t="str">
        <f>IF('Observaciones-SMP'!H217="","",'Observaciones-SMP'!H217)</f>
        <v/>
      </c>
      <c r="I217" s="193" t="str">
        <f>IF('Observaciones-SMP'!I217="","",'Observaciones-SMP'!I217)</f>
        <v/>
      </c>
      <c r="J217" s="193" t="str">
        <f>IF('Observaciones-SMP'!J217="","",'Observaciones-SMP'!J217)</f>
        <v/>
      </c>
      <c r="K217" s="193" t="str">
        <f>IF('Observaciones-SMP'!K217="","",'Observaciones-SMP'!K217)</f>
        <v/>
      </c>
      <c r="L217" s="193" t="str">
        <f>IF('Observaciones-SMP'!L217="","",'Observaciones-SMP'!L217)</f>
        <v/>
      </c>
      <c r="M217" s="193" t="str">
        <f>IF('Observaciones-SMP'!M217="","",'Observaciones-SMP'!M217)</f>
        <v/>
      </c>
      <c r="N217" s="193" t="str">
        <f>IF('Observaciones-SMP'!N217="","",'Observaciones-SMP'!N217)</f>
        <v/>
      </c>
      <c r="O217" s="193" t="str">
        <f>IF('Observaciones-SMP'!O217="","",'Observaciones-SMP'!O217)</f>
        <v/>
      </c>
      <c r="P217" s="193" t="str">
        <f>IF('Observaciones-SMP'!P217="","",'Observaciones-SMP'!P217)</f>
        <v/>
      </c>
      <c r="Q217" s="257" t="str">
        <f>IF('Observaciones-SMP'!S217="","",'Observaciones-SMP'!S217)</f>
        <v/>
      </c>
      <c r="R217" s="193" t="str">
        <f>IF('Observaciones-SMP'!T217="","",'Observaciones-SMP'!T217)</f>
        <v/>
      </c>
      <c r="S217" s="193" t="str">
        <f>""</f>
        <v/>
      </c>
      <c r="T217" s="193" t="str">
        <f>""</f>
        <v/>
      </c>
      <c r="U217" s="193" t="str">
        <f t="shared" si="12"/>
        <v/>
      </c>
      <c r="V217" s="193" t="str">
        <f>""</f>
        <v/>
      </c>
      <c r="W217" s="193" t="str">
        <f>""</f>
        <v/>
      </c>
      <c r="X217" s="258" t="str">
        <f t="shared" si="13"/>
        <v/>
      </c>
      <c r="Y217" s="258" t="str">
        <f t="shared" si="14"/>
        <v/>
      </c>
      <c r="Z217" s="193" t="str">
        <f>IF(A217="","",IF(COUNTIF('Observaciones-SMP'!$A$2:$A$1001,A217)&gt;1,1,0))</f>
        <v/>
      </c>
      <c r="AA217" s="193" t="str">
        <f t="shared" si="15"/>
        <v/>
      </c>
    </row>
    <row r="218" spans="1:27" ht="13.5" customHeight="1" x14ac:dyDescent="0.3">
      <c r="A218" s="193" t="str">
        <f>IF('Observaciones-SMP'!A218="","",'Observaciones-SMP'!A218)</f>
        <v/>
      </c>
      <c r="B218" s="257" t="str">
        <f>IF('Observaciones-SMP'!B218="","",'Observaciones-SMP'!B218)</f>
        <v/>
      </c>
      <c r="C218" s="193" t="str">
        <f>IF('Observaciones-SMP'!C218="","",'Observaciones-SMP'!C218)</f>
        <v/>
      </c>
      <c r="D218" s="193" t="str">
        <f>IF('Observaciones-SMP'!D218="","",'Observaciones-SMP'!D218)</f>
        <v/>
      </c>
      <c r="E218" s="193" t="str">
        <f>IF('Observaciones-SMP'!E218="","",'Observaciones-SMP'!E218)</f>
        <v/>
      </c>
      <c r="F218" s="193" t="str">
        <f>IF('Observaciones-SMP'!F218="","",'Observaciones-SMP'!F218)</f>
        <v/>
      </c>
      <c r="G218" s="193" t="str">
        <f>IF('Observaciones-SMP'!G218="","",'Observaciones-SMP'!G218)</f>
        <v/>
      </c>
      <c r="H218" s="193" t="str">
        <f>IF('Observaciones-SMP'!H218="","",'Observaciones-SMP'!H218)</f>
        <v/>
      </c>
      <c r="I218" s="193" t="str">
        <f>IF('Observaciones-SMP'!I218="","",'Observaciones-SMP'!I218)</f>
        <v/>
      </c>
      <c r="J218" s="193" t="str">
        <f>IF('Observaciones-SMP'!J218="","",'Observaciones-SMP'!J218)</f>
        <v/>
      </c>
      <c r="K218" s="193" t="str">
        <f>IF('Observaciones-SMP'!K218="","",'Observaciones-SMP'!K218)</f>
        <v/>
      </c>
      <c r="L218" s="193" t="str">
        <f>IF('Observaciones-SMP'!L218="","",'Observaciones-SMP'!L218)</f>
        <v/>
      </c>
      <c r="M218" s="193" t="str">
        <f>IF('Observaciones-SMP'!M218="","",'Observaciones-SMP'!M218)</f>
        <v/>
      </c>
      <c r="N218" s="193" t="str">
        <f>IF('Observaciones-SMP'!N218="","",'Observaciones-SMP'!N218)</f>
        <v/>
      </c>
      <c r="O218" s="193" t="str">
        <f>IF('Observaciones-SMP'!O218="","",'Observaciones-SMP'!O218)</f>
        <v/>
      </c>
      <c r="P218" s="193" t="str">
        <f>IF('Observaciones-SMP'!P218="","",'Observaciones-SMP'!P218)</f>
        <v/>
      </c>
      <c r="Q218" s="257" t="str">
        <f>IF('Observaciones-SMP'!S218="","",'Observaciones-SMP'!S218)</f>
        <v/>
      </c>
      <c r="R218" s="193" t="str">
        <f>IF('Observaciones-SMP'!T218="","",'Observaciones-SMP'!T218)</f>
        <v/>
      </c>
      <c r="S218" s="193" t="str">
        <f>""</f>
        <v/>
      </c>
      <c r="T218" s="193" t="str">
        <f>""</f>
        <v/>
      </c>
      <c r="U218" s="193" t="str">
        <f t="shared" si="12"/>
        <v/>
      </c>
      <c r="V218" s="193" t="str">
        <f>""</f>
        <v/>
      </c>
      <c r="W218" s="193" t="str">
        <f>""</f>
        <v/>
      </c>
      <c r="X218" s="258" t="str">
        <f t="shared" si="13"/>
        <v/>
      </c>
      <c r="Y218" s="258" t="str">
        <f t="shared" si="14"/>
        <v/>
      </c>
      <c r="Z218" s="193" t="str">
        <f>IF(A218="","",IF(COUNTIF('Observaciones-SMP'!$A$2:$A$1001,A218)&gt;1,1,0))</f>
        <v/>
      </c>
      <c r="AA218" s="193" t="str">
        <f t="shared" si="15"/>
        <v/>
      </c>
    </row>
    <row r="219" spans="1:27" ht="13.5" customHeight="1" x14ac:dyDescent="0.3">
      <c r="A219" s="193" t="str">
        <f>IF('Observaciones-SMP'!A219="","",'Observaciones-SMP'!A219)</f>
        <v/>
      </c>
      <c r="B219" s="257" t="str">
        <f>IF('Observaciones-SMP'!B219="","",'Observaciones-SMP'!B219)</f>
        <v/>
      </c>
      <c r="C219" s="193" t="str">
        <f>IF('Observaciones-SMP'!C219="","",'Observaciones-SMP'!C219)</f>
        <v/>
      </c>
      <c r="D219" s="193" t="str">
        <f>IF('Observaciones-SMP'!D219="","",'Observaciones-SMP'!D219)</f>
        <v/>
      </c>
      <c r="E219" s="193" t="str">
        <f>IF('Observaciones-SMP'!E219="","",'Observaciones-SMP'!E219)</f>
        <v/>
      </c>
      <c r="F219" s="193" t="str">
        <f>IF('Observaciones-SMP'!F219="","",'Observaciones-SMP'!F219)</f>
        <v/>
      </c>
      <c r="G219" s="193" t="str">
        <f>IF('Observaciones-SMP'!G219="","",'Observaciones-SMP'!G219)</f>
        <v/>
      </c>
      <c r="H219" s="193" t="str">
        <f>IF('Observaciones-SMP'!H219="","",'Observaciones-SMP'!H219)</f>
        <v/>
      </c>
      <c r="I219" s="193" t="str">
        <f>IF('Observaciones-SMP'!I219="","",'Observaciones-SMP'!I219)</f>
        <v/>
      </c>
      <c r="J219" s="193" t="str">
        <f>IF('Observaciones-SMP'!J219="","",'Observaciones-SMP'!J219)</f>
        <v/>
      </c>
      <c r="K219" s="193" t="str">
        <f>IF('Observaciones-SMP'!K219="","",'Observaciones-SMP'!K219)</f>
        <v/>
      </c>
      <c r="L219" s="193" t="str">
        <f>IF('Observaciones-SMP'!L219="","",'Observaciones-SMP'!L219)</f>
        <v/>
      </c>
      <c r="M219" s="193" t="str">
        <f>IF('Observaciones-SMP'!M219="","",'Observaciones-SMP'!M219)</f>
        <v/>
      </c>
      <c r="N219" s="193" t="str">
        <f>IF('Observaciones-SMP'!N219="","",'Observaciones-SMP'!N219)</f>
        <v/>
      </c>
      <c r="O219" s="193" t="str">
        <f>IF('Observaciones-SMP'!O219="","",'Observaciones-SMP'!O219)</f>
        <v/>
      </c>
      <c r="P219" s="193" t="str">
        <f>IF('Observaciones-SMP'!P219="","",'Observaciones-SMP'!P219)</f>
        <v/>
      </c>
      <c r="Q219" s="257" t="str">
        <f>IF('Observaciones-SMP'!S219="","",'Observaciones-SMP'!S219)</f>
        <v/>
      </c>
      <c r="R219" s="193" t="str">
        <f>IF('Observaciones-SMP'!T219="","",'Observaciones-SMP'!T219)</f>
        <v/>
      </c>
      <c r="S219" s="193" t="str">
        <f>""</f>
        <v/>
      </c>
      <c r="T219" s="193" t="str">
        <f>""</f>
        <v/>
      </c>
      <c r="U219" s="193" t="str">
        <f t="shared" si="12"/>
        <v/>
      </c>
      <c r="V219" s="193" t="str">
        <f>""</f>
        <v/>
      </c>
      <c r="W219" s="193" t="str">
        <f>""</f>
        <v/>
      </c>
      <c r="X219" s="258" t="str">
        <f t="shared" si="13"/>
        <v/>
      </c>
      <c r="Y219" s="258" t="str">
        <f t="shared" si="14"/>
        <v/>
      </c>
      <c r="Z219" s="193" t="str">
        <f>IF(A219="","",IF(COUNTIF('Observaciones-SMP'!$A$2:$A$1001,A219)&gt;1,1,0))</f>
        <v/>
      </c>
      <c r="AA219" s="193" t="str">
        <f t="shared" si="15"/>
        <v/>
      </c>
    </row>
    <row r="220" spans="1:27" ht="13.5" customHeight="1" x14ac:dyDescent="0.3">
      <c r="A220" s="193" t="str">
        <f>IF('Observaciones-SMP'!A220="","",'Observaciones-SMP'!A220)</f>
        <v/>
      </c>
      <c r="B220" s="257" t="str">
        <f>IF('Observaciones-SMP'!B220="","",'Observaciones-SMP'!B220)</f>
        <v/>
      </c>
      <c r="C220" s="193" t="str">
        <f>IF('Observaciones-SMP'!C220="","",'Observaciones-SMP'!C220)</f>
        <v/>
      </c>
      <c r="D220" s="193" t="str">
        <f>IF('Observaciones-SMP'!D220="","",'Observaciones-SMP'!D220)</f>
        <v/>
      </c>
      <c r="E220" s="193" t="str">
        <f>IF('Observaciones-SMP'!E220="","",'Observaciones-SMP'!E220)</f>
        <v/>
      </c>
      <c r="F220" s="193" t="str">
        <f>IF('Observaciones-SMP'!F220="","",'Observaciones-SMP'!F220)</f>
        <v/>
      </c>
      <c r="G220" s="193" t="str">
        <f>IF('Observaciones-SMP'!G220="","",'Observaciones-SMP'!G220)</f>
        <v/>
      </c>
      <c r="H220" s="193" t="str">
        <f>IF('Observaciones-SMP'!H220="","",'Observaciones-SMP'!H220)</f>
        <v/>
      </c>
      <c r="I220" s="193" t="str">
        <f>IF('Observaciones-SMP'!I220="","",'Observaciones-SMP'!I220)</f>
        <v/>
      </c>
      <c r="J220" s="193" t="str">
        <f>IF('Observaciones-SMP'!J220="","",'Observaciones-SMP'!J220)</f>
        <v/>
      </c>
      <c r="K220" s="193" t="str">
        <f>IF('Observaciones-SMP'!K220="","",'Observaciones-SMP'!K220)</f>
        <v/>
      </c>
      <c r="L220" s="193" t="str">
        <f>IF('Observaciones-SMP'!L220="","",'Observaciones-SMP'!L220)</f>
        <v/>
      </c>
      <c r="M220" s="193" t="str">
        <f>IF('Observaciones-SMP'!M220="","",'Observaciones-SMP'!M220)</f>
        <v/>
      </c>
      <c r="N220" s="193" t="str">
        <f>IF('Observaciones-SMP'!N220="","",'Observaciones-SMP'!N220)</f>
        <v/>
      </c>
      <c r="O220" s="193" t="str">
        <f>IF('Observaciones-SMP'!O220="","",'Observaciones-SMP'!O220)</f>
        <v/>
      </c>
      <c r="P220" s="193" t="str">
        <f>IF('Observaciones-SMP'!P220="","",'Observaciones-SMP'!P220)</f>
        <v/>
      </c>
      <c r="Q220" s="257" t="str">
        <f>IF('Observaciones-SMP'!S220="","",'Observaciones-SMP'!S220)</f>
        <v/>
      </c>
      <c r="R220" s="193" t="str">
        <f>IF('Observaciones-SMP'!T220="","",'Observaciones-SMP'!T220)</f>
        <v/>
      </c>
      <c r="S220" s="193" t="str">
        <f>""</f>
        <v/>
      </c>
      <c r="T220" s="193" t="str">
        <f>""</f>
        <v/>
      </c>
      <c r="U220" s="193" t="str">
        <f t="shared" si="12"/>
        <v/>
      </c>
      <c r="V220" s="193" t="str">
        <f>""</f>
        <v/>
      </c>
      <c r="W220" s="193" t="str">
        <f>""</f>
        <v/>
      </c>
      <c r="X220" s="258" t="str">
        <f t="shared" si="13"/>
        <v/>
      </c>
      <c r="Y220" s="258" t="str">
        <f t="shared" si="14"/>
        <v/>
      </c>
      <c r="Z220" s="193" t="str">
        <f>IF(A220="","",IF(COUNTIF('Observaciones-SMP'!$A$2:$A$1001,A220)&gt;1,1,0))</f>
        <v/>
      </c>
      <c r="AA220" s="193" t="str">
        <f t="shared" si="15"/>
        <v/>
      </c>
    </row>
    <row r="221" spans="1:27" ht="13.5" customHeight="1" x14ac:dyDescent="0.3">
      <c r="A221" s="193" t="str">
        <f>IF('Observaciones-SMP'!A221="","",'Observaciones-SMP'!A221)</f>
        <v/>
      </c>
      <c r="B221" s="257" t="str">
        <f>IF('Observaciones-SMP'!B221="","",'Observaciones-SMP'!B221)</f>
        <v/>
      </c>
      <c r="C221" s="193" t="str">
        <f>IF('Observaciones-SMP'!C221="","",'Observaciones-SMP'!C221)</f>
        <v/>
      </c>
      <c r="D221" s="193" t="str">
        <f>IF('Observaciones-SMP'!D221="","",'Observaciones-SMP'!D221)</f>
        <v/>
      </c>
      <c r="E221" s="193" t="str">
        <f>IF('Observaciones-SMP'!E221="","",'Observaciones-SMP'!E221)</f>
        <v/>
      </c>
      <c r="F221" s="193" t="str">
        <f>IF('Observaciones-SMP'!F221="","",'Observaciones-SMP'!F221)</f>
        <v/>
      </c>
      <c r="G221" s="193" t="str">
        <f>IF('Observaciones-SMP'!G221="","",'Observaciones-SMP'!G221)</f>
        <v/>
      </c>
      <c r="H221" s="193" t="str">
        <f>IF('Observaciones-SMP'!H221="","",'Observaciones-SMP'!H221)</f>
        <v/>
      </c>
      <c r="I221" s="193" t="str">
        <f>IF('Observaciones-SMP'!I221="","",'Observaciones-SMP'!I221)</f>
        <v/>
      </c>
      <c r="J221" s="193" t="str">
        <f>IF('Observaciones-SMP'!J221="","",'Observaciones-SMP'!J221)</f>
        <v/>
      </c>
      <c r="K221" s="193" t="str">
        <f>IF('Observaciones-SMP'!K221="","",'Observaciones-SMP'!K221)</f>
        <v/>
      </c>
      <c r="L221" s="193" t="str">
        <f>IF('Observaciones-SMP'!L221="","",'Observaciones-SMP'!L221)</f>
        <v/>
      </c>
      <c r="M221" s="193" t="str">
        <f>IF('Observaciones-SMP'!M221="","",'Observaciones-SMP'!M221)</f>
        <v/>
      </c>
      <c r="N221" s="193" t="str">
        <f>IF('Observaciones-SMP'!N221="","",'Observaciones-SMP'!N221)</f>
        <v/>
      </c>
      <c r="O221" s="193" t="str">
        <f>IF('Observaciones-SMP'!O221="","",'Observaciones-SMP'!O221)</f>
        <v/>
      </c>
      <c r="P221" s="193" t="str">
        <f>IF('Observaciones-SMP'!P221="","",'Observaciones-SMP'!P221)</f>
        <v/>
      </c>
      <c r="Q221" s="257" t="str">
        <f>IF('Observaciones-SMP'!S221="","",'Observaciones-SMP'!S221)</f>
        <v/>
      </c>
      <c r="R221" s="193" t="str">
        <f>IF('Observaciones-SMP'!T221="","",'Observaciones-SMP'!T221)</f>
        <v/>
      </c>
      <c r="S221" s="193" t="str">
        <f>""</f>
        <v/>
      </c>
      <c r="T221" s="193" t="str">
        <f>""</f>
        <v/>
      </c>
      <c r="U221" s="193" t="str">
        <f t="shared" si="12"/>
        <v/>
      </c>
      <c r="V221" s="193" t="str">
        <f>""</f>
        <v/>
      </c>
      <c r="W221" s="193" t="str">
        <f>""</f>
        <v/>
      </c>
      <c r="X221" s="258" t="str">
        <f t="shared" si="13"/>
        <v/>
      </c>
      <c r="Y221" s="258" t="str">
        <f t="shared" si="14"/>
        <v/>
      </c>
      <c r="Z221" s="193" t="str">
        <f>IF(A221="","",IF(COUNTIF('Observaciones-SMP'!$A$2:$A$1001,A221)&gt;1,1,0))</f>
        <v/>
      </c>
      <c r="AA221" s="193" t="str">
        <f t="shared" si="15"/>
        <v/>
      </c>
    </row>
    <row r="222" spans="1:27" ht="13.5" customHeight="1" x14ac:dyDescent="0.3">
      <c r="A222" s="193" t="str">
        <f>IF('Observaciones-SMP'!A222="","",'Observaciones-SMP'!A222)</f>
        <v/>
      </c>
      <c r="B222" s="257" t="str">
        <f>IF('Observaciones-SMP'!B222="","",'Observaciones-SMP'!B222)</f>
        <v/>
      </c>
      <c r="C222" s="193" t="str">
        <f>IF('Observaciones-SMP'!C222="","",'Observaciones-SMP'!C222)</f>
        <v/>
      </c>
      <c r="D222" s="193" t="str">
        <f>IF('Observaciones-SMP'!D222="","",'Observaciones-SMP'!D222)</f>
        <v/>
      </c>
      <c r="E222" s="193" t="str">
        <f>IF('Observaciones-SMP'!E222="","",'Observaciones-SMP'!E222)</f>
        <v/>
      </c>
      <c r="F222" s="193" t="str">
        <f>IF('Observaciones-SMP'!F222="","",'Observaciones-SMP'!F222)</f>
        <v/>
      </c>
      <c r="G222" s="193" t="str">
        <f>IF('Observaciones-SMP'!G222="","",'Observaciones-SMP'!G222)</f>
        <v/>
      </c>
      <c r="H222" s="193" t="str">
        <f>IF('Observaciones-SMP'!H222="","",'Observaciones-SMP'!H222)</f>
        <v/>
      </c>
      <c r="I222" s="193" t="str">
        <f>IF('Observaciones-SMP'!I222="","",'Observaciones-SMP'!I222)</f>
        <v/>
      </c>
      <c r="J222" s="193" t="str">
        <f>IF('Observaciones-SMP'!J222="","",'Observaciones-SMP'!J222)</f>
        <v/>
      </c>
      <c r="K222" s="193" t="str">
        <f>IF('Observaciones-SMP'!K222="","",'Observaciones-SMP'!K222)</f>
        <v/>
      </c>
      <c r="L222" s="193" t="str">
        <f>IF('Observaciones-SMP'!L222="","",'Observaciones-SMP'!L222)</f>
        <v/>
      </c>
      <c r="M222" s="193" t="str">
        <f>IF('Observaciones-SMP'!M222="","",'Observaciones-SMP'!M222)</f>
        <v/>
      </c>
      <c r="N222" s="193" t="str">
        <f>IF('Observaciones-SMP'!N222="","",'Observaciones-SMP'!N222)</f>
        <v/>
      </c>
      <c r="O222" s="193" t="str">
        <f>IF('Observaciones-SMP'!O222="","",'Observaciones-SMP'!O222)</f>
        <v/>
      </c>
      <c r="P222" s="193" t="str">
        <f>IF('Observaciones-SMP'!P222="","",'Observaciones-SMP'!P222)</f>
        <v/>
      </c>
      <c r="Q222" s="257" t="str">
        <f>IF('Observaciones-SMP'!S222="","",'Observaciones-SMP'!S222)</f>
        <v/>
      </c>
      <c r="R222" s="193" t="str">
        <f>IF('Observaciones-SMP'!T222="","",'Observaciones-SMP'!T222)</f>
        <v/>
      </c>
      <c r="S222" s="193" t="str">
        <f>""</f>
        <v/>
      </c>
      <c r="T222" s="193" t="str">
        <f>""</f>
        <v/>
      </c>
      <c r="U222" s="193" t="str">
        <f t="shared" si="12"/>
        <v/>
      </c>
      <c r="V222" s="193" t="str">
        <f>""</f>
        <v/>
      </c>
      <c r="W222" s="193" t="str">
        <f>""</f>
        <v/>
      </c>
      <c r="X222" s="258" t="str">
        <f t="shared" si="13"/>
        <v/>
      </c>
      <c r="Y222" s="258" t="str">
        <f t="shared" si="14"/>
        <v/>
      </c>
      <c r="Z222" s="193" t="str">
        <f>IF(A222="","",IF(COUNTIF('Observaciones-SMP'!$A$2:$A$1001,A222)&gt;1,1,0))</f>
        <v/>
      </c>
      <c r="AA222" s="193" t="str">
        <f t="shared" si="15"/>
        <v/>
      </c>
    </row>
    <row r="223" spans="1:27" ht="13.5" customHeight="1" x14ac:dyDescent="0.3">
      <c r="A223" s="193" t="str">
        <f>IF('Observaciones-SMP'!A223="","",'Observaciones-SMP'!A223)</f>
        <v/>
      </c>
      <c r="B223" s="257" t="str">
        <f>IF('Observaciones-SMP'!B223="","",'Observaciones-SMP'!B223)</f>
        <v/>
      </c>
      <c r="C223" s="193" t="str">
        <f>IF('Observaciones-SMP'!C223="","",'Observaciones-SMP'!C223)</f>
        <v/>
      </c>
      <c r="D223" s="193" t="str">
        <f>IF('Observaciones-SMP'!D223="","",'Observaciones-SMP'!D223)</f>
        <v/>
      </c>
      <c r="E223" s="193" t="str">
        <f>IF('Observaciones-SMP'!E223="","",'Observaciones-SMP'!E223)</f>
        <v/>
      </c>
      <c r="F223" s="193" t="str">
        <f>IF('Observaciones-SMP'!F223="","",'Observaciones-SMP'!F223)</f>
        <v/>
      </c>
      <c r="G223" s="193" t="str">
        <f>IF('Observaciones-SMP'!G223="","",'Observaciones-SMP'!G223)</f>
        <v/>
      </c>
      <c r="H223" s="193" t="str">
        <f>IF('Observaciones-SMP'!H223="","",'Observaciones-SMP'!H223)</f>
        <v/>
      </c>
      <c r="I223" s="193" t="str">
        <f>IF('Observaciones-SMP'!I223="","",'Observaciones-SMP'!I223)</f>
        <v/>
      </c>
      <c r="J223" s="193" t="str">
        <f>IF('Observaciones-SMP'!J223="","",'Observaciones-SMP'!J223)</f>
        <v/>
      </c>
      <c r="K223" s="193" t="str">
        <f>IF('Observaciones-SMP'!K223="","",'Observaciones-SMP'!K223)</f>
        <v/>
      </c>
      <c r="L223" s="193" t="str">
        <f>IF('Observaciones-SMP'!L223="","",'Observaciones-SMP'!L223)</f>
        <v/>
      </c>
      <c r="M223" s="193" t="str">
        <f>IF('Observaciones-SMP'!M223="","",'Observaciones-SMP'!M223)</f>
        <v/>
      </c>
      <c r="N223" s="193" t="str">
        <f>IF('Observaciones-SMP'!N223="","",'Observaciones-SMP'!N223)</f>
        <v/>
      </c>
      <c r="O223" s="193" t="str">
        <f>IF('Observaciones-SMP'!O223="","",'Observaciones-SMP'!O223)</f>
        <v/>
      </c>
      <c r="P223" s="193" t="str">
        <f>IF('Observaciones-SMP'!P223="","",'Observaciones-SMP'!P223)</f>
        <v/>
      </c>
      <c r="Q223" s="257" t="str">
        <f>IF('Observaciones-SMP'!S223="","",'Observaciones-SMP'!S223)</f>
        <v/>
      </c>
      <c r="R223" s="193" t="str">
        <f>IF('Observaciones-SMP'!T223="","",'Observaciones-SMP'!T223)</f>
        <v/>
      </c>
      <c r="S223" s="193" t="str">
        <f>""</f>
        <v/>
      </c>
      <c r="T223" s="193" t="str">
        <f>""</f>
        <v/>
      </c>
      <c r="U223" s="193" t="str">
        <f t="shared" si="12"/>
        <v/>
      </c>
      <c r="V223" s="193" t="str">
        <f>""</f>
        <v/>
      </c>
      <c r="W223" s="193" t="str">
        <f>""</f>
        <v/>
      </c>
      <c r="X223" s="258" t="str">
        <f t="shared" si="13"/>
        <v/>
      </c>
      <c r="Y223" s="258" t="str">
        <f t="shared" si="14"/>
        <v/>
      </c>
      <c r="Z223" s="193" t="str">
        <f>IF(A223="","",IF(COUNTIF('Observaciones-SMP'!$A$2:$A$1001,A223)&gt;1,1,0))</f>
        <v/>
      </c>
      <c r="AA223" s="193" t="str">
        <f t="shared" si="15"/>
        <v/>
      </c>
    </row>
    <row r="224" spans="1:27" ht="13.5" customHeight="1" x14ac:dyDescent="0.3">
      <c r="A224" s="193" t="str">
        <f>IF('Observaciones-SMP'!A224="","",'Observaciones-SMP'!A224)</f>
        <v/>
      </c>
      <c r="B224" s="257" t="str">
        <f>IF('Observaciones-SMP'!B224="","",'Observaciones-SMP'!B224)</f>
        <v/>
      </c>
      <c r="C224" s="193" t="str">
        <f>IF('Observaciones-SMP'!C224="","",'Observaciones-SMP'!C224)</f>
        <v/>
      </c>
      <c r="D224" s="193" t="str">
        <f>IF('Observaciones-SMP'!D224="","",'Observaciones-SMP'!D224)</f>
        <v/>
      </c>
      <c r="E224" s="193" t="str">
        <f>IF('Observaciones-SMP'!E224="","",'Observaciones-SMP'!E224)</f>
        <v/>
      </c>
      <c r="F224" s="193" t="str">
        <f>IF('Observaciones-SMP'!F224="","",'Observaciones-SMP'!F224)</f>
        <v/>
      </c>
      <c r="G224" s="193" t="str">
        <f>IF('Observaciones-SMP'!G224="","",'Observaciones-SMP'!G224)</f>
        <v/>
      </c>
      <c r="H224" s="193" t="str">
        <f>IF('Observaciones-SMP'!H224="","",'Observaciones-SMP'!H224)</f>
        <v/>
      </c>
      <c r="I224" s="193" t="str">
        <f>IF('Observaciones-SMP'!I224="","",'Observaciones-SMP'!I224)</f>
        <v/>
      </c>
      <c r="J224" s="193" t="str">
        <f>IF('Observaciones-SMP'!J224="","",'Observaciones-SMP'!J224)</f>
        <v/>
      </c>
      <c r="K224" s="193" t="str">
        <f>IF('Observaciones-SMP'!K224="","",'Observaciones-SMP'!K224)</f>
        <v/>
      </c>
      <c r="L224" s="193" t="str">
        <f>IF('Observaciones-SMP'!L224="","",'Observaciones-SMP'!L224)</f>
        <v/>
      </c>
      <c r="M224" s="193" t="str">
        <f>IF('Observaciones-SMP'!M224="","",'Observaciones-SMP'!M224)</f>
        <v/>
      </c>
      <c r="N224" s="193" t="str">
        <f>IF('Observaciones-SMP'!N224="","",'Observaciones-SMP'!N224)</f>
        <v/>
      </c>
      <c r="O224" s="193" t="str">
        <f>IF('Observaciones-SMP'!O224="","",'Observaciones-SMP'!O224)</f>
        <v/>
      </c>
      <c r="P224" s="193" t="str">
        <f>IF('Observaciones-SMP'!P224="","",'Observaciones-SMP'!P224)</f>
        <v/>
      </c>
      <c r="Q224" s="257" t="str">
        <f>IF('Observaciones-SMP'!S224="","",'Observaciones-SMP'!S224)</f>
        <v/>
      </c>
      <c r="R224" s="193" t="str">
        <f>IF('Observaciones-SMP'!T224="","",'Observaciones-SMP'!T224)</f>
        <v/>
      </c>
      <c r="S224" s="193" t="str">
        <f>""</f>
        <v/>
      </c>
      <c r="T224" s="193" t="str">
        <f>""</f>
        <v/>
      </c>
      <c r="U224" s="193" t="str">
        <f t="shared" si="12"/>
        <v/>
      </c>
      <c r="V224" s="193" t="str">
        <f>""</f>
        <v/>
      </c>
      <c r="W224" s="193" t="str">
        <f>""</f>
        <v/>
      </c>
      <c r="X224" s="258" t="str">
        <f t="shared" si="13"/>
        <v/>
      </c>
      <c r="Y224" s="258" t="str">
        <f t="shared" si="14"/>
        <v/>
      </c>
      <c r="Z224" s="193" t="str">
        <f>IF(A224="","",IF(COUNTIF('Observaciones-SMP'!$A$2:$A$1001,A224)&gt;1,1,0))</f>
        <v/>
      </c>
      <c r="AA224" s="193" t="str">
        <f t="shared" si="15"/>
        <v/>
      </c>
    </row>
    <row r="225" spans="1:27" ht="13.5" customHeight="1" x14ac:dyDescent="0.3">
      <c r="A225" s="193" t="str">
        <f>IF('Observaciones-SMP'!A225="","",'Observaciones-SMP'!A225)</f>
        <v/>
      </c>
      <c r="B225" s="257" t="str">
        <f>IF('Observaciones-SMP'!B225="","",'Observaciones-SMP'!B225)</f>
        <v/>
      </c>
      <c r="C225" s="193" t="str">
        <f>IF('Observaciones-SMP'!C225="","",'Observaciones-SMP'!C225)</f>
        <v/>
      </c>
      <c r="D225" s="193" t="str">
        <f>IF('Observaciones-SMP'!D225="","",'Observaciones-SMP'!D225)</f>
        <v/>
      </c>
      <c r="E225" s="193" t="str">
        <f>IF('Observaciones-SMP'!E225="","",'Observaciones-SMP'!E225)</f>
        <v/>
      </c>
      <c r="F225" s="193" t="str">
        <f>IF('Observaciones-SMP'!F225="","",'Observaciones-SMP'!F225)</f>
        <v/>
      </c>
      <c r="G225" s="193" t="str">
        <f>IF('Observaciones-SMP'!G225="","",'Observaciones-SMP'!G225)</f>
        <v/>
      </c>
      <c r="H225" s="193" t="str">
        <f>IF('Observaciones-SMP'!H225="","",'Observaciones-SMP'!H225)</f>
        <v/>
      </c>
      <c r="I225" s="193" t="str">
        <f>IF('Observaciones-SMP'!I225="","",'Observaciones-SMP'!I225)</f>
        <v/>
      </c>
      <c r="J225" s="193" t="str">
        <f>IF('Observaciones-SMP'!J225="","",'Observaciones-SMP'!J225)</f>
        <v/>
      </c>
      <c r="K225" s="193" t="str">
        <f>IF('Observaciones-SMP'!K225="","",'Observaciones-SMP'!K225)</f>
        <v/>
      </c>
      <c r="L225" s="193" t="str">
        <f>IF('Observaciones-SMP'!L225="","",'Observaciones-SMP'!L225)</f>
        <v/>
      </c>
      <c r="M225" s="193" t="str">
        <f>IF('Observaciones-SMP'!M225="","",'Observaciones-SMP'!M225)</f>
        <v/>
      </c>
      <c r="N225" s="193" t="str">
        <f>IF('Observaciones-SMP'!N225="","",'Observaciones-SMP'!N225)</f>
        <v/>
      </c>
      <c r="O225" s="193" t="str">
        <f>IF('Observaciones-SMP'!O225="","",'Observaciones-SMP'!O225)</f>
        <v/>
      </c>
      <c r="P225" s="193" t="str">
        <f>IF('Observaciones-SMP'!P225="","",'Observaciones-SMP'!P225)</f>
        <v/>
      </c>
      <c r="Q225" s="257" t="str">
        <f>IF('Observaciones-SMP'!S225="","",'Observaciones-SMP'!S225)</f>
        <v/>
      </c>
      <c r="R225" s="193" t="str">
        <f>IF('Observaciones-SMP'!T225="","",'Observaciones-SMP'!T225)</f>
        <v/>
      </c>
      <c r="S225" s="193" t="str">
        <f>""</f>
        <v/>
      </c>
      <c r="T225" s="193" t="str">
        <f>""</f>
        <v/>
      </c>
      <c r="U225" s="193" t="str">
        <f t="shared" si="12"/>
        <v/>
      </c>
      <c r="V225" s="193" t="str">
        <f>""</f>
        <v/>
      </c>
      <c r="W225" s="193" t="str">
        <f>""</f>
        <v/>
      </c>
      <c r="X225" s="258" t="str">
        <f t="shared" si="13"/>
        <v/>
      </c>
      <c r="Y225" s="258" t="str">
        <f t="shared" si="14"/>
        <v/>
      </c>
      <c r="Z225" s="193" t="str">
        <f>IF(A225="","",IF(COUNTIF('Observaciones-SMP'!$A$2:$A$1001,A225)&gt;1,1,0))</f>
        <v/>
      </c>
      <c r="AA225" s="193" t="str">
        <f t="shared" si="15"/>
        <v/>
      </c>
    </row>
    <row r="226" spans="1:27" ht="13.5" customHeight="1" x14ac:dyDescent="0.3">
      <c r="A226" s="193" t="str">
        <f>IF('Observaciones-SMP'!A226="","",'Observaciones-SMP'!A226)</f>
        <v/>
      </c>
      <c r="B226" s="257" t="str">
        <f>IF('Observaciones-SMP'!B226="","",'Observaciones-SMP'!B226)</f>
        <v/>
      </c>
      <c r="C226" s="193" t="str">
        <f>IF('Observaciones-SMP'!C226="","",'Observaciones-SMP'!C226)</f>
        <v/>
      </c>
      <c r="D226" s="193" t="str">
        <f>IF('Observaciones-SMP'!D226="","",'Observaciones-SMP'!D226)</f>
        <v/>
      </c>
      <c r="E226" s="193" t="str">
        <f>IF('Observaciones-SMP'!E226="","",'Observaciones-SMP'!E226)</f>
        <v/>
      </c>
      <c r="F226" s="193" t="str">
        <f>IF('Observaciones-SMP'!F226="","",'Observaciones-SMP'!F226)</f>
        <v/>
      </c>
      <c r="G226" s="193" t="str">
        <f>IF('Observaciones-SMP'!G226="","",'Observaciones-SMP'!G226)</f>
        <v/>
      </c>
      <c r="H226" s="193" t="str">
        <f>IF('Observaciones-SMP'!H226="","",'Observaciones-SMP'!H226)</f>
        <v/>
      </c>
      <c r="I226" s="193" t="str">
        <f>IF('Observaciones-SMP'!I226="","",'Observaciones-SMP'!I226)</f>
        <v/>
      </c>
      <c r="J226" s="193" t="str">
        <f>IF('Observaciones-SMP'!J226="","",'Observaciones-SMP'!J226)</f>
        <v/>
      </c>
      <c r="K226" s="193" t="str">
        <f>IF('Observaciones-SMP'!K226="","",'Observaciones-SMP'!K226)</f>
        <v/>
      </c>
      <c r="L226" s="193" t="str">
        <f>IF('Observaciones-SMP'!L226="","",'Observaciones-SMP'!L226)</f>
        <v/>
      </c>
      <c r="M226" s="193" t="str">
        <f>IF('Observaciones-SMP'!M226="","",'Observaciones-SMP'!M226)</f>
        <v/>
      </c>
      <c r="N226" s="193" t="str">
        <f>IF('Observaciones-SMP'!N226="","",'Observaciones-SMP'!N226)</f>
        <v/>
      </c>
      <c r="O226" s="193" t="str">
        <f>IF('Observaciones-SMP'!O226="","",'Observaciones-SMP'!O226)</f>
        <v/>
      </c>
      <c r="P226" s="193" t="str">
        <f>IF('Observaciones-SMP'!P226="","",'Observaciones-SMP'!P226)</f>
        <v/>
      </c>
      <c r="Q226" s="257" t="str">
        <f>IF('Observaciones-SMP'!S226="","",'Observaciones-SMP'!S226)</f>
        <v/>
      </c>
      <c r="R226" s="193" t="str">
        <f>IF('Observaciones-SMP'!T226="","",'Observaciones-SMP'!T226)</f>
        <v/>
      </c>
      <c r="S226" s="193" t="str">
        <f>""</f>
        <v/>
      </c>
      <c r="T226" s="193" t="str">
        <f>""</f>
        <v/>
      </c>
      <c r="U226" s="193" t="str">
        <f t="shared" si="12"/>
        <v/>
      </c>
      <c r="V226" s="193" t="str">
        <f>""</f>
        <v/>
      </c>
      <c r="W226" s="193" t="str">
        <f>""</f>
        <v/>
      </c>
      <c r="X226" s="258" t="str">
        <f t="shared" si="13"/>
        <v/>
      </c>
      <c r="Y226" s="258" t="str">
        <f t="shared" si="14"/>
        <v/>
      </c>
      <c r="Z226" s="193" t="str">
        <f>IF(A226="","",IF(COUNTIF('Observaciones-SMP'!$A$2:$A$1001,A226)&gt;1,1,0))</f>
        <v/>
      </c>
      <c r="AA226" s="193" t="str">
        <f t="shared" si="15"/>
        <v/>
      </c>
    </row>
    <row r="227" spans="1:27" ht="13.5" customHeight="1" x14ac:dyDescent="0.3">
      <c r="A227" s="193" t="str">
        <f>IF('Observaciones-SMP'!A227="","",'Observaciones-SMP'!A227)</f>
        <v/>
      </c>
      <c r="B227" s="257" t="str">
        <f>IF('Observaciones-SMP'!B227="","",'Observaciones-SMP'!B227)</f>
        <v/>
      </c>
      <c r="C227" s="193" t="str">
        <f>IF('Observaciones-SMP'!C227="","",'Observaciones-SMP'!C227)</f>
        <v/>
      </c>
      <c r="D227" s="193" t="str">
        <f>IF('Observaciones-SMP'!D227="","",'Observaciones-SMP'!D227)</f>
        <v/>
      </c>
      <c r="E227" s="193" t="str">
        <f>IF('Observaciones-SMP'!E227="","",'Observaciones-SMP'!E227)</f>
        <v/>
      </c>
      <c r="F227" s="193" t="str">
        <f>IF('Observaciones-SMP'!F227="","",'Observaciones-SMP'!F227)</f>
        <v/>
      </c>
      <c r="G227" s="193" t="str">
        <f>IF('Observaciones-SMP'!G227="","",'Observaciones-SMP'!G227)</f>
        <v/>
      </c>
      <c r="H227" s="193" t="str">
        <f>IF('Observaciones-SMP'!H227="","",'Observaciones-SMP'!H227)</f>
        <v/>
      </c>
      <c r="I227" s="193" t="str">
        <f>IF('Observaciones-SMP'!I227="","",'Observaciones-SMP'!I227)</f>
        <v/>
      </c>
      <c r="J227" s="193" t="str">
        <f>IF('Observaciones-SMP'!J227="","",'Observaciones-SMP'!J227)</f>
        <v/>
      </c>
      <c r="K227" s="193" t="str">
        <f>IF('Observaciones-SMP'!K227="","",'Observaciones-SMP'!K227)</f>
        <v/>
      </c>
      <c r="L227" s="193" t="str">
        <f>IF('Observaciones-SMP'!L227="","",'Observaciones-SMP'!L227)</f>
        <v/>
      </c>
      <c r="M227" s="193" t="str">
        <f>IF('Observaciones-SMP'!M227="","",'Observaciones-SMP'!M227)</f>
        <v/>
      </c>
      <c r="N227" s="193" t="str">
        <f>IF('Observaciones-SMP'!N227="","",'Observaciones-SMP'!N227)</f>
        <v/>
      </c>
      <c r="O227" s="193" t="str">
        <f>IF('Observaciones-SMP'!O227="","",'Observaciones-SMP'!O227)</f>
        <v/>
      </c>
      <c r="P227" s="193" t="str">
        <f>IF('Observaciones-SMP'!P227="","",'Observaciones-SMP'!P227)</f>
        <v/>
      </c>
      <c r="Q227" s="257" t="str">
        <f>IF('Observaciones-SMP'!S227="","",'Observaciones-SMP'!S227)</f>
        <v/>
      </c>
      <c r="R227" s="193" t="str">
        <f>IF('Observaciones-SMP'!T227="","",'Observaciones-SMP'!T227)</f>
        <v/>
      </c>
      <c r="S227" s="193" t="str">
        <f>""</f>
        <v/>
      </c>
      <c r="T227" s="193" t="str">
        <f>""</f>
        <v/>
      </c>
      <c r="U227" s="193" t="str">
        <f t="shared" si="12"/>
        <v/>
      </c>
      <c r="V227" s="193" t="str">
        <f>""</f>
        <v/>
      </c>
      <c r="W227" s="193" t="str">
        <f>""</f>
        <v/>
      </c>
      <c r="X227" s="258" t="str">
        <f t="shared" si="13"/>
        <v/>
      </c>
      <c r="Y227" s="258" t="str">
        <f t="shared" si="14"/>
        <v/>
      </c>
      <c r="Z227" s="193" t="str">
        <f>IF(A227="","",IF(COUNTIF('Observaciones-SMP'!$A$2:$A$1001,A227)&gt;1,1,0))</f>
        <v/>
      </c>
      <c r="AA227" s="193" t="str">
        <f t="shared" si="15"/>
        <v/>
      </c>
    </row>
    <row r="228" spans="1:27" ht="13.5" customHeight="1" x14ac:dyDescent="0.3">
      <c r="A228" s="193" t="str">
        <f>IF('Observaciones-SMP'!A228="","",'Observaciones-SMP'!A228)</f>
        <v/>
      </c>
      <c r="B228" s="257" t="str">
        <f>IF('Observaciones-SMP'!B228="","",'Observaciones-SMP'!B228)</f>
        <v/>
      </c>
      <c r="C228" s="193" t="str">
        <f>IF('Observaciones-SMP'!C228="","",'Observaciones-SMP'!C228)</f>
        <v/>
      </c>
      <c r="D228" s="193" t="str">
        <f>IF('Observaciones-SMP'!D228="","",'Observaciones-SMP'!D228)</f>
        <v/>
      </c>
      <c r="E228" s="193" t="str">
        <f>IF('Observaciones-SMP'!E228="","",'Observaciones-SMP'!E228)</f>
        <v/>
      </c>
      <c r="F228" s="193" t="str">
        <f>IF('Observaciones-SMP'!F228="","",'Observaciones-SMP'!F228)</f>
        <v/>
      </c>
      <c r="G228" s="193" t="str">
        <f>IF('Observaciones-SMP'!G228="","",'Observaciones-SMP'!G228)</f>
        <v/>
      </c>
      <c r="H228" s="193" t="str">
        <f>IF('Observaciones-SMP'!H228="","",'Observaciones-SMP'!H228)</f>
        <v/>
      </c>
      <c r="I228" s="193" t="str">
        <f>IF('Observaciones-SMP'!I228="","",'Observaciones-SMP'!I228)</f>
        <v/>
      </c>
      <c r="J228" s="193" t="str">
        <f>IF('Observaciones-SMP'!J228="","",'Observaciones-SMP'!J228)</f>
        <v/>
      </c>
      <c r="K228" s="193" t="str">
        <f>IF('Observaciones-SMP'!K228="","",'Observaciones-SMP'!K228)</f>
        <v/>
      </c>
      <c r="L228" s="193" t="str">
        <f>IF('Observaciones-SMP'!L228="","",'Observaciones-SMP'!L228)</f>
        <v/>
      </c>
      <c r="M228" s="193" t="str">
        <f>IF('Observaciones-SMP'!M228="","",'Observaciones-SMP'!M228)</f>
        <v/>
      </c>
      <c r="N228" s="193" t="str">
        <f>IF('Observaciones-SMP'!N228="","",'Observaciones-SMP'!N228)</f>
        <v/>
      </c>
      <c r="O228" s="193" t="str">
        <f>IF('Observaciones-SMP'!O228="","",'Observaciones-SMP'!O228)</f>
        <v/>
      </c>
      <c r="P228" s="193" t="str">
        <f>IF('Observaciones-SMP'!P228="","",'Observaciones-SMP'!P228)</f>
        <v/>
      </c>
      <c r="Q228" s="257" t="str">
        <f>IF('Observaciones-SMP'!S228="","",'Observaciones-SMP'!S228)</f>
        <v/>
      </c>
      <c r="R228" s="193" t="str">
        <f>IF('Observaciones-SMP'!T228="","",'Observaciones-SMP'!T228)</f>
        <v/>
      </c>
      <c r="S228" s="193" t="str">
        <f>""</f>
        <v/>
      </c>
      <c r="T228" s="193" t="str">
        <f>""</f>
        <v/>
      </c>
      <c r="U228" s="193" t="str">
        <f t="shared" si="12"/>
        <v/>
      </c>
      <c r="V228" s="193" t="str">
        <f>""</f>
        <v/>
      </c>
      <c r="W228" s="193" t="str">
        <f>""</f>
        <v/>
      </c>
      <c r="X228" s="258" t="str">
        <f t="shared" si="13"/>
        <v/>
      </c>
      <c r="Y228" s="258" t="str">
        <f t="shared" si="14"/>
        <v/>
      </c>
      <c r="Z228" s="193" t="str">
        <f>IF(A228="","",IF(COUNTIF('Observaciones-SMP'!$A$2:$A$1001,A228)&gt;1,1,0))</f>
        <v/>
      </c>
      <c r="AA228" s="193" t="str">
        <f t="shared" si="15"/>
        <v/>
      </c>
    </row>
    <row r="229" spans="1:27" ht="13.5" customHeight="1" x14ac:dyDescent="0.3">
      <c r="A229" s="193" t="str">
        <f>IF('Observaciones-SMP'!A229="","",'Observaciones-SMP'!A229)</f>
        <v/>
      </c>
      <c r="B229" s="257" t="str">
        <f>IF('Observaciones-SMP'!B229="","",'Observaciones-SMP'!B229)</f>
        <v/>
      </c>
      <c r="C229" s="193" t="str">
        <f>IF('Observaciones-SMP'!C229="","",'Observaciones-SMP'!C229)</f>
        <v/>
      </c>
      <c r="D229" s="193" t="str">
        <f>IF('Observaciones-SMP'!D229="","",'Observaciones-SMP'!D229)</f>
        <v/>
      </c>
      <c r="E229" s="193" t="str">
        <f>IF('Observaciones-SMP'!E229="","",'Observaciones-SMP'!E229)</f>
        <v/>
      </c>
      <c r="F229" s="193" t="str">
        <f>IF('Observaciones-SMP'!F229="","",'Observaciones-SMP'!F229)</f>
        <v/>
      </c>
      <c r="G229" s="193" t="str">
        <f>IF('Observaciones-SMP'!G229="","",'Observaciones-SMP'!G229)</f>
        <v/>
      </c>
      <c r="H229" s="193" t="str">
        <f>IF('Observaciones-SMP'!H229="","",'Observaciones-SMP'!H229)</f>
        <v/>
      </c>
      <c r="I229" s="193" t="str">
        <f>IF('Observaciones-SMP'!I229="","",'Observaciones-SMP'!I229)</f>
        <v/>
      </c>
      <c r="J229" s="193" t="str">
        <f>IF('Observaciones-SMP'!J229="","",'Observaciones-SMP'!J229)</f>
        <v/>
      </c>
      <c r="K229" s="193" t="str">
        <f>IF('Observaciones-SMP'!K229="","",'Observaciones-SMP'!K229)</f>
        <v/>
      </c>
      <c r="L229" s="193" t="str">
        <f>IF('Observaciones-SMP'!L229="","",'Observaciones-SMP'!L229)</f>
        <v/>
      </c>
      <c r="M229" s="193" t="str">
        <f>IF('Observaciones-SMP'!M229="","",'Observaciones-SMP'!M229)</f>
        <v/>
      </c>
      <c r="N229" s="193" t="str">
        <f>IF('Observaciones-SMP'!N229="","",'Observaciones-SMP'!N229)</f>
        <v/>
      </c>
      <c r="O229" s="193" t="str">
        <f>IF('Observaciones-SMP'!O229="","",'Observaciones-SMP'!O229)</f>
        <v/>
      </c>
      <c r="P229" s="193" t="str">
        <f>IF('Observaciones-SMP'!P229="","",'Observaciones-SMP'!P229)</f>
        <v/>
      </c>
      <c r="Q229" s="257" t="str">
        <f>IF('Observaciones-SMP'!S229="","",'Observaciones-SMP'!S229)</f>
        <v/>
      </c>
      <c r="R229" s="193" t="str">
        <f>IF('Observaciones-SMP'!T229="","",'Observaciones-SMP'!T229)</f>
        <v/>
      </c>
      <c r="S229" s="193" t="str">
        <f>""</f>
        <v/>
      </c>
      <c r="T229" s="193" t="str">
        <f>""</f>
        <v/>
      </c>
      <c r="U229" s="193" t="str">
        <f t="shared" si="12"/>
        <v/>
      </c>
      <c r="V229" s="193" t="str">
        <f>""</f>
        <v/>
      </c>
      <c r="W229" s="193" t="str">
        <f>""</f>
        <v/>
      </c>
      <c r="X229" s="258" t="str">
        <f t="shared" si="13"/>
        <v/>
      </c>
      <c r="Y229" s="258" t="str">
        <f t="shared" si="14"/>
        <v/>
      </c>
      <c r="Z229" s="193" t="str">
        <f>IF(A229="","",IF(COUNTIF('Observaciones-SMP'!$A$2:$A$1001,A229)&gt;1,1,0))</f>
        <v/>
      </c>
      <c r="AA229" s="193" t="str">
        <f t="shared" si="15"/>
        <v/>
      </c>
    </row>
    <row r="230" spans="1:27" ht="13.5" customHeight="1" x14ac:dyDescent="0.3">
      <c r="A230" s="193" t="str">
        <f>IF('Observaciones-SMP'!A230="","",'Observaciones-SMP'!A230)</f>
        <v/>
      </c>
      <c r="B230" s="257" t="str">
        <f>IF('Observaciones-SMP'!B230="","",'Observaciones-SMP'!B230)</f>
        <v/>
      </c>
      <c r="C230" s="193" t="str">
        <f>IF('Observaciones-SMP'!C230="","",'Observaciones-SMP'!C230)</f>
        <v/>
      </c>
      <c r="D230" s="193" t="str">
        <f>IF('Observaciones-SMP'!D230="","",'Observaciones-SMP'!D230)</f>
        <v/>
      </c>
      <c r="E230" s="193" t="str">
        <f>IF('Observaciones-SMP'!E230="","",'Observaciones-SMP'!E230)</f>
        <v/>
      </c>
      <c r="F230" s="193" t="str">
        <f>IF('Observaciones-SMP'!F230="","",'Observaciones-SMP'!F230)</f>
        <v/>
      </c>
      <c r="G230" s="193" t="str">
        <f>IF('Observaciones-SMP'!G230="","",'Observaciones-SMP'!G230)</f>
        <v/>
      </c>
      <c r="H230" s="193" t="str">
        <f>IF('Observaciones-SMP'!H230="","",'Observaciones-SMP'!H230)</f>
        <v/>
      </c>
      <c r="I230" s="193" t="str">
        <f>IF('Observaciones-SMP'!I230="","",'Observaciones-SMP'!I230)</f>
        <v/>
      </c>
      <c r="J230" s="193" t="str">
        <f>IF('Observaciones-SMP'!J230="","",'Observaciones-SMP'!J230)</f>
        <v/>
      </c>
      <c r="K230" s="193" t="str">
        <f>IF('Observaciones-SMP'!K230="","",'Observaciones-SMP'!K230)</f>
        <v/>
      </c>
      <c r="L230" s="193" t="str">
        <f>IF('Observaciones-SMP'!L230="","",'Observaciones-SMP'!L230)</f>
        <v/>
      </c>
      <c r="M230" s="193" t="str">
        <f>IF('Observaciones-SMP'!M230="","",'Observaciones-SMP'!M230)</f>
        <v/>
      </c>
      <c r="N230" s="193" t="str">
        <f>IF('Observaciones-SMP'!N230="","",'Observaciones-SMP'!N230)</f>
        <v/>
      </c>
      <c r="O230" s="193" t="str">
        <f>IF('Observaciones-SMP'!O230="","",'Observaciones-SMP'!O230)</f>
        <v/>
      </c>
      <c r="P230" s="193" t="str">
        <f>IF('Observaciones-SMP'!P230="","",'Observaciones-SMP'!P230)</f>
        <v/>
      </c>
      <c r="Q230" s="257" t="str">
        <f>IF('Observaciones-SMP'!S230="","",'Observaciones-SMP'!S230)</f>
        <v/>
      </c>
      <c r="R230" s="193" t="str">
        <f>IF('Observaciones-SMP'!T230="","",'Observaciones-SMP'!T230)</f>
        <v/>
      </c>
      <c r="S230" s="193" t="str">
        <f>""</f>
        <v/>
      </c>
      <c r="T230" s="193" t="str">
        <f>""</f>
        <v/>
      </c>
      <c r="U230" s="193" t="str">
        <f t="shared" si="12"/>
        <v/>
      </c>
      <c r="V230" s="193" t="str">
        <f>""</f>
        <v/>
      </c>
      <c r="W230" s="193" t="str">
        <f>""</f>
        <v/>
      </c>
      <c r="X230" s="258" t="str">
        <f t="shared" si="13"/>
        <v/>
      </c>
      <c r="Y230" s="258" t="str">
        <f t="shared" si="14"/>
        <v/>
      </c>
      <c r="Z230" s="193" t="str">
        <f>IF(A230="","",IF(COUNTIF('Observaciones-SMP'!$A$2:$A$1001,A230)&gt;1,1,0))</f>
        <v/>
      </c>
      <c r="AA230" s="193" t="str">
        <f t="shared" si="15"/>
        <v/>
      </c>
    </row>
    <row r="231" spans="1:27" ht="13.5" customHeight="1" x14ac:dyDescent="0.3">
      <c r="A231" s="193" t="str">
        <f>IF('Observaciones-SMP'!A231="","",'Observaciones-SMP'!A231)</f>
        <v/>
      </c>
      <c r="B231" s="257" t="str">
        <f>IF('Observaciones-SMP'!B231="","",'Observaciones-SMP'!B231)</f>
        <v/>
      </c>
      <c r="C231" s="193" t="str">
        <f>IF('Observaciones-SMP'!C231="","",'Observaciones-SMP'!C231)</f>
        <v/>
      </c>
      <c r="D231" s="193" t="str">
        <f>IF('Observaciones-SMP'!D231="","",'Observaciones-SMP'!D231)</f>
        <v/>
      </c>
      <c r="E231" s="193" t="str">
        <f>IF('Observaciones-SMP'!E231="","",'Observaciones-SMP'!E231)</f>
        <v/>
      </c>
      <c r="F231" s="193" t="str">
        <f>IF('Observaciones-SMP'!F231="","",'Observaciones-SMP'!F231)</f>
        <v/>
      </c>
      <c r="G231" s="193" t="str">
        <f>IF('Observaciones-SMP'!G231="","",'Observaciones-SMP'!G231)</f>
        <v/>
      </c>
      <c r="H231" s="193" t="str">
        <f>IF('Observaciones-SMP'!H231="","",'Observaciones-SMP'!H231)</f>
        <v/>
      </c>
      <c r="I231" s="193" t="str">
        <f>IF('Observaciones-SMP'!I231="","",'Observaciones-SMP'!I231)</f>
        <v/>
      </c>
      <c r="J231" s="193" t="str">
        <f>IF('Observaciones-SMP'!J231="","",'Observaciones-SMP'!J231)</f>
        <v/>
      </c>
      <c r="K231" s="193" t="str">
        <f>IF('Observaciones-SMP'!K231="","",'Observaciones-SMP'!K231)</f>
        <v/>
      </c>
      <c r="L231" s="193" t="str">
        <f>IF('Observaciones-SMP'!L231="","",'Observaciones-SMP'!L231)</f>
        <v/>
      </c>
      <c r="M231" s="193" t="str">
        <f>IF('Observaciones-SMP'!M231="","",'Observaciones-SMP'!M231)</f>
        <v/>
      </c>
      <c r="N231" s="193" t="str">
        <f>IF('Observaciones-SMP'!N231="","",'Observaciones-SMP'!N231)</f>
        <v/>
      </c>
      <c r="O231" s="193" t="str">
        <f>IF('Observaciones-SMP'!O231="","",'Observaciones-SMP'!O231)</f>
        <v/>
      </c>
      <c r="P231" s="193" t="str">
        <f>IF('Observaciones-SMP'!P231="","",'Observaciones-SMP'!P231)</f>
        <v/>
      </c>
      <c r="Q231" s="257" t="str">
        <f>IF('Observaciones-SMP'!S231="","",'Observaciones-SMP'!S231)</f>
        <v/>
      </c>
      <c r="R231" s="193" t="str">
        <f>IF('Observaciones-SMP'!T231="","",'Observaciones-SMP'!T231)</f>
        <v/>
      </c>
      <c r="S231" s="193" t="str">
        <f>""</f>
        <v/>
      </c>
      <c r="T231" s="193" t="str">
        <f>""</f>
        <v/>
      </c>
      <c r="U231" s="193" t="str">
        <f t="shared" si="12"/>
        <v/>
      </c>
      <c r="V231" s="193" t="str">
        <f>""</f>
        <v/>
      </c>
      <c r="W231" s="193" t="str">
        <f>""</f>
        <v/>
      </c>
      <c r="X231" s="258" t="str">
        <f t="shared" si="13"/>
        <v/>
      </c>
      <c r="Y231" s="258" t="str">
        <f t="shared" si="14"/>
        <v/>
      </c>
      <c r="Z231" s="193" t="str">
        <f>IF(A231="","",IF(COUNTIF('Observaciones-SMP'!$A$2:$A$1001,A231)&gt;1,1,0))</f>
        <v/>
      </c>
      <c r="AA231" s="193" t="str">
        <f t="shared" si="15"/>
        <v/>
      </c>
    </row>
    <row r="232" spans="1:27" ht="13.5" customHeight="1" x14ac:dyDescent="0.3">
      <c r="A232" s="193" t="str">
        <f>IF('Observaciones-SMP'!A232="","",'Observaciones-SMP'!A232)</f>
        <v/>
      </c>
      <c r="B232" s="257" t="str">
        <f>IF('Observaciones-SMP'!B232="","",'Observaciones-SMP'!B232)</f>
        <v/>
      </c>
      <c r="C232" s="193" t="str">
        <f>IF('Observaciones-SMP'!C232="","",'Observaciones-SMP'!C232)</f>
        <v/>
      </c>
      <c r="D232" s="193" t="str">
        <f>IF('Observaciones-SMP'!D232="","",'Observaciones-SMP'!D232)</f>
        <v/>
      </c>
      <c r="E232" s="193" t="str">
        <f>IF('Observaciones-SMP'!E232="","",'Observaciones-SMP'!E232)</f>
        <v/>
      </c>
      <c r="F232" s="193" t="str">
        <f>IF('Observaciones-SMP'!F232="","",'Observaciones-SMP'!F232)</f>
        <v/>
      </c>
      <c r="G232" s="193" t="str">
        <f>IF('Observaciones-SMP'!G232="","",'Observaciones-SMP'!G232)</f>
        <v/>
      </c>
      <c r="H232" s="193" t="str">
        <f>IF('Observaciones-SMP'!H232="","",'Observaciones-SMP'!H232)</f>
        <v/>
      </c>
      <c r="I232" s="193" t="str">
        <f>IF('Observaciones-SMP'!I232="","",'Observaciones-SMP'!I232)</f>
        <v/>
      </c>
      <c r="J232" s="193" t="str">
        <f>IF('Observaciones-SMP'!J232="","",'Observaciones-SMP'!J232)</f>
        <v/>
      </c>
      <c r="K232" s="193" t="str">
        <f>IF('Observaciones-SMP'!K232="","",'Observaciones-SMP'!K232)</f>
        <v/>
      </c>
      <c r="L232" s="193" t="str">
        <f>IF('Observaciones-SMP'!L232="","",'Observaciones-SMP'!L232)</f>
        <v/>
      </c>
      <c r="M232" s="193" t="str">
        <f>IF('Observaciones-SMP'!M232="","",'Observaciones-SMP'!M232)</f>
        <v/>
      </c>
      <c r="N232" s="193" t="str">
        <f>IF('Observaciones-SMP'!N232="","",'Observaciones-SMP'!N232)</f>
        <v/>
      </c>
      <c r="O232" s="193" t="str">
        <f>IF('Observaciones-SMP'!O232="","",'Observaciones-SMP'!O232)</f>
        <v/>
      </c>
      <c r="P232" s="193" t="str">
        <f>IF('Observaciones-SMP'!P232="","",'Observaciones-SMP'!P232)</f>
        <v/>
      </c>
      <c r="Q232" s="257" t="str">
        <f>IF('Observaciones-SMP'!S232="","",'Observaciones-SMP'!S232)</f>
        <v/>
      </c>
      <c r="R232" s="193" t="str">
        <f>IF('Observaciones-SMP'!T232="","",'Observaciones-SMP'!T232)</f>
        <v/>
      </c>
      <c r="S232" s="193" t="str">
        <f>""</f>
        <v/>
      </c>
      <c r="T232" s="193" t="str">
        <f>""</f>
        <v/>
      </c>
      <c r="U232" s="193" t="str">
        <f t="shared" si="12"/>
        <v/>
      </c>
      <c r="V232" s="193" t="str">
        <f>""</f>
        <v/>
      </c>
      <c r="W232" s="193" t="str">
        <f>""</f>
        <v/>
      </c>
      <c r="X232" s="258" t="str">
        <f t="shared" si="13"/>
        <v/>
      </c>
      <c r="Y232" s="258" t="str">
        <f t="shared" si="14"/>
        <v/>
      </c>
      <c r="Z232" s="193" t="str">
        <f>IF(A232="","",IF(COUNTIF('Observaciones-SMP'!$A$2:$A$1001,A232)&gt;1,1,0))</f>
        <v/>
      </c>
      <c r="AA232" s="193" t="str">
        <f t="shared" si="15"/>
        <v/>
      </c>
    </row>
    <row r="233" spans="1:27" ht="13.5" customHeight="1" x14ac:dyDescent="0.3">
      <c r="A233" s="193" t="str">
        <f>IF('Observaciones-SMP'!A233="","",'Observaciones-SMP'!A233)</f>
        <v/>
      </c>
      <c r="B233" s="257" t="str">
        <f>IF('Observaciones-SMP'!B233="","",'Observaciones-SMP'!B233)</f>
        <v/>
      </c>
      <c r="C233" s="193" t="str">
        <f>IF('Observaciones-SMP'!C233="","",'Observaciones-SMP'!C233)</f>
        <v/>
      </c>
      <c r="D233" s="193" t="str">
        <f>IF('Observaciones-SMP'!D233="","",'Observaciones-SMP'!D233)</f>
        <v/>
      </c>
      <c r="E233" s="193" t="str">
        <f>IF('Observaciones-SMP'!E233="","",'Observaciones-SMP'!E233)</f>
        <v/>
      </c>
      <c r="F233" s="193" t="str">
        <f>IF('Observaciones-SMP'!F233="","",'Observaciones-SMP'!F233)</f>
        <v/>
      </c>
      <c r="G233" s="193" t="str">
        <f>IF('Observaciones-SMP'!G233="","",'Observaciones-SMP'!G233)</f>
        <v/>
      </c>
      <c r="H233" s="193" t="str">
        <f>IF('Observaciones-SMP'!H233="","",'Observaciones-SMP'!H233)</f>
        <v/>
      </c>
      <c r="I233" s="193" t="str">
        <f>IF('Observaciones-SMP'!I233="","",'Observaciones-SMP'!I233)</f>
        <v/>
      </c>
      <c r="J233" s="193" t="str">
        <f>IF('Observaciones-SMP'!J233="","",'Observaciones-SMP'!J233)</f>
        <v/>
      </c>
      <c r="K233" s="193" t="str">
        <f>IF('Observaciones-SMP'!K233="","",'Observaciones-SMP'!K233)</f>
        <v/>
      </c>
      <c r="L233" s="193" t="str">
        <f>IF('Observaciones-SMP'!L233="","",'Observaciones-SMP'!L233)</f>
        <v/>
      </c>
      <c r="M233" s="193" t="str">
        <f>IF('Observaciones-SMP'!M233="","",'Observaciones-SMP'!M233)</f>
        <v/>
      </c>
      <c r="N233" s="193" t="str">
        <f>IF('Observaciones-SMP'!N233="","",'Observaciones-SMP'!N233)</f>
        <v/>
      </c>
      <c r="O233" s="193" t="str">
        <f>IF('Observaciones-SMP'!O233="","",'Observaciones-SMP'!O233)</f>
        <v/>
      </c>
      <c r="P233" s="193" t="str">
        <f>IF('Observaciones-SMP'!P233="","",'Observaciones-SMP'!P233)</f>
        <v/>
      </c>
      <c r="Q233" s="257" t="str">
        <f>IF('Observaciones-SMP'!S233="","",'Observaciones-SMP'!S233)</f>
        <v/>
      </c>
      <c r="R233" s="193" t="str">
        <f>IF('Observaciones-SMP'!T233="","",'Observaciones-SMP'!T233)</f>
        <v/>
      </c>
      <c r="S233" s="193" t="str">
        <f>""</f>
        <v/>
      </c>
      <c r="T233" s="193" t="str">
        <f>""</f>
        <v/>
      </c>
      <c r="U233" s="193" t="str">
        <f t="shared" si="12"/>
        <v/>
      </c>
      <c r="V233" s="193" t="str">
        <f>""</f>
        <v/>
      </c>
      <c r="W233" s="193" t="str">
        <f>""</f>
        <v/>
      </c>
      <c r="X233" s="258" t="str">
        <f t="shared" si="13"/>
        <v/>
      </c>
      <c r="Y233" s="258" t="str">
        <f t="shared" si="14"/>
        <v/>
      </c>
      <c r="Z233" s="193" t="str">
        <f>IF(A233="","",IF(COUNTIF('Observaciones-SMP'!$A$2:$A$1001,A233)&gt;1,1,0))</f>
        <v/>
      </c>
      <c r="AA233" s="193" t="str">
        <f t="shared" si="15"/>
        <v/>
      </c>
    </row>
    <row r="234" spans="1:27" ht="13.5" customHeight="1" x14ac:dyDescent="0.3">
      <c r="A234" s="193" t="str">
        <f>IF('Observaciones-SMP'!A234="","",'Observaciones-SMP'!A234)</f>
        <v/>
      </c>
      <c r="B234" s="257" t="str">
        <f>IF('Observaciones-SMP'!B234="","",'Observaciones-SMP'!B234)</f>
        <v/>
      </c>
      <c r="C234" s="193" t="str">
        <f>IF('Observaciones-SMP'!C234="","",'Observaciones-SMP'!C234)</f>
        <v/>
      </c>
      <c r="D234" s="193" t="str">
        <f>IF('Observaciones-SMP'!D234="","",'Observaciones-SMP'!D234)</f>
        <v/>
      </c>
      <c r="E234" s="193" t="str">
        <f>IF('Observaciones-SMP'!E234="","",'Observaciones-SMP'!E234)</f>
        <v/>
      </c>
      <c r="F234" s="193" t="str">
        <f>IF('Observaciones-SMP'!F234="","",'Observaciones-SMP'!F234)</f>
        <v/>
      </c>
      <c r="G234" s="193" t="str">
        <f>IF('Observaciones-SMP'!G234="","",'Observaciones-SMP'!G234)</f>
        <v/>
      </c>
      <c r="H234" s="193" t="str">
        <f>IF('Observaciones-SMP'!H234="","",'Observaciones-SMP'!H234)</f>
        <v/>
      </c>
      <c r="I234" s="193" t="str">
        <f>IF('Observaciones-SMP'!I234="","",'Observaciones-SMP'!I234)</f>
        <v/>
      </c>
      <c r="J234" s="193" t="str">
        <f>IF('Observaciones-SMP'!J234="","",'Observaciones-SMP'!J234)</f>
        <v/>
      </c>
      <c r="K234" s="193" t="str">
        <f>IF('Observaciones-SMP'!K234="","",'Observaciones-SMP'!K234)</f>
        <v/>
      </c>
      <c r="L234" s="193" t="str">
        <f>IF('Observaciones-SMP'!L234="","",'Observaciones-SMP'!L234)</f>
        <v/>
      </c>
      <c r="M234" s="193" t="str">
        <f>IF('Observaciones-SMP'!M234="","",'Observaciones-SMP'!M234)</f>
        <v/>
      </c>
      <c r="N234" s="193" t="str">
        <f>IF('Observaciones-SMP'!N234="","",'Observaciones-SMP'!N234)</f>
        <v/>
      </c>
      <c r="O234" s="193" t="str">
        <f>IF('Observaciones-SMP'!O234="","",'Observaciones-SMP'!O234)</f>
        <v/>
      </c>
      <c r="P234" s="193" t="str">
        <f>IF('Observaciones-SMP'!P234="","",'Observaciones-SMP'!P234)</f>
        <v/>
      </c>
      <c r="Q234" s="257" t="str">
        <f>IF('Observaciones-SMP'!S234="","",'Observaciones-SMP'!S234)</f>
        <v/>
      </c>
      <c r="R234" s="193" t="str">
        <f>IF('Observaciones-SMP'!T234="","",'Observaciones-SMP'!T234)</f>
        <v/>
      </c>
      <c r="S234" s="193" t="str">
        <f>""</f>
        <v/>
      </c>
      <c r="T234" s="193" t="str">
        <f>""</f>
        <v/>
      </c>
      <c r="U234" s="193" t="str">
        <f t="shared" si="12"/>
        <v/>
      </c>
      <c r="V234" s="193" t="str">
        <f>""</f>
        <v/>
      </c>
      <c r="W234" s="193" t="str">
        <f>""</f>
        <v/>
      </c>
      <c r="X234" s="258" t="str">
        <f t="shared" si="13"/>
        <v/>
      </c>
      <c r="Y234" s="258" t="str">
        <f t="shared" si="14"/>
        <v/>
      </c>
      <c r="Z234" s="193" t="str">
        <f>IF(A234="","",IF(COUNTIF('Observaciones-SMP'!$A$2:$A$1001,A234)&gt;1,1,0))</f>
        <v/>
      </c>
      <c r="AA234" s="193" t="str">
        <f t="shared" si="15"/>
        <v/>
      </c>
    </row>
    <row r="235" spans="1:27" ht="13.5" customHeight="1" x14ac:dyDescent="0.3">
      <c r="A235" s="193" t="str">
        <f>IF('Observaciones-SMP'!A235="","",'Observaciones-SMP'!A235)</f>
        <v/>
      </c>
      <c r="B235" s="257" t="str">
        <f>IF('Observaciones-SMP'!B235="","",'Observaciones-SMP'!B235)</f>
        <v/>
      </c>
      <c r="C235" s="193" t="str">
        <f>IF('Observaciones-SMP'!C235="","",'Observaciones-SMP'!C235)</f>
        <v/>
      </c>
      <c r="D235" s="193" t="str">
        <f>IF('Observaciones-SMP'!D235="","",'Observaciones-SMP'!D235)</f>
        <v/>
      </c>
      <c r="E235" s="193" t="str">
        <f>IF('Observaciones-SMP'!E235="","",'Observaciones-SMP'!E235)</f>
        <v/>
      </c>
      <c r="F235" s="193" t="str">
        <f>IF('Observaciones-SMP'!F235="","",'Observaciones-SMP'!F235)</f>
        <v/>
      </c>
      <c r="G235" s="193" t="str">
        <f>IF('Observaciones-SMP'!G235="","",'Observaciones-SMP'!G235)</f>
        <v/>
      </c>
      <c r="H235" s="193" t="str">
        <f>IF('Observaciones-SMP'!H235="","",'Observaciones-SMP'!H235)</f>
        <v/>
      </c>
      <c r="I235" s="193" t="str">
        <f>IF('Observaciones-SMP'!I235="","",'Observaciones-SMP'!I235)</f>
        <v/>
      </c>
      <c r="J235" s="193" t="str">
        <f>IF('Observaciones-SMP'!J235="","",'Observaciones-SMP'!J235)</f>
        <v/>
      </c>
      <c r="K235" s="193" t="str">
        <f>IF('Observaciones-SMP'!K235="","",'Observaciones-SMP'!K235)</f>
        <v/>
      </c>
      <c r="L235" s="193" t="str">
        <f>IF('Observaciones-SMP'!L235="","",'Observaciones-SMP'!L235)</f>
        <v/>
      </c>
      <c r="M235" s="193" t="str">
        <f>IF('Observaciones-SMP'!M235="","",'Observaciones-SMP'!M235)</f>
        <v/>
      </c>
      <c r="N235" s="193" t="str">
        <f>IF('Observaciones-SMP'!N235="","",'Observaciones-SMP'!N235)</f>
        <v/>
      </c>
      <c r="O235" s="193" t="str">
        <f>IF('Observaciones-SMP'!O235="","",'Observaciones-SMP'!O235)</f>
        <v/>
      </c>
      <c r="P235" s="193" t="str">
        <f>IF('Observaciones-SMP'!P235="","",'Observaciones-SMP'!P235)</f>
        <v/>
      </c>
      <c r="Q235" s="257" t="str">
        <f>IF('Observaciones-SMP'!S235="","",'Observaciones-SMP'!S235)</f>
        <v/>
      </c>
      <c r="R235" s="193" t="str">
        <f>IF('Observaciones-SMP'!T235="","",'Observaciones-SMP'!T235)</f>
        <v/>
      </c>
      <c r="S235" s="193" t="str">
        <f>""</f>
        <v/>
      </c>
      <c r="T235" s="193" t="str">
        <f>""</f>
        <v/>
      </c>
      <c r="U235" s="193" t="str">
        <f t="shared" si="12"/>
        <v/>
      </c>
      <c r="V235" s="193" t="str">
        <f>""</f>
        <v/>
      </c>
      <c r="W235" s="193" t="str">
        <f>""</f>
        <v/>
      </c>
      <c r="X235" s="258" t="str">
        <f t="shared" si="13"/>
        <v/>
      </c>
      <c r="Y235" s="258" t="str">
        <f t="shared" si="14"/>
        <v/>
      </c>
      <c r="Z235" s="193" t="str">
        <f>IF(A235="","",IF(COUNTIF('Observaciones-SMP'!$A$2:$A$1001,A235)&gt;1,1,0))</f>
        <v/>
      </c>
      <c r="AA235" s="193" t="str">
        <f t="shared" si="15"/>
        <v/>
      </c>
    </row>
    <row r="236" spans="1:27" ht="13.5" customHeight="1" x14ac:dyDescent="0.3">
      <c r="A236" s="193" t="str">
        <f>IF('Observaciones-SMP'!A236="","",'Observaciones-SMP'!A236)</f>
        <v/>
      </c>
      <c r="B236" s="257" t="str">
        <f>IF('Observaciones-SMP'!B236="","",'Observaciones-SMP'!B236)</f>
        <v/>
      </c>
      <c r="C236" s="193" t="str">
        <f>IF('Observaciones-SMP'!C236="","",'Observaciones-SMP'!C236)</f>
        <v/>
      </c>
      <c r="D236" s="193" t="str">
        <f>IF('Observaciones-SMP'!D236="","",'Observaciones-SMP'!D236)</f>
        <v/>
      </c>
      <c r="E236" s="193" t="str">
        <f>IF('Observaciones-SMP'!E236="","",'Observaciones-SMP'!E236)</f>
        <v/>
      </c>
      <c r="F236" s="193" t="str">
        <f>IF('Observaciones-SMP'!F236="","",'Observaciones-SMP'!F236)</f>
        <v/>
      </c>
      <c r="G236" s="193" t="str">
        <f>IF('Observaciones-SMP'!G236="","",'Observaciones-SMP'!G236)</f>
        <v/>
      </c>
      <c r="H236" s="193" t="str">
        <f>IF('Observaciones-SMP'!H236="","",'Observaciones-SMP'!H236)</f>
        <v/>
      </c>
      <c r="I236" s="193" t="str">
        <f>IF('Observaciones-SMP'!I236="","",'Observaciones-SMP'!I236)</f>
        <v/>
      </c>
      <c r="J236" s="193" t="str">
        <f>IF('Observaciones-SMP'!J236="","",'Observaciones-SMP'!J236)</f>
        <v/>
      </c>
      <c r="K236" s="193" t="str">
        <f>IF('Observaciones-SMP'!K236="","",'Observaciones-SMP'!K236)</f>
        <v/>
      </c>
      <c r="L236" s="193" t="str">
        <f>IF('Observaciones-SMP'!L236="","",'Observaciones-SMP'!L236)</f>
        <v/>
      </c>
      <c r="M236" s="193" t="str">
        <f>IF('Observaciones-SMP'!M236="","",'Observaciones-SMP'!M236)</f>
        <v/>
      </c>
      <c r="N236" s="193" t="str">
        <f>IF('Observaciones-SMP'!N236="","",'Observaciones-SMP'!N236)</f>
        <v/>
      </c>
      <c r="O236" s="193" t="str">
        <f>IF('Observaciones-SMP'!O236="","",'Observaciones-SMP'!O236)</f>
        <v/>
      </c>
      <c r="P236" s="193" t="str">
        <f>IF('Observaciones-SMP'!P236="","",'Observaciones-SMP'!P236)</f>
        <v/>
      </c>
      <c r="Q236" s="257" t="str">
        <f>IF('Observaciones-SMP'!S236="","",'Observaciones-SMP'!S236)</f>
        <v/>
      </c>
      <c r="R236" s="193" t="str">
        <f>IF('Observaciones-SMP'!T236="","",'Observaciones-SMP'!T236)</f>
        <v/>
      </c>
      <c r="S236" s="193" t="str">
        <f>""</f>
        <v/>
      </c>
      <c r="T236" s="193" t="str">
        <f>""</f>
        <v/>
      </c>
      <c r="U236" s="193" t="str">
        <f t="shared" si="12"/>
        <v/>
      </c>
      <c r="V236" s="193" t="str">
        <f>""</f>
        <v/>
      </c>
      <c r="W236" s="193" t="str">
        <f>""</f>
        <v/>
      </c>
      <c r="X236" s="258" t="str">
        <f t="shared" si="13"/>
        <v/>
      </c>
      <c r="Y236" s="258" t="str">
        <f t="shared" si="14"/>
        <v/>
      </c>
      <c r="Z236" s="193" t="str">
        <f>IF(A236="","",IF(COUNTIF('Observaciones-SMP'!$A$2:$A$1001,A236)&gt;1,1,0))</f>
        <v/>
      </c>
      <c r="AA236" s="193" t="str">
        <f t="shared" si="15"/>
        <v/>
      </c>
    </row>
    <row r="237" spans="1:27" ht="13.5" customHeight="1" x14ac:dyDescent="0.3">
      <c r="A237" s="193" t="str">
        <f>IF('Observaciones-SMP'!A237="","",'Observaciones-SMP'!A237)</f>
        <v/>
      </c>
      <c r="B237" s="257" t="str">
        <f>IF('Observaciones-SMP'!B237="","",'Observaciones-SMP'!B237)</f>
        <v/>
      </c>
      <c r="C237" s="193" t="str">
        <f>IF('Observaciones-SMP'!C237="","",'Observaciones-SMP'!C237)</f>
        <v/>
      </c>
      <c r="D237" s="193" t="str">
        <f>IF('Observaciones-SMP'!D237="","",'Observaciones-SMP'!D237)</f>
        <v/>
      </c>
      <c r="E237" s="193" t="str">
        <f>IF('Observaciones-SMP'!E237="","",'Observaciones-SMP'!E237)</f>
        <v/>
      </c>
      <c r="F237" s="193" t="str">
        <f>IF('Observaciones-SMP'!F237="","",'Observaciones-SMP'!F237)</f>
        <v/>
      </c>
      <c r="G237" s="193" t="str">
        <f>IF('Observaciones-SMP'!G237="","",'Observaciones-SMP'!G237)</f>
        <v/>
      </c>
      <c r="H237" s="193" t="str">
        <f>IF('Observaciones-SMP'!H237="","",'Observaciones-SMP'!H237)</f>
        <v/>
      </c>
      <c r="I237" s="193" t="str">
        <f>IF('Observaciones-SMP'!I237="","",'Observaciones-SMP'!I237)</f>
        <v/>
      </c>
      <c r="J237" s="193" t="str">
        <f>IF('Observaciones-SMP'!J237="","",'Observaciones-SMP'!J237)</f>
        <v/>
      </c>
      <c r="K237" s="193" t="str">
        <f>IF('Observaciones-SMP'!K237="","",'Observaciones-SMP'!K237)</f>
        <v/>
      </c>
      <c r="L237" s="193" t="str">
        <f>IF('Observaciones-SMP'!L237="","",'Observaciones-SMP'!L237)</f>
        <v/>
      </c>
      <c r="M237" s="193" t="str">
        <f>IF('Observaciones-SMP'!M237="","",'Observaciones-SMP'!M237)</f>
        <v/>
      </c>
      <c r="N237" s="193" t="str">
        <f>IF('Observaciones-SMP'!N237="","",'Observaciones-SMP'!N237)</f>
        <v/>
      </c>
      <c r="O237" s="193" t="str">
        <f>IF('Observaciones-SMP'!O237="","",'Observaciones-SMP'!O237)</f>
        <v/>
      </c>
      <c r="P237" s="193" t="str">
        <f>IF('Observaciones-SMP'!P237="","",'Observaciones-SMP'!P237)</f>
        <v/>
      </c>
      <c r="Q237" s="257" t="str">
        <f>IF('Observaciones-SMP'!S237="","",'Observaciones-SMP'!S237)</f>
        <v/>
      </c>
      <c r="R237" s="193" t="str">
        <f>IF('Observaciones-SMP'!T237="","",'Observaciones-SMP'!T237)</f>
        <v/>
      </c>
      <c r="S237" s="193" t="str">
        <f>""</f>
        <v/>
      </c>
      <c r="T237" s="193" t="str">
        <f>""</f>
        <v/>
      </c>
      <c r="U237" s="193" t="str">
        <f t="shared" si="12"/>
        <v/>
      </c>
      <c r="V237" s="193" t="str">
        <f>""</f>
        <v/>
      </c>
      <c r="W237" s="193" t="str">
        <f>""</f>
        <v/>
      </c>
      <c r="X237" s="258" t="str">
        <f t="shared" si="13"/>
        <v/>
      </c>
      <c r="Y237" s="258" t="str">
        <f t="shared" si="14"/>
        <v/>
      </c>
      <c r="Z237" s="193" t="str">
        <f>IF(A237="","",IF(COUNTIF('Observaciones-SMP'!$A$2:$A$1001,A237)&gt;1,1,0))</f>
        <v/>
      </c>
      <c r="AA237" s="193" t="str">
        <f t="shared" si="15"/>
        <v/>
      </c>
    </row>
    <row r="238" spans="1:27" ht="13.5" customHeight="1" x14ac:dyDescent="0.3">
      <c r="A238" s="193" t="str">
        <f>IF('Observaciones-SMP'!A238="","",'Observaciones-SMP'!A238)</f>
        <v/>
      </c>
      <c r="B238" s="257" t="str">
        <f>IF('Observaciones-SMP'!B238="","",'Observaciones-SMP'!B238)</f>
        <v/>
      </c>
      <c r="C238" s="193" t="str">
        <f>IF('Observaciones-SMP'!C238="","",'Observaciones-SMP'!C238)</f>
        <v/>
      </c>
      <c r="D238" s="193" t="str">
        <f>IF('Observaciones-SMP'!D238="","",'Observaciones-SMP'!D238)</f>
        <v/>
      </c>
      <c r="E238" s="193" t="str">
        <f>IF('Observaciones-SMP'!E238="","",'Observaciones-SMP'!E238)</f>
        <v/>
      </c>
      <c r="F238" s="193" t="str">
        <f>IF('Observaciones-SMP'!F238="","",'Observaciones-SMP'!F238)</f>
        <v/>
      </c>
      <c r="G238" s="193" t="str">
        <f>IF('Observaciones-SMP'!G238="","",'Observaciones-SMP'!G238)</f>
        <v/>
      </c>
      <c r="H238" s="193" t="str">
        <f>IF('Observaciones-SMP'!H238="","",'Observaciones-SMP'!H238)</f>
        <v/>
      </c>
      <c r="I238" s="193" t="str">
        <f>IF('Observaciones-SMP'!I238="","",'Observaciones-SMP'!I238)</f>
        <v/>
      </c>
      <c r="J238" s="193" t="str">
        <f>IF('Observaciones-SMP'!J238="","",'Observaciones-SMP'!J238)</f>
        <v/>
      </c>
      <c r="K238" s="193" t="str">
        <f>IF('Observaciones-SMP'!K238="","",'Observaciones-SMP'!K238)</f>
        <v/>
      </c>
      <c r="L238" s="193" t="str">
        <f>IF('Observaciones-SMP'!L238="","",'Observaciones-SMP'!L238)</f>
        <v/>
      </c>
      <c r="M238" s="193" t="str">
        <f>IF('Observaciones-SMP'!M238="","",'Observaciones-SMP'!M238)</f>
        <v/>
      </c>
      <c r="N238" s="193" t="str">
        <f>IF('Observaciones-SMP'!N238="","",'Observaciones-SMP'!N238)</f>
        <v/>
      </c>
      <c r="O238" s="193" t="str">
        <f>IF('Observaciones-SMP'!O238="","",'Observaciones-SMP'!O238)</f>
        <v/>
      </c>
      <c r="P238" s="193" t="str">
        <f>IF('Observaciones-SMP'!P238="","",'Observaciones-SMP'!P238)</f>
        <v/>
      </c>
      <c r="Q238" s="257" t="str">
        <f>IF('Observaciones-SMP'!S238="","",'Observaciones-SMP'!S238)</f>
        <v/>
      </c>
      <c r="R238" s="193" t="str">
        <f>IF('Observaciones-SMP'!T238="","",'Observaciones-SMP'!T238)</f>
        <v/>
      </c>
      <c r="S238" s="193" t="str">
        <f>""</f>
        <v/>
      </c>
      <c r="T238" s="193" t="str">
        <f>""</f>
        <v/>
      </c>
      <c r="U238" s="193" t="str">
        <f t="shared" si="12"/>
        <v/>
      </c>
      <c r="V238" s="193" t="str">
        <f>""</f>
        <v/>
      </c>
      <c r="W238" s="193" t="str">
        <f>""</f>
        <v/>
      </c>
      <c r="X238" s="258" t="str">
        <f t="shared" si="13"/>
        <v/>
      </c>
      <c r="Y238" s="258" t="str">
        <f t="shared" si="14"/>
        <v/>
      </c>
      <c r="Z238" s="193" t="str">
        <f>IF(A238="","",IF(COUNTIF('Observaciones-SMP'!$A$2:$A$1001,A238)&gt;1,1,0))</f>
        <v/>
      </c>
      <c r="AA238" s="193" t="str">
        <f t="shared" si="15"/>
        <v/>
      </c>
    </row>
    <row r="239" spans="1:27" ht="13.5" customHeight="1" x14ac:dyDescent="0.3">
      <c r="A239" s="193" t="str">
        <f>IF('Observaciones-SMP'!A239="","",'Observaciones-SMP'!A239)</f>
        <v/>
      </c>
      <c r="B239" s="257" t="str">
        <f>IF('Observaciones-SMP'!B239="","",'Observaciones-SMP'!B239)</f>
        <v/>
      </c>
      <c r="C239" s="193" t="str">
        <f>IF('Observaciones-SMP'!C239="","",'Observaciones-SMP'!C239)</f>
        <v/>
      </c>
      <c r="D239" s="193" t="str">
        <f>IF('Observaciones-SMP'!D239="","",'Observaciones-SMP'!D239)</f>
        <v/>
      </c>
      <c r="E239" s="193" t="str">
        <f>IF('Observaciones-SMP'!E239="","",'Observaciones-SMP'!E239)</f>
        <v/>
      </c>
      <c r="F239" s="193" t="str">
        <f>IF('Observaciones-SMP'!F239="","",'Observaciones-SMP'!F239)</f>
        <v/>
      </c>
      <c r="G239" s="193" t="str">
        <f>IF('Observaciones-SMP'!G239="","",'Observaciones-SMP'!G239)</f>
        <v/>
      </c>
      <c r="H239" s="193" t="str">
        <f>IF('Observaciones-SMP'!H239="","",'Observaciones-SMP'!H239)</f>
        <v/>
      </c>
      <c r="I239" s="193" t="str">
        <f>IF('Observaciones-SMP'!I239="","",'Observaciones-SMP'!I239)</f>
        <v/>
      </c>
      <c r="J239" s="193" t="str">
        <f>IF('Observaciones-SMP'!J239="","",'Observaciones-SMP'!J239)</f>
        <v/>
      </c>
      <c r="K239" s="193" t="str">
        <f>IF('Observaciones-SMP'!K239="","",'Observaciones-SMP'!K239)</f>
        <v/>
      </c>
      <c r="L239" s="193" t="str">
        <f>IF('Observaciones-SMP'!L239="","",'Observaciones-SMP'!L239)</f>
        <v/>
      </c>
      <c r="M239" s="193" t="str">
        <f>IF('Observaciones-SMP'!M239="","",'Observaciones-SMP'!M239)</f>
        <v/>
      </c>
      <c r="N239" s="193" t="str">
        <f>IF('Observaciones-SMP'!N239="","",'Observaciones-SMP'!N239)</f>
        <v/>
      </c>
      <c r="O239" s="193" t="str">
        <f>IF('Observaciones-SMP'!O239="","",'Observaciones-SMP'!O239)</f>
        <v/>
      </c>
      <c r="P239" s="193" t="str">
        <f>IF('Observaciones-SMP'!P239="","",'Observaciones-SMP'!P239)</f>
        <v/>
      </c>
      <c r="Q239" s="257" t="str">
        <f>IF('Observaciones-SMP'!S239="","",'Observaciones-SMP'!S239)</f>
        <v/>
      </c>
      <c r="R239" s="193" t="str">
        <f>IF('Observaciones-SMP'!T239="","",'Observaciones-SMP'!T239)</f>
        <v/>
      </c>
      <c r="S239" s="193" t="str">
        <f>""</f>
        <v/>
      </c>
      <c r="T239" s="193" t="str">
        <f>""</f>
        <v/>
      </c>
      <c r="U239" s="193" t="str">
        <f t="shared" si="12"/>
        <v/>
      </c>
      <c r="V239" s="193" t="str">
        <f>""</f>
        <v/>
      </c>
      <c r="W239" s="193" t="str">
        <f>""</f>
        <v/>
      </c>
      <c r="X239" s="258" t="str">
        <f t="shared" si="13"/>
        <v/>
      </c>
      <c r="Y239" s="258" t="str">
        <f t="shared" si="14"/>
        <v/>
      </c>
      <c r="Z239" s="193" t="str">
        <f>IF(A239="","",IF(COUNTIF('Observaciones-SMP'!$A$2:$A$1001,A239)&gt;1,1,0))</f>
        <v/>
      </c>
      <c r="AA239" s="193" t="str">
        <f t="shared" si="15"/>
        <v/>
      </c>
    </row>
    <row r="240" spans="1:27" ht="13.5" customHeight="1" x14ac:dyDescent="0.3">
      <c r="A240" s="193" t="str">
        <f>IF('Observaciones-SMP'!A240="","",'Observaciones-SMP'!A240)</f>
        <v/>
      </c>
      <c r="B240" s="257" t="str">
        <f>IF('Observaciones-SMP'!B240="","",'Observaciones-SMP'!B240)</f>
        <v/>
      </c>
      <c r="C240" s="193" t="str">
        <f>IF('Observaciones-SMP'!C240="","",'Observaciones-SMP'!C240)</f>
        <v/>
      </c>
      <c r="D240" s="193" t="str">
        <f>IF('Observaciones-SMP'!D240="","",'Observaciones-SMP'!D240)</f>
        <v/>
      </c>
      <c r="E240" s="193" t="str">
        <f>IF('Observaciones-SMP'!E240="","",'Observaciones-SMP'!E240)</f>
        <v/>
      </c>
      <c r="F240" s="193" t="str">
        <f>IF('Observaciones-SMP'!F240="","",'Observaciones-SMP'!F240)</f>
        <v/>
      </c>
      <c r="G240" s="193" t="str">
        <f>IF('Observaciones-SMP'!G240="","",'Observaciones-SMP'!G240)</f>
        <v/>
      </c>
      <c r="H240" s="193" t="str">
        <f>IF('Observaciones-SMP'!H240="","",'Observaciones-SMP'!H240)</f>
        <v/>
      </c>
      <c r="I240" s="193" t="str">
        <f>IF('Observaciones-SMP'!I240="","",'Observaciones-SMP'!I240)</f>
        <v/>
      </c>
      <c r="J240" s="193" t="str">
        <f>IF('Observaciones-SMP'!J240="","",'Observaciones-SMP'!J240)</f>
        <v/>
      </c>
      <c r="K240" s="193" t="str">
        <f>IF('Observaciones-SMP'!K240="","",'Observaciones-SMP'!K240)</f>
        <v/>
      </c>
      <c r="L240" s="193" t="str">
        <f>IF('Observaciones-SMP'!L240="","",'Observaciones-SMP'!L240)</f>
        <v/>
      </c>
      <c r="M240" s="193" t="str">
        <f>IF('Observaciones-SMP'!M240="","",'Observaciones-SMP'!M240)</f>
        <v/>
      </c>
      <c r="N240" s="193" t="str">
        <f>IF('Observaciones-SMP'!N240="","",'Observaciones-SMP'!N240)</f>
        <v/>
      </c>
      <c r="O240" s="193" t="str">
        <f>IF('Observaciones-SMP'!O240="","",'Observaciones-SMP'!O240)</f>
        <v/>
      </c>
      <c r="P240" s="193" t="str">
        <f>IF('Observaciones-SMP'!P240="","",'Observaciones-SMP'!P240)</f>
        <v/>
      </c>
      <c r="Q240" s="257" t="str">
        <f>IF('Observaciones-SMP'!S240="","",'Observaciones-SMP'!S240)</f>
        <v/>
      </c>
      <c r="R240" s="193" t="str">
        <f>IF('Observaciones-SMP'!T240="","",'Observaciones-SMP'!T240)</f>
        <v/>
      </c>
      <c r="S240" s="193" t="str">
        <f>""</f>
        <v/>
      </c>
      <c r="T240" s="193" t="str">
        <f>""</f>
        <v/>
      </c>
      <c r="U240" s="193" t="str">
        <f t="shared" si="12"/>
        <v/>
      </c>
      <c r="V240" s="193" t="str">
        <f>""</f>
        <v/>
      </c>
      <c r="W240" s="193" t="str">
        <f>""</f>
        <v/>
      </c>
      <c r="X240" s="258" t="str">
        <f t="shared" si="13"/>
        <v/>
      </c>
      <c r="Y240" s="258" t="str">
        <f t="shared" si="14"/>
        <v/>
      </c>
      <c r="Z240" s="193" t="str">
        <f>IF(A240="","",IF(COUNTIF('Observaciones-SMP'!$A$2:$A$1001,A240)&gt;1,1,0))</f>
        <v/>
      </c>
      <c r="AA240" s="193" t="str">
        <f t="shared" si="15"/>
        <v/>
      </c>
    </row>
    <row r="241" spans="1:27" ht="13.5" customHeight="1" x14ac:dyDescent="0.3">
      <c r="A241" s="193" t="str">
        <f>IF('Observaciones-SMP'!A241="","",'Observaciones-SMP'!A241)</f>
        <v/>
      </c>
      <c r="B241" s="257" t="str">
        <f>IF('Observaciones-SMP'!B241="","",'Observaciones-SMP'!B241)</f>
        <v/>
      </c>
      <c r="C241" s="193" t="str">
        <f>IF('Observaciones-SMP'!C241="","",'Observaciones-SMP'!C241)</f>
        <v/>
      </c>
      <c r="D241" s="193" t="str">
        <f>IF('Observaciones-SMP'!D241="","",'Observaciones-SMP'!D241)</f>
        <v/>
      </c>
      <c r="E241" s="193" t="str">
        <f>IF('Observaciones-SMP'!E241="","",'Observaciones-SMP'!E241)</f>
        <v/>
      </c>
      <c r="F241" s="193" t="str">
        <f>IF('Observaciones-SMP'!F241="","",'Observaciones-SMP'!F241)</f>
        <v/>
      </c>
      <c r="G241" s="193" t="str">
        <f>IF('Observaciones-SMP'!G241="","",'Observaciones-SMP'!G241)</f>
        <v/>
      </c>
      <c r="H241" s="193" t="str">
        <f>IF('Observaciones-SMP'!H241="","",'Observaciones-SMP'!H241)</f>
        <v/>
      </c>
      <c r="I241" s="193" t="str">
        <f>IF('Observaciones-SMP'!I241="","",'Observaciones-SMP'!I241)</f>
        <v/>
      </c>
      <c r="J241" s="193" t="str">
        <f>IF('Observaciones-SMP'!J241="","",'Observaciones-SMP'!J241)</f>
        <v/>
      </c>
      <c r="K241" s="193" t="str">
        <f>IF('Observaciones-SMP'!K241="","",'Observaciones-SMP'!K241)</f>
        <v/>
      </c>
      <c r="L241" s="193" t="str">
        <f>IF('Observaciones-SMP'!L241="","",'Observaciones-SMP'!L241)</f>
        <v/>
      </c>
      <c r="M241" s="193" t="str">
        <f>IF('Observaciones-SMP'!M241="","",'Observaciones-SMP'!M241)</f>
        <v/>
      </c>
      <c r="N241" s="193" t="str">
        <f>IF('Observaciones-SMP'!N241="","",'Observaciones-SMP'!N241)</f>
        <v/>
      </c>
      <c r="O241" s="193" t="str">
        <f>IF('Observaciones-SMP'!O241="","",'Observaciones-SMP'!O241)</f>
        <v/>
      </c>
      <c r="P241" s="193" t="str">
        <f>IF('Observaciones-SMP'!P241="","",'Observaciones-SMP'!P241)</f>
        <v/>
      </c>
      <c r="Q241" s="257" t="str">
        <f>IF('Observaciones-SMP'!S241="","",'Observaciones-SMP'!S241)</f>
        <v/>
      </c>
      <c r="R241" s="193" t="str">
        <f>IF('Observaciones-SMP'!T241="","",'Observaciones-SMP'!T241)</f>
        <v/>
      </c>
      <c r="S241" s="193" t="str">
        <f>""</f>
        <v/>
      </c>
      <c r="T241" s="193" t="str">
        <f>""</f>
        <v/>
      </c>
      <c r="U241" s="193" t="str">
        <f t="shared" si="12"/>
        <v/>
      </c>
      <c r="V241" s="193" t="str">
        <f>""</f>
        <v/>
      </c>
      <c r="W241" s="193" t="str">
        <f>""</f>
        <v/>
      </c>
      <c r="X241" s="258" t="str">
        <f t="shared" si="13"/>
        <v/>
      </c>
      <c r="Y241" s="258" t="str">
        <f t="shared" si="14"/>
        <v/>
      </c>
      <c r="Z241" s="193" t="str">
        <f>IF(A241="","",IF(COUNTIF('Observaciones-SMP'!$A$2:$A$1001,A241)&gt;1,1,0))</f>
        <v/>
      </c>
      <c r="AA241" s="193" t="str">
        <f t="shared" si="15"/>
        <v/>
      </c>
    </row>
    <row r="242" spans="1:27" ht="13.5" customHeight="1" x14ac:dyDescent="0.3">
      <c r="A242" s="193" t="str">
        <f>IF('Observaciones-SMP'!A242="","",'Observaciones-SMP'!A242)</f>
        <v/>
      </c>
      <c r="B242" s="257" t="str">
        <f>IF('Observaciones-SMP'!B242="","",'Observaciones-SMP'!B242)</f>
        <v/>
      </c>
      <c r="C242" s="193" t="str">
        <f>IF('Observaciones-SMP'!C242="","",'Observaciones-SMP'!C242)</f>
        <v/>
      </c>
      <c r="D242" s="193" t="str">
        <f>IF('Observaciones-SMP'!D242="","",'Observaciones-SMP'!D242)</f>
        <v/>
      </c>
      <c r="E242" s="193" t="str">
        <f>IF('Observaciones-SMP'!E242="","",'Observaciones-SMP'!E242)</f>
        <v/>
      </c>
      <c r="F242" s="193" t="str">
        <f>IF('Observaciones-SMP'!F242="","",'Observaciones-SMP'!F242)</f>
        <v/>
      </c>
      <c r="G242" s="193" t="str">
        <f>IF('Observaciones-SMP'!G242="","",'Observaciones-SMP'!G242)</f>
        <v/>
      </c>
      <c r="H242" s="193" t="str">
        <f>IF('Observaciones-SMP'!H242="","",'Observaciones-SMP'!H242)</f>
        <v/>
      </c>
      <c r="I242" s="193" t="str">
        <f>IF('Observaciones-SMP'!I242="","",'Observaciones-SMP'!I242)</f>
        <v/>
      </c>
      <c r="J242" s="193" t="str">
        <f>IF('Observaciones-SMP'!J242="","",'Observaciones-SMP'!J242)</f>
        <v/>
      </c>
      <c r="K242" s="193" t="str">
        <f>IF('Observaciones-SMP'!K242="","",'Observaciones-SMP'!K242)</f>
        <v/>
      </c>
      <c r="L242" s="193" t="str">
        <f>IF('Observaciones-SMP'!L242="","",'Observaciones-SMP'!L242)</f>
        <v/>
      </c>
      <c r="M242" s="193" t="str">
        <f>IF('Observaciones-SMP'!M242="","",'Observaciones-SMP'!M242)</f>
        <v/>
      </c>
      <c r="N242" s="193" t="str">
        <f>IF('Observaciones-SMP'!N242="","",'Observaciones-SMP'!N242)</f>
        <v/>
      </c>
      <c r="O242" s="193" t="str">
        <f>IF('Observaciones-SMP'!O242="","",'Observaciones-SMP'!O242)</f>
        <v/>
      </c>
      <c r="P242" s="193" t="str">
        <f>IF('Observaciones-SMP'!P242="","",'Observaciones-SMP'!P242)</f>
        <v/>
      </c>
      <c r="Q242" s="257" t="str">
        <f>IF('Observaciones-SMP'!S242="","",'Observaciones-SMP'!S242)</f>
        <v/>
      </c>
      <c r="R242" s="193" t="str">
        <f>IF('Observaciones-SMP'!T242="","",'Observaciones-SMP'!T242)</f>
        <v/>
      </c>
      <c r="S242" s="193" t="str">
        <f>""</f>
        <v/>
      </c>
      <c r="T242" s="193" t="str">
        <f>""</f>
        <v/>
      </c>
      <c r="U242" s="193" t="str">
        <f t="shared" si="12"/>
        <v/>
      </c>
      <c r="V242" s="193" t="str">
        <f>""</f>
        <v/>
      </c>
      <c r="W242" s="193" t="str">
        <f>""</f>
        <v/>
      </c>
      <c r="X242" s="258" t="str">
        <f t="shared" si="13"/>
        <v/>
      </c>
      <c r="Y242" s="258" t="str">
        <f t="shared" si="14"/>
        <v/>
      </c>
      <c r="Z242" s="193" t="str">
        <f>IF(A242="","",IF(COUNTIF('Observaciones-SMP'!$A$2:$A$1001,A242)&gt;1,1,0))</f>
        <v/>
      </c>
      <c r="AA242" s="193" t="str">
        <f t="shared" si="15"/>
        <v/>
      </c>
    </row>
    <row r="243" spans="1:27" ht="13.5" customHeight="1" x14ac:dyDescent="0.3">
      <c r="A243" s="193" t="str">
        <f>IF('Observaciones-SMP'!A243="","",'Observaciones-SMP'!A243)</f>
        <v/>
      </c>
      <c r="B243" s="257" t="str">
        <f>IF('Observaciones-SMP'!B243="","",'Observaciones-SMP'!B243)</f>
        <v/>
      </c>
      <c r="C243" s="193" t="str">
        <f>IF('Observaciones-SMP'!C243="","",'Observaciones-SMP'!C243)</f>
        <v/>
      </c>
      <c r="D243" s="193" t="str">
        <f>IF('Observaciones-SMP'!D243="","",'Observaciones-SMP'!D243)</f>
        <v/>
      </c>
      <c r="E243" s="193" t="str">
        <f>IF('Observaciones-SMP'!E243="","",'Observaciones-SMP'!E243)</f>
        <v/>
      </c>
      <c r="F243" s="193" t="str">
        <f>IF('Observaciones-SMP'!F243="","",'Observaciones-SMP'!F243)</f>
        <v/>
      </c>
      <c r="G243" s="193" t="str">
        <f>IF('Observaciones-SMP'!G243="","",'Observaciones-SMP'!G243)</f>
        <v/>
      </c>
      <c r="H243" s="193" t="str">
        <f>IF('Observaciones-SMP'!H243="","",'Observaciones-SMP'!H243)</f>
        <v/>
      </c>
      <c r="I243" s="193" t="str">
        <f>IF('Observaciones-SMP'!I243="","",'Observaciones-SMP'!I243)</f>
        <v/>
      </c>
      <c r="J243" s="193" t="str">
        <f>IF('Observaciones-SMP'!J243="","",'Observaciones-SMP'!J243)</f>
        <v/>
      </c>
      <c r="K243" s="193" t="str">
        <f>IF('Observaciones-SMP'!K243="","",'Observaciones-SMP'!K243)</f>
        <v/>
      </c>
      <c r="L243" s="193" t="str">
        <f>IF('Observaciones-SMP'!L243="","",'Observaciones-SMP'!L243)</f>
        <v/>
      </c>
      <c r="M243" s="193" t="str">
        <f>IF('Observaciones-SMP'!M243="","",'Observaciones-SMP'!M243)</f>
        <v/>
      </c>
      <c r="N243" s="193" t="str">
        <f>IF('Observaciones-SMP'!N243="","",'Observaciones-SMP'!N243)</f>
        <v/>
      </c>
      <c r="O243" s="193" t="str">
        <f>IF('Observaciones-SMP'!O243="","",'Observaciones-SMP'!O243)</f>
        <v/>
      </c>
      <c r="P243" s="193" t="str">
        <f>IF('Observaciones-SMP'!P243="","",'Observaciones-SMP'!P243)</f>
        <v/>
      </c>
      <c r="Q243" s="257" t="str">
        <f>IF('Observaciones-SMP'!S243="","",'Observaciones-SMP'!S243)</f>
        <v/>
      </c>
      <c r="R243" s="193" t="str">
        <f>IF('Observaciones-SMP'!T243="","",'Observaciones-SMP'!T243)</f>
        <v/>
      </c>
      <c r="S243" s="193" t="str">
        <f>""</f>
        <v/>
      </c>
      <c r="T243" s="193" t="str">
        <f>""</f>
        <v/>
      </c>
      <c r="U243" s="193" t="str">
        <f t="shared" si="12"/>
        <v/>
      </c>
      <c r="V243" s="193" t="str">
        <f>""</f>
        <v/>
      </c>
      <c r="W243" s="193" t="str">
        <f>""</f>
        <v/>
      </c>
      <c r="X243" s="258" t="str">
        <f t="shared" si="13"/>
        <v/>
      </c>
      <c r="Y243" s="258" t="str">
        <f t="shared" si="14"/>
        <v/>
      </c>
      <c r="Z243" s="193" t="str">
        <f>IF(A243="","",IF(COUNTIF('Observaciones-SMP'!$A$2:$A$1001,A243)&gt;1,1,0))</f>
        <v/>
      </c>
      <c r="AA243" s="193" t="str">
        <f t="shared" si="15"/>
        <v/>
      </c>
    </row>
    <row r="244" spans="1:27" ht="13.5" customHeight="1" x14ac:dyDescent="0.3">
      <c r="A244" s="193" t="str">
        <f>IF('Observaciones-SMP'!A244="","",'Observaciones-SMP'!A244)</f>
        <v/>
      </c>
      <c r="B244" s="257" t="str">
        <f>IF('Observaciones-SMP'!B244="","",'Observaciones-SMP'!B244)</f>
        <v/>
      </c>
      <c r="C244" s="193" t="str">
        <f>IF('Observaciones-SMP'!C244="","",'Observaciones-SMP'!C244)</f>
        <v/>
      </c>
      <c r="D244" s="193" t="str">
        <f>IF('Observaciones-SMP'!D244="","",'Observaciones-SMP'!D244)</f>
        <v/>
      </c>
      <c r="E244" s="193" t="str">
        <f>IF('Observaciones-SMP'!E244="","",'Observaciones-SMP'!E244)</f>
        <v/>
      </c>
      <c r="F244" s="193" t="str">
        <f>IF('Observaciones-SMP'!F244="","",'Observaciones-SMP'!F244)</f>
        <v/>
      </c>
      <c r="G244" s="193" t="str">
        <f>IF('Observaciones-SMP'!G244="","",'Observaciones-SMP'!G244)</f>
        <v/>
      </c>
      <c r="H244" s="193" t="str">
        <f>IF('Observaciones-SMP'!H244="","",'Observaciones-SMP'!H244)</f>
        <v/>
      </c>
      <c r="I244" s="193" t="str">
        <f>IF('Observaciones-SMP'!I244="","",'Observaciones-SMP'!I244)</f>
        <v/>
      </c>
      <c r="J244" s="193" t="str">
        <f>IF('Observaciones-SMP'!J244="","",'Observaciones-SMP'!J244)</f>
        <v/>
      </c>
      <c r="K244" s="193" t="str">
        <f>IF('Observaciones-SMP'!K244="","",'Observaciones-SMP'!K244)</f>
        <v/>
      </c>
      <c r="L244" s="193" t="str">
        <f>IF('Observaciones-SMP'!L244="","",'Observaciones-SMP'!L244)</f>
        <v/>
      </c>
      <c r="M244" s="193" t="str">
        <f>IF('Observaciones-SMP'!M244="","",'Observaciones-SMP'!M244)</f>
        <v/>
      </c>
      <c r="N244" s="193" t="str">
        <f>IF('Observaciones-SMP'!N244="","",'Observaciones-SMP'!N244)</f>
        <v/>
      </c>
      <c r="O244" s="193" t="str">
        <f>IF('Observaciones-SMP'!O244="","",'Observaciones-SMP'!O244)</f>
        <v/>
      </c>
      <c r="P244" s="193" t="str">
        <f>IF('Observaciones-SMP'!P244="","",'Observaciones-SMP'!P244)</f>
        <v/>
      </c>
      <c r="Q244" s="257" t="str">
        <f>IF('Observaciones-SMP'!S244="","",'Observaciones-SMP'!S244)</f>
        <v/>
      </c>
      <c r="R244" s="193" t="str">
        <f>IF('Observaciones-SMP'!T244="","",'Observaciones-SMP'!T244)</f>
        <v/>
      </c>
      <c r="S244" s="193" t="str">
        <f>""</f>
        <v/>
      </c>
      <c r="T244" s="193" t="str">
        <f>""</f>
        <v/>
      </c>
      <c r="U244" s="193" t="str">
        <f t="shared" si="12"/>
        <v/>
      </c>
      <c r="V244" s="193" t="str">
        <f>""</f>
        <v/>
      </c>
      <c r="W244" s="193" t="str">
        <f>""</f>
        <v/>
      </c>
      <c r="X244" s="258" t="str">
        <f t="shared" si="13"/>
        <v/>
      </c>
      <c r="Y244" s="258" t="str">
        <f t="shared" si="14"/>
        <v/>
      </c>
      <c r="Z244" s="193" t="str">
        <f>IF(A244="","",IF(COUNTIF('Observaciones-SMP'!$A$2:$A$1001,A244)&gt;1,1,0))</f>
        <v/>
      </c>
      <c r="AA244" s="193" t="str">
        <f t="shared" si="15"/>
        <v/>
      </c>
    </row>
    <row r="245" spans="1:27" ht="13.5" customHeight="1" x14ac:dyDescent="0.3">
      <c r="A245" s="193" t="str">
        <f>IF('Observaciones-SMP'!A245="","",'Observaciones-SMP'!A245)</f>
        <v/>
      </c>
      <c r="B245" s="257" t="str">
        <f>IF('Observaciones-SMP'!B245="","",'Observaciones-SMP'!B245)</f>
        <v/>
      </c>
      <c r="C245" s="193" t="str">
        <f>IF('Observaciones-SMP'!C245="","",'Observaciones-SMP'!C245)</f>
        <v/>
      </c>
      <c r="D245" s="193" t="str">
        <f>IF('Observaciones-SMP'!D245="","",'Observaciones-SMP'!D245)</f>
        <v/>
      </c>
      <c r="E245" s="193" t="str">
        <f>IF('Observaciones-SMP'!E245="","",'Observaciones-SMP'!E245)</f>
        <v/>
      </c>
      <c r="F245" s="193" t="str">
        <f>IF('Observaciones-SMP'!F245="","",'Observaciones-SMP'!F245)</f>
        <v/>
      </c>
      <c r="G245" s="193" t="str">
        <f>IF('Observaciones-SMP'!G245="","",'Observaciones-SMP'!G245)</f>
        <v/>
      </c>
      <c r="H245" s="193" t="str">
        <f>IF('Observaciones-SMP'!H245="","",'Observaciones-SMP'!H245)</f>
        <v/>
      </c>
      <c r="I245" s="193" t="str">
        <f>IF('Observaciones-SMP'!I245="","",'Observaciones-SMP'!I245)</f>
        <v/>
      </c>
      <c r="J245" s="193" t="str">
        <f>IF('Observaciones-SMP'!J245="","",'Observaciones-SMP'!J245)</f>
        <v/>
      </c>
      <c r="K245" s="193" t="str">
        <f>IF('Observaciones-SMP'!K245="","",'Observaciones-SMP'!K245)</f>
        <v/>
      </c>
      <c r="L245" s="193" t="str">
        <f>IF('Observaciones-SMP'!L245="","",'Observaciones-SMP'!L245)</f>
        <v/>
      </c>
      <c r="M245" s="193" t="str">
        <f>IF('Observaciones-SMP'!M245="","",'Observaciones-SMP'!M245)</f>
        <v/>
      </c>
      <c r="N245" s="193" t="str">
        <f>IF('Observaciones-SMP'!N245="","",'Observaciones-SMP'!N245)</f>
        <v/>
      </c>
      <c r="O245" s="193" t="str">
        <f>IF('Observaciones-SMP'!O245="","",'Observaciones-SMP'!O245)</f>
        <v/>
      </c>
      <c r="P245" s="193" t="str">
        <f>IF('Observaciones-SMP'!P245="","",'Observaciones-SMP'!P245)</f>
        <v/>
      </c>
      <c r="Q245" s="257" t="str">
        <f>IF('Observaciones-SMP'!S245="","",'Observaciones-SMP'!S245)</f>
        <v/>
      </c>
      <c r="R245" s="193" t="str">
        <f>IF('Observaciones-SMP'!T245="","",'Observaciones-SMP'!T245)</f>
        <v/>
      </c>
      <c r="S245" s="193" t="str">
        <f>""</f>
        <v/>
      </c>
      <c r="T245" s="193" t="str">
        <f>""</f>
        <v/>
      </c>
      <c r="U245" s="193" t="str">
        <f t="shared" si="12"/>
        <v/>
      </c>
      <c r="V245" s="193" t="str">
        <f>""</f>
        <v/>
      </c>
      <c r="W245" s="193" t="str">
        <f>""</f>
        <v/>
      </c>
      <c r="X245" s="258" t="str">
        <f t="shared" si="13"/>
        <v/>
      </c>
      <c r="Y245" s="258" t="str">
        <f t="shared" si="14"/>
        <v/>
      </c>
      <c r="Z245" s="193" t="str">
        <f>IF(A245="","",IF(COUNTIF('Observaciones-SMP'!$A$2:$A$1001,A245)&gt;1,1,0))</f>
        <v/>
      </c>
      <c r="AA245" s="193" t="str">
        <f t="shared" si="15"/>
        <v/>
      </c>
    </row>
    <row r="246" spans="1:27" ht="13.5" customHeight="1" x14ac:dyDescent="0.3">
      <c r="A246" s="193" t="str">
        <f>IF('Observaciones-SMP'!A246="","",'Observaciones-SMP'!A246)</f>
        <v/>
      </c>
      <c r="B246" s="257" t="str">
        <f>IF('Observaciones-SMP'!B246="","",'Observaciones-SMP'!B246)</f>
        <v/>
      </c>
      <c r="C246" s="193" t="str">
        <f>IF('Observaciones-SMP'!C246="","",'Observaciones-SMP'!C246)</f>
        <v/>
      </c>
      <c r="D246" s="193" t="str">
        <f>IF('Observaciones-SMP'!D246="","",'Observaciones-SMP'!D246)</f>
        <v/>
      </c>
      <c r="E246" s="193" t="str">
        <f>IF('Observaciones-SMP'!E246="","",'Observaciones-SMP'!E246)</f>
        <v/>
      </c>
      <c r="F246" s="193" t="str">
        <f>IF('Observaciones-SMP'!F246="","",'Observaciones-SMP'!F246)</f>
        <v/>
      </c>
      <c r="G246" s="193" t="str">
        <f>IF('Observaciones-SMP'!G246="","",'Observaciones-SMP'!G246)</f>
        <v/>
      </c>
      <c r="H246" s="193" t="str">
        <f>IF('Observaciones-SMP'!H246="","",'Observaciones-SMP'!H246)</f>
        <v/>
      </c>
      <c r="I246" s="193" t="str">
        <f>IF('Observaciones-SMP'!I246="","",'Observaciones-SMP'!I246)</f>
        <v/>
      </c>
      <c r="J246" s="193" t="str">
        <f>IF('Observaciones-SMP'!J246="","",'Observaciones-SMP'!J246)</f>
        <v/>
      </c>
      <c r="K246" s="193" t="str">
        <f>IF('Observaciones-SMP'!K246="","",'Observaciones-SMP'!K246)</f>
        <v/>
      </c>
      <c r="L246" s="193" t="str">
        <f>IF('Observaciones-SMP'!L246="","",'Observaciones-SMP'!L246)</f>
        <v/>
      </c>
      <c r="M246" s="193" t="str">
        <f>IF('Observaciones-SMP'!M246="","",'Observaciones-SMP'!M246)</f>
        <v/>
      </c>
      <c r="N246" s="193" t="str">
        <f>IF('Observaciones-SMP'!N246="","",'Observaciones-SMP'!N246)</f>
        <v/>
      </c>
      <c r="O246" s="193" t="str">
        <f>IF('Observaciones-SMP'!O246="","",'Observaciones-SMP'!O246)</f>
        <v/>
      </c>
      <c r="P246" s="193" t="str">
        <f>IF('Observaciones-SMP'!P246="","",'Observaciones-SMP'!P246)</f>
        <v/>
      </c>
      <c r="Q246" s="257" t="str">
        <f>IF('Observaciones-SMP'!S246="","",'Observaciones-SMP'!S246)</f>
        <v/>
      </c>
      <c r="R246" s="193" t="str">
        <f>IF('Observaciones-SMP'!T246="","",'Observaciones-SMP'!T246)</f>
        <v/>
      </c>
      <c r="S246" s="193" t="str">
        <f>""</f>
        <v/>
      </c>
      <c r="T246" s="193" t="str">
        <f>""</f>
        <v/>
      </c>
      <c r="U246" s="193" t="str">
        <f t="shared" si="12"/>
        <v/>
      </c>
      <c r="V246" s="193" t="str">
        <f>""</f>
        <v/>
      </c>
      <c r="W246" s="193" t="str">
        <f>""</f>
        <v/>
      </c>
      <c r="X246" s="258" t="str">
        <f t="shared" si="13"/>
        <v/>
      </c>
      <c r="Y246" s="258" t="str">
        <f t="shared" si="14"/>
        <v/>
      </c>
      <c r="Z246" s="193" t="str">
        <f>IF(A246="","",IF(COUNTIF('Observaciones-SMP'!$A$2:$A$1001,A246)&gt;1,1,0))</f>
        <v/>
      </c>
      <c r="AA246" s="193" t="str">
        <f t="shared" si="15"/>
        <v/>
      </c>
    </row>
    <row r="247" spans="1:27" ht="13.5" customHeight="1" x14ac:dyDescent="0.3">
      <c r="A247" s="193" t="str">
        <f>IF('Observaciones-SMP'!A247="","",'Observaciones-SMP'!A247)</f>
        <v/>
      </c>
      <c r="B247" s="257" t="str">
        <f>IF('Observaciones-SMP'!B247="","",'Observaciones-SMP'!B247)</f>
        <v/>
      </c>
      <c r="C247" s="193" t="str">
        <f>IF('Observaciones-SMP'!C247="","",'Observaciones-SMP'!C247)</f>
        <v/>
      </c>
      <c r="D247" s="193" t="str">
        <f>IF('Observaciones-SMP'!D247="","",'Observaciones-SMP'!D247)</f>
        <v/>
      </c>
      <c r="E247" s="193" t="str">
        <f>IF('Observaciones-SMP'!E247="","",'Observaciones-SMP'!E247)</f>
        <v/>
      </c>
      <c r="F247" s="193" t="str">
        <f>IF('Observaciones-SMP'!F247="","",'Observaciones-SMP'!F247)</f>
        <v/>
      </c>
      <c r="G247" s="193" t="str">
        <f>IF('Observaciones-SMP'!G247="","",'Observaciones-SMP'!G247)</f>
        <v/>
      </c>
      <c r="H247" s="193" t="str">
        <f>IF('Observaciones-SMP'!H247="","",'Observaciones-SMP'!H247)</f>
        <v/>
      </c>
      <c r="I247" s="193" t="str">
        <f>IF('Observaciones-SMP'!I247="","",'Observaciones-SMP'!I247)</f>
        <v/>
      </c>
      <c r="J247" s="193" t="str">
        <f>IF('Observaciones-SMP'!J247="","",'Observaciones-SMP'!J247)</f>
        <v/>
      </c>
      <c r="K247" s="193" t="str">
        <f>IF('Observaciones-SMP'!K247="","",'Observaciones-SMP'!K247)</f>
        <v/>
      </c>
      <c r="L247" s="193" t="str">
        <f>IF('Observaciones-SMP'!L247="","",'Observaciones-SMP'!L247)</f>
        <v/>
      </c>
      <c r="M247" s="193" t="str">
        <f>IF('Observaciones-SMP'!M247="","",'Observaciones-SMP'!M247)</f>
        <v/>
      </c>
      <c r="N247" s="193" t="str">
        <f>IF('Observaciones-SMP'!N247="","",'Observaciones-SMP'!N247)</f>
        <v/>
      </c>
      <c r="O247" s="193" t="str">
        <f>IF('Observaciones-SMP'!O247="","",'Observaciones-SMP'!O247)</f>
        <v/>
      </c>
      <c r="P247" s="193" t="str">
        <f>IF('Observaciones-SMP'!P247="","",'Observaciones-SMP'!P247)</f>
        <v/>
      </c>
      <c r="Q247" s="257" t="str">
        <f>IF('Observaciones-SMP'!S247="","",'Observaciones-SMP'!S247)</f>
        <v/>
      </c>
      <c r="R247" s="193" t="str">
        <f>IF('Observaciones-SMP'!T247="","",'Observaciones-SMP'!T247)</f>
        <v/>
      </c>
      <c r="S247" s="193" t="str">
        <f>""</f>
        <v/>
      </c>
      <c r="T247" s="193" t="str">
        <f>""</f>
        <v/>
      </c>
      <c r="U247" s="193" t="str">
        <f t="shared" si="12"/>
        <v/>
      </c>
      <c r="V247" s="193" t="str">
        <f>""</f>
        <v/>
      </c>
      <c r="W247" s="193" t="str">
        <f>""</f>
        <v/>
      </c>
      <c r="X247" s="258" t="str">
        <f t="shared" si="13"/>
        <v/>
      </c>
      <c r="Y247" s="258" t="str">
        <f t="shared" si="14"/>
        <v/>
      </c>
      <c r="Z247" s="193" t="str">
        <f>IF(A247="","",IF(COUNTIF('Observaciones-SMP'!$A$2:$A$1001,A247)&gt;1,1,0))</f>
        <v/>
      </c>
      <c r="AA247" s="193" t="str">
        <f t="shared" si="15"/>
        <v/>
      </c>
    </row>
    <row r="248" spans="1:27" ht="13.5" customHeight="1" x14ac:dyDescent="0.3">
      <c r="A248" s="193" t="str">
        <f>IF('Observaciones-SMP'!A248="","",'Observaciones-SMP'!A248)</f>
        <v/>
      </c>
      <c r="B248" s="257" t="str">
        <f>IF('Observaciones-SMP'!B248="","",'Observaciones-SMP'!B248)</f>
        <v/>
      </c>
      <c r="C248" s="193" t="str">
        <f>IF('Observaciones-SMP'!C248="","",'Observaciones-SMP'!C248)</f>
        <v/>
      </c>
      <c r="D248" s="193" t="str">
        <f>IF('Observaciones-SMP'!D248="","",'Observaciones-SMP'!D248)</f>
        <v/>
      </c>
      <c r="E248" s="193" t="str">
        <f>IF('Observaciones-SMP'!E248="","",'Observaciones-SMP'!E248)</f>
        <v/>
      </c>
      <c r="F248" s="193" t="str">
        <f>IF('Observaciones-SMP'!F248="","",'Observaciones-SMP'!F248)</f>
        <v/>
      </c>
      <c r="G248" s="193" t="str">
        <f>IF('Observaciones-SMP'!G248="","",'Observaciones-SMP'!G248)</f>
        <v/>
      </c>
      <c r="H248" s="193" t="str">
        <f>IF('Observaciones-SMP'!H248="","",'Observaciones-SMP'!H248)</f>
        <v/>
      </c>
      <c r="I248" s="193" t="str">
        <f>IF('Observaciones-SMP'!I248="","",'Observaciones-SMP'!I248)</f>
        <v/>
      </c>
      <c r="J248" s="193" t="str">
        <f>IF('Observaciones-SMP'!J248="","",'Observaciones-SMP'!J248)</f>
        <v/>
      </c>
      <c r="K248" s="193" t="str">
        <f>IF('Observaciones-SMP'!K248="","",'Observaciones-SMP'!K248)</f>
        <v/>
      </c>
      <c r="L248" s="193" t="str">
        <f>IF('Observaciones-SMP'!L248="","",'Observaciones-SMP'!L248)</f>
        <v/>
      </c>
      <c r="M248" s="193" t="str">
        <f>IF('Observaciones-SMP'!M248="","",'Observaciones-SMP'!M248)</f>
        <v/>
      </c>
      <c r="N248" s="193" t="str">
        <f>IF('Observaciones-SMP'!N248="","",'Observaciones-SMP'!N248)</f>
        <v/>
      </c>
      <c r="O248" s="193" t="str">
        <f>IF('Observaciones-SMP'!O248="","",'Observaciones-SMP'!O248)</f>
        <v/>
      </c>
      <c r="P248" s="193" t="str">
        <f>IF('Observaciones-SMP'!P248="","",'Observaciones-SMP'!P248)</f>
        <v/>
      </c>
      <c r="Q248" s="257" t="str">
        <f>IF('Observaciones-SMP'!S248="","",'Observaciones-SMP'!S248)</f>
        <v/>
      </c>
      <c r="R248" s="193" t="str">
        <f>IF('Observaciones-SMP'!T248="","",'Observaciones-SMP'!T248)</f>
        <v/>
      </c>
      <c r="S248" s="193" t="str">
        <f>""</f>
        <v/>
      </c>
      <c r="T248" s="193" t="str">
        <f>""</f>
        <v/>
      </c>
      <c r="U248" s="193" t="str">
        <f t="shared" si="12"/>
        <v/>
      </c>
      <c r="V248" s="193" t="str">
        <f>""</f>
        <v/>
      </c>
      <c r="W248" s="193" t="str">
        <f>""</f>
        <v/>
      </c>
      <c r="X248" s="258" t="str">
        <f t="shared" si="13"/>
        <v/>
      </c>
      <c r="Y248" s="258" t="str">
        <f t="shared" si="14"/>
        <v/>
      </c>
      <c r="Z248" s="193" t="str">
        <f>IF(A248="","",IF(COUNTIF('Observaciones-SMP'!$A$2:$A$1001,A248)&gt;1,1,0))</f>
        <v/>
      </c>
      <c r="AA248" s="193" t="str">
        <f t="shared" si="15"/>
        <v/>
      </c>
    </row>
    <row r="249" spans="1:27" ht="13.5" customHeight="1" x14ac:dyDescent="0.3">
      <c r="A249" s="193" t="str">
        <f>IF('Observaciones-SMP'!A249="","",'Observaciones-SMP'!A249)</f>
        <v/>
      </c>
      <c r="B249" s="257" t="str">
        <f>IF('Observaciones-SMP'!B249="","",'Observaciones-SMP'!B249)</f>
        <v/>
      </c>
      <c r="C249" s="193" t="str">
        <f>IF('Observaciones-SMP'!C249="","",'Observaciones-SMP'!C249)</f>
        <v/>
      </c>
      <c r="D249" s="193" t="str">
        <f>IF('Observaciones-SMP'!D249="","",'Observaciones-SMP'!D249)</f>
        <v/>
      </c>
      <c r="E249" s="193" t="str">
        <f>IF('Observaciones-SMP'!E249="","",'Observaciones-SMP'!E249)</f>
        <v/>
      </c>
      <c r="F249" s="193" t="str">
        <f>IF('Observaciones-SMP'!F249="","",'Observaciones-SMP'!F249)</f>
        <v/>
      </c>
      <c r="G249" s="193" t="str">
        <f>IF('Observaciones-SMP'!G249="","",'Observaciones-SMP'!G249)</f>
        <v/>
      </c>
      <c r="H249" s="193" t="str">
        <f>IF('Observaciones-SMP'!H249="","",'Observaciones-SMP'!H249)</f>
        <v/>
      </c>
      <c r="I249" s="193" t="str">
        <f>IF('Observaciones-SMP'!I249="","",'Observaciones-SMP'!I249)</f>
        <v/>
      </c>
      <c r="J249" s="193" t="str">
        <f>IF('Observaciones-SMP'!J249="","",'Observaciones-SMP'!J249)</f>
        <v/>
      </c>
      <c r="K249" s="193" t="str">
        <f>IF('Observaciones-SMP'!K249="","",'Observaciones-SMP'!K249)</f>
        <v/>
      </c>
      <c r="L249" s="193" t="str">
        <f>IF('Observaciones-SMP'!L249="","",'Observaciones-SMP'!L249)</f>
        <v/>
      </c>
      <c r="M249" s="193" t="str">
        <f>IF('Observaciones-SMP'!M249="","",'Observaciones-SMP'!M249)</f>
        <v/>
      </c>
      <c r="N249" s="193" t="str">
        <f>IF('Observaciones-SMP'!N249="","",'Observaciones-SMP'!N249)</f>
        <v/>
      </c>
      <c r="O249" s="193" t="str">
        <f>IF('Observaciones-SMP'!O249="","",'Observaciones-SMP'!O249)</f>
        <v/>
      </c>
      <c r="P249" s="193" t="str">
        <f>IF('Observaciones-SMP'!P249="","",'Observaciones-SMP'!P249)</f>
        <v/>
      </c>
      <c r="Q249" s="257" t="str">
        <f>IF('Observaciones-SMP'!S249="","",'Observaciones-SMP'!S249)</f>
        <v/>
      </c>
      <c r="R249" s="193" t="str">
        <f>IF('Observaciones-SMP'!T249="","",'Observaciones-SMP'!T249)</f>
        <v/>
      </c>
      <c r="S249" s="193" t="str">
        <f>""</f>
        <v/>
      </c>
      <c r="T249" s="193" t="str">
        <f>""</f>
        <v/>
      </c>
      <c r="U249" s="193" t="str">
        <f t="shared" si="12"/>
        <v/>
      </c>
      <c r="V249" s="193" t="str">
        <f>""</f>
        <v/>
      </c>
      <c r="W249" s="193" t="str">
        <f>""</f>
        <v/>
      </c>
      <c r="X249" s="258" t="str">
        <f t="shared" si="13"/>
        <v/>
      </c>
      <c r="Y249" s="258" t="str">
        <f t="shared" si="14"/>
        <v/>
      </c>
      <c r="Z249" s="193" t="str">
        <f>IF(A249="","",IF(COUNTIF('Observaciones-SMP'!$A$2:$A$1001,A249)&gt;1,1,0))</f>
        <v/>
      </c>
      <c r="AA249" s="193" t="str">
        <f t="shared" si="15"/>
        <v/>
      </c>
    </row>
    <row r="250" spans="1:27" ht="13.5" customHeight="1" x14ac:dyDescent="0.3">
      <c r="A250" s="193" t="str">
        <f>IF('Observaciones-SMP'!A250="","",'Observaciones-SMP'!A250)</f>
        <v/>
      </c>
      <c r="B250" s="257" t="str">
        <f>IF('Observaciones-SMP'!B250="","",'Observaciones-SMP'!B250)</f>
        <v/>
      </c>
      <c r="C250" s="193" t="str">
        <f>IF('Observaciones-SMP'!C250="","",'Observaciones-SMP'!C250)</f>
        <v/>
      </c>
      <c r="D250" s="193" t="str">
        <f>IF('Observaciones-SMP'!D250="","",'Observaciones-SMP'!D250)</f>
        <v/>
      </c>
      <c r="E250" s="193" t="str">
        <f>IF('Observaciones-SMP'!E250="","",'Observaciones-SMP'!E250)</f>
        <v/>
      </c>
      <c r="F250" s="193" t="str">
        <f>IF('Observaciones-SMP'!F250="","",'Observaciones-SMP'!F250)</f>
        <v/>
      </c>
      <c r="G250" s="193" t="str">
        <f>IF('Observaciones-SMP'!G250="","",'Observaciones-SMP'!G250)</f>
        <v/>
      </c>
      <c r="H250" s="193" t="str">
        <f>IF('Observaciones-SMP'!H250="","",'Observaciones-SMP'!H250)</f>
        <v/>
      </c>
      <c r="I250" s="193" t="str">
        <f>IF('Observaciones-SMP'!I250="","",'Observaciones-SMP'!I250)</f>
        <v/>
      </c>
      <c r="J250" s="193" t="str">
        <f>IF('Observaciones-SMP'!J250="","",'Observaciones-SMP'!J250)</f>
        <v/>
      </c>
      <c r="K250" s="193" t="str">
        <f>IF('Observaciones-SMP'!K250="","",'Observaciones-SMP'!K250)</f>
        <v/>
      </c>
      <c r="L250" s="193" t="str">
        <f>IF('Observaciones-SMP'!L250="","",'Observaciones-SMP'!L250)</f>
        <v/>
      </c>
      <c r="M250" s="193" t="str">
        <f>IF('Observaciones-SMP'!M250="","",'Observaciones-SMP'!M250)</f>
        <v/>
      </c>
      <c r="N250" s="193" t="str">
        <f>IF('Observaciones-SMP'!N250="","",'Observaciones-SMP'!N250)</f>
        <v/>
      </c>
      <c r="O250" s="193" t="str">
        <f>IF('Observaciones-SMP'!O250="","",'Observaciones-SMP'!O250)</f>
        <v/>
      </c>
      <c r="P250" s="193" t="str">
        <f>IF('Observaciones-SMP'!P250="","",'Observaciones-SMP'!P250)</f>
        <v/>
      </c>
      <c r="Q250" s="257" t="str">
        <f>IF('Observaciones-SMP'!S250="","",'Observaciones-SMP'!S250)</f>
        <v/>
      </c>
      <c r="R250" s="193" t="str">
        <f>IF('Observaciones-SMP'!T250="","",'Observaciones-SMP'!T250)</f>
        <v/>
      </c>
      <c r="S250" s="193" t="str">
        <f>""</f>
        <v/>
      </c>
      <c r="T250" s="193" t="str">
        <f>""</f>
        <v/>
      </c>
      <c r="U250" s="193" t="str">
        <f t="shared" si="12"/>
        <v/>
      </c>
      <c r="V250" s="193" t="str">
        <f>""</f>
        <v/>
      </c>
      <c r="W250" s="193" t="str">
        <f>""</f>
        <v/>
      </c>
      <c r="X250" s="258" t="str">
        <f t="shared" si="13"/>
        <v/>
      </c>
      <c r="Y250" s="258" t="str">
        <f t="shared" si="14"/>
        <v/>
      </c>
      <c r="Z250" s="193" t="str">
        <f>IF(A250="","",IF(COUNTIF('Observaciones-SMP'!$A$2:$A$1001,A250)&gt;1,1,0))</f>
        <v/>
      </c>
      <c r="AA250" s="193" t="str">
        <f t="shared" si="15"/>
        <v/>
      </c>
    </row>
    <row r="251" spans="1:27" ht="13.5" customHeight="1" x14ac:dyDescent="0.3">
      <c r="A251" s="193" t="str">
        <f>IF('Observaciones-SMP'!A251="","",'Observaciones-SMP'!A251)</f>
        <v/>
      </c>
      <c r="B251" s="257" t="str">
        <f>IF('Observaciones-SMP'!B251="","",'Observaciones-SMP'!B251)</f>
        <v/>
      </c>
      <c r="C251" s="193" t="str">
        <f>IF('Observaciones-SMP'!C251="","",'Observaciones-SMP'!C251)</f>
        <v/>
      </c>
      <c r="D251" s="193" t="str">
        <f>IF('Observaciones-SMP'!D251="","",'Observaciones-SMP'!D251)</f>
        <v/>
      </c>
      <c r="E251" s="193" t="str">
        <f>IF('Observaciones-SMP'!E251="","",'Observaciones-SMP'!E251)</f>
        <v/>
      </c>
      <c r="F251" s="193" t="str">
        <f>IF('Observaciones-SMP'!F251="","",'Observaciones-SMP'!F251)</f>
        <v/>
      </c>
      <c r="G251" s="193" t="str">
        <f>IF('Observaciones-SMP'!G251="","",'Observaciones-SMP'!G251)</f>
        <v/>
      </c>
      <c r="H251" s="193" t="str">
        <f>IF('Observaciones-SMP'!H251="","",'Observaciones-SMP'!H251)</f>
        <v/>
      </c>
      <c r="I251" s="193" t="str">
        <f>IF('Observaciones-SMP'!I251="","",'Observaciones-SMP'!I251)</f>
        <v/>
      </c>
      <c r="J251" s="193" t="str">
        <f>IF('Observaciones-SMP'!J251="","",'Observaciones-SMP'!J251)</f>
        <v/>
      </c>
      <c r="K251" s="193" t="str">
        <f>IF('Observaciones-SMP'!K251="","",'Observaciones-SMP'!K251)</f>
        <v/>
      </c>
      <c r="L251" s="193" t="str">
        <f>IF('Observaciones-SMP'!L251="","",'Observaciones-SMP'!L251)</f>
        <v/>
      </c>
      <c r="M251" s="193" t="str">
        <f>IF('Observaciones-SMP'!M251="","",'Observaciones-SMP'!M251)</f>
        <v/>
      </c>
      <c r="N251" s="193" t="str">
        <f>IF('Observaciones-SMP'!N251="","",'Observaciones-SMP'!N251)</f>
        <v/>
      </c>
      <c r="O251" s="193" t="str">
        <f>IF('Observaciones-SMP'!O251="","",'Observaciones-SMP'!O251)</f>
        <v/>
      </c>
      <c r="P251" s="193" t="str">
        <f>IF('Observaciones-SMP'!P251="","",'Observaciones-SMP'!P251)</f>
        <v/>
      </c>
      <c r="Q251" s="257" t="str">
        <f>IF('Observaciones-SMP'!S251="","",'Observaciones-SMP'!S251)</f>
        <v/>
      </c>
      <c r="R251" s="193" t="str">
        <f>IF('Observaciones-SMP'!T251="","",'Observaciones-SMP'!T251)</f>
        <v/>
      </c>
      <c r="S251" s="193" t="str">
        <f>""</f>
        <v/>
      </c>
      <c r="T251" s="193" t="str">
        <f>""</f>
        <v/>
      </c>
      <c r="U251" s="193" t="str">
        <f t="shared" si="12"/>
        <v/>
      </c>
      <c r="V251" s="193" t="str">
        <f>""</f>
        <v/>
      </c>
      <c r="W251" s="193" t="str">
        <f>""</f>
        <v/>
      </c>
      <c r="X251" s="258" t="str">
        <f t="shared" si="13"/>
        <v/>
      </c>
      <c r="Y251" s="258" t="str">
        <f t="shared" si="14"/>
        <v/>
      </c>
      <c r="Z251" s="193" t="str">
        <f>IF(A251="","",IF(COUNTIF('Observaciones-SMP'!$A$2:$A$1001,A251)&gt;1,1,0))</f>
        <v/>
      </c>
      <c r="AA251" s="193" t="str">
        <f t="shared" si="15"/>
        <v/>
      </c>
    </row>
    <row r="252" spans="1:27" ht="13.5" customHeight="1" x14ac:dyDescent="0.3">
      <c r="A252" s="193" t="str">
        <f>IF('Observaciones-SMP'!A252="","",'Observaciones-SMP'!A252)</f>
        <v/>
      </c>
      <c r="B252" s="257" t="str">
        <f>IF('Observaciones-SMP'!B252="","",'Observaciones-SMP'!B252)</f>
        <v/>
      </c>
      <c r="C252" s="193" t="str">
        <f>IF('Observaciones-SMP'!C252="","",'Observaciones-SMP'!C252)</f>
        <v/>
      </c>
      <c r="D252" s="193" t="str">
        <f>IF('Observaciones-SMP'!D252="","",'Observaciones-SMP'!D252)</f>
        <v/>
      </c>
      <c r="E252" s="193" t="str">
        <f>IF('Observaciones-SMP'!E252="","",'Observaciones-SMP'!E252)</f>
        <v/>
      </c>
      <c r="F252" s="193" t="str">
        <f>IF('Observaciones-SMP'!F252="","",'Observaciones-SMP'!F252)</f>
        <v/>
      </c>
      <c r="G252" s="193" t="str">
        <f>IF('Observaciones-SMP'!G252="","",'Observaciones-SMP'!G252)</f>
        <v/>
      </c>
      <c r="H252" s="193" t="str">
        <f>IF('Observaciones-SMP'!H252="","",'Observaciones-SMP'!H252)</f>
        <v/>
      </c>
      <c r="I252" s="193" t="str">
        <f>IF('Observaciones-SMP'!I252="","",'Observaciones-SMP'!I252)</f>
        <v/>
      </c>
      <c r="J252" s="193" t="str">
        <f>IF('Observaciones-SMP'!J252="","",'Observaciones-SMP'!J252)</f>
        <v/>
      </c>
      <c r="K252" s="193" t="str">
        <f>IF('Observaciones-SMP'!K252="","",'Observaciones-SMP'!K252)</f>
        <v/>
      </c>
      <c r="L252" s="193" t="str">
        <f>IF('Observaciones-SMP'!L252="","",'Observaciones-SMP'!L252)</f>
        <v/>
      </c>
      <c r="M252" s="193" t="str">
        <f>IF('Observaciones-SMP'!M252="","",'Observaciones-SMP'!M252)</f>
        <v/>
      </c>
      <c r="N252" s="193" t="str">
        <f>IF('Observaciones-SMP'!N252="","",'Observaciones-SMP'!N252)</f>
        <v/>
      </c>
      <c r="O252" s="193" t="str">
        <f>IF('Observaciones-SMP'!O252="","",'Observaciones-SMP'!O252)</f>
        <v/>
      </c>
      <c r="P252" s="193" t="str">
        <f>IF('Observaciones-SMP'!P252="","",'Observaciones-SMP'!P252)</f>
        <v/>
      </c>
      <c r="Q252" s="257" t="str">
        <f>IF('Observaciones-SMP'!S252="","",'Observaciones-SMP'!S252)</f>
        <v/>
      </c>
      <c r="R252" s="193" t="str">
        <f>IF('Observaciones-SMP'!T252="","",'Observaciones-SMP'!T252)</f>
        <v/>
      </c>
      <c r="S252" s="193" t="str">
        <f>""</f>
        <v/>
      </c>
      <c r="T252" s="193" t="str">
        <f>""</f>
        <v/>
      </c>
      <c r="U252" s="193" t="str">
        <f t="shared" si="12"/>
        <v/>
      </c>
      <c r="V252" s="193" t="str">
        <f>""</f>
        <v/>
      </c>
      <c r="W252" s="193" t="str">
        <f>""</f>
        <v/>
      </c>
      <c r="X252" s="258" t="str">
        <f t="shared" si="13"/>
        <v/>
      </c>
      <c r="Y252" s="258" t="str">
        <f t="shared" si="14"/>
        <v/>
      </c>
      <c r="Z252" s="193" t="str">
        <f>IF(A252="","",IF(COUNTIF('Observaciones-SMP'!$A$2:$A$1001,A252)&gt;1,1,0))</f>
        <v/>
      </c>
      <c r="AA252" s="193" t="str">
        <f t="shared" si="15"/>
        <v/>
      </c>
    </row>
    <row r="253" spans="1:27" ht="13.5" customHeight="1" x14ac:dyDescent="0.3">
      <c r="A253" s="193" t="str">
        <f>IF('Observaciones-SMP'!A253="","",'Observaciones-SMP'!A253)</f>
        <v/>
      </c>
      <c r="B253" s="257" t="str">
        <f>IF('Observaciones-SMP'!B253="","",'Observaciones-SMP'!B253)</f>
        <v/>
      </c>
      <c r="C253" s="193" t="str">
        <f>IF('Observaciones-SMP'!C253="","",'Observaciones-SMP'!C253)</f>
        <v/>
      </c>
      <c r="D253" s="193" t="str">
        <f>IF('Observaciones-SMP'!D253="","",'Observaciones-SMP'!D253)</f>
        <v/>
      </c>
      <c r="E253" s="193" t="str">
        <f>IF('Observaciones-SMP'!E253="","",'Observaciones-SMP'!E253)</f>
        <v/>
      </c>
      <c r="F253" s="193" t="str">
        <f>IF('Observaciones-SMP'!F253="","",'Observaciones-SMP'!F253)</f>
        <v/>
      </c>
      <c r="G253" s="193" t="str">
        <f>IF('Observaciones-SMP'!G253="","",'Observaciones-SMP'!G253)</f>
        <v/>
      </c>
      <c r="H253" s="193" t="str">
        <f>IF('Observaciones-SMP'!H253="","",'Observaciones-SMP'!H253)</f>
        <v/>
      </c>
      <c r="I253" s="193" t="str">
        <f>IF('Observaciones-SMP'!I253="","",'Observaciones-SMP'!I253)</f>
        <v/>
      </c>
      <c r="J253" s="193" t="str">
        <f>IF('Observaciones-SMP'!J253="","",'Observaciones-SMP'!J253)</f>
        <v/>
      </c>
      <c r="K253" s="193" t="str">
        <f>IF('Observaciones-SMP'!K253="","",'Observaciones-SMP'!K253)</f>
        <v/>
      </c>
      <c r="L253" s="193" t="str">
        <f>IF('Observaciones-SMP'!L253="","",'Observaciones-SMP'!L253)</f>
        <v/>
      </c>
      <c r="M253" s="193" t="str">
        <f>IF('Observaciones-SMP'!M253="","",'Observaciones-SMP'!M253)</f>
        <v/>
      </c>
      <c r="N253" s="193" t="str">
        <f>IF('Observaciones-SMP'!N253="","",'Observaciones-SMP'!N253)</f>
        <v/>
      </c>
      <c r="O253" s="193" t="str">
        <f>IF('Observaciones-SMP'!O253="","",'Observaciones-SMP'!O253)</f>
        <v/>
      </c>
      <c r="P253" s="193" t="str">
        <f>IF('Observaciones-SMP'!P253="","",'Observaciones-SMP'!P253)</f>
        <v/>
      </c>
      <c r="Q253" s="257" t="str">
        <f>IF('Observaciones-SMP'!S253="","",'Observaciones-SMP'!S253)</f>
        <v/>
      </c>
      <c r="R253" s="193" t="str">
        <f>IF('Observaciones-SMP'!T253="","",'Observaciones-SMP'!T253)</f>
        <v/>
      </c>
      <c r="S253" s="193" t="str">
        <f>""</f>
        <v/>
      </c>
      <c r="T253" s="193" t="str">
        <f>""</f>
        <v/>
      </c>
      <c r="U253" s="193" t="str">
        <f t="shared" si="12"/>
        <v/>
      </c>
      <c r="V253" s="193" t="str">
        <f>""</f>
        <v/>
      </c>
      <c r="W253" s="193" t="str">
        <f>""</f>
        <v/>
      </c>
      <c r="X253" s="258" t="str">
        <f t="shared" si="13"/>
        <v/>
      </c>
      <c r="Y253" s="258" t="str">
        <f t="shared" si="14"/>
        <v/>
      </c>
      <c r="Z253" s="193" t="str">
        <f>IF(A253="","",IF(COUNTIF('Observaciones-SMP'!$A$2:$A$1001,A253)&gt;1,1,0))</f>
        <v/>
      </c>
      <c r="AA253" s="193" t="str">
        <f t="shared" si="15"/>
        <v/>
      </c>
    </row>
    <row r="254" spans="1:27" ht="13.5" customHeight="1" x14ac:dyDescent="0.3">
      <c r="A254" s="193" t="str">
        <f>IF('Observaciones-SMP'!A254="","",'Observaciones-SMP'!A254)</f>
        <v/>
      </c>
      <c r="B254" s="257" t="str">
        <f>IF('Observaciones-SMP'!B254="","",'Observaciones-SMP'!B254)</f>
        <v/>
      </c>
      <c r="C254" s="193" t="str">
        <f>IF('Observaciones-SMP'!C254="","",'Observaciones-SMP'!C254)</f>
        <v/>
      </c>
      <c r="D254" s="193" t="str">
        <f>IF('Observaciones-SMP'!D254="","",'Observaciones-SMP'!D254)</f>
        <v/>
      </c>
      <c r="E254" s="193" t="str">
        <f>IF('Observaciones-SMP'!E254="","",'Observaciones-SMP'!E254)</f>
        <v/>
      </c>
      <c r="F254" s="193" t="str">
        <f>IF('Observaciones-SMP'!F254="","",'Observaciones-SMP'!F254)</f>
        <v/>
      </c>
      <c r="G254" s="193" t="str">
        <f>IF('Observaciones-SMP'!G254="","",'Observaciones-SMP'!G254)</f>
        <v/>
      </c>
      <c r="H254" s="193" t="str">
        <f>IF('Observaciones-SMP'!H254="","",'Observaciones-SMP'!H254)</f>
        <v/>
      </c>
      <c r="I254" s="193" t="str">
        <f>IF('Observaciones-SMP'!I254="","",'Observaciones-SMP'!I254)</f>
        <v/>
      </c>
      <c r="J254" s="193" t="str">
        <f>IF('Observaciones-SMP'!J254="","",'Observaciones-SMP'!J254)</f>
        <v/>
      </c>
      <c r="K254" s="193" t="str">
        <f>IF('Observaciones-SMP'!K254="","",'Observaciones-SMP'!K254)</f>
        <v/>
      </c>
      <c r="L254" s="193" t="str">
        <f>IF('Observaciones-SMP'!L254="","",'Observaciones-SMP'!L254)</f>
        <v/>
      </c>
      <c r="M254" s="193" t="str">
        <f>IF('Observaciones-SMP'!M254="","",'Observaciones-SMP'!M254)</f>
        <v/>
      </c>
      <c r="N254" s="193" t="str">
        <f>IF('Observaciones-SMP'!N254="","",'Observaciones-SMP'!N254)</f>
        <v/>
      </c>
      <c r="O254" s="193" t="str">
        <f>IF('Observaciones-SMP'!O254="","",'Observaciones-SMP'!O254)</f>
        <v/>
      </c>
      <c r="P254" s="193" t="str">
        <f>IF('Observaciones-SMP'!P254="","",'Observaciones-SMP'!P254)</f>
        <v/>
      </c>
      <c r="Q254" s="257" t="str">
        <f>IF('Observaciones-SMP'!S254="","",'Observaciones-SMP'!S254)</f>
        <v/>
      </c>
      <c r="R254" s="193" t="str">
        <f>IF('Observaciones-SMP'!T254="","",'Observaciones-SMP'!T254)</f>
        <v/>
      </c>
      <c r="S254" s="193" t="str">
        <f>""</f>
        <v/>
      </c>
      <c r="T254" s="193" t="str">
        <f>""</f>
        <v/>
      </c>
      <c r="U254" s="193" t="str">
        <f t="shared" si="12"/>
        <v/>
      </c>
      <c r="V254" s="193" t="str">
        <f>""</f>
        <v/>
      </c>
      <c r="W254" s="193" t="str">
        <f>""</f>
        <v/>
      </c>
      <c r="X254" s="258" t="str">
        <f t="shared" si="13"/>
        <v/>
      </c>
      <c r="Y254" s="258" t="str">
        <f t="shared" si="14"/>
        <v/>
      </c>
      <c r="Z254" s="193" t="str">
        <f>IF(A254="","",IF(COUNTIF('Observaciones-SMP'!$A$2:$A$1001,A254)&gt;1,1,0))</f>
        <v/>
      </c>
      <c r="AA254" s="193" t="str">
        <f t="shared" si="15"/>
        <v/>
      </c>
    </row>
    <row r="255" spans="1:27" ht="13.5" customHeight="1" x14ac:dyDescent="0.3">
      <c r="A255" s="193" t="str">
        <f>IF('Observaciones-SMP'!A255="","",'Observaciones-SMP'!A255)</f>
        <v/>
      </c>
      <c r="B255" s="257" t="str">
        <f>IF('Observaciones-SMP'!B255="","",'Observaciones-SMP'!B255)</f>
        <v/>
      </c>
      <c r="C255" s="193" t="str">
        <f>IF('Observaciones-SMP'!C255="","",'Observaciones-SMP'!C255)</f>
        <v/>
      </c>
      <c r="D255" s="193" t="str">
        <f>IF('Observaciones-SMP'!D255="","",'Observaciones-SMP'!D255)</f>
        <v/>
      </c>
      <c r="E255" s="193" t="str">
        <f>IF('Observaciones-SMP'!E255="","",'Observaciones-SMP'!E255)</f>
        <v/>
      </c>
      <c r="F255" s="193" t="str">
        <f>IF('Observaciones-SMP'!F255="","",'Observaciones-SMP'!F255)</f>
        <v/>
      </c>
      <c r="G255" s="193" t="str">
        <f>IF('Observaciones-SMP'!G255="","",'Observaciones-SMP'!G255)</f>
        <v/>
      </c>
      <c r="H255" s="193" t="str">
        <f>IF('Observaciones-SMP'!H255="","",'Observaciones-SMP'!H255)</f>
        <v/>
      </c>
      <c r="I255" s="193" t="str">
        <f>IF('Observaciones-SMP'!I255="","",'Observaciones-SMP'!I255)</f>
        <v/>
      </c>
      <c r="J255" s="193" t="str">
        <f>IF('Observaciones-SMP'!J255="","",'Observaciones-SMP'!J255)</f>
        <v/>
      </c>
      <c r="K255" s="193" t="str">
        <f>IF('Observaciones-SMP'!K255="","",'Observaciones-SMP'!K255)</f>
        <v/>
      </c>
      <c r="L255" s="193" t="str">
        <f>IF('Observaciones-SMP'!L255="","",'Observaciones-SMP'!L255)</f>
        <v/>
      </c>
      <c r="M255" s="193" t="str">
        <f>IF('Observaciones-SMP'!M255="","",'Observaciones-SMP'!M255)</f>
        <v/>
      </c>
      <c r="N255" s="193" t="str">
        <f>IF('Observaciones-SMP'!N255="","",'Observaciones-SMP'!N255)</f>
        <v/>
      </c>
      <c r="O255" s="193" t="str">
        <f>IF('Observaciones-SMP'!O255="","",'Observaciones-SMP'!O255)</f>
        <v/>
      </c>
      <c r="P255" s="193" t="str">
        <f>IF('Observaciones-SMP'!P255="","",'Observaciones-SMP'!P255)</f>
        <v/>
      </c>
      <c r="Q255" s="257" t="str">
        <f>IF('Observaciones-SMP'!S255="","",'Observaciones-SMP'!S255)</f>
        <v/>
      </c>
      <c r="R255" s="193" t="str">
        <f>IF('Observaciones-SMP'!T255="","",'Observaciones-SMP'!T255)</f>
        <v/>
      </c>
      <c r="S255" s="193" t="str">
        <f>""</f>
        <v/>
      </c>
      <c r="T255" s="193" t="str">
        <f>""</f>
        <v/>
      </c>
      <c r="U255" s="193" t="str">
        <f t="shared" si="12"/>
        <v/>
      </c>
      <c r="V255" s="193" t="str">
        <f>""</f>
        <v/>
      </c>
      <c r="W255" s="193" t="str">
        <f>""</f>
        <v/>
      </c>
      <c r="X255" s="258" t="str">
        <f t="shared" si="13"/>
        <v/>
      </c>
      <c r="Y255" s="258" t="str">
        <f t="shared" si="14"/>
        <v/>
      </c>
      <c r="Z255" s="193" t="str">
        <f>IF(A255="","",IF(COUNTIF('Observaciones-SMP'!$A$2:$A$1001,A255)&gt;1,1,0))</f>
        <v/>
      </c>
      <c r="AA255" s="193" t="str">
        <f t="shared" si="15"/>
        <v/>
      </c>
    </row>
    <row r="256" spans="1:27" ht="13.5" customHeight="1" x14ac:dyDescent="0.3">
      <c r="A256" s="193" t="str">
        <f>IF('Observaciones-SMP'!A256="","",'Observaciones-SMP'!A256)</f>
        <v/>
      </c>
      <c r="B256" s="257" t="str">
        <f>IF('Observaciones-SMP'!B256="","",'Observaciones-SMP'!B256)</f>
        <v/>
      </c>
      <c r="C256" s="193" t="str">
        <f>IF('Observaciones-SMP'!C256="","",'Observaciones-SMP'!C256)</f>
        <v/>
      </c>
      <c r="D256" s="193" t="str">
        <f>IF('Observaciones-SMP'!D256="","",'Observaciones-SMP'!D256)</f>
        <v/>
      </c>
      <c r="E256" s="193" t="str">
        <f>IF('Observaciones-SMP'!E256="","",'Observaciones-SMP'!E256)</f>
        <v/>
      </c>
      <c r="F256" s="193" t="str">
        <f>IF('Observaciones-SMP'!F256="","",'Observaciones-SMP'!F256)</f>
        <v/>
      </c>
      <c r="G256" s="193" t="str">
        <f>IF('Observaciones-SMP'!G256="","",'Observaciones-SMP'!G256)</f>
        <v/>
      </c>
      <c r="H256" s="193" t="str">
        <f>IF('Observaciones-SMP'!H256="","",'Observaciones-SMP'!H256)</f>
        <v/>
      </c>
      <c r="I256" s="193" t="str">
        <f>IF('Observaciones-SMP'!I256="","",'Observaciones-SMP'!I256)</f>
        <v/>
      </c>
      <c r="J256" s="193" t="str">
        <f>IF('Observaciones-SMP'!J256="","",'Observaciones-SMP'!J256)</f>
        <v/>
      </c>
      <c r="K256" s="193" t="str">
        <f>IF('Observaciones-SMP'!K256="","",'Observaciones-SMP'!K256)</f>
        <v/>
      </c>
      <c r="L256" s="193" t="str">
        <f>IF('Observaciones-SMP'!L256="","",'Observaciones-SMP'!L256)</f>
        <v/>
      </c>
      <c r="M256" s="193" t="str">
        <f>IF('Observaciones-SMP'!M256="","",'Observaciones-SMP'!M256)</f>
        <v/>
      </c>
      <c r="N256" s="193" t="str">
        <f>IF('Observaciones-SMP'!N256="","",'Observaciones-SMP'!N256)</f>
        <v/>
      </c>
      <c r="O256" s="193" t="str">
        <f>IF('Observaciones-SMP'!O256="","",'Observaciones-SMP'!O256)</f>
        <v/>
      </c>
      <c r="P256" s="193" t="str">
        <f>IF('Observaciones-SMP'!P256="","",'Observaciones-SMP'!P256)</f>
        <v/>
      </c>
      <c r="Q256" s="257" t="str">
        <f>IF('Observaciones-SMP'!S256="","",'Observaciones-SMP'!S256)</f>
        <v/>
      </c>
      <c r="R256" s="193" t="str">
        <f>IF('Observaciones-SMP'!T256="","",'Observaciones-SMP'!T256)</f>
        <v/>
      </c>
      <c r="S256" s="193" t="str">
        <f>""</f>
        <v/>
      </c>
      <c r="T256" s="193" t="str">
        <f>""</f>
        <v/>
      </c>
      <c r="U256" s="193" t="str">
        <f t="shared" si="12"/>
        <v/>
      </c>
      <c r="V256" s="193" t="str">
        <f>""</f>
        <v/>
      </c>
      <c r="W256" s="193" t="str">
        <f>""</f>
        <v/>
      </c>
      <c r="X256" s="258" t="str">
        <f t="shared" si="13"/>
        <v/>
      </c>
      <c r="Y256" s="258" t="str">
        <f t="shared" si="14"/>
        <v/>
      </c>
      <c r="Z256" s="193" t="str">
        <f>IF(A256="","",IF(COUNTIF('Observaciones-SMP'!$A$2:$A$1001,A256)&gt;1,1,0))</f>
        <v/>
      </c>
      <c r="AA256" s="193" t="str">
        <f t="shared" si="15"/>
        <v/>
      </c>
    </row>
    <row r="257" spans="1:27" ht="13.5" customHeight="1" x14ac:dyDescent="0.3">
      <c r="A257" s="193" t="str">
        <f>IF('Observaciones-SMP'!A257="","",'Observaciones-SMP'!A257)</f>
        <v/>
      </c>
      <c r="B257" s="257" t="str">
        <f>IF('Observaciones-SMP'!B257="","",'Observaciones-SMP'!B257)</f>
        <v/>
      </c>
      <c r="C257" s="193" t="str">
        <f>IF('Observaciones-SMP'!C257="","",'Observaciones-SMP'!C257)</f>
        <v/>
      </c>
      <c r="D257" s="193" t="str">
        <f>IF('Observaciones-SMP'!D257="","",'Observaciones-SMP'!D257)</f>
        <v/>
      </c>
      <c r="E257" s="193" t="str">
        <f>IF('Observaciones-SMP'!E257="","",'Observaciones-SMP'!E257)</f>
        <v/>
      </c>
      <c r="F257" s="193" t="str">
        <f>IF('Observaciones-SMP'!F257="","",'Observaciones-SMP'!F257)</f>
        <v/>
      </c>
      <c r="G257" s="193" t="str">
        <f>IF('Observaciones-SMP'!G257="","",'Observaciones-SMP'!G257)</f>
        <v/>
      </c>
      <c r="H257" s="193" t="str">
        <f>IF('Observaciones-SMP'!H257="","",'Observaciones-SMP'!H257)</f>
        <v/>
      </c>
      <c r="I257" s="193" t="str">
        <f>IF('Observaciones-SMP'!I257="","",'Observaciones-SMP'!I257)</f>
        <v/>
      </c>
      <c r="J257" s="193" t="str">
        <f>IF('Observaciones-SMP'!J257="","",'Observaciones-SMP'!J257)</f>
        <v/>
      </c>
      <c r="K257" s="193" t="str">
        <f>IF('Observaciones-SMP'!K257="","",'Observaciones-SMP'!K257)</f>
        <v/>
      </c>
      <c r="L257" s="193" t="str">
        <f>IF('Observaciones-SMP'!L257="","",'Observaciones-SMP'!L257)</f>
        <v/>
      </c>
      <c r="M257" s="193" t="str">
        <f>IF('Observaciones-SMP'!M257="","",'Observaciones-SMP'!M257)</f>
        <v/>
      </c>
      <c r="N257" s="193" t="str">
        <f>IF('Observaciones-SMP'!N257="","",'Observaciones-SMP'!N257)</f>
        <v/>
      </c>
      <c r="O257" s="193" t="str">
        <f>IF('Observaciones-SMP'!O257="","",'Observaciones-SMP'!O257)</f>
        <v/>
      </c>
      <c r="P257" s="193" t="str">
        <f>IF('Observaciones-SMP'!P257="","",'Observaciones-SMP'!P257)</f>
        <v/>
      </c>
      <c r="Q257" s="257" t="str">
        <f>IF('Observaciones-SMP'!S257="","",'Observaciones-SMP'!S257)</f>
        <v/>
      </c>
      <c r="R257" s="193" t="str">
        <f>IF('Observaciones-SMP'!T257="","",'Observaciones-SMP'!T257)</f>
        <v/>
      </c>
      <c r="S257" s="193" t="str">
        <f>""</f>
        <v/>
      </c>
      <c r="T257" s="193" t="str">
        <f>""</f>
        <v/>
      </c>
      <c r="U257" s="193" t="str">
        <f t="shared" si="12"/>
        <v/>
      </c>
      <c r="V257" s="193" t="str">
        <f>""</f>
        <v/>
      </c>
      <c r="W257" s="193" t="str">
        <f>""</f>
        <v/>
      </c>
      <c r="X257" s="258" t="str">
        <f t="shared" si="13"/>
        <v/>
      </c>
      <c r="Y257" s="258" t="str">
        <f t="shared" si="14"/>
        <v/>
      </c>
      <c r="Z257" s="193" t="str">
        <f>IF(A257="","",IF(COUNTIF('Observaciones-SMP'!$A$2:$A$1001,A257)&gt;1,1,0))</f>
        <v/>
      </c>
      <c r="AA257" s="193" t="str">
        <f t="shared" si="15"/>
        <v/>
      </c>
    </row>
    <row r="258" spans="1:27" ht="13.5" customHeight="1" x14ac:dyDescent="0.3">
      <c r="A258" s="193" t="str">
        <f>IF('Observaciones-SMP'!A258="","",'Observaciones-SMP'!A258)</f>
        <v/>
      </c>
      <c r="B258" s="257" t="str">
        <f>IF('Observaciones-SMP'!B258="","",'Observaciones-SMP'!B258)</f>
        <v/>
      </c>
      <c r="C258" s="193" t="str">
        <f>IF('Observaciones-SMP'!C258="","",'Observaciones-SMP'!C258)</f>
        <v/>
      </c>
      <c r="D258" s="193" t="str">
        <f>IF('Observaciones-SMP'!D258="","",'Observaciones-SMP'!D258)</f>
        <v/>
      </c>
      <c r="E258" s="193" t="str">
        <f>IF('Observaciones-SMP'!E258="","",'Observaciones-SMP'!E258)</f>
        <v/>
      </c>
      <c r="F258" s="193" t="str">
        <f>IF('Observaciones-SMP'!F258="","",'Observaciones-SMP'!F258)</f>
        <v/>
      </c>
      <c r="G258" s="193" t="str">
        <f>IF('Observaciones-SMP'!G258="","",'Observaciones-SMP'!G258)</f>
        <v/>
      </c>
      <c r="H258" s="193" t="str">
        <f>IF('Observaciones-SMP'!H258="","",'Observaciones-SMP'!H258)</f>
        <v/>
      </c>
      <c r="I258" s="193" t="str">
        <f>IF('Observaciones-SMP'!I258="","",'Observaciones-SMP'!I258)</f>
        <v/>
      </c>
      <c r="J258" s="193" t="str">
        <f>IF('Observaciones-SMP'!J258="","",'Observaciones-SMP'!J258)</f>
        <v/>
      </c>
      <c r="K258" s="193" t="str">
        <f>IF('Observaciones-SMP'!K258="","",'Observaciones-SMP'!K258)</f>
        <v/>
      </c>
      <c r="L258" s="193" t="str">
        <f>IF('Observaciones-SMP'!L258="","",'Observaciones-SMP'!L258)</f>
        <v/>
      </c>
      <c r="M258" s="193" t="str">
        <f>IF('Observaciones-SMP'!M258="","",'Observaciones-SMP'!M258)</f>
        <v/>
      </c>
      <c r="N258" s="193" t="str">
        <f>IF('Observaciones-SMP'!N258="","",'Observaciones-SMP'!N258)</f>
        <v/>
      </c>
      <c r="O258" s="193" t="str">
        <f>IF('Observaciones-SMP'!O258="","",'Observaciones-SMP'!O258)</f>
        <v/>
      </c>
      <c r="P258" s="193" t="str">
        <f>IF('Observaciones-SMP'!P258="","",'Observaciones-SMP'!P258)</f>
        <v/>
      </c>
      <c r="Q258" s="257" t="str">
        <f>IF('Observaciones-SMP'!S258="","",'Observaciones-SMP'!S258)</f>
        <v/>
      </c>
      <c r="R258" s="193" t="str">
        <f>IF('Observaciones-SMP'!T258="","",'Observaciones-SMP'!T258)</f>
        <v/>
      </c>
      <c r="S258" s="193" t="str">
        <f>""</f>
        <v/>
      </c>
      <c r="T258" s="193" t="str">
        <f>""</f>
        <v/>
      </c>
      <c r="U258" s="193" t="str">
        <f t="shared" ref="U258:U321" si="16">IF(AND(ISNUMBER(B258),ISNUMBER(Q258)),IF(Q258&gt;=B258,Q258-B258,""),"")</f>
        <v/>
      </c>
      <c r="V258" s="193" t="str">
        <f>""</f>
        <v/>
      </c>
      <c r="W258" s="193" t="str">
        <f>""</f>
        <v/>
      </c>
      <c r="X258" s="258" t="str">
        <f t="shared" ref="X258:X321" si="17">IF(ISNUMBER(B258),DATE(YEAR(B258),MONTH(B258),1),"")</f>
        <v/>
      </c>
      <c r="Y258" s="258" t="str">
        <f t="shared" ref="Y258:Y321" si="18">IF(ISNUMBER(Q258),DATE(YEAR(Q258),MONTH(Q258),1),"")</f>
        <v/>
      </c>
      <c r="Z258" s="193" t="str">
        <f>IF(A258="","",IF(COUNTIF('Observaciones-SMP'!$A$2:$A$1001,A258)&gt;1,1,0))</f>
        <v/>
      </c>
      <c r="AA258" s="193" t="str">
        <f t="shared" ref="AA258:AA321" si="19">IF(ISNUMBER(B258),IF(ISNUMBER(Q258),Q258,DATE(YEAR(RPT_MONTH),MONTH(RPT_MONTH)+1,0))-B258,"")</f>
        <v/>
      </c>
    </row>
    <row r="259" spans="1:27" ht="13.5" customHeight="1" x14ac:dyDescent="0.3">
      <c r="A259" s="193" t="str">
        <f>IF('Observaciones-SMP'!A259="","",'Observaciones-SMP'!A259)</f>
        <v/>
      </c>
      <c r="B259" s="257" t="str">
        <f>IF('Observaciones-SMP'!B259="","",'Observaciones-SMP'!B259)</f>
        <v/>
      </c>
      <c r="C259" s="193" t="str">
        <f>IF('Observaciones-SMP'!C259="","",'Observaciones-SMP'!C259)</f>
        <v/>
      </c>
      <c r="D259" s="193" t="str">
        <f>IF('Observaciones-SMP'!D259="","",'Observaciones-SMP'!D259)</f>
        <v/>
      </c>
      <c r="E259" s="193" t="str">
        <f>IF('Observaciones-SMP'!E259="","",'Observaciones-SMP'!E259)</f>
        <v/>
      </c>
      <c r="F259" s="193" t="str">
        <f>IF('Observaciones-SMP'!F259="","",'Observaciones-SMP'!F259)</f>
        <v/>
      </c>
      <c r="G259" s="193" t="str">
        <f>IF('Observaciones-SMP'!G259="","",'Observaciones-SMP'!G259)</f>
        <v/>
      </c>
      <c r="H259" s="193" t="str">
        <f>IF('Observaciones-SMP'!H259="","",'Observaciones-SMP'!H259)</f>
        <v/>
      </c>
      <c r="I259" s="193" t="str">
        <f>IF('Observaciones-SMP'!I259="","",'Observaciones-SMP'!I259)</f>
        <v/>
      </c>
      <c r="J259" s="193" t="str">
        <f>IF('Observaciones-SMP'!J259="","",'Observaciones-SMP'!J259)</f>
        <v/>
      </c>
      <c r="K259" s="193" t="str">
        <f>IF('Observaciones-SMP'!K259="","",'Observaciones-SMP'!K259)</f>
        <v/>
      </c>
      <c r="L259" s="193" t="str">
        <f>IF('Observaciones-SMP'!L259="","",'Observaciones-SMP'!L259)</f>
        <v/>
      </c>
      <c r="M259" s="193" t="str">
        <f>IF('Observaciones-SMP'!M259="","",'Observaciones-SMP'!M259)</f>
        <v/>
      </c>
      <c r="N259" s="193" t="str">
        <f>IF('Observaciones-SMP'!N259="","",'Observaciones-SMP'!N259)</f>
        <v/>
      </c>
      <c r="O259" s="193" t="str">
        <f>IF('Observaciones-SMP'!O259="","",'Observaciones-SMP'!O259)</f>
        <v/>
      </c>
      <c r="P259" s="193" t="str">
        <f>IF('Observaciones-SMP'!P259="","",'Observaciones-SMP'!P259)</f>
        <v/>
      </c>
      <c r="Q259" s="257" t="str">
        <f>IF('Observaciones-SMP'!S259="","",'Observaciones-SMP'!S259)</f>
        <v/>
      </c>
      <c r="R259" s="193" t="str">
        <f>IF('Observaciones-SMP'!T259="","",'Observaciones-SMP'!T259)</f>
        <v/>
      </c>
      <c r="S259" s="193" t="str">
        <f>""</f>
        <v/>
      </c>
      <c r="T259" s="193" t="str">
        <f>""</f>
        <v/>
      </c>
      <c r="U259" s="193" t="str">
        <f t="shared" si="16"/>
        <v/>
      </c>
      <c r="V259" s="193" t="str">
        <f>""</f>
        <v/>
      </c>
      <c r="W259" s="193" t="str">
        <f>""</f>
        <v/>
      </c>
      <c r="X259" s="258" t="str">
        <f t="shared" si="17"/>
        <v/>
      </c>
      <c r="Y259" s="258" t="str">
        <f t="shared" si="18"/>
        <v/>
      </c>
      <c r="Z259" s="193" t="str">
        <f>IF(A259="","",IF(COUNTIF('Observaciones-SMP'!$A$2:$A$1001,A259)&gt;1,1,0))</f>
        <v/>
      </c>
      <c r="AA259" s="193" t="str">
        <f t="shared" si="19"/>
        <v/>
      </c>
    </row>
    <row r="260" spans="1:27" ht="13.5" customHeight="1" x14ac:dyDescent="0.3">
      <c r="A260" s="193" t="str">
        <f>IF('Observaciones-SMP'!A260="","",'Observaciones-SMP'!A260)</f>
        <v/>
      </c>
      <c r="B260" s="257" t="str">
        <f>IF('Observaciones-SMP'!B260="","",'Observaciones-SMP'!B260)</f>
        <v/>
      </c>
      <c r="C260" s="193" t="str">
        <f>IF('Observaciones-SMP'!C260="","",'Observaciones-SMP'!C260)</f>
        <v/>
      </c>
      <c r="D260" s="193" t="str">
        <f>IF('Observaciones-SMP'!D260="","",'Observaciones-SMP'!D260)</f>
        <v/>
      </c>
      <c r="E260" s="193" t="str">
        <f>IF('Observaciones-SMP'!E260="","",'Observaciones-SMP'!E260)</f>
        <v/>
      </c>
      <c r="F260" s="193" t="str">
        <f>IF('Observaciones-SMP'!F260="","",'Observaciones-SMP'!F260)</f>
        <v/>
      </c>
      <c r="G260" s="193" t="str">
        <f>IF('Observaciones-SMP'!G260="","",'Observaciones-SMP'!G260)</f>
        <v/>
      </c>
      <c r="H260" s="193" t="str">
        <f>IF('Observaciones-SMP'!H260="","",'Observaciones-SMP'!H260)</f>
        <v/>
      </c>
      <c r="I260" s="193" t="str">
        <f>IF('Observaciones-SMP'!I260="","",'Observaciones-SMP'!I260)</f>
        <v/>
      </c>
      <c r="J260" s="193" t="str">
        <f>IF('Observaciones-SMP'!J260="","",'Observaciones-SMP'!J260)</f>
        <v/>
      </c>
      <c r="K260" s="193" t="str">
        <f>IF('Observaciones-SMP'!K260="","",'Observaciones-SMP'!K260)</f>
        <v/>
      </c>
      <c r="L260" s="193" t="str">
        <f>IF('Observaciones-SMP'!L260="","",'Observaciones-SMP'!L260)</f>
        <v/>
      </c>
      <c r="M260" s="193" t="str">
        <f>IF('Observaciones-SMP'!M260="","",'Observaciones-SMP'!M260)</f>
        <v/>
      </c>
      <c r="N260" s="193" t="str">
        <f>IF('Observaciones-SMP'!N260="","",'Observaciones-SMP'!N260)</f>
        <v/>
      </c>
      <c r="O260" s="193" t="str">
        <f>IF('Observaciones-SMP'!O260="","",'Observaciones-SMP'!O260)</f>
        <v/>
      </c>
      <c r="P260" s="193" t="str">
        <f>IF('Observaciones-SMP'!P260="","",'Observaciones-SMP'!P260)</f>
        <v/>
      </c>
      <c r="Q260" s="257" t="str">
        <f>IF('Observaciones-SMP'!S260="","",'Observaciones-SMP'!S260)</f>
        <v/>
      </c>
      <c r="R260" s="193" t="str">
        <f>IF('Observaciones-SMP'!T260="","",'Observaciones-SMP'!T260)</f>
        <v/>
      </c>
      <c r="S260" s="193" t="str">
        <f>""</f>
        <v/>
      </c>
      <c r="T260" s="193" t="str">
        <f>""</f>
        <v/>
      </c>
      <c r="U260" s="193" t="str">
        <f t="shared" si="16"/>
        <v/>
      </c>
      <c r="V260" s="193" t="str">
        <f>""</f>
        <v/>
      </c>
      <c r="W260" s="193" t="str">
        <f>""</f>
        <v/>
      </c>
      <c r="X260" s="258" t="str">
        <f t="shared" si="17"/>
        <v/>
      </c>
      <c r="Y260" s="258" t="str">
        <f t="shared" si="18"/>
        <v/>
      </c>
      <c r="Z260" s="193" t="str">
        <f>IF(A260="","",IF(COUNTIF('Observaciones-SMP'!$A$2:$A$1001,A260)&gt;1,1,0))</f>
        <v/>
      </c>
      <c r="AA260" s="193" t="str">
        <f t="shared" si="19"/>
        <v/>
      </c>
    </row>
    <row r="261" spans="1:27" ht="13.5" customHeight="1" x14ac:dyDescent="0.3">
      <c r="A261" s="193" t="str">
        <f>IF('Observaciones-SMP'!A261="","",'Observaciones-SMP'!A261)</f>
        <v/>
      </c>
      <c r="B261" s="257" t="str">
        <f>IF('Observaciones-SMP'!B261="","",'Observaciones-SMP'!B261)</f>
        <v/>
      </c>
      <c r="C261" s="193" t="str">
        <f>IF('Observaciones-SMP'!C261="","",'Observaciones-SMP'!C261)</f>
        <v/>
      </c>
      <c r="D261" s="193" t="str">
        <f>IF('Observaciones-SMP'!D261="","",'Observaciones-SMP'!D261)</f>
        <v/>
      </c>
      <c r="E261" s="193" t="str">
        <f>IF('Observaciones-SMP'!E261="","",'Observaciones-SMP'!E261)</f>
        <v/>
      </c>
      <c r="F261" s="193" t="str">
        <f>IF('Observaciones-SMP'!F261="","",'Observaciones-SMP'!F261)</f>
        <v/>
      </c>
      <c r="G261" s="193" t="str">
        <f>IF('Observaciones-SMP'!G261="","",'Observaciones-SMP'!G261)</f>
        <v/>
      </c>
      <c r="H261" s="193" t="str">
        <f>IF('Observaciones-SMP'!H261="","",'Observaciones-SMP'!H261)</f>
        <v/>
      </c>
      <c r="I261" s="193" t="str">
        <f>IF('Observaciones-SMP'!I261="","",'Observaciones-SMP'!I261)</f>
        <v/>
      </c>
      <c r="J261" s="193" t="str">
        <f>IF('Observaciones-SMP'!J261="","",'Observaciones-SMP'!J261)</f>
        <v/>
      </c>
      <c r="K261" s="193" t="str">
        <f>IF('Observaciones-SMP'!K261="","",'Observaciones-SMP'!K261)</f>
        <v/>
      </c>
      <c r="L261" s="193" t="str">
        <f>IF('Observaciones-SMP'!L261="","",'Observaciones-SMP'!L261)</f>
        <v/>
      </c>
      <c r="M261" s="193" t="str">
        <f>IF('Observaciones-SMP'!M261="","",'Observaciones-SMP'!M261)</f>
        <v/>
      </c>
      <c r="N261" s="193" t="str">
        <f>IF('Observaciones-SMP'!N261="","",'Observaciones-SMP'!N261)</f>
        <v/>
      </c>
      <c r="O261" s="193" t="str">
        <f>IF('Observaciones-SMP'!O261="","",'Observaciones-SMP'!O261)</f>
        <v/>
      </c>
      <c r="P261" s="193" t="str">
        <f>IF('Observaciones-SMP'!P261="","",'Observaciones-SMP'!P261)</f>
        <v/>
      </c>
      <c r="Q261" s="257" t="str">
        <f>IF('Observaciones-SMP'!S261="","",'Observaciones-SMP'!S261)</f>
        <v/>
      </c>
      <c r="R261" s="193" t="str">
        <f>IF('Observaciones-SMP'!T261="","",'Observaciones-SMP'!T261)</f>
        <v/>
      </c>
      <c r="S261" s="193" t="str">
        <f>""</f>
        <v/>
      </c>
      <c r="T261" s="193" t="str">
        <f>""</f>
        <v/>
      </c>
      <c r="U261" s="193" t="str">
        <f t="shared" si="16"/>
        <v/>
      </c>
      <c r="V261" s="193" t="str">
        <f>""</f>
        <v/>
      </c>
      <c r="W261" s="193" t="str">
        <f>""</f>
        <v/>
      </c>
      <c r="X261" s="258" t="str">
        <f t="shared" si="17"/>
        <v/>
      </c>
      <c r="Y261" s="258" t="str">
        <f t="shared" si="18"/>
        <v/>
      </c>
      <c r="Z261" s="193" t="str">
        <f>IF(A261="","",IF(COUNTIF('Observaciones-SMP'!$A$2:$A$1001,A261)&gt;1,1,0))</f>
        <v/>
      </c>
      <c r="AA261" s="193" t="str">
        <f t="shared" si="19"/>
        <v/>
      </c>
    </row>
    <row r="262" spans="1:27" ht="13.5" customHeight="1" x14ac:dyDescent="0.3">
      <c r="A262" s="193" t="str">
        <f>IF('Observaciones-SMP'!A262="","",'Observaciones-SMP'!A262)</f>
        <v/>
      </c>
      <c r="B262" s="257" t="str">
        <f>IF('Observaciones-SMP'!B262="","",'Observaciones-SMP'!B262)</f>
        <v/>
      </c>
      <c r="C262" s="193" t="str">
        <f>IF('Observaciones-SMP'!C262="","",'Observaciones-SMP'!C262)</f>
        <v/>
      </c>
      <c r="D262" s="193" t="str">
        <f>IF('Observaciones-SMP'!D262="","",'Observaciones-SMP'!D262)</f>
        <v/>
      </c>
      <c r="E262" s="193" t="str">
        <f>IF('Observaciones-SMP'!E262="","",'Observaciones-SMP'!E262)</f>
        <v/>
      </c>
      <c r="F262" s="193" t="str">
        <f>IF('Observaciones-SMP'!F262="","",'Observaciones-SMP'!F262)</f>
        <v/>
      </c>
      <c r="G262" s="193" t="str">
        <f>IF('Observaciones-SMP'!G262="","",'Observaciones-SMP'!G262)</f>
        <v/>
      </c>
      <c r="H262" s="193" t="str">
        <f>IF('Observaciones-SMP'!H262="","",'Observaciones-SMP'!H262)</f>
        <v/>
      </c>
      <c r="I262" s="193" t="str">
        <f>IF('Observaciones-SMP'!I262="","",'Observaciones-SMP'!I262)</f>
        <v/>
      </c>
      <c r="J262" s="193" t="str">
        <f>IF('Observaciones-SMP'!J262="","",'Observaciones-SMP'!J262)</f>
        <v/>
      </c>
      <c r="K262" s="193" t="str">
        <f>IF('Observaciones-SMP'!K262="","",'Observaciones-SMP'!K262)</f>
        <v/>
      </c>
      <c r="L262" s="193" t="str">
        <f>IF('Observaciones-SMP'!L262="","",'Observaciones-SMP'!L262)</f>
        <v/>
      </c>
      <c r="M262" s="193" t="str">
        <f>IF('Observaciones-SMP'!M262="","",'Observaciones-SMP'!M262)</f>
        <v/>
      </c>
      <c r="N262" s="193" t="str">
        <f>IF('Observaciones-SMP'!N262="","",'Observaciones-SMP'!N262)</f>
        <v/>
      </c>
      <c r="O262" s="193" t="str">
        <f>IF('Observaciones-SMP'!O262="","",'Observaciones-SMP'!O262)</f>
        <v/>
      </c>
      <c r="P262" s="193" t="str">
        <f>IF('Observaciones-SMP'!P262="","",'Observaciones-SMP'!P262)</f>
        <v/>
      </c>
      <c r="Q262" s="257" t="str">
        <f>IF('Observaciones-SMP'!S262="","",'Observaciones-SMP'!S262)</f>
        <v/>
      </c>
      <c r="R262" s="193" t="str">
        <f>IF('Observaciones-SMP'!T262="","",'Observaciones-SMP'!T262)</f>
        <v/>
      </c>
      <c r="S262" s="193" t="str">
        <f>""</f>
        <v/>
      </c>
      <c r="T262" s="193" t="str">
        <f>""</f>
        <v/>
      </c>
      <c r="U262" s="193" t="str">
        <f t="shared" si="16"/>
        <v/>
      </c>
      <c r="V262" s="193" t="str">
        <f>""</f>
        <v/>
      </c>
      <c r="W262" s="193" t="str">
        <f>""</f>
        <v/>
      </c>
      <c r="X262" s="258" t="str">
        <f t="shared" si="17"/>
        <v/>
      </c>
      <c r="Y262" s="258" t="str">
        <f t="shared" si="18"/>
        <v/>
      </c>
      <c r="Z262" s="193" t="str">
        <f>IF(A262="","",IF(COUNTIF('Observaciones-SMP'!$A$2:$A$1001,A262)&gt;1,1,0))</f>
        <v/>
      </c>
      <c r="AA262" s="193" t="str">
        <f t="shared" si="19"/>
        <v/>
      </c>
    </row>
    <row r="263" spans="1:27" ht="13.5" customHeight="1" x14ac:dyDescent="0.3">
      <c r="A263" s="193" t="str">
        <f>IF('Observaciones-SMP'!A263="","",'Observaciones-SMP'!A263)</f>
        <v/>
      </c>
      <c r="B263" s="257" t="str">
        <f>IF('Observaciones-SMP'!B263="","",'Observaciones-SMP'!B263)</f>
        <v/>
      </c>
      <c r="C263" s="193" t="str">
        <f>IF('Observaciones-SMP'!C263="","",'Observaciones-SMP'!C263)</f>
        <v/>
      </c>
      <c r="D263" s="193" t="str">
        <f>IF('Observaciones-SMP'!D263="","",'Observaciones-SMP'!D263)</f>
        <v/>
      </c>
      <c r="E263" s="193" t="str">
        <f>IF('Observaciones-SMP'!E263="","",'Observaciones-SMP'!E263)</f>
        <v/>
      </c>
      <c r="F263" s="193" t="str">
        <f>IF('Observaciones-SMP'!F263="","",'Observaciones-SMP'!F263)</f>
        <v/>
      </c>
      <c r="G263" s="193" t="str">
        <f>IF('Observaciones-SMP'!G263="","",'Observaciones-SMP'!G263)</f>
        <v/>
      </c>
      <c r="H263" s="193" t="str">
        <f>IF('Observaciones-SMP'!H263="","",'Observaciones-SMP'!H263)</f>
        <v/>
      </c>
      <c r="I263" s="193" t="str">
        <f>IF('Observaciones-SMP'!I263="","",'Observaciones-SMP'!I263)</f>
        <v/>
      </c>
      <c r="J263" s="193" t="str">
        <f>IF('Observaciones-SMP'!J263="","",'Observaciones-SMP'!J263)</f>
        <v/>
      </c>
      <c r="K263" s="193" t="str">
        <f>IF('Observaciones-SMP'!K263="","",'Observaciones-SMP'!K263)</f>
        <v/>
      </c>
      <c r="L263" s="193" t="str">
        <f>IF('Observaciones-SMP'!L263="","",'Observaciones-SMP'!L263)</f>
        <v/>
      </c>
      <c r="M263" s="193" t="str">
        <f>IF('Observaciones-SMP'!M263="","",'Observaciones-SMP'!M263)</f>
        <v/>
      </c>
      <c r="N263" s="193" t="str">
        <f>IF('Observaciones-SMP'!N263="","",'Observaciones-SMP'!N263)</f>
        <v/>
      </c>
      <c r="O263" s="193" t="str">
        <f>IF('Observaciones-SMP'!O263="","",'Observaciones-SMP'!O263)</f>
        <v/>
      </c>
      <c r="P263" s="193" t="str">
        <f>IF('Observaciones-SMP'!P263="","",'Observaciones-SMP'!P263)</f>
        <v/>
      </c>
      <c r="Q263" s="257" t="str">
        <f>IF('Observaciones-SMP'!S263="","",'Observaciones-SMP'!S263)</f>
        <v/>
      </c>
      <c r="R263" s="193" t="str">
        <f>IF('Observaciones-SMP'!T263="","",'Observaciones-SMP'!T263)</f>
        <v/>
      </c>
      <c r="S263" s="193" t="str">
        <f>""</f>
        <v/>
      </c>
      <c r="T263" s="193" t="str">
        <f>""</f>
        <v/>
      </c>
      <c r="U263" s="193" t="str">
        <f t="shared" si="16"/>
        <v/>
      </c>
      <c r="V263" s="193" t="str">
        <f>""</f>
        <v/>
      </c>
      <c r="W263" s="193" t="str">
        <f>""</f>
        <v/>
      </c>
      <c r="X263" s="258" t="str">
        <f t="shared" si="17"/>
        <v/>
      </c>
      <c r="Y263" s="258" t="str">
        <f t="shared" si="18"/>
        <v/>
      </c>
      <c r="Z263" s="193" t="str">
        <f>IF(A263="","",IF(COUNTIF('Observaciones-SMP'!$A$2:$A$1001,A263)&gt;1,1,0))</f>
        <v/>
      </c>
      <c r="AA263" s="193" t="str">
        <f t="shared" si="19"/>
        <v/>
      </c>
    </row>
    <row r="264" spans="1:27" ht="13.5" customHeight="1" x14ac:dyDescent="0.3">
      <c r="A264" s="193" t="str">
        <f>IF('Observaciones-SMP'!A264="","",'Observaciones-SMP'!A264)</f>
        <v/>
      </c>
      <c r="B264" s="257" t="str">
        <f>IF('Observaciones-SMP'!B264="","",'Observaciones-SMP'!B264)</f>
        <v/>
      </c>
      <c r="C264" s="193" t="str">
        <f>IF('Observaciones-SMP'!C264="","",'Observaciones-SMP'!C264)</f>
        <v/>
      </c>
      <c r="D264" s="193" t="str">
        <f>IF('Observaciones-SMP'!D264="","",'Observaciones-SMP'!D264)</f>
        <v/>
      </c>
      <c r="E264" s="193" t="str">
        <f>IF('Observaciones-SMP'!E264="","",'Observaciones-SMP'!E264)</f>
        <v/>
      </c>
      <c r="F264" s="193" t="str">
        <f>IF('Observaciones-SMP'!F264="","",'Observaciones-SMP'!F264)</f>
        <v/>
      </c>
      <c r="G264" s="193" t="str">
        <f>IF('Observaciones-SMP'!G264="","",'Observaciones-SMP'!G264)</f>
        <v/>
      </c>
      <c r="H264" s="193" t="str">
        <f>IF('Observaciones-SMP'!H264="","",'Observaciones-SMP'!H264)</f>
        <v/>
      </c>
      <c r="I264" s="193" t="str">
        <f>IF('Observaciones-SMP'!I264="","",'Observaciones-SMP'!I264)</f>
        <v/>
      </c>
      <c r="J264" s="193" t="str">
        <f>IF('Observaciones-SMP'!J264="","",'Observaciones-SMP'!J264)</f>
        <v/>
      </c>
      <c r="K264" s="193" t="str">
        <f>IF('Observaciones-SMP'!K264="","",'Observaciones-SMP'!K264)</f>
        <v/>
      </c>
      <c r="L264" s="193" t="str">
        <f>IF('Observaciones-SMP'!L264="","",'Observaciones-SMP'!L264)</f>
        <v/>
      </c>
      <c r="M264" s="193" t="str">
        <f>IF('Observaciones-SMP'!M264="","",'Observaciones-SMP'!M264)</f>
        <v/>
      </c>
      <c r="N264" s="193" t="str">
        <f>IF('Observaciones-SMP'!N264="","",'Observaciones-SMP'!N264)</f>
        <v/>
      </c>
      <c r="O264" s="193" t="str">
        <f>IF('Observaciones-SMP'!O264="","",'Observaciones-SMP'!O264)</f>
        <v/>
      </c>
      <c r="P264" s="193" t="str">
        <f>IF('Observaciones-SMP'!P264="","",'Observaciones-SMP'!P264)</f>
        <v/>
      </c>
      <c r="Q264" s="257" t="str">
        <f>IF('Observaciones-SMP'!S264="","",'Observaciones-SMP'!S264)</f>
        <v/>
      </c>
      <c r="R264" s="193" t="str">
        <f>IF('Observaciones-SMP'!T264="","",'Observaciones-SMP'!T264)</f>
        <v/>
      </c>
      <c r="S264" s="193" t="str">
        <f>""</f>
        <v/>
      </c>
      <c r="T264" s="193" t="str">
        <f>""</f>
        <v/>
      </c>
      <c r="U264" s="193" t="str">
        <f t="shared" si="16"/>
        <v/>
      </c>
      <c r="V264" s="193" t="str">
        <f>""</f>
        <v/>
      </c>
      <c r="W264" s="193" t="str">
        <f>""</f>
        <v/>
      </c>
      <c r="X264" s="258" t="str">
        <f t="shared" si="17"/>
        <v/>
      </c>
      <c r="Y264" s="258" t="str">
        <f t="shared" si="18"/>
        <v/>
      </c>
      <c r="Z264" s="193" t="str">
        <f>IF(A264="","",IF(COUNTIF('Observaciones-SMP'!$A$2:$A$1001,A264)&gt;1,1,0))</f>
        <v/>
      </c>
      <c r="AA264" s="193" t="str">
        <f t="shared" si="19"/>
        <v/>
      </c>
    </row>
    <row r="265" spans="1:27" ht="13.5" customHeight="1" x14ac:dyDescent="0.3">
      <c r="A265" s="193" t="str">
        <f>IF('Observaciones-SMP'!A265="","",'Observaciones-SMP'!A265)</f>
        <v/>
      </c>
      <c r="B265" s="257" t="str">
        <f>IF('Observaciones-SMP'!B265="","",'Observaciones-SMP'!B265)</f>
        <v/>
      </c>
      <c r="C265" s="193" t="str">
        <f>IF('Observaciones-SMP'!C265="","",'Observaciones-SMP'!C265)</f>
        <v/>
      </c>
      <c r="D265" s="193" t="str">
        <f>IF('Observaciones-SMP'!D265="","",'Observaciones-SMP'!D265)</f>
        <v/>
      </c>
      <c r="E265" s="193" t="str">
        <f>IF('Observaciones-SMP'!E265="","",'Observaciones-SMP'!E265)</f>
        <v/>
      </c>
      <c r="F265" s="193" t="str">
        <f>IF('Observaciones-SMP'!F265="","",'Observaciones-SMP'!F265)</f>
        <v/>
      </c>
      <c r="G265" s="193" t="str">
        <f>IF('Observaciones-SMP'!G265="","",'Observaciones-SMP'!G265)</f>
        <v/>
      </c>
      <c r="H265" s="193" t="str">
        <f>IF('Observaciones-SMP'!H265="","",'Observaciones-SMP'!H265)</f>
        <v/>
      </c>
      <c r="I265" s="193" t="str">
        <f>IF('Observaciones-SMP'!I265="","",'Observaciones-SMP'!I265)</f>
        <v/>
      </c>
      <c r="J265" s="193" t="str">
        <f>IF('Observaciones-SMP'!J265="","",'Observaciones-SMP'!J265)</f>
        <v/>
      </c>
      <c r="K265" s="193" t="str">
        <f>IF('Observaciones-SMP'!K265="","",'Observaciones-SMP'!K265)</f>
        <v/>
      </c>
      <c r="L265" s="193" t="str">
        <f>IF('Observaciones-SMP'!L265="","",'Observaciones-SMP'!L265)</f>
        <v/>
      </c>
      <c r="M265" s="193" t="str">
        <f>IF('Observaciones-SMP'!M265="","",'Observaciones-SMP'!M265)</f>
        <v/>
      </c>
      <c r="N265" s="193" t="str">
        <f>IF('Observaciones-SMP'!N265="","",'Observaciones-SMP'!N265)</f>
        <v/>
      </c>
      <c r="O265" s="193" t="str">
        <f>IF('Observaciones-SMP'!O265="","",'Observaciones-SMP'!O265)</f>
        <v/>
      </c>
      <c r="P265" s="193" t="str">
        <f>IF('Observaciones-SMP'!P265="","",'Observaciones-SMP'!P265)</f>
        <v/>
      </c>
      <c r="Q265" s="257" t="str">
        <f>IF('Observaciones-SMP'!S265="","",'Observaciones-SMP'!S265)</f>
        <v/>
      </c>
      <c r="R265" s="193" t="str">
        <f>IF('Observaciones-SMP'!T265="","",'Observaciones-SMP'!T265)</f>
        <v/>
      </c>
      <c r="S265" s="193" t="str">
        <f>""</f>
        <v/>
      </c>
      <c r="T265" s="193" t="str">
        <f>""</f>
        <v/>
      </c>
      <c r="U265" s="193" t="str">
        <f t="shared" si="16"/>
        <v/>
      </c>
      <c r="V265" s="193" t="str">
        <f>""</f>
        <v/>
      </c>
      <c r="W265" s="193" t="str">
        <f>""</f>
        <v/>
      </c>
      <c r="X265" s="258" t="str">
        <f t="shared" si="17"/>
        <v/>
      </c>
      <c r="Y265" s="258" t="str">
        <f t="shared" si="18"/>
        <v/>
      </c>
      <c r="Z265" s="193" t="str">
        <f>IF(A265="","",IF(COUNTIF('Observaciones-SMP'!$A$2:$A$1001,A265)&gt;1,1,0))</f>
        <v/>
      </c>
      <c r="AA265" s="193" t="str">
        <f t="shared" si="19"/>
        <v/>
      </c>
    </row>
    <row r="266" spans="1:27" ht="13.5" customHeight="1" x14ac:dyDescent="0.3">
      <c r="A266" s="193" t="str">
        <f>IF('Observaciones-SMP'!A266="","",'Observaciones-SMP'!A266)</f>
        <v/>
      </c>
      <c r="B266" s="257" t="str">
        <f>IF('Observaciones-SMP'!B266="","",'Observaciones-SMP'!B266)</f>
        <v/>
      </c>
      <c r="C266" s="193" t="str">
        <f>IF('Observaciones-SMP'!C266="","",'Observaciones-SMP'!C266)</f>
        <v/>
      </c>
      <c r="D266" s="193" t="str">
        <f>IF('Observaciones-SMP'!D266="","",'Observaciones-SMP'!D266)</f>
        <v/>
      </c>
      <c r="E266" s="193" t="str">
        <f>IF('Observaciones-SMP'!E266="","",'Observaciones-SMP'!E266)</f>
        <v/>
      </c>
      <c r="F266" s="193" t="str">
        <f>IF('Observaciones-SMP'!F266="","",'Observaciones-SMP'!F266)</f>
        <v/>
      </c>
      <c r="G266" s="193" t="str">
        <f>IF('Observaciones-SMP'!G266="","",'Observaciones-SMP'!G266)</f>
        <v/>
      </c>
      <c r="H266" s="193" t="str">
        <f>IF('Observaciones-SMP'!H266="","",'Observaciones-SMP'!H266)</f>
        <v/>
      </c>
      <c r="I266" s="193" t="str">
        <f>IF('Observaciones-SMP'!I266="","",'Observaciones-SMP'!I266)</f>
        <v/>
      </c>
      <c r="J266" s="193" t="str">
        <f>IF('Observaciones-SMP'!J266="","",'Observaciones-SMP'!J266)</f>
        <v/>
      </c>
      <c r="K266" s="193" t="str">
        <f>IF('Observaciones-SMP'!K266="","",'Observaciones-SMP'!K266)</f>
        <v/>
      </c>
      <c r="L266" s="193" t="str">
        <f>IF('Observaciones-SMP'!L266="","",'Observaciones-SMP'!L266)</f>
        <v/>
      </c>
      <c r="M266" s="193" t="str">
        <f>IF('Observaciones-SMP'!M266="","",'Observaciones-SMP'!M266)</f>
        <v/>
      </c>
      <c r="N266" s="193" t="str">
        <f>IF('Observaciones-SMP'!N266="","",'Observaciones-SMP'!N266)</f>
        <v/>
      </c>
      <c r="O266" s="193" t="str">
        <f>IF('Observaciones-SMP'!O266="","",'Observaciones-SMP'!O266)</f>
        <v/>
      </c>
      <c r="P266" s="193" t="str">
        <f>IF('Observaciones-SMP'!P266="","",'Observaciones-SMP'!P266)</f>
        <v/>
      </c>
      <c r="Q266" s="257" t="str">
        <f>IF('Observaciones-SMP'!S266="","",'Observaciones-SMP'!S266)</f>
        <v/>
      </c>
      <c r="R266" s="193" t="str">
        <f>IF('Observaciones-SMP'!T266="","",'Observaciones-SMP'!T266)</f>
        <v/>
      </c>
      <c r="S266" s="193" t="str">
        <f>""</f>
        <v/>
      </c>
      <c r="T266" s="193" t="str">
        <f>""</f>
        <v/>
      </c>
      <c r="U266" s="193" t="str">
        <f t="shared" si="16"/>
        <v/>
      </c>
      <c r="V266" s="193" t="str">
        <f>""</f>
        <v/>
      </c>
      <c r="W266" s="193" t="str">
        <f>""</f>
        <v/>
      </c>
      <c r="X266" s="258" t="str">
        <f t="shared" si="17"/>
        <v/>
      </c>
      <c r="Y266" s="258" t="str">
        <f t="shared" si="18"/>
        <v/>
      </c>
      <c r="Z266" s="193" t="str">
        <f>IF(A266="","",IF(COUNTIF('Observaciones-SMP'!$A$2:$A$1001,A266)&gt;1,1,0))</f>
        <v/>
      </c>
      <c r="AA266" s="193" t="str">
        <f t="shared" si="19"/>
        <v/>
      </c>
    </row>
    <row r="267" spans="1:27" ht="13.5" customHeight="1" x14ac:dyDescent="0.3">
      <c r="A267" s="193" t="str">
        <f>IF('Observaciones-SMP'!A267="","",'Observaciones-SMP'!A267)</f>
        <v/>
      </c>
      <c r="B267" s="257" t="str">
        <f>IF('Observaciones-SMP'!B267="","",'Observaciones-SMP'!B267)</f>
        <v/>
      </c>
      <c r="C267" s="193" t="str">
        <f>IF('Observaciones-SMP'!C267="","",'Observaciones-SMP'!C267)</f>
        <v/>
      </c>
      <c r="D267" s="193" t="str">
        <f>IF('Observaciones-SMP'!D267="","",'Observaciones-SMP'!D267)</f>
        <v/>
      </c>
      <c r="E267" s="193" t="str">
        <f>IF('Observaciones-SMP'!E267="","",'Observaciones-SMP'!E267)</f>
        <v/>
      </c>
      <c r="F267" s="193" t="str">
        <f>IF('Observaciones-SMP'!F267="","",'Observaciones-SMP'!F267)</f>
        <v/>
      </c>
      <c r="G267" s="193" t="str">
        <f>IF('Observaciones-SMP'!G267="","",'Observaciones-SMP'!G267)</f>
        <v/>
      </c>
      <c r="H267" s="193" t="str">
        <f>IF('Observaciones-SMP'!H267="","",'Observaciones-SMP'!H267)</f>
        <v/>
      </c>
      <c r="I267" s="193" t="str">
        <f>IF('Observaciones-SMP'!I267="","",'Observaciones-SMP'!I267)</f>
        <v/>
      </c>
      <c r="J267" s="193" t="str">
        <f>IF('Observaciones-SMP'!J267="","",'Observaciones-SMP'!J267)</f>
        <v/>
      </c>
      <c r="K267" s="193" t="str">
        <f>IF('Observaciones-SMP'!K267="","",'Observaciones-SMP'!K267)</f>
        <v/>
      </c>
      <c r="L267" s="193" t="str">
        <f>IF('Observaciones-SMP'!L267="","",'Observaciones-SMP'!L267)</f>
        <v/>
      </c>
      <c r="M267" s="193" t="str">
        <f>IF('Observaciones-SMP'!M267="","",'Observaciones-SMP'!M267)</f>
        <v/>
      </c>
      <c r="N267" s="193" t="str">
        <f>IF('Observaciones-SMP'!N267="","",'Observaciones-SMP'!N267)</f>
        <v/>
      </c>
      <c r="O267" s="193" t="str">
        <f>IF('Observaciones-SMP'!O267="","",'Observaciones-SMP'!O267)</f>
        <v/>
      </c>
      <c r="P267" s="193" t="str">
        <f>IF('Observaciones-SMP'!P267="","",'Observaciones-SMP'!P267)</f>
        <v/>
      </c>
      <c r="Q267" s="257" t="str">
        <f>IF('Observaciones-SMP'!S267="","",'Observaciones-SMP'!S267)</f>
        <v/>
      </c>
      <c r="R267" s="193" t="str">
        <f>IF('Observaciones-SMP'!T267="","",'Observaciones-SMP'!T267)</f>
        <v/>
      </c>
      <c r="S267" s="193" t="str">
        <f>""</f>
        <v/>
      </c>
      <c r="T267" s="193" t="str">
        <f>""</f>
        <v/>
      </c>
      <c r="U267" s="193" t="str">
        <f t="shared" si="16"/>
        <v/>
      </c>
      <c r="V267" s="193" t="str">
        <f>""</f>
        <v/>
      </c>
      <c r="W267" s="193" t="str">
        <f>""</f>
        <v/>
      </c>
      <c r="X267" s="258" t="str">
        <f t="shared" si="17"/>
        <v/>
      </c>
      <c r="Y267" s="258" t="str">
        <f t="shared" si="18"/>
        <v/>
      </c>
      <c r="Z267" s="193" t="str">
        <f>IF(A267="","",IF(COUNTIF('Observaciones-SMP'!$A$2:$A$1001,A267)&gt;1,1,0))</f>
        <v/>
      </c>
      <c r="AA267" s="193" t="str">
        <f t="shared" si="19"/>
        <v/>
      </c>
    </row>
    <row r="268" spans="1:27" ht="13.5" customHeight="1" x14ac:dyDescent="0.3">
      <c r="A268" s="193" t="str">
        <f>IF('Observaciones-SMP'!A268="","",'Observaciones-SMP'!A268)</f>
        <v/>
      </c>
      <c r="B268" s="257" t="str">
        <f>IF('Observaciones-SMP'!B268="","",'Observaciones-SMP'!B268)</f>
        <v/>
      </c>
      <c r="C268" s="193" t="str">
        <f>IF('Observaciones-SMP'!C268="","",'Observaciones-SMP'!C268)</f>
        <v/>
      </c>
      <c r="D268" s="193" t="str">
        <f>IF('Observaciones-SMP'!D268="","",'Observaciones-SMP'!D268)</f>
        <v/>
      </c>
      <c r="E268" s="193" t="str">
        <f>IF('Observaciones-SMP'!E268="","",'Observaciones-SMP'!E268)</f>
        <v/>
      </c>
      <c r="F268" s="193" t="str">
        <f>IF('Observaciones-SMP'!F268="","",'Observaciones-SMP'!F268)</f>
        <v/>
      </c>
      <c r="G268" s="193" t="str">
        <f>IF('Observaciones-SMP'!G268="","",'Observaciones-SMP'!G268)</f>
        <v/>
      </c>
      <c r="H268" s="193" t="str">
        <f>IF('Observaciones-SMP'!H268="","",'Observaciones-SMP'!H268)</f>
        <v/>
      </c>
      <c r="I268" s="193" t="str">
        <f>IF('Observaciones-SMP'!I268="","",'Observaciones-SMP'!I268)</f>
        <v/>
      </c>
      <c r="J268" s="193" t="str">
        <f>IF('Observaciones-SMP'!J268="","",'Observaciones-SMP'!J268)</f>
        <v/>
      </c>
      <c r="K268" s="193" t="str">
        <f>IF('Observaciones-SMP'!K268="","",'Observaciones-SMP'!K268)</f>
        <v/>
      </c>
      <c r="L268" s="193" t="str">
        <f>IF('Observaciones-SMP'!L268="","",'Observaciones-SMP'!L268)</f>
        <v/>
      </c>
      <c r="M268" s="193" t="str">
        <f>IF('Observaciones-SMP'!M268="","",'Observaciones-SMP'!M268)</f>
        <v/>
      </c>
      <c r="N268" s="193" t="str">
        <f>IF('Observaciones-SMP'!N268="","",'Observaciones-SMP'!N268)</f>
        <v/>
      </c>
      <c r="O268" s="193" t="str">
        <f>IF('Observaciones-SMP'!O268="","",'Observaciones-SMP'!O268)</f>
        <v/>
      </c>
      <c r="P268" s="193" t="str">
        <f>IF('Observaciones-SMP'!P268="","",'Observaciones-SMP'!P268)</f>
        <v/>
      </c>
      <c r="Q268" s="257" t="str">
        <f>IF('Observaciones-SMP'!S268="","",'Observaciones-SMP'!S268)</f>
        <v/>
      </c>
      <c r="R268" s="193" t="str">
        <f>IF('Observaciones-SMP'!T268="","",'Observaciones-SMP'!T268)</f>
        <v/>
      </c>
      <c r="S268" s="193" t="str">
        <f>""</f>
        <v/>
      </c>
      <c r="T268" s="193" t="str">
        <f>""</f>
        <v/>
      </c>
      <c r="U268" s="193" t="str">
        <f t="shared" si="16"/>
        <v/>
      </c>
      <c r="V268" s="193" t="str">
        <f>""</f>
        <v/>
      </c>
      <c r="W268" s="193" t="str">
        <f>""</f>
        <v/>
      </c>
      <c r="X268" s="258" t="str">
        <f t="shared" si="17"/>
        <v/>
      </c>
      <c r="Y268" s="258" t="str">
        <f t="shared" si="18"/>
        <v/>
      </c>
      <c r="Z268" s="193" t="str">
        <f>IF(A268="","",IF(COUNTIF('Observaciones-SMP'!$A$2:$A$1001,A268)&gt;1,1,0))</f>
        <v/>
      </c>
      <c r="AA268" s="193" t="str">
        <f t="shared" si="19"/>
        <v/>
      </c>
    </row>
    <row r="269" spans="1:27" ht="13.5" customHeight="1" x14ac:dyDescent="0.3">
      <c r="A269" s="193" t="str">
        <f>IF('Observaciones-SMP'!A269="","",'Observaciones-SMP'!A269)</f>
        <v/>
      </c>
      <c r="B269" s="257" t="str">
        <f>IF('Observaciones-SMP'!B269="","",'Observaciones-SMP'!B269)</f>
        <v/>
      </c>
      <c r="C269" s="193" t="str">
        <f>IF('Observaciones-SMP'!C269="","",'Observaciones-SMP'!C269)</f>
        <v/>
      </c>
      <c r="D269" s="193" t="str">
        <f>IF('Observaciones-SMP'!D269="","",'Observaciones-SMP'!D269)</f>
        <v/>
      </c>
      <c r="E269" s="193" t="str">
        <f>IF('Observaciones-SMP'!E269="","",'Observaciones-SMP'!E269)</f>
        <v/>
      </c>
      <c r="F269" s="193" t="str">
        <f>IF('Observaciones-SMP'!F269="","",'Observaciones-SMP'!F269)</f>
        <v/>
      </c>
      <c r="G269" s="193" t="str">
        <f>IF('Observaciones-SMP'!G269="","",'Observaciones-SMP'!G269)</f>
        <v/>
      </c>
      <c r="H269" s="193" t="str">
        <f>IF('Observaciones-SMP'!H269="","",'Observaciones-SMP'!H269)</f>
        <v/>
      </c>
      <c r="I269" s="193" t="str">
        <f>IF('Observaciones-SMP'!I269="","",'Observaciones-SMP'!I269)</f>
        <v/>
      </c>
      <c r="J269" s="193" t="str">
        <f>IF('Observaciones-SMP'!J269="","",'Observaciones-SMP'!J269)</f>
        <v/>
      </c>
      <c r="K269" s="193" t="str">
        <f>IF('Observaciones-SMP'!K269="","",'Observaciones-SMP'!K269)</f>
        <v/>
      </c>
      <c r="L269" s="193" t="str">
        <f>IF('Observaciones-SMP'!L269="","",'Observaciones-SMP'!L269)</f>
        <v/>
      </c>
      <c r="M269" s="193" t="str">
        <f>IF('Observaciones-SMP'!M269="","",'Observaciones-SMP'!M269)</f>
        <v/>
      </c>
      <c r="N269" s="193" t="str">
        <f>IF('Observaciones-SMP'!N269="","",'Observaciones-SMP'!N269)</f>
        <v/>
      </c>
      <c r="O269" s="193" t="str">
        <f>IF('Observaciones-SMP'!O269="","",'Observaciones-SMP'!O269)</f>
        <v/>
      </c>
      <c r="P269" s="193" t="str">
        <f>IF('Observaciones-SMP'!P269="","",'Observaciones-SMP'!P269)</f>
        <v/>
      </c>
      <c r="Q269" s="257" t="str">
        <f>IF('Observaciones-SMP'!S269="","",'Observaciones-SMP'!S269)</f>
        <v/>
      </c>
      <c r="R269" s="193" t="str">
        <f>IF('Observaciones-SMP'!T269="","",'Observaciones-SMP'!T269)</f>
        <v/>
      </c>
      <c r="S269" s="193" t="str">
        <f>""</f>
        <v/>
      </c>
      <c r="T269" s="193" t="str">
        <f>""</f>
        <v/>
      </c>
      <c r="U269" s="193" t="str">
        <f t="shared" si="16"/>
        <v/>
      </c>
      <c r="V269" s="193" t="str">
        <f>""</f>
        <v/>
      </c>
      <c r="W269" s="193" t="str">
        <f>""</f>
        <v/>
      </c>
      <c r="X269" s="258" t="str">
        <f t="shared" si="17"/>
        <v/>
      </c>
      <c r="Y269" s="258" t="str">
        <f t="shared" si="18"/>
        <v/>
      </c>
      <c r="Z269" s="193" t="str">
        <f>IF(A269="","",IF(COUNTIF('Observaciones-SMP'!$A$2:$A$1001,A269)&gt;1,1,0))</f>
        <v/>
      </c>
      <c r="AA269" s="193" t="str">
        <f t="shared" si="19"/>
        <v/>
      </c>
    </row>
    <row r="270" spans="1:27" ht="13.5" customHeight="1" x14ac:dyDescent="0.3">
      <c r="A270" s="193" t="str">
        <f>IF('Observaciones-SMP'!A270="","",'Observaciones-SMP'!A270)</f>
        <v/>
      </c>
      <c r="B270" s="257" t="str">
        <f>IF('Observaciones-SMP'!B270="","",'Observaciones-SMP'!B270)</f>
        <v/>
      </c>
      <c r="C270" s="193" t="str">
        <f>IF('Observaciones-SMP'!C270="","",'Observaciones-SMP'!C270)</f>
        <v/>
      </c>
      <c r="D270" s="193" t="str">
        <f>IF('Observaciones-SMP'!D270="","",'Observaciones-SMP'!D270)</f>
        <v/>
      </c>
      <c r="E270" s="193" t="str">
        <f>IF('Observaciones-SMP'!E270="","",'Observaciones-SMP'!E270)</f>
        <v/>
      </c>
      <c r="F270" s="193" t="str">
        <f>IF('Observaciones-SMP'!F270="","",'Observaciones-SMP'!F270)</f>
        <v/>
      </c>
      <c r="G270" s="193" t="str">
        <f>IF('Observaciones-SMP'!G270="","",'Observaciones-SMP'!G270)</f>
        <v/>
      </c>
      <c r="H270" s="193" t="str">
        <f>IF('Observaciones-SMP'!H270="","",'Observaciones-SMP'!H270)</f>
        <v/>
      </c>
      <c r="I270" s="193" t="str">
        <f>IF('Observaciones-SMP'!I270="","",'Observaciones-SMP'!I270)</f>
        <v/>
      </c>
      <c r="J270" s="193" t="str">
        <f>IF('Observaciones-SMP'!J270="","",'Observaciones-SMP'!J270)</f>
        <v/>
      </c>
      <c r="K270" s="193" t="str">
        <f>IF('Observaciones-SMP'!K270="","",'Observaciones-SMP'!K270)</f>
        <v/>
      </c>
      <c r="L270" s="193" t="str">
        <f>IF('Observaciones-SMP'!L270="","",'Observaciones-SMP'!L270)</f>
        <v/>
      </c>
      <c r="M270" s="193" t="str">
        <f>IF('Observaciones-SMP'!M270="","",'Observaciones-SMP'!M270)</f>
        <v/>
      </c>
      <c r="N270" s="193" t="str">
        <f>IF('Observaciones-SMP'!N270="","",'Observaciones-SMP'!N270)</f>
        <v/>
      </c>
      <c r="O270" s="193" t="str">
        <f>IF('Observaciones-SMP'!O270="","",'Observaciones-SMP'!O270)</f>
        <v/>
      </c>
      <c r="P270" s="193" t="str">
        <f>IF('Observaciones-SMP'!P270="","",'Observaciones-SMP'!P270)</f>
        <v/>
      </c>
      <c r="Q270" s="257" t="str">
        <f>IF('Observaciones-SMP'!S270="","",'Observaciones-SMP'!S270)</f>
        <v/>
      </c>
      <c r="R270" s="193" t="str">
        <f>IF('Observaciones-SMP'!T270="","",'Observaciones-SMP'!T270)</f>
        <v/>
      </c>
      <c r="S270" s="193" t="str">
        <f>""</f>
        <v/>
      </c>
      <c r="T270" s="193" t="str">
        <f>""</f>
        <v/>
      </c>
      <c r="U270" s="193" t="str">
        <f t="shared" si="16"/>
        <v/>
      </c>
      <c r="V270" s="193" t="str">
        <f>""</f>
        <v/>
      </c>
      <c r="W270" s="193" t="str">
        <f>""</f>
        <v/>
      </c>
      <c r="X270" s="258" t="str">
        <f t="shared" si="17"/>
        <v/>
      </c>
      <c r="Y270" s="258" t="str">
        <f t="shared" si="18"/>
        <v/>
      </c>
      <c r="Z270" s="193" t="str">
        <f>IF(A270="","",IF(COUNTIF('Observaciones-SMP'!$A$2:$A$1001,A270)&gt;1,1,0))</f>
        <v/>
      </c>
      <c r="AA270" s="193" t="str">
        <f t="shared" si="19"/>
        <v/>
      </c>
    </row>
    <row r="271" spans="1:27" ht="13.5" customHeight="1" x14ac:dyDescent="0.3">
      <c r="A271" s="193" t="str">
        <f>IF('Observaciones-SMP'!A271="","",'Observaciones-SMP'!A271)</f>
        <v/>
      </c>
      <c r="B271" s="257" t="str">
        <f>IF('Observaciones-SMP'!B271="","",'Observaciones-SMP'!B271)</f>
        <v/>
      </c>
      <c r="C271" s="193" t="str">
        <f>IF('Observaciones-SMP'!C271="","",'Observaciones-SMP'!C271)</f>
        <v/>
      </c>
      <c r="D271" s="193" t="str">
        <f>IF('Observaciones-SMP'!D271="","",'Observaciones-SMP'!D271)</f>
        <v/>
      </c>
      <c r="E271" s="193" t="str">
        <f>IF('Observaciones-SMP'!E271="","",'Observaciones-SMP'!E271)</f>
        <v/>
      </c>
      <c r="F271" s="193" t="str">
        <f>IF('Observaciones-SMP'!F271="","",'Observaciones-SMP'!F271)</f>
        <v/>
      </c>
      <c r="G271" s="193" t="str">
        <f>IF('Observaciones-SMP'!G271="","",'Observaciones-SMP'!G271)</f>
        <v/>
      </c>
      <c r="H271" s="193" t="str">
        <f>IF('Observaciones-SMP'!H271="","",'Observaciones-SMP'!H271)</f>
        <v/>
      </c>
      <c r="I271" s="193" t="str">
        <f>IF('Observaciones-SMP'!I271="","",'Observaciones-SMP'!I271)</f>
        <v/>
      </c>
      <c r="J271" s="193" t="str">
        <f>IF('Observaciones-SMP'!J271="","",'Observaciones-SMP'!J271)</f>
        <v/>
      </c>
      <c r="K271" s="193" t="str">
        <f>IF('Observaciones-SMP'!K271="","",'Observaciones-SMP'!K271)</f>
        <v/>
      </c>
      <c r="L271" s="193" t="str">
        <f>IF('Observaciones-SMP'!L271="","",'Observaciones-SMP'!L271)</f>
        <v/>
      </c>
      <c r="M271" s="193" t="str">
        <f>IF('Observaciones-SMP'!M271="","",'Observaciones-SMP'!M271)</f>
        <v/>
      </c>
      <c r="N271" s="193" t="str">
        <f>IF('Observaciones-SMP'!N271="","",'Observaciones-SMP'!N271)</f>
        <v/>
      </c>
      <c r="O271" s="193" t="str">
        <f>IF('Observaciones-SMP'!O271="","",'Observaciones-SMP'!O271)</f>
        <v/>
      </c>
      <c r="P271" s="193" t="str">
        <f>IF('Observaciones-SMP'!P271="","",'Observaciones-SMP'!P271)</f>
        <v/>
      </c>
      <c r="Q271" s="257" t="str">
        <f>IF('Observaciones-SMP'!S271="","",'Observaciones-SMP'!S271)</f>
        <v/>
      </c>
      <c r="R271" s="193" t="str">
        <f>IF('Observaciones-SMP'!T271="","",'Observaciones-SMP'!T271)</f>
        <v/>
      </c>
      <c r="S271" s="193" t="str">
        <f>""</f>
        <v/>
      </c>
      <c r="T271" s="193" t="str">
        <f>""</f>
        <v/>
      </c>
      <c r="U271" s="193" t="str">
        <f t="shared" si="16"/>
        <v/>
      </c>
      <c r="V271" s="193" t="str">
        <f>""</f>
        <v/>
      </c>
      <c r="W271" s="193" t="str">
        <f>""</f>
        <v/>
      </c>
      <c r="X271" s="258" t="str">
        <f t="shared" si="17"/>
        <v/>
      </c>
      <c r="Y271" s="258" t="str">
        <f t="shared" si="18"/>
        <v/>
      </c>
      <c r="Z271" s="193" t="str">
        <f>IF(A271="","",IF(COUNTIF('Observaciones-SMP'!$A$2:$A$1001,A271)&gt;1,1,0))</f>
        <v/>
      </c>
      <c r="AA271" s="193" t="str">
        <f t="shared" si="19"/>
        <v/>
      </c>
    </row>
    <row r="272" spans="1:27" ht="13.5" customHeight="1" x14ac:dyDescent="0.3">
      <c r="A272" s="193" t="str">
        <f>IF('Observaciones-SMP'!A272="","",'Observaciones-SMP'!A272)</f>
        <v/>
      </c>
      <c r="B272" s="257" t="str">
        <f>IF('Observaciones-SMP'!B272="","",'Observaciones-SMP'!B272)</f>
        <v/>
      </c>
      <c r="C272" s="193" t="str">
        <f>IF('Observaciones-SMP'!C272="","",'Observaciones-SMP'!C272)</f>
        <v/>
      </c>
      <c r="D272" s="193" t="str">
        <f>IF('Observaciones-SMP'!D272="","",'Observaciones-SMP'!D272)</f>
        <v/>
      </c>
      <c r="E272" s="193" t="str">
        <f>IF('Observaciones-SMP'!E272="","",'Observaciones-SMP'!E272)</f>
        <v/>
      </c>
      <c r="F272" s="193" t="str">
        <f>IF('Observaciones-SMP'!F272="","",'Observaciones-SMP'!F272)</f>
        <v/>
      </c>
      <c r="G272" s="193" t="str">
        <f>IF('Observaciones-SMP'!G272="","",'Observaciones-SMP'!G272)</f>
        <v/>
      </c>
      <c r="H272" s="193" t="str">
        <f>IF('Observaciones-SMP'!H272="","",'Observaciones-SMP'!H272)</f>
        <v/>
      </c>
      <c r="I272" s="193" t="str">
        <f>IF('Observaciones-SMP'!I272="","",'Observaciones-SMP'!I272)</f>
        <v/>
      </c>
      <c r="J272" s="193" t="str">
        <f>IF('Observaciones-SMP'!J272="","",'Observaciones-SMP'!J272)</f>
        <v/>
      </c>
      <c r="K272" s="193" t="str">
        <f>IF('Observaciones-SMP'!K272="","",'Observaciones-SMP'!K272)</f>
        <v/>
      </c>
      <c r="L272" s="193" t="str">
        <f>IF('Observaciones-SMP'!L272="","",'Observaciones-SMP'!L272)</f>
        <v/>
      </c>
      <c r="M272" s="193" t="str">
        <f>IF('Observaciones-SMP'!M272="","",'Observaciones-SMP'!M272)</f>
        <v/>
      </c>
      <c r="N272" s="193" t="str">
        <f>IF('Observaciones-SMP'!N272="","",'Observaciones-SMP'!N272)</f>
        <v/>
      </c>
      <c r="O272" s="193" t="str">
        <f>IF('Observaciones-SMP'!O272="","",'Observaciones-SMP'!O272)</f>
        <v/>
      </c>
      <c r="P272" s="193" t="str">
        <f>IF('Observaciones-SMP'!P272="","",'Observaciones-SMP'!P272)</f>
        <v/>
      </c>
      <c r="Q272" s="257" t="str">
        <f>IF('Observaciones-SMP'!S272="","",'Observaciones-SMP'!S272)</f>
        <v/>
      </c>
      <c r="R272" s="193" t="str">
        <f>IF('Observaciones-SMP'!T272="","",'Observaciones-SMP'!T272)</f>
        <v/>
      </c>
      <c r="S272" s="193" t="str">
        <f>""</f>
        <v/>
      </c>
      <c r="T272" s="193" t="str">
        <f>""</f>
        <v/>
      </c>
      <c r="U272" s="193" t="str">
        <f t="shared" si="16"/>
        <v/>
      </c>
      <c r="V272" s="193" t="str">
        <f>""</f>
        <v/>
      </c>
      <c r="W272" s="193" t="str">
        <f>""</f>
        <v/>
      </c>
      <c r="X272" s="258" t="str">
        <f t="shared" si="17"/>
        <v/>
      </c>
      <c r="Y272" s="258" t="str">
        <f t="shared" si="18"/>
        <v/>
      </c>
      <c r="Z272" s="193" t="str">
        <f>IF(A272="","",IF(COUNTIF('Observaciones-SMP'!$A$2:$A$1001,A272)&gt;1,1,0))</f>
        <v/>
      </c>
      <c r="AA272" s="193" t="str">
        <f t="shared" si="19"/>
        <v/>
      </c>
    </row>
    <row r="273" spans="1:27" ht="13.5" customHeight="1" x14ac:dyDescent="0.3">
      <c r="A273" s="193" t="str">
        <f>IF('Observaciones-SMP'!A273="","",'Observaciones-SMP'!A273)</f>
        <v/>
      </c>
      <c r="B273" s="257" t="str">
        <f>IF('Observaciones-SMP'!B273="","",'Observaciones-SMP'!B273)</f>
        <v/>
      </c>
      <c r="C273" s="193" t="str">
        <f>IF('Observaciones-SMP'!C273="","",'Observaciones-SMP'!C273)</f>
        <v/>
      </c>
      <c r="D273" s="193" t="str">
        <f>IF('Observaciones-SMP'!D273="","",'Observaciones-SMP'!D273)</f>
        <v/>
      </c>
      <c r="E273" s="193" t="str">
        <f>IF('Observaciones-SMP'!E273="","",'Observaciones-SMP'!E273)</f>
        <v/>
      </c>
      <c r="F273" s="193" t="str">
        <f>IF('Observaciones-SMP'!F273="","",'Observaciones-SMP'!F273)</f>
        <v/>
      </c>
      <c r="G273" s="193" t="str">
        <f>IF('Observaciones-SMP'!G273="","",'Observaciones-SMP'!G273)</f>
        <v/>
      </c>
      <c r="H273" s="193" t="str">
        <f>IF('Observaciones-SMP'!H273="","",'Observaciones-SMP'!H273)</f>
        <v/>
      </c>
      <c r="I273" s="193" t="str">
        <f>IF('Observaciones-SMP'!I273="","",'Observaciones-SMP'!I273)</f>
        <v/>
      </c>
      <c r="J273" s="193" t="str">
        <f>IF('Observaciones-SMP'!J273="","",'Observaciones-SMP'!J273)</f>
        <v/>
      </c>
      <c r="K273" s="193" t="str">
        <f>IF('Observaciones-SMP'!K273="","",'Observaciones-SMP'!K273)</f>
        <v/>
      </c>
      <c r="L273" s="193" t="str">
        <f>IF('Observaciones-SMP'!L273="","",'Observaciones-SMP'!L273)</f>
        <v/>
      </c>
      <c r="M273" s="193" t="str">
        <f>IF('Observaciones-SMP'!M273="","",'Observaciones-SMP'!M273)</f>
        <v/>
      </c>
      <c r="N273" s="193" t="str">
        <f>IF('Observaciones-SMP'!N273="","",'Observaciones-SMP'!N273)</f>
        <v/>
      </c>
      <c r="O273" s="193" t="str">
        <f>IF('Observaciones-SMP'!O273="","",'Observaciones-SMP'!O273)</f>
        <v/>
      </c>
      <c r="P273" s="193" t="str">
        <f>IF('Observaciones-SMP'!P273="","",'Observaciones-SMP'!P273)</f>
        <v/>
      </c>
      <c r="Q273" s="257" t="str">
        <f>IF('Observaciones-SMP'!S273="","",'Observaciones-SMP'!S273)</f>
        <v/>
      </c>
      <c r="R273" s="193" t="str">
        <f>IF('Observaciones-SMP'!T273="","",'Observaciones-SMP'!T273)</f>
        <v/>
      </c>
      <c r="S273" s="193" t="str">
        <f>""</f>
        <v/>
      </c>
      <c r="T273" s="193" t="str">
        <f>""</f>
        <v/>
      </c>
      <c r="U273" s="193" t="str">
        <f t="shared" si="16"/>
        <v/>
      </c>
      <c r="V273" s="193" t="str">
        <f>""</f>
        <v/>
      </c>
      <c r="W273" s="193" t="str">
        <f>""</f>
        <v/>
      </c>
      <c r="X273" s="258" t="str">
        <f t="shared" si="17"/>
        <v/>
      </c>
      <c r="Y273" s="258" t="str">
        <f t="shared" si="18"/>
        <v/>
      </c>
      <c r="Z273" s="193" t="str">
        <f>IF(A273="","",IF(COUNTIF('Observaciones-SMP'!$A$2:$A$1001,A273)&gt;1,1,0))</f>
        <v/>
      </c>
      <c r="AA273" s="193" t="str">
        <f t="shared" si="19"/>
        <v/>
      </c>
    </row>
    <row r="274" spans="1:27" ht="13.5" customHeight="1" x14ac:dyDescent="0.3">
      <c r="A274" s="193" t="str">
        <f>IF('Observaciones-SMP'!A274="","",'Observaciones-SMP'!A274)</f>
        <v/>
      </c>
      <c r="B274" s="257" t="str">
        <f>IF('Observaciones-SMP'!B274="","",'Observaciones-SMP'!B274)</f>
        <v/>
      </c>
      <c r="C274" s="193" t="str">
        <f>IF('Observaciones-SMP'!C274="","",'Observaciones-SMP'!C274)</f>
        <v/>
      </c>
      <c r="D274" s="193" t="str">
        <f>IF('Observaciones-SMP'!D274="","",'Observaciones-SMP'!D274)</f>
        <v/>
      </c>
      <c r="E274" s="193" t="str">
        <f>IF('Observaciones-SMP'!E274="","",'Observaciones-SMP'!E274)</f>
        <v/>
      </c>
      <c r="F274" s="193" t="str">
        <f>IF('Observaciones-SMP'!F274="","",'Observaciones-SMP'!F274)</f>
        <v/>
      </c>
      <c r="G274" s="193" t="str">
        <f>IF('Observaciones-SMP'!G274="","",'Observaciones-SMP'!G274)</f>
        <v/>
      </c>
      <c r="H274" s="193" t="str">
        <f>IF('Observaciones-SMP'!H274="","",'Observaciones-SMP'!H274)</f>
        <v/>
      </c>
      <c r="I274" s="193" t="str">
        <f>IF('Observaciones-SMP'!I274="","",'Observaciones-SMP'!I274)</f>
        <v/>
      </c>
      <c r="J274" s="193" t="str">
        <f>IF('Observaciones-SMP'!J274="","",'Observaciones-SMP'!J274)</f>
        <v/>
      </c>
      <c r="K274" s="193" t="str">
        <f>IF('Observaciones-SMP'!K274="","",'Observaciones-SMP'!K274)</f>
        <v/>
      </c>
      <c r="L274" s="193" t="str">
        <f>IF('Observaciones-SMP'!L274="","",'Observaciones-SMP'!L274)</f>
        <v/>
      </c>
      <c r="M274" s="193" t="str">
        <f>IF('Observaciones-SMP'!M274="","",'Observaciones-SMP'!M274)</f>
        <v/>
      </c>
      <c r="N274" s="193" t="str">
        <f>IF('Observaciones-SMP'!N274="","",'Observaciones-SMP'!N274)</f>
        <v/>
      </c>
      <c r="O274" s="193" t="str">
        <f>IF('Observaciones-SMP'!O274="","",'Observaciones-SMP'!O274)</f>
        <v/>
      </c>
      <c r="P274" s="193" t="str">
        <f>IF('Observaciones-SMP'!P274="","",'Observaciones-SMP'!P274)</f>
        <v/>
      </c>
      <c r="Q274" s="257" t="str">
        <f>IF('Observaciones-SMP'!S274="","",'Observaciones-SMP'!S274)</f>
        <v/>
      </c>
      <c r="R274" s="193" t="str">
        <f>IF('Observaciones-SMP'!T274="","",'Observaciones-SMP'!T274)</f>
        <v/>
      </c>
      <c r="S274" s="193" t="str">
        <f>""</f>
        <v/>
      </c>
      <c r="T274" s="193" t="str">
        <f>""</f>
        <v/>
      </c>
      <c r="U274" s="193" t="str">
        <f t="shared" si="16"/>
        <v/>
      </c>
      <c r="V274" s="193" t="str">
        <f>""</f>
        <v/>
      </c>
      <c r="W274" s="193" t="str">
        <f>""</f>
        <v/>
      </c>
      <c r="X274" s="258" t="str">
        <f t="shared" si="17"/>
        <v/>
      </c>
      <c r="Y274" s="258" t="str">
        <f t="shared" si="18"/>
        <v/>
      </c>
      <c r="Z274" s="193" t="str">
        <f>IF(A274="","",IF(COUNTIF('Observaciones-SMP'!$A$2:$A$1001,A274)&gt;1,1,0))</f>
        <v/>
      </c>
      <c r="AA274" s="193" t="str">
        <f t="shared" si="19"/>
        <v/>
      </c>
    </row>
    <row r="275" spans="1:27" ht="13.5" customHeight="1" x14ac:dyDescent="0.3">
      <c r="A275" s="193" t="str">
        <f>IF('Observaciones-SMP'!A275="","",'Observaciones-SMP'!A275)</f>
        <v/>
      </c>
      <c r="B275" s="257" t="str">
        <f>IF('Observaciones-SMP'!B275="","",'Observaciones-SMP'!B275)</f>
        <v/>
      </c>
      <c r="C275" s="193" t="str">
        <f>IF('Observaciones-SMP'!C275="","",'Observaciones-SMP'!C275)</f>
        <v/>
      </c>
      <c r="D275" s="193" t="str">
        <f>IF('Observaciones-SMP'!D275="","",'Observaciones-SMP'!D275)</f>
        <v/>
      </c>
      <c r="E275" s="193" t="str">
        <f>IF('Observaciones-SMP'!E275="","",'Observaciones-SMP'!E275)</f>
        <v/>
      </c>
      <c r="F275" s="193" t="str">
        <f>IF('Observaciones-SMP'!F275="","",'Observaciones-SMP'!F275)</f>
        <v/>
      </c>
      <c r="G275" s="193" t="str">
        <f>IF('Observaciones-SMP'!G275="","",'Observaciones-SMP'!G275)</f>
        <v/>
      </c>
      <c r="H275" s="193" t="str">
        <f>IF('Observaciones-SMP'!H275="","",'Observaciones-SMP'!H275)</f>
        <v/>
      </c>
      <c r="I275" s="193" t="str">
        <f>IF('Observaciones-SMP'!I275="","",'Observaciones-SMP'!I275)</f>
        <v/>
      </c>
      <c r="J275" s="193" t="str">
        <f>IF('Observaciones-SMP'!J275="","",'Observaciones-SMP'!J275)</f>
        <v/>
      </c>
      <c r="K275" s="193" t="str">
        <f>IF('Observaciones-SMP'!K275="","",'Observaciones-SMP'!K275)</f>
        <v/>
      </c>
      <c r="L275" s="193" t="str">
        <f>IF('Observaciones-SMP'!L275="","",'Observaciones-SMP'!L275)</f>
        <v/>
      </c>
      <c r="M275" s="193" t="str">
        <f>IF('Observaciones-SMP'!M275="","",'Observaciones-SMP'!M275)</f>
        <v/>
      </c>
      <c r="N275" s="193" t="str">
        <f>IF('Observaciones-SMP'!N275="","",'Observaciones-SMP'!N275)</f>
        <v/>
      </c>
      <c r="O275" s="193" t="str">
        <f>IF('Observaciones-SMP'!O275="","",'Observaciones-SMP'!O275)</f>
        <v/>
      </c>
      <c r="P275" s="193" t="str">
        <f>IF('Observaciones-SMP'!P275="","",'Observaciones-SMP'!P275)</f>
        <v/>
      </c>
      <c r="Q275" s="257" t="str">
        <f>IF('Observaciones-SMP'!S275="","",'Observaciones-SMP'!S275)</f>
        <v/>
      </c>
      <c r="R275" s="193" t="str">
        <f>IF('Observaciones-SMP'!T275="","",'Observaciones-SMP'!T275)</f>
        <v/>
      </c>
      <c r="S275" s="193" t="str">
        <f>""</f>
        <v/>
      </c>
      <c r="T275" s="193" t="str">
        <f>""</f>
        <v/>
      </c>
      <c r="U275" s="193" t="str">
        <f t="shared" si="16"/>
        <v/>
      </c>
      <c r="V275" s="193" t="str">
        <f>""</f>
        <v/>
      </c>
      <c r="W275" s="193" t="str">
        <f>""</f>
        <v/>
      </c>
      <c r="X275" s="258" t="str">
        <f t="shared" si="17"/>
        <v/>
      </c>
      <c r="Y275" s="258" t="str">
        <f t="shared" si="18"/>
        <v/>
      </c>
      <c r="Z275" s="193" t="str">
        <f>IF(A275="","",IF(COUNTIF('Observaciones-SMP'!$A$2:$A$1001,A275)&gt;1,1,0))</f>
        <v/>
      </c>
      <c r="AA275" s="193" t="str">
        <f t="shared" si="19"/>
        <v/>
      </c>
    </row>
    <row r="276" spans="1:27" ht="13.5" customHeight="1" x14ac:dyDescent="0.3">
      <c r="A276" s="193" t="str">
        <f>IF('Observaciones-SMP'!A276="","",'Observaciones-SMP'!A276)</f>
        <v/>
      </c>
      <c r="B276" s="257" t="str">
        <f>IF('Observaciones-SMP'!B276="","",'Observaciones-SMP'!B276)</f>
        <v/>
      </c>
      <c r="C276" s="193" t="str">
        <f>IF('Observaciones-SMP'!C276="","",'Observaciones-SMP'!C276)</f>
        <v/>
      </c>
      <c r="D276" s="193" t="str">
        <f>IF('Observaciones-SMP'!D276="","",'Observaciones-SMP'!D276)</f>
        <v/>
      </c>
      <c r="E276" s="193" t="str">
        <f>IF('Observaciones-SMP'!E276="","",'Observaciones-SMP'!E276)</f>
        <v/>
      </c>
      <c r="F276" s="193" t="str">
        <f>IF('Observaciones-SMP'!F276="","",'Observaciones-SMP'!F276)</f>
        <v/>
      </c>
      <c r="G276" s="193" t="str">
        <f>IF('Observaciones-SMP'!G276="","",'Observaciones-SMP'!G276)</f>
        <v/>
      </c>
      <c r="H276" s="193" t="str">
        <f>IF('Observaciones-SMP'!H276="","",'Observaciones-SMP'!H276)</f>
        <v/>
      </c>
      <c r="I276" s="193" t="str">
        <f>IF('Observaciones-SMP'!I276="","",'Observaciones-SMP'!I276)</f>
        <v/>
      </c>
      <c r="J276" s="193" t="str">
        <f>IF('Observaciones-SMP'!J276="","",'Observaciones-SMP'!J276)</f>
        <v/>
      </c>
      <c r="K276" s="193" t="str">
        <f>IF('Observaciones-SMP'!K276="","",'Observaciones-SMP'!K276)</f>
        <v/>
      </c>
      <c r="L276" s="193" t="str">
        <f>IF('Observaciones-SMP'!L276="","",'Observaciones-SMP'!L276)</f>
        <v/>
      </c>
      <c r="M276" s="193" t="str">
        <f>IF('Observaciones-SMP'!M276="","",'Observaciones-SMP'!M276)</f>
        <v/>
      </c>
      <c r="N276" s="193" t="str">
        <f>IF('Observaciones-SMP'!N276="","",'Observaciones-SMP'!N276)</f>
        <v/>
      </c>
      <c r="O276" s="193" t="str">
        <f>IF('Observaciones-SMP'!O276="","",'Observaciones-SMP'!O276)</f>
        <v/>
      </c>
      <c r="P276" s="193" t="str">
        <f>IF('Observaciones-SMP'!P276="","",'Observaciones-SMP'!P276)</f>
        <v/>
      </c>
      <c r="Q276" s="257" t="str">
        <f>IF('Observaciones-SMP'!S276="","",'Observaciones-SMP'!S276)</f>
        <v/>
      </c>
      <c r="R276" s="193" t="str">
        <f>IF('Observaciones-SMP'!T276="","",'Observaciones-SMP'!T276)</f>
        <v/>
      </c>
      <c r="S276" s="193" t="str">
        <f>""</f>
        <v/>
      </c>
      <c r="T276" s="193" t="str">
        <f>""</f>
        <v/>
      </c>
      <c r="U276" s="193" t="str">
        <f t="shared" si="16"/>
        <v/>
      </c>
      <c r="V276" s="193" t="str">
        <f>""</f>
        <v/>
      </c>
      <c r="W276" s="193" t="str">
        <f>""</f>
        <v/>
      </c>
      <c r="X276" s="258" t="str">
        <f t="shared" si="17"/>
        <v/>
      </c>
      <c r="Y276" s="258" t="str">
        <f t="shared" si="18"/>
        <v/>
      </c>
      <c r="Z276" s="193" t="str">
        <f>IF(A276="","",IF(COUNTIF('Observaciones-SMP'!$A$2:$A$1001,A276)&gt;1,1,0))</f>
        <v/>
      </c>
      <c r="AA276" s="193" t="str">
        <f t="shared" si="19"/>
        <v/>
      </c>
    </row>
    <row r="277" spans="1:27" ht="13.5" customHeight="1" x14ac:dyDescent="0.3">
      <c r="A277" s="193" t="str">
        <f>IF('Observaciones-SMP'!A277="","",'Observaciones-SMP'!A277)</f>
        <v/>
      </c>
      <c r="B277" s="257" t="str">
        <f>IF('Observaciones-SMP'!B277="","",'Observaciones-SMP'!B277)</f>
        <v/>
      </c>
      <c r="C277" s="193" t="str">
        <f>IF('Observaciones-SMP'!C277="","",'Observaciones-SMP'!C277)</f>
        <v/>
      </c>
      <c r="D277" s="193" t="str">
        <f>IF('Observaciones-SMP'!D277="","",'Observaciones-SMP'!D277)</f>
        <v/>
      </c>
      <c r="E277" s="193" t="str">
        <f>IF('Observaciones-SMP'!E277="","",'Observaciones-SMP'!E277)</f>
        <v/>
      </c>
      <c r="F277" s="193" t="str">
        <f>IF('Observaciones-SMP'!F277="","",'Observaciones-SMP'!F277)</f>
        <v/>
      </c>
      <c r="G277" s="193" t="str">
        <f>IF('Observaciones-SMP'!G277="","",'Observaciones-SMP'!G277)</f>
        <v/>
      </c>
      <c r="H277" s="193" t="str">
        <f>IF('Observaciones-SMP'!H277="","",'Observaciones-SMP'!H277)</f>
        <v/>
      </c>
      <c r="I277" s="193" t="str">
        <f>IF('Observaciones-SMP'!I277="","",'Observaciones-SMP'!I277)</f>
        <v/>
      </c>
      <c r="J277" s="193" t="str">
        <f>IF('Observaciones-SMP'!J277="","",'Observaciones-SMP'!J277)</f>
        <v/>
      </c>
      <c r="K277" s="193" t="str">
        <f>IF('Observaciones-SMP'!K277="","",'Observaciones-SMP'!K277)</f>
        <v/>
      </c>
      <c r="L277" s="193" t="str">
        <f>IF('Observaciones-SMP'!L277="","",'Observaciones-SMP'!L277)</f>
        <v/>
      </c>
      <c r="M277" s="193" t="str">
        <f>IF('Observaciones-SMP'!M277="","",'Observaciones-SMP'!M277)</f>
        <v/>
      </c>
      <c r="N277" s="193" t="str">
        <f>IF('Observaciones-SMP'!N277="","",'Observaciones-SMP'!N277)</f>
        <v/>
      </c>
      <c r="O277" s="193" t="str">
        <f>IF('Observaciones-SMP'!O277="","",'Observaciones-SMP'!O277)</f>
        <v/>
      </c>
      <c r="P277" s="193" t="str">
        <f>IF('Observaciones-SMP'!P277="","",'Observaciones-SMP'!P277)</f>
        <v/>
      </c>
      <c r="Q277" s="257" t="str">
        <f>IF('Observaciones-SMP'!S277="","",'Observaciones-SMP'!S277)</f>
        <v/>
      </c>
      <c r="R277" s="193" t="str">
        <f>IF('Observaciones-SMP'!T277="","",'Observaciones-SMP'!T277)</f>
        <v/>
      </c>
      <c r="S277" s="193" t="str">
        <f>""</f>
        <v/>
      </c>
      <c r="T277" s="193" t="str">
        <f>""</f>
        <v/>
      </c>
      <c r="U277" s="193" t="str">
        <f t="shared" si="16"/>
        <v/>
      </c>
      <c r="V277" s="193" t="str">
        <f>""</f>
        <v/>
      </c>
      <c r="W277" s="193" t="str">
        <f>""</f>
        <v/>
      </c>
      <c r="X277" s="258" t="str">
        <f t="shared" si="17"/>
        <v/>
      </c>
      <c r="Y277" s="258" t="str">
        <f t="shared" si="18"/>
        <v/>
      </c>
      <c r="Z277" s="193" t="str">
        <f>IF(A277="","",IF(COUNTIF('Observaciones-SMP'!$A$2:$A$1001,A277)&gt;1,1,0))</f>
        <v/>
      </c>
      <c r="AA277" s="193" t="str">
        <f t="shared" si="19"/>
        <v/>
      </c>
    </row>
    <row r="278" spans="1:27" ht="13.5" customHeight="1" x14ac:dyDescent="0.3">
      <c r="A278" s="193" t="str">
        <f>IF('Observaciones-SMP'!A278="","",'Observaciones-SMP'!A278)</f>
        <v/>
      </c>
      <c r="B278" s="257" t="str">
        <f>IF('Observaciones-SMP'!B278="","",'Observaciones-SMP'!B278)</f>
        <v/>
      </c>
      <c r="C278" s="193" t="str">
        <f>IF('Observaciones-SMP'!C278="","",'Observaciones-SMP'!C278)</f>
        <v/>
      </c>
      <c r="D278" s="193" t="str">
        <f>IF('Observaciones-SMP'!D278="","",'Observaciones-SMP'!D278)</f>
        <v/>
      </c>
      <c r="E278" s="193" t="str">
        <f>IF('Observaciones-SMP'!E278="","",'Observaciones-SMP'!E278)</f>
        <v/>
      </c>
      <c r="F278" s="193" t="str">
        <f>IF('Observaciones-SMP'!F278="","",'Observaciones-SMP'!F278)</f>
        <v/>
      </c>
      <c r="G278" s="193" t="str">
        <f>IF('Observaciones-SMP'!G278="","",'Observaciones-SMP'!G278)</f>
        <v/>
      </c>
      <c r="H278" s="193" t="str">
        <f>IF('Observaciones-SMP'!H278="","",'Observaciones-SMP'!H278)</f>
        <v/>
      </c>
      <c r="I278" s="193" t="str">
        <f>IF('Observaciones-SMP'!I278="","",'Observaciones-SMP'!I278)</f>
        <v/>
      </c>
      <c r="J278" s="193" t="str">
        <f>IF('Observaciones-SMP'!J278="","",'Observaciones-SMP'!J278)</f>
        <v/>
      </c>
      <c r="K278" s="193" t="str">
        <f>IF('Observaciones-SMP'!K278="","",'Observaciones-SMP'!K278)</f>
        <v/>
      </c>
      <c r="L278" s="193" t="str">
        <f>IF('Observaciones-SMP'!L278="","",'Observaciones-SMP'!L278)</f>
        <v/>
      </c>
      <c r="M278" s="193" t="str">
        <f>IF('Observaciones-SMP'!M278="","",'Observaciones-SMP'!M278)</f>
        <v/>
      </c>
      <c r="N278" s="193" t="str">
        <f>IF('Observaciones-SMP'!N278="","",'Observaciones-SMP'!N278)</f>
        <v/>
      </c>
      <c r="O278" s="193" t="str">
        <f>IF('Observaciones-SMP'!O278="","",'Observaciones-SMP'!O278)</f>
        <v/>
      </c>
      <c r="P278" s="193" t="str">
        <f>IF('Observaciones-SMP'!P278="","",'Observaciones-SMP'!P278)</f>
        <v/>
      </c>
      <c r="Q278" s="257" t="str">
        <f>IF('Observaciones-SMP'!S278="","",'Observaciones-SMP'!S278)</f>
        <v/>
      </c>
      <c r="R278" s="193" t="str">
        <f>IF('Observaciones-SMP'!T278="","",'Observaciones-SMP'!T278)</f>
        <v/>
      </c>
      <c r="S278" s="193" t="str">
        <f>""</f>
        <v/>
      </c>
      <c r="T278" s="193" t="str">
        <f>""</f>
        <v/>
      </c>
      <c r="U278" s="193" t="str">
        <f t="shared" si="16"/>
        <v/>
      </c>
      <c r="V278" s="193" t="str">
        <f>""</f>
        <v/>
      </c>
      <c r="W278" s="193" t="str">
        <f>""</f>
        <v/>
      </c>
      <c r="X278" s="258" t="str">
        <f t="shared" si="17"/>
        <v/>
      </c>
      <c r="Y278" s="258" t="str">
        <f t="shared" si="18"/>
        <v/>
      </c>
      <c r="Z278" s="193" t="str">
        <f>IF(A278="","",IF(COUNTIF('Observaciones-SMP'!$A$2:$A$1001,A278)&gt;1,1,0))</f>
        <v/>
      </c>
      <c r="AA278" s="193" t="str">
        <f t="shared" si="19"/>
        <v/>
      </c>
    </row>
    <row r="279" spans="1:27" ht="13.5" customHeight="1" x14ac:dyDescent="0.3">
      <c r="A279" s="193" t="str">
        <f>IF('Observaciones-SMP'!A279="","",'Observaciones-SMP'!A279)</f>
        <v/>
      </c>
      <c r="B279" s="257" t="str">
        <f>IF('Observaciones-SMP'!B279="","",'Observaciones-SMP'!B279)</f>
        <v/>
      </c>
      <c r="C279" s="193" t="str">
        <f>IF('Observaciones-SMP'!C279="","",'Observaciones-SMP'!C279)</f>
        <v/>
      </c>
      <c r="D279" s="193" t="str">
        <f>IF('Observaciones-SMP'!D279="","",'Observaciones-SMP'!D279)</f>
        <v/>
      </c>
      <c r="E279" s="193" t="str">
        <f>IF('Observaciones-SMP'!E279="","",'Observaciones-SMP'!E279)</f>
        <v/>
      </c>
      <c r="F279" s="193" t="str">
        <f>IF('Observaciones-SMP'!F279="","",'Observaciones-SMP'!F279)</f>
        <v/>
      </c>
      <c r="G279" s="193" t="str">
        <f>IF('Observaciones-SMP'!G279="","",'Observaciones-SMP'!G279)</f>
        <v/>
      </c>
      <c r="H279" s="193" t="str">
        <f>IF('Observaciones-SMP'!H279="","",'Observaciones-SMP'!H279)</f>
        <v/>
      </c>
      <c r="I279" s="193" t="str">
        <f>IF('Observaciones-SMP'!I279="","",'Observaciones-SMP'!I279)</f>
        <v/>
      </c>
      <c r="J279" s="193" t="str">
        <f>IF('Observaciones-SMP'!J279="","",'Observaciones-SMP'!J279)</f>
        <v/>
      </c>
      <c r="K279" s="193" t="str">
        <f>IF('Observaciones-SMP'!K279="","",'Observaciones-SMP'!K279)</f>
        <v/>
      </c>
      <c r="L279" s="193" t="str">
        <f>IF('Observaciones-SMP'!L279="","",'Observaciones-SMP'!L279)</f>
        <v/>
      </c>
      <c r="M279" s="193" t="str">
        <f>IF('Observaciones-SMP'!M279="","",'Observaciones-SMP'!M279)</f>
        <v/>
      </c>
      <c r="N279" s="193" t="str">
        <f>IF('Observaciones-SMP'!N279="","",'Observaciones-SMP'!N279)</f>
        <v/>
      </c>
      <c r="O279" s="193" t="str">
        <f>IF('Observaciones-SMP'!O279="","",'Observaciones-SMP'!O279)</f>
        <v/>
      </c>
      <c r="P279" s="193" t="str">
        <f>IF('Observaciones-SMP'!P279="","",'Observaciones-SMP'!P279)</f>
        <v/>
      </c>
      <c r="Q279" s="257" t="str">
        <f>IF('Observaciones-SMP'!S279="","",'Observaciones-SMP'!S279)</f>
        <v/>
      </c>
      <c r="R279" s="193" t="str">
        <f>IF('Observaciones-SMP'!T279="","",'Observaciones-SMP'!T279)</f>
        <v/>
      </c>
      <c r="S279" s="193" t="str">
        <f>""</f>
        <v/>
      </c>
      <c r="T279" s="193" t="str">
        <f>""</f>
        <v/>
      </c>
      <c r="U279" s="193" t="str">
        <f t="shared" si="16"/>
        <v/>
      </c>
      <c r="V279" s="193" t="str">
        <f>""</f>
        <v/>
      </c>
      <c r="W279" s="193" t="str">
        <f>""</f>
        <v/>
      </c>
      <c r="X279" s="258" t="str">
        <f t="shared" si="17"/>
        <v/>
      </c>
      <c r="Y279" s="258" t="str">
        <f t="shared" si="18"/>
        <v/>
      </c>
      <c r="Z279" s="193" t="str">
        <f>IF(A279="","",IF(COUNTIF('Observaciones-SMP'!$A$2:$A$1001,A279)&gt;1,1,0))</f>
        <v/>
      </c>
      <c r="AA279" s="193" t="str">
        <f t="shared" si="19"/>
        <v/>
      </c>
    </row>
    <row r="280" spans="1:27" ht="13.5" customHeight="1" x14ac:dyDescent="0.3">
      <c r="A280" s="193" t="str">
        <f>IF('Observaciones-SMP'!A280="","",'Observaciones-SMP'!A280)</f>
        <v/>
      </c>
      <c r="B280" s="257" t="str">
        <f>IF('Observaciones-SMP'!B280="","",'Observaciones-SMP'!B280)</f>
        <v/>
      </c>
      <c r="C280" s="193" t="str">
        <f>IF('Observaciones-SMP'!C280="","",'Observaciones-SMP'!C280)</f>
        <v/>
      </c>
      <c r="D280" s="193" t="str">
        <f>IF('Observaciones-SMP'!D280="","",'Observaciones-SMP'!D280)</f>
        <v/>
      </c>
      <c r="E280" s="193" t="str">
        <f>IF('Observaciones-SMP'!E280="","",'Observaciones-SMP'!E280)</f>
        <v/>
      </c>
      <c r="F280" s="193" t="str">
        <f>IF('Observaciones-SMP'!F280="","",'Observaciones-SMP'!F280)</f>
        <v/>
      </c>
      <c r="G280" s="193" t="str">
        <f>IF('Observaciones-SMP'!G280="","",'Observaciones-SMP'!G280)</f>
        <v/>
      </c>
      <c r="H280" s="193" t="str">
        <f>IF('Observaciones-SMP'!H280="","",'Observaciones-SMP'!H280)</f>
        <v/>
      </c>
      <c r="I280" s="193" t="str">
        <f>IF('Observaciones-SMP'!I280="","",'Observaciones-SMP'!I280)</f>
        <v/>
      </c>
      <c r="J280" s="193" t="str">
        <f>IF('Observaciones-SMP'!J280="","",'Observaciones-SMP'!J280)</f>
        <v/>
      </c>
      <c r="K280" s="193" t="str">
        <f>IF('Observaciones-SMP'!K280="","",'Observaciones-SMP'!K280)</f>
        <v/>
      </c>
      <c r="L280" s="193" t="str">
        <f>IF('Observaciones-SMP'!L280="","",'Observaciones-SMP'!L280)</f>
        <v/>
      </c>
      <c r="M280" s="193" t="str">
        <f>IF('Observaciones-SMP'!M280="","",'Observaciones-SMP'!M280)</f>
        <v/>
      </c>
      <c r="N280" s="193" t="str">
        <f>IF('Observaciones-SMP'!N280="","",'Observaciones-SMP'!N280)</f>
        <v/>
      </c>
      <c r="O280" s="193" t="str">
        <f>IF('Observaciones-SMP'!O280="","",'Observaciones-SMP'!O280)</f>
        <v/>
      </c>
      <c r="P280" s="193" t="str">
        <f>IF('Observaciones-SMP'!P280="","",'Observaciones-SMP'!P280)</f>
        <v/>
      </c>
      <c r="Q280" s="257" t="str">
        <f>IF('Observaciones-SMP'!S280="","",'Observaciones-SMP'!S280)</f>
        <v/>
      </c>
      <c r="R280" s="193" t="str">
        <f>IF('Observaciones-SMP'!T280="","",'Observaciones-SMP'!T280)</f>
        <v/>
      </c>
      <c r="S280" s="193" t="str">
        <f>""</f>
        <v/>
      </c>
      <c r="T280" s="193" t="str">
        <f>""</f>
        <v/>
      </c>
      <c r="U280" s="193" t="str">
        <f t="shared" si="16"/>
        <v/>
      </c>
      <c r="V280" s="193" t="str">
        <f>""</f>
        <v/>
      </c>
      <c r="W280" s="193" t="str">
        <f>""</f>
        <v/>
      </c>
      <c r="X280" s="258" t="str">
        <f t="shared" si="17"/>
        <v/>
      </c>
      <c r="Y280" s="258" t="str">
        <f t="shared" si="18"/>
        <v/>
      </c>
      <c r="Z280" s="193" t="str">
        <f>IF(A280="","",IF(COUNTIF('Observaciones-SMP'!$A$2:$A$1001,A280)&gt;1,1,0))</f>
        <v/>
      </c>
      <c r="AA280" s="193" t="str">
        <f t="shared" si="19"/>
        <v/>
      </c>
    </row>
    <row r="281" spans="1:27" ht="13.5" customHeight="1" x14ac:dyDescent="0.3">
      <c r="A281" s="193" t="str">
        <f>IF('Observaciones-SMP'!A281="","",'Observaciones-SMP'!A281)</f>
        <v/>
      </c>
      <c r="B281" s="257" t="str">
        <f>IF('Observaciones-SMP'!B281="","",'Observaciones-SMP'!B281)</f>
        <v/>
      </c>
      <c r="C281" s="193" t="str">
        <f>IF('Observaciones-SMP'!C281="","",'Observaciones-SMP'!C281)</f>
        <v/>
      </c>
      <c r="D281" s="193" t="str">
        <f>IF('Observaciones-SMP'!D281="","",'Observaciones-SMP'!D281)</f>
        <v/>
      </c>
      <c r="E281" s="193" t="str">
        <f>IF('Observaciones-SMP'!E281="","",'Observaciones-SMP'!E281)</f>
        <v/>
      </c>
      <c r="F281" s="193" t="str">
        <f>IF('Observaciones-SMP'!F281="","",'Observaciones-SMP'!F281)</f>
        <v/>
      </c>
      <c r="G281" s="193" t="str">
        <f>IF('Observaciones-SMP'!G281="","",'Observaciones-SMP'!G281)</f>
        <v/>
      </c>
      <c r="H281" s="193" t="str">
        <f>IF('Observaciones-SMP'!H281="","",'Observaciones-SMP'!H281)</f>
        <v/>
      </c>
      <c r="I281" s="193" t="str">
        <f>IF('Observaciones-SMP'!I281="","",'Observaciones-SMP'!I281)</f>
        <v/>
      </c>
      <c r="J281" s="193" t="str">
        <f>IF('Observaciones-SMP'!J281="","",'Observaciones-SMP'!J281)</f>
        <v/>
      </c>
      <c r="K281" s="193" t="str">
        <f>IF('Observaciones-SMP'!K281="","",'Observaciones-SMP'!K281)</f>
        <v/>
      </c>
      <c r="L281" s="193" t="str">
        <f>IF('Observaciones-SMP'!L281="","",'Observaciones-SMP'!L281)</f>
        <v/>
      </c>
      <c r="M281" s="193" t="str">
        <f>IF('Observaciones-SMP'!M281="","",'Observaciones-SMP'!M281)</f>
        <v/>
      </c>
      <c r="N281" s="193" t="str">
        <f>IF('Observaciones-SMP'!N281="","",'Observaciones-SMP'!N281)</f>
        <v/>
      </c>
      <c r="O281" s="193" t="str">
        <f>IF('Observaciones-SMP'!O281="","",'Observaciones-SMP'!O281)</f>
        <v/>
      </c>
      <c r="P281" s="193" t="str">
        <f>IF('Observaciones-SMP'!P281="","",'Observaciones-SMP'!P281)</f>
        <v/>
      </c>
      <c r="Q281" s="257" t="str">
        <f>IF('Observaciones-SMP'!S281="","",'Observaciones-SMP'!S281)</f>
        <v/>
      </c>
      <c r="R281" s="193" t="str">
        <f>IF('Observaciones-SMP'!T281="","",'Observaciones-SMP'!T281)</f>
        <v/>
      </c>
      <c r="S281" s="193" t="str">
        <f>""</f>
        <v/>
      </c>
      <c r="T281" s="193" t="str">
        <f>""</f>
        <v/>
      </c>
      <c r="U281" s="193" t="str">
        <f t="shared" si="16"/>
        <v/>
      </c>
      <c r="V281" s="193" t="str">
        <f>""</f>
        <v/>
      </c>
      <c r="W281" s="193" t="str">
        <f>""</f>
        <v/>
      </c>
      <c r="X281" s="258" t="str">
        <f t="shared" si="17"/>
        <v/>
      </c>
      <c r="Y281" s="258" t="str">
        <f t="shared" si="18"/>
        <v/>
      </c>
      <c r="Z281" s="193" t="str">
        <f>IF(A281="","",IF(COUNTIF('Observaciones-SMP'!$A$2:$A$1001,A281)&gt;1,1,0))</f>
        <v/>
      </c>
      <c r="AA281" s="193" t="str">
        <f t="shared" si="19"/>
        <v/>
      </c>
    </row>
    <row r="282" spans="1:27" ht="13.5" customHeight="1" x14ac:dyDescent="0.3">
      <c r="A282" s="193" t="str">
        <f>IF('Observaciones-SMP'!A282="","",'Observaciones-SMP'!A282)</f>
        <v/>
      </c>
      <c r="B282" s="257" t="str">
        <f>IF('Observaciones-SMP'!B282="","",'Observaciones-SMP'!B282)</f>
        <v/>
      </c>
      <c r="C282" s="193" t="str">
        <f>IF('Observaciones-SMP'!C282="","",'Observaciones-SMP'!C282)</f>
        <v/>
      </c>
      <c r="D282" s="193" t="str">
        <f>IF('Observaciones-SMP'!D282="","",'Observaciones-SMP'!D282)</f>
        <v/>
      </c>
      <c r="E282" s="193" t="str">
        <f>IF('Observaciones-SMP'!E282="","",'Observaciones-SMP'!E282)</f>
        <v/>
      </c>
      <c r="F282" s="193" t="str">
        <f>IF('Observaciones-SMP'!F282="","",'Observaciones-SMP'!F282)</f>
        <v/>
      </c>
      <c r="G282" s="193" t="str">
        <f>IF('Observaciones-SMP'!G282="","",'Observaciones-SMP'!G282)</f>
        <v/>
      </c>
      <c r="H282" s="193" t="str">
        <f>IF('Observaciones-SMP'!H282="","",'Observaciones-SMP'!H282)</f>
        <v/>
      </c>
      <c r="I282" s="193" t="str">
        <f>IF('Observaciones-SMP'!I282="","",'Observaciones-SMP'!I282)</f>
        <v/>
      </c>
      <c r="J282" s="193" t="str">
        <f>IF('Observaciones-SMP'!J282="","",'Observaciones-SMP'!J282)</f>
        <v/>
      </c>
      <c r="K282" s="193" t="str">
        <f>IF('Observaciones-SMP'!K282="","",'Observaciones-SMP'!K282)</f>
        <v/>
      </c>
      <c r="L282" s="193" t="str">
        <f>IF('Observaciones-SMP'!L282="","",'Observaciones-SMP'!L282)</f>
        <v/>
      </c>
      <c r="M282" s="193" t="str">
        <f>IF('Observaciones-SMP'!M282="","",'Observaciones-SMP'!M282)</f>
        <v/>
      </c>
      <c r="N282" s="193" t="str">
        <f>IF('Observaciones-SMP'!N282="","",'Observaciones-SMP'!N282)</f>
        <v/>
      </c>
      <c r="O282" s="193" t="str">
        <f>IF('Observaciones-SMP'!O282="","",'Observaciones-SMP'!O282)</f>
        <v/>
      </c>
      <c r="P282" s="193" t="str">
        <f>IF('Observaciones-SMP'!P282="","",'Observaciones-SMP'!P282)</f>
        <v/>
      </c>
      <c r="Q282" s="257" t="str">
        <f>IF('Observaciones-SMP'!S282="","",'Observaciones-SMP'!S282)</f>
        <v/>
      </c>
      <c r="R282" s="193" t="str">
        <f>IF('Observaciones-SMP'!T282="","",'Observaciones-SMP'!T282)</f>
        <v/>
      </c>
      <c r="S282" s="193" t="str">
        <f>""</f>
        <v/>
      </c>
      <c r="T282" s="193" t="str">
        <f>""</f>
        <v/>
      </c>
      <c r="U282" s="193" t="str">
        <f t="shared" si="16"/>
        <v/>
      </c>
      <c r="V282" s="193" t="str">
        <f>""</f>
        <v/>
      </c>
      <c r="W282" s="193" t="str">
        <f>""</f>
        <v/>
      </c>
      <c r="X282" s="258" t="str">
        <f t="shared" si="17"/>
        <v/>
      </c>
      <c r="Y282" s="258" t="str">
        <f t="shared" si="18"/>
        <v/>
      </c>
      <c r="Z282" s="193" t="str">
        <f>IF(A282="","",IF(COUNTIF('Observaciones-SMP'!$A$2:$A$1001,A282)&gt;1,1,0))</f>
        <v/>
      </c>
      <c r="AA282" s="193" t="str">
        <f t="shared" si="19"/>
        <v/>
      </c>
    </row>
    <row r="283" spans="1:27" ht="13.5" customHeight="1" x14ac:dyDescent="0.3">
      <c r="A283" s="193" t="str">
        <f>IF('Observaciones-SMP'!A283="","",'Observaciones-SMP'!A283)</f>
        <v/>
      </c>
      <c r="B283" s="257" t="str">
        <f>IF('Observaciones-SMP'!B283="","",'Observaciones-SMP'!B283)</f>
        <v/>
      </c>
      <c r="C283" s="193" t="str">
        <f>IF('Observaciones-SMP'!C283="","",'Observaciones-SMP'!C283)</f>
        <v/>
      </c>
      <c r="D283" s="193" t="str">
        <f>IF('Observaciones-SMP'!D283="","",'Observaciones-SMP'!D283)</f>
        <v/>
      </c>
      <c r="E283" s="193" t="str">
        <f>IF('Observaciones-SMP'!E283="","",'Observaciones-SMP'!E283)</f>
        <v/>
      </c>
      <c r="F283" s="193" t="str">
        <f>IF('Observaciones-SMP'!F283="","",'Observaciones-SMP'!F283)</f>
        <v/>
      </c>
      <c r="G283" s="193" t="str">
        <f>IF('Observaciones-SMP'!G283="","",'Observaciones-SMP'!G283)</f>
        <v/>
      </c>
      <c r="H283" s="193" t="str">
        <f>IF('Observaciones-SMP'!H283="","",'Observaciones-SMP'!H283)</f>
        <v/>
      </c>
      <c r="I283" s="193" t="str">
        <f>IF('Observaciones-SMP'!I283="","",'Observaciones-SMP'!I283)</f>
        <v/>
      </c>
      <c r="J283" s="193" t="str">
        <f>IF('Observaciones-SMP'!J283="","",'Observaciones-SMP'!J283)</f>
        <v/>
      </c>
      <c r="K283" s="193" t="str">
        <f>IF('Observaciones-SMP'!K283="","",'Observaciones-SMP'!K283)</f>
        <v/>
      </c>
      <c r="L283" s="193" t="str">
        <f>IF('Observaciones-SMP'!L283="","",'Observaciones-SMP'!L283)</f>
        <v/>
      </c>
      <c r="M283" s="193" t="str">
        <f>IF('Observaciones-SMP'!M283="","",'Observaciones-SMP'!M283)</f>
        <v/>
      </c>
      <c r="N283" s="193" t="str">
        <f>IF('Observaciones-SMP'!N283="","",'Observaciones-SMP'!N283)</f>
        <v/>
      </c>
      <c r="O283" s="193" t="str">
        <f>IF('Observaciones-SMP'!O283="","",'Observaciones-SMP'!O283)</f>
        <v/>
      </c>
      <c r="P283" s="193" t="str">
        <f>IF('Observaciones-SMP'!P283="","",'Observaciones-SMP'!P283)</f>
        <v/>
      </c>
      <c r="Q283" s="257" t="str">
        <f>IF('Observaciones-SMP'!S283="","",'Observaciones-SMP'!S283)</f>
        <v/>
      </c>
      <c r="R283" s="193" t="str">
        <f>IF('Observaciones-SMP'!T283="","",'Observaciones-SMP'!T283)</f>
        <v/>
      </c>
      <c r="S283" s="193" t="str">
        <f>""</f>
        <v/>
      </c>
      <c r="T283" s="193" t="str">
        <f>""</f>
        <v/>
      </c>
      <c r="U283" s="193" t="str">
        <f t="shared" si="16"/>
        <v/>
      </c>
      <c r="V283" s="193" t="str">
        <f>""</f>
        <v/>
      </c>
      <c r="W283" s="193" t="str">
        <f>""</f>
        <v/>
      </c>
      <c r="X283" s="258" t="str">
        <f t="shared" si="17"/>
        <v/>
      </c>
      <c r="Y283" s="258" t="str">
        <f t="shared" si="18"/>
        <v/>
      </c>
      <c r="Z283" s="193" t="str">
        <f>IF(A283="","",IF(COUNTIF('Observaciones-SMP'!$A$2:$A$1001,A283)&gt;1,1,0))</f>
        <v/>
      </c>
      <c r="AA283" s="193" t="str">
        <f t="shared" si="19"/>
        <v/>
      </c>
    </row>
    <row r="284" spans="1:27" ht="13.5" customHeight="1" x14ac:dyDescent="0.3">
      <c r="A284" s="193" t="str">
        <f>IF('Observaciones-SMP'!A284="","",'Observaciones-SMP'!A284)</f>
        <v/>
      </c>
      <c r="B284" s="257" t="str">
        <f>IF('Observaciones-SMP'!B284="","",'Observaciones-SMP'!B284)</f>
        <v/>
      </c>
      <c r="C284" s="193" t="str">
        <f>IF('Observaciones-SMP'!C284="","",'Observaciones-SMP'!C284)</f>
        <v/>
      </c>
      <c r="D284" s="193" t="str">
        <f>IF('Observaciones-SMP'!D284="","",'Observaciones-SMP'!D284)</f>
        <v/>
      </c>
      <c r="E284" s="193" t="str">
        <f>IF('Observaciones-SMP'!E284="","",'Observaciones-SMP'!E284)</f>
        <v/>
      </c>
      <c r="F284" s="193" t="str">
        <f>IF('Observaciones-SMP'!F284="","",'Observaciones-SMP'!F284)</f>
        <v/>
      </c>
      <c r="G284" s="193" t="str">
        <f>IF('Observaciones-SMP'!G284="","",'Observaciones-SMP'!G284)</f>
        <v/>
      </c>
      <c r="H284" s="193" t="str">
        <f>IF('Observaciones-SMP'!H284="","",'Observaciones-SMP'!H284)</f>
        <v/>
      </c>
      <c r="I284" s="193" t="str">
        <f>IF('Observaciones-SMP'!I284="","",'Observaciones-SMP'!I284)</f>
        <v/>
      </c>
      <c r="J284" s="193" t="str">
        <f>IF('Observaciones-SMP'!J284="","",'Observaciones-SMP'!J284)</f>
        <v/>
      </c>
      <c r="K284" s="193" t="str">
        <f>IF('Observaciones-SMP'!K284="","",'Observaciones-SMP'!K284)</f>
        <v/>
      </c>
      <c r="L284" s="193" t="str">
        <f>IF('Observaciones-SMP'!L284="","",'Observaciones-SMP'!L284)</f>
        <v/>
      </c>
      <c r="M284" s="193" t="str">
        <f>IF('Observaciones-SMP'!M284="","",'Observaciones-SMP'!M284)</f>
        <v/>
      </c>
      <c r="N284" s="193" t="str">
        <f>IF('Observaciones-SMP'!N284="","",'Observaciones-SMP'!N284)</f>
        <v/>
      </c>
      <c r="O284" s="193" t="str">
        <f>IF('Observaciones-SMP'!O284="","",'Observaciones-SMP'!O284)</f>
        <v/>
      </c>
      <c r="P284" s="193" t="str">
        <f>IF('Observaciones-SMP'!P284="","",'Observaciones-SMP'!P284)</f>
        <v/>
      </c>
      <c r="Q284" s="257" t="str">
        <f>IF('Observaciones-SMP'!S284="","",'Observaciones-SMP'!S284)</f>
        <v/>
      </c>
      <c r="R284" s="193" t="str">
        <f>IF('Observaciones-SMP'!T284="","",'Observaciones-SMP'!T284)</f>
        <v/>
      </c>
      <c r="S284" s="193" t="str">
        <f>""</f>
        <v/>
      </c>
      <c r="T284" s="193" t="str">
        <f>""</f>
        <v/>
      </c>
      <c r="U284" s="193" t="str">
        <f t="shared" si="16"/>
        <v/>
      </c>
      <c r="V284" s="193" t="str">
        <f>""</f>
        <v/>
      </c>
      <c r="W284" s="193" t="str">
        <f>""</f>
        <v/>
      </c>
      <c r="X284" s="258" t="str">
        <f t="shared" si="17"/>
        <v/>
      </c>
      <c r="Y284" s="258" t="str">
        <f t="shared" si="18"/>
        <v/>
      </c>
      <c r="Z284" s="193" t="str">
        <f>IF(A284="","",IF(COUNTIF('Observaciones-SMP'!$A$2:$A$1001,A284)&gt;1,1,0))</f>
        <v/>
      </c>
      <c r="AA284" s="193" t="str">
        <f t="shared" si="19"/>
        <v/>
      </c>
    </row>
    <row r="285" spans="1:27" ht="13.5" customHeight="1" x14ac:dyDescent="0.3">
      <c r="A285" s="193" t="str">
        <f>IF('Observaciones-SMP'!A285="","",'Observaciones-SMP'!A285)</f>
        <v/>
      </c>
      <c r="B285" s="257" t="str">
        <f>IF('Observaciones-SMP'!B285="","",'Observaciones-SMP'!B285)</f>
        <v/>
      </c>
      <c r="C285" s="193" t="str">
        <f>IF('Observaciones-SMP'!C285="","",'Observaciones-SMP'!C285)</f>
        <v/>
      </c>
      <c r="D285" s="193" t="str">
        <f>IF('Observaciones-SMP'!D285="","",'Observaciones-SMP'!D285)</f>
        <v/>
      </c>
      <c r="E285" s="193" t="str">
        <f>IF('Observaciones-SMP'!E285="","",'Observaciones-SMP'!E285)</f>
        <v/>
      </c>
      <c r="F285" s="193" t="str">
        <f>IF('Observaciones-SMP'!F285="","",'Observaciones-SMP'!F285)</f>
        <v/>
      </c>
      <c r="G285" s="193" t="str">
        <f>IF('Observaciones-SMP'!G285="","",'Observaciones-SMP'!G285)</f>
        <v/>
      </c>
      <c r="H285" s="193" t="str">
        <f>IF('Observaciones-SMP'!H285="","",'Observaciones-SMP'!H285)</f>
        <v/>
      </c>
      <c r="I285" s="193" t="str">
        <f>IF('Observaciones-SMP'!I285="","",'Observaciones-SMP'!I285)</f>
        <v/>
      </c>
      <c r="J285" s="193" t="str">
        <f>IF('Observaciones-SMP'!J285="","",'Observaciones-SMP'!J285)</f>
        <v/>
      </c>
      <c r="K285" s="193" t="str">
        <f>IF('Observaciones-SMP'!K285="","",'Observaciones-SMP'!K285)</f>
        <v/>
      </c>
      <c r="L285" s="193" t="str">
        <f>IF('Observaciones-SMP'!L285="","",'Observaciones-SMP'!L285)</f>
        <v/>
      </c>
      <c r="M285" s="193" t="str">
        <f>IF('Observaciones-SMP'!M285="","",'Observaciones-SMP'!M285)</f>
        <v/>
      </c>
      <c r="N285" s="193" t="str">
        <f>IF('Observaciones-SMP'!N285="","",'Observaciones-SMP'!N285)</f>
        <v/>
      </c>
      <c r="O285" s="193" t="str">
        <f>IF('Observaciones-SMP'!O285="","",'Observaciones-SMP'!O285)</f>
        <v/>
      </c>
      <c r="P285" s="193" t="str">
        <f>IF('Observaciones-SMP'!P285="","",'Observaciones-SMP'!P285)</f>
        <v/>
      </c>
      <c r="Q285" s="257" t="str">
        <f>IF('Observaciones-SMP'!S285="","",'Observaciones-SMP'!S285)</f>
        <v/>
      </c>
      <c r="R285" s="193" t="str">
        <f>IF('Observaciones-SMP'!T285="","",'Observaciones-SMP'!T285)</f>
        <v/>
      </c>
      <c r="S285" s="193" t="str">
        <f>""</f>
        <v/>
      </c>
      <c r="T285" s="193" t="str">
        <f>""</f>
        <v/>
      </c>
      <c r="U285" s="193" t="str">
        <f t="shared" si="16"/>
        <v/>
      </c>
      <c r="V285" s="193" t="str">
        <f>""</f>
        <v/>
      </c>
      <c r="W285" s="193" t="str">
        <f>""</f>
        <v/>
      </c>
      <c r="X285" s="258" t="str">
        <f t="shared" si="17"/>
        <v/>
      </c>
      <c r="Y285" s="258" t="str">
        <f t="shared" si="18"/>
        <v/>
      </c>
      <c r="Z285" s="193" t="str">
        <f>IF(A285="","",IF(COUNTIF('Observaciones-SMP'!$A$2:$A$1001,A285)&gt;1,1,0))</f>
        <v/>
      </c>
      <c r="AA285" s="193" t="str">
        <f t="shared" si="19"/>
        <v/>
      </c>
    </row>
    <row r="286" spans="1:27" ht="13.5" customHeight="1" x14ac:dyDescent="0.3">
      <c r="A286" s="193" t="str">
        <f>IF('Observaciones-SMP'!A286="","",'Observaciones-SMP'!A286)</f>
        <v/>
      </c>
      <c r="B286" s="257" t="str">
        <f>IF('Observaciones-SMP'!B286="","",'Observaciones-SMP'!B286)</f>
        <v/>
      </c>
      <c r="C286" s="193" t="str">
        <f>IF('Observaciones-SMP'!C286="","",'Observaciones-SMP'!C286)</f>
        <v/>
      </c>
      <c r="D286" s="193" t="str">
        <f>IF('Observaciones-SMP'!D286="","",'Observaciones-SMP'!D286)</f>
        <v/>
      </c>
      <c r="E286" s="193" t="str">
        <f>IF('Observaciones-SMP'!E286="","",'Observaciones-SMP'!E286)</f>
        <v/>
      </c>
      <c r="F286" s="193" t="str">
        <f>IF('Observaciones-SMP'!F286="","",'Observaciones-SMP'!F286)</f>
        <v/>
      </c>
      <c r="G286" s="193" t="str">
        <f>IF('Observaciones-SMP'!G286="","",'Observaciones-SMP'!G286)</f>
        <v/>
      </c>
      <c r="H286" s="193" t="str">
        <f>IF('Observaciones-SMP'!H286="","",'Observaciones-SMP'!H286)</f>
        <v/>
      </c>
      <c r="I286" s="193" t="str">
        <f>IF('Observaciones-SMP'!I286="","",'Observaciones-SMP'!I286)</f>
        <v/>
      </c>
      <c r="J286" s="193" t="str">
        <f>IF('Observaciones-SMP'!J286="","",'Observaciones-SMP'!J286)</f>
        <v/>
      </c>
      <c r="K286" s="193" t="str">
        <f>IF('Observaciones-SMP'!K286="","",'Observaciones-SMP'!K286)</f>
        <v/>
      </c>
      <c r="L286" s="193" t="str">
        <f>IF('Observaciones-SMP'!L286="","",'Observaciones-SMP'!L286)</f>
        <v/>
      </c>
      <c r="M286" s="193" t="str">
        <f>IF('Observaciones-SMP'!M286="","",'Observaciones-SMP'!M286)</f>
        <v/>
      </c>
      <c r="N286" s="193" t="str">
        <f>IF('Observaciones-SMP'!N286="","",'Observaciones-SMP'!N286)</f>
        <v/>
      </c>
      <c r="O286" s="193" t="str">
        <f>IF('Observaciones-SMP'!O286="","",'Observaciones-SMP'!O286)</f>
        <v/>
      </c>
      <c r="P286" s="193" t="str">
        <f>IF('Observaciones-SMP'!P286="","",'Observaciones-SMP'!P286)</f>
        <v/>
      </c>
      <c r="Q286" s="257" t="str">
        <f>IF('Observaciones-SMP'!S286="","",'Observaciones-SMP'!S286)</f>
        <v/>
      </c>
      <c r="R286" s="193" t="str">
        <f>IF('Observaciones-SMP'!T286="","",'Observaciones-SMP'!T286)</f>
        <v/>
      </c>
      <c r="S286" s="193" t="str">
        <f>""</f>
        <v/>
      </c>
      <c r="T286" s="193" t="str">
        <f>""</f>
        <v/>
      </c>
      <c r="U286" s="193" t="str">
        <f t="shared" si="16"/>
        <v/>
      </c>
      <c r="V286" s="193" t="str">
        <f>""</f>
        <v/>
      </c>
      <c r="W286" s="193" t="str">
        <f>""</f>
        <v/>
      </c>
      <c r="X286" s="258" t="str">
        <f t="shared" si="17"/>
        <v/>
      </c>
      <c r="Y286" s="258" t="str">
        <f t="shared" si="18"/>
        <v/>
      </c>
      <c r="Z286" s="193" t="str">
        <f>IF(A286="","",IF(COUNTIF('Observaciones-SMP'!$A$2:$A$1001,A286)&gt;1,1,0))</f>
        <v/>
      </c>
      <c r="AA286" s="193" t="str">
        <f t="shared" si="19"/>
        <v/>
      </c>
    </row>
    <row r="287" spans="1:27" ht="13.5" customHeight="1" x14ac:dyDescent="0.3">
      <c r="A287" s="193" t="str">
        <f>IF('Observaciones-SMP'!A287="","",'Observaciones-SMP'!A287)</f>
        <v/>
      </c>
      <c r="B287" s="257" t="str">
        <f>IF('Observaciones-SMP'!B287="","",'Observaciones-SMP'!B287)</f>
        <v/>
      </c>
      <c r="C287" s="193" t="str">
        <f>IF('Observaciones-SMP'!C287="","",'Observaciones-SMP'!C287)</f>
        <v/>
      </c>
      <c r="D287" s="193" t="str">
        <f>IF('Observaciones-SMP'!D287="","",'Observaciones-SMP'!D287)</f>
        <v/>
      </c>
      <c r="E287" s="193" t="str">
        <f>IF('Observaciones-SMP'!E287="","",'Observaciones-SMP'!E287)</f>
        <v/>
      </c>
      <c r="F287" s="193" t="str">
        <f>IF('Observaciones-SMP'!F287="","",'Observaciones-SMP'!F287)</f>
        <v/>
      </c>
      <c r="G287" s="193" t="str">
        <f>IF('Observaciones-SMP'!G287="","",'Observaciones-SMP'!G287)</f>
        <v/>
      </c>
      <c r="H287" s="193" t="str">
        <f>IF('Observaciones-SMP'!H287="","",'Observaciones-SMP'!H287)</f>
        <v/>
      </c>
      <c r="I287" s="193" t="str">
        <f>IF('Observaciones-SMP'!I287="","",'Observaciones-SMP'!I287)</f>
        <v/>
      </c>
      <c r="J287" s="193" t="str">
        <f>IF('Observaciones-SMP'!J287="","",'Observaciones-SMP'!J287)</f>
        <v/>
      </c>
      <c r="K287" s="193" t="str">
        <f>IF('Observaciones-SMP'!K287="","",'Observaciones-SMP'!K287)</f>
        <v/>
      </c>
      <c r="L287" s="193" t="str">
        <f>IF('Observaciones-SMP'!L287="","",'Observaciones-SMP'!L287)</f>
        <v/>
      </c>
      <c r="M287" s="193" t="str">
        <f>IF('Observaciones-SMP'!M287="","",'Observaciones-SMP'!M287)</f>
        <v/>
      </c>
      <c r="N287" s="193" t="str">
        <f>IF('Observaciones-SMP'!N287="","",'Observaciones-SMP'!N287)</f>
        <v/>
      </c>
      <c r="O287" s="193" t="str">
        <f>IF('Observaciones-SMP'!O287="","",'Observaciones-SMP'!O287)</f>
        <v/>
      </c>
      <c r="P287" s="193" t="str">
        <f>IF('Observaciones-SMP'!P287="","",'Observaciones-SMP'!P287)</f>
        <v/>
      </c>
      <c r="Q287" s="257" t="str">
        <f>IF('Observaciones-SMP'!S287="","",'Observaciones-SMP'!S287)</f>
        <v/>
      </c>
      <c r="R287" s="193" t="str">
        <f>IF('Observaciones-SMP'!T287="","",'Observaciones-SMP'!T287)</f>
        <v/>
      </c>
      <c r="S287" s="193" t="str">
        <f>""</f>
        <v/>
      </c>
      <c r="T287" s="193" t="str">
        <f>""</f>
        <v/>
      </c>
      <c r="U287" s="193" t="str">
        <f t="shared" si="16"/>
        <v/>
      </c>
      <c r="V287" s="193" t="str">
        <f>""</f>
        <v/>
      </c>
      <c r="W287" s="193" t="str">
        <f>""</f>
        <v/>
      </c>
      <c r="X287" s="258" t="str">
        <f t="shared" si="17"/>
        <v/>
      </c>
      <c r="Y287" s="258" t="str">
        <f t="shared" si="18"/>
        <v/>
      </c>
      <c r="Z287" s="193" t="str">
        <f>IF(A287="","",IF(COUNTIF('Observaciones-SMP'!$A$2:$A$1001,A287)&gt;1,1,0))</f>
        <v/>
      </c>
      <c r="AA287" s="193" t="str">
        <f t="shared" si="19"/>
        <v/>
      </c>
    </row>
    <row r="288" spans="1:27" ht="13.5" customHeight="1" x14ac:dyDescent="0.3">
      <c r="A288" s="193" t="str">
        <f>IF('Observaciones-SMP'!A288="","",'Observaciones-SMP'!A288)</f>
        <v/>
      </c>
      <c r="B288" s="257" t="str">
        <f>IF('Observaciones-SMP'!B288="","",'Observaciones-SMP'!B288)</f>
        <v/>
      </c>
      <c r="C288" s="193" t="str">
        <f>IF('Observaciones-SMP'!C288="","",'Observaciones-SMP'!C288)</f>
        <v/>
      </c>
      <c r="D288" s="193" t="str">
        <f>IF('Observaciones-SMP'!D288="","",'Observaciones-SMP'!D288)</f>
        <v/>
      </c>
      <c r="E288" s="193" t="str">
        <f>IF('Observaciones-SMP'!E288="","",'Observaciones-SMP'!E288)</f>
        <v/>
      </c>
      <c r="F288" s="193" t="str">
        <f>IF('Observaciones-SMP'!F288="","",'Observaciones-SMP'!F288)</f>
        <v/>
      </c>
      <c r="G288" s="193" t="str">
        <f>IF('Observaciones-SMP'!G288="","",'Observaciones-SMP'!G288)</f>
        <v/>
      </c>
      <c r="H288" s="193" t="str">
        <f>IF('Observaciones-SMP'!H288="","",'Observaciones-SMP'!H288)</f>
        <v/>
      </c>
      <c r="I288" s="193" t="str">
        <f>IF('Observaciones-SMP'!I288="","",'Observaciones-SMP'!I288)</f>
        <v/>
      </c>
      <c r="J288" s="193" t="str">
        <f>IF('Observaciones-SMP'!J288="","",'Observaciones-SMP'!J288)</f>
        <v/>
      </c>
      <c r="K288" s="193" t="str">
        <f>IF('Observaciones-SMP'!K288="","",'Observaciones-SMP'!K288)</f>
        <v/>
      </c>
      <c r="L288" s="193" t="str">
        <f>IF('Observaciones-SMP'!L288="","",'Observaciones-SMP'!L288)</f>
        <v/>
      </c>
      <c r="M288" s="193" t="str">
        <f>IF('Observaciones-SMP'!M288="","",'Observaciones-SMP'!M288)</f>
        <v/>
      </c>
      <c r="N288" s="193" t="str">
        <f>IF('Observaciones-SMP'!N288="","",'Observaciones-SMP'!N288)</f>
        <v/>
      </c>
      <c r="O288" s="193" t="str">
        <f>IF('Observaciones-SMP'!O288="","",'Observaciones-SMP'!O288)</f>
        <v/>
      </c>
      <c r="P288" s="193" t="str">
        <f>IF('Observaciones-SMP'!P288="","",'Observaciones-SMP'!P288)</f>
        <v/>
      </c>
      <c r="Q288" s="257" t="str">
        <f>IF('Observaciones-SMP'!S288="","",'Observaciones-SMP'!S288)</f>
        <v/>
      </c>
      <c r="R288" s="193" t="str">
        <f>IF('Observaciones-SMP'!T288="","",'Observaciones-SMP'!T288)</f>
        <v/>
      </c>
      <c r="S288" s="193" t="str">
        <f>""</f>
        <v/>
      </c>
      <c r="T288" s="193" t="str">
        <f>""</f>
        <v/>
      </c>
      <c r="U288" s="193" t="str">
        <f t="shared" si="16"/>
        <v/>
      </c>
      <c r="V288" s="193" t="str">
        <f>""</f>
        <v/>
      </c>
      <c r="W288" s="193" t="str">
        <f>""</f>
        <v/>
      </c>
      <c r="X288" s="258" t="str">
        <f t="shared" si="17"/>
        <v/>
      </c>
      <c r="Y288" s="258" t="str">
        <f t="shared" si="18"/>
        <v/>
      </c>
      <c r="Z288" s="193" t="str">
        <f>IF(A288="","",IF(COUNTIF('Observaciones-SMP'!$A$2:$A$1001,A288)&gt;1,1,0))</f>
        <v/>
      </c>
      <c r="AA288" s="193" t="str">
        <f t="shared" si="19"/>
        <v/>
      </c>
    </row>
    <row r="289" spans="1:27" ht="13.5" customHeight="1" x14ac:dyDescent="0.3">
      <c r="A289" s="193" t="str">
        <f>IF('Observaciones-SMP'!A289="","",'Observaciones-SMP'!A289)</f>
        <v/>
      </c>
      <c r="B289" s="257" t="str">
        <f>IF('Observaciones-SMP'!B289="","",'Observaciones-SMP'!B289)</f>
        <v/>
      </c>
      <c r="C289" s="193" t="str">
        <f>IF('Observaciones-SMP'!C289="","",'Observaciones-SMP'!C289)</f>
        <v/>
      </c>
      <c r="D289" s="193" t="str">
        <f>IF('Observaciones-SMP'!D289="","",'Observaciones-SMP'!D289)</f>
        <v/>
      </c>
      <c r="E289" s="193" t="str">
        <f>IF('Observaciones-SMP'!E289="","",'Observaciones-SMP'!E289)</f>
        <v/>
      </c>
      <c r="F289" s="193" t="str">
        <f>IF('Observaciones-SMP'!F289="","",'Observaciones-SMP'!F289)</f>
        <v/>
      </c>
      <c r="G289" s="193" t="str">
        <f>IF('Observaciones-SMP'!G289="","",'Observaciones-SMP'!G289)</f>
        <v/>
      </c>
      <c r="H289" s="193" t="str">
        <f>IF('Observaciones-SMP'!H289="","",'Observaciones-SMP'!H289)</f>
        <v/>
      </c>
      <c r="I289" s="193" t="str">
        <f>IF('Observaciones-SMP'!I289="","",'Observaciones-SMP'!I289)</f>
        <v/>
      </c>
      <c r="J289" s="193" t="str">
        <f>IF('Observaciones-SMP'!J289="","",'Observaciones-SMP'!J289)</f>
        <v/>
      </c>
      <c r="K289" s="193" t="str">
        <f>IF('Observaciones-SMP'!K289="","",'Observaciones-SMP'!K289)</f>
        <v/>
      </c>
      <c r="L289" s="193" t="str">
        <f>IF('Observaciones-SMP'!L289="","",'Observaciones-SMP'!L289)</f>
        <v/>
      </c>
      <c r="M289" s="193" t="str">
        <f>IF('Observaciones-SMP'!M289="","",'Observaciones-SMP'!M289)</f>
        <v/>
      </c>
      <c r="N289" s="193" t="str">
        <f>IF('Observaciones-SMP'!N289="","",'Observaciones-SMP'!N289)</f>
        <v/>
      </c>
      <c r="O289" s="193" t="str">
        <f>IF('Observaciones-SMP'!O289="","",'Observaciones-SMP'!O289)</f>
        <v/>
      </c>
      <c r="P289" s="193" t="str">
        <f>IF('Observaciones-SMP'!P289="","",'Observaciones-SMP'!P289)</f>
        <v/>
      </c>
      <c r="Q289" s="257" t="str">
        <f>IF('Observaciones-SMP'!S289="","",'Observaciones-SMP'!S289)</f>
        <v/>
      </c>
      <c r="R289" s="193" t="str">
        <f>IF('Observaciones-SMP'!T289="","",'Observaciones-SMP'!T289)</f>
        <v/>
      </c>
      <c r="S289" s="193" t="str">
        <f>""</f>
        <v/>
      </c>
      <c r="T289" s="193" t="str">
        <f>""</f>
        <v/>
      </c>
      <c r="U289" s="193" t="str">
        <f t="shared" si="16"/>
        <v/>
      </c>
      <c r="V289" s="193" t="str">
        <f>""</f>
        <v/>
      </c>
      <c r="W289" s="193" t="str">
        <f>""</f>
        <v/>
      </c>
      <c r="X289" s="258" t="str">
        <f t="shared" si="17"/>
        <v/>
      </c>
      <c r="Y289" s="258" t="str">
        <f t="shared" si="18"/>
        <v/>
      </c>
      <c r="Z289" s="193" t="str">
        <f>IF(A289="","",IF(COUNTIF('Observaciones-SMP'!$A$2:$A$1001,A289)&gt;1,1,0))</f>
        <v/>
      </c>
      <c r="AA289" s="193" t="str">
        <f t="shared" si="19"/>
        <v/>
      </c>
    </row>
    <row r="290" spans="1:27" ht="13.5" customHeight="1" x14ac:dyDescent="0.3">
      <c r="A290" s="193" t="str">
        <f>IF('Observaciones-SMP'!A290="","",'Observaciones-SMP'!A290)</f>
        <v/>
      </c>
      <c r="B290" s="257" t="str">
        <f>IF('Observaciones-SMP'!B290="","",'Observaciones-SMP'!B290)</f>
        <v/>
      </c>
      <c r="C290" s="193" t="str">
        <f>IF('Observaciones-SMP'!C290="","",'Observaciones-SMP'!C290)</f>
        <v/>
      </c>
      <c r="D290" s="193" t="str">
        <f>IF('Observaciones-SMP'!D290="","",'Observaciones-SMP'!D290)</f>
        <v/>
      </c>
      <c r="E290" s="193" t="str">
        <f>IF('Observaciones-SMP'!E290="","",'Observaciones-SMP'!E290)</f>
        <v/>
      </c>
      <c r="F290" s="193" t="str">
        <f>IF('Observaciones-SMP'!F290="","",'Observaciones-SMP'!F290)</f>
        <v/>
      </c>
      <c r="G290" s="193" t="str">
        <f>IF('Observaciones-SMP'!G290="","",'Observaciones-SMP'!G290)</f>
        <v/>
      </c>
      <c r="H290" s="193" t="str">
        <f>IF('Observaciones-SMP'!H290="","",'Observaciones-SMP'!H290)</f>
        <v/>
      </c>
      <c r="I290" s="193" t="str">
        <f>IF('Observaciones-SMP'!I290="","",'Observaciones-SMP'!I290)</f>
        <v/>
      </c>
      <c r="J290" s="193" t="str">
        <f>IF('Observaciones-SMP'!J290="","",'Observaciones-SMP'!J290)</f>
        <v/>
      </c>
      <c r="K290" s="193" t="str">
        <f>IF('Observaciones-SMP'!K290="","",'Observaciones-SMP'!K290)</f>
        <v/>
      </c>
      <c r="L290" s="193" t="str">
        <f>IF('Observaciones-SMP'!L290="","",'Observaciones-SMP'!L290)</f>
        <v/>
      </c>
      <c r="M290" s="193" t="str">
        <f>IF('Observaciones-SMP'!M290="","",'Observaciones-SMP'!M290)</f>
        <v/>
      </c>
      <c r="N290" s="193" t="str">
        <f>IF('Observaciones-SMP'!N290="","",'Observaciones-SMP'!N290)</f>
        <v/>
      </c>
      <c r="O290" s="193" t="str">
        <f>IF('Observaciones-SMP'!O290="","",'Observaciones-SMP'!O290)</f>
        <v/>
      </c>
      <c r="P290" s="193" t="str">
        <f>IF('Observaciones-SMP'!P290="","",'Observaciones-SMP'!P290)</f>
        <v/>
      </c>
      <c r="Q290" s="257" t="str">
        <f>IF('Observaciones-SMP'!S290="","",'Observaciones-SMP'!S290)</f>
        <v/>
      </c>
      <c r="R290" s="193" t="str">
        <f>IF('Observaciones-SMP'!T290="","",'Observaciones-SMP'!T290)</f>
        <v/>
      </c>
      <c r="S290" s="193" t="str">
        <f>""</f>
        <v/>
      </c>
      <c r="T290" s="193" t="str">
        <f>""</f>
        <v/>
      </c>
      <c r="U290" s="193" t="str">
        <f t="shared" si="16"/>
        <v/>
      </c>
      <c r="V290" s="193" t="str">
        <f>""</f>
        <v/>
      </c>
      <c r="W290" s="193" t="str">
        <f>""</f>
        <v/>
      </c>
      <c r="X290" s="258" t="str">
        <f t="shared" si="17"/>
        <v/>
      </c>
      <c r="Y290" s="258" t="str">
        <f t="shared" si="18"/>
        <v/>
      </c>
      <c r="Z290" s="193" t="str">
        <f>IF(A290="","",IF(COUNTIF('Observaciones-SMP'!$A$2:$A$1001,A290)&gt;1,1,0))</f>
        <v/>
      </c>
      <c r="AA290" s="193" t="str">
        <f t="shared" si="19"/>
        <v/>
      </c>
    </row>
    <row r="291" spans="1:27" ht="13.5" customHeight="1" x14ac:dyDescent="0.3">
      <c r="A291" s="193" t="str">
        <f>IF('Observaciones-SMP'!A291="","",'Observaciones-SMP'!A291)</f>
        <v/>
      </c>
      <c r="B291" s="257" t="str">
        <f>IF('Observaciones-SMP'!B291="","",'Observaciones-SMP'!B291)</f>
        <v/>
      </c>
      <c r="C291" s="193" t="str">
        <f>IF('Observaciones-SMP'!C291="","",'Observaciones-SMP'!C291)</f>
        <v/>
      </c>
      <c r="D291" s="193" t="str">
        <f>IF('Observaciones-SMP'!D291="","",'Observaciones-SMP'!D291)</f>
        <v/>
      </c>
      <c r="E291" s="193" t="str">
        <f>IF('Observaciones-SMP'!E291="","",'Observaciones-SMP'!E291)</f>
        <v/>
      </c>
      <c r="F291" s="193" t="str">
        <f>IF('Observaciones-SMP'!F291="","",'Observaciones-SMP'!F291)</f>
        <v/>
      </c>
      <c r="G291" s="193" t="str">
        <f>IF('Observaciones-SMP'!G291="","",'Observaciones-SMP'!G291)</f>
        <v/>
      </c>
      <c r="H291" s="193" t="str">
        <f>IF('Observaciones-SMP'!H291="","",'Observaciones-SMP'!H291)</f>
        <v/>
      </c>
      <c r="I291" s="193" t="str">
        <f>IF('Observaciones-SMP'!I291="","",'Observaciones-SMP'!I291)</f>
        <v/>
      </c>
      <c r="J291" s="193" t="str">
        <f>IF('Observaciones-SMP'!J291="","",'Observaciones-SMP'!J291)</f>
        <v/>
      </c>
      <c r="K291" s="193" t="str">
        <f>IF('Observaciones-SMP'!K291="","",'Observaciones-SMP'!K291)</f>
        <v/>
      </c>
      <c r="L291" s="193" t="str">
        <f>IF('Observaciones-SMP'!L291="","",'Observaciones-SMP'!L291)</f>
        <v/>
      </c>
      <c r="M291" s="193" t="str">
        <f>IF('Observaciones-SMP'!M291="","",'Observaciones-SMP'!M291)</f>
        <v/>
      </c>
      <c r="N291" s="193" t="str">
        <f>IF('Observaciones-SMP'!N291="","",'Observaciones-SMP'!N291)</f>
        <v/>
      </c>
      <c r="O291" s="193" t="str">
        <f>IF('Observaciones-SMP'!O291="","",'Observaciones-SMP'!O291)</f>
        <v/>
      </c>
      <c r="P291" s="193" t="str">
        <f>IF('Observaciones-SMP'!P291="","",'Observaciones-SMP'!P291)</f>
        <v/>
      </c>
      <c r="Q291" s="257" t="str">
        <f>IF('Observaciones-SMP'!S291="","",'Observaciones-SMP'!S291)</f>
        <v/>
      </c>
      <c r="R291" s="193" t="str">
        <f>IF('Observaciones-SMP'!T291="","",'Observaciones-SMP'!T291)</f>
        <v/>
      </c>
      <c r="S291" s="193" t="str">
        <f>""</f>
        <v/>
      </c>
      <c r="T291" s="193" t="str">
        <f>""</f>
        <v/>
      </c>
      <c r="U291" s="193" t="str">
        <f t="shared" si="16"/>
        <v/>
      </c>
      <c r="V291" s="193" t="str">
        <f>""</f>
        <v/>
      </c>
      <c r="W291" s="193" t="str">
        <f>""</f>
        <v/>
      </c>
      <c r="X291" s="258" t="str">
        <f t="shared" si="17"/>
        <v/>
      </c>
      <c r="Y291" s="258" t="str">
        <f t="shared" si="18"/>
        <v/>
      </c>
      <c r="Z291" s="193" t="str">
        <f>IF(A291="","",IF(COUNTIF('Observaciones-SMP'!$A$2:$A$1001,A291)&gt;1,1,0))</f>
        <v/>
      </c>
      <c r="AA291" s="193" t="str">
        <f t="shared" si="19"/>
        <v/>
      </c>
    </row>
    <row r="292" spans="1:27" ht="13.5" customHeight="1" x14ac:dyDescent="0.3">
      <c r="A292" s="193" t="str">
        <f>IF('Observaciones-SMP'!A292="","",'Observaciones-SMP'!A292)</f>
        <v/>
      </c>
      <c r="B292" s="257" t="str">
        <f>IF('Observaciones-SMP'!B292="","",'Observaciones-SMP'!B292)</f>
        <v/>
      </c>
      <c r="C292" s="193" t="str">
        <f>IF('Observaciones-SMP'!C292="","",'Observaciones-SMP'!C292)</f>
        <v/>
      </c>
      <c r="D292" s="193" t="str">
        <f>IF('Observaciones-SMP'!D292="","",'Observaciones-SMP'!D292)</f>
        <v/>
      </c>
      <c r="E292" s="193" t="str">
        <f>IF('Observaciones-SMP'!E292="","",'Observaciones-SMP'!E292)</f>
        <v/>
      </c>
      <c r="F292" s="193" t="str">
        <f>IF('Observaciones-SMP'!F292="","",'Observaciones-SMP'!F292)</f>
        <v/>
      </c>
      <c r="G292" s="193" t="str">
        <f>IF('Observaciones-SMP'!G292="","",'Observaciones-SMP'!G292)</f>
        <v/>
      </c>
      <c r="H292" s="193" t="str">
        <f>IF('Observaciones-SMP'!H292="","",'Observaciones-SMP'!H292)</f>
        <v/>
      </c>
      <c r="I292" s="193" t="str">
        <f>IF('Observaciones-SMP'!I292="","",'Observaciones-SMP'!I292)</f>
        <v/>
      </c>
      <c r="J292" s="193" t="str">
        <f>IF('Observaciones-SMP'!J292="","",'Observaciones-SMP'!J292)</f>
        <v/>
      </c>
      <c r="K292" s="193" t="str">
        <f>IF('Observaciones-SMP'!K292="","",'Observaciones-SMP'!K292)</f>
        <v/>
      </c>
      <c r="L292" s="193" t="str">
        <f>IF('Observaciones-SMP'!L292="","",'Observaciones-SMP'!L292)</f>
        <v/>
      </c>
      <c r="M292" s="193" t="str">
        <f>IF('Observaciones-SMP'!M292="","",'Observaciones-SMP'!M292)</f>
        <v/>
      </c>
      <c r="N292" s="193" t="str">
        <f>IF('Observaciones-SMP'!N292="","",'Observaciones-SMP'!N292)</f>
        <v/>
      </c>
      <c r="O292" s="193" t="str">
        <f>IF('Observaciones-SMP'!O292="","",'Observaciones-SMP'!O292)</f>
        <v/>
      </c>
      <c r="P292" s="193" t="str">
        <f>IF('Observaciones-SMP'!P292="","",'Observaciones-SMP'!P292)</f>
        <v/>
      </c>
      <c r="Q292" s="257" t="str">
        <f>IF('Observaciones-SMP'!S292="","",'Observaciones-SMP'!S292)</f>
        <v/>
      </c>
      <c r="R292" s="193" t="str">
        <f>IF('Observaciones-SMP'!T292="","",'Observaciones-SMP'!T292)</f>
        <v/>
      </c>
      <c r="S292" s="193" t="str">
        <f>""</f>
        <v/>
      </c>
      <c r="T292" s="193" t="str">
        <f>""</f>
        <v/>
      </c>
      <c r="U292" s="193" t="str">
        <f t="shared" si="16"/>
        <v/>
      </c>
      <c r="V292" s="193" t="str">
        <f>""</f>
        <v/>
      </c>
      <c r="W292" s="193" t="str">
        <f>""</f>
        <v/>
      </c>
      <c r="X292" s="258" t="str">
        <f t="shared" si="17"/>
        <v/>
      </c>
      <c r="Y292" s="258" t="str">
        <f t="shared" si="18"/>
        <v/>
      </c>
      <c r="Z292" s="193" t="str">
        <f>IF(A292="","",IF(COUNTIF('Observaciones-SMP'!$A$2:$A$1001,A292)&gt;1,1,0))</f>
        <v/>
      </c>
      <c r="AA292" s="193" t="str">
        <f t="shared" si="19"/>
        <v/>
      </c>
    </row>
    <row r="293" spans="1:27" ht="13.5" customHeight="1" x14ac:dyDescent="0.3">
      <c r="A293" s="193" t="str">
        <f>IF('Observaciones-SMP'!A293="","",'Observaciones-SMP'!A293)</f>
        <v/>
      </c>
      <c r="B293" s="257" t="str">
        <f>IF('Observaciones-SMP'!B293="","",'Observaciones-SMP'!B293)</f>
        <v/>
      </c>
      <c r="C293" s="193" t="str">
        <f>IF('Observaciones-SMP'!C293="","",'Observaciones-SMP'!C293)</f>
        <v/>
      </c>
      <c r="D293" s="193" t="str">
        <f>IF('Observaciones-SMP'!D293="","",'Observaciones-SMP'!D293)</f>
        <v/>
      </c>
      <c r="E293" s="193" t="str">
        <f>IF('Observaciones-SMP'!E293="","",'Observaciones-SMP'!E293)</f>
        <v/>
      </c>
      <c r="F293" s="193" t="str">
        <f>IF('Observaciones-SMP'!F293="","",'Observaciones-SMP'!F293)</f>
        <v/>
      </c>
      <c r="G293" s="193" t="str">
        <f>IF('Observaciones-SMP'!G293="","",'Observaciones-SMP'!G293)</f>
        <v/>
      </c>
      <c r="H293" s="193" t="str">
        <f>IF('Observaciones-SMP'!H293="","",'Observaciones-SMP'!H293)</f>
        <v/>
      </c>
      <c r="I293" s="193" t="str">
        <f>IF('Observaciones-SMP'!I293="","",'Observaciones-SMP'!I293)</f>
        <v/>
      </c>
      <c r="J293" s="193" t="str">
        <f>IF('Observaciones-SMP'!J293="","",'Observaciones-SMP'!J293)</f>
        <v/>
      </c>
      <c r="K293" s="193" t="str">
        <f>IF('Observaciones-SMP'!K293="","",'Observaciones-SMP'!K293)</f>
        <v/>
      </c>
      <c r="L293" s="193" t="str">
        <f>IF('Observaciones-SMP'!L293="","",'Observaciones-SMP'!L293)</f>
        <v/>
      </c>
      <c r="M293" s="193" t="str">
        <f>IF('Observaciones-SMP'!M293="","",'Observaciones-SMP'!M293)</f>
        <v/>
      </c>
      <c r="N293" s="193" t="str">
        <f>IF('Observaciones-SMP'!N293="","",'Observaciones-SMP'!N293)</f>
        <v/>
      </c>
      <c r="O293" s="193" t="str">
        <f>IF('Observaciones-SMP'!O293="","",'Observaciones-SMP'!O293)</f>
        <v/>
      </c>
      <c r="P293" s="193" t="str">
        <f>IF('Observaciones-SMP'!P293="","",'Observaciones-SMP'!P293)</f>
        <v/>
      </c>
      <c r="Q293" s="257" t="str">
        <f>IF('Observaciones-SMP'!S293="","",'Observaciones-SMP'!S293)</f>
        <v/>
      </c>
      <c r="R293" s="193" t="str">
        <f>IF('Observaciones-SMP'!T293="","",'Observaciones-SMP'!T293)</f>
        <v/>
      </c>
      <c r="S293" s="193" t="str">
        <f>""</f>
        <v/>
      </c>
      <c r="T293" s="193" t="str">
        <f>""</f>
        <v/>
      </c>
      <c r="U293" s="193" t="str">
        <f t="shared" si="16"/>
        <v/>
      </c>
      <c r="V293" s="193" t="str">
        <f>""</f>
        <v/>
      </c>
      <c r="W293" s="193" t="str">
        <f>""</f>
        <v/>
      </c>
      <c r="X293" s="258" t="str">
        <f t="shared" si="17"/>
        <v/>
      </c>
      <c r="Y293" s="258" t="str">
        <f t="shared" si="18"/>
        <v/>
      </c>
      <c r="Z293" s="193" t="str">
        <f>IF(A293="","",IF(COUNTIF('Observaciones-SMP'!$A$2:$A$1001,A293)&gt;1,1,0))</f>
        <v/>
      </c>
      <c r="AA293" s="193" t="str">
        <f t="shared" si="19"/>
        <v/>
      </c>
    </row>
    <row r="294" spans="1:27" ht="13.5" customHeight="1" x14ac:dyDescent="0.3">
      <c r="A294" s="193" t="str">
        <f>IF('Observaciones-SMP'!A294="","",'Observaciones-SMP'!A294)</f>
        <v/>
      </c>
      <c r="B294" s="257" t="str">
        <f>IF('Observaciones-SMP'!B294="","",'Observaciones-SMP'!B294)</f>
        <v/>
      </c>
      <c r="C294" s="193" t="str">
        <f>IF('Observaciones-SMP'!C294="","",'Observaciones-SMP'!C294)</f>
        <v/>
      </c>
      <c r="D294" s="193" t="str">
        <f>IF('Observaciones-SMP'!D294="","",'Observaciones-SMP'!D294)</f>
        <v/>
      </c>
      <c r="E294" s="193" t="str">
        <f>IF('Observaciones-SMP'!E294="","",'Observaciones-SMP'!E294)</f>
        <v/>
      </c>
      <c r="F294" s="193" t="str">
        <f>IF('Observaciones-SMP'!F294="","",'Observaciones-SMP'!F294)</f>
        <v/>
      </c>
      <c r="G294" s="193" t="str">
        <f>IF('Observaciones-SMP'!G294="","",'Observaciones-SMP'!G294)</f>
        <v/>
      </c>
      <c r="H294" s="193" t="str">
        <f>IF('Observaciones-SMP'!H294="","",'Observaciones-SMP'!H294)</f>
        <v/>
      </c>
      <c r="I294" s="193" t="str">
        <f>IF('Observaciones-SMP'!I294="","",'Observaciones-SMP'!I294)</f>
        <v/>
      </c>
      <c r="J294" s="193" t="str">
        <f>IF('Observaciones-SMP'!J294="","",'Observaciones-SMP'!J294)</f>
        <v/>
      </c>
      <c r="K294" s="193" t="str">
        <f>IF('Observaciones-SMP'!K294="","",'Observaciones-SMP'!K294)</f>
        <v/>
      </c>
      <c r="L294" s="193" t="str">
        <f>IF('Observaciones-SMP'!L294="","",'Observaciones-SMP'!L294)</f>
        <v/>
      </c>
      <c r="M294" s="193" t="str">
        <f>IF('Observaciones-SMP'!M294="","",'Observaciones-SMP'!M294)</f>
        <v/>
      </c>
      <c r="N294" s="193" t="str">
        <f>IF('Observaciones-SMP'!N294="","",'Observaciones-SMP'!N294)</f>
        <v/>
      </c>
      <c r="O294" s="193" t="str">
        <f>IF('Observaciones-SMP'!O294="","",'Observaciones-SMP'!O294)</f>
        <v/>
      </c>
      <c r="P294" s="193" t="str">
        <f>IF('Observaciones-SMP'!P294="","",'Observaciones-SMP'!P294)</f>
        <v/>
      </c>
      <c r="Q294" s="257" t="str">
        <f>IF('Observaciones-SMP'!S294="","",'Observaciones-SMP'!S294)</f>
        <v/>
      </c>
      <c r="R294" s="193" t="str">
        <f>IF('Observaciones-SMP'!T294="","",'Observaciones-SMP'!T294)</f>
        <v/>
      </c>
      <c r="S294" s="193" t="str">
        <f>""</f>
        <v/>
      </c>
      <c r="T294" s="193" t="str">
        <f>""</f>
        <v/>
      </c>
      <c r="U294" s="193" t="str">
        <f t="shared" si="16"/>
        <v/>
      </c>
      <c r="V294" s="193" t="str">
        <f>""</f>
        <v/>
      </c>
      <c r="W294" s="193" t="str">
        <f>""</f>
        <v/>
      </c>
      <c r="X294" s="258" t="str">
        <f t="shared" si="17"/>
        <v/>
      </c>
      <c r="Y294" s="258" t="str">
        <f t="shared" si="18"/>
        <v/>
      </c>
      <c r="Z294" s="193" t="str">
        <f>IF(A294="","",IF(COUNTIF('Observaciones-SMP'!$A$2:$A$1001,A294)&gt;1,1,0))</f>
        <v/>
      </c>
      <c r="AA294" s="193" t="str">
        <f t="shared" si="19"/>
        <v/>
      </c>
    </row>
    <row r="295" spans="1:27" ht="13.5" customHeight="1" x14ac:dyDescent="0.3">
      <c r="A295" s="193" t="str">
        <f>IF('Observaciones-SMP'!A295="","",'Observaciones-SMP'!A295)</f>
        <v/>
      </c>
      <c r="B295" s="257" t="str">
        <f>IF('Observaciones-SMP'!B295="","",'Observaciones-SMP'!B295)</f>
        <v/>
      </c>
      <c r="C295" s="193" t="str">
        <f>IF('Observaciones-SMP'!C295="","",'Observaciones-SMP'!C295)</f>
        <v/>
      </c>
      <c r="D295" s="193" t="str">
        <f>IF('Observaciones-SMP'!D295="","",'Observaciones-SMP'!D295)</f>
        <v/>
      </c>
      <c r="E295" s="193" t="str">
        <f>IF('Observaciones-SMP'!E295="","",'Observaciones-SMP'!E295)</f>
        <v/>
      </c>
      <c r="F295" s="193" t="str">
        <f>IF('Observaciones-SMP'!F295="","",'Observaciones-SMP'!F295)</f>
        <v/>
      </c>
      <c r="G295" s="193" t="str">
        <f>IF('Observaciones-SMP'!G295="","",'Observaciones-SMP'!G295)</f>
        <v/>
      </c>
      <c r="H295" s="193" t="str">
        <f>IF('Observaciones-SMP'!H295="","",'Observaciones-SMP'!H295)</f>
        <v/>
      </c>
      <c r="I295" s="193" t="str">
        <f>IF('Observaciones-SMP'!I295="","",'Observaciones-SMP'!I295)</f>
        <v/>
      </c>
      <c r="J295" s="193" t="str">
        <f>IF('Observaciones-SMP'!J295="","",'Observaciones-SMP'!J295)</f>
        <v/>
      </c>
      <c r="K295" s="193" t="str">
        <f>IF('Observaciones-SMP'!K295="","",'Observaciones-SMP'!K295)</f>
        <v/>
      </c>
      <c r="L295" s="193" t="str">
        <f>IF('Observaciones-SMP'!L295="","",'Observaciones-SMP'!L295)</f>
        <v/>
      </c>
      <c r="M295" s="193" t="str">
        <f>IF('Observaciones-SMP'!M295="","",'Observaciones-SMP'!M295)</f>
        <v/>
      </c>
      <c r="N295" s="193" t="str">
        <f>IF('Observaciones-SMP'!N295="","",'Observaciones-SMP'!N295)</f>
        <v/>
      </c>
      <c r="O295" s="193" t="str">
        <f>IF('Observaciones-SMP'!O295="","",'Observaciones-SMP'!O295)</f>
        <v/>
      </c>
      <c r="P295" s="193" t="str">
        <f>IF('Observaciones-SMP'!P295="","",'Observaciones-SMP'!P295)</f>
        <v/>
      </c>
      <c r="Q295" s="257" t="str">
        <f>IF('Observaciones-SMP'!S295="","",'Observaciones-SMP'!S295)</f>
        <v/>
      </c>
      <c r="R295" s="193" t="str">
        <f>IF('Observaciones-SMP'!T295="","",'Observaciones-SMP'!T295)</f>
        <v/>
      </c>
      <c r="S295" s="193" t="str">
        <f>""</f>
        <v/>
      </c>
      <c r="T295" s="193" t="str">
        <f>""</f>
        <v/>
      </c>
      <c r="U295" s="193" t="str">
        <f t="shared" si="16"/>
        <v/>
      </c>
      <c r="V295" s="193" t="str">
        <f>""</f>
        <v/>
      </c>
      <c r="W295" s="193" t="str">
        <f>""</f>
        <v/>
      </c>
      <c r="X295" s="258" t="str">
        <f t="shared" si="17"/>
        <v/>
      </c>
      <c r="Y295" s="258" t="str">
        <f t="shared" si="18"/>
        <v/>
      </c>
      <c r="Z295" s="193" t="str">
        <f>IF(A295="","",IF(COUNTIF('Observaciones-SMP'!$A$2:$A$1001,A295)&gt;1,1,0))</f>
        <v/>
      </c>
      <c r="AA295" s="193" t="str">
        <f t="shared" si="19"/>
        <v/>
      </c>
    </row>
    <row r="296" spans="1:27" ht="13.5" customHeight="1" x14ac:dyDescent="0.3">
      <c r="A296" s="193" t="str">
        <f>IF('Observaciones-SMP'!A296="","",'Observaciones-SMP'!A296)</f>
        <v/>
      </c>
      <c r="B296" s="257" t="str">
        <f>IF('Observaciones-SMP'!B296="","",'Observaciones-SMP'!B296)</f>
        <v/>
      </c>
      <c r="C296" s="193" t="str">
        <f>IF('Observaciones-SMP'!C296="","",'Observaciones-SMP'!C296)</f>
        <v/>
      </c>
      <c r="D296" s="193" t="str">
        <f>IF('Observaciones-SMP'!D296="","",'Observaciones-SMP'!D296)</f>
        <v/>
      </c>
      <c r="E296" s="193" t="str">
        <f>IF('Observaciones-SMP'!E296="","",'Observaciones-SMP'!E296)</f>
        <v/>
      </c>
      <c r="F296" s="193" t="str">
        <f>IF('Observaciones-SMP'!F296="","",'Observaciones-SMP'!F296)</f>
        <v/>
      </c>
      <c r="G296" s="193" t="str">
        <f>IF('Observaciones-SMP'!G296="","",'Observaciones-SMP'!G296)</f>
        <v/>
      </c>
      <c r="H296" s="193" t="str">
        <f>IF('Observaciones-SMP'!H296="","",'Observaciones-SMP'!H296)</f>
        <v/>
      </c>
      <c r="I296" s="193" t="str">
        <f>IF('Observaciones-SMP'!I296="","",'Observaciones-SMP'!I296)</f>
        <v/>
      </c>
      <c r="J296" s="193" t="str">
        <f>IF('Observaciones-SMP'!J296="","",'Observaciones-SMP'!J296)</f>
        <v/>
      </c>
      <c r="K296" s="193" t="str">
        <f>IF('Observaciones-SMP'!K296="","",'Observaciones-SMP'!K296)</f>
        <v/>
      </c>
      <c r="L296" s="193" t="str">
        <f>IF('Observaciones-SMP'!L296="","",'Observaciones-SMP'!L296)</f>
        <v/>
      </c>
      <c r="M296" s="193" t="str">
        <f>IF('Observaciones-SMP'!M296="","",'Observaciones-SMP'!M296)</f>
        <v/>
      </c>
      <c r="N296" s="193" t="str">
        <f>IF('Observaciones-SMP'!N296="","",'Observaciones-SMP'!N296)</f>
        <v/>
      </c>
      <c r="O296" s="193" t="str">
        <f>IF('Observaciones-SMP'!O296="","",'Observaciones-SMP'!O296)</f>
        <v/>
      </c>
      <c r="P296" s="193" t="str">
        <f>IF('Observaciones-SMP'!P296="","",'Observaciones-SMP'!P296)</f>
        <v/>
      </c>
      <c r="Q296" s="257" t="str">
        <f>IF('Observaciones-SMP'!S296="","",'Observaciones-SMP'!S296)</f>
        <v/>
      </c>
      <c r="R296" s="193" t="str">
        <f>IF('Observaciones-SMP'!T296="","",'Observaciones-SMP'!T296)</f>
        <v/>
      </c>
      <c r="S296" s="193" t="str">
        <f>""</f>
        <v/>
      </c>
      <c r="T296" s="193" t="str">
        <f>""</f>
        <v/>
      </c>
      <c r="U296" s="193" t="str">
        <f t="shared" si="16"/>
        <v/>
      </c>
      <c r="V296" s="193" t="str">
        <f>""</f>
        <v/>
      </c>
      <c r="W296" s="193" t="str">
        <f>""</f>
        <v/>
      </c>
      <c r="X296" s="258" t="str">
        <f t="shared" si="17"/>
        <v/>
      </c>
      <c r="Y296" s="258" t="str">
        <f t="shared" si="18"/>
        <v/>
      </c>
      <c r="Z296" s="193" t="str">
        <f>IF(A296="","",IF(COUNTIF('Observaciones-SMP'!$A$2:$A$1001,A296)&gt;1,1,0))</f>
        <v/>
      </c>
      <c r="AA296" s="193" t="str">
        <f t="shared" si="19"/>
        <v/>
      </c>
    </row>
    <row r="297" spans="1:27" ht="13.5" customHeight="1" x14ac:dyDescent="0.3">
      <c r="A297" s="193" t="str">
        <f>IF('Observaciones-SMP'!A297="","",'Observaciones-SMP'!A297)</f>
        <v/>
      </c>
      <c r="B297" s="257" t="str">
        <f>IF('Observaciones-SMP'!B297="","",'Observaciones-SMP'!B297)</f>
        <v/>
      </c>
      <c r="C297" s="193" t="str">
        <f>IF('Observaciones-SMP'!C297="","",'Observaciones-SMP'!C297)</f>
        <v/>
      </c>
      <c r="D297" s="193" t="str">
        <f>IF('Observaciones-SMP'!D297="","",'Observaciones-SMP'!D297)</f>
        <v/>
      </c>
      <c r="E297" s="193" t="str">
        <f>IF('Observaciones-SMP'!E297="","",'Observaciones-SMP'!E297)</f>
        <v/>
      </c>
      <c r="F297" s="193" t="str">
        <f>IF('Observaciones-SMP'!F297="","",'Observaciones-SMP'!F297)</f>
        <v/>
      </c>
      <c r="G297" s="193" t="str">
        <f>IF('Observaciones-SMP'!G297="","",'Observaciones-SMP'!G297)</f>
        <v/>
      </c>
      <c r="H297" s="193" t="str">
        <f>IF('Observaciones-SMP'!H297="","",'Observaciones-SMP'!H297)</f>
        <v/>
      </c>
      <c r="I297" s="193" t="str">
        <f>IF('Observaciones-SMP'!I297="","",'Observaciones-SMP'!I297)</f>
        <v/>
      </c>
      <c r="J297" s="193" t="str">
        <f>IF('Observaciones-SMP'!J297="","",'Observaciones-SMP'!J297)</f>
        <v/>
      </c>
      <c r="K297" s="193" t="str">
        <f>IF('Observaciones-SMP'!K297="","",'Observaciones-SMP'!K297)</f>
        <v/>
      </c>
      <c r="L297" s="193" t="str">
        <f>IF('Observaciones-SMP'!L297="","",'Observaciones-SMP'!L297)</f>
        <v/>
      </c>
      <c r="M297" s="193" t="str">
        <f>IF('Observaciones-SMP'!M297="","",'Observaciones-SMP'!M297)</f>
        <v/>
      </c>
      <c r="N297" s="193" t="str">
        <f>IF('Observaciones-SMP'!N297="","",'Observaciones-SMP'!N297)</f>
        <v/>
      </c>
      <c r="O297" s="193" t="str">
        <f>IF('Observaciones-SMP'!O297="","",'Observaciones-SMP'!O297)</f>
        <v/>
      </c>
      <c r="P297" s="193" t="str">
        <f>IF('Observaciones-SMP'!P297="","",'Observaciones-SMP'!P297)</f>
        <v/>
      </c>
      <c r="Q297" s="257" t="str">
        <f>IF('Observaciones-SMP'!S297="","",'Observaciones-SMP'!S297)</f>
        <v/>
      </c>
      <c r="R297" s="193" t="str">
        <f>IF('Observaciones-SMP'!T297="","",'Observaciones-SMP'!T297)</f>
        <v/>
      </c>
      <c r="S297" s="193" t="str">
        <f>""</f>
        <v/>
      </c>
      <c r="T297" s="193" t="str">
        <f>""</f>
        <v/>
      </c>
      <c r="U297" s="193" t="str">
        <f t="shared" si="16"/>
        <v/>
      </c>
      <c r="V297" s="193" t="str">
        <f>""</f>
        <v/>
      </c>
      <c r="W297" s="193" t="str">
        <f>""</f>
        <v/>
      </c>
      <c r="X297" s="258" t="str">
        <f t="shared" si="17"/>
        <v/>
      </c>
      <c r="Y297" s="258" t="str">
        <f t="shared" si="18"/>
        <v/>
      </c>
      <c r="Z297" s="193" t="str">
        <f>IF(A297="","",IF(COUNTIF('Observaciones-SMP'!$A$2:$A$1001,A297)&gt;1,1,0))</f>
        <v/>
      </c>
      <c r="AA297" s="193" t="str">
        <f t="shared" si="19"/>
        <v/>
      </c>
    </row>
    <row r="298" spans="1:27" ht="13.5" customHeight="1" x14ac:dyDescent="0.3">
      <c r="A298" s="193" t="str">
        <f>IF('Observaciones-SMP'!A298="","",'Observaciones-SMP'!A298)</f>
        <v/>
      </c>
      <c r="B298" s="257" t="str">
        <f>IF('Observaciones-SMP'!B298="","",'Observaciones-SMP'!B298)</f>
        <v/>
      </c>
      <c r="C298" s="193" t="str">
        <f>IF('Observaciones-SMP'!C298="","",'Observaciones-SMP'!C298)</f>
        <v/>
      </c>
      <c r="D298" s="193" t="str">
        <f>IF('Observaciones-SMP'!D298="","",'Observaciones-SMP'!D298)</f>
        <v/>
      </c>
      <c r="E298" s="193" t="str">
        <f>IF('Observaciones-SMP'!E298="","",'Observaciones-SMP'!E298)</f>
        <v/>
      </c>
      <c r="F298" s="193" t="str">
        <f>IF('Observaciones-SMP'!F298="","",'Observaciones-SMP'!F298)</f>
        <v/>
      </c>
      <c r="G298" s="193" t="str">
        <f>IF('Observaciones-SMP'!G298="","",'Observaciones-SMP'!G298)</f>
        <v/>
      </c>
      <c r="H298" s="193" t="str">
        <f>IF('Observaciones-SMP'!H298="","",'Observaciones-SMP'!H298)</f>
        <v/>
      </c>
      <c r="I298" s="193" t="str">
        <f>IF('Observaciones-SMP'!I298="","",'Observaciones-SMP'!I298)</f>
        <v/>
      </c>
      <c r="J298" s="193" t="str">
        <f>IF('Observaciones-SMP'!J298="","",'Observaciones-SMP'!J298)</f>
        <v/>
      </c>
      <c r="K298" s="193" t="str">
        <f>IF('Observaciones-SMP'!K298="","",'Observaciones-SMP'!K298)</f>
        <v/>
      </c>
      <c r="L298" s="193" t="str">
        <f>IF('Observaciones-SMP'!L298="","",'Observaciones-SMP'!L298)</f>
        <v/>
      </c>
      <c r="M298" s="193" t="str">
        <f>IF('Observaciones-SMP'!M298="","",'Observaciones-SMP'!M298)</f>
        <v/>
      </c>
      <c r="N298" s="193" t="str">
        <f>IF('Observaciones-SMP'!N298="","",'Observaciones-SMP'!N298)</f>
        <v/>
      </c>
      <c r="O298" s="193" t="str">
        <f>IF('Observaciones-SMP'!O298="","",'Observaciones-SMP'!O298)</f>
        <v/>
      </c>
      <c r="P298" s="193" t="str">
        <f>IF('Observaciones-SMP'!P298="","",'Observaciones-SMP'!P298)</f>
        <v/>
      </c>
      <c r="Q298" s="257" t="str">
        <f>IF('Observaciones-SMP'!S298="","",'Observaciones-SMP'!S298)</f>
        <v/>
      </c>
      <c r="R298" s="193" t="str">
        <f>IF('Observaciones-SMP'!T298="","",'Observaciones-SMP'!T298)</f>
        <v/>
      </c>
      <c r="S298" s="193" t="str">
        <f>""</f>
        <v/>
      </c>
      <c r="T298" s="193" t="str">
        <f>""</f>
        <v/>
      </c>
      <c r="U298" s="193" t="str">
        <f t="shared" si="16"/>
        <v/>
      </c>
      <c r="V298" s="193" t="str">
        <f>""</f>
        <v/>
      </c>
      <c r="W298" s="193" t="str">
        <f>""</f>
        <v/>
      </c>
      <c r="X298" s="258" t="str">
        <f t="shared" si="17"/>
        <v/>
      </c>
      <c r="Y298" s="258" t="str">
        <f t="shared" si="18"/>
        <v/>
      </c>
      <c r="Z298" s="193" t="str">
        <f>IF(A298="","",IF(COUNTIF('Observaciones-SMP'!$A$2:$A$1001,A298)&gt;1,1,0))</f>
        <v/>
      </c>
      <c r="AA298" s="193" t="str">
        <f t="shared" si="19"/>
        <v/>
      </c>
    </row>
    <row r="299" spans="1:27" ht="13.5" customHeight="1" x14ac:dyDescent="0.3">
      <c r="A299" s="193" t="str">
        <f>IF('Observaciones-SMP'!A299="","",'Observaciones-SMP'!A299)</f>
        <v/>
      </c>
      <c r="B299" s="257" t="str">
        <f>IF('Observaciones-SMP'!B299="","",'Observaciones-SMP'!B299)</f>
        <v/>
      </c>
      <c r="C299" s="193" t="str">
        <f>IF('Observaciones-SMP'!C299="","",'Observaciones-SMP'!C299)</f>
        <v/>
      </c>
      <c r="D299" s="193" t="str">
        <f>IF('Observaciones-SMP'!D299="","",'Observaciones-SMP'!D299)</f>
        <v/>
      </c>
      <c r="E299" s="193" t="str">
        <f>IF('Observaciones-SMP'!E299="","",'Observaciones-SMP'!E299)</f>
        <v/>
      </c>
      <c r="F299" s="193" t="str">
        <f>IF('Observaciones-SMP'!F299="","",'Observaciones-SMP'!F299)</f>
        <v/>
      </c>
      <c r="G299" s="193" t="str">
        <f>IF('Observaciones-SMP'!G299="","",'Observaciones-SMP'!G299)</f>
        <v/>
      </c>
      <c r="H299" s="193" t="str">
        <f>IF('Observaciones-SMP'!H299="","",'Observaciones-SMP'!H299)</f>
        <v/>
      </c>
      <c r="I299" s="193" t="str">
        <f>IF('Observaciones-SMP'!I299="","",'Observaciones-SMP'!I299)</f>
        <v/>
      </c>
      <c r="J299" s="193" t="str">
        <f>IF('Observaciones-SMP'!J299="","",'Observaciones-SMP'!J299)</f>
        <v/>
      </c>
      <c r="K299" s="193" t="str">
        <f>IF('Observaciones-SMP'!K299="","",'Observaciones-SMP'!K299)</f>
        <v/>
      </c>
      <c r="L299" s="193" t="str">
        <f>IF('Observaciones-SMP'!L299="","",'Observaciones-SMP'!L299)</f>
        <v/>
      </c>
      <c r="M299" s="193" t="str">
        <f>IF('Observaciones-SMP'!M299="","",'Observaciones-SMP'!M299)</f>
        <v/>
      </c>
      <c r="N299" s="193" t="str">
        <f>IF('Observaciones-SMP'!N299="","",'Observaciones-SMP'!N299)</f>
        <v/>
      </c>
      <c r="O299" s="193" t="str">
        <f>IF('Observaciones-SMP'!O299="","",'Observaciones-SMP'!O299)</f>
        <v/>
      </c>
      <c r="P299" s="193" t="str">
        <f>IF('Observaciones-SMP'!P299="","",'Observaciones-SMP'!P299)</f>
        <v/>
      </c>
      <c r="Q299" s="257" t="str">
        <f>IF('Observaciones-SMP'!S299="","",'Observaciones-SMP'!S299)</f>
        <v/>
      </c>
      <c r="R299" s="193" t="str">
        <f>IF('Observaciones-SMP'!T299="","",'Observaciones-SMP'!T299)</f>
        <v/>
      </c>
      <c r="S299" s="193" t="str">
        <f>""</f>
        <v/>
      </c>
      <c r="T299" s="193" t="str">
        <f>""</f>
        <v/>
      </c>
      <c r="U299" s="193" t="str">
        <f t="shared" si="16"/>
        <v/>
      </c>
      <c r="V299" s="193" t="str">
        <f>""</f>
        <v/>
      </c>
      <c r="W299" s="193" t="str">
        <f>""</f>
        <v/>
      </c>
      <c r="X299" s="258" t="str">
        <f t="shared" si="17"/>
        <v/>
      </c>
      <c r="Y299" s="258" t="str">
        <f t="shared" si="18"/>
        <v/>
      </c>
      <c r="Z299" s="193" t="str">
        <f>IF(A299="","",IF(COUNTIF('Observaciones-SMP'!$A$2:$A$1001,A299)&gt;1,1,0))</f>
        <v/>
      </c>
      <c r="AA299" s="193" t="str">
        <f t="shared" si="19"/>
        <v/>
      </c>
    </row>
    <row r="300" spans="1:27" ht="13.5" customHeight="1" x14ac:dyDescent="0.3">
      <c r="A300" s="193" t="str">
        <f>IF('Observaciones-SMP'!A300="","",'Observaciones-SMP'!A300)</f>
        <v/>
      </c>
      <c r="B300" s="257" t="str">
        <f>IF('Observaciones-SMP'!B300="","",'Observaciones-SMP'!B300)</f>
        <v/>
      </c>
      <c r="C300" s="193" t="str">
        <f>IF('Observaciones-SMP'!C300="","",'Observaciones-SMP'!C300)</f>
        <v/>
      </c>
      <c r="D300" s="193" t="str">
        <f>IF('Observaciones-SMP'!D300="","",'Observaciones-SMP'!D300)</f>
        <v/>
      </c>
      <c r="E300" s="193" t="str">
        <f>IF('Observaciones-SMP'!E300="","",'Observaciones-SMP'!E300)</f>
        <v/>
      </c>
      <c r="F300" s="193" t="str">
        <f>IF('Observaciones-SMP'!F300="","",'Observaciones-SMP'!F300)</f>
        <v/>
      </c>
      <c r="G300" s="193" t="str">
        <f>IF('Observaciones-SMP'!G300="","",'Observaciones-SMP'!G300)</f>
        <v/>
      </c>
      <c r="H300" s="193" t="str">
        <f>IF('Observaciones-SMP'!H300="","",'Observaciones-SMP'!H300)</f>
        <v/>
      </c>
      <c r="I300" s="193" t="str">
        <f>IF('Observaciones-SMP'!I300="","",'Observaciones-SMP'!I300)</f>
        <v/>
      </c>
      <c r="J300" s="193" t="str">
        <f>IF('Observaciones-SMP'!J300="","",'Observaciones-SMP'!J300)</f>
        <v/>
      </c>
      <c r="K300" s="193" t="str">
        <f>IF('Observaciones-SMP'!K300="","",'Observaciones-SMP'!K300)</f>
        <v/>
      </c>
      <c r="L300" s="193" t="str">
        <f>IF('Observaciones-SMP'!L300="","",'Observaciones-SMP'!L300)</f>
        <v/>
      </c>
      <c r="M300" s="193" t="str">
        <f>IF('Observaciones-SMP'!M300="","",'Observaciones-SMP'!M300)</f>
        <v/>
      </c>
      <c r="N300" s="193" t="str">
        <f>IF('Observaciones-SMP'!N300="","",'Observaciones-SMP'!N300)</f>
        <v/>
      </c>
      <c r="O300" s="193" t="str">
        <f>IF('Observaciones-SMP'!O300="","",'Observaciones-SMP'!O300)</f>
        <v/>
      </c>
      <c r="P300" s="193" t="str">
        <f>IF('Observaciones-SMP'!P300="","",'Observaciones-SMP'!P300)</f>
        <v/>
      </c>
      <c r="Q300" s="257" t="str">
        <f>IF('Observaciones-SMP'!S300="","",'Observaciones-SMP'!S300)</f>
        <v/>
      </c>
      <c r="R300" s="193" t="str">
        <f>IF('Observaciones-SMP'!T300="","",'Observaciones-SMP'!T300)</f>
        <v/>
      </c>
      <c r="S300" s="193" t="str">
        <f>""</f>
        <v/>
      </c>
      <c r="T300" s="193" t="str">
        <f>""</f>
        <v/>
      </c>
      <c r="U300" s="193" t="str">
        <f t="shared" si="16"/>
        <v/>
      </c>
      <c r="V300" s="193" t="str">
        <f>""</f>
        <v/>
      </c>
      <c r="W300" s="193" t="str">
        <f>""</f>
        <v/>
      </c>
      <c r="X300" s="258" t="str">
        <f t="shared" si="17"/>
        <v/>
      </c>
      <c r="Y300" s="258" t="str">
        <f t="shared" si="18"/>
        <v/>
      </c>
      <c r="Z300" s="193" t="str">
        <f>IF(A300="","",IF(COUNTIF('Observaciones-SMP'!$A$2:$A$1001,A300)&gt;1,1,0))</f>
        <v/>
      </c>
      <c r="AA300" s="193" t="str">
        <f t="shared" si="19"/>
        <v/>
      </c>
    </row>
    <row r="301" spans="1:27" ht="13.5" customHeight="1" x14ac:dyDescent="0.3">
      <c r="A301" s="193" t="str">
        <f>IF('Observaciones-SMP'!A301="","",'Observaciones-SMP'!A301)</f>
        <v/>
      </c>
      <c r="B301" s="257" t="str">
        <f>IF('Observaciones-SMP'!B301="","",'Observaciones-SMP'!B301)</f>
        <v/>
      </c>
      <c r="C301" s="193" t="str">
        <f>IF('Observaciones-SMP'!C301="","",'Observaciones-SMP'!C301)</f>
        <v/>
      </c>
      <c r="D301" s="193" t="str">
        <f>IF('Observaciones-SMP'!D301="","",'Observaciones-SMP'!D301)</f>
        <v/>
      </c>
      <c r="E301" s="193" t="str">
        <f>IF('Observaciones-SMP'!E301="","",'Observaciones-SMP'!E301)</f>
        <v/>
      </c>
      <c r="F301" s="193" t="str">
        <f>IF('Observaciones-SMP'!F301="","",'Observaciones-SMP'!F301)</f>
        <v/>
      </c>
      <c r="G301" s="193" t="str">
        <f>IF('Observaciones-SMP'!G301="","",'Observaciones-SMP'!G301)</f>
        <v/>
      </c>
      <c r="H301" s="193" t="str">
        <f>IF('Observaciones-SMP'!H301="","",'Observaciones-SMP'!H301)</f>
        <v/>
      </c>
      <c r="I301" s="193" t="str">
        <f>IF('Observaciones-SMP'!I301="","",'Observaciones-SMP'!I301)</f>
        <v/>
      </c>
      <c r="J301" s="193" t="str">
        <f>IF('Observaciones-SMP'!J301="","",'Observaciones-SMP'!J301)</f>
        <v/>
      </c>
      <c r="K301" s="193" t="str">
        <f>IF('Observaciones-SMP'!K301="","",'Observaciones-SMP'!K301)</f>
        <v/>
      </c>
      <c r="L301" s="193" t="str">
        <f>IF('Observaciones-SMP'!L301="","",'Observaciones-SMP'!L301)</f>
        <v/>
      </c>
      <c r="M301" s="193" t="str">
        <f>IF('Observaciones-SMP'!M301="","",'Observaciones-SMP'!M301)</f>
        <v/>
      </c>
      <c r="N301" s="193" t="str">
        <f>IF('Observaciones-SMP'!N301="","",'Observaciones-SMP'!N301)</f>
        <v/>
      </c>
      <c r="O301" s="193" t="str">
        <f>IF('Observaciones-SMP'!O301="","",'Observaciones-SMP'!O301)</f>
        <v/>
      </c>
      <c r="P301" s="193" t="str">
        <f>IF('Observaciones-SMP'!P301="","",'Observaciones-SMP'!P301)</f>
        <v/>
      </c>
      <c r="Q301" s="257" t="str">
        <f>IF('Observaciones-SMP'!S301="","",'Observaciones-SMP'!S301)</f>
        <v/>
      </c>
      <c r="R301" s="193" t="str">
        <f>IF('Observaciones-SMP'!T301="","",'Observaciones-SMP'!T301)</f>
        <v/>
      </c>
      <c r="S301" s="193" t="str">
        <f>""</f>
        <v/>
      </c>
      <c r="T301" s="193" t="str">
        <f>""</f>
        <v/>
      </c>
      <c r="U301" s="193" t="str">
        <f t="shared" si="16"/>
        <v/>
      </c>
      <c r="V301" s="193" t="str">
        <f>""</f>
        <v/>
      </c>
      <c r="W301" s="193" t="str">
        <f>""</f>
        <v/>
      </c>
      <c r="X301" s="258" t="str">
        <f t="shared" si="17"/>
        <v/>
      </c>
      <c r="Y301" s="258" t="str">
        <f t="shared" si="18"/>
        <v/>
      </c>
      <c r="Z301" s="193" t="str">
        <f>IF(A301="","",IF(COUNTIF('Observaciones-SMP'!$A$2:$A$1001,A301)&gt;1,1,0))</f>
        <v/>
      </c>
      <c r="AA301" s="193" t="str">
        <f t="shared" si="19"/>
        <v/>
      </c>
    </row>
    <row r="302" spans="1:27" ht="13.5" customHeight="1" x14ac:dyDescent="0.3">
      <c r="A302" s="193" t="str">
        <f>IF('Observaciones-SMP'!A302="","",'Observaciones-SMP'!A302)</f>
        <v/>
      </c>
      <c r="B302" s="257" t="str">
        <f>IF('Observaciones-SMP'!B302="","",'Observaciones-SMP'!B302)</f>
        <v/>
      </c>
      <c r="C302" s="193" t="str">
        <f>IF('Observaciones-SMP'!C302="","",'Observaciones-SMP'!C302)</f>
        <v/>
      </c>
      <c r="D302" s="193" t="str">
        <f>IF('Observaciones-SMP'!D302="","",'Observaciones-SMP'!D302)</f>
        <v/>
      </c>
      <c r="E302" s="193" t="str">
        <f>IF('Observaciones-SMP'!E302="","",'Observaciones-SMP'!E302)</f>
        <v/>
      </c>
      <c r="F302" s="193" t="str">
        <f>IF('Observaciones-SMP'!F302="","",'Observaciones-SMP'!F302)</f>
        <v/>
      </c>
      <c r="G302" s="193" t="str">
        <f>IF('Observaciones-SMP'!G302="","",'Observaciones-SMP'!G302)</f>
        <v/>
      </c>
      <c r="H302" s="193" t="str">
        <f>IF('Observaciones-SMP'!H302="","",'Observaciones-SMP'!H302)</f>
        <v/>
      </c>
      <c r="I302" s="193" t="str">
        <f>IF('Observaciones-SMP'!I302="","",'Observaciones-SMP'!I302)</f>
        <v/>
      </c>
      <c r="J302" s="193" t="str">
        <f>IF('Observaciones-SMP'!J302="","",'Observaciones-SMP'!J302)</f>
        <v/>
      </c>
      <c r="K302" s="193" t="str">
        <f>IF('Observaciones-SMP'!K302="","",'Observaciones-SMP'!K302)</f>
        <v/>
      </c>
      <c r="L302" s="193" t="str">
        <f>IF('Observaciones-SMP'!L302="","",'Observaciones-SMP'!L302)</f>
        <v/>
      </c>
      <c r="M302" s="193" t="str">
        <f>IF('Observaciones-SMP'!M302="","",'Observaciones-SMP'!M302)</f>
        <v/>
      </c>
      <c r="N302" s="193" t="str">
        <f>IF('Observaciones-SMP'!N302="","",'Observaciones-SMP'!N302)</f>
        <v/>
      </c>
      <c r="O302" s="193" t="str">
        <f>IF('Observaciones-SMP'!O302="","",'Observaciones-SMP'!O302)</f>
        <v/>
      </c>
      <c r="P302" s="193" t="str">
        <f>IF('Observaciones-SMP'!P302="","",'Observaciones-SMP'!P302)</f>
        <v/>
      </c>
      <c r="Q302" s="257" t="str">
        <f>IF('Observaciones-SMP'!S302="","",'Observaciones-SMP'!S302)</f>
        <v/>
      </c>
      <c r="R302" s="193" t="str">
        <f>IF('Observaciones-SMP'!T302="","",'Observaciones-SMP'!T302)</f>
        <v/>
      </c>
      <c r="S302" s="193" t="str">
        <f>""</f>
        <v/>
      </c>
      <c r="T302" s="193" t="str">
        <f>""</f>
        <v/>
      </c>
      <c r="U302" s="193" t="str">
        <f t="shared" si="16"/>
        <v/>
      </c>
      <c r="V302" s="193" t="str">
        <f>""</f>
        <v/>
      </c>
      <c r="W302" s="193" t="str">
        <f>""</f>
        <v/>
      </c>
      <c r="X302" s="258" t="str">
        <f t="shared" si="17"/>
        <v/>
      </c>
      <c r="Y302" s="258" t="str">
        <f t="shared" si="18"/>
        <v/>
      </c>
      <c r="Z302" s="193" t="str">
        <f>IF(A302="","",IF(COUNTIF('Observaciones-SMP'!$A$2:$A$1001,A302)&gt;1,1,0))</f>
        <v/>
      </c>
      <c r="AA302" s="193" t="str">
        <f t="shared" si="19"/>
        <v/>
      </c>
    </row>
    <row r="303" spans="1:27" ht="13.5" customHeight="1" x14ac:dyDescent="0.3">
      <c r="A303" s="193" t="str">
        <f>IF('Observaciones-SMP'!A303="","",'Observaciones-SMP'!A303)</f>
        <v/>
      </c>
      <c r="B303" s="257" t="str">
        <f>IF('Observaciones-SMP'!B303="","",'Observaciones-SMP'!B303)</f>
        <v/>
      </c>
      <c r="C303" s="193" t="str">
        <f>IF('Observaciones-SMP'!C303="","",'Observaciones-SMP'!C303)</f>
        <v/>
      </c>
      <c r="D303" s="193" t="str">
        <f>IF('Observaciones-SMP'!D303="","",'Observaciones-SMP'!D303)</f>
        <v/>
      </c>
      <c r="E303" s="193" t="str">
        <f>IF('Observaciones-SMP'!E303="","",'Observaciones-SMP'!E303)</f>
        <v/>
      </c>
      <c r="F303" s="193" t="str">
        <f>IF('Observaciones-SMP'!F303="","",'Observaciones-SMP'!F303)</f>
        <v/>
      </c>
      <c r="G303" s="193" t="str">
        <f>IF('Observaciones-SMP'!G303="","",'Observaciones-SMP'!G303)</f>
        <v/>
      </c>
      <c r="H303" s="193" t="str">
        <f>IF('Observaciones-SMP'!H303="","",'Observaciones-SMP'!H303)</f>
        <v/>
      </c>
      <c r="I303" s="193" t="str">
        <f>IF('Observaciones-SMP'!I303="","",'Observaciones-SMP'!I303)</f>
        <v/>
      </c>
      <c r="J303" s="193" t="str">
        <f>IF('Observaciones-SMP'!J303="","",'Observaciones-SMP'!J303)</f>
        <v/>
      </c>
      <c r="K303" s="193" t="str">
        <f>IF('Observaciones-SMP'!K303="","",'Observaciones-SMP'!K303)</f>
        <v/>
      </c>
      <c r="L303" s="193" t="str">
        <f>IF('Observaciones-SMP'!L303="","",'Observaciones-SMP'!L303)</f>
        <v/>
      </c>
      <c r="M303" s="193" t="str">
        <f>IF('Observaciones-SMP'!M303="","",'Observaciones-SMP'!M303)</f>
        <v/>
      </c>
      <c r="N303" s="193" t="str">
        <f>IF('Observaciones-SMP'!N303="","",'Observaciones-SMP'!N303)</f>
        <v/>
      </c>
      <c r="O303" s="193" t="str">
        <f>IF('Observaciones-SMP'!O303="","",'Observaciones-SMP'!O303)</f>
        <v/>
      </c>
      <c r="P303" s="193" t="str">
        <f>IF('Observaciones-SMP'!P303="","",'Observaciones-SMP'!P303)</f>
        <v/>
      </c>
      <c r="Q303" s="257" t="str">
        <f>IF('Observaciones-SMP'!S303="","",'Observaciones-SMP'!S303)</f>
        <v/>
      </c>
      <c r="R303" s="193" t="str">
        <f>IF('Observaciones-SMP'!T303="","",'Observaciones-SMP'!T303)</f>
        <v/>
      </c>
      <c r="S303" s="193" t="str">
        <f>""</f>
        <v/>
      </c>
      <c r="T303" s="193" t="str">
        <f>""</f>
        <v/>
      </c>
      <c r="U303" s="193" t="str">
        <f t="shared" si="16"/>
        <v/>
      </c>
      <c r="V303" s="193" t="str">
        <f>""</f>
        <v/>
      </c>
      <c r="W303" s="193" t="str">
        <f>""</f>
        <v/>
      </c>
      <c r="X303" s="258" t="str">
        <f t="shared" si="17"/>
        <v/>
      </c>
      <c r="Y303" s="258" t="str">
        <f t="shared" si="18"/>
        <v/>
      </c>
      <c r="Z303" s="193" t="str">
        <f>IF(A303="","",IF(COUNTIF('Observaciones-SMP'!$A$2:$A$1001,A303)&gt;1,1,0))</f>
        <v/>
      </c>
      <c r="AA303" s="193" t="str">
        <f t="shared" si="19"/>
        <v/>
      </c>
    </row>
    <row r="304" spans="1:27" ht="13.5" customHeight="1" x14ac:dyDescent="0.3">
      <c r="A304" s="193" t="str">
        <f>IF('Observaciones-SMP'!A304="","",'Observaciones-SMP'!A304)</f>
        <v/>
      </c>
      <c r="B304" s="257" t="str">
        <f>IF('Observaciones-SMP'!B304="","",'Observaciones-SMP'!B304)</f>
        <v/>
      </c>
      <c r="C304" s="193" t="str">
        <f>IF('Observaciones-SMP'!C304="","",'Observaciones-SMP'!C304)</f>
        <v/>
      </c>
      <c r="D304" s="193" t="str">
        <f>IF('Observaciones-SMP'!D304="","",'Observaciones-SMP'!D304)</f>
        <v/>
      </c>
      <c r="E304" s="193" t="str">
        <f>IF('Observaciones-SMP'!E304="","",'Observaciones-SMP'!E304)</f>
        <v/>
      </c>
      <c r="F304" s="193" t="str">
        <f>IF('Observaciones-SMP'!F304="","",'Observaciones-SMP'!F304)</f>
        <v/>
      </c>
      <c r="G304" s="193" t="str">
        <f>IF('Observaciones-SMP'!G304="","",'Observaciones-SMP'!G304)</f>
        <v/>
      </c>
      <c r="H304" s="193" t="str">
        <f>IF('Observaciones-SMP'!H304="","",'Observaciones-SMP'!H304)</f>
        <v/>
      </c>
      <c r="I304" s="193" t="str">
        <f>IF('Observaciones-SMP'!I304="","",'Observaciones-SMP'!I304)</f>
        <v/>
      </c>
      <c r="J304" s="193" t="str">
        <f>IF('Observaciones-SMP'!J304="","",'Observaciones-SMP'!J304)</f>
        <v/>
      </c>
      <c r="K304" s="193" t="str">
        <f>IF('Observaciones-SMP'!K304="","",'Observaciones-SMP'!K304)</f>
        <v/>
      </c>
      <c r="L304" s="193" t="str">
        <f>IF('Observaciones-SMP'!L304="","",'Observaciones-SMP'!L304)</f>
        <v/>
      </c>
      <c r="M304" s="193" t="str">
        <f>IF('Observaciones-SMP'!M304="","",'Observaciones-SMP'!M304)</f>
        <v/>
      </c>
      <c r="N304" s="193" t="str">
        <f>IF('Observaciones-SMP'!N304="","",'Observaciones-SMP'!N304)</f>
        <v/>
      </c>
      <c r="O304" s="193" t="str">
        <f>IF('Observaciones-SMP'!O304="","",'Observaciones-SMP'!O304)</f>
        <v/>
      </c>
      <c r="P304" s="193" t="str">
        <f>IF('Observaciones-SMP'!P304="","",'Observaciones-SMP'!P304)</f>
        <v/>
      </c>
      <c r="Q304" s="257" t="str">
        <f>IF('Observaciones-SMP'!S304="","",'Observaciones-SMP'!S304)</f>
        <v/>
      </c>
      <c r="R304" s="193" t="str">
        <f>IF('Observaciones-SMP'!T304="","",'Observaciones-SMP'!T304)</f>
        <v/>
      </c>
      <c r="S304" s="193" t="str">
        <f>""</f>
        <v/>
      </c>
      <c r="T304" s="193" t="str">
        <f>""</f>
        <v/>
      </c>
      <c r="U304" s="193" t="str">
        <f t="shared" si="16"/>
        <v/>
      </c>
      <c r="V304" s="193" t="str">
        <f>""</f>
        <v/>
      </c>
      <c r="W304" s="193" t="str">
        <f>""</f>
        <v/>
      </c>
      <c r="X304" s="258" t="str">
        <f t="shared" si="17"/>
        <v/>
      </c>
      <c r="Y304" s="258" t="str">
        <f t="shared" si="18"/>
        <v/>
      </c>
      <c r="Z304" s="193" t="str">
        <f>IF(A304="","",IF(COUNTIF('Observaciones-SMP'!$A$2:$A$1001,A304)&gt;1,1,0))</f>
        <v/>
      </c>
      <c r="AA304" s="193" t="str">
        <f t="shared" si="19"/>
        <v/>
      </c>
    </row>
    <row r="305" spans="1:27" ht="13.5" customHeight="1" x14ac:dyDescent="0.3">
      <c r="A305" s="193" t="str">
        <f>IF('Observaciones-SMP'!A305="","",'Observaciones-SMP'!A305)</f>
        <v/>
      </c>
      <c r="B305" s="257" t="str">
        <f>IF('Observaciones-SMP'!B305="","",'Observaciones-SMP'!B305)</f>
        <v/>
      </c>
      <c r="C305" s="193" t="str">
        <f>IF('Observaciones-SMP'!C305="","",'Observaciones-SMP'!C305)</f>
        <v/>
      </c>
      <c r="D305" s="193" t="str">
        <f>IF('Observaciones-SMP'!D305="","",'Observaciones-SMP'!D305)</f>
        <v/>
      </c>
      <c r="E305" s="193" t="str">
        <f>IF('Observaciones-SMP'!E305="","",'Observaciones-SMP'!E305)</f>
        <v/>
      </c>
      <c r="F305" s="193" t="str">
        <f>IF('Observaciones-SMP'!F305="","",'Observaciones-SMP'!F305)</f>
        <v/>
      </c>
      <c r="G305" s="193" t="str">
        <f>IF('Observaciones-SMP'!G305="","",'Observaciones-SMP'!G305)</f>
        <v/>
      </c>
      <c r="H305" s="193" t="str">
        <f>IF('Observaciones-SMP'!H305="","",'Observaciones-SMP'!H305)</f>
        <v/>
      </c>
      <c r="I305" s="193" t="str">
        <f>IF('Observaciones-SMP'!I305="","",'Observaciones-SMP'!I305)</f>
        <v/>
      </c>
      <c r="J305" s="193" t="str">
        <f>IF('Observaciones-SMP'!J305="","",'Observaciones-SMP'!J305)</f>
        <v/>
      </c>
      <c r="K305" s="193" t="str">
        <f>IF('Observaciones-SMP'!K305="","",'Observaciones-SMP'!K305)</f>
        <v/>
      </c>
      <c r="L305" s="193" t="str">
        <f>IF('Observaciones-SMP'!L305="","",'Observaciones-SMP'!L305)</f>
        <v/>
      </c>
      <c r="M305" s="193" t="str">
        <f>IF('Observaciones-SMP'!M305="","",'Observaciones-SMP'!M305)</f>
        <v/>
      </c>
      <c r="N305" s="193" t="str">
        <f>IF('Observaciones-SMP'!N305="","",'Observaciones-SMP'!N305)</f>
        <v/>
      </c>
      <c r="O305" s="193" t="str">
        <f>IF('Observaciones-SMP'!O305="","",'Observaciones-SMP'!O305)</f>
        <v/>
      </c>
      <c r="P305" s="193" t="str">
        <f>IF('Observaciones-SMP'!P305="","",'Observaciones-SMP'!P305)</f>
        <v/>
      </c>
      <c r="Q305" s="257" t="str">
        <f>IF('Observaciones-SMP'!S305="","",'Observaciones-SMP'!S305)</f>
        <v/>
      </c>
      <c r="R305" s="193" t="str">
        <f>IF('Observaciones-SMP'!T305="","",'Observaciones-SMP'!T305)</f>
        <v/>
      </c>
      <c r="S305" s="193" t="str">
        <f>""</f>
        <v/>
      </c>
      <c r="T305" s="193" t="str">
        <f>""</f>
        <v/>
      </c>
      <c r="U305" s="193" t="str">
        <f t="shared" si="16"/>
        <v/>
      </c>
      <c r="V305" s="193" t="str">
        <f>""</f>
        <v/>
      </c>
      <c r="W305" s="193" t="str">
        <f>""</f>
        <v/>
      </c>
      <c r="X305" s="258" t="str">
        <f t="shared" si="17"/>
        <v/>
      </c>
      <c r="Y305" s="258" t="str">
        <f t="shared" si="18"/>
        <v/>
      </c>
      <c r="Z305" s="193" t="str">
        <f>IF(A305="","",IF(COUNTIF('Observaciones-SMP'!$A$2:$A$1001,A305)&gt;1,1,0))</f>
        <v/>
      </c>
      <c r="AA305" s="193" t="str">
        <f t="shared" si="19"/>
        <v/>
      </c>
    </row>
    <row r="306" spans="1:27" ht="13.5" customHeight="1" x14ac:dyDescent="0.3">
      <c r="A306" s="193" t="str">
        <f>IF('Observaciones-SMP'!A306="","",'Observaciones-SMP'!A306)</f>
        <v/>
      </c>
      <c r="B306" s="257" t="str">
        <f>IF('Observaciones-SMP'!B306="","",'Observaciones-SMP'!B306)</f>
        <v/>
      </c>
      <c r="C306" s="193" t="str">
        <f>IF('Observaciones-SMP'!C306="","",'Observaciones-SMP'!C306)</f>
        <v/>
      </c>
      <c r="D306" s="193" t="str">
        <f>IF('Observaciones-SMP'!D306="","",'Observaciones-SMP'!D306)</f>
        <v/>
      </c>
      <c r="E306" s="193" t="str">
        <f>IF('Observaciones-SMP'!E306="","",'Observaciones-SMP'!E306)</f>
        <v/>
      </c>
      <c r="F306" s="193" t="str">
        <f>IF('Observaciones-SMP'!F306="","",'Observaciones-SMP'!F306)</f>
        <v/>
      </c>
      <c r="G306" s="193" t="str">
        <f>IF('Observaciones-SMP'!G306="","",'Observaciones-SMP'!G306)</f>
        <v/>
      </c>
      <c r="H306" s="193" t="str">
        <f>IF('Observaciones-SMP'!H306="","",'Observaciones-SMP'!H306)</f>
        <v/>
      </c>
      <c r="I306" s="193" t="str">
        <f>IF('Observaciones-SMP'!I306="","",'Observaciones-SMP'!I306)</f>
        <v/>
      </c>
      <c r="J306" s="193" t="str">
        <f>IF('Observaciones-SMP'!J306="","",'Observaciones-SMP'!J306)</f>
        <v/>
      </c>
      <c r="K306" s="193" t="str">
        <f>IF('Observaciones-SMP'!K306="","",'Observaciones-SMP'!K306)</f>
        <v/>
      </c>
      <c r="L306" s="193" t="str">
        <f>IF('Observaciones-SMP'!L306="","",'Observaciones-SMP'!L306)</f>
        <v/>
      </c>
      <c r="M306" s="193" t="str">
        <f>IF('Observaciones-SMP'!M306="","",'Observaciones-SMP'!M306)</f>
        <v/>
      </c>
      <c r="N306" s="193" t="str">
        <f>IF('Observaciones-SMP'!N306="","",'Observaciones-SMP'!N306)</f>
        <v/>
      </c>
      <c r="O306" s="193" t="str">
        <f>IF('Observaciones-SMP'!O306="","",'Observaciones-SMP'!O306)</f>
        <v/>
      </c>
      <c r="P306" s="193" t="str">
        <f>IF('Observaciones-SMP'!P306="","",'Observaciones-SMP'!P306)</f>
        <v/>
      </c>
      <c r="Q306" s="257" t="str">
        <f>IF('Observaciones-SMP'!S306="","",'Observaciones-SMP'!S306)</f>
        <v/>
      </c>
      <c r="R306" s="193" t="str">
        <f>IF('Observaciones-SMP'!T306="","",'Observaciones-SMP'!T306)</f>
        <v/>
      </c>
      <c r="S306" s="193" t="str">
        <f>""</f>
        <v/>
      </c>
      <c r="T306" s="193" t="str">
        <f>""</f>
        <v/>
      </c>
      <c r="U306" s="193" t="str">
        <f t="shared" si="16"/>
        <v/>
      </c>
      <c r="V306" s="193" t="str">
        <f>""</f>
        <v/>
      </c>
      <c r="W306" s="193" t="str">
        <f>""</f>
        <v/>
      </c>
      <c r="X306" s="258" t="str">
        <f t="shared" si="17"/>
        <v/>
      </c>
      <c r="Y306" s="258" t="str">
        <f t="shared" si="18"/>
        <v/>
      </c>
      <c r="Z306" s="193" t="str">
        <f>IF(A306="","",IF(COUNTIF('Observaciones-SMP'!$A$2:$A$1001,A306)&gt;1,1,0))</f>
        <v/>
      </c>
      <c r="AA306" s="193" t="str">
        <f t="shared" si="19"/>
        <v/>
      </c>
    </row>
    <row r="307" spans="1:27" ht="13.5" customHeight="1" x14ac:dyDescent="0.3">
      <c r="A307" s="193" t="str">
        <f>IF('Observaciones-SMP'!A307="","",'Observaciones-SMP'!A307)</f>
        <v/>
      </c>
      <c r="B307" s="257" t="str">
        <f>IF('Observaciones-SMP'!B307="","",'Observaciones-SMP'!B307)</f>
        <v/>
      </c>
      <c r="C307" s="193" t="str">
        <f>IF('Observaciones-SMP'!C307="","",'Observaciones-SMP'!C307)</f>
        <v/>
      </c>
      <c r="D307" s="193" t="str">
        <f>IF('Observaciones-SMP'!D307="","",'Observaciones-SMP'!D307)</f>
        <v/>
      </c>
      <c r="E307" s="193" t="str">
        <f>IF('Observaciones-SMP'!E307="","",'Observaciones-SMP'!E307)</f>
        <v/>
      </c>
      <c r="F307" s="193" t="str">
        <f>IF('Observaciones-SMP'!F307="","",'Observaciones-SMP'!F307)</f>
        <v/>
      </c>
      <c r="G307" s="193" t="str">
        <f>IF('Observaciones-SMP'!G307="","",'Observaciones-SMP'!G307)</f>
        <v/>
      </c>
      <c r="H307" s="193" t="str">
        <f>IF('Observaciones-SMP'!H307="","",'Observaciones-SMP'!H307)</f>
        <v/>
      </c>
      <c r="I307" s="193" t="str">
        <f>IF('Observaciones-SMP'!I307="","",'Observaciones-SMP'!I307)</f>
        <v/>
      </c>
      <c r="J307" s="193" t="str">
        <f>IF('Observaciones-SMP'!J307="","",'Observaciones-SMP'!J307)</f>
        <v/>
      </c>
      <c r="K307" s="193" t="str">
        <f>IF('Observaciones-SMP'!K307="","",'Observaciones-SMP'!K307)</f>
        <v/>
      </c>
      <c r="L307" s="193" t="str">
        <f>IF('Observaciones-SMP'!L307="","",'Observaciones-SMP'!L307)</f>
        <v/>
      </c>
      <c r="M307" s="193" t="str">
        <f>IF('Observaciones-SMP'!M307="","",'Observaciones-SMP'!M307)</f>
        <v/>
      </c>
      <c r="N307" s="193" t="str">
        <f>IF('Observaciones-SMP'!N307="","",'Observaciones-SMP'!N307)</f>
        <v/>
      </c>
      <c r="O307" s="193" t="str">
        <f>IF('Observaciones-SMP'!O307="","",'Observaciones-SMP'!O307)</f>
        <v/>
      </c>
      <c r="P307" s="193" t="str">
        <f>IF('Observaciones-SMP'!P307="","",'Observaciones-SMP'!P307)</f>
        <v/>
      </c>
      <c r="Q307" s="257" t="str">
        <f>IF('Observaciones-SMP'!S307="","",'Observaciones-SMP'!S307)</f>
        <v/>
      </c>
      <c r="R307" s="193" t="str">
        <f>IF('Observaciones-SMP'!T307="","",'Observaciones-SMP'!T307)</f>
        <v/>
      </c>
      <c r="S307" s="193" t="str">
        <f>""</f>
        <v/>
      </c>
      <c r="T307" s="193" t="str">
        <f>""</f>
        <v/>
      </c>
      <c r="U307" s="193" t="str">
        <f t="shared" si="16"/>
        <v/>
      </c>
      <c r="V307" s="193" t="str">
        <f>""</f>
        <v/>
      </c>
      <c r="W307" s="193" t="str">
        <f>""</f>
        <v/>
      </c>
      <c r="X307" s="258" t="str">
        <f t="shared" si="17"/>
        <v/>
      </c>
      <c r="Y307" s="258" t="str">
        <f t="shared" si="18"/>
        <v/>
      </c>
      <c r="Z307" s="193" t="str">
        <f>IF(A307="","",IF(COUNTIF('Observaciones-SMP'!$A$2:$A$1001,A307)&gt;1,1,0))</f>
        <v/>
      </c>
      <c r="AA307" s="193" t="str">
        <f t="shared" si="19"/>
        <v/>
      </c>
    </row>
    <row r="308" spans="1:27" ht="13.5" customHeight="1" x14ac:dyDescent="0.3">
      <c r="A308" s="193" t="str">
        <f>IF('Observaciones-SMP'!A308="","",'Observaciones-SMP'!A308)</f>
        <v/>
      </c>
      <c r="B308" s="257" t="str">
        <f>IF('Observaciones-SMP'!B308="","",'Observaciones-SMP'!B308)</f>
        <v/>
      </c>
      <c r="C308" s="193" t="str">
        <f>IF('Observaciones-SMP'!C308="","",'Observaciones-SMP'!C308)</f>
        <v/>
      </c>
      <c r="D308" s="193" t="str">
        <f>IF('Observaciones-SMP'!D308="","",'Observaciones-SMP'!D308)</f>
        <v/>
      </c>
      <c r="E308" s="193" t="str">
        <f>IF('Observaciones-SMP'!E308="","",'Observaciones-SMP'!E308)</f>
        <v/>
      </c>
      <c r="F308" s="193" t="str">
        <f>IF('Observaciones-SMP'!F308="","",'Observaciones-SMP'!F308)</f>
        <v/>
      </c>
      <c r="G308" s="193" t="str">
        <f>IF('Observaciones-SMP'!G308="","",'Observaciones-SMP'!G308)</f>
        <v/>
      </c>
      <c r="H308" s="193" t="str">
        <f>IF('Observaciones-SMP'!H308="","",'Observaciones-SMP'!H308)</f>
        <v/>
      </c>
      <c r="I308" s="193" t="str">
        <f>IF('Observaciones-SMP'!I308="","",'Observaciones-SMP'!I308)</f>
        <v/>
      </c>
      <c r="J308" s="193" t="str">
        <f>IF('Observaciones-SMP'!J308="","",'Observaciones-SMP'!J308)</f>
        <v/>
      </c>
      <c r="K308" s="193" t="str">
        <f>IF('Observaciones-SMP'!K308="","",'Observaciones-SMP'!K308)</f>
        <v/>
      </c>
      <c r="L308" s="193" t="str">
        <f>IF('Observaciones-SMP'!L308="","",'Observaciones-SMP'!L308)</f>
        <v/>
      </c>
      <c r="M308" s="193" t="str">
        <f>IF('Observaciones-SMP'!M308="","",'Observaciones-SMP'!M308)</f>
        <v/>
      </c>
      <c r="N308" s="193" t="str">
        <f>IF('Observaciones-SMP'!N308="","",'Observaciones-SMP'!N308)</f>
        <v/>
      </c>
      <c r="O308" s="193" t="str">
        <f>IF('Observaciones-SMP'!O308="","",'Observaciones-SMP'!O308)</f>
        <v/>
      </c>
      <c r="P308" s="193" t="str">
        <f>IF('Observaciones-SMP'!P308="","",'Observaciones-SMP'!P308)</f>
        <v/>
      </c>
      <c r="Q308" s="257" t="str">
        <f>IF('Observaciones-SMP'!S308="","",'Observaciones-SMP'!S308)</f>
        <v/>
      </c>
      <c r="R308" s="193" t="str">
        <f>IF('Observaciones-SMP'!T308="","",'Observaciones-SMP'!T308)</f>
        <v/>
      </c>
      <c r="S308" s="193" t="str">
        <f>""</f>
        <v/>
      </c>
      <c r="T308" s="193" t="str">
        <f>""</f>
        <v/>
      </c>
      <c r="U308" s="193" t="str">
        <f t="shared" si="16"/>
        <v/>
      </c>
      <c r="V308" s="193" t="str">
        <f>""</f>
        <v/>
      </c>
      <c r="W308" s="193" t="str">
        <f>""</f>
        <v/>
      </c>
      <c r="X308" s="258" t="str">
        <f t="shared" si="17"/>
        <v/>
      </c>
      <c r="Y308" s="258" t="str">
        <f t="shared" si="18"/>
        <v/>
      </c>
      <c r="Z308" s="193" t="str">
        <f>IF(A308="","",IF(COUNTIF('Observaciones-SMP'!$A$2:$A$1001,A308)&gt;1,1,0))</f>
        <v/>
      </c>
      <c r="AA308" s="193" t="str">
        <f t="shared" si="19"/>
        <v/>
      </c>
    </row>
    <row r="309" spans="1:27" ht="13.5" customHeight="1" x14ac:dyDescent="0.3">
      <c r="A309" s="193" t="str">
        <f>IF('Observaciones-SMP'!A309="","",'Observaciones-SMP'!A309)</f>
        <v/>
      </c>
      <c r="B309" s="257" t="str">
        <f>IF('Observaciones-SMP'!B309="","",'Observaciones-SMP'!B309)</f>
        <v/>
      </c>
      <c r="C309" s="193" t="str">
        <f>IF('Observaciones-SMP'!C309="","",'Observaciones-SMP'!C309)</f>
        <v/>
      </c>
      <c r="D309" s="193" t="str">
        <f>IF('Observaciones-SMP'!D309="","",'Observaciones-SMP'!D309)</f>
        <v/>
      </c>
      <c r="E309" s="193" t="str">
        <f>IF('Observaciones-SMP'!E309="","",'Observaciones-SMP'!E309)</f>
        <v/>
      </c>
      <c r="F309" s="193" t="str">
        <f>IF('Observaciones-SMP'!F309="","",'Observaciones-SMP'!F309)</f>
        <v/>
      </c>
      <c r="G309" s="193" t="str">
        <f>IF('Observaciones-SMP'!G309="","",'Observaciones-SMP'!G309)</f>
        <v/>
      </c>
      <c r="H309" s="193" t="str">
        <f>IF('Observaciones-SMP'!H309="","",'Observaciones-SMP'!H309)</f>
        <v/>
      </c>
      <c r="I309" s="193" t="str">
        <f>IF('Observaciones-SMP'!I309="","",'Observaciones-SMP'!I309)</f>
        <v/>
      </c>
      <c r="J309" s="193" t="str">
        <f>IF('Observaciones-SMP'!J309="","",'Observaciones-SMP'!J309)</f>
        <v/>
      </c>
      <c r="K309" s="193" t="str">
        <f>IF('Observaciones-SMP'!K309="","",'Observaciones-SMP'!K309)</f>
        <v/>
      </c>
      <c r="L309" s="193" t="str">
        <f>IF('Observaciones-SMP'!L309="","",'Observaciones-SMP'!L309)</f>
        <v/>
      </c>
      <c r="M309" s="193" t="str">
        <f>IF('Observaciones-SMP'!M309="","",'Observaciones-SMP'!M309)</f>
        <v/>
      </c>
      <c r="N309" s="193" t="str">
        <f>IF('Observaciones-SMP'!N309="","",'Observaciones-SMP'!N309)</f>
        <v/>
      </c>
      <c r="O309" s="193" t="str">
        <f>IF('Observaciones-SMP'!O309="","",'Observaciones-SMP'!O309)</f>
        <v/>
      </c>
      <c r="P309" s="193" t="str">
        <f>IF('Observaciones-SMP'!P309="","",'Observaciones-SMP'!P309)</f>
        <v/>
      </c>
      <c r="Q309" s="257" t="str">
        <f>IF('Observaciones-SMP'!S309="","",'Observaciones-SMP'!S309)</f>
        <v/>
      </c>
      <c r="R309" s="193" t="str">
        <f>IF('Observaciones-SMP'!T309="","",'Observaciones-SMP'!T309)</f>
        <v/>
      </c>
      <c r="S309" s="193" t="str">
        <f>""</f>
        <v/>
      </c>
      <c r="T309" s="193" t="str">
        <f>""</f>
        <v/>
      </c>
      <c r="U309" s="193" t="str">
        <f t="shared" si="16"/>
        <v/>
      </c>
      <c r="V309" s="193" t="str">
        <f>""</f>
        <v/>
      </c>
      <c r="W309" s="193" t="str">
        <f>""</f>
        <v/>
      </c>
      <c r="X309" s="258" t="str">
        <f t="shared" si="17"/>
        <v/>
      </c>
      <c r="Y309" s="258" t="str">
        <f t="shared" si="18"/>
        <v/>
      </c>
      <c r="Z309" s="193" t="str">
        <f>IF(A309="","",IF(COUNTIF('Observaciones-SMP'!$A$2:$A$1001,A309)&gt;1,1,0))</f>
        <v/>
      </c>
      <c r="AA309" s="193" t="str">
        <f t="shared" si="19"/>
        <v/>
      </c>
    </row>
    <row r="310" spans="1:27" ht="13.5" customHeight="1" x14ac:dyDescent="0.3">
      <c r="A310" s="193" t="str">
        <f>IF('Observaciones-SMP'!A310="","",'Observaciones-SMP'!A310)</f>
        <v/>
      </c>
      <c r="B310" s="257" t="str">
        <f>IF('Observaciones-SMP'!B310="","",'Observaciones-SMP'!B310)</f>
        <v/>
      </c>
      <c r="C310" s="193" t="str">
        <f>IF('Observaciones-SMP'!C310="","",'Observaciones-SMP'!C310)</f>
        <v/>
      </c>
      <c r="D310" s="193" t="str">
        <f>IF('Observaciones-SMP'!D310="","",'Observaciones-SMP'!D310)</f>
        <v/>
      </c>
      <c r="E310" s="193" t="str">
        <f>IF('Observaciones-SMP'!E310="","",'Observaciones-SMP'!E310)</f>
        <v/>
      </c>
      <c r="F310" s="193" t="str">
        <f>IF('Observaciones-SMP'!F310="","",'Observaciones-SMP'!F310)</f>
        <v/>
      </c>
      <c r="G310" s="193" t="str">
        <f>IF('Observaciones-SMP'!G310="","",'Observaciones-SMP'!G310)</f>
        <v/>
      </c>
      <c r="H310" s="193" t="str">
        <f>IF('Observaciones-SMP'!H310="","",'Observaciones-SMP'!H310)</f>
        <v/>
      </c>
      <c r="I310" s="193" t="str">
        <f>IF('Observaciones-SMP'!I310="","",'Observaciones-SMP'!I310)</f>
        <v/>
      </c>
      <c r="J310" s="193" t="str">
        <f>IF('Observaciones-SMP'!J310="","",'Observaciones-SMP'!J310)</f>
        <v/>
      </c>
      <c r="K310" s="193" t="str">
        <f>IF('Observaciones-SMP'!K310="","",'Observaciones-SMP'!K310)</f>
        <v/>
      </c>
      <c r="L310" s="193" t="str">
        <f>IF('Observaciones-SMP'!L310="","",'Observaciones-SMP'!L310)</f>
        <v/>
      </c>
      <c r="M310" s="193" t="str">
        <f>IF('Observaciones-SMP'!M310="","",'Observaciones-SMP'!M310)</f>
        <v/>
      </c>
      <c r="N310" s="193" t="str">
        <f>IF('Observaciones-SMP'!N310="","",'Observaciones-SMP'!N310)</f>
        <v/>
      </c>
      <c r="O310" s="193" t="str">
        <f>IF('Observaciones-SMP'!O310="","",'Observaciones-SMP'!O310)</f>
        <v/>
      </c>
      <c r="P310" s="193" t="str">
        <f>IF('Observaciones-SMP'!P310="","",'Observaciones-SMP'!P310)</f>
        <v/>
      </c>
      <c r="Q310" s="257" t="str">
        <f>IF('Observaciones-SMP'!S310="","",'Observaciones-SMP'!S310)</f>
        <v/>
      </c>
      <c r="R310" s="193" t="str">
        <f>IF('Observaciones-SMP'!T310="","",'Observaciones-SMP'!T310)</f>
        <v/>
      </c>
      <c r="S310" s="193" t="str">
        <f>""</f>
        <v/>
      </c>
      <c r="T310" s="193" t="str">
        <f>""</f>
        <v/>
      </c>
      <c r="U310" s="193" t="str">
        <f t="shared" si="16"/>
        <v/>
      </c>
      <c r="V310" s="193" t="str">
        <f>""</f>
        <v/>
      </c>
      <c r="W310" s="193" t="str">
        <f>""</f>
        <v/>
      </c>
      <c r="X310" s="258" t="str">
        <f t="shared" si="17"/>
        <v/>
      </c>
      <c r="Y310" s="258" t="str">
        <f t="shared" si="18"/>
        <v/>
      </c>
      <c r="Z310" s="193" t="str">
        <f>IF(A310="","",IF(COUNTIF('Observaciones-SMP'!$A$2:$A$1001,A310)&gt;1,1,0))</f>
        <v/>
      </c>
      <c r="AA310" s="193" t="str">
        <f t="shared" si="19"/>
        <v/>
      </c>
    </row>
    <row r="311" spans="1:27" ht="13.5" customHeight="1" x14ac:dyDescent="0.3">
      <c r="A311" s="193" t="str">
        <f>IF('Observaciones-SMP'!A311="","",'Observaciones-SMP'!A311)</f>
        <v/>
      </c>
      <c r="B311" s="257" t="str">
        <f>IF('Observaciones-SMP'!B311="","",'Observaciones-SMP'!B311)</f>
        <v/>
      </c>
      <c r="C311" s="193" t="str">
        <f>IF('Observaciones-SMP'!C311="","",'Observaciones-SMP'!C311)</f>
        <v/>
      </c>
      <c r="D311" s="193" t="str">
        <f>IF('Observaciones-SMP'!D311="","",'Observaciones-SMP'!D311)</f>
        <v/>
      </c>
      <c r="E311" s="193" t="str">
        <f>IF('Observaciones-SMP'!E311="","",'Observaciones-SMP'!E311)</f>
        <v/>
      </c>
      <c r="F311" s="193" t="str">
        <f>IF('Observaciones-SMP'!F311="","",'Observaciones-SMP'!F311)</f>
        <v/>
      </c>
      <c r="G311" s="193" t="str">
        <f>IF('Observaciones-SMP'!G311="","",'Observaciones-SMP'!G311)</f>
        <v/>
      </c>
      <c r="H311" s="193" t="str">
        <f>IF('Observaciones-SMP'!H311="","",'Observaciones-SMP'!H311)</f>
        <v/>
      </c>
      <c r="I311" s="193" t="str">
        <f>IF('Observaciones-SMP'!I311="","",'Observaciones-SMP'!I311)</f>
        <v/>
      </c>
      <c r="J311" s="193" t="str">
        <f>IF('Observaciones-SMP'!J311="","",'Observaciones-SMP'!J311)</f>
        <v/>
      </c>
      <c r="K311" s="193" t="str">
        <f>IF('Observaciones-SMP'!K311="","",'Observaciones-SMP'!K311)</f>
        <v/>
      </c>
      <c r="L311" s="193" t="str">
        <f>IF('Observaciones-SMP'!L311="","",'Observaciones-SMP'!L311)</f>
        <v/>
      </c>
      <c r="M311" s="193" t="str">
        <f>IF('Observaciones-SMP'!M311="","",'Observaciones-SMP'!M311)</f>
        <v/>
      </c>
      <c r="N311" s="193" t="str">
        <f>IF('Observaciones-SMP'!N311="","",'Observaciones-SMP'!N311)</f>
        <v/>
      </c>
      <c r="O311" s="193" t="str">
        <f>IF('Observaciones-SMP'!O311="","",'Observaciones-SMP'!O311)</f>
        <v/>
      </c>
      <c r="P311" s="193" t="str">
        <f>IF('Observaciones-SMP'!P311="","",'Observaciones-SMP'!P311)</f>
        <v/>
      </c>
      <c r="Q311" s="257" t="str">
        <f>IF('Observaciones-SMP'!S311="","",'Observaciones-SMP'!S311)</f>
        <v/>
      </c>
      <c r="R311" s="193" t="str">
        <f>IF('Observaciones-SMP'!T311="","",'Observaciones-SMP'!T311)</f>
        <v/>
      </c>
      <c r="S311" s="193" t="str">
        <f>""</f>
        <v/>
      </c>
      <c r="T311" s="193" t="str">
        <f>""</f>
        <v/>
      </c>
      <c r="U311" s="193" t="str">
        <f t="shared" si="16"/>
        <v/>
      </c>
      <c r="V311" s="193" t="str">
        <f>""</f>
        <v/>
      </c>
      <c r="W311" s="193" t="str">
        <f>""</f>
        <v/>
      </c>
      <c r="X311" s="258" t="str">
        <f t="shared" si="17"/>
        <v/>
      </c>
      <c r="Y311" s="258" t="str">
        <f t="shared" si="18"/>
        <v/>
      </c>
      <c r="Z311" s="193" t="str">
        <f>IF(A311="","",IF(COUNTIF('Observaciones-SMP'!$A$2:$A$1001,A311)&gt;1,1,0))</f>
        <v/>
      </c>
      <c r="AA311" s="193" t="str">
        <f t="shared" si="19"/>
        <v/>
      </c>
    </row>
    <row r="312" spans="1:27" ht="13.5" customHeight="1" x14ac:dyDescent="0.3">
      <c r="A312" s="193" t="str">
        <f>IF('Observaciones-SMP'!A312="","",'Observaciones-SMP'!A312)</f>
        <v/>
      </c>
      <c r="B312" s="257" t="str">
        <f>IF('Observaciones-SMP'!B312="","",'Observaciones-SMP'!B312)</f>
        <v/>
      </c>
      <c r="C312" s="193" t="str">
        <f>IF('Observaciones-SMP'!C312="","",'Observaciones-SMP'!C312)</f>
        <v/>
      </c>
      <c r="D312" s="193" t="str">
        <f>IF('Observaciones-SMP'!D312="","",'Observaciones-SMP'!D312)</f>
        <v/>
      </c>
      <c r="E312" s="193" t="str">
        <f>IF('Observaciones-SMP'!E312="","",'Observaciones-SMP'!E312)</f>
        <v/>
      </c>
      <c r="F312" s="193" t="str">
        <f>IF('Observaciones-SMP'!F312="","",'Observaciones-SMP'!F312)</f>
        <v/>
      </c>
      <c r="G312" s="193" t="str">
        <f>IF('Observaciones-SMP'!G312="","",'Observaciones-SMP'!G312)</f>
        <v/>
      </c>
      <c r="H312" s="193" t="str">
        <f>IF('Observaciones-SMP'!H312="","",'Observaciones-SMP'!H312)</f>
        <v/>
      </c>
      <c r="I312" s="193" t="str">
        <f>IF('Observaciones-SMP'!I312="","",'Observaciones-SMP'!I312)</f>
        <v/>
      </c>
      <c r="J312" s="193" t="str">
        <f>IF('Observaciones-SMP'!J312="","",'Observaciones-SMP'!J312)</f>
        <v/>
      </c>
      <c r="K312" s="193" t="str">
        <f>IF('Observaciones-SMP'!K312="","",'Observaciones-SMP'!K312)</f>
        <v/>
      </c>
      <c r="L312" s="193" t="str">
        <f>IF('Observaciones-SMP'!L312="","",'Observaciones-SMP'!L312)</f>
        <v/>
      </c>
      <c r="M312" s="193" t="str">
        <f>IF('Observaciones-SMP'!M312="","",'Observaciones-SMP'!M312)</f>
        <v/>
      </c>
      <c r="N312" s="193" t="str">
        <f>IF('Observaciones-SMP'!N312="","",'Observaciones-SMP'!N312)</f>
        <v/>
      </c>
      <c r="O312" s="193" t="str">
        <f>IF('Observaciones-SMP'!O312="","",'Observaciones-SMP'!O312)</f>
        <v/>
      </c>
      <c r="P312" s="193" t="str">
        <f>IF('Observaciones-SMP'!P312="","",'Observaciones-SMP'!P312)</f>
        <v/>
      </c>
      <c r="Q312" s="257" t="str">
        <f>IF('Observaciones-SMP'!S312="","",'Observaciones-SMP'!S312)</f>
        <v/>
      </c>
      <c r="R312" s="193" t="str">
        <f>IF('Observaciones-SMP'!T312="","",'Observaciones-SMP'!T312)</f>
        <v/>
      </c>
      <c r="S312" s="193" t="str">
        <f>""</f>
        <v/>
      </c>
      <c r="T312" s="193" t="str">
        <f>""</f>
        <v/>
      </c>
      <c r="U312" s="193" t="str">
        <f t="shared" si="16"/>
        <v/>
      </c>
      <c r="V312" s="193" t="str">
        <f>""</f>
        <v/>
      </c>
      <c r="W312" s="193" t="str">
        <f>""</f>
        <v/>
      </c>
      <c r="X312" s="258" t="str">
        <f t="shared" si="17"/>
        <v/>
      </c>
      <c r="Y312" s="258" t="str">
        <f t="shared" si="18"/>
        <v/>
      </c>
      <c r="Z312" s="193" t="str">
        <f>IF(A312="","",IF(COUNTIF('Observaciones-SMP'!$A$2:$A$1001,A312)&gt;1,1,0))</f>
        <v/>
      </c>
      <c r="AA312" s="193" t="str">
        <f t="shared" si="19"/>
        <v/>
      </c>
    </row>
    <row r="313" spans="1:27" ht="13.5" customHeight="1" x14ac:dyDescent="0.3">
      <c r="A313" s="193" t="str">
        <f>IF('Observaciones-SMP'!A313="","",'Observaciones-SMP'!A313)</f>
        <v/>
      </c>
      <c r="B313" s="257" t="str">
        <f>IF('Observaciones-SMP'!B313="","",'Observaciones-SMP'!B313)</f>
        <v/>
      </c>
      <c r="C313" s="193" t="str">
        <f>IF('Observaciones-SMP'!C313="","",'Observaciones-SMP'!C313)</f>
        <v/>
      </c>
      <c r="D313" s="193" t="str">
        <f>IF('Observaciones-SMP'!D313="","",'Observaciones-SMP'!D313)</f>
        <v/>
      </c>
      <c r="E313" s="193" t="str">
        <f>IF('Observaciones-SMP'!E313="","",'Observaciones-SMP'!E313)</f>
        <v/>
      </c>
      <c r="F313" s="193" t="str">
        <f>IF('Observaciones-SMP'!F313="","",'Observaciones-SMP'!F313)</f>
        <v/>
      </c>
      <c r="G313" s="193" t="str">
        <f>IF('Observaciones-SMP'!G313="","",'Observaciones-SMP'!G313)</f>
        <v/>
      </c>
      <c r="H313" s="193" t="str">
        <f>IF('Observaciones-SMP'!H313="","",'Observaciones-SMP'!H313)</f>
        <v/>
      </c>
      <c r="I313" s="193" t="str">
        <f>IF('Observaciones-SMP'!I313="","",'Observaciones-SMP'!I313)</f>
        <v/>
      </c>
      <c r="J313" s="193" t="str">
        <f>IF('Observaciones-SMP'!J313="","",'Observaciones-SMP'!J313)</f>
        <v/>
      </c>
      <c r="K313" s="193" t="str">
        <f>IF('Observaciones-SMP'!K313="","",'Observaciones-SMP'!K313)</f>
        <v/>
      </c>
      <c r="L313" s="193" t="str">
        <f>IF('Observaciones-SMP'!L313="","",'Observaciones-SMP'!L313)</f>
        <v/>
      </c>
      <c r="M313" s="193" t="str">
        <f>IF('Observaciones-SMP'!M313="","",'Observaciones-SMP'!M313)</f>
        <v/>
      </c>
      <c r="N313" s="193" t="str">
        <f>IF('Observaciones-SMP'!N313="","",'Observaciones-SMP'!N313)</f>
        <v/>
      </c>
      <c r="O313" s="193" t="str">
        <f>IF('Observaciones-SMP'!O313="","",'Observaciones-SMP'!O313)</f>
        <v/>
      </c>
      <c r="P313" s="193" t="str">
        <f>IF('Observaciones-SMP'!P313="","",'Observaciones-SMP'!P313)</f>
        <v/>
      </c>
      <c r="Q313" s="257" t="str">
        <f>IF('Observaciones-SMP'!S313="","",'Observaciones-SMP'!S313)</f>
        <v/>
      </c>
      <c r="R313" s="193" t="str">
        <f>IF('Observaciones-SMP'!T313="","",'Observaciones-SMP'!T313)</f>
        <v/>
      </c>
      <c r="S313" s="193" t="str">
        <f>""</f>
        <v/>
      </c>
      <c r="T313" s="193" t="str">
        <f>""</f>
        <v/>
      </c>
      <c r="U313" s="193" t="str">
        <f t="shared" si="16"/>
        <v/>
      </c>
      <c r="V313" s="193" t="str">
        <f>""</f>
        <v/>
      </c>
      <c r="W313" s="193" t="str">
        <f>""</f>
        <v/>
      </c>
      <c r="X313" s="258" t="str">
        <f t="shared" si="17"/>
        <v/>
      </c>
      <c r="Y313" s="258" t="str">
        <f t="shared" si="18"/>
        <v/>
      </c>
      <c r="Z313" s="193" t="str">
        <f>IF(A313="","",IF(COUNTIF('Observaciones-SMP'!$A$2:$A$1001,A313)&gt;1,1,0))</f>
        <v/>
      </c>
      <c r="AA313" s="193" t="str">
        <f t="shared" si="19"/>
        <v/>
      </c>
    </row>
    <row r="314" spans="1:27" ht="13.5" customHeight="1" x14ac:dyDescent="0.3">
      <c r="A314" s="193" t="str">
        <f>IF('Observaciones-SMP'!A314="","",'Observaciones-SMP'!A314)</f>
        <v/>
      </c>
      <c r="B314" s="257" t="str">
        <f>IF('Observaciones-SMP'!B314="","",'Observaciones-SMP'!B314)</f>
        <v/>
      </c>
      <c r="C314" s="193" t="str">
        <f>IF('Observaciones-SMP'!C314="","",'Observaciones-SMP'!C314)</f>
        <v/>
      </c>
      <c r="D314" s="193" t="str">
        <f>IF('Observaciones-SMP'!D314="","",'Observaciones-SMP'!D314)</f>
        <v/>
      </c>
      <c r="E314" s="193" t="str">
        <f>IF('Observaciones-SMP'!E314="","",'Observaciones-SMP'!E314)</f>
        <v/>
      </c>
      <c r="F314" s="193" t="str">
        <f>IF('Observaciones-SMP'!F314="","",'Observaciones-SMP'!F314)</f>
        <v/>
      </c>
      <c r="G314" s="193" t="str">
        <f>IF('Observaciones-SMP'!G314="","",'Observaciones-SMP'!G314)</f>
        <v/>
      </c>
      <c r="H314" s="193" t="str">
        <f>IF('Observaciones-SMP'!H314="","",'Observaciones-SMP'!H314)</f>
        <v/>
      </c>
      <c r="I314" s="193" t="str">
        <f>IF('Observaciones-SMP'!I314="","",'Observaciones-SMP'!I314)</f>
        <v/>
      </c>
      <c r="J314" s="193" t="str">
        <f>IF('Observaciones-SMP'!J314="","",'Observaciones-SMP'!J314)</f>
        <v/>
      </c>
      <c r="K314" s="193" t="str">
        <f>IF('Observaciones-SMP'!K314="","",'Observaciones-SMP'!K314)</f>
        <v/>
      </c>
      <c r="L314" s="193" t="str">
        <f>IF('Observaciones-SMP'!L314="","",'Observaciones-SMP'!L314)</f>
        <v/>
      </c>
      <c r="M314" s="193" t="str">
        <f>IF('Observaciones-SMP'!M314="","",'Observaciones-SMP'!M314)</f>
        <v/>
      </c>
      <c r="N314" s="193" t="str">
        <f>IF('Observaciones-SMP'!N314="","",'Observaciones-SMP'!N314)</f>
        <v/>
      </c>
      <c r="O314" s="193" t="str">
        <f>IF('Observaciones-SMP'!O314="","",'Observaciones-SMP'!O314)</f>
        <v/>
      </c>
      <c r="P314" s="193" t="str">
        <f>IF('Observaciones-SMP'!P314="","",'Observaciones-SMP'!P314)</f>
        <v/>
      </c>
      <c r="Q314" s="257" t="str">
        <f>IF('Observaciones-SMP'!S314="","",'Observaciones-SMP'!S314)</f>
        <v/>
      </c>
      <c r="R314" s="193" t="str">
        <f>IF('Observaciones-SMP'!T314="","",'Observaciones-SMP'!T314)</f>
        <v/>
      </c>
      <c r="S314" s="193" t="str">
        <f>""</f>
        <v/>
      </c>
      <c r="T314" s="193" t="str">
        <f>""</f>
        <v/>
      </c>
      <c r="U314" s="193" t="str">
        <f t="shared" si="16"/>
        <v/>
      </c>
      <c r="V314" s="193" t="str">
        <f>""</f>
        <v/>
      </c>
      <c r="W314" s="193" t="str">
        <f>""</f>
        <v/>
      </c>
      <c r="X314" s="258" t="str">
        <f t="shared" si="17"/>
        <v/>
      </c>
      <c r="Y314" s="258" t="str">
        <f t="shared" si="18"/>
        <v/>
      </c>
      <c r="Z314" s="193" t="str">
        <f>IF(A314="","",IF(COUNTIF('Observaciones-SMP'!$A$2:$A$1001,A314)&gt;1,1,0))</f>
        <v/>
      </c>
      <c r="AA314" s="193" t="str">
        <f t="shared" si="19"/>
        <v/>
      </c>
    </row>
    <row r="315" spans="1:27" ht="13.5" customHeight="1" x14ac:dyDescent="0.3">
      <c r="A315" s="193" t="str">
        <f>IF('Observaciones-SMP'!A315="","",'Observaciones-SMP'!A315)</f>
        <v/>
      </c>
      <c r="B315" s="257" t="str">
        <f>IF('Observaciones-SMP'!B315="","",'Observaciones-SMP'!B315)</f>
        <v/>
      </c>
      <c r="C315" s="193" t="str">
        <f>IF('Observaciones-SMP'!C315="","",'Observaciones-SMP'!C315)</f>
        <v/>
      </c>
      <c r="D315" s="193" t="str">
        <f>IF('Observaciones-SMP'!D315="","",'Observaciones-SMP'!D315)</f>
        <v/>
      </c>
      <c r="E315" s="193" t="str">
        <f>IF('Observaciones-SMP'!E315="","",'Observaciones-SMP'!E315)</f>
        <v/>
      </c>
      <c r="F315" s="193" t="str">
        <f>IF('Observaciones-SMP'!F315="","",'Observaciones-SMP'!F315)</f>
        <v/>
      </c>
      <c r="G315" s="193" t="str">
        <f>IF('Observaciones-SMP'!G315="","",'Observaciones-SMP'!G315)</f>
        <v/>
      </c>
      <c r="H315" s="193" t="str">
        <f>IF('Observaciones-SMP'!H315="","",'Observaciones-SMP'!H315)</f>
        <v/>
      </c>
      <c r="I315" s="193" t="str">
        <f>IF('Observaciones-SMP'!I315="","",'Observaciones-SMP'!I315)</f>
        <v/>
      </c>
      <c r="J315" s="193" t="str">
        <f>IF('Observaciones-SMP'!J315="","",'Observaciones-SMP'!J315)</f>
        <v/>
      </c>
      <c r="K315" s="193" t="str">
        <f>IF('Observaciones-SMP'!K315="","",'Observaciones-SMP'!K315)</f>
        <v/>
      </c>
      <c r="L315" s="193" t="str">
        <f>IF('Observaciones-SMP'!L315="","",'Observaciones-SMP'!L315)</f>
        <v/>
      </c>
      <c r="M315" s="193" t="str">
        <f>IF('Observaciones-SMP'!M315="","",'Observaciones-SMP'!M315)</f>
        <v/>
      </c>
      <c r="N315" s="193" t="str">
        <f>IF('Observaciones-SMP'!N315="","",'Observaciones-SMP'!N315)</f>
        <v/>
      </c>
      <c r="O315" s="193" t="str">
        <f>IF('Observaciones-SMP'!O315="","",'Observaciones-SMP'!O315)</f>
        <v/>
      </c>
      <c r="P315" s="193" t="str">
        <f>IF('Observaciones-SMP'!P315="","",'Observaciones-SMP'!P315)</f>
        <v/>
      </c>
      <c r="Q315" s="257" t="str">
        <f>IF('Observaciones-SMP'!S315="","",'Observaciones-SMP'!S315)</f>
        <v/>
      </c>
      <c r="R315" s="193" t="str">
        <f>IF('Observaciones-SMP'!T315="","",'Observaciones-SMP'!T315)</f>
        <v/>
      </c>
      <c r="S315" s="193" t="str">
        <f>""</f>
        <v/>
      </c>
      <c r="T315" s="193" t="str">
        <f>""</f>
        <v/>
      </c>
      <c r="U315" s="193" t="str">
        <f t="shared" si="16"/>
        <v/>
      </c>
      <c r="V315" s="193" t="str">
        <f>""</f>
        <v/>
      </c>
      <c r="W315" s="193" t="str">
        <f>""</f>
        <v/>
      </c>
      <c r="X315" s="258" t="str">
        <f t="shared" si="17"/>
        <v/>
      </c>
      <c r="Y315" s="258" t="str">
        <f t="shared" si="18"/>
        <v/>
      </c>
      <c r="Z315" s="193" t="str">
        <f>IF(A315="","",IF(COUNTIF('Observaciones-SMP'!$A$2:$A$1001,A315)&gt;1,1,0))</f>
        <v/>
      </c>
      <c r="AA315" s="193" t="str">
        <f t="shared" si="19"/>
        <v/>
      </c>
    </row>
    <row r="316" spans="1:27" ht="13.5" customHeight="1" x14ac:dyDescent="0.3">
      <c r="A316" s="193" t="str">
        <f>IF('Observaciones-SMP'!A316="","",'Observaciones-SMP'!A316)</f>
        <v/>
      </c>
      <c r="B316" s="257" t="str">
        <f>IF('Observaciones-SMP'!B316="","",'Observaciones-SMP'!B316)</f>
        <v/>
      </c>
      <c r="C316" s="193" t="str">
        <f>IF('Observaciones-SMP'!C316="","",'Observaciones-SMP'!C316)</f>
        <v/>
      </c>
      <c r="D316" s="193" t="str">
        <f>IF('Observaciones-SMP'!D316="","",'Observaciones-SMP'!D316)</f>
        <v/>
      </c>
      <c r="E316" s="193" t="str">
        <f>IF('Observaciones-SMP'!E316="","",'Observaciones-SMP'!E316)</f>
        <v/>
      </c>
      <c r="F316" s="193" t="str">
        <f>IF('Observaciones-SMP'!F316="","",'Observaciones-SMP'!F316)</f>
        <v/>
      </c>
      <c r="G316" s="193" t="str">
        <f>IF('Observaciones-SMP'!G316="","",'Observaciones-SMP'!G316)</f>
        <v/>
      </c>
      <c r="H316" s="193" t="str">
        <f>IF('Observaciones-SMP'!H316="","",'Observaciones-SMP'!H316)</f>
        <v/>
      </c>
      <c r="I316" s="193" t="str">
        <f>IF('Observaciones-SMP'!I316="","",'Observaciones-SMP'!I316)</f>
        <v/>
      </c>
      <c r="J316" s="193" t="str">
        <f>IF('Observaciones-SMP'!J316="","",'Observaciones-SMP'!J316)</f>
        <v/>
      </c>
      <c r="K316" s="193" t="str">
        <f>IF('Observaciones-SMP'!K316="","",'Observaciones-SMP'!K316)</f>
        <v/>
      </c>
      <c r="L316" s="193" t="str">
        <f>IF('Observaciones-SMP'!L316="","",'Observaciones-SMP'!L316)</f>
        <v/>
      </c>
      <c r="M316" s="193" t="str">
        <f>IF('Observaciones-SMP'!M316="","",'Observaciones-SMP'!M316)</f>
        <v/>
      </c>
      <c r="N316" s="193" t="str">
        <f>IF('Observaciones-SMP'!N316="","",'Observaciones-SMP'!N316)</f>
        <v/>
      </c>
      <c r="O316" s="193" t="str">
        <f>IF('Observaciones-SMP'!O316="","",'Observaciones-SMP'!O316)</f>
        <v/>
      </c>
      <c r="P316" s="193" t="str">
        <f>IF('Observaciones-SMP'!P316="","",'Observaciones-SMP'!P316)</f>
        <v/>
      </c>
      <c r="Q316" s="257" t="str">
        <f>IF('Observaciones-SMP'!S316="","",'Observaciones-SMP'!S316)</f>
        <v/>
      </c>
      <c r="R316" s="193" t="str">
        <f>IF('Observaciones-SMP'!T316="","",'Observaciones-SMP'!T316)</f>
        <v/>
      </c>
      <c r="S316" s="193" t="str">
        <f>""</f>
        <v/>
      </c>
      <c r="T316" s="193" t="str">
        <f>""</f>
        <v/>
      </c>
      <c r="U316" s="193" t="str">
        <f t="shared" si="16"/>
        <v/>
      </c>
      <c r="V316" s="193" t="str">
        <f>""</f>
        <v/>
      </c>
      <c r="W316" s="193" t="str">
        <f>""</f>
        <v/>
      </c>
      <c r="X316" s="258" t="str">
        <f t="shared" si="17"/>
        <v/>
      </c>
      <c r="Y316" s="258" t="str">
        <f t="shared" si="18"/>
        <v/>
      </c>
      <c r="Z316" s="193" t="str">
        <f>IF(A316="","",IF(COUNTIF('Observaciones-SMP'!$A$2:$A$1001,A316)&gt;1,1,0))</f>
        <v/>
      </c>
      <c r="AA316" s="193" t="str">
        <f t="shared" si="19"/>
        <v/>
      </c>
    </row>
    <row r="317" spans="1:27" ht="13.5" customHeight="1" x14ac:dyDescent="0.3">
      <c r="A317" s="193" t="str">
        <f>IF('Observaciones-SMP'!A317="","",'Observaciones-SMP'!A317)</f>
        <v/>
      </c>
      <c r="B317" s="257" t="str">
        <f>IF('Observaciones-SMP'!B317="","",'Observaciones-SMP'!B317)</f>
        <v/>
      </c>
      <c r="C317" s="193" t="str">
        <f>IF('Observaciones-SMP'!C317="","",'Observaciones-SMP'!C317)</f>
        <v/>
      </c>
      <c r="D317" s="193" t="str">
        <f>IF('Observaciones-SMP'!D317="","",'Observaciones-SMP'!D317)</f>
        <v/>
      </c>
      <c r="E317" s="193" t="str">
        <f>IF('Observaciones-SMP'!E317="","",'Observaciones-SMP'!E317)</f>
        <v/>
      </c>
      <c r="F317" s="193" t="str">
        <f>IF('Observaciones-SMP'!F317="","",'Observaciones-SMP'!F317)</f>
        <v/>
      </c>
      <c r="G317" s="193" t="str">
        <f>IF('Observaciones-SMP'!G317="","",'Observaciones-SMP'!G317)</f>
        <v/>
      </c>
      <c r="H317" s="193" t="str">
        <f>IF('Observaciones-SMP'!H317="","",'Observaciones-SMP'!H317)</f>
        <v/>
      </c>
      <c r="I317" s="193" t="str">
        <f>IF('Observaciones-SMP'!I317="","",'Observaciones-SMP'!I317)</f>
        <v/>
      </c>
      <c r="J317" s="193" t="str">
        <f>IF('Observaciones-SMP'!J317="","",'Observaciones-SMP'!J317)</f>
        <v/>
      </c>
      <c r="K317" s="193" t="str">
        <f>IF('Observaciones-SMP'!K317="","",'Observaciones-SMP'!K317)</f>
        <v/>
      </c>
      <c r="L317" s="193" t="str">
        <f>IF('Observaciones-SMP'!L317="","",'Observaciones-SMP'!L317)</f>
        <v/>
      </c>
      <c r="M317" s="193" t="str">
        <f>IF('Observaciones-SMP'!M317="","",'Observaciones-SMP'!M317)</f>
        <v/>
      </c>
      <c r="N317" s="193" t="str">
        <f>IF('Observaciones-SMP'!N317="","",'Observaciones-SMP'!N317)</f>
        <v/>
      </c>
      <c r="O317" s="193" t="str">
        <f>IF('Observaciones-SMP'!O317="","",'Observaciones-SMP'!O317)</f>
        <v/>
      </c>
      <c r="P317" s="193" t="str">
        <f>IF('Observaciones-SMP'!P317="","",'Observaciones-SMP'!P317)</f>
        <v/>
      </c>
      <c r="Q317" s="257" t="str">
        <f>IF('Observaciones-SMP'!S317="","",'Observaciones-SMP'!S317)</f>
        <v/>
      </c>
      <c r="R317" s="193" t="str">
        <f>IF('Observaciones-SMP'!T317="","",'Observaciones-SMP'!T317)</f>
        <v/>
      </c>
      <c r="S317" s="193" t="str">
        <f>""</f>
        <v/>
      </c>
      <c r="T317" s="193" t="str">
        <f>""</f>
        <v/>
      </c>
      <c r="U317" s="193" t="str">
        <f t="shared" si="16"/>
        <v/>
      </c>
      <c r="V317" s="193" t="str">
        <f>""</f>
        <v/>
      </c>
      <c r="W317" s="193" t="str">
        <f>""</f>
        <v/>
      </c>
      <c r="X317" s="258" t="str">
        <f t="shared" si="17"/>
        <v/>
      </c>
      <c r="Y317" s="258" t="str">
        <f t="shared" si="18"/>
        <v/>
      </c>
      <c r="Z317" s="193" t="str">
        <f>IF(A317="","",IF(COUNTIF('Observaciones-SMP'!$A$2:$A$1001,A317)&gt;1,1,0))</f>
        <v/>
      </c>
      <c r="AA317" s="193" t="str">
        <f t="shared" si="19"/>
        <v/>
      </c>
    </row>
    <row r="318" spans="1:27" ht="13.5" customHeight="1" x14ac:dyDescent="0.3">
      <c r="A318" s="193" t="str">
        <f>IF('Observaciones-SMP'!A318="","",'Observaciones-SMP'!A318)</f>
        <v/>
      </c>
      <c r="B318" s="257" t="str">
        <f>IF('Observaciones-SMP'!B318="","",'Observaciones-SMP'!B318)</f>
        <v/>
      </c>
      <c r="C318" s="193" t="str">
        <f>IF('Observaciones-SMP'!C318="","",'Observaciones-SMP'!C318)</f>
        <v/>
      </c>
      <c r="D318" s="193" t="str">
        <f>IF('Observaciones-SMP'!D318="","",'Observaciones-SMP'!D318)</f>
        <v/>
      </c>
      <c r="E318" s="193" t="str">
        <f>IF('Observaciones-SMP'!E318="","",'Observaciones-SMP'!E318)</f>
        <v/>
      </c>
      <c r="F318" s="193" t="str">
        <f>IF('Observaciones-SMP'!F318="","",'Observaciones-SMP'!F318)</f>
        <v/>
      </c>
      <c r="G318" s="193" t="str">
        <f>IF('Observaciones-SMP'!G318="","",'Observaciones-SMP'!G318)</f>
        <v/>
      </c>
      <c r="H318" s="193" t="str">
        <f>IF('Observaciones-SMP'!H318="","",'Observaciones-SMP'!H318)</f>
        <v/>
      </c>
      <c r="I318" s="193" t="str">
        <f>IF('Observaciones-SMP'!I318="","",'Observaciones-SMP'!I318)</f>
        <v/>
      </c>
      <c r="J318" s="193" t="str">
        <f>IF('Observaciones-SMP'!J318="","",'Observaciones-SMP'!J318)</f>
        <v/>
      </c>
      <c r="K318" s="193" t="str">
        <f>IF('Observaciones-SMP'!K318="","",'Observaciones-SMP'!K318)</f>
        <v/>
      </c>
      <c r="L318" s="193" t="str">
        <f>IF('Observaciones-SMP'!L318="","",'Observaciones-SMP'!L318)</f>
        <v/>
      </c>
      <c r="M318" s="193" t="str">
        <f>IF('Observaciones-SMP'!M318="","",'Observaciones-SMP'!M318)</f>
        <v/>
      </c>
      <c r="N318" s="193" t="str">
        <f>IF('Observaciones-SMP'!N318="","",'Observaciones-SMP'!N318)</f>
        <v/>
      </c>
      <c r="O318" s="193" t="str">
        <f>IF('Observaciones-SMP'!O318="","",'Observaciones-SMP'!O318)</f>
        <v/>
      </c>
      <c r="P318" s="193" t="str">
        <f>IF('Observaciones-SMP'!P318="","",'Observaciones-SMP'!P318)</f>
        <v/>
      </c>
      <c r="Q318" s="257" t="str">
        <f>IF('Observaciones-SMP'!S318="","",'Observaciones-SMP'!S318)</f>
        <v/>
      </c>
      <c r="R318" s="193" t="str">
        <f>IF('Observaciones-SMP'!T318="","",'Observaciones-SMP'!T318)</f>
        <v/>
      </c>
      <c r="S318" s="193" t="str">
        <f>""</f>
        <v/>
      </c>
      <c r="T318" s="193" t="str">
        <f>""</f>
        <v/>
      </c>
      <c r="U318" s="193" t="str">
        <f t="shared" si="16"/>
        <v/>
      </c>
      <c r="V318" s="193" t="str">
        <f>""</f>
        <v/>
      </c>
      <c r="W318" s="193" t="str">
        <f>""</f>
        <v/>
      </c>
      <c r="X318" s="258" t="str">
        <f t="shared" si="17"/>
        <v/>
      </c>
      <c r="Y318" s="258" t="str">
        <f t="shared" si="18"/>
        <v/>
      </c>
      <c r="Z318" s="193" t="str">
        <f>IF(A318="","",IF(COUNTIF('Observaciones-SMP'!$A$2:$A$1001,A318)&gt;1,1,0))</f>
        <v/>
      </c>
      <c r="AA318" s="193" t="str">
        <f t="shared" si="19"/>
        <v/>
      </c>
    </row>
    <row r="319" spans="1:27" ht="13.5" customHeight="1" x14ac:dyDescent="0.3">
      <c r="A319" s="193" t="str">
        <f>IF('Observaciones-SMP'!A319="","",'Observaciones-SMP'!A319)</f>
        <v/>
      </c>
      <c r="B319" s="257" t="str">
        <f>IF('Observaciones-SMP'!B319="","",'Observaciones-SMP'!B319)</f>
        <v/>
      </c>
      <c r="C319" s="193" t="str">
        <f>IF('Observaciones-SMP'!C319="","",'Observaciones-SMP'!C319)</f>
        <v/>
      </c>
      <c r="D319" s="193" t="str">
        <f>IF('Observaciones-SMP'!D319="","",'Observaciones-SMP'!D319)</f>
        <v/>
      </c>
      <c r="E319" s="193" t="str">
        <f>IF('Observaciones-SMP'!E319="","",'Observaciones-SMP'!E319)</f>
        <v/>
      </c>
      <c r="F319" s="193" t="str">
        <f>IF('Observaciones-SMP'!F319="","",'Observaciones-SMP'!F319)</f>
        <v/>
      </c>
      <c r="G319" s="193" t="str">
        <f>IF('Observaciones-SMP'!G319="","",'Observaciones-SMP'!G319)</f>
        <v/>
      </c>
      <c r="H319" s="193" t="str">
        <f>IF('Observaciones-SMP'!H319="","",'Observaciones-SMP'!H319)</f>
        <v/>
      </c>
      <c r="I319" s="193" t="str">
        <f>IF('Observaciones-SMP'!I319="","",'Observaciones-SMP'!I319)</f>
        <v/>
      </c>
      <c r="J319" s="193" t="str">
        <f>IF('Observaciones-SMP'!J319="","",'Observaciones-SMP'!J319)</f>
        <v/>
      </c>
      <c r="K319" s="193" t="str">
        <f>IF('Observaciones-SMP'!K319="","",'Observaciones-SMP'!K319)</f>
        <v/>
      </c>
      <c r="L319" s="193" t="str">
        <f>IF('Observaciones-SMP'!L319="","",'Observaciones-SMP'!L319)</f>
        <v/>
      </c>
      <c r="M319" s="193" t="str">
        <f>IF('Observaciones-SMP'!M319="","",'Observaciones-SMP'!M319)</f>
        <v/>
      </c>
      <c r="N319" s="193" t="str">
        <f>IF('Observaciones-SMP'!N319="","",'Observaciones-SMP'!N319)</f>
        <v/>
      </c>
      <c r="O319" s="193" t="str">
        <f>IF('Observaciones-SMP'!O319="","",'Observaciones-SMP'!O319)</f>
        <v/>
      </c>
      <c r="P319" s="193" t="str">
        <f>IF('Observaciones-SMP'!P319="","",'Observaciones-SMP'!P319)</f>
        <v/>
      </c>
      <c r="Q319" s="257" t="str">
        <f>IF('Observaciones-SMP'!S319="","",'Observaciones-SMP'!S319)</f>
        <v/>
      </c>
      <c r="R319" s="193" t="str">
        <f>IF('Observaciones-SMP'!T319="","",'Observaciones-SMP'!T319)</f>
        <v/>
      </c>
      <c r="S319" s="193" t="str">
        <f>""</f>
        <v/>
      </c>
      <c r="T319" s="193" t="str">
        <f>""</f>
        <v/>
      </c>
      <c r="U319" s="193" t="str">
        <f t="shared" si="16"/>
        <v/>
      </c>
      <c r="V319" s="193" t="str">
        <f>""</f>
        <v/>
      </c>
      <c r="W319" s="193" t="str">
        <f>""</f>
        <v/>
      </c>
      <c r="X319" s="258" t="str">
        <f t="shared" si="17"/>
        <v/>
      </c>
      <c r="Y319" s="258" t="str">
        <f t="shared" si="18"/>
        <v/>
      </c>
      <c r="Z319" s="193" t="str">
        <f>IF(A319="","",IF(COUNTIF('Observaciones-SMP'!$A$2:$A$1001,A319)&gt;1,1,0))</f>
        <v/>
      </c>
      <c r="AA319" s="193" t="str">
        <f t="shared" si="19"/>
        <v/>
      </c>
    </row>
    <row r="320" spans="1:27" ht="13.5" customHeight="1" x14ac:dyDescent="0.3">
      <c r="A320" s="193" t="str">
        <f>IF('Observaciones-SMP'!A320="","",'Observaciones-SMP'!A320)</f>
        <v/>
      </c>
      <c r="B320" s="257" t="str">
        <f>IF('Observaciones-SMP'!B320="","",'Observaciones-SMP'!B320)</f>
        <v/>
      </c>
      <c r="C320" s="193" t="str">
        <f>IF('Observaciones-SMP'!C320="","",'Observaciones-SMP'!C320)</f>
        <v/>
      </c>
      <c r="D320" s="193" t="str">
        <f>IF('Observaciones-SMP'!D320="","",'Observaciones-SMP'!D320)</f>
        <v/>
      </c>
      <c r="E320" s="193" t="str">
        <f>IF('Observaciones-SMP'!E320="","",'Observaciones-SMP'!E320)</f>
        <v/>
      </c>
      <c r="F320" s="193" t="str">
        <f>IF('Observaciones-SMP'!F320="","",'Observaciones-SMP'!F320)</f>
        <v/>
      </c>
      <c r="G320" s="193" t="str">
        <f>IF('Observaciones-SMP'!G320="","",'Observaciones-SMP'!G320)</f>
        <v/>
      </c>
      <c r="H320" s="193" t="str">
        <f>IF('Observaciones-SMP'!H320="","",'Observaciones-SMP'!H320)</f>
        <v/>
      </c>
      <c r="I320" s="193" t="str">
        <f>IF('Observaciones-SMP'!I320="","",'Observaciones-SMP'!I320)</f>
        <v/>
      </c>
      <c r="J320" s="193" t="str">
        <f>IF('Observaciones-SMP'!J320="","",'Observaciones-SMP'!J320)</f>
        <v/>
      </c>
      <c r="K320" s="193" t="str">
        <f>IF('Observaciones-SMP'!K320="","",'Observaciones-SMP'!K320)</f>
        <v/>
      </c>
      <c r="L320" s="193" t="str">
        <f>IF('Observaciones-SMP'!L320="","",'Observaciones-SMP'!L320)</f>
        <v/>
      </c>
      <c r="M320" s="193" t="str">
        <f>IF('Observaciones-SMP'!M320="","",'Observaciones-SMP'!M320)</f>
        <v/>
      </c>
      <c r="N320" s="193" t="str">
        <f>IF('Observaciones-SMP'!N320="","",'Observaciones-SMP'!N320)</f>
        <v/>
      </c>
      <c r="O320" s="193" t="str">
        <f>IF('Observaciones-SMP'!O320="","",'Observaciones-SMP'!O320)</f>
        <v/>
      </c>
      <c r="P320" s="193" t="str">
        <f>IF('Observaciones-SMP'!P320="","",'Observaciones-SMP'!P320)</f>
        <v/>
      </c>
      <c r="Q320" s="257" t="str">
        <f>IF('Observaciones-SMP'!S320="","",'Observaciones-SMP'!S320)</f>
        <v/>
      </c>
      <c r="R320" s="193" t="str">
        <f>IF('Observaciones-SMP'!T320="","",'Observaciones-SMP'!T320)</f>
        <v/>
      </c>
      <c r="S320" s="193" t="str">
        <f>""</f>
        <v/>
      </c>
      <c r="T320" s="193" t="str">
        <f>""</f>
        <v/>
      </c>
      <c r="U320" s="193" t="str">
        <f t="shared" si="16"/>
        <v/>
      </c>
      <c r="V320" s="193" t="str">
        <f>""</f>
        <v/>
      </c>
      <c r="W320" s="193" t="str">
        <f>""</f>
        <v/>
      </c>
      <c r="X320" s="258" t="str">
        <f t="shared" si="17"/>
        <v/>
      </c>
      <c r="Y320" s="258" t="str">
        <f t="shared" si="18"/>
        <v/>
      </c>
      <c r="Z320" s="193" t="str">
        <f>IF(A320="","",IF(COUNTIF('Observaciones-SMP'!$A$2:$A$1001,A320)&gt;1,1,0))</f>
        <v/>
      </c>
      <c r="AA320" s="193" t="str">
        <f t="shared" si="19"/>
        <v/>
      </c>
    </row>
    <row r="321" spans="1:27" ht="13.5" customHeight="1" x14ac:dyDescent="0.3">
      <c r="A321" s="193" t="str">
        <f>IF('Observaciones-SMP'!A321="","",'Observaciones-SMP'!A321)</f>
        <v/>
      </c>
      <c r="B321" s="257" t="str">
        <f>IF('Observaciones-SMP'!B321="","",'Observaciones-SMP'!B321)</f>
        <v/>
      </c>
      <c r="C321" s="193" t="str">
        <f>IF('Observaciones-SMP'!C321="","",'Observaciones-SMP'!C321)</f>
        <v/>
      </c>
      <c r="D321" s="193" t="str">
        <f>IF('Observaciones-SMP'!D321="","",'Observaciones-SMP'!D321)</f>
        <v/>
      </c>
      <c r="E321" s="193" t="str">
        <f>IF('Observaciones-SMP'!E321="","",'Observaciones-SMP'!E321)</f>
        <v/>
      </c>
      <c r="F321" s="193" t="str">
        <f>IF('Observaciones-SMP'!F321="","",'Observaciones-SMP'!F321)</f>
        <v/>
      </c>
      <c r="G321" s="193" t="str">
        <f>IF('Observaciones-SMP'!G321="","",'Observaciones-SMP'!G321)</f>
        <v/>
      </c>
      <c r="H321" s="193" t="str">
        <f>IF('Observaciones-SMP'!H321="","",'Observaciones-SMP'!H321)</f>
        <v/>
      </c>
      <c r="I321" s="193" t="str">
        <f>IF('Observaciones-SMP'!I321="","",'Observaciones-SMP'!I321)</f>
        <v/>
      </c>
      <c r="J321" s="193" t="str">
        <f>IF('Observaciones-SMP'!J321="","",'Observaciones-SMP'!J321)</f>
        <v/>
      </c>
      <c r="K321" s="193" t="str">
        <f>IF('Observaciones-SMP'!K321="","",'Observaciones-SMP'!K321)</f>
        <v/>
      </c>
      <c r="L321" s="193" t="str">
        <f>IF('Observaciones-SMP'!L321="","",'Observaciones-SMP'!L321)</f>
        <v/>
      </c>
      <c r="M321" s="193" t="str">
        <f>IF('Observaciones-SMP'!M321="","",'Observaciones-SMP'!M321)</f>
        <v/>
      </c>
      <c r="N321" s="193" t="str">
        <f>IF('Observaciones-SMP'!N321="","",'Observaciones-SMP'!N321)</f>
        <v/>
      </c>
      <c r="O321" s="193" t="str">
        <f>IF('Observaciones-SMP'!O321="","",'Observaciones-SMP'!O321)</f>
        <v/>
      </c>
      <c r="P321" s="193" t="str">
        <f>IF('Observaciones-SMP'!P321="","",'Observaciones-SMP'!P321)</f>
        <v/>
      </c>
      <c r="Q321" s="257" t="str">
        <f>IF('Observaciones-SMP'!S321="","",'Observaciones-SMP'!S321)</f>
        <v/>
      </c>
      <c r="R321" s="193" t="str">
        <f>IF('Observaciones-SMP'!T321="","",'Observaciones-SMP'!T321)</f>
        <v/>
      </c>
      <c r="S321" s="193" t="str">
        <f>""</f>
        <v/>
      </c>
      <c r="T321" s="193" t="str">
        <f>""</f>
        <v/>
      </c>
      <c r="U321" s="193" t="str">
        <f t="shared" si="16"/>
        <v/>
      </c>
      <c r="V321" s="193" t="str">
        <f>""</f>
        <v/>
      </c>
      <c r="W321" s="193" t="str">
        <f>""</f>
        <v/>
      </c>
      <c r="X321" s="258" t="str">
        <f t="shared" si="17"/>
        <v/>
      </c>
      <c r="Y321" s="258" t="str">
        <f t="shared" si="18"/>
        <v/>
      </c>
      <c r="Z321" s="193" t="str">
        <f>IF(A321="","",IF(COUNTIF('Observaciones-SMP'!$A$2:$A$1001,A321)&gt;1,1,0))</f>
        <v/>
      </c>
      <c r="AA321" s="193" t="str">
        <f t="shared" si="19"/>
        <v/>
      </c>
    </row>
    <row r="322" spans="1:27" ht="13.5" customHeight="1" x14ac:dyDescent="0.3">
      <c r="A322" s="193" t="str">
        <f>IF('Observaciones-SMP'!A322="","",'Observaciones-SMP'!A322)</f>
        <v/>
      </c>
      <c r="B322" s="257" t="str">
        <f>IF('Observaciones-SMP'!B322="","",'Observaciones-SMP'!B322)</f>
        <v/>
      </c>
      <c r="C322" s="193" t="str">
        <f>IF('Observaciones-SMP'!C322="","",'Observaciones-SMP'!C322)</f>
        <v/>
      </c>
      <c r="D322" s="193" t="str">
        <f>IF('Observaciones-SMP'!D322="","",'Observaciones-SMP'!D322)</f>
        <v/>
      </c>
      <c r="E322" s="193" t="str">
        <f>IF('Observaciones-SMP'!E322="","",'Observaciones-SMP'!E322)</f>
        <v/>
      </c>
      <c r="F322" s="193" t="str">
        <f>IF('Observaciones-SMP'!F322="","",'Observaciones-SMP'!F322)</f>
        <v/>
      </c>
      <c r="G322" s="193" t="str">
        <f>IF('Observaciones-SMP'!G322="","",'Observaciones-SMP'!G322)</f>
        <v/>
      </c>
      <c r="H322" s="193" t="str">
        <f>IF('Observaciones-SMP'!H322="","",'Observaciones-SMP'!H322)</f>
        <v/>
      </c>
      <c r="I322" s="193" t="str">
        <f>IF('Observaciones-SMP'!I322="","",'Observaciones-SMP'!I322)</f>
        <v/>
      </c>
      <c r="J322" s="193" t="str">
        <f>IF('Observaciones-SMP'!J322="","",'Observaciones-SMP'!J322)</f>
        <v/>
      </c>
      <c r="K322" s="193" t="str">
        <f>IF('Observaciones-SMP'!K322="","",'Observaciones-SMP'!K322)</f>
        <v/>
      </c>
      <c r="L322" s="193" t="str">
        <f>IF('Observaciones-SMP'!L322="","",'Observaciones-SMP'!L322)</f>
        <v/>
      </c>
      <c r="M322" s="193" t="str">
        <f>IF('Observaciones-SMP'!M322="","",'Observaciones-SMP'!M322)</f>
        <v/>
      </c>
      <c r="N322" s="193" t="str">
        <f>IF('Observaciones-SMP'!N322="","",'Observaciones-SMP'!N322)</f>
        <v/>
      </c>
      <c r="O322" s="193" t="str">
        <f>IF('Observaciones-SMP'!O322="","",'Observaciones-SMP'!O322)</f>
        <v/>
      </c>
      <c r="P322" s="193" t="str">
        <f>IF('Observaciones-SMP'!P322="","",'Observaciones-SMP'!P322)</f>
        <v/>
      </c>
      <c r="Q322" s="257" t="str">
        <f>IF('Observaciones-SMP'!S322="","",'Observaciones-SMP'!S322)</f>
        <v/>
      </c>
      <c r="R322" s="193" t="str">
        <f>IF('Observaciones-SMP'!T322="","",'Observaciones-SMP'!T322)</f>
        <v/>
      </c>
      <c r="S322" s="193" t="str">
        <f>""</f>
        <v/>
      </c>
      <c r="T322" s="193" t="str">
        <f>""</f>
        <v/>
      </c>
      <c r="U322" s="193" t="str">
        <f t="shared" ref="U322:U385" si="20">IF(AND(ISNUMBER(B322),ISNUMBER(Q322)),IF(Q322&gt;=B322,Q322-B322,""),"")</f>
        <v/>
      </c>
      <c r="V322" s="193" t="str">
        <f>""</f>
        <v/>
      </c>
      <c r="W322" s="193" t="str">
        <f>""</f>
        <v/>
      </c>
      <c r="X322" s="258" t="str">
        <f t="shared" ref="X322:X385" si="21">IF(ISNUMBER(B322),DATE(YEAR(B322),MONTH(B322),1),"")</f>
        <v/>
      </c>
      <c r="Y322" s="258" t="str">
        <f t="shared" ref="Y322:Y385" si="22">IF(ISNUMBER(Q322),DATE(YEAR(Q322),MONTH(Q322),1),"")</f>
        <v/>
      </c>
      <c r="Z322" s="193" t="str">
        <f>IF(A322="","",IF(COUNTIF('Observaciones-SMP'!$A$2:$A$1001,A322)&gt;1,1,0))</f>
        <v/>
      </c>
      <c r="AA322" s="193" t="str">
        <f t="shared" ref="AA322:AA385" si="23">IF(ISNUMBER(B322),IF(ISNUMBER(Q322),Q322,DATE(YEAR(RPT_MONTH),MONTH(RPT_MONTH)+1,0))-B322,"")</f>
        <v/>
      </c>
    </row>
    <row r="323" spans="1:27" ht="13.5" customHeight="1" x14ac:dyDescent="0.3">
      <c r="A323" s="193" t="str">
        <f>IF('Observaciones-SMP'!A323="","",'Observaciones-SMP'!A323)</f>
        <v/>
      </c>
      <c r="B323" s="257" t="str">
        <f>IF('Observaciones-SMP'!B323="","",'Observaciones-SMP'!B323)</f>
        <v/>
      </c>
      <c r="C323" s="193" t="str">
        <f>IF('Observaciones-SMP'!C323="","",'Observaciones-SMP'!C323)</f>
        <v/>
      </c>
      <c r="D323" s="193" t="str">
        <f>IF('Observaciones-SMP'!D323="","",'Observaciones-SMP'!D323)</f>
        <v/>
      </c>
      <c r="E323" s="193" t="str">
        <f>IF('Observaciones-SMP'!E323="","",'Observaciones-SMP'!E323)</f>
        <v/>
      </c>
      <c r="F323" s="193" t="str">
        <f>IF('Observaciones-SMP'!F323="","",'Observaciones-SMP'!F323)</f>
        <v/>
      </c>
      <c r="G323" s="193" t="str">
        <f>IF('Observaciones-SMP'!G323="","",'Observaciones-SMP'!G323)</f>
        <v/>
      </c>
      <c r="H323" s="193" t="str">
        <f>IF('Observaciones-SMP'!H323="","",'Observaciones-SMP'!H323)</f>
        <v/>
      </c>
      <c r="I323" s="193" t="str">
        <f>IF('Observaciones-SMP'!I323="","",'Observaciones-SMP'!I323)</f>
        <v/>
      </c>
      <c r="J323" s="193" t="str">
        <f>IF('Observaciones-SMP'!J323="","",'Observaciones-SMP'!J323)</f>
        <v/>
      </c>
      <c r="K323" s="193" t="str">
        <f>IF('Observaciones-SMP'!K323="","",'Observaciones-SMP'!K323)</f>
        <v/>
      </c>
      <c r="L323" s="193" t="str">
        <f>IF('Observaciones-SMP'!L323="","",'Observaciones-SMP'!L323)</f>
        <v/>
      </c>
      <c r="M323" s="193" t="str">
        <f>IF('Observaciones-SMP'!M323="","",'Observaciones-SMP'!M323)</f>
        <v/>
      </c>
      <c r="N323" s="193" t="str">
        <f>IF('Observaciones-SMP'!N323="","",'Observaciones-SMP'!N323)</f>
        <v/>
      </c>
      <c r="O323" s="193" t="str">
        <f>IF('Observaciones-SMP'!O323="","",'Observaciones-SMP'!O323)</f>
        <v/>
      </c>
      <c r="P323" s="193" t="str">
        <f>IF('Observaciones-SMP'!P323="","",'Observaciones-SMP'!P323)</f>
        <v/>
      </c>
      <c r="Q323" s="257" t="str">
        <f>IF('Observaciones-SMP'!S323="","",'Observaciones-SMP'!S323)</f>
        <v/>
      </c>
      <c r="R323" s="193" t="str">
        <f>IF('Observaciones-SMP'!T323="","",'Observaciones-SMP'!T323)</f>
        <v/>
      </c>
      <c r="S323" s="193" t="str">
        <f>""</f>
        <v/>
      </c>
      <c r="T323" s="193" t="str">
        <f>""</f>
        <v/>
      </c>
      <c r="U323" s="193" t="str">
        <f t="shared" si="20"/>
        <v/>
      </c>
      <c r="V323" s="193" t="str">
        <f>""</f>
        <v/>
      </c>
      <c r="W323" s="193" t="str">
        <f>""</f>
        <v/>
      </c>
      <c r="X323" s="258" t="str">
        <f t="shared" si="21"/>
        <v/>
      </c>
      <c r="Y323" s="258" t="str">
        <f t="shared" si="22"/>
        <v/>
      </c>
      <c r="Z323" s="193" t="str">
        <f>IF(A323="","",IF(COUNTIF('Observaciones-SMP'!$A$2:$A$1001,A323)&gt;1,1,0))</f>
        <v/>
      </c>
      <c r="AA323" s="193" t="str">
        <f t="shared" si="23"/>
        <v/>
      </c>
    </row>
    <row r="324" spans="1:27" ht="13.5" customHeight="1" x14ac:dyDescent="0.3">
      <c r="A324" s="193" t="str">
        <f>IF('Observaciones-SMP'!A324="","",'Observaciones-SMP'!A324)</f>
        <v/>
      </c>
      <c r="B324" s="257" t="str">
        <f>IF('Observaciones-SMP'!B324="","",'Observaciones-SMP'!B324)</f>
        <v/>
      </c>
      <c r="C324" s="193" t="str">
        <f>IF('Observaciones-SMP'!C324="","",'Observaciones-SMP'!C324)</f>
        <v/>
      </c>
      <c r="D324" s="193" t="str">
        <f>IF('Observaciones-SMP'!D324="","",'Observaciones-SMP'!D324)</f>
        <v/>
      </c>
      <c r="E324" s="193" t="str">
        <f>IF('Observaciones-SMP'!E324="","",'Observaciones-SMP'!E324)</f>
        <v/>
      </c>
      <c r="F324" s="193" t="str">
        <f>IF('Observaciones-SMP'!F324="","",'Observaciones-SMP'!F324)</f>
        <v/>
      </c>
      <c r="G324" s="193" t="str">
        <f>IF('Observaciones-SMP'!G324="","",'Observaciones-SMP'!G324)</f>
        <v/>
      </c>
      <c r="H324" s="193" t="str">
        <f>IF('Observaciones-SMP'!H324="","",'Observaciones-SMP'!H324)</f>
        <v/>
      </c>
      <c r="I324" s="193" t="str">
        <f>IF('Observaciones-SMP'!I324="","",'Observaciones-SMP'!I324)</f>
        <v/>
      </c>
      <c r="J324" s="193" t="str">
        <f>IF('Observaciones-SMP'!J324="","",'Observaciones-SMP'!J324)</f>
        <v/>
      </c>
      <c r="K324" s="193" t="str">
        <f>IF('Observaciones-SMP'!K324="","",'Observaciones-SMP'!K324)</f>
        <v/>
      </c>
      <c r="L324" s="193" t="str">
        <f>IF('Observaciones-SMP'!L324="","",'Observaciones-SMP'!L324)</f>
        <v/>
      </c>
      <c r="M324" s="193" t="str">
        <f>IF('Observaciones-SMP'!M324="","",'Observaciones-SMP'!M324)</f>
        <v/>
      </c>
      <c r="N324" s="193" t="str">
        <f>IF('Observaciones-SMP'!N324="","",'Observaciones-SMP'!N324)</f>
        <v/>
      </c>
      <c r="O324" s="193" t="str">
        <f>IF('Observaciones-SMP'!O324="","",'Observaciones-SMP'!O324)</f>
        <v/>
      </c>
      <c r="P324" s="193" t="str">
        <f>IF('Observaciones-SMP'!P324="","",'Observaciones-SMP'!P324)</f>
        <v/>
      </c>
      <c r="Q324" s="257" t="str">
        <f>IF('Observaciones-SMP'!S324="","",'Observaciones-SMP'!S324)</f>
        <v/>
      </c>
      <c r="R324" s="193" t="str">
        <f>IF('Observaciones-SMP'!T324="","",'Observaciones-SMP'!T324)</f>
        <v/>
      </c>
      <c r="S324" s="193" t="str">
        <f>""</f>
        <v/>
      </c>
      <c r="T324" s="193" t="str">
        <f>""</f>
        <v/>
      </c>
      <c r="U324" s="193" t="str">
        <f t="shared" si="20"/>
        <v/>
      </c>
      <c r="V324" s="193" t="str">
        <f>""</f>
        <v/>
      </c>
      <c r="W324" s="193" t="str">
        <f>""</f>
        <v/>
      </c>
      <c r="X324" s="258" t="str">
        <f t="shared" si="21"/>
        <v/>
      </c>
      <c r="Y324" s="258" t="str">
        <f t="shared" si="22"/>
        <v/>
      </c>
      <c r="Z324" s="193" t="str">
        <f>IF(A324="","",IF(COUNTIF('Observaciones-SMP'!$A$2:$A$1001,A324)&gt;1,1,0))</f>
        <v/>
      </c>
      <c r="AA324" s="193" t="str">
        <f t="shared" si="23"/>
        <v/>
      </c>
    </row>
    <row r="325" spans="1:27" ht="13.5" customHeight="1" x14ac:dyDescent="0.3">
      <c r="A325" s="193" t="str">
        <f>IF('Observaciones-SMP'!A325="","",'Observaciones-SMP'!A325)</f>
        <v/>
      </c>
      <c r="B325" s="257" t="str">
        <f>IF('Observaciones-SMP'!B325="","",'Observaciones-SMP'!B325)</f>
        <v/>
      </c>
      <c r="C325" s="193" t="str">
        <f>IF('Observaciones-SMP'!C325="","",'Observaciones-SMP'!C325)</f>
        <v/>
      </c>
      <c r="D325" s="193" t="str">
        <f>IF('Observaciones-SMP'!D325="","",'Observaciones-SMP'!D325)</f>
        <v/>
      </c>
      <c r="E325" s="193" t="str">
        <f>IF('Observaciones-SMP'!E325="","",'Observaciones-SMP'!E325)</f>
        <v/>
      </c>
      <c r="F325" s="193" t="str">
        <f>IF('Observaciones-SMP'!F325="","",'Observaciones-SMP'!F325)</f>
        <v/>
      </c>
      <c r="G325" s="193" t="str">
        <f>IF('Observaciones-SMP'!G325="","",'Observaciones-SMP'!G325)</f>
        <v/>
      </c>
      <c r="H325" s="193" t="str">
        <f>IF('Observaciones-SMP'!H325="","",'Observaciones-SMP'!H325)</f>
        <v/>
      </c>
      <c r="I325" s="193" t="str">
        <f>IF('Observaciones-SMP'!I325="","",'Observaciones-SMP'!I325)</f>
        <v/>
      </c>
      <c r="J325" s="193" t="str">
        <f>IF('Observaciones-SMP'!J325="","",'Observaciones-SMP'!J325)</f>
        <v/>
      </c>
      <c r="K325" s="193" t="str">
        <f>IF('Observaciones-SMP'!K325="","",'Observaciones-SMP'!K325)</f>
        <v/>
      </c>
      <c r="L325" s="193" t="str">
        <f>IF('Observaciones-SMP'!L325="","",'Observaciones-SMP'!L325)</f>
        <v/>
      </c>
      <c r="M325" s="193" t="str">
        <f>IF('Observaciones-SMP'!M325="","",'Observaciones-SMP'!M325)</f>
        <v/>
      </c>
      <c r="N325" s="193" t="str">
        <f>IF('Observaciones-SMP'!N325="","",'Observaciones-SMP'!N325)</f>
        <v/>
      </c>
      <c r="O325" s="193" t="str">
        <f>IF('Observaciones-SMP'!O325="","",'Observaciones-SMP'!O325)</f>
        <v/>
      </c>
      <c r="P325" s="193" t="str">
        <f>IF('Observaciones-SMP'!P325="","",'Observaciones-SMP'!P325)</f>
        <v/>
      </c>
      <c r="Q325" s="257" t="str">
        <f>IF('Observaciones-SMP'!S325="","",'Observaciones-SMP'!S325)</f>
        <v/>
      </c>
      <c r="R325" s="193" t="str">
        <f>IF('Observaciones-SMP'!T325="","",'Observaciones-SMP'!T325)</f>
        <v/>
      </c>
      <c r="S325" s="193" t="str">
        <f>""</f>
        <v/>
      </c>
      <c r="T325" s="193" t="str">
        <f>""</f>
        <v/>
      </c>
      <c r="U325" s="193" t="str">
        <f t="shared" si="20"/>
        <v/>
      </c>
      <c r="V325" s="193" t="str">
        <f>""</f>
        <v/>
      </c>
      <c r="W325" s="193" t="str">
        <f>""</f>
        <v/>
      </c>
      <c r="X325" s="258" t="str">
        <f t="shared" si="21"/>
        <v/>
      </c>
      <c r="Y325" s="258" t="str">
        <f t="shared" si="22"/>
        <v/>
      </c>
      <c r="Z325" s="193" t="str">
        <f>IF(A325="","",IF(COUNTIF('Observaciones-SMP'!$A$2:$A$1001,A325)&gt;1,1,0))</f>
        <v/>
      </c>
      <c r="AA325" s="193" t="str">
        <f t="shared" si="23"/>
        <v/>
      </c>
    </row>
    <row r="326" spans="1:27" ht="13.5" customHeight="1" x14ac:dyDescent="0.3">
      <c r="A326" s="193" t="str">
        <f>IF('Observaciones-SMP'!A326="","",'Observaciones-SMP'!A326)</f>
        <v/>
      </c>
      <c r="B326" s="257" t="str">
        <f>IF('Observaciones-SMP'!B326="","",'Observaciones-SMP'!B326)</f>
        <v/>
      </c>
      <c r="C326" s="193" t="str">
        <f>IF('Observaciones-SMP'!C326="","",'Observaciones-SMP'!C326)</f>
        <v/>
      </c>
      <c r="D326" s="193" t="str">
        <f>IF('Observaciones-SMP'!D326="","",'Observaciones-SMP'!D326)</f>
        <v/>
      </c>
      <c r="E326" s="193" t="str">
        <f>IF('Observaciones-SMP'!E326="","",'Observaciones-SMP'!E326)</f>
        <v/>
      </c>
      <c r="F326" s="193" t="str">
        <f>IF('Observaciones-SMP'!F326="","",'Observaciones-SMP'!F326)</f>
        <v/>
      </c>
      <c r="G326" s="193" t="str">
        <f>IF('Observaciones-SMP'!G326="","",'Observaciones-SMP'!G326)</f>
        <v/>
      </c>
      <c r="H326" s="193" t="str">
        <f>IF('Observaciones-SMP'!H326="","",'Observaciones-SMP'!H326)</f>
        <v/>
      </c>
      <c r="I326" s="193" t="str">
        <f>IF('Observaciones-SMP'!I326="","",'Observaciones-SMP'!I326)</f>
        <v/>
      </c>
      <c r="J326" s="193" t="str">
        <f>IF('Observaciones-SMP'!J326="","",'Observaciones-SMP'!J326)</f>
        <v/>
      </c>
      <c r="K326" s="193" t="str">
        <f>IF('Observaciones-SMP'!K326="","",'Observaciones-SMP'!K326)</f>
        <v/>
      </c>
      <c r="L326" s="193" t="str">
        <f>IF('Observaciones-SMP'!L326="","",'Observaciones-SMP'!L326)</f>
        <v/>
      </c>
      <c r="M326" s="193" t="str">
        <f>IF('Observaciones-SMP'!M326="","",'Observaciones-SMP'!M326)</f>
        <v/>
      </c>
      <c r="N326" s="193" t="str">
        <f>IF('Observaciones-SMP'!N326="","",'Observaciones-SMP'!N326)</f>
        <v/>
      </c>
      <c r="O326" s="193" t="str">
        <f>IF('Observaciones-SMP'!O326="","",'Observaciones-SMP'!O326)</f>
        <v/>
      </c>
      <c r="P326" s="193" t="str">
        <f>IF('Observaciones-SMP'!P326="","",'Observaciones-SMP'!P326)</f>
        <v/>
      </c>
      <c r="Q326" s="257" t="str">
        <f>IF('Observaciones-SMP'!S326="","",'Observaciones-SMP'!S326)</f>
        <v/>
      </c>
      <c r="R326" s="193" t="str">
        <f>IF('Observaciones-SMP'!T326="","",'Observaciones-SMP'!T326)</f>
        <v/>
      </c>
      <c r="S326" s="193" t="str">
        <f>""</f>
        <v/>
      </c>
      <c r="T326" s="193" t="str">
        <f>""</f>
        <v/>
      </c>
      <c r="U326" s="193" t="str">
        <f t="shared" si="20"/>
        <v/>
      </c>
      <c r="V326" s="193" t="str">
        <f>""</f>
        <v/>
      </c>
      <c r="W326" s="193" t="str">
        <f>""</f>
        <v/>
      </c>
      <c r="X326" s="258" t="str">
        <f t="shared" si="21"/>
        <v/>
      </c>
      <c r="Y326" s="258" t="str">
        <f t="shared" si="22"/>
        <v/>
      </c>
      <c r="Z326" s="193" t="str">
        <f>IF(A326="","",IF(COUNTIF('Observaciones-SMP'!$A$2:$A$1001,A326)&gt;1,1,0))</f>
        <v/>
      </c>
      <c r="AA326" s="193" t="str">
        <f t="shared" si="23"/>
        <v/>
      </c>
    </row>
    <row r="327" spans="1:27" ht="13.5" customHeight="1" x14ac:dyDescent="0.3">
      <c r="A327" s="193" t="str">
        <f>IF('Observaciones-SMP'!A327="","",'Observaciones-SMP'!A327)</f>
        <v/>
      </c>
      <c r="B327" s="257" t="str">
        <f>IF('Observaciones-SMP'!B327="","",'Observaciones-SMP'!B327)</f>
        <v/>
      </c>
      <c r="C327" s="193" t="str">
        <f>IF('Observaciones-SMP'!C327="","",'Observaciones-SMP'!C327)</f>
        <v/>
      </c>
      <c r="D327" s="193" t="str">
        <f>IF('Observaciones-SMP'!D327="","",'Observaciones-SMP'!D327)</f>
        <v/>
      </c>
      <c r="E327" s="193" t="str">
        <f>IF('Observaciones-SMP'!E327="","",'Observaciones-SMP'!E327)</f>
        <v/>
      </c>
      <c r="F327" s="193" t="str">
        <f>IF('Observaciones-SMP'!F327="","",'Observaciones-SMP'!F327)</f>
        <v/>
      </c>
      <c r="G327" s="193" t="str">
        <f>IF('Observaciones-SMP'!G327="","",'Observaciones-SMP'!G327)</f>
        <v/>
      </c>
      <c r="H327" s="193" t="str">
        <f>IF('Observaciones-SMP'!H327="","",'Observaciones-SMP'!H327)</f>
        <v/>
      </c>
      <c r="I327" s="193" t="str">
        <f>IF('Observaciones-SMP'!I327="","",'Observaciones-SMP'!I327)</f>
        <v/>
      </c>
      <c r="J327" s="193" t="str">
        <f>IF('Observaciones-SMP'!J327="","",'Observaciones-SMP'!J327)</f>
        <v/>
      </c>
      <c r="K327" s="193" t="str">
        <f>IF('Observaciones-SMP'!K327="","",'Observaciones-SMP'!K327)</f>
        <v/>
      </c>
      <c r="L327" s="193" t="str">
        <f>IF('Observaciones-SMP'!L327="","",'Observaciones-SMP'!L327)</f>
        <v/>
      </c>
      <c r="M327" s="193" t="str">
        <f>IF('Observaciones-SMP'!M327="","",'Observaciones-SMP'!M327)</f>
        <v/>
      </c>
      <c r="N327" s="193" t="str">
        <f>IF('Observaciones-SMP'!N327="","",'Observaciones-SMP'!N327)</f>
        <v/>
      </c>
      <c r="O327" s="193" t="str">
        <f>IF('Observaciones-SMP'!O327="","",'Observaciones-SMP'!O327)</f>
        <v/>
      </c>
      <c r="P327" s="193" t="str">
        <f>IF('Observaciones-SMP'!P327="","",'Observaciones-SMP'!P327)</f>
        <v/>
      </c>
      <c r="Q327" s="257" t="str">
        <f>IF('Observaciones-SMP'!S327="","",'Observaciones-SMP'!S327)</f>
        <v/>
      </c>
      <c r="R327" s="193" t="str">
        <f>IF('Observaciones-SMP'!T327="","",'Observaciones-SMP'!T327)</f>
        <v/>
      </c>
      <c r="S327" s="193" t="str">
        <f>""</f>
        <v/>
      </c>
      <c r="T327" s="193" t="str">
        <f>""</f>
        <v/>
      </c>
      <c r="U327" s="193" t="str">
        <f t="shared" si="20"/>
        <v/>
      </c>
      <c r="V327" s="193" t="str">
        <f>""</f>
        <v/>
      </c>
      <c r="W327" s="193" t="str">
        <f>""</f>
        <v/>
      </c>
      <c r="X327" s="258" t="str">
        <f t="shared" si="21"/>
        <v/>
      </c>
      <c r="Y327" s="258" t="str">
        <f t="shared" si="22"/>
        <v/>
      </c>
      <c r="Z327" s="193" t="str">
        <f>IF(A327="","",IF(COUNTIF('Observaciones-SMP'!$A$2:$A$1001,A327)&gt;1,1,0))</f>
        <v/>
      </c>
      <c r="AA327" s="193" t="str">
        <f t="shared" si="23"/>
        <v/>
      </c>
    </row>
    <row r="328" spans="1:27" ht="13.5" customHeight="1" x14ac:dyDescent="0.3">
      <c r="A328" s="193" t="str">
        <f>IF('Observaciones-SMP'!A328="","",'Observaciones-SMP'!A328)</f>
        <v/>
      </c>
      <c r="B328" s="257" t="str">
        <f>IF('Observaciones-SMP'!B328="","",'Observaciones-SMP'!B328)</f>
        <v/>
      </c>
      <c r="C328" s="193" t="str">
        <f>IF('Observaciones-SMP'!C328="","",'Observaciones-SMP'!C328)</f>
        <v/>
      </c>
      <c r="D328" s="193" t="str">
        <f>IF('Observaciones-SMP'!D328="","",'Observaciones-SMP'!D328)</f>
        <v/>
      </c>
      <c r="E328" s="193" t="str">
        <f>IF('Observaciones-SMP'!E328="","",'Observaciones-SMP'!E328)</f>
        <v/>
      </c>
      <c r="F328" s="193" t="str">
        <f>IF('Observaciones-SMP'!F328="","",'Observaciones-SMP'!F328)</f>
        <v/>
      </c>
      <c r="G328" s="193" t="str">
        <f>IF('Observaciones-SMP'!G328="","",'Observaciones-SMP'!G328)</f>
        <v/>
      </c>
      <c r="H328" s="193" t="str">
        <f>IF('Observaciones-SMP'!H328="","",'Observaciones-SMP'!H328)</f>
        <v/>
      </c>
      <c r="I328" s="193" t="str">
        <f>IF('Observaciones-SMP'!I328="","",'Observaciones-SMP'!I328)</f>
        <v/>
      </c>
      <c r="J328" s="193" t="str">
        <f>IF('Observaciones-SMP'!J328="","",'Observaciones-SMP'!J328)</f>
        <v/>
      </c>
      <c r="K328" s="193" t="str">
        <f>IF('Observaciones-SMP'!K328="","",'Observaciones-SMP'!K328)</f>
        <v/>
      </c>
      <c r="L328" s="193" t="str">
        <f>IF('Observaciones-SMP'!L328="","",'Observaciones-SMP'!L328)</f>
        <v/>
      </c>
      <c r="M328" s="193" t="str">
        <f>IF('Observaciones-SMP'!M328="","",'Observaciones-SMP'!M328)</f>
        <v/>
      </c>
      <c r="N328" s="193" t="str">
        <f>IF('Observaciones-SMP'!N328="","",'Observaciones-SMP'!N328)</f>
        <v/>
      </c>
      <c r="O328" s="193" t="str">
        <f>IF('Observaciones-SMP'!O328="","",'Observaciones-SMP'!O328)</f>
        <v/>
      </c>
      <c r="P328" s="193" t="str">
        <f>IF('Observaciones-SMP'!P328="","",'Observaciones-SMP'!P328)</f>
        <v/>
      </c>
      <c r="Q328" s="257" t="str">
        <f>IF('Observaciones-SMP'!S328="","",'Observaciones-SMP'!S328)</f>
        <v/>
      </c>
      <c r="R328" s="193" t="str">
        <f>IF('Observaciones-SMP'!T328="","",'Observaciones-SMP'!T328)</f>
        <v/>
      </c>
      <c r="S328" s="193" t="str">
        <f>""</f>
        <v/>
      </c>
      <c r="T328" s="193" t="str">
        <f>""</f>
        <v/>
      </c>
      <c r="U328" s="193" t="str">
        <f t="shared" si="20"/>
        <v/>
      </c>
      <c r="V328" s="193" t="str">
        <f>""</f>
        <v/>
      </c>
      <c r="W328" s="193" t="str">
        <f>""</f>
        <v/>
      </c>
      <c r="X328" s="258" t="str">
        <f t="shared" si="21"/>
        <v/>
      </c>
      <c r="Y328" s="258" t="str">
        <f t="shared" si="22"/>
        <v/>
      </c>
      <c r="Z328" s="193" t="str">
        <f>IF(A328="","",IF(COUNTIF('Observaciones-SMP'!$A$2:$A$1001,A328)&gt;1,1,0))</f>
        <v/>
      </c>
      <c r="AA328" s="193" t="str">
        <f t="shared" si="23"/>
        <v/>
      </c>
    </row>
    <row r="329" spans="1:27" ht="13.5" customHeight="1" x14ac:dyDescent="0.3">
      <c r="A329" s="193" t="str">
        <f>IF('Observaciones-SMP'!A329="","",'Observaciones-SMP'!A329)</f>
        <v/>
      </c>
      <c r="B329" s="257" t="str">
        <f>IF('Observaciones-SMP'!B329="","",'Observaciones-SMP'!B329)</f>
        <v/>
      </c>
      <c r="C329" s="193" t="str">
        <f>IF('Observaciones-SMP'!C329="","",'Observaciones-SMP'!C329)</f>
        <v/>
      </c>
      <c r="D329" s="193" t="str">
        <f>IF('Observaciones-SMP'!D329="","",'Observaciones-SMP'!D329)</f>
        <v/>
      </c>
      <c r="E329" s="193" t="str">
        <f>IF('Observaciones-SMP'!E329="","",'Observaciones-SMP'!E329)</f>
        <v/>
      </c>
      <c r="F329" s="193" t="str">
        <f>IF('Observaciones-SMP'!F329="","",'Observaciones-SMP'!F329)</f>
        <v/>
      </c>
      <c r="G329" s="193" t="str">
        <f>IF('Observaciones-SMP'!G329="","",'Observaciones-SMP'!G329)</f>
        <v/>
      </c>
      <c r="H329" s="193" t="str">
        <f>IF('Observaciones-SMP'!H329="","",'Observaciones-SMP'!H329)</f>
        <v/>
      </c>
      <c r="I329" s="193" t="str">
        <f>IF('Observaciones-SMP'!I329="","",'Observaciones-SMP'!I329)</f>
        <v/>
      </c>
      <c r="J329" s="193" t="str">
        <f>IF('Observaciones-SMP'!J329="","",'Observaciones-SMP'!J329)</f>
        <v/>
      </c>
      <c r="K329" s="193" t="str">
        <f>IF('Observaciones-SMP'!K329="","",'Observaciones-SMP'!K329)</f>
        <v/>
      </c>
      <c r="L329" s="193" t="str">
        <f>IF('Observaciones-SMP'!L329="","",'Observaciones-SMP'!L329)</f>
        <v/>
      </c>
      <c r="M329" s="193" t="str">
        <f>IF('Observaciones-SMP'!M329="","",'Observaciones-SMP'!M329)</f>
        <v/>
      </c>
      <c r="N329" s="193" t="str">
        <f>IF('Observaciones-SMP'!N329="","",'Observaciones-SMP'!N329)</f>
        <v/>
      </c>
      <c r="O329" s="193" t="str">
        <f>IF('Observaciones-SMP'!O329="","",'Observaciones-SMP'!O329)</f>
        <v/>
      </c>
      <c r="P329" s="193" t="str">
        <f>IF('Observaciones-SMP'!P329="","",'Observaciones-SMP'!P329)</f>
        <v/>
      </c>
      <c r="Q329" s="257" t="str">
        <f>IF('Observaciones-SMP'!S329="","",'Observaciones-SMP'!S329)</f>
        <v/>
      </c>
      <c r="R329" s="193" t="str">
        <f>IF('Observaciones-SMP'!T329="","",'Observaciones-SMP'!T329)</f>
        <v/>
      </c>
      <c r="S329" s="193" t="str">
        <f>""</f>
        <v/>
      </c>
      <c r="T329" s="193" t="str">
        <f>""</f>
        <v/>
      </c>
      <c r="U329" s="193" t="str">
        <f t="shared" si="20"/>
        <v/>
      </c>
      <c r="V329" s="193" t="str">
        <f>""</f>
        <v/>
      </c>
      <c r="W329" s="193" t="str">
        <f>""</f>
        <v/>
      </c>
      <c r="X329" s="258" t="str">
        <f t="shared" si="21"/>
        <v/>
      </c>
      <c r="Y329" s="258" t="str">
        <f t="shared" si="22"/>
        <v/>
      </c>
      <c r="Z329" s="193" t="str">
        <f>IF(A329="","",IF(COUNTIF('Observaciones-SMP'!$A$2:$A$1001,A329)&gt;1,1,0))</f>
        <v/>
      </c>
      <c r="AA329" s="193" t="str">
        <f t="shared" si="23"/>
        <v/>
      </c>
    </row>
    <row r="330" spans="1:27" ht="13.5" customHeight="1" x14ac:dyDescent="0.3">
      <c r="A330" s="193" t="str">
        <f>IF('Observaciones-SMP'!A330="","",'Observaciones-SMP'!A330)</f>
        <v/>
      </c>
      <c r="B330" s="257" t="str">
        <f>IF('Observaciones-SMP'!B330="","",'Observaciones-SMP'!B330)</f>
        <v/>
      </c>
      <c r="C330" s="193" t="str">
        <f>IF('Observaciones-SMP'!C330="","",'Observaciones-SMP'!C330)</f>
        <v/>
      </c>
      <c r="D330" s="193" t="str">
        <f>IF('Observaciones-SMP'!D330="","",'Observaciones-SMP'!D330)</f>
        <v/>
      </c>
      <c r="E330" s="193" t="str">
        <f>IF('Observaciones-SMP'!E330="","",'Observaciones-SMP'!E330)</f>
        <v/>
      </c>
      <c r="F330" s="193" t="str">
        <f>IF('Observaciones-SMP'!F330="","",'Observaciones-SMP'!F330)</f>
        <v/>
      </c>
      <c r="G330" s="193" t="str">
        <f>IF('Observaciones-SMP'!G330="","",'Observaciones-SMP'!G330)</f>
        <v/>
      </c>
      <c r="H330" s="193" t="str">
        <f>IF('Observaciones-SMP'!H330="","",'Observaciones-SMP'!H330)</f>
        <v/>
      </c>
      <c r="I330" s="193" t="str">
        <f>IF('Observaciones-SMP'!I330="","",'Observaciones-SMP'!I330)</f>
        <v/>
      </c>
      <c r="J330" s="193" t="str">
        <f>IF('Observaciones-SMP'!J330="","",'Observaciones-SMP'!J330)</f>
        <v/>
      </c>
      <c r="K330" s="193" t="str">
        <f>IF('Observaciones-SMP'!K330="","",'Observaciones-SMP'!K330)</f>
        <v/>
      </c>
      <c r="L330" s="193" t="str">
        <f>IF('Observaciones-SMP'!L330="","",'Observaciones-SMP'!L330)</f>
        <v/>
      </c>
      <c r="M330" s="193" t="str">
        <f>IF('Observaciones-SMP'!M330="","",'Observaciones-SMP'!M330)</f>
        <v/>
      </c>
      <c r="N330" s="193" t="str">
        <f>IF('Observaciones-SMP'!N330="","",'Observaciones-SMP'!N330)</f>
        <v/>
      </c>
      <c r="O330" s="193" t="str">
        <f>IF('Observaciones-SMP'!O330="","",'Observaciones-SMP'!O330)</f>
        <v/>
      </c>
      <c r="P330" s="193" t="str">
        <f>IF('Observaciones-SMP'!P330="","",'Observaciones-SMP'!P330)</f>
        <v/>
      </c>
      <c r="Q330" s="257" t="str">
        <f>IF('Observaciones-SMP'!S330="","",'Observaciones-SMP'!S330)</f>
        <v/>
      </c>
      <c r="R330" s="193" t="str">
        <f>IF('Observaciones-SMP'!T330="","",'Observaciones-SMP'!T330)</f>
        <v/>
      </c>
      <c r="S330" s="193" t="str">
        <f>""</f>
        <v/>
      </c>
      <c r="T330" s="193" t="str">
        <f>""</f>
        <v/>
      </c>
      <c r="U330" s="193" t="str">
        <f t="shared" si="20"/>
        <v/>
      </c>
      <c r="V330" s="193" t="str">
        <f>""</f>
        <v/>
      </c>
      <c r="W330" s="193" t="str">
        <f>""</f>
        <v/>
      </c>
      <c r="X330" s="258" t="str">
        <f t="shared" si="21"/>
        <v/>
      </c>
      <c r="Y330" s="258" t="str">
        <f t="shared" si="22"/>
        <v/>
      </c>
      <c r="Z330" s="193" t="str">
        <f>IF(A330="","",IF(COUNTIF('Observaciones-SMP'!$A$2:$A$1001,A330)&gt;1,1,0))</f>
        <v/>
      </c>
      <c r="AA330" s="193" t="str">
        <f t="shared" si="23"/>
        <v/>
      </c>
    </row>
    <row r="331" spans="1:27" ht="13.5" customHeight="1" x14ac:dyDescent="0.3">
      <c r="A331" s="193" t="str">
        <f>IF('Observaciones-SMP'!A331="","",'Observaciones-SMP'!A331)</f>
        <v/>
      </c>
      <c r="B331" s="257" t="str">
        <f>IF('Observaciones-SMP'!B331="","",'Observaciones-SMP'!B331)</f>
        <v/>
      </c>
      <c r="C331" s="193" t="str">
        <f>IF('Observaciones-SMP'!C331="","",'Observaciones-SMP'!C331)</f>
        <v/>
      </c>
      <c r="D331" s="193" t="str">
        <f>IF('Observaciones-SMP'!D331="","",'Observaciones-SMP'!D331)</f>
        <v/>
      </c>
      <c r="E331" s="193" t="str">
        <f>IF('Observaciones-SMP'!E331="","",'Observaciones-SMP'!E331)</f>
        <v/>
      </c>
      <c r="F331" s="193" t="str">
        <f>IF('Observaciones-SMP'!F331="","",'Observaciones-SMP'!F331)</f>
        <v/>
      </c>
      <c r="G331" s="193" t="str">
        <f>IF('Observaciones-SMP'!G331="","",'Observaciones-SMP'!G331)</f>
        <v/>
      </c>
      <c r="H331" s="193" t="str">
        <f>IF('Observaciones-SMP'!H331="","",'Observaciones-SMP'!H331)</f>
        <v/>
      </c>
      <c r="I331" s="193" t="str">
        <f>IF('Observaciones-SMP'!I331="","",'Observaciones-SMP'!I331)</f>
        <v/>
      </c>
      <c r="J331" s="193" t="str">
        <f>IF('Observaciones-SMP'!J331="","",'Observaciones-SMP'!J331)</f>
        <v/>
      </c>
      <c r="K331" s="193" t="str">
        <f>IF('Observaciones-SMP'!K331="","",'Observaciones-SMP'!K331)</f>
        <v/>
      </c>
      <c r="L331" s="193" t="str">
        <f>IF('Observaciones-SMP'!L331="","",'Observaciones-SMP'!L331)</f>
        <v/>
      </c>
      <c r="M331" s="193" t="str">
        <f>IF('Observaciones-SMP'!M331="","",'Observaciones-SMP'!M331)</f>
        <v/>
      </c>
      <c r="N331" s="193" t="str">
        <f>IF('Observaciones-SMP'!N331="","",'Observaciones-SMP'!N331)</f>
        <v/>
      </c>
      <c r="O331" s="193" t="str">
        <f>IF('Observaciones-SMP'!O331="","",'Observaciones-SMP'!O331)</f>
        <v/>
      </c>
      <c r="P331" s="193" t="str">
        <f>IF('Observaciones-SMP'!P331="","",'Observaciones-SMP'!P331)</f>
        <v/>
      </c>
      <c r="Q331" s="257" t="str">
        <f>IF('Observaciones-SMP'!S331="","",'Observaciones-SMP'!S331)</f>
        <v/>
      </c>
      <c r="R331" s="193" t="str">
        <f>IF('Observaciones-SMP'!T331="","",'Observaciones-SMP'!T331)</f>
        <v/>
      </c>
      <c r="S331" s="193" t="str">
        <f>""</f>
        <v/>
      </c>
      <c r="T331" s="193" t="str">
        <f>""</f>
        <v/>
      </c>
      <c r="U331" s="193" t="str">
        <f t="shared" si="20"/>
        <v/>
      </c>
      <c r="V331" s="193" t="str">
        <f>""</f>
        <v/>
      </c>
      <c r="W331" s="193" t="str">
        <f>""</f>
        <v/>
      </c>
      <c r="X331" s="258" t="str">
        <f t="shared" si="21"/>
        <v/>
      </c>
      <c r="Y331" s="258" t="str">
        <f t="shared" si="22"/>
        <v/>
      </c>
      <c r="Z331" s="193" t="str">
        <f>IF(A331="","",IF(COUNTIF('Observaciones-SMP'!$A$2:$A$1001,A331)&gt;1,1,0))</f>
        <v/>
      </c>
      <c r="AA331" s="193" t="str">
        <f t="shared" si="23"/>
        <v/>
      </c>
    </row>
    <row r="332" spans="1:27" ht="13.5" customHeight="1" x14ac:dyDescent="0.3">
      <c r="A332" s="193" t="str">
        <f>IF('Observaciones-SMP'!A332="","",'Observaciones-SMP'!A332)</f>
        <v/>
      </c>
      <c r="B332" s="257" t="str">
        <f>IF('Observaciones-SMP'!B332="","",'Observaciones-SMP'!B332)</f>
        <v/>
      </c>
      <c r="C332" s="193" t="str">
        <f>IF('Observaciones-SMP'!C332="","",'Observaciones-SMP'!C332)</f>
        <v/>
      </c>
      <c r="D332" s="193" t="str">
        <f>IF('Observaciones-SMP'!D332="","",'Observaciones-SMP'!D332)</f>
        <v/>
      </c>
      <c r="E332" s="193" t="str">
        <f>IF('Observaciones-SMP'!E332="","",'Observaciones-SMP'!E332)</f>
        <v/>
      </c>
      <c r="F332" s="193" t="str">
        <f>IF('Observaciones-SMP'!F332="","",'Observaciones-SMP'!F332)</f>
        <v/>
      </c>
      <c r="G332" s="193" t="str">
        <f>IF('Observaciones-SMP'!G332="","",'Observaciones-SMP'!G332)</f>
        <v/>
      </c>
      <c r="H332" s="193" t="str">
        <f>IF('Observaciones-SMP'!H332="","",'Observaciones-SMP'!H332)</f>
        <v/>
      </c>
      <c r="I332" s="193" t="str">
        <f>IF('Observaciones-SMP'!I332="","",'Observaciones-SMP'!I332)</f>
        <v/>
      </c>
      <c r="J332" s="193" t="str">
        <f>IF('Observaciones-SMP'!J332="","",'Observaciones-SMP'!J332)</f>
        <v/>
      </c>
      <c r="K332" s="193" t="str">
        <f>IF('Observaciones-SMP'!K332="","",'Observaciones-SMP'!K332)</f>
        <v/>
      </c>
      <c r="L332" s="193" t="str">
        <f>IF('Observaciones-SMP'!L332="","",'Observaciones-SMP'!L332)</f>
        <v/>
      </c>
      <c r="M332" s="193" t="str">
        <f>IF('Observaciones-SMP'!M332="","",'Observaciones-SMP'!M332)</f>
        <v/>
      </c>
      <c r="N332" s="193" t="str">
        <f>IF('Observaciones-SMP'!N332="","",'Observaciones-SMP'!N332)</f>
        <v/>
      </c>
      <c r="O332" s="193" t="str">
        <f>IF('Observaciones-SMP'!O332="","",'Observaciones-SMP'!O332)</f>
        <v/>
      </c>
      <c r="P332" s="193" t="str">
        <f>IF('Observaciones-SMP'!P332="","",'Observaciones-SMP'!P332)</f>
        <v/>
      </c>
      <c r="Q332" s="257" t="str">
        <f>IF('Observaciones-SMP'!S332="","",'Observaciones-SMP'!S332)</f>
        <v/>
      </c>
      <c r="R332" s="193" t="str">
        <f>IF('Observaciones-SMP'!T332="","",'Observaciones-SMP'!T332)</f>
        <v/>
      </c>
      <c r="S332" s="193" t="str">
        <f>""</f>
        <v/>
      </c>
      <c r="T332" s="193" t="str">
        <f>""</f>
        <v/>
      </c>
      <c r="U332" s="193" t="str">
        <f t="shared" si="20"/>
        <v/>
      </c>
      <c r="V332" s="193" t="str">
        <f>""</f>
        <v/>
      </c>
      <c r="W332" s="193" t="str">
        <f>""</f>
        <v/>
      </c>
      <c r="X332" s="258" t="str">
        <f t="shared" si="21"/>
        <v/>
      </c>
      <c r="Y332" s="258" t="str">
        <f t="shared" si="22"/>
        <v/>
      </c>
      <c r="Z332" s="193" t="str">
        <f>IF(A332="","",IF(COUNTIF('Observaciones-SMP'!$A$2:$A$1001,A332)&gt;1,1,0))</f>
        <v/>
      </c>
      <c r="AA332" s="193" t="str">
        <f t="shared" si="23"/>
        <v/>
      </c>
    </row>
    <row r="333" spans="1:27" ht="13.5" customHeight="1" x14ac:dyDescent="0.3">
      <c r="A333" s="193" t="str">
        <f>IF('Observaciones-SMP'!A333="","",'Observaciones-SMP'!A333)</f>
        <v/>
      </c>
      <c r="B333" s="257" t="str">
        <f>IF('Observaciones-SMP'!B333="","",'Observaciones-SMP'!B333)</f>
        <v/>
      </c>
      <c r="C333" s="193" t="str">
        <f>IF('Observaciones-SMP'!C333="","",'Observaciones-SMP'!C333)</f>
        <v/>
      </c>
      <c r="D333" s="193" t="str">
        <f>IF('Observaciones-SMP'!D333="","",'Observaciones-SMP'!D333)</f>
        <v/>
      </c>
      <c r="E333" s="193" t="str">
        <f>IF('Observaciones-SMP'!E333="","",'Observaciones-SMP'!E333)</f>
        <v/>
      </c>
      <c r="F333" s="193" t="str">
        <f>IF('Observaciones-SMP'!F333="","",'Observaciones-SMP'!F333)</f>
        <v/>
      </c>
      <c r="G333" s="193" t="str">
        <f>IF('Observaciones-SMP'!G333="","",'Observaciones-SMP'!G333)</f>
        <v/>
      </c>
      <c r="H333" s="193" t="str">
        <f>IF('Observaciones-SMP'!H333="","",'Observaciones-SMP'!H333)</f>
        <v/>
      </c>
      <c r="I333" s="193" t="str">
        <f>IF('Observaciones-SMP'!I333="","",'Observaciones-SMP'!I333)</f>
        <v/>
      </c>
      <c r="J333" s="193" t="str">
        <f>IF('Observaciones-SMP'!J333="","",'Observaciones-SMP'!J333)</f>
        <v/>
      </c>
      <c r="K333" s="193" t="str">
        <f>IF('Observaciones-SMP'!K333="","",'Observaciones-SMP'!K333)</f>
        <v/>
      </c>
      <c r="L333" s="193" t="str">
        <f>IF('Observaciones-SMP'!L333="","",'Observaciones-SMP'!L333)</f>
        <v/>
      </c>
      <c r="M333" s="193" t="str">
        <f>IF('Observaciones-SMP'!M333="","",'Observaciones-SMP'!M333)</f>
        <v/>
      </c>
      <c r="N333" s="193" t="str">
        <f>IF('Observaciones-SMP'!N333="","",'Observaciones-SMP'!N333)</f>
        <v/>
      </c>
      <c r="O333" s="193" t="str">
        <f>IF('Observaciones-SMP'!O333="","",'Observaciones-SMP'!O333)</f>
        <v/>
      </c>
      <c r="P333" s="193" t="str">
        <f>IF('Observaciones-SMP'!P333="","",'Observaciones-SMP'!P333)</f>
        <v/>
      </c>
      <c r="Q333" s="257" t="str">
        <f>IF('Observaciones-SMP'!S333="","",'Observaciones-SMP'!S333)</f>
        <v/>
      </c>
      <c r="R333" s="193" t="str">
        <f>IF('Observaciones-SMP'!T333="","",'Observaciones-SMP'!T333)</f>
        <v/>
      </c>
      <c r="S333" s="193" t="str">
        <f>""</f>
        <v/>
      </c>
      <c r="T333" s="193" t="str">
        <f>""</f>
        <v/>
      </c>
      <c r="U333" s="193" t="str">
        <f t="shared" si="20"/>
        <v/>
      </c>
      <c r="V333" s="193" t="str">
        <f>""</f>
        <v/>
      </c>
      <c r="W333" s="193" t="str">
        <f>""</f>
        <v/>
      </c>
      <c r="X333" s="258" t="str">
        <f t="shared" si="21"/>
        <v/>
      </c>
      <c r="Y333" s="258" t="str">
        <f t="shared" si="22"/>
        <v/>
      </c>
      <c r="Z333" s="193" t="str">
        <f>IF(A333="","",IF(COUNTIF('Observaciones-SMP'!$A$2:$A$1001,A333)&gt;1,1,0))</f>
        <v/>
      </c>
      <c r="AA333" s="193" t="str">
        <f t="shared" si="23"/>
        <v/>
      </c>
    </row>
    <row r="334" spans="1:27" ht="13.5" customHeight="1" x14ac:dyDescent="0.3">
      <c r="A334" s="193" t="str">
        <f>IF('Observaciones-SMP'!A334="","",'Observaciones-SMP'!A334)</f>
        <v/>
      </c>
      <c r="B334" s="257" t="str">
        <f>IF('Observaciones-SMP'!B334="","",'Observaciones-SMP'!B334)</f>
        <v/>
      </c>
      <c r="C334" s="193" t="str">
        <f>IF('Observaciones-SMP'!C334="","",'Observaciones-SMP'!C334)</f>
        <v/>
      </c>
      <c r="D334" s="193" t="str">
        <f>IF('Observaciones-SMP'!D334="","",'Observaciones-SMP'!D334)</f>
        <v/>
      </c>
      <c r="E334" s="193" t="str">
        <f>IF('Observaciones-SMP'!E334="","",'Observaciones-SMP'!E334)</f>
        <v/>
      </c>
      <c r="F334" s="193" t="str">
        <f>IF('Observaciones-SMP'!F334="","",'Observaciones-SMP'!F334)</f>
        <v/>
      </c>
      <c r="G334" s="193" t="str">
        <f>IF('Observaciones-SMP'!G334="","",'Observaciones-SMP'!G334)</f>
        <v/>
      </c>
      <c r="H334" s="193" t="str">
        <f>IF('Observaciones-SMP'!H334="","",'Observaciones-SMP'!H334)</f>
        <v/>
      </c>
      <c r="I334" s="193" t="str">
        <f>IF('Observaciones-SMP'!I334="","",'Observaciones-SMP'!I334)</f>
        <v/>
      </c>
      <c r="J334" s="193" t="str">
        <f>IF('Observaciones-SMP'!J334="","",'Observaciones-SMP'!J334)</f>
        <v/>
      </c>
      <c r="K334" s="193" t="str">
        <f>IF('Observaciones-SMP'!K334="","",'Observaciones-SMP'!K334)</f>
        <v/>
      </c>
      <c r="L334" s="193" t="str">
        <f>IF('Observaciones-SMP'!L334="","",'Observaciones-SMP'!L334)</f>
        <v/>
      </c>
      <c r="M334" s="193" t="str">
        <f>IF('Observaciones-SMP'!M334="","",'Observaciones-SMP'!M334)</f>
        <v/>
      </c>
      <c r="N334" s="193" t="str">
        <f>IF('Observaciones-SMP'!N334="","",'Observaciones-SMP'!N334)</f>
        <v/>
      </c>
      <c r="O334" s="193" t="str">
        <f>IF('Observaciones-SMP'!O334="","",'Observaciones-SMP'!O334)</f>
        <v/>
      </c>
      <c r="P334" s="193" t="str">
        <f>IF('Observaciones-SMP'!P334="","",'Observaciones-SMP'!P334)</f>
        <v/>
      </c>
      <c r="Q334" s="257" t="str">
        <f>IF('Observaciones-SMP'!S334="","",'Observaciones-SMP'!S334)</f>
        <v/>
      </c>
      <c r="R334" s="193" t="str">
        <f>IF('Observaciones-SMP'!T334="","",'Observaciones-SMP'!T334)</f>
        <v/>
      </c>
      <c r="S334" s="193" t="str">
        <f>""</f>
        <v/>
      </c>
      <c r="T334" s="193" t="str">
        <f>""</f>
        <v/>
      </c>
      <c r="U334" s="193" t="str">
        <f t="shared" si="20"/>
        <v/>
      </c>
      <c r="V334" s="193" t="str">
        <f>""</f>
        <v/>
      </c>
      <c r="W334" s="193" t="str">
        <f>""</f>
        <v/>
      </c>
      <c r="X334" s="258" t="str">
        <f t="shared" si="21"/>
        <v/>
      </c>
      <c r="Y334" s="258" t="str">
        <f t="shared" si="22"/>
        <v/>
      </c>
      <c r="Z334" s="193" t="str">
        <f>IF(A334="","",IF(COUNTIF('Observaciones-SMP'!$A$2:$A$1001,A334)&gt;1,1,0))</f>
        <v/>
      </c>
      <c r="AA334" s="193" t="str">
        <f t="shared" si="23"/>
        <v/>
      </c>
    </row>
    <row r="335" spans="1:27" ht="13.5" customHeight="1" x14ac:dyDescent="0.3">
      <c r="A335" s="193" t="str">
        <f>IF('Observaciones-SMP'!A335="","",'Observaciones-SMP'!A335)</f>
        <v/>
      </c>
      <c r="B335" s="257" t="str">
        <f>IF('Observaciones-SMP'!B335="","",'Observaciones-SMP'!B335)</f>
        <v/>
      </c>
      <c r="C335" s="193" t="str">
        <f>IF('Observaciones-SMP'!C335="","",'Observaciones-SMP'!C335)</f>
        <v/>
      </c>
      <c r="D335" s="193" t="str">
        <f>IF('Observaciones-SMP'!D335="","",'Observaciones-SMP'!D335)</f>
        <v/>
      </c>
      <c r="E335" s="193" t="str">
        <f>IF('Observaciones-SMP'!E335="","",'Observaciones-SMP'!E335)</f>
        <v/>
      </c>
      <c r="F335" s="193" t="str">
        <f>IF('Observaciones-SMP'!F335="","",'Observaciones-SMP'!F335)</f>
        <v/>
      </c>
      <c r="G335" s="193" t="str">
        <f>IF('Observaciones-SMP'!G335="","",'Observaciones-SMP'!G335)</f>
        <v/>
      </c>
      <c r="H335" s="193" t="str">
        <f>IF('Observaciones-SMP'!H335="","",'Observaciones-SMP'!H335)</f>
        <v/>
      </c>
      <c r="I335" s="193" t="str">
        <f>IF('Observaciones-SMP'!I335="","",'Observaciones-SMP'!I335)</f>
        <v/>
      </c>
      <c r="J335" s="193" t="str">
        <f>IF('Observaciones-SMP'!J335="","",'Observaciones-SMP'!J335)</f>
        <v/>
      </c>
      <c r="K335" s="193" t="str">
        <f>IF('Observaciones-SMP'!K335="","",'Observaciones-SMP'!K335)</f>
        <v/>
      </c>
      <c r="L335" s="193" t="str">
        <f>IF('Observaciones-SMP'!L335="","",'Observaciones-SMP'!L335)</f>
        <v/>
      </c>
      <c r="M335" s="193" t="str">
        <f>IF('Observaciones-SMP'!M335="","",'Observaciones-SMP'!M335)</f>
        <v/>
      </c>
      <c r="N335" s="193" t="str">
        <f>IF('Observaciones-SMP'!N335="","",'Observaciones-SMP'!N335)</f>
        <v/>
      </c>
      <c r="O335" s="193" t="str">
        <f>IF('Observaciones-SMP'!O335="","",'Observaciones-SMP'!O335)</f>
        <v/>
      </c>
      <c r="P335" s="193" t="str">
        <f>IF('Observaciones-SMP'!P335="","",'Observaciones-SMP'!P335)</f>
        <v/>
      </c>
      <c r="Q335" s="257" t="str">
        <f>IF('Observaciones-SMP'!S335="","",'Observaciones-SMP'!S335)</f>
        <v/>
      </c>
      <c r="R335" s="193" t="str">
        <f>IF('Observaciones-SMP'!T335="","",'Observaciones-SMP'!T335)</f>
        <v/>
      </c>
      <c r="S335" s="193" t="str">
        <f>""</f>
        <v/>
      </c>
      <c r="T335" s="193" t="str">
        <f>""</f>
        <v/>
      </c>
      <c r="U335" s="193" t="str">
        <f t="shared" si="20"/>
        <v/>
      </c>
      <c r="V335" s="193" t="str">
        <f>""</f>
        <v/>
      </c>
      <c r="W335" s="193" t="str">
        <f>""</f>
        <v/>
      </c>
      <c r="X335" s="258" t="str">
        <f t="shared" si="21"/>
        <v/>
      </c>
      <c r="Y335" s="258" t="str">
        <f t="shared" si="22"/>
        <v/>
      </c>
      <c r="Z335" s="193" t="str">
        <f>IF(A335="","",IF(COUNTIF('Observaciones-SMP'!$A$2:$A$1001,A335)&gt;1,1,0))</f>
        <v/>
      </c>
      <c r="AA335" s="193" t="str">
        <f t="shared" si="23"/>
        <v/>
      </c>
    </row>
    <row r="336" spans="1:27" ht="13.5" customHeight="1" x14ac:dyDescent="0.3">
      <c r="A336" s="193" t="str">
        <f>IF('Observaciones-SMP'!A336="","",'Observaciones-SMP'!A336)</f>
        <v/>
      </c>
      <c r="B336" s="257" t="str">
        <f>IF('Observaciones-SMP'!B336="","",'Observaciones-SMP'!B336)</f>
        <v/>
      </c>
      <c r="C336" s="193" t="str">
        <f>IF('Observaciones-SMP'!C336="","",'Observaciones-SMP'!C336)</f>
        <v/>
      </c>
      <c r="D336" s="193" t="str">
        <f>IF('Observaciones-SMP'!D336="","",'Observaciones-SMP'!D336)</f>
        <v/>
      </c>
      <c r="E336" s="193" t="str">
        <f>IF('Observaciones-SMP'!E336="","",'Observaciones-SMP'!E336)</f>
        <v/>
      </c>
      <c r="F336" s="193" t="str">
        <f>IF('Observaciones-SMP'!F336="","",'Observaciones-SMP'!F336)</f>
        <v/>
      </c>
      <c r="G336" s="193" t="str">
        <f>IF('Observaciones-SMP'!G336="","",'Observaciones-SMP'!G336)</f>
        <v/>
      </c>
      <c r="H336" s="193" t="str">
        <f>IF('Observaciones-SMP'!H336="","",'Observaciones-SMP'!H336)</f>
        <v/>
      </c>
      <c r="I336" s="193" t="str">
        <f>IF('Observaciones-SMP'!I336="","",'Observaciones-SMP'!I336)</f>
        <v/>
      </c>
      <c r="J336" s="193" t="str">
        <f>IF('Observaciones-SMP'!J336="","",'Observaciones-SMP'!J336)</f>
        <v/>
      </c>
      <c r="K336" s="193" t="str">
        <f>IF('Observaciones-SMP'!K336="","",'Observaciones-SMP'!K336)</f>
        <v/>
      </c>
      <c r="L336" s="193" t="str">
        <f>IF('Observaciones-SMP'!L336="","",'Observaciones-SMP'!L336)</f>
        <v/>
      </c>
      <c r="M336" s="193" t="str">
        <f>IF('Observaciones-SMP'!M336="","",'Observaciones-SMP'!M336)</f>
        <v/>
      </c>
      <c r="N336" s="193" t="str">
        <f>IF('Observaciones-SMP'!N336="","",'Observaciones-SMP'!N336)</f>
        <v/>
      </c>
      <c r="O336" s="193" t="str">
        <f>IF('Observaciones-SMP'!O336="","",'Observaciones-SMP'!O336)</f>
        <v/>
      </c>
      <c r="P336" s="193" t="str">
        <f>IF('Observaciones-SMP'!P336="","",'Observaciones-SMP'!P336)</f>
        <v/>
      </c>
      <c r="Q336" s="257" t="str">
        <f>IF('Observaciones-SMP'!S336="","",'Observaciones-SMP'!S336)</f>
        <v/>
      </c>
      <c r="R336" s="193" t="str">
        <f>IF('Observaciones-SMP'!T336="","",'Observaciones-SMP'!T336)</f>
        <v/>
      </c>
      <c r="S336" s="193" t="str">
        <f>""</f>
        <v/>
      </c>
      <c r="T336" s="193" t="str">
        <f>""</f>
        <v/>
      </c>
      <c r="U336" s="193" t="str">
        <f t="shared" si="20"/>
        <v/>
      </c>
      <c r="V336" s="193" t="str">
        <f>""</f>
        <v/>
      </c>
      <c r="W336" s="193" t="str">
        <f>""</f>
        <v/>
      </c>
      <c r="X336" s="258" t="str">
        <f t="shared" si="21"/>
        <v/>
      </c>
      <c r="Y336" s="258" t="str">
        <f t="shared" si="22"/>
        <v/>
      </c>
      <c r="Z336" s="193" t="str">
        <f>IF(A336="","",IF(COUNTIF('Observaciones-SMP'!$A$2:$A$1001,A336)&gt;1,1,0))</f>
        <v/>
      </c>
      <c r="AA336" s="193" t="str">
        <f t="shared" si="23"/>
        <v/>
      </c>
    </row>
    <row r="337" spans="1:27" ht="13.5" customHeight="1" x14ac:dyDescent="0.3">
      <c r="A337" s="193" t="str">
        <f>IF('Observaciones-SMP'!A337="","",'Observaciones-SMP'!A337)</f>
        <v/>
      </c>
      <c r="B337" s="257" t="str">
        <f>IF('Observaciones-SMP'!B337="","",'Observaciones-SMP'!B337)</f>
        <v/>
      </c>
      <c r="C337" s="193" t="str">
        <f>IF('Observaciones-SMP'!C337="","",'Observaciones-SMP'!C337)</f>
        <v/>
      </c>
      <c r="D337" s="193" t="str">
        <f>IF('Observaciones-SMP'!D337="","",'Observaciones-SMP'!D337)</f>
        <v/>
      </c>
      <c r="E337" s="193" t="str">
        <f>IF('Observaciones-SMP'!E337="","",'Observaciones-SMP'!E337)</f>
        <v/>
      </c>
      <c r="F337" s="193" t="str">
        <f>IF('Observaciones-SMP'!F337="","",'Observaciones-SMP'!F337)</f>
        <v/>
      </c>
      <c r="G337" s="193" t="str">
        <f>IF('Observaciones-SMP'!G337="","",'Observaciones-SMP'!G337)</f>
        <v/>
      </c>
      <c r="H337" s="193" t="str">
        <f>IF('Observaciones-SMP'!H337="","",'Observaciones-SMP'!H337)</f>
        <v/>
      </c>
      <c r="I337" s="193" t="str">
        <f>IF('Observaciones-SMP'!I337="","",'Observaciones-SMP'!I337)</f>
        <v/>
      </c>
      <c r="J337" s="193" t="str">
        <f>IF('Observaciones-SMP'!J337="","",'Observaciones-SMP'!J337)</f>
        <v/>
      </c>
      <c r="K337" s="193" t="str">
        <f>IF('Observaciones-SMP'!K337="","",'Observaciones-SMP'!K337)</f>
        <v/>
      </c>
      <c r="L337" s="193" t="str">
        <f>IF('Observaciones-SMP'!L337="","",'Observaciones-SMP'!L337)</f>
        <v/>
      </c>
      <c r="M337" s="193" t="str">
        <f>IF('Observaciones-SMP'!M337="","",'Observaciones-SMP'!M337)</f>
        <v/>
      </c>
      <c r="N337" s="193" t="str">
        <f>IF('Observaciones-SMP'!N337="","",'Observaciones-SMP'!N337)</f>
        <v/>
      </c>
      <c r="O337" s="193" t="str">
        <f>IF('Observaciones-SMP'!O337="","",'Observaciones-SMP'!O337)</f>
        <v/>
      </c>
      <c r="P337" s="193" t="str">
        <f>IF('Observaciones-SMP'!P337="","",'Observaciones-SMP'!P337)</f>
        <v/>
      </c>
      <c r="Q337" s="257" t="str">
        <f>IF('Observaciones-SMP'!S337="","",'Observaciones-SMP'!S337)</f>
        <v/>
      </c>
      <c r="R337" s="193" t="str">
        <f>IF('Observaciones-SMP'!T337="","",'Observaciones-SMP'!T337)</f>
        <v/>
      </c>
      <c r="S337" s="193" t="str">
        <f>""</f>
        <v/>
      </c>
      <c r="T337" s="193" t="str">
        <f>""</f>
        <v/>
      </c>
      <c r="U337" s="193" t="str">
        <f t="shared" si="20"/>
        <v/>
      </c>
      <c r="V337" s="193" t="str">
        <f>""</f>
        <v/>
      </c>
      <c r="W337" s="193" t="str">
        <f>""</f>
        <v/>
      </c>
      <c r="X337" s="258" t="str">
        <f t="shared" si="21"/>
        <v/>
      </c>
      <c r="Y337" s="258" t="str">
        <f t="shared" si="22"/>
        <v/>
      </c>
      <c r="Z337" s="193" t="str">
        <f>IF(A337="","",IF(COUNTIF('Observaciones-SMP'!$A$2:$A$1001,A337)&gt;1,1,0))</f>
        <v/>
      </c>
      <c r="AA337" s="193" t="str">
        <f t="shared" si="23"/>
        <v/>
      </c>
    </row>
    <row r="338" spans="1:27" ht="13.5" customHeight="1" x14ac:dyDescent="0.3">
      <c r="A338" s="193" t="str">
        <f>IF('Observaciones-SMP'!A338="","",'Observaciones-SMP'!A338)</f>
        <v/>
      </c>
      <c r="B338" s="257" t="str">
        <f>IF('Observaciones-SMP'!B338="","",'Observaciones-SMP'!B338)</f>
        <v/>
      </c>
      <c r="C338" s="193" t="str">
        <f>IF('Observaciones-SMP'!C338="","",'Observaciones-SMP'!C338)</f>
        <v/>
      </c>
      <c r="D338" s="193" t="str">
        <f>IF('Observaciones-SMP'!D338="","",'Observaciones-SMP'!D338)</f>
        <v/>
      </c>
      <c r="E338" s="193" t="str">
        <f>IF('Observaciones-SMP'!E338="","",'Observaciones-SMP'!E338)</f>
        <v/>
      </c>
      <c r="F338" s="193" t="str">
        <f>IF('Observaciones-SMP'!F338="","",'Observaciones-SMP'!F338)</f>
        <v/>
      </c>
      <c r="G338" s="193" t="str">
        <f>IF('Observaciones-SMP'!G338="","",'Observaciones-SMP'!G338)</f>
        <v/>
      </c>
      <c r="H338" s="193" t="str">
        <f>IF('Observaciones-SMP'!H338="","",'Observaciones-SMP'!H338)</f>
        <v/>
      </c>
      <c r="I338" s="193" t="str">
        <f>IF('Observaciones-SMP'!I338="","",'Observaciones-SMP'!I338)</f>
        <v/>
      </c>
      <c r="J338" s="193" t="str">
        <f>IF('Observaciones-SMP'!J338="","",'Observaciones-SMP'!J338)</f>
        <v/>
      </c>
      <c r="K338" s="193" t="str">
        <f>IF('Observaciones-SMP'!K338="","",'Observaciones-SMP'!K338)</f>
        <v/>
      </c>
      <c r="L338" s="193" t="str">
        <f>IF('Observaciones-SMP'!L338="","",'Observaciones-SMP'!L338)</f>
        <v/>
      </c>
      <c r="M338" s="193" t="str">
        <f>IF('Observaciones-SMP'!M338="","",'Observaciones-SMP'!M338)</f>
        <v/>
      </c>
      <c r="N338" s="193" t="str">
        <f>IF('Observaciones-SMP'!N338="","",'Observaciones-SMP'!N338)</f>
        <v/>
      </c>
      <c r="O338" s="193" t="str">
        <f>IF('Observaciones-SMP'!O338="","",'Observaciones-SMP'!O338)</f>
        <v/>
      </c>
      <c r="P338" s="193" t="str">
        <f>IF('Observaciones-SMP'!P338="","",'Observaciones-SMP'!P338)</f>
        <v/>
      </c>
      <c r="Q338" s="257" t="str">
        <f>IF('Observaciones-SMP'!S338="","",'Observaciones-SMP'!S338)</f>
        <v/>
      </c>
      <c r="R338" s="193" t="str">
        <f>IF('Observaciones-SMP'!T338="","",'Observaciones-SMP'!T338)</f>
        <v/>
      </c>
      <c r="S338" s="193" t="str">
        <f>""</f>
        <v/>
      </c>
      <c r="T338" s="193" t="str">
        <f>""</f>
        <v/>
      </c>
      <c r="U338" s="193" t="str">
        <f t="shared" si="20"/>
        <v/>
      </c>
      <c r="V338" s="193" t="str">
        <f>""</f>
        <v/>
      </c>
      <c r="W338" s="193" t="str">
        <f>""</f>
        <v/>
      </c>
      <c r="X338" s="258" t="str">
        <f t="shared" si="21"/>
        <v/>
      </c>
      <c r="Y338" s="258" t="str">
        <f t="shared" si="22"/>
        <v/>
      </c>
      <c r="Z338" s="193" t="str">
        <f>IF(A338="","",IF(COUNTIF('Observaciones-SMP'!$A$2:$A$1001,A338)&gt;1,1,0))</f>
        <v/>
      </c>
      <c r="AA338" s="193" t="str">
        <f t="shared" si="23"/>
        <v/>
      </c>
    </row>
    <row r="339" spans="1:27" ht="13.5" customHeight="1" x14ac:dyDescent="0.3">
      <c r="A339" s="193" t="str">
        <f>IF('Observaciones-SMP'!A339="","",'Observaciones-SMP'!A339)</f>
        <v/>
      </c>
      <c r="B339" s="257" t="str">
        <f>IF('Observaciones-SMP'!B339="","",'Observaciones-SMP'!B339)</f>
        <v/>
      </c>
      <c r="C339" s="193" t="str">
        <f>IF('Observaciones-SMP'!C339="","",'Observaciones-SMP'!C339)</f>
        <v/>
      </c>
      <c r="D339" s="193" t="str">
        <f>IF('Observaciones-SMP'!D339="","",'Observaciones-SMP'!D339)</f>
        <v/>
      </c>
      <c r="E339" s="193" t="str">
        <f>IF('Observaciones-SMP'!E339="","",'Observaciones-SMP'!E339)</f>
        <v/>
      </c>
      <c r="F339" s="193" t="str">
        <f>IF('Observaciones-SMP'!F339="","",'Observaciones-SMP'!F339)</f>
        <v/>
      </c>
      <c r="G339" s="193" t="str">
        <f>IF('Observaciones-SMP'!G339="","",'Observaciones-SMP'!G339)</f>
        <v/>
      </c>
      <c r="H339" s="193" t="str">
        <f>IF('Observaciones-SMP'!H339="","",'Observaciones-SMP'!H339)</f>
        <v/>
      </c>
      <c r="I339" s="193" t="str">
        <f>IF('Observaciones-SMP'!I339="","",'Observaciones-SMP'!I339)</f>
        <v/>
      </c>
      <c r="J339" s="193" t="str">
        <f>IF('Observaciones-SMP'!J339="","",'Observaciones-SMP'!J339)</f>
        <v/>
      </c>
      <c r="K339" s="193" t="str">
        <f>IF('Observaciones-SMP'!K339="","",'Observaciones-SMP'!K339)</f>
        <v/>
      </c>
      <c r="L339" s="193" t="str">
        <f>IF('Observaciones-SMP'!L339="","",'Observaciones-SMP'!L339)</f>
        <v/>
      </c>
      <c r="M339" s="193" t="str">
        <f>IF('Observaciones-SMP'!M339="","",'Observaciones-SMP'!M339)</f>
        <v/>
      </c>
      <c r="N339" s="193" t="str">
        <f>IF('Observaciones-SMP'!N339="","",'Observaciones-SMP'!N339)</f>
        <v/>
      </c>
      <c r="O339" s="193" t="str">
        <f>IF('Observaciones-SMP'!O339="","",'Observaciones-SMP'!O339)</f>
        <v/>
      </c>
      <c r="P339" s="193" t="str">
        <f>IF('Observaciones-SMP'!P339="","",'Observaciones-SMP'!P339)</f>
        <v/>
      </c>
      <c r="Q339" s="257" t="str">
        <f>IF('Observaciones-SMP'!S339="","",'Observaciones-SMP'!S339)</f>
        <v/>
      </c>
      <c r="R339" s="193" t="str">
        <f>IF('Observaciones-SMP'!T339="","",'Observaciones-SMP'!T339)</f>
        <v/>
      </c>
      <c r="S339" s="193" t="str">
        <f>""</f>
        <v/>
      </c>
      <c r="T339" s="193" t="str">
        <f>""</f>
        <v/>
      </c>
      <c r="U339" s="193" t="str">
        <f t="shared" si="20"/>
        <v/>
      </c>
      <c r="V339" s="193" t="str">
        <f>""</f>
        <v/>
      </c>
      <c r="W339" s="193" t="str">
        <f>""</f>
        <v/>
      </c>
      <c r="X339" s="258" t="str">
        <f t="shared" si="21"/>
        <v/>
      </c>
      <c r="Y339" s="258" t="str">
        <f t="shared" si="22"/>
        <v/>
      </c>
      <c r="Z339" s="193" t="str">
        <f>IF(A339="","",IF(COUNTIF('Observaciones-SMP'!$A$2:$A$1001,A339)&gt;1,1,0))</f>
        <v/>
      </c>
      <c r="AA339" s="193" t="str">
        <f t="shared" si="23"/>
        <v/>
      </c>
    </row>
    <row r="340" spans="1:27" ht="13.5" customHeight="1" x14ac:dyDescent="0.3">
      <c r="A340" s="193" t="str">
        <f>IF('Observaciones-SMP'!A340="","",'Observaciones-SMP'!A340)</f>
        <v/>
      </c>
      <c r="B340" s="257" t="str">
        <f>IF('Observaciones-SMP'!B340="","",'Observaciones-SMP'!B340)</f>
        <v/>
      </c>
      <c r="C340" s="193" t="str">
        <f>IF('Observaciones-SMP'!C340="","",'Observaciones-SMP'!C340)</f>
        <v/>
      </c>
      <c r="D340" s="193" t="str">
        <f>IF('Observaciones-SMP'!D340="","",'Observaciones-SMP'!D340)</f>
        <v/>
      </c>
      <c r="E340" s="193" t="str">
        <f>IF('Observaciones-SMP'!E340="","",'Observaciones-SMP'!E340)</f>
        <v/>
      </c>
      <c r="F340" s="193" t="str">
        <f>IF('Observaciones-SMP'!F340="","",'Observaciones-SMP'!F340)</f>
        <v/>
      </c>
      <c r="G340" s="193" t="str">
        <f>IF('Observaciones-SMP'!G340="","",'Observaciones-SMP'!G340)</f>
        <v/>
      </c>
      <c r="H340" s="193" t="str">
        <f>IF('Observaciones-SMP'!H340="","",'Observaciones-SMP'!H340)</f>
        <v/>
      </c>
      <c r="I340" s="193" t="str">
        <f>IF('Observaciones-SMP'!I340="","",'Observaciones-SMP'!I340)</f>
        <v/>
      </c>
      <c r="J340" s="193" t="str">
        <f>IF('Observaciones-SMP'!J340="","",'Observaciones-SMP'!J340)</f>
        <v/>
      </c>
      <c r="K340" s="193" t="str">
        <f>IF('Observaciones-SMP'!K340="","",'Observaciones-SMP'!K340)</f>
        <v/>
      </c>
      <c r="L340" s="193" t="str">
        <f>IF('Observaciones-SMP'!L340="","",'Observaciones-SMP'!L340)</f>
        <v/>
      </c>
      <c r="M340" s="193" t="str">
        <f>IF('Observaciones-SMP'!M340="","",'Observaciones-SMP'!M340)</f>
        <v/>
      </c>
      <c r="N340" s="193" t="str">
        <f>IF('Observaciones-SMP'!N340="","",'Observaciones-SMP'!N340)</f>
        <v/>
      </c>
      <c r="O340" s="193" t="str">
        <f>IF('Observaciones-SMP'!O340="","",'Observaciones-SMP'!O340)</f>
        <v/>
      </c>
      <c r="P340" s="193" t="str">
        <f>IF('Observaciones-SMP'!P340="","",'Observaciones-SMP'!P340)</f>
        <v/>
      </c>
      <c r="Q340" s="257" t="str">
        <f>IF('Observaciones-SMP'!S340="","",'Observaciones-SMP'!S340)</f>
        <v/>
      </c>
      <c r="R340" s="193" t="str">
        <f>IF('Observaciones-SMP'!T340="","",'Observaciones-SMP'!T340)</f>
        <v/>
      </c>
      <c r="S340" s="193" t="str">
        <f>""</f>
        <v/>
      </c>
      <c r="T340" s="193" t="str">
        <f>""</f>
        <v/>
      </c>
      <c r="U340" s="193" t="str">
        <f t="shared" si="20"/>
        <v/>
      </c>
      <c r="V340" s="193" t="str">
        <f>""</f>
        <v/>
      </c>
      <c r="W340" s="193" t="str">
        <f>""</f>
        <v/>
      </c>
      <c r="X340" s="258" t="str">
        <f t="shared" si="21"/>
        <v/>
      </c>
      <c r="Y340" s="258" t="str">
        <f t="shared" si="22"/>
        <v/>
      </c>
      <c r="Z340" s="193" t="str">
        <f>IF(A340="","",IF(COUNTIF('Observaciones-SMP'!$A$2:$A$1001,A340)&gt;1,1,0))</f>
        <v/>
      </c>
      <c r="AA340" s="193" t="str">
        <f t="shared" si="23"/>
        <v/>
      </c>
    </row>
    <row r="341" spans="1:27" ht="13.5" customHeight="1" x14ac:dyDescent="0.3">
      <c r="A341" s="193" t="str">
        <f>IF('Observaciones-SMP'!A341="","",'Observaciones-SMP'!A341)</f>
        <v/>
      </c>
      <c r="B341" s="257" t="str">
        <f>IF('Observaciones-SMP'!B341="","",'Observaciones-SMP'!B341)</f>
        <v/>
      </c>
      <c r="C341" s="193" t="str">
        <f>IF('Observaciones-SMP'!C341="","",'Observaciones-SMP'!C341)</f>
        <v/>
      </c>
      <c r="D341" s="193" t="str">
        <f>IF('Observaciones-SMP'!D341="","",'Observaciones-SMP'!D341)</f>
        <v/>
      </c>
      <c r="E341" s="193" t="str">
        <f>IF('Observaciones-SMP'!E341="","",'Observaciones-SMP'!E341)</f>
        <v/>
      </c>
      <c r="F341" s="193" t="str">
        <f>IF('Observaciones-SMP'!F341="","",'Observaciones-SMP'!F341)</f>
        <v/>
      </c>
      <c r="G341" s="193" t="str">
        <f>IF('Observaciones-SMP'!G341="","",'Observaciones-SMP'!G341)</f>
        <v/>
      </c>
      <c r="H341" s="193" t="str">
        <f>IF('Observaciones-SMP'!H341="","",'Observaciones-SMP'!H341)</f>
        <v/>
      </c>
      <c r="I341" s="193" t="str">
        <f>IF('Observaciones-SMP'!I341="","",'Observaciones-SMP'!I341)</f>
        <v/>
      </c>
      <c r="J341" s="193" t="str">
        <f>IF('Observaciones-SMP'!J341="","",'Observaciones-SMP'!J341)</f>
        <v/>
      </c>
      <c r="K341" s="193" t="str">
        <f>IF('Observaciones-SMP'!K341="","",'Observaciones-SMP'!K341)</f>
        <v/>
      </c>
      <c r="L341" s="193" t="str">
        <f>IF('Observaciones-SMP'!L341="","",'Observaciones-SMP'!L341)</f>
        <v/>
      </c>
      <c r="M341" s="193" t="str">
        <f>IF('Observaciones-SMP'!M341="","",'Observaciones-SMP'!M341)</f>
        <v/>
      </c>
      <c r="N341" s="193" t="str">
        <f>IF('Observaciones-SMP'!N341="","",'Observaciones-SMP'!N341)</f>
        <v/>
      </c>
      <c r="O341" s="193" t="str">
        <f>IF('Observaciones-SMP'!O341="","",'Observaciones-SMP'!O341)</f>
        <v/>
      </c>
      <c r="P341" s="193" t="str">
        <f>IF('Observaciones-SMP'!P341="","",'Observaciones-SMP'!P341)</f>
        <v/>
      </c>
      <c r="Q341" s="257" t="str">
        <f>IF('Observaciones-SMP'!S341="","",'Observaciones-SMP'!S341)</f>
        <v/>
      </c>
      <c r="R341" s="193" t="str">
        <f>IF('Observaciones-SMP'!T341="","",'Observaciones-SMP'!T341)</f>
        <v/>
      </c>
      <c r="S341" s="193" t="str">
        <f>""</f>
        <v/>
      </c>
      <c r="T341" s="193" t="str">
        <f>""</f>
        <v/>
      </c>
      <c r="U341" s="193" t="str">
        <f t="shared" si="20"/>
        <v/>
      </c>
      <c r="V341" s="193" t="str">
        <f>""</f>
        <v/>
      </c>
      <c r="W341" s="193" t="str">
        <f>""</f>
        <v/>
      </c>
      <c r="X341" s="258" t="str">
        <f t="shared" si="21"/>
        <v/>
      </c>
      <c r="Y341" s="258" t="str">
        <f t="shared" si="22"/>
        <v/>
      </c>
      <c r="Z341" s="193" t="str">
        <f>IF(A341="","",IF(COUNTIF('Observaciones-SMP'!$A$2:$A$1001,A341)&gt;1,1,0))</f>
        <v/>
      </c>
      <c r="AA341" s="193" t="str">
        <f t="shared" si="23"/>
        <v/>
      </c>
    </row>
    <row r="342" spans="1:27" ht="13.5" customHeight="1" x14ac:dyDescent="0.3">
      <c r="A342" s="193" t="str">
        <f>IF('Observaciones-SMP'!A342="","",'Observaciones-SMP'!A342)</f>
        <v/>
      </c>
      <c r="B342" s="257" t="str">
        <f>IF('Observaciones-SMP'!B342="","",'Observaciones-SMP'!B342)</f>
        <v/>
      </c>
      <c r="C342" s="193" t="str">
        <f>IF('Observaciones-SMP'!C342="","",'Observaciones-SMP'!C342)</f>
        <v/>
      </c>
      <c r="D342" s="193" t="str">
        <f>IF('Observaciones-SMP'!D342="","",'Observaciones-SMP'!D342)</f>
        <v/>
      </c>
      <c r="E342" s="193" t="str">
        <f>IF('Observaciones-SMP'!E342="","",'Observaciones-SMP'!E342)</f>
        <v/>
      </c>
      <c r="F342" s="193" t="str">
        <f>IF('Observaciones-SMP'!F342="","",'Observaciones-SMP'!F342)</f>
        <v/>
      </c>
      <c r="G342" s="193" t="str">
        <f>IF('Observaciones-SMP'!G342="","",'Observaciones-SMP'!G342)</f>
        <v/>
      </c>
      <c r="H342" s="193" t="str">
        <f>IF('Observaciones-SMP'!H342="","",'Observaciones-SMP'!H342)</f>
        <v/>
      </c>
      <c r="I342" s="193" t="str">
        <f>IF('Observaciones-SMP'!I342="","",'Observaciones-SMP'!I342)</f>
        <v/>
      </c>
      <c r="J342" s="193" t="str">
        <f>IF('Observaciones-SMP'!J342="","",'Observaciones-SMP'!J342)</f>
        <v/>
      </c>
      <c r="K342" s="193" t="str">
        <f>IF('Observaciones-SMP'!K342="","",'Observaciones-SMP'!K342)</f>
        <v/>
      </c>
      <c r="L342" s="193" t="str">
        <f>IF('Observaciones-SMP'!L342="","",'Observaciones-SMP'!L342)</f>
        <v/>
      </c>
      <c r="M342" s="193" t="str">
        <f>IF('Observaciones-SMP'!M342="","",'Observaciones-SMP'!M342)</f>
        <v/>
      </c>
      <c r="N342" s="193" t="str">
        <f>IF('Observaciones-SMP'!N342="","",'Observaciones-SMP'!N342)</f>
        <v/>
      </c>
      <c r="O342" s="193" t="str">
        <f>IF('Observaciones-SMP'!O342="","",'Observaciones-SMP'!O342)</f>
        <v/>
      </c>
      <c r="P342" s="193" t="str">
        <f>IF('Observaciones-SMP'!P342="","",'Observaciones-SMP'!P342)</f>
        <v/>
      </c>
      <c r="Q342" s="257" t="str">
        <f>IF('Observaciones-SMP'!S342="","",'Observaciones-SMP'!S342)</f>
        <v/>
      </c>
      <c r="R342" s="193" t="str">
        <f>IF('Observaciones-SMP'!T342="","",'Observaciones-SMP'!T342)</f>
        <v/>
      </c>
      <c r="S342" s="193" t="str">
        <f>""</f>
        <v/>
      </c>
      <c r="T342" s="193" t="str">
        <f>""</f>
        <v/>
      </c>
      <c r="U342" s="193" t="str">
        <f t="shared" si="20"/>
        <v/>
      </c>
      <c r="V342" s="193" t="str">
        <f>""</f>
        <v/>
      </c>
      <c r="W342" s="193" t="str">
        <f>""</f>
        <v/>
      </c>
      <c r="X342" s="258" t="str">
        <f t="shared" si="21"/>
        <v/>
      </c>
      <c r="Y342" s="258" t="str">
        <f t="shared" si="22"/>
        <v/>
      </c>
      <c r="Z342" s="193" t="str">
        <f>IF(A342="","",IF(COUNTIF('Observaciones-SMP'!$A$2:$A$1001,A342)&gt;1,1,0))</f>
        <v/>
      </c>
      <c r="AA342" s="193" t="str">
        <f t="shared" si="23"/>
        <v/>
      </c>
    </row>
    <row r="343" spans="1:27" ht="13.5" customHeight="1" x14ac:dyDescent="0.3">
      <c r="A343" s="193" t="str">
        <f>IF('Observaciones-SMP'!A343="","",'Observaciones-SMP'!A343)</f>
        <v/>
      </c>
      <c r="B343" s="257" t="str">
        <f>IF('Observaciones-SMP'!B343="","",'Observaciones-SMP'!B343)</f>
        <v/>
      </c>
      <c r="C343" s="193" t="str">
        <f>IF('Observaciones-SMP'!C343="","",'Observaciones-SMP'!C343)</f>
        <v/>
      </c>
      <c r="D343" s="193" t="str">
        <f>IF('Observaciones-SMP'!D343="","",'Observaciones-SMP'!D343)</f>
        <v/>
      </c>
      <c r="E343" s="193" t="str">
        <f>IF('Observaciones-SMP'!E343="","",'Observaciones-SMP'!E343)</f>
        <v/>
      </c>
      <c r="F343" s="193" t="str">
        <f>IF('Observaciones-SMP'!F343="","",'Observaciones-SMP'!F343)</f>
        <v/>
      </c>
      <c r="G343" s="193" t="str">
        <f>IF('Observaciones-SMP'!G343="","",'Observaciones-SMP'!G343)</f>
        <v/>
      </c>
      <c r="H343" s="193" t="str">
        <f>IF('Observaciones-SMP'!H343="","",'Observaciones-SMP'!H343)</f>
        <v/>
      </c>
      <c r="I343" s="193" t="str">
        <f>IF('Observaciones-SMP'!I343="","",'Observaciones-SMP'!I343)</f>
        <v/>
      </c>
      <c r="J343" s="193" t="str">
        <f>IF('Observaciones-SMP'!J343="","",'Observaciones-SMP'!J343)</f>
        <v/>
      </c>
      <c r="K343" s="193" t="str">
        <f>IF('Observaciones-SMP'!K343="","",'Observaciones-SMP'!K343)</f>
        <v/>
      </c>
      <c r="L343" s="193" t="str">
        <f>IF('Observaciones-SMP'!L343="","",'Observaciones-SMP'!L343)</f>
        <v/>
      </c>
      <c r="M343" s="193" t="str">
        <f>IF('Observaciones-SMP'!M343="","",'Observaciones-SMP'!M343)</f>
        <v/>
      </c>
      <c r="N343" s="193" t="str">
        <f>IF('Observaciones-SMP'!N343="","",'Observaciones-SMP'!N343)</f>
        <v/>
      </c>
      <c r="O343" s="193" t="str">
        <f>IF('Observaciones-SMP'!O343="","",'Observaciones-SMP'!O343)</f>
        <v/>
      </c>
      <c r="P343" s="193" t="str">
        <f>IF('Observaciones-SMP'!P343="","",'Observaciones-SMP'!P343)</f>
        <v/>
      </c>
      <c r="Q343" s="257" t="str">
        <f>IF('Observaciones-SMP'!S343="","",'Observaciones-SMP'!S343)</f>
        <v/>
      </c>
      <c r="R343" s="193" t="str">
        <f>IF('Observaciones-SMP'!T343="","",'Observaciones-SMP'!T343)</f>
        <v/>
      </c>
      <c r="S343" s="193" t="str">
        <f>""</f>
        <v/>
      </c>
      <c r="T343" s="193" t="str">
        <f>""</f>
        <v/>
      </c>
      <c r="U343" s="193" t="str">
        <f t="shared" si="20"/>
        <v/>
      </c>
      <c r="V343" s="193" t="str">
        <f>""</f>
        <v/>
      </c>
      <c r="W343" s="193" t="str">
        <f>""</f>
        <v/>
      </c>
      <c r="X343" s="258" t="str">
        <f t="shared" si="21"/>
        <v/>
      </c>
      <c r="Y343" s="258" t="str">
        <f t="shared" si="22"/>
        <v/>
      </c>
      <c r="Z343" s="193" t="str">
        <f>IF(A343="","",IF(COUNTIF('Observaciones-SMP'!$A$2:$A$1001,A343)&gt;1,1,0))</f>
        <v/>
      </c>
      <c r="AA343" s="193" t="str">
        <f t="shared" si="23"/>
        <v/>
      </c>
    </row>
    <row r="344" spans="1:27" ht="13.5" customHeight="1" x14ac:dyDescent="0.3">
      <c r="A344" s="193" t="str">
        <f>IF('Observaciones-SMP'!A344="","",'Observaciones-SMP'!A344)</f>
        <v/>
      </c>
      <c r="B344" s="257" t="str">
        <f>IF('Observaciones-SMP'!B344="","",'Observaciones-SMP'!B344)</f>
        <v/>
      </c>
      <c r="C344" s="193" t="str">
        <f>IF('Observaciones-SMP'!C344="","",'Observaciones-SMP'!C344)</f>
        <v/>
      </c>
      <c r="D344" s="193" t="str">
        <f>IF('Observaciones-SMP'!D344="","",'Observaciones-SMP'!D344)</f>
        <v/>
      </c>
      <c r="E344" s="193" t="str">
        <f>IF('Observaciones-SMP'!E344="","",'Observaciones-SMP'!E344)</f>
        <v/>
      </c>
      <c r="F344" s="193" t="str">
        <f>IF('Observaciones-SMP'!F344="","",'Observaciones-SMP'!F344)</f>
        <v/>
      </c>
      <c r="G344" s="193" t="str">
        <f>IF('Observaciones-SMP'!G344="","",'Observaciones-SMP'!G344)</f>
        <v/>
      </c>
      <c r="H344" s="193" t="str">
        <f>IF('Observaciones-SMP'!H344="","",'Observaciones-SMP'!H344)</f>
        <v/>
      </c>
      <c r="I344" s="193" t="str">
        <f>IF('Observaciones-SMP'!I344="","",'Observaciones-SMP'!I344)</f>
        <v/>
      </c>
      <c r="J344" s="193" t="str">
        <f>IF('Observaciones-SMP'!J344="","",'Observaciones-SMP'!J344)</f>
        <v/>
      </c>
      <c r="K344" s="193" t="str">
        <f>IF('Observaciones-SMP'!K344="","",'Observaciones-SMP'!K344)</f>
        <v/>
      </c>
      <c r="L344" s="193" t="str">
        <f>IF('Observaciones-SMP'!L344="","",'Observaciones-SMP'!L344)</f>
        <v/>
      </c>
      <c r="M344" s="193" t="str">
        <f>IF('Observaciones-SMP'!M344="","",'Observaciones-SMP'!M344)</f>
        <v/>
      </c>
      <c r="N344" s="193" t="str">
        <f>IF('Observaciones-SMP'!N344="","",'Observaciones-SMP'!N344)</f>
        <v/>
      </c>
      <c r="O344" s="193" t="str">
        <f>IF('Observaciones-SMP'!O344="","",'Observaciones-SMP'!O344)</f>
        <v/>
      </c>
      <c r="P344" s="193" t="str">
        <f>IF('Observaciones-SMP'!P344="","",'Observaciones-SMP'!P344)</f>
        <v/>
      </c>
      <c r="Q344" s="257" t="str">
        <f>IF('Observaciones-SMP'!S344="","",'Observaciones-SMP'!S344)</f>
        <v/>
      </c>
      <c r="R344" s="193" t="str">
        <f>IF('Observaciones-SMP'!T344="","",'Observaciones-SMP'!T344)</f>
        <v/>
      </c>
      <c r="S344" s="193" t="str">
        <f>""</f>
        <v/>
      </c>
      <c r="T344" s="193" t="str">
        <f>""</f>
        <v/>
      </c>
      <c r="U344" s="193" t="str">
        <f t="shared" si="20"/>
        <v/>
      </c>
      <c r="V344" s="193" t="str">
        <f>""</f>
        <v/>
      </c>
      <c r="W344" s="193" t="str">
        <f>""</f>
        <v/>
      </c>
      <c r="X344" s="258" t="str">
        <f t="shared" si="21"/>
        <v/>
      </c>
      <c r="Y344" s="258" t="str">
        <f t="shared" si="22"/>
        <v/>
      </c>
      <c r="Z344" s="193" t="str">
        <f>IF(A344="","",IF(COUNTIF('Observaciones-SMP'!$A$2:$A$1001,A344)&gt;1,1,0))</f>
        <v/>
      </c>
      <c r="AA344" s="193" t="str">
        <f t="shared" si="23"/>
        <v/>
      </c>
    </row>
    <row r="345" spans="1:27" ht="13.5" customHeight="1" x14ac:dyDescent="0.3">
      <c r="A345" s="193" t="str">
        <f>IF('Observaciones-SMP'!A345="","",'Observaciones-SMP'!A345)</f>
        <v/>
      </c>
      <c r="B345" s="257" t="str">
        <f>IF('Observaciones-SMP'!B345="","",'Observaciones-SMP'!B345)</f>
        <v/>
      </c>
      <c r="C345" s="193" t="str">
        <f>IF('Observaciones-SMP'!C345="","",'Observaciones-SMP'!C345)</f>
        <v/>
      </c>
      <c r="D345" s="193" t="str">
        <f>IF('Observaciones-SMP'!D345="","",'Observaciones-SMP'!D345)</f>
        <v/>
      </c>
      <c r="E345" s="193" t="str">
        <f>IF('Observaciones-SMP'!E345="","",'Observaciones-SMP'!E345)</f>
        <v/>
      </c>
      <c r="F345" s="193" t="str">
        <f>IF('Observaciones-SMP'!F345="","",'Observaciones-SMP'!F345)</f>
        <v/>
      </c>
      <c r="G345" s="193" t="str">
        <f>IF('Observaciones-SMP'!G345="","",'Observaciones-SMP'!G345)</f>
        <v/>
      </c>
      <c r="H345" s="193" t="str">
        <f>IF('Observaciones-SMP'!H345="","",'Observaciones-SMP'!H345)</f>
        <v/>
      </c>
      <c r="I345" s="193" t="str">
        <f>IF('Observaciones-SMP'!I345="","",'Observaciones-SMP'!I345)</f>
        <v/>
      </c>
      <c r="J345" s="193" t="str">
        <f>IF('Observaciones-SMP'!J345="","",'Observaciones-SMP'!J345)</f>
        <v/>
      </c>
      <c r="K345" s="193" t="str">
        <f>IF('Observaciones-SMP'!K345="","",'Observaciones-SMP'!K345)</f>
        <v/>
      </c>
      <c r="L345" s="193" t="str">
        <f>IF('Observaciones-SMP'!L345="","",'Observaciones-SMP'!L345)</f>
        <v/>
      </c>
      <c r="M345" s="193" t="str">
        <f>IF('Observaciones-SMP'!M345="","",'Observaciones-SMP'!M345)</f>
        <v/>
      </c>
      <c r="N345" s="193" t="str">
        <f>IF('Observaciones-SMP'!N345="","",'Observaciones-SMP'!N345)</f>
        <v/>
      </c>
      <c r="O345" s="193" t="str">
        <f>IF('Observaciones-SMP'!O345="","",'Observaciones-SMP'!O345)</f>
        <v/>
      </c>
      <c r="P345" s="193" t="str">
        <f>IF('Observaciones-SMP'!P345="","",'Observaciones-SMP'!P345)</f>
        <v/>
      </c>
      <c r="Q345" s="257" t="str">
        <f>IF('Observaciones-SMP'!S345="","",'Observaciones-SMP'!S345)</f>
        <v/>
      </c>
      <c r="R345" s="193" t="str">
        <f>IF('Observaciones-SMP'!T345="","",'Observaciones-SMP'!T345)</f>
        <v/>
      </c>
      <c r="S345" s="193" t="str">
        <f>""</f>
        <v/>
      </c>
      <c r="T345" s="193" t="str">
        <f>""</f>
        <v/>
      </c>
      <c r="U345" s="193" t="str">
        <f t="shared" si="20"/>
        <v/>
      </c>
      <c r="V345" s="193" t="str">
        <f>""</f>
        <v/>
      </c>
      <c r="W345" s="193" t="str">
        <f>""</f>
        <v/>
      </c>
      <c r="X345" s="258" t="str">
        <f t="shared" si="21"/>
        <v/>
      </c>
      <c r="Y345" s="258" t="str">
        <f t="shared" si="22"/>
        <v/>
      </c>
      <c r="Z345" s="193" t="str">
        <f>IF(A345="","",IF(COUNTIF('Observaciones-SMP'!$A$2:$A$1001,A345)&gt;1,1,0))</f>
        <v/>
      </c>
      <c r="AA345" s="193" t="str">
        <f t="shared" si="23"/>
        <v/>
      </c>
    </row>
    <row r="346" spans="1:27" ht="13.5" customHeight="1" x14ac:dyDescent="0.3">
      <c r="A346" s="193" t="str">
        <f>IF('Observaciones-SMP'!A346="","",'Observaciones-SMP'!A346)</f>
        <v/>
      </c>
      <c r="B346" s="257" t="str">
        <f>IF('Observaciones-SMP'!B346="","",'Observaciones-SMP'!B346)</f>
        <v/>
      </c>
      <c r="C346" s="193" t="str">
        <f>IF('Observaciones-SMP'!C346="","",'Observaciones-SMP'!C346)</f>
        <v/>
      </c>
      <c r="D346" s="193" t="str">
        <f>IF('Observaciones-SMP'!D346="","",'Observaciones-SMP'!D346)</f>
        <v/>
      </c>
      <c r="E346" s="193" t="str">
        <f>IF('Observaciones-SMP'!E346="","",'Observaciones-SMP'!E346)</f>
        <v/>
      </c>
      <c r="F346" s="193" t="str">
        <f>IF('Observaciones-SMP'!F346="","",'Observaciones-SMP'!F346)</f>
        <v/>
      </c>
      <c r="G346" s="193" t="str">
        <f>IF('Observaciones-SMP'!G346="","",'Observaciones-SMP'!G346)</f>
        <v/>
      </c>
      <c r="H346" s="193" t="str">
        <f>IF('Observaciones-SMP'!H346="","",'Observaciones-SMP'!H346)</f>
        <v/>
      </c>
      <c r="I346" s="193" t="str">
        <f>IF('Observaciones-SMP'!I346="","",'Observaciones-SMP'!I346)</f>
        <v/>
      </c>
      <c r="J346" s="193" t="str">
        <f>IF('Observaciones-SMP'!J346="","",'Observaciones-SMP'!J346)</f>
        <v/>
      </c>
      <c r="K346" s="193" t="str">
        <f>IF('Observaciones-SMP'!K346="","",'Observaciones-SMP'!K346)</f>
        <v/>
      </c>
      <c r="L346" s="193" t="str">
        <f>IF('Observaciones-SMP'!L346="","",'Observaciones-SMP'!L346)</f>
        <v/>
      </c>
      <c r="M346" s="193" t="str">
        <f>IF('Observaciones-SMP'!M346="","",'Observaciones-SMP'!M346)</f>
        <v/>
      </c>
      <c r="N346" s="193" t="str">
        <f>IF('Observaciones-SMP'!N346="","",'Observaciones-SMP'!N346)</f>
        <v/>
      </c>
      <c r="O346" s="193" t="str">
        <f>IF('Observaciones-SMP'!O346="","",'Observaciones-SMP'!O346)</f>
        <v/>
      </c>
      <c r="P346" s="193" t="str">
        <f>IF('Observaciones-SMP'!P346="","",'Observaciones-SMP'!P346)</f>
        <v/>
      </c>
      <c r="Q346" s="257" t="str">
        <f>IF('Observaciones-SMP'!S346="","",'Observaciones-SMP'!S346)</f>
        <v/>
      </c>
      <c r="R346" s="193" t="str">
        <f>IF('Observaciones-SMP'!T346="","",'Observaciones-SMP'!T346)</f>
        <v/>
      </c>
      <c r="S346" s="193" t="str">
        <f>""</f>
        <v/>
      </c>
      <c r="T346" s="193" t="str">
        <f>""</f>
        <v/>
      </c>
      <c r="U346" s="193" t="str">
        <f t="shared" si="20"/>
        <v/>
      </c>
      <c r="V346" s="193" t="str">
        <f>""</f>
        <v/>
      </c>
      <c r="W346" s="193" t="str">
        <f>""</f>
        <v/>
      </c>
      <c r="X346" s="258" t="str">
        <f t="shared" si="21"/>
        <v/>
      </c>
      <c r="Y346" s="258" t="str">
        <f t="shared" si="22"/>
        <v/>
      </c>
      <c r="Z346" s="193" t="str">
        <f>IF(A346="","",IF(COUNTIF('Observaciones-SMP'!$A$2:$A$1001,A346)&gt;1,1,0))</f>
        <v/>
      </c>
      <c r="AA346" s="193" t="str">
        <f t="shared" si="23"/>
        <v/>
      </c>
    </row>
    <row r="347" spans="1:27" ht="13.5" customHeight="1" x14ac:dyDescent="0.3">
      <c r="A347" s="193" t="str">
        <f>IF('Observaciones-SMP'!A347="","",'Observaciones-SMP'!A347)</f>
        <v/>
      </c>
      <c r="B347" s="257" t="str">
        <f>IF('Observaciones-SMP'!B347="","",'Observaciones-SMP'!B347)</f>
        <v/>
      </c>
      <c r="C347" s="193" t="str">
        <f>IF('Observaciones-SMP'!C347="","",'Observaciones-SMP'!C347)</f>
        <v/>
      </c>
      <c r="D347" s="193" t="str">
        <f>IF('Observaciones-SMP'!D347="","",'Observaciones-SMP'!D347)</f>
        <v/>
      </c>
      <c r="E347" s="193" t="str">
        <f>IF('Observaciones-SMP'!E347="","",'Observaciones-SMP'!E347)</f>
        <v/>
      </c>
      <c r="F347" s="193" t="str">
        <f>IF('Observaciones-SMP'!F347="","",'Observaciones-SMP'!F347)</f>
        <v/>
      </c>
      <c r="G347" s="193" t="str">
        <f>IF('Observaciones-SMP'!G347="","",'Observaciones-SMP'!G347)</f>
        <v/>
      </c>
      <c r="H347" s="193" t="str">
        <f>IF('Observaciones-SMP'!H347="","",'Observaciones-SMP'!H347)</f>
        <v/>
      </c>
      <c r="I347" s="193" t="str">
        <f>IF('Observaciones-SMP'!I347="","",'Observaciones-SMP'!I347)</f>
        <v/>
      </c>
      <c r="J347" s="193" t="str">
        <f>IF('Observaciones-SMP'!J347="","",'Observaciones-SMP'!J347)</f>
        <v/>
      </c>
      <c r="K347" s="193" t="str">
        <f>IF('Observaciones-SMP'!K347="","",'Observaciones-SMP'!K347)</f>
        <v/>
      </c>
      <c r="L347" s="193" t="str">
        <f>IF('Observaciones-SMP'!L347="","",'Observaciones-SMP'!L347)</f>
        <v/>
      </c>
      <c r="M347" s="193" t="str">
        <f>IF('Observaciones-SMP'!M347="","",'Observaciones-SMP'!M347)</f>
        <v/>
      </c>
      <c r="N347" s="193" t="str">
        <f>IF('Observaciones-SMP'!N347="","",'Observaciones-SMP'!N347)</f>
        <v/>
      </c>
      <c r="O347" s="193" t="str">
        <f>IF('Observaciones-SMP'!O347="","",'Observaciones-SMP'!O347)</f>
        <v/>
      </c>
      <c r="P347" s="193" t="str">
        <f>IF('Observaciones-SMP'!P347="","",'Observaciones-SMP'!P347)</f>
        <v/>
      </c>
      <c r="Q347" s="257" t="str">
        <f>IF('Observaciones-SMP'!S347="","",'Observaciones-SMP'!S347)</f>
        <v/>
      </c>
      <c r="R347" s="193" t="str">
        <f>IF('Observaciones-SMP'!T347="","",'Observaciones-SMP'!T347)</f>
        <v/>
      </c>
      <c r="S347" s="193" t="str">
        <f>""</f>
        <v/>
      </c>
      <c r="T347" s="193" t="str">
        <f>""</f>
        <v/>
      </c>
      <c r="U347" s="193" t="str">
        <f t="shared" si="20"/>
        <v/>
      </c>
      <c r="V347" s="193" t="str">
        <f>""</f>
        <v/>
      </c>
      <c r="W347" s="193" t="str">
        <f>""</f>
        <v/>
      </c>
      <c r="X347" s="258" t="str">
        <f t="shared" si="21"/>
        <v/>
      </c>
      <c r="Y347" s="258" t="str">
        <f t="shared" si="22"/>
        <v/>
      </c>
      <c r="Z347" s="193" t="str">
        <f>IF(A347="","",IF(COUNTIF('Observaciones-SMP'!$A$2:$A$1001,A347)&gt;1,1,0))</f>
        <v/>
      </c>
      <c r="AA347" s="193" t="str">
        <f t="shared" si="23"/>
        <v/>
      </c>
    </row>
    <row r="348" spans="1:27" ht="13.5" customHeight="1" x14ac:dyDescent="0.3">
      <c r="A348" s="193" t="str">
        <f>IF('Observaciones-SMP'!A348="","",'Observaciones-SMP'!A348)</f>
        <v/>
      </c>
      <c r="B348" s="257" t="str">
        <f>IF('Observaciones-SMP'!B348="","",'Observaciones-SMP'!B348)</f>
        <v/>
      </c>
      <c r="C348" s="193" t="str">
        <f>IF('Observaciones-SMP'!C348="","",'Observaciones-SMP'!C348)</f>
        <v/>
      </c>
      <c r="D348" s="193" t="str">
        <f>IF('Observaciones-SMP'!D348="","",'Observaciones-SMP'!D348)</f>
        <v/>
      </c>
      <c r="E348" s="193" t="str">
        <f>IF('Observaciones-SMP'!E348="","",'Observaciones-SMP'!E348)</f>
        <v/>
      </c>
      <c r="F348" s="193" t="str">
        <f>IF('Observaciones-SMP'!F348="","",'Observaciones-SMP'!F348)</f>
        <v/>
      </c>
      <c r="G348" s="193" t="str">
        <f>IF('Observaciones-SMP'!G348="","",'Observaciones-SMP'!G348)</f>
        <v/>
      </c>
      <c r="H348" s="193" t="str">
        <f>IF('Observaciones-SMP'!H348="","",'Observaciones-SMP'!H348)</f>
        <v/>
      </c>
      <c r="I348" s="193" t="str">
        <f>IF('Observaciones-SMP'!I348="","",'Observaciones-SMP'!I348)</f>
        <v/>
      </c>
      <c r="J348" s="193" t="str">
        <f>IF('Observaciones-SMP'!J348="","",'Observaciones-SMP'!J348)</f>
        <v/>
      </c>
      <c r="K348" s="193" t="str">
        <f>IF('Observaciones-SMP'!K348="","",'Observaciones-SMP'!K348)</f>
        <v/>
      </c>
      <c r="L348" s="193" t="str">
        <f>IF('Observaciones-SMP'!L348="","",'Observaciones-SMP'!L348)</f>
        <v/>
      </c>
      <c r="M348" s="193" t="str">
        <f>IF('Observaciones-SMP'!M348="","",'Observaciones-SMP'!M348)</f>
        <v/>
      </c>
      <c r="N348" s="193" t="str">
        <f>IF('Observaciones-SMP'!N348="","",'Observaciones-SMP'!N348)</f>
        <v/>
      </c>
      <c r="O348" s="193" t="str">
        <f>IF('Observaciones-SMP'!O348="","",'Observaciones-SMP'!O348)</f>
        <v/>
      </c>
      <c r="P348" s="193" t="str">
        <f>IF('Observaciones-SMP'!P348="","",'Observaciones-SMP'!P348)</f>
        <v/>
      </c>
      <c r="Q348" s="257" t="str">
        <f>IF('Observaciones-SMP'!S348="","",'Observaciones-SMP'!S348)</f>
        <v/>
      </c>
      <c r="R348" s="193" t="str">
        <f>IF('Observaciones-SMP'!T348="","",'Observaciones-SMP'!T348)</f>
        <v/>
      </c>
      <c r="S348" s="193" t="str">
        <f>""</f>
        <v/>
      </c>
      <c r="T348" s="193" t="str">
        <f>""</f>
        <v/>
      </c>
      <c r="U348" s="193" t="str">
        <f t="shared" si="20"/>
        <v/>
      </c>
      <c r="V348" s="193" t="str">
        <f>""</f>
        <v/>
      </c>
      <c r="W348" s="193" t="str">
        <f>""</f>
        <v/>
      </c>
      <c r="X348" s="258" t="str">
        <f t="shared" si="21"/>
        <v/>
      </c>
      <c r="Y348" s="258" t="str">
        <f t="shared" si="22"/>
        <v/>
      </c>
      <c r="Z348" s="193" t="str">
        <f>IF(A348="","",IF(COUNTIF('Observaciones-SMP'!$A$2:$A$1001,A348)&gt;1,1,0))</f>
        <v/>
      </c>
      <c r="AA348" s="193" t="str">
        <f t="shared" si="23"/>
        <v/>
      </c>
    </row>
    <row r="349" spans="1:27" ht="13.5" customHeight="1" x14ac:dyDescent="0.3">
      <c r="A349" s="193" t="str">
        <f>IF('Observaciones-SMP'!A349="","",'Observaciones-SMP'!A349)</f>
        <v/>
      </c>
      <c r="B349" s="257" t="str">
        <f>IF('Observaciones-SMP'!B349="","",'Observaciones-SMP'!B349)</f>
        <v/>
      </c>
      <c r="C349" s="193" t="str">
        <f>IF('Observaciones-SMP'!C349="","",'Observaciones-SMP'!C349)</f>
        <v/>
      </c>
      <c r="D349" s="193" t="str">
        <f>IF('Observaciones-SMP'!D349="","",'Observaciones-SMP'!D349)</f>
        <v/>
      </c>
      <c r="E349" s="193" t="str">
        <f>IF('Observaciones-SMP'!E349="","",'Observaciones-SMP'!E349)</f>
        <v/>
      </c>
      <c r="F349" s="193" t="str">
        <f>IF('Observaciones-SMP'!F349="","",'Observaciones-SMP'!F349)</f>
        <v/>
      </c>
      <c r="G349" s="193" t="str">
        <f>IF('Observaciones-SMP'!G349="","",'Observaciones-SMP'!G349)</f>
        <v/>
      </c>
      <c r="H349" s="193" t="str">
        <f>IF('Observaciones-SMP'!H349="","",'Observaciones-SMP'!H349)</f>
        <v/>
      </c>
      <c r="I349" s="193" t="str">
        <f>IF('Observaciones-SMP'!I349="","",'Observaciones-SMP'!I349)</f>
        <v/>
      </c>
      <c r="J349" s="193" t="str">
        <f>IF('Observaciones-SMP'!J349="","",'Observaciones-SMP'!J349)</f>
        <v/>
      </c>
      <c r="K349" s="193" t="str">
        <f>IF('Observaciones-SMP'!K349="","",'Observaciones-SMP'!K349)</f>
        <v/>
      </c>
      <c r="L349" s="193" t="str">
        <f>IF('Observaciones-SMP'!L349="","",'Observaciones-SMP'!L349)</f>
        <v/>
      </c>
      <c r="M349" s="193" t="str">
        <f>IF('Observaciones-SMP'!M349="","",'Observaciones-SMP'!M349)</f>
        <v/>
      </c>
      <c r="N349" s="193" t="str">
        <f>IF('Observaciones-SMP'!N349="","",'Observaciones-SMP'!N349)</f>
        <v/>
      </c>
      <c r="O349" s="193" t="str">
        <f>IF('Observaciones-SMP'!O349="","",'Observaciones-SMP'!O349)</f>
        <v/>
      </c>
      <c r="P349" s="193" t="str">
        <f>IF('Observaciones-SMP'!P349="","",'Observaciones-SMP'!P349)</f>
        <v/>
      </c>
      <c r="Q349" s="257" t="str">
        <f>IF('Observaciones-SMP'!S349="","",'Observaciones-SMP'!S349)</f>
        <v/>
      </c>
      <c r="R349" s="193" t="str">
        <f>IF('Observaciones-SMP'!T349="","",'Observaciones-SMP'!T349)</f>
        <v/>
      </c>
      <c r="S349" s="193" t="str">
        <f>""</f>
        <v/>
      </c>
      <c r="T349" s="193" t="str">
        <f>""</f>
        <v/>
      </c>
      <c r="U349" s="193" t="str">
        <f t="shared" si="20"/>
        <v/>
      </c>
      <c r="V349" s="193" t="str">
        <f>""</f>
        <v/>
      </c>
      <c r="W349" s="193" t="str">
        <f>""</f>
        <v/>
      </c>
      <c r="X349" s="258" t="str">
        <f t="shared" si="21"/>
        <v/>
      </c>
      <c r="Y349" s="258" t="str">
        <f t="shared" si="22"/>
        <v/>
      </c>
      <c r="Z349" s="193" t="str">
        <f>IF(A349="","",IF(COUNTIF('Observaciones-SMP'!$A$2:$A$1001,A349)&gt;1,1,0))</f>
        <v/>
      </c>
      <c r="AA349" s="193" t="str">
        <f t="shared" si="23"/>
        <v/>
      </c>
    </row>
    <row r="350" spans="1:27" ht="13.5" customHeight="1" x14ac:dyDescent="0.3">
      <c r="A350" s="193" t="str">
        <f>IF('Observaciones-SMP'!A350="","",'Observaciones-SMP'!A350)</f>
        <v/>
      </c>
      <c r="B350" s="257" t="str">
        <f>IF('Observaciones-SMP'!B350="","",'Observaciones-SMP'!B350)</f>
        <v/>
      </c>
      <c r="C350" s="193" t="str">
        <f>IF('Observaciones-SMP'!C350="","",'Observaciones-SMP'!C350)</f>
        <v/>
      </c>
      <c r="D350" s="193" t="str">
        <f>IF('Observaciones-SMP'!D350="","",'Observaciones-SMP'!D350)</f>
        <v/>
      </c>
      <c r="E350" s="193" t="str">
        <f>IF('Observaciones-SMP'!E350="","",'Observaciones-SMP'!E350)</f>
        <v/>
      </c>
      <c r="F350" s="193" t="str">
        <f>IF('Observaciones-SMP'!F350="","",'Observaciones-SMP'!F350)</f>
        <v/>
      </c>
      <c r="G350" s="193" t="str">
        <f>IF('Observaciones-SMP'!G350="","",'Observaciones-SMP'!G350)</f>
        <v/>
      </c>
      <c r="H350" s="193" t="str">
        <f>IF('Observaciones-SMP'!H350="","",'Observaciones-SMP'!H350)</f>
        <v/>
      </c>
      <c r="I350" s="193" t="str">
        <f>IF('Observaciones-SMP'!I350="","",'Observaciones-SMP'!I350)</f>
        <v/>
      </c>
      <c r="J350" s="193" t="str">
        <f>IF('Observaciones-SMP'!J350="","",'Observaciones-SMP'!J350)</f>
        <v/>
      </c>
      <c r="K350" s="193" t="str">
        <f>IF('Observaciones-SMP'!K350="","",'Observaciones-SMP'!K350)</f>
        <v/>
      </c>
      <c r="L350" s="193" t="str">
        <f>IF('Observaciones-SMP'!L350="","",'Observaciones-SMP'!L350)</f>
        <v/>
      </c>
      <c r="M350" s="193" t="str">
        <f>IF('Observaciones-SMP'!M350="","",'Observaciones-SMP'!M350)</f>
        <v/>
      </c>
      <c r="N350" s="193" t="str">
        <f>IF('Observaciones-SMP'!N350="","",'Observaciones-SMP'!N350)</f>
        <v/>
      </c>
      <c r="O350" s="193" t="str">
        <f>IF('Observaciones-SMP'!O350="","",'Observaciones-SMP'!O350)</f>
        <v/>
      </c>
      <c r="P350" s="193" t="str">
        <f>IF('Observaciones-SMP'!P350="","",'Observaciones-SMP'!P350)</f>
        <v/>
      </c>
      <c r="Q350" s="257" t="str">
        <f>IF('Observaciones-SMP'!S350="","",'Observaciones-SMP'!S350)</f>
        <v/>
      </c>
      <c r="R350" s="193" t="str">
        <f>IF('Observaciones-SMP'!T350="","",'Observaciones-SMP'!T350)</f>
        <v/>
      </c>
      <c r="S350" s="193" t="str">
        <f>""</f>
        <v/>
      </c>
      <c r="T350" s="193" t="str">
        <f>""</f>
        <v/>
      </c>
      <c r="U350" s="193" t="str">
        <f t="shared" si="20"/>
        <v/>
      </c>
      <c r="V350" s="193" t="str">
        <f>""</f>
        <v/>
      </c>
      <c r="W350" s="193" t="str">
        <f>""</f>
        <v/>
      </c>
      <c r="X350" s="258" t="str">
        <f t="shared" si="21"/>
        <v/>
      </c>
      <c r="Y350" s="258" t="str">
        <f t="shared" si="22"/>
        <v/>
      </c>
      <c r="Z350" s="193" t="str">
        <f>IF(A350="","",IF(COUNTIF('Observaciones-SMP'!$A$2:$A$1001,A350)&gt;1,1,0))</f>
        <v/>
      </c>
      <c r="AA350" s="193" t="str">
        <f t="shared" si="23"/>
        <v/>
      </c>
    </row>
    <row r="351" spans="1:27" ht="13.5" customHeight="1" x14ac:dyDescent="0.3">
      <c r="A351" s="193" t="str">
        <f>IF('Observaciones-SMP'!A351="","",'Observaciones-SMP'!A351)</f>
        <v/>
      </c>
      <c r="B351" s="257" t="str">
        <f>IF('Observaciones-SMP'!B351="","",'Observaciones-SMP'!B351)</f>
        <v/>
      </c>
      <c r="C351" s="193" t="str">
        <f>IF('Observaciones-SMP'!C351="","",'Observaciones-SMP'!C351)</f>
        <v/>
      </c>
      <c r="D351" s="193" t="str">
        <f>IF('Observaciones-SMP'!D351="","",'Observaciones-SMP'!D351)</f>
        <v/>
      </c>
      <c r="E351" s="193" t="str">
        <f>IF('Observaciones-SMP'!E351="","",'Observaciones-SMP'!E351)</f>
        <v/>
      </c>
      <c r="F351" s="193" t="str">
        <f>IF('Observaciones-SMP'!F351="","",'Observaciones-SMP'!F351)</f>
        <v/>
      </c>
      <c r="G351" s="193" t="str">
        <f>IF('Observaciones-SMP'!G351="","",'Observaciones-SMP'!G351)</f>
        <v/>
      </c>
      <c r="H351" s="193" t="str">
        <f>IF('Observaciones-SMP'!H351="","",'Observaciones-SMP'!H351)</f>
        <v/>
      </c>
      <c r="I351" s="193" t="str">
        <f>IF('Observaciones-SMP'!I351="","",'Observaciones-SMP'!I351)</f>
        <v/>
      </c>
      <c r="J351" s="193" t="str">
        <f>IF('Observaciones-SMP'!J351="","",'Observaciones-SMP'!J351)</f>
        <v/>
      </c>
      <c r="K351" s="193" t="str">
        <f>IF('Observaciones-SMP'!K351="","",'Observaciones-SMP'!K351)</f>
        <v/>
      </c>
      <c r="L351" s="193" t="str">
        <f>IF('Observaciones-SMP'!L351="","",'Observaciones-SMP'!L351)</f>
        <v/>
      </c>
      <c r="M351" s="193" t="str">
        <f>IF('Observaciones-SMP'!M351="","",'Observaciones-SMP'!M351)</f>
        <v/>
      </c>
      <c r="N351" s="193" t="str">
        <f>IF('Observaciones-SMP'!N351="","",'Observaciones-SMP'!N351)</f>
        <v/>
      </c>
      <c r="O351" s="193" t="str">
        <f>IF('Observaciones-SMP'!O351="","",'Observaciones-SMP'!O351)</f>
        <v/>
      </c>
      <c r="P351" s="193" t="str">
        <f>IF('Observaciones-SMP'!P351="","",'Observaciones-SMP'!P351)</f>
        <v/>
      </c>
      <c r="Q351" s="257" t="str">
        <f>IF('Observaciones-SMP'!S351="","",'Observaciones-SMP'!S351)</f>
        <v/>
      </c>
      <c r="R351" s="193" t="str">
        <f>IF('Observaciones-SMP'!T351="","",'Observaciones-SMP'!T351)</f>
        <v/>
      </c>
      <c r="S351" s="193" t="str">
        <f>""</f>
        <v/>
      </c>
      <c r="T351" s="193" t="str">
        <f>""</f>
        <v/>
      </c>
      <c r="U351" s="193" t="str">
        <f t="shared" si="20"/>
        <v/>
      </c>
      <c r="V351" s="193" t="str">
        <f>""</f>
        <v/>
      </c>
      <c r="W351" s="193" t="str">
        <f>""</f>
        <v/>
      </c>
      <c r="X351" s="258" t="str">
        <f t="shared" si="21"/>
        <v/>
      </c>
      <c r="Y351" s="258" t="str">
        <f t="shared" si="22"/>
        <v/>
      </c>
      <c r="Z351" s="193" t="str">
        <f>IF(A351="","",IF(COUNTIF('Observaciones-SMP'!$A$2:$A$1001,A351)&gt;1,1,0))</f>
        <v/>
      </c>
      <c r="AA351" s="193" t="str">
        <f t="shared" si="23"/>
        <v/>
      </c>
    </row>
    <row r="352" spans="1:27" ht="13.5" customHeight="1" x14ac:dyDescent="0.3">
      <c r="A352" s="193" t="str">
        <f>IF('Observaciones-SMP'!A352="","",'Observaciones-SMP'!A352)</f>
        <v/>
      </c>
      <c r="B352" s="257" t="str">
        <f>IF('Observaciones-SMP'!B352="","",'Observaciones-SMP'!B352)</f>
        <v/>
      </c>
      <c r="C352" s="193" t="str">
        <f>IF('Observaciones-SMP'!C352="","",'Observaciones-SMP'!C352)</f>
        <v/>
      </c>
      <c r="D352" s="193" t="str">
        <f>IF('Observaciones-SMP'!D352="","",'Observaciones-SMP'!D352)</f>
        <v/>
      </c>
      <c r="E352" s="193" t="str">
        <f>IF('Observaciones-SMP'!E352="","",'Observaciones-SMP'!E352)</f>
        <v/>
      </c>
      <c r="F352" s="193" t="str">
        <f>IF('Observaciones-SMP'!F352="","",'Observaciones-SMP'!F352)</f>
        <v/>
      </c>
      <c r="G352" s="193" t="str">
        <f>IF('Observaciones-SMP'!G352="","",'Observaciones-SMP'!G352)</f>
        <v/>
      </c>
      <c r="H352" s="193" t="str">
        <f>IF('Observaciones-SMP'!H352="","",'Observaciones-SMP'!H352)</f>
        <v/>
      </c>
      <c r="I352" s="193" t="str">
        <f>IF('Observaciones-SMP'!I352="","",'Observaciones-SMP'!I352)</f>
        <v/>
      </c>
      <c r="J352" s="193" t="str">
        <f>IF('Observaciones-SMP'!J352="","",'Observaciones-SMP'!J352)</f>
        <v/>
      </c>
      <c r="K352" s="193" t="str">
        <f>IF('Observaciones-SMP'!K352="","",'Observaciones-SMP'!K352)</f>
        <v/>
      </c>
      <c r="L352" s="193" t="str">
        <f>IF('Observaciones-SMP'!L352="","",'Observaciones-SMP'!L352)</f>
        <v/>
      </c>
      <c r="M352" s="193" t="str">
        <f>IF('Observaciones-SMP'!M352="","",'Observaciones-SMP'!M352)</f>
        <v/>
      </c>
      <c r="N352" s="193" t="str">
        <f>IF('Observaciones-SMP'!N352="","",'Observaciones-SMP'!N352)</f>
        <v/>
      </c>
      <c r="O352" s="193" t="str">
        <f>IF('Observaciones-SMP'!O352="","",'Observaciones-SMP'!O352)</f>
        <v/>
      </c>
      <c r="P352" s="193" t="str">
        <f>IF('Observaciones-SMP'!P352="","",'Observaciones-SMP'!P352)</f>
        <v/>
      </c>
      <c r="Q352" s="257" t="str">
        <f>IF('Observaciones-SMP'!S352="","",'Observaciones-SMP'!S352)</f>
        <v/>
      </c>
      <c r="R352" s="193" t="str">
        <f>IF('Observaciones-SMP'!T352="","",'Observaciones-SMP'!T352)</f>
        <v/>
      </c>
      <c r="S352" s="193" t="str">
        <f>""</f>
        <v/>
      </c>
      <c r="T352" s="193" t="str">
        <f>""</f>
        <v/>
      </c>
      <c r="U352" s="193" t="str">
        <f t="shared" si="20"/>
        <v/>
      </c>
      <c r="V352" s="193" t="str">
        <f>""</f>
        <v/>
      </c>
      <c r="W352" s="193" t="str">
        <f>""</f>
        <v/>
      </c>
      <c r="X352" s="258" t="str">
        <f t="shared" si="21"/>
        <v/>
      </c>
      <c r="Y352" s="258" t="str">
        <f t="shared" si="22"/>
        <v/>
      </c>
      <c r="Z352" s="193" t="str">
        <f>IF(A352="","",IF(COUNTIF('Observaciones-SMP'!$A$2:$A$1001,A352)&gt;1,1,0))</f>
        <v/>
      </c>
      <c r="AA352" s="193" t="str">
        <f t="shared" si="23"/>
        <v/>
      </c>
    </row>
    <row r="353" spans="1:27" ht="13.5" customHeight="1" x14ac:dyDescent="0.3">
      <c r="A353" s="193" t="str">
        <f>IF('Observaciones-SMP'!A353="","",'Observaciones-SMP'!A353)</f>
        <v/>
      </c>
      <c r="B353" s="257" t="str">
        <f>IF('Observaciones-SMP'!B353="","",'Observaciones-SMP'!B353)</f>
        <v/>
      </c>
      <c r="C353" s="193" t="str">
        <f>IF('Observaciones-SMP'!C353="","",'Observaciones-SMP'!C353)</f>
        <v/>
      </c>
      <c r="D353" s="193" t="str">
        <f>IF('Observaciones-SMP'!D353="","",'Observaciones-SMP'!D353)</f>
        <v/>
      </c>
      <c r="E353" s="193" t="str">
        <f>IF('Observaciones-SMP'!E353="","",'Observaciones-SMP'!E353)</f>
        <v/>
      </c>
      <c r="F353" s="193" t="str">
        <f>IF('Observaciones-SMP'!F353="","",'Observaciones-SMP'!F353)</f>
        <v/>
      </c>
      <c r="G353" s="193" t="str">
        <f>IF('Observaciones-SMP'!G353="","",'Observaciones-SMP'!G353)</f>
        <v/>
      </c>
      <c r="H353" s="193" t="str">
        <f>IF('Observaciones-SMP'!H353="","",'Observaciones-SMP'!H353)</f>
        <v/>
      </c>
      <c r="I353" s="193" t="str">
        <f>IF('Observaciones-SMP'!I353="","",'Observaciones-SMP'!I353)</f>
        <v/>
      </c>
      <c r="J353" s="193" t="str">
        <f>IF('Observaciones-SMP'!J353="","",'Observaciones-SMP'!J353)</f>
        <v/>
      </c>
      <c r="K353" s="193" t="str">
        <f>IF('Observaciones-SMP'!K353="","",'Observaciones-SMP'!K353)</f>
        <v/>
      </c>
      <c r="L353" s="193" t="str">
        <f>IF('Observaciones-SMP'!L353="","",'Observaciones-SMP'!L353)</f>
        <v/>
      </c>
      <c r="M353" s="193" t="str">
        <f>IF('Observaciones-SMP'!M353="","",'Observaciones-SMP'!M353)</f>
        <v/>
      </c>
      <c r="N353" s="193" t="str">
        <f>IF('Observaciones-SMP'!N353="","",'Observaciones-SMP'!N353)</f>
        <v/>
      </c>
      <c r="O353" s="193" t="str">
        <f>IF('Observaciones-SMP'!O353="","",'Observaciones-SMP'!O353)</f>
        <v/>
      </c>
      <c r="P353" s="193" t="str">
        <f>IF('Observaciones-SMP'!P353="","",'Observaciones-SMP'!P353)</f>
        <v/>
      </c>
      <c r="Q353" s="257" t="str">
        <f>IF('Observaciones-SMP'!S353="","",'Observaciones-SMP'!S353)</f>
        <v/>
      </c>
      <c r="R353" s="193" t="str">
        <f>IF('Observaciones-SMP'!T353="","",'Observaciones-SMP'!T353)</f>
        <v/>
      </c>
      <c r="S353" s="193" t="str">
        <f>""</f>
        <v/>
      </c>
      <c r="T353" s="193" t="str">
        <f>""</f>
        <v/>
      </c>
      <c r="U353" s="193" t="str">
        <f t="shared" si="20"/>
        <v/>
      </c>
      <c r="V353" s="193" t="str">
        <f>""</f>
        <v/>
      </c>
      <c r="W353" s="193" t="str">
        <f>""</f>
        <v/>
      </c>
      <c r="X353" s="258" t="str">
        <f t="shared" si="21"/>
        <v/>
      </c>
      <c r="Y353" s="258" t="str">
        <f t="shared" si="22"/>
        <v/>
      </c>
      <c r="Z353" s="193" t="str">
        <f>IF(A353="","",IF(COUNTIF('Observaciones-SMP'!$A$2:$A$1001,A353)&gt;1,1,0))</f>
        <v/>
      </c>
      <c r="AA353" s="193" t="str">
        <f t="shared" si="23"/>
        <v/>
      </c>
    </row>
    <row r="354" spans="1:27" ht="13.5" customHeight="1" x14ac:dyDescent="0.3">
      <c r="A354" s="193" t="str">
        <f>IF('Observaciones-SMP'!A354="","",'Observaciones-SMP'!A354)</f>
        <v/>
      </c>
      <c r="B354" s="257" t="str">
        <f>IF('Observaciones-SMP'!B354="","",'Observaciones-SMP'!B354)</f>
        <v/>
      </c>
      <c r="C354" s="193" t="str">
        <f>IF('Observaciones-SMP'!C354="","",'Observaciones-SMP'!C354)</f>
        <v/>
      </c>
      <c r="D354" s="193" t="str">
        <f>IF('Observaciones-SMP'!D354="","",'Observaciones-SMP'!D354)</f>
        <v/>
      </c>
      <c r="E354" s="193" t="str">
        <f>IF('Observaciones-SMP'!E354="","",'Observaciones-SMP'!E354)</f>
        <v/>
      </c>
      <c r="F354" s="193" t="str">
        <f>IF('Observaciones-SMP'!F354="","",'Observaciones-SMP'!F354)</f>
        <v/>
      </c>
      <c r="G354" s="193" t="str">
        <f>IF('Observaciones-SMP'!G354="","",'Observaciones-SMP'!G354)</f>
        <v/>
      </c>
      <c r="H354" s="193" t="str">
        <f>IF('Observaciones-SMP'!H354="","",'Observaciones-SMP'!H354)</f>
        <v/>
      </c>
      <c r="I354" s="193" t="str">
        <f>IF('Observaciones-SMP'!I354="","",'Observaciones-SMP'!I354)</f>
        <v/>
      </c>
      <c r="J354" s="193" t="str">
        <f>IF('Observaciones-SMP'!J354="","",'Observaciones-SMP'!J354)</f>
        <v/>
      </c>
      <c r="K354" s="193" t="str">
        <f>IF('Observaciones-SMP'!K354="","",'Observaciones-SMP'!K354)</f>
        <v/>
      </c>
      <c r="L354" s="193" t="str">
        <f>IF('Observaciones-SMP'!L354="","",'Observaciones-SMP'!L354)</f>
        <v/>
      </c>
      <c r="M354" s="193" t="str">
        <f>IF('Observaciones-SMP'!M354="","",'Observaciones-SMP'!M354)</f>
        <v/>
      </c>
      <c r="N354" s="193" t="str">
        <f>IF('Observaciones-SMP'!N354="","",'Observaciones-SMP'!N354)</f>
        <v/>
      </c>
      <c r="O354" s="193" t="str">
        <f>IF('Observaciones-SMP'!O354="","",'Observaciones-SMP'!O354)</f>
        <v/>
      </c>
      <c r="P354" s="193" t="str">
        <f>IF('Observaciones-SMP'!P354="","",'Observaciones-SMP'!P354)</f>
        <v/>
      </c>
      <c r="Q354" s="257" t="str">
        <f>IF('Observaciones-SMP'!S354="","",'Observaciones-SMP'!S354)</f>
        <v/>
      </c>
      <c r="R354" s="193" t="str">
        <f>IF('Observaciones-SMP'!T354="","",'Observaciones-SMP'!T354)</f>
        <v/>
      </c>
      <c r="S354" s="193" t="str">
        <f>""</f>
        <v/>
      </c>
      <c r="T354" s="193" t="str">
        <f>""</f>
        <v/>
      </c>
      <c r="U354" s="193" t="str">
        <f t="shared" si="20"/>
        <v/>
      </c>
      <c r="V354" s="193" t="str">
        <f>""</f>
        <v/>
      </c>
      <c r="W354" s="193" t="str">
        <f>""</f>
        <v/>
      </c>
      <c r="X354" s="258" t="str">
        <f t="shared" si="21"/>
        <v/>
      </c>
      <c r="Y354" s="258" t="str">
        <f t="shared" si="22"/>
        <v/>
      </c>
      <c r="Z354" s="193" t="str">
        <f>IF(A354="","",IF(COUNTIF('Observaciones-SMP'!$A$2:$A$1001,A354)&gt;1,1,0))</f>
        <v/>
      </c>
      <c r="AA354" s="193" t="str">
        <f t="shared" si="23"/>
        <v/>
      </c>
    </row>
    <row r="355" spans="1:27" ht="13.5" customHeight="1" x14ac:dyDescent="0.3">
      <c r="A355" s="193" t="str">
        <f>IF('Observaciones-SMP'!A355="","",'Observaciones-SMP'!A355)</f>
        <v/>
      </c>
      <c r="B355" s="257" t="str">
        <f>IF('Observaciones-SMP'!B355="","",'Observaciones-SMP'!B355)</f>
        <v/>
      </c>
      <c r="C355" s="193" t="str">
        <f>IF('Observaciones-SMP'!C355="","",'Observaciones-SMP'!C355)</f>
        <v/>
      </c>
      <c r="D355" s="193" t="str">
        <f>IF('Observaciones-SMP'!D355="","",'Observaciones-SMP'!D355)</f>
        <v/>
      </c>
      <c r="E355" s="193" t="str">
        <f>IF('Observaciones-SMP'!E355="","",'Observaciones-SMP'!E355)</f>
        <v/>
      </c>
      <c r="F355" s="193" t="str">
        <f>IF('Observaciones-SMP'!F355="","",'Observaciones-SMP'!F355)</f>
        <v/>
      </c>
      <c r="G355" s="193" t="str">
        <f>IF('Observaciones-SMP'!G355="","",'Observaciones-SMP'!G355)</f>
        <v/>
      </c>
      <c r="H355" s="193" t="str">
        <f>IF('Observaciones-SMP'!H355="","",'Observaciones-SMP'!H355)</f>
        <v/>
      </c>
      <c r="I355" s="193" t="str">
        <f>IF('Observaciones-SMP'!I355="","",'Observaciones-SMP'!I355)</f>
        <v/>
      </c>
      <c r="J355" s="193" t="str">
        <f>IF('Observaciones-SMP'!J355="","",'Observaciones-SMP'!J355)</f>
        <v/>
      </c>
      <c r="K355" s="193" t="str">
        <f>IF('Observaciones-SMP'!K355="","",'Observaciones-SMP'!K355)</f>
        <v/>
      </c>
      <c r="L355" s="193" t="str">
        <f>IF('Observaciones-SMP'!L355="","",'Observaciones-SMP'!L355)</f>
        <v/>
      </c>
      <c r="M355" s="193" t="str">
        <f>IF('Observaciones-SMP'!M355="","",'Observaciones-SMP'!M355)</f>
        <v/>
      </c>
      <c r="N355" s="193" t="str">
        <f>IF('Observaciones-SMP'!N355="","",'Observaciones-SMP'!N355)</f>
        <v/>
      </c>
      <c r="O355" s="193" t="str">
        <f>IF('Observaciones-SMP'!O355="","",'Observaciones-SMP'!O355)</f>
        <v/>
      </c>
      <c r="P355" s="193" t="str">
        <f>IF('Observaciones-SMP'!P355="","",'Observaciones-SMP'!P355)</f>
        <v/>
      </c>
      <c r="Q355" s="257" t="str">
        <f>IF('Observaciones-SMP'!S355="","",'Observaciones-SMP'!S355)</f>
        <v/>
      </c>
      <c r="R355" s="193" t="str">
        <f>IF('Observaciones-SMP'!T355="","",'Observaciones-SMP'!T355)</f>
        <v/>
      </c>
      <c r="S355" s="193" t="str">
        <f>""</f>
        <v/>
      </c>
      <c r="T355" s="193" t="str">
        <f>""</f>
        <v/>
      </c>
      <c r="U355" s="193" t="str">
        <f t="shared" si="20"/>
        <v/>
      </c>
      <c r="V355" s="193" t="str">
        <f>""</f>
        <v/>
      </c>
      <c r="W355" s="193" t="str">
        <f>""</f>
        <v/>
      </c>
      <c r="X355" s="258" t="str">
        <f t="shared" si="21"/>
        <v/>
      </c>
      <c r="Y355" s="258" t="str">
        <f t="shared" si="22"/>
        <v/>
      </c>
      <c r="Z355" s="193" t="str">
        <f>IF(A355="","",IF(COUNTIF('Observaciones-SMP'!$A$2:$A$1001,A355)&gt;1,1,0))</f>
        <v/>
      </c>
      <c r="AA355" s="193" t="str">
        <f t="shared" si="23"/>
        <v/>
      </c>
    </row>
    <row r="356" spans="1:27" ht="13.5" customHeight="1" x14ac:dyDescent="0.3">
      <c r="A356" s="193" t="str">
        <f>IF('Observaciones-SMP'!A356="","",'Observaciones-SMP'!A356)</f>
        <v/>
      </c>
      <c r="B356" s="257" t="str">
        <f>IF('Observaciones-SMP'!B356="","",'Observaciones-SMP'!B356)</f>
        <v/>
      </c>
      <c r="C356" s="193" t="str">
        <f>IF('Observaciones-SMP'!C356="","",'Observaciones-SMP'!C356)</f>
        <v/>
      </c>
      <c r="D356" s="193" t="str">
        <f>IF('Observaciones-SMP'!D356="","",'Observaciones-SMP'!D356)</f>
        <v/>
      </c>
      <c r="E356" s="193" t="str">
        <f>IF('Observaciones-SMP'!E356="","",'Observaciones-SMP'!E356)</f>
        <v/>
      </c>
      <c r="F356" s="193" t="str">
        <f>IF('Observaciones-SMP'!F356="","",'Observaciones-SMP'!F356)</f>
        <v/>
      </c>
      <c r="G356" s="193" t="str">
        <f>IF('Observaciones-SMP'!G356="","",'Observaciones-SMP'!G356)</f>
        <v/>
      </c>
      <c r="H356" s="193" t="str">
        <f>IF('Observaciones-SMP'!H356="","",'Observaciones-SMP'!H356)</f>
        <v/>
      </c>
      <c r="I356" s="193" t="str">
        <f>IF('Observaciones-SMP'!I356="","",'Observaciones-SMP'!I356)</f>
        <v/>
      </c>
      <c r="J356" s="193" t="str">
        <f>IF('Observaciones-SMP'!J356="","",'Observaciones-SMP'!J356)</f>
        <v/>
      </c>
      <c r="K356" s="193" t="str">
        <f>IF('Observaciones-SMP'!K356="","",'Observaciones-SMP'!K356)</f>
        <v/>
      </c>
      <c r="L356" s="193" t="str">
        <f>IF('Observaciones-SMP'!L356="","",'Observaciones-SMP'!L356)</f>
        <v/>
      </c>
      <c r="M356" s="193" t="str">
        <f>IF('Observaciones-SMP'!M356="","",'Observaciones-SMP'!M356)</f>
        <v/>
      </c>
      <c r="N356" s="193" t="str">
        <f>IF('Observaciones-SMP'!N356="","",'Observaciones-SMP'!N356)</f>
        <v/>
      </c>
      <c r="O356" s="193" t="str">
        <f>IF('Observaciones-SMP'!O356="","",'Observaciones-SMP'!O356)</f>
        <v/>
      </c>
      <c r="P356" s="193" t="str">
        <f>IF('Observaciones-SMP'!P356="","",'Observaciones-SMP'!P356)</f>
        <v/>
      </c>
      <c r="Q356" s="257" t="str">
        <f>IF('Observaciones-SMP'!S356="","",'Observaciones-SMP'!S356)</f>
        <v/>
      </c>
      <c r="R356" s="193" t="str">
        <f>IF('Observaciones-SMP'!T356="","",'Observaciones-SMP'!T356)</f>
        <v/>
      </c>
      <c r="S356" s="193" t="str">
        <f>""</f>
        <v/>
      </c>
      <c r="T356" s="193" t="str">
        <f>""</f>
        <v/>
      </c>
      <c r="U356" s="193" t="str">
        <f t="shared" si="20"/>
        <v/>
      </c>
      <c r="V356" s="193" t="str">
        <f>""</f>
        <v/>
      </c>
      <c r="W356" s="193" t="str">
        <f>""</f>
        <v/>
      </c>
      <c r="X356" s="258" t="str">
        <f t="shared" si="21"/>
        <v/>
      </c>
      <c r="Y356" s="258" t="str">
        <f t="shared" si="22"/>
        <v/>
      </c>
      <c r="Z356" s="193" t="str">
        <f>IF(A356="","",IF(COUNTIF('Observaciones-SMP'!$A$2:$A$1001,A356)&gt;1,1,0))</f>
        <v/>
      </c>
      <c r="AA356" s="193" t="str">
        <f t="shared" si="23"/>
        <v/>
      </c>
    </row>
    <row r="357" spans="1:27" ht="13.5" customHeight="1" x14ac:dyDescent="0.3">
      <c r="A357" s="193" t="str">
        <f>IF('Observaciones-SMP'!A357="","",'Observaciones-SMP'!A357)</f>
        <v/>
      </c>
      <c r="B357" s="257" t="str">
        <f>IF('Observaciones-SMP'!B357="","",'Observaciones-SMP'!B357)</f>
        <v/>
      </c>
      <c r="C357" s="193" t="str">
        <f>IF('Observaciones-SMP'!C357="","",'Observaciones-SMP'!C357)</f>
        <v/>
      </c>
      <c r="D357" s="193" t="str">
        <f>IF('Observaciones-SMP'!D357="","",'Observaciones-SMP'!D357)</f>
        <v/>
      </c>
      <c r="E357" s="193" t="str">
        <f>IF('Observaciones-SMP'!E357="","",'Observaciones-SMP'!E357)</f>
        <v/>
      </c>
      <c r="F357" s="193" t="str">
        <f>IF('Observaciones-SMP'!F357="","",'Observaciones-SMP'!F357)</f>
        <v/>
      </c>
      <c r="G357" s="193" t="str">
        <f>IF('Observaciones-SMP'!G357="","",'Observaciones-SMP'!G357)</f>
        <v/>
      </c>
      <c r="H357" s="193" t="str">
        <f>IF('Observaciones-SMP'!H357="","",'Observaciones-SMP'!H357)</f>
        <v/>
      </c>
      <c r="I357" s="193" t="str">
        <f>IF('Observaciones-SMP'!I357="","",'Observaciones-SMP'!I357)</f>
        <v/>
      </c>
      <c r="J357" s="193" t="str">
        <f>IF('Observaciones-SMP'!J357="","",'Observaciones-SMP'!J357)</f>
        <v/>
      </c>
      <c r="K357" s="193" t="str">
        <f>IF('Observaciones-SMP'!K357="","",'Observaciones-SMP'!K357)</f>
        <v/>
      </c>
      <c r="L357" s="193" t="str">
        <f>IF('Observaciones-SMP'!L357="","",'Observaciones-SMP'!L357)</f>
        <v/>
      </c>
      <c r="M357" s="193" t="str">
        <f>IF('Observaciones-SMP'!M357="","",'Observaciones-SMP'!M357)</f>
        <v/>
      </c>
      <c r="N357" s="193" t="str">
        <f>IF('Observaciones-SMP'!N357="","",'Observaciones-SMP'!N357)</f>
        <v/>
      </c>
      <c r="O357" s="193" t="str">
        <f>IF('Observaciones-SMP'!O357="","",'Observaciones-SMP'!O357)</f>
        <v/>
      </c>
      <c r="P357" s="193" t="str">
        <f>IF('Observaciones-SMP'!P357="","",'Observaciones-SMP'!P357)</f>
        <v/>
      </c>
      <c r="Q357" s="257" t="str">
        <f>IF('Observaciones-SMP'!S357="","",'Observaciones-SMP'!S357)</f>
        <v/>
      </c>
      <c r="R357" s="193" t="str">
        <f>IF('Observaciones-SMP'!T357="","",'Observaciones-SMP'!T357)</f>
        <v/>
      </c>
      <c r="S357" s="193" t="str">
        <f>""</f>
        <v/>
      </c>
      <c r="T357" s="193" t="str">
        <f>""</f>
        <v/>
      </c>
      <c r="U357" s="193" t="str">
        <f t="shared" si="20"/>
        <v/>
      </c>
      <c r="V357" s="193" t="str">
        <f>""</f>
        <v/>
      </c>
      <c r="W357" s="193" t="str">
        <f>""</f>
        <v/>
      </c>
      <c r="X357" s="258" t="str">
        <f t="shared" si="21"/>
        <v/>
      </c>
      <c r="Y357" s="258" t="str">
        <f t="shared" si="22"/>
        <v/>
      </c>
      <c r="Z357" s="193" t="str">
        <f>IF(A357="","",IF(COUNTIF('Observaciones-SMP'!$A$2:$A$1001,A357)&gt;1,1,0))</f>
        <v/>
      </c>
      <c r="AA357" s="193" t="str">
        <f t="shared" si="23"/>
        <v/>
      </c>
    </row>
    <row r="358" spans="1:27" ht="13.5" customHeight="1" x14ac:dyDescent="0.3">
      <c r="A358" s="193" t="str">
        <f>IF('Observaciones-SMP'!A358="","",'Observaciones-SMP'!A358)</f>
        <v/>
      </c>
      <c r="B358" s="257" t="str">
        <f>IF('Observaciones-SMP'!B358="","",'Observaciones-SMP'!B358)</f>
        <v/>
      </c>
      <c r="C358" s="193" t="str">
        <f>IF('Observaciones-SMP'!C358="","",'Observaciones-SMP'!C358)</f>
        <v/>
      </c>
      <c r="D358" s="193" t="str">
        <f>IF('Observaciones-SMP'!D358="","",'Observaciones-SMP'!D358)</f>
        <v/>
      </c>
      <c r="E358" s="193" t="str">
        <f>IF('Observaciones-SMP'!E358="","",'Observaciones-SMP'!E358)</f>
        <v/>
      </c>
      <c r="F358" s="193" t="str">
        <f>IF('Observaciones-SMP'!F358="","",'Observaciones-SMP'!F358)</f>
        <v/>
      </c>
      <c r="G358" s="193" t="str">
        <f>IF('Observaciones-SMP'!G358="","",'Observaciones-SMP'!G358)</f>
        <v/>
      </c>
      <c r="H358" s="193" t="str">
        <f>IF('Observaciones-SMP'!H358="","",'Observaciones-SMP'!H358)</f>
        <v/>
      </c>
      <c r="I358" s="193" t="str">
        <f>IF('Observaciones-SMP'!I358="","",'Observaciones-SMP'!I358)</f>
        <v/>
      </c>
      <c r="J358" s="193" t="str">
        <f>IF('Observaciones-SMP'!J358="","",'Observaciones-SMP'!J358)</f>
        <v/>
      </c>
      <c r="K358" s="193" t="str">
        <f>IF('Observaciones-SMP'!K358="","",'Observaciones-SMP'!K358)</f>
        <v/>
      </c>
      <c r="L358" s="193" t="str">
        <f>IF('Observaciones-SMP'!L358="","",'Observaciones-SMP'!L358)</f>
        <v/>
      </c>
      <c r="M358" s="193" t="str">
        <f>IF('Observaciones-SMP'!M358="","",'Observaciones-SMP'!M358)</f>
        <v/>
      </c>
      <c r="N358" s="193" t="str">
        <f>IF('Observaciones-SMP'!N358="","",'Observaciones-SMP'!N358)</f>
        <v/>
      </c>
      <c r="O358" s="193" t="str">
        <f>IF('Observaciones-SMP'!O358="","",'Observaciones-SMP'!O358)</f>
        <v/>
      </c>
      <c r="P358" s="193" t="str">
        <f>IF('Observaciones-SMP'!P358="","",'Observaciones-SMP'!P358)</f>
        <v/>
      </c>
      <c r="Q358" s="257" t="str">
        <f>IF('Observaciones-SMP'!S358="","",'Observaciones-SMP'!S358)</f>
        <v/>
      </c>
      <c r="R358" s="193" t="str">
        <f>IF('Observaciones-SMP'!T358="","",'Observaciones-SMP'!T358)</f>
        <v/>
      </c>
      <c r="S358" s="193" t="str">
        <f>""</f>
        <v/>
      </c>
      <c r="T358" s="193" t="str">
        <f>""</f>
        <v/>
      </c>
      <c r="U358" s="193" t="str">
        <f t="shared" si="20"/>
        <v/>
      </c>
      <c r="V358" s="193" t="str">
        <f>""</f>
        <v/>
      </c>
      <c r="W358" s="193" t="str">
        <f>""</f>
        <v/>
      </c>
      <c r="X358" s="258" t="str">
        <f t="shared" si="21"/>
        <v/>
      </c>
      <c r="Y358" s="258" t="str">
        <f t="shared" si="22"/>
        <v/>
      </c>
      <c r="Z358" s="193" t="str">
        <f>IF(A358="","",IF(COUNTIF('Observaciones-SMP'!$A$2:$A$1001,A358)&gt;1,1,0))</f>
        <v/>
      </c>
      <c r="AA358" s="193" t="str">
        <f t="shared" si="23"/>
        <v/>
      </c>
    </row>
    <row r="359" spans="1:27" ht="13.5" customHeight="1" x14ac:dyDescent="0.3">
      <c r="A359" s="193" t="str">
        <f>IF('Observaciones-SMP'!A359="","",'Observaciones-SMP'!A359)</f>
        <v/>
      </c>
      <c r="B359" s="257" t="str">
        <f>IF('Observaciones-SMP'!B359="","",'Observaciones-SMP'!B359)</f>
        <v/>
      </c>
      <c r="C359" s="193" t="str">
        <f>IF('Observaciones-SMP'!C359="","",'Observaciones-SMP'!C359)</f>
        <v/>
      </c>
      <c r="D359" s="193" t="str">
        <f>IF('Observaciones-SMP'!D359="","",'Observaciones-SMP'!D359)</f>
        <v/>
      </c>
      <c r="E359" s="193" t="str">
        <f>IF('Observaciones-SMP'!E359="","",'Observaciones-SMP'!E359)</f>
        <v/>
      </c>
      <c r="F359" s="193" t="str">
        <f>IF('Observaciones-SMP'!F359="","",'Observaciones-SMP'!F359)</f>
        <v/>
      </c>
      <c r="G359" s="193" t="str">
        <f>IF('Observaciones-SMP'!G359="","",'Observaciones-SMP'!G359)</f>
        <v/>
      </c>
      <c r="H359" s="193" t="str">
        <f>IF('Observaciones-SMP'!H359="","",'Observaciones-SMP'!H359)</f>
        <v/>
      </c>
      <c r="I359" s="193" t="str">
        <f>IF('Observaciones-SMP'!I359="","",'Observaciones-SMP'!I359)</f>
        <v/>
      </c>
      <c r="J359" s="193" t="str">
        <f>IF('Observaciones-SMP'!J359="","",'Observaciones-SMP'!J359)</f>
        <v/>
      </c>
      <c r="K359" s="193" t="str">
        <f>IF('Observaciones-SMP'!K359="","",'Observaciones-SMP'!K359)</f>
        <v/>
      </c>
      <c r="L359" s="193" t="str">
        <f>IF('Observaciones-SMP'!L359="","",'Observaciones-SMP'!L359)</f>
        <v/>
      </c>
      <c r="M359" s="193" t="str">
        <f>IF('Observaciones-SMP'!M359="","",'Observaciones-SMP'!M359)</f>
        <v/>
      </c>
      <c r="N359" s="193" t="str">
        <f>IF('Observaciones-SMP'!N359="","",'Observaciones-SMP'!N359)</f>
        <v/>
      </c>
      <c r="O359" s="193" t="str">
        <f>IF('Observaciones-SMP'!O359="","",'Observaciones-SMP'!O359)</f>
        <v/>
      </c>
      <c r="P359" s="193" t="str">
        <f>IF('Observaciones-SMP'!P359="","",'Observaciones-SMP'!P359)</f>
        <v/>
      </c>
      <c r="Q359" s="257" t="str">
        <f>IF('Observaciones-SMP'!S359="","",'Observaciones-SMP'!S359)</f>
        <v/>
      </c>
      <c r="R359" s="193" t="str">
        <f>IF('Observaciones-SMP'!T359="","",'Observaciones-SMP'!T359)</f>
        <v/>
      </c>
      <c r="S359" s="193" t="str">
        <f>""</f>
        <v/>
      </c>
      <c r="T359" s="193" t="str">
        <f>""</f>
        <v/>
      </c>
      <c r="U359" s="193" t="str">
        <f t="shared" si="20"/>
        <v/>
      </c>
      <c r="V359" s="193" t="str">
        <f>""</f>
        <v/>
      </c>
      <c r="W359" s="193" t="str">
        <f>""</f>
        <v/>
      </c>
      <c r="X359" s="258" t="str">
        <f t="shared" si="21"/>
        <v/>
      </c>
      <c r="Y359" s="258" t="str">
        <f t="shared" si="22"/>
        <v/>
      </c>
      <c r="Z359" s="193" t="str">
        <f>IF(A359="","",IF(COUNTIF('Observaciones-SMP'!$A$2:$A$1001,A359)&gt;1,1,0))</f>
        <v/>
      </c>
      <c r="AA359" s="193" t="str">
        <f t="shared" si="23"/>
        <v/>
      </c>
    </row>
    <row r="360" spans="1:27" ht="13.5" customHeight="1" x14ac:dyDescent="0.3">
      <c r="A360" s="193" t="str">
        <f>IF('Observaciones-SMP'!A360="","",'Observaciones-SMP'!A360)</f>
        <v/>
      </c>
      <c r="B360" s="257" t="str">
        <f>IF('Observaciones-SMP'!B360="","",'Observaciones-SMP'!B360)</f>
        <v/>
      </c>
      <c r="C360" s="193" t="str">
        <f>IF('Observaciones-SMP'!C360="","",'Observaciones-SMP'!C360)</f>
        <v/>
      </c>
      <c r="D360" s="193" t="str">
        <f>IF('Observaciones-SMP'!D360="","",'Observaciones-SMP'!D360)</f>
        <v/>
      </c>
      <c r="E360" s="193" t="str">
        <f>IF('Observaciones-SMP'!E360="","",'Observaciones-SMP'!E360)</f>
        <v/>
      </c>
      <c r="F360" s="193" t="str">
        <f>IF('Observaciones-SMP'!F360="","",'Observaciones-SMP'!F360)</f>
        <v/>
      </c>
      <c r="G360" s="193" t="str">
        <f>IF('Observaciones-SMP'!G360="","",'Observaciones-SMP'!G360)</f>
        <v/>
      </c>
      <c r="H360" s="193" t="str">
        <f>IF('Observaciones-SMP'!H360="","",'Observaciones-SMP'!H360)</f>
        <v/>
      </c>
      <c r="I360" s="193" t="str">
        <f>IF('Observaciones-SMP'!I360="","",'Observaciones-SMP'!I360)</f>
        <v/>
      </c>
      <c r="J360" s="193" t="str">
        <f>IF('Observaciones-SMP'!J360="","",'Observaciones-SMP'!J360)</f>
        <v/>
      </c>
      <c r="K360" s="193" t="str">
        <f>IF('Observaciones-SMP'!K360="","",'Observaciones-SMP'!K360)</f>
        <v/>
      </c>
      <c r="L360" s="193" t="str">
        <f>IF('Observaciones-SMP'!L360="","",'Observaciones-SMP'!L360)</f>
        <v/>
      </c>
      <c r="M360" s="193" t="str">
        <f>IF('Observaciones-SMP'!M360="","",'Observaciones-SMP'!M360)</f>
        <v/>
      </c>
      <c r="N360" s="193" t="str">
        <f>IF('Observaciones-SMP'!N360="","",'Observaciones-SMP'!N360)</f>
        <v/>
      </c>
      <c r="O360" s="193" t="str">
        <f>IF('Observaciones-SMP'!O360="","",'Observaciones-SMP'!O360)</f>
        <v/>
      </c>
      <c r="P360" s="193" t="str">
        <f>IF('Observaciones-SMP'!P360="","",'Observaciones-SMP'!P360)</f>
        <v/>
      </c>
      <c r="Q360" s="257" t="str">
        <f>IF('Observaciones-SMP'!S360="","",'Observaciones-SMP'!S360)</f>
        <v/>
      </c>
      <c r="R360" s="193" t="str">
        <f>IF('Observaciones-SMP'!T360="","",'Observaciones-SMP'!T360)</f>
        <v/>
      </c>
      <c r="S360" s="193" t="str">
        <f>""</f>
        <v/>
      </c>
      <c r="T360" s="193" t="str">
        <f>""</f>
        <v/>
      </c>
      <c r="U360" s="193" t="str">
        <f t="shared" si="20"/>
        <v/>
      </c>
      <c r="V360" s="193" t="str">
        <f>""</f>
        <v/>
      </c>
      <c r="W360" s="193" t="str">
        <f>""</f>
        <v/>
      </c>
      <c r="X360" s="258" t="str">
        <f t="shared" si="21"/>
        <v/>
      </c>
      <c r="Y360" s="258" t="str">
        <f t="shared" si="22"/>
        <v/>
      </c>
      <c r="Z360" s="193" t="str">
        <f>IF(A360="","",IF(COUNTIF('Observaciones-SMP'!$A$2:$A$1001,A360)&gt;1,1,0))</f>
        <v/>
      </c>
      <c r="AA360" s="193" t="str">
        <f t="shared" si="23"/>
        <v/>
      </c>
    </row>
    <row r="361" spans="1:27" ht="13.5" customHeight="1" x14ac:dyDescent="0.3">
      <c r="A361" s="193" t="str">
        <f>IF('Observaciones-SMP'!A361="","",'Observaciones-SMP'!A361)</f>
        <v/>
      </c>
      <c r="B361" s="257" t="str">
        <f>IF('Observaciones-SMP'!B361="","",'Observaciones-SMP'!B361)</f>
        <v/>
      </c>
      <c r="C361" s="193" t="str">
        <f>IF('Observaciones-SMP'!C361="","",'Observaciones-SMP'!C361)</f>
        <v/>
      </c>
      <c r="D361" s="193" t="str">
        <f>IF('Observaciones-SMP'!D361="","",'Observaciones-SMP'!D361)</f>
        <v/>
      </c>
      <c r="E361" s="193" t="str">
        <f>IF('Observaciones-SMP'!E361="","",'Observaciones-SMP'!E361)</f>
        <v/>
      </c>
      <c r="F361" s="193" t="str">
        <f>IF('Observaciones-SMP'!F361="","",'Observaciones-SMP'!F361)</f>
        <v/>
      </c>
      <c r="G361" s="193" t="str">
        <f>IF('Observaciones-SMP'!G361="","",'Observaciones-SMP'!G361)</f>
        <v/>
      </c>
      <c r="H361" s="193" t="str">
        <f>IF('Observaciones-SMP'!H361="","",'Observaciones-SMP'!H361)</f>
        <v/>
      </c>
      <c r="I361" s="193" t="str">
        <f>IF('Observaciones-SMP'!I361="","",'Observaciones-SMP'!I361)</f>
        <v/>
      </c>
      <c r="J361" s="193" t="str">
        <f>IF('Observaciones-SMP'!J361="","",'Observaciones-SMP'!J361)</f>
        <v/>
      </c>
      <c r="K361" s="193" t="str">
        <f>IF('Observaciones-SMP'!K361="","",'Observaciones-SMP'!K361)</f>
        <v/>
      </c>
      <c r="L361" s="193" t="str">
        <f>IF('Observaciones-SMP'!L361="","",'Observaciones-SMP'!L361)</f>
        <v/>
      </c>
      <c r="M361" s="193" t="str">
        <f>IF('Observaciones-SMP'!M361="","",'Observaciones-SMP'!M361)</f>
        <v/>
      </c>
      <c r="N361" s="193" t="str">
        <f>IF('Observaciones-SMP'!N361="","",'Observaciones-SMP'!N361)</f>
        <v/>
      </c>
      <c r="O361" s="193" t="str">
        <f>IF('Observaciones-SMP'!O361="","",'Observaciones-SMP'!O361)</f>
        <v/>
      </c>
      <c r="P361" s="193" t="str">
        <f>IF('Observaciones-SMP'!P361="","",'Observaciones-SMP'!P361)</f>
        <v/>
      </c>
      <c r="Q361" s="257" t="str">
        <f>IF('Observaciones-SMP'!S361="","",'Observaciones-SMP'!S361)</f>
        <v/>
      </c>
      <c r="R361" s="193" t="str">
        <f>IF('Observaciones-SMP'!T361="","",'Observaciones-SMP'!T361)</f>
        <v/>
      </c>
      <c r="S361" s="193" t="str">
        <f>""</f>
        <v/>
      </c>
      <c r="T361" s="193" t="str">
        <f>""</f>
        <v/>
      </c>
      <c r="U361" s="193" t="str">
        <f t="shared" si="20"/>
        <v/>
      </c>
      <c r="V361" s="193" t="str">
        <f>""</f>
        <v/>
      </c>
      <c r="W361" s="193" t="str">
        <f>""</f>
        <v/>
      </c>
      <c r="X361" s="258" t="str">
        <f t="shared" si="21"/>
        <v/>
      </c>
      <c r="Y361" s="258" t="str">
        <f t="shared" si="22"/>
        <v/>
      </c>
      <c r="Z361" s="193" t="str">
        <f>IF(A361="","",IF(COUNTIF('Observaciones-SMP'!$A$2:$A$1001,A361)&gt;1,1,0))</f>
        <v/>
      </c>
      <c r="AA361" s="193" t="str">
        <f t="shared" si="23"/>
        <v/>
      </c>
    </row>
    <row r="362" spans="1:27" ht="13.5" customHeight="1" x14ac:dyDescent="0.3">
      <c r="A362" s="193" t="str">
        <f>IF('Observaciones-SMP'!A362="","",'Observaciones-SMP'!A362)</f>
        <v/>
      </c>
      <c r="B362" s="257" t="str">
        <f>IF('Observaciones-SMP'!B362="","",'Observaciones-SMP'!B362)</f>
        <v/>
      </c>
      <c r="C362" s="193" t="str">
        <f>IF('Observaciones-SMP'!C362="","",'Observaciones-SMP'!C362)</f>
        <v/>
      </c>
      <c r="D362" s="193" t="str">
        <f>IF('Observaciones-SMP'!D362="","",'Observaciones-SMP'!D362)</f>
        <v/>
      </c>
      <c r="E362" s="193" t="str">
        <f>IF('Observaciones-SMP'!E362="","",'Observaciones-SMP'!E362)</f>
        <v/>
      </c>
      <c r="F362" s="193" t="str">
        <f>IF('Observaciones-SMP'!F362="","",'Observaciones-SMP'!F362)</f>
        <v/>
      </c>
      <c r="G362" s="193" t="str">
        <f>IF('Observaciones-SMP'!G362="","",'Observaciones-SMP'!G362)</f>
        <v/>
      </c>
      <c r="H362" s="193" t="str">
        <f>IF('Observaciones-SMP'!H362="","",'Observaciones-SMP'!H362)</f>
        <v/>
      </c>
      <c r="I362" s="193" t="str">
        <f>IF('Observaciones-SMP'!I362="","",'Observaciones-SMP'!I362)</f>
        <v/>
      </c>
      <c r="J362" s="193" t="str">
        <f>IF('Observaciones-SMP'!J362="","",'Observaciones-SMP'!J362)</f>
        <v/>
      </c>
      <c r="K362" s="193" t="str">
        <f>IF('Observaciones-SMP'!K362="","",'Observaciones-SMP'!K362)</f>
        <v/>
      </c>
      <c r="L362" s="193" t="str">
        <f>IF('Observaciones-SMP'!L362="","",'Observaciones-SMP'!L362)</f>
        <v/>
      </c>
      <c r="M362" s="193" t="str">
        <f>IF('Observaciones-SMP'!M362="","",'Observaciones-SMP'!M362)</f>
        <v/>
      </c>
      <c r="N362" s="193" t="str">
        <f>IF('Observaciones-SMP'!N362="","",'Observaciones-SMP'!N362)</f>
        <v/>
      </c>
      <c r="O362" s="193" t="str">
        <f>IF('Observaciones-SMP'!O362="","",'Observaciones-SMP'!O362)</f>
        <v/>
      </c>
      <c r="P362" s="193" t="str">
        <f>IF('Observaciones-SMP'!P362="","",'Observaciones-SMP'!P362)</f>
        <v/>
      </c>
      <c r="Q362" s="257" t="str">
        <f>IF('Observaciones-SMP'!S362="","",'Observaciones-SMP'!S362)</f>
        <v/>
      </c>
      <c r="R362" s="193" t="str">
        <f>IF('Observaciones-SMP'!T362="","",'Observaciones-SMP'!T362)</f>
        <v/>
      </c>
      <c r="S362" s="193" t="str">
        <f>""</f>
        <v/>
      </c>
      <c r="T362" s="193" t="str">
        <f>""</f>
        <v/>
      </c>
      <c r="U362" s="193" t="str">
        <f t="shared" si="20"/>
        <v/>
      </c>
      <c r="V362" s="193" t="str">
        <f>""</f>
        <v/>
      </c>
      <c r="W362" s="193" t="str">
        <f>""</f>
        <v/>
      </c>
      <c r="X362" s="258" t="str">
        <f t="shared" si="21"/>
        <v/>
      </c>
      <c r="Y362" s="258" t="str">
        <f t="shared" si="22"/>
        <v/>
      </c>
      <c r="Z362" s="193" t="str">
        <f>IF(A362="","",IF(COUNTIF('Observaciones-SMP'!$A$2:$A$1001,A362)&gt;1,1,0))</f>
        <v/>
      </c>
      <c r="AA362" s="193" t="str">
        <f t="shared" si="23"/>
        <v/>
      </c>
    </row>
    <row r="363" spans="1:27" ht="13.5" customHeight="1" x14ac:dyDescent="0.3">
      <c r="A363" s="193" t="str">
        <f>IF('Observaciones-SMP'!A363="","",'Observaciones-SMP'!A363)</f>
        <v/>
      </c>
      <c r="B363" s="257" t="str">
        <f>IF('Observaciones-SMP'!B363="","",'Observaciones-SMP'!B363)</f>
        <v/>
      </c>
      <c r="C363" s="193" t="str">
        <f>IF('Observaciones-SMP'!C363="","",'Observaciones-SMP'!C363)</f>
        <v/>
      </c>
      <c r="D363" s="193" t="str">
        <f>IF('Observaciones-SMP'!D363="","",'Observaciones-SMP'!D363)</f>
        <v/>
      </c>
      <c r="E363" s="193" t="str">
        <f>IF('Observaciones-SMP'!E363="","",'Observaciones-SMP'!E363)</f>
        <v/>
      </c>
      <c r="F363" s="193" t="str">
        <f>IF('Observaciones-SMP'!F363="","",'Observaciones-SMP'!F363)</f>
        <v/>
      </c>
      <c r="G363" s="193" t="str">
        <f>IF('Observaciones-SMP'!G363="","",'Observaciones-SMP'!G363)</f>
        <v/>
      </c>
      <c r="H363" s="193" t="str">
        <f>IF('Observaciones-SMP'!H363="","",'Observaciones-SMP'!H363)</f>
        <v/>
      </c>
      <c r="I363" s="193" t="str">
        <f>IF('Observaciones-SMP'!I363="","",'Observaciones-SMP'!I363)</f>
        <v/>
      </c>
      <c r="J363" s="193" t="str">
        <f>IF('Observaciones-SMP'!J363="","",'Observaciones-SMP'!J363)</f>
        <v/>
      </c>
      <c r="K363" s="193" t="str">
        <f>IF('Observaciones-SMP'!K363="","",'Observaciones-SMP'!K363)</f>
        <v/>
      </c>
      <c r="L363" s="193" t="str">
        <f>IF('Observaciones-SMP'!L363="","",'Observaciones-SMP'!L363)</f>
        <v/>
      </c>
      <c r="M363" s="193" t="str">
        <f>IF('Observaciones-SMP'!M363="","",'Observaciones-SMP'!M363)</f>
        <v/>
      </c>
      <c r="N363" s="193" t="str">
        <f>IF('Observaciones-SMP'!N363="","",'Observaciones-SMP'!N363)</f>
        <v/>
      </c>
      <c r="O363" s="193" t="str">
        <f>IF('Observaciones-SMP'!O363="","",'Observaciones-SMP'!O363)</f>
        <v/>
      </c>
      <c r="P363" s="193" t="str">
        <f>IF('Observaciones-SMP'!P363="","",'Observaciones-SMP'!P363)</f>
        <v/>
      </c>
      <c r="Q363" s="257" t="str">
        <f>IF('Observaciones-SMP'!S363="","",'Observaciones-SMP'!S363)</f>
        <v/>
      </c>
      <c r="R363" s="193" t="str">
        <f>IF('Observaciones-SMP'!T363="","",'Observaciones-SMP'!T363)</f>
        <v/>
      </c>
      <c r="S363" s="193" t="str">
        <f>""</f>
        <v/>
      </c>
      <c r="T363" s="193" t="str">
        <f>""</f>
        <v/>
      </c>
      <c r="U363" s="193" t="str">
        <f t="shared" si="20"/>
        <v/>
      </c>
      <c r="V363" s="193" t="str">
        <f>""</f>
        <v/>
      </c>
      <c r="W363" s="193" t="str">
        <f>""</f>
        <v/>
      </c>
      <c r="X363" s="258" t="str">
        <f t="shared" si="21"/>
        <v/>
      </c>
      <c r="Y363" s="258" t="str">
        <f t="shared" si="22"/>
        <v/>
      </c>
      <c r="Z363" s="193" t="str">
        <f>IF(A363="","",IF(COUNTIF('Observaciones-SMP'!$A$2:$A$1001,A363)&gt;1,1,0))</f>
        <v/>
      </c>
      <c r="AA363" s="193" t="str">
        <f t="shared" si="23"/>
        <v/>
      </c>
    </row>
    <row r="364" spans="1:27" ht="13.5" customHeight="1" x14ac:dyDescent="0.3">
      <c r="A364" s="193" t="str">
        <f>IF('Observaciones-SMP'!A364="","",'Observaciones-SMP'!A364)</f>
        <v/>
      </c>
      <c r="B364" s="257" t="str">
        <f>IF('Observaciones-SMP'!B364="","",'Observaciones-SMP'!B364)</f>
        <v/>
      </c>
      <c r="C364" s="193" t="str">
        <f>IF('Observaciones-SMP'!C364="","",'Observaciones-SMP'!C364)</f>
        <v/>
      </c>
      <c r="D364" s="193" t="str">
        <f>IF('Observaciones-SMP'!D364="","",'Observaciones-SMP'!D364)</f>
        <v/>
      </c>
      <c r="E364" s="193" t="str">
        <f>IF('Observaciones-SMP'!E364="","",'Observaciones-SMP'!E364)</f>
        <v/>
      </c>
      <c r="F364" s="193" t="str">
        <f>IF('Observaciones-SMP'!F364="","",'Observaciones-SMP'!F364)</f>
        <v/>
      </c>
      <c r="G364" s="193" t="str">
        <f>IF('Observaciones-SMP'!G364="","",'Observaciones-SMP'!G364)</f>
        <v/>
      </c>
      <c r="H364" s="193" t="str">
        <f>IF('Observaciones-SMP'!H364="","",'Observaciones-SMP'!H364)</f>
        <v/>
      </c>
      <c r="I364" s="193" t="str">
        <f>IF('Observaciones-SMP'!I364="","",'Observaciones-SMP'!I364)</f>
        <v/>
      </c>
      <c r="J364" s="193" t="str">
        <f>IF('Observaciones-SMP'!J364="","",'Observaciones-SMP'!J364)</f>
        <v/>
      </c>
      <c r="K364" s="193" t="str">
        <f>IF('Observaciones-SMP'!K364="","",'Observaciones-SMP'!K364)</f>
        <v/>
      </c>
      <c r="L364" s="193" t="str">
        <f>IF('Observaciones-SMP'!L364="","",'Observaciones-SMP'!L364)</f>
        <v/>
      </c>
      <c r="M364" s="193" t="str">
        <f>IF('Observaciones-SMP'!M364="","",'Observaciones-SMP'!M364)</f>
        <v/>
      </c>
      <c r="N364" s="193" t="str">
        <f>IF('Observaciones-SMP'!N364="","",'Observaciones-SMP'!N364)</f>
        <v/>
      </c>
      <c r="O364" s="193" t="str">
        <f>IF('Observaciones-SMP'!O364="","",'Observaciones-SMP'!O364)</f>
        <v/>
      </c>
      <c r="P364" s="193" t="str">
        <f>IF('Observaciones-SMP'!P364="","",'Observaciones-SMP'!P364)</f>
        <v/>
      </c>
      <c r="Q364" s="257" t="str">
        <f>IF('Observaciones-SMP'!S364="","",'Observaciones-SMP'!S364)</f>
        <v/>
      </c>
      <c r="R364" s="193" t="str">
        <f>IF('Observaciones-SMP'!T364="","",'Observaciones-SMP'!T364)</f>
        <v/>
      </c>
      <c r="S364" s="193" t="str">
        <f>""</f>
        <v/>
      </c>
      <c r="T364" s="193" t="str">
        <f>""</f>
        <v/>
      </c>
      <c r="U364" s="193" t="str">
        <f t="shared" si="20"/>
        <v/>
      </c>
      <c r="V364" s="193" t="str">
        <f>""</f>
        <v/>
      </c>
      <c r="W364" s="193" t="str">
        <f>""</f>
        <v/>
      </c>
      <c r="X364" s="258" t="str">
        <f t="shared" si="21"/>
        <v/>
      </c>
      <c r="Y364" s="258" t="str">
        <f t="shared" si="22"/>
        <v/>
      </c>
      <c r="Z364" s="193" t="str">
        <f>IF(A364="","",IF(COUNTIF('Observaciones-SMP'!$A$2:$A$1001,A364)&gt;1,1,0))</f>
        <v/>
      </c>
      <c r="AA364" s="193" t="str">
        <f t="shared" si="23"/>
        <v/>
      </c>
    </row>
    <row r="365" spans="1:27" ht="13.5" customHeight="1" x14ac:dyDescent="0.3">
      <c r="A365" s="193" t="str">
        <f>IF('Observaciones-SMP'!A365="","",'Observaciones-SMP'!A365)</f>
        <v/>
      </c>
      <c r="B365" s="257" t="str">
        <f>IF('Observaciones-SMP'!B365="","",'Observaciones-SMP'!B365)</f>
        <v/>
      </c>
      <c r="C365" s="193" t="str">
        <f>IF('Observaciones-SMP'!C365="","",'Observaciones-SMP'!C365)</f>
        <v/>
      </c>
      <c r="D365" s="193" t="str">
        <f>IF('Observaciones-SMP'!D365="","",'Observaciones-SMP'!D365)</f>
        <v/>
      </c>
      <c r="E365" s="193" t="str">
        <f>IF('Observaciones-SMP'!E365="","",'Observaciones-SMP'!E365)</f>
        <v/>
      </c>
      <c r="F365" s="193" t="str">
        <f>IF('Observaciones-SMP'!F365="","",'Observaciones-SMP'!F365)</f>
        <v/>
      </c>
      <c r="G365" s="193" t="str">
        <f>IF('Observaciones-SMP'!G365="","",'Observaciones-SMP'!G365)</f>
        <v/>
      </c>
      <c r="H365" s="193" t="str">
        <f>IF('Observaciones-SMP'!H365="","",'Observaciones-SMP'!H365)</f>
        <v/>
      </c>
      <c r="I365" s="193" t="str">
        <f>IF('Observaciones-SMP'!I365="","",'Observaciones-SMP'!I365)</f>
        <v/>
      </c>
      <c r="J365" s="193" t="str">
        <f>IF('Observaciones-SMP'!J365="","",'Observaciones-SMP'!J365)</f>
        <v/>
      </c>
      <c r="K365" s="193" t="str">
        <f>IF('Observaciones-SMP'!K365="","",'Observaciones-SMP'!K365)</f>
        <v/>
      </c>
      <c r="L365" s="193" t="str">
        <f>IF('Observaciones-SMP'!L365="","",'Observaciones-SMP'!L365)</f>
        <v/>
      </c>
      <c r="M365" s="193" t="str">
        <f>IF('Observaciones-SMP'!M365="","",'Observaciones-SMP'!M365)</f>
        <v/>
      </c>
      <c r="N365" s="193" t="str">
        <f>IF('Observaciones-SMP'!N365="","",'Observaciones-SMP'!N365)</f>
        <v/>
      </c>
      <c r="O365" s="193" t="str">
        <f>IF('Observaciones-SMP'!O365="","",'Observaciones-SMP'!O365)</f>
        <v/>
      </c>
      <c r="P365" s="193" t="str">
        <f>IF('Observaciones-SMP'!P365="","",'Observaciones-SMP'!P365)</f>
        <v/>
      </c>
      <c r="Q365" s="257" t="str">
        <f>IF('Observaciones-SMP'!S365="","",'Observaciones-SMP'!S365)</f>
        <v/>
      </c>
      <c r="R365" s="193" t="str">
        <f>IF('Observaciones-SMP'!T365="","",'Observaciones-SMP'!T365)</f>
        <v/>
      </c>
      <c r="S365" s="193" t="str">
        <f>""</f>
        <v/>
      </c>
      <c r="T365" s="193" t="str">
        <f>""</f>
        <v/>
      </c>
      <c r="U365" s="193" t="str">
        <f t="shared" si="20"/>
        <v/>
      </c>
      <c r="V365" s="193" t="str">
        <f>""</f>
        <v/>
      </c>
      <c r="W365" s="193" t="str">
        <f>""</f>
        <v/>
      </c>
      <c r="X365" s="258" t="str">
        <f t="shared" si="21"/>
        <v/>
      </c>
      <c r="Y365" s="258" t="str">
        <f t="shared" si="22"/>
        <v/>
      </c>
      <c r="Z365" s="193" t="str">
        <f>IF(A365="","",IF(COUNTIF('Observaciones-SMP'!$A$2:$A$1001,A365)&gt;1,1,0))</f>
        <v/>
      </c>
      <c r="AA365" s="193" t="str">
        <f t="shared" si="23"/>
        <v/>
      </c>
    </row>
    <row r="366" spans="1:27" ht="13.5" customHeight="1" x14ac:dyDescent="0.3">
      <c r="A366" s="193" t="str">
        <f>IF('Observaciones-SMP'!A366="","",'Observaciones-SMP'!A366)</f>
        <v/>
      </c>
      <c r="B366" s="257" t="str">
        <f>IF('Observaciones-SMP'!B366="","",'Observaciones-SMP'!B366)</f>
        <v/>
      </c>
      <c r="C366" s="193" t="str">
        <f>IF('Observaciones-SMP'!C366="","",'Observaciones-SMP'!C366)</f>
        <v/>
      </c>
      <c r="D366" s="193" t="str">
        <f>IF('Observaciones-SMP'!D366="","",'Observaciones-SMP'!D366)</f>
        <v/>
      </c>
      <c r="E366" s="193" t="str">
        <f>IF('Observaciones-SMP'!E366="","",'Observaciones-SMP'!E366)</f>
        <v/>
      </c>
      <c r="F366" s="193" t="str">
        <f>IF('Observaciones-SMP'!F366="","",'Observaciones-SMP'!F366)</f>
        <v/>
      </c>
      <c r="G366" s="193" t="str">
        <f>IF('Observaciones-SMP'!G366="","",'Observaciones-SMP'!G366)</f>
        <v/>
      </c>
      <c r="H366" s="193" t="str">
        <f>IF('Observaciones-SMP'!H366="","",'Observaciones-SMP'!H366)</f>
        <v/>
      </c>
      <c r="I366" s="193" t="str">
        <f>IF('Observaciones-SMP'!I366="","",'Observaciones-SMP'!I366)</f>
        <v/>
      </c>
      <c r="J366" s="193" t="str">
        <f>IF('Observaciones-SMP'!J366="","",'Observaciones-SMP'!J366)</f>
        <v/>
      </c>
      <c r="K366" s="193" t="str">
        <f>IF('Observaciones-SMP'!K366="","",'Observaciones-SMP'!K366)</f>
        <v/>
      </c>
      <c r="L366" s="193" t="str">
        <f>IF('Observaciones-SMP'!L366="","",'Observaciones-SMP'!L366)</f>
        <v/>
      </c>
      <c r="M366" s="193" t="str">
        <f>IF('Observaciones-SMP'!M366="","",'Observaciones-SMP'!M366)</f>
        <v/>
      </c>
      <c r="N366" s="193" t="str">
        <f>IF('Observaciones-SMP'!N366="","",'Observaciones-SMP'!N366)</f>
        <v/>
      </c>
      <c r="O366" s="193" t="str">
        <f>IF('Observaciones-SMP'!O366="","",'Observaciones-SMP'!O366)</f>
        <v/>
      </c>
      <c r="P366" s="193" t="str">
        <f>IF('Observaciones-SMP'!P366="","",'Observaciones-SMP'!P366)</f>
        <v/>
      </c>
      <c r="Q366" s="257" t="str">
        <f>IF('Observaciones-SMP'!S366="","",'Observaciones-SMP'!S366)</f>
        <v/>
      </c>
      <c r="R366" s="193" t="str">
        <f>IF('Observaciones-SMP'!T366="","",'Observaciones-SMP'!T366)</f>
        <v/>
      </c>
      <c r="S366" s="193" t="str">
        <f>""</f>
        <v/>
      </c>
      <c r="T366" s="193" t="str">
        <f>""</f>
        <v/>
      </c>
      <c r="U366" s="193" t="str">
        <f t="shared" si="20"/>
        <v/>
      </c>
      <c r="V366" s="193" t="str">
        <f>""</f>
        <v/>
      </c>
      <c r="W366" s="193" t="str">
        <f>""</f>
        <v/>
      </c>
      <c r="X366" s="258" t="str">
        <f t="shared" si="21"/>
        <v/>
      </c>
      <c r="Y366" s="258" t="str">
        <f t="shared" si="22"/>
        <v/>
      </c>
      <c r="Z366" s="193" t="str">
        <f>IF(A366="","",IF(COUNTIF('Observaciones-SMP'!$A$2:$A$1001,A366)&gt;1,1,0))</f>
        <v/>
      </c>
      <c r="AA366" s="193" t="str">
        <f t="shared" si="23"/>
        <v/>
      </c>
    </row>
    <row r="367" spans="1:27" ht="13.5" customHeight="1" x14ac:dyDescent="0.3">
      <c r="A367" s="193" t="str">
        <f>IF('Observaciones-SMP'!A367="","",'Observaciones-SMP'!A367)</f>
        <v/>
      </c>
      <c r="B367" s="257" t="str">
        <f>IF('Observaciones-SMP'!B367="","",'Observaciones-SMP'!B367)</f>
        <v/>
      </c>
      <c r="C367" s="193" t="str">
        <f>IF('Observaciones-SMP'!C367="","",'Observaciones-SMP'!C367)</f>
        <v/>
      </c>
      <c r="D367" s="193" t="str">
        <f>IF('Observaciones-SMP'!D367="","",'Observaciones-SMP'!D367)</f>
        <v/>
      </c>
      <c r="E367" s="193" t="str">
        <f>IF('Observaciones-SMP'!E367="","",'Observaciones-SMP'!E367)</f>
        <v/>
      </c>
      <c r="F367" s="193" t="str">
        <f>IF('Observaciones-SMP'!F367="","",'Observaciones-SMP'!F367)</f>
        <v/>
      </c>
      <c r="G367" s="193" t="str">
        <f>IF('Observaciones-SMP'!G367="","",'Observaciones-SMP'!G367)</f>
        <v/>
      </c>
      <c r="H367" s="193" t="str">
        <f>IF('Observaciones-SMP'!H367="","",'Observaciones-SMP'!H367)</f>
        <v/>
      </c>
      <c r="I367" s="193" t="str">
        <f>IF('Observaciones-SMP'!I367="","",'Observaciones-SMP'!I367)</f>
        <v/>
      </c>
      <c r="J367" s="193" t="str">
        <f>IF('Observaciones-SMP'!J367="","",'Observaciones-SMP'!J367)</f>
        <v/>
      </c>
      <c r="K367" s="193" t="str">
        <f>IF('Observaciones-SMP'!K367="","",'Observaciones-SMP'!K367)</f>
        <v/>
      </c>
      <c r="L367" s="193" t="str">
        <f>IF('Observaciones-SMP'!L367="","",'Observaciones-SMP'!L367)</f>
        <v/>
      </c>
      <c r="M367" s="193" t="str">
        <f>IF('Observaciones-SMP'!M367="","",'Observaciones-SMP'!M367)</f>
        <v/>
      </c>
      <c r="N367" s="193" t="str">
        <f>IF('Observaciones-SMP'!N367="","",'Observaciones-SMP'!N367)</f>
        <v/>
      </c>
      <c r="O367" s="193" t="str">
        <f>IF('Observaciones-SMP'!O367="","",'Observaciones-SMP'!O367)</f>
        <v/>
      </c>
      <c r="P367" s="193" t="str">
        <f>IF('Observaciones-SMP'!P367="","",'Observaciones-SMP'!P367)</f>
        <v/>
      </c>
      <c r="Q367" s="257" t="str">
        <f>IF('Observaciones-SMP'!S367="","",'Observaciones-SMP'!S367)</f>
        <v/>
      </c>
      <c r="R367" s="193" t="str">
        <f>IF('Observaciones-SMP'!T367="","",'Observaciones-SMP'!T367)</f>
        <v/>
      </c>
      <c r="S367" s="193" t="str">
        <f>""</f>
        <v/>
      </c>
      <c r="T367" s="193" t="str">
        <f>""</f>
        <v/>
      </c>
      <c r="U367" s="193" t="str">
        <f t="shared" si="20"/>
        <v/>
      </c>
      <c r="V367" s="193" t="str">
        <f>""</f>
        <v/>
      </c>
      <c r="W367" s="193" t="str">
        <f>""</f>
        <v/>
      </c>
      <c r="X367" s="258" t="str">
        <f t="shared" si="21"/>
        <v/>
      </c>
      <c r="Y367" s="258" t="str">
        <f t="shared" si="22"/>
        <v/>
      </c>
      <c r="Z367" s="193" t="str">
        <f>IF(A367="","",IF(COUNTIF('Observaciones-SMP'!$A$2:$A$1001,A367)&gt;1,1,0))</f>
        <v/>
      </c>
      <c r="AA367" s="193" t="str">
        <f t="shared" si="23"/>
        <v/>
      </c>
    </row>
    <row r="368" spans="1:27" ht="13.5" customHeight="1" x14ac:dyDescent="0.3">
      <c r="A368" s="193" t="str">
        <f>IF('Observaciones-SMP'!A368="","",'Observaciones-SMP'!A368)</f>
        <v/>
      </c>
      <c r="B368" s="257" t="str">
        <f>IF('Observaciones-SMP'!B368="","",'Observaciones-SMP'!B368)</f>
        <v/>
      </c>
      <c r="C368" s="193" t="str">
        <f>IF('Observaciones-SMP'!C368="","",'Observaciones-SMP'!C368)</f>
        <v/>
      </c>
      <c r="D368" s="193" t="str">
        <f>IF('Observaciones-SMP'!D368="","",'Observaciones-SMP'!D368)</f>
        <v/>
      </c>
      <c r="E368" s="193" t="str">
        <f>IF('Observaciones-SMP'!E368="","",'Observaciones-SMP'!E368)</f>
        <v/>
      </c>
      <c r="F368" s="193" t="str">
        <f>IF('Observaciones-SMP'!F368="","",'Observaciones-SMP'!F368)</f>
        <v/>
      </c>
      <c r="G368" s="193" t="str">
        <f>IF('Observaciones-SMP'!G368="","",'Observaciones-SMP'!G368)</f>
        <v/>
      </c>
      <c r="H368" s="193" t="str">
        <f>IF('Observaciones-SMP'!H368="","",'Observaciones-SMP'!H368)</f>
        <v/>
      </c>
      <c r="I368" s="193" t="str">
        <f>IF('Observaciones-SMP'!I368="","",'Observaciones-SMP'!I368)</f>
        <v/>
      </c>
      <c r="J368" s="193" t="str">
        <f>IF('Observaciones-SMP'!J368="","",'Observaciones-SMP'!J368)</f>
        <v/>
      </c>
      <c r="K368" s="193" t="str">
        <f>IF('Observaciones-SMP'!K368="","",'Observaciones-SMP'!K368)</f>
        <v/>
      </c>
      <c r="L368" s="193" t="str">
        <f>IF('Observaciones-SMP'!L368="","",'Observaciones-SMP'!L368)</f>
        <v/>
      </c>
      <c r="M368" s="193" t="str">
        <f>IF('Observaciones-SMP'!M368="","",'Observaciones-SMP'!M368)</f>
        <v/>
      </c>
      <c r="N368" s="193" t="str">
        <f>IF('Observaciones-SMP'!N368="","",'Observaciones-SMP'!N368)</f>
        <v/>
      </c>
      <c r="O368" s="193" t="str">
        <f>IF('Observaciones-SMP'!O368="","",'Observaciones-SMP'!O368)</f>
        <v/>
      </c>
      <c r="P368" s="193" t="str">
        <f>IF('Observaciones-SMP'!P368="","",'Observaciones-SMP'!P368)</f>
        <v/>
      </c>
      <c r="Q368" s="257" t="str">
        <f>IF('Observaciones-SMP'!S368="","",'Observaciones-SMP'!S368)</f>
        <v/>
      </c>
      <c r="R368" s="193" t="str">
        <f>IF('Observaciones-SMP'!T368="","",'Observaciones-SMP'!T368)</f>
        <v/>
      </c>
      <c r="S368" s="193" t="str">
        <f>""</f>
        <v/>
      </c>
      <c r="T368" s="193" t="str">
        <f>""</f>
        <v/>
      </c>
      <c r="U368" s="193" t="str">
        <f t="shared" si="20"/>
        <v/>
      </c>
      <c r="V368" s="193" t="str">
        <f>""</f>
        <v/>
      </c>
      <c r="W368" s="193" t="str">
        <f>""</f>
        <v/>
      </c>
      <c r="X368" s="258" t="str">
        <f t="shared" si="21"/>
        <v/>
      </c>
      <c r="Y368" s="258" t="str">
        <f t="shared" si="22"/>
        <v/>
      </c>
      <c r="Z368" s="193" t="str">
        <f>IF(A368="","",IF(COUNTIF('Observaciones-SMP'!$A$2:$A$1001,A368)&gt;1,1,0))</f>
        <v/>
      </c>
      <c r="AA368" s="193" t="str">
        <f t="shared" si="23"/>
        <v/>
      </c>
    </row>
    <row r="369" spans="1:27" ht="13.5" customHeight="1" x14ac:dyDescent="0.3">
      <c r="A369" s="193" t="str">
        <f>IF('Observaciones-SMP'!A369="","",'Observaciones-SMP'!A369)</f>
        <v/>
      </c>
      <c r="B369" s="257" t="str">
        <f>IF('Observaciones-SMP'!B369="","",'Observaciones-SMP'!B369)</f>
        <v/>
      </c>
      <c r="C369" s="193" t="str">
        <f>IF('Observaciones-SMP'!C369="","",'Observaciones-SMP'!C369)</f>
        <v/>
      </c>
      <c r="D369" s="193" t="str">
        <f>IF('Observaciones-SMP'!D369="","",'Observaciones-SMP'!D369)</f>
        <v/>
      </c>
      <c r="E369" s="193" t="str">
        <f>IF('Observaciones-SMP'!E369="","",'Observaciones-SMP'!E369)</f>
        <v/>
      </c>
      <c r="F369" s="193" t="str">
        <f>IF('Observaciones-SMP'!F369="","",'Observaciones-SMP'!F369)</f>
        <v/>
      </c>
      <c r="G369" s="193" t="str">
        <f>IF('Observaciones-SMP'!G369="","",'Observaciones-SMP'!G369)</f>
        <v/>
      </c>
      <c r="H369" s="193" t="str">
        <f>IF('Observaciones-SMP'!H369="","",'Observaciones-SMP'!H369)</f>
        <v/>
      </c>
      <c r="I369" s="193" t="str">
        <f>IF('Observaciones-SMP'!I369="","",'Observaciones-SMP'!I369)</f>
        <v/>
      </c>
      <c r="J369" s="193" t="str">
        <f>IF('Observaciones-SMP'!J369="","",'Observaciones-SMP'!J369)</f>
        <v/>
      </c>
      <c r="K369" s="193" t="str">
        <f>IF('Observaciones-SMP'!K369="","",'Observaciones-SMP'!K369)</f>
        <v/>
      </c>
      <c r="L369" s="193" t="str">
        <f>IF('Observaciones-SMP'!L369="","",'Observaciones-SMP'!L369)</f>
        <v/>
      </c>
      <c r="M369" s="193" t="str">
        <f>IF('Observaciones-SMP'!M369="","",'Observaciones-SMP'!M369)</f>
        <v/>
      </c>
      <c r="N369" s="193" t="str">
        <f>IF('Observaciones-SMP'!N369="","",'Observaciones-SMP'!N369)</f>
        <v/>
      </c>
      <c r="O369" s="193" t="str">
        <f>IF('Observaciones-SMP'!O369="","",'Observaciones-SMP'!O369)</f>
        <v/>
      </c>
      <c r="P369" s="193" t="str">
        <f>IF('Observaciones-SMP'!P369="","",'Observaciones-SMP'!P369)</f>
        <v/>
      </c>
      <c r="Q369" s="257" t="str">
        <f>IF('Observaciones-SMP'!S369="","",'Observaciones-SMP'!S369)</f>
        <v/>
      </c>
      <c r="R369" s="193" t="str">
        <f>IF('Observaciones-SMP'!T369="","",'Observaciones-SMP'!T369)</f>
        <v/>
      </c>
      <c r="S369" s="193" t="str">
        <f>""</f>
        <v/>
      </c>
      <c r="T369" s="193" t="str">
        <f>""</f>
        <v/>
      </c>
      <c r="U369" s="193" t="str">
        <f t="shared" si="20"/>
        <v/>
      </c>
      <c r="V369" s="193" t="str">
        <f>""</f>
        <v/>
      </c>
      <c r="W369" s="193" t="str">
        <f>""</f>
        <v/>
      </c>
      <c r="X369" s="258" t="str">
        <f t="shared" si="21"/>
        <v/>
      </c>
      <c r="Y369" s="258" t="str">
        <f t="shared" si="22"/>
        <v/>
      </c>
      <c r="Z369" s="193" t="str">
        <f>IF(A369="","",IF(COUNTIF('Observaciones-SMP'!$A$2:$A$1001,A369)&gt;1,1,0))</f>
        <v/>
      </c>
      <c r="AA369" s="193" t="str">
        <f t="shared" si="23"/>
        <v/>
      </c>
    </row>
    <row r="370" spans="1:27" ht="13.5" customHeight="1" x14ac:dyDescent="0.3">
      <c r="A370" s="193" t="str">
        <f>IF('Observaciones-SMP'!A370="","",'Observaciones-SMP'!A370)</f>
        <v/>
      </c>
      <c r="B370" s="257" t="str">
        <f>IF('Observaciones-SMP'!B370="","",'Observaciones-SMP'!B370)</f>
        <v/>
      </c>
      <c r="C370" s="193" t="str">
        <f>IF('Observaciones-SMP'!C370="","",'Observaciones-SMP'!C370)</f>
        <v/>
      </c>
      <c r="D370" s="193" t="str">
        <f>IF('Observaciones-SMP'!D370="","",'Observaciones-SMP'!D370)</f>
        <v/>
      </c>
      <c r="E370" s="193" t="str">
        <f>IF('Observaciones-SMP'!E370="","",'Observaciones-SMP'!E370)</f>
        <v/>
      </c>
      <c r="F370" s="193" t="str">
        <f>IF('Observaciones-SMP'!F370="","",'Observaciones-SMP'!F370)</f>
        <v/>
      </c>
      <c r="G370" s="193" t="str">
        <f>IF('Observaciones-SMP'!G370="","",'Observaciones-SMP'!G370)</f>
        <v/>
      </c>
      <c r="H370" s="193" t="str">
        <f>IF('Observaciones-SMP'!H370="","",'Observaciones-SMP'!H370)</f>
        <v/>
      </c>
      <c r="I370" s="193" t="str">
        <f>IF('Observaciones-SMP'!I370="","",'Observaciones-SMP'!I370)</f>
        <v/>
      </c>
      <c r="J370" s="193" t="str">
        <f>IF('Observaciones-SMP'!J370="","",'Observaciones-SMP'!J370)</f>
        <v/>
      </c>
      <c r="K370" s="193" t="str">
        <f>IF('Observaciones-SMP'!K370="","",'Observaciones-SMP'!K370)</f>
        <v/>
      </c>
      <c r="L370" s="193" t="str">
        <f>IF('Observaciones-SMP'!L370="","",'Observaciones-SMP'!L370)</f>
        <v/>
      </c>
      <c r="M370" s="193" t="str">
        <f>IF('Observaciones-SMP'!M370="","",'Observaciones-SMP'!M370)</f>
        <v/>
      </c>
      <c r="N370" s="193" t="str">
        <f>IF('Observaciones-SMP'!N370="","",'Observaciones-SMP'!N370)</f>
        <v/>
      </c>
      <c r="O370" s="193" t="str">
        <f>IF('Observaciones-SMP'!O370="","",'Observaciones-SMP'!O370)</f>
        <v/>
      </c>
      <c r="P370" s="193" t="str">
        <f>IF('Observaciones-SMP'!P370="","",'Observaciones-SMP'!P370)</f>
        <v/>
      </c>
      <c r="Q370" s="257" t="str">
        <f>IF('Observaciones-SMP'!S370="","",'Observaciones-SMP'!S370)</f>
        <v/>
      </c>
      <c r="R370" s="193" t="str">
        <f>IF('Observaciones-SMP'!T370="","",'Observaciones-SMP'!T370)</f>
        <v/>
      </c>
      <c r="S370" s="193" t="str">
        <f>""</f>
        <v/>
      </c>
      <c r="T370" s="193" t="str">
        <f>""</f>
        <v/>
      </c>
      <c r="U370" s="193" t="str">
        <f t="shared" si="20"/>
        <v/>
      </c>
      <c r="V370" s="193" t="str">
        <f>""</f>
        <v/>
      </c>
      <c r="W370" s="193" t="str">
        <f>""</f>
        <v/>
      </c>
      <c r="X370" s="258" t="str">
        <f t="shared" si="21"/>
        <v/>
      </c>
      <c r="Y370" s="258" t="str">
        <f t="shared" si="22"/>
        <v/>
      </c>
      <c r="Z370" s="193" t="str">
        <f>IF(A370="","",IF(COUNTIF('Observaciones-SMP'!$A$2:$A$1001,A370)&gt;1,1,0))</f>
        <v/>
      </c>
      <c r="AA370" s="193" t="str">
        <f t="shared" si="23"/>
        <v/>
      </c>
    </row>
    <row r="371" spans="1:27" ht="13.5" customHeight="1" x14ac:dyDescent="0.3">
      <c r="A371" s="193" t="str">
        <f>IF('Observaciones-SMP'!A371="","",'Observaciones-SMP'!A371)</f>
        <v/>
      </c>
      <c r="B371" s="257" t="str">
        <f>IF('Observaciones-SMP'!B371="","",'Observaciones-SMP'!B371)</f>
        <v/>
      </c>
      <c r="C371" s="193" t="str">
        <f>IF('Observaciones-SMP'!C371="","",'Observaciones-SMP'!C371)</f>
        <v/>
      </c>
      <c r="D371" s="193" t="str">
        <f>IF('Observaciones-SMP'!D371="","",'Observaciones-SMP'!D371)</f>
        <v/>
      </c>
      <c r="E371" s="193" t="str">
        <f>IF('Observaciones-SMP'!E371="","",'Observaciones-SMP'!E371)</f>
        <v/>
      </c>
      <c r="F371" s="193" t="str">
        <f>IF('Observaciones-SMP'!F371="","",'Observaciones-SMP'!F371)</f>
        <v/>
      </c>
      <c r="G371" s="193" t="str">
        <f>IF('Observaciones-SMP'!G371="","",'Observaciones-SMP'!G371)</f>
        <v/>
      </c>
      <c r="H371" s="193" t="str">
        <f>IF('Observaciones-SMP'!H371="","",'Observaciones-SMP'!H371)</f>
        <v/>
      </c>
      <c r="I371" s="193" t="str">
        <f>IF('Observaciones-SMP'!I371="","",'Observaciones-SMP'!I371)</f>
        <v/>
      </c>
      <c r="J371" s="193" t="str">
        <f>IF('Observaciones-SMP'!J371="","",'Observaciones-SMP'!J371)</f>
        <v/>
      </c>
      <c r="K371" s="193" t="str">
        <f>IF('Observaciones-SMP'!K371="","",'Observaciones-SMP'!K371)</f>
        <v/>
      </c>
      <c r="L371" s="193" t="str">
        <f>IF('Observaciones-SMP'!L371="","",'Observaciones-SMP'!L371)</f>
        <v/>
      </c>
      <c r="M371" s="193" t="str">
        <f>IF('Observaciones-SMP'!M371="","",'Observaciones-SMP'!M371)</f>
        <v/>
      </c>
      <c r="N371" s="193" t="str">
        <f>IF('Observaciones-SMP'!N371="","",'Observaciones-SMP'!N371)</f>
        <v/>
      </c>
      <c r="O371" s="193" t="str">
        <f>IF('Observaciones-SMP'!O371="","",'Observaciones-SMP'!O371)</f>
        <v/>
      </c>
      <c r="P371" s="193" t="str">
        <f>IF('Observaciones-SMP'!P371="","",'Observaciones-SMP'!P371)</f>
        <v/>
      </c>
      <c r="Q371" s="257" t="str">
        <f>IF('Observaciones-SMP'!S371="","",'Observaciones-SMP'!S371)</f>
        <v/>
      </c>
      <c r="R371" s="193" t="str">
        <f>IF('Observaciones-SMP'!T371="","",'Observaciones-SMP'!T371)</f>
        <v/>
      </c>
      <c r="S371" s="193" t="str">
        <f>""</f>
        <v/>
      </c>
      <c r="T371" s="193" t="str">
        <f>""</f>
        <v/>
      </c>
      <c r="U371" s="193" t="str">
        <f t="shared" si="20"/>
        <v/>
      </c>
      <c r="V371" s="193" t="str">
        <f>""</f>
        <v/>
      </c>
      <c r="W371" s="193" t="str">
        <f>""</f>
        <v/>
      </c>
      <c r="X371" s="258" t="str">
        <f t="shared" si="21"/>
        <v/>
      </c>
      <c r="Y371" s="258" t="str">
        <f t="shared" si="22"/>
        <v/>
      </c>
      <c r="Z371" s="193" t="str">
        <f>IF(A371="","",IF(COUNTIF('Observaciones-SMP'!$A$2:$A$1001,A371)&gt;1,1,0))</f>
        <v/>
      </c>
      <c r="AA371" s="193" t="str">
        <f t="shared" si="23"/>
        <v/>
      </c>
    </row>
    <row r="372" spans="1:27" ht="13.5" customHeight="1" x14ac:dyDescent="0.3">
      <c r="A372" s="193" t="str">
        <f>IF('Observaciones-SMP'!A372="","",'Observaciones-SMP'!A372)</f>
        <v/>
      </c>
      <c r="B372" s="257" t="str">
        <f>IF('Observaciones-SMP'!B372="","",'Observaciones-SMP'!B372)</f>
        <v/>
      </c>
      <c r="C372" s="193" t="str">
        <f>IF('Observaciones-SMP'!C372="","",'Observaciones-SMP'!C372)</f>
        <v/>
      </c>
      <c r="D372" s="193" t="str">
        <f>IF('Observaciones-SMP'!D372="","",'Observaciones-SMP'!D372)</f>
        <v/>
      </c>
      <c r="E372" s="193" t="str">
        <f>IF('Observaciones-SMP'!E372="","",'Observaciones-SMP'!E372)</f>
        <v/>
      </c>
      <c r="F372" s="193" t="str">
        <f>IF('Observaciones-SMP'!F372="","",'Observaciones-SMP'!F372)</f>
        <v/>
      </c>
      <c r="G372" s="193" t="str">
        <f>IF('Observaciones-SMP'!G372="","",'Observaciones-SMP'!G372)</f>
        <v/>
      </c>
      <c r="H372" s="193" t="str">
        <f>IF('Observaciones-SMP'!H372="","",'Observaciones-SMP'!H372)</f>
        <v/>
      </c>
      <c r="I372" s="193" t="str">
        <f>IF('Observaciones-SMP'!I372="","",'Observaciones-SMP'!I372)</f>
        <v/>
      </c>
      <c r="J372" s="193" t="str">
        <f>IF('Observaciones-SMP'!J372="","",'Observaciones-SMP'!J372)</f>
        <v/>
      </c>
      <c r="K372" s="193" t="str">
        <f>IF('Observaciones-SMP'!K372="","",'Observaciones-SMP'!K372)</f>
        <v/>
      </c>
      <c r="L372" s="193" t="str">
        <f>IF('Observaciones-SMP'!L372="","",'Observaciones-SMP'!L372)</f>
        <v/>
      </c>
      <c r="M372" s="193" t="str">
        <f>IF('Observaciones-SMP'!M372="","",'Observaciones-SMP'!M372)</f>
        <v/>
      </c>
      <c r="N372" s="193" t="str">
        <f>IF('Observaciones-SMP'!N372="","",'Observaciones-SMP'!N372)</f>
        <v/>
      </c>
      <c r="O372" s="193" t="str">
        <f>IF('Observaciones-SMP'!O372="","",'Observaciones-SMP'!O372)</f>
        <v/>
      </c>
      <c r="P372" s="193" t="str">
        <f>IF('Observaciones-SMP'!P372="","",'Observaciones-SMP'!P372)</f>
        <v/>
      </c>
      <c r="Q372" s="257" t="str">
        <f>IF('Observaciones-SMP'!S372="","",'Observaciones-SMP'!S372)</f>
        <v/>
      </c>
      <c r="R372" s="193" t="str">
        <f>IF('Observaciones-SMP'!T372="","",'Observaciones-SMP'!T372)</f>
        <v/>
      </c>
      <c r="S372" s="193" t="str">
        <f>""</f>
        <v/>
      </c>
      <c r="T372" s="193" t="str">
        <f>""</f>
        <v/>
      </c>
      <c r="U372" s="193" t="str">
        <f t="shared" si="20"/>
        <v/>
      </c>
      <c r="V372" s="193" t="str">
        <f>""</f>
        <v/>
      </c>
      <c r="W372" s="193" t="str">
        <f>""</f>
        <v/>
      </c>
      <c r="X372" s="258" t="str">
        <f t="shared" si="21"/>
        <v/>
      </c>
      <c r="Y372" s="258" t="str">
        <f t="shared" si="22"/>
        <v/>
      </c>
      <c r="Z372" s="193" t="str">
        <f>IF(A372="","",IF(COUNTIF('Observaciones-SMP'!$A$2:$A$1001,A372)&gt;1,1,0))</f>
        <v/>
      </c>
      <c r="AA372" s="193" t="str">
        <f t="shared" si="23"/>
        <v/>
      </c>
    </row>
    <row r="373" spans="1:27" ht="13.5" customHeight="1" x14ac:dyDescent="0.3">
      <c r="A373" s="193" t="str">
        <f>IF('Observaciones-SMP'!A373="","",'Observaciones-SMP'!A373)</f>
        <v/>
      </c>
      <c r="B373" s="257" t="str">
        <f>IF('Observaciones-SMP'!B373="","",'Observaciones-SMP'!B373)</f>
        <v/>
      </c>
      <c r="C373" s="193" t="str">
        <f>IF('Observaciones-SMP'!C373="","",'Observaciones-SMP'!C373)</f>
        <v/>
      </c>
      <c r="D373" s="193" t="str">
        <f>IF('Observaciones-SMP'!D373="","",'Observaciones-SMP'!D373)</f>
        <v/>
      </c>
      <c r="E373" s="193" t="str">
        <f>IF('Observaciones-SMP'!E373="","",'Observaciones-SMP'!E373)</f>
        <v/>
      </c>
      <c r="F373" s="193" t="str">
        <f>IF('Observaciones-SMP'!F373="","",'Observaciones-SMP'!F373)</f>
        <v/>
      </c>
      <c r="G373" s="193" t="str">
        <f>IF('Observaciones-SMP'!G373="","",'Observaciones-SMP'!G373)</f>
        <v/>
      </c>
      <c r="H373" s="193" t="str">
        <f>IF('Observaciones-SMP'!H373="","",'Observaciones-SMP'!H373)</f>
        <v/>
      </c>
      <c r="I373" s="193" t="str">
        <f>IF('Observaciones-SMP'!I373="","",'Observaciones-SMP'!I373)</f>
        <v/>
      </c>
      <c r="J373" s="193" t="str">
        <f>IF('Observaciones-SMP'!J373="","",'Observaciones-SMP'!J373)</f>
        <v/>
      </c>
      <c r="K373" s="193" t="str">
        <f>IF('Observaciones-SMP'!K373="","",'Observaciones-SMP'!K373)</f>
        <v/>
      </c>
      <c r="L373" s="193" t="str">
        <f>IF('Observaciones-SMP'!L373="","",'Observaciones-SMP'!L373)</f>
        <v/>
      </c>
      <c r="M373" s="193" t="str">
        <f>IF('Observaciones-SMP'!M373="","",'Observaciones-SMP'!M373)</f>
        <v/>
      </c>
      <c r="N373" s="193" t="str">
        <f>IF('Observaciones-SMP'!N373="","",'Observaciones-SMP'!N373)</f>
        <v/>
      </c>
      <c r="O373" s="193" t="str">
        <f>IF('Observaciones-SMP'!O373="","",'Observaciones-SMP'!O373)</f>
        <v/>
      </c>
      <c r="P373" s="193" t="str">
        <f>IF('Observaciones-SMP'!P373="","",'Observaciones-SMP'!P373)</f>
        <v/>
      </c>
      <c r="Q373" s="257" t="str">
        <f>IF('Observaciones-SMP'!S373="","",'Observaciones-SMP'!S373)</f>
        <v/>
      </c>
      <c r="R373" s="193" t="str">
        <f>IF('Observaciones-SMP'!T373="","",'Observaciones-SMP'!T373)</f>
        <v/>
      </c>
      <c r="S373" s="193" t="str">
        <f>""</f>
        <v/>
      </c>
      <c r="T373" s="193" t="str">
        <f>""</f>
        <v/>
      </c>
      <c r="U373" s="193" t="str">
        <f t="shared" si="20"/>
        <v/>
      </c>
      <c r="V373" s="193" t="str">
        <f>""</f>
        <v/>
      </c>
      <c r="W373" s="193" t="str">
        <f>""</f>
        <v/>
      </c>
      <c r="X373" s="258" t="str">
        <f t="shared" si="21"/>
        <v/>
      </c>
      <c r="Y373" s="258" t="str">
        <f t="shared" si="22"/>
        <v/>
      </c>
      <c r="Z373" s="193" t="str">
        <f>IF(A373="","",IF(COUNTIF('Observaciones-SMP'!$A$2:$A$1001,A373)&gt;1,1,0))</f>
        <v/>
      </c>
      <c r="AA373" s="193" t="str">
        <f t="shared" si="23"/>
        <v/>
      </c>
    </row>
    <row r="374" spans="1:27" ht="13.5" customHeight="1" x14ac:dyDescent="0.3">
      <c r="A374" s="193" t="str">
        <f>IF('Observaciones-SMP'!A374="","",'Observaciones-SMP'!A374)</f>
        <v/>
      </c>
      <c r="B374" s="257" t="str">
        <f>IF('Observaciones-SMP'!B374="","",'Observaciones-SMP'!B374)</f>
        <v/>
      </c>
      <c r="C374" s="193" t="str">
        <f>IF('Observaciones-SMP'!C374="","",'Observaciones-SMP'!C374)</f>
        <v/>
      </c>
      <c r="D374" s="193" t="str">
        <f>IF('Observaciones-SMP'!D374="","",'Observaciones-SMP'!D374)</f>
        <v/>
      </c>
      <c r="E374" s="193" t="str">
        <f>IF('Observaciones-SMP'!E374="","",'Observaciones-SMP'!E374)</f>
        <v/>
      </c>
      <c r="F374" s="193" t="str">
        <f>IF('Observaciones-SMP'!F374="","",'Observaciones-SMP'!F374)</f>
        <v/>
      </c>
      <c r="G374" s="193" t="str">
        <f>IF('Observaciones-SMP'!G374="","",'Observaciones-SMP'!G374)</f>
        <v/>
      </c>
      <c r="H374" s="193" t="str">
        <f>IF('Observaciones-SMP'!H374="","",'Observaciones-SMP'!H374)</f>
        <v/>
      </c>
      <c r="I374" s="193" t="str">
        <f>IF('Observaciones-SMP'!I374="","",'Observaciones-SMP'!I374)</f>
        <v/>
      </c>
      <c r="J374" s="193" t="str">
        <f>IF('Observaciones-SMP'!J374="","",'Observaciones-SMP'!J374)</f>
        <v/>
      </c>
      <c r="K374" s="193" t="str">
        <f>IF('Observaciones-SMP'!K374="","",'Observaciones-SMP'!K374)</f>
        <v/>
      </c>
      <c r="L374" s="193" t="str">
        <f>IF('Observaciones-SMP'!L374="","",'Observaciones-SMP'!L374)</f>
        <v/>
      </c>
      <c r="M374" s="193" t="str">
        <f>IF('Observaciones-SMP'!M374="","",'Observaciones-SMP'!M374)</f>
        <v/>
      </c>
      <c r="N374" s="193" t="str">
        <f>IF('Observaciones-SMP'!N374="","",'Observaciones-SMP'!N374)</f>
        <v/>
      </c>
      <c r="O374" s="193" t="str">
        <f>IF('Observaciones-SMP'!O374="","",'Observaciones-SMP'!O374)</f>
        <v/>
      </c>
      <c r="P374" s="193" t="str">
        <f>IF('Observaciones-SMP'!P374="","",'Observaciones-SMP'!P374)</f>
        <v/>
      </c>
      <c r="Q374" s="257" t="str">
        <f>IF('Observaciones-SMP'!S374="","",'Observaciones-SMP'!S374)</f>
        <v/>
      </c>
      <c r="R374" s="193" t="str">
        <f>IF('Observaciones-SMP'!T374="","",'Observaciones-SMP'!T374)</f>
        <v/>
      </c>
      <c r="S374" s="193" t="str">
        <f>""</f>
        <v/>
      </c>
      <c r="T374" s="193" t="str">
        <f>""</f>
        <v/>
      </c>
      <c r="U374" s="193" t="str">
        <f t="shared" si="20"/>
        <v/>
      </c>
      <c r="V374" s="193" t="str">
        <f>""</f>
        <v/>
      </c>
      <c r="W374" s="193" t="str">
        <f>""</f>
        <v/>
      </c>
      <c r="X374" s="258" t="str">
        <f t="shared" si="21"/>
        <v/>
      </c>
      <c r="Y374" s="258" t="str">
        <f t="shared" si="22"/>
        <v/>
      </c>
      <c r="Z374" s="193" t="str">
        <f>IF(A374="","",IF(COUNTIF('Observaciones-SMP'!$A$2:$A$1001,A374)&gt;1,1,0))</f>
        <v/>
      </c>
      <c r="AA374" s="193" t="str">
        <f t="shared" si="23"/>
        <v/>
      </c>
    </row>
    <row r="375" spans="1:27" ht="13.5" customHeight="1" x14ac:dyDescent="0.3">
      <c r="A375" s="193" t="str">
        <f>IF('Observaciones-SMP'!A375="","",'Observaciones-SMP'!A375)</f>
        <v/>
      </c>
      <c r="B375" s="257" t="str">
        <f>IF('Observaciones-SMP'!B375="","",'Observaciones-SMP'!B375)</f>
        <v/>
      </c>
      <c r="C375" s="193" t="str">
        <f>IF('Observaciones-SMP'!C375="","",'Observaciones-SMP'!C375)</f>
        <v/>
      </c>
      <c r="D375" s="193" t="str">
        <f>IF('Observaciones-SMP'!D375="","",'Observaciones-SMP'!D375)</f>
        <v/>
      </c>
      <c r="E375" s="193" t="str">
        <f>IF('Observaciones-SMP'!E375="","",'Observaciones-SMP'!E375)</f>
        <v/>
      </c>
      <c r="F375" s="193" t="str">
        <f>IF('Observaciones-SMP'!F375="","",'Observaciones-SMP'!F375)</f>
        <v/>
      </c>
      <c r="G375" s="193" t="str">
        <f>IF('Observaciones-SMP'!G375="","",'Observaciones-SMP'!G375)</f>
        <v/>
      </c>
      <c r="H375" s="193" t="str">
        <f>IF('Observaciones-SMP'!H375="","",'Observaciones-SMP'!H375)</f>
        <v/>
      </c>
      <c r="I375" s="193" t="str">
        <f>IF('Observaciones-SMP'!I375="","",'Observaciones-SMP'!I375)</f>
        <v/>
      </c>
      <c r="J375" s="193" t="str">
        <f>IF('Observaciones-SMP'!J375="","",'Observaciones-SMP'!J375)</f>
        <v/>
      </c>
      <c r="K375" s="193" t="str">
        <f>IF('Observaciones-SMP'!K375="","",'Observaciones-SMP'!K375)</f>
        <v/>
      </c>
      <c r="L375" s="193" t="str">
        <f>IF('Observaciones-SMP'!L375="","",'Observaciones-SMP'!L375)</f>
        <v/>
      </c>
      <c r="M375" s="193" t="str">
        <f>IF('Observaciones-SMP'!M375="","",'Observaciones-SMP'!M375)</f>
        <v/>
      </c>
      <c r="N375" s="193" t="str">
        <f>IF('Observaciones-SMP'!N375="","",'Observaciones-SMP'!N375)</f>
        <v/>
      </c>
      <c r="O375" s="193" t="str">
        <f>IF('Observaciones-SMP'!O375="","",'Observaciones-SMP'!O375)</f>
        <v/>
      </c>
      <c r="P375" s="193" t="str">
        <f>IF('Observaciones-SMP'!P375="","",'Observaciones-SMP'!P375)</f>
        <v/>
      </c>
      <c r="Q375" s="257" t="str">
        <f>IF('Observaciones-SMP'!S375="","",'Observaciones-SMP'!S375)</f>
        <v/>
      </c>
      <c r="R375" s="193" t="str">
        <f>IF('Observaciones-SMP'!T375="","",'Observaciones-SMP'!T375)</f>
        <v/>
      </c>
      <c r="S375" s="193" t="str">
        <f>""</f>
        <v/>
      </c>
      <c r="T375" s="193" t="str">
        <f>""</f>
        <v/>
      </c>
      <c r="U375" s="193" t="str">
        <f t="shared" si="20"/>
        <v/>
      </c>
      <c r="V375" s="193" t="str">
        <f>""</f>
        <v/>
      </c>
      <c r="W375" s="193" t="str">
        <f>""</f>
        <v/>
      </c>
      <c r="X375" s="258" t="str">
        <f t="shared" si="21"/>
        <v/>
      </c>
      <c r="Y375" s="258" t="str">
        <f t="shared" si="22"/>
        <v/>
      </c>
      <c r="Z375" s="193" t="str">
        <f>IF(A375="","",IF(COUNTIF('Observaciones-SMP'!$A$2:$A$1001,A375)&gt;1,1,0))</f>
        <v/>
      </c>
      <c r="AA375" s="193" t="str">
        <f t="shared" si="23"/>
        <v/>
      </c>
    </row>
    <row r="376" spans="1:27" ht="13.5" customHeight="1" x14ac:dyDescent="0.3">
      <c r="A376" s="193" t="str">
        <f>IF('Observaciones-SMP'!A376="","",'Observaciones-SMP'!A376)</f>
        <v/>
      </c>
      <c r="B376" s="257" t="str">
        <f>IF('Observaciones-SMP'!B376="","",'Observaciones-SMP'!B376)</f>
        <v/>
      </c>
      <c r="C376" s="193" t="str">
        <f>IF('Observaciones-SMP'!C376="","",'Observaciones-SMP'!C376)</f>
        <v/>
      </c>
      <c r="D376" s="193" t="str">
        <f>IF('Observaciones-SMP'!D376="","",'Observaciones-SMP'!D376)</f>
        <v/>
      </c>
      <c r="E376" s="193" t="str">
        <f>IF('Observaciones-SMP'!E376="","",'Observaciones-SMP'!E376)</f>
        <v/>
      </c>
      <c r="F376" s="193" t="str">
        <f>IF('Observaciones-SMP'!F376="","",'Observaciones-SMP'!F376)</f>
        <v/>
      </c>
      <c r="G376" s="193" t="str">
        <f>IF('Observaciones-SMP'!G376="","",'Observaciones-SMP'!G376)</f>
        <v/>
      </c>
      <c r="H376" s="193" t="str">
        <f>IF('Observaciones-SMP'!H376="","",'Observaciones-SMP'!H376)</f>
        <v/>
      </c>
      <c r="I376" s="193" t="str">
        <f>IF('Observaciones-SMP'!I376="","",'Observaciones-SMP'!I376)</f>
        <v/>
      </c>
      <c r="J376" s="193" t="str">
        <f>IF('Observaciones-SMP'!J376="","",'Observaciones-SMP'!J376)</f>
        <v/>
      </c>
      <c r="K376" s="193" t="str">
        <f>IF('Observaciones-SMP'!K376="","",'Observaciones-SMP'!K376)</f>
        <v/>
      </c>
      <c r="L376" s="193" t="str">
        <f>IF('Observaciones-SMP'!L376="","",'Observaciones-SMP'!L376)</f>
        <v/>
      </c>
      <c r="M376" s="193" t="str">
        <f>IF('Observaciones-SMP'!M376="","",'Observaciones-SMP'!M376)</f>
        <v/>
      </c>
      <c r="N376" s="193" t="str">
        <f>IF('Observaciones-SMP'!N376="","",'Observaciones-SMP'!N376)</f>
        <v/>
      </c>
      <c r="O376" s="193" t="str">
        <f>IF('Observaciones-SMP'!O376="","",'Observaciones-SMP'!O376)</f>
        <v/>
      </c>
      <c r="P376" s="193" t="str">
        <f>IF('Observaciones-SMP'!P376="","",'Observaciones-SMP'!P376)</f>
        <v/>
      </c>
      <c r="Q376" s="257" t="str">
        <f>IF('Observaciones-SMP'!S376="","",'Observaciones-SMP'!S376)</f>
        <v/>
      </c>
      <c r="R376" s="193" t="str">
        <f>IF('Observaciones-SMP'!T376="","",'Observaciones-SMP'!T376)</f>
        <v/>
      </c>
      <c r="S376" s="193" t="str">
        <f>""</f>
        <v/>
      </c>
      <c r="T376" s="193" t="str">
        <f>""</f>
        <v/>
      </c>
      <c r="U376" s="193" t="str">
        <f t="shared" si="20"/>
        <v/>
      </c>
      <c r="V376" s="193" t="str">
        <f>""</f>
        <v/>
      </c>
      <c r="W376" s="193" t="str">
        <f>""</f>
        <v/>
      </c>
      <c r="X376" s="258" t="str">
        <f t="shared" si="21"/>
        <v/>
      </c>
      <c r="Y376" s="258" t="str">
        <f t="shared" si="22"/>
        <v/>
      </c>
      <c r="Z376" s="193" t="str">
        <f>IF(A376="","",IF(COUNTIF('Observaciones-SMP'!$A$2:$A$1001,A376)&gt;1,1,0))</f>
        <v/>
      </c>
      <c r="AA376" s="193" t="str">
        <f t="shared" si="23"/>
        <v/>
      </c>
    </row>
    <row r="377" spans="1:27" ht="13.5" customHeight="1" x14ac:dyDescent="0.3">
      <c r="A377" s="193" t="str">
        <f>IF('Observaciones-SMP'!A377="","",'Observaciones-SMP'!A377)</f>
        <v/>
      </c>
      <c r="B377" s="257" t="str">
        <f>IF('Observaciones-SMP'!B377="","",'Observaciones-SMP'!B377)</f>
        <v/>
      </c>
      <c r="C377" s="193" t="str">
        <f>IF('Observaciones-SMP'!C377="","",'Observaciones-SMP'!C377)</f>
        <v/>
      </c>
      <c r="D377" s="193" t="str">
        <f>IF('Observaciones-SMP'!D377="","",'Observaciones-SMP'!D377)</f>
        <v/>
      </c>
      <c r="E377" s="193" t="str">
        <f>IF('Observaciones-SMP'!E377="","",'Observaciones-SMP'!E377)</f>
        <v/>
      </c>
      <c r="F377" s="193" t="str">
        <f>IF('Observaciones-SMP'!F377="","",'Observaciones-SMP'!F377)</f>
        <v/>
      </c>
      <c r="G377" s="193" t="str">
        <f>IF('Observaciones-SMP'!G377="","",'Observaciones-SMP'!G377)</f>
        <v/>
      </c>
      <c r="H377" s="193" t="str">
        <f>IF('Observaciones-SMP'!H377="","",'Observaciones-SMP'!H377)</f>
        <v/>
      </c>
      <c r="I377" s="193" t="str">
        <f>IF('Observaciones-SMP'!I377="","",'Observaciones-SMP'!I377)</f>
        <v/>
      </c>
      <c r="J377" s="193" t="str">
        <f>IF('Observaciones-SMP'!J377="","",'Observaciones-SMP'!J377)</f>
        <v/>
      </c>
      <c r="K377" s="193" t="str">
        <f>IF('Observaciones-SMP'!K377="","",'Observaciones-SMP'!K377)</f>
        <v/>
      </c>
      <c r="L377" s="193" t="str">
        <f>IF('Observaciones-SMP'!L377="","",'Observaciones-SMP'!L377)</f>
        <v/>
      </c>
      <c r="M377" s="193" t="str">
        <f>IF('Observaciones-SMP'!M377="","",'Observaciones-SMP'!M377)</f>
        <v/>
      </c>
      <c r="N377" s="193" t="str">
        <f>IF('Observaciones-SMP'!N377="","",'Observaciones-SMP'!N377)</f>
        <v/>
      </c>
      <c r="O377" s="193" t="str">
        <f>IF('Observaciones-SMP'!O377="","",'Observaciones-SMP'!O377)</f>
        <v/>
      </c>
      <c r="P377" s="193" t="str">
        <f>IF('Observaciones-SMP'!P377="","",'Observaciones-SMP'!P377)</f>
        <v/>
      </c>
      <c r="Q377" s="257" t="str">
        <f>IF('Observaciones-SMP'!S377="","",'Observaciones-SMP'!S377)</f>
        <v/>
      </c>
      <c r="R377" s="193" t="str">
        <f>IF('Observaciones-SMP'!T377="","",'Observaciones-SMP'!T377)</f>
        <v/>
      </c>
      <c r="S377" s="193" t="str">
        <f>""</f>
        <v/>
      </c>
      <c r="T377" s="193" t="str">
        <f>""</f>
        <v/>
      </c>
      <c r="U377" s="193" t="str">
        <f t="shared" si="20"/>
        <v/>
      </c>
      <c r="V377" s="193" t="str">
        <f>""</f>
        <v/>
      </c>
      <c r="W377" s="193" t="str">
        <f>""</f>
        <v/>
      </c>
      <c r="X377" s="258" t="str">
        <f t="shared" si="21"/>
        <v/>
      </c>
      <c r="Y377" s="258" t="str">
        <f t="shared" si="22"/>
        <v/>
      </c>
      <c r="Z377" s="193" t="str">
        <f>IF(A377="","",IF(COUNTIF('Observaciones-SMP'!$A$2:$A$1001,A377)&gt;1,1,0))</f>
        <v/>
      </c>
      <c r="AA377" s="193" t="str">
        <f t="shared" si="23"/>
        <v/>
      </c>
    </row>
    <row r="378" spans="1:27" ht="13.5" customHeight="1" x14ac:dyDescent="0.3">
      <c r="A378" s="193" t="str">
        <f>IF('Observaciones-SMP'!A378="","",'Observaciones-SMP'!A378)</f>
        <v/>
      </c>
      <c r="B378" s="257" t="str">
        <f>IF('Observaciones-SMP'!B378="","",'Observaciones-SMP'!B378)</f>
        <v/>
      </c>
      <c r="C378" s="193" t="str">
        <f>IF('Observaciones-SMP'!C378="","",'Observaciones-SMP'!C378)</f>
        <v/>
      </c>
      <c r="D378" s="193" t="str">
        <f>IF('Observaciones-SMP'!D378="","",'Observaciones-SMP'!D378)</f>
        <v/>
      </c>
      <c r="E378" s="193" t="str">
        <f>IF('Observaciones-SMP'!E378="","",'Observaciones-SMP'!E378)</f>
        <v/>
      </c>
      <c r="F378" s="193" t="str">
        <f>IF('Observaciones-SMP'!F378="","",'Observaciones-SMP'!F378)</f>
        <v/>
      </c>
      <c r="G378" s="193" t="str">
        <f>IF('Observaciones-SMP'!G378="","",'Observaciones-SMP'!G378)</f>
        <v/>
      </c>
      <c r="H378" s="193" t="str">
        <f>IF('Observaciones-SMP'!H378="","",'Observaciones-SMP'!H378)</f>
        <v/>
      </c>
      <c r="I378" s="193" t="str">
        <f>IF('Observaciones-SMP'!I378="","",'Observaciones-SMP'!I378)</f>
        <v/>
      </c>
      <c r="J378" s="193" t="str">
        <f>IF('Observaciones-SMP'!J378="","",'Observaciones-SMP'!J378)</f>
        <v/>
      </c>
      <c r="K378" s="193" t="str">
        <f>IF('Observaciones-SMP'!K378="","",'Observaciones-SMP'!K378)</f>
        <v/>
      </c>
      <c r="L378" s="193" t="str">
        <f>IF('Observaciones-SMP'!L378="","",'Observaciones-SMP'!L378)</f>
        <v/>
      </c>
      <c r="M378" s="193" t="str">
        <f>IF('Observaciones-SMP'!M378="","",'Observaciones-SMP'!M378)</f>
        <v/>
      </c>
      <c r="N378" s="193" t="str">
        <f>IF('Observaciones-SMP'!N378="","",'Observaciones-SMP'!N378)</f>
        <v/>
      </c>
      <c r="O378" s="193" t="str">
        <f>IF('Observaciones-SMP'!O378="","",'Observaciones-SMP'!O378)</f>
        <v/>
      </c>
      <c r="P378" s="193" t="str">
        <f>IF('Observaciones-SMP'!P378="","",'Observaciones-SMP'!P378)</f>
        <v/>
      </c>
      <c r="Q378" s="257" t="str">
        <f>IF('Observaciones-SMP'!S378="","",'Observaciones-SMP'!S378)</f>
        <v/>
      </c>
      <c r="R378" s="193" t="str">
        <f>IF('Observaciones-SMP'!T378="","",'Observaciones-SMP'!T378)</f>
        <v/>
      </c>
      <c r="S378" s="193" t="str">
        <f>""</f>
        <v/>
      </c>
      <c r="T378" s="193" t="str">
        <f>""</f>
        <v/>
      </c>
      <c r="U378" s="193" t="str">
        <f t="shared" si="20"/>
        <v/>
      </c>
      <c r="V378" s="193" t="str">
        <f>""</f>
        <v/>
      </c>
      <c r="W378" s="193" t="str">
        <f>""</f>
        <v/>
      </c>
      <c r="X378" s="258" t="str">
        <f t="shared" si="21"/>
        <v/>
      </c>
      <c r="Y378" s="258" t="str">
        <f t="shared" si="22"/>
        <v/>
      </c>
      <c r="Z378" s="193" t="str">
        <f>IF(A378="","",IF(COUNTIF('Observaciones-SMP'!$A$2:$A$1001,A378)&gt;1,1,0))</f>
        <v/>
      </c>
      <c r="AA378" s="193" t="str">
        <f t="shared" si="23"/>
        <v/>
      </c>
    </row>
    <row r="379" spans="1:27" ht="13.5" customHeight="1" x14ac:dyDescent="0.3">
      <c r="A379" s="193" t="str">
        <f>IF('Observaciones-SMP'!A379="","",'Observaciones-SMP'!A379)</f>
        <v/>
      </c>
      <c r="B379" s="257" t="str">
        <f>IF('Observaciones-SMP'!B379="","",'Observaciones-SMP'!B379)</f>
        <v/>
      </c>
      <c r="C379" s="193" t="str">
        <f>IF('Observaciones-SMP'!C379="","",'Observaciones-SMP'!C379)</f>
        <v/>
      </c>
      <c r="D379" s="193" t="str">
        <f>IF('Observaciones-SMP'!D379="","",'Observaciones-SMP'!D379)</f>
        <v/>
      </c>
      <c r="E379" s="193" t="str">
        <f>IF('Observaciones-SMP'!E379="","",'Observaciones-SMP'!E379)</f>
        <v/>
      </c>
      <c r="F379" s="193" t="str">
        <f>IF('Observaciones-SMP'!F379="","",'Observaciones-SMP'!F379)</f>
        <v/>
      </c>
      <c r="G379" s="193" t="str">
        <f>IF('Observaciones-SMP'!G379="","",'Observaciones-SMP'!G379)</f>
        <v/>
      </c>
      <c r="H379" s="193" t="str">
        <f>IF('Observaciones-SMP'!H379="","",'Observaciones-SMP'!H379)</f>
        <v/>
      </c>
      <c r="I379" s="193" t="str">
        <f>IF('Observaciones-SMP'!I379="","",'Observaciones-SMP'!I379)</f>
        <v/>
      </c>
      <c r="J379" s="193" t="str">
        <f>IF('Observaciones-SMP'!J379="","",'Observaciones-SMP'!J379)</f>
        <v/>
      </c>
      <c r="K379" s="193" t="str">
        <f>IF('Observaciones-SMP'!K379="","",'Observaciones-SMP'!K379)</f>
        <v/>
      </c>
      <c r="L379" s="193" t="str">
        <f>IF('Observaciones-SMP'!L379="","",'Observaciones-SMP'!L379)</f>
        <v/>
      </c>
      <c r="M379" s="193" t="str">
        <f>IF('Observaciones-SMP'!M379="","",'Observaciones-SMP'!M379)</f>
        <v/>
      </c>
      <c r="N379" s="193" t="str">
        <f>IF('Observaciones-SMP'!N379="","",'Observaciones-SMP'!N379)</f>
        <v/>
      </c>
      <c r="O379" s="193" t="str">
        <f>IF('Observaciones-SMP'!O379="","",'Observaciones-SMP'!O379)</f>
        <v/>
      </c>
      <c r="P379" s="193" t="str">
        <f>IF('Observaciones-SMP'!P379="","",'Observaciones-SMP'!P379)</f>
        <v/>
      </c>
      <c r="Q379" s="257" t="str">
        <f>IF('Observaciones-SMP'!S379="","",'Observaciones-SMP'!S379)</f>
        <v/>
      </c>
      <c r="R379" s="193" t="str">
        <f>IF('Observaciones-SMP'!T379="","",'Observaciones-SMP'!T379)</f>
        <v/>
      </c>
      <c r="S379" s="193" t="str">
        <f>""</f>
        <v/>
      </c>
      <c r="T379" s="193" t="str">
        <f>""</f>
        <v/>
      </c>
      <c r="U379" s="193" t="str">
        <f t="shared" si="20"/>
        <v/>
      </c>
      <c r="V379" s="193" t="str">
        <f>""</f>
        <v/>
      </c>
      <c r="W379" s="193" t="str">
        <f>""</f>
        <v/>
      </c>
      <c r="X379" s="258" t="str">
        <f t="shared" si="21"/>
        <v/>
      </c>
      <c r="Y379" s="258" t="str">
        <f t="shared" si="22"/>
        <v/>
      </c>
      <c r="Z379" s="193" t="str">
        <f>IF(A379="","",IF(COUNTIF('Observaciones-SMP'!$A$2:$A$1001,A379)&gt;1,1,0))</f>
        <v/>
      </c>
      <c r="AA379" s="193" t="str">
        <f t="shared" si="23"/>
        <v/>
      </c>
    </row>
    <row r="380" spans="1:27" ht="13.5" customHeight="1" x14ac:dyDescent="0.3">
      <c r="A380" s="193" t="str">
        <f>IF('Observaciones-SMP'!A380="","",'Observaciones-SMP'!A380)</f>
        <v/>
      </c>
      <c r="B380" s="257" t="str">
        <f>IF('Observaciones-SMP'!B380="","",'Observaciones-SMP'!B380)</f>
        <v/>
      </c>
      <c r="C380" s="193" t="str">
        <f>IF('Observaciones-SMP'!C380="","",'Observaciones-SMP'!C380)</f>
        <v/>
      </c>
      <c r="D380" s="193" t="str">
        <f>IF('Observaciones-SMP'!D380="","",'Observaciones-SMP'!D380)</f>
        <v/>
      </c>
      <c r="E380" s="193" t="str">
        <f>IF('Observaciones-SMP'!E380="","",'Observaciones-SMP'!E380)</f>
        <v/>
      </c>
      <c r="F380" s="193" t="str">
        <f>IF('Observaciones-SMP'!F380="","",'Observaciones-SMP'!F380)</f>
        <v/>
      </c>
      <c r="G380" s="193" t="str">
        <f>IF('Observaciones-SMP'!G380="","",'Observaciones-SMP'!G380)</f>
        <v/>
      </c>
      <c r="H380" s="193" t="str">
        <f>IF('Observaciones-SMP'!H380="","",'Observaciones-SMP'!H380)</f>
        <v/>
      </c>
      <c r="I380" s="193" t="str">
        <f>IF('Observaciones-SMP'!I380="","",'Observaciones-SMP'!I380)</f>
        <v/>
      </c>
      <c r="J380" s="193" t="str">
        <f>IF('Observaciones-SMP'!J380="","",'Observaciones-SMP'!J380)</f>
        <v/>
      </c>
      <c r="K380" s="193" t="str">
        <f>IF('Observaciones-SMP'!K380="","",'Observaciones-SMP'!K380)</f>
        <v/>
      </c>
      <c r="L380" s="193" t="str">
        <f>IF('Observaciones-SMP'!L380="","",'Observaciones-SMP'!L380)</f>
        <v/>
      </c>
      <c r="M380" s="193" t="str">
        <f>IF('Observaciones-SMP'!M380="","",'Observaciones-SMP'!M380)</f>
        <v/>
      </c>
      <c r="N380" s="193" t="str">
        <f>IF('Observaciones-SMP'!N380="","",'Observaciones-SMP'!N380)</f>
        <v/>
      </c>
      <c r="O380" s="193" t="str">
        <f>IF('Observaciones-SMP'!O380="","",'Observaciones-SMP'!O380)</f>
        <v/>
      </c>
      <c r="P380" s="193" t="str">
        <f>IF('Observaciones-SMP'!P380="","",'Observaciones-SMP'!P380)</f>
        <v/>
      </c>
      <c r="Q380" s="257" t="str">
        <f>IF('Observaciones-SMP'!S380="","",'Observaciones-SMP'!S380)</f>
        <v/>
      </c>
      <c r="R380" s="193" t="str">
        <f>IF('Observaciones-SMP'!T380="","",'Observaciones-SMP'!T380)</f>
        <v/>
      </c>
      <c r="S380" s="193" t="str">
        <f>""</f>
        <v/>
      </c>
      <c r="T380" s="193" t="str">
        <f>""</f>
        <v/>
      </c>
      <c r="U380" s="193" t="str">
        <f t="shared" si="20"/>
        <v/>
      </c>
      <c r="V380" s="193" t="str">
        <f>""</f>
        <v/>
      </c>
      <c r="W380" s="193" t="str">
        <f>""</f>
        <v/>
      </c>
      <c r="X380" s="258" t="str">
        <f t="shared" si="21"/>
        <v/>
      </c>
      <c r="Y380" s="258" t="str">
        <f t="shared" si="22"/>
        <v/>
      </c>
      <c r="Z380" s="193" t="str">
        <f>IF(A380="","",IF(COUNTIF('Observaciones-SMP'!$A$2:$A$1001,A380)&gt;1,1,0))</f>
        <v/>
      </c>
      <c r="AA380" s="193" t="str">
        <f t="shared" si="23"/>
        <v/>
      </c>
    </row>
    <row r="381" spans="1:27" ht="13.5" customHeight="1" x14ac:dyDescent="0.3">
      <c r="A381" s="193" t="str">
        <f>IF('Observaciones-SMP'!A381="","",'Observaciones-SMP'!A381)</f>
        <v/>
      </c>
      <c r="B381" s="257" t="str">
        <f>IF('Observaciones-SMP'!B381="","",'Observaciones-SMP'!B381)</f>
        <v/>
      </c>
      <c r="C381" s="193" t="str">
        <f>IF('Observaciones-SMP'!C381="","",'Observaciones-SMP'!C381)</f>
        <v/>
      </c>
      <c r="D381" s="193" t="str">
        <f>IF('Observaciones-SMP'!D381="","",'Observaciones-SMP'!D381)</f>
        <v/>
      </c>
      <c r="E381" s="193" t="str">
        <f>IF('Observaciones-SMP'!E381="","",'Observaciones-SMP'!E381)</f>
        <v/>
      </c>
      <c r="F381" s="193" t="str">
        <f>IF('Observaciones-SMP'!F381="","",'Observaciones-SMP'!F381)</f>
        <v/>
      </c>
      <c r="G381" s="193" t="str">
        <f>IF('Observaciones-SMP'!G381="","",'Observaciones-SMP'!G381)</f>
        <v/>
      </c>
      <c r="H381" s="193" t="str">
        <f>IF('Observaciones-SMP'!H381="","",'Observaciones-SMP'!H381)</f>
        <v/>
      </c>
      <c r="I381" s="193" t="str">
        <f>IF('Observaciones-SMP'!I381="","",'Observaciones-SMP'!I381)</f>
        <v/>
      </c>
      <c r="J381" s="193" t="str">
        <f>IF('Observaciones-SMP'!J381="","",'Observaciones-SMP'!J381)</f>
        <v/>
      </c>
      <c r="K381" s="193" t="str">
        <f>IF('Observaciones-SMP'!K381="","",'Observaciones-SMP'!K381)</f>
        <v/>
      </c>
      <c r="L381" s="193" t="str">
        <f>IF('Observaciones-SMP'!L381="","",'Observaciones-SMP'!L381)</f>
        <v/>
      </c>
      <c r="M381" s="193" t="str">
        <f>IF('Observaciones-SMP'!M381="","",'Observaciones-SMP'!M381)</f>
        <v/>
      </c>
      <c r="N381" s="193" t="str">
        <f>IF('Observaciones-SMP'!N381="","",'Observaciones-SMP'!N381)</f>
        <v/>
      </c>
      <c r="O381" s="193" t="str">
        <f>IF('Observaciones-SMP'!O381="","",'Observaciones-SMP'!O381)</f>
        <v/>
      </c>
      <c r="P381" s="193" t="str">
        <f>IF('Observaciones-SMP'!P381="","",'Observaciones-SMP'!P381)</f>
        <v/>
      </c>
      <c r="Q381" s="257" t="str">
        <f>IF('Observaciones-SMP'!S381="","",'Observaciones-SMP'!S381)</f>
        <v/>
      </c>
      <c r="R381" s="193" t="str">
        <f>IF('Observaciones-SMP'!T381="","",'Observaciones-SMP'!T381)</f>
        <v/>
      </c>
      <c r="S381" s="193" t="str">
        <f>""</f>
        <v/>
      </c>
      <c r="T381" s="193" t="str">
        <f>""</f>
        <v/>
      </c>
      <c r="U381" s="193" t="str">
        <f t="shared" si="20"/>
        <v/>
      </c>
      <c r="V381" s="193" t="str">
        <f>""</f>
        <v/>
      </c>
      <c r="W381" s="193" t="str">
        <f>""</f>
        <v/>
      </c>
      <c r="X381" s="258" t="str">
        <f t="shared" si="21"/>
        <v/>
      </c>
      <c r="Y381" s="258" t="str">
        <f t="shared" si="22"/>
        <v/>
      </c>
      <c r="Z381" s="193" t="str">
        <f>IF(A381="","",IF(COUNTIF('Observaciones-SMP'!$A$2:$A$1001,A381)&gt;1,1,0))</f>
        <v/>
      </c>
      <c r="AA381" s="193" t="str">
        <f t="shared" si="23"/>
        <v/>
      </c>
    </row>
    <row r="382" spans="1:27" ht="13.5" customHeight="1" x14ac:dyDescent="0.3">
      <c r="A382" s="193" t="str">
        <f>IF('Observaciones-SMP'!A382="","",'Observaciones-SMP'!A382)</f>
        <v/>
      </c>
      <c r="B382" s="257" t="str">
        <f>IF('Observaciones-SMP'!B382="","",'Observaciones-SMP'!B382)</f>
        <v/>
      </c>
      <c r="C382" s="193" t="str">
        <f>IF('Observaciones-SMP'!C382="","",'Observaciones-SMP'!C382)</f>
        <v/>
      </c>
      <c r="D382" s="193" t="str">
        <f>IF('Observaciones-SMP'!D382="","",'Observaciones-SMP'!D382)</f>
        <v/>
      </c>
      <c r="E382" s="193" t="str">
        <f>IF('Observaciones-SMP'!E382="","",'Observaciones-SMP'!E382)</f>
        <v/>
      </c>
      <c r="F382" s="193" t="str">
        <f>IF('Observaciones-SMP'!F382="","",'Observaciones-SMP'!F382)</f>
        <v/>
      </c>
      <c r="G382" s="193" t="str">
        <f>IF('Observaciones-SMP'!G382="","",'Observaciones-SMP'!G382)</f>
        <v/>
      </c>
      <c r="H382" s="193" t="str">
        <f>IF('Observaciones-SMP'!H382="","",'Observaciones-SMP'!H382)</f>
        <v/>
      </c>
      <c r="I382" s="193" t="str">
        <f>IF('Observaciones-SMP'!I382="","",'Observaciones-SMP'!I382)</f>
        <v/>
      </c>
      <c r="J382" s="193" t="str">
        <f>IF('Observaciones-SMP'!J382="","",'Observaciones-SMP'!J382)</f>
        <v/>
      </c>
      <c r="K382" s="193" t="str">
        <f>IF('Observaciones-SMP'!K382="","",'Observaciones-SMP'!K382)</f>
        <v/>
      </c>
      <c r="L382" s="193" t="str">
        <f>IF('Observaciones-SMP'!L382="","",'Observaciones-SMP'!L382)</f>
        <v/>
      </c>
      <c r="M382" s="193" t="str">
        <f>IF('Observaciones-SMP'!M382="","",'Observaciones-SMP'!M382)</f>
        <v/>
      </c>
      <c r="N382" s="193" t="str">
        <f>IF('Observaciones-SMP'!N382="","",'Observaciones-SMP'!N382)</f>
        <v/>
      </c>
      <c r="O382" s="193" t="str">
        <f>IF('Observaciones-SMP'!O382="","",'Observaciones-SMP'!O382)</f>
        <v/>
      </c>
      <c r="P382" s="193" t="str">
        <f>IF('Observaciones-SMP'!P382="","",'Observaciones-SMP'!P382)</f>
        <v/>
      </c>
      <c r="Q382" s="257" t="str">
        <f>IF('Observaciones-SMP'!S382="","",'Observaciones-SMP'!S382)</f>
        <v/>
      </c>
      <c r="R382" s="193" t="str">
        <f>IF('Observaciones-SMP'!T382="","",'Observaciones-SMP'!T382)</f>
        <v/>
      </c>
      <c r="S382" s="193" t="str">
        <f>""</f>
        <v/>
      </c>
      <c r="T382" s="193" t="str">
        <f>""</f>
        <v/>
      </c>
      <c r="U382" s="193" t="str">
        <f t="shared" si="20"/>
        <v/>
      </c>
      <c r="V382" s="193" t="str">
        <f>""</f>
        <v/>
      </c>
      <c r="W382" s="193" t="str">
        <f>""</f>
        <v/>
      </c>
      <c r="X382" s="258" t="str">
        <f t="shared" si="21"/>
        <v/>
      </c>
      <c r="Y382" s="258" t="str">
        <f t="shared" si="22"/>
        <v/>
      </c>
      <c r="Z382" s="193" t="str">
        <f>IF(A382="","",IF(COUNTIF('Observaciones-SMP'!$A$2:$A$1001,A382)&gt;1,1,0))</f>
        <v/>
      </c>
      <c r="AA382" s="193" t="str">
        <f t="shared" si="23"/>
        <v/>
      </c>
    </row>
    <row r="383" spans="1:27" ht="13.5" customHeight="1" x14ac:dyDescent="0.3">
      <c r="A383" s="193" t="str">
        <f>IF('Observaciones-SMP'!A383="","",'Observaciones-SMP'!A383)</f>
        <v/>
      </c>
      <c r="B383" s="257" t="str">
        <f>IF('Observaciones-SMP'!B383="","",'Observaciones-SMP'!B383)</f>
        <v/>
      </c>
      <c r="C383" s="193" t="str">
        <f>IF('Observaciones-SMP'!C383="","",'Observaciones-SMP'!C383)</f>
        <v/>
      </c>
      <c r="D383" s="193" t="str">
        <f>IF('Observaciones-SMP'!D383="","",'Observaciones-SMP'!D383)</f>
        <v/>
      </c>
      <c r="E383" s="193" t="str">
        <f>IF('Observaciones-SMP'!E383="","",'Observaciones-SMP'!E383)</f>
        <v/>
      </c>
      <c r="F383" s="193" t="str">
        <f>IF('Observaciones-SMP'!F383="","",'Observaciones-SMP'!F383)</f>
        <v/>
      </c>
      <c r="G383" s="193" t="str">
        <f>IF('Observaciones-SMP'!G383="","",'Observaciones-SMP'!G383)</f>
        <v/>
      </c>
      <c r="H383" s="193" t="str">
        <f>IF('Observaciones-SMP'!H383="","",'Observaciones-SMP'!H383)</f>
        <v/>
      </c>
      <c r="I383" s="193" t="str">
        <f>IF('Observaciones-SMP'!I383="","",'Observaciones-SMP'!I383)</f>
        <v/>
      </c>
      <c r="J383" s="193" t="str">
        <f>IF('Observaciones-SMP'!J383="","",'Observaciones-SMP'!J383)</f>
        <v/>
      </c>
      <c r="K383" s="193" t="str">
        <f>IF('Observaciones-SMP'!K383="","",'Observaciones-SMP'!K383)</f>
        <v/>
      </c>
      <c r="L383" s="193" t="str">
        <f>IF('Observaciones-SMP'!L383="","",'Observaciones-SMP'!L383)</f>
        <v/>
      </c>
      <c r="M383" s="193" t="str">
        <f>IF('Observaciones-SMP'!M383="","",'Observaciones-SMP'!M383)</f>
        <v/>
      </c>
      <c r="N383" s="193" t="str">
        <f>IF('Observaciones-SMP'!N383="","",'Observaciones-SMP'!N383)</f>
        <v/>
      </c>
      <c r="O383" s="193" t="str">
        <f>IF('Observaciones-SMP'!O383="","",'Observaciones-SMP'!O383)</f>
        <v/>
      </c>
      <c r="P383" s="193" t="str">
        <f>IF('Observaciones-SMP'!P383="","",'Observaciones-SMP'!P383)</f>
        <v/>
      </c>
      <c r="Q383" s="257" t="str">
        <f>IF('Observaciones-SMP'!S383="","",'Observaciones-SMP'!S383)</f>
        <v/>
      </c>
      <c r="R383" s="193" t="str">
        <f>IF('Observaciones-SMP'!T383="","",'Observaciones-SMP'!T383)</f>
        <v/>
      </c>
      <c r="S383" s="193" t="str">
        <f>""</f>
        <v/>
      </c>
      <c r="T383" s="193" t="str">
        <f>""</f>
        <v/>
      </c>
      <c r="U383" s="193" t="str">
        <f t="shared" si="20"/>
        <v/>
      </c>
      <c r="V383" s="193" t="str">
        <f>""</f>
        <v/>
      </c>
      <c r="W383" s="193" t="str">
        <f>""</f>
        <v/>
      </c>
      <c r="X383" s="258" t="str">
        <f t="shared" si="21"/>
        <v/>
      </c>
      <c r="Y383" s="258" t="str">
        <f t="shared" si="22"/>
        <v/>
      </c>
      <c r="Z383" s="193" t="str">
        <f>IF(A383="","",IF(COUNTIF('Observaciones-SMP'!$A$2:$A$1001,A383)&gt;1,1,0))</f>
        <v/>
      </c>
      <c r="AA383" s="193" t="str">
        <f t="shared" si="23"/>
        <v/>
      </c>
    </row>
    <row r="384" spans="1:27" ht="13.5" customHeight="1" x14ac:dyDescent="0.3">
      <c r="A384" s="193" t="str">
        <f>IF('Observaciones-SMP'!A384="","",'Observaciones-SMP'!A384)</f>
        <v/>
      </c>
      <c r="B384" s="257" t="str">
        <f>IF('Observaciones-SMP'!B384="","",'Observaciones-SMP'!B384)</f>
        <v/>
      </c>
      <c r="C384" s="193" t="str">
        <f>IF('Observaciones-SMP'!C384="","",'Observaciones-SMP'!C384)</f>
        <v/>
      </c>
      <c r="D384" s="193" t="str">
        <f>IF('Observaciones-SMP'!D384="","",'Observaciones-SMP'!D384)</f>
        <v/>
      </c>
      <c r="E384" s="193" t="str">
        <f>IF('Observaciones-SMP'!E384="","",'Observaciones-SMP'!E384)</f>
        <v/>
      </c>
      <c r="F384" s="193" t="str">
        <f>IF('Observaciones-SMP'!F384="","",'Observaciones-SMP'!F384)</f>
        <v/>
      </c>
      <c r="G384" s="193" t="str">
        <f>IF('Observaciones-SMP'!G384="","",'Observaciones-SMP'!G384)</f>
        <v/>
      </c>
      <c r="H384" s="193" t="str">
        <f>IF('Observaciones-SMP'!H384="","",'Observaciones-SMP'!H384)</f>
        <v/>
      </c>
      <c r="I384" s="193" t="str">
        <f>IF('Observaciones-SMP'!I384="","",'Observaciones-SMP'!I384)</f>
        <v/>
      </c>
      <c r="J384" s="193" t="str">
        <f>IF('Observaciones-SMP'!J384="","",'Observaciones-SMP'!J384)</f>
        <v/>
      </c>
      <c r="K384" s="193" t="str">
        <f>IF('Observaciones-SMP'!K384="","",'Observaciones-SMP'!K384)</f>
        <v/>
      </c>
      <c r="L384" s="193" t="str">
        <f>IF('Observaciones-SMP'!L384="","",'Observaciones-SMP'!L384)</f>
        <v/>
      </c>
      <c r="M384" s="193" t="str">
        <f>IF('Observaciones-SMP'!M384="","",'Observaciones-SMP'!M384)</f>
        <v/>
      </c>
      <c r="N384" s="193" t="str">
        <f>IF('Observaciones-SMP'!N384="","",'Observaciones-SMP'!N384)</f>
        <v/>
      </c>
      <c r="O384" s="193" t="str">
        <f>IF('Observaciones-SMP'!O384="","",'Observaciones-SMP'!O384)</f>
        <v/>
      </c>
      <c r="P384" s="193" t="str">
        <f>IF('Observaciones-SMP'!P384="","",'Observaciones-SMP'!P384)</f>
        <v/>
      </c>
      <c r="Q384" s="257" t="str">
        <f>IF('Observaciones-SMP'!S384="","",'Observaciones-SMP'!S384)</f>
        <v/>
      </c>
      <c r="R384" s="193" t="str">
        <f>IF('Observaciones-SMP'!T384="","",'Observaciones-SMP'!T384)</f>
        <v/>
      </c>
      <c r="S384" s="193" t="str">
        <f>""</f>
        <v/>
      </c>
      <c r="T384" s="193" t="str">
        <f>""</f>
        <v/>
      </c>
      <c r="U384" s="193" t="str">
        <f t="shared" si="20"/>
        <v/>
      </c>
      <c r="V384" s="193" t="str">
        <f>""</f>
        <v/>
      </c>
      <c r="W384" s="193" t="str">
        <f>""</f>
        <v/>
      </c>
      <c r="X384" s="258" t="str">
        <f t="shared" si="21"/>
        <v/>
      </c>
      <c r="Y384" s="258" t="str">
        <f t="shared" si="22"/>
        <v/>
      </c>
      <c r="Z384" s="193" t="str">
        <f>IF(A384="","",IF(COUNTIF('Observaciones-SMP'!$A$2:$A$1001,A384)&gt;1,1,0))</f>
        <v/>
      </c>
      <c r="AA384" s="193" t="str">
        <f t="shared" si="23"/>
        <v/>
      </c>
    </row>
    <row r="385" spans="1:27" ht="13.5" customHeight="1" x14ac:dyDescent="0.3">
      <c r="A385" s="193" t="str">
        <f>IF('Observaciones-SMP'!A385="","",'Observaciones-SMP'!A385)</f>
        <v/>
      </c>
      <c r="B385" s="257" t="str">
        <f>IF('Observaciones-SMP'!B385="","",'Observaciones-SMP'!B385)</f>
        <v/>
      </c>
      <c r="C385" s="193" t="str">
        <f>IF('Observaciones-SMP'!C385="","",'Observaciones-SMP'!C385)</f>
        <v/>
      </c>
      <c r="D385" s="193" t="str">
        <f>IF('Observaciones-SMP'!D385="","",'Observaciones-SMP'!D385)</f>
        <v/>
      </c>
      <c r="E385" s="193" t="str">
        <f>IF('Observaciones-SMP'!E385="","",'Observaciones-SMP'!E385)</f>
        <v/>
      </c>
      <c r="F385" s="193" t="str">
        <f>IF('Observaciones-SMP'!F385="","",'Observaciones-SMP'!F385)</f>
        <v/>
      </c>
      <c r="G385" s="193" t="str">
        <f>IF('Observaciones-SMP'!G385="","",'Observaciones-SMP'!G385)</f>
        <v/>
      </c>
      <c r="H385" s="193" t="str">
        <f>IF('Observaciones-SMP'!H385="","",'Observaciones-SMP'!H385)</f>
        <v/>
      </c>
      <c r="I385" s="193" t="str">
        <f>IF('Observaciones-SMP'!I385="","",'Observaciones-SMP'!I385)</f>
        <v/>
      </c>
      <c r="J385" s="193" t="str">
        <f>IF('Observaciones-SMP'!J385="","",'Observaciones-SMP'!J385)</f>
        <v/>
      </c>
      <c r="K385" s="193" t="str">
        <f>IF('Observaciones-SMP'!K385="","",'Observaciones-SMP'!K385)</f>
        <v/>
      </c>
      <c r="L385" s="193" t="str">
        <f>IF('Observaciones-SMP'!L385="","",'Observaciones-SMP'!L385)</f>
        <v/>
      </c>
      <c r="M385" s="193" t="str">
        <f>IF('Observaciones-SMP'!M385="","",'Observaciones-SMP'!M385)</f>
        <v/>
      </c>
      <c r="N385" s="193" t="str">
        <f>IF('Observaciones-SMP'!N385="","",'Observaciones-SMP'!N385)</f>
        <v/>
      </c>
      <c r="O385" s="193" t="str">
        <f>IF('Observaciones-SMP'!O385="","",'Observaciones-SMP'!O385)</f>
        <v/>
      </c>
      <c r="P385" s="193" t="str">
        <f>IF('Observaciones-SMP'!P385="","",'Observaciones-SMP'!P385)</f>
        <v/>
      </c>
      <c r="Q385" s="257" t="str">
        <f>IF('Observaciones-SMP'!S385="","",'Observaciones-SMP'!S385)</f>
        <v/>
      </c>
      <c r="R385" s="193" t="str">
        <f>IF('Observaciones-SMP'!T385="","",'Observaciones-SMP'!T385)</f>
        <v/>
      </c>
      <c r="S385" s="193" t="str">
        <f>""</f>
        <v/>
      </c>
      <c r="T385" s="193" t="str">
        <f>""</f>
        <v/>
      </c>
      <c r="U385" s="193" t="str">
        <f t="shared" si="20"/>
        <v/>
      </c>
      <c r="V385" s="193" t="str">
        <f>""</f>
        <v/>
      </c>
      <c r="W385" s="193" t="str">
        <f>""</f>
        <v/>
      </c>
      <c r="X385" s="258" t="str">
        <f t="shared" si="21"/>
        <v/>
      </c>
      <c r="Y385" s="258" t="str">
        <f t="shared" si="22"/>
        <v/>
      </c>
      <c r="Z385" s="193" t="str">
        <f>IF(A385="","",IF(COUNTIF('Observaciones-SMP'!$A$2:$A$1001,A385)&gt;1,1,0))</f>
        <v/>
      </c>
      <c r="AA385" s="193" t="str">
        <f t="shared" si="23"/>
        <v/>
      </c>
    </row>
    <row r="386" spans="1:27" ht="13.5" customHeight="1" x14ac:dyDescent="0.3">
      <c r="A386" s="193" t="str">
        <f>IF('Observaciones-SMP'!A386="","",'Observaciones-SMP'!A386)</f>
        <v/>
      </c>
      <c r="B386" s="257" t="str">
        <f>IF('Observaciones-SMP'!B386="","",'Observaciones-SMP'!B386)</f>
        <v/>
      </c>
      <c r="C386" s="193" t="str">
        <f>IF('Observaciones-SMP'!C386="","",'Observaciones-SMP'!C386)</f>
        <v/>
      </c>
      <c r="D386" s="193" t="str">
        <f>IF('Observaciones-SMP'!D386="","",'Observaciones-SMP'!D386)</f>
        <v/>
      </c>
      <c r="E386" s="193" t="str">
        <f>IF('Observaciones-SMP'!E386="","",'Observaciones-SMP'!E386)</f>
        <v/>
      </c>
      <c r="F386" s="193" t="str">
        <f>IF('Observaciones-SMP'!F386="","",'Observaciones-SMP'!F386)</f>
        <v/>
      </c>
      <c r="G386" s="193" t="str">
        <f>IF('Observaciones-SMP'!G386="","",'Observaciones-SMP'!G386)</f>
        <v/>
      </c>
      <c r="H386" s="193" t="str">
        <f>IF('Observaciones-SMP'!H386="","",'Observaciones-SMP'!H386)</f>
        <v/>
      </c>
      <c r="I386" s="193" t="str">
        <f>IF('Observaciones-SMP'!I386="","",'Observaciones-SMP'!I386)</f>
        <v/>
      </c>
      <c r="J386" s="193" t="str">
        <f>IF('Observaciones-SMP'!J386="","",'Observaciones-SMP'!J386)</f>
        <v/>
      </c>
      <c r="K386" s="193" t="str">
        <f>IF('Observaciones-SMP'!K386="","",'Observaciones-SMP'!K386)</f>
        <v/>
      </c>
      <c r="L386" s="193" t="str">
        <f>IF('Observaciones-SMP'!L386="","",'Observaciones-SMP'!L386)</f>
        <v/>
      </c>
      <c r="M386" s="193" t="str">
        <f>IF('Observaciones-SMP'!M386="","",'Observaciones-SMP'!M386)</f>
        <v/>
      </c>
      <c r="N386" s="193" t="str">
        <f>IF('Observaciones-SMP'!N386="","",'Observaciones-SMP'!N386)</f>
        <v/>
      </c>
      <c r="O386" s="193" t="str">
        <f>IF('Observaciones-SMP'!O386="","",'Observaciones-SMP'!O386)</f>
        <v/>
      </c>
      <c r="P386" s="193" t="str">
        <f>IF('Observaciones-SMP'!P386="","",'Observaciones-SMP'!P386)</f>
        <v/>
      </c>
      <c r="Q386" s="257" t="str">
        <f>IF('Observaciones-SMP'!S386="","",'Observaciones-SMP'!S386)</f>
        <v/>
      </c>
      <c r="R386" s="193" t="str">
        <f>IF('Observaciones-SMP'!T386="","",'Observaciones-SMP'!T386)</f>
        <v/>
      </c>
      <c r="S386" s="193" t="str">
        <f>""</f>
        <v/>
      </c>
      <c r="T386" s="193" t="str">
        <f>""</f>
        <v/>
      </c>
      <c r="U386" s="193" t="str">
        <f t="shared" ref="U386:U449" si="24">IF(AND(ISNUMBER(B386),ISNUMBER(Q386)),IF(Q386&gt;=B386,Q386-B386,""),"")</f>
        <v/>
      </c>
      <c r="V386" s="193" t="str">
        <f>""</f>
        <v/>
      </c>
      <c r="W386" s="193" t="str">
        <f>""</f>
        <v/>
      </c>
      <c r="X386" s="258" t="str">
        <f t="shared" ref="X386:X449" si="25">IF(ISNUMBER(B386),DATE(YEAR(B386),MONTH(B386),1),"")</f>
        <v/>
      </c>
      <c r="Y386" s="258" t="str">
        <f t="shared" ref="Y386:Y449" si="26">IF(ISNUMBER(Q386),DATE(YEAR(Q386),MONTH(Q386),1),"")</f>
        <v/>
      </c>
      <c r="Z386" s="193" t="str">
        <f>IF(A386="","",IF(COUNTIF('Observaciones-SMP'!$A$2:$A$1001,A386)&gt;1,1,0))</f>
        <v/>
      </c>
      <c r="AA386" s="193" t="str">
        <f t="shared" ref="AA386:AA449" si="27">IF(ISNUMBER(B386),IF(ISNUMBER(Q386),Q386,DATE(YEAR(RPT_MONTH),MONTH(RPT_MONTH)+1,0))-B386,"")</f>
        <v/>
      </c>
    </row>
    <row r="387" spans="1:27" ht="13.5" customHeight="1" x14ac:dyDescent="0.3">
      <c r="A387" s="193" t="str">
        <f>IF('Observaciones-SMP'!A387="","",'Observaciones-SMP'!A387)</f>
        <v/>
      </c>
      <c r="B387" s="257" t="str">
        <f>IF('Observaciones-SMP'!B387="","",'Observaciones-SMP'!B387)</f>
        <v/>
      </c>
      <c r="C387" s="193" t="str">
        <f>IF('Observaciones-SMP'!C387="","",'Observaciones-SMP'!C387)</f>
        <v/>
      </c>
      <c r="D387" s="193" t="str">
        <f>IF('Observaciones-SMP'!D387="","",'Observaciones-SMP'!D387)</f>
        <v/>
      </c>
      <c r="E387" s="193" t="str">
        <f>IF('Observaciones-SMP'!E387="","",'Observaciones-SMP'!E387)</f>
        <v/>
      </c>
      <c r="F387" s="193" t="str">
        <f>IF('Observaciones-SMP'!F387="","",'Observaciones-SMP'!F387)</f>
        <v/>
      </c>
      <c r="G387" s="193" t="str">
        <f>IF('Observaciones-SMP'!G387="","",'Observaciones-SMP'!G387)</f>
        <v/>
      </c>
      <c r="H387" s="193" t="str">
        <f>IF('Observaciones-SMP'!H387="","",'Observaciones-SMP'!H387)</f>
        <v/>
      </c>
      <c r="I387" s="193" t="str">
        <f>IF('Observaciones-SMP'!I387="","",'Observaciones-SMP'!I387)</f>
        <v/>
      </c>
      <c r="J387" s="193" t="str">
        <f>IF('Observaciones-SMP'!J387="","",'Observaciones-SMP'!J387)</f>
        <v/>
      </c>
      <c r="K387" s="193" t="str">
        <f>IF('Observaciones-SMP'!K387="","",'Observaciones-SMP'!K387)</f>
        <v/>
      </c>
      <c r="L387" s="193" t="str">
        <f>IF('Observaciones-SMP'!L387="","",'Observaciones-SMP'!L387)</f>
        <v/>
      </c>
      <c r="M387" s="193" t="str">
        <f>IF('Observaciones-SMP'!M387="","",'Observaciones-SMP'!M387)</f>
        <v/>
      </c>
      <c r="N387" s="193" t="str">
        <f>IF('Observaciones-SMP'!N387="","",'Observaciones-SMP'!N387)</f>
        <v/>
      </c>
      <c r="O387" s="193" t="str">
        <f>IF('Observaciones-SMP'!O387="","",'Observaciones-SMP'!O387)</f>
        <v/>
      </c>
      <c r="P387" s="193" t="str">
        <f>IF('Observaciones-SMP'!P387="","",'Observaciones-SMP'!P387)</f>
        <v/>
      </c>
      <c r="Q387" s="257" t="str">
        <f>IF('Observaciones-SMP'!S387="","",'Observaciones-SMP'!S387)</f>
        <v/>
      </c>
      <c r="R387" s="193" t="str">
        <f>IF('Observaciones-SMP'!T387="","",'Observaciones-SMP'!T387)</f>
        <v/>
      </c>
      <c r="S387" s="193" t="str">
        <f>""</f>
        <v/>
      </c>
      <c r="T387" s="193" t="str">
        <f>""</f>
        <v/>
      </c>
      <c r="U387" s="193" t="str">
        <f t="shared" si="24"/>
        <v/>
      </c>
      <c r="V387" s="193" t="str">
        <f>""</f>
        <v/>
      </c>
      <c r="W387" s="193" t="str">
        <f>""</f>
        <v/>
      </c>
      <c r="X387" s="258" t="str">
        <f t="shared" si="25"/>
        <v/>
      </c>
      <c r="Y387" s="258" t="str">
        <f t="shared" si="26"/>
        <v/>
      </c>
      <c r="Z387" s="193" t="str">
        <f>IF(A387="","",IF(COUNTIF('Observaciones-SMP'!$A$2:$A$1001,A387)&gt;1,1,0))</f>
        <v/>
      </c>
      <c r="AA387" s="193" t="str">
        <f t="shared" si="27"/>
        <v/>
      </c>
    </row>
    <row r="388" spans="1:27" ht="13.5" customHeight="1" x14ac:dyDescent="0.3">
      <c r="A388" s="193" t="str">
        <f>IF('Observaciones-SMP'!A388="","",'Observaciones-SMP'!A388)</f>
        <v/>
      </c>
      <c r="B388" s="257" t="str">
        <f>IF('Observaciones-SMP'!B388="","",'Observaciones-SMP'!B388)</f>
        <v/>
      </c>
      <c r="C388" s="193" t="str">
        <f>IF('Observaciones-SMP'!C388="","",'Observaciones-SMP'!C388)</f>
        <v/>
      </c>
      <c r="D388" s="193" t="str">
        <f>IF('Observaciones-SMP'!D388="","",'Observaciones-SMP'!D388)</f>
        <v/>
      </c>
      <c r="E388" s="193" t="str">
        <f>IF('Observaciones-SMP'!E388="","",'Observaciones-SMP'!E388)</f>
        <v/>
      </c>
      <c r="F388" s="193" t="str">
        <f>IF('Observaciones-SMP'!F388="","",'Observaciones-SMP'!F388)</f>
        <v/>
      </c>
      <c r="G388" s="193" t="str">
        <f>IF('Observaciones-SMP'!G388="","",'Observaciones-SMP'!G388)</f>
        <v/>
      </c>
      <c r="H388" s="193" t="str">
        <f>IF('Observaciones-SMP'!H388="","",'Observaciones-SMP'!H388)</f>
        <v/>
      </c>
      <c r="I388" s="193" t="str">
        <f>IF('Observaciones-SMP'!I388="","",'Observaciones-SMP'!I388)</f>
        <v/>
      </c>
      <c r="J388" s="193" t="str">
        <f>IF('Observaciones-SMP'!J388="","",'Observaciones-SMP'!J388)</f>
        <v/>
      </c>
      <c r="K388" s="193" t="str">
        <f>IF('Observaciones-SMP'!K388="","",'Observaciones-SMP'!K388)</f>
        <v/>
      </c>
      <c r="L388" s="193" t="str">
        <f>IF('Observaciones-SMP'!L388="","",'Observaciones-SMP'!L388)</f>
        <v/>
      </c>
      <c r="M388" s="193" t="str">
        <f>IF('Observaciones-SMP'!M388="","",'Observaciones-SMP'!M388)</f>
        <v/>
      </c>
      <c r="N388" s="193" t="str">
        <f>IF('Observaciones-SMP'!N388="","",'Observaciones-SMP'!N388)</f>
        <v/>
      </c>
      <c r="O388" s="193" t="str">
        <f>IF('Observaciones-SMP'!O388="","",'Observaciones-SMP'!O388)</f>
        <v/>
      </c>
      <c r="P388" s="193" t="str">
        <f>IF('Observaciones-SMP'!P388="","",'Observaciones-SMP'!P388)</f>
        <v/>
      </c>
      <c r="Q388" s="257" t="str">
        <f>IF('Observaciones-SMP'!S388="","",'Observaciones-SMP'!S388)</f>
        <v/>
      </c>
      <c r="R388" s="193" t="str">
        <f>IF('Observaciones-SMP'!T388="","",'Observaciones-SMP'!T388)</f>
        <v/>
      </c>
      <c r="S388" s="193" t="str">
        <f>""</f>
        <v/>
      </c>
      <c r="T388" s="193" t="str">
        <f>""</f>
        <v/>
      </c>
      <c r="U388" s="193" t="str">
        <f t="shared" si="24"/>
        <v/>
      </c>
      <c r="V388" s="193" t="str">
        <f>""</f>
        <v/>
      </c>
      <c r="W388" s="193" t="str">
        <f>""</f>
        <v/>
      </c>
      <c r="X388" s="258" t="str">
        <f t="shared" si="25"/>
        <v/>
      </c>
      <c r="Y388" s="258" t="str">
        <f t="shared" si="26"/>
        <v/>
      </c>
      <c r="Z388" s="193" t="str">
        <f>IF(A388="","",IF(COUNTIF('Observaciones-SMP'!$A$2:$A$1001,A388)&gt;1,1,0))</f>
        <v/>
      </c>
      <c r="AA388" s="193" t="str">
        <f t="shared" si="27"/>
        <v/>
      </c>
    </row>
    <row r="389" spans="1:27" ht="13.5" customHeight="1" x14ac:dyDescent="0.3">
      <c r="A389" s="193" t="str">
        <f>IF('Observaciones-SMP'!A389="","",'Observaciones-SMP'!A389)</f>
        <v/>
      </c>
      <c r="B389" s="257" t="str">
        <f>IF('Observaciones-SMP'!B389="","",'Observaciones-SMP'!B389)</f>
        <v/>
      </c>
      <c r="C389" s="193" t="str">
        <f>IF('Observaciones-SMP'!C389="","",'Observaciones-SMP'!C389)</f>
        <v/>
      </c>
      <c r="D389" s="193" t="str">
        <f>IF('Observaciones-SMP'!D389="","",'Observaciones-SMP'!D389)</f>
        <v/>
      </c>
      <c r="E389" s="193" t="str">
        <f>IF('Observaciones-SMP'!E389="","",'Observaciones-SMP'!E389)</f>
        <v/>
      </c>
      <c r="F389" s="193" t="str">
        <f>IF('Observaciones-SMP'!F389="","",'Observaciones-SMP'!F389)</f>
        <v/>
      </c>
      <c r="G389" s="193" t="str">
        <f>IF('Observaciones-SMP'!G389="","",'Observaciones-SMP'!G389)</f>
        <v/>
      </c>
      <c r="H389" s="193" t="str">
        <f>IF('Observaciones-SMP'!H389="","",'Observaciones-SMP'!H389)</f>
        <v/>
      </c>
      <c r="I389" s="193" t="str">
        <f>IF('Observaciones-SMP'!I389="","",'Observaciones-SMP'!I389)</f>
        <v/>
      </c>
      <c r="J389" s="193" t="str">
        <f>IF('Observaciones-SMP'!J389="","",'Observaciones-SMP'!J389)</f>
        <v/>
      </c>
      <c r="K389" s="193" t="str">
        <f>IF('Observaciones-SMP'!K389="","",'Observaciones-SMP'!K389)</f>
        <v/>
      </c>
      <c r="L389" s="193" t="str">
        <f>IF('Observaciones-SMP'!L389="","",'Observaciones-SMP'!L389)</f>
        <v/>
      </c>
      <c r="M389" s="193" t="str">
        <f>IF('Observaciones-SMP'!M389="","",'Observaciones-SMP'!M389)</f>
        <v/>
      </c>
      <c r="N389" s="193" t="str">
        <f>IF('Observaciones-SMP'!N389="","",'Observaciones-SMP'!N389)</f>
        <v/>
      </c>
      <c r="O389" s="193" t="str">
        <f>IF('Observaciones-SMP'!O389="","",'Observaciones-SMP'!O389)</f>
        <v/>
      </c>
      <c r="P389" s="193" t="str">
        <f>IF('Observaciones-SMP'!P389="","",'Observaciones-SMP'!P389)</f>
        <v/>
      </c>
      <c r="Q389" s="257" t="str">
        <f>IF('Observaciones-SMP'!S389="","",'Observaciones-SMP'!S389)</f>
        <v/>
      </c>
      <c r="R389" s="193" t="str">
        <f>IF('Observaciones-SMP'!T389="","",'Observaciones-SMP'!T389)</f>
        <v/>
      </c>
      <c r="S389" s="193" t="str">
        <f>""</f>
        <v/>
      </c>
      <c r="T389" s="193" t="str">
        <f>""</f>
        <v/>
      </c>
      <c r="U389" s="193" t="str">
        <f t="shared" si="24"/>
        <v/>
      </c>
      <c r="V389" s="193" t="str">
        <f>""</f>
        <v/>
      </c>
      <c r="W389" s="193" t="str">
        <f>""</f>
        <v/>
      </c>
      <c r="X389" s="258" t="str">
        <f t="shared" si="25"/>
        <v/>
      </c>
      <c r="Y389" s="258" t="str">
        <f t="shared" si="26"/>
        <v/>
      </c>
      <c r="Z389" s="193" t="str">
        <f>IF(A389="","",IF(COUNTIF('Observaciones-SMP'!$A$2:$A$1001,A389)&gt;1,1,0))</f>
        <v/>
      </c>
      <c r="AA389" s="193" t="str">
        <f t="shared" si="27"/>
        <v/>
      </c>
    </row>
    <row r="390" spans="1:27" ht="13.5" customHeight="1" x14ac:dyDescent="0.3">
      <c r="A390" s="193" t="str">
        <f>IF('Observaciones-SMP'!A390="","",'Observaciones-SMP'!A390)</f>
        <v/>
      </c>
      <c r="B390" s="257" t="str">
        <f>IF('Observaciones-SMP'!B390="","",'Observaciones-SMP'!B390)</f>
        <v/>
      </c>
      <c r="C390" s="193" t="str">
        <f>IF('Observaciones-SMP'!C390="","",'Observaciones-SMP'!C390)</f>
        <v/>
      </c>
      <c r="D390" s="193" t="str">
        <f>IF('Observaciones-SMP'!D390="","",'Observaciones-SMP'!D390)</f>
        <v/>
      </c>
      <c r="E390" s="193" t="str">
        <f>IF('Observaciones-SMP'!E390="","",'Observaciones-SMP'!E390)</f>
        <v/>
      </c>
      <c r="F390" s="193" t="str">
        <f>IF('Observaciones-SMP'!F390="","",'Observaciones-SMP'!F390)</f>
        <v/>
      </c>
      <c r="G390" s="193" t="str">
        <f>IF('Observaciones-SMP'!G390="","",'Observaciones-SMP'!G390)</f>
        <v/>
      </c>
      <c r="H390" s="193" t="str">
        <f>IF('Observaciones-SMP'!H390="","",'Observaciones-SMP'!H390)</f>
        <v/>
      </c>
      <c r="I390" s="193" t="str">
        <f>IF('Observaciones-SMP'!I390="","",'Observaciones-SMP'!I390)</f>
        <v/>
      </c>
      <c r="J390" s="193" t="str">
        <f>IF('Observaciones-SMP'!J390="","",'Observaciones-SMP'!J390)</f>
        <v/>
      </c>
      <c r="K390" s="193" t="str">
        <f>IF('Observaciones-SMP'!K390="","",'Observaciones-SMP'!K390)</f>
        <v/>
      </c>
      <c r="L390" s="193" t="str">
        <f>IF('Observaciones-SMP'!L390="","",'Observaciones-SMP'!L390)</f>
        <v/>
      </c>
      <c r="M390" s="193" t="str">
        <f>IF('Observaciones-SMP'!M390="","",'Observaciones-SMP'!M390)</f>
        <v/>
      </c>
      <c r="N390" s="193" t="str">
        <f>IF('Observaciones-SMP'!N390="","",'Observaciones-SMP'!N390)</f>
        <v/>
      </c>
      <c r="O390" s="193" t="str">
        <f>IF('Observaciones-SMP'!O390="","",'Observaciones-SMP'!O390)</f>
        <v/>
      </c>
      <c r="P390" s="193" t="str">
        <f>IF('Observaciones-SMP'!P390="","",'Observaciones-SMP'!P390)</f>
        <v/>
      </c>
      <c r="Q390" s="257" t="str">
        <f>IF('Observaciones-SMP'!S390="","",'Observaciones-SMP'!S390)</f>
        <v/>
      </c>
      <c r="R390" s="193" t="str">
        <f>IF('Observaciones-SMP'!T390="","",'Observaciones-SMP'!T390)</f>
        <v/>
      </c>
      <c r="S390" s="193" t="str">
        <f>""</f>
        <v/>
      </c>
      <c r="T390" s="193" t="str">
        <f>""</f>
        <v/>
      </c>
      <c r="U390" s="193" t="str">
        <f t="shared" si="24"/>
        <v/>
      </c>
      <c r="V390" s="193" t="str">
        <f>""</f>
        <v/>
      </c>
      <c r="W390" s="193" t="str">
        <f>""</f>
        <v/>
      </c>
      <c r="X390" s="258" t="str">
        <f t="shared" si="25"/>
        <v/>
      </c>
      <c r="Y390" s="258" t="str">
        <f t="shared" si="26"/>
        <v/>
      </c>
      <c r="Z390" s="193" t="str">
        <f>IF(A390="","",IF(COUNTIF('Observaciones-SMP'!$A$2:$A$1001,A390)&gt;1,1,0))</f>
        <v/>
      </c>
      <c r="AA390" s="193" t="str">
        <f t="shared" si="27"/>
        <v/>
      </c>
    </row>
    <row r="391" spans="1:27" ht="13.5" customHeight="1" x14ac:dyDescent="0.3">
      <c r="A391" s="193" t="str">
        <f>IF('Observaciones-SMP'!A391="","",'Observaciones-SMP'!A391)</f>
        <v/>
      </c>
      <c r="B391" s="257" t="str">
        <f>IF('Observaciones-SMP'!B391="","",'Observaciones-SMP'!B391)</f>
        <v/>
      </c>
      <c r="C391" s="193" t="str">
        <f>IF('Observaciones-SMP'!C391="","",'Observaciones-SMP'!C391)</f>
        <v/>
      </c>
      <c r="D391" s="193" t="str">
        <f>IF('Observaciones-SMP'!D391="","",'Observaciones-SMP'!D391)</f>
        <v/>
      </c>
      <c r="E391" s="193" t="str">
        <f>IF('Observaciones-SMP'!E391="","",'Observaciones-SMP'!E391)</f>
        <v/>
      </c>
      <c r="F391" s="193" t="str">
        <f>IF('Observaciones-SMP'!F391="","",'Observaciones-SMP'!F391)</f>
        <v/>
      </c>
      <c r="G391" s="193" t="str">
        <f>IF('Observaciones-SMP'!G391="","",'Observaciones-SMP'!G391)</f>
        <v/>
      </c>
      <c r="H391" s="193" t="str">
        <f>IF('Observaciones-SMP'!H391="","",'Observaciones-SMP'!H391)</f>
        <v/>
      </c>
      <c r="I391" s="193" t="str">
        <f>IF('Observaciones-SMP'!I391="","",'Observaciones-SMP'!I391)</f>
        <v/>
      </c>
      <c r="J391" s="193" t="str">
        <f>IF('Observaciones-SMP'!J391="","",'Observaciones-SMP'!J391)</f>
        <v/>
      </c>
      <c r="K391" s="193" t="str">
        <f>IF('Observaciones-SMP'!K391="","",'Observaciones-SMP'!K391)</f>
        <v/>
      </c>
      <c r="L391" s="193" t="str">
        <f>IF('Observaciones-SMP'!L391="","",'Observaciones-SMP'!L391)</f>
        <v/>
      </c>
      <c r="M391" s="193" t="str">
        <f>IF('Observaciones-SMP'!M391="","",'Observaciones-SMP'!M391)</f>
        <v/>
      </c>
      <c r="N391" s="193" t="str">
        <f>IF('Observaciones-SMP'!N391="","",'Observaciones-SMP'!N391)</f>
        <v/>
      </c>
      <c r="O391" s="193" t="str">
        <f>IF('Observaciones-SMP'!O391="","",'Observaciones-SMP'!O391)</f>
        <v/>
      </c>
      <c r="P391" s="193" t="str">
        <f>IF('Observaciones-SMP'!P391="","",'Observaciones-SMP'!P391)</f>
        <v/>
      </c>
      <c r="Q391" s="257" t="str">
        <f>IF('Observaciones-SMP'!S391="","",'Observaciones-SMP'!S391)</f>
        <v/>
      </c>
      <c r="R391" s="193" t="str">
        <f>IF('Observaciones-SMP'!T391="","",'Observaciones-SMP'!T391)</f>
        <v/>
      </c>
      <c r="S391" s="193" t="str">
        <f>""</f>
        <v/>
      </c>
      <c r="T391" s="193" t="str">
        <f>""</f>
        <v/>
      </c>
      <c r="U391" s="193" t="str">
        <f t="shared" si="24"/>
        <v/>
      </c>
      <c r="V391" s="193" t="str">
        <f>""</f>
        <v/>
      </c>
      <c r="W391" s="193" t="str">
        <f>""</f>
        <v/>
      </c>
      <c r="X391" s="258" t="str">
        <f t="shared" si="25"/>
        <v/>
      </c>
      <c r="Y391" s="258" t="str">
        <f t="shared" si="26"/>
        <v/>
      </c>
      <c r="Z391" s="193" t="str">
        <f>IF(A391="","",IF(COUNTIF('Observaciones-SMP'!$A$2:$A$1001,A391)&gt;1,1,0))</f>
        <v/>
      </c>
      <c r="AA391" s="193" t="str">
        <f t="shared" si="27"/>
        <v/>
      </c>
    </row>
    <row r="392" spans="1:27" ht="13.5" customHeight="1" x14ac:dyDescent="0.3">
      <c r="A392" s="193" t="str">
        <f>IF('Observaciones-SMP'!A392="","",'Observaciones-SMP'!A392)</f>
        <v/>
      </c>
      <c r="B392" s="257" t="str">
        <f>IF('Observaciones-SMP'!B392="","",'Observaciones-SMP'!B392)</f>
        <v/>
      </c>
      <c r="C392" s="193" t="str">
        <f>IF('Observaciones-SMP'!C392="","",'Observaciones-SMP'!C392)</f>
        <v/>
      </c>
      <c r="D392" s="193" t="str">
        <f>IF('Observaciones-SMP'!D392="","",'Observaciones-SMP'!D392)</f>
        <v/>
      </c>
      <c r="E392" s="193" t="str">
        <f>IF('Observaciones-SMP'!E392="","",'Observaciones-SMP'!E392)</f>
        <v/>
      </c>
      <c r="F392" s="193" t="str">
        <f>IF('Observaciones-SMP'!F392="","",'Observaciones-SMP'!F392)</f>
        <v/>
      </c>
      <c r="G392" s="193" t="str">
        <f>IF('Observaciones-SMP'!G392="","",'Observaciones-SMP'!G392)</f>
        <v/>
      </c>
      <c r="H392" s="193" t="str">
        <f>IF('Observaciones-SMP'!H392="","",'Observaciones-SMP'!H392)</f>
        <v/>
      </c>
      <c r="I392" s="193" t="str">
        <f>IF('Observaciones-SMP'!I392="","",'Observaciones-SMP'!I392)</f>
        <v/>
      </c>
      <c r="J392" s="193" t="str">
        <f>IF('Observaciones-SMP'!J392="","",'Observaciones-SMP'!J392)</f>
        <v/>
      </c>
      <c r="K392" s="193" t="str">
        <f>IF('Observaciones-SMP'!K392="","",'Observaciones-SMP'!K392)</f>
        <v/>
      </c>
      <c r="L392" s="193" t="str">
        <f>IF('Observaciones-SMP'!L392="","",'Observaciones-SMP'!L392)</f>
        <v/>
      </c>
      <c r="M392" s="193" t="str">
        <f>IF('Observaciones-SMP'!M392="","",'Observaciones-SMP'!M392)</f>
        <v/>
      </c>
      <c r="N392" s="193" t="str">
        <f>IF('Observaciones-SMP'!N392="","",'Observaciones-SMP'!N392)</f>
        <v/>
      </c>
      <c r="O392" s="193" t="str">
        <f>IF('Observaciones-SMP'!O392="","",'Observaciones-SMP'!O392)</f>
        <v/>
      </c>
      <c r="P392" s="193" t="str">
        <f>IF('Observaciones-SMP'!P392="","",'Observaciones-SMP'!P392)</f>
        <v/>
      </c>
      <c r="Q392" s="257" t="str">
        <f>IF('Observaciones-SMP'!S392="","",'Observaciones-SMP'!S392)</f>
        <v/>
      </c>
      <c r="R392" s="193" t="str">
        <f>IF('Observaciones-SMP'!T392="","",'Observaciones-SMP'!T392)</f>
        <v/>
      </c>
      <c r="S392" s="193" t="str">
        <f>""</f>
        <v/>
      </c>
      <c r="T392" s="193" t="str">
        <f>""</f>
        <v/>
      </c>
      <c r="U392" s="193" t="str">
        <f t="shared" si="24"/>
        <v/>
      </c>
      <c r="V392" s="193" t="str">
        <f>""</f>
        <v/>
      </c>
      <c r="W392" s="193" t="str">
        <f>""</f>
        <v/>
      </c>
      <c r="X392" s="258" t="str">
        <f t="shared" si="25"/>
        <v/>
      </c>
      <c r="Y392" s="258" t="str">
        <f t="shared" si="26"/>
        <v/>
      </c>
      <c r="Z392" s="193" t="str">
        <f>IF(A392="","",IF(COUNTIF('Observaciones-SMP'!$A$2:$A$1001,A392)&gt;1,1,0))</f>
        <v/>
      </c>
      <c r="AA392" s="193" t="str">
        <f t="shared" si="27"/>
        <v/>
      </c>
    </row>
    <row r="393" spans="1:27" ht="13.5" customHeight="1" x14ac:dyDescent="0.3">
      <c r="A393" s="193" t="str">
        <f>IF('Observaciones-SMP'!A393="","",'Observaciones-SMP'!A393)</f>
        <v/>
      </c>
      <c r="B393" s="257" t="str">
        <f>IF('Observaciones-SMP'!B393="","",'Observaciones-SMP'!B393)</f>
        <v/>
      </c>
      <c r="C393" s="193" t="str">
        <f>IF('Observaciones-SMP'!C393="","",'Observaciones-SMP'!C393)</f>
        <v/>
      </c>
      <c r="D393" s="193" t="str">
        <f>IF('Observaciones-SMP'!D393="","",'Observaciones-SMP'!D393)</f>
        <v/>
      </c>
      <c r="E393" s="193" t="str">
        <f>IF('Observaciones-SMP'!E393="","",'Observaciones-SMP'!E393)</f>
        <v/>
      </c>
      <c r="F393" s="193" t="str">
        <f>IF('Observaciones-SMP'!F393="","",'Observaciones-SMP'!F393)</f>
        <v/>
      </c>
      <c r="G393" s="193" t="str">
        <f>IF('Observaciones-SMP'!G393="","",'Observaciones-SMP'!G393)</f>
        <v/>
      </c>
      <c r="H393" s="193" t="str">
        <f>IF('Observaciones-SMP'!H393="","",'Observaciones-SMP'!H393)</f>
        <v/>
      </c>
      <c r="I393" s="193" t="str">
        <f>IF('Observaciones-SMP'!I393="","",'Observaciones-SMP'!I393)</f>
        <v/>
      </c>
      <c r="J393" s="193" t="str">
        <f>IF('Observaciones-SMP'!J393="","",'Observaciones-SMP'!J393)</f>
        <v/>
      </c>
      <c r="K393" s="193" t="str">
        <f>IF('Observaciones-SMP'!K393="","",'Observaciones-SMP'!K393)</f>
        <v/>
      </c>
      <c r="L393" s="193" t="str">
        <f>IF('Observaciones-SMP'!L393="","",'Observaciones-SMP'!L393)</f>
        <v/>
      </c>
      <c r="M393" s="193" t="str">
        <f>IF('Observaciones-SMP'!M393="","",'Observaciones-SMP'!M393)</f>
        <v/>
      </c>
      <c r="N393" s="193" t="str">
        <f>IF('Observaciones-SMP'!N393="","",'Observaciones-SMP'!N393)</f>
        <v/>
      </c>
      <c r="O393" s="193" t="str">
        <f>IF('Observaciones-SMP'!O393="","",'Observaciones-SMP'!O393)</f>
        <v/>
      </c>
      <c r="P393" s="193" t="str">
        <f>IF('Observaciones-SMP'!P393="","",'Observaciones-SMP'!P393)</f>
        <v/>
      </c>
      <c r="Q393" s="257" t="str">
        <f>IF('Observaciones-SMP'!S393="","",'Observaciones-SMP'!S393)</f>
        <v/>
      </c>
      <c r="R393" s="193" t="str">
        <f>IF('Observaciones-SMP'!T393="","",'Observaciones-SMP'!T393)</f>
        <v/>
      </c>
      <c r="S393" s="193" t="str">
        <f>""</f>
        <v/>
      </c>
      <c r="T393" s="193" t="str">
        <f>""</f>
        <v/>
      </c>
      <c r="U393" s="193" t="str">
        <f t="shared" si="24"/>
        <v/>
      </c>
      <c r="V393" s="193" t="str">
        <f>""</f>
        <v/>
      </c>
      <c r="W393" s="193" t="str">
        <f>""</f>
        <v/>
      </c>
      <c r="X393" s="258" t="str">
        <f t="shared" si="25"/>
        <v/>
      </c>
      <c r="Y393" s="258" t="str">
        <f t="shared" si="26"/>
        <v/>
      </c>
      <c r="Z393" s="193" t="str">
        <f>IF(A393="","",IF(COUNTIF('Observaciones-SMP'!$A$2:$A$1001,A393)&gt;1,1,0))</f>
        <v/>
      </c>
      <c r="AA393" s="193" t="str">
        <f t="shared" si="27"/>
        <v/>
      </c>
    </row>
    <row r="394" spans="1:27" ht="13.5" customHeight="1" x14ac:dyDescent="0.3">
      <c r="A394" s="193" t="str">
        <f>IF('Observaciones-SMP'!A394="","",'Observaciones-SMP'!A394)</f>
        <v/>
      </c>
      <c r="B394" s="257" t="str">
        <f>IF('Observaciones-SMP'!B394="","",'Observaciones-SMP'!B394)</f>
        <v/>
      </c>
      <c r="C394" s="193" t="str">
        <f>IF('Observaciones-SMP'!C394="","",'Observaciones-SMP'!C394)</f>
        <v/>
      </c>
      <c r="D394" s="193" t="str">
        <f>IF('Observaciones-SMP'!D394="","",'Observaciones-SMP'!D394)</f>
        <v/>
      </c>
      <c r="E394" s="193" t="str">
        <f>IF('Observaciones-SMP'!E394="","",'Observaciones-SMP'!E394)</f>
        <v/>
      </c>
      <c r="F394" s="193" t="str">
        <f>IF('Observaciones-SMP'!F394="","",'Observaciones-SMP'!F394)</f>
        <v/>
      </c>
      <c r="G394" s="193" t="str">
        <f>IF('Observaciones-SMP'!G394="","",'Observaciones-SMP'!G394)</f>
        <v/>
      </c>
      <c r="H394" s="193" t="str">
        <f>IF('Observaciones-SMP'!H394="","",'Observaciones-SMP'!H394)</f>
        <v/>
      </c>
      <c r="I394" s="193" t="str">
        <f>IF('Observaciones-SMP'!I394="","",'Observaciones-SMP'!I394)</f>
        <v/>
      </c>
      <c r="J394" s="193" t="str">
        <f>IF('Observaciones-SMP'!J394="","",'Observaciones-SMP'!J394)</f>
        <v/>
      </c>
      <c r="K394" s="193" t="str">
        <f>IF('Observaciones-SMP'!K394="","",'Observaciones-SMP'!K394)</f>
        <v/>
      </c>
      <c r="L394" s="193" t="str">
        <f>IF('Observaciones-SMP'!L394="","",'Observaciones-SMP'!L394)</f>
        <v/>
      </c>
      <c r="M394" s="193" t="str">
        <f>IF('Observaciones-SMP'!M394="","",'Observaciones-SMP'!M394)</f>
        <v/>
      </c>
      <c r="N394" s="193" t="str">
        <f>IF('Observaciones-SMP'!N394="","",'Observaciones-SMP'!N394)</f>
        <v/>
      </c>
      <c r="O394" s="193" t="str">
        <f>IF('Observaciones-SMP'!O394="","",'Observaciones-SMP'!O394)</f>
        <v/>
      </c>
      <c r="P394" s="193" t="str">
        <f>IF('Observaciones-SMP'!P394="","",'Observaciones-SMP'!P394)</f>
        <v/>
      </c>
      <c r="Q394" s="257" t="str">
        <f>IF('Observaciones-SMP'!S394="","",'Observaciones-SMP'!S394)</f>
        <v/>
      </c>
      <c r="R394" s="193" t="str">
        <f>IF('Observaciones-SMP'!T394="","",'Observaciones-SMP'!T394)</f>
        <v/>
      </c>
      <c r="S394" s="193" t="str">
        <f>""</f>
        <v/>
      </c>
      <c r="T394" s="193" t="str">
        <f>""</f>
        <v/>
      </c>
      <c r="U394" s="193" t="str">
        <f t="shared" si="24"/>
        <v/>
      </c>
      <c r="V394" s="193" t="str">
        <f>""</f>
        <v/>
      </c>
      <c r="W394" s="193" t="str">
        <f>""</f>
        <v/>
      </c>
      <c r="X394" s="258" t="str">
        <f t="shared" si="25"/>
        <v/>
      </c>
      <c r="Y394" s="258" t="str">
        <f t="shared" si="26"/>
        <v/>
      </c>
      <c r="Z394" s="193" t="str">
        <f>IF(A394="","",IF(COUNTIF('Observaciones-SMP'!$A$2:$A$1001,A394)&gt;1,1,0))</f>
        <v/>
      </c>
      <c r="AA394" s="193" t="str">
        <f t="shared" si="27"/>
        <v/>
      </c>
    </row>
    <row r="395" spans="1:27" ht="13.5" customHeight="1" x14ac:dyDescent="0.3">
      <c r="A395" s="193" t="str">
        <f>IF('Observaciones-SMP'!A395="","",'Observaciones-SMP'!A395)</f>
        <v/>
      </c>
      <c r="B395" s="257" t="str">
        <f>IF('Observaciones-SMP'!B395="","",'Observaciones-SMP'!B395)</f>
        <v/>
      </c>
      <c r="C395" s="193" t="str">
        <f>IF('Observaciones-SMP'!C395="","",'Observaciones-SMP'!C395)</f>
        <v/>
      </c>
      <c r="D395" s="193" t="str">
        <f>IF('Observaciones-SMP'!D395="","",'Observaciones-SMP'!D395)</f>
        <v/>
      </c>
      <c r="E395" s="193" t="str">
        <f>IF('Observaciones-SMP'!E395="","",'Observaciones-SMP'!E395)</f>
        <v/>
      </c>
      <c r="F395" s="193" t="str">
        <f>IF('Observaciones-SMP'!F395="","",'Observaciones-SMP'!F395)</f>
        <v/>
      </c>
      <c r="G395" s="193" t="str">
        <f>IF('Observaciones-SMP'!G395="","",'Observaciones-SMP'!G395)</f>
        <v/>
      </c>
      <c r="H395" s="193" t="str">
        <f>IF('Observaciones-SMP'!H395="","",'Observaciones-SMP'!H395)</f>
        <v/>
      </c>
      <c r="I395" s="193" t="str">
        <f>IF('Observaciones-SMP'!I395="","",'Observaciones-SMP'!I395)</f>
        <v/>
      </c>
      <c r="J395" s="193" t="str">
        <f>IF('Observaciones-SMP'!J395="","",'Observaciones-SMP'!J395)</f>
        <v/>
      </c>
      <c r="K395" s="193" t="str">
        <f>IF('Observaciones-SMP'!K395="","",'Observaciones-SMP'!K395)</f>
        <v/>
      </c>
      <c r="L395" s="193" t="str">
        <f>IF('Observaciones-SMP'!L395="","",'Observaciones-SMP'!L395)</f>
        <v/>
      </c>
      <c r="M395" s="193" t="str">
        <f>IF('Observaciones-SMP'!M395="","",'Observaciones-SMP'!M395)</f>
        <v/>
      </c>
      <c r="N395" s="193" t="str">
        <f>IF('Observaciones-SMP'!N395="","",'Observaciones-SMP'!N395)</f>
        <v/>
      </c>
      <c r="O395" s="193" t="str">
        <f>IF('Observaciones-SMP'!O395="","",'Observaciones-SMP'!O395)</f>
        <v/>
      </c>
      <c r="P395" s="193" t="str">
        <f>IF('Observaciones-SMP'!P395="","",'Observaciones-SMP'!P395)</f>
        <v/>
      </c>
      <c r="Q395" s="257" t="str">
        <f>IF('Observaciones-SMP'!S395="","",'Observaciones-SMP'!S395)</f>
        <v/>
      </c>
      <c r="R395" s="193" t="str">
        <f>IF('Observaciones-SMP'!T395="","",'Observaciones-SMP'!T395)</f>
        <v/>
      </c>
      <c r="S395" s="193" t="str">
        <f>""</f>
        <v/>
      </c>
      <c r="T395" s="193" t="str">
        <f>""</f>
        <v/>
      </c>
      <c r="U395" s="193" t="str">
        <f t="shared" si="24"/>
        <v/>
      </c>
      <c r="V395" s="193" t="str">
        <f>""</f>
        <v/>
      </c>
      <c r="W395" s="193" t="str">
        <f>""</f>
        <v/>
      </c>
      <c r="X395" s="258" t="str">
        <f t="shared" si="25"/>
        <v/>
      </c>
      <c r="Y395" s="258" t="str">
        <f t="shared" si="26"/>
        <v/>
      </c>
      <c r="Z395" s="193" t="str">
        <f>IF(A395="","",IF(COUNTIF('Observaciones-SMP'!$A$2:$A$1001,A395)&gt;1,1,0))</f>
        <v/>
      </c>
      <c r="AA395" s="193" t="str">
        <f t="shared" si="27"/>
        <v/>
      </c>
    </row>
    <row r="396" spans="1:27" ht="13.5" customHeight="1" x14ac:dyDescent="0.3">
      <c r="A396" s="193" t="str">
        <f>IF('Observaciones-SMP'!A396="","",'Observaciones-SMP'!A396)</f>
        <v/>
      </c>
      <c r="B396" s="257" t="str">
        <f>IF('Observaciones-SMP'!B396="","",'Observaciones-SMP'!B396)</f>
        <v/>
      </c>
      <c r="C396" s="193" t="str">
        <f>IF('Observaciones-SMP'!C396="","",'Observaciones-SMP'!C396)</f>
        <v/>
      </c>
      <c r="D396" s="193" t="str">
        <f>IF('Observaciones-SMP'!D396="","",'Observaciones-SMP'!D396)</f>
        <v/>
      </c>
      <c r="E396" s="193" t="str">
        <f>IF('Observaciones-SMP'!E396="","",'Observaciones-SMP'!E396)</f>
        <v/>
      </c>
      <c r="F396" s="193" t="str">
        <f>IF('Observaciones-SMP'!F396="","",'Observaciones-SMP'!F396)</f>
        <v/>
      </c>
      <c r="G396" s="193" t="str">
        <f>IF('Observaciones-SMP'!G396="","",'Observaciones-SMP'!G396)</f>
        <v/>
      </c>
      <c r="H396" s="193" t="str">
        <f>IF('Observaciones-SMP'!H396="","",'Observaciones-SMP'!H396)</f>
        <v/>
      </c>
      <c r="I396" s="193" t="str">
        <f>IF('Observaciones-SMP'!I396="","",'Observaciones-SMP'!I396)</f>
        <v/>
      </c>
      <c r="J396" s="193" t="str">
        <f>IF('Observaciones-SMP'!J396="","",'Observaciones-SMP'!J396)</f>
        <v/>
      </c>
      <c r="K396" s="193" t="str">
        <f>IF('Observaciones-SMP'!K396="","",'Observaciones-SMP'!K396)</f>
        <v/>
      </c>
      <c r="L396" s="193" t="str">
        <f>IF('Observaciones-SMP'!L396="","",'Observaciones-SMP'!L396)</f>
        <v/>
      </c>
      <c r="M396" s="193" t="str">
        <f>IF('Observaciones-SMP'!M396="","",'Observaciones-SMP'!M396)</f>
        <v/>
      </c>
      <c r="N396" s="193" t="str">
        <f>IF('Observaciones-SMP'!N396="","",'Observaciones-SMP'!N396)</f>
        <v/>
      </c>
      <c r="O396" s="193" t="str">
        <f>IF('Observaciones-SMP'!O396="","",'Observaciones-SMP'!O396)</f>
        <v/>
      </c>
      <c r="P396" s="193" t="str">
        <f>IF('Observaciones-SMP'!P396="","",'Observaciones-SMP'!P396)</f>
        <v/>
      </c>
      <c r="Q396" s="257" t="str">
        <f>IF('Observaciones-SMP'!S396="","",'Observaciones-SMP'!S396)</f>
        <v/>
      </c>
      <c r="R396" s="193" t="str">
        <f>IF('Observaciones-SMP'!T396="","",'Observaciones-SMP'!T396)</f>
        <v/>
      </c>
      <c r="S396" s="193" t="str">
        <f>""</f>
        <v/>
      </c>
      <c r="T396" s="193" t="str">
        <f>""</f>
        <v/>
      </c>
      <c r="U396" s="193" t="str">
        <f t="shared" si="24"/>
        <v/>
      </c>
      <c r="V396" s="193" t="str">
        <f>""</f>
        <v/>
      </c>
      <c r="W396" s="193" t="str">
        <f>""</f>
        <v/>
      </c>
      <c r="X396" s="258" t="str">
        <f t="shared" si="25"/>
        <v/>
      </c>
      <c r="Y396" s="258" t="str">
        <f t="shared" si="26"/>
        <v/>
      </c>
      <c r="Z396" s="193" t="str">
        <f>IF(A396="","",IF(COUNTIF('Observaciones-SMP'!$A$2:$A$1001,A396)&gt;1,1,0))</f>
        <v/>
      </c>
      <c r="AA396" s="193" t="str">
        <f t="shared" si="27"/>
        <v/>
      </c>
    </row>
    <row r="397" spans="1:27" ht="13.5" customHeight="1" x14ac:dyDescent="0.3">
      <c r="A397" s="193" t="str">
        <f>IF('Observaciones-SMP'!A397="","",'Observaciones-SMP'!A397)</f>
        <v/>
      </c>
      <c r="B397" s="257" t="str">
        <f>IF('Observaciones-SMP'!B397="","",'Observaciones-SMP'!B397)</f>
        <v/>
      </c>
      <c r="C397" s="193" t="str">
        <f>IF('Observaciones-SMP'!C397="","",'Observaciones-SMP'!C397)</f>
        <v/>
      </c>
      <c r="D397" s="193" t="str">
        <f>IF('Observaciones-SMP'!D397="","",'Observaciones-SMP'!D397)</f>
        <v/>
      </c>
      <c r="E397" s="193" t="str">
        <f>IF('Observaciones-SMP'!E397="","",'Observaciones-SMP'!E397)</f>
        <v/>
      </c>
      <c r="F397" s="193" t="str">
        <f>IF('Observaciones-SMP'!F397="","",'Observaciones-SMP'!F397)</f>
        <v/>
      </c>
      <c r="G397" s="193" t="str">
        <f>IF('Observaciones-SMP'!G397="","",'Observaciones-SMP'!G397)</f>
        <v/>
      </c>
      <c r="H397" s="193" t="str">
        <f>IF('Observaciones-SMP'!H397="","",'Observaciones-SMP'!H397)</f>
        <v/>
      </c>
      <c r="I397" s="193" t="str">
        <f>IF('Observaciones-SMP'!I397="","",'Observaciones-SMP'!I397)</f>
        <v/>
      </c>
      <c r="J397" s="193" t="str">
        <f>IF('Observaciones-SMP'!J397="","",'Observaciones-SMP'!J397)</f>
        <v/>
      </c>
      <c r="K397" s="193" t="str">
        <f>IF('Observaciones-SMP'!K397="","",'Observaciones-SMP'!K397)</f>
        <v/>
      </c>
      <c r="L397" s="193" t="str">
        <f>IF('Observaciones-SMP'!L397="","",'Observaciones-SMP'!L397)</f>
        <v/>
      </c>
      <c r="M397" s="193" t="str">
        <f>IF('Observaciones-SMP'!M397="","",'Observaciones-SMP'!M397)</f>
        <v/>
      </c>
      <c r="N397" s="193" t="str">
        <f>IF('Observaciones-SMP'!N397="","",'Observaciones-SMP'!N397)</f>
        <v/>
      </c>
      <c r="O397" s="193" t="str">
        <f>IF('Observaciones-SMP'!O397="","",'Observaciones-SMP'!O397)</f>
        <v/>
      </c>
      <c r="P397" s="193" t="str">
        <f>IF('Observaciones-SMP'!P397="","",'Observaciones-SMP'!P397)</f>
        <v/>
      </c>
      <c r="Q397" s="257" t="str">
        <f>IF('Observaciones-SMP'!S397="","",'Observaciones-SMP'!S397)</f>
        <v/>
      </c>
      <c r="R397" s="193" t="str">
        <f>IF('Observaciones-SMP'!T397="","",'Observaciones-SMP'!T397)</f>
        <v/>
      </c>
      <c r="S397" s="193" t="str">
        <f>""</f>
        <v/>
      </c>
      <c r="T397" s="193" t="str">
        <f>""</f>
        <v/>
      </c>
      <c r="U397" s="193" t="str">
        <f t="shared" si="24"/>
        <v/>
      </c>
      <c r="V397" s="193" t="str">
        <f>""</f>
        <v/>
      </c>
      <c r="W397" s="193" t="str">
        <f>""</f>
        <v/>
      </c>
      <c r="X397" s="258" t="str">
        <f t="shared" si="25"/>
        <v/>
      </c>
      <c r="Y397" s="258" t="str">
        <f t="shared" si="26"/>
        <v/>
      </c>
      <c r="Z397" s="193" t="str">
        <f>IF(A397="","",IF(COUNTIF('Observaciones-SMP'!$A$2:$A$1001,A397)&gt;1,1,0))</f>
        <v/>
      </c>
      <c r="AA397" s="193" t="str">
        <f t="shared" si="27"/>
        <v/>
      </c>
    </row>
    <row r="398" spans="1:27" ht="13.5" customHeight="1" x14ac:dyDescent="0.3">
      <c r="A398" s="193" t="str">
        <f>IF('Observaciones-SMP'!A398="","",'Observaciones-SMP'!A398)</f>
        <v/>
      </c>
      <c r="B398" s="257" t="str">
        <f>IF('Observaciones-SMP'!B398="","",'Observaciones-SMP'!B398)</f>
        <v/>
      </c>
      <c r="C398" s="193" t="str">
        <f>IF('Observaciones-SMP'!C398="","",'Observaciones-SMP'!C398)</f>
        <v/>
      </c>
      <c r="D398" s="193" t="str">
        <f>IF('Observaciones-SMP'!D398="","",'Observaciones-SMP'!D398)</f>
        <v/>
      </c>
      <c r="E398" s="193" t="str">
        <f>IF('Observaciones-SMP'!E398="","",'Observaciones-SMP'!E398)</f>
        <v/>
      </c>
      <c r="F398" s="193" t="str">
        <f>IF('Observaciones-SMP'!F398="","",'Observaciones-SMP'!F398)</f>
        <v/>
      </c>
      <c r="G398" s="193" t="str">
        <f>IF('Observaciones-SMP'!G398="","",'Observaciones-SMP'!G398)</f>
        <v/>
      </c>
      <c r="H398" s="193" t="str">
        <f>IF('Observaciones-SMP'!H398="","",'Observaciones-SMP'!H398)</f>
        <v/>
      </c>
      <c r="I398" s="193" t="str">
        <f>IF('Observaciones-SMP'!I398="","",'Observaciones-SMP'!I398)</f>
        <v/>
      </c>
      <c r="J398" s="193" t="str">
        <f>IF('Observaciones-SMP'!J398="","",'Observaciones-SMP'!J398)</f>
        <v/>
      </c>
      <c r="K398" s="193" t="str">
        <f>IF('Observaciones-SMP'!K398="","",'Observaciones-SMP'!K398)</f>
        <v/>
      </c>
      <c r="L398" s="193" t="str">
        <f>IF('Observaciones-SMP'!L398="","",'Observaciones-SMP'!L398)</f>
        <v/>
      </c>
      <c r="M398" s="193" t="str">
        <f>IF('Observaciones-SMP'!M398="","",'Observaciones-SMP'!M398)</f>
        <v/>
      </c>
      <c r="N398" s="193" t="str">
        <f>IF('Observaciones-SMP'!N398="","",'Observaciones-SMP'!N398)</f>
        <v/>
      </c>
      <c r="O398" s="193" t="str">
        <f>IF('Observaciones-SMP'!O398="","",'Observaciones-SMP'!O398)</f>
        <v/>
      </c>
      <c r="P398" s="193" t="str">
        <f>IF('Observaciones-SMP'!P398="","",'Observaciones-SMP'!P398)</f>
        <v/>
      </c>
      <c r="Q398" s="257" t="str">
        <f>IF('Observaciones-SMP'!S398="","",'Observaciones-SMP'!S398)</f>
        <v/>
      </c>
      <c r="R398" s="193" t="str">
        <f>IF('Observaciones-SMP'!T398="","",'Observaciones-SMP'!T398)</f>
        <v/>
      </c>
      <c r="S398" s="193" t="str">
        <f>""</f>
        <v/>
      </c>
      <c r="T398" s="193" t="str">
        <f>""</f>
        <v/>
      </c>
      <c r="U398" s="193" t="str">
        <f t="shared" si="24"/>
        <v/>
      </c>
      <c r="V398" s="193" t="str">
        <f>""</f>
        <v/>
      </c>
      <c r="W398" s="193" t="str">
        <f>""</f>
        <v/>
      </c>
      <c r="X398" s="258" t="str">
        <f t="shared" si="25"/>
        <v/>
      </c>
      <c r="Y398" s="258" t="str">
        <f t="shared" si="26"/>
        <v/>
      </c>
      <c r="Z398" s="193" t="str">
        <f>IF(A398="","",IF(COUNTIF('Observaciones-SMP'!$A$2:$A$1001,A398)&gt;1,1,0))</f>
        <v/>
      </c>
      <c r="AA398" s="193" t="str">
        <f t="shared" si="27"/>
        <v/>
      </c>
    </row>
    <row r="399" spans="1:27" ht="13.5" customHeight="1" x14ac:dyDescent="0.3">
      <c r="A399" s="193" t="str">
        <f>IF('Observaciones-SMP'!A399="","",'Observaciones-SMP'!A399)</f>
        <v/>
      </c>
      <c r="B399" s="257" t="str">
        <f>IF('Observaciones-SMP'!B399="","",'Observaciones-SMP'!B399)</f>
        <v/>
      </c>
      <c r="C399" s="193" t="str">
        <f>IF('Observaciones-SMP'!C399="","",'Observaciones-SMP'!C399)</f>
        <v/>
      </c>
      <c r="D399" s="193" t="str">
        <f>IF('Observaciones-SMP'!D399="","",'Observaciones-SMP'!D399)</f>
        <v/>
      </c>
      <c r="E399" s="193" t="str">
        <f>IF('Observaciones-SMP'!E399="","",'Observaciones-SMP'!E399)</f>
        <v/>
      </c>
      <c r="F399" s="193" t="str">
        <f>IF('Observaciones-SMP'!F399="","",'Observaciones-SMP'!F399)</f>
        <v/>
      </c>
      <c r="G399" s="193" t="str">
        <f>IF('Observaciones-SMP'!G399="","",'Observaciones-SMP'!G399)</f>
        <v/>
      </c>
      <c r="H399" s="193" t="str">
        <f>IF('Observaciones-SMP'!H399="","",'Observaciones-SMP'!H399)</f>
        <v/>
      </c>
      <c r="I399" s="193" t="str">
        <f>IF('Observaciones-SMP'!I399="","",'Observaciones-SMP'!I399)</f>
        <v/>
      </c>
      <c r="J399" s="193" t="str">
        <f>IF('Observaciones-SMP'!J399="","",'Observaciones-SMP'!J399)</f>
        <v/>
      </c>
      <c r="K399" s="193" t="str">
        <f>IF('Observaciones-SMP'!K399="","",'Observaciones-SMP'!K399)</f>
        <v/>
      </c>
      <c r="L399" s="193" t="str">
        <f>IF('Observaciones-SMP'!L399="","",'Observaciones-SMP'!L399)</f>
        <v/>
      </c>
      <c r="M399" s="193" t="str">
        <f>IF('Observaciones-SMP'!M399="","",'Observaciones-SMP'!M399)</f>
        <v/>
      </c>
      <c r="N399" s="193" t="str">
        <f>IF('Observaciones-SMP'!N399="","",'Observaciones-SMP'!N399)</f>
        <v/>
      </c>
      <c r="O399" s="193" t="str">
        <f>IF('Observaciones-SMP'!O399="","",'Observaciones-SMP'!O399)</f>
        <v/>
      </c>
      <c r="P399" s="193" t="str">
        <f>IF('Observaciones-SMP'!P399="","",'Observaciones-SMP'!P399)</f>
        <v/>
      </c>
      <c r="Q399" s="257" t="str">
        <f>IF('Observaciones-SMP'!S399="","",'Observaciones-SMP'!S399)</f>
        <v/>
      </c>
      <c r="R399" s="193" t="str">
        <f>IF('Observaciones-SMP'!T399="","",'Observaciones-SMP'!T399)</f>
        <v/>
      </c>
      <c r="S399" s="193" t="str">
        <f>""</f>
        <v/>
      </c>
      <c r="T399" s="193" t="str">
        <f>""</f>
        <v/>
      </c>
      <c r="U399" s="193" t="str">
        <f t="shared" si="24"/>
        <v/>
      </c>
      <c r="V399" s="193" t="str">
        <f>""</f>
        <v/>
      </c>
      <c r="W399" s="193" t="str">
        <f>""</f>
        <v/>
      </c>
      <c r="X399" s="258" t="str">
        <f t="shared" si="25"/>
        <v/>
      </c>
      <c r="Y399" s="258" t="str">
        <f t="shared" si="26"/>
        <v/>
      </c>
      <c r="Z399" s="193" t="str">
        <f>IF(A399="","",IF(COUNTIF('Observaciones-SMP'!$A$2:$A$1001,A399)&gt;1,1,0))</f>
        <v/>
      </c>
      <c r="AA399" s="193" t="str">
        <f t="shared" si="27"/>
        <v/>
      </c>
    </row>
    <row r="400" spans="1:27" ht="13.5" customHeight="1" x14ac:dyDescent="0.3">
      <c r="A400" s="193" t="str">
        <f>IF('Observaciones-SMP'!A400="","",'Observaciones-SMP'!A400)</f>
        <v/>
      </c>
      <c r="B400" s="257" t="str">
        <f>IF('Observaciones-SMP'!B400="","",'Observaciones-SMP'!B400)</f>
        <v/>
      </c>
      <c r="C400" s="193" t="str">
        <f>IF('Observaciones-SMP'!C400="","",'Observaciones-SMP'!C400)</f>
        <v/>
      </c>
      <c r="D400" s="193" t="str">
        <f>IF('Observaciones-SMP'!D400="","",'Observaciones-SMP'!D400)</f>
        <v/>
      </c>
      <c r="E400" s="193" t="str">
        <f>IF('Observaciones-SMP'!E400="","",'Observaciones-SMP'!E400)</f>
        <v/>
      </c>
      <c r="F400" s="193" t="str">
        <f>IF('Observaciones-SMP'!F400="","",'Observaciones-SMP'!F400)</f>
        <v/>
      </c>
      <c r="G400" s="193" t="str">
        <f>IF('Observaciones-SMP'!G400="","",'Observaciones-SMP'!G400)</f>
        <v/>
      </c>
      <c r="H400" s="193" t="str">
        <f>IF('Observaciones-SMP'!H400="","",'Observaciones-SMP'!H400)</f>
        <v/>
      </c>
      <c r="I400" s="193" t="str">
        <f>IF('Observaciones-SMP'!I400="","",'Observaciones-SMP'!I400)</f>
        <v/>
      </c>
      <c r="J400" s="193" t="str">
        <f>IF('Observaciones-SMP'!J400="","",'Observaciones-SMP'!J400)</f>
        <v/>
      </c>
      <c r="K400" s="193" t="str">
        <f>IF('Observaciones-SMP'!K400="","",'Observaciones-SMP'!K400)</f>
        <v/>
      </c>
      <c r="L400" s="193" t="str">
        <f>IF('Observaciones-SMP'!L400="","",'Observaciones-SMP'!L400)</f>
        <v/>
      </c>
      <c r="M400" s="193" t="str">
        <f>IF('Observaciones-SMP'!M400="","",'Observaciones-SMP'!M400)</f>
        <v/>
      </c>
      <c r="N400" s="193" t="str">
        <f>IF('Observaciones-SMP'!N400="","",'Observaciones-SMP'!N400)</f>
        <v/>
      </c>
      <c r="O400" s="193" t="str">
        <f>IF('Observaciones-SMP'!O400="","",'Observaciones-SMP'!O400)</f>
        <v/>
      </c>
      <c r="P400" s="193" t="str">
        <f>IF('Observaciones-SMP'!P400="","",'Observaciones-SMP'!P400)</f>
        <v/>
      </c>
      <c r="Q400" s="257" t="str">
        <f>IF('Observaciones-SMP'!S400="","",'Observaciones-SMP'!S400)</f>
        <v/>
      </c>
      <c r="R400" s="193" t="str">
        <f>IF('Observaciones-SMP'!T400="","",'Observaciones-SMP'!T400)</f>
        <v/>
      </c>
      <c r="S400" s="193" t="str">
        <f>""</f>
        <v/>
      </c>
      <c r="T400" s="193" t="str">
        <f>""</f>
        <v/>
      </c>
      <c r="U400" s="193" t="str">
        <f t="shared" si="24"/>
        <v/>
      </c>
      <c r="V400" s="193" t="str">
        <f>""</f>
        <v/>
      </c>
      <c r="W400" s="193" t="str">
        <f>""</f>
        <v/>
      </c>
      <c r="X400" s="258" t="str">
        <f t="shared" si="25"/>
        <v/>
      </c>
      <c r="Y400" s="258" t="str">
        <f t="shared" si="26"/>
        <v/>
      </c>
      <c r="Z400" s="193" t="str">
        <f>IF(A400="","",IF(COUNTIF('Observaciones-SMP'!$A$2:$A$1001,A400)&gt;1,1,0))</f>
        <v/>
      </c>
      <c r="AA400" s="193" t="str">
        <f t="shared" si="27"/>
        <v/>
      </c>
    </row>
    <row r="401" spans="1:27" ht="13.5" customHeight="1" x14ac:dyDescent="0.3">
      <c r="A401" s="193" t="str">
        <f>IF('Observaciones-SMP'!A401="","",'Observaciones-SMP'!A401)</f>
        <v/>
      </c>
      <c r="B401" s="257" t="str">
        <f>IF('Observaciones-SMP'!B401="","",'Observaciones-SMP'!B401)</f>
        <v/>
      </c>
      <c r="C401" s="193" t="str">
        <f>IF('Observaciones-SMP'!C401="","",'Observaciones-SMP'!C401)</f>
        <v/>
      </c>
      <c r="D401" s="193" t="str">
        <f>IF('Observaciones-SMP'!D401="","",'Observaciones-SMP'!D401)</f>
        <v/>
      </c>
      <c r="E401" s="193" t="str">
        <f>IF('Observaciones-SMP'!E401="","",'Observaciones-SMP'!E401)</f>
        <v/>
      </c>
      <c r="F401" s="193" t="str">
        <f>IF('Observaciones-SMP'!F401="","",'Observaciones-SMP'!F401)</f>
        <v/>
      </c>
      <c r="G401" s="193" t="str">
        <f>IF('Observaciones-SMP'!G401="","",'Observaciones-SMP'!G401)</f>
        <v/>
      </c>
      <c r="H401" s="193" t="str">
        <f>IF('Observaciones-SMP'!H401="","",'Observaciones-SMP'!H401)</f>
        <v/>
      </c>
      <c r="I401" s="193" t="str">
        <f>IF('Observaciones-SMP'!I401="","",'Observaciones-SMP'!I401)</f>
        <v/>
      </c>
      <c r="J401" s="193" t="str">
        <f>IF('Observaciones-SMP'!J401="","",'Observaciones-SMP'!J401)</f>
        <v/>
      </c>
      <c r="K401" s="193" t="str">
        <f>IF('Observaciones-SMP'!K401="","",'Observaciones-SMP'!K401)</f>
        <v/>
      </c>
      <c r="L401" s="193" t="str">
        <f>IF('Observaciones-SMP'!L401="","",'Observaciones-SMP'!L401)</f>
        <v/>
      </c>
      <c r="M401" s="193" t="str">
        <f>IF('Observaciones-SMP'!M401="","",'Observaciones-SMP'!M401)</f>
        <v/>
      </c>
      <c r="N401" s="193" t="str">
        <f>IF('Observaciones-SMP'!N401="","",'Observaciones-SMP'!N401)</f>
        <v/>
      </c>
      <c r="O401" s="193" t="str">
        <f>IF('Observaciones-SMP'!O401="","",'Observaciones-SMP'!O401)</f>
        <v/>
      </c>
      <c r="P401" s="193" t="str">
        <f>IF('Observaciones-SMP'!P401="","",'Observaciones-SMP'!P401)</f>
        <v/>
      </c>
      <c r="Q401" s="257" t="str">
        <f>IF('Observaciones-SMP'!S401="","",'Observaciones-SMP'!S401)</f>
        <v/>
      </c>
      <c r="R401" s="193" t="str">
        <f>IF('Observaciones-SMP'!T401="","",'Observaciones-SMP'!T401)</f>
        <v/>
      </c>
      <c r="S401" s="193" t="str">
        <f>""</f>
        <v/>
      </c>
      <c r="T401" s="193" t="str">
        <f>""</f>
        <v/>
      </c>
      <c r="U401" s="193" t="str">
        <f t="shared" si="24"/>
        <v/>
      </c>
      <c r="V401" s="193" t="str">
        <f>""</f>
        <v/>
      </c>
      <c r="W401" s="193" t="str">
        <f>""</f>
        <v/>
      </c>
      <c r="X401" s="258" t="str">
        <f t="shared" si="25"/>
        <v/>
      </c>
      <c r="Y401" s="258" t="str">
        <f t="shared" si="26"/>
        <v/>
      </c>
      <c r="Z401" s="193" t="str">
        <f>IF(A401="","",IF(COUNTIF('Observaciones-SMP'!$A$2:$A$1001,A401)&gt;1,1,0))</f>
        <v/>
      </c>
      <c r="AA401" s="193" t="str">
        <f t="shared" si="27"/>
        <v/>
      </c>
    </row>
    <row r="402" spans="1:27" ht="13.5" customHeight="1" x14ac:dyDescent="0.3">
      <c r="A402" s="193" t="str">
        <f>IF('Observaciones-SMP'!A402="","",'Observaciones-SMP'!A402)</f>
        <v/>
      </c>
      <c r="B402" s="257" t="str">
        <f>IF('Observaciones-SMP'!B402="","",'Observaciones-SMP'!B402)</f>
        <v/>
      </c>
      <c r="C402" s="193" t="str">
        <f>IF('Observaciones-SMP'!C402="","",'Observaciones-SMP'!C402)</f>
        <v/>
      </c>
      <c r="D402" s="193" t="str">
        <f>IF('Observaciones-SMP'!D402="","",'Observaciones-SMP'!D402)</f>
        <v/>
      </c>
      <c r="E402" s="193" t="str">
        <f>IF('Observaciones-SMP'!E402="","",'Observaciones-SMP'!E402)</f>
        <v/>
      </c>
      <c r="F402" s="193" t="str">
        <f>IF('Observaciones-SMP'!F402="","",'Observaciones-SMP'!F402)</f>
        <v/>
      </c>
      <c r="G402" s="193" t="str">
        <f>IF('Observaciones-SMP'!G402="","",'Observaciones-SMP'!G402)</f>
        <v/>
      </c>
      <c r="H402" s="193" t="str">
        <f>IF('Observaciones-SMP'!H402="","",'Observaciones-SMP'!H402)</f>
        <v/>
      </c>
      <c r="I402" s="193" t="str">
        <f>IF('Observaciones-SMP'!I402="","",'Observaciones-SMP'!I402)</f>
        <v/>
      </c>
      <c r="J402" s="193" t="str">
        <f>IF('Observaciones-SMP'!J402="","",'Observaciones-SMP'!J402)</f>
        <v/>
      </c>
      <c r="K402" s="193" t="str">
        <f>IF('Observaciones-SMP'!K402="","",'Observaciones-SMP'!K402)</f>
        <v/>
      </c>
      <c r="L402" s="193" t="str">
        <f>IF('Observaciones-SMP'!L402="","",'Observaciones-SMP'!L402)</f>
        <v/>
      </c>
      <c r="M402" s="193" t="str">
        <f>IF('Observaciones-SMP'!M402="","",'Observaciones-SMP'!M402)</f>
        <v/>
      </c>
      <c r="N402" s="193" t="str">
        <f>IF('Observaciones-SMP'!N402="","",'Observaciones-SMP'!N402)</f>
        <v/>
      </c>
      <c r="O402" s="193" t="str">
        <f>IF('Observaciones-SMP'!O402="","",'Observaciones-SMP'!O402)</f>
        <v/>
      </c>
      <c r="P402" s="193" t="str">
        <f>IF('Observaciones-SMP'!P402="","",'Observaciones-SMP'!P402)</f>
        <v/>
      </c>
      <c r="Q402" s="257" t="str">
        <f>IF('Observaciones-SMP'!S402="","",'Observaciones-SMP'!S402)</f>
        <v/>
      </c>
      <c r="R402" s="193" t="str">
        <f>IF('Observaciones-SMP'!T402="","",'Observaciones-SMP'!T402)</f>
        <v/>
      </c>
      <c r="S402" s="193" t="str">
        <f>""</f>
        <v/>
      </c>
      <c r="T402" s="193" t="str">
        <f>""</f>
        <v/>
      </c>
      <c r="U402" s="193" t="str">
        <f t="shared" si="24"/>
        <v/>
      </c>
      <c r="V402" s="193" t="str">
        <f>""</f>
        <v/>
      </c>
      <c r="W402" s="193" t="str">
        <f>""</f>
        <v/>
      </c>
      <c r="X402" s="258" t="str">
        <f t="shared" si="25"/>
        <v/>
      </c>
      <c r="Y402" s="258" t="str">
        <f t="shared" si="26"/>
        <v/>
      </c>
      <c r="Z402" s="193" t="str">
        <f>IF(A402="","",IF(COUNTIF('Observaciones-SMP'!$A$2:$A$1001,A402)&gt;1,1,0))</f>
        <v/>
      </c>
      <c r="AA402" s="193" t="str">
        <f t="shared" si="27"/>
        <v/>
      </c>
    </row>
    <row r="403" spans="1:27" ht="13.5" customHeight="1" x14ac:dyDescent="0.3">
      <c r="A403" s="193" t="str">
        <f>IF('Observaciones-SMP'!A403="","",'Observaciones-SMP'!A403)</f>
        <v/>
      </c>
      <c r="B403" s="257" t="str">
        <f>IF('Observaciones-SMP'!B403="","",'Observaciones-SMP'!B403)</f>
        <v/>
      </c>
      <c r="C403" s="193" t="str">
        <f>IF('Observaciones-SMP'!C403="","",'Observaciones-SMP'!C403)</f>
        <v/>
      </c>
      <c r="D403" s="193" t="str">
        <f>IF('Observaciones-SMP'!D403="","",'Observaciones-SMP'!D403)</f>
        <v/>
      </c>
      <c r="E403" s="193" t="str">
        <f>IF('Observaciones-SMP'!E403="","",'Observaciones-SMP'!E403)</f>
        <v/>
      </c>
      <c r="F403" s="193" t="str">
        <f>IF('Observaciones-SMP'!F403="","",'Observaciones-SMP'!F403)</f>
        <v/>
      </c>
      <c r="G403" s="193" t="str">
        <f>IF('Observaciones-SMP'!G403="","",'Observaciones-SMP'!G403)</f>
        <v/>
      </c>
      <c r="H403" s="193" t="str">
        <f>IF('Observaciones-SMP'!H403="","",'Observaciones-SMP'!H403)</f>
        <v/>
      </c>
      <c r="I403" s="193" t="str">
        <f>IF('Observaciones-SMP'!I403="","",'Observaciones-SMP'!I403)</f>
        <v/>
      </c>
      <c r="J403" s="193" t="str">
        <f>IF('Observaciones-SMP'!J403="","",'Observaciones-SMP'!J403)</f>
        <v/>
      </c>
      <c r="K403" s="193" t="str">
        <f>IF('Observaciones-SMP'!K403="","",'Observaciones-SMP'!K403)</f>
        <v/>
      </c>
      <c r="L403" s="193" t="str">
        <f>IF('Observaciones-SMP'!L403="","",'Observaciones-SMP'!L403)</f>
        <v/>
      </c>
      <c r="M403" s="193" t="str">
        <f>IF('Observaciones-SMP'!M403="","",'Observaciones-SMP'!M403)</f>
        <v/>
      </c>
      <c r="N403" s="193" t="str">
        <f>IF('Observaciones-SMP'!N403="","",'Observaciones-SMP'!N403)</f>
        <v/>
      </c>
      <c r="O403" s="193" t="str">
        <f>IF('Observaciones-SMP'!O403="","",'Observaciones-SMP'!O403)</f>
        <v/>
      </c>
      <c r="P403" s="193" t="str">
        <f>IF('Observaciones-SMP'!P403="","",'Observaciones-SMP'!P403)</f>
        <v/>
      </c>
      <c r="Q403" s="257" t="str">
        <f>IF('Observaciones-SMP'!S403="","",'Observaciones-SMP'!S403)</f>
        <v/>
      </c>
      <c r="R403" s="193" t="str">
        <f>IF('Observaciones-SMP'!T403="","",'Observaciones-SMP'!T403)</f>
        <v/>
      </c>
      <c r="S403" s="193" t="str">
        <f>""</f>
        <v/>
      </c>
      <c r="T403" s="193" t="str">
        <f>""</f>
        <v/>
      </c>
      <c r="U403" s="193" t="str">
        <f t="shared" si="24"/>
        <v/>
      </c>
      <c r="V403" s="193" t="str">
        <f>""</f>
        <v/>
      </c>
      <c r="W403" s="193" t="str">
        <f>""</f>
        <v/>
      </c>
      <c r="X403" s="258" t="str">
        <f t="shared" si="25"/>
        <v/>
      </c>
      <c r="Y403" s="258" t="str">
        <f t="shared" si="26"/>
        <v/>
      </c>
      <c r="Z403" s="193" t="str">
        <f>IF(A403="","",IF(COUNTIF('Observaciones-SMP'!$A$2:$A$1001,A403)&gt;1,1,0))</f>
        <v/>
      </c>
      <c r="AA403" s="193" t="str">
        <f t="shared" si="27"/>
        <v/>
      </c>
    </row>
    <row r="404" spans="1:27" ht="13.5" customHeight="1" x14ac:dyDescent="0.3">
      <c r="A404" s="193" t="str">
        <f>IF('Observaciones-SMP'!A404="","",'Observaciones-SMP'!A404)</f>
        <v/>
      </c>
      <c r="B404" s="257" t="str">
        <f>IF('Observaciones-SMP'!B404="","",'Observaciones-SMP'!B404)</f>
        <v/>
      </c>
      <c r="C404" s="193" t="str">
        <f>IF('Observaciones-SMP'!C404="","",'Observaciones-SMP'!C404)</f>
        <v/>
      </c>
      <c r="D404" s="193" t="str">
        <f>IF('Observaciones-SMP'!D404="","",'Observaciones-SMP'!D404)</f>
        <v/>
      </c>
      <c r="E404" s="193" t="str">
        <f>IF('Observaciones-SMP'!E404="","",'Observaciones-SMP'!E404)</f>
        <v/>
      </c>
      <c r="F404" s="193" t="str">
        <f>IF('Observaciones-SMP'!F404="","",'Observaciones-SMP'!F404)</f>
        <v/>
      </c>
      <c r="G404" s="193" t="str">
        <f>IF('Observaciones-SMP'!G404="","",'Observaciones-SMP'!G404)</f>
        <v/>
      </c>
      <c r="H404" s="193" t="str">
        <f>IF('Observaciones-SMP'!H404="","",'Observaciones-SMP'!H404)</f>
        <v/>
      </c>
      <c r="I404" s="193" t="str">
        <f>IF('Observaciones-SMP'!I404="","",'Observaciones-SMP'!I404)</f>
        <v/>
      </c>
      <c r="J404" s="193" t="str">
        <f>IF('Observaciones-SMP'!J404="","",'Observaciones-SMP'!J404)</f>
        <v/>
      </c>
      <c r="K404" s="193" t="str">
        <f>IF('Observaciones-SMP'!K404="","",'Observaciones-SMP'!K404)</f>
        <v/>
      </c>
      <c r="L404" s="193" t="str">
        <f>IF('Observaciones-SMP'!L404="","",'Observaciones-SMP'!L404)</f>
        <v/>
      </c>
      <c r="M404" s="193" t="str">
        <f>IF('Observaciones-SMP'!M404="","",'Observaciones-SMP'!M404)</f>
        <v/>
      </c>
      <c r="N404" s="193" t="str">
        <f>IF('Observaciones-SMP'!N404="","",'Observaciones-SMP'!N404)</f>
        <v/>
      </c>
      <c r="O404" s="193" t="str">
        <f>IF('Observaciones-SMP'!O404="","",'Observaciones-SMP'!O404)</f>
        <v/>
      </c>
      <c r="P404" s="193" t="str">
        <f>IF('Observaciones-SMP'!P404="","",'Observaciones-SMP'!P404)</f>
        <v/>
      </c>
      <c r="Q404" s="257" t="str">
        <f>IF('Observaciones-SMP'!S404="","",'Observaciones-SMP'!S404)</f>
        <v/>
      </c>
      <c r="R404" s="193" t="str">
        <f>IF('Observaciones-SMP'!T404="","",'Observaciones-SMP'!T404)</f>
        <v/>
      </c>
      <c r="S404" s="193" t="str">
        <f>""</f>
        <v/>
      </c>
      <c r="T404" s="193" t="str">
        <f>""</f>
        <v/>
      </c>
      <c r="U404" s="193" t="str">
        <f t="shared" si="24"/>
        <v/>
      </c>
      <c r="V404" s="193" t="str">
        <f>""</f>
        <v/>
      </c>
      <c r="W404" s="193" t="str">
        <f>""</f>
        <v/>
      </c>
      <c r="X404" s="258" t="str">
        <f t="shared" si="25"/>
        <v/>
      </c>
      <c r="Y404" s="258" t="str">
        <f t="shared" si="26"/>
        <v/>
      </c>
      <c r="Z404" s="193" t="str">
        <f>IF(A404="","",IF(COUNTIF('Observaciones-SMP'!$A$2:$A$1001,A404)&gt;1,1,0))</f>
        <v/>
      </c>
      <c r="AA404" s="193" t="str">
        <f t="shared" si="27"/>
        <v/>
      </c>
    </row>
    <row r="405" spans="1:27" ht="13.5" customHeight="1" x14ac:dyDescent="0.3">
      <c r="A405" s="193" t="str">
        <f>IF('Observaciones-SMP'!A405="","",'Observaciones-SMP'!A405)</f>
        <v/>
      </c>
      <c r="B405" s="257" t="str">
        <f>IF('Observaciones-SMP'!B405="","",'Observaciones-SMP'!B405)</f>
        <v/>
      </c>
      <c r="C405" s="193" t="str">
        <f>IF('Observaciones-SMP'!C405="","",'Observaciones-SMP'!C405)</f>
        <v/>
      </c>
      <c r="D405" s="193" t="str">
        <f>IF('Observaciones-SMP'!D405="","",'Observaciones-SMP'!D405)</f>
        <v/>
      </c>
      <c r="E405" s="193" t="str">
        <f>IF('Observaciones-SMP'!E405="","",'Observaciones-SMP'!E405)</f>
        <v/>
      </c>
      <c r="F405" s="193" t="str">
        <f>IF('Observaciones-SMP'!F405="","",'Observaciones-SMP'!F405)</f>
        <v/>
      </c>
      <c r="G405" s="193" t="str">
        <f>IF('Observaciones-SMP'!G405="","",'Observaciones-SMP'!G405)</f>
        <v/>
      </c>
      <c r="H405" s="193" t="str">
        <f>IF('Observaciones-SMP'!H405="","",'Observaciones-SMP'!H405)</f>
        <v/>
      </c>
      <c r="I405" s="193" t="str">
        <f>IF('Observaciones-SMP'!I405="","",'Observaciones-SMP'!I405)</f>
        <v/>
      </c>
      <c r="J405" s="193" t="str">
        <f>IF('Observaciones-SMP'!J405="","",'Observaciones-SMP'!J405)</f>
        <v/>
      </c>
      <c r="K405" s="193" t="str">
        <f>IF('Observaciones-SMP'!K405="","",'Observaciones-SMP'!K405)</f>
        <v/>
      </c>
      <c r="L405" s="193" t="str">
        <f>IF('Observaciones-SMP'!L405="","",'Observaciones-SMP'!L405)</f>
        <v/>
      </c>
      <c r="M405" s="193" t="str">
        <f>IF('Observaciones-SMP'!M405="","",'Observaciones-SMP'!M405)</f>
        <v/>
      </c>
      <c r="N405" s="193" t="str">
        <f>IF('Observaciones-SMP'!N405="","",'Observaciones-SMP'!N405)</f>
        <v/>
      </c>
      <c r="O405" s="193" t="str">
        <f>IF('Observaciones-SMP'!O405="","",'Observaciones-SMP'!O405)</f>
        <v/>
      </c>
      <c r="P405" s="193" t="str">
        <f>IF('Observaciones-SMP'!P405="","",'Observaciones-SMP'!P405)</f>
        <v/>
      </c>
      <c r="Q405" s="257" t="str">
        <f>IF('Observaciones-SMP'!S405="","",'Observaciones-SMP'!S405)</f>
        <v/>
      </c>
      <c r="R405" s="193" t="str">
        <f>IF('Observaciones-SMP'!T405="","",'Observaciones-SMP'!T405)</f>
        <v/>
      </c>
      <c r="S405" s="193" t="str">
        <f>""</f>
        <v/>
      </c>
      <c r="T405" s="193" t="str">
        <f>""</f>
        <v/>
      </c>
      <c r="U405" s="193" t="str">
        <f t="shared" si="24"/>
        <v/>
      </c>
      <c r="V405" s="193" t="str">
        <f>""</f>
        <v/>
      </c>
      <c r="W405" s="193" t="str">
        <f>""</f>
        <v/>
      </c>
      <c r="X405" s="258" t="str">
        <f t="shared" si="25"/>
        <v/>
      </c>
      <c r="Y405" s="258" t="str">
        <f t="shared" si="26"/>
        <v/>
      </c>
      <c r="Z405" s="193" t="str">
        <f>IF(A405="","",IF(COUNTIF('Observaciones-SMP'!$A$2:$A$1001,A405)&gt;1,1,0))</f>
        <v/>
      </c>
      <c r="AA405" s="193" t="str">
        <f t="shared" si="27"/>
        <v/>
      </c>
    </row>
    <row r="406" spans="1:27" ht="13.5" customHeight="1" x14ac:dyDescent="0.3">
      <c r="A406" s="193" t="str">
        <f>IF('Observaciones-SMP'!A406="","",'Observaciones-SMP'!A406)</f>
        <v/>
      </c>
      <c r="B406" s="257" t="str">
        <f>IF('Observaciones-SMP'!B406="","",'Observaciones-SMP'!B406)</f>
        <v/>
      </c>
      <c r="C406" s="193" t="str">
        <f>IF('Observaciones-SMP'!C406="","",'Observaciones-SMP'!C406)</f>
        <v/>
      </c>
      <c r="D406" s="193" t="str">
        <f>IF('Observaciones-SMP'!D406="","",'Observaciones-SMP'!D406)</f>
        <v/>
      </c>
      <c r="E406" s="193" t="str">
        <f>IF('Observaciones-SMP'!E406="","",'Observaciones-SMP'!E406)</f>
        <v/>
      </c>
      <c r="F406" s="193" t="str">
        <f>IF('Observaciones-SMP'!F406="","",'Observaciones-SMP'!F406)</f>
        <v/>
      </c>
      <c r="G406" s="193" t="str">
        <f>IF('Observaciones-SMP'!G406="","",'Observaciones-SMP'!G406)</f>
        <v/>
      </c>
      <c r="H406" s="193" t="str">
        <f>IF('Observaciones-SMP'!H406="","",'Observaciones-SMP'!H406)</f>
        <v/>
      </c>
      <c r="I406" s="193" t="str">
        <f>IF('Observaciones-SMP'!I406="","",'Observaciones-SMP'!I406)</f>
        <v/>
      </c>
      <c r="J406" s="193" t="str">
        <f>IF('Observaciones-SMP'!J406="","",'Observaciones-SMP'!J406)</f>
        <v/>
      </c>
      <c r="K406" s="193" t="str">
        <f>IF('Observaciones-SMP'!K406="","",'Observaciones-SMP'!K406)</f>
        <v/>
      </c>
      <c r="L406" s="193" t="str">
        <f>IF('Observaciones-SMP'!L406="","",'Observaciones-SMP'!L406)</f>
        <v/>
      </c>
      <c r="M406" s="193" t="str">
        <f>IF('Observaciones-SMP'!M406="","",'Observaciones-SMP'!M406)</f>
        <v/>
      </c>
      <c r="N406" s="193" t="str">
        <f>IF('Observaciones-SMP'!N406="","",'Observaciones-SMP'!N406)</f>
        <v/>
      </c>
      <c r="O406" s="193" t="str">
        <f>IF('Observaciones-SMP'!O406="","",'Observaciones-SMP'!O406)</f>
        <v/>
      </c>
      <c r="P406" s="193" t="str">
        <f>IF('Observaciones-SMP'!P406="","",'Observaciones-SMP'!P406)</f>
        <v/>
      </c>
      <c r="Q406" s="257" t="str">
        <f>IF('Observaciones-SMP'!S406="","",'Observaciones-SMP'!S406)</f>
        <v/>
      </c>
      <c r="R406" s="193" t="str">
        <f>IF('Observaciones-SMP'!T406="","",'Observaciones-SMP'!T406)</f>
        <v/>
      </c>
      <c r="S406" s="193" t="str">
        <f>""</f>
        <v/>
      </c>
      <c r="T406" s="193" t="str">
        <f>""</f>
        <v/>
      </c>
      <c r="U406" s="193" t="str">
        <f t="shared" si="24"/>
        <v/>
      </c>
      <c r="V406" s="193" t="str">
        <f>""</f>
        <v/>
      </c>
      <c r="W406" s="193" t="str">
        <f>""</f>
        <v/>
      </c>
      <c r="X406" s="258" t="str">
        <f t="shared" si="25"/>
        <v/>
      </c>
      <c r="Y406" s="258" t="str">
        <f t="shared" si="26"/>
        <v/>
      </c>
      <c r="Z406" s="193" t="str">
        <f>IF(A406="","",IF(COUNTIF('Observaciones-SMP'!$A$2:$A$1001,A406)&gt;1,1,0))</f>
        <v/>
      </c>
      <c r="AA406" s="193" t="str">
        <f t="shared" si="27"/>
        <v/>
      </c>
    </row>
    <row r="407" spans="1:27" ht="13.5" customHeight="1" x14ac:dyDescent="0.3">
      <c r="A407" s="193" t="str">
        <f>IF('Observaciones-SMP'!A407="","",'Observaciones-SMP'!A407)</f>
        <v/>
      </c>
      <c r="B407" s="257" t="str">
        <f>IF('Observaciones-SMP'!B407="","",'Observaciones-SMP'!B407)</f>
        <v/>
      </c>
      <c r="C407" s="193" t="str">
        <f>IF('Observaciones-SMP'!C407="","",'Observaciones-SMP'!C407)</f>
        <v/>
      </c>
      <c r="D407" s="193" t="str">
        <f>IF('Observaciones-SMP'!D407="","",'Observaciones-SMP'!D407)</f>
        <v/>
      </c>
      <c r="E407" s="193" t="str">
        <f>IF('Observaciones-SMP'!E407="","",'Observaciones-SMP'!E407)</f>
        <v/>
      </c>
      <c r="F407" s="193" t="str">
        <f>IF('Observaciones-SMP'!F407="","",'Observaciones-SMP'!F407)</f>
        <v/>
      </c>
      <c r="G407" s="193" t="str">
        <f>IF('Observaciones-SMP'!G407="","",'Observaciones-SMP'!G407)</f>
        <v/>
      </c>
      <c r="H407" s="193" t="str">
        <f>IF('Observaciones-SMP'!H407="","",'Observaciones-SMP'!H407)</f>
        <v/>
      </c>
      <c r="I407" s="193" t="str">
        <f>IF('Observaciones-SMP'!I407="","",'Observaciones-SMP'!I407)</f>
        <v/>
      </c>
      <c r="J407" s="193" t="str">
        <f>IF('Observaciones-SMP'!J407="","",'Observaciones-SMP'!J407)</f>
        <v/>
      </c>
      <c r="K407" s="193" t="str">
        <f>IF('Observaciones-SMP'!K407="","",'Observaciones-SMP'!K407)</f>
        <v/>
      </c>
      <c r="L407" s="193" t="str">
        <f>IF('Observaciones-SMP'!L407="","",'Observaciones-SMP'!L407)</f>
        <v/>
      </c>
      <c r="M407" s="193" t="str">
        <f>IF('Observaciones-SMP'!M407="","",'Observaciones-SMP'!M407)</f>
        <v/>
      </c>
      <c r="N407" s="193" t="str">
        <f>IF('Observaciones-SMP'!N407="","",'Observaciones-SMP'!N407)</f>
        <v/>
      </c>
      <c r="O407" s="193" t="str">
        <f>IF('Observaciones-SMP'!O407="","",'Observaciones-SMP'!O407)</f>
        <v/>
      </c>
      <c r="P407" s="193" t="str">
        <f>IF('Observaciones-SMP'!P407="","",'Observaciones-SMP'!P407)</f>
        <v/>
      </c>
      <c r="Q407" s="257" t="str">
        <f>IF('Observaciones-SMP'!S407="","",'Observaciones-SMP'!S407)</f>
        <v/>
      </c>
      <c r="R407" s="193" t="str">
        <f>IF('Observaciones-SMP'!T407="","",'Observaciones-SMP'!T407)</f>
        <v/>
      </c>
      <c r="S407" s="193" t="str">
        <f>""</f>
        <v/>
      </c>
      <c r="T407" s="193" t="str">
        <f>""</f>
        <v/>
      </c>
      <c r="U407" s="193" t="str">
        <f t="shared" si="24"/>
        <v/>
      </c>
      <c r="V407" s="193" t="str">
        <f>""</f>
        <v/>
      </c>
      <c r="W407" s="193" t="str">
        <f>""</f>
        <v/>
      </c>
      <c r="X407" s="258" t="str">
        <f t="shared" si="25"/>
        <v/>
      </c>
      <c r="Y407" s="258" t="str">
        <f t="shared" si="26"/>
        <v/>
      </c>
      <c r="Z407" s="193" t="str">
        <f>IF(A407="","",IF(COUNTIF('Observaciones-SMP'!$A$2:$A$1001,A407)&gt;1,1,0))</f>
        <v/>
      </c>
      <c r="AA407" s="193" t="str">
        <f t="shared" si="27"/>
        <v/>
      </c>
    </row>
    <row r="408" spans="1:27" ht="13.5" customHeight="1" x14ac:dyDescent="0.3">
      <c r="A408" s="193" t="str">
        <f>IF('Observaciones-SMP'!A408="","",'Observaciones-SMP'!A408)</f>
        <v/>
      </c>
      <c r="B408" s="257" t="str">
        <f>IF('Observaciones-SMP'!B408="","",'Observaciones-SMP'!B408)</f>
        <v/>
      </c>
      <c r="C408" s="193" t="str">
        <f>IF('Observaciones-SMP'!C408="","",'Observaciones-SMP'!C408)</f>
        <v/>
      </c>
      <c r="D408" s="193" t="str">
        <f>IF('Observaciones-SMP'!D408="","",'Observaciones-SMP'!D408)</f>
        <v/>
      </c>
      <c r="E408" s="193" t="str">
        <f>IF('Observaciones-SMP'!E408="","",'Observaciones-SMP'!E408)</f>
        <v/>
      </c>
      <c r="F408" s="193" t="str">
        <f>IF('Observaciones-SMP'!F408="","",'Observaciones-SMP'!F408)</f>
        <v/>
      </c>
      <c r="G408" s="193" t="str">
        <f>IF('Observaciones-SMP'!G408="","",'Observaciones-SMP'!G408)</f>
        <v/>
      </c>
      <c r="H408" s="193" t="str">
        <f>IF('Observaciones-SMP'!H408="","",'Observaciones-SMP'!H408)</f>
        <v/>
      </c>
      <c r="I408" s="193" t="str">
        <f>IF('Observaciones-SMP'!I408="","",'Observaciones-SMP'!I408)</f>
        <v/>
      </c>
      <c r="J408" s="193" t="str">
        <f>IF('Observaciones-SMP'!J408="","",'Observaciones-SMP'!J408)</f>
        <v/>
      </c>
      <c r="K408" s="193" t="str">
        <f>IF('Observaciones-SMP'!K408="","",'Observaciones-SMP'!K408)</f>
        <v/>
      </c>
      <c r="L408" s="193" t="str">
        <f>IF('Observaciones-SMP'!L408="","",'Observaciones-SMP'!L408)</f>
        <v/>
      </c>
      <c r="M408" s="193" t="str">
        <f>IF('Observaciones-SMP'!M408="","",'Observaciones-SMP'!M408)</f>
        <v/>
      </c>
      <c r="N408" s="193" t="str">
        <f>IF('Observaciones-SMP'!N408="","",'Observaciones-SMP'!N408)</f>
        <v/>
      </c>
      <c r="O408" s="193" t="str">
        <f>IF('Observaciones-SMP'!O408="","",'Observaciones-SMP'!O408)</f>
        <v/>
      </c>
      <c r="P408" s="193" t="str">
        <f>IF('Observaciones-SMP'!P408="","",'Observaciones-SMP'!P408)</f>
        <v/>
      </c>
      <c r="Q408" s="257" t="str">
        <f>IF('Observaciones-SMP'!S408="","",'Observaciones-SMP'!S408)</f>
        <v/>
      </c>
      <c r="R408" s="193" t="str">
        <f>IF('Observaciones-SMP'!T408="","",'Observaciones-SMP'!T408)</f>
        <v/>
      </c>
      <c r="S408" s="193" t="str">
        <f>""</f>
        <v/>
      </c>
      <c r="T408" s="193" t="str">
        <f>""</f>
        <v/>
      </c>
      <c r="U408" s="193" t="str">
        <f t="shared" si="24"/>
        <v/>
      </c>
      <c r="V408" s="193" t="str">
        <f>""</f>
        <v/>
      </c>
      <c r="W408" s="193" t="str">
        <f>""</f>
        <v/>
      </c>
      <c r="X408" s="258" t="str">
        <f t="shared" si="25"/>
        <v/>
      </c>
      <c r="Y408" s="258" t="str">
        <f t="shared" si="26"/>
        <v/>
      </c>
      <c r="Z408" s="193" t="str">
        <f>IF(A408="","",IF(COUNTIF('Observaciones-SMP'!$A$2:$A$1001,A408)&gt;1,1,0))</f>
        <v/>
      </c>
      <c r="AA408" s="193" t="str">
        <f t="shared" si="27"/>
        <v/>
      </c>
    </row>
    <row r="409" spans="1:27" ht="13.5" customHeight="1" x14ac:dyDescent="0.3">
      <c r="A409" s="193" t="str">
        <f>IF('Observaciones-SMP'!A409="","",'Observaciones-SMP'!A409)</f>
        <v/>
      </c>
      <c r="B409" s="257" t="str">
        <f>IF('Observaciones-SMP'!B409="","",'Observaciones-SMP'!B409)</f>
        <v/>
      </c>
      <c r="C409" s="193" t="str">
        <f>IF('Observaciones-SMP'!C409="","",'Observaciones-SMP'!C409)</f>
        <v/>
      </c>
      <c r="D409" s="193" t="str">
        <f>IF('Observaciones-SMP'!D409="","",'Observaciones-SMP'!D409)</f>
        <v/>
      </c>
      <c r="E409" s="193" t="str">
        <f>IF('Observaciones-SMP'!E409="","",'Observaciones-SMP'!E409)</f>
        <v/>
      </c>
      <c r="F409" s="193" t="str">
        <f>IF('Observaciones-SMP'!F409="","",'Observaciones-SMP'!F409)</f>
        <v/>
      </c>
      <c r="G409" s="193" t="str">
        <f>IF('Observaciones-SMP'!G409="","",'Observaciones-SMP'!G409)</f>
        <v/>
      </c>
      <c r="H409" s="193" t="str">
        <f>IF('Observaciones-SMP'!H409="","",'Observaciones-SMP'!H409)</f>
        <v/>
      </c>
      <c r="I409" s="193" t="str">
        <f>IF('Observaciones-SMP'!I409="","",'Observaciones-SMP'!I409)</f>
        <v/>
      </c>
      <c r="J409" s="193" t="str">
        <f>IF('Observaciones-SMP'!J409="","",'Observaciones-SMP'!J409)</f>
        <v/>
      </c>
      <c r="K409" s="193" t="str">
        <f>IF('Observaciones-SMP'!K409="","",'Observaciones-SMP'!K409)</f>
        <v/>
      </c>
      <c r="L409" s="193" t="str">
        <f>IF('Observaciones-SMP'!L409="","",'Observaciones-SMP'!L409)</f>
        <v/>
      </c>
      <c r="M409" s="193" t="str">
        <f>IF('Observaciones-SMP'!M409="","",'Observaciones-SMP'!M409)</f>
        <v/>
      </c>
      <c r="N409" s="193" t="str">
        <f>IF('Observaciones-SMP'!N409="","",'Observaciones-SMP'!N409)</f>
        <v/>
      </c>
      <c r="O409" s="193" t="str">
        <f>IF('Observaciones-SMP'!O409="","",'Observaciones-SMP'!O409)</f>
        <v/>
      </c>
      <c r="P409" s="193" t="str">
        <f>IF('Observaciones-SMP'!P409="","",'Observaciones-SMP'!P409)</f>
        <v/>
      </c>
      <c r="Q409" s="257" t="str">
        <f>IF('Observaciones-SMP'!S409="","",'Observaciones-SMP'!S409)</f>
        <v/>
      </c>
      <c r="R409" s="193" t="str">
        <f>IF('Observaciones-SMP'!T409="","",'Observaciones-SMP'!T409)</f>
        <v/>
      </c>
      <c r="S409" s="193" t="str">
        <f>""</f>
        <v/>
      </c>
      <c r="T409" s="193" t="str">
        <f>""</f>
        <v/>
      </c>
      <c r="U409" s="193" t="str">
        <f t="shared" si="24"/>
        <v/>
      </c>
      <c r="V409" s="193" t="str">
        <f>""</f>
        <v/>
      </c>
      <c r="W409" s="193" t="str">
        <f>""</f>
        <v/>
      </c>
      <c r="X409" s="258" t="str">
        <f t="shared" si="25"/>
        <v/>
      </c>
      <c r="Y409" s="258" t="str">
        <f t="shared" si="26"/>
        <v/>
      </c>
      <c r="Z409" s="193" t="str">
        <f>IF(A409="","",IF(COUNTIF('Observaciones-SMP'!$A$2:$A$1001,A409)&gt;1,1,0))</f>
        <v/>
      </c>
      <c r="AA409" s="193" t="str">
        <f t="shared" si="27"/>
        <v/>
      </c>
    </row>
    <row r="410" spans="1:27" ht="13.5" customHeight="1" x14ac:dyDescent="0.3">
      <c r="A410" s="193" t="str">
        <f>IF('Observaciones-SMP'!A410="","",'Observaciones-SMP'!A410)</f>
        <v/>
      </c>
      <c r="B410" s="257" t="str">
        <f>IF('Observaciones-SMP'!B410="","",'Observaciones-SMP'!B410)</f>
        <v/>
      </c>
      <c r="C410" s="193" t="str">
        <f>IF('Observaciones-SMP'!C410="","",'Observaciones-SMP'!C410)</f>
        <v/>
      </c>
      <c r="D410" s="193" t="str">
        <f>IF('Observaciones-SMP'!D410="","",'Observaciones-SMP'!D410)</f>
        <v/>
      </c>
      <c r="E410" s="193" t="str">
        <f>IF('Observaciones-SMP'!E410="","",'Observaciones-SMP'!E410)</f>
        <v/>
      </c>
      <c r="F410" s="193" t="str">
        <f>IF('Observaciones-SMP'!F410="","",'Observaciones-SMP'!F410)</f>
        <v/>
      </c>
      <c r="G410" s="193" t="str">
        <f>IF('Observaciones-SMP'!G410="","",'Observaciones-SMP'!G410)</f>
        <v/>
      </c>
      <c r="H410" s="193" t="str">
        <f>IF('Observaciones-SMP'!H410="","",'Observaciones-SMP'!H410)</f>
        <v/>
      </c>
      <c r="I410" s="193" t="str">
        <f>IF('Observaciones-SMP'!I410="","",'Observaciones-SMP'!I410)</f>
        <v/>
      </c>
      <c r="J410" s="193" t="str">
        <f>IF('Observaciones-SMP'!J410="","",'Observaciones-SMP'!J410)</f>
        <v/>
      </c>
      <c r="K410" s="193" t="str">
        <f>IF('Observaciones-SMP'!K410="","",'Observaciones-SMP'!K410)</f>
        <v/>
      </c>
      <c r="L410" s="193" t="str">
        <f>IF('Observaciones-SMP'!L410="","",'Observaciones-SMP'!L410)</f>
        <v/>
      </c>
      <c r="M410" s="193" t="str">
        <f>IF('Observaciones-SMP'!M410="","",'Observaciones-SMP'!M410)</f>
        <v/>
      </c>
      <c r="N410" s="193" t="str">
        <f>IF('Observaciones-SMP'!N410="","",'Observaciones-SMP'!N410)</f>
        <v/>
      </c>
      <c r="O410" s="193" t="str">
        <f>IF('Observaciones-SMP'!O410="","",'Observaciones-SMP'!O410)</f>
        <v/>
      </c>
      <c r="P410" s="193" t="str">
        <f>IF('Observaciones-SMP'!P410="","",'Observaciones-SMP'!P410)</f>
        <v/>
      </c>
      <c r="Q410" s="257" t="str">
        <f>IF('Observaciones-SMP'!S410="","",'Observaciones-SMP'!S410)</f>
        <v/>
      </c>
      <c r="R410" s="193" t="str">
        <f>IF('Observaciones-SMP'!T410="","",'Observaciones-SMP'!T410)</f>
        <v/>
      </c>
      <c r="S410" s="193" t="str">
        <f>""</f>
        <v/>
      </c>
      <c r="T410" s="193" t="str">
        <f>""</f>
        <v/>
      </c>
      <c r="U410" s="193" t="str">
        <f t="shared" si="24"/>
        <v/>
      </c>
      <c r="V410" s="193" t="str">
        <f>""</f>
        <v/>
      </c>
      <c r="W410" s="193" t="str">
        <f>""</f>
        <v/>
      </c>
      <c r="X410" s="258" t="str">
        <f t="shared" si="25"/>
        <v/>
      </c>
      <c r="Y410" s="258" t="str">
        <f t="shared" si="26"/>
        <v/>
      </c>
      <c r="Z410" s="193" t="str">
        <f>IF(A410="","",IF(COUNTIF('Observaciones-SMP'!$A$2:$A$1001,A410)&gt;1,1,0))</f>
        <v/>
      </c>
      <c r="AA410" s="193" t="str">
        <f t="shared" si="27"/>
        <v/>
      </c>
    </row>
    <row r="411" spans="1:27" ht="13.5" customHeight="1" x14ac:dyDescent="0.3">
      <c r="A411" s="193" t="str">
        <f>IF('Observaciones-SMP'!A411="","",'Observaciones-SMP'!A411)</f>
        <v/>
      </c>
      <c r="B411" s="257" t="str">
        <f>IF('Observaciones-SMP'!B411="","",'Observaciones-SMP'!B411)</f>
        <v/>
      </c>
      <c r="C411" s="193" t="str">
        <f>IF('Observaciones-SMP'!C411="","",'Observaciones-SMP'!C411)</f>
        <v/>
      </c>
      <c r="D411" s="193" t="str">
        <f>IF('Observaciones-SMP'!D411="","",'Observaciones-SMP'!D411)</f>
        <v/>
      </c>
      <c r="E411" s="193" t="str">
        <f>IF('Observaciones-SMP'!E411="","",'Observaciones-SMP'!E411)</f>
        <v/>
      </c>
      <c r="F411" s="193" t="str">
        <f>IF('Observaciones-SMP'!F411="","",'Observaciones-SMP'!F411)</f>
        <v/>
      </c>
      <c r="G411" s="193" t="str">
        <f>IF('Observaciones-SMP'!G411="","",'Observaciones-SMP'!G411)</f>
        <v/>
      </c>
      <c r="H411" s="193" t="str">
        <f>IF('Observaciones-SMP'!H411="","",'Observaciones-SMP'!H411)</f>
        <v/>
      </c>
      <c r="I411" s="193" t="str">
        <f>IF('Observaciones-SMP'!I411="","",'Observaciones-SMP'!I411)</f>
        <v/>
      </c>
      <c r="J411" s="193" t="str">
        <f>IF('Observaciones-SMP'!J411="","",'Observaciones-SMP'!J411)</f>
        <v/>
      </c>
      <c r="K411" s="193" t="str">
        <f>IF('Observaciones-SMP'!K411="","",'Observaciones-SMP'!K411)</f>
        <v/>
      </c>
      <c r="L411" s="193" t="str">
        <f>IF('Observaciones-SMP'!L411="","",'Observaciones-SMP'!L411)</f>
        <v/>
      </c>
      <c r="M411" s="193" t="str">
        <f>IF('Observaciones-SMP'!M411="","",'Observaciones-SMP'!M411)</f>
        <v/>
      </c>
      <c r="N411" s="193" t="str">
        <f>IF('Observaciones-SMP'!N411="","",'Observaciones-SMP'!N411)</f>
        <v/>
      </c>
      <c r="O411" s="193" t="str">
        <f>IF('Observaciones-SMP'!O411="","",'Observaciones-SMP'!O411)</f>
        <v/>
      </c>
      <c r="P411" s="193" t="str">
        <f>IF('Observaciones-SMP'!P411="","",'Observaciones-SMP'!P411)</f>
        <v/>
      </c>
      <c r="Q411" s="257" t="str">
        <f>IF('Observaciones-SMP'!S411="","",'Observaciones-SMP'!S411)</f>
        <v/>
      </c>
      <c r="R411" s="193" t="str">
        <f>IF('Observaciones-SMP'!T411="","",'Observaciones-SMP'!T411)</f>
        <v/>
      </c>
      <c r="S411" s="193" t="str">
        <f>""</f>
        <v/>
      </c>
      <c r="T411" s="193" t="str">
        <f>""</f>
        <v/>
      </c>
      <c r="U411" s="193" t="str">
        <f t="shared" si="24"/>
        <v/>
      </c>
      <c r="V411" s="193" t="str">
        <f>""</f>
        <v/>
      </c>
      <c r="W411" s="193" t="str">
        <f>""</f>
        <v/>
      </c>
      <c r="X411" s="258" t="str">
        <f t="shared" si="25"/>
        <v/>
      </c>
      <c r="Y411" s="258" t="str">
        <f t="shared" si="26"/>
        <v/>
      </c>
      <c r="Z411" s="193" t="str">
        <f>IF(A411="","",IF(COUNTIF('Observaciones-SMP'!$A$2:$A$1001,A411)&gt;1,1,0))</f>
        <v/>
      </c>
      <c r="AA411" s="193" t="str">
        <f t="shared" si="27"/>
        <v/>
      </c>
    </row>
    <row r="412" spans="1:27" ht="13.5" customHeight="1" x14ac:dyDescent="0.3">
      <c r="A412" s="193" t="str">
        <f>IF('Observaciones-SMP'!A412="","",'Observaciones-SMP'!A412)</f>
        <v/>
      </c>
      <c r="B412" s="257" t="str">
        <f>IF('Observaciones-SMP'!B412="","",'Observaciones-SMP'!B412)</f>
        <v/>
      </c>
      <c r="C412" s="193" t="str">
        <f>IF('Observaciones-SMP'!C412="","",'Observaciones-SMP'!C412)</f>
        <v/>
      </c>
      <c r="D412" s="193" t="str">
        <f>IF('Observaciones-SMP'!D412="","",'Observaciones-SMP'!D412)</f>
        <v/>
      </c>
      <c r="E412" s="193" t="str">
        <f>IF('Observaciones-SMP'!E412="","",'Observaciones-SMP'!E412)</f>
        <v/>
      </c>
      <c r="F412" s="193" t="str">
        <f>IF('Observaciones-SMP'!F412="","",'Observaciones-SMP'!F412)</f>
        <v/>
      </c>
      <c r="G412" s="193" t="str">
        <f>IF('Observaciones-SMP'!G412="","",'Observaciones-SMP'!G412)</f>
        <v/>
      </c>
      <c r="H412" s="193" t="str">
        <f>IF('Observaciones-SMP'!H412="","",'Observaciones-SMP'!H412)</f>
        <v/>
      </c>
      <c r="I412" s="193" t="str">
        <f>IF('Observaciones-SMP'!I412="","",'Observaciones-SMP'!I412)</f>
        <v/>
      </c>
      <c r="J412" s="193" t="str">
        <f>IF('Observaciones-SMP'!J412="","",'Observaciones-SMP'!J412)</f>
        <v/>
      </c>
      <c r="K412" s="193" t="str">
        <f>IF('Observaciones-SMP'!K412="","",'Observaciones-SMP'!K412)</f>
        <v/>
      </c>
      <c r="L412" s="193" t="str">
        <f>IF('Observaciones-SMP'!L412="","",'Observaciones-SMP'!L412)</f>
        <v/>
      </c>
      <c r="M412" s="193" t="str">
        <f>IF('Observaciones-SMP'!M412="","",'Observaciones-SMP'!M412)</f>
        <v/>
      </c>
      <c r="N412" s="193" t="str">
        <f>IF('Observaciones-SMP'!N412="","",'Observaciones-SMP'!N412)</f>
        <v/>
      </c>
      <c r="O412" s="193" t="str">
        <f>IF('Observaciones-SMP'!O412="","",'Observaciones-SMP'!O412)</f>
        <v/>
      </c>
      <c r="P412" s="193" t="str">
        <f>IF('Observaciones-SMP'!P412="","",'Observaciones-SMP'!P412)</f>
        <v/>
      </c>
      <c r="Q412" s="257" t="str">
        <f>IF('Observaciones-SMP'!S412="","",'Observaciones-SMP'!S412)</f>
        <v/>
      </c>
      <c r="R412" s="193" t="str">
        <f>IF('Observaciones-SMP'!T412="","",'Observaciones-SMP'!T412)</f>
        <v/>
      </c>
      <c r="S412" s="193" t="str">
        <f>""</f>
        <v/>
      </c>
      <c r="T412" s="193" t="str">
        <f>""</f>
        <v/>
      </c>
      <c r="U412" s="193" t="str">
        <f t="shared" si="24"/>
        <v/>
      </c>
      <c r="V412" s="193" t="str">
        <f>""</f>
        <v/>
      </c>
      <c r="W412" s="193" t="str">
        <f>""</f>
        <v/>
      </c>
      <c r="X412" s="258" t="str">
        <f t="shared" si="25"/>
        <v/>
      </c>
      <c r="Y412" s="258" t="str">
        <f t="shared" si="26"/>
        <v/>
      </c>
      <c r="Z412" s="193" t="str">
        <f>IF(A412="","",IF(COUNTIF('Observaciones-SMP'!$A$2:$A$1001,A412)&gt;1,1,0))</f>
        <v/>
      </c>
      <c r="AA412" s="193" t="str">
        <f t="shared" si="27"/>
        <v/>
      </c>
    </row>
    <row r="413" spans="1:27" ht="13.5" customHeight="1" x14ac:dyDescent="0.3">
      <c r="A413" s="193" t="str">
        <f>IF('Observaciones-SMP'!A413="","",'Observaciones-SMP'!A413)</f>
        <v/>
      </c>
      <c r="B413" s="257" t="str">
        <f>IF('Observaciones-SMP'!B413="","",'Observaciones-SMP'!B413)</f>
        <v/>
      </c>
      <c r="C413" s="193" t="str">
        <f>IF('Observaciones-SMP'!C413="","",'Observaciones-SMP'!C413)</f>
        <v/>
      </c>
      <c r="D413" s="193" t="str">
        <f>IF('Observaciones-SMP'!D413="","",'Observaciones-SMP'!D413)</f>
        <v/>
      </c>
      <c r="E413" s="193" t="str">
        <f>IF('Observaciones-SMP'!E413="","",'Observaciones-SMP'!E413)</f>
        <v/>
      </c>
      <c r="F413" s="193" t="str">
        <f>IF('Observaciones-SMP'!F413="","",'Observaciones-SMP'!F413)</f>
        <v/>
      </c>
      <c r="G413" s="193" t="str">
        <f>IF('Observaciones-SMP'!G413="","",'Observaciones-SMP'!G413)</f>
        <v/>
      </c>
      <c r="H413" s="193" t="str">
        <f>IF('Observaciones-SMP'!H413="","",'Observaciones-SMP'!H413)</f>
        <v/>
      </c>
      <c r="I413" s="193" t="str">
        <f>IF('Observaciones-SMP'!I413="","",'Observaciones-SMP'!I413)</f>
        <v/>
      </c>
      <c r="J413" s="193" t="str">
        <f>IF('Observaciones-SMP'!J413="","",'Observaciones-SMP'!J413)</f>
        <v/>
      </c>
      <c r="K413" s="193" t="str">
        <f>IF('Observaciones-SMP'!K413="","",'Observaciones-SMP'!K413)</f>
        <v/>
      </c>
      <c r="L413" s="193" t="str">
        <f>IF('Observaciones-SMP'!L413="","",'Observaciones-SMP'!L413)</f>
        <v/>
      </c>
      <c r="M413" s="193" t="str">
        <f>IF('Observaciones-SMP'!M413="","",'Observaciones-SMP'!M413)</f>
        <v/>
      </c>
      <c r="N413" s="193" t="str">
        <f>IF('Observaciones-SMP'!N413="","",'Observaciones-SMP'!N413)</f>
        <v/>
      </c>
      <c r="O413" s="193" t="str">
        <f>IF('Observaciones-SMP'!O413="","",'Observaciones-SMP'!O413)</f>
        <v/>
      </c>
      <c r="P413" s="193" t="str">
        <f>IF('Observaciones-SMP'!P413="","",'Observaciones-SMP'!P413)</f>
        <v/>
      </c>
      <c r="Q413" s="257" t="str">
        <f>IF('Observaciones-SMP'!S413="","",'Observaciones-SMP'!S413)</f>
        <v/>
      </c>
      <c r="R413" s="193" t="str">
        <f>IF('Observaciones-SMP'!T413="","",'Observaciones-SMP'!T413)</f>
        <v/>
      </c>
      <c r="S413" s="193" t="str">
        <f>""</f>
        <v/>
      </c>
      <c r="T413" s="193" t="str">
        <f>""</f>
        <v/>
      </c>
      <c r="U413" s="193" t="str">
        <f t="shared" si="24"/>
        <v/>
      </c>
      <c r="V413" s="193" t="str">
        <f>""</f>
        <v/>
      </c>
      <c r="W413" s="193" t="str">
        <f>""</f>
        <v/>
      </c>
      <c r="X413" s="258" t="str">
        <f t="shared" si="25"/>
        <v/>
      </c>
      <c r="Y413" s="258" t="str">
        <f t="shared" si="26"/>
        <v/>
      </c>
      <c r="Z413" s="193" t="str">
        <f>IF(A413="","",IF(COUNTIF('Observaciones-SMP'!$A$2:$A$1001,A413)&gt;1,1,0))</f>
        <v/>
      </c>
      <c r="AA413" s="193" t="str">
        <f t="shared" si="27"/>
        <v/>
      </c>
    </row>
    <row r="414" spans="1:27" ht="13.5" customHeight="1" x14ac:dyDescent="0.3">
      <c r="A414" s="193" t="str">
        <f>IF('Observaciones-SMP'!A414="","",'Observaciones-SMP'!A414)</f>
        <v/>
      </c>
      <c r="B414" s="257" t="str">
        <f>IF('Observaciones-SMP'!B414="","",'Observaciones-SMP'!B414)</f>
        <v/>
      </c>
      <c r="C414" s="193" t="str">
        <f>IF('Observaciones-SMP'!C414="","",'Observaciones-SMP'!C414)</f>
        <v/>
      </c>
      <c r="D414" s="193" t="str">
        <f>IF('Observaciones-SMP'!D414="","",'Observaciones-SMP'!D414)</f>
        <v/>
      </c>
      <c r="E414" s="193" t="str">
        <f>IF('Observaciones-SMP'!E414="","",'Observaciones-SMP'!E414)</f>
        <v/>
      </c>
      <c r="F414" s="193" t="str">
        <f>IF('Observaciones-SMP'!F414="","",'Observaciones-SMP'!F414)</f>
        <v/>
      </c>
      <c r="G414" s="193" t="str">
        <f>IF('Observaciones-SMP'!G414="","",'Observaciones-SMP'!G414)</f>
        <v/>
      </c>
      <c r="H414" s="193" t="str">
        <f>IF('Observaciones-SMP'!H414="","",'Observaciones-SMP'!H414)</f>
        <v/>
      </c>
      <c r="I414" s="193" t="str">
        <f>IF('Observaciones-SMP'!I414="","",'Observaciones-SMP'!I414)</f>
        <v/>
      </c>
      <c r="J414" s="193" t="str">
        <f>IF('Observaciones-SMP'!J414="","",'Observaciones-SMP'!J414)</f>
        <v/>
      </c>
      <c r="K414" s="193" t="str">
        <f>IF('Observaciones-SMP'!K414="","",'Observaciones-SMP'!K414)</f>
        <v/>
      </c>
      <c r="L414" s="193" t="str">
        <f>IF('Observaciones-SMP'!L414="","",'Observaciones-SMP'!L414)</f>
        <v/>
      </c>
      <c r="M414" s="193" t="str">
        <f>IF('Observaciones-SMP'!M414="","",'Observaciones-SMP'!M414)</f>
        <v/>
      </c>
      <c r="N414" s="193" t="str">
        <f>IF('Observaciones-SMP'!N414="","",'Observaciones-SMP'!N414)</f>
        <v/>
      </c>
      <c r="O414" s="193" t="str">
        <f>IF('Observaciones-SMP'!O414="","",'Observaciones-SMP'!O414)</f>
        <v/>
      </c>
      <c r="P414" s="193" t="str">
        <f>IF('Observaciones-SMP'!P414="","",'Observaciones-SMP'!P414)</f>
        <v/>
      </c>
      <c r="Q414" s="257" t="str">
        <f>IF('Observaciones-SMP'!S414="","",'Observaciones-SMP'!S414)</f>
        <v/>
      </c>
      <c r="R414" s="193" t="str">
        <f>IF('Observaciones-SMP'!T414="","",'Observaciones-SMP'!T414)</f>
        <v/>
      </c>
      <c r="S414" s="193" t="str">
        <f>""</f>
        <v/>
      </c>
      <c r="T414" s="193" t="str">
        <f>""</f>
        <v/>
      </c>
      <c r="U414" s="193" t="str">
        <f t="shared" si="24"/>
        <v/>
      </c>
      <c r="V414" s="193" t="str">
        <f>""</f>
        <v/>
      </c>
      <c r="W414" s="193" t="str">
        <f>""</f>
        <v/>
      </c>
      <c r="X414" s="258" t="str">
        <f t="shared" si="25"/>
        <v/>
      </c>
      <c r="Y414" s="258" t="str">
        <f t="shared" si="26"/>
        <v/>
      </c>
      <c r="Z414" s="193" t="str">
        <f>IF(A414="","",IF(COUNTIF('Observaciones-SMP'!$A$2:$A$1001,A414)&gt;1,1,0))</f>
        <v/>
      </c>
      <c r="AA414" s="193" t="str">
        <f t="shared" si="27"/>
        <v/>
      </c>
    </row>
    <row r="415" spans="1:27" ht="13.5" customHeight="1" x14ac:dyDescent="0.3">
      <c r="A415" s="193" t="str">
        <f>IF('Observaciones-SMP'!A415="","",'Observaciones-SMP'!A415)</f>
        <v/>
      </c>
      <c r="B415" s="257" t="str">
        <f>IF('Observaciones-SMP'!B415="","",'Observaciones-SMP'!B415)</f>
        <v/>
      </c>
      <c r="C415" s="193" t="str">
        <f>IF('Observaciones-SMP'!C415="","",'Observaciones-SMP'!C415)</f>
        <v/>
      </c>
      <c r="D415" s="193" t="str">
        <f>IF('Observaciones-SMP'!D415="","",'Observaciones-SMP'!D415)</f>
        <v/>
      </c>
      <c r="E415" s="193" t="str">
        <f>IF('Observaciones-SMP'!E415="","",'Observaciones-SMP'!E415)</f>
        <v/>
      </c>
      <c r="F415" s="193" t="str">
        <f>IF('Observaciones-SMP'!F415="","",'Observaciones-SMP'!F415)</f>
        <v/>
      </c>
      <c r="G415" s="193" t="str">
        <f>IF('Observaciones-SMP'!G415="","",'Observaciones-SMP'!G415)</f>
        <v/>
      </c>
      <c r="H415" s="193" t="str">
        <f>IF('Observaciones-SMP'!H415="","",'Observaciones-SMP'!H415)</f>
        <v/>
      </c>
      <c r="I415" s="193" t="str">
        <f>IF('Observaciones-SMP'!I415="","",'Observaciones-SMP'!I415)</f>
        <v/>
      </c>
      <c r="J415" s="193" t="str">
        <f>IF('Observaciones-SMP'!J415="","",'Observaciones-SMP'!J415)</f>
        <v/>
      </c>
      <c r="K415" s="193" t="str">
        <f>IF('Observaciones-SMP'!K415="","",'Observaciones-SMP'!K415)</f>
        <v/>
      </c>
      <c r="L415" s="193" t="str">
        <f>IF('Observaciones-SMP'!L415="","",'Observaciones-SMP'!L415)</f>
        <v/>
      </c>
      <c r="M415" s="193" t="str">
        <f>IF('Observaciones-SMP'!M415="","",'Observaciones-SMP'!M415)</f>
        <v/>
      </c>
      <c r="N415" s="193" t="str">
        <f>IF('Observaciones-SMP'!N415="","",'Observaciones-SMP'!N415)</f>
        <v/>
      </c>
      <c r="O415" s="193" t="str">
        <f>IF('Observaciones-SMP'!O415="","",'Observaciones-SMP'!O415)</f>
        <v/>
      </c>
      <c r="P415" s="193" t="str">
        <f>IF('Observaciones-SMP'!P415="","",'Observaciones-SMP'!P415)</f>
        <v/>
      </c>
      <c r="Q415" s="257" t="str">
        <f>IF('Observaciones-SMP'!S415="","",'Observaciones-SMP'!S415)</f>
        <v/>
      </c>
      <c r="R415" s="193" t="str">
        <f>IF('Observaciones-SMP'!T415="","",'Observaciones-SMP'!T415)</f>
        <v/>
      </c>
      <c r="S415" s="193" t="str">
        <f>""</f>
        <v/>
      </c>
      <c r="T415" s="193" t="str">
        <f>""</f>
        <v/>
      </c>
      <c r="U415" s="193" t="str">
        <f t="shared" si="24"/>
        <v/>
      </c>
      <c r="V415" s="193" t="str">
        <f>""</f>
        <v/>
      </c>
      <c r="W415" s="193" t="str">
        <f>""</f>
        <v/>
      </c>
      <c r="X415" s="258" t="str">
        <f t="shared" si="25"/>
        <v/>
      </c>
      <c r="Y415" s="258" t="str">
        <f t="shared" si="26"/>
        <v/>
      </c>
      <c r="Z415" s="193" t="str">
        <f>IF(A415="","",IF(COUNTIF('Observaciones-SMP'!$A$2:$A$1001,A415)&gt;1,1,0))</f>
        <v/>
      </c>
      <c r="AA415" s="193" t="str">
        <f t="shared" si="27"/>
        <v/>
      </c>
    </row>
    <row r="416" spans="1:27" ht="13.5" customHeight="1" x14ac:dyDescent="0.3">
      <c r="A416" s="193" t="str">
        <f>IF('Observaciones-SMP'!A416="","",'Observaciones-SMP'!A416)</f>
        <v/>
      </c>
      <c r="B416" s="257" t="str">
        <f>IF('Observaciones-SMP'!B416="","",'Observaciones-SMP'!B416)</f>
        <v/>
      </c>
      <c r="C416" s="193" t="str">
        <f>IF('Observaciones-SMP'!C416="","",'Observaciones-SMP'!C416)</f>
        <v/>
      </c>
      <c r="D416" s="193" t="str">
        <f>IF('Observaciones-SMP'!D416="","",'Observaciones-SMP'!D416)</f>
        <v/>
      </c>
      <c r="E416" s="193" t="str">
        <f>IF('Observaciones-SMP'!E416="","",'Observaciones-SMP'!E416)</f>
        <v/>
      </c>
      <c r="F416" s="193" t="str">
        <f>IF('Observaciones-SMP'!F416="","",'Observaciones-SMP'!F416)</f>
        <v/>
      </c>
      <c r="G416" s="193" t="str">
        <f>IF('Observaciones-SMP'!G416="","",'Observaciones-SMP'!G416)</f>
        <v/>
      </c>
      <c r="H416" s="193" t="str">
        <f>IF('Observaciones-SMP'!H416="","",'Observaciones-SMP'!H416)</f>
        <v/>
      </c>
      <c r="I416" s="193" t="str">
        <f>IF('Observaciones-SMP'!I416="","",'Observaciones-SMP'!I416)</f>
        <v/>
      </c>
      <c r="J416" s="193" t="str">
        <f>IF('Observaciones-SMP'!J416="","",'Observaciones-SMP'!J416)</f>
        <v/>
      </c>
      <c r="K416" s="193" t="str">
        <f>IF('Observaciones-SMP'!K416="","",'Observaciones-SMP'!K416)</f>
        <v/>
      </c>
      <c r="L416" s="193" t="str">
        <f>IF('Observaciones-SMP'!L416="","",'Observaciones-SMP'!L416)</f>
        <v/>
      </c>
      <c r="M416" s="193" t="str">
        <f>IF('Observaciones-SMP'!M416="","",'Observaciones-SMP'!M416)</f>
        <v/>
      </c>
      <c r="N416" s="193" t="str">
        <f>IF('Observaciones-SMP'!N416="","",'Observaciones-SMP'!N416)</f>
        <v/>
      </c>
      <c r="O416" s="193" t="str">
        <f>IF('Observaciones-SMP'!O416="","",'Observaciones-SMP'!O416)</f>
        <v/>
      </c>
      <c r="P416" s="193" t="str">
        <f>IF('Observaciones-SMP'!P416="","",'Observaciones-SMP'!P416)</f>
        <v/>
      </c>
      <c r="Q416" s="257" t="str">
        <f>IF('Observaciones-SMP'!S416="","",'Observaciones-SMP'!S416)</f>
        <v/>
      </c>
      <c r="R416" s="193" t="str">
        <f>IF('Observaciones-SMP'!T416="","",'Observaciones-SMP'!T416)</f>
        <v/>
      </c>
      <c r="S416" s="193" t="str">
        <f>""</f>
        <v/>
      </c>
      <c r="T416" s="193" t="str">
        <f>""</f>
        <v/>
      </c>
      <c r="U416" s="193" t="str">
        <f t="shared" si="24"/>
        <v/>
      </c>
      <c r="V416" s="193" t="str">
        <f>""</f>
        <v/>
      </c>
      <c r="W416" s="193" t="str">
        <f>""</f>
        <v/>
      </c>
      <c r="X416" s="258" t="str">
        <f t="shared" si="25"/>
        <v/>
      </c>
      <c r="Y416" s="258" t="str">
        <f t="shared" si="26"/>
        <v/>
      </c>
      <c r="Z416" s="193" t="str">
        <f>IF(A416="","",IF(COUNTIF('Observaciones-SMP'!$A$2:$A$1001,A416)&gt;1,1,0))</f>
        <v/>
      </c>
      <c r="AA416" s="193" t="str">
        <f t="shared" si="27"/>
        <v/>
      </c>
    </row>
    <row r="417" spans="1:27" ht="13.5" customHeight="1" x14ac:dyDescent="0.3">
      <c r="A417" s="193" t="str">
        <f>IF('Observaciones-SMP'!A417="","",'Observaciones-SMP'!A417)</f>
        <v/>
      </c>
      <c r="B417" s="257" t="str">
        <f>IF('Observaciones-SMP'!B417="","",'Observaciones-SMP'!B417)</f>
        <v/>
      </c>
      <c r="C417" s="193" t="str">
        <f>IF('Observaciones-SMP'!C417="","",'Observaciones-SMP'!C417)</f>
        <v/>
      </c>
      <c r="D417" s="193" t="str">
        <f>IF('Observaciones-SMP'!D417="","",'Observaciones-SMP'!D417)</f>
        <v/>
      </c>
      <c r="E417" s="193" t="str">
        <f>IF('Observaciones-SMP'!E417="","",'Observaciones-SMP'!E417)</f>
        <v/>
      </c>
      <c r="F417" s="193" t="str">
        <f>IF('Observaciones-SMP'!F417="","",'Observaciones-SMP'!F417)</f>
        <v/>
      </c>
      <c r="G417" s="193" t="str">
        <f>IF('Observaciones-SMP'!G417="","",'Observaciones-SMP'!G417)</f>
        <v/>
      </c>
      <c r="H417" s="193" t="str">
        <f>IF('Observaciones-SMP'!H417="","",'Observaciones-SMP'!H417)</f>
        <v/>
      </c>
      <c r="I417" s="193" t="str">
        <f>IF('Observaciones-SMP'!I417="","",'Observaciones-SMP'!I417)</f>
        <v/>
      </c>
      <c r="J417" s="193" t="str">
        <f>IF('Observaciones-SMP'!J417="","",'Observaciones-SMP'!J417)</f>
        <v/>
      </c>
      <c r="K417" s="193" t="str">
        <f>IF('Observaciones-SMP'!K417="","",'Observaciones-SMP'!K417)</f>
        <v/>
      </c>
      <c r="L417" s="193" t="str">
        <f>IF('Observaciones-SMP'!L417="","",'Observaciones-SMP'!L417)</f>
        <v/>
      </c>
      <c r="M417" s="193" t="str">
        <f>IF('Observaciones-SMP'!M417="","",'Observaciones-SMP'!M417)</f>
        <v/>
      </c>
      <c r="N417" s="193" t="str">
        <f>IF('Observaciones-SMP'!N417="","",'Observaciones-SMP'!N417)</f>
        <v/>
      </c>
      <c r="O417" s="193" t="str">
        <f>IF('Observaciones-SMP'!O417="","",'Observaciones-SMP'!O417)</f>
        <v/>
      </c>
      <c r="P417" s="193" t="str">
        <f>IF('Observaciones-SMP'!P417="","",'Observaciones-SMP'!P417)</f>
        <v/>
      </c>
      <c r="Q417" s="257" t="str">
        <f>IF('Observaciones-SMP'!S417="","",'Observaciones-SMP'!S417)</f>
        <v/>
      </c>
      <c r="R417" s="193" t="str">
        <f>IF('Observaciones-SMP'!T417="","",'Observaciones-SMP'!T417)</f>
        <v/>
      </c>
      <c r="S417" s="193" t="str">
        <f>""</f>
        <v/>
      </c>
      <c r="T417" s="193" t="str">
        <f>""</f>
        <v/>
      </c>
      <c r="U417" s="193" t="str">
        <f t="shared" si="24"/>
        <v/>
      </c>
      <c r="V417" s="193" t="str">
        <f>""</f>
        <v/>
      </c>
      <c r="W417" s="193" t="str">
        <f>""</f>
        <v/>
      </c>
      <c r="X417" s="258" t="str">
        <f t="shared" si="25"/>
        <v/>
      </c>
      <c r="Y417" s="258" t="str">
        <f t="shared" si="26"/>
        <v/>
      </c>
      <c r="Z417" s="193" t="str">
        <f>IF(A417="","",IF(COUNTIF('Observaciones-SMP'!$A$2:$A$1001,A417)&gt;1,1,0))</f>
        <v/>
      </c>
      <c r="AA417" s="193" t="str">
        <f t="shared" si="27"/>
        <v/>
      </c>
    </row>
    <row r="418" spans="1:27" ht="13.5" customHeight="1" x14ac:dyDescent="0.3">
      <c r="A418" s="193" t="str">
        <f>IF('Observaciones-SMP'!A418="","",'Observaciones-SMP'!A418)</f>
        <v/>
      </c>
      <c r="B418" s="257" t="str">
        <f>IF('Observaciones-SMP'!B418="","",'Observaciones-SMP'!B418)</f>
        <v/>
      </c>
      <c r="C418" s="193" t="str">
        <f>IF('Observaciones-SMP'!C418="","",'Observaciones-SMP'!C418)</f>
        <v/>
      </c>
      <c r="D418" s="193" t="str">
        <f>IF('Observaciones-SMP'!D418="","",'Observaciones-SMP'!D418)</f>
        <v/>
      </c>
      <c r="E418" s="193" t="str">
        <f>IF('Observaciones-SMP'!E418="","",'Observaciones-SMP'!E418)</f>
        <v/>
      </c>
      <c r="F418" s="193" t="str">
        <f>IF('Observaciones-SMP'!F418="","",'Observaciones-SMP'!F418)</f>
        <v/>
      </c>
      <c r="G418" s="193" t="str">
        <f>IF('Observaciones-SMP'!G418="","",'Observaciones-SMP'!G418)</f>
        <v/>
      </c>
      <c r="H418" s="193" t="str">
        <f>IF('Observaciones-SMP'!H418="","",'Observaciones-SMP'!H418)</f>
        <v/>
      </c>
      <c r="I418" s="193" t="str">
        <f>IF('Observaciones-SMP'!I418="","",'Observaciones-SMP'!I418)</f>
        <v/>
      </c>
      <c r="J418" s="193" t="str">
        <f>IF('Observaciones-SMP'!J418="","",'Observaciones-SMP'!J418)</f>
        <v/>
      </c>
      <c r="K418" s="193" t="str">
        <f>IF('Observaciones-SMP'!K418="","",'Observaciones-SMP'!K418)</f>
        <v/>
      </c>
      <c r="L418" s="193" t="str">
        <f>IF('Observaciones-SMP'!L418="","",'Observaciones-SMP'!L418)</f>
        <v/>
      </c>
      <c r="M418" s="193" t="str">
        <f>IF('Observaciones-SMP'!M418="","",'Observaciones-SMP'!M418)</f>
        <v/>
      </c>
      <c r="N418" s="193" t="str">
        <f>IF('Observaciones-SMP'!N418="","",'Observaciones-SMP'!N418)</f>
        <v/>
      </c>
      <c r="O418" s="193" t="str">
        <f>IF('Observaciones-SMP'!O418="","",'Observaciones-SMP'!O418)</f>
        <v/>
      </c>
      <c r="P418" s="193" t="str">
        <f>IF('Observaciones-SMP'!P418="","",'Observaciones-SMP'!P418)</f>
        <v/>
      </c>
      <c r="Q418" s="257" t="str">
        <f>IF('Observaciones-SMP'!S418="","",'Observaciones-SMP'!S418)</f>
        <v/>
      </c>
      <c r="R418" s="193" t="str">
        <f>IF('Observaciones-SMP'!T418="","",'Observaciones-SMP'!T418)</f>
        <v/>
      </c>
      <c r="S418" s="193" t="str">
        <f>""</f>
        <v/>
      </c>
      <c r="T418" s="193" t="str">
        <f>""</f>
        <v/>
      </c>
      <c r="U418" s="193" t="str">
        <f t="shared" si="24"/>
        <v/>
      </c>
      <c r="V418" s="193" t="str">
        <f>""</f>
        <v/>
      </c>
      <c r="W418" s="193" t="str">
        <f>""</f>
        <v/>
      </c>
      <c r="X418" s="258" t="str">
        <f t="shared" si="25"/>
        <v/>
      </c>
      <c r="Y418" s="258" t="str">
        <f t="shared" si="26"/>
        <v/>
      </c>
      <c r="Z418" s="193" t="str">
        <f>IF(A418="","",IF(COUNTIF('Observaciones-SMP'!$A$2:$A$1001,A418)&gt;1,1,0))</f>
        <v/>
      </c>
      <c r="AA418" s="193" t="str">
        <f t="shared" si="27"/>
        <v/>
      </c>
    </row>
    <row r="419" spans="1:27" ht="13.5" customHeight="1" x14ac:dyDescent="0.3">
      <c r="A419" s="193" t="str">
        <f>IF('Observaciones-SMP'!A419="","",'Observaciones-SMP'!A419)</f>
        <v/>
      </c>
      <c r="B419" s="257" t="str">
        <f>IF('Observaciones-SMP'!B419="","",'Observaciones-SMP'!B419)</f>
        <v/>
      </c>
      <c r="C419" s="193" t="str">
        <f>IF('Observaciones-SMP'!C419="","",'Observaciones-SMP'!C419)</f>
        <v/>
      </c>
      <c r="D419" s="193" t="str">
        <f>IF('Observaciones-SMP'!D419="","",'Observaciones-SMP'!D419)</f>
        <v/>
      </c>
      <c r="E419" s="193" t="str">
        <f>IF('Observaciones-SMP'!E419="","",'Observaciones-SMP'!E419)</f>
        <v/>
      </c>
      <c r="F419" s="193" t="str">
        <f>IF('Observaciones-SMP'!F419="","",'Observaciones-SMP'!F419)</f>
        <v/>
      </c>
      <c r="G419" s="193" t="str">
        <f>IF('Observaciones-SMP'!G419="","",'Observaciones-SMP'!G419)</f>
        <v/>
      </c>
      <c r="H419" s="193" t="str">
        <f>IF('Observaciones-SMP'!H419="","",'Observaciones-SMP'!H419)</f>
        <v/>
      </c>
      <c r="I419" s="193" t="str">
        <f>IF('Observaciones-SMP'!I419="","",'Observaciones-SMP'!I419)</f>
        <v/>
      </c>
      <c r="J419" s="193" t="str">
        <f>IF('Observaciones-SMP'!J419="","",'Observaciones-SMP'!J419)</f>
        <v/>
      </c>
      <c r="K419" s="193" t="str">
        <f>IF('Observaciones-SMP'!K419="","",'Observaciones-SMP'!K419)</f>
        <v/>
      </c>
      <c r="L419" s="193" t="str">
        <f>IF('Observaciones-SMP'!L419="","",'Observaciones-SMP'!L419)</f>
        <v/>
      </c>
      <c r="M419" s="193" t="str">
        <f>IF('Observaciones-SMP'!M419="","",'Observaciones-SMP'!M419)</f>
        <v/>
      </c>
      <c r="N419" s="193" t="str">
        <f>IF('Observaciones-SMP'!N419="","",'Observaciones-SMP'!N419)</f>
        <v/>
      </c>
      <c r="O419" s="193" t="str">
        <f>IF('Observaciones-SMP'!O419="","",'Observaciones-SMP'!O419)</f>
        <v/>
      </c>
      <c r="P419" s="193" t="str">
        <f>IF('Observaciones-SMP'!P419="","",'Observaciones-SMP'!P419)</f>
        <v/>
      </c>
      <c r="Q419" s="257" t="str">
        <f>IF('Observaciones-SMP'!S419="","",'Observaciones-SMP'!S419)</f>
        <v/>
      </c>
      <c r="R419" s="193" t="str">
        <f>IF('Observaciones-SMP'!T419="","",'Observaciones-SMP'!T419)</f>
        <v/>
      </c>
      <c r="S419" s="193" t="str">
        <f>""</f>
        <v/>
      </c>
      <c r="T419" s="193" t="str">
        <f>""</f>
        <v/>
      </c>
      <c r="U419" s="193" t="str">
        <f t="shared" si="24"/>
        <v/>
      </c>
      <c r="V419" s="193" t="str">
        <f>""</f>
        <v/>
      </c>
      <c r="W419" s="193" t="str">
        <f>""</f>
        <v/>
      </c>
      <c r="X419" s="258" t="str">
        <f t="shared" si="25"/>
        <v/>
      </c>
      <c r="Y419" s="258" t="str">
        <f t="shared" si="26"/>
        <v/>
      </c>
      <c r="Z419" s="193" t="str">
        <f>IF(A419="","",IF(COUNTIF('Observaciones-SMP'!$A$2:$A$1001,A419)&gt;1,1,0))</f>
        <v/>
      </c>
      <c r="AA419" s="193" t="str">
        <f t="shared" si="27"/>
        <v/>
      </c>
    </row>
    <row r="420" spans="1:27" ht="13.5" customHeight="1" x14ac:dyDescent="0.3">
      <c r="A420" s="193" t="str">
        <f>IF('Observaciones-SMP'!A420="","",'Observaciones-SMP'!A420)</f>
        <v/>
      </c>
      <c r="B420" s="257" t="str">
        <f>IF('Observaciones-SMP'!B420="","",'Observaciones-SMP'!B420)</f>
        <v/>
      </c>
      <c r="C420" s="193" t="str">
        <f>IF('Observaciones-SMP'!C420="","",'Observaciones-SMP'!C420)</f>
        <v/>
      </c>
      <c r="D420" s="193" t="str">
        <f>IF('Observaciones-SMP'!D420="","",'Observaciones-SMP'!D420)</f>
        <v/>
      </c>
      <c r="E420" s="193" t="str">
        <f>IF('Observaciones-SMP'!E420="","",'Observaciones-SMP'!E420)</f>
        <v/>
      </c>
      <c r="F420" s="193" t="str">
        <f>IF('Observaciones-SMP'!F420="","",'Observaciones-SMP'!F420)</f>
        <v/>
      </c>
      <c r="G420" s="193" t="str">
        <f>IF('Observaciones-SMP'!G420="","",'Observaciones-SMP'!G420)</f>
        <v/>
      </c>
      <c r="H420" s="193" t="str">
        <f>IF('Observaciones-SMP'!H420="","",'Observaciones-SMP'!H420)</f>
        <v/>
      </c>
      <c r="I420" s="193" t="str">
        <f>IF('Observaciones-SMP'!I420="","",'Observaciones-SMP'!I420)</f>
        <v/>
      </c>
      <c r="J420" s="193" t="str">
        <f>IF('Observaciones-SMP'!J420="","",'Observaciones-SMP'!J420)</f>
        <v/>
      </c>
      <c r="K420" s="193" t="str">
        <f>IF('Observaciones-SMP'!K420="","",'Observaciones-SMP'!K420)</f>
        <v/>
      </c>
      <c r="L420" s="193" t="str">
        <f>IF('Observaciones-SMP'!L420="","",'Observaciones-SMP'!L420)</f>
        <v/>
      </c>
      <c r="M420" s="193" t="str">
        <f>IF('Observaciones-SMP'!M420="","",'Observaciones-SMP'!M420)</f>
        <v/>
      </c>
      <c r="N420" s="193" t="str">
        <f>IF('Observaciones-SMP'!N420="","",'Observaciones-SMP'!N420)</f>
        <v/>
      </c>
      <c r="O420" s="193" t="str">
        <f>IF('Observaciones-SMP'!O420="","",'Observaciones-SMP'!O420)</f>
        <v/>
      </c>
      <c r="P420" s="193" t="str">
        <f>IF('Observaciones-SMP'!P420="","",'Observaciones-SMP'!P420)</f>
        <v/>
      </c>
      <c r="Q420" s="257" t="str">
        <f>IF('Observaciones-SMP'!S420="","",'Observaciones-SMP'!S420)</f>
        <v/>
      </c>
      <c r="R420" s="193" t="str">
        <f>IF('Observaciones-SMP'!T420="","",'Observaciones-SMP'!T420)</f>
        <v/>
      </c>
      <c r="S420" s="193" t="str">
        <f>""</f>
        <v/>
      </c>
      <c r="T420" s="193" t="str">
        <f>""</f>
        <v/>
      </c>
      <c r="U420" s="193" t="str">
        <f t="shared" si="24"/>
        <v/>
      </c>
      <c r="V420" s="193" t="str">
        <f>""</f>
        <v/>
      </c>
      <c r="W420" s="193" t="str">
        <f>""</f>
        <v/>
      </c>
      <c r="X420" s="258" t="str">
        <f t="shared" si="25"/>
        <v/>
      </c>
      <c r="Y420" s="258" t="str">
        <f t="shared" si="26"/>
        <v/>
      </c>
      <c r="Z420" s="193" t="str">
        <f>IF(A420="","",IF(COUNTIF('Observaciones-SMP'!$A$2:$A$1001,A420)&gt;1,1,0))</f>
        <v/>
      </c>
      <c r="AA420" s="193" t="str">
        <f t="shared" si="27"/>
        <v/>
      </c>
    </row>
    <row r="421" spans="1:27" ht="13.5" customHeight="1" x14ac:dyDescent="0.3">
      <c r="A421" s="193" t="str">
        <f>IF('Observaciones-SMP'!A421="","",'Observaciones-SMP'!A421)</f>
        <v/>
      </c>
      <c r="B421" s="257" t="str">
        <f>IF('Observaciones-SMP'!B421="","",'Observaciones-SMP'!B421)</f>
        <v/>
      </c>
      <c r="C421" s="193" t="str">
        <f>IF('Observaciones-SMP'!C421="","",'Observaciones-SMP'!C421)</f>
        <v/>
      </c>
      <c r="D421" s="193" t="str">
        <f>IF('Observaciones-SMP'!D421="","",'Observaciones-SMP'!D421)</f>
        <v/>
      </c>
      <c r="E421" s="193" t="str">
        <f>IF('Observaciones-SMP'!E421="","",'Observaciones-SMP'!E421)</f>
        <v/>
      </c>
      <c r="F421" s="193" t="str">
        <f>IF('Observaciones-SMP'!F421="","",'Observaciones-SMP'!F421)</f>
        <v/>
      </c>
      <c r="G421" s="193" t="str">
        <f>IF('Observaciones-SMP'!G421="","",'Observaciones-SMP'!G421)</f>
        <v/>
      </c>
      <c r="H421" s="193" t="str">
        <f>IF('Observaciones-SMP'!H421="","",'Observaciones-SMP'!H421)</f>
        <v/>
      </c>
      <c r="I421" s="193" t="str">
        <f>IF('Observaciones-SMP'!I421="","",'Observaciones-SMP'!I421)</f>
        <v/>
      </c>
      <c r="J421" s="193" t="str">
        <f>IF('Observaciones-SMP'!J421="","",'Observaciones-SMP'!J421)</f>
        <v/>
      </c>
      <c r="K421" s="193" t="str">
        <f>IF('Observaciones-SMP'!K421="","",'Observaciones-SMP'!K421)</f>
        <v/>
      </c>
      <c r="L421" s="193" t="str">
        <f>IF('Observaciones-SMP'!L421="","",'Observaciones-SMP'!L421)</f>
        <v/>
      </c>
      <c r="M421" s="193" t="str">
        <f>IF('Observaciones-SMP'!M421="","",'Observaciones-SMP'!M421)</f>
        <v/>
      </c>
      <c r="N421" s="193" t="str">
        <f>IF('Observaciones-SMP'!N421="","",'Observaciones-SMP'!N421)</f>
        <v/>
      </c>
      <c r="O421" s="193" t="str">
        <f>IF('Observaciones-SMP'!O421="","",'Observaciones-SMP'!O421)</f>
        <v/>
      </c>
      <c r="P421" s="193" t="str">
        <f>IF('Observaciones-SMP'!P421="","",'Observaciones-SMP'!P421)</f>
        <v/>
      </c>
      <c r="Q421" s="257" t="str">
        <f>IF('Observaciones-SMP'!S421="","",'Observaciones-SMP'!S421)</f>
        <v/>
      </c>
      <c r="R421" s="193" t="str">
        <f>IF('Observaciones-SMP'!T421="","",'Observaciones-SMP'!T421)</f>
        <v/>
      </c>
      <c r="S421" s="193" t="str">
        <f>""</f>
        <v/>
      </c>
      <c r="T421" s="193" t="str">
        <f>""</f>
        <v/>
      </c>
      <c r="U421" s="193" t="str">
        <f t="shared" si="24"/>
        <v/>
      </c>
      <c r="V421" s="193" t="str">
        <f>""</f>
        <v/>
      </c>
      <c r="W421" s="193" t="str">
        <f>""</f>
        <v/>
      </c>
      <c r="X421" s="258" t="str">
        <f t="shared" si="25"/>
        <v/>
      </c>
      <c r="Y421" s="258" t="str">
        <f t="shared" si="26"/>
        <v/>
      </c>
      <c r="Z421" s="193" t="str">
        <f>IF(A421="","",IF(COUNTIF('Observaciones-SMP'!$A$2:$A$1001,A421)&gt;1,1,0))</f>
        <v/>
      </c>
      <c r="AA421" s="193" t="str">
        <f t="shared" si="27"/>
        <v/>
      </c>
    </row>
    <row r="422" spans="1:27" ht="13.5" customHeight="1" x14ac:dyDescent="0.3">
      <c r="A422" s="193" t="str">
        <f>IF('Observaciones-SMP'!A422="","",'Observaciones-SMP'!A422)</f>
        <v/>
      </c>
      <c r="B422" s="257" t="str">
        <f>IF('Observaciones-SMP'!B422="","",'Observaciones-SMP'!B422)</f>
        <v/>
      </c>
      <c r="C422" s="193" t="str">
        <f>IF('Observaciones-SMP'!C422="","",'Observaciones-SMP'!C422)</f>
        <v/>
      </c>
      <c r="D422" s="193" t="str">
        <f>IF('Observaciones-SMP'!D422="","",'Observaciones-SMP'!D422)</f>
        <v/>
      </c>
      <c r="E422" s="193" t="str">
        <f>IF('Observaciones-SMP'!E422="","",'Observaciones-SMP'!E422)</f>
        <v/>
      </c>
      <c r="F422" s="193" t="str">
        <f>IF('Observaciones-SMP'!F422="","",'Observaciones-SMP'!F422)</f>
        <v/>
      </c>
      <c r="G422" s="193" t="str">
        <f>IF('Observaciones-SMP'!G422="","",'Observaciones-SMP'!G422)</f>
        <v/>
      </c>
      <c r="H422" s="193" t="str">
        <f>IF('Observaciones-SMP'!H422="","",'Observaciones-SMP'!H422)</f>
        <v/>
      </c>
      <c r="I422" s="193" t="str">
        <f>IF('Observaciones-SMP'!I422="","",'Observaciones-SMP'!I422)</f>
        <v/>
      </c>
      <c r="J422" s="193" t="str">
        <f>IF('Observaciones-SMP'!J422="","",'Observaciones-SMP'!J422)</f>
        <v/>
      </c>
      <c r="K422" s="193" t="str">
        <f>IF('Observaciones-SMP'!K422="","",'Observaciones-SMP'!K422)</f>
        <v/>
      </c>
      <c r="L422" s="193" t="str">
        <f>IF('Observaciones-SMP'!L422="","",'Observaciones-SMP'!L422)</f>
        <v/>
      </c>
      <c r="M422" s="193" t="str">
        <f>IF('Observaciones-SMP'!M422="","",'Observaciones-SMP'!M422)</f>
        <v/>
      </c>
      <c r="N422" s="193" t="str">
        <f>IF('Observaciones-SMP'!N422="","",'Observaciones-SMP'!N422)</f>
        <v/>
      </c>
      <c r="O422" s="193" t="str">
        <f>IF('Observaciones-SMP'!O422="","",'Observaciones-SMP'!O422)</f>
        <v/>
      </c>
      <c r="P422" s="193" t="str">
        <f>IF('Observaciones-SMP'!P422="","",'Observaciones-SMP'!P422)</f>
        <v/>
      </c>
      <c r="Q422" s="257" t="str">
        <f>IF('Observaciones-SMP'!S422="","",'Observaciones-SMP'!S422)</f>
        <v/>
      </c>
      <c r="R422" s="193" t="str">
        <f>IF('Observaciones-SMP'!T422="","",'Observaciones-SMP'!T422)</f>
        <v/>
      </c>
      <c r="S422" s="193" t="str">
        <f>""</f>
        <v/>
      </c>
      <c r="T422" s="193" t="str">
        <f>""</f>
        <v/>
      </c>
      <c r="U422" s="193" t="str">
        <f t="shared" si="24"/>
        <v/>
      </c>
      <c r="V422" s="193" t="str">
        <f>""</f>
        <v/>
      </c>
      <c r="W422" s="193" t="str">
        <f>""</f>
        <v/>
      </c>
      <c r="X422" s="258" t="str">
        <f t="shared" si="25"/>
        <v/>
      </c>
      <c r="Y422" s="258" t="str">
        <f t="shared" si="26"/>
        <v/>
      </c>
      <c r="Z422" s="193" t="str">
        <f>IF(A422="","",IF(COUNTIF('Observaciones-SMP'!$A$2:$A$1001,A422)&gt;1,1,0))</f>
        <v/>
      </c>
      <c r="AA422" s="193" t="str">
        <f t="shared" si="27"/>
        <v/>
      </c>
    </row>
    <row r="423" spans="1:27" ht="13.5" customHeight="1" x14ac:dyDescent="0.3">
      <c r="A423" s="193" t="str">
        <f>IF('Observaciones-SMP'!A423="","",'Observaciones-SMP'!A423)</f>
        <v/>
      </c>
      <c r="B423" s="257" t="str">
        <f>IF('Observaciones-SMP'!B423="","",'Observaciones-SMP'!B423)</f>
        <v/>
      </c>
      <c r="C423" s="193" t="str">
        <f>IF('Observaciones-SMP'!C423="","",'Observaciones-SMP'!C423)</f>
        <v/>
      </c>
      <c r="D423" s="193" t="str">
        <f>IF('Observaciones-SMP'!D423="","",'Observaciones-SMP'!D423)</f>
        <v/>
      </c>
      <c r="E423" s="193" t="str">
        <f>IF('Observaciones-SMP'!E423="","",'Observaciones-SMP'!E423)</f>
        <v/>
      </c>
      <c r="F423" s="193" t="str">
        <f>IF('Observaciones-SMP'!F423="","",'Observaciones-SMP'!F423)</f>
        <v/>
      </c>
      <c r="G423" s="193" t="str">
        <f>IF('Observaciones-SMP'!G423="","",'Observaciones-SMP'!G423)</f>
        <v/>
      </c>
      <c r="H423" s="193" t="str">
        <f>IF('Observaciones-SMP'!H423="","",'Observaciones-SMP'!H423)</f>
        <v/>
      </c>
      <c r="I423" s="193" t="str">
        <f>IF('Observaciones-SMP'!I423="","",'Observaciones-SMP'!I423)</f>
        <v/>
      </c>
      <c r="J423" s="193" t="str">
        <f>IF('Observaciones-SMP'!J423="","",'Observaciones-SMP'!J423)</f>
        <v/>
      </c>
      <c r="K423" s="193" t="str">
        <f>IF('Observaciones-SMP'!K423="","",'Observaciones-SMP'!K423)</f>
        <v/>
      </c>
      <c r="L423" s="193" t="str">
        <f>IF('Observaciones-SMP'!L423="","",'Observaciones-SMP'!L423)</f>
        <v/>
      </c>
      <c r="M423" s="193" t="str">
        <f>IF('Observaciones-SMP'!M423="","",'Observaciones-SMP'!M423)</f>
        <v/>
      </c>
      <c r="N423" s="193" t="str">
        <f>IF('Observaciones-SMP'!N423="","",'Observaciones-SMP'!N423)</f>
        <v/>
      </c>
      <c r="O423" s="193" t="str">
        <f>IF('Observaciones-SMP'!O423="","",'Observaciones-SMP'!O423)</f>
        <v/>
      </c>
      <c r="P423" s="193" t="str">
        <f>IF('Observaciones-SMP'!P423="","",'Observaciones-SMP'!P423)</f>
        <v/>
      </c>
      <c r="Q423" s="257" t="str">
        <f>IF('Observaciones-SMP'!S423="","",'Observaciones-SMP'!S423)</f>
        <v/>
      </c>
      <c r="R423" s="193" t="str">
        <f>IF('Observaciones-SMP'!T423="","",'Observaciones-SMP'!T423)</f>
        <v/>
      </c>
      <c r="S423" s="193" t="str">
        <f>""</f>
        <v/>
      </c>
      <c r="T423" s="193" t="str">
        <f>""</f>
        <v/>
      </c>
      <c r="U423" s="193" t="str">
        <f t="shared" si="24"/>
        <v/>
      </c>
      <c r="V423" s="193" t="str">
        <f>""</f>
        <v/>
      </c>
      <c r="W423" s="193" t="str">
        <f>""</f>
        <v/>
      </c>
      <c r="X423" s="258" t="str">
        <f t="shared" si="25"/>
        <v/>
      </c>
      <c r="Y423" s="258" t="str">
        <f t="shared" si="26"/>
        <v/>
      </c>
      <c r="Z423" s="193" t="str">
        <f>IF(A423="","",IF(COUNTIF('Observaciones-SMP'!$A$2:$A$1001,A423)&gt;1,1,0))</f>
        <v/>
      </c>
      <c r="AA423" s="193" t="str">
        <f t="shared" si="27"/>
        <v/>
      </c>
    </row>
    <row r="424" spans="1:27" ht="13.5" customHeight="1" x14ac:dyDescent="0.3">
      <c r="A424" s="193" t="str">
        <f>IF('Observaciones-SMP'!A424="","",'Observaciones-SMP'!A424)</f>
        <v/>
      </c>
      <c r="B424" s="257" t="str">
        <f>IF('Observaciones-SMP'!B424="","",'Observaciones-SMP'!B424)</f>
        <v/>
      </c>
      <c r="C424" s="193" t="str">
        <f>IF('Observaciones-SMP'!C424="","",'Observaciones-SMP'!C424)</f>
        <v/>
      </c>
      <c r="D424" s="193" t="str">
        <f>IF('Observaciones-SMP'!D424="","",'Observaciones-SMP'!D424)</f>
        <v/>
      </c>
      <c r="E424" s="193" t="str">
        <f>IF('Observaciones-SMP'!E424="","",'Observaciones-SMP'!E424)</f>
        <v/>
      </c>
      <c r="F424" s="193" t="str">
        <f>IF('Observaciones-SMP'!F424="","",'Observaciones-SMP'!F424)</f>
        <v/>
      </c>
      <c r="G424" s="193" t="str">
        <f>IF('Observaciones-SMP'!G424="","",'Observaciones-SMP'!G424)</f>
        <v/>
      </c>
      <c r="H424" s="193" t="str">
        <f>IF('Observaciones-SMP'!H424="","",'Observaciones-SMP'!H424)</f>
        <v/>
      </c>
      <c r="I424" s="193" t="str">
        <f>IF('Observaciones-SMP'!I424="","",'Observaciones-SMP'!I424)</f>
        <v/>
      </c>
      <c r="J424" s="193" t="str">
        <f>IF('Observaciones-SMP'!J424="","",'Observaciones-SMP'!J424)</f>
        <v/>
      </c>
      <c r="K424" s="193" t="str">
        <f>IF('Observaciones-SMP'!K424="","",'Observaciones-SMP'!K424)</f>
        <v/>
      </c>
      <c r="L424" s="193" t="str">
        <f>IF('Observaciones-SMP'!L424="","",'Observaciones-SMP'!L424)</f>
        <v/>
      </c>
      <c r="M424" s="193" t="str">
        <f>IF('Observaciones-SMP'!M424="","",'Observaciones-SMP'!M424)</f>
        <v/>
      </c>
      <c r="N424" s="193" t="str">
        <f>IF('Observaciones-SMP'!N424="","",'Observaciones-SMP'!N424)</f>
        <v/>
      </c>
      <c r="O424" s="193" t="str">
        <f>IF('Observaciones-SMP'!O424="","",'Observaciones-SMP'!O424)</f>
        <v/>
      </c>
      <c r="P424" s="193" t="str">
        <f>IF('Observaciones-SMP'!P424="","",'Observaciones-SMP'!P424)</f>
        <v/>
      </c>
      <c r="Q424" s="257" t="str">
        <f>IF('Observaciones-SMP'!S424="","",'Observaciones-SMP'!S424)</f>
        <v/>
      </c>
      <c r="R424" s="193" t="str">
        <f>IF('Observaciones-SMP'!T424="","",'Observaciones-SMP'!T424)</f>
        <v/>
      </c>
      <c r="S424" s="193" t="str">
        <f>""</f>
        <v/>
      </c>
      <c r="T424" s="193" t="str">
        <f>""</f>
        <v/>
      </c>
      <c r="U424" s="193" t="str">
        <f t="shared" si="24"/>
        <v/>
      </c>
      <c r="V424" s="193" t="str">
        <f>""</f>
        <v/>
      </c>
      <c r="W424" s="193" t="str">
        <f>""</f>
        <v/>
      </c>
      <c r="X424" s="258" t="str">
        <f t="shared" si="25"/>
        <v/>
      </c>
      <c r="Y424" s="258" t="str">
        <f t="shared" si="26"/>
        <v/>
      </c>
      <c r="Z424" s="193" t="str">
        <f>IF(A424="","",IF(COUNTIF('Observaciones-SMP'!$A$2:$A$1001,A424)&gt;1,1,0))</f>
        <v/>
      </c>
      <c r="AA424" s="193" t="str">
        <f t="shared" si="27"/>
        <v/>
      </c>
    </row>
    <row r="425" spans="1:27" ht="13.5" customHeight="1" x14ac:dyDescent="0.3">
      <c r="A425" s="193" t="str">
        <f>IF('Observaciones-SMP'!A425="","",'Observaciones-SMP'!A425)</f>
        <v/>
      </c>
      <c r="B425" s="257" t="str">
        <f>IF('Observaciones-SMP'!B425="","",'Observaciones-SMP'!B425)</f>
        <v/>
      </c>
      <c r="C425" s="193" t="str">
        <f>IF('Observaciones-SMP'!C425="","",'Observaciones-SMP'!C425)</f>
        <v/>
      </c>
      <c r="D425" s="193" t="str">
        <f>IF('Observaciones-SMP'!D425="","",'Observaciones-SMP'!D425)</f>
        <v/>
      </c>
      <c r="E425" s="193" t="str">
        <f>IF('Observaciones-SMP'!E425="","",'Observaciones-SMP'!E425)</f>
        <v/>
      </c>
      <c r="F425" s="193" t="str">
        <f>IF('Observaciones-SMP'!F425="","",'Observaciones-SMP'!F425)</f>
        <v/>
      </c>
      <c r="G425" s="193" t="str">
        <f>IF('Observaciones-SMP'!G425="","",'Observaciones-SMP'!G425)</f>
        <v/>
      </c>
      <c r="H425" s="193" t="str">
        <f>IF('Observaciones-SMP'!H425="","",'Observaciones-SMP'!H425)</f>
        <v/>
      </c>
      <c r="I425" s="193" t="str">
        <f>IF('Observaciones-SMP'!I425="","",'Observaciones-SMP'!I425)</f>
        <v/>
      </c>
      <c r="J425" s="193" t="str">
        <f>IF('Observaciones-SMP'!J425="","",'Observaciones-SMP'!J425)</f>
        <v/>
      </c>
      <c r="K425" s="193" t="str">
        <f>IF('Observaciones-SMP'!K425="","",'Observaciones-SMP'!K425)</f>
        <v/>
      </c>
      <c r="L425" s="193" t="str">
        <f>IF('Observaciones-SMP'!L425="","",'Observaciones-SMP'!L425)</f>
        <v/>
      </c>
      <c r="M425" s="193" t="str">
        <f>IF('Observaciones-SMP'!M425="","",'Observaciones-SMP'!M425)</f>
        <v/>
      </c>
      <c r="N425" s="193" t="str">
        <f>IF('Observaciones-SMP'!N425="","",'Observaciones-SMP'!N425)</f>
        <v/>
      </c>
      <c r="O425" s="193" t="str">
        <f>IF('Observaciones-SMP'!O425="","",'Observaciones-SMP'!O425)</f>
        <v/>
      </c>
      <c r="P425" s="193" t="str">
        <f>IF('Observaciones-SMP'!P425="","",'Observaciones-SMP'!P425)</f>
        <v/>
      </c>
      <c r="Q425" s="257" t="str">
        <f>IF('Observaciones-SMP'!S425="","",'Observaciones-SMP'!S425)</f>
        <v/>
      </c>
      <c r="R425" s="193" t="str">
        <f>IF('Observaciones-SMP'!T425="","",'Observaciones-SMP'!T425)</f>
        <v/>
      </c>
      <c r="S425" s="193" t="str">
        <f>""</f>
        <v/>
      </c>
      <c r="T425" s="193" t="str">
        <f>""</f>
        <v/>
      </c>
      <c r="U425" s="193" t="str">
        <f t="shared" si="24"/>
        <v/>
      </c>
      <c r="V425" s="193" t="str">
        <f>""</f>
        <v/>
      </c>
      <c r="W425" s="193" t="str">
        <f>""</f>
        <v/>
      </c>
      <c r="X425" s="258" t="str">
        <f t="shared" si="25"/>
        <v/>
      </c>
      <c r="Y425" s="258" t="str">
        <f t="shared" si="26"/>
        <v/>
      </c>
      <c r="Z425" s="193" t="str">
        <f>IF(A425="","",IF(COUNTIF('Observaciones-SMP'!$A$2:$A$1001,A425)&gt;1,1,0))</f>
        <v/>
      </c>
      <c r="AA425" s="193" t="str">
        <f t="shared" si="27"/>
        <v/>
      </c>
    </row>
    <row r="426" spans="1:27" ht="13.5" customHeight="1" x14ac:dyDescent="0.3">
      <c r="A426" s="193" t="str">
        <f>IF('Observaciones-SMP'!A426="","",'Observaciones-SMP'!A426)</f>
        <v/>
      </c>
      <c r="B426" s="257" t="str">
        <f>IF('Observaciones-SMP'!B426="","",'Observaciones-SMP'!B426)</f>
        <v/>
      </c>
      <c r="C426" s="193" t="str">
        <f>IF('Observaciones-SMP'!C426="","",'Observaciones-SMP'!C426)</f>
        <v/>
      </c>
      <c r="D426" s="193" t="str">
        <f>IF('Observaciones-SMP'!D426="","",'Observaciones-SMP'!D426)</f>
        <v/>
      </c>
      <c r="E426" s="193" t="str">
        <f>IF('Observaciones-SMP'!E426="","",'Observaciones-SMP'!E426)</f>
        <v/>
      </c>
      <c r="F426" s="193" t="str">
        <f>IF('Observaciones-SMP'!F426="","",'Observaciones-SMP'!F426)</f>
        <v/>
      </c>
      <c r="G426" s="193" t="str">
        <f>IF('Observaciones-SMP'!G426="","",'Observaciones-SMP'!G426)</f>
        <v/>
      </c>
      <c r="H426" s="193" t="str">
        <f>IF('Observaciones-SMP'!H426="","",'Observaciones-SMP'!H426)</f>
        <v/>
      </c>
      <c r="I426" s="193" t="str">
        <f>IF('Observaciones-SMP'!I426="","",'Observaciones-SMP'!I426)</f>
        <v/>
      </c>
      <c r="J426" s="193" t="str">
        <f>IF('Observaciones-SMP'!J426="","",'Observaciones-SMP'!J426)</f>
        <v/>
      </c>
      <c r="K426" s="193" t="str">
        <f>IF('Observaciones-SMP'!K426="","",'Observaciones-SMP'!K426)</f>
        <v/>
      </c>
      <c r="L426" s="193" t="str">
        <f>IF('Observaciones-SMP'!L426="","",'Observaciones-SMP'!L426)</f>
        <v/>
      </c>
      <c r="M426" s="193" t="str">
        <f>IF('Observaciones-SMP'!M426="","",'Observaciones-SMP'!M426)</f>
        <v/>
      </c>
      <c r="N426" s="193" t="str">
        <f>IF('Observaciones-SMP'!N426="","",'Observaciones-SMP'!N426)</f>
        <v/>
      </c>
      <c r="O426" s="193" t="str">
        <f>IF('Observaciones-SMP'!O426="","",'Observaciones-SMP'!O426)</f>
        <v/>
      </c>
      <c r="P426" s="193" t="str">
        <f>IF('Observaciones-SMP'!P426="","",'Observaciones-SMP'!P426)</f>
        <v/>
      </c>
      <c r="Q426" s="257" t="str">
        <f>IF('Observaciones-SMP'!S426="","",'Observaciones-SMP'!S426)</f>
        <v/>
      </c>
      <c r="R426" s="193" t="str">
        <f>IF('Observaciones-SMP'!T426="","",'Observaciones-SMP'!T426)</f>
        <v/>
      </c>
      <c r="S426" s="193" t="str">
        <f>""</f>
        <v/>
      </c>
      <c r="T426" s="193" t="str">
        <f>""</f>
        <v/>
      </c>
      <c r="U426" s="193" t="str">
        <f t="shared" si="24"/>
        <v/>
      </c>
      <c r="V426" s="193" t="str">
        <f>""</f>
        <v/>
      </c>
      <c r="W426" s="193" t="str">
        <f>""</f>
        <v/>
      </c>
      <c r="X426" s="258" t="str">
        <f t="shared" si="25"/>
        <v/>
      </c>
      <c r="Y426" s="258" t="str">
        <f t="shared" si="26"/>
        <v/>
      </c>
      <c r="Z426" s="193" t="str">
        <f>IF(A426="","",IF(COUNTIF('Observaciones-SMP'!$A$2:$A$1001,A426)&gt;1,1,0))</f>
        <v/>
      </c>
      <c r="AA426" s="193" t="str">
        <f t="shared" si="27"/>
        <v/>
      </c>
    </row>
    <row r="427" spans="1:27" ht="13.5" customHeight="1" x14ac:dyDescent="0.3">
      <c r="A427" s="193" t="str">
        <f>IF('Observaciones-SMP'!A427="","",'Observaciones-SMP'!A427)</f>
        <v/>
      </c>
      <c r="B427" s="257" t="str">
        <f>IF('Observaciones-SMP'!B427="","",'Observaciones-SMP'!B427)</f>
        <v/>
      </c>
      <c r="C427" s="193" t="str">
        <f>IF('Observaciones-SMP'!C427="","",'Observaciones-SMP'!C427)</f>
        <v/>
      </c>
      <c r="D427" s="193" t="str">
        <f>IF('Observaciones-SMP'!D427="","",'Observaciones-SMP'!D427)</f>
        <v/>
      </c>
      <c r="E427" s="193" t="str">
        <f>IF('Observaciones-SMP'!E427="","",'Observaciones-SMP'!E427)</f>
        <v/>
      </c>
      <c r="F427" s="193" t="str">
        <f>IF('Observaciones-SMP'!F427="","",'Observaciones-SMP'!F427)</f>
        <v/>
      </c>
      <c r="G427" s="193" t="str">
        <f>IF('Observaciones-SMP'!G427="","",'Observaciones-SMP'!G427)</f>
        <v/>
      </c>
      <c r="H427" s="193" t="str">
        <f>IF('Observaciones-SMP'!H427="","",'Observaciones-SMP'!H427)</f>
        <v/>
      </c>
      <c r="I427" s="193" t="str">
        <f>IF('Observaciones-SMP'!I427="","",'Observaciones-SMP'!I427)</f>
        <v/>
      </c>
      <c r="J427" s="193" t="str">
        <f>IF('Observaciones-SMP'!J427="","",'Observaciones-SMP'!J427)</f>
        <v/>
      </c>
      <c r="K427" s="193" t="str">
        <f>IF('Observaciones-SMP'!K427="","",'Observaciones-SMP'!K427)</f>
        <v/>
      </c>
      <c r="L427" s="193" t="str">
        <f>IF('Observaciones-SMP'!L427="","",'Observaciones-SMP'!L427)</f>
        <v/>
      </c>
      <c r="M427" s="193" t="str">
        <f>IF('Observaciones-SMP'!M427="","",'Observaciones-SMP'!M427)</f>
        <v/>
      </c>
      <c r="N427" s="193" t="str">
        <f>IF('Observaciones-SMP'!N427="","",'Observaciones-SMP'!N427)</f>
        <v/>
      </c>
      <c r="O427" s="193" t="str">
        <f>IF('Observaciones-SMP'!O427="","",'Observaciones-SMP'!O427)</f>
        <v/>
      </c>
      <c r="P427" s="193" t="str">
        <f>IF('Observaciones-SMP'!P427="","",'Observaciones-SMP'!P427)</f>
        <v/>
      </c>
      <c r="Q427" s="257" t="str">
        <f>IF('Observaciones-SMP'!S427="","",'Observaciones-SMP'!S427)</f>
        <v/>
      </c>
      <c r="R427" s="193" t="str">
        <f>IF('Observaciones-SMP'!T427="","",'Observaciones-SMP'!T427)</f>
        <v/>
      </c>
      <c r="S427" s="193" t="str">
        <f>""</f>
        <v/>
      </c>
      <c r="T427" s="193" t="str">
        <f>""</f>
        <v/>
      </c>
      <c r="U427" s="193" t="str">
        <f t="shared" si="24"/>
        <v/>
      </c>
      <c r="V427" s="193" t="str">
        <f>""</f>
        <v/>
      </c>
      <c r="W427" s="193" t="str">
        <f>""</f>
        <v/>
      </c>
      <c r="X427" s="258" t="str">
        <f t="shared" si="25"/>
        <v/>
      </c>
      <c r="Y427" s="258" t="str">
        <f t="shared" si="26"/>
        <v/>
      </c>
      <c r="Z427" s="193" t="str">
        <f>IF(A427="","",IF(COUNTIF('Observaciones-SMP'!$A$2:$A$1001,A427)&gt;1,1,0))</f>
        <v/>
      </c>
      <c r="AA427" s="193" t="str">
        <f t="shared" si="27"/>
        <v/>
      </c>
    </row>
    <row r="428" spans="1:27" ht="13.5" customHeight="1" x14ac:dyDescent="0.3">
      <c r="A428" s="193" t="str">
        <f>IF('Observaciones-SMP'!A428="","",'Observaciones-SMP'!A428)</f>
        <v/>
      </c>
      <c r="B428" s="257" t="str">
        <f>IF('Observaciones-SMP'!B428="","",'Observaciones-SMP'!B428)</f>
        <v/>
      </c>
      <c r="C428" s="193" t="str">
        <f>IF('Observaciones-SMP'!C428="","",'Observaciones-SMP'!C428)</f>
        <v/>
      </c>
      <c r="D428" s="193" t="str">
        <f>IF('Observaciones-SMP'!D428="","",'Observaciones-SMP'!D428)</f>
        <v/>
      </c>
      <c r="E428" s="193" t="str">
        <f>IF('Observaciones-SMP'!E428="","",'Observaciones-SMP'!E428)</f>
        <v/>
      </c>
      <c r="F428" s="193" t="str">
        <f>IF('Observaciones-SMP'!F428="","",'Observaciones-SMP'!F428)</f>
        <v/>
      </c>
      <c r="G428" s="193" t="str">
        <f>IF('Observaciones-SMP'!G428="","",'Observaciones-SMP'!G428)</f>
        <v/>
      </c>
      <c r="H428" s="193" t="str">
        <f>IF('Observaciones-SMP'!H428="","",'Observaciones-SMP'!H428)</f>
        <v/>
      </c>
      <c r="I428" s="193" t="str">
        <f>IF('Observaciones-SMP'!I428="","",'Observaciones-SMP'!I428)</f>
        <v/>
      </c>
      <c r="J428" s="193" t="str">
        <f>IF('Observaciones-SMP'!J428="","",'Observaciones-SMP'!J428)</f>
        <v/>
      </c>
      <c r="K428" s="193" t="str">
        <f>IF('Observaciones-SMP'!K428="","",'Observaciones-SMP'!K428)</f>
        <v/>
      </c>
      <c r="L428" s="193" t="str">
        <f>IF('Observaciones-SMP'!L428="","",'Observaciones-SMP'!L428)</f>
        <v/>
      </c>
      <c r="M428" s="193" t="str">
        <f>IF('Observaciones-SMP'!M428="","",'Observaciones-SMP'!M428)</f>
        <v/>
      </c>
      <c r="N428" s="193" t="str">
        <f>IF('Observaciones-SMP'!N428="","",'Observaciones-SMP'!N428)</f>
        <v/>
      </c>
      <c r="O428" s="193" t="str">
        <f>IF('Observaciones-SMP'!O428="","",'Observaciones-SMP'!O428)</f>
        <v/>
      </c>
      <c r="P428" s="193" t="str">
        <f>IF('Observaciones-SMP'!P428="","",'Observaciones-SMP'!P428)</f>
        <v/>
      </c>
      <c r="Q428" s="257" t="str">
        <f>IF('Observaciones-SMP'!S428="","",'Observaciones-SMP'!S428)</f>
        <v/>
      </c>
      <c r="R428" s="193" t="str">
        <f>IF('Observaciones-SMP'!T428="","",'Observaciones-SMP'!T428)</f>
        <v/>
      </c>
      <c r="S428" s="193" t="str">
        <f>""</f>
        <v/>
      </c>
      <c r="T428" s="193" t="str">
        <f>""</f>
        <v/>
      </c>
      <c r="U428" s="193" t="str">
        <f t="shared" si="24"/>
        <v/>
      </c>
      <c r="V428" s="193" t="str">
        <f>""</f>
        <v/>
      </c>
      <c r="W428" s="193" t="str">
        <f>""</f>
        <v/>
      </c>
      <c r="X428" s="258" t="str">
        <f t="shared" si="25"/>
        <v/>
      </c>
      <c r="Y428" s="258" t="str">
        <f t="shared" si="26"/>
        <v/>
      </c>
      <c r="Z428" s="193" t="str">
        <f>IF(A428="","",IF(COUNTIF('Observaciones-SMP'!$A$2:$A$1001,A428)&gt;1,1,0))</f>
        <v/>
      </c>
      <c r="AA428" s="193" t="str">
        <f t="shared" si="27"/>
        <v/>
      </c>
    </row>
    <row r="429" spans="1:27" ht="13.5" customHeight="1" x14ac:dyDescent="0.3">
      <c r="A429" s="193" t="str">
        <f>IF('Observaciones-SMP'!A429="","",'Observaciones-SMP'!A429)</f>
        <v/>
      </c>
      <c r="B429" s="257" t="str">
        <f>IF('Observaciones-SMP'!B429="","",'Observaciones-SMP'!B429)</f>
        <v/>
      </c>
      <c r="C429" s="193" t="str">
        <f>IF('Observaciones-SMP'!C429="","",'Observaciones-SMP'!C429)</f>
        <v/>
      </c>
      <c r="D429" s="193" t="str">
        <f>IF('Observaciones-SMP'!D429="","",'Observaciones-SMP'!D429)</f>
        <v/>
      </c>
      <c r="E429" s="193" t="str">
        <f>IF('Observaciones-SMP'!E429="","",'Observaciones-SMP'!E429)</f>
        <v/>
      </c>
      <c r="F429" s="193" t="str">
        <f>IF('Observaciones-SMP'!F429="","",'Observaciones-SMP'!F429)</f>
        <v/>
      </c>
      <c r="G429" s="193" t="str">
        <f>IF('Observaciones-SMP'!G429="","",'Observaciones-SMP'!G429)</f>
        <v/>
      </c>
      <c r="H429" s="193" t="str">
        <f>IF('Observaciones-SMP'!H429="","",'Observaciones-SMP'!H429)</f>
        <v/>
      </c>
      <c r="I429" s="193" t="str">
        <f>IF('Observaciones-SMP'!I429="","",'Observaciones-SMP'!I429)</f>
        <v/>
      </c>
      <c r="J429" s="193" t="str">
        <f>IF('Observaciones-SMP'!J429="","",'Observaciones-SMP'!J429)</f>
        <v/>
      </c>
      <c r="K429" s="193" t="str">
        <f>IF('Observaciones-SMP'!K429="","",'Observaciones-SMP'!K429)</f>
        <v/>
      </c>
      <c r="L429" s="193" t="str">
        <f>IF('Observaciones-SMP'!L429="","",'Observaciones-SMP'!L429)</f>
        <v/>
      </c>
      <c r="M429" s="193" t="str">
        <f>IF('Observaciones-SMP'!M429="","",'Observaciones-SMP'!M429)</f>
        <v/>
      </c>
      <c r="N429" s="193" t="str">
        <f>IF('Observaciones-SMP'!N429="","",'Observaciones-SMP'!N429)</f>
        <v/>
      </c>
      <c r="O429" s="193" t="str">
        <f>IF('Observaciones-SMP'!O429="","",'Observaciones-SMP'!O429)</f>
        <v/>
      </c>
      <c r="P429" s="193" t="str">
        <f>IF('Observaciones-SMP'!P429="","",'Observaciones-SMP'!P429)</f>
        <v/>
      </c>
      <c r="Q429" s="257" t="str">
        <f>IF('Observaciones-SMP'!S429="","",'Observaciones-SMP'!S429)</f>
        <v/>
      </c>
      <c r="R429" s="193" t="str">
        <f>IF('Observaciones-SMP'!T429="","",'Observaciones-SMP'!T429)</f>
        <v/>
      </c>
      <c r="S429" s="193" t="str">
        <f>""</f>
        <v/>
      </c>
      <c r="T429" s="193" t="str">
        <f>""</f>
        <v/>
      </c>
      <c r="U429" s="193" t="str">
        <f t="shared" si="24"/>
        <v/>
      </c>
      <c r="V429" s="193" t="str">
        <f>""</f>
        <v/>
      </c>
      <c r="W429" s="193" t="str">
        <f>""</f>
        <v/>
      </c>
      <c r="X429" s="258" t="str">
        <f t="shared" si="25"/>
        <v/>
      </c>
      <c r="Y429" s="258" t="str">
        <f t="shared" si="26"/>
        <v/>
      </c>
      <c r="Z429" s="193" t="str">
        <f>IF(A429="","",IF(COUNTIF('Observaciones-SMP'!$A$2:$A$1001,A429)&gt;1,1,0))</f>
        <v/>
      </c>
      <c r="AA429" s="193" t="str">
        <f t="shared" si="27"/>
        <v/>
      </c>
    </row>
    <row r="430" spans="1:27" ht="13.5" customHeight="1" x14ac:dyDescent="0.3">
      <c r="A430" s="193" t="str">
        <f>IF('Observaciones-SMP'!A430="","",'Observaciones-SMP'!A430)</f>
        <v/>
      </c>
      <c r="B430" s="257" t="str">
        <f>IF('Observaciones-SMP'!B430="","",'Observaciones-SMP'!B430)</f>
        <v/>
      </c>
      <c r="C430" s="193" t="str">
        <f>IF('Observaciones-SMP'!C430="","",'Observaciones-SMP'!C430)</f>
        <v/>
      </c>
      <c r="D430" s="193" t="str">
        <f>IF('Observaciones-SMP'!D430="","",'Observaciones-SMP'!D430)</f>
        <v/>
      </c>
      <c r="E430" s="193" t="str">
        <f>IF('Observaciones-SMP'!E430="","",'Observaciones-SMP'!E430)</f>
        <v/>
      </c>
      <c r="F430" s="193" t="str">
        <f>IF('Observaciones-SMP'!F430="","",'Observaciones-SMP'!F430)</f>
        <v/>
      </c>
      <c r="G430" s="193" t="str">
        <f>IF('Observaciones-SMP'!G430="","",'Observaciones-SMP'!G430)</f>
        <v/>
      </c>
      <c r="H430" s="193" t="str">
        <f>IF('Observaciones-SMP'!H430="","",'Observaciones-SMP'!H430)</f>
        <v/>
      </c>
      <c r="I430" s="193" t="str">
        <f>IF('Observaciones-SMP'!I430="","",'Observaciones-SMP'!I430)</f>
        <v/>
      </c>
      <c r="J430" s="193" t="str">
        <f>IF('Observaciones-SMP'!J430="","",'Observaciones-SMP'!J430)</f>
        <v/>
      </c>
      <c r="K430" s="193" t="str">
        <f>IF('Observaciones-SMP'!K430="","",'Observaciones-SMP'!K430)</f>
        <v/>
      </c>
      <c r="L430" s="193" t="str">
        <f>IF('Observaciones-SMP'!L430="","",'Observaciones-SMP'!L430)</f>
        <v/>
      </c>
      <c r="M430" s="193" t="str">
        <f>IF('Observaciones-SMP'!M430="","",'Observaciones-SMP'!M430)</f>
        <v/>
      </c>
      <c r="N430" s="193" t="str">
        <f>IF('Observaciones-SMP'!N430="","",'Observaciones-SMP'!N430)</f>
        <v/>
      </c>
      <c r="O430" s="193" t="str">
        <f>IF('Observaciones-SMP'!O430="","",'Observaciones-SMP'!O430)</f>
        <v/>
      </c>
      <c r="P430" s="193" t="str">
        <f>IF('Observaciones-SMP'!P430="","",'Observaciones-SMP'!P430)</f>
        <v/>
      </c>
      <c r="Q430" s="257" t="str">
        <f>IF('Observaciones-SMP'!S430="","",'Observaciones-SMP'!S430)</f>
        <v/>
      </c>
      <c r="R430" s="193" t="str">
        <f>IF('Observaciones-SMP'!T430="","",'Observaciones-SMP'!T430)</f>
        <v/>
      </c>
      <c r="S430" s="193" t="str">
        <f>""</f>
        <v/>
      </c>
      <c r="T430" s="193" t="str">
        <f>""</f>
        <v/>
      </c>
      <c r="U430" s="193" t="str">
        <f t="shared" si="24"/>
        <v/>
      </c>
      <c r="V430" s="193" t="str">
        <f>""</f>
        <v/>
      </c>
      <c r="W430" s="193" t="str">
        <f>""</f>
        <v/>
      </c>
      <c r="X430" s="258" t="str">
        <f t="shared" si="25"/>
        <v/>
      </c>
      <c r="Y430" s="258" t="str">
        <f t="shared" si="26"/>
        <v/>
      </c>
      <c r="Z430" s="193" t="str">
        <f>IF(A430="","",IF(COUNTIF('Observaciones-SMP'!$A$2:$A$1001,A430)&gt;1,1,0))</f>
        <v/>
      </c>
      <c r="AA430" s="193" t="str">
        <f t="shared" si="27"/>
        <v/>
      </c>
    </row>
    <row r="431" spans="1:27" ht="13.5" customHeight="1" x14ac:dyDescent="0.3">
      <c r="A431" s="193" t="str">
        <f>IF('Observaciones-SMP'!A431="","",'Observaciones-SMP'!A431)</f>
        <v/>
      </c>
      <c r="B431" s="257" t="str">
        <f>IF('Observaciones-SMP'!B431="","",'Observaciones-SMP'!B431)</f>
        <v/>
      </c>
      <c r="C431" s="193" t="str">
        <f>IF('Observaciones-SMP'!C431="","",'Observaciones-SMP'!C431)</f>
        <v/>
      </c>
      <c r="D431" s="193" t="str">
        <f>IF('Observaciones-SMP'!D431="","",'Observaciones-SMP'!D431)</f>
        <v/>
      </c>
      <c r="E431" s="193" t="str">
        <f>IF('Observaciones-SMP'!E431="","",'Observaciones-SMP'!E431)</f>
        <v/>
      </c>
      <c r="F431" s="193" t="str">
        <f>IF('Observaciones-SMP'!F431="","",'Observaciones-SMP'!F431)</f>
        <v/>
      </c>
      <c r="G431" s="193" t="str">
        <f>IF('Observaciones-SMP'!G431="","",'Observaciones-SMP'!G431)</f>
        <v/>
      </c>
      <c r="H431" s="193" t="str">
        <f>IF('Observaciones-SMP'!H431="","",'Observaciones-SMP'!H431)</f>
        <v/>
      </c>
      <c r="I431" s="193" t="str">
        <f>IF('Observaciones-SMP'!I431="","",'Observaciones-SMP'!I431)</f>
        <v/>
      </c>
      <c r="J431" s="193" t="str">
        <f>IF('Observaciones-SMP'!J431="","",'Observaciones-SMP'!J431)</f>
        <v/>
      </c>
      <c r="K431" s="193" t="str">
        <f>IF('Observaciones-SMP'!K431="","",'Observaciones-SMP'!K431)</f>
        <v/>
      </c>
      <c r="L431" s="193" t="str">
        <f>IF('Observaciones-SMP'!L431="","",'Observaciones-SMP'!L431)</f>
        <v/>
      </c>
      <c r="M431" s="193" t="str">
        <f>IF('Observaciones-SMP'!M431="","",'Observaciones-SMP'!M431)</f>
        <v/>
      </c>
      <c r="N431" s="193" t="str">
        <f>IF('Observaciones-SMP'!N431="","",'Observaciones-SMP'!N431)</f>
        <v/>
      </c>
      <c r="O431" s="193" t="str">
        <f>IF('Observaciones-SMP'!O431="","",'Observaciones-SMP'!O431)</f>
        <v/>
      </c>
      <c r="P431" s="193" t="str">
        <f>IF('Observaciones-SMP'!P431="","",'Observaciones-SMP'!P431)</f>
        <v/>
      </c>
      <c r="Q431" s="257" t="str">
        <f>IF('Observaciones-SMP'!S431="","",'Observaciones-SMP'!S431)</f>
        <v/>
      </c>
      <c r="R431" s="193" t="str">
        <f>IF('Observaciones-SMP'!T431="","",'Observaciones-SMP'!T431)</f>
        <v/>
      </c>
      <c r="S431" s="193" t="str">
        <f>""</f>
        <v/>
      </c>
      <c r="T431" s="193" t="str">
        <f>""</f>
        <v/>
      </c>
      <c r="U431" s="193" t="str">
        <f t="shared" si="24"/>
        <v/>
      </c>
      <c r="V431" s="193" t="str">
        <f>""</f>
        <v/>
      </c>
      <c r="W431" s="193" t="str">
        <f>""</f>
        <v/>
      </c>
      <c r="X431" s="258" t="str">
        <f t="shared" si="25"/>
        <v/>
      </c>
      <c r="Y431" s="258" t="str">
        <f t="shared" si="26"/>
        <v/>
      </c>
      <c r="Z431" s="193" t="str">
        <f>IF(A431="","",IF(COUNTIF('Observaciones-SMP'!$A$2:$A$1001,A431)&gt;1,1,0))</f>
        <v/>
      </c>
      <c r="AA431" s="193" t="str">
        <f t="shared" si="27"/>
        <v/>
      </c>
    </row>
    <row r="432" spans="1:27" ht="13.5" customHeight="1" x14ac:dyDescent="0.3">
      <c r="A432" s="193" t="str">
        <f>IF('Observaciones-SMP'!A432="","",'Observaciones-SMP'!A432)</f>
        <v/>
      </c>
      <c r="B432" s="257" t="str">
        <f>IF('Observaciones-SMP'!B432="","",'Observaciones-SMP'!B432)</f>
        <v/>
      </c>
      <c r="C432" s="193" t="str">
        <f>IF('Observaciones-SMP'!C432="","",'Observaciones-SMP'!C432)</f>
        <v/>
      </c>
      <c r="D432" s="193" t="str">
        <f>IF('Observaciones-SMP'!D432="","",'Observaciones-SMP'!D432)</f>
        <v/>
      </c>
      <c r="E432" s="193" t="str">
        <f>IF('Observaciones-SMP'!E432="","",'Observaciones-SMP'!E432)</f>
        <v/>
      </c>
      <c r="F432" s="193" t="str">
        <f>IF('Observaciones-SMP'!F432="","",'Observaciones-SMP'!F432)</f>
        <v/>
      </c>
      <c r="G432" s="193" t="str">
        <f>IF('Observaciones-SMP'!G432="","",'Observaciones-SMP'!G432)</f>
        <v/>
      </c>
      <c r="H432" s="193" t="str">
        <f>IF('Observaciones-SMP'!H432="","",'Observaciones-SMP'!H432)</f>
        <v/>
      </c>
      <c r="I432" s="193" t="str">
        <f>IF('Observaciones-SMP'!I432="","",'Observaciones-SMP'!I432)</f>
        <v/>
      </c>
      <c r="J432" s="193" t="str">
        <f>IF('Observaciones-SMP'!J432="","",'Observaciones-SMP'!J432)</f>
        <v/>
      </c>
      <c r="K432" s="193" t="str">
        <f>IF('Observaciones-SMP'!K432="","",'Observaciones-SMP'!K432)</f>
        <v/>
      </c>
      <c r="L432" s="193" t="str">
        <f>IF('Observaciones-SMP'!L432="","",'Observaciones-SMP'!L432)</f>
        <v/>
      </c>
      <c r="M432" s="193" t="str">
        <f>IF('Observaciones-SMP'!M432="","",'Observaciones-SMP'!M432)</f>
        <v/>
      </c>
      <c r="N432" s="193" t="str">
        <f>IF('Observaciones-SMP'!N432="","",'Observaciones-SMP'!N432)</f>
        <v/>
      </c>
      <c r="O432" s="193" t="str">
        <f>IF('Observaciones-SMP'!O432="","",'Observaciones-SMP'!O432)</f>
        <v/>
      </c>
      <c r="P432" s="193" t="str">
        <f>IF('Observaciones-SMP'!P432="","",'Observaciones-SMP'!P432)</f>
        <v/>
      </c>
      <c r="Q432" s="257" t="str">
        <f>IF('Observaciones-SMP'!S432="","",'Observaciones-SMP'!S432)</f>
        <v/>
      </c>
      <c r="R432" s="193" t="str">
        <f>IF('Observaciones-SMP'!T432="","",'Observaciones-SMP'!T432)</f>
        <v/>
      </c>
      <c r="S432" s="193" t="str">
        <f>""</f>
        <v/>
      </c>
      <c r="T432" s="193" t="str">
        <f>""</f>
        <v/>
      </c>
      <c r="U432" s="193" t="str">
        <f t="shared" si="24"/>
        <v/>
      </c>
      <c r="V432" s="193" t="str">
        <f>""</f>
        <v/>
      </c>
      <c r="W432" s="193" t="str">
        <f>""</f>
        <v/>
      </c>
      <c r="X432" s="258" t="str">
        <f t="shared" si="25"/>
        <v/>
      </c>
      <c r="Y432" s="258" t="str">
        <f t="shared" si="26"/>
        <v/>
      </c>
      <c r="Z432" s="193" t="str">
        <f>IF(A432="","",IF(COUNTIF('Observaciones-SMP'!$A$2:$A$1001,A432)&gt;1,1,0))</f>
        <v/>
      </c>
      <c r="AA432" s="193" t="str">
        <f t="shared" si="27"/>
        <v/>
      </c>
    </row>
    <row r="433" spans="1:27" ht="13.5" customHeight="1" x14ac:dyDescent="0.3">
      <c r="A433" s="193" t="str">
        <f>IF('Observaciones-SMP'!A433="","",'Observaciones-SMP'!A433)</f>
        <v/>
      </c>
      <c r="B433" s="257" t="str">
        <f>IF('Observaciones-SMP'!B433="","",'Observaciones-SMP'!B433)</f>
        <v/>
      </c>
      <c r="C433" s="193" t="str">
        <f>IF('Observaciones-SMP'!C433="","",'Observaciones-SMP'!C433)</f>
        <v/>
      </c>
      <c r="D433" s="193" t="str">
        <f>IF('Observaciones-SMP'!D433="","",'Observaciones-SMP'!D433)</f>
        <v/>
      </c>
      <c r="E433" s="193" t="str">
        <f>IF('Observaciones-SMP'!E433="","",'Observaciones-SMP'!E433)</f>
        <v/>
      </c>
      <c r="F433" s="193" t="str">
        <f>IF('Observaciones-SMP'!F433="","",'Observaciones-SMP'!F433)</f>
        <v/>
      </c>
      <c r="G433" s="193" t="str">
        <f>IF('Observaciones-SMP'!G433="","",'Observaciones-SMP'!G433)</f>
        <v/>
      </c>
      <c r="H433" s="193" t="str">
        <f>IF('Observaciones-SMP'!H433="","",'Observaciones-SMP'!H433)</f>
        <v/>
      </c>
      <c r="I433" s="193" t="str">
        <f>IF('Observaciones-SMP'!I433="","",'Observaciones-SMP'!I433)</f>
        <v/>
      </c>
      <c r="J433" s="193" t="str">
        <f>IF('Observaciones-SMP'!J433="","",'Observaciones-SMP'!J433)</f>
        <v/>
      </c>
      <c r="K433" s="193" t="str">
        <f>IF('Observaciones-SMP'!K433="","",'Observaciones-SMP'!K433)</f>
        <v/>
      </c>
      <c r="L433" s="193" t="str">
        <f>IF('Observaciones-SMP'!L433="","",'Observaciones-SMP'!L433)</f>
        <v/>
      </c>
      <c r="M433" s="193" t="str">
        <f>IF('Observaciones-SMP'!M433="","",'Observaciones-SMP'!M433)</f>
        <v/>
      </c>
      <c r="N433" s="193" t="str">
        <f>IF('Observaciones-SMP'!N433="","",'Observaciones-SMP'!N433)</f>
        <v/>
      </c>
      <c r="O433" s="193" t="str">
        <f>IF('Observaciones-SMP'!O433="","",'Observaciones-SMP'!O433)</f>
        <v/>
      </c>
      <c r="P433" s="193" t="str">
        <f>IF('Observaciones-SMP'!P433="","",'Observaciones-SMP'!P433)</f>
        <v/>
      </c>
      <c r="Q433" s="257" t="str">
        <f>IF('Observaciones-SMP'!S433="","",'Observaciones-SMP'!S433)</f>
        <v/>
      </c>
      <c r="R433" s="193" t="str">
        <f>IF('Observaciones-SMP'!T433="","",'Observaciones-SMP'!T433)</f>
        <v/>
      </c>
      <c r="S433" s="193" t="str">
        <f>""</f>
        <v/>
      </c>
      <c r="T433" s="193" t="str">
        <f>""</f>
        <v/>
      </c>
      <c r="U433" s="193" t="str">
        <f t="shared" si="24"/>
        <v/>
      </c>
      <c r="V433" s="193" t="str">
        <f>""</f>
        <v/>
      </c>
      <c r="W433" s="193" t="str">
        <f>""</f>
        <v/>
      </c>
      <c r="X433" s="258" t="str">
        <f t="shared" si="25"/>
        <v/>
      </c>
      <c r="Y433" s="258" t="str">
        <f t="shared" si="26"/>
        <v/>
      </c>
      <c r="Z433" s="193" t="str">
        <f>IF(A433="","",IF(COUNTIF('Observaciones-SMP'!$A$2:$A$1001,A433)&gt;1,1,0))</f>
        <v/>
      </c>
      <c r="AA433" s="193" t="str">
        <f t="shared" si="27"/>
        <v/>
      </c>
    </row>
    <row r="434" spans="1:27" ht="13.5" customHeight="1" x14ac:dyDescent="0.3">
      <c r="A434" s="193" t="str">
        <f>IF('Observaciones-SMP'!A434="","",'Observaciones-SMP'!A434)</f>
        <v/>
      </c>
      <c r="B434" s="257" t="str">
        <f>IF('Observaciones-SMP'!B434="","",'Observaciones-SMP'!B434)</f>
        <v/>
      </c>
      <c r="C434" s="193" t="str">
        <f>IF('Observaciones-SMP'!C434="","",'Observaciones-SMP'!C434)</f>
        <v/>
      </c>
      <c r="D434" s="193" t="str">
        <f>IF('Observaciones-SMP'!D434="","",'Observaciones-SMP'!D434)</f>
        <v/>
      </c>
      <c r="E434" s="193" t="str">
        <f>IF('Observaciones-SMP'!E434="","",'Observaciones-SMP'!E434)</f>
        <v/>
      </c>
      <c r="F434" s="193" t="str">
        <f>IF('Observaciones-SMP'!F434="","",'Observaciones-SMP'!F434)</f>
        <v/>
      </c>
      <c r="G434" s="193" t="str">
        <f>IF('Observaciones-SMP'!G434="","",'Observaciones-SMP'!G434)</f>
        <v/>
      </c>
      <c r="H434" s="193" t="str">
        <f>IF('Observaciones-SMP'!H434="","",'Observaciones-SMP'!H434)</f>
        <v/>
      </c>
      <c r="I434" s="193" t="str">
        <f>IF('Observaciones-SMP'!I434="","",'Observaciones-SMP'!I434)</f>
        <v/>
      </c>
      <c r="J434" s="193" t="str">
        <f>IF('Observaciones-SMP'!J434="","",'Observaciones-SMP'!J434)</f>
        <v/>
      </c>
      <c r="K434" s="193" t="str">
        <f>IF('Observaciones-SMP'!K434="","",'Observaciones-SMP'!K434)</f>
        <v/>
      </c>
      <c r="L434" s="193" t="str">
        <f>IF('Observaciones-SMP'!L434="","",'Observaciones-SMP'!L434)</f>
        <v/>
      </c>
      <c r="M434" s="193" t="str">
        <f>IF('Observaciones-SMP'!M434="","",'Observaciones-SMP'!M434)</f>
        <v/>
      </c>
      <c r="N434" s="193" t="str">
        <f>IF('Observaciones-SMP'!N434="","",'Observaciones-SMP'!N434)</f>
        <v/>
      </c>
      <c r="O434" s="193" t="str">
        <f>IF('Observaciones-SMP'!O434="","",'Observaciones-SMP'!O434)</f>
        <v/>
      </c>
      <c r="P434" s="193" t="str">
        <f>IF('Observaciones-SMP'!P434="","",'Observaciones-SMP'!P434)</f>
        <v/>
      </c>
      <c r="Q434" s="257" t="str">
        <f>IF('Observaciones-SMP'!S434="","",'Observaciones-SMP'!S434)</f>
        <v/>
      </c>
      <c r="R434" s="193" t="str">
        <f>IF('Observaciones-SMP'!T434="","",'Observaciones-SMP'!T434)</f>
        <v/>
      </c>
      <c r="S434" s="193" t="str">
        <f>""</f>
        <v/>
      </c>
      <c r="T434" s="193" t="str">
        <f>""</f>
        <v/>
      </c>
      <c r="U434" s="193" t="str">
        <f t="shared" si="24"/>
        <v/>
      </c>
      <c r="V434" s="193" t="str">
        <f>""</f>
        <v/>
      </c>
      <c r="W434" s="193" t="str">
        <f>""</f>
        <v/>
      </c>
      <c r="X434" s="258" t="str">
        <f t="shared" si="25"/>
        <v/>
      </c>
      <c r="Y434" s="258" t="str">
        <f t="shared" si="26"/>
        <v/>
      </c>
      <c r="Z434" s="193" t="str">
        <f>IF(A434="","",IF(COUNTIF('Observaciones-SMP'!$A$2:$A$1001,A434)&gt;1,1,0))</f>
        <v/>
      </c>
      <c r="AA434" s="193" t="str">
        <f t="shared" si="27"/>
        <v/>
      </c>
    </row>
    <row r="435" spans="1:27" ht="13.5" customHeight="1" x14ac:dyDescent="0.3">
      <c r="A435" s="193" t="str">
        <f>IF('Observaciones-SMP'!A435="","",'Observaciones-SMP'!A435)</f>
        <v/>
      </c>
      <c r="B435" s="257" t="str">
        <f>IF('Observaciones-SMP'!B435="","",'Observaciones-SMP'!B435)</f>
        <v/>
      </c>
      <c r="C435" s="193" t="str">
        <f>IF('Observaciones-SMP'!C435="","",'Observaciones-SMP'!C435)</f>
        <v/>
      </c>
      <c r="D435" s="193" t="str">
        <f>IF('Observaciones-SMP'!D435="","",'Observaciones-SMP'!D435)</f>
        <v/>
      </c>
      <c r="E435" s="193" t="str">
        <f>IF('Observaciones-SMP'!E435="","",'Observaciones-SMP'!E435)</f>
        <v/>
      </c>
      <c r="F435" s="193" t="str">
        <f>IF('Observaciones-SMP'!F435="","",'Observaciones-SMP'!F435)</f>
        <v/>
      </c>
      <c r="G435" s="193" t="str">
        <f>IF('Observaciones-SMP'!G435="","",'Observaciones-SMP'!G435)</f>
        <v/>
      </c>
      <c r="H435" s="193" t="str">
        <f>IF('Observaciones-SMP'!H435="","",'Observaciones-SMP'!H435)</f>
        <v/>
      </c>
      <c r="I435" s="193" t="str">
        <f>IF('Observaciones-SMP'!I435="","",'Observaciones-SMP'!I435)</f>
        <v/>
      </c>
      <c r="J435" s="193" t="str">
        <f>IF('Observaciones-SMP'!J435="","",'Observaciones-SMP'!J435)</f>
        <v/>
      </c>
      <c r="K435" s="193" t="str">
        <f>IF('Observaciones-SMP'!K435="","",'Observaciones-SMP'!K435)</f>
        <v/>
      </c>
      <c r="L435" s="193" t="str">
        <f>IF('Observaciones-SMP'!L435="","",'Observaciones-SMP'!L435)</f>
        <v/>
      </c>
      <c r="M435" s="193" t="str">
        <f>IF('Observaciones-SMP'!M435="","",'Observaciones-SMP'!M435)</f>
        <v/>
      </c>
      <c r="N435" s="193" t="str">
        <f>IF('Observaciones-SMP'!N435="","",'Observaciones-SMP'!N435)</f>
        <v/>
      </c>
      <c r="O435" s="193" t="str">
        <f>IF('Observaciones-SMP'!O435="","",'Observaciones-SMP'!O435)</f>
        <v/>
      </c>
      <c r="P435" s="193" t="str">
        <f>IF('Observaciones-SMP'!P435="","",'Observaciones-SMP'!P435)</f>
        <v/>
      </c>
      <c r="Q435" s="257" t="str">
        <f>IF('Observaciones-SMP'!S435="","",'Observaciones-SMP'!S435)</f>
        <v/>
      </c>
      <c r="R435" s="193" t="str">
        <f>IF('Observaciones-SMP'!T435="","",'Observaciones-SMP'!T435)</f>
        <v/>
      </c>
      <c r="S435" s="193" t="str">
        <f>""</f>
        <v/>
      </c>
      <c r="T435" s="193" t="str">
        <f>""</f>
        <v/>
      </c>
      <c r="U435" s="193" t="str">
        <f t="shared" si="24"/>
        <v/>
      </c>
      <c r="V435" s="193" t="str">
        <f>""</f>
        <v/>
      </c>
      <c r="W435" s="193" t="str">
        <f>""</f>
        <v/>
      </c>
      <c r="X435" s="258" t="str">
        <f t="shared" si="25"/>
        <v/>
      </c>
      <c r="Y435" s="258" t="str">
        <f t="shared" si="26"/>
        <v/>
      </c>
      <c r="Z435" s="193" t="str">
        <f>IF(A435="","",IF(COUNTIF('Observaciones-SMP'!$A$2:$A$1001,A435)&gt;1,1,0))</f>
        <v/>
      </c>
      <c r="AA435" s="193" t="str">
        <f t="shared" si="27"/>
        <v/>
      </c>
    </row>
    <row r="436" spans="1:27" ht="13.5" customHeight="1" x14ac:dyDescent="0.3">
      <c r="A436" s="193" t="str">
        <f>IF('Observaciones-SMP'!A436="","",'Observaciones-SMP'!A436)</f>
        <v/>
      </c>
      <c r="B436" s="257" t="str">
        <f>IF('Observaciones-SMP'!B436="","",'Observaciones-SMP'!B436)</f>
        <v/>
      </c>
      <c r="C436" s="193" t="str">
        <f>IF('Observaciones-SMP'!C436="","",'Observaciones-SMP'!C436)</f>
        <v/>
      </c>
      <c r="D436" s="193" t="str">
        <f>IF('Observaciones-SMP'!D436="","",'Observaciones-SMP'!D436)</f>
        <v/>
      </c>
      <c r="E436" s="193" t="str">
        <f>IF('Observaciones-SMP'!E436="","",'Observaciones-SMP'!E436)</f>
        <v/>
      </c>
      <c r="F436" s="193" t="str">
        <f>IF('Observaciones-SMP'!F436="","",'Observaciones-SMP'!F436)</f>
        <v/>
      </c>
      <c r="G436" s="193" t="str">
        <f>IF('Observaciones-SMP'!G436="","",'Observaciones-SMP'!G436)</f>
        <v/>
      </c>
      <c r="H436" s="193" t="str">
        <f>IF('Observaciones-SMP'!H436="","",'Observaciones-SMP'!H436)</f>
        <v/>
      </c>
      <c r="I436" s="193" t="str">
        <f>IF('Observaciones-SMP'!I436="","",'Observaciones-SMP'!I436)</f>
        <v/>
      </c>
      <c r="J436" s="193" t="str">
        <f>IF('Observaciones-SMP'!J436="","",'Observaciones-SMP'!J436)</f>
        <v/>
      </c>
      <c r="K436" s="193" t="str">
        <f>IF('Observaciones-SMP'!K436="","",'Observaciones-SMP'!K436)</f>
        <v/>
      </c>
      <c r="L436" s="193" t="str">
        <f>IF('Observaciones-SMP'!L436="","",'Observaciones-SMP'!L436)</f>
        <v/>
      </c>
      <c r="M436" s="193" t="str">
        <f>IF('Observaciones-SMP'!M436="","",'Observaciones-SMP'!M436)</f>
        <v/>
      </c>
      <c r="N436" s="193" t="str">
        <f>IF('Observaciones-SMP'!N436="","",'Observaciones-SMP'!N436)</f>
        <v/>
      </c>
      <c r="O436" s="193" t="str">
        <f>IF('Observaciones-SMP'!O436="","",'Observaciones-SMP'!O436)</f>
        <v/>
      </c>
      <c r="P436" s="193" t="str">
        <f>IF('Observaciones-SMP'!P436="","",'Observaciones-SMP'!P436)</f>
        <v/>
      </c>
      <c r="Q436" s="257" t="str">
        <f>IF('Observaciones-SMP'!S436="","",'Observaciones-SMP'!S436)</f>
        <v/>
      </c>
      <c r="R436" s="193" t="str">
        <f>IF('Observaciones-SMP'!T436="","",'Observaciones-SMP'!T436)</f>
        <v/>
      </c>
      <c r="S436" s="193" t="str">
        <f>""</f>
        <v/>
      </c>
      <c r="T436" s="193" t="str">
        <f>""</f>
        <v/>
      </c>
      <c r="U436" s="193" t="str">
        <f t="shared" si="24"/>
        <v/>
      </c>
      <c r="V436" s="193" t="str">
        <f>""</f>
        <v/>
      </c>
      <c r="W436" s="193" t="str">
        <f>""</f>
        <v/>
      </c>
      <c r="X436" s="258" t="str">
        <f t="shared" si="25"/>
        <v/>
      </c>
      <c r="Y436" s="258" t="str">
        <f t="shared" si="26"/>
        <v/>
      </c>
      <c r="Z436" s="193" t="str">
        <f>IF(A436="","",IF(COUNTIF('Observaciones-SMP'!$A$2:$A$1001,A436)&gt;1,1,0))</f>
        <v/>
      </c>
      <c r="AA436" s="193" t="str">
        <f t="shared" si="27"/>
        <v/>
      </c>
    </row>
    <row r="437" spans="1:27" ht="13.5" customHeight="1" x14ac:dyDescent="0.3">
      <c r="A437" s="193" t="str">
        <f>IF('Observaciones-SMP'!A437="","",'Observaciones-SMP'!A437)</f>
        <v/>
      </c>
      <c r="B437" s="257" t="str">
        <f>IF('Observaciones-SMP'!B437="","",'Observaciones-SMP'!B437)</f>
        <v/>
      </c>
      <c r="C437" s="193" t="str">
        <f>IF('Observaciones-SMP'!C437="","",'Observaciones-SMP'!C437)</f>
        <v/>
      </c>
      <c r="D437" s="193" t="str">
        <f>IF('Observaciones-SMP'!D437="","",'Observaciones-SMP'!D437)</f>
        <v/>
      </c>
      <c r="E437" s="193" t="str">
        <f>IF('Observaciones-SMP'!E437="","",'Observaciones-SMP'!E437)</f>
        <v/>
      </c>
      <c r="F437" s="193" t="str">
        <f>IF('Observaciones-SMP'!F437="","",'Observaciones-SMP'!F437)</f>
        <v/>
      </c>
      <c r="G437" s="193" t="str">
        <f>IF('Observaciones-SMP'!G437="","",'Observaciones-SMP'!G437)</f>
        <v/>
      </c>
      <c r="H437" s="193" t="str">
        <f>IF('Observaciones-SMP'!H437="","",'Observaciones-SMP'!H437)</f>
        <v/>
      </c>
      <c r="I437" s="193" t="str">
        <f>IF('Observaciones-SMP'!I437="","",'Observaciones-SMP'!I437)</f>
        <v/>
      </c>
      <c r="J437" s="193" t="str">
        <f>IF('Observaciones-SMP'!J437="","",'Observaciones-SMP'!J437)</f>
        <v/>
      </c>
      <c r="K437" s="193" t="str">
        <f>IF('Observaciones-SMP'!K437="","",'Observaciones-SMP'!K437)</f>
        <v/>
      </c>
      <c r="L437" s="193" t="str">
        <f>IF('Observaciones-SMP'!L437="","",'Observaciones-SMP'!L437)</f>
        <v/>
      </c>
      <c r="M437" s="193" t="str">
        <f>IF('Observaciones-SMP'!M437="","",'Observaciones-SMP'!M437)</f>
        <v/>
      </c>
      <c r="N437" s="193" t="str">
        <f>IF('Observaciones-SMP'!N437="","",'Observaciones-SMP'!N437)</f>
        <v/>
      </c>
      <c r="O437" s="193" t="str">
        <f>IF('Observaciones-SMP'!O437="","",'Observaciones-SMP'!O437)</f>
        <v/>
      </c>
      <c r="P437" s="193" t="str">
        <f>IF('Observaciones-SMP'!P437="","",'Observaciones-SMP'!P437)</f>
        <v/>
      </c>
      <c r="Q437" s="257" t="str">
        <f>IF('Observaciones-SMP'!S437="","",'Observaciones-SMP'!S437)</f>
        <v/>
      </c>
      <c r="R437" s="193" t="str">
        <f>IF('Observaciones-SMP'!T437="","",'Observaciones-SMP'!T437)</f>
        <v/>
      </c>
      <c r="S437" s="193" t="str">
        <f>""</f>
        <v/>
      </c>
      <c r="T437" s="193" t="str">
        <f>""</f>
        <v/>
      </c>
      <c r="U437" s="193" t="str">
        <f t="shared" si="24"/>
        <v/>
      </c>
      <c r="V437" s="193" t="str">
        <f>""</f>
        <v/>
      </c>
      <c r="W437" s="193" t="str">
        <f>""</f>
        <v/>
      </c>
      <c r="X437" s="258" t="str">
        <f t="shared" si="25"/>
        <v/>
      </c>
      <c r="Y437" s="258" t="str">
        <f t="shared" si="26"/>
        <v/>
      </c>
      <c r="Z437" s="193" t="str">
        <f>IF(A437="","",IF(COUNTIF('Observaciones-SMP'!$A$2:$A$1001,A437)&gt;1,1,0))</f>
        <v/>
      </c>
      <c r="AA437" s="193" t="str">
        <f t="shared" si="27"/>
        <v/>
      </c>
    </row>
    <row r="438" spans="1:27" ht="13.5" customHeight="1" x14ac:dyDescent="0.3">
      <c r="A438" s="193" t="str">
        <f>IF('Observaciones-SMP'!A438="","",'Observaciones-SMP'!A438)</f>
        <v/>
      </c>
      <c r="B438" s="257" t="str">
        <f>IF('Observaciones-SMP'!B438="","",'Observaciones-SMP'!B438)</f>
        <v/>
      </c>
      <c r="C438" s="193" t="str">
        <f>IF('Observaciones-SMP'!C438="","",'Observaciones-SMP'!C438)</f>
        <v/>
      </c>
      <c r="D438" s="193" t="str">
        <f>IF('Observaciones-SMP'!D438="","",'Observaciones-SMP'!D438)</f>
        <v/>
      </c>
      <c r="E438" s="193" t="str">
        <f>IF('Observaciones-SMP'!E438="","",'Observaciones-SMP'!E438)</f>
        <v/>
      </c>
      <c r="F438" s="193" t="str">
        <f>IF('Observaciones-SMP'!F438="","",'Observaciones-SMP'!F438)</f>
        <v/>
      </c>
      <c r="G438" s="193" t="str">
        <f>IF('Observaciones-SMP'!G438="","",'Observaciones-SMP'!G438)</f>
        <v/>
      </c>
      <c r="H438" s="193" t="str">
        <f>IF('Observaciones-SMP'!H438="","",'Observaciones-SMP'!H438)</f>
        <v/>
      </c>
      <c r="I438" s="193" t="str">
        <f>IF('Observaciones-SMP'!I438="","",'Observaciones-SMP'!I438)</f>
        <v/>
      </c>
      <c r="J438" s="193" t="str">
        <f>IF('Observaciones-SMP'!J438="","",'Observaciones-SMP'!J438)</f>
        <v/>
      </c>
      <c r="K438" s="193" t="str">
        <f>IF('Observaciones-SMP'!K438="","",'Observaciones-SMP'!K438)</f>
        <v/>
      </c>
      <c r="L438" s="193" t="str">
        <f>IF('Observaciones-SMP'!L438="","",'Observaciones-SMP'!L438)</f>
        <v/>
      </c>
      <c r="M438" s="193" t="str">
        <f>IF('Observaciones-SMP'!M438="","",'Observaciones-SMP'!M438)</f>
        <v/>
      </c>
      <c r="N438" s="193" t="str">
        <f>IF('Observaciones-SMP'!N438="","",'Observaciones-SMP'!N438)</f>
        <v/>
      </c>
      <c r="O438" s="193" t="str">
        <f>IF('Observaciones-SMP'!O438="","",'Observaciones-SMP'!O438)</f>
        <v/>
      </c>
      <c r="P438" s="193" t="str">
        <f>IF('Observaciones-SMP'!P438="","",'Observaciones-SMP'!P438)</f>
        <v/>
      </c>
      <c r="Q438" s="257" t="str">
        <f>IF('Observaciones-SMP'!S438="","",'Observaciones-SMP'!S438)</f>
        <v/>
      </c>
      <c r="R438" s="193" t="str">
        <f>IF('Observaciones-SMP'!T438="","",'Observaciones-SMP'!T438)</f>
        <v/>
      </c>
      <c r="S438" s="193" t="str">
        <f>""</f>
        <v/>
      </c>
      <c r="T438" s="193" t="str">
        <f>""</f>
        <v/>
      </c>
      <c r="U438" s="193" t="str">
        <f t="shared" si="24"/>
        <v/>
      </c>
      <c r="V438" s="193" t="str">
        <f>""</f>
        <v/>
      </c>
      <c r="W438" s="193" t="str">
        <f>""</f>
        <v/>
      </c>
      <c r="X438" s="258" t="str">
        <f t="shared" si="25"/>
        <v/>
      </c>
      <c r="Y438" s="258" t="str">
        <f t="shared" si="26"/>
        <v/>
      </c>
      <c r="Z438" s="193" t="str">
        <f>IF(A438="","",IF(COUNTIF('Observaciones-SMP'!$A$2:$A$1001,A438)&gt;1,1,0))</f>
        <v/>
      </c>
      <c r="AA438" s="193" t="str">
        <f t="shared" si="27"/>
        <v/>
      </c>
    </row>
    <row r="439" spans="1:27" ht="13.5" customHeight="1" x14ac:dyDescent="0.3">
      <c r="A439" s="193" t="str">
        <f>IF('Observaciones-SMP'!A439="","",'Observaciones-SMP'!A439)</f>
        <v/>
      </c>
      <c r="B439" s="257" t="str">
        <f>IF('Observaciones-SMP'!B439="","",'Observaciones-SMP'!B439)</f>
        <v/>
      </c>
      <c r="C439" s="193" t="str">
        <f>IF('Observaciones-SMP'!C439="","",'Observaciones-SMP'!C439)</f>
        <v/>
      </c>
      <c r="D439" s="193" t="str">
        <f>IF('Observaciones-SMP'!D439="","",'Observaciones-SMP'!D439)</f>
        <v/>
      </c>
      <c r="E439" s="193" t="str">
        <f>IF('Observaciones-SMP'!E439="","",'Observaciones-SMP'!E439)</f>
        <v/>
      </c>
      <c r="F439" s="193" t="str">
        <f>IF('Observaciones-SMP'!F439="","",'Observaciones-SMP'!F439)</f>
        <v/>
      </c>
      <c r="G439" s="193" t="str">
        <f>IF('Observaciones-SMP'!G439="","",'Observaciones-SMP'!G439)</f>
        <v/>
      </c>
      <c r="H439" s="193" t="str">
        <f>IF('Observaciones-SMP'!H439="","",'Observaciones-SMP'!H439)</f>
        <v/>
      </c>
      <c r="I439" s="193" t="str">
        <f>IF('Observaciones-SMP'!I439="","",'Observaciones-SMP'!I439)</f>
        <v/>
      </c>
      <c r="J439" s="193" t="str">
        <f>IF('Observaciones-SMP'!J439="","",'Observaciones-SMP'!J439)</f>
        <v/>
      </c>
      <c r="K439" s="193" t="str">
        <f>IF('Observaciones-SMP'!K439="","",'Observaciones-SMP'!K439)</f>
        <v/>
      </c>
      <c r="L439" s="193" t="str">
        <f>IF('Observaciones-SMP'!L439="","",'Observaciones-SMP'!L439)</f>
        <v/>
      </c>
      <c r="M439" s="193" t="str">
        <f>IF('Observaciones-SMP'!M439="","",'Observaciones-SMP'!M439)</f>
        <v/>
      </c>
      <c r="N439" s="193" t="str">
        <f>IF('Observaciones-SMP'!N439="","",'Observaciones-SMP'!N439)</f>
        <v/>
      </c>
      <c r="O439" s="193" t="str">
        <f>IF('Observaciones-SMP'!O439="","",'Observaciones-SMP'!O439)</f>
        <v/>
      </c>
      <c r="P439" s="193" t="str">
        <f>IF('Observaciones-SMP'!P439="","",'Observaciones-SMP'!P439)</f>
        <v/>
      </c>
      <c r="Q439" s="257" t="str">
        <f>IF('Observaciones-SMP'!S439="","",'Observaciones-SMP'!S439)</f>
        <v/>
      </c>
      <c r="R439" s="193" t="str">
        <f>IF('Observaciones-SMP'!T439="","",'Observaciones-SMP'!T439)</f>
        <v/>
      </c>
      <c r="S439" s="193" t="str">
        <f>""</f>
        <v/>
      </c>
      <c r="T439" s="193" t="str">
        <f>""</f>
        <v/>
      </c>
      <c r="U439" s="193" t="str">
        <f t="shared" si="24"/>
        <v/>
      </c>
      <c r="V439" s="193" t="str">
        <f>""</f>
        <v/>
      </c>
      <c r="W439" s="193" t="str">
        <f>""</f>
        <v/>
      </c>
      <c r="X439" s="258" t="str">
        <f t="shared" si="25"/>
        <v/>
      </c>
      <c r="Y439" s="258" t="str">
        <f t="shared" si="26"/>
        <v/>
      </c>
      <c r="Z439" s="193" t="str">
        <f>IF(A439="","",IF(COUNTIF('Observaciones-SMP'!$A$2:$A$1001,A439)&gt;1,1,0))</f>
        <v/>
      </c>
      <c r="AA439" s="193" t="str">
        <f t="shared" si="27"/>
        <v/>
      </c>
    </row>
    <row r="440" spans="1:27" ht="13.5" customHeight="1" x14ac:dyDescent="0.3">
      <c r="A440" s="193" t="str">
        <f>IF('Observaciones-SMP'!A440="","",'Observaciones-SMP'!A440)</f>
        <v/>
      </c>
      <c r="B440" s="257" t="str">
        <f>IF('Observaciones-SMP'!B440="","",'Observaciones-SMP'!B440)</f>
        <v/>
      </c>
      <c r="C440" s="193" t="str">
        <f>IF('Observaciones-SMP'!C440="","",'Observaciones-SMP'!C440)</f>
        <v/>
      </c>
      <c r="D440" s="193" t="str">
        <f>IF('Observaciones-SMP'!D440="","",'Observaciones-SMP'!D440)</f>
        <v/>
      </c>
      <c r="E440" s="193" t="str">
        <f>IF('Observaciones-SMP'!E440="","",'Observaciones-SMP'!E440)</f>
        <v/>
      </c>
      <c r="F440" s="193" t="str">
        <f>IF('Observaciones-SMP'!F440="","",'Observaciones-SMP'!F440)</f>
        <v/>
      </c>
      <c r="G440" s="193" t="str">
        <f>IF('Observaciones-SMP'!G440="","",'Observaciones-SMP'!G440)</f>
        <v/>
      </c>
      <c r="H440" s="193" t="str">
        <f>IF('Observaciones-SMP'!H440="","",'Observaciones-SMP'!H440)</f>
        <v/>
      </c>
      <c r="I440" s="193" t="str">
        <f>IF('Observaciones-SMP'!I440="","",'Observaciones-SMP'!I440)</f>
        <v/>
      </c>
      <c r="J440" s="193" t="str">
        <f>IF('Observaciones-SMP'!J440="","",'Observaciones-SMP'!J440)</f>
        <v/>
      </c>
      <c r="K440" s="193" t="str">
        <f>IF('Observaciones-SMP'!K440="","",'Observaciones-SMP'!K440)</f>
        <v/>
      </c>
      <c r="L440" s="193" t="str">
        <f>IF('Observaciones-SMP'!L440="","",'Observaciones-SMP'!L440)</f>
        <v/>
      </c>
      <c r="M440" s="193" t="str">
        <f>IF('Observaciones-SMP'!M440="","",'Observaciones-SMP'!M440)</f>
        <v/>
      </c>
      <c r="N440" s="193" t="str">
        <f>IF('Observaciones-SMP'!N440="","",'Observaciones-SMP'!N440)</f>
        <v/>
      </c>
      <c r="O440" s="193" t="str">
        <f>IF('Observaciones-SMP'!O440="","",'Observaciones-SMP'!O440)</f>
        <v/>
      </c>
      <c r="P440" s="193" t="str">
        <f>IF('Observaciones-SMP'!P440="","",'Observaciones-SMP'!P440)</f>
        <v/>
      </c>
      <c r="Q440" s="257" t="str">
        <f>IF('Observaciones-SMP'!S440="","",'Observaciones-SMP'!S440)</f>
        <v/>
      </c>
      <c r="R440" s="193" t="str">
        <f>IF('Observaciones-SMP'!T440="","",'Observaciones-SMP'!T440)</f>
        <v/>
      </c>
      <c r="S440" s="193" t="str">
        <f>""</f>
        <v/>
      </c>
      <c r="T440" s="193" t="str">
        <f>""</f>
        <v/>
      </c>
      <c r="U440" s="193" t="str">
        <f t="shared" si="24"/>
        <v/>
      </c>
      <c r="V440" s="193" t="str">
        <f>""</f>
        <v/>
      </c>
      <c r="W440" s="193" t="str">
        <f>""</f>
        <v/>
      </c>
      <c r="X440" s="258" t="str">
        <f t="shared" si="25"/>
        <v/>
      </c>
      <c r="Y440" s="258" t="str">
        <f t="shared" si="26"/>
        <v/>
      </c>
      <c r="Z440" s="193" t="str">
        <f>IF(A440="","",IF(COUNTIF('Observaciones-SMP'!$A$2:$A$1001,A440)&gt;1,1,0))</f>
        <v/>
      </c>
      <c r="AA440" s="193" t="str">
        <f t="shared" si="27"/>
        <v/>
      </c>
    </row>
    <row r="441" spans="1:27" ht="13.5" customHeight="1" x14ac:dyDescent="0.3">
      <c r="A441" s="193" t="str">
        <f>IF('Observaciones-SMP'!A441="","",'Observaciones-SMP'!A441)</f>
        <v/>
      </c>
      <c r="B441" s="257" t="str">
        <f>IF('Observaciones-SMP'!B441="","",'Observaciones-SMP'!B441)</f>
        <v/>
      </c>
      <c r="C441" s="193" t="str">
        <f>IF('Observaciones-SMP'!C441="","",'Observaciones-SMP'!C441)</f>
        <v/>
      </c>
      <c r="D441" s="193" t="str">
        <f>IF('Observaciones-SMP'!D441="","",'Observaciones-SMP'!D441)</f>
        <v/>
      </c>
      <c r="E441" s="193" t="str">
        <f>IF('Observaciones-SMP'!E441="","",'Observaciones-SMP'!E441)</f>
        <v/>
      </c>
      <c r="F441" s="193" t="str">
        <f>IF('Observaciones-SMP'!F441="","",'Observaciones-SMP'!F441)</f>
        <v/>
      </c>
      <c r="G441" s="193" t="str">
        <f>IF('Observaciones-SMP'!G441="","",'Observaciones-SMP'!G441)</f>
        <v/>
      </c>
      <c r="H441" s="193" t="str">
        <f>IF('Observaciones-SMP'!H441="","",'Observaciones-SMP'!H441)</f>
        <v/>
      </c>
      <c r="I441" s="193" t="str">
        <f>IF('Observaciones-SMP'!I441="","",'Observaciones-SMP'!I441)</f>
        <v/>
      </c>
      <c r="J441" s="193" t="str">
        <f>IF('Observaciones-SMP'!J441="","",'Observaciones-SMP'!J441)</f>
        <v/>
      </c>
      <c r="K441" s="193" t="str">
        <f>IF('Observaciones-SMP'!K441="","",'Observaciones-SMP'!K441)</f>
        <v/>
      </c>
      <c r="L441" s="193" t="str">
        <f>IF('Observaciones-SMP'!L441="","",'Observaciones-SMP'!L441)</f>
        <v/>
      </c>
      <c r="M441" s="193" t="str">
        <f>IF('Observaciones-SMP'!M441="","",'Observaciones-SMP'!M441)</f>
        <v/>
      </c>
      <c r="N441" s="193" t="str">
        <f>IF('Observaciones-SMP'!N441="","",'Observaciones-SMP'!N441)</f>
        <v/>
      </c>
      <c r="O441" s="193" t="str">
        <f>IF('Observaciones-SMP'!O441="","",'Observaciones-SMP'!O441)</f>
        <v/>
      </c>
      <c r="P441" s="193" t="str">
        <f>IF('Observaciones-SMP'!P441="","",'Observaciones-SMP'!P441)</f>
        <v/>
      </c>
      <c r="Q441" s="257" t="str">
        <f>IF('Observaciones-SMP'!S441="","",'Observaciones-SMP'!S441)</f>
        <v/>
      </c>
      <c r="R441" s="193" t="str">
        <f>IF('Observaciones-SMP'!T441="","",'Observaciones-SMP'!T441)</f>
        <v/>
      </c>
      <c r="S441" s="193" t="str">
        <f>""</f>
        <v/>
      </c>
      <c r="T441" s="193" t="str">
        <f>""</f>
        <v/>
      </c>
      <c r="U441" s="193" t="str">
        <f t="shared" si="24"/>
        <v/>
      </c>
      <c r="V441" s="193" t="str">
        <f>""</f>
        <v/>
      </c>
      <c r="W441" s="193" t="str">
        <f>""</f>
        <v/>
      </c>
      <c r="X441" s="258" t="str">
        <f t="shared" si="25"/>
        <v/>
      </c>
      <c r="Y441" s="258" t="str">
        <f t="shared" si="26"/>
        <v/>
      </c>
      <c r="Z441" s="193" t="str">
        <f>IF(A441="","",IF(COUNTIF('Observaciones-SMP'!$A$2:$A$1001,A441)&gt;1,1,0))</f>
        <v/>
      </c>
      <c r="AA441" s="193" t="str">
        <f t="shared" si="27"/>
        <v/>
      </c>
    </row>
    <row r="442" spans="1:27" ht="13.5" customHeight="1" x14ac:dyDescent="0.3">
      <c r="A442" s="193" t="str">
        <f>IF('Observaciones-SMP'!A442="","",'Observaciones-SMP'!A442)</f>
        <v/>
      </c>
      <c r="B442" s="257" t="str">
        <f>IF('Observaciones-SMP'!B442="","",'Observaciones-SMP'!B442)</f>
        <v/>
      </c>
      <c r="C442" s="193" t="str">
        <f>IF('Observaciones-SMP'!C442="","",'Observaciones-SMP'!C442)</f>
        <v/>
      </c>
      <c r="D442" s="193" t="str">
        <f>IF('Observaciones-SMP'!D442="","",'Observaciones-SMP'!D442)</f>
        <v/>
      </c>
      <c r="E442" s="193" t="str">
        <f>IF('Observaciones-SMP'!E442="","",'Observaciones-SMP'!E442)</f>
        <v/>
      </c>
      <c r="F442" s="193" t="str">
        <f>IF('Observaciones-SMP'!F442="","",'Observaciones-SMP'!F442)</f>
        <v/>
      </c>
      <c r="G442" s="193" t="str">
        <f>IF('Observaciones-SMP'!G442="","",'Observaciones-SMP'!G442)</f>
        <v/>
      </c>
      <c r="H442" s="193" t="str">
        <f>IF('Observaciones-SMP'!H442="","",'Observaciones-SMP'!H442)</f>
        <v/>
      </c>
      <c r="I442" s="193" t="str">
        <f>IF('Observaciones-SMP'!I442="","",'Observaciones-SMP'!I442)</f>
        <v/>
      </c>
      <c r="J442" s="193" t="str">
        <f>IF('Observaciones-SMP'!J442="","",'Observaciones-SMP'!J442)</f>
        <v/>
      </c>
      <c r="K442" s="193" t="str">
        <f>IF('Observaciones-SMP'!K442="","",'Observaciones-SMP'!K442)</f>
        <v/>
      </c>
      <c r="L442" s="193" t="str">
        <f>IF('Observaciones-SMP'!L442="","",'Observaciones-SMP'!L442)</f>
        <v/>
      </c>
      <c r="M442" s="193" t="str">
        <f>IF('Observaciones-SMP'!M442="","",'Observaciones-SMP'!M442)</f>
        <v/>
      </c>
      <c r="N442" s="193" t="str">
        <f>IF('Observaciones-SMP'!N442="","",'Observaciones-SMP'!N442)</f>
        <v/>
      </c>
      <c r="O442" s="193" t="str">
        <f>IF('Observaciones-SMP'!O442="","",'Observaciones-SMP'!O442)</f>
        <v/>
      </c>
      <c r="P442" s="193" t="str">
        <f>IF('Observaciones-SMP'!P442="","",'Observaciones-SMP'!P442)</f>
        <v/>
      </c>
      <c r="Q442" s="257" t="str">
        <f>IF('Observaciones-SMP'!S442="","",'Observaciones-SMP'!S442)</f>
        <v/>
      </c>
      <c r="R442" s="193" t="str">
        <f>IF('Observaciones-SMP'!T442="","",'Observaciones-SMP'!T442)</f>
        <v/>
      </c>
      <c r="S442" s="193" t="str">
        <f>""</f>
        <v/>
      </c>
      <c r="T442" s="193" t="str">
        <f>""</f>
        <v/>
      </c>
      <c r="U442" s="193" t="str">
        <f t="shared" si="24"/>
        <v/>
      </c>
      <c r="V442" s="193" t="str">
        <f>""</f>
        <v/>
      </c>
      <c r="W442" s="193" t="str">
        <f>""</f>
        <v/>
      </c>
      <c r="X442" s="258" t="str">
        <f t="shared" si="25"/>
        <v/>
      </c>
      <c r="Y442" s="258" t="str">
        <f t="shared" si="26"/>
        <v/>
      </c>
      <c r="Z442" s="193" t="str">
        <f>IF(A442="","",IF(COUNTIF('Observaciones-SMP'!$A$2:$A$1001,A442)&gt;1,1,0))</f>
        <v/>
      </c>
      <c r="AA442" s="193" t="str">
        <f t="shared" si="27"/>
        <v/>
      </c>
    </row>
    <row r="443" spans="1:27" ht="13.5" customHeight="1" x14ac:dyDescent="0.3">
      <c r="A443" s="193" t="str">
        <f>IF('Observaciones-SMP'!A443="","",'Observaciones-SMP'!A443)</f>
        <v/>
      </c>
      <c r="B443" s="257" t="str">
        <f>IF('Observaciones-SMP'!B443="","",'Observaciones-SMP'!B443)</f>
        <v/>
      </c>
      <c r="C443" s="193" t="str">
        <f>IF('Observaciones-SMP'!C443="","",'Observaciones-SMP'!C443)</f>
        <v/>
      </c>
      <c r="D443" s="193" t="str">
        <f>IF('Observaciones-SMP'!D443="","",'Observaciones-SMP'!D443)</f>
        <v/>
      </c>
      <c r="E443" s="193" t="str">
        <f>IF('Observaciones-SMP'!E443="","",'Observaciones-SMP'!E443)</f>
        <v/>
      </c>
      <c r="F443" s="193" t="str">
        <f>IF('Observaciones-SMP'!F443="","",'Observaciones-SMP'!F443)</f>
        <v/>
      </c>
      <c r="G443" s="193" t="str">
        <f>IF('Observaciones-SMP'!G443="","",'Observaciones-SMP'!G443)</f>
        <v/>
      </c>
      <c r="H443" s="193" t="str">
        <f>IF('Observaciones-SMP'!H443="","",'Observaciones-SMP'!H443)</f>
        <v/>
      </c>
      <c r="I443" s="193" t="str">
        <f>IF('Observaciones-SMP'!I443="","",'Observaciones-SMP'!I443)</f>
        <v/>
      </c>
      <c r="J443" s="193" t="str">
        <f>IF('Observaciones-SMP'!J443="","",'Observaciones-SMP'!J443)</f>
        <v/>
      </c>
      <c r="K443" s="193" t="str">
        <f>IF('Observaciones-SMP'!K443="","",'Observaciones-SMP'!K443)</f>
        <v/>
      </c>
      <c r="L443" s="193" t="str">
        <f>IF('Observaciones-SMP'!L443="","",'Observaciones-SMP'!L443)</f>
        <v/>
      </c>
      <c r="M443" s="193" t="str">
        <f>IF('Observaciones-SMP'!M443="","",'Observaciones-SMP'!M443)</f>
        <v/>
      </c>
      <c r="N443" s="193" t="str">
        <f>IF('Observaciones-SMP'!N443="","",'Observaciones-SMP'!N443)</f>
        <v/>
      </c>
      <c r="O443" s="193" t="str">
        <f>IF('Observaciones-SMP'!O443="","",'Observaciones-SMP'!O443)</f>
        <v/>
      </c>
      <c r="P443" s="193" t="str">
        <f>IF('Observaciones-SMP'!P443="","",'Observaciones-SMP'!P443)</f>
        <v/>
      </c>
      <c r="Q443" s="257" t="str">
        <f>IF('Observaciones-SMP'!S443="","",'Observaciones-SMP'!S443)</f>
        <v/>
      </c>
      <c r="R443" s="193" t="str">
        <f>IF('Observaciones-SMP'!T443="","",'Observaciones-SMP'!T443)</f>
        <v/>
      </c>
      <c r="S443" s="193" t="str">
        <f>""</f>
        <v/>
      </c>
      <c r="T443" s="193" t="str">
        <f>""</f>
        <v/>
      </c>
      <c r="U443" s="193" t="str">
        <f t="shared" si="24"/>
        <v/>
      </c>
      <c r="V443" s="193" t="str">
        <f>""</f>
        <v/>
      </c>
      <c r="W443" s="193" t="str">
        <f>""</f>
        <v/>
      </c>
      <c r="X443" s="258" t="str">
        <f t="shared" si="25"/>
        <v/>
      </c>
      <c r="Y443" s="258" t="str">
        <f t="shared" si="26"/>
        <v/>
      </c>
      <c r="Z443" s="193" t="str">
        <f>IF(A443="","",IF(COUNTIF('Observaciones-SMP'!$A$2:$A$1001,A443)&gt;1,1,0))</f>
        <v/>
      </c>
      <c r="AA443" s="193" t="str">
        <f t="shared" si="27"/>
        <v/>
      </c>
    </row>
    <row r="444" spans="1:27" ht="13.5" customHeight="1" x14ac:dyDescent="0.3">
      <c r="A444" s="193" t="str">
        <f>IF('Observaciones-SMP'!A444="","",'Observaciones-SMP'!A444)</f>
        <v/>
      </c>
      <c r="B444" s="257" t="str">
        <f>IF('Observaciones-SMP'!B444="","",'Observaciones-SMP'!B444)</f>
        <v/>
      </c>
      <c r="C444" s="193" t="str">
        <f>IF('Observaciones-SMP'!C444="","",'Observaciones-SMP'!C444)</f>
        <v/>
      </c>
      <c r="D444" s="193" t="str">
        <f>IF('Observaciones-SMP'!D444="","",'Observaciones-SMP'!D444)</f>
        <v/>
      </c>
      <c r="E444" s="193" t="str">
        <f>IF('Observaciones-SMP'!E444="","",'Observaciones-SMP'!E444)</f>
        <v/>
      </c>
      <c r="F444" s="193" t="str">
        <f>IF('Observaciones-SMP'!F444="","",'Observaciones-SMP'!F444)</f>
        <v/>
      </c>
      <c r="G444" s="193" t="str">
        <f>IF('Observaciones-SMP'!G444="","",'Observaciones-SMP'!G444)</f>
        <v/>
      </c>
      <c r="H444" s="193" t="str">
        <f>IF('Observaciones-SMP'!H444="","",'Observaciones-SMP'!H444)</f>
        <v/>
      </c>
      <c r="I444" s="193" t="str">
        <f>IF('Observaciones-SMP'!I444="","",'Observaciones-SMP'!I444)</f>
        <v/>
      </c>
      <c r="J444" s="193" t="str">
        <f>IF('Observaciones-SMP'!J444="","",'Observaciones-SMP'!J444)</f>
        <v/>
      </c>
      <c r="K444" s="193" t="str">
        <f>IF('Observaciones-SMP'!K444="","",'Observaciones-SMP'!K444)</f>
        <v/>
      </c>
      <c r="L444" s="193" t="str">
        <f>IF('Observaciones-SMP'!L444="","",'Observaciones-SMP'!L444)</f>
        <v/>
      </c>
      <c r="M444" s="193" t="str">
        <f>IF('Observaciones-SMP'!M444="","",'Observaciones-SMP'!M444)</f>
        <v/>
      </c>
      <c r="N444" s="193" t="str">
        <f>IF('Observaciones-SMP'!N444="","",'Observaciones-SMP'!N444)</f>
        <v/>
      </c>
      <c r="O444" s="193" t="str">
        <f>IF('Observaciones-SMP'!O444="","",'Observaciones-SMP'!O444)</f>
        <v/>
      </c>
      <c r="P444" s="193" t="str">
        <f>IF('Observaciones-SMP'!P444="","",'Observaciones-SMP'!P444)</f>
        <v/>
      </c>
      <c r="Q444" s="257" t="str">
        <f>IF('Observaciones-SMP'!S444="","",'Observaciones-SMP'!S444)</f>
        <v/>
      </c>
      <c r="R444" s="193" t="str">
        <f>IF('Observaciones-SMP'!T444="","",'Observaciones-SMP'!T444)</f>
        <v/>
      </c>
      <c r="S444" s="193" t="str">
        <f>""</f>
        <v/>
      </c>
      <c r="T444" s="193" t="str">
        <f>""</f>
        <v/>
      </c>
      <c r="U444" s="193" t="str">
        <f t="shared" si="24"/>
        <v/>
      </c>
      <c r="V444" s="193" t="str">
        <f>""</f>
        <v/>
      </c>
      <c r="W444" s="193" t="str">
        <f>""</f>
        <v/>
      </c>
      <c r="X444" s="258" t="str">
        <f t="shared" si="25"/>
        <v/>
      </c>
      <c r="Y444" s="258" t="str">
        <f t="shared" si="26"/>
        <v/>
      </c>
      <c r="Z444" s="193" t="str">
        <f>IF(A444="","",IF(COUNTIF('Observaciones-SMP'!$A$2:$A$1001,A444)&gt;1,1,0))</f>
        <v/>
      </c>
      <c r="AA444" s="193" t="str">
        <f t="shared" si="27"/>
        <v/>
      </c>
    </row>
    <row r="445" spans="1:27" ht="13.5" customHeight="1" x14ac:dyDescent="0.3">
      <c r="A445" s="193" t="str">
        <f>IF('Observaciones-SMP'!A445="","",'Observaciones-SMP'!A445)</f>
        <v/>
      </c>
      <c r="B445" s="257" t="str">
        <f>IF('Observaciones-SMP'!B445="","",'Observaciones-SMP'!B445)</f>
        <v/>
      </c>
      <c r="C445" s="193" t="str">
        <f>IF('Observaciones-SMP'!C445="","",'Observaciones-SMP'!C445)</f>
        <v/>
      </c>
      <c r="D445" s="193" t="str">
        <f>IF('Observaciones-SMP'!D445="","",'Observaciones-SMP'!D445)</f>
        <v/>
      </c>
      <c r="E445" s="193" t="str">
        <f>IF('Observaciones-SMP'!E445="","",'Observaciones-SMP'!E445)</f>
        <v/>
      </c>
      <c r="F445" s="193" t="str">
        <f>IF('Observaciones-SMP'!F445="","",'Observaciones-SMP'!F445)</f>
        <v/>
      </c>
      <c r="G445" s="193" t="str">
        <f>IF('Observaciones-SMP'!G445="","",'Observaciones-SMP'!G445)</f>
        <v/>
      </c>
      <c r="H445" s="193" t="str">
        <f>IF('Observaciones-SMP'!H445="","",'Observaciones-SMP'!H445)</f>
        <v/>
      </c>
      <c r="I445" s="193" t="str">
        <f>IF('Observaciones-SMP'!I445="","",'Observaciones-SMP'!I445)</f>
        <v/>
      </c>
      <c r="J445" s="193" t="str">
        <f>IF('Observaciones-SMP'!J445="","",'Observaciones-SMP'!J445)</f>
        <v/>
      </c>
      <c r="K445" s="193" t="str">
        <f>IF('Observaciones-SMP'!K445="","",'Observaciones-SMP'!K445)</f>
        <v/>
      </c>
      <c r="L445" s="193" t="str">
        <f>IF('Observaciones-SMP'!L445="","",'Observaciones-SMP'!L445)</f>
        <v/>
      </c>
      <c r="M445" s="193" t="str">
        <f>IF('Observaciones-SMP'!M445="","",'Observaciones-SMP'!M445)</f>
        <v/>
      </c>
      <c r="N445" s="193" t="str">
        <f>IF('Observaciones-SMP'!N445="","",'Observaciones-SMP'!N445)</f>
        <v/>
      </c>
      <c r="O445" s="193" t="str">
        <f>IF('Observaciones-SMP'!O445="","",'Observaciones-SMP'!O445)</f>
        <v/>
      </c>
      <c r="P445" s="193" t="str">
        <f>IF('Observaciones-SMP'!P445="","",'Observaciones-SMP'!P445)</f>
        <v/>
      </c>
      <c r="Q445" s="257" t="str">
        <f>IF('Observaciones-SMP'!S445="","",'Observaciones-SMP'!S445)</f>
        <v/>
      </c>
      <c r="R445" s="193" t="str">
        <f>IF('Observaciones-SMP'!T445="","",'Observaciones-SMP'!T445)</f>
        <v/>
      </c>
      <c r="S445" s="193" t="str">
        <f>""</f>
        <v/>
      </c>
      <c r="T445" s="193" t="str">
        <f>""</f>
        <v/>
      </c>
      <c r="U445" s="193" t="str">
        <f t="shared" si="24"/>
        <v/>
      </c>
      <c r="V445" s="193" t="str">
        <f>""</f>
        <v/>
      </c>
      <c r="W445" s="193" t="str">
        <f>""</f>
        <v/>
      </c>
      <c r="X445" s="258" t="str">
        <f t="shared" si="25"/>
        <v/>
      </c>
      <c r="Y445" s="258" t="str">
        <f t="shared" si="26"/>
        <v/>
      </c>
      <c r="Z445" s="193" t="str">
        <f>IF(A445="","",IF(COUNTIF('Observaciones-SMP'!$A$2:$A$1001,A445)&gt;1,1,0))</f>
        <v/>
      </c>
      <c r="AA445" s="193" t="str">
        <f t="shared" si="27"/>
        <v/>
      </c>
    </row>
    <row r="446" spans="1:27" ht="13.5" customHeight="1" x14ac:dyDescent="0.3">
      <c r="A446" s="193" t="str">
        <f>IF('Observaciones-SMP'!A446="","",'Observaciones-SMP'!A446)</f>
        <v/>
      </c>
      <c r="B446" s="257" t="str">
        <f>IF('Observaciones-SMP'!B446="","",'Observaciones-SMP'!B446)</f>
        <v/>
      </c>
      <c r="C446" s="193" t="str">
        <f>IF('Observaciones-SMP'!C446="","",'Observaciones-SMP'!C446)</f>
        <v/>
      </c>
      <c r="D446" s="193" t="str">
        <f>IF('Observaciones-SMP'!D446="","",'Observaciones-SMP'!D446)</f>
        <v/>
      </c>
      <c r="E446" s="193" t="str">
        <f>IF('Observaciones-SMP'!E446="","",'Observaciones-SMP'!E446)</f>
        <v/>
      </c>
      <c r="F446" s="193" t="str">
        <f>IF('Observaciones-SMP'!F446="","",'Observaciones-SMP'!F446)</f>
        <v/>
      </c>
      <c r="G446" s="193" t="str">
        <f>IF('Observaciones-SMP'!G446="","",'Observaciones-SMP'!G446)</f>
        <v/>
      </c>
      <c r="H446" s="193" t="str">
        <f>IF('Observaciones-SMP'!H446="","",'Observaciones-SMP'!H446)</f>
        <v/>
      </c>
      <c r="I446" s="193" t="str">
        <f>IF('Observaciones-SMP'!I446="","",'Observaciones-SMP'!I446)</f>
        <v/>
      </c>
      <c r="J446" s="193" t="str">
        <f>IF('Observaciones-SMP'!J446="","",'Observaciones-SMP'!J446)</f>
        <v/>
      </c>
      <c r="K446" s="193" t="str">
        <f>IF('Observaciones-SMP'!K446="","",'Observaciones-SMP'!K446)</f>
        <v/>
      </c>
      <c r="L446" s="193" t="str">
        <f>IF('Observaciones-SMP'!L446="","",'Observaciones-SMP'!L446)</f>
        <v/>
      </c>
      <c r="M446" s="193" t="str">
        <f>IF('Observaciones-SMP'!M446="","",'Observaciones-SMP'!M446)</f>
        <v/>
      </c>
      <c r="N446" s="193" t="str">
        <f>IF('Observaciones-SMP'!N446="","",'Observaciones-SMP'!N446)</f>
        <v/>
      </c>
      <c r="O446" s="193" t="str">
        <f>IF('Observaciones-SMP'!O446="","",'Observaciones-SMP'!O446)</f>
        <v/>
      </c>
      <c r="P446" s="193" t="str">
        <f>IF('Observaciones-SMP'!P446="","",'Observaciones-SMP'!P446)</f>
        <v/>
      </c>
      <c r="Q446" s="257" t="str">
        <f>IF('Observaciones-SMP'!S446="","",'Observaciones-SMP'!S446)</f>
        <v/>
      </c>
      <c r="R446" s="193" t="str">
        <f>IF('Observaciones-SMP'!T446="","",'Observaciones-SMP'!T446)</f>
        <v/>
      </c>
      <c r="S446" s="193" t="str">
        <f>""</f>
        <v/>
      </c>
      <c r="T446" s="193" t="str">
        <f>""</f>
        <v/>
      </c>
      <c r="U446" s="193" t="str">
        <f t="shared" si="24"/>
        <v/>
      </c>
      <c r="V446" s="193" t="str">
        <f>""</f>
        <v/>
      </c>
      <c r="W446" s="193" t="str">
        <f>""</f>
        <v/>
      </c>
      <c r="X446" s="258" t="str">
        <f t="shared" si="25"/>
        <v/>
      </c>
      <c r="Y446" s="258" t="str">
        <f t="shared" si="26"/>
        <v/>
      </c>
      <c r="Z446" s="193" t="str">
        <f>IF(A446="","",IF(COUNTIF('Observaciones-SMP'!$A$2:$A$1001,A446)&gt;1,1,0))</f>
        <v/>
      </c>
      <c r="AA446" s="193" t="str">
        <f t="shared" si="27"/>
        <v/>
      </c>
    </row>
    <row r="447" spans="1:27" ht="13.5" customHeight="1" x14ac:dyDescent="0.3">
      <c r="A447" s="193" t="str">
        <f>IF('Observaciones-SMP'!A447="","",'Observaciones-SMP'!A447)</f>
        <v/>
      </c>
      <c r="B447" s="257" t="str">
        <f>IF('Observaciones-SMP'!B447="","",'Observaciones-SMP'!B447)</f>
        <v/>
      </c>
      <c r="C447" s="193" t="str">
        <f>IF('Observaciones-SMP'!C447="","",'Observaciones-SMP'!C447)</f>
        <v/>
      </c>
      <c r="D447" s="193" t="str">
        <f>IF('Observaciones-SMP'!D447="","",'Observaciones-SMP'!D447)</f>
        <v/>
      </c>
      <c r="E447" s="193" t="str">
        <f>IF('Observaciones-SMP'!E447="","",'Observaciones-SMP'!E447)</f>
        <v/>
      </c>
      <c r="F447" s="193" t="str">
        <f>IF('Observaciones-SMP'!F447="","",'Observaciones-SMP'!F447)</f>
        <v/>
      </c>
      <c r="G447" s="193" t="str">
        <f>IF('Observaciones-SMP'!G447="","",'Observaciones-SMP'!G447)</f>
        <v/>
      </c>
      <c r="H447" s="193" t="str">
        <f>IF('Observaciones-SMP'!H447="","",'Observaciones-SMP'!H447)</f>
        <v/>
      </c>
      <c r="I447" s="193" t="str">
        <f>IF('Observaciones-SMP'!I447="","",'Observaciones-SMP'!I447)</f>
        <v/>
      </c>
      <c r="J447" s="193" t="str">
        <f>IF('Observaciones-SMP'!J447="","",'Observaciones-SMP'!J447)</f>
        <v/>
      </c>
      <c r="K447" s="193" t="str">
        <f>IF('Observaciones-SMP'!K447="","",'Observaciones-SMP'!K447)</f>
        <v/>
      </c>
      <c r="L447" s="193" t="str">
        <f>IF('Observaciones-SMP'!L447="","",'Observaciones-SMP'!L447)</f>
        <v/>
      </c>
      <c r="M447" s="193" t="str">
        <f>IF('Observaciones-SMP'!M447="","",'Observaciones-SMP'!M447)</f>
        <v/>
      </c>
      <c r="N447" s="193" t="str">
        <f>IF('Observaciones-SMP'!N447="","",'Observaciones-SMP'!N447)</f>
        <v/>
      </c>
      <c r="O447" s="193" t="str">
        <f>IF('Observaciones-SMP'!O447="","",'Observaciones-SMP'!O447)</f>
        <v/>
      </c>
      <c r="P447" s="193" t="str">
        <f>IF('Observaciones-SMP'!P447="","",'Observaciones-SMP'!P447)</f>
        <v/>
      </c>
      <c r="Q447" s="257" t="str">
        <f>IF('Observaciones-SMP'!S447="","",'Observaciones-SMP'!S447)</f>
        <v/>
      </c>
      <c r="R447" s="193" t="str">
        <f>IF('Observaciones-SMP'!T447="","",'Observaciones-SMP'!T447)</f>
        <v/>
      </c>
      <c r="S447" s="193" t="str">
        <f>""</f>
        <v/>
      </c>
      <c r="T447" s="193" t="str">
        <f>""</f>
        <v/>
      </c>
      <c r="U447" s="193" t="str">
        <f t="shared" si="24"/>
        <v/>
      </c>
      <c r="V447" s="193" t="str">
        <f>""</f>
        <v/>
      </c>
      <c r="W447" s="193" t="str">
        <f>""</f>
        <v/>
      </c>
      <c r="X447" s="258" t="str">
        <f t="shared" si="25"/>
        <v/>
      </c>
      <c r="Y447" s="258" t="str">
        <f t="shared" si="26"/>
        <v/>
      </c>
      <c r="Z447" s="193" t="str">
        <f>IF(A447="","",IF(COUNTIF('Observaciones-SMP'!$A$2:$A$1001,A447)&gt;1,1,0))</f>
        <v/>
      </c>
      <c r="AA447" s="193" t="str">
        <f t="shared" si="27"/>
        <v/>
      </c>
    </row>
    <row r="448" spans="1:27" ht="13.5" customHeight="1" x14ac:dyDescent="0.3">
      <c r="A448" s="193" t="str">
        <f>IF('Observaciones-SMP'!A448="","",'Observaciones-SMP'!A448)</f>
        <v/>
      </c>
      <c r="B448" s="257" t="str">
        <f>IF('Observaciones-SMP'!B448="","",'Observaciones-SMP'!B448)</f>
        <v/>
      </c>
      <c r="C448" s="193" t="str">
        <f>IF('Observaciones-SMP'!C448="","",'Observaciones-SMP'!C448)</f>
        <v/>
      </c>
      <c r="D448" s="193" t="str">
        <f>IF('Observaciones-SMP'!D448="","",'Observaciones-SMP'!D448)</f>
        <v/>
      </c>
      <c r="E448" s="193" t="str">
        <f>IF('Observaciones-SMP'!E448="","",'Observaciones-SMP'!E448)</f>
        <v/>
      </c>
      <c r="F448" s="193" t="str">
        <f>IF('Observaciones-SMP'!F448="","",'Observaciones-SMP'!F448)</f>
        <v/>
      </c>
      <c r="G448" s="193" t="str">
        <f>IF('Observaciones-SMP'!G448="","",'Observaciones-SMP'!G448)</f>
        <v/>
      </c>
      <c r="H448" s="193" t="str">
        <f>IF('Observaciones-SMP'!H448="","",'Observaciones-SMP'!H448)</f>
        <v/>
      </c>
      <c r="I448" s="193" t="str">
        <f>IF('Observaciones-SMP'!I448="","",'Observaciones-SMP'!I448)</f>
        <v/>
      </c>
      <c r="J448" s="193" t="str">
        <f>IF('Observaciones-SMP'!J448="","",'Observaciones-SMP'!J448)</f>
        <v/>
      </c>
      <c r="K448" s="193" t="str">
        <f>IF('Observaciones-SMP'!K448="","",'Observaciones-SMP'!K448)</f>
        <v/>
      </c>
      <c r="L448" s="193" t="str">
        <f>IF('Observaciones-SMP'!L448="","",'Observaciones-SMP'!L448)</f>
        <v/>
      </c>
      <c r="M448" s="193" t="str">
        <f>IF('Observaciones-SMP'!M448="","",'Observaciones-SMP'!M448)</f>
        <v/>
      </c>
      <c r="N448" s="193" t="str">
        <f>IF('Observaciones-SMP'!N448="","",'Observaciones-SMP'!N448)</f>
        <v/>
      </c>
      <c r="O448" s="193" t="str">
        <f>IF('Observaciones-SMP'!O448="","",'Observaciones-SMP'!O448)</f>
        <v/>
      </c>
      <c r="P448" s="193" t="str">
        <f>IF('Observaciones-SMP'!P448="","",'Observaciones-SMP'!P448)</f>
        <v/>
      </c>
      <c r="Q448" s="257" t="str">
        <f>IF('Observaciones-SMP'!S448="","",'Observaciones-SMP'!S448)</f>
        <v/>
      </c>
      <c r="R448" s="193" t="str">
        <f>IF('Observaciones-SMP'!T448="","",'Observaciones-SMP'!T448)</f>
        <v/>
      </c>
      <c r="S448" s="193" t="str">
        <f>""</f>
        <v/>
      </c>
      <c r="T448" s="193" t="str">
        <f>""</f>
        <v/>
      </c>
      <c r="U448" s="193" t="str">
        <f t="shared" si="24"/>
        <v/>
      </c>
      <c r="V448" s="193" t="str">
        <f>""</f>
        <v/>
      </c>
      <c r="W448" s="193" t="str">
        <f>""</f>
        <v/>
      </c>
      <c r="X448" s="258" t="str">
        <f t="shared" si="25"/>
        <v/>
      </c>
      <c r="Y448" s="258" t="str">
        <f t="shared" si="26"/>
        <v/>
      </c>
      <c r="Z448" s="193" t="str">
        <f>IF(A448="","",IF(COUNTIF('Observaciones-SMP'!$A$2:$A$1001,A448)&gt;1,1,0))</f>
        <v/>
      </c>
      <c r="AA448" s="193" t="str">
        <f t="shared" si="27"/>
        <v/>
      </c>
    </row>
    <row r="449" spans="1:27" ht="13.5" customHeight="1" x14ac:dyDescent="0.3">
      <c r="A449" s="193" t="str">
        <f>IF('Observaciones-SMP'!A449="","",'Observaciones-SMP'!A449)</f>
        <v/>
      </c>
      <c r="B449" s="257" t="str">
        <f>IF('Observaciones-SMP'!B449="","",'Observaciones-SMP'!B449)</f>
        <v/>
      </c>
      <c r="C449" s="193" t="str">
        <f>IF('Observaciones-SMP'!C449="","",'Observaciones-SMP'!C449)</f>
        <v/>
      </c>
      <c r="D449" s="193" t="str">
        <f>IF('Observaciones-SMP'!D449="","",'Observaciones-SMP'!D449)</f>
        <v/>
      </c>
      <c r="E449" s="193" t="str">
        <f>IF('Observaciones-SMP'!E449="","",'Observaciones-SMP'!E449)</f>
        <v/>
      </c>
      <c r="F449" s="193" t="str">
        <f>IF('Observaciones-SMP'!F449="","",'Observaciones-SMP'!F449)</f>
        <v/>
      </c>
      <c r="G449" s="193" t="str">
        <f>IF('Observaciones-SMP'!G449="","",'Observaciones-SMP'!G449)</f>
        <v/>
      </c>
      <c r="H449" s="193" t="str">
        <f>IF('Observaciones-SMP'!H449="","",'Observaciones-SMP'!H449)</f>
        <v/>
      </c>
      <c r="I449" s="193" t="str">
        <f>IF('Observaciones-SMP'!I449="","",'Observaciones-SMP'!I449)</f>
        <v/>
      </c>
      <c r="J449" s="193" t="str">
        <f>IF('Observaciones-SMP'!J449="","",'Observaciones-SMP'!J449)</f>
        <v/>
      </c>
      <c r="K449" s="193" t="str">
        <f>IF('Observaciones-SMP'!K449="","",'Observaciones-SMP'!K449)</f>
        <v/>
      </c>
      <c r="L449" s="193" t="str">
        <f>IF('Observaciones-SMP'!L449="","",'Observaciones-SMP'!L449)</f>
        <v/>
      </c>
      <c r="M449" s="193" t="str">
        <f>IF('Observaciones-SMP'!M449="","",'Observaciones-SMP'!M449)</f>
        <v/>
      </c>
      <c r="N449" s="193" t="str">
        <f>IF('Observaciones-SMP'!N449="","",'Observaciones-SMP'!N449)</f>
        <v/>
      </c>
      <c r="O449" s="193" t="str">
        <f>IF('Observaciones-SMP'!O449="","",'Observaciones-SMP'!O449)</f>
        <v/>
      </c>
      <c r="P449" s="193" t="str">
        <f>IF('Observaciones-SMP'!P449="","",'Observaciones-SMP'!P449)</f>
        <v/>
      </c>
      <c r="Q449" s="257" t="str">
        <f>IF('Observaciones-SMP'!S449="","",'Observaciones-SMP'!S449)</f>
        <v/>
      </c>
      <c r="R449" s="193" t="str">
        <f>IF('Observaciones-SMP'!T449="","",'Observaciones-SMP'!T449)</f>
        <v/>
      </c>
      <c r="S449" s="193" t="str">
        <f>""</f>
        <v/>
      </c>
      <c r="T449" s="193" t="str">
        <f>""</f>
        <v/>
      </c>
      <c r="U449" s="193" t="str">
        <f t="shared" si="24"/>
        <v/>
      </c>
      <c r="V449" s="193" t="str">
        <f>""</f>
        <v/>
      </c>
      <c r="W449" s="193" t="str">
        <f>""</f>
        <v/>
      </c>
      <c r="X449" s="258" t="str">
        <f t="shared" si="25"/>
        <v/>
      </c>
      <c r="Y449" s="258" t="str">
        <f t="shared" si="26"/>
        <v/>
      </c>
      <c r="Z449" s="193" t="str">
        <f>IF(A449="","",IF(COUNTIF('Observaciones-SMP'!$A$2:$A$1001,A449)&gt;1,1,0))</f>
        <v/>
      </c>
      <c r="AA449" s="193" t="str">
        <f t="shared" si="27"/>
        <v/>
      </c>
    </row>
    <row r="450" spans="1:27" ht="13.5" customHeight="1" x14ac:dyDescent="0.3">
      <c r="A450" s="193" t="str">
        <f>IF('Observaciones-SMP'!A450="","",'Observaciones-SMP'!A450)</f>
        <v/>
      </c>
      <c r="B450" s="257" t="str">
        <f>IF('Observaciones-SMP'!B450="","",'Observaciones-SMP'!B450)</f>
        <v/>
      </c>
      <c r="C450" s="193" t="str">
        <f>IF('Observaciones-SMP'!C450="","",'Observaciones-SMP'!C450)</f>
        <v/>
      </c>
      <c r="D450" s="193" t="str">
        <f>IF('Observaciones-SMP'!D450="","",'Observaciones-SMP'!D450)</f>
        <v/>
      </c>
      <c r="E450" s="193" t="str">
        <f>IF('Observaciones-SMP'!E450="","",'Observaciones-SMP'!E450)</f>
        <v/>
      </c>
      <c r="F450" s="193" t="str">
        <f>IF('Observaciones-SMP'!F450="","",'Observaciones-SMP'!F450)</f>
        <v/>
      </c>
      <c r="G450" s="193" t="str">
        <f>IF('Observaciones-SMP'!G450="","",'Observaciones-SMP'!G450)</f>
        <v/>
      </c>
      <c r="H450" s="193" t="str">
        <f>IF('Observaciones-SMP'!H450="","",'Observaciones-SMP'!H450)</f>
        <v/>
      </c>
      <c r="I450" s="193" t="str">
        <f>IF('Observaciones-SMP'!I450="","",'Observaciones-SMP'!I450)</f>
        <v/>
      </c>
      <c r="J450" s="193" t="str">
        <f>IF('Observaciones-SMP'!J450="","",'Observaciones-SMP'!J450)</f>
        <v/>
      </c>
      <c r="K450" s="193" t="str">
        <f>IF('Observaciones-SMP'!K450="","",'Observaciones-SMP'!K450)</f>
        <v/>
      </c>
      <c r="L450" s="193" t="str">
        <f>IF('Observaciones-SMP'!L450="","",'Observaciones-SMP'!L450)</f>
        <v/>
      </c>
      <c r="M450" s="193" t="str">
        <f>IF('Observaciones-SMP'!M450="","",'Observaciones-SMP'!M450)</f>
        <v/>
      </c>
      <c r="N450" s="193" t="str">
        <f>IF('Observaciones-SMP'!N450="","",'Observaciones-SMP'!N450)</f>
        <v/>
      </c>
      <c r="O450" s="193" t="str">
        <f>IF('Observaciones-SMP'!O450="","",'Observaciones-SMP'!O450)</f>
        <v/>
      </c>
      <c r="P450" s="193" t="str">
        <f>IF('Observaciones-SMP'!P450="","",'Observaciones-SMP'!P450)</f>
        <v/>
      </c>
      <c r="Q450" s="257" t="str">
        <f>IF('Observaciones-SMP'!S450="","",'Observaciones-SMP'!S450)</f>
        <v/>
      </c>
      <c r="R450" s="193" t="str">
        <f>IF('Observaciones-SMP'!T450="","",'Observaciones-SMP'!T450)</f>
        <v/>
      </c>
      <c r="S450" s="193" t="str">
        <f>""</f>
        <v/>
      </c>
      <c r="T450" s="193" t="str">
        <f>""</f>
        <v/>
      </c>
      <c r="U450" s="193" t="str">
        <f t="shared" ref="U450:U513" si="28">IF(AND(ISNUMBER(B450),ISNUMBER(Q450)),IF(Q450&gt;=B450,Q450-B450,""),"")</f>
        <v/>
      </c>
      <c r="V450" s="193" t="str">
        <f>""</f>
        <v/>
      </c>
      <c r="W450" s="193" t="str">
        <f>""</f>
        <v/>
      </c>
      <c r="X450" s="258" t="str">
        <f t="shared" ref="X450:X513" si="29">IF(ISNUMBER(B450),DATE(YEAR(B450),MONTH(B450),1),"")</f>
        <v/>
      </c>
      <c r="Y450" s="258" t="str">
        <f t="shared" ref="Y450:Y513" si="30">IF(ISNUMBER(Q450),DATE(YEAR(Q450),MONTH(Q450),1),"")</f>
        <v/>
      </c>
      <c r="Z450" s="193" t="str">
        <f>IF(A450="","",IF(COUNTIF('Observaciones-SMP'!$A$2:$A$1001,A450)&gt;1,1,0))</f>
        <v/>
      </c>
      <c r="AA450" s="193" t="str">
        <f t="shared" ref="AA450:AA513" si="31">IF(ISNUMBER(B450),IF(ISNUMBER(Q450),Q450,DATE(YEAR(RPT_MONTH),MONTH(RPT_MONTH)+1,0))-B450,"")</f>
        <v/>
      </c>
    </row>
    <row r="451" spans="1:27" ht="13.5" customHeight="1" x14ac:dyDescent="0.3">
      <c r="A451" s="193" t="str">
        <f>IF('Observaciones-SMP'!A451="","",'Observaciones-SMP'!A451)</f>
        <v/>
      </c>
      <c r="B451" s="257" t="str">
        <f>IF('Observaciones-SMP'!B451="","",'Observaciones-SMP'!B451)</f>
        <v/>
      </c>
      <c r="C451" s="193" t="str">
        <f>IF('Observaciones-SMP'!C451="","",'Observaciones-SMP'!C451)</f>
        <v/>
      </c>
      <c r="D451" s="193" t="str">
        <f>IF('Observaciones-SMP'!D451="","",'Observaciones-SMP'!D451)</f>
        <v/>
      </c>
      <c r="E451" s="193" t="str">
        <f>IF('Observaciones-SMP'!E451="","",'Observaciones-SMP'!E451)</f>
        <v/>
      </c>
      <c r="F451" s="193" t="str">
        <f>IF('Observaciones-SMP'!F451="","",'Observaciones-SMP'!F451)</f>
        <v/>
      </c>
      <c r="G451" s="193" t="str">
        <f>IF('Observaciones-SMP'!G451="","",'Observaciones-SMP'!G451)</f>
        <v/>
      </c>
      <c r="H451" s="193" t="str">
        <f>IF('Observaciones-SMP'!H451="","",'Observaciones-SMP'!H451)</f>
        <v/>
      </c>
      <c r="I451" s="193" t="str">
        <f>IF('Observaciones-SMP'!I451="","",'Observaciones-SMP'!I451)</f>
        <v/>
      </c>
      <c r="J451" s="193" t="str">
        <f>IF('Observaciones-SMP'!J451="","",'Observaciones-SMP'!J451)</f>
        <v/>
      </c>
      <c r="K451" s="193" t="str">
        <f>IF('Observaciones-SMP'!K451="","",'Observaciones-SMP'!K451)</f>
        <v/>
      </c>
      <c r="L451" s="193" t="str">
        <f>IF('Observaciones-SMP'!L451="","",'Observaciones-SMP'!L451)</f>
        <v/>
      </c>
      <c r="M451" s="193" t="str">
        <f>IF('Observaciones-SMP'!M451="","",'Observaciones-SMP'!M451)</f>
        <v/>
      </c>
      <c r="N451" s="193" t="str">
        <f>IF('Observaciones-SMP'!N451="","",'Observaciones-SMP'!N451)</f>
        <v/>
      </c>
      <c r="O451" s="193" t="str">
        <f>IF('Observaciones-SMP'!O451="","",'Observaciones-SMP'!O451)</f>
        <v/>
      </c>
      <c r="P451" s="193" t="str">
        <f>IF('Observaciones-SMP'!P451="","",'Observaciones-SMP'!P451)</f>
        <v/>
      </c>
      <c r="Q451" s="257" t="str">
        <f>IF('Observaciones-SMP'!S451="","",'Observaciones-SMP'!S451)</f>
        <v/>
      </c>
      <c r="R451" s="193" t="str">
        <f>IF('Observaciones-SMP'!T451="","",'Observaciones-SMP'!T451)</f>
        <v/>
      </c>
      <c r="S451" s="193" t="str">
        <f>""</f>
        <v/>
      </c>
      <c r="T451" s="193" t="str">
        <f>""</f>
        <v/>
      </c>
      <c r="U451" s="193" t="str">
        <f t="shared" si="28"/>
        <v/>
      </c>
      <c r="V451" s="193" t="str">
        <f>""</f>
        <v/>
      </c>
      <c r="W451" s="193" t="str">
        <f>""</f>
        <v/>
      </c>
      <c r="X451" s="258" t="str">
        <f t="shared" si="29"/>
        <v/>
      </c>
      <c r="Y451" s="258" t="str">
        <f t="shared" si="30"/>
        <v/>
      </c>
      <c r="Z451" s="193" t="str">
        <f>IF(A451="","",IF(COUNTIF('Observaciones-SMP'!$A$2:$A$1001,A451)&gt;1,1,0))</f>
        <v/>
      </c>
      <c r="AA451" s="193" t="str">
        <f t="shared" si="31"/>
        <v/>
      </c>
    </row>
    <row r="452" spans="1:27" ht="13.5" customHeight="1" x14ac:dyDescent="0.3">
      <c r="A452" s="193" t="str">
        <f>IF('Observaciones-SMP'!A452="","",'Observaciones-SMP'!A452)</f>
        <v/>
      </c>
      <c r="B452" s="257" t="str">
        <f>IF('Observaciones-SMP'!B452="","",'Observaciones-SMP'!B452)</f>
        <v/>
      </c>
      <c r="C452" s="193" t="str">
        <f>IF('Observaciones-SMP'!C452="","",'Observaciones-SMP'!C452)</f>
        <v/>
      </c>
      <c r="D452" s="193" t="str">
        <f>IF('Observaciones-SMP'!D452="","",'Observaciones-SMP'!D452)</f>
        <v/>
      </c>
      <c r="E452" s="193" t="str">
        <f>IF('Observaciones-SMP'!E452="","",'Observaciones-SMP'!E452)</f>
        <v/>
      </c>
      <c r="F452" s="193" t="str">
        <f>IF('Observaciones-SMP'!F452="","",'Observaciones-SMP'!F452)</f>
        <v/>
      </c>
      <c r="G452" s="193" t="str">
        <f>IF('Observaciones-SMP'!G452="","",'Observaciones-SMP'!G452)</f>
        <v/>
      </c>
      <c r="H452" s="193" t="str">
        <f>IF('Observaciones-SMP'!H452="","",'Observaciones-SMP'!H452)</f>
        <v/>
      </c>
      <c r="I452" s="193" t="str">
        <f>IF('Observaciones-SMP'!I452="","",'Observaciones-SMP'!I452)</f>
        <v/>
      </c>
      <c r="J452" s="193" t="str">
        <f>IF('Observaciones-SMP'!J452="","",'Observaciones-SMP'!J452)</f>
        <v/>
      </c>
      <c r="K452" s="193" t="str">
        <f>IF('Observaciones-SMP'!K452="","",'Observaciones-SMP'!K452)</f>
        <v/>
      </c>
      <c r="L452" s="193" t="str">
        <f>IF('Observaciones-SMP'!L452="","",'Observaciones-SMP'!L452)</f>
        <v/>
      </c>
      <c r="M452" s="193" t="str">
        <f>IF('Observaciones-SMP'!M452="","",'Observaciones-SMP'!M452)</f>
        <v/>
      </c>
      <c r="N452" s="193" t="str">
        <f>IF('Observaciones-SMP'!N452="","",'Observaciones-SMP'!N452)</f>
        <v/>
      </c>
      <c r="O452" s="193" t="str">
        <f>IF('Observaciones-SMP'!O452="","",'Observaciones-SMP'!O452)</f>
        <v/>
      </c>
      <c r="P452" s="193" t="str">
        <f>IF('Observaciones-SMP'!P452="","",'Observaciones-SMP'!P452)</f>
        <v/>
      </c>
      <c r="Q452" s="257" t="str">
        <f>IF('Observaciones-SMP'!S452="","",'Observaciones-SMP'!S452)</f>
        <v/>
      </c>
      <c r="R452" s="193" t="str">
        <f>IF('Observaciones-SMP'!T452="","",'Observaciones-SMP'!T452)</f>
        <v/>
      </c>
      <c r="S452" s="193" t="str">
        <f>""</f>
        <v/>
      </c>
      <c r="T452" s="193" t="str">
        <f>""</f>
        <v/>
      </c>
      <c r="U452" s="193" t="str">
        <f t="shared" si="28"/>
        <v/>
      </c>
      <c r="V452" s="193" t="str">
        <f>""</f>
        <v/>
      </c>
      <c r="W452" s="193" t="str">
        <f>""</f>
        <v/>
      </c>
      <c r="X452" s="258" t="str">
        <f t="shared" si="29"/>
        <v/>
      </c>
      <c r="Y452" s="258" t="str">
        <f t="shared" si="30"/>
        <v/>
      </c>
      <c r="Z452" s="193" t="str">
        <f>IF(A452="","",IF(COUNTIF('Observaciones-SMP'!$A$2:$A$1001,A452)&gt;1,1,0))</f>
        <v/>
      </c>
      <c r="AA452" s="193" t="str">
        <f t="shared" si="31"/>
        <v/>
      </c>
    </row>
    <row r="453" spans="1:27" ht="13.5" customHeight="1" x14ac:dyDescent="0.3">
      <c r="A453" s="193" t="str">
        <f>IF('Observaciones-SMP'!A453="","",'Observaciones-SMP'!A453)</f>
        <v/>
      </c>
      <c r="B453" s="257" t="str">
        <f>IF('Observaciones-SMP'!B453="","",'Observaciones-SMP'!B453)</f>
        <v/>
      </c>
      <c r="C453" s="193" t="str">
        <f>IF('Observaciones-SMP'!C453="","",'Observaciones-SMP'!C453)</f>
        <v/>
      </c>
      <c r="D453" s="193" t="str">
        <f>IF('Observaciones-SMP'!D453="","",'Observaciones-SMP'!D453)</f>
        <v/>
      </c>
      <c r="E453" s="193" t="str">
        <f>IF('Observaciones-SMP'!E453="","",'Observaciones-SMP'!E453)</f>
        <v/>
      </c>
      <c r="F453" s="193" t="str">
        <f>IF('Observaciones-SMP'!F453="","",'Observaciones-SMP'!F453)</f>
        <v/>
      </c>
      <c r="G453" s="193" t="str">
        <f>IF('Observaciones-SMP'!G453="","",'Observaciones-SMP'!G453)</f>
        <v/>
      </c>
      <c r="H453" s="193" t="str">
        <f>IF('Observaciones-SMP'!H453="","",'Observaciones-SMP'!H453)</f>
        <v/>
      </c>
      <c r="I453" s="193" t="str">
        <f>IF('Observaciones-SMP'!I453="","",'Observaciones-SMP'!I453)</f>
        <v/>
      </c>
      <c r="J453" s="193" t="str">
        <f>IF('Observaciones-SMP'!J453="","",'Observaciones-SMP'!J453)</f>
        <v/>
      </c>
      <c r="K453" s="193" t="str">
        <f>IF('Observaciones-SMP'!K453="","",'Observaciones-SMP'!K453)</f>
        <v/>
      </c>
      <c r="L453" s="193" t="str">
        <f>IF('Observaciones-SMP'!L453="","",'Observaciones-SMP'!L453)</f>
        <v/>
      </c>
      <c r="M453" s="193" t="str">
        <f>IF('Observaciones-SMP'!M453="","",'Observaciones-SMP'!M453)</f>
        <v/>
      </c>
      <c r="N453" s="193" t="str">
        <f>IF('Observaciones-SMP'!N453="","",'Observaciones-SMP'!N453)</f>
        <v/>
      </c>
      <c r="O453" s="193" t="str">
        <f>IF('Observaciones-SMP'!O453="","",'Observaciones-SMP'!O453)</f>
        <v/>
      </c>
      <c r="P453" s="193" t="str">
        <f>IF('Observaciones-SMP'!P453="","",'Observaciones-SMP'!P453)</f>
        <v/>
      </c>
      <c r="Q453" s="257" t="str">
        <f>IF('Observaciones-SMP'!S453="","",'Observaciones-SMP'!S453)</f>
        <v/>
      </c>
      <c r="R453" s="193" t="str">
        <f>IF('Observaciones-SMP'!T453="","",'Observaciones-SMP'!T453)</f>
        <v/>
      </c>
      <c r="S453" s="193" t="str">
        <f>""</f>
        <v/>
      </c>
      <c r="T453" s="193" t="str">
        <f>""</f>
        <v/>
      </c>
      <c r="U453" s="193" t="str">
        <f t="shared" si="28"/>
        <v/>
      </c>
      <c r="V453" s="193" t="str">
        <f>""</f>
        <v/>
      </c>
      <c r="W453" s="193" t="str">
        <f>""</f>
        <v/>
      </c>
      <c r="X453" s="258" t="str">
        <f t="shared" si="29"/>
        <v/>
      </c>
      <c r="Y453" s="258" t="str">
        <f t="shared" si="30"/>
        <v/>
      </c>
      <c r="Z453" s="193" t="str">
        <f>IF(A453="","",IF(COUNTIF('Observaciones-SMP'!$A$2:$A$1001,A453)&gt;1,1,0))</f>
        <v/>
      </c>
      <c r="AA453" s="193" t="str">
        <f t="shared" si="31"/>
        <v/>
      </c>
    </row>
    <row r="454" spans="1:27" ht="13.5" customHeight="1" x14ac:dyDescent="0.3">
      <c r="A454" s="193" t="str">
        <f>IF('Observaciones-SMP'!A454="","",'Observaciones-SMP'!A454)</f>
        <v/>
      </c>
      <c r="B454" s="257" t="str">
        <f>IF('Observaciones-SMP'!B454="","",'Observaciones-SMP'!B454)</f>
        <v/>
      </c>
      <c r="C454" s="193" t="str">
        <f>IF('Observaciones-SMP'!C454="","",'Observaciones-SMP'!C454)</f>
        <v/>
      </c>
      <c r="D454" s="193" t="str">
        <f>IF('Observaciones-SMP'!D454="","",'Observaciones-SMP'!D454)</f>
        <v/>
      </c>
      <c r="E454" s="193" t="str">
        <f>IF('Observaciones-SMP'!E454="","",'Observaciones-SMP'!E454)</f>
        <v/>
      </c>
      <c r="F454" s="193" t="str">
        <f>IF('Observaciones-SMP'!F454="","",'Observaciones-SMP'!F454)</f>
        <v/>
      </c>
      <c r="G454" s="193" t="str">
        <f>IF('Observaciones-SMP'!G454="","",'Observaciones-SMP'!G454)</f>
        <v/>
      </c>
      <c r="H454" s="193" t="str">
        <f>IF('Observaciones-SMP'!H454="","",'Observaciones-SMP'!H454)</f>
        <v/>
      </c>
      <c r="I454" s="193" t="str">
        <f>IF('Observaciones-SMP'!I454="","",'Observaciones-SMP'!I454)</f>
        <v/>
      </c>
      <c r="J454" s="193" t="str">
        <f>IF('Observaciones-SMP'!J454="","",'Observaciones-SMP'!J454)</f>
        <v/>
      </c>
      <c r="K454" s="193" t="str">
        <f>IF('Observaciones-SMP'!K454="","",'Observaciones-SMP'!K454)</f>
        <v/>
      </c>
      <c r="L454" s="193" t="str">
        <f>IF('Observaciones-SMP'!L454="","",'Observaciones-SMP'!L454)</f>
        <v/>
      </c>
      <c r="M454" s="193" t="str">
        <f>IF('Observaciones-SMP'!M454="","",'Observaciones-SMP'!M454)</f>
        <v/>
      </c>
      <c r="N454" s="193" t="str">
        <f>IF('Observaciones-SMP'!N454="","",'Observaciones-SMP'!N454)</f>
        <v/>
      </c>
      <c r="O454" s="193" t="str">
        <f>IF('Observaciones-SMP'!O454="","",'Observaciones-SMP'!O454)</f>
        <v/>
      </c>
      <c r="P454" s="193" t="str">
        <f>IF('Observaciones-SMP'!P454="","",'Observaciones-SMP'!P454)</f>
        <v/>
      </c>
      <c r="Q454" s="257" t="str">
        <f>IF('Observaciones-SMP'!S454="","",'Observaciones-SMP'!S454)</f>
        <v/>
      </c>
      <c r="R454" s="193" t="str">
        <f>IF('Observaciones-SMP'!T454="","",'Observaciones-SMP'!T454)</f>
        <v/>
      </c>
      <c r="S454" s="193" t="str">
        <f>""</f>
        <v/>
      </c>
      <c r="T454" s="193" t="str">
        <f>""</f>
        <v/>
      </c>
      <c r="U454" s="193" t="str">
        <f t="shared" si="28"/>
        <v/>
      </c>
      <c r="V454" s="193" t="str">
        <f>""</f>
        <v/>
      </c>
      <c r="W454" s="193" t="str">
        <f>""</f>
        <v/>
      </c>
      <c r="X454" s="258" t="str">
        <f t="shared" si="29"/>
        <v/>
      </c>
      <c r="Y454" s="258" t="str">
        <f t="shared" si="30"/>
        <v/>
      </c>
      <c r="Z454" s="193" t="str">
        <f>IF(A454="","",IF(COUNTIF('Observaciones-SMP'!$A$2:$A$1001,A454)&gt;1,1,0))</f>
        <v/>
      </c>
      <c r="AA454" s="193" t="str">
        <f t="shared" si="31"/>
        <v/>
      </c>
    </row>
    <row r="455" spans="1:27" ht="13.5" customHeight="1" x14ac:dyDescent="0.3">
      <c r="A455" s="193" t="str">
        <f>IF('Observaciones-SMP'!A455="","",'Observaciones-SMP'!A455)</f>
        <v/>
      </c>
      <c r="B455" s="257" t="str">
        <f>IF('Observaciones-SMP'!B455="","",'Observaciones-SMP'!B455)</f>
        <v/>
      </c>
      <c r="C455" s="193" t="str">
        <f>IF('Observaciones-SMP'!C455="","",'Observaciones-SMP'!C455)</f>
        <v/>
      </c>
      <c r="D455" s="193" t="str">
        <f>IF('Observaciones-SMP'!D455="","",'Observaciones-SMP'!D455)</f>
        <v/>
      </c>
      <c r="E455" s="193" t="str">
        <f>IF('Observaciones-SMP'!E455="","",'Observaciones-SMP'!E455)</f>
        <v/>
      </c>
      <c r="F455" s="193" t="str">
        <f>IF('Observaciones-SMP'!F455="","",'Observaciones-SMP'!F455)</f>
        <v/>
      </c>
      <c r="G455" s="193" t="str">
        <f>IF('Observaciones-SMP'!G455="","",'Observaciones-SMP'!G455)</f>
        <v/>
      </c>
      <c r="H455" s="193" t="str">
        <f>IF('Observaciones-SMP'!H455="","",'Observaciones-SMP'!H455)</f>
        <v/>
      </c>
      <c r="I455" s="193" t="str">
        <f>IF('Observaciones-SMP'!I455="","",'Observaciones-SMP'!I455)</f>
        <v/>
      </c>
      <c r="J455" s="193" t="str">
        <f>IF('Observaciones-SMP'!J455="","",'Observaciones-SMP'!J455)</f>
        <v/>
      </c>
      <c r="K455" s="193" t="str">
        <f>IF('Observaciones-SMP'!K455="","",'Observaciones-SMP'!K455)</f>
        <v/>
      </c>
      <c r="L455" s="193" t="str">
        <f>IF('Observaciones-SMP'!L455="","",'Observaciones-SMP'!L455)</f>
        <v/>
      </c>
      <c r="M455" s="193" t="str">
        <f>IF('Observaciones-SMP'!M455="","",'Observaciones-SMP'!M455)</f>
        <v/>
      </c>
      <c r="N455" s="193" t="str">
        <f>IF('Observaciones-SMP'!N455="","",'Observaciones-SMP'!N455)</f>
        <v/>
      </c>
      <c r="O455" s="193" t="str">
        <f>IF('Observaciones-SMP'!O455="","",'Observaciones-SMP'!O455)</f>
        <v/>
      </c>
      <c r="P455" s="193" t="str">
        <f>IF('Observaciones-SMP'!P455="","",'Observaciones-SMP'!P455)</f>
        <v/>
      </c>
      <c r="Q455" s="257" t="str">
        <f>IF('Observaciones-SMP'!S455="","",'Observaciones-SMP'!S455)</f>
        <v/>
      </c>
      <c r="R455" s="193" t="str">
        <f>IF('Observaciones-SMP'!T455="","",'Observaciones-SMP'!T455)</f>
        <v/>
      </c>
      <c r="S455" s="193" t="str">
        <f>""</f>
        <v/>
      </c>
      <c r="T455" s="193" t="str">
        <f>""</f>
        <v/>
      </c>
      <c r="U455" s="193" t="str">
        <f t="shared" si="28"/>
        <v/>
      </c>
      <c r="V455" s="193" t="str">
        <f>""</f>
        <v/>
      </c>
      <c r="W455" s="193" t="str">
        <f>""</f>
        <v/>
      </c>
      <c r="X455" s="258" t="str">
        <f t="shared" si="29"/>
        <v/>
      </c>
      <c r="Y455" s="258" t="str">
        <f t="shared" si="30"/>
        <v/>
      </c>
      <c r="Z455" s="193" t="str">
        <f>IF(A455="","",IF(COUNTIF('Observaciones-SMP'!$A$2:$A$1001,A455)&gt;1,1,0))</f>
        <v/>
      </c>
      <c r="AA455" s="193" t="str">
        <f t="shared" si="31"/>
        <v/>
      </c>
    </row>
    <row r="456" spans="1:27" ht="13.5" customHeight="1" x14ac:dyDescent="0.3">
      <c r="A456" s="193" t="str">
        <f>IF('Observaciones-SMP'!A456="","",'Observaciones-SMP'!A456)</f>
        <v/>
      </c>
      <c r="B456" s="257" t="str">
        <f>IF('Observaciones-SMP'!B456="","",'Observaciones-SMP'!B456)</f>
        <v/>
      </c>
      <c r="C456" s="193" t="str">
        <f>IF('Observaciones-SMP'!C456="","",'Observaciones-SMP'!C456)</f>
        <v/>
      </c>
      <c r="D456" s="193" t="str">
        <f>IF('Observaciones-SMP'!D456="","",'Observaciones-SMP'!D456)</f>
        <v/>
      </c>
      <c r="E456" s="193" t="str">
        <f>IF('Observaciones-SMP'!E456="","",'Observaciones-SMP'!E456)</f>
        <v/>
      </c>
      <c r="F456" s="193" t="str">
        <f>IF('Observaciones-SMP'!F456="","",'Observaciones-SMP'!F456)</f>
        <v/>
      </c>
      <c r="G456" s="193" t="str">
        <f>IF('Observaciones-SMP'!G456="","",'Observaciones-SMP'!G456)</f>
        <v/>
      </c>
      <c r="H456" s="193" t="str">
        <f>IF('Observaciones-SMP'!H456="","",'Observaciones-SMP'!H456)</f>
        <v/>
      </c>
      <c r="I456" s="193" t="str">
        <f>IF('Observaciones-SMP'!I456="","",'Observaciones-SMP'!I456)</f>
        <v/>
      </c>
      <c r="J456" s="193" t="str">
        <f>IF('Observaciones-SMP'!J456="","",'Observaciones-SMP'!J456)</f>
        <v/>
      </c>
      <c r="K456" s="193" t="str">
        <f>IF('Observaciones-SMP'!K456="","",'Observaciones-SMP'!K456)</f>
        <v/>
      </c>
      <c r="L456" s="193" t="str">
        <f>IF('Observaciones-SMP'!L456="","",'Observaciones-SMP'!L456)</f>
        <v/>
      </c>
      <c r="M456" s="193" t="str">
        <f>IF('Observaciones-SMP'!M456="","",'Observaciones-SMP'!M456)</f>
        <v/>
      </c>
      <c r="N456" s="193" t="str">
        <f>IF('Observaciones-SMP'!N456="","",'Observaciones-SMP'!N456)</f>
        <v/>
      </c>
      <c r="O456" s="193" t="str">
        <f>IF('Observaciones-SMP'!O456="","",'Observaciones-SMP'!O456)</f>
        <v/>
      </c>
      <c r="P456" s="193" t="str">
        <f>IF('Observaciones-SMP'!P456="","",'Observaciones-SMP'!P456)</f>
        <v/>
      </c>
      <c r="Q456" s="257" t="str">
        <f>IF('Observaciones-SMP'!S456="","",'Observaciones-SMP'!S456)</f>
        <v/>
      </c>
      <c r="R456" s="193" t="str">
        <f>IF('Observaciones-SMP'!T456="","",'Observaciones-SMP'!T456)</f>
        <v/>
      </c>
      <c r="S456" s="193" t="str">
        <f>""</f>
        <v/>
      </c>
      <c r="T456" s="193" t="str">
        <f>""</f>
        <v/>
      </c>
      <c r="U456" s="193" t="str">
        <f t="shared" si="28"/>
        <v/>
      </c>
      <c r="V456" s="193" t="str">
        <f>""</f>
        <v/>
      </c>
      <c r="W456" s="193" t="str">
        <f>""</f>
        <v/>
      </c>
      <c r="X456" s="258" t="str">
        <f t="shared" si="29"/>
        <v/>
      </c>
      <c r="Y456" s="258" t="str">
        <f t="shared" si="30"/>
        <v/>
      </c>
      <c r="Z456" s="193" t="str">
        <f>IF(A456="","",IF(COUNTIF('Observaciones-SMP'!$A$2:$A$1001,A456)&gt;1,1,0))</f>
        <v/>
      </c>
      <c r="AA456" s="193" t="str">
        <f t="shared" si="31"/>
        <v/>
      </c>
    </row>
    <row r="457" spans="1:27" ht="13.5" customHeight="1" x14ac:dyDescent="0.3">
      <c r="A457" s="193" t="str">
        <f>IF('Observaciones-SMP'!A457="","",'Observaciones-SMP'!A457)</f>
        <v/>
      </c>
      <c r="B457" s="257" t="str">
        <f>IF('Observaciones-SMP'!B457="","",'Observaciones-SMP'!B457)</f>
        <v/>
      </c>
      <c r="C457" s="193" t="str">
        <f>IF('Observaciones-SMP'!C457="","",'Observaciones-SMP'!C457)</f>
        <v/>
      </c>
      <c r="D457" s="193" t="str">
        <f>IF('Observaciones-SMP'!D457="","",'Observaciones-SMP'!D457)</f>
        <v/>
      </c>
      <c r="E457" s="193" t="str">
        <f>IF('Observaciones-SMP'!E457="","",'Observaciones-SMP'!E457)</f>
        <v/>
      </c>
      <c r="F457" s="193" t="str">
        <f>IF('Observaciones-SMP'!F457="","",'Observaciones-SMP'!F457)</f>
        <v/>
      </c>
      <c r="G457" s="193" t="str">
        <f>IF('Observaciones-SMP'!G457="","",'Observaciones-SMP'!G457)</f>
        <v/>
      </c>
      <c r="H457" s="193" t="str">
        <f>IF('Observaciones-SMP'!H457="","",'Observaciones-SMP'!H457)</f>
        <v/>
      </c>
      <c r="I457" s="193" t="str">
        <f>IF('Observaciones-SMP'!I457="","",'Observaciones-SMP'!I457)</f>
        <v/>
      </c>
      <c r="J457" s="193" t="str">
        <f>IF('Observaciones-SMP'!J457="","",'Observaciones-SMP'!J457)</f>
        <v/>
      </c>
      <c r="K457" s="193" t="str">
        <f>IF('Observaciones-SMP'!K457="","",'Observaciones-SMP'!K457)</f>
        <v/>
      </c>
      <c r="L457" s="193" t="str">
        <f>IF('Observaciones-SMP'!L457="","",'Observaciones-SMP'!L457)</f>
        <v/>
      </c>
      <c r="M457" s="193" t="str">
        <f>IF('Observaciones-SMP'!M457="","",'Observaciones-SMP'!M457)</f>
        <v/>
      </c>
      <c r="N457" s="193" t="str">
        <f>IF('Observaciones-SMP'!N457="","",'Observaciones-SMP'!N457)</f>
        <v/>
      </c>
      <c r="O457" s="193" t="str">
        <f>IF('Observaciones-SMP'!O457="","",'Observaciones-SMP'!O457)</f>
        <v/>
      </c>
      <c r="P457" s="193" t="str">
        <f>IF('Observaciones-SMP'!P457="","",'Observaciones-SMP'!P457)</f>
        <v/>
      </c>
      <c r="Q457" s="257" t="str">
        <f>IF('Observaciones-SMP'!S457="","",'Observaciones-SMP'!S457)</f>
        <v/>
      </c>
      <c r="R457" s="193" t="str">
        <f>IF('Observaciones-SMP'!T457="","",'Observaciones-SMP'!T457)</f>
        <v/>
      </c>
      <c r="S457" s="193" t="str">
        <f>""</f>
        <v/>
      </c>
      <c r="T457" s="193" t="str">
        <f>""</f>
        <v/>
      </c>
      <c r="U457" s="193" t="str">
        <f t="shared" si="28"/>
        <v/>
      </c>
      <c r="V457" s="193" t="str">
        <f>""</f>
        <v/>
      </c>
      <c r="W457" s="193" t="str">
        <f>""</f>
        <v/>
      </c>
      <c r="X457" s="258" t="str">
        <f t="shared" si="29"/>
        <v/>
      </c>
      <c r="Y457" s="258" t="str">
        <f t="shared" si="30"/>
        <v/>
      </c>
      <c r="Z457" s="193" t="str">
        <f>IF(A457="","",IF(COUNTIF('Observaciones-SMP'!$A$2:$A$1001,A457)&gt;1,1,0))</f>
        <v/>
      </c>
      <c r="AA457" s="193" t="str">
        <f t="shared" si="31"/>
        <v/>
      </c>
    </row>
    <row r="458" spans="1:27" ht="13.5" customHeight="1" x14ac:dyDescent="0.3">
      <c r="A458" s="193" t="str">
        <f>IF('Observaciones-SMP'!A458="","",'Observaciones-SMP'!A458)</f>
        <v/>
      </c>
      <c r="B458" s="257" t="str">
        <f>IF('Observaciones-SMP'!B458="","",'Observaciones-SMP'!B458)</f>
        <v/>
      </c>
      <c r="C458" s="193" t="str">
        <f>IF('Observaciones-SMP'!C458="","",'Observaciones-SMP'!C458)</f>
        <v/>
      </c>
      <c r="D458" s="193" t="str">
        <f>IF('Observaciones-SMP'!D458="","",'Observaciones-SMP'!D458)</f>
        <v/>
      </c>
      <c r="E458" s="193" t="str">
        <f>IF('Observaciones-SMP'!E458="","",'Observaciones-SMP'!E458)</f>
        <v/>
      </c>
      <c r="F458" s="193" t="str">
        <f>IF('Observaciones-SMP'!F458="","",'Observaciones-SMP'!F458)</f>
        <v/>
      </c>
      <c r="G458" s="193" t="str">
        <f>IF('Observaciones-SMP'!G458="","",'Observaciones-SMP'!G458)</f>
        <v/>
      </c>
      <c r="H458" s="193" t="str">
        <f>IF('Observaciones-SMP'!H458="","",'Observaciones-SMP'!H458)</f>
        <v/>
      </c>
      <c r="I458" s="193" t="str">
        <f>IF('Observaciones-SMP'!I458="","",'Observaciones-SMP'!I458)</f>
        <v/>
      </c>
      <c r="J458" s="193" t="str">
        <f>IF('Observaciones-SMP'!J458="","",'Observaciones-SMP'!J458)</f>
        <v/>
      </c>
      <c r="K458" s="193" t="str">
        <f>IF('Observaciones-SMP'!K458="","",'Observaciones-SMP'!K458)</f>
        <v/>
      </c>
      <c r="L458" s="193" t="str">
        <f>IF('Observaciones-SMP'!L458="","",'Observaciones-SMP'!L458)</f>
        <v/>
      </c>
      <c r="M458" s="193" t="str">
        <f>IF('Observaciones-SMP'!M458="","",'Observaciones-SMP'!M458)</f>
        <v/>
      </c>
      <c r="N458" s="193" t="str">
        <f>IF('Observaciones-SMP'!N458="","",'Observaciones-SMP'!N458)</f>
        <v/>
      </c>
      <c r="O458" s="193" t="str">
        <f>IF('Observaciones-SMP'!O458="","",'Observaciones-SMP'!O458)</f>
        <v/>
      </c>
      <c r="P458" s="193" t="str">
        <f>IF('Observaciones-SMP'!P458="","",'Observaciones-SMP'!P458)</f>
        <v/>
      </c>
      <c r="Q458" s="257" t="str">
        <f>IF('Observaciones-SMP'!S458="","",'Observaciones-SMP'!S458)</f>
        <v/>
      </c>
      <c r="R458" s="193" t="str">
        <f>IF('Observaciones-SMP'!T458="","",'Observaciones-SMP'!T458)</f>
        <v/>
      </c>
      <c r="S458" s="193" t="str">
        <f>""</f>
        <v/>
      </c>
      <c r="T458" s="193" t="str">
        <f>""</f>
        <v/>
      </c>
      <c r="U458" s="193" t="str">
        <f t="shared" si="28"/>
        <v/>
      </c>
      <c r="V458" s="193" t="str">
        <f>""</f>
        <v/>
      </c>
      <c r="W458" s="193" t="str">
        <f>""</f>
        <v/>
      </c>
      <c r="X458" s="258" t="str">
        <f t="shared" si="29"/>
        <v/>
      </c>
      <c r="Y458" s="258" t="str">
        <f t="shared" si="30"/>
        <v/>
      </c>
      <c r="Z458" s="193" t="str">
        <f>IF(A458="","",IF(COUNTIF('Observaciones-SMP'!$A$2:$A$1001,A458)&gt;1,1,0))</f>
        <v/>
      </c>
      <c r="AA458" s="193" t="str">
        <f t="shared" si="31"/>
        <v/>
      </c>
    </row>
    <row r="459" spans="1:27" ht="13.5" customHeight="1" x14ac:dyDescent="0.3">
      <c r="A459" s="193" t="str">
        <f>IF('Observaciones-SMP'!A459="","",'Observaciones-SMP'!A459)</f>
        <v/>
      </c>
      <c r="B459" s="257" t="str">
        <f>IF('Observaciones-SMP'!B459="","",'Observaciones-SMP'!B459)</f>
        <v/>
      </c>
      <c r="C459" s="193" t="str">
        <f>IF('Observaciones-SMP'!C459="","",'Observaciones-SMP'!C459)</f>
        <v/>
      </c>
      <c r="D459" s="193" t="str">
        <f>IF('Observaciones-SMP'!D459="","",'Observaciones-SMP'!D459)</f>
        <v/>
      </c>
      <c r="E459" s="193" t="str">
        <f>IF('Observaciones-SMP'!E459="","",'Observaciones-SMP'!E459)</f>
        <v/>
      </c>
      <c r="F459" s="193" t="str">
        <f>IF('Observaciones-SMP'!F459="","",'Observaciones-SMP'!F459)</f>
        <v/>
      </c>
      <c r="G459" s="193" t="str">
        <f>IF('Observaciones-SMP'!G459="","",'Observaciones-SMP'!G459)</f>
        <v/>
      </c>
      <c r="H459" s="193" t="str">
        <f>IF('Observaciones-SMP'!H459="","",'Observaciones-SMP'!H459)</f>
        <v/>
      </c>
      <c r="I459" s="193" t="str">
        <f>IF('Observaciones-SMP'!I459="","",'Observaciones-SMP'!I459)</f>
        <v/>
      </c>
      <c r="J459" s="193" t="str">
        <f>IF('Observaciones-SMP'!J459="","",'Observaciones-SMP'!J459)</f>
        <v/>
      </c>
      <c r="K459" s="193" t="str">
        <f>IF('Observaciones-SMP'!K459="","",'Observaciones-SMP'!K459)</f>
        <v/>
      </c>
      <c r="L459" s="193" t="str">
        <f>IF('Observaciones-SMP'!L459="","",'Observaciones-SMP'!L459)</f>
        <v/>
      </c>
      <c r="M459" s="193" t="str">
        <f>IF('Observaciones-SMP'!M459="","",'Observaciones-SMP'!M459)</f>
        <v/>
      </c>
      <c r="N459" s="193" t="str">
        <f>IF('Observaciones-SMP'!N459="","",'Observaciones-SMP'!N459)</f>
        <v/>
      </c>
      <c r="O459" s="193" t="str">
        <f>IF('Observaciones-SMP'!O459="","",'Observaciones-SMP'!O459)</f>
        <v/>
      </c>
      <c r="P459" s="193" t="str">
        <f>IF('Observaciones-SMP'!P459="","",'Observaciones-SMP'!P459)</f>
        <v/>
      </c>
      <c r="Q459" s="257" t="str">
        <f>IF('Observaciones-SMP'!S459="","",'Observaciones-SMP'!S459)</f>
        <v/>
      </c>
      <c r="R459" s="193" t="str">
        <f>IF('Observaciones-SMP'!T459="","",'Observaciones-SMP'!T459)</f>
        <v/>
      </c>
      <c r="S459" s="193" t="str">
        <f>""</f>
        <v/>
      </c>
      <c r="T459" s="193" t="str">
        <f>""</f>
        <v/>
      </c>
      <c r="U459" s="193" t="str">
        <f t="shared" si="28"/>
        <v/>
      </c>
      <c r="V459" s="193" t="str">
        <f>""</f>
        <v/>
      </c>
      <c r="W459" s="193" t="str">
        <f>""</f>
        <v/>
      </c>
      <c r="X459" s="258" t="str">
        <f t="shared" si="29"/>
        <v/>
      </c>
      <c r="Y459" s="258" t="str">
        <f t="shared" si="30"/>
        <v/>
      </c>
      <c r="Z459" s="193" t="str">
        <f>IF(A459="","",IF(COUNTIF('Observaciones-SMP'!$A$2:$A$1001,A459)&gt;1,1,0))</f>
        <v/>
      </c>
      <c r="AA459" s="193" t="str">
        <f t="shared" si="31"/>
        <v/>
      </c>
    </row>
    <row r="460" spans="1:27" ht="13.5" customHeight="1" x14ac:dyDescent="0.3">
      <c r="A460" s="193" t="str">
        <f>IF('Observaciones-SMP'!A460="","",'Observaciones-SMP'!A460)</f>
        <v/>
      </c>
      <c r="B460" s="257" t="str">
        <f>IF('Observaciones-SMP'!B460="","",'Observaciones-SMP'!B460)</f>
        <v/>
      </c>
      <c r="C460" s="193" t="str">
        <f>IF('Observaciones-SMP'!C460="","",'Observaciones-SMP'!C460)</f>
        <v/>
      </c>
      <c r="D460" s="193" t="str">
        <f>IF('Observaciones-SMP'!D460="","",'Observaciones-SMP'!D460)</f>
        <v/>
      </c>
      <c r="E460" s="193" t="str">
        <f>IF('Observaciones-SMP'!E460="","",'Observaciones-SMP'!E460)</f>
        <v/>
      </c>
      <c r="F460" s="193" t="str">
        <f>IF('Observaciones-SMP'!F460="","",'Observaciones-SMP'!F460)</f>
        <v/>
      </c>
      <c r="G460" s="193" t="str">
        <f>IF('Observaciones-SMP'!G460="","",'Observaciones-SMP'!G460)</f>
        <v/>
      </c>
      <c r="H460" s="193" t="str">
        <f>IF('Observaciones-SMP'!H460="","",'Observaciones-SMP'!H460)</f>
        <v/>
      </c>
      <c r="I460" s="193" t="str">
        <f>IF('Observaciones-SMP'!I460="","",'Observaciones-SMP'!I460)</f>
        <v/>
      </c>
      <c r="J460" s="193" t="str">
        <f>IF('Observaciones-SMP'!J460="","",'Observaciones-SMP'!J460)</f>
        <v/>
      </c>
      <c r="K460" s="193" t="str">
        <f>IF('Observaciones-SMP'!K460="","",'Observaciones-SMP'!K460)</f>
        <v/>
      </c>
      <c r="L460" s="193" t="str">
        <f>IF('Observaciones-SMP'!L460="","",'Observaciones-SMP'!L460)</f>
        <v/>
      </c>
      <c r="M460" s="193" t="str">
        <f>IF('Observaciones-SMP'!M460="","",'Observaciones-SMP'!M460)</f>
        <v/>
      </c>
      <c r="N460" s="193" t="str">
        <f>IF('Observaciones-SMP'!N460="","",'Observaciones-SMP'!N460)</f>
        <v/>
      </c>
      <c r="O460" s="193" t="str">
        <f>IF('Observaciones-SMP'!O460="","",'Observaciones-SMP'!O460)</f>
        <v/>
      </c>
      <c r="P460" s="193" t="str">
        <f>IF('Observaciones-SMP'!P460="","",'Observaciones-SMP'!P460)</f>
        <v/>
      </c>
      <c r="Q460" s="257" t="str">
        <f>IF('Observaciones-SMP'!S460="","",'Observaciones-SMP'!S460)</f>
        <v/>
      </c>
      <c r="R460" s="193" t="str">
        <f>IF('Observaciones-SMP'!T460="","",'Observaciones-SMP'!T460)</f>
        <v/>
      </c>
      <c r="S460" s="193" t="str">
        <f>""</f>
        <v/>
      </c>
      <c r="T460" s="193" t="str">
        <f>""</f>
        <v/>
      </c>
      <c r="U460" s="193" t="str">
        <f t="shared" si="28"/>
        <v/>
      </c>
      <c r="V460" s="193" t="str">
        <f>""</f>
        <v/>
      </c>
      <c r="W460" s="193" t="str">
        <f>""</f>
        <v/>
      </c>
      <c r="X460" s="258" t="str">
        <f t="shared" si="29"/>
        <v/>
      </c>
      <c r="Y460" s="258" t="str">
        <f t="shared" si="30"/>
        <v/>
      </c>
      <c r="Z460" s="193" t="str">
        <f>IF(A460="","",IF(COUNTIF('Observaciones-SMP'!$A$2:$A$1001,A460)&gt;1,1,0))</f>
        <v/>
      </c>
      <c r="AA460" s="193" t="str">
        <f t="shared" si="31"/>
        <v/>
      </c>
    </row>
    <row r="461" spans="1:27" ht="13.5" customHeight="1" x14ac:dyDescent="0.3">
      <c r="A461" s="193" t="str">
        <f>IF('Observaciones-SMP'!A461="","",'Observaciones-SMP'!A461)</f>
        <v/>
      </c>
      <c r="B461" s="257" t="str">
        <f>IF('Observaciones-SMP'!B461="","",'Observaciones-SMP'!B461)</f>
        <v/>
      </c>
      <c r="C461" s="193" t="str">
        <f>IF('Observaciones-SMP'!C461="","",'Observaciones-SMP'!C461)</f>
        <v/>
      </c>
      <c r="D461" s="193" t="str">
        <f>IF('Observaciones-SMP'!D461="","",'Observaciones-SMP'!D461)</f>
        <v/>
      </c>
      <c r="E461" s="193" t="str">
        <f>IF('Observaciones-SMP'!E461="","",'Observaciones-SMP'!E461)</f>
        <v/>
      </c>
      <c r="F461" s="193" t="str">
        <f>IF('Observaciones-SMP'!F461="","",'Observaciones-SMP'!F461)</f>
        <v/>
      </c>
      <c r="G461" s="193" t="str">
        <f>IF('Observaciones-SMP'!G461="","",'Observaciones-SMP'!G461)</f>
        <v/>
      </c>
      <c r="H461" s="193" t="str">
        <f>IF('Observaciones-SMP'!H461="","",'Observaciones-SMP'!H461)</f>
        <v/>
      </c>
      <c r="I461" s="193" t="str">
        <f>IF('Observaciones-SMP'!I461="","",'Observaciones-SMP'!I461)</f>
        <v/>
      </c>
      <c r="J461" s="193" t="str">
        <f>IF('Observaciones-SMP'!J461="","",'Observaciones-SMP'!J461)</f>
        <v/>
      </c>
      <c r="K461" s="193" t="str">
        <f>IF('Observaciones-SMP'!K461="","",'Observaciones-SMP'!K461)</f>
        <v/>
      </c>
      <c r="L461" s="193" t="str">
        <f>IF('Observaciones-SMP'!L461="","",'Observaciones-SMP'!L461)</f>
        <v/>
      </c>
      <c r="M461" s="193" t="str">
        <f>IF('Observaciones-SMP'!M461="","",'Observaciones-SMP'!M461)</f>
        <v/>
      </c>
      <c r="N461" s="193" t="str">
        <f>IF('Observaciones-SMP'!N461="","",'Observaciones-SMP'!N461)</f>
        <v/>
      </c>
      <c r="O461" s="193" t="str">
        <f>IF('Observaciones-SMP'!O461="","",'Observaciones-SMP'!O461)</f>
        <v/>
      </c>
      <c r="P461" s="193" t="str">
        <f>IF('Observaciones-SMP'!P461="","",'Observaciones-SMP'!P461)</f>
        <v/>
      </c>
      <c r="Q461" s="257" t="str">
        <f>IF('Observaciones-SMP'!S461="","",'Observaciones-SMP'!S461)</f>
        <v/>
      </c>
      <c r="R461" s="193" t="str">
        <f>IF('Observaciones-SMP'!T461="","",'Observaciones-SMP'!T461)</f>
        <v/>
      </c>
      <c r="S461" s="193" t="str">
        <f>""</f>
        <v/>
      </c>
      <c r="T461" s="193" t="str">
        <f>""</f>
        <v/>
      </c>
      <c r="U461" s="193" t="str">
        <f t="shared" si="28"/>
        <v/>
      </c>
      <c r="V461" s="193" t="str">
        <f>""</f>
        <v/>
      </c>
      <c r="W461" s="193" t="str">
        <f>""</f>
        <v/>
      </c>
      <c r="X461" s="258" t="str">
        <f t="shared" si="29"/>
        <v/>
      </c>
      <c r="Y461" s="258" t="str">
        <f t="shared" si="30"/>
        <v/>
      </c>
      <c r="Z461" s="193" t="str">
        <f>IF(A461="","",IF(COUNTIF('Observaciones-SMP'!$A$2:$A$1001,A461)&gt;1,1,0))</f>
        <v/>
      </c>
      <c r="AA461" s="193" t="str">
        <f t="shared" si="31"/>
        <v/>
      </c>
    </row>
    <row r="462" spans="1:27" ht="13.5" customHeight="1" x14ac:dyDescent="0.3">
      <c r="A462" s="193" t="str">
        <f>IF('Observaciones-SMP'!A462="","",'Observaciones-SMP'!A462)</f>
        <v/>
      </c>
      <c r="B462" s="257" t="str">
        <f>IF('Observaciones-SMP'!B462="","",'Observaciones-SMP'!B462)</f>
        <v/>
      </c>
      <c r="C462" s="193" t="str">
        <f>IF('Observaciones-SMP'!C462="","",'Observaciones-SMP'!C462)</f>
        <v/>
      </c>
      <c r="D462" s="193" t="str">
        <f>IF('Observaciones-SMP'!D462="","",'Observaciones-SMP'!D462)</f>
        <v/>
      </c>
      <c r="E462" s="193" t="str">
        <f>IF('Observaciones-SMP'!E462="","",'Observaciones-SMP'!E462)</f>
        <v/>
      </c>
      <c r="F462" s="193" t="str">
        <f>IF('Observaciones-SMP'!F462="","",'Observaciones-SMP'!F462)</f>
        <v/>
      </c>
      <c r="G462" s="193" t="str">
        <f>IF('Observaciones-SMP'!G462="","",'Observaciones-SMP'!G462)</f>
        <v/>
      </c>
      <c r="H462" s="193" t="str">
        <f>IF('Observaciones-SMP'!H462="","",'Observaciones-SMP'!H462)</f>
        <v/>
      </c>
      <c r="I462" s="193" t="str">
        <f>IF('Observaciones-SMP'!I462="","",'Observaciones-SMP'!I462)</f>
        <v/>
      </c>
      <c r="J462" s="193" t="str">
        <f>IF('Observaciones-SMP'!J462="","",'Observaciones-SMP'!J462)</f>
        <v/>
      </c>
      <c r="K462" s="193" t="str">
        <f>IF('Observaciones-SMP'!K462="","",'Observaciones-SMP'!K462)</f>
        <v/>
      </c>
      <c r="L462" s="193" t="str">
        <f>IF('Observaciones-SMP'!L462="","",'Observaciones-SMP'!L462)</f>
        <v/>
      </c>
      <c r="M462" s="193" t="str">
        <f>IF('Observaciones-SMP'!M462="","",'Observaciones-SMP'!M462)</f>
        <v/>
      </c>
      <c r="N462" s="193" t="str">
        <f>IF('Observaciones-SMP'!N462="","",'Observaciones-SMP'!N462)</f>
        <v/>
      </c>
      <c r="O462" s="193" t="str">
        <f>IF('Observaciones-SMP'!O462="","",'Observaciones-SMP'!O462)</f>
        <v/>
      </c>
      <c r="P462" s="193" t="str">
        <f>IF('Observaciones-SMP'!P462="","",'Observaciones-SMP'!P462)</f>
        <v/>
      </c>
      <c r="Q462" s="257" t="str">
        <f>IF('Observaciones-SMP'!S462="","",'Observaciones-SMP'!S462)</f>
        <v/>
      </c>
      <c r="R462" s="193" t="str">
        <f>IF('Observaciones-SMP'!T462="","",'Observaciones-SMP'!T462)</f>
        <v/>
      </c>
      <c r="S462" s="193" t="str">
        <f>""</f>
        <v/>
      </c>
      <c r="T462" s="193" t="str">
        <f>""</f>
        <v/>
      </c>
      <c r="U462" s="193" t="str">
        <f t="shared" si="28"/>
        <v/>
      </c>
      <c r="V462" s="193" t="str">
        <f>""</f>
        <v/>
      </c>
      <c r="W462" s="193" t="str">
        <f>""</f>
        <v/>
      </c>
      <c r="X462" s="258" t="str">
        <f t="shared" si="29"/>
        <v/>
      </c>
      <c r="Y462" s="258" t="str">
        <f t="shared" si="30"/>
        <v/>
      </c>
      <c r="Z462" s="193" t="str">
        <f>IF(A462="","",IF(COUNTIF('Observaciones-SMP'!$A$2:$A$1001,A462)&gt;1,1,0))</f>
        <v/>
      </c>
      <c r="AA462" s="193" t="str">
        <f t="shared" si="31"/>
        <v/>
      </c>
    </row>
    <row r="463" spans="1:27" ht="13.5" customHeight="1" x14ac:dyDescent="0.3">
      <c r="A463" s="193" t="str">
        <f>IF('Observaciones-SMP'!A463="","",'Observaciones-SMP'!A463)</f>
        <v/>
      </c>
      <c r="B463" s="257" t="str">
        <f>IF('Observaciones-SMP'!B463="","",'Observaciones-SMP'!B463)</f>
        <v/>
      </c>
      <c r="C463" s="193" t="str">
        <f>IF('Observaciones-SMP'!C463="","",'Observaciones-SMP'!C463)</f>
        <v/>
      </c>
      <c r="D463" s="193" t="str">
        <f>IF('Observaciones-SMP'!D463="","",'Observaciones-SMP'!D463)</f>
        <v/>
      </c>
      <c r="E463" s="193" t="str">
        <f>IF('Observaciones-SMP'!E463="","",'Observaciones-SMP'!E463)</f>
        <v/>
      </c>
      <c r="F463" s="193" t="str">
        <f>IF('Observaciones-SMP'!F463="","",'Observaciones-SMP'!F463)</f>
        <v/>
      </c>
      <c r="G463" s="193" t="str">
        <f>IF('Observaciones-SMP'!G463="","",'Observaciones-SMP'!G463)</f>
        <v/>
      </c>
      <c r="H463" s="193" t="str">
        <f>IF('Observaciones-SMP'!H463="","",'Observaciones-SMP'!H463)</f>
        <v/>
      </c>
      <c r="I463" s="193" t="str">
        <f>IF('Observaciones-SMP'!I463="","",'Observaciones-SMP'!I463)</f>
        <v/>
      </c>
      <c r="J463" s="193" t="str">
        <f>IF('Observaciones-SMP'!J463="","",'Observaciones-SMP'!J463)</f>
        <v/>
      </c>
      <c r="K463" s="193" t="str">
        <f>IF('Observaciones-SMP'!K463="","",'Observaciones-SMP'!K463)</f>
        <v/>
      </c>
      <c r="L463" s="193" t="str">
        <f>IF('Observaciones-SMP'!L463="","",'Observaciones-SMP'!L463)</f>
        <v/>
      </c>
      <c r="M463" s="193" t="str">
        <f>IF('Observaciones-SMP'!M463="","",'Observaciones-SMP'!M463)</f>
        <v/>
      </c>
      <c r="N463" s="193" t="str">
        <f>IF('Observaciones-SMP'!N463="","",'Observaciones-SMP'!N463)</f>
        <v/>
      </c>
      <c r="O463" s="193" t="str">
        <f>IF('Observaciones-SMP'!O463="","",'Observaciones-SMP'!O463)</f>
        <v/>
      </c>
      <c r="P463" s="193" t="str">
        <f>IF('Observaciones-SMP'!P463="","",'Observaciones-SMP'!P463)</f>
        <v/>
      </c>
      <c r="Q463" s="257" t="str">
        <f>IF('Observaciones-SMP'!S463="","",'Observaciones-SMP'!S463)</f>
        <v/>
      </c>
      <c r="R463" s="193" t="str">
        <f>IF('Observaciones-SMP'!T463="","",'Observaciones-SMP'!T463)</f>
        <v/>
      </c>
      <c r="S463" s="193" t="str">
        <f>""</f>
        <v/>
      </c>
      <c r="T463" s="193" t="str">
        <f>""</f>
        <v/>
      </c>
      <c r="U463" s="193" t="str">
        <f t="shared" si="28"/>
        <v/>
      </c>
      <c r="V463" s="193" t="str">
        <f>""</f>
        <v/>
      </c>
      <c r="W463" s="193" t="str">
        <f>""</f>
        <v/>
      </c>
      <c r="X463" s="258" t="str">
        <f t="shared" si="29"/>
        <v/>
      </c>
      <c r="Y463" s="258" t="str">
        <f t="shared" si="30"/>
        <v/>
      </c>
      <c r="Z463" s="193" t="str">
        <f>IF(A463="","",IF(COUNTIF('Observaciones-SMP'!$A$2:$A$1001,A463)&gt;1,1,0))</f>
        <v/>
      </c>
      <c r="AA463" s="193" t="str">
        <f t="shared" si="31"/>
        <v/>
      </c>
    </row>
    <row r="464" spans="1:27" ht="13.5" customHeight="1" x14ac:dyDescent="0.3">
      <c r="A464" s="193" t="str">
        <f>IF('Observaciones-SMP'!A464="","",'Observaciones-SMP'!A464)</f>
        <v/>
      </c>
      <c r="B464" s="257" t="str">
        <f>IF('Observaciones-SMP'!B464="","",'Observaciones-SMP'!B464)</f>
        <v/>
      </c>
      <c r="C464" s="193" t="str">
        <f>IF('Observaciones-SMP'!C464="","",'Observaciones-SMP'!C464)</f>
        <v/>
      </c>
      <c r="D464" s="193" t="str">
        <f>IF('Observaciones-SMP'!D464="","",'Observaciones-SMP'!D464)</f>
        <v/>
      </c>
      <c r="E464" s="193" t="str">
        <f>IF('Observaciones-SMP'!E464="","",'Observaciones-SMP'!E464)</f>
        <v/>
      </c>
      <c r="F464" s="193" t="str">
        <f>IF('Observaciones-SMP'!F464="","",'Observaciones-SMP'!F464)</f>
        <v/>
      </c>
      <c r="G464" s="193" t="str">
        <f>IF('Observaciones-SMP'!G464="","",'Observaciones-SMP'!G464)</f>
        <v/>
      </c>
      <c r="H464" s="193" t="str">
        <f>IF('Observaciones-SMP'!H464="","",'Observaciones-SMP'!H464)</f>
        <v/>
      </c>
      <c r="I464" s="193" t="str">
        <f>IF('Observaciones-SMP'!I464="","",'Observaciones-SMP'!I464)</f>
        <v/>
      </c>
      <c r="J464" s="193" t="str">
        <f>IF('Observaciones-SMP'!J464="","",'Observaciones-SMP'!J464)</f>
        <v/>
      </c>
      <c r="K464" s="193" t="str">
        <f>IF('Observaciones-SMP'!K464="","",'Observaciones-SMP'!K464)</f>
        <v/>
      </c>
      <c r="L464" s="193" t="str">
        <f>IF('Observaciones-SMP'!L464="","",'Observaciones-SMP'!L464)</f>
        <v/>
      </c>
      <c r="M464" s="193" t="str">
        <f>IF('Observaciones-SMP'!M464="","",'Observaciones-SMP'!M464)</f>
        <v/>
      </c>
      <c r="N464" s="193" t="str">
        <f>IF('Observaciones-SMP'!N464="","",'Observaciones-SMP'!N464)</f>
        <v/>
      </c>
      <c r="O464" s="193" t="str">
        <f>IF('Observaciones-SMP'!O464="","",'Observaciones-SMP'!O464)</f>
        <v/>
      </c>
      <c r="P464" s="193" t="str">
        <f>IF('Observaciones-SMP'!P464="","",'Observaciones-SMP'!P464)</f>
        <v/>
      </c>
      <c r="Q464" s="257" t="str">
        <f>IF('Observaciones-SMP'!S464="","",'Observaciones-SMP'!S464)</f>
        <v/>
      </c>
      <c r="R464" s="193" t="str">
        <f>IF('Observaciones-SMP'!T464="","",'Observaciones-SMP'!T464)</f>
        <v/>
      </c>
      <c r="S464" s="193" t="str">
        <f>""</f>
        <v/>
      </c>
      <c r="T464" s="193" t="str">
        <f>""</f>
        <v/>
      </c>
      <c r="U464" s="193" t="str">
        <f t="shared" si="28"/>
        <v/>
      </c>
      <c r="V464" s="193" t="str">
        <f>""</f>
        <v/>
      </c>
      <c r="W464" s="193" t="str">
        <f>""</f>
        <v/>
      </c>
      <c r="X464" s="258" t="str">
        <f t="shared" si="29"/>
        <v/>
      </c>
      <c r="Y464" s="258" t="str">
        <f t="shared" si="30"/>
        <v/>
      </c>
      <c r="Z464" s="193" t="str">
        <f>IF(A464="","",IF(COUNTIF('Observaciones-SMP'!$A$2:$A$1001,A464)&gt;1,1,0))</f>
        <v/>
      </c>
      <c r="AA464" s="193" t="str">
        <f t="shared" si="31"/>
        <v/>
      </c>
    </row>
    <row r="465" spans="1:27" ht="13.5" customHeight="1" x14ac:dyDescent="0.3">
      <c r="A465" s="193" t="str">
        <f>IF('Observaciones-SMP'!A465="","",'Observaciones-SMP'!A465)</f>
        <v/>
      </c>
      <c r="B465" s="257" t="str">
        <f>IF('Observaciones-SMP'!B465="","",'Observaciones-SMP'!B465)</f>
        <v/>
      </c>
      <c r="C465" s="193" t="str">
        <f>IF('Observaciones-SMP'!C465="","",'Observaciones-SMP'!C465)</f>
        <v/>
      </c>
      <c r="D465" s="193" t="str">
        <f>IF('Observaciones-SMP'!D465="","",'Observaciones-SMP'!D465)</f>
        <v/>
      </c>
      <c r="E465" s="193" t="str">
        <f>IF('Observaciones-SMP'!E465="","",'Observaciones-SMP'!E465)</f>
        <v/>
      </c>
      <c r="F465" s="193" t="str">
        <f>IF('Observaciones-SMP'!F465="","",'Observaciones-SMP'!F465)</f>
        <v/>
      </c>
      <c r="G465" s="193" t="str">
        <f>IF('Observaciones-SMP'!G465="","",'Observaciones-SMP'!G465)</f>
        <v/>
      </c>
      <c r="H465" s="193" t="str">
        <f>IF('Observaciones-SMP'!H465="","",'Observaciones-SMP'!H465)</f>
        <v/>
      </c>
      <c r="I465" s="193" t="str">
        <f>IF('Observaciones-SMP'!I465="","",'Observaciones-SMP'!I465)</f>
        <v/>
      </c>
      <c r="J465" s="193" t="str">
        <f>IF('Observaciones-SMP'!J465="","",'Observaciones-SMP'!J465)</f>
        <v/>
      </c>
      <c r="K465" s="193" t="str">
        <f>IF('Observaciones-SMP'!K465="","",'Observaciones-SMP'!K465)</f>
        <v/>
      </c>
      <c r="L465" s="193" t="str">
        <f>IF('Observaciones-SMP'!L465="","",'Observaciones-SMP'!L465)</f>
        <v/>
      </c>
      <c r="M465" s="193" t="str">
        <f>IF('Observaciones-SMP'!M465="","",'Observaciones-SMP'!M465)</f>
        <v/>
      </c>
      <c r="N465" s="193" t="str">
        <f>IF('Observaciones-SMP'!N465="","",'Observaciones-SMP'!N465)</f>
        <v/>
      </c>
      <c r="O465" s="193" t="str">
        <f>IF('Observaciones-SMP'!O465="","",'Observaciones-SMP'!O465)</f>
        <v/>
      </c>
      <c r="P465" s="193" t="str">
        <f>IF('Observaciones-SMP'!P465="","",'Observaciones-SMP'!P465)</f>
        <v/>
      </c>
      <c r="Q465" s="257" t="str">
        <f>IF('Observaciones-SMP'!S465="","",'Observaciones-SMP'!S465)</f>
        <v/>
      </c>
      <c r="R465" s="193" t="str">
        <f>IF('Observaciones-SMP'!T465="","",'Observaciones-SMP'!T465)</f>
        <v/>
      </c>
      <c r="S465" s="193" t="str">
        <f>""</f>
        <v/>
      </c>
      <c r="T465" s="193" t="str">
        <f>""</f>
        <v/>
      </c>
      <c r="U465" s="193" t="str">
        <f t="shared" si="28"/>
        <v/>
      </c>
      <c r="V465" s="193" t="str">
        <f>""</f>
        <v/>
      </c>
      <c r="W465" s="193" t="str">
        <f>""</f>
        <v/>
      </c>
      <c r="X465" s="258" t="str">
        <f t="shared" si="29"/>
        <v/>
      </c>
      <c r="Y465" s="258" t="str">
        <f t="shared" si="30"/>
        <v/>
      </c>
      <c r="Z465" s="193" t="str">
        <f>IF(A465="","",IF(COUNTIF('Observaciones-SMP'!$A$2:$A$1001,A465)&gt;1,1,0))</f>
        <v/>
      </c>
      <c r="AA465" s="193" t="str">
        <f t="shared" si="31"/>
        <v/>
      </c>
    </row>
    <row r="466" spans="1:27" ht="13.5" customHeight="1" x14ac:dyDescent="0.3">
      <c r="A466" s="193" t="str">
        <f>IF('Observaciones-SMP'!A466="","",'Observaciones-SMP'!A466)</f>
        <v/>
      </c>
      <c r="B466" s="257" t="str">
        <f>IF('Observaciones-SMP'!B466="","",'Observaciones-SMP'!B466)</f>
        <v/>
      </c>
      <c r="C466" s="193" t="str">
        <f>IF('Observaciones-SMP'!C466="","",'Observaciones-SMP'!C466)</f>
        <v/>
      </c>
      <c r="D466" s="193" t="str">
        <f>IF('Observaciones-SMP'!D466="","",'Observaciones-SMP'!D466)</f>
        <v/>
      </c>
      <c r="E466" s="193" t="str">
        <f>IF('Observaciones-SMP'!E466="","",'Observaciones-SMP'!E466)</f>
        <v/>
      </c>
      <c r="F466" s="193" t="str">
        <f>IF('Observaciones-SMP'!F466="","",'Observaciones-SMP'!F466)</f>
        <v/>
      </c>
      <c r="G466" s="193" t="str">
        <f>IF('Observaciones-SMP'!G466="","",'Observaciones-SMP'!G466)</f>
        <v/>
      </c>
      <c r="H466" s="193" t="str">
        <f>IF('Observaciones-SMP'!H466="","",'Observaciones-SMP'!H466)</f>
        <v/>
      </c>
      <c r="I466" s="193" t="str">
        <f>IF('Observaciones-SMP'!I466="","",'Observaciones-SMP'!I466)</f>
        <v/>
      </c>
      <c r="J466" s="193" t="str">
        <f>IF('Observaciones-SMP'!J466="","",'Observaciones-SMP'!J466)</f>
        <v/>
      </c>
      <c r="K466" s="193" t="str">
        <f>IF('Observaciones-SMP'!K466="","",'Observaciones-SMP'!K466)</f>
        <v/>
      </c>
      <c r="L466" s="193" t="str">
        <f>IF('Observaciones-SMP'!L466="","",'Observaciones-SMP'!L466)</f>
        <v/>
      </c>
      <c r="M466" s="193" t="str">
        <f>IF('Observaciones-SMP'!M466="","",'Observaciones-SMP'!M466)</f>
        <v/>
      </c>
      <c r="N466" s="193" t="str">
        <f>IF('Observaciones-SMP'!N466="","",'Observaciones-SMP'!N466)</f>
        <v/>
      </c>
      <c r="O466" s="193" t="str">
        <f>IF('Observaciones-SMP'!O466="","",'Observaciones-SMP'!O466)</f>
        <v/>
      </c>
      <c r="P466" s="193" t="str">
        <f>IF('Observaciones-SMP'!P466="","",'Observaciones-SMP'!P466)</f>
        <v/>
      </c>
      <c r="Q466" s="257" t="str">
        <f>IF('Observaciones-SMP'!S466="","",'Observaciones-SMP'!S466)</f>
        <v/>
      </c>
      <c r="R466" s="193" t="str">
        <f>IF('Observaciones-SMP'!T466="","",'Observaciones-SMP'!T466)</f>
        <v/>
      </c>
      <c r="S466" s="193" t="str">
        <f>""</f>
        <v/>
      </c>
      <c r="T466" s="193" t="str">
        <f>""</f>
        <v/>
      </c>
      <c r="U466" s="193" t="str">
        <f t="shared" si="28"/>
        <v/>
      </c>
      <c r="V466" s="193" t="str">
        <f>""</f>
        <v/>
      </c>
      <c r="W466" s="193" t="str">
        <f>""</f>
        <v/>
      </c>
      <c r="X466" s="258" t="str">
        <f t="shared" si="29"/>
        <v/>
      </c>
      <c r="Y466" s="258" t="str">
        <f t="shared" si="30"/>
        <v/>
      </c>
      <c r="Z466" s="193" t="str">
        <f>IF(A466="","",IF(COUNTIF('Observaciones-SMP'!$A$2:$A$1001,A466)&gt;1,1,0))</f>
        <v/>
      </c>
      <c r="AA466" s="193" t="str">
        <f t="shared" si="31"/>
        <v/>
      </c>
    </row>
    <row r="467" spans="1:27" ht="13.5" customHeight="1" x14ac:dyDescent="0.3">
      <c r="A467" s="193" t="str">
        <f>IF('Observaciones-SMP'!A467="","",'Observaciones-SMP'!A467)</f>
        <v/>
      </c>
      <c r="B467" s="257" t="str">
        <f>IF('Observaciones-SMP'!B467="","",'Observaciones-SMP'!B467)</f>
        <v/>
      </c>
      <c r="C467" s="193" t="str">
        <f>IF('Observaciones-SMP'!C467="","",'Observaciones-SMP'!C467)</f>
        <v/>
      </c>
      <c r="D467" s="193" t="str">
        <f>IF('Observaciones-SMP'!D467="","",'Observaciones-SMP'!D467)</f>
        <v/>
      </c>
      <c r="E467" s="193" t="str">
        <f>IF('Observaciones-SMP'!E467="","",'Observaciones-SMP'!E467)</f>
        <v/>
      </c>
      <c r="F467" s="193" t="str">
        <f>IF('Observaciones-SMP'!F467="","",'Observaciones-SMP'!F467)</f>
        <v/>
      </c>
      <c r="G467" s="193" t="str">
        <f>IF('Observaciones-SMP'!G467="","",'Observaciones-SMP'!G467)</f>
        <v/>
      </c>
      <c r="H467" s="193" t="str">
        <f>IF('Observaciones-SMP'!H467="","",'Observaciones-SMP'!H467)</f>
        <v/>
      </c>
      <c r="I467" s="193" t="str">
        <f>IF('Observaciones-SMP'!I467="","",'Observaciones-SMP'!I467)</f>
        <v/>
      </c>
      <c r="J467" s="193" t="str">
        <f>IF('Observaciones-SMP'!J467="","",'Observaciones-SMP'!J467)</f>
        <v/>
      </c>
      <c r="K467" s="193" t="str">
        <f>IF('Observaciones-SMP'!K467="","",'Observaciones-SMP'!K467)</f>
        <v/>
      </c>
      <c r="L467" s="193" t="str">
        <f>IF('Observaciones-SMP'!L467="","",'Observaciones-SMP'!L467)</f>
        <v/>
      </c>
      <c r="M467" s="193" t="str">
        <f>IF('Observaciones-SMP'!M467="","",'Observaciones-SMP'!M467)</f>
        <v/>
      </c>
      <c r="N467" s="193" t="str">
        <f>IF('Observaciones-SMP'!N467="","",'Observaciones-SMP'!N467)</f>
        <v/>
      </c>
      <c r="O467" s="193" t="str">
        <f>IF('Observaciones-SMP'!O467="","",'Observaciones-SMP'!O467)</f>
        <v/>
      </c>
      <c r="P467" s="193" t="str">
        <f>IF('Observaciones-SMP'!P467="","",'Observaciones-SMP'!P467)</f>
        <v/>
      </c>
      <c r="Q467" s="257" t="str">
        <f>IF('Observaciones-SMP'!S467="","",'Observaciones-SMP'!S467)</f>
        <v/>
      </c>
      <c r="R467" s="193" t="str">
        <f>IF('Observaciones-SMP'!T467="","",'Observaciones-SMP'!T467)</f>
        <v/>
      </c>
      <c r="S467" s="193" t="str">
        <f>""</f>
        <v/>
      </c>
      <c r="T467" s="193" t="str">
        <f>""</f>
        <v/>
      </c>
      <c r="U467" s="193" t="str">
        <f t="shared" si="28"/>
        <v/>
      </c>
      <c r="V467" s="193" t="str">
        <f>""</f>
        <v/>
      </c>
      <c r="W467" s="193" t="str">
        <f>""</f>
        <v/>
      </c>
      <c r="X467" s="258" t="str">
        <f t="shared" si="29"/>
        <v/>
      </c>
      <c r="Y467" s="258" t="str">
        <f t="shared" si="30"/>
        <v/>
      </c>
      <c r="Z467" s="193" t="str">
        <f>IF(A467="","",IF(COUNTIF('Observaciones-SMP'!$A$2:$A$1001,A467)&gt;1,1,0))</f>
        <v/>
      </c>
      <c r="AA467" s="193" t="str">
        <f t="shared" si="31"/>
        <v/>
      </c>
    </row>
    <row r="468" spans="1:27" ht="13.5" customHeight="1" x14ac:dyDescent="0.3">
      <c r="A468" s="193" t="str">
        <f>IF('Observaciones-SMP'!A468="","",'Observaciones-SMP'!A468)</f>
        <v/>
      </c>
      <c r="B468" s="257" t="str">
        <f>IF('Observaciones-SMP'!B468="","",'Observaciones-SMP'!B468)</f>
        <v/>
      </c>
      <c r="C468" s="193" t="str">
        <f>IF('Observaciones-SMP'!C468="","",'Observaciones-SMP'!C468)</f>
        <v/>
      </c>
      <c r="D468" s="193" t="str">
        <f>IF('Observaciones-SMP'!D468="","",'Observaciones-SMP'!D468)</f>
        <v/>
      </c>
      <c r="E468" s="193" t="str">
        <f>IF('Observaciones-SMP'!E468="","",'Observaciones-SMP'!E468)</f>
        <v/>
      </c>
      <c r="F468" s="193" t="str">
        <f>IF('Observaciones-SMP'!F468="","",'Observaciones-SMP'!F468)</f>
        <v/>
      </c>
      <c r="G468" s="193" t="str">
        <f>IF('Observaciones-SMP'!G468="","",'Observaciones-SMP'!G468)</f>
        <v/>
      </c>
      <c r="H468" s="193" t="str">
        <f>IF('Observaciones-SMP'!H468="","",'Observaciones-SMP'!H468)</f>
        <v/>
      </c>
      <c r="I468" s="193" t="str">
        <f>IF('Observaciones-SMP'!I468="","",'Observaciones-SMP'!I468)</f>
        <v/>
      </c>
      <c r="J468" s="193" t="str">
        <f>IF('Observaciones-SMP'!J468="","",'Observaciones-SMP'!J468)</f>
        <v/>
      </c>
      <c r="K468" s="193" t="str">
        <f>IF('Observaciones-SMP'!K468="","",'Observaciones-SMP'!K468)</f>
        <v/>
      </c>
      <c r="L468" s="193" t="str">
        <f>IF('Observaciones-SMP'!L468="","",'Observaciones-SMP'!L468)</f>
        <v/>
      </c>
      <c r="M468" s="193" t="str">
        <f>IF('Observaciones-SMP'!M468="","",'Observaciones-SMP'!M468)</f>
        <v/>
      </c>
      <c r="N468" s="193" t="str">
        <f>IF('Observaciones-SMP'!N468="","",'Observaciones-SMP'!N468)</f>
        <v/>
      </c>
      <c r="O468" s="193" t="str">
        <f>IF('Observaciones-SMP'!O468="","",'Observaciones-SMP'!O468)</f>
        <v/>
      </c>
      <c r="P468" s="193" t="str">
        <f>IF('Observaciones-SMP'!P468="","",'Observaciones-SMP'!P468)</f>
        <v/>
      </c>
      <c r="Q468" s="257" t="str">
        <f>IF('Observaciones-SMP'!S468="","",'Observaciones-SMP'!S468)</f>
        <v/>
      </c>
      <c r="R468" s="193" t="str">
        <f>IF('Observaciones-SMP'!T468="","",'Observaciones-SMP'!T468)</f>
        <v/>
      </c>
      <c r="S468" s="193" t="str">
        <f>""</f>
        <v/>
      </c>
      <c r="T468" s="193" t="str">
        <f>""</f>
        <v/>
      </c>
      <c r="U468" s="193" t="str">
        <f t="shared" si="28"/>
        <v/>
      </c>
      <c r="V468" s="193" t="str">
        <f>""</f>
        <v/>
      </c>
      <c r="W468" s="193" t="str">
        <f>""</f>
        <v/>
      </c>
      <c r="X468" s="258" t="str">
        <f t="shared" si="29"/>
        <v/>
      </c>
      <c r="Y468" s="258" t="str">
        <f t="shared" si="30"/>
        <v/>
      </c>
      <c r="Z468" s="193" t="str">
        <f>IF(A468="","",IF(COUNTIF('Observaciones-SMP'!$A$2:$A$1001,A468)&gt;1,1,0))</f>
        <v/>
      </c>
      <c r="AA468" s="193" t="str">
        <f t="shared" si="31"/>
        <v/>
      </c>
    </row>
    <row r="469" spans="1:27" ht="13.5" customHeight="1" x14ac:dyDescent="0.3">
      <c r="A469" s="193" t="str">
        <f>IF('Observaciones-SMP'!A469="","",'Observaciones-SMP'!A469)</f>
        <v/>
      </c>
      <c r="B469" s="257" t="str">
        <f>IF('Observaciones-SMP'!B469="","",'Observaciones-SMP'!B469)</f>
        <v/>
      </c>
      <c r="C469" s="193" t="str">
        <f>IF('Observaciones-SMP'!C469="","",'Observaciones-SMP'!C469)</f>
        <v/>
      </c>
      <c r="D469" s="193" t="str">
        <f>IF('Observaciones-SMP'!D469="","",'Observaciones-SMP'!D469)</f>
        <v/>
      </c>
      <c r="E469" s="193" t="str">
        <f>IF('Observaciones-SMP'!E469="","",'Observaciones-SMP'!E469)</f>
        <v/>
      </c>
      <c r="F469" s="193" t="str">
        <f>IF('Observaciones-SMP'!F469="","",'Observaciones-SMP'!F469)</f>
        <v/>
      </c>
      <c r="G469" s="193" t="str">
        <f>IF('Observaciones-SMP'!G469="","",'Observaciones-SMP'!G469)</f>
        <v/>
      </c>
      <c r="H469" s="193" t="str">
        <f>IF('Observaciones-SMP'!H469="","",'Observaciones-SMP'!H469)</f>
        <v/>
      </c>
      <c r="I469" s="193" t="str">
        <f>IF('Observaciones-SMP'!I469="","",'Observaciones-SMP'!I469)</f>
        <v/>
      </c>
      <c r="J469" s="193" t="str">
        <f>IF('Observaciones-SMP'!J469="","",'Observaciones-SMP'!J469)</f>
        <v/>
      </c>
      <c r="K469" s="193" t="str">
        <f>IF('Observaciones-SMP'!K469="","",'Observaciones-SMP'!K469)</f>
        <v/>
      </c>
      <c r="L469" s="193" t="str">
        <f>IF('Observaciones-SMP'!L469="","",'Observaciones-SMP'!L469)</f>
        <v/>
      </c>
      <c r="M469" s="193" t="str">
        <f>IF('Observaciones-SMP'!M469="","",'Observaciones-SMP'!M469)</f>
        <v/>
      </c>
      <c r="N469" s="193" t="str">
        <f>IF('Observaciones-SMP'!N469="","",'Observaciones-SMP'!N469)</f>
        <v/>
      </c>
      <c r="O469" s="193" t="str">
        <f>IF('Observaciones-SMP'!O469="","",'Observaciones-SMP'!O469)</f>
        <v/>
      </c>
      <c r="P469" s="193" t="str">
        <f>IF('Observaciones-SMP'!P469="","",'Observaciones-SMP'!P469)</f>
        <v/>
      </c>
      <c r="Q469" s="257" t="str">
        <f>IF('Observaciones-SMP'!S469="","",'Observaciones-SMP'!S469)</f>
        <v/>
      </c>
      <c r="R469" s="193" t="str">
        <f>IF('Observaciones-SMP'!T469="","",'Observaciones-SMP'!T469)</f>
        <v/>
      </c>
      <c r="S469" s="193" t="str">
        <f>""</f>
        <v/>
      </c>
      <c r="T469" s="193" t="str">
        <f>""</f>
        <v/>
      </c>
      <c r="U469" s="193" t="str">
        <f t="shared" si="28"/>
        <v/>
      </c>
      <c r="V469" s="193" t="str">
        <f>""</f>
        <v/>
      </c>
      <c r="W469" s="193" t="str">
        <f>""</f>
        <v/>
      </c>
      <c r="X469" s="258" t="str">
        <f t="shared" si="29"/>
        <v/>
      </c>
      <c r="Y469" s="258" t="str">
        <f t="shared" si="30"/>
        <v/>
      </c>
      <c r="Z469" s="193" t="str">
        <f>IF(A469="","",IF(COUNTIF('Observaciones-SMP'!$A$2:$A$1001,A469)&gt;1,1,0))</f>
        <v/>
      </c>
      <c r="AA469" s="193" t="str">
        <f t="shared" si="31"/>
        <v/>
      </c>
    </row>
    <row r="470" spans="1:27" ht="13.5" customHeight="1" x14ac:dyDescent="0.3">
      <c r="A470" s="193" t="str">
        <f>IF('Observaciones-SMP'!A470="","",'Observaciones-SMP'!A470)</f>
        <v/>
      </c>
      <c r="B470" s="257" t="str">
        <f>IF('Observaciones-SMP'!B470="","",'Observaciones-SMP'!B470)</f>
        <v/>
      </c>
      <c r="C470" s="193" t="str">
        <f>IF('Observaciones-SMP'!C470="","",'Observaciones-SMP'!C470)</f>
        <v/>
      </c>
      <c r="D470" s="193" t="str">
        <f>IF('Observaciones-SMP'!D470="","",'Observaciones-SMP'!D470)</f>
        <v/>
      </c>
      <c r="E470" s="193" t="str">
        <f>IF('Observaciones-SMP'!E470="","",'Observaciones-SMP'!E470)</f>
        <v/>
      </c>
      <c r="F470" s="193" t="str">
        <f>IF('Observaciones-SMP'!F470="","",'Observaciones-SMP'!F470)</f>
        <v/>
      </c>
      <c r="G470" s="193" t="str">
        <f>IF('Observaciones-SMP'!G470="","",'Observaciones-SMP'!G470)</f>
        <v/>
      </c>
      <c r="H470" s="193" t="str">
        <f>IF('Observaciones-SMP'!H470="","",'Observaciones-SMP'!H470)</f>
        <v/>
      </c>
      <c r="I470" s="193" t="str">
        <f>IF('Observaciones-SMP'!I470="","",'Observaciones-SMP'!I470)</f>
        <v/>
      </c>
      <c r="J470" s="193" t="str">
        <f>IF('Observaciones-SMP'!J470="","",'Observaciones-SMP'!J470)</f>
        <v/>
      </c>
      <c r="K470" s="193" t="str">
        <f>IF('Observaciones-SMP'!K470="","",'Observaciones-SMP'!K470)</f>
        <v/>
      </c>
      <c r="L470" s="193" t="str">
        <f>IF('Observaciones-SMP'!L470="","",'Observaciones-SMP'!L470)</f>
        <v/>
      </c>
      <c r="M470" s="193" t="str">
        <f>IF('Observaciones-SMP'!M470="","",'Observaciones-SMP'!M470)</f>
        <v/>
      </c>
      <c r="N470" s="193" t="str">
        <f>IF('Observaciones-SMP'!N470="","",'Observaciones-SMP'!N470)</f>
        <v/>
      </c>
      <c r="O470" s="193" t="str">
        <f>IF('Observaciones-SMP'!O470="","",'Observaciones-SMP'!O470)</f>
        <v/>
      </c>
      <c r="P470" s="193" t="str">
        <f>IF('Observaciones-SMP'!P470="","",'Observaciones-SMP'!P470)</f>
        <v/>
      </c>
      <c r="Q470" s="257" t="str">
        <f>IF('Observaciones-SMP'!S470="","",'Observaciones-SMP'!S470)</f>
        <v/>
      </c>
      <c r="R470" s="193" t="str">
        <f>IF('Observaciones-SMP'!T470="","",'Observaciones-SMP'!T470)</f>
        <v/>
      </c>
      <c r="S470" s="193" t="str">
        <f>""</f>
        <v/>
      </c>
      <c r="T470" s="193" t="str">
        <f>""</f>
        <v/>
      </c>
      <c r="U470" s="193" t="str">
        <f t="shared" si="28"/>
        <v/>
      </c>
      <c r="V470" s="193" t="str">
        <f>""</f>
        <v/>
      </c>
      <c r="W470" s="193" t="str">
        <f>""</f>
        <v/>
      </c>
      <c r="X470" s="258" t="str">
        <f t="shared" si="29"/>
        <v/>
      </c>
      <c r="Y470" s="258" t="str">
        <f t="shared" si="30"/>
        <v/>
      </c>
      <c r="Z470" s="193" t="str">
        <f>IF(A470="","",IF(COUNTIF('Observaciones-SMP'!$A$2:$A$1001,A470)&gt;1,1,0))</f>
        <v/>
      </c>
      <c r="AA470" s="193" t="str">
        <f t="shared" si="31"/>
        <v/>
      </c>
    </row>
    <row r="471" spans="1:27" ht="13.5" customHeight="1" x14ac:dyDescent="0.3">
      <c r="A471" s="193" t="str">
        <f>IF('Observaciones-SMP'!A471="","",'Observaciones-SMP'!A471)</f>
        <v/>
      </c>
      <c r="B471" s="257" t="str">
        <f>IF('Observaciones-SMP'!B471="","",'Observaciones-SMP'!B471)</f>
        <v/>
      </c>
      <c r="C471" s="193" t="str">
        <f>IF('Observaciones-SMP'!C471="","",'Observaciones-SMP'!C471)</f>
        <v/>
      </c>
      <c r="D471" s="193" t="str">
        <f>IF('Observaciones-SMP'!D471="","",'Observaciones-SMP'!D471)</f>
        <v/>
      </c>
      <c r="E471" s="193" t="str">
        <f>IF('Observaciones-SMP'!E471="","",'Observaciones-SMP'!E471)</f>
        <v/>
      </c>
      <c r="F471" s="193" t="str">
        <f>IF('Observaciones-SMP'!F471="","",'Observaciones-SMP'!F471)</f>
        <v/>
      </c>
      <c r="G471" s="193" t="str">
        <f>IF('Observaciones-SMP'!G471="","",'Observaciones-SMP'!G471)</f>
        <v/>
      </c>
      <c r="H471" s="193" t="str">
        <f>IF('Observaciones-SMP'!H471="","",'Observaciones-SMP'!H471)</f>
        <v/>
      </c>
      <c r="I471" s="193" t="str">
        <f>IF('Observaciones-SMP'!I471="","",'Observaciones-SMP'!I471)</f>
        <v/>
      </c>
      <c r="J471" s="193" t="str">
        <f>IF('Observaciones-SMP'!J471="","",'Observaciones-SMP'!J471)</f>
        <v/>
      </c>
      <c r="K471" s="193" t="str">
        <f>IF('Observaciones-SMP'!K471="","",'Observaciones-SMP'!K471)</f>
        <v/>
      </c>
      <c r="L471" s="193" t="str">
        <f>IF('Observaciones-SMP'!L471="","",'Observaciones-SMP'!L471)</f>
        <v/>
      </c>
      <c r="M471" s="193" t="str">
        <f>IF('Observaciones-SMP'!M471="","",'Observaciones-SMP'!M471)</f>
        <v/>
      </c>
      <c r="N471" s="193" t="str">
        <f>IF('Observaciones-SMP'!N471="","",'Observaciones-SMP'!N471)</f>
        <v/>
      </c>
      <c r="O471" s="193" t="str">
        <f>IF('Observaciones-SMP'!O471="","",'Observaciones-SMP'!O471)</f>
        <v/>
      </c>
      <c r="P471" s="193" t="str">
        <f>IF('Observaciones-SMP'!P471="","",'Observaciones-SMP'!P471)</f>
        <v/>
      </c>
      <c r="Q471" s="257" t="str">
        <f>IF('Observaciones-SMP'!S471="","",'Observaciones-SMP'!S471)</f>
        <v/>
      </c>
      <c r="R471" s="193" t="str">
        <f>IF('Observaciones-SMP'!T471="","",'Observaciones-SMP'!T471)</f>
        <v/>
      </c>
      <c r="S471" s="193" t="str">
        <f>""</f>
        <v/>
      </c>
      <c r="T471" s="193" t="str">
        <f>""</f>
        <v/>
      </c>
      <c r="U471" s="193" t="str">
        <f t="shared" si="28"/>
        <v/>
      </c>
      <c r="V471" s="193" t="str">
        <f>""</f>
        <v/>
      </c>
      <c r="W471" s="193" t="str">
        <f>""</f>
        <v/>
      </c>
      <c r="X471" s="258" t="str">
        <f t="shared" si="29"/>
        <v/>
      </c>
      <c r="Y471" s="258" t="str">
        <f t="shared" si="30"/>
        <v/>
      </c>
      <c r="Z471" s="193" t="str">
        <f>IF(A471="","",IF(COUNTIF('Observaciones-SMP'!$A$2:$A$1001,A471)&gt;1,1,0))</f>
        <v/>
      </c>
      <c r="AA471" s="193" t="str">
        <f t="shared" si="31"/>
        <v/>
      </c>
    </row>
    <row r="472" spans="1:27" ht="13.5" customHeight="1" x14ac:dyDescent="0.3">
      <c r="A472" s="193" t="str">
        <f>IF('Observaciones-SMP'!A472="","",'Observaciones-SMP'!A472)</f>
        <v/>
      </c>
      <c r="B472" s="257" t="str">
        <f>IF('Observaciones-SMP'!B472="","",'Observaciones-SMP'!B472)</f>
        <v/>
      </c>
      <c r="C472" s="193" t="str">
        <f>IF('Observaciones-SMP'!C472="","",'Observaciones-SMP'!C472)</f>
        <v/>
      </c>
      <c r="D472" s="193" t="str">
        <f>IF('Observaciones-SMP'!D472="","",'Observaciones-SMP'!D472)</f>
        <v/>
      </c>
      <c r="E472" s="193" t="str">
        <f>IF('Observaciones-SMP'!E472="","",'Observaciones-SMP'!E472)</f>
        <v/>
      </c>
      <c r="F472" s="193" t="str">
        <f>IF('Observaciones-SMP'!F472="","",'Observaciones-SMP'!F472)</f>
        <v/>
      </c>
      <c r="G472" s="193" t="str">
        <f>IF('Observaciones-SMP'!G472="","",'Observaciones-SMP'!G472)</f>
        <v/>
      </c>
      <c r="H472" s="193" t="str">
        <f>IF('Observaciones-SMP'!H472="","",'Observaciones-SMP'!H472)</f>
        <v/>
      </c>
      <c r="I472" s="193" t="str">
        <f>IF('Observaciones-SMP'!I472="","",'Observaciones-SMP'!I472)</f>
        <v/>
      </c>
      <c r="J472" s="193" t="str">
        <f>IF('Observaciones-SMP'!J472="","",'Observaciones-SMP'!J472)</f>
        <v/>
      </c>
      <c r="K472" s="193" t="str">
        <f>IF('Observaciones-SMP'!K472="","",'Observaciones-SMP'!K472)</f>
        <v/>
      </c>
      <c r="L472" s="193" t="str">
        <f>IF('Observaciones-SMP'!L472="","",'Observaciones-SMP'!L472)</f>
        <v/>
      </c>
      <c r="M472" s="193" t="str">
        <f>IF('Observaciones-SMP'!M472="","",'Observaciones-SMP'!M472)</f>
        <v/>
      </c>
      <c r="N472" s="193" t="str">
        <f>IF('Observaciones-SMP'!N472="","",'Observaciones-SMP'!N472)</f>
        <v/>
      </c>
      <c r="O472" s="193" t="str">
        <f>IF('Observaciones-SMP'!O472="","",'Observaciones-SMP'!O472)</f>
        <v/>
      </c>
      <c r="P472" s="193" t="str">
        <f>IF('Observaciones-SMP'!P472="","",'Observaciones-SMP'!P472)</f>
        <v/>
      </c>
      <c r="Q472" s="257" t="str">
        <f>IF('Observaciones-SMP'!S472="","",'Observaciones-SMP'!S472)</f>
        <v/>
      </c>
      <c r="R472" s="193" t="str">
        <f>IF('Observaciones-SMP'!T472="","",'Observaciones-SMP'!T472)</f>
        <v/>
      </c>
      <c r="S472" s="193" t="str">
        <f>""</f>
        <v/>
      </c>
      <c r="T472" s="193" t="str">
        <f>""</f>
        <v/>
      </c>
      <c r="U472" s="193" t="str">
        <f t="shared" si="28"/>
        <v/>
      </c>
      <c r="V472" s="193" t="str">
        <f>""</f>
        <v/>
      </c>
      <c r="W472" s="193" t="str">
        <f>""</f>
        <v/>
      </c>
      <c r="X472" s="258" t="str">
        <f t="shared" si="29"/>
        <v/>
      </c>
      <c r="Y472" s="258" t="str">
        <f t="shared" si="30"/>
        <v/>
      </c>
      <c r="Z472" s="193" t="str">
        <f>IF(A472="","",IF(COUNTIF('Observaciones-SMP'!$A$2:$A$1001,A472)&gt;1,1,0))</f>
        <v/>
      </c>
      <c r="AA472" s="193" t="str">
        <f t="shared" si="31"/>
        <v/>
      </c>
    </row>
    <row r="473" spans="1:27" ht="13.5" customHeight="1" x14ac:dyDescent="0.3">
      <c r="A473" s="193" t="str">
        <f>IF('Observaciones-SMP'!A473="","",'Observaciones-SMP'!A473)</f>
        <v/>
      </c>
      <c r="B473" s="257" t="str">
        <f>IF('Observaciones-SMP'!B473="","",'Observaciones-SMP'!B473)</f>
        <v/>
      </c>
      <c r="C473" s="193" t="str">
        <f>IF('Observaciones-SMP'!C473="","",'Observaciones-SMP'!C473)</f>
        <v/>
      </c>
      <c r="D473" s="193" t="str">
        <f>IF('Observaciones-SMP'!D473="","",'Observaciones-SMP'!D473)</f>
        <v/>
      </c>
      <c r="E473" s="193" t="str">
        <f>IF('Observaciones-SMP'!E473="","",'Observaciones-SMP'!E473)</f>
        <v/>
      </c>
      <c r="F473" s="193" t="str">
        <f>IF('Observaciones-SMP'!F473="","",'Observaciones-SMP'!F473)</f>
        <v/>
      </c>
      <c r="G473" s="193" t="str">
        <f>IF('Observaciones-SMP'!G473="","",'Observaciones-SMP'!G473)</f>
        <v/>
      </c>
      <c r="H473" s="193" t="str">
        <f>IF('Observaciones-SMP'!H473="","",'Observaciones-SMP'!H473)</f>
        <v/>
      </c>
      <c r="I473" s="193" t="str">
        <f>IF('Observaciones-SMP'!I473="","",'Observaciones-SMP'!I473)</f>
        <v/>
      </c>
      <c r="J473" s="193" t="str">
        <f>IF('Observaciones-SMP'!J473="","",'Observaciones-SMP'!J473)</f>
        <v/>
      </c>
      <c r="K473" s="193" t="str">
        <f>IF('Observaciones-SMP'!K473="","",'Observaciones-SMP'!K473)</f>
        <v/>
      </c>
      <c r="L473" s="193" t="str">
        <f>IF('Observaciones-SMP'!L473="","",'Observaciones-SMP'!L473)</f>
        <v/>
      </c>
      <c r="M473" s="193" t="str">
        <f>IF('Observaciones-SMP'!M473="","",'Observaciones-SMP'!M473)</f>
        <v/>
      </c>
      <c r="N473" s="193" t="str">
        <f>IF('Observaciones-SMP'!N473="","",'Observaciones-SMP'!N473)</f>
        <v/>
      </c>
      <c r="O473" s="193" t="str">
        <f>IF('Observaciones-SMP'!O473="","",'Observaciones-SMP'!O473)</f>
        <v/>
      </c>
      <c r="P473" s="193" t="str">
        <f>IF('Observaciones-SMP'!P473="","",'Observaciones-SMP'!P473)</f>
        <v/>
      </c>
      <c r="Q473" s="257" t="str">
        <f>IF('Observaciones-SMP'!S473="","",'Observaciones-SMP'!S473)</f>
        <v/>
      </c>
      <c r="R473" s="193" t="str">
        <f>IF('Observaciones-SMP'!T473="","",'Observaciones-SMP'!T473)</f>
        <v/>
      </c>
      <c r="S473" s="193" t="str">
        <f>""</f>
        <v/>
      </c>
      <c r="T473" s="193" t="str">
        <f>""</f>
        <v/>
      </c>
      <c r="U473" s="193" t="str">
        <f t="shared" si="28"/>
        <v/>
      </c>
      <c r="V473" s="193" t="str">
        <f>""</f>
        <v/>
      </c>
      <c r="W473" s="193" t="str">
        <f>""</f>
        <v/>
      </c>
      <c r="X473" s="258" t="str">
        <f t="shared" si="29"/>
        <v/>
      </c>
      <c r="Y473" s="258" t="str">
        <f t="shared" si="30"/>
        <v/>
      </c>
      <c r="Z473" s="193" t="str">
        <f>IF(A473="","",IF(COUNTIF('Observaciones-SMP'!$A$2:$A$1001,A473)&gt;1,1,0))</f>
        <v/>
      </c>
      <c r="AA473" s="193" t="str">
        <f t="shared" si="31"/>
        <v/>
      </c>
    </row>
    <row r="474" spans="1:27" ht="13.5" customHeight="1" x14ac:dyDescent="0.3">
      <c r="A474" s="193" t="str">
        <f>IF('Observaciones-SMP'!A474="","",'Observaciones-SMP'!A474)</f>
        <v/>
      </c>
      <c r="B474" s="257" t="str">
        <f>IF('Observaciones-SMP'!B474="","",'Observaciones-SMP'!B474)</f>
        <v/>
      </c>
      <c r="C474" s="193" t="str">
        <f>IF('Observaciones-SMP'!C474="","",'Observaciones-SMP'!C474)</f>
        <v/>
      </c>
      <c r="D474" s="193" t="str">
        <f>IF('Observaciones-SMP'!D474="","",'Observaciones-SMP'!D474)</f>
        <v/>
      </c>
      <c r="E474" s="193" t="str">
        <f>IF('Observaciones-SMP'!E474="","",'Observaciones-SMP'!E474)</f>
        <v/>
      </c>
      <c r="F474" s="193" t="str">
        <f>IF('Observaciones-SMP'!F474="","",'Observaciones-SMP'!F474)</f>
        <v/>
      </c>
      <c r="G474" s="193" t="str">
        <f>IF('Observaciones-SMP'!G474="","",'Observaciones-SMP'!G474)</f>
        <v/>
      </c>
      <c r="H474" s="193" t="str">
        <f>IF('Observaciones-SMP'!H474="","",'Observaciones-SMP'!H474)</f>
        <v/>
      </c>
      <c r="I474" s="193" t="str">
        <f>IF('Observaciones-SMP'!I474="","",'Observaciones-SMP'!I474)</f>
        <v/>
      </c>
      <c r="J474" s="193" t="str">
        <f>IF('Observaciones-SMP'!J474="","",'Observaciones-SMP'!J474)</f>
        <v/>
      </c>
      <c r="K474" s="193" t="str">
        <f>IF('Observaciones-SMP'!K474="","",'Observaciones-SMP'!K474)</f>
        <v/>
      </c>
      <c r="L474" s="193" t="str">
        <f>IF('Observaciones-SMP'!L474="","",'Observaciones-SMP'!L474)</f>
        <v/>
      </c>
      <c r="M474" s="193" t="str">
        <f>IF('Observaciones-SMP'!M474="","",'Observaciones-SMP'!M474)</f>
        <v/>
      </c>
      <c r="N474" s="193" t="str">
        <f>IF('Observaciones-SMP'!N474="","",'Observaciones-SMP'!N474)</f>
        <v/>
      </c>
      <c r="O474" s="193" t="str">
        <f>IF('Observaciones-SMP'!O474="","",'Observaciones-SMP'!O474)</f>
        <v/>
      </c>
      <c r="P474" s="193" t="str">
        <f>IF('Observaciones-SMP'!P474="","",'Observaciones-SMP'!P474)</f>
        <v/>
      </c>
      <c r="Q474" s="257" t="str">
        <f>IF('Observaciones-SMP'!S474="","",'Observaciones-SMP'!S474)</f>
        <v/>
      </c>
      <c r="R474" s="193" t="str">
        <f>IF('Observaciones-SMP'!T474="","",'Observaciones-SMP'!T474)</f>
        <v/>
      </c>
      <c r="S474" s="193" t="str">
        <f>""</f>
        <v/>
      </c>
      <c r="T474" s="193" t="str">
        <f>""</f>
        <v/>
      </c>
      <c r="U474" s="193" t="str">
        <f t="shared" si="28"/>
        <v/>
      </c>
      <c r="V474" s="193" t="str">
        <f>""</f>
        <v/>
      </c>
      <c r="W474" s="193" t="str">
        <f>""</f>
        <v/>
      </c>
      <c r="X474" s="258" t="str">
        <f t="shared" si="29"/>
        <v/>
      </c>
      <c r="Y474" s="258" t="str">
        <f t="shared" si="30"/>
        <v/>
      </c>
      <c r="Z474" s="193" t="str">
        <f>IF(A474="","",IF(COUNTIF('Observaciones-SMP'!$A$2:$A$1001,A474)&gt;1,1,0))</f>
        <v/>
      </c>
      <c r="AA474" s="193" t="str">
        <f t="shared" si="31"/>
        <v/>
      </c>
    </row>
    <row r="475" spans="1:27" ht="13.5" customHeight="1" x14ac:dyDescent="0.3">
      <c r="A475" s="193" t="str">
        <f>IF('Observaciones-SMP'!A475="","",'Observaciones-SMP'!A475)</f>
        <v/>
      </c>
      <c r="B475" s="257" t="str">
        <f>IF('Observaciones-SMP'!B475="","",'Observaciones-SMP'!B475)</f>
        <v/>
      </c>
      <c r="C475" s="193" t="str">
        <f>IF('Observaciones-SMP'!C475="","",'Observaciones-SMP'!C475)</f>
        <v/>
      </c>
      <c r="D475" s="193" t="str">
        <f>IF('Observaciones-SMP'!D475="","",'Observaciones-SMP'!D475)</f>
        <v/>
      </c>
      <c r="E475" s="193" t="str">
        <f>IF('Observaciones-SMP'!E475="","",'Observaciones-SMP'!E475)</f>
        <v/>
      </c>
      <c r="F475" s="193" t="str">
        <f>IF('Observaciones-SMP'!F475="","",'Observaciones-SMP'!F475)</f>
        <v/>
      </c>
      <c r="G475" s="193" t="str">
        <f>IF('Observaciones-SMP'!G475="","",'Observaciones-SMP'!G475)</f>
        <v/>
      </c>
      <c r="H475" s="193" t="str">
        <f>IF('Observaciones-SMP'!H475="","",'Observaciones-SMP'!H475)</f>
        <v/>
      </c>
      <c r="I475" s="193" t="str">
        <f>IF('Observaciones-SMP'!I475="","",'Observaciones-SMP'!I475)</f>
        <v/>
      </c>
      <c r="J475" s="193" t="str">
        <f>IF('Observaciones-SMP'!J475="","",'Observaciones-SMP'!J475)</f>
        <v/>
      </c>
      <c r="K475" s="193" t="str">
        <f>IF('Observaciones-SMP'!K475="","",'Observaciones-SMP'!K475)</f>
        <v/>
      </c>
      <c r="L475" s="193" t="str">
        <f>IF('Observaciones-SMP'!L475="","",'Observaciones-SMP'!L475)</f>
        <v/>
      </c>
      <c r="M475" s="193" t="str">
        <f>IF('Observaciones-SMP'!M475="","",'Observaciones-SMP'!M475)</f>
        <v/>
      </c>
      <c r="N475" s="193" t="str">
        <f>IF('Observaciones-SMP'!N475="","",'Observaciones-SMP'!N475)</f>
        <v/>
      </c>
      <c r="O475" s="193" t="str">
        <f>IF('Observaciones-SMP'!O475="","",'Observaciones-SMP'!O475)</f>
        <v/>
      </c>
      <c r="P475" s="193" t="str">
        <f>IF('Observaciones-SMP'!P475="","",'Observaciones-SMP'!P475)</f>
        <v/>
      </c>
      <c r="Q475" s="257" t="str">
        <f>IF('Observaciones-SMP'!S475="","",'Observaciones-SMP'!S475)</f>
        <v/>
      </c>
      <c r="R475" s="193" t="str">
        <f>IF('Observaciones-SMP'!T475="","",'Observaciones-SMP'!T475)</f>
        <v/>
      </c>
      <c r="S475" s="193" t="str">
        <f>""</f>
        <v/>
      </c>
      <c r="T475" s="193" t="str">
        <f>""</f>
        <v/>
      </c>
      <c r="U475" s="193" t="str">
        <f t="shared" si="28"/>
        <v/>
      </c>
      <c r="V475" s="193" t="str">
        <f>""</f>
        <v/>
      </c>
      <c r="W475" s="193" t="str">
        <f>""</f>
        <v/>
      </c>
      <c r="X475" s="258" t="str">
        <f t="shared" si="29"/>
        <v/>
      </c>
      <c r="Y475" s="258" t="str">
        <f t="shared" si="30"/>
        <v/>
      </c>
      <c r="Z475" s="193" t="str">
        <f>IF(A475="","",IF(COUNTIF('Observaciones-SMP'!$A$2:$A$1001,A475)&gt;1,1,0))</f>
        <v/>
      </c>
      <c r="AA475" s="193" t="str">
        <f t="shared" si="31"/>
        <v/>
      </c>
    </row>
    <row r="476" spans="1:27" ht="13.5" customHeight="1" x14ac:dyDescent="0.3">
      <c r="A476" s="193" t="str">
        <f>IF('Observaciones-SMP'!A476="","",'Observaciones-SMP'!A476)</f>
        <v/>
      </c>
      <c r="B476" s="257" t="str">
        <f>IF('Observaciones-SMP'!B476="","",'Observaciones-SMP'!B476)</f>
        <v/>
      </c>
      <c r="C476" s="193" t="str">
        <f>IF('Observaciones-SMP'!C476="","",'Observaciones-SMP'!C476)</f>
        <v/>
      </c>
      <c r="D476" s="193" t="str">
        <f>IF('Observaciones-SMP'!D476="","",'Observaciones-SMP'!D476)</f>
        <v/>
      </c>
      <c r="E476" s="193" t="str">
        <f>IF('Observaciones-SMP'!E476="","",'Observaciones-SMP'!E476)</f>
        <v/>
      </c>
      <c r="F476" s="193" t="str">
        <f>IF('Observaciones-SMP'!F476="","",'Observaciones-SMP'!F476)</f>
        <v/>
      </c>
      <c r="G476" s="193" t="str">
        <f>IF('Observaciones-SMP'!G476="","",'Observaciones-SMP'!G476)</f>
        <v/>
      </c>
      <c r="H476" s="193" t="str">
        <f>IF('Observaciones-SMP'!H476="","",'Observaciones-SMP'!H476)</f>
        <v/>
      </c>
      <c r="I476" s="193" t="str">
        <f>IF('Observaciones-SMP'!I476="","",'Observaciones-SMP'!I476)</f>
        <v/>
      </c>
      <c r="J476" s="193" t="str">
        <f>IF('Observaciones-SMP'!J476="","",'Observaciones-SMP'!J476)</f>
        <v/>
      </c>
      <c r="K476" s="193" t="str">
        <f>IF('Observaciones-SMP'!K476="","",'Observaciones-SMP'!K476)</f>
        <v/>
      </c>
      <c r="L476" s="193" t="str">
        <f>IF('Observaciones-SMP'!L476="","",'Observaciones-SMP'!L476)</f>
        <v/>
      </c>
      <c r="M476" s="193" t="str">
        <f>IF('Observaciones-SMP'!M476="","",'Observaciones-SMP'!M476)</f>
        <v/>
      </c>
      <c r="N476" s="193" t="str">
        <f>IF('Observaciones-SMP'!N476="","",'Observaciones-SMP'!N476)</f>
        <v/>
      </c>
      <c r="O476" s="193" t="str">
        <f>IF('Observaciones-SMP'!O476="","",'Observaciones-SMP'!O476)</f>
        <v/>
      </c>
      <c r="P476" s="193" t="str">
        <f>IF('Observaciones-SMP'!P476="","",'Observaciones-SMP'!P476)</f>
        <v/>
      </c>
      <c r="Q476" s="257" t="str">
        <f>IF('Observaciones-SMP'!S476="","",'Observaciones-SMP'!S476)</f>
        <v/>
      </c>
      <c r="R476" s="193" t="str">
        <f>IF('Observaciones-SMP'!T476="","",'Observaciones-SMP'!T476)</f>
        <v/>
      </c>
      <c r="S476" s="193" t="str">
        <f>""</f>
        <v/>
      </c>
      <c r="T476" s="193" t="str">
        <f>""</f>
        <v/>
      </c>
      <c r="U476" s="193" t="str">
        <f t="shared" si="28"/>
        <v/>
      </c>
      <c r="V476" s="193" t="str">
        <f>""</f>
        <v/>
      </c>
      <c r="W476" s="193" t="str">
        <f>""</f>
        <v/>
      </c>
      <c r="X476" s="258" t="str">
        <f t="shared" si="29"/>
        <v/>
      </c>
      <c r="Y476" s="258" t="str">
        <f t="shared" si="30"/>
        <v/>
      </c>
      <c r="Z476" s="193" t="str">
        <f>IF(A476="","",IF(COUNTIF('Observaciones-SMP'!$A$2:$A$1001,A476)&gt;1,1,0))</f>
        <v/>
      </c>
      <c r="AA476" s="193" t="str">
        <f t="shared" si="31"/>
        <v/>
      </c>
    </row>
    <row r="477" spans="1:27" ht="13.5" customHeight="1" x14ac:dyDescent="0.3">
      <c r="A477" s="193" t="str">
        <f>IF('Observaciones-SMP'!A477="","",'Observaciones-SMP'!A477)</f>
        <v/>
      </c>
      <c r="B477" s="257" t="str">
        <f>IF('Observaciones-SMP'!B477="","",'Observaciones-SMP'!B477)</f>
        <v/>
      </c>
      <c r="C477" s="193" t="str">
        <f>IF('Observaciones-SMP'!C477="","",'Observaciones-SMP'!C477)</f>
        <v/>
      </c>
      <c r="D477" s="193" t="str">
        <f>IF('Observaciones-SMP'!D477="","",'Observaciones-SMP'!D477)</f>
        <v/>
      </c>
      <c r="E477" s="193" t="str">
        <f>IF('Observaciones-SMP'!E477="","",'Observaciones-SMP'!E477)</f>
        <v/>
      </c>
      <c r="F477" s="193" t="str">
        <f>IF('Observaciones-SMP'!F477="","",'Observaciones-SMP'!F477)</f>
        <v/>
      </c>
      <c r="G477" s="193" t="str">
        <f>IF('Observaciones-SMP'!G477="","",'Observaciones-SMP'!G477)</f>
        <v/>
      </c>
      <c r="H477" s="193" t="str">
        <f>IF('Observaciones-SMP'!H477="","",'Observaciones-SMP'!H477)</f>
        <v/>
      </c>
      <c r="I477" s="193" t="str">
        <f>IF('Observaciones-SMP'!I477="","",'Observaciones-SMP'!I477)</f>
        <v/>
      </c>
      <c r="J477" s="193" t="str">
        <f>IF('Observaciones-SMP'!J477="","",'Observaciones-SMP'!J477)</f>
        <v/>
      </c>
      <c r="K477" s="193" t="str">
        <f>IF('Observaciones-SMP'!K477="","",'Observaciones-SMP'!K477)</f>
        <v/>
      </c>
      <c r="L477" s="193" t="str">
        <f>IF('Observaciones-SMP'!L477="","",'Observaciones-SMP'!L477)</f>
        <v/>
      </c>
      <c r="M477" s="193" t="str">
        <f>IF('Observaciones-SMP'!M477="","",'Observaciones-SMP'!M477)</f>
        <v/>
      </c>
      <c r="N477" s="193" t="str">
        <f>IF('Observaciones-SMP'!N477="","",'Observaciones-SMP'!N477)</f>
        <v/>
      </c>
      <c r="O477" s="193" t="str">
        <f>IF('Observaciones-SMP'!O477="","",'Observaciones-SMP'!O477)</f>
        <v/>
      </c>
      <c r="P477" s="193" t="str">
        <f>IF('Observaciones-SMP'!P477="","",'Observaciones-SMP'!P477)</f>
        <v/>
      </c>
      <c r="Q477" s="257" t="str">
        <f>IF('Observaciones-SMP'!S477="","",'Observaciones-SMP'!S477)</f>
        <v/>
      </c>
      <c r="R477" s="193" t="str">
        <f>IF('Observaciones-SMP'!T477="","",'Observaciones-SMP'!T477)</f>
        <v/>
      </c>
      <c r="S477" s="193" t="str">
        <f>""</f>
        <v/>
      </c>
      <c r="T477" s="193" t="str">
        <f>""</f>
        <v/>
      </c>
      <c r="U477" s="193" t="str">
        <f t="shared" si="28"/>
        <v/>
      </c>
      <c r="V477" s="193" t="str">
        <f>""</f>
        <v/>
      </c>
      <c r="W477" s="193" t="str">
        <f>""</f>
        <v/>
      </c>
      <c r="X477" s="258" t="str">
        <f t="shared" si="29"/>
        <v/>
      </c>
      <c r="Y477" s="258" t="str">
        <f t="shared" si="30"/>
        <v/>
      </c>
      <c r="Z477" s="193" t="str">
        <f>IF(A477="","",IF(COUNTIF('Observaciones-SMP'!$A$2:$A$1001,A477)&gt;1,1,0))</f>
        <v/>
      </c>
      <c r="AA477" s="193" t="str">
        <f t="shared" si="31"/>
        <v/>
      </c>
    </row>
    <row r="478" spans="1:27" ht="13.5" customHeight="1" x14ac:dyDescent="0.3">
      <c r="A478" s="193" t="str">
        <f>IF('Observaciones-SMP'!A478="","",'Observaciones-SMP'!A478)</f>
        <v/>
      </c>
      <c r="B478" s="257" t="str">
        <f>IF('Observaciones-SMP'!B478="","",'Observaciones-SMP'!B478)</f>
        <v/>
      </c>
      <c r="C478" s="193" t="str">
        <f>IF('Observaciones-SMP'!C478="","",'Observaciones-SMP'!C478)</f>
        <v/>
      </c>
      <c r="D478" s="193" t="str">
        <f>IF('Observaciones-SMP'!D478="","",'Observaciones-SMP'!D478)</f>
        <v/>
      </c>
      <c r="E478" s="193" t="str">
        <f>IF('Observaciones-SMP'!E478="","",'Observaciones-SMP'!E478)</f>
        <v/>
      </c>
      <c r="F478" s="193" t="str">
        <f>IF('Observaciones-SMP'!F478="","",'Observaciones-SMP'!F478)</f>
        <v/>
      </c>
      <c r="G478" s="193" t="str">
        <f>IF('Observaciones-SMP'!G478="","",'Observaciones-SMP'!G478)</f>
        <v/>
      </c>
      <c r="H478" s="193" t="str">
        <f>IF('Observaciones-SMP'!H478="","",'Observaciones-SMP'!H478)</f>
        <v/>
      </c>
      <c r="I478" s="193" t="str">
        <f>IF('Observaciones-SMP'!I478="","",'Observaciones-SMP'!I478)</f>
        <v/>
      </c>
      <c r="J478" s="193" t="str">
        <f>IF('Observaciones-SMP'!J478="","",'Observaciones-SMP'!J478)</f>
        <v/>
      </c>
      <c r="K478" s="193" t="str">
        <f>IF('Observaciones-SMP'!K478="","",'Observaciones-SMP'!K478)</f>
        <v/>
      </c>
      <c r="L478" s="193" t="str">
        <f>IF('Observaciones-SMP'!L478="","",'Observaciones-SMP'!L478)</f>
        <v/>
      </c>
      <c r="M478" s="193" t="str">
        <f>IF('Observaciones-SMP'!M478="","",'Observaciones-SMP'!M478)</f>
        <v/>
      </c>
      <c r="N478" s="193" t="str">
        <f>IF('Observaciones-SMP'!N478="","",'Observaciones-SMP'!N478)</f>
        <v/>
      </c>
      <c r="O478" s="193" t="str">
        <f>IF('Observaciones-SMP'!O478="","",'Observaciones-SMP'!O478)</f>
        <v/>
      </c>
      <c r="P478" s="193" t="str">
        <f>IF('Observaciones-SMP'!P478="","",'Observaciones-SMP'!P478)</f>
        <v/>
      </c>
      <c r="Q478" s="257" t="str">
        <f>IF('Observaciones-SMP'!S478="","",'Observaciones-SMP'!S478)</f>
        <v/>
      </c>
      <c r="R478" s="193" t="str">
        <f>IF('Observaciones-SMP'!T478="","",'Observaciones-SMP'!T478)</f>
        <v/>
      </c>
      <c r="S478" s="193" t="str">
        <f>""</f>
        <v/>
      </c>
      <c r="T478" s="193" t="str">
        <f>""</f>
        <v/>
      </c>
      <c r="U478" s="193" t="str">
        <f t="shared" si="28"/>
        <v/>
      </c>
      <c r="V478" s="193" t="str">
        <f>""</f>
        <v/>
      </c>
      <c r="W478" s="193" t="str">
        <f>""</f>
        <v/>
      </c>
      <c r="X478" s="258" t="str">
        <f t="shared" si="29"/>
        <v/>
      </c>
      <c r="Y478" s="258" t="str">
        <f t="shared" si="30"/>
        <v/>
      </c>
      <c r="Z478" s="193" t="str">
        <f>IF(A478="","",IF(COUNTIF('Observaciones-SMP'!$A$2:$A$1001,A478)&gt;1,1,0))</f>
        <v/>
      </c>
      <c r="AA478" s="193" t="str">
        <f t="shared" si="31"/>
        <v/>
      </c>
    </row>
    <row r="479" spans="1:27" ht="13.5" customHeight="1" x14ac:dyDescent="0.3">
      <c r="A479" s="193" t="str">
        <f>IF('Observaciones-SMP'!A479="","",'Observaciones-SMP'!A479)</f>
        <v/>
      </c>
      <c r="B479" s="257" t="str">
        <f>IF('Observaciones-SMP'!B479="","",'Observaciones-SMP'!B479)</f>
        <v/>
      </c>
      <c r="C479" s="193" t="str">
        <f>IF('Observaciones-SMP'!C479="","",'Observaciones-SMP'!C479)</f>
        <v/>
      </c>
      <c r="D479" s="193" t="str">
        <f>IF('Observaciones-SMP'!D479="","",'Observaciones-SMP'!D479)</f>
        <v/>
      </c>
      <c r="E479" s="193" t="str">
        <f>IF('Observaciones-SMP'!E479="","",'Observaciones-SMP'!E479)</f>
        <v/>
      </c>
      <c r="F479" s="193" t="str">
        <f>IF('Observaciones-SMP'!F479="","",'Observaciones-SMP'!F479)</f>
        <v/>
      </c>
      <c r="G479" s="193" t="str">
        <f>IF('Observaciones-SMP'!G479="","",'Observaciones-SMP'!G479)</f>
        <v/>
      </c>
      <c r="H479" s="193" t="str">
        <f>IF('Observaciones-SMP'!H479="","",'Observaciones-SMP'!H479)</f>
        <v/>
      </c>
      <c r="I479" s="193" t="str">
        <f>IF('Observaciones-SMP'!I479="","",'Observaciones-SMP'!I479)</f>
        <v/>
      </c>
      <c r="J479" s="193" t="str">
        <f>IF('Observaciones-SMP'!J479="","",'Observaciones-SMP'!J479)</f>
        <v/>
      </c>
      <c r="K479" s="193" t="str">
        <f>IF('Observaciones-SMP'!K479="","",'Observaciones-SMP'!K479)</f>
        <v/>
      </c>
      <c r="L479" s="193" t="str">
        <f>IF('Observaciones-SMP'!L479="","",'Observaciones-SMP'!L479)</f>
        <v/>
      </c>
      <c r="M479" s="193" t="str">
        <f>IF('Observaciones-SMP'!M479="","",'Observaciones-SMP'!M479)</f>
        <v/>
      </c>
      <c r="N479" s="193" t="str">
        <f>IF('Observaciones-SMP'!N479="","",'Observaciones-SMP'!N479)</f>
        <v/>
      </c>
      <c r="O479" s="193" t="str">
        <f>IF('Observaciones-SMP'!O479="","",'Observaciones-SMP'!O479)</f>
        <v/>
      </c>
      <c r="P479" s="193" t="str">
        <f>IF('Observaciones-SMP'!P479="","",'Observaciones-SMP'!P479)</f>
        <v/>
      </c>
      <c r="Q479" s="257" t="str">
        <f>IF('Observaciones-SMP'!S479="","",'Observaciones-SMP'!S479)</f>
        <v/>
      </c>
      <c r="R479" s="193" t="str">
        <f>IF('Observaciones-SMP'!T479="","",'Observaciones-SMP'!T479)</f>
        <v/>
      </c>
      <c r="S479" s="193" t="str">
        <f>""</f>
        <v/>
      </c>
      <c r="T479" s="193" t="str">
        <f>""</f>
        <v/>
      </c>
      <c r="U479" s="193" t="str">
        <f t="shared" si="28"/>
        <v/>
      </c>
      <c r="V479" s="193" t="str">
        <f>""</f>
        <v/>
      </c>
      <c r="W479" s="193" t="str">
        <f>""</f>
        <v/>
      </c>
      <c r="X479" s="258" t="str">
        <f t="shared" si="29"/>
        <v/>
      </c>
      <c r="Y479" s="258" t="str">
        <f t="shared" si="30"/>
        <v/>
      </c>
      <c r="Z479" s="193" t="str">
        <f>IF(A479="","",IF(COUNTIF('Observaciones-SMP'!$A$2:$A$1001,A479)&gt;1,1,0))</f>
        <v/>
      </c>
      <c r="AA479" s="193" t="str">
        <f t="shared" si="31"/>
        <v/>
      </c>
    </row>
    <row r="480" spans="1:27" ht="13.5" customHeight="1" x14ac:dyDescent="0.3">
      <c r="A480" s="193" t="str">
        <f>IF('Observaciones-SMP'!A480="","",'Observaciones-SMP'!A480)</f>
        <v/>
      </c>
      <c r="B480" s="257" t="str">
        <f>IF('Observaciones-SMP'!B480="","",'Observaciones-SMP'!B480)</f>
        <v/>
      </c>
      <c r="C480" s="193" t="str">
        <f>IF('Observaciones-SMP'!C480="","",'Observaciones-SMP'!C480)</f>
        <v/>
      </c>
      <c r="D480" s="193" t="str">
        <f>IF('Observaciones-SMP'!D480="","",'Observaciones-SMP'!D480)</f>
        <v/>
      </c>
      <c r="E480" s="193" t="str">
        <f>IF('Observaciones-SMP'!E480="","",'Observaciones-SMP'!E480)</f>
        <v/>
      </c>
      <c r="F480" s="193" t="str">
        <f>IF('Observaciones-SMP'!F480="","",'Observaciones-SMP'!F480)</f>
        <v/>
      </c>
      <c r="G480" s="193" t="str">
        <f>IF('Observaciones-SMP'!G480="","",'Observaciones-SMP'!G480)</f>
        <v/>
      </c>
      <c r="H480" s="193" t="str">
        <f>IF('Observaciones-SMP'!H480="","",'Observaciones-SMP'!H480)</f>
        <v/>
      </c>
      <c r="I480" s="193" t="str">
        <f>IF('Observaciones-SMP'!I480="","",'Observaciones-SMP'!I480)</f>
        <v/>
      </c>
      <c r="J480" s="193" t="str">
        <f>IF('Observaciones-SMP'!J480="","",'Observaciones-SMP'!J480)</f>
        <v/>
      </c>
      <c r="K480" s="193" t="str">
        <f>IF('Observaciones-SMP'!K480="","",'Observaciones-SMP'!K480)</f>
        <v/>
      </c>
      <c r="L480" s="193" t="str">
        <f>IF('Observaciones-SMP'!L480="","",'Observaciones-SMP'!L480)</f>
        <v/>
      </c>
      <c r="M480" s="193" t="str">
        <f>IF('Observaciones-SMP'!M480="","",'Observaciones-SMP'!M480)</f>
        <v/>
      </c>
      <c r="N480" s="193" t="str">
        <f>IF('Observaciones-SMP'!N480="","",'Observaciones-SMP'!N480)</f>
        <v/>
      </c>
      <c r="O480" s="193" t="str">
        <f>IF('Observaciones-SMP'!O480="","",'Observaciones-SMP'!O480)</f>
        <v/>
      </c>
      <c r="P480" s="193" t="str">
        <f>IF('Observaciones-SMP'!P480="","",'Observaciones-SMP'!P480)</f>
        <v/>
      </c>
      <c r="Q480" s="257" t="str">
        <f>IF('Observaciones-SMP'!S480="","",'Observaciones-SMP'!S480)</f>
        <v/>
      </c>
      <c r="R480" s="193" t="str">
        <f>IF('Observaciones-SMP'!T480="","",'Observaciones-SMP'!T480)</f>
        <v/>
      </c>
      <c r="S480" s="193" t="str">
        <f>""</f>
        <v/>
      </c>
      <c r="T480" s="193" t="str">
        <f>""</f>
        <v/>
      </c>
      <c r="U480" s="193" t="str">
        <f t="shared" si="28"/>
        <v/>
      </c>
      <c r="V480" s="193" t="str">
        <f>""</f>
        <v/>
      </c>
      <c r="W480" s="193" t="str">
        <f>""</f>
        <v/>
      </c>
      <c r="X480" s="258" t="str">
        <f t="shared" si="29"/>
        <v/>
      </c>
      <c r="Y480" s="258" t="str">
        <f t="shared" si="30"/>
        <v/>
      </c>
      <c r="Z480" s="193" t="str">
        <f>IF(A480="","",IF(COUNTIF('Observaciones-SMP'!$A$2:$A$1001,A480)&gt;1,1,0))</f>
        <v/>
      </c>
      <c r="AA480" s="193" t="str">
        <f t="shared" si="31"/>
        <v/>
      </c>
    </row>
    <row r="481" spans="1:27" ht="13.5" customHeight="1" x14ac:dyDescent="0.3">
      <c r="A481" s="193" t="str">
        <f>IF('Observaciones-SMP'!A481="","",'Observaciones-SMP'!A481)</f>
        <v/>
      </c>
      <c r="B481" s="257" t="str">
        <f>IF('Observaciones-SMP'!B481="","",'Observaciones-SMP'!B481)</f>
        <v/>
      </c>
      <c r="C481" s="193" t="str">
        <f>IF('Observaciones-SMP'!C481="","",'Observaciones-SMP'!C481)</f>
        <v/>
      </c>
      <c r="D481" s="193" t="str">
        <f>IF('Observaciones-SMP'!D481="","",'Observaciones-SMP'!D481)</f>
        <v/>
      </c>
      <c r="E481" s="193" t="str">
        <f>IF('Observaciones-SMP'!E481="","",'Observaciones-SMP'!E481)</f>
        <v/>
      </c>
      <c r="F481" s="193" t="str">
        <f>IF('Observaciones-SMP'!F481="","",'Observaciones-SMP'!F481)</f>
        <v/>
      </c>
      <c r="G481" s="193" t="str">
        <f>IF('Observaciones-SMP'!G481="","",'Observaciones-SMP'!G481)</f>
        <v/>
      </c>
      <c r="H481" s="193" t="str">
        <f>IF('Observaciones-SMP'!H481="","",'Observaciones-SMP'!H481)</f>
        <v/>
      </c>
      <c r="I481" s="193" t="str">
        <f>IF('Observaciones-SMP'!I481="","",'Observaciones-SMP'!I481)</f>
        <v/>
      </c>
      <c r="J481" s="193" t="str">
        <f>IF('Observaciones-SMP'!J481="","",'Observaciones-SMP'!J481)</f>
        <v/>
      </c>
      <c r="K481" s="193" t="str">
        <f>IF('Observaciones-SMP'!K481="","",'Observaciones-SMP'!K481)</f>
        <v/>
      </c>
      <c r="L481" s="193" t="str">
        <f>IF('Observaciones-SMP'!L481="","",'Observaciones-SMP'!L481)</f>
        <v/>
      </c>
      <c r="M481" s="193" t="str">
        <f>IF('Observaciones-SMP'!M481="","",'Observaciones-SMP'!M481)</f>
        <v/>
      </c>
      <c r="N481" s="193" t="str">
        <f>IF('Observaciones-SMP'!N481="","",'Observaciones-SMP'!N481)</f>
        <v/>
      </c>
      <c r="O481" s="193" t="str">
        <f>IF('Observaciones-SMP'!O481="","",'Observaciones-SMP'!O481)</f>
        <v/>
      </c>
      <c r="P481" s="193" t="str">
        <f>IF('Observaciones-SMP'!P481="","",'Observaciones-SMP'!P481)</f>
        <v/>
      </c>
      <c r="Q481" s="257" t="str">
        <f>IF('Observaciones-SMP'!S481="","",'Observaciones-SMP'!S481)</f>
        <v/>
      </c>
      <c r="R481" s="193" t="str">
        <f>IF('Observaciones-SMP'!T481="","",'Observaciones-SMP'!T481)</f>
        <v/>
      </c>
      <c r="S481" s="193" t="str">
        <f>""</f>
        <v/>
      </c>
      <c r="T481" s="193" t="str">
        <f>""</f>
        <v/>
      </c>
      <c r="U481" s="193" t="str">
        <f t="shared" si="28"/>
        <v/>
      </c>
      <c r="V481" s="193" t="str">
        <f>""</f>
        <v/>
      </c>
      <c r="W481" s="193" t="str">
        <f>""</f>
        <v/>
      </c>
      <c r="X481" s="258" t="str">
        <f t="shared" si="29"/>
        <v/>
      </c>
      <c r="Y481" s="258" t="str">
        <f t="shared" si="30"/>
        <v/>
      </c>
      <c r="Z481" s="193" t="str">
        <f>IF(A481="","",IF(COUNTIF('Observaciones-SMP'!$A$2:$A$1001,A481)&gt;1,1,0))</f>
        <v/>
      </c>
      <c r="AA481" s="193" t="str">
        <f t="shared" si="31"/>
        <v/>
      </c>
    </row>
    <row r="482" spans="1:27" ht="13.5" customHeight="1" x14ac:dyDescent="0.3">
      <c r="A482" s="193" t="str">
        <f>IF('Observaciones-SMP'!A482="","",'Observaciones-SMP'!A482)</f>
        <v/>
      </c>
      <c r="B482" s="257" t="str">
        <f>IF('Observaciones-SMP'!B482="","",'Observaciones-SMP'!B482)</f>
        <v/>
      </c>
      <c r="C482" s="193" t="str">
        <f>IF('Observaciones-SMP'!C482="","",'Observaciones-SMP'!C482)</f>
        <v/>
      </c>
      <c r="D482" s="193" t="str">
        <f>IF('Observaciones-SMP'!D482="","",'Observaciones-SMP'!D482)</f>
        <v/>
      </c>
      <c r="E482" s="193" t="str">
        <f>IF('Observaciones-SMP'!E482="","",'Observaciones-SMP'!E482)</f>
        <v/>
      </c>
      <c r="F482" s="193" t="str">
        <f>IF('Observaciones-SMP'!F482="","",'Observaciones-SMP'!F482)</f>
        <v/>
      </c>
      <c r="G482" s="193" t="str">
        <f>IF('Observaciones-SMP'!G482="","",'Observaciones-SMP'!G482)</f>
        <v/>
      </c>
      <c r="H482" s="193" t="str">
        <f>IF('Observaciones-SMP'!H482="","",'Observaciones-SMP'!H482)</f>
        <v/>
      </c>
      <c r="I482" s="193" t="str">
        <f>IF('Observaciones-SMP'!I482="","",'Observaciones-SMP'!I482)</f>
        <v/>
      </c>
      <c r="J482" s="193" t="str">
        <f>IF('Observaciones-SMP'!J482="","",'Observaciones-SMP'!J482)</f>
        <v/>
      </c>
      <c r="K482" s="193" t="str">
        <f>IF('Observaciones-SMP'!K482="","",'Observaciones-SMP'!K482)</f>
        <v/>
      </c>
      <c r="L482" s="193" t="str">
        <f>IF('Observaciones-SMP'!L482="","",'Observaciones-SMP'!L482)</f>
        <v/>
      </c>
      <c r="M482" s="193" t="str">
        <f>IF('Observaciones-SMP'!M482="","",'Observaciones-SMP'!M482)</f>
        <v/>
      </c>
      <c r="N482" s="193" t="str">
        <f>IF('Observaciones-SMP'!N482="","",'Observaciones-SMP'!N482)</f>
        <v/>
      </c>
      <c r="O482" s="193" t="str">
        <f>IF('Observaciones-SMP'!O482="","",'Observaciones-SMP'!O482)</f>
        <v/>
      </c>
      <c r="P482" s="193" t="str">
        <f>IF('Observaciones-SMP'!P482="","",'Observaciones-SMP'!P482)</f>
        <v/>
      </c>
      <c r="Q482" s="257" t="str">
        <f>IF('Observaciones-SMP'!S482="","",'Observaciones-SMP'!S482)</f>
        <v/>
      </c>
      <c r="R482" s="193" t="str">
        <f>IF('Observaciones-SMP'!T482="","",'Observaciones-SMP'!T482)</f>
        <v/>
      </c>
      <c r="S482" s="193" t="str">
        <f>""</f>
        <v/>
      </c>
      <c r="T482" s="193" t="str">
        <f>""</f>
        <v/>
      </c>
      <c r="U482" s="193" t="str">
        <f t="shared" si="28"/>
        <v/>
      </c>
      <c r="V482" s="193" t="str">
        <f>""</f>
        <v/>
      </c>
      <c r="W482" s="193" t="str">
        <f>""</f>
        <v/>
      </c>
      <c r="X482" s="258" t="str">
        <f t="shared" si="29"/>
        <v/>
      </c>
      <c r="Y482" s="258" t="str">
        <f t="shared" si="30"/>
        <v/>
      </c>
      <c r="Z482" s="193" t="str">
        <f>IF(A482="","",IF(COUNTIF('Observaciones-SMP'!$A$2:$A$1001,A482)&gt;1,1,0))</f>
        <v/>
      </c>
      <c r="AA482" s="193" t="str">
        <f t="shared" si="31"/>
        <v/>
      </c>
    </row>
    <row r="483" spans="1:27" ht="13.5" customHeight="1" x14ac:dyDescent="0.3">
      <c r="A483" s="193" t="str">
        <f>IF('Observaciones-SMP'!A483="","",'Observaciones-SMP'!A483)</f>
        <v/>
      </c>
      <c r="B483" s="257" t="str">
        <f>IF('Observaciones-SMP'!B483="","",'Observaciones-SMP'!B483)</f>
        <v/>
      </c>
      <c r="C483" s="193" t="str">
        <f>IF('Observaciones-SMP'!C483="","",'Observaciones-SMP'!C483)</f>
        <v/>
      </c>
      <c r="D483" s="193" t="str">
        <f>IF('Observaciones-SMP'!D483="","",'Observaciones-SMP'!D483)</f>
        <v/>
      </c>
      <c r="E483" s="193" t="str">
        <f>IF('Observaciones-SMP'!E483="","",'Observaciones-SMP'!E483)</f>
        <v/>
      </c>
      <c r="F483" s="193" t="str">
        <f>IF('Observaciones-SMP'!F483="","",'Observaciones-SMP'!F483)</f>
        <v/>
      </c>
      <c r="G483" s="193" t="str">
        <f>IF('Observaciones-SMP'!G483="","",'Observaciones-SMP'!G483)</f>
        <v/>
      </c>
      <c r="H483" s="193" t="str">
        <f>IF('Observaciones-SMP'!H483="","",'Observaciones-SMP'!H483)</f>
        <v/>
      </c>
      <c r="I483" s="193" t="str">
        <f>IF('Observaciones-SMP'!I483="","",'Observaciones-SMP'!I483)</f>
        <v/>
      </c>
      <c r="J483" s="193" t="str">
        <f>IF('Observaciones-SMP'!J483="","",'Observaciones-SMP'!J483)</f>
        <v/>
      </c>
      <c r="K483" s="193" t="str">
        <f>IF('Observaciones-SMP'!K483="","",'Observaciones-SMP'!K483)</f>
        <v/>
      </c>
      <c r="L483" s="193" t="str">
        <f>IF('Observaciones-SMP'!L483="","",'Observaciones-SMP'!L483)</f>
        <v/>
      </c>
      <c r="M483" s="193" t="str">
        <f>IF('Observaciones-SMP'!M483="","",'Observaciones-SMP'!M483)</f>
        <v/>
      </c>
      <c r="N483" s="193" t="str">
        <f>IF('Observaciones-SMP'!N483="","",'Observaciones-SMP'!N483)</f>
        <v/>
      </c>
      <c r="O483" s="193" t="str">
        <f>IF('Observaciones-SMP'!O483="","",'Observaciones-SMP'!O483)</f>
        <v/>
      </c>
      <c r="P483" s="193" t="str">
        <f>IF('Observaciones-SMP'!P483="","",'Observaciones-SMP'!P483)</f>
        <v/>
      </c>
      <c r="Q483" s="257" t="str">
        <f>IF('Observaciones-SMP'!S483="","",'Observaciones-SMP'!S483)</f>
        <v/>
      </c>
      <c r="R483" s="193" t="str">
        <f>IF('Observaciones-SMP'!T483="","",'Observaciones-SMP'!T483)</f>
        <v/>
      </c>
      <c r="S483" s="193" t="str">
        <f>""</f>
        <v/>
      </c>
      <c r="T483" s="193" t="str">
        <f>""</f>
        <v/>
      </c>
      <c r="U483" s="193" t="str">
        <f t="shared" si="28"/>
        <v/>
      </c>
      <c r="V483" s="193" t="str">
        <f>""</f>
        <v/>
      </c>
      <c r="W483" s="193" t="str">
        <f>""</f>
        <v/>
      </c>
      <c r="X483" s="258" t="str">
        <f t="shared" si="29"/>
        <v/>
      </c>
      <c r="Y483" s="258" t="str">
        <f t="shared" si="30"/>
        <v/>
      </c>
      <c r="Z483" s="193" t="str">
        <f>IF(A483="","",IF(COUNTIF('Observaciones-SMP'!$A$2:$A$1001,A483)&gt;1,1,0))</f>
        <v/>
      </c>
      <c r="AA483" s="193" t="str">
        <f t="shared" si="31"/>
        <v/>
      </c>
    </row>
    <row r="484" spans="1:27" ht="13.5" customHeight="1" x14ac:dyDescent="0.3">
      <c r="A484" s="193" t="str">
        <f>IF('Observaciones-SMP'!A484="","",'Observaciones-SMP'!A484)</f>
        <v/>
      </c>
      <c r="B484" s="257" t="str">
        <f>IF('Observaciones-SMP'!B484="","",'Observaciones-SMP'!B484)</f>
        <v/>
      </c>
      <c r="C484" s="193" t="str">
        <f>IF('Observaciones-SMP'!C484="","",'Observaciones-SMP'!C484)</f>
        <v/>
      </c>
      <c r="D484" s="193" t="str">
        <f>IF('Observaciones-SMP'!D484="","",'Observaciones-SMP'!D484)</f>
        <v/>
      </c>
      <c r="E484" s="193" t="str">
        <f>IF('Observaciones-SMP'!E484="","",'Observaciones-SMP'!E484)</f>
        <v/>
      </c>
      <c r="F484" s="193" t="str">
        <f>IF('Observaciones-SMP'!F484="","",'Observaciones-SMP'!F484)</f>
        <v/>
      </c>
      <c r="G484" s="193" t="str">
        <f>IF('Observaciones-SMP'!G484="","",'Observaciones-SMP'!G484)</f>
        <v/>
      </c>
      <c r="H484" s="193" t="str">
        <f>IF('Observaciones-SMP'!H484="","",'Observaciones-SMP'!H484)</f>
        <v/>
      </c>
      <c r="I484" s="193" t="str">
        <f>IF('Observaciones-SMP'!I484="","",'Observaciones-SMP'!I484)</f>
        <v/>
      </c>
      <c r="J484" s="193" t="str">
        <f>IF('Observaciones-SMP'!J484="","",'Observaciones-SMP'!J484)</f>
        <v/>
      </c>
      <c r="K484" s="193" t="str">
        <f>IF('Observaciones-SMP'!K484="","",'Observaciones-SMP'!K484)</f>
        <v/>
      </c>
      <c r="L484" s="193" t="str">
        <f>IF('Observaciones-SMP'!L484="","",'Observaciones-SMP'!L484)</f>
        <v/>
      </c>
      <c r="M484" s="193" t="str">
        <f>IF('Observaciones-SMP'!M484="","",'Observaciones-SMP'!M484)</f>
        <v/>
      </c>
      <c r="N484" s="193" t="str">
        <f>IF('Observaciones-SMP'!N484="","",'Observaciones-SMP'!N484)</f>
        <v/>
      </c>
      <c r="O484" s="193" t="str">
        <f>IF('Observaciones-SMP'!O484="","",'Observaciones-SMP'!O484)</f>
        <v/>
      </c>
      <c r="P484" s="193" t="str">
        <f>IF('Observaciones-SMP'!P484="","",'Observaciones-SMP'!P484)</f>
        <v/>
      </c>
      <c r="Q484" s="257" t="str">
        <f>IF('Observaciones-SMP'!S484="","",'Observaciones-SMP'!S484)</f>
        <v/>
      </c>
      <c r="R484" s="193" t="str">
        <f>IF('Observaciones-SMP'!T484="","",'Observaciones-SMP'!T484)</f>
        <v/>
      </c>
      <c r="S484" s="193" t="str">
        <f>""</f>
        <v/>
      </c>
      <c r="T484" s="193" t="str">
        <f>""</f>
        <v/>
      </c>
      <c r="U484" s="193" t="str">
        <f t="shared" si="28"/>
        <v/>
      </c>
      <c r="V484" s="193" t="str">
        <f>""</f>
        <v/>
      </c>
      <c r="W484" s="193" t="str">
        <f>""</f>
        <v/>
      </c>
      <c r="X484" s="258" t="str">
        <f t="shared" si="29"/>
        <v/>
      </c>
      <c r="Y484" s="258" t="str">
        <f t="shared" si="30"/>
        <v/>
      </c>
      <c r="Z484" s="193" t="str">
        <f>IF(A484="","",IF(COUNTIF('Observaciones-SMP'!$A$2:$A$1001,A484)&gt;1,1,0))</f>
        <v/>
      </c>
      <c r="AA484" s="193" t="str">
        <f t="shared" si="31"/>
        <v/>
      </c>
    </row>
    <row r="485" spans="1:27" ht="13.5" customHeight="1" x14ac:dyDescent="0.3">
      <c r="A485" s="193" t="str">
        <f>IF('Observaciones-SMP'!A485="","",'Observaciones-SMP'!A485)</f>
        <v/>
      </c>
      <c r="B485" s="257" t="str">
        <f>IF('Observaciones-SMP'!B485="","",'Observaciones-SMP'!B485)</f>
        <v/>
      </c>
      <c r="C485" s="193" t="str">
        <f>IF('Observaciones-SMP'!C485="","",'Observaciones-SMP'!C485)</f>
        <v/>
      </c>
      <c r="D485" s="193" t="str">
        <f>IF('Observaciones-SMP'!D485="","",'Observaciones-SMP'!D485)</f>
        <v/>
      </c>
      <c r="E485" s="193" t="str">
        <f>IF('Observaciones-SMP'!E485="","",'Observaciones-SMP'!E485)</f>
        <v/>
      </c>
      <c r="F485" s="193" t="str">
        <f>IF('Observaciones-SMP'!F485="","",'Observaciones-SMP'!F485)</f>
        <v/>
      </c>
      <c r="G485" s="193" t="str">
        <f>IF('Observaciones-SMP'!G485="","",'Observaciones-SMP'!G485)</f>
        <v/>
      </c>
      <c r="H485" s="193" t="str">
        <f>IF('Observaciones-SMP'!H485="","",'Observaciones-SMP'!H485)</f>
        <v/>
      </c>
      <c r="I485" s="193" t="str">
        <f>IF('Observaciones-SMP'!I485="","",'Observaciones-SMP'!I485)</f>
        <v/>
      </c>
      <c r="J485" s="193" t="str">
        <f>IF('Observaciones-SMP'!J485="","",'Observaciones-SMP'!J485)</f>
        <v/>
      </c>
      <c r="K485" s="193" t="str">
        <f>IF('Observaciones-SMP'!K485="","",'Observaciones-SMP'!K485)</f>
        <v/>
      </c>
      <c r="L485" s="193" t="str">
        <f>IF('Observaciones-SMP'!L485="","",'Observaciones-SMP'!L485)</f>
        <v/>
      </c>
      <c r="M485" s="193" t="str">
        <f>IF('Observaciones-SMP'!M485="","",'Observaciones-SMP'!M485)</f>
        <v/>
      </c>
      <c r="N485" s="193" t="str">
        <f>IF('Observaciones-SMP'!N485="","",'Observaciones-SMP'!N485)</f>
        <v/>
      </c>
      <c r="O485" s="193" t="str">
        <f>IF('Observaciones-SMP'!O485="","",'Observaciones-SMP'!O485)</f>
        <v/>
      </c>
      <c r="P485" s="193" t="str">
        <f>IF('Observaciones-SMP'!P485="","",'Observaciones-SMP'!P485)</f>
        <v/>
      </c>
      <c r="Q485" s="257" t="str">
        <f>IF('Observaciones-SMP'!S485="","",'Observaciones-SMP'!S485)</f>
        <v/>
      </c>
      <c r="R485" s="193" t="str">
        <f>IF('Observaciones-SMP'!T485="","",'Observaciones-SMP'!T485)</f>
        <v/>
      </c>
      <c r="S485" s="193" t="str">
        <f>""</f>
        <v/>
      </c>
      <c r="T485" s="193" t="str">
        <f>""</f>
        <v/>
      </c>
      <c r="U485" s="193" t="str">
        <f t="shared" si="28"/>
        <v/>
      </c>
      <c r="V485" s="193" t="str">
        <f>""</f>
        <v/>
      </c>
      <c r="W485" s="193" t="str">
        <f>""</f>
        <v/>
      </c>
      <c r="X485" s="258" t="str">
        <f t="shared" si="29"/>
        <v/>
      </c>
      <c r="Y485" s="258" t="str">
        <f t="shared" si="30"/>
        <v/>
      </c>
      <c r="Z485" s="193" t="str">
        <f>IF(A485="","",IF(COUNTIF('Observaciones-SMP'!$A$2:$A$1001,A485)&gt;1,1,0))</f>
        <v/>
      </c>
      <c r="AA485" s="193" t="str">
        <f t="shared" si="31"/>
        <v/>
      </c>
    </row>
    <row r="486" spans="1:27" ht="13.5" customHeight="1" x14ac:dyDescent="0.3">
      <c r="A486" s="193" t="str">
        <f>IF('Observaciones-SMP'!A486="","",'Observaciones-SMP'!A486)</f>
        <v/>
      </c>
      <c r="B486" s="257" t="str">
        <f>IF('Observaciones-SMP'!B486="","",'Observaciones-SMP'!B486)</f>
        <v/>
      </c>
      <c r="C486" s="193" t="str">
        <f>IF('Observaciones-SMP'!C486="","",'Observaciones-SMP'!C486)</f>
        <v/>
      </c>
      <c r="D486" s="193" t="str">
        <f>IF('Observaciones-SMP'!D486="","",'Observaciones-SMP'!D486)</f>
        <v/>
      </c>
      <c r="E486" s="193" t="str">
        <f>IF('Observaciones-SMP'!E486="","",'Observaciones-SMP'!E486)</f>
        <v/>
      </c>
      <c r="F486" s="193" t="str">
        <f>IF('Observaciones-SMP'!F486="","",'Observaciones-SMP'!F486)</f>
        <v/>
      </c>
      <c r="G486" s="193" t="str">
        <f>IF('Observaciones-SMP'!G486="","",'Observaciones-SMP'!G486)</f>
        <v/>
      </c>
      <c r="H486" s="193" t="str">
        <f>IF('Observaciones-SMP'!H486="","",'Observaciones-SMP'!H486)</f>
        <v/>
      </c>
      <c r="I486" s="193" t="str">
        <f>IF('Observaciones-SMP'!I486="","",'Observaciones-SMP'!I486)</f>
        <v/>
      </c>
      <c r="J486" s="193" t="str">
        <f>IF('Observaciones-SMP'!J486="","",'Observaciones-SMP'!J486)</f>
        <v/>
      </c>
      <c r="K486" s="193" t="str">
        <f>IF('Observaciones-SMP'!K486="","",'Observaciones-SMP'!K486)</f>
        <v/>
      </c>
      <c r="L486" s="193" t="str">
        <f>IF('Observaciones-SMP'!L486="","",'Observaciones-SMP'!L486)</f>
        <v/>
      </c>
      <c r="M486" s="193" t="str">
        <f>IF('Observaciones-SMP'!M486="","",'Observaciones-SMP'!M486)</f>
        <v/>
      </c>
      <c r="N486" s="193" t="str">
        <f>IF('Observaciones-SMP'!N486="","",'Observaciones-SMP'!N486)</f>
        <v/>
      </c>
      <c r="O486" s="193" t="str">
        <f>IF('Observaciones-SMP'!O486="","",'Observaciones-SMP'!O486)</f>
        <v/>
      </c>
      <c r="P486" s="193" t="str">
        <f>IF('Observaciones-SMP'!P486="","",'Observaciones-SMP'!P486)</f>
        <v/>
      </c>
      <c r="Q486" s="257" t="str">
        <f>IF('Observaciones-SMP'!S486="","",'Observaciones-SMP'!S486)</f>
        <v/>
      </c>
      <c r="R486" s="193" t="str">
        <f>IF('Observaciones-SMP'!T486="","",'Observaciones-SMP'!T486)</f>
        <v/>
      </c>
      <c r="S486" s="193" t="str">
        <f>""</f>
        <v/>
      </c>
      <c r="T486" s="193" t="str">
        <f>""</f>
        <v/>
      </c>
      <c r="U486" s="193" t="str">
        <f t="shared" si="28"/>
        <v/>
      </c>
      <c r="V486" s="193" t="str">
        <f>""</f>
        <v/>
      </c>
      <c r="W486" s="193" t="str">
        <f>""</f>
        <v/>
      </c>
      <c r="X486" s="258" t="str">
        <f t="shared" si="29"/>
        <v/>
      </c>
      <c r="Y486" s="258" t="str">
        <f t="shared" si="30"/>
        <v/>
      </c>
      <c r="Z486" s="193" t="str">
        <f>IF(A486="","",IF(COUNTIF('Observaciones-SMP'!$A$2:$A$1001,A486)&gt;1,1,0))</f>
        <v/>
      </c>
      <c r="AA486" s="193" t="str">
        <f t="shared" si="31"/>
        <v/>
      </c>
    </row>
    <row r="487" spans="1:27" ht="13.5" customHeight="1" x14ac:dyDescent="0.3">
      <c r="A487" s="193" t="str">
        <f>IF('Observaciones-SMP'!A487="","",'Observaciones-SMP'!A487)</f>
        <v/>
      </c>
      <c r="B487" s="257" t="str">
        <f>IF('Observaciones-SMP'!B487="","",'Observaciones-SMP'!B487)</f>
        <v/>
      </c>
      <c r="C487" s="193" t="str">
        <f>IF('Observaciones-SMP'!C487="","",'Observaciones-SMP'!C487)</f>
        <v/>
      </c>
      <c r="D487" s="193" t="str">
        <f>IF('Observaciones-SMP'!D487="","",'Observaciones-SMP'!D487)</f>
        <v/>
      </c>
      <c r="E487" s="193" t="str">
        <f>IF('Observaciones-SMP'!E487="","",'Observaciones-SMP'!E487)</f>
        <v/>
      </c>
      <c r="F487" s="193" t="str">
        <f>IF('Observaciones-SMP'!F487="","",'Observaciones-SMP'!F487)</f>
        <v/>
      </c>
      <c r="G487" s="193" t="str">
        <f>IF('Observaciones-SMP'!G487="","",'Observaciones-SMP'!G487)</f>
        <v/>
      </c>
      <c r="H487" s="193" t="str">
        <f>IF('Observaciones-SMP'!H487="","",'Observaciones-SMP'!H487)</f>
        <v/>
      </c>
      <c r="I487" s="193" t="str">
        <f>IF('Observaciones-SMP'!I487="","",'Observaciones-SMP'!I487)</f>
        <v/>
      </c>
      <c r="J487" s="193" t="str">
        <f>IF('Observaciones-SMP'!J487="","",'Observaciones-SMP'!J487)</f>
        <v/>
      </c>
      <c r="K487" s="193" t="str">
        <f>IF('Observaciones-SMP'!K487="","",'Observaciones-SMP'!K487)</f>
        <v/>
      </c>
      <c r="L487" s="193" t="str">
        <f>IF('Observaciones-SMP'!L487="","",'Observaciones-SMP'!L487)</f>
        <v/>
      </c>
      <c r="M487" s="193" t="str">
        <f>IF('Observaciones-SMP'!M487="","",'Observaciones-SMP'!M487)</f>
        <v/>
      </c>
      <c r="N487" s="193" t="str">
        <f>IF('Observaciones-SMP'!N487="","",'Observaciones-SMP'!N487)</f>
        <v/>
      </c>
      <c r="O487" s="193" t="str">
        <f>IF('Observaciones-SMP'!O487="","",'Observaciones-SMP'!O487)</f>
        <v/>
      </c>
      <c r="P487" s="193" t="str">
        <f>IF('Observaciones-SMP'!P487="","",'Observaciones-SMP'!P487)</f>
        <v/>
      </c>
      <c r="Q487" s="257" t="str">
        <f>IF('Observaciones-SMP'!S487="","",'Observaciones-SMP'!S487)</f>
        <v/>
      </c>
      <c r="R487" s="193" t="str">
        <f>IF('Observaciones-SMP'!T487="","",'Observaciones-SMP'!T487)</f>
        <v/>
      </c>
      <c r="S487" s="193" t="str">
        <f>""</f>
        <v/>
      </c>
      <c r="T487" s="193" t="str">
        <f>""</f>
        <v/>
      </c>
      <c r="U487" s="193" t="str">
        <f t="shared" si="28"/>
        <v/>
      </c>
      <c r="V487" s="193" t="str">
        <f>""</f>
        <v/>
      </c>
      <c r="W487" s="193" t="str">
        <f>""</f>
        <v/>
      </c>
      <c r="X487" s="258" t="str">
        <f t="shared" si="29"/>
        <v/>
      </c>
      <c r="Y487" s="258" t="str">
        <f t="shared" si="30"/>
        <v/>
      </c>
      <c r="Z487" s="193" t="str">
        <f>IF(A487="","",IF(COUNTIF('Observaciones-SMP'!$A$2:$A$1001,A487)&gt;1,1,0))</f>
        <v/>
      </c>
      <c r="AA487" s="193" t="str">
        <f t="shared" si="31"/>
        <v/>
      </c>
    </row>
    <row r="488" spans="1:27" ht="13.5" customHeight="1" x14ac:dyDescent="0.3">
      <c r="A488" s="193" t="str">
        <f>IF('Observaciones-SMP'!A488="","",'Observaciones-SMP'!A488)</f>
        <v/>
      </c>
      <c r="B488" s="257" t="str">
        <f>IF('Observaciones-SMP'!B488="","",'Observaciones-SMP'!B488)</f>
        <v/>
      </c>
      <c r="C488" s="193" t="str">
        <f>IF('Observaciones-SMP'!C488="","",'Observaciones-SMP'!C488)</f>
        <v/>
      </c>
      <c r="D488" s="193" t="str">
        <f>IF('Observaciones-SMP'!D488="","",'Observaciones-SMP'!D488)</f>
        <v/>
      </c>
      <c r="E488" s="193" t="str">
        <f>IF('Observaciones-SMP'!E488="","",'Observaciones-SMP'!E488)</f>
        <v/>
      </c>
      <c r="F488" s="193" t="str">
        <f>IF('Observaciones-SMP'!F488="","",'Observaciones-SMP'!F488)</f>
        <v/>
      </c>
      <c r="G488" s="193" t="str">
        <f>IF('Observaciones-SMP'!G488="","",'Observaciones-SMP'!G488)</f>
        <v/>
      </c>
      <c r="H488" s="193" t="str">
        <f>IF('Observaciones-SMP'!H488="","",'Observaciones-SMP'!H488)</f>
        <v/>
      </c>
      <c r="I488" s="193" t="str">
        <f>IF('Observaciones-SMP'!I488="","",'Observaciones-SMP'!I488)</f>
        <v/>
      </c>
      <c r="J488" s="193" t="str">
        <f>IF('Observaciones-SMP'!J488="","",'Observaciones-SMP'!J488)</f>
        <v/>
      </c>
      <c r="K488" s="193" t="str">
        <f>IF('Observaciones-SMP'!K488="","",'Observaciones-SMP'!K488)</f>
        <v/>
      </c>
      <c r="L488" s="193" t="str">
        <f>IF('Observaciones-SMP'!L488="","",'Observaciones-SMP'!L488)</f>
        <v/>
      </c>
      <c r="M488" s="193" t="str">
        <f>IF('Observaciones-SMP'!M488="","",'Observaciones-SMP'!M488)</f>
        <v/>
      </c>
      <c r="N488" s="193" t="str">
        <f>IF('Observaciones-SMP'!N488="","",'Observaciones-SMP'!N488)</f>
        <v/>
      </c>
      <c r="O488" s="193" t="str">
        <f>IF('Observaciones-SMP'!O488="","",'Observaciones-SMP'!O488)</f>
        <v/>
      </c>
      <c r="P488" s="193" t="str">
        <f>IF('Observaciones-SMP'!P488="","",'Observaciones-SMP'!P488)</f>
        <v/>
      </c>
      <c r="Q488" s="257" t="str">
        <f>IF('Observaciones-SMP'!S488="","",'Observaciones-SMP'!S488)</f>
        <v/>
      </c>
      <c r="R488" s="193" t="str">
        <f>IF('Observaciones-SMP'!T488="","",'Observaciones-SMP'!T488)</f>
        <v/>
      </c>
      <c r="S488" s="193" t="str">
        <f>""</f>
        <v/>
      </c>
      <c r="T488" s="193" t="str">
        <f>""</f>
        <v/>
      </c>
      <c r="U488" s="193" t="str">
        <f t="shared" si="28"/>
        <v/>
      </c>
      <c r="V488" s="193" t="str">
        <f>""</f>
        <v/>
      </c>
      <c r="W488" s="193" t="str">
        <f>""</f>
        <v/>
      </c>
      <c r="X488" s="258" t="str">
        <f t="shared" si="29"/>
        <v/>
      </c>
      <c r="Y488" s="258" t="str">
        <f t="shared" si="30"/>
        <v/>
      </c>
      <c r="Z488" s="193" t="str">
        <f>IF(A488="","",IF(COUNTIF('Observaciones-SMP'!$A$2:$A$1001,A488)&gt;1,1,0))</f>
        <v/>
      </c>
      <c r="AA488" s="193" t="str">
        <f t="shared" si="31"/>
        <v/>
      </c>
    </row>
    <row r="489" spans="1:27" ht="13.5" customHeight="1" x14ac:dyDescent="0.3">
      <c r="A489" s="193" t="str">
        <f>IF('Observaciones-SMP'!A489="","",'Observaciones-SMP'!A489)</f>
        <v/>
      </c>
      <c r="B489" s="257" t="str">
        <f>IF('Observaciones-SMP'!B489="","",'Observaciones-SMP'!B489)</f>
        <v/>
      </c>
      <c r="C489" s="193" t="str">
        <f>IF('Observaciones-SMP'!C489="","",'Observaciones-SMP'!C489)</f>
        <v/>
      </c>
      <c r="D489" s="193" t="str">
        <f>IF('Observaciones-SMP'!D489="","",'Observaciones-SMP'!D489)</f>
        <v/>
      </c>
      <c r="E489" s="193" t="str">
        <f>IF('Observaciones-SMP'!E489="","",'Observaciones-SMP'!E489)</f>
        <v/>
      </c>
      <c r="F489" s="193" t="str">
        <f>IF('Observaciones-SMP'!F489="","",'Observaciones-SMP'!F489)</f>
        <v/>
      </c>
      <c r="G489" s="193" t="str">
        <f>IF('Observaciones-SMP'!G489="","",'Observaciones-SMP'!G489)</f>
        <v/>
      </c>
      <c r="H489" s="193" t="str">
        <f>IF('Observaciones-SMP'!H489="","",'Observaciones-SMP'!H489)</f>
        <v/>
      </c>
      <c r="I489" s="193" t="str">
        <f>IF('Observaciones-SMP'!I489="","",'Observaciones-SMP'!I489)</f>
        <v/>
      </c>
      <c r="J489" s="193" t="str">
        <f>IF('Observaciones-SMP'!J489="","",'Observaciones-SMP'!J489)</f>
        <v/>
      </c>
      <c r="K489" s="193" t="str">
        <f>IF('Observaciones-SMP'!K489="","",'Observaciones-SMP'!K489)</f>
        <v/>
      </c>
      <c r="L489" s="193" t="str">
        <f>IF('Observaciones-SMP'!L489="","",'Observaciones-SMP'!L489)</f>
        <v/>
      </c>
      <c r="M489" s="193" t="str">
        <f>IF('Observaciones-SMP'!M489="","",'Observaciones-SMP'!M489)</f>
        <v/>
      </c>
      <c r="N489" s="193" t="str">
        <f>IF('Observaciones-SMP'!N489="","",'Observaciones-SMP'!N489)</f>
        <v/>
      </c>
      <c r="O489" s="193" t="str">
        <f>IF('Observaciones-SMP'!O489="","",'Observaciones-SMP'!O489)</f>
        <v/>
      </c>
      <c r="P489" s="193" t="str">
        <f>IF('Observaciones-SMP'!P489="","",'Observaciones-SMP'!P489)</f>
        <v/>
      </c>
      <c r="Q489" s="257" t="str">
        <f>IF('Observaciones-SMP'!S489="","",'Observaciones-SMP'!S489)</f>
        <v/>
      </c>
      <c r="R489" s="193" t="str">
        <f>IF('Observaciones-SMP'!T489="","",'Observaciones-SMP'!T489)</f>
        <v/>
      </c>
      <c r="S489" s="193" t="str">
        <f>""</f>
        <v/>
      </c>
      <c r="T489" s="193" t="str">
        <f>""</f>
        <v/>
      </c>
      <c r="U489" s="193" t="str">
        <f t="shared" si="28"/>
        <v/>
      </c>
      <c r="V489" s="193" t="str">
        <f>""</f>
        <v/>
      </c>
      <c r="W489" s="193" t="str">
        <f>""</f>
        <v/>
      </c>
      <c r="X489" s="258" t="str">
        <f t="shared" si="29"/>
        <v/>
      </c>
      <c r="Y489" s="258" t="str">
        <f t="shared" si="30"/>
        <v/>
      </c>
      <c r="Z489" s="193" t="str">
        <f>IF(A489="","",IF(COUNTIF('Observaciones-SMP'!$A$2:$A$1001,A489)&gt;1,1,0))</f>
        <v/>
      </c>
      <c r="AA489" s="193" t="str">
        <f t="shared" si="31"/>
        <v/>
      </c>
    </row>
    <row r="490" spans="1:27" ht="13.5" customHeight="1" x14ac:dyDescent="0.3">
      <c r="A490" s="193" t="str">
        <f>IF('Observaciones-SMP'!A490="","",'Observaciones-SMP'!A490)</f>
        <v/>
      </c>
      <c r="B490" s="257" t="str">
        <f>IF('Observaciones-SMP'!B490="","",'Observaciones-SMP'!B490)</f>
        <v/>
      </c>
      <c r="C490" s="193" t="str">
        <f>IF('Observaciones-SMP'!C490="","",'Observaciones-SMP'!C490)</f>
        <v/>
      </c>
      <c r="D490" s="193" t="str">
        <f>IF('Observaciones-SMP'!D490="","",'Observaciones-SMP'!D490)</f>
        <v/>
      </c>
      <c r="E490" s="193" t="str">
        <f>IF('Observaciones-SMP'!E490="","",'Observaciones-SMP'!E490)</f>
        <v/>
      </c>
      <c r="F490" s="193" t="str">
        <f>IF('Observaciones-SMP'!F490="","",'Observaciones-SMP'!F490)</f>
        <v/>
      </c>
      <c r="G490" s="193" t="str">
        <f>IF('Observaciones-SMP'!G490="","",'Observaciones-SMP'!G490)</f>
        <v/>
      </c>
      <c r="H490" s="193" t="str">
        <f>IF('Observaciones-SMP'!H490="","",'Observaciones-SMP'!H490)</f>
        <v/>
      </c>
      <c r="I490" s="193" t="str">
        <f>IF('Observaciones-SMP'!I490="","",'Observaciones-SMP'!I490)</f>
        <v/>
      </c>
      <c r="J490" s="193" t="str">
        <f>IF('Observaciones-SMP'!J490="","",'Observaciones-SMP'!J490)</f>
        <v/>
      </c>
      <c r="K490" s="193" t="str">
        <f>IF('Observaciones-SMP'!K490="","",'Observaciones-SMP'!K490)</f>
        <v/>
      </c>
      <c r="L490" s="193" t="str">
        <f>IF('Observaciones-SMP'!L490="","",'Observaciones-SMP'!L490)</f>
        <v/>
      </c>
      <c r="M490" s="193" t="str">
        <f>IF('Observaciones-SMP'!M490="","",'Observaciones-SMP'!M490)</f>
        <v/>
      </c>
      <c r="N490" s="193" t="str">
        <f>IF('Observaciones-SMP'!N490="","",'Observaciones-SMP'!N490)</f>
        <v/>
      </c>
      <c r="O490" s="193" t="str">
        <f>IF('Observaciones-SMP'!O490="","",'Observaciones-SMP'!O490)</f>
        <v/>
      </c>
      <c r="P490" s="193" t="str">
        <f>IF('Observaciones-SMP'!P490="","",'Observaciones-SMP'!P490)</f>
        <v/>
      </c>
      <c r="Q490" s="257" t="str">
        <f>IF('Observaciones-SMP'!S490="","",'Observaciones-SMP'!S490)</f>
        <v/>
      </c>
      <c r="R490" s="193" t="str">
        <f>IF('Observaciones-SMP'!T490="","",'Observaciones-SMP'!T490)</f>
        <v/>
      </c>
      <c r="S490" s="193" t="str">
        <f>""</f>
        <v/>
      </c>
      <c r="T490" s="193" t="str">
        <f>""</f>
        <v/>
      </c>
      <c r="U490" s="193" t="str">
        <f t="shared" si="28"/>
        <v/>
      </c>
      <c r="V490" s="193" t="str">
        <f>""</f>
        <v/>
      </c>
      <c r="W490" s="193" t="str">
        <f>""</f>
        <v/>
      </c>
      <c r="X490" s="258" t="str">
        <f t="shared" si="29"/>
        <v/>
      </c>
      <c r="Y490" s="258" t="str">
        <f t="shared" si="30"/>
        <v/>
      </c>
      <c r="Z490" s="193" t="str">
        <f>IF(A490="","",IF(COUNTIF('Observaciones-SMP'!$A$2:$A$1001,A490)&gt;1,1,0))</f>
        <v/>
      </c>
      <c r="AA490" s="193" t="str">
        <f t="shared" si="31"/>
        <v/>
      </c>
    </row>
    <row r="491" spans="1:27" ht="13.5" customHeight="1" x14ac:dyDescent="0.3">
      <c r="A491" s="193" t="str">
        <f>IF('Observaciones-SMP'!A491="","",'Observaciones-SMP'!A491)</f>
        <v/>
      </c>
      <c r="B491" s="257" t="str">
        <f>IF('Observaciones-SMP'!B491="","",'Observaciones-SMP'!B491)</f>
        <v/>
      </c>
      <c r="C491" s="193" t="str">
        <f>IF('Observaciones-SMP'!C491="","",'Observaciones-SMP'!C491)</f>
        <v/>
      </c>
      <c r="D491" s="193" t="str">
        <f>IF('Observaciones-SMP'!D491="","",'Observaciones-SMP'!D491)</f>
        <v/>
      </c>
      <c r="E491" s="193" t="str">
        <f>IF('Observaciones-SMP'!E491="","",'Observaciones-SMP'!E491)</f>
        <v/>
      </c>
      <c r="F491" s="193" t="str">
        <f>IF('Observaciones-SMP'!F491="","",'Observaciones-SMP'!F491)</f>
        <v/>
      </c>
      <c r="G491" s="193" t="str">
        <f>IF('Observaciones-SMP'!G491="","",'Observaciones-SMP'!G491)</f>
        <v/>
      </c>
      <c r="H491" s="193" t="str">
        <f>IF('Observaciones-SMP'!H491="","",'Observaciones-SMP'!H491)</f>
        <v/>
      </c>
      <c r="I491" s="193" t="str">
        <f>IF('Observaciones-SMP'!I491="","",'Observaciones-SMP'!I491)</f>
        <v/>
      </c>
      <c r="J491" s="193" t="str">
        <f>IF('Observaciones-SMP'!J491="","",'Observaciones-SMP'!J491)</f>
        <v/>
      </c>
      <c r="K491" s="193" t="str">
        <f>IF('Observaciones-SMP'!K491="","",'Observaciones-SMP'!K491)</f>
        <v/>
      </c>
      <c r="L491" s="193" t="str">
        <f>IF('Observaciones-SMP'!L491="","",'Observaciones-SMP'!L491)</f>
        <v/>
      </c>
      <c r="M491" s="193" t="str">
        <f>IF('Observaciones-SMP'!M491="","",'Observaciones-SMP'!M491)</f>
        <v/>
      </c>
      <c r="N491" s="193" t="str">
        <f>IF('Observaciones-SMP'!N491="","",'Observaciones-SMP'!N491)</f>
        <v/>
      </c>
      <c r="O491" s="193" t="str">
        <f>IF('Observaciones-SMP'!O491="","",'Observaciones-SMP'!O491)</f>
        <v/>
      </c>
      <c r="P491" s="193" t="str">
        <f>IF('Observaciones-SMP'!P491="","",'Observaciones-SMP'!P491)</f>
        <v/>
      </c>
      <c r="Q491" s="257" t="str">
        <f>IF('Observaciones-SMP'!S491="","",'Observaciones-SMP'!S491)</f>
        <v/>
      </c>
      <c r="R491" s="193" t="str">
        <f>IF('Observaciones-SMP'!T491="","",'Observaciones-SMP'!T491)</f>
        <v/>
      </c>
      <c r="S491" s="193" t="str">
        <f>""</f>
        <v/>
      </c>
      <c r="T491" s="193" t="str">
        <f>""</f>
        <v/>
      </c>
      <c r="U491" s="193" t="str">
        <f t="shared" si="28"/>
        <v/>
      </c>
      <c r="V491" s="193" t="str">
        <f>""</f>
        <v/>
      </c>
      <c r="W491" s="193" t="str">
        <f>""</f>
        <v/>
      </c>
      <c r="X491" s="258" t="str">
        <f t="shared" si="29"/>
        <v/>
      </c>
      <c r="Y491" s="258" t="str">
        <f t="shared" si="30"/>
        <v/>
      </c>
      <c r="Z491" s="193" t="str">
        <f>IF(A491="","",IF(COUNTIF('Observaciones-SMP'!$A$2:$A$1001,A491)&gt;1,1,0))</f>
        <v/>
      </c>
      <c r="AA491" s="193" t="str">
        <f t="shared" si="31"/>
        <v/>
      </c>
    </row>
    <row r="492" spans="1:27" ht="13.5" customHeight="1" x14ac:dyDescent="0.3">
      <c r="A492" s="193" t="str">
        <f>IF('Observaciones-SMP'!A492="","",'Observaciones-SMP'!A492)</f>
        <v/>
      </c>
      <c r="B492" s="257" t="str">
        <f>IF('Observaciones-SMP'!B492="","",'Observaciones-SMP'!B492)</f>
        <v/>
      </c>
      <c r="C492" s="193" t="str">
        <f>IF('Observaciones-SMP'!C492="","",'Observaciones-SMP'!C492)</f>
        <v/>
      </c>
      <c r="D492" s="193" t="str">
        <f>IF('Observaciones-SMP'!D492="","",'Observaciones-SMP'!D492)</f>
        <v/>
      </c>
      <c r="E492" s="193" t="str">
        <f>IF('Observaciones-SMP'!E492="","",'Observaciones-SMP'!E492)</f>
        <v/>
      </c>
      <c r="F492" s="193" t="str">
        <f>IF('Observaciones-SMP'!F492="","",'Observaciones-SMP'!F492)</f>
        <v/>
      </c>
      <c r="G492" s="193" t="str">
        <f>IF('Observaciones-SMP'!G492="","",'Observaciones-SMP'!G492)</f>
        <v/>
      </c>
      <c r="H492" s="193" t="str">
        <f>IF('Observaciones-SMP'!H492="","",'Observaciones-SMP'!H492)</f>
        <v/>
      </c>
      <c r="I492" s="193" t="str">
        <f>IF('Observaciones-SMP'!I492="","",'Observaciones-SMP'!I492)</f>
        <v/>
      </c>
      <c r="J492" s="193" t="str">
        <f>IF('Observaciones-SMP'!J492="","",'Observaciones-SMP'!J492)</f>
        <v/>
      </c>
      <c r="K492" s="193" t="str">
        <f>IF('Observaciones-SMP'!K492="","",'Observaciones-SMP'!K492)</f>
        <v/>
      </c>
      <c r="L492" s="193" t="str">
        <f>IF('Observaciones-SMP'!L492="","",'Observaciones-SMP'!L492)</f>
        <v/>
      </c>
      <c r="M492" s="193" t="str">
        <f>IF('Observaciones-SMP'!M492="","",'Observaciones-SMP'!M492)</f>
        <v/>
      </c>
      <c r="N492" s="193" t="str">
        <f>IF('Observaciones-SMP'!N492="","",'Observaciones-SMP'!N492)</f>
        <v/>
      </c>
      <c r="O492" s="193" t="str">
        <f>IF('Observaciones-SMP'!O492="","",'Observaciones-SMP'!O492)</f>
        <v/>
      </c>
      <c r="P492" s="193" t="str">
        <f>IF('Observaciones-SMP'!P492="","",'Observaciones-SMP'!P492)</f>
        <v/>
      </c>
      <c r="Q492" s="257" t="str">
        <f>IF('Observaciones-SMP'!S492="","",'Observaciones-SMP'!S492)</f>
        <v/>
      </c>
      <c r="R492" s="193" t="str">
        <f>IF('Observaciones-SMP'!T492="","",'Observaciones-SMP'!T492)</f>
        <v/>
      </c>
      <c r="S492" s="193" t="str">
        <f>""</f>
        <v/>
      </c>
      <c r="T492" s="193" t="str">
        <f>""</f>
        <v/>
      </c>
      <c r="U492" s="193" t="str">
        <f t="shared" si="28"/>
        <v/>
      </c>
      <c r="V492" s="193" t="str">
        <f>""</f>
        <v/>
      </c>
      <c r="W492" s="193" t="str">
        <f>""</f>
        <v/>
      </c>
      <c r="X492" s="258" t="str">
        <f t="shared" si="29"/>
        <v/>
      </c>
      <c r="Y492" s="258" t="str">
        <f t="shared" si="30"/>
        <v/>
      </c>
      <c r="Z492" s="193" t="str">
        <f>IF(A492="","",IF(COUNTIF('Observaciones-SMP'!$A$2:$A$1001,A492)&gt;1,1,0))</f>
        <v/>
      </c>
      <c r="AA492" s="193" t="str">
        <f t="shared" si="31"/>
        <v/>
      </c>
    </row>
    <row r="493" spans="1:27" ht="13.5" customHeight="1" x14ac:dyDescent="0.3">
      <c r="A493" s="193" t="str">
        <f>IF('Observaciones-SMP'!A493="","",'Observaciones-SMP'!A493)</f>
        <v/>
      </c>
      <c r="B493" s="257" t="str">
        <f>IF('Observaciones-SMP'!B493="","",'Observaciones-SMP'!B493)</f>
        <v/>
      </c>
      <c r="C493" s="193" t="str">
        <f>IF('Observaciones-SMP'!C493="","",'Observaciones-SMP'!C493)</f>
        <v/>
      </c>
      <c r="D493" s="193" t="str">
        <f>IF('Observaciones-SMP'!D493="","",'Observaciones-SMP'!D493)</f>
        <v/>
      </c>
      <c r="E493" s="193" t="str">
        <f>IF('Observaciones-SMP'!E493="","",'Observaciones-SMP'!E493)</f>
        <v/>
      </c>
      <c r="F493" s="193" t="str">
        <f>IF('Observaciones-SMP'!F493="","",'Observaciones-SMP'!F493)</f>
        <v/>
      </c>
      <c r="G493" s="193" t="str">
        <f>IF('Observaciones-SMP'!G493="","",'Observaciones-SMP'!G493)</f>
        <v/>
      </c>
      <c r="H493" s="193" t="str">
        <f>IF('Observaciones-SMP'!H493="","",'Observaciones-SMP'!H493)</f>
        <v/>
      </c>
      <c r="I493" s="193" t="str">
        <f>IF('Observaciones-SMP'!I493="","",'Observaciones-SMP'!I493)</f>
        <v/>
      </c>
      <c r="J493" s="193" t="str">
        <f>IF('Observaciones-SMP'!J493="","",'Observaciones-SMP'!J493)</f>
        <v/>
      </c>
      <c r="K493" s="193" t="str">
        <f>IF('Observaciones-SMP'!K493="","",'Observaciones-SMP'!K493)</f>
        <v/>
      </c>
      <c r="L493" s="193" t="str">
        <f>IF('Observaciones-SMP'!L493="","",'Observaciones-SMP'!L493)</f>
        <v/>
      </c>
      <c r="M493" s="193" t="str">
        <f>IF('Observaciones-SMP'!M493="","",'Observaciones-SMP'!M493)</f>
        <v/>
      </c>
      <c r="N493" s="193" t="str">
        <f>IF('Observaciones-SMP'!N493="","",'Observaciones-SMP'!N493)</f>
        <v/>
      </c>
      <c r="O493" s="193" t="str">
        <f>IF('Observaciones-SMP'!O493="","",'Observaciones-SMP'!O493)</f>
        <v/>
      </c>
      <c r="P493" s="193" t="str">
        <f>IF('Observaciones-SMP'!P493="","",'Observaciones-SMP'!P493)</f>
        <v/>
      </c>
      <c r="Q493" s="257" t="str">
        <f>IF('Observaciones-SMP'!S493="","",'Observaciones-SMP'!S493)</f>
        <v/>
      </c>
      <c r="R493" s="193" t="str">
        <f>IF('Observaciones-SMP'!T493="","",'Observaciones-SMP'!T493)</f>
        <v/>
      </c>
      <c r="S493" s="193" t="str">
        <f>""</f>
        <v/>
      </c>
      <c r="T493" s="193" t="str">
        <f>""</f>
        <v/>
      </c>
      <c r="U493" s="193" t="str">
        <f t="shared" si="28"/>
        <v/>
      </c>
      <c r="V493" s="193" t="str">
        <f>""</f>
        <v/>
      </c>
      <c r="W493" s="193" t="str">
        <f>""</f>
        <v/>
      </c>
      <c r="X493" s="258" t="str">
        <f t="shared" si="29"/>
        <v/>
      </c>
      <c r="Y493" s="258" t="str">
        <f t="shared" si="30"/>
        <v/>
      </c>
      <c r="Z493" s="193" t="str">
        <f>IF(A493="","",IF(COUNTIF('Observaciones-SMP'!$A$2:$A$1001,A493)&gt;1,1,0))</f>
        <v/>
      </c>
      <c r="AA493" s="193" t="str">
        <f t="shared" si="31"/>
        <v/>
      </c>
    </row>
    <row r="494" spans="1:27" ht="13.5" customHeight="1" x14ac:dyDescent="0.3">
      <c r="A494" s="193" t="str">
        <f>IF('Observaciones-SMP'!A494="","",'Observaciones-SMP'!A494)</f>
        <v/>
      </c>
      <c r="B494" s="257" t="str">
        <f>IF('Observaciones-SMP'!B494="","",'Observaciones-SMP'!B494)</f>
        <v/>
      </c>
      <c r="C494" s="193" t="str">
        <f>IF('Observaciones-SMP'!C494="","",'Observaciones-SMP'!C494)</f>
        <v/>
      </c>
      <c r="D494" s="193" t="str">
        <f>IF('Observaciones-SMP'!D494="","",'Observaciones-SMP'!D494)</f>
        <v/>
      </c>
      <c r="E494" s="193" t="str">
        <f>IF('Observaciones-SMP'!E494="","",'Observaciones-SMP'!E494)</f>
        <v/>
      </c>
      <c r="F494" s="193" t="str">
        <f>IF('Observaciones-SMP'!F494="","",'Observaciones-SMP'!F494)</f>
        <v/>
      </c>
      <c r="G494" s="193" t="str">
        <f>IF('Observaciones-SMP'!G494="","",'Observaciones-SMP'!G494)</f>
        <v/>
      </c>
      <c r="H494" s="193" t="str">
        <f>IF('Observaciones-SMP'!H494="","",'Observaciones-SMP'!H494)</f>
        <v/>
      </c>
      <c r="I494" s="193" t="str">
        <f>IF('Observaciones-SMP'!I494="","",'Observaciones-SMP'!I494)</f>
        <v/>
      </c>
      <c r="J494" s="193" t="str">
        <f>IF('Observaciones-SMP'!J494="","",'Observaciones-SMP'!J494)</f>
        <v/>
      </c>
      <c r="K494" s="193" t="str">
        <f>IF('Observaciones-SMP'!K494="","",'Observaciones-SMP'!K494)</f>
        <v/>
      </c>
      <c r="L494" s="193" t="str">
        <f>IF('Observaciones-SMP'!L494="","",'Observaciones-SMP'!L494)</f>
        <v/>
      </c>
      <c r="M494" s="193" t="str">
        <f>IF('Observaciones-SMP'!M494="","",'Observaciones-SMP'!M494)</f>
        <v/>
      </c>
      <c r="N494" s="193" t="str">
        <f>IF('Observaciones-SMP'!N494="","",'Observaciones-SMP'!N494)</f>
        <v/>
      </c>
      <c r="O494" s="193" t="str">
        <f>IF('Observaciones-SMP'!O494="","",'Observaciones-SMP'!O494)</f>
        <v/>
      </c>
      <c r="P494" s="193" t="str">
        <f>IF('Observaciones-SMP'!P494="","",'Observaciones-SMP'!P494)</f>
        <v/>
      </c>
      <c r="Q494" s="257" t="str">
        <f>IF('Observaciones-SMP'!S494="","",'Observaciones-SMP'!S494)</f>
        <v/>
      </c>
      <c r="R494" s="193" t="str">
        <f>IF('Observaciones-SMP'!T494="","",'Observaciones-SMP'!T494)</f>
        <v/>
      </c>
      <c r="S494" s="193" t="str">
        <f>""</f>
        <v/>
      </c>
      <c r="T494" s="193" t="str">
        <f>""</f>
        <v/>
      </c>
      <c r="U494" s="193" t="str">
        <f t="shared" si="28"/>
        <v/>
      </c>
      <c r="V494" s="193" t="str">
        <f>""</f>
        <v/>
      </c>
      <c r="W494" s="193" t="str">
        <f>""</f>
        <v/>
      </c>
      <c r="X494" s="258" t="str">
        <f t="shared" si="29"/>
        <v/>
      </c>
      <c r="Y494" s="258" t="str">
        <f t="shared" si="30"/>
        <v/>
      </c>
      <c r="Z494" s="193" t="str">
        <f>IF(A494="","",IF(COUNTIF('Observaciones-SMP'!$A$2:$A$1001,A494)&gt;1,1,0))</f>
        <v/>
      </c>
      <c r="AA494" s="193" t="str">
        <f t="shared" si="31"/>
        <v/>
      </c>
    </row>
    <row r="495" spans="1:27" ht="13.5" customHeight="1" x14ac:dyDescent="0.3">
      <c r="A495" s="193" t="str">
        <f>IF('Observaciones-SMP'!A495="","",'Observaciones-SMP'!A495)</f>
        <v/>
      </c>
      <c r="B495" s="257" t="str">
        <f>IF('Observaciones-SMP'!B495="","",'Observaciones-SMP'!B495)</f>
        <v/>
      </c>
      <c r="C495" s="193" t="str">
        <f>IF('Observaciones-SMP'!C495="","",'Observaciones-SMP'!C495)</f>
        <v/>
      </c>
      <c r="D495" s="193" t="str">
        <f>IF('Observaciones-SMP'!D495="","",'Observaciones-SMP'!D495)</f>
        <v/>
      </c>
      <c r="E495" s="193" t="str">
        <f>IF('Observaciones-SMP'!E495="","",'Observaciones-SMP'!E495)</f>
        <v/>
      </c>
      <c r="F495" s="193" t="str">
        <f>IF('Observaciones-SMP'!F495="","",'Observaciones-SMP'!F495)</f>
        <v/>
      </c>
      <c r="G495" s="193" t="str">
        <f>IF('Observaciones-SMP'!G495="","",'Observaciones-SMP'!G495)</f>
        <v/>
      </c>
      <c r="H495" s="193" t="str">
        <f>IF('Observaciones-SMP'!H495="","",'Observaciones-SMP'!H495)</f>
        <v/>
      </c>
      <c r="I495" s="193" t="str">
        <f>IF('Observaciones-SMP'!I495="","",'Observaciones-SMP'!I495)</f>
        <v/>
      </c>
      <c r="J495" s="193" t="str">
        <f>IF('Observaciones-SMP'!J495="","",'Observaciones-SMP'!J495)</f>
        <v/>
      </c>
      <c r="K495" s="193" t="str">
        <f>IF('Observaciones-SMP'!K495="","",'Observaciones-SMP'!K495)</f>
        <v/>
      </c>
      <c r="L495" s="193" t="str">
        <f>IF('Observaciones-SMP'!L495="","",'Observaciones-SMP'!L495)</f>
        <v/>
      </c>
      <c r="M495" s="193" t="str">
        <f>IF('Observaciones-SMP'!M495="","",'Observaciones-SMP'!M495)</f>
        <v/>
      </c>
      <c r="N495" s="193" t="str">
        <f>IF('Observaciones-SMP'!N495="","",'Observaciones-SMP'!N495)</f>
        <v/>
      </c>
      <c r="O495" s="193" t="str">
        <f>IF('Observaciones-SMP'!O495="","",'Observaciones-SMP'!O495)</f>
        <v/>
      </c>
      <c r="P495" s="193" t="str">
        <f>IF('Observaciones-SMP'!P495="","",'Observaciones-SMP'!P495)</f>
        <v/>
      </c>
      <c r="Q495" s="257" t="str">
        <f>IF('Observaciones-SMP'!S495="","",'Observaciones-SMP'!S495)</f>
        <v/>
      </c>
      <c r="R495" s="193" t="str">
        <f>IF('Observaciones-SMP'!T495="","",'Observaciones-SMP'!T495)</f>
        <v/>
      </c>
      <c r="S495" s="193" t="str">
        <f>""</f>
        <v/>
      </c>
      <c r="T495" s="193" t="str">
        <f>""</f>
        <v/>
      </c>
      <c r="U495" s="193" t="str">
        <f t="shared" si="28"/>
        <v/>
      </c>
      <c r="V495" s="193" t="str">
        <f>""</f>
        <v/>
      </c>
      <c r="W495" s="193" t="str">
        <f>""</f>
        <v/>
      </c>
      <c r="X495" s="258" t="str">
        <f t="shared" si="29"/>
        <v/>
      </c>
      <c r="Y495" s="258" t="str">
        <f t="shared" si="30"/>
        <v/>
      </c>
      <c r="Z495" s="193" t="str">
        <f>IF(A495="","",IF(COUNTIF('Observaciones-SMP'!$A$2:$A$1001,A495)&gt;1,1,0))</f>
        <v/>
      </c>
      <c r="AA495" s="193" t="str">
        <f t="shared" si="31"/>
        <v/>
      </c>
    </row>
    <row r="496" spans="1:27" ht="13.5" customHeight="1" x14ac:dyDescent="0.3">
      <c r="A496" s="193" t="str">
        <f>IF('Observaciones-SMP'!A496="","",'Observaciones-SMP'!A496)</f>
        <v/>
      </c>
      <c r="B496" s="257" t="str">
        <f>IF('Observaciones-SMP'!B496="","",'Observaciones-SMP'!B496)</f>
        <v/>
      </c>
      <c r="C496" s="193" t="str">
        <f>IF('Observaciones-SMP'!C496="","",'Observaciones-SMP'!C496)</f>
        <v/>
      </c>
      <c r="D496" s="193" t="str">
        <f>IF('Observaciones-SMP'!D496="","",'Observaciones-SMP'!D496)</f>
        <v/>
      </c>
      <c r="E496" s="193" t="str">
        <f>IF('Observaciones-SMP'!E496="","",'Observaciones-SMP'!E496)</f>
        <v/>
      </c>
      <c r="F496" s="193" t="str">
        <f>IF('Observaciones-SMP'!F496="","",'Observaciones-SMP'!F496)</f>
        <v/>
      </c>
      <c r="G496" s="193" t="str">
        <f>IF('Observaciones-SMP'!G496="","",'Observaciones-SMP'!G496)</f>
        <v/>
      </c>
      <c r="H496" s="193" t="str">
        <f>IF('Observaciones-SMP'!H496="","",'Observaciones-SMP'!H496)</f>
        <v/>
      </c>
      <c r="I496" s="193" t="str">
        <f>IF('Observaciones-SMP'!I496="","",'Observaciones-SMP'!I496)</f>
        <v/>
      </c>
      <c r="J496" s="193" t="str">
        <f>IF('Observaciones-SMP'!J496="","",'Observaciones-SMP'!J496)</f>
        <v/>
      </c>
      <c r="K496" s="193" t="str">
        <f>IF('Observaciones-SMP'!K496="","",'Observaciones-SMP'!K496)</f>
        <v/>
      </c>
      <c r="L496" s="193" t="str">
        <f>IF('Observaciones-SMP'!L496="","",'Observaciones-SMP'!L496)</f>
        <v/>
      </c>
      <c r="M496" s="193" t="str">
        <f>IF('Observaciones-SMP'!M496="","",'Observaciones-SMP'!M496)</f>
        <v/>
      </c>
      <c r="N496" s="193" t="str">
        <f>IF('Observaciones-SMP'!N496="","",'Observaciones-SMP'!N496)</f>
        <v/>
      </c>
      <c r="O496" s="193" t="str">
        <f>IF('Observaciones-SMP'!O496="","",'Observaciones-SMP'!O496)</f>
        <v/>
      </c>
      <c r="P496" s="193" t="str">
        <f>IF('Observaciones-SMP'!P496="","",'Observaciones-SMP'!P496)</f>
        <v/>
      </c>
      <c r="Q496" s="257" t="str">
        <f>IF('Observaciones-SMP'!S496="","",'Observaciones-SMP'!S496)</f>
        <v/>
      </c>
      <c r="R496" s="193" t="str">
        <f>IF('Observaciones-SMP'!T496="","",'Observaciones-SMP'!T496)</f>
        <v/>
      </c>
      <c r="S496" s="193" t="str">
        <f>""</f>
        <v/>
      </c>
      <c r="T496" s="193" t="str">
        <f>""</f>
        <v/>
      </c>
      <c r="U496" s="193" t="str">
        <f t="shared" si="28"/>
        <v/>
      </c>
      <c r="V496" s="193" t="str">
        <f>""</f>
        <v/>
      </c>
      <c r="W496" s="193" t="str">
        <f>""</f>
        <v/>
      </c>
      <c r="X496" s="258" t="str">
        <f t="shared" si="29"/>
        <v/>
      </c>
      <c r="Y496" s="258" t="str">
        <f t="shared" si="30"/>
        <v/>
      </c>
      <c r="Z496" s="193" t="str">
        <f>IF(A496="","",IF(COUNTIF('Observaciones-SMP'!$A$2:$A$1001,A496)&gt;1,1,0))</f>
        <v/>
      </c>
      <c r="AA496" s="193" t="str">
        <f t="shared" si="31"/>
        <v/>
      </c>
    </row>
    <row r="497" spans="1:27" ht="13.5" customHeight="1" x14ac:dyDescent="0.3">
      <c r="A497" s="193" t="str">
        <f>IF('Observaciones-SMP'!A497="","",'Observaciones-SMP'!A497)</f>
        <v/>
      </c>
      <c r="B497" s="257" t="str">
        <f>IF('Observaciones-SMP'!B497="","",'Observaciones-SMP'!B497)</f>
        <v/>
      </c>
      <c r="C497" s="193" t="str">
        <f>IF('Observaciones-SMP'!C497="","",'Observaciones-SMP'!C497)</f>
        <v/>
      </c>
      <c r="D497" s="193" t="str">
        <f>IF('Observaciones-SMP'!D497="","",'Observaciones-SMP'!D497)</f>
        <v/>
      </c>
      <c r="E497" s="193" t="str">
        <f>IF('Observaciones-SMP'!E497="","",'Observaciones-SMP'!E497)</f>
        <v/>
      </c>
      <c r="F497" s="193" t="str">
        <f>IF('Observaciones-SMP'!F497="","",'Observaciones-SMP'!F497)</f>
        <v/>
      </c>
      <c r="G497" s="193" t="str">
        <f>IF('Observaciones-SMP'!G497="","",'Observaciones-SMP'!G497)</f>
        <v/>
      </c>
      <c r="H497" s="193" t="str">
        <f>IF('Observaciones-SMP'!H497="","",'Observaciones-SMP'!H497)</f>
        <v/>
      </c>
      <c r="I497" s="193" t="str">
        <f>IF('Observaciones-SMP'!I497="","",'Observaciones-SMP'!I497)</f>
        <v/>
      </c>
      <c r="J497" s="193" t="str">
        <f>IF('Observaciones-SMP'!J497="","",'Observaciones-SMP'!J497)</f>
        <v/>
      </c>
      <c r="K497" s="193" t="str">
        <f>IF('Observaciones-SMP'!K497="","",'Observaciones-SMP'!K497)</f>
        <v/>
      </c>
      <c r="L497" s="193" t="str">
        <f>IF('Observaciones-SMP'!L497="","",'Observaciones-SMP'!L497)</f>
        <v/>
      </c>
      <c r="M497" s="193" t="str">
        <f>IF('Observaciones-SMP'!M497="","",'Observaciones-SMP'!M497)</f>
        <v/>
      </c>
      <c r="N497" s="193" t="str">
        <f>IF('Observaciones-SMP'!N497="","",'Observaciones-SMP'!N497)</f>
        <v/>
      </c>
      <c r="O497" s="193" t="str">
        <f>IF('Observaciones-SMP'!O497="","",'Observaciones-SMP'!O497)</f>
        <v/>
      </c>
      <c r="P497" s="193" t="str">
        <f>IF('Observaciones-SMP'!P497="","",'Observaciones-SMP'!P497)</f>
        <v/>
      </c>
      <c r="Q497" s="257" t="str">
        <f>IF('Observaciones-SMP'!S497="","",'Observaciones-SMP'!S497)</f>
        <v/>
      </c>
      <c r="R497" s="193" t="str">
        <f>IF('Observaciones-SMP'!T497="","",'Observaciones-SMP'!T497)</f>
        <v/>
      </c>
      <c r="S497" s="193" t="str">
        <f>""</f>
        <v/>
      </c>
      <c r="T497" s="193" t="str">
        <f>""</f>
        <v/>
      </c>
      <c r="U497" s="193" t="str">
        <f t="shared" si="28"/>
        <v/>
      </c>
      <c r="V497" s="193" t="str">
        <f>""</f>
        <v/>
      </c>
      <c r="W497" s="193" t="str">
        <f>""</f>
        <v/>
      </c>
      <c r="X497" s="258" t="str">
        <f t="shared" si="29"/>
        <v/>
      </c>
      <c r="Y497" s="258" t="str">
        <f t="shared" si="30"/>
        <v/>
      </c>
      <c r="Z497" s="193" t="str">
        <f>IF(A497="","",IF(COUNTIF('Observaciones-SMP'!$A$2:$A$1001,A497)&gt;1,1,0))</f>
        <v/>
      </c>
      <c r="AA497" s="193" t="str">
        <f t="shared" si="31"/>
        <v/>
      </c>
    </row>
    <row r="498" spans="1:27" ht="13.5" customHeight="1" x14ac:dyDescent="0.3">
      <c r="A498" s="193" t="str">
        <f>IF('Observaciones-SMP'!A498="","",'Observaciones-SMP'!A498)</f>
        <v/>
      </c>
      <c r="B498" s="257" t="str">
        <f>IF('Observaciones-SMP'!B498="","",'Observaciones-SMP'!B498)</f>
        <v/>
      </c>
      <c r="C498" s="193" t="str">
        <f>IF('Observaciones-SMP'!C498="","",'Observaciones-SMP'!C498)</f>
        <v/>
      </c>
      <c r="D498" s="193" t="str">
        <f>IF('Observaciones-SMP'!D498="","",'Observaciones-SMP'!D498)</f>
        <v/>
      </c>
      <c r="E498" s="193" t="str">
        <f>IF('Observaciones-SMP'!E498="","",'Observaciones-SMP'!E498)</f>
        <v/>
      </c>
      <c r="F498" s="193" t="str">
        <f>IF('Observaciones-SMP'!F498="","",'Observaciones-SMP'!F498)</f>
        <v/>
      </c>
      <c r="G498" s="193" t="str">
        <f>IF('Observaciones-SMP'!G498="","",'Observaciones-SMP'!G498)</f>
        <v/>
      </c>
      <c r="H498" s="193" t="str">
        <f>IF('Observaciones-SMP'!H498="","",'Observaciones-SMP'!H498)</f>
        <v/>
      </c>
      <c r="I498" s="193" t="str">
        <f>IF('Observaciones-SMP'!I498="","",'Observaciones-SMP'!I498)</f>
        <v/>
      </c>
      <c r="J498" s="193" t="str">
        <f>IF('Observaciones-SMP'!J498="","",'Observaciones-SMP'!J498)</f>
        <v/>
      </c>
      <c r="K498" s="193" t="str">
        <f>IF('Observaciones-SMP'!K498="","",'Observaciones-SMP'!K498)</f>
        <v/>
      </c>
      <c r="L498" s="193" t="str">
        <f>IF('Observaciones-SMP'!L498="","",'Observaciones-SMP'!L498)</f>
        <v/>
      </c>
      <c r="M498" s="193" t="str">
        <f>IF('Observaciones-SMP'!M498="","",'Observaciones-SMP'!M498)</f>
        <v/>
      </c>
      <c r="N498" s="193" t="str">
        <f>IF('Observaciones-SMP'!N498="","",'Observaciones-SMP'!N498)</f>
        <v/>
      </c>
      <c r="O498" s="193" t="str">
        <f>IF('Observaciones-SMP'!O498="","",'Observaciones-SMP'!O498)</f>
        <v/>
      </c>
      <c r="P498" s="193" t="str">
        <f>IF('Observaciones-SMP'!P498="","",'Observaciones-SMP'!P498)</f>
        <v/>
      </c>
      <c r="Q498" s="257" t="str">
        <f>IF('Observaciones-SMP'!S498="","",'Observaciones-SMP'!S498)</f>
        <v/>
      </c>
      <c r="R498" s="193" t="str">
        <f>IF('Observaciones-SMP'!T498="","",'Observaciones-SMP'!T498)</f>
        <v/>
      </c>
      <c r="S498" s="193" t="str">
        <f>""</f>
        <v/>
      </c>
      <c r="T498" s="193" t="str">
        <f>""</f>
        <v/>
      </c>
      <c r="U498" s="193" t="str">
        <f t="shared" si="28"/>
        <v/>
      </c>
      <c r="V498" s="193" t="str">
        <f>""</f>
        <v/>
      </c>
      <c r="W498" s="193" t="str">
        <f>""</f>
        <v/>
      </c>
      <c r="X498" s="258" t="str">
        <f t="shared" si="29"/>
        <v/>
      </c>
      <c r="Y498" s="258" t="str">
        <f t="shared" si="30"/>
        <v/>
      </c>
      <c r="Z498" s="193" t="str">
        <f>IF(A498="","",IF(COUNTIF('Observaciones-SMP'!$A$2:$A$1001,A498)&gt;1,1,0))</f>
        <v/>
      </c>
      <c r="AA498" s="193" t="str">
        <f t="shared" si="31"/>
        <v/>
      </c>
    </row>
    <row r="499" spans="1:27" ht="13.5" customHeight="1" x14ac:dyDescent="0.3">
      <c r="A499" s="193" t="str">
        <f>IF('Observaciones-SMP'!A499="","",'Observaciones-SMP'!A499)</f>
        <v/>
      </c>
      <c r="B499" s="257" t="str">
        <f>IF('Observaciones-SMP'!B499="","",'Observaciones-SMP'!B499)</f>
        <v/>
      </c>
      <c r="C499" s="193" t="str">
        <f>IF('Observaciones-SMP'!C499="","",'Observaciones-SMP'!C499)</f>
        <v/>
      </c>
      <c r="D499" s="193" t="str">
        <f>IF('Observaciones-SMP'!D499="","",'Observaciones-SMP'!D499)</f>
        <v/>
      </c>
      <c r="E499" s="193" t="str">
        <f>IF('Observaciones-SMP'!E499="","",'Observaciones-SMP'!E499)</f>
        <v/>
      </c>
      <c r="F499" s="193" t="str">
        <f>IF('Observaciones-SMP'!F499="","",'Observaciones-SMP'!F499)</f>
        <v/>
      </c>
      <c r="G499" s="193" t="str">
        <f>IF('Observaciones-SMP'!G499="","",'Observaciones-SMP'!G499)</f>
        <v/>
      </c>
      <c r="H499" s="193" t="str">
        <f>IF('Observaciones-SMP'!H499="","",'Observaciones-SMP'!H499)</f>
        <v/>
      </c>
      <c r="I499" s="193" t="str">
        <f>IF('Observaciones-SMP'!I499="","",'Observaciones-SMP'!I499)</f>
        <v/>
      </c>
      <c r="J499" s="193" t="str">
        <f>IF('Observaciones-SMP'!J499="","",'Observaciones-SMP'!J499)</f>
        <v/>
      </c>
      <c r="K499" s="193" t="str">
        <f>IF('Observaciones-SMP'!K499="","",'Observaciones-SMP'!K499)</f>
        <v/>
      </c>
      <c r="L499" s="193" t="str">
        <f>IF('Observaciones-SMP'!L499="","",'Observaciones-SMP'!L499)</f>
        <v/>
      </c>
      <c r="M499" s="193" t="str">
        <f>IF('Observaciones-SMP'!M499="","",'Observaciones-SMP'!M499)</f>
        <v/>
      </c>
      <c r="N499" s="193" t="str">
        <f>IF('Observaciones-SMP'!N499="","",'Observaciones-SMP'!N499)</f>
        <v/>
      </c>
      <c r="O499" s="193" t="str">
        <f>IF('Observaciones-SMP'!O499="","",'Observaciones-SMP'!O499)</f>
        <v/>
      </c>
      <c r="P499" s="193" t="str">
        <f>IF('Observaciones-SMP'!P499="","",'Observaciones-SMP'!P499)</f>
        <v/>
      </c>
      <c r="Q499" s="257" t="str">
        <f>IF('Observaciones-SMP'!S499="","",'Observaciones-SMP'!S499)</f>
        <v/>
      </c>
      <c r="R499" s="193" t="str">
        <f>IF('Observaciones-SMP'!T499="","",'Observaciones-SMP'!T499)</f>
        <v/>
      </c>
      <c r="S499" s="193" t="str">
        <f>""</f>
        <v/>
      </c>
      <c r="T499" s="193" t="str">
        <f>""</f>
        <v/>
      </c>
      <c r="U499" s="193" t="str">
        <f t="shared" si="28"/>
        <v/>
      </c>
      <c r="V499" s="193" t="str">
        <f>""</f>
        <v/>
      </c>
      <c r="W499" s="193" t="str">
        <f>""</f>
        <v/>
      </c>
      <c r="X499" s="258" t="str">
        <f t="shared" si="29"/>
        <v/>
      </c>
      <c r="Y499" s="258" t="str">
        <f t="shared" si="30"/>
        <v/>
      </c>
      <c r="Z499" s="193" t="str">
        <f>IF(A499="","",IF(COUNTIF('Observaciones-SMP'!$A$2:$A$1001,A499)&gt;1,1,0))</f>
        <v/>
      </c>
      <c r="AA499" s="193" t="str">
        <f t="shared" si="31"/>
        <v/>
      </c>
    </row>
    <row r="500" spans="1:27" ht="13.5" customHeight="1" x14ac:dyDescent="0.3">
      <c r="A500" s="193" t="str">
        <f>IF('Observaciones-SMP'!A500="","",'Observaciones-SMP'!A500)</f>
        <v/>
      </c>
      <c r="B500" s="257" t="str">
        <f>IF('Observaciones-SMP'!B500="","",'Observaciones-SMP'!B500)</f>
        <v/>
      </c>
      <c r="C500" s="193" t="str">
        <f>IF('Observaciones-SMP'!C500="","",'Observaciones-SMP'!C500)</f>
        <v/>
      </c>
      <c r="D500" s="193" t="str">
        <f>IF('Observaciones-SMP'!D500="","",'Observaciones-SMP'!D500)</f>
        <v/>
      </c>
      <c r="E500" s="193" t="str">
        <f>IF('Observaciones-SMP'!E500="","",'Observaciones-SMP'!E500)</f>
        <v/>
      </c>
      <c r="F500" s="193" t="str">
        <f>IF('Observaciones-SMP'!F500="","",'Observaciones-SMP'!F500)</f>
        <v/>
      </c>
      <c r="G500" s="193" t="str">
        <f>IF('Observaciones-SMP'!G500="","",'Observaciones-SMP'!G500)</f>
        <v/>
      </c>
      <c r="H500" s="193" t="str">
        <f>IF('Observaciones-SMP'!H500="","",'Observaciones-SMP'!H500)</f>
        <v/>
      </c>
      <c r="I500" s="193" t="str">
        <f>IF('Observaciones-SMP'!I500="","",'Observaciones-SMP'!I500)</f>
        <v/>
      </c>
      <c r="J500" s="193" t="str">
        <f>IF('Observaciones-SMP'!J500="","",'Observaciones-SMP'!J500)</f>
        <v/>
      </c>
      <c r="K500" s="193" t="str">
        <f>IF('Observaciones-SMP'!K500="","",'Observaciones-SMP'!K500)</f>
        <v/>
      </c>
      <c r="L500" s="193" t="str">
        <f>IF('Observaciones-SMP'!L500="","",'Observaciones-SMP'!L500)</f>
        <v/>
      </c>
      <c r="M500" s="193" t="str">
        <f>IF('Observaciones-SMP'!M500="","",'Observaciones-SMP'!M500)</f>
        <v/>
      </c>
      <c r="N500" s="193" t="str">
        <f>IF('Observaciones-SMP'!N500="","",'Observaciones-SMP'!N500)</f>
        <v/>
      </c>
      <c r="O500" s="193" t="str">
        <f>IF('Observaciones-SMP'!O500="","",'Observaciones-SMP'!O500)</f>
        <v/>
      </c>
      <c r="P500" s="193" t="str">
        <f>IF('Observaciones-SMP'!P500="","",'Observaciones-SMP'!P500)</f>
        <v/>
      </c>
      <c r="Q500" s="257" t="str">
        <f>IF('Observaciones-SMP'!S500="","",'Observaciones-SMP'!S500)</f>
        <v/>
      </c>
      <c r="R500" s="193" t="str">
        <f>IF('Observaciones-SMP'!T500="","",'Observaciones-SMP'!T500)</f>
        <v/>
      </c>
      <c r="S500" s="193" t="str">
        <f>""</f>
        <v/>
      </c>
      <c r="T500" s="193" t="str">
        <f>""</f>
        <v/>
      </c>
      <c r="U500" s="193" t="str">
        <f t="shared" si="28"/>
        <v/>
      </c>
      <c r="V500" s="193" t="str">
        <f>""</f>
        <v/>
      </c>
      <c r="W500" s="193" t="str">
        <f>""</f>
        <v/>
      </c>
      <c r="X500" s="258" t="str">
        <f t="shared" si="29"/>
        <v/>
      </c>
      <c r="Y500" s="258" t="str">
        <f t="shared" si="30"/>
        <v/>
      </c>
      <c r="Z500" s="193" t="str">
        <f>IF(A500="","",IF(COUNTIF('Observaciones-SMP'!$A$2:$A$1001,A500)&gt;1,1,0))</f>
        <v/>
      </c>
      <c r="AA500" s="193" t="str">
        <f t="shared" si="31"/>
        <v/>
      </c>
    </row>
    <row r="501" spans="1:27" ht="13.5" customHeight="1" x14ac:dyDescent="0.3">
      <c r="A501" s="193" t="str">
        <f>IF('Observaciones-SMP'!A501="","",'Observaciones-SMP'!A501)</f>
        <v/>
      </c>
      <c r="B501" s="257" t="str">
        <f>IF('Observaciones-SMP'!B501="","",'Observaciones-SMP'!B501)</f>
        <v/>
      </c>
      <c r="C501" s="193" t="str">
        <f>IF('Observaciones-SMP'!C501="","",'Observaciones-SMP'!C501)</f>
        <v/>
      </c>
      <c r="D501" s="193" t="str">
        <f>IF('Observaciones-SMP'!D501="","",'Observaciones-SMP'!D501)</f>
        <v/>
      </c>
      <c r="E501" s="193" t="str">
        <f>IF('Observaciones-SMP'!E501="","",'Observaciones-SMP'!E501)</f>
        <v/>
      </c>
      <c r="F501" s="193" t="str">
        <f>IF('Observaciones-SMP'!F501="","",'Observaciones-SMP'!F501)</f>
        <v/>
      </c>
      <c r="G501" s="193" t="str">
        <f>IF('Observaciones-SMP'!G501="","",'Observaciones-SMP'!G501)</f>
        <v/>
      </c>
      <c r="H501" s="193" t="str">
        <f>IF('Observaciones-SMP'!H501="","",'Observaciones-SMP'!H501)</f>
        <v/>
      </c>
      <c r="I501" s="193" t="str">
        <f>IF('Observaciones-SMP'!I501="","",'Observaciones-SMP'!I501)</f>
        <v/>
      </c>
      <c r="J501" s="193" t="str">
        <f>IF('Observaciones-SMP'!J501="","",'Observaciones-SMP'!J501)</f>
        <v/>
      </c>
      <c r="K501" s="193" t="str">
        <f>IF('Observaciones-SMP'!K501="","",'Observaciones-SMP'!K501)</f>
        <v/>
      </c>
      <c r="L501" s="193" t="str">
        <f>IF('Observaciones-SMP'!L501="","",'Observaciones-SMP'!L501)</f>
        <v/>
      </c>
      <c r="M501" s="193" t="str">
        <f>IF('Observaciones-SMP'!M501="","",'Observaciones-SMP'!M501)</f>
        <v/>
      </c>
      <c r="N501" s="193" t="str">
        <f>IF('Observaciones-SMP'!N501="","",'Observaciones-SMP'!N501)</f>
        <v/>
      </c>
      <c r="O501" s="193" t="str">
        <f>IF('Observaciones-SMP'!O501="","",'Observaciones-SMP'!O501)</f>
        <v/>
      </c>
      <c r="P501" s="193" t="str">
        <f>IF('Observaciones-SMP'!P501="","",'Observaciones-SMP'!P501)</f>
        <v/>
      </c>
      <c r="Q501" s="257" t="str">
        <f>IF('Observaciones-SMP'!S501="","",'Observaciones-SMP'!S501)</f>
        <v/>
      </c>
      <c r="R501" s="193" t="str">
        <f>IF('Observaciones-SMP'!T501="","",'Observaciones-SMP'!T501)</f>
        <v/>
      </c>
      <c r="S501" s="193" t="str">
        <f>""</f>
        <v/>
      </c>
      <c r="T501" s="193" t="str">
        <f>""</f>
        <v/>
      </c>
      <c r="U501" s="193" t="str">
        <f t="shared" si="28"/>
        <v/>
      </c>
      <c r="V501" s="193" t="str">
        <f>""</f>
        <v/>
      </c>
      <c r="W501" s="193" t="str">
        <f>""</f>
        <v/>
      </c>
      <c r="X501" s="258" t="str">
        <f t="shared" si="29"/>
        <v/>
      </c>
      <c r="Y501" s="258" t="str">
        <f t="shared" si="30"/>
        <v/>
      </c>
      <c r="Z501" s="193" t="str">
        <f>IF(A501="","",IF(COUNTIF('Observaciones-SMP'!$A$2:$A$1001,A501)&gt;1,1,0))</f>
        <v/>
      </c>
      <c r="AA501" s="193" t="str">
        <f t="shared" si="31"/>
        <v/>
      </c>
    </row>
    <row r="502" spans="1:27" ht="13.5" customHeight="1" x14ac:dyDescent="0.3">
      <c r="A502" s="193" t="str">
        <f>IF('Observaciones-SMP'!A502="","",'Observaciones-SMP'!A502)</f>
        <v/>
      </c>
      <c r="B502" s="257" t="str">
        <f>IF('Observaciones-SMP'!B502="","",'Observaciones-SMP'!B502)</f>
        <v/>
      </c>
      <c r="C502" s="193" t="str">
        <f>IF('Observaciones-SMP'!C502="","",'Observaciones-SMP'!C502)</f>
        <v/>
      </c>
      <c r="D502" s="193" t="str">
        <f>IF('Observaciones-SMP'!D502="","",'Observaciones-SMP'!D502)</f>
        <v/>
      </c>
      <c r="E502" s="193" t="str">
        <f>IF('Observaciones-SMP'!E502="","",'Observaciones-SMP'!E502)</f>
        <v/>
      </c>
      <c r="F502" s="193" t="str">
        <f>IF('Observaciones-SMP'!F502="","",'Observaciones-SMP'!F502)</f>
        <v/>
      </c>
      <c r="G502" s="193" t="str">
        <f>IF('Observaciones-SMP'!G502="","",'Observaciones-SMP'!G502)</f>
        <v/>
      </c>
      <c r="H502" s="193" t="str">
        <f>IF('Observaciones-SMP'!H502="","",'Observaciones-SMP'!H502)</f>
        <v/>
      </c>
      <c r="I502" s="193" t="str">
        <f>IF('Observaciones-SMP'!I502="","",'Observaciones-SMP'!I502)</f>
        <v/>
      </c>
      <c r="J502" s="193" t="str">
        <f>IF('Observaciones-SMP'!J502="","",'Observaciones-SMP'!J502)</f>
        <v/>
      </c>
      <c r="K502" s="193" t="str">
        <f>IF('Observaciones-SMP'!K502="","",'Observaciones-SMP'!K502)</f>
        <v/>
      </c>
      <c r="L502" s="193" t="str">
        <f>IF('Observaciones-SMP'!L502="","",'Observaciones-SMP'!L502)</f>
        <v/>
      </c>
      <c r="M502" s="193" t="str">
        <f>IF('Observaciones-SMP'!M502="","",'Observaciones-SMP'!M502)</f>
        <v/>
      </c>
      <c r="N502" s="193" t="str">
        <f>IF('Observaciones-SMP'!N502="","",'Observaciones-SMP'!N502)</f>
        <v/>
      </c>
      <c r="O502" s="193" t="str">
        <f>IF('Observaciones-SMP'!O502="","",'Observaciones-SMP'!O502)</f>
        <v/>
      </c>
      <c r="P502" s="193" t="str">
        <f>IF('Observaciones-SMP'!P502="","",'Observaciones-SMP'!P502)</f>
        <v/>
      </c>
      <c r="Q502" s="257" t="str">
        <f>IF('Observaciones-SMP'!S502="","",'Observaciones-SMP'!S502)</f>
        <v/>
      </c>
      <c r="R502" s="193" t="str">
        <f>IF('Observaciones-SMP'!T502="","",'Observaciones-SMP'!T502)</f>
        <v/>
      </c>
      <c r="S502" s="193" t="str">
        <f>""</f>
        <v/>
      </c>
      <c r="T502" s="193" t="str">
        <f>""</f>
        <v/>
      </c>
      <c r="U502" s="193" t="str">
        <f t="shared" si="28"/>
        <v/>
      </c>
      <c r="V502" s="193" t="str">
        <f>""</f>
        <v/>
      </c>
      <c r="W502" s="193" t="str">
        <f>""</f>
        <v/>
      </c>
      <c r="X502" s="258" t="str">
        <f t="shared" si="29"/>
        <v/>
      </c>
      <c r="Y502" s="258" t="str">
        <f t="shared" si="30"/>
        <v/>
      </c>
      <c r="Z502" s="193" t="str">
        <f>IF(A502="","",IF(COUNTIF('Observaciones-SMP'!$A$2:$A$1001,A502)&gt;1,1,0))</f>
        <v/>
      </c>
      <c r="AA502" s="193" t="str">
        <f t="shared" si="31"/>
        <v/>
      </c>
    </row>
    <row r="503" spans="1:27" ht="13.5" customHeight="1" x14ac:dyDescent="0.3">
      <c r="A503" s="193" t="str">
        <f>IF('Observaciones-SMP'!A503="","",'Observaciones-SMP'!A503)</f>
        <v/>
      </c>
      <c r="B503" s="257" t="str">
        <f>IF('Observaciones-SMP'!B503="","",'Observaciones-SMP'!B503)</f>
        <v/>
      </c>
      <c r="C503" s="193" t="str">
        <f>IF('Observaciones-SMP'!C503="","",'Observaciones-SMP'!C503)</f>
        <v/>
      </c>
      <c r="D503" s="193" t="str">
        <f>IF('Observaciones-SMP'!D503="","",'Observaciones-SMP'!D503)</f>
        <v/>
      </c>
      <c r="E503" s="193" t="str">
        <f>IF('Observaciones-SMP'!E503="","",'Observaciones-SMP'!E503)</f>
        <v/>
      </c>
      <c r="F503" s="193" t="str">
        <f>IF('Observaciones-SMP'!F503="","",'Observaciones-SMP'!F503)</f>
        <v/>
      </c>
      <c r="G503" s="193" t="str">
        <f>IF('Observaciones-SMP'!G503="","",'Observaciones-SMP'!G503)</f>
        <v/>
      </c>
      <c r="H503" s="193" t="str">
        <f>IF('Observaciones-SMP'!H503="","",'Observaciones-SMP'!H503)</f>
        <v/>
      </c>
      <c r="I503" s="193" t="str">
        <f>IF('Observaciones-SMP'!I503="","",'Observaciones-SMP'!I503)</f>
        <v/>
      </c>
      <c r="J503" s="193" t="str">
        <f>IF('Observaciones-SMP'!J503="","",'Observaciones-SMP'!J503)</f>
        <v/>
      </c>
      <c r="K503" s="193" t="str">
        <f>IF('Observaciones-SMP'!K503="","",'Observaciones-SMP'!K503)</f>
        <v/>
      </c>
      <c r="L503" s="193" t="str">
        <f>IF('Observaciones-SMP'!L503="","",'Observaciones-SMP'!L503)</f>
        <v/>
      </c>
      <c r="M503" s="193" t="str">
        <f>IF('Observaciones-SMP'!M503="","",'Observaciones-SMP'!M503)</f>
        <v/>
      </c>
      <c r="N503" s="193" t="str">
        <f>IF('Observaciones-SMP'!N503="","",'Observaciones-SMP'!N503)</f>
        <v/>
      </c>
      <c r="O503" s="193" t="str">
        <f>IF('Observaciones-SMP'!O503="","",'Observaciones-SMP'!O503)</f>
        <v/>
      </c>
      <c r="P503" s="193" t="str">
        <f>IF('Observaciones-SMP'!P503="","",'Observaciones-SMP'!P503)</f>
        <v/>
      </c>
      <c r="Q503" s="257" t="str">
        <f>IF('Observaciones-SMP'!S503="","",'Observaciones-SMP'!S503)</f>
        <v/>
      </c>
      <c r="R503" s="193" t="str">
        <f>IF('Observaciones-SMP'!T503="","",'Observaciones-SMP'!T503)</f>
        <v/>
      </c>
      <c r="S503" s="193" t="str">
        <f>""</f>
        <v/>
      </c>
      <c r="T503" s="193" t="str">
        <f>""</f>
        <v/>
      </c>
      <c r="U503" s="193" t="str">
        <f t="shared" si="28"/>
        <v/>
      </c>
      <c r="V503" s="193" t="str">
        <f>""</f>
        <v/>
      </c>
      <c r="W503" s="193" t="str">
        <f>""</f>
        <v/>
      </c>
      <c r="X503" s="258" t="str">
        <f t="shared" si="29"/>
        <v/>
      </c>
      <c r="Y503" s="258" t="str">
        <f t="shared" si="30"/>
        <v/>
      </c>
      <c r="Z503" s="193" t="str">
        <f>IF(A503="","",IF(COUNTIF('Observaciones-SMP'!$A$2:$A$1001,A503)&gt;1,1,0))</f>
        <v/>
      </c>
      <c r="AA503" s="193" t="str">
        <f t="shared" si="31"/>
        <v/>
      </c>
    </row>
    <row r="504" spans="1:27" ht="13.5" customHeight="1" x14ac:dyDescent="0.3">
      <c r="A504" s="193" t="str">
        <f>IF('Observaciones-SMP'!A504="","",'Observaciones-SMP'!A504)</f>
        <v/>
      </c>
      <c r="B504" s="257" t="str">
        <f>IF('Observaciones-SMP'!B504="","",'Observaciones-SMP'!B504)</f>
        <v/>
      </c>
      <c r="C504" s="193" t="str">
        <f>IF('Observaciones-SMP'!C504="","",'Observaciones-SMP'!C504)</f>
        <v/>
      </c>
      <c r="D504" s="193" t="str">
        <f>IF('Observaciones-SMP'!D504="","",'Observaciones-SMP'!D504)</f>
        <v/>
      </c>
      <c r="E504" s="193" t="str">
        <f>IF('Observaciones-SMP'!E504="","",'Observaciones-SMP'!E504)</f>
        <v/>
      </c>
      <c r="F504" s="193" t="str">
        <f>IF('Observaciones-SMP'!F504="","",'Observaciones-SMP'!F504)</f>
        <v/>
      </c>
      <c r="G504" s="193" t="str">
        <f>IF('Observaciones-SMP'!G504="","",'Observaciones-SMP'!G504)</f>
        <v/>
      </c>
      <c r="H504" s="193" t="str">
        <f>IF('Observaciones-SMP'!H504="","",'Observaciones-SMP'!H504)</f>
        <v/>
      </c>
      <c r="I504" s="193" t="str">
        <f>IF('Observaciones-SMP'!I504="","",'Observaciones-SMP'!I504)</f>
        <v/>
      </c>
      <c r="J504" s="193" t="str">
        <f>IF('Observaciones-SMP'!J504="","",'Observaciones-SMP'!J504)</f>
        <v/>
      </c>
      <c r="K504" s="193" t="str">
        <f>IF('Observaciones-SMP'!K504="","",'Observaciones-SMP'!K504)</f>
        <v/>
      </c>
      <c r="L504" s="193" t="str">
        <f>IF('Observaciones-SMP'!L504="","",'Observaciones-SMP'!L504)</f>
        <v/>
      </c>
      <c r="M504" s="193" t="str">
        <f>IF('Observaciones-SMP'!M504="","",'Observaciones-SMP'!M504)</f>
        <v/>
      </c>
      <c r="N504" s="193" t="str">
        <f>IF('Observaciones-SMP'!N504="","",'Observaciones-SMP'!N504)</f>
        <v/>
      </c>
      <c r="O504" s="193" t="str">
        <f>IF('Observaciones-SMP'!O504="","",'Observaciones-SMP'!O504)</f>
        <v/>
      </c>
      <c r="P504" s="193" t="str">
        <f>IF('Observaciones-SMP'!P504="","",'Observaciones-SMP'!P504)</f>
        <v/>
      </c>
      <c r="Q504" s="257" t="str">
        <f>IF('Observaciones-SMP'!S504="","",'Observaciones-SMP'!S504)</f>
        <v/>
      </c>
      <c r="R504" s="193" t="str">
        <f>IF('Observaciones-SMP'!T504="","",'Observaciones-SMP'!T504)</f>
        <v/>
      </c>
      <c r="S504" s="193" t="str">
        <f>""</f>
        <v/>
      </c>
      <c r="T504" s="193" t="str">
        <f>""</f>
        <v/>
      </c>
      <c r="U504" s="193" t="str">
        <f t="shared" si="28"/>
        <v/>
      </c>
      <c r="V504" s="193" t="str">
        <f>""</f>
        <v/>
      </c>
      <c r="W504" s="193" t="str">
        <f>""</f>
        <v/>
      </c>
      <c r="X504" s="258" t="str">
        <f t="shared" si="29"/>
        <v/>
      </c>
      <c r="Y504" s="258" t="str">
        <f t="shared" si="30"/>
        <v/>
      </c>
      <c r="Z504" s="193" t="str">
        <f>IF(A504="","",IF(COUNTIF('Observaciones-SMP'!$A$2:$A$1001,A504)&gt;1,1,0))</f>
        <v/>
      </c>
      <c r="AA504" s="193" t="str">
        <f t="shared" si="31"/>
        <v/>
      </c>
    </row>
    <row r="505" spans="1:27" ht="13.5" customHeight="1" x14ac:dyDescent="0.3">
      <c r="A505" s="193" t="str">
        <f>IF('Observaciones-SMP'!A505="","",'Observaciones-SMP'!A505)</f>
        <v/>
      </c>
      <c r="B505" s="257" t="str">
        <f>IF('Observaciones-SMP'!B505="","",'Observaciones-SMP'!B505)</f>
        <v/>
      </c>
      <c r="C505" s="193" t="str">
        <f>IF('Observaciones-SMP'!C505="","",'Observaciones-SMP'!C505)</f>
        <v/>
      </c>
      <c r="D505" s="193" t="str">
        <f>IF('Observaciones-SMP'!D505="","",'Observaciones-SMP'!D505)</f>
        <v/>
      </c>
      <c r="E505" s="193" t="str">
        <f>IF('Observaciones-SMP'!E505="","",'Observaciones-SMP'!E505)</f>
        <v/>
      </c>
      <c r="F505" s="193" t="str">
        <f>IF('Observaciones-SMP'!F505="","",'Observaciones-SMP'!F505)</f>
        <v/>
      </c>
      <c r="G505" s="193" t="str">
        <f>IF('Observaciones-SMP'!G505="","",'Observaciones-SMP'!G505)</f>
        <v/>
      </c>
      <c r="H505" s="193" t="str">
        <f>IF('Observaciones-SMP'!H505="","",'Observaciones-SMP'!H505)</f>
        <v/>
      </c>
      <c r="I505" s="193" t="str">
        <f>IF('Observaciones-SMP'!I505="","",'Observaciones-SMP'!I505)</f>
        <v/>
      </c>
      <c r="J505" s="193" t="str">
        <f>IF('Observaciones-SMP'!J505="","",'Observaciones-SMP'!J505)</f>
        <v/>
      </c>
      <c r="K505" s="193" t="str">
        <f>IF('Observaciones-SMP'!K505="","",'Observaciones-SMP'!K505)</f>
        <v/>
      </c>
      <c r="L505" s="193" t="str">
        <f>IF('Observaciones-SMP'!L505="","",'Observaciones-SMP'!L505)</f>
        <v/>
      </c>
      <c r="M505" s="193" t="str">
        <f>IF('Observaciones-SMP'!M505="","",'Observaciones-SMP'!M505)</f>
        <v/>
      </c>
      <c r="N505" s="193" t="str">
        <f>IF('Observaciones-SMP'!N505="","",'Observaciones-SMP'!N505)</f>
        <v/>
      </c>
      <c r="O505" s="193" t="str">
        <f>IF('Observaciones-SMP'!O505="","",'Observaciones-SMP'!O505)</f>
        <v/>
      </c>
      <c r="P505" s="193" t="str">
        <f>IF('Observaciones-SMP'!P505="","",'Observaciones-SMP'!P505)</f>
        <v/>
      </c>
      <c r="Q505" s="257" t="str">
        <f>IF('Observaciones-SMP'!S505="","",'Observaciones-SMP'!S505)</f>
        <v/>
      </c>
      <c r="R505" s="193" t="str">
        <f>IF('Observaciones-SMP'!T505="","",'Observaciones-SMP'!T505)</f>
        <v/>
      </c>
      <c r="S505" s="193" t="str">
        <f>""</f>
        <v/>
      </c>
      <c r="T505" s="193" t="str">
        <f>""</f>
        <v/>
      </c>
      <c r="U505" s="193" t="str">
        <f t="shared" si="28"/>
        <v/>
      </c>
      <c r="V505" s="193" t="str">
        <f>""</f>
        <v/>
      </c>
      <c r="W505" s="193" t="str">
        <f>""</f>
        <v/>
      </c>
      <c r="X505" s="258" t="str">
        <f t="shared" si="29"/>
        <v/>
      </c>
      <c r="Y505" s="258" t="str">
        <f t="shared" si="30"/>
        <v/>
      </c>
      <c r="Z505" s="193" t="str">
        <f>IF(A505="","",IF(COUNTIF('Observaciones-SMP'!$A$2:$A$1001,A505)&gt;1,1,0))</f>
        <v/>
      </c>
      <c r="AA505" s="193" t="str">
        <f t="shared" si="31"/>
        <v/>
      </c>
    </row>
    <row r="506" spans="1:27" ht="13.5" customHeight="1" x14ac:dyDescent="0.3">
      <c r="A506" s="193" t="str">
        <f>IF('Observaciones-SMP'!A506="","",'Observaciones-SMP'!A506)</f>
        <v/>
      </c>
      <c r="B506" s="257" t="str">
        <f>IF('Observaciones-SMP'!B506="","",'Observaciones-SMP'!B506)</f>
        <v/>
      </c>
      <c r="C506" s="193" t="str">
        <f>IF('Observaciones-SMP'!C506="","",'Observaciones-SMP'!C506)</f>
        <v/>
      </c>
      <c r="D506" s="193" t="str">
        <f>IF('Observaciones-SMP'!D506="","",'Observaciones-SMP'!D506)</f>
        <v/>
      </c>
      <c r="E506" s="193" t="str">
        <f>IF('Observaciones-SMP'!E506="","",'Observaciones-SMP'!E506)</f>
        <v/>
      </c>
      <c r="F506" s="193" t="str">
        <f>IF('Observaciones-SMP'!F506="","",'Observaciones-SMP'!F506)</f>
        <v/>
      </c>
      <c r="G506" s="193" t="str">
        <f>IF('Observaciones-SMP'!G506="","",'Observaciones-SMP'!G506)</f>
        <v/>
      </c>
      <c r="H506" s="193" t="str">
        <f>IF('Observaciones-SMP'!H506="","",'Observaciones-SMP'!H506)</f>
        <v/>
      </c>
      <c r="I506" s="193" t="str">
        <f>IF('Observaciones-SMP'!I506="","",'Observaciones-SMP'!I506)</f>
        <v/>
      </c>
      <c r="J506" s="193" t="str">
        <f>IF('Observaciones-SMP'!J506="","",'Observaciones-SMP'!J506)</f>
        <v/>
      </c>
      <c r="K506" s="193" t="str">
        <f>IF('Observaciones-SMP'!K506="","",'Observaciones-SMP'!K506)</f>
        <v/>
      </c>
      <c r="L506" s="193" t="str">
        <f>IF('Observaciones-SMP'!L506="","",'Observaciones-SMP'!L506)</f>
        <v/>
      </c>
      <c r="M506" s="193" t="str">
        <f>IF('Observaciones-SMP'!M506="","",'Observaciones-SMP'!M506)</f>
        <v/>
      </c>
      <c r="N506" s="193" t="str">
        <f>IF('Observaciones-SMP'!N506="","",'Observaciones-SMP'!N506)</f>
        <v/>
      </c>
      <c r="O506" s="193" t="str">
        <f>IF('Observaciones-SMP'!O506="","",'Observaciones-SMP'!O506)</f>
        <v/>
      </c>
      <c r="P506" s="193" t="str">
        <f>IF('Observaciones-SMP'!P506="","",'Observaciones-SMP'!P506)</f>
        <v/>
      </c>
      <c r="Q506" s="257" t="str">
        <f>IF('Observaciones-SMP'!S506="","",'Observaciones-SMP'!S506)</f>
        <v/>
      </c>
      <c r="R506" s="193" t="str">
        <f>IF('Observaciones-SMP'!T506="","",'Observaciones-SMP'!T506)</f>
        <v/>
      </c>
      <c r="S506" s="193" t="str">
        <f>""</f>
        <v/>
      </c>
      <c r="T506" s="193" t="str">
        <f>""</f>
        <v/>
      </c>
      <c r="U506" s="193" t="str">
        <f t="shared" si="28"/>
        <v/>
      </c>
      <c r="V506" s="193" t="str">
        <f>""</f>
        <v/>
      </c>
      <c r="W506" s="193" t="str">
        <f>""</f>
        <v/>
      </c>
      <c r="X506" s="258" t="str">
        <f t="shared" si="29"/>
        <v/>
      </c>
      <c r="Y506" s="258" t="str">
        <f t="shared" si="30"/>
        <v/>
      </c>
      <c r="Z506" s="193" t="str">
        <f>IF(A506="","",IF(COUNTIF('Observaciones-SMP'!$A$2:$A$1001,A506)&gt;1,1,0))</f>
        <v/>
      </c>
      <c r="AA506" s="193" t="str">
        <f t="shared" si="31"/>
        <v/>
      </c>
    </row>
    <row r="507" spans="1:27" ht="13.5" customHeight="1" x14ac:dyDescent="0.3">
      <c r="A507" s="193" t="str">
        <f>IF('Observaciones-SMP'!A507="","",'Observaciones-SMP'!A507)</f>
        <v/>
      </c>
      <c r="B507" s="257" t="str">
        <f>IF('Observaciones-SMP'!B507="","",'Observaciones-SMP'!B507)</f>
        <v/>
      </c>
      <c r="C507" s="193" t="str">
        <f>IF('Observaciones-SMP'!C507="","",'Observaciones-SMP'!C507)</f>
        <v/>
      </c>
      <c r="D507" s="193" t="str">
        <f>IF('Observaciones-SMP'!D507="","",'Observaciones-SMP'!D507)</f>
        <v/>
      </c>
      <c r="E507" s="193" t="str">
        <f>IF('Observaciones-SMP'!E507="","",'Observaciones-SMP'!E507)</f>
        <v/>
      </c>
      <c r="F507" s="193" t="str">
        <f>IF('Observaciones-SMP'!F507="","",'Observaciones-SMP'!F507)</f>
        <v/>
      </c>
      <c r="G507" s="193" t="str">
        <f>IF('Observaciones-SMP'!G507="","",'Observaciones-SMP'!G507)</f>
        <v/>
      </c>
      <c r="H507" s="193" t="str">
        <f>IF('Observaciones-SMP'!H507="","",'Observaciones-SMP'!H507)</f>
        <v/>
      </c>
      <c r="I507" s="193" t="str">
        <f>IF('Observaciones-SMP'!I507="","",'Observaciones-SMP'!I507)</f>
        <v/>
      </c>
      <c r="J507" s="193" t="str">
        <f>IF('Observaciones-SMP'!J507="","",'Observaciones-SMP'!J507)</f>
        <v/>
      </c>
      <c r="K507" s="193" t="str">
        <f>IF('Observaciones-SMP'!K507="","",'Observaciones-SMP'!K507)</f>
        <v/>
      </c>
      <c r="L507" s="193" t="str">
        <f>IF('Observaciones-SMP'!L507="","",'Observaciones-SMP'!L507)</f>
        <v/>
      </c>
      <c r="M507" s="193" t="str">
        <f>IF('Observaciones-SMP'!M507="","",'Observaciones-SMP'!M507)</f>
        <v/>
      </c>
      <c r="N507" s="193" t="str">
        <f>IF('Observaciones-SMP'!N507="","",'Observaciones-SMP'!N507)</f>
        <v/>
      </c>
      <c r="O507" s="193" t="str">
        <f>IF('Observaciones-SMP'!O507="","",'Observaciones-SMP'!O507)</f>
        <v/>
      </c>
      <c r="P507" s="193" t="str">
        <f>IF('Observaciones-SMP'!P507="","",'Observaciones-SMP'!P507)</f>
        <v/>
      </c>
      <c r="Q507" s="257" t="str">
        <f>IF('Observaciones-SMP'!S507="","",'Observaciones-SMP'!S507)</f>
        <v/>
      </c>
      <c r="R507" s="193" t="str">
        <f>IF('Observaciones-SMP'!T507="","",'Observaciones-SMP'!T507)</f>
        <v/>
      </c>
      <c r="S507" s="193" t="str">
        <f>""</f>
        <v/>
      </c>
      <c r="T507" s="193" t="str">
        <f>""</f>
        <v/>
      </c>
      <c r="U507" s="193" t="str">
        <f t="shared" si="28"/>
        <v/>
      </c>
      <c r="V507" s="193" t="str">
        <f>""</f>
        <v/>
      </c>
      <c r="W507" s="193" t="str">
        <f>""</f>
        <v/>
      </c>
      <c r="X507" s="258" t="str">
        <f t="shared" si="29"/>
        <v/>
      </c>
      <c r="Y507" s="258" t="str">
        <f t="shared" si="30"/>
        <v/>
      </c>
      <c r="Z507" s="193" t="str">
        <f>IF(A507="","",IF(COUNTIF('Observaciones-SMP'!$A$2:$A$1001,A507)&gt;1,1,0))</f>
        <v/>
      </c>
      <c r="AA507" s="193" t="str">
        <f t="shared" si="31"/>
        <v/>
      </c>
    </row>
    <row r="508" spans="1:27" ht="13.5" customHeight="1" x14ac:dyDescent="0.3">
      <c r="A508" s="193" t="str">
        <f>IF('Observaciones-SMP'!A508="","",'Observaciones-SMP'!A508)</f>
        <v/>
      </c>
      <c r="B508" s="257" t="str">
        <f>IF('Observaciones-SMP'!B508="","",'Observaciones-SMP'!B508)</f>
        <v/>
      </c>
      <c r="C508" s="193" t="str">
        <f>IF('Observaciones-SMP'!C508="","",'Observaciones-SMP'!C508)</f>
        <v/>
      </c>
      <c r="D508" s="193" t="str">
        <f>IF('Observaciones-SMP'!D508="","",'Observaciones-SMP'!D508)</f>
        <v/>
      </c>
      <c r="E508" s="193" t="str">
        <f>IF('Observaciones-SMP'!E508="","",'Observaciones-SMP'!E508)</f>
        <v/>
      </c>
      <c r="F508" s="193" t="str">
        <f>IF('Observaciones-SMP'!F508="","",'Observaciones-SMP'!F508)</f>
        <v/>
      </c>
      <c r="G508" s="193" t="str">
        <f>IF('Observaciones-SMP'!G508="","",'Observaciones-SMP'!G508)</f>
        <v/>
      </c>
      <c r="H508" s="193" t="str">
        <f>IF('Observaciones-SMP'!H508="","",'Observaciones-SMP'!H508)</f>
        <v/>
      </c>
      <c r="I508" s="193" t="str">
        <f>IF('Observaciones-SMP'!I508="","",'Observaciones-SMP'!I508)</f>
        <v/>
      </c>
      <c r="J508" s="193" t="str">
        <f>IF('Observaciones-SMP'!J508="","",'Observaciones-SMP'!J508)</f>
        <v/>
      </c>
      <c r="K508" s="193" t="str">
        <f>IF('Observaciones-SMP'!K508="","",'Observaciones-SMP'!K508)</f>
        <v/>
      </c>
      <c r="L508" s="193" t="str">
        <f>IF('Observaciones-SMP'!L508="","",'Observaciones-SMP'!L508)</f>
        <v/>
      </c>
      <c r="M508" s="193" t="str">
        <f>IF('Observaciones-SMP'!M508="","",'Observaciones-SMP'!M508)</f>
        <v/>
      </c>
      <c r="N508" s="193" t="str">
        <f>IF('Observaciones-SMP'!N508="","",'Observaciones-SMP'!N508)</f>
        <v/>
      </c>
      <c r="O508" s="193" t="str">
        <f>IF('Observaciones-SMP'!O508="","",'Observaciones-SMP'!O508)</f>
        <v/>
      </c>
      <c r="P508" s="193" t="str">
        <f>IF('Observaciones-SMP'!P508="","",'Observaciones-SMP'!P508)</f>
        <v/>
      </c>
      <c r="Q508" s="257" t="str">
        <f>IF('Observaciones-SMP'!S508="","",'Observaciones-SMP'!S508)</f>
        <v/>
      </c>
      <c r="R508" s="193" t="str">
        <f>IF('Observaciones-SMP'!T508="","",'Observaciones-SMP'!T508)</f>
        <v/>
      </c>
      <c r="S508" s="193" t="str">
        <f>""</f>
        <v/>
      </c>
      <c r="T508" s="193" t="str">
        <f>""</f>
        <v/>
      </c>
      <c r="U508" s="193" t="str">
        <f t="shared" si="28"/>
        <v/>
      </c>
      <c r="V508" s="193" t="str">
        <f>""</f>
        <v/>
      </c>
      <c r="W508" s="193" t="str">
        <f>""</f>
        <v/>
      </c>
      <c r="X508" s="258" t="str">
        <f t="shared" si="29"/>
        <v/>
      </c>
      <c r="Y508" s="258" t="str">
        <f t="shared" si="30"/>
        <v/>
      </c>
      <c r="Z508" s="193" t="str">
        <f>IF(A508="","",IF(COUNTIF('Observaciones-SMP'!$A$2:$A$1001,A508)&gt;1,1,0))</f>
        <v/>
      </c>
      <c r="AA508" s="193" t="str">
        <f t="shared" si="31"/>
        <v/>
      </c>
    </row>
    <row r="509" spans="1:27" ht="13.5" customHeight="1" x14ac:dyDescent="0.3">
      <c r="A509" s="193" t="str">
        <f>IF('Observaciones-SMP'!A509="","",'Observaciones-SMP'!A509)</f>
        <v/>
      </c>
      <c r="B509" s="257" t="str">
        <f>IF('Observaciones-SMP'!B509="","",'Observaciones-SMP'!B509)</f>
        <v/>
      </c>
      <c r="C509" s="193" t="str">
        <f>IF('Observaciones-SMP'!C509="","",'Observaciones-SMP'!C509)</f>
        <v/>
      </c>
      <c r="D509" s="193" t="str">
        <f>IF('Observaciones-SMP'!D509="","",'Observaciones-SMP'!D509)</f>
        <v/>
      </c>
      <c r="E509" s="193" t="str">
        <f>IF('Observaciones-SMP'!E509="","",'Observaciones-SMP'!E509)</f>
        <v/>
      </c>
      <c r="F509" s="193" t="str">
        <f>IF('Observaciones-SMP'!F509="","",'Observaciones-SMP'!F509)</f>
        <v/>
      </c>
      <c r="G509" s="193" t="str">
        <f>IF('Observaciones-SMP'!G509="","",'Observaciones-SMP'!G509)</f>
        <v/>
      </c>
      <c r="H509" s="193" t="str">
        <f>IF('Observaciones-SMP'!H509="","",'Observaciones-SMP'!H509)</f>
        <v/>
      </c>
      <c r="I509" s="193" t="str">
        <f>IF('Observaciones-SMP'!I509="","",'Observaciones-SMP'!I509)</f>
        <v/>
      </c>
      <c r="J509" s="193" t="str">
        <f>IF('Observaciones-SMP'!J509="","",'Observaciones-SMP'!J509)</f>
        <v/>
      </c>
      <c r="K509" s="193" t="str">
        <f>IF('Observaciones-SMP'!K509="","",'Observaciones-SMP'!K509)</f>
        <v/>
      </c>
      <c r="L509" s="193" t="str">
        <f>IF('Observaciones-SMP'!L509="","",'Observaciones-SMP'!L509)</f>
        <v/>
      </c>
      <c r="M509" s="193" t="str">
        <f>IF('Observaciones-SMP'!M509="","",'Observaciones-SMP'!M509)</f>
        <v/>
      </c>
      <c r="N509" s="193" t="str">
        <f>IF('Observaciones-SMP'!N509="","",'Observaciones-SMP'!N509)</f>
        <v/>
      </c>
      <c r="O509" s="193" t="str">
        <f>IF('Observaciones-SMP'!O509="","",'Observaciones-SMP'!O509)</f>
        <v/>
      </c>
      <c r="P509" s="193" t="str">
        <f>IF('Observaciones-SMP'!P509="","",'Observaciones-SMP'!P509)</f>
        <v/>
      </c>
      <c r="Q509" s="257" t="str">
        <f>IF('Observaciones-SMP'!S509="","",'Observaciones-SMP'!S509)</f>
        <v/>
      </c>
      <c r="R509" s="193" t="str">
        <f>IF('Observaciones-SMP'!T509="","",'Observaciones-SMP'!T509)</f>
        <v/>
      </c>
      <c r="S509" s="193" t="str">
        <f>""</f>
        <v/>
      </c>
      <c r="T509" s="193" t="str">
        <f>""</f>
        <v/>
      </c>
      <c r="U509" s="193" t="str">
        <f t="shared" si="28"/>
        <v/>
      </c>
      <c r="V509" s="193" t="str">
        <f>""</f>
        <v/>
      </c>
      <c r="W509" s="193" t="str">
        <f>""</f>
        <v/>
      </c>
      <c r="X509" s="258" t="str">
        <f t="shared" si="29"/>
        <v/>
      </c>
      <c r="Y509" s="258" t="str">
        <f t="shared" si="30"/>
        <v/>
      </c>
      <c r="Z509" s="193" t="str">
        <f>IF(A509="","",IF(COUNTIF('Observaciones-SMP'!$A$2:$A$1001,A509)&gt;1,1,0))</f>
        <v/>
      </c>
      <c r="AA509" s="193" t="str">
        <f t="shared" si="31"/>
        <v/>
      </c>
    </row>
    <row r="510" spans="1:27" ht="13.5" customHeight="1" x14ac:dyDescent="0.3">
      <c r="A510" s="193" t="str">
        <f>IF('Observaciones-SMP'!A510="","",'Observaciones-SMP'!A510)</f>
        <v/>
      </c>
      <c r="B510" s="257" t="str">
        <f>IF('Observaciones-SMP'!B510="","",'Observaciones-SMP'!B510)</f>
        <v/>
      </c>
      <c r="C510" s="193" t="str">
        <f>IF('Observaciones-SMP'!C510="","",'Observaciones-SMP'!C510)</f>
        <v/>
      </c>
      <c r="D510" s="193" t="str">
        <f>IF('Observaciones-SMP'!D510="","",'Observaciones-SMP'!D510)</f>
        <v/>
      </c>
      <c r="E510" s="193" t="str">
        <f>IF('Observaciones-SMP'!E510="","",'Observaciones-SMP'!E510)</f>
        <v/>
      </c>
      <c r="F510" s="193" t="str">
        <f>IF('Observaciones-SMP'!F510="","",'Observaciones-SMP'!F510)</f>
        <v/>
      </c>
      <c r="G510" s="193" t="str">
        <f>IF('Observaciones-SMP'!G510="","",'Observaciones-SMP'!G510)</f>
        <v/>
      </c>
      <c r="H510" s="193" t="str">
        <f>IF('Observaciones-SMP'!H510="","",'Observaciones-SMP'!H510)</f>
        <v/>
      </c>
      <c r="I510" s="193" t="str">
        <f>IF('Observaciones-SMP'!I510="","",'Observaciones-SMP'!I510)</f>
        <v/>
      </c>
      <c r="J510" s="193" t="str">
        <f>IF('Observaciones-SMP'!J510="","",'Observaciones-SMP'!J510)</f>
        <v/>
      </c>
      <c r="K510" s="193" t="str">
        <f>IF('Observaciones-SMP'!K510="","",'Observaciones-SMP'!K510)</f>
        <v/>
      </c>
      <c r="L510" s="193" t="str">
        <f>IF('Observaciones-SMP'!L510="","",'Observaciones-SMP'!L510)</f>
        <v/>
      </c>
      <c r="M510" s="193" t="str">
        <f>IF('Observaciones-SMP'!M510="","",'Observaciones-SMP'!M510)</f>
        <v/>
      </c>
      <c r="N510" s="193" t="str">
        <f>IF('Observaciones-SMP'!N510="","",'Observaciones-SMP'!N510)</f>
        <v/>
      </c>
      <c r="O510" s="193" t="str">
        <f>IF('Observaciones-SMP'!O510="","",'Observaciones-SMP'!O510)</f>
        <v/>
      </c>
      <c r="P510" s="193" t="str">
        <f>IF('Observaciones-SMP'!P510="","",'Observaciones-SMP'!P510)</f>
        <v/>
      </c>
      <c r="Q510" s="257" t="str">
        <f>IF('Observaciones-SMP'!S510="","",'Observaciones-SMP'!S510)</f>
        <v/>
      </c>
      <c r="R510" s="193" t="str">
        <f>IF('Observaciones-SMP'!T510="","",'Observaciones-SMP'!T510)</f>
        <v/>
      </c>
      <c r="S510" s="193" t="str">
        <f>""</f>
        <v/>
      </c>
      <c r="T510" s="193" t="str">
        <f>""</f>
        <v/>
      </c>
      <c r="U510" s="193" t="str">
        <f t="shared" si="28"/>
        <v/>
      </c>
      <c r="V510" s="193" t="str">
        <f>""</f>
        <v/>
      </c>
      <c r="W510" s="193" t="str">
        <f>""</f>
        <v/>
      </c>
      <c r="X510" s="258" t="str">
        <f t="shared" si="29"/>
        <v/>
      </c>
      <c r="Y510" s="258" t="str">
        <f t="shared" si="30"/>
        <v/>
      </c>
      <c r="Z510" s="193" t="str">
        <f>IF(A510="","",IF(COUNTIF('Observaciones-SMP'!$A$2:$A$1001,A510)&gt;1,1,0))</f>
        <v/>
      </c>
      <c r="AA510" s="193" t="str">
        <f t="shared" si="31"/>
        <v/>
      </c>
    </row>
    <row r="511" spans="1:27" ht="13.5" customHeight="1" x14ac:dyDescent="0.3">
      <c r="A511" s="193" t="str">
        <f>IF('Observaciones-SMP'!A511="","",'Observaciones-SMP'!A511)</f>
        <v/>
      </c>
      <c r="B511" s="257" t="str">
        <f>IF('Observaciones-SMP'!B511="","",'Observaciones-SMP'!B511)</f>
        <v/>
      </c>
      <c r="C511" s="193" t="str">
        <f>IF('Observaciones-SMP'!C511="","",'Observaciones-SMP'!C511)</f>
        <v/>
      </c>
      <c r="D511" s="193" t="str">
        <f>IF('Observaciones-SMP'!D511="","",'Observaciones-SMP'!D511)</f>
        <v/>
      </c>
      <c r="E511" s="193" t="str">
        <f>IF('Observaciones-SMP'!E511="","",'Observaciones-SMP'!E511)</f>
        <v/>
      </c>
      <c r="F511" s="193" t="str">
        <f>IF('Observaciones-SMP'!F511="","",'Observaciones-SMP'!F511)</f>
        <v/>
      </c>
      <c r="G511" s="193" t="str">
        <f>IF('Observaciones-SMP'!G511="","",'Observaciones-SMP'!G511)</f>
        <v/>
      </c>
      <c r="H511" s="193" t="str">
        <f>IF('Observaciones-SMP'!H511="","",'Observaciones-SMP'!H511)</f>
        <v/>
      </c>
      <c r="I511" s="193" t="str">
        <f>IF('Observaciones-SMP'!I511="","",'Observaciones-SMP'!I511)</f>
        <v/>
      </c>
      <c r="J511" s="193" t="str">
        <f>IF('Observaciones-SMP'!J511="","",'Observaciones-SMP'!J511)</f>
        <v/>
      </c>
      <c r="K511" s="193" t="str">
        <f>IF('Observaciones-SMP'!K511="","",'Observaciones-SMP'!K511)</f>
        <v/>
      </c>
      <c r="L511" s="193" t="str">
        <f>IF('Observaciones-SMP'!L511="","",'Observaciones-SMP'!L511)</f>
        <v/>
      </c>
      <c r="M511" s="193" t="str">
        <f>IF('Observaciones-SMP'!M511="","",'Observaciones-SMP'!M511)</f>
        <v/>
      </c>
      <c r="N511" s="193" t="str">
        <f>IF('Observaciones-SMP'!N511="","",'Observaciones-SMP'!N511)</f>
        <v/>
      </c>
      <c r="O511" s="193" t="str">
        <f>IF('Observaciones-SMP'!O511="","",'Observaciones-SMP'!O511)</f>
        <v/>
      </c>
      <c r="P511" s="193" t="str">
        <f>IF('Observaciones-SMP'!P511="","",'Observaciones-SMP'!P511)</f>
        <v/>
      </c>
      <c r="Q511" s="257" t="str">
        <f>IF('Observaciones-SMP'!S511="","",'Observaciones-SMP'!S511)</f>
        <v/>
      </c>
      <c r="R511" s="193" t="str">
        <f>IF('Observaciones-SMP'!T511="","",'Observaciones-SMP'!T511)</f>
        <v/>
      </c>
      <c r="S511" s="193" t="str">
        <f>""</f>
        <v/>
      </c>
      <c r="T511" s="193" t="str">
        <f>""</f>
        <v/>
      </c>
      <c r="U511" s="193" t="str">
        <f t="shared" si="28"/>
        <v/>
      </c>
      <c r="V511" s="193" t="str">
        <f>""</f>
        <v/>
      </c>
      <c r="W511" s="193" t="str">
        <f>""</f>
        <v/>
      </c>
      <c r="X511" s="258" t="str">
        <f t="shared" si="29"/>
        <v/>
      </c>
      <c r="Y511" s="258" t="str">
        <f t="shared" si="30"/>
        <v/>
      </c>
      <c r="Z511" s="193" t="str">
        <f>IF(A511="","",IF(COUNTIF('Observaciones-SMP'!$A$2:$A$1001,A511)&gt;1,1,0))</f>
        <v/>
      </c>
      <c r="AA511" s="193" t="str">
        <f t="shared" si="31"/>
        <v/>
      </c>
    </row>
    <row r="512" spans="1:27" ht="13.5" customHeight="1" x14ac:dyDescent="0.3">
      <c r="A512" s="193" t="str">
        <f>IF('Observaciones-SMP'!A512="","",'Observaciones-SMP'!A512)</f>
        <v/>
      </c>
      <c r="B512" s="257" t="str">
        <f>IF('Observaciones-SMP'!B512="","",'Observaciones-SMP'!B512)</f>
        <v/>
      </c>
      <c r="C512" s="193" t="str">
        <f>IF('Observaciones-SMP'!C512="","",'Observaciones-SMP'!C512)</f>
        <v/>
      </c>
      <c r="D512" s="193" t="str">
        <f>IF('Observaciones-SMP'!D512="","",'Observaciones-SMP'!D512)</f>
        <v/>
      </c>
      <c r="E512" s="193" t="str">
        <f>IF('Observaciones-SMP'!E512="","",'Observaciones-SMP'!E512)</f>
        <v/>
      </c>
      <c r="F512" s="193" t="str">
        <f>IF('Observaciones-SMP'!F512="","",'Observaciones-SMP'!F512)</f>
        <v/>
      </c>
      <c r="G512" s="193" t="str">
        <f>IF('Observaciones-SMP'!G512="","",'Observaciones-SMP'!G512)</f>
        <v/>
      </c>
      <c r="H512" s="193" t="str">
        <f>IF('Observaciones-SMP'!H512="","",'Observaciones-SMP'!H512)</f>
        <v/>
      </c>
      <c r="I512" s="193" t="str">
        <f>IF('Observaciones-SMP'!I512="","",'Observaciones-SMP'!I512)</f>
        <v/>
      </c>
      <c r="J512" s="193" t="str">
        <f>IF('Observaciones-SMP'!J512="","",'Observaciones-SMP'!J512)</f>
        <v/>
      </c>
      <c r="K512" s="193" t="str">
        <f>IF('Observaciones-SMP'!K512="","",'Observaciones-SMP'!K512)</f>
        <v/>
      </c>
      <c r="L512" s="193" t="str">
        <f>IF('Observaciones-SMP'!L512="","",'Observaciones-SMP'!L512)</f>
        <v/>
      </c>
      <c r="M512" s="193" t="str">
        <f>IF('Observaciones-SMP'!M512="","",'Observaciones-SMP'!M512)</f>
        <v/>
      </c>
      <c r="N512" s="193" t="str">
        <f>IF('Observaciones-SMP'!N512="","",'Observaciones-SMP'!N512)</f>
        <v/>
      </c>
      <c r="O512" s="193" t="str">
        <f>IF('Observaciones-SMP'!O512="","",'Observaciones-SMP'!O512)</f>
        <v/>
      </c>
      <c r="P512" s="193" t="str">
        <f>IF('Observaciones-SMP'!P512="","",'Observaciones-SMP'!P512)</f>
        <v/>
      </c>
      <c r="Q512" s="257" t="str">
        <f>IF('Observaciones-SMP'!S512="","",'Observaciones-SMP'!S512)</f>
        <v/>
      </c>
      <c r="R512" s="193" t="str">
        <f>IF('Observaciones-SMP'!T512="","",'Observaciones-SMP'!T512)</f>
        <v/>
      </c>
      <c r="S512" s="193" t="str">
        <f>""</f>
        <v/>
      </c>
      <c r="T512" s="193" t="str">
        <f>""</f>
        <v/>
      </c>
      <c r="U512" s="193" t="str">
        <f t="shared" si="28"/>
        <v/>
      </c>
      <c r="V512" s="193" t="str">
        <f>""</f>
        <v/>
      </c>
      <c r="W512" s="193" t="str">
        <f>""</f>
        <v/>
      </c>
      <c r="X512" s="258" t="str">
        <f t="shared" si="29"/>
        <v/>
      </c>
      <c r="Y512" s="258" t="str">
        <f t="shared" si="30"/>
        <v/>
      </c>
      <c r="Z512" s="193" t="str">
        <f>IF(A512="","",IF(COUNTIF('Observaciones-SMP'!$A$2:$A$1001,A512)&gt;1,1,0))</f>
        <v/>
      </c>
      <c r="AA512" s="193" t="str">
        <f t="shared" si="31"/>
        <v/>
      </c>
    </row>
    <row r="513" spans="1:27" ht="13.5" customHeight="1" x14ac:dyDescent="0.3">
      <c r="A513" s="193" t="str">
        <f>IF('Observaciones-SMP'!A513="","",'Observaciones-SMP'!A513)</f>
        <v/>
      </c>
      <c r="B513" s="257" t="str">
        <f>IF('Observaciones-SMP'!B513="","",'Observaciones-SMP'!B513)</f>
        <v/>
      </c>
      <c r="C513" s="193" t="str">
        <f>IF('Observaciones-SMP'!C513="","",'Observaciones-SMP'!C513)</f>
        <v/>
      </c>
      <c r="D513" s="193" t="str">
        <f>IF('Observaciones-SMP'!D513="","",'Observaciones-SMP'!D513)</f>
        <v/>
      </c>
      <c r="E513" s="193" t="str">
        <f>IF('Observaciones-SMP'!E513="","",'Observaciones-SMP'!E513)</f>
        <v/>
      </c>
      <c r="F513" s="193" t="str">
        <f>IF('Observaciones-SMP'!F513="","",'Observaciones-SMP'!F513)</f>
        <v/>
      </c>
      <c r="G513" s="193" t="str">
        <f>IF('Observaciones-SMP'!G513="","",'Observaciones-SMP'!G513)</f>
        <v/>
      </c>
      <c r="H513" s="193" t="str">
        <f>IF('Observaciones-SMP'!H513="","",'Observaciones-SMP'!H513)</f>
        <v/>
      </c>
      <c r="I513" s="193" t="str">
        <f>IF('Observaciones-SMP'!I513="","",'Observaciones-SMP'!I513)</f>
        <v/>
      </c>
      <c r="J513" s="193" t="str">
        <f>IF('Observaciones-SMP'!J513="","",'Observaciones-SMP'!J513)</f>
        <v/>
      </c>
      <c r="K513" s="193" t="str">
        <f>IF('Observaciones-SMP'!K513="","",'Observaciones-SMP'!K513)</f>
        <v/>
      </c>
      <c r="L513" s="193" t="str">
        <f>IF('Observaciones-SMP'!L513="","",'Observaciones-SMP'!L513)</f>
        <v/>
      </c>
      <c r="M513" s="193" t="str">
        <f>IF('Observaciones-SMP'!M513="","",'Observaciones-SMP'!M513)</f>
        <v/>
      </c>
      <c r="N513" s="193" t="str">
        <f>IF('Observaciones-SMP'!N513="","",'Observaciones-SMP'!N513)</f>
        <v/>
      </c>
      <c r="O513" s="193" t="str">
        <f>IF('Observaciones-SMP'!O513="","",'Observaciones-SMP'!O513)</f>
        <v/>
      </c>
      <c r="P513" s="193" t="str">
        <f>IF('Observaciones-SMP'!P513="","",'Observaciones-SMP'!P513)</f>
        <v/>
      </c>
      <c r="Q513" s="257" t="str">
        <f>IF('Observaciones-SMP'!S513="","",'Observaciones-SMP'!S513)</f>
        <v/>
      </c>
      <c r="R513" s="193" t="str">
        <f>IF('Observaciones-SMP'!T513="","",'Observaciones-SMP'!T513)</f>
        <v/>
      </c>
      <c r="S513" s="193" t="str">
        <f>""</f>
        <v/>
      </c>
      <c r="T513" s="193" t="str">
        <f>""</f>
        <v/>
      </c>
      <c r="U513" s="193" t="str">
        <f t="shared" si="28"/>
        <v/>
      </c>
      <c r="V513" s="193" t="str">
        <f>""</f>
        <v/>
      </c>
      <c r="W513" s="193" t="str">
        <f>""</f>
        <v/>
      </c>
      <c r="X513" s="258" t="str">
        <f t="shared" si="29"/>
        <v/>
      </c>
      <c r="Y513" s="258" t="str">
        <f t="shared" si="30"/>
        <v/>
      </c>
      <c r="Z513" s="193" t="str">
        <f>IF(A513="","",IF(COUNTIF('Observaciones-SMP'!$A$2:$A$1001,A513)&gt;1,1,0))</f>
        <v/>
      </c>
      <c r="AA513" s="193" t="str">
        <f t="shared" si="31"/>
        <v/>
      </c>
    </row>
    <row r="514" spans="1:27" ht="13.5" customHeight="1" x14ac:dyDescent="0.3">
      <c r="A514" s="193" t="str">
        <f>IF('Observaciones-SMP'!A514="","",'Observaciones-SMP'!A514)</f>
        <v/>
      </c>
      <c r="B514" s="257" t="str">
        <f>IF('Observaciones-SMP'!B514="","",'Observaciones-SMP'!B514)</f>
        <v/>
      </c>
      <c r="C514" s="193" t="str">
        <f>IF('Observaciones-SMP'!C514="","",'Observaciones-SMP'!C514)</f>
        <v/>
      </c>
      <c r="D514" s="193" t="str">
        <f>IF('Observaciones-SMP'!D514="","",'Observaciones-SMP'!D514)</f>
        <v/>
      </c>
      <c r="E514" s="193" t="str">
        <f>IF('Observaciones-SMP'!E514="","",'Observaciones-SMP'!E514)</f>
        <v/>
      </c>
      <c r="F514" s="193" t="str">
        <f>IF('Observaciones-SMP'!F514="","",'Observaciones-SMP'!F514)</f>
        <v/>
      </c>
      <c r="G514" s="193" t="str">
        <f>IF('Observaciones-SMP'!G514="","",'Observaciones-SMP'!G514)</f>
        <v/>
      </c>
      <c r="H514" s="193" t="str">
        <f>IF('Observaciones-SMP'!H514="","",'Observaciones-SMP'!H514)</f>
        <v/>
      </c>
      <c r="I514" s="193" t="str">
        <f>IF('Observaciones-SMP'!I514="","",'Observaciones-SMP'!I514)</f>
        <v/>
      </c>
      <c r="J514" s="193" t="str">
        <f>IF('Observaciones-SMP'!J514="","",'Observaciones-SMP'!J514)</f>
        <v/>
      </c>
      <c r="K514" s="193" t="str">
        <f>IF('Observaciones-SMP'!K514="","",'Observaciones-SMP'!K514)</f>
        <v/>
      </c>
      <c r="L514" s="193" t="str">
        <f>IF('Observaciones-SMP'!L514="","",'Observaciones-SMP'!L514)</f>
        <v/>
      </c>
      <c r="M514" s="193" t="str">
        <f>IF('Observaciones-SMP'!M514="","",'Observaciones-SMP'!M514)</f>
        <v/>
      </c>
      <c r="N514" s="193" t="str">
        <f>IF('Observaciones-SMP'!N514="","",'Observaciones-SMP'!N514)</f>
        <v/>
      </c>
      <c r="O514" s="193" t="str">
        <f>IF('Observaciones-SMP'!O514="","",'Observaciones-SMP'!O514)</f>
        <v/>
      </c>
      <c r="P514" s="193" t="str">
        <f>IF('Observaciones-SMP'!P514="","",'Observaciones-SMP'!P514)</f>
        <v/>
      </c>
      <c r="Q514" s="257" t="str">
        <f>IF('Observaciones-SMP'!S514="","",'Observaciones-SMP'!S514)</f>
        <v/>
      </c>
      <c r="R514" s="193" t="str">
        <f>IF('Observaciones-SMP'!T514="","",'Observaciones-SMP'!T514)</f>
        <v/>
      </c>
      <c r="S514" s="193" t="str">
        <f>""</f>
        <v/>
      </c>
      <c r="T514" s="193" t="str">
        <f>""</f>
        <v/>
      </c>
      <c r="U514" s="193" t="str">
        <f t="shared" ref="U514:U577" si="32">IF(AND(ISNUMBER(B514),ISNUMBER(Q514)),IF(Q514&gt;=B514,Q514-B514,""),"")</f>
        <v/>
      </c>
      <c r="V514" s="193" t="str">
        <f>""</f>
        <v/>
      </c>
      <c r="W514" s="193" t="str">
        <f>""</f>
        <v/>
      </c>
      <c r="X514" s="258" t="str">
        <f t="shared" ref="X514:X577" si="33">IF(ISNUMBER(B514),DATE(YEAR(B514),MONTH(B514),1),"")</f>
        <v/>
      </c>
      <c r="Y514" s="258" t="str">
        <f t="shared" ref="Y514:Y577" si="34">IF(ISNUMBER(Q514),DATE(YEAR(Q514),MONTH(Q514),1),"")</f>
        <v/>
      </c>
      <c r="Z514" s="193" t="str">
        <f>IF(A514="","",IF(COUNTIF('Observaciones-SMP'!$A$2:$A$1001,A514)&gt;1,1,0))</f>
        <v/>
      </c>
      <c r="AA514" s="193" t="str">
        <f t="shared" ref="AA514:AA577" si="35">IF(ISNUMBER(B514),IF(ISNUMBER(Q514),Q514,DATE(YEAR(RPT_MONTH),MONTH(RPT_MONTH)+1,0))-B514,"")</f>
        <v/>
      </c>
    </row>
    <row r="515" spans="1:27" ht="13.5" customHeight="1" x14ac:dyDescent="0.3">
      <c r="A515" s="193" t="str">
        <f>IF('Observaciones-SMP'!A515="","",'Observaciones-SMP'!A515)</f>
        <v/>
      </c>
      <c r="B515" s="257" t="str">
        <f>IF('Observaciones-SMP'!B515="","",'Observaciones-SMP'!B515)</f>
        <v/>
      </c>
      <c r="C515" s="193" t="str">
        <f>IF('Observaciones-SMP'!C515="","",'Observaciones-SMP'!C515)</f>
        <v/>
      </c>
      <c r="D515" s="193" t="str">
        <f>IF('Observaciones-SMP'!D515="","",'Observaciones-SMP'!D515)</f>
        <v/>
      </c>
      <c r="E515" s="193" t="str">
        <f>IF('Observaciones-SMP'!E515="","",'Observaciones-SMP'!E515)</f>
        <v/>
      </c>
      <c r="F515" s="193" t="str">
        <f>IF('Observaciones-SMP'!F515="","",'Observaciones-SMP'!F515)</f>
        <v/>
      </c>
      <c r="G515" s="193" t="str">
        <f>IF('Observaciones-SMP'!G515="","",'Observaciones-SMP'!G515)</f>
        <v/>
      </c>
      <c r="H515" s="193" t="str">
        <f>IF('Observaciones-SMP'!H515="","",'Observaciones-SMP'!H515)</f>
        <v/>
      </c>
      <c r="I515" s="193" t="str">
        <f>IF('Observaciones-SMP'!I515="","",'Observaciones-SMP'!I515)</f>
        <v/>
      </c>
      <c r="J515" s="193" t="str">
        <f>IF('Observaciones-SMP'!J515="","",'Observaciones-SMP'!J515)</f>
        <v/>
      </c>
      <c r="K515" s="193" t="str">
        <f>IF('Observaciones-SMP'!K515="","",'Observaciones-SMP'!K515)</f>
        <v/>
      </c>
      <c r="L515" s="193" t="str">
        <f>IF('Observaciones-SMP'!L515="","",'Observaciones-SMP'!L515)</f>
        <v/>
      </c>
      <c r="M515" s="193" t="str">
        <f>IF('Observaciones-SMP'!M515="","",'Observaciones-SMP'!M515)</f>
        <v/>
      </c>
      <c r="N515" s="193" t="str">
        <f>IF('Observaciones-SMP'!N515="","",'Observaciones-SMP'!N515)</f>
        <v/>
      </c>
      <c r="O515" s="193" t="str">
        <f>IF('Observaciones-SMP'!O515="","",'Observaciones-SMP'!O515)</f>
        <v/>
      </c>
      <c r="P515" s="193" t="str">
        <f>IF('Observaciones-SMP'!P515="","",'Observaciones-SMP'!P515)</f>
        <v/>
      </c>
      <c r="Q515" s="257" t="str">
        <f>IF('Observaciones-SMP'!S515="","",'Observaciones-SMP'!S515)</f>
        <v/>
      </c>
      <c r="R515" s="193" t="str">
        <f>IF('Observaciones-SMP'!T515="","",'Observaciones-SMP'!T515)</f>
        <v/>
      </c>
      <c r="S515" s="193" t="str">
        <f>""</f>
        <v/>
      </c>
      <c r="T515" s="193" t="str">
        <f>""</f>
        <v/>
      </c>
      <c r="U515" s="193" t="str">
        <f t="shared" si="32"/>
        <v/>
      </c>
      <c r="V515" s="193" t="str">
        <f>""</f>
        <v/>
      </c>
      <c r="W515" s="193" t="str">
        <f>""</f>
        <v/>
      </c>
      <c r="X515" s="258" t="str">
        <f t="shared" si="33"/>
        <v/>
      </c>
      <c r="Y515" s="258" t="str">
        <f t="shared" si="34"/>
        <v/>
      </c>
      <c r="Z515" s="193" t="str">
        <f>IF(A515="","",IF(COUNTIF('Observaciones-SMP'!$A$2:$A$1001,A515)&gt;1,1,0))</f>
        <v/>
      </c>
      <c r="AA515" s="193" t="str">
        <f t="shared" si="35"/>
        <v/>
      </c>
    </row>
    <row r="516" spans="1:27" ht="13.5" customHeight="1" x14ac:dyDescent="0.3">
      <c r="A516" s="193" t="str">
        <f>IF('Observaciones-SMP'!A516="","",'Observaciones-SMP'!A516)</f>
        <v/>
      </c>
      <c r="B516" s="257" t="str">
        <f>IF('Observaciones-SMP'!B516="","",'Observaciones-SMP'!B516)</f>
        <v/>
      </c>
      <c r="C516" s="193" t="str">
        <f>IF('Observaciones-SMP'!C516="","",'Observaciones-SMP'!C516)</f>
        <v/>
      </c>
      <c r="D516" s="193" t="str">
        <f>IF('Observaciones-SMP'!D516="","",'Observaciones-SMP'!D516)</f>
        <v/>
      </c>
      <c r="E516" s="193" t="str">
        <f>IF('Observaciones-SMP'!E516="","",'Observaciones-SMP'!E516)</f>
        <v/>
      </c>
      <c r="F516" s="193" t="str">
        <f>IF('Observaciones-SMP'!F516="","",'Observaciones-SMP'!F516)</f>
        <v/>
      </c>
      <c r="G516" s="193" t="str">
        <f>IF('Observaciones-SMP'!G516="","",'Observaciones-SMP'!G516)</f>
        <v/>
      </c>
      <c r="H516" s="193" t="str">
        <f>IF('Observaciones-SMP'!H516="","",'Observaciones-SMP'!H516)</f>
        <v/>
      </c>
      <c r="I516" s="193" t="str">
        <f>IF('Observaciones-SMP'!I516="","",'Observaciones-SMP'!I516)</f>
        <v/>
      </c>
      <c r="J516" s="193" t="str">
        <f>IF('Observaciones-SMP'!J516="","",'Observaciones-SMP'!J516)</f>
        <v/>
      </c>
      <c r="K516" s="193" t="str">
        <f>IF('Observaciones-SMP'!K516="","",'Observaciones-SMP'!K516)</f>
        <v/>
      </c>
      <c r="L516" s="193" t="str">
        <f>IF('Observaciones-SMP'!L516="","",'Observaciones-SMP'!L516)</f>
        <v/>
      </c>
      <c r="M516" s="193" t="str">
        <f>IF('Observaciones-SMP'!M516="","",'Observaciones-SMP'!M516)</f>
        <v/>
      </c>
      <c r="N516" s="193" t="str">
        <f>IF('Observaciones-SMP'!N516="","",'Observaciones-SMP'!N516)</f>
        <v/>
      </c>
      <c r="O516" s="193" t="str">
        <f>IF('Observaciones-SMP'!O516="","",'Observaciones-SMP'!O516)</f>
        <v/>
      </c>
      <c r="P516" s="193" t="str">
        <f>IF('Observaciones-SMP'!P516="","",'Observaciones-SMP'!P516)</f>
        <v/>
      </c>
      <c r="Q516" s="257" t="str">
        <f>IF('Observaciones-SMP'!S516="","",'Observaciones-SMP'!S516)</f>
        <v/>
      </c>
      <c r="R516" s="193" t="str">
        <f>IF('Observaciones-SMP'!T516="","",'Observaciones-SMP'!T516)</f>
        <v/>
      </c>
      <c r="S516" s="193" t="str">
        <f>""</f>
        <v/>
      </c>
      <c r="T516" s="193" t="str">
        <f>""</f>
        <v/>
      </c>
      <c r="U516" s="193" t="str">
        <f t="shared" si="32"/>
        <v/>
      </c>
      <c r="V516" s="193" t="str">
        <f>""</f>
        <v/>
      </c>
      <c r="W516" s="193" t="str">
        <f>""</f>
        <v/>
      </c>
      <c r="X516" s="258" t="str">
        <f t="shared" si="33"/>
        <v/>
      </c>
      <c r="Y516" s="258" t="str">
        <f t="shared" si="34"/>
        <v/>
      </c>
      <c r="Z516" s="193" t="str">
        <f>IF(A516="","",IF(COUNTIF('Observaciones-SMP'!$A$2:$A$1001,A516)&gt;1,1,0))</f>
        <v/>
      </c>
      <c r="AA516" s="193" t="str">
        <f t="shared" si="35"/>
        <v/>
      </c>
    </row>
    <row r="517" spans="1:27" ht="13.5" customHeight="1" x14ac:dyDescent="0.3">
      <c r="A517" s="193" t="str">
        <f>IF('Observaciones-SMP'!A517="","",'Observaciones-SMP'!A517)</f>
        <v/>
      </c>
      <c r="B517" s="257" t="str">
        <f>IF('Observaciones-SMP'!B517="","",'Observaciones-SMP'!B517)</f>
        <v/>
      </c>
      <c r="C517" s="193" t="str">
        <f>IF('Observaciones-SMP'!C517="","",'Observaciones-SMP'!C517)</f>
        <v/>
      </c>
      <c r="D517" s="193" t="str">
        <f>IF('Observaciones-SMP'!D517="","",'Observaciones-SMP'!D517)</f>
        <v/>
      </c>
      <c r="E517" s="193" t="str">
        <f>IF('Observaciones-SMP'!E517="","",'Observaciones-SMP'!E517)</f>
        <v/>
      </c>
      <c r="F517" s="193" t="str">
        <f>IF('Observaciones-SMP'!F517="","",'Observaciones-SMP'!F517)</f>
        <v/>
      </c>
      <c r="G517" s="193" t="str">
        <f>IF('Observaciones-SMP'!G517="","",'Observaciones-SMP'!G517)</f>
        <v/>
      </c>
      <c r="H517" s="193" t="str">
        <f>IF('Observaciones-SMP'!H517="","",'Observaciones-SMP'!H517)</f>
        <v/>
      </c>
      <c r="I517" s="193" t="str">
        <f>IF('Observaciones-SMP'!I517="","",'Observaciones-SMP'!I517)</f>
        <v/>
      </c>
      <c r="J517" s="193" t="str">
        <f>IF('Observaciones-SMP'!J517="","",'Observaciones-SMP'!J517)</f>
        <v/>
      </c>
      <c r="K517" s="193" t="str">
        <f>IF('Observaciones-SMP'!K517="","",'Observaciones-SMP'!K517)</f>
        <v/>
      </c>
      <c r="L517" s="193" t="str">
        <f>IF('Observaciones-SMP'!L517="","",'Observaciones-SMP'!L517)</f>
        <v/>
      </c>
      <c r="M517" s="193" t="str">
        <f>IF('Observaciones-SMP'!M517="","",'Observaciones-SMP'!M517)</f>
        <v/>
      </c>
      <c r="N517" s="193" t="str">
        <f>IF('Observaciones-SMP'!N517="","",'Observaciones-SMP'!N517)</f>
        <v/>
      </c>
      <c r="O517" s="193" t="str">
        <f>IF('Observaciones-SMP'!O517="","",'Observaciones-SMP'!O517)</f>
        <v/>
      </c>
      <c r="P517" s="193" t="str">
        <f>IF('Observaciones-SMP'!P517="","",'Observaciones-SMP'!P517)</f>
        <v/>
      </c>
      <c r="Q517" s="257" t="str">
        <f>IF('Observaciones-SMP'!S517="","",'Observaciones-SMP'!S517)</f>
        <v/>
      </c>
      <c r="R517" s="193" t="str">
        <f>IF('Observaciones-SMP'!T517="","",'Observaciones-SMP'!T517)</f>
        <v/>
      </c>
      <c r="S517" s="193" t="str">
        <f>""</f>
        <v/>
      </c>
      <c r="T517" s="193" t="str">
        <f>""</f>
        <v/>
      </c>
      <c r="U517" s="193" t="str">
        <f t="shared" si="32"/>
        <v/>
      </c>
      <c r="V517" s="193" t="str">
        <f>""</f>
        <v/>
      </c>
      <c r="W517" s="193" t="str">
        <f>""</f>
        <v/>
      </c>
      <c r="X517" s="258" t="str">
        <f t="shared" si="33"/>
        <v/>
      </c>
      <c r="Y517" s="258" t="str">
        <f t="shared" si="34"/>
        <v/>
      </c>
      <c r="Z517" s="193" t="str">
        <f>IF(A517="","",IF(COUNTIF('Observaciones-SMP'!$A$2:$A$1001,A517)&gt;1,1,0))</f>
        <v/>
      </c>
      <c r="AA517" s="193" t="str">
        <f t="shared" si="35"/>
        <v/>
      </c>
    </row>
    <row r="518" spans="1:27" ht="13.5" customHeight="1" x14ac:dyDescent="0.3">
      <c r="A518" s="193" t="str">
        <f>IF('Observaciones-SMP'!A518="","",'Observaciones-SMP'!A518)</f>
        <v/>
      </c>
      <c r="B518" s="257" t="str">
        <f>IF('Observaciones-SMP'!B518="","",'Observaciones-SMP'!B518)</f>
        <v/>
      </c>
      <c r="C518" s="193" t="str">
        <f>IF('Observaciones-SMP'!C518="","",'Observaciones-SMP'!C518)</f>
        <v/>
      </c>
      <c r="D518" s="193" t="str">
        <f>IF('Observaciones-SMP'!D518="","",'Observaciones-SMP'!D518)</f>
        <v/>
      </c>
      <c r="E518" s="193" t="str">
        <f>IF('Observaciones-SMP'!E518="","",'Observaciones-SMP'!E518)</f>
        <v/>
      </c>
      <c r="F518" s="193" t="str">
        <f>IF('Observaciones-SMP'!F518="","",'Observaciones-SMP'!F518)</f>
        <v/>
      </c>
      <c r="G518" s="193" t="str">
        <f>IF('Observaciones-SMP'!G518="","",'Observaciones-SMP'!G518)</f>
        <v/>
      </c>
      <c r="H518" s="193" t="str">
        <f>IF('Observaciones-SMP'!H518="","",'Observaciones-SMP'!H518)</f>
        <v/>
      </c>
      <c r="I518" s="193" t="str">
        <f>IF('Observaciones-SMP'!I518="","",'Observaciones-SMP'!I518)</f>
        <v/>
      </c>
      <c r="J518" s="193" t="str">
        <f>IF('Observaciones-SMP'!J518="","",'Observaciones-SMP'!J518)</f>
        <v/>
      </c>
      <c r="K518" s="193" t="str">
        <f>IF('Observaciones-SMP'!K518="","",'Observaciones-SMP'!K518)</f>
        <v/>
      </c>
      <c r="L518" s="193" t="str">
        <f>IF('Observaciones-SMP'!L518="","",'Observaciones-SMP'!L518)</f>
        <v/>
      </c>
      <c r="M518" s="193" t="str">
        <f>IF('Observaciones-SMP'!M518="","",'Observaciones-SMP'!M518)</f>
        <v/>
      </c>
      <c r="N518" s="193" t="str">
        <f>IF('Observaciones-SMP'!N518="","",'Observaciones-SMP'!N518)</f>
        <v/>
      </c>
      <c r="O518" s="193" t="str">
        <f>IF('Observaciones-SMP'!O518="","",'Observaciones-SMP'!O518)</f>
        <v/>
      </c>
      <c r="P518" s="193" t="str">
        <f>IF('Observaciones-SMP'!P518="","",'Observaciones-SMP'!P518)</f>
        <v/>
      </c>
      <c r="Q518" s="257" t="str">
        <f>IF('Observaciones-SMP'!S518="","",'Observaciones-SMP'!S518)</f>
        <v/>
      </c>
      <c r="R518" s="193" t="str">
        <f>IF('Observaciones-SMP'!T518="","",'Observaciones-SMP'!T518)</f>
        <v/>
      </c>
      <c r="S518" s="193" t="str">
        <f>""</f>
        <v/>
      </c>
      <c r="T518" s="193" t="str">
        <f>""</f>
        <v/>
      </c>
      <c r="U518" s="193" t="str">
        <f t="shared" si="32"/>
        <v/>
      </c>
      <c r="V518" s="193" t="str">
        <f>""</f>
        <v/>
      </c>
      <c r="W518" s="193" t="str">
        <f>""</f>
        <v/>
      </c>
      <c r="X518" s="258" t="str">
        <f t="shared" si="33"/>
        <v/>
      </c>
      <c r="Y518" s="258" t="str">
        <f t="shared" si="34"/>
        <v/>
      </c>
      <c r="Z518" s="193" t="str">
        <f>IF(A518="","",IF(COUNTIF('Observaciones-SMP'!$A$2:$A$1001,A518)&gt;1,1,0))</f>
        <v/>
      </c>
      <c r="AA518" s="193" t="str">
        <f t="shared" si="35"/>
        <v/>
      </c>
    </row>
    <row r="519" spans="1:27" ht="13.5" customHeight="1" x14ac:dyDescent="0.3">
      <c r="A519" s="193" t="str">
        <f>IF('Observaciones-SMP'!A519="","",'Observaciones-SMP'!A519)</f>
        <v/>
      </c>
      <c r="B519" s="257" t="str">
        <f>IF('Observaciones-SMP'!B519="","",'Observaciones-SMP'!B519)</f>
        <v/>
      </c>
      <c r="C519" s="193" t="str">
        <f>IF('Observaciones-SMP'!C519="","",'Observaciones-SMP'!C519)</f>
        <v/>
      </c>
      <c r="D519" s="193" t="str">
        <f>IF('Observaciones-SMP'!D519="","",'Observaciones-SMP'!D519)</f>
        <v/>
      </c>
      <c r="E519" s="193" t="str">
        <f>IF('Observaciones-SMP'!E519="","",'Observaciones-SMP'!E519)</f>
        <v/>
      </c>
      <c r="F519" s="193" t="str">
        <f>IF('Observaciones-SMP'!F519="","",'Observaciones-SMP'!F519)</f>
        <v/>
      </c>
      <c r="G519" s="193" t="str">
        <f>IF('Observaciones-SMP'!G519="","",'Observaciones-SMP'!G519)</f>
        <v/>
      </c>
      <c r="H519" s="193" t="str">
        <f>IF('Observaciones-SMP'!H519="","",'Observaciones-SMP'!H519)</f>
        <v/>
      </c>
      <c r="I519" s="193" t="str">
        <f>IF('Observaciones-SMP'!I519="","",'Observaciones-SMP'!I519)</f>
        <v/>
      </c>
      <c r="J519" s="193" t="str">
        <f>IF('Observaciones-SMP'!J519="","",'Observaciones-SMP'!J519)</f>
        <v/>
      </c>
      <c r="K519" s="193" t="str">
        <f>IF('Observaciones-SMP'!K519="","",'Observaciones-SMP'!K519)</f>
        <v/>
      </c>
      <c r="L519" s="193" t="str">
        <f>IF('Observaciones-SMP'!L519="","",'Observaciones-SMP'!L519)</f>
        <v/>
      </c>
      <c r="M519" s="193" t="str">
        <f>IF('Observaciones-SMP'!M519="","",'Observaciones-SMP'!M519)</f>
        <v/>
      </c>
      <c r="N519" s="193" t="str">
        <f>IF('Observaciones-SMP'!N519="","",'Observaciones-SMP'!N519)</f>
        <v/>
      </c>
      <c r="O519" s="193" t="str">
        <f>IF('Observaciones-SMP'!O519="","",'Observaciones-SMP'!O519)</f>
        <v/>
      </c>
      <c r="P519" s="193" t="str">
        <f>IF('Observaciones-SMP'!P519="","",'Observaciones-SMP'!P519)</f>
        <v/>
      </c>
      <c r="Q519" s="257" t="str">
        <f>IF('Observaciones-SMP'!S519="","",'Observaciones-SMP'!S519)</f>
        <v/>
      </c>
      <c r="R519" s="193" t="str">
        <f>IF('Observaciones-SMP'!T519="","",'Observaciones-SMP'!T519)</f>
        <v/>
      </c>
      <c r="S519" s="193" t="str">
        <f>""</f>
        <v/>
      </c>
      <c r="T519" s="193" t="str">
        <f>""</f>
        <v/>
      </c>
      <c r="U519" s="193" t="str">
        <f t="shared" si="32"/>
        <v/>
      </c>
      <c r="V519" s="193" t="str">
        <f>""</f>
        <v/>
      </c>
      <c r="W519" s="193" t="str">
        <f>""</f>
        <v/>
      </c>
      <c r="X519" s="258" t="str">
        <f t="shared" si="33"/>
        <v/>
      </c>
      <c r="Y519" s="258" t="str">
        <f t="shared" si="34"/>
        <v/>
      </c>
      <c r="Z519" s="193" t="str">
        <f>IF(A519="","",IF(COUNTIF('Observaciones-SMP'!$A$2:$A$1001,A519)&gt;1,1,0))</f>
        <v/>
      </c>
      <c r="AA519" s="193" t="str">
        <f t="shared" si="35"/>
        <v/>
      </c>
    </row>
    <row r="520" spans="1:27" ht="13.5" customHeight="1" x14ac:dyDescent="0.3">
      <c r="A520" s="193" t="str">
        <f>IF('Observaciones-SMP'!A520="","",'Observaciones-SMP'!A520)</f>
        <v/>
      </c>
      <c r="B520" s="257" t="str">
        <f>IF('Observaciones-SMP'!B520="","",'Observaciones-SMP'!B520)</f>
        <v/>
      </c>
      <c r="C520" s="193" t="str">
        <f>IF('Observaciones-SMP'!C520="","",'Observaciones-SMP'!C520)</f>
        <v/>
      </c>
      <c r="D520" s="193" t="str">
        <f>IF('Observaciones-SMP'!D520="","",'Observaciones-SMP'!D520)</f>
        <v/>
      </c>
      <c r="E520" s="193" t="str">
        <f>IF('Observaciones-SMP'!E520="","",'Observaciones-SMP'!E520)</f>
        <v/>
      </c>
      <c r="F520" s="193" t="str">
        <f>IF('Observaciones-SMP'!F520="","",'Observaciones-SMP'!F520)</f>
        <v/>
      </c>
      <c r="G520" s="193" t="str">
        <f>IF('Observaciones-SMP'!G520="","",'Observaciones-SMP'!G520)</f>
        <v/>
      </c>
      <c r="H520" s="193" t="str">
        <f>IF('Observaciones-SMP'!H520="","",'Observaciones-SMP'!H520)</f>
        <v/>
      </c>
      <c r="I520" s="193" t="str">
        <f>IF('Observaciones-SMP'!I520="","",'Observaciones-SMP'!I520)</f>
        <v/>
      </c>
      <c r="J520" s="193" t="str">
        <f>IF('Observaciones-SMP'!J520="","",'Observaciones-SMP'!J520)</f>
        <v/>
      </c>
      <c r="K520" s="193" t="str">
        <f>IF('Observaciones-SMP'!K520="","",'Observaciones-SMP'!K520)</f>
        <v/>
      </c>
      <c r="L520" s="193" t="str">
        <f>IF('Observaciones-SMP'!L520="","",'Observaciones-SMP'!L520)</f>
        <v/>
      </c>
      <c r="M520" s="193" t="str">
        <f>IF('Observaciones-SMP'!M520="","",'Observaciones-SMP'!M520)</f>
        <v/>
      </c>
      <c r="N520" s="193" t="str">
        <f>IF('Observaciones-SMP'!N520="","",'Observaciones-SMP'!N520)</f>
        <v/>
      </c>
      <c r="O520" s="193" t="str">
        <f>IF('Observaciones-SMP'!O520="","",'Observaciones-SMP'!O520)</f>
        <v/>
      </c>
      <c r="P520" s="193" t="str">
        <f>IF('Observaciones-SMP'!P520="","",'Observaciones-SMP'!P520)</f>
        <v/>
      </c>
      <c r="Q520" s="257" t="str">
        <f>IF('Observaciones-SMP'!S520="","",'Observaciones-SMP'!S520)</f>
        <v/>
      </c>
      <c r="R520" s="193" t="str">
        <f>IF('Observaciones-SMP'!T520="","",'Observaciones-SMP'!T520)</f>
        <v/>
      </c>
      <c r="S520" s="193" t="str">
        <f>""</f>
        <v/>
      </c>
      <c r="T520" s="193" t="str">
        <f>""</f>
        <v/>
      </c>
      <c r="U520" s="193" t="str">
        <f t="shared" si="32"/>
        <v/>
      </c>
      <c r="V520" s="193" t="str">
        <f>""</f>
        <v/>
      </c>
      <c r="W520" s="193" t="str">
        <f>""</f>
        <v/>
      </c>
      <c r="X520" s="258" t="str">
        <f t="shared" si="33"/>
        <v/>
      </c>
      <c r="Y520" s="258" t="str">
        <f t="shared" si="34"/>
        <v/>
      </c>
      <c r="Z520" s="193" t="str">
        <f>IF(A520="","",IF(COUNTIF('Observaciones-SMP'!$A$2:$A$1001,A520)&gt;1,1,0))</f>
        <v/>
      </c>
      <c r="AA520" s="193" t="str">
        <f t="shared" si="35"/>
        <v/>
      </c>
    </row>
    <row r="521" spans="1:27" ht="13.5" customHeight="1" x14ac:dyDescent="0.3">
      <c r="A521" s="193" t="str">
        <f>IF('Observaciones-SMP'!A521="","",'Observaciones-SMP'!A521)</f>
        <v/>
      </c>
      <c r="B521" s="257" t="str">
        <f>IF('Observaciones-SMP'!B521="","",'Observaciones-SMP'!B521)</f>
        <v/>
      </c>
      <c r="C521" s="193" t="str">
        <f>IF('Observaciones-SMP'!C521="","",'Observaciones-SMP'!C521)</f>
        <v/>
      </c>
      <c r="D521" s="193" t="str">
        <f>IF('Observaciones-SMP'!D521="","",'Observaciones-SMP'!D521)</f>
        <v/>
      </c>
      <c r="E521" s="193" t="str">
        <f>IF('Observaciones-SMP'!E521="","",'Observaciones-SMP'!E521)</f>
        <v/>
      </c>
      <c r="F521" s="193" t="str">
        <f>IF('Observaciones-SMP'!F521="","",'Observaciones-SMP'!F521)</f>
        <v/>
      </c>
      <c r="G521" s="193" t="str">
        <f>IF('Observaciones-SMP'!G521="","",'Observaciones-SMP'!G521)</f>
        <v/>
      </c>
      <c r="H521" s="193" t="str">
        <f>IF('Observaciones-SMP'!H521="","",'Observaciones-SMP'!H521)</f>
        <v/>
      </c>
      <c r="I521" s="193" t="str">
        <f>IF('Observaciones-SMP'!I521="","",'Observaciones-SMP'!I521)</f>
        <v/>
      </c>
      <c r="J521" s="193" t="str">
        <f>IF('Observaciones-SMP'!J521="","",'Observaciones-SMP'!J521)</f>
        <v/>
      </c>
      <c r="K521" s="193" t="str">
        <f>IF('Observaciones-SMP'!K521="","",'Observaciones-SMP'!K521)</f>
        <v/>
      </c>
      <c r="L521" s="193" t="str">
        <f>IF('Observaciones-SMP'!L521="","",'Observaciones-SMP'!L521)</f>
        <v/>
      </c>
      <c r="M521" s="193" t="str">
        <f>IF('Observaciones-SMP'!M521="","",'Observaciones-SMP'!M521)</f>
        <v/>
      </c>
      <c r="N521" s="193" t="str">
        <f>IF('Observaciones-SMP'!N521="","",'Observaciones-SMP'!N521)</f>
        <v/>
      </c>
      <c r="O521" s="193" t="str">
        <f>IF('Observaciones-SMP'!O521="","",'Observaciones-SMP'!O521)</f>
        <v/>
      </c>
      <c r="P521" s="193" t="str">
        <f>IF('Observaciones-SMP'!P521="","",'Observaciones-SMP'!P521)</f>
        <v/>
      </c>
      <c r="Q521" s="257" t="str">
        <f>IF('Observaciones-SMP'!S521="","",'Observaciones-SMP'!S521)</f>
        <v/>
      </c>
      <c r="R521" s="193" t="str">
        <f>IF('Observaciones-SMP'!T521="","",'Observaciones-SMP'!T521)</f>
        <v/>
      </c>
      <c r="S521" s="193" t="str">
        <f>""</f>
        <v/>
      </c>
      <c r="T521" s="193" t="str">
        <f>""</f>
        <v/>
      </c>
      <c r="U521" s="193" t="str">
        <f t="shared" si="32"/>
        <v/>
      </c>
      <c r="V521" s="193" t="str">
        <f>""</f>
        <v/>
      </c>
      <c r="W521" s="193" t="str">
        <f>""</f>
        <v/>
      </c>
      <c r="X521" s="258" t="str">
        <f t="shared" si="33"/>
        <v/>
      </c>
      <c r="Y521" s="258" t="str">
        <f t="shared" si="34"/>
        <v/>
      </c>
      <c r="Z521" s="193" t="str">
        <f>IF(A521="","",IF(COUNTIF('Observaciones-SMP'!$A$2:$A$1001,A521)&gt;1,1,0))</f>
        <v/>
      </c>
      <c r="AA521" s="193" t="str">
        <f t="shared" si="35"/>
        <v/>
      </c>
    </row>
    <row r="522" spans="1:27" ht="13.5" customHeight="1" x14ac:dyDescent="0.3">
      <c r="A522" s="193" t="str">
        <f>IF('Observaciones-SMP'!A522="","",'Observaciones-SMP'!A522)</f>
        <v/>
      </c>
      <c r="B522" s="257" t="str">
        <f>IF('Observaciones-SMP'!B522="","",'Observaciones-SMP'!B522)</f>
        <v/>
      </c>
      <c r="C522" s="193" t="str">
        <f>IF('Observaciones-SMP'!C522="","",'Observaciones-SMP'!C522)</f>
        <v/>
      </c>
      <c r="D522" s="193" t="str">
        <f>IF('Observaciones-SMP'!D522="","",'Observaciones-SMP'!D522)</f>
        <v/>
      </c>
      <c r="E522" s="193" t="str">
        <f>IF('Observaciones-SMP'!E522="","",'Observaciones-SMP'!E522)</f>
        <v/>
      </c>
      <c r="F522" s="193" t="str">
        <f>IF('Observaciones-SMP'!F522="","",'Observaciones-SMP'!F522)</f>
        <v/>
      </c>
      <c r="G522" s="193" t="str">
        <f>IF('Observaciones-SMP'!G522="","",'Observaciones-SMP'!G522)</f>
        <v/>
      </c>
      <c r="H522" s="193" t="str">
        <f>IF('Observaciones-SMP'!H522="","",'Observaciones-SMP'!H522)</f>
        <v/>
      </c>
      <c r="I522" s="193" t="str">
        <f>IF('Observaciones-SMP'!I522="","",'Observaciones-SMP'!I522)</f>
        <v/>
      </c>
      <c r="J522" s="193" t="str">
        <f>IF('Observaciones-SMP'!J522="","",'Observaciones-SMP'!J522)</f>
        <v/>
      </c>
      <c r="K522" s="193" t="str">
        <f>IF('Observaciones-SMP'!K522="","",'Observaciones-SMP'!K522)</f>
        <v/>
      </c>
      <c r="L522" s="193" t="str">
        <f>IF('Observaciones-SMP'!L522="","",'Observaciones-SMP'!L522)</f>
        <v/>
      </c>
      <c r="M522" s="193" t="str">
        <f>IF('Observaciones-SMP'!M522="","",'Observaciones-SMP'!M522)</f>
        <v/>
      </c>
      <c r="N522" s="193" t="str">
        <f>IF('Observaciones-SMP'!N522="","",'Observaciones-SMP'!N522)</f>
        <v/>
      </c>
      <c r="O522" s="193" t="str">
        <f>IF('Observaciones-SMP'!O522="","",'Observaciones-SMP'!O522)</f>
        <v/>
      </c>
      <c r="P522" s="193" t="str">
        <f>IF('Observaciones-SMP'!P522="","",'Observaciones-SMP'!P522)</f>
        <v/>
      </c>
      <c r="Q522" s="257" t="str">
        <f>IF('Observaciones-SMP'!S522="","",'Observaciones-SMP'!S522)</f>
        <v/>
      </c>
      <c r="R522" s="193" t="str">
        <f>IF('Observaciones-SMP'!T522="","",'Observaciones-SMP'!T522)</f>
        <v/>
      </c>
      <c r="S522" s="193" t="str">
        <f>""</f>
        <v/>
      </c>
      <c r="T522" s="193" t="str">
        <f>""</f>
        <v/>
      </c>
      <c r="U522" s="193" t="str">
        <f t="shared" si="32"/>
        <v/>
      </c>
      <c r="V522" s="193" t="str">
        <f>""</f>
        <v/>
      </c>
      <c r="W522" s="193" t="str">
        <f>""</f>
        <v/>
      </c>
      <c r="X522" s="258" t="str">
        <f t="shared" si="33"/>
        <v/>
      </c>
      <c r="Y522" s="258" t="str">
        <f t="shared" si="34"/>
        <v/>
      </c>
      <c r="Z522" s="193" t="str">
        <f>IF(A522="","",IF(COUNTIF('Observaciones-SMP'!$A$2:$A$1001,A522)&gt;1,1,0))</f>
        <v/>
      </c>
      <c r="AA522" s="193" t="str">
        <f t="shared" si="35"/>
        <v/>
      </c>
    </row>
    <row r="523" spans="1:27" ht="13.5" customHeight="1" x14ac:dyDescent="0.3">
      <c r="A523" s="193" t="str">
        <f>IF('Observaciones-SMP'!A523="","",'Observaciones-SMP'!A523)</f>
        <v/>
      </c>
      <c r="B523" s="257" t="str">
        <f>IF('Observaciones-SMP'!B523="","",'Observaciones-SMP'!B523)</f>
        <v/>
      </c>
      <c r="C523" s="193" t="str">
        <f>IF('Observaciones-SMP'!C523="","",'Observaciones-SMP'!C523)</f>
        <v/>
      </c>
      <c r="D523" s="193" t="str">
        <f>IF('Observaciones-SMP'!D523="","",'Observaciones-SMP'!D523)</f>
        <v/>
      </c>
      <c r="E523" s="193" t="str">
        <f>IF('Observaciones-SMP'!E523="","",'Observaciones-SMP'!E523)</f>
        <v/>
      </c>
      <c r="F523" s="193" t="str">
        <f>IF('Observaciones-SMP'!F523="","",'Observaciones-SMP'!F523)</f>
        <v/>
      </c>
      <c r="G523" s="193" t="str">
        <f>IF('Observaciones-SMP'!G523="","",'Observaciones-SMP'!G523)</f>
        <v/>
      </c>
      <c r="H523" s="193" t="str">
        <f>IF('Observaciones-SMP'!H523="","",'Observaciones-SMP'!H523)</f>
        <v/>
      </c>
      <c r="I523" s="193" t="str">
        <f>IF('Observaciones-SMP'!I523="","",'Observaciones-SMP'!I523)</f>
        <v/>
      </c>
      <c r="J523" s="193" t="str">
        <f>IF('Observaciones-SMP'!J523="","",'Observaciones-SMP'!J523)</f>
        <v/>
      </c>
      <c r="K523" s="193" t="str">
        <f>IF('Observaciones-SMP'!K523="","",'Observaciones-SMP'!K523)</f>
        <v/>
      </c>
      <c r="L523" s="193" t="str">
        <f>IF('Observaciones-SMP'!L523="","",'Observaciones-SMP'!L523)</f>
        <v/>
      </c>
      <c r="M523" s="193" t="str">
        <f>IF('Observaciones-SMP'!M523="","",'Observaciones-SMP'!M523)</f>
        <v/>
      </c>
      <c r="N523" s="193" t="str">
        <f>IF('Observaciones-SMP'!N523="","",'Observaciones-SMP'!N523)</f>
        <v/>
      </c>
      <c r="O523" s="193" t="str">
        <f>IF('Observaciones-SMP'!O523="","",'Observaciones-SMP'!O523)</f>
        <v/>
      </c>
      <c r="P523" s="193" t="str">
        <f>IF('Observaciones-SMP'!P523="","",'Observaciones-SMP'!P523)</f>
        <v/>
      </c>
      <c r="Q523" s="257" t="str">
        <f>IF('Observaciones-SMP'!S523="","",'Observaciones-SMP'!S523)</f>
        <v/>
      </c>
      <c r="R523" s="193" t="str">
        <f>IF('Observaciones-SMP'!T523="","",'Observaciones-SMP'!T523)</f>
        <v/>
      </c>
      <c r="S523" s="193" t="str">
        <f>""</f>
        <v/>
      </c>
      <c r="T523" s="193" t="str">
        <f>""</f>
        <v/>
      </c>
      <c r="U523" s="193" t="str">
        <f t="shared" si="32"/>
        <v/>
      </c>
      <c r="V523" s="193" t="str">
        <f>""</f>
        <v/>
      </c>
      <c r="W523" s="193" t="str">
        <f>""</f>
        <v/>
      </c>
      <c r="X523" s="258" t="str">
        <f t="shared" si="33"/>
        <v/>
      </c>
      <c r="Y523" s="258" t="str">
        <f t="shared" si="34"/>
        <v/>
      </c>
      <c r="Z523" s="193" t="str">
        <f>IF(A523="","",IF(COUNTIF('Observaciones-SMP'!$A$2:$A$1001,A523)&gt;1,1,0))</f>
        <v/>
      </c>
      <c r="AA523" s="193" t="str">
        <f t="shared" si="35"/>
        <v/>
      </c>
    </row>
    <row r="524" spans="1:27" ht="13.5" customHeight="1" x14ac:dyDescent="0.3">
      <c r="A524" s="193" t="str">
        <f>IF('Observaciones-SMP'!A524="","",'Observaciones-SMP'!A524)</f>
        <v/>
      </c>
      <c r="B524" s="257" t="str">
        <f>IF('Observaciones-SMP'!B524="","",'Observaciones-SMP'!B524)</f>
        <v/>
      </c>
      <c r="C524" s="193" t="str">
        <f>IF('Observaciones-SMP'!C524="","",'Observaciones-SMP'!C524)</f>
        <v/>
      </c>
      <c r="D524" s="193" t="str">
        <f>IF('Observaciones-SMP'!D524="","",'Observaciones-SMP'!D524)</f>
        <v/>
      </c>
      <c r="E524" s="193" t="str">
        <f>IF('Observaciones-SMP'!E524="","",'Observaciones-SMP'!E524)</f>
        <v/>
      </c>
      <c r="F524" s="193" t="str">
        <f>IF('Observaciones-SMP'!F524="","",'Observaciones-SMP'!F524)</f>
        <v/>
      </c>
      <c r="G524" s="193" t="str">
        <f>IF('Observaciones-SMP'!G524="","",'Observaciones-SMP'!G524)</f>
        <v/>
      </c>
      <c r="H524" s="193" t="str">
        <f>IF('Observaciones-SMP'!H524="","",'Observaciones-SMP'!H524)</f>
        <v/>
      </c>
      <c r="I524" s="193" t="str">
        <f>IF('Observaciones-SMP'!I524="","",'Observaciones-SMP'!I524)</f>
        <v/>
      </c>
      <c r="J524" s="193" t="str">
        <f>IF('Observaciones-SMP'!J524="","",'Observaciones-SMP'!J524)</f>
        <v/>
      </c>
      <c r="K524" s="193" t="str">
        <f>IF('Observaciones-SMP'!K524="","",'Observaciones-SMP'!K524)</f>
        <v/>
      </c>
      <c r="L524" s="193" t="str">
        <f>IF('Observaciones-SMP'!L524="","",'Observaciones-SMP'!L524)</f>
        <v/>
      </c>
      <c r="M524" s="193" t="str">
        <f>IF('Observaciones-SMP'!M524="","",'Observaciones-SMP'!M524)</f>
        <v/>
      </c>
      <c r="N524" s="193" t="str">
        <f>IF('Observaciones-SMP'!N524="","",'Observaciones-SMP'!N524)</f>
        <v/>
      </c>
      <c r="O524" s="193" t="str">
        <f>IF('Observaciones-SMP'!O524="","",'Observaciones-SMP'!O524)</f>
        <v/>
      </c>
      <c r="P524" s="193" t="str">
        <f>IF('Observaciones-SMP'!P524="","",'Observaciones-SMP'!P524)</f>
        <v/>
      </c>
      <c r="Q524" s="257" t="str">
        <f>IF('Observaciones-SMP'!S524="","",'Observaciones-SMP'!S524)</f>
        <v/>
      </c>
      <c r="R524" s="193" t="str">
        <f>IF('Observaciones-SMP'!T524="","",'Observaciones-SMP'!T524)</f>
        <v/>
      </c>
      <c r="S524" s="193" t="str">
        <f>""</f>
        <v/>
      </c>
      <c r="T524" s="193" t="str">
        <f>""</f>
        <v/>
      </c>
      <c r="U524" s="193" t="str">
        <f t="shared" si="32"/>
        <v/>
      </c>
      <c r="V524" s="193" t="str">
        <f>""</f>
        <v/>
      </c>
      <c r="W524" s="193" t="str">
        <f>""</f>
        <v/>
      </c>
      <c r="X524" s="258" t="str">
        <f t="shared" si="33"/>
        <v/>
      </c>
      <c r="Y524" s="258" t="str">
        <f t="shared" si="34"/>
        <v/>
      </c>
      <c r="Z524" s="193" t="str">
        <f>IF(A524="","",IF(COUNTIF('Observaciones-SMP'!$A$2:$A$1001,A524)&gt;1,1,0))</f>
        <v/>
      </c>
      <c r="AA524" s="193" t="str">
        <f t="shared" si="35"/>
        <v/>
      </c>
    </row>
    <row r="525" spans="1:27" ht="13.5" customHeight="1" x14ac:dyDescent="0.3">
      <c r="A525" s="193" t="str">
        <f>IF('Observaciones-SMP'!A525="","",'Observaciones-SMP'!A525)</f>
        <v/>
      </c>
      <c r="B525" s="257" t="str">
        <f>IF('Observaciones-SMP'!B525="","",'Observaciones-SMP'!B525)</f>
        <v/>
      </c>
      <c r="C525" s="193" t="str">
        <f>IF('Observaciones-SMP'!C525="","",'Observaciones-SMP'!C525)</f>
        <v/>
      </c>
      <c r="D525" s="193" t="str">
        <f>IF('Observaciones-SMP'!D525="","",'Observaciones-SMP'!D525)</f>
        <v/>
      </c>
      <c r="E525" s="193" t="str">
        <f>IF('Observaciones-SMP'!E525="","",'Observaciones-SMP'!E525)</f>
        <v/>
      </c>
      <c r="F525" s="193" t="str">
        <f>IF('Observaciones-SMP'!F525="","",'Observaciones-SMP'!F525)</f>
        <v/>
      </c>
      <c r="G525" s="193" t="str">
        <f>IF('Observaciones-SMP'!G525="","",'Observaciones-SMP'!G525)</f>
        <v/>
      </c>
      <c r="H525" s="193" t="str">
        <f>IF('Observaciones-SMP'!H525="","",'Observaciones-SMP'!H525)</f>
        <v/>
      </c>
      <c r="I525" s="193" t="str">
        <f>IF('Observaciones-SMP'!I525="","",'Observaciones-SMP'!I525)</f>
        <v/>
      </c>
      <c r="J525" s="193" t="str">
        <f>IF('Observaciones-SMP'!J525="","",'Observaciones-SMP'!J525)</f>
        <v/>
      </c>
      <c r="K525" s="193" t="str">
        <f>IF('Observaciones-SMP'!K525="","",'Observaciones-SMP'!K525)</f>
        <v/>
      </c>
      <c r="L525" s="193" t="str">
        <f>IF('Observaciones-SMP'!L525="","",'Observaciones-SMP'!L525)</f>
        <v/>
      </c>
      <c r="M525" s="193" t="str">
        <f>IF('Observaciones-SMP'!M525="","",'Observaciones-SMP'!M525)</f>
        <v/>
      </c>
      <c r="N525" s="193" t="str">
        <f>IF('Observaciones-SMP'!N525="","",'Observaciones-SMP'!N525)</f>
        <v/>
      </c>
      <c r="O525" s="193" t="str">
        <f>IF('Observaciones-SMP'!O525="","",'Observaciones-SMP'!O525)</f>
        <v/>
      </c>
      <c r="P525" s="193" t="str">
        <f>IF('Observaciones-SMP'!P525="","",'Observaciones-SMP'!P525)</f>
        <v/>
      </c>
      <c r="Q525" s="257" t="str">
        <f>IF('Observaciones-SMP'!S525="","",'Observaciones-SMP'!S525)</f>
        <v/>
      </c>
      <c r="R525" s="193" t="str">
        <f>IF('Observaciones-SMP'!T525="","",'Observaciones-SMP'!T525)</f>
        <v/>
      </c>
      <c r="S525" s="193" t="str">
        <f>""</f>
        <v/>
      </c>
      <c r="T525" s="193" t="str">
        <f>""</f>
        <v/>
      </c>
      <c r="U525" s="193" t="str">
        <f t="shared" si="32"/>
        <v/>
      </c>
      <c r="V525" s="193" t="str">
        <f>""</f>
        <v/>
      </c>
      <c r="W525" s="193" t="str">
        <f>""</f>
        <v/>
      </c>
      <c r="X525" s="258" t="str">
        <f t="shared" si="33"/>
        <v/>
      </c>
      <c r="Y525" s="258" t="str">
        <f t="shared" si="34"/>
        <v/>
      </c>
      <c r="Z525" s="193" t="str">
        <f>IF(A525="","",IF(COUNTIF('Observaciones-SMP'!$A$2:$A$1001,A525)&gt;1,1,0))</f>
        <v/>
      </c>
      <c r="AA525" s="193" t="str">
        <f t="shared" si="35"/>
        <v/>
      </c>
    </row>
    <row r="526" spans="1:27" ht="13.5" customHeight="1" x14ac:dyDescent="0.3">
      <c r="A526" s="193" t="str">
        <f>IF('Observaciones-SMP'!A526="","",'Observaciones-SMP'!A526)</f>
        <v/>
      </c>
      <c r="B526" s="257" t="str">
        <f>IF('Observaciones-SMP'!B526="","",'Observaciones-SMP'!B526)</f>
        <v/>
      </c>
      <c r="C526" s="193" t="str">
        <f>IF('Observaciones-SMP'!C526="","",'Observaciones-SMP'!C526)</f>
        <v/>
      </c>
      <c r="D526" s="193" t="str">
        <f>IF('Observaciones-SMP'!D526="","",'Observaciones-SMP'!D526)</f>
        <v/>
      </c>
      <c r="E526" s="193" t="str">
        <f>IF('Observaciones-SMP'!E526="","",'Observaciones-SMP'!E526)</f>
        <v/>
      </c>
      <c r="F526" s="193" t="str">
        <f>IF('Observaciones-SMP'!F526="","",'Observaciones-SMP'!F526)</f>
        <v/>
      </c>
      <c r="G526" s="193" t="str">
        <f>IF('Observaciones-SMP'!G526="","",'Observaciones-SMP'!G526)</f>
        <v/>
      </c>
      <c r="H526" s="193" t="str">
        <f>IF('Observaciones-SMP'!H526="","",'Observaciones-SMP'!H526)</f>
        <v/>
      </c>
      <c r="I526" s="193" t="str">
        <f>IF('Observaciones-SMP'!I526="","",'Observaciones-SMP'!I526)</f>
        <v/>
      </c>
      <c r="J526" s="193" t="str">
        <f>IF('Observaciones-SMP'!J526="","",'Observaciones-SMP'!J526)</f>
        <v/>
      </c>
      <c r="K526" s="193" t="str">
        <f>IF('Observaciones-SMP'!K526="","",'Observaciones-SMP'!K526)</f>
        <v/>
      </c>
      <c r="L526" s="193" t="str">
        <f>IF('Observaciones-SMP'!L526="","",'Observaciones-SMP'!L526)</f>
        <v/>
      </c>
      <c r="M526" s="193" t="str">
        <f>IF('Observaciones-SMP'!M526="","",'Observaciones-SMP'!M526)</f>
        <v/>
      </c>
      <c r="N526" s="193" t="str">
        <f>IF('Observaciones-SMP'!N526="","",'Observaciones-SMP'!N526)</f>
        <v/>
      </c>
      <c r="O526" s="193" t="str">
        <f>IF('Observaciones-SMP'!O526="","",'Observaciones-SMP'!O526)</f>
        <v/>
      </c>
      <c r="P526" s="193" t="str">
        <f>IF('Observaciones-SMP'!P526="","",'Observaciones-SMP'!P526)</f>
        <v/>
      </c>
      <c r="Q526" s="257" t="str">
        <f>IF('Observaciones-SMP'!S526="","",'Observaciones-SMP'!S526)</f>
        <v/>
      </c>
      <c r="R526" s="193" t="str">
        <f>IF('Observaciones-SMP'!T526="","",'Observaciones-SMP'!T526)</f>
        <v/>
      </c>
      <c r="S526" s="193" t="str">
        <f>""</f>
        <v/>
      </c>
      <c r="T526" s="193" t="str">
        <f>""</f>
        <v/>
      </c>
      <c r="U526" s="193" t="str">
        <f t="shared" si="32"/>
        <v/>
      </c>
      <c r="V526" s="193" t="str">
        <f>""</f>
        <v/>
      </c>
      <c r="W526" s="193" t="str">
        <f>""</f>
        <v/>
      </c>
      <c r="X526" s="258" t="str">
        <f t="shared" si="33"/>
        <v/>
      </c>
      <c r="Y526" s="258" t="str">
        <f t="shared" si="34"/>
        <v/>
      </c>
      <c r="Z526" s="193" t="str">
        <f>IF(A526="","",IF(COUNTIF('Observaciones-SMP'!$A$2:$A$1001,A526)&gt;1,1,0))</f>
        <v/>
      </c>
      <c r="AA526" s="193" t="str">
        <f t="shared" si="35"/>
        <v/>
      </c>
    </row>
    <row r="527" spans="1:27" ht="13.5" customHeight="1" x14ac:dyDescent="0.3">
      <c r="A527" s="193" t="str">
        <f>IF('Observaciones-SMP'!A527="","",'Observaciones-SMP'!A527)</f>
        <v/>
      </c>
      <c r="B527" s="257" t="str">
        <f>IF('Observaciones-SMP'!B527="","",'Observaciones-SMP'!B527)</f>
        <v/>
      </c>
      <c r="C527" s="193" t="str">
        <f>IF('Observaciones-SMP'!C527="","",'Observaciones-SMP'!C527)</f>
        <v/>
      </c>
      <c r="D527" s="193" t="str">
        <f>IF('Observaciones-SMP'!D527="","",'Observaciones-SMP'!D527)</f>
        <v/>
      </c>
      <c r="E527" s="193" t="str">
        <f>IF('Observaciones-SMP'!E527="","",'Observaciones-SMP'!E527)</f>
        <v/>
      </c>
      <c r="F527" s="193" t="str">
        <f>IF('Observaciones-SMP'!F527="","",'Observaciones-SMP'!F527)</f>
        <v/>
      </c>
      <c r="G527" s="193" t="str">
        <f>IF('Observaciones-SMP'!G527="","",'Observaciones-SMP'!G527)</f>
        <v/>
      </c>
      <c r="H527" s="193" t="str">
        <f>IF('Observaciones-SMP'!H527="","",'Observaciones-SMP'!H527)</f>
        <v/>
      </c>
      <c r="I527" s="193" t="str">
        <f>IF('Observaciones-SMP'!I527="","",'Observaciones-SMP'!I527)</f>
        <v/>
      </c>
      <c r="J527" s="193" t="str">
        <f>IF('Observaciones-SMP'!J527="","",'Observaciones-SMP'!J527)</f>
        <v/>
      </c>
      <c r="K527" s="193" t="str">
        <f>IF('Observaciones-SMP'!K527="","",'Observaciones-SMP'!K527)</f>
        <v/>
      </c>
      <c r="L527" s="193" t="str">
        <f>IF('Observaciones-SMP'!L527="","",'Observaciones-SMP'!L527)</f>
        <v/>
      </c>
      <c r="M527" s="193" t="str">
        <f>IF('Observaciones-SMP'!M527="","",'Observaciones-SMP'!M527)</f>
        <v/>
      </c>
      <c r="N527" s="193" t="str">
        <f>IF('Observaciones-SMP'!N527="","",'Observaciones-SMP'!N527)</f>
        <v/>
      </c>
      <c r="O527" s="193" t="str">
        <f>IF('Observaciones-SMP'!O527="","",'Observaciones-SMP'!O527)</f>
        <v/>
      </c>
      <c r="P527" s="193" t="str">
        <f>IF('Observaciones-SMP'!P527="","",'Observaciones-SMP'!P527)</f>
        <v/>
      </c>
      <c r="Q527" s="257" t="str">
        <f>IF('Observaciones-SMP'!S527="","",'Observaciones-SMP'!S527)</f>
        <v/>
      </c>
      <c r="R527" s="193" t="str">
        <f>IF('Observaciones-SMP'!T527="","",'Observaciones-SMP'!T527)</f>
        <v/>
      </c>
      <c r="S527" s="193" t="str">
        <f>""</f>
        <v/>
      </c>
      <c r="T527" s="193" t="str">
        <f>""</f>
        <v/>
      </c>
      <c r="U527" s="193" t="str">
        <f t="shared" si="32"/>
        <v/>
      </c>
      <c r="V527" s="193" t="str">
        <f>""</f>
        <v/>
      </c>
      <c r="W527" s="193" t="str">
        <f>""</f>
        <v/>
      </c>
      <c r="X527" s="258" t="str">
        <f t="shared" si="33"/>
        <v/>
      </c>
      <c r="Y527" s="258" t="str">
        <f t="shared" si="34"/>
        <v/>
      </c>
      <c r="Z527" s="193" t="str">
        <f>IF(A527="","",IF(COUNTIF('Observaciones-SMP'!$A$2:$A$1001,A527)&gt;1,1,0))</f>
        <v/>
      </c>
      <c r="AA527" s="193" t="str">
        <f t="shared" si="35"/>
        <v/>
      </c>
    </row>
    <row r="528" spans="1:27" ht="13.5" customHeight="1" x14ac:dyDescent="0.3">
      <c r="A528" s="193" t="str">
        <f>IF('Observaciones-SMP'!A528="","",'Observaciones-SMP'!A528)</f>
        <v/>
      </c>
      <c r="B528" s="257" t="str">
        <f>IF('Observaciones-SMP'!B528="","",'Observaciones-SMP'!B528)</f>
        <v/>
      </c>
      <c r="C528" s="193" t="str">
        <f>IF('Observaciones-SMP'!C528="","",'Observaciones-SMP'!C528)</f>
        <v/>
      </c>
      <c r="D528" s="193" t="str">
        <f>IF('Observaciones-SMP'!D528="","",'Observaciones-SMP'!D528)</f>
        <v/>
      </c>
      <c r="E528" s="193" t="str">
        <f>IF('Observaciones-SMP'!E528="","",'Observaciones-SMP'!E528)</f>
        <v/>
      </c>
      <c r="F528" s="193" t="str">
        <f>IF('Observaciones-SMP'!F528="","",'Observaciones-SMP'!F528)</f>
        <v/>
      </c>
      <c r="G528" s="193" t="str">
        <f>IF('Observaciones-SMP'!G528="","",'Observaciones-SMP'!G528)</f>
        <v/>
      </c>
      <c r="H528" s="193" t="str">
        <f>IF('Observaciones-SMP'!H528="","",'Observaciones-SMP'!H528)</f>
        <v/>
      </c>
      <c r="I528" s="193" t="str">
        <f>IF('Observaciones-SMP'!I528="","",'Observaciones-SMP'!I528)</f>
        <v/>
      </c>
      <c r="J528" s="193" t="str">
        <f>IF('Observaciones-SMP'!J528="","",'Observaciones-SMP'!J528)</f>
        <v/>
      </c>
      <c r="K528" s="193" t="str">
        <f>IF('Observaciones-SMP'!K528="","",'Observaciones-SMP'!K528)</f>
        <v/>
      </c>
      <c r="L528" s="193" t="str">
        <f>IF('Observaciones-SMP'!L528="","",'Observaciones-SMP'!L528)</f>
        <v/>
      </c>
      <c r="M528" s="193" t="str">
        <f>IF('Observaciones-SMP'!M528="","",'Observaciones-SMP'!M528)</f>
        <v/>
      </c>
      <c r="N528" s="193" t="str">
        <f>IF('Observaciones-SMP'!N528="","",'Observaciones-SMP'!N528)</f>
        <v/>
      </c>
      <c r="O528" s="193" t="str">
        <f>IF('Observaciones-SMP'!O528="","",'Observaciones-SMP'!O528)</f>
        <v/>
      </c>
      <c r="P528" s="193" t="str">
        <f>IF('Observaciones-SMP'!P528="","",'Observaciones-SMP'!P528)</f>
        <v/>
      </c>
      <c r="Q528" s="257" t="str">
        <f>IF('Observaciones-SMP'!S528="","",'Observaciones-SMP'!S528)</f>
        <v/>
      </c>
      <c r="R528" s="193" t="str">
        <f>IF('Observaciones-SMP'!T528="","",'Observaciones-SMP'!T528)</f>
        <v/>
      </c>
      <c r="S528" s="193" t="str">
        <f>""</f>
        <v/>
      </c>
      <c r="T528" s="193" t="str">
        <f>""</f>
        <v/>
      </c>
      <c r="U528" s="193" t="str">
        <f t="shared" si="32"/>
        <v/>
      </c>
      <c r="V528" s="193" t="str">
        <f>""</f>
        <v/>
      </c>
      <c r="W528" s="193" t="str">
        <f>""</f>
        <v/>
      </c>
      <c r="X528" s="258" t="str">
        <f t="shared" si="33"/>
        <v/>
      </c>
      <c r="Y528" s="258" t="str">
        <f t="shared" si="34"/>
        <v/>
      </c>
      <c r="Z528" s="193" t="str">
        <f>IF(A528="","",IF(COUNTIF('Observaciones-SMP'!$A$2:$A$1001,A528)&gt;1,1,0))</f>
        <v/>
      </c>
      <c r="AA528" s="193" t="str">
        <f t="shared" si="35"/>
        <v/>
      </c>
    </row>
    <row r="529" spans="1:27" ht="13.5" customHeight="1" x14ac:dyDescent="0.3">
      <c r="A529" s="193" t="str">
        <f>IF('Observaciones-SMP'!A529="","",'Observaciones-SMP'!A529)</f>
        <v/>
      </c>
      <c r="B529" s="257" t="str">
        <f>IF('Observaciones-SMP'!B529="","",'Observaciones-SMP'!B529)</f>
        <v/>
      </c>
      <c r="C529" s="193" t="str">
        <f>IF('Observaciones-SMP'!C529="","",'Observaciones-SMP'!C529)</f>
        <v/>
      </c>
      <c r="D529" s="193" t="str">
        <f>IF('Observaciones-SMP'!D529="","",'Observaciones-SMP'!D529)</f>
        <v/>
      </c>
      <c r="E529" s="193" t="str">
        <f>IF('Observaciones-SMP'!E529="","",'Observaciones-SMP'!E529)</f>
        <v/>
      </c>
      <c r="F529" s="193" t="str">
        <f>IF('Observaciones-SMP'!F529="","",'Observaciones-SMP'!F529)</f>
        <v/>
      </c>
      <c r="G529" s="193" t="str">
        <f>IF('Observaciones-SMP'!G529="","",'Observaciones-SMP'!G529)</f>
        <v/>
      </c>
      <c r="H529" s="193" t="str">
        <f>IF('Observaciones-SMP'!H529="","",'Observaciones-SMP'!H529)</f>
        <v/>
      </c>
      <c r="I529" s="193" t="str">
        <f>IF('Observaciones-SMP'!I529="","",'Observaciones-SMP'!I529)</f>
        <v/>
      </c>
      <c r="J529" s="193" t="str">
        <f>IF('Observaciones-SMP'!J529="","",'Observaciones-SMP'!J529)</f>
        <v/>
      </c>
      <c r="K529" s="193" t="str">
        <f>IF('Observaciones-SMP'!K529="","",'Observaciones-SMP'!K529)</f>
        <v/>
      </c>
      <c r="L529" s="193" t="str">
        <f>IF('Observaciones-SMP'!L529="","",'Observaciones-SMP'!L529)</f>
        <v/>
      </c>
      <c r="M529" s="193" t="str">
        <f>IF('Observaciones-SMP'!M529="","",'Observaciones-SMP'!M529)</f>
        <v/>
      </c>
      <c r="N529" s="193" t="str">
        <f>IF('Observaciones-SMP'!N529="","",'Observaciones-SMP'!N529)</f>
        <v/>
      </c>
      <c r="O529" s="193" t="str">
        <f>IF('Observaciones-SMP'!O529="","",'Observaciones-SMP'!O529)</f>
        <v/>
      </c>
      <c r="P529" s="193" t="str">
        <f>IF('Observaciones-SMP'!P529="","",'Observaciones-SMP'!P529)</f>
        <v/>
      </c>
      <c r="Q529" s="257" t="str">
        <f>IF('Observaciones-SMP'!S529="","",'Observaciones-SMP'!S529)</f>
        <v/>
      </c>
      <c r="R529" s="193" t="str">
        <f>IF('Observaciones-SMP'!T529="","",'Observaciones-SMP'!T529)</f>
        <v/>
      </c>
      <c r="S529" s="193" t="str">
        <f>""</f>
        <v/>
      </c>
      <c r="T529" s="193" t="str">
        <f>""</f>
        <v/>
      </c>
      <c r="U529" s="193" t="str">
        <f t="shared" si="32"/>
        <v/>
      </c>
      <c r="V529" s="193" t="str">
        <f>""</f>
        <v/>
      </c>
      <c r="W529" s="193" t="str">
        <f>""</f>
        <v/>
      </c>
      <c r="X529" s="258" t="str">
        <f t="shared" si="33"/>
        <v/>
      </c>
      <c r="Y529" s="258" t="str">
        <f t="shared" si="34"/>
        <v/>
      </c>
      <c r="Z529" s="193" t="str">
        <f>IF(A529="","",IF(COUNTIF('Observaciones-SMP'!$A$2:$A$1001,A529)&gt;1,1,0))</f>
        <v/>
      </c>
      <c r="AA529" s="193" t="str">
        <f t="shared" si="35"/>
        <v/>
      </c>
    </row>
    <row r="530" spans="1:27" ht="13.5" customHeight="1" x14ac:dyDescent="0.3">
      <c r="A530" s="193" t="str">
        <f>IF('Observaciones-SMP'!A530="","",'Observaciones-SMP'!A530)</f>
        <v/>
      </c>
      <c r="B530" s="257" t="str">
        <f>IF('Observaciones-SMP'!B530="","",'Observaciones-SMP'!B530)</f>
        <v/>
      </c>
      <c r="C530" s="193" t="str">
        <f>IF('Observaciones-SMP'!C530="","",'Observaciones-SMP'!C530)</f>
        <v/>
      </c>
      <c r="D530" s="193" t="str">
        <f>IF('Observaciones-SMP'!D530="","",'Observaciones-SMP'!D530)</f>
        <v/>
      </c>
      <c r="E530" s="193" t="str">
        <f>IF('Observaciones-SMP'!E530="","",'Observaciones-SMP'!E530)</f>
        <v/>
      </c>
      <c r="F530" s="193" t="str">
        <f>IF('Observaciones-SMP'!F530="","",'Observaciones-SMP'!F530)</f>
        <v/>
      </c>
      <c r="G530" s="193" t="str">
        <f>IF('Observaciones-SMP'!G530="","",'Observaciones-SMP'!G530)</f>
        <v/>
      </c>
      <c r="H530" s="193" t="str">
        <f>IF('Observaciones-SMP'!H530="","",'Observaciones-SMP'!H530)</f>
        <v/>
      </c>
      <c r="I530" s="193" t="str">
        <f>IF('Observaciones-SMP'!I530="","",'Observaciones-SMP'!I530)</f>
        <v/>
      </c>
      <c r="J530" s="193" t="str">
        <f>IF('Observaciones-SMP'!J530="","",'Observaciones-SMP'!J530)</f>
        <v/>
      </c>
      <c r="K530" s="193" t="str">
        <f>IF('Observaciones-SMP'!K530="","",'Observaciones-SMP'!K530)</f>
        <v/>
      </c>
      <c r="L530" s="193" t="str">
        <f>IF('Observaciones-SMP'!L530="","",'Observaciones-SMP'!L530)</f>
        <v/>
      </c>
      <c r="M530" s="193" t="str">
        <f>IF('Observaciones-SMP'!M530="","",'Observaciones-SMP'!M530)</f>
        <v/>
      </c>
      <c r="N530" s="193" t="str">
        <f>IF('Observaciones-SMP'!N530="","",'Observaciones-SMP'!N530)</f>
        <v/>
      </c>
      <c r="O530" s="193" t="str">
        <f>IF('Observaciones-SMP'!O530="","",'Observaciones-SMP'!O530)</f>
        <v/>
      </c>
      <c r="P530" s="193" t="str">
        <f>IF('Observaciones-SMP'!P530="","",'Observaciones-SMP'!P530)</f>
        <v/>
      </c>
      <c r="Q530" s="257" t="str">
        <f>IF('Observaciones-SMP'!S530="","",'Observaciones-SMP'!S530)</f>
        <v/>
      </c>
      <c r="R530" s="193" t="str">
        <f>IF('Observaciones-SMP'!T530="","",'Observaciones-SMP'!T530)</f>
        <v/>
      </c>
      <c r="S530" s="193" t="str">
        <f>""</f>
        <v/>
      </c>
      <c r="T530" s="193" t="str">
        <f>""</f>
        <v/>
      </c>
      <c r="U530" s="193" t="str">
        <f t="shared" si="32"/>
        <v/>
      </c>
      <c r="V530" s="193" t="str">
        <f>""</f>
        <v/>
      </c>
      <c r="W530" s="193" t="str">
        <f>""</f>
        <v/>
      </c>
      <c r="X530" s="258" t="str">
        <f t="shared" si="33"/>
        <v/>
      </c>
      <c r="Y530" s="258" t="str">
        <f t="shared" si="34"/>
        <v/>
      </c>
      <c r="Z530" s="193" t="str">
        <f>IF(A530="","",IF(COUNTIF('Observaciones-SMP'!$A$2:$A$1001,A530)&gt;1,1,0))</f>
        <v/>
      </c>
      <c r="AA530" s="193" t="str">
        <f t="shared" si="35"/>
        <v/>
      </c>
    </row>
    <row r="531" spans="1:27" ht="13.5" customHeight="1" x14ac:dyDescent="0.3">
      <c r="A531" s="193" t="str">
        <f>IF('Observaciones-SMP'!A531="","",'Observaciones-SMP'!A531)</f>
        <v/>
      </c>
      <c r="B531" s="257" t="str">
        <f>IF('Observaciones-SMP'!B531="","",'Observaciones-SMP'!B531)</f>
        <v/>
      </c>
      <c r="C531" s="193" t="str">
        <f>IF('Observaciones-SMP'!C531="","",'Observaciones-SMP'!C531)</f>
        <v/>
      </c>
      <c r="D531" s="193" t="str">
        <f>IF('Observaciones-SMP'!D531="","",'Observaciones-SMP'!D531)</f>
        <v/>
      </c>
      <c r="E531" s="193" t="str">
        <f>IF('Observaciones-SMP'!E531="","",'Observaciones-SMP'!E531)</f>
        <v/>
      </c>
      <c r="F531" s="193" t="str">
        <f>IF('Observaciones-SMP'!F531="","",'Observaciones-SMP'!F531)</f>
        <v/>
      </c>
      <c r="G531" s="193" t="str">
        <f>IF('Observaciones-SMP'!G531="","",'Observaciones-SMP'!G531)</f>
        <v/>
      </c>
      <c r="H531" s="193" t="str">
        <f>IF('Observaciones-SMP'!H531="","",'Observaciones-SMP'!H531)</f>
        <v/>
      </c>
      <c r="I531" s="193" t="str">
        <f>IF('Observaciones-SMP'!I531="","",'Observaciones-SMP'!I531)</f>
        <v/>
      </c>
      <c r="J531" s="193" t="str">
        <f>IF('Observaciones-SMP'!J531="","",'Observaciones-SMP'!J531)</f>
        <v/>
      </c>
      <c r="K531" s="193" t="str">
        <f>IF('Observaciones-SMP'!K531="","",'Observaciones-SMP'!K531)</f>
        <v/>
      </c>
      <c r="L531" s="193" t="str">
        <f>IF('Observaciones-SMP'!L531="","",'Observaciones-SMP'!L531)</f>
        <v/>
      </c>
      <c r="M531" s="193" t="str">
        <f>IF('Observaciones-SMP'!M531="","",'Observaciones-SMP'!M531)</f>
        <v/>
      </c>
      <c r="N531" s="193" t="str">
        <f>IF('Observaciones-SMP'!N531="","",'Observaciones-SMP'!N531)</f>
        <v/>
      </c>
      <c r="O531" s="193" t="str">
        <f>IF('Observaciones-SMP'!O531="","",'Observaciones-SMP'!O531)</f>
        <v/>
      </c>
      <c r="P531" s="193" t="str">
        <f>IF('Observaciones-SMP'!P531="","",'Observaciones-SMP'!P531)</f>
        <v/>
      </c>
      <c r="Q531" s="257" t="str">
        <f>IF('Observaciones-SMP'!S531="","",'Observaciones-SMP'!S531)</f>
        <v/>
      </c>
      <c r="R531" s="193" t="str">
        <f>IF('Observaciones-SMP'!T531="","",'Observaciones-SMP'!T531)</f>
        <v/>
      </c>
      <c r="S531" s="193" t="str">
        <f>""</f>
        <v/>
      </c>
      <c r="T531" s="193" t="str">
        <f>""</f>
        <v/>
      </c>
      <c r="U531" s="193" t="str">
        <f t="shared" si="32"/>
        <v/>
      </c>
      <c r="V531" s="193" t="str">
        <f>""</f>
        <v/>
      </c>
      <c r="W531" s="193" t="str">
        <f>""</f>
        <v/>
      </c>
      <c r="X531" s="258" t="str">
        <f t="shared" si="33"/>
        <v/>
      </c>
      <c r="Y531" s="258" t="str">
        <f t="shared" si="34"/>
        <v/>
      </c>
      <c r="Z531" s="193" t="str">
        <f>IF(A531="","",IF(COUNTIF('Observaciones-SMP'!$A$2:$A$1001,A531)&gt;1,1,0))</f>
        <v/>
      </c>
      <c r="AA531" s="193" t="str">
        <f t="shared" si="35"/>
        <v/>
      </c>
    </row>
    <row r="532" spans="1:27" ht="13.5" customHeight="1" x14ac:dyDescent="0.3">
      <c r="A532" s="193" t="str">
        <f>IF('Observaciones-SMP'!A532="","",'Observaciones-SMP'!A532)</f>
        <v/>
      </c>
      <c r="B532" s="257" t="str">
        <f>IF('Observaciones-SMP'!B532="","",'Observaciones-SMP'!B532)</f>
        <v/>
      </c>
      <c r="C532" s="193" t="str">
        <f>IF('Observaciones-SMP'!C532="","",'Observaciones-SMP'!C532)</f>
        <v/>
      </c>
      <c r="D532" s="193" t="str">
        <f>IF('Observaciones-SMP'!D532="","",'Observaciones-SMP'!D532)</f>
        <v/>
      </c>
      <c r="E532" s="193" t="str">
        <f>IF('Observaciones-SMP'!E532="","",'Observaciones-SMP'!E532)</f>
        <v/>
      </c>
      <c r="F532" s="193" t="str">
        <f>IF('Observaciones-SMP'!F532="","",'Observaciones-SMP'!F532)</f>
        <v/>
      </c>
      <c r="G532" s="193" t="str">
        <f>IF('Observaciones-SMP'!G532="","",'Observaciones-SMP'!G532)</f>
        <v/>
      </c>
      <c r="H532" s="193" t="str">
        <f>IF('Observaciones-SMP'!H532="","",'Observaciones-SMP'!H532)</f>
        <v/>
      </c>
      <c r="I532" s="193" t="str">
        <f>IF('Observaciones-SMP'!I532="","",'Observaciones-SMP'!I532)</f>
        <v/>
      </c>
      <c r="J532" s="193" t="str">
        <f>IF('Observaciones-SMP'!J532="","",'Observaciones-SMP'!J532)</f>
        <v/>
      </c>
      <c r="K532" s="193" t="str">
        <f>IF('Observaciones-SMP'!K532="","",'Observaciones-SMP'!K532)</f>
        <v/>
      </c>
      <c r="L532" s="193" t="str">
        <f>IF('Observaciones-SMP'!L532="","",'Observaciones-SMP'!L532)</f>
        <v/>
      </c>
      <c r="M532" s="193" t="str">
        <f>IF('Observaciones-SMP'!M532="","",'Observaciones-SMP'!M532)</f>
        <v/>
      </c>
      <c r="N532" s="193" t="str">
        <f>IF('Observaciones-SMP'!N532="","",'Observaciones-SMP'!N532)</f>
        <v/>
      </c>
      <c r="O532" s="193" t="str">
        <f>IF('Observaciones-SMP'!O532="","",'Observaciones-SMP'!O532)</f>
        <v/>
      </c>
      <c r="P532" s="193" t="str">
        <f>IF('Observaciones-SMP'!P532="","",'Observaciones-SMP'!P532)</f>
        <v/>
      </c>
      <c r="Q532" s="257" t="str">
        <f>IF('Observaciones-SMP'!S532="","",'Observaciones-SMP'!S532)</f>
        <v/>
      </c>
      <c r="R532" s="193" t="str">
        <f>IF('Observaciones-SMP'!T532="","",'Observaciones-SMP'!T532)</f>
        <v/>
      </c>
      <c r="S532" s="193" t="str">
        <f>""</f>
        <v/>
      </c>
      <c r="T532" s="193" t="str">
        <f>""</f>
        <v/>
      </c>
      <c r="U532" s="193" t="str">
        <f t="shared" si="32"/>
        <v/>
      </c>
      <c r="V532" s="193" t="str">
        <f>""</f>
        <v/>
      </c>
      <c r="W532" s="193" t="str">
        <f>""</f>
        <v/>
      </c>
      <c r="X532" s="258" t="str">
        <f t="shared" si="33"/>
        <v/>
      </c>
      <c r="Y532" s="258" t="str">
        <f t="shared" si="34"/>
        <v/>
      </c>
      <c r="Z532" s="193" t="str">
        <f>IF(A532="","",IF(COUNTIF('Observaciones-SMP'!$A$2:$A$1001,A532)&gt;1,1,0))</f>
        <v/>
      </c>
      <c r="AA532" s="193" t="str">
        <f t="shared" si="35"/>
        <v/>
      </c>
    </row>
    <row r="533" spans="1:27" ht="13.5" customHeight="1" x14ac:dyDescent="0.3">
      <c r="A533" s="193" t="str">
        <f>IF('Observaciones-SMP'!A533="","",'Observaciones-SMP'!A533)</f>
        <v/>
      </c>
      <c r="B533" s="257" t="str">
        <f>IF('Observaciones-SMP'!B533="","",'Observaciones-SMP'!B533)</f>
        <v/>
      </c>
      <c r="C533" s="193" t="str">
        <f>IF('Observaciones-SMP'!C533="","",'Observaciones-SMP'!C533)</f>
        <v/>
      </c>
      <c r="D533" s="193" t="str">
        <f>IF('Observaciones-SMP'!D533="","",'Observaciones-SMP'!D533)</f>
        <v/>
      </c>
      <c r="E533" s="193" t="str">
        <f>IF('Observaciones-SMP'!E533="","",'Observaciones-SMP'!E533)</f>
        <v/>
      </c>
      <c r="F533" s="193" t="str">
        <f>IF('Observaciones-SMP'!F533="","",'Observaciones-SMP'!F533)</f>
        <v/>
      </c>
      <c r="G533" s="193" t="str">
        <f>IF('Observaciones-SMP'!G533="","",'Observaciones-SMP'!G533)</f>
        <v/>
      </c>
      <c r="H533" s="193" t="str">
        <f>IF('Observaciones-SMP'!H533="","",'Observaciones-SMP'!H533)</f>
        <v/>
      </c>
      <c r="I533" s="193" t="str">
        <f>IF('Observaciones-SMP'!I533="","",'Observaciones-SMP'!I533)</f>
        <v/>
      </c>
      <c r="J533" s="193" t="str">
        <f>IF('Observaciones-SMP'!J533="","",'Observaciones-SMP'!J533)</f>
        <v/>
      </c>
      <c r="K533" s="193" t="str">
        <f>IF('Observaciones-SMP'!K533="","",'Observaciones-SMP'!K533)</f>
        <v/>
      </c>
      <c r="L533" s="193" t="str">
        <f>IF('Observaciones-SMP'!L533="","",'Observaciones-SMP'!L533)</f>
        <v/>
      </c>
      <c r="M533" s="193" t="str">
        <f>IF('Observaciones-SMP'!M533="","",'Observaciones-SMP'!M533)</f>
        <v/>
      </c>
      <c r="N533" s="193" t="str">
        <f>IF('Observaciones-SMP'!N533="","",'Observaciones-SMP'!N533)</f>
        <v/>
      </c>
      <c r="O533" s="193" t="str">
        <f>IF('Observaciones-SMP'!O533="","",'Observaciones-SMP'!O533)</f>
        <v/>
      </c>
      <c r="P533" s="193" t="str">
        <f>IF('Observaciones-SMP'!P533="","",'Observaciones-SMP'!P533)</f>
        <v/>
      </c>
      <c r="Q533" s="257" t="str">
        <f>IF('Observaciones-SMP'!S533="","",'Observaciones-SMP'!S533)</f>
        <v/>
      </c>
      <c r="R533" s="193" t="str">
        <f>IF('Observaciones-SMP'!T533="","",'Observaciones-SMP'!T533)</f>
        <v/>
      </c>
      <c r="S533" s="193" t="str">
        <f>""</f>
        <v/>
      </c>
      <c r="T533" s="193" t="str">
        <f>""</f>
        <v/>
      </c>
      <c r="U533" s="193" t="str">
        <f t="shared" si="32"/>
        <v/>
      </c>
      <c r="V533" s="193" t="str">
        <f>""</f>
        <v/>
      </c>
      <c r="W533" s="193" t="str">
        <f>""</f>
        <v/>
      </c>
      <c r="X533" s="258" t="str">
        <f t="shared" si="33"/>
        <v/>
      </c>
      <c r="Y533" s="258" t="str">
        <f t="shared" si="34"/>
        <v/>
      </c>
      <c r="Z533" s="193" t="str">
        <f>IF(A533="","",IF(COUNTIF('Observaciones-SMP'!$A$2:$A$1001,A533)&gt;1,1,0))</f>
        <v/>
      </c>
      <c r="AA533" s="193" t="str">
        <f t="shared" si="35"/>
        <v/>
      </c>
    </row>
    <row r="534" spans="1:27" ht="13.5" customHeight="1" x14ac:dyDescent="0.3">
      <c r="A534" s="193" t="str">
        <f>IF('Observaciones-SMP'!A534="","",'Observaciones-SMP'!A534)</f>
        <v/>
      </c>
      <c r="B534" s="257" t="str">
        <f>IF('Observaciones-SMP'!B534="","",'Observaciones-SMP'!B534)</f>
        <v/>
      </c>
      <c r="C534" s="193" t="str">
        <f>IF('Observaciones-SMP'!C534="","",'Observaciones-SMP'!C534)</f>
        <v/>
      </c>
      <c r="D534" s="193" t="str">
        <f>IF('Observaciones-SMP'!D534="","",'Observaciones-SMP'!D534)</f>
        <v/>
      </c>
      <c r="E534" s="193" t="str">
        <f>IF('Observaciones-SMP'!E534="","",'Observaciones-SMP'!E534)</f>
        <v/>
      </c>
      <c r="F534" s="193" t="str">
        <f>IF('Observaciones-SMP'!F534="","",'Observaciones-SMP'!F534)</f>
        <v/>
      </c>
      <c r="G534" s="193" t="str">
        <f>IF('Observaciones-SMP'!G534="","",'Observaciones-SMP'!G534)</f>
        <v/>
      </c>
      <c r="H534" s="193" t="str">
        <f>IF('Observaciones-SMP'!H534="","",'Observaciones-SMP'!H534)</f>
        <v/>
      </c>
      <c r="I534" s="193" t="str">
        <f>IF('Observaciones-SMP'!I534="","",'Observaciones-SMP'!I534)</f>
        <v/>
      </c>
      <c r="J534" s="193" t="str">
        <f>IF('Observaciones-SMP'!J534="","",'Observaciones-SMP'!J534)</f>
        <v/>
      </c>
      <c r="K534" s="193" t="str">
        <f>IF('Observaciones-SMP'!K534="","",'Observaciones-SMP'!K534)</f>
        <v/>
      </c>
      <c r="L534" s="193" t="str">
        <f>IF('Observaciones-SMP'!L534="","",'Observaciones-SMP'!L534)</f>
        <v/>
      </c>
      <c r="M534" s="193" t="str">
        <f>IF('Observaciones-SMP'!M534="","",'Observaciones-SMP'!M534)</f>
        <v/>
      </c>
      <c r="N534" s="193" t="str">
        <f>IF('Observaciones-SMP'!N534="","",'Observaciones-SMP'!N534)</f>
        <v/>
      </c>
      <c r="O534" s="193" t="str">
        <f>IF('Observaciones-SMP'!O534="","",'Observaciones-SMP'!O534)</f>
        <v/>
      </c>
      <c r="P534" s="193" t="str">
        <f>IF('Observaciones-SMP'!P534="","",'Observaciones-SMP'!P534)</f>
        <v/>
      </c>
      <c r="Q534" s="257" t="str">
        <f>IF('Observaciones-SMP'!S534="","",'Observaciones-SMP'!S534)</f>
        <v/>
      </c>
      <c r="R534" s="193" t="str">
        <f>IF('Observaciones-SMP'!T534="","",'Observaciones-SMP'!T534)</f>
        <v/>
      </c>
      <c r="S534" s="193" t="str">
        <f>""</f>
        <v/>
      </c>
      <c r="T534" s="193" t="str">
        <f>""</f>
        <v/>
      </c>
      <c r="U534" s="193" t="str">
        <f t="shared" si="32"/>
        <v/>
      </c>
      <c r="V534" s="193" t="str">
        <f>""</f>
        <v/>
      </c>
      <c r="W534" s="193" t="str">
        <f>""</f>
        <v/>
      </c>
      <c r="X534" s="258" t="str">
        <f t="shared" si="33"/>
        <v/>
      </c>
      <c r="Y534" s="258" t="str">
        <f t="shared" si="34"/>
        <v/>
      </c>
      <c r="Z534" s="193" t="str">
        <f>IF(A534="","",IF(COUNTIF('Observaciones-SMP'!$A$2:$A$1001,A534)&gt;1,1,0))</f>
        <v/>
      </c>
      <c r="AA534" s="193" t="str">
        <f t="shared" si="35"/>
        <v/>
      </c>
    </row>
    <row r="535" spans="1:27" ht="13.5" customHeight="1" x14ac:dyDescent="0.3">
      <c r="A535" s="193" t="str">
        <f>IF('Observaciones-SMP'!A535="","",'Observaciones-SMP'!A535)</f>
        <v/>
      </c>
      <c r="B535" s="257" t="str">
        <f>IF('Observaciones-SMP'!B535="","",'Observaciones-SMP'!B535)</f>
        <v/>
      </c>
      <c r="C535" s="193" t="str">
        <f>IF('Observaciones-SMP'!C535="","",'Observaciones-SMP'!C535)</f>
        <v/>
      </c>
      <c r="D535" s="193" t="str">
        <f>IF('Observaciones-SMP'!D535="","",'Observaciones-SMP'!D535)</f>
        <v/>
      </c>
      <c r="E535" s="193" t="str">
        <f>IF('Observaciones-SMP'!E535="","",'Observaciones-SMP'!E535)</f>
        <v/>
      </c>
      <c r="F535" s="193" t="str">
        <f>IF('Observaciones-SMP'!F535="","",'Observaciones-SMP'!F535)</f>
        <v/>
      </c>
      <c r="G535" s="193" t="str">
        <f>IF('Observaciones-SMP'!G535="","",'Observaciones-SMP'!G535)</f>
        <v/>
      </c>
      <c r="H535" s="193" t="str">
        <f>IF('Observaciones-SMP'!H535="","",'Observaciones-SMP'!H535)</f>
        <v/>
      </c>
      <c r="I535" s="193" t="str">
        <f>IF('Observaciones-SMP'!I535="","",'Observaciones-SMP'!I535)</f>
        <v/>
      </c>
      <c r="J535" s="193" t="str">
        <f>IF('Observaciones-SMP'!J535="","",'Observaciones-SMP'!J535)</f>
        <v/>
      </c>
      <c r="K535" s="193" t="str">
        <f>IF('Observaciones-SMP'!K535="","",'Observaciones-SMP'!K535)</f>
        <v/>
      </c>
      <c r="L535" s="193" t="str">
        <f>IF('Observaciones-SMP'!L535="","",'Observaciones-SMP'!L535)</f>
        <v/>
      </c>
      <c r="M535" s="193" t="str">
        <f>IF('Observaciones-SMP'!M535="","",'Observaciones-SMP'!M535)</f>
        <v/>
      </c>
      <c r="N535" s="193" t="str">
        <f>IF('Observaciones-SMP'!N535="","",'Observaciones-SMP'!N535)</f>
        <v/>
      </c>
      <c r="O535" s="193" t="str">
        <f>IF('Observaciones-SMP'!O535="","",'Observaciones-SMP'!O535)</f>
        <v/>
      </c>
      <c r="P535" s="193" t="str">
        <f>IF('Observaciones-SMP'!P535="","",'Observaciones-SMP'!P535)</f>
        <v/>
      </c>
      <c r="Q535" s="257" t="str">
        <f>IF('Observaciones-SMP'!S535="","",'Observaciones-SMP'!S535)</f>
        <v/>
      </c>
      <c r="R535" s="193" t="str">
        <f>IF('Observaciones-SMP'!T535="","",'Observaciones-SMP'!T535)</f>
        <v/>
      </c>
      <c r="S535" s="193" t="str">
        <f>""</f>
        <v/>
      </c>
      <c r="T535" s="193" t="str">
        <f>""</f>
        <v/>
      </c>
      <c r="U535" s="193" t="str">
        <f t="shared" si="32"/>
        <v/>
      </c>
      <c r="V535" s="193" t="str">
        <f>""</f>
        <v/>
      </c>
      <c r="W535" s="193" t="str">
        <f>""</f>
        <v/>
      </c>
      <c r="X535" s="258" t="str">
        <f t="shared" si="33"/>
        <v/>
      </c>
      <c r="Y535" s="258" t="str">
        <f t="shared" si="34"/>
        <v/>
      </c>
      <c r="Z535" s="193" t="str">
        <f>IF(A535="","",IF(COUNTIF('Observaciones-SMP'!$A$2:$A$1001,A535)&gt;1,1,0))</f>
        <v/>
      </c>
      <c r="AA535" s="193" t="str">
        <f t="shared" si="35"/>
        <v/>
      </c>
    </row>
    <row r="536" spans="1:27" ht="13.5" customHeight="1" x14ac:dyDescent="0.3">
      <c r="A536" s="193" t="str">
        <f>IF('Observaciones-SMP'!A536="","",'Observaciones-SMP'!A536)</f>
        <v/>
      </c>
      <c r="B536" s="257" t="str">
        <f>IF('Observaciones-SMP'!B536="","",'Observaciones-SMP'!B536)</f>
        <v/>
      </c>
      <c r="C536" s="193" t="str">
        <f>IF('Observaciones-SMP'!C536="","",'Observaciones-SMP'!C536)</f>
        <v/>
      </c>
      <c r="D536" s="193" t="str">
        <f>IF('Observaciones-SMP'!D536="","",'Observaciones-SMP'!D536)</f>
        <v/>
      </c>
      <c r="E536" s="193" t="str">
        <f>IF('Observaciones-SMP'!E536="","",'Observaciones-SMP'!E536)</f>
        <v/>
      </c>
      <c r="F536" s="193" t="str">
        <f>IF('Observaciones-SMP'!F536="","",'Observaciones-SMP'!F536)</f>
        <v/>
      </c>
      <c r="G536" s="193" t="str">
        <f>IF('Observaciones-SMP'!G536="","",'Observaciones-SMP'!G536)</f>
        <v/>
      </c>
      <c r="H536" s="193" t="str">
        <f>IF('Observaciones-SMP'!H536="","",'Observaciones-SMP'!H536)</f>
        <v/>
      </c>
      <c r="I536" s="193" t="str">
        <f>IF('Observaciones-SMP'!I536="","",'Observaciones-SMP'!I536)</f>
        <v/>
      </c>
      <c r="J536" s="193" t="str">
        <f>IF('Observaciones-SMP'!J536="","",'Observaciones-SMP'!J536)</f>
        <v/>
      </c>
      <c r="K536" s="193" t="str">
        <f>IF('Observaciones-SMP'!K536="","",'Observaciones-SMP'!K536)</f>
        <v/>
      </c>
      <c r="L536" s="193" t="str">
        <f>IF('Observaciones-SMP'!L536="","",'Observaciones-SMP'!L536)</f>
        <v/>
      </c>
      <c r="M536" s="193" t="str">
        <f>IF('Observaciones-SMP'!M536="","",'Observaciones-SMP'!M536)</f>
        <v/>
      </c>
      <c r="N536" s="193" t="str">
        <f>IF('Observaciones-SMP'!N536="","",'Observaciones-SMP'!N536)</f>
        <v/>
      </c>
      <c r="O536" s="193" t="str">
        <f>IF('Observaciones-SMP'!O536="","",'Observaciones-SMP'!O536)</f>
        <v/>
      </c>
      <c r="P536" s="193" t="str">
        <f>IF('Observaciones-SMP'!P536="","",'Observaciones-SMP'!P536)</f>
        <v/>
      </c>
      <c r="Q536" s="257" t="str">
        <f>IF('Observaciones-SMP'!S536="","",'Observaciones-SMP'!S536)</f>
        <v/>
      </c>
      <c r="R536" s="193" t="str">
        <f>IF('Observaciones-SMP'!T536="","",'Observaciones-SMP'!T536)</f>
        <v/>
      </c>
      <c r="S536" s="193" t="str">
        <f>""</f>
        <v/>
      </c>
      <c r="T536" s="193" t="str">
        <f>""</f>
        <v/>
      </c>
      <c r="U536" s="193" t="str">
        <f t="shared" si="32"/>
        <v/>
      </c>
      <c r="V536" s="193" t="str">
        <f>""</f>
        <v/>
      </c>
      <c r="W536" s="193" t="str">
        <f>""</f>
        <v/>
      </c>
      <c r="X536" s="258" t="str">
        <f t="shared" si="33"/>
        <v/>
      </c>
      <c r="Y536" s="258" t="str">
        <f t="shared" si="34"/>
        <v/>
      </c>
      <c r="Z536" s="193" t="str">
        <f>IF(A536="","",IF(COUNTIF('Observaciones-SMP'!$A$2:$A$1001,A536)&gt;1,1,0))</f>
        <v/>
      </c>
      <c r="AA536" s="193" t="str">
        <f t="shared" si="35"/>
        <v/>
      </c>
    </row>
    <row r="537" spans="1:27" ht="13.5" customHeight="1" x14ac:dyDescent="0.3">
      <c r="A537" s="193" t="str">
        <f>IF('Observaciones-SMP'!A537="","",'Observaciones-SMP'!A537)</f>
        <v/>
      </c>
      <c r="B537" s="257" t="str">
        <f>IF('Observaciones-SMP'!B537="","",'Observaciones-SMP'!B537)</f>
        <v/>
      </c>
      <c r="C537" s="193" t="str">
        <f>IF('Observaciones-SMP'!C537="","",'Observaciones-SMP'!C537)</f>
        <v/>
      </c>
      <c r="D537" s="193" t="str">
        <f>IF('Observaciones-SMP'!D537="","",'Observaciones-SMP'!D537)</f>
        <v/>
      </c>
      <c r="E537" s="193" t="str">
        <f>IF('Observaciones-SMP'!E537="","",'Observaciones-SMP'!E537)</f>
        <v/>
      </c>
      <c r="F537" s="193" t="str">
        <f>IF('Observaciones-SMP'!F537="","",'Observaciones-SMP'!F537)</f>
        <v/>
      </c>
      <c r="G537" s="193" t="str">
        <f>IF('Observaciones-SMP'!G537="","",'Observaciones-SMP'!G537)</f>
        <v/>
      </c>
      <c r="H537" s="193" t="str">
        <f>IF('Observaciones-SMP'!H537="","",'Observaciones-SMP'!H537)</f>
        <v/>
      </c>
      <c r="I537" s="193" t="str">
        <f>IF('Observaciones-SMP'!I537="","",'Observaciones-SMP'!I537)</f>
        <v/>
      </c>
      <c r="J537" s="193" t="str">
        <f>IF('Observaciones-SMP'!J537="","",'Observaciones-SMP'!J537)</f>
        <v/>
      </c>
      <c r="K537" s="193" t="str">
        <f>IF('Observaciones-SMP'!K537="","",'Observaciones-SMP'!K537)</f>
        <v/>
      </c>
      <c r="L537" s="193" t="str">
        <f>IF('Observaciones-SMP'!L537="","",'Observaciones-SMP'!L537)</f>
        <v/>
      </c>
      <c r="M537" s="193" t="str">
        <f>IF('Observaciones-SMP'!M537="","",'Observaciones-SMP'!M537)</f>
        <v/>
      </c>
      <c r="N537" s="193" t="str">
        <f>IF('Observaciones-SMP'!N537="","",'Observaciones-SMP'!N537)</f>
        <v/>
      </c>
      <c r="O537" s="193" t="str">
        <f>IF('Observaciones-SMP'!O537="","",'Observaciones-SMP'!O537)</f>
        <v/>
      </c>
      <c r="P537" s="193" t="str">
        <f>IF('Observaciones-SMP'!P537="","",'Observaciones-SMP'!P537)</f>
        <v/>
      </c>
      <c r="Q537" s="257" t="str">
        <f>IF('Observaciones-SMP'!S537="","",'Observaciones-SMP'!S537)</f>
        <v/>
      </c>
      <c r="R537" s="193" t="str">
        <f>IF('Observaciones-SMP'!T537="","",'Observaciones-SMP'!T537)</f>
        <v/>
      </c>
      <c r="S537" s="193" t="str">
        <f>""</f>
        <v/>
      </c>
      <c r="T537" s="193" t="str">
        <f>""</f>
        <v/>
      </c>
      <c r="U537" s="193" t="str">
        <f t="shared" si="32"/>
        <v/>
      </c>
      <c r="V537" s="193" t="str">
        <f>""</f>
        <v/>
      </c>
      <c r="W537" s="193" t="str">
        <f>""</f>
        <v/>
      </c>
      <c r="X537" s="258" t="str">
        <f t="shared" si="33"/>
        <v/>
      </c>
      <c r="Y537" s="258" t="str">
        <f t="shared" si="34"/>
        <v/>
      </c>
      <c r="Z537" s="193" t="str">
        <f>IF(A537="","",IF(COUNTIF('Observaciones-SMP'!$A$2:$A$1001,A537)&gt;1,1,0))</f>
        <v/>
      </c>
      <c r="AA537" s="193" t="str">
        <f t="shared" si="35"/>
        <v/>
      </c>
    </row>
    <row r="538" spans="1:27" ht="13.5" customHeight="1" x14ac:dyDescent="0.3">
      <c r="A538" s="193" t="str">
        <f>IF('Observaciones-SMP'!A538="","",'Observaciones-SMP'!A538)</f>
        <v/>
      </c>
      <c r="B538" s="257" t="str">
        <f>IF('Observaciones-SMP'!B538="","",'Observaciones-SMP'!B538)</f>
        <v/>
      </c>
      <c r="C538" s="193" t="str">
        <f>IF('Observaciones-SMP'!C538="","",'Observaciones-SMP'!C538)</f>
        <v/>
      </c>
      <c r="D538" s="193" t="str">
        <f>IF('Observaciones-SMP'!D538="","",'Observaciones-SMP'!D538)</f>
        <v/>
      </c>
      <c r="E538" s="193" t="str">
        <f>IF('Observaciones-SMP'!E538="","",'Observaciones-SMP'!E538)</f>
        <v/>
      </c>
      <c r="F538" s="193" t="str">
        <f>IF('Observaciones-SMP'!F538="","",'Observaciones-SMP'!F538)</f>
        <v/>
      </c>
      <c r="G538" s="193" t="str">
        <f>IF('Observaciones-SMP'!G538="","",'Observaciones-SMP'!G538)</f>
        <v/>
      </c>
      <c r="H538" s="193" t="str">
        <f>IF('Observaciones-SMP'!H538="","",'Observaciones-SMP'!H538)</f>
        <v/>
      </c>
      <c r="I538" s="193" t="str">
        <f>IF('Observaciones-SMP'!I538="","",'Observaciones-SMP'!I538)</f>
        <v/>
      </c>
      <c r="J538" s="193" t="str">
        <f>IF('Observaciones-SMP'!J538="","",'Observaciones-SMP'!J538)</f>
        <v/>
      </c>
      <c r="K538" s="193" t="str">
        <f>IF('Observaciones-SMP'!K538="","",'Observaciones-SMP'!K538)</f>
        <v/>
      </c>
      <c r="L538" s="193" t="str">
        <f>IF('Observaciones-SMP'!L538="","",'Observaciones-SMP'!L538)</f>
        <v/>
      </c>
      <c r="M538" s="193" t="str">
        <f>IF('Observaciones-SMP'!M538="","",'Observaciones-SMP'!M538)</f>
        <v/>
      </c>
      <c r="N538" s="193" t="str">
        <f>IF('Observaciones-SMP'!N538="","",'Observaciones-SMP'!N538)</f>
        <v/>
      </c>
      <c r="O538" s="193" t="str">
        <f>IF('Observaciones-SMP'!O538="","",'Observaciones-SMP'!O538)</f>
        <v/>
      </c>
      <c r="P538" s="193" t="str">
        <f>IF('Observaciones-SMP'!P538="","",'Observaciones-SMP'!P538)</f>
        <v/>
      </c>
      <c r="Q538" s="257" t="str">
        <f>IF('Observaciones-SMP'!S538="","",'Observaciones-SMP'!S538)</f>
        <v/>
      </c>
      <c r="R538" s="193" t="str">
        <f>IF('Observaciones-SMP'!T538="","",'Observaciones-SMP'!T538)</f>
        <v/>
      </c>
      <c r="S538" s="193" t="str">
        <f>""</f>
        <v/>
      </c>
      <c r="T538" s="193" t="str">
        <f>""</f>
        <v/>
      </c>
      <c r="U538" s="193" t="str">
        <f t="shared" si="32"/>
        <v/>
      </c>
      <c r="V538" s="193" t="str">
        <f>""</f>
        <v/>
      </c>
      <c r="W538" s="193" t="str">
        <f>""</f>
        <v/>
      </c>
      <c r="X538" s="258" t="str">
        <f t="shared" si="33"/>
        <v/>
      </c>
      <c r="Y538" s="258" t="str">
        <f t="shared" si="34"/>
        <v/>
      </c>
      <c r="Z538" s="193" t="str">
        <f>IF(A538="","",IF(COUNTIF('Observaciones-SMP'!$A$2:$A$1001,A538)&gt;1,1,0))</f>
        <v/>
      </c>
      <c r="AA538" s="193" t="str">
        <f t="shared" si="35"/>
        <v/>
      </c>
    </row>
    <row r="539" spans="1:27" ht="13.5" customHeight="1" x14ac:dyDescent="0.3">
      <c r="A539" s="193" t="str">
        <f>IF('Observaciones-SMP'!A539="","",'Observaciones-SMP'!A539)</f>
        <v/>
      </c>
      <c r="B539" s="257" t="str">
        <f>IF('Observaciones-SMP'!B539="","",'Observaciones-SMP'!B539)</f>
        <v/>
      </c>
      <c r="C539" s="193" t="str">
        <f>IF('Observaciones-SMP'!C539="","",'Observaciones-SMP'!C539)</f>
        <v/>
      </c>
      <c r="D539" s="193" t="str">
        <f>IF('Observaciones-SMP'!D539="","",'Observaciones-SMP'!D539)</f>
        <v/>
      </c>
      <c r="E539" s="193" t="str">
        <f>IF('Observaciones-SMP'!E539="","",'Observaciones-SMP'!E539)</f>
        <v/>
      </c>
      <c r="F539" s="193" t="str">
        <f>IF('Observaciones-SMP'!F539="","",'Observaciones-SMP'!F539)</f>
        <v/>
      </c>
      <c r="G539" s="193" t="str">
        <f>IF('Observaciones-SMP'!G539="","",'Observaciones-SMP'!G539)</f>
        <v/>
      </c>
      <c r="H539" s="193" t="str">
        <f>IF('Observaciones-SMP'!H539="","",'Observaciones-SMP'!H539)</f>
        <v/>
      </c>
      <c r="I539" s="193" t="str">
        <f>IF('Observaciones-SMP'!I539="","",'Observaciones-SMP'!I539)</f>
        <v/>
      </c>
      <c r="J539" s="193" t="str">
        <f>IF('Observaciones-SMP'!J539="","",'Observaciones-SMP'!J539)</f>
        <v/>
      </c>
      <c r="K539" s="193" t="str">
        <f>IF('Observaciones-SMP'!K539="","",'Observaciones-SMP'!K539)</f>
        <v/>
      </c>
      <c r="L539" s="193" t="str">
        <f>IF('Observaciones-SMP'!L539="","",'Observaciones-SMP'!L539)</f>
        <v/>
      </c>
      <c r="M539" s="193" t="str">
        <f>IF('Observaciones-SMP'!M539="","",'Observaciones-SMP'!M539)</f>
        <v/>
      </c>
      <c r="N539" s="193" t="str">
        <f>IF('Observaciones-SMP'!N539="","",'Observaciones-SMP'!N539)</f>
        <v/>
      </c>
      <c r="O539" s="193" t="str">
        <f>IF('Observaciones-SMP'!O539="","",'Observaciones-SMP'!O539)</f>
        <v/>
      </c>
      <c r="P539" s="193" t="str">
        <f>IF('Observaciones-SMP'!P539="","",'Observaciones-SMP'!P539)</f>
        <v/>
      </c>
      <c r="Q539" s="257" t="str">
        <f>IF('Observaciones-SMP'!S539="","",'Observaciones-SMP'!S539)</f>
        <v/>
      </c>
      <c r="R539" s="193" t="str">
        <f>IF('Observaciones-SMP'!T539="","",'Observaciones-SMP'!T539)</f>
        <v/>
      </c>
      <c r="S539" s="193" t="str">
        <f>""</f>
        <v/>
      </c>
      <c r="T539" s="193" t="str">
        <f>""</f>
        <v/>
      </c>
      <c r="U539" s="193" t="str">
        <f t="shared" si="32"/>
        <v/>
      </c>
      <c r="V539" s="193" t="str">
        <f>""</f>
        <v/>
      </c>
      <c r="W539" s="193" t="str">
        <f>""</f>
        <v/>
      </c>
      <c r="X539" s="258" t="str">
        <f t="shared" si="33"/>
        <v/>
      </c>
      <c r="Y539" s="258" t="str">
        <f t="shared" si="34"/>
        <v/>
      </c>
      <c r="Z539" s="193" t="str">
        <f>IF(A539="","",IF(COUNTIF('Observaciones-SMP'!$A$2:$A$1001,A539)&gt;1,1,0))</f>
        <v/>
      </c>
      <c r="AA539" s="193" t="str">
        <f t="shared" si="35"/>
        <v/>
      </c>
    </row>
    <row r="540" spans="1:27" ht="13.5" customHeight="1" x14ac:dyDescent="0.3">
      <c r="A540" s="193" t="str">
        <f>IF('Observaciones-SMP'!A540="","",'Observaciones-SMP'!A540)</f>
        <v/>
      </c>
      <c r="B540" s="257" t="str">
        <f>IF('Observaciones-SMP'!B540="","",'Observaciones-SMP'!B540)</f>
        <v/>
      </c>
      <c r="C540" s="193" t="str">
        <f>IF('Observaciones-SMP'!C540="","",'Observaciones-SMP'!C540)</f>
        <v/>
      </c>
      <c r="D540" s="193" t="str">
        <f>IF('Observaciones-SMP'!D540="","",'Observaciones-SMP'!D540)</f>
        <v/>
      </c>
      <c r="E540" s="193" t="str">
        <f>IF('Observaciones-SMP'!E540="","",'Observaciones-SMP'!E540)</f>
        <v/>
      </c>
      <c r="F540" s="193" t="str">
        <f>IF('Observaciones-SMP'!F540="","",'Observaciones-SMP'!F540)</f>
        <v/>
      </c>
      <c r="G540" s="193" t="str">
        <f>IF('Observaciones-SMP'!G540="","",'Observaciones-SMP'!G540)</f>
        <v/>
      </c>
      <c r="H540" s="193" t="str">
        <f>IF('Observaciones-SMP'!H540="","",'Observaciones-SMP'!H540)</f>
        <v/>
      </c>
      <c r="I540" s="193" t="str">
        <f>IF('Observaciones-SMP'!I540="","",'Observaciones-SMP'!I540)</f>
        <v/>
      </c>
      <c r="J540" s="193" t="str">
        <f>IF('Observaciones-SMP'!J540="","",'Observaciones-SMP'!J540)</f>
        <v/>
      </c>
      <c r="K540" s="193" t="str">
        <f>IF('Observaciones-SMP'!K540="","",'Observaciones-SMP'!K540)</f>
        <v/>
      </c>
      <c r="L540" s="193" t="str">
        <f>IF('Observaciones-SMP'!L540="","",'Observaciones-SMP'!L540)</f>
        <v/>
      </c>
      <c r="M540" s="193" t="str">
        <f>IF('Observaciones-SMP'!M540="","",'Observaciones-SMP'!M540)</f>
        <v/>
      </c>
      <c r="N540" s="193" t="str">
        <f>IF('Observaciones-SMP'!N540="","",'Observaciones-SMP'!N540)</f>
        <v/>
      </c>
      <c r="O540" s="193" t="str">
        <f>IF('Observaciones-SMP'!O540="","",'Observaciones-SMP'!O540)</f>
        <v/>
      </c>
      <c r="P540" s="193" t="str">
        <f>IF('Observaciones-SMP'!P540="","",'Observaciones-SMP'!P540)</f>
        <v/>
      </c>
      <c r="Q540" s="257" t="str">
        <f>IF('Observaciones-SMP'!S540="","",'Observaciones-SMP'!S540)</f>
        <v/>
      </c>
      <c r="R540" s="193" t="str">
        <f>IF('Observaciones-SMP'!T540="","",'Observaciones-SMP'!T540)</f>
        <v/>
      </c>
      <c r="S540" s="193" t="str">
        <f>""</f>
        <v/>
      </c>
      <c r="T540" s="193" t="str">
        <f>""</f>
        <v/>
      </c>
      <c r="U540" s="193" t="str">
        <f t="shared" si="32"/>
        <v/>
      </c>
      <c r="V540" s="193" t="str">
        <f>""</f>
        <v/>
      </c>
      <c r="W540" s="193" t="str">
        <f>""</f>
        <v/>
      </c>
      <c r="X540" s="258" t="str">
        <f t="shared" si="33"/>
        <v/>
      </c>
      <c r="Y540" s="258" t="str">
        <f t="shared" si="34"/>
        <v/>
      </c>
      <c r="Z540" s="193" t="str">
        <f>IF(A540="","",IF(COUNTIF('Observaciones-SMP'!$A$2:$A$1001,A540)&gt;1,1,0))</f>
        <v/>
      </c>
      <c r="AA540" s="193" t="str">
        <f t="shared" si="35"/>
        <v/>
      </c>
    </row>
    <row r="541" spans="1:27" ht="13.5" customHeight="1" x14ac:dyDescent="0.3">
      <c r="A541" s="193" t="str">
        <f>IF('Observaciones-SMP'!A541="","",'Observaciones-SMP'!A541)</f>
        <v/>
      </c>
      <c r="B541" s="257" t="str">
        <f>IF('Observaciones-SMP'!B541="","",'Observaciones-SMP'!B541)</f>
        <v/>
      </c>
      <c r="C541" s="193" t="str">
        <f>IF('Observaciones-SMP'!C541="","",'Observaciones-SMP'!C541)</f>
        <v/>
      </c>
      <c r="D541" s="193" t="str">
        <f>IF('Observaciones-SMP'!D541="","",'Observaciones-SMP'!D541)</f>
        <v/>
      </c>
      <c r="E541" s="193" t="str">
        <f>IF('Observaciones-SMP'!E541="","",'Observaciones-SMP'!E541)</f>
        <v/>
      </c>
      <c r="F541" s="193" t="str">
        <f>IF('Observaciones-SMP'!F541="","",'Observaciones-SMP'!F541)</f>
        <v/>
      </c>
      <c r="G541" s="193" t="str">
        <f>IF('Observaciones-SMP'!G541="","",'Observaciones-SMP'!G541)</f>
        <v/>
      </c>
      <c r="H541" s="193" t="str">
        <f>IF('Observaciones-SMP'!H541="","",'Observaciones-SMP'!H541)</f>
        <v/>
      </c>
      <c r="I541" s="193" t="str">
        <f>IF('Observaciones-SMP'!I541="","",'Observaciones-SMP'!I541)</f>
        <v/>
      </c>
      <c r="J541" s="193" t="str">
        <f>IF('Observaciones-SMP'!J541="","",'Observaciones-SMP'!J541)</f>
        <v/>
      </c>
      <c r="K541" s="193" t="str">
        <f>IF('Observaciones-SMP'!K541="","",'Observaciones-SMP'!K541)</f>
        <v/>
      </c>
      <c r="L541" s="193" t="str">
        <f>IF('Observaciones-SMP'!L541="","",'Observaciones-SMP'!L541)</f>
        <v/>
      </c>
      <c r="M541" s="193" t="str">
        <f>IF('Observaciones-SMP'!M541="","",'Observaciones-SMP'!M541)</f>
        <v/>
      </c>
      <c r="N541" s="193" t="str">
        <f>IF('Observaciones-SMP'!N541="","",'Observaciones-SMP'!N541)</f>
        <v/>
      </c>
      <c r="O541" s="193" t="str">
        <f>IF('Observaciones-SMP'!O541="","",'Observaciones-SMP'!O541)</f>
        <v/>
      </c>
      <c r="P541" s="193" t="str">
        <f>IF('Observaciones-SMP'!P541="","",'Observaciones-SMP'!P541)</f>
        <v/>
      </c>
      <c r="Q541" s="257" t="str">
        <f>IF('Observaciones-SMP'!S541="","",'Observaciones-SMP'!S541)</f>
        <v/>
      </c>
      <c r="R541" s="193" t="str">
        <f>IF('Observaciones-SMP'!T541="","",'Observaciones-SMP'!T541)</f>
        <v/>
      </c>
      <c r="S541" s="193" t="str">
        <f>""</f>
        <v/>
      </c>
      <c r="T541" s="193" t="str">
        <f>""</f>
        <v/>
      </c>
      <c r="U541" s="193" t="str">
        <f t="shared" si="32"/>
        <v/>
      </c>
      <c r="V541" s="193" t="str">
        <f>""</f>
        <v/>
      </c>
      <c r="W541" s="193" t="str">
        <f>""</f>
        <v/>
      </c>
      <c r="X541" s="258" t="str">
        <f t="shared" si="33"/>
        <v/>
      </c>
      <c r="Y541" s="258" t="str">
        <f t="shared" si="34"/>
        <v/>
      </c>
      <c r="Z541" s="193" t="str">
        <f>IF(A541="","",IF(COUNTIF('Observaciones-SMP'!$A$2:$A$1001,A541)&gt;1,1,0))</f>
        <v/>
      </c>
      <c r="AA541" s="193" t="str">
        <f t="shared" si="35"/>
        <v/>
      </c>
    </row>
    <row r="542" spans="1:27" ht="13.5" customHeight="1" x14ac:dyDescent="0.3">
      <c r="A542" s="193" t="str">
        <f>IF('Observaciones-SMP'!A542="","",'Observaciones-SMP'!A542)</f>
        <v/>
      </c>
      <c r="B542" s="257" t="str">
        <f>IF('Observaciones-SMP'!B542="","",'Observaciones-SMP'!B542)</f>
        <v/>
      </c>
      <c r="C542" s="193" t="str">
        <f>IF('Observaciones-SMP'!C542="","",'Observaciones-SMP'!C542)</f>
        <v/>
      </c>
      <c r="D542" s="193" t="str">
        <f>IF('Observaciones-SMP'!D542="","",'Observaciones-SMP'!D542)</f>
        <v/>
      </c>
      <c r="E542" s="193" t="str">
        <f>IF('Observaciones-SMP'!E542="","",'Observaciones-SMP'!E542)</f>
        <v/>
      </c>
      <c r="F542" s="193" t="str">
        <f>IF('Observaciones-SMP'!F542="","",'Observaciones-SMP'!F542)</f>
        <v/>
      </c>
      <c r="G542" s="193" t="str">
        <f>IF('Observaciones-SMP'!G542="","",'Observaciones-SMP'!G542)</f>
        <v/>
      </c>
      <c r="H542" s="193" t="str">
        <f>IF('Observaciones-SMP'!H542="","",'Observaciones-SMP'!H542)</f>
        <v/>
      </c>
      <c r="I542" s="193" t="str">
        <f>IF('Observaciones-SMP'!I542="","",'Observaciones-SMP'!I542)</f>
        <v/>
      </c>
      <c r="J542" s="193" t="str">
        <f>IF('Observaciones-SMP'!J542="","",'Observaciones-SMP'!J542)</f>
        <v/>
      </c>
      <c r="K542" s="193" t="str">
        <f>IF('Observaciones-SMP'!K542="","",'Observaciones-SMP'!K542)</f>
        <v/>
      </c>
      <c r="L542" s="193" t="str">
        <f>IF('Observaciones-SMP'!L542="","",'Observaciones-SMP'!L542)</f>
        <v/>
      </c>
      <c r="M542" s="193" t="str">
        <f>IF('Observaciones-SMP'!M542="","",'Observaciones-SMP'!M542)</f>
        <v/>
      </c>
      <c r="N542" s="193" t="str">
        <f>IF('Observaciones-SMP'!N542="","",'Observaciones-SMP'!N542)</f>
        <v/>
      </c>
      <c r="O542" s="193" t="str">
        <f>IF('Observaciones-SMP'!O542="","",'Observaciones-SMP'!O542)</f>
        <v/>
      </c>
      <c r="P542" s="193" t="str">
        <f>IF('Observaciones-SMP'!P542="","",'Observaciones-SMP'!P542)</f>
        <v/>
      </c>
      <c r="Q542" s="257" t="str">
        <f>IF('Observaciones-SMP'!S542="","",'Observaciones-SMP'!S542)</f>
        <v/>
      </c>
      <c r="R542" s="193" t="str">
        <f>IF('Observaciones-SMP'!T542="","",'Observaciones-SMP'!T542)</f>
        <v/>
      </c>
      <c r="S542" s="193" t="str">
        <f>""</f>
        <v/>
      </c>
      <c r="T542" s="193" t="str">
        <f>""</f>
        <v/>
      </c>
      <c r="U542" s="193" t="str">
        <f t="shared" si="32"/>
        <v/>
      </c>
      <c r="V542" s="193" t="str">
        <f>""</f>
        <v/>
      </c>
      <c r="W542" s="193" t="str">
        <f>""</f>
        <v/>
      </c>
      <c r="X542" s="258" t="str">
        <f t="shared" si="33"/>
        <v/>
      </c>
      <c r="Y542" s="258" t="str">
        <f t="shared" si="34"/>
        <v/>
      </c>
      <c r="Z542" s="193" t="str">
        <f>IF(A542="","",IF(COUNTIF('Observaciones-SMP'!$A$2:$A$1001,A542)&gt;1,1,0))</f>
        <v/>
      </c>
      <c r="AA542" s="193" t="str">
        <f t="shared" si="35"/>
        <v/>
      </c>
    </row>
    <row r="543" spans="1:27" ht="13.5" customHeight="1" x14ac:dyDescent="0.3">
      <c r="A543" s="193" t="str">
        <f>IF('Observaciones-SMP'!A543="","",'Observaciones-SMP'!A543)</f>
        <v/>
      </c>
      <c r="B543" s="257" t="str">
        <f>IF('Observaciones-SMP'!B543="","",'Observaciones-SMP'!B543)</f>
        <v/>
      </c>
      <c r="C543" s="193" t="str">
        <f>IF('Observaciones-SMP'!C543="","",'Observaciones-SMP'!C543)</f>
        <v/>
      </c>
      <c r="D543" s="193" t="str">
        <f>IF('Observaciones-SMP'!D543="","",'Observaciones-SMP'!D543)</f>
        <v/>
      </c>
      <c r="E543" s="193" t="str">
        <f>IF('Observaciones-SMP'!E543="","",'Observaciones-SMP'!E543)</f>
        <v/>
      </c>
      <c r="F543" s="193" t="str">
        <f>IF('Observaciones-SMP'!F543="","",'Observaciones-SMP'!F543)</f>
        <v/>
      </c>
      <c r="G543" s="193" t="str">
        <f>IF('Observaciones-SMP'!G543="","",'Observaciones-SMP'!G543)</f>
        <v/>
      </c>
      <c r="H543" s="193" t="str">
        <f>IF('Observaciones-SMP'!H543="","",'Observaciones-SMP'!H543)</f>
        <v/>
      </c>
      <c r="I543" s="193" t="str">
        <f>IF('Observaciones-SMP'!I543="","",'Observaciones-SMP'!I543)</f>
        <v/>
      </c>
      <c r="J543" s="193" t="str">
        <f>IF('Observaciones-SMP'!J543="","",'Observaciones-SMP'!J543)</f>
        <v/>
      </c>
      <c r="K543" s="193" t="str">
        <f>IF('Observaciones-SMP'!K543="","",'Observaciones-SMP'!K543)</f>
        <v/>
      </c>
      <c r="L543" s="193" t="str">
        <f>IF('Observaciones-SMP'!L543="","",'Observaciones-SMP'!L543)</f>
        <v/>
      </c>
      <c r="M543" s="193" t="str">
        <f>IF('Observaciones-SMP'!M543="","",'Observaciones-SMP'!M543)</f>
        <v/>
      </c>
      <c r="N543" s="193" t="str">
        <f>IF('Observaciones-SMP'!N543="","",'Observaciones-SMP'!N543)</f>
        <v/>
      </c>
      <c r="O543" s="193" t="str">
        <f>IF('Observaciones-SMP'!O543="","",'Observaciones-SMP'!O543)</f>
        <v/>
      </c>
      <c r="P543" s="193" t="str">
        <f>IF('Observaciones-SMP'!P543="","",'Observaciones-SMP'!P543)</f>
        <v/>
      </c>
      <c r="Q543" s="257" t="str">
        <f>IF('Observaciones-SMP'!S543="","",'Observaciones-SMP'!S543)</f>
        <v/>
      </c>
      <c r="R543" s="193" t="str">
        <f>IF('Observaciones-SMP'!T543="","",'Observaciones-SMP'!T543)</f>
        <v/>
      </c>
      <c r="S543" s="193" t="str">
        <f>""</f>
        <v/>
      </c>
      <c r="T543" s="193" t="str">
        <f>""</f>
        <v/>
      </c>
      <c r="U543" s="193" t="str">
        <f t="shared" si="32"/>
        <v/>
      </c>
      <c r="V543" s="193" t="str">
        <f>""</f>
        <v/>
      </c>
      <c r="W543" s="193" t="str">
        <f>""</f>
        <v/>
      </c>
      <c r="X543" s="258" t="str">
        <f t="shared" si="33"/>
        <v/>
      </c>
      <c r="Y543" s="258" t="str">
        <f t="shared" si="34"/>
        <v/>
      </c>
      <c r="Z543" s="193" t="str">
        <f>IF(A543="","",IF(COUNTIF('Observaciones-SMP'!$A$2:$A$1001,A543)&gt;1,1,0))</f>
        <v/>
      </c>
      <c r="AA543" s="193" t="str">
        <f t="shared" si="35"/>
        <v/>
      </c>
    </row>
    <row r="544" spans="1:27" ht="13.5" customHeight="1" x14ac:dyDescent="0.3">
      <c r="A544" s="193" t="str">
        <f>IF('Observaciones-SMP'!A544="","",'Observaciones-SMP'!A544)</f>
        <v/>
      </c>
      <c r="B544" s="257" t="str">
        <f>IF('Observaciones-SMP'!B544="","",'Observaciones-SMP'!B544)</f>
        <v/>
      </c>
      <c r="C544" s="193" t="str">
        <f>IF('Observaciones-SMP'!C544="","",'Observaciones-SMP'!C544)</f>
        <v/>
      </c>
      <c r="D544" s="193" t="str">
        <f>IF('Observaciones-SMP'!D544="","",'Observaciones-SMP'!D544)</f>
        <v/>
      </c>
      <c r="E544" s="193" t="str">
        <f>IF('Observaciones-SMP'!E544="","",'Observaciones-SMP'!E544)</f>
        <v/>
      </c>
      <c r="F544" s="193" t="str">
        <f>IF('Observaciones-SMP'!F544="","",'Observaciones-SMP'!F544)</f>
        <v/>
      </c>
      <c r="G544" s="193" t="str">
        <f>IF('Observaciones-SMP'!G544="","",'Observaciones-SMP'!G544)</f>
        <v/>
      </c>
      <c r="H544" s="193" t="str">
        <f>IF('Observaciones-SMP'!H544="","",'Observaciones-SMP'!H544)</f>
        <v/>
      </c>
      <c r="I544" s="193" t="str">
        <f>IF('Observaciones-SMP'!I544="","",'Observaciones-SMP'!I544)</f>
        <v/>
      </c>
      <c r="J544" s="193" t="str">
        <f>IF('Observaciones-SMP'!J544="","",'Observaciones-SMP'!J544)</f>
        <v/>
      </c>
      <c r="K544" s="193" t="str">
        <f>IF('Observaciones-SMP'!K544="","",'Observaciones-SMP'!K544)</f>
        <v/>
      </c>
      <c r="L544" s="193" t="str">
        <f>IF('Observaciones-SMP'!L544="","",'Observaciones-SMP'!L544)</f>
        <v/>
      </c>
      <c r="M544" s="193" t="str">
        <f>IF('Observaciones-SMP'!M544="","",'Observaciones-SMP'!M544)</f>
        <v/>
      </c>
      <c r="N544" s="193" t="str">
        <f>IF('Observaciones-SMP'!N544="","",'Observaciones-SMP'!N544)</f>
        <v/>
      </c>
      <c r="O544" s="193" t="str">
        <f>IF('Observaciones-SMP'!O544="","",'Observaciones-SMP'!O544)</f>
        <v/>
      </c>
      <c r="P544" s="193" t="str">
        <f>IF('Observaciones-SMP'!P544="","",'Observaciones-SMP'!P544)</f>
        <v/>
      </c>
      <c r="Q544" s="257" t="str">
        <f>IF('Observaciones-SMP'!S544="","",'Observaciones-SMP'!S544)</f>
        <v/>
      </c>
      <c r="R544" s="193" t="str">
        <f>IF('Observaciones-SMP'!T544="","",'Observaciones-SMP'!T544)</f>
        <v/>
      </c>
      <c r="S544" s="193" t="str">
        <f>""</f>
        <v/>
      </c>
      <c r="T544" s="193" t="str">
        <f>""</f>
        <v/>
      </c>
      <c r="U544" s="193" t="str">
        <f t="shared" si="32"/>
        <v/>
      </c>
      <c r="V544" s="193" t="str">
        <f>""</f>
        <v/>
      </c>
      <c r="W544" s="193" t="str">
        <f>""</f>
        <v/>
      </c>
      <c r="X544" s="258" t="str">
        <f t="shared" si="33"/>
        <v/>
      </c>
      <c r="Y544" s="258" t="str">
        <f t="shared" si="34"/>
        <v/>
      </c>
      <c r="Z544" s="193" t="str">
        <f>IF(A544="","",IF(COUNTIF('Observaciones-SMP'!$A$2:$A$1001,A544)&gt;1,1,0))</f>
        <v/>
      </c>
      <c r="AA544" s="193" t="str">
        <f t="shared" si="35"/>
        <v/>
      </c>
    </row>
    <row r="545" spans="1:27" ht="13.5" customHeight="1" x14ac:dyDescent="0.3">
      <c r="A545" s="193" t="str">
        <f>IF('Observaciones-SMP'!A545="","",'Observaciones-SMP'!A545)</f>
        <v/>
      </c>
      <c r="B545" s="257" t="str">
        <f>IF('Observaciones-SMP'!B545="","",'Observaciones-SMP'!B545)</f>
        <v/>
      </c>
      <c r="C545" s="193" t="str">
        <f>IF('Observaciones-SMP'!C545="","",'Observaciones-SMP'!C545)</f>
        <v/>
      </c>
      <c r="D545" s="193" t="str">
        <f>IF('Observaciones-SMP'!D545="","",'Observaciones-SMP'!D545)</f>
        <v/>
      </c>
      <c r="E545" s="193" t="str">
        <f>IF('Observaciones-SMP'!E545="","",'Observaciones-SMP'!E545)</f>
        <v/>
      </c>
      <c r="F545" s="193" t="str">
        <f>IF('Observaciones-SMP'!F545="","",'Observaciones-SMP'!F545)</f>
        <v/>
      </c>
      <c r="G545" s="193" t="str">
        <f>IF('Observaciones-SMP'!G545="","",'Observaciones-SMP'!G545)</f>
        <v/>
      </c>
      <c r="H545" s="193" t="str">
        <f>IF('Observaciones-SMP'!H545="","",'Observaciones-SMP'!H545)</f>
        <v/>
      </c>
      <c r="I545" s="193" t="str">
        <f>IF('Observaciones-SMP'!I545="","",'Observaciones-SMP'!I545)</f>
        <v/>
      </c>
      <c r="J545" s="193" t="str">
        <f>IF('Observaciones-SMP'!J545="","",'Observaciones-SMP'!J545)</f>
        <v/>
      </c>
      <c r="K545" s="193" t="str">
        <f>IF('Observaciones-SMP'!K545="","",'Observaciones-SMP'!K545)</f>
        <v/>
      </c>
      <c r="L545" s="193" t="str">
        <f>IF('Observaciones-SMP'!L545="","",'Observaciones-SMP'!L545)</f>
        <v/>
      </c>
      <c r="M545" s="193" t="str">
        <f>IF('Observaciones-SMP'!M545="","",'Observaciones-SMP'!M545)</f>
        <v/>
      </c>
      <c r="N545" s="193" t="str">
        <f>IF('Observaciones-SMP'!N545="","",'Observaciones-SMP'!N545)</f>
        <v/>
      </c>
      <c r="O545" s="193" t="str">
        <f>IF('Observaciones-SMP'!O545="","",'Observaciones-SMP'!O545)</f>
        <v/>
      </c>
      <c r="P545" s="193" t="str">
        <f>IF('Observaciones-SMP'!P545="","",'Observaciones-SMP'!P545)</f>
        <v/>
      </c>
      <c r="Q545" s="257" t="str">
        <f>IF('Observaciones-SMP'!S545="","",'Observaciones-SMP'!S545)</f>
        <v/>
      </c>
      <c r="R545" s="193" t="str">
        <f>IF('Observaciones-SMP'!T545="","",'Observaciones-SMP'!T545)</f>
        <v/>
      </c>
      <c r="S545" s="193" t="str">
        <f>""</f>
        <v/>
      </c>
      <c r="T545" s="193" t="str">
        <f>""</f>
        <v/>
      </c>
      <c r="U545" s="193" t="str">
        <f t="shared" si="32"/>
        <v/>
      </c>
      <c r="V545" s="193" t="str">
        <f>""</f>
        <v/>
      </c>
      <c r="W545" s="193" t="str">
        <f>""</f>
        <v/>
      </c>
      <c r="X545" s="258" t="str">
        <f t="shared" si="33"/>
        <v/>
      </c>
      <c r="Y545" s="258" t="str">
        <f t="shared" si="34"/>
        <v/>
      </c>
      <c r="Z545" s="193" t="str">
        <f>IF(A545="","",IF(COUNTIF('Observaciones-SMP'!$A$2:$A$1001,A545)&gt;1,1,0))</f>
        <v/>
      </c>
      <c r="AA545" s="193" t="str">
        <f t="shared" si="35"/>
        <v/>
      </c>
    </row>
    <row r="546" spans="1:27" ht="13.5" customHeight="1" x14ac:dyDescent="0.3">
      <c r="A546" s="193" t="str">
        <f>IF('Observaciones-SMP'!A546="","",'Observaciones-SMP'!A546)</f>
        <v/>
      </c>
      <c r="B546" s="257" t="str">
        <f>IF('Observaciones-SMP'!B546="","",'Observaciones-SMP'!B546)</f>
        <v/>
      </c>
      <c r="C546" s="193" t="str">
        <f>IF('Observaciones-SMP'!C546="","",'Observaciones-SMP'!C546)</f>
        <v/>
      </c>
      <c r="D546" s="193" t="str">
        <f>IF('Observaciones-SMP'!D546="","",'Observaciones-SMP'!D546)</f>
        <v/>
      </c>
      <c r="E546" s="193" t="str">
        <f>IF('Observaciones-SMP'!E546="","",'Observaciones-SMP'!E546)</f>
        <v/>
      </c>
      <c r="F546" s="193" t="str">
        <f>IF('Observaciones-SMP'!F546="","",'Observaciones-SMP'!F546)</f>
        <v/>
      </c>
      <c r="G546" s="193" t="str">
        <f>IF('Observaciones-SMP'!G546="","",'Observaciones-SMP'!G546)</f>
        <v/>
      </c>
      <c r="H546" s="193" t="str">
        <f>IF('Observaciones-SMP'!H546="","",'Observaciones-SMP'!H546)</f>
        <v/>
      </c>
      <c r="I546" s="193" t="str">
        <f>IF('Observaciones-SMP'!I546="","",'Observaciones-SMP'!I546)</f>
        <v/>
      </c>
      <c r="J546" s="193" t="str">
        <f>IF('Observaciones-SMP'!J546="","",'Observaciones-SMP'!J546)</f>
        <v/>
      </c>
      <c r="K546" s="193" t="str">
        <f>IF('Observaciones-SMP'!K546="","",'Observaciones-SMP'!K546)</f>
        <v/>
      </c>
      <c r="L546" s="193" t="str">
        <f>IF('Observaciones-SMP'!L546="","",'Observaciones-SMP'!L546)</f>
        <v/>
      </c>
      <c r="M546" s="193" t="str">
        <f>IF('Observaciones-SMP'!M546="","",'Observaciones-SMP'!M546)</f>
        <v/>
      </c>
      <c r="N546" s="193" t="str">
        <f>IF('Observaciones-SMP'!N546="","",'Observaciones-SMP'!N546)</f>
        <v/>
      </c>
      <c r="O546" s="193" t="str">
        <f>IF('Observaciones-SMP'!O546="","",'Observaciones-SMP'!O546)</f>
        <v/>
      </c>
      <c r="P546" s="193" t="str">
        <f>IF('Observaciones-SMP'!P546="","",'Observaciones-SMP'!P546)</f>
        <v/>
      </c>
      <c r="Q546" s="257" t="str">
        <f>IF('Observaciones-SMP'!S546="","",'Observaciones-SMP'!S546)</f>
        <v/>
      </c>
      <c r="R546" s="193" t="str">
        <f>IF('Observaciones-SMP'!T546="","",'Observaciones-SMP'!T546)</f>
        <v/>
      </c>
      <c r="S546" s="193" t="str">
        <f>""</f>
        <v/>
      </c>
      <c r="T546" s="193" t="str">
        <f>""</f>
        <v/>
      </c>
      <c r="U546" s="193" t="str">
        <f t="shared" si="32"/>
        <v/>
      </c>
      <c r="V546" s="193" t="str">
        <f>""</f>
        <v/>
      </c>
      <c r="W546" s="193" t="str">
        <f>""</f>
        <v/>
      </c>
      <c r="X546" s="258" t="str">
        <f t="shared" si="33"/>
        <v/>
      </c>
      <c r="Y546" s="258" t="str">
        <f t="shared" si="34"/>
        <v/>
      </c>
      <c r="Z546" s="193" t="str">
        <f>IF(A546="","",IF(COUNTIF('Observaciones-SMP'!$A$2:$A$1001,A546)&gt;1,1,0))</f>
        <v/>
      </c>
      <c r="AA546" s="193" t="str">
        <f t="shared" si="35"/>
        <v/>
      </c>
    </row>
    <row r="547" spans="1:27" ht="13.5" customHeight="1" x14ac:dyDescent="0.3">
      <c r="A547" s="193" t="str">
        <f>IF('Observaciones-SMP'!A547="","",'Observaciones-SMP'!A547)</f>
        <v/>
      </c>
      <c r="B547" s="257" t="str">
        <f>IF('Observaciones-SMP'!B547="","",'Observaciones-SMP'!B547)</f>
        <v/>
      </c>
      <c r="C547" s="193" t="str">
        <f>IF('Observaciones-SMP'!C547="","",'Observaciones-SMP'!C547)</f>
        <v/>
      </c>
      <c r="D547" s="193" t="str">
        <f>IF('Observaciones-SMP'!D547="","",'Observaciones-SMP'!D547)</f>
        <v/>
      </c>
      <c r="E547" s="193" t="str">
        <f>IF('Observaciones-SMP'!E547="","",'Observaciones-SMP'!E547)</f>
        <v/>
      </c>
      <c r="F547" s="193" t="str">
        <f>IF('Observaciones-SMP'!F547="","",'Observaciones-SMP'!F547)</f>
        <v/>
      </c>
      <c r="G547" s="193" t="str">
        <f>IF('Observaciones-SMP'!G547="","",'Observaciones-SMP'!G547)</f>
        <v/>
      </c>
      <c r="H547" s="193" t="str">
        <f>IF('Observaciones-SMP'!H547="","",'Observaciones-SMP'!H547)</f>
        <v/>
      </c>
      <c r="I547" s="193" t="str">
        <f>IF('Observaciones-SMP'!I547="","",'Observaciones-SMP'!I547)</f>
        <v/>
      </c>
      <c r="J547" s="193" t="str">
        <f>IF('Observaciones-SMP'!J547="","",'Observaciones-SMP'!J547)</f>
        <v/>
      </c>
      <c r="K547" s="193" t="str">
        <f>IF('Observaciones-SMP'!K547="","",'Observaciones-SMP'!K547)</f>
        <v/>
      </c>
      <c r="L547" s="193" t="str">
        <f>IF('Observaciones-SMP'!L547="","",'Observaciones-SMP'!L547)</f>
        <v/>
      </c>
      <c r="M547" s="193" t="str">
        <f>IF('Observaciones-SMP'!M547="","",'Observaciones-SMP'!M547)</f>
        <v/>
      </c>
      <c r="N547" s="193" t="str">
        <f>IF('Observaciones-SMP'!N547="","",'Observaciones-SMP'!N547)</f>
        <v/>
      </c>
      <c r="O547" s="193" t="str">
        <f>IF('Observaciones-SMP'!O547="","",'Observaciones-SMP'!O547)</f>
        <v/>
      </c>
      <c r="P547" s="193" t="str">
        <f>IF('Observaciones-SMP'!P547="","",'Observaciones-SMP'!P547)</f>
        <v/>
      </c>
      <c r="Q547" s="257" t="str">
        <f>IF('Observaciones-SMP'!S547="","",'Observaciones-SMP'!S547)</f>
        <v/>
      </c>
      <c r="R547" s="193" t="str">
        <f>IF('Observaciones-SMP'!T547="","",'Observaciones-SMP'!T547)</f>
        <v/>
      </c>
      <c r="S547" s="193" t="str">
        <f>""</f>
        <v/>
      </c>
      <c r="T547" s="193" t="str">
        <f>""</f>
        <v/>
      </c>
      <c r="U547" s="193" t="str">
        <f t="shared" si="32"/>
        <v/>
      </c>
      <c r="V547" s="193" t="str">
        <f>""</f>
        <v/>
      </c>
      <c r="W547" s="193" t="str">
        <f>""</f>
        <v/>
      </c>
      <c r="X547" s="258" t="str">
        <f t="shared" si="33"/>
        <v/>
      </c>
      <c r="Y547" s="258" t="str">
        <f t="shared" si="34"/>
        <v/>
      </c>
      <c r="Z547" s="193" t="str">
        <f>IF(A547="","",IF(COUNTIF('Observaciones-SMP'!$A$2:$A$1001,A547)&gt;1,1,0))</f>
        <v/>
      </c>
      <c r="AA547" s="193" t="str">
        <f t="shared" si="35"/>
        <v/>
      </c>
    </row>
    <row r="548" spans="1:27" ht="13.5" customHeight="1" x14ac:dyDescent="0.3">
      <c r="A548" s="193" t="str">
        <f>IF('Observaciones-SMP'!A548="","",'Observaciones-SMP'!A548)</f>
        <v/>
      </c>
      <c r="B548" s="257" t="str">
        <f>IF('Observaciones-SMP'!B548="","",'Observaciones-SMP'!B548)</f>
        <v/>
      </c>
      <c r="C548" s="193" t="str">
        <f>IF('Observaciones-SMP'!C548="","",'Observaciones-SMP'!C548)</f>
        <v/>
      </c>
      <c r="D548" s="193" t="str">
        <f>IF('Observaciones-SMP'!D548="","",'Observaciones-SMP'!D548)</f>
        <v/>
      </c>
      <c r="E548" s="193" t="str">
        <f>IF('Observaciones-SMP'!E548="","",'Observaciones-SMP'!E548)</f>
        <v/>
      </c>
      <c r="F548" s="193" t="str">
        <f>IF('Observaciones-SMP'!F548="","",'Observaciones-SMP'!F548)</f>
        <v/>
      </c>
      <c r="G548" s="193" t="str">
        <f>IF('Observaciones-SMP'!G548="","",'Observaciones-SMP'!G548)</f>
        <v/>
      </c>
      <c r="H548" s="193" t="str">
        <f>IF('Observaciones-SMP'!H548="","",'Observaciones-SMP'!H548)</f>
        <v/>
      </c>
      <c r="I548" s="193" t="str">
        <f>IF('Observaciones-SMP'!I548="","",'Observaciones-SMP'!I548)</f>
        <v/>
      </c>
      <c r="J548" s="193" t="str">
        <f>IF('Observaciones-SMP'!J548="","",'Observaciones-SMP'!J548)</f>
        <v/>
      </c>
      <c r="K548" s="193" t="str">
        <f>IF('Observaciones-SMP'!K548="","",'Observaciones-SMP'!K548)</f>
        <v/>
      </c>
      <c r="L548" s="193" t="str">
        <f>IF('Observaciones-SMP'!L548="","",'Observaciones-SMP'!L548)</f>
        <v/>
      </c>
      <c r="M548" s="193" t="str">
        <f>IF('Observaciones-SMP'!M548="","",'Observaciones-SMP'!M548)</f>
        <v/>
      </c>
      <c r="N548" s="193" t="str">
        <f>IF('Observaciones-SMP'!N548="","",'Observaciones-SMP'!N548)</f>
        <v/>
      </c>
      <c r="O548" s="193" t="str">
        <f>IF('Observaciones-SMP'!O548="","",'Observaciones-SMP'!O548)</f>
        <v/>
      </c>
      <c r="P548" s="193" t="str">
        <f>IF('Observaciones-SMP'!P548="","",'Observaciones-SMP'!P548)</f>
        <v/>
      </c>
      <c r="Q548" s="257" t="str">
        <f>IF('Observaciones-SMP'!S548="","",'Observaciones-SMP'!S548)</f>
        <v/>
      </c>
      <c r="R548" s="193" t="str">
        <f>IF('Observaciones-SMP'!T548="","",'Observaciones-SMP'!T548)</f>
        <v/>
      </c>
      <c r="S548" s="193" t="str">
        <f>""</f>
        <v/>
      </c>
      <c r="T548" s="193" t="str">
        <f>""</f>
        <v/>
      </c>
      <c r="U548" s="193" t="str">
        <f t="shared" si="32"/>
        <v/>
      </c>
      <c r="V548" s="193" t="str">
        <f>""</f>
        <v/>
      </c>
      <c r="W548" s="193" t="str">
        <f>""</f>
        <v/>
      </c>
      <c r="X548" s="258" t="str">
        <f t="shared" si="33"/>
        <v/>
      </c>
      <c r="Y548" s="258" t="str">
        <f t="shared" si="34"/>
        <v/>
      </c>
      <c r="Z548" s="193" t="str">
        <f>IF(A548="","",IF(COUNTIF('Observaciones-SMP'!$A$2:$A$1001,A548)&gt;1,1,0))</f>
        <v/>
      </c>
      <c r="AA548" s="193" t="str">
        <f t="shared" si="35"/>
        <v/>
      </c>
    </row>
    <row r="549" spans="1:27" ht="13.5" customHeight="1" x14ac:dyDescent="0.3">
      <c r="A549" s="193" t="str">
        <f>IF('Observaciones-SMP'!A549="","",'Observaciones-SMP'!A549)</f>
        <v/>
      </c>
      <c r="B549" s="257" t="str">
        <f>IF('Observaciones-SMP'!B549="","",'Observaciones-SMP'!B549)</f>
        <v/>
      </c>
      <c r="C549" s="193" t="str">
        <f>IF('Observaciones-SMP'!C549="","",'Observaciones-SMP'!C549)</f>
        <v/>
      </c>
      <c r="D549" s="193" t="str">
        <f>IF('Observaciones-SMP'!D549="","",'Observaciones-SMP'!D549)</f>
        <v/>
      </c>
      <c r="E549" s="193" t="str">
        <f>IF('Observaciones-SMP'!E549="","",'Observaciones-SMP'!E549)</f>
        <v/>
      </c>
      <c r="F549" s="193" t="str">
        <f>IF('Observaciones-SMP'!F549="","",'Observaciones-SMP'!F549)</f>
        <v/>
      </c>
      <c r="G549" s="193" t="str">
        <f>IF('Observaciones-SMP'!G549="","",'Observaciones-SMP'!G549)</f>
        <v/>
      </c>
      <c r="H549" s="193" t="str">
        <f>IF('Observaciones-SMP'!H549="","",'Observaciones-SMP'!H549)</f>
        <v/>
      </c>
      <c r="I549" s="193" t="str">
        <f>IF('Observaciones-SMP'!I549="","",'Observaciones-SMP'!I549)</f>
        <v/>
      </c>
      <c r="J549" s="193" t="str">
        <f>IF('Observaciones-SMP'!J549="","",'Observaciones-SMP'!J549)</f>
        <v/>
      </c>
      <c r="K549" s="193" t="str">
        <f>IF('Observaciones-SMP'!K549="","",'Observaciones-SMP'!K549)</f>
        <v/>
      </c>
      <c r="L549" s="193" t="str">
        <f>IF('Observaciones-SMP'!L549="","",'Observaciones-SMP'!L549)</f>
        <v/>
      </c>
      <c r="M549" s="193" t="str">
        <f>IF('Observaciones-SMP'!M549="","",'Observaciones-SMP'!M549)</f>
        <v/>
      </c>
      <c r="N549" s="193" t="str">
        <f>IF('Observaciones-SMP'!N549="","",'Observaciones-SMP'!N549)</f>
        <v/>
      </c>
      <c r="O549" s="193" t="str">
        <f>IF('Observaciones-SMP'!O549="","",'Observaciones-SMP'!O549)</f>
        <v/>
      </c>
      <c r="P549" s="193" t="str">
        <f>IF('Observaciones-SMP'!P549="","",'Observaciones-SMP'!P549)</f>
        <v/>
      </c>
      <c r="Q549" s="257" t="str">
        <f>IF('Observaciones-SMP'!S549="","",'Observaciones-SMP'!S549)</f>
        <v/>
      </c>
      <c r="R549" s="193" t="str">
        <f>IF('Observaciones-SMP'!T549="","",'Observaciones-SMP'!T549)</f>
        <v/>
      </c>
      <c r="S549" s="193" t="str">
        <f>""</f>
        <v/>
      </c>
      <c r="T549" s="193" t="str">
        <f>""</f>
        <v/>
      </c>
      <c r="U549" s="193" t="str">
        <f t="shared" si="32"/>
        <v/>
      </c>
      <c r="V549" s="193" t="str">
        <f>""</f>
        <v/>
      </c>
      <c r="W549" s="193" t="str">
        <f>""</f>
        <v/>
      </c>
      <c r="X549" s="258" t="str">
        <f t="shared" si="33"/>
        <v/>
      </c>
      <c r="Y549" s="258" t="str">
        <f t="shared" si="34"/>
        <v/>
      </c>
      <c r="Z549" s="193" t="str">
        <f>IF(A549="","",IF(COUNTIF('Observaciones-SMP'!$A$2:$A$1001,A549)&gt;1,1,0))</f>
        <v/>
      </c>
      <c r="AA549" s="193" t="str">
        <f t="shared" si="35"/>
        <v/>
      </c>
    </row>
    <row r="550" spans="1:27" ht="13.5" customHeight="1" x14ac:dyDescent="0.3">
      <c r="A550" s="193" t="str">
        <f>IF('Observaciones-SMP'!A550="","",'Observaciones-SMP'!A550)</f>
        <v/>
      </c>
      <c r="B550" s="257" t="str">
        <f>IF('Observaciones-SMP'!B550="","",'Observaciones-SMP'!B550)</f>
        <v/>
      </c>
      <c r="C550" s="193" t="str">
        <f>IF('Observaciones-SMP'!C550="","",'Observaciones-SMP'!C550)</f>
        <v/>
      </c>
      <c r="D550" s="193" t="str">
        <f>IF('Observaciones-SMP'!D550="","",'Observaciones-SMP'!D550)</f>
        <v/>
      </c>
      <c r="E550" s="193" t="str">
        <f>IF('Observaciones-SMP'!E550="","",'Observaciones-SMP'!E550)</f>
        <v/>
      </c>
      <c r="F550" s="193" t="str">
        <f>IF('Observaciones-SMP'!F550="","",'Observaciones-SMP'!F550)</f>
        <v/>
      </c>
      <c r="G550" s="193" t="str">
        <f>IF('Observaciones-SMP'!G550="","",'Observaciones-SMP'!G550)</f>
        <v/>
      </c>
      <c r="H550" s="193" t="str">
        <f>IF('Observaciones-SMP'!H550="","",'Observaciones-SMP'!H550)</f>
        <v/>
      </c>
      <c r="I550" s="193" t="str">
        <f>IF('Observaciones-SMP'!I550="","",'Observaciones-SMP'!I550)</f>
        <v/>
      </c>
      <c r="J550" s="193" t="str">
        <f>IF('Observaciones-SMP'!J550="","",'Observaciones-SMP'!J550)</f>
        <v/>
      </c>
      <c r="K550" s="193" t="str">
        <f>IF('Observaciones-SMP'!K550="","",'Observaciones-SMP'!K550)</f>
        <v/>
      </c>
      <c r="L550" s="193" t="str">
        <f>IF('Observaciones-SMP'!L550="","",'Observaciones-SMP'!L550)</f>
        <v/>
      </c>
      <c r="M550" s="193" t="str">
        <f>IF('Observaciones-SMP'!M550="","",'Observaciones-SMP'!M550)</f>
        <v/>
      </c>
      <c r="N550" s="193" t="str">
        <f>IF('Observaciones-SMP'!N550="","",'Observaciones-SMP'!N550)</f>
        <v/>
      </c>
      <c r="O550" s="193" t="str">
        <f>IF('Observaciones-SMP'!O550="","",'Observaciones-SMP'!O550)</f>
        <v/>
      </c>
      <c r="P550" s="193" t="str">
        <f>IF('Observaciones-SMP'!P550="","",'Observaciones-SMP'!P550)</f>
        <v/>
      </c>
      <c r="Q550" s="257" t="str">
        <f>IF('Observaciones-SMP'!S550="","",'Observaciones-SMP'!S550)</f>
        <v/>
      </c>
      <c r="R550" s="193" t="str">
        <f>IF('Observaciones-SMP'!T550="","",'Observaciones-SMP'!T550)</f>
        <v/>
      </c>
      <c r="S550" s="193" t="str">
        <f>""</f>
        <v/>
      </c>
      <c r="T550" s="193" t="str">
        <f>""</f>
        <v/>
      </c>
      <c r="U550" s="193" t="str">
        <f t="shared" si="32"/>
        <v/>
      </c>
      <c r="V550" s="193" t="str">
        <f>""</f>
        <v/>
      </c>
      <c r="W550" s="193" t="str">
        <f>""</f>
        <v/>
      </c>
      <c r="X550" s="258" t="str">
        <f t="shared" si="33"/>
        <v/>
      </c>
      <c r="Y550" s="258" t="str">
        <f t="shared" si="34"/>
        <v/>
      </c>
      <c r="Z550" s="193" t="str">
        <f>IF(A550="","",IF(COUNTIF('Observaciones-SMP'!$A$2:$A$1001,A550)&gt;1,1,0))</f>
        <v/>
      </c>
      <c r="AA550" s="193" t="str">
        <f t="shared" si="35"/>
        <v/>
      </c>
    </row>
    <row r="551" spans="1:27" ht="13.5" customHeight="1" x14ac:dyDescent="0.3">
      <c r="A551" s="193" t="str">
        <f>IF('Observaciones-SMP'!A551="","",'Observaciones-SMP'!A551)</f>
        <v/>
      </c>
      <c r="B551" s="257" t="str">
        <f>IF('Observaciones-SMP'!B551="","",'Observaciones-SMP'!B551)</f>
        <v/>
      </c>
      <c r="C551" s="193" t="str">
        <f>IF('Observaciones-SMP'!C551="","",'Observaciones-SMP'!C551)</f>
        <v/>
      </c>
      <c r="D551" s="193" t="str">
        <f>IF('Observaciones-SMP'!D551="","",'Observaciones-SMP'!D551)</f>
        <v/>
      </c>
      <c r="E551" s="193" t="str">
        <f>IF('Observaciones-SMP'!E551="","",'Observaciones-SMP'!E551)</f>
        <v/>
      </c>
      <c r="F551" s="193" t="str">
        <f>IF('Observaciones-SMP'!F551="","",'Observaciones-SMP'!F551)</f>
        <v/>
      </c>
      <c r="G551" s="193" t="str">
        <f>IF('Observaciones-SMP'!G551="","",'Observaciones-SMP'!G551)</f>
        <v/>
      </c>
      <c r="H551" s="193" t="str">
        <f>IF('Observaciones-SMP'!H551="","",'Observaciones-SMP'!H551)</f>
        <v/>
      </c>
      <c r="I551" s="193" t="str">
        <f>IF('Observaciones-SMP'!I551="","",'Observaciones-SMP'!I551)</f>
        <v/>
      </c>
      <c r="J551" s="193" t="str">
        <f>IF('Observaciones-SMP'!J551="","",'Observaciones-SMP'!J551)</f>
        <v/>
      </c>
      <c r="K551" s="193" t="str">
        <f>IF('Observaciones-SMP'!K551="","",'Observaciones-SMP'!K551)</f>
        <v/>
      </c>
      <c r="L551" s="193" t="str">
        <f>IF('Observaciones-SMP'!L551="","",'Observaciones-SMP'!L551)</f>
        <v/>
      </c>
      <c r="M551" s="193" t="str">
        <f>IF('Observaciones-SMP'!M551="","",'Observaciones-SMP'!M551)</f>
        <v/>
      </c>
      <c r="N551" s="193" t="str">
        <f>IF('Observaciones-SMP'!N551="","",'Observaciones-SMP'!N551)</f>
        <v/>
      </c>
      <c r="O551" s="193" t="str">
        <f>IF('Observaciones-SMP'!O551="","",'Observaciones-SMP'!O551)</f>
        <v/>
      </c>
      <c r="P551" s="193" t="str">
        <f>IF('Observaciones-SMP'!P551="","",'Observaciones-SMP'!P551)</f>
        <v/>
      </c>
      <c r="Q551" s="257" t="str">
        <f>IF('Observaciones-SMP'!S551="","",'Observaciones-SMP'!S551)</f>
        <v/>
      </c>
      <c r="R551" s="193" t="str">
        <f>IF('Observaciones-SMP'!T551="","",'Observaciones-SMP'!T551)</f>
        <v/>
      </c>
      <c r="S551" s="193" t="str">
        <f>""</f>
        <v/>
      </c>
      <c r="T551" s="193" t="str">
        <f>""</f>
        <v/>
      </c>
      <c r="U551" s="193" t="str">
        <f t="shared" si="32"/>
        <v/>
      </c>
      <c r="V551" s="193" t="str">
        <f>""</f>
        <v/>
      </c>
      <c r="W551" s="193" t="str">
        <f>""</f>
        <v/>
      </c>
      <c r="X551" s="258" t="str">
        <f t="shared" si="33"/>
        <v/>
      </c>
      <c r="Y551" s="258" t="str">
        <f t="shared" si="34"/>
        <v/>
      </c>
      <c r="Z551" s="193" t="str">
        <f>IF(A551="","",IF(COUNTIF('Observaciones-SMP'!$A$2:$A$1001,A551)&gt;1,1,0))</f>
        <v/>
      </c>
      <c r="AA551" s="193" t="str">
        <f t="shared" si="35"/>
        <v/>
      </c>
    </row>
    <row r="552" spans="1:27" ht="13.5" customHeight="1" x14ac:dyDescent="0.3">
      <c r="A552" s="193" t="str">
        <f>IF('Observaciones-SMP'!A552="","",'Observaciones-SMP'!A552)</f>
        <v/>
      </c>
      <c r="B552" s="257" t="str">
        <f>IF('Observaciones-SMP'!B552="","",'Observaciones-SMP'!B552)</f>
        <v/>
      </c>
      <c r="C552" s="193" t="str">
        <f>IF('Observaciones-SMP'!C552="","",'Observaciones-SMP'!C552)</f>
        <v/>
      </c>
      <c r="D552" s="193" t="str">
        <f>IF('Observaciones-SMP'!D552="","",'Observaciones-SMP'!D552)</f>
        <v/>
      </c>
      <c r="E552" s="193" t="str">
        <f>IF('Observaciones-SMP'!E552="","",'Observaciones-SMP'!E552)</f>
        <v/>
      </c>
      <c r="F552" s="193" t="str">
        <f>IF('Observaciones-SMP'!F552="","",'Observaciones-SMP'!F552)</f>
        <v/>
      </c>
      <c r="G552" s="193" t="str">
        <f>IF('Observaciones-SMP'!G552="","",'Observaciones-SMP'!G552)</f>
        <v/>
      </c>
      <c r="H552" s="193" t="str">
        <f>IF('Observaciones-SMP'!H552="","",'Observaciones-SMP'!H552)</f>
        <v/>
      </c>
      <c r="I552" s="193" t="str">
        <f>IF('Observaciones-SMP'!I552="","",'Observaciones-SMP'!I552)</f>
        <v/>
      </c>
      <c r="J552" s="193" t="str">
        <f>IF('Observaciones-SMP'!J552="","",'Observaciones-SMP'!J552)</f>
        <v/>
      </c>
      <c r="K552" s="193" t="str">
        <f>IF('Observaciones-SMP'!K552="","",'Observaciones-SMP'!K552)</f>
        <v/>
      </c>
      <c r="L552" s="193" t="str">
        <f>IF('Observaciones-SMP'!L552="","",'Observaciones-SMP'!L552)</f>
        <v/>
      </c>
      <c r="M552" s="193" t="str">
        <f>IF('Observaciones-SMP'!M552="","",'Observaciones-SMP'!M552)</f>
        <v/>
      </c>
      <c r="N552" s="193" t="str">
        <f>IF('Observaciones-SMP'!N552="","",'Observaciones-SMP'!N552)</f>
        <v/>
      </c>
      <c r="O552" s="193" t="str">
        <f>IF('Observaciones-SMP'!O552="","",'Observaciones-SMP'!O552)</f>
        <v/>
      </c>
      <c r="P552" s="193" t="str">
        <f>IF('Observaciones-SMP'!P552="","",'Observaciones-SMP'!P552)</f>
        <v/>
      </c>
      <c r="Q552" s="257" t="str">
        <f>IF('Observaciones-SMP'!S552="","",'Observaciones-SMP'!S552)</f>
        <v/>
      </c>
      <c r="R552" s="193" t="str">
        <f>IF('Observaciones-SMP'!T552="","",'Observaciones-SMP'!T552)</f>
        <v/>
      </c>
      <c r="S552" s="193" t="str">
        <f>""</f>
        <v/>
      </c>
      <c r="T552" s="193" t="str">
        <f>""</f>
        <v/>
      </c>
      <c r="U552" s="193" t="str">
        <f t="shared" si="32"/>
        <v/>
      </c>
      <c r="V552" s="193" t="str">
        <f>""</f>
        <v/>
      </c>
      <c r="W552" s="193" t="str">
        <f>""</f>
        <v/>
      </c>
      <c r="X552" s="258" t="str">
        <f t="shared" si="33"/>
        <v/>
      </c>
      <c r="Y552" s="258" t="str">
        <f t="shared" si="34"/>
        <v/>
      </c>
      <c r="Z552" s="193" t="str">
        <f>IF(A552="","",IF(COUNTIF('Observaciones-SMP'!$A$2:$A$1001,A552)&gt;1,1,0))</f>
        <v/>
      </c>
      <c r="AA552" s="193" t="str">
        <f t="shared" si="35"/>
        <v/>
      </c>
    </row>
    <row r="553" spans="1:27" ht="13.5" customHeight="1" x14ac:dyDescent="0.3">
      <c r="A553" s="193" t="str">
        <f>IF('Observaciones-SMP'!A553="","",'Observaciones-SMP'!A553)</f>
        <v/>
      </c>
      <c r="B553" s="257" t="str">
        <f>IF('Observaciones-SMP'!B553="","",'Observaciones-SMP'!B553)</f>
        <v/>
      </c>
      <c r="C553" s="193" t="str">
        <f>IF('Observaciones-SMP'!C553="","",'Observaciones-SMP'!C553)</f>
        <v/>
      </c>
      <c r="D553" s="193" t="str">
        <f>IF('Observaciones-SMP'!D553="","",'Observaciones-SMP'!D553)</f>
        <v/>
      </c>
      <c r="E553" s="193" t="str">
        <f>IF('Observaciones-SMP'!E553="","",'Observaciones-SMP'!E553)</f>
        <v/>
      </c>
      <c r="F553" s="193" t="str">
        <f>IF('Observaciones-SMP'!F553="","",'Observaciones-SMP'!F553)</f>
        <v/>
      </c>
      <c r="G553" s="193" t="str">
        <f>IF('Observaciones-SMP'!G553="","",'Observaciones-SMP'!G553)</f>
        <v/>
      </c>
      <c r="H553" s="193" t="str">
        <f>IF('Observaciones-SMP'!H553="","",'Observaciones-SMP'!H553)</f>
        <v/>
      </c>
      <c r="I553" s="193" t="str">
        <f>IF('Observaciones-SMP'!I553="","",'Observaciones-SMP'!I553)</f>
        <v/>
      </c>
      <c r="J553" s="193" t="str">
        <f>IF('Observaciones-SMP'!J553="","",'Observaciones-SMP'!J553)</f>
        <v/>
      </c>
      <c r="K553" s="193" t="str">
        <f>IF('Observaciones-SMP'!K553="","",'Observaciones-SMP'!K553)</f>
        <v/>
      </c>
      <c r="L553" s="193" t="str">
        <f>IF('Observaciones-SMP'!L553="","",'Observaciones-SMP'!L553)</f>
        <v/>
      </c>
      <c r="M553" s="193" t="str">
        <f>IF('Observaciones-SMP'!M553="","",'Observaciones-SMP'!M553)</f>
        <v/>
      </c>
      <c r="N553" s="193" t="str">
        <f>IF('Observaciones-SMP'!N553="","",'Observaciones-SMP'!N553)</f>
        <v/>
      </c>
      <c r="O553" s="193" t="str">
        <f>IF('Observaciones-SMP'!O553="","",'Observaciones-SMP'!O553)</f>
        <v/>
      </c>
      <c r="P553" s="193" t="str">
        <f>IF('Observaciones-SMP'!P553="","",'Observaciones-SMP'!P553)</f>
        <v/>
      </c>
      <c r="Q553" s="257" t="str">
        <f>IF('Observaciones-SMP'!S553="","",'Observaciones-SMP'!S553)</f>
        <v/>
      </c>
      <c r="R553" s="193" t="str">
        <f>IF('Observaciones-SMP'!T553="","",'Observaciones-SMP'!T553)</f>
        <v/>
      </c>
      <c r="S553" s="193" t="str">
        <f>""</f>
        <v/>
      </c>
      <c r="T553" s="193" t="str">
        <f>""</f>
        <v/>
      </c>
      <c r="U553" s="193" t="str">
        <f t="shared" si="32"/>
        <v/>
      </c>
      <c r="V553" s="193" t="str">
        <f>""</f>
        <v/>
      </c>
      <c r="W553" s="193" t="str">
        <f>""</f>
        <v/>
      </c>
      <c r="X553" s="258" t="str">
        <f t="shared" si="33"/>
        <v/>
      </c>
      <c r="Y553" s="258" t="str">
        <f t="shared" si="34"/>
        <v/>
      </c>
      <c r="Z553" s="193" t="str">
        <f>IF(A553="","",IF(COUNTIF('Observaciones-SMP'!$A$2:$A$1001,A553)&gt;1,1,0))</f>
        <v/>
      </c>
      <c r="AA553" s="193" t="str">
        <f t="shared" si="35"/>
        <v/>
      </c>
    </row>
    <row r="554" spans="1:27" ht="13.5" customHeight="1" x14ac:dyDescent="0.3">
      <c r="A554" s="193" t="str">
        <f>IF('Observaciones-SMP'!A554="","",'Observaciones-SMP'!A554)</f>
        <v/>
      </c>
      <c r="B554" s="257" t="str">
        <f>IF('Observaciones-SMP'!B554="","",'Observaciones-SMP'!B554)</f>
        <v/>
      </c>
      <c r="C554" s="193" t="str">
        <f>IF('Observaciones-SMP'!C554="","",'Observaciones-SMP'!C554)</f>
        <v/>
      </c>
      <c r="D554" s="193" t="str">
        <f>IF('Observaciones-SMP'!D554="","",'Observaciones-SMP'!D554)</f>
        <v/>
      </c>
      <c r="E554" s="193" t="str">
        <f>IF('Observaciones-SMP'!E554="","",'Observaciones-SMP'!E554)</f>
        <v/>
      </c>
      <c r="F554" s="193" t="str">
        <f>IF('Observaciones-SMP'!F554="","",'Observaciones-SMP'!F554)</f>
        <v/>
      </c>
      <c r="G554" s="193" t="str">
        <f>IF('Observaciones-SMP'!G554="","",'Observaciones-SMP'!G554)</f>
        <v/>
      </c>
      <c r="H554" s="193" t="str">
        <f>IF('Observaciones-SMP'!H554="","",'Observaciones-SMP'!H554)</f>
        <v/>
      </c>
      <c r="I554" s="193" t="str">
        <f>IF('Observaciones-SMP'!I554="","",'Observaciones-SMP'!I554)</f>
        <v/>
      </c>
      <c r="J554" s="193" t="str">
        <f>IF('Observaciones-SMP'!J554="","",'Observaciones-SMP'!J554)</f>
        <v/>
      </c>
      <c r="K554" s="193" t="str">
        <f>IF('Observaciones-SMP'!K554="","",'Observaciones-SMP'!K554)</f>
        <v/>
      </c>
      <c r="L554" s="193" t="str">
        <f>IF('Observaciones-SMP'!L554="","",'Observaciones-SMP'!L554)</f>
        <v/>
      </c>
      <c r="M554" s="193" t="str">
        <f>IF('Observaciones-SMP'!M554="","",'Observaciones-SMP'!M554)</f>
        <v/>
      </c>
      <c r="N554" s="193" t="str">
        <f>IF('Observaciones-SMP'!N554="","",'Observaciones-SMP'!N554)</f>
        <v/>
      </c>
      <c r="O554" s="193" t="str">
        <f>IF('Observaciones-SMP'!O554="","",'Observaciones-SMP'!O554)</f>
        <v/>
      </c>
      <c r="P554" s="193" t="str">
        <f>IF('Observaciones-SMP'!P554="","",'Observaciones-SMP'!P554)</f>
        <v/>
      </c>
      <c r="Q554" s="257" t="str">
        <f>IF('Observaciones-SMP'!S554="","",'Observaciones-SMP'!S554)</f>
        <v/>
      </c>
      <c r="R554" s="193" t="str">
        <f>IF('Observaciones-SMP'!T554="","",'Observaciones-SMP'!T554)</f>
        <v/>
      </c>
      <c r="S554" s="193" t="str">
        <f>""</f>
        <v/>
      </c>
      <c r="T554" s="193" t="str">
        <f>""</f>
        <v/>
      </c>
      <c r="U554" s="193" t="str">
        <f t="shared" si="32"/>
        <v/>
      </c>
      <c r="V554" s="193" t="str">
        <f>""</f>
        <v/>
      </c>
      <c r="W554" s="193" t="str">
        <f>""</f>
        <v/>
      </c>
      <c r="X554" s="258" t="str">
        <f t="shared" si="33"/>
        <v/>
      </c>
      <c r="Y554" s="258" t="str">
        <f t="shared" si="34"/>
        <v/>
      </c>
      <c r="Z554" s="193" t="str">
        <f>IF(A554="","",IF(COUNTIF('Observaciones-SMP'!$A$2:$A$1001,A554)&gt;1,1,0))</f>
        <v/>
      </c>
      <c r="AA554" s="193" t="str">
        <f t="shared" si="35"/>
        <v/>
      </c>
    </row>
    <row r="555" spans="1:27" ht="13.5" customHeight="1" x14ac:dyDescent="0.3">
      <c r="A555" s="193" t="str">
        <f>IF('Observaciones-SMP'!A555="","",'Observaciones-SMP'!A555)</f>
        <v/>
      </c>
      <c r="B555" s="257" t="str">
        <f>IF('Observaciones-SMP'!B555="","",'Observaciones-SMP'!B555)</f>
        <v/>
      </c>
      <c r="C555" s="193" t="str">
        <f>IF('Observaciones-SMP'!C555="","",'Observaciones-SMP'!C555)</f>
        <v/>
      </c>
      <c r="D555" s="193" t="str">
        <f>IF('Observaciones-SMP'!D555="","",'Observaciones-SMP'!D555)</f>
        <v/>
      </c>
      <c r="E555" s="193" t="str">
        <f>IF('Observaciones-SMP'!E555="","",'Observaciones-SMP'!E555)</f>
        <v/>
      </c>
      <c r="F555" s="193" t="str">
        <f>IF('Observaciones-SMP'!F555="","",'Observaciones-SMP'!F555)</f>
        <v/>
      </c>
      <c r="G555" s="193" t="str">
        <f>IF('Observaciones-SMP'!G555="","",'Observaciones-SMP'!G555)</f>
        <v/>
      </c>
      <c r="H555" s="193" t="str">
        <f>IF('Observaciones-SMP'!H555="","",'Observaciones-SMP'!H555)</f>
        <v/>
      </c>
      <c r="I555" s="193" t="str">
        <f>IF('Observaciones-SMP'!I555="","",'Observaciones-SMP'!I555)</f>
        <v/>
      </c>
      <c r="J555" s="193" t="str">
        <f>IF('Observaciones-SMP'!J555="","",'Observaciones-SMP'!J555)</f>
        <v/>
      </c>
      <c r="K555" s="193" t="str">
        <f>IF('Observaciones-SMP'!K555="","",'Observaciones-SMP'!K555)</f>
        <v/>
      </c>
      <c r="L555" s="193" t="str">
        <f>IF('Observaciones-SMP'!L555="","",'Observaciones-SMP'!L555)</f>
        <v/>
      </c>
      <c r="M555" s="193" t="str">
        <f>IF('Observaciones-SMP'!M555="","",'Observaciones-SMP'!M555)</f>
        <v/>
      </c>
      <c r="N555" s="193" t="str">
        <f>IF('Observaciones-SMP'!N555="","",'Observaciones-SMP'!N555)</f>
        <v/>
      </c>
      <c r="O555" s="193" t="str">
        <f>IF('Observaciones-SMP'!O555="","",'Observaciones-SMP'!O555)</f>
        <v/>
      </c>
      <c r="P555" s="193" t="str">
        <f>IF('Observaciones-SMP'!P555="","",'Observaciones-SMP'!P555)</f>
        <v/>
      </c>
      <c r="Q555" s="257" t="str">
        <f>IF('Observaciones-SMP'!S555="","",'Observaciones-SMP'!S555)</f>
        <v/>
      </c>
      <c r="R555" s="193" t="str">
        <f>IF('Observaciones-SMP'!T555="","",'Observaciones-SMP'!T555)</f>
        <v/>
      </c>
      <c r="S555" s="193" t="str">
        <f>""</f>
        <v/>
      </c>
      <c r="T555" s="193" t="str">
        <f>""</f>
        <v/>
      </c>
      <c r="U555" s="193" t="str">
        <f t="shared" si="32"/>
        <v/>
      </c>
      <c r="V555" s="193" t="str">
        <f>""</f>
        <v/>
      </c>
      <c r="W555" s="193" t="str">
        <f>""</f>
        <v/>
      </c>
      <c r="X555" s="258" t="str">
        <f t="shared" si="33"/>
        <v/>
      </c>
      <c r="Y555" s="258" t="str">
        <f t="shared" si="34"/>
        <v/>
      </c>
      <c r="Z555" s="193" t="str">
        <f>IF(A555="","",IF(COUNTIF('Observaciones-SMP'!$A$2:$A$1001,A555)&gt;1,1,0))</f>
        <v/>
      </c>
      <c r="AA555" s="193" t="str">
        <f t="shared" si="35"/>
        <v/>
      </c>
    </row>
    <row r="556" spans="1:27" ht="13.5" customHeight="1" x14ac:dyDescent="0.3">
      <c r="A556" s="193" t="str">
        <f>IF('Observaciones-SMP'!A556="","",'Observaciones-SMP'!A556)</f>
        <v/>
      </c>
      <c r="B556" s="257" t="str">
        <f>IF('Observaciones-SMP'!B556="","",'Observaciones-SMP'!B556)</f>
        <v/>
      </c>
      <c r="C556" s="193" t="str">
        <f>IF('Observaciones-SMP'!C556="","",'Observaciones-SMP'!C556)</f>
        <v/>
      </c>
      <c r="D556" s="193" t="str">
        <f>IF('Observaciones-SMP'!D556="","",'Observaciones-SMP'!D556)</f>
        <v/>
      </c>
      <c r="E556" s="193" t="str">
        <f>IF('Observaciones-SMP'!E556="","",'Observaciones-SMP'!E556)</f>
        <v/>
      </c>
      <c r="F556" s="193" t="str">
        <f>IF('Observaciones-SMP'!F556="","",'Observaciones-SMP'!F556)</f>
        <v/>
      </c>
      <c r="G556" s="193" t="str">
        <f>IF('Observaciones-SMP'!G556="","",'Observaciones-SMP'!G556)</f>
        <v/>
      </c>
      <c r="H556" s="193" t="str">
        <f>IF('Observaciones-SMP'!H556="","",'Observaciones-SMP'!H556)</f>
        <v/>
      </c>
      <c r="I556" s="193" t="str">
        <f>IF('Observaciones-SMP'!I556="","",'Observaciones-SMP'!I556)</f>
        <v/>
      </c>
      <c r="J556" s="193" t="str">
        <f>IF('Observaciones-SMP'!J556="","",'Observaciones-SMP'!J556)</f>
        <v/>
      </c>
      <c r="K556" s="193" t="str">
        <f>IF('Observaciones-SMP'!K556="","",'Observaciones-SMP'!K556)</f>
        <v/>
      </c>
      <c r="L556" s="193" t="str">
        <f>IF('Observaciones-SMP'!L556="","",'Observaciones-SMP'!L556)</f>
        <v/>
      </c>
      <c r="M556" s="193" t="str">
        <f>IF('Observaciones-SMP'!M556="","",'Observaciones-SMP'!M556)</f>
        <v/>
      </c>
      <c r="N556" s="193" t="str">
        <f>IF('Observaciones-SMP'!N556="","",'Observaciones-SMP'!N556)</f>
        <v/>
      </c>
      <c r="O556" s="193" t="str">
        <f>IF('Observaciones-SMP'!O556="","",'Observaciones-SMP'!O556)</f>
        <v/>
      </c>
      <c r="P556" s="193" t="str">
        <f>IF('Observaciones-SMP'!P556="","",'Observaciones-SMP'!P556)</f>
        <v/>
      </c>
      <c r="Q556" s="257" t="str">
        <f>IF('Observaciones-SMP'!S556="","",'Observaciones-SMP'!S556)</f>
        <v/>
      </c>
      <c r="R556" s="193" t="str">
        <f>IF('Observaciones-SMP'!T556="","",'Observaciones-SMP'!T556)</f>
        <v/>
      </c>
      <c r="S556" s="193" t="str">
        <f>""</f>
        <v/>
      </c>
      <c r="T556" s="193" t="str">
        <f>""</f>
        <v/>
      </c>
      <c r="U556" s="193" t="str">
        <f t="shared" si="32"/>
        <v/>
      </c>
      <c r="V556" s="193" t="str">
        <f>""</f>
        <v/>
      </c>
      <c r="W556" s="193" t="str">
        <f>""</f>
        <v/>
      </c>
      <c r="X556" s="258" t="str">
        <f t="shared" si="33"/>
        <v/>
      </c>
      <c r="Y556" s="258" t="str">
        <f t="shared" si="34"/>
        <v/>
      </c>
      <c r="Z556" s="193" t="str">
        <f>IF(A556="","",IF(COUNTIF('Observaciones-SMP'!$A$2:$A$1001,A556)&gt;1,1,0))</f>
        <v/>
      </c>
      <c r="AA556" s="193" t="str">
        <f t="shared" si="35"/>
        <v/>
      </c>
    </row>
    <row r="557" spans="1:27" ht="13.5" customHeight="1" x14ac:dyDescent="0.3">
      <c r="A557" s="193" t="str">
        <f>IF('Observaciones-SMP'!A557="","",'Observaciones-SMP'!A557)</f>
        <v/>
      </c>
      <c r="B557" s="257" t="str">
        <f>IF('Observaciones-SMP'!B557="","",'Observaciones-SMP'!B557)</f>
        <v/>
      </c>
      <c r="C557" s="193" t="str">
        <f>IF('Observaciones-SMP'!C557="","",'Observaciones-SMP'!C557)</f>
        <v/>
      </c>
      <c r="D557" s="193" t="str">
        <f>IF('Observaciones-SMP'!D557="","",'Observaciones-SMP'!D557)</f>
        <v/>
      </c>
      <c r="E557" s="193" t="str">
        <f>IF('Observaciones-SMP'!E557="","",'Observaciones-SMP'!E557)</f>
        <v/>
      </c>
      <c r="F557" s="193" t="str">
        <f>IF('Observaciones-SMP'!F557="","",'Observaciones-SMP'!F557)</f>
        <v/>
      </c>
      <c r="G557" s="193" t="str">
        <f>IF('Observaciones-SMP'!G557="","",'Observaciones-SMP'!G557)</f>
        <v/>
      </c>
      <c r="H557" s="193" t="str">
        <f>IF('Observaciones-SMP'!H557="","",'Observaciones-SMP'!H557)</f>
        <v/>
      </c>
      <c r="I557" s="193" t="str">
        <f>IF('Observaciones-SMP'!I557="","",'Observaciones-SMP'!I557)</f>
        <v/>
      </c>
      <c r="J557" s="193" t="str">
        <f>IF('Observaciones-SMP'!J557="","",'Observaciones-SMP'!J557)</f>
        <v/>
      </c>
      <c r="K557" s="193" t="str">
        <f>IF('Observaciones-SMP'!K557="","",'Observaciones-SMP'!K557)</f>
        <v/>
      </c>
      <c r="L557" s="193" t="str">
        <f>IF('Observaciones-SMP'!L557="","",'Observaciones-SMP'!L557)</f>
        <v/>
      </c>
      <c r="M557" s="193" t="str">
        <f>IF('Observaciones-SMP'!M557="","",'Observaciones-SMP'!M557)</f>
        <v/>
      </c>
      <c r="N557" s="193" t="str">
        <f>IF('Observaciones-SMP'!N557="","",'Observaciones-SMP'!N557)</f>
        <v/>
      </c>
      <c r="O557" s="193" t="str">
        <f>IF('Observaciones-SMP'!O557="","",'Observaciones-SMP'!O557)</f>
        <v/>
      </c>
      <c r="P557" s="193" t="str">
        <f>IF('Observaciones-SMP'!P557="","",'Observaciones-SMP'!P557)</f>
        <v/>
      </c>
      <c r="Q557" s="257" t="str">
        <f>IF('Observaciones-SMP'!S557="","",'Observaciones-SMP'!S557)</f>
        <v/>
      </c>
      <c r="R557" s="193" t="str">
        <f>IF('Observaciones-SMP'!T557="","",'Observaciones-SMP'!T557)</f>
        <v/>
      </c>
      <c r="S557" s="193" t="str">
        <f>""</f>
        <v/>
      </c>
      <c r="T557" s="193" t="str">
        <f>""</f>
        <v/>
      </c>
      <c r="U557" s="193" t="str">
        <f t="shared" si="32"/>
        <v/>
      </c>
      <c r="V557" s="193" t="str">
        <f>""</f>
        <v/>
      </c>
      <c r="W557" s="193" t="str">
        <f>""</f>
        <v/>
      </c>
      <c r="X557" s="258" t="str">
        <f t="shared" si="33"/>
        <v/>
      </c>
      <c r="Y557" s="258" t="str">
        <f t="shared" si="34"/>
        <v/>
      </c>
      <c r="Z557" s="193" t="str">
        <f>IF(A557="","",IF(COUNTIF('Observaciones-SMP'!$A$2:$A$1001,A557)&gt;1,1,0))</f>
        <v/>
      </c>
      <c r="AA557" s="193" t="str">
        <f t="shared" si="35"/>
        <v/>
      </c>
    </row>
    <row r="558" spans="1:27" ht="13.5" customHeight="1" x14ac:dyDescent="0.3">
      <c r="A558" s="193" t="str">
        <f>IF('Observaciones-SMP'!A558="","",'Observaciones-SMP'!A558)</f>
        <v/>
      </c>
      <c r="B558" s="257" t="str">
        <f>IF('Observaciones-SMP'!B558="","",'Observaciones-SMP'!B558)</f>
        <v/>
      </c>
      <c r="C558" s="193" t="str">
        <f>IF('Observaciones-SMP'!C558="","",'Observaciones-SMP'!C558)</f>
        <v/>
      </c>
      <c r="D558" s="193" t="str">
        <f>IF('Observaciones-SMP'!D558="","",'Observaciones-SMP'!D558)</f>
        <v/>
      </c>
      <c r="E558" s="193" t="str">
        <f>IF('Observaciones-SMP'!E558="","",'Observaciones-SMP'!E558)</f>
        <v/>
      </c>
      <c r="F558" s="193" t="str">
        <f>IF('Observaciones-SMP'!F558="","",'Observaciones-SMP'!F558)</f>
        <v/>
      </c>
      <c r="G558" s="193" t="str">
        <f>IF('Observaciones-SMP'!G558="","",'Observaciones-SMP'!G558)</f>
        <v/>
      </c>
      <c r="H558" s="193" t="str">
        <f>IF('Observaciones-SMP'!H558="","",'Observaciones-SMP'!H558)</f>
        <v/>
      </c>
      <c r="I558" s="193" t="str">
        <f>IF('Observaciones-SMP'!I558="","",'Observaciones-SMP'!I558)</f>
        <v/>
      </c>
      <c r="J558" s="193" t="str">
        <f>IF('Observaciones-SMP'!J558="","",'Observaciones-SMP'!J558)</f>
        <v/>
      </c>
      <c r="K558" s="193" t="str">
        <f>IF('Observaciones-SMP'!K558="","",'Observaciones-SMP'!K558)</f>
        <v/>
      </c>
      <c r="L558" s="193" t="str">
        <f>IF('Observaciones-SMP'!L558="","",'Observaciones-SMP'!L558)</f>
        <v/>
      </c>
      <c r="M558" s="193" t="str">
        <f>IF('Observaciones-SMP'!M558="","",'Observaciones-SMP'!M558)</f>
        <v/>
      </c>
      <c r="N558" s="193" t="str">
        <f>IF('Observaciones-SMP'!N558="","",'Observaciones-SMP'!N558)</f>
        <v/>
      </c>
      <c r="O558" s="193" t="str">
        <f>IF('Observaciones-SMP'!O558="","",'Observaciones-SMP'!O558)</f>
        <v/>
      </c>
      <c r="P558" s="193" t="str">
        <f>IF('Observaciones-SMP'!P558="","",'Observaciones-SMP'!P558)</f>
        <v/>
      </c>
      <c r="Q558" s="257" t="str">
        <f>IF('Observaciones-SMP'!S558="","",'Observaciones-SMP'!S558)</f>
        <v/>
      </c>
      <c r="R558" s="193" t="str">
        <f>IF('Observaciones-SMP'!T558="","",'Observaciones-SMP'!T558)</f>
        <v/>
      </c>
      <c r="S558" s="193" t="str">
        <f>""</f>
        <v/>
      </c>
      <c r="T558" s="193" t="str">
        <f>""</f>
        <v/>
      </c>
      <c r="U558" s="193" t="str">
        <f t="shared" si="32"/>
        <v/>
      </c>
      <c r="V558" s="193" t="str">
        <f>""</f>
        <v/>
      </c>
      <c r="W558" s="193" t="str">
        <f>""</f>
        <v/>
      </c>
      <c r="X558" s="258" t="str">
        <f t="shared" si="33"/>
        <v/>
      </c>
      <c r="Y558" s="258" t="str">
        <f t="shared" si="34"/>
        <v/>
      </c>
      <c r="Z558" s="193" t="str">
        <f>IF(A558="","",IF(COUNTIF('Observaciones-SMP'!$A$2:$A$1001,A558)&gt;1,1,0))</f>
        <v/>
      </c>
      <c r="AA558" s="193" t="str">
        <f t="shared" si="35"/>
        <v/>
      </c>
    </row>
    <row r="559" spans="1:27" ht="13.5" customHeight="1" x14ac:dyDescent="0.3">
      <c r="A559" s="193" t="str">
        <f>IF('Observaciones-SMP'!A559="","",'Observaciones-SMP'!A559)</f>
        <v/>
      </c>
      <c r="B559" s="257" t="str">
        <f>IF('Observaciones-SMP'!B559="","",'Observaciones-SMP'!B559)</f>
        <v/>
      </c>
      <c r="C559" s="193" t="str">
        <f>IF('Observaciones-SMP'!C559="","",'Observaciones-SMP'!C559)</f>
        <v/>
      </c>
      <c r="D559" s="193" t="str">
        <f>IF('Observaciones-SMP'!D559="","",'Observaciones-SMP'!D559)</f>
        <v/>
      </c>
      <c r="E559" s="193" t="str">
        <f>IF('Observaciones-SMP'!E559="","",'Observaciones-SMP'!E559)</f>
        <v/>
      </c>
      <c r="F559" s="193" t="str">
        <f>IF('Observaciones-SMP'!F559="","",'Observaciones-SMP'!F559)</f>
        <v/>
      </c>
      <c r="G559" s="193" t="str">
        <f>IF('Observaciones-SMP'!G559="","",'Observaciones-SMP'!G559)</f>
        <v/>
      </c>
      <c r="H559" s="193" t="str">
        <f>IF('Observaciones-SMP'!H559="","",'Observaciones-SMP'!H559)</f>
        <v/>
      </c>
      <c r="I559" s="193" t="str">
        <f>IF('Observaciones-SMP'!I559="","",'Observaciones-SMP'!I559)</f>
        <v/>
      </c>
      <c r="J559" s="193" t="str">
        <f>IF('Observaciones-SMP'!J559="","",'Observaciones-SMP'!J559)</f>
        <v/>
      </c>
      <c r="K559" s="193" t="str">
        <f>IF('Observaciones-SMP'!K559="","",'Observaciones-SMP'!K559)</f>
        <v/>
      </c>
      <c r="L559" s="193" t="str">
        <f>IF('Observaciones-SMP'!L559="","",'Observaciones-SMP'!L559)</f>
        <v/>
      </c>
      <c r="M559" s="193" t="str">
        <f>IF('Observaciones-SMP'!M559="","",'Observaciones-SMP'!M559)</f>
        <v/>
      </c>
      <c r="N559" s="193" t="str">
        <f>IF('Observaciones-SMP'!N559="","",'Observaciones-SMP'!N559)</f>
        <v/>
      </c>
      <c r="O559" s="193" t="str">
        <f>IF('Observaciones-SMP'!O559="","",'Observaciones-SMP'!O559)</f>
        <v/>
      </c>
      <c r="P559" s="193" t="str">
        <f>IF('Observaciones-SMP'!P559="","",'Observaciones-SMP'!P559)</f>
        <v/>
      </c>
      <c r="Q559" s="257" t="str">
        <f>IF('Observaciones-SMP'!S559="","",'Observaciones-SMP'!S559)</f>
        <v/>
      </c>
      <c r="R559" s="193" t="str">
        <f>IF('Observaciones-SMP'!T559="","",'Observaciones-SMP'!T559)</f>
        <v/>
      </c>
      <c r="S559" s="193" t="str">
        <f>""</f>
        <v/>
      </c>
      <c r="T559" s="193" t="str">
        <f>""</f>
        <v/>
      </c>
      <c r="U559" s="193" t="str">
        <f t="shared" si="32"/>
        <v/>
      </c>
      <c r="V559" s="193" t="str">
        <f>""</f>
        <v/>
      </c>
      <c r="W559" s="193" t="str">
        <f>""</f>
        <v/>
      </c>
      <c r="X559" s="258" t="str">
        <f t="shared" si="33"/>
        <v/>
      </c>
      <c r="Y559" s="258" t="str">
        <f t="shared" si="34"/>
        <v/>
      </c>
      <c r="Z559" s="193" t="str">
        <f>IF(A559="","",IF(COUNTIF('Observaciones-SMP'!$A$2:$A$1001,A559)&gt;1,1,0))</f>
        <v/>
      </c>
      <c r="AA559" s="193" t="str">
        <f t="shared" si="35"/>
        <v/>
      </c>
    </row>
    <row r="560" spans="1:27" ht="13.5" customHeight="1" x14ac:dyDescent="0.3">
      <c r="A560" s="193" t="str">
        <f>IF('Observaciones-SMP'!A560="","",'Observaciones-SMP'!A560)</f>
        <v/>
      </c>
      <c r="B560" s="257" t="str">
        <f>IF('Observaciones-SMP'!B560="","",'Observaciones-SMP'!B560)</f>
        <v/>
      </c>
      <c r="C560" s="193" t="str">
        <f>IF('Observaciones-SMP'!C560="","",'Observaciones-SMP'!C560)</f>
        <v/>
      </c>
      <c r="D560" s="193" t="str">
        <f>IF('Observaciones-SMP'!D560="","",'Observaciones-SMP'!D560)</f>
        <v/>
      </c>
      <c r="E560" s="193" t="str">
        <f>IF('Observaciones-SMP'!E560="","",'Observaciones-SMP'!E560)</f>
        <v/>
      </c>
      <c r="F560" s="193" t="str">
        <f>IF('Observaciones-SMP'!F560="","",'Observaciones-SMP'!F560)</f>
        <v/>
      </c>
      <c r="G560" s="193" t="str">
        <f>IF('Observaciones-SMP'!G560="","",'Observaciones-SMP'!G560)</f>
        <v/>
      </c>
      <c r="H560" s="193" t="str">
        <f>IF('Observaciones-SMP'!H560="","",'Observaciones-SMP'!H560)</f>
        <v/>
      </c>
      <c r="I560" s="193" t="str">
        <f>IF('Observaciones-SMP'!I560="","",'Observaciones-SMP'!I560)</f>
        <v/>
      </c>
      <c r="J560" s="193" t="str">
        <f>IF('Observaciones-SMP'!J560="","",'Observaciones-SMP'!J560)</f>
        <v/>
      </c>
      <c r="K560" s="193" t="str">
        <f>IF('Observaciones-SMP'!K560="","",'Observaciones-SMP'!K560)</f>
        <v/>
      </c>
      <c r="L560" s="193" t="str">
        <f>IF('Observaciones-SMP'!L560="","",'Observaciones-SMP'!L560)</f>
        <v/>
      </c>
      <c r="M560" s="193" t="str">
        <f>IF('Observaciones-SMP'!M560="","",'Observaciones-SMP'!M560)</f>
        <v/>
      </c>
      <c r="N560" s="193" t="str">
        <f>IF('Observaciones-SMP'!N560="","",'Observaciones-SMP'!N560)</f>
        <v/>
      </c>
      <c r="O560" s="193" t="str">
        <f>IF('Observaciones-SMP'!O560="","",'Observaciones-SMP'!O560)</f>
        <v/>
      </c>
      <c r="P560" s="193" t="str">
        <f>IF('Observaciones-SMP'!P560="","",'Observaciones-SMP'!P560)</f>
        <v/>
      </c>
      <c r="Q560" s="257" t="str">
        <f>IF('Observaciones-SMP'!S560="","",'Observaciones-SMP'!S560)</f>
        <v/>
      </c>
      <c r="R560" s="193" t="str">
        <f>IF('Observaciones-SMP'!T560="","",'Observaciones-SMP'!T560)</f>
        <v/>
      </c>
      <c r="S560" s="193" t="str">
        <f>""</f>
        <v/>
      </c>
      <c r="T560" s="193" t="str">
        <f>""</f>
        <v/>
      </c>
      <c r="U560" s="193" t="str">
        <f t="shared" si="32"/>
        <v/>
      </c>
      <c r="V560" s="193" t="str">
        <f>""</f>
        <v/>
      </c>
      <c r="W560" s="193" t="str">
        <f>""</f>
        <v/>
      </c>
      <c r="X560" s="258" t="str">
        <f t="shared" si="33"/>
        <v/>
      </c>
      <c r="Y560" s="258" t="str">
        <f t="shared" si="34"/>
        <v/>
      </c>
      <c r="Z560" s="193" t="str">
        <f>IF(A560="","",IF(COUNTIF('Observaciones-SMP'!$A$2:$A$1001,A560)&gt;1,1,0))</f>
        <v/>
      </c>
      <c r="AA560" s="193" t="str">
        <f t="shared" si="35"/>
        <v/>
      </c>
    </row>
    <row r="561" spans="1:27" ht="13.5" customHeight="1" x14ac:dyDescent="0.3">
      <c r="A561" s="193" t="str">
        <f>IF('Observaciones-SMP'!A561="","",'Observaciones-SMP'!A561)</f>
        <v/>
      </c>
      <c r="B561" s="257" t="str">
        <f>IF('Observaciones-SMP'!B561="","",'Observaciones-SMP'!B561)</f>
        <v/>
      </c>
      <c r="C561" s="193" t="str">
        <f>IF('Observaciones-SMP'!C561="","",'Observaciones-SMP'!C561)</f>
        <v/>
      </c>
      <c r="D561" s="193" t="str">
        <f>IF('Observaciones-SMP'!D561="","",'Observaciones-SMP'!D561)</f>
        <v/>
      </c>
      <c r="E561" s="193" t="str">
        <f>IF('Observaciones-SMP'!E561="","",'Observaciones-SMP'!E561)</f>
        <v/>
      </c>
      <c r="F561" s="193" t="str">
        <f>IF('Observaciones-SMP'!F561="","",'Observaciones-SMP'!F561)</f>
        <v/>
      </c>
      <c r="G561" s="193" t="str">
        <f>IF('Observaciones-SMP'!G561="","",'Observaciones-SMP'!G561)</f>
        <v/>
      </c>
      <c r="H561" s="193" t="str">
        <f>IF('Observaciones-SMP'!H561="","",'Observaciones-SMP'!H561)</f>
        <v/>
      </c>
      <c r="I561" s="193" t="str">
        <f>IF('Observaciones-SMP'!I561="","",'Observaciones-SMP'!I561)</f>
        <v/>
      </c>
      <c r="J561" s="193" t="str">
        <f>IF('Observaciones-SMP'!J561="","",'Observaciones-SMP'!J561)</f>
        <v/>
      </c>
      <c r="K561" s="193" t="str">
        <f>IF('Observaciones-SMP'!K561="","",'Observaciones-SMP'!K561)</f>
        <v/>
      </c>
      <c r="L561" s="193" t="str">
        <f>IF('Observaciones-SMP'!L561="","",'Observaciones-SMP'!L561)</f>
        <v/>
      </c>
      <c r="M561" s="193" t="str">
        <f>IF('Observaciones-SMP'!M561="","",'Observaciones-SMP'!M561)</f>
        <v/>
      </c>
      <c r="N561" s="193" t="str">
        <f>IF('Observaciones-SMP'!N561="","",'Observaciones-SMP'!N561)</f>
        <v/>
      </c>
      <c r="O561" s="193" t="str">
        <f>IF('Observaciones-SMP'!O561="","",'Observaciones-SMP'!O561)</f>
        <v/>
      </c>
      <c r="P561" s="193" t="str">
        <f>IF('Observaciones-SMP'!P561="","",'Observaciones-SMP'!P561)</f>
        <v/>
      </c>
      <c r="Q561" s="257" t="str">
        <f>IF('Observaciones-SMP'!S561="","",'Observaciones-SMP'!S561)</f>
        <v/>
      </c>
      <c r="R561" s="193" t="str">
        <f>IF('Observaciones-SMP'!T561="","",'Observaciones-SMP'!T561)</f>
        <v/>
      </c>
      <c r="S561" s="193" t="str">
        <f>""</f>
        <v/>
      </c>
      <c r="T561" s="193" t="str">
        <f>""</f>
        <v/>
      </c>
      <c r="U561" s="193" t="str">
        <f t="shared" si="32"/>
        <v/>
      </c>
      <c r="V561" s="193" t="str">
        <f>""</f>
        <v/>
      </c>
      <c r="W561" s="193" t="str">
        <f>""</f>
        <v/>
      </c>
      <c r="X561" s="258" t="str">
        <f t="shared" si="33"/>
        <v/>
      </c>
      <c r="Y561" s="258" t="str">
        <f t="shared" si="34"/>
        <v/>
      </c>
      <c r="Z561" s="193" t="str">
        <f>IF(A561="","",IF(COUNTIF('Observaciones-SMP'!$A$2:$A$1001,A561)&gt;1,1,0))</f>
        <v/>
      </c>
      <c r="AA561" s="193" t="str">
        <f t="shared" si="35"/>
        <v/>
      </c>
    </row>
    <row r="562" spans="1:27" ht="13.5" customHeight="1" x14ac:dyDescent="0.3">
      <c r="A562" s="193" t="str">
        <f>IF('Observaciones-SMP'!A562="","",'Observaciones-SMP'!A562)</f>
        <v/>
      </c>
      <c r="B562" s="257" t="str">
        <f>IF('Observaciones-SMP'!B562="","",'Observaciones-SMP'!B562)</f>
        <v/>
      </c>
      <c r="C562" s="193" t="str">
        <f>IF('Observaciones-SMP'!C562="","",'Observaciones-SMP'!C562)</f>
        <v/>
      </c>
      <c r="D562" s="193" t="str">
        <f>IF('Observaciones-SMP'!D562="","",'Observaciones-SMP'!D562)</f>
        <v/>
      </c>
      <c r="E562" s="193" t="str">
        <f>IF('Observaciones-SMP'!E562="","",'Observaciones-SMP'!E562)</f>
        <v/>
      </c>
      <c r="F562" s="193" t="str">
        <f>IF('Observaciones-SMP'!F562="","",'Observaciones-SMP'!F562)</f>
        <v/>
      </c>
      <c r="G562" s="193" t="str">
        <f>IF('Observaciones-SMP'!G562="","",'Observaciones-SMP'!G562)</f>
        <v/>
      </c>
      <c r="H562" s="193" t="str">
        <f>IF('Observaciones-SMP'!H562="","",'Observaciones-SMP'!H562)</f>
        <v/>
      </c>
      <c r="I562" s="193" t="str">
        <f>IF('Observaciones-SMP'!I562="","",'Observaciones-SMP'!I562)</f>
        <v/>
      </c>
      <c r="J562" s="193" t="str">
        <f>IF('Observaciones-SMP'!J562="","",'Observaciones-SMP'!J562)</f>
        <v/>
      </c>
      <c r="K562" s="193" t="str">
        <f>IF('Observaciones-SMP'!K562="","",'Observaciones-SMP'!K562)</f>
        <v/>
      </c>
      <c r="L562" s="193" t="str">
        <f>IF('Observaciones-SMP'!L562="","",'Observaciones-SMP'!L562)</f>
        <v/>
      </c>
      <c r="M562" s="193" t="str">
        <f>IF('Observaciones-SMP'!M562="","",'Observaciones-SMP'!M562)</f>
        <v/>
      </c>
      <c r="N562" s="193" t="str">
        <f>IF('Observaciones-SMP'!N562="","",'Observaciones-SMP'!N562)</f>
        <v/>
      </c>
      <c r="O562" s="193" t="str">
        <f>IF('Observaciones-SMP'!O562="","",'Observaciones-SMP'!O562)</f>
        <v/>
      </c>
      <c r="P562" s="193" t="str">
        <f>IF('Observaciones-SMP'!P562="","",'Observaciones-SMP'!P562)</f>
        <v/>
      </c>
      <c r="Q562" s="257" t="str">
        <f>IF('Observaciones-SMP'!S562="","",'Observaciones-SMP'!S562)</f>
        <v/>
      </c>
      <c r="R562" s="193" t="str">
        <f>IF('Observaciones-SMP'!T562="","",'Observaciones-SMP'!T562)</f>
        <v/>
      </c>
      <c r="S562" s="193" t="str">
        <f>""</f>
        <v/>
      </c>
      <c r="T562" s="193" t="str">
        <f>""</f>
        <v/>
      </c>
      <c r="U562" s="193" t="str">
        <f t="shared" si="32"/>
        <v/>
      </c>
      <c r="V562" s="193" t="str">
        <f>""</f>
        <v/>
      </c>
      <c r="W562" s="193" t="str">
        <f>""</f>
        <v/>
      </c>
      <c r="X562" s="258" t="str">
        <f t="shared" si="33"/>
        <v/>
      </c>
      <c r="Y562" s="258" t="str">
        <f t="shared" si="34"/>
        <v/>
      </c>
      <c r="Z562" s="193" t="str">
        <f>IF(A562="","",IF(COUNTIF('Observaciones-SMP'!$A$2:$A$1001,A562)&gt;1,1,0))</f>
        <v/>
      </c>
      <c r="AA562" s="193" t="str">
        <f t="shared" si="35"/>
        <v/>
      </c>
    </row>
    <row r="563" spans="1:27" ht="13.5" customHeight="1" x14ac:dyDescent="0.3">
      <c r="A563" s="193" t="str">
        <f>IF('Observaciones-SMP'!A563="","",'Observaciones-SMP'!A563)</f>
        <v/>
      </c>
      <c r="B563" s="257" t="str">
        <f>IF('Observaciones-SMP'!B563="","",'Observaciones-SMP'!B563)</f>
        <v/>
      </c>
      <c r="C563" s="193" t="str">
        <f>IF('Observaciones-SMP'!C563="","",'Observaciones-SMP'!C563)</f>
        <v/>
      </c>
      <c r="D563" s="193" t="str">
        <f>IF('Observaciones-SMP'!D563="","",'Observaciones-SMP'!D563)</f>
        <v/>
      </c>
      <c r="E563" s="193" t="str">
        <f>IF('Observaciones-SMP'!E563="","",'Observaciones-SMP'!E563)</f>
        <v/>
      </c>
      <c r="F563" s="193" t="str">
        <f>IF('Observaciones-SMP'!F563="","",'Observaciones-SMP'!F563)</f>
        <v/>
      </c>
      <c r="G563" s="193" t="str">
        <f>IF('Observaciones-SMP'!G563="","",'Observaciones-SMP'!G563)</f>
        <v/>
      </c>
      <c r="H563" s="193" t="str">
        <f>IF('Observaciones-SMP'!H563="","",'Observaciones-SMP'!H563)</f>
        <v/>
      </c>
      <c r="I563" s="193" t="str">
        <f>IF('Observaciones-SMP'!I563="","",'Observaciones-SMP'!I563)</f>
        <v/>
      </c>
      <c r="J563" s="193" t="str">
        <f>IF('Observaciones-SMP'!J563="","",'Observaciones-SMP'!J563)</f>
        <v/>
      </c>
      <c r="K563" s="193" t="str">
        <f>IF('Observaciones-SMP'!K563="","",'Observaciones-SMP'!K563)</f>
        <v/>
      </c>
      <c r="L563" s="193" t="str">
        <f>IF('Observaciones-SMP'!L563="","",'Observaciones-SMP'!L563)</f>
        <v/>
      </c>
      <c r="M563" s="193" t="str">
        <f>IF('Observaciones-SMP'!M563="","",'Observaciones-SMP'!M563)</f>
        <v/>
      </c>
      <c r="N563" s="193" t="str">
        <f>IF('Observaciones-SMP'!N563="","",'Observaciones-SMP'!N563)</f>
        <v/>
      </c>
      <c r="O563" s="193" t="str">
        <f>IF('Observaciones-SMP'!O563="","",'Observaciones-SMP'!O563)</f>
        <v/>
      </c>
      <c r="P563" s="193" t="str">
        <f>IF('Observaciones-SMP'!P563="","",'Observaciones-SMP'!P563)</f>
        <v/>
      </c>
      <c r="Q563" s="257" t="str">
        <f>IF('Observaciones-SMP'!S563="","",'Observaciones-SMP'!S563)</f>
        <v/>
      </c>
      <c r="R563" s="193" t="str">
        <f>IF('Observaciones-SMP'!T563="","",'Observaciones-SMP'!T563)</f>
        <v/>
      </c>
      <c r="S563" s="193" t="str">
        <f>""</f>
        <v/>
      </c>
      <c r="T563" s="193" t="str">
        <f>""</f>
        <v/>
      </c>
      <c r="U563" s="193" t="str">
        <f t="shared" si="32"/>
        <v/>
      </c>
      <c r="V563" s="193" t="str">
        <f>""</f>
        <v/>
      </c>
      <c r="W563" s="193" t="str">
        <f>""</f>
        <v/>
      </c>
      <c r="X563" s="258" t="str">
        <f t="shared" si="33"/>
        <v/>
      </c>
      <c r="Y563" s="258" t="str">
        <f t="shared" si="34"/>
        <v/>
      </c>
      <c r="Z563" s="193" t="str">
        <f>IF(A563="","",IF(COUNTIF('Observaciones-SMP'!$A$2:$A$1001,A563)&gt;1,1,0))</f>
        <v/>
      </c>
      <c r="AA563" s="193" t="str">
        <f t="shared" si="35"/>
        <v/>
      </c>
    </row>
    <row r="564" spans="1:27" ht="13.5" customHeight="1" x14ac:dyDescent="0.3">
      <c r="A564" s="193" t="str">
        <f>IF('Observaciones-SMP'!A564="","",'Observaciones-SMP'!A564)</f>
        <v/>
      </c>
      <c r="B564" s="257" t="str">
        <f>IF('Observaciones-SMP'!B564="","",'Observaciones-SMP'!B564)</f>
        <v/>
      </c>
      <c r="C564" s="193" t="str">
        <f>IF('Observaciones-SMP'!C564="","",'Observaciones-SMP'!C564)</f>
        <v/>
      </c>
      <c r="D564" s="193" t="str">
        <f>IF('Observaciones-SMP'!D564="","",'Observaciones-SMP'!D564)</f>
        <v/>
      </c>
      <c r="E564" s="193" t="str">
        <f>IF('Observaciones-SMP'!E564="","",'Observaciones-SMP'!E564)</f>
        <v/>
      </c>
      <c r="F564" s="193" t="str">
        <f>IF('Observaciones-SMP'!F564="","",'Observaciones-SMP'!F564)</f>
        <v/>
      </c>
      <c r="G564" s="193" t="str">
        <f>IF('Observaciones-SMP'!G564="","",'Observaciones-SMP'!G564)</f>
        <v/>
      </c>
      <c r="H564" s="193" t="str">
        <f>IF('Observaciones-SMP'!H564="","",'Observaciones-SMP'!H564)</f>
        <v/>
      </c>
      <c r="I564" s="193" t="str">
        <f>IF('Observaciones-SMP'!I564="","",'Observaciones-SMP'!I564)</f>
        <v/>
      </c>
      <c r="J564" s="193" t="str">
        <f>IF('Observaciones-SMP'!J564="","",'Observaciones-SMP'!J564)</f>
        <v/>
      </c>
      <c r="K564" s="193" t="str">
        <f>IF('Observaciones-SMP'!K564="","",'Observaciones-SMP'!K564)</f>
        <v/>
      </c>
      <c r="L564" s="193" t="str">
        <f>IF('Observaciones-SMP'!L564="","",'Observaciones-SMP'!L564)</f>
        <v/>
      </c>
      <c r="M564" s="193" t="str">
        <f>IF('Observaciones-SMP'!M564="","",'Observaciones-SMP'!M564)</f>
        <v/>
      </c>
      <c r="N564" s="193" t="str">
        <f>IF('Observaciones-SMP'!N564="","",'Observaciones-SMP'!N564)</f>
        <v/>
      </c>
      <c r="O564" s="193" t="str">
        <f>IF('Observaciones-SMP'!O564="","",'Observaciones-SMP'!O564)</f>
        <v/>
      </c>
      <c r="P564" s="193" t="str">
        <f>IF('Observaciones-SMP'!P564="","",'Observaciones-SMP'!P564)</f>
        <v/>
      </c>
      <c r="Q564" s="257" t="str">
        <f>IF('Observaciones-SMP'!S564="","",'Observaciones-SMP'!S564)</f>
        <v/>
      </c>
      <c r="R564" s="193" t="str">
        <f>IF('Observaciones-SMP'!T564="","",'Observaciones-SMP'!T564)</f>
        <v/>
      </c>
      <c r="S564" s="193" t="str">
        <f>""</f>
        <v/>
      </c>
      <c r="T564" s="193" t="str">
        <f>""</f>
        <v/>
      </c>
      <c r="U564" s="193" t="str">
        <f t="shared" si="32"/>
        <v/>
      </c>
      <c r="V564" s="193" t="str">
        <f>""</f>
        <v/>
      </c>
      <c r="W564" s="193" t="str">
        <f>""</f>
        <v/>
      </c>
      <c r="X564" s="258" t="str">
        <f t="shared" si="33"/>
        <v/>
      </c>
      <c r="Y564" s="258" t="str">
        <f t="shared" si="34"/>
        <v/>
      </c>
      <c r="Z564" s="193" t="str">
        <f>IF(A564="","",IF(COUNTIF('Observaciones-SMP'!$A$2:$A$1001,A564)&gt;1,1,0))</f>
        <v/>
      </c>
      <c r="AA564" s="193" t="str">
        <f t="shared" si="35"/>
        <v/>
      </c>
    </row>
    <row r="565" spans="1:27" ht="13.5" customHeight="1" x14ac:dyDescent="0.3">
      <c r="A565" s="193" t="str">
        <f>IF('Observaciones-SMP'!A565="","",'Observaciones-SMP'!A565)</f>
        <v/>
      </c>
      <c r="B565" s="257" t="str">
        <f>IF('Observaciones-SMP'!B565="","",'Observaciones-SMP'!B565)</f>
        <v/>
      </c>
      <c r="C565" s="193" t="str">
        <f>IF('Observaciones-SMP'!C565="","",'Observaciones-SMP'!C565)</f>
        <v/>
      </c>
      <c r="D565" s="193" t="str">
        <f>IF('Observaciones-SMP'!D565="","",'Observaciones-SMP'!D565)</f>
        <v/>
      </c>
      <c r="E565" s="193" t="str">
        <f>IF('Observaciones-SMP'!E565="","",'Observaciones-SMP'!E565)</f>
        <v/>
      </c>
      <c r="F565" s="193" t="str">
        <f>IF('Observaciones-SMP'!F565="","",'Observaciones-SMP'!F565)</f>
        <v/>
      </c>
      <c r="G565" s="193" t="str">
        <f>IF('Observaciones-SMP'!G565="","",'Observaciones-SMP'!G565)</f>
        <v/>
      </c>
      <c r="H565" s="193" t="str">
        <f>IF('Observaciones-SMP'!H565="","",'Observaciones-SMP'!H565)</f>
        <v/>
      </c>
      <c r="I565" s="193" t="str">
        <f>IF('Observaciones-SMP'!I565="","",'Observaciones-SMP'!I565)</f>
        <v/>
      </c>
      <c r="J565" s="193" t="str">
        <f>IF('Observaciones-SMP'!J565="","",'Observaciones-SMP'!J565)</f>
        <v/>
      </c>
      <c r="K565" s="193" t="str">
        <f>IF('Observaciones-SMP'!K565="","",'Observaciones-SMP'!K565)</f>
        <v/>
      </c>
      <c r="L565" s="193" t="str">
        <f>IF('Observaciones-SMP'!L565="","",'Observaciones-SMP'!L565)</f>
        <v/>
      </c>
      <c r="M565" s="193" t="str">
        <f>IF('Observaciones-SMP'!M565="","",'Observaciones-SMP'!M565)</f>
        <v/>
      </c>
      <c r="N565" s="193" t="str">
        <f>IF('Observaciones-SMP'!N565="","",'Observaciones-SMP'!N565)</f>
        <v/>
      </c>
      <c r="O565" s="193" t="str">
        <f>IF('Observaciones-SMP'!O565="","",'Observaciones-SMP'!O565)</f>
        <v/>
      </c>
      <c r="P565" s="193" t="str">
        <f>IF('Observaciones-SMP'!P565="","",'Observaciones-SMP'!P565)</f>
        <v/>
      </c>
      <c r="Q565" s="257" t="str">
        <f>IF('Observaciones-SMP'!S565="","",'Observaciones-SMP'!S565)</f>
        <v/>
      </c>
      <c r="R565" s="193" t="str">
        <f>IF('Observaciones-SMP'!T565="","",'Observaciones-SMP'!T565)</f>
        <v/>
      </c>
      <c r="S565" s="193" t="str">
        <f>""</f>
        <v/>
      </c>
      <c r="T565" s="193" t="str">
        <f>""</f>
        <v/>
      </c>
      <c r="U565" s="193" t="str">
        <f t="shared" si="32"/>
        <v/>
      </c>
      <c r="V565" s="193" t="str">
        <f>""</f>
        <v/>
      </c>
      <c r="W565" s="193" t="str">
        <f>""</f>
        <v/>
      </c>
      <c r="X565" s="258" t="str">
        <f t="shared" si="33"/>
        <v/>
      </c>
      <c r="Y565" s="258" t="str">
        <f t="shared" si="34"/>
        <v/>
      </c>
      <c r="Z565" s="193" t="str">
        <f>IF(A565="","",IF(COUNTIF('Observaciones-SMP'!$A$2:$A$1001,A565)&gt;1,1,0))</f>
        <v/>
      </c>
      <c r="AA565" s="193" t="str">
        <f t="shared" si="35"/>
        <v/>
      </c>
    </row>
    <row r="566" spans="1:27" ht="13.5" customHeight="1" x14ac:dyDescent="0.3">
      <c r="A566" s="193" t="str">
        <f>IF('Observaciones-SMP'!A566="","",'Observaciones-SMP'!A566)</f>
        <v/>
      </c>
      <c r="B566" s="257" t="str">
        <f>IF('Observaciones-SMP'!B566="","",'Observaciones-SMP'!B566)</f>
        <v/>
      </c>
      <c r="C566" s="193" t="str">
        <f>IF('Observaciones-SMP'!C566="","",'Observaciones-SMP'!C566)</f>
        <v/>
      </c>
      <c r="D566" s="193" t="str">
        <f>IF('Observaciones-SMP'!D566="","",'Observaciones-SMP'!D566)</f>
        <v/>
      </c>
      <c r="E566" s="193" t="str">
        <f>IF('Observaciones-SMP'!E566="","",'Observaciones-SMP'!E566)</f>
        <v/>
      </c>
      <c r="F566" s="193" t="str">
        <f>IF('Observaciones-SMP'!F566="","",'Observaciones-SMP'!F566)</f>
        <v/>
      </c>
      <c r="G566" s="193" t="str">
        <f>IF('Observaciones-SMP'!G566="","",'Observaciones-SMP'!G566)</f>
        <v/>
      </c>
      <c r="H566" s="193" t="str">
        <f>IF('Observaciones-SMP'!H566="","",'Observaciones-SMP'!H566)</f>
        <v/>
      </c>
      <c r="I566" s="193" t="str">
        <f>IF('Observaciones-SMP'!I566="","",'Observaciones-SMP'!I566)</f>
        <v/>
      </c>
      <c r="J566" s="193" t="str">
        <f>IF('Observaciones-SMP'!J566="","",'Observaciones-SMP'!J566)</f>
        <v/>
      </c>
      <c r="K566" s="193" t="str">
        <f>IF('Observaciones-SMP'!K566="","",'Observaciones-SMP'!K566)</f>
        <v/>
      </c>
      <c r="L566" s="193" t="str">
        <f>IF('Observaciones-SMP'!L566="","",'Observaciones-SMP'!L566)</f>
        <v/>
      </c>
      <c r="M566" s="193" t="str">
        <f>IF('Observaciones-SMP'!M566="","",'Observaciones-SMP'!M566)</f>
        <v/>
      </c>
      <c r="N566" s="193" t="str">
        <f>IF('Observaciones-SMP'!N566="","",'Observaciones-SMP'!N566)</f>
        <v/>
      </c>
      <c r="O566" s="193" t="str">
        <f>IF('Observaciones-SMP'!O566="","",'Observaciones-SMP'!O566)</f>
        <v/>
      </c>
      <c r="P566" s="193" t="str">
        <f>IF('Observaciones-SMP'!P566="","",'Observaciones-SMP'!P566)</f>
        <v/>
      </c>
      <c r="Q566" s="257" t="str">
        <f>IF('Observaciones-SMP'!S566="","",'Observaciones-SMP'!S566)</f>
        <v/>
      </c>
      <c r="R566" s="193" t="str">
        <f>IF('Observaciones-SMP'!T566="","",'Observaciones-SMP'!T566)</f>
        <v/>
      </c>
      <c r="S566" s="193" t="str">
        <f>""</f>
        <v/>
      </c>
      <c r="T566" s="193" t="str">
        <f>""</f>
        <v/>
      </c>
      <c r="U566" s="193" t="str">
        <f t="shared" si="32"/>
        <v/>
      </c>
      <c r="V566" s="193" t="str">
        <f>""</f>
        <v/>
      </c>
      <c r="W566" s="193" t="str">
        <f>""</f>
        <v/>
      </c>
      <c r="X566" s="258" t="str">
        <f t="shared" si="33"/>
        <v/>
      </c>
      <c r="Y566" s="258" t="str">
        <f t="shared" si="34"/>
        <v/>
      </c>
      <c r="Z566" s="193" t="str">
        <f>IF(A566="","",IF(COUNTIF('Observaciones-SMP'!$A$2:$A$1001,A566)&gt;1,1,0))</f>
        <v/>
      </c>
      <c r="AA566" s="193" t="str">
        <f t="shared" si="35"/>
        <v/>
      </c>
    </row>
    <row r="567" spans="1:27" ht="13.5" customHeight="1" x14ac:dyDescent="0.3">
      <c r="A567" s="193" t="str">
        <f>IF('Observaciones-SMP'!A567="","",'Observaciones-SMP'!A567)</f>
        <v/>
      </c>
      <c r="B567" s="257" t="str">
        <f>IF('Observaciones-SMP'!B567="","",'Observaciones-SMP'!B567)</f>
        <v/>
      </c>
      <c r="C567" s="193" t="str">
        <f>IF('Observaciones-SMP'!C567="","",'Observaciones-SMP'!C567)</f>
        <v/>
      </c>
      <c r="D567" s="193" t="str">
        <f>IF('Observaciones-SMP'!D567="","",'Observaciones-SMP'!D567)</f>
        <v/>
      </c>
      <c r="E567" s="193" t="str">
        <f>IF('Observaciones-SMP'!E567="","",'Observaciones-SMP'!E567)</f>
        <v/>
      </c>
      <c r="F567" s="193" t="str">
        <f>IF('Observaciones-SMP'!F567="","",'Observaciones-SMP'!F567)</f>
        <v/>
      </c>
      <c r="G567" s="193" t="str">
        <f>IF('Observaciones-SMP'!G567="","",'Observaciones-SMP'!G567)</f>
        <v/>
      </c>
      <c r="H567" s="193" t="str">
        <f>IF('Observaciones-SMP'!H567="","",'Observaciones-SMP'!H567)</f>
        <v/>
      </c>
      <c r="I567" s="193" t="str">
        <f>IF('Observaciones-SMP'!I567="","",'Observaciones-SMP'!I567)</f>
        <v/>
      </c>
      <c r="J567" s="193" t="str">
        <f>IF('Observaciones-SMP'!J567="","",'Observaciones-SMP'!J567)</f>
        <v/>
      </c>
      <c r="K567" s="193" t="str">
        <f>IF('Observaciones-SMP'!K567="","",'Observaciones-SMP'!K567)</f>
        <v/>
      </c>
      <c r="L567" s="193" t="str">
        <f>IF('Observaciones-SMP'!L567="","",'Observaciones-SMP'!L567)</f>
        <v/>
      </c>
      <c r="M567" s="193" t="str">
        <f>IF('Observaciones-SMP'!M567="","",'Observaciones-SMP'!M567)</f>
        <v/>
      </c>
      <c r="N567" s="193" t="str">
        <f>IF('Observaciones-SMP'!N567="","",'Observaciones-SMP'!N567)</f>
        <v/>
      </c>
      <c r="O567" s="193" t="str">
        <f>IF('Observaciones-SMP'!O567="","",'Observaciones-SMP'!O567)</f>
        <v/>
      </c>
      <c r="P567" s="193" t="str">
        <f>IF('Observaciones-SMP'!P567="","",'Observaciones-SMP'!P567)</f>
        <v/>
      </c>
      <c r="Q567" s="257" t="str">
        <f>IF('Observaciones-SMP'!S567="","",'Observaciones-SMP'!S567)</f>
        <v/>
      </c>
      <c r="R567" s="193" t="str">
        <f>IF('Observaciones-SMP'!T567="","",'Observaciones-SMP'!T567)</f>
        <v/>
      </c>
      <c r="S567" s="193" t="str">
        <f>""</f>
        <v/>
      </c>
      <c r="T567" s="193" t="str">
        <f>""</f>
        <v/>
      </c>
      <c r="U567" s="193" t="str">
        <f t="shared" si="32"/>
        <v/>
      </c>
      <c r="V567" s="193" t="str">
        <f>""</f>
        <v/>
      </c>
      <c r="W567" s="193" t="str">
        <f>""</f>
        <v/>
      </c>
      <c r="X567" s="258" t="str">
        <f t="shared" si="33"/>
        <v/>
      </c>
      <c r="Y567" s="258" t="str">
        <f t="shared" si="34"/>
        <v/>
      </c>
      <c r="Z567" s="193" t="str">
        <f>IF(A567="","",IF(COUNTIF('Observaciones-SMP'!$A$2:$A$1001,A567)&gt;1,1,0))</f>
        <v/>
      </c>
      <c r="AA567" s="193" t="str">
        <f t="shared" si="35"/>
        <v/>
      </c>
    </row>
    <row r="568" spans="1:27" ht="13.5" customHeight="1" x14ac:dyDescent="0.3">
      <c r="A568" s="193" t="str">
        <f>IF('Observaciones-SMP'!A568="","",'Observaciones-SMP'!A568)</f>
        <v/>
      </c>
      <c r="B568" s="257" t="str">
        <f>IF('Observaciones-SMP'!B568="","",'Observaciones-SMP'!B568)</f>
        <v/>
      </c>
      <c r="C568" s="193" t="str">
        <f>IF('Observaciones-SMP'!C568="","",'Observaciones-SMP'!C568)</f>
        <v/>
      </c>
      <c r="D568" s="193" t="str">
        <f>IF('Observaciones-SMP'!D568="","",'Observaciones-SMP'!D568)</f>
        <v/>
      </c>
      <c r="E568" s="193" t="str">
        <f>IF('Observaciones-SMP'!E568="","",'Observaciones-SMP'!E568)</f>
        <v/>
      </c>
      <c r="F568" s="193" t="str">
        <f>IF('Observaciones-SMP'!F568="","",'Observaciones-SMP'!F568)</f>
        <v/>
      </c>
      <c r="G568" s="193" t="str">
        <f>IF('Observaciones-SMP'!G568="","",'Observaciones-SMP'!G568)</f>
        <v/>
      </c>
      <c r="H568" s="193" t="str">
        <f>IF('Observaciones-SMP'!H568="","",'Observaciones-SMP'!H568)</f>
        <v/>
      </c>
      <c r="I568" s="193" t="str">
        <f>IF('Observaciones-SMP'!I568="","",'Observaciones-SMP'!I568)</f>
        <v/>
      </c>
      <c r="J568" s="193" t="str">
        <f>IF('Observaciones-SMP'!J568="","",'Observaciones-SMP'!J568)</f>
        <v/>
      </c>
      <c r="K568" s="193" t="str">
        <f>IF('Observaciones-SMP'!K568="","",'Observaciones-SMP'!K568)</f>
        <v/>
      </c>
      <c r="L568" s="193" t="str">
        <f>IF('Observaciones-SMP'!L568="","",'Observaciones-SMP'!L568)</f>
        <v/>
      </c>
      <c r="M568" s="193" t="str">
        <f>IF('Observaciones-SMP'!M568="","",'Observaciones-SMP'!M568)</f>
        <v/>
      </c>
      <c r="N568" s="193" t="str">
        <f>IF('Observaciones-SMP'!N568="","",'Observaciones-SMP'!N568)</f>
        <v/>
      </c>
      <c r="O568" s="193" t="str">
        <f>IF('Observaciones-SMP'!O568="","",'Observaciones-SMP'!O568)</f>
        <v/>
      </c>
      <c r="P568" s="193" t="str">
        <f>IF('Observaciones-SMP'!P568="","",'Observaciones-SMP'!P568)</f>
        <v/>
      </c>
      <c r="Q568" s="257" t="str">
        <f>IF('Observaciones-SMP'!S568="","",'Observaciones-SMP'!S568)</f>
        <v/>
      </c>
      <c r="R568" s="193" t="str">
        <f>IF('Observaciones-SMP'!T568="","",'Observaciones-SMP'!T568)</f>
        <v/>
      </c>
      <c r="S568" s="193" t="str">
        <f>""</f>
        <v/>
      </c>
      <c r="T568" s="193" t="str">
        <f>""</f>
        <v/>
      </c>
      <c r="U568" s="193" t="str">
        <f t="shared" si="32"/>
        <v/>
      </c>
      <c r="V568" s="193" t="str">
        <f>""</f>
        <v/>
      </c>
      <c r="W568" s="193" t="str">
        <f>""</f>
        <v/>
      </c>
      <c r="X568" s="258" t="str">
        <f t="shared" si="33"/>
        <v/>
      </c>
      <c r="Y568" s="258" t="str">
        <f t="shared" si="34"/>
        <v/>
      </c>
      <c r="Z568" s="193" t="str">
        <f>IF(A568="","",IF(COUNTIF('Observaciones-SMP'!$A$2:$A$1001,A568)&gt;1,1,0))</f>
        <v/>
      </c>
      <c r="AA568" s="193" t="str">
        <f t="shared" si="35"/>
        <v/>
      </c>
    </row>
    <row r="569" spans="1:27" ht="13.5" customHeight="1" x14ac:dyDescent="0.3">
      <c r="A569" s="193" t="str">
        <f>IF('Observaciones-SMP'!A569="","",'Observaciones-SMP'!A569)</f>
        <v/>
      </c>
      <c r="B569" s="257" t="str">
        <f>IF('Observaciones-SMP'!B569="","",'Observaciones-SMP'!B569)</f>
        <v/>
      </c>
      <c r="C569" s="193" t="str">
        <f>IF('Observaciones-SMP'!C569="","",'Observaciones-SMP'!C569)</f>
        <v/>
      </c>
      <c r="D569" s="193" t="str">
        <f>IF('Observaciones-SMP'!D569="","",'Observaciones-SMP'!D569)</f>
        <v/>
      </c>
      <c r="E569" s="193" t="str">
        <f>IF('Observaciones-SMP'!E569="","",'Observaciones-SMP'!E569)</f>
        <v/>
      </c>
      <c r="F569" s="193" t="str">
        <f>IF('Observaciones-SMP'!F569="","",'Observaciones-SMP'!F569)</f>
        <v/>
      </c>
      <c r="G569" s="193" t="str">
        <f>IF('Observaciones-SMP'!G569="","",'Observaciones-SMP'!G569)</f>
        <v/>
      </c>
      <c r="H569" s="193" t="str">
        <f>IF('Observaciones-SMP'!H569="","",'Observaciones-SMP'!H569)</f>
        <v/>
      </c>
      <c r="I569" s="193" t="str">
        <f>IF('Observaciones-SMP'!I569="","",'Observaciones-SMP'!I569)</f>
        <v/>
      </c>
      <c r="J569" s="193" t="str">
        <f>IF('Observaciones-SMP'!J569="","",'Observaciones-SMP'!J569)</f>
        <v/>
      </c>
      <c r="K569" s="193" t="str">
        <f>IF('Observaciones-SMP'!K569="","",'Observaciones-SMP'!K569)</f>
        <v/>
      </c>
      <c r="L569" s="193" t="str">
        <f>IF('Observaciones-SMP'!L569="","",'Observaciones-SMP'!L569)</f>
        <v/>
      </c>
      <c r="M569" s="193" t="str">
        <f>IF('Observaciones-SMP'!M569="","",'Observaciones-SMP'!M569)</f>
        <v/>
      </c>
      <c r="N569" s="193" t="str">
        <f>IF('Observaciones-SMP'!N569="","",'Observaciones-SMP'!N569)</f>
        <v/>
      </c>
      <c r="O569" s="193" t="str">
        <f>IF('Observaciones-SMP'!O569="","",'Observaciones-SMP'!O569)</f>
        <v/>
      </c>
      <c r="P569" s="193" t="str">
        <f>IF('Observaciones-SMP'!P569="","",'Observaciones-SMP'!P569)</f>
        <v/>
      </c>
      <c r="Q569" s="257" t="str">
        <f>IF('Observaciones-SMP'!S569="","",'Observaciones-SMP'!S569)</f>
        <v/>
      </c>
      <c r="R569" s="193" t="str">
        <f>IF('Observaciones-SMP'!T569="","",'Observaciones-SMP'!T569)</f>
        <v/>
      </c>
      <c r="S569" s="193" t="str">
        <f>""</f>
        <v/>
      </c>
      <c r="T569" s="193" t="str">
        <f>""</f>
        <v/>
      </c>
      <c r="U569" s="193" t="str">
        <f t="shared" si="32"/>
        <v/>
      </c>
      <c r="V569" s="193" t="str">
        <f>""</f>
        <v/>
      </c>
      <c r="W569" s="193" t="str">
        <f>""</f>
        <v/>
      </c>
      <c r="X569" s="258" t="str">
        <f t="shared" si="33"/>
        <v/>
      </c>
      <c r="Y569" s="258" t="str">
        <f t="shared" si="34"/>
        <v/>
      </c>
      <c r="Z569" s="193" t="str">
        <f>IF(A569="","",IF(COUNTIF('Observaciones-SMP'!$A$2:$A$1001,A569)&gt;1,1,0))</f>
        <v/>
      </c>
      <c r="AA569" s="193" t="str">
        <f t="shared" si="35"/>
        <v/>
      </c>
    </row>
    <row r="570" spans="1:27" ht="13.5" customHeight="1" x14ac:dyDescent="0.3">
      <c r="A570" s="193" t="str">
        <f>IF('Observaciones-SMP'!A570="","",'Observaciones-SMP'!A570)</f>
        <v/>
      </c>
      <c r="B570" s="257" t="str">
        <f>IF('Observaciones-SMP'!B570="","",'Observaciones-SMP'!B570)</f>
        <v/>
      </c>
      <c r="C570" s="193" t="str">
        <f>IF('Observaciones-SMP'!C570="","",'Observaciones-SMP'!C570)</f>
        <v/>
      </c>
      <c r="D570" s="193" t="str">
        <f>IF('Observaciones-SMP'!D570="","",'Observaciones-SMP'!D570)</f>
        <v/>
      </c>
      <c r="E570" s="193" t="str">
        <f>IF('Observaciones-SMP'!E570="","",'Observaciones-SMP'!E570)</f>
        <v/>
      </c>
      <c r="F570" s="193" t="str">
        <f>IF('Observaciones-SMP'!F570="","",'Observaciones-SMP'!F570)</f>
        <v/>
      </c>
      <c r="G570" s="193" t="str">
        <f>IF('Observaciones-SMP'!G570="","",'Observaciones-SMP'!G570)</f>
        <v/>
      </c>
      <c r="H570" s="193" t="str">
        <f>IF('Observaciones-SMP'!H570="","",'Observaciones-SMP'!H570)</f>
        <v/>
      </c>
      <c r="I570" s="193" t="str">
        <f>IF('Observaciones-SMP'!I570="","",'Observaciones-SMP'!I570)</f>
        <v/>
      </c>
      <c r="J570" s="193" t="str">
        <f>IF('Observaciones-SMP'!J570="","",'Observaciones-SMP'!J570)</f>
        <v/>
      </c>
      <c r="K570" s="193" t="str">
        <f>IF('Observaciones-SMP'!K570="","",'Observaciones-SMP'!K570)</f>
        <v/>
      </c>
      <c r="L570" s="193" t="str">
        <f>IF('Observaciones-SMP'!L570="","",'Observaciones-SMP'!L570)</f>
        <v/>
      </c>
      <c r="M570" s="193" t="str">
        <f>IF('Observaciones-SMP'!M570="","",'Observaciones-SMP'!M570)</f>
        <v/>
      </c>
      <c r="N570" s="193" t="str">
        <f>IF('Observaciones-SMP'!N570="","",'Observaciones-SMP'!N570)</f>
        <v/>
      </c>
      <c r="O570" s="193" t="str">
        <f>IF('Observaciones-SMP'!O570="","",'Observaciones-SMP'!O570)</f>
        <v/>
      </c>
      <c r="P570" s="193" t="str">
        <f>IF('Observaciones-SMP'!P570="","",'Observaciones-SMP'!P570)</f>
        <v/>
      </c>
      <c r="Q570" s="257" t="str">
        <f>IF('Observaciones-SMP'!S570="","",'Observaciones-SMP'!S570)</f>
        <v/>
      </c>
      <c r="R570" s="193" t="str">
        <f>IF('Observaciones-SMP'!T570="","",'Observaciones-SMP'!T570)</f>
        <v/>
      </c>
      <c r="S570" s="193" t="str">
        <f>""</f>
        <v/>
      </c>
      <c r="T570" s="193" t="str">
        <f>""</f>
        <v/>
      </c>
      <c r="U570" s="193" t="str">
        <f t="shared" si="32"/>
        <v/>
      </c>
      <c r="V570" s="193" t="str">
        <f>""</f>
        <v/>
      </c>
      <c r="W570" s="193" t="str">
        <f>""</f>
        <v/>
      </c>
      <c r="X570" s="258" t="str">
        <f t="shared" si="33"/>
        <v/>
      </c>
      <c r="Y570" s="258" t="str">
        <f t="shared" si="34"/>
        <v/>
      </c>
      <c r="Z570" s="193" t="str">
        <f>IF(A570="","",IF(COUNTIF('Observaciones-SMP'!$A$2:$A$1001,A570)&gt;1,1,0))</f>
        <v/>
      </c>
      <c r="AA570" s="193" t="str">
        <f t="shared" si="35"/>
        <v/>
      </c>
    </row>
    <row r="571" spans="1:27" ht="13.5" customHeight="1" x14ac:dyDescent="0.3">
      <c r="A571" s="193" t="str">
        <f>IF('Observaciones-SMP'!A571="","",'Observaciones-SMP'!A571)</f>
        <v/>
      </c>
      <c r="B571" s="257" t="str">
        <f>IF('Observaciones-SMP'!B571="","",'Observaciones-SMP'!B571)</f>
        <v/>
      </c>
      <c r="C571" s="193" t="str">
        <f>IF('Observaciones-SMP'!C571="","",'Observaciones-SMP'!C571)</f>
        <v/>
      </c>
      <c r="D571" s="193" t="str">
        <f>IF('Observaciones-SMP'!D571="","",'Observaciones-SMP'!D571)</f>
        <v/>
      </c>
      <c r="E571" s="193" t="str">
        <f>IF('Observaciones-SMP'!E571="","",'Observaciones-SMP'!E571)</f>
        <v/>
      </c>
      <c r="F571" s="193" t="str">
        <f>IF('Observaciones-SMP'!F571="","",'Observaciones-SMP'!F571)</f>
        <v/>
      </c>
      <c r="G571" s="193" t="str">
        <f>IF('Observaciones-SMP'!G571="","",'Observaciones-SMP'!G571)</f>
        <v/>
      </c>
      <c r="H571" s="193" t="str">
        <f>IF('Observaciones-SMP'!H571="","",'Observaciones-SMP'!H571)</f>
        <v/>
      </c>
      <c r="I571" s="193" t="str">
        <f>IF('Observaciones-SMP'!I571="","",'Observaciones-SMP'!I571)</f>
        <v/>
      </c>
      <c r="J571" s="193" t="str">
        <f>IF('Observaciones-SMP'!J571="","",'Observaciones-SMP'!J571)</f>
        <v/>
      </c>
      <c r="K571" s="193" t="str">
        <f>IF('Observaciones-SMP'!K571="","",'Observaciones-SMP'!K571)</f>
        <v/>
      </c>
      <c r="L571" s="193" t="str">
        <f>IF('Observaciones-SMP'!L571="","",'Observaciones-SMP'!L571)</f>
        <v/>
      </c>
      <c r="M571" s="193" t="str">
        <f>IF('Observaciones-SMP'!M571="","",'Observaciones-SMP'!M571)</f>
        <v/>
      </c>
      <c r="N571" s="193" t="str">
        <f>IF('Observaciones-SMP'!N571="","",'Observaciones-SMP'!N571)</f>
        <v/>
      </c>
      <c r="O571" s="193" t="str">
        <f>IF('Observaciones-SMP'!O571="","",'Observaciones-SMP'!O571)</f>
        <v/>
      </c>
      <c r="P571" s="193" t="str">
        <f>IF('Observaciones-SMP'!P571="","",'Observaciones-SMP'!P571)</f>
        <v/>
      </c>
      <c r="Q571" s="257" t="str">
        <f>IF('Observaciones-SMP'!S571="","",'Observaciones-SMP'!S571)</f>
        <v/>
      </c>
      <c r="R571" s="193" t="str">
        <f>IF('Observaciones-SMP'!T571="","",'Observaciones-SMP'!T571)</f>
        <v/>
      </c>
      <c r="S571" s="193" t="str">
        <f>""</f>
        <v/>
      </c>
      <c r="T571" s="193" t="str">
        <f>""</f>
        <v/>
      </c>
      <c r="U571" s="193" t="str">
        <f t="shared" si="32"/>
        <v/>
      </c>
      <c r="V571" s="193" t="str">
        <f>""</f>
        <v/>
      </c>
      <c r="W571" s="193" t="str">
        <f>""</f>
        <v/>
      </c>
      <c r="X571" s="258" t="str">
        <f t="shared" si="33"/>
        <v/>
      </c>
      <c r="Y571" s="258" t="str">
        <f t="shared" si="34"/>
        <v/>
      </c>
      <c r="Z571" s="193" t="str">
        <f>IF(A571="","",IF(COUNTIF('Observaciones-SMP'!$A$2:$A$1001,A571)&gt;1,1,0))</f>
        <v/>
      </c>
      <c r="AA571" s="193" t="str">
        <f t="shared" si="35"/>
        <v/>
      </c>
    </row>
    <row r="572" spans="1:27" ht="13.5" customHeight="1" x14ac:dyDescent="0.3">
      <c r="A572" s="193" t="str">
        <f>IF('Observaciones-SMP'!A572="","",'Observaciones-SMP'!A572)</f>
        <v/>
      </c>
      <c r="B572" s="257" t="str">
        <f>IF('Observaciones-SMP'!B572="","",'Observaciones-SMP'!B572)</f>
        <v/>
      </c>
      <c r="C572" s="193" t="str">
        <f>IF('Observaciones-SMP'!C572="","",'Observaciones-SMP'!C572)</f>
        <v/>
      </c>
      <c r="D572" s="193" t="str">
        <f>IF('Observaciones-SMP'!D572="","",'Observaciones-SMP'!D572)</f>
        <v/>
      </c>
      <c r="E572" s="193" t="str">
        <f>IF('Observaciones-SMP'!E572="","",'Observaciones-SMP'!E572)</f>
        <v/>
      </c>
      <c r="F572" s="193" t="str">
        <f>IF('Observaciones-SMP'!F572="","",'Observaciones-SMP'!F572)</f>
        <v/>
      </c>
      <c r="G572" s="193" t="str">
        <f>IF('Observaciones-SMP'!G572="","",'Observaciones-SMP'!G572)</f>
        <v/>
      </c>
      <c r="H572" s="193" t="str">
        <f>IF('Observaciones-SMP'!H572="","",'Observaciones-SMP'!H572)</f>
        <v/>
      </c>
      <c r="I572" s="193" t="str">
        <f>IF('Observaciones-SMP'!I572="","",'Observaciones-SMP'!I572)</f>
        <v/>
      </c>
      <c r="J572" s="193" t="str">
        <f>IF('Observaciones-SMP'!J572="","",'Observaciones-SMP'!J572)</f>
        <v/>
      </c>
      <c r="K572" s="193" t="str">
        <f>IF('Observaciones-SMP'!K572="","",'Observaciones-SMP'!K572)</f>
        <v/>
      </c>
      <c r="L572" s="193" t="str">
        <f>IF('Observaciones-SMP'!L572="","",'Observaciones-SMP'!L572)</f>
        <v/>
      </c>
      <c r="M572" s="193" t="str">
        <f>IF('Observaciones-SMP'!M572="","",'Observaciones-SMP'!M572)</f>
        <v/>
      </c>
      <c r="N572" s="193" t="str">
        <f>IF('Observaciones-SMP'!N572="","",'Observaciones-SMP'!N572)</f>
        <v/>
      </c>
      <c r="O572" s="193" t="str">
        <f>IF('Observaciones-SMP'!O572="","",'Observaciones-SMP'!O572)</f>
        <v/>
      </c>
      <c r="P572" s="193" t="str">
        <f>IF('Observaciones-SMP'!P572="","",'Observaciones-SMP'!P572)</f>
        <v/>
      </c>
      <c r="Q572" s="257" t="str">
        <f>IF('Observaciones-SMP'!S572="","",'Observaciones-SMP'!S572)</f>
        <v/>
      </c>
      <c r="R572" s="193" t="str">
        <f>IF('Observaciones-SMP'!T572="","",'Observaciones-SMP'!T572)</f>
        <v/>
      </c>
      <c r="S572" s="193" t="str">
        <f>""</f>
        <v/>
      </c>
      <c r="T572" s="193" t="str">
        <f>""</f>
        <v/>
      </c>
      <c r="U572" s="193" t="str">
        <f t="shared" si="32"/>
        <v/>
      </c>
      <c r="V572" s="193" t="str">
        <f>""</f>
        <v/>
      </c>
      <c r="W572" s="193" t="str">
        <f>""</f>
        <v/>
      </c>
      <c r="X572" s="258" t="str">
        <f t="shared" si="33"/>
        <v/>
      </c>
      <c r="Y572" s="258" t="str">
        <f t="shared" si="34"/>
        <v/>
      </c>
      <c r="Z572" s="193" t="str">
        <f>IF(A572="","",IF(COUNTIF('Observaciones-SMP'!$A$2:$A$1001,A572)&gt;1,1,0))</f>
        <v/>
      </c>
      <c r="AA572" s="193" t="str">
        <f t="shared" si="35"/>
        <v/>
      </c>
    </row>
    <row r="573" spans="1:27" ht="13.5" customHeight="1" x14ac:dyDescent="0.3">
      <c r="A573" s="193" t="str">
        <f>IF('Observaciones-SMP'!A573="","",'Observaciones-SMP'!A573)</f>
        <v/>
      </c>
      <c r="B573" s="257" t="str">
        <f>IF('Observaciones-SMP'!B573="","",'Observaciones-SMP'!B573)</f>
        <v/>
      </c>
      <c r="C573" s="193" t="str">
        <f>IF('Observaciones-SMP'!C573="","",'Observaciones-SMP'!C573)</f>
        <v/>
      </c>
      <c r="D573" s="193" t="str">
        <f>IF('Observaciones-SMP'!D573="","",'Observaciones-SMP'!D573)</f>
        <v/>
      </c>
      <c r="E573" s="193" t="str">
        <f>IF('Observaciones-SMP'!E573="","",'Observaciones-SMP'!E573)</f>
        <v/>
      </c>
      <c r="F573" s="193" t="str">
        <f>IF('Observaciones-SMP'!F573="","",'Observaciones-SMP'!F573)</f>
        <v/>
      </c>
      <c r="G573" s="193" t="str">
        <f>IF('Observaciones-SMP'!G573="","",'Observaciones-SMP'!G573)</f>
        <v/>
      </c>
      <c r="H573" s="193" t="str">
        <f>IF('Observaciones-SMP'!H573="","",'Observaciones-SMP'!H573)</f>
        <v/>
      </c>
      <c r="I573" s="193" t="str">
        <f>IF('Observaciones-SMP'!I573="","",'Observaciones-SMP'!I573)</f>
        <v/>
      </c>
      <c r="J573" s="193" t="str">
        <f>IF('Observaciones-SMP'!J573="","",'Observaciones-SMP'!J573)</f>
        <v/>
      </c>
      <c r="K573" s="193" t="str">
        <f>IF('Observaciones-SMP'!K573="","",'Observaciones-SMP'!K573)</f>
        <v/>
      </c>
      <c r="L573" s="193" t="str">
        <f>IF('Observaciones-SMP'!L573="","",'Observaciones-SMP'!L573)</f>
        <v/>
      </c>
      <c r="M573" s="193" t="str">
        <f>IF('Observaciones-SMP'!M573="","",'Observaciones-SMP'!M573)</f>
        <v/>
      </c>
      <c r="N573" s="193" t="str">
        <f>IF('Observaciones-SMP'!N573="","",'Observaciones-SMP'!N573)</f>
        <v/>
      </c>
      <c r="O573" s="193" t="str">
        <f>IF('Observaciones-SMP'!O573="","",'Observaciones-SMP'!O573)</f>
        <v/>
      </c>
      <c r="P573" s="193" t="str">
        <f>IF('Observaciones-SMP'!P573="","",'Observaciones-SMP'!P573)</f>
        <v/>
      </c>
      <c r="Q573" s="257" t="str">
        <f>IF('Observaciones-SMP'!S573="","",'Observaciones-SMP'!S573)</f>
        <v/>
      </c>
      <c r="R573" s="193" t="str">
        <f>IF('Observaciones-SMP'!T573="","",'Observaciones-SMP'!T573)</f>
        <v/>
      </c>
      <c r="S573" s="193" t="str">
        <f>""</f>
        <v/>
      </c>
      <c r="T573" s="193" t="str">
        <f>""</f>
        <v/>
      </c>
      <c r="U573" s="193" t="str">
        <f t="shared" si="32"/>
        <v/>
      </c>
      <c r="V573" s="193" t="str">
        <f>""</f>
        <v/>
      </c>
      <c r="W573" s="193" t="str">
        <f>""</f>
        <v/>
      </c>
      <c r="X573" s="258" t="str">
        <f t="shared" si="33"/>
        <v/>
      </c>
      <c r="Y573" s="258" t="str">
        <f t="shared" si="34"/>
        <v/>
      </c>
      <c r="Z573" s="193" t="str">
        <f>IF(A573="","",IF(COUNTIF('Observaciones-SMP'!$A$2:$A$1001,A573)&gt;1,1,0))</f>
        <v/>
      </c>
      <c r="AA573" s="193" t="str">
        <f t="shared" si="35"/>
        <v/>
      </c>
    </row>
    <row r="574" spans="1:27" ht="13.5" customHeight="1" x14ac:dyDescent="0.3">
      <c r="A574" s="193" t="str">
        <f>IF('Observaciones-SMP'!A574="","",'Observaciones-SMP'!A574)</f>
        <v/>
      </c>
      <c r="B574" s="257" t="str">
        <f>IF('Observaciones-SMP'!B574="","",'Observaciones-SMP'!B574)</f>
        <v/>
      </c>
      <c r="C574" s="193" t="str">
        <f>IF('Observaciones-SMP'!C574="","",'Observaciones-SMP'!C574)</f>
        <v/>
      </c>
      <c r="D574" s="193" t="str">
        <f>IF('Observaciones-SMP'!D574="","",'Observaciones-SMP'!D574)</f>
        <v/>
      </c>
      <c r="E574" s="193" t="str">
        <f>IF('Observaciones-SMP'!E574="","",'Observaciones-SMP'!E574)</f>
        <v/>
      </c>
      <c r="F574" s="193" t="str">
        <f>IF('Observaciones-SMP'!F574="","",'Observaciones-SMP'!F574)</f>
        <v/>
      </c>
      <c r="G574" s="193" t="str">
        <f>IF('Observaciones-SMP'!G574="","",'Observaciones-SMP'!G574)</f>
        <v/>
      </c>
      <c r="H574" s="193" t="str">
        <f>IF('Observaciones-SMP'!H574="","",'Observaciones-SMP'!H574)</f>
        <v/>
      </c>
      <c r="I574" s="193" t="str">
        <f>IF('Observaciones-SMP'!I574="","",'Observaciones-SMP'!I574)</f>
        <v/>
      </c>
      <c r="J574" s="193" t="str">
        <f>IF('Observaciones-SMP'!J574="","",'Observaciones-SMP'!J574)</f>
        <v/>
      </c>
      <c r="K574" s="193" t="str">
        <f>IF('Observaciones-SMP'!K574="","",'Observaciones-SMP'!K574)</f>
        <v/>
      </c>
      <c r="L574" s="193" t="str">
        <f>IF('Observaciones-SMP'!L574="","",'Observaciones-SMP'!L574)</f>
        <v/>
      </c>
      <c r="M574" s="193" t="str">
        <f>IF('Observaciones-SMP'!M574="","",'Observaciones-SMP'!M574)</f>
        <v/>
      </c>
      <c r="N574" s="193" t="str">
        <f>IF('Observaciones-SMP'!N574="","",'Observaciones-SMP'!N574)</f>
        <v/>
      </c>
      <c r="O574" s="193" t="str">
        <f>IF('Observaciones-SMP'!O574="","",'Observaciones-SMP'!O574)</f>
        <v/>
      </c>
      <c r="P574" s="193" t="str">
        <f>IF('Observaciones-SMP'!P574="","",'Observaciones-SMP'!P574)</f>
        <v/>
      </c>
      <c r="Q574" s="257" t="str">
        <f>IF('Observaciones-SMP'!S574="","",'Observaciones-SMP'!S574)</f>
        <v/>
      </c>
      <c r="R574" s="193" t="str">
        <f>IF('Observaciones-SMP'!T574="","",'Observaciones-SMP'!T574)</f>
        <v/>
      </c>
      <c r="S574" s="193" t="str">
        <f>""</f>
        <v/>
      </c>
      <c r="T574" s="193" t="str">
        <f>""</f>
        <v/>
      </c>
      <c r="U574" s="193" t="str">
        <f t="shared" si="32"/>
        <v/>
      </c>
      <c r="V574" s="193" t="str">
        <f>""</f>
        <v/>
      </c>
      <c r="W574" s="193" t="str">
        <f>""</f>
        <v/>
      </c>
      <c r="X574" s="258" t="str">
        <f t="shared" si="33"/>
        <v/>
      </c>
      <c r="Y574" s="258" t="str">
        <f t="shared" si="34"/>
        <v/>
      </c>
      <c r="Z574" s="193" t="str">
        <f>IF(A574="","",IF(COUNTIF('Observaciones-SMP'!$A$2:$A$1001,A574)&gt;1,1,0))</f>
        <v/>
      </c>
      <c r="AA574" s="193" t="str">
        <f t="shared" si="35"/>
        <v/>
      </c>
    </row>
    <row r="575" spans="1:27" ht="13.5" customHeight="1" x14ac:dyDescent="0.3">
      <c r="A575" s="193" t="str">
        <f>IF('Observaciones-SMP'!A575="","",'Observaciones-SMP'!A575)</f>
        <v/>
      </c>
      <c r="B575" s="257" t="str">
        <f>IF('Observaciones-SMP'!B575="","",'Observaciones-SMP'!B575)</f>
        <v/>
      </c>
      <c r="C575" s="193" t="str">
        <f>IF('Observaciones-SMP'!C575="","",'Observaciones-SMP'!C575)</f>
        <v/>
      </c>
      <c r="D575" s="193" t="str">
        <f>IF('Observaciones-SMP'!D575="","",'Observaciones-SMP'!D575)</f>
        <v/>
      </c>
      <c r="E575" s="193" t="str">
        <f>IF('Observaciones-SMP'!E575="","",'Observaciones-SMP'!E575)</f>
        <v/>
      </c>
      <c r="F575" s="193" t="str">
        <f>IF('Observaciones-SMP'!F575="","",'Observaciones-SMP'!F575)</f>
        <v/>
      </c>
      <c r="G575" s="193" t="str">
        <f>IF('Observaciones-SMP'!G575="","",'Observaciones-SMP'!G575)</f>
        <v/>
      </c>
      <c r="H575" s="193" t="str">
        <f>IF('Observaciones-SMP'!H575="","",'Observaciones-SMP'!H575)</f>
        <v/>
      </c>
      <c r="I575" s="193" t="str">
        <f>IF('Observaciones-SMP'!I575="","",'Observaciones-SMP'!I575)</f>
        <v/>
      </c>
      <c r="J575" s="193" t="str">
        <f>IF('Observaciones-SMP'!J575="","",'Observaciones-SMP'!J575)</f>
        <v/>
      </c>
      <c r="K575" s="193" t="str">
        <f>IF('Observaciones-SMP'!K575="","",'Observaciones-SMP'!K575)</f>
        <v/>
      </c>
      <c r="L575" s="193" t="str">
        <f>IF('Observaciones-SMP'!L575="","",'Observaciones-SMP'!L575)</f>
        <v/>
      </c>
      <c r="M575" s="193" t="str">
        <f>IF('Observaciones-SMP'!M575="","",'Observaciones-SMP'!M575)</f>
        <v/>
      </c>
      <c r="N575" s="193" t="str">
        <f>IF('Observaciones-SMP'!N575="","",'Observaciones-SMP'!N575)</f>
        <v/>
      </c>
      <c r="O575" s="193" t="str">
        <f>IF('Observaciones-SMP'!O575="","",'Observaciones-SMP'!O575)</f>
        <v/>
      </c>
      <c r="P575" s="193" t="str">
        <f>IF('Observaciones-SMP'!P575="","",'Observaciones-SMP'!P575)</f>
        <v/>
      </c>
      <c r="Q575" s="257" t="str">
        <f>IF('Observaciones-SMP'!S575="","",'Observaciones-SMP'!S575)</f>
        <v/>
      </c>
      <c r="R575" s="193" t="str">
        <f>IF('Observaciones-SMP'!T575="","",'Observaciones-SMP'!T575)</f>
        <v/>
      </c>
      <c r="S575" s="193" t="str">
        <f>""</f>
        <v/>
      </c>
      <c r="T575" s="193" t="str">
        <f>""</f>
        <v/>
      </c>
      <c r="U575" s="193" t="str">
        <f t="shared" si="32"/>
        <v/>
      </c>
      <c r="V575" s="193" t="str">
        <f>""</f>
        <v/>
      </c>
      <c r="W575" s="193" t="str">
        <f>""</f>
        <v/>
      </c>
      <c r="X575" s="258" t="str">
        <f t="shared" si="33"/>
        <v/>
      </c>
      <c r="Y575" s="258" t="str">
        <f t="shared" si="34"/>
        <v/>
      </c>
      <c r="Z575" s="193" t="str">
        <f>IF(A575="","",IF(COUNTIF('Observaciones-SMP'!$A$2:$A$1001,A575)&gt;1,1,0))</f>
        <v/>
      </c>
      <c r="AA575" s="193" t="str">
        <f t="shared" si="35"/>
        <v/>
      </c>
    </row>
    <row r="576" spans="1:27" ht="13.5" customHeight="1" x14ac:dyDescent="0.3">
      <c r="A576" s="193" t="str">
        <f>IF('Observaciones-SMP'!A576="","",'Observaciones-SMP'!A576)</f>
        <v/>
      </c>
      <c r="B576" s="257" t="str">
        <f>IF('Observaciones-SMP'!B576="","",'Observaciones-SMP'!B576)</f>
        <v/>
      </c>
      <c r="C576" s="193" t="str">
        <f>IF('Observaciones-SMP'!C576="","",'Observaciones-SMP'!C576)</f>
        <v/>
      </c>
      <c r="D576" s="193" t="str">
        <f>IF('Observaciones-SMP'!D576="","",'Observaciones-SMP'!D576)</f>
        <v/>
      </c>
      <c r="E576" s="193" t="str">
        <f>IF('Observaciones-SMP'!E576="","",'Observaciones-SMP'!E576)</f>
        <v/>
      </c>
      <c r="F576" s="193" t="str">
        <f>IF('Observaciones-SMP'!F576="","",'Observaciones-SMP'!F576)</f>
        <v/>
      </c>
      <c r="G576" s="193" t="str">
        <f>IF('Observaciones-SMP'!G576="","",'Observaciones-SMP'!G576)</f>
        <v/>
      </c>
      <c r="H576" s="193" t="str">
        <f>IF('Observaciones-SMP'!H576="","",'Observaciones-SMP'!H576)</f>
        <v/>
      </c>
      <c r="I576" s="193" t="str">
        <f>IF('Observaciones-SMP'!I576="","",'Observaciones-SMP'!I576)</f>
        <v/>
      </c>
      <c r="J576" s="193" t="str">
        <f>IF('Observaciones-SMP'!J576="","",'Observaciones-SMP'!J576)</f>
        <v/>
      </c>
      <c r="K576" s="193" t="str">
        <f>IF('Observaciones-SMP'!K576="","",'Observaciones-SMP'!K576)</f>
        <v/>
      </c>
      <c r="L576" s="193" t="str">
        <f>IF('Observaciones-SMP'!L576="","",'Observaciones-SMP'!L576)</f>
        <v/>
      </c>
      <c r="M576" s="193" t="str">
        <f>IF('Observaciones-SMP'!M576="","",'Observaciones-SMP'!M576)</f>
        <v/>
      </c>
      <c r="N576" s="193" t="str">
        <f>IF('Observaciones-SMP'!N576="","",'Observaciones-SMP'!N576)</f>
        <v/>
      </c>
      <c r="O576" s="193" t="str">
        <f>IF('Observaciones-SMP'!O576="","",'Observaciones-SMP'!O576)</f>
        <v/>
      </c>
      <c r="P576" s="193" t="str">
        <f>IF('Observaciones-SMP'!P576="","",'Observaciones-SMP'!P576)</f>
        <v/>
      </c>
      <c r="Q576" s="257" t="str">
        <f>IF('Observaciones-SMP'!S576="","",'Observaciones-SMP'!S576)</f>
        <v/>
      </c>
      <c r="R576" s="193" t="str">
        <f>IF('Observaciones-SMP'!T576="","",'Observaciones-SMP'!T576)</f>
        <v/>
      </c>
      <c r="S576" s="193" t="str">
        <f>""</f>
        <v/>
      </c>
      <c r="T576" s="193" t="str">
        <f>""</f>
        <v/>
      </c>
      <c r="U576" s="193" t="str">
        <f t="shared" si="32"/>
        <v/>
      </c>
      <c r="V576" s="193" t="str">
        <f>""</f>
        <v/>
      </c>
      <c r="W576" s="193" t="str">
        <f>""</f>
        <v/>
      </c>
      <c r="X576" s="258" t="str">
        <f t="shared" si="33"/>
        <v/>
      </c>
      <c r="Y576" s="258" t="str">
        <f t="shared" si="34"/>
        <v/>
      </c>
      <c r="Z576" s="193" t="str">
        <f>IF(A576="","",IF(COUNTIF('Observaciones-SMP'!$A$2:$A$1001,A576)&gt;1,1,0))</f>
        <v/>
      </c>
      <c r="AA576" s="193" t="str">
        <f t="shared" si="35"/>
        <v/>
      </c>
    </row>
    <row r="577" spans="1:27" ht="13.5" customHeight="1" x14ac:dyDescent="0.3">
      <c r="A577" s="193" t="str">
        <f>IF('Observaciones-SMP'!A577="","",'Observaciones-SMP'!A577)</f>
        <v/>
      </c>
      <c r="B577" s="257" t="str">
        <f>IF('Observaciones-SMP'!B577="","",'Observaciones-SMP'!B577)</f>
        <v/>
      </c>
      <c r="C577" s="193" t="str">
        <f>IF('Observaciones-SMP'!C577="","",'Observaciones-SMP'!C577)</f>
        <v/>
      </c>
      <c r="D577" s="193" t="str">
        <f>IF('Observaciones-SMP'!D577="","",'Observaciones-SMP'!D577)</f>
        <v/>
      </c>
      <c r="E577" s="193" t="str">
        <f>IF('Observaciones-SMP'!E577="","",'Observaciones-SMP'!E577)</f>
        <v/>
      </c>
      <c r="F577" s="193" t="str">
        <f>IF('Observaciones-SMP'!F577="","",'Observaciones-SMP'!F577)</f>
        <v/>
      </c>
      <c r="G577" s="193" t="str">
        <f>IF('Observaciones-SMP'!G577="","",'Observaciones-SMP'!G577)</f>
        <v/>
      </c>
      <c r="H577" s="193" t="str">
        <f>IF('Observaciones-SMP'!H577="","",'Observaciones-SMP'!H577)</f>
        <v/>
      </c>
      <c r="I577" s="193" t="str">
        <f>IF('Observaciones-SMP'!I577="","",'Observaciones-SMP'!I577)</f>
        <v/>
      </c>
      <c r="J577" s="193" t="str">
        <f>IF('Observaciones-SMP'!J577="","",'Observaciones-SMP'!J577)</f>
        <v/>
      </c>
      <c r="K577" s="193" t="str">
        <f>IF('Observaciones-SMP'!K577="","",'Observaciones-SMP'!K577)</f>
        <v/>
      </c>
      <c r="L577" s="193" t="str">
        <f>IF('Observaciones-SMP'!L577="","",'Observaciones-SMP'!L577)</f>
        <v/>
      </c>
      <c r="M577" s="193" t="str">
        <f>IF('Observaciones-SMP'!M577="","",'Observaciones-SMP'!M577)</f>
        <v/>
      </c>
      <c r="N577" s="193" t="str">
        <f>IF('Observaciones-SMP'!N577="","",'Observaciones-SMP'!N577)</f>
        <v/>
      </c>
      <c r="O577" s="193" t="str">
        <f>IF('Observaciones-SMP'!O577="","",'Observaciones-SMP'!O577)</f>
        <v/>
      </c>
      <c r="P577" s="193" t="str">
        <f>IF('Observaciones-SMP'!P577="","",'Observaciones-SMP'!P577)</f>
        <v/>
      </c>
      <c r="Q577" s="257" t="str">
        <f>IF('Observaciones-SMP'!S577="","",'Observaciones-SMP'!S577)</f>
        <v/>
      </c>
      <c r="R577" s="193" t="str">
        <f>IF('Observaciones-SMP'!T577="","",'Observaciones-SMP'!T577)</f>
        <v/>
      </c>
      <c r="S577" s="193" t="str">
        <f>""</f>
        <v/>
      </c>
      <c r="T577" s="193" t="str">
        <f>""</f>
        <v/>
      </c>
      <c r="U577" s="193" t="str">
        <f t="shared" si="32"/>
        <v/>
      </c>
      <c r="V577" s="193" t="str">
        <f>""</f>
        <v/>
      </c>
      <c r="W577" s="193" t="str">
        <f>""</f>
        <v/>
      </c>
      <c r="X577" s="258" t="str">
        <f t="shared" si="33"/>
        <v/>
      </c>
      <c r="Y577" s="258" t="str">
        <f t="shared" si="34"/>
        <v/>
      </c>
      <c r="Z577" s="193" t="str">
        <f>IF(A577="","",IF(COUNTIF('Observaciones-SMP'!$A$2:$A$1001,A577)&gt;1,1,0))</f>
        <v/>
      </c>
      <c r="AA577" s="193" t="str">
        <f t="shared" si="35"/>
        <v/>
      </c>
    </row>
    <row r="578" spans="1:27" ht="13.5" customHeight="1" x14ac:dyDescent="0.3">
      <c r="A578" s="193" t="str">
        <f>IF('Observaciones-SMP'!A578="","",'Observaciones-SMP'!A578)</f>
        <v/>
      </c>
      <c r="B578" s="257" t="str">
        <f>IF('Observaciones-SMP'!B578="","",'Observaciones-SMP'!B578)</f>
        <v/>
      </c>
      <c r="C578" s="193" t="str">
        <f>IF('Observaciones-SMP'!C578="","",'Observaciones-SMP'!C578)</f>
        <v/>
      </c>
      <c r="D578" s="193" t="str">
        <f>IF('Observaciones-SMP'!D578="","",'Observaciones-SMP'!D578)</f>
        <v/>
      </c>
      <c r="E578" s="193" t="str">
        <f>IF('Observaciones-SMP'!E578="","",'Observaciones-SMP'!E578)</f>
        <v/>
      </c>
      <c r="F578" s="193" t="str">
        <f>IF('Observaciones-SMP'!F578="","",'Observaciones-SMP'!F578)</f>
        <v/>
      </c>
      <c r="G578" s="193" t="str">
        <f>IF('Observaciones-SMP'!G578="","",'Observaciones-SMP'!G578)</f>
        <v/>
      </c>
      <c r="H578" s="193" t="str">
        <f>IF('Observaciones-SMP'!H578="","",'Observaciones-SMP'!H578)</f>
        <v/>
      </c>
      <c r="I578" s="193" t="str">
        <f>IF('Observaciones-SMP'!I578="","",'Observaciones-SMP'!I578)</f>
        <v/>
      </c>
      <c r="J578" s="193" t="str">
        <f>IF('Observaciones-SMP'!J578="","",'Observaciones-SMP'!J578)</f>
        <v/>
      </c>
      <c r="K578" s="193" t="str">
        <f>IF('Observaciones-SMP'!K578="","",'Observaciones-SMP'!K578)</f>
        <v/>
      </c>
      <c r="L578" s="193" t="str">
        <f>IF('Observaciones-SMP'!L578="","",'Observaciones-SMP'!L578)</f>
        <v/>
      </c>
      <c r="M578" s="193" t="str">
        <f>IF('Observaciones-SMP'!M578="","",'Observaciones-SMP'!M578)</f>
        <v/>
      </c>
      <c r="N578" s="193" t="str">
        <f>IF('Observaciones-SMP'!N578="","",'Observaciones-SMP'!N578)</f>
        <v/>
      </c>
      <c r="O578" s="193" t="str">
        <f>IF('Observaciones-SMP'!O578="","",'Observaciones-SMP'!O578)</f>
        <v/>
      </c>
      <c r="P578" s="193" t="str">
        <f>IF('Observaciones-SMP'!P578="","",'Observaciones-SMP'!P578)</f>
        <v/>
      </c>
      <c r="Q578" s="257" t="str">
        <f>IF('Observaciones-SMP'!S578="","",'Observaciones-SMP'!S578)</f>
        <v/>
      </c>
      <c r="R578" s="193" t="str">
        <f>IF('Observaciones-SMP'!T578="","",'Observaciones-SMP'!T578)</f>
        <v/>
      </c>
      <c r="S578" s="193" t="str">
        <f>""</f>
        <v/>
      </c>
      <c r="T578" s="193" t="str">
        <f>""</f>
        <v/>
      </c>
      <c r="U578" s="193" t="str">
        <f t="shared" ref="U578:U641" si="36">IF(AND(ISNUMBER(B578),ISNUMBER(Q578)),IF(Q578&gt;=B578,Q578-B578,""),"")</f>
        <v/>
      </c>
      <c r="V578" s="193" t="str">
        <f>""</f>
        <v/>
      </c>
      <c r="W578" s="193" t="str">
        <f>""</f>
        <v/>
      </c>
      <c r="X578" s="258" t="str">
        <f t="shared" ref="X578:X641" si="37">IF(ISNUMBER(B578),DATE(YEAR(B578),MONTH(B578),1),"")</f>
        <v/>
      </c>
      <c r="Y578" s="258" t="str">
        <f t="shared" ref="Y578:Y641" si="38">IF(ISNUMBER(Q578),DATE(YEAR(Q578),MONTH(Q578),1),"")</f>
        <v/>
      </c>
      <c r="Z578" s="193" t="str">
        <f>IF(A578="","",IF(COUNTIF('Observaciones-SMP'!$A$2:$A$1001,A578)&gt;1,1,0))</f>
        <v/>
      </c>
      <c r="AA578" s="193" t="str">
        <f t="shared" ref="AA578:AA641" si="39">IF(ISNUMBER(B578),IF(ISNUMBER(Q578),Q578,DATE(YEAR(RPT_MONTH),MONTH(RPT_MONTH)+1,0))-B578,"")</f>
        <v/>
      </c>
    </row>
    <row r="579" spans="1:27" ht="13.5" customHeight="1" x14ac:dyDescent="0.3">
      <c r="A579" s="193" t="str">
        <f>IF('Observaciones-SMP'!A579="","",'Observaciones-SMP'!A579)</f>
        <v/>
      </c>
      <c r="B579" s="257" t="str">
        <f>IF('Observaciones-SMP'!B579="","",'Observaciones-SMP'!B579)</f>
        <v/>
      </c>
      <c r="C579" s="193" t="str">
        <f>IF('Observaciones-SMP'!C579="","",'Observaciones-SMP'!C579)</f>
        <v/>
      </c>
      <c r="D579" s="193" t="str">
        <f>IF('Observaciones-SMP'!D579="","",'Observaciones-SMP'!D579)</f>
        <v/>
      </c>
      <c r="E579" s="193" t="str">
        <f>IF('Observaciones-SMP'!E579="","",'Observaciones-SMP'!E579)</f>
        <v/>
      </c>
      <c r="F579" s="193" t="str">
        <f>IF('Observaciones-SMP'!F579="","",'Observaciones-SMP'!F579)</f>
        <v/>
      </c>
      <c r="G579" s="193" t="str">
        <f>IF('Observaciones-SMP'!G579="","",'Observaciones-SMP'!G579)</f>
        <v/>
      </c>
      <c r="H579" s="193" t="str">
        <f>IF('Observaciones-SMP'!H579="","",'Observaciones-SMP'!H579)</f>
        <v/>
      </c>
      <c r="I579" s="193" t="str">
        <f>IF('Observaciones-SMP'!I579="","",'Observaciones-SMP'!I579)</f>
        <v/>
      </c>
      <c r="J579" s="193" t="str">
        <f>IF('Observaciones-SMP'!J579="","",'Observaciones-SMP'!J579)</f>
        <v/>
      </c>
      <c r="K579" s="193" t="str">
        <f>IF('Observaciones-SMP'!K579="","",'Observaciones-SMP'!K579)</f>
        <v/>
      </c>
      <c r="L579" s="193" t="str">
        <f>IF('Observaciones-SMP'!L579="","",'Observaciones-SMP'!L579)</f>
        <v/>
      </c>
      <c r="M579" s="193" t="str">
        <f>IF('Observaciones-SMP'!M579="","",'Observaciones-SMP'!M579)</f>
        <v/>
      </c>
      <c r="N579" s="193" t="str">
        <f>IF('Observaciones-SMP'!N579="","",'Observaciones-SMP'!N579)</f>
        <v/>
      </c>
      <c r="O579" s="193" t="str">
        <f>IF('Observaciones-SMP'!O579="","",'Observaciones-SMP'!O579)</f>
        <v/>
      </c>
      <c r="P579" s="193" t="str">
        <f>IF('Observaciones-SMP'!P579="","",'Observaciones-SMP'!P579)</f>
        <v/>
      </c>
      <c r="Q579" s="257" t="str">
        <f>IF('Observaciones-SMP'!S579="","",'Observaciones-SMP'!S579)</f>
        <v/>
      </c>
      <c r="R579" s="193" t="str">
        <f>IF('Observaciones-SMP'!T579="","",'Observaciones-SMP'!T579)</f>
        <v/>
      </c>
      <c r="S579" s="193" t="str">
        <f>""</f>
        <v/>
      </c>
      <c r="T579" s="193" t="str">
        <f>""</f>
        <v/>
      </c>
      <c r="U579" s="193" t="str">
        <f t="shared" si="36"/>
        <v/>
      </c>
      <c r="V579" s="193" t="str">
        <f>""</f>
        <v/>
      </c>
      <c r="W579" s="193" t="str">
        <f>""</f>
        <v/>
      </c>
      <c r="X579" s="258" t="str">
        <f t="shared" si="37"/>
        <v/>
      </c>
      <c r="Y579" s="258" t="str">
        <f t="shared" si="38"/>
        <v/>
      </c>
      <c r="Z579" s="193" t="str">
        <f>IF(A579="","",IF(COUNTIF('Observaciones-SMP'!$A$2:$A$1001,A579)&gt;1,1,0))</f>
        <v/>
      </c>
      <c r="AA579" s="193" t="str">
        <f t="shared" si="39"/>
        <v/>
      </c>
    </row>
    <row r="580" spans="1:27" ht="13.5" customHeight="1" x14ac:dyDescent="0.3">
      <c r="A580" s="193" t="str">
        <f>IF('Observaciones-SMP'!A580="","",'Observaciones-SMP'!A580)</f>
        <v/>
      </c>
      <c r="B580" s="257" t="str">
        <f>IF('Observaciones-SMP'!B580="","",'Observaciones-SMP'!B580)</f>
        <v/>
      </c>
      <c r="C580" s="193" t="str">
        <f>IF('Observaciones-SMP'!C580="","",'Observaciones-SMP'!C580)</f>
        <v/>
      </c>
      <c r="D580" s="193" t="str">
        <f>IF('Observaciones-SMP'!D580="","",'Observaciones-SMP'!D580)</f>
        <v/>
      </c>
      <c r="E580" s="193" t="str">
        <f>IF('Observaciones-SMP'!E580="","",'Observaciones-SMP'!E580)</f>
        <v/>
      </c>
      <c r="F580" s="193" t="str">
        <f>IF('Observaciones-SMP'!F580="","",'Observaciones-SMP'!F580)</f>
        <v/>
      </c>
      <c r="G580" s="193" t="str">
        <f>IF('Observaciones-SMP'!G580="","",'Observaciones-SMP'!G580)</f>
        <v/>
      </c>
      <c r="H580" s="193" t="str">
        <f>IF('Observaciones-SMP'!H580="","",'Observaciones-SMP'!H580)</f>
        <v/>
      </c>
      <c r="I580" s="193" t="str">
        <f>IF('Observaciones-SMP'!I580="","",'Observaciones-SMP'!I580)</f>
        <v/>
      </c>
      <c r="J580" s="193" t="str">
        <f>IF('Observaciones-SMP'!J580="","",'Observaciones-SMP'!J580)</f>
        <v/>
      </c>
      <c r="K580" s="193" t="str">
        <f>IF('Observaciones-SMP'!K580="","",'Observaciones-SMP'!K580)</f>
        <v/>
      </c>
      <c r="L580" s="193" t="str">
        <f>IF('Observaciones-SMP'!L580="","",'Observaciones-SMP'!L580)</f>
        <v/>
      </c>
      <c r="M580" s="193" t="str">
        <f>IF('Observaciones-SMP'!M580="","",'Observaciones-SMP'!M580)</f>
        <v/>
      </c>
      <c r="N580" s="193" t="str">
        <f>IF('Observaciones-SMP'!N580="","",'Observaciones-SMP'!N580)</f>
        <v/>
      </c>
      <c r="O580" s="193" t="str">
        <f>IF('Observaciones-SMP'!O580="","",'Observaciones-SMP'!O580)</f>
        <v/>
      </c>
      <c r="P580" s="193" t="str">
        <f>IF('Observaciones-SMP'!P580="","",'Observaciones-SMP'!P580)</f>
        <v/>
      </c>
      <c r="Q580" s="257" t="str">
        <f>IF('Observaciones-SMP'!S580="","",'Observaciones-SMP'!S580)</f>
        <v/>
      </c>
      <c r="R580" s="193" t="str">
        <f>IF('Observaciones-SMP'!T580="","",'Observaciones-SMP'!T580)</f>
        <v/>
      </c>
      <c r="S580" s="193" t="str">
        <f>""</f>
        <v/>
      </c>
      <c r="T580" s="193" t="str">
        <f>""</f>
        <v/>
      </c>
      <c r="U580" s="193" t="str">
        <f t="shared" si="36"/>
        <v/>
      </c>
      <c r="V580" s="193" t="str">
        <f>""</f>
        <v/>
      </c>
      <c r="W580" s="193" t="str">
        <f>""</f>
        <v/>
      </c>
      <c r="X580" s="258" t="str">
        <f t="shared" si="37"/>
        <v/>
      </c>
      <c r="Y580" s="258" t="str">
        <f t="shared" si="38"/>
        <v/>
      </c>
      <c r="Z580" s="193" t="str">
        <f>IF(A580="","",IF(COUNTIF('Observaciones-SMP'!$A$2:$A$1001,A580)&gt;1,1,0))</f>
        <v/>
      </c>
      <c r="AA580" s="193" t="str">
        <f t="shared" si="39"/>
        <v/>
      </c>
    </row>
    <row r="581" spans="1:27" ht="13.5" customHeight="1" x14ac:dyDescent="0.3">
      <c r="A581" s="193" t="str">
        <f>IF('Observaciones-SMP'!A581="","",'Observaciones-SMP'!A581)</f>
        <v/>
      </c>
      <c r="B581" s="257" t="str">
        <f>IF('Observaciones-SMP'!B581="","",'Observaciones-SMP'!B581)</f>
        <v/>
      </c>
      <c r="C581" s="193" t="str">
        <f>IF('Observaciones-SMP'!C581="","",'Observaciones-SMP'!C581)</f>
        <v/>
      </c>
      <c r="D581" s="193" t="str">
        <f>IF('Observaciones-SMP'!D581="","",'Observaciones-SMP'!D581)</f>
        <v/>
      </c>
      <c r="E581" s="193" t="str">
        <f>IF('Observaciones-SMP'!E581="","",'Observaciones-SMP'!E581)</f>
        <v/>
      </c>
      <c r="F581" s="193" t="str">
        <f>IF('Observaciones-SMP'!F581="","",'Observaciones-SMP'!F581)</f>
        <v/>
      </c>
      <c r="G581" s="193" t="str">
        <f>IF('Observaciones-SMP'!G581="","",'Observaciones-SMP'!G581)</f>
        <v/>
      </c>
      <c r="H581" s="193" t="str">
        <f>IF('Observaciones-SMP'!H581="","",'Observaciones-SMP'!H581)</f>
        <v/>
      </c>
      <c r="I581" s="193" t="str">
        <f>IF('Observaciones-SMP'!I581="","",'Observaciones-SMP'!I581)</f>
        <v/>
      </c>
      <c r="J581" s="193" t="str">
        <f>IF('Observaciones-SMP'!J581="","",'Observaciones-SMP'!J581)</f>
        <v/>
      </c>
      <c r="K581" s="193" t="str">
        <f>IF('Observaciones-SMP'!K581="","",'Observaciones-SMP'!K581)</f>
        <v/>
      </c>
      <c r="L581" s="193" t="str">
        <f>IF('Observaciones-SMP'!L581="","",'Observaciones-SMP'!L581)</f>
        <v/>
      </c>
      <c r="M581" s="193" t="str">
        <f>IF('Observaciones-SMP'!M581="","",'Observaciones-SMP'!M581)</f>
        <v/>
      </c>
      <c r="N581" s="193" t="str">
        <f>IF('Observaciones-SMP'!N581="","",'Observaciones-SMP'!N581)</f>
        <v/>
      </c>
      <c r="O581" s="193" t="str">
        <f>IF('Observaciones-SMP'!O581="","",'Observaciones-SMP'!O581)</f>
        <v/>
      </c>
      <c r="P581" s="193" t="str">
        <f>IF('Observaciones-SMP'!P581="","",'Observaciones-SMP'!P581)</f>
        <v/>
      </c>
      <c r="Q581" s="257" t="str">
        <f>IF('Observaciones-SMP'!S581="","",'Observaciones-SMP'!S581)</f>
        <v/>
      </c>
      <c r="R581" s="193" t="str">
        <f>IF('Observaciones-SMP'!T581="","",'Observaciones-SMP'!T581)</f>
        <v/>
      </c>
      <c r="S581" s="193" t="str">
        <f>""</f>
        <v/>
      </c>
      <c r="T581" s="193" t="str">
        <f>""</f>
        <v/>
      </c>
      <c r="U581" s="193" t="str">
        <f t="shared" si="36"/>
        <v/>
      </c>
      <c r="V581" s="193" t="str">
        <f>""</f>
        <v/>
      </c>
      <c r="W581" s="193" t="str">
        <f>""</f>
        <v/>
      </c>
      <c r="X581" s="258" t="str">
        <f t="shared" si="37"/>
        <v/>
      </c>
      <c r="Y581" s="258" t="str">
        <f t="shared" si="38"/>
        <v/>
      </c>
      <c r="Z581" s="193" t="str">
        <f>IF(A581="","",IF(COUNTIF('Observaciones-SMP'!$A$2:$A$1001,A581)&gt;1,1,0))</f>
        <v/>
      </c>
      <c r="AA581" s="193" t="str">
        <f t="shared" si="39"/>
        <v/>
      </c>
    </row>
    <row r="582" spans="1:27" ht="13.5" customHeight="1" x14ac:dyDescent="0.3">
      <c r="A582" s="193" t="str">
        <f>IF('Observaciones-SMP'!A582="","",'Observaciones-SMP'!A582)</f>
        <v/>
      </c>
      <c r="B582" s="257" t="str">
        <f>IF('Observaciones-SMP'!B582="","",'Observaciones-SMP'!B582)</f>
        <v/>
      </c>
      <c r="C582" s="193" t="str">
        <f>IF('Observaciones-SMP'!C582="","",'Observaciones-SMP'!C582)</f>
        <v/>
      </c>
      <c r="D582" s="193" t="str">
        <f>IF('Observaciones-SMP'!D582="","",'Observaciones-SMP'!D582)</f>
        <v/>
      </c>
      <c r="E582" s="193" t="str">
        <f>IF('Observaciones-SMP'!E582="","",'Observaciones-SMP'!E582)</f>
        <v/>
      </c>
      <c r="F582" s="193" t="str">
        <f>IF('Observaciones-SMP'!F582="","",'Observaciones-SMP'!F582)</f>
        <v/>
      </c>
      <c r="G582" s="193" t="str">
        <f>IF('Observaciones-SMP'!G582="","",'Observaciones-SMP'!G582)</f>
        <v/>
      </c>
      <c r="H582" s="193" t="str">
        <f>IF('Observaciones-SMP'!H582="","",'Observaciones-SMP'!H582)</f>
        <v/>
      </c>
      <c r="I582" s="193" t="str">
        <f>IF('Observaciones-SMP'!I582="","",'Observaciones-SMP'!I582)</f>
        <v/>
      </c>
      <c r="J582" s="193" t="str">
        <f>IF('Observaciones-SMP'!J582="","",'Observaciones-SMP'!J582)</f>
        <v/>
      </c>
      <c r="K582" s="193" t="str">
        <f>IF('Observaciones-SMP'!K582="","",'Observaciones-SMP'!K582)</f>
        <v/>
      </c>
      <c r="L582" s="193" t="str">
        <f>IF('Observaciones-SMP'!L582="","",'Observaciones-SMP'!L582)</f>
        <v/>
      </c>
      <c r="M582" s="193" t="str">
        <f>IF('Observaciones-SMP'!M582="","",'Observaciones-SMP'!M582)</f>
        <v/>
      </c>
      <c r="N582" s="193" t="str">
        <f>IF('Observaciones-SMP'!N582="","",'Observaciones-SMP'!N582)</f>
        <v/>
      </c>
      <c r="O582" s="193" t="str">
        <f>IF('Observaciones-SMP'!O582="","",'Observaciones-SMP'!O582)</f>
        <v/>
      </c>
      <c r="P582" s="193" t="str">
        <f>IF('Observaciones-SMP'!P582="","",'Observaciones-SMP'!P582)</f>
        <v/>
      </c>
      <c r="Q582" s="257" t="str">
        <f>IF('Observaciones-SMP'!S582="","",'Observaciones-SMP'!S582)</f>
        <v/>
      </c>
      <c r="R582" s="193" t="str">
        <f>IF('Observaciones-SMP'!T582="","",'Observaciones-SMP'!T582)</f>
        <v/>
      </c>
      <c r="S582" s="193" t="str">
        <f>""</f>
        <v/>
      </c>
      <c r="T582" s="193" t="str">
        <f>""</f>
        <v/>
      </c>
      <c r="U582" s="193" t="str">
        <f t="shared" si="36"/>
        <v/>
      </c>
      <c r="V582" s="193" t="str">
        <f>""</f>
        <v/>
      </c>
      <c r="W582" s="193" t="str">
        <f>""</f>
        <v/>
      </c>
      <c r="X582" s="258" t="str">
        <f t="shared" si="37"/>
        <v/>
      </c>
      <c r="Y582" s="258" t="str">
        <f t="shared" si="38"/>
        <v/>
      </c>
      <c r="Z582" s="193" t="str">
        <f>IF(A582="","",IF(COUNTIF('Observaciones-SMP'!$A$2:$A$1001,A582)&gt;1,1,0))</f>
        <v/>
      </c>
      <c r="AA582" s="193" t="str">
        <f t="shared" si="39"/>
        <v/>
      </c>
    </row>
    <row r="583" spans="1:27" ht="13.5" customHeight="1" x14ac:dyDescent="0.3">
      <c r="A583" s="193" t="str">
        <f>IF('Observaciones-SMP'!A583="","",'Observaciones-SMP'!A583)</f>
        <v/>
      </c>
      <c r="B583" s="257" t="str">
        <f>IF('Observaciones-SMP'!B583="","",'Observaciones-SMP'!B583)</f>
        <v/>
      </c>
      <c r="C583" s="193" t="str">
        <f>IF('Observaciones-SMP'!C583="","",'Observaciones-SMP'!C583)</f>
        <v/>
      </c>
      <c r="D583" s="193" t="str">
        <f>IF('Observaciones-SMP'!D583="","",'Observaciones-SMP'!D583)</f>
        <v/>
      </c>
      <c r="E583" s="193" t="str">
        <f>IF('Observaciones-SMP'!E583="","",'Observaciones-SMP'!E583)</f>
        <v/>
      </c>
      <c r="F583" s="193" t="str">
        <f>IF('Observaciones-SMP'!F583="","",'Observaciones-SMP'!F583)</f>
        <v/>
      </c>
      <c r="G583" s="193" t="str">
        <f>IF('Observaciones-SMP'!G583="","",'Observaciones-SMP'!G583)</f>
        <v/>
      </c>
      <c r="H583" s="193" t="str">
        <f>IF('Observaciones-SMP'!H583="","",'Observaciones-SMP'!H583)</f>
        <v/>
      </c>
      <c r="I583" s="193" t="str">
        <f>IF('Observaciones-SMP'!I583="","",'Observaciones-SMP'!I583)</f>
        <v/>
      </c>
      <c r="J583" s="193" t="str">
        <f>IF('Observaciones-SMP'!J583="","",'Observaciones-SMP'!J583)</f>
        <v/>
      </c>
      <c r="K583" s="193" t="str">
        <f>IF('Observaciones-SMP'!K583="","",'Observaciones-SMP'!K583)</f>
        <v/>
      </c>
      <c r="L583" s="193" t="str">
        <f>IF('Observaciones-SMP'!L583="","",'Observaciones-SMP'!L583)</f>
        <v/>
      </c>
      <c r="M583" s="193" t="str">
        <f>IF('Observaciones-SMP'!M583="","",'Observaciones-SMP'!M583)</f>
        <v/>
      </c>
      <c r="N583" s="193" t="str">
        <f>IF('Observaciones-SMP'!N583="","",'Observaciones-SMP'!N583)</f>
        <v/>
      </c>
      <c r="O583" s="193" t="str">
        <f>IF('Observaciones-SMP'!O583="","",'Observaciones-SMP'!O583)</f>
        <v/>
      </c>
      <c r="P583" s="193" t="str">
        <f>IF('Observaciones-SMP'!P583="","",'Observaciones-SMP'!P583)</f>
        <v/>
      </c>
      <c r="Q583" s="257" t="str">
        <f>IF('Observaciones-SMP'!S583="","",'Observaciones-SMP'!S583)</f>
        <v/>
      </c>
      <c r="R583" s="193" t="str">
        <f>IF('Observaciones-SMP'!T583="","",'Observaciones-SMP'!T583)</f>
        <v/>
      </c>
      <c r="S583" s="193" t="str">
        <f>""</f>
        <v/>
      </c>
      <c r="T583" s="193" t="str">
        <f>""</f>
        <v/>
      </c>
      <c r="U583" s="193" t="str">
        <f t="shared" si="36"/>
        <v/>
      </c>
      <c r="V583" s="193" t="str">
        <f>""</f>
        <v/>
      </c>
      <c r="W583" s="193" t="str">
        <f>""</f>
        <v/>
      </c>
      <c r="X583" s="258" t="str">
        <f t="shared" si="37"/>
        <v/>
      </c>
      <c r="Y583" s="258" t="str">
        <f t="shared" si="38"/>
        <v/>
      </c>
      <c r="Z583" s="193" t="str">
        <f>IF(A583="","",IF(COUNTIF('Observaciones-SMP'!$A$2:$A$1001,A583)&gt;1,1,0))</f>
        <v/>
      </c>
      <c r="AA583" s="193" t="str">
        <f t="shared" si="39"/>
        <v/>
      </c>
    </row>
    <row r="584" spans="1:27" ht="13.5" customHeight="1" x14ac:dyDescent="0.3">
      <c r="A584" s="193" t="str">
        <f>IF('Observaciones-SMP'!A584="","",'Observaciones-SMP'!A584)</f>
        <v/>
      </c>
      <c r="B584" s="257" t="str">
        <f>IF('Observaciones-SMP'!B584="","",'Observaciones-SMP'!B584)</f>
        <v/>
      </c>
      <c r="C584" s="193" t="str">
        <f>IF('Observaciones-SMP'!C584="","",'Observaciones-SMP'!C584)</f>
        <v/>
      </c>
      <c r="D584" s="193" t="str">
        <f>IF('Observaciones-SMP'!D584="","",'Observaciones-SMP'!D584)</f>
        <v/>
      </c>
      <c r="E584" s="193" t="str">
        <f>IF('Observaciones-SMP'!E584="","",'Observaciones-SMP'!E584)</f>
        <v/>
      </c>
      <c r="F584" s="193" t="str">
        <f>IF('Observaciones-SMP'!F584="","",'Observaciones-SMP'!F584)</f>
        <v/>
      </c>
      <c r="G584" s="193" t="str">
        <f>IF('Observaciones-SMP'!G584="","",'Observaciones-SMP'!G584)</f>
        <v/>
      </c>
      <c r="H584" s="193" t="str">
        <f>IF('Observaciones-SMP'!H584="","",'Observaciones-SMP'!H584)</f>
        <v/>
      </c>
      <c r="I584" s="193" t="str">
        <f>IF('Observaciones-SMP'!I584="","",'Observaciones-SMP'!I584)</f>
        <v/>
      </c>
      <c r="J584" s="193" t="str">
        <f>IF('Observaciones-SMP'!J584="","",'Observaciones-SMP'!J584)</f>
        <v/>
      </c>
      <c r="K584" s="193" t="str">
        <f>IF('Observaciones-SMP'!K584="","",'Observaciones-SMP'!K584)</f>
        <v/>
      </c>
      <c r="L584" s="193" t="str">
        <f>IF('Observaciones-SMP'!L584="","",'Observaciones-SMP'!L584)</f>
        <v/>
      </c>
      <c r="M584" s="193" t="str">
        <f>IF('Observaciones-SMP'!M584="","",'Observaciones-SMP'!M584)</f>
        <v/>
      </c>
      <c r="N584" s="193" t="str">
        <f>IF('Observaciones-SMP'!N584="","",'Observaciones-SMP'!N584)</f>
        <v/>
      </c>
      <c r="O584" s="193" t="str">
        <f>IF('Observaciones-SMP'!O584="","",'Observaciones-SMP'!O584)</f>
        <v/>
      </c>
      <c r="P584" s="193" t="str">
        <f>IF('Observaciones-SMP'!P584="","",'Observaciones-SMP'!P584)</f>
        <v/>
      </c>
      <c r="Q584" s="257" t="str">
        <f>IF('Observaciones-SMP'!S584="","",'Observaciones-SMP'!S584)</f>
        <v/>
      </c>
      <c r="R584" s="193" t="str">
        <f>IF('Observaciones-SMP'!T584="","",'Observaciones-SMP'!T584)</f>
        <v/>
      </c>
      <c r="S584" s="193" t="str">
        <f>""</f>
        <v/>
      </c>
      <c r="T584" s="193" t="str">
        <f>""</f>
        <v/>
      </c>
      <c r="U584" s="193" t="str">
        <f t="shared" si="36"/>
        <v/>
      </c>
      <c r="V584" s="193" t="str">
        <f>""</f>
        <v/>
      </c>
      <c r="W584" s="193" t="str">
        <f>""</f>
        <v/>
      </c>
      <c r="X584" s="258" t="str">
        <f t="shared" si="37"/>
        <v/>
      </c>
      <c r="Y584" s="258" t="str">
        <f t="shared" si="38"/>
        <v/>
      </c>
      <c r="Z584" s="193" t="str">
        <f>IF(A584="","",IF(COUNTIF('Observaciones-SMP'!$A$2:$A$1001,A584)&gt;1,1,0))</f>
        <v/>
      </c>
      <c r="AA584" s="193" t="str">
        <f t="shared" si="39"/>
        <v/>
      </c>
    </row>
    <row r="585" spans="1:27" ht="13.5" customHeight="1" x14ac:dyDescent="0.3">
      <c r="A585" s="193" t="str">
        <f>IF('Observaciones-SMP'!A585="","",'Observaciones-SMP'!A585)</f>
        <v/>
      </c>
      <c r="B585" s="257" t="str">
        <f>IF('Observaciones-SMP'!B585="","",'Observaciones-SMP'!B585)</f>
        <v/>
      </c>
      <c r="C585" s="193" t="str">
        <f>IF('Observaciones-SMP'!C585="","",'Observaciones-SMP'!C585)</f>
        <v/>
      </c>
      <c r="D585" s="193" t="str">
        <f>IF('Observaciones-SMP'!D585="","",'Observaciones-SMP'!D585)</f>
        <v/>
      </c>
      <c r="E585" s="193" t="str">
        <f>IF('Observaciones-SMP'!E585="","",'Observaciones-SMP'!E585)</f>
        <v/>
      </c>
      <c r="F585" s="193" t="str">
        <f>IF('Observaciones-SMP'!F585="","",'Observaciones-SMP'!F585)</f>
        <v/>
      </c>
      <c r="G585" s="193" t="str">
        <f>IF('Observaciones-SMP'!G585="","",'Observaciones-SMP'!G585)</f>
        <v/>
      </c>
      <c r="H585" s="193" t="str">
        <f>IF('Observaciones-SMP'!H585="","",'Observaciones-SMP'!H585)</f>
        <v/>
      </c>
      <c r="I585" s="193" t="str">
        <f>IF('Observaciones-SMP'!I585="","",'Observaciones-SMP'!I585)</f>
        <v/>
      </c>
      <c r="J585" s="193" t="str">
        <f>IF('Observaciones-SMP'!J585="","",'Observaciones-SMP'!J585)</f>
        <v/>
      </c>
      <c r="K585" s="193" t="str">
        <f>IF('Observaciones-SMP'!K585="","",'Observaciones-SMP'!K585)</f>
        <v/>
      </c>
      <c r="L585" s="193" t="str">
        <f>IF('Observaciones-SMP'!L585="","",'Observaciones-SMP'!L585)</f>
        <v/>
      </c>
      <c r="M585" s="193" t="str">
        <f>IF('Observaciones-SMP'!M585="","",'Observaciones-SMP'!M585)</f>
        <v/>
      </c>
      <c r="N585" s="193" t="str">
        <f>IF('Observaciones-SMP'!N585="","",'Observaciones-SMP'!N585)</f>
        <v/>
      </c>
      <c r="O585" s="193" t="str">
        <f>IF('Observaciones-SMP'!O585="","",'Observaciones-SMP'!O585)</f>
        <v/>
      </c>
      <c r="P585" s="193" t="str">
        <f>IF('Observaciones-SMP'!P585="","",'Observaciones-SMP'!P585)</f>
        <v/>
      </c>
      <c r="Q585" s="257" t="str">
        <f>IF('Observaciones-SMP'!S585="","",'Observaciones-SMP'!S585)</f>
        <v/>
      </c>
      <c r="R585" s="193" t="str">
        <f>IF('Observaciones-SMP'!T585="","",'Observaciones-SMP'!T585)</f>
        <v/>
      </c>
      <c r="S585" s="193" t="str">
        <f>""</f>
        <v/>
      </c>
      <c r="T585" s="193" t="str">
        <f>""</f>
        <v/>
      </c>
      <c r="U585" s="193" t="str">
        <f t="shared" si="36"/>
        <v/>
      </c>
      <c r="V585" s="193" t="str">
        <f>""</f>
        <v/>
      </c>
      <c r="W585" s="193" t="str">
        <f>""</f>
        <v/>
      </c>
      <c r="X585" s="258" t="str">
        <f t="shared" si="37"/>
        <v/>
      </c>
      <c r="Y585" s="258" t="str">
        <f t="shared" si="38"/>
        <v/>
      </c>
      <c r="Z585" s="193" t="str">
        <f>IF(A585="","",IF(COUNTIF('Observaciones-SMP'!$A$2:$A$1001,A585)&gt;1,1,0))</f>
        <v/>
      </c>
      <c r="AA585" s="193" t="str">
        <f t="shared" si="39"/>
        <v/>
      </c>
    </row>
    <row r="586" spans="1:27" ht="13.5" customHeight="1" x14ac:dyDescent="0.3">
      <c r="A586" s="193" t="str">
        <f>IF('Observaciones-SMP'!A586="","",'Observaciones-SMP'!A586)</f>
        <v/>
      </c>
      <c r="B586" s="257" t="str">
        <f>IF('Observaciones-SMP'!B586="","",'Observaciones-SMP'!B586)</f>
        <v/>
      </c>
      <c r="C586" s="193" t="str">
        <f>IF('Observaciones-SMP'!C586="","",'Observaciones-SMP'!C586)</f>
        <v/>
      </c>
      <c r="D586" s="193" t="str">
        <f>IF('Observaciones-SMP'!D586="","",'Observaciones-SMP'!D586)</f>
        <v/>
      </c>
      <c r="E586" s="193" t="str">
        <f>IF('Observaciones-SMP'!E586="","",'Observaciones-SMP'!E586)</f>
        <v/>
      </c>
      <c r="F586" s="193" t="str">
        <f>IF('Observaciones-SMP'!F586="","",'Observaciones-SMP'!F586)</f>
        <v/>
      </c>
      <c r="G586" s="193" t="str">
        <f>IF('Observaciones-SMP'!G586="","",'Observaciones-SMP'!G586)</f>
        <v/>
      </c>
      <c r="H586" s="193" t="str">
        <f>IF('Observaciones-SMP'!H586="","",'Observaciones-SMP'!H586)</f>
        <v/>
      </c>
      <c r="I586" s="193" t="str">
        <f>IF('Observaciones-SMP'!I586="","",'Observaciones-SMP'!I586)</f>
        <v/>
      </c>
      <c r="J586" s="193" t="str">
        <f>IF('Observaciones-SMP'!J586="","",'Observaciones-SMP'!J586)</f>
        <v/>
      </c>
      <c r="K586" s="193" t="str">
        <f>IF('Observaciones-SMP'!K586="","",'Observaciones-SMP'!K586)</f>
        <v/>
      </c>
      <c r="L586" s="193" t="str">
        <f>IF('Observaciones-SMP'!L586="","",'Observaciones-SMP'!L586)</f>
        <v/>
      </c>
      <c r="M586" s="193" t="str">
        <f>IF('Observaciones-SMP'!M586="","",'Observaciones-SMP'!M586)</f>
        <v/>
      </c>
      <c r="N586" s="193" t="str">
        <f>IF('Observaciones-SMP'!N586="","",'Observaciones-SMP'!N586)</f>
        <v/>
      </c>
      <c r="O586" s="193" t="str">
        <f>IF('Observaciones-SMP'!O586="","",'Observaciones-SMP'!O586)</f>
        <v/>
      </c>
      <c r="P586" s="193" t="str">
        <f>IF('Observaciones-SMP'!P586="","",'Observaciones-SMP'!P586)</f>
        <v/>
      </c>
      <c r="Q586" s="257" t="str">
        <f>IF('Observaciones-SMP'!S586="","",'Observaciones-SMP'!S586)</f>
        <v/>
      </c>
      <c r="R586" s="193" t="str">
        <f>IF('Observaciones-SMP'!T586="","",'Observaciones-SMP'!T586)</f>
        <v/>
      </c>
      <c r="S586" s="193" t="str">
        <f>""</f>
        <v/>
      </c>
      <c r="T586" s="193" t="str">
        <f>""</f>
        <v/>
      </c>
      <c r="U586" s="193" t="str">
        <f t="shared" si="36"/>
        <v/>
      </c>
      <c r="V586" s="193" t="str">
        <f>""</f>
        <v/>
      </c>
      <c r="W586" s="193" t="str">
        <f>""</f>
        <v/>
      </c>
      <c r="X586" s="258" t="str">
        <f t="shared" si="37"/>
        <v/>
      </c>
      <c r="Y586" s="258" t="str">
        <f t="shared" si="38"/>
        <v/>
      </c>
      <c r="Z586" s="193" t="str">
        <f>IF(A586="","",IF(COUNTIF('Observaciones-SMP'!$A$2:$A$1001,A586)&gt;1,1,0))</f>
        <v/>
      </c>
      <c r="AA586" s="193" t="str">
        <f t="shared" si="39"/>
        <v/>
      </c>
    </row>
    <row r="587" spans="1:27" ht="13.5" customHeight="1" x14ac:dyDescent="0.3">
      <c r="A587" s="193" t="str">
        <f>IF('Observaciones-SMP'!A587="","",'Observaciones-SMP'!A587)</f>
        <v/>
      </c>
      <c r="B587" s="257" t="str">
        <f>IF('Observaciones-SMP'!B587="","",'Observaciones-SMP'!B587)</f>
        <v/>
      </c>
      <c r="C587" s="193" t="str">
        <f>IF('Observaciones-SMP'!C587="","",'Observaciones-SMP'!C587)</f>
        <v/>
      </c>
      <c r="D587" s="193" t="str">
        <f>IF('Observaciones-SMP'!D587="","",'Observaciones-SMP'!D587)</f>
        <v/>
      </c>
      <c r="E587" s="193" t="str">
        <f>IF('Observaciones-SMP'!E587="","",'Observaciones-SMP'!E587)</f>
        <v/>
      </c>
      <c r="F587" s="193" t="str">
        <f>IF('Observaciones-SMP'!F587="","",'Observaciones-SMP'!F587)</f>
        <v/>
      </c>
      <c r="G587" s="193" t="str">
        <f>IF('Observaciones-SMP'!G587="","",'Observaciones-SMP'!G587)</f>
        <v/>
      </c>
      <c r="H587" s="193" t="str">
        <f>IF('Observaciones-SMP'!H587="","",'Observaciones-SMP'!H587)</f>
        <v/>
      </c>
      <c r="I587" s="193" t="str">
        <f>IF('Observaciones-SMP'!I587="","",'Observaciones-SMP'!I587)</f>
        <v/>
      </c>
      <c r="J587" s="193" t="str">
        <f>IF('Observaciones-SMP'!J587="","",'Observaciones-SMP'!J587)</f>
        <v/>
      </c>
      <c r="K587" s="193" t="str">
        <f>IF('Observaciones-SMP'!K587="","",'Observaciones-SMP'!K587)</f>
        <v/>
      </c>
      <c r="L587" s="193" t="str">
        <f>IF('Observaciones-SMP'!L587="","",'Observaciones-SMP'!L587)</f>
        <v/>
      </c>
      <c r="M587" s="193" t="str">
        <f>IF('Observaciones-SMP'!M587="","",'Observaciones-SMP'!M587)</f>
        <v/>
      </c>
      <c r="N587" s="193" t="str">
        <f>IF('Observaciones-SMP'!N587="","",'Observaciones-SMP'!N587)</f>
        <v/>
      </c>
      <c r="O587" s="193" t="str">
        <f>IF('Observaciones-SMP'!O587="","",'Observaciones-SMP'!O587)</f>
        <v/>
      </c>
      <c r="P587" s="193" t="str">
        <f>IF('Observaciones-SMP'!P587="","",'Observaciones-SMP'!P587)</f>
        <v/>
      </c>
      <c r="Q587" s="257" t="str">
        <f>IF('Observaciones-SMP'!S587="","",'Observaciones-SMP'!S587)</f>
        <v/>
      </c>
      <c r="R587" s="193" t="str">
        <f>IF('Observaciones-SMP'!T587="","",'Observaciones-SMP'!T587)</f>
        <v/>
      </c>
      <c r="S587" s="193" t="str">
        <f>""</f>
        <v/>
      </c>
      <c r="T587" s="193" t="str">
        <f>""</f>
        <v/>
      </c>
      <c r="U587" s="193" t="str">
        <f t="shared" si="36"/>
        <v/>
      </c>
      <c r="V587" s="193" t="str">
        <f>""</f>
        <v/>
      </c>
      <c r="W587" s="193" t="str">
        <f>""</f>
        <v/>
      </c>
      <c r="X587" s="258" t="str">
        <f t="shared" si="37"/>
        <v/>
      </c>
      <c r="Y587" s="258" t="str">
        <f t="shared" si="38"/>
        <v/>
      </c>
      <c r="Z587" s="193" t="str">
        <f>IF(A587="","",IF(COUNTIF('Observaciones-SMP'!$A$2:$A$1001,A587)&gt;1,1,0))</f>
        <v/>
      </c>
      <c r="AA587" s="193" t="str">
        <f t="shared" si="39"/>
        <v/>
      </c>
    </row>
    <row r="588" spans="1:27" ht="13.5" customHeight="1" x14ac:dyDescent="0.3">
      <c r="A588" s="193" t="str">
        <f>IF('Observaciones-SMP'!A588="","",'Observaciones-SMP'!A588)</f>
        <v/>
      </c>
      <c r="B588" s="257" t="str">
        <f>IF('Observaciones-SMP'!B588="","",'Observaciones-SMP'!B588)</f>
        <v/>
      </c>
      <c r="C588" s="193" t="str">
        <f>IF('Observaciones-SMP'!C588="","",'Observaciones-SMP'!C588)</f>
        <v/>
      </c>
      <c r="D588" s="193" t="str">
        <f>IF('Observaciones-SMP'!D588="","",'Observaciones-SMP'!D588)</f>
        <v/>
      </c>
      <c r="E588" s="193" t="str">
        <f>IF('Observaciones-SMP'!E588="","",'Observaciones-SMP'!E588)</f>
        <v/>
      </c>
      <c r="F588" s="193" t="str">
        <f>IF('Observaciones-SMP'!F588="","",'Observaciones-SMP'!F588)</f>
        <v/>
      </c>
      <c r="G588" s="193" t="str">
        <f>IF('Observaciones-SMP'!G588="","",'Observaciones-SMP'!G588)</f>
        <v/>
      </c>
      <c r="H588" s="193" t="str">
        <f>IF('Observaciones-SMP'!H588="","",'Observaciones-SMP'!H588)</f>
        <v/>
      </c>
      <c r="I588" s="193" t="str">
        <f>IF('Observaciones-SMP'!I588="","",'Observaciones-SMP'!I588)</f>
        <v/>
      </c>
      <c r="J588" s="193" t="str">
        <f>IF('Observaciones-SMP'!J588="","",'Observaciones-SMP'!J588)</f>
        <v/>
      </c>
      <c r="K588" s="193" t="str">
        <f>IF('Observaciones-SMP'!K588="","",'Observaciones-SMP'!K588)</f>
        <v/>
      </c>
      <c r="L588" s="193" t="str">
        <f>IF('Observaciones-SMP'!L588="","",'Observaciones-SMP'!L588)</f>
        <v/>
      </c>
      <c r="M588" s="193" t="str">
        <f>IF('Observaciones-SMP'!M588="","",'Observaciones-SMP'!M588)</f>
        <v/>
      </c>
      <c r="N588" s="193" t="str">
        <f>IF('Observaciones-SMP'!N588="","",'Observaciones-SMP'!N588)</f>
        <v/>
      </c>
      <c r="O588" s="193" t="str">
        <f>IF('Observaciones-SMP'!O588="","",'Observaciones-SMP'!O588)</f>
        <v/>
      </c>
      <c r="P588" s="193" t="str">
        <f>IF('Observaciones-SMP'!P588="","",'Observaciones-SMP'!P588)</f>
        <v/>
      </c>
      <c r="Q588" s="257" t="str">
        <f>IF('Observaciones-SMP'!S588="","",'Observaciones-SMP'!S588)</f>
        <v/>
      </c>
      <c r="R588" s="193" t="str">
        <f>IF('Observaciones-SMP'!T588="","",'Observaciones-SMP'!T588)</f>
        <v/>
      </c>
      <c r="S588" s="193" t="str">
        <f>""</f>
        <v/>
      </c>
      <c r="T588" s="193" t="str">
        <f>""</f>
        <v/>
      </c>
      <c r="U588" s="193" t="str">
        <f t="shared" si="36"/>
        <v/>
      </c>
      <c r="V588" s="193" t="str">
        <f>""</f>
        <v/>
      </c>
      <c r="W588" s="193" t="str">
        <f>""</f>
        <v/>
      </c>
      <c r="X588" s="258" t="str">
        <f t="shared" si="37"/>
        <v/>
      </c>
      <c r="Y588" s="258" t="str">
        <f t="shared" si="38"/>
        <v/>
      </c>
      <c r="Z588" s="193" t="str">
        <f>IF(A588="","",IF(COUNTIF('Observaciones-SMP'!$A$2:$A$1001,A588)&gt;1,1,0))</f>
        <v/>
      </c>
      <c r="AA588" s="193" t="str">
        <f t="shared" si="39"/>
        <v/>
      </c>
    </row>
    <row r="589" spans="1:27" ht="13.5" customHeight="1" x14ac:dyDescent="0.3">
      <c r="A589" s="193" t="str">
        <f>IF('Observaciones-SMP'!A589="","",'Observaciones-SMP'!A589)</f>
        <v/>
      </c>
      <c r="B589" s="257" t="str">
        <f>IF('Observaciones-SMP'!B589="","",'Observaciones-SMP'!B589)</f>
        <v/>
      </c>
      <c r="C589" s="193" t="str">
        <f>IF('Observaciones-SMP'!C589="","",'Observaciones-SMP'!C589)</f>
        <v/>
      </c>
      <c r="D589" s="193" t="str">
        <f>IF('Observaciones-SMP'!D589="","",'Observaciones-SMP'!D589)</f>
        <v/>
      </c>
      <c r="E589" s="193" t="str">
        <f>IF('Observaciones-SMP'!E589="","",'Observaciones-SMP'!E589)</f>
        <v/>
      </c>
      <c r="F589" s="193" t="str">
        <f>IF('Observaciones-SMP'!F589="","",'Observaciones-SMP'!F589)</f>
        <v/>
      </c>
      <c r="G589" s="193" t="str">
        <f>IF('Observaciones-SMP'!G589="","",'Observaciones-SMP'!G589)</f>
        <v/>
      </c>
      <c r="H589" s="193" t="str">
        <f>IF('Observaciones-SMP'!H589="","",'Observaciones-SMP'!H589)</f>
        <v/>
      </c>
      <c r="I589" s="193" t="str">
        <f>IF('Observaciones-SMP'!I589="","",'Observaciones-SMP'!I589)</f>
        <v/>
      </c>
      <c r="J589" s="193" t="str">
        <f>IF('Observaciones-SMP'!J589="","",'Observaciones-SMP'!J589)</f>
        <v/>
      </c>
      <c r="K589" s="193" t="str">
        <f>IF('Observaciones-SMP'!K589="","",'Observaciones-SMP'!K589)</f>
        <v/>
      </c>
      <c r="L589" s="193" t="str">
        <f>IF('Observaciones-SMP'!L589="","",'Observaciones-SMP'!L589)</f>
        <v/>
      </c>
      <c r="M589" s="193" t="str">
        <f>IF('Observaciones-SMP'!M589="","",'Observaciones-SMP'!M589)</f>
        <v/>
      </c>
      <c r="N589" s="193" t="str">
        <f>IF('Observaciones-SMP'!N589="","",'Observaciones-SMP'!N589)</f>
        <v/>
      </c>
      <c r="O589" s="193" t="str">
        <f>IF('Observaciones-SMP'!O589="","",'Observaciones-SMP'!O589)</f>
        <v/>
      </c>
      <c r="P589" s="193" t="str">
        <f>IF('Observaciones-SMP'!P589="","",'Observaciones-SMP'!P589)</f>
        <v/>
      </c>
      <c r="Q589" s="257" t="str">
        <f>IF('Observaciones-SMP'!S589="","",'Observaciones-SMP'!S589)</f>
        <v/>
      </c>
      <c r="R589" s="193" t="str">
        <f>IF('Observaciones-SMP'!T589="","",'Observaciones-SMP'!T589)</f>
        <v/>
      </c>
      <c r="S589" s="193" t="str">
        <f>""</f>
        <v/>
      </c>
      <c r="T589" s="193" t="str">
        <f>""</f>
        <v/>
      </c>
      <c r="U589" s="193" t="str">
        <f t="shared" si="36"/>
        <v/>
      </c>
      <c r="V589" s="193" t="str">
        <f>""</f>
        <v/>
      </c>
      <c r="W589" s="193" t="str">
        <f>""</f>
        <v/>
      </c>
      <c r="X589" s="258" t="str">
        <f t="shared" si="37"/>
        <v/>
      </c>
      <c r="Y589" s="258" t="str">
        <f t="shared" si="38"/>
        <v/>
      </c>
      <c r="Z589" s="193" t="str">
        <f>IF(A589="","",IF(COUNTIF('Observaciones-SMP'!$A$2:$A$1001,A589)&gt;1,1,0))</f>
        <v/>
      </c>
      <c r="AA589" s="193" t="str">
        <f t="shared" si="39"/>
        <v/>
      </c>
    </row>
    <row r="590" spans="1:27" ht="13.5" customHeight="1" x14ac:dyDescent="0.3">
      <c r="A590" s="193" t="str">
        <f>IF('Observaciones-SMP'!A590="","",'Observaciones-SMP'!A590)</f>
        <v/>
      </c>
      <c r="B590" s="257" t="str">
        <f>IF('Observaciones-SMP'!B590="","",'Observaciones-SMP'!B590)</f>
        <v/>
      </c>
      <c r="C590" s="193" t="str">
        <f>IF('Observaciones-SMP'!C590="","",'Observaciones-SMP'!C590)</f>
        <v/>
      </c>
      <c r="D590" s="193" t="str">
        <f>IF('Observaciones-SMP'!D590="","",'Observaciones-SMP'!D590)</f>
        <v/>
      </c>
      <c r="E590" s="193" t="str">
        <f>IF('Observaciones-SMP'!E590="","",'Observaciones-SMP'!E590)</f>
        <v/>
      </c>
      <c r="F590" s="193" t="str">
        <f>IF('Observaciones-SMP'!F590="","",'Observaciones-SMP'!F590)</f>
        <v/>
      </c>
      <c r="G590" s="193" t="str">
        <f>IF('Observaciones-SMP'!G590="","",'Observaciones-SMP'!G590)</f>
        <v/>
      </c>
      <c r="H590" s="193" t="str">
        <f>IF('Observaciones-SMP'!H590="","",'Observaciones-SMP'!H590)</f>
        <v/>
      </c>
      <c r="I590" s="193" t="str">
        <f>IF('Observaciones-SMP'!I590="","",'Observaciones-SMP'!I590)</f>
        <v/>
      </c>
      <c r="J590" s="193" t="str">
        <f>IF('Observaciones-SMP'!J590="","",'Observaciones-SMP'!J590)</f>
        <v/>
      </c>
      <c r="K590" s="193" t="str">
        <f>IF('Observaciones-SMP'!K590="","",'Observaciones-SMP'!K590)</f>
        <v/>
      </c>
      <c r="L590" s="193" t="str">
        <f>IF('Observaciones-SMP'!L590="","",'Observaciones-SMP'!L590)</f>
        <v/>
      </c>
      <c r="M590" s="193" t="str">
        <f>IF('Observaciones-SMP'!M590="","",'Observaciones-SMP'!M590)</f>
        <v/>
      </c>
      <c r="N590" s="193" t="str">
        <f>IF('Observaciones-SMP'!N590="","",'Observaciones-SMP'!N590)</f>
        <v/>
      </c>
      <c r="O590" s="193" t="str">
        <f>IF('Observaciones-SMP'!O590="","",'Observaciones-SMP'!O590)</f>
        <v/>
      </c>
      <c r="P590" s="193" t="str">
        <f>IF('Observaciones-SMP'!P590="","",'Observaciones-SMP'!P590)</f>
        <v/>
      </c>
      <c r="Q590" s="257" t="str">
        <f>IF('Observaciones-SMP'!S590="","",'Observaciones-SMP'!S590)</f>
        <v/>
      </c>
      <c r="R590" s="193" t="str">
        <f>IF('Observaciones-SMP'!T590="","",'Observaciones-SMP'!T590)</f>
        <v/>
      </c>
      <c r="S590" s="193" t="str">
        <f>""</f>
        <v/>
      </c>
      <c r="T590" s="193" t="str">
        <f>""</f>
        <v/>
      </c>
      <c r="U590" s="193" t="str">
        <f t="shared" si="36"/>
        <v/>
      </c>
      <c r="V590" s="193" t="str">
        <f>""</f>
        <v/>
      </c>
      <c r="W590" s="193" t="str">
        <f>""</f>
        <v/>
      </c>
      <c r="X590" s="258" t="str">
        <f t="shared" si="37"/>
        <v/>
      </c>
      <c r="Y590" s="258" t="str">
        <f t="shared" si="38"/>
        <v/>
      </c>
      <c r="Z590" s="193" t="str">
        <f>IF(A590="","",IF(COUNTIF('Observaciones-SMP'!$A$2:$A$1001,A590)&gt;1,1,0))</f>
        <v/>
      </c>
      <c r="AA590" s="193" t="str">
        <f t="shared" si="39"/>
        <v/>
      </c>
    </row>
    <row r="591" spans="1:27" ht="13.5" customHeight="1" x14ac:dyDescent="0.3">
      <c r="A591" s="193" t="str">
        <f>IF('Observaciones-SMP'!A591="","",'Observaciones-SMP'!A591)</f>
        <v/>
      </c>
      <c r="B591" s="257" t="str">
        <f>IF('Observaciones-SMP'!B591="","",'Observaciones-SMP'!B591)</f>
        <v/>
      </c>
      <c r="C591" s="193" t="str">
        <f>IF('Observaciones-SMP'!C591="","",'Observaciones-SMP'!C591)</f>
        <v/>
      </c>
      <c r="D591" s="193" t="str">
        <f>IF('Observaciones-SMP'!D591="","",'Observaciones-SMP'!D591)</f>
        <v/>
      </c>
      <c r="E591" s="193" t="str">
        <f>IF('Observaciones-SMP'!E591="","",'Observaciones-SMP'!E591)</f>
        <v/>
      </c>
      <c r="F591" s="193" t="str">
        <f>IF('Observaciones-SMP'!F591="","",'Observaciones-SMP'!F591)</f>
        <v/>
      </c>
      <c r="G591" s="193" t="str">
        <f>IF('Observaciones-SMP'!G591="","",'Observaciones-SMP'!G591)</f>
        <v/>
      </c>
      <c r="H591" s="193" t="str">
        <f>IF('Observaciones-SMP'!H591="","",'Observaciones-SMP'!H591)</f>
        <v/>
      </c>
      <c r="I591" s="193" t="str">
        <f>IF('Observaciones-SMP'!I591="","",'Observaciones-SMP'!I591)</f>
        <v/>
      </c>
      <c r="J591" s="193" t="str">
        <f>IF('Observaciones-SMP'!J591="","",'Observaciones-SMP'!J591)</f>
        <v/>
      </c>
      <c r="K591" s="193" t="str">
        <f>IF('Observaciones-SMP'!K591="","",'Observaciones-SMP'!K591)</f>
        <v/>
      </c>
      <c r="L591" s="193" t="str">
        <f>IF('Observaciones-SMP'!L591="","",'Observaciones-SMP'!L591)</f>
        <v/>
      </c>
      <c r="M591" s="193" t="str">
        <f>IF('Observaciones-SMP'!M591="","",'Observaciones-SMP'!M591)</f>
        <v/>
      </c>
      <c r="N591" s="193" t="str">
        <f>IF('Observaciones-SMP'!N591="","",'Observaciones-SMP'!N591)</f>
        <v/>
      </c>
      <c r="O591" s="193" t="str">
        <f>IF('Observaciones-SMP'!O591="","",'Observaciones-SMP'!O591)</f>
        <v/>
      </c>
      <c r="P591" s="193" t="str">
        <f>IF('Observaciones-SMP'!P591="","",'Observaciones-SMP'!P591)</f>
        <v/>
      </c>
      <c r="Q591" s="257" t="str">
        <f>IF('Observaciones-SMP'!S591="","",'Observaciones-SMP'!S591)</f>
        <v/>
      </c>
      <c r="R591" s="193" t="str">
        <f>IF('Observaciones-SMP'!T591="","",'Observaciones-SMP'!T591)</f>
        <v/>
      </c>
      <c r="S591" s="193" t="str">
        <f>""</f>
        <v/>
      </c>
      <c r="T591" s="193" t="str">
        <f>""</f>
        <v/>
      </c>
      <c r="U591" s="193" t="str">
        <f t="shared" si="36"/>
        <v/>
      </c>
      <c r="V591" s="193" t="str">
        <f>""</f>
        <v/>
      </c>
      <c r="W591" s="193" t="str">
        <f>""</f>
        <v/>
      </c>
      <c r="X591" s="258" t="str">
        <f t="shared" si="37"/>
        <v/>
      </c>
      <c r="Y591" s="258" t="str">
        <f t="shared" si="38"/>
        <v/>
      </c>
      <c r="Z591" s="193" t="str">
        <f>IF(A591="","",IF(COUNTIF('Observaciones-SMP'!$A$2:$A$1001,A591)&gt;1,1,0))</f>
        <v/>
      </c>
      <c r="AA591" s="193" t="str">
        <f t="shared" si="39"/>
        <v/>
      </c>
    </row>
    <row r="592" spans="1:27" ht="13.5" customHeight="1" x14ac:dyDescent="0.3">
      <c r="A592" s="193" t="str">
        <f>IF('Observaciones-SMP'!A592="","",'Observaciones-SMP'!A592)</f>
        <v/>
      </c>
      <c r="B592" s="257" t="str">
        <f>IF('Observaciones-SMP'!B592="","",'Observaciones-SMP'!B592)</f>
        <v/>
      </c>
      <c r="C592" s="193" t="str">
        <f>IF('Observaciones-SMP'!C592="","",'Observaciones-SMP'!C592)</f>
        <v/>
      </c>
      <c r="D592" s="193" t="str">
        <f>IF('Observaciones-SMP'!D592="","",'Observaciones-SMP'!D592)</f>
        <v/>
      </c>
      <c r="E592" s="193" t="str">
        <f>IF('Observaciones-SMP'!E592="","",'Observaciones-SMP'!E592)</f>
        <v/>
      </c>
      <c r="F592" s="193" t="str">
        <f>IF('Observaciones-SMP'!F592="","",'Observaciones-SMP'!F592)</f>
        <v/>
      </c>
      <c r="G592" s="193" t="str">
        <f>IF('Observaciones-SMP'!G592="","",'Observaciones-SMP'!G592)</f>
        <v/>
      </c>
      <c r="H592" s="193" t="str">
        <f>IF('Observaciones-SMP'!H592="","",'Observaciones-SMP'!H592)</f>
        <v/>
      </c>
      <c r="I592" s="193" t="str">
        <f>IF('Observaciones-SMP'!I592="","",'Observaciones-SMP'!I592)</f>
        <v/>
      </c>
      <c r="J592" s="193" t="str">
        <f>IF('Observaciones-SMP'!J592="","",'Observaciones-SMP'!J592)</f>
        <v/>
      </c>
      <c r="K592" s="193" t="str">
        <f>IF('Observaciones-SMP'!K592="","",'Observaciones-SMP'!K592)</f>
        <v/>
      </c>
      <c r="L592" s="193" t="str">
        <f>IF('Observaciones-SMP'!L592="","",'Observaciones-SMP'!L592)</f>
        <v/>
      </c>
      <c r="M592" s="193" t="str">
        <f>IF('Observaciones-SMP'!M592="","",'Observaciones-SMP'!M592)</f>
        <v/>
      </c>
      <c r="N592" s="193" t="str">
        <f>IF('Observaciones-SMP'!N592="","",'Observaciones-SMP'!N592)</f>
        <v/>
      </c>
      <c r="O592" s="193" t="str">
        <f>IF('Observaciones-SMP'!O592="","",'Observaciones-SMP'!O592)</f>
        <v/>
      </c>
      <c r="P592" s="193" t="str">
        <f>IF('Observaciones-SMP'!P592="","",'Observaciones-SMP'!P592)</f>
        <v/>
      </c>
      <c r="Q592" s="257" t="str">
        <f>IF('Observaciones-SMP'!S592="","",'Observaciones-SMP'!S592)</f>
        <v/>
      </c>
      <c r="R592" s="193" t="str">
        <f>IF('Observaciones-SMP'!T592="","",'Observaciones-SMP'!T592)</f>
        <v/>
      </c>
      <c r="S592" s="193" t="str">
        <f>""</f>
        <v/>
      </c>
      <c r="T592" s="193" t="str">
        <f>""</f>
        <v/>
      </c>
      <c r="U592" s="193" t="str">
        <f t="shared" si="36"/>
        <v/>
      </c>
      <c r="V592" s="193" t="str">
        <f>""</f>
        <v/>
      </c>
      <c r="W592" s="193" t="str">
        <f>""</f>
        <v/>
      </c>
      <c r="X592" s="258" t="str">
        <f t="shared" si="37"/>
        <v/>
      </c>
      <c r="Y592" s="258" t="str">
        <f t="shared" si="38"/>
        <v/>
      </c>
      <c r="Z592" s="193" t="str">
        <f>IF(A592="","",IF(COUNTIF('Observaciones-SMP'!$A$2:$A$1001,A592)&gt;1,1,0))</f>
        <v/>
      </c>
      <c r="AA592" s="193" t="str">
        <f t="shared" si="39"/>
        <v/>
      </c>
    </row>
    <row r="593" spans="1:27" ht="13.5" customHeight="1" x14ac:dyDescent="0.3">
      <c r="A593" s="193" t="str">
        <f>IF('Observaciones-SMP'!A593="","",'Observaciones-SMP'!A593)</f>
        <v/>
      </c>
      <c r="B593" s="257" t="str">
        <f>IF('Observaciones-SMP'!B593="","",'Observaciones-SMP'!B593)</f>
        <v/>
      </c>
      <c r="C593" s="193" t="str">
        <f>IF('Observaciones-SMP'!C593="","",'Observaciones-SMP'!C593)</f>
        <v/>
      </c>
      <c r="D593" s="193" t="str">
        <f>IF('Observaciones-SMP'!D593="","",'Observaciones-SMP'!D593)</f>
        <v/>
      </c>
      <c r="E593" s="193" t="str">
        <f>IF('Observaciones-SMP'!E593="","",'Observaciones-SMP'!E593)</f>
        <v/>
      </c>
      <c r="F593" s="193" t="str">
        <f>IF('Observaciones-SMP'!F593="","",'Observaciones-SMP'!F593)</f>
        <v/>
      </c>
      <c r="G593" s="193" t="str">
        <f>IF('Observaciones-SMP'!G593="","",'Observaciones-SMP'!G593)</f>
        <v/>
      </c>
      <c r="H593" s="193" t="str">
        <f>IF('Observaciones-SMP'!H593="","",'Observaciones-SMP'!H593)</f>
        <v/>
      </c>
      <c r="I593" s="193" t="str">
        <f>IF('Observaciones-SMP'!I593="","",'Observaciones-SMP'!I593)</f>
        <v/>
      </c>
      <c r="J593" s="193" t="str">
        <f>IF('Observaciones-SMP'!J593="","",'Observaciones-SMP'!J593)</f>
        <v/>
      </c>
      <c r="K593" s="193" t="str">
        <f>IF('Observaciones-SMP'!K593="","",'Observaciones-SMP'!K593)</f>
        <v/>
      </c>
      <c r="L593" s="193" t="str">
        <f>IF('Observaciones-SMP'!L593="","",'Observaciones-SMP'!L593)</f>
        <v/>
      </c>
      <c r="M593" s="193" t="str">
        <f>IF('Observaciones-SMP'!M593="","",'Observaciones-SMP'!M593)</f>
        <v/>
      </c>
      <c r="N593" s="193" t="str">
        <f>IF('Observaciones-SMP'!N593="","",'Observaciones-SMP'!N593)</f>
        <v/>
      </c>
      <c r="O593" s="193" t="str">
        <f>IF('Observaciones-SMP'!O593="","",'Observaciones-SMP'!O593)</f>
        <v/>
      </c>
      <c r="P593" s="193" t="str">
        <f>IF('Observaciones-SMP'!P593="","",'Observaciones-SMP'!P593)</f>
        <v/>
      </c>
      <c r="Q593" s="257" t="str">
        <f>IF('Observaciones-SMP'!S593="","",'Observaciones-SMP'!S593)</f>
        <v/>
      </c>
      <c r="R593" s="193" t="str">
        <f>IF('Observaciones-SMP'!T593="","",'Observaciones-SMP'!T593)</f>
        <v/>
      </c>
      <c r="S593" s="193" t="str">
        <f>""</f>
        <v/>
      </c>
      <c r="T593" s="193" t="str">
        <f>""</f>
        <v/>
      </c>
      <c r="U593" s="193" t="str">
        <f t="shared" si="36"/>
        <v/>
      </c>
      <c r="V593" s="193" t="str">
        <f>""</f>
        <v/>
      </c>
      <c r="W593" s="193" t="str">
        <f>""</f>
        <v/>
      </c>
      <c r="X593" s="258" t="str">
        <f t="shared" si="37"/>
        <v/>
      </c>
      <c r="Y593" s="258" t="str">
        <f t="shared" si="38"/>
        <v/>
      </c>
      <c r="Z593" s="193" t="str">
        <f>IF(A593="","",IF(COUNTIF('Observaciones-SMP'!$A$2:$A$1001,A593)&gt;1,1,0))</f>
        <v/>
      </c>
      <c r="AA593" s="193" t="str">
        <f t="shared" si="39"/>
        <v/>
      </c>
    </row>
    <row r="594" spans="1:27" ht="13.5" customHeight="1" x14ac:dyDescent="0.3">
      <c r="A594" s="193" t="str">
        <f>IF('Observaciones-SMP'!A594="","",'Observaciones-SMP'!A594)</f>
        <v/>
      </c>
      <c r="B594" s="257" t="str">
        <f>IF('Observaciones-SMP'!B594="","",'Observaciones-SMP'!B594)</f>
        <v/>
      </c>
      <c r="C594" s="193" t="str">
        <f>IF('Observaciones-SMP'!C594="","",'Observaciones-SMP'!C594)</f>
        <v/>
      </c>
      <c r="D594" s="193" t="str">
        <f>IF('Observaciones-SMP'!D594="","",'Observaciones-SMP'!D594)</f>
        <v/>
      </c>
      <c r="E594" s="193" t="str">
        <f>IF('Observaciones-SMP'!E594="","",'Observaciones-SMP'!E594)</f>
        <v/>
      </c>
      <c r="F594" s="193" t="str">
        <f>IF('Observaciones-SMP'!F594="","",'Observaciones-SMP'!F594)</f>
        <v/>
      </c>
      <c r="G594" s="193" t="str">
        <f>IF('Observaciones-SMP'!G594="","",'Observaciones-SMP'!G594)</f>
        <v/>
      </c>
      <c r="H594" s="193" t="str">
        <f>IF('Observaciones-SMP'!H594="","",'Observaciones-SMP'!H594)</f>
        <v/>
      </c>
      <c r="I594" s="193" t="str">
        <f>IF('Observaciones-SMP'!I594="","",'Observaciones-SMP'!I594)</f>
        <v/>
      </c>
      <c r="J594" s="193" t="str">
        <f>IF('Observaciones-SMP'!J594="","",'Observaciones-SMP'!J594)</f>
        <v/>
      </c>
      <c r="K594" s="193" t="str">
        <f>IF('Observaciones-SMP'!K594="","",'Observaciones-SMP'!K594)</f>
        <v/>
      </c>
      <c r="L594" s="193" t="str">
        <f>IF('Observaciones-SMP'!L594="","",'Observaciones-SMP'!L594)</f>
        <v/>
      </c>
      <c r="M594" s="193" t="str">
        <f>IF('Observaciones-SMP'!M594="","",'Observaciones-SMP'!M594)</f>
        <v/>
      </c>
      <c r="N594" s="193" t="str">
        <f>IF('Observaciones-SMP'!N594="","",'Observaciones-SMP'!N594)</f>
        <v/>
      </c>
      <c r="O594" s="193" t="str">
        <f>IF('Observaciones-SMP'!O594="","",'Observaciones-SMP'!O594)</f>
        <v/>
      </c>
      <c r="P594" s="193" t="str">
        <f>IF('Observaciones-SMP'!P594="","",'Observaciones-SMP'!P594)</f>
        <v/>
      </c>
      <c r="Q594" s="257" t="str">
        <f>IF('Observaciones-SMP'!S594="","",'Observaciones-SMP'!S594)</f>
        <v/>
      </c>
      <c r="R594" s="193" t="str">
        <f>IF('Observaciones-SMP'!T594="","",'Observaciones-SMP'!T594)</f>
        <v/>
      </c>
      <c r="S594" s="193" t="str">
        <f>""</f>
        <v/>
      </c>
      <c r="T594" s="193" t="str">
        <f>""</f>
        <v/>
      </c>
      <c r="U594" s="193" t="str">
        <f t="shared" si="36"/>
        <v/>
      </c>
      <c r="V594" s="193" t="str">
        <f>""</f>
        <v/>
      </c>
      <c r="W594" s="193" t="str">
        <f>""</f>
        <v/>
      </c>
      <c r="X594" s="258" t="str">
        <f t="shared" si="37"/>
        <v/>
      </c>
      <c r="Y594" s="258" t="str">
        <f t="shared" si="38"/>
        <v/>
      </c>
      <c r="Z594" s="193" t="str">
        <f>IF(A594="","",IF(COUNTIF('Observaciones-SMP'!$A$2:$A$1001,A594)&gt;1,1,0))</f>
        <v/>
      </c>
      <c r="AA594" s="193" t="str">
        <f t="shared" si="39"/>
        <v/>
      </c>
    </row>
    <row r="595" spans="1:27" ht="13.5" customHeight="1" x14ac:dyDescent="0.3">
      <c r="A595" s="193" t="str">
        <f>IF('Observaciones-SMP'!A595="","",'Observaciones-SMP'!A595)</f>
        <v/>
      </c>
      <c r="B595" s="257" t="str">
        <f>IF('Observaciones-SMP'!B595="","",'Observaciones-SMP'!B595)</f>
        <v/>
      </c>
      <c r="C595" s="193" t="str">
        <f>IF('Observaciones-SMP'!C595="","",'Observaciones-SMP'!C595)</f>
        <v/>
      </c>
      <c r="D595" s="193" t="str">
        <f>IF('Observaciones-SMP'!D595="","",'Observaciones-SMP'!D595)</f>
        <v/>
      </c>
      <c r="E595" s="193" t="str">
        <f>IF('Observaciones-SMP'!E595="","",'Observaciones-SMP'!E595)</f>
        <v/>
      </c>
      <c r="F595" s="193" t="str">
        <f>IF('Observaciones-SMP'!F595="","",'Observaciones-SMP'!F595)</f>
        <v/>
      </c>
      <c r="G595" s="193" t="str">
        <f>IF('Observaciones-SMP'!G595="","",'Observaciones-SMP'!G595)</f>
        <v/>
      </c>
      <c r="H595" s="193" t="str">
        <f>IF('Observaciones-SMP'!H595="","",'Observaciones-SMP'!H595)</f>
        <v/>
      </c>
      <c r="I595" s="193" t="str">
        <f>IF('Observaciones-SMP'!I595="","",'Observaciones-SMP'!I595)</f>
        <v/>
      </c>
      <c r="J595" s="193" t="str">
        <f>IF('Observaciones-SMP'!J595="","",'Observaciones-SMP'!J595)</f>
        <v/>
      </c>
      <c r="K595" s="193" t="str">
        <f>IF('Observaciones-SMP'!K595="","",'Observaciones-SMP'!K595)</f>
        <v/>
      </c>
      <c r="L595" s="193" t="str">
        <f>IF('Observaciones-SMP'!L595="","",'Observaciones-SMP'!L595)</f>
        <v/>
      </c>
      <c r="M595" s="193" t="str">
        <f>IF('Observaciones-SMP'!M595="","",'Observaciones-SMP'!M595)</f>
        <v/>
      </c>
      <c r="N595" s="193" t="str">
        <f>IF('Observaciones-SMP'!N595="","",'Observaciones-SMP'!N595)</f>
        <v/>
      </c>
      <c r="O595" s="193" t="str">
        <f>IF('Observaciones-SMP'!O595="","",'Observaciones-SMP'!O595)</f>
        <v/>
      </c>
      <c r="P595" s="193" t="str">
        <f>IF('Observaciones-SMP'!P595="","",'Observaciones-SMP'!P595)</f>
        <v/>
      </c>
      <c r="Q595" s="257" t="str">
        <f>IF('Observaciones-SMP'!S595="","",'Observaciones-SMP'!S595)</f>
        <v/>
      </c>
      <c r="R595" s="193" t="str">
        <f>IF('Observaciones-SMP'!T595="","",'Observaciones-SMP'!T595)</f>
        <v/>
      </c>
      <c r="S595" s="193" t="str">
        <f>""</f>
        <v/>
      </c>
      <c r="T595" s="193" t="str">
        <f>""</f>
        <v/>
      </c>
      <c r="U595" s="193" t="str">
        <f t="shared" si="36"/>
        <v/>
      </c>
      <c r="V595" s="193" t="str">
        <f>""</f>
        <v/>
      </c>
      <c r="W595" s="193" t="str">
        <f>""</f>
        <v/>
      </c>
      <c r="X595" s="258" t="str">
        <f t="shared" si="37"/>
        <v/>
      </c>
      <c r="Y595" s="258" t="str">
        <f t="shared" si="38"/>
        <v/>
      </c>
      <c r="Z595" s="193" t="str">
        <f>IF(A595="","",IF(COUNTIF('Observaciones-SMP'!$A$2:$A$1001,A595)&gt;1,1,0))</f>
        <v/>
      </c>
      <c r="AA595" s="193" t="str">
        <f t="shared" si="39"/>
        <v/>
      </c>
    </row>
    <row r="596" spans="1:27" ht="13.5" customHeight="1" x14ac:dyDescent="0.3">
      <c r="A596" s="193" t="str">
        <f>IF('Observaciones-SMP'!A596="","",'Observaciones-SMP'!A596)</f>
        <v/>
      </c>
      <c r="B596" s="257" t="str">
        <f>IF('Observaciones-SMP'!B596="","",'Observaciones-SMP'!B596)</f>
        <v/>
      </c>
      <c r="C596" s="193" t="str">
        <f>IF('Observaciones-SMP'!C596="","",'Observaciones-SMP'!C596)</f>
        <v/>
      </c>
      <c r="D596" s="193" t="str">
        <f>IF('Observaciones-SMP'!D596="","",'Observaciones-SMP'!D596)</f>
        <v/>
      </c>
      <c r="E596" s="193" t="str">
        <f>IF('Observaciones-SMP'!E596="","",'Observaciones-SMP'!E596)</f>
        <v/>
      </c>
      <c r="F596" s="193" t="str">
        <f>IF('Observaciones-SMP'!F596="","",'Observaciones-SMP'!F596)</f>
        <v/>
      </c>
      <c r="G596" s="193" t="str">
        <f>IF('Observaciones-SMP'!G596="","",'Observaciones-SMP'!G596)</f>
        <v/>
      </c>
      <c r="H596" s="193" t="str">
        <f>IF('Observaciones-SMP'!H596="","",'Observaciones-SMP'!H596)</f>
        <v/>
      </c>
      <c r="I596" s="193" t="str">
        <f>IF('Observaciones-SMP'!I596="","",'Observaciones-SMP'!I596)</f>
        <v/>
      </c>
      <c r="J596" s="193" t="str">
        <f>IF('Observaciones-SMP'!J596="","",'Observaciones-SMP'!J596)</f>
        <v/>
      </c>
      <c r="K596" s="193" t="str">
        <f>IF('Observaciones-SMP'!K596="","",'Observaciones-SMP'!K596)</f>
        <v/>
      </c>
      <c r="L596" s="193" t="str">
        <f>IF('Observaciones-SMP'!L596="","",'Observaciones-SMP'!L596)</f>
        <v/>
      </c>
      <c r="M596" s="193" t="str">
        <f>IF('Observaciones-SMP'!M596="","",'Observaciones-SMP'!M596)</f>
        <v/>
      </c>
      <c r="N596" s="193" t="str">
        <f>IF('Observaciones-SMP'!N596="","",'Observaciones-SMP'!N596)</f>
        <v/>
      </c>
      <c r="O596" s="193" t="str">
        <f>IF('Observaciones-SMP'!O596="","",'Observaciones-SMP'!O596)</f>
        <v/>
      </c>
      <c r="P596" s="193" t="str">
        <f>IF('Observaciones-SMP'!P596="","",'Observaciones-SMP'!P596)</f>
        <v/>
      </c>
      <c r="Q596" s="257" t="str">
        <f>IF('Observaciones-SMP'!S596="","",'Observaciones-SMP'!S596)</f>
        <v/>
      </c>
      <c r="R596" s="193" t="str">
        <f>IF('Observaciones-SMP'!T596="","",'Observaciones-SMP'!T596)</f>
        <v/>
      </c>
      <c r="S596" s="193" t="str">
        <f>""</f>
        <v/>
      </c>
      <c r="T596" s="193" t="str">
        <f>""</f>
        <v/>
      </c>
      <c r="U596" s="193" t="str">
        <f t="shared" si="36"/>
        <v/>
      </c>
      <c r="V596" s="193" t="str">
        <f>""</f>
        <v/>
      </c>
      <c r="W596" s="193" t="str">
        <f>""</f>
        <v/>
      </c>
      <c r="X596" s="258" t="str">
        <f t="shared" si="37"/>
        <v/>
      </c>
      <c r="Y596" s="258" t="str">
        <f t="shared" si="38"/>
        <v/>
      </c>
      <c r="Z596" s="193" t="str">
        <f>IF(A596="","",IF(COUNTIF('Observaciones-SMP'!$A$2:$A$1001,A596)&gt;1,1,0))</f>
        <v/>
      </c>
      <c r="AA596" s="193" t="str">
        <f t="shared" si="39"/>
        <v/>
      </c>
    </row>
    <row r="597" spans="1:27" ht="13.5" customHeight="1" x14ac:dyDescent="0.3">
      <c r="A597" s="193" t="str">
        <f>IF('Observaciones-SMP'!A597="","",'Observaciones-SMP'!A597)</f>
        <v/>
      </c>
      <c r="B597" s="257" t="str">
        <f>IF('Observaciones-SMP'!B597="","",'Observaciones-SMP'!B597)</f>
        <v/>
      </c>
      <c r="C597" s="193" t="str">
        <f>IF('Observaciones-SMP'!C597="","",'Observaciones-SMP'!C597)</f>
        <v/>
      </c>
      <c r="D597" s="193" t="str">
        <f>IF('Observaciones-SMP'!D597="","",'Observaciones-SMP'!D597)</f>
        <v/>
      </c>
      <c r="E597" s="193" t="str">
        <f>IF('Observaciones-SMP'!E597="","",'Observaciones-SMP'!E597)</f>
        <v/>
      </c>
      <c r="F597" s="193" t="str">
        <f>IF('Observaciones-SMP'!F597="","",'Observaciones-SMP'!F597)</f>
        <v/>
      </c>
      <c r="G597" s="193" t="str">
        <f>IF('Observaciones-SMP'!G597="","",'Observaciones-SMP'!G597)</f>
        <v/>
      </c>
      <c r="H597" s="193" t="str">
        <f>IF('Observaciones-SMP'!H597="","",'Observaciones-SMP'!H597)</f>
        <v/>
      </c>
      <c r="I597" s="193" t="str">
        <f>IF('Observaciones-SMP'!I597="","",'Observaciones-SMP'!I597)</f>
        <v/>
      </c>
      <c r="J597" s="193" t="str">
        <f>IF('Observaciones-SMP'!J597="","",'Observaciones-SMP'!J597)</f>
        <v/>
      </c>
      <c r="K597" s="193" t="str">
        <f>IF('Observaciones-SMP'!K597="","",'Observaciones-SMP'!K597)</f>
        <v/>
      </c>
      <c r="L597" s="193" t="str">
        <f>IF('Observaciones-SMP'!L597="","",'Observaciones-SMP'!L597)</f>
        <v/>
      </c>
      <c r="M597" s="193" t="str">
        <f>IF('Observaciones-SMP'!M597="","",'Observaciones-SMP'!M597)</f>
        <v/>
      </c>
      <c r="N597" s="193" t="str">
        <f>IF('Observaciones-SMP'!N597="","",'Observaciones-SMP'!N597)</f>
        <v/>
      </c>
      <c r="O597" s="193" t="str">
        <f>IF('Observaciones-SMP'!O597="","",'Observaciones-SMP'!O597)</f>
        <v/>
      </c>
      <c r="P597" s="193" t="str">
        <f>IF('Observaciones-SMP'!P597="","",'Observaciones-SMP'!P597)</f>
        <v/>
      </c>
      <c r="Q597" s="257" t="str">
        <f>IF('Observaciones-SMP'!S597="","",'Observaciones-SMP'!S597)</f>
        <v/>
      </c>
      <c r="R597" s="193" t="str">
        <f>IF('Observaciones-SMP'!T597="","",'Observaciones-SMP'!T597)</f>
        <v/>
      </c>
      <c r="S597" s="193" t="str">
        <f>""</f>
        <v/>
      </c>
      <c r="T597" s="193" t="str">
        <f>""</f>
        <v/>
      </c>
      <c r="U597" s="193" t="str">
        <f t="shared" si="36"/>
        <v/>
      </c>
      <c r="V597" s="193" t="str">
        <f>""</f>
        <v/>
      </c>
      <c r="W597" s="193" t="str">
        <f>""</f>
        <v/>
      </c>
      <c r="X597" s="258" t="str">
        <f t="shared" si="37"/>
        <v/>
      </c>
      <c r="Y597" s="258" t="str">
        <f t="shared" si="38"/>
        <v/>
      </c>
      <c r="Z597" s="193" t="str">
        <f>IF(A597="","",IF(COUNTIF('Observaciones-SMP'!$A$2:$A$1001,A597)&gt;1,1,0))</f>
        <v/>
      </c>
      <c r="AA597" s="193" t="str">
        <f t="shared" si="39"/>
        <v/>
      </c>
    </row>
    <row r="598" spans="1:27" ht="13.5" customHeight="1" x14ac:dyDescent="0.3">
      <c r="A598" s="193" t="str">
        <f>IF('Observaciones-SMP'!A598="","",'Observaciones-SMP'!A598)</f>
        <v/>
      </c>
      <c r="B598" s="257" t="str">
        <f>IF('Observaciones-SMP'!B598="","",'Observaciones-SMP'!B598)</f>
        <v/>
      </c>
      <c r="C598" s="193" t="str">
        <f>IF('Observaciones-SMP'!C598="","",'Observaciones-SMP'!C598)</f>
        <v/>
      </c>
      <c r="D598" s="193" t="str">
        <f>IF('Observaciones-SMP'!D598="","",'Observaciones-SMP'!D598)</f>
        <v/>
      </c>
      <c r="E598" s="193" t="str">
        <f>IF('Observaciones-SMP'!E598="","",'Observaciones-SMP'!E598)</f>
        <v/>
      </c>
      <c r="F598" s="193" t="str">
        <f>IF('Observaciones-SMP'!F598="","",'Observaciones-SMP'!F598)</f>
        <v/>
      </c>
      <c r="G598" s="193" t="str">
        <f>IF('Observaciones-SMP'!G598="","",'Observaciones-SMP'!G598)</f>
        <v/>
      </c>
      <c r="H598" s="193" t="str">
        <f>IF('Observaciones-SMP'!H598="","",'Observaciones-SMP'!H598)</f>
        <v/>
      </c>
      <c r="I598" s="193" t="str">
        <f>IF('Observaciones-SMP'!I598="","",'Observaciones-SMP'!I598)</f>
        <v/>
      </c>
      <c r="J598" s="193" t="str">
        <f>IF('Observaciones-SMP'!J598="","",'Observaciones-SMP'!J598)</f>
        <v/>
      </c>
      <c r="K598" s="193" t="str">
        <f>IF('Observaciones-SMP'!K598="","",'Observaciones-SMP'!K598)</f>
        <v/>
      </c>
      <c r="L598" s="193" t="str">
        <f>IF('Observaciones-SMP'!L598="","",'Observaciones-SMP'!L598)</f>
        <v/>
      </c>
      <c r="M598" s="193" t="str">
        <f>IF('Observaciones-SMP'!M598="","",'Observaciones-SMP'!M598)</f>
        <v/>
      </c>
      <c r="N598" s="193" t="str">
        <f>IF('Observaciones-SMP'!N598="","",'Observaciones-SMP'!N598)</f>
        <v/>
      </c>
      <c r="O598" s="193" t="str">
        <f>IF('Observaciones-SMP'!O598="","",'Observaciones-SMP'!O598)</f>
        <v/>
      </c>
      <c r="P598" s="193" t="str">
        <f>IF('Observaciones-SMP'!P598="","",'Observaciones-SMP'!P598)</f>
        <v/>
      </c>
      <c r="Q598" s="257" t="str">
        <f>IF('Observaciones-SMP'!S598="","",'Observaciones-SMP'!S598)</f>
        <v/>
      </c>
      <c r="R598" s="193" t="str">
        <f>IF('Observaciones-SMP'!T598="","",'Observaciones-SMP'!T598)</f>
        <v/>
      </c>
      <c r="S598" s="193" t="str">
        <f>""</f>
        <v/>
      </c>
      <c r="T598" s="193" t="str">
        <f>""</f>
        <v/>
      </c>
      <c r="U598" s="193" t="str">
        <f t="shared" si="36"/>
        <v/>
      </c>
      <c r="V598" s="193" t="str">
        <f>""</f>
        <v/>
      </c>
      <c r="W598" s="193" t="str">
        <f>""</f>
        <v/>
      </c>
      <c r="X598" s="258" t="str">
        <f t="shared" si="37"/>
        <v/>
      </c>
      <c r="Y598" s="258" t="str">
        <f t="shared" si="38"/>
        <v/>
      </c>
      <c r="Z598" s="193" t="str">
        <f>IF(A598="","",IF(COUNTIF('Observaciones-SMP'!$A$2:$A$1001,A598)&gt;1,1,0))</f>
        <v/>
      </c>
      <c r="AA598" s="193" t="str">
        <f t="shared" si="39"/>
        <v/>
      </c>
    </row>
    <row r="599" spans="1:27" ht="13.5" customHeight="1" x14ac:dyDescent="0.3">
      <c r="A599" s="193" t="str">
        <f>IF('Observaciones-SMP'!A599="","",'Observaciones-SMP'!A599)</f>
        <v/>
      </c>
      <c r="B599" s="257" t="str">
        <f>IF('Observaciones-SMP'!B599="","",'Observaciones-SMP'!B599)</f>
        <v/>
      </c>
      <c r="C599" s="193" t="str">
        <f>IF('Observaciones-SMP'!C599="","",'Observaciones-SMP'!C599)</f>
        <v/>
      </c>
      <c r="D599" s="193" t="str">
        <f>IF('Observaciones-SMP'!D599="","",'Observaciones-SMP'!D599)</f>
        <v/>
      </c>
      <c r="E599" s="193" t="str">
        <f>IF('Observaciones-SMP'!E599="","",'Observaciones-SMP'!E599)</f>
        <v/>
      </c>
      <c r="F599" s="193" t="str">
        <f>IF('Observaciones-SMP'!F599="","",'Observaciones-SMP'!F599)</f>
        <v/>
      </c>
      <c r="G599" s="193" t="str">
        <f>IF('Observaciones-SMP'!G599="","",'Observaciones-SMP'!G599)</f>
        <v/>
      </c>
      <c r="H599" s="193" t="str">
        <f>IF('Observaciones-SMP'!H599="","",'Observaciones-SMP'!H599)</f>
        <v/>
      </c>
      <c r="I599" s="193" t="str">
        <f>IF('Observaciones-SMP'!I599="","",'Observaciones-SMP'!I599)</f>
        <v/>
      </c>
      <c r="J599" s="193" t="str">
        <f>IF('Observaciones-SMP'!J599="","",'Observaciones-SMP'!J599)</f>
        <v/>
      </c>
      <c r="K599" s="193" t="str">
        <f>IF('Observaciones-SMP'!K599="","",'Observaciones-SMP'!K599)</f>
        <v/>
      </c>
      <c r="L599" s="193" t="str">
        <f>IF('Observaciones-SMP'!L599="","",'Observaciones-SMP'!L599)</f>
        <v/>
      </c>
      <c r="M599" s="193" t="str">
        <f>IF('Observaciones-SMP'!M599="","",'Observaciones-SMP'!M599)</f>
        <v/>
      </c>
      <c r="N599" s="193" t="str">
        <f>IF('Observaciones-SMP'!N599="","",'Observaciones-SMP'!N599)</f>
        <v/>
      </c>
      <c r="O599" s="193" t="str">
        <f>IF('Observaciones-SMP'!O599="","",'Observaciones-SMP'!O599)</f>
        <v/>
      </c>
      <c r="P599" s="193" t="str">
        <f>IF('Observaciones-SMP'!P599="","",'Observaciones-SMP'!P599)</f>
        <v/>
      </c>
      <c r="Q599" s="257" t="str">
        <f>IF('Observaciones-SMP'!S599="","",'Observaciones-SMP'!S599)</f>
        <v/>
      </c>
      <c r="R599" s="193" t="str">
        <f>IF('Observaciones-SMP'!T599="","",'Observaciones-SMP'!T599)</f>
        <v/>
      </c>
      <c r="S599" s="193" t="str">
        <f>""</f>
        <v/>
      </c>
      <c r="T599" s="193" t="str">
        <f>""</f>
        <v/>
      </c>
      <c r="U599" s="193" t="str">
        <f t="shared" si="36"/>
        <v/>
      </c>
      <c r="V599" s="193" t="str">
        <f>""</f>
        <v/>
      </c>
      <c r="W599" s="193" t="str">
        <f>""</f>
        <v/>
      </c>
      <c r="X599" s="258" t="str">
        <f t="shared" si="37"/>
        <v/>
      </c>
      <c r="Y599" s="258" t="str">
        <f t="shared" si="38"/>
        <v/>
      </c>
      <c r="Z599" s="193" t="str">
        <f>IF(A599="","",IF(COUNTIF('Observaciones-SMP'!$A$2:$A$1001,A599)&gt;1,1,0))</f>
        <v/>
      </c>
      <c r="AA599" s="193" t="str">
        <f t="shared" si="39"/>
        <v/>
      </c>
    </row>
    <row r="600" spans="1:27" ht="13.5" customHeight="1" x14ac:dyDescent="0.3">
      <c r="A600" s="193" t="str">
        <f>IF('Observaciones-SMP'!A600="","",'Observaciones-SMP'!A600)</f>
        <v/>
      </c>
      <c r="B600" s="257" t="str">
        <f>IF('Observaciones-SMP'!B600="","",'Observaciones-SMP'!B600)</f>
        <v/>
      </c>
      <c r="C600" s="193" t="str">
        <f>IF('Observaciones-SMP'!C600="","",'Observaciones-SMP'!C600)</f>
        <v/>
      </c>
      <c r="D600" s="193" t="str">
        <f>IF('Observaciones-SMP'!D600="","",'Observaciones-SMP'!D600)</f>
        <v/>
      </c>
      <c r="E600" s="193" t="str">
        <f>IF('Observaciones-SMP'!E600="","",'Observaciones-SMP'!E600)</f>
        <v/>
      </c>
      <c r="F600" s="193" t="str">
        <f>IF('Observaciones-SMP'!F600="","",'Observaciones-SMP'!F600)</f>
        <v/>
      </c>
      <c r="G600" s="193" t="str">
        <f>IF('Observaciones-SMP'!G600="","",'Observaciones-SMP'!G600)</f>
        <v/>
      </c>
      <c r="H600" s="193" t="str">
        <f>IF('Observaciones-SMP'!H600="","",'Observaciones-SMP'!H600)</f>
        <v/>
      </c>
      <c r="I600" s="193" t="str">
        <f>IF('Observaciones-SMP'!I600="","",'Observaciones-SMP'!I600)</f>
        <v/>
      </c>
      <c r="J600" s="193" t="str">
        <f>IF('Observaciones-SMP'!J600="","",'Observaciones-SMP'!J600)</f>
        <v/>
      </c>
      <c r="K600" s="193" t="str">
        <f>IF('Observaciones-SMP'!K600="","",'Observaciones-SMP'!K600)</f>
        <v/>
      </c>
      <c r="L600" s="193" t="str">
        <f>IF('Observaciones-SMP'!L600="","",'Observaciones-SMP'!L600)</f>
        <v/>
      </c>
      <c r="M600" s="193" t="str">
        <f>IF('Observaciones-SMP'!M600="","",'Observaciones-SMP'!M600)</f>
        <v/>
      </c>
      <c r="N600" s="193" t="str">
        <f>IF('Observaciones-SMP'!N600="","",'Observaciones-SMP'!N600)</f>
        <v/>
      </c>
      <c r="O600" s="193" t="str">
        <f>IF('Observaciones-SMP'!O600="","",'Observaciones-SMP'!O600)</f>
        <v/>
      </c>
      <c r="P600" s="193" t="str">
        <f>IF('Observaciones-SMP'!P600="","",'Observaciones-SMP'!P600)</f>
        <v/>
      </c>
      <c r="Q600" s="257" t="str">
        <f>IF('Observaciones-SMP'!S600="","",'Observaciones-SMP'!S600)</f>
        <v/>
      </c>
      <c r="R600" s="193" t="str">
        <f>IF('Observaciones-SMP'!T600="","",'Observaciones-SMP'!T600)</f>
        <v/>
      </c>
      <c r="S600" s="193" t="str">
        <f>""</f>
        <v/>
      </c>
      <c r="T600" s="193" t="str">
        <f>""</f>
        <v/>
      </c>
      <c r="U600" s="193" t="str">
        <f t="shared" si="36"/>
        <v/>
      </c>
      <c r="V600" s="193" t="str">
        <f>""</f>
        <v/>
      </c>
      <c r="W600" s="193" t="str">
        <f>""</f>
        <v/>
      </c>
      <c r="X600" s="258" t="str">
        <f t="shared" si="37"/>
        <v/>
      </c>
      <c r="Y600" s="258" t="str">
        <f t="shared" si="38"/>
        <v/>
      </c>
      <c r="Z600" s="193" t="str">
        <f>IF(A600="","",IF(COUNTIF('Observaciones-SMP'!$A$2:$A$1001,A600)&gt;1,1,0))</f>
        <v/>
      </c>
      <c r="AA600" s="193" t="str">
        <f t="shared" si="39"/>
        <v/>
      </c>
    </row>
    <row r="601" spans="1:27" ht="13.5" customHeight="1" x14ac:dyDescent="0.3">
      <c r="A601" s="193" t="str">
        <f>IF('Observaciones-SMP'!A601="","",'Observaciones-SMP'!A601)</f>
        <v/>
      </c>
      <c r="B601" s="257" t="str">
        <f>IF('Observaciones-SMP'!B601="","",'Observaciones-SMP'!B601)</f>
        <v/>
      </c>
      <c r="C601" s="193" t="str">
        <f>IF('Observaciones-SMP'!C601="","",'Observaciones-SMP'!C601)</f>
        <v/>
      </c>
      <c r="D601" s="193" t="str">
        <f>IF('Observaciones-SMP'!D601="","",'Observaciones-SMP'!D601)</f>
        <v/>
      </c>
      <c r="E601" s="193" t="str">
        <f>IF('Observaciones-SMP'!E601="","",'Observaciones-SMP'!E601)</f>
        <v/>
      </c>
      <c r="F601" s="193" t="str">
        <f>IF('Observaciones-SMP'!F601="","",'Observaciones-SMP'!F601)</f>
        <v/>
      </c>
      <c r="G601" s="193" t="str">
        <f>IF('Observaciones-SMP'!G601="","",'Observaciones-SMP'!G601)</f>
        <v/>
      </c>
      <c r="H601" s="193" t="str">
        <f>IF('Observaciones-SMP'!H601="","",'Observaciones-SMP'!H601)</f>
        <v/>
      </c>
      <c r="I601" s="193" t="str">
        <f>IF('Observaciones-SMP'!I601="","",'Observaciones-SMP'!I601)</f>
        <v/>
      </c>
      <c r="J601" s="193" t="str">
        <f>IF('Observaciones-SMP'!J601="","",'Observaciones-SMP'!J601)</f>
        <v/>
      </c>
      <c r="K601" s="193" t="str">
        <f>IF('Observaciones-SMP'!K601="","",'Observaciones-SMP'!K601)</f>
        <v/>
      </c>
      <c r="L601" s="193" t="str">
        <f>IF('Observaciones-SMP'!L601="","",'Observaciones-SMP'!L601)</f>
        <v/>
      </c>
      <c r="M601" s="193" t="str">
        <f>IF('Observaciones-SMP'!M601="","",'Observaciones-SMP'!M601)</f>
        <v/>
      </c>
      <c r="N601" s="193" t="str">
        <f>IF('Observaciones-SMP'!N601="","",'Observaciones-SMP'!N601)</f>
        <v/>
      </c>
      <c r="O601" s="193" t="str">
        <f>IF('Observaciones-SMP'!O601="","",'Observaciones-SMP'!O601)</f>
        <v/>
      </c>
      <c r="P601" s="193" t="str">
        <f>IF('Observaciones-SMP'!P601="","",'Observaciones-SMP'!P601)</f>
        <v/>
      </c>
      <c r="Q601" s="257" t="str">
        <f>IF('Observaciones-SMP'!S601="","",'Observaciones-SMP'!S601)</f>
        <v/>
      </c>
      <c r="R601" s="193" t="str">
        <f>IF('Observaciones-SMP'!T601="","",'Observaciones-SMP'!T601)</f>
        <v/>
      </c>
      <c r="S601" s="193" t="str">
        <f>""</f>
        <v/>
      </c>
      <c r="T601" s="193" t="str">
        <f>""</f>
        <v/>
      </c>
      <c r="U601" s="193" t="str">
        <f t="shared" si="36"/>
        <v/>
      </c>
      <c r="V601" s="193" t="str">
        <f>""</f>
        <v/>
      </c>
      <c r="W601" s="193" t="str">
        <f>""</f>
        <v/>
      </c>
      <c r="X601" s="258" t="str">
        <f t="shared" si="37"/>
        <v/>
      </c>
      <c r="Y601" s="258" t="str">
        <f t="shared" si="38"/>
        <v/>
      </c>
      <c r="Z601" s="193" t="str">
        <f>IF(A601="","",IF(COUNTIF('Observaciones-SMP'!$A$2:$A$1001,A601)&gt;1,1,0))</f>
        <v/>
      </c>
      <c r="AA601" s="193" t="str">
        <f t="shared" si="39"/>
        <v/>
      </c>
    </row>
    <row r="602" spans="1:27" ht="13.5" customHeight="1" x14ac:dyDescent="0.3">
      <c r="A602" s="193" t="str">
        <f>IF('Observaciones-SMP'!A602="","",'Observaciones-SMP'!A602)</f>
        <v/>
      </c>
      <c r="B602" s="257" t="str">
        <f>IF('Observaciones-SMP'!B602="","",'Observaciones-SMP'!B602)</f>
        <v/>
      </c>
      <c r="C602" s="193" t="str">
        <f>IF('Observaciones-SMP'!C602="","",'Observaciones-SMP'!C602)</f>
        <v/>
      </c>
      <c r="D602" s="193" t="str">
        <f>IF('Observaciones-SMP'!D602="","",'Observaciones-SMP'!D602)</f>
        <v/>
      </c>
      <c r="E602" s="193" t="str">
        <f>IF('Observaciones-SMP'!E602="","",'Observaciones-SMP'!E602)</f>
        <v/>
      </c>
      <c r="F602" s="193" t="str">
        <f>IF('Observaciones-SMP'!F602="","",'Observaciones-SMP'!F602)</f>
        <v/>
      </c>
      <c r="G602" s="193" t="str">
        <f>IF('Observaciones-SMP'!G602="","",'Observaciones-SMP'!G602)</f>
        <v/>
      </c>
      <c r="H602" s="193" t="str">
        <f>IF('Observaciones-SMP'!H602="","",'Observaciones-SMP'!H602)</f>
        <v/>
      </c>
      <c r="I602" s="193" t="str">
        <f>IF('Observaciones-SMP'!I602="","",'Observaciones-SMP'!I602)</f>
        <v/>
      </c>
      <c r="J602" s="193" t="str">
        <f>IF('Observaciones-SMP'!J602="","",'Observaciones-SMP'!J602)</f>
        <v/>
      </c>
      <c r="K602" s="193" t="str">
        <f>IF('Observaciones-SMP'!K602="","",'Observaciones-SMP'!K602)</f>
        <v/>
      </c>
      <c r="L602" s="193" t="str">
        <f>IF('Observaciones-SMP'!L602="","",'Observaciones-SMP'!L602)</f>
        <v/>
      </c>
      <c r="M602" s="193" t="str">
        <f>IF('Observaciones-SMP'!M602="","",'Observaciones-SMP'!M602)</f>
        <v/>
      </c>
      <c r="N602" s="193" t="str">
        <f>IF('Observaciones-SMP'!N602="","",'Observaciones-SMP'!N602)</f>
        <v/>
      </c>
      <c r="O602" s="193" t="str">
        <f>IF('Observaciones-SMP'!O602="","",'Observaciones-SMP'!O602)</f>
        <v/>
      </c>
      <c r="P602" s="193" t="str">
        <f>IF('Observaciones-SMP'!P602="","",'Observaciones-SMP'!P602)</f>
        <v/>
      </c>
      <c r="Q602" s="257" t="str">
        <f>IF('Observaciones-SMP'!S602="","",'Observaciones-SMP'!S602)</f>
        <v/>
      </c>
      <c r="R602" s="193" t="str">
        <f>IF('Observaciones-SMP'!T602="","",'Observaciones-SMP'!T602)</f>
        <v/>
      </c>
      <c r="S602" s="193" t="str">
        <f>""</f>
        <v/>
      </c>
      <c r="T602" s="193" t="str">
        <f>""</f>
        <v/>
      </c>
      <c r="U602" s="193" t="str">
        <f t="shared" si="36"/>
        <v/>
      </c>
      <c r="V602" s="193" t="str">
        <f>""</f>
        <v/>
      </c>
      <c r="W602" s="193" t="str">
        <f>""</f>
        <v/>
      </c>
      <c r="X602" s="258" t="str">
        <f t="shared" si="37"/>
        <v/>
      </c>
      <c r="Y602" s="258" t="str">
        <f t="shared" si="38"/>
        <v/>
      </c>
      <c r="Z602" s="193" t="str">
        <f>IF(A602="","",IF(COUNTIF('Observaciones-SMP'!$A$2:$A$1001,A602)&gt;1,1,0))</f>
        <v/>
      </c>
      <c r="AA602" s="193" t="str">
        <f t="shared" si="39"/>
        <v/>
      </c>
    </row>
    <row r="603" spans="1:27" ht="13.5" customHeight="1" x14ac:dyDescent="0.3">
      <c r="A603" s="193" t="str">
        <f>IF('Observaciones-SMP'!A603="","",'Observaciones-SMP'!A603)</f>
        <v/>
      </c>
      <c r="B603" s="257" t="str">
        <f>IF('Observaciones-SMP'!B603="","",'Observaciones-SMP'!B603)</f>
        <v/>
      </c>
      <c r="C603" s="193" t="str">
        <f>IF('Observaciones-SMP'!C603="","",'Observaciones-SMP'!C603)</f>
        <v/>
      </c>
      <c r="D603" s="193" t="str">
        <f>IF('Observaciones-SMP'!D603="","",'Observaciones-SMP'!D603)</f>
        <v/>
      </c>
      <c r="E603" s="193" t="str">
        <f>IF('Observaciones-SMP'!E603="","",'Observaciones-SMP'!E603)</f>
        <v/>
      </c>
      <c r="F603" s="193" t="str">
        <f>IF('Observaciones-SMP'!F603="","",'Observaciones-SMP'!F603)</f>
        <v/>
      </c>
      <c r="G603" s="193" t="str">
        <f>IF('Observaciones-SMP'!G603="","",'Observaciones-SMP'!G603)</f>
        <v/>
      </c>
      <c r="H603" s="193" t="str">
        <f>IF('Observaciones-SMP'!H603="","",'Observaciones-SMP'!H603)</f>
        <v/>
      </c>
      <c r="I603" s="193" t="str">
        <f>IF('Observaciones-SMP'!I603="","",'Observaciones-SMP'!I603)</f>
        <v/>
      </c>
      <c r="J603" s="193" t="str">
        <f>IF('Observaciones-SMP'!J603="","",'Observaciones-SMP'!J603)</f>
        <v/>
      </c>
      <c r="K603" s="193" t="str">
        <f>IF('Observaciones-SMP'!K603="","",'Observaciones-SMP'!K603)</f>
        <v/>
      </c>
      <c r="L603" s="193" t="str">
        <f>IF('Observaciones-SMP'!L603="","",'Observaciones-SMP'!L603)</f>
        <v/>
      </c>
      <c r="M603" s="193" t="str">
        <f>IF('Observaciones-SMP'!M603="","",'Observaciones-SMP'!M603)</f>
        <v/>
      </c>
      <c r="N603" s="193" t="str">
        <f>IF('Observaciones-SMP'!N603="","",'Observaciones-SMP'!N603)</f>
        <v/>
      </c>
      <c r="O603" s="193" t="str">
        <f>IF('Observaciones-SMP'!O603="","",'Observaciones-SMP'!O603)</f>
        <v/>
      </c>
      <c r="P603" s="193" t="str">
        <f>IF('Observaciones-SMP'!P603="","",'Observaciones-SMP'!P603)</f>
        <v/>
      </c>
      <c r="Q603" s="257" t="str">
        <f>IF('Observaciones-SMP'!S603="","",'Observaciones-SMP'!S603)</f>
        <v/>
      </c>
      <c r="R603" s="193" t="str">
        <f>IF('Observaciones-SMP'!T603="","",'Observaciones-SMP'!T603)</f>
        <v/>
      </c>
      <c r="S603" s="193" t="str">
        <f>""</f>
        <v/>
      </c>
      <c r="T603" s="193" t="str">
        <f>""</f>
        <v/>
      </c>
      <c r="U603" s="193" t="str">
        <f t="shared" si="36"/>
        <v/>
      </c>
      <c r="V603" s="193" t="str">
        <f>""</f>
        <v/>
      </c>
      <c r="W603" s="193" t="str">
        <f>""</f>
        <v/>
      </c>
      <c r="X603" s="258" t="str">
        <f t="shared" si="37"/>
        <v/>
      </c>
      <c r="Y603" s="258" t="str">
        <f t="shared" si="38"/>
        <v/>
      </c>
      <c r="Z603" s="193" t="str">
        <f>IF(A603="","",IF(COUNTIF('Observaciones-SMP'!$A$2:$A$1001,A603)&gt;1,1,0))</f>
        <v/>
      </c>
      <c r="AA603" s="193" t="str">
        <f t="shared" si="39"/>
        <v/>
      </c>
    </row>
    <row r="604" spans="1:27" ht="13.5" customHeight="1" x14ac:dyDescent="0.3">
      <c r="A604" s="193" t="str">
        <f>IF('Observaciones-SMP'!A604="","",'Observaciones-SMP'!A604)</f>
        <v/>
      </c>
      <c r="B604" s="257" t="str">
        <f>IF('Observaciones-SMP'!B604="","",'Observaciones-SMP'!B604)</f>
        <v/>
      </c>
      <c r="C604" s="193" t="str">
        <f>IF('Observaciones-SMP'!C604="","",'Observaciones-SMP'!C604)</f>
        <v/>
      </c>
      <c r="D604" s="193" t="str">
        <f>IF('Observaciones-SMP'!D604="","",'Observaciones-SMP'!D604)</f>
        <v/>
      </c>
      <c r="E604" s="193" t="str">
        <f>IF('Observaciones-SMP'!E604="","",'Observaciones-SMP'!E604)</f>
        <v/>
      </c>
      <c r="F604" s="193" t="str">
        <f>IF('Observaciones-SMP'!F604="","",'Observaciones-SMP'!F604)</f>
        <v/>
      </c>
      <c r="G604" s="193" t="str">
        <f>IF('Observaciones-SMP'!G604="","",'Observaciones-SMP'!G604)</f>
        <v/>
      </c>
      <c r="H604" s="193" t="str">
        <f>IF('Observaciones-SMP'!H604="","",'Observaciones-SMP'!H604)</f>
        <v/>
      </c>
      <c r="I604" s="193" t="str">
        <f>IF('Observaciones-SMP'!I604="","",'Observaciones-SMP'!I604)</f>
        <v/>
      </c>
      <c r="J604" s="193" t="str">
        <f>IF('Observaciones-SMP'!J604="","",'Observaciones-SMP'!J604)</f>
        <v/>
      </c>
      <c r="K604" s="193" t="str">
        <f>IF('Observaciones-SMP'!K604="","",'Observaciones-SMP'!K604)</f>
        <v/>
      </c>
      <c r="L604" s="193" t="str">
        <f>IF('Observaciones-SMP'!L604="","",'Observaciones-SMP'!L604)</f>
        <v/>
      </c>
      <c r="M604" s="193" t="str">
        <f>IF('Observaciones-SMP'!M604="","",'Observaciones-SMP'!M604)</f>
        <v/>
      </c>
      <c r="N604" s="193" t="str">
        <f>IF('Observaciones-SMP'!N604="","",'Observaciones-SMP'!N604)</f>
        <v/>
      </c>
      <c r="O604" s="193" t="str">
        <f>IF('Observaciones-SMP'!O604="","",'Observaciones-SMP'!O604)</f>
        <v/>
      </c>
      <c r="P604" s="193" t="str">
        <f>IF('Observaciones-SMP'!P604="","",'Observaciones-SMP'!P604)</f>
        <v/>
      </c>
      <c r="Q604" s="257" t="str">
        <f>IF('Observaciones-SMP'!S604="","",'Observaciones-SMP'!S604)</f>
        <v/>
      </c>
      <c r="R604" s="193" t="str">
        <f>IF('Observaciones-SMP'!T604="","",'Observaciones-SMP'!T604)</f>
        <v/>
      </c>
      <c r="S604" s="193" t="str">
        <f>""</f>
        <v/>
      </c>
      <c r="T604" s="193" t="str">
        <f>""</f>
        <v/>
      </c>
      <c r="U604" s="193" t="str">
        <f t="shared" si="36"/>
        <v/>
      </c>
      <c r="V604" s="193" t="str">
        <f>""</f>
        <v/>
      </c>
      <c r="W604" s="193" t="str">
        <f>""</f>
        <v/>
      </c>
      <c r="X604" s="258" t="str">
        <f t="shared" si="37"/>
        <v/>
      </c>
      <c r="Y604" s="258" t="str">
        <f t="shared" si="38"/>
        <v/>
      </c>
      <c r="Z604" s="193" t="str">
        <f>IF(A604="","",IF(COUNTIF('Observaciones-SMP'!$A$2:$A$1001,A604)&gt;1,1,0))</f>
        <v/>
      </c>
      <c r="AA604" s="193" t="str">
        <f t="shared" si="39"/>
        <v/>
      </c>
    </row>
    <row r="605" spans="1:27" ht="13.5" customHeight="1" x14ac:dyDescent="0.3">
      <c r="A605" s="193" t="str">
        <f>IF('Observaciones-SMP'!A605="","",'Observaciones-SMP'!A605)</f>
        <v/>
      </c>
      <c r="B605" s="257" t="str">
        <f>IF('Observaciones-SMP'!B605="","",'Observaciones-SMP'!B605)</f>
        <v/>
      </c>
      <c r="C605" s="193" t="str">
        <f>IF('Observaciones-SMP'!C605="","",'Observaciones-SMP'!C605)</f>
        <v/>
      </c>
      <c r="D605" s="193" t="str">
        <f>IF('Observaciones-SMP'!D605="","",'Observaciones-SMP'!D605)</f>
        <v/>
      </c>
      <c r="E605" s="193" t="str">
        <f>IF('Observaciones-SMP'!E605="","",'Observaciones-SMP'!E605)</f>
        <v/>
      </c>
      <c r="F605" s="193" t="str">
        <f>IF('Observaciones-SMP'!F605="","",'Observaciones-SMP'!F605)</f>
        <v/>
      </c>
      <c r="G605" s="193" t="str">
        <f>IF('Observaciones-SMP'!G605="","",'Observaciones-SMP'!G605)</f>
        <v/>
      </c>
      <c r="H605" s="193" t="str">
        <f>IF('Observaciones-SMP'!H605="","",'Observaciones-SMP'!H605)</f>
        <v/>
      </c>
      <c r="I605" s="193" t="str">
        <f>IF('Observaciones-SMP'!I605="","",'Observaciones-SMP'!I605)</f>
        <v/>
      </c>
      <c r="J605" s="193" t="str">
        <f>IF('Observaciones-SMP'!J605="","",'Observaciones-SMP'!J605)</f>
        <v/>
      </c>
      <c r="K605" s="193" t="str">
        <f>IF('Observaciones-SMP'!K605="","",'Observaciones-SMP'!K605)</f>
        <v/>
      </c>
      <c r="L605" s="193" t="str">
        <f>IF('Observaciones-SMP'!L605="","",'Observaciones-SMP'!L605)</f>
        <v/>
      </c>
      <c r="M605" s="193" t="str">
        <f>IF('Observaciones-SMP'!M605="","",'Observaciones-SMP'!M605)</f>
        <v/>
      </c>
      <c r="N605" s="193" t="str">
        <f>IF('Observaciones-SMP'!N605="","",'Observaciones-SMP'!N605)</f>
        <v/>
      </c>
      <c r="O605" s="193" t="str">
        <f>IF('Observaciones-SMP'!O605="","",'Observaciones-SMP'!O605)</f>
        <v/>
      </c>
      <c r="P605" s="193" t="str">
        <f>IF('Observaciones-SMP'!P605="","",'Observaciones-SMP'!P605)</f>
        <v/>
      </c>
      <c r="Q605" s="257" t="str">
        <f>IF('Observaciones-SMP'!S605="","",'Observaciones-SMP'!S605)</f>
        <v/>
      </c>
      <c r="R605" s="193" t="str">
        <f>IF('Observaciones-SMP'!T605="","",'Observaciones-SMP'!T605)</f>
        <v/>
      </c>
      <c r="S605" s="193" t="str">
        <f>""</f>
        <v/>
      </c>
      <c r="T605" s="193" t="str">
        <f>""</f>
        <v/>
      </c>
      <c r="U605" s="193" t="str">
        <f t="shared" si="36"/>
        <v/>
      </c>
      <c r="V605" s="193" t="str">
        <f>""</f>
        <v/>
      </c>
      <c r="W605" s="193" t="str">
        <f>""</f>
        <v/>
      </c>
      <c r="X605" s="258" t="str">
        <f t="shared" si="37"/>
        <v/>
      </c>
      <c r="Y605" s="258" t="str">
        <f t="shared" si="38"/>
        <v/>
      </c>
      <c r="Z605" s="193" t="str">
        <f>IF(A605="","",IF(COUNTIF('Observaciones-SMP'!$A$2:$A$1001,A605)&gt;1,1,0))</f>
        <v/>
      </c>
      <c r="AA605" s="193" t="str">
        <f t="shared" si="39"/>
        <v/>
      </c>
    </row>
    <row r="606" spans="1:27" ht="13.5" customHeight="1" x14ac:dyDescent="0.3">
      <c r="A606" s="193" t="str">
        <f>IF('Observaciones-SMP'!A606="","",'Observaciones-SMP'!A606)</f>
        <v/>
      </c>
      <c r="B606" s="257" t="str">
        <f>IF('Observaciones-SMP'!B606="","",'Observaciones-SMP'!B606)</f>
        <v/>
      </c>
      <c r="C606" s="193" t="str">
        <f>IF('Observaciones-SMP'!C606="","",'Observaciones-SMP'!C606)</f>
        <v/>
      </c>
      <c r="D606" s="193" t="str">
        <f>IF('Observaciones-SMP'!D606="","",'Observaciones-SMP'!D606)</f>
        <v/>
      </c>
      <c r="E606" s="193" t="str">
        <f>IF('Observaciones-SMP'!E606="","",'Observaciones-SMP'!E606)</f>
        <v/>
      </c>
      <c r="F606" s="193" t="str">
        <f>IF('Observaciones-SMP'!F606="","",'Observaciones-SMP'!F606)</f>
        <v/>
      </c>
      <c r="G606" s="193" t="str">
        <f>IF('Observaciones-SMP'!G606="","",'Observaciones-SMP'!G606)</f>
        <v/>
      </c>
      <c r="H606" s="193" t="str">
        <f>IF('Observaciones-SMP'!H606="","",'Observaciones-SMP'!H606)</f>
        <v/>
      </c>
      <c r="I606" s="193" t="str">
        <f>IF('Observaciones-SMP'!I606="","",'Observaciones-SMP'!I606)</f>
        <v/>
      </c>
      <c r="J606" s="193" t="str">
        <f>IF('Observaciones-SMP'!J606="","",'Observaciones-SMP'!J606)</f>
        <v/>
      </c>
      <c r="K606" s="193" t="str">
        <f>IF('Observaciones-SMP'!K606="","",'Observaciones-SMP'!K606)</f>
        <v/>
      </c>
      <c r="L606" s="193" t="str">
        <f>IF('Observaciones-SMP'!L606="","",'Observaciones-SMP'!L606)</f>
        <v/>
      </c>
      <c r="M606" s="193" t="str">
        <f>IF('Observaciones-SMP'!M606="","",'Observaciones-SMP'!M606)</f>
        <v/>
      </c>
      <c r="N606" s="193" t="str">
        <f>IF('Observaciones-SMP'!N606="","",'Observaciones-SMP'!N606)</f>
        <v/>
      </c>
      <c r="O606" s="193" t="str">
        <f>IF('Observaciones-SMP'!O606="","",'Observaciones-SMP'!O606)</f>
        <v/>
      </c>
      <c r="P606" s="193" t="str">
        <f>IF('Observaciones-SMP'!P606="","",'Observaciones-SMP'!P606)</f>
        <v/>
      </c>
      <c r="Q606" s="257" t="str">
        <f>IF('Observaciones-SMP'!S606="","",'Observaciones-SMP'!S606)</f>
        <v/>
      </c>
      <c r="R606" s="193" t="str">
        <f>IF('Observaciones-SMP'!T606="","",'Observaciones-SMP'!T606)</f>
        <v/>
      </c>
      <c r="S606" s="193" t="str">
        <f>""</f>
        <v/>
      </c>
      <c r="T606" s="193" t="str">
        <f>""</f>
        <v/>
      </c>
      <c r="U606" s="193" t="str">
        <f t="shared" si="36"/>
        <v/>
      </c>
      <c r="V606" s="193" t="str">
        <f>""</f>
        <v/>
      </c>
      <c r="W606" s="193" t="str">
        <f>""</f>
        <v/>
      </c>
      <c r="X606" s="258" t="str">
        <f t="shared" si="37"/>
        <v/>
      </c>
      <c r="Y606" s="258" t="str">
        <f t="shared" si="38"/>
        <v/>
      </c>
      <c r="Z606" s="193" t="str">
        <f>IF(A606="","",IF(COUNTIF('Observaciones-SMP'!$A$2:$A$1001,A606)&gt;1,1,0))</f>
        <v/>
      </c>
      <c r="AA606" s="193" t="str">
        <f t="shared" si="39"/>
        <v/>
      </c>
    </row>
    <row r="607" spans="1:27" ht="13.5" customHeight="1" x14ac:dyDescent="0.3">
      <c r="A607" s="193" t="str">
        <f>IF('Observaciones-SMP'!A607="","",'Observaciones-SMP'!A607)</f>
        <v/>
      </c>
      <c r="B607" s="257" t="str">
        <f>IF('Observaciones-SMP'!B607="","",'Observaciones-SMP'!B607)</f>
        <v/>
      </c>
      <c r="C607" s="193" t="str">
        <f>IF('Observaciones-SMP'!C607="","",'Observaciones-SMP'!C607)</f>
        <v/>
      </c>
      <c r="D607" s="193" t="str">
        <f>IF('Observaciones-SMP'!D607="","",'Observaciones-SMP'!D607)</f>
        <v/>
      </c>
      <c r="E607" s="193" t="str">
        <f>IF('Observaciones-SMP'!E607="","",'Observaciones-SMP'!E607)</f>
        <v/>
      </c>
      <c r="F607" s="193" t="str">
        <f>IF('Observaciones-SMP'!F607="","",'Observaciones-SMP'!F607)</f>
        <v/>
      </c>
      <c r="G607" s="193" t="str">
        <f>IF('Observaciones-SMP'!G607="","",'Observaciones-SMP'!G607)</f>
        <v/>
      </c>
      <c r="H607" s="193" t="str">
        <f>IF('Observaciones-SMP'!H607="","",'Observaciones-SMP'!H607)</f>
        <v/>
      </c>
      <c r="I607" s="193" t="str">
        <f>IF('Observaciones-SMP'!I607="","",'Observaciones-SMP'!I607)</f>
        <v/>
      </c>
      <c r="J607" s="193" t="str">
        <f>IF('Observaciones-SMP'!J607="","",'Observaciones-SMP'!J607)</f>
        <v/>
      </c>
      <c r="K607" s="193" t="str">
        <f>IF('Observaciones-SMP'!K607="","",'Observaciones-SMP'!K607)</f>
        <v/>
      </c>
      <c r="L607" s="193" t="str">
        <f>IF('Observaciones-SMP'!L607="","",'Observaciones-SMP'!L607)</f>
        <v/>
      </c>
      <c r="M607" s="193" t="str">
        <f>IF('Observaciones-SMP'!M607="","",'Observaciones-SMP'!M607)</f>
        <v/>
      </c>
      <c r="N607" s="193" t="str">
        <f>IF('Observaciones-SMP'!N607="","",'Observaciones-SMP'!N607)</f>
        <v/>
      </c>
      <c r="O607" s="193" t="str">
        <f>IF('Observaciones-SMP'!O607="","",'Observaciones-SMP'!O607)</f>
        <v/>
      </c>
      <c r="P607" s="193" t="str">
        <f>IF('Observaciones-SMP'!P607="","",'Observaciones-SMP'!P607)</f>
        <v/>
      </c>
      <c r="Q607" s="257" t="str">
        <f>IF('Observaciones-SMP'!S607="","",'Observaciones-SMP'!S607)</f>
        <v/>
      </c>
      <c r="R607" s="193" t="str">
        <f>IF('Observaciones-SMP'!T607="","",'Observaciones-SMP'!T607)</f>
        <v/>
      </c>
      <c r="S607" s="193" t="str">
        <f>""</f>
        <v/>
      </c>
      <c r="T607" s="193" t="str">
        <f>""</f>
        <v/>
      </c>
      <c r="U607" s="193" t="str">
        <f t="shared" si="36"/>
        <v/>
      </c>
      <c r="V607" s="193" t="str">
        <f>""</f>
        <v/>
      </c>
      <c r="W607" s="193" t="str">
        <f>""</f>
        <v/>
      </c>
      <c r="X607" s="258" t="str">
        <f t="shared" si="37"/>
        <v/>
      </c>
      <c r="Y607" s="258" t="str">
        <f t="shared" si="38"/>
        <v/>
      </c>
      <c r="Z607" s="193" t="str">
        <f>IF(A607="","",IF(COUNTIF('Observaciones-SMP'!$A$2:$A$1001,A607)&gt;1,1,0))</f>
        <v/>
      </c>
      <c r="AA607" s="193" t="str">
        <f t="shared" si="39"/>
        <v/>
      </c>
    </row>
    <row r="608" spans="1:27" ht="13.5" customHeight="1" x14ac:dyDescent="0.3">
      <c r="A608" s="193" t="str">
        <f>IF('Observaciones-SMP'!A608="","",'Observaciones-SMP'!A608)</f>
        <v/>
      </c>
      <c r="B608" s="257" t="str">
        <f>IF('Observaciones-SMP'!B608="","",'Observaciones-SMP'!B608)</f>
        <v/>
      </c>
      <c r="C608" s="193" t="str">
        <f>IF('Observaciones-SMP'!C608="","",'Observaciones-SMP'!C608)</f>
        <v/>
      </c>
      <c r="D608" s="193" t="str">
        <f>IF('Observaciones-SMP'!D608="","",'Observaciones-SMP'!D608)</f>
        <v/>
      </c>
      <c r="E608" s="193" t="str">
        <f>IF('Observaciones-SMP'!E608="","",'Observaciones-SMP'!E608)</f>
        <v/>
      </c>
      <c r="F608" s="193" t="str">
        <f>IF('Observaciones-SMP'!F608="","",'Observaciones-SMP'!F608)</f>
        <v/>
      </c>
      <c r="G608" s="193" t="str">
        <f>IF('Observaciones-SMP'!G608="","",'Observaciones-SMP'!G608)</f>
        <v/>
      </c>
      <c r="H608" s="193" t="str">
        <f>IF('Observaciones-SMP'!H608="","",'Observaciones-SMP'!H608)</f>
        <v/>
      </c>
      <c r="I608" s="193" t="str">
        <f>IF('Observaciones-SMP'!I608="","",'Observaciones-SMP'!I608)</f>
        <v/>
      </c>
      <c r="J608" s="193" t="str">
        <f>IF('Observaciones-SMP'!J608="","",'Observaciones-SMP'!J608)</f>
        <v/>
      </c>
      <c r="K608" s="193" t="str">
        <f>IF('Observaciones-SMP'!K608="","",'Observaciones-SMP'!K608)</f>
        <v/>
      </c>
      <c r="L608" s="193" t="str">
        <f>IF('Observaciones-SMP'!L608="","",'Observaciones-SMP'!L608)</f>
        <v/>
      </c>
      <c r="M608" s="193" t="str">
        <f>IF('Observaciones-SMP'!M608="","",'Observaciones-SMP'!M608)</f>
        <v/>
      </c>
      <c r="N608" s="193" t="str">
        <f>IF('Observaciones-SMP'!N608="","",'Observaciones-SMP'!N608)</f>
        <v/>
      </c>
      <c r="O608" s="193" t="str">
        <f>IF('Observaciones-SMP'!O608="","",'Observaciones-SMP'!O608)</f>
        <v/>
      </c>
      <c r="P608" s="193" t="str">
        <f>IF('Observaciones-SMP'!P608="","",'Observaciones-SMP'!P608)</f>
        <v/>
      </c>
      <c r="Q608" s="257" t="str">
        <f>IF('Observaciones-SMP'!S608="","",'Observaciones-SMP'!S608)</f>
        <v/>
      </c>
      <c r="R608" s="193" t="str">
        <f>IF('Observaciones-SMP'!T608="","",'Observaciones-SMP'!T608)</f>
        <v/>
      </c>
      <c r="S608" s="193" t="str">
        <f>""</f>
        <v/>
      </c>
      <c r="T608" s="193" t="str">
        <f>""</f>
        <v/>
      </c>
      <c r="U608" s="193" t="str">
        <f t="shared" si="36"/>
        <v/>
      </c>
      <c r="V608" s="193" t="str">
        <f>""</f>
        <v/>
      </c>
      <c r="W608" s="193" t="str">
        <f>""</f>
        <v/>
      </c>
      <c r="X608" s="258" t="str">
        <f t="shared" si="37"/>
        <v/>
      </c>
      <c r="Y608" s="258" t="str">
        <f t="shared" si="38"/>
        <v/>
      </c>
      <c r="Z608" s="193" t="str">
        <f>IF(A608="","",IF(COUNTIF('Observaciones-SMP'!$A$2:$A$1001,A608)&gt;1,1,0))</f>
        <v/>
      </c>
      <c r="AA608" s="193" t="str">
        <f t="shared" si="39"/>
        <v/>
      </c>
    </row>
    <row r="609" spans="1:27" ht="13.5" customHeight="1" x14ac:dyDescent="0.3">
      <c r="A609" s="193" t="str">
        <f>IF('Observaciones-SMP'!A609="","",'Observaciones-SMP'!A609)</f>
        <v/>
      </c>
      <c r="B609" s="257" t="str">
        <f>IF('Observaciones-SMP'!B609="","",'Observaciones-SMP'!B609)</f>
        <v/>
      </c>
      <c r="C609" s="193" t="str">
        <f>IF('Observaciones-SMP'!C609="","",'Observaciones-SMP'!C609)</f>
        <v/>
      </c>
      <c r="D609" s="193" t="str">
        <f>IF('Observaciones-SMP'!D609="","",'Observaciones-SMP'!D609)</f>
        <v/>
      </c>
      <c r="E609" s="193" t="str">
        <f>IF('Observaciones-SMP'!E609="","",'Observaciones-SMP'!E609)</f>
        <v/>
      </c>
      <c r="F609" s="193" t="str">
        <f>IF('Observaciones-SMP'!F609="","",'Observaciones-SMP'!F609)</f>
        <v/>
      </c>
      <c r="G609" s="193" t="str">
        <f>IF('Observaciones-SMP'!G609="","",'Observaciones-SMP'!G609)</f>
        <v/>
      </c>
      <c r="H609" s="193" t="str">
        <f>IF('Observaciones-SMP'!H609="","",'Observaciones-SMP'!H609)</f>
        <v/>
      </c>
      <c r="I609" s="193" t="str">
        <f>IF('Observaciones-SMP'!I609="","",'Observaciones-SMP'!I609)</f>
        <v/>
      </c>
      <c r="J609" s="193" t="str">
        <f>IF('Observaciones-SMP'!J609="","",'Observaciones-SMP'!J609)</f>
        <v/>
      </c>
      <c r="K609" s="193" t="str">
        <f>IF('Observaciones-SMP'!K609="","",'Observaciones-SMP'!K609)</f>
        <v/>
      </c>
      <c r="L609" s="193" t="str">
        <f>IF('Observaciones-SMP'!L609="","",'Observaciones-SMP'!L609)</f>
        <v/>
      </c>
      <c r="M609" s="193" t="str">
        <f>IF('Observaciones-SMP'!M609="","",'Observaciones-SMP'!M609)</f>
        <v/>
      </c>
      <c r="N609" s="193" t="str">
        <f>IF('Observaciones-SMP'!N609="","",'Observaciones-SMP'!N609)</f>
        <v/>
      </c>
      <c r="O609" s="193" t="str">
        <f>IF('Observaciones-SMP'!O609="","",'Observaciones-SMP'!O609)</f>
        <v/>
      </c>
      <c r="P609" s="193" t="str">
        <f>IF('Observaciones-SMP'!P609="","",'Observaciones-SMP'!P609)</f>
        <v/>
      </c>
      <c r="Q609" s="257" t="str">
        <f>IF('Observaciones-SMP'!S609="","",'Observaciones-SMP'!S609)</f>
        <v/>
      </c>
      <c r="R609" s="193" t="str">
        <f>IF('Observaciones-SMP'!T609="","",'Observaciones-SMP'!T609)</f>
        <v/>
      </c>
      <c r="S609" s="193" t="str">
        <f>""</f>
        <v/>
      </c>
      <c r="T609" s="193" t="str">
        <f>""</f>
        <v/>
      </c>
      <c r="U609" s="193" t="str">
        <f t="shared" si="36"/>
        <v/>
      </c>
      <c r="V609" s="193" t="str">
        <f>""</f>
        <v/>
      </c>
      <c r="W609" s="193" t="str">
        <f>""</f>
        <v/>
      </c>
      <c r="X609" s="258" t="str">
        <f t="shared" si="37"/>
        <v/>
      </c>
      <c r="Y609" s="258" t="str">
        <f t="shared" si="38"/>
        <v/>
      </c>
      <c r="Z609" s="193" t="str">
        <f>IF(A609="","",IF(COUNTIF('Observaciones-SMP'!$A$2:$A$1001,A609)&gt;1,1,0))</f>
        <v/>
      </c>
      <c r="AA609" s="193" t="str">
        <f t="shared" si="39"/>
        <v/>
      </c>
    </row>
    <row r="610" spans="1:27" ht="13.5" customHeight="1" x14ac:dyDescent="0.3">
      <c r="A610" s="193" t="str">
        <f>IF('Observaciones-SMP'!A610="","",'Observaciones-SMP'!A610)</f>
        <v/>
      </c>
      <c r="B610" s="257" t="str">
        <f>IF('Observaciones-SMP'!B610="","",'Observaciones-SMP'!B610)</f>
        <v/>
      </c>
      <c r="C610" s="193" t="str">
        <f>IF('Observaciones-SMP'!C610="","",'Observaciones-SMP'!C610)</f>
        <v/>
      </c>
      <c r="D610" s="193" t="str">
        <f>IF('Observaciones-SMP'!D610="","",'Observaciones-SMP'!D610)</f>
        <v/>
      </c>
      <c r="E610" s="193" t="str">
        <f>IF('Observaciones-SMP'!E610="","",'Observaciones-SMP'!E610)</f>
        <v/>
      </c>
      <c r="F610" s="193" t="str">
        <f>IF('Observaciones-SMP'!F610="","",'Observaciones-SMP'!F610)</f>
        <v/>
      </c>
      <c r="G610" s="193" t="str">
        <f>IF('Observaciones-SMP'!G610="","",'Observaciones-SMP'!G610)</f>
        <v/>
      </c>
      <c r="H610" s="193" t="str">
        <f>IF('Observaciones-SMP'!H610="","",'Observaciones-SMP'!H610)</f>
        <v/>
      </c>
      <c r="I610" s="193" t="str">
        <f>IF('Observaciones-SMP'!I610="","",'Observaciones-SMP'!I610)</f>
        <v/>
      </c>
      <c r="J610" s="193" t="str">
        <f>IF('Observaciones-SMP'!J610="","",'Observaciones-SMP'!J610)</f>
        <v/>
      </c>
      <c r="K610" s="193" t="str">
        <f>IF('Observaciones-SMP'!K610="","",'Observaciones-SMP'!K610)</f>
        <v/>
      </c>
      <c r="L610" s="193" t="str">
        <f>IF('Observaciones-SMP'!L610="","",'Observaciones-SMP'!L610)</f>
        <v/>
      </c>
      <c r="M610" s="193" t="str">
        <f>IF('Observaciones-SMP'!M610="","",'Observaciones-SMP'!M610)</f>
        <v/>
      </c>
      <c r="N610" s="193" t="str">
        <f>IF('Observaciones-SMP'!N610="","",'Observaciones-SMP'!N610)</f>
        <v/>
      </c>
      <c r="O610" s="193" t="str">
        <f>IF('Observaciones-SMP'!O610="","",'Observaciones-SMP'!O610)</f>
        <v/>
      </c>
      <c r="P610" s="193" t="str">
        <f>IF('Observaciones-SMP'!P610="","",'Observaciones-SMP'!P610)</f>
        <v/>
      </c>
      <c r="Q610" s="257" t="str">
        <f>IF('Observaciones-SMP'!S610="","",'Observaciones-SMP'!S610)</f>
        <v/>
      </c>
      <c r="R610" s="193" t="str">
        <f>IF('Observaciones-SMP'!T610="","",'Observaciones-SMP'!T610)</f>
        <v/>
      </c>
      <c r="S610" s="193" t="str">
        <f>""</f>
        <v/>
      </c>
      <c r="T610" s="193" t="str">
        <f>""</f>
        <v/>
      </c>
      <c r="U610" s="193" t="str">
        <f t="shared" si="36"/>
        <v/>
      </c>
      <c r="V610" s="193" t="str">
        <f>""</f>
        <v/>
      </c>
      <c r="W610" s="193" t="str">
        <f>""</f>
        <v/>
      </c>
      <c r="X610" s="258" t="str">
        <f t="shared" si="37"/>
        <v/>
      </c>
      <c r="Y610" s="258" t="str">
        <f t="shared" si="38"/>
        <v/>
      </c>
      <c r="Z610" s="193" t="str">
        <f>IF(A610="","",IF(COUNTIF('Observaciones-SMP'!$A$2:$A$1001,A610)&gt;1,1,0))</f>
        <v/>
      </c>
      <c r="AA610" s="193" t="str">
        <f t="shared" si="39"/>
        <v/>
      </c>
    </row>
    <row r="611" spans="1:27" ht="13.5" customHeight="1" x14ac:dyDescent="0.3">
      <c r="A611" s="193" t="str">
        <f>IF('Observaciones-SMP'!A611="","",'Observaciones-SMP'!A611)</f>
        <v/>
      </c>
      <c r="B611" s="257" t="str">
        <f>IF('Observaciones-SMP'!B611="","",'Observaciones-SMP'!B611)</f>
        <v/>
      </c>
      <c r="C611" s="193" t="str">
        <f>IF('Observaciones-SMP'!C611="","",'Observaciones-SMP'!C611)</f>
        <v/>
      </c>
      <c r="D611" s="193" t="str">
        <f>IF('Observaciones-SMP'!D611="","",'Observaciones-SMP'!D611)</f>
        <v/>
      </c>
      <c r="E611" s="193" t="str">
        <f>IF('Observaciones-SMP'!E611="","",'Observaciones-SMP'!E611)</f>
        <v/>
      </c>
      <c r="F611" s="193" t="str">
        <f>IF('Observaciones-SMP'!F611="","",'Observaciones-SMP'!F611)</f>
        <v/>
      </c>
      <c r="G611" s="193" t="str">
        <f>IF('Observaciones-SMP'!G611="","",'Observaciones-SMP'!G611)</f>
        <v/>
      </c>
      <c r="H611" s="193" t="str">
        <f>IF('Observaciones-SMP'!H611="","",'Observaciones-SMP'!H611)</f>
        <v/>
      </c>
      <c r="I611" s="193" t="str">
        <f>IF('Observaciones-SMP'!I611="","",'Observaciones-SMP'!I611)</f>
        <v/>
      </c>
      <c r="J611" s="193" t="str">
        <f>IF('Observaciones-SMP'!J611="","",'Observaciones-SMP'!J611)</f>
        <v/>
      </c>
      <c r="K611" s="193" t="str">
        <f>IF('Observaciones-SMP'!K611="","",'Observaciones-SMP'!K611)</f>
        <v/>
      </c>
      <c r="L611" s="193" t="str">
        <f>IF('Observaciones-SMP'!L611="","",'Observaciones-SMP'!L611)</f>
        <v/>
      </c>
      <c r="M611" s="193" t="str">
        <f>IF('Observaciones-SMP'!M611="","",'Observaciones-SMP'!M611)</f>
        <v/>
      </c>
      <c r="N611" s="193" t="str">
        <f>IF('Observaciones-SMP'!N611="","",'Observaciones-SMP'!N611)</f>
        <v/>
      </c>
      <c r="O611" s="193" t="str">
        <f>IF('Observaciones-SMP'!O611="","",'Observaciones-SMP'!O611)</f>
        <v/>
      </c>
      <c r="P611" s="193" t="str">
        <f>IF('Observaciones-SMP'!P611="","",'Observaciones-SMP'!P611)</f>
        <v/>
      </c>
      <c r="Q611" s="257" t="str">
        <f>IF('Observaciones-SMP'!S611="","",'Observaciones-SMP'!S611)</f>
        <v/>
      </c>
      <c r="R611" s="193" t="str">
        <f>IF('Observaciones-SMP'!T611="","",'Observaciones-SMP'!T611)</f>
        <v/>
      </c>
      <c r="S611" s="193" t="str">
        <f>""</f>
        <v/>
      </c>
      <c r="T611" s="193" t="str">
        <f>""</f>
        <v/>
      </c>
      <c r="U611" s="193" t="str">
        <f t="shared" si="36"/>
        <v/>
      </c>
      <c r="V611" s="193" t="str">
        <f>""</f>
        <v/>
      </c>
      <c r="W611" s="193" t="str">
        <f>""</f>
        <v/>
      </c>
      <c r="X611" s="258" t="str">
        <f t="shared" si="37"/>
        <v/>
      </c>
      <c r="Y611" s="258" t="str">
        <f t="shared" si="38"/>
        <v/>
      </c>
      <c r="Z611" s="193" t="str">
        <f>IF(A611="","",IF(COUNTIF('Observaciones-SMP'!$A$2:$A$1001,A611)&gt;1,1,0))</f>
        <v/>
      </c>
      <c r="AA611" s="193" t="str">
        <f t="shared" si="39"/>
        <v/>
      </c>
    </row>
    <row r="612" spans="1:27" ht="13.5" customHeight="1" x14ac:dyDescent="0.3">
      <c r="A612" s="193" t="str">
        <f>IF('Observaciones-SMP'!A612="","",'Observaciones-SMP'!A612)</f>
        <v/>
      </c>
      <c r="B612" s="257" t="str">
        <f>IF('Observaciones-SMP'!B612="","",'Observaciones-SMP'!B612)</f>
        <v/>
      </c>
      <c r="C612" s="193" t="str">
        <f>IF('Observaciones-SMP'!C612="","",'Observaciones-SMP'!C612)</f>
        <v/>
      </c>
      <c r="D612" s="193" t="str">
        <f>IF('Observaciones-SMP'!D612="","",'Observaciones-SMP'!D612)</f>
        <v/>
      </c>
      <c r="E612" s="193" t="str">
        <f>IF('Observaciones-SMP'!E612="","",'Observaciones-SMP'!E612)</f>
        <v/>
      </c>
      <c r="F612" s="193" t="str">
        <f>IF('Observaciones-SMP'!F612="","",'Observaciones-SMP'!F612)</f>
        <v/>
      </c>
      <c r="G612" s="193" t="str">
        <f>IF('Observaciones-SMP'!G612="","",'Observaciones-SMP'!G612)</f>
        <v/>
      </c>
      <c r="H612" s="193" t="str">
        <f>IF('Observaciones-SMP'!H612="","",'Observaciones-SMP'!H612)</f>
        <v/>
      </c>
      <c r="I612" s="193" t="str">
        <f>IF('Observaciones-SMP'!I612="","",'Observaciones-SMP'!I612)</f>
        <v/>
      </c>
      <c r="J612" s="193" t="str">
        <f>IF('Observaciones-SMP'!J612="","",'Observaciones-SMP'!J612)</f>
        <v/>
      </c>
      <c r="K612" s="193" t="str">
        <f>IF('Observaciones-SMP'!K612="","",'Observaciones-SMP'!K612)</f>
        <v/>
      </c>
      <c r="L612" s="193" t="str">
        <f>IF('Observaciones-SMP'!L612="","",'Observaciones-SMP'!L612)</f>
        <v/>
      </c>
      <c r="M612" s="193" t="str">
        <f>IF('Observaciones-SMP'!M612="","",'Observaciones-SMP'!M612)</f>
        <v/>
      </c>
      <c r="N612" s="193" t="str">
        <f>IF('Observaciones-SMP'!N612="","",'Observaciones-SMP'!N612)</f>
        <v/>
      </c>
      <c r="O612" s="193" t="str">
        <f>IF('Observaciones-SMP'!O612="","",'Observaciones-SMP'!O612)</f>
        <v/>
      </c>
      <c r="P612" s="193" t="str">
        <f>IF('Observaciones-SMP'!P612="","",'Observaciones-SMP'!P612)</f>
        <v/>
      </c>
      <c r="Q612" s="257" t="str">
        <f>IF('Observaciones-SMP'!S612="","",'Observaciones-SMP'!S612)</f>
        <v/>
      </c>
      <c r="R612" s="193" t="str">
        <f>IF('Observaciones-SMP'!T612="","",'Observaciones-SMP'!T612)</f>
        <v/>
      </c>
      <c r="S612" s="193" t="str">
        <f>""</f>
        <v/>
      </c>
      <c r="T612" s="193" t="str">
        <f>""</f>
        <v/>
      </c>
      <c r="U612" s="193" t="str">
        <f t="shared" si="36"/>
        <v/>
      </c>
      <c r="V612" s="193" t="str">
        <f>""</f>
        <v/>
      </c>
      <c r="W612" s="193" t="str">
        <f>""</f>
        <v/>
      </c>
      <c r="X612" s="258" t="str">
        <f t="shared" si="37"/>
        <v/>
      </c>
      <c r="Y612" s="258" t="str">
        <f t="shared" si="38"/>
        <v/>
      </c>
      <c r="Z612" s="193" t="str">
        <f>IF(A612="","",IF(COUNTIF('Observaciones-SMP'!$A$2:$A$1001,A612)&gt;1,1,0))</f>
        <v/>
      </c>
      <c r="AA612" s="193" t="str">
        <f t="shared" si="39"/>
        <v/>
      </c>
    </row>
    <row r="613" spans="1:27" ht="13.5" customHeight="1" x14ac:dyDescent="0.3">
      <c r="A613" s="193" t="str">
        <f>IF('Observaciones-SMP'!A613="","",'Observaciones-SMP'!A613)</f>
        <v/>
      </c>
      <c r="B613" s="257" t="str">
        <f>IF('Observaciones-SMP'!B613="","",'Observaciones-SMP'!B613)</f>
        <v/>
      </c>
      <c r="C613" s="193" t="str">
        <f>IF('Observaciones-SMP'!C613="","",'Observaciones-SMP'!C613)</f>
        <v/>
      </c>
      <c r="D613" s="193" t="str">
        <f>IF('Observaciones-SMP'!D613="","",'Observaciones-SMP'!D613)</f>
        <v/>
      </c>
      <c r="E613" s="193" t="str">
        <f>IF('Observaciones-SMP'!E613="","",'Observaciones-SMP'!E613)</f>
        <v/>
      </c>
      <c r="F613" s="193" t="str">
        <f>IF('Observaciones-SMP'!F613="","",'Observaciones-SMP'!F613)</f>
        <v/>
      </c>
      <c r="G613" s="193" t="str">
        <f>IF('Observaciones-SMP'!G613="","",'Observaciones-SMP'!G613)</f>
        <v/>
      </c>
      <c r="H613" s="193" t="str">
        <f>IF('Observaciones-SMP'!H613="","",'Observaciones-SMP'!H613)</f>
        <v/>
      </c>
      <c r="I613" s="193" t="str">
        <f>IF('Observaciones-SMP'!I613="","",'Observaciones-SMP'!I613)</f>
        <v/>
      </c>
      <c r="J613" s="193" t="str">
        <f>IF('Observaciones-SMP'!J613="","",'Observaciones-SMP'!J613)</f>
        <v/>
      </c>
      <c r="K613" s="193" t="str">
        <f>IF('Observaciones-SMP'!K613="","",'Observaciones-SMP'!K613)</f>
        <v/>
      </c>
      <c r="L613" s="193" t="str">
        <f>IF('Observaciones-SMP'!L613="","",'Observaciones-SMP'!L613)</f>
        <v/>
      </c>
      <c r="M613" s="193" t="str">
        <f>IF('Observaciones-SMP'!M613="","",'Observaciones-SMP'!M613)</f>
        <v/>
      </c>
      <c r="N613" s="193" t="str">
        <f>IF('Observaciones-SMP'!N613="","",'Observaciones-SMP'!N613)</f>
        <v/>
      </c>
      <c r="O613" s="193" t="str">
        <f>IF('Observaciones-SMP'!O613="","",'Observaciones-SMP'!O613)</f>
        <v/>
      </c>
      <c r="P613" s="193" t="str">
        <f>IF('Observaciones-SMP'!P613="","",'Observaciones-SMP'!P613)</f>
        <v/>
      </c>
      <c r="Q613" s="257" t="str">
        <f>IF('Observaciones-SMP'!S613="","",'Observaciones-SMP'!S613)</f>
        <v/>
      </c>
      <c r="R613" s="193" t="str">
        <f>IF('Observaciones-SMP'!T613="","",'Observaciones-SMP'!T613)</f>
        <v/>
      </c>
      <c r="S613" s="193" t="str">
        <f>""</f>
        <v/>
      </c>
      <c r="T613" s="193" t="str">
        <f>""</f>
        <v/>
      </c>
      <c r="U613" s="193" t="str">
        <f t="shared" si="36"/>
        <v/>
      </c>
      <c r="V613" s="193" t="str">
        <f>""</f>
        <v/>
      </c>
      <c r="W613" s="193" t="str">
        <f>""</f>
        <v/>
      </c>
      <c r="X613" s="258" t="str">
        <f t="shared" si="37"/>
        <v/>
      </c>
      <c r="Y613" s="258" t="str">
        <f t="shared" si="38"/>
        <v/>
      </c>
      <c r="Z613" s="193" t="str">
        <f>IF(A613="","",IF(COUNTIF('Observaciones-SMP'!$A$2:$A$1001,A613)&gt;1,1,0))</f>
        <v/>
      </c>
      <c r="AA613" s="193" t="str">
        <f t="shared" si="39"/>
        <v/>
      </c>
    </row>
    <row r="614" spans="1:27" ht="13.5" customHeight="1" x14ac:dyDescent="0.3">
      <c r="A614" s="193" t="str">
        <f>IF('Observaciones-SMP'!A614="","",'Observaciones-SMP'!A614)</f>
        <v/>
      </c>
      <c r="B614" s="257" t="str">
        <f>IF('Observaciones-SMP'!B614="","",'Observaciones-SMP'!B614)</f>
        <v/>
      </c>
      <c r="C614" s="193" t="str">
        <f>IF('Observaciones-SMP'!C614="","",'Observaciones-SMP'!C614)</f>
        <v/>
      </c>
      <c r="D614" s="193" t="str">
        <f>IF('Observaciones-SMP'!D614="","",'Observaciones-SMP'!D614)</f>
        <v/>
      </c>
      <c r="E614" s="193" t="str">
        <f>IF('Observaciones-SMP'!E614="","",'Observaciones-SMP'!E614)</f>
        <v/>
      </c>
      <c r="F614" s="193" t="str">
        <f>IF('Observaciones-SMP'!F614="","",'Observaciones-SMP'!F614)</f>
        <v/>
      </c>
      <c r="G614" s="193" t="str">
        <f>IF('Observaciones-SMP'!G614="","",'Observaciones-SMP'!G614)</f>
        <v/>
      </c>
      <c r="H614" s="193" t="str">
        <f>IF('Observaciones-SMP'!H614="","",'Observaciones-SMP'!H614)</f>
        <v/>
      </c>
      <c r="I614" s="193" t="str">
        <f>IF('Observaciones-SMP'!I614="","",'Observaciones-SMP'!I614)</f>
        <v/>
      </c>
      <c r="J614" s="193" t="str">
        <f>IF('Observaciones-SMP'!J614="","",'Observaciones-SMP'!J614)</f>
        <v/>
      </c>
      <c r="K614" s="193" t="str">
        <f>IF('Observaciones-SMP'!K614="","",'Observaciones-SMP'!K614)</f>
        <v/>
      </c>
      <c r="L614" s="193" t="str">
        <f>IF('Observaciones-SMP'!L614="","",'Observaciones-SMP'!L614)</f>
        <v/>
      </c>
      <c r="M614" s="193" t="str">
        <f>IF('Observaciones-SMP'!M614="","",'Observaciones-SMP'!M614)</f>
        <v/>
      </c>
      <c r="N614" s="193" t="str">
        <f>IF('Observaciones-SMP'!N614="","",'Observaciones-SMP'!N614)</f>
        <v/>
      </c>
      <c r="O614" s="193" t="str">
        <f>IF('Observaciones-SMP'!O614="","",'Observaciones-SMP'!O614)</f>
        <v/>
      </c>
      <c r="P614" s="193" t="str">
        <f>IF('Observaciones-SMP'!P614="","",'Observaciones-SMP'!P614)</f>
        <v/>
      </c>
      <c r="Q614" s="257" t="str">
        <f>IF('Observaciones-SMP'!S614="","",'Observaciones-SMP'!S614)</f>
        <v/>
      </c>
      <c r="R614" s="193" t="str">
        <f>IF('Observaciones-SMP'!T614="","",'Observaciones-SMP'!T614)</f>
        <v/>
      </c>
      <c r="S614" s="193" t="str">
        <f>""</f>
        <v/>
      </c>
      <c r="T614" s="193" t="str">
        <f>""</f>
        <v/>
      </c>
      <c r="U614" s="193" t="str">
        <f t="shared" si="36"/>
        <v/>
      </c>
      <c r="V614" s="193" t="str">
        <f>""</f>
        <v/>
      </c>
      <c r="W614" s="193" t="str">
        <f>""</f>
        <v/>
      </c>
      <c r="X614" s="258" t="str">
        <f t="shared" si="37"/>
        <v/>
      </c>
      <c r="Y614" s="258" t="str">
        <f t="shared" si="38"/>
        <v/>
      </c>
      <c r="Z614" s="193" t="str">
        <f>IF(A614="","",IF(COUNTIF('Observaciones-SMP'!$A$2:$A$1001,A614)&gt;1,1,0))</f>
        <v/>
      </c>
      <c r="AA614" s="193" t="str">
        <f t="shared" si="39"/>
        <v/>
      </c>
    </row>
    <row r="615" spans="1:27" ht="13.5" customHeight="1" x14ac:dyDescent="0.3">
      <c r="A615" s="193" t="str">
        <f>IF('Observaciones-SMP'!A615="","",'Observaciones-SMP'!A615)</f>
        <v/>
      </c>
      <c r="B615" s="257" t="str">
        <f>IF('Observaciones-SMP'!B615="","",'Observaciones-SMP'!B615)</f>
        <v/>
      </c>
      <c r="C615" s="193" t="str">
        <f>IF('Observaciones-SMP'!C615="","",'Observaciones-SMP'!C615)</f>
        <v/>
      </c>
      <c r="D615" s="193" t="str">
        <f>IF('Observaciones-SMP'!D615="","",'Observaciones-SMP'!D615)</f>
        <v/>
      </c>
      <c r="E615" s="193" t="str">
        <f>IF('Observaciones-SMP'!E615="","",'Observaciones-SMP'!E615)</f>
        <v/>
      </c>
      <c r="F615" s="193" t="str">
        <f>IF('Observaciones-SMP'!F615="","",'Observaciones-SMP'!F615)</f>
        <v/>
      </c>
      <c r="G615" s="193" t="str">
        <f>IF('Observaciones-SMP'!G615="","",'Observaciones-SMP'!G615)</f>
        <v/>
      </c>
      <c r="H615" s="193" t="str">
        <f>IF('Observaciones-SMP'!H615="","",'Observaciones-SMP'!H615)</f>
        <v/>
      </c>
      <c r="I615" s="193" t="str">
        <f>IF('Observaciones-SMP'!I615="","",'Observaciones-SMP'!I615)</f>
        <v/>
      </c>
      <c r="J615" s="193" t="str">
        <f>IF('Observaciones-SMP'!J615="","",'Observaciones-SMP'!J615)</f>
        <v/>
      </c>
      <c r="K615" s="193" t="str">
        <f>IF('Observaciones-SMP'!K615="","",'Observaciones-SMP'!K615)</f>
        <v/>
      </c>
      <c r="L615" s="193" t="str">
        <f>IF('Observaciones-SMP'!L615="","",'Observaciones-SMP'!L615)</f>
        <v/>
      </c>
      <c r="M615" s="193" t="str">
        <f>IF('Observaciones-SMP'!M615="","",'Observaciones-SMP'!M615)</f>
        <v/>
      </c>
      <c r="N615" s="193" t="str">
        <f>IF('Observaciones-SMP'!N615="","",'Observaciones-SMP'!N615)</f>
        <v/>
      </c>
      <c r="O615" s="193" t="str">
        <f>IF('Observaciones-SMP'!O615="","",'Observaciones-SMP'!O615)</f>
        <v/>
      </c>
      <c r="P615" s="193" t="str">
        <f>IF('Observaciones-SMP'!P615="","",'Observaciones-SMP'!P615)</f>
        <v/>
      </c>
      <c r="Q615" s="257" t="str">
        <f>IF('Observaciones-SMP'!S615="","",'Observaciones-SMP'!S615)</f>
        <v/>
      </c>
      <c r="R615" s="193" t="str">
        <f>IF('Observaciones-SMP'!T615="","",'Observaciones-SMP'!T615)</f>
        <v/>
      </c>
      <c r="S615" s="193" t="str">
        <f>""</f>
        <v/>
      </c>
      <c r="T615" s="193" t="str">
        <f>""</f>
        <v/>
      </c>
      <c r="U615" s="193" t="str">
        <f t="shared" si="36"/>
        <v/>
      </c>
      <c r="V615" s="193" t="str">
        <f>""</f>
        <v/>
      </c>
      <c r="W615" s="193" t="str">
        <f>""</f>
        <v/>
      </c>
      <c r="X615" s="258" t="str">
        <f t="shared" si="37"/>
        <v/>
      </c>
      <c r="Y615" s="258" t="str">
        <f t="shared" si="38"/>
        <v/>
      </c>
      <c r="Z615" s="193" t="str">
        <f>IF(A615="","",IF(COUNTIF('Observaciones-SMP'!$A$2:$A$1001,A615)&gt;1,1,0))</f>
        <v/>
      </c>
      <c r="AA615" s="193" t="str">
        <f t="shared" si="39"/>
        <v/>
      </c>
    </row>
    <row r="616" spans="1:27" ht="13.5" customHeight="1" x14ac:dyDescent="0.3">
      <c r="A616" s="193" t="str">
        <f>IF('Observaciones-SMP'!A616="","",'Observaciones-SMP'!A616)</f>
        <v/>
      </c>
      <c r="B616" s="257" t="str">
        <f>IF('Observaciones-SMP'!B616="","",'Observaciones-SMP'!B616)</f>
        <v/>
      </c>
      <c r="C616" s="193" t="str">
        <f>IF('Observaciones-SMP'!C616="","",'Observaciones-SMP'!C616)</f>
        <v/>
      </c>
      <c r="D616" s="193" t="str">
        <f>IF('Observaciones-SMP'!D616="","",'Observaciones-SMP'!D616)</f>
        <v/>
      </c>
      <c r="E616" s="193" t="str">
        <f>IF('Observaciones-SMP'!E616="","",'Observaciones-SMP'!E616)</f>
        <v/>
      </c>
      <c r="F616" s="193" t="str">
        <f>IF('Observaciones-SMP'!F616="","",'Observaciones-SMP'!F616)</f>
        <v/>
      </c>
      <c r="G616" s="193" t="str">
        <f>IF('Observaciones-SMP'!G616="","",'Observaciones-SMP'!G616)</f>
        <v/>
      </c>
      <c r="H616" s="193" t="str">
        <f>IF('Observaciones-SMP'!H616="","",'Observaciones-SMP'!H616)</f>
        <v/>
      </c>
      <c r="I616" s="193" t="str">
        <f>IF('Observaciones-SMP'!I616="","",'Observaciones-SMP'!I616)</f>
        <v/>
      </c>
      <c r="J616" s="193" t="str">
        <f>IF('Observaciones-SMP'!J616="","",'Observaciones-SMP'!J616)</f>
        <v/>
      </c>
      <c r="K616" s="193" t="str">
        <f>IF('Observaciones-SMP'!K616="","",'Observaciones-SMP'!K616)</f>
        <v/>
      </c>
      <c r="L616" s="193" t="str">
        <f>IF('Observaciones-SMP'!L616="","",'Observaciones-SMP'!L616)</f>
        <v/>
      </c>
      <c r="M616" s="193" t="str">
        <f>IF('Observaciones-SMP'!M616="","",'Observaciones-SMP'!M616)</f>
        <v/>
      </c>
      <c r="N616" s="193" t="str">
        <f>IF('Observaciones-SMP'!N616="","",'Observaciones-SMP'!N616)</f>
        <v/>
      </c>
      <c r="O616" s="193" t="str">
        <f>IF('Observaciones-SMP'!O616="","",'Observaciones-SMP'!O616)</f>
        <v/>
      </c>
      <c r="P616" s="193" t="str">
        <f>IF('Observaciones-SMP'!P616="","",'Observaciones-SMP'!P616)</f>
        <v/>
      </c>
      <c r="Q616" s="257" t="str">
        <f>IF('Observaciones-SMP'!S616="","",'Observaciones-SMP'!S616)</f>
        <v/>
      </c>
      <c r="R616" s="193" t="str">
        <f>IF('Observaciones-SMP'!T616="","",'Observaciones-SMP'!T616)</f>
        <v/>
      </c>
      <c r="S616" s="193" t="str">
        <f>""</f>
        <v/>
      </c>
      <c r="T616" s="193" t="str">
        <f>""</f>
        <v/>
      </c>
      <c r="U616" s="193" t="str">
        <f t="shared" si="36"/>
        <v/>
      </c>
      <c r="V616" s="193" t="str">
        <f>""</f>
        <v/>
      </c>
      <c r="W616" s="193" t="str">
        <f>""</f>
        <v/>
      </c>
      <c r="X616" s="258" t="str">
        <f t="shared" si="37"/>
        <v/>
      </c>
      <c r="Y616" s="258" t="str">
        <f t="shared" si="38"/>
        <v/>
      </c>
      <c r="Z616" s="193" t="str">
        <f>IF(A616="","",IF(COUNTIF('Observaciones-SMP'!$A$2:$A$1001,A616)&gt;1,1,0))</f>
        <v/>
      </c>
      <c r="AA616" s="193" t="str">
        <f t="shared" si="39"/>
        <v/>
      </c>
    </row>
    <row r="617" spans="1:27" ht="13.5" customHeight="1" x14ac:dyDescent="0.3">
      <c r="A617" s="193" t="str">
        <f>IF('Observaciones-SMP'!A617="","",'Observaciones-SMP'!A617)</f>
        <v/>
      </c>
      <c r="B617" s="257" t="str">
        <f>IF('Observaciones-SMP'!B617="","",'Observaciones-SMP'!B617)</f>
        <v/>
      </c>
      <c r="C617" s="193" t="str">
        <f>IF('Observaciones-SMP'!C617="","",'Observaciones-SMP'!C617)</f>
        <v/>
      </c>
      <c r="D617" s="193" t="str">
        <f>IF('Observaciones-SMP'!D617="","",'Observaciones-SMP'!D617)</f>
        <v/>
      </c>
      <c r="E617" s="193" t="str">
        <f>IF('Observaciones-SMP'!E617="","",'Observaciones-SMP'!E617)</f>
        <v/>
      </c>
      <c r="F617" s="193" t="str">
        <f>IF('Observaciones-SMP'!F617="","",'Observaciones-SMP'!F617)</f>
        <v/>
      </c>
      <c r="G617" s="193" t="str">
        <f>IF('Observaciones-SMP'!G617="","",'Observaciones-SMP'!G617)</f>
        <v/>
      </c>
      <c r="H617" s="193" t="str">
        <f>IF('Observaciones-SMP'!H617="","",'Observaciones-SMP'!H617)</f>
        <v/>
      </c>
      <c r="I617" s="193" t="str">
        <f>IF('Observaciones-SMP'!I617="","",'Observaciones-SMP'!I617)</f>
        <v/>
      </c>
      <c r="J617" s="193" t="str">
        <f>IF('Observaciones-SMP'!J617="","",'Observaciones-SMP'!J617)</f>
        <v/>
      </c>
      <c r="K617" s="193" t="str">
        <f>IF('Observaciones-SMP'!K617="","",'Observaciones-SMP'!K617)</f>
        <v/>
      </c>
      <c r="L617" s="193" t="str">
        <f>IF('Observaciones-SMP'!L617="","",'Observaciones-SMP'!L617)</f>
        <v/>
      </c>
      <c r="M617" s="193" t="str">
        <f>IF('Observaciones-SMP'!M617="","",'Observaciones-SMP'!M617)</f>
        <v/>
      </c>
      <c r="N617" s="193" t="str">
        <f>IF('Observaciones-SMP'!N617="","",'Observaciones-SMP'!N617)</f>
        <v/>
      </c>
      <c r="O617" s="193" t="str">
        <f>IF('Observaciones-SMP'!O617="","",'Observaciones-SMP'!O617)</f>
        <v/>
      </c>
      <c r="P617" s="193" t="str">
        <f>IF('Observaciones-SMP'!P617="","",'Observaciones-SMP'!P617)</f>
        <v/>
      </c>
      <c r="Q617" s="257" t="str">
        <f>IF('Observaciones-SMP'!S617="","",'Observaciones-SMP'!S617)</f>
        <v/>
      </c>
      <c r="R617" s="193" t="str">
        <f>IF('Observaciones-SMP'!T617="","",'Observaciones-SMP'!T617)</f>
        <v/>
      </c>
      <c r="S617" s="193" t="str">
        <f>""</f>
        <v/>
      </c>
      <c r="T617" s="193" t="str">
        <f>""</f>
        <v/>
      </c>
      <c r="U617" s="193" t="str">
        <f t="shared" si="36"/>
        <v/>
      </c>
      <c r="V617" s="193" t="str">
        <f>""</f>
        <v/>
      </c>
      <c r="W617" s="193" t="str">
        <f>""</f>
        <v/>
      </c>
      <c r="X617" s="258" t="str">
        <f t="shared" si="37"/>
        <v/>
      </c>
      <c r="Y617" s="258" t="str">
        <f t="shared" si="38"/>
        <v/>
      </c>
      <c r="Z617" s="193" t="str">
        <f>IF(A617="","",IF(COUNTIF('Observaciones-SMP'!$A$2:$A$1001,A617)&gt;1,1,0))</f>
        <v/>
      </c>
      <c r="AA617" s="193" t="str">
        <f t="shared" si="39"/>
        <v/>
      </c>
    </row>
    <row r="618" spans="1:27" ht="13.5" customHeight="1" x14ac:dyDescent="0.3">
      <c r="A618" s="193" t="str">
        <f>IF('Observaciones-SMP'!A618="","",'Observaciones-SMP'!A618)</f>
        <v/>
      </c>
      <c r="B618" s="257" t="str">
        <f>IF('Observaciones-SMP'!B618="","",'Observaciones-SMP'!B618)</f>
        <v/>
      </c>
      <c r="C618" s="193" t="str">
        <f>IF('Observaciones-SMP'!C618="","",'Observaciones-SMP'!C618)</f>
        <v/>
      </c>
      <c r="D618" s="193" t="str">
        <f>IF('Observaciones-SMP'!D618="","",'Observaciones-SMP'!D618)</f>
        <v/>
      </c>
      <c r="E618" s="193" t="str">
        <f>IF('Observaciones-SMP'!E618="","",'Observaciones-SMP'!E618)</f>
        <v/>
      </c>
      <c r="F618" s="193" t="str">
        <f>IF('Observaciones-SMP'!F618="","",'Observaciones-SMP'!F618)</f>
        <v/>
      </c>
      <c r="G618" s="193" t="str">
        <f>IF('Observaciones-SMP'!G618="","",'Observaciones-SMP'!G618)</f>
        <v/>
      </c>
      <c r="H618" s="193" t="str">
        <f>IF('Observaciones-SMP'!H618="","",'Observaciones-SMP'!H618)</f>
        <v/>
      </c>
      <c r="I618" s="193" t="str">
        <f>IF('Observaciones-SMP'!I618="","",'Observaciones-SMP'!I618)</f>
        <v/>
      </c>
      <c r="J618" s="193" t="str">
        <f>IF('Observaciones-SMP'!J618="","",'Observaciones-SMP'!J618)</f>
        <v/>
      </c>
      <c r="K618" s="193" t="str">
        <f>IF('Observaciones-SMP'!K618="","",'Observaciones-SMP'!K618)</f>
        <v/>
      </c>
      <c r="L618" s="193" t="str">
        <f>IF('Observaciones-SMP'!L618="","",'Observaciones-SMP'!L618)</f>
        <v/>
      </c>
      <c r="M618" s="193" t="str">
        <f>IF('Observaciones-SMP'!M618="","",'Observaciones-SMP'!M618)</f>
        <v/>
      </c>
      <c r="N618" s="193" t="str">
        <f>IF('Observaciones-SMP'!N618="","",'Observaciones-SMP'!N618)</f>
        <v/>
      </c>
      <c r="O618" s="193" t="str">
        <f>IF('Observaciones-SMP'!O618="","",'Observaciones-SMP'!O618)</f>
        <v/>
      </c>
      <c r="P618" s="193" t="str">
        <f>IF('Observaciones-SMP'!P618="","",'Observaciones-SMP'!P618)</f>
        <v/>
      </c>
      <c r="Q618" s="257" t="str">
        <f>IF('Observaciones-SMP'!S618="","",'Observaciones-SMP'!S618)</f>
        <v/>
      </c>
      <c r="R618" s="193" t="str">
        <f>IF('Observaciones-SMP'!T618="","",'Observaciones-SMP'!T618)</f>
        <v/>
      </c>
      <c r="S618" s="193" t="str">
        <f>""</f>
        <v/>
      </c>
      <c r="T618" s="193" t="str">
        <f>""</f>
        <v/>
      </c>
      <c r="U618" s="193" t="str">
        <f t="shared" si="36"/>
        <v/>
      </c>
      <c r="V618" s="193" t="str">
        <f>""</f>
        <v/>
      </c>
      <c r="W618" s="193" t="str">
        <f>""</f>
        <v/>
      </c>
      <c r="X618" s="258" t="str">
        <f t="shared" si="37"/>
        <v/>
      </c>
      <c r="Y618" s="258" t="str">
        <f t="shared" si="38"/>
        <v/>
      </c>
      <c r="Z618" s="193" t="str">
        <f>IF(A618="","",IF(COUNTIF('Observaciones-SMP'!$A$2:$A$1001,A618)&gt;1,1,0))</f>
        <v/>
      </c>
      <c r="AA618" s="193" t="str">
        <f t="shared" si="39"/>
        <v/>
      </c>
    </row>
    <row r="619" spans="1:27" ht="13.5" customHeight="1" x14ac:dyDescent="0.3">
      <c r="A619" s="193" t="str">
        <f>IF('Observaciones-SMP'!A619="","",'Observaciones-SMP'!A619)</f>
        <v/>
      </c>
      <c r="B619" s="257" t="str">
        <f>IF('Observaciones-SMP'!B619="","",'Observaciones-SMP'!B619)</f>
        <v/>
      </c>
      <c r="C619" s="193" t="str">
        <f>IF('Observaciones-SMP'!C619="","",'Observaciones-SMP'!C619)</f>
        <v/>
      </c>
      <c r="D619" s="193" t="str">
        <f>IF('Observaciones-SMP'!D619="","",'Observaciones-SMP'!D619)</f>
        <v/>
      </c>
      <c r="E619" s="193" t="str">
        <f>IF('Observaciones-SMP'!E619="","",'Observaciones-SMP'!E619)</f>
        <v/>
      </c>
      <c r="F619" s="193" t="str">
        <f>IF('Observaciones-SMP'!F619="","",'Observaciones-SMP'!F619)</f>
        <v/>
      </c>
      <c r="G619" s="193" t="str">
        <f>IF('Observaciones-SMP'!G619="","",'Observaciones-SMP'!G619)</f>
        <v/>
      </c>
      <c r="H619" s="193" t="str">
        <f>IF('Observaciones-SMP'!H619="","",'Observaciones-SMP'!H619)</f>
        <v/>
      </c>
      <c r="I619" s="193" t="str">
        <f>IF('Observaciones-SMP'!I619="","",'Observaciones-SMP'!I619)</f>
        <v/>
      </c>
      <c r="J619" s="193" t="str">
        <f>IF('Observaciones-SMP'!J619="","",'Observaciones-SMP'!J619)</f>
        <v/>
      </c>
      <c r="K619" s="193" t="str">
        <f>IF('Observaciones-SMP'!K619="","",'Observaciones-SMP'!K619)</f>
        <v/>
      </c>
      <c r="L619" s="193" t="str">
        <f>IF('Observaciones-SMP'!L619="","",'Observaciones-SMP'!L619)</f>
        <v/>
      </c>
      <c r="M619" s="193" t="str">
        <f>IF('Observaciones-SMP'!M619="","",'Observaciones-SMP'!M619)</f>
        <v/>
      </c>
      <c r="N619" s="193" t="str">
        <f>IF('Observaciones-SMP'!N619="","",'Observaciones-SMP'!N619)</f>
        <v/>
      </c>
      <c r="O619" s="193" t="str">
        <f>IF('Observaciones-SMP'!O619="","",'Observaciones-SMP'!O619)</f>
        <v/>
      </c>
      <c r="P619" s="193" t="str">
        <f>IF('Observaciones-SMP'!P619="","",'Observaciones-SMP'!P619)</f>
        <v/>
      </c>
      <c r="Q619" s="257" t="str">
        <f>IF('Observaciones-SMP'!S619="","",'Observaciones-SMP'!S619)</f>
        <v/>
      </c>
      <c r="R619" s="193" t="str">
        <f>IF('Observaciones-SMP'!T619="","",'Observaciones-SMP'!T619)</f>
        <v/>
      </c>
      <c r="S619" s="193" t="str">
        <f>""</f>
        <v/>
      </c>
      <c r="T619" s="193" t="str">
        <f>""</f>
        <v/>
      </c>
      <c r="U619" s="193" t="str">
        <f t="shared" si="36"/>
        <v/>
      </c>
      <c r="V619" s="193" t="str">
        <f>""</f>
        <v/>
      </c>
      <c r="W619" s="193" t="str">
        <f>""</f>
        <v/>
      </c>
      <c r="X619" s="258" t="str">
        <f t="shared" si="37"/>
        <v/>
      </c>
      <c r="Y619" s="258" t="str">
        <f t="shared" si="38"/>
        <v/>
      </c>
      <c r="Z619" s="193" t="str">
        <f>IF(A619="","",IF(COUNTIF('Observaciones-SMP'!$A$2:$A$1001,A619)&gt;1,1,0))</f>
        <v/>
      </c>
      <c r="AA619" s="193" t="str">
        <f t="shared" si="39"/>
        <v/>
      </c>
    </row>
    <row r="620" spans="1:27" ht="13.5" customHeight="1" x14ac:dyDescent="0.3">
      <c r="A620" s="193" t="str">
        <f>IF('Observaciones-SMP'!A620="","",'Observaciones-SMP'!A620)</f>
        <v/>
      </c>
      <c r="B620" s="257" t="str">
        <f>IF('Observaciones-SMP'!B620="","",'Observaciones-SMP'!B620)</f>
        <v/>
      </c>
      <c r="C620" s="193" t="str">
        <f>IF('Observaciones-SMP'!C620="","",'Observaciones-SMP'!C620)</f>
        <v/>
      </c>
      <c r="D620" s="193" t="str">
        <f>IF('Observaciones-SMP'!D620="","",'Observaciones-SMP'!D620)</f>
        <v/>
      </c>
      <c r="E620" s="193" t="str">
        <f>IF('Observaciones-SMP'!E620="","",'Observaciones-SMP'!E620)</f>
        <v/>
      </c>
      <c r="F620" s="193" t="str">
        <f>IF('Observaciones-SMP'!F620="","",'Observaciones-SMP'!F620)</f>
        <v/>
      </c>
      <c r="G620" s="193" t="str">
        <f>IF('Observaciones-SMP'!G620="","",'Observaciones-SMP'!G620)</f>
        <v/>
      </c>
      <c r="H620" s="193" t="str">
        <f>IF('Observaciones-SMP'!H620="","",'Observaciones-SMP'!H620)</f>
        <v/>
      </c>
      <c r="I620" s="193" t="str">
        <f>IF('Observaciones-SMP'!I620="","",'Observaciones-SMP'!I620)</f>
        <v/>
      </c>
      <c r="J620" s="193" t="str">
        <f>IF('Observaciones-SMP'!J620="","",'Observaciones-SMP'!J620)</f>
        <v/>
      </c>
      <c r="K620" s="193" t="str">
        <f>IF('Observaciones-SMP'!K620="","",'Observaciones-SMP'!K620)</f>
        <v/>
      </c>
      <c r="L620" s="193" t="str">
        <f>IF('Observaciones-SMP'!L620="","",'Observaciones-SMP'!L620)</f>
        <v/>
      </c>
      <c r="M620" s="193" t="str">
        <f>IF('Observaciones-SMP'!M620="","",'Observaciones-SMP'!M620)</f>
        <v/>
      </c>
      <c r="N620" s="193" t="str">
        <f>IF('Observaciones-SMP'!N620="","",'Observaciones-SMP'!N620)</f>
        <v/>
      </c>
      <c r="O620" s="193" t="str">
        <f>IF('Observaciones-SMP'!O620="","",'Observaciones-SMP'!O620)</f>
        <v/>
      </c>
      <c r="P620" s="193" t="str">
        <f>IF('Observaciones-SMP'!P620="","",'Observaciones-SMP'!P620)</f>
        <v/>
      </c>
      <c r="Q620" s="257" t="str">
        <f>IF('Observaciones-SMP'!S620="","",'Observaciones-SMP'!S620)</f>
        <v/>
      </c>
      <c r="R620" s="193" t="str">
        <f>IF('Observaciones-SMP'!T620="","",'Observaciones-SMP'!T620)</f>
        <v/>
      </c>
      <c r="S620" s="193" t="str">
        <f>""</f>
        <v/>
      </c>
      <c r="T620" s="193" t="str">
        <f>""</f>
        <v/>
      </c>
      <c r="U620" s="193" t="str">
        <f t="shared" si="36"/>
        <v/>
      </c>
      <c r="V620" s="193" t="str">
        <f>""</f>
        <v/>
      </c>
      <c r="W620" s="193" t="str">
        <f>""</f>
        <v/>
      </c>
      <c r="X620" s="258" t="str">
        <f t="shared" si="37"/>
        <v/>
      </c>
      <c r="Y620" s="258" t="str">
        <f t="shared" si="38"/>
        <v/>
      </c>
      <c r="Z620" s="193" t="str">
        <f>IF(A620="","",IF(COUNTIF('Observaciones-SMP'!$A$2:$A$1001,A620)&gt;1,1,0))</f>
        <v/>
      </c>
      <c r="AA620" s="193" t="str">
        <f t="shared" si="39"/>
        <v/>
      </c>
    </row>
    <row r="621" spans="1:27" ht="13.5" customHeight="1" x14ac:dyDescent="0.3">
      <c r="A621" s="193" t="str">
        <f>IF('Observaciones-SMP'!A621="","",'Observaciones-SMP'!A621)</f>
        <v/>
      </c>
      <c r="B621" s="257" t="str">
        <f>IF('Observaciones-SMP'!B621="","",'Observaciones-SMP'!B621)</f>
        <v/>
      </c>
      <c r="C621" s="193" t="str">
        <f>IF('Observaciones-SMP'!C621="","",'Observaciones-SMP'!C621)</f>
        <v/>
      </c>
      <c r="D621" s="193" t="str">
        <f>IF('Observaciones-SMP'!D621="","",'Observaciones-SMP'!D621)</f>
        <v/>
      </c>
      <c r="E621" s="193" t="str">
        <f>IF('Observaciones-SMP'!E621="","",'Observaciones-SMP'!E621)</f>
        <v/>
      </c>
      <c r="F621" s="193" t="str">
        <f>IF('Observaciones-SMP'!F621="","",'Observaciones-SMP'!F621)</f>
        <v/>
      </c>
      <c r="G621" s="193" t="str">
        <f>IF('Observaciones-SMP'!G621="","",'Observaciones-SMP'!G621)</f>
        <v/>
      </c>
      <c r="H621" s="193" t="str">
        <f>IF('Observaciones-SMP'!H621="","",'Observaciones-SMP'!H621)</f>
        <v/>
      </c>
      <c r="I621" s="193" t="str">
        <f>IF('Observaciones-SMP'!I621="","",'Observaciones-SMP'!I621)</f>
        <v/>
      </c>
      <c r="J621" s="193" t="str">
        <f>IF('Observaciones-SMP'!J621="","",'Observaciones-SMP'!J621)</f>
        <v/>
      </c>
      <c r="K621" s="193" t="str">
        <f>IF('Observaciones-SMP'!K621="","",'Observaciones-SMP'!K621)</f>
        <v/>
      </c>
      <c r="L621" s="193" t="str">
        <f>IF('Observaciones-SMP'!L621="","",'Observaciones-SMP'!L621)</f>
        <v/>
      </c>
      <c r="M621" s="193" t="str">
        <f>IF('Observaciones-SMP'!M621="","",'Observaciones-SMP'!M621)</f>
        <v/>
      </c>
      <c r="N621" s="193" t="str">
        <f>IF('Observaciones-SMP'!N621="","",'Observaciones-SMP'!N621)</f>
        <v/>
      </c>
      <c r="O621" s="193" t="str">
        <f>IF('Observaciones-SMP'!O621="","",'Observaciones-SMP'!O621)</f>
        <v/>
      </c>
      <c r="P621" s="193" t="str">
        <f>IF('Observaciones-SMP'!P621="","",'Observaciones-SMP'!P621)</f>
        <v/>
      </c>
      <c r="Q621" s="257" t="str">
        <f>IF('Observaciones-SMP'!S621="","",'Observaciones-SMP'!S621)</f>
        <v/>
      </c>
      <c r="R621" s="193" t="str">
        <f>IF('Observaciones-SMP'!T621="","",'Observaciones-SMP'!T621)</f>
        <v/>
      </c>
      <c r="S621" s="193" t="str">
        <f>""</f>
        <v/>
      </c>
      <c r="T621" s="193" t="str">
        <f>""</f>
        <v/>
      </c>
      <c r="U621" s="193" t="str">
        <f t="shared" si="36"/>
        <v/>
      </c>
      <c r="V621" s="193" t="str">
        <f>""</f>
        <v/>
      </c>
      <c r="W621" s="193" t="str">
        <f>""</f>
        <v/>
      </c>
      <c r="X621" s="258" t="str">
        <f t="shared" si="37"/>
        <v/>
      </c>
      <c r="Y621" s="258" t="str">
        <f t="shared" si="38"/>
        <v/>
      </c>
      <c r="Z621" s="193" t="str">
        <f>IF(A621="","",IF(COUNTIF('Observaciones-SMP'!$A$2:$A$1001,A621)&gt;1,1,0))</f>
        <v/>
      </c>
      <c r="AA621" s="193" t="str">
        <f t="shared" si="39"/>
        <v/>
      </c>
    </row>
    <row r="622" spans="1:27" ht="13.5" customHeight="1" x14ac:dyDescent="0.3">
      <c r="A622" s="193" t="str">
        <f>IF('Observaciones-SMP'!A622="","",'Observaciones-SMP'!A622)</f>
        <v/>
      </c>
      <c r="B622" s="257" t="str">
        <f>IF('Observaciones-SMP'!B622="","",'Observaciones-SMP'!B622)</f>
        <v/>
      </c>
      <c r="C622" s="193" t="str">
        <f>IF('Observaciones-SMP'!C622="","",'Observaciones-SMP'!C622)</f>
        <v/>
      </c>
      <c r="D622" s="193" t="str">
        <f>IF('Observaciones-SMP'!D622="","",'Observaciones-SMP'!D622)</f>
        <v/>
      </c>
      <c r="E622" s="193" t="str">
        <f>IF('Observaciones-SMP'!E622="","",'Observaciones-SMP'!E622)</f>
        <v/>
      </c>
      <c r="F622" s="193" t="str">
        <f>IF('Observaciones-SMP'!F622="","",'Observaciones-SMP'!F622)</f>
        <v/>
      </c>
      <c r="G622" s="193" t="str">
        <f>IF('Observaciones-SMP'!G622="","",'Observaciones-SMP'!G622)</f>
        <v/>
      </c>
      <c r="H622" s="193" t="str">
        <f>IF('Observaciones-SMP'!H622="","",'Observaciones-SMP'!H622)</f>
        <v/>
      </c>
      <c r="I622" s="193" t="str">
        <f>IF('Observaciones-SMP'!I622="","",'Observaciones-SMP'!I622)</f>
        <v/>
      </c>
      <c r="J622" s="193" t="str">
        <f>IF('Observaciones-SMP'!J622="","",'Observaciones-SMP'!J622)</f>
        <v/>
      </c>
      <c r="K622" s="193" t="str">
        <f>IF('Observaciones-SMP'!K622="","",'Observaciones-SMP'!K622)</f>
        <v/>
      </c>
      <c r="L622" s="193" t="str">
        <f>IF('Observaciones-SMP'!L622="","",'Observaciones-SMP'!L622)</f>
        <v/>
      </c>
      <c r="M622" s="193" t="str">
        <f>IF('Observaciones-SMP'!M622="","",'Observaciones-SMP'!M622)</f>
        <v/>
      </c>
      <c r="N622" s="193" t="str">
        <f>IF('Observaciones-SMP'!N622="","",'Observaciones-SMP'!N622)</f>
        <v/>
      </c>
      <c r="O622" s="193" t="str">
        <f>IF('Observaciones-SMP'!O622="","",'Observaciones-SMP'!O622)</f>
        <v/>
      </c>
      <c r="P622" s="193" t="str">
        <f>IF('Observaciones-SMP'!P622="","",'Observaciones-SMP'!P622)</f>
        <v/>
      </c>
      <c r="Q622" s="257" t="str">
        <f>IF('Observaciones-SMP'!S622="","",'Observaciones-SMP'!S622)</f>
        <v/>
      </c>
      <c r="R622" s="193" t="str">
        <f>IF('Observaciones-SMP'!T622="","",'Observaciones-SMP'!T622)</f>
        <v/>
      </c>
      <c r="S622" s="193" t="str">
        <f>""</f>
        <v/>
      </c>
      <c r="T622" s="193" t="str">
        <f>""</f>
        <v/>
      </c>
      <c r="U622" s="193" t="str">
        <f t="shared" si="36"/>
        <v/>
      </c>
      <c r="V622" s="193" t="str">
        <f>""</f>
        <v/>
      </c>
      <c r="W622" s="193" t="str">
        <f>""</f>
        <v/>
      </c>
      <c r="X622" s="258" t="str">
        <f t="shared" si="37"/>
        <v/>
      </c>
      <c r="Y622" s="258" t="str">
        <f t="shared" si="38"/>
        <v/>
      </c>
      <c r="Z622" s="193" t="str">
        <f>IF(A622="","",IF(COUNTIF('Observaciones-SMP'!$A$2:$A$1001,A622)&gt;1,1,0))</f>
        <v/>
      </c>
      <c r="AA622" s="193" t="str">
        <f t="shared" si="39"/>
        <v/>
      </c>
    </row>
    <row r="623" spans="1:27" ht="13.5" customHeight="1" x14ac:dyDescent="0.3">
      <c r="A623" s="193" t="str">
        <f>IF('Observaciones-SMP'!A623="","",'Observaciones-SMP'!A623)</f>
        <v/>
      </c>
      <c r="B623" s="257" t="str">
        <f>IF('Observaciones-SMP'!B623="","",'Observaciones-SMP'!B623)</f>
        <v/>
      </c>
      <c r="C623" s="193" t="str">
        <f>IF('Observaciones-SMP'!C623="","",'Observaciones-SMP'!C623)</f>
        <v/>
      </c>
      <c r="D623" s="193" t="str">
        <f>IF('Observaciones-SMP'!D623="","",'Observaciones-SMP'!D623)</f>
        <v/>
      </c>
      <c r="E623" s="193" t="str">
        <f>IF('Observaciones-SMP'!E623="","",'Observaciones-SMP'!E623)</f>
        <v/>
      </c>
      <c r="F623" s="193" t="str">
        <f>IF('Observaciones-SMP'!F623="","",'Observaciones-SMP'!F623)</f>
        <v/>
      </c>
      <c r="G623" s="193" t="str">
        <f>IF('Observaciones-SMP'!G623="","",'Observaciones-SMP'!G623)</f>
        <v/>
      </c>
      <c r="H623" s="193" t="str">
        <f>IF('Observaciones-SMP'!H623="","",'Observaciones-SMP'!H623)</f>
        <v/>
      </c>
      <c r="I623" s="193" t="str">
        <f>IF('Observaciones-SMP'!I623="","",'Observaciones-SMP'!I623)</f>
        <v/>
      </c>
      <c r="J623" s="193" t="str">
        <f>IF('Observaciones-SMP'!J623="","",'Observaciones-SMP'!J623)</f>
        <v/>
      </c>
      <c r="K623" s="193" t="str">
        <f>IF('Observaciones-SMP'!K623="","",'Observaciones-SMP'!K623)</f>
        <v/>
      </c>
      <c r="L623" s="193" t="str">
        <f>IF('Observaciones-SMP'!L623="","",'Observaciones-SMP'!L623)</f>
        <v/>
      </c>
      <c r="M623" s="193" t="str">
        <f>IF('Observaciones-SMP'!M623="","",'Observaciones-SMP'!M623)</f>
        <v/>
      </c>
      <c r="N623" s="193" t="str">
        <f>IF('Observaciones-SMP'!N623="","",'Observaciones-SMP'!N623)</f>
        <v/>
      </c>
      <c r="O623" s="193" t="str">
        <f>IF('Observaciones-SMP'!O623="","",'Observaciones-SMP'!O623)</f>
        <v/>
      </c>
      <c r="P623" s="193" t="str">
        <f>IF('Observaciones-SMP'!P623="","",'Observaciones-SMP'!P623)</f>
        <v/>
      </c>
      <c r="Q623" s="257" t="str">
        <f>IF('Observaciones-SMP'!S623="","",'Observaciones-SMP'!S623)</f>
        <v/>
      </c>
      <c r="R623" s="193" t="str">
        <f>IF('Observaciones-SMP'!T623="","",'Observaciones-SMP'!T623)</f>
        <v/>
      </c>
      <c r="S623" s="193" t="str">
        <f>""</f>
        <v/>
      </c>
      <c r="T623" s="193" t="str">
        <f>""</f>
        <v/>
      </c>
      <c r="U623" s="193" t="str">
        <f t="shared" si="36"/>
        <v/>
      </c>
      <c r="V623" s="193" t="str">
        <f>""</f>
        <v/>
      </c>
      <c r="W623" s="193" t="str">
        <f>""</f>
        <v/>
      </c>
      <c r="X623" s="258" t="str">
        <f t="shared" si="37"/>
        <v/>
      </c>
      <c r="Y623" s="258" t="str">
        <f t="shared" si="38"/>
        <v/>
      </c>
      <c r="Z623" s="193" t="str">
        <f>IF(A623="","",IF(COUNTIF('Observaciones-SMP'!$A$2:$A$1001,A623)&gt;1,1,0))</f>
        <v/>
      </c>
      <c r="AA623" s="193" t="str">
        <f t="shared" si="39"/>
        <v/>
      </c>
    </row>
    <row r="624" spans="1:27" ht="13.5" customHeight="1" x14ac:dyDescent="0.3">
      <c r="A624" s="193" t="str">
        <f>IF('Observaciones-SMP'!A624="","",'Observaciones-SMP'!A624)</f>
        <v/>
      </c>
      <c r="B624" s="257" t="str">
        <f>IF('Observaciones-SMP'!B624="","",'Observaciones-SMP'!B624)</f>
        <v/>
      </c>
      <c r="C624" s="193" t="str">
        <f>IF('Observaciones-SMP'!C624="","",'Observaciones-SMP'!C624)</f>
        <v/>
      </c>
      <c r="D624" s="193" t="str">
        <f>IF('Observaciones-SMP'!D624="","",'Observaciones-SMP'!D624)</f>
        <v/>
      </c>
      <c r="E624" s="193" t="str">
        <f>IF('Observaciones-SMP'!E624="","",'Observaciones-SMP'!E624)</f>
        <v/>
      </c>
      <c r="F624" s="193" t="str">
        <f>IF('Observaciones-SMP'!F624="","",'Observaciones-SMP'!F624)</f>
        <v/>
      </c>
      <c r="G624" s="193" t="str">
        <f>IF('Observaciones-SMP'!G624="","",'Observaciones-SMP'!G624)</f>
        <v/>
      </c>
      <c r="H624" s="193" t="str">
        <f>IF('Observaciones-SMP'!H624="","",'Observaciones-SMP'!H624)</f>
        <v/>
      </c>
      <c r="I624" s="193" t="str">
        <f>IF('Observaciones-SMP'!I624="","",'Observaciones-SMP'!I624)</f>
        <v/>
      </c>
      <c r="J624" s="193" t="str">
        <f>IF('Observaciones-SMP'!J624="","",'Observaciones-SMP'!J624)</f>
        <v/>
      </c>
      <c r="K624" s="193" t="str">
        <f>IF('Observaciones-SMP'!K624="","",'Observaciones-SMP'!K624)</f>
        <v/>
      </c>
      <c r="L624" s="193" t="str">
        <f>IF('Observaciones-SMP'!L624="","",'Observaciones-SMP'!L624)</f>
        <v/>
      </c>
      <c r="M624" s="193" t="str">
        <f>IF('Observaciones-SMP'!M624="","",'Observaciones-SMP'!M624)</f>
        <v/>
      </c>
      <c r="N624" s="193" t="str">
        <f>IF('Observaciones-SMP'!N624="","",'Observaciones-SMP'!N624)</f>
        <v/>
      </c>
      <c r="O624" s="193" t="str">
        <f>IF('Observaciones-SMP'!O624="","",'Observaciones-SMP'!O624)</f>
        <v/>
      </c>
      <c r="P624" s="193" t="str">
        <f>IF('Observaciones-SMP'!P624="","",'Observaciones-SMP'!P624)</f>
        <v/>
      </c>
      <c r="Q624" s="257" t="str">
        <f>IF('Observaciones-SMP'!S624="","",'Observaciones-SMP'!S624)</f>
        <v/>
      </c>
      <c r="R624" s="193" t="str">
        <f>IF('Observaciones-SMP'!T624="","",'Observaciones-SMP'!T624)</f>
        <v/>
      </c>
      <c r="S624" s="193" t="str">
        <f>""</f>
        <v/>
      </c>
      <c r="T624" s="193" t="str">
        <f>""</f>
        <v/>
      </c>
      <c r="U624" s="193" t="str">
        <f t="shared" si="36"/>
        <v/>
      </c>
      <c r="V624" s="193" t="str">
        <f>""</f>
        <v/>
      </c>
      <c r="W624" s="193" t="str">
        <f>""</f>
        <v/>
      </c>
      <c r="X624" s="258" t="str">
        <f t="shared" si="37"/>
        <v/>
      </c>
      <c r="Y624" s="258" t="str">
        <f t="shared" si="38"/>
        <v/>
      </c>
      <c r="Z624" s="193" t="str">
        <f>IF(A624="","",IF(COUNTIF('Observaciones-SMP'!$A$2:$A$1001,A624)&gt;1,1,0))</f>
        <v/>
      </c>
      <c r="AA624" s="193" t="str">
        <f t="shared" si="39"/>
        <v/>
      </c>
    </row>
    <row r="625" spans="1:27" ht="13.5" customHeight="1" x14ac:dyDescent="0.3">
      <c r="A625" s="193" t="str">
        <f>IF('Observaciones-SMP'!A625="","",'Observaciones-SMP'!A625)</f>
        <v/>
      </c>
      <c r="B625" s="257" t="str">
        <f>IF('Observaciones-SMP'!B625="","",'Observaciones-SMP'!B625)</f>
        <v/>
      </c>
      <c r="C625" s="193" t="str">
        <f>IF('Observaciones-SMP'!C625="","",'Observaciones-SMP'!C625)</f>
        <v/>
      </c>
      <c r="D625" s="193" t="str">
        <f>IF('Observaciones-SMP'!D625="","",'Observaciones-SMP'!D625)</f>
        <v/>
      </c>
      <c r="E625" s="193" t="str">
        <f>IF('Observaciones-SMP'!E625="","",'Observaciones-SMP'!E625)</f>
        <v/>
      </c>
      <c r="F625" s="193" t="str">
        <f>IF('Observaciones-SMP'!F625="","",'Observaciones-SMP'!F625)</f>
        <v/>
      </c>
      <c r="G625" s="193" t="str">
        <f>IF('Observaciones-SMP'!G625="","",'Observaciones-SMP'!G625)</f>
        <v/>
      </c>
      <c r="H625" s="193" t="str">
        <f>IF('Observaciones-SMP'!H625="","",'Observaciones-SMP'!H625)</f>
        <v/>
      </c>
      <c r="I625" s="193" t="str">
        <f>IF('Observaciones-SMP'!I625="","",'Observaciones-SMP'!I625)</f>
        <v/>
      </c>
      <c r="J625" s="193" t="str">
        <f>IF('Observaciones-SMP'!J625="","",'Observaciones-SMP'!J625)</f>
        <v/>
      </c>
      <c r="K625" s="193" t="str">
        <f>IF('Observaciones-SMP'!K625="","",'Observaciones-SMP'!K625)</f>
        <v/>
      </c>
      <c r="L625" s="193" t="str">
        <f>IF('Observaciones-SMP'!L625="","",'Observaciones-SMP'!L625)</f>
        <v/>
      </c>
      <c r="M625" s="193" t="str">
        <f>IF('Observaciones-SMP'!M625="","",'Observaciones-SMP'!M625)</f>
        <v/>
      </c>
      <c r="N625" s="193" t="str">
        <f>IF('Observaciones-SMP'!N625="","",'Observaciones-SMP'!N625)</f>
        <v/>
      </c>
      <c r="O625" s="193" t="str">
        <f>IF('Observaciones-SMP'!O625="","",'Observaciones-SMP'!O625)</f>
        <v/>
      </c>
      <c r="P625" s="193" t="str">
        <f>IF('Observaciones-SMP'!P625="","",'Observaciones-SMP'!P625)</f>
        <v/>
      </c>
      <c r="Q625" s="257" t="str">
        <f>IF('Observaciones-SMP'!S625="","",'Observaciones-SMP'!S625)</f>
        <v/>
      </c>
      <c r="R625" s="193" t="str">
        <f>IF('Observaciones-SMP'!T625="","",'Observaciones-SMP'!T625)</f>
        <v/>
      </c>
      <c r="S625" s="193" t="str">
        <f>""</f>
        <v/>
      </c>
      <c r="T625" s="193" t="str">
        <f>""</f>
        <v/>
      </c>
      <c r="U625" s="193" t="str">
        <f t="shared" si="36"/>
        <v/>
      </c>
      <c r="V625" s="193" t="str">
        <f>""</f>
        <v/>
      </c>
      <c r="W625" s="193" t="str">
        <f>""</f>
        <v/>
      </c>
      <c r="X625" s="258" t="str">
        <f t="shared" si="37"/>
        <v/>
      </c>
      <c r="Y625" s="258" t="str">
        <f t="shared" si="38"/>
        <v/>
      </c>
      <c r="Z625" s="193" t="str">
        <f>IF(A625="","",IF(COUNTIF('Observaciones-SMP'!$A$2:$A$1001,A625)&gt;1,1,0))</f>
        <v/>
      </c>
      <c r="AA625" s="193" t="str">
        <f t="shared" si="39"/>
        <v/>
      </c>
    </row>
    <row r="626" spans="1:27" ht="13.5" customHeight="1" x14ac:dyDescent="0.3">
      <c r="A626" s="193" t="str">
        <f>IF('Observaciones-SMP'!A626="","",'Observaciones-SMP'!A626)</f>
        <v/>
      </c>
      <c r="B626" s="257" t="str">
        <f>IF('Observaciones-SMP'!B626="","",'Observaciones-SMP'!B626)</f>
        <v/>
      </c>
      <c r="C626" s="193" t="str">
        <f>IF('Observaciones-SMP'!C626="","",'Observaciones-SMP'!C626)</f>
        <v/>
      </c>
      <c r="D626" s="193" t="str">
        <f>IF('Observaciones-SMP'!D626="","",'Observaciones-SMP'!D626)</f>
        <v/>
      </c>
      <c r="E626" s="193" t="str">
        <f>IF('Observaciones-SMP'!E626="","",'Observaciones-SMP'!E626)</f>
        <v/>
      </c>
      <c r="F626" s="193" t="str">
        <f>IF('Observaciones-SMP'!F626="","",'Observaciones-SMP'!F626)</f>
        <v/>
      </c>
      <c r="G626" s="193" t="str">
        <f>IF('Observaciones-SMP'!G626="","",'Observaciones-SMP'!G626)</f>
        <v/>
      </c>
      <c r="H626" s="193" t="str">
        <f>IF('Observaciones-SMP'!H626="","",'Observaciones-SMP'!H626)</f>
        <v/>
      </c>
      <c r="I626" s="193" t="str">
        <f>IF('Observaciones-SMP'!I626="","",'Observaciones-SMP'!I626)</f>
        <v/>
      </c>
      <c r="J626" s="193" t="str">
        <f>IF('Observaciones-SMP'!J626="","",'Observaciones-SMP'!J626)</f>
        <v/>
      </c>
      <c r="K626" s="193" t="str">
        <f>IF('Observaciones-SMP'!K626="","",'Observaciones-SMP'!K626)</f>
        <v/>
      </c>
      <c r="L626" s="193" t="str">
        <f>IF('Observaciones-SMP'!L626="","",'Observaciones-SMP'!L626)</f>
        <v/>
      </c>
      <c r="M626" s="193" t="str">
        <f>IF('Observaciones-SMP'!M626="","",'Observaciones-SMP'!M626)</f>
        <v/>
      </c>
      <c r="N626" s="193" t="str">
        <f>IF('Observaciones-SMP'!N626="","",'Observaciones-SMP'!N626)</f>
        <v/>
      </c>
      <c r="O626" s="193" t="str">
        <f>IF('Observaciones-SMP'!O626="","",'Observaciones-SMP'!O626)</f>
        <v/>
      </c>
      <c r="P626" s="193" t="str">
        <f>IF('Observaciones-SMP'!P626="","",'Observaciones-SMP'!P626)</f>
        <v/>
      </c>
      <c r="Q626" s="257" t="str">
        <f>IF('Observaciones-SMP'!S626="","",'Observaciones-SMP'!S626)</f>
        <v/>
      </c>
      <c r="R626" s="193" t="str">
        <f>IF('Observaciones-SMP'!T626="","",'Observaciones-SMP'!T626)</f>
        <v/>
      </c>
      <c r="S626" s="193" t="str">
        <f>""</f>
        <v/>
      </c>
      <c r="T626" s="193" t="str">
        <f>""</f>
        <v/>
      </c>
      <c r="U626" s="193" t="str">
        <f t="shared" si="36"/>
        <v/>
      </c>
      <c r="V626" s="193" t="str">
        <f>""</f>
        <v/>
      </c>
      <c r="W626" s="193" t="str">
        <f>""</f>
        <v/>
      </c>
      <c r="X626" s="258" t="str">
        <f t="shared" si="37"/>
        <v/>
      </c>
      <c r="Y626" s="258" t="str">
        <f t="shared" si="38"/>
        <v/>
      </c>
      <c r="Z626" s="193" t="str">
        <f>IF(A626="","",IF(COUNTIF('Observaciones-SMP'!$A$2:$A$1001,A626)&gt;1,1,0))</f>
        <v/>
      </c>
      <c r="AA626" s="193" t="str">
        <f t="shared" si="39"/>
        <v/>
      </c>
    </row>
    <row r="627" spans="1:27" ht="13.5" customHeight="1" x14ac:dyDescent="0.3">
      <c r="A627" s="193" t="str">
        <f>IF('Observaciones-SMP'!A627="","",'Observaciones-SMP'!A627)</f>
        <v/>
      </c>
      <c r="B627" s="257" t="str">
        <f>IF('Observaciones-SMP'!B627="","",'Observaciones-SMP'!B627)</f>
        <v/>
      </c>
      <c r="C627" s="193" t="str">
        <f>IF('Observaciones-SMP'!C627="","",'Observaciones-SMP'!C627)</f>
        <v/>
      </c>
      <c r="D627" s="193" t="str">
        <f>IF('Observaciones-SMP'!D627="","",'Observaciones-SMP'!D627)</f>
        <v/>
      </c>
      <c r="E627" s="193" t="str">
        <f>IF('Observaciones-SMP'!E627="","",'Observaciones-SMP'!E627)</f>
        <v/>
      </c>
      <c r="F627" s="193" t="str">
        <f>IF('Observaciones-SMP'!F627="","",'Observaciones-SMP'!F627)</f>
        <v/>
      </c>
      <c r="G627" s="193" t="str">
        <f>IF('Observaciones-SMP'!G627="","",'Observaciones-SMP'!G627)</f>
        <v/>
      </c>
      <c r="H627" s="193" t="str">
        <f>IF('Observaciones-SMP'!H627="","",'Observaciones-SMP'!H627)</f>
        <v/>
      </c>
      <c r="I627" s="193" t="str">
        <f>IF('Observaciones-SMP'!I627="","",'Observaciones-SMP'!I627)</f>
        <v/>
      </c>
      <c r="J627" s="193" t="str">
        <f>IF('Observaciones-SMP'!J627="","",'Observaciones-SMP'!J627)</f>
        <v/>
      </c>
      <c r="K627" s="193" t="str">
        <f>IF('Observaciones-SMP'!K627="","",'Observaciones-SMP'!K627)</f>
        <v/>
      </c>
      <c r="L627" s="193" t="str">
        <f>IF('Observaciones-SMP'!L627="","",'Observaciones-SMP'!L627)</f>
        <v/>
      </c>
      <c r="M627" s="193" t="str">
        <f>IF('Observaciones-SMP'!M627="","",'Observaciones-SMP'!M627)</f>
        <v/>
      </c>
      <c r="N627" s="193" t="str">
        <f>IF('Observaciones-SMP'!N627="","",'Observaciones-SMP'!N627)</f>
        <v/>
      </c>
      <c r="O627" s="193" t="str">
        <f>IF('Observaciones-SMP'!O627="","",'Observaciones-SMP'!O627)</f>
        <v/>
      </c>
      <c r="P627" s="193" t="str">
        <f>IF('Observaciones-SMP'!P627="","",'Observaciones-SMP'!P627)</f>
        <v/>
      </c>
      <c r="Q627" s="257" t="str">
        <f>IF('Observaciones-SMP'!S627="","",'Observaciones-SMP'!S627)</f>
        <v/>
      </c>
      <c r="R627" s="193" t="str">
        <f>IF('Observaciones-SMP'!T627="","",'Observaciones-SMP'!T627)</f>
        <v/>
      </c>
      <c r="S627" s="193" t="str">
        <f>""</f>
        <v/>
      </c>
      <c r="T627" s="193" t="str">
        <f>""</f>
        <v/>
      </c>
      <c r="U627" s="193" t="str">
        <f t="shared" si="36"/>
        <v/>
      </c>
      <c r="V627" s="193" t="str">
        <f>""</f>
        <v/>
      </c>
      <c r="W627" s="193" t="str">
        <f>""</f>
        <v/>
      </c>
      <c r="X627" s="258" t="str">
        <f t="shared" si="37"/>
        <v/>
      </c>
      <c r="Y627" s="258" t="str">
        <f t="shared" si="38"/>
        <v/>
      </c>
      <c r="Z627" s="193" t="str">
        <f>IF(A627="","",IF(COUNTIF('Observaciones-SMP'!$A$2:$A$1001,A627)&gt;1,1,0))</f>
        <v/>
      </c>
      <c r="AA627" s="193" t="str">
        <f t="shared" si="39"/>
        <v/>
      </c>
    </row>
    <row r="628" spans="1:27" ht="13.5" customHeight="1" x14ac:dyDescent="0.3">
      <c r="A628" s="193" t="str">
        <f>IF('Observaciones-SMP'!A628="","",'Observaciones-SMP'!A628)</f>
        <v/>
      </c>
      <c r="B628" s="257" t="str">
        <f>IF('Observaciones-SMP'!B628="","",'Observaciones-SMP'!B628)</f>
        <v/>
      </c>
      <c r="C628" s="193" t="str">
        <f>IF('Observaciones-SMP'!C628="","",'Observaciones-SMP'!C628)</f>
        <v/>
      </c>
      <c r="D628" s="193" t="str">
        <f>IF('Observaciones-SMP'!D628="","",'Observaciones-SMP'!D628)</f>
        <v/>
      </c>
      <c r="E628" s="193" t="str">
        <f>IF('Observaciones-SMP'!E628="","",'Observaciones-SMP'!E628)</f>
        <v/>
      </c>
      <c r="F628" s="193" t="str">
        <f>IF('Observaciones-SMP'!F628="","",'Observaciones-SMP'!F628)</f>
        <v/>
      </c>
      <c r="G628" s="193" t="str">
        <f>IF('Observaciones-SMP'!G628="","",'Observaciones-SMP'!G628)</f>
        <v/>
      </c>
      <c r="H628" s="193" t="str">
        <f>IF('Observaciones-SMP'!H628="","",'Observaciones-SMP'!H628)</f>
        <v/>
      </c>
      <c r="I628" s="193" t="str">
        <f>IF('Observaciones-SMP'!I628="","",'Observaciones-SMP'!I628)</f>
        <v/>
      </c>
      <c r="J628" s="193" t="str">
        <f>IF('Observaciones-SMP'!J628="","",'Observaciones-SMP'!J628)</f>
        <v/>
      </c>
      <c r="K628" s="193" t="str">
        <f>IF('Observaciones-SMP'!K628="","",'Observaciones-SMP'!K628)</f>
        <v/>
      </c>
      <c r="L628" s="193" t="str">
        <f>IF('Observaciones-SMP'!L628="","",'Observaciones-SMP'!L628)</f>
        <v/>
      </c>
      <c r="M628" s="193" t="str">
        <f>IF('Observaciones-SMP'!M628="","",'Observaciones-SMP'!M628)</f>
        <v/>
      </c>
      <c r="N628" s="193" t="str">
        <f>IF('Observaciones-SMP'!N628="","",'Observaciones-SMP'!N628)</f>
        <v/>
      </c>
      <c r="O628" s="193" t="str">
        <f>IF('Observaciones-SMP'!O628="","",'Observaciones-SMP'!O628)</f>
        <v/>
      </c>
      <c r="P628" s="193" t="str">
        <f>IF('Observaciones-SMP'!P628="","",'Observaciones-SMP'!P628)</f>
        <v/>
      </c>
      <c r="Q628" s="257" t="str">
        <f>IF('Observaciones-SMP'!S628="","",'Observaciones-SMP'!S628)</f>
        <v/>
      </c>
      <c r="R628" s="193" t="str">
        <f>IF('Observaciones-SMP'!T628="","",'Observaciones-SMP'!T628)</f>
        <v/>
      </c>
      <c r="S628" s="193" t="str">
        <f>""</f>
        <v/>
      </c>
      <c r="T628" s="193" t="str">
        <f>""</f>
        <v/>
      </c>
      <c r="U628" s="193" t="str">
        <f t="shared" si="36"/>
        <v/>
      </c>
      <c r="V628" s="193" t="str">
        <f>""</f>
        <v/>
      </c>
      <c r="W628" s="193" t="str">
        <f>""</f>
        <v/>
      </c>
      <c r="X628" s="258" t="str">
        <f t="shared" si="37"/>
        <v/>
      </c>
      <c r="Y628" s="258" t="str">
        <f t="shared" si="38"/>
        <v/>
      </c>
      <c r="Z628" s="193" t="str">
        <f>IF(A628="","",IF(COUNTIF('Observaciones-SMP'!$A$2:$A$1001,A628)&gt;1,1,0))</f>
        <v/>
      </c>
      <c r="AA628" s="193" t="str">
        <f t="shared" si="39"/>
        <v/>
      </c>
    </row>
    <row r="629" spans="1:27" ht="13.5" customHeight="1" x14ac:dyDescent="0.3">
      <c r="A629" s="193" t="str">
        <f>IF('Observaciones-SMP'!A629="","",'Observaciones-SMP'!A629)</f>
        <v/>
      </c>
      <c r="B629" s="257" t="str">
        <f>IF('Observaciones-SMP'!B629="","",'Observaciones-SMP'!B629)</f>
        <v/>
      </c>
      <c r="C629" s="193" t="str">
        <f>IF('Observaciones-SMP'!C629="","",'Observaciones-SMP'!C629)</f>
        <v/>
      </c>
      <c r="D629" s="193" t="str">
        <f>IF('Observaciones-SMP'!D629="","",'Observaciones-SMP'!D629)</f>
        <v/>
      </c>
      <c r="E629" s="193" t="str">
        <f>IF('Observaciones-SMP'!E629="","",'Observaciones-SMP'!E629)</f>
        <v/>
      </c>
      <c r="F629" s="193" t="str">
        <f>IF('Observaciones-SMP'!F629="","",'Observaciones-SMP'!F629)</f>
        <v/>
      </c>
      <c r="G629" s="193" t="str">
        <f>IF('Observaciones-SMP'!G629="","",'Observaciones-SMP'!G629)</f>
        <v/>
      </c>
      <c r="H629" s="193" t="str">
        <f>IF('Observaciones-SMP'!H629="","",'Observaciones-SMP'!H629)</f>
        <v/>
      </c>
      <c r="I629" s="193" t="str">
        <f>IF('Observaciones-SMP'!I629="","",'Observaciones-SMP'!I629)</f>
        <v/>
      </c>
      <c r="J629" s="193" t="str">
        <f>IF('Observaciones-SMP'!J629="","",'Observaciones-SMP'!J629)</f>
        <v/>
      </c>
      <c r="K629" s="193" t="str">
        <f>IF('Observaciones-SMP'!K629="","",'Observaciones-SMP'!K629)</f>
        <v/>
      </c>
      <c r="L629" s="193" t="str">
        <f>IF('Observaciones-SMP'!L629="","",'Observaciones-SMP'!L629)</f>
        <v/>
      </c>
      <c r="M629" s="193" t="str">
        <f>IF('Observaciones-SMP'!M629="","",'Observaciones-SMP'!M629)</f>
        <v/>
      </c>
      <c r="N629" s="193" t="str">
        <f>IF('Observaciones-SMP'!N629="","",'Observaciones-SMP'!N629)</f>
        <v/>
      </c>
      <c r="O629" s="193" t="str">
        <f>IF('Observaciones-SMP'!O629="","",'Observaciones-SMP'!O629)</f>
        <v/>
      </c>
      <c r="P629" s="193" t="str">
        <f>IF('Observaciones-SMP'!P629="","",'Observaciones-SMP'!P629)</f>
        <v/>
      </c>
      <c r="Q629" s="257" t="str">
        <f>IF('Observaciones-SMP'!S629="","",'Observaciones-SMP'!S629)</f>
        <v/>
      </c>
      <c r="R629" s="193" t="str">
        <f>IF('Observaciones-SMP'!T629="","",'Observaciones-SMP'!T629)</f>
        <v/>
      </c>
      <c r="S629" s="193" t="str">
        <f>""</f>
        <v/>
      </c>
      <c r="T629" s="193" t="str">
        <f>""</f>
        <v/>
      </c>
      <c r="U629" s="193" t="str">
        <f t="shared" si="36"/>
        <v/>
      </c>
      <c r="V629" s="193" t="str">
        <f>""</f>
        <v/>
      </c>
      <c r="W629" s="193" t="str">
        <f>""</f>
        <v/>
      </c>
      <c r="X629" s="258" t="str">
        <f t="shared" si="37"/>
        <v/>
      </c>
      <c r="Y629" s="258" t="str">
        <f t="shared" si="38"/>
        <v/>
      </c>
      <c r="Z629" s="193" t="str">
        <f>IF(A629="","",IF(COUNTIF('Observaciones-SMP'!$A$2:$A$1001,A629)&gt;1,1,0))</f>
        <v/>
      </c>
      <c r="AA629" s="193" t="str">
        <f t="shared" si="39"/>
        <v/>
      </c>
    </row>
    <row r="630" spans="1:27" ht="13.5" customHeight="1" x14ac:dyDescent="0.3">
      <c r="A630" s="193" t="str">
        <f>IF('Observaciones-SMP'!A630="","",'Observaciones-SMP'!A630)</f>
        <v/>
      </c>
      <c r="B630" s="257" t="str">
        <f>IF('Observaciones-SMP'!B630="","",'Observaciones-SMP'!B630)</f>
        <v/>
      </c>
      <c r="C630" s="193" t="str">
        <f>IF('Observaciones-SMP'!C630="","",'Observaciones-SMP'!C630)</f>
        <v/>
      </c>
      <c r="D630" s="193" t="str">
        <f>IF('Observaciones-SMP'!D630="","",'Observaciones-SMP'!D630)</f>
        <v/>
      </c>
      <c r="E630" s="193" t="str">
        <f>IF('Observaciones-SMP'!E630="","",'Observaciones-SMP'!E630)</f>
        <v/>
      </c>
      <c r="F630" s="193" t="str">
        <f>IF('Observaciones-SMP'!F630="","",'Observaciones-SMP'!F630)</f>
        <v/>
      </c>
      <c r="G630" s="193" t="str">
        <f>IF('Observaciones-SMP'!G630="","",'Observaciones-SMP'!G630)</f>
        <v/>
      </c>
      <c r="H630" s="193" t="str">
        <f>IF('Observaciones-SMP'!H630="","",'Observaciones-SMP'!H630)</f>
        <v/>
      </c>
      <c r="I630" s="193" t="str">
        <f>IF('Observaciones-SMP'!I630="","",'Observaciones-SMP'!I630)</f>
        <v/>
      </c>
      <c r="J630" s="193" t="str">
        <f>IF('Observaciones-SMP'!J630="","",'Observaciones-SMP'!J630)</f>
        <v/>
      </c>
      <c r="K630" s="193" t="str">
        <f>IF('Observaciones-SMP'!K630="","",'Observaciones-SMP'!K630)</f>
        <v/>
      </c>
      <c r="L630" s="193" t="str">
        <f>IF('Observaciones-SMP'!L630="","",'Observaciones-SMP'!L630)</f>
        <v/>
      </c>
      <c r="M630" s="193" t="str">
        <f>IF('Observaciones-SMP'!M630="","",'Observaciones-SMP'!M630)</f>
        <v/>
      </c>
      <c r="N630" s="193" t="str">
        <f>IF('Observaciones-SMP'!N630="","",'Observaciones-SMP'!N630)</f>
        <v/>
      </c>
      <c r="O630" s="193" t="str">
        <f>IF('Observaciones-SMP'!O630="","",'Observaciones-SMP'!O630)</f>
        <v/>
      </c>
      <c r="P630" s="193" t="str">
        <f>IF('Observaciones-SMP'!P630="","",'Observaciones-SMP'!P630)</f>
        <v/>
      </c>
      <c r="Q630" s="257" t="str">
        <f>IF('Observaciones-SMP'!S630="","",'Observaciones-SMP'!S630)</f>
        <v/>
      </c>
      <c r="R630" s="193" t="str">
        <f>IF('Observaciones-SMP'!T630="","",'Observaciones-SMP'!T630)</f>
        <v/>
      </c>
      <c r="S630" s="193" t="str">
        <f>""</f>
        <v/>
      </c>
      <c r="T630" s="193" t="str">
        <f>""</f>
        <v/>
      </c>
      <c r="U630" s="193" t="str">
        <f t="shared" si="36"/>
        <v/>
      </c>
      <c r="V630" s="193" t="str">
        <f>""</f>
        <v/>
      </c>
      <c r="W630" s="193" t="str">
        <f>""</f>
        <v/>
      </c>
      <c r="X630" s="258" t="str">
        <f t="shared" si="37"/>
        <v/>
      </c>
      <c r="Y630" s="258" t="str">
        <f t="shared" si="38"/>
        <v/>
      </c>
      <c r="Z630" s="193" t="str">
        <f>IF(A630="","",IF(COUNTIF('Observaciones-SMP'!$A$2:$A$1001,A630)&gt;1,1,0))</f>
        <v/>
      </c>
      <c r="AA630" s="193" t="str">
        <f t="shared" si="39"/>
        <v/>
      </c>
    </row>
    <row r="631" spans="1:27" ht="13.5" customHeight="1" x14ac:dyDescent="0.3">
      <c r="A631" s="193" t="str">
        <f>IF('Observaciones-SMP'!A631="","",'Observaciones-SMP'!A631)</f>
        <v/>
      </c>
      <c r="B631" s="257" t="str">
        <f>IF('Observaciones-SMP'!B631="","",'Observaciones-SMP'!B631)</f>
        <v/>
      </c>
      <c r="C631" s="193" t="str">
        <f>IF('Observaciones-SMP'!C631="","",'Observaciones-SMP'!C631)</f>
        <v/>
      </c>
      <c r="D631" s="193" t="str">
        <f>IF('Observaciones-SMP'!D631="","",'Observaciones-SMP'!D631)</f>
        <v/>
      </c>
      <c r="E631" s="193" t="str">
        <f>IF('Observaciones-SMP'!E631="","",'Observaciones-SMP'!E631)</f>
        <v/>
      </c>
      <c r="F631" s="193" t="str">
        <f>IF('Observaciones-SMP'!F631="","",'Observaciones-SMP'!F631)</f>
        <v/>
      </c>
      <c r="G631" s="193" t="str">
        <f>IF('Observaciones-SMP'!G631="","",'Observaciones-SMP'!G631)</f>
        <v/>
      </c>
      <c r="H631" s="193" t="str">
        <f>IF('Observaciones-SMP'!H631="","",'Observaciones-SMP'!H631)</f>
        <v/>
      </c>
      <c r="I631" s="193" t="str">
        <f>IF('Observaciones-SMP'!I631="","",'Observaciones-SMP'!I631)</f>
        <v/>
      </c>
      <c r="J631" s="193" t="str">
        <f>IF('Observaciones-SMP'!J631="","",'Observaciones-SMP'!J631)</f>
        <v/>
      </c>
      <c r="K631" s="193" t="str">
        <f>IF('Observaciones-SMP'!K631="","",'Observaciones-SMP'!K631)</f>
        <v/>
      </c>
      <c r="L631" s="193" t="str">
        <f>IF('Observaciones-SMP'!L631="","",'Observaciones-SMP'!L631)</f>
        <v/>
      </c>
      <c r="M631" s="193" t="str">
        <f>IF('Observaciones-SMP'!M631="","",'Observaciones-SMP'!M631)</f>
        <v/>
      </c>
      <c r="N631" s="193" t="str">
        <f>IF('Observaciones-SMP'!N631="","",'Observaciones-SMP'!N631)</f>
        <v/>
      </c>
      <c r="O631" s="193" t="str">
        <f>IF('Observaciones-SMP'!O631="","",'Observaciones-SMP'!O631)</f>
        <v/>
      </c>
      <c r="P631" s="193" t="str">
        <f>IF('Observaciones-SMP'!P631="","",'Observaciones-SMP'!P631)</f>
        <v/>
      </c>
      <c r="Q631" s="257" t="str">
        <f>IF('Observaciones-SMP'!S631="","",'Observaciones-SMP'!S631)</f>
        <v/>
      </c>
      <c r="R631" s="193" t="str">
        <f>IF('Observaciones-SMP'!T631="","",'Observaciones-SMP'!T631)</f>
        <v/>
      </c>
      <c r="S631" s="193" t="str">
        <f>""</f>
        <v/>
      </c>
      <c r="T631" s="193" t="str">
        <f>""</f>
        <v/>
      </c>
      <c r="U631" s="193" t="str">
        <f t="shared" si="36"/>
        <v/>
      </c>
      <c r="V631" s="193" t="str">
        <f>""</f>
        <v/>
      </c>
      <c r="W631" s="193" t="str">
        <f>""</f>
        <v/>
      </c>
      <c r="X631" s="258" t="str">
        <f t="shared" si="37"/>
        <v/>
      </c>
      <c r="Y631" s="258" t="str">
        <f t="shared" si="38"/>
        <v/>
      </c>
      <c r="Z631" s="193" t="str">
        <f>IF(A631="","",IF(COUNTIF('Observaciones-SMP'!$A$2:$A$1001,A631)&gt;1,1,0))</f>
        <v/>
      </c>
      <c r="AA631" s="193" t="str">
        <f t="shared" si="39"/>
        <v/>
      </c>
    </row>
    <row r="632" spans="1:27" ht="13.5" customHeight="1" x14ac:dyDescent="0.3">
      <c r="A632" s="193" t="str">
        <f>IF('Observaciones-SMP'!A632="","",'Observaciones-SMP'!A632)</f>
        <v/>
      </c>
      <c r="B632" s="257" t="str">
        <f>IF('Observaciones-SMP'!B632="","",'Observaciones-SMP'!B632)</f>
        <v/>
      </c>
      <c r="C632" s="193" t="str">
        <f>IF('Observaciones-SMP'!C632="","",'Observaciones-SMP'!C632)</f>
        <v/>
      </c>
      <c r="D632" s="193" t="str">
        <f>IF('Observaciones-SMP'!D632="","",'Observaciones-SMP'!D632)</f>
        <v/>
      </c>
      <c r="E632" s="193" t="str">
        <f>IF('Observaciones-SMP'!E632="","",'Observaciones-SMP'!E632)</f>
        <v/>
      </c>
      <c r="F632" s="193" t="str">
        <f>IF('Observaciones-SMP'!F632="","",'Observaciones-SMP'!F632)</f>
        <v/>
      </c>
      <c r="G632" s="193" t="str">
        <f>IF('Observaciones-SMP'!G632="","",'Observaciones-SMP'!G632)</f>
        <v/>
      </c>
      <c r="H632" s="193" t="str">
        <f>IF('Observaciones-SMP'!H632="","",'Observaciones-SMP'!H632)</f>
        <v/>
      </c>
      <c r="I632" s="193" t="str">
        <f>IF('Observaciones-SMP'!I632="","",'Observaciones-SMP'!I632)</f>
        <v/>
      </c>
      <c r="J632" s="193" t="str">
        <f>IF('Observaciones-SMP'!J632="","",'Observaciones-SMP'!J632)</f>
        <v/>
      </c>
      <c r="K632" s="193" t="str">
        <f>IF('Observaciones-SMP'!K632="","",'Observaciones-SMP'!K632)</f>
        <v/>
      </c>
      <c r="L632" s="193" t="str">
        <f>IF('Observaciones-SMP'!L632="","",'Observaciones-SMP'!L632)</f>
        <v/>
      </c>
      <c r="M632" s="193" t="str">
        <f>IF('Observaciones-SMP'!M632="","",'Observaciones-SMP'!M632)</f>
        <v/>
      </c>
      <c r="N632" s="193" t="str">
        <f>IF('Observaciones-SMP'!N632="","",'Observaciones-SMP'!N632)</f>
        <v/>
      </c>
      <c r="O632" s="193" t="str">
        <f>IF('Observaciones-SMP'!O632="","",'Observaciones-SMP'!O632)</f>
        <v/>
      </c>
      <c r="P632" s="193" t="str">
        <f>IF('Observaciones-SMP'!P632="","",'Observaciones-SMP'!P632)</f>
        <v/>
      </c>
      <c r="Q632" s="257" t="str">
        <f>IF('Observaciones-SMP'!S632="","",'Observaciones-SMP'!S632)</f>
        <v/>
      </c>
      <c r="R632" s="193" t="str">
        <f>IF('Observaciones-SMP'!T632="","",'Observaciones-SMP'!T632)</f>
        <v/>
      </c>
      <c r="S632" s="193" t="str">
        <f>""</f>
        <v/>
      </c>
      <c r="T632" s="193" t="str">
        <f>""</f>
        <v/>
      </c>
      <c r="U632" s="193" t="str">
        <f t="shared" si="36"/>
        <v/>
      </c>
      <c r="V632" s="193" t="str">
        <f>""</f>
        <v/>
      </c>
      <c r="W632" s="193" t="str">
        <f>""</f>
        <v/>
      </c>
      <c r="X632" s="258" t="str">
        <f t="shared" si="37"/>
        <v/>
      </c>
      <c r="Y632" s="258" t="str">
        <f t="shared" si="38"/>
        <v/>
      </c>
      <c r="Z632" s="193" t="str">
        <f>IF(A632="","",IF(COUNTIF('Observaciones-SMP'!$A$2:$A$1001,A632)&gt;1,1,0))</f>
        <v/>
      </c>
      <c r="AA632" s="193" t="str">
        <f t="shared" si="39"/>
        <v/>
      </c>
    </row>
    <row r="633" spans="1:27" ht="13.5" customHeight="1" x14ac:dyDescent="0.3">
      <c r="A633" s="193" t="str">
        <f>IF('Observaciones-SMP'!A633="","",'Observaciones-SMP'!A633)</f>
        <v/>
      </c>
      <c r="B633" s="257" t="str">
        <f>IF('Observaciones-SMP'!B633="","",'Observaciones-SMP'!B633)</f>
        <v/>
      </c>
      <c r="C633" s="193" t="str">
        <f>IF('Observaciones-SMP'!C633="","",'Observaciones-SMP'!C633)</f>
        <v/>
      </c>
      <c r="D633" s="193" t="str">
        <f>IF('Observaciones-SMP'!D633="","",'Observaciones-SMP'!D633)</f>
        <v/>
      </c>
      <c r="E633" s="193" t="str">
        <f>IF('Observaciones-SMP'!E633="","",'Observaciones-SMP'!E633)</f>
        <v/>
      </c>
      <c r="F633" s="193" t="str">
        <f>IF('Observaciones-SMP'!F633="","",'Observaciones-SMP'!F633)</f>
        <v/>
      </c>
      <c r="G633" s="193" t="str">
        <f>IF('Observaciones-SMP'!G633="","",'Observaciones-SMP'!G633)</f>
        <v/>
      </c>
      <c r="H633" s="193" t="str">
        <f>IF('Observaciones-SMP'!H633="","",'Observaciones-SMP'!H633)</f>
        <v/>
      </c>
      <c r="I633" s="193" t="str">
        <f>IF('Observaciones-SMP'!I633="","",'Observaciones-SMP'!I633)</f>
        <v/>
      </c>
      <c r="J633" s="193" t="str">
        <f>IF('Observaciones-SMP'!J633="","",'Observaciones-SMP'!J633)</f>
        <v/>
      </c>
      <c r="K633" s="193" t="str">
        <f>IF('Observaciones-SMP'!K633="","",'Observaciones-SMP'!K633)</f>
        <v/>
      </c>
      <c r="L633" s="193" t="str">
        <f>IF('Observaciones-SMP'!L633="","",'Observaciones-SMP'!L633)</f>
        <v/>
      </c>
      <c r="M633" s="193" t="str">
        <f>IF('Observaciones-SMP'!M633="","",'Observaciones-SMP'!M633)</f>
        <v/>
      </c>
      <c r="N633" s="193" t="str">
        <f>IF('Observaciones-SMP'!N633="","",'Observaciones-SMP'!N633)</f>
        <v/>
      </c>
      <c r="O633" s="193" t="str">
        <f>IF('Observaciones-SMP'!O633="","",'Observaciones-SMP'!O633)</f>
        <v/>
      </c>
      <c r="P633" s="193" t="str">
        <f>IF('Observaciones-SMP'!P633="","",'Observaciones-SMP'!P633)</f>
        <v/>
      </c>
      <c r="Q633" s="257" t="str">
        <f>IF('Observaciones-SMP'!S633="","",'Observaciones-SMP'!S633)</f>
        <v/>
      </c>
      <c r="R633" s="193" t="str">
        <f>IF('Observaciones-SMP'!T633="","",'Observaciones-SMP'!T633)</f>
        <v/>
      </c>
      <c r="S633" s="193" t="str">
        <f>""</f>
        <v/>
      </c>
      <c r="T633" s="193" t="str">
        <f>""</f>
        <v/>
      </c>
      <c r="U633" s="193" t="str">
        <f t="shared" si="36"/>
        <v/>
      </c>
      <c r="V633" s="193" t="str">
        <f>""</f>
        <v/>
      </c>
      <c r="W633" s="193" t="str">
        <f>""</f>
        <v/>
      </c>
      <c r="X633" s="258" t="str">
        <f t="shared" si="37"/>
        <v/>
      </c>
      <c r="Y633" s="258" t="str">
        <f t="shared" si="38"/>
        <v/>
      </c>
      <c r="Z633" s="193" t="str">
        <f>IF(A633="","",IF(COUNTIF('Observaciones-SMP'!$A$2:$A$1001,A633)&gt;1,1,0))</f>
        <v/>
      </c>
      <c r="AA633" s="193" t="str">
        <f t="shared" si="39"/>
        <v/>
      </c>
    </row>
    <row r="634" spans="1:27" ht="13.5" customHeight="1" x14ac:dyDescent="0.3">
      <c r="A634" s="193" t="str">
        <f>IF('Observaciones-SMP'!A634="","",'Observaciones-SMP'!A634)</f>
        <v/>
      </c>
      <c r="B634" s="257" t="str">
        <f>IF('Observaciones-SMP'!B634="","",'Observaciones-SMP'!B634)</f>
        <v/>
      </c>
      <c r="C634" s="193" t="str">
        <f>IF('Observaciones-SMP'!C634="","",'Observaciones-SMP'!C634)</f>
        <v/>
      </c>
      <c r="D634" s="193" t="str">
        <f>IF('Observaciones-SMP'!D634="","",'Observaciones-SMP'!D634)</f>
        <v/>
      </c>
      <c r="E634" s="193" t="str">
        <f>IF('Observaciones-SMP'!E634="","",'Observaciones-SMP'!E634)</f>
        <v/>
      </c>
      <c r="F634" s="193" t="str">
        <f>IF('Observaciones-SMP'!F634="","",'Observaciones-SMP'!F634)</f>
        <v/>
      </c>
      <c r="G634" s="193" t="str">
        <f>IF('Observaciones-SMP'!G634="","",'Observaciones-SMP'!G634)</f>
        <v/>
      </c>
      <c r="H634" s="193" t="str">
        <f>IF('Observaciones-SMP'!H634="","",'Observaciones-SMP'!H634)</f>
        <v/>
      </c>
      <c r="I634" s="193" t="str">
        <f>IF('Observaciones-SMP'!I634="","",'Observaciones-SMP'!I634)</f>
        <v/>
      </c>
      <c r="J634" s="193" t="str">
        <f>IF('Observaciones-SMP'!J634="","",'Observaciones-SMP'!J634)</f>
        <v/>
      </c>
      <c r="K634" s="193" t="str">
        <f>IF('Observaciones-SMP'!K634="","",'Observaciones-SMP'!K634)</f>
        <v/>
      </c>
      <c r="L634" s="193" t="str">
        <f>IF('Observaciones-SMP'!L634="","",'Observaciones-SMP'!L634)</f>
        <v/>
      </c>
      <c r="M634" s="193" t="str">
        <f>IF('Observaciones-SMP'!M634="","",'Observaciones-SMP'!M634)</f>
        <v/>
      </c>
      <c r="N634" s="193" t="str">
        <f>IF('Observaciones-SMP'!N634="","",'Observaciones-SMP'!N634)</f>
        <v/>
      </c>
      <c r="O634" s="193" t="str">
        <f>IF('Observaciones-SMP'!O634="","",'Observaciones-SMP'!O634)</f>
        <v/>
      </c>
      <c r="P634" s="193" t="str">
        <f>IF('Observaciones-SMP'!P634="","",'Observaciones-SMP'!P634)</f>
        <v/>
      </c>
      <c r="Q634" s="257" t="str">
        <f>IF('Observaciones-SMP'!S634="","",'Observaciones-SMP'!S634)</f>
        <v/>
      </c>
      <c r="R634" s="193" t="str">
        <f>IF('Observaciones-SMP'!T634="","",'Observaciones-SMP'!T634)</f>
        <v/>
      </c>
      <c r="S634" s="193" t="str">
        <f>""</f>
        <v/>
      </c>
      <c r="T634" s="193" t="str">
        <f>""</f>
        <v/>
      </c>
      <c r="U634" s="193" t="str">
        <f t="shared" si="36"/>
        <v/>
      </c>
      <c r="V634" s="193" t="str">
        <f>""</f>
        <v/>
      </c>
      <c r="W634" s="193" t="str">
        <f>""</f>
        <v/>
      </c>
      <c r="X634" s="258" t="str">
        <f t="shared" si="37"/>
        <v/>
      </c>
      <c r="Y634" s="258" t="str">
        <f t="shared" si="38"/>
        <v/>
      </c>
      <c r="Z634" s="193" t="str">
        <f>IF(A634="","",IF(COUNTIF('Observaciones-SMP'!$A$2:$A$1001,A634)&gt;1,1,0))</f>
        <v/>
      </c>
      <c r="AA634" s="193" t="str">
        <f t="shared" si="39"/>
        <v/>
      </c>
    </row>
    <row r="635" spans="1:27" ht="13.5" customHeight="1" x14ac:dyDescent="0.3">
      <c r="A635" s="193" t="str">
        <f>IF('Observaciones-SMP'!A635="","",'Observaciones-SMP'!A635)</f>
        <v/>
      </c>
      <c r="B635" s="257" t="str">
        <f>IF('Observaciones-SMP'!B635="","",'Observaciones-SMP'!B635)</f>
        <v/>
      </c>
      <c r="C635" s="193" t="str">
        <f>IF('Observaciones-SMP'!C635="","",'Observaciones-SMP'!C635)</f>
        <v/>
      </c>
      <c r="D635" s="193" t="str">
        <f>IF('Observaciones-SMP'!D635="","",'Observaciones-SMP'!D635)</f>
        <v/>
      </c>
      <c r="E635" s="193" t="str">
        <f>IF('Observaciones-SMP'!E635="","",'Observaciones-SMP'!E635)</f>
        <v/>
      </c>
      <c r="F635" s="193" t="str">
        <f>IF('Observaciones-SMP'!F635="","",'Observaciones-SMP'!F635)</f>
        <v/>
      </c>
      <c r="G635" s="193" t="str">
        <f>IF('Observaciones-SMP'!G635="","",'Observaciones-SMP'!G635)</f>
        <v/>
      </c>
      <c r="H635" s="193" t="str">
        <f>IF('Observaciones-SMP'!H635="","",'Observaciones-SMP'!H635)</f>
        <v/>
      </c>
      <c r="I635" s="193" t="str">
        <f>IF('Observaciones-SMP'!I635="","",'Observaciones-SMP'!I635)</f>
        <v/>
      </c>
      <c r="J635" s="193" t="str">
        <f>IF('Observaciones-SMP'!J635="","",'Observaciones-SMP'!J635)</f>
        <v/>
      </c>
      <c r="K635" s="193" t="str">
        <f>IF('Observaciones-SMP'!K635="","",'Observaciones-SMP'!K635)</f>
        <v/>
      </c>
      <c r="L635" s="193" t="str">
        <f>IF('Observaciones-SMP'!L635="","",'Observaciones-SMP'!L635)</f>
        <v/>
      </c>
      <c r="M635" s="193" t="str">
        <f>IF('Observaciones-SMP'!M635="","",'Observaciones-SMP'!M635)</f>
        <v/>
      </c>
      <c r="N635" s="193" t="str">
        <f>IF('Observaciones-SMP'!N635="","",'Observaciones-SMP'!N635)</f>
        <v/>
      </c>
      <c r="O635" s="193" t="str">
        <f>IF('Observaciones-SMP'!O635="","",'Observaciones-SMP'!O635)</f>
        <v/>
      </c>
      <c r="P635" s="193" t="str">
        <f>IF('Observaciones-SMP'!P635="","",'Observaciones-SMP'!P635)</f>
        <v/>
      </c>
      <c r="Q635" s="257" t="str">
        <f>IF('Observaciones-SMP'!S635="","",'Observaciones-SMP'!S635)</f>
        <v/>
      </c>
      <c r="R635" s="193" t="str">
        <f>IF('Observaciones-SMP'!T635="","",'Observaciones-SMP'!T635)</f>
        <v/>
      </c>
      <c r="S635" s="193" t="str">
        <f>""</f>
        <v/>
      </c>
      <c r="T635" s="193" t="str">
        <f>""</f>
        <v/>
      </c>
      <c r="U635" s="193" t="str">
        <f t="shared" si="36"/>
        <v/>
      </c>
      <c r="V635" s="193" t="str">
        <f>""</f>
        <v/>
      </c>
      <c r="W635" s="193" t="str">
        <f>""</f>
        <v/>
      </c>
      <c r="X635" s="258" t="str">
        <f t="shared" si="37"/>
        <v/>
      </c>
      <c r="Y635" s="258" t="str">
        <f t="shared" si="38"/>
        <v/>
      </c>
      <c r="Z635" s="193" t="str">
        <f>IF(A635="","",IF(COUNTIF('Observaciones-SMP'!$A$2:$A$1001,A635)&gt;1,1,0))</f>
        <v/>
      </c>
      <c r="AA635" s="193" t="str">
        <f t="shared" si="39"/>
        <v/>
      </c>
    </row>
    <row r="636" spans="1:27" ht="13.5" customHeight="1" x14ac:dyDescent="0.3">
      <c r="A636" s="193" t="str">
        <f>IF('Observaciones-SMP'!A636="","",'Observaciones-SMP'!A636)</f>
        <v/>
      </c>
      <c r="B636" s="257" t="str">
        <f>IF('Observaciones-SMP'!B636="","",'Observaciones-SMP'!B636)</f>
        <v/>
      </c>
      <c r="C636" s="193" t="str">
        <f>IF('Observaciones-SMP'!C636="","",'Observaciones-SMP'!C636)</f>
        <v/>
      </c>
      <c r="D636" s="193" t="str">
        <f>IF('Observaciones-SMP'!D636="","",'Observaciones-SMP'!D636)</f>
        <v/>
      </c>
      <c r="E636" s="193" t="str">
        <f>IF('Observaciones-SMP'!E636="","",'Observaciones-SMP'!E636)</f>
        <v/>
      </c>
      <c r="F636" s="193" t="str">
        <f>IF('Observaciones-SMP'!F636="","",'Observaciones-SMP'!F636)</f>
        <v/>
      </c>
      <c r="G636" s="193" t="str">
        <f>IF('Observaciones-SMP'!G636="","",'Observaciones-SMP'!G636)</f>
        <v/>
      </c>
      <c r="H636" s="193" t="str">
        <f>IF('Observaciones-SMP'!H636="","",'Observaciones-SMP'!H636)</f>
        <v/>
      </c>
      <c r="I636" s="193" t="str">
        <f>IF('Observaciones-SMP'!I636="","",'Observaciones-SMP'!I636)</f>
        <v/>
      </c>
      <c r="J636" s="193" t="str">
        <f>IF('Observaciones-SMP'!J636="","",'Observaciones-SMP'!J636)</f>
        <v/>
      </c>
      <c r="K636" s="193" t="str">
        <f>IF('Observaciones-SMP'!K636="","",'Observaciones-SMP'!K636)</f>
        <v/>
      </c>
      <c r="L636" s="193" t="str">
        <f>IF('Observaciones-SMP'!L636="","",'Observaciones-SMP'!L636)</f>
        <v/>
      </c>
      <c r="M636" s="193" t="str">
        <f>IF('Observaciones-SMP'!M636="","",'Observaciones-SMP'!M636)</f>
        <v/>
      </c>
      <c r="N636" s="193" t="str">
        <f>IF('Observaciones-SMP'!N636="","",'Observaciones-SMP'!N636)</f>
        <v/>
      </c>
      <c r="O636" s="193" t="str">
        <f>IF('Observaciones-SMP'!O636="","",'Observaciones-SMP'!O636)</f>
        <v/>
      </c>
      <c r="P636" s="193" t="str">
        <f>IF('Observaciones-SMP'!P636="","",'Observaciones-SMP'!P636)</f>
        <v/>
      </c>
      <c r="Q636" s="257" t="str">
        <f>IF('Observaciones-SMP'!S636="","",'Observaciones-SMP'!S636)</f>
        <v/>
      </c>
      <c r="R636" s="193" t="str">
        <f>IF('Observaciones-SMP'!T636="","",'Observaciones-SMP'!T636)</f>
        <v/>
      </c>
      <c r="S636" s="193" t="str">
        <f>""</f>
        <v/>
      </c>
      <c r="T636" s="193" t="str">
        <f>""</f>
        <v/>
      </c>
      <c r="U636" s="193" t="str">
        <f t="shared" si="36"/>
        <v/>
      </c>
      <c r="V636" s="193" t="str">
        <f>""</f>
        <v/>
      </c>
      <c r="W636" s="193" t="str">
        <f>""</f>
        <v/>
      </c>
      <c r="X636" s="258" t="str">
        <f t="shared" si="37"/>
        <v/>
      </c>
      <c r="Y636" s="258" t="str">
        <f t="shared" si="38"/>
        <v/>
      </c>
      <c r="Z636" s="193" t="str">
        <f>IF(A636="","",IF(COUNTIF('Observaciones-SMP'!$A$2:$A$1001,A636)&gt;1,1,0))</f>
        <v/>
      </c>
      <c r="AA636" s="193" t="str">
        <f t="shared" si="39"/>
        <v/>
      </c>
    </row>
    <row r="637" spans="1:27" ht="13.5" customHeight="1" x14ac:dyDescent="0.3">
      <c r="A637" s="193" t="str">
        <f>IF('Observaciones-SMP'!A637="","",'Observaciones-SMP'!A637)</f>
        <v/>
      </c>
      <c r="B637" s="257" t="str">
        <f>IF('Observaciones-SMP'!B637="","",'Observaciones-SMP'!B637)</f>
        <v/>
      </c>
      <c r="C637" s="193" t="str">
        <f>IF('Observaciones-SMP'!C637="","",'Observaciones-SMP'!C637)</f>
        <v/>
      </c>
      <c r="D637" s="193" t="str">
        <f>IF('Observaciones-SMP'!D637="","",'Observaciones-SMP'!D637)</f>
        <v/>
      </c>
      <c r="E637" s="193" t="str">
        <f>IF('Observaciones-SMP'!E637="","",'Observaciones-SMP'!E637)</f>
        <v/>
      </c>
      <c r="F637" s="193" t="str">
        <f>IF('Observaciones-SMP'!F637="","",'Observaciones-SMP'!F637)</f>
        <v/>
      </c>
      <c r="G637" s="193" t="str">
        <f>IF('Observaciones-SMP'!G637="","",'Observaciones-SMP'!G637)</f>
        <v/>
      </c>
      <c r="H637" s="193" t="str">
        <f>IF('Observaciones-SMP'!H637="","",'Observaciones-SMP'!H637)</f>
        <v/>
      </c>
      <c r="I637" s="193" t="str">
        <f>IF('Observaciones-SMP'!I637="","",'Observaciones-SMP'!I637)</f>
        <v/>
      </c>
      <c r="J637" s="193" t="str">
        <f>IF('Observaciones-SMP'!J637="","",'Observaciones-SMP'!J637)</f>
        <v/>
      </c>
      <c r="K637" s="193" t="str">
        <f>IF('Observaciones-SMP'!K637="","",'Observaciones-SMP'!K637)</f>
        <v/>
      </c>
      <c r="L637" s="193" t="str">
        <f>IF('Observaciones-SMP'!L637="","",'Observaciones-SMP'!L637)</f>
        <v/>
      </c>
      <c r="M637" s="193" t="str">
        <f>IF('Observaciones-SMP'!M637="","",'Observaciones-SMP'!M637)</f>
        <v/>
      </c>
      <c r="N637" s="193" t="str">
        <f>IF('Observaciones-SMP'!N637="","",'Observaciones-SMP'!N637)</f>
        <v/>
      </c>
      <c r="O637" s="193" t="str">
        <f>IF('Observaciones-SMP'!O637="","",'Observaciones-SMP'!O637)</f>
        <v/>
      </c>
      <c r="P637" s="193" t="str">
        <f>IF('Observaciones-SMP'!P637="","",'Observaciones-SMP'!P637)</f>
        <v/>
      </c>
      <c r="Q637" s="257" t="str">
        <f>IF('Observaciones-SMP'!S637="","",'Observaciones-SMP'!S637)</f>
        <v/>
      </c>
      <c r="R637" s="193" t="str">
        <f>IF('Observaciones-SMP'!T637="","",'Observaciones-SMP'!T637)</f>
        <v/>
      </c>
      <c r="S637" s="193" t="str">
        <f>""</f>
        <v/>
      </c>
      <c r="T637" s="193" t="str">
        <f>""</f>
        <v/>
      </c>
      <c r="U637" s="193" t="str">
        <f t="shared" si="36"/>
        <v/>
      </c>
      <c r="V637" s="193" t="str">
        <f>""</f>
        <v/>
      </c>
      <c r="W637" s="193" t="str">
        <f>""</f>
        <v/>
      </c>
      <c r="X637" s="258" t="str">
        <f t="shared" si="37"/>
        <v/>
      </c>
      <c r="Y637" s="258" t="str">
        <f t="shared" si="38"/>
        <v/>
      </c>
      <c r="Z637" s="193" t="str">
        <f>IF(A637="","",IF(COUNTIF('Observaciones-SMP'!$A$2:$A$1001,A637)&gt;1,1,0))</f>
        <v/>
      </c>
      <c r="AA637" s="193" t="str">
        <f t="shared" si="39"/>
        <v/>
      </c>
    </row>
    <row r="638" spans="1:27" ht="13.5" customHeight="1" x14ac:dyDescent="0.3">
      <c r="A638" s="193" t="str">
        <f>IF('Observaciones-SMP'!A638="","",'Observaciones-SMP'!A638)</f>
        <v/>
      </c>
      <c r="B638" s="257" t="str">
        <f>IF('Observaciones-SMP'!B638="","",'Observaciones-SMP'!B638)</f>
        <v/>
      </c>
      <c r="C638" s="193" t="str">
        <f>IF('Observaciones-SMP'!C638="","",'Observaciones-SMP'!C638)</f>
        <v/>
      </c>
      <c r="D638" s="193" t="str">
        <f>IF('Observaciones-SMP'!D638="","",'Observaciones-SMP'!D638)</f>
        <v/>
      </c>
      <c r="E638" s="193" t="str">
        <f>IF('Observaciones-SMP'!E638="","",'Observaciones-SMP'!E638)</f>
        <v/>
      </c>
      <c r="F638" s="193" t="str">
        <f>IF('Observaciones-SMP'!F638="","",'Observaciones-SMP'!F638)</f>
        <v/>
      </c>
      <c r="G638" s="193" t="str">
        <f>IF('Observaciones-SMP'!G638="","",'Observaciones-SMP'!G638)</f>
        <v/>
      </c>
      <c r="H638" s="193" t="str">
        <f>IF('Observaciones-SMP'!H638="","",'Observaciones-SMP'!H638)</f>
        <v/>
      </c>
      <c r="I638" s="193" t="str">
        <f>IF('Observaciones-SMP'!I638="","",'Observaciones-SMP'!I638)</f>
        <v/>
      </c>
      <c r="J638" s="193" t="str">
        <f>IF('Observaciones-SMP'!J638="","",'Observaciones-SMP'!J638)</f>
        <v/>
      </c>
      <c r="K638" s="193" t="str">
        <f>IF('Observaciones-SMP'!K638="","",'Observaciones-SMP'!K638)</f>
        <v/>
      </c>
      <c r="L638" s="193" t="str">
        <f>IF('Observaciones-SMP'!L638="","",'Observaciones-SMP'!L638)</f>
        <v/>
      </c>
      <c r="M638" s="193" t="str">
        <f>IF('Observaciones-SMP'!M638="","",'Observaciones-SMP'!M638)</f>
        <v/>
      </c>
      <c r="N638" s="193" t="str">
        <f>IF('Observaciones-SMP'!N638="","",'Observaciones-SMP'!N638)</f>
        <v/>
      </c>
      <c r="O638" s="193" t="str">
        <f>IF('Observaciones-SMP'!O638="","",'Observaciones-SMP'!O638)</f>
        <v/>
      </c>
      <c r="P638" s="193" t="str">
        <f>IF('Observaciones-SMP'!P638="","",'Observaciones-SMP'!P638)</f>
        <v/>
      </c>
      <c r="Q638" s="257" t="str">
        <f>IF('Observaciones-SMP'!S638="","",'Observaciones-SMP'!S638)</f>
        <v/>
      </c>
      <c r="R638" s="193" t="str">
        <f>IF('Observaciones-SMP'!T638="","",'Observaciones-SMP'!T638)</f>
        <v/>
      </c>
      <c r="S638" s="193" t="str">
        <f>""</f>
        <v/>
      </c>
      <c r="T638" s="193" t="str">
        <f>""</f>
        <v/>
      </c>
      <c r="U638" s="193" t="str">
        <f t="shared" si="36"/>
        <v/>
      </c>
      <c r="V638" s="193" t="str">
        <f>""</f>
        <v/>
      </c>
      <c r="W638" s="193" t="str">
        <f>""</f>
        <v/>
      </c>
      <c r="X638" s="258" t="str">
        <f t="shared" si="37"/>
        <v/>
      </c>
      <c r="Y638" s="258" t="str">
        <f t="shared" si="38"/>
        <v/>
      </c>
      <c r="Z638" s="193" t="str">
        <f>IF(A638="","",IF(COUNTIF('Observaciones-SMP'!$A$2:$A$1001,A638)&gt;1,1,0))</f>
        <v/>
      </c>
      <c r="AA638" s="193" t="str">
        <f t="shared" si="39"/>
        <v/>
      </c>
    </row>
    <row r="639" spans="1:27" ht="13.5" customHeight="1" x14ac:dyDescent="0.3">
      <c r="A639" s="193" t="str">
        <f>IF('Observaciones-SMP'!A639="","",'Observaciones-SMP'!A639)</f>
        <v/>
      </c>
      <c r="B639" s="257" t="str">
        <f>IF('Observaciones-SMP'!B639="","",'Observaciones-SMP'!B639)</f>
        <v/>
      </c>
      <c r="C639" s="193" t="str">
        <f>IF('Observaciones-SMP'!C639="","",'Observaciones-SMP'!C639)</f>
        <v/>
      </c>
      <c r="D639" s="193" t="str">
        <f>IF('Observaciones-SMP'!D639="","",'Observaciones-SMP'!D639)</f>
        <v/>
      </c>
      <c r="E639" s="193" t="str">
        <f>IF('Observaciones-SMP'!E639="","",'Observaciones-SMP'!E639)</f>
        <v/>
      </c>
      <c r="F639" s="193" t="str">
        <f>IF('Observaciones-SMP'!F639="","",'Observaciones-SMP'!F639)</f>
        <v/>
      </c>
      <c r="G639" s="193" t="str">
        <f>IF('Observaciones-SMP'!G639="","",'Observaciones-SMP'!G639)</f>
        <v/>
      </c>
      <c r="H639" s="193" t="str">
        <f>IF('Observaciones-SMP'!H639="","",'Observaciones-SMP'!H639)</f>
        <v/>
      </c>
      <c r="I639" s="193" t="str">
        <f>IF('Observaciones-SMP'!I639="","",'Observaciones-SMP'!I639)</f>
        <v/>
      </c>
      <c r="J639" s="193" t="str">
        <f>IF('Observaciones-SMP'!J639="","",'Observaciones-SMP'!J639)</f>
        <v/>
      </c>
      <c r="K639" s="193" t="str">
        <f>IF('Observaciones-SMP'!K639="","",'Observaciones-SMP'!K639)</f>
        <v/>
      </c>
      <c r="L639" s="193" t="str">
        <f>IF('Observaciones-SMP'!L639="","",'Observaciones-SMP'!L639)</f>
        <v/>
      </c>
      <c r="M639" s="193" t="str">
        <f>IF('Observaciones-SMP'!M639="","",'Observaciones-SMP'!M639)</f>
        <v/>
      </c>
      <c r="N639" s="193" t="str">
        <f>IF('Observaciones-SMP'!N639="","",'Observaciones-SMP'!N639)</f>
        <v/>
      </c>
      <c r="O639" s="193" t="str">
        <f>IF('Observaciones-SMP'!O639="","",'Observaciones-SMP'!O639)</f>
        <v/>
      </c>
      <c r="P639" s="193" t="str">
        <f>IF('Observaciones-SMP'!P639="","",'Observaciones-SMP'!P639)</f>
        <v/>
      </c>
      <c r="Q639" s="257" t="str">
        <f>IF('Observaciones-SMP'!S639="","",'Observaciones-SMP'!S639)</f>
        <v/>
      </c>
      <c r="R639" s="193" t="str">
        <f>IF('Observaciones-SMP'!T639="","",'Observaciones-SMP'!T639)</f>
        <v/>
      </c>
      <c r="S639" s="193" t="str">
        <f>""</f>
        <v/>
      </c>
      <c r="T639" s="193" t="str">
        <f>""</f>
        <v/>
      </c>
      <c r="U639" s="193" t="str">
        <f t="shared" si="36"/>
        <v/>
      </c>
      <c r="V639" s="193" t="str">
        <f>""</f>
        <v/>
      </c>
      <c r="W639" s="193" t="str">
        <f>""</f>
        <v/>
      </c>
      <c r="X639" s="258" t="str">
        <f t="shared" si="37"/>
        <v/>
      </c>
      <c r="Y639" s="258" t="str">
        <f t="shared" si="38"/>
        <v/>
      </c>
      <c r="Z639" s="193" t="str">
        <f>IF(A639="","",IF(COUNTIF('Observaciones-SMP'!$A$2:$A$1001,A639)&gt;1,1,0))</f>
        <v/>
      </c>
      <c r="AA639" s="193" t="str">
        <f t="shared" si="39"/>
        <v/>
      </c>
    </row>
    <row r="640" spans="1:27" ht="13.5" customHeight="1" x14ac:dyDescent="0.3">
      <c r="A640" s="193" t="str">
        <f>IF('Observaciones-SMP'!A640="","",'Observaciones-SMP'!A640)</f>
        <v/>
      </c>
      <c r="B640" s="257" t="str">
        <f>IF('Observaciones-SMP'!B640="","",'Observaciones-SMP'!B640)</f>
        <v/>
      </c>
      <c r="C640" s="193" t="str">
        <f>IF('Observaciones-SMP'!C640="","",'Observaciones-SMP'!C640)</f>
        <v/>
      </c>
      <c r="D640" s="193" t="str">
        <f>IF('Observaciones-SMP'!D640="","",'Observaciones-SMP'!D640)</f>
        <v/>
      </c>
      <c r="E640" s="193" t="str">
        <f>IF('Observaciones-SMP'!E640="","",'Observaciones-SMP'!E640)</f>
        <v/>
      </c>
      <c r="F640" s="193" t="str">
        <f>IF('Observaciones-SMP'!F640="","",'Observaciones-SMP'!F640)</f>
        <v/>
      </c>
      <c r="G640" s="193" t="str">
        <f>IF('Observaciones-SMP'!G640="","",'Observaciones-SMP'!G640)</f>
        <v/>
      </c>
      <c r="H640" s="193" t="str">
        <f>IF('Observaciones-SMP'!H640="","",'Observaciones-SMP'!H640)</f>
        <v/>
      </c>
      <c r="I640" s="193" t="str">
        <f>IF('Observaciones-SMP'!I640="","",'Observaciones-SMP'!I640)</f>
        <v/>
      </c>
      <c r="J640" s="193" t="str">
        <f>IF('Observaciones-SMP'!J640="","",'Observaciones-SMP'!J640)</f>
        <v/>
      </c>
      <c r="K640" s="193" t="str">
        <f>IF('Observaciones-SMP'!K640="","",'Observaciones-SMP'!K640)</f>
        <v/>
      </c>
      <c r="L640" s="193" t="str">
        <f>IF('Observaciones-SMP'!L640="","",'Observaciones-SMP'!L640)</f>
        <v/>
      </c>
      <c r="M640" s="193" t="str">
        <f>IF('Observaciones-SMP'!M640="","",'Observaciones-SMP'!M640)</f>
        <v/>
      </c>
      <c r="N640" s="193" t="str">
        <f>IF('Observaciones-SMP'!N640="","",'Observaciones-SMP'!N640)</f>
        <v/>
      </c>
      <c r="O640" s="193" t="str">
        <f>IF('Observaciones-SMP'!O640="","",'Observaciones-SMP'!O640)</f>
        <v/>
      </c>
      <c r="P640" s="193" t="str">
        <f>IF('Observaciones-SMP'!P640="","",'Observaciones-SMP'!P640)</f>
        <v/>
      </c>
      <c r="Q640" s="257" t="str">
        <f>IF('Observaciones-SMP'!S640="","",'Observaciones-SMP'!S640)</f>
        <v/>
      </c>
      <c r="R640" s="193" t="str">
        <f>IF('Observaciones-SMP'!T640="","",'Observaciones-SMP'!T640)</f>
        <v/>
      </c>
      <c r="S640" s="193" t="str">
        <f>""</f>
        <v/>
      </c>
      <c r="T640" s="193" t="str">
        <f>""</f>
        <v/>
      </c>
      <c r="U640" s="193" t="str">
        <f t="shared" si="36"/>
        <v/>
      </c>
      <c r="V640" s="193" t="str">
        <f>""</f>
        <v/>
      </c>
      <c r="W640" s="193" t="str">
        <f>""</f>
        <v/>
      </c>
      <c r="X640" s="258" t="str">
        <f t="shared" si="37"/>
        <v/>
      </c>
      <c r="Y640" s="258" t="str">
        <f t="shared" si="38"/>
        <v/>
      </c>
      <c r="Z640" s="193" t="str">
        <f>IF(A640="","",IF(COUNTIF('Observaciones-SMP'!$A$2:$A$1001,A640)&gt;1,1,0))</f>
        <v/>
      </c>
      <c r="AA640" s="193" t="str">
        <f t="shared" si="39"/>
        <v/>
      </c>
    </row>
    <row r="641" spans="1:27" ht="13.5" customHeight="1" x14ac:dyDescent="0.3">
      <c r="A641" s="193" t="str">
        <f>IF('Observaciones-SMP'!A641="","",'Observaciones-SMP'!A641)</f>
        <v/>
      </c>
      <c r="B641" s="257" t="str">
        <f>IF('Observaciones-SMP'!B641="","",'Observaciones-SMP'!B641)</f>
        <v/>
      </c>
      <c r="C641" s="193" t="str">
        <f>IF('Observaciones-SMP'!C641="","",'Observaciones-SMP'!C641)</f>
        <v/>
      </c>
      <c r="D641" s="193" t="str">
        <f>IF('Observaciones-SMP'!D641="","",'Observaciones-SMP'!D641)</f>
        <v/>
      </c>
      <c r="E641" s="193" t="str">
        <f>IF('Observaciones-SMP'!E641="","",'Observaciones-SMP'!E641)</f>
        <v/>
      </c>
      <c r="F641" s="193" t="str">
        <f>IF('Observaciones-SMP'!F641="","",'Observaciones-SMP'!F641)</f>
        <v/>
      </c>
      <c r="G641" s="193" t="str">
        <f>IF('Observaciones-SMP'!G641="","",'Observaciones-SMP'!G641)</f>
        <v/>
      </c>
      <c r="H641" s="193" t="str">
        <f>IF('Observaciones-SMP'!H641="","",'Observaciones-SMP'!H641)</f>
        <v/>
      </c>
      <c r="I641" s="193" t="str">
        <f>IF('Observaciones-SMP'!I641="","",'Observaciones-SMP'!I641)</f>
        <v/>
      </c>
      <c r="J641" s="193" t="str">
        <f>IF('Observaciones-SMP'!J641="","",'Observaciones-SMP'!J641)</f>
        <v/>
      </c>
      <c r="K641" s="193" t="str">
        <f>IF('Observaciones-SMP'!K641="","",'Observaciones-SMP'!K641)</f>
        <v/>
      </c>
      <c r="L641" s="193" t="str">
        <f>IF('Observaciones-SMP'!L641="","",'Observaciones-SMP'!L641)</f>
        <v/>
      </c>
      <c r="M641" s="193" t="str">
        <f>IF('Observaciones-SMP'!M641="","",'Observaciones-SMP'!M641)</f>
        <v/>
      </c>
      <c r="N641" s="193" t="str">
        <f>IF('Observaciones-SMP'!N641="","",'Observaciones-SMP'!N641)</f>
        <v/>
      </c>
      <c r="O641" s="193" t="str">
        <f>IF('Observaciones-SMP'!O641="","",'Observaciones-SMP'!O641)</f>
        <v/>
      </c>
      <c r="P641" s="193" t="str">
        <f>IF('Observaciones-SMP'!P641="","",'Observaciones-SMP'!P641)</f>
        <v/>
      </c>
      <c r="Q641" s="257" t="str">
        <f>IF('Observaciones-SMP'!S641="","",'Observaciones-SMP'!S641)</f>
        <v/>
      </c>
      <c r="R641" s="193" t="str">
        <f>IF('Observaciones-SMP'!T641="","",'Observaciones-SMP'!T641)</f>
        <v/>
      </c>
      <c r="S641" s="193" t="str">
        <f>""</f>
        <v/>
      </c>
      <c r="T641" s="193" t="str">
        <f>""</f>
        <v/>
      </c>
      <c r="U641" s="193" t="str">
        <f t="shared" si="36"/>
        <v/>
      </c>
      <c r="V641" s="193" t="str">
        <f>""</f>
        <v/>
      </c>
      <c r="W641" s="193" t="str">
        <f>""</f>
        <v/>
      </c>
      <c r="X641" s="258" t="str">
        <f t="shared" si="37"/>
        <v/>
      </c>
      <c r="Y641" s="258" t="str">
        <f t="shared" si="38"/>
        <v/>
      </c>
      <c r="Z641" s="193" t="str">
        <f>IF(A641="","",IF(COUNTIF('Observaciones-SMP'!$A$2:$A$1001,A641)&gt;1,1,0))</f>
        <v/>
      </c>
      <c r="AA641" s="193" t="str">
        <f t="shared" si="39"/>
        <v/>
      </c>
    </row>
    <row r="642" spans="1:27" ht="13.5" customHeight="1" x14ac:dyDescent="0.3">
      <c r="A642" s="193" t="str">
        <f>IF('Observaciones-SMP'!A642="","",'Observaciones-SMP'!A642)</f>
        <v/>
      </c>
      <c r="B642" s="257" t="str">
        <f>IF('Observaciones-SMP'!B642="","",'Observaciones-SMP'!B642)</f>
        <v/>
      </c>
      <c r="C642" s="193" t="str">
        <f>IF('Observaciones-SMP'!C642="","",'Observaciones-SMP'!C642)</f>
        <v/>
      </c>
      <c r="D642" s="193" t="str">
        <f>IF('Observaciones-SMP'!D642="","",'Observaciones-SMP'!D642)</f>
        <v/>
      </c>
      <c r="E642" s="193" t="str">
        <f>IF('Observaciones-SMP'!E642="","",'Observaciones-SMP'!E642)</f>
        <v/>
      </c>
      <c r="F642" s="193" t="str">
        <f>IF('Observaciones-SMP'!F642="","",'Observaciones-SMP'!F642)</f>
        <v/>
      </c>
      <c r="G642" s="193" t="str">
        <f>IF('Observaciones-SMP'!G642="","",'Observaciones-SMP'!G642)</f>
        <v/>
      </c>
      <c r="H642" s="193" t="str">
        <f>IF('Observaciones-SMP'!H642="","",'Observaciones-SMP'!H642)</f>
        <v/>
      </c>
      <c r="I642" s="193" t="str">
        <f>IF('Observaciones-SMP'!I642="","",'Observaciones-SMP'!I642)</f>
        <v/>
      </c>
      <c r="J642" s="193" t="str">
        <f>IF('Observaciones-SMP'!J642="","",'Observaciones-SMP'!J642)</f>
        <v/>
      </c>
      <c r="K642" s="193" t="str">
        <f>IF('Observaciones-SMP'!K642="","",'Observaciones-SMP'!K642)</f>
        <v/>
      </c>
      <c r="L642" s="193" t="str">
        <f>IF('Observaciones-SMP'!L642="","",'Observaciones-SMP'!L642)</f>
        <v/>
      </c>
      <c r="M642" s="193" t="str">
        <f>IF('Observaciones-SMP'!M642="","",'Observaciones-SMP'!M642)</f>
        <v/>
      </c>
      <c r="N642" s="193" t="str">
        <f>IF('Observaciones-SMP'!N642="","",'Observaciones-SMP'!N642)</f>
        <v/>
      </c>
      <c r="O642" s="193" t="str">
        <f>IF('Observaciones-SMP'!O642="","",'Observaciones-SMP'!O642)</f>
        <v/>
      </c>
      <c r="P642" s="193" t="str">
        <f>IF('Observaciones-SMP'!P642="","",'Observaciones-SMP'!P642)</f>
        <v/>
      </c>
      <c r="Q642" s="257" t="str">
        <f>IF('Observaciones-SMP'!S642="","",'Observaciones-SMP'!S642)</f>
        <v/>
      </c>
      <c r="R642" s="193" t="str">
        <f>IF('Observaciones-SMP'!T642="","",'Observaciones-SMP'!T642)</f>
        <v/>
      </c>
      <c r="S642" s="193" t="str">
        <f>""</f>
        <v/>
      </c>
      <c r="T642" s="193" t="str">
        <f>""</f>
        <v/>
      </c>
      <c r="U642" s="193" t="str">
        <f t="shared" ref="U642:U705" si="40">IF(AND(ISNUMBER(B642),ISNUMBER(Q642)),IF(Q642&gt;=B642,Q642-B642,""),"")</f>
        <v/>
      </c>
      <c r="V642" s="193" t="str">
        <f>""</f>
        <v/>
      </c>
      <c r="W642" s="193" t="str">
        <f>""</f>
        <v/>
      </c>
      <c r="X642" s="258" t="str">
        <f t="shared" ref="X642:X705" si="41">IF(ISNUMBER(B642),DATE(YEAR(B642),MONTH(B642),1),"")</f>
        <v/>
      </c>
      <c r="Y642" s="258" t="str">
        <f t="shared" ref="Y642:Y705" si="42">IF(ISNUMBER(Q642),DATE(YEAR(Q642),MONTH(Q642),1),"")</f>
        <v/>
      </c>
      <c r="Z642" s="193" t="str">
        <f>IF(A642="","",IF(COUNTIF('Observaciones-SMP'!$A$2:$A$1001,A642)&gt;1,1,0))</f>
        <v/>
      </c>
      <c r="AA642" s="193" t="str">
        <f t="shared" ref="AA642:AA705" si="43">IF(ISNUMBER(B642),IF(ISNUMBER(Q642),Q642,DATE(YEAR(RPT_MONTH),MONTH(RPT_MONTH)+1,0))-B642,"")</f>
        <v/>
      </c>
    </row>
    <row r="643" spans="1:27" ht="13.5" customHeight="1" x14ac:dyDescent="0.3">
      <c r="A643" s="193" t="str">
        <f>IF('Observaciones-SMP'!A643="","",'Observaciones-SMP'!A643)</f>
        <v/>
      </c>
      <c r="B643" s="257" t="str">
        <f>IF('Observaciones-SMP'!B643="","",'Observaciones-SMP'!B643)</f>
        <v/>
      </c>
      <c r="C643" s="193" t="str">
        <f>IF('Observaciones-SMP'!C643="","",'Observaciones-SMP'!C643)</f>
        <v/>
      </c>
      <c r="D643" s="193" t="str">
        <f>IF('Observaciones-SMP'!D643="","",'Observaciones-SMP'!D643)</f>
        <v/>
      </c>
      <c r="E643" s="193" t="str">
        <f>IF('Observaciones-SMP'!E643="","",'Observaciones-SMP'!E643)</f>
        <v/>
      </c>
      <c r="F643" s="193" t="str">
        <f>IF('Observaciones-SMP'!F643="","",'Observaciones-SMP'!F643)</f>
        <v/>
      </c>
      <c r="G643" s="193" t="str">
        <f>IF('Observaciones-SMP'!G643="","",'Observaciones-SMP'!G643)</f>
        <v/>
      </c>
      <c r="H643" s="193" t="str">
        <f>IF('Observaciones-SMP'!H643="","",'Observaciones-SMP'!H643)</f>
        <v/>
      </c>
      <c r="I643" s="193" t="str">
        <f>IF('Observaciones-SMP'!I643="","",'Observaciones-SMP'!I643)</f>
        <v/>
      </c>
      <c r="J643" s="193" t="str">
        <f>IF('Observaciones-SMP'!J643="","",'Observaciones-SMP'!J643)</f>
        <v/>
      </c>
      <c r="K643" s="193" t="str">
        <f>IF('Observaciones-SMP'!K643="","",'Observaciones-SMP'!K643)</f>
        <v/>
      </c>
      <c r="L643" s="193" t="str">
        <f>IF('Observaciones-SMP'!L643="","",'Observaciones-SMP'!L643)</f>
        <v/>
      </c>
      <c r="M643" s="193" t="str">
        <f>IF('Observaciones-SMP'!M643="","",'Observaciones-SMP'!M643)</f>
        <v/>
      </c>
      <c r="N643" s="193" t="str">
        <f>IF('Observaciones-SMP'!N643="","",'Observaciones-SMP'!N643)</f>
        <v/>
      </c>
      <c r="O643" s="193" t="str">
        <f>IF('Observaciones-SMP'!O643="","",'Observaciones-SMP'!O643)</f>
        <v/>
      </c>
      <c r="P643" s="193" t="str">
        <f>IF('Observaciones-SMP'!P643="","",'Observaciones-SMP'!P643)</f>
        <v/>
      </c>
      <c r="Q643" s="257" t="str">
        <f>IF('Observaciones-SMP'!S643="","",'Observaciones-SMP'!S643)</f>
        <v/>
      </c>
      <c r="R643" s="193" t="str">
        <f>IF('Observaciones-SMP'!T643="","",'Observaciones-SMP'!T643)</f>
        <v/>
      </c>
      <c r="S643" s="193" t="str">
        <f>""</f>
        <v/>
      </c>
      <c r="T643" s="193" t="str">
        <f>""</f>
        <v/>
      </c>
      <c r="U643" s="193" t="str">
        <f t="shared" si="40"/>
        <v/>
      </c>
      <c r="V643" s="193" t="str">
        <f>""</f>
        <v/>
      </c>
      <c r="W643" s="193" t="str">
        <f>""</f>
        <v/>
      </c>
      <c r="X643" s="258" t="str">
        <f t="shared" si="41"/>
        <v/>
      </c>
      <c r="Y643" s="258" t="str">
        <f t="shared" si="42"/>
        <v/>
      </c>
      <c r="Z643" s="193" t="str">
        <f>IF(A643="","",IF(COUNTIF('Observaciones-SMP'!$A$2:$A$1001,A643)&gt;1,1,0))</f>
        <v/>
      </c>
      <c r="AA643" s="193" t="str">
        <f t="shared" si="43"/>
        <v/>
      </c>
    </row>
    <row r="644" spans="1:27" ht="13.5" customHeight="1" x14ac:dyDescent="0.3">
      <c r="A644" s="193" t="str">
        <f>IF('Observaciones-SMP'!A644="","",'Observaciones-SMP'!A644)</f>
        <v/>
      </c>
      <c r="B644" s="257" t="str">
        <f>IF('Observaciones-SMP'!B644="","",'Observaciones-SMP'!B644)</f>
        <v/>
      </c>
      <c r="C644" s="193" t="str">
        <f>IF('Observaciones-SMP'!C644="","",'Observaciones-SMP'!C644)</f>
        <v/>
      </c>
      <c r="D644" s="193" t="str">
        <f>IF('Observaciones-SMP'!D644="","",'Observaciones-SMP'!D644)</f>
        <v/>
      </c>
      <c r="E644" s="193" t="str">
        <f>IF('Observaciones-SMP'!E644="","",'Observaciones-SMP'!E644)</f>
        <v/>
      </c>
      <c r="F644" s="193" t="str">
        <f>IF('Observaciones-SMP'!F644="","",'Observaciones-SMP'!F644)</f>
        <v/>
      </c>
      <c r="G644" s="193" t="str">
        <f>IF('Observaciones-SMP'!G644="","",'Observaciones-SMP'!G644)</f>
        <v/>
      </c>
      <c r="H644" s="193" t="str">
        <f>IF('Observaciones-SMP'!H644="","",'Observaciones-SMP'!H644)</f>
        <v/>
      </c>
      <c r="I644" s="193" t="str">
        <f>IF('Observaciones-SMP'!I644="","",'Observaciones-SMP'!I644)</f>
        <v/>
      </c>
      <c r="J644" s="193" t="str">
        <f>IF('Observaciones-SMP'!J644="","",'Observaciones-SMP'!J644)</f>
        <v/>
      </c>
      <c r="K644" s="193" t="str">
        <f>IF('Observaciones-SMP'!K644="","",'Observaciones-SMP'!K644)</f>
        <v/>
      </c>
      <c r="L644" s="193" t="str">
        <f>IF('Observaciones-SMP'!L644="","",'Observaciones-SMP'!L644)</f>
        <v/>
      </c>
      <c r="M644" s="193" t="str">
        <f>IF('Observaciones-SMP'!M644="","",'Observaciones-SMP'!M644)</f>
        <v/>
      </c>
      <c r="N644" s="193" t="str">
        <f>IF('Observaciones-SMP'!N644="","",'Observaciones-SMP'!N644)</f>
        <v/>
      </c>
      <c r="O644" s="193" t="str">
        <f>IF('Observaciones-SMP'!O644="","",'Observaciones-SMP'!O644)</f>
        <v/>
      </c>
      <c r="P644" s="193" t="str">
        <f>IF('Observaciones-SMP'!P644="","",'Observaciones-SMP'!P644)</f>
        <v/>
      </c>
      <c r="Q644" s="257" t="str">
        <f>IF('Observaciones-SMP'!S644="","",'Observaciones-SMP'!S644)</f>
        <v/>
      </c>
      <c r="R644" s="193" t="str">
        <f>IF('Observaciones-SMP'!T644="","",'Observaciones-SMP'!T644)</f>
        <v/>
      </c>
      <c r="S644" s="193" t="str">
        <f>""</f>
        <v/>
      </c>
      <c r="T644" s="193" t="str">
        <f>""</f>
        <v/>
      </c>
      <c r="U644" s="193" t="str">
        <f t="shared" si="40"/>
        <v/>
      </c>
      <c r="V644" s="193" t="str">
        <f>""</f>
        <v/>
      </c>
      <c r="W644" s="193" t="str">
        <f>""</f>
        <v/>
      </c>
      <c r="X644" s="258" t="str">
        <f t="shared" si="41"/>
        <v/>
      </c>
      <c r="Y644" s="258" t="str">
        <f t="shared" si="42"/>
        <v/>
      </c>
      <c r="Z644" s="193" t="str">
        <f>IF(A644="","",IF(COUNTIF('Observaciones-SMP'!$A$2:$A$1001,A644)&gt;1,1,0))</f>
        <v/>
      </c>
      <c r="AA644" s="193" t="str">
        <f t="shared" si="43"/>
        <v/>
      </c>
    </row>
    <row r="645" spans="1:27" ht="13.5" customHeight="1" x14ac:dyDescent="0.3">
      <c r="A645" s="193" t="str">
        <f>IF('Observaciones-SMP'!A645="","",'Observaciones-SMP'!A645)</f>
        <v/>
      </c>
      <c r="B645" s="257" t="str">
        <f>IF('Observaciones-SMP'!B645="","",'Observaciones-SMP'!B645)</f>
        <v/>
      </c>
      <c r="C645" s="193" t="str">
        <f>IF('Observaciones-SMP'!C645="","",'Observaciones-SMP'!C645)</f>
        <v/>
      </c>
      <c r="D645" s="193" t="str">
        <f>IF('Observaciones-SMP'!D645="","",'Observaciones-SMP'!D645)</f>
        <v/>
      </c>
      <c r="E645" s="193" t="str">
        <f>IF('Observaciones-SMP'!E645="","",'Observaciones-SMP'!E645)</f>
        <v/>
      </c>
      <c r="F645" s="193" t="str">
        <f>IF('Observaciones-SMP'!F645="","",'Observaciones-SMP'!F645)</f>
        <v/>
      </c>
      <c r="G645" s="193" t="str">
        <f>IF('Observaciones-SMP'!G645="","",'Observaciones-SMP'!G645)</f>
        <v/>
      </c>
      <c r="H645" s="193" t="str">
        <f>IF('Observaciones-SMP'!H645="","",'Observaciones-SMP'!H645)</f>
        <v/>
      </c>
      <c r="I645" s="193" t="str">
        <f>IF('Observaciones-SMP'!I645="","",'Observaciones-SMP'!I645)</f>
        <v/>
      </c>
      <c r="J645" s="193" t="str">
        <f>IF('Observaciones-SMP'!J645="","",'Observaciones-SMP'!J645)</f>
        <v/>
      </c>
      <c r="K645" s="193" t="str">
        <f>IF('Observaciones-SMP'!K645="","",'Observaciones-SMP'!K645)</f>
        <v/>
      </c>
      <c r="L645" s="193" t="str">
        <f>IF('Observaciones-SMP'!L645="","",'Observaciones-SMP'!L645)</f>
        <v/>
      </c>
      <c r="M645" s="193" t="str">
        <f>IF('Observaciones-SMP'!M645="","",'Observaciones-SMP'!M645)</f>
        <v/>
      </c>
      <c r="N645" s="193" t="str">
        <f>IF('Observaciones-SMP'!N645="","",'Observaciones-SMP'!N645)</f>
        <v/>
      </c>
      <c r="O645" s="193" t="str">
        <f>IF('Observaciones-SMP'!O645="","",'Observaciones-SMP'!O645)</f>
        <v/>
      </c>
      <c r="P645" s="193" t="str">
        <f>IF('Observaciones-SMP'!P645="","",'Observaciones-SMP'!P645)</f>
        <v/>
      </c>
      <c r="Q645" s="257" t="str">
        <f>IF('Observaciones-SMP'!S645="","",'Observaciones-SMP'!S645)</f>
        <v/>
      </c>
      <c r="R645" s="193" t="str">
        <f>IF('Observaciones-SMP'!T645="","",'Observaciones-SMP'!T645)</f>
        <v/>
      </c>
      <c r="S645" s="193" t="str">
        <f>""</f>
        <v/>
      </c>
      <c r="T645" s="193" t="str">
        <f>""</f>
        <v/>
      </c>
      <c r="U645" s="193" t="str">
        <f t="shared" si="40"/>
        <v/>
      </c>
      <c r="V645" s="193" t="str">
        <f>""</f>
        <v/>
      </c>
      <c r="W645" s="193" t="str">
        <f>""</f>
        <v/>
      </c>
      <c r="X645" s="258" t="str">
        <f t="shared" si="41"/>
        <v/>
      </c>
      <c r="Y645" s="258" t="str">
        <f t="shared" si="42"/>
        <v/>
      </c>
      <c r="Z645" s="193" t="str">
        <f>IF(A645="","",IF(COUNTIF('Observaciones-SMP'!$A$2:$A$1001,A645)&gt;1,1,0))</f>
        <v/>
      </c>
      <c r="AA645" s="193" t="str">
        <f t="shared" si="43"/>
        <v/>
      </c>
    </row>
    <row r="646" spans="1:27" ht="13.5" customHeight="1" x14ac:dyDescent="0.3">
      <c r="A646" s="193" t="str">
        <f>IF('Observaciones-SMP'!A646="","",'Observaciones-SMP'!A646)</f>
        <v/>
      </c>
      <c r="B646" s="257" t="str">
        <f>IF('Observaciones-SMP'!B646="","",'Observaciones-SMP'!B646)</f>
        <v/>
      </c>
      <c r="C646" s="193" t="str">
        <f>IF('Observaciones-SMP'!C646="","",'Observaciones-SMP'!C646)</f>
        <v/>
      </c>
      <c r="D646" s="193" t="str">
        <f>IF('Observaciones-SMP'!D646="","",'Observaciones-SMP'!D646)</f>
        <v/>
      </c>
      <c r="E646" s="193" t="str">
        <f>IF('Observaciones-SMP'!E646="","",'Observaciones-SMP'!E646)</f>
        <v/>
      </c>
      <c r="F646" s="193" t="str">
        <f>IF('Observaciones-SMP'!F646="","",'Observaciones-SMP'!F646)</f>
        <v/>
      </c>
      <c r="G646" s="193" t="str">
        <f>IF('Observaciones-SMP'!G646="","",'Observaciones-SMP'!G646)</f>
        <v/>
      </c>
      <c r="H646" s="193" t="str">
        <f>IF('Observaciones-SMP'!H646="","",'Observaciones-SMP'!H646)</f>
        <v/>
      </c>
      <c r="I646" s="193" t="str">
        <f>IF('Observaciones-SMP'!I646="","",'Observaciones-SMP'!I646)</f>
        <v/>
      </c>
      <c r="J646" s="193" t="str">
        <f>IF('Observaciones-SMP'!J646="","",'Observaciones-SMP'!J646)</f>
        <v/>
      </c>
      <c r="K646" s="193" t="str">
        <f>IF('Observaciones-SMP'!K646="","",'Observaciones-SMP'!K646)</f>
        <v/>
      </c>
      <c r="L646" s="193" t="str">
        <f>IF('Observaciones-SMP'!L646="","",'Observaciones-SMP'!L646)</f>
        <v/>
      </c>
      <c r="M646" s="193" t="str">
        <f>IF('Observaciones-SMP'!M646="","",'Observaciones-SMP'!M646)</f>
        <v/>
      </c>
      <c r="N646" s="193" t="str">
        <f>IF('Observaciones-SMP'!N646="","",'Observaciones-SMP'!N646)</f>
        <v/>
      </c>
      <c r="O646" s="193" t="str">
        <f>IF('Observaciones-SMP'!O646="","",'Observaciones-SMP'!O646)</f>
        <v/>
      </c>
      <c r="P646" s="193" t="str">
        <f>IF('Observaciones-SMP'!P646="","",'Observaciones-SMP'!P646)</f>
        <v/>
      </c>
      <c r="Q646" s="257" t="str">
        <f>IF('Observaciones-SMP'!S646="","",'Observaciones-SMP'!S646)</f>
        <v/>
      </c>
      <c r="R646" s="193" t="str">
        <f>IF('Observaciones-SMP'!T646="","",'Observaciones-SMP'!T646)</f>
        <v/>
      </c>
      <c r="S646" s="193" t="str">
        <f>""</f>
        <v/>
      </c>
      <c r="T646" s="193" t="str">
        <f>""</f>
        <v/>
      </c>
      <c r="U646" s="193" t="str">
        <f t="shared" si="40"/>
        <v/>
      </c>
      <c r="V646" s="193" t="str">
        <f>""</f>
        <v/>
      </c>
      <c r="W646" s="193" t="str">
        <f>""</f>
        <v/>
      </c>
      <c r="X646" s="258" t="str">
        <f t="shared" si="41"/>
        <v/>
      </c>
      <c r="Y646" s="258" t="str">
        <f t="shared" si="42"/>
        <v/>
      </c>
      <c r="Z646" s="193" t="str">
        <f>IF(A646="","",IF(COUNTIF('Observaciones-SMP'!$A$2:$A$1001,A646)&gt;1,1,0))</f>
        <v/>
      </c>
      <c r="AA646" s="193" t="str">
        <f t="shared" si="43"/>
        <v/>
      </c>
    </row>
    <row r="647" spans="1:27" ht="13.5" customHeight="1" x14ac:dyDescent="0.3">
      <c r="A647" s="193" t="str">
        <f>IF('Observaciones-SMP'!A647="","",'Observaciones-SMP'!A647)</f>
        <v/>
      </c>
      <c r="B647" s="257" t="str">
        <f>IF('Observaciones-SMP'!B647="","",'Observaciones-SMP'!B647)</f>
        <v/>
      </c>
      <c r="C647" s="193" t="str">
        <f>IF('Observaciones-SMP'!C647="","",'Observaciones-SMP'!C647)</f>
        <v/>
      </c>
      <c r="D647" s="193" t="str">
        <f>IF('Observaciones-SMP'!D647="","",'Observaciones-SMP'!D647)</f>
        <v/>
      </c>
      <c r="E647" s="193" t="str">
        <f>IF('Observaciones-SMP'!E647="","",'Observaciones-SMP'!E647)</f>
        <v/>
      </c>
      <c r="F647" s="193" t="str">
        <f>IF('Observaciones-SMP'!F647="","",'Observaciones-SMP'!F647)</f>
        <v/>
      </c>
      <c r="G647" s="193" t="str">
        <f>IF('Observaciones-SMP'!G647="","",'Observaciones-SMP'!G647)</f>
        <v/>
      </c>
      <c r="H647" s="193" t="str">
        <f>IF('Observaciones-SMP'!H647="","",'Observaciones-SMP'!H647)</f>
        <v/>
      </c>
      <c r="I647" s="193" t="str">
        <f>IF('Observaciones-SMP'!I647="","",'Observaciones-SMP'!I647)</f>
        <v/>
      </c>
      <c r="J647" s="193" t="str">
        <f>IF('Observaciones-SMP'!J647="","",'Observaciones-SMP'!J647)</f>
        <v/>
      </c>
      <c r="K647" s="193" t="str">
        <f>IF('Observaciones-SMP'!K647="","",'Observaciones-SMP'!K647)</f>
        <v/>
      </c>
      <c r="L647" s="193" t="str">
        <f>IF('Observaciones-SMP'!L647="","",'Observaciones-SMP'!L647)</f>
        <v/>
      </c>
      <c r="M647" s="193" t="str">
        <f>IF('Observaciones-SMP'!M647="","",'Observaciones-SMP'!M647)</f>
        <v/>
      </c>
      <c r="N647" s="193" t="str">
        <f>IF('Observaciones-SMP'!N647="","",'Observaciones-SMP'!N647)</f>
        <v/>
      </c>
      <c r="O647" s="193" t="str">
        <f>IF('Observaciones-SMP'!O647="","",'Observaciones-SMP'!O647)</f>
        <v/>
      </c>
      <c r="P647" s="193" t="str">
        <f>IF('Observaciones-SMP'!P647="","",'Observaciones-SMP'!P647)</f>
        <v/>
      </c>
      <c r="Q647" s="257" t="str">
        <f>IF('Observaciones-SMP'!S647="","",'Observaciones-SMP'!S647)</f>
        <v/>
      </c>
      <c r="R647" s="193" t="str">
        <f>IF('Observaciones-SMP'!T647="","",'Observaciones-SMP'!T647)</f>
        <v/>
      </c>
      <c r="S647" s="193" t="str">
        <f>""</f>
        <v/>
      </c>
      <c r="T647" s="193" t="str">
        <f>""</f>
        <v/>
      </c>
      <c r="U647" s="193" t="str">
        <f t="shared" si="40"/>
        <v/>
      </c>
      <c r="V647" s="193" t="str">
        <f>""</f>
        <v/>
      </c>
      <c r="W647" s="193" t="str">
        <f>""</f>
        <v/>
      </c>
      <c r="X647" s="258" t="str">
        <f t="shared" si="41"/>
        <v/>
      </c>
      <c r="Y647" s="258" t="str">
        <f t="shared" si="42"/>
        <v/>
      </c>
      <c r="Z647" s="193" t="str">
        <f>IF(A647="","",IF(COUNTIF('Observaciones-SMP'!$A$2:$A$1001,A647)&gt;1,1,0))</f>
        <v/>
      </c>
      <c r="AA647" s="193" t="str">
        <f t="shared" si="43"/>
        <v/>
      </c>
    </row>
    <row r="648" spans="1:27" ht="13.5" customHeight="1" x14ac:dyDescent="0.3">
      <c r="A648" s="193" t="str">
        <f>IF('Observaciones-SMP'!A648="","",'Observaciones-SMP'!A648)</f>
        <v/>
      </c>
      <c r="B648" s="257" t="str">
        <f>IF('Observaciones-SMP'!B648="","",'Observaciones-SMP'!B648)</f>
        <v/>
      </c>
      <c r="C648" s="193" t="str">
        <f>IF('Observaciones-SMP'!C648="","",'Observaciones-SMP'!C648)</f>
        <v/>
      </c>
      <c r="D648" s="193" t="str">
        <f>IF('Observaciones-SMP'!D648="","",'Observaciones-SMP'!D648)</f>
        <v/>
      </c>
      <c r="E648" s="193" t="str">
        <f>IF('Observaciones-SMP'!E648="","",'Observaciones-SMP'!E648)</f>
        <v/>
      </c>
      <c r="F648" s="193" t="str">
        <f>IF('Observaciones-SMP'!F648="","",'Observaciones-SMP'!F648)</f>
        <v/>
      </c>
      <c r="G648" s="193" t="str">
        <f>IF('Observaciones-SMP'!G648="","",'Observaciones-SMP'!G648)</f>
        <v/>
      </c>
      <c r="H648" s="193" t="str">
        <f>IF('Observaciones-SMP'!H648="","",'Observaciones-SMP'!H648)</f>
        <v/>
      </c>
      <c r="I648" s="193" t="str">
        <f>IF('Observaciones-SMP'!I648="","",'Observaciones-SMP'!I648)</f>
        <v/>
      </c>
      <c r="J648" s="193" t="str">
        <f>IF('Observaciones-SMP'!J648="","",'Observaciones-SMP'!J648)</f>
        <v/>
      </c>
      <c r="K648" s="193" t="str">
        <f>IF('Observaciones-SMP'!K648="","",'Observaciones-SMP'!K648)</f>
        <v/>
      </c>
      <c r="L648" s="193" t="str">
        <f>IF('Observaciones-SMP'!L648="","",'Observaciones-SMP'!L648)</f>
        <v/>
      </c>
      <c r="M648" s="193" t="str">
        <f>IF('Observaciones-SMP'!M648="","",'Observaciones-SMP'!M648)</f>
        <v/>
      </c>
      <c r="N648" s="193" t="str">
        <f>IF('Observaciones-SMP'!N648="","",'Observaciones-SMP'!N648)</f>
        <v/>
      </c>
      <c r="O648" s="193" t="str">
        <f>IF('Observaciones-SMP'!O648="","",'Observaciones-SMP'!O648)</f>
        <v/>
      </c>
      <c r="P648" s="193" t="str">
        <f>IF('Observaciones-SMP'!P648="","",'Observaciones-SMP'!P648)</f>
        <v/>
      </c>
      <c r="Q648" s="257" t="str">
        <f>IF('Observaciones-SMP'!S648="","",'Observaciones-SMP'!S648)</f>
        <v/>
      </c>
      <c r="R648" s="193" t="str">
        <f>IF('Observaciones-SMP'!T648="","",'Observaciones-SMP'!T648)</f>
        <v/>
      </c>
      <c r="S648" s="193" t="str">
        <f>""</f>
        <v/>
      </c>
      <c r="T648" s="193" t="str">
        <f>""</f>
        <v/>
      </c>
      <c r="U648" s="193" t="str">
        <f t="shared" si="40"/>
        <v/>
      </c>
      <c r="V648" s="193" t="str">
        <f>""</f>
        <v/>
      </c>
      <c r="W648" s="193" t="str">
        <f>""</f>
        <v/>
      </c>
      <c r="X648" s="258" t="str">
        <f t="shared" si="41"/>
        <v/>
      </c>
      <c r="Y648" s="258" t="str">
        <f t="shared" si="42"/>
        <v/>
      </c>
      <c r="Z648" s="193" t="str">
        <f>IF(A648="","",IF(COUNTIF('Observaciones-SMP'!$A$2:$A$1001,A648)&gt;1,1,0))</f>
        <v/>
      </c>
      <c r="AA648" s="193" t="str">
        <f t="shared" si="43"/>
        <v/>
      </c>
    </row>
    <row r="649" spans="1:27" ht="13.5" customHeight="1" x14ac:dyDescent="0.3">
      <c r="A649" s="193" t="str">
        <f>IF('Observaciones-SMP'!A649="","",'Observaciones-SMP'!A649)</f>
        <v/>
      </c>
      <c r="B649" s="257" t="str">
        <f>IF('Observaciones-SMP'!B649="","",'Observaciones-SMP'!B649)</f>
        <v/>
      </c>
      <c r="C649" s="193" t="str">
        <f>IF('Observaciones-SMP'!C649="","",'Observaciones-SMP'!C649)</f>
        <v/>
      </c>
      <c r="D649" s="193" t="str">
        <f>IF('Observaciones-SMP'!D649="","",'Observaciones-SMP'!D649)</f>
        <v/>
      </c>
      <c r="E649" s="193" t="str">
        <f>IF('Observaciones-SMP'!E649="","",'Observaciones-SMP'!E649)</f>
        <v/>
      </c>
      <c r="F649" s="193" t="str">
        <f>IF('Observaciones-SMP'!F649="","",'Observaciones-SMP'!F649)</f>
        <v/>
      </c>
      <c r="G649" s="193" t="str">
        <f>IF('Observaciones-SMP'!G649="","",'Observaciones-SMP'!G649)</f>
        <v/>
      </c>
      <c r="H649" s="193" t="str">
        <f>IF('Observaciones-SMP'!H649="","",'Observaciones-SMP'!H649)</f>
        <v/>
      </c>
      <c r="I649" s="193" t="str">
        <f>IF('Observaciones-SMP'!I649="","",'Observaciones-SMP'!I649)</f>
        <v/>
      </c>
      <c r="J649" s="193" t="str">
        <f>IF('Observaciones-SMP'!J649="","",'Observaciones-SMP'!J649)</f>
        <v/>
      </c>
      <c r="K649" s="193" t="str">
        <f>IF('Observaciones-SMP'!K649="","",'Observaciones-SMP'!K649)</f>
        <v/>
      </c>
      <c r="L649" s="193" t="str">
        <f>IF('Observaciones-SMP'!L649="","",'Observaciones-SMP'!L649)</f>
        <v/>
      </c>
      <c r="M649" s="193" t="str">
        <f>IF('Observaciones-SMP'!M649="","",'Observaciones-SMP'!M649)</f>
        <v/>
      </c>
      <c r="N649" s="193" t="str">
        <f>IF('Observaciones-SMP'!N649="","",'Observaciones-SMP'!N649)</f>
        <v/>
      </c>
      <c r="O649" s="193" t="str">
        <f>IF('Observaciones-SMP'!O649="","",'Observaciones-SMP'!O649)</f>
        <v/>
      </c>
      <c r="P649" s="193" t="str">
        <f>IF('Observaciones-SMP'!P649="","",'Observaciones-SMP'!P649)</f>
        <v/>
      </c>
      <c r="Q649" s="257" t="str">
        <f>IF('Observaciones-SMP'!S649="","",'Observaciones-SMP'!S649)</f>
        <v/>
      </c>
      <c r="R649" s="193" t="str">
        <f>IF('Observaciones-SMP'!T649="","",'Observaciones-SMP'!T649)</f>
        <v/>
      </c>
      <c r="S649" s="193" t="str">
        <f>""</f>
        <v/>
      </c>
      <c r="T649" s="193" t="str">
        <f>""</f>
        <v/>
      </c>
      <c r="U649" s="193" t="str">
        <f t="shared" si="40"/>
        <v/>
      </c>
      <c r="V649" s="193" t="str">
        <f>""</f>
        <v/>
      </c>
      <c r="W649" s="193" t="str">
        <f>""</f>
        <v/>
      </c>
      <c r="X649" s="258" t="str">
        <f t="shared" si="41"/>
        <v/>
      </c>
      <c r="Y649" s="258" t="str">
        <f t="shared" si="42"/>
        <v/>
      </c>
      <c r="Z649" s="193" t="str">
        <f>IF(A649="","",IF(COUNTIF('Observaciones-SMP'!$A$2:$A$1001,A649)&gt;1,1,0))</f>
        <v/>
      </c>
      <c r="AA649" s="193" t="str">
        <f t="shared" si="43"/>
        <v/>
      </c>
    </row>
    <row r="650" spans="1:27" ht="13.5" customHeight="1" x14ac:dyDescent="0.3">
      <c r="A650" s="193" t="str">
        <f>IF('Observaciones-SMP'!A650="","",'Observaciones-SMP'!A650)</f>
        <v/>
      </c>
      <c r="B650" s="257" t="str">
        <f>IF('Observaciones-SMP'!B650="","",'Observaciones-SMP'!B650)</f>
        <v/>
      </c>
      <c r="C650" s="193" t="str">
        <f>IF('Observaciones-SMP'!C650="","",'Observaciones-SMP'!C650)</f>
        <v/>
      </c>
      <c r="D650" s="193" t="str">
        <f>IF('Observaciones-SMP'!D650="","",'Observaciones-SMP'!D650)</f>
        <v/>
      </c>
      <c r="E650" s="193" t="str">
        <f>IF('Observaciones-SMP'!E650="","",'Observaciones-SMP'!E650)</f>
        <v/>
      </c>
      <c r="F650" s="193" t="str">
        <f>IF('Observaciones-SMP'!F650="","",'Observaciones-SMP'!F650)</f>
        <v/>
      </c>
      <c r="G650" s="193" t="str">
        <f>IF('Observaciones-SMP'!G650="","",'Observaciones-SMP'!G650)</f>
        <v/>
      </c>
      <c r="H650" s="193" t="str">
        <f>IF('Observaciones-SMP'!H650="","",'Observaciones-SMP'!H650)</f>
        <v/>
      </c>
      <c r="I650" s="193" t="str">
        <f>IF('Observaciones-SMP'!I650="","",'Observaciones-SMP'!I650)</f>
        <v/>
      </c>
      <c r="J650" s="193" t="str">
        <f>IF('Observaciones-SMP'!J650="","",'Observaciones-SMP'!J650)</f>
        <v/>
      </c>
      <c r="K650" s="193" t="str">
        <f>IF('Observaciones-SMP'!K650="","",'Observaciones-SMP'!K650)</f>
        <v/>
      </c>
      <c r="L650" s="193" t="str">
        <f>IF('Observaciones-SMP'!L650="","",'Observaciones-SMP'!L650)</f>
        <v/>
      </c>
      <c r="M650" s="193" t="str">
        <f>IF('Observaciones-SMP'!M650="","",'Observaciones-SMP'!M650)</f>
        <v/>
      </c>
      <c r="N650" s="193" t="str">
        <f>IF('Observaciones-SMP'!N650="","",'Observaciones-SMP'!N650)</f>
        <v/>
      </c>
      <c r="O650" s="193" t="str">
        <f>IF('Observaciones-SMP'!O650="","",'Observaciones-SMP'!O650)</f>
        <v/>
      </c>
      <c r="P650" s="193" t="str">
        <f>IF('Observaciones-SMP'!P650="","",'Observaciones-SMP'!P650)</f>
        <v/>
      </c>
      <c r="Q650" s="257" t="str">
        <f>IF('Observaciones-SMP'!S650="","",'Observaciones-SMP'!S650)</f>
        <v/>
      </c>
      <c r="R650" s="193" t="str">
        <f>IF('Observaciones-SMP'!T650="","",'Observaciones-SMP'!T650)</f>
        <v/>
      </c>
      <c r="S650" s="193" t="str">
        <f>""</f>
        <v/>
      </c>
      <c r="T650" s="193" t="str">
        <f>""</f>
        <v/>
      </c>
      <c r="U650" s="193" t="str">
        <f t="shared" si="40"/>
        <v/>
      </c>
      <c r="V650" s="193" t="str">
        <f>""</f>
        <v/>
      </c>
      <c r="W650" s="193" t="str">
        <f>""</f>
        <v/>
      </c>
      <c r="X650" s="258" t="str">
        <f t="shared" si="41"/>
        <v/>
      </c>
      <c r="Y650" s="258" t="str">
        <f t="shared" si="42"/>
        <v/>
      </c>
      <c r="Z650" s="193" t="str">
        <f>IF(A650="","",IF(COUNTIF('Observaciones-SMP'!$A$2:$A$1001,A650)&gt;1,1,0))</f>
        <v/>
      </c>
      <c r="AA650" s="193" t="str">
        <f t="shared" si="43"/>
        <v/>
      </c>
    </row>
    <row r="651" spans="1:27" ht="13.5" customHeight="1" x14ac:dyDescent="0.3">
      <c r="A651" s="193" t="str">
        <f>IF('Observaciones-SMP'!A651="","",'Observaciones-SMP'!A651)</f>
        <v/>
      </c>
      <c r="B651" s="257" t="str">
        <f>IF('Observaciones-SMP'!B651="","",'Observaciones-SMP'!B651)</f>
        <v/>
      </c>
      <c r="C651" s="193" t="str">
        <f>IF('Observaciones-SMP'!C651="","",'Observaciones-SMP'!C651)</f>
        <v/>
      </c>
      <c r="D651" s="193" t="str">
        <f>IF('Observaciones-SMP'!D651="","",'Observaciones-SMP'!D651)</f>
        <v/>
      </c>
      <c r="E651" s="193" t="str">
        <f>IF('Observaciones-SMP'!E651="","",'Observaciones-SMP'!E651)</f>
        <v/>
      </c>
      <c r="F651" s="193" t="str">
        <f>IF('Observaciones-SMP'!F651="","",'Observaciones-SMP'!F651)</f>
        <v/>
      </c>
      <c r="G651" s="193" t="str">
        <f>IF('Observaciones-SMP'!G651="","",'Observaciones-SMP'!G651)</f>
        <v/>
      </c>
      <c r="H651" s="193" t="str">
        <f>IF('Observaciones-SMP'!H651="","",'Observaciones-SMP'!H651)</f>
        <v/>
      </c>
      <c r="I651" s="193" t="str">
        <f>IF('Observaciones-SMP'!I651="","",'Observaciones-SMP'!I651)</f>
        <v/>
      </c>
      <c r="J651" s="193" t="str">
        <f>IF('Observaciones-SMP'!J651="","",'Observaciones-SMP'!J651)</f>
        <v/>
      </c>
      <c r="K651" s="193" t="str">
        <f>IF('Observaciones-SMP'!K651="","",'Observaciones-SMP'!K651)</f>
        <v/>
      </c>
      <c r="L651" s="193" t="str">
        <f>IF('Observaciones-SMP'!L651="","",'Observaciones-SMP'!L651)</f>
        <v/>
      </c>
      <c r="M651" s="193" t="str">
        <f>IF('Observaciones-SMP'!M651="","",'Observaciones-SMP'!M651)</f>
        <v/>
      </c>
      <c r="N651" s="193" t="str">
        <f>IF('Observaciones-SMP'!N651="","",'Observaciones-SMP'!N651)</f>
        <v/>
      </c>
      <c r="O651" s="193" t="str">
        <f>IF('Observaciones-SMP'!O651="","",'Observaciones-SMP'!O651)</f>
        <v/>
      </c>
      <c r="P651" s="193" t="str">
        <f>IF('Observaciones-SMP'!P651="","",'Observaciones-SMP'!P651)</f>
        <v/>
      </c>
      <c r="Q651" s="257" t="str">
        <f>IF('Observaciones-SMP'!S651="","",'Observaciones-SMP'!S651)</f>
        <v/>
      </c>
      <c r="R651" s="193" t="str">
        <f>IF('Observaciones-SMP'!T651="","",'Observaciones-SMP'!T651)</f>
        <v/>
      </c>
      <c r="S651" s="193" t="str">
        <f>""</f>
        <v/>
      </c>
      <c r="T651" s="193" t="str">
        <f>""</f>
        <v/>
      </c>
      <c r="U651" s="193" t="str">
        <f t="shared" si="40"/>
        <v/>
      </c>
      <c r="V651" s="193" t="str">
        <f>""</f>
        <v/>
      </c>
      <c r="W651" s="193" t="str">
        <f>""</f>
        <v/>
      </c>
      <c r="X651" s="258" t="str">
        <f t="shared" si="41"/>
        <v/>
      </c>
      <c r="Y651" s="258" t="str">
        <f t="shared" si="42"/>
        <v/>
      </c>
      <c r="Z651" s="193" t="str">
        <f>IF(A651="","",IF(COUNTIF('Observaciones-SMP'!$A$2:$A$1001,A651)&gt;1,1,0))</f>
        <v/>
      </c>
      <c r="AA651" s="193" t="str">
        <f t="shared" si="43"/>
        <v/>
      </c>
    </row>
    <row r="652" spans="1:27" ht="13.5" customHeight="1" x14ac:dyDescent="0.3">
      <c r="A652" s="193" t="str">
        <f>IF('Observaciones-SMP'!A652="","",'Observaciones-SMP'!A652)</f>
        <v/>
      </c>
      <c r="B652" s="257" t="str">
        <f>IF('Observaciones-SMP'!B652="","",'Observaciones-SMP'!B652)</f>
        <v/>
      </c>
      <c r="C652" s="193" t="str">
        <f>IF('Observaciones-SMP'!C652="","",'Observaciones-SMP'!C652)</f>
        <v/>
      </c>
      <c r="D652" s="193" t="str">
        <f>IF('Observaciones-SMP'!D652="","",'Observaciones-SMP'!D652)</f>
        <v/>
      </c>
      <c r="E652" s="193" t="str">
        <f>IF('Observaciones-SMP'!E652="","",'Observaciones-SMP'!E652)</f>
        <v/>
      </c>
      <c r="F652" s="193" t="str">
        <f>IF('Observaciones-SMP'!F652="","",'Observaciones-SMP'!F652)</f>
        <v/>
      </c>
      <c r="G652" s="193" t="str">
        <f>IF('Observaciones-SMP'!G652="","",'Observaciones-SMP'!G652)</f>
        <v/>
      </c>
      <c r="H652" s="193" t="str">
        <f>IF('Observaciones-SMP'!H652="","",'Observaciones-SMP'!H652)</f>
        <v/>
      </c>
      <c r="I652" s="193" t="str">
        <f>IF('Observaciones-SMP'!I652="","",'Observaciones-SMP'!I652)</f>
        <v/>
      </c>
      <c r="J652" s="193" t="str">
        <f>IF('Observaciones-SMP'!J652="","",'Observaciones-SMP'!J652)</f>
        <v/>
      </c>
      <c r="K652" s="193" t="str">
        <f>IF('Observaciones-SMP'!K652="","",'Observaciones-SMP'!K652)</f>
        <v/>
      </c>
      <c r="L652" s="193" t="str">
        <f>IF('Observaciones-SMP'!L652="","",'Observaciones-SMP'!L652)</f>
        <v/>
      </c>
      <c r="M652" s="193" t="str">
        <f>IF('Observaciones-SMP'!M652="","",'Observaciones-SMP'!M652)</f>
        <v/>
      </c>
      <c r="N652" s="193" t="str">
        <f>IF('Observaciones-SMP'!N652="","",'Observaciones-SMP'!N652)</f>
        <v/>
      </c>
      <c r="O652" s="193" t="str">
        <f>IF('Observaciones-SMP'!O652="","",'Observaciones-SMP'!O652)</f>
        <v/>
      </c>
      <c r="P652" s="193" t="str">
        <f>IF('Observaciones-SMP'!P652="","",'Observaciones-SMP'!P652)</f>
        <v/>
      </c>
      <c r="Q652" s="257" t="str">
        <f>IF('Observaciones-SMP'!S652="","",'Observaciones-SMP'!S652)</f>
        <v/>
      </c>
      <c r="R652" s="193" t="str">
        <f>IF('Observaciones-SMP'!T652="","",'Observaciones-SMP'!T652)</f>
        <v/>
      </c>
      <c r="S652" s="193" t="str">
        <f>""</f>
        <v/>
      </c>
      <c r="T652" s="193" t="str">
        <f>""</f>
        <v/>
      </c>
      <c r="U652" s="193" t="str">
        <f t="shared" si="40"/>
        <v/>
      </c>
      <c r="V652" s="193" t="str">
        <f>""</f>
        <v/>
      </c>
      <c r="W652" s="193" t="str">
        <f>""</f>
        <v/>
      </c>
      <c r="X652" s="258" t="str">
        <f t="shared" si="41"/>
        <v/>
      </c>
      <c r="Y652" s="258" t="str">
        <f t="shared" si="42"/>
        <v/>
      </c>
      <c r="Z652" s="193" t="str">
        <f>IF(A652="","",IF(COUNTIF('Observaciones-SMP'!$A$2:$A$1001,A652)&gt;1,1,0))</f>
        <v/>
      </c>
      <c r="AA652" s="193" t="str">
        <f t="shared" si="43"/>
        <v/>
      </c>
    </row>
    <row r="653" spans="1:27" ht="13.5" customHeight="1" x14ac:dyDescent="0.3">
      <c r="A653" s="193" t="str">
        <f>IF('Observaciones-SMP'!A653="","",'Observaciones-SMP'!A653)</f>
        <v/>
      </c>
      <c r="B653" s="257" t="str">
        <f>IF('Observaciones-SMP'!B653="","",'Observaciones-SMP'!B653)</f>
        <v/>
      </c>
      <c r="C653" s="193" t="str">
        <f>IF('Observaciones-SMP'!C653="","",'Observaciones-SMP'!C653)</f>
        <v/>
      </c>
      <c r="D653" s="193" t="str">
        <f>IF('Observaciones-SMP'!D653="","",'Observaciones-SMP'!D653)</f>
        <v/>
      </c>
      <c r="E653" s="193" t="str">
        <f>IF('Observaciones-SMP'!E653="","",'Observaciones-SMP'!E653)</f>
        <v/>
      </c>
      <c r="F653" s="193" t="str">
        <f>IF('Observaciones-SMP'!F653="","",'Observaciones-SMP'!F653)</f>
        <v/>
      </c>
      <c r="G653" s="193" t="str">
        <f>IF('Observaciones-SMP'!G653="","",'Observaciones-SMP'!G653)</f>
        <v/>
      </c>
      <c r="H653" s="193" t="str">
        <f>IF('Observaciones-SMP'!H653="","",'Observaciones-SMP'!H653)</f>
        <v/>
      </c>
      <c r="I653" s="193" t="str">
        <f>IF('Observaciones-SMP'!I653="","",'Observaciones-SMP'!I653)</f>
        <v/>
      </c>
      <c r="J653" s="193" t="str">
        <f>IF('Observaciones-SMP'!J653="","",'Observaciones-SMP'!J653)</f>
        <v/>
      </c>
      <c r="K653" s="193" t="str">
        <f>IF('Observaciones-SMP'!K653="","",'Observaciones-SMP'!K653)</f>
        <v/>
      </c>
      <c r="L653" s="193" t="str">
        <f>IF('Observaciones-SMP'!L653="","",'Observaciones-SMP'!L653)</f>
        <v/>
      </c>
      <c r="M653" s="193" t="str">
        <f>IF('Observaciones-SMP'!M653="","",'Observaciones-SMP'!M653)</f>
        <v/>
      </c>
      <c r="N653" s="193" t="str">
        <f>IF('Observaciones-SMP'!N653="","",'Observaciones-SMP'!N653)</f>
        <v/>
      </c>
      <c r="O653" s="193" t="str">
        <f>IF('Observaciones-SMP'!O653="","",'Observaciones-SMP'!O653)</f>
        <v/>
      </c>
      <c r="P653" s="193" t="str">
        <f>IF('Observaciones-SMP'!P653="","",'Observaciones-SMP'!P653)</f>
        <v/>
      </c>
      <c r="Q653" s="257" t="str">
        <f>IF('Observaciones-SMP'!S653="","",'Observaciones-SMP'!S653)</f>
        <v/>
      </c>
      <c r="R653" s="193" t="str">
        <f>IF('Observaciones-SMP'!T653="","",'Observaciones-SMP'!T653)</f>
        <v/>
      </c>
      <c r="S653" s="193" t="str">
        <f>""</f>
        <v/>
      </c>
      <c r="T653" s="193" t="str">
        <f>""</f>
        <v/>
      </c>
      <c r="U653" s="193" t="str">
        <f t="shared" si="40"/>
        <v/>
      </c>
      <c r="V653" s="193" t="str">
        <f>""</f>
        <v/>
      </c>
      <c r="W653" s="193" t="str">
        <f>""</f>
        <v/>
      </c>
      <c r="X653" s="258" t="str">
        <f t="shared" si="41"/>
        <v/>
      </c>
      <c r="Y653" s="258" t="str">
        <f t="shared" si="42"/>
        <v/>
      </c>
      <c r="Z653" s="193" t="str">
        <f>IF(A653="","",IF(COUNTIF('Observaciones-SMP'!$A$2:$A$1001,A653)&gt;1,1,0))</f>
        <v/>
      </c>
      <c r="AA653" s="193" t="str">
        <f t="shared" si="43"/>
        <v/>
      </c>
    </row>
    <row r="654" spans="1:27" ht="13.5" customHeight="1" x14ac:dyDescent="0.3">
      <c r="A654" s="193" t="str">
        <f>IF('Observaciones-SMP'!A654="","",'Observaciones-SMP'!A654)</f>
        <v/>
      </c>
      <c r="B654" s="257" t="str">
        <f>IF('Observaciones-SMP'!B654="","",'Observaciones-SMP'!B654)</f>
        <v/>
      </c>
      <c r="C654" s="193" t="str">
        <f>IF('Observaciones-SMP'!C654="","",'Observaciones-SMP'!C654)</f>
        <v/>
      </c>
      <c r="D654" s="193" t="str">
        <f>IF('Observaciones-SMP'!D654="","",'Observaciones-SMP'!D654)</f>
        <v/>
      </c>
      <c r="E654" s="193" t="str">
        <f>IF('Observaciones-SMP'!E654="","",'Observaciones-SMP'!E654)</f>
        <v/>
      </c>
      <c r="F654" s="193" t="str">
        <f>IF('Observaciones-SMP'!F654="","",'Observaciones-SMP'!F654)</f>
        <v/>
      </c>
      <c r="G654" s="193" t="str">
        <f>IF('Observaciones-SMP'!G654="","",'Observaciones-SMP'!G654)</f>
        <v/>
      </c>
      <c r="H654" s="193" t="str">
        <f>IF('Observaciones-SMP'!H654="","",'Observaciones-SMP'!H654)</f>
        <v/>
      </c>
      <c r="I654" s="193" t="str">
        <f>IF('Observaciones-SMP'!I654="","",'Observaciones-SMP'!I654)</f>
        <v/>
      </c>
      <c r="J654" s="193" t="str">
        <f>IF('Observaciones-SMP'!J654="","",'Observaciones-SMP'!J654)</f>
        <v/>
      </c>
      <c r="K654" s="193" t="str">
        <f>IF('Observaciones-SMP'!K654="","",'Observaciones-SMP'!K654)</f>
        <v/>
      </c>
      <c r="L654" s="193" t="str">
        <f>IF('Observaciones-SMP'!L654="","",'Observaciones-SMP'!L654)</f>
        <v/>
      </c>
      <c r="M654" s="193" t="str">
        <f>IF('Observaciones-SMP'!M654="","",'Observaciones-SMP'!M654)</f>
        <v/>
      </c>
      <c r="N654" s="193" t="str">
        <f>IF('Observaciones-SMP'!N654="","",'Observaciones-SMP'!N654)</f>
        <v/>
      </c>
      <c r="O654" s="193" t="str">
        <f>IF('Observaciones-SMP'!O654="","",'Observaciones-SMP'!O654)</f>
        <v/>
      </c>
      <c r="P654" s="193" t="str">
        <f>IF('Observaciones-SMP'!P654="","",'Observaciones-SMP'!P654)</f>
        <v/>
      </c>
      <c r="Q654" s="257" t="str">
        <f>IF('Observaciones-SMP'!S654="","",'Observaciones-SMP'!S654)</f>
        <v/>
      </c>
      <c r="R654" s="193" t="str">
        <f>IF('Observaciones-SMP'!T654="","",'Observaciones-SMP'!T654)</f>
        <v/>
      </c>
      <c r="S654" s="193" t="str">
        <f>""</f>
        <v/>
      </c>
      <c r="T654" s="193" t="str">
        <f>""</f>
        <v/>
      </c>
      <c r="U654" s="193" t="str">
        <f t="shared" si="40"/>
        <v/>
      </c>
      <c r="V654" s="193" t="str">
        <f>""</f>
        <v/>
      </c>
      <c r="W654" s="193" t="str">
        <f>""</f>
        <v/>
      </c>
      <c r="X654" s="258" t="str">
        <f t="shared" si="41"/>
        <v/>
      </c>
      <c r="Y654" s="258" t="str">
        <f t="shared" si="42"/>
        <v/>
      </c>
      <c r="Z654" s="193" t="str">
        <f>IF(A654="","",IF(COUNTIF('Observaciones-SMP'!$A$2:$A$1001,A654)&gt;1,1,0))</f>
        <v/>
      </c>
      <c r="AA654" s="193" t="str">
        <f t="shared" si="43"/>
        <v/>
      </c>
    </row>
    <row r="655" spans="1:27" ht="13.5" customHeight="1" x14ac:dyDescent="0.3">
      <c r="A655" s="193" t="str">
        <f>IF('Observaciones-SMP'!A655="","",'Observaciones-SMP'!A655)</f>
        <v/>
      </c>
      <c r="B655" s="257" t="str">
        <f>IF('Observaciones-SMP'!B655="","",'Observaciones-SMP'!B655)</f>
        <v/>
      </c>
      <c r="C655" s="193" t="str">
        <f>IF('Observaciones-SMP'!C655="","",'Observaciones-SMP'!C655)</f>
        <v/>
      </c>
      <c r="D655" s="193" t="str">
        <f>IF('Observaciones-SMP'!D655="","",'Observaciones-SMP'!D655)</f>
        <v/>
      </c>
      <c r="E655" s="193" t="str">
        <f>IF('Observaciones-SMP'!E655="","",'Observaciones-SMP'!E655)</f>
        <v/>
      </c>
      <c r="F655" s="193" t="str">
        <f>IF('Observaciones-SMP'!F655="","",'Observaciones-SMP'!F655)</f>
        <v/>
      </c>
      <c r="G655" s="193" t="str">
        <f>IF('Observaciones-SMP'!G655="","",'Observaciones-SMP'!G655)</f>
        <v/>
      </c>
      <c r="H655" s="193" t="str">
        <f>IF('Observaciones-SMP'!H655="","",'Observaciones-SMP'!H655)</f>
        <v/>
      </c>
      <c r="I655" s="193" t="str">
        <f>IF('Observaciones-SMP'!I655="","",'Observaciones-SMP'!I655)</f>
        <v/>
      </c>
      <c r="J655" s="193" t="str">
        <f>IF('Observaciones-SMP'!J655="","",'Observaciones-SMP'!J655)</f>
        <v/>
      </c>
      <c r="K655" s="193" t="str">
        <f>IF('Observaciones-SMP'!K655="","",'Observaciones-SMP'!K655)</f>
        <v/>
      </c>
      <c r="L655" s="193" t="str">
        <f>IF('Observaciones-SMP'!L655="","",'Observaciones-SMP'!L655)</f>
        <v/>
      </c>
      <c r="M655" s="193" t="str">
        <f>IF('Observaciones-SMP'!M655="","",'Observaciones-SMP'!M655)</f>
        <v/>
      </c>
      <c r="N655" s="193" t="str">
        <f>IF('Observaciones-SMP'!N655="","",'Observaciones-SMP'!N655)</f>
        <v/>
      </c>
      <c r="O655" s="193" t="str">
        <f>IF('Observaciones-SMP'!O655="","",'Observaciones-SMP'!O655)</f>
        <v/>
      </c>
      <c r="P655" s="193" t="str">
        <f>IF('Observaciones-SMP'!P655="","",'Observaciones-SMP'!P655)</f>
        <v/>
      </c>
      <c r="Q655" s="257" t="str">
        <f>IF('Observaciones-SMP'!S655="","",'Observaciones-SMP'!S655)</f>
        <v/>
      </c>
      <c r="R655" s="193" t="str">
        <f>IF('Observaciones-SMP'!T655="","",'Observaciones-SMP'!T655)</f>
        <v/>
      </c>
      <c r="S655" s="193" t="str">
        <f>""</f>
        <v/>
      </c>
      <c r="T655" s="193" t="str">
        <f>""</f>
        <v/>
      </c>
      <c r="U655" s="193" t="str">
        <f t="shared" si="40"/>
        <v/>
      </c>
      <c r="V655" s="193" t="str">
        <f>""</f>
        <v/>
      </c>
      <c r="W655" s="193" t="str">
        <f>""</f>
        <v/>
      </c>
      <c r="X655" s="258" t="str">
        <f t="shared" si="41"/>
        <v/>
      </c>
      <c r="Y655" s="258" t="str">
        <f t="shared" si="42"/>
        <v/>
      </c>
      <c r="Z655" s="193" t="str">
        <f>IF(A655="","",IF(COUNTIF('Observaciones-SMP'!$A$2:$A$1001,A655)&gt;1,1,0))</f>
        <v/>
      </c>
      <c r="AA655" s="193" t="str">
        <f t="shared" si="43"/>
        <v/>
      </c>
    </row>
    <row r="656" spans="1:27" ht="13.5" customHeight="1" x14ac:dyDescent="0.3">
      <c r="A656" s="193" t="str">
        <f>IF('Observaciones-SMP'!A656="","",'Observaciones-SMP'!A656)</f>
        <v/>
      </c>
      <c r="B656" s="257" t="str">
        <f>IF('Observaciones-SMP'!B656="","",'Observaciones-SMP'!B656)</f>
        <v/>
      </c>
      <c r="C656" s="193" t="str">
        <f>IF('Observaciones-SMP'!C656="","",'Observaciones-SMP'!C656)</f>
        <v/>
      </c>
      <c r="D656" s="193" t="str">
        <f>IF('Observaciones-SMP'!D656="","",'Observaciones-SMP'!D656)</f>
        <v/>
      </c>
      <c r="E656" s="193" t="str">
        <f>IF('Observaciones-SMP'!E656="","",'Observaciones-SMP'!E656)</f>
        <v/>
      </c>
      <c r="F656" s="193" t="str">
        <f>IF('Observaciones-SMP'!F656="","",'Observaciones-SMP'!F656)</f>
        <v/>
      </c>
      <c r="G656" s="193" t="str">
        <f>IF('Observaciones-SMP'!G656="","",'Observaciones-SMP'!G656)</f>
        <v/>
      </c>
      <c r="H656" s="193" t="str">
        <f>IF('Observaciones-SMP'!H656="","",'Observaciones-SMP'!H656)</f>
        <v/>
      </c>
      <c r="I656" s="193" t="str">
        <f>IF('Observaciones-SMP'!I656="","",'Observaciones-SMP'!I656)</f>
        <v/>
      </c>
      <c r="J656" s="193" t="str">
        <f>IF('Observaciones-SMP'!J656="","",'Observaciones-SMP'!J656)</f>
        <v/>
      </c>
      <c r="K656" s="193" t="str">
        <f>IF('Observaciones-SMP'!K656="","",'Observaciones-SMP'!K656)</f>
        <v/>
      </c>
      <c r="L656" s="193" t="str">
        <f>IF('Observaciones-SMP'!L656="","",'Observaciones-SMP'!L656)</f>
        <v/>
      </c>
      <c r="M656" s="193" t="str">
        <f>IF('Observaciones-SMP'!M656="","",'Observaciones-SMP'!M656)</f>
        <v/>
      </c>
      <c r="N656" s="193" t="str">
        <f>IF('Observaciones-SMP'!N656="","",'Observaciones-SMP'!N656)</f>
        <v/>
      </c>
      <c r="O656" s="193" t="str">
        <f>IF('Observaciones-SMP'!O656="","",'Observaciones-SMP'!O656)</f>
        <v/>
      </c>
      <c r="P656" s="193" t="str">
        <f>IF('Observaciones-SMP'!P656="","",'Observaciones-SMP'!P656)</f>
        <v/>
      </c>
      <c r="Q656" s="257" t="str">
        <f>IF('Observaciones-SMP'!S656="","",'Observaciones-SMP'!S656)</f>
        <v/>
      </c>
      <c r="R656" s="193" t="str">
        <f>IF('Observaciones-SMP'!T656="","",'Observaciones-SMP'!T656)</f>
        <v/>
      </c>
      <c r="S656" s="193" t="str">
        <f>""</f>
        <v/>
      </c>
      <c r="T656" s="193" t="str">
        <f>""</f>
        <v/>
      </c>
      <c r="U656" s="193" t="str">
        <f t="shared" si="40"/>
        <v/>
      </c>
      <c r="V656" s="193" t="str">
        <f>""</f>
        <v/>
      </c>
      <c r="W656" s="193" t="str">
        <f>""</f>
        <v/>
      </c>
      <c r="X656" s="258" t="str">
        <f t="shared" si="41"/>
        <v/>
      </c>
      <c r="Y656" s="258" t="str">
        <f t="shared" si="42"/>
        <v/>
      </c>
      <c r="Z656" s="193" t="str">
        <f>IF(A656="","",IF(COUNTIF('Observaciones-SMP'!$A$2:$A$1001,A656)&gt;1,1,0))</f>
        <v/>
      </c>
      <c r="AA656" s="193" t="str">
        <f t="shared" si="43"/>
        <v/>
      </c>
    </row>
    <row r="657" spans="1:27" ht="13.5" customHeight="1" x14ac:dyDescent="0.3">
      <c r="A657" s="193" t="str">
        <f>IF('Observaciones-SMP'!A657="","",'Observaciones-SMP'!A657)</f>
        <v/>
      </c>
      <c r="B657" s="257" t="str">
        <f>IF('Observaciones-SMP'!B657="","",'Observaciones-SMP'!B657)</f>
        <v/>
      </c>
      <c r="C657" s="193" t="str">
        <f>IF('Observaciones-SMP'!C657="","",'Observaciones-SMP'!C657)</f>
        <v/>
      </c>
      <c r="D657" s="193" t="str">
        <f>IF('Observaciones-SMP'!D657="","",'Observaciones-SMP'!D657)</f>
        <v/>
      </c>
      <c r="E657" s="193" t="str">
        <f>IF('Observaciones-SMP'!E657="","",'Observaciones-SMP'!E657)</f>
        <v/>
      </c>
      <c r="F657" s="193" t="str">
        <f>IF('Observaciones-SMP'!F657="","",'Observaciones-SMP'!F657)</f>
        <v/>
      </c>
      <c r="G657" s="193" t="str">
        <f>IF('Observaciones-SMP'!G657="","",'Observaciones-SMP'!G657)</f>
        <v/>
      </c>
      <c r="H657" s="193" t="str">
        <f>IF('Observaciones-SMP'!H657="","",'Observaciones-SMP'!H657)</f>
        <v/>
      </c>
      <c r="I657" s="193" t="str">
        <f>IF('Observaciones-SMP'!I657="","",'Observaciones-SMP'!I657)</f>
        <v/>
      </c>
      <c r="J657" s="193" t="str">
        <f>IF('Observaciones-SMP'!J657="","",'Observaciones-SMP'!J657)</f>
        <v/>
      </c>
      <c r="K657" s="193" t="str">
        <f>IF('Observaciones-SMP'!K657="","",'Observaciones-SMP'!K657)</f>
        <v/>
      </c>
      <c r="L657" s="193" t="str">
        <f>IF('Observaciones-SMP'!L657="","",'Observaciones-SMP'!L657)</f>
        <v/>
      </c>
      <c r="M657" s="193" t="str">
        <f>IF('Observaciones-SMP'!M657="","",'Observaciones-SMP'!M657)</f>
        <v/>
      </c>
      <c r="N657" s="193" t="str">
        <f>IF('Observaciones-SMP'!N657="","",'Observaciones-SMP'!N657)</f>
        <v/>
      </c>
      <c r="O657" s="193" t="str">
        <f>IF('Observaciones-SMP'!O657="","",'Observaciones-SMP'!O657)</f>
        <v/>
      </c>
      <c r="P657" s="193" t="str">
        <f>IF('Observaciones-SMP'!P657="","",'Observaciones-SMP'!P657)</f>
        <v/>
      </c>
      <c r="Q657" s="257" t="str">
        <f>IF('Observaciones-SMP'!S657="","",'Observaciones-SMP'!S657)</f>
        <v/>
      </c>
      <c r="R657" s="193" t="str">
        <f>IF('Observaciones-SMP'!T657="","",'Observaciones-SMP'!T657)</f>
        <v/>
      </c>
      <c r="S657" s="193" t="str">
        <f>""</f>
        <v/>
      </c>
      <c r="T657" s="193" t="str">
        <f>""</f>
        <v/>
      </c>
      <c r="U657" s="193" t="str">
        <f t="shared" si="40"/>
        <v/>
      </c>
      <c r="V657" s="193" t="str">
        <f>""</f>
        <v/>
      </c>
      <c r="W657" s="193" t="str">
        <f>""</f>
        <v/>
      </c>
      <c r="X657" s="258" t="str">
        <f t="shared" si="41"/>
        <v/>
      </c>
      <c r="Y657" s="258" t="str">
        <f t="shared" si="42"/>
        <v/>
      </c>
      <c r="Z657" s="193" t="str">
        <f>IF(A657="","",IF(COUNTIF('Observaciones-SMP'!$A$2:$A$1001,A657)&gt;1,1,0))</f>
        <v/>
      </c>
      <c r="AA657" s="193" t="str">
        <f t="shared" si="43"/>
        <v/>
      </c>
    </row>
    <row r="658" spans="1:27" ht="13.5" customHeight="1" x14ac:dyDescent="0.3">
      <c r="A658" s="193" t="str">
        <f>IF('Observaciones-SMP'!A658="","",'Observaciones-SMP'!A658)</f>
        <v/>
      </c>
      <c r="B658" s="257" t="str">
        <f>IF('Observaciones-SMP'!B658="","",'Observaciones-SMP'!B658)</f>
        <v/>
      </c>
      <c r="C658" s="193" t="str">
        <f>IF('Observaciones-SMP'!C658="","",'Observaciones-SMP'!C658)</f>
        <v/>
      </c>
      <c r="D658" s="193" t="str">
        <f>IF('Observaciones-SMP'!D658="","",'Observaciones-SMP'!D658)</f>
        <v/>
      </c>
      <c r="E658" s="193" t="str">
        <f>IF('Observaciones-SMP'!E658="","",'Observaciones-SMP'!E658)</f>
        <v/>
      </c>
      <c r="F658" s="193" t="str">
        <f>IF('Observaciones-SMP'!F658="","",'Observaciones-SMP'!F658)</f>
        <v/>
      </c>
      <c r="G658" s="193" t="str">
        <f>IF('Observaciones-SMP'!G658="","",'Observaciones-SMP'!G658)</f>
        <v/>
      </c>
      <c r="H658" s="193" t="str">
        <f>IF('Observaciones-SMP'!H658="","",'Observaciones-SMP'!H658)</f>
        <v/>
      </c>
      <c r="I658" s="193" t="str">
        <f>IF('Observaciones-SMP'!I658="","",'Observaciones-SMP'!I658)</f>
        <v/>
      </c>
      <c r="J658" s="193" t="str">
        <f>IF('Observaciones-SMP'!J658="","",'Observaciones-SMP'!J658)</f>
        <v/>
      </c>
      <c r="K658" s="193" t="str">
        <f>IF('Observaciones-SMP'!K658="","",'Observaciones-SMP'!K658)</f>
        <v/>
      </c>
      <c r="L658" s="193" t="str">
        <f>IF('Observaciones-SMP'!L658="","",'Observaciones-SMP'!L658)</f>
        <v/>
      </c>
      <c r="M658" s="193" t="str">
        <f>IF('Observaciones-SMP'!M658="","",'Observaciones-SMP'!M658)</f>
        <v/>
      </c>
      <c r="N658" s="193" t="str">
        <f>IF('Observaciones-SMP'!N658="","",'Observaciones-SMP'!N658)</f>
        <v/>
      </c>
      <c r="O658" s="193" t="str">
        <f>IF('Observaciones-SMP'!O658="","",'Observaciones-SMP'!O658)</f>
        <v/>
      </c>
      <c r="P658" s="193" t="str">
        <f>IF('Observaciones-SMP'!P658="","",'Observaciones-SMP'!P658)</f>
        <v/>
      </c>
      <c r="Q658" s="257" t="str">
        <f>IF('Observaciones-SMP'!S658="","",'Observaciones-SMP'!S658)</f>
        <v/>
      </c>
      <c r="R658" s="193" t="str">
        <f>IF('Observaciones-SMP'!T658="","",'Observaciones-SMP'!T658)</f>
        <v/>
      </c>
      <c r="S658" s="193" t="str">
        <f>""</f>
        <v/>
      </c>
      <c r="T658" s="193" t="str">
        <f>""</f>
        <v/>
      </c>
      <c r="U658" s="193" t="str">
        <f t="shared" si="40"/>
        <v/>
      </c>
      <c r="V658" s="193" t="str">
        <f>""</f>
        <v/>
      </c>
      <c r="W658" s="193" t="str">
        <f>""</f>
        <v/>
      </c>
      <c r="X658" s="258" t="str">
        <f t="shared" si="41"/>
        <v/>
      </c>
      <c r="Y658" s="258" t="str">
        <f t="shared" si="42"/>
        <v/>
      </c>
      <c r="Z658" s="193" t="str">
        <f>IF(A658="","",IF(COUNTIF('Observaciones-SMP'!$A$2:$A$1001,A658)&gt;1,1,0))</f>
        <v/>
      </c>
      <c r="AA658" s="193" t="str">
        <f t="shared" si="43"/>
        <v/>
      </c>
    </row>
    <row r="659" spans="1:27" ht="13.5" customHeight="1" x14ac:dyDescent="0.3">
      <c r="A659" s="193" t="str">
        <f>IF('Observaciones-SMP'!A659="","",'Observaciones-SMP'!A659)</f>
        <v/>
      </c>
      <c r="B659" s="257" t="str">
        <f>IF('Observaciones-SMP'!B659="","",'Observaciones-SMP'!B659)</f>
        <v/>
      </c>
      <c r="C659" s="193" t="str">
        <f>IF('Observaciones-SMP'!C659="","",'Observaciones-SMP'!C659)</f>
        <v/>
      </c>
      <c r="D659" s="193" t="str">
        <f>IF('Observaciones-SMP'!D659="","",'Observaciones-SMP'!D659)</f>
        <v/>
      </c>
      <c r="E659" s="193" t="str">
        <f>IF('Observaciones-SMP'!E659="","",'Observaciones-SMP'!E659)</f>
        <v/>
      </c>
      <c r="F659" s="193" t="str">
        <f>IF('Observaciones-SMP'!F659="","",'Observaciones-SMP'!F659)</f>
        <v/>
      </c>
      <c r="G659" s="193" t="str">
        <f>IF('Observaciones-SMP'!G659="","",'Observaciones-SMP'!G659)</f>
        <v/>
      </c>
      <c r="H659" s="193" t="str">
        <f>IF('Observaciones-SMP'!H659="","",'Observaciones-SMP'!H659)</f>
        <v/>
      </c>
      <c r="I659" s="193" t="str">
        <f>IF('Observaciones-SMP'!I659="","",'Observaciones-SMP'!I659)</f>
        <v/>
      </c>
      <c r="J659" s="193" t="str">
        <f>IF('Observaciones-SMP'!J659="","",'Observaciones-SMP'!J659)</f>
        <v/>
      </c>
      <c r="K659" s="193" t="str">
        <f>IF('Observaciones-SMP'!K659="","",'Observaciones-SMP'!K659)</f>
        <v/>
      </c>
      <c r="L659" s="193" t="str">
        <f>IF('Observaciones-SMP'!L659="","",'Observaciones-SMP'!L659)</f>
        <v/>
      </c>
      <c r="M659" s="193" t="str">
        <f>IF('Observaciones-SMP'!M659="","",'Observaciones-SMP'!M659)</f>
        <v/>
      </c>
      <c r="N659" s="193" t="str">
        <f>IF('Observaciones-SMP'!N659="","",'Observaciones-SMP'!N659)</f>
        <v/>
      </c>
      <c r="O659" s="193" t="str">
        <f>IF('Observaciones-SMP'!O659="","",'Observaciones-SMP'!O659)</f>
        <v/>
      </c>
      <c r="P659" s="193" t="str">
        <f>IF('Observaciones-SMP'!P659="","",'Observaciones-SMP'!P659)</f>
        <v/>
      </c>
      <c r="Q659" s="257" t="str">
        <f>IF('Observaciones-SMP'!S659="","",'Observaciones-SMP'!S659)</f>
        <v/>
      </c>
      <c r="R659" s="193" t="str">
        <f>IF('Observaciones-SMP'!T659="","",'Observaciones-SMP'!T659)</f>
        <v/>
      </c>
      <c r="S659" s="193" t="str">
        <f>""</f>
        <v/>
      </c>
      <c r="T659" s="193" t="str">
        <f>""</f>
        <v/>
      </c>
      <c r="U659" s="193" t="str">
        <f t="shared" si="40"/>
        <v/>
      </c>
      <c r="V659" s="193" t="str">
        <f>""</f>
        <v/>
      </c>
      <c r="W659" s="193" t="str">
        <f>""</f>
        <v/>
      </c>
      <c r="X659" s="258" t="str">
        <f t="shared" si="41"/>
        <v/>
      </c>
      <c r="Y659" s="258" t="str">
        <f t="shared" si="42"/>
        <v/>
      </c>
      <c r="Z659" s="193" t="str">
        <f>IF(A659="","",IF(COUNTIF('Observaciones-SMP'!$A$2:$A$1001,A659)&gt;1,1,0))</f>
        <v/>
      </c>
      <c r="AA659" s="193" t="str">
        <f t="shared" si="43"/>
        <v/>
      </c>
    </row>
    <row r="660" spans="1:27" ht="13.5" customHeight="1" x14ac:dyDescent="0.3">
      <c r="A660" s="193" t="str">
        <f>IF('Observaciones-SMP'!A660="","",'Observaciones-SMP'!A660)</f>
        <v/>
      </c>
      <c r="B660" s="257" t="str">
        <f>IF('Observaciones-SMP'!B660="","",'Observaciones-SMP'!B660)</f>
        <v/>
      </c>
      <c r="C660" s="193" t="str">
        <f>IF('Observaciones-SMP'!C660="","",'Observaciones-SMP'!C660)</f>
        <v/>
      </c>
      <c r="D660" s="193" t="str">
        <f>IF('Observaciones-SMP'!D660="","",'Observaciones-SMP'!D660)</f>
        <v/>
      </c>
      <c r="E660" s="193" t="str">
        <f>IF('Observaciones-SMP'!E660="","",'Observaciones-SMP'!E660)</f>
        <v/>
      </c>
      <c r="F660" s="193" t="str">
        <f>IF('Observaciones-SMP'!F660="","",'Observaciones-SMP'!F660)</f>
        <v/>
      </c>
      <c r="G660" s="193" t="str">
        <f>IF('Observaciones-SMP'!G660="","",'Observaciones-SMP'!G660)</f>
        <v/>
      </c>
      <c r="H660" s="193" t="str">
        <f>IF('Observaciones-SMP'!H660="","",'Observaciones-SMP'!H660)</f>
        <v/>
      </c>
      <c r="I660" s="193" t="str">
        <f>IF('Observaciones-SMP'!I660="","",'Observaciones-SMP'!I660)</f>
        <v/>
      </c>
      <c r="J660" s="193" t="str">
        <f>IF('Observaciones-SMP'!J660="","",'Observaciones-SMP'!J660)</f>
        <v/>
      </c>
      <c r="K660" s="193" t="str">
        <f>IF('Observaciones-SMP'!K660="","",'Observaciones-SMP'!K660)</f>
        <v/>
      </c>
      <c r="L660" s="193" t="str">
        <f>IF('Observaciones-SMP'!L660="","",'Observaciones-SMP'!L660)</f>
        <v/>
      </c>
      <c r="M660" s="193" t="str">
        <f>IF('Observaciones-SMP'!M660="","",'Observaciones-SMP'!M660)</f>
        <v/>
      </c>
      <c r="N660" s="193" t="str">
        <f>IF('Observaciones-SMP'!N660="","",'Observaciones-SMP'!N660)</f>
        <v/>
      </c>
      <c r="O660" s="193" t="str">
        <f>IF('Observaciones-SMP'!O660="","",'Observaciones-SMP'!O660)</f>
        <v/>
      </c>
      <c r="P660" s="193" t="str">
        <f>IF('Observaciones-SMP'!P660="","",'Observaciones-SMP'!P660)</f>
        <v/>
      </c>
      <c r="Q660" s="257" t="str">
        <f>IF('Observaciones-SMP'!S660="","",'Observaciones-SMP'!S660)</f>
        <v/>
      </c>
      <c r="R660" s="193" t="str">
        <f>IF('Observaciones-SMP'!T660="","",'Observaciones-SMP'!T660)</f>
        <v/>
      </c>
      <c r="S660" s="193" t="str">
        <f>""</f>
        <v/>
      </c>
      <c r="T660" s="193" t="str">
        <f>""</f>
        <v/>
      </c>
      <c r="U660" s="193" t="str">
        <f t="shared" si="40"/>
        <v/>
      </c>
      <c r="V660" s="193" t="str">
        <f>""</f>
        <v/>
      </c>
      <c r="W660" s="193" t="str">
        <f>""</f>
        <v/>
      </c>
      <c r="X660" s="258" t="str">
        <f t="shared" si="41"/>
        <v/>
      </c>
      <c r="Y660" s="258" t="str">
        <f t="shared" si="42"/>
        <v/>
      </c>
      <c r="Z660" s="193" t="str">
        <f>IF(A660="","",IF(COUNTIF('Observaciones-SMP'!$A$2:$A$1001,A660)&gt;1,1,0))</f>
        <v/>
      </c>
      <c r="AA660" s="193" t="str">
        <f t="shared" si="43"/>
        <v/>
      </c>
    </row>
    <row r="661" spans="1:27" ht="13.5" customHeight="1" x14ac:dyDescent="0.3">
      <c r="A661" s="193" t="str">
        <f>IF('Observaciones-SMP'!A661="","",'Observaciones-SMP'!A661)</f>
        <v/>
      </c>
      <c r="B661" s="257" t="str">
        <f>IF('Observaciones-SMP'!B661="","",'Observaciones-SMP'!B661)</f>
        <v/>
      </c>
      <c r="C661" s="193" t="str">
        <f>IF('Observaciones-SMP'!C661="","",'Observaciones-SMP'!C661)</f>
        <v/>
      </c>
      <c r="D661" s="193" t="str">
        <f>IF('Observaciones-SMP'!D661="","",'Observaciones-SMP'!D661)</f>
        <v/>
      </c>
      <c r="E661" s="193" t="str">
        <f>IF('Observaciones-SMP'!E661="","",'Observaciones-SMP'!E661)</f>
        <v/>
      </c>
      <c r="F661" s="193" t="str">
        <f>IF('Observaciones-SMP'!F661="","",'Observaciones-SMP'!F661)</f>
        <v/>
      </c>
      <c r="G661" s="193" t="str">
        <f>IF('Observaciones-SMP'!G661="","",'Observaciones-SMP'!G661)</f>
        <v/>
      </c>
      <c r="H661" s="193" t="str">
        <f>IF('Observaciones-SMP'!H661="","",'Observaciones-SMP'!H661)</f>
        <v/>
      </c>
      <c r="I661" s="193" t="str">
        <f>IF('Observaciones-SMP'!I661="","",'Observaciones-SMP'!I661)</f>
        <v/>
      </c>
      <c r="J661" s="193" t="str">
        <f>IF('Observaciones-SMP'!J661="","",'Observaciones-SMP'!J661)</f>
        <v/>
      </c>
      <c r="K661" s="193" t="str">
        <f>IF('Observaciones-SMP'!K661="","",'Observaciones-SMP'!K661)</f>
        <v/>
      </c>
      <c r="L661" s="193" t="str">
        <f>IF('Observaciones-SMP'!L661="","",'Observaciones-SMP'!L661)</f>
        <v/>
      </c>
      <c r="M661" s="193" t="str">
        <f>IF('Observaciones-SMP'!M661="","",'Observaciones-SMP'!M661)</f>
        <v/>
      </c>
      <c r="N661" s="193" t="str">
        <f>IF('Observaciones-SMP'!N661="","",'Observaciones-SMP'!N661)</f>
        <v/>
      </c>
      <c r="O661" s="193" t="str">
        <f>IF('Observaciones-SMP'!O661="","",'Observaciones-SMP'!O661)</f>
        <v/>
      </c>
      <c r="P661" s="193" t="str">
        <f>IF('Observaciones-SMP'!P661="","",'Observaciones-SMP'!P661)</f>
        <v/>
      </c>
      <c r="Q661" s="257" t="str">
        <f>IF('Observaciones-SMP'!S661="","",'Observaciones-SMP'!S661)</f>
        <v/>
      </c>
      <c r="R661" s="193" t="str">
        <f>IF('Observaciones-SMP'!T661="","",'Observaciones-SMP'!T661)</f>
        <v/>
      </c>
      <c r="S661" s="193" t="str">
        <f>""</f>
        <v/>
      </c>
      <c r="T661" s="193" t="str">
        <f>""</f>
        <v/>
      </c>
      <c r="U661" s="193" t="str">
        <f t="shared" si="40"/>
        <v/>
      </c>
      <c r="V661" s="193" t="str">
        <f>""</f>
        <v/>
      </c>
      <c r="W661" s="193" t="str">
        <f>""</f>
        <v/>
      </c>
      <c r="X661" s="258" t="str">
        <f t="shared" si="41"/>
        <v/>
      </c>
      <c r="Y661" s="258" t="str">
        <f t="shared" si="42"/>
        <v/>
      </c>
      <c r="Z661" s="193" t="str">
        <f>IF(A661="","",IF(COUNTIF('Observaciones-SMP'!$A$2:$A$1001,A661)&gt;1,1,0))</f>
        <v/>
      </c>
      <c r="AA661" s="193" t="str">
        <f t="shared" si="43"/>
        <v/>
      </c>
    </row>
    <row r="662" spans="1:27" ht="13.5" customHeight="1" x14ac:dyDescent="0.3">
      <c r="A662" s="193" t="str">
        <f>IF('Observaciones-SMP'!A662="","",'Observaciones-SMP'!A662)</f>
        <v/>
      </c>
      <c r="B662" s="257" t="str">
        <f>IF('Observaciones-SMP'!B662="","",'Observaciones-SMP'!B662)</f>
        <v/>
      </c>
      <c r="C662" s="193" t="str">
        <f>IF('Observaciones-SMP'!C662="","",'Observaciones-SMP'!C662)</f>
        <v/>
      </c>
      <c r="D662" s="193" t="str">
        <f>IF('Observaciones-SMP'!D662="","",'Observaciones-SMP'!D662)</f>
        <v/>
      </c>
      <c r="E662" s="193" t="str">
        <f>IF('Observaciones-SMP'!E662="","",'Observaciones-SMP'!E662)</f>
        <v/>
      </c>
      <c r="F662" s="193" t="str">
        <f>IF('Observaciones-SMP'!F662="","",'Observaciones-SMP'!F662)</f>
        <v/>
      </c>
      <c r="G662" s="193" t="str">
        <f>IF('Observaciones-SMP'!G662="","",'Observaciones-SMP'!G662)</f>
        <v/>
      </c>
      <c r="H662" s="193" t="str">
        <f>IF('Observaciones-SMP'!H662="","",'Observaciones-SMP'!H662)</f>
        <v/>
      </c>
      <c r="I662" s="193" t="str">
        <f>IF('Observaciones-SMP'!I662="","",'Observaciones-SMP'!I662)</f>
        <v/>
      </c>
      <c r="J662" s="193" t="str">
        <f>IF('Observaciones-SMP'!J662="","",'Observaciones-SMP'!J662)</f>
        <v/>
      </c>
      <c r="K662" s="193" t="str">
        <f>IF('Observaciones-SMP'!K662="","",'Observaciones-SMP'!K662)</f>
        <v/>
      </c>
      <c r="L662" s="193" t="str">
        <f>IF('Observaciones-SMP'!L662="","",'Observaciones-SMP'!L662)</f>
        <v/>
      </c>
      <c r="M662" s="193" t="str">
        <f>IF('Observaciones-SMP'!M662="","",'Observaciones-SMP'!M662)</f>
        <v/>
      </c>
      <c r="N662" s="193" t="str">
        <f>IF('Observaciones-SMP'!N662="","",'Observaciones-SMP'!N662)</f>
        <v/>
      </c>
      <c r="O662" s="193" t="str">
        <f>IF('Observaciones-SMP'!O662="","",'Observaciones-SMP'!O662)</f>
        <v/>
      </c>
      <c r="P662" s="193" t="str">
        <f>IF('Observaciones-SMP'!P662="","",'Observaciones-SMP'!P662)</f>
        <v/>
      </c>
      <c r="Q662" s="257" t="str">
        <f>IF('Observaciones-SMP'!S662="","",'Observaciones-SMP'!S662)</f>
        <v/>
      </c>
      <c r="R662" s="193" t="str">
        <f>IF('Observaciones-SMP'!T662="","",'Observaciones-SMP'!T662)</f>
        <v/>
      </c>
      <c r="S662" s="193" t="str">
        <f>""</f>
        <v/>
      </c>
      <c r="T662" s="193" t="str">
        <f>""</f>
        <v/>
      </c>
      <c r="U662" s="193" t="str">
        <f t="shared" si="40"/>
        <v/>
      </c>
      <c r="V662" s="193" t="str">
        <f>""</f>
        <v/>
      </c>
      <c r="W662" s="193" t="str">
        <f>""</f>
        <v/>
      </c>
      <c r="X662" s="258" t="str">
        <f t="shared" si="41"/>
        <v/>
      </c>
      <c r="Y662" s="258" t="str">
        <f t="shared" si="42"/>
        <v/>
      </c>
      <c r="Z662" s="193" t="str">
        <f>IF(A662="","",IF(COUNTIF('Observaciones-SMP'!$A$2:$A$1001,A662)&gt;1,1,0))</f>
        <v/>
      </c>
      <c r="AA662" s="193" t="str">
        <f t="shared" si="43"/>
        <v/>
      </c>
    </row>
    <row r="663" spans="1:27" ht="13.5" customHeight="1" x14ac:dyDescent="0.3">
      <c r="A663" s="193" t="str">
        <f>IF('Observaciones-SMP'!A663="","",'Observaciones-SMP'!A663)</f>
        <v/>
      </c>
      <c r="B663" s="257" t="str">
        <f>IF('Observaciones-SMP'!B663="","",'Observaciones-SMP'!B663)</f>
        <v/>
      </c>
      <c r="C663" s="193" t="str">
        <f>IF('Observaciones-SMP'!C663="","",'Observaciones-SMP'!C663)</f>
        <v/>
      </c>
      <c r="D663" s="193" t="str">
        <f>IF('Observaciones-SMP'!D663="","",'Observaciones-SMP'!D663)</f>
        <v/>
      </c>
      <c r="E663" s="193" t="str">
        <f>IF('Observaciones-SMP'!E663="","",'Observaciones-SMP'!E663)</f>
        <v/>
      </c>
      <c r="F663" s="193" t="str">
        <f>IF('Observaciones-SMP'!F663="","",'Observaciones-SMP'!F663)</f>
        <v/>
      </c>
      <c r="G663" s="193" t="str">
        <f>IF('Observaciones-SMP'!G663="","",'Observaciones-SMP'!G663)</f>
        <v/>
      </c>
      <c r="H663" s="193" t="str">
        <f>IF('Observaciones-SMP'!H663="","",'Observaciones-SMP'!H663)</f>
        <v/>
      </c>
      <c r="I663" s="193" t="str">
        <f>IF('Observaciones-SMP'!I663="","",'Observaciones-SMP'!I663)</f>
        <v/>
      </c>
      <c r="J663" s="193" t="str">
        <f>IF('Observaciones-SMP'!J663="","",'Observaciones-SMP'!J663)</f>
        <v/>
      </c>
      <c r="K663" s="193" t="str">
        <f>IF('Observaciones-SMP'!K663="","",'Observaciones-SMP'!K663)</f>
        <v/>
      </c>
      <c r="L663" s="193" t="str">
        <f>IF('Observaciones-SMP'!L663="","",'Observaciones-SMP'!L663)</f>
        <v/>
      </c>
      <c r="M663" s="193" t="str">
        <f>IF('Observaciones-SMP'!M663="","",'Observaciones-SMP'!M663)</f>
        <v/>
      </c>
      <c r="N663" s="193" t="str">
        <f>IF('Observaciones-SMP'!N663="","",'Observaciones-SMP'!N663)</f>
        <v/>
      </c>
      <c r="O663" s="193" t="str">
        <f>IF('Observaciones-SMP'!O663="","",'Observaciones-SMP'!O663)</f>
        <v/>
      </c>
      <c r="P663" s="193" t="str">
        <f>IF('Observaciones-SMP'!P663="","",'Observaciones-SMP'!P663)</f>
        <v/>
      </c>
      <c r="Q663" s="257" t="str">
        <f>IF('Observaciones-SMP'!S663="","",'Observaciones-SMP'!S663)</f>
        <v/>
      </c>
      <c r="R663" s="193" t="str">
        <f>IF('Observaciones-SMP'!T663="","",'Observaciones-SMP'!T663)</f>
        <v/>
      </c>
      <c r="S663" s="193" t="str">
        <f>""</f>
        <v/>
      </c>
      <c r="T663" s="193" t="str">
        <f>""</f>
        <v/>
      </c>
      <c r="U663" s="193" t="str">
        <f t="shared" si="40"/>
        <v/>
      </c>
      <c r="V663" s="193" t="str">
        <f>""</f>
        <v/>
      </c>
      <c r="W663" s="193" t="str">
        <f>""</f>
        <v/>
      </c>
      <c r="X663" s="258" t="str">
        <f t="shared" si="41"/>
        <v/>
      </c>
      <c r="Y663" s="258" t="str">
        <f t="shared" si="42"/>
        <v/>
      </c>
      <c r="Z663" s="193" t="str">
        <f>IF(A663="","",IF(COUNTIF('Observaciones-SMP'!$A$2:$A$1001,A663)&gt;1,1,0))</f>
        <v/>
      </c>
      <c r="AA663" s="193" t="str">
        <f t="shared" si="43"/>
        <v/>
      </c>
    </row>
    <row r="664" spans="1:27" ht="13.5" customHeight="1" x14ac:dyDescent="0.3">
      <c r="A664" s="193" t="str">
        <f>IF('Observaciones-SMP'!A664="","",'Observaciones-SMP'!A664)</f>
        <v/>
      </c>
      <c r="B664" s="257" t="str">
        <f>IF('Observaciones-SMP'!B664="","",'Observaciones-SMP'!B664)</f>
        <v/>
      </c>
      <c r="C664" s="193" t="str">
        <f>IF('Observaciones-SMP'!C664="","",'Observaciones-SMP'!C664)</f>
        <v/>
      </c>
      <c r="D664" s="193" t="str">
        <f>IF('Observaciones-SMP'!D664="","",'Observaciones-SMP'!D664)</f>
        <v/>
      </c>
      <c r="E664" s="193" t="str">
        <f>IF('Observaciones-SMP'!E664="","",'Observaciones-SMP'!E664)</f>
        <v/>
      </c>
      <c r="F664" s="193" t="str">
        <f>IF('Observaciones-SMP'!F664="","",'Observaciones-SMP'!F664)</f>
        <v/>
      </c>
      <c r="G664" s="193" t="str">
        <f>IF('Observaciones-SMP'!G664="","",'Observaciones-SMP'!G664)</f>
        <v/>
      </c>
      <c r="H664" s="193" t="str">
        <f>IF('Observaciones-SMP'!H664="","",'Observaciones-SMP'!H664)</f>
        <v/>
      </c>
      <c r="I664" s="193" t="str">
        <f>IF('Observaciones-SMP'!I664="","",'Observaciones-SMP'!I664)</f>
        <v/>
      </c>
      <c r="J664" s="193" t="str">
        <f>IF('Observaciones-SMP'!J664="","",'Observaciones-SMP'!J664)</f>
        <v/>
      </c>
      <c r="K664" s="193" t="str">
        <f>IF('Observaciones-SMP'!K664="","",'Observaciones-SMP'!K664)</f>
        <v/>
      </c>
      <c r="L664" s="193" t="str">
        <f>IF('Observaciones-SMP'!L664="","",'Observaciones-SMP'!L664)</f>
        <v/>
      </c>
      <c r="M664" s="193" t="str">
        <f>IF('Observaciones-SMP'!M664="","",'Observaciones-SMP'!M664)</f>
        <v/>
      </c>
      <c r="N664" s="193" t="str">
        <f>IF('Observaciones-SMP'!N664="","",'Observaciones-SMP'!N664)</f>
        <v/>
      </c>
      <c r="O664" s="193" t="str">
        <f>IF('Observaciones-SMP'!O664="","",'Observaciones-SMP'!O664)</f>
        <v/>
      </c>
      <c r="P664" s="193" t="str">
        <f>IF('Observaciones-SMP'!P664="","",'Observaciones-SMP'!P664)</f>
        <v/>
      </c>
      <c r="Q664" s="257" t="str">
        <f>IF('Observaciones-SMP'!S664="","",'Observaciones-SMP'!S664)</f>
        <v/>
      </c>
      <c r="R664" s="193" t="str">
        <f>IF('Observaciones-SMP'!T664="","",'Observaciones-SMP'!T664)</f>
        <v/>
      </c>
      <c r="S664" s="193" t="str">
        <f>""</f>
        <v/>
      </c>
      <c r="T664" s="193" t="str">
        <f>""</f>
        <v/>
      </c>
      <c r="U664" s="193" t="str">
        <f t="shared" si="40"/>
        <v/>
      </c>
      <c r="V664" s="193" t="str">
        <f>""</f>
        <v/>
      </c>
      <c r="W664" s="193" t="str">
        <f>""</f>
        <v/>
      </c>
      <c r="X664" s="258" t="str">
        <f t="shared" si="41"/>
        <v/>
      </c>
      <c r="Y664" s="258" t="str">
        <f t="shared" si="42"/>
        <v/>
      </c>
      <c r="Z664" s="193" t="str">
        <f>IF(A664="","",IF(COUNTIF('Observaciones-SMP'!$A$2:$A$1001,A664)&gt;1,1,0))</f>
        <v/>
      </c>
      <c r="AA664" s="193" t="str">
        <f t="shared" si="43"/>
        <v/>
      </c>
    </row>
    <row r="665" spans="1:27" ht="13.5" customHeight="1" x14ac:dyDescent="0.3">
      <c r="A665" s="193" t="str">
        <f>IF('Observaciones-SMP'!A665="","",'Observaciones-SMP'!A665)</f>
        <v/>
      </c>
      <c r="B665" s="257" t="str">
        <f>IF('Observaciones-SMP'!B665="","",'Observaciones-SMP'!B665)</f>
        <v/>
      </c>
      <c r="C665" s="193" t="str">
        <f>IF('Observaciones-SMP'!C665="","",'Observaciones-SMP'!C665)</f>
        <v/>
      </c>
      <c r="D665" s="193" t="str">
        <f>IF('Observaciones-SMP'!D665="","",'Observaciones-SMP'!D665)</f>
        <v/>
      </c>
      <c r="E665" s="193" t="str">
        <f>IF('Observaciones-SMP'!E665="","",'Observaciones-SMP'!E665)</f>
        <v/>
      </c>
      <c r="F665" s="193" t="str">
        <f>IF('Observaciones-SMP'!F665="","",'Observaciones-SMP'!F665)</f>
        <v/>
      </c>
      <c r="G665" s="193" t="str">
        <f>IF('Observaciones-SMP'!G665="","",'Observaciones-SMP'!G665)</f>
        <v/>
      </c>
      <c r="H665" s="193" t="str">
        <f>IF('Observaciones-SMP'!H665="","",'Observaciones-SMP'!H665)</f>
        <v/>
      </c>
      <c r="I665" s="193" t="str">
        <f>IF('Observaciones-SMP'!I665="","",'Observaciones-SMP'!I665)</f>
        <v/>
      </c>
      <c r="J665" s="193" t="str">
        <f>IF('Observaciones-SMP'!J665="","",'Observaciones-SMP'!J665)</f>
        <v/>
      </c>
      <c r="K665" s="193" t="str">
        <f>IF('Observaciones-SMP'!K665="","",'Observaciones-SMP'!K665)</f>
        <v/>
      </c>
      <c r="L665" s="193" t="str">
        <f>IF('Observaciones-SMP'!L665="","",'Observaciones-SMP'!L665)</f>
        <v/>
      </c>
      <c r="M665" s="193" t="str">
        <f>IF('Observaciones-SMP'!M665="","",'Observaciones-SMP'!M665)</f>
        <v/>
      </c>
      <c r="N665" s="193" t="str">
        <f>IF('Observaciones-SMP'!N665="","",'Observaciones-SMP'!N665)</f>
        <v/>
      </c>
      <c r="O665" s="193" t="str">
        <f>IF('Observaciones-SMP'!O665="","",'Observaciones-SMP'!O665)</f>
        <v/>
      </c>
      <c r="P665" s="193" t="str">
        <f>IF('Observaciones-SMP'!P665="","",'Observaciones-SMP'!P665)</f>
        <v/>
      </c>
      <c r="Q665" s="257" t="str">
        <f>IF('Observaciones-SMP'!S665="","",'Observaciones-SMP'!S665)</f>
        <v/>
      </c>
      <c r="R665" s="193" t="str">
        <f>IF('Observaciones-SMP'!T665="","",'Observaciones-SMP'!T665)</f>
        <v/>
      </c>
      <c r="S665" s="193" t="str">
        <f>""</f>
        <v/>
      </c>
      <c r="T665" s="193" t="str">
        <f>""</f>
        <v/>
      </c>
      <c r="U665" s="193" t="str">
        <f t="shared" si="40"/>
        <v/>
      </c>
      <c r="V665" s="193" t="str">
        <f>""</f>
        <v/>
      </c>
      <c r="W665" s="193" t="str">
        <f>""</f>
        <v/>
      </c>
      <c r="X665" s="258" t="str">
        <f t="shared" si="41"/>
        <v/>
      </c>
      <c r="Y665" s="258" t="str">
        <f t="shared" si="42"/>
        <v/>
      </c>
      <c r="Z665" s="193" t="str">
        <f>IF(A665="","",IF(COUNTIF('Observaciones-SMP'!$A$2:$A$1001,A665)&gt;1,1,0))</f>
        <v/>
      </c>
      <c r="AA665" s="193" t="str">
        <f t="shared" si="43"/>
        <v/>
      </c>
    </row>
    <row r="666" spans="1:27" ht="13.5" customHeight="1" x14ac:dyDescent="0.3">
      <c r="A666" s="193" t="str">
        <f>IF('Observaciones-SMP'!A666="","",'Observaciones-SMP'!A666)</f>
        <v/>
      </c>
      <c r="B666" s="257" t="str">
        <f>IF('Observaciones-SMP'!B666="","",'Observaciones-SMP'!B666)</f>
        <v/>
      </c>
      <c r="C666" s="193" t="str">
        <f>IF('Observaciones-SMP'!C666="","",'Observaciones-SMP'!C666)</f>
        <v/>
      </c>
      <c r="D666" s="193" t="str">
        <f>IF('Observaciones-SMP'!D666="","",'Observaciones-SMP'!D666)</f>
        <v/>
      </c>
      <c r="E666" s="193" t="str">
        <f>IF('Observaciones-SMP'!E666="","",'Observaciones-SMP'!E666)</f>
        <v/>
      </c>
      <c r="F666" s="193" t="str">
        <f>IF('Observaciones-SMP'!F666="","",'Observaciones-SMP'!F666)</f>
        <v/>
      </c>
      <c r="G666" s="193" t="str">
        <f>IF('Observaciones-SMP'!G666="","",'Observaciones-SMP'!G666)</f>
        <v/>
      </c>
      <c r="H666" s="193" t="str">
        <f>IF('Observaciones-SMP'!H666="","",'Observaciones-SMP'!H666)</f>
        <v/>
      </c>
      <c r="I666" s="193" t="str">
        <f>IF('Observaciones-SMP'!I666="","",'Observaciones-SMP'!I666)</f>
        <v/>
      </c>
      <c r="J666" s="193" t="str">
        <f>IF('Observaciones-SMP'!J666="","",'Observaciones-SMP'!J666)</f>
        <v/>
      </c>
      <c r="K666" s="193" t="str">
        <f>IF('Observaciones-SMP'!K666="","",'Observaciones-SMP'!K666)</f>
        <v/>
      </c>
      <c r="L666" s="193" t="str">
        <f>IF('Observaciones-SMP'!L666="","",'Observaciones-SMP'!L666)</f>
        <v/>
      </c>
      <c r="M666" s="193" t="str">
        <f>IF('Observaciones-SMP'!M666="","",'Observaciones-SMP'!M666)</f>
        <v/>
      </c>
      <c r="N666" s="193" t="str">
        <f>IF('Observaciones-SMP'!N666="","",'Observaciones-SMP'!N666)</f>
        <v/>
      </c>
      <c r="O666" s="193" t="str">
        <f>IF('Observaciones-SMP'!O666="","",'Observaciones-SMP'!O666)</f>
        <v/>
      </c>
      <c r="P666" s="193" t="str">
        <f>IF('Observaciones-SMP'!P666="","",'Observaciones-SMP'!P666)</f>
        <v/>
      </c>
      <c r="Q666" s="257" t="str">
        <f>IF('Observaciones-SMP'!S666="","",'Observaciones-SMP'!S666)</f>
        <v/>
      </c>
      <c r="R666" s="193" t="str">
        <f>IF('Observaciones-SMP'!T666="","",'Observaciones-SMP'!T666)</f>
        <v/>
      </c>
      <c r="S666" s="193" t="str">
        <f>""</f>
        <v/>
      </c>
      <c r="T666" s="193" t="str">
        <f>""</f>
        <v/>
      </c>
      <c r="U666" s="193" t="str">
        <f t="shared" si="40"/>
        <v/>
      </c>
      <c r="V666" s="193" t="str">
        <f>""</f>
        <v/>
      </c>
      <c r="W666" s="193" t="str">
        <f>""</f>
        <v/>
      </c>
      <c r="X666" s="258" t="str">
        <f t="shared" si="41"/>
        <v/>
      </c>
      <c r="Y666" s="258" t="str">
        <f t="shared" si="42"/>
        <v/>
      </c>
      <c r="Z666" s="193" t="str">
        <f>IF(A666="","",IF(COUNTIF('Observaciones-SMP'!$A$2:$A$1001,A666)&gt;1,1,0))</f>
        <v/>
      </c>
      <c r="AA666" s="193" t="str">
        <f t="shared" si="43"/>
        <v/>
      </c>
    </row>
    <row r="667" spans="1:27" ht="13.5" customHeight="1" x14ac:dyDescent="0.3">
      <c r="A667" s="193" t="str">
        <f>IF('Observaciones-SMP'!A667="","",'Observaciones-SMP'!A667)</f>
        <v/>
      </c>
      <c r="B667" s="257" t="str">
        <f>IF('Observaciones-SMP'!B667="","",'Observaciones-SMP'!B667)</f>
        <v/>
      </c>
      <c r="C667" s="193" t="str">
        <f>IF('Observaciones-SMP'!C667="","",'Observaciones-SMP'!C667)</f>
        <v/>
      </c>
      <c r="D667" s="193" t="str">
        <f>IF('Observaciones-SMP'!D667="","",'Observaciones-SMP'!D667)</f>
        <v/>
      </c>
      <c r="E667" s="193" t="str">
        <f>IF('Observaciones-SMP'!E667="","",'Observaciones-SMP'!E667)</f>
        <v/>
      </c>
      <c r="F667" s="193" t="str">
        <f>IF('Observaciones-SMP'!F667="","",'Observaciones-SMP'!F667)</f>
        <v/>
      </c>
      <c r="G667" s="193" t="str">
        <f>IF('Observaciones-SMP'!G667="","",'Observaciones-SMP'!G667)</f>
        <v/>
      </c>
      <c r="H667" s="193" t="str">
        <f>IF('Observaciones-SMP'!H667="","",'Observaciones-SMP'!H667)</f>
        <v/>
      </c>
      <c r="I667" s="193" t="str">
        <f>IF('Observaciones-SMP'!I667="","",'Observaciones-SMP'!I667)</f>
        <v/>
      </c>
      <c r="J667" s="193" t="str">
        <f>IF('Observaciones-SMP'!J667="","",'Observaciones-SMP'!J667)</f>
        <v/>
      </c>
      <c r="K667" s="193" t="str">
        <f>IF('Observaciones-SMP'!K667="","",'Observaciones-SMP'!K667)</f>
        <v/>
      </c>
      <c r="L667" s="193" t="str">
        <f>IF('Observaciones-SMP'!L667="","",'Observaciones-SMP'!L667)</f>
        <v/>
      </c>
      <c r="M667" s="193" t="str">
        <f>IF('Observaciones-SMP'!M667="","",'Observaciones-SMP'!M667)</f>
        <v/>
      </c>
      <c r="N667" s="193" t="str">
        <f>IF('Observaciones-SMP'!N667="","",'Observaciones-SMP'!N667)</f>
        <v/>
      </c>
      <c r="O667" s="193" t="str">
        <f>IF('Observaciones-SMP'!O667="","",'Observaciones-SMP'!O667)</f>
        <v/>
      </c>
      <c r="P667" s="193" t="str">
        <f>IF('Observaciones-SMP'!P667="","",'Observaciones-SMP'!P667)</f>
        <v/>
      </c>
      <c r="Q667" s="257" t="str">
        <f>IF('Observaciones-SMP'!S667="","",'Observaciones-SMP'!S667)</f>
        <v/>
      </c>
      <c r="R667" s="193" t="str">
        <f>IF('Observaciones-SMP'!T667="","",'Observaciones-SMP'!T667)</f>
        <v/>
      </c>
      <c r="S667" s="193" t="str">
        <f>""</f>
        <v/>
      </c>
      <c r="T667" s="193" t="str">
        <f>""</f>
        <v/>
      </c>
      <c r="U667" s="193" t="str">
        <f t="shared" si="40"/>
        <v/>
      </c>
      <c r="V667" s="193" t="str">
        <f>""</f>
        <v/>
      </c>
      <c r="W667" s="193" t="str">
        <f>""</f>
        <v/>
      </c>
      <c r="X667" s="258" t="str">
        <f t="shared" si="41"/>
        <v/>
      </c>
      <c r="Y667" s="258" t="str">
        <f t="shared" si="42"/>
        <v/>
      </c>
      <c r="Z667" s="193" t="str">
        <f>IF(A667="","",IF(COUNTIF('Observaciones-SMP'!$A$2:$A$1001,A667)&gt;1,1,0))</f>
        <v/>
      </c>
      <c r="AA667" s="193" t="str">
        <f t="shared" si="43"/>
        <v/>
      </c>
    </row>
    <row r="668" spans="1:27" ht="13.5" customHeight="1" x14ac:dyDescent="0.3">
      <c r="A668" s="193" t="str">
        <f>IF('Observaciones-SMP'!A668="","",'Observaciones-SMP'!A668)</f>
        <v/>
      </c>
      <c r="B668" s="257" t="str">
        <f>IF('Observaciones-SMP'!B668="","",'Observaciones-SMP'!B668)</f>
        <v/>
      </c>
      <c r="C668" s="193" t="str">
        <f>IF('Observaciones-SMP'!C668="","",'Observaciones-SMP'!C668)</f>
        <v/>
      </c>
      <c r="D668" s="193" t="str">
        <f>IF('Observaciones-SMP'!D668="","",'Observaciones-SMP'!D668)</f>
        <v/>
      </c>
      <c r="E668" s="193" t="str">
        <f>IF('Observaciones-SMP'!E668="","",'Observaciones-SMP'!E668)</f>
        <v/>
      </c>
      <c r="F668" s="193" t="str">
        <f>IF('Observaciones-SMP'!F668="","",'Observaciones-SMP'!F668)</f>
        <v/>
      </c>
      <c r="G668" s="193" t="str">
        <f>IF('Observaciones-SMP'!G668="","",'Observaciones-SMP'!G668)</f>
        <v/>
      </c>
      <c r="H668" s="193" t="str">
        <f>IF('Observaciones-SMP'!H668="","",'Observaciones-SMP'!H668)</f>
        <v/>
      </c>
      <c r="I668" s="193" t="str">
        <f>IF('Observaciones-SMP'!I668="","",'Observaciones-SMP'!I668)</f>
        <v/>
      </c>
      <c r="J668" s="193" t="str">
        <f>IF('Observaciones-SMP'!J668="","",'Observaciones-SMP'!J668)</f>
        <v/>
      </c>
      <c r="K668" s="193" t="str">
        <f>IF('Observaciones-SMP'!K668="","",'Observaciones-SMP'!K668)</f>
        <v/>
      </c>
      <c r="L668" s="193" t="str">
        <f>IF('Observaciones-SMP'!L668="","",'Observaciones-SMP'!L668)</f>
        <v/>
      </c>
      <c r="M668" s="193" t="str">
        <f>IF('Observaciones-SMP'!M668="","",'Observaciones-SMP'!M668)</f>
        <v/>
      </c>
      <c r="N668" s="193" t="str">
        <f>IF('Observaciones-SMP'!N668="","",'Observaciones-SMP'!N668)</f>
        <v/>
      </c>
      <c r="O668" s="193" t="str">
        <f>IF('Observaciones-SMP'!O668="","",'Observaciones-SMP'!O668)</f>
        <v/>
      </c>
      <c r="P668" s="193" t="str">
        <f>IF('Observaciones-SMP'!P668="","",'Observaciones-SMP'!P668)</f>
        <v/>
      </c>
      <c r="Q668" s="257" t="str">
        <f>IF('Observaciones-SMP'!S668="","",'Observaciones-SMP'!S668)</f>
        <v/>
      </c>
      <c r="R668" s="193" t="str">
        <f>IF('Observaciones-SMP'!T668="","",'Observaciones-SMP'!T668)</f>
        <v/>
      </c>
      <c r="S668" s="193" t="str">
        <f>""</f>
        <v/>
      </c>
      <c r="T668" s="193" t="str">
        <f>""</f>
        <v/>
      </c>
      <c r="U668" s="193" t="str">
        <f t="shared" si="40"/>
        <v/>
      </c>
      <c r="V668" s="193" t="str">
        <f>""</f>
        <v/>
      </c>
      <c r="W668" s="193" t="str">
        <f>""</f>
        <v/>
      </c>
      <c r="X668" s="258" t="str">
        <f t="shared" si="41"/>
        <v/>
      </c>
      <c r="Y668" s="258" t="str">
        <f t="shared" si="42"/>
        <v/>
      </c>
      <c r="Z668" s="193" t="str">
        <f>IF(A668="","",IF(COUNTIF('Observaciones-SMP'!$A$2:$A$1001,A668)&gt;1,1,0))</f>
        <v/>
      </c>
      <c r="AA668" s="193" t="str">
        <f t="shared" si="43"/>
        <v/>
      </c>
    </row>
    <row r="669" spans="1:27" ht="13.5" customHeight="1" x14ac:dyDescent="0.3">
      <c r="A669" s="193" t="str">
        <f>IF('Observaciones-SMP'!A669="","",'Observaciones-SMP'!A669)</f>
        <v/>
      </c>
      <c r="B669" s="257" t="str">
        <f>IF('Observaciones-SMP'!B669="","",'Observaciones-SMP'!B669)</f>
        <v/>
      </c>
      <c r="C669" s="193" t="str">
        <f>IF('Observaciones-SMP'!C669="","",'Observaciones-SMP'!C669)</f>
        <v/>
      </c>
      <c r="D669" s="193" t="str">
        <f>IF('Observaciones-SMP'!D669="","",'Observaciones-SMP'!D669)</f>
        <v/>
      </c>
      <c r="E669" s="193" t="str">
        <f>IF('Observaciones-SMP'!E669="","",'Observaciones-SMP'!E669)</f>
        <v/>
      </c>
      <c r="F669" s="193" t="str">
        <f>IF('Observaciones-SMP'!F669="","",'Observaciones-SMP'!F669)</f>
        <v/>
      </c>
      <c r="G669" s="193" t="str">
        <f>IF('Observaciones-SMP'!G669="","",'Observaciones-SMP'!G669)</f>
        <v/>
      </c>
      <c r="H669" s="193" t="str">
        <f>IF('Observaciones-SMP'!H669="","",'Observaciones-SMP'!H669)</f>
        <v/>
      </c>
      <c r="I669" s="193" t="str">
        <f>IF('Observaciones-SMP'!I669="","",'Observaciones-SMP'!I669)</f>
        <v/>
      </c>
      <c r="J669" s="193" t="str">
        <f>IF('Observaciones-SMP'!J669="","",'Observaciones-SMP'!J669)</f>
        <v/>
      </c>
      <c r="K669" s="193" t="str">
        <f>IF('Observaciones-SMP'!K669="","",'Observaciones-SMP'!K669)</f>
        <v/>
      </c>
      <c r="L669" s="193" t="str">
        <f>IF('Observaciones-SMP'!L669="","",'Observaciones-SMP'!L669)</f>
        <v/>
      </c>
      <c r="M669" s="193" t="str">
        <f>IF('Observaciones-SMP'!M669="","",'Observaciones-SMP'!M669)</f>
        <v/>
      </c>
      <c r="N669" s="193" t="str">
        <f>IF('Observaciones-SMP'!N669="","",'Observaciones-SMP'!N669)</f>
        <v/>
      </c>
      <c r="O669" s="193" t="str">
        <f>IF('Observaciones-SMP'!O669="","",'Observaciones-SMP'!O669)</f>
        <v/>
      </c>
      <c r="P669" s="193" t="str">
        <f>IF('Observaciones-SMP'!P669="","",'Observaciones-SMP'!P669)</f>
        <v/>
      </c>
      <c r="Q669" s="257" t="str">
        <f>IF('Observaciones-SMP'!S669="","",'Observaciones-SMP'!S669)</f>
        <v/>
      </c>
      <c r="R669" s="193" t="str">
        <f>IF('Observaciones-SMP'!T669="","",'Observaciones-SMP'!T669)</f>
        <v/>
      </c>
      <c r="S669" s="193" t="str">
        <f>""</f>
        <v/>
      </c>
      <c r="T669" s="193" t="str">
        <f>""</f>
        <v/>
      </c>
      <c r="U669" s="193" t="str">
        <f t="shared" si="40"/>
        <v/>
      </c>
      <c r="V669" s="193" t="str">
        <f>""</f>
        <v/>
      </c>
      <c r="W669" s="193" t="str">
        <f>""</f>
        <v/>
      </c>
      <c r="X669" s="258" t="str">
        <f t="shared" si="41"/>
        <v/>
      </c>
      <c r="Y669" s="258" t="str">
        <f t="shared" si="42"/>
        <v/>
      </c>
      <c r="Z669" s="193" t="str">
        <f>IF(A669="","",IF(COUNTIF('Observaciones-SMP'!$A$2:$A$1001,A669)&gt;1,1,0))</f>
        <v/>
      </c>
      <c r="AA669" s="193" t="str">
        <f t="shared" si="43"/>
        <v/>
      </c>
    </row>
    <row r="670" spans="1:27" ht="13.5" customHeight="1" x14ac:dyDescent="0.3">
      <c r="A670" s="193" t="str">
        <f>IF('Observaciones-SMP'!A670="","",'Observaciones-SMP'!A670)</f>
        <v/>
      </c>
      <c r="B670" s="257" t="str">
        <f>IF('Observaciones-SMP'!B670="","",'Observaciones-SMP'!B670)</f>
        <v/>
      </c>
      <c r="C670" s="193" t="str">
        <f>IF('Observaciones-SMP'!C670="","",'Observaciones-SMP'!C670)</f>
        <v/>
      </c>
      <c r="D670" s="193" t="str">
        <f>IF('Observaciones-SMP'!D670="","",'Observaciones-SMP'!D670)</f>
        <v/>
      </c>
      <c r="E670" s="193" t="str">
        <f>IF('Observaciones-SMP'!E670="","",'Observaciones-SMP'!E670)</f>
        <v/>
      </c>
      <c r="F670" s="193" t="str">
        <f>IF('Observaciones-SMP'!F670="","",'Observaciones-SMP'!F670)</f>
        <v/>
      </c>
      <c r="G670" s="193" t="str">
        <f>IF('Observaciones-SMP'!G670="","",'Observaciones-SMP'!G670)</f>
        <v/>
      </c>
      <c r="H670" s="193" t="str">
        <f>IF('Observaciones-SMP'!H670="","",'Observaciones-SMP'!H670)</f>
        <v/>
      </c>
      <c r="I670" s="193" t="str">
        <f>IF('Observaciones-SMP'!I670="","",'Observaciones-SMP'!I670)</f>
        <v/>
      </c>
      <c r="J670" s="193" t="str">
        <f>IF('Observaciones-SMP'!J670="","",'Observaciones-SMP'!J670)</f>
        <v/>
      </c>
      <c r="K670" s="193" t="str">
        <f>IF('Observaciones-SMP'!K670="","",'Observaciones-SMP'!K670)</f>
        <v/>
      </c>
      <c r="L670" s="193" t="str">
        <f>IF('Observaciones-SMP'!L670="","",'Observaciones-SMP'!L670)</f>
        <v/>
      </c>
      <c r="M670" s="193" t="str">
        <f>IF('Observaciones-SMP'!M670="","",'Observaciones-SMP'!M670)</f>
        <v/>
      </c>
      <c r="N670" s="193" t="str">
        <f>IF('Observaciones-SMP'!N670="","",'Observaciones-SMP'!N670)</f>
        <v/>
      </c>
      <c r="O670" s="193" t="str">
        <f>IF('Observaciones-SMP'!O670="","",'Observaciones-SMP'!O670)</f>
        <v/>
      </c>
      <c r="P670" s="193" t="str">
        <f>IF('Observaciones-SMP'!P670="","",'Observaciones-SMP'!P670)</f>
        <v/>
      </c>
      <c r="Q670" s="257" t="str">
        <f>IF('Observaciones-SMP'!S670="","",'Observaciones-SMP'!S670)</f>
        <v/>
      </c>
      <c r="R670" s="193" t="str">
        <f>IF('Observaciones-SMP'!T670="","",'Observaciones-SMP'!T670)</f>
        <v/>
      </c>
      <c r="S670" s="193" t="str">
        <f>""</f>
        <v/>
      </c>
      <c r="T670" s="193" t="str">
        <f>""</f>
        <v/>
      </c>
      <c r="U670" s="193" t="str">
        <f t="shared" si="40"/>
        <v/>
      </c>
      <c r="V670" s="193" t="str">
        <f>""</f>
        <v/>
      </c>
      <c r="W670" s="193" t="str">
        <f>""</f>
        <v/>
      </c>
      <c r="X670" s="258" t="str">
        <f t="shared" si="41"/>
        <v/>
      </c>
      <c r="Y670" s="258" t="str">
        <f t="shared" si="42"/>
        <v/>
      </c>
      <c r="Z670" s="193" t="str">
        <f>IF(A670="","",IF(COUNTIF('Observaciones-SMP'!$A$2:$A$1001,A670)&gt;1,1,0))</f>
        <v/>
      </c>
      <c r="AA670" s="193" t="str">
        <f t="shared" si="43"/>
        <v/>
      </c>
    </row>
    <row r="671" spans="1:27" ht="13.5" customHeight="1" x14ac:dyDescent="0.3">
      <c r="A671" s="193" t="str">
        <f>IF('Observaciones-SMP'!A671="","",'Observaciones-SMP'!A671)</f>
        <v/>
      </c>
      <c r="B671" s="257" t="str">
        <f>IF('Observaciones-SMP'!B671="","",'Observaciones-SMP'!B671)</f>
        <v/>
      </c>
      <c r="C671" s="193" t="str">
        <f>IF('Observaciones-SMP'!C671="","",'Observaciones-SMP'!C671)</f>
        <v/>
      </c>
      <c r="D671" s="193" t="str">
        <f>IF('Observaciones-SMP'!D671="","",'Observaciones-SMP'!D671)</f>
        <v/>
      </c>
      <c r="E671" s="193" t="str">
        <f>IF('Observaciones-SMP'!E671="","",'Observaciones-SMP'!E671)</f>
        <v/>
      </c>
      <c r="F671" s="193" t="str">
        <f>IF('Observaciones-SMP'!F671="","",'Observaciones-SMP'!F671)</f>
        <v/>
      </c>
      <c r="G671" s="193" t="str">
        <f>IF('Observaciones-SMP'!G671="","",'Observaciones-SMP'!G671)</f>
        <v/>
      </c>
      <c r="H671" s="193" t="str">
        <f>IF('Observaciones-SMP'!H671="","",'Observaciones-SMP'!H671)</f>
        <v/>
      </c>
      <c r="I671" s="193" t="str">
        <f>IF('Observaciones-SMP'!I671="","",'Observaciones-SMP'!I671)</f>
        <v/>
      </c>
      <c r="J671" s="193" t="str">
        <f>IF('Observaciones-SMP'!J671="","",'Observaciones-SMP'!J671)</f>
        <v/>
      </c>
      <c r="K671" s="193" t="str">
        <f>IF('Observaciones-SMP'!K671="","",'Observaciones-SMP'!K671)</f>
        <v/>
      </c>
      <c r="L671" s="193" t="str">
        <f>IF('Observaciones-SMP'!L671="","",'Observaciones-SMP'!L671)</f>
        <v/>
      </c>
      <c r="M671" s="193" t="str">
        <f>IF('Observaciones-SMP'!M671="","",'Observaciones-SMP'!M671)</f>
        <v/>
      </c>
      <c r="N671" s="193" t="str">
        <f>IF('Observaciones-SMP'!N671="","",'Observaciones-SMP'!N671)</f>
        <v/>
      </c>
      <c r="O671" s="193" t="str">
        <f>IF('Observaciones-SMP'!O671="","",'Observaciones-SMP'!O671)</f>
        <v/>
      </c>
      <c r="P671" s="193" t="str">
        <f>IF('Observaciones-SMP'!P671="","",'Observaciones-SMP'!P671)</f>
        <v/>
      </c>
      <c r="Q671" s="257" t="str">
        <f>IF('Observaciones-SMP'!S671="","",'Observaciones-SMP'!S671)</f>
        <v/>
      </c>
      <c r="R671" s="193" t="str">
        <f>IF('Observaciones-SMP'!T671="","",'Observaciones-SMP'!T671)</f>
        <v/>
      </c>
      <c r="S671" s="193" t="str">
        <f>""</f>
        <v/>
      </c>
      <c r="T671" s="193" t="str">
        <f>""</f>
        <v/>
      </c>
      <c r="U671" s="193" t="str">
        <f t="shared" si="40"/>
        <v/>
      </c>
      <c r="V671" s="193" t="str">
        <f>""</f>
        <v/>
      </c>
      <c r="W671" s="193" t="str">
        <f>""</f>
        <v/>
      </c>
      <c r="X671" s="258" t="str">
        <f t="shared" si="41"/>
        <v/>
      </c>
      <c r="Y671" s="258" t="str">
        <f t="shared" si="42"/>
        <v/>
      </c>
      <c r="Z671" s="193" t="str">
        <f>IF(A671="","",IF(COUNTIF('Observaciones-SMP'!$A$2:$A$1001,A671)&gt;1,1,0))</f>
        <v/>
      </c>
      <c r="AA671" s="193" t="str">
        <f t="shared" si="43"/>
        <v/>
      </c>
    </row>
    <row r="672" spans="1:27" ht="13.5" customHeight="1" x14ac:dyDescent="0.3">
      <c r="A672" s="193" t="str">
        <f>IF('Observaciones-SMP'!A672="","",'Observaciones-SMP'!A672)</f>
        <v/>
      </c>
      <c r="B672" s="257" t="str">
        <f>IF('Observaciones-SMP'!B672="","",'Observaciones-SMP'!B672)</f>
        <v/>
      </c>
      <c r="C672" s="193" t="str">
        <f>IF('Observaciones-SMP'!C672="","",'Observaciones-SMP'!C672)</f>
        <v/>
      </c>
      <c r="D672" s="193" t="str">
        <f>IF('Observaciones-SMP'!D672="","",'Observaciones-SMP'!D672)</f>
        <v/>
      </c>
      <c r="E672" s="193" t="str">
        <f>IF('Observaciones-SMP'!E672="","",'Observaciones-SMP'!E672)</f>
        <v/>
      </c>
      <c r="F672" s="193" t="str">
        <f>IF('Observaciones-SMP'!F672="","",'Observaciones-SMP'!F672)</f>
        <v/>
      </c>
      <c r="G672" s="193" t="str">
        <f>IF('Observaciones-SMP'!G672="","",'Observaciones-SMP'!G672)</f>
        <v/>
      </c>
      <c r="H672" s="193" t="str">
        <f>IF('Observaciones-SMP'!H672="","",'Observaciones-SMP'!H672)</f>
        <v/>
      </c>
      <c r="I672" s="193" t="str">
        <f>IF('Observaciones-SMP'!I672="","",'Observaciones-SMP'!I672)</f>
        <v/>
      </c>
      <c r="J672" s="193" t="str">
        <f>IF('Observaciones-SMP'!J672="","",'Observaciones-SMP'!J672)</f>
        <v/>
      </c>
      <c r="K672" s="193" t="str">
        <f>IF('Observaciones-SMP'!K672="","",'Observaciones-SMP'!K672)</f>
        <v/>
      </c>
      <c r="L672" s="193" t="str">
        <f>IF('Observaciones-SMP'!L672="","",'Observaciones-SMP'!L672)</f>
        <v/>
      </c>
      <c r="M672" s="193" t="str">
        <f>IF('Observaciones-SMP'!M672="","",'Observaciones-SMP'!M672)</f>
        <v/>
      </c>
      <c r="N672" s="193" t="str">
        <f>IF('Observaciones-SMP'!N672="","",'Observaciones-SMP'!N672)</f>
        <v/>
      </c>
      <c r="O672" s="193" t="str">
        <f>IF('Observaciones-SMP'!O672="","",'Observaciones-SMP'!O672)</f>
        <v/>
      </c>
      <c r="P672" s="193" t="str">
        <f>IF('Observaciones-SMP'!P672="","",'Observaciones-SMP'!P672)</f>
        <v/>
      </c>
      <c r="Q672" s="257" t="str">
        <f>IF('Observaciones-SMP'!S672="","",'Observaciones-SMP'!S672)</f>
        <v/>
      </c>
      <c r="R672" s="193" t="str">
        <f>IF('Observaciones-SMP'!T672="","",'Observaciones-SMP'!T672)</f>
        <v/>
      </c>
      <c r="S672" s="193" t="str">
        <f>""</f>
        <v/>
      </c>
      <c r="T672" s="193" t="str">
        <f>""</f>
        <v/>
      </c>
      <c r="U672" s="193" t="str">
        <f t="shared" si="40"/>
        <v/>
      </c>
      <c r="V672" s="193" t="str">
        <f>""</f>
        <v/>
      </c>
      <c r="W672" s="193" t="str">
        <f>""</f>
        <v/>
      </c>
      <c r="X672" s="258" t="str">
        <f t="shared" si="41"/>
        <v/>
      </c>
      <c r="Y672" s="258" t="str">
        <f t="shared" si="42"/>
        <v/>
      </c>
      <c r="Z672" s="193" t="str">
        <f>IF(A672="","",IF(COUNTIF('Observaciones-SMP'!$A$2:$A$1001,A672)&gt;1,1,0))</f>
        <v/>
      </c>
      <c r="AA672" s="193" t="str">
        <f t="shared" si="43"/>
        <v/>
      </c>
    </row>
    <row r="673" spans="1:27" ht="13.5" customHeight="1" x14ac:dyDescent="0.3">
      <c r="A673" s="193" t="str">
        <f>IF('Observaciones-SMP'!A673="","",'Observaciones-SMP'!A673)</f>
        <v/>
      </c>
      <c r="B673" s="257" t="str">
        <f>IF('Observaciones-SMP'!B673="","",'Observaciones-SMP'!B673)</f>
        <v/>
      </c>
      <c r="C673" s="193" t="str">
        <f>IF('Observaciones-SMP'!C673="","",'Observaciones-SMP'!C673)</f>
        <v/>
      </c>
      <c r="D673" s="193" t="str">
        <f>IF('Observaciones-SMP'!D673="","",'Observaciones-SMP'!D673)</f>
        <v/>
      </c>
      <c r="E673" s="193" t="str">
        <f>IF('Observaciones-SMP'!E673="","",'Observaciones-SMP'!E673)</f>
        <v/>
      </c>
      <c r="F673" s="193" t="str">
        <f>IF('Observaciones-SMP'!F673="","",'Observaciones-SMP'!F673)</f>
        <v/>
      </c>
      <c r="G673" s="193" t="str">
        <f>IF('Observaciones-SMP'!G673="","",'Observaciones-SMP'!G673)</f>
        <v/>
      </c>
      <c r="H673" s="193" t="str">
        <f>IF('Observaciones-SMP'!H673="","",'Observaciones-SMP'!H673)</f>
        <v/>
      </c>
      <c r="I673" s="193" t="str">
        <f>IF('Observaciones-SMP'!I673="","",'Observaciones-SMP'!I673)</f>
        <v/>
      </c>
      <c r="J673" s="193" t="str">
        <f>IF('Observaciones-SMP'!J673="","",'Observaciones-SMP'!J673)</f>
        <v/>
      </c>
      <c r="K673" s="193" t="str">
        <f>IF('Observaciones-SMP'!K673="","",'Observaciones-SMP'!K673)</f>
        <v/>
      </c>
      <c r="L673" s="193" t="str">
        <f>IF('Observaciones-SMP'!L673="","",'Observaciones-SMP'!L673)</f>
        <v/>
      </c>
      <c r="M673" s="193" t="str">
        <f>IF('Observaciones-SMP'!M673="","",'Observaciones-SMP'!M673)</f>
        <v/>
      </c>
      <c r="N673" s="193" t="str">
        <f>IF('Observaciones-SMP'!N673="","",'Observaciones-SMP'!N673)</f>
        <v/>
      </c>
      <c r="O673" s="193" t="str">
        <f>IF('Observaciones-SMP'!O673="","",'Observaciones-SMP'!O673)</f>
        <v/>
      </c>
      <c r="P673" s="193" t="str">
        <f>IF('Observaciones-SMP'!P673="","",'Observaciones-SMP'!P673)</f>
        <v/>
      </c>
      <c r="Q673" s="257" t="str">
        <f>IF('Observaciones-SMP'!S673="","",'Observaciones-SMP'!S673)</f>
        <v/>
      </c>
      <c r="R673" s="193" t="str">
        <f>IF('Observaciones-SMP'!T673="","",'Observaciones-SMP'!T673)</f>
        <v/>
      </c>
      <c r="S673" s="193" t="str">
        <f>""</f>
        <v/>
      </c>
      <c r="T673" s="193" t="str">
        <f>""</f>
        <v/>
      </c>
      <c r="U673" s="193" t="str">
        <f t="shared" si="40"/>
        <v/>
      </c>
      <c r="V673" s="193" t="str">
        <f>""</f>
        <v/>
      </c>
      <c r="W673" s="193" t="str">
        <f>""</f>
        <v/>
      </c>
      <c r="X673" s="258" t="str">
        <f t="shared" si="41"/>
        <v/>
      </c>
      <c r="Y673" s="258" t="str">
        <f t="shared" si="42"/>
        <v/>
      </c>
      <c r="Z673" s="193" t="str">
        <f>IF(A673="","",IF(COUNTIF('Observaciones-SMP'!$A$2:$A$1001,A673)&gt;1,1,0))</f>
        <v/>
      </c>
      <c r="AA673" s="193" t="str">
        <f t="shared" si="43"/>
        <v/>
      </c>
    </row>
    <row r="674" spans="1:27" ht="13.5" customHeight="1" x14ac:dyDescent="0.3">
      <c r="A674" s="193" t="str">
        <f>IF('Observaciones-SMP'!A674="","",'Observaciones-SMP'!A674)</f>
        <v/>
      </c>
      <c r="B674" s="257" t="str">
        <f>IF('Observaciones-SMP'!B674="","",'Observaciones-SMP'!B674)</f>
        <v/>
      </c>
      <c r="C674" s="193" t="str">
        <f>IF('Observaciones-SMP'!C674="","",'Observaciones-SMP'!C674)</f>
        <v/>
      </c>
      <c r="D674" s="193" t="str">
        <f>IF('Observaciones-SMP'!D674="","",'Observaciones-SMP'!D674)</f>
        <v/>
      </c>
      <c r="E674" s="193" t="str">
        <f>IF('Observaciones-SMP'!E674="","",'Observaciones-SMP'!E674)</f>
        <v/>
      </c>
      <c r="F674" s="193" t="str">
        <f>IF('Observaciones-SMP'!F674="","",'Observaciones-SMP'!F674)</f>
        <v/>
      </c>
      <c r="G674" s="193" t="str">
        <f>IF('Observaciones-SMP'!G674="","",'Observaciones-SMP'!G674)</f>
        <v/>
      </c>
      <c r="H674" s="193" t="str">
        <f>IF('Observaciones-SMP'!H674="","",'Observaciones-SMP'!H674)</f>
        <v/>
      </c>
      <c r="I674" s="193" t="str">
        <f>IF('Observaciones-SMP'!I674="","",'Observaciones-SMP'!I674)</f>
        <v/>
      </c>
      <c r="J674" s="193" t="str">
        <f>IF('Observaciones-SMP'!J674="","",'Observaciones-SMP'!J674)</f>
        <v/>
      </c>
      <c r="K674" s="193" t="str">
        <f>IF('Observaciones-SMP'!K674="","",'Observaciones-SMP'!K674)</f>
        <v/>
      </c>
      <c r="L674" s="193" t="str">
        <f>IF('Observaciones-SMP'!L674="","",'Observaciones-SMP'!L674)</f>
        <v/>
      </c>
      <c r="M674" s="193" t="str">
        <f>IF('Observaciones-SMP'!M674="","",'Observaciones-SMP'!M674)</f>
        <v/>
      </c>
      <c r="N674" s="193" t="str">
        <f>IF('Observaciones-SMP'!N674="","",'Observaciones-SMP'!N674)</f>
        <v/>
      </c>
      <c r="O674" s="193" t="str">
        <f>IF('Observaciones-SMP'!O674="","",'Observaciones-SMP'!O674)</f>
        <v/>
      </c>
      <c r="P674" s="193" t="str">
        <f>IF('Observaciones-SMP'!P674="","",'Observaciones-SMP'!P674)</f>
        <v/>
      </c>
      <c r="Q674" s="257" t="str">
        <f>IF('Observaciones-SMP'!S674="","",'Observaciones-SMP'!S674)</f>
        <v/>
      </c>
      <c r="R674" s="193" t="str">
        <f>IF('Observaciones-SMP'!T674="","",'Observaciones-SMP'!T674)</f>
        <v/>
      </c>
      <c r="S674" s="193" t="str">
        <f>""</f>
        <v/>
      </c>
      <c r="T674" s="193" t="str">
        <f>""</f>
        <v/>
      </c>
      <c r="U674" s="193" t="str">
        <f t="shared" si="40"/>
        <v/>
      </c>
      <c r="V674" s="193" t="str">
        <f>""</f>
        <v/>
      </c>
      <c r="W674" s="193" t="str">
        <f>""</f>
        <v/>
      </c>
      <c r="X674" s="258" t="str">
        <f t="shared" si="41"/>
        <v/>
      </c>
      <c r="Y674" s="258" t="str">
        <f t="shared" si="42"/>
        <v/>
      </c>
      <c r="Z674" s="193" t="str">
        <f>IF(A674="","",IF(COUNTIF('Observaciones-SMP'!$A$2:$A$1001,A674)&gt;1,1,0))</f>
        <v/>
      </c>
      <c r="AA674" s="193" t="str">
        <f t="shared" si="43"/>
        <v/>
      </c>
    </row>
    <row r="675" spans="1:27" ht="13.5" customHeight="1" x14ac:dyDescent="0.3">
      <c r="A675" s="193" t="str">
        <f>IF('Observaciones-SMP'!A675="","",'Observaciones-SMP'!A675)</f>
        <v/>
      </c>
      <c r="B675" s="257" t="str">
        <f>IF('Observaciones-SMP'!B675="","",'Observaciones-SMP'!B675)</f>
        <v/>
      </c>
      <c r="C675" s="193" t="str">
        <f>IF('Observaciones-SMP'!C675="","",'Observaciones-SMP'!C675)</f>
        <v/>
      </c>
      <c r="D675" s="193" t="str">
        <f>IF('Observaciones-SMP'!D675="","",'Observaciones-SMP'!D675)</f>
        <v/>
      </c>
      <c r="E675" s="193" t="str">
        <f>IF('Observaciones-SMP'!E675="","",'Observaciones-SMP'!E675)</f>
        <v/>
      </c>
      <c r="F675" s="193" t="str">
        <f>IF('Observaciones-SMP'!F675="","",'Observaciones-SMP'!F675)</f>
        <v/>
      </c>
      <c r="G675" s="193" t="str">
        <f>IF('Observaciones-SMP'!G675="","",'Observaciones-SMP'!G675)</f>
        <v/>
      </c>
      <c r="H675" s="193" t="str">
        <f>IF('Observaciones-SMP'!H675="","",'Observaciones-SMP'!H675)</f>
        <v/>
      </c>
      <c r="I675" s="193" t="str">
        <f>IF('Observaciones-SMP'!I675="","",'Observaciones-SMP'!I675)</f>
        <v/>
      </c>
      <c r="J675" s="193" t="str">
        <f>IF('Observaciones-SMP'!J675="","",'Observaciones-SMP'!J675)</f>
        <v/>
      </c>
      <c r="K675" s="193" t="str">
        <f>IF('Observaciones-SMP'!K675="","",'Observaciones-SMP'!K675)</f>
        <v/>
      </c>
      <c r="L675" s="193" t="str">
        <f>IF('Observaciones-SMP'!L675="","",'Observaciones-SMP'!L675)</f>
        <v/>
      </c>
      <c r="M675" s="193" t="str">
        <f>IF('Observaciones-SMP'!M675="","",'Observaciones-SMP'!M675)</f>
        <v/>
      </c>
      <c r="N675" s="193" t="str">
        <f>IF('Observaciones-SMP'!N675="","",'Observaciones-SMP'!N675)</f>
        <v/>
      </c>
      <c r="O675" s="193" t="str">
        <f>IF('Observaciones-SMP'!O675="","",'Observaciones-SMP'!O675)</f>
        <v/>
      </c>
      <c r="P675" s="193" t="str">
        <f>IF('Observaciones-SMP'!P675="","",'Observaciones-SMP'!P675)</f>
        <v/>
      </c>
      <c r="Q675" s="257" t="str">
        <f>IF('Observaciones-SMP'!S675="","",'Observaciones-SMP'!S675)</f>
        <v/>
      </c>
      <c r="R675" s="193" t="str">
        <f>IF('Observaciones-SMP'!T675="","",'Observaciones-SMP'!T675)</f>
        <v/>
      </c>
      <c r="S675" s="193" t="str">
        <f>""</f>
        <v/>
      </c>
      <c r="T675" s="193" t="str">
        <f>""</f>
        <v/>
      </c>
      <c r="U675" s="193" t="str">
        <f t="shared" si="40"/>
        <v/>
      </c>
      <c r="V675" s="193" t="str">
        <f>""</f>
        <v/>
      </c>
      <c r="W675" s="193" t="str">
        <f>""</f>
        <v/>
      </c>
      <c r="X675" s="258" t="str">
        <f t="shared" si="41"/>
        <v/>
      </c>
      <c r="Y675" s="258" t="str">
        <f t="shared" si="42"/>
        <v/>
      </c>
      <c r="Z675" s="193" t="str">
        <f>IF(A675="","",IF(COUNTIF('Observaciones-SMP'!$A$2:$A$1001,A675)&gt;1,1,0))</f>
        <v/>
      </c>
      <c r="AA675" s="193" t="str">
        <f t="shared" si="43"/>
        <v/>
      </c>
    </row>
    <row r="676" spans="1:27" ht="13.5" customHeight="1" x14ac:dyDescent="0.3">
      <c r="A676" s="193" t="str">
        <f>IF('Observaciones-SMP'!A676="","",'Observaciones-SMP'!A676)</f>
        <v/>
      </c>
      <c r="B676" s="257" t="str">
        <f>IF('Observaciones-SMP'!B676="","",'Observaciones-SMP'!B676)</f>
        <v/>
      </c>
      <c r="C676" s="193" t="str">
        <f>IF('Observaciones-SMP'!C676="","",'Observaciones-SMP'!C676)</f>
        <v/>
      </c>
      <c r="D676" s="193" t="str">
        <f>IF('Observaciones-SMP'!D676="","",'Observaciones-SMP'!D676)</f>
        <v/>
      </c>
      <c r="E676" s="193" t="str">
        <f>IF('Observaciones-SMP'!E676="","",'Observaciones-SMP'!E676)</f>
        <v/>
      </c>
      <c r="F676" s="193" t="str">
        <f>IF('Observaciones-SMP'!F676="","",'Observaciones-SMP'!F676)</f>
        <v/>
      </c>
      <c r="G676" s="193" t="str">
        <f>IF('Observaciones-SMP'!G676="","",'Observaciones-SMP'!G676)</f>
        <v/>
      </c>
      <c r="H676" s="193" t="str">
        <f>IF('Observaciones-SMP'!H676="","",'Observaciones-SMP'!H676)</f>
        <v/>
      </c>
      <c r="I676" s="193" t="str">
        <f>IF('Observaciones-SMP'!I676="","",'Observaciones-SMP'!I676)</f>
        <v/>
      </c>
      <c r="J676" s="193" t="str">
        <f>IF('Observaciones-SMP'!J676="","",'Observaciones-SMP'!J676)</f>
        <v/>
      </c>
      <c r="K676" s="193" t="str">
        <f>IF('Observaciones-SMP'!K676="","",'Observaciones-SMP'!K676)</f>
        <v/>
      </c>
      <c r="L676" s="193" t="str">
        <f>IF('Observaciones-SMP'!L676="","",'Observaciones-SMP'!L676)</f>
        <v/>
      </c>
      <c r="M676" s="193" t="str">
        <f>IF('Observaciones-SMP'!M676="","",'Observaciones-SMP'!M676)</f>
        <v/>
      </c>
      <c r="N676" s="193" t="str">
        <f>IF('Observaciones-SMP'!N676="","",'Observaciones-SMP'!N676)</f>
        <v/>
      </c>
      <c r="O676" s="193" t="str">
        <f>IF('Observaciones-SMP'!O676="","",'Observaciones-SMP'!O676)</f>
        <v/>
      </c>
      <c r="P676" s="193" t="str">
        <f>IF('Observaciones-SMP'!P676="","",'Observaciones-SMP'!P676)</f>
        <v/>
      </c>
      <c r="Q676" s="257" t="str">
        <f>IF('Observaciones-SMP'!S676="","",'Observaciones-SMP'!S676)</f>
        <v/>
      </c>
      <c r="R676" s="193" t="str">
        <f>IF('Observaciones-SMP'!T676="","",'Observaciones-SMP'!T676)</f>
        <v/>
      </c>
      <c r="S676" s="193" t="str">
        <f>""</f>
        <v/>
      </c>
      <c r="T676" s="193" t="str">
        <f>""</f>
        <v/>
      </c>
      <c r="U676" s="193" t="str">
        <f t="shared" si="40"/>
        <v/>
      </c>
      <c r="V676" s="193" t="str">
        <f>""</f>
        <v/>
      </c>
      <c r="W676" s="193" t="str">
        <f>""</f>
        <v/>
      </c>
      <c r="X676" s="258" t="str">
        <f t="shared" si="41"/>
        <v/>
      </c>
      <c r="Y676" s="258" t="str">
        <f t="shared" si="42"/>
        <v/>
      </c>
      <c r="Z676" s="193" t="str">
        <f>IF(A676="","",IF(COUNTIF('Observaciones-SMP'!$A$2:$A$1001,A676)&gt;1,1,0))</f>
        <v/>
      </c>
      <c r="AA676" s="193" t="str">
        <f t="shared" si="43"/>
        <v/>
      </c>
    </row>
    <row r="677" spans="1:27" ht="13.5" customHeight="1" x14ac:dyDescent="0.3">
      <c r="A677" s="193" t="str">
        <f>IF('Observaciones-SMP'!A677="","",'Observaciones-SMP'!A677)</f>
        <v/>
      </c>
      <c r="B677" s="257" t="str">
        <f>IF('Observaciones-SMP'!B677="","",'Observaciones-SMP'!B677)</f>
        <v/>
      </c>
      <c r="C677" s="193" t="str">
        <f>IF('Observaciones-SMP'!C677="","",'Observaciones-SMP'!C677)</f>
        <v/>
      </c>
      <c r="D677" s="193" t="str">
        <f>IF('Observaciones-SMP'!D677="","",'Observaciones-SMP'!D677)</f>
        <v/>
      </c>
      <c r="E677" s="193" t="str">
        <f>IF('Observaciones-SMP'!E677="","",'Observaciones-SMP'!E677)</f>
        <v/>
      </c>
      <c r="F677" s="193" t="str">
        <f>IF('Observaciones-SMP'!F677="","",'Observaciones-SMP'!F677)</f>
        <v/>
      </c>
      <c r="G677" s="193" t="str">
        <f>IF('Observaciones-SMP'!G677="","",'Observaciones-SMP'!G677)</f>
        <v/>
      </c>
      <c r="H677" s="193" t="str">
        <f>IF('Observaciones-SMP'!H677="","",'Observaciones-SMP'!H677)</f>
        <v/>
      </c>
      <c r="I677" s="193" t="str">
        <f>IF('Observaciones-SMP'!I677="","",'Observaciones-SMP'!I677)</f>
        <v/>
      </c>
      <c r="J677" s="193" t="str">
        <f>IF('Observaciones-SMP'!J677="","",'Observaciones-SMP'!J677)</f>
        <v/>
      </c>
      <c r="K677" s="193" t="str">
        <f>IF('Observaciones-SMP'!K677="","",'Observaciones-SMP'!K677)</f>
        <v/>
      </c>
      <c r="L677" s="193" t="str">
        <f>IF('Observaciones-SMP'!L677="","",'Observaciones-SMP'!L677)</f>
        <v/>
      </c>
      <c r="M677" s="193" t="str">
        <f>IF('Observaciones-SMP'!M677="","",'Observaciones-SMP'!M677)</f>
        <v/>
      </c>
      <c r="N677" s="193" t="str">
        <f>IF('Observaciones-SMP'!N677="","",'Observaciones-SMP'!N677)</f>
        <v/>
      </c>
      <c r="O677" s="193" t="str">
        <f>IF('Observaciones-SMP'!O677="","",'Observaciones-SMP'!O677)</f>
        <v/>
      </c>
      <c r="P677" s="193" t="str">
        <f>IF('Observaciones-SMP'!P677="","",'Observaciones-SMP'!P677)</f>
        <v/>
      </c>
      <c r="Q677" s="257" t="str">
        <f>IF('Observaciones-SMP'!S677="","",'Observaciones-SMP'!S677)</f>
        <v/>
      </c>
      <c r="R677" s="193" t="str">
        <f>IF('Observaciones-SMP'!T677="","",'Observaciones-SMP'!T677)</f>
        <v/>
      </c>
      <c r="S677" s="193" t="str">
        <f>""</f>
        <v/>
      </c>
      <c r="T677" s="193" t="str">
        <f>""</f>
        <v/>
      </c>
      <c r="U677" s="193" t="str">
        <f t="shared" si="40"/>
        <v/>
      </c>
      <c r="V677" s="193" t="str">
        <f>""</f>
        <v/>
      </c>
      <c r="W677" s="193" t="str">
        <f>""</f>
        <v/>
      </c>
      <c r="X677" s="258" t="str">
        <f t="shared" si="41"/>
        <v/>
      </c>
      <c r="Y677" s="258" t="str">
        <f t="shared" si="42"/>
        <v/>
      </c>
      <c r="Z677" s="193" t="str">
        <f>IF(A677="","",IF(COUNTIF('Observaciones-SMP'!$A$2:$A$1001,A677)&gt;1,1,0))</f>
        <v/>
      </c>
      <c r="AA677" s="193" t="str">
        <f t="shared" si="43"/>
        <v/>
      </c>
    </row>
    <row r="678" spans="1:27" ht="13.5" customHeight="1" x14ac:dyDescent="0.3">
      <c r="A678" s="193" t="str">
        <f>IF('Observaciones-SMP'!A678="","",'Observaciones-SMP'!A678)</f>
        <v/>
      </c>
      <c r="B678" s="257" t="str">
        <f>IF('Observaciones-SMP'!B678="","",'Observaciones-SMP'!B678)</f>
        <v/>
      </c>
      <c r="C678" s="193" t="str">
        <f>IF('Observaciones-SMP'!C678="","",'Observaciones-SMP'!C678)</f>
        <v/>
      </c>
      <c r="D678" s="193" t="str">
        <f>IF('Observaciones-SMP'!D678="","",'Observaciones-SMP'!D678)</f>
        <v/>
      </c>
      <c r="E678" s="193" t="str">
        <f>IF('Observaciones-SMP'!E678="","",'Observaciones-SMP'!E678)</f>
        <v/>
      </c>
      <c r="F678" s="193" t="str">
        <f>IF('Observaciones-SMP'!F678="","",'Observaciones-SMP'!F678)</f>
        <v/>
      </c>
      <c r="G678" s="193" t="str">
        <f>IF('Observaciones-SMP'!G678="","",'Observaciones-SMP'!G678)</f>
        <v/>
      </c>
      <c r="H678" s="193" t="str">
        <f>IF('Observaciones-SMP'!H678="","",'Observaciones-SMP'!H678)</f>
        <v/>
      </c>
      <c r="I678" s="193" t="str">
        <f>IF('Observaciones-SMP'!I678="","",'Observaciones-SMP'!I678)</f>
        <v/>
      </c>
      <c r="J678" s="193" t="str">
        <f>IF('Observaciones-SMP'!J678="","",'Observaciones-SMP'!J678)</f>
        <v/>
      </c>
      <c r="K678" s="193" t="str">
        <f>IF('Observaciones-SMP'!K678="","",'Observaciones-SMP'!K678)</f>
        <v/>
      </c>
      <c r="L678" s="193" t="str">
        <f>IF('Observaciones-SMP'!L678="","",'Observaciones-SMP'!L678)</f>
        <v/>
      </c>
      <c r="M678" s="193" t="str">
        <f>IF('Observaciones-SMP'!M678="","",'Observaciones-SMP'!M678)</f>
        <v/>
      </c>
      <c r="N678" s="193" t="str">
        <f>IF('Observaciones-SMP'!N678="","",'Observaciones-SMP'!N678)</f>
        <v/>
      </c>
      <c r="O678" s="193" t="str">
        <f>IF('Observaciones-SMP'!O678="","",'Observaciones-SMP'!O678)</f>
        <v/>
      </c>
      <c r="P678" s="193" t="str">
        <f>IF('Observaciones-SMP'!P678="","",'Observaciones-SMP'!P678)</f>
        <v/>
      </c>
      <c r="Q678" s="257" t="str">
        <f>IF('Observaciones-SMP'!S678="","",'Observaciones-SMP'!S678)</f>
        <v/>
      </c>
      <c r="R678" s="193" t="str">
        <f>IF('Observaciones-SMP'!T678="","",'Observaciones-SMP'!T678)</f>
        <v/>
      </c>
      <c r="S678" s="193" t="str">
        <f>""</f>
        <v/>
      </c>
      <c r="T678" s="193" t="str">
        <f>""</f>
        <v/>
      </c>
      <c r="U678" s="193" t="str">
        <f t="shared" si="40"/>
        <v/>
      </c>
      <c r="V678" s="193" t="str">
        <f>""</f>
        <v/>
      </c>
      <c r="W678" s="193" t="str">
        <f>""</f>
        <v/>
      </c>
      <c r="X678" s="258" t="str">
        <f t="shared" si="41"/>
        <v/>
      </c>
      <c r="Y678" s="258" t="str">
        <f t="shared" si="42"/>
        <v/>
      </c>
      <c r="Z678" s="193" t="str">
        <f>IF(A678="","",IF(COUNTIF('Observaciones-SMP'!$A$2:$A$1001,A678)&gt;1,1,0))</f>
        <v/>
      </c>
      <c r="AA678" s="193" t="str">
        <f t="shared" si="43"/>
        <v/>
      </c>
    </row>
    <row r="679" spans="1:27" ht="13.5" customHeight="1" x14ac:dyDescent="0.3">
      <c r="A679" s="193" t="str">
        <f>IF('Observaciones-SMP'!A679="","",'Observaciones-SMP'!A679)</f>
        <v/>
      </c>
      <c r="B679" s="257" t="str">
        <f>IF('Observaciones-SMP'!B679="","",'Observaciones-SMP'!B679)</f>
        <v/>
      </c>
      <c r="C679" s="193" t="str">
        <f>IF('Observaciones-SMP'!C679="","",'Observaciones-SMP'!C679)</f>
        <v/>
      </c>
      <c r="D679" s="193" t="str">
        <f>IF('Observaciones-SMP'!D679="","",'Observaciones-SMP'!D679)</f>
        <v/>
      </c>
      <c r="E679" s="193" t="str">
        <f>IF('Observaciones-SMP'!E679="","",'Observaciones-SMP'!E679)</f>
        <v/>
      </c>
      <c r="F679" s="193" t="str">
        <f>IF('Observaciones-SMP'!F679="","",'Observaciones-SMP'!F679)</f>
        <v/>
      </c>
      <c r="G679" s="193" t="str">
        <f>IF('Observaciones-SMP'!G679="","",'Observaciones-SMP'!G679)</f>
        <v/>
      </c>
      <c r="H679" s="193" t="str">
        <f>IF('Observaciones-SMP'!H679="","",'Observaciones-SMP'!H679)</f>
        <v/>
      </c>
      <c r="I679" s="193" t="str">
        <f>IF('Observaciones-SMP'!I679="","",'Observaciones-SMP'!I679)</f>
        <v/>
      </c>
      <c r="J679" s="193" t="str">
        <f>IF('Observaciones-SMP'!J679="","",'Observaciones-SMP'!J679)</f>
        <v/>
      </c>
      <c r="K679" s="193" t="str">
        <f>IF('Observaciones-SMP'!K679="","",'Observaciones-SMP'!K679)</f>
        <v/>
      </c>
      <c r="L679" s="193" t="str">
        <f>IF('Observaciones-SMP'!L679="","",'Observaciones-SMP'!L679)</f>
        <v/>
      </c>
      <c r="M679" s="193" t="str">
        <f>IF('Observaciones-SMP'!M679="","",'Observaciones-SMP'!M679)</f>
        <v/>
      </c>
      <c r="N679" s="193" t="str">
        <f>IF('Observaciones-SMP'!N679="","",'Observaciones-SMP'!N679)</f>
        <v/>
      </c>
      <c r="O679" s="193" t="str">
        <f>IF('Observaciones-SMP'!O679="","",'Observaciones-SMP'!O679)</f>
        <v/>
      </c>
      <c r="P679" s="193" t="str">
        <f>IF('Observaciones-SMP'!P679="","",'Observaciones-SMP'!P679)</f>
        <v/>
      </c>
      <c r="Q679" s="257" t="str">
        <f>IF('Observaciones-SMP'!S679="","",'Observaciones-SMP'!S679)</f>
        <v/>
      </c>
      <c r="R679" s="193" t="str">
        <f>IF('Observaciones-SMP'!T679="","",'Observaciones-SMP'!T679)</f>
        <v/>
      </c>
      <c r="S679" s="193" t="str">
        <f>""</f>
        <v/>
      </c>
      <c r="T679" s="193" t="str">
        <f>""</f>
        <v/>
      </c>
      <c r="U679" s="193" t="str">
        <f t="shared" si="40"/>
        <v/>
      </c>
      <c r="V679" s="193" t="str">
        <f>""</f>
        <v/>
      </c>
      <c r="W679" s="193" t="str">
        <f>""</f>
        <v/>
      </c>
      <c r="X679" s="258" t="str">
        <f t="shared" si="41"/>
        <v/>
      </c>
      <c r="Y679" s="258" t="str">
        <f t="shared" si="42"/>
        <v/>
      </c>
      <c r="Z679" s="193" t="str">
        <f>IF(A679="","",IF(COUNTIF('Observaciones-SMP'!$A$2:$A$1001,A679)&gt;1,1,0))</f>
        <v/>
      </c>
      <c r="AA679" s="193" t="str">
        <f t="shared" si="43"/>
        <v/>
      </c>
    </row>
    <row r="680" spans="1:27" ht="13.5" customHeight="1" x14ac:dyDescent="0.3">
      <c r="A680" s="193" t="str">
        <f>IF('Observaciones-SMP'!A680="","",'Observaciones-SMP'!A680)</f>
        <v/>
      </c>
      <c r="B680" s="257" t="str">
        <f>IF('Observaciones-SMP'!B680="","",'Observaciones-SMP'!B680)</f>
        <v/>
      </c>
      <c r="C680" s="193" t="str">
        <f>IF('Observaciones-SMP'!C680="","",'Observaciones-SMP'!C680)</f>
        <v/>
      </c>
      <c r="D680" s="193" t="str">
        <f>IF('Observaciones-SMP'!D680="","",'Observaciones-SMP'!D680)</f>
        <v/>
      </c>
      <c r="E680" s="193" t="str">
        <f>IF('Observaciones-SMP'!E680="","",'Observaciones-SMP'!E680)</f>
        <v/>
      </c>
      <c r="F680" s="193" t="str">
        <f>IF('Observaciones-SMP'!F680="","",'Observaciones-SMP'!F680)</f>
        <v/>
      </c>
      <c r="G680" s="193" t="str">
        <f>IF('Observaciones-SMP'!G680="","",'Observaciones-SMP'!G680)</f>
        <v/>
      </c>
      <c r="H680" s="193" t="str">
        <f>IF('Observaciones-SMP'!H680="","",'Observaciones-SMP'!H680)</f>
        <v/>
      </c>
      <c r="I680" s="193" t="str">
        <f>IF('Observaciones-SMP'!I680="","",'Observaciones-SMP'!I680)</f>
        <v/>
      </c>
      <c r="J680" s="193" t="str">
        <f>IF('Observaciones-SMP'!J680="","",'Observaciones-SMP'!J680)</f>
        <v/>
      </c>
      <c r="K680" s="193" t="str">
        <f>IF('Observaciones-SMP'!K680="","",'Observaciones-SMP'!K680)</f>
        <v/>
      </c>
      <c r="L680" s="193" t="str">
        <f>IF('Observaciones-SMP'!L680="","",'Observaciones-SMP'!L680)</f>
        <v/>
      </c>
      <c r="M680" s="193" t="str">
        <f>IF('Observaciones-SMP'!M680="","",'Observaciones-SMP'!M680)</f>
        <v/>
      </c>
      <c r="N680" s="193" t="str">
        <f>IF('Observaciones-SMP'!N680="","",'Observaciones-SMP'!N680)</f>
        <v/>
      </c>
      <c r="O680" s="193" t="str">
        <f>IF('Observaciones-SMP'!O680="","",'Observaciones-SMP'!O680)</f>
        <v/>
      </c>
      <c r="P680" s="193" t="str">
        <f>IF('Observaciones-SMP'!P680="","",'Observaciones-SMP'!P680)</f>
        <v/>
      </c>
      <c r="Q680" s="257" t="str">
        <f>IF('Observaciones-SMP'!S680="","",'Observaciones-SMP'!S680)</f>
        <v/>
      </c>
      <c r="R680" s="193" t="str">
        <f>IF('Observaciones-SMP'!T680="","",'Observaciones-SMP'!T680)</f>
        <v/>
      </c>
      <c r="S680" s="193" t="str">
        <f>""</f>
        <v/>
      </c>
      <c r="T680" s="193" t="str">
        <f>""</f>
        <v/>
      </c>
      <c r="U680" s="193" t="str">
        <f t="shared" si="40"/>
        <v/>
      </c>
      <c r="V680" s="193" t="str">
        <f>""</f>
        <v/>
      </c>
      <c r="W680" s="193" t="str">
        <f>""</f>
        <v/>
      </c>
      <c r="X680" s="258" t="str">
        <f t="shared" si="41"/>
        <v/>
      </c>
      <c r="Y680" s="258" t="str">
        <f t="shared" si="42"/>
        <v/>
      </c>
      <c r="Z680" s="193" t="str">
        <f>IF(A680="","",IF(COUNTIF('Observaciones-SMP'!$A$2:$A$1001,A680)&gt;1,1,0))</f>
        <v/>
      </c>
      <c r="AA680" s="193" t="str">
        <f t="shared" si="43"/>
        <v/>
      </c>
    </row>
    <row r="681" spans="1:27" ht="13.5" customHeight="1" x14ac:dyDescent="0.3">
      <c r="A681" s="193" t="str">
        <f>IF('Observaciones-SMP'!A681="","",'Observaciones-SMP'!A681)</f>
        <v/>
      </c>
      <c r="B681" s="257" t="str">
        <f>IF('Observaciones-SMP'!B681="","",'Observaciones-SMP'!B681)</f>
        <v/>
      </c>
      <c r="C681" s="193" t="str">
        <f>IF('Observaciones-SMP'!C681="","",'Observaciones-SMP'!C681)</f>
        <v/>
      </c>
      <c r="D681" s="193" t="str">
        <f>IF('Observaciones-SMP'!D681="","",'Observaciones-SMP'!D681)</f>
        <v/>
      </c>
      <c r="E681" s="193" t="str">
        <f>IF('Observaciones-SMP'!E681="","",'Observaciones-SMP'!E681)</f>
        <v/>
      </c>
      <c r="F681" s="193" t="str">
        <f>IF('Observaciones-SMP'!F681="","",'Observaciones-SMP'!F681)</f>
        <v/>
      </c>
      <c r="G681" s="193" t="str">
        <f>IF('Observaciones-SMP'!G681="","",'Observaciones-SMP'!G681)</f>
        <v/>
      </c>
      <c r="H681" s="193" t="str">
        <f>IF('Observaciones-SMP'!H681="","",'Observaciones-SMP'!H681)</f>
        <v/>
      </c>
      <c r="I681" s="193" t="str">
        <f>IF('Observaciones-SMP'!I681="","",'Observaciones-SMP'!I681)</f>
        <v/>
      </c>
      <c r="J681" s="193" t="str">
        <f>IF('Observaciones-SMP'!J681="","",'Observaciones-SMP'!J681)</f>
        <v/>
      </c>
      <c r="K681" s="193" t="str">
        <f>IF('Observaciones-SMP'!K681="","",'Observaciones-SMP'!K681)</f>
        <v/>
      </c>
      <c r="L681" s="193" t="str">
        <f>IF('Observaciones-SMP'!L681="","",'Observaciones-SMP'!L681)</f>
        <v/>
      </c>
      <c r="M681" s="193" t="str">
        <f>IF('Observaciones-SMP'!M681="","",'Observaciones-SMP'!M681)</f>
        <v/>
      </c>
      <c r="N681" s="193" t="str">
        <f>IF('Observaciones-SMP'!N681="","",'Observaciones-SMP'!N681)</f>
        <v/>
      </c>
      <c r="O681" s="193" t="str">
        <f>IF('Observaciones-SMP'!O681="","",'Observaciones-SMP'!O681)</f>
        <v/>
      </c>
      <c r="P681" s="193" t="str">
        <f>IF('Observaciones-SMP'!P681="","",'Observaciones-SMP'!P681)</f>
        <v/>
      </c>
      <c r="Q681" s="257" t="str">
        <f>IF('Observaciones-SMP'!S681="","",'Observaciones-SMP'!S681)</f>
        <v/>
      </c>
      <c r="R681" s="193" t="str">
        <f>IF('Observaciones-SMP'!T681="","",'Observaciones-SMP'!T681)</f>
        <v/>
      </c>
      <c r="S681" s="193" t="str">
        <f>""</f>
        <v/>
      </c>
      <c r="T681" s="193" t="str">
        <f>""</f>
        <v/>
      </c>
      <c r="U681" s="193" t="str">
        <f t="shared" si="40"/>
        <v/>
      </c>
      <c r="V681" s="193" t="str">
        <f>""</f>
        <v/>
      </c>
      <c r="W681" s="193" t="str">
        <f>""</f>
        <v/>
      </c>
      <c r="X681" s="258" t="str">
        <f t="shared" si="41"/>
        <v/>
      </c>
      <c r="Y681" s="258" t="str">
        <f t="shared" si="42"/>
        <v/>
      </c>
      <c r="Z681" s="193" t="str">
        <f>IF(A681="","",IF(COUNTIF('Observaciones-SMP'!$A$2:$A$1001,A681)&gt;1,1,0))</f>
        <v/>
      </c>
      <c r="AA681" s="193" t="str">
        <f t="shared" si="43"/>
        <v/>
      </c>
    </row>
    <row r="682" spans="1:27" ht="13.5" customHeight="1" x14ac:dyDescent="0.3">
      <c r="A682" s="193" t="str">
        <f>IF('Observaciones-SMP'!A682="","",'Observaciones-SMP'!A682)</f>
        <v/>
      </c>
      <c r="B682" s="257" t="str">
        <f>IF('Observaciones-SMP'!B682="","",'Observaciones-SMP'!B682)</f>
        <v/>
      </c>
      <c r="C682" s="193" t="str">
        <f>IF('Observaciones-SMP'!C682="","",'Observaciones-SMP'!C682)</f>
        <v/>
      </c>
      <c r="D682" s="193" t="str">
        <f>IF('Observaciones-SMP'!D682="","",'Observaciones-SMP'!D682)</f>
        <v/>
      </c>
      <c r="E682" s="193" t="str">
        <f>IF('Observaciones-SMP'!E682="","",'Observaciones-SMP'!E682)</f>
        <v/>
      </c>
      <c r="F682" s="193" t="str">
        <f>IF('Observaciones-SMP'!F682="","",'Observaciones-SMP'!F682)</f>
        <v/>
      </c>
      <c r="G682" s="193" t="str">
        <f>IF('Observaciones-SMP'!G682="","",'Observaciones-SMP'!G682)</f>
        <v/>
      </c>
      <c r="H682" s="193" t="str">
        <f>IF('Observaciones-SMP'!H682="","",'Observaciones-SMP'!H682)</f>
        <v/>
      </c>
      <c r="I682" s="193" t="str">
        <f>IF('Observaciones-SMP'!I682="","",'Observaciones-SMP'!I682)</f>
        <v/>
      </c>
      <c r="J682" s="193" t="str">
        <f>IF('Observaciones-SMP'!J682="","",'Observaciones-SMP'!J682)</f>
        <v/>
      </c>
      <c r="K682" s="193" t="str">
        <f>IF('Observaciones-SMP'!K682="","",'Observaciones-SMP'!K682)</f>
        <v/>
      </c>
      <c r="L682" s="193" t="str">
        <f>IF('Observaciones-SMP'!L682="","",'Observaciones-SMP'!L682)</f>
        <v/>
      </c>
      <c r="M682" s="193" t="str">
        <f>IF('Observaciones-SMP'!M682="","",'Observaciones-SMP'!M682)</f>
        <v/>
      </c>
      <c r="N682" s="193" t="str">
        <f>IF('Observaciones-SMP'!N682="","",'Observaciones-SMP'!N682)</f>
        <v/>
      </c>
      <c r="O682" s="193" t="str">
        <f>IF('Observaciones-SMP'!O682="","",'Observaciones-SMP'!O682)</f>
        <v/>
      </c>
      <c r="P682" s="193" t="str">
        <f>IF('Observaciones-SMP'!P682="","",'Observaciones-SMP'!P682)</f>
        <v/>
      </c>
      <c r="Q682" s="257" t="str">
        <f>IF('Observaciones-SMP'!S682="","",'Observaciones-SMP'!S682)</f>
        <v/>
      </c>
      <c r="R682" s="193" t="str">
        <f>IF('Observaciones-SMP'!T682="","",'Observaciones-SMP'!T682)</f>
        <v/>
      </c>
      <c r="S682" s="193" t="str">
        <f>""</f>
        <v/>
      </c>
      <c r="T682" s="193" t="str">
        <f>""</f>
        <v/>
      </c>
      <c r="U682" s="193" t="str">
        <f t="shared" si="40"/>
        <v/>
      </c>
      <c r="V682" s="193" t="str">
        <f>""</f>
        <v/>
      </c>
      <c r="W682" s="193" t="str">
        <f>""</f>
        <v/>
      </c>
      <c r="X682" s="258" t="str">
        <f t="shared" si="41"/>
        <v/>
      </c>
      <c r="Y682" s="258" t="str">
        <f t="shared" si="42"/>
        <v/>
      </c>
      <c r="Z682" s="193" t="str">
        <f>IF(A682="","",IF(COUNTIF('Observaciones-SMP'!$A$2:$A$1001,A682)&gt;1,1,0))</f>
        <v/>
      </c>
      <c r="AA682" s="193" t="str">
        <f t="shared" si="43"/>
        <v/>
      </c>
    </row>
    <row r="683" spans="1:27" ht="13.5" customHeight="1" x14ac:dyDescent="0.3">
      <c r="A683" s="193" t="str">
        <f>IF('Observaciones-SMP'!A683="","",'Observaciones-SMP'!A683)</f>
        <v/>
      </c>
      <c r="B683" s="257" t="str">
        <f>IF('Observaciones-SMP'!B683="","",'Observaciones-SMP'!B683)</f>
        <v/>
      </c>
      <c r="C683" s="193" t="str">
        <f>IF('Observaciones-SMP'!C683="","",'Observaciones-SMP'!C683)</f>
        <v/>
      </c>
      <c r="D683" s="193" t="str">
        <f>IF('Observaciones-SMP'!D683="","",'Observaciones-SMP'!D683)</f>
        <v/>
      </c>
      <c r="E683" s="193" t="str">
        <f>IF('Observaciones-SMP'!E683="","",'Observaciones-SMP'!E683)</f>
        <v/>
      </c>
      <c r="F683" s="193" t="str">
        <f>IF('Observaciones-SMP'!F683="","",'Observaciones-SMP'!F683)</f>
        <v/>
      </c>
      <c r="G683" s="193" t="str">
        <f>IF('Observaciones-SMP'!G683="","",'Observaciones-SMP'!G683)</f>
        <v/>
      </c>
      <c r="H683" s="193" t="str">
        <f>IF('Observaciones-SMP'!H683="","",'Observaciones-SMP'!H683)</f>
        <v/>
      </c>
      <c r="I683" s="193" t="str">
        <f>IF('Observaciones-SMP'!I683="","",'Observaciones-SMP'!I683)</f>
        <v/>
      </c>
      <c r="J683" s="193" t="str">
        <f>IF('Observaciones-SMP'!J683="","",'Observaciones-SMP'!J683)</f>
        <v/>
      </c>
      <c r="K683" s="193" t="str">
        <f>IF('Observaciones-SMP'!K683="","",'Observaciones-SMP'!K683)</f>
        <v/>
      </c>
      <c r="L683" s="193" t="str">
        <f>IF('Observaciones-SMP'!L683="","",'Observaciones-SMP'!L683)</f>
        <v/>
      </c>
      <c r="M683" s="193" t="str">
        <f>IF('Observaciones-SMP'!M683="","",'Observaciones-SMP'!M683)</f>
        <v/>
      </c>
      <c r="N683" s="193" t="str">
        <f>IF('Observaciones-SMP'!N683="","",'Observaciones-SMP'!N683)</f>
        <v/>
      </c>
      <c r="O683" s="193" t="str">
        <f>IF('Observaciones-SMP'!O683="","",'Observaciones-SMP'!O683)</f>
        <v/>
      </c>
      <c r="P683" s="193" t="str">
        <f>IF('Observaciones-SMP'!P683="","",'Observaciones-SMP'!P683)</f>
        <v/>
      </c>
      <c r="Q683" s="257" t="str">
        <f>IF('Observaciones-SMP'!S683="","",'Observaciones-SMP'!S683)</f>
        <v/>
      </c>
      <c r="R683" s="193" t="str">
        <f>IF('Observaciones-SMP'!T683="","",'Observaciones-SMP'!T683)</f>
        <v/>
      </c>
      <c r="S683" s="193" t="str">
        <f>""</f>
        <v/>
      </c>
      <c r="T683" s="193" t="str">
        <f>""</f>
        <v/>
      </c>
      <c r="U683" s="193" t="str">
        <f t="shared" si="40"/>
        <v/>
      </c>
      <c r="V683" s="193" t="str">
        <f>""</f>
        <v/>
      </c>
      <c r="W683" s="193" t="str">
        <f>""</f>
        <v/>
      </c>
      <c r="X683" s="258" t="str">
        <f t="shared" si="41"/>
        <v/>
      </c>
      <c r="Y683" s="258" t="str">
        <f t="shared" si="42"/>
        <v/>
      </c>
      <c r="Z683" s="193" t="str">
        <f>IF(A683="","",IF(COUNTIF('Observaciones-SMP'!$A$2:$A$1001,A683)&gt;1,1,0))</f>
        <v/>
      </c>
      <c r="AA683" s="193" t="str">
        <f t="shared" si="43"/>
        <v/>
      </c>
    </row>
    <row r="684" spans="1:27" ht="13.5" customHeight="1" x14ac:dyDescent="0.3">
      <c r="A684" s="193" t="str">
        <f>IF('Observaciones-SMP'!A684="","",'Observaciones-SMP'!A684)</f>
        <v/>
      </c>
      <c r="B684" s="257" t="str">
        <f>IF('Observaciones-SMP'!B684="","",'Observaciones-SMP'!B684)</f>
        <v/>
      </c>
      <c r="C684" s="193" t="str">
        <f>IF('Observaciones-SMP'!C684="","",'Observaciones-SMP'!C684)</f>
        <v/>
      </c>
      <c r="D684" s="193" t="str">
        <f>IF('Observaciones-SMP'!D684="","",'Observaciones-SMP'!D684)</f>
        <v/>
      </c>
      <c r="E684" s="193" t="str">
        <f>IF('Observaciones-SMP'!E684="","",'Observaciones-SMP'!E684)</f>
        <v/>
      </c>
      <c r="F684" s="193" t="str">
        <f>IF('Observaciones-SMP'!F684="","",'Observaciones-SMP'!F684)</f>
        <v/>
      </c>
      <c r="G684" s="193" t="str">
        <f>IF('Observaciones-SMP'!G684="","",'Observaciones-SMP'!G684)</f>
        <v/>
      </c>
      <c r="H684" s="193" t="str">
        <f>IF('Observaciones-SMP'!H684="","",'Observaciones-SMP'!H684)</f>
        <v/>
      </c>
      <c r="I684" s="193" t="str">
        <f>IF('Observaciones-SMP'!I684="","",'Observaciones-SMP'!I684)</f>
        <v/>
      </c>
      <c r="J684" s="193" t="str">
        <f>IF('Observaciones-SMP'!J684="","",'Observaciones-SMP'!J684)</f>
        <v/>
      </c>
      <c r="K684" s="193" t="str">
        <f>IF('Observaciones-SMP'!K684="","",'Observaciones-SMP'!K684)</f>
        <v/>
      </c>
      <c r="L684" s="193" t="str">
        <f>IF('Observaciones-SMP'!L684="","",'Observaciones-SMP'!L684)</f>
        <v/>
      </c>
      <c r="M684" s="193" t="str">
        <f>IF('Observaciones-SMP'!M684="","",'Observaciones-SMP'!M684)</f>
        <v/>
      </c>
      <c r="N684" s="193" t="str">
        <f>IF('Observaciones-SMP'!N684="","",'Observaciones-SMP'!N684)</f>
        <v/>
      </c>
      <c r="O684" s="193" t="str">
        <f>IF('Observaciones-SMP'!O684="","",'Observaciones-SMP'!O684)</f>
        <v/>
      </c>
      <c r="P684" s="193" t="str">
        <f>IF('Observaciones-SMP'!P684="","",'Observaciones-SMP'!P684)</f>
        <v/>
      </c>
      <c r="Q684" s="257" t="str">
        <f>IF('Observaciones-SMP'!S684="","",'Observaciones-SMP'!S684)</f>
        <v/>
      </c>
      <c r="R684" s="193" t="str">
        <f>IF('Observaciones-SMP'!T684="","",'Observaciones-SMP'!T684)</f>
        <v/>
      </c>
      <c r="S684" s="193" t="str">
        <f>""</f>
        <v/>
      </c>
      <c r="T684" s="193" t="str">
        <f>""</f>
        <v/>
      </c>
      <c r="U684" s="193" t="str">
        <f t="shared" si="40"/>
        <v/>
      </c>
      <c r="V684" s="193" t="str">
        <f>""</f>
        <v/>
      </c>
      <c r="W684" s="193" t="str">
        <f>""</f>
        <v/>
      </c>
      <c r="X684" s="258" t="str">
        <f t="shared" si="41"/>
        <v/>
      </c>
      <c r="Y684" s="258" t="str">
        <f t="shared" si="42"/>
        <v/>
      </c>
      <c r="Z684" s="193" t="str">
        <f>IF(A684="","",IF(COUNTIF('Observaciones-SMP'!$A$2:$A$1001,A684)&gt;1,1,0))</f>
        <v/>
      </c>
      <c r="AA684" s="193" t="str">
        <f t="shared" si="43"/>
        <v/>
      </c>
    </row>
    <row r="685" spans="1:27" ht="13.5" customHeight="1" x14ac:dyDescent="0.3">
      <c r="A685" s="193" t="str">
        <f>IF('Observaciones-SMP'!A685="","",'Observaciones-SMP'!A685)</f>
        <v/>
      </c>
      <c r="B685" s="257" t="str">
        <f>IF('Observaciones-SMP'!B685="","",'Observaciones-SMP'!B685)</f>
        <v/>
      </c>
      <c r="C685" s="193" t="str">
        <f>IF('Observaciones-SMP'!C685="","",'Observaciones-SMP'!C685)</f>
        <v/>
      </c>
      <c r="D685" s="193" t="str">
        <f>IF('Observaciones-SMP'!D685="","",'Observaciones-SMP'!D685)</f>
        <v/>
      </c>
      <c r="E685" s="193" t="str">
        <f>IF('Observaciones-SMP'!E685="","",'Observaciones-SMP'!E685)</f>
        <v/>
      </c>
      <c r="F685" s="193" t="str">
        <f>IF('Observaciones-SMP'!F685="","",'Observaciones-SMP'!F685)</f>
        <v/>
      </c>
      <c r="G685" s="193" t="str">
        <f>IF('Observaciones-SMP'!G685="","",'Observaciones-SMP'!G685)</f>
        <v/>
      </c>
      <c r="H685" s="193" t="str">
        <f>IF('Observaciones-SMP'!H685="","",'Observaciones-SMP'!H685)</f>
        <v/>
      </c>
      <c r="I685" s="193" t="str">
        <f>IF('Observaciones-SMP'!I685="","",'Observaciones-SMP'!I685)</f>
        <v/>
      </c>
      <c r="J685" s="193" t="str">
        <f>IF('Observaciones-SMP'!J685="","",'Observaciones-SMP'!J685)</f>
        <v/>
      </c>
      <c r="K685" s="193" t="str">
        <f>IF('Observaciones-SMP'!K685="","",'Observaciones-SMP'!K685)</f>
        <v/>
      </c>
      <c r="L685" s="193" t="str">
        <f>IF('Observaciones-SMP'!L685="","",'Observaciones-SMP'!L685)</f>
        <v/>
      </c>
      <c r="M685" s="193" t="str">
        <f>IF('Observaciones-SMP'!M685="","",'Observaciones-SMP'!M685)</f>
        <v/>
      </c>
      <c r="N685" s="193" t="str">
        <f>IF('Observaciones-SMP'!N685="","",'Observaciones-SMP'!N685)</f>
        <v/>
      </c>
      <c r="O685" s="193" t="str">
        <f>IF('Observaciones-SMP'!O685="","",'Observaciones-SMP'!O685)</f>
        <v/>
      </c>
      <c r="P685" s="193" t="str">
        <f>IF('Observaciones-SMP'!P685="","",'Observaciones-SMP'!P685)</f>
        <v/>
      </c>
      <c r="Q685" s="257" t="str">
        <f>IF('Observaciones-SMP'!S685="","",'Observaciones-SMP'!S685)</f>
        <v/>
      </c>
      <c r="R685" s="193" t="str">
        <f>IF('Observaciones-SMP'!T685="","",'Observaciones-SMP'!T685)</f>
        <v/>
      </c>
      <c r="S685" s="193" t="str">
        <f>""</f>
        <v/>
      </c>
      <c r="T685" s="193" t="str">
        <f>""</f>
        <v/>
      </c>
      <c r="U685" s="193" t="str">
        <f t="shared" si="40"/>
        <v/>
      </c>
      <c r="V685" s="193" t="str">
        <f>""</f>
        <v/>
      </c>
      <c r="W685" s="193" t="str">
        <f>""</f>
        <v/>
      </c>
      <c r="X685" s="258" t="str">
        <f t="shared" si="41"/>
        <v/>
      </c>
      <c r="Y685" s="258" t="str">
        <f t="shared" si="42"/>
        <v/>
      </c>
      <c r="Z685" s="193" t="str">
        <f>IF(A685="","",IF(COUNTIF('Observaciones-SMP'!$A$2:$A$1001,A685)&gt;1,1,0))</f>
        <v/>
      </c>
      <c r="AA685" s="193" t="str">
        <f t="shared" si="43"/>
        <v/>
      </c>
    </row>
    <row r="686" spans="1:27" ht="13.5" customHeight="1" x14ac:dyDescent="0.3">
      <c r="A686" s="193" t="str">
        <f>IF('Observaciones-SMP'!A686="","",'Observaciones-SMP'!A686)</f>
        <v/>
      </c>
      <c r="B686" s="257" t="str">
        <f>IF('Observaciones-SMP'!B686="","",'Observaciones-SMP'!B686)</f>
        <v/>
      </c>
      <c r="C686" s="193" t="str">
        <f>IF('Observaciones-SMP'!C686="","",'Observaciones-SMP'!C686)</f>
        <v/>
      </c>
      <c r="D686" s="193" t="str">
        <f>IF('Observaciones-SMP'!D686="","",'Observaciones-SMP'!D686)</f>
        <v/>
      </c>
      <c r="E686" s="193" t="str">
        <f>IF('Observaciones-SMP'!E686="","",'Observaciones-SMP'!E686)</f>
        <v/>
      </c>
      <c r="F686" s="193" t="str">
        <f>IF('Observaciones-SMP'!F686="","",'Observaciones-SMP'!F686)</f>
        <v/>
      </c>
      <c r="G686" s="193" t="str">
        <f>IF('Observaciones-SMP'!G686="","",'Observaciones-SMP'!G686)</f>
        <v/>
      </c>
      <c r="H686" s="193" t="str">
        <f>IF('Observaciones-SMP'!H686="","",'Observaciones-SMP'!H686)</f>
        <v/>
      </c>
      <c r="I686" s="193" t="str">
        <f>IF('Observaciones-SMP'!I686="","",'Observaciones-SMP'!I686)</f>
        <v/>
      </c>
      <c r="J686" s="193" t="str">
        <f>IF('Observaciones-SMP'!J686="","",'Observaciones-SMP'!J686)</f>
        <v/>
      </c>
      <c r="K686" s="193" t="str">
        <f>IF('Observaciones-SMP'!K686="","",'Observaciones-SMP'!K686)</f>
        <v/>
      </c>
      <c r="L686" s="193" t="str">
        <f>IF('Observaciones-SMP'!L686="","",'Observaciones-SMP'!L686)</f>
        <v/>
      </c>
      <c r="M686" s="193" t="str">
        <f>IF('Observaciones-SMP'!M686="","",'Observaciones-SMP'!M686)</f>
        <v/>
      </c>
      <c r="N686" s="193" t="str">
        <f>IF('Observaciones-SMP'!N686="","",'Observaciones-SMP'!N686)</f>
        <v/>
      </c>
      <c r="O686" s="193" t="str">
        <f>IF('Observaciones-SMP'!O686="","",'Observaciones-SMP'!O686)</f>
        <v/>
      </c>
      <c r="P686" s="193" t="str">
        <f>IF('Observaciones-SMP'!P686="","",'Observaciones-SMP'!P686)</f>
        <v/>
      </c>
      <c r="Q686" s="257" t="str">
        <f>IF('Observaciones-SMP'!S686="","",'Observaciones-SMP'!S686)</f>
        <v/>
      </c>
      <c r="R686" s="193" t="str">
        <f>IF('Observaciones-SMP'!T686="","",'Observaciones-SMP'!T686)</f>
        <v/>
      </c>
      <c r="S686" s="193" t="str">
        <f>""</f>
        <v/>
      </c>
      <c r="T686" s="193" t="str">
        <f>""</f>
        <v/>
      </c>
      <c r="U686" s="193" t="str">
        <f t="shared" si="40"/>
        <v/>
      </c>
      <c r="V686" s="193" t="str">
        <f>""</f>
        <v/>
      </c>
      <c r="W686" s="193" t="str">
        <f>""</f>
        <v/>
      </c>
      <c r="X686" s="258" t="str">
        <f t="shared" si="41"/>
        <v/>
      </c>
      <c r="Y686" s="258" t="str">
        <f t="shared" si="42"/>
        <v/>
      </c>
      <c r="Z686" s="193" t="str">
        <f>IF(A686="","",IF(COUNTIF('Observaciones-SMP'!$A$2:$A$1001,A686)&gt;1,1,0))</f>
        <v/>
      </c>
      <c r="AA686" s="193" t="str">
        <f t="shared" si="43"/>
        <v/>
      </c>
    </row>
    <row r="687" spans="1:27" ht="13.5" customHeight="1" x14ac:dyDescent="0.3">
      <c r="A687" s="193" t="str">
        <f>IF('Observaciones-SMP'!A687="","",'Observaciones-SMP'!A687)</f>
        <v/>
      </c>
      <c r="B687" s="257" t="str">
        <f>IF('Observaciones-SMP'!B687="","",'Observaciones-SMP'!B687)</f>
        <v/>
      </c>
      <c r="C687" s="193" t="str">
        <f>IF('Observaciones-SMP'!C687="","",'Observaciones-SMP'!C687)</f>
        <v/>
      </c>
      <c r="D687" s="193" t="str">
        <f>IF('Observaciones-SMP'!D687="","",'Observaciones-SMP'!D687)</f>
        <v/>
      </c>
      <c r="E687" s="193" t="str">
        <f>IF('Observaciones-SMP'!E687="","",'Observaciones-SMP'!E687)</f>
        <v/>
      </c>
      <c r="F687" s="193" t="str">
        <f>IF('Observaciones-SMP'!F687="","",'Observaciones-SMP'!F687)</f>
        <v/>
      </c>
      <c r="G687" s="193" t="str">
        <f>IF('Observaciones-SMP'!G687="","",'Observaciones-SMP'!G687)</f>
        <v/>
      </c>
      <c r="H687" s="193" t="str">
        <f>IF('Observaciones-SMP'!H687="","",'Observaciones-SMP'!H687)</f>
        <v/>
      </c>
      <c r="I687" s="193" t="str">
        <f>IF('Observaciones-SMP'!I687="","",'Observaciones-SMP'!I687)</f>
        <v/>
      </c>
      <c r="J687" s="193" t="str">
        <f>IF('Observaciones-SMP'!J687="","",'Observaciones-SMP'!J687)</f>
        <v/>
      </c>
      <c r="K687" s="193" t="str">
        <f>IF('Observaciones-SMP'!K687="","",'Observaciones-SMP'!K687)</f>
        <v/>
      </c>
      <c r="L687" s="193" t="str">
        <f>IF('Observaciones-SMP'!L687="","",'Observaciones-SMP'!L687)</f>
        <v/>
      </c>
      <c r="M687" s="193" t="str">
        <f>IF('Observaciones-SMP'!M687="","",'Observaciones-SMP'!M687)</f>
        <v/>
      </c>
      <c r="N687" s="193" t="str">
        <f>IF('Observaciones-SMP'!N687="","",'Observaciones-SMP'!N687)</f>
        <v/>
      </c>
      <c r="O687" s="193" t="str">
        <f>IF('Observaciones-SMP'!O687="","",'Observaciones-SMP'!O687)</f>
        <v/>
      </c>
      <c r="P687" s="193" t="str">
        <f>IF('Observaciones-SMP'!P687="","",'Observaciones-SMP'!P687)</f>
        <v/>
      </c>
      <c r="Q687" s="257" t="str">
        <f>IF('Observaciones-SMP'!S687="","",'Observaciones-SMP'!S687)</f>
        <v/>
      </c>
      <c r="R687" s="193" t="str">
        <f>IF('Observaciones-SMP'!T687="","",'Observaciones-SMP'!T687)</f>
        <v/>
      </c>
      <c r="S687" s="193" t="str">
        <f>""</f>
        <v/>
      </c>
      <c r="T687" s="193" t="str">
        <f>""</f>
        <v/>
      </c>
      <c r="U687" s="193" t="str">
        <f t="shared" si="40"/>
        <v/>
      </c>
      <c r="V687" s="193" t="str">
        <f>""</f>
        <v/>
      </c>
      <c r="W687" s="193" t="str">
        <f>""</f>
        <v/>
      </c>
      <c r="X687" s="258" t="str">
        <f t="shared" si="41"/>
        <v/>
      </c>
      <c r="Y687" s="258" t="str">
        <f t="shared" si="42"/>
        <v/>
      </c>
      <c r="Z687" s="193" t="str">
        <f>IF(A687="","",IF(COUNTIF('Observaciones-SMP'!$A$2:$A$1001,A687)&gt;1,1,0))</f>
        <v/>
      </c>
      <c r="AA687" s="193" t="str">
        <f t="shared" si="43"/>
        <v/>
      </c>
    </row>
    <row r="688" spans="1:27" ht="13.5" customHeight="1" x14ac:dyDescent="0.3">
      <c r="A688" s="193" t="str">
        <f>IF('Observaciones-SMP'!A688="","",'Observaciones-SMP'!A688)</f>
        <v/>
      </c>
      <c r="B688" s="257" t="str">
        <f>IF('Observaciones-SMP'!B688="","",'Observaciones-SMP'!B688)</f>
        <v/>
      </c>
      <c r="C688" s="193" t="str">
        <f>IF('Observaciones-SMP'!C688="","",'Observaciones-SMP'!C688)</f>
        <v/>
      </c>
      <c r="D688" s="193" t="str">
        <f>IF('Observaciones-SMP'!D688="","",'Observaciones-SMP'!D688)</f>
        <v/>
      </c>
      <c r="E688" s="193" t="str">
        <f>IF('Observaciones-SMP'!E688="","",'Observaciones-SMP'!E688)</f>
        <v/>
      </c>
      <c r="F688" s="193" t="str">
        <f>IF('Observaciones-SMP'!F688="","",'Observaciones-SMP'!F688)</f>
        <v/>
      </c>
      <c r="G688" s="193" t="str">
        <f>IF('Observaciones-SMP'!G688="","",'Observaciones-SMP'!G688)</f>
        <v/>
      </c>
      <c r="H688" s="193" t="str">
        <f>IF('Observaciones-SMP'!H688="","",'Observaciones-SMP'!H688)</f>
        <v/>
      </c>
      <c r="I688" s="193" t="str">
        <f>IF('Observaciones-SMP'!I688="","",'Observaciones-SMP'!I688)</f>
        <v/>
      </c>
      <c r="J688" s="193" t="str">
        <f>IF('Observaciones-SMP'!J688="","",'Observaciones-SMP'!J688)</f>
        <v/>
      </c>
      <c r="K688" s="193" t="str">
        <f>IF('Observaciones-SMP'!K688="","",'Observaciones-SMP'!K688)</f>
        <v/>
      </c>
      <c r="L688" s="193" t="str">
        <f>IF('Observaciones-SMP'!L688="","",'Observaciones-SMP'!L688)</f>
        <v/>
      </c>
      <c r="M688" s="193" t="str">
        <f>IF('Observaciones-SMP'!M688="","",'Observaciones-SMP'!M688)</f>
        <v/>
      </c>
      <c r="N688" s="193" t="str">
        <f>IF('Observaciones-SMP'!N688="","",'Observaciones-SMP'!N688)</f>
        <v/>
      </c>
      <c r="O688" s="193" t="str">
        <f>IF('Observaciones-SMP'!O688="","",'Observaciones-SMP'!O688)</f>
        <v/>
      </c>
      <c r="P688" s="193" t="str">
        <f>IF('Observaciones-SMP'!P688="","",'Observaciones-SMP'!P688)</f>
        <v/>
      </c>
      <c r="Q688" s="257" t="str">
        <f>IF('Observaciones-SMP'!S688="","",'Observaciones-SMP'!S688)</f>
        <v/>
      </c>
      <c r="R688" s="193" t="str">
        <f>IF('Observaciones-SMP'!T688="","",'Observaciones-SMP'!T688)</f>
        <v/>
      </c>
      <c r="S688" s="193" t="str">
        <f>""</f>
        <v/>
      </c>
      <c r="T688" s="193" t="str">
        <f>""</f>
        <v/>
      </c>
      <c r="U688" s="193" t="str">
        <f t="shared" si="40"/>
        <v/>
      </c>
      <c r="V688" s="193" t="str">
        <f>""</f>
        <v/>
      </c>
      <c r="W688" s="193" t="str">
        <f>""</f>
        <v/>
      </c>
      <c r="X688" s="258" t="str">
        <f t="shared" si="41"/>
        <v/>
      </c>
      <c r="Y688" s="258" t="str">
        <f t="shared" si="42"/>
        <v/>
      </c>
      <c r="Z688" s="193" t="str">
        <f>IF(A688="","",IF(COUNTIF('Observaciones-SMP'!$A$2:$A$1001,A688)&gt;1,1,0))</f>
        <v/>
      </c>
      <c r="AA688" s="193" t="str">
        <f t="shared" si="43"/>
        <v/>
      </c>
    </row>
    <row r="689" spans="1:27" ht="13.5" customHeight="1" x14ac:dyDescent="0.3">
      <c r="A689" s="193" t="str">
        <f>IF('Observaciones-SMP'!A689="","",'Observaciones-SMP'!A689)</f>
        <v/>
      </c>
      <c r="B689" s="257" t="str">
        <f>IF('Observaciones-SMP'!B689="","",'Observaciones-SMP'!B689)</f>
        <v/>
      </c>
      <c r="C689" s="193" t="str">
        <f>IF('Observaciones-SMP'!C689="","",'Observaciones-SMP'!C689)</f>
        <v/>
      </c>
      <c r="D689" s="193" t="str">
        <f>IF('Observaciones-SMP'!D689="","",'Observaciones-SMP'!D689)</f>
        <v/>
      </c>
      <c r="E689" s="193" t="str">
        <f>IF('Observaciones-SMP'!E689="","",'Observaciones-SMP'!E689)</f>
        <v/>
      </c>
      <c r="F689" s="193" t="str">
        <f>IF('Observaciones-SMP'!F689="","",'Observaciones-SMP'!F689)</f>
        <v/>
      </c>
      <c r="G689" s="193" t="str">
        <f>IF('Observaciones-SMP'!G689="","",'Observaciones-SMP'!G689)</f>
        <v/>
      </c>
      <c r="H689" s="193" t="str">
        <f>IF('Observaciones-SMP'!H689="","",'Observaciones-SMP'!H689)</f>
        <v/>
      </c>
      <c r="I689" s="193" t="str">
        <f>IF('Observaciones-SMP'!I689="","",'Observaciones-SMP'!I689)</f>
        <v/>
      </c>
      <c r="J689" s="193" t="str">
        <f>IF('Observaciones-SMP'!J689="","",'Observaciones-SMP'!J689)</f>
        <v/>
      </c>
      <c r="K689" s="193" t="str">
        <f>IF('Observaciones-SMP'!K689="","",'Observaciones-SMP'!K689)</f>
        <v/>
      </c>
      <c r="L689" s="193" t="str">
        <f>IF('Observaciones-SMP'!L689="","",'Observaciones-SMP'!L689)</f>
        <v/>
      </c>
      <c r="M689" s="193" t="str">
        <f>IF('Observaciones-SMP'!M689="","",'Observaciones-SMP'!M689)</f>
        <v/>
      </c>
      <c r="N689" s="193" t="str">
        <f>IF('Observaciones-SMP'!N689="","",'Observaciones-SMP'!N689)</f>
        <v/>
      </c>
      <c r="O689" s="193" t="str">
        <f>IF('Observaciones-SMP'!O689="","",'Observaciones-SMP'!O689)</f>
        <v/>
      </c>
      <c r="P689" s="193" t="str">
        <f>IF('Observaciones-SMP'!P689="","",'Observaciones-SMP'!P689)</f>
        <v/>
      </c>
      <c r="Q689" s="257" t="str">
        <f>IF('Observaciones-SMP'!S689="","",'Observaciones-SMP'!S689)</f>
        <v/>
      </c>
      <c r="R689" s="193" t="str">
        <f>IF('Observaciones-SMP'!T689="","",'Observaciones-SMP'!T689)</f>
        <v/>
      </c>
      <c r="S689" s="193" t="str">
        <f>""</f>
        <v/>
      </c>
      <c r="T689" s="193" t="str">
        <f>""</f>
        <v/>
      </c>
      <c r="U689" s="193" t="str">
        <f t="shared" si="40"/>
        <v/>
      </c>
      <c r="V689" s="193" t="str">
        <f>""</f>
        <v/>
      </c>
      <c r="W689" s="193" t="str">
        <f>""</f>
        <v/>
      </c>
      <c r="X689" s="258" t="str">
        <f t="shared" si="41"/>
        <v/>
      </c>
      <c r="Y689" s="258" t="str">
        <f t="shared" si="42"/>
        <v/>
      </c>
      <c r="Z689" s="193" t="str">
        <f>IF(A689="","",IF(COUNTIF('Observaciones-SMP'!$A$2:$A$1001,A689)&gt;1,1,0))</f>
        <v/>
      </c>
      <c r="AA689" s="193" t="str">
        <f t="shared" si="43"/>
        <v/>
      </c>
    </row>
    <row r="690" spans="1:27" ht="13.5" customHeight="1" x14ac:dyDescent="0.3">
      <c r="A690" s="193" t="str">
        <f>IF('Observaciones-SMP'!A690="","",'Observaciones-SMP'!A690)</f>
        <v/>
      </c>
      <c r="B690" s="257" t="str">
        <f>IF('Observaciones-SMP'!B690="","",'Observaciones-SMP'!B690)</f>
        <v/>
      </c>
      <c r="C690" s="193" t="str">
        <f>IF('Observaciones-SMP'!C690="","",'Observaciones-SMP'!C690)</f>
        <v/>
      </c>
      <c r="D690" s="193" t="str">
        <f>IF('Observaciones-SMP'!D690="","",'Observaciones-SMP'!D690)</f>
        <v/>
      </c>
      <c r="E690" s="193" t="str">
        <f>IF('Observaciones-SMP'!E690="","",'Observaciones-SMP'!E690)</f>
        <v/>
      </c>
      <c r="F690" s="193" t="str">
        <f>IF('Observaciones-SMP'!F690="","",'Observaciones-SMP'!F690)</f>
        <v/>
      </c>
      <c r="G690" s="193" t="str">
        <f>IF('Observaciones-SMP'!G690="","",'Observaciones-SMP'!G690)</f>
        <v/>
      </c>
      <c r="H690" s="193" t="str">
        <f>IF('Observaciones-SMP'!H690="","",'Observaciones-SMP'!H690)</f>
        <v/>
      </c>
      <c r="I690" s="193" t="str">
        <f>IF('Observaciones-SMP'!I690="","",'Observaciones-SMP'!I690)</f>
        <v/>
      </c>
      <c r="J690" s="193" t="str">
        <f>IF('Observaciones-SMP'!J690="","",'Observaciones-SMP'!J690)</f>
        <v/>
      </c>
      <c r="K690" s="193" t="str">
        <f>IF('Observaciones-SMP'!K690="","",'Observaciones-SMP'!K690)</f>
        <v/>
      </c>
      <c r="L690" s="193" t="str">
        <f>IF('Observaciones-SMP'!L690="","",'Observaciones-SMP'!L690)</f>
        <v/>
      </c>
      <c r="M690" s="193" t="str">
        <f>IF('Observaciones-SMP'!M690="","",'Observaciones-SMP'!M690)</f>
        <v/>
      </c>
      <c r="N690" s="193" t="str">
        <f>IF('Observaciones-SMP'!N690="","",'Observaciones-SMP'!N690)</f>
        <v/>
      </c>
      <c r="O690" s="193" t="str">
        <f>IF('Observaciones-SMP'!O690="","",'Observaciones-SMP'!O690)</f>
        <v/>
      </c>
      <c r="P690" s="193" t="str">
        <f>IF('Observaciones-SMP'!P690="","",'Observaciones-SMP'!P690)</f>
        <v/>
      </c>
      <c r="Q690" s="257" t="str">
        <f>IF('Observaciones-SMP'!S690="","",'Observaciones-SMP'!S690)</f>
        <v/>
      </c>
      <c r="R690" s="193" t="str">
        <f>IF('Observaciones-SMP'!T690="","",'Observaciones-SMP'!T690)</f>
        <v/>
      </c>
      <c r="S690" s="193" t="str">
        <f>""</f>
        <v/>
      </c>
      <c r="T690" s="193" t="str">
        <f>""</f>
        <v/>
      </c>
      <c r="U690" s="193" t="str">
        <f t="shared" si="40"/>
        <v/>
      </c>
      <c r="V690" s="193" t="str">
        <f>""</f>
        <v/>
      </c>
      <c r="W690" s="193" t="str">
        <f>""</f>
        <v/>
      </c>
      <c r="X690" s="258" t="str">
        <f t="shared" si="41"/>
        <v/>
      </c>
      <c r="Y690" s="258" t="str">
        <f t="shared" si="42"/>
        <v/>
      </c>
      <c r="Z690" s="193" t="str">
        <f>IF(A690="","",IF(COUNTIF('Observaciones-SMP'!$A$2:$A$1001,A690)&gt;1,1,0))</f>
        <v/>
      </c>
      <c r="AA690" s="193" t="str">
        <f t="shared" si="43"/>
        <v/>
      </c>
    </row>
    <row r="691" spans="1:27" ht="13.5" customHeight="1" x14ac:dyDescent="0.3">
      <c r="A691" s="193" t="str">
        <f>IF('Observaciones-SMP'!A691="","",'Observaciones-SMP'!A691)</f>
        <v/>
      </c>
      <c r="B691" s="257" t="str">
        <f>IF('Observaciones-SMP'!B691="","",'Observaciones-SMP'!B691)</f>
        <v/>
      </c>
      <c r="C691" s="193" t="str">
        <f>IF('Observaciones-SMP'!C691="","",'Observaciones-SMP'!C691)</f>
        <v/>
      </c>
      <c r="D691" s="193" t="str">
        <f>IF('Observaciones-SMP'!D691="","",'Observaciones-SMP'!D691)</f>
        <v/>
      </c>
      <c r="E691" s="193" t="str">
        <f>IF('Observaciones-SMP'!E691="","",'Observaciones-SMP'!E691)</f>
        <v/>
      </c>
      <c r="F691" s="193" t="str">
        <f>IF('Observaciones-SMP'!F691="","",'Observaciones-SMP'!F691)</f>
        <v/>
      </c>
      <c r="G691" s="193" t="str">
        <f>IF('Observaciones-SMP'!G691="","",'Observaciones-SMP'!G691)</f>
        <v/>
      </c>
      <c r="H691" s="193" t="str">
        <f>IF('Observaciones-SMP'!H691="","",'Observaciones-SMP'!H691)</f>
        <v/>
      </c>
      <c r="I691" s="193" t="str">
        <f>IF('Observaciones-SMP'!I691="","",'Observaciones-SMP'!I691)</f>
        <v/>
      </c>
      <c r="J691" s="193" t="str">
        <f>IF('Observaciones-SMP'!J691="","",'Observaciones-SMP'!J691)</f>
        <v/>
      </c>
      <c r="K691" s="193" t="str">
        <f>IF('Observaciones-SMP'!K691="","",'Observaciones-SMP'!K691)</f>
        <v/>
      </c>
      <c r="L691" s="193" t="str">
        <f>IF('Observaciones-SMP'!L691="","",'Observaciones-SMP'!L691)</f>
        <v/>
      </c>
      <c r="M691" s="193" t="str">
        <f>IF('Observaciones-SMP'!M691="","",'Observaciones-SMP'!M691)</f>
        <v/>
      </c>
      <c r="N691" s="193" t="str">
        <f>IF('Observaciones-SMP'!N691="","",'Observaciones-SMP'!N691)</f>
        <v/>
      </c>
      <c r="O691" s="193" t="str">
        <f>IF('Observaciones-SMP'!O691="","",'Observaciones-SMP'!O691)</f>
        <v/>
      </c>
      <c r="P691" s="193" t="str">
        <f>IF('Observaciones-SMP'!P691="","",'Observaciones-SMP'!P691)</f>
        <v/>
      </c>
      <c r="Q691" s="257" t="str">
        <f>IF('Observaciones-SMP'!S691="","",'Observaciones-SMP'!S691)</f>
        <v/>
      </c>
      <c r="R691" s="193" t="str">
        <f>IF('Observaciones-SMP'!T691="","",'Observaciones-SMP'!T691)</f>
        <v/>
      </c>
      <c r="S691" s="193" t="str">
        <f>""</f>
        <v/>
      </c>
      <c r="T691" s="193" t="str">
        <f>""</f>
        <v/>
      </c>
      <c r="U691" s="193" t="str">
        <f t="shared" si="40"/>
        <v/>
      </c>
      <c r="V691" s="193" t="str">
        <f>""</f>
        <v/>
      </c>
      <c r="W691" s="193" t="str">
        <f>""</f>
        <v/>
      </c>
      <c r="X691" s="258" t="str">
        <f t="shared" si="41"/>
        <v/>
      </c>
      <c r="Y691" s="258" t="str">
        <f t="shared" si="42"/>
        <v/>
      </c>
      <c r="Z691" s="193" t="str">
        <f>IF(A691="","",IF(COUNTIF('Observaciones-SMP'!$A$2:$A$1001,A691)&gt;1,1,0))</f>
        <v/>
      </c>
      <c r="AA691" s="193" t="str">
        <f t="shared" si="43"/>
        <v/>
      </c>
    </row>
    <row r="692" spans="1:27" ht="13.5" customHeight="1" x14ac:dyDescent="0.3">
      <c r="A692" s="193" t="str">
        <f>IF('Observaciones-SMP'!A692="","",'Observaciones-SMP'!A692)</f>
        <v/>
      </c>
      <c r="B692" s="257" t="str">
        <f>IF('Observaciones-SMP'!B692="","",'Observaciones-SMP'!B692)</f>
        <v/>
      </c>
      <c r="C692" s="193" t="str">
        <f>IF('Observaciones-SMP'!C692="","",'Observaciones-SMP'!C692)</f>
        <v/>
      </c>
      <c r="D692" s="193" t="str">
        <f>IF('Observaciones-SMP'!D692="","",'Observaciones-SMP'!D692)</f>
        <v/>
      </c>
      <c r="E692" s="193" t="str">
        <f>IF('Observaciones-SMP'!E692="","",'Observaciones-SMP'!E692)</f>
        <v/>
      </c>
      <c r="F692" s="193" t="str">
        <f>IF('Observaciones-SMP'!F692="","",'Observaciones-SMP'!F692)</f>
        <v/>
      </c>
      <c r="G692" s="193" t="str">
        <f>IF('Observaciones-SMP'!G692="","",'Observaciones-SMP'!G692)</f>
        <v/>
      </c>
      <c r="H692" s="193" t="str">
        <f>IF('Observaciones-SMP'!H692="","",'Observaciones-SMP'!H692)</f>
        <v/>
      </c>
      <c r="I692" s="193" t="str">
        <f>IF('Observaciones-SMP'!I692="","",'Observaciones-SMP'!I692)</f>
        <v/>
      </c>
      <c r="J692" s="193" t="str">
        <f>IF('Observaciones-SMP'!J692="","",'Observaciones-SMP'!J692)</f>
        <v/>
      </c>
      <c r="K692" s="193" t="str">
        <f>IF('Observaciones-SMP'!K692="","",'Observaciones-SMP'!K692)</f>
        <v/>
      </c>
      <c r="L692" s="193" t="str">
        <f>IF('Observaciones-SMP'!L692="","",'Observaciones-SMP'!L692)</f>
        <v/>
      </c>
      <c r="M692" s="193" t="str">
        <f>IF('Observaciones-SMP'!M692="","",'Observaciones-SMP'!M692)</f>
        <v/>
      </c>
      <c r="N692" s="193" t="str">
        <f>IF('Observaciones-SMP'!N692="","",'Observaciones-SMP'!N692)</f>
        <v/>
      </c>
      <c r="O692" s="193" t="str">
        <f>IF('Observaciones-SMP'!O692="","",'Observaciones-SMP'!O692)</f>
        <v/>
      </c>
      <c r="P692" s="193" t="str">
        <f>IF('Observaciones-SMP'!P692="","",'Observaciones-SMP'!P692)</f>
        <v/>
      </c>
      <c r="Q692" s="257" t="str">
        <f>IF('Observaciones-SMP'!S692="","",'Observaciones-SMP'!S692)</f>
        <v/>
      </c>
      <c r="R692" s="193" t="str">
        <f>IF('Observaciones-SMP'!T692="","",'Observaciones-SMP'!T692)</f>
        <v/>
      </c>
      <c r="S692" s="193" t="str">
        <f>""</f>
        <v/>
      </c>
      <c r="T692" s="193" t="str">
        <f>""</f>
        <v/>
      </c>
      <c r="U692" s="193" t="str">
        <f t="shared" si="40"/>
        <v/>
      </c>
      <c r="V692" s="193" t="str">
        <f>""</f>
        <v/>
      </c>
      <c r="W692" s="193" t="str">
        <f>""</f>
        <v/>
      </c>
      <c r="X692" s="258" t="str">
        <f t="shared" si="41"/>
        <v/>
      </c>
      <c r="Y692" s="258" t="str">
        <f t="shared" si="42"/>
        <v/>
      </c>
      <c r="Z692" s="193" t="str">
        <f>IF(A692="","",IF(COUNTIF('Observaciones-SMP'!$A$2:$A$1001,A692)&gt;1,1,0))</f>
        <v/>
      </c>
      <c r="AA692" s="193" t="str">
        <f t="shared" si="43"/>
        <v/>
      </c>
    </row>
    <row r="693" spans="1:27" ht="13.5" customHeight="1" x14ac:dyDescent="0.3">
      <c r="A693" s="193" t="str">
        <f>IF('Observaciones-SMP'!A693="","",'Observaciones-SMP'!A693)</f>
        <v/>
      </c>
      <c r="B693" s="257" t="str">
        <f>IF('Observaciones-SMP'!B693="","",'Observaciones-SMP'!B693)</f>
        <v/>
      </c>
      <c r="C693" s="193" t="str">
        <f>IF('Observaciones-SMP'!C693="","",'Observaciones-SMP'!C693)</f>
        <v/>
      </c>
      <c r="D693" s="193" t="str">
        <f>IF('Observaciones-SMP'!D693="","",'Observaciones-SMP'!D693)</f>
        <v/>
      </c>
      <c r="E693" s="193" t="str">
        <f>IF('Observaciones-SMP'!E693="","",'Observaciones-SMP'!E693)</f>
        <v/>
      </c>
      <c r="F693" s="193" t="str">
        <f>IF('Observaciones-SMP'!F693="","",'Observaciones-SMP'!F693)</f>
        <v/>
      </c>
      <c r="G693" s="193" t="str">
        <f>IF('Observaciones-SMP'!G693="","",'Observaciones-SMP'!G693)</f>
        <v/>
      </c>
      <c r="H693" s="193" t="str">
        <f>IF('Observaciones-SMP'!H693="","",'Observaciones-SMP'!H693)</f>
        <v/>
      </c>
      <c r="I693" s="193" t="str">
        <f>IF('Observaciones-SMP'!I693="","",'Observaciones-SMP'!I693)</f>
        <v/>
      </c>
      <c r="J693" s="193" t="str">
        <f>IF('Observaciones-SMP'!J693="","",'Observaciones-SMP'!J693)</f>
        <v/>
      </c>
      <c r="K693" s="193" t="str">
        <f>IF('Observaciones-SMP'!K693="","",'Observaciones-SMP'!K693)</f>
        <v/>
      </c>
      <c r="L693" s="193" t="str">
        <f>IF('Observaciones-SMP'!L693="","",'Observaciones-SMP'!L693)</f>
        <v/>
      </c>
      <c r="M693" s="193" t="str">
        <f>IF('Observaciones-SMP'!M693="","",'Observaciones-SMP'!M693)</f>
        <v/>
      </c>
      <c r="N693" s="193" t="str">
        <f>IF('Observaciones-SMP'!N693="","",'Observaciones-SMP'!N693)</f>
        <v/>
      </c>
      <c r="O693" s="193" t="str">
        <f>IF('Observaciones-SMP'!O693="","",'Observaciones-SMP'!O693)</f>
        <v/>
      </c>
      <c r="P693" s="193" t="str">
        <f>IF('Observaciones-SMP'!P693="","",'Observaciones-SMP'!P693)</f>
        <v/>
      </c>
      <c r="Q693" s="257" t="str">
        <f>IF('Observaciones-SMP'!S693="","",'Observaciones-SMP'!S693)</f>
        <v/>
      </c>
      <c r="R693" s="193" t="str">
        <f>IF('Observaciones-SMP'!T693="","",'Observaciones-SMP'!T693)</f>
        <v/>
      </c>
      <c r="S693" s="193" t="str">
        <f>""</f>
        <v/>
      </c>
      <c r="T693" s="193" t="str">
        <f>""</f>
        <v/>
      </c>
      <c r="U693" s="193" t="str">
        <f t="shared" si="40"/>
        <v/>
      </c>
      <c r="V693" s="193" t="str">
        <f>""</f>
        <v/>
      </c>
      <c r="W693" s="193" t="str">
        <f>""</f>
        <v/>
      </c>
      <c r="X693" s="258" t="str">
        <f t="shared" si="41"/>
        <v/>
      </c>
      <c r="Y693" s="258" t="str">
        <f t="shared" si="42"/>
        <v/>
      </c>
      <c r="Z693" s="193" t="str">
        <f>IF(A693="","",IF(COUNTIF('Observaciones-SMP'!$A$2:$A$1001,A693)&gt;1,1,0))</f>
        <v/>
      </c>
      <c r="AA693" s="193" t="str">
        <f t="shared" si="43"/>
        <v/>
      </c>
    </row>
    <row r="694" spans="1:27" ht="13.5" customHeight="1" x14ac:dyDescent="0.3">
      <c r="A694" s="193" t="str">
        <f>IF('Observaciones-SMP'!A694="","",'Observaciones-SMP'!A694)</f>
        <v/>
      </c>
      <c r="B694" s="257" t="str">
        <f>IF('Observaciones-SMP'!B694="","",'Observaciones-SMP'!B694)</f>
        <v/>
      </c>
      <c r="C694" s="193" t="str">
        <f>IF('Observaciones-SMP'!C694="","",'Observaciones-SMP'!C694)</f>
        <v/>
      </c>
      <c r="D694" s="193" t="str">
        <f>IF('Observaciones-SMP'!D694="","",'Observaciones-SMP'!D694)</f>
        <v/>
      </c>
      <c r="E694" s="193" t="str">
        <f>IF('Observaciones-SMP'!E694="","",'Observaciones-SMP'!E694)</f>
        <v/>
      </c>
      <c r="F694" s="193" t="str">
        <f>IF('Observaciones-SMP'!F694="","",'Observaciones-SMP'!F694)</f>
        <v/>
      </c>
      <c r="G694" s="193" t="str">
        <f>IF('Observaciones-SMP'!G694="","",'Observaciones-SMP'!G694)</f>
        <v/>
      </c>
      <c r="H694" s="193" t="str">
        <f>IF('Observaciones-SMP'!H694="","",'Observaciones-SMP'!H694)</f>
        <v/>
      </c>
      <c r="I694" s="193" t="str">
        <f>IF('Observaciones-SMP'!I694="","",'Observaciones-SMP'!I694)</f>
        <v/>
      </c>
      <c r="J694" s="193" t="str">
        <f>IF('Observaciones-SMP'!J694="","",'Observaciones-SMP'!J694)</f>
        <v/>
      </c>
      <c r="K694" s="193" t="str">
        <f>IF('Observaciones-SMP'!K694="","",'Observaciones-SMP'!K694)</f>
        <v/>
      </c>
      <c r="L694" s="193" t="str">
        <f>IF('Observaciones-SMP'!L694="","",'Observaciones-SMP'!L694)</f>
        <v/>
      </c>
      <c r="M694" s="193" t="str">
        <f>IF('Observaciones-SMP'!M694="","",'Observaciones-SMP'!M694)</f>
        <v/>
      </c>
      <c r="N694" s="193" t="str">
        <f>IF('Observaciones-SMP'!N694="","",'Observaciones-SMP'!N694)</f>
        <v/>
      </c>
      <c r="O694" s="193" t="str">
        <f>IF('Observaciones-SMP'!O694="","",'Observaciones-SMP'!O694)</f>
        <v/>
      </c>
      <c r="P694" s="193" t="str">
        <f>IF('Observaciones-SMP'!P694="","",'Observaciones-SMP'!P694)</f>
        <v/>
      </c>
      <c r="Q694" s="257" t="str">
        <f>IF('Observaciones-SMP'!S694="","",'Observaciones-SMP'!S694)</f>
        <v/>
      </c>
      <c r="R694" s="193" t="str">
        <f>IF('Observaciones-SMP'!T694="","",'Observaciones-SMP'!T694)</f>
        <v/>
      </c>
      <c r="S694" s="193" t="str">
        <f>""</f>
        <v/>
      </c>
      <c r="T694" s="193" t="str">
        <f>""</f>
        <v/>
      </c>
      <c r="U694" s="193" t="str">
        <f t="shared" si="40"/>
        <v/>
      </c>
      <c r="V694" s="193" t="str">
        <f>""</f>
        <v/>
      </c>
      <c r="W694" s="193" t="str">
        <f>""</f>
        <v/>
      </c>
      <c r="X694" s="258" t="str">
        <f t="shared" si="41"/>
        <v/>
      </c>
      <c r="Y694" s="258" t="str">
        <f t="shared" si="42"/>
        <v/>
      </c>
      <c r="Z694" s="193" t="str">
        <f>IF(A694="","",IF(COUNTIF('Observaciones-SMP'!$A$2:$A$1001,A694)&gt;1,1,0))</f>
        <v/>
      </c>
      <c r="AA694" s="193" t="str">
        <f t="shared" si="43"/>
        <v/>
      </c>
    </row>
    <row r="695" spans="1:27" ht="13.5" customHeight="1" x14ac:dyDescent="0.3">
      <c r="A695" s="193" t="str">
        <f>IF('Observaciones-SMP'!A695="","",'Observaciones-SMP'!A695)</f>
        <v/>
      </c>
      <c r="B695" s="257" t="str">
        <f>IF('Observaciones-SMP'!B695="","",'Observaciones-SMP'!B695)</f>
        <v/>
      </c>
      <c r="C695" s="193" t="str">
        <f>IF('Observaciones-SMP'!C695="","",'Observaciones-SMP'!C695)</f>
        <v/>
      </c>
      <c r="D695" s="193" t="str">
        <f>IF('Observaciones-SMP'!D695="","",'Observaciones-SMP'!D695)</f>
        <v/>
      </c>
      <c r="E695" s="193" t="str">
        <f>IF('Observaciones-SMP'!E695="","",'Observaciones-SMP'!E695)</f>
        <v/>
      </c>
      <c r="F695" s="193" t="str">
        <f>IF('Observaciones-SMP'!F695="","",'Observaciones-SMP'!F695)</f>
        <v/>
      </c>
      <c r="G695" s="193" t="str">
        <f>IF('Observaciones-SMP'!G695="","",'Observaciones-SMP'!G695)</f>
        <v/>
      </c>
      <c r="H695" s="193" t="str">
        <f>IF('Observaciones-SMP'!H695="","",'Observaciones-SMP'!H695)</f>
        <v/>
      </c>
      <c r="I695" s="193" t="str">
        <f>IF('Observaciones-SMP'!I695="","",'Observaciones-SMP'!I695)</f>
        <v/>
      </c>
      <c r="J695" s="193" t="str">
        <f>IF('Observaciones-SMP'!J695="","",'Observaciones-SMP'!J695)</f>
        <v/>
      </c>
      <c r="K695" s="193" t="str">
        <f>IF('Observaciones-SMP'!K695="","",'Observaciones-SMP'!K695)</f>
        <v/>
      </c>
      <c r="L695" s="193" t="str">
        <f>IF('Observaciones-SMP'!L695="","",'Observaciones-SMP'!L695)</f>
        <v/>
      </c>
      <c r="M695" s="193" t="str">
        <f>IF('Observaciones-SMP'!M695="","",'Observaciones-SMP'!M695)</f>
        <v/>
      </c>
      <c r="N695" s="193" t="str">
        <f>IF('Observaciones-SMP'!N695="","",'Observaciones-SMP'!N695)</f>
        <v/>
      </c>
      <c r="O695" s="193" t="str">
        <f>IF('Observaciones-SMP'!O695="","",'Observaciones-SMP'!O695)</f>
        <v/>
      </c>
      <c r="P695" s="193" t="str">
        <f>IF('Observaciones-SMP'!P695="","",'Observaciones-SMP'!P695)</f>
        <v/>
      </c>
      <c r="Q695" s="257" t="str">
        <f>IF('Observaciones-SMP'!S695="","",'Observaciones-SMP'!S695)</f>
        <v/>
      </c>
      <c r="R695" s="193" t="str">
        <f>IF('Observaciones-SMP'!T695="","",'Observaciones-SMP'!T695)</f>
        <v/>
      </c>
      <c r="S695" s="193" t="str">
        <f>""</f>
        <v/>
      </c>
      <c r="T695" s="193" t="str">
        <f>""</f>
        <v/>
      </c>
      <c r="U695" s="193" t="str">
        <f t="shared" si="40"/>
        <v/>
      </c>
      <c r="V695" s="193" t="str">
        <f>""</f>
        <v/>
      </c>
      <c r="W695" s="193" t="str">
        <f>""</f>
        <v/>
      </c>
      <c r="X695" s="258" t="str">
        <f t="shared" si="41"/>
        <v/>
      </c>
      <c r="Y695" s="258" t="str">
        <f t="shared" si="42"/>
        <v/>
      </c>
      <c r="Z695" s="193" t="str">
        <f>IF(A695="","",IF(COUNTIF('Observaciones-SMP'!$A$2:$A$1001,A695)&gt;1,1,0))</f>
        <v/>
      </c>
      <c r="AA695" s="193" t="str">
        <f t="shared" si="43"/>
        <v/>
      </c>
    </row>
    <row r="696" spans="1:27" ht="13.5" customHeight="1" x14ac:dyDescent="0.3">
      <c r="A696" s="193" t="str">
        <f>IF('Observaciones-SMP'!A696="","",'Observaciones-SMP'!A696)</f>
        <v/>
      </c>
      <c r="B696" s="257" t="str">
        <f>IF('Observaciones-SMP'!B696="","",'Observaciones-SMP'!B696)</f>
        <v/>
      </c>
      <c r="C696" s="193" t="str">
        <f>IF('Observaciones-SMP'!C696="","",'Observaciones-SMP'!C696)</f>
        <v/>
      </c>
      <c r="D696" s="193" t="str">
        <f>IF('Observaciones-SMP'!D696="","",'Observaciones-SMP'!D696)</f>
        <v/>
      </c>
      <c r="E696" s="193" t="str">
        <f>IF('Observaciones-SMP'!E696="","",'Observaciones-SMP'!E696)</f>
        <v/>
      </c>
      <c r="F696" s="193" t="str">
        <f>IF('Observaciones-SMP'!F696="","",'Observaciones-SMP'!F696)</f>
        <v/>
      </c>
      <c r="G696" s="193" t="str">
        <f>IF('Observaciones-SMP'!G696="","",'Observaciones-SMP'!G696)</f>
        <v/>
      </c>
      <c r="H696" s="193" t="str">
        <f>IF('Observaciones-SMP'!H696="","",'Observaciones-SMP'!H696)</f>
        <v/>
      </c>
      <c r="I696" s="193" t="str">
        <f>IF('Observaciones-SMP'!I696="","",'Observaciones-SMP'!I696)</f>
        <v/>
      </c>
      <c r="J696" s="193" t="str">
        <f>IF('Observaciones-SMP'!J696="","",'Observaciones-SMP'!J696)</f>
        <v/>
      </c>
      <c r="K696" s="193" t="str">
        <f>IF('Observaciones-SMP'!K696="","",'Observaciones-SMP'!K696)</f>
        <v/>
      </c>
      <c r="L696" s="193" t="str">
        <f>IF('Observaciones-SMP'!L696="","",'Observaciones-SMP'!L696)</f>
        <v/>
      </c>
      <c r="M696" s="193" t="str">
        <f>IF('Observaciones-SMP'!M696="","",'Observaciones-SMP'!M696)</f>
        <v/>
      </c>
      <c r="N696" s="193" t="str">
        <f>IF('Observaciones-SMP'!N696="","",'Observaciones-SMP'!N696)</f>
        <v/>
      </c>
      <c r="O696" s="193" t="str">
        <f>IF('Observaciones-SMP'!O696="","",'Observaciones-SMP'!O696)</f>
        <v/>
      </c>
      <c r="P696" s="193" t="str">
        <f>IF('Observaciones-SMP'!P696="","",'Observaciones-SMP'!P696)</f>
        <v/>
      </c>
      <c r="Q696" s="257" t="str">
        <f>IF('Observaciones-SMP'!S696="","",'Observaciones-SMP'!S696)</f>
        <v/>
      </c>
      <c r="R696" s="193" t="str">
        <f>IF('Observaciones-SMP'!T696="","",'Observaciones-SMP'!T696)</f>
        <v/>
      </c>
      <c r="S696" s="193" t="str">
        <f>""</f>
        <v/>
      </c>
      <c r="T696" s="193" t="str">
        <f>""</f>
        <v/>
      </c>
      <c r="U696" s="193" t="str">
        <f t="shared" si="40"/>
        <v/>
      </c>
      <c r="V696" s="193" t="str">
        <f>""</f>
        <v/>
      </c>
      <c r="W696" s="193" t="str">
        <f>""</f>
        <v/>
      </c>
      <c r="X696" s="258" t="str">
        <f t="shared" si="41"/>
        <v/>
      </c>
      <c r="Y696" s="258" t="str">
        <f t="shared" si="42"/>
        <v/>
      </c>
      <c r="Z696" s="193" t="str">
        <f>IF(A696="","",IF(COUNTIF('Observaciones-SMP'!$A$2:$A$1001,A696)&gt;1,1,0))</f>
        <v/>
      </c>
      <c r="AA696" s="193" t="str">
        <f t="shared" si="43"/>
        <v/>
      </c>
    </row>
    <row r="697" spans="1:27" ht="13.5" customHeight="1" x14ac:dyDescent="0.3">
      <c r="A697" s="193" t="str">
        <f>IF('Observaciones-SMP'!A697="","",'Observaciones-SMP'!A697)</f>
        <v/>
      </c>
      <c r="B697" s="257" t="str">
        <f>IF('Observaciones-SMP'!B697="","",'Observaciones-SMP'!B697)</f>
        <v/>
      </c>
      <c r="C697" s="193" t="str">
        <f>IF('Observaciones-SMP'!C697="","",'Observaciones-SMP'!C697)</f>
        <v/>
      </c>
      <c r="D697" s="193" t="str">
        <f>IF('Observaciones-SMP'!D697="","",'Observaciones-SMP'!D697)</f>
        <v/>
      </c>
      <c r="E697" s="193" t="str">
        <f>IF('Observaciones-SMP'!E697="","",'Observaciones-SMP'!E697)</f>
        <v/>
      </c>
      <c r="F697" s="193" t="str">
        <f>IF('Observaciones-SMP'!F697="","",'Observaciones-SMP'!F697)</f>
        <v/>
      </c>
      <c r="G697" s="193" t="str">
        <f>IF('Observaciones-SMP'!G697="","",'Observaciones-SMP'!G697)</f>
        <v/>
      </c>
      <c r="H697" s="193" t="str">
        <f>IF('Observaciones-SMP'!H697="","",'Observaciones-SMP'!H697)</f>
        <v/>
      </c>
      <c r="I697" s="193" t="str">
        <f>IF('Observaciones-SMP'!I697="","",'Observaciones-SMP'!I697)</f>
        <v/>
      </c>
      <c r="J697" s="193" t="str">
        <f>IF('Observaciones-SMP'!J697="","",'Observaciones-SMP'!J697)</f>
        <v/>
      </c>
      <c r="K697" s="193" t="str">
        <f>IF('Observaciones-SMP'!K697="","",'Observaciones-SMP'!K697)</f>
        <v/>
      </c>
      <c r="L697" s="193" t="str">
        <f>IF('Observaciones-SMP'!L697="","",'Observaciones-SMP'!L697)</f>
        <v/>
      </c>
      <c r="M697" s="193" t="str">
        <f>IF('Observaciones-SMP'!M697="","",'Observaciones-SMP'!M697)</f>
        <v/>
      </c>
      <c r="N697" s="193" t="str">
        <f>IF('Observaciones-SMP'!N697="","",'Observaciones-SMP'!N697)</f>
        <v/>
      </c>
      <c r="O697" s="193" t="str">
        <f>IF('Observaciones-SMP'!O697="","",'Observaciones-SMP'!O697)</f>
        <v/>
      </c>
      <c r="P697" s="193" t="str">
        <f>IF('Observaciones-SMP'!P697="","",'Observaciones-SMP'!P697)</f>
        <v/>
      </c>
      <c r="Q697" s="257" t="str">
        <f>IF('Observaciones-SMP'!S697="","",'Observaciones-SMP'!S697)</f>
        <v/>
      </c>
      <c r="R697" s="193" t="str">
        <f>IF('Observaciones-SMP'!T697="","",'Observaciones-SMP'!T697)</f>
        <v/>
      </c>
      <c r="S697" s="193" t="str">
        <f>""</f>
        <v/>
      </c>
      <c r="T697" s="193" t="str">
        <f>""</f>
        <v/>
      </c>
      <c r="U697" s="193" t="str">
        <f t="shared" si="40"/>
        <v/>
      </c>
      <c r="V697" s="193" t="str">
        <f>""</f>
        <v/>
      </c>
      <c r="W697" s="193" t="str">
        <f>""</f>
        <v/>
      </c>
      <c r="X697" s="258" t="str">
        <f t="shared" si="41"/>
        <v/>
      </c>
      <c r="Y697" s="258" t="str">
        <f t="shared" si="42"/>
        <v/>
      </c>
      <c r="Z697" s="193" t="str">
        <f>IF(A697="","",IF(COUNTIF('Observaciones-SMP'!$A$2:$A$1001,A697)&gt;1,1,0))</f>
        <v/>
      </c>
      <c r="AA697" s="193" t="str">
        <f t="shared" si="43"/>
        <v/>
      </c>
    </row>
    <row r="698" spans="1:27" ht="13.5" customHeight="1" x14ac:dyDescent="0.3">
      <c r="A698" s="193" t="str">
        <f>IF('Observaciones-SMP'!A698="","",'Observaciones-SMP'!A698)</f>
        <v/>
      </c>
      <c r="B698" s="257" t="str">
        <f>IF('Observaciones-SMP'!B698="","",'Observaciones-SMP'!B698)</f>
        <v/>
      </c>
      <c r="C698" s="193" t="str">
        <f>IF('Observaciones-SMP'!C698="","",'Observaciones-SMP'!C698)</f>
        <v/>
      </c>
      <c r="D698" s="193" t="str">
        <f>IF('Observaciones-SMP'!D698="","",'Observaciones-SMP'!D698)</f>
        <v/>
      </c>
      <c r="E698" s="193" t="str">
        <f>IF('Observaciones-SMP'!E698="","",'Observaciones-SMP'!E698)</f>
        <v/>
      </c>
      <c r="F698" s="193" t="str">
        <f>IF('Observaciones-SMP'!F698="","",'Observaciones-SMP'!F698)</f>
        <v/>
      </c>
      <c r="G698" s="193" t="str">
        <f>IF('Observaciones-SMP'!G698="","",'Observaciones-SMP'!G698)</f>
        <v/>
      </c>
      <c r="H698" s="193" t="str">
        <f>IF('Observaciones-SMP'!H698="","",'Observaciones-SMP'!H698)</f>
        <v/>
      </c>
      <c r="I698" s="193" t="str">
        <f>IF('Observaciones-SMP'!I698="","",'Observaciones-SMP'!I698)</f>
        <v/>
      </c>
      <c r="J698" s="193" t="str">
        <f>IF('Observaciones-SMP'!J698="","",'Observaciones-SMP'!J698)</f>
        <v/>
      </c>
      <c r="K698" s="193" t="str">
        <f>IF('Observaciones-SMP'!K698="","",'Observaciones-SMP'!K698)</f>
        <v/>
      </c>
      <c r="L698" s="193" t="str">
        <f>IF('Observaciones-SMP'!L698="","",'Observaciones-SMP'!L698)</f>
        <v/>
      </c>
      <c r="M698" s="193" t="str">
        <f>IF('Observaciones-SMP'!M698="","",'Observaciones-SMP'!M698)</f>
        <v/>
      </c>
      <c r="N698" s="193" t="str">
        <f>IF('Observaciones-SMP'!N698="","",'Observaciones-SMP'!N698)</f>
        <v/>
      </c>
      <c r="O698" s="193" t="str">
        <f>IF('Observaciones-SMP'!O698="","",'Observaciones-SMP'!O698)</f>
        <v/>
      </c>
      <c r="P698" s="193" t="str">
        <f>IF('Observaciones-SMP'!P698="","",'Observaciones-SMP'!P698)</f>
        <v/>
      </c>
      <c r="Q698" s="257" t="str">
        <f>IF('Observaciones-SMP'!S698="","",'Observaciones-SMP'!S698)</f>
        <v/>
      </c>
      <c r="R698" s="193" t="str">
        <f>IF('Observaciones-SMP'!T698="","",'Observaciones-SMP'!T698)</f>
        <v/>
      </c>
      <c r="S698" s="193" t="str">
        <f>""</f>
        <v/>
      </c>
      <c r="T698" s="193" t="str">
        <f>""</f>
        <v/>
      </c>
      <c r="U698" s="193" t="str">
        <f t="shared" si="40"/>
        <v/>
      </c>
      <c r="V698" s="193" t="str">
        <f>""</f>
        <v/>
      </c>
      <c r="W698" s="193" t="str">
        <f>""</f>
        <v/>
      </c>
      <c r="X698" s="258" t="str">
        <f t="shared" si="41"/>
        <v/>
      </c>
      <c r="Y698" s="258" t="str">
        <f t="shared" si="42"/>
        <v/>
      </c>
      <c r="Z698" s="193" t="str">
        <f>IF(A698="","",IF(COUNTIF('Observaciones-SMP'!$A$2:$A$1001,A698)&gt;1,1,0))</f>
        <v/>
      </c>
      <c r="AA698" s="193" t="str">
        <f t="shared" si="43"/>
        <v/>
      </c>
    </row>
    <row r="699" spans="1:27" ht="13.5" customHeight="1" x14ac:dyDescent="0.3">
      <c r="A699" s="193" t="str">
        <f>IF('Observaciones-SMP'!A699="","",'Observaciones-SMP'!A699)</f>
        <v/>
      </c>
      <c r="B699" s="257" t="str">
        <f>IF('Observaciones-SMP'!B699="","",'Observaciones-SMP'!B699)</f>
        <v/>
      </c>
      <c r="C699" s="193" t="str">
        <f>IF('Observaciones-SMP'!C699="","",'Observaciones-SMP'!C699)</f>
        <v/>
      </c>
      <c r="D699" s="193" t="str">
        <f>IF('Observaciones-SMP'!D699="","",'Observaciones-SMP'!D699)</f>
        <v/>
      </c>
      <c r="E699" s="193" t="str">
        <f>IF('Observaciones-SMP'!E699="","",'Observaciones-SMP'!E699)</f>
        <v/>
      </c>
      <c r="F699" s="193" t="str">
        <f>IF('Observaciones-SMP'!F699="","",'Observaciones-SMP'!F699)</f>
        <v/>
      </c>
      <c r="G699" s="193" t="str">
        <f>IF('Observaciones-SMP'!G699="","",'Observaciones-SMP'!G699)</f>
        <v/>
      </c>
      <c r="H699" s="193" t="str">
        <f>IF('Observaciones-SMP'!H699="","",'Observaciones-SMP'!H699)</f>
        <v/>
      </c>
      <c r="I699" s="193" t="str">
        <f>IF('Observaciones-SMP'!I699="","",'Observaciones-SMP'!I699)</f>
        <v/>
      </c>
      <c r="J699" s="193" t="str">
        <f>IF('Observaciones-SMP'!J699="","",'Observaciones-SMP'!J699)</f>
        <v/>
      </c>
      <c r="K699" s="193" t="str">
        <f>IF('Observaciones-SMP'!K699="","",'Observaciones-SMP'!K699)</f>
        <v/>
      </c>
      <c r="L699" s="193" t="str">
        <f>IF('Observaciones-SMP'!L699="","",'Observaciones-SMP'!L699)</f>
        <v/>
      </c>
      <c r="M699" s="193" t="str">
        <f>IF('Observaciones-SMP'!M699="","",'Observaciones-SMP'!M699)</f>
        <v/>
      </c>
      <c r="N699" s="193" t="str">
        <f>IF('Observaciones-SMP'!N699="","",'Observaciones-SMP'!N699)</f>
        <v/>
      </c>
      <c r="O699" s="193" t="str">
        <f>IF('Observaciones-SMP'!O699="","",'Observaciones-SMP'!O699)</f>
        <v/>
      </c>
      <c r="P699" s="193" t="str">
        <f>IF('Observaciones-SMP'!P699="","",'Observaciones-SMP'!P699)</f>
        <v/>
      </c>
      <c r="Q699" s="257" t="str">
        <f>IF('Observaciones-SMP'!S699="","",'Observaciones-SMP'!S699)</f>
        <v/>
      </c>
      <c r="R699" s="193" t="str">
        <f>IF('Observaciones-SMP'!T699="","",'Observaciones-SMP'!T699)</f>
        <v/>
      </c>
      <c r="S699" s="193" t="str">
        <f>""</f>
        <v/>
      </c>
      <c r="T699" s="193" t="str">
        <f>""</f>
        <v/>
      </c>
      <c r="U699" s="193" t="str">
        <f t="shared" si="40"/>
        <v/>
      </c>
      <c r="V699" s="193" t="str">
        <f>""</f>
        <v/>
      </c>
      <c r="W699" s="193" t="str">
        <f>""</f>
        <v/>
      </c>
      <c r="X699" s="258" t="str">
        <f t="shared" si="41"/>
        <v/>
      </c>
      <c r="Y699" s="258" t="str">
        <f t="shared" si="42"/>
        <v/>
      </c>
      <c r="Z699" s="193" t="str">
        <f>IF(A699="","",IF(COUNTIF('Observaciones-SMP'!$A$2:$A$1001,A699)&gt;1,1,0))</f>
        <v/>
      </c>
      <c r="AA699" s="193" t="str">
        <f t="shared" si="43"/>
        <v/>
      </c>
    </row>
    <row r="700" spans="1:27" ht="13.5" customHeight="1" x14ac:dyDescent="0.3">
      <c r="A700" s="193" t="str">
        <f>IF('Observaciones-SMP'!A700="","",'Observaciones-SMP'!A700)</f>
        <v/>
      </c>
      <c r="B700" s="257" t="str">
        <f>IF('Observaciones-SMP'!B700="","",'Observaciones-SMP'!B700)</f>
        <v/>
      </c>
      <c r="C700" s="193" t="str">
        <f>IF('Observaciones-SMP'!C700="","",'Observaciones-SMP'!C700)</f>
        <v/>
      </c>
      <c r="D700" s="193" t="str">
        <f>IF('Observaciones-SMP'!D700="","",'Observaciones-SMP'!D700)</f>
        <v/>
      </c>
      <c r="E700" s="193" t="str">
        <f>IF('Observaciones-SMP'!E700="","",'Observaciones-SMP'!E700)</f>
        <v/>
      </c>
      <c r="F700" s="193" t="str">
        <f>IF('Observaciones-SMP'!F700="","",'Observaciones-SMP'!F700)</f>
        <v/>
      </c>
      <c r="G700" s="193" t="str">
        <f>IF('Observaciones-SMP'!G700="","",'Observaciones-SMP'!G700)</f>
        <v/>
      </c>
      <c r="H700" s="193" t="str">
        <f>IF('Observaciones-SMP'!H700="","",'Observaciones-SMP'!H700)</f>
        <v/>
      </c>
      <c r="I700" s="193" t="str">
        <f>IF('Observaciones-SMP'!I700="","",'Observaciones-SMP'!I700)</f>
        <v/>
      </c>
      <c r="J700" s="193" t="str">
        <f>IF('Observaciones-SMP'!J700="","",'Observaciones-SMP'!J700)</f>
        <v/>
      </c>
      <c r="K700" s="193" t="str">
        <f>IF('Observaciones-SMP'!K700="","",'Observaciones-SMP'!K700)</f>
        <v/>
      </c>
      <c r="L700" s="193" t="str">
        <f>IF('Observaciones-SMP'!L700="","",'Observaciones-SMP'!L700)</f>
        <v/>
      </c>
      <c r="M700" s="193" t="str">
        <f>IF('Observaciones-SMP'!M700="","",'Observaciones-SMP'!M700)</f>
        <v/>
      </c>
      <c r="N700" s="193" t="str">
        <f>IF('Observaciones-SMP'!N700="","",'Observaciones-SMP'!N700)</f>
        <v/>
      </c>
      <c r="O700" s="193" t="str">
        <f>IF('Observaciones-SMP'!O700="","",'Observaciones-SMP'!O700)</f>
        <v/>
      </c>
      <c r="P700" s="193" t="str">
        <f>IF('Observaciones-SMP'!P700="","",'Observaciones-SMP'!P700)</f>
        <v/>
      </c>
      <c r="Q700" s="257" t="str">
        <f>IF('Observaciones-SMP'!S700="","",'Observaciones-SMP'!S700)</f>
        <v/>
      </c>
      <c r="R700" s="193" t="str">
        <f>IF('Observaciones-SMP'!T700="","",'Observaciones-SMP'!T700)</f>
        <v/>
      </c>
      <c r="S700" s="193" t="str">
        <f>""</f>
        <v/>
      </c>
      <c r="T700" s="193" t="str">
        <f>""</f>
        <v/>
      </c>
      <c r="U700" s="193" t="str">
        <f t="shared" si="40"/>
        <v/>
      </c>
      <c r="V700" s="193" t="str">
        <f>""</f>
        <v/>
      </c>
      <c r="W700" s="193" t="str">
        <f>""</f>
        <v/>
      </c>
      <c r="X700" s="258" t="str">
        <f t="shared" si="41"/>
        <v/>
      </c>
      <c r="Y700" s="258" t="str">
        <f t="shared" si="42"/>
        <v/>
      </c>
      <c r="Z700" s="193" t="str">
        <f>IF(A700="","",IF(COUNTIF('Observaciones-SMP'!$A$2:$A$1001,A700)&gt;1,1,0))</f>
        <v/>
      </c>
      <c r="AA700" s="193" t="str">
        <f t="shared" si="43"/>
        <v/>
      </c>
    </row>
    <row r="701" spans="1:27" ht="13.5" customHeight="1" x14ac:dyDescent="0.3">
      <c r="A701" s="193" t="str">
        <f>IF('Observaciones-SMP'!A701="","",'Observaciones-SMP'!A701)</f>
        <v/>
      </c>
      <c r="B701" s="257" t="str">
        <f>IF('Observaciones-SMP'!B701="","",'Observaciones-SMP'!B701)</f>
        <v/>
      </c>
      <c r="C701" s="193" t="str">
        <f>IF('Observaciones-SMP'!C701="","",'Observaciones-SMP'!C701)</f>
        <v/>
      </c>
      <c r="D701" s="193" t="str">
        <f>IF('Observaciones-SMP'!D701="","",'Observaciones-SMP'!D701)</f>
        <v/>
      </c>
      <c r="E701" s="193" t="str">
        <f>IF('Observaciones-SMP'!E701="","",'Observaciones-SMP'!E701)</f>
        <v/>
      </c>
      <c r="F701" s="193" t="str">
        <f>IF('Observaciones-SMP'!F701="","",'Observaciones-SMP'!F701)</f>
        <v/>
      </c>
      <c r="G701" s="193" t="str">
        <f>IF('Observaciones-SMP'!G701="","",'Observaciones-SMP'!G701)</f>
        <v/>
      </c>
      <c r="H701" s="193" t="str">
        <f>IF('Observaciones-SMP'!H701="","",'Observaciones-SMP'!H701)</f>
        <v/>
      </c>
      <c r="I701" s="193" t="str">
        <f>IF('Observaciones-SMP'!I701="","",'Observaciones-SMP'!I701)</f>
        <v/>
      </c>
      <c r="J701" s="193" t="str">
        <f>IF('Observaciones-SMP'!J701="","",'Observaciones-SMP'!J701)</f>
        <v/>
      </c>
      <c r="K701" s="193" t="str">
        <f>IF('Observaciones-SMP'!K701="","",'Observaciones-SMP'!K701)</f>
        <v/>
      </c>
      <c r="L701" s="193" t="str">
        <f>IF('Observaciones-SMP'!L701="","",'Observaciones-SMP'!L701)</f>
        <v/>
      </c>
      <c r="M701" s="193" t="str">
        <f>IF('Observaciones-SMP'!M701="","",'Observaciones-SMP'!M701)</f>
        <v/>
      </c>
      <c r="N701" s="193" t="str">
        <f>IF('Observaciones-SMP'!N701="","",'Observaciones-SMP'!N701)</f>
        <v/>
      </c>
      <c r="O701" s="193" t="str">
        <f>IF('Observaciones-SMP'!O701="","",'Observaciones-SMP'!O701)</f>
        <v/>
      </c>
      <c r="P701" s="193" t="str">
        <f>IF('Observaciones-SMP'!P701="","",'Observaciones-SMP'!P701)</f>
        <v/>
      </c>
      <c r="Q701" s="257" t="str">
        <f>IF('Observaciones-SMP'!S701="","",'Observaciones-SMP'!S701)</f>
        <v/>
      </c>
      <c r="R701" s="193" t="str">
        <f>IF('Observaciones-SMP'!T701="","",'Observaciones-SMP'!T701)</f>
        <v/>
      </c>
      <c r="S701" s="193" t="str">
        <f>""</f>
        <v/>
      </c>
      <c r="T701" s="193" t="str">
        <f>""</f>
        <v/>
      </c>
      <c r="U701" s="193" t="str">
        <f t="shared" si="40"/>
        <v/>
      </c>
      <c r="V701" s="193" t="str">
        <f>""</f>
        <v/>
      </c>
      <c r="W701" s="193" t="str">
        <f>""</f>
        <v/>
      </c>
      <c r="X701" s="258" t="str">
        <f t="shared" si="41"/>
        <v/>
      </c>
      <c r="Y701" s="258" t="str">
        <f t="shared" si="42"/>
        <v/>
      </c>
      <c r="Z701" s="193" t="str">
        <f>IF(A701="","",IF(COUNTIF('Observaciones-SMP'!$A$2:$A$1001,A701)&gt;1,1,0))</f>
        <v/>
      </c>
      <c r="AA701" s="193" t="str">
        <f t="shared" si="43"/>
        <v/>
      </c>
    </row>
    <row r="702" spans="1:27" ht="13.5" customHeight="1" x14ac:dyDescent="0.3">
      <c r="A702" s="193" t="str">
        <f>IF('Observaciones-SMP'!A702="","",'Observaciones-SMP'!A702)</f>
        <v/>
      </c>
      <c r="B702" s="257" t="str">
        <f>IF('Observaciones-SMP'!B702="","",'Observaciones-SMP'!B702)</f>
        <v/>
      </c>
      <c r="C702" s="193" t="str">
        <f>IF('Observaciones-SMP'!C702="","",'Observaciones-SMP'!C702)</f>
        <v/>
      </c>
      <c r="D702" s="193" t="str">
        <f>IF('Observaciones-SMP'!D702="","",'Observaciones-SMP'!D702)</f>
        <v/>
      </c>
      <c r="E702" s="193" t="str">
        <f>IF('Observaciones-SMP'!E702="","",'Observaciones-SMP'!E702)</f>
        <v/>
      </c>
      <c r="F702" s="193" t="str">
        <f>IF('Observaciones-SMP'!F702="","",'Observaciones-SMP'!F702)</f>
        <v/>
      </c>
      <c r="G702" s="193" t="str">
        <f>IF('Observaciones-SMP'!G702="","",'Observaciones-SMP'!G702)</f>
        <v/>
      </c>
      <c r="H702" s="193" t="str">
        <f>IF('Observaciones-SMP'!H702="","",'Observaciones-SMP'!H702)</f>
        <v/>
      </c>
      <c r="I702" s="193" t="str">
        <f>IF('Observaciones-SMP'!I702="","",'Observaciones-SMP'!I702)</f>
        <v/>
      </c>
      <c r="J702" s="193" t="str">
        <f>IF('Observaciones-SMP'!J702="","",'Observaciones-SMP'!J702)</f>
        <v/>
      </c>
      <c r="K702" s="193" t="str">
        <f>IF('Observaciones-SMP'!K702="","",'Observaciones-SMP'!K702)</f>
        <v/>
      </c>
      <c r="L702" s="193" t="str">
        <f>IF('Observaciones-SMP'!L702="","",'Observaciones-SMP'!L702)</f>
        <v/>
      </c>
      <c r="M702" s="193" t="str">
        <f>IF('Observaciones-SMP'!M702="","",'Observaciones-SMP'!M702)</f>
        <v/>
      </c>
      <c r="N702" s="193" t="str">
        <f>IF('Observaciones-SMP'!N702="","",'Observaciones-SMP'!N702)</f>
        <v/>
      </c>
      <c r="O702" s="193" t="str">
        <f>IF('Observaciones-SMP'!O702="","",'Observaciones-SMP'!O702)</f>
        <v/>
      </c>
      <c r="P702" s="193" t="str">
        <f>IF('Observaciones-SMP'!P702="","",'Observaciones-SMP'!P702)</f>
        <v/>
      </c>
      <c r="Q702" s="257" t="str">
        <f>IF('Observaciones-SMP'!S702="","",'Observaciones-SMP'!S702)</f>
        <v/>
      </c>
      <c r="R702" s="193" t="str">
        <f>IF('Observaciones-SMP'!T702="","",'Observaciones-SMP'!T702)</f>
        <v/>
      </c>
      <c r="S702" s="193" t="str">
        <f>""</f>
        <v/>
      </c>
      <c r="T702" s="193" t="str">
        <f>""</f>
        <v/>
      </c>
      <c r="U702" s="193" t="str">
        <f t="shared" si="40"/>
        <v/>
      </c>
      <c r="V702" s="193" t="str">
        <f>""</f>
        <v/>
      </c>
      <c r="W702" s="193" t="str">
        <f>""</f>
        <v/>
      </c>
      <c r="X702" s="258" t="str">
        <f t="shared" si="41"/>
        <v/>
      </c>
      <c r="Y702" s="258" t="str">
        <f t="shared" si="42"/>
        <v/>
      </c>
      <c r="Z702" s="193" t="str">
        <f>IF(A702="","",IF(COUNTIF('Observaciones-SMP'!$A$2:$A$1001,A702)&gt;1,1,0))</f>
        <v/>
      </c>
      <c r="AA702" s="193" t="str">
        <f t="shared" si="43"/>
        <v/>
      </c>
    </row>
    <row r="703" spans="1:27" ht="13.5" customHeight="1" x14ac:dyDescent="0.3">
      <c r="A703" s="193" t="str">
        <f>IF('Observaciones-SMP'!A703="","",'Observaciones-SMP'!A703)</f>
        <v/>
      </c>
      <c r="B703" s="257" t="str">
        <f>IF('Observaciones-SMP'!B703="","",'Observaciones-SMP'!B703)</f>
        <v/>
      </c>
      <c r="C703" s="193" t="str">
        <f>IF('Observaciones-SMP'!C703="","",'Observaciones-SMP'!C703)</f>
        <v/>
      </c>
      <c r="D703" s="193" t="str">
        <f>IF('Observaciones-SMP'!D703="","",'Observaciones-SMP'!D703)</f>
        <v/>
      </c>
      <c r="E703" s="193" t="str">
        <f>IF('Observaciones-SMP'!E703="","",'Observaciones-SMP'!E703)</f>
        <v/>
      </c>
      <c r="F703" s="193" t="str">
        <f>IF('Observaciones-SMP'!F703="","",'Observaciones-SMP'!F703)</f>
        <v/>
      </c>
      <c r="G703" s="193" t="str">
        <f>IF('Observaciones-SMP'!G703="","",'Observaciones-SMP'!G703)</f>
        <v/>
      </c>
      <c r="H703" s="193" t="str">
        <f>IF('Observaciones-SMP'!H703="","",'Observaciones-SMP'!H703)</f>
        <v/>
      </c>
      <c r="I703" s="193" t="str">
        <f>IF('Observaciones-SMP'!I703="","",'Observaciones-SMP'!I703)</f>
        <v/>
      </c>
      <c r="J703" s="193" t="str">
        <f>IF('Observaciones-SMP'!J703="","",'Observaciones-SMP'!J703)</f>
        <v/>
      </c>
      <c r="K703" s="193" t="str">
        <f>IF('Observaciones-SMP'!K703="","",'Observaciones-SMP'!K703)</f>
        <v/>
      </c>
      <c r="L703" s="193" t="str">
        <f>IF('Observaciones-SMP'!L703="","",'Observaciones-SMP'!L703)</f>
        <v/>
      </c>
      <c r="M703" s="193" t="str">
        <f>IF('Observaciones-SMP'!M703="","",'Observaciones-SMP'!M703)</f>
        <v/>
      </c>
      <c r="N703" s="193" t="str">
        <f>IF('Observaciones-SMP'!N703="","",'Observaciones-SMP'!N703)</f>
        <v/>
      </c>
      <c r="O703" s="193" t="str">
        <f>IF('Observaciones-SMP'!O703="","",'Observaciones-SMP'!O703)</f>
        <v/>
      </c>
      <c r="P703" s="193" t="str">
        <f>IF('Observaciones-SMP'!P703="","",'Observaciones-SMP'!P703)</f>
        <v/>
      </c>
      <c r="Q703" s="257" t="str">
        <f>IF('Observaciones-SMP'!S703="","",'Observaciones-SMP'!S703)</f>
        <v/>
      </c>
      <c r="R703" s="193" t="str">
        <f>IF('Observaciones-SMP'!T703="","",'Observaciones-SMP'!T703)</f>
        <v/>
      </c>
      <c r="S703" s="193" t="str">
        <f>""</f>
        <v/>
      </c>
      <c r="T703" s="193" t="str">
        <f>""</f>
        <v/>
      </c>
      <c r="U703" s="193" t="str">
        <f t="shared" si="40"/>
        <v/>
      </c>
      <c r="V703" s="193" t="str">
        <f>""</f>
        <v/>
      </c>
      <c r="W703" s="193" t="str">
        <f>""</f>
        <v/>
      </c>
      <c r="X703" s="258" t="str">
        <f t="shared" si="41"/>
        <v/>
      </c>
      <c r="Y703" s="258" t="str">
        <f t="shared" si="42"/>
        <v/>
      </c>
      <c r="Z703" s="193" t="str">
        <f>IF(A703="","",IF(COUNTIF('Observaciones-SMP'!$A$2:$A$1001,A703)&gt;1,1,0))</f>
        <v/>
      </c>
      <c r="AA703" s="193" t="str">
        <f t="shared" si="43"/>
        <v/>
      </c>
    </row>
    <row r="704" spans="1:27" ht="13.5" customHeight="1" x14ac:dyDescent="0.3">
      <c r="A704" s="193" t="str">
        <f>IF('Observaciones-SMP'!A704="","",'Observaciones-SMP'!A704)</f>
        <v/>
      </c>
      <c r="B704" s="257" t="str">
        <f>IF('Observaciones-SMP'!B704="","",'Observaciones-SMP'!B704)</f>
        <v/>
      </c>
      <c r="C704" s="193" t="str">
        <f>IF('Observaciones-SMP'!C704="","",'Observaciones-SMP'!C704)</f>
        <v/>
      </c>
      <c r="D704" s="193" t="str">
        <f>IF('Observaciones-SMP'!D704="","",'Observaciones-SMP'!D704)</f>
        <v/>
      </c>
      <c r="E704" s="193" t="str">
        <f>IF('Observaciones-SMP'!E704="","",'Observaciones-SMP'!E704)</f>
        <v/>
      </c>
      <c r="F704" s="193" t="str">
        <f>IF('Observaciones-SMP'!F704="","",'Observaciones-SMP'!F704)</f>
        <v/>
      </c>
      <c r="G704" s="193" t="str">
        <f>IF('Observaciones-SMP'!G704="","",'Observaciones-SMP'!G704)</f>
        <v/>
      </c>
      <c r="H704" s="193" t="str">
        <f>IF('Observaciones-SMP'!H704="","",'Observaciones-SMP'!H704)</f>
        <v/>
      </c>
      <c r="I704" s="193" t="str">
        <f>IF('Observaciones-SMP'!I704="","",'Observaciones-SMP'!I704)</f>
        <v/>
      </c>
      <c r="J704" s="193" t="str">
        <f>IF('Observaciones-SMP'!J704="","",'Observaciones-SMP'!J704)</f>
        <v/>
      </c>
      <c r="K704" s="193" t="str">
        <f>IF('Observaciones-SMP'!K704="","",'Observaciones-SMP'!K704)</f>
        <v/>
      </c>
      <c r="L704" s="193" t="str">
        <f>IF('Observaciones-SMP'!L704="","",'Observaciones-SMP'!L704)</f>
        <v/>
      </c>
      <c r="M704" s="193" t="str">
        <f>IF('Observaciones-SMP'!M704="","",'Observaciones-SMP'!M704)</f>
        <v/>
      </c>
      <c r="N704" s="193" t="str">
        <f>IF('Observaciones-SMP'!N704="","",'Observaciones-SMP'!N704)</f>
        <v/>
      </c>
      <c r="O704" s="193" t="str">
        <f>IF('Observaciones-SMP'!O704="","",'Observaciones-SMP'!O704)</f>
        <v/>
      </c>
      <c r="P704" s="193" t="str">
        <f>IF('Observaciones-SMP'!P704="","",'Observaciones-SMP'!P704)</f>
        <v/>
      </c>
      <c r="Q704" s="257" t="str">
        <f>IF('Observaciones-SMP'!S704="","",'Observaciones-SMP'!S704)</f>
        <v/>
      </c>
      <c r="R704" s="193" t="str">
        <f>IF('Observaciones-SMP'!T704="","",'Observaciones-SMP'!T704)</f>
        <v/>
      </c>
      <c r="S704" s="193" t="str">
        <f>""</f>
        <v/>
      </c>
      <c r="T704" s="193" t="str">
        <f>""</f>
        <v/>
      </c>
      <c r="U704" s="193" t="str">
        <f t="shared" si="40"/>
        <v/>
      </c>
      <c r="V704" s="193" t="str">
        <f>""</f>
        <v/>
      </c>
      <c r="W704" s="193" t="str">
        <f>""</f>
        <v/>
      </c>
      <c r="X704" s="258" t="str">
        <f t="shared" si="41"/>
        <v/>
      </c>
      <c r="Y704" s="258" t="str">
        <f t="shared" si="42"/>
        <v/>
      </c>
      <c r="Z704" s="193" t="str">
        <f>IF(A704="","",IF(COUNTIF('Observaciones-SMP'!$A$2:$A$1001,A704)&gt;1,1,0))</f>
        <v/>
      </c>
      <c r="AA704" s="193" t="str">
        <f t="shared" si="43"/>
        <v/>
      </c>
    </row>
    <row r="705" spans="1:27" ht="13.5" customHeight="1" x14ac:dyDescent="0.3">
      <c r="A705" s="193" t="str">
        <f>IF('Observaciones-SMP'!A705="","",'Observaciones-SMP'!A705)</f>
        <v/>
      </c>
      <c r="B705" s="257" t="str">
        <f>IF('Observaciones-SMP'!B705="","",'Observaciones-SMP'!B705)</f>
        <v/>
      </c>
      <c r="C705" s="193" t="str">
        <f>IF('Observaciones-SMP'!C705="","",'Observaciones-SMP'!C705)</f>
        <v/>
      </c>
      <c r="D705" s="193" t="str">
        <f>IF('Observaciones-SMP'!D705="","",'Observaciones-SMP'!D705)</f>
        <v/>
      </c>
      <c r="E705" s="193" t="str">
        <f>IF('Observaciones-SMP'!E705="","",'Observaciones-SMP'!E705)</f>
        <v/>
      </c>
      <c r="F705" s="193" t="str">
        <f>IF('Observaciones-SMP'!F705="","",'Observaciones-SMP'!F705)</f>
        <v/>
      </c>
      <c r="G705" s="193" t="str">
        <f>IF('Observaciones-SMP'!G705="","",'Observaciones-SMP'!G705)</f>
        <v/>
      </c>
      <c r="H705" s="193" t="str">
        <f>IF('Observaciones-SMP'!H705="","",'Observaciones-SMP'!H705)</f>
        <v/>
      </c>
      <c r="I705" s="193" t="str">
        <f>IF('Observaciones-SMP'!I705="","",'Observaciones-SMP'!I705)</f>
        <v/>
      </c>
      <c r="J705" s="193" t="str">
        <f>IF('Observaciones-SMP'!J705="","",'Observaciones-SMP'!J705)</f>
        <v/>
      </c>
      <c r="K705" s="193" t="str">
        <f>IF('Observaciones-SMP'!K705="","",'Observaciones-SMP'!K705)</f>
        <v/>
      </c>
      <c r="L705" s="193" t="str">
        <f>IF('Observaciones-SMP'!L705="","",'Observaciones-SMP'!L705)</f>
        <v/>
      </c>
      <c r="M705" s="193" t="str">
        <f>IF('Observaciones-SMP'!M705="","",'Observaciones-SMP'!M705)</f>
        <v/>
      </c>
      <c r="N705" s="193" t="str">
        <f>IF('Observaciones-SMP'!N705="","",'Observaciones-SMP'!N705)</f>
        <v/>
      </c>
      <c r="O705" s="193" t="str">
        <f>IF('Observaciones-SMP'!O705="","",'Observaciones-SMP'!O705)</f>
        <v/>
      </c>
      <c r="P705" s="193" t="str">
        <f>IF('Observaciones-SMP'!P705="","",'Observaciones-SMP'!P705)</f>
        <v/>
      </c>
      <c r="Q705" s="257" t="str">
        <f>IF('Observaciones-SMP'!S705="","",'Observaciones-SMP'!S705)</f>
        <v/>
      </c>
      <c r="R705" s="193" t="str">
        <f>IF('Observaciones-SMP'!T705="","",'Observaciones-SMP'!T705)</f>
        <v/>
      </c>
      <c r="S705" s="193" t="str">
        <f>""</f>
        <v/>
      </c>
      <c r="T705" s="193" t="str">
        <f>""</f>
        <v/>
      </c>
      <c r="U705" s="193" t="str">
        <f t="shared" si="40"/>
        <v/>
      </c>
      <c r="V705" s="193" t="str">
        <f>""</f>
        <v/>
      </c>
      <c r="W705" s="193" t="str">
        <f>""</f>
        <v/>
      </c>
      <c r="X705" s="258" t="str">
        <f t="shared" si="41"/>
        <v/>
      </c>
      <c r="Y705" s="258" t="str">
        <f t="shared" si="42"/>
        <v/>
      </c>
      <c r="Z705" s="193" t="str">
        <f>IF(A705="","",IF(COUNTIF('Observaciones-SMP'!$A$2:$A$1001,A705)&gt;1,1,0))</f>
        <v/>
      </c>
      <c r="AA705" s="193" t="str">
        <f t="shared" si="43"/>
        <v/>
      </c>
    </row>
    <row r="706" spans="1:27" ht="13.5" customHeight="1" x14ac:dyDescent="0.3">
      <c r="A706" s="193" t="str">
        <f>IF('Observaciones-SMP'!A706="","",'Observaciones-SMP'!A706)</f>
        <v/>
      </c>
      <c r="B706" s="257" t="str">
        <f>IF('Observaciones-SMP'!B706="","",'Observaciones-SMP'!B706)</f>
        <v/>
      </c>
      <c r="C706" s="193" t="str">
        <f>IF('Observaciones-SMP'!C706="","",'Observaciones-SMP'!C706)</f>
        <v/>
      </c>
      <c r="D706" s="193" t="str">
        <f>IF('Observaciones-SMP'!D706="","",'Observaciones-SMP'!D706)</f>
        <v/>
      </c>
      <c r="E706" s="193" t="str">
        <f>IF('Observaciones-SMP'!E706="","",'Observaciones-SMP'!E706)</f>
        <v/>
      </c>
      <c r="F706" s="193" t="str">
        <f>IF('Observaciones-SMP'!F706="","",'Observaciones-SMP'!F706)</f>
        <v/>
      </c>
      <c r="G706" s="193" t="str">
        <f>IF('Observaciones-SMP'!G706="","",'Observaciones-SMP'!G706)</f>
        <v/>
      </c>
      <c r="H706" s="193" t="str">
        <f>IF('Observaciones-SMP'!H706="","",'Observaciones-SMP'!H706)</f>
        <v/>
      </c>
      <c r="I706" s="193" t="str">
        <f>IF('Observaciones-SMP'!I706="","",'Observaciones-SMP'!I706)</f>
        <v/>
      </c>
      <c r="J706" s="193" t="str">
        <f>IF('Observaciones-SMP'!J706="","",'Observaciones-SMP'!J706)</f>
        <v/>
      </c>
      <c r="K706" s="193" t="str">
        <f>IF('Observaciones-SMP'!K706="","",'Observaciones-SMP'!K706)</f>
        <v/>
      </c>
      <c r="L706" s="193" t="str">
        <f>IF('Observaciones-SMP'!L706="","",'Observaciones-SMP'!L706)</f>
        <v/>
      </c>
      <c r="M706" s="193" t="str">
        <f>IF('Observaciones-SMP'!M706="","",'Observaciones-SMP'!M706)</f>
        <v/>
      </c>
      <c r="N706" s="193" t="str">
        <f>IF('Observaciones-SMP'!N706="","",'Observaciones-SMP'!N706)</f>
        <v/>
      </c>
      <c r="O706" s="193" t="str">
        <f>IF('Observaciones-SMP'!O706="","",'Observaciones-SMP'!O706)</f>
        <v/>
      </c>
      <c r="P706" s="193" t="str">
        <f>IF('Observaciones-SMP'!P706="","",'Observaciones-SMP'!P706)</f>
        <v/>
      </c>
      <c r="Q706" s="257" t="str">
        <f>IF('Observaciones-SMP'!S706="","",'Observaciones-SMP'!S706)</f>
        <v/>
      </c>
      <c r="R706" s="193" t="str">
        <f>IF('Observaciones-SMP'!T706="","",'Observaciones-SMP'!T706)</f>
        <v/>
      </c>
      <c r="S706" s="193" t="str">
        <f>""</f>
        <v/>
      </c>
      <c r="T706" s="193" t="str">
        <f>""</f>
        <v/>
      </c>
      <c r="U706" s="193" t="str">
        <f t="shared" ref="U706:U769" si="44">IF(AND(ISNUMBER(B706),ISNUMBER(Q706)),IF(Q706&gt;=B706,Q706-B706,""),"")</f>
        <v/>
      </c>
      <c r="V706" s="193" t="str">
        <f>""</f>
        <v/>
      </c>
      <c r="W706" s="193" t="str">
        <f>""</f>
        <v/>
      </c>
      <c r="X706" s="258" t="str">
        <f t="shared" ref="X706:X769" si="45">IF(ISNUMBER(B706),DATE(YEAR(B706),MONTH(B706),1),"")</f>
        <v/>
      </c>
      <c r="Y706" s="258" t="str">
        <f t="shared" ref="Y706:Y769" si="46">IF(ISNUMBER(Q706),DATE(YEAR(Q706),MONTH(Q706),1),"")</f>
        <v/>
      </c>
      <c r="Z706" s="193" t="str">
        <f>IF(A706="","",IF(COUNTIF('Observaciones-SMP'!$A$2:$A$1001,A706)&gt;1,1,0))</f>
        <v/>
      </c>
      <c r="AA706" s="193" t="str">
        <f t="shared" ref="AA706:AA769" si="47">IF(ISNUMBER(B706),IF(ISNUMBER(Q706),Q706,DATE(YEAR(RPT_MONTH),MONTH(RPT_MONTH)+1,0))-B706,"")</f>
        <v/>
      </c>
    </row>
    <row r="707" spans="1:27" ht="13.5" customHeight="1" x14ac:dyDescent="0.3">
      <c r="A707" s="193" t="str">
        <f>IF('Observaciones-SMP'!A707="","",'Observaciones-SMP'!A707)</f>
        <v/>
      </c>
      <c r="B707" s="257" t="str">
        <f>IF('Observaciones-SMP'!B707="","",'Observaciones-SMP'!B707)</f>
        <v/>
      </c>
      <c r="C707" s="193" t="str">
        <f>IF('Observaciones-SMP'!C707="","",'Observaciones-SMP'!C707)</f>
        <v/>
      </c>
      <c r="D707" s="193" t="str">
        <f>IF('Observaciones-SMP'!D707="","",'Observaciones-SMP'!D707)</f>
        <v/>
      </c>
      <c r="E707" s="193" t="str">
        <f>IF('Observaciones-SMP'!E707="","",'Observaciones-SMP'!E707)</f>
        <v/>
      </c>
      <c r="F707" s="193" t="str">
        <f>IF('Observaciones-SMP'!F707="","",'Observaciones-SMP'!F707)</f>
        <v/>
      </c>
      <c r="G707" s="193" t="str">
        <f>IF('Observaciones-SMP'!G707="","",'Observaciones-SMP'!G707)</f>
        <v/>
      </c>
      <c r="H707" s="193" t="str">
        <f>IF('Observaciones-SMP'!H707="","",'Observaciones-SMP'!H707)</f>
        <v/>
      </c>
      <c r="I707" s="193" t="str">
        <f>IF('Observaciones-SMP'!I707="","",'Observaciones-SMP'!I707)</f>
        <v/>
      </c>
      <c r="J707" s="193" t="str">
        <f>IF('Observaciones-SMP'!J707="","",'Observaciones-SMP'!J707)</f>
        <v/>
      </c>
      <c r="K707" s="193" t="str">
        <f>IF('Observaciones-SMP'!K707="","",'Observaciones-SMP'!K707)</f>
        <v/>
      </c>
      <c r="L707" s="193" t="str">
        <f>IF('Observaciones-SMP'!L707="","",'Observaciones-SMP'!L707)</f>
        <v/>
      </c>
      <c r="M707" s="193" t="str">
        <f>IF('Observaciones-SMP'!M707="","",'Observaciones-SMP'!M707)</f>
        <v/>
      </c>
      <c r="N707" s="193" t="str">
        <f>IF('Observaciones-SMP'!N707="","",'Observaciones-SMP'!N707)</f>
        <v/>
      </c>
      <c r="O707" s="193" t="str">
        <f>IF('Observaciones-SMP'!O707="","",'Observaciones-SMP'!O707)</f>
        <v/>
      </c>
      <c r="P707" s="193" t="str">
        <f>IF('Observaciones-SMP'!P707="","",'Observaciones-SMP'!P707)</f>
        <v/>
      </c>
      <c r="Q707" s="257" t="str">
        <f>IF('Observaciones-SMP'!S707="","",'Observaciones-SMP'!S707)</f>
        <v/>
      </c>
      <c r="R707" s="193" t="str">
        <f>IF('Observaciones-SMP'!T707="","",'Observaciones-SMP'!T707)</f>
        <v/>
      </c>
      <c r="S707" s="193" t="str">
        <f>""</f>
        <v/>
      </c>
      <c r="T707" s="193" t="str">
        <f>""</f>
        <v/>
      </c>
      <c r="U707" s="193" t="str">
        <f t="shared" si="44"/>
        <v/>
      </c>
      <c r="V707" s="193" t="str">
        <f>""</f>
        <v/>
      </c>
      <c r="W707" s="193" t="str">
        <f>""</f>
        <v/>
      </c>
      <c r="X707" s="258" t="str">
        <f t="shared" si="45"/>
        <v/>
      </c>
      <c r="Y707" s="258" t="str">
        <f t="shared" si="46"/>
        <v/>
      </c>
      <c r="Z707" s="193" t="str">
        <f>IF(A707="","",IF(COUNTIF('Observaciones-SMP'!$A$2:$A$1001,A707)&gt;1,1,0))</f>
        <v/>
      </c>
      <c r="AA707" s="193" t="str">
        <f t="shared" si="47"/>
        <v/>
      </c>
    </row>
    <row r="708" spans="1:27" ht="13.5" customHeight="1" x14ac:dyDescent="0.3">
      <c r="A708" s="193" t="str">
        <f>IF('Observaciones-SMP'!A708="","",'Observaciones-SMP'!A708)</f>
        <v/>
      </c>
      <c r="B708" s="257" t="str">
        <f>IF('Observaciones-SMP'!B708="","",'Observaciones-SMP'!B708)</f>
        <v/>
      </c>
      <c r="C708" s="193" t="str">
        <f>IF('Observaciones-SMP'!C708="","",'Observaciones-SMP'!C708)</f>
        <v/>
      </c>
      <c r="D708" s="193" t="str">
        <f>IF('Observaciones-SMP'!D708="","",'Observaciones-SMP'!D708)</f>
        <v/>
      </c>
      <c r="E708" s="193" t="str">
        <f>IF('Observaciones-SMP'!E708="","",'Observaciones-SMP'!E708)</f>
        <v/>
      </c>
      <c r="F708" s="193" t="str">
        <f>IF('Observaciones-SMP'!F708="","",'Observaciones-SMP'!F708)</f>
        <v/>
      </c>
      <c r="G708" s="193" t="str">
        <f>IF('Observaciones-SMP'!G708="","",'Observaciones-SMP'!G708)</f>
        <v/>
      </c>
      <c r="H708" s="193" t="str">
        <f>IF('Observaciones-SMP'!H708="","",'Observaciones-SMP'!H708)</f>
        <v/>
      </c>
      <c r="I708" s="193" t="str">
        <f>IF('Observaciones-SMP'!I708="","",'Observaciones-SMP'!I708)</f>
        <v/>
      </c>
      <c r="J708" s="193" t="str">
        <f>IF('Observaciones-SMP'!J708="","",'Observaciones-SMP'!J708)</f>
        <v/>
      </c>
      <c r="K708" s="193" t="str">
        <f>IF('Observaciones-SMP'!K708="","",'Observaciones-SMP'!K708)</f>
        <v/>
      </c>
      <c r="L708" s="193" t="str">
        <f>IF('Observaciones-SMP'!L708="","",'Observaciones-SMP'!L708)</f>
        <v/>
      </c>
      <c r="M708" s="193" t="str">
        <f>IF('Observaciones-SMP'!M708="","",'Observaciones-SMP'!M708)</f>
        <v/>
      </c>
      <c r="N708" s="193" t="str">
        <f>IF('Observaciones-SMP'!N708="","",'Observaciones-SMP'!N708)</f>
        <v/>
      </c>
      <c r="O708" s="193" t="str">
        <f>IF('Observaciones-SMP'!O708="","",'Observaciones-SMP'!O708)</f>
        <v/>
      </c>
      <c r="P708" s="193" t="str">
        <f>IF('Observaciones-SMP'!P708="","",'Observaciones-SMP'!P708)</f>
        <v/>
      </c>
      <c r="Q708" s="257" t="str">
        <f>IF('Observaciones-SMP'!S708="","",'Observaciones-SMP'!S708)</f>
        <v/>
      </c>
      <c r="R708" s="193" t="str">
        <f>IF('Observaciones-SMP'!T708="","",'Observaciones-SMP'!T708)</f>
        <v/>
      </c>
      <c r="S708" s="193" t="str">
        <f>""</f>
        <v/>
      </c>
      <c r="T708" s="193" t="str">
        <f>""</f>
        <v/>
      </c>
      <c r="U708" s="193" t="str">
        <f t="shared" si="44"/>
        <v/>
      </c>
      <c r="V708" s="193" t="str">
        <f>""</f>
        <v/>
      </c>
      <c r="W708" s="193" t="str">
        <f>""</f>
        <v/>
      </c>
      <c r="X708" s="258" t="str">
        <f t="shared" si="45"/>
        <v/>
      </c>
      <c r="Y708" s="258" t="str">
        <f t="shared" si="46"/>
        <v/>
      </c>
      <c r="Z708" s="193" t="str">
        <f>IF(A708="","",IF(COUNTIF('Observaciones-SMP'!$A$2:$A$1001,A708)&gt;1,1,0))</f>
        <v/>
      </c>
      <c r="AA708" s="193" t="str">
        <f t="shared" si="47"/>
        <v/>
      </c>
    </row>
    <row r="709" spans="1:27" ht="13.5" customHeight="1" x14ac:dyDescent="0.3">
      <c r="A709" s="193" t="str">
        <f>IF('Observaciones-SMP'!A709="","",'Observaciones-SMP'!A709)</f>
        <v/>
      </c>
      <c r="B709" s="257" t="str">
        <f>IF('Observaciones-SMP'!B709="","",'Observaciones-SMP'!B709)</f>
        <v/>
      </c>
      <c r="C709" s="193" t="str">
        <f>IF('Observaciones-SMP'!C709="","",'Observaciones-SMP'!C709)</f>
        <v/>
      </c>
      <c r="D709" s="193" t="str">
        <f>IF('Observaciones-SMP'!D709="","",'Observaciones-SMP'!D709)</f>
        <v/>
      </c>
      <c r="E709" s="193" t="str">
        <f>IF('Observaciones-SMP'!E709="","",'Observaciones-SMP'!E709)</f>
        <v/>
      </c>
      <c r="F709" s="193" t="str">
        <f>IF('Observaciones-SMP'!F709="","",'Observaciones-SMP'!F709)</f>
        <v/>
      </c>
      <c r="G709" s="193" t="str">
        <f>IF('Observaciones-SMP'!G709="","",'Observaciones-SMP'!G709)</f>
        <v/>
      </c>
      <c r="H709" s="193" t="str">
        <f>IF('Observaciones-SMP'!H709="","",'Observaciones-SMP'!H709)</f>
        <v/>
      </c>
      <c r="I709" s="193" t="str">
        <f>IF('Observaciones-SMP'!I709="","",'Observaciones-SMP'!I709)</f>
        <v/>
      </c>
      <c r="J709" s="193" t="str">
        <f>IF('Observaciones-SMP'!J709="","",'Observaciones-SMP'!J709)</f>
        <v/>
      </c>
      <c r="K709" s="193" t="str">
        <f>IF('Observaciones-SMP'!K709="","",'Observaciones-SMP'!K709)</f>
        <v/>
      </c>
      <c r="L709" s="193" t="str">
        <f>IF('Observaciones-SMP'!L709="","",'Observaciones-SMP'!L709)</f>
        <v/>
      </c>
      <c r="M709" s="193" t="str">
        <f>IF('Observaciones-SMP'!M709="","",'Observaciones-SMP'!M709)</f>
        <v/>
      </c>
      <c r="N709" s="193" t="str">
        <f>IF('Observaciones-SMP'!N709="","",'Observaciones-SMP'!N709)</f>
        <v/>
      </c>
      <c r="O709" s="193" t="str">
        <f>IF('Observaciones-SMP'!O709="","",'Observaciones-SMP'!O709)</f>
        <v/>
      </c>
      <c r="P709" s="193" t="str">
        <f>IF('Observaciones-SMP'!P709="","",'Observaciones-SMP'!P709)</f>
        <v/>
      </c>
      <c r="Q709" s="257" t="str">
        <f>IF('Observaciones-SMP'!S709="","",'Observaciones-SMP'!S709)</f>
        <v/>
      </c>
      <c r="R709" s="193" t="str">
        <f>IF('Observaciones-SMP'!T709="","",'Observaciones-SMP'!T709)</f>
        <v/>
      </c>
      <c r="S709" s="193" t="str">
        <f>""</f>
        <v/>
      </c>
      <c r="T709" s="193" t="str">
        <f>""</f>
        <v/>
      </c>
      <c r="U709" s="193" t="str">
        <f t="shared" si="44"/>
        <v/>
      </c>
      <c r="V709" s="193" t="str">
        <f>""</f>
        <v/>
      </c>
      <c r="W709" s="193" t="str">
        <f>""</f>
        <v/>
      </c>
      <c r="X709" s="258" t="str">
        <f t="shared" si="45"/>
        <v/>
      </c>
      <c r="Y709" s="258" t="str">
        <f t="shared" si="46"/>
        <v/>
      </c>
      <c r="Z709" s="193" t="str">
        <f>IF(A709="","",IF(COUNTIF('Observaciones-SMP'!$A$2:$A$1001,A709)&gt;1,1,0))</f>
        <v/>
      </c>
      <c r="AA709" s="193" t="str">
        <f t="shared" si="47"/>
        <v/>
      </c>
    </row>
    <row r="710" spans="1:27" ht="13.5" customHeight="1" x14ac:dyDescent="0.3">
      <c r="A710" s="193" t="str">
        <f>IF('Observaciones-SMP'!A710="","",'Observaciones-SMP'!A710)</f>
        <v/>
      </c>
      <c r="B710" s="257" t="str">
        <f>IF('Observaciones-SMP'!B710="","",'Observaciones-SMP'!B710)</f>
        <v/>
      </c>
      <c r="C710" s="193" t="str">
        <f>IF('Observaciones-SMP'!C710="","",'Observaciones-SMP'!C710)</f>
        <v/>
      </c>
      <c r="D710" s="193" t="str">
        <f>IF('Observaciones-SMP'!D710="","",'Observaciones-SMP'!D710)</f>
        <v/>
      </c>
      <c r="E710" s="193" t="str">
        <f>IF('Observaciones-SMP'!E710="","",'Observaciones-SMP'!E710)</f>
        <v/>
      </c>
      <c r="F710" s="193" t="str">
        <f>IF('Observaciones-SMP'!F710="","",'Observaciones-SMP'!F710)</f>
        <v/>
      </c>
      <c r="G710" s="193" t="str">
        <f>IF('Observaciones-SMP'!G710="","",'Observaciones-SMP'!G710)</f>
        <v/>
      </c>
      <c r="H710" s="193" t="str">
        <f>IF('Observaciones-SMP'!H710="","",'Observaciones-SMP'!H710)</f>
        <v/>
      </c>
      <c r="I710" s="193" t="str">
        <f>IF('Observaciones-SMP'!I710="","",'Observaciones-SMP'!I710)</f>
        <v/>
      </c>
      <c r="J710" s="193" t="str">
        <f>IF('Observaciones-SMP'!J710="","",'Observaciones-SMP'!J710)</f>
        <v/>
      </c>
      <c r="K710" s="193" t="str">
        <f>IF('Observaciones-SMP'!K710="","",'Observaciones-SMP'!K710)</f>
        <v/>
      </c>
      <c r="L710" s="193" t="str">
        <f>IF('Observaciones-SMP'!L710="","",'Observaciones-SMP'!L710)</f>
        <v/>
      </c>
      <c r="M710" s="193" t="str">
        <f>IF('Observaciones-SMP'!M710="","",'Observaciones-SMP'!M710)</f>
        <v/>
      </c>
      <c r="N710" s="193" t="str">
        <f>IF('Observaciones-SMP'!N710="","",'Observaciones-SMP'!N710)</f>
        <v/>
      </c>
      <c r="O710" s="193" t="str">
        <f>IF('Observaciones-SMP'!O710="","",'Observaciones-SMP'!O710)</f>
        <v/>
      </c>
      <c r="P710" s="193" t="str">
        <f>IF('Observaciones-SMP'!P710="","",'Observaciones-SMP'!P710)</f>
        <v/>
      </c>
      <c r="Q710" s="257" t="str">
        <f>IF('Observaciones-SMP'!S710="","",'Observaciones-SMP'!S710)</f>
        <v/>
      </c>
      <c r="R710" s="193" t="str">
        <f>IF('Observaciones-SMP'!T710="","",'Observaciones-SMP'!T710)</f>
        <v/>
      </c>
      <c r="S710" s="193" t="str">
        <f>""</f>
        <v/>
      </c>
      <c r="T710" s="193" t="str">
        <f>""</f>
        <v/>
      </c>
      <c r="U710" s="193" t="str">
        <f t="shared" si="44"/>
        <v/>
      </c>
      <c r="V710" s="193" t="str">
        <f>""</f>
        <v/>
      </c>
      <c r="W710" s="193" t="str">
        <f>""</f>
        <v/>
      </c>
      <c r="X710" s="258" t="str">
        <f t="shared" si="45"/>
        <v/>
      </c>
      <c r="Y710" s="258" t="str">
        <f t="shared" si="46"/>
        <v/>
      </c>
      <c r="Z710" s="193" t="str">
        <f>IF(A710="","",IF(COUNTIF('Observaciones-SMP'!$A$2:$A$1001,A710)&gt;1,1,0))</f>
        <v/>
      </c>
      <c r="AA710" s="193" t="str">
        <f t="shared" si="47"/>
        <v/>
      </c>
    </row>
    <row r="711" spans="1:27" ht="13.5" customHeight="1" x14ac:dyDescent="0.3">
      <c r="A711" s="193" t="str">
        <f>IF('Observaciones-SMP'!A711="","",'Observaciones-SMP'!A711)</f>
        <v/>
      </c>
      <c r="B711" s="257" t="str">
        <f>IF('Observaciones-SMP'!B711="","",'Observaciones-SMP'!B711)</f>
        <v/>
      </c>
      <c r="C711" s="193" t="str">
        <f>IF('Observaciones-SMP'!C711="","",'Observaciones-SMP'!C711)</f>
        <v/>
      </c>
      <c r="D711" s="193" t="str">
        <f>IF('Observaciones-SMP'!D711="","",'Observaciones-SMP'!D711)</f>
        <v/>
      </c>
      <c r="E711" s="193" t="str">
        <f>IF('Observaciones-SMP'!E711="","",'Observaciones-SMP'!E711)</f>
        <v/>
      </c>
      <c r="F711" s="193" t="str">
        <f>IF('Observaciones-SMP'!F711="","",'Observaciones-SMP'!F711)</f>
        <v/>
      </c>
      <c r="G711" s="193" t="str">
        <f>IF('Observaciones-SMP'!G711="","",'Observaciones-SMP'!G711)</f>
        <v/>
      </c>
      <c r="H711" s="193" t="str">
        <f>IF('Observaciones-SMP'!H711="","",'Observaciones-SMP'!H711)</f>
        <v/>
      </c>
      <c r="I711" s="193" t="str">
        <f>IF('Observaciones-SMP'!I711="","",'Observaciones-SMP'!I711)</f>
        <v/>
      </c>
      <c r="J711" s="193" t="str">
        <f>IF('Observaciones-SMP'!J711="","",'Observaciones-SMP'!J711)</f>
        <v/>
      </c>
      <c r="K711" s="193" t="str">
        <f>IF('Observaciones-SMP'!K711="","",'Observaciones-SMP'!K711)</f>
        <v/>
      </c>
      <c r="L711" s="193" t="str">
        <f>IF('Observaciones-SMP'!L711="","",'Observaciones-SMP'!L711)</f>
        <v/>
      </c>
      <c r="M711" s="193" t="str">
        <f>IF('Observaciones-SMP'!M711="","",'Observaciones-SMP'!M711)</f>
        <v/>
      </c>
      <c r="N711" s="193" t="str">
        <f>IF('Observaciones-SMP'!N711="","",'Observaciones-SMP'!N711)</f>
        <v/>
      </c>
      <c r="O711" s="193" t="str">
        <f>IF('Observaciones-SMP'!O711="","",'Observaciones-SMP'!O711)</f>
        <v/>
      </c>
      <c r="P711" s="193" t="str">
        <f>IF('Observaciones-SMP'!P711="","",'Observaciones-SMP'!P711)</f>
        <v/>
      </c>
      <c r="Q711" s="257" t="str">
        <f>IF('Observaciones-SMP'!S711="","",'Observaciones-SMP'!S711)</f>
        <v/>
      </c>
      <c r="R711" s="193" t="str">
        <f>IF('Observaciones-SMP'!T711="","",'Observaciones-SMP'!T711)</f>
        <v/>
      </c>
      <c r="S711" s="193" t="str">
        <f>""</f>
        <v/>
      </c>
      <c r="T711" s="193" t="str">
        <f>""</f>
        <v/>
      </c>
      <c r="U711" s="193" t="str">
        <f t="shared" si="44"/>
        <v/>
      </c>
      <c r="V711" s="193" t="str">
        <f>""</f>
        <v/>
      </c>
      <c r="W711" s="193" t="str">
        <f>""</f>
        <v/>
      </c>
      <c r="X711" s="258" t="str">
        <f t="shared" si="45"/>
        <v/>
      </c>
      <c r="Y711" s="258" t="str">
        <f t="shared" si="46"/>
        <v/>
      </c>
      <c r="Z711" s="193" t="str">
        <f>IF(A711="","",IF(COUNTIF('Observaciones-SMP'!$A$2:$A$1001,A711)&gt;1,1,0))</f>
        <v/>
      </c>
      <c r="AA711" s="193" t="str">
        <f t="shared" si="47"/>
        <v/>
      </c>
    </row>
    <row r="712" spans="1:27" ht="13.5" customHeight="1" x14ac:dyDescent="0.3">
      <c r="A712" s="193" t="str">
        <f>IF('Observaciones-SMP'!A712="","",'Observaciones-SMP'!A712)</f>
        <v/>
      </c>
      <c r="B712" s="257" t="str">
        <f>IF('Observaciones-SMP'!B712="","",'Observaciones-SMP'!B712)</f>
        <v/>
      </c>
      <c r="C712" s="193" t="str">
        <f>IF('Observaciones-SMP'!C712="","",'Observaciones-SMP'!C712)</f>
        <v/>
      </c>
      <c r="D712" s="193" t="str">
        <f>IF('Observaciones-SMP'!D712="","",'Observaciones-SMP'!D712)</f>
        <v/>
      </c>
      <c r="E712" s="193" t="str">
        <f>IF('Observaciones-SMP'!E712="","",'Observaciones-SMP'!E712)</f>
        <v/>
      </c>
      <c r="F712" s="193" t="str">
        <f>IF('Observaciones-SMP'!F712="","",'Observaciones-SMP'!F712)</f>
        <v/>
      </c>
      <c r="G712" s="193" t="str">
        <f>IF('Observaciones-SMP'!G712="","",'Observaciones-SMP'!G712)</f>
        <v/>
      </c>
      <c r="H712" s="193" t="str">
        <f>IF('Observaciones-SMP'!H712="","",'Observaciones-SMP'!H712)</f>
        <v/>
      </c>
      <c r="I712" s="193" t="str">
        <f>IF('Observaciones-SMP'!I712="","",'Observaciones-SMP'!I712)</f>
        <v/>
      </c>
      <c r="J712" s="193" t="str">
        <f>IF('Observaciones-SMP'!J712="","",'Observaciones-SMP'!J712)</f>
        <v/>
      </c>
      <c r="K712" s="193" t="str">
        <f>IF('Observaciones-SMP'!K712="","",'Observaciones-SMP'!K712)</f>
        <v/>
      </c>
      <c r="L712" s="193" t="str">
        <f>IF('Observaciones-SMP'!L712="","",'Observaciones-SMP'!L712)</f>
        <v/>
      </c>
      <c r="M712" s="193" t="str">
        <f>IF('Observaciones-SMP'!M712="","",'Observaciones-SMP'!M712)</f>
        <v/>
      </c>
      <c r="N712" s="193" t="str">
        <f>IF('Observaciones-SMP'!N712="","",'Observaciones-SMP'!N712)</f>
        <v/>
      </c>
      <c r="O712" s="193" t="str">
        <f>IF('Observaciones-SMP'!O712="","",'Observaciones-SMP'!O712)</f>
        <v/>
      </c>
      <c r="P712" s="193" t="str">
        <f>IF('Observaciones-SMP'!P712="","",'Observaciones-SMP'!P712)</f>
        <v/>
      </c>
      <c r="Q712" s="257" t="str">
        <f>IF('Observaciones-SMP'!S712="","",'Observaciones-SMP'!S712)</f>
        <v/>
      </c>
      <c r="R712" s="193" t="str">
        <f>IF('Observaciones-SMP'!T712="","",'Observaciones-SMP'!T712)</f>
        <v/>
      </c>
      <c r="S712" s="193" t="str">
        <f>""</f>
        <v/>
      </c>
      <c r="T712" s="193" t="str">
        <f>""</f>
        <v/>
      </c>
      <c r="U712" s="193" t="str">
        <f t="shared" si="44"/>
        <v/>
      </c>
      <c r="V712" s="193" t="str">
        <f>""</f>
        <v/>
      </c>
      <c r="W712" s="193" t="str">
        <f>""</f>
        <v/>
      </c>
      <c r="X712" s="258" t="str">
        <f t="shared" si="45"/>
        <v/>
      </c>
      <c r="Y712" s="258" t="str">
        <f t="shared" si="46"/>
        <v/>
      </c>
      <c r="Z712" s="193" t="str">
        <f>IF(A712="","",IF(COUNTIF('Observaciones-SMP'!$A$2:$A$1001,A712)&gt;1,1,0))</f>
        <v/>
      </c>
      <c r="AA712" s="193" t="str">
        <f t="shared" si="47"/>
        <v/>
      </c>
    </row>
    <row r="713" spans="1:27" ht="13.5" customHeight="1" x14ac:dyDescent="0.3">
      <c r="A713" s="193" t="str">
        <f>IF('Observaciones-SMP'!A713="","",'Observaciones-SMP'!A713)</f>
        <v/>
      </c>
      <c r="B713" s="257" t="str">
        <f>IF('Observaciones-SMP'!B713="","",'Observaciones-SMP'!B713)</f>
        <v/>
      </c>
      <c r="C713" s="193" t="str">
        <f>IF('Observaciones-SMP'!C713="","",'Observaciones-SMP'!C713)</f>
        <v/>
      </c>
      <c r="D713" s="193" t="str">
        <f>IF('Observaciones-SMP'!D713="","",'Observaciones-SMP'!D713)</f>
        <v/>
      </c>
      <c r="E713" s="193" t="str">
        <f>IF('Observaciones-SMP'!E713="","",'Observaciones-SMP'!E713)</f>
        <v/>
      </c>
      <c r="F713" s="193" t="str">
        <f>IF('Observaciones-SMP'!F713="","",'Observaciones-SMP'!F713)</f>
        <v/>
      </c>
      <c r="G713" s="193" t="str">
        <f>IF('Observaciones-SMP'!G713="","",'Observaciones-SMP'!G713)</f>
        <v/>
      </c>
      <c r="H713" s="193" t="str">
        <f>IF('Observaciones-SMP'!H713="","",'Observaciones-SMP'!H713)</f>
        <v/>
      </c>
      <c r="I713" s="193" t="str">
        <f>IF('Observaciones-SMP'!I713="","",'Observaciones-SMP'!I713)</f>
        <v/>
      </c>
      <c r="J713" s="193" t="str">
        <f>IF('Observaciones-SMP'!J713="","",'Observaciones-SMP'!J713)</f>
        <v/>
      </c>
      <c r="K713" s="193" t="str">
        <f>IF('Observaciones-SMP'!K713="","",'Observaciones-SMP'!K713)</f>
        <v/>
      </c>
      <c r="L713" s="193" t="str">
        <f>IF('Observaciones-SMP'!L713="","",'Observaciones-SMP'!L713)</f>
        <v/>
      </c>
      <c r="M713" s="193" t="str">
        <f>IF('Observaciones-SMP'!M713="","",'Observaciones-SMP'!M713)</f>
        <v/>
      </c>
      <c r="N713" s="193" t="str">
        <f>IF('Observaciones-SMP'!N713="","",'Observaciones-SMP'!N713)</f>
        <v/>
      </c>
      <c r="O713" s="193" t="str">
        <f>IF('Observaciones-SMP'!O713="","",'Observaciones-SMP'!O713)</f>
        <v/>
      </c>
      <c r="P713" s="193" t="str">
        <f>IF('Observaciones-SMP'!P713="","",'Observaciones-SMP'!P713)</f>
        <v/>
      </c>
      <c r="Q713" s="257" t="str">
        <f>IF('Observaciones-SMP'!S713="","",'Observaciones-SMP'!S713)</f>
        <v/>
      </c>
      <c r="R713" s="193" t="str">
        <f>IF('Observaciones-SMP'!T713="","",'Observaciones-SMP'!T713)</f>
        <v/>
      </c>
      <c r="S713" s="193" t="str">
        <f>""</f>
        <v/>
      </c>
      <c r="T713" s="193" t="str">
        <f>""</f>
        <v/>
      </c>
      <c r="U713" s="193" t="str">
        <f t="shared" si="44"/>
        <v/>
      </c>
      <c r="V713" s="193" t="str">
        <f>""</f>
        <v/>
      </c>
      <c r="W713" s="193" t="str">
        <f>""</f>
        <v/>
      </c>
      <c r="X713" s="258" t="str">
        <f t="shared" si="45"/>
        <v/>
      </c>
      <c r="Y713" s="258" t="str">
        <f t="shared" si="46"/>
        <v/>
      </c>
      <c r="Z713" s="193" t="str">
        <f>IF(A713="","",IF(COUNTIF('Observaciones-SMP'!$A$2:$A$1001,A713)&gt;1,1,0))</f>
        <v/>
      </c>
      <c r="AA713" s="193" t="str">
        <f t="shared" si="47"/>
        <v/>
      </c>
    </row>
    <row r="714" spans="1:27" ht="13.5" customHeight="1" x14ac:dyDescent="0.3">
      <c r="A714" s="193" t="str">
        <f>IF('Observaciones-SMP'!A714="","",'Observaciones-SMP'!A714)</f>
        <v/>
      </c>
      <c r="B714" s="257" t="str">
        <f>IF('Observaciones-SMP'!B714="","",'Observaciones-SMP'!B714)</f>
        <v/>
      </c>
      <c r="C714" s="193" t="str">
        <f>IF('Observaciones-SMP'!C714="","",'Observaciones-SMP'!C714)</f>
        <v/>
      </c>
      <c r="D714" s="193" t="str">
        <f>IF('Observaciones-SMP'!D714="","",'Observaciones-SMP'!D714)</f>
        <v/>
      </c>
      <c r="E714" s="193" t="str">
        <f>IF('Observaciones-SMP'!E714="","",'Observaciones-SMP'!E714)</f>
        <v/>
      </c>
      <c r="F714" s="193" t="str">
        <f>IF('Observaciones-SMP'!F714="","",'Observaciones-SMP'!F714)</f>
        <v/>
      </c>
      <c r="G714" s="193" t="str">
        <f>IF('Observaciones-SMP'!G714="","",'Observaciones-SMP'!G714)</f>
        <v/>
      </c>
      <c r="H714" s="193" t="str">
        <f>IF('Observaciones-SMP'!H714="","",'Observaciones-SMP'!H714)</f>
        <v/>
      </c>
      <c r="I714" s="193" t="str">
        <f>IF('Observaciones-SMP'!I714="","",'Observaciones-SMP'!I714)</f>
        <v/>
      </c>
      <c r="J714" s="193" t="str">
        <f>IF('Observaciones-SMP'!J714="","",'Observaciones-SMP'!J714)</f>
        <v/>
      </c>
      <c r="K714" s="193" t="str">
        <f>IF('Observaciones-SMP'!K714="","",'Observaciones-SMP'!K714)</f>
        <v/>
      </c>
      <c r="L714" s="193" t="str">
        <f>IF('Observaciones-SMP'!L714="","",'Observaciones-SMP'!L714)</f>
        <v/>
      </c>
      <c r="M714" s="193" t="str">
        <f>IF('Observaciones-SMP'!M714="","",'Observaciones-SMP'!M714)</f>
        <v/>
      </c>
      <c r="N714" s="193" t="str">
        <f>IF('Observaciones-SMP'!N714="","",'Observaciones-SMP'!N714)</f>
        <v/>
      </c>
      <c r="O714" s="193" t="str">
        <f>IF('Observaciones-SMP'!O714="","",'Observaciones-SMP'!O714)</f>
        <v/>
      </c>
      <c r="P714" s="193" t="str">
        <f>IF('Observaciones-SMP'!P714="","",'Observaciones-SMP'!P714)</f>
        <v/>
      </c>
      <c r="Q714" s="257" t="str">
        <f>IF('Observaciones-SMP'!S714="","",'Observaciones-SMP'!S714)</f>
        <v/>
      </c>
      <c r="R714" s="193" t="str">
        <f>IF('Observaciones-SMP'!T714="","",'Observaciones-SMP'!T714)</f>
        <v/>
      </c>
      <c r="S714" s="193" t="str">
        <f>""</f>
        <v/>
      </c>
      <c r="T714" s="193" t="str">
        <f>""</f>
        <v/>
      </c>
      <c r="U714" s="193" t="str">
        <f t="shared" si="44"/>
        <v/>
      </c>
      <c r="V714" s="193" t="str">
        <f>""</f>
        <v/>
      </c>
      <c r="W714" s="193" t="str">
        <f>""</f>
        <v/>
      </c>
      <c r="X714" s="258" t="str">
        <f t="shared" si="45"/>
        <v/>
      </c>
      <c r="Y714" s="258" t="str">
        <f t="shared" si="46"/>
        <v/>
      </c>
      <c r="Z714" s="193" t="str">
        <f>IF(A714="","",IF(COUNTIF('Observaciones-SMP'!$A$2:$A$1001,A714)&gt;1,1,0))</f>
        <v/>
      </c>
      <c r="AA714" s="193" t="str">
        <f t="shared" si="47"/>
        <v/>
      </c>
    </row>
    <row r="715" spans="1:27" ht="13.5" customHeight="1" x14ac:dyDescent="0.3">
      <c r="A715" s="193" t="str">
        <f>IF('Observaciones-SMP'!A715="","",'Observaciones-SMP'!A715)</f>
        <v/>
      </c>
      <c r="B715" s="257" t="str">
        <f>IF('Observaciones-SMP'!B715="","",'Observaciones-SMP'!B715)</f>
        <v/>
      </c>
      <c r="C715" s="193" t="str">
        <f>IF('Observaciones-SMP'!C715="","",'Observaciones-SMP'!C715)</f>
        <v/>
      </c>
      <c r="D715" s="193" t="str">
        <f>IF('Observaciones-SMP'!D715="","",'Observaciones-SMP'!D715)</f>
        <v/>
      </c>
      <c r="E715" s="193" t="str">
        <f>IF('Observaciones-SMP'!E715="","",'Observaciones-SMP'!E715)</f>
        <v/>
      </c>
      <c r="F715" s="193" t="str">
        <f>IF('Observaciones-SMP'!F715="","",'Observaciones-SMP'!F715)</f>
        <v/>
      </c>
      <c r="G715" s="193" t="str">
        <f>IF('Observaciones-SMP'!G715="","",'Observaciones-SMP'!G715)</f>
        <v/>
      </c>
      <c r="H715" s="193" t="str">
        <f>IF('Observaciones-SMP'!H715="","",'Observaciones-SMP'!H715)</f>
        <v/>
      </c>
      <c r="I715" s="193" t="str">
        <f>IF('Observaciones-SMP'!I715="","",'Observaciones-SMP'!I715)</f>
        <v/>
      </c>
      <c r="J715" s="193" t="str">
        <f>IF('Observaciones-SMP'!J715="","",'Observaciones-SMP'!J715)</f>
        <v/>
      </c>
      <c r="K715" s="193" t="str">
        <f>IF('Observaciones-SMP'!K715="","",'Observaciones-SMP'!K715)</f>
        <v/>
      </c>
      <c r="L715" s="193" t="str">
        <f>IF('Observaciones-SMP'!L715="","",'Observaciones-SMP'!L715)</f>
        <v/>
      </c>
      <c r="M715" s="193" t="str">
        <f>IF('Observaciones-SMP'!M715="","",'Observaciones-SMP'!M715)</f>
        <v/>
      </c>
      <c r="N715" s="193" t="str">
        <f>IF('Observaciones-SMP'!N715="","",'Observaciones-SMP'!N715)</f>
        <v/>
      </c>
      <c r="O715" s="193" t="str">
        <f>IF('Observaciones-SMP'!O715="","",'Observaciones-SMP'!O715)</f>
        <v/>
      </c>
      <c r="P715" s="193" t="str">
        <f>IF('Observaciones-SMP'!P715="","",'Observaciones-SMP'!P715)</f>
        <v/>
      </c>
      <c r="Q715" s="257" t="str">
        <f>IF('Observaciones-SMP'!S715="","",'Observaciones-SMP'!S715)</f>
        <v/>
      </c>
      <c r="R715" s="193" t="str">
        <f>IF('Observaciones-SMP'!T715="","",'Observaciones-SMP'!T715)</f>
        <v/>
      </c>
      <c r="S715" s="193" t="str">
        <f>""</f>
        <v/>
      </c>
      <c r="T715" s="193" t="str">
        <f>""</f>
        <v/>
      </c>
      <c r="U715" s="193" t="str">
        <f t="shared" si="44"/>
        <v/>
      </c>
      <c r="V715" s="193" t="str">
        <f>""</f>
        <v/>
      </c>
      <c r="W715" s="193" t="str">
        <f>""</f>
        <v/>
      </c>
      <c r="X715" s="258" t="str">
        <f t="shared" si="45"/>
        <v/>
      </c>
      <c r="Y715" s="258" t="str">
        <f t="shared" si="46"/>
        <v/>
      </c>
      <c r="Z715" s="193" t="str">
        <f>IF(A715="","",IF(COUNTIF('Observaciones-SMP'!$A$2:$A$1001,A715)&gt;1,1,0))</f>
        <v/>
      </c>
      <c r="AA715" s="193" t="str">
        <f t="shared" si="47"/>
        <v/>
      </c>
    </row>
    <row r="716" spans="1:27" ht="13.5" customHeight="1" x14ac:dyDescent="0.3">
      <c r="A716" s="193" t="str">
        <f>IF('Observaciones-SMP'!A716="","",'Observaciones-SMP'!A716)</f>
        <v/>
      </c>
      <c r="B716" s="257" t="str">
        <f>IF('Observaciones-SMP'!B716="","",'Observaciones-SMP'!B716)</f>
        <v/>
      </c>
      <c r="C716" s="193" t="str">
        <f>IF('Observaciones-SMP'!C716="","",'Observaciones-SMP'!C716)</f>
        <v/>
      </c>
      <c r="D716" s="193" t="str">
        <f>IF('Observaciones-SMP'!D716="","",'Observaciones-SMP'!D716)</f>
        <v/>
      </c>
      <c r="E716" s="193" t="str">
        <f>IF('Observaciones-SMP'!E716="","",'Observaciones-SMP'!E716)</f>
        <v/>
      </c>
      <c r="F716" s="193" t="str">
        <f>IF('Observaciones-SMP'!F716="","",'Observaciones-SMP'!F716)</f>
        <v/>
      </c>
      <c r="G716" s="193" t="str">
        <f>IF('Observaciones-SMP'!G716="","",'Observaciones-SMP'!G716)</f>
        <v/>
      </c>
      <c r="H716" s="193" t="str">
        <f>IF('Observaciones-SMP'!H716="","",'Observaciones-SMP'!H716)</f>
        <v/>
      </c>
      <c r="I716" s="193" t="str">
        <f>IF('Observaciones-SMP'!I716="","",'Observaciones-SMP'!I716)</f>
        <v/>
      </c>
      <c r="J716" s="193" t="str">
        <f>IF('Observaciones-SMP'!J716="","",'Observaciones-SMP'!J716)</f>
        <v/>
      </c>
      <c r="K716" s="193" t="str">
        <f>IF('Observaciones-SMP'!K716="","",'Observaciones-SMP'!K716)</f>
        <v/>
      </c>
      <c r="L716" s="193" t="str">
        <f>IF('Observaciones-SMP'!L716="","",'Observaciones-SMP'!L716)</f>
        <v/>
      </c>
      <c r="M716" s="193" t="str">
        <f>IF('Observaciones-SMP'!M716="","",'Observaciones-SMP'!M716)</f>
        <v/>
      </c>
      <c r="N716" s="193" t="str">
        <f>IF('Observaciones-SMP'!N716="","",'Observaciones-SMP'!N716)</f>
        <v/>
      </c>
      <c r="O716" s="193" t="str">
        <f>IF('Observaciones-SMP'!O716="","",'Observaciones-SMP'!O716)</f>
        <v/>
      </c>
      <c r="P716" s="193" t="str">
        <f>IF('Observaciones-SMP'!P716="","",'Observaciones-SMP'!P716)</f>
        <v/>
      </c>
      <c r="Q716" s="257" t="str">
        <f>IF('Observaciones-SMP'!S716="","",'Observaciones-SMP'!S716)</f>
        <v/>
      </c>
      <c r="R716" s="193" t="str">
        <f>IF('Observaciones-SMP'!T716="","",'Observaciones-SMP'!T716)</f>
        <v/>
      </c>
      <c r="S716" s="193" t="str">
        <f>""</f>
        <v/>
      </c>
      <c r="T716" s="193" t="str">
        <f>""</f>
        <v/>
      </c>
      <c r="U716" s="193" t="str">
        <f t="shared" si="44"/>
        <v/>
      </c>
      <c r="V716" s="193" t="str">
        <f>""</f>
        <v/>
      </c>
      <c r="W716" s="193" t="str">
        <f>""</f>
        <v/>
      </c>
      <c r="X716" s="258" t="str">
        <f t="shared" si="45"/>
        <v/>
      </c>
      <c r="Y716" s="258" t="str">
        <f t="shared" si="46"/>
        <v/>
      </c>
      <c r="Z716" s="193" t="str">
        <f>IF(A716="","",IF(COUNTIF('Observaciones-SMP'!$A$2:$A$1001,A716)&gt;1,1,0))</f>
        <v/>
      </c>
      <c r="AA716" s="193" t="str">
        <f t="shared" si="47"/>
        <v/>
      </c>
    </row>
    <row r="717" spans="1:27" ht="13.5" customHeight="1" x14ac:dyDescent="0.3">
      <c r="A717" s="193" t="str">
        <f>IF('Observaciones-SMP'!A717="","",'Observaciones-SMP'!A717)</f>
        <v/>
      </c>
      <c r="B717" s="257" t="str">
        <f>IF('Observaciones-SMP'!B717="","",'Observaciones-SMP'!B717)</f>
        <v/>
      </c>
      <c r="C717" s="193" t="str">
        <f>IF('Observaciones-SMP'!C717="","",'Observaciones-SMP'!C717)</f>
        <v/>
      </c>
      <c r="D717" s="193" t="str">
        <f>IF('Observaciones-SMP'!D717="","",'Observaciones-SMP'!D717)</f>
        <v/>
      </c>
      <c r="E717" s="193" t="str">
        <f>IF('Observaciones-SMP'!E717="","",'Observaciones-SMP'!E717)</f>
        <v/>
      </c>
      <c r="F717" s="193" t="str">
        <f>IF('Observaciones-SMP'!F717="","",'Observaciones-SMP'!F717)</f>
        <v/>
      </c>
      <c r="G717" s="193" t="str">
        <f>IF('Observaciones-SMP'!G717="","",'Observaciones-SMP'!G717)</f>
        <v/>
      </c>
      <c r="H717" s="193" t="str">
        <f>IF('Observaciones-SMP'!H717="","",'Observaciones-SMP'!H717)</f>
        <v/>
      </c>
      <c r="I717" s="193" t="str">
        <f>IF('Observaciones-SMP'!I717="","",'Observaciones-SMP'!I717)</f>
        <v/>
      </c>
      <c r="J717" s="193" t="str">
        <f>IF('Observaciones-SMP'!J717="","",'Observaciones-SMP'!J717)</f>
        <v/>
      </c>
      <c r="K717" s="193" t="str">
        <f>IF('Observaciones-SMP'!K717="","",'Observaciones-SMP'!K717)</f>
        <v/>
      </c>
      <c r="L717" s="193" t="str">
        <f>IF('Observaciones-SMP'!L717="","",'Observaciones-SMP'!L717)</f>
        <v/>
      </c>
      <c r="M717" s="193" t="str">
        <f>IF('Observaciones-SMP'!M717="","",'Observaciones-SMP'!M717)</f>
        <v/>
      </c>
      <c r="N717" s="193" t="str">
        <f>IF('Observaciones-SMP'!N717="","",'Observaciones-SMP'!N717)</f>
        <v/>
      </c>
      <c r="O717" s="193" t="str">
        <f>IF('Observaciones-SMP'!O717="","",'Observaciones-SMP'!O717)</f>
        <v/>
      </c>
      <c r="P717" s="193" t="str">
        <f>IF('Observaciones-SMP'!P717="","",'Observaciones-SMP'!P717)</f>
        <v/>
      </c>
      <c r="Q717" s="257" t="str">
        <f>IF('Observaciones-SMP'!S717="","",'Observaciones-SMP'!S717)</f>
        <v/>
      </c>
      <c r="R717" s="193" t="str">
        <f>IF('Observaciones-SMP'!T717="","",'Observaciones-SMP'!T717)</f>
        <v/>
      </c>
      <c r="S717" s="193" t="str">
        <f>""</f>
        <v/>
      </c>
      <c r="T717" s="193" t="str">
        <f>""</f>
        <v/>
      </c>
      <c r="U717" s="193" t="str">
        <f t="shared" si="44"/>
        <v/>
      </c>
      <c r="V717" s="193" t="str">
        <f>""</f>
        <v/>
      </c>
      <c r="W717" s="193" t="str">
        <f>""</f>
        <v/>
      </c>
      <c r="X717" s="258" t="str">
        <f t="shared" si="45"/>
        <v/>
      </c>
      <c r="Y717" s="258" t="str">
        <f t="shared" si="46"/>
        <v/>
      </c>
      <c r="Z717" s="193" t="str">
        <f>IF(A717="","",IF(COUNTIF('Observaciones-SMP'!$A$2:$A$1001,A717)&gt;1,1,0))</f>
        <v/>
      </c>
      <c r="AA717" s="193" t="str">
        <f t="shared" si="47"/>
        <v/>
      </c>
    </row>
    <row r="718" spans="1:27" ht="13.5" customHeight="1" x14ac:dyDescent="0.3">
      <c r="A718" s="193" t="str">
        <f>IF('Observaciones-SMP'!A718="","",'Observaciones-SMP'!A718)</f>
        <v/>
      </c>
      <c r="B718" s="257" t="str">
        <f>IF('Observaciones-SMP'!B718="","",'Observaciones-SMP'!B718)</f>
        <v/>
      </c>
      <c r="C718" s="193" t="str">
        <f>IF('Observaciones-SMP'!C718="","",'Observaciones-SMP'!C718)</f>
        <v/>
      </c>
      <c r="D718" s="193" t="str">
        <f>IF('Observaciones-SMP'!D718="","",'Observaciones-SMP'!D718)</f>
        <v/>
      </c>
      <c r="E718" s="193" t="str">
        <f>IF('Observaciones-SMP'!E718="","",'Observaciones-SMP'!E718)</f>
        <v/>
      </c>
      <c r="F718" s="193" t="str">
        <f>IF('Observaciones-SMP'!F718="","",'Observaciones-SMP'!F718)</f>
        <v/>
      </c>
      <c r="G718" s="193" t="str">
        <f>IF('Observaciones-SMP'!G718="","",'Observaciones-SMP'!G718)</f>
        <v/>
      </c>
      <c r="H718" s="193" t="str">
        <f>IF('Observaciones-SMP'!H718="","",'Observaciones-SMP'!H718)</f>
        <v/>
      </c>
      <c r="I718" s="193" t="str">
        <f>IF('Observaciones-SMP'!I718="","",'Observaciones-SMP'!I718)</f>
        <v/>
      </c>
      <c r="J718" s="193" t="str">
        <f>IF('Observaciones-SMP'!J718="","",'Observaciones-SMP'!J718)</f>
        <v/>
      </c>
      <c r="K718" s="193" t="str">
        <f>IF('Observaciones-SMP'!K718="","",'Observaciones-SMP'!K718)</f>
        <v/>
      </c>
      <c r="L718" s="193" t="str">
        <f>IF('Observaciones-SMP'!L718="","",'Observaciones-SMP'!L718)</f>
        <v/>
      </c>
      <c r="M718" s="193" t="str">
        <f>IF('Observaciones-SMP'!M718="","",'Observaciones-SMP'!M718)</f>
        <v/>
      </c>
      <c r="N718" s="193" t="str">
        <f>IF('Observaciones-SMP'!N718="","",'Observaciones-SMP'!N718)</f>
        <v/>
      </c>
      <c r="O718" s="193" t="str">
        <f>IF('Observaciones-SMP'!O718="","",'Observaciones-SMP'!O718)</f>
        <v/>
      </c>
      <c r="P718" s="193" t="str">
        <f>IF('Observaciones-SMP'!P718="","",'Observaciones-SMP'!P718)</f>
        <v/>
      </c>
      <c r="Q718" s="257" t="str">
        <f>IF('Observaciones-SMP'!S718="","",'Observaciones-SMP'!S718)</f>
        <v/>
      </c>
      <c r="R718" s="193" t="str">
        <f>IF('Observaciones-SMP'!T718="","",'Observaciones-SMP'!T718)</f>
        <v/>
      </c>
      <c r="S718" s="193" t="str">
        <f>""</f>
        <v/>
      </c>
      <c r="T718" s="193" t="str">
        <f>""</f>
        <v/>
      </c>
      <c r="U718" s="193" t="str">
        <f t="shared" si="44"/>
        <v/>
      </c>
      <c r="V718" s="193" t="str">
        <f>""</f>
        <v/>
      </c>
      <c r="W718" s="193" t="str">
        <f>""</f>
        <v/>
      </c>
      <c r="X718" s="258" t="str">
        <f t="shared" si="45"/>
        <v/>
      </c>
      <c r="Y718" s="258" t="str">
        <f t="shared" si="46"/>
        <v/>
      </c>
      <c r="Z718" s="193" t="str">
        <f>IF(A718="","",IF(COUNTIF('Observaciones-SMP'!$A$2:$A$1001,A718)&gt;1,1,0))</f>
        <v/>
      </c>
      <c r="AA718" s="193" t="str">
        <f t="shared" si="47"/>
        <v/>
      </c>
    </row>
    <row r="719" spans="1:27" ht="13.5" customHeight="1" x14ac:dyDescent="0.3">
      <c r="A719" s="193" t="str">
        <f>IF('Observaciones-SMP'!A719="","",'Observaciones-SMP'!A719)</f>
        <v/>
      </c>
      <c r="B719" s="257" t="str">
        <f>IF('Observaciones-SMP'!B719="","",'Observaciones-SMP'!B719)</f>
        <v/>
      </c>
      <c r="C719" s="193" t="str">
        <f>IF('Observaciones-SMP'!C719="","",'Observaciones-SMP'!C719)</f>
        <v/>
      </c>
      <c r="D719" s="193" t="str">
        <f>IF('Observaciones-SMP'!D719="","",'Observaciones-SMP'!D719)</f>
        <v/>
      </c>
      <c r="E719" s="193" t="str">
        <f>IF('Observaciones-SMP'!E719="","",'Observaciones-SMP'!E719)</f>
        <v/>
      </c>
      <c r="F719" s="193" t="str">
        <f>IF('Observaciones-SMP'!F719="","",'Observaciones-SMP'!F719)</f>
        <v/>
      </c>
      <c r="G719" s="193" t="str">
        <f>IF('Observaciones-SMP'!G719="","",'Observaciones-SMP'!G719)</f>
        <v/>
      </c>
      <c r="H719" s="193" t="str">
        <f>IF('Observaciones-SMP'!H719="","",'Observaciones-SMP'!H719)</f>
        <v/>
      </c>
      <c r="I719" s="193" t="str">
        <f>IF('Observaciones-SMP'!I719="","",'Observaciones-SMP'!I719)</f>
        <v/>
      </c>
      <c r="J719" s="193" t="str">
        <f>IF('Observaciones-SMP'!J719="","",'Observaciones-SMP'!J719)</f>
        <v/>
      </c>
      <c r="K719" s="193" t="str">
        <f>IF('Observaciones-SMP'!K719="","",'Observaciones-SMP'!K719)</f>
        <v/>
      </c>
      <c r="L719" s="193" t="str">
        <f>IF('Observaciones-SMP'!L719="","",'Observaciones-SMP'!L719)</f>
        <v/>
      </c>
      <c r="M719" s="193" t="str">
        <f>IF('Observaciones-SMP'!M719="","",'Observaciones-SMP'!M719)</f>
        <v/>
      </c>
      <c r="N719" s="193" t="str">
        <f>IF('Observaciones-SMP'!N719="","",'Observaciones-SMP'!N719)</f>
        <v/>
      </c>
      <c r="O719" s="193" t="str">
        <f>IF('Observaciones-SMP'!O719="","",'Observaciones-SMP'!O719)</f>
        <v/>
      </c>
      <c r="P719" s="193" t="str">
        <f>IF('Observaciones-SMP'!P719="","",'Observaciones-SMP'!P719)</f>
        <v/>
      </c>
      <c r="Q719" s="257" t="str">
        <f>IF('Observaciones-SMP'!S719="","",'Observaciones-SMP'!S719)</f>
        <v/>
      </c>
      <c r="R719" s="193" t="str">
        <f>IF('Observaciones-SMP'!T719="","",'Observaciones-SMP'!T719)</f>
        <v/>
      </c>
      <c r="S719" s="193" t="str">
        <f>""</f>
        <v/>
      </c>
      <c r="T719" s="193" t="str">
        <f>""</f>
        <v/>
      </c>
      <c r="U719" s="193" t="str">
        <f t="shared" si="44"/>
        <v/>
      </c>
      <c r="V719" s="193" t="str">
        <f>""</f>
        <v/>
      </c>
      <c r="W719" s="193" t="str">
        <f>""</f>
        <v/>
      </c>
      <c r="X719" s="258" t="str">
        <f t="shared" si="45"/>
        <v/>
      </c>
      <c r="Y719" s="258" t="str">
        <f t="shared" si="46"/>
        <v/>
      </c>
      <c r="Z719" s="193" t="str">
        <f>IF(A719="","",IF(COUNTIF('Observaciones-SMP'!$A$2:$A$1001,A719)&gt;1,1,0))</f>
        <v/>
      </c>
      <c r="AA719" s="193" t="str">
        <f t="shared" si="47"/>
        <v/>
      </c>
    </row>
    <row r="720" spans="1:27" ht="13.5" customHeight="1" x14ac:dyDescent="0.3">
      <c r="A720" s="193" t="str">
        <f>IF('Observaciones-SMP'!A720="","",'Observaciones-SMP'!A720)</f>
        <v/>
      </c>
      <c r="B720" s="257" t="str">
        <f>IF('Observaciones-SMP'!B720="","",'Observaciones-SMP'!B720)</f>
        <v/>
      </c>
      <c r="C720" s="193" t="str">
        <f>IF('Observaciones-SMP'!C720="","",'Observaciones-SMP'!C720)</f>
        <v/>
      </c>
      <c r="D720" s="193" t="str">
        <f>IF('Observaciones-SMP'!D720="","",'Observaciones-SMP'!D720)</f>
        <v/>
      </c>
      <c r="E720" s="193" t="str">
        <f>IF('Observaciones-SMP'!E720="","",'Observaciones-SMP'!E720)</f>
        <v/>
      </c>
      <c r="F720" s="193" t="str">
        <f>IF('Observaciones-SMP'!F720="","",'Observaciones-SMP'!F720)</f>
        <v/>
      </c>
      <c r="G720" s="193" t="str">
        <f>IF('Observaciones-SMP'!G720="","",'Observaciones-SMP'!G720)</f>
        <v/>
      </c>
      <c r="H720" s="193" t="str">
        <f>IF('Observaciones-SMP'!H720="","",'Observaciones-SMP'!H720)</f>
        <v/>
      </c>
      <c r="I720" s="193" t="str">
        <f>IF('Observaciones-SMP'!I720="","",'Observaciones-SMP'!I720)</f>
        <v/>
      </c>
      <c r="J720" s="193" t="str">
        <f>IF('Observaciones-SMP'!J720="","",'Observaciones-SMP'!J720)</f>
        <v/>
      </c>
      <c r="K720" s="193" t="str">
        <f>IF('Observaciones-SMP'!K720="","",'Observaciones-SMP'!K720)</f>
        <v/>
      </c>
      <c r="L720" s="193" t="str">
        <f>IF('Observaciones-SMP'!L720="","",'Observaciones-SMP'!L720)</f>
        <v/>
      </c>
      <c r="M720" s="193" t="str">
        <f>IF('Observaciones-SMP'!M720="","",'Observaciones-SMP'!M720)</f>
        <v/>
      </c>
      <c r="N720" s="193" t="str">
        <f>IF('Observaciones-SMP'!N720="","",'Observaciones-SMP'!N720)</f>
        <v/>
      </c>
      <c r="O720" s="193" t="str">
        <f>IF('Observaciones-SMP'!O720="","",'Observaciones-SMP'!O720)</f>
        <v/>
      </c>
      <c r="P720" s="193" t="str">
        <f>IF('Observaciones-SMP'!P720="","",'Observaciones-SMP'!P720)</f>
        <v/>
      </c>
      <c r="Q720" s="257" t="str">
        <f>IF('Observaciones-SMP'!S720="","",'Observaciones-SMP'!S720)</f>
        <v/>
      </c>
      <c r="R720" s="193" t="str">
        <f>IF('Observaciones-SMP'!T720="","",'Observaciones-SMP'!T720)</f>
        <v/>
      </c>
      <c r="S720" s="193" t="str">
        <f>""</f>
        <v/>
      </c>
      <c r="T720" s="193" t="str">
        <f>""</f>
        <v/>
      </c>
      <c r="U720" s="193" t="str">
        <f t="shared" si="44"/>
        <v/>
      </c>
      <c r="V720" s="193" t="str">
        <f>""</f>
        <v/>
      </c>
      <c r="W720" s="193" t="str">
        <f>""</f>
        <v/>
      </c>
      <c r="X720" s="258" t="str">
        <f t="shared" si="45"/>
        <v/>
      </c>
      <c r="Y720" s="258" t="str">
        <f t="shared" si="46"/>
        <v/>
      </c>
      <c r="Z720" s="193" t="str">
        <f>IF(A720="","",IF(COUNTIF('Observaciones-SMP'!$A$2:$A$1001,A720)&gt;1,1,0))</f>
        <v/>
      </c>
      <c r="AA720" s="193" t="str">
        <f t="shared" si="47"/>
        <v/>
      </c>
    </row>
    <row r="721" spans="1:27" ht="13.5" customHeight="1" x14ac:dyDescent="0.3">
      <c r="A721" s="193" t="str">
        <f>IF('Observaciones-SMP'!A721="","",'Observaciones-SMP'!A721)</f>
        <v/>
      </c>
      <c r="B721" s="257" t="str">
        <f>IF('Observaciones-SMP'!B721="","",'Observaciones-SMP'!B721)</f>
        <v/>
      </c>
      <c r="C721" s="193" t="str">
        <f>IF('Observaciones-SMP'!C721="","",'Observaciones-SMP'!C721)</f>
        <v/>
      </c>
      <c r="D721" s="193" t="str">
        <f>IF('Observaciones-SMP'!D721="","",'Observaciones-SMP'!D721)</f>
        <v/>
      </c>
      <c r="E721" s="193" t="str">
        <f>IF('Observaciones-SMP'!E721="","",'Observaciones-SMP'!E721)</f>
        <v/>
      </c>
      <c r="F721" s="193" t="str">
        <f>IF('Observaciones-SMP'!F721="","",'Observaciones-SMP'!F721)</f>
        <v/>
      </c>
      <c r="G721" s="193" t="str">
        <f>IF('Observaciones-SMP'!G721="","",'Observaciones-SMP'!G721)</f>
        <v/>
      </c>
      <c r="H721" s="193" t="str">
        <f>IF('Observaciones-SMP'!H721="","",'Observaciones-SMP'!H721)</f>
        <v/>
      </c>
      <c r="I721" s="193" t="str">
        <f>IF('Observaciones-SMP'!I721="","",'Observaciones-SMP'!I721)</f>
        <v/>
      </c>
      <c r="J721" s="193" t="str">
        <f>IF('Observaciones-SMP'!J721="","",'Observaciones-SMP'!J721)</f>
        <v/>
      </c>
      <c r="K721" s="193" t="str">
        <f>IF('Observaciones-SMP'!K721="","",'Observaciones-SMP'!K721)</f>
        <v/>
      </c>
      <c r="L721" s="193" t="str">
        <f>IF('Observaciones-SMP'!L721="","",'Observaciones-SMP'!L721)</f>
        <v/>
      </c>
      <c r="M721" s="193" t="str">
        <f>IF('Observaciones-SMP'!M721="","",'Observaciones-SMP'!M721)</f>
        <v/>
      </c>
      <c r="N721" s="193" t="str">
        <f>IF('Observaciones-SMP'!N721="","",'Observaciones-SMP'!N721)</f>
        <v/>
      </c>
      <c r="O721" s="193" t="str">
        <f>IF('Observaciones-SMP'!O721="","",'Observaciones-SMP'!O721)</f>
        <v/>
      </c>
      <c r="P721" s="193" t="str">
        <f>IF('Observaciones-SMP'!P721="","",'Observaciones-SMP'!P721)</f>
        <v/>
      </c>
      <c r="Q721" s="257" t="str">
        <f>IF('Observaciones-SMP'!S721="","",'Observaciones-SMP'!S721)</f>
        <v/>
      </c>
      <c r="R721" s="193" t="str">
        <f>IF('Observaciones-SMP'!T721="","",'Observaciones-SMP'!T721)</f>
        <v/>
      </c>
      <c r="S721" s="193" t="str">
        <f>""</f>
        <v/>
      </c>
      <c r="T721" s="193" t="str">
        <f>""</f>
        <v/>
      </c>
      <c r="U721" s="193" t="str">
        <f t="shared" si="44"/>
        <v/>
      </c>
      <c r="V721" s="193" t="str">
        <f>""</f>
        <v/>
      </c>
      <c r="W721" s="193" t="str">
        <f>""</f>
        <v/>
      </c>
      <c r="X721" s="258" t="str">
        <f t="shared" si="45"/>
        <v/>
      </c>
      <c r="Y721" s="258" t="str">
        <f t="shared" si="46"/>
        <v/>
      </c>
      <c r="Z721" s="193" t="str">
        <f>IF(A721="","",IF(COUNTIF('Observaciones-SMP'!$A$2:$A$1001,A721)&gt;1,1,0))</f>
        <v/>
      </c>
      <c r="AA721" s="193" t="str">
        <f t="shared" si="47"/>
        <v/>
      </c>
    </row>
    <row r="722" spans="1:27" ht="13.5" customHeight="1" x14ac:dyDescent="0.3">
      <c r="A722" s="193" t="str">
        <f>IF('Observaciones-SMP'!A722="","",'Observaciones-SMP'!A722)</f>
        <v/>
      </c>
      <c r="B722" s="257" t="str">
        <f>IF('Observaciones-SMP'!B722="","",'Observaciones-SMP'!B722)</f>
        <v/>
      </c>
      <c r="C722" s="193" t="str">
        <f>IF('Observaciones-SMP'!C722="","",'Observaciones-SMP'!C722)</f>
        <v/>
      </c>
      <c r="D722" s="193" t="str">
        <f>IF('Observaciones-SMP'!D722="","",'Observaciones-SMP'!D722)</f>
        <v/>
      </c>
      <c r="E722" s="193" t="str">
        <f>IF('Observaciones-SMP'!E722="","",'Observaciones-SMP'!E722)</f>
        <v/>
      </c>
      <c r="F722" s="193" t="str">
        <f>IF('Observaciones-SMP'!F722="","",'Observaciones-SMP'!F722)</f>
        <v/>
      </c>
      <c r="G722" s="193" t="str">
        <f>IF('Observaciones-SMP'!G722="","",'Observaciones-SMP'!G722)</f>
        <v/>
      </c>
      <c r="H722" s="193" t="str">
        <f>IF('Observaciones-SMP'!H722="","",'Observaciones-SMP'!H722)</f>
        <v/>
      </c>
      <c r="I722" s="193" t="str">
        <f>IF('Observaciones-SMP'!I722="","",'Observaciones-SMP'!I722)</f>
        <v/>
      </c>
      <c r="J722" s="193" t="str">
        <f>IF('Observaciones-SMP'!J722="","",'Observaciones-SMP'!J722)</f>
        <v/>
      </c>
      <c r="K722" s="193" t="str">
        <f>IF('Observaciones-SMP'!K722="","",'Observaciones-SMP'!K722)</f>
        <v/>
      </c>
      <c r="L722" s="193" t="str">
        <f>IF('Observaciones-SMP'!L722="","",'Observaciones-SMP'!L722)</f>
        <v/>
      </c>
      <c r="M722" s="193" t="str">
        <f>IF('Observaciones-SMP'!M722="","",'Observaciones-SMP'!M722)</f>
        <v/>
      </c>
      <c r="N722" s="193" t="str">
        <f>IF('Observaciones-SMP'!N722="","",'Observaciones-SMP'!N722)</f>
        <v/>
      </c>
      <c r="O722" s="193" t="str">
        <f>IF('Observaciones-SMP'!O722="","",'Observaciones-SMP'!O722)</f>
        <v/>
      </c>
      <c r="P722" s="193" t="str">
        <f>IF('Observaciones-SMP'!P722="","",'Observaciones-SMP'!P722)</f>
        <v/>
      </c>
      <c r="Q722" s="257" t="str">
        <f>IF('Observaciones-SMP'!S722="","",'Observaciones-SMP'!S722)</f>
        <v/>
      </c>
      <c r="R722" s="193" t="str">
        <f>IF('Observaciones-SMP'!T722="","",'Observaciones-SMP'!T722)</f>
        <v/>
      </c>
      <c r="S722" s="193" t="str">
        <f>""</f>
        <v/>
      </c>
      <c r="T722" s="193" t="str">
        <f>""</f>
        <v/>
      </c>
      <c r="U722" s="193" t="str">
        <f t="shared" si="44"/>
        <v/>
      </c>
      <c r="V722" s="193" t="str">
        <f>""</f>
        <v/>
      </c>
      <c r="W722" s="193" t="str">
        <f>""</f>
        <v/>
      </c>
      <c r="X722" s="258" t="str">
        <f t="shared" si="45"/>
        <v/>
      </c>
      <c r="Y722" s="258" t="str">
        <f t="shared" si="46"/>
        <v/>
      </c>
      <c r="Z722" s="193" t="str">
        <f>IF(A722="","",IF(COUNTIF('Observaciones-SMP'!$A$2:$A$1001,A722)&gt;1,1,0))</f>
        <v/>
      </c>
      <c r="AA722" s="193" t="str">
        <f t="shared" si="47"/>
        <v/>
      </c>
    </row>
    <row r="723" spans="1:27" ht="13.5" customHeight="1" x14ac:dyDescent="0.3">
      <c r="A723" s="193" t="str">
        <f>IF('Observaciones-SMP'!A723="","",'Observaciones-SMP'!A723)</f>
        <v/>
      </c>
      <c r="B723" s="257" t="str">
        <f>IF('Observaciones-SMP'!B723="","",'Observaciones-SMP'!B723)</f>
        <v/>
      </c>
      <c r="C723" s="193" t="str">
        <f>IF('Observaciones-SMP'!C723="","",'Observaciones-SMP'!C723)</f>
        <v/>
      </c>
      <c r="D723" s="193" t="str">
        <f>IF('Observaciones-SMP'!D723="","",'Observaciones-SMP'!D723)</f>
        <v/>
      </c>
      <c r="E723" s="193" t="str">
        <f>IF('Observaciones-SMP'!E723="","",'Observaciones-SMP'!E723)</f>
        <v/>
      </c>
      <c r="F723" s="193" t="str">
        <f>IF('Observaciones-SMP'!F723="","",'Observaciones-SMP'!F723)</f>
        <v/>
      </c>
      <c r="G723" s="193" t="str">
        <f>IF('Observaciones-SMP'!G723="","",'Observaciones-SMP'!G723)</f>
        <v/>
      </c>
      <c r="H723" s="193" t="str">
        <f>IF('Observaciones-SMP'!H723="","",'Observaciones-SMP'!H723)</f>
        <v/>
      </c>
      <c r="I723" s="193" t="str">
        <f>IF('Observaciones-SMP'!I723="","",'Observaciones-SMP'!I723)</f>
        <v/>
      </c>
      <c r="J723" s="193" t="str">
        <f>IF('Observaciones-SMP'!J723="","",'Observaciones-SMP'!J723)</f>
        <v/>
      </c>
      <c r="K723" s="193" t="str">
        <f>IF('Observaciones-SMP'!K723="","",'Observaciones-SMP'!K723)</f>
        <v/>
      </c>
      <c r="L723" s="193" t="str">
        <f>IF('Observaciones-SMP'!L723="","",'Observaciones-SMP'!L723)</f>
        <v/>
      </c>
      <c r="M723" s="193" t="str">
        <f>IF('Observaciones-SMP'!M723="","",'Observaciones-SMP'!M723)</f>
        <v/>
      </c>
      <c r="N723" s="193" t="str">
        <f>IF('Observaciones-SMP'!N723="","",'Observaciones-SMP'!N723)</f>
        <v/>
      </c>
      <c r="O723" s="193" t="str">
        <f>IF('Observaciones-SMP'!O723="","",'Observaciones-SMP'!O723)</f>
        <v/>
      </c>
      <c r="P723" s="193" t="str">
        <f>IF('Observaciones-SMP'!P723="","",'Observaciones-SMP'!P723)</f>
        <v/>
      </c>
      <c r="Q723" s="257" t="str">
        <f>IF('Observaciones-SMP'!S723="","",'Observaciones-SMP'!S723)</f>
        <v/>
      </c>
      <c r="R723" s="193" t="str">
        <f>IF('Observaciones-SMP'!T723="","",'Observaciones-SMP'!T723)</f>
        <v/>
      </c>
      <c r="S723" s="193" t="str">
        <f>""</f>
        <v/>
      </c>
      <c r="T723" s="193" t="str">
        <f>""</f>
        <v/>
      </c>
      <c r="U723" s="193" t="str">
        <f t="shared" si="44"/>
        <v/>
      </c>
      <c r="V723" s="193" t="str">
        <f>""</f>
        <v/>
      </c>
      <c r="W723" s="193" t="str">
        <f>""</f>
        <v/>
      </c>
      <c r="X723" s="258" t="str">
        <f t="shared" si="45"/>
        <v/>
      </c>
      <c r="Y723" s="258" t="str">
        <f t="shared" si="46"/>
        <v/>
      </c>
      <c r="Z723" s="193" t="str">
        <f>IF(A723="","",IF(COUNTIF('Observaciones-SMP'!$A$2:$A$1001,A723)&gt;1,1,0))</f>
        <v/>
      </c>
      <c r="AA723" s="193" t="str">
        <f t="shared" si="47"/>
        <v/>
      </c>
    </row>
    <row r="724" spans="1:27" ht="13.5" customHeight="1" x14ac:dyDescent="0.3">
      <c r="A724" s="193" t="str">
        <f>IF('Observaciones-SMP'!A724="","",'Observaciones-SMP'!A724)</f>
        <v/>
      </c>
      <c r="B724" s="257" t="str">
        <f>IF('Observaciones-SMP'!B724="","",'Observaciones-SMP'!B724)</f>
        <v/>
      </c>
      <c r="C724" s="193" t="str">
        <f>IF('Observaciones-SMP'!C724="","",'Observaciones-SMP'!C724)</f>
        <v/>
      </c>
      <c r="D724" s="193" t="str">
        <f>IF('Observaciones-SMP'!D724="","",'Observaciones-SMP'!D724)</f>
        <v/>
      </c>
      <c r="E724" s="193" t="str">
        <f>IF('Observaciones-SMP'!E724="","",'Observaciones-SMP'!E724)</f>
        <v/>
      </c>
      <c r="F724" s="193" t="str">
        <f>IF('Observaciones-SMP'!F724="","",'Observaciones-SMP'!F724)</f>
        <v/>
      </c>
      <c r="G724" s="193" t="str">
        <f>IF('Observaciones-SMP'!G724="","",'Observaciones-SMP'!G724)</f>
        <v/>
      </c>
      <c r="H724" s="193" t="str">
        <f>IF('Observaciones-SMP'!H724="","",'Observaciones-SMP'!H724)</f>
        <v/>
      </c>
      <c r="I724" s="193" t="str">
        <f>IF('Observaciones-SMP'!I724="","",'Observaciones-SMP'!I724)</f>
        <v/>
      </c>
      <c r="J724" s="193" t="str">
        <f>IF('Observaciones-SMP'!J724="","",'Observaciones-SMP'!J724)</f>
        <v/>
      </c>
      <c r="K724" s="193" t="str">
        <f>IF('Observaciones-SMP'!K724="","",'Observaciones-SMP'!K724)</f>
        <v/>
      </c>
      <c r="L724" s="193" t="str">
        <f>IF('Observaciones-SMP'!L724="","",'Observaciones-SMP'!L724)</f>
        <v/>
      </c>
      <c r="M724" s="193" t="str">
        <f>IF('Observaciones-SMP'!M724="","",'Observaciones-SMP'!M724)</f>
        <v/>
      </c>
      <c r="N724" s="193" t="str">
        <f>IF('Observaciones-SMP'!N724="","",'Observaciones-SMP'!N724)</f>
        <v/>
      </c>
      <c r="O724" s="193" t="str">
        <f>IF('Observaciones-SMP'!O724="","",'Observaciones-SMP'!O724)</f>
        <v/>
      </c>
      <c r="P724" s="193" t="str">
        <f>IF('Observaciones-SMP'!P724="","",'Observaciones-SMP'!P724)</f>
        <v/>
      </c>
      <c r="Q724" s="257" t="str">
        <f>IF('Observaciones-SMP'!S724="","",'Observaciones-SMP'!S724)</f>
        <v/>
      </c>
      <c r="R724" s="193" t="str">
        <f>IF('Observaciones-SMP'!T724="","",'Observaciones-SMP'!T724)</f>
        <v/>
      </c>
      <c r="S724" s="193" t="str">
        <f>""</f>
        <v/>
      </c>
      <c r="T724" s="193" t="str">
        <f>""</f>
        <v/>
      </c>
      <c r="U724" s="193" t="str">
        <f t="shared" si="44"/>
        <v/>
      </c>
      <c r="V724" s="193" t="str">
        <f>""</f>
        <v/>
      </c>
      <c r="W724" s="193" t="str">
        <f>""</f>
        <v/>
      </c>
      <c r="X724" s="258" t="str">
        <f t="shared" si="45"/>
        <v/>
      </c>
      <c r="Y724" s="258" t="str">
        <f t="shared" si="46"/>
        <v/>
      </c>
      <c r="Z724" s="193" t="str">
        <f>IF(A724="","",IF(COUNTIF('Observaciones-SMP'!$A$2:$A$1001,A724)&gt;1,1,0))</f>
        <v/>
      </c>
      <c r="AA724" s="193" t="str">
        <f t="shared" si="47"/>
        <v/>
      </c>
    </row>
    <row r="725" spans="1:27" ht="13.5" customHeight="1" x14ac:dyDescent="0.3">
      <c r="A725" s="193" t="str">
        <f>IF('Observaciones-SMP'!A725="","",'Observaciones-SMP'!A725)</f>
        <v/>
      </c>
      <c r="B725" s="257" t="str">
        <f>IF('Observaciones-SMP'!B725="","",'Observaciones-SMP'!B725)</f>
        <v/>
      </c>
      <c r="C725" s="193" t="str">
        <f>IF('Observaciones-SMP'!C725="","",'Observaciones-SMP'!C725)</f>
        <v/>
      </c>
      <c r="D725" s="193" t="str">
        <f>IF('Observaciones-SMP'!D725="","",'Observaciones-SMP'!D725)</f>
        <v/>
      </c>
      <c r="E725" s="193" t="str">
        <f>IF('Observaciones-SMP'!E725="","",'Observaciones-SMP'!E725)</f>
        <v/>
      </c>
      <c r="F725" s="193" t="str">
        <f>IF('Observaciones-SMP'!F725="","",'Observaciones-SMP'!F725)</f>
        <v/>
      </c>
      <c r="G725" s="193" t="str">
        <f>IF('Observaciones-SMP'!G725="","",'Observaciones-SMP'!G725)</f>
        <v/>
      </c>
      <c r="H725" s="193" t="str">
        <f>IF('Observaciones-SMP'!H725="","",'Observaciones-SMP'!H725)</f>
        <v/>
      </c>
      <c r="I725" s="193" t="str">
        <f>IF('Observaciones-SMP'!I725="","",'Observaciones-SMP'!I725)</f>
        <v/>
      </c>
      <c r="J725" s="193" t="str">
        <f>IF('Observaciones-SMP'!J725="","",'Observaciones-SMP'!J725)</f>
        <v/>
      </c>
      <c r="K725" s="193" t="str">
        <f>IF('Observaciones-SMP'!K725="","",'Observaciones-SMP'!K725)</f>
        <v/>
      </c>
      <c r="L725" s="193" t="str">
        <f>IF('Observaciones-SMP'!L725="","",'Observaciones-SMP'!L725)</f>
        <v/>
      </c>
      <c r="M725" s="193" t="str">
        <f>IF('Observaciones-SMP'!M725="","",'Observaciones-SMP'!M725)</f>
        <v/>
      </c>
      <c r="N725" s="193" t="str">
        <f>IF('Observaciones-SMP'!N725="","",'Observaciones-SMP'!N725)</f>
        <v/>
      </c>
      <c r="O725" s="193" t="str">
        <f>IF('Observaciones-SMP'!O725="","",'Observaciones-SMP'!O725)</f>
        <v/>
      </c>
      <c r="P725" s="193" t="str">
        <f>IF('Observaciones-SMP'!P725="","",'Observaciones-SMP'!P725)</f>
        <v/>
      </c>
      <c r="Q725" s="257" t="str">
        <f>IF('Observaciones-SMP'!S725="","",'Observaciones-SMP'!S725)</f>
        <v/>
      </c>
      <c r="R725" s="193" t="str">
        <f>IF('Observaciones-SMP'!T725="","",'Observaciones-SMP'!T725)</f>
        <v/>
      </c>
      <c r="S725" s="193" t="str">
        <f>""</f>
        <v/>
      </c>
      <c r="T725" s="193" t="str">
        <f>""</f>
        <v/>
      </c>
      <c r="U725" s="193" t="str">
        <f t="shared" si="44"/>
        <v/>
      </c>
      <c r="V725" s="193" t="str">
        <f>""</f>
        <v/>
      </c>
      <c r="W725" s="193" t="str">
        <f>""</f>
        <v/>
      </c>
      <c r="X725" s="258" t="str">
        <f t="shared" si="45"/>
        <v/>
      </c>
      <c r="Y725" s="258" t="str">
        <f t="shared" si="46"/>
        <v/>
      </c>
      <c r="Z725" s="193" t="str">
        <f>IF(A725="","",IF(COUNTIF('Observaciones-SMP'!$A$2:$A$1001,A725)&gt;1,1,0))</f>
        <v/>
      </c>
      <c r="AA725" s="193" t="str">
        <f t="shared" si="47"/>
        <v/>
      </c>
    </row>
    <row r="726" spans="1:27" ht="13.5" customHeight="1" x14ac:dyDescent="0.3">
      <c r="A726" s="193" t="str">
        <f>IF('Observaciones-SMP'!A726="","",'Observaciones-SMP'!A726)</f>
        <v/>
      </c>
      <c r="B726" s="257" t="str">
        <f>IF('Observaciones-SMP'!B726="","",'Observaciones-SMP'!B726)</f>
        <v/>
      </c>
      <c r="C726" s="193" t="str">
        <f>IF('Observaciones-SMP'!C726="","",'Observaciones-SMP'!C726)</f>
        <v/>
      </c>
      <c r="D726" s="193" t="str">
        <f>IF('Observaciones-SMP'!D726="","",'Observaciones-SMP'!D726)</f>
        <v/>
      </c>
      <c r="E726" s="193" t="str">
        <f>IF('Observaciones-SMP'!E726="","",'Observaciones-SMP'!E726)</f>
        <v/>
      </c>
      <c r="F726" s="193" t="str">
        <f>IF('Observaciones-SMP'!F726="","",'Observaciones-SMP'!F726)</f>
        <v/>
      </c>
      <c r="G726" s="193" t="str">
        <f>IF('Observaciones-SMP'!G726="","",'Observaciones-SMP'!G726)</f>
        <v/>
      </c>
      <c r="H726" s="193" t="str">
        <f>IF('Observaciones-SMP'!H726="","",'Observaciones-SMP'!H726)</f>
        <v/>
      </c>
      <c r="I726" s="193" t="str">
        <f>IF('Observaciones-SMP'!I726="","",'Observaciones-SMP'!I726)</f>
        <v/>
      </c>
      <c r="J726" s="193" t="str">
        <f>IF('Observaciones-SMP'!J726="","",'Observaciones-SMP'!J726)</f>
        <v/>
      </c>
      <c r="K726" s="193" t="str">
        <f>IF('Observaciones-SMP'!K726="","",'Observaciones-SMP'!K726)</f>
        <v/>
      </c>
      <c r="L726" s="193" t="str">
        <f>IF('Observaciones-SMP'!L726="","",'Observaciones-SMP'!L726)</f>
        <v/>
      </c>
      <c r="M726" s="193" t="str">
        <f>IF('Observaciones-SMP'!M726="","",'Observaciones-SMP'!M726)</f>
        <v/>
      </c>
      <c r="N726" s="193" t="str">
        <f>IF('Observaciones-SMP'!N726="","",'Observaciones-SMP'!N726)</f>
        <v/>
      </c>
      <c r="O726" s="193" t="str">
        <f>IF('Observaciones-SMP'!O726="","",'Observaciones-SMP'!O726)</f>
        <v/>
      </c>
      <c r="P726" s="193" t="str">
        <f>IF('Observaciones-SMP'!P726="","",'Observaciones-SMP'!P726)</f>
        <v/>
      </c>
      <c r="Q726" s="257" t="str">
        <f>IF('Observaciones-SMP'!S726="","",'Observaciones-SMP'!S726)</f>
        <v/>
      </c>
      <c r="R726" s="193" t="str">
        <f>IF('Observaciones-SMP'!T726="","",'Observaciones-SMP'!T726)</f>
        <v/>
      </c>
      <c r="S726" s="193" t="str">
        <f>""</f>
        <v/>
      </c>
      <c r="T726" s="193" t="str">
        <f>""</f>
        <v/>
      </c>
      <c r="U726" s="193" t="str">
        <f t="shared" si="44"/>
        <v/>
      </c>
      <c r="V726" s="193" t="str">
        <f>""</f>
        <v/>
      </c>
      <c r="W726" s="193" t="str">
        <f>""</f>
        <v/>
      </c>
      <c r="X726" s="258" t="str">
        <f t="shared" si="45"/>
        <v/>
      </c>
      <c r="Y726" s="258" t="str">
        <f t="shared" si="46"/>
        <v/>
      </c>
      <c r="Z726" s="193" t="str">
        <f>IF(A726="","",IF(COUNTIF('Observaciones-SMP'!$A$2:$A$1001,A726)&gt;1,1,0))</f>
        <v/>
      </c>
      <c r="AA726" s="193" t="str">
        <f t="shared" si="47"/>
        <v/>
      </c>
    </row>
    <row r="727" spans="1:27" ht="13.5" customHeight="1" x14ac:dyDescent="0.3">
      <c r="A727" s="193" t="str">
        <f>IF('Observaciones-SMP'!A727="","",'Observaciones-SMP'!A727)</f>
        <v/>
      </c>
      <c r="B727" s="257" t="str">
        <f>IF('Observaciones-SMP'!B727="","",'Observaciones-SMP'!B727)</f>
        <v/>
      </c>
      <c r="C727" s="193" t="str">
        <f>IF('Observaciones-SMP'!C727="","",'Observaciones-SMP'!C727)</f>
        <v/>
      </c>
      <c r="D727" s="193" t="str">
        <f>IF('Observaciones-SMP'!D727="","",'Observaciones-SMP'!D727)</f>
        <v/>
      </c>
      <c r="E727" s="193" t="str">
        <f>IF('Observaciones-SMP'!E727="","",'Observaciones-SMP'!E727)</f>
        <v/>
      </c>
      <c r="F727" s="193" t="str">
        <f>IF('Observaciones-SMP'!F727="","",'Observaciones-SMP'!F727)</f>
        <v/>
      </c>
      <c r="G727" s="193" t="str">
        <f>IF('Observaciones-SMP'!G727="","",'Observaciones-SMP'!G727)</f>
        <v/>
      </c>
      <c r="H727" s="193" t="str">
        <f>IF('Observaciones-SMP'!H727="","",'Observaciones-SMP'!H727)</f>
        <v/>
      </c>
      <c r="I727" s="193" t="str">
        <f>IF('Observaciones-SMP'!I727="","",'Observaciones-SMP'!I727)</f>
        <v/>
      </c>
      <c r="J727" s="193" t="str">
        <f>IF('Observaciones-SMP'!J727="","",'Observaciones-SMP'!J727)</f>
        <v/>
      </c>
      <c r="K727" s="193" t="str">
        <f>IF('Observaciones-SMP'!K727="","",'Observaciones-SMP'!K727)</f>
        <v/>
      </c>
      <c r="L727" s="193" t="str">
        <f>IF('Observaciones-SMP'!L727="","",'Observaciones-SMP'!L727)</f>
        <v/>
      </c>
      <c r="M727" s="193" t="str">
        <f>IF('Observaciones-SMP'!M727="","",'Observaciones-SMP'!M727)</f>
        <v/>
      </c>
      <c r="N727" s="193" t="str">
        <f>IF('Observaciones-SMP'!N727="","",'Observaciones-SMP'!N727)</f>
        <v/>
      </c>
      <c r="O727" s="193" t="str">
        <f>IF('Observaciones-SMP'!O727="","",'Observaciones-SMP'!O727)</f>
        <v/>
      </c>
      <c r="P727" s="193" t="str">
        <f>IF('Observaciones-SMP'!P727="","",'Observaciones-SMP'!P727)</f>
        <v/>
      </c>
      <c r="Q727" s="257" t="str">
        <f>IF('Observaciones-SMP'!S727="","",'Observaciones-SMP'!S727)</f>
        <v/>
      </c>
      <c r="R727" s="193" t="str">
        <f>IF('Observaciones-SMP'!T727="","",'Observaciones-SMP'!T727)</f>
        <v/>
      </c>
      <c r="S727" s="193" t="str">
        <f>""</f>
        <v/>
      </c>
      <c r="T727" s="193" t="str">
        <f>""</f>
        <v/>
      </c>
      <c r="U727" s="193" t="str">
        <f t="shared" si="44"/>
        <v/>
      </c>
      <c r="V727" s="193" t="str">
        <f>""</f>
        <v/>
      </c>
      <c r="W727" s="193" t="str">
        <f>""</f>
        <v/>
      </c>
      <c r="X727" s="258" t="str">
        <f t="shared" si="45"/>
        <v/>
      </c>
      <c r="Y727" s="258" t="str">
        <f t="shared" si="46"/>
        <v/>
      </c>
      <c r="Z727" s="193" t="str">
        <f>IF(A727="","",IF(COUNTIF('Observaciones-SMP'!$A$2:$A$1001,A727)&gt;1,1,0))</f>
        <v/>
      </c>
      <c r="AA727" s="193" t="str">
        <f t="shared" si="47"/>
        <v/>
      </c>
    </row>
    <row r="728" spans="1:27" ht="13.5" customHeight="1" x14ac:dyDescent="0.3">
      <c r="A728" s="193" t="str">
        <f>IF('Observaciones-SMP'!A728="","",'Observaciones-SMP'!A728)</f>
        <v/>
      </c>
      <c r="B728" s="257" t="str">
        <f>IF('Observaciones-SMP'!B728="","",'Observaciones-SMP'!B728)</f>
        <v/>
      </c>
      <c r="C728" s="193" t="str">
        <f>IF('Observaciones-SMP'!C728="","",'Observaciones-SMP'!C728)</f>
        <v/>
      </c>
      <c r="D728" s="193" t="str">
        <f>IF('Observaciones-SMP'!D728="","",'Observaciones-SMP'!D728)</f>
        <v/>
      </c>
      <c r="E728" s="193" t="str">
        <f>IF('Observaciones-SMP'!E728="","",'Observaciones-SMP'!E728)</f>
        <v/>
      </c>
      <c r="F728" s="193" t="str">
        <f>IF('Observaciones-SMP'!F728="","",'Observaciones-SMP'!F728)</f>
        <v/>
      </c>
      <c r="G728" s="193" t="str">
        <f>IF('Observaciones-SMP'!G728="","",'Observaciones-SMP'!G728)</f>
        <v/>
      </c>
      <c r="H728" s="193" t="str">
        <f>IF('Observaciones-SMP'!H728="","",'Observaciones-SMP'!H728)</f>
        <v/>
      </c>
      <c r="I728" s="193" t="str">
        <f>IF('Observaciones-SMP'!I728="","",'Observaciones-SMP'!I728)</f>
        <v/>
      </c>
      <c r="J728" s="193" t="str">
        <f>IF('Observaciones-SMP'!J728="","",'Observaciones-SMP'!J728)</f>
        <v/>
      </c>
      <c r="K728" s="193" t="str">
        <f>IF('Observaciones-SMP'!K728="","",'Observaciones-SMP'!K728)</f>
        <v/>
      </c>
      <c r="L728" s="193" t="str">
        <f>IF('Observaciones-SMP'!L728="","",'Observaciones-SMP'!L728)</f>
        <v/>
      </c>
      <c r="M728" s="193" t="str">
        <f>IF('Observaciones-SMP'!M728="","",'Observaciones-SMP'!M728)</f>
        <v/>
      </c>
      <c r="N728" s="193" t="str">
        <f>IF('Observaciones-SMP'!N728="","",'Observaciones-SMP'!N728)</f>
        <v/>
      </c>
      <c r="O728" s="193" t="str">
        <f>IF('Observaciones-SMP'!O728="","",'Observaciones-SMP'!O728)</f>
        <v/>
      </c>
      <c r="P728" s="193" t="str">
        <f>IF('Observaciones-SMP'!P728="","",'Observaciones-SMP'!P728)</f>
        <v/>
      </c>
      <c r="Q728" s="257" t="str">
        <f>IF('Observaciones-SMP'!S728="","",'Observaciones-SMP'!S728)</f>
        <v/>
      </c>
      <c r="R728" s="193" t="str">
        <f>IF('Observaciones-SMP'!T728="","",'Observaciones-SMP'!T728)</f>
        <v/>
      </c>
      <c r="S728" s="193" t="str">
        <f>""</f>
        <v/>
      </c>
      <c r="T728" s="193" t="str">
        <f>""</f>
        <v/>
      </c>
      <c r="U728" s="193" t="str">
        <f t="shared" si="44"/>
        <v/>
      </c>
      <c r="V728" s="193" t="str">
        <f>""</f>
        <v/>
      </c>
      <c r="W728" s="193" t="str">
        <f>""</f>
        <v/>
      </c>
      <c r="X728" s="258" t="str">
        <f t="shared" si="45"/>
        <v/>
      </c>
      <c r="Y728" s="258" t="str">
        <f t="shared" si="46"/>
        <v/>
      </c>
      <c r="Z728" s="193" t="str">
        <f>IF(A728="","",IF(COUNTIF('Observaciones-SMP'!$A$2:$A$1001,A728)&gt;1,1,0))</f>
        <v/>
      </c>
      <c r="AA728" s="193" t="str">
        <f t="shared" si="47"/>
        <v/>
      </c>
    </row>
    <row r="729" spans="1:27" ht="13.5" customHeight="1" x14ac:dyDescent="0.3">
      <c r="A729" s="193" t="str">
        <f>IF('Observaciones-SMP'!A729="","",'Observaciones-SMP'!A729)</f>
        <v/>
      </c>
      <c r="B729" s="257" t="str">
        <f>IF('Observaciones-SMP'!B729="","",'Observaciones-SMP'!B729)</f>
        <v/>
      </c>
      <c r="C729" s="193" t="str">
        <f>IF('Observaciones-SMP'!C729="","",'Observaciones-SMP'!C729)</f>
        <v/>
      </c>
      <c r="D729" s="193" t="str">
        <f>IF('Observaciones-SMP'!D729="","",'Observaciones-SMP'!D729)</f>
        <v/>
      </c>
      <c r="E729" s="193" t="str">
        <f>IF('Observaciones-SMP'!E729="","",'Observaciones-SMP'!E729)</f>
        <v/>
      </c>
      <c r="F729" s="193" t="str">
        <f>IF('Observaciones-SMP'!F729="","",'Observaciones-SMP'!F729)</f>
        <v/>
      </c>
      <c r="G729" s="193" t="str">
        <f>IF('Observaciones-SMP'!G729="","",'Observaciones-SMP'!G729)</f>
        <v/>
      </c>
      <c r="H729" s="193" t="str">
        <f>IF('Observaciones-SMP'!H729="","",'Observaciones-SMP'!H729)</f>
        <v/>
      </c>
      <c r="I729" s="193" t="str">
        <f>IF('Observaciones-SMP'!I729="","",'Observaciones-SMP'!I729)</f>
        <v/>
      </c>
      <c r="J729" s="193" t="str">
        <f>IF('Observaciones-SMP'!J729="","",'Observaciones-SMP'!J729)</f>
        <v/>
      </c>
      <c r="K729" s="193" t="str">
        <f>IF('Observaciones-SMP'!K729="","",'Observaciones-SMP'!K729)</f>
        <v/>
      </c>
      <c r="L729" s="193" t="str">
        <f>IF('Observaciones-SMP'!L729="","",'Observaciones-SMP'!L729)</f>
        <v/>
      </c>
      <c r="M729" s="193" t="str">
        <f>IF('Observaciones-SMP'!M729="","",'Observaciones-SMP'!M729)</f>
        <v/>
      </c>
      <c r="N729" s="193" t="str">
        <f>IF('Observaciones-SMP'!N729="","",'Observaciones-SMP'!N729)</f>
        <v/>
      </c>
      <c r="O729" s="193" t="str">
        <f>IF('Observaciones-SMP'!O729="","",'Observaciones-SMP'!O729)</f>
        <v/>
      </c>
      <c r="P729" s="193" t="str">
        <f>IF('Observaciones-SMP'!P729="","",'Observaciones-SMP'!P729)</f>
        <v/>
      </c>
      <c r="Q729" s="257" t="str">
        <f>IF('Observaciones-SMP'!S729="","",'Observaciones-SMP'!S729)</f>
        <v/>
      </c>
      <c r="R729" s="193" t="str">
        <f>IF('Observaciones-SMP'!T729="","",'Observaciones-SMP'!T729)</f>
        <v/>
      </c>
      <c r="S729" s="193" t="str">
        <f>""</f>
        <v/>
      </c>
      <c r="T729" s="193" t="str">
        <f>""</f>
        <v/>
      </c>
      <c r="U729" s="193" t="str">
        <f t="shared" si="44"/>
        <v/>
      </c>
      <c r="V729" s="193" t="str">
        <f>""</f>
        <v/>
      </c>
      <c r="W729" s="193" t="str">
        <f>""</f>
        <v/>
      </c>
      <c r="X729" s="258" t="str">
        <f t="shared" si="45"/>
        <v/>
      </c>
      <c r="Y729" s="258" t="str">
        <f t="shared" si="46"/>
        <v/>
      </c>
      <c r="Z729" s="193" t="str">
        <f>IF(A729="","",IF(COUNTIF('Observaciones-SMP'!$A$2:$A$1001,A729)&gt;1,1,0))</f>
        <v/>
      </c>
      <c r="AA729" s="193" t="str">
        <f t="shared" si="47"/>
        <v/>
      </c>
    </row>
    <row r="730" spans="1:27" ht="13.5" customHeight="1" x14ac:dyDescent="0.3">
      <c r="A730" s="193" t="str">
        <f>IF('Observaciones-SMP'!A730="","",'Observaciones-SMP'!A730)</f>
        <v/>
      </c>
      <c r="B730" s="257" t="str">
        <f>IF('Observaciones-SMP'!B730="","",'Observaciones-SMP'!B730)</f>
        <v/>
      </c>
      <c r="C730" s="193" t="str">
        <f>IF('Observaciones-SMP'!C730="","",'Observaciones-SMP'!C730)</f>
        <v/>
      </c>
      <c r="D730" s="193" t="str">
        <f>IF('Observaciones-SMP'!D730="","",'Observaciones-SMP'!D730)</f>
        <v/>
      </c>
      <c r="E730" s="193" t="str">
        <f>IF('Observaciones-SMP'!E730="","",'Observaciones-SMP'!E730)</f>
        <v/>
      </c>
      <c r="F730" s="193" t="str">
        <f>IF('Observaciones-SMP'!F730="","",'Observaciones-SMP'!F730)</f>
        <v/>
      </c>
      <c r="G730" s="193" t="str">
        <f>IF('Observaciones-SMP'!G730="","",'Observaciones-SMP'!G730)</f>
        <v/>
      </c>
      <c r="H730" s="193" t="str">
        <f>IF('Observaciones-SMP'!H730="","",'Observaciones-SMP'!H730)</f>
        <v/>
      </c>
      <c r="I730" s="193" t="str">
        <f>IF('Observaciones-SMP'!I730="","",'Observaciones-SMP'!I730)</f>
        <v/>
      </c>
      <c r="J730" s="193" t="str">
        <f>IF('Observaciones-SMP'!J730="","",'Observaciones-SMP'!J730)</f>
        <v/>
      </c>
      <c r="K730" s="193" t="str">
        <f>IF('Observaciones-SMP'!K730="","",'Observaciones-SMP'!K730)</f>
        <v/>
      </c>
      <c r="L730" s="193" t="str">
        <f>IF('Observaciones-SMP'!L730="","",'Observaciones-SMP'!L730)</f>
        <v/>
      </c>
      <c r="M730" s="193" t="str">
        <f>IF('Observaciones-SMP'!M730="","",'Observaciones-SMP'!M730)</f>
        <v/>
      </c>
      <c r="N730" s="193" t="str">
        <f>IF('Observaciones-SMP'!N730="","",'Observaciones-SMP'!N730)</f>
        <v/>
      </c>
      <c r="O730" s="193" t="str">
        <f>IF('Observaciones-SMP'!O730="","",'Observaciones-SMP'!O730)</f>
        <v/>
      </c>
      <c r="P730" s="193" t="str">
        <f>IF('Observaciones-SMP'!P730="","",'Observaciones-SMP'!P730)</f>
        <v/>
      </c>
      <c r="Q730" s="257" t="str">
        <f>IF('Observaciones-SMP'!S730="","",'Observaciones-SMP'!S730)</f>
        <v/>
      </c>
      <c r="R730" s="193" t="str">
        <f>IF('Observaciones-SMP'!T730="","",'Observaciones-SMP'!T730)</f>
        <v/>
      </c>
      <c r="S730" s="193" t="str">
        <f>""</f>
        <v/>
      </c>
      <c r="T730" s="193" t="str">
        <f>""</f>
        <v/>
      </c>
      <c r="U730" s="193" t="str">
        <f t="shared" si="44"/>
        <v/>
      </c>
      <c r="V730" s="193" t="str">
        <f>""</f>
        <v/>
      </c>
      <c r="W730" s="193" t="str">
        <f>""</f>
        <v/>
      </c>
      <c r="X730" s="258" t="str">
        <f t="shared" si="45"/>
        <v/>
      </c>
      <c r="Y730" s="258" t="str">
        <f t="shared" si="46"/>
        <v/>
      </c>
      <c r="Z730" s="193" t="str">
        <f>IF(A730="","",IF(COUNTIF('Observaciones-SMP'!$A$2:$A$1001,A730)&gt;1,1,0))</f>
        <v/>
      </c>
      <c r="AA730" s="193" t="str">
        <f t="shared" si="47"/>
        <v/>
      </c>
    </row>
    <row r="731" spans="1:27" ht="13.5" customHeight="1" x14ac:dyDescent="0.3">
      <c r="A731" s="193" t="str">
        <f>IF('Observaciones-SMP'!A731="","",'Observaciones-SMP'!A731)</f>
        <v/>
      </c>
      <c r="B731" s="257" t="str">
        <f>IF('Observaciones-SMP'!B731="","",'Observaciones-SMP'!B731)</f>
        <v/>
      </c>
      <c r="C731" s="193" t="str">
        <f>IF('Observaciones-SMP'!C731="","",'Observaciones-SMP'!C731)</f>
        <v/>
      </c>
      <c r="D731" s="193" t="str">
        <f>IF('Observaciones-SMP'!D731="","",'Observaciones-SMP'!D731)</f>
        <v/>
      </c>
      <c r="E731" s="193" t="str">
        <f>IF('Observaciones-SMP'!E731="","",'Observaciones-SMP'!E731)</f>
        <v/>
      </c>
      <c r="F731" s="193" t="str">
        <f>IF('Observaciones-SMP'!F731="","",'Observaciones-SMP'!F731)</f>
        <v/>
      </c>
      <c r="G731" s="193" t="str">
        <f>IF('Observaciones-SMP'!G731="","",'Observaciones-SMP'!G731)</f>
        <v/>
      </c>
      <c r="H731" s="193" t="str">
        <f>IF('Observaciones-SMP'!H731="","",'Observaciones-SMP'!H731)</f>
        <v/>
      </c>
      <c r="I731" s="193" t="str">
        <f>IF('Observaciones-SMP'!I731="","",'Observaciones-SMP'!I731)</f>
        <v/>
      </c>
      <c r="J731" s="193" t="str">
        <f>IF('Observaciones-SMP'!J731="","",'Observaciones-SMP'!J731)</f>
        <v/>
      </c>
      <c r="K731" s="193" t="str">
        <f>IF('Observaciones-SMP'!K731="","",'Observaciones-SMP'!K731)</f>
        <v/>
      </c>
      <c r="L731" s="193" t="str">
        <f>IF('Observaciones-SMP'!L731="","",'Observaciones-SMP'!L731)</f>
        <v/>
      </c>
      <c r="M731" s="193" t="str">
        <f>IF('Observaciones-SMP'!M731="","",'Observaciones-SMP'!M731)</f>
        <v/>
      </c>
      <c r="N731" s="193" t="str">
        <f>IF('Observaciones-SMP'!N731="","",'Observaciones-SMP'!N731)</f>
        <v/>
      </c>
      <c r="O731" s="193" t="str">
        <f>IF('Observaciones-SMP'!O731="","",'Observaciones-SMP'!O731)</f>
        <v/>
      </c>
      <c r="P731" s="193" t="str">
        <f>IF('Observaciones-SMP'!P731="","",'Observaciones-SMP'!P731)</f>
        <v/>
      </c>
      <c r="Q731" s="257" t="str">
        <f>IF('Observaciones-SMP'!S731="","",'Observaciones-SMP'!S731)</f>
        <v/>
      </c>
      <c r="R731" s="193" t="str">
        <f>IF('Observaciones-SMP'!T731="","",'Observaciones-SMP'!T731)</f>
        <v/>
      </c>
      <c r="S731" s="193" t="str">
        <f>""</f>
        <v/>
      </c>
      <c r="T731" s="193" t="str">
        <f>""</f>
        <v/>
      </c>
      <c r="U731" s="193" t="str">
        <f t="shared" si="44"/>
        <v/>
      </c>
      <c r="V731" s="193" t="str">
        <f>""</f>
        <v/>
      </c>
      <c r="W731" s="193" t="str">
        <f>""</f>
        <v/>
      </c>
      <c r="X731" s="258" t="str">
        <f t="shared" si="45"/>
        <v/>
      </c>
      <c r="Y731" s="258" t="str">
        <f t="shared" si="46"/>
        <v/>
      </c>
      <c r="Z731" s="193" t="str">
        <f>IF(A731="","",IF(COUNTIF('Observaciones-SMP'!$A$2:$A$1001,A731)&gt;1,1,0))</f>
        <v/>
      </c>
      <c r="AA731" s="193" t="str">
        <f t="shared" si="47"/>
        <v/>
      </c>
    </row>
    <row r="732" spans="1:27" ht="13.5" customHeight="1" x14ac:dyDescent="0.3">
      <c r="A732" s="193" t="str">
        <f>IF('Observaciones-SMP'!A732="","",'Observaciones-SMP'!A732)</f>
        <v/>
      </c>
      <c r="B732" s="257" t="str">
        <f>IF('Observaciones-SMP'!B732="","",'Observaciones-SMP'!B732)</f>
        <v/>
      </c>
      <c r="C732" s="193" t="str">
        <f>IF('Observaciones-SMP'!C732="","",'Observaciones-SMP'!C732)</f>
        <v/>
      </c>
      <c r="D732" s="193" t="str">
        <f>IF('Observaciones-SMP'!D732="","",'Observaciones-SMP'!D732)</f>
        <v/>
      </c>
      <c r="E732" s="193" t="str">
        <f>IF('Observaciones-SMP'!E732="","",'Observaciones-SMP'!E732)</f>
        <v/>
      </c>
      <c r="F732" s="193" t="str">
        <f>IF('Observaciones-SMP'!F732="","",'Observaciones-SMP'!F732)</f>
        <v/>
      </c>
      <c r="G732" s="193" t="str">
        <f>IF('Observaciones-SMP'!G732="","",'Observaciones-SMP'!G732)</f>
        <v/>
      </c>
      <c r="H732" s="193" t="str">
        <f>IF('Observaciones-SMP'!H732="","",'Observaciones-SMP'!H732)</f>
        <v/>
      </c>
      <c r="I732" s="193" t="str">
        <f>IF('Observaciones-SMP'!I732="","",'Observaciones-SMP'!I732)</f>
        <v/>
      </c>
      <c r="J732" s="193" t="str">
        <f>IF('Observaciones-SMP'!J732="","",'Observaciones-SMP'!J732)</f>
        <v/>
      </c>
      <c r="K732" s="193" t="str">
        <f>IF('Observaciones-SMP'!K732="","",'Observaciones-SMP'!K732)</f>
        <v/>
      </c>
      <c r="L732" s="193" t="str">
        <f>IF('Observaciones-SMP'!L732="","",'Observaciones-SMP'!L732)</f>
        <v/>
      </c>
      <c r="M732" s="193" t="str">
        <f>IF('Observaciones-SMP'!M732="","",'Observaciones-SMP'!M732)</f>
        <v/>
      </c>
      <c r="N732" s="193" t="str">
        <f>IF('Observaciones-SMP'!N732="","",'Observaciones-SMP'!N732)</f>
        <v/>
      </c>
      <c r="O732" s="193" t="str">
        <f>IF('Observaciones-SMP'!O732="","",'Observaciones-SMP'!O732)</f>
        <v/>
      </c>
      <c r="P732" s="193" t="str">
        <f>IF('Observaciones-SMP'!P732="","",'Observaciones-SMP'!P732)</f>
        <v/>
      </c>
      <c r="Q732" s="257" t="str">
        <f>IF('Observaciones-SMP'!S732="","",'Observaciones-SMP'!S732)</f>
        <v/>
      </c>
      <c r="R732" s="193" t="str">
        <f>IF('Observaciones-SMP'!T732="","",'Observaciones-SMP'!T732)</f>
        <v/>
      </c>
      <c r="S732" s="193" t="str">
        <f>""</f>
        <v/>
      </c>
      <c r="T732" s="193" t="str">
        <f>""</f>
        <v/>
      </c>
      <c r="U732" s="193" t="str">
        <f t="shared" si="44"/>
        <v/>
      </c>
      <c r="V732" s="193" t="str">
        <f>""</f>
        <v/>
      </c>
      <c r="W732" s="193" t="str">
        <f>""</f>
        <v/>
      </c>
      <c r="X732" s="258" t="str">
        <f t="shared" si="45"/>
        <v/>
      </c>
      <c r="Y732" s="258" t="str">
        <f t="shared" si="46"/>
        <v/>
      </c>
      <c r="Z732" s="193" t="str">
        <f>IF(A732="","",IF(COUNTIF('Observaciones-SMP'!$A$2:$A$1001,A732)&gt;1,1,0))</f>
        <v/>
      </c>
      <c r="AA732" s="193" t="str">
        <f t="shared" si="47"/>
        <v/>
      </c>
    </row>
    <row r="733" spans="1:27" ht="13.5" customHeight="1" x14ac:dyDescent="0.3">
      <c r="A733" s="193" t="str">
        <f>IF('Observaciones-SMP'!A733="","",'Observaciones-SMP'!A733)</f>
        <v/>
      </c>
      <c r="B733" s="257" t="str">
        <f>IF('Observaciones-SMP'!B733="","",'Observaciones-SMP'!B733)</f>
        <v/>
      </c>
      <c r="C733" s="193" t="str">
        <f>IF('Observaciones-SMP'!C733="","",'Observaciones-SMP'!C733)</f>
        <v/>
      </c>
      <c r="D733" s="193" t="str">
        <f>IF('Observaciones-SMP'!D733="","",'Observaciones-SMP'!D733)</f>
        <v/>
      </c>
      <c r="E733" s="193" t="str">
        <f>IF('Observaciones-SMP'!E733="","",'Observaciones-SMP'!E733)</f>
        <v/>
      </c>
      <c r="F733" s="193" t="str">
        <f>IF('Observaciones-SMP'!F733="","",'Observaciones-SMP'!F733)</f>
        <v/>
      </c>
      <c r="G733" s="193" t="str">
        <f>IF('Observaciones-SMP'!G733="","",'Observaciones-SMP'!G733)</f>
        <v/>
      </c>
      <c r="H733" s="193" t="str">
        <f>IF('Observaciones-SMP'!H733="","",'Observaciones-SMP'!H733)</f>
        <v/>
      </c>
      <c r="I733" s="193" t="str">
        <f>IF('Observaciones-SMP'!I733="","",'Observaciones-SMP'!I733)</f>
        <v/>
      </c>
      <c r="J733" s="193" t="str">
        <f>IF('Observaciones-SMP'!J733="","",'Observaciones-SMP'!J733)</f>
        <v/>
      </c>
      <c r="K733" s="193" t="str">
        <f>IF('Observaciones-SMP'!K733="","",'Observaciones-SMP'!K733)</f>
        <v/>
      </c>
      <c r="L733" s="193" t="str">
        <f>IF('Observaciones-SMP'!L733="","",'Observaciones-SMP'!L733)</f>
        <v/>
      </c>
      <c r="M733" s="193" t="str">
        <f>IF('Observaciones-SMP'!M733="","",'Observaciones-SMP'!M733)</f>
        <v/>
      </c>
      <c r="N733" s="193" t="str">
        <f>IF('Observaciones-SMP'!N733="","",'Observaciones-SMP'!N733)</f>
        <v/>
      </c>
      <c r="O733" s="193" t="str">
        <f>IF('Observaciones-SMP'!O733="","",'Observaciones-SMP'!O733)</f>
        <v/>
      </c>
      <c r="P733" s="193" t="str">
        <f>IF('Observaciones-SMP'!P733="","",'Observaciones-SMP'!P733)</f>
        <v/>
      </c>
      <c r="Q733" s="257" t="str">
        <f>IF('Observaciones-SMP'!S733="","",'Observaciones-SMP'!S733)</f>
        <v/>
      </c>
      <c r="R733" s="193" t="str">
        <f>IF('Observaciones-SMP'!T733="","",'Observaciones-SMP'!T733)</f>
        <v/>
      </c>
      <c r="S733" s="193" t="str">
        <f>""</f>
        <v/>
      </c>
      <c r="T733" s="193" t="str">
        <f>""</f>
        <v/>
      </c>
      <c r="U733" s="193" t="str">
        <f t="shared" si="44"/>
        <v/>
      </c>
      <c r="V733" s="193" t="str">
        <f>""</f>
        <v/>
      </c>
      <c r="W733" s="193" t="str">
        <f>""</f>
        <v/>
      </c>
      <c r="X733" s="258" t="str">
        <f t="shared" si="45"/>
        <v/>
      </c>
      <c r="Y733" s="258" t="str">
        <f t="shared" si="46"/>
        <v/>
      </c>
      <c r="Z733" s="193" t="str">
        <f>IF(A733="","",IF(COUNTIF('Observaciones-SMP'!$A$2:$A$1001,A733)&gt;1,1,0))</f>
        <v/>
      </c>
      <c r="AA733" s="193" t="str">
        <f t="shared" si="47"/>
        <v/>
      </c>
    </row>
    <row r="734" spans="1:27" ht="13.5" customHeight="1" x14ac:dyDescent="0.3">
      <c r="A734" s="193" t="str">
        <f>IF('Observaciones-SMP'!A734="","",'Observaciones-SMP'!A734)</f>
        <v/>
      </c>
      <c r="B734" s="257" t="str">
        <f>IF('Observaciones-SMP'!B734="","",'Observaciones-SMP'!B734)</f>
        <v/>
      </c>
      <c r="C734" s="193" t="str">
        <f>IF('Observaciones-SMP'!C734="","",'Observaciones-SMP'!C734)</f>
        <v/>
      </c>
      <c r="D734" s="193" t="str">
        <f>IF('Observaciones-SMP'!D734="","",'Observaciones-SMP'!D734)</f>
        <v/>
      </c>
      <c r="E734" s="193" t="str">
        <f>IF('Observaciones-SMP'!E734="","",'Observaciones-SMP'!E734)</f>
        <v/>
      </c>
      <c r="F734" s="193" t="str">
        <f>IF('Observaciones-SMP'!F734="","",'Observaciones-SMP'!F734)</f>
        <v/>
      </c>
      <c r="G734" s="193" t="str">
        <f>IF('Observaciones-SMP'!G734="","",'Observaciones-SMP'!G734)</f>
        <v/>
      </c>
      <c r="H734" s="193" t="str">
        <f>IF('Observaciones-SMP'!H734="","",'Observaciones-SMP'!H734)</f>
        <v/>
      </c>
      <c r="I734" s="193" t="str">
        <f>IF('Observaciones-SMP'!I734="","",'Observaciones-SMP'!I734)</f>
        <v/>
      </c>
      <c r="J734" s="193" t="str">
        <f>IF('Observaciones-SMP'!J734="","",'Observaciones-SMP'!J734)</f>
        <v/>
      </c>
      <c r="K734" s="193" t="str">
        <f>IF('Observaciones-SMP'!K734="","",'Observaciones-SMP'!K734)</f>
        <v/>
      </c>
      <c r="L734" s="193" t="str">
        <f>IF('Observaciones-SMP'!L734="","",'Observaciones-SMP'!L734)</f>
        <v/>
      </c>
      <c r="M734" s="193" t="str">
        <f>IF('Observaciones-SMP'!M734="","",'Observaciones-SMP'!M734)</f>
        <v/>
      </c>
      <c r="N734" s="193" t="str">
        <f>IF('Observaciones-SMP'!N734="","",'Observaciones-SMP'!N734)</f>
        <v/>
      </c>
      <c r="O734" s="193" t="str">
        <f>IF('Observaciones-SMP'!O734="","",'Observaciones-SMP'!O734)</f>
        <v/>
      </c>
      <c r="P734" s="193" t="str">
        <f>IF('Observaciones-SMP'!P734="","",'Observaciones-SMP'!P734)</f>
        <v/>
      </c>
      <c r="Q734" s="257" t="str">
        <f>IF('Observaciones-SMP'!S734="","",'Observaciones-SMP'!S734)</f>
        <v/>
      </c>
      <c r="R734" s="193" t="str">
        <f>IF('Observaciones-SMP'!T734="","",'Observaciones-SMP'!T734)</f>
        <v/>
      </c>
      <c r="S734" s="193" t="str">
        <f>""</f>
        <v/>
      </c>
      <c r="T734" s="193" t="str">
        <f>""</f>
        <v/>
      </c>
      <c r="U734" s="193" t="str">
        <f t="shared" si="44"/>
        <v/>
      </c>
      <c r="V734" s="193" t="str">
        <f>""</f>
        <v/>
      </c>
      <c r="W734" s="193" t="str">
        <f>""</f>
        <v/>
      </c>
      <c r="X734" s="258" t="str">
        <f t="shared" si="45"/>
        <v/>
      </c>
      <c r="Y734" s="258" t="str">
        <f t="shared" si="46"/>
        <v/>
      </c>
      <c r="Z734" s="193" t="str">
        <f>IF(A734="","",IF(COUNTIF('Observaciones-SMP'!$A$2:$A$1001,A734)&gt;1,1,0))</f>
        <v/>
      </c>
      <c r="AA734" s="193" t="str">
        <f t="shared" si="47"/>
        <v/>
      </c>
    </row>
    <row r="735" spans="1:27" ht="13.5" customHeight="1" x14ac:dyDescent="0.3">
      <c r="A735" s="193" t="str">
        <f>IF('Observaciones-SMP'!A735="","",'Observaciones-SMP'!A735)</f>
        <v/>
      </c>
      <c r="B735" s="257" t="str">
        <f>IF('Observaciones-SMP'!B735="","",'Observaciones-SMP'!B735)</f>
        <v/>
      </c>
      <c r="C735" s="193" t="str">
        <f>IF('Observaciones-SMP'!C735="","",'Observaciones-SMP'!C735)</f>
        <v/>
      </c>
      <c r="D735" s="193" t="str">
        <f>IF('Observaciones-SMP'!D735="","",'Observaciones-SMP'!D735)</f>
        <v/>
      </c>
      <c r="E735" s="193" t="str">
        <f>IF('Observaciones-SMP'!E735="","",'Observaciones-SMP'!E735)</f>
        <v/>
      </c>
      <c r="F735" s="193" t="str">
        <f>IF('Observaciones-SMP'!F735="","",'Observaciones-SMP'!F735)</f>
        <v/>
      </c>
      <c r="G735" s="193" t="str">
        <f>IF('Observaciones-SMP'!G735="","",'Observaciones-SMP'!G735)</f>
        <v/>
      </c>
      <c r="H735" s="193" t="str">
        <f>IF('Observaciones-SMP'!H735="","",'Observaciones-SMP'!H735)</f>
        <v/>
      </c>
      <c r="I735" s="193" t="str">
        <f>IF('Observaciones-SMP'!I735="","",'Observaciones-SMP'!I735)</f>
        <v/>
      </c>
      <c r="J735" s="193" t="str">
        <f>IF('Observaciones-SMP'!J735="","",'Observaciones-SMP'!J735)</f>
        <v/>
      </c>
      <c r="K735" s="193" t="str">
        <f>IF('Observaciones-SMP'!K735="","",'Observaciones-SMP'!K735)</f>
        <v/>
      </c>
      <c r="L735" s="193" t="str">
        <f>IF('Observaciones-SMP'!L735="","",'Observaciones-SMP'!L735)</f>
        <v/>
      </c>
      <c r="M735" s="193" t="str">
        <f>IF('Observaciones-SMP'!M735="","",'Observaciones-SMP'!M735)</f>
        <v/>
      </c>
      <c r="N735" s="193" t="str">
        <f>IF('Observaciones-SMP'!N735="","",'Observaciones-SMP'!N735)</f>
        <v/>
      </c>
      <c r="O735" s="193" t="str">
        <f>IF('Observaciones-SMP'!O735="","",'Observaciones-SMP'!O735)</f>
        <v/>
      </c>
      <c r="P735" s="193" t="str">
        <f>IF('Observaciones-SMP'!P735="","",'Observaciones-SMP'!P735)</f>
        <v/>
      </c>
      <c r="Q735" s="257" t="str">
        <f>IF('Observaciones-SMP'!S735="","",'Observaciones-SMP'!S735)</f>
        <v/>
      </c>
      <c r="R735" s="193" t="str">
        <f>IF('Observaciones-SMP'!T735="","",'Observaciones-SMP'!T735)</f>
        <v/>
      </c>
      <c r="S735" s="193" t="str">
        <f>""</f>
        <v/>
      </c>
      <c r="T735" s="193" t="str">
        <f>""</f>
        <v/>
      </c>
      <c r="U735" s="193" t="str">
        <f t="shared" si="44"/>
        <v/>
      </c>
      <c r="V735" s="193" t="str">
        <f>""</f>
        <v/>
      </c>
      <c r="W735" s="193" t="str">
        <f>""</f>
        <v/>
      </c>
      <c r="X735" s="258" t="str">
        <f t="shared" si="45"/>
        <v/>
      </c>
      <c r="Y735" s="258" t="str">
        <f t="shared" si="46"/>
        <v/>
      </c>
      <c r="Z735" s="193" t="str">
        <f>IF(A735="","",IF(COUNTIF('Observaciones-SMP'!$A$2:$A$1001,A735)&gt;1,1,0))</f>
        <v/>
      </c>
      <c r="AA735" s="193" t="str">
        <f t="shared" si="47"/>
        <v/>
      </c>
    </row>
    <row r="736" spans="1:27" ht="13.5" customHeight="1" x14ac:dyDescent="0.3">
      <c r="A736" s="193" t="str">
        <f>IF('Observaciones-SMP'!A736="","",'Observaciones-SMP'!A736)</f>
        <v/>
      </c>
      <c r="B736" s="257" t="str">
        <f>IF('Observaciones-SMP'!B736="","",'Observaciones-SMP'!B736)</f>
        <v/>
      </c>
      <c r="C736" s="193" t="str">
        <f>IF('Observaciones-SMP'!C736="","",'Observaciones-SMP'!C736)</f>
        <v/>
      </c>
      <c r="D736" s="193" t="str">
        <f>IF('Observaciones-SMP'!D736="","",'Observaciones-SMP'!D736)</f>
        <v/>
      </c>
      <c r="E736" s="193" t="str">
        <f>IF('Observaciones-SMP'!E736="","",'Observaciones-SMP'!E736)</f>
        <v/>
      </c>
      <c r="F736" s="193" t="str">
        <f>IF('Observaciones-SMP'!F736="","",'Observaciones-SMP'!F736)</f>
        <v/>
      </c>
      <c r="G736" s="193" t="str">
        <f>IF('Observaciones-SMP'!G736="","",'Observaciones-SMP'!G736)</f>
        <v/>
      </c>
      <c r="H736" s="193" t="str">
        <f>IF('Observaciones-SMP'!H736="","",'Observaciones-SMP'!H736)</f>
        <v/>
      </c>
      <c r="I736" s="193" t="str">
        <f>IF('Observaciones-SMP'!I736="","",'Observaciones-SMP'!I736)</f>
        <v/>
      </c>
      <c r="J736" s="193" t="str">
        <f>IF('Observaciones-SMP'!J736="","",'Observaciones-SMP'!J736)</f>
        <v/>
      </c>
      <c r="K736" s="193" t="str">
        <f>IF('Observaciones-SMP'!K736="","",'Observaciones-SMP'!K736)</f>
        <v/>
      </c>
      <c r="L736" s="193" t="str">
        <f>IF('Observaciones-SMP'!L736="","",'Observaciones-SMP'!L736)</f>
        <v/>
      </c>
      <c r="M736" s="193" t="str">
        <f>IF('Observaciones-SMP'!M736="","",'Observaciones-SMP'!M736)</f>
        <v/>
      </c>
      <c r="N736" s="193" t="str">
        <f>IF('Observaciones-SMP'!N736="","",'Observaciones-SMP'!N736)</f>
        <v/>
      </c>
      <c r="O736" s="193" t="str">
        <f>IF('Observaciones-SMP'!O736="","",'Observaciones-SMP'!O736)</f>
        <v/>
      </c>
      <c r="P736" s="193" t="str">
        <f>IF('Observaciones-SMP'!P736="","",'Observaciones-SMP'!P736)</f>
        <v/>
      </c>
      <c r="Q736" s="257" t="str">
        <f>IF('Observaciones-SMP'!S736="","",'Observaciones-SMP'!S736)</f>
        <v/>
      </c>
      <c r="R736" s="193" t="str">
        <f>IF('Observaciones-SMP'!T736="","",'Observaciones-SMP'!T736)</f>
        <v/>
      </c>
      <c r="S736" s="193" t="str">
        <f>""</f>
        <v/>
      </c>
      <c r="T736" s="193" t="str">
        <f>""</f>
        <v/>
      </c>
      <c r="U736" s="193" t="str">
        <f t="shared" si="44"/>
        <v/>
      </c>
      <c r="V736" s="193" t="str">
        <f>""</f>
        <v/>
      </c>
      <c r="W736" s="193" t="str">
        <f>""</f>
        <v/>
      </c>
      <c r="X736" s="258" t="str">
        <f t="shared" si="45"/>
        <v/>
      </c>
      <c r="Y736" s="258" t="str">
        <f t="shared" si="46"/>
        <v/>
      </c>
      <c r="Z736" s="193" t="str">
        <f>IF(A736="","",IF(COUNTIF('Observaciones-SMP'!$A$2:$A$1001,A736)&gt;1,1,0))</f>
        <v/>
      </c>
      <c r="AA736" s="193" t="str">
        <f t="shared" si="47"/>
        <v/>
      </c>
    </row>
    <row r="737" spans="1:27" ht="13.5" customHeight="1" x14ac:dyDescent="0.3">
      <c r="A737" s="193" t="str">
        <f>IF('Observaciones-SMP'!A737="","",'Observaciones-SMP'!A737)</f>
        <v/>
      </c>
      <c r="B737" s="257" t="str">
        <f>IF('Observaciones-SMP'!B737="","",'Observaciones-SMP'!B737)</f>
        <v/>
      </c>
      <c r="C737" s="193" t="str">
        <f>IF('Observaciones-SMP'!C737="","",'Observaciones-SMP'!C737)</f>
        <v/>
      </c>
      <c r="D737" s="193" t="str">
        <f>IF('Observaciones-SMP'!D737="","",'Observaciones-SMP'!D737)</f>
        <v/>
      </c>
      <c r="E737" s="193" t="str">
        <f>IF('Observaciones-SMP'!E737="","",'Observaciones-SMP'!E737)</f>
        <v/>
      </c>
      <c r="F737" s="193" t="str">
        <f>IF('Observaciones-SMP'!F737="","",'Observaciones-SMP'!F737)</f>
        <v/>
      </c>
      <c r="G737" s="193" t="str">
        <f>IF('Observaciones-SMP'!G737="","",'Observaciones-SMP'!G737)</f>
        <v/>
      </c>
      <c r="H737" s="193" t="str">
        <f>IF('Observaciones-SMP'!H737="","",'Observaciones-SMP'!H737)</f>
        <v/>
      </c>
      <c r="I737" s="193" t="str">
        <f>IF('Observaciones-SMP'!I737="","",'Observaciones-SMP'!I737)</f>
        <v/>
      </c>
      <c r="J737" s="193" t="str">
        <f>IF('Observaciones-SMP'!J737="","",'Observaciones-SMP'!J737)</f>
        <v/>
      </c>
      <c r="K737" s="193" t="str">
        <f>IF('Observaciones-SMP'!K737="","",'Observaciones-SMP'!K737)</f>
        <v/>
      </c>
      <c r="L737" s="193" t="str">
        <f>IF('Observaciones-SMP'!L737="","",'Observaciones-SMP'!L737)</f>
        <v/>
      </c>
      <c r="M737" s="193" t="str">
        <f>IF('Observaciones-SMP'!M737="","",'Observaciones-SMP'!M737)</f>
        <v/>
      </c>
      <c r="N737" s="193" t="str">
        <f>IF('Observaciones-SMP'!N737="","",'Observaciones-SMP'!N737)</f>
        <v/>
      </c>
      <c r="O737" s="193" t="str">
        <f>IF('Observaciones-SMP'!O737="","",'Observaciones-SMP'!O737)</f>
        <v/>
      </c>
      <c r="P737" s="193" t="str">
        <f>IF('Observaciones-SMP'!P737="","",'Observaciones-SMP'!P737)</f>
        <v/>
      </c>
      <c r="Q737" s="257" t="str">
        <f>IF('Observaciones-SMP'!S737="","",'Observaciones-SMP'!S737)</f>
        <v/>
      </c>
      <c r="R737" s="193" t="str">
        <f>IF('Observaciones-SMP'!T737="","",'Observaciones-SMP'!T737)</f>
        <v/>
      </c>
      <c r="S737" s="193" t="str">
        <f>""</f>
        <v/>
      </c>
      <c r="T737" s="193" t="str">
        <f>""</f>
        <v/>
      </c>
      <c r="U737" s="193" t="str">
        <f t="shared" si="44"/>
        <v/>
      </c>
      <c r="V737" s="193" t="str">
        <f>""</f>
        <v/>
      </c>
      <c r="W737" s="193" t="str">
        <f>""</f>
        <v/>
      </c>
      <c r="X737" s="258" t="str">
        <f t="shared" si="45"/>
        <v/>
      </c>
      <c r="Y737" s="258" t="str">
        <f t="shared" si="46"/>
        <v/>
      </c>
      <c r="Z737" s="193" t="str">
        <f>IF(A737="","",IF(COUNTIF('Observaciones-SMP'!$A$2:$A$1001,A737)&gt;1,1,0))</f>
        <v/>
      </c>
      <c r="AA737" s="193" t="str">
        <f t="shared" si="47"/>
        <v/>
      </c>
    </row>
    <row r="738" spans="1:27" ht="13.5" customHeight="1" x14ac:dyDescent="0.3">
      <c r="A738" s="193" t="str">
        <f>IF('Observaciones-SMP'!A738="","",'Observaciones-SMP'!A738)</f>
        <v/>
      </c>
      <c r="B738" s="257" t="str">
        <f>IF('Observaciones-SMP'!B738="","",'Observaciones-SMP'!B738)</f>
        <v/>
      </c>
      <c r="C738" s="193" t="str">
        <f>IF('Observaciones-SMP'!C738="","",'Observaciones-SMP'!C738)</f>
        <v/>
      </c>
      <c r="D738" s="193" t="str">
        <f>IF('Observaciones-SMP'!D738="","",'Observaciones-SMP'!D738)</f>
        <v/>
      </c>
      <c r="E738" s="193" t="str">
        <f>IF('Observaciones-SMP'!E738="","",'Observaciones-SMP'!E738)</f>
        <v/>
      </c>
      <c r="F738" s="193" t="str">
        <f>IF('Observaciones-SMP'!F738="","",'Observaciones-SMP'!F738)</f>
        <v/>
      </c>
      <c r="G738" s="193" t="str">
        <f>IF('Observaciones-SMP'!G738="","",'Observaciones-SMP'!G738)</f>
        <v/>
      </c>
      <c r="H738" s="193" t="str">
        <f>IF('Observaciones-SMP'!H738="","",'Observaciones-SMP'!H738)</f>
        <v/>
      </c>
      <c r="I738" s="193" t="str">
        <f>IF('Observaciones-SMP'!I738="","",'Observaciones-SMP'!I738)</f>
        <v/>
      </c>
      <c r="J738" s="193" t="str">
        <f>IF('Observaciones-SMP'!J738="","",'Observaciones-SMP'!J738)</f>
        <v/>
      </c>
      <c r="K738" s="193" t="str">
        <f>IF('Observaciones-SMP'!K738="","",'Observaciones-SMP'!K738)</f>
        <v/>
      </c>
      <c r="L738" s="193" t="str">
        <f>IF('Observaciones-SMP'!L738="","",'Observaciones-SMP'!L738)</f>
        <v/>
      </c>
      <c r="M738" s="193" t="str">
        <f>IF('Observaciones-SMP'!M738="","",'Observaciones-SMP'!M738)</f>
        <v/>
      </c>
      <c r="N738" s="193" t="str">
        <f>IF('Observaciones-SMP'!N738="","",'Observaciones-SMP'!N738)</f>
        <v/>
      </c>
      <c r="O738" s="193" t="str">
        <f>IF('Observaciones-SMP'!O738="","",'Observaciones-SMP'!O738)</f>
        <v/>
      </c>
      <c r="P738" s="193" t="str">
        <f>IF('Observaciones-SMP'!P738="","",'Observaciones-SMP'!P738)</f>
        <v/>
      </c>
      <c r="Q738" s="257" t="str">
        <f>IF('Observaciones-SMP'!S738="","",'Observaciones-SMP'!S738)</f>
        <v/>
      </c>
      <c r="R738" s="193" t="str">
        <f>IF('Observaciones-SMP'!T738="","",'Observaciones-SMP'!T738)</f>
        <v/>
      </c>
      <c r="S738" s="193" t="str">
        <f>""</f>
        <v/>
      </c>
      <c r="T738" s="193" t="str">
        <f>""</f>
        <v/>
      </c>
      <c r="U738" s="193" t="str">
        <f t="shared" si="44"/>
        <v/>
      </c>
      <c r="V738" s="193" t="str">
        <f>""</f>
        <v/>
      </c>
      <c r="W738" s="193" t="str">
        <f>""</f>
        <v/>
      </c>
      <c r="X738" s="258" t="str">
        <f t="shared" si="45"/>
        <v/>
      </c>
      <c r="Y738" s="258" t="str">
        <f t="shared" si="46"/>
        <v/>
      </c>
      <c r="Z738" s="193" t="str">
        <f>IF(A738="","",IF(COUNTIF('Observaciones-SMP'!$A$2:$A$1001,A738)&gt;1,1,0))</f>
        <v/>
      </c>
      <c r="AA738" s="193" t="str">
        <f t="shared" si="47"/>
        <v/>
      </c>
    </row>
    <row r="739" spans="1:27" ht="13.5" customHeight="1" x14ac:dyDescent="0.3">
      <c r="A739" s="193" t="str">
        <f>IF('Observaciones-SMP'!A739="","",'Observaciones-SMP'!A739)</f>
        <v/>
      </c>
      <c r="B739" s="257" t="str">
        <f>IF('Observaciones-SMP'!B739="","",'Observaciones-SMP'!B739)</f>
        <v/>
      </c>
      <c r="C739" s="193" t="str">
        <f>IF('Observaciones-SMP'!C739="","",'Observaciones-SMP'!C739)</f>
        <v/>
      </c>
      <c r="D739" s="193" t="str">
        <f>IF('Observaciones-SMP'!D739="","",'Observaciones-SMP'!D739)</f>
        <v/>
      </c>
      <c r="E739" s="193" t="str">
        <f>IF('Observaciones-SMP'!E739="","",'Observaciones-SMP'!E739)</f>
        <v/>
      </c>
      <c r="F739" s="193" t="str">
        <f>IF('Observaciones-SMP'!F739="","",'Observaciones-SMP'!F739)</f>
        <v/>
      </c>
      <c r="G739" s="193" t="str">
        <f>IF('Observaciones-SMP'!G739="","",'Observaciones-SMP'!G739)</f>
        <v/>
      </c>
      <c r="H739" s="193" t="str">
        <f>IF('Observaciones-SMP'!H739="","",'Observaciones-SMP'!H739)</f>
        <v/>
      </c>
      <c r="I739" s="193" t="str">
        <f>IF('Observaciones-SMP'!I739="","",'Observaciones-SMP'!I739)</f>
        <v/>
      </c>
      <c r="J739" s="193" t="str">
        <f>IF('Observaciones-SMP'!J739="","",'Observaciones-SMP'!J739)</f>
        <v/>
      </c>
      <c r="K739" s="193" t="str">
        <f>IF('Observaciones-SMP'!K739="","",'Observaciones-SMP'!K739)</f>
        <v/>
      </c>
      <c r="L739" s="193" t="str">
        <f>IF('Observaciones-SMP'!L739="","",'Observaciones-SMP'!L739)</f>
        <v/>
      </c>
      <c r="M739" s="193" t="str">
        <f>IF('Observaciones-SMP'!M739="","",'Observaciones-SMP'!M739)</f>
        <v/>
      </c>
      <c r="N739" s="193" t="str">
        <f>IF('Observaciones-SMP'!N739="","",'Observaciones-SMP'!N739)</f>
        <v/>
      </c>
      <c r="O739" s="193" t="str">
        <f>IF('Observaciones-SMP'!O739="","",'Observaciones-SMP'!O739)</f>
        <v/>
      </c>
      <c r="P739" s="193" t="str">
        <f>IF('Observaciones-SMP'!P739="","",'Observaciones-SMP'!P739)</f>
        <v/>
      </c>
      <c r="Q739" s="257" t="str">
        <f>IF('Observaciones-SMP'!S739="","",'Observaciones-SMP'!S739)</f>
        <v/>
      </c>
      <c r="R739" s="193" t="str">
        <f>IF('Observaciones-SMP'!T739="","",'Observaciones-SMP'!T739)</f>
        <v/>
      </c>
      <c r="S739" s="193" t="str">
        <f>""</f>
        <v/>
      </c>
      <c r="T739" s="193" t="str">
        <f>""</f>
        <v/>
      </c>
      <c r="U739" s="193" t="str">
        <f t="shared" si="44"/>
        <v/>
      </c>
      <c r="V739" s="193" t="str">
        <f>""</f>
        <v/>
      </c>
      <c r="W739" s="193" t="str">
        <f>""</f>
        <v/>
      </c>
      <c r="X739" s="258" t="str">
        <f t="shared" si="45"/>
        <v/>
      </c>
      <c r="Y739" s="258" t="str">
        <f t="shared" si="46"/>
        <v/>
      </c>
      <c r="Z739" s="193" t="str">
        <f>IF(A739="","",IF(COUNTIF('Observaciones-SMP'!$A$2:$A$1001,A739)&gt;1,1,0))</f>
        <v/>
      </c>
      <c r="AA739" s="193" t="str">
        <f t="shared" si="47"/>
        <v/>
      </c>
    </row>
    <row r="740" spans="1:27" ht="13.5" customHeight="1" x14ac:dyDescent="0.3">
      <c r="A740" s="193" t="str">
        <f>IF('Observaciones-SMP'!A740="","",'Observaciones-SMP'!A740)</f>
        <v/>
      </c>
      <c r="B740" s="257" t="str">
        <f>IF('Observaciones-SMP'!B740="","",'Observaciones-SMP'!B740)</f>
        <v/>
      </c>
      <c r="C740" s="193" t="str">
        <f>IF('Observaciones-SMP'!C740="","",'Observaciones-SMP'!C740)</f>
        <v/>
      </c>
      <c r="D740" s="193" t="str">
        <f>IF('Observaciones-SMP'!D740="","",'Observaciones-SMP'!D740)</f>
        <v/>
      </c>
      <c r="E740" s="193" t="str">
        <f>IF('Observaciones-SMP'!E740="","",'Observaciones-SMP'!E740)</f>
        <v/>
      </c>
      <c r="F740" s="193" t="str">
        <f>IF('Observaciones-SMP'!F740="","",'Observaciones-SMP'!F740)</f>
        <v/>
      </c>
      <c r="G740" s="193" t="str">
        <f>IF('Observaciones-SMP'!G740="","",'Observaciones-SMP'!G740)</f>
        <v/>
      </c>
      <c r="H740" s="193" t="str">
        <f>IF('Observaciones-SMP'!H740="","",'Observaciones-SMP'!H740)</f>
        <v/>
      </c>
      <c r="I740" s="193" t="str">
        <f>IF('Observaciones-SMP'!I740="","",'Observaciones-SMP'!I740)</f>
        <v/>
      </c>
      <c r="J740" s="193" t="str">
        <f>IF('Observaciones-SMP'!J740="","",'Observaciones-SMP'!J740)</f>
        <v/>
      </c>
      <c r="K740" s="193" t="str">
        <f>IF('Observaciones-SMP'!K740="","",'Observaciones-SMP'!K740)</f>
        <v/>
      </c>
      <c r="L740" s="193" t="str">
        <f>IF('Observaciones-SMP'!L740="","",'Observaciones-SMP'!L740)</f>
        <v/>
      </c>
      <c r="M740" s="193" t="str">
        <f>IF('Observaciones-SMP'!M740="","",'Observaciones-SMP'!M740)</f>
        <v/>
      </c>
      <c r="N740" s="193" t="str">
        <f>IF('Observaciones-SMP'!N740="","",'Observaciones-SMP'!N740)</f>
        <v/>
      </c>
      <c r="O740" s="193" t="str">
        <f>IF('Observaciones-SMP'!O740="","",'Observaciones-SMP'!O740)</f>
        <v/>
      </c>
      <c r="P740" s="193" t="str">
        <f>IF('Observaciones-SMP'!P740="","",'Observaciones-SMP'!P740)</f>
        <v/>
      </c>
      <c r="Q740" s="257" t="str">
        <f>IF('Observaciones-SMP'!S740="","",'Observaciones-SMP'!S740)</f>
        <v/>
      </c>
      <c r="R740" s="193" t="str">
        <f>IF('Observaciones-SMP'!T740="","",'Observaciones-SMP'!T740)</f>
        <v/>
      </c>
      <c r="S740" s="193" t="str">
        <f>""</f>
        <v/>
      </c>
      <c r="T740" s="193" t="str">
        <f>""</f>
        <v/>
      </c>
      <c r="U740" s="193" t="str">
        <f t="shared" si="44"/>
        <v/>
      </c>
      <c r="V740" s="193" t="str">
        <f>""</f>
        <v/>
      </c>
      <c r="W740" s="193" t="str">
        <f>""</f>
        <v/>
      </c>
      <c r="X740" s="258" t="str">
        <f t="shared" si="45"/>
        <v/>
      </c>
      <c r="Y740" s="258" t="str">
        <f t="shared" si="46"/>
        <v/>
      </c>
      <c r="Z740" s="193" t="str">
        <f>IF(A740="","",IF(COUNTIF('Observaciones-SMP'!$A$2:$A$1001,A740)&gt;1,1,0))</f>
        <v/>
      </c>
      <c r="AA740" s="193" t="str">
        <f t="shared" si="47"/>
        <v/>
      </c>
    </row>
    <row r="741" spans="1:27" ht="13.5" customHeight="1" x14ac:dyDescent="0.3">
      <c r="A741" s="193" t="str">
        <f>IF('Observaciones-SMP'!A741="","",'Observaciones-SMP'!A741)</f>
        <v/>
      </c>
      <c r="B741" s="257" t="str">
        <f>IF('Observaciones-SMP'!B741="","",'Observaciones-SMP'!B741)</f>
        <v/>
      </c>
      <c r="C741" s="193" t="str">
        <f>IF('Observaciones-SMP'!C741="","",'Observaciones-SMP'!C741)</f>
        <v/>
      </c>
      <c r="D741" s="193" t="str">
        <f>IF('Observaciones-SMP'!D741="","",'Observaciones-SMP'!D741)</f>
        <v/>
      </c>
      <c r="E741" s="193" t="str">
        <f>IF('Observaciones-SMP'!E741="","",'Observaciones-SMP'!E741)</f>
        <v/>
      </c>
      <c r="F741" s="193" t="str">
        <f>IF('Observaciones-SMP'!F741="","",'Observaciones-SMP'!F741)</f>
        <v/>
      </c>
      <c r="G741" s="193" t="str">
        <f>IF('Observaciones-SMP'!G741="","",'Observaciones-SMP'!G741)</f>
        <v/>
      </c>
      <c r="H741" s="193" t="str">
        <f>IF('Observaciones-SMP'!H741="","",'Observaciones-SMP'!H741)</f>
        <v/>
      </c>
      <c r="I741" s="193" t="str">
        <f>IF('Observaciones-SMP'!I741="","",'Observaciones-SMP'!I741)</f>
        <v/>
      </c>
      <c r="J741" s="193" t="str">
        <f>IF('Observaciones-SMP'!J741="","",'Observaciones-SMP'!J741)</f>
        <v/>
      </c>
      <c r="K741" s="193" t="str">
        <f>IF('Observaciones-SMP'!K741="","",'Observaciones-SMP'!K741)</f>
        <v/>
      </c>
      <c r="L741" s="193" t="str">
        <f>IF('Observaciones-SMP'!L741="","",'Observaciones-SMP'!L741)</f>
        <v/>
      </c>
      <c r="M741" s="193" t="str">
        <f>IF('Observaciones-SMP'!M741="","",'Observaciones-SMP'!M741)</f>
        <v/>
      </c>
      <c r="N741" s="193" t="str">
        <f>IF('Observaciones-SMP'!N741="","",'Observaciones-SMP'!N741)</f>
        <v/>
      </c>
      <c r="O741" s="193" t="str">
        <f>IF('Observaciones-SMP'!O741="","",'Observaciones-SMP'!O741)</f>
        <v/>
      </c>
      <c r="P741" s="193" t="str">
        <f>IF('Observaciones-SMP'!P741="","",'Observaciones-SMP'!P741)</f>
        <v/>
      </c>
      <c r="Q741" s="257" t="str">
        <f>IF('Observaciones-SMP'!S741="","",'Observaciones-SMP'!S741)</f>
        <v/>
      </c>
      <c r="R741" s="193" t="str">
        <f>IF('Observaciones-SMP'!T741="","",'Observaciones-SMP'!T741)</f>
        <v/>
      </c>
      <c r="S741" s="193" t="str">
        <f>""</f>
        <v/>
      </c>
      <c r="T741" s="193" t="str">
        <f>""</f>
        <v/>
      </c>
      <c r="U741" s="193" t="str">
        <f t="shared" si="44"/>
        <v/>
      </c>
      <c r="V741" s="193" t="str">
        <f>""</f>
        <v/>
      </c>
      <c r="W741" s="193" t="str">
        <f>""</f>
        <v/>
      </c>
      <c r="X741" s="258" t="str">
        <f t="shared" si="45"/>
        <v/>
      </c>
      <c r="Y741" s="258" t="str">
        <f t="shared" si="46"/>
        <v/>
      </c>
      <c r="Z741" s="193" t="str">
        <f>IF(A741="","",IF(COUNTIF('Observaciones-SMP'!$A$2:$A$1001,A741)&gt;1,1,0))</f>
        <v/>
      </c>
      <c r="AA741" s="193" t="str">
        <f t="shared" si="47"/>
        <v/>
      </c>
    </row>
    <row r="742" spans="1:27" ht="13.5" customHeight="1" x14ac:dyDescent="0.3">
      <c r="A742" s="193" t="str">
        <f>IF('Observaciones-SMP'!A742="","",'Observaciones-SMP'!A742)</f>
        <v/>
      </c>
      <c r="B742" s="257" t="str">
        <f>IF('Observaciones-SMP'!B742="","",'Observaciones-SMP'!B742)</f>
        <v/>
      </c>
      <c r="C742" s="193" t="str">
        <f>IF('Observaciones-SMP'!C742="","",'Observaciones-SMP'!C742)</f>
        <v/>
      </c>
      <c r="D742" s="193" t="str">
        <f>IF('Observaciones-SMP'!D742="","",'Observaciones-SMP'!D742)</f>
        <v/>
      </c>
      <c r="E742" s="193" t="str">
        <f>IF('Observaciones-SMP'!E742="","",'Observaciones-SMP'!E742)</f>
        <v/>
      </c>
      <c r="F742" s="193" t="str">
        <f>IF('Observaciones-SMP'!F742="","",'Observaciones-SMP'!F742)</f>
        <v/>
      </c>
      <c r="G742" s="193" t="str">
        <f>IF('Observaciones-SMP'!G742="","",'Observaciones-SMP'!G742)</f>
        <v/>
      </c>
      <c r="H742" s="193" t="str">
        <f>IF('Observaciones-SMP'!H742="","",'Observaciones-SMP'!H742)</f>
        <v/>
      </c>
      <c r="I742" s="193" t="str">
        <f>IF('Observaciones-SMP'!I742="","",'Observaciones-SMP'!I742)</f>
        <v/>
      </c>
      <c r="J742" s="193" t="str">
        <f>IF('Observaciones-SMP'!J742="","",'Observaciones-SMP'!J742)</f>
        <v/>
      </c>
      <c r="K742" s="193" t="str">
        <f>IF('Observaciones-SMP'!K742="","",'Observaciones-SMP'!K742)</f>
        <v/>
      </c>
      <c r="L742" s="193" t="str">
        <f>IF('Observaciones-SMP'!L742="","",'Observaciones-SMP'!L742)</f>
        <v/>
      </c>
      <c r="M742" s="193" t="str">
        <f>IF('Observaciones-SMP'!M742="","",'Observaciones-SMP'!M742)</f>
        <v/>
      </c>
      <c r="N742" s="193" t="str">
        <f>IF('Observaciones-SMP'!N742="","",'Observaciones-SMP'!N742)</f>
        <v/>
      </c>
      <c r="O742" s="193" t="str">
        <f>IF('Observaciones-SMP'!O742="","",'Observaciones-SMP'!O742)</f>
        <v/>
      </c>
      <c r="P742" s="193" t="str">
        <f>IF('Observaciones-SMP'!P742="","",'Observaciones-SMP'!P742)</f>
        <v/>
      </c>
      <c r="Q742" s="257" t="str">
        <f>IF('Observaciones-SMP'!S742="","",'Observaciones-SMP'!S742)</f>
        <v/>
      </c>
      <c r="R742" s="193" t="str">
        <f>IF('Observaciones-SMP'!T742="","",'Observaciones-SMP'!T742)</f>
        <v/>
      </c>
      <c r="S742" s="193" t="str">
        <f>""</f>
        <v/>
      </c>
      <c r="T742" s="193" t="str">
        <f>""</f>
        <v/>
      </c>
      <c r="U742" s="193" t="str">
        <f t="shared" si="44"/>
        <v/>
      </c>
      <c r="V742" s="193" t="str">
        <f>""</f>
        <v/>
      </c>
      <c r="W742" s="193" t="str">
        <f>""</f>
        <v/>
      </c>
      <c r="X742" s="258" t="str">
        <f t="shared" si="45"/>
        <v/>
      </c>
      <c r="Y742" s="258" t="str">
        <f t="shared" si="46"/>
        <v/>
      </c>
      <c r="Z742" s="193" t="str">
        <f>IF(A742="","",IF(COUNTIF('Observaciones-SMP'!$A$2:$A$1001,A742)&gt;1,1,0))</f>
        <v/>
      </c>
      <c r="AA742" s="193" t="str">
        <f t="shared" si="47"/>
        <v/>
      </c>
    </row>
    <row r="743" spans="1:27" ht="13.5" customHeight="1" x14ac:dyDescent="0.3">
      <c r="A743" s="193" t="str">
        <f>IF('Observaciones-SMP'!A743="","",'Observaciones-SMP'!A743)</f>
        <v/>
      </c>
      <c r="B743" s="257" t="str">
        <f>IF('Observaciones-SMP'!B743="","",'Observaciones-SMP'!B743)</f>
        <v/>
      </c>
      <c r="C743" s="193" t="str">
        <f>IF('Observaciones-SMP'!C743="","",'Observaciones-SMP'!C743)</f>
        <v/>
      </c>
      <c r="D743" s="193" t="str">
        <f>IF('Observaciones-SMP'!D743="","",'Observaciones-SMP'!D743)</f>
        <v/>
      </c>
      <c r="E743" s="193" t="str">
        <f>IF('Observaciones-SMP'!E743="","",'Observaciones-SMP'!E743)</f>
        <v/>
      </c>
      <c r="F743" s="193" t="str">
        <f>IF('Observaciones-SMP'!F743="","",'Observaciones-SMP'!F743)</f>
        <v/>
      </c>
      <c r="G743" s="193" t="str">
        <f>IF('Observaciones-SMP'!G743="","",'Observaciones-SMP'!G743)</f>
        <v/>
      </c>
      <c r="H743" s="193" t="str">
        <f>IF('Observaciones-SMP'!H743="","",'Observaciones-SMP'!H743)</f>
        <v/>
      </c>
      <c r="I743" s="193" t="str">
        <f>IF('Observaciones-SMP'!I743="","",'Observaciones-SMP'!I743)</f>
        <v/>
      </c>
      <c r="J743" s="193" t="str">
        <f>IF('Observaciones-SMP'!J743="","",'Observaciones-SMP'!J743)</f>
        <v/>
      </c>
      <c r="K743" s="193" t="str">
        <f>IF('Observaciones-SMP'!K743="","",'Observaciones-SMP'!K743)</f>
        <v/>
      </c>
      <c r="L743" s="193" t="str">
        <f>IF('Observaciones-SMP'!L743="","",'Observaciones-SMP'!L743)</f>
        <v/>
      </c>
      <c r="M743" s="193" t="str">
        <f>IF('Observaciones-SMP'!M743="","",'Observaciones-SMP'!M743)</f>
        <v/>
      </c>
      <c r="N743" s="193" t="str">
        <f>IF('Observaciones-SMP'!N743="","",'Observaciones-SMP'!N743)</f>
        <v/>
      </c>
      <c r="O743" s="193" t="str">
        <f>IF('Observaciones-SMP'!O743="","",'Observaciones-SMP'!O743)</f>
        <v/>
      </c>
      <c r="P743" s="193" t="str">
        <f>IF('Observaciones-SMP'!P743="","",'Observaciones-SMP'!P743)</f>
        <v/>
      </c>
      <c r="Q743" s="257" t="str">
        <f>IF('Observaciones-SMP'!S743="","",'Observaciones-SMP'!S743)</f>
        <v/>
      </c>
      <c r="R743" s="193" t="str">
        <f>IF('Observaciones-SMP'!T743="","",'Observaciones-SMP'!T743)</f>
        <v/>
      </c>
      <c r="S743" s="193" t="str">
        <f>""</f>
        <v/>
      </c>
      <c r="T743" s="193" t="str">
        <f>""</f>
        <v/>
      </c>
      <c r="U743" s="193" t="str">
        <f t="shared" si="44"/>
        <v/>
      </c>
      <c r="V743" s="193" t="str">
        <f>""</f>
        <v/>
      </c>
      <c r="W743" s="193" t="str">
        <f>""</f>
        <v/>
      </c>
      <c r="X743" s="258" t="str">
        <f t="shared" si="45"/>
        <v/>
      </c>
      <c r="Y743" s="258" t="str">
        <f t="shared" si="46"/>
        <v/>
      </c>
      <c r="Z743" s="193" t="str">
        <f>IF(A743="","",IF(COUNTIF('Observaciones-SMP'!$A$2:$A$1001,A743)&gt;1,1,0))</f>
        <v/>
      </c>
      <c r="AA743" s="193" t="str">
        <f t="shared" si="47"/>
        <v/>
      </c>
    </row>
    <row r="744" spans="1:27" ht="13.5" customHeight="1" x14ac:dyDescent="0.3">
      <c r="A744" s="193" t="str">
        <f>IF('Observaciones-SMP'!A744="","",'Observaciones-SMP'!A744)</f>
        <v/>
      </c>
      <c r="B744" s="257" t="str">
        <f>IF('Observaciones-SMP'!B744="","",'Observaciones-SMP'!B744)</f>
        <v/>
      </c>
      <c r="C744" s="193" t="str">
        <f>IF('Observaciones-SMP'!C744="","",'Observaciones-SMP'!C744)</f>
        <v/>
      </c>
      <c r="D744" s="193" t="str">
        <f>IF('Observaciones-SMP'!D744="","",'Observaciones-SMP'!D744)</f>
        <v/>
      </c>
      <c r="E744" s="193" t="str">
        <f>IF('Observaciones-SMP'!E744="","",'Observaciones-SMP'!E744)</f>
        <v/>
      </c>
      <c r="F744" s="193" t="str">
        <f>IF('Observaciones-SMP'!F744="","",'Observaciones-SMP'!F744)</f>
        <v/>
      </c>
      <c r="G744" s="193" t="str">
        <f>IF('Observaciones-SMP'!G744="","",'Observaciones-SMP'!G744)</f>
        <v/>
      </c>
      <c r="H744" s="193" t="str">
        <f>IF('Observaciones-SMP'!H744="","",'Observaciones-SMP'!H744)</f>
        <v/>
      </c>
      <c r="I744" s="193" t="str">
        <f>IF('Observaciones-SMP'!I744="","",'Observaciones-SMP'!I744)</f>
        <v/>
      </c>
      <c r="J744" s="193" t="str">
        <f>IF('Observaciones-SMP'!J744="","",'Observaciones-SMP'!J744)</f>
        <v/>
      </c>
      <c r="K744" s="193" t="str">
        <f>IF('Observaciones-SMP'!K744="","",'Observaciones-SMP'!K744)</f>
        <v/>
      </c>
      <c r="L744" s="193" t="str">
        <f>IF('Observaciones-SMP'!L744="","",'Observaciones-SMP'!L744)</f>
        <v/>
      </c>
      <c r="M744" s="193" t="str">
        <f>IF('Observaciones-SMP'!M744="","",'Observaciones-SMP'!M744)</f>
        <v/>
      </c>
      <c r="N744" s="193" t="str">
        <f>IF('Observaciones-SMP'!N744="","",'Observaciones-SMP'!N744)</f>
        <v/>
      </c>
      <c r="O744" s="193" t="str">
        <f>IF('Observaciones-SMP'!O744="","",'Observaciones-SMP'!O744)</f>
        <v/>
      </c>
      <c r="P744" s="193" t="str">
        <f>IF('Observaciones-SMP'!P744="","",'Observaciones-SMP'!P744)</f>
        <v/>
      </c>
      <c r="Q744" s="257" t="str">
        <f>IF('Observaciones-SMP'!S744="","",'Observaciones-SMP'!S744)</f>
        <v/>
      </c>
      <c r="R744" s="193" t="str">
        <f>IF('Observaciones-SMP'!T744="","",'Observaciones-SMP'!T744)</f>
        <v/>
      </c>
      <c r="S744" s="193" t="str">
        <f>""</f>
        <v/>
      </c>
      <c r="T744" s="193" t="str">
        <f>""</f>
        <v/>
      </c>
      <c r="U744" s="193" t="str">
        <f t="shared" si="44"/>
        <v/>
      </c>
      <c r="V744" s="193" t="str">
        <f>""</f>
        <v/>
      </c>
      <c r="W744" s="193" t="str">
        <f>""</f>
        <v/>
      </c>
      <c r="X744" s="258" t="str">
        <f t="shared" si="45"/>
        <v/>
      </c>
      <c r="Y744" s="258" t="str">
        <f t="shared" si="46"/>
        <v/>
      </c>
      <c r="Z744" s="193" t="str">
        <f>IF(A744="","",IF(COUNTIF('Observaciones-SMP'!$A$2:$A$1001,A744)&gt;1,1,0))</f>
        <v/>
      </c>
      <c r="AA744" s="193" t="str">
        <f t="shared" si="47"/>
        <v/>
      </c>
    </row>
    <row r="745" spans="1:27" ht="13.5" customHeight="1" x14ac:dyDescent="0.3">
      <c r="A745" s="193" t="str">
        <f>IF('Observaciones-SMP'!A745="","",'Observaciones-SMP'!A745)</f>
        <v/>
      </c>
      <c r="B745" s="257" t="str">
        <f>IF('Observaciones-SMP'!B745="","",'Observaciones-SMP'!B745)</f>
        <v/>
      </c>
      <c r="C745" s="193" t="str">
        <f>IF('Observaciones-SMP'!C745="","",'Observaciones-SMP'!C745)</f>
        <v/>
      </c>
      <c r="D745" s="193" t="str">
        <f>IF('Observaciones-SMP'!D745="","",'Observaciones-SMP'!D745)</f>
        <v/>
      </c>
      <c r="E745" s="193" t="str">
        <f>IF('Observaciones-SMP'!E745="","",'Observaciones-SMP'!E745)</f>
        <v/>
      </c>
      <c r="F745" s="193" t="str">
        <f>IF('Observaciones-SMP'!F745="","",'Observaciones-SMP'!F745)</f>
        <v/>
      </c>
      <c r="G745" s="193" t="str">
        <f>IF('Observaciones-SMP'!G745="","",'Observaciones-SMP'!G745)</f>
        <v/>
      </c>
      <c r="H745" s="193" t="str">
        <f>IF('Observaciones-SMP'!H745="","",'Observaciones-SMP'!H745)</f>
        <v/>
      </c>
      <c r="I745" s="193" t="str">
        <f>IF('Observaciones-SMP'!I745="","",'Observaciones-SMP'!I745)</f>
        <v/>
      </c>
      <c r="J745" s="193" t="str">
        <f>IF('Observaciones-SMP'!J745="","",'Observaciones-SMP'!J745)</f>
        <v/>
      </c>
      <c r="K745" s="193" t="str">
        <f>IF('Observaciones-SMP'!K745="","",'Observaciones-SMP'!K745)</f>
        <v/>
      </c>
      <c r="L745" s="193" t="str">
        <f>IF('Observaciones-SMP'!L745="","",'Observaciones-SMP'!L745)</f>
        <v/>
      </c>
      <c r="M745" s="193" t="str">
        <f>IF('Observaciones-SMP'!M745="","",'Observaciones-SMP'!M745)</f>
        <v/>
      </c>
      <c r="N745" s="193" t="str">
        <f>IF('Observaciones-SMP'!N745="","",'Observaciones-SMP'!N745)</f>
        <v/>
      </c>
      <c r="O745" s="193" t="str">
        <f>IF('Observaciones-SMP'!O745="","",'Observaciones-SMP'!O745)</f>
        <v/>
      </c>
      <c r="P745" s="193" t="str">
        <f>IF('Observaciones-SMP'!P745="","",'Observaciones-SMP'!P745)</f>
        <v/>
      </c>
      <c r="Q745" s="257" t="str">
        <f>IF('Observaciones-SMP'!S745="","",'Observaciones-SMP'!S745)</f>
        <v/>
      </c>
      <c r="R745" s="193" t="str">
        <f>IF('Observaciones-SMP'!T745="","",'Observaciones-SMP'!T745)</f>
        <v/>
      </c>
      <c r="S745" s="193" t="str">
        <f>""</f>
        <v/>
      </c>
      <c r="T745" s="193" t="str">
        <f>""</f>
        <v/>
      </c>
      <c r="U745" s="193" t="str">
        <f t="shared" si="44"/>
        <v/>
      </c>
      <c r="V745" s="193" t="str">
        <f>""</f>
        <v/>
      </c>
      <c r="W745" s="193" t="str">
        <f>""</f>
        <v/>
      </c>
      <c r="X745" s="258" t="str">
        <f t="shared" si="45"/>
        <v/>
      </c>
      <c r="Y745" s="258" t="str">
        <f t="shared" si="46"/>
        <v/>
      </c>
      <c r="Z745" s="193" t="str">
        <f>IF(A745="","",IF(COUNTIF('Observaciones-SMP'!$A$2:$A$1001,A745)&gt;1,1,0))</f>
        <v/>
      </c>
      <c r="AA745" s="193" t="str">
        <f t="shared" si="47"/>
        <v/>
      </c>
    </row>
    <row r="746" spans="1:27" ht="13.5" customHeight="1" x14ac:dyDescent="0.3">
      <c r="A746" s="193" t="str">
        <f>IF('Observaciones-SMP'!A746="","",'Observaciones-SMP'!A746)</f>
        <v/>
      </c>
      <c r="B746" s="257" t="str">
        <f>IF('Observaciones-SMP'!B746="","",'Observaciones-SMP'!B746)</f>
        <v/>
      </c>
      <c r="C746" s="193" t="str">
        <f>IF('Observaciones-SMP'!C746="","",'Observaciones-SMP'!C746)</f>
        <v/>
      </c>
      <c r="D746" s="193" t="str">
        <f>IF('Observaciones-SMP'!D746="","",'Observaciones-SMP'!D746)</f>
        <v/>
      </c>
      <c r="E746" s="193" t="str">
        <f>IF('Observaciones-SMP'!E746="","",'Observaciones-SMP'!E746)</f>
        <v/>
      </c>
      <c r="F746" s="193" t="str">
        <f>IF('Observaciones-SMP'!F746="","",'Observaciones-SMP'!F746)</f>
        <v/>
      </c>
      <c r="G746" s="193" t="str">
        <f>IF('Observaciones-SMP'!G746="","",'Observaciones-SMP'!G746)</f>
        <v/>
      </c>
      <c r="H746" s="193" t="str">
        <f>IF('Observaciones-SMP'!H746="","",'Observaciones-SMP'!H746)</f>
        <v/>
      </c>
      <c r="I746" s="193" t="str">
        <f>IF('Observaciones-SMP'!I746="","",'Observaciones-SMP'!I746)</f>
        <v/>
      </c>
      <c r="J746" s="193" t="str">
        <f>IF('Observaciones-SMP'!J746="","",'Observaciones-SMP'!J746)</f>
        <v/>
      </c>
      <c r="K746" s="193" t="str">
        <f>IF('Observaciones-SMP'!K746="","",'Observaciones-SMP'!K746)</f>
        <v/>
      </c>
      <c r="L746" s="193" t="str">
        <f>IF('Observaciones-SMP'!L746="","",'Observaciones-SMP'!L746)</f>
        <v/>
      </c>
      <c r="M746" s="193" t="str">
        <f>IF('Observaciones-SMP'!M746="","",'Observaciones-SMP'!M746)</f>
        <v/>
      </c>
      <c r="N746" s="193" t="str">
        <f>IF('Observaciones-SMP'!N746="","",'Observaciones-SMP'!N746)</f>
        <v/>
      </c>
      <c r="O746" s="193" t="str">
        <f>IF('Observaciones-SMP'!O746="","",'Observaciones-SMP'!O746)</f>
        <v/>
      </c>
      <c r="P746" s="193" t="str">
        <f>IF('Observaciones-SMP'!P746="","",'Observaciones-SMP'!P746)</f>
        <v/>
      </c>
      <c r="Q746" s="257" t="str">
        <f>IF('Observaciones-SMP'!S746="","",'Observaciones-SMP'!S746)</f>
        <v/>
      </c>
      <c r="R746" s="193" t="str">
        <f>IF('Observaciones-SMP'!T746="","",'Observaciones-SMP'!T746)</f>
        <v/>
      </c>
      <c r="S746" s="193" t="str">
        <f>""</f>
        <v/>
      </c>
      <c r="T746" s="193" t="str">
        <f>""</f>
        <v/>
      </c>
      <c r="U746" s="193" t="str">
        <f t="shared" si="44"/>
        <v/>
      </c>
      <c r="V746" s="193" t="str">
        <f>""</f>
        <v/>
      </c>
      <c r="W746" s="193" t="str">
        <f>""</f>
        <v/>
      </c>
      <c r="X746" s="258" t="str">
        <f t="shared" si="45"/>
        <v/>
      </c>
      <c r="Y746" s="258" t="str">
        <f t="shared" si="46"/>
        <v/>
      </c>
      <c r="Z746" s="193" t="str">
        <f>IF(A746="","",IF(COUNTIF('Observaciones-SMP'!$A$2:$A$1001,A746)&gt;1,1,0))</f>
        <v/>
      </c>
      <c r="AA746" s="193" t="str">
        <f t="shared" si="47"/>
        <v/>
      </c>
    </row>
    <row r="747" spans="1:27" ht="13.5" customHeight="1" x14ac:dyDescent="0.3">
      <c r="A747" s="193" t="str">
        <f>IF('Observaciones-SMP'!A747="","",'Observaciones-SMP'!A747)</f>
        <v/>
      </c>
      <c r="B747" s="257" t="str">
        <f>IF('Observaciones-SMP'!B747="","",'Observaciones-SMP'!B747)</f>
        <v/>
      </c>
      <c r="C747" s="193" t="str">
        <f>IF('Observaciones-SMP'!C747="","",'Observaciones-SMP'!C747)</f>
        <v/>
      </c>
      <c r="D747" s="193" t="str">
        <f>IF('Observaciones-SMP'!D747="","",'Observaciones-SMP'!D747)</f>
        <v/>
      </c>
      <c r="E747" s="193" t="str">
        <f>IF('Observaciones-SMP'!E747="","",'Observaciones-SMP'!E747)</f>
        <v/>
      </c>
      <c r="F747" s="193" t="str">
        <f>IF('Observaciones-SMP'!F747="","",'Observaciones-SMP'!F747)</f>
        <v/>
      </c>
      <c r="G747" s="193" t="str">
        <f>IF('Observaciones-SMP'!G747="","",'Observaciones-SMP'!G747)</f>
        <v/>
      </c>
      <c r="H747" s="193" t="str">
        <f>IF('Observaciones-SMP'!H747="","",'Observaciones-SMP'!H747)</f>
        <v/>
      </c>
      <c r="I747" s="193" t="str">
        <f>IF('Observaciones-SMP'!I747="","",'Observaciones-SMP'!I747)</f>
        <v/>
      </c>
      <c r="J747" s="193" t="str">
        <f>IF('Observaciones-SMP'!J747="","",'Observaciones-SMP'!J747)</f>
        <v/>
      </c>
      <c r="K747" s="193" t="str">
        <f>IF('Observaciones-SMP'!K747="","",'Observaciones-SMP'!K747)</f>
        <v/>
      </c>
      <c r="L747" s="193" t="str">
        <f>IF('Observaciones-SMP'!L747="","",'Observaciones-SMP'!L747)</f>
        <v/>
      </c>
      <c r="M747" s="193" t="str">
        <f>IF('Observaciones-SMP'!M747="","",'Observaciones-SMP'!M747)</f>
        <v/>
      </c>
      <c r="N747" s="193" t="str">
        <f>IF('Observaciones-SMP'!N747="","",'Observaciones-SMP'!N747)</f>
        <v/>
      </c>
      <c r="O747" s="193" t="str">
        <f>IF('Observaciones-SMP'!O747="","",'Observaciones-SMP'!O747)</f>
        <v/>
      </c>
      <c r="P747" s="193" t="str">
        <f>IF('Observaciones-SMP'!P747="","",'Observaciones-SMP'!P747)</f>
        <v/>
      </c>
      <c r="Q747" s="257" t="str">
        <f>IF('Observaciones-SMP'!S747="","",'Observaciones-SMP'!S747)</f>
        <v/>
      </c>
      <c r="R747" s="193" t="str">
        <f>IF('Observaciones-SMP'!T747="","",'Observaciones-SMP'!T747)</f>
        <v/>
      </c>
      <c r="S747" s="193" t="str">
        <f>""</f>
        <v/>
      </c>
      <c r="T747" s="193" t="str">
        <f>""</f>
        <v/>
      </c>
      <c r="U747" s="193" t="str">
        <f t="shared" si="44"/>
        <v/>
      </c>
      <c r="V747" s="193" t="str">
        <f>""</f>
        <v/>
      </c>
      <c r="W747" s="193" t="str">
        <f>""</f>
        <v/>
      </c>
      <c r="X747" s="258" t="str">
        <f t="shared" si="45"/>
        <v/>
      </c>
      <c r="Y747" s="258" t="str">
        <f t="shared" si="46"/>
        <v/>
      </c>
      <c r="Z747" s="193" t="str">
        <f>IF(A747="","",IF(COUNTIF('Observaciones-SMP'!$A$2:$A$1001,A747)&gt;1,1,0))</f>
        <v/>
      </c>
      <c r="AA747" s="193" t="str">
        <f t="shared" si="47"/>
        <v/>
      </c>
    </row>
    <row r="748" spans="1:27" ht="13.5" customHeight="1" x14ac:dyDescent="0.3">
      <c r="A748" s="193" t="str">
        <f>IF('Observaciones-SMP'!A748="","",'Observaciones-SMP'!A748)</f>
        <v/>
      </c>
      <c r="B748" s="257" t="str">
        <f>IF('Observaciones-SMP'!B748="","",'Observaciones-SMP'!B748)</f>
        <v/>
      </c>
      <c r="C748" s="193" t="str">
        <f>IF('Observaciones-SMP'!C748="","",'Observaciones-SMP'!C748)</f>
        <v/>
      </c>
      <c r="D748" s="193" t="str">
        <f>IF('Observaciones-SMP'!D748="","",'Observaciones-SMP'!D748)</f>
        <v/>
      </c>
      <c r="E748" s="193" t="str">
        <f>IF('Observaciones-SMP'!E748="","",'Observaciones-SMP'!E748)</f>
        <v/>
      </c>
      <c r="F748" s="193" t="str">
        <f>IF('Observaciones-SMP'!F748="","",'Observaciones-SMP'!F748)</f>
        <v/>
      </c>
      <c r="G748" s="193" t="str">
        <f>IF('Observaciones-SMP'!G748="","",'Observaciones-SMP'!G748)</f>
        <v/>
      </c>
      <c r="H748" s="193" t="str">
        <f>IF('Observaciones-SMP'!H748="","",'Observaciones-SMP'!H748)</f>
        <v/>
      </c>
      <c r="I748" s="193" t="str">
        <f>IF('Observaciones-SMP'!I748="","",'Observaciones-SMP'!I748)</f>
        <v/>
      </c>
      <c r="J748" s="193" t="str">
        <f>IF('Observaciones-SMP'!J748="","",'Observaciones-SMP'!J748)</f>
        <v/>
      </c>
      <c r="K748" s="193" t="str">
        <f>IF('Observaciones-SMP'!K748="","",'Observaciones-SMP'!K748)</f>
        <v/>
      </c>
      <c r="L748" s="193" t="str">
        <f>IF('Observaciones-SMP'!L748="","",'Observaciones-SMP'!L748)</f>
        <v/>
      </c>
      <c r="M748" s="193" t="str">
        <f>IF('Observaciones-SMP'!M748="","",'Observaciones-SMP'!M748)</f>
        <v/>
      </c>
      <c r="N748" s="193" t="str">
        <f>IF('Observaciones-SMP'!N748="","",'Observaciones-SMP'!N748)</f>
        <v/>
      </c>
      <c r="O748" s="193" t="str">
        <f>IF('Observaciones-SMP'!O748="","",'Observaciones-SMP'!O748)</f>
        <v/>
      </c>
      <c r="P748" s="193" t="str">
        <f>IF('Observaciones-SMP'!P748="","",'Observaciones-SMP'!P748)</f>
        <v/>
      </c>
      <c r="Q748" s="257" t="str">
        <f>IF('Observaciones-SMP'!S748="","",'Observaciones-SMP'!S748)</f>
        <v/>
      </c>
      <c r="R748" s="193" t="str">
        <f>IF('Observaciones-SMP'!T748="","",'Observaciones-SMP'!T748)</f>
        <v/>
      </c>
      <c r="S748" s="193" t="str">
        <f>""</f>
        <v/>
      </c>
      <c r="T748" s="193" t="str">
        <f>""</f>
        <v/>
      </c>
      <c r="U748" s="193" t="str">
        <f t="shared" si="44"/>
        <v/>
      </c>
      <c r="V748" s="193" t="str">
        <f>""</f>
        <v/>
      </c>
      <c r="W748" s="193" t="str">
        <f>""</f>
        <v/>
      </c>
      <c r="X748" s="258" t="str">
        <f t="shared" si="45"/>
        <v/>
      </c>
      <c r="Y748" s="258" t="str">
        <f t="shared" si="46"/>
        <v/>
      </c>
      <c r="Z748" s="193" t="str">
        <f>IF(A748="","",IF(COUNTIF('Observaciones-SMP'!$A$2:$A$1001,A748)&gt;1,1,0))</f>
        <v/>
      </c>
      <c r="AA748" s="193" t="str">
        <f t="shared" si="47"/>
        <v/>
      </c>
    </row>
    <row r="749" spans="1:27" ht="13.5" customHeight="1" x14ac:dyDescent="0.3">
      <c r="A749" s="193" t="str">
        <f>IF('Observaciones-SMP'!A749="","",'Observaciones-SMP'!A749)</f>
        <v/>
      </c>
      <c r="B749" s="257" t="str">
        <f>IF('Observaciones-SMP'!B749="","",'Observaciones-SMP'!B749)</f>
        <v/>
      </c>
      <c r="C749" s="193" t="str">
        <f>IF('Observaciones-SMP'!C749="","",'Observaciones-SMP'!C749)</f>
        <v/>
      </c>
      <c r="D749" s="193" t="str">
        <f>IF('Observaciones-SMP'!D749="","",'Observaciones-SMP'!D749)</f>
        <v/>
      </c>
      <c r="E749" s="193" t="str">
        <f>IF('Observaciones-SMP'!E749="","",'Observaciones-SMP'!E749)</f>
        <v/>
      </c>
      <c r="F749" s="193" t="str">
        <f>IF('Observaciones-SMP'!F749="","",'Observaciones-SMP'!F749)</f>
        <v/>
      </c>
      <c r="G749" s="193" t="str">
        <f>IF('Observaciones-SMP'!G749="","",'Observaciones-SMP'!G749)</f>
        <v/>
      </c>
      <c r="H749" s="193" t="str">
        <f>IF('Observaciones-SMP'!H749="","",'Observaciones-SMP'!H749)</f>
        <v/>
      </c>
      <c r="I749" s="193" t="str">
        <f>IF('Observaciones-SMP'!I749="","",'Observaciones-SMP'!I749)</f>
        <v/>
      </c>
      <c r="J749" s="193" t="str">
        <f>IF('Observaciones-SMP'!J749="","",'Observaciones-SMP'!J749)</f>
        <v/>
      </c>
      <c r="K749" s="193" t="str">
        <f>IF('Observaciones-SMP'!K749="","",'Observaciones-SMP'!K749)</f>
        <v/>
      </c>
      <c r="L749" s="193" t="str">
        <f>IF('Observaciones-SMP'!L749="","",'Observaciones-SMP'!L749)</f>
        <v/>
      </c>
      <c r="M749" s="193" t="str">
        <f>IF('Observaciones-SMP'!M749="","",'Observaciones-SMP'!M749)</f>
        <v/>
      </c>
      <c r="N749" s="193" t="str">
        <f>IF('Observaciones-SMP'!N749="","",'Observaciones-SMP'!N749)</f>
        <v/>
      </c>
      <c r="O749" s="193" t="str">
        <f>IF('Observaciones-SMP'!O749="","",'Observaciones-SMP'!O749)</f>
        <v/>
      </c>
      <c r="P749" s="193" t="str">
        <f>IF('Observaciones-SMP'!P749="","",'Observaciones-SMP'!P749)</f>
        <v/>
      </c>
      <c r="Q749" s="257" t="str">
        <f>IF('Observaciones-SMP'!S749="","",'Observaciones-SMP'!S749)</f>
        <v/>
      </c>
      <c r="R749" s="193" t="str">
        <f>IF('Observaciones-SMP'!T749="","",'Observaciones-SMP'!T749)</f>
        <v/>
      </c>
      <c r="S749" s="193" t="str">
        <f>""</f>
        <v/>
      </c>
      <c r="T749" s="193" t="str">
        <f>""</f>
        <v/>
      </c>
      <c r="U749" s="193" t="str">
        <f t="shared" si="44"/>
        <v/>
      </c>
      <c r="V749" s="193" t="str">
        <f>""</f>
        <v/>
      </c>
      <c r="W749" s="193" t="str">
        <f>""</f>
        <v/>
      </c>
      <c r="X749" s="258" t="str">
        <f t="shared" si="45"/>
        <v/>
      </c>
      <c r="Y749" s="258" t="str">
        <f t="shared" si="46"/>
        <v/>
      </c>
      <c r="Z749" s="193" t="str">
        <f>IF(A749="","",IF(COUNTIF('Observaciones-SMP'!$A$2:$A$1001,A749)&gt;1,1,0))</f>
        <v/>
      </c>
      <c r="AA749" s="193" t="str">
        <f t="shared" si="47"/>
        <v/>
      </c>
    </row>
    <row r="750" spans="1:27" ht="13.5" customHeight="1" x14ac:dyDescent="0.3">
      <c r="A750" s="193" t="str">
        <f>IF('Observaciones-SMP'!A750="","",'Observaciones-SMP'!A750)</f>
        <v/>
      </c>
      <c r="B750" s="257" t="str">
        <f>IF('Observaciones-SMP'!B750="","",'Observaciones-SMP'!B750)</f>
        <v/>
      </c>
      <c r="C750" s="193" t="str">
        <f>IF('Observaciones-SMP'!C750="","",'Observaciones-SMP'!C750)</f>
        <v/>
      </c>
      <c r="D750" s="193" t="str">
        <f>IF('Observaciones-SMP'!D750="","",'Observaciones-SMP'!D750)</f>
        <v/>
      </c>
      <c r="E750" s="193" t="str">
        <f>IF('Observaciones-SMP'!E750="","",'Observaciones-SMP'!E750)</f>
        <v/>
      </c>
      <c r="F750" s="193" t="str">
        <f>IF('Observaciones-SMP'!F750="","",'Observaciones-SMP'!F750)</f>
        <v/>
      </c>
      <c r="G750" s="193" t="str">
        <f>IF('Observaciones-SMP'!G750="","",'Observaciones-SMP'!G750)</f>
        <v/>
      </c>
      <c r="H750" s="193" t="str">
        <f>IF('Observaciones-SMP'!H750="","",'Observaciones-SMP'!H750)</f>
        <v/>
      </c>
      <c r="I750" s="193" t="str">
        <f>IF('Observaciones-SMP'!I750="","",'Observaciones-SMP'!I750)</f>
        <v/>
      </c>
      <c r="J750" s="193" t="str">
        <f>IF('Observaciones-SMP'!J750="","",'Observaciones-SMP'!J750)</f>
        <v/>
      </c>
      <c r="K750" s="193" t="str">
        <f>IF('Observaciones-SMP'!K750="","",'Observaciones-SMP'!K750)</f>
        <v/>
      </c>
      <c r="L750" s="193" t="str">
        <f>IF('Observaciones-SMP'!L750="","",'Observaciones-SMP'!L750)</f>
        <v/>
      </c>
      <c r="M750" s="193" t="str">
        <f>IF('Observaciones-SMP'!M750="","",'Observaciones-SMP'!M750)</f>
        <v/>
      </c>
      <c r="N750" s="193" t="str">
        <f>IF('Observaciones-SMP'!N750="","",'Observaciones-SMP'!N750)</f>
        <v/>
      </c>
      <c r="O750" s="193" t="str">
        <f>IF('Observaciones-SMP'!O750="","",'Observaciones-SMP'!O750)</f>
        <v/>
      </c>
      <c r="P750" s="193" t="str">
        <f>IF('Observaciones-SMP'!P750="","",'Observaciones-SMP'!P750)</f>
        <v/>
      </c>
      <c r="Q750" s="257" t="str">
        <f>IF('Observaciones-SMP'!S750="","",'Observaciones-SMP'!S750)</f>
        <v/>
      </c>
      <c r="R750" s="193" t="str">
        <f>IF('Observaciones-SMP'!T750="","",'Observaciones-SMP'!T750)</f>
        <v/>
      </c>
      <c r="S750" s="193" t="str">
        <f>""</f>
        <v/>
      </c>
      <c r="T750" s="193" t="str">
        <f>""</f>
        <v/>
      </c>
      <c r="U750" s="193" t="str">
        <f t="shared" si="44"/>
        <v/>
      </c>
      <c r="V750" s="193" t="str">
        <f>""</f>
        <v/>
      </c>
      <c r="W750" s="193" t="str">
        <f>""</f>
        <v/>
      </c>
      <c r="X750" s="258" t="str">
        <f t="shared" si="45"/>
        <v/>
      </c>
      <c r="Y750" s="258" t="str">
        <f t="shared" si="46"/>
        <v/>
      </c>
      <c r="Z750" s="193" t="str">
        <f>IF(A750="","",IF(COUNTIF('Observaciones-SMP'!$A$2:$A$1001,A750)&gt;1,1,0))</f>
        <v/>
      </c>
      <c r="AA750" s="193" t="str">
        <f t="shared" si="47"/>
        <v/>
      </c>
    </row>
    <row r="751" spans="1:27" ht="13.5" customHeight="1" x14ac:dyDescent="0.3">
      <c r="A751" s="193" t="str">
        <f>IF('Observaciones-SMP'!A751="","",'Observaciones-SMP'!A751)</f>
        <v/>
      </c>
      <c r="B751" s="257" t="str">
        <f>IF('Observaciones-SMP'!B751="","",'Observaciones-SMP'!B751)</f>
        <v/>
      </c>
      <c r="C751" s="193" t="str">
        <f>IF('Observaciones-SMP'!C751="","",'Observaciones-SMP'!C751)</f>
        <v/>
      </c>
      <c r="D751" s="193" t="str">
        <f>IF('Observaciones-SMP'!D751="","",'Observaciones-SMP'!D751)</f>
        <v/>
      </c>
      <c r="E751" s="193" t="str">
        <f>IF('Observaciones-SMP'!E751="","",'Observaciones-SMP'!E751)</f>
        <v/>
      </c>
      <c r="F751" s="193" t="str">
        <f>IF('Observaciones-SMP'!F751="","",'Observaciones-SMP'!F751)</f>
        <v/>
      </c>
      <c r="G751" s="193" t="str">
        <f>IF('Observaciones-SMP'!G751="","",'Observaciones-SMP'!G751)</f>
        <v/>
      </c>
      <c r="H751" s="193" t="str">
        <f>IF('Observaciones-SMP'!H751="","",'Observaciones-SMP'!H751)</f>
        <v/>
      </c>
      <c r="I751" s="193" t="str">
        <f>IF('Observaciones-SMP'!I751="","",'Observaciones-SMP'!I751)</f>
        <v/>
      </c>
      <c r="J751" s="193" t="str">
        <f>IF('Observaciones-SMP'!J751="","",'Observaciones-SMP'!J751)</f>
        <v/>
      </c>
      <c r="K751" s="193" t="str">
        <f>IF('Observaciones-SMP'!K751="","",'Observaciones-SMP'!K751)</f>
        <v/>
      </c>
      <c r="L751" s="193" t="str">
        <f>IF('Observaciones-SMP'!L751="","",'Observaciones-SMP'!L751)</f>
        <v/>
      </c>
      <c r="M751" s="193" t="str">
        <f>IF('Observaciones-SMP'!M751="","",'Observaciones-SMP'!M751)</f>
        <v/>
      </c>
      <c r="N751" s="193" t="str">
        <f>IF('Observaciones-SMP'!N751="","",'Observaciones-SMP'!N751)</f>
        <v/>
      </c>
      <c r="O751" s="193" t="str">
        <f>IF('Observaciones-SMP'!O751="","",'Observaciones-SMP'!O751)</f>
        <v/>
      </c>
      <c r="P751" s="193" t="str">
        <f>IF('Observaciones-SMP'!P751="","",'Observaciones-SMP'!P751)</f>
        <v/>
      </c>
      <c r="Q751" s="257" t="str">
        <f>IF('Observaciones-SMP'!S751="","",'Observaciones-SMP'!S751)</f>
        <v/>
      </c>
      <c r="R751" s="193" t="str">
        <f>IF('Observaciones-SMP'!T751="","",'Observaciones-SMP'!T751)</f>
        <v/>
      </c>
      <c r="S751" s="193" t="str">
        <f>""</f>
        <v/>
      </c>
      <c r="T751" s="193" t="str">
        <f>""</f>
        <v/>
      </c>
      <c r="U751" s="193" t="str">
        <f t="shared" si="44"/>
        <v/>
      </c>
      <c r="V751" s="193" t="str">
        <f>""</f>
        <v/>
      </c>
      <c r="W751" s="193" t="str">
        <f>""</f>
        <v/>
      </c>
      <c r="X751" s="258" t="str">
        <f t="shared" si="45"/>
        <v/>
      </c>
      <c r="Y751" s="258" t="str">
        <f t="shared" si="46"/>
        <v/>
      </c>
      <c r="Z751" s="193" t="str">
        <f>IF(A751="","",IF(COUNTIF('Observaciones-SMP'!$A$2:$A$1001,A751)&gt;1,1,0))</f>
        <v/>
      </c>
      <c r="AA751" s="193" t="str">
        <f t="shared" si="47"/>
        <v/>
      </c>
    </row>
    <row r="752" spans="1:27" ht="13.5" customHeight="1" x14ac:dyDescent="0.3">
      <c r="A752" s="193" t="str">
        <f>IF('Observaciones-SMP'!A752="","",'Observaciones-SMP'!A752)</f>
        <v/>
      </c>
      <c r="B752" s="257" t="str">
        <f>IF('Observaciones-SMP'!B752="","",'Observaciones-SMP'!B752)</f>
        <v/>
      </c>
      <c r="C752" s="193" t="str">
        <f>IF('Observaciones-SMP'!C752="","",'Observaciones-SMP'!C752)</f>
        <v/>
      </c>
      <c r="D752" s="193" t="str">
        <f>IF('Observaciones-SMP'!D752="","",'Observaciones-SMP'!D752)</f>
        <v/>
      </c>
      <c r="E752" s="193" t="str">
        <f>IF('Observaciones-SMP'!E752="","",'Observaciones-SMP'!E752)</f>
        <v/>
      </c>
      <c r="F752" s="193" t="str">
        <f>IF('Observaciones-SMP'!F752="","",'Observaciones-SMP'!F752)</f>
        <v/>
      </c>
      <c r="G752" s="193" t="str">
        <f>IF('Observaciones-SMP'!G752="","",'Observaciones-SMP'!G752)</f>
        <v/>
      </c>
      <c r="H752" s="193" t="str">
        <f>IF('Observaciones-SMP'!H752="","",'Observaciones-SMP'!H752)</f>
        <v/>
      </c>
      <c r="I752" s="193" t="str">
        <f>IF('Observaciones-SMP'!I752="","",'Observaciones-SMP'!I752)</f>
        <v/>
      </c>
      <c r="J752" s="193" t="str">
        <f>IF('Observaciones-SMP'!J752="","",'Observaciones-SMP'!J752)</f>
        <v/>
      </c>
      <c r="K752" s="193" t="str">
        <f>IF('Observaciones-SMP'!K752="","",'Observaciones-SMP'!K752)</f>
        <v/>
      </c>
      <c r="L752" s="193" t="str">
        <f>IF('Observaciones-SMP'!L752="","",'Observaciones-SMP'!L752)</f>
        <v/>
      </c>
      <c r="M752" s="193" t="str">
        <f>IF('Observaciones-SMP'!M752="","",'Observaciones-SMP'!M752)</f>
        <v/>
      </c>
      <c r="N752" s="193" t="str">
        <f>IF('Observaciones-SMP'!N752="","",'Observaciones-SMP'!N752)</f>
        <v/>
      </c>
      <c r="O752" s="193" t="str">
        <f>IF('Observaciones-SMP'!O752="","",'Observaciones-SMP'!O752)</f>
        <v/>
      </c>
      <c r="P752" s="193" t="str">
        <f>IF('Observaciones-SMP'!P752="","",'Observaciones-SMP'!P752)</f>
        <v/>
      </c>
      <c r="Q752" s="257" t="str">
        <f>IF('Observaciones-SMP'!S752="","",'Observaciones-SMP'!S752)</f>
        <v/>
      </c>
      <c r="R752" s="193" t="str">
        <f>IF('Observaciones-SMP'!T752="","",'Observaciones-SMP'!T752)</f>
        <v/>
      </c>
      <c r="S752" s="193" t="str">
        <f>""</f>
        <v/>
      </c>
      <c r="T752" s="193" t="str">
        <f>""</f>
        <v/>
      </c>
      <c r="U752" s="193" t="str">
        <f t="shared" si="44"/>
        <v/>
      </c>
      <c r="V752" s="193" t="str">
        <f>""</f>
        <v/>
      </c>
      <c r="W752" s="193" t="str">
        <f>""</f>
        <v/>
      </c>
      <c r="X752" s="258" t="str">
        <f t="shared" si="45"/>
        <v/>
      </c>
      <c r="Y752" s="258" t="str">
        <f t="shared" si="46"/>
        <v/>
      </c>
      <c r="Z752" s="193" t="str">
        <f>IF(A752="","",IF(COUNTIF('Observaciones-SMP'!$A$2:$A$1001,A752)&gt;1,1,0))</f>
        <v/>
      </c>
      <c r="AA752" s="193" t="str">
        <f t="shared" si="47"/>
        <v/>
      </c>
    </row>
    <row r="753" spans="1:27" ht="13.5" customHeight="1" x14ac:dyDescent="0.3">
      <c r="A753" s="193" t="str">
        <f>IF('Observaciones-SMP'!A753="","",'Observaciones-SMP'!A753)</f>
        <v/>
      </c>
      <c r="B753" s="257" t="str">
        <f>IF('Observaciones-SMP'!B753="","",'Observaciones-SMP'!B753)</f>
        <v/>
      </c>
      <c r="C753" s="193" t="str">
        <f>IF('Observaciones-SMP'!C753="","",'Observaciones-SMP'!C753)</f>
        <v/>
      </c>
      <c r="D753" s="193" t="str">
        <f>IF('Observaciones-SMP'!D753="","",'Observaciones-SMP'!D753)</f>
        <v/>
      </c>
      <c r="E753" s="193" t="str">
        <f>IF('Observaciones-SMP'!E753="","",'Observaciones-SMP'!E753)</f>
        <v/>
      </c>
      <c r="F753" s="193" t="str">
        <f>IF('Observaciones-SMP'!F753="","",'Observaciones-SMP'!F753)</f>
        <v/>
      </c>
      <c r="G753" s="193" t="str">
        <f>IF('Observaciones-SMP'!G753="","",'Observaciones-SMP'!G753)</f>
        <v/>
      </c>
      <c r="H753" s="193" t="str">
        <f>IF('Observaciones-SMP'!H753="","",'Observaciones-SMP'!H753)</f>
        <v/>
      </c>
      <c r="I753" s="193" t="str">
        <f>IF('Observaciones-SMP'!I753="","",'Observaciones-SMP'!I753)</f>
        <v/>
      </c>
      <c r="J753" s="193" t="str">
        <f>IF('Observaciones-SMP'!J753="","",'Observaciones-SMP'!J753)</f>
        <v/>
      </c>
      <c r="K753" s="193" t="str">
        <f>IF('Observaciones-SMP'!K753="","",'Observaciones-SMP'!K753)</f>
        <v/>
      </c>
      <c r="L753" s="193" t="str">
        <f>IF('Observaciones-SMP'!L753="","",'Observaciones-SMP'!L753)</f>
        <v/>
      </c>
      <c r="M753" s="193" t="str">
        <f>IF('Observaciones-SMP'!M753="","",'Observaciones-SMP'!M753)</f>
        <v/>
      </c>
      <c r="N753" s="193" t="str">
        <f>IF('Observaciones-SMP'!N753="","",'Observaciones-SMP'!N753)</f>
        <v/>
      </c>
      <c r="O753" s="193" t="str">
        <f>IF('Observaciones-SMP'!O753="","",'Observaciones-SMP'!O753)</f>
        <v/>
      </c>
      <c r="P753" s="193" t="str">
        <f>IF('Observaciones-SMP'!P753="","",'Observaciones-SMP'!P753)</f>
        <v/>
      </c>
      <c r="Q753" s="257" t="str">
        <f>IF('Observaciones-SMP'!S753="","",'Observaciones-SMP'!S753)</f>
        <v/>
      </c>
      <c r="R753" s="193" t="str">
        <f>IF('Observaciones-SMP'!T753="","",'Observaciones-SMP'!T753)</f>
        <v/>
      </c>
      <c r="S753" s="193" t="str">
        <f>""</f>
        <v/>
      </c>
      <c r="T753" s="193" t="str">
        <f>""</f>
        <v/>
      </c>
      <c r="U753" s="193" t="str">
        <f t="shared" si="44"/>
        <v/>
      </c>
      <c r="V753" s="193" t="str">
        <f>""</f>
        <v/>
      </c>
      <c r="W753" s="193" t="str">
        <f>""</f>
        <v/>
      </c>
      <c r="X753" s="258" t="str">
        <f t="shared" si="45"/>
        <v/>
      </c>
      <c r="Y753" s="258" t="str">
        <f t="shared" si="46"/>
        <v/>
      </c>
      <c r="Z753" s="193" t="str">
        <f>IF(A753="","",IF(COUNTIF('Observaciones-SMP'!$A$2:$A$1001,A753)&gt;1,1,0))</f>
        <v/>
      </c>
      <c r="AA753" s="193" t="str">
        <f t="shared" si="47"/>
        <v/>
      </c>
    </row>
    <row r="754" spans="1:27" ht="13.5" customHeight="1" x14ac:dyDescent="0.3">
      <c r="A754" s="193" t="str">
        <f>IF('Observaciones-SMP'!A754="","",'Observaciones-SMP'!A754)</f>
        <v/>
      </c>
      <c r="B754" s="257" t="str">
        <f>IF('Observaciones-SMP'!B754="","",'Observaciones-SMP'!B754)</f>
        <v/>
      </c>
      <c r="C754" s="193" t="str">
        <f>IF('Observaciones-SMP'!C754="","",'Observaciones-SMP'!C754)</f>
        <v/>
      </c>
      <c r="D754" s="193" t="str">
        <f>IF('Observaciones-SMP'!D754="","",'Observaciones-SMP'!D754)</f>
        <v/>
      </c>
      <c r="E754" s="193" t="str">
        <f>IF('Observaciones-SMP'!E754="","",'Observaciones-SMP'!E754)</f>
        <v/>
      </c>
      <c r="F754" s="193" t="str">
        <f>IF('Observaciones-SMP'!F754="","",'Observaciones-SMP'!F754)</f>
        <v/>
      </c>
      <c r="G754" s="193" t="str">
        <f>IF('Observaciones-SMP'!G754="","",'Observaciones-SMP'!G754)</f>
        <v/>
      </c>
      <c r="H754" s="193" t="str">
        <f>IF('Observaciones-SMP'!H754="","",'Observaciones-SMP'!H754)</f>
        <v/>
      </c>
      <c r="I754" s="193" t="str">
        <f>IF('Observaciones-SMP'!I754="","",'Observaciones-SMP'!I754)</f>
        <v/>
      </c>
      <c r="J754" s="193" t="str">
        <f>IF('Observaciones-SMP'!J754="","",'Observaciones-SMP'!J754)</f>
        <v/>
      </c>
      <c r="K754" s="193" t="str">
        <f>IF('Observaciones-SMP'!K754="","",'Observaciones-SMP'!K754)</f>
        <v/>
      </c>
      <c r="L754" s="193" t="str">
        <f>IF('Observaciones-SMP'!L754="","",'Observaciones-SMP'!L754)</f>
        <v/>
      </c>
      <c r="M754" s="193" t="str">
        <f>IF('Observaciones-SMP'!M754="","",'Observaciones-SMP'!M754)</f>
        <v/>
      </c>
      <c r="N754" s="193" t="str">
        <f>IF('Observaciones-SMP'!N754="","",'Observaciones-SMP'!N754)</f>
        <v/>
      </c>
      <c r="O754" s="193" t="str">
        <f>IF('Observaciones-SMP'!O754="","",'Observaciones-SMP'!O754)</f>
        <v/>
      </c>
      <c r="P754" s="193" t="str">
        <f>IF('Observaciones-SMP'!P754="","",'Observaciones-SMP'!P754)</f>
        <v/>
      </c>
      <c r="Q754" s="257" t="str">
        <f>IF('Observaciones-SMP'!S754="","",'Observaciones-SMP'!S754)</f>
        <v/>
      </c>
      <c r="R754" s="193" t="str">
        <f>IF('Observaciones-SMP'!T754="","",'Observaciones-SMP'!T754)</f>
        <v/>
      </c>
      <c r="S754" s="193" t="str">
        <f>""</f>
        <v/>
      </c>
      <c r="T754" s="193" t="str">
        <f>""</f>
        <v/>
      </c>
      <c r="U754" s="193" t="str">
        <f t="shared" si="44"/>
        <v/>
      </c>
      <c r="V754" s="193" t="str">
        <f>""</f>
        <v/>
      </c>
      <c r="W754" s="193" t="str">
        <f>""</f>
        <v/>
      </c>
      <c r="X754" s="258" t="str">
        <f t="shared" si="45"/>
        <v/>
      </c>
      <c r="Y754" s="258" t="str">
        <f t="shared" si="46"/>
        <v/>
      </c>
      <c r="Z754" s="193" t="str">
        <f>IF(A754="","",IF(COUNTIF('Observaciones-SMP'!$A$2:$A$1001,A754)&gt;1,1,0))</f>
        <v/>
      </c>
      <c r="AA754" s="193" t="str">
        <f t="shared" si="47"/>
        <v/>
      </c>
    </row>
    <row r="755" spans="1:27" ht="13.5" customHeight="1" x14ac:dyDescent="0.3">
      <c r="A755" s="193" t="str">
        <f>IF('Observaciones-SMP'!A755="","",'Observaciones-SMP'!A755)</f>
        <v/>
      </c>
      <c r="B755" s="257" t="str">
        <f>IF('Observaciones-SMP'!B755="","",'Observaciones-SMP'!B755)</f>
        <v/>
      </c>
      <c r="C755" s="193" t="str">
        <f>IF('Observaciones-SMP'!C755="","",'Observaciones-SMP'!C755)</f>
        <v/>
      </c>
      <c r="D755" s="193" t="str">
        <f>IF('Observaciones-SMP'!D755="","",'Observaciones-SMP'!D755)</f>
        <v/>
      </c>
      <c r="E755" s="193" t="str">
        <f>IF('Observaciones-SMP'!E755="","",'Observaciones-SMP'!E755)</f>
        <v/>
      </c>
      <c r="F755" s="193" t="str">
        <f>IF('Observaciones-SMP'!F755="","",'Observaciones-SMP'!F755)</f>
        <v/>
      </c>
      <c r="G755" s="193" t="str">
        <f>IF('Observaciones-SMP'!G755="","",'Observaciones-SMP'!G755)</f>
        <v/>
      </c>
      <c r="H755" s="193" t="str">
        <f>IF('Observaciones-SMP'!H755="","",'Observaciones-SMP'!H755)</f>
        <v/>
      </c>
      <c r="I755" s="193" t="str">
        <f>IF('Observaciones-SMP'!I755="","",'Observaciones-SMP'!I755)</f>
        <v/>
      </c>
      <c r="J755" s="193" t="str">
        <f>IF('Observaciones-SMP'!J755="","",'Observaciones-SMP'!J755)</f>
        <v/>
      </c>
      <c r="K755" s="193" t="str">
        <f>IF('Observaciones-SMP'!K755="","",'Observaciones-SMP'!K755)</f>
        <v/>
      </c>
      <c r="L755" s="193" t="str">
        <f>IF('Observaciones-SMP'!L755="","",'Observaciones-SMP'!L755)</f>
        <v/>
      </c>
      <c r="M755" s="193" t="str">
        <f>IF('Observaciones-SMP'!M755="","",'Observaciones-SMP'!M755)</f>
        <v/>
      </c>
      <c r="N755" s="193" t="str">
        <f>IF('Observaciones-SMP'!N755="","",'Observaciones-SMP'!N755)</f>
        <v/>
      </c>
      <c r="O755" s="193" t="str">
        <f>IF('Observaciones-SMP'!O755="","",'Observaciones-SMP'!O755)</f>
        <v/>
      </c>
      <c r="P755" s="193" t="str">
        <f>IF('Observaciones-SMP'!P755="","",'Observaciones-SMP'!P755)</f>
        <v/>
      </c>
      <c r="Q755" s="257" t="str">
        <f>IF('Observaciones-SMP'!S755="","",'Observaciones-SMP'!S755)</f>
        <v/>
      </c>
      <c r="R755" s="193" t="str">
        <f>IF('Observaciones-SMP'!T755="","",'Observaciones-SMP'!T755)</f>
        <v/>
      </c>
      <c r="S755" s="193" t="str">
        <f>""</f>
        <v/>
      </c>
      <c r="T755" s="193" t="str">
        <f>""</f>
        <v/>
      </c>
      <c r="U755" s="193" t="str">
        <f t="shared" si="44"/>
        <v/>
      </c>
      <c r="V755" s="193" t="str">
        <f>""</f>
        <v/>
      </c>
      <c r="W755" s="193" t="str">
        <f>""</f>
        <v/>
      </c>
      <c r="X755" s="258" t="str">
        <f t="shared" si="45"/>
        <v/>
      </c>
      <c r="Y755" s="258" t="str">
        <f t="shared" si="46"/>
        <v/>
      </c>
      <c r="Z755" s="193" t="str">
        <f>IF(A755="","",IF(COUNTIF('Observaciones-SMP'!$A$2:$A$1001,A755)&gt;1,1,0))</f>
        <v/>
      </c>
      <c r="AA755" s="193" t="str">
        <f t="shared" si="47"/>
        <v/>
      </c>
    </row>
    <row r="756" spans="1:27" ht="13.5" customHeight="1" x14ac:dyDescent="0.3">
      <c r="A756" s="193" t="str">
        <f>IF('Observaciones-SMP'!A756="","",'Observaciones-SMP'!A756)</f>
        <v/>
      </c>
      <c r="B756" s="257" t="str">
        <f>IF('Observaciones-SMP'!B756="","",'Observaciones-SMP'!B756)</f>
        <v/>
      </c>
      <c r="C756" s="193" t="str">
        <f>IF('Observaciones-SMP'!C756="","",'Observaciones-SMP'!C756)</f>
        <v/>
      </c>
      <c r="D756" s="193" t="str">
        <f>IF('Observaciones-SMP'!D756="","",'Observaciones-SMP'!D756)</f>
        <v/>
      </c>
      <c r="E756" s="193" t="str">
        <f>IF('Observaciones-SMP'!E756="","",'Observaciones-SMP'!E756)</f>
        <v/>
      </c>
      <c r="F756" s="193" t="str">
        <f>IF('Observaciones-SMP'!F756="","",'Observaciones-SMP'!F756)</f>
        <v/>
      </c>
      <c r="G756" s="193" t="str">
        <f>IF('Observaciones-SMP'!G756="","",'Observaciones-SMP'!G756)</f>
        <v/>
      </c>
      <c r="H756" s="193" t="str">
        <f>IF('Observaciones-SMP'!H756="","",'Observaciones-SMP'!H756)</f>
        <v/>
      </c>
      <c r="I756" s="193" t="str">
        <f>IF('Observaciones-SMP'!I756="","",'Observaciones-SMP'!I756)</f>
        <v/>
      </c>
      <c r="J756" s="193" t="str">
        <f>IF('Observaciones-SMP'!J756="","",'Observaciones-SMP'!J756)</f>
        <v/>
      </c>
      <c r="K756" s="193" t="str">
        <f>IF('Observaciones-SMP'!K756="","",'Observaciones-SMP'!K756)</f>
        <v/>
      </c>
      <c r="L756" s="193" t="str">
        <f>IF('Observaciones-SMP'!L756="","",'Observaciones-SMP'!L756)</f>
        <v/>
      </c>
      <c r="M756" s="193" t="str">
        <f>IF('Observaciones-SMP'!M756="","",'Observaciones-SMP'!M756)</f>
        <v/>
      </c>
      <c r="N756" s="193" t="str">
        <f>IF('Observaciones-SMP'!N756="","",'Observaciones-SMP'!N756)</f>
        <v/>
      </c>
      <c r="O756" s="193" t="str">
        <f>IF('Observaciones-SMP'!O756="","",'Observaciones-SMP'!O756)</f>
        <v/>
      </c>
      <c r="P756" s="193" t="str">
        <f>IF('Observaciones-SMP'!P756="","",'Observaciones-SMP'!P756)</f>
        <v/>
      </c>
      <c r="Q756" s="257" t="str">
        <f>IF('Observaciones-SMP'!S756="","",'Observaciones-SMP'!S756)</f>
        <v/>
      </c>
      <c r="R756" s="193" t="str">
        <f>IF('Observaciones-SMP'!T756="","",'Observaciones-SMP'!T756)</f>
        <v/>
      </c>
      <c r="S756" s="193" t="str">
        <f>""</f>
        <v/>
      </c>
      <c r="T756" s="193" t="str">
        <f>""</f>
        <v/>
      </c>
      <c r="U756" s="193" t="str">
        <f t="shared" si="44"/>
        <v/>
      </c>
      <c r="V756" s="193" t="str">
        <f>""</f>
        <v/>
      </c>
      <c r="W756" s="193" t="str">
        <f>""</f>
        <v/>
      </c>
      <c r="X756" s="258" t="str">
        <f t="shared" si="45"/>
        <v/>
      </c>
      <c r="Y756" s="258" t="str">
        <f t="shared" si="46"/>
        <v/>
      </c>
      <c r="Z756" s="193" t="str">
        <f>IF(A756="","",IF(COUNTIF('Observaciones-SMP'!$A$2:$A$1001,A756)&gt;1,1,0))</f>
        <v/>
      </c>
      <c r="AA756" s="193" t="str">
        <f t="shared" si="47"/>
        <v/>
      </c>
    </row>
    <row r="757" spans="1:27" ht="13.5" customHeight="1" x14ac:dyDescent="0.3">
      <c r="A757" s="193" t="str">
        <f>IF('Observaciones-SMP'!A757="","",'Observaciones-SMP'!A757)</f>
        <v/>
      </c>
      <c r="B757" s="257" t="str">
        <f>IF('Observaciones-SMP'!B757="","",'Observaciones-SMP'!B757)</f>
        <v/>
      </c>
      <c r="C757" s="193" t="str">
        <f>IF('Observaciones-SMP'!C757="","",'Observaciones-SMP'!C757)</f>
        <v/>
      </c>
      <c r="D757" s="193" t="str">
        <f>IF('Observaciones-SMP'!D757="","",'Observaciones-SMP'!D757)</f>
        <v/>
      </c>
      <c r="E757" s="193" t="str">
        <f>IF('Observaciones-SMP'!E757="","",'Observaciones-SMP'!E757)</f>
        <v/>
      </c>
      <c r="F757" s="193" t="str">
        <f>IF('Observaciones-SMP'!F757="","",'Observaciones-SMP'!F757)</f>
        <v/>
      </c>
      <c r="G757" s="193" t="str">
        <f>IF('Observaciones-SMP'!G757="","",'Observaciones-SMP'!G757)</f>
        <v/>
      </c>
      <c r="H757" s="193" t="str">
        <f>IF('Observaciones-SMP'!H757="","",'Observaciones-SMP'!H757)</f>
        <v/>
      </c>
      <c r="I757" s="193" t="str">
        <f>IF('Observaciones-SMP'!I757="","",'Observaciones-SMP'!I757)</f>
        <v/>
      </c>
      <c r="J757" s="193" t="str">
        <f>IF('Observaciones-SMP'!J757="","",'Observaciones-SMP'!J757)</f>
        <v/>
      </c>
      <c r="K757" s="193" t="str">
        <f>IF('Observaciones-SMP'!K757="","",'Observaciones-SMP'!K757)</f>
        <v/>
      </c>
      <c r="L757" s="193" t="str">
        <f>IF('Observaciones-SMP'!L757="","",'Observaciones-SMP'!L757)</f>
        <v/>
      </c>
      <c r="M757" s="193" t="str">
        <f>IF('Observaciones-SMP'!M757="","",'Observaciones-SMP'!M757)</f>
        <v/>
      </c>
      <c r="N757" s="193" t="str">
        <f>IF('Observaciones-SMP'!N757="","",'Observaciones-SMP'!N757)</f>
        <v/>
      </c>
      <c r="O757" s="193" t="str">
        <f>IF('Observaciones-SMP'!O757="","",'Observaciones-SMP'!O757)</f>
        <v/>
      </c>
      <c r="P757" s="193" t="str">
        <f>IF('Observaciones-SMP'!P757="","",'Observaciones-SMP'!P757)</f>
        <v/>
      </c>
      <c r="Q757" s="257" t="str">
        <f>IF('Observaciones-SMP'!S757="","",'Observaciones-SMP'!S757)</f>
        <v/>
      </c>
      <c r="R757" s="193" t="str">
        <f>IF('Observaciones-SMP'!T757="","",'Observaciones-SMP'!T757)</f>
        <v/>
      </c>
      <c r="S757" s="193" t="str">
        <f>""</f>
        <v/>
      </c>
      <c r="T757" s="193" t="str">
        <f>""</f>
        <v/>
      </c>
      <c r="U757" s="193" t="str">
        <f t="shared" si="44"/>
        <v/>
      </c>
      <c r="V757" s="193" t="str">
        <f>""</f>
        <v/>
      </c>
      <c r="W757" s="193" t="str">
        <f>""</f>
        <v/>
      </c>
      <c r="X757" s="258" t="str">
        <f t="shared" si="45"/>
        <v/>
      </c>
      <c r="Y757" s="258" t="str">
        <f t="shared" si="46"/>
        <v/>
      </c>
      <c r="Z757" s="193" t="str">
        <f>IF(A757="","",IF(COUNTIF('Observaciones-SMP'!$A$2:$A$1001,A757)&gt;1,1,0))</f>
        <v/>
      </c>
      <c r="AA757" s="193" t="str">
        <f t="shared" si="47"/>
        <v/>
      </c>
    </row>
    <row r="758" spans="1:27" ht="13.5" customHeight="1" x14ac:dyDescent="0.3">
      <c r="A758" s="193" t="str">
        <f>IF('Observaciones-SMP'!A758="","",'Observaciones-SMP'!A758)</f>
        <v/>
      </c>
      <c r="B758" s="257" t="str">
        <f>IF('Observaciones-SMP'!B758="","",'Observaciones-SMP'!B758)</f>
        <v/>
      </c>
      <c r="C758" s="193" t="str">
        <f>IF('Observaciones-SMP'!C758="","",'Observaciones-SMP'!C758)</f>
        <v/>
      </c>
      <c r="D758" s="193" t="str">
        <f>IF('Observaciones-SMP'!D758="","",'Observaciones-SMP'!D758)</f>
        <v/>
      </c>
      <c r="E758" s="193" t="str">
        <f>IF('Observaciones-SMP'!E758="","",'Observaciones-SMP'!E758)</f>
        <v/>
      </c>
      <c r="F758" s="193" t="str">
        <f>IF('Observaciones-SMP'!F758="","",'Observaciones-SMP'!F758)</f>
        <v/>
      </c>
      <c r="G758" s="193" t="str">
        <f>IF('Observaciones-SMP'!G758="","",'Observaciones-SMP'!G758)</f>
        <v/>
      </c>
      <c r="H758" s="193" t="str">
        <f>IF('Observaciones-SMP'!H758="","",'Observaciones-SMP'!H758)</f>
        <v/>
      </c>
      <c r="I758" s="193" t="str">
        <f>IF('Observaciones-SMP'!I758="","",'Observaciones-SMP'!I758)</f>
        <v/>
      </c>
      <c r="J758" s="193" t="str">
        <f>IF('Observaciones-SMP'!J758="","",'Observaciones-SMP'!J758)</f>
        <v/>
      </c>
      <c r="K758" s="193" t="str">
        <f>IF('Observaciones-SMP'!K758="","",'Observaciones-SMP'!K758)</f>
        <v/>
      </c>
      <c r="L758" s="193" t="str">
        <f>IF('Observaciones-SMP'!L758="","",'Observaciones-SMP'!L758)</f>
        <v/>
      </c>
      <c r="M758" s="193" t="str">
        <f>IF('Observaciones-SMP'!M758="","",'Observaciones-SMP'!M758)</f>
        <v/>
      </c>
      <c r="N758" s="193" t="str">
        <f>IF('Observaciones-SMP'!N758="","",'Observaciones-SMP'!N758)</f>
        <v/>
      </c>
      <c r="O758" s="193" t="str">
        <f>IF('Observaciones-SMP'!O758="","",'Observaciones-SMP'!O758)</f>
        <v/>
      </c>
      <c r="P758" s="193" t="str">
        <f>IF('Observaciones-SMP'!P758="","",'Observaciones-SMP'!P758)</f>
        <v/>
      </c>
      <c r="Q758" s="257" t="str">
        <f>IF('Observaciones-SMP'!S758="","",'Observaciones-SMP'!S758)</f>
        <v/>
      </c>
      <c r="R758" s="193" t="str">
        <f>IF('Observaciones-SMP'!T758="","",'Observaciones-SMP'!T758)</f>
        <v/>
      </c>
      <c r="S758" s="193" t="str">
        <f>""</f>
        <v/>
      </c>
      <c r="T758" s="193" t="str">
        <f>""</f>
        <v/>
      </c>
      <c r="U758" s="193" t="str">
        <f t="shared" si="44"/>
        <v/>
      </c>
      <c r="V758" s="193" t="str">
        <f>""</f>
        <v/>
      </c>
      <c r="W758" s="193" t="str">
        <f>""</f>
        <v/>
      </c>
      <c r="X758" s="258" t="str">
        <f t="shared" si="45"/>
        <v/>
      </c>
      <c r="Y758" s="258" t="str">
        <f t="shared" si="46"/>
        <v/>
      </c>
      <c r="Z758" s="193" t="str">
        <f>IF(A758="","",IF(COUNTIF('Observaciones-SMP'!$A$2:$A$1001,A758)&gt;1,1,0))</f>
        <v/>
      </c>
      <c r="AA758" s="193" t="str">
        <f t="shared" si="47"/>
        <v/>
      </c>
    </row>
    <row r="759" spans="1:27" ht="13.5" customHeight="1" x14ac:dyDescent="0.3">
      <c r="A759" s="193" t="str">
        <f>IF('Observaciones-SMP'!A759="","",'Observaciones-SMP'!A759)</f>
        <v/>
      </c>
      <c r="B759" s="257" t="str">
        <f>IF('Observaciones-SMP'!B759="","",'Observaciones-SMP'!B759)</f>
        <v/>
      </c>
      <c r="C759" s="193" t="str">
        <f>IF('Observaciones-SMP'!C759="","",'Observaciones-SMP'!C759)</f>
        <v/>
      </c>
      <c r="D759" s="193" t="str">
        <f>IF('Observaciones-SMP'!D759="","",'Observaciones-SMP'!D759)</f>
        <v/>
      </c>
      <c r="E759" s="193" t="str">
        <f>IF('Observaciones-SMP'!E759="","",'Observaciones-SMP'!E759)</f>
        <v/>
      </c>
      <c r="F759" s="193" t="str">
        <f>IF('Observaciones-SMP'!F759="","",'Observaciones-SMP'!F759)</f>
        <v/>
      </c>
      <c r="G759" s="193" t="str">
        <f>IF('Observaciones-SMP'!G759="","",'Observaciones-SMP'!G759)</f>
        <v/>
      </c>
      <c r="H759" s="193" t="str">
        <f>IF('Observaciones-SMP'!H759="","",'Observaciones-SMP'!H759)</f>
        <v/>
      </c>
      <c r="I759" s="193" t="str">
        <f>IF('Observaciones-SMP'!I759="","",'Observaciones-SMP'!I759)</f>
        <v/>
      </c>
      <c r="J759" s="193" t="str">
        <f>IF('Observaciones-SMP'!J759="","",'Observaciones-SMP'!J759)</f>
        <v/>
      </c>
      <c r="K759" s="193" t="str">
        <f>IF('Observaciones-SMP'!K759="","",'Observaciones-SMP'!K759)</f>
        <v/>
      </c>
      <c r="L759" s="193" t="str">
        <f>IF('Observaciones-SMP'!L759="","",'Observaciones-SMP'!L759)</f>
        <v/>
      </c>
      <c r="M759" s="193" t="str">
        <f>IF('Observaciones-SMP'!M759="","",'Observaciones-SMP'!M759)</f>
        <v/>
      </c>
      <c r="N759" s="193" t="str">
        <f>IF('Observaciones-SMP'!N759="","",'Observaciones-SMP'!N759)</f>
        <v/>
      </c>
      <c r="O759" s="193" t="str">
        <f>IF('Observaciones-SMP'!O759="","",'Observaciones-SMP'!O759)</f>
        <v/>
      </c>
      <c r="P759" s="193" t="str">
        <f>IF('Observaciones-SMP'!P759="","",'Observaciones-SMP'!P759)</f>
        <v/>
      </c>
      <c r="Q759" s="257" t="str">
        <f>IF('Observaciones-SMP'!S759="","",'Observaciones-SMP'!S759)</f>
        <v/>
      </c>
      <c r="R759" s="193" t="str">
        <f>IF('Observaciones-SMP'!T759="","",'Observaciones-SMP'!T759)</f>
        <v/>
      </c>
      <c r="S759" s="193" t="str">
        <f>""</f>
        <v/>
      </c>
      <c r="T759" s="193" t="str">
        <f>""</f>
        <v/>
      </c>
      <c r="U759" s="193" t="str">
        <f t="shared" si="44"/>
        <v/>
      </c>
      <c r="V759" s="193" t="str">
        <f>""</f>
        <v/>
      </c>
      <c r="W759" s="193" t="str">
        <f>""</f>
        <v/>
      </c>
      <c r="X759" s="258" t="str">
        <f t="shared" si="45"/>
        <v/>
      </c>
      <c r="Y759" s="258" t="str">
        <f t="shared" si="46"/>
        <v/>
      </c>
      <c r="Z759" s="193" t="str">
        <f>IF(A759="","",IF(COUNTIF('Observaciones-SMP'!$A$2:$A$1001,A759)&gt;1,1,0))</f>
        <v/>
      </c>
      <c r="AA759" s="193" t="str">
        <f t="shared" si="47"/>
        <v/>
      </c>
    </row>
    <row r="760" spans="1:27" ht="13.5" customHeight="1" x14ac:dyDescent="0.3">
      <c r="A760" s="193" t="str">
        <f>IF('Observaciones-SMP'!A760="","",'Observaciones-SMP'!A760)</f>
        <v/>
      </c>
      <c r="B760" s="257" t="str">
        <f>IF('Observaciones-SMP'!B760="","",'Observaciones-SMP'!B760)</f>
        <v/>
      </c>
      <c r="C760" s="193" t="str">
        <f>IF('Observaciones-SMP'!C760="","",'Observaciones-SMP'!C760)</f>
        <v/>
      </c>
      <c r="D760" s="193" t="str">
        <f>IF('Observaciones-SMP'!D760="","",'Observaciones-SMP'!D760)</f>
        <v/>
      </c>
      <c r="E760" s="193" t="str">
        <f>IF('Observaciones-SMP'!E760="","",'Observaciones-SMP'!E760)</f>
        <v/>
      </c>
      <c r="F760" s="193" t="str">
        <f>IF('Observaciones-SMP'!F760="","",'Observaciones-SMP'!F760)</f>
        <v/>
      </c>
      <c r="G760" s="193" t="str">
        <f>IF('Observaciones-SMP'!G760="","",'Observaciones-SMP'!G760)</f>
        <v/>
      </c>
      <c r="H760" s="193" t="str">
        <f>IF('Observaciones-SMP'!H760="","",'Observaciones-SMP'!H760)</f>
        <v/>
      </c>
      <c r="I760" s="193" t="str">
        <f>IF('Observaciones-SMP'!I760="","",'Observaciones-SMP'!I760)</f>
        <v/>
      </c>
      <c r="J760" s="193" t="str">
        <f>IF('Observaciones-SMP'!J760="","",'Observaciones-SMP'!J760)</f>
        <v/>
      </c>
      <c r="K760" s="193" t="str">
        <f>IF('Observaciones-SMP'!K760="","",'Observaciones-SMP'!K760)</f>
        <v/>
      </c>
      <c r="L760" s="193" t="str">
        <f>IF('Observaciones-SMP'!L760="","",'Observaciones-SMP'!L760)</f>
        <v/>
      </c>
      <c r="M760" s="193" t="str">
        <f>IF('Observaciones-SMP'!M760="","",'Observaciones-SMP'!M760)</f>
        <v/>
      </c>
      <c r="N760" s="193" t="str">
        <f>IF('Observaciones-SMP'!N760="","",'Observaciones-SMP'!N760)</f>
        <v/>
      </c>
      <c r="O760" s="193" t="str">
        <f>IF('Observaciones-SMP'!O760="","",'Observaciones-SMP'!O760)</f>
        <v/>
      </c>
      <c r="P760" s="193" t="str">
        <f>IF('Observaciones-SMP'!P760="","",'Observaciones-SMP'!P760)</f>
        <v/>
      </c>
      <c r="Q760" s="257" t="str">
        <f>IF('Observaciones-SMP'!S760="","",'Observaciones-SMP'!S760)</f>
        <v/>
      </c>
      <c r="R760" s="193" t="str">
        <f>IF('Observaciones-SMP'!T760="","",'Observaciones-SMP'!T760)</f>
        <v/>
      </c>
      <c r="S760" s="193" t="str">
        <f>""</f>
        <v/>
      </c>
      <c r="T760" s="193" t="str">
        <f>""</f>
        <v/>
      </c>
      <c r="U760" s="193" t="str">
        <f t="shared" si="44"/>
        <v/>
      </c>
      <c r="V760" s="193" t="str">
        <f>""</f>
        <v/>
      </c>
      <c r="W760" s="193" t="str">
        <f>""</f>
        <v/>
      </c>
      <c r="X760" s="258" t="str">
        <f t="shared" si="45"/>
        <v/>
      </c>
      <c r="Y760" s="258" t="str">
        <f t="shared" si="46"/>
        <v/>
      </c>
      <c r="Z760" s="193" t="str">
        <f>IF(A760="","",IF(COUNTIF('Observaciones-SMP'!$A$2:$A$1001,A760)&gt;1,1,0))</f>
        <v/>
      </c>
      <c r="AA760" s="193" t="str">
        <f t="shared" si="47"/>
        <v/>
      </c>
    </row>
    <row r="761" spans="1:27" ht="13.5" customHeight="1" x14ac:dyDescent="0.3">
      <c r="A761" s="193" t="str">
        <f>IF('Observaciones-SMP'!A761="","",'Observaciones-SMP'!A761)</f>
        <v/>
      </c>
      <c r="B761" s="257" t="str">
        <f>IF('Observaciones-SMP'!B761="","",'Observaciones-SMP'!B761)</f>
        <v/>
      </c>
      <c r="C761" s="193" t="str">
        <f>IF('Observaciones-SMP'!C761="","",'Observaciones-SMP'!C761)</f>
        <v/>
      </c>
      <c r="D761" s="193" t="str">
        <f>IF('Observaciones-SMP'!D761="","",'Observaciones-SMP'!D761)</f>
        <v/>
      </c>
      <c r="E761" s="193" t="str">
        <f>IF('Observaciones-SMP'!E761="","",'Observaciones-SMP'!E761)</f>
        <v/>
      </c>
      <c r="F761" s="193" t="str">
        <f>IF('Observaciones-SMP'!F761="","",'Observaciones-SMP'!F761)</f>
        <v/>
      </c>
      <c r="G761" s="193" t="str">
        <f>IF('Observaciones-SMP'!G761="","",'Observaciones-SMP'!G761)</f>
        <v/>
      </c>
      <c r="H761" s="193" t="str">
        <f>IF('Observaciones-SMP'!H761="","",'Observaciones-SMP'!H761)</f>
        <v/>
      </c>
      <c r="I761" s="193" t="str">
        <f>IF('Observaciones-SMP'!I761="","",'Observaciones-SMP'!I761)</f>
        <v/>
      </c>
      <c r="J761" s="193" t="str">
        <f>IF('Observaciones-SMP'!J761="","",'Observaciones-SMP'!J761)</f>
        <v/>
      </c>
      <c r="K761" s="193" t="str">
        <f>IF('Observaciones-SMP'!K761="","",'Observaciones-SMP'!K761)</f>
        <v/>
      </c>
      <c r="L761" s="193" t="str">
        <f>IF('Observaciones-SMP'!L761="","",'Observaciones-SMP'!L761)</f>
        <v/>
      </c>
      <c r="M761" s="193" t="str">
        <f>IF('Observaciones-SMP'!M761="","",'Observaciones-SMP'!M761)</f>
        <v/>
      </c>
      <c r="N761" s="193" t="str">
        <f>IF('Observaciones-SMP'!N761="","",'Observaciones-SMP'!N761)</f>
        <v/>
      </c>
      <c r="O761" s="193" t="str">
        <f>IF('Observaciones-SMP'!O761="","",'Observaciones-SMP'!O761)</f>
        <v/>
      </c>
      <c r="P761" s="193" t="str">
        <f>IF('Observaciones-SMP'!P761="","",'Observaciones-SMP'!P761)</f>
        <v/>
      </c>
      <c r="Q761" s="257" t="str">
        <f>IF('Observaciones-SMP'!S761="","",'Observaciones-SMP'!S761)</f>
        <v/>
      </c>
      <c r="R761" s="193" t="str">
        <f>IF('Observaciones-SMP'!T761="","",'Observaciones-SMP'!T761)</f>
        <v/>
      </c>
      <c r="S761" s="193" t="str">
        <f>""</f>
        <v/>
      </c>
      <c r="T761" s="193" t="str">
        <f>""</f>
        <v/>
      </c>
      <c r="U761" s="193" t="str">
        <f t="shared" si="44"/>
        <v/>
      </c>
      <c r="V761" s="193" t="str">
        <f>""</f>
        <v/>
      </c>
      <c r="W761" s="193" t="str">
        <f>""</f>
        <v/>
      </c>
      <c r="X761" s="258" t="str">
        <f t="shared" si="45"/>
        <v/>
      </c>
      <c r="Y761" s="258" t="str">
        <f t="shared" si="46"/>
        <v/>
      </c>
      <c r="Z761" s="193" t="str">
        <f>IF(A761="","",IF(COUNTIF('Observaciones-SMP'!$A$2:$A$1001,A761)&gt;1,1,0))</f>
        <v/>
      </c>
      <c r="AA761" s="193" t="str">
        <f t="shared" si="47"/>
        <v/>
      </c>
    </row>
    <row r="762" spans="1:27" ht="13.5" customHeight="1" x14ac:dyDescent="0.3">
      <c r="A762" s="193" t="str">
        <f>IF('Observaciones-SMP'!A762="","",'Observaciones-SMP'!A762)</f>
        <v/>
      </c>
      <c r="B762" s="257" t="str">
        <f>IF('Observaciones-SMP'!B762="","",'Observaciones-SMP'!B762)</f>
        <v/>
      </c>
      <c r="C762" s="193" t="str">
        <f>IF('Observaciones-SMP'!C762="","",'Observaciones-SMP'!C762)</f>
        <v/>
      </c>
      <c r="D762" s="193" t="str">
        <f>IF('Observaciones-SMP'!D762="","",'Observaciones-SMP'!D762)</f>
        <v/>
      </c>
      <c r="E762" s="193" t="str">
        <f>IF('Observaciones-SMP'!E762="","",'Observaciones-SMP'!E762)</f>
        <v/>
      </c>
      <c r="F762" s="193" t="str">
        <f>IF('Observaciones-SMP'!F762="","",'Observaciones-SMP'!F762)</f>
        <v/>
      </c>
      <c r="G762" s="193" t="str">
        <f>IF('Observaciones-SMP'!G762="","",'Observaciones-SMP'!G762)</f>
        <v/>
      </c>
      <c r="H762" s="193" t="str">
        <f>IF('Observaciones-SMP'!H762="","",'Observaciones-SMP'!H762)</f>
        <v/>
      </c>
      <c r="I762" s="193" t="str">
        <f>IF('Observaciones-SMP'!I762="","",'Observaciones-SMP'!I762)</f>
        <v/>
      </c>
      <c r="J762" s="193" t="str">
        <f>IF('Observaciones-SMP'!J762="","",'Observaciones-SMP'!J762)</f>
        <v/>
      </c>
      <c r="K762" s="193" t="str">
        <f>IF('Observaciones-SMP'!K762="","",'Observaciones-SMP'!K762)</f>
        <v/>
      </c>
      <c r="L762" s="193" t="str">
        <f>IF('Observaciones-SMP'!L762="","",'Observaciones-SMP'!L762)</f>
        <v/>
      </c>
      <c r="M762" s="193" t="str">
        <f>IF('Observaciones-SMP'!M762="","",'Observaciones-SMP'!M762)</f>
        <v/>
      </c>
      <c r="N762" s="193" t="str">
        <f>IF('Observaciones-SMP'!N762="","",'Observaciones-SMP'!N762)</f>
        <v/>
      </c>
      <c r="O762" s="193" t="str">
        <f>IF('Observaciones-SMP'!O762="","",'Observaciones-SMP'!O762)</f>
        <v/>
      </c>
      <c r="P762" s="193" t="str">
        <f>IF('Observaciones-SMP'!P762="","",'Observaciones-SMP'!P762)</f>
        <v/>
      </c>
      <c r="Q762" s="257" t="str">
        <f>IF('Observaciones-SMP'!S762="","",'Observaciones-SMP'!S762)</f>
        <v/>
      </c>
      <c r="R762" s="193" t="str">
        <f>IF('Observaciones-SMP'!T762="","",'Observaciones-SMP'!T762)</f>
        <v/>
      </c>
      <c r="S762" s="193" t="str">
        <f>""</f>
        <v/>
      </c>
      <c r="T762" s="193" t="str">
        <f>""</f>
        <v/>
      </c>
      <c r="U762" s="193" t="str">
        <f t="shared" si="44"/>
        <v/>
      </c>
      <c r="V762" s="193" t="str">
        <f>""</f>
        <v/>
      </c>
      <c r="W762" s="193" t="str">
        <f>""</f>
        <v/>
      </c>
      <c r="X762" s="258" t="str">
        <f t="shared" si="45"/>
        <v/>
      </c>
      <c r="Y762" s="258" t="str">
        <f t="shared" si="46"/>
        <v/>
      </c>
      <c r="Z762" s="193" t="str">
        <f>IF(A762="","",IF(COUNTIF('Observaciones-SMP'!$A$2:$A$1001,A762)&gt;1,1,0))</f>
        <v/>
      </c>
      <c r="AA762" s="193" t="str">
        <f t="shared" si="47"/>
        <v/>
      </c>
    </row>
    <row r="763" spans="1:27" ht="13.5" customHeight="1" x14ac:dyDescent="0.3">
      <c r="A763" s="193" t="str">
        <f>IF('Observaciones-SMP'!A763="","",'Observaciones-SMP'!A763)</f>
        <v/>
      </c>
      <c r="B763" s="257" t="str">
        <f>IF('Observaciones-SMP'!B763="","",'Observaciones-SMP'!B763)</f>
        <v/>
      </c>
      <c r="C763" s="193" t="str">
        <f>IF('Observaciones-SMP'!C763="","",'Observaciones-SMP'!C763)</f>
        <v/>
      </c>
      <c r="D763" s="193" t="str">
        <f>IF('Observaciones-SMP'!D763="","",'Observaciones-SMP'!D763)</f>
        <v/>
      </c>
      <c r="E763" s="193" t="str">
        <f>IF('Observaciones-SMP'!E763="","",'Observaciones-SMP'!E763)</f>
        <v/>
      </c>
      <c r="F763" s="193" t="str">
        <f>IF('Observaciones-SMP'!F763="","",'Observaciones-SMP'!F763)</f>
        <v/>
      </c>
      <c r="G763" s="193" t="str">
        <f>IF('Observaciones-SMP'!G763="","",'Observaciones-SMP'!G763)</f>
        <v/>
      </c>
      <c r="H763" s="193" t="str">
        <f>IF('Observaciones-SMP'!H763="","",'Observaciones-SMP'!H763)</f>
        <v/>
      </c>
      <c r="I763" s="193" t="str">
        <f>IF('Observaciones-SMP'!I763="","",'Observaciones-SMP'!I763)</f>
        <v/>
      </c>
      <c r="J763" s="193" t="str">
        <f>IF('Observaciones-SMP'!J763="","",'Observaciones-SMP'!J763)</f>
        <v/>
      </c>
      <c r="K763" s="193" t="str">
        <f>IF('Observaciones-SMP'!K763="","",'Observaciones-SMP'!K763)</f>
        <v/>
      </c>
      <c r="L763" s="193" t="str">
        <f>IF('Observaciones-SMP'!L763="","",'Observaciones-SMP'!L763)</f>
        <v/>
      </c>
      <c r="M763" s="193" t="str">
        <f>IF('Observaciones-SMP'!M763="","",'Observaciones-SMP'!M763)</f>
        <v/>
      </c>
      <c r="N763" s="193" t="str">
        <f>IF('Observaciones-SMP'!N763="","",'Observaciones-SMP'!N763)</f>
        <v/>
      </c>
      <c r="O763" s="193" t="str">
        <f>IF('Observaciones-SMP'!O763="","",'Observaciones-SMP'!O763)</f>
        <v/>
      </c>
      <c r="P763" s="193" t="str">
        <f>IF('Observaciones-SMP'!P763="","",'Observaciones-SMP'!P763)</f>
        <v/>
      </c>
      <c r="Q763" s="257" t="str">
        <f>IF('Observaciones-SMP'!S763="","",'Observaciones-SMP'!S763)</f>
        <v/>
      </c>
      <c r="R763" s="193" t="str">
        <f>IF('Observaciones-SMP'!T763="","",'Observaciones-SMP'!T763)</f>
        <v/>
      </c>
      <c r="S763" s="193" t="str">
        <f>""</f>
        <v/>
      </c>
      <c r="T763" s="193" t="str">
        <f>""</f>
        <v/>
      </c>
      <c r="U763" s="193" t="str">
        <f t="shared" si="44"/>
        <v/>
      </c>
      <c r="V763" s="193" t="str">
        <f>""</f>
        <v/>
      </c>
      <c r="W763" s="193" t="str">
        <f>""</f>
        <v/>
      </c>
      <c r="X763" s="258" t="str">
        <f t="shared" si="45"/>
        <v/>
      </c>
      <c r="Y763" s="258" t="str">
        <f t="shared" si="46"/>
        <v/>
      </c>
      <c r="Z763" s="193" t="str">
        <f>IF(A763="","",IF(COUNTIF('Observaciones-SMP'!$A$2:$A$1001,A763)&gt;1,1,0))</f>
        <v/>
      </c>
      <c r="AA763" s="193" t="str">
        <f t="shared" si="47"/>
        <v/>
      </c>
    </row>
    <row r="764" spans="1:27" ht="13.5" customHeight="1" x14ac:dyDescent="0.3">
      <c r="A764" s="193" t="str">
        <f>IF('Observaciones-SMP'!A764="","",'Observaciones-SMP'!A764)</f>
        <v/>
      </c>
      <c r="B764" s="257" t="str">
        <f>IF('Observaciones-SMP'!B764="","",'Observaciones-SMP'!B764)</f>
        <v/>
      </c>
      <c r="C764" s="193" t="str">
        <f>IF('Observaciones-SMP'!C764="","",'Observaciones-SMP'!C764)</f>
        <v/>
      </c>
      <c r="D764" s="193" t="str">
        <f>IF('Observaciones-SMP'!D764="","",'Observaciones-SMP'!D764)</f>
        <v/>
      </c>
      <c r="E764" s="193" t="str">
        <f>IF('Observaciones-SMP'!E764="","",'Observaciones-SMP'!E764)</f>
        <v/>
      </c>
      <c r="F764" s="193" t="str">
        <f>IF('Observaciones-SMP'!F764="","",'Observaciones-SMP'!F764)</f>
        <v/>
      </c>
      <c r="G764" s="193" t="str">
        <f>IF('Observaciones-SMP'!G764="","",'Observaciones-SMP'!G764)</f>
        <v/>
      </c>
      <c r="H764" s="193" t="str">
        <f>IF('Observaciones-SMP'!H764="","",'Observaciones-SMP'!H764)</f>
        <v/>
      </c>
      <c r="I764" s="193" t="str">
        <f>IF('Observaciones-SMP'!I764="","",'Observaciones-SMP'!I764)</f>
        <v/>
      </c>
      <c r="J764" s="193" t="str">
        <f>IF('Observaciones-SMP'!J764="","",'Observaciones-SMP'!J764)</f>
        <v/>
      </c>
      <c r="K764" s="193" t="str">
        <f>IF('Observaciones-SMP'!K764="","",'Observaciones-SMP'!K764)</f>
        <v/>
      </c>
      <c r="L764" s="193" t="str">
        <f>IF('Observaciones-SMP'!L764="","",'Observaciones-SMP'!L764)</f>
        <v/>
      </c>
      <c r="M764" s="193" t="str">
        <f>IF('Observaciones-SMP'!M764="","",'Observaciones-SMP'!M764)</f>
        <v/>
      </c>
      <c r="N764" s="193" t="str">
        <f>IF('Observaciones-SMP'!N764="","",'Observaciones-SMP'!N764)</f>
        <v/>
      </c>
      <c r="O764" s="193" t="str">
        <f>IF('Observaciones-SMP'!O764="","",'Observaciones-SMP'!O764)</f>
        <v/>
      </c>
      <c r="P764" s="193" t="str">
        <f>IF('Observaciones-SMP'!P764="","",'Observaciones-SMP'!P764)</f>
        <v/>
      </c>
      <c r="Q764" s="257" t="str">
        <f>IF('Observaciones-SMP'!S764="","",'Observaciones-SMP'!S764)</f>
        <v/>
      </c>
      <c r="R764" s="193" t="str">
        <f>IF('Observaciones-SMP'!T764="","",'Observaciones-SMP'!T764)</f>
        <v/>
      </c>
      <c r="S764" s="193" t="str">
        <f>""</f>
        <v/>
      </c>
      <c r="T764" s="193" t="str">
        <f>""</f>
        <v/>
      </c>
      <c r="U764" s="193" t="str">
        <f t="shared" si="44"/>
        <v/>
      </c>
      <c r="V764" s="193" t="str">
        <f>""</f>
        <v/>
      </c>
      <c r="W764" s="193" t="str">
        <f>""</f>
        <v/>
      </c>
      <c r="X764" s="258" t="str">
        <f t="shared" si="45"/>
        <v/>
      </c>
      <c r="Y764" s="258" t="str">
        <f t="shared" si="46"/>
        <v/>
      </c>
      <c r="Z764" s="193" t="str">
        <f>IF(A764="","",IF(COUNTIF('Observaciones-SMP'!$A$2:$A$1001,A764)&gt;1,1,0))</f>
        <v/>
      </c>
      <c r="AA764" s="193" t="str">
        <f t="shared" si="47"/>
        <v/>
      </c>
    </row>
    <row r="765" spans="1:27" ht="13.5" customHeight="1" x14ac:dyDescent="0.3">
      <c r="A765" s="193" t="str">
        <f>IF('Observaciones-SMP'!A765="","",'Observaciones-SMP'!A765)</f>
        <v/>
      </c>
      <c r="B765" s="257" t="str">
        <f>IF('Observaciones-SMP'!B765="","",'Observaciones-SMP'!B765)</f>
        <v/>
      </c>
      <c r="C765" s="193" t="str">
        <f>IF('Observaciones-SMP'!C765="","",'Observaciones-SMP'!C765)</f>
        <v/>
      </c>
      <c r="D765" s="193" t="str">
        <f>IF('Observaciones-SMP'!D765="","",'Observaciones-SMP'!D765)</f>
        <v/>
      </c>
      <c r="E765" s="193" t="str">
        <f>IF('Observaciones-SMP'!E765="","",'Observaciones-SMP'!E765)</f>
        <v/>
      </c>
      <c r="F765" s="193" t="str">
        <f>IF('Observaciones-SMP'!F765="","",'Observaciones-SMP'!F765)</f>
        <v/>
      </c>
      <c r="G765" s="193" t="str">
        <f>IF('Observaciones-SMP'!G765="","",'Observaciones-SMP'!G765)</f>
        <v/>
      </c>
      <c r="H765" s="193" t="str">
        <f>IF('Observaciones-SMP'!H765="","",'Observaciones-SMP'!H765)</f>
        <v/>
      </c>
      <c r="I765" s="193" t="str">
        <f>IF('Observaciones-SMP'!I765="","",'Observaciones-SMP'!I765)</f>
        <v/>
      </c>
      <c r="J765" s="193" t="str">
        <f>IF('Observaciones-SMP'!J765="","",'Observaciones-SMP'!J765)</f>
        <v/>
      </c>
      <c r="K765" s="193" t="str">
        <f>IF('Observaciones-SMP'!K765="","",'Observaciones-SMP'!K765)</f>
        <v/>
      </c>
      <c r="L765" s="193" t="str">
        <f>IF('Observaciones-SMP'!L765="","",'Observaciones-SMP'!L765)</f>
        <v/>
      </c>
      <c r="M765" s="193" t="str">
        <f>IF('Observaciones-SMP'!M765="","",'Observaciones-SMP'!M765)</f>
        <v/>
      </c>
      <c r="N765" s="193" t="str">
        <f>IF('Observaciones-SMP'!N765="","",'Observaciones-SMP'!N765)</f>
        <v/>
      </c>
      <c r="O765" s="193" t="str">
        <f>IF('Observaciones-SMP'!O765="","",'Observaciones-SMP'!O765)</f>
        <v/>
      </c>
      <c r="P765" s="193" t="str">
        <f>IF('Observaciones-SMP'!P765="","",'Observaciones-SMP'!P765)</f>
        <v/>
      </c>
      <c r="Q765" s="257" t="str">
        <f>IF('Observaciones-SMP'!S765="","",'Observaciones-SMP'!S765)</f>
        <v/>
      </c>
      <c r="R765" s="193" t="str">
        <f>IF('Observaciones-SMP'!T765="","",'Observaciones-SMP'!T765)</f>
        <v/>
      </c>
      <c r="S765" s="193" t="str">
        <f>""</f>
        <v/>
      </c>
      <c r="T765" s="193" t="str">
        <f>""</f>
        <v/>
      </c>
      <c r="U765" s="193" t="str">
        <f t="shared" si="44"/>
        <v/>
      </c>
      <c r="V765" s="193" t="str">
        <f>""</f>
        <v/>
      </c>
      <c r="W765" s="193" t="str">
        <f>""</f>
        <v/>
      </c>
      <c r="X765" s="258" t="str">
        <f t="shared" si="45"/>
        <v/>
      </c>
      <c r="Y765" s="258" t="str">
        <f t="shared" si="46"/>
        <v/>
      </c>
      <c r="Z765" s="193" t="str">
        <f>IF(A765="","",IF(COUNTIF('Observaciones-SMP'!$A$2:$A$1001,A765)&gt;1,1,0))</f>
        <v/>
      </c>
      <c r="AA765" s="193" t="str">
        <f t="shared" si="47"/>
        <v/>
      </c>
    </row>
    <row r="766" spans="1:27" ht="13.5" customHeight="1" x14ac:dyDescent="0.3">
      <c r="A766" s="193" t="str">
        <f>IF('Observaciones-SMP'!A766="","",'Observaciones-SMP'!A766)</f>
        <v/>
      </c>
      <c r="B766" s="257" t="str">
        <f>IF('Observaciones-SMP'!B766="","",'Observaciones-SMP'!B766)</f>
        <v/>
      </c>
      <c r="C766" s="193" t="str">
        <f>IF('Observaciones-SMP'!C766="","",'Observaciones-SMP'!C766)</f>
        <v/>
      </c>
      <c r="D766" s="193" t="str">
        <f>IF('Observaciones-SMP'!D766="","",'Observaciones-SMP'!D766)</f>
        <v/>
      </c>
      <c r="E766" s="193" t="str">
        <f>IF('Observaciones-SMP'!E766="","",'Observaciones-SMP'!E766)</f>
        <v/>
      </c>
      <c r="F766" s="193" t="str">
        <f>IF('Observaciones-SMP'!F766="","",'Observaciones-SMP'!F766)</f>
        <v/>
      </c>
      <c r="G766" s="193" t="str">
        <f>IF('Observaciones-SMP'!G766="","",'Observaciones-SMP'!G766)</f>
        <v/>
      </c>
      <c r="H766" s="193" t="str">
        <f>IF('Observaciones-SMP'!H766="","",'Observaciones-SMP'!H766)</f>
        <v/>
      </c>
      <c r="I766" s="193" t="str">
        <f>IF('Observaciones-SMP'!I766="","",'Observaciones-SMP'!I766)</f>
        <v/>
      </c>
      <c r="J766" s="193" t="str">
        <f>IF('Observaciones-SMP'!J766="","",'Observaciones-SMP'!J766)</f>
        <v/>
      </c>
      <c r="K766" s="193" t="str">
        <f>IF('Observaciones-SMP'!K766="","",'Observaciones-SMP'!K766)</f>
        <v/>
      </c>
      <c r="L766" s="193" t="str">
        <f>IF('Observaciones-SMP'!L766="","",'Observaciones-SMP'!L766)</f>
        <v/>
      </c>
      <c r="M766" s="193" t="str">
        <f>IF('Observaciones-SMP'!M766="","",'Observaciones-SMP'!M766)</f>
        <v/>
      </c>
      <c r="N766" s="193" t="str">
        <f>IF('Observaciones-SMP'!N766="","",'Observaciones-SMP'!N766)</f>
        <v/>
      </c>
      <c r="O766" s="193" t="str">
        <f>IF('Observaciones-SMP'!O766="","",'Observaciones-SMP'!O766)</f>
        <v/>
      </c>
      <c r="P766" s="193" t="str">
        <f>IF('Observaciones-SMP'!P766="","",'Observaciones-SMP'!P766)</f>
        <v/>
      </c>
      <c r="Q766" s="257" t="str">
        <f>IF('Observaciones-SMP'!S766="","",'Observaciones-SMP'!S766)</f>
        <v/>
      </c>
      <c r="R766" s="193" t="str">
        <f>IF('Observaciones-SMP'!T766="","",'Observaciones-SMP'!T766)</f>
        <v/>
      </c>
      <c r="S766" s="193" t="str">
        <f>""</f>
        <v/>
      </c>
      <c r="T766" s="193" t="str">
        <f>""</f>
        <v/>
      </c>
      <c r="U766" s="193" t="str">
        <f t="shared" si="44"/>
        <v/>
      </c>
      <c r="V766" s="193" t="str">
        <f>""</f>
        <v/>
      </c>
      <c r="W766" s="193" t="str">
        <f>""</f>
        <v/>
      </c>
      <c r="X766" s="258" t="str">
        <f t="shared" si="45"/>
        <v/>
      </c>
      <c r="Y766" s="258" t="str">
        <f t="shared" si="46"/>
        <v/>
      </c>
      <c r="Z766" s="193" t="str">
        <f>IF(A766="","",IF(COUNTIF('Observaciones-SMP'!$A$2:$A$1001,A766)&gt;1,1,0))</f>
        <v/>
      </c>
      <c r="AA766" s="193" t="str">
        <f t="shared" si="47"/>
        <v/>
      </c>
    </row>
    <row r="767" spans="1:27" ht="13.5" customHeight="1" x14ac:dyDescent="0.3">
      <c r="A767" s="193" t="str">
        <f>IF('Observaciones-SMP'!A767="","",'Observaciones-SMP'!A767)</f>
        <v/>
      </c>
      <c r="B767" s="257" t="str">
        <f>IF('Observaciones-SMP'!B767="","",'Observaciones-SMP'!B767)</f>
        <v/>
      </c>
      <c r="C767" s="193" t="str">
        <f>IF('Observaciones-SMP'!C767="","",'Observaciones-SMP'!C767)</f>
        <v/>
      </c>
      <c r="D767" s="193" t="str">
        <f>IF('Observaciones-SMP'!D767="","",'Observaciones-SMP'!D767)</f>
        <v/>
      </c>
      <c r="E767" s="193" t="str">
        <f>IF('Observaciones-SMP'!E767="","",'Observaciones-SMP'!E767)</f>
        <v/>
      </c>
      <c r="F767" s="193" t="str">
        <f>IF('Observaciones-SMP'!F767="","",'Observaciones-SMP'!F767)</f>
        <v/>
      </c>
      <c r="G767" s="193" t="str">
        <f>IF('Observaciones-SMP'!G767="","",'Observaciones-SMP'!G767)</f>
        <v/>
      </c>
      <c r="H767" s="193" t="str">
        <f>IF('Observaciones-SMP'!H767="","",'Observaciones-SMP'!H767)</f>
        <v/>
      </c>
      <c r="I767" s="193" t="str">
        <f>IF('Observaciones-SMP'!I767="","",'Observaciones-SMP'!I767)</f>
        <v/>
      </c>
      <c r="J767" s="193" t="str">
        <f>IF('Observaciones-SMP'!J767="","",'Observaciones-SMP'!J767)</f>
        <v/>
      </c>
      <c r="K767" s="193" t="str">
        <f>IF('Observaciones-SMP'!K767="","",'Observaciones-SMP'!K767)</f>
        <v/>
      </c>
      <c r="L767" s="193" t="str">
        <f>IF('Observaciones-SMP'!L767="","",'Observaciones-SMP'!L767)</f>
        <v/>
      </c>
      <c r="M767" s="193" t="str">
        <f>IF('Observaciones-SMP'!M767="","",'Observaciones-SMP'!M767)</f>
        <v/>
      </c>
      <c r="N767" s="193" t="str">
        <f>IF('Observaciones-SMP'!N767="","",'Observaciones-SMP'!N767)</f>
        <v/>
      </c>
      <c r="O767" s="193" t="str">
        <f>IF('Observaciones-SMP'!O767="","",'Observaciones-SMP'!O767)</f>
        <v/>
      </c>
      <c r="P767" s="193" t="str">
        <f>IF('Observaciones-SMP'!P767="","",'Observaciones-SMP'!P767)</f>
        <v/>
      </c>
      <c r="Q767" s="257" t="str">
        <f>IF('Observaciones-SMP'!S767="","",'Observaciones-SMP'!S767)</f>
        <v/>
      </c>
      <c r="R767" s="193" t="str">
        <f>IF('Observaciones-SMP'!T767="","",'Observaciones-SMP'!T767)</f>
        <v/>
      </c>
      <c r="S767" s="193" t="str">
        <f>""</f>
        <v/>
      </c>
      <c r="T767" s="193" t="str">
        <f>""</f>
        <v/>
      </c>
      <c r="U767" s="193" t="str">
        <f t="shared" si="44"/>
        <v/>
      </c>
      <c r="V767" s="193" t="str">
        <f>""</f>
        <v/>
      </c>
      <c r="W767" s="193" t="str">
        <f>""</f>
        <v/>
      </c>
      <c r="X767" s="258" t="str">
        <f t="shared" si="45"/>
        <v/>
      </c>
      <c r="Y767" s="258" t="str">
        <f t="shared" si="46"/>
        <v/>
      </c>
      <c r="Z767" s="193" t="str">
        <f>IF(A767="","",IF(COUNTIF('Observaciones-SMP'!$A$2:$A$1001,A767)&gt;1,1,0))</f>
        <v/>
      </c>
      <c r="AA767" s="193" t="str">
        <f t="shared" si="47"/>
        <v/>
      </c>
    </row>
    <row r="768" spans="1:27" ht="13.5" customHeight="1" x14ac:dyDescent="0.3">
      <c r="A768" s="193" t="str">
        <f>IF('Observaciones-SMP'!A768="","",'Observaciones-SMP'!A768)</f>
        <v/>
      </c>
      <c r="B768" s="257" t="str">
        <f>IF('Observaciones-SMP'!B768="","",'Observaciones-SMP'!B768)</f>
        <v/>
      </c>
      <c r="C768" s="193" t="str">
        <f>IF('Observaciones-SMP'!C768="","",'Observaciones-SMP'!C768)</f>
        <v/>
      </c>
      <c r="D768" s="193" t="str">
        <f>IF('Observaciones-SMP'!D768="","",'Observaciones-SMP'!D768)</f>
        <v/>
      </c>
      <c r="E768" s="193" t="str">
        <f>IF('Observaciones-SMP'!E768="","",'Observaciones-SMP'!E768)</f>
        <v/>
      </c>
      <c r="F768" s="193" t="str">
        <f>IF('Observaciones-SMP'!F768="","",'Observaciones-SMP'!F768)</f>
        <v/>
      </c>
      <c r="G768" s="193" t="str">
        <f>IF('Observaciones-SMP'!G768="","",'Observaciones-SMP'!G768)</f>
        <v/>
      </c>
      <c r="H768" s="193" t="str">
        <f>IF('Observaciones-SMP'!H768="","",'Observaciones-SMP'!H768)</f>
        <v/>
      </c>
      <c r="I768" s="193" t="str">
        <f>IF('Observaciones-SMP'!I768="","",'Observaciones-SMP'!I768)</f>
        <v/>
      </c>
      <c r="J768" s="193" t="str">
        <f>IF('Observaciones-SMP'!J768="","",'Observaciones-SMP'!J768)</f>
        <v/>
      </c>
      <c r="K768" s="193" t="str">
        <f>IF('Observaciones-SMP'!K768="","",'Observaciones-SMP'!K768)</f>
        <v/>
      </c>
      <c r="L768" s="193" t="str">
        <f>IF('Observaciones-SMP'!L768="","",'Observaciones-SMP'!L768)</f>
        <v/>
      </c>
      <c r="M768" s="193" t="str">
        <f>IF('Observaciones-SMP'!M768="","",'Observaciones-SMP'!M768)</f>
        <v/>
      </c>
      <c r="N768" s="193" t="str">
        <f>IF('Observaciones-SMP'!N768="","",'Observaciones-SMP'!N768)</f>
        <v/>
      </c>
      <c r="O768" s="193" t="str">
        <f>IF('Observaciones-SMP'!O768="","",'Observaciones-SMP'!O768)</f>
        <v/>
      </c>
      <c r="P768" s="193" t="str">
        <f>IF('Observaciones-SMP'!P768="","",'Observaciones-SMP'!P768)</f>
        <v/>
      </c>
      <c r="Q768" s="257" t="str">
        <f>IF('Observaciones-SMP'!S768="","",'Observaciones-SMP'!S768)</f>
        <v/>
      </c>
      <c r="R768" s="193" t="str">
        <f>IF('Observaciones-SMP'!T768="","",'Observaciones-SMP'!T768)</f>
        <v/>
      </c>
      <c r="S768" s="193" t="str">
        <f>""</f>
        <v/>
      </c>
      <c r="T768" s="193" t="str">
        <f>""</f>
        <v/>
      </c>
      <c r="U768" s="193" t="str">
        <f t="shared" si="44"/>
        <v/>
      </c>
      <c r="V768" s="193" t="str">
        <f>""</f>
        <v/>
      </c>
      <c r="W768" s="193" t="str">
        <f>""</f>
        <v/>
      </c>
      <c r="X768" s="258" t="str">
        <f t="shared" si="45"/>
        <v/>
      </c>
      <c r="Y768" s="258" t="str">
        <f t="shared" si="46"/>
        <v/>
      </c>
      <c r="Z768" s="193" t="str">
        <f>IF(A768="","",IF(COUNTIF('Observaciones-SMP'!$A$2:$A$1001,A768)&gt;1,1,0))</f>
        <v/>
      </c>
      <c r="AA768" s="193" t="str">
        <f t="shared" si="47"/>
        <v/>
      </c>
    </row>
    <row r="769" spans="1:27" ht="13.5" customHeight="1" x14ac:dyDescent="0.3">
      <c r="A769" s="193" t="str">
        <f>IF('Observaciones-SMP'!A769="","",'Observaciones-SMP'!A769)</f>
        <v/>
      </c>
      <c r="B769" s="257" t="str">
        <f>IF('Observaciones-SMP'!B769="","",'Observaciones-SMP'!B769)</f>
        <v/>
      </c>
      <c r="C769" s="193" t="str">
        <f>IF('Observaciones-SMP'!C769="","",'Observaciones-SMP'!C769)</f>
        <v/>
      </c>
      <c r="D769" s="193" t="str">
        <f>IF('Observaciones-SMP'!D769="","",'Observaciones-SMP'!D769)</f>
        <v/>
      </c>
      <c r="E769" s="193" t="str">
        <f>IF('Observaciones-SMP'!E769="","",'Observaciones-SMP'!E769)</f>
        <v/>
      </c>
      <c r="F769" s="193" t="str">
        <f>IF('Observaciones-SMP'!F769="","",'Observaciones-SMP'!F769)</f>
        <v/>
      </c>
      <c r="G769" s="193" t="str">
        <f>IF('Observaciones-SMP'!G769="","",'Observaciones-SMP'!G769)</f>
        <v/>
      </c>
      <c r="H769" s="193" t="str">
        <f>IF('Observaciones-SMP'!H769="","",'Observaciones-SMP'!H769)</f>
        <v/>
      </c>
      <c r="I769" s="193" t="str">
        <f>IF('Observaciones-SMP'!I769="","",'Observaciones-SMP'!I769)</f>
        <v/>
      </c>
      <c r="J769" s="193" t="str">
        <f>IF('Observaciones-SMP'!J769="","",'Observaciones-SMP'!J769)</f>
        <v/>
      </c>
      <c r="K769" s="193" t="str">
        <f>IF('Observaciones-SMP'!K769="","",'Observaciones-SMP'!K769)</f>
        <v/>
      </c>
      <c r="L769" s="193" t="str">
        <f>IF('Observaciones-SMP'!L769="","",'Observaciones-SMP'!L769)</f>
        <v/>
      </c>
      <c r="M769" s="193" t="str">
        <f>IF('Observaciones-SMP'!M769="","",'Observaciones-SMP'!M769)</f>
        <v/>
      </c>
      <c r="N769" s="193" t="str">
        <f>IF('Observaciones-SMP'!N769="","",'Observaciones-SMP'!N769)</f>
        <v/>
      </c>
      <c r="O769" s="193" t="str">
        <f>IF('Observaciones-SMP'!O769="","",'Observaciones-SMP'!O769)</f>
        <v/>
      </c>
      <c r="P769" s="193" t="str">
        <f>IF('Observaciones-SMP'!P769="","",'Observaciones-SMP'!P769)</f>
        <v/>
      </c>
      <c r="Q769" s="257" t="str">
        <f>IF('Observaciones-SMP'!S769="","",'Observaciones-SMP'!S769)</f>
        <v/>
      </c>
      <c r="R769" s="193" t="str">
        <f>IF('Observaciones-SMP'!T769="","",'Observaciones-SMP'!T769)</f>
        <v/>
      </c>
      <c r="S769" s="193" t="str">
        <f>""</f>
        <v/>
      </c>
      <c r="T769" s="193" t="str">
        <f>""</f>
        <v/>
      </c>
      <c r="U769" s="193" t="str">
        <f t="shared" si="44"/>
        <v/>
      </c>
      <c r="V769" s="193" t="str">
        <f>""</f>
        <v/>
      </c>
      <c r="W769" s="193" t="str">
        <f>""</f>
        <v/>
      </c>
      <c r="X769" s="258" t="str">
        <f t="shared" si="45"/>
        <v/>
      </c>
      <c r="Y769" s="258" t="str">
        <f t="shared" si="46"/>
        <v/>
      </c>
      <c r="Z769" s="193" t="str">
        <f>IF(A769="","",IF(COUNTIF('Observaciones-SMP'!$A$2:$A$1001,A769)&gt;1,1,0))</f>
        <v/>
      </c>
      <c r="AA769" s="193" t="str">
        <f t="shared" si="47"/>
        <v/>
      </c>
    </row>
    <row r="770" spans="1:27" ht="13.5" customHeight="1" x14ac:dyDescent="0.3">
      <c r="A770" s="193" t="str">
        <f>IF('Observaciones-SMP'!A770="","",'Observaciones-SMP'!A770)</f>
        <v/>
      </c>
      <c r="B770" s="257" t="str">
        <f>IF('Observaciones-SMP'!B770="","",'Observaciones-SMP'!B770)</f>
        <v/>
      </c>
      <c r="C770" s="193" t="str">
        <f>IF('Observaciones-SMP'!C770="","",'Observaciones-SMP'!C770)</f>
        <v/>
      </c>
      <c r="D770" s="193" t="str">
        <f>IF('Observaciones-SMP'!D770="","",'Observaciones-SMP'!D770)</f>
        <v/>
      </c>
      <c r="E770" s="193" t="str">
        <f>IF('Observaciones-SMP'!E770="","",'Observaciones-SMP'!E770)</f>
        <v/>
      </c>
      <c r="F770" s="193" t="str">
        <f>IF('Observaciones-SMP'!F770="","",'Observaciones-SMP'!F770)</f>
        <v/>
      </c>
      <c r="G770" s="193" t="str">
        <f>IF('Observaciones-SMP'!G770="","",'Observaciones-SMP'!G770)</f>
        <v/>
      </c>
      <c r="H770" s="193" t="str">
        <f>IF('Observaciones-SMP'!H770="","",'Observaciones-SMP'!H770)</f>
        <v/>
      </c>
      <c r="I770" s="193" t="str">
        <f>IF('Observaciones-SMP'!I770="","",'Observaciones-SMP'!I770)</f>
        <v/>
      </c>
      <c r="J770" s="193" t="str">
        <f>IF('Observaciones-SMP'!J770="","",'Observaciones-SMP'!J770)</f>
        <v/>
      </c>
      <c r="K770" s="193" t="str">
        <f>IF('Observaciones-SMP'!K770="","",'Observaciones-SMP'!K770)</f>
        <v/>
      </c>
      <c r="L770" s="193" t="str">
        <f>IF('Observaciones-SMP'!L770="","",'Observaciones-SMP'!L770)</f>
        <v/>
      </c>
      <c r="M770" s="193" t="str">
        <f>IF('Observaciones-SMP'!M770="","",'Observaciones-SMP'!M770)</f>
        <v/>
      </c>
      <c r="N770" s="193" t="str">
        <f>IF('Observaciones-SMP'!N770="","",'Observaciones-SMP'!N770)</f>
        <v/>
      </c>
      <c r="O770" s="193" t="str">
        <f>IF('Observaciones-SMP'!O770="","",'Observaciones-SMP'!O770)</f>
        <v/>
      </c>
      <c r="P770" s="193" t="str">
        <f>IF('Observaciones-SMP'!P770="","",'Observaciones-SMP'!P770)</f>
        <v/>
      </c>
      <c r="Q770" s="257" t="str">
        <f>IF('Observaciones-SMP'!S770="","",'Observaciones-SMP'!S770)</f>
        <v/>
      </c>
      <c r="R770" s="193" t="str">
        <f>IF('Observaciones-SMP'!T770="","",'Observaciones-SMP'!T770)</f>
        <v/>
      </c>
      <c r="S770" s="193" t="str">
        <f>""</f>
        <v/>
      </c>
      <c r="T770" s="193" t="str">
        <f>""</f>
        <v/>
      </c>
      <c r="U770" s="193" t="str">
        <f t="shared" ref="U770:U833" si="48">IF(AND(ISNUMBER(B770),ISNUMBER(Q770)),IF(Q770&gt;=B770,Q770-B770,""),"")</f>
        <v/>
      </c>
      <c r="V770" s="193" t="str">
        <f>""</f>
        <v/>
      </c>
      <c r="W770" s="193" t="str">
        <f>""</f>
        <v/>
      </c>
      <c r="X770" s="258" t="str">
        <f t="shared" ref="X770:X833" si="49">IF(ISNUMBER(B770),DATE(YEAR(B770),MONTH(B770),1),"")</f>
        <v/>
      </c>
      <c r="Y770" s="258" t="str">
        <f t="shared" ref="Y770:Y833" si="50">IF(ISNUMBER(Q770),DATE(YEAR(Q770),MONTH(Q770),1),"")</f>
        <v/>
      </c>
      <c r="Z770" s="193" t="str">
        <f>IF(A770="","",IF(COUNTIF('Observaciones-SMP'!$A$2:$A$1001,A770)&gt;1,1,0))</f>
        <v/>
      </c>
      <c r="AA770" s="193" t="str">
        <f t="shared" ref="AA770:AA833" si="51">IF(ISNUMBER(B770),IF(ISNUMBER(Q770),Q770,DATE(YEAR(RPT_MONTH),MONTH(RPT_MONTH)+1,0))-B770,"")</f>
        <v/>
      </c>
    </row>
    <row r="771" spans="1:27" ht="13.5" customHeight="1" x14ac:dyDescent="0.3">
      <c r="A771" s="193" t="str">
        <f>IF('Observaciones-SMP'!A771="","",'Observaciones-SMP'!A771)</f>
        <v/>
      </c>
      <c r="B771" s="257" t="str">
        <f>IF('Observaciones-SMP'!B771="","",'Observaciones-SMP'!B771)</f>
        <v/>
      </c>
      <c r="C771" s="193" t="str">
        <f>IF('Observaciones-SMP'!C771="","",'Observaciones-SMP'!C771)</f>
        <v/>
      </c>
      <c r="D771" s="193" t="str">
        <f>IF('Observaciones-SMP'!D771="","",'Observaciones-SMP'!D771)</f>
        <v/>
      </c>
      <c r="E771" s="193" t="str">
        <f>IF('Observaciones-SMP'!E771="","",'Observaciones-SMP'!E771)</f>
        <v/>
      </c>
      <c r="F771" s="193" t="str">
        <f>IF('Observaciones-SMP'!F771="","",'Observaciones-SMP'!F771)</f>
        <v/>
      </c>
      <c r="G771" s="193" t="str">
        <f>IF('Observaciones-SMP'!G771="","",'Observaciones-SMP'!G771)</f>
        <v/>
      </c>
      <c r="H771" s="193" t="str">
        <f>IF('Observaciones-SMP'!H771="","",'Observaciones-SMP'!H771)</f>
        <v/>
      </c>
      <c r="I771" s="193" t="str">
        <f>IF('Observaciones-SMP'!I771="","",'Observaciones-SMP'!I771)</f>
        <v/>
      </c>
      <c r="J771" s="193" t="str">
        <f>IF('Observaciones-SMP'!J771="","",'Observaciones-SMP'!J771)</f>
        <v/>
      </c>
      <c r="K771" s="193" t="str">
        <f>IF('Observaciones-SMP'!K771="","",'Observaciones-SMP'!K771)</f>
        <v/>
      </c>
      <c r="L771" s="193" t="str">
        <f>IF('Observaciones-SMP'!L771="","",'Observaciones-SMP'!L771)</f>
        <v/>
      </c>
      <c r="M771" s="193" t="str">
        <f>IF('Observaciones-SMP'!M771="","",'Observaciones-SMP'!M771)</f>
        <v/>
      </c>
      <c r="N771" s="193" t="str">
        <f>IF('Observaciones-SMP'!N771="","",'Observaciones-SMP'!N771)</f>
        <v/>
      </c>
      <c r="O771" s="193" t="str">
        <f>IF('Observaciones-SMP'!O771="","",'Observaciones-SMP'!O771)</f>
        <v/>
      </c>
      <c r="P771" s="193" t="str">
        <f>IF('Observaciones-SMP'!P771="","",'Observaciones-SMP'!P771)</f>
        <v/>
      </c>
      <c r="Q771" s="257" t="str">
        <f>IF('Observaciones-SMP'!S771="","",'Observaciones-SMP'!S771)</f>
        <v/>
      </c>
      <c r="R771" s="193" t="str">
        <f>IF('Observaciones-SMP'!T771="","",'Observaciones-SMP'!T771)</f>
        <v/>
      </c>
      <c r="S771" s="193" t="str">
        <f>""</f>
        <v/>
      </c>
      <c r="T771" s="193" t="str">
        <f>""</f>
        <v/>
      </c>
      <c r="U771" s="193" t="str">
        <f t="shared" si="48"/>
        <v/>
      </c>
      <c r="V771" s="193" t="str">
        <f>""</f>
        <v/>
      </c>
      <c r="W771" s="193" t="str">
        <f>""</f>
        <v/>
      </c>
      <c r="X771" s="258" t="str">
        <f t="shared" si="49"/>
        <v/>
      </c>
      <c r="Y771" s="258" t="str">
        <f t="shared" si="50"/>
        <v/>
      </c>
      <c r="Z771" s="193" t="str">
        <f>IF(A771="","",IF(COUNTIF('Observaciones-SMP'!$A$2:$A$1001,A771)&gt;1,1,0))</f>
        <v/>
      </c>
      <c r="AA771" s="193" t="str">
        <f t="shared" si="51"/>
        <v/>
      </c>
    </row>
    <row r="772" spans="1:27" ht="13.5" customHeight="1" x14ac:dyDescent="0.3">
      <c r="A772" s="193" t="str">
        <f>IF('Observaciones-SMP'!A772="","",'Observaciones-SMP'!A772)</f>
        <v/>
      </c>
      <c r="B772" s="257" t="str">
        <f>IF('Observaciones-SMP'!B772="","",'Observaciones-SMP'!B772)</f>
        <v/>
      </c>
      <c r="C772" s="193" t="str">
        <f>IF('Observaciones-SMP'!C772="","",'Observaciones-SMP'!C772)</f>
        <v/>
      </c>
      <c r="D772" s="193" t="str">
        <f>IF('Observaciones-SMP'!D772="","",'Observaciones-SMP'!D772)</f>
        <v/>
      </c>
      <c r="E772" s="193" t="str">
        <f>IF('Observaciones-SMP'!E772="","",'Observaciones-SMP'!E772)</f>
        <v/>
      </c>
      <c r="F772" s="193" t="str">
        <f>IF('Observaciones-SMP'!F772="","",'Observaciones-SMP'!F772)</f>
        <v/>
      </c>
      <c r="G772" s="193" t="str">
        <f>IF('Observaciones-SMP'!G772="","",'Observaciones-SMP'!G772)</f>
        <v/>
      </c>
      <c r="H772" s="193" t="str">
        <f>IF('Observaciones-SMP'!H772="","",'Observaciones-SMP'!H772)</f>
        <v/>
      </c>
      <c r="I772" s="193" t="str">
        <f>IF('Observaciones-SMP'!I772="","",'Observaciones-SMP'!I772)</f>
        <v/>
      </c>
      <c r="J772" s="193" t="str">
        <f>IF('Observaciones-SMP'!J772="","",'Observaciones-SMP'!J772)</f>
        <v/>
      </c>
      <c r="K772" s="193" t="str">
        <f>IF('Observaciones-SMP'!K772="","",'Observaciones-SMP'!K772)</f>
        <v/>
      </c>
      <c r="L772" s="193" t="str">
        <f>IF('Observaciones-SMP'!L772="","",'Observaciones-SMP'!L772)</f>
        <v/>
      </c>
      <c r="M772" s="193" t="str">
        <f>IF('Observaciones-SMP'!M772="","",'Observaciones-SMP'!M772)</f>
        <v/>
      </c>
      <c r="N772" s="193" t="str">
        <f>IF('Observaciones-SMP'!N772="","",'Observaciones-SMP'!N772)</f>
        <v/>
      </c>
      <c r="O772" s="193" t="str">
        <f>IF('Observaciones-SMP'!O772="","",'Observaciones-SMP'!O772)</f>
        <v/>
      </c>
      <c r="P772" s="193" t="str">
        <f>IF('Observaciones-SMP'!P772="","",'Observaciones-SMP'!P772)</f>
        <v/>
      </c>
      <c r="Q772" s="257" t="str">
        <f>IF('Observaciones-SMP'!S772="","",'Observaciones-SMP'!S772)</f>
        <v/>
      </c>
      <c r="R772" s="193" t="str">
        <f>IF('Observaciones-SMP'!T772="","",'Observaciones-SMP'!T772)</f>
        <v/>
      </c>
      <c r="S772" s="193" t="str">
        <f>""</f>
        <v/>
      </c>
      <c r="T772" s="193" t="str">
        <f>""</f>
        <v/>
      </c>
      <c r="U772" s="193" t="str">
        <f t="shared" si="48"/>
        <v/>
      </c>
      <c r="V772" s="193" t="str">
        <f>""</f>
        <v/>
      </c>
      <c r="W772" s="193" t="str">
        <f>""</f>
        <v/>
      </c>
      <c r="X772" s="258" t="str">
        <f t="shared" si="49"/>
        <v/>
      </c>
      <c r="Y772" s="258" t="str">
        <f t="shared" si="50"/>
        <v/>
      </c>
      <c r="Z772" s="193" t="str">
        <f>IF(A772="","",IF(COUNTIF('Observaciones-SMP'!$A$2:$A$1001,A772)&gt;1,1,0))</f>
        <v/>
      </c>
      <c r="AA772" s="193" t="str">
        <f t="shared" si="51"/>
        <v/>
      </c>
    </row>
    <row r="773" spans="1:27" ht="13.5" customHeight="1" x14ac:dyDescent="0.3">
      <c r="A773" s="193" t="str">
        <f>IF('Observaciones-SMP'!A773="","",'Observaciones-SMP'!A773)</f>
        <v/>
      </c>
      <c r="B773" s="257" t="str">
        <f>IF('Observaciones-SMP'!B773="","",'Observaciones-SMP'!B773)</f>
        <v/>
      </c>
      <c r="C773" s="193" t="str">
        <f>IF('Observaciones-SMP'!C773="","",'Observaciones-SMP'!C773)</f>
        <v/>
      </c>
      <c r="D773" s="193" t="str">
        <f>IF('Observaciones-SMP'!D773="","",'Observaciones-SMP'!D773)</f>
        <v/>
      </c>
      <c r="E773" s="193" t="str">
        <f>IF('Observaciones-SMP'!E773="","",'Observaciones-SMP'!E773)</f>
        <v/>
      </c>
      <c r="F773" s="193" t="str">
        <f>IF('Observaciones-SMP'!F773="","",'Observaciones-SMP'!F773)</f>
        <v/>
      </c>
      <c r="G773" s="193" t="str">
        <f>IF('Observaciones-SMP'!G773="","",'Observaciones-SMP'!G773)</f>
        <v/>
      </c>
      <c r="H773" s="193" t="str">
        <f>IF('Observaciones-SMP'!H773="","",'Observaciones-SMP'!H773)</f>
        <v/>
      </c>
      <c r="I773" s="193" t="str">
        <f>IF('Observaciones-SMP'!I773="","",'Observaciones-SMP'!I773)</f>
        <v/>
      </c>
      <c r="J773" s="193" t="str">
        <f>IF('Observaciones-SMP'!J773="","",'Observaciones-SMP'!J773)</f>
        <v/>
      </c>
      <c r="K773" s="193" t="str">
        <f>IF('Observaciones-SMP'!K773="","",'Observaciones-SMP'!K773)</f>
        <v/>
      </c>
      <c r="L773" s="193" t="str">
        <f>IF('Observaciones-SMP'!L773="","",'Observaciones-SMP'!L773)</f>
        <v/>
      </c>
      <c r="M773" s="193" t="str">
        <f>IF('Observaciones-SMP'!M773="","",'Observaciones-SMP'!M773)</f>
        <v/>
      </c>
      <c r="N773" s="193" t="str">
        <f>IF('Observaciones-SMP'!N773="","",'Observaciones-SMP'!N773)</f>
        <v/>
      </c>
      <c r="O773" s="193" t="str">
        <f>IF('Observaciones-SMP'!O773="","",'Observaciones-SMP'!O773)</f>
        <v/>
      </c>
      <c r="P773" s="193" t="str">
        <f>IF('Observaciones-SMP'!P773="","",'Observaciones-SMP'!P773)</f>
        <v/>
      </c>
      <c r="Q773" s="257" t="str">
        <f>IF('Observaciones-SMP'!S773="","",'Observaciones-SMP'!S773)</f>
        <v/>
      </c>
      <c r="R773" s="193" t="str">
        <f>IF('Observaciones-SMP'!T773="","",'Observaciones-SMP'!T773)</f>
        <v/>
      </c>
      <c r="S773" s="193" t="str">
        <f>""</f>
        <v/>
      </c>
      <c r="T773" s="193" t="str">
        <f>""</f>
        <v/>
      </c>
      <c r="U773" s="193" t="str">
        <f t="shared" si="48"/>
        <v/>
      </c>
      <c r="V773" s="193" t="str">
        <f>""</f>
        <v/>
      </c>
      <c r="W773" s="193" t="str">
        <f>""</f>
        <v/>
      </c>
      <c r="X773" s="258" t="str">
        <f t="shared" si="49"/>
        <v/>
      </c>
      <c r="Y773" s="258" t="str">
        <f t="shared" si="50"/>
        <v/>
      </c>
      <c r="Z773" s="193" t="str">
        <f>IF(A773="","",IF(COUNTIF('Observaciones-SMP'!$A$2:$A$1001,A773)&gt;1,1,0))</f>
        <v/>
      </c>
      <c r="AA773" s="193" t="str">
        <f t="shared" si="51"/>
        <v/>
      </c>
    </row>
    <row r="774" spans="1:27" ht="13.5" customHeight="1" x14ac:dyDescent="0.3">
      <c r="A774" s="193" t="str">
        <f>IF('Observaciones-SMP'!A774="","",'Observaciones-SMP'!A774)</f>
        <v/>
      </c>
      <c r="B774" s="257" t="str">
        <f>IF('Observaciones-SMP'!B774="","",'Observaciones-SMP'!B774)</f>
        <v/>
      </c>
      <c r="C774" s="193" t="str">
        <f>IF('Observaciones-SMP'!C774="","",'Observaciones-SMP'!C774)</f>
        <v/>
      </c>
      <c r="D774" s="193" t="str">
        <f>IF('Observaciones-SMP'!D774="","",'Observaciones-SMP'!D774)</f>
        <v/>
      </c>
      <c r="E774" s="193" t="str">
        <f>IF('Observaciones-SMP'!E774="","",'Observaciones-SMP'!E774)</f>
        <v/>
      </c>
      <c r="F774" s="193" t="str">
        <f>IF('Observaciones-SMP'!F774="","",'Observaciones-SMP'!F774)</f>
        <v/>
      </c>
      <c r="G774" s="193" t="str">
        <f>IF('Observaciones-SMP'!G774="","",'Observaciones-SMP'!G774)</f>
        <v/>
      </c>
      <c r="H774" s="193" t="str">
        <f>IF('Observaciones-SMP'!H774="","",'Observaciones-SMP'!H774)</f>
        <v/>
      </c>
      <c r="I774" s="193" t="str">
        <f>IF('Observaciones-SMP'!I774="","",'Observaciones-SMP'!I774)</f>
        <v/>
      </c>
      <c r="J774" s="193" t="str">
        <f>IF('Observaciones-SMP'!J774="","",'Observaciones-SMP'!J774)</f>
        <v/>
      </c>
      <c r="K774" s="193" t="str">
        <f>IF('Observaciones-SMP'!K774="","",'Observaciones-SMP'!K774)</f>
        <v/>
      </c>
      <c r="L774" s="193" t="str">
        <f>IF('Observaciones-SMP'!L774="","",'Observaciones-SMP'!L774)</f>
        <v/>
      </c>
      <c r="M774" s="193" t="str">
        <f>IF('Observaciones-SMP'!M774="","",'Observaciones-SMP'!M774)</f>
        <v/>
      </c>
      <c r="N774" s="193" t="str">
        <f>IF('Observaciones-SMP'!N774="","",'Observaciones-SMP'!N774)</f>
        <v/>
      </c>
      <c r="O774" s="193" t="str">
        <f>IF('Observaciones-SMP'!O774="","",'Observaciones-SMP'!O774)</f>
        <v/>
      </c>
      <c r="P774" s="193" t="str">
        <f>IF('Observaciones-SMP'!P774="","",'Observaciones-SMP'!P774)</f>
        <v/>
      </c>
      <c r="Q774" s="257" t="str">
        <f>IF('Observaciones-SMP'!S774="","",'Observaciones-SMP'!S774)</f>
        <v/>
      </c>
      <c r="R774" s="193" t="str">
        <f>IF('Observaciones-SMP'!T774="","",'Observaciones-SMP'!T774)</f>
        <v/>
      </c>
      <c r="S774" s="193" t="str">
        <f>""</f>
        <v/>
      </c>
      <c r="T774" s="193" t="str">
        <f>""</f>
        <v/>
      </c>
      <c r="U774" s="193" t="str">
        <f t="shared" si="48"/>
        <v/>
      </c>
      <c r="V774" s="193" t="str">
        <f>""</f>
        <v/>
      </c>
      <c r="W774" s="193" t="str">
        <f>""</f>
        <v/>
      </c>
      <c r="X774" s="258" t="str">
        <f t="shared" si="49"/>
        <v/>
      </c>
      <c r="Y774" s="258" t="str">
        <f t="shared" si="50"/>
        <v/>
      </c>
      <c r="Z774" s="193" t="str">
        <f>IF(A774="","",IF(COUNTIF('Observaciones-SMP'!$A$2:$A$1001,A774)&gt;1,1,0))</f>
        <v/>
      </c>
      <c r="AA774" s="193" t="str">
        <f t="shared" si="51"/>
        <v/>
      </c>
    </row>
    <row r="775" spans="1:27" ht="13.5" customHeight="1" x14ac:dyDescent="0.3">
      <c r="A775" s="193" t="str">
        <f>IF('Observaciones-SMP'!A775="","",'Observaciones-SMP'!A775)</f>
        <v/>
      </c>
      <c r="B775" s="257" t="str">
        <f>IF('Observaciones-SMP'!B775="","",'Observaciones-SMP'!B775)</f>
        <v/>
      </c>
      <c r="C775" s="193" t="str">
        <f>IF('Observaciones-SMP'!C775="","",'Observaciones-SMP'!C775)</f>
        <v/>
      </c>
      <c r="D775" s="193" t="str">
        <f>IF('Observaciones-SMP'!D775="","",'Observaciones-SMP'!D775)</f>
        <v/>
      </c>
      <c r="E775" s="193" t="str">
        <f>IF('Observaciones-SMP'!E775="","",'Observaciones-SMP'!E775)</f>
        <v/>
      </c>
      <c r="F775" s="193" t="str">
        <f>IF('Observaciones-SMP'!F775="","",'Observaciones-SMP'!F775)</f>
        <v/>
      </c>
      <c r="G775" s="193" t="str">
        <f>IF('Observaciones-SMP'!G775="","",'Observaciones-SMP'!G775)</f>
        <v/>
      </c>
      <c r="H775" s="193" t="str">
        <f>IF('Observaciones-SMP'!H775="","",'Observaciones-SMP'!H775)</f>
        <v/>
      </c>
      <c r="I775" s="193" t="str">
        <f>IF('Observaciones-SMP'!I775="","",'Observaciones-SMP'!I775)</f>
        <v/>
      </c>
      <c r="J775" s="193" t="str">
        <f>IF('Observaciones-SMP'!J775="","",'Observaciones-SMP'!J775)</f>
        <v/>
      </c>
      <c r="K775" s="193" t="str">
        <f>IF('Observaciones-SMP'!K775="","",'Observaciones-SMP'!K775)</f>
        <v/>
      </c>
      <c r="L775" s="193" t="str">
        <f>IF('Observaciones-SMP'!L775="","",'Observaciones-SMP'!L775)</f>
        <v/>
      </c>
      <c r="M775" s="193" t="str">
        <f>IF('Observaciones-SMP'!M775="","",'Observaciones-SMP'!M775)</f>
        <v/>
      </c>
      <c r="N775" s="193" t="str">
        <f>IF('Observaciones-SMP'!N775="","",'Observaciones-SMP'!N775)</f>
        <v/>
      </c>
      <c r="O775" s="193" t="str">
        <f>IF('Observaciones-SMP'!O775="","",'Observaciones-SMP'!O775)</f>
        <v/>
      </c>
      <c r="P775" s="193" t="str">
        <f>IF('Observaciones-SMP'!P775="","",'Observaciones-SMP'!P775)</f>
        <v/>
      </c>
      <c r="Q775" s="257" t="str">
        <f>IF('Observaciones-SMP'!S775="","",'Observaciones-SMP'!S775)</f>
        <v/>
      </c>
      <c r="R775" s="193" t="str">
        <f>IF('Observaciones-SMP'!T775="","",'Observaciones-SMP'!T775)</f>
        <v/>
      </c>
      <c r="S775" s="193" t="str">
        <f>""</f>
        <v/>
      </c>
      <c r="T775" s="193" t="str">
        <f>""</f>
        <v/>
      </c>
      <c r="U775" s="193" t="str">
        <f t="shared" si="48"/>
        <v/>
      </c>
      <c r="V775" s="193" t="str">
        <f>""</f>
        <v/>
      </c>
      <c r="W775" s="193" t="str">
        <f>""</f>
        <v/>
      </c>
      <c r="X775" s="258" t="str">
        <f t="shared" si="49"/>
        <v/>
      </c>
      <c r="Y775" s="258" t="str">
        <f t="shared" si="50"/>
        <v/>
      </c>
      <c r="Z775" s="193" t="str">
        <f>IF(A775="","",IF(COUNTIF('Observaciones-SMP'!$A$2:$A$1001,A775)&gt;1,1,0))</f>
        <v/>
      </c>
      <c r="AA775" s="193" t="str">
        <f t="shared" si="51"/>
        <v/>
      </c>
    </row>
    <row r="776" spans="1:27" ht="13.5" customHeight="1" x14ac:dyDescent="0.3">
      <c r="A776" s="193" t="str">
        <f>IF('Observaciones-SMP'!A776="","",'Observaciones-SMP'!A776)</f>
        <v/>
      </c>
      <c r="B776" s="257" t="str">
        <f>IF('Observaciones-SMP'!B776="","",'Observaciones-SMP'!B776)</f>
        <v/>
      </c>
      <c r="C776" s="193" t="str">
        <f>IF('Observaciones-SMP'!C776="","",'Observaciones-SMP'!C776)</f>
        <v/>
      </c>
      <c r="D776" s="193" t="str">
        <f>IF('Observaciones-SMP'!D776="","",'Observaciones-SMP'!D776)</f>
        <v/>
      </c>
      <c r="E776" s="193" t="str">
        <f>IF('Observaciones-SMP'!E776="","",'Observaciones-SMP'!E776)</f>
        <v/>
      </c>
      <c r="F776" s="193" t="str">
        <f>IF('Observaciones-SMP'!F776="","",'Observaciones-SMP'!F776)</f>
        <v/>
      </c>
      <c r="G776" s="193" t="str">
        <f>IF('Observaciones-SMP'!G776="","",'Observaciones-SMP'!G776)</f>
        <v/>
      </c>
      <c r="H776" s="193" t="str">
        <f>IF('Observaciones-SMP'!H776="","",'Observaciones-SMP'!H776)</f>
        <v/>
      </c>
      <c r="I776" s="193" t="str">
        <f>IF('Observaciones-SMP'!I776="","",'Observaciones-SMP'!I776)</f>
        <v/>
      </c>
      <c r="J776" s="193" t="str">
        <f>IF('Observaciones-SMP'!J776="","",'Observaciones-SMP'!J776)</f>
        <v/>
      </c>
      <c r="K776" s="193" t="str">
        <f>IF('Observaciones-SMP'!K776="","",'Observaciones-SMP'!K776)</f>
        <v/>
      </c>
      <c r="L776" s="193" t="str">
        <f>IF('Observaciones-SMP'!L776="","",'Observaciones-SMP'!L776)</f>
        <v/>
      </c>
      <c r="M776" s="193" t="str">
        <f>IF('Observaciones-SMP'!M776="","",'Observaciones-SMP'!M776)</f>
        <v/>
      </c>
      <c r="N776" s="193" t="str">
        <f>IF('Observaciones-SMP'!N776="","",'Observaciones-SMP'!N776)</f>
        <v/>
      </c>
      <c r="O776" s="193" t="str">
        <f>IF('Observaciones-SMP'!O776="","",'Observaciones-SMP'!O776)</f>
        <v/>
      </c>
      <c r="P776" s="193" t="str">
        <f>IF('Observaciones-SMP'!P776="","",'Observaciones-SMP'!P776)</f>
        <v/>
      </c>
      <c r="Q776" s="257" t="str">
        <f>IF('Observaciones-SMP'!S776="","",'Observaciones-SMP'!S776)</f>
        <v/>
      </c>
      <c r="R776" s="193" t="str">
        <f>IF('Observaciones-SMP'!T776="","",'Observaciones-SMP'!T776)</f>
        <v/>
      </c>
      <c r="S776" s="193" t="str">
        <f>""</f>
        <v/>
      </c>
      <c r="T776" s="193" t="str">
        <f>""</f>
        <v/>
      </c>
      <c r="U776" s="193" t="str">
        <f t="shared" si="48"/>
        <v/>
      </c>
      <c r="V776" s="193" t="str">
        <f>""</f>
        <v/>
      </c>
      <c r="W776" s="193" t="str">
        <f>""</f>
        <v/>
      </c>
      <c r="X776" s="258" t="str">
        <f t="shared" si="49"/>
        <v/>
      </c>
      <c r="Y776" s="258" t="str">
        <f t="shared" si="50"/>
        <v/>
      </c>
      <c r="Z776" s="193" t="str">
        <f>IF(A776="","",IF(COUNTIF('Observaciones-SMP'!$A$2:$A$1001,A776)&gt;1,1,0))</f>
        <v/>
      </c>
      <c r="AA776" s="193" t="str">
        <f t="shared" si="51"/>
        <v/>
      </c>
    </row>
    <row r="777" spans="1:27" ht="13.5" customHeight="1" x14ac:dyDescent="0.3">
      <c r="A777" s="193" t="str">
        <f>IF('Observaciones-SMP'!A777="","",'Observaciones-SMP'!A777)</f>
        <v/>
      </c>
      <c r="B777" s="257" t="str">
        <f>IF('Observaciones-SMP'!B777="","",'Observaciones-SMP'!B777)</f>
        <v/>
      </c>
      <c r="C777" s="193" t="str">
        <f>IF('Observaciones-SMP'!C777="","",'Observaciones-SMP'!C777)</f>
        <v/>
      </c>
      <c r="D777" s="193" t="str">
        <f>IF('Observaciones-SMP'!D777="","",'Observaciones-SMP'!D777)</f>
        <v/>
      </c>
      <c r="E777" s="193" t="str">
        <f>IF('Observaciones-SMP'!E777="","",'Observaciones-SMP'!E777)</f>
        <v/>
      </c>
      <c r="F777" s="193" t="str">
        <f>IF('Observaciones-SMP'!F777="","",'Observaciones-SMP'!F777)</f>
        <v/>
      </c>
      <c r="G777" s="193" t="str">
        <f>IF('Observaciones-SMP'!G777="","",'Observaciones-SMP'!G777)</f>
        <v/>
      </c>
      <c r="H777" s="193" t="str">
        <f>IF('Observaciones-SMP'!H777="","",'Observaciones-SMP'!H777)</f>
        <v/>
      </c>
      <c r="I777" s="193" t="str">
        <f>IF('Observaciones-SMP'!I777="","",'Observaciones-SMP'!I777)</f>
        <v/>
      </c>
      <c r="J777" s="193" t="str">
        <f>IF('Observaciones-SMP'!J777="","",'Observaciones-SMP'!J777)</f>
        <v/>
      </c>
      <c r="K777" s="193" t="str">
        <f>IF('Observaciones-SMP'!K777="","",'Observaciones-SMP'!K777)</f>
        <v/>
      </c>
      <c r="L777" s="193" t="str">
        <f>IF('Observaciones-SMP'!L777="","",'Observaciones-SMP'!L777)</f>
        <v/>
      </c>
      <c r="M777" s="193" t="str">
        <f>IF('Observaciones-SMP'!M777="","",'Observaciones-SMP'!M777)</f>
        <v/>
      </c>
      <c r="N777" s="193" t="str">
        <f>IF('Observaciones-SMP'!N777="","",'Observaciones-SMP'!N777)</f>
        <v/>
      </c>
      <c r="O777" s="193" t="str">
        <f>IF('Observaciones-SMP'!O777="","",'Observaciones-SMP'!O777)</f>
        <v/>
      </c>
      <c r="P777" s="193" t="str">
        <f>IF('Observaciones-SMP'!P777="","",'Observaciones-SMP'!P777)</f>
        <v/>
      </c>
      <c r="Q777" s="257" t="str">
        <f>IF('Observaciones-SMP'!S777="","",'Observaciones-SMP'!S777)</f>
        <v/>
      </c>
      <c r="R777" s="193" t="str">
        <f>IF('Observaciones-SMP'!T777="","",'Observaciones-SMP'!T777)</f>
        <v/>
      </c>
      <c r="S777" s="193" t="str">
        <f>""</f>
        <v/>
      </c>
      <c r="T777" s="193" t="str">
        <f>""</f>
        <v/>
      </c>
      <c r="U777" s="193" t="str">
        <f t="shared" si="48"/>
        <v/>
      </c>
      <c r="V777" s="193" t="str">
        <f>""</f>
        <v/>
      </c>
      <c r="W777" s="193" t="str">
        <f>""</f>
        <v/>
      </c>
      <c r="X777" s="258" t="str">
        <f t="shared" si="49"/>
        <v/>
      </c>
      <c r="Y777" s="258" t="str">
        <f t="shared" si="50"/>
        <v/>
      </c>
      <c r="Z777" s="193" t="str">
        <f>IF(A777="","",IF(COUNTIF('Observaciones-SMP'!$A$2:$A$1001,A777)&gt;1,1,0))</f>
        <v/>
      </c>
      <c r="AA777" s="193" t="str">
        <f t="shared" si="51"/>
        <v/>
      </c>
    </row>
    <row r="778" spans="1:27" ht="13.5" customHeight="1" x14ac:dyDescent="0.3">
      <c r="A778" s="193" t="str">
        <f>IF('Observaciones-SMP'!A778="","",'Observaciones-SMP'!A778)</f>
        <v/>
      </c>
      <c r="B778" s="257" t="str">
        <f>IF('Observaciones-SMP'!B778="","",'Observaciones-SMP'!B778)</f>
        <v/>
      </c>
      <c r="C778" s="193" t="str">
        <f>IF('Observaciones-SMP'!C778="","",'Observaciones-SMP'!C778)</f>
        <v/>
      </c>
      <c r="D778" s="193" t="str">
        <f>IF('Observaciones-SMP'!D778="","",'Observaciones-SMP'!D778)</f>
        <v/>
      </c>
      <c r="E778" s="193" t="str">
        <f>IF('Observaciones-SMP'!E778="","",'Observaciones-SMP'!E778)</f>
        <v/>
      </c>
      <c r="F778" s="193" t="str">
        <f>IF('Observaciones-SMP'!F778="","",'Observaciones-SMP'!F778)</f>
        <v/>
      </c>
      <c r="G778" s="193" t="str">
        <f>IF('Observaciones-SMP'!G778="","",'Observaciones-SMP'!G778)</f>
        <v/>
      </c>
      <c r="H778" s="193" t="str">
        <f>IF('Observaciones-SMP'!H778="","",'Observaciones-SMP'!H778)</f>
        <v/>
      </c>
      <c r="I778" s="193" t="str">
        <f>IF('Observaciones-SMP'!I778="","",'Observaciones-SMP'!I778)</f>
        <v/>
      </c>
      <c r="J778" s="193" t="str">
        <f>IF('Observaciones-SMP'!J778="","",'Observaciones-SMP'!J778)</f>
        <v/>
      </c>
      <c r="K778" s="193" t="str">
        <f>IF('Observaciones-SMP'!K778="","",'Observaciones-SMP'!K778)</f>
        <v/>
      </c>
      <c r="L778" s="193" t="str">
        <f>IF('Observaciones-SMP'!L778="","",'Observaciones-SMP'!L778)</f>
        <v/>
      </c>
      <c r="M778" s="193" t="str">
        <f>IF('Observaciones-SMP'!M778="","",'Observaciones-SMP'!M778)</f>
        <v/>
      </c>
      <c r="N778" s="193" t="str">
        <f>IF('Observaciones-SMP'!N778="","",'Observaciones-SMP'!N778)</f>
        <v/>
      </c>
      <c r="O778" s="193" t="str">
        <f>IF('Observaciones-SMP'!O778="","",'Observaciones-SMP'!O778)</f>
        <v/>
      </c>
      <c r="P778" s="193" t="str">
        <f>IF('Observaciones-SMP'!P778="","",'Observaciones-SMP'!P778)</f>
        <v/>
      </c>
      <c r="Q778" s="257" t="str">
        <f>IF('Observaciones-SMP'!S778="","",'Observaciones-SMP'!S778)</f>
        <v/>
      </c>
      <c r="R778" s="193" t="str">
        <f>IF('Observaciones-SMP'!T778="","",'Observaciones-SMP'!T778)</f>
        <v/>
      </c>
      <c r="S778" s="193" t="str">
        <f>""</f>
        <v/>
      </c>
      <c r="T778" s="193" t="str">
        <f>""</f>
        <v/>
      </c>
      <c r="U778" s="193" t="str">
        <f t="shared" si="48"/>
        <v/>
      </c>
      <c r="V778" s="193" t="str">
        <f>""</f>
        <v/>
      </c>
      <c r="W778" s="193" t="str">
        <f>""</f>
        <v/>
      </c>
      <c r="X778" s="258" t="str">
        <f t="shared" si="49"/>
        <v/>
      </c>
      <c r="Y778" s="258" t="str">
        <f t="shared" si="50"/>
        <v/>
      </c>
      <c r="Z778" s="193" t="str">
        <f>IF(A778="","",IF(COUNTIF('Observaciones-SMP'!$A$2:$A$1001,A778)&gt;1,1,0))</f>
        <v/>
      </c>
      <c r="AA778" s="193" t="str">
        <f t="shared" si="51"/>
        <v/>
      </c>
    </row>
    <row r="779" spans="1:27" ht="13.5" customHeight="1" x14ac:dyDescent="0.3">
      <c r="A779" s="193" t="str">
        <f>IF('Observaciones-SMP'!A779="","",'Observaciones-SMP'!A779)</f>
        <v/>
      </c>
      <c r="B779" s="257" t="str">
        <f>IF('Observaciones-SMP'!B779="","",'Observaciones-SMP'!B779)</f>
        <v/>
      </c>
      <c r="C779" s="193" t="str">
        <f>IF('Observaciones-SMP'!C779="","",'Observaciones-SMP'!C779)</f>
        <v/>
      </c>
      <c r="D779" s="193" t="str">
        <f>IF('Observaciones-SMP'!D779="","",'Observaciones-SMP'!D779)</f>
        <v/>
      </c>
      <c r="E779" s="193" t="str">
        <f>IF('Observaciones-SMP'!E779="","",'Observaciones-SMP'!E779)</f>
        <v/>
      </c>
      <c r="F779" s="193" t="str">
        <f>IF('Observaciones-SMP'!F779="","",'Observaciones-SMP'!F779)</f>
        <v/>
      </c>
      <c r="G779" s="193" t="str">
        <f>IF('Observaciones-SMP'!G779="","",'Observaciones-SMP'!G779)</f>
        <v/>
      </c>
      <c r="H779" s="193" t="str">
        <f>IF('Observaciones-SMP'!H779="","",'Observaciones-SMP'!H779)</f>
        <v/>
      </c>
      <c r="I779" s="193" t="str">
        <f>IF('Observaciones-SMP'!I779="","",'Observaciones-SMP'!I779)</f>
        <v/>
      </c>
      <c r="J779" s="193" t="str">
        <f>IF('Observaciones-SMP'!J779="","",'Observaciones-SMP'!J779)</f>
        <v/>
      </c>
      <c r="K779" s="193" t="str">
        <f>IF('Observaciones-SMP'!K779="","",'Observaciones-SMP'!K779)</f>
        <v/>
      </c>
      <c r="L779" s="193" t="str">
        <f>IF('Observaciones-SMP'!L779="","",'Observaciones-SMP'!L779)</f>
        <v/>
      </c>
      <c r="M779" s="193" t="str">
        <f>IF('Observaciones-SMP'!M779="","",'Observaciones-SMP'!M779)</f>
        <v/>
      </c>
      <c r="N779" s="193" t="str">
        <f>IF('Observaciones-SMP'!N779="","",'Observaciones-SMP'!N779)</f>
        <v/>
      </c>
      <c r="O779" s="193" t="str">
        <f>IF('Observaciones-SMP'!O779="","",'Observaciones-SMP'!O779)</f>
        <v/>
      </c>
      <c r="P779" s="193" t="str">
        <f>IF('Observaciones-SMP'!P779="","",'Observaciones-SMP'!P779)</f>
        <v/>
      </c>
      <c r="Q779" s="257" t="str">
        <f>IF('Observaciones-SMP'!S779="","",'Observaciones-SMP'!S779)</f>
        <v/>
      </c>
      <c r="R779" s="193" t="str">
        <f>IF('Observaciones-SMP'!T779="","",'Observaciones-SMP'!T779)</f>
        <v/>
      </c>
      <c r="S779" s="193" t="str">
        <f>""</f>
        <v/>
      </c>
      <c r="T779" s="193" t="str">
        <f>""</f>
        <v/>
      </c>
      <c r="U779" s="193" t="str">
        <f t="shared" si="48"/>
        <v/>
      </c>
      <c r="V779" s="193" t="str">
        <f>""</f>
        <v/>
      </c>
      <c r="W779" s="193" t="str">
        <f>""</f>
        <v/>
      </c>
      <c r="X779" s="258" t="str">
        <f t="shared" si="49"/>
        <v/>
      </c>
      <c r="Y779" s="258" t="str">
        <f t="shared" si="50"/>
        <v/>
      </c>
      <c r="Z779" s="193" t="str">
        <f>IF(A779="","",IF(COUNTIF('Observaciones-SMP'!$A$2:$A$1001,A779)&gt;1,1,0))</f>
        <v/>
      </c>
      <c r="AA779" s="193" t="str">
        <f t="shared" si="51"/>
        <v/>
      </c>
    </row>
    <row r="780" spans="1:27" ht="13.5" customHeight="1" x14ac:dyDescent="0.3">
      <c r="A780" s="193" t="str">
        <f>IF('Observaciones-SMP'!A780="","",'Observaciones-SMP'!A780)</f>
        <v/>
      </c>
      <c r="B780" s="257" t="str">
        <f>IF('Observaciones-SMP'!B780="","",'Observaciones-SMP'!B780)</f>
        <v/>
      </c>
      <c r="C780" s="193" t="str">
        <f>IF('Observaciones-SMP'!C780="","",'Observaciones-SMP'!C780)</f>
        <v/>
      </c>
      <c r="D780" s="193" t="str">
        <f>IF('Observaciones-SMP'!D780="","",'Observaciones-SMP'!D780)</f>
        <v/>
      </c>
      <c r="E780" s="193" t="str">
        <f>IF('Observaciones-SMP'!E780="","",'Observaciones-SMP'!E780)</f>
        <v/>
      </c>
      <c r="F780" s="193" t="str">
        <f>IF('Observaciones-SMP'!F780="","",'Observaciones-SMP'!F780)</f>
        <v/>
      </c>
      <c r="G780" s="193" t="str">
        <f>IF('Observaciones-SMP'!G780="","",'Observaciones-SMP'!G780)</f>
        <v/>
      </c>
      <c r="H780" s="193" t="str">
        <f>IF('Observaciones-SMP'!H780="","",'Observaciones-SMP'!H780)</f>
        <v/>
      </c>
      <c r="I780" s="193" t="str">
        <f>IF('Observaciones-SMP'!I780="","",'Observaciones-SMP'!I780)</f>
        <v/>
      </c>
      <c r="J780" s="193" t="str">
        <f>IF('Observaciones-SMP'!J780="","",'Observaciones-SMP'!J780)</f>
        <v/>
      </c>
      <c r="K780" s="193" t="str">
        <f>IF('Observaciones-SMP'!K780="","",'Observaciones-SMP'!K780)</f>
        <v/>
      </c>
      <c r="L780" s="193" t="str">
        <f>IF('Observaciones-SMP'!L780="","",'Observaciones-SMP'!L780)</f>
        <v/>
      </c>
      <c r="M780" s="193" t="str">
        <f>IF('Observaciones-SMP'!M780="","",'Observaciones-SMP'!M780)</f>
        <v/>
      </c>
      <c r="N780" s="193" t="str">
        <f>IF('Observaciones-SMP'!N780="","",'Observaciones-SMP'!N780)</f>
        <v/>
      </c>
      <c r="O780" s="193" t="str">
        <f>IF('Observaciones-SMP'!O780="","",'Observaciones-SMP'!O780)</f>
        <v/>
      </c>
      <c r="P780" s="193" t="str">
        <f>IF('Observaciones-SMP'!P780="","",'Observaciones-SMP'!P780)</f>
        <v/>
      </c>
      <c r="Q780" s="257" t="str">
        <f>IF('Observaciones-SMP'!S780="","",'Observaciones-SMP'!S780)</f>
        <v/>
      </c>
      <c r="R780" s="193" t="str">
        <f>IF('Observaciones-SMP'!T780="","",'Observaciones-SMP'!T780)</f>
        <v/>
      </c>
      <c r="S780" s="193" t="str">
        <f>""</f>
        <v/>
      </c>
      <c r="T780" s="193" t="str">
        <f>""</f>
        <v/>
      </c>
      <c r="U780" s="193" t="str">
        <f t="shared" si="48"/>
        <v/>
      </c>
      <c r="V780" s="193" t="str">
        <f>""</f>
        <v/>
      </c>
      <c r="W780" s="193" t="str">
        <f>""</f>
        <v/>
      </c>
      <c r="X780" s="258" t="str">
        <f t="shared" si="49"/>
        <v/>
      </c>
      <c r="Y780" s="258" t="str">
        <f t="shared" si="50"/>
        <v/>
      </c>
      <c r="Z780" s="193" t="str">
        <f>IF(A780="","",IF(COUNTIF('Observaciones-SMP'!$A$2:$A$1001,A780)&gt;1,1,0))</f>
        <v/>
      </c>
      <c r="AA780" s="193" t="str">
        <f t="shared" si="51"/>
        <v/>
      </c>
    </row>
    <row r="781" spans="1:27" ht="13.5" customHeight="1" x14ac:dyDescent="0.3">
      <c r="A781" s="193" t="str">
        <f>IF('Observaciones-SMP'!A781="","",'Observaciones-SMP'!A781)</f>
        <v/>
      </c>
      <c r="B781" s="257" t="str">
        <f>IF('Observaciones-SMP'!B781="","",'Observaciones-SMP'!B781)</f>
        <v/>
      </c>
      <c r="C781" s="193" t="str">
        <f>IF('Observaciones-SMP'!C781="","",'Observaciones-SMP'!C781)</f>
        <v/>
      </c>
      <c r="D781" s="193" t="str">
        <f>IF('Observaciones-SMP'!D781="","",'Observaciones-SMP'!D781)</f>
        <v/>
      </c>
      <c r="E781" s="193" t="str">
        <f>IF('Observaciones-SMP'!E781="","",'Observaciones-SMP'!E781)</f>
        <v/>
      </c>
      <c r="F781" s="193" t="str">
        <f>IF('Observaciones-SMP'!F781="","",'Observaciones-SMP'!F781)</f>
        <v/>
      </c>
      <c r="G781" s="193" t="str">
        <f>IF('Observaciones-SMP'!G781="","",'Observaciones-SMP'!G781)</f>
        <v/>
      </c>
      <c r="H781" s="193" t="str">
        <f>IF('Observaciones-SMP'!H781="","",'Observaciones-SMP'!H781)</f>
        <v/>
      </c>
      <c r="I781" s="193" t="str">
        <f>IF('Observaciones-SMP'!I781="","",'Observaciones-SMP'!I781)</f>
        <v/>
      </c>
      <c r="J781" s="193" t="str">
        <f>IF('Observaciones-SMP'!J781="","",'Observaciones-SMP'!J781)</f>
        <v/>
      </c>
      <c r="K781" s="193" t="str">
        <f>IF('Observaciones-SMP'!K781="","",'Observaciones-SMP'!K781)</f>
        <v/>
      </c>
      <c r="L781" s="193" t="str">
        <f>IF('Observaciones-SMP'!L781="","",'Observaciones-SMP'!L781)</f>
        <v/>
      </c>
      <c r="M781" s="193" t="str">
        <f>IF('Observaciones-SMP'!M781="","",'Observaciones-SMP'!M781)</f>
        <v/>
      </c>
      <c r="N781" s="193" t="str">
        <f>IF('Observaciones-SMP'!N781="","",'Observaciones-SMP'!N781)</f>
        <v/>
      </c>
      <c r="O781" s="193" t="str">
        <f>IF('Observaciones-SMP'!O781="","",'Observaciones-SMP'!O781)</f>
        <v/>
      </c>
      <c r="P781" s="193" t="str">
        <f>IF('Observaciones-SMP'!P781="","",'Observaciones-SMP'!P781)</f>
        <v/>
      </c>
      <c r="Q781" s="257" t="str">
        <f>IF('Observaciones-SMP'!S781="","",'Observaciones-SMP'!S781)</f>
        <v/>
      </c>
      <c r="R781" s="193" t="str">
        <f>IF('Observaciones-SMP'!T781="","",'Observaciones-SMP'!T781)</f>
        <v/>
      </c>
      <c r="S781" s="193" t="str">
        <f>""</f>
        <v/>
      </c>
      <c r="T781" s="193" t="str">
        <f>""</f>
        <v/>
      </c>
      <c r="U781" s="193" t="str">
        <f t="shared" si="48"/>
        <v/>
      </c>
      <c r="V781" s="193" t="str">
        <f>""</f>
        <v/>
      </c>
      <c r="W781" s="193" t="str">
        <f>""</f>
        <v/>
      </c>
      <c r="X781" s="258" t="str">
        <f t="shared" si="49"/>
        <v/>
      </c>
      <c r="Y781" s="258" t="str">
        <f t="shared" si="50"/>
        <v/>
      </c>
      <c r="Z781" s="193" t="str">
        <f>IF(A781="","",IF(COUNTIF('Observaciones-SMP'!$A$2:$A$1001,A781)&gt;1,1,0))</f>
        <v/>
      </c>
      <c r="AA781" s="193" t="str">
        <f t="shared" si="51"/>
        <v/>
      </c>
    </row>
    <row r="782" spans="1:27" ht="13.5" customHeight="1" x14ac:dyDescent="0.3">
      <c r="A782" s="193" t="str">
        <f>IF('Observaciones-SMP'!A782="","",'Observaciones-SMP'!A782)</f>
        <v/>
      </c>
      <c r="B782" s="257" t="str">
        <f>IF('Observaciones-SMP'!B782="","",'Observaciones-SMP'!B782)</f>
        <v/>
      </c>
      <c r="C782" s="193" t="str">
        <f>IF('Observaciones-SMP'!C782="","",'Observaciones-SMP'!C782)</f>
        <v/>
      </c>
      <c r="D782" s="193" t="str">
        <f>IF('Observaciones-SMP'!D782="","",'Observaciones-SMP'!D782)</f>
        <v/>
      </c>
      <c r="E782" s="193" t="str">
        <f>IF('Observaciones-SMP'!E782="","",'Observaciones-SMP'!E782)</f>
        <v/>
      </c>
      <c r="F782" s="193" t="str">
        <f>IF('Observaciones-SMP'!F782="","",'Observaciones-SMP'!F782)</f>
        <v/>
      </c>
      <c r="G782" s="193" t="str">
        <f>IF('Observaciones-SMP'!G782="","",'Observaciones-SMP'!G782)</f>
        <v/>
      </c>
      <c r="H782" s="193" t="str">
        <f>IF('Observaciones-SMP'!H782="","",'Observaciones-SMP'!H782)</f>
        <v/>
      </c>
      <c r="I782" s="193" t="str">
        <f>IF('Observaciones-SMP'!I782="","",'Observaciones-SMP'!I782)</f>
        <v/>
      </c>
      <c r="J782" s="193" t="str">
        <f>IF('Observaciones-SMP'!J782="","",'Observaciones-SMP'!J782)</f>
        <v/>
      </c>
      <c r="K782" s="193" t="str">
        <f>IF('Observaciones-SMP'!K782="","",'Observaciones-SMP'!K782)</f>
        <v/>
      </c>
      <c r="L782" s="193" t="str">
        <f>IF('Observaciones-SMP'!L782="","",'Observaciones-SMP'!L782)</f>
        <v/>
      </c>
      <c r="M782" s="193" t="str">
        <f>IF('Observaciones-SMP'!M782="","",'Observaciones-SMP'!M782)</f>
        <v/>
      </c>
      <c r="N782" s="193" t="str">
        <f>IF('Observaciones-SMP'!N782="","",'Observaciones-SMP'!N782)</f>
        <v/>
      </c>
      <c r="O782" s="193" t="str">
        <f>IF('Observaciones-SMP'!O782="","",'Observaciones-SMP'!O782)</f>
        <v/>
      </c>
      <c r="P782" s="193" t="str">
        <f>IF('Observaciones-SMP'!P782="","",'Observaciones-SMP'!P782)</f>
        <v/>
      </c>
      <c r="Q782" s="257" t="str">
        <f>IF('Observaciones-SMP'!S782="","",'Observaciones-SMP'!S782)</f>
        <v/>
      </c>
      <c r="R782" s="193" t="str">
        <f>IF('Observaciones-SMP'!T782="","",'Observaciones-SMP'!T782)</f>
        <v/>
      </c>
      <c r="S782" s="193" t="str">
        <f>""</f>
        <v/>
      </c>
      <c r="T782" s="193" t="str">
        <f>""</f>
        <v/>
      </c>
      <c r="U782" s="193" t="str">
        <f t="shared" si="48"/>
        <v/>
      </c>
      <c r="V782" s="193" t="str">
        <f>""</f>
        <v/>
      </c>
      <c r="W782" s="193" t="str">
        <f>""</f>
        <v/>
      </c>
      <c r="X782" s="258" t="str">
        <f t="shared" si="49"/>
        <v/>
      </c>
      <c r="Y782" s="258" t="str">
        <f t="shared" si="50"/>
        <v/>
      </c>
      <c r="Z782" s="193" t="str">
        <f>IF(A782="","",IF(COUNTIF('Observaciones-SMP'!$A$2:$A$1001,A782)&gt;1,1,0))</f>
        <v/>
      </c>
      <c r="AA782" s="193" t="str">
        <f t="shared" si="51"/>
        <v/>
      </c>
    </row>
    <row r="783" spans="1:27" ht="13.5" customHeight="1" x14ac:dyDescent="0.3">
      <c r="A783" s="193" t="str">
        <f>IF('Observaciones-SMP'!A783="","",'Observaciones-SMP'!A783)</f>
        <v/>
      </c>
      <c r="B783" s="257" t="str">
        <f>IF('Observaciones-SMP'!B783="","",'Observaciones-SMP'!B783)</f>
        <v/>
      </c>
      <c r="C783" s="193" t="str">
        <f>IF('Observaciones-SMP'!C783="","",'Observaciones-SMP'!C783)</f>
        <v/>
      </c>
      <c r="D783" s="193" t="str">
        <f>IF('Observaciones-SMP'!D783="","",'Observaciones-SMP'!D783)</f>
        <v/>
      </c>
      <c r="E783" s="193" t="str">
        <f>IF('Observaciones-SMP'!E783="","",'Observaciones-SMP'!E783)</f>
        <v/>
      </c>
      <c r="F783" s="193" t="str">
        <f>IF('Observaciones-SMP'!F783="","",'Observaciones-SMP'!F783)</f>
        <v/>
      </c>
      <c r="G783" s="193" t="str">
        <f>IF('Observaciones-SMP'!G783="","",'Observaciones-SMP'!G783)</f>
        <v/>
      </c>
      <c r="H783" s="193" t="str">
        <f>IF('Observaciones-SMP'!H783="","",'Observaciones-SMP'!H783)</f>
        <v/>
      </c>
      <c r="I783" s="193" t="str">
        <f>IF('Observaciones-SMP'!I783="","",'Observaciones-SMP'!I783)</f>
        <v/>
      </c>
      <c r="J783" s="193" t="str">
        <f>IF('Observaciones-SMP'!J783="","",'Observaciones-SMP'!J783)</f>
        <v/>
      </c>
      <c r="K783" s="193" t="str">
        <f>IF('Observaciones-SMP'!K783="","",'Observaciones-SMP'!K783)</f>
        <v/>
      </c>
      <c r="L783" s="193" t="str">
        <f>IF('Observaciones-SMP'!L783="","",'Observaciones-SMP'!L783)</f>
        <v/>
      </c>
      <c r="M783" s="193" t="str">
        <f>IF('Observaciones-SMP'!M783="","",'Observaciones-SMP'!M783)</f>
        <v/>
      </c>
      <c r="N783" s="193" t="str">
        <f>IF('Observaciones-SMP'!N783="","",'Observaciones-SMP'!N783)</f>
        <v/>
      </c>
      <c r="O783" s="193" t="str">
        <f>IF('Observaciones-SMP'!O783="","",'Observaciones-SMP'!O783)</f>
        <v/>
      </c>
      <c r="P783" s="193" t="str">
        <f>IF('Observaciones-SMP'!P783="","",'Observaciones-SMP'!P783)</f>
        <v/>
      </c>
      <c r="Q783" s="257" t="str">
        <f>IF('Observaciones-SMP'!S783="","",'Observaciones-SMP'!S783)</f>
        <v/>
      </c>
      <c r="R783" s="193" t="str">
        <f>IF('Observaciones-SMP'!T783="","",'Observaciones-SMP'!T783)</f>
        <v/>
      </c>
      <c r="S783" s="193" t="str">
        <f>""</f>
        <v/>
      </c>
      <c r="T783" s="193" t="str">
        <f>""</f>
        <v/>
      </c>
      <c r="U783" s="193" t="str">
        <f t="shared" si="48"/>
        <v/>
      </c>
      <c r="V783" s="193" t="str">
        <f>""</f>
        <v/>
      </c>
      <c r="W783" s="193" t="str">
        <f>""</f>
        <v/>
      </c>
      <c r="X783" s="258" t="str">
        <f t="shared" si="49"/>
        <v/>
      </c>
      <c r="Y783" s="258" t="str">
        <f t="shared" si="50"/>
        <v/>
      </c>
      <c r="Z783" s="193" t="str">
        <f>IF(A783="","",IF(COUNTIF('Observaciones-SMP'!$A$2:$A$1001,A783)&gt;1,1,0))</f>
        <v/>
      </c>
      <c r="AA783" s="193" t="str">
        <f t="shared" si="51"/>
        <v/>
      </c>
    </row>
    <row r="784" spans="1:27" ht="13.5" customHeight="1" x14ac:dyDescent="0.3">
      <c r="A784" s="193" t="str">
        <f>IF('Observaciones-SMP'!A784="","",'Observaciones-SMP'!A784)</f>
        <v/>
      </c>
      <c r="B784" s="257" t="str">
        <f>IF('Observaciones-SMP'!B784="","",'Observaciones-SMP'!B784)</f>
        <v/>
      </c>
      <c r="C784" s="193" t="str">
        <f>IF('Observaciones-SMP'!C784="","",'Observaciones-SMP'!C784)</f>
        <v/>
      </c>
      <c r="D784" s="193" t="str">
        <f>IF('Observaciones-SMP'!D784="","",'Observaciones-SMP'!D784)</f>
        <v/>
      </c>
      <c r="E784" s="193" t="str">
        <f>IF('Observaciones-SMP'!E784="","",'Observaciones-SMP'!E784)</f>
        <v/>
      </c>
      <c r="F784" s="193" t="str">
        <f>IF('Observaciones-SMP'!F784="","",'Observaciones-SMP'!F784)</f>
        <v/>
      </c>
      <c r="G784" s="193" t="str">
        <f>IF('Observaciones-SMP'!G784="","",'Observaciones-SMP'!G784)</f>
        <v/>
      </c>
      <c r="H784" s="193" t="str">
        <f>IF('Observaciones-SMP'!H784="","",'Observaciones-SMP'!H784)</f>
        <v/>
      </c>
      <c r="I784" s="193" t="str">
        <f>IF('Observaciones-SMP'!I784="","",'Observaciones-SMP'!I784)</f>
        <v/>
      </c>
      <c r="J784" s="193" t="str">
        <f>IF('Observaciones-SMP'!J784="","",'Observaciones-SMP'!J784)</f>
        <v/>
      </c>
      <c r="K784" s="193" t="str">
        <f>IF('Observaciones-SMP'!K784="","",'Observaciones-SMP'!K784)</f>
        <v/>
      </c>
      <c r="L784" s="193" t="str">
        <f>IF('Observaciones-SMP'!L784="","",'Observaciones-SMP'!L784)</f>
        <v/>
      </c>
      <c r="M784" s="193" t="str">
        <f>IF('Observaciones-SMP'!M784="","",'Observaciones-SMP'!M784)</f>
        <v/>
      </c>
      <c r="N784" s="193" t="str">
        <f>IF('Observaciones-SMP'!N784="","",'Observaciones-SMP'!N784)</f>
        <v/>
      </c>
      <c r="O784" s="193" t="str">
        <f>IF('Observaciones-SMP'!O784="","",'Observaciones-SMP'!O784)</f>
        <v/>
      </c>
      <c r="P784" s="193" t="str">
        <f>IF('Observaciones-SMP'!P784="","",'Observaciones-SMP'!P784)</f>
        <v/>
      </c>
      <c r="Q784" s="257" t="str">
        <f>IF('Observaciones-SMP'!S784="","",'Observaciones-SMP'!S784)</f>
        <v/>
      </c>
      <c r="R784" s="193" t="str">
        <f>IF('Observaciones-SMP'!T784="","",'Observaciones-SMP'!T784)</f>
        <v/>
      </c>
      <c r="S784" s="193" t="str">
        <f>""</f>
        <v/>
      </c>
      <c r="T784" s="193" t="str">
        <f>""</f>
        <v/>
      </c>
      <c r="U784" s="193" t="str">
        <f t="shared" si="48"/>
        <v/>
      </c>
      <c r="V784" s="193" t="str">
        <f>""</f>
        <v/>
      </c>
      <c r="W784" s="193" t="str">
        <f>""</f>
        <v/>
      </c>
      <c r="X784" s="258" t="str">
        <f t="shared" si="49"/>
        <v/>
      </c>
      <c r="Y784" s="258" t="str">
        <f t="shared" si="50"/>
        <v/>
      </c>
      <c r="Z784" s="193" t="str">
        <f>IF(A784="","",IF(COUNTIF('Observaciones-SMP'!$A$2:$A$1001,A784)&gt;1,1,0))</f>
        <v/>
      </c>
      <c r="AA784" s="193" t="str">
        <f t="shared" si="51"/>
        <v/>
      </c>
    </row>
    <row r="785" spans="1:27" ht="13.5" customHeight="1" x14ac:dyDescent="0.3">
      <c r="A785" s="193" t="str">
        <f>IF('Observaciones-SMP'!A785="","",'Observaciones-SMP'!A785)</f>
        <v/>
      </c>
      <c r="B785" s="257" t="str">
        <f>IF('Observaciones-SMP'!B785="","",'Observaciones-SMP'!B785)</f>
        <v/>
      </c>
      <c r="C785" s="193" t="str">
        <f>IF('Observaciones-SMP'!C785="","",'Observaciones-SMP'!C785)</f>
        <v/>
      </c>
      <c r="D785" s="193" t="str">
        <f>IF('Observaciones-SMP'!D785="","",'Observaciones-SMP'!D785)</f>
        <v/>
      </c>
      <c r="E785" s="193" t="str">
        <f>IF('Observaciones-SMP'!E785="","",'Observaciones-SMP'!E785)</f>
        <v/>
      </c>
      <c r="F785" s="193" t="str">
        <f>IF('Observaciones-SMP'!F785="","",'Observaciones-SMP'!F785)</f>
        <v/>
      </c>
      <c r="G785" s="193" t="str">
        <f>IF('Observaciones-SMP'!G785="","",'Observaciones-SMP'!G785)</f>
        <v/>
      </c>
      <c r="H785" s="193" t="str">
        <f>IF('Observaciones-SMP'!H785="","",'Observaciones-SMP'!H785)</f>
        <v/>
      </c>
      <c r="I785" s="193" t="str">
        <f>IF('Observaciones-SMP'!I785="","",'Observaciones-SMP'!I785)</f>
        <v/>
      </c>
      <c r="J785" s="193" t="str">
        <f>IF('Observaciones-SMP'!J785="","",'Observaciones-SMP'!J785)</f>
        <v/>
      </c>
      <c r="K785" s="193" t="str">
        <f>IF('Observaciones-SMP'!K785="","",'Observaciones-SMP'!K785)</f>
        <v/>
      </c>
      <c r="L785" s="193" t="str">
        <f>IF('Observaciones-SMP'!L785="","",'Observaciones-SMP'!L785)</f>
        <v/>
      </c>
      <c r="M785" s="193" t="str">
        <f>IF('Observaciones-SMP'!M785="","",'Observaciones-SMP'!M785)</f>
        <v/>
      </c>
      <c r="N785" s="193" t="str">
        <f>IF('Observaciones-SMP'!N785="","",'Observaciones-SMP'!N785)</f>
        <v/>
      </c>
      <c r="O785" s="193" t="str">
        <f>IF('Observaciones-SMP'!O785="","",'Observaciones-SMP'!O785)</f>
        <v/>
      </c>
      <c r="P785" s="193" t="str">
        <f>IF('Observaciones-SMP'!P785="","",'Observaciones-SMP'!P785)</f>
        <v/>
      </c>
      <c r="Q785" s="257" t="str">
        <f>IF('Observaciones-SMP'!S785="","",'Observaciones-SMP'!S785)</f>
        <v/>
      </c>
      <c r="R785" s="193" t="str">
        <f>IF('Observaciones-SMP'!T785="","",'Observaciones-SMP'!T785)</f>
        <v/>
      </c>
      <c r="S785" s="193" t="str">
        <f>""</f>
        <v/>
      </c>
      <c r="T785" s="193" t="str">
        <f>""</f>
        <v/>
      </c>
      <c r="U785" s="193" t="str">
        <f t="shared" si="48"/>
        <v/>
      </c>
      <c r="V785" s="193" t="str">
        <f>""</f>
        <v/>
      </c>
      <c r="W785" s="193" t="str">
        <f>""</f>
        <v/>
      </c>
      <c r="X785" s="258" t="str">
        <f t="shared" si="49"/>
        <v/>
      </c>
      <c r="Y785" s="258" t="str">
        <f t="shared" si="50"/>
        <v/>
      </c>
      <c r="Z785" s="193" t="str">
        <f>IF(A785="","",IF(COUNTIF('Observaciones-SMP'!$A$2:$A$1001,A785)&gt;1,1,0))</f>
        <v/>
      </c>
      <c r="AA785" s="193" t="str">
        <f t="shared" si="51"/>
        <v/>
      </c>
    </row>
    <row r="786" spans="1:27" ht="13.5" customHeight="1" x14ac:dyDescent="0.3">
      <c r="A786" s="193" t="str">
        <f>IF('Observaciones-SMP'!A786="","",'Observaciones-SMP'!A786)</f>
        <v/>
      </c>
      <c r="B786" s="257" t="str">
        <f>IF('Observaciones-SMP'!B786="","",'Observaciones-SMP'!B786)</f>
        <v/>
      </c>
      <c r="C786" s="193" t="str">
        <f>IF('Observaciones-SMP'!C786="","",'Observaciones-SMP'!C786)</f>
        <v/>
      </c>
      <c r="D786" s="193" t="str">
        <f>IF('Observaciones-SMP'!D786="","",'Observaciones-SMP'!D786)</f>
        <v/>
      </c>
      <c r="E786" s="193" t="str">
        <f>IF('Observaciones-SMP'!E786="","",'Observaciones-SMP'!E786)</f>
        <v/>
      </c>
      <c r="F786" s="193" t="str">
        <f>IF('Observaciones-SMP'!F786="","",'Observaciones-SMP'!F786)</f>
        <v/>
      </c>
      <c r="G786" s="193" t="str">
        <f>IF('Observaciones-SMP'!G786="","",'Observaciones-SMP'!G786)</f>
        <v/>
      </c>
      <c r="H786" s="193" t="str">
        <f>IF('Observaciones-SMP'!H786="","",'Observaciones-SMP'!H786)</f>
        <v/>
      </c>
      <c r="I786" s="193" t="str">
        <f>IF('Observaciones-SMP'!I786="","",'Observaciones-SMP'!I786)</f>
        <v/>
      </c>
      <c r="J786" s="193" t="str">
        <f>IF('Observaciones-SMP'!J786="","",'Observaciones-SMP'!J786)</f>
        <v/>
      </c>
      <c r="K786" s="193" t="str">
        <f>IF('Observaciones-SMP'!K786="","",'Observaciones-SMP'!K786)</f>
        <v/>
      </c>
      <c r="L786" s="193" t="str">
        <f>IF('Observaciones-SMP'!L786="","",'Observaciones-SMP'!L786)</f>
        <v/>
      </c>
      <c r="M786" s="193" t="str">
        <f>IF('Observaciones-SMP'!M786="","",'Observaciones-SMP'!M786)</f>
        <v/>
      </c>
      <c r="N786" s="193" t="str">
        <f>IF('Observaciones-SMP'!N786="","",'Observaciones-SMP'!N786)</f>
        <v/>
      </c>
      <c r="O786" s="193" t="str">
        <f>IF('Observaciones-SMP'!O786="","",'Observaciones-SMP'!O786)</f>
        <v/>
      </c>
      <c r="P786" s="193" t="str">
        <f>IF('Observaciones-SMP'!P786="","",'Observaciones-SMP'!P786)</f>
        <v/>
      </c>
      <c r="Q786" s="257" t="str">
        <f>IF('Observaciones-SMP'!S786="","",'Observaciones-SMP'!S786)</f>
        <v/>
      </c>
      <c r="R786" s="193" t="str">
        <f>IF('Observaciones-SMP'!T786="","",'Observaciones-SMP'!T786)</f>
        <v/>
      </c>
      <c r="S786" s="193" t="str">
        <f>""</f>
        <v/>
      </c>
      <c r="T786" s="193" t="str">
        <f>""</f>
        <v/>
      </c>
      <c r="U786" s="193" t="str">
        <f t="shared" si="48"/>
        <v/>
      </c>
      <c r="V786" s="193" t="str">
        <f>""</f>
        <v/>
      </c>
      <c r="W786" s="193" t="str">
        <f>""</f>
        <v/>
      </c>
      <c r="X786" s="258" t="str">
        <f t="shared" si="49"/>
        <v/>
      </c>
      <c r="Y786" s="258" t="str">
        <f t="shared" si="50"/>
        <v/>
      </c>
      <c r="Z786" s="193" t="str">
        <f>IF(A786="","",IF(COUNTIF('Observaciones-SMP'!$A$2:$A$1001,A786)&gt;1,1,0))</f>
        <v/>
      </c>
      <c r="AA786" s="193" t="str">
        <f t="shared" si="51"/>
        <v/>
      </c>
    </row>
    <row r="787" spans="1:27" ht="13.5" customHeight="1" x14ac:dyDescent="0.3">
      <c r="A787" s="193" t="str">
        <f>IF('Observaciones-SMP'!A787="","",'Observaciones-SMP'!A787)</f>
        <v/>
      </c>
      <c r="B787" s="257" t="str">
        <f>IF('Observaciones-SMP'!B787="","",'Observaciones-SMP'!B787)</f>
        <v/>
      </c>
      <c r="C787" s="193" t="str">
        <f>IF('Observaciones-SMP'!C787="","",'Observaciones-SMP'!C787)</f>
        <v/>
      </c>
      <c r="D787" s="193" t="str">
        <f>IF('Observaciones-SMP'!D787="","",'Observaciones-SMP'!D787)</f>
        <v/>
      </c>
      <c r="E787" s="193" t="str">
        <f>IF('Observaciones-SMP'!E787="","",'Observaciones-SMP'!E787)</f>
        <v/>
      </c>
      <c r="F787" s="193" t="str">
        <f>IF('Observaciones-SMP'!F787="","",'Observaciones-SMP'!F787)</f>
        <v/>
      </c>
      <c r="G787" s="193" t="str">
        <f>IF('Observaciones-SMP'!G787="","",'Observaciones-SMP'!G787)</f>
        <v/>
      </c>
      <c r="H787" s="193" t="str">
        <f>IF('Observaciones-SMP'!H787="","",'Observaciones-SMP'!H787)</f>
        <v/>
      </c>
      <c r="I787" s="193" t="str">
        <f>IF('Observaciones-SMP'!I787="","",'Observaciones-SMP'!I787)</f>
        <v/>
      </c>
      <c r="J787" s="193" t="str">
        <f>IF('Observaciones-SMP'!J787="","",'Observaciones-SMP'!J787)</f>
        <v/>
      </c>
      <c r="K787" s="193" t="str">
        <f>IF('Observaciones-SMP'!K787="","",'Observaciones-SMP'!K787)</f>
        <v/>
      </c>
      <c r="L787" s="193" t="str">
        <f>IF('Observaciones-SMP'!L787="","",'Observaciones-SMP'!L787)</f>
        <v/>
      </c>
      <c r="M787" s="193" t="str">
        <f>IF('Observaciones-SMP'!M787="","",'Observaciones-SMP'!M787)</f>
        <v/>
      </c>
      <c r="N787" s="193" t="str">
        <f>IF('Observaciones-SMP'!N787="","",'Observaciones-SMP'!N787)</f>
        <v/>
      </c>
      <c r="O787" s="193" t="str">
        <f>IF('Observaciones-SMP'!O787="","",'Observaciones-SMP'!O787)</f>
        <v/>
      </c>
      <c r="P787" s="193" t="str">
        <f>IF('Observaciones-SMP'!P787="","",'Observaciones-SMP'!P787)</f>
        <v/>
      </c>
      <c r="Q787" s="257" t="str">
        <f>IF('Observaciones-SMP'!S787="","",'Observaciones-SMP'!S787)</f>
        <v/>
      </c>
      <c r="R787" s="193" t="str">
        <f>IF('Observaciones-SMP'!T787="","",'Observaciones-SMP'!T787)</f>
        <v/>
      </c>
      <c r="S787" s="193" t="str">
        <f>""</f>
        <v/>
      </c>
      <c r="T787" s="193" t="str">
        <f>""</f>
        <v/>
      </c>
      <c r="U787" s="193" t="str">
        <f t="shared" si="48"/>
        <v/>
      </c>
      <c r="V787" s="193" t="str">
        <f>""</f>
        <v/>
      </c>
      <c r="W787" s="193" t="str">
        <f>""</f>
        <v/>
      </c>
      <c r="X787" s="258" t="str">
        <f t="shared" si="49"/>
        <v/>
      </c>
      <c r="Y787" s="258" t="str">
        <f t="shared" si="50"/>
        <v/>
      </c>
      <c r="Z787" s="193" t="str">
        <f>IF(A787="","",IF(COUNTIF('Observaciones-SMP'!$A$2:$A$1001,A787)&gt;1,1,0))</f>
        <v/>
      </c>
      <c r="AA787" s="193" t="str">
        <f t="shared" si="51"/>
        <v/>
      </c>
    </row>
    <row r="788" spans="1:27" ht="13.5" customHeight="1" x14ac:dyDescent="0.3">
      <c r="A788" s="193" t="str">
        <f>IF('Observaciones-SMP'!A788="","",'Observaciones-SMP'!A788)</f>
        <v/>
      </c>
      <c r="B788" s="257" t="str">
        <f>IF('Observaciones-SMP'!B788="","",'Observaciones-SMP'!B788)</f>
        <v/>
      </c>
      <c r="C788" s="193" t="str">
        <f>IF('Observaciones-SMP'!C788="","",'Observaciones-SMP'!C788)</f>
        <v/>
      </c>
      <c r="D788" s="193" t="str">
        <f>IF('Observaciones-SMP'!D788="","",'Observaciones-SMP'!D788)</f>
        <v/>
      </c>
      <c r="E788" s="193" t="str">
        <f>IF('Observaciones-SMP'!E788="","",'Observaciones-SMP'!E788)</f>
        <v/>
      </c>
      <c r="F788" s="193" t="str">
        <f>IF('Observaciones-SMP'!F788="","",'Observaciones-SMP'!F788)</f>
        <v/>
      </c>
      <c r="G788" s="193" t="str">
        <f>IF('Observaciones-SMP'!G788="","",'Observaciones-SMP'!G788)</f>
        <v/>
      </c>
      <c r="H788" s="193" t="str">
        <f>IF('Observaciones-SMP'!H788="","",'Observaciones-SMP'!H788)</f>
        <v/>
      </c>
      <c r="I788" s="193" t="str">
        <f>IF('Observaciones-SMP'!I788="","",'Observaciones-SMP'!I788)</f>
        <v/>
      </c>
      <c r="J788" s="193" t="str">
        <f>IF('Observaciones-SMP'!J788="","",'Observaciones-SMP'!J788)</f>
        <v/>
      </c>
      <c r="K788" s="193" t="str">
        <f>IF('Observaciones-SMP'!K788="","",'Observaciones-SMP'!K788)</f>
        <v/>
      </c>
      <c r="L788" s="193" t="str">
        <f>IF('Observaciones-SMP'!L788="","",'Observaciones-SMP'!L788)</f>
        <v/>
      </c>
      <c r="M788" s="193" t="str">
        <f>IF('Observaciones-SMP'!M788="","",'Observaciones-SMP'!M788)</f>
        <v/>
      </c>
      <c r="N788" s="193" t="str">
        <f>IF('Observaciones-SMP'!N788="","",'Observaciones-SMP'!N788)</f>
        <v/>
      </c>
      <c r="O788" s="193" t="str">
        <f>IF('Observaciones-SMP'!O788="","",'Observaciones-SMP'!O788)</f>
        <v/>
      </c>
      <c r="P788" s="193" t="str">
        <f>IF('Observaciones-SMP'!P788="","",'Observaciones-SMP'!P788)</f>
        <v/>
      </c>
      <c r="Q788" s="257" t="str">
        <f>IF('Observaciones-SMP'!S788="","",'Observaciones-SMP'!S788)</f>
        <v/>
      </c>
      <c r="R788" s="193" t="str">
        <f>IF('Observaciones-SMP'!T788="","",'Observaciones-SMP'!T788)</f>
        <v/>
      </c>
      <c r="S788" s="193" t="str">
        <f>""</f>
        <v/>
      </c>
      <c r="T788" s="193" t="str">
        <f>""</f>
        <v/>
      </c>
      <c r="U788" s="193" t="str">
        <f t="shared" si="48"/>
        <v/>
      </c>
      <c r="V788" s="193" t="str">
        <f>""</f>
        <v/>
      </c>
      <c r="W788" s="193" t="str">
        <f>""</f>
        <v/>
      </c>
      <c r="X788" s="258" t="str">
        <f t="shared" si="49"/>
        <v/>
      </c>
      <c r="Y788" s="258" t="str">
        <f t="shared" si="50"/>
        <v/>
      </c>
      <c r="Z788" s="193" t="str">
        <f>IF(A788="","",IF(COUNTIF('Observaciones-SMP'!$A$2:$A$1001,A788)&gt;1,1,0))</f>
        <v/>
      </c>
      <c r="AA788" s="193" t="str">
        <f t="shared" si="51"/>
        <v/>
      </c>
    </row>
    <row r="789" spans="1:27" ht="13.5" customHeight="1" x14ac:dyDescent="0.3">
      <c r="A789" s="193" t="str">
        <f>IF('Observaciones-SMP'!A789="","",'Observaciones-SMP'!A789)</f>
        <v/>
      </c>
      <c r="B789" s="257" t="str">
        <f>IF('Observaciones-SMP'!B789="","",'Observaciones-SMP'!B789)</f>
        <v/>
      </c>
      <c r="C789" s="193" t="str">
        <f>IF('Observaciones-SMP'!C789="","",'Observaciones-SMP'!C789)</f>
        <v/>
      </c>
      <c r="D789" s="193" t="str">
        <f>IF('Observaciones-SMP'!D789="","",'Observaciones-SMP'!D789)</f>
        <v/>
      </c>
      <c r="E789" s="193" t="str">
        <f>IF('Observaciones-SMP'!E789="","",'Observaciones-SMP'!E789)</f>
        <v/>
      </c>
      <c r="F789" s="193" t="str">
        <f>IF('Observaciones-SMP'!F789="","",'Observaciones-SMP'!F789)</f>
        <v/>
      </c>
      <c r="G789" s="193" t="str">
        <f>IF('Observaciones-SMP'!G789="","",'Observaciones-SMP'!G789)</f>
        <v/>
      </c>
      <c r="H789" s="193" t="str">
        <f>IF('Observaciones-SMP'!H789="","",'Observaciones-SMP'!H789)</f>
        <v/>
      </c>
      <c r="I789" s="193" t="str">
        <f>IF('Observaciones-SMP'!I789="","",'Observaciones-SMP'!I789)</f>
        <v/>
      </c>
      <c r="J789" s="193" t="str">
        <f>IF('Observaciones-SMP'!J789="","",'Observaciones-SMP'!J789)</f>
        <v/>
      </c>
      <c r="K789" s="193" t="str">
        <f>IF('Observaciones-SMP'!K789="","",'Observaciones-SMP'!K789)</f>
        <v/>
      </c>
      <c r="L789" s="193" t="str">
        <f>IF('Observaciones-SMP'!L789="","",'Observaciones-SMP'!L789)</f>
        <v/>
      </c>
      <c r="M789" s="193" t="str">
        <f>IF('Observaciones-SMP'!M789="","",'Observaciones-SMP'!M789)</f>
        <v/>
      </c>
      <c r="N789" s="193" t="str">
        <f>IF('Observaciones-SMP'!N789="","",'Observaciones-SMP'!N789)</f>
        <v/>
      </c>
      <c r="O789" s="193" t="str">
        <f>IF('Observaciones-SMP'!O789="","",'Observaciones-SMP'!O789)</f>
        <v/>
      </c>
      <c r="P789" s="193" t="str">
        <f>IF('Observaciones-SMP'!P789="","",'Observaciones-SMP'!P789)</f>
        <v/>
      </c>
      <c r="Q789" s="257" t="str">
        <f>IF('Observaciones-SMP'!S789="","",'Observaciones-SMP'!S789)</f>
        <v/>
      </c>
      <c r="R789" s="193" t="str">
        <f>IF('Observaciones-SMP'!T789="","",'Observaciones-SMP'!T789)</f>
        <v/>
      </c>
      <c r="S789" s="193" t="str">
        <f>""</f>
        <v/>
      </c>
      <c r="T789" s="193" t="str">
        <f>""</f>
        <v/>
      </c>
      <c r="U789" s="193" t="str">
        <f t="shared" si="48"/>
        <v/>
      </c>
      <c r="V789" s="193" t="str">
        <f>""</f>
        <v/>
      </c>
      <c r="W789" s="193" t="str">
        <f>""</f>
        <v/>
      </c>
      <c r="X789" s="258" t="str">
        <f t="shared" si="49"/>
        <v/>
      </c>
      <c r="Y789" s="258" t="str">
        <f t="shared" si="50"/>
        <v/>
      </c>
      <c r="Z789" s="193" t="str">
        <f>IF(A789="","",IF(COUNTIF('Observaciones-SMP'!$A$2:$A$1001,A789)&gt;1,1,0))</f>
        <v/>
      </c>
      <c r="AA789" s="193" t="str">
        <f t="shared" si="51"/>
        <v/>
      </c>
    </row>
    <row r="790" spans="1:27" ht="13.5" customHeight="1" x14ac:dyDescent="0.3">
      <c r="A790" s="193" t="str">
        <f>IF('Observaciones-SMP'!A790="","",'Observaciones-SMP'!A790)</f>
        <v/>
      </c>
      <c r="B790" s="257" t="str">
        <f>IF('Observaciones-SMP'!B790="","",'Observaciones-SMP'!B790)</f>
        <v/>
      </c>
      <c r="C790" s="193" t="str">
        <f>IF('Observaciones-SMP'!C790="","",'Observaciones-SMP'!C790)</f>
        <v/>
      </c>
      <c r="D790" s="193" t="str">
        <f>IF('Observaciones-SMP'!D790="","",'Observaciones-SMP'!D790)</f>
        <v/>
      </c>
      <c r="E790" s="193" t="str">
        <f>IF('Observaciones-SMP'!E790="","",'Observaciones-SMP'!E790)</f>
        <v/>
      </c>
      <c r="F790" s="193" t="str">
        <f>IF('Observaciones-SMP'!F790="","",'Observaciones-SMP'!F790)</f>
        <v/>
      </c>
      <c r="G790" s="193" t="str">
        <f>IF('Observaciones-SMP'!G790="","",'Observaciones-SMP'!G790)</f>
        <v/>
      </c>
      <c r="H790" s="193" t="str">
        <f>IF('Observaciones-SMP'!H790="","",'Observaciones-SMP'!H790)</f>
        <v/>
      </c>
      <c r="I790" s="193" t="str">
        <f>IF('Observaciones-SMP'!I790="","",'Observaciones-SMP'!I790)</f>
        <v/>
      </c>
      <c r="J790" s="193" t="str">
        <f>IF('Observaciones-SMP'!J790="","",'Observaciones-SMP'!J790)</f>
        <v/>
      </c>
      <c r="K790" s="193" t="str">
        <f>IF('Observaciones-SMP'!K790="","",'Observaciones-SMP'!K790)</f>
        <v/>
      </c>
      <c r="L790" s="193" t="str">
        <f>IF('Observaciones-SMP'!L790="","",'Observaciones-SMP'!L790)</f>
        <v/>
      </c>
      <c r="M790" s="193" t="str">
        <f>IF('Observaciones-SMP'!M790="","",'Observaciones-SMP'!M790)</f>
        <v/>
      </c>
      <c r="N790" s="193" t="str">
        <f>IF('Observaciones-SMP'!N790="","",'Observaciones-SMP'!N790)</f>
        <v/>
      </c>
      <c r="O790" s="193" t="str">
        <f>IF('Observaciones-SMP'!O790="","",'Observaciones-SMP'!O790)</f>
        <v/>
      </c>
      <c r="P790" s="193" t="str">
        <f>IF('Observaciones-SMP'!P790="","",'Observaciones-SMP'!P790)</f>
        <v/>
      </c>
      <c r="Q790" s="257" t="str">
        <f>IF('Observaciones-SMP'!S790="","",'Observaciones-SMP'!S790)</f>
        <v/>
      </c>
      <c r="R790" s="193" t="str">
        <f>IF('Observaciones-SMP'!T790="","",'Observaciones-SMP'!T790)</f>
        <v/>
      </c>
      <c r="S790" s="193" t="str">
        <f>""</f>
        <v/>
      </c>
      <c r="T790" s="193" t="str">
        <f>""</f>
        <v/>
      </c>
      <c r="U790" s="193" t="str">
        <f t="shared" si="48"/>
        <v/>
      </c>
      <c r="V790" s="193" t="str">
        <f>""</f>
        <v/>
      </c>
      <c r="W790" s="193" t="str">
        <f>""</f>
        <v/>
      </c>
      <c r="X790" s="258" t="str">
        <f t="shared" si="49"/>
        <v/>
      </c>
      <c r="Y790" s="258" t="str">
        <f t="shared" si="50"/>
        <v/>
      </c>
      <c r="Z790" s="193" t="str">
        <f>IF(A790="","",IF(COUNTIF('Observaciones-SMP'!$A$2:$A$1001,A790)&gt;1,1,0))</f>
        <v/>
      </c>
      <c r="AA790" s="193" t="str">
        <f t="shared" si="51"/>
        <v/>
      </c>
    </row>
    <row r="791" spans="1:27" ht="13.5" customHeight="1" x14ac:dyDescent="0.3">
      <c r="A791" s="193" t="str">
        <f>IF('Observaciones-SMP'!A791="","",'Observaciones-SMP'!A791)</f>
        <v/>
      </c>
      <c r="B791" s="257" t="str">
        <f>IF('Observaciones-SMP'!B791="","",'Observaciones-SMP'!B791)</f>
        <v/>
      </c>
      <c r="C791" s="193" t="str">
        <f>IF('Observaciones-SMP'!C791="","",'Observaciones-SMP'!C791)</f>
        <v/>
      </c>
      <c r="D791" s="193" t="str">
        <f>IF('Observaciones-SMP'!D791="","",'Observaciones-SMP'!D791)</f>
        <v/>
      </c>
      <c r="E791" s="193" t="str">
        <f>IF('Observaciones-SMP'!E791="","",'Observaciones-SMP'!E791)</f>
        <v/>
      </c>
      <c r="F791" s="193" t="str">
        <f>IF('Observaciones-SMP'!F791="","",'Observaciones-SMP'!F791)</f>
        <v/>
      </c>
      <c r="G791" s="193" t="str">
        <f>IF('Observaciones-SMP'!G791="","",'Observaciones-SMP'!G791)</f>
        <v/>
      </c>
      <c r="H791" s="193" t="str">
        <f>IF('Observaciones-SMP'!H791="","",'Observaciones-SMP'!H791)</f>
        <v/>
      </c>
      <c r="I791" s="193" t="str">
        <f>IF('Observaciones-SMP'!I791="","",'Observaciones-SMP'!I791)</f>
        <v/>
      </c>
      <c r="J791" s="193" t="str">
        <f>IF('Observaciones-SMP'!J791="","",'Observaciones-SMP'!J791)</f>
        <v/>
      </c>
      <c r="K791" s="193" t="str">
        <f>IF('Observaciones-SMP'!K791="","",'Observaciones-SMP'!K791)</f>
        <v/>
      </c>
      <c r="L791" s="193" t="str">
        <f>IF('Observaciones-SMP'!L791="","",'Observaciones-SMP'!L791)</f>
        <v/>
      </c>
      <c r="M791" s="193" t="str">
        <f>IF('Observaciones-SMP'!M791="","",'Observaciones-SMP'!M791)</f>
        <v/>
      </c>
      <c r="N791" s="193" t="str">
        <f>IF('Observaciones-SMP'!N791="","",'Observaciones-SMP'!N791)</f>
        <v/>
      </c>
      <c r="O791" s="193" t="str">
        <f>IF('Observaciones-SMP'!O791="","",'Observaciones-SMP'!O791)</f>
        <v/>
      </c>
      <c r="P791" s="193" t="str">
        <f>IF('Observaciones-SMP'!P791="","",'Observaciones-SMP'!P791)</f>
        <v/>
      </c>
      <c r="Q791" s="257" t="str">
        <f>IF('Observaciones-SMP'!S791="","",'Observaciones-SMP'!S791)</f>
        <v/>
      </c>
      <c r="R791" s="193" t="str">
        <f>IF('Observaciones-SMP'!T791="","",'Observaciones-SMP'!T791)</f>
        <v/>
      </c>
      <c r="S791" s="193" t="str">
        <f>""</f>
        <v/>
      </c>
      <c r="T791" s="193" t="str">
        <f>""</f>
        <v/>
      </c>
      <c r="U791" s="193" t="str">
        <f t="shared" si="48"/>
        <v/>
      </c>
      <c r="V791" s="193" t="str">
        <f>""</f>
        <v/>
      </c>
      <c r="W791" s="193" t="str">
        <f>""</f>
        <v/>
      </c>
      <c r="X791" s="258" t="str">
        <f t="shared" si="49"/>
        <v/>
      </c>
      <c r="Y791" s="258" t="str">
        <f t="shared" si="50"/>
        <v/>
      </c>
      <c r="Z791" s="193" t="str">
        <f>IF(A791="","",IF(COUNTIF('Observaciones-SMP'!$A$2:$A$1001,A791)&gt;1,1,0))</f>
        <v/>
      </c>
      <c r="AA791" s="193" t="str">
        <f t="shared" si="51"/>
        <v/>
      </c>
    </row>
    <row r="792" spans="1:27" ht="13.5" customHeight="1" x14ac:dyDescent="0.3">
      <c r="A792" s="193" t="str">
        <f>IF('Observaciones-SMP'!A792="","",'Observaciones-SMP'!A792)</f>
        <v/>
      </c>
      <c r="B792" s="257" t="str">
        <f>IF('Observaciones-SMP'!B792="","",'Observaciones-SMP'!B792)</f>
        <v/>
      </c>
      <c r="C792" s="193" t="str">
        <f>IF('Observaciones-SMP'!C792="","",'Observaciones-SMP'!C792)</f>
        <v/>
      </c>
      <c r="D792" s="193" t="str">
        <f>IF('Observaciones-SMP'!D792="","",'Observaciones-SMP'!D792)</f>
        <v/>
      </c>
      <c r="E792" s="193" t="str">
        <f>IF('Observaciones-SMP'!E792="","",'Observaciones-SMP'!E792)</f>
        <v/>
      </c>
      <c r="F792" s="193" t="str">
        <f>IF('Observaciones-SMP'!F792="","",'Observaciones-SMP'!F792)</f>
        <v/>
      </c>
      <c r="G792" s="193" t="str">
        <f>IF('Observaciones-SMP'!G792="","",'Observaciones-SMP'!G792)</f>
        <v/>
      </c>
      <c r="H792" s="193" t="str">
        <f>IF('Observaciones-SMP'!H792="","",'Observaciones-SMP'!H792)</f>
        <v/>
      </c>
      <c r="I792" s="193" t="str">
        <f>IF('Observaciones-SMP'!I792="","",'Observaciones-SMP'!I792)</f>
        <v/>
      </c>
      <c r="J792" s="193" t="str">
        <f>IF('Observaciones-SMP'!J792="","",'Observaciones-SMP'!J792)</f>
        <v/>
      </c>
      <c r="K792" s="193" t="str">
        <f>IF('Observaciones-SMP'!K792="","",'Observaciones-SMP'!K792)</f>
        <v/>
      </c>
      <c r="L792" s="193" t="str">
        <f>IF('Observaciones-SMP'!L792="","",'Observaciones-SMP'!L792)</f>
        <v/>
      </c>
      <c r="M792" s="193" t="str">
        <f>IF('Observaciones-SMP'!M792="","",'Observaciones-SMP'!M792)</f>
        <v/>
      </c>
      <c r="N792" s="193" t="str">
        <f>IF('Observaciones-SMP'!N792="","",'Observaciones-SMP'!N792)</f>
        <v/>
      </c>
      <c r="O792" s="193" t="str">
        <f>IF('Observaciones-SMP'!O792="","",'Observaciones-SMP'!O792)</f>
        <v/>
      </c>
      <c r="P792" s="193" t="str">
        <f>IF('Observaciones-SMP'!P792="","",'Observaciones-SMP'!P792)</f>
        <v/>
      </c>
      <c r="Q792" s="257" t="str">
        <f>IF('Observaciones-SMP'!S792="","",'Observaciones-SMP'!S792)</f>
        <v/>
      </c>
      <c r="R792" s="193" t="str">
        <f>IF('Observaciones-SMP'!T792="","",'Observaciones-SMP'!T792)</f>
        <v/>
      </c>
      <c r="S792" s="193" t="str">
        <f>""</f>
        <v/>
      </c>
      <c r="T792" s="193" t="str">
        <f>""</f>
        <v/>
      </c>
      <c r="U792" s="193" t="str">
        <f t="shared" si="48"/>
        <v/>
      </c>
      <c r="V792" s="193" t="str">
        <f>""</f>
        <v/>
      </c>
      <c r="W792" s="193" t="str">
        <f>""</f>
        <v/>
      </c>
      <c r="X792" s="258" t="str">
        <f t="shared" si="49"/>
        <v/>
      </c>
      <c r="Y792" s="258" t="str">
        <f t="shared" si="50"/>
        <v/>
      </c>
      <c r="Z792" s="193" t="str">
        <f>IF(A792="","",IF(COUNTIF('Observaciones-SMP'!$A$2:$A$1001,A792)&gt;1,1,0))</f>
        <v/>
      </c>
      <c r="AA792" s="193" t="str">
        <f t="shared" si="51"/>
        <v/>
      </c>
    </row>
    <row r="793" spans="1:27" ht="13.5" customHeight="1" x14ac:dyDescent="0.3">
      <c r="A793" s="193" t="str">
        <f>IF('Observaciones-SMP'!A793="","",'Observaciones-SMP'!A793)</f>
        <v/>
      </c>
      <c r="B793" s="257" t="str">
        <f>IF('Observaciones-SMP'!B793="","",'Observaciones-SMP'!B793)</f>
        <v/>
      </c>
      <c r="C793" s="193" t="str">
        <f>IF('Observaciones-SMP'!C793="","",'Observaciones-SMP'!C793)</f>
        <v/>
      </c>
      <c r="D793" s="193" t="str">
        <f>IF('Observaciones-SMP'!D793="","",'Observaciones-SMP'!D793)</f>
        <v/>
      </c>
      <c r="E793" s="193" t="str">
        <f>IF('Observaciones-SMP'!E793="","",'Observaciones-SMP'!E793)</f>
        <v/>
      </c>
      <c r="F793" s="193" t="str">
        <f>IF('Observaciones-SMP'!F793="","",'Observaciones-SMP'!F793)</f>
        <v/>
      </c>
      <c r="G793" s="193" t="str">
        <f>IF('Observaciones-SMP'!G793="","",'Observaciones-SMP'!G793)</f>
        <v/>
      </c>
      <c r="H793" s="193" t="str">
        <f>IF('Observaciones-SMP'!H793="","",'Observaciones-SMP'!H793)</f>
        <v/>
      </c>
      <c r="I793" s="193" t="str">
        <f>IF('Observaciones-SMP'!I793="","",'Observaciones-SMP'!I793)</f>
        <v/>
      </c>
      <c r="J793" s="193" t="str">
        <f>IF('Observaciones-SMP'!J793="","",'Observaciones-SMP'!J793)</f>
        <v/>
      </c>
      <c r="K793" s="193" t="str">
        <f>IF('Observaciones-SMP'!K793="","",'Observaciones-SMP'!K793)</f>
        <v/>
      </c>
      <c r="L793" s="193" t="str">
        <f>IF('Observaciones-SMP'!L793="","",'Observaciones-SMP'!L793)</f>
        <v/>
      </c>
      <c r="M793" s="193" t="str">
        <f>IF('Observaciones-SMP'!M793="","",'Observaciones-SMP'!M793)</f>
        <v/>
      </c>
      <c r="N793" s="193" t="str">
        <f>IF('Observaciones-SMP'!N793="","",'Observaciones-SMP'!N793)</f>
        <v/>
      </c>
      <c r="O793" s="193" t="str">
        <f>IF('Observaciones-SMP'!O793="","",'Observaciones-SMP'!O793)</f>
        <v/>
      </c>
      <c r="P793" s="193" t="str">
        <f>IF('Observaciones-SMP'!P793="","",'Observaciones-SMP'!P793)</f>
        <v/>
      </c>
      <c r="Q793" s="257" t="str">
        <f>IF('Observaciones-SMP'!S793="","",'Observaciones-SMP'!S793)</f>
        <v/>
      </c>
      <c r="R793" s="193" t="str">
        <f>IF('Observaciones-SMP'!T793="","",'Observaciones-SMP'!T793)</f>
        <v/>
      </c>
      <c r="S793" s="193" t="str">
        <f>""</f>
        <v/>
      </c>
      <c r="T793" s="193" t="str">
        <f>""</f>
        <v/>
      </c>
      <c r="U793" s="193" t="str">
        <f t="shared" si="48"/>
        <v/>
      </c>
      <c r="V793" s="193" t="str">
        <f>""</f>
        <v/>
      </c>
      <c r="W793" s="193" t="str">
        <f>""</f>
        <v/>
      </c>
      <c r="X793" s="258" t="str">
        <f t="shared" si="49"/>
        <v/>
      </c>
      <c r="Y793" s="258" t="str">
        <f t="shared" si="50"/>
        <v/>
      </c>
      <c r="Z793" s="193" t="str">
        <f>IF(A793="","",IF(COUNTIF('Observaciones-SMP'!$A$2:$A$1001,A793)&gt;1,1,0))</f>
        <v/>
      </c>
      <c r="AA793" s="193" t="str">
        <f t="shared" si="51"/>
        <v/>
      </c>
    </row>
    <row r="794" spans="1:27" ht="13.5" customHeight="1" x14ac:dyDescent="0.3">
      <c r="A794" s="193" t="str">
        <f>IF('Observaciones-SMP'!A794="","",'Observaciones-SMP'!A794)</f>
        <v/>
      </c>
      <c r="B794" s="257" t="str">
        <f>IF('Observaciones-SMP'!B794="","",'Observaciones-SMP'!B794)</f>
        <v/>
      </c>
      <c r="C794" s="193" t="str">
        <f>IF('Observaciones-SMP'!C794="","",'Observaciones-SMP'!C794)</f>
        <v/>
      </c>
      <c r="D794" s="193" t="str">
        <f>IF('Observaciones-SMP'!D794="","",'Observaciones-SMP'!D794)</f>
        <v/>
      </c>
      <c r="E794" s="193" t="str">
        <f>IF('Observaciones-SMP'!E794="","",'Observaciones-SMP'!E794)</f>
        <v/>
      </c>
      <c r="F794" s="193" t="str">
        <f>IF('Observaciones-SMP'!F794="","",'Observaciones-SMP'!F794)</f>
        <v/>
      </c>
      <c r="G794" s="193" t="str">
        <f>IF('Observaciones-SMP'!G794="","",'Observaciones-SMP'!G794)</f>
        <v/>
      </c>
      <c r="H794" s="193" t="str">
        <f>IF('Observaciones-SMP'!H794="","",'Observaciones-SMP'!H794)</f>
        <v/>
      </c>
      <c r="I794" s="193" t="str">
        <f>IF('Observaciones-SMP'!I794="","",'Observaciones-SMP'!I794)</f>
        <v/>
      </c>
      <c r="J794" s="193" t="str">
        <f>IF('Observaciones-SMP'!J794="","",'Observaciones-SMP'!J794)</f>
        <v/>
      </c>
      <c r="K794" s="193" t="str">
        <f>IF('Observaciones-SMP'!K794="","",'Observaciones-SMP'!K794)</f>
        <v/>
      </c>
      <c r="L794" s="193" t="str">
        <f>IF('Observaciones-SMP'!L794="","",'Observaciones-SMP'!L794)</f>
        <v/>
      </c>
      <c r="M794" s="193" t="str">
        <f>IF('Observaciones-SMP'!M794="","",'Observaciones-SMP'!M794)</f>
        <v/>
      </c>
      <c r="N794" s="193" t="str">
        <f>IF('Observaciones-SMP'!N794="","",'Observaciones-SMP'!N794)</f>
        <v/>
      </c>
      <c r="O794" s="193" t="str">
        <f>IF('Observaciones-SMP'!O794="","",'Observaciones-SMP'!O794)</f>
        <v/>
      </c>
      <c r="P794" s="193" t="str">
        <f>IF('Observaciones-SMP'!P794="","",'Observaciones-SMP'!P794)</f>
        <v/>
      </c>
      <c r="Q794" s="257" t="str">
        <f>IF('Observaciones-SMP'!S794="","",'Observaciones-SMP'!S794)</f>
        <v/>
      </c>
      <c r="R794" s="193" t="str">
        <f>IF('Observaciones-SMP'!T794="","",'Observaciones-SMP'!T794)</f>
        <v/>
      </c>
      <c r="S794" s="193" t="str">
        <f>""</f>
        <v/>
      </c>
      <c r="T794" s="193" t="str">
        <f>""</f>
        <v/>
      </c>
      <c r="U794" s="193" t="str">
        <f t="shared" si="48"/>
        <v/>
      </c>
      <c r="V794" s="193" t="str">
        <f>""</f>
        <v/>
      </c>
      <c r="W794" s="193" t="str">
        <f>""</f>
        <v/>
      </c>
      <c r="X794" s="258" t="str">
        <f t="shared" si="49"/>
        <v/>
      </c>
      <c r="Y794" s="258" t="str">
        <f t="shared" si="50"/>
        <v/>
      </c>
      <c r="Z794" s="193" t="str">
        <f>IF(A794="","",IF(COUNTIF('Observaciones-SMP'!$A$2:$A$1001,A794)&gt;1,1,0))</f>
        <v/>
      </c>
      <c r="AA794" s="193" t="str">
        <f t="shared" si="51"/>
        <v/>
      </c>
    </row>
    <row r="795" spans="1:27" ht="13.5" customHeight="1" x14ac:dyDescent="0.3">
      <c r="A795" s="193" t="str">
        <f>IF('Observaciones-SMP'!A795="","",'Observaciones-SMP'!A795)</f>
        <v/>
      </c>
      <c r="B795" s="257" t="str">
        <f>IF('Observaciones-SMP'!B795="","",'Observaciones-SMP'!B795)</f>
        <v/>
      </c>
      <c r="C795" s="193" t="str">
        <f>IF('Observaciones-SMP'!C795="","",'Observaciones-SMP'!C795)</f>
        <v/>
      </c>
      <c r="D795" s="193" t="str">
        <f>IF('Observaciones-SMP'!D795="","",'Observaciones-SMP'!D795)</f>
        <v/>
      </c>
      <c r="E795" s="193" t="str">
        <f>IF('Observaciones-SMP'!E795="","",'Observaciones-SMP'!E795)</f>
        <v/>
      </c>
      <c r="F795" s="193" t="str">
        <f>IF('Observaciones-SMP'!F795="","",'Observaciones-SMP'!F795)</f>
        <v/>
      </c>
      <c r="G795" s="193" t="str">
        <f>IF('Observaciones-SMP'!G795="","",'Observaciones-SMP'!G795)</f>
        <v/>
      </c>
      <c r="H795" s="193" t="str">
        <f>IF('Observaciones-SMP'!H795="","",'Observaciones-SMP'!H795)</f>
        <v/>
      </c>
      <c r="I795" s="193" t="str">
        <f>IF('Observaciones-SMP'!I795="","",'Observaciones-SMP'!I795)</f>
        <v/>
      </c>
      <c r="J795" s="193" t="str">
        <f>IF('Observaciones-SMP'!J795="","",'Observaciones-SMP'!J795)</f>
        <v/>
      </c>
      <c r="K795" s="193" t="str">
        <f>IF('Observaciones-SMP'!K795="","",'Observaciones-SMP'!K795)</f>
        <v/>
      </c>
      <c r="L795" s="193" t="str">
        <f>IF('Observaciones-SMP'!L795="","",'Observaciones-SMP'!L795)</f>
        <v/>
      </c>
      <c r="M795" s="193" t="str">
        <f>IF('Observaciones-SMP'!M795="","",'Observaciones-SMP'!M795)</f>
        <v/>
      </c>
      <c r="N795" s="193" t="str">
        <f>IF('Observaciones-SMP'!N795="","",'Observaciones-SMP'!N795)</f>
        <v/>
      </c>
      <c r="O795" s="193" t="str">
        <f>IF('Observaciones-SMP'!O795="","",'Observaciones-SMP'!O795)</f>
        <v/>
      </c>
      <c r="P795" s="193" t="str">
        <f>IF('Observaciones-SMP'!P795="","",'Observaciones-SMP'!P795)</f>
        <v/>
      </c>
      <c r="Q795" s="257" t="str">
        <f>IF('Observaciones-SMP'!S795="","",'Observaciones-SMP'!S795)</f>
        <v/>
      </c>
      <c r="R795" s="193" t="str">
        <f>IF('Observaciones-SMP'!T795="","",'Observaciones-SMP'!T795)</f>
        <v/>
      </c>
      <c r="S795" s="193" t="str">
        <f>""</f>
        <v/>
      </c>
      <c r="T795" s="193" t="str">
        <f>""</f>
        <v/>
      </c>
      <c r="U795" s="193" t="str">
        <f t="shared" si="48"/>
        <v/>
      </c>
      <c r="V795" s="193" t="str">
        <f>""</f>
        <v/>
      </c>
      <c r="W795" s="193" t="str">
        <f>""</f>
        <v/>
      </c>
      <c r="X795" s="258" t="str">
        <f t="shared" si="49"/>
        <v/>
      </c>
      <c r="Y795" s="258" t="str">
        <f t="shared" si="50"/>
        <v/>
      </c>
      <c r="Z795" s="193" t="str">
        <f>IF(A795="","",IF(COUNTIF('Observaciones-SMP'!$A$2:$A$1001,A795)&gt;1,1,0))</f>
        <v/>
      </c>
      <c r="AA795" s="193" t="str">
        <f t="shared" si="51"/>
        <v/>
      </c>
    </row>
    <row r="796" spans="1:27" ht="13.5" customHeight="1" x14ac:dyDescent="0.3">
      <c r="A796" s="193" t="str">
        <f>IF('Observaciones-SMP'!A796="","",'Observaciones-SMP'!A796)</f>
        <v/>
      </c>
      <c r="B796" s="257" t="str">
        <f>IF('Observaciones-SMP'!B796="","",'Observaciones-SMP'!B796)</f>
        <v/>
      </c>
      <c r="C796" s="193" t="str">
        <f>IF('Observaciones-SMP'!C796="","",'Observaciones-SMP'!C796)</f>
        <v/>
      </c>
      <c r="D796" s="193" t="str">
        <f>IF('Observaciones-SMP'!D796="","",'Observaciones-SMP'!D796)</f>
        <v/>
      </c>
      <c r="E796" s="193" t="str">
        <f>IF('Observaciones-SMP'!E796="","",'Observaciones-SMP'!E796)</f>
        <v/>
      </c>
      <c r="F796" s="193" t="str">
        <f>IF('Observaciones-SMP'!F796="","",'Observaciones-SMP'!F796)</f>
        <v/>
      </c>
      <c r="G796" s="193" t="str">
        <f>IF('Observaciones-SMP'!G796="","",'Observaciones-SMP'!G796)</f>
        <v/>
      </c>
      <c r="H796" s="193" t="str">
        <f>IF('Observaciones-SMP'!H796="","",'Observaciones-SMP'!H796)</f>
        <v/>
      </c>
      <c r="I796" s="193" t="str">
        <f>IF('Observaciones-SMP'!I796="","",'Observaciones-SMP'!I796)</f>
        <v/>
      </c>
      <c r="J796" s="193" t="str">
        <f>IF('Observaciones-SMP'!J796="","",'Observaciones-SMP'!J796)</f>
        <v/>
      </c>
      <c r="K796" s="193" t="str">
        <f>IF('Observaciones-SMP'!K796="","",'Observaciones-SMP'!K796)</f>
        <v/>
      </c>
      <c r="L796" s="193" t="str">
        <f>IF('Observaciones-SMP'!L796="","",'Observaciones-SMP'!L796)</f>
        <v/>
      </c>
      <c r="M796" s="193" t="str">
        <f>IF('Observaciones-SMP'!M796="","",'Observaciones-SMP'!M796)</f>
        <v/>
      </c>
      <c r="N796" s="193" t="str">
        <f>IF('Observaciones-SMP'!N796="","",'Observaciones-SMP'!N796)</f>
        <v/>
      </c>
      <c r="O796" s="193" t="str">
        <f>IF('Observaciones-SMP'!O796="","",'Observaciones-SMP'!O796)</f>
        <v/>
      </c>
      <c r="P796" s="193" t="str">
        <f>IF('Observaciones-SMP'!P796="","",'Observaciones-SMP'!P796)</f>
        <v/>
      </c>
      <c r="Q796" s="257" t="str">
        <f>IF('Observaciones-SMP'!S796="","",'Observaciones-SMP'!S796)</f>
        <v/>
      </c>
      <c r="R796" s="193" t="str">
        <f>IF('Observaciones-SMP'!T796="","",'Observaciones-SMP'!T796)</f>
        <v/>
      </c>
      <c r="S796" s="193" t="str">
        <f>""</f>
        <v/>
      </c>
      <c r="T796" s="193" t="str">
        <f>""</f>
        <v/>
      </c>
      <c r="U796" s="193" t="str">
        <f t="shared" si="48"/>
        <v/>
      </c>
      <c r="V796" s="193" t="str">
        <f>""</f>
        <v/>
      </c>
      <c r="W796" s="193" t="str">
        <f>""</f>
        <v/>
      </c>
      <c r="X796" s="258" t="str">
        <f t="shared" si="49"/>
        <v/>
      </c>
      <c r="Y796" s="258" t="str">
        <f t="shared" si="50"/>
        <v/>
      </c>
      <c r="Z796" s="193" t="str">
        <f>IF(A796="","",IF(COUNTIF('Observaciones-SMP'!$A$2:$A$1001,A796)&gt;1,1,0))</f>
        <v/>
      </c>
      <c r="AA796" s="193" t="str">
        <f t="shared" si="51"/>
        <v/>
      </c>
    </row>
    <row r="797" spans="1:27" ht="13.5" customHeight="1" x14ac:dyDescent="0.3">
      <c r="A797" s="193" t="str">
        <f>IF('Observaciones-SMP'!A797="","",'Observaciones-SMP'!A797)</f>
        <v/>
      </c>
      <c r="B797" s="257" t="str">
        <f>IF('Observaciones-SMP'!B797="","",'Observaciones-SMP'!B797)</f>
        <v/>
      </c>
      <c r="C797" s="193" t="str">
        <f>IF('Observaciones-SMP'!C797="","",'Observaciones-SMP'!C797)</f>
        <v/>
      </c>
      <c r="D797" s="193" t="str">
        <f>IF('Observaciones-SMP'!D797="","",'Observaciones-SMP'!D797)</f>
        <v/>
      </c>
      <c r="E797" s="193" t="str">
        <f>IF('Observaciones-SMP'!E797="","",'Observaciones-SMP'!E797)</f>
        <v/>
      </c>
      <c r="F797" s="193" t="str">
        <f>IF('Observaciones-SMP'!F797="","",'Observaciones-SMP'!F797)</f>
        <v/>
      </c>
      <c r="G797" s="193" t="str">
        <f>IF('Observaciones-SMP'!G797="","",'Observaciones-SMP'!G797)</f>
        <v/>
      </c>
      <c r="H797" s="193" t="str">
        <f>IF('Observaciones-SMP'!H797="","",'Observaciones-SMP'!H797)</f>
        <v/>
      </c>
      <c r="I797" s="193" t="str">
        <f>IF('Observaciones-SMP'!I797="","",'Observaciones-SMP'!I797)</f>
        <v/>
      </c>
      <c r="J797" s="193" t="str">
        <f>IF('Observaciones-SMP'!J797="","",'Observaciones-SMP'!J797)</f>
        <v/>
      </c>
      <c r="K797" s="193" t="str">
        <f>IF('Observaciones-SMP'!K797="","",'Observaciones-SMP'!K797)</f>
        <v/>
      </c>
      <c r="L797" s="193" t="str">
        <f>IF('Observaciones-SMP'!L797="","",'Observaciones-SMP'!L797)</f>
        <v/>
      </c>
      <c r="M797" s="193" t="str">
        <f>IF('Observaciones-SMP'!M797="","",'Observaciones-SMP'!M797)</f>
        <v/>
      </c>
      <c r="N797" s="193" t="str">
        <f>IF('Observaciones-SMP'!N797="","",'Observaciones-SMP'!N797)</f>
        <v/>
      </c>
      <c r="O797" s="193" t="str">
        <f>IF('Observaciones-SMP'!O797="","",'Observaciones-SMP'!O797)</f>
        <v/>
      </c>
      <c r="P797" s="193" t="str">
        <f>IF('Observaciones-SMP'!P797="","",'Observaciones-SMP'!P797)</f>
        <v/>
      </c>
      <c r="Q797" s="257" t="str">
        <f>IF('Observaciones-SMP'!S797="","",'Observaciones-SMP'!S797)</f>
        <v/>
      </c>
      <c r="R797" s="193" t="str">
        <f>IF('Observaciones-SMP'!T797="","",'Observaciones-SMP'!T797)</f>
        <v/>
      </c>
      <c r="S797" s="193" t="str">
        <f>""</f>
        <v/>
      </c>
      <c r="T797" s="193" t="str">
        <f>""</f>
        <v/>
      </c>
      <c r="U797" s="193" t="str">
        <f t="shared" si="48"/>
        <v/>
      </c>
      <c r="V797" s="193" t="str">
        <f>""</f>
        <v/>
      </c>
      <c r="W797" s="193" t="str">
        <f>""</f>
        <v/>
      </c>
      <c r="X797" s="258" t="str">
        <f t="shared" si="49"/>
        <v/>
      </c>
      <c r="Y797" s="258" t="str">
        <f t="shared" si="50"/>
        <v/>
      </c>
      <c r="Z797" s="193" t="str">
        <f>IF(A797="","",IF(COUNTIF('Observaciones-SMP'!$A$2:$A$1001,A797)&gt;1,1,0))</f>
        <v/>
      </c>
      <c r="AA797" s="193" t="str">
        <f t="shared" si="51"/>
        <v/>
      </c>
    </row>
    <row r="798" spans="1:27" ht="13.5" customHeight="1" x14ac:dyDescent="0.3">
      <c r="A798" s="193" t="str">
        <f>IF('Observaciones-SMP'!A798="","",'Observaciones-SMP'!A798)</f>
        <v/>
      </c>
      <c r="B798" s="257" t="str">
        <f>IF('Observaciones-SMP'!B798="","",'Observaciones-SMP'!B798)</f>
        <v/>
      </c>
      <c r="C798" s="193" t="str">
        <f>IF('Observaciones-SMP'!C798="","",'Observaciones-SMP'!C798)</f>
        <v/>
      </c>
      <c r="D798" s="193" t="str">
        <f>IF('Observaciones-SMP'!D798="","",'Observaciones-SMP'!D798)</f>
        <v/>
      </c>
      <c r="E798" s="193" t="str">
        <f>IF('Observaciones-SMP'!E798="","",'Observaciones-SMP'!E798)</f>
        <v/>
      </c>
      <c r="F798" s="193" t="str">
        <f>IF('Observaciones-SMP'!F798="","",'Observaciones-SMP'!F798)</f>
        <v/>
      </c>
      <c r="G798" s="193" t="str">
        <f>IF('Observaciones-SMP'!G798="","",'Observaciones-SMP'!G798)</f>
        <v/>
      </c>
      <c r="H798" s="193" t="str">
        <f>IF('Observaciones-SMP'!H798="","",'Observaciones-SMP'!H798)</f>
        <v/>
      </c>
      <c r="I798" s="193" t="str">
        <f>IF('Observaciones-SMP'!I798="","",'Observaciones-SMP'!I798)</f>
        <v/>
      </c>
      <c r="J798" s="193" t="str">
        <f>IF('Observaciones-SMP'!J798="","",'Observaciones-SMP'!J798)</f>
        <v/>
      </c>
      <c r="K798" s="193" t="str">
        <f>IF('Observaciones-SMP'!K798="","",'Observaciones-SMP'!K798)</f>
        <v/>
      </c>
      <c r="L798" s="193" t="str">
        <f>IF('Observaciones-SMP'!L798="","",'Observaciones-SMP'!L798)</f>
        <v/>
      </c>
      <c r="M798" s="193" t="str">
        <f>IF('Observaciones-SMP'!M798="","",'Observaciones-SMP'!M798)</f>
        <v/>
      </c>
      <c r="N798" s="193" t="str">
        <f>IF('Observaciones-SMP'!N798="","",'Observaciones-SMP'!N798)</f>
        <v/>
      </c>
      <c r="O798" s="193" t="str">
        <f>IF('Observaciones-SMP'!O798="","",'Observaciones-SMP'!O798)</f>
        <v/>
      </c>
      <c r="P798" s="193" t="str">
        <f>IF('Observaciones-SMP'!P798="","",'Observaciones-SMP'!P798)</f>
        <v/>
      </c>
      <c r="Q798" s="257" t="str">
        <f>IF('Observaciones-SMP'!S798="","",'Observaciones-SMP'!S798)</f>
        <v/>
      </c>
      <c r="R798" s="193" t="str">
        <f>IF('Observaciones-SMP'!T798="","",'Observaciones-SMP'!T798)</f>
        <v/>
      </c>
      <c r="S798" s="193" t="str">
        <f>""</f>
        <v/>
      </c>
      <c r="T798" s="193" t="str">
        <f>""</f>
        <v/>
      </c>
      <c r="U798" s="193" t="str">
        <f t="shared" si="48"/>
        <v/>
      </c>
      <c r="V798" s="193" t="str">
        <f>""</f>
        <v/>
      </c>
      <c r="W798" s="193" t="str">
        <f>""</f>
        <v/>
      </c>
      <c r="X798" s="258" t="str">
        <f t="shared" si="49"/>
        <v/>
      </c>
      <c r="Y798" s="258" t="str">
        <f t="shared" si="50"/>
        <v/>
      </c>
      <c r="Z798" s="193" t="str">
        <f>IF(A798="","",IF(COUNTIF('Observaciones-SMP'!$A$2:$A$1001,A798)&gt;1,1,0))</f>
        <v/>
      </c>
      <c r="AA798" s="193" t="str">
        <f t="shared" si="51"/>
        <v/>
      </c>
    </row>
    <row r="799" spans="1:27" ht="13.5" customHeight="1" x14ac:dyDescent="0.3">
      <c r="A799" s="193" t="str">
        <f>IF('Observaciones-SMP'!A799="","",'Observaciones-SMP'!A799)</f>
        <v/>
      </c>
      <c r="B799" s="257" t="str">
        <f>IF('Observaciones-SMP'!B799="","",'Observaciones-SMP'!B799)</f>
        <v/>
      </c>
      <c r="C799" s="193" t="str">
        <f>IF('Observaciones-SMP'!C799="","",'Observaciones-SMP'!C799)</f>
        <v/>
      </c>
      <c r="D799" s="193" t="str">
        <f>IF('Observaciones-SMP'!D799="","",'Observaciones-SMP'!D799)</f>
        <v/>
      </c>
      <c r="E799" s="193" t="str">
        <f>IF('Observaciones-SMP'!E799="","",'Observaciones-SMP'!E799)</f>
        <v/>
      </c>
      <c r="F799" s="193" t="str">
        <f>IF('Observaciones-SMP'!F799="","",'Observaciones-SMP'!F799)</f>
        <v/>
      </c>
      <c r="G799" s="193" t="str">
        <f>IF('Observaciones-SMP'!G799="","",'Observaciones-SMP'!G799)</f>
        <v/>
      </c>
      <c r="H799" s="193" t="str">
        <f>IF('Observaciones-SMP'!H799="","",'Observaciones-SMP'!H799)</f>
        <v/>
      </c>
      <c r="I799" s="193" t="str">
        <f>IF('Observaciones-SMP'!I799="","",'Observaciones-SMP'!I799)</f>
        <v/>
      </c>
      <c r="J799" s="193" t="str">
        <f>IF('Observaciones-SMP'!J799="","",'Observaciones-SMP'!J799)</f>
        <v/>
      </c>
      <c r="K799" s="193" t="str">
        <f>IF('Observaciones-SMP'!K799="","",'Observaciones-SMP'!K799)</f>
        <v/>
      </c>
      <c r="L799" s="193" t="str">
        <f>IF('Observaciones-SMP'!L799="","",'Observaciones-SMP'!L799)</f>
        <v/>
      </c>
      <c r="M799" s="193" t="str">
        <f>IF('Observaciones-SMP'!M799="","",'Observaciones-SMP'!M799)</f>
        <v/>
      </c>
      <c r="N799" s="193" t="str">
        <f>IF('Observaciones-SMP'!N799="","",'Observaciones-SMP'!N799)</f>
        <v/>
      </c>
      <c r="O799" s="193" t="str">
        <f>IF('Observaciones-SMP'!O799="","",'Observaciones-SMP'!O799)</f>
        <v/>
      </c>
      <c r="P799" s="193" t="str">
        <f>IF('Observaciones-SMP'!P799="","",'Observaciones-SMP'!P799)</f>
        <v/>
      </c>
      <c r="Q799" s="257" t="str">
        <f>IF('Observaciones-SMP'!S799="","",'Observaciones-SMP'!S799)</f>
        <v/>
      </c>
      <c r="R799" s="193" t="str">
        <f>IF('Observaciones-SMP'!T799="","",'Observaciones-SMP'!T799)</f>
        <v/>
      </c>
      <c r="S799" s="193" t="str">
        <f>""</f>
        <v/>
      </c>
      <c r="T799" s="193" t="str">
        <f>""</f>
        <v/>
      </c>
      <c r="U799" s="193" t="str">
        <f t="shared" si="48"/>
        <v/>
      </c>
      <c r="V799" s="193" t="str">
        <f>""</f>
        <v/>
      </c>
      <c r="W799" s="193" t="str">
        <f>""</f>
        <v/>
      </c>
      <c r="X799" s="258" t="str">
        <f t="shared" si="49"/>
        <v/>
      </c>
      <c r="Y799" s="258" t="str">
        <f t="shared" si="50"/>
        <v/>
      </c>
      <c r="Z799" s="193" t="str">
        <f>IF(A799="","",IF(COUNTIF('Observaciones-SMP'!$A$2:$A$1001,A799)&gt;1,1,0))</f>
        <v/>
      </c>
      <c r="AA799" s="193" t="str">
        <f t="shared" si="51"/>
        <v/>
      </c>
    </row>
    <row r="800" spans="1:27" ht="13.5" customHeight="1" x14ac:dyDescent="0.3">
      <c r="A800" s="193" t="str">
        <f>IF('Observaciones-SMP'!A800="","",'Observaciones-SMP'!A800)</f>
        <v/>
      </c>
      <c r="B800" s="257" t="str">
        <f>IF('Observaciones-SMP'!B800="","",'Observaciones-SMP'!B800)</f>
        <v/>
      </c>
      <c r="C800" s="193" t="str">
        <f>IF('Observaciones-SMP'!C800="","",'Observaciones-SMP'!C800)</f>
        <v/>
      </c>
      <c r="D800" s="193" t="str">
        <f>IF('Observaciones-SMP'!D800="","",'Observaciones-SMP'!D800)</f>
        <v/>
      </c>
      <c r="E800" s="193" t="str">
        <f>IF('Observaciones-SMP'!E800="","",'Observaciones-SMP'!E800)</f>
        <v/>
      </c>
      <c r="F800" s="193" t="str">
        <f>IF('Observaciones-SMP'!F800="","",'Observaciones-SMP'!F800)</f>
        <v/>
      </c>
      <c r="G800" s="193" t="str">
        <f>IF('Observaciones-SMP'!G800="","",'Observaciones-SMP'!G800)</f>
        <v/>
      </c>
      <c r="H800" s="193" t="str">
        <f>IF('Observaciones-SMP'!H800="","",'Observaciones-SMP'!H800)</f>
        <v/>
      </c>
      <c r="I800" s="193" t="str">
        <f>IF('Observaciones-SMP'!I800="","",'Observaciones-SMP'!I800)</f>
        <v/>
      </c>
      <c r="J800" s="193" t="str">
        <f>IF('Observaciones-SMP'!J800="","",'Observaciones-SMP'!J800)</f>
        <v/>
      </c>
      <c r="K800" s="193" t="str">
        <f>IF('Observaciones-SMP'!K800="","",'Observaciones-SMP'!K800)</f>
        <v/>
      </c>
      <c r="L800" s="193" t="str">
        <f>IF('Observaciones-SMP'!L800="","",'Observaciones-SMP'!L800)</f>
        <v/>
      </c>
      <c r="M800" s="193" t="str">
        <f>IF('Observaciones-SMP'!M800="","",'Observaciones-SMP'!M800)</f>
        <v/>
      </c>
      <c r="N800" s="193" t="str">
        <f>IF('Observaciones-SMP'!N800="","",'Observaciones-SMP'!N800)</f>
        <v/>
      </c>
      <c r="O800" s="193" t="str">
        <f>IF('Observaciones-SMP'!O800="","",'Observaciones-SMP'!O800)</f>
        <v/>
      </c>
      <c r="P800" s="193" t="str">
        <f>IF('Observaciones-SMP'!P800="","",'Observaciones-SMP'!P800)</f>
        <v/>
      </c>
      <c r="Q800" s="257" t="str">
        <f>IF('Observaciones-SMP'!S800="","",'Observaciones-SMP'!S800)</f>
        <v/>
      </c>
      <c r="R800" s="193" t="str">
        <f>IF('Observaciones-SMP'!T800="","",'Observaciones-SMP'!T800)</f>
        <v/>
      </c>
      <c r="S800" s="193" t="str">
        <f>""</f>
        <v/>
      </c>
      <c r="T800" s="193" t="str">
        <f>""</f>
        <v/>
      </c>
      <c r="U800" s="193" t="str">
        <f t="shared" si="48"/>
        <v/>
      </c>
      <c r="V800" s="193" t="str">
        <f>""</f>
        <v/>
      </c>
      <c r="W800" s="193" t="str">
        <f>""</f>
        <v/>
      </c>
      <c r="X800" s="258" t="str">
        <f t="shared" si="49"/>
        <v/>
      </c>
      <c r="Y800" s="258" t="str">
        <f t="shared" si="50"/>
        <v/>
      </c>
      <c r="Z800" s="193" t="str">
        <f>IF(A800="","",IF(COUNTIF('Observaciones-SMP'!$A$2:$A$1001,A800)&gt;1,1,0))</f>
        <v/>
      </c>
      <c r="AA800" s="193" t="str">
        <f t="shared" si="51"/>
        <v/>
      </c>
    </row>
    <row r="801" spans="1:27" ht="13.5" customHeight="1" x14ac:dyDescent="0.3">
      <c r="A801" s="193" t="str">
        <f>IF('Observaciones-SMP'!A801="","",'Observaciones-SMP'!A801)</f>
        <v/>
      </c>
      <c r="B801" s="257" t="str">
        <f>IF('Observaciones-SMP'!B801="","",'Observaciones-SMP'!B801)</f>
        <v/>
      </c>
      <c r="C801" s="193" t="str">
        <f>IF('Observaciones-SMP'!C801="","",'Observaciones-SMP'!C801)</f>
        <v/>
      </c>
      <c r="D801" s="193" t="str">
        <f>IF('Observaciones-SMP'!D801="","",'Observaciones-SMP'!D801)</f>
        <v/>
      </c>
      <c r="E801" s="193" t="str">
        <f>IF('Observaciones-SMP'!E801="","",'Observaciones-SMP'!E801)</f>
        <v/>
      </c>
      <c r="F801" s="193" t="str">
        <f>IF('Observaciones-SMP'!F801="","",'Observaciones-SMP'!F801)</f>
        <v/>
      </c>
      <c r="G801" s="193" t="str">
        <f>IF('Observaciones-SMP'!G801="","",'Observaciones-SMP'!G801)</f>
        <v/>
      </c>
      <c r="H801" s="193" t="str">
        <f>IF('Observaciones-SMP'!H801="","",'Observaciones-SMP'!H801)</f>
        <v/>
      </c>
      <c r="I801" s="193" t="str">
        <f>IF('Observaciones-SMP'!I801="","",'Observaciones-SMP'!I801)</f>
        <v/>
      </c>
      <c r="J801" s="193" t="str">
        <f>IF('Observaciones-SMP'!J801="","",'Observaciones-SMP'!J801)</f>
        <v/>
      </c>
      <c r="K801" s="193" t="str">
        <f>IF('Observaciones-SMP'!K801="","",'Observaciones-SMP'!K801)</f>
        <v/>
      </c>
      <c r="L801" s="193" t="str">
        <f>IF('Observaciones-SMP'!L801="","",'Observaciones-SMP'!L801)</f>
        <v/>
      </c>
      <c r="M801" s="193" t="str">
        <f>IF('Observaciones-SMP'!M801="","",'Observaciones-SMP'!M801)</f>
        <v/>
      </c>
      <c r="N801" s="193" t="str">
        <f>IF('Observaciones-SMP'!N801="","",'Observaciones-SMP'!N801)</f>
        <v/>
      </c>
      <c r="O801" s="193" t="str">
        <f>IF('Observaciones-SMP'!O801="","",'Observaciones-SMP'!O801)</f>
        <v/>
      </c>
      <c r="P801" s="193" t="str">
        <f>IF('Observaciones-SMP'!P801="","",'Observaciones-SMP'!P801)</f>
        <v/>
      </c>
      <c r="Q801" s="257" t="str">
        <f>IF('Observaciones-SMP'!S801="","",'Observaciones-SMP'!S801)</f>
        <v/>
      </c>
      <c r="R801" s="193" t="str">
        <f>IF('Observaciones-SMP'!T801="","",'Observaciones-SMP'!T801)</f>
        <v/>
      </c>
      <c r="S801" s="193" t="str">
        <f>""</f>
        <v/>
      </c>
      <c r="T801" s="193" t="str">
        <f>""</f>
        <v/>
      </c>
      <c r="U801" s="193" t="str">
        <f t="shared" si="48"/>
        <v/>
      </c>
      <c r="V801" s="193" t="str">
        <f>""</f>
        <v/>
      </c>
      <c r="W801" s="193" t="str">
        <f>""</f>
        <v/>
      </c>
      <c r="X801" s="258" t="str">
        <f t="shared" si="49"/>
        <v/>
      </c>
      <c r="Y801" s="258" t="str">
        <f t="shared" si="50"/>
        <v/>
      </c>
      <c r="Z801" s="193" t="str">
        <f>IF(A801="","",IF(COUNTIF('Observaciones-SMP'!$A$2:$A$1001,A801)&gt;1,1,0))</f>
        <v/>
      </c>
      <c r="AA801" s="193" t="str">
        <f t="shared" si="51"/>
        <v/>
      </c>
    </row>
    <row r="802" spans="1:27" ht="13.5" customHeight="1" x14ac:dyDescent="0.3">
      <c r="A802" s="193" t="str">
        <f>IF('Observaciones-SMP'!A802="","",'Observaciones-SMP'!A802)</f>
        <v/>
      </c>
      <c r="B802" s="257" t="str">
        <f>IF('Observaciones-SMP'!B802="","",'Observaciones-SMP'!B802)</f>
        <v/>
      </c>
      <c r="C802" s="193" t="str">
        <f>IF('Observaciones-SMP'!C802="","",'Observaciones-SMP'!C802)</f>
        <v/>
      </c>
      <c r="D802" s="193" t="str">
        <f>IF('Observaciones-SMP'!D802="","",'Observaciones-SMP'!D802)</f>
        <v/>
      </c>
      <c r="E802" s="193" t="str">
        <f>IF('Observaciones-SMP'!E802="","",'Observaciones-SMP'!E802)</f>
        <v/>
      </c>
      <c r="F802" s="193" t="str">
        <f>IF('Observaciones-SMP'!F802="","",'Observaciones-SMP'!F802)</f>
        <v/>
      </c>
      <c r="G802" s="193" t="str">
        <f>IF('Observaciones-SMP'!G802="","",'Observaciones-SMP'!G802)</f>
        <v/>
      </c>
      <c r="H802" s="193" t="str">
        <f>IF('Observaciones-SMP'!H802="","",'Observaciones-SMP'!H802)</f>
        <v/>
      </c>
      <c r="I802" s="193" t="str">
        <f>IF('Observaciones-SMP'!I802="","",'Observaciones-SMP'!I802)</f>
        <v/>
      </c>
      <c r="J802" s="193" t="str">
        <f>IF('Observaciones-SMP'!J802="","",'Observaciones-SMP'!J802)</f>
        <v/>
      </c>
      <c r="K802" s="193" t="str">
        <f>IF('Observaciones-SMP'!K802="","",'Observaciones-SMP'!K802)</f>
        <v/>
      </c>
      <c r="L802" s="193" t="str">
        <f>IF('Observaciones-SMP'!L802="","",'Observaciones-SMP'!L802)</f>
        <v/>
      </c>
      <c r="M802" s="193" t="str">
        <f>IF('Observaciones-SMP'!M802="","",'Observaciones-SMP'!M802)</f>
        <v/>
      </c>
      <c r="N802" s="193" t="str">
        <f>IF('Observaciones-SMP'!N802="","",'Observaciones-SMP'!N802)</f>
        <v/>
      </c>
      <c r="O802" s="193" t="str">
        <f>IF('Observaciones-SMP'!O802="","",'Observaciones-SMP'!O802)</f>
        <v/>
      </c>
      <c r="P802" s="193" t="str">
        <f>IF('Observaciones-SMP'!P802="","",'Observaciones-SMP'!P802)</f>
        <v/>
      </c>
      <c r="Q802" s="257" t="str">
        <f>IF('Observaciones-SMP'!S802="","",'Observaciones-SMP'!S802)</f>
        <v/>
      </c>
      <c r="R802" s="193" t="str">
        <f>IF('Observaciones-SMP'!T802="","",'Observaciones-SMP'!T802)</f>
        <v/>
      </c>
      <c r="S802" s="193" t="str">
        <f>""</f>
        <v/>
      </c>
      <c r="T802" s="193" t="str">
        <f>""</f>
        <v/>
      </c>
      <c r="U802" s="193" t="str">
        <f t="shared" si="48"/>
        <v/>
      </c>
      <c r="V802" s="193" t="str">
        <f>""</f>
        <v/>
      </c>
      <c r="W802" s="193" t="str">
        <f>""</f>
        <v/>
      </c>
      <c r="X802" s="258" t="str">
        <f t="shared" si="49"/>
        <v/>
      </c>
      <c r="Y802" s="258" t="str">
        <f t="shared" si="50"/>
        <v/>
      </c>
      <c r="Z802" s="193" t="str">
        <f>IF(A802="","",IF(COUNTIF('Observaciones-SMP'!$A$2:$A$1001,A802)&gt;1,1,0))</f>
        <v/>
      </c>
      <c r="AA802" s="193" t="str">
        <f t="shared" si="51"/>
        <v/>
      </c>
    </row>
    <row r="803" spans="1:27" ht="13.5" customHeight="1" x14ac:dyDescent="0.3">
      <c r="A803" s="193" t="str">
        <f>IF('Observaciones-SMP'!A803="","",'Observaciones-SMP'!A803)</f>
        <v/>
      </c>
      <c r="B803" s="257" t="str">
        <f>IF('Observaciones-SMP'!B803="","",'Observaciones-SMP'!B803)</f>
        <v/>
      </c>
      <c r="C803" s="193" t="str">
        <f>IF('Observaciones-SMP'!C803="","",'Observaciones-SMP'!C803)</f>
        <v/>
      </c>
      <c r="D803" s="193" t="str">
        <f>IF('Observaciones-SMP'!D803="","",'Observaciones-SMP'!D803)</f>
        <v/>
      </c>
      <c r="E803" s="193" t="str">
        <f>IF('Observaciones-SMP'!E803="","",'Observaciones-SMP'!E803)</f>
        <v/>
      </c>
      <c r="F803" s="193" t="str">
        <f>IF('Observaciones-SMP'!F803="","",'Observaciones-SMP'!F803)</f>
        <v/>
      </c>
      <c r="G803" s="193" t="str">
        <f>IF('Observaciones-SMP'!G803="","",'Observaciones-SMP'!G803)</f>
        <v/>
      </c>
      <c r="H803" s="193" t="str">
        <f>IF('Observaciones-SMP'!H803="","",'Observaciones-SMP'!H803)</f>
        <v/>
      </c>
      <c r="I803" s="193" t="str">
        <f>IF('Observaciones-SMP'!I803="","",'Observaciones-SMP'!I803)</f>
        <v/>
      </c>
      <c r="J803" s="193" t="str">
        <f>IF('Observaciones-SMP'!J803="","",'Observaciones-SMP'!J803)</f>
        <v/>
      </c>
      <c r="K803" s="193" t="str">
        <f>IF('Observaciones-SMP'!K803="","",'Observaciones-SMP'!K803)</f>
        <v/>
      </c>
      <c r="L803" s="193" t="str">
        <f>IF('Observaciones-SMP'!L803="","",'Observaciones-SMP'!L803)</f>
        <v/>
      </c>
      <c r="M803" s="193" t="str">
        <f>IF('Observaciones-SMP'!M803="","",'Observaciones-SMP'!M803)</f>
        <v/>
      </c>
      <c r="N803" s="193" t="str">
        <f>IF('Observaciones-SMP'!N803="","",'Observaciones-SMP'!N803)</f>
        <v/>
      </c>
      <c r="O803" s="193" t="str">
        <f>IF('Observaciones-SMP'!O803="","",'Observaciones-SMP'!O803)</f>
        <v/>
      </c>
      <c r="P803" s="193" t="str">
        <f>IF('Observaciones-SMP'!P803="","",'Observaciones-SMP'!P803)</f>
        <v/>
      </c>
      <c r="Q803" s="257" t="str">
        <f>IF('Observaciones-SMP'!S803="","",'Observaciones-SMP'!S803)</f>
        <v/>
      </c>
      <c r="R803" s="193" t="str">
        <f>IF('Observaciones-SMP'!T803="","",'Observaciones-SMP'!T803)</f>
        <v/>
      </c>
      <c r="S803" s="193" t="str">
        <f>""</f>
        <v/>
      </c>
      <c r="T803" s="193" t="str">
        <f>""</f>
        <v/>
      </c>
      <c r="U803" s="193" t="str">
        <f t="shared" si="48"/>
        <v/>
      </c>
      <c r="V803" s="193" t="str">
        <f>""</f>
        <v/>
      </c>
      <c r="W803" s="193" t="str">
        <f>""</f>
        <v/>
      </c>
      <c r="X803" s="258" t="str">
        <f t="shared" si="49"/>
        <v/>
      </c>
      <c r="Y803" s="258" t="str">
        <f t="shared" si="50"/>
        <v/>
      </c>
      <c r="Z803" s="193" t="str">
        <f>IF(A803="","",IF(COUNTIF('Observaciones-SMP'!$A$2:$A$1001,A803)&gt;1,1,0))</f>
        <v/>
      </c>
      <c r="AA803" s="193" t="str">
        <f t="shared" si="51"/>
        <v/>
      </c>
    </row>
    <row r="804" spans="1:27" ht="13.5" customHeight="1" x14ac:dyDescent="0.3">
      <c r="A804" s="193" t="str">
        <f>IF('Observaciones-SMP'!A804="","",'Observaciones-SMP'!A804)</f>
        <v/>
      </c>
      <c r="B804" s="257" t="str">
        <f>IF('Observaciones-SMP'!B804="","",'Observaciones-SMP'!B804)</f>
        <v/>
      </c>
      <c r="C804" s="193" t="str">
        <f>IF('Observaciones-SMP'!C804="","",'Observaciones-SMP'!C804)</f>
        <v/>
      </c>
      <c r="D804" s="193" t="str">
        <f>IF('Observaciones-SMP'!D804="","",'Observaciones-SMP'!D804)</f>
        <v/>
      </c>
      <c r="E804" s="193" t="str">
        <f>IF('Observaciones-SMP'!E804="","",'Observaciones-SMP'!E804)</f>
        <v/>
      </c>
      <c r="F804" s="193" t="str">
        <f>IF('Observaciones-SMP'!F804="","",'Observaciones-SMP'!F804)</f>
        <v/>
      </c>
      <c r="G804" s="193" t="str">
        <f>IF('Observaciones-SMP'!G804="","",'Observaciones-SMP'!G804)</f>
        <v/>
      </c>
      <c r="H804" s="193" t="str">
        <f>IF('Observaciones-SMP'!H804="","",'Observaciones-SMP'!H804)</f>
        <v/>
      </c>
      <c r="I804" s="193" t="str">
        <f>IF('Observaciones-SMP'!I804="","",'Observaciones-SMP'!I804)</f>
        <v/>
      </c>
      <c r="J804" s="193" t="str">
        <f>IF('Observaciones-SMP'!J804="","",'Observaciones-SMP'!J804)</f>
        <v/>
      </c>
      <c r="K804" s="193" t="str">
        <f>IF('Observaciones-SMP'!K804="","",'Observaciones-SMP'!K804)</f>
        <v/>
      </c>
      <c r="L804" s="193" t="str">
        <f>IF('Observaciones-SMP'!L804="","",'Observaciones-SMP'!L804)</f>
        <v/>
      </c>
      <c r="M804" s="193" t="str">
        <f>IF('Observaciones-SMP'!M804="","",'Observaciones-SMP'!M804)</f>
        <v/>
      </c>
      <c r="N804" s="193" t="str">
        <f>IF('Observaciones-SMP'!N804="","",'Observaciones-SMP'!N804)</f>
        <v/>
      </c>
      <c r="O804" s="193" t="str">
        <f>IF('Observaciones-SMP'!O804="","",'Observaciones-SMP'!O804)</f>
        <v/>
      </c>
      <c r="P804" s="193" t="str">
        <f>IF('Observaciones-SMP'!P804="","",'Observaciones-SMP'!P804)</f>
        <v/>
      </c>
      <c r="Q804" s="257" t="str">
        <f>IF('Observaciones-SMP'!S804="","",'Observaciones-SMP'!S804)</f>
        <v/>
      </c>
      <c r="R804" s="193" t="str">
        <f>IF('Observaciones-SMP'!T804="","",'Observaciones-SMP'!T804)</f>
        <v/>
      </c>
      <c r="S804" s="193" t="str">
        <f>""</f>
        <v/>
      </c>
      <c r="T804" s="193" t="str">
        <f>""</f>
        <v/>
      </c>
      <c r="U804" s="193" t="str">
        <f t="shared" si="48"/>
        <v/>
      </c>
      <c r="V804" s="193" t="str">
        <f>""</f>
        <v/>
      </c>
      <c r="W804" s="193" t="str">
        <f>""</f>
        <v/>
      </c>
      <c r="X804" s="258" t="str">
        <f t="shared" si="49"/>
        <v/>
      </c>
      <c r="Y804" s="258" t="str">
        <f t="shared" si="50"/>
        <v/>
      </c>
      <c r="Z804" s="193" t="str">
        <f>IF(A804="","",IF(COUNTIF('Observaciones-SMP'!$A$2:$A$1001,A804)&gt;1,1,0))</f>
        <v/>
      </c>
      <c r="AA804" s="193" t="str">
        <f t="shared" si="51"/>
        <v/>
      </c>
    </row>
    <row r="805" spans="1:27" ht="13.5" customHeight="1" x14ac:dyDescent="0.3">
      <c r="A805" s="193" t="str">
        <f>IF('Observaciones-SMP'!A805="","",'Observaciones-SMP'!A805)</f>
        <v/>
      </c>
      <c r="B805" s="257" t="str">
        <f>IF('Observaciones-SMP'!B805="","",'Observaciones-SMP'!B805)</f>
        <v/>
      </c>
      <c r="C805" s="193" t="str">
        <f>IF('Observaciones-SMP'!C805="","",'Observaciones-SMP'!C805)</f>
        <v/>
      </c>
      <c r="D805" s="193" t="str">
        <f>IF('Observaciones-SMP'!D805="","",'Observaciones-SMP'!D805)</f>
        <v/>
      </c>
      <c r="E805" s="193" t="str">
        <f>IF('Observaciones-SMP'!E805="","",'Observaciones-SMP'!E805)</f>
        <v/>
      </c>
      <c r="F805" s="193" t="str">
        <f>IF('Observaciones-SMP'!F805="","",'Observaciones-SMP'!F805)</f>
        <v/>
      </c>
      <c r="G805" s="193" t="str">
        <f>IF('Observaciones-SMP'!G805="","",'Observaciones-SMP'!G805)</f>
        <v/>
      </c>
      <c r="H805" s="193" t="str">
        <f>IF('Observaciones-SMP'!H805="","",'Observaciones-SMP'!H805)</f>
        <v/>
      </c>
      <c r="I805" s="193" t="str">
        <f>IF('Observaciones-SMP'!I805="","",'Observaciones-SMP'!I805)</f>
        <v/>
      </c>
      <c r="J805" s="193" t="str">
        <f>IF('Observaciones-SMP'!J805="","",'Observaciones-SMP'!J805)</f>
        <v/>
      </c>
      <c r="K805" s="193" t="str">
        <f>IF('Observaciones-SMP'!K805="","",'Observaciones-SMP'!K805)</f>
        <v/>
      </c>
      <c r="L805" s="193" t="str">
        <f>IF('Observaciones-SMP'!L805="","",'Observaciones-SMP'!L805)</f>
        <v/>
      </c>
      <c r="M805" s="193" t="str">
        <f>IF('Observaciones-SMP'!M805="","",'Observaciones-SMP'!M805)</f>
        <v/>
      </c>
      <c r="N805" s="193" t="str">
        <f>IF('Observaciones-SMP'!N805="","",'Observaciones-SMP'!N805)</f>
        <v/>
      </c>
      <c r="O805" s="193" t="str">
        <f>IF('Observaciones-SMP'!O805="","",'Observaciones-SMP'!O805)</f>
        <v/>
      </c>
      <c r="P805" s="193" t="str">
        <f>IF('Observaciones-SMP'!P805="","",'Observaciones-SMP'!P805)</f>
        <v/>
      </c>
      <c r="Q805" s="257" t="str">
        <f>IF('Observaciones-SMP'!S805="","",'Observaciones-SMP'!S805)</f>
        <v/>
      </c>
      <c r="R805" s="193" t="str">
        <f>IF('Observaciones-SMP'!T805="","",'Observaciones-SMP'!T805)</f>
        <v/>
      </c>
      <c r="S805" s="193" t="str">
        <f>""</f>
        <v/>
      </c>
      <c r="T805" s="193" t="str">
        <f>""</f>
        <v/>
      </c>
      <c r="U805" s="193" t="str">
        <f t="shared" si="48"/>
        <v/>
      </c>
      <c r="V805" s="193" t="str">
        <f>""</f>
        <v/>
      </c>
      <c r="W805" s="193" t="str">
        <f>""</f>
        <v/>
      </c>
      <c r="X805" s="258" t="str">
        <f t="shared" si="49"/>
        <v/>
      </c>
      <c r="Y805" s="258" t="str">
        <f t="shared" si="50"/>
        <v/>
      </c>
      <c r="Z805" s="193" t="str">
        <f>IF(A805="","",IF(COUNTIF('Observaciones-SMP'!$A$2:$A$1001,A805)&gt;1,1,0))</f>
        <v/>
      </c>
      <c r="AA805" s="193" t="str">
        <f t="shared" si="51"/>
        <v/>
      </c>
    </row>
    <row r="806" spans="1:27" ht="13.5" customHeight="1" x14ac:dyDescent="0.3">
      <c r="A806" s="193" t="str">
        <f>IF('Observaciones-SMP'!A806="","",'Observaciones-SMP'!A806)</f>
        <v/>
      </c>
      <c r="B806" s="257" t="str">
        <f>IF('Observaciones-SMP'!B806="","",'Observaciones-SMP'!B806)</f>
        <v/>
      </c>
      <c r="C806" s="193" t="str">
        <f>IF('Observaciones-SMP'!C806="","",'Observaciones-SMP'!C806)</f>
        <v/>
      </c>
      <c r="D806" s="193" t="str">
        <f>IF('Observaciones-SMP'!D806="","",'Observaciones-SMP'!D806)</f>
        <v/>
      </c>
      <c r="E806" s="193" t="str">
        <f>IF('Observaciones-SMP'!E806="","",'Observaciones-SMP'!E806)</f>
        <v/>
      </c>
      <c r="F806" s="193" t="str">
        <f>IF('Observaciones-SMP'!F806="","",'Observaciones-SMP'!F806)</f>
        <v/>
      </c>
      <c r="G806" s="193" t="str">
        <f>IF('Observaciones-SMP'!G806="","",'Observaciones-SMP'!G806)</f>
        <v/>
      </c>
      <c r="H806" s="193" t="str">
        <f>IF('Observaciones-SMP'!H806="","",'Observaciones-SMP'!H806)</f>
        <v/>
      </c>
      <c r="I806" s="193" t="str">
        <f>IF('Observaciones-SMP'!I806="","",'Observaciones-SMP'!I806)</f>
        <v/>
      </c>
      <c r="J806" s="193" t="str">
        <f>IF('Observaciones-SMP'!J806="","",'Observaciones-SMP'!J806)</f>
        <v/>
      </c>
      <c r="K806" s="193" t="str">
        <f>IF('Observaciones-SMP'!K806="","",'Observaciones-SMP'!K806)</f>
        <v/>
      </c>
      <c r="L806" s="193" t="str">
        <f>IF('Observaciones-SMP'!L806="","",'Observaciones-SMP'!L806)</f>
        <v/>
      </c>
      <c r="M806" s="193" t="str">
        <f>IF('Observaciones-SMP'!M806="","",'Observaciones-SMP'!M806)</f>
        <v/>
      </c>
      <c r="N806" s="193" t="str">
        <f>IF('Observaciones-SMP'!N806="","",'Observaciones-SMP'!N806)</f>
        <v/>
      </c>
      <c r="O806" s="193" t="str">
        <f>IF('Observaciones-SMP'!O806="","",'Observaciones-SMP'!O806)</f>
        <v/>
      </c>
      <c r="P806" s="193" t="str">
        <f>IF('Observaciones-SMP'!P806="","",'Observaciones-SMP'!P806)</f>
        <v/>
      </c>
      <c r="Q806" s="257" t="str">
        <f>IF('Observaciones-SMP'!S806="","",'Observaciones-SMP'!S806)</f>
        <v/>
      </c>
      <c r="R806" s="193" t="str">
        <f>IF('Observaciones-SMP'!T806="","",'Observaciones-SMP'!T806)</f>
        <v/>
      </c>
      <c r="S806" s="193" t="str">
        <f>""</f>
        <v/>
      </c>
      <c r="T806" s="193" t="str">
        <f>""</f>
        <v/>
      </c>
      <c r="U806" s="193" t="str">
        <f t="shared" si="48"/>
        <v/>
      </c>
      <c r="V806" s="193" t="str">
        <f>""</f>
        <v/>
      </c>
      <c r="W806" s="193" t="str">
        <f>""</f>
        <v/>
      </c>
      <c r="X806" s="258" t="str">
        <f t="shared" si="49"/>
        <v/>
      </c>
      <c r="Y806" s="258" t="str">
        <f t="shared" si="50"/>
        <v/>
      </c>
      <c r="Z806" s="193" t="str">
        <f>IF(A806="","",IF(COUNTIF('Observaciones-SMP'!$A$2:$A$1001,A806)&gt;1,1,0))</f>
        <v/>
      </c>
      <c r="AA806" s="193" t="str">
        <f t="shared" si="51"/>
        <v/>
      </c>
    </row>
    <row r="807" spans="1:27" ht="13.5" customHeight="1" x14ac:dyDescent="0.3">
      <c r="A807" s="193" t="str">
        <f>IF('Observaciones-SMP'!A807="","",'Observaciones-SMP'!A807)</f>
        <v/>
      </c>
      <c r="B807" s="257" t="str">
        <f>IF('Observaciones-SMP'!B807="","",'Observaciones-SMP'!B807)</f>
        <v/>
      </c>
      <c r="C807" s="193" t="str">
        <f>IF('Observaciones-SMP'!C807="","",'Observaciones-SMP'!C807)</f>
        <v/>
      </c>
      <c r="D807" s="193" t="str">
        <f>IF('Observaciones-SMP'!D807="","",'Observaciones-SMP'!D807)</f>
        <v/>
      </c>
      <c r="E807" s="193" t="str">
        <f>IF('Observaciones-SMP'!E807="","",'Observaciones-SMP'!E807)</f>
        <v/>
      </c>
      <c r="F807" s="193" t="str">
        <f>IF('Observaciones-SMP'!F807="","",'Observaciones-SMP'!F807)</f>
        <v/>
      </c>
      <c r="G807" s="193" t="str">
        <f>IF('Observaciones-SMP'!G807="","",'Observaciones-SMP'!G807)</f>
        <v/>
      </c>
      <c r="H807" s="193" t="str">
        <f>IF('Observaciones-SMP'!H807="","",'Observaciones-SMP'!H807)</f>
        <v/>
      </c>
      <c r="I807" s="193" t="str">
        <f>IF('Observaciones-SMP'!I807="","",'Observaciones-SMP'!I807)</f>
        <v/>
      </c>
      <c r="J807" s="193" t="str">
        <f>IF('Observaciones-SMP'!J807="","",'Observaciones-SMP'!J807)</f>
        <v/>
      </c>
      <c r="K807" s="193" t="str">
        <f>IF('Observaciones-SMP'!K807="","",'Observaciones-SMP'!K807)</f>
        <v/>
      </c>
      <c r="L807" s="193" t="str">
        <f>IF('Observaciones-SMP'!L807="","",'Observaciones-SMP'!L807)</f>
        <v/>
      </c>
      <c r="M807" s="193" t="str">
        <f>IF('Observaciones-SMP'!M807="","",'Observaciones-SMP'!M807)</f>
        <v/>
      </c>
      <c r="N807" s="193" t="str">
        <f>IF('Observaciones-SMP'!N807="","",'Observaciones-SMP'!N807)</f>
        <v/>
      </c>
      <c r="O807" s="193" t="str">
        <f>IF('Observaciones-SMP'!O807="","",'Observaciones-SMP'!O807)</f>
        <v/>
      </c>
      <c r="P807" s="193" t="str">
        <f>IF('Observaciones-SMP'!P807="","",'Observaciones-SMP'!P807)</f>
        <v/>
      </c>
      <c r="Q807" s="257" t="str">
        <f>IF('Observaciones-SMP'!S807="","",'Observaciones-SMP'!S807)</f>
        <v/>
      </c>
      <c r="R807" s="193" t="str">
        <f>IF('Observaciones-SMP'!T807="","",'Observaciones-SMP'!T807)</f>
        <v/>
      </c>
      <c r="S807" s="193" t="str">
        <f>""</f>
        <v/>
      </c>
      <c r="T807" s="193" t="str">
        <f>""</f>
        <v/>
      </c>
      <c r="U807" s="193" t="str">
        <f t="shared" si="48"/>
        <v/>
      </c>
      <c r="V807" s="193" t="str">
        <f>""</f>
        <v/>
      </c>
      <c r="W807" s="193" t="str">
        <f>""</f>
        <v/>
      </c>
      <c r="X807" s="258" t="str">
        <f t="shared" si="49"/>
        <v/>
      </c>
      <c r="Y807" s="258" t="str">
        <f t="shared" si="50"/>
        <v/>
      </c>
      <c r="Z807" s="193" t="str">
        <f>IF(A807="","",IF(COUNTIF('Observaciones-SMP'!$A$2:$A$1001,A807)&gt;1,1,0))</f>
        <v/>
      </c>
      <c r="AA807" s="193" t="str">
        <f t="shared" si="51"/>
        <v/>
      </c>
    </row>
    <row r="808" spans="1:27" ht="13.5" customHeight="1" x14ac:dyDescent="0.3">
      <c r="A808" s="193" t="str">
        <f>IF('Observaciones-SMP'!A808="","",'Observaciones-SMP'!A808)</f>
        <v/>
      </c>
      <c r="B808" s="257" t="str">
        <f>IF('Observaciones-SMP'!B808="","",'Observaciones-SMP'!B808)</f>
        <v/>
      </c>
      <c r="C808" s="193" t="str">
        <f>IF('Observaciones-SMP'!C808="","",'Observaciones-SMP'!C808)</f>
        <v/>
      </c>
      <c r="D808" s="193" t="str">
        <f>IF('Observaciones-SMP'!D808="","",'Observaciones-SMP'!D808)</f>
        <v/>
      </c>
      <c r="E808" s="193" t="str">
        <f>IF('Observaciones-SMP'!E808="","",'Observaciones-SMP'!E808)</f>
        <v/>
      </c>
      <c r="F808" s="193" t="str">
        <f>IF('Observaciones-SMP'!F808="","",'Observaciones-SMP'!F808)</f>
        <v/>
      </c>
      <c r="G808" s="193" t="str">
        <f>IF('Observaciones-SMP'!G808="","",'Observaciones-SMP'!G808)</f>
        <v/>
      </c>
      <c r="H808" s="193" t="str">
        <f>IF('Observaciones-SMP'!H808="","",'Observaciones-SMP'!H808)</f>
        <v/>
      </c>
      <c r="I808" s="193" t="str">
        <f>IF('Observaciones-SMP'!I808="","",'Observaciones-SMP'!I808)</f>
        <v/>
      </c>
      <c r="J808" s="193" t="str">
        <f>IF('Observaciones-SMP'!J808="","",'Observaciones-SMP'!J808)</f>
        <v/>
      </c>
      <c r="K808" s="193" t="str">
        <f>IF('Observaciones-SMP'!K808="","",'Observaciones-SMP'!K808)</f>
        <v/>
      </c>
      <c r="L808" s="193" t="str">
        <f>IF('Observaciones-SMP'!L808="","",'Observaciones-SMP'!L808)</f>
        <v/>
      </c>
      <c r="M808" s="193" t="str">
        <f>IF('Observaciones-SMP'!M808="","",'Observaciones-SMP'!M808)</f>
        <v/>
      </c>
      <c r="N808" s="193" t="str">
        <f>IF('Observaciones-SMP'!N808="","",'Observaciones-SMP'!N808)</f>
        <v/>
      </c>
      <c r="O808" s="193" t="str">
        <f>IF('Observaciones-SMP'!O808="","",'Observaciones-SMP'!O808)</f>
        <v/>
      </c>
      <c r="P808" s="193" t="str">
        <f>IF('Observaciones-SMP'!P808="","",'Observaciones-SMP'!P808)</f>
        <v/>
      </c>
      <c r="Q808" s="257" t="str">
        <f>IF('Observaciones-SMP'!S808="","",'Observaciones-SMP'!S808)</f>
        <v/>
      </c>
      <c r="R808" s="193" t="str">
        <f>IF('Observaciones-SMP'!T808="","",'Observaciones-SMP'!T808)</f>
        <v/>
      </c>
      <c r="S808" s="193" t="str">
        <f>""</f>
        <v/>
      </c>
      <c r="T808" s="193" t="str">
        <f>""</f>
        <v/>
      </c>
      <c r="U808" s="193" t="str">
        <f t="shared" si="48"/>
        <v/>
      </c>
      <c r="V808" s="193" t="str">
        <f>""</f>
        <v/>
      </c>
      <c r="W808" s="193" t="str">
        <f>""</f>
        <v/>
      </c>
      <c r="X808" s="258" t="str">
        <f t="shared" si="49"/>
        <v/>
      </c>
      <c r="Y808" s="258" t="str">
        <f t="shared" si="50"/>
        <v/>
      </c>
      <c r="Z808" s="193" t="str">
        <f>IF(A808="","",IF(COUNTIF('Observaciones-SMP'!$A$2:$A$1001,A808)&gt;1,1,0))</f>
        <v/>
      </c>
      <c r="AA808" s="193" t="str">
        <f t="shared" si="51"/>
        <v/>
      </c>
    </row>
    <row r="809" spans="1:27" ht="13.5" customHeight="1" x14ac:dyDescent="0.3">
      <c r="A809" s="193" t="str">
        <f>IF('Observaciones-SMP'!A809="","",'Observaciones-SMP'!A809)</f>
        <v/>
      </c>
      <c r="B809" s="257" t="str">
        <f>IF('Observaciones-SMP'!B809="","",'Observaciones-SMP'!B809)</f>
        <v/>
      </c>
      <c r="C809" s="193" t="str">
        <f>IF('Observaciones-SMP'!C809="","",'Observaciones-SMP'!C809)</f>
        <v/>
      </c>
      <c r="D809" s="193" t="str">
        <f>IF('Observaciones-SMP'!D809="","",'Observaciones-SMP'!D809)</f>
        <v/>
      </c>
      <c r="E809" s="193" t="str">
        <f>IF('Observaciones-SMP'!E809="","",'Observaciones-SMP'!E809)</f>
        <v/>
      </c>
      <c r="F809" s="193" t="str">
        <f>IF('Observaciones-SMP'!F809="","",'Observaciones-SMP'!F809)</f>
        <v/>
      </c>
      <c r="G809" s="193" t="str">
        <f>IF('Observaciones-SMP'!G809="","",'Observaciones-SMP'!G809)</f>
        <v/>
      </c>
      <c r="H809" s="193" t="str">
        <f>IF('Observaciones-SMP'!H809="","",'Observaciones-SMP'!H809)</f>
        <v/>
      </c>
      <c r="I809" s="193" t="str">
        <f>IF('Observaciones-SMP'!I809="","",'Observaciones-SMP'!I809)</f>
        <v/>
      </c>
      <c r="J809" s="193" t="str">
        <f>IF('Observaciones-SMP'!J809="","",'Observaciones-SMP'!J809)</f>
        <v/>
      </c>
      <c r="K809" s="193" t="str">
        <f>IF('Observaciones-SMP'!K809="","",'Observaciones-SMP'!K809)</f>
        <v/>
      </c>
      <c r="L809" s="193" t="str">
        <f>IF('Observaciones-SMP'!L809="","",'Observaciones-SMP'!L809)</f>
        <v/>
      </c>
      <c r="M809" s="193" t="str">
        <f>IF('Observaciones-SMP'!M809="","",'Observaciones-SMP'!M809)</f>
        <v/>
      </c>
      <c r="N809" s="193" t="str">
        <f>IF('Observaciones-SMP'!N809="","",'Observaciones-SMP'!N809)</f>
        <v/>
      </c>
      <c r="O809" s="193" t="str">
        <f>IF('Observaciones-SMP'!O809="","",'Observaciones-SMP'!O809)</f>
        <v/>
      </c>
      <c r="P809" s="193" t="str">
        <f>IF('Observaciones-SMP'!P809="","",'Observaciones-SMP'!P809)</f>
        <v/>
      </c>
      <c r="Q809" s="257" t="str">
        <f>IF('Observaciones-SMP'!S809="","",'Observaciones-SMP'!S809)</f>
        <v/>
      </c>
      <c r="R809" s="193" t="str">
        <f>IF('Observaciones-SMP'!T809="","",'Observaciones-SMP'!T809)</f>
        <v/>
      </c>
      <c r="S809" s="193" t="str">
        <f>""</f>
        <v/>
      </c>
      <c r="T809" s="193" t="str">
        <f>""</f>
        <v/>
      </c>
      <c r="U809" s="193" t="str">
        <f t="shared" si="48"/>
        <v/>
      </c>
      <c r="V809" s="193" t="str">
        <f>""</f>
        <v/>
      </c>
      <c r="W809" s="193" t="str">
        <f>""</f>
        <v/>
      </c>
      <c r="X809" s="258" t="str">
        <f t="shared" si="49"/>
        <v/>
      </c>
      <c r="Y809" s="258" t="str">
        <f t="shared" si="50"/>
        <v/>
      </c>
      <c r="Z809" s="193" t="str">
        <f>IF(A809="","",IF(COUNTIF('Observaciones-SMP'!$A$2:$A$1001,A809)&gt;1,1,0))</f>
        <v/>
      </c>
      <c r="AA809" s="193" t="str">
        <f t="shared" si="51"/>
        <v/>
      </c>
    </row>
    <row r="810" spans="1:27" ht="13.5" customHeight="1" x14ac:dyDescent="0.3">
      <c r="A810" s="193" t="str">
        <f>IF('Observaciones-SMP'!A810="","",'Observaciones-SMP'!A810)</f>
        <v/>
      </c>
      <c r="B810" s="257" t="str">
        <f>IF('Observaciones-SMP'!B810="","",'Observaciones-SMP'!B810)</f>
        <v/>
      </c>
      <c r="C810" s="193" t="str">
        <f>IF('Observaciones-SMP'!C810="","",'Observaciones-SMP'!C810)</f>
        <v/>
      </c>
      <c r="D810" s="193" t="str">
        <f>IF('Observaciones-SMP'!D810="","",'Observaciones-SMP'!D810)</f>
        <v/>
      </c>
      <c r="E810" s="193" t="str">
        <f>IF('Observaciones-SMP'!E810="","",'Observaciones-SMP'!E810)</f>
        <v/>
      </c>
      <c r="F810" s="193" t="str">
        <f>IF('Observaciones-SMP'!F810="","",'Observaciones-SMP'!F810)</f>
        <v/>
      </c>
      <c r="G810" s="193" t="str">
        <f>IF('Observaciones-SMP'!G810="","",'Observaciones-SMP'!G810)</f>
        <v/>
      </c>
      <c r="H810" s="193" t="str">
        <f>IF('Observaciones-SMP'!H810="","",'Observaciones-SMP'!H810)</f>
        <v/>
      </c>
      <c r="I810" s="193" t="str">
        <f>IF('Observaciones-SMP'!I810="","",'Observaciones-SMP'!I810)</f>
        <v/>
      </c>
      <c r="J810" s="193" t="str">
        <f>IF('Observaciones-SMP'!J810="","",'Observaciones-SMP'!J810)</f>
        <v/>
      </c>
      <c r="K810" s="193" t="str">
        <f>IF('Observaciones-SMP'!K810="","",'Observaciones-SMP'!K810)</f>
        <v/>
      </c>
      <c r="L810" s="193" t="str">
        <f>IF('Observaciones-SMP'!L810="","",'Observaciones-SMP'!L810)</f>
        <v/>
      </c>
      <c r="M810" s="193" t="str">
        <f>IF('Observaciones-SMP'!M810="","",'Observaciones-SMP'!M810)</f>
        <v/>
      </c>
      <c r="N810" s="193" t="str">
        <f>IF('Observaciones-SMP'!N810="","",'Observaciones-SMP'!N810)</f>
        <v/>
      </c>
      <c r="O810" s="193" t="str">
        <f>IF('Observaciones-SMP'!O810="","",'Observaciones-SMP'!O810)</f>
        <v/>
      </c>
      <c r="P810" s="193" t="str">
        <f>IF('Observaciones-SMP'!P810="","",'Observaciones-SMP'!P810)</f>
        <v/>
      </c>
      <c r="Q810" s="257" t="str">
        <f>IF('Observaciones-SMP'!S810="","",'Observaciones-SMP'!S810)</f>
        <v/>
      </c>
      <c r="R810" s="193" t="str">
        <f>IF('Observaciones-SMP'!T810="","",'Observaciones-SMP'!T810)</f>
        <v/>
      </c>
      <c r="S810" s="193" t="str">
        <f>""</f>
        <v/>
      </c>
      <c r="T810" s="193" t="str">
        <f>""</f>
        <v/>
      </c>
      <c r="U810" s="193" t="str">
        <f t="shared" si="48"/>
        <v/>
      </c>
      <c r="V810" s="193" t="str">
        <f>""</f>
        <v/>
      </c>
      <c r="W810" s="193" t="str">
        <f>""</f>
        <v/>
      </c>
      <c r="X810" s="258" t="str">
        <f t="shared" si="49"/>
        <v/>
      </c>
      <c r="Y810" s="258" t="str">
        <f t="shared" si="50"/>
        <v/>
      </c>
      <c r="Z810" s="193" t="str">
        <f>IF(A810="","",IF(COUNTIF('Observaciones-SMP'!$A$2:$A$1001,A810)&gt;1,1,0))</f>
        <v/>
      </c>
      <c r="AA810" s="193" t="str">
        <f t="shared" si="51"/>
        <v/>
      </c>
    </row>
    <row r="811" spans="1:27" ht="13.5" customHeight="1" x14ac:dyDescent="0.3">
      <c r="A811" s="193" t="str">
        <f>IF('Observaciones-SMP'!A811="","",'Observaciones-SMP'!A811)</f>
        <v/>
      </c>
      <c r="B811" s="257" t="str">
        <f>IF('Observaciones-SMP'!B811="","",'Observaciones-SMP'!B811)</f>
        <v/>
      </c>
      <c r="C811" s="193" t="str">
        <f>IF('Observaciones-SMP'!C811="","",'Observaciones-SMP'!C811)</f>
        <v/>
      </c>
      <c r="D811" s="193" t="str">
        <f>IF('Observaciones-SMP'!D811="","",'Observaciones-SMP'!D811)</f>
        <v/>
      </c>
      <c r="E811" s="193" t="str">
        <f>IF('Observaciones-SMP'!E811="","",'Observaciones-SMP'!E811)</f>
        <v/>
      </c>
      <c r="F811" s="193" t="str">
        <f>IF('Observaciones-SMP'!F811="","",'Observaciones-SMP'!F811)</f>
        <v/>
      </c>
      <c r="G811" s="193" t="str">
        <f>IF('Observaciones-SMP'!G811="","",'Observaciones-SMP'!G811)</f>
        <v/>
      </c>
      <c r="H811" s="193" t="str">
        <f>IF('Observaciones-SMP'!H811="","",'Observaciones-SMP'!H811)</f>
        <v/>
      </c>
      <c r="I811" s="193" t="str">
        <f>IF('Observaciones-SMP'!I811="","",'Observaciones-SMP'!I811)</f>
        <v/>
      </c>
      <c r="J811" s="193" t="str">
        <f>IF('Observaciones-SMP'!J811="","",'Observaciones-SMP'!J811)</f>
        <v/>
      </c>
      <c r="K811" s="193" t="str">
        <f>IF('Observaciones-SMP'!K811="","",'Observaciones-SMP'!K811)</f>
        <v/>
      </c>
      <c r="L811" s="193" t="str">
        <f>IF('Observaciones-SMP'!L811="","",'Observaciones-SMP'!L811)</f>
        <v/>
      </c>
      <c r="M811" s="193" t="str">
        <f>IF('Observaciones-SMP'!M811="","",'Observaciones-SMP'!M811)</f>
        <v/>
      </c>
      <c r="N811" s="193" t="str">
        <f>IF('Observaciones-SMP'!N811="","",'Observaciones-SMP'!N811)</f>
        <v/>
      </c>
      <c r="O811" s="193" t="str">
        <f>IF('Observaciones-SMP'!O811="","",'Observaciones-SMP'!O811)</f>
        <v/>
      </c>
      <c r="P811" s="193" t="str">
        <f>IF('Observaciones-SMP'!P811="","",'Observaciones-SMP'!P811)</f>
        <v/>
      </c>
      <c r="Q811" s="257" t="str">
        <f>IF('Observaciones-SMP'!S811="","",'Observaciones-SMP'!S811)</f>
        <v/>
      </c>
      <c r="R811" s="193" t="str">
        <f>IF('Observaciones-SMP'!T811="","",'Observaciones-SMP'!T811)</f>
        <v/>
      </c>
      <c r="S811" s="193" t="str">
        <f>""</f>
        <v/>
      </c>
      <c r="T811" s="193" t="str">
        <f>""</f>
        <v/>
      </c>
      <c r="U811" s="193" t="str">
        <f t="shared" si="48"/>
        <v/>
      </c>
      <c r="V811" s="193" t="str">
        <f>""</f>
        <v/>
      </c>
      <c r="W811" s="193" t="str">
        <f>""</f>
        <v/>
      </c>
      <c r="X811" s="258" t="str">
        <f t="shared" si="49"/>
        <v/>
      </c>
      <c r="Y811" s="258" t="str">
        <f t="shared" si="50"/>
        <v/>
      </c>
      <c r="Z811" s="193" t="str">
        <f>IF(A811="","",IF(COUNTIF('Observaciones-SMP'!$A$2:$A$1001,A811)&gt;1,1,0))</f>
        <v/>
      </c>
      <c r="AA811" s="193" t="str">
        <f t="shared" si="51"/>
        <v/>
      </c>
    </row>
    <row r="812" spans="1:27" ht="13.5" customHeight="1" x14ac:dyDescent="0.3">
      <c r="A812" s="193" t="str">
        <f>IF('Observaciones-SMP'!A812="","",'Observaciones-SMP'!A812)</f>
        <v/>
      </c>
      <c r="B812" s="257" t="str">
        <f>IF('Observaciones-SMP'!B812="","",'Observaciones-SMP'!B812)</f>
        <v/>
      </c>
      <c r="C812" s="193" t="str">
        <f>IF('Observaciones-SMP'!C812="","",'Observaciones-SMP'!C812)</f>
        <v/>
      </c>
      <c r="D812" s="193" t="str">
        <f>IF('Observaciones-SMP'!D812="","",'Observaciones-SMP'!D812)</f>
        <v/>
      </c>
      <c r="E812" s="193" t="str">
        <f>IF('Observaciones-SMP'!E812="","",'Observaciones-SMP'!E812)</f>
        <v/>
      </c>
      <c r="F812" s="193" t="str">
        <f>IF('Observaciones-SMP'!F812="","",'Observaciones-SMP'!F812)</f>
        <v/>
      </c>
      <c r="G812" s="193" t="str">
        <f>IF('Observaciones-SMP'!G812="","",'Observaciones-SMP'!G812)</f>
        <v/>
      </c>
      <c r="H812" s="193" t="str">
        <f>IF('Observaciones-SMP'!H812="","",'Observaciones-SMP'!H812)</f>
        <v/>
      </c>
      <c r="I812" s="193" t="str">
        <f>IF('Observaciones-SMP'!I812="","",'Observaciones-SMP'!I812)</f>
        <v/>
      </c>
      <c r="J812" s="193" t="str">
        <f>IF('Observaciones-SMP'!J812="","",'Observaciones-SMP'!J812)</f>
        <v/>
      </c>
      <c r="K812" s="193" t="str">
        <f>IF('Observaciones-SMP'!K812="","",'Observaciones-SMP'!K812)</f>
        <v/>
      </c>
      <c r="L812" s="193" t="str">
        <f>IF('Observaciones-SMP'!L812="","",'Observaciones-SMP'!L812)</f>
        <v/>
      </c>
      <c r="M812" s="193" t="str">
        <f>IF('Observaciones-SMP'!M812="","",'Observaciones-SMP'!M812)</f>
        <v/>
      </c>
      <c r="N812" s="193" t="str">
        <f>IF('Observaciones-SMP'!N812="","",'Observaciones-SMP'!N812)</f>
        <v/>
      </c>
      <c r="O812" s="193" t="str">
        <f>IF('Observaciones-SMP'!O812="","",'Observaciones-SMP'!O812)</f>
        <v/>
      </c>
      <c r="P812" s="193" t="str">
        <f>IF('Observaciones-SMP'!P812="","",'Observaciones-SMP'!P812)</f>
        <v/>
      </c>
      <c r="Q812" s="257" t="str">
        <f>IF('Observaciones-SMP'!S812="","",'Observaciones-SMP'!S812)</f>
        <v/>
      </c>
      <c r="R812" s="193" t="str">
        <f>IF('Observaciones-SMP'!T812="","",'Observaciones-SMP'!T812)</f>
        <v/>
      </c>
      <c r="S812" s="193" t="str">
        <f>""</f>
        <v/>
      </c>
      <c r="T812" s="193" t="str">
        <f>""</f>
        <v/>
      </c>
      <c r="U812" s="193" t="str">
        <f t="shared" si="48"/>
        <v/>
      </c>
      <c r="V812" s="193" t="str">
        <f>""</f>
        <v/>
      </c>
      <c r="W812" s="193" t="str">
        <f>""</f>
        <v/>
      </c>
      <c r="X812" s="258" t="str">
        <f t="shared" si="49"/>
        <v/>
      </c>
      <c r="Y812" s="258" t="str">
        <f t="shared" si="50"/>
        <v/>
      </c>
      <c r="Z812" s="193" t="str">
        <f>IF(A812="","",IF(COUNTIF('Observaciones-SMP'!$A$2:$A$1001,A812)&gt;1,1,0))</f>
        <v/>
      </c>
      <c r="AA812" s="193" t="str">
        <f t="shared" si="51"/>
        <v/>
      </c>
    </row>
    <row r="813" spans="1:27" ht="13.5" customHeight="1" x14ac:dyDescent="0.3">
      <c r="A813" s="193" t="str">
        <f>IF('Observaciones-SMP'!A813="","",'Observaciones-SMP'!A813)</f>
        <v/>
      </c>
      <c r="B813" s="257" t="str">
        <f>IF('Observaciones-SMP'!B813="","",'Observaciones-SMP'!B813)</f>
        <v/>
      </c>
      <c r="C813" s="193" t="str">
        <f>IF('Observaciones-SMP'!C813="","",'Observaciones-SMP'!C813)</f>
        <v/>
      </c>
      <c r="D813" s="193" t="str">
        <f>IF('Observaciones-SMP'!D813="","",'Observaciones-SMP'!D813)</f>
        <v/>
      </c>
      <c r="E813" s="193" t="str">
        <f>IF('Observaciones-SMP'!E813="","",'Observaciones-SMP'!E813)</f>
        <v/>
      </c>
      <c r="F813" s="193" t="str">
        <f>IF('Observaciones-SMP'!F813="","",'Observaciones-SMP'!F813)</f>
        <v/>
      </c>
      <c r="G813" s="193" t="str">
        <f>IF('Observaciones-SMP'!G813="","",'Observaciones-SMP'!G813)</f>
        <v/>
      </c>
      <c r="H813" s="193" t="str">
        <f>IF('Observaciones-SMP'!H813="","",'Observaciones-SMP'!H813)</f>
        <v/>
      </c>
      <c r="I813" s="193" t="str">
        <f>IF('Observaciones-SMP'!I813="","",'Observaciones-SMP'!I813)</f>
        <v/>
      </c>
      <c r="J813" s="193" t="str">
        <f>IF('Observaciones-SMP'!J813="","",'Observaciones-SMP'!J813)</f>
        <v/>
      </c>
      <c r="K813" s="193" t="str">
        <f>IF('Observaciones-SMP'!K813="","",'Observaciones-SMP'!K813)</f>
        <v/>
      </c>
      <c r="L813" s="193" t="str">
        <f>IF('Observaciones-SMP'!L813="","",'Observaciones-SMP'!L813)</f>
        <v/>
      </c>
      <c r="M813" s="193" t="str">
        <f>IF('Observaciones-SMP'!M813="","",'Observaciones-SMP'!M813)</f>
        <v/>
      </c>
      <c r="N813" s="193" t="str">
        <f>IF('Observaciones-SMP'!N813="","",'Observaciones-SMP'!N813)</f>
        <v/>
      </c>
      <c r="O813" s="193" t="str">
        <f>IF('Observaciones-SMP'!O813="","",'Observaciones-SMP'!O813)</f>
        <v/>
      </c>
      <c r="P813" s="193" t="str">
        <f>IF('Observaciones-SMP'!P813="","",'Observaciones-SMP'!P813)</f>
        <v/>
      </c>
      <c r="Q813" s="257" t="str">
        <f>IF('Observaciones-SMP'!S813="","",'Observaciones-SMP'!S813)</f>
        <v/>
      </c>
      <c r="R813" s="193" t="str">
        <f>IF('Observaciones-SMP'!T813="","",'Observaciones-SMP'!T813)</f>
        <v/>
      </c>
      <c r="S813" s="193" t="str">
        <f>""</f>
        <v/>
      </c>
      <c r="T813" s="193" t="str">
        <f>""</f>
        <v/>
      </c>
      <c r="U813" s="193" t="str">
        <f t="shared" si="48"/>
        <v/>
      </c>
      <c r="V813" s="193" t="str">
        <f>""</f>
        <v/>
      </c>
      <c r="W813" s="193" t="str">
        <f>""</f>
        <v/>
      </c>
      <c r="X813" s="258" t="str">
        <f t="shared" si="49"/>
        <v/>
      </c>
      <c r="Y813" s="258" t="str">
        <f t="shared" si="50"/>
        <v/>
      </c>
      <c r="Z813" s="193" t="str">
        <f>IF(A813="","",IF(COUNTIF('Observaciones-SMP'!$A$2:$A$1001,A813)&gt;1,1,0))</f>
        <v/>
      </c>
      <c r="AA813" s="193" t="str">
        <f t="shared" si="51"/>
        <v/>
      </c>
    </row>
    <row r="814" spans="1:27" ht="13.5" customHeight="1" x14ac:dyDescent="0.3">
      <c r="A814" s="193" t="str">
        <f>IF('Observaciones-SMP'!A814="","",'Observaciones-SMP'!A814)</f>
        <v/>
      </c>
      <c r="B814" s="257" t="str">
        <f>IF('Observaciones-SMP'!B814="","",'Observaciones-SMP'!B814)</f>
        <v/>
      </c>
      <c r="C814" s="193" t="str">
        <f>IF('Observaciones-SMP'!C814="","",'Observaciones-SMP'!C814)</f>
        <v/>
      </c>
      <c r="D814" s="193" t="str">
        <f>IF('Observaciones-SMP'!D814="","",'Observaciones-SMP'!D814)</f>
        <v/>
      </c>
      <c r="E814" s="193" t="str">
        <f>IF('Observaciones-SMP'!E814="","",'Observaciones-SMP'!E814)</f>
        <v/>
      </c>
      <c r="F814" s="193" t="str">
        <f>IF('Observaciones-SMP'!F814="","",'Observaciones-SMP'!F814)</f>
        <v/>
      </c>
      <c r="G814" s="193" t="str">
        <f>IF('Observaciones-SMP'!G814="","",'Observaciones-SMP'!G814)</f>
        <v/>
      </c>
      <c r="H814" s="193" t="str">
        <f>IF('Observaciones-SMP'!H814="","",'Observaciones-SMP'!H814)</f>
        <v/>
      </c>
      <c r="I814" s="193" t="str">
        <f>IF('Observaciones-SMP'!I814="","",'Observaciones-SMP'!I814)</f>
        <v/>
      </c>
      <c r="J814" s="193" t="str">
        <f>IF('Observaciones-SMP'!J814="","",'Observaciones-SMP'!J814)</f>
        <v/>
      </c>
      <c r="K814" s="193" t="str">
        <f>IF('Observaciones-SMP'!K814="","",'Observaciones-SMP'!K814)</f>
        <v/>
      </c>
      <c r="L814" s="193" t="str">
        <f>IF('Observaciones-SMP'!L814="","",'Observaciones-SMP'!L814)</f>
        <v/>
      </c>
      <c r="M814" s="193" t="str">
        <f>IF('Observaciones-SMP'!M814="","",'Observaciones-SMP'!M814)</f>
        <v/>
      </c>
      <c r="N814" s="193" t="str">
        <f>IF('Observaciones-SMP'!N814="","",'Observaciones-SMP'!N814)</f>
        <v/>
      </c>
      <c r="O814" s="193" t="str">
        <f>IF('Observaciones-SMP'!O814="","",'Observaciones-SMP'!O814)</f>
        <v/>
      </c>
      <c r="P814" s="193" t="str">
        <f>IF('Observaciones-SMP'!P814="","",'Observaciones-SMP'!P814)</f>
        <v/>
      </c>
      <c r="Q814" s="257" t="str">
        <f>IF('Observaciones-SMP'!S814="","",'Observaciones-SMP'!S814)</f>
        <v/>
      </c>
      <c r="R814" s="193" t="str">
        <f>IF('Observaciones-SMP'!T814="","",'Observaciones-SMP'!T814)</f>
        <v/>
      </c>
      <c r="S814" s="193" t="str">
        <f>""</f>
        <v/>
      </c>
      <c r="T814" s="193" t="str">
        <f>""</f>
        <v/>
      </c>
      <c r="U814" s="193" t="str">
        <f t="shared" si="48"/>
        <v/>
      </c>
      <c r="V814" s="193" t="str">
        <f>""</f>
        <v/>
      </c>
      <c r="W814" s="193" t="str">
        <f>""</f>
        <v/>
      </c>
      <c r="X814" s="258" t="str">
        <f t="shared" si="49"/>
        <v/>
      </c>
      <c r="Y814" s="258" t="str">
        <f t="shared" si="50"/>
        <v/>
      </c>
      <c r="Z814" s="193" t="str">
        <f>IF(A814="","",IF(COUNTIF('Observaciones-SMP'!$A$2:$A$1001,A814)&gt;1,1,0))</f>
        <v/>
      </c>
      <c r="AA814" s="193" t="str">
        <f t="shared" si="51"/>
        <v/>
      </c>
    </row>
    <row r="815" spans="1:27" ht="13.5" customHeight="1" x14ac:dyDescent="0.3">
      <c r="A815" s="193" t="str">
        <f>IF('Observaciones-SMP'!A815="","",'Observaciones-SMP'!A815)</f>
        <v/>
      </c>
      <c r="B815" s="257" t="str">
        <f>IF('Observaciones-SMP'!B815="","",'Observaciones-SMP'!B815)</f>
        <v/>
      </c>
      <c r="C815" s="193" t="str">
        <f>IF('Observaciones-SMP'!C815="","",'Observaciones-SMP'!C815)</f>
        <v/>
      </c>
      <c r="D815" s="193" t="str">
        <f>IF('Observaciones-SMP'!D815="","",'Observaciones-SMP'!D815)</f>
        <v/>
      </c>
      <c r="E815" s="193" t="str">
        <f>IF('Observaciones-SMP'!E815="","",'Observaciones-SMP'!E815)</f>
        <v/>
      </c>
      <c r="F815" s="193" t="str">
        <f>IF('Observaciones-SMP'!F815="","",'Observaciones-SMP'!F815)</f>
        <v/>
      </c>
      <c r="G815" s="193" t="str">
        <f>IF('Observaciones-SMP'!G815="","",'Observaciones-SMP'!G815)</f>
        <v/>
      </c>
      <c r="H815" s="193" t="str">
        <f>IF('Observaciones-SMP'!H815="","",'Observaciones-SMP'!H815)</f>
        <v/>
      </c>
      <c r="I815" s="193" t="str">
        <f>IF('Observaciones-SMP'!I815="","",'Observaciones-SMP'!I815)</f>
        <v/>
      </c>
      <c r="J815" s="193" t="str">
        <f>IF('Observaciones-SMP'!J815="","",'Observaciones-SMP'!J815)</f>
        <v/>
      </c>
      <c r="K815" s="193" t="str">
        <f>IF('Observaciones-SMP'!K815="","",'Observaciones-SMP'!K815)</f>
        <v/>
      </c>
      <c r="L815" s="193" t="str">
        <f>IF('Observaciones-SMP'!L815="","",'Observaciones-SMP'!L815)</f>
        <v/>
      </c>
      <c r="M815" s="193" t="str">
        <f>IF('Observaciones-SMP'!M815="","",'Observaciones-SMP'!M815)</f>
        <v/>
      </c>
      <c r="N815" s="193" t="str">
        <f>IF('Observaciones-SMP'!N815="","",'Observaciones-SMP'!N815)</f>
        <v/>
      </c>
      <c r="O815" s="193" t="str">
        <f>IF('Observaciones-SMP'!O815="","",'Observaciones-SMP'!O815)</f>
        <v/>
      </c>
      <c r="P815" s="193" t="str">
        <f>IF('Observaciones-SMP'!P815="","",'Observaciones-SMP'!P815)</f>
        <v/>
      </c>
      <c r="Q815" s="257" t="str">
        <f>IF('Observaciones-SMP'!S815="","",'Observaciones-SMP'!S815)</f>
        <v/>
      </c>
      <c r="R815" s="193" t="str">
        <f>IF('Observaciones-SMP'!T815="","",'Observaciones-SMP'!T815)</f>
        <v/>
      </c>
      <c r="S815" s="193" t="str">
        <f>""</f>
        <v/>
      </c>
      <c r="T815" s="193" t="str">
        <f>""</f>
        <v/>
      </c>
      <c r="U815" s="193" t="str">
        <f t="shared" si="48"/>
        <v/>
      </c>
      <c r="V815" s="193" t="str">
        <f>""</f>
        <v/>
      </c>
      <c r="W815" s="193" t="str">
        <f>""</f>
        <v/>
      </c>
      <c r="X815" s="258" t="str">
        <f t="shared" si="49"/>
        <v/>
      </c>
      <c r="Y815" s="258" t="str">
        <f t="shared" si="50"/>
        <v/>
      </c>
      <c r="Z815" s="193" t="str">
        <f>IF(A815="","",IF(COUNTIF('Observaciones-SMP'!$A$2:$A$1001,A815)&gt;1,1,0))</f>
        <v/>
      </c>
      <c r="AA815" s="193" t="str">
        <f t="shared" si="51"/>
        <v/>
      </c>
    </row>
    <row r="816" spans="1:27" ht="13.5" customHeight="1" x14ac:dyDescent="0.3">
      <c r="A816" s="193" t="str">
        <f>IF('Observaciones-SMP'!A816="","",'Observaciones-SMP'!A816)</f>
        <v/>
      </c>
      <c r="B816" s="257" t="str">
        <f>IF('Observaciones-SMP'!B816="","",'Observaciones-SMP'!B816)</f>
        <v/>
      </c>
      <c r="C816" s="193" t="str">
        <f>IF('Observaciones-SMP'!C816="","",'Observaciones-SMP'!C816)</f>
        <v/>
      </c>
      <c r="D816" s="193" t="str">
        <f>IF('Observaciones-SMP'!D816="","",'Observaciones-SMP'!D816)</f>
        <v/>
      </c>
      <c r="E816" s="193" t="str">
        <f>IF('Observaciones-SMP'!E816="","",'Observaciones-SMP'!E816)</f>
        <v/>
      </c>
      <c r="F816" s="193" t="str">
        <f>IF('Observaciones-SMP'!F816="","",'Observaciones-SMP'!F816)</f>
        <v/>
      </c>
      <c r="G816" s="193" t="str">
        <f>IF('Observaciones-SMP'!G816="","",'Observaciones-SMP'!G816)</f>
        <v/>
      </c>
      <c r="H816" s="193" t="str">
        <f>IF('Observaciones-SMP'!H816="","",'Observaciones-SMP'!H816)</f>
        <v/>
      </c>
      <c r="I816" s="193" t="str">
        <f>IF('Observaciones-SMP'!I816="","",'Observaciones-SMP'!I816)</f>
        <v/>
      </c>
      <c r="J816" s="193" t="str">
        <f>IF('Observaciones-SMP'!J816="","",'Observaciones-SMP'!J816)</f>
        <v/>
      </c>
      <c r="K816" s="193" t="str">
        <f>IF('Observaciones-SMP'!K816="","",'Observaciones-SMP'!K816)</f>
        <v/>
      </c>
      <c r="L816" s="193" t="str">
        <f>IF('Observaciones-SMP'!L816="","",'Observaciones-SMP'!L816)</f>
        <v/>
      </c>
      <c r="M816" s="193" t="str">
        <f>IF('Observaciones-SMP'!M816="","",'Observaciones-SMP'!M816)</f>
        <v/>
      </c>
      <c r="N816" s="193" t="str">
        <f>IF('Observaciones-SMP'!N816="","",'Observaciones-SMP'!N816)</f>
        <v/>
      </c>
      <c r="O816" s="193" t="str">
        <f>IF('Observaciones-SMP'!O816="","",'Observaciones-SMP'!O816)</f>
        <v/>
      </c>
      <c r="P816" s="193" t="str">
        <f>IF('Observaciones-SMP'!P816="","",'Observaciones-SMP'!P816)</f>
        <v/>
      </c>
      <c r="Q816" s="257" t="str">
        <f>IF('Observaciones-SMP'!S816="","",'Observaciones-SMP'!S816)</f>
        <v/>
      </c>
      <c r="R816" s="193" t="str">
        <f>IF('Observaciones-SMP'!T816="","",'Observaciones-SMP'!T816)</f>
        <v/>
      </c>
      <c r="S816" s="193" t="str">
        <f>""</f>
        <v/>
      </c>
      <c r="T816" s="193" t="str">
        <f>""</f>
        <v/>
      </c>
      <c r="U816" s="193" t="str">
        <f t="shared" si="48"/>
        <v/>
      </c>
      <c r="V816" s="193" t="str">
        <f>""</f>
        <v/>
      </c>
      <c r="W816" s="193" t="str">
        <f>""</f>
        <v/>
      </c>
      <c r="X816" s="258" t="str">
        <f t="shared" si="49"/>
        <v/>
      </c>
      <c r="Y816" s="258" t="str">
        <f t="shared" si="50"/>
        <v/>
      </c>
      <c r="Z816" s="193" t="str">
        <f>IF(A816="","",IF(COUNTIF('Observaciones-SMP'!$A$2:$A$1001,A816)&gt;1,1,0))</f>
        <v/>
      </c>
      <c r="AA816" s="193" t="str">
        <f t="shared" si="51"/>
        <v/>
      </c>
    </row>
    <row r="817" spans="1:27" ht="13.5" customHeight="1" x14ac:dyDescent="0.3">
      <c r="A817" s="193" t="str">
        <f>IF('Observaciones-SMP'!A817="","",'Observaciones-SMP'!A817)</f>
        <v/>
      </c>
      <c r="B817" s="257" t="str">
        <f>IF('Observaciones-SMP'!B817="","",'Observaciones-SMP'!B817)</f>
        <v/>
      </c>
      <c r="C817" s="193" t="str">
        <f>IF('Observaciones-SMP'!C817="","",'Observaciones-SMP'!C817)</f>
        <v/>
      </c>
      <c r="D817" s="193" t="str">
        <f>IF('Observaciones-SMP'!D817="","",'Observaciones-SMP'!D817)</f>
        <v/>
      </c>
      <c r="E817" s="193" t="str">
        <f>IF('Observaciones-SMP'!E817="","",'Observaciones-SMP'!E817)</f>
        <v/>
      </c>
      <c r="F817" s="193" t="str">
        <f>IF('Observaciones-SMP'!F817="","",'Observaciones-SMP'!F817)</f>
        <v/>
      </c>
      <c r="G817" s="193" t="str">
        <f>IF('Observaciones-SMP'!G817="","",'Observaciones-SMP'!G817)</f>
        <v/>
      </c>
      <c r="H817" s="193" t="str">
        <f>IF('Observaciones-SMP'!H817="","",'Observaciones-SMP'!H817)</f>
        <v/>
      </c>
      <c r="I817" s="193" t="str">
        <f>IF('Observaciones-SMP'!I817="","",'Observaciones-SMP'!I817)</f>
        <v/>
      </c>
      <c r="J817" s="193" t="str">
        <f>IF('Observaciones-SMP'!J817="","",'Observaciones-SMP'!J817)</f>
        <v/>
      </c>
      <c r="K817" s="193" t="str">
        <f>IF('Observaciones-SMP'!K817="","",'Observaciones-SMP'!K817)</f>
        <v/>
      </c>
      <c r="L817" s="193" t="str">
        <f>IF('Observaciones-SMP'!L817="","",'Observaciones-SMP'!L817)</f>
        <v/>
      </c>
      <c r="M817" s="193" t="str">
        <f>IF('Observaciones-SMP'!M817="","",'Observaciones-SMP'!M817)</f>
        <v/>
      </c>
      <c r="N817" s="193" t="str">
        <f>IF('Observaciones-SMP'!N817="","",'Observaciones-SMP'!N817)</f>
        <v/>
      </c>
      <c r="O817" s="193" t="str">
        <f>IF('Observaciones-SMP'!O817="","",'Observaciones-SMP'!O817)</f>
        <v/>
      </c>
      <c r="P817" s="193" t="str">
        <f>IF('Observaciones-SMP'!P817="","",'Observaciones-SMP'!P817)</f>
        <v/>
      </c>
      <c r="Q817" s="257" t="str">
        <f>IF('Observaciones-SMP'!S817="","",'Observaciones-SMP'!S817)</f>
        <v/>
      </c>
      <c r="R817" s="193" t="str">
        <f>IF('Observaciones-SMP'!T817="","",'Observaciones-SMP'!T817)</f>
        <v/>
      </c>
      <c r="S817" s="193" t="str">
        <f>""</f>
        <v/>
      </c>
      <c r="T817" s="193" t="str">
        <f>""</f>
        <v/>
      </c>
      <c r="U817" s="193" t="str">
        <f t="shared" si="48"/>
        <v/>
      </c>
      <c r="V817" s="193" t="str">
        <f>""</f>
        <v/>
      </c>
      <c r="W817" s="193" t="str">
        <f>""</f>
        <v/>
      </c>
      <c r="X817" s="258" t="str">
        <f t="shared" si="49"/>
        <v/>
      </c>
      <c r="Y817" s="258" t="str">
        <f t="shared" si="50"/>
        <v/>
      </c>
      <c r="Z817" s="193" t="str">
        <f>IF(A817="","",IF(COUNTIF('Observaciones-SMP'!$A$2:$A$1001,A817)&gt;1,1,0))</f>
        <v/>
      </c>
      <c r="AA817" s="193" t="str">
        <f t="shared" si="51"/>
        <v/>
      </c>
    </row>
    <row r="818" spans="1:27" ht="13.5" customHeight="1" x14ac:dyDescent="0.3">
      <c r="A818" s="193" t="str">
        <f>IF('Observaciones-SMP'!A818="","",'Observaciones-SMP'!A818)</f>
        <v/>
      </c>
      <c r="B818" s="257" t="str">
        <f>IF('Observaciones-SMP'!B818="","",'Observaciones-SMP'!B818)</f>
        <v/>
      </c>
      <c r="C818" s="193" t="str">
        <f>IF('Observaciones-SMP'!C818="","",'Observaciones-SMP'!C818)</f>
        <v/>
      </c>
      <c r="D818" s="193" t="str">
        <f>IF('Observaciones-SMP'!D818="","",'Observaciones-SMP'!D818)</f>
        <v/>
      </c>
      <c r="E818" s="193" t="str">
        <f>IF('Observaciones-SMP'!E818="","",'Observaciones-SMP'!E818)</f>
        <v/>
      </c>
      <c r="F818" s="193" t="str">
        <f>IF('Observaciones-SMP'!F818="","",'Observaciones-SMP'!F818)</f>
        <v/>
      </c>
      <c r="G818" s="193" t="str">
        <f>IF('Observaciones-SMP'!G818="","",'Observaciones-SMP'!G818)</f>
        <v/>
      </c>
      <c r="H818" s="193" t="str">
        <f>IF('Observaciones-SMP'!H818="","",'Observaciones-SMP'!H818)</f>
        <v/>
      </c>
      <c r="I818" s="193" t="str">
        <f>IF('Observaciones-SMP'!I818="","",'Observaciones-SMP'!I818)</f>
        <v/>
      </c>
      <c r="J818" s="193" t="str">
        <f>IF('Observaciones-SMP'!J818="","",'Observaciones-SMP'!J818)</f>
        <v/>
      </c>
      <c r="K818" s="193" t="str">
        <f>IF('Observaciones-SMP'!K818="","",'Observaciones-SMP'!K818)</f>
        <v/>
      </c>
      <c r="L818" s="193" t="str">
        <f>IF('Observaciones-SMP'!L818="","",'Observaciones-SMP'!L818)</f>
        <v/>
      </c>
      <c r="M818" s="193" t="str">
        <f>IF('Observaciones-SMP'!M818="","",'Observaciones-SMP'!M818)</f>
        <v/>
      </c>
      <c r="N818" s="193" t="str">
        <f>IF('Observaciones-SMP'!N818="","",'Observaciones-SMP'!N818)</f>
        <v/>
      </c>
      <c r="O818" s="193" t="str">
        <f>IF('Observaciones-SMP'!O818="","",'Observaciones-SMP'!O818)</f>
        <v/>
      </c>
      <c r="P818" s="193" t="str">
        <f>IF('Observaciones-SMP'!P818="","",'Observaciones-SMP'!P818)</f>
        <v/>
      </c>
      <c r="Q818" s="257" t="str">
        <f>IF('Observaciones-SMP'!S818="","",'Observaciones-SMP'!S818)</f>
        <v/>
      </c>
      <c r="R818" s="193" t="str">
        <f>IF('Observaciones-SMP'!T818="","",'Observaciones-SMP'!T818)</f>
        <v/>
      </c>
      <c r="S818" s="193" t="str">
        <f>""</f>
        <v/>
      </c>
      <c r="T818" s="193" t="str">
        <f>""</f>
        <v/>
      </c>
      <c r="U818" s="193" t="str">
        <f t="shared" si="48"/>
        <v/>
      </c>
      <c r="V818" s="193" t="str">
        <f>""</f>
        <v/>
      </c>
      <c r="W818" s="193" t="str">
        <f>""</f>
        <v/>
      </c>
      <c r="X818" s="258" t="str">
        <f t="shared" si="49"/>
        <v/>
      </c>
      <c r="Y818" s="258" t="str">
        <f t="shared" si="50"/>
        <v/>
      </c>
      <c r="Z818" s="193" t="str">
        <f>IF(A818="","",IF(COUNTIF('Observaciones-SMP'!$A$2:$A$1001,A818)&gt;1,1,0))</f>
        <v/>
      </c>
      <c r="AA818" s="193" t="str">
        <f t="shared" si="51"/>
        <v/>
      </c>
    </row>
    <row r="819" spans="1:27" ht="13.5" customHeight="1" x14ac:dyDescent="0.3">
      <c r="A819" s="193" t="str">
        <f>IF('Observaciones-SMP'!A819="","",'Observaciones-SMP'!A819)</f>
        <v/>
      </c>
      <c r="B819" s="257" t="str">
        <f>IF('Observaciones-SMP'!B819="","",'Observaciones-SMP'!B819)</f>
        <v/>
      </c>
      <c r="C819" s="193" t="str">
        <f>IF('Observaciones-SMP'!C819="","",'Observaciones-SMP'!C819)</f>
        <v/>
      </c>
      <c r="D819" s="193" t="str">
        <f>IF('Observaciones-SMP'!D819="","",'Observaciones-SMP'!D819)</f>
        <v/>
      </c>
      <c r="E819" s="193" t="str">
        <f>IF('Observaciones-SMP'!E819="","",'Observaciones-SMP'!E819)</f>
        <v/>
      </c>
      <c r="F819" s="193" t="str">
        <f>IF('Observaciones-SMP'!F819="","",'Observaciones-SMP'!F819)</f>
        <v/>
      </c>
      <c r="G819" s="193" t="str">
        <f>IF('Observaciones-SMP'!G819="","",'Observaciones-SMP'!G819)</f>
        <v/>
      </c>
      <c r="H819" s="193" t="str">
        <f>IF('Observaciones-SMP'!H819="","",'Observaciones-SMP'!H819)</f>
        <v/>
      </c>
      <c r="I819" s="193" t="str">
        <f>IF('Observaciones-SMP'!I819="","",'Observaciones-SMP'!I819)</f>
        <v/>
      </c>
      <c r="J819" s="193" t="str">
        <f>IF('Observaciones-SMP'!J819="","",'Observaciones-SMP'!J819)</f>
        <v/>
      </c>
      <c r="K819" s="193" t="str">
        <f>IF('Observaciones-SMP'!K819="","",'Observaciones-SMP'!K819)</f>
        <v/>
      </c>
      <c r="L819" s="193" t="str">
        <f>IF('Observaciones-SMP'!L819="","",'Observaciones-SMP'!L819)</f>
        <v/>
      </c>
      <c r="M819" s="193" t="str">
        <f>IF('Observaciones-SMP'!M819="","",'Observaciones-SMP'!M819)</f>
        <v/>
      </c>
      <c r="N819" s="193" t="str">
        <f>IF('Observaciones-SMP'!N819="","",'Observaciones-SMP'!N819)</f>
        <v/>
      </c>
      <c r="O819" s="193" t="str">
        <f>IF('Observaciones-SMP'!O819="","",'Observaciones-SMP'!O819)</f>
        <v/>
      </c>
      <c r="P819" s="193" t="str">
        <f>IF('Observaciones-SMP'!P819="","",'Observaciones-SMP'!P819)</f>
        <v/>
      </c>
      <c r="Q819" s="257" t="str">
        <f>IF('Observaciones-SMP'!S819="","",'Observaciones-SMP'!S819)</f>
        <v/>
      </c>
      <c r="R819" s="193" t="str">
        <f>IF('Observaciones-SMP'!T819="","",'Observaciones-SMP'!T819)</f>
        <v/>
      </c>
      <c r="S819" s="193" t="str">
        <f>""</f>
        <v/>
      </c>
      <c r="T819" s="193" t="str">
        <f>""</f>
        <v/>
      </c>
      <c r="U819" s="193" t="str">
        <f t="shared" si="48"/>
        <v/>
      </c>
      <c r="V819" s="193" t="str">
        <f>""</f>
        <v/>
      </c>
      <c r="W819" s="193" t="str">
        <f>""</f>
        <v/>
      </c>
      <c r="X819" s="258" t="str">
        <f t="shared" si="49"/>
        <v/>
      </c>
      <c r="Y819" s="258" t="str">
        <f t="shared" si="50"/>
        <v/>
      </c>
      <c r="Z819" s="193" t="str">
        <f>IF(A819="","",IF(COUNTIF('Observaciones-SMP'!$A$2:$A$1001,A819)&gt;1,1,0))</f>
        <v/>
      </c>
      <c r="AA819" s="193" t="str">
        <f t="shared" si="51"/>
        <v/>
      </c>
    </row>
    <row r="820" spans="1:27" ht="13.5" customHeight="1" x14ac:dyDescent="0.3">
      <c r="A820" s="193" t="str">
        <f>IF('Observaciones-SMP'!A820="","",'Observaciones-SMP'!A820)</f>
        <v/>
      </c>
      <c r="B820" s="257" t="str">
        <f>IF('Observaciones-SMP'!B820="","",'Observaciones-SMP'!B820)</f>
        <v/>
      </c>
      <c r="C820" s="193" t="str">
        <f>IF('Observaciones-SMP'!C820="","",'Observaciones-SMP'!C820)</f>
        <v/>
      </c>
      <c r="D820" s="193" t="str">
        <f>IF('Observaciones-SMP'!D820="","",'Observaciones-SMP'!D820)</f>
        <v/>
      </c>
      <c r="E820" s="193" t="str">
        <f>IF('Observaciones-SMP'!E820="","",'Observaciones-SMP'!E820)</f>
        <v/>
      </c>
      <c r="F820" s="193" t="str">
        <f>IF('Observaciones-SMP'!F820="","",'Observaciones-SMP'!F820)</f>
        <v/>
      </c>
      <c r="G820" s="193" t="str">
        <f>IF('Observaciones-SMP'!G820="","",'Observaciones-SMP'!G820)</f>
        <v/>
      </c>
      <c r="H820" s="193" t="str">
        <f>IF('Observaciones-SMP'!H820="","",'Observaciones-SMP'!H820)</f>
        <v/>
      </c>
      <c r="I820" s="193" t="str">
        <f>IF('Observaciones-SMP'!I820="","",'Observaciones-SMP'!I820)</f>
        <v/>
      </c>
      <c r="J820" s="193" t="str">
        <f>IF('Observaciones-SMP'!J820="","",'Observaciones-SMP'!J820)</f>
        <v/>
      </c>
      <c r="K820" s="193" t="str">
        <f>IF('Observaciones-SMP'!K820="","",'Observaciones-SMP'!K820)</f>
        <v/>
      </c>
      <c r="L820" s="193" t="str">
        <f>IF('Observaciones-SMP'!L820="","",'Observaciones-SMP'!L820)</f>
        <v/>
      </c>
      <c r="M820" s="193" t="str">
        <f>IF('Observaciones-SMP'!M820="","",'Observaciones-SMP'!M820)</f>
        <v/>
      </c>
      <c r="N820" s="193" t="str">
        <f>IF('Observaciones-SMP'!N820="","",'Observaciones-SMP'!N820)</f>
        <v/>
      </c>
      <c r="O820" s="193" t="str">
        <f>IF('Observaciones-SMP'!O820="","",'Observaciones-SMP'!O820)</f>
        <v/>
      </c>
      <c r="P820" s="193" t="str">
        <f>IF('Observaciones-SMP'!P820="","",'Observaciones-SMP'!P820)</f>
        <v/>
      </c>
      <c r="Q820" s="257" t="str">
        <f>IF('Observaciones-SMP'!S820="","",'Observaciones-SMP'!S820)</f>
        <v/>
      </c>
      <c r="R820" s="193" t="str">
        <f>IF('Observaciones-SMP'!T820="","",'Observaciones-SMP'!T820)</f>
        <v/>
      </c>
      <c r="S820" s="193" t="str">
        <f>""</f>
        <v/>
      </c>
      <c r="T820" s="193" t="str">
        <f>""</f>
        <v/>
      </c>
      <c r="U820" s="193" t="str">
        <f t="shared" si="48"/>
        <v/>
      </c>
      <c r="V820" s="193" t="str">
        <f>""</f>
        <v/>
      </c>
      <c r="W820" s="193" t="str">
        <f>""</f>
        <v/>
      </c>
      <c r="X820" s="258" t="str">
        <f t="shared" si="49"/>
        <v/>
      </c>
      <c r="Y820" s="258" t="str">
        <f t="shared" si="50"/>
        <v/>
      </c>
      <c r="Z820" s="193" t="str">
        <f>IF(A820="","",IF(COUNTIF('Observaciones-SMP'!$A$2:$A$1001,A820)&gt;1,1,0))</f>
        <v/>
      </c>
      <c r="AA820" s="193" t="str">
        <f t="shared" si="51"/>
        <v/>
      </c>
    </row>
    <row r="821" spans="1:27" ht="13.5" customHeight="1" x14ac:dyDescent="0.3">
      <c r="A821" s="193" t="str">
        <f>IF('Observaciones-SMP'!A821="","",'Observaciones-SMP'!A821)</f>
        <v/>
      </c>
      <c r="B821" s="257" t="str">
        <f>IF('Observaciones-SMP'!B821="","",'Observaciones-SMP'!B821)</f>
        <v/>
      </c>
      <c r="C821" s="193" t="str">
        <f>IF('Observaciones-SMP'!C821="","",'Observaciones-SMP'!C821)</f>
        <v/>
      </c>
      <c r="D821" s="193" t="str">
        <f>IF('Observaciones-SMP'!D821="","",'Observaciones-SMP'!D821)</f>
        <v/>
      </c>
      <c r="E821" s="193" t="str">
        <f>IF('Observaciones-SMP'!E821="","",'Observaciones-SMP'!E821)</f>
        <v/>
      </c>
      <c r="F821" s="193" t="str">
        <f>IF('Observaciones-SMP'!F821="","",'Observaciones-SMP'!F821)</f>
        <v/>
      </c>
      <c r="G821" s="193" t="str">
        <f>IF('Observaciones-SMP'!G821="","",'Observaciones-SMP'!G821)</f>
        <v/>
      </c>
      <c r="H821" s="193" t="str">
        <f>IF('Observaciones-SMP'!H821="","",'Observaciones-SMP'!H821)</f>
        <v/>
      </c>
      <c r="I821" s="193" t="str">
        <f>IF('Observaciones-SMP'!I821="","",'Observaciones-SMP'!I821)</f>
        <v/>
      </c>
      <c r="J821" s="193" t="str">
        <f>IF('Observaciones-SMP'!J821="","",'Observaciones-SMP'!J821)</f>
        <v/>
      </c>
      <c r="K821" s="193" t="str">
        <f>IF('Observaciones-SMP'!K821="","",'Observaciones-SMP'!K821)</f>
        <v/>
      </c>
      <c r="L821" s="193" t="str">
        <f>IF('Observaciones-SMP'!L821="","",'Observaciones-SMP'!L821)</f>
        <v/>
      </c>
      <c r="M821" s="193" t="str">
        <f>IF('Observaciones-SMP'!M821="","",'Observaciones-SMP'!M821)</f>
        <v/>
      </c>
      <c r="N821" s="193" t="str">
        <f>IF('Observaciones-SMP'!N821="","",'Observaciones-SMP'!N821)</f>
        <v/>
      </c>
      <c r="O821" s="193" t="str">
        <f>IF('Observaciones-SMP'!O821="","",'Observaciones-SMP'!O821)</f>
        <v/>
      </c>
      <c r="P821" s="193" t="str">
        <f>IF('Observaciones-SMP'!P821="","",'Observaciones-SMP'!P821)</f>
        <v/>
      </c>
      <c r="Q821" s="257" t="str">
        <f>IF('Observaciones-SMP'!S821="","",'Observaciones-SMP'!S821)</f>
        <v/>
      </c>
      <c r="R821" s="193" t="str">
        <f>IF('Observaciones-SMP'!T821="","",'Observaciones-SMP'!T821)</f>
        <v/>
      </c>
      <c r="S821" s="193" t="str">
        <f>""</f>
        <v/>
      </c>
      <c r="T821" s="193" t="str">
        <f>""</f>
        <v/>
      </c>
      <c r="U821" s="193" t="str">
        <f t="shared" si="48"/>
        <v/>
      </c>
      <c r="V821" s="193" t="str">
        <f>""</f>
        <v/>
      </c>
      <c r="W821" s="193" t="str">
        <f>""</f>
        <v/>
      </c>
      <c r="X821" s="258" t="str">
        <f t="shared" si="49"/>
        <v/>
      </c>
      <c r="Y821" s="258" t="str">
        <f t="shared" si="50"/>
        <v/>
      </c>
      <c r="Z821" s="193" t="str">
        <f>IF(A821="","",IF(COUNTIF('Observaciones-SMP'!$A$2:$A$1001,A821)&gt;1,1,0))</f>
        <v/>
      </c>
      <c r="AA821" s="193" t="str">
        <f t="shared" si="51"/>
        <v/>
      </c>
    </row>
    <row r="822" spans="1:27" ht="13.5" customHeight="1" x14ac:dyDescent="0.3">
      <c r="A822" s="193" t="str">
        <f>IF('Observaciones-SMP'!A822="","",'Observaciones-SMP'!A822)</f>
        <v/>
      </c>
      <c r="B822" s="257" t="str">
        <f>IF('Observaciones-SMP'!B822="","",'Observaciones-SMP'!B822)</f>
        <v/>
      </c>
      <c r="C822" s="193" t="str">
        <f>IF('Observaciones-SMP'!C822="","",'Observaciones-SMP'!C822)</f>
        <v/>
      </c>
      <c r="D822" s="193" t="str">
        <f>IF('Observaciones-SMP'!D822="","",'Observaciones-SMP'!D822)</f>
        <v/>
      </c>
      <c r="E822" s="193" t="str">
        <f>IF('Observaciones-SMP'!E822="","",'Observaciones-SMP'!E822)</f>
        <v/>
      </c>
      <c r="F822" s="193" t="str">
        <f>IF('Observaciones-SMP'!F822="","",'Observaciones-SMP'!F822)</f>
        <v/>
      </c>
      <c r="G822" s="193" t="str">
        <f>IF('Observaciones-SMP'!G822="","",'Observaciones-SMP'!G822)</f>
        <v/>
      </c>
      <c r="H822" s="193" t="str">
        <f>IF('Observaciones-SMP'!H822="","",'Observaciones-SMP'!H822)</f>
        <v/>
      </c>
      <c r="I822" s="193" t="str">
        <f>IF('Observaciones-SMP'!I822="","",'Observaciones-SMP'!I822)</f>
        <v/>
      </c>
      <c r="J822" s="193" t="str">
        <f>IF('Observaciones-SMP'!J822="","",'Observaciones-SMP'!J822)</f>
        <v/>
      </c>
      <c r="K822" s="193" t="str">
        <f>IF('Observaciones-SMP'!K822="","",'Observaciones-SMP'!K822)</f>
        <v/>
      </c>
      <c r="L822" s="193" t="str">
        <f>IF('Observaciones-SMP'!L822="","",'Observaciones-SMP'!L822)</f>
        <v/>
      </c>
      <c r="M822" s="193" t="str">
        <f>IF('Observaciones-SMP'!M822="","",'Observaciones-SMP'!M822)</f>
        <v/>
      </c>
      <c r="N822" s="193" t="str">
        <f>IF('Observaciones-SMP'!N822="","",'Observaciones-SMP'!N822)</f>
        <v/>
      </c>
      <c r="O822" s="193" t="str">
        <f>IF('Observaciones-SMP'!O822="","",'Observaciones-SMP'!O822)</f>
        <v/>
      </c>
      <c r="P822" s="193" t="str">
        <f>IF('Observaciones-SMP'!P822="","",'Observaciones-SMP'!P822)</f>
        <v/>
      </c>
      <c r="Q822" s="257" t="str">
        <f>IF('Observaciones-SMP'!S822="","",'Observaciones-SMP'!S822)</f>
        <v/>
      </c>
      <c r="R822" s="193" t="str">
        <f>IF('Observaciones-SMP'!T822="","",'Observaciones-SMP'!T822)</f>
        <v/>
      </c>
      <c r="S822" s="193" t="str">
        <f>""</f>
        <v/>
      </c>
      <c r="T822" s="193" t="str">
        <f>""</f>
        <v/>
      </c>
      <c r="U822" s="193" t="str">
        <f t="shared" si="48"/>
        <v/>
      </c>
      <c r="V822" s="193" t="str">
        <f>""</f>
        <v/>
      </c>
      <c r="W822" s="193" t="str">
        <f>""</f>
        <v/>
      </c>
      <c r="X822" s="258" t="str">
        <f t="shared" si="49"/>
        <v/>
      </c>
      <c r="Y822" s="258" t="str">
        <f t="shared" si="50"/>
        <v/>
      </c>
      <c r="Z822" s="193" t="str">
        <f>IF(A822="","",IF(COUNTIF('Observaciones-SMP'!$A$2:$A$1001,A822)&gt;1,1,0))</f>
        <v/>
      </c>
      <c r="AA822" s="193" t="str">
        <f t="shared" si="51"/>
        <v/>
      </c>
    </row>
    <row r="823" spans="1:27" ht="13.5" customHeight="1" x14ac:dyDescent="0.3">
      <c r="A823" s="193" t="str">
        <f>IF('Observaciones-SMP'!A823="","",'Observaciones-SMP'!A823)</f>
        <v/>
      </c>
      <c r="B823" s="257" t="str">
        <f>IF('Observaciones-SMP'!B823="","",'Observaciones-SMP'!B823)</f>
        <v/>
      </c>
      <c r="C823" s="193" t="str">
        <f>IF('Observaciones-SMP'!C823="","",'Observaciones-SMP'!C823)</f>
        <v/>
      </c>
      <c r="D823" s="193" t="str">
        <f>IF('Observaciones-SMP'!D823="","",'Observaciones-SMP'!D823)</f>
        <v/>
      </c>
      <c r="E823" s="193" t="str">
        <f>IF('Observaciones-SMP'!E823="","",'Observaciones-SMP'!E823)</f>
        <v/>
      </c>
      <c r="F823" s="193" t="str">
        <f>IF('Observaciones-SMP'!F823="","",'Observaciones-SMP'!F823)</f>
        <v/>
      </c>
      <c r="G823" s="193" t="str">
        <f>IF('Observaciones-SMP'!G823="","",'Observaciones-SMP'!G823)</f>
        <v/>
      </c>
      <c r="H823" s="193" t="str">
        <f>IF('Observaciones-SMP'!H823="","",'Observaciones-SMP'!H823)</f>
        <v/>
      </c>
      <c r="I823" s="193" t="str">
        <f>IF('Observaciones-SMP'!I823="","",'Observaciones-SMP'!I823)</f>
        <v/>
      </c>
      <c r="J823" s="193" t="str">
        <f>IF('Observaciones-SMP'!J823="","",'Observaciones-SMP'!J823)</f>
        <v/>
      </c>
      <c r="K823" s="193" t="str">
        <f>IF('Observaciones-SMP'!K823="","",'Observaciones-SMP'!K823)</f>
        <v/>
      </c>
      <c r="L823" s="193" t="str">
        <f>IF('Observaciones-SMP'!L823="","",'Observaciones-SMP'!L823)</f>
        <v/>
      </c>
      <c r="M823" s="193" t="str">
        <f>IF('Observaciones-SMP'!M823="","",'Observaciones-SMP'!M823)</f>
        <v/>
      </c>
      <c r="N823" s="193" t="str">
        <f>IF('Observaciones-SMP'!N823="","",'Observaciones-SMP'!N823)</f>
        <v/>
      </c>
      <c r="O823" s="193" t="str">
        <f>IF('Observaciones-SMP'!O823="","",'Observaciones-SMP'!O823)</f>
        <v/>
      </c>
      <c r="P823" s="193" t="str">
        <f>IF('Observaciones-SMP'!P823="","",'Observaciones-SMP'!P823)</f>
        <v/>
      </c>
      <c r="Q823" s="257" t="str">
        <f>IF('Observaciones-SMP'!S823="","",'Observaciones-SMP'!S823)</f>
        <v/>
      </c>
      <c r="R823" s="193" t="str">
        <f>IF('Observaciones-SMP'!T823="","",'Observaciones-SMP'!T823)</f>
        <v/>
      </c>
      <c r="S823" s="193" t="str">
        <f>""</f>
        <v/>
      </c>
      <c r="T823" s="193" t="str">
        <f>""</f>
        <v/>
      </c>
      <c r="U823" s="193" t="str">
        <f t="shared" si="48"/>
        <v/>
      </c>
      <c r="V823" s="193" t="str">
        <f>""</f>
        <v/>
      </c>
      <c r="W823" s="193" t="str">
        <f>""</f>
        <v/>
      </c>
      <c r="X823" s="258" t="str">
        <f t="shared" si="49"/>
        <v/>
      </c>
      <c r="Y823" s="258" t="str">
        <f t="shared" si="50"/>
        <v/>
      </c>
      <c r="Z823" s="193" t="str">
        <f>IF(A823="","",IF(COUNTIF('Observaciones-SMP'!$A$2:$A$1001,A823)&gt;1,1,0))</f>
        <v/>
      </c>
      <c r="AA823" s="193" t="str">
        <f t="shared" si="51"/>
        <v/>
      </c>
    </row>
    <row r="824" spans="1:27" ht="13.5" customHeight="1" x14ac:dyDescent="0.3">
      <c r="A824" s="193" t="str">
        <f>IF('Observaciones-SMP'!A824="","",'Observaciones-SMP'!A824)</f>
        <v/>
      </c>
      <c r="B824" s="257" t="str">
        <f>IF('Observaciones-SMP'!B824="","",'Observaciones-SMP'!B824)</f>
        <v/>
      </c>
      <c r="C824" s="193" t="str">
        <f>IF('Observaciones-SMP'!C824="","",'Observaciones-SMP'!C824)</f>
        <v/>
      </c>
      <c r="D824" s="193" t="str">
        <f>IF('Observaciones-SMP'!D824="","",'Observaciones-SMP'!D824)</f>
        <v/>
      </c>
      <c r="E824" s="193" t="str">
        <f>IF('Observaciones-SMP'!E824="","",'Observaciones-SMP'!E824)</f>
        <v/>
      </c>
      <c r="F824" s="193" t="str">
        <f>IF('Observaciones-SMP'!F824="","",'Observaciones-SMP'!F824)</f>
        <v/>
      </c>
      <c r="G824" s="193" t="str">
        <f>IF('Observaciones-SMP'!G824="","",'Observaciones-SMP'!G824)</f>
        <v/>
      </c>
      <c r="H824" s="193" t="str">
        <f>IF('Observaciones-SMP'!H824="","",'Observaciones-SMP'!H824)</f>
        <v/>
      </c>
      <c r="I824" s="193" t="str">
        <f>IF('Observaciones-SMP'!I824="","",'Observaciones-SMP'!I824)</f>
        <v/>
      </c>
      <c r="J824" s="193" t="str">
        <f>IF('Observaciones-SMP'!J824="","",'Observaciones-SMP'!J824)</f>
        <v/>
      </c>
      <c r="K824" s="193" t="str">
        <f>IF('Observaciones-SMP'!K824="","",'Observaciones-SMP'!K824)</f>
        <v/>
      </c>
      <c r="L824" s="193" t="str">
        <f>IF('Observaciones-SMP'!L824="","",'Observaciones-SMP'!L824)</f>
        <v/>
      </c>
      <c r="M824" s="193" t="str">
        <f>IF('Observaciones-SMP'!M824="","",'Observaciones-SMP'!M824)</f>
        <v/>
      </c>
      <c r="N824" s="193" t="str">
        <f>IF('Observaciones-SMP'!N824="","",'Observaciones-SMP'!N824)</f>
        <v/>
      </c>
      <c r="O824" s="193" t="str">
        <f>IF('Observaciones-SMP'!O824="","",'Observaciones-SMP'!O824)</f>
        <v/>
      </c>
      <c r="P824" s="193" t="str">
        <f>IF('Observaciones-SMP'!P824="","",'Observaciones-SMP'!P824)</f>
        <v/>
      </c>
      <c r="Q824" s="257" t="str">
        <f>IF('Observaciones-SMP'!S824="","",'Observaciones-SMP'!S824)</f>
        <v/>
      </c>
      <c r="R824" s="193" t="str">
        <f>IF('Observaciones-SMP'!T824="","",'Observaciones-SMP'!T824)</f>
        <v/>
      </c>
      <c r="S824" s="193" t="str">
        <f>""</f>
        <v/>
      </c>
      <c r="T824" s="193" t="str">
        <f>""</f>
        <v/>
      </c>
      <c r="U824" s="193" t="str">
        <f t="shared" si="48"/>
        <v/>
      </c>
      <c r="V824" s="193" t="str">
        <f>""</f>
        <v/>
      </c>
      <c r="W824" s="193" t="str">
        <f>""</f>
        <v/>
      </c>
      <c r="X824" s="258" t="str">
        <f t="shared" si="49"/>
        <v/>
      </c>
      <c r="Y824" s="258" t="str">
        <f t="shared" si="50"/>
        <v/>
      </c>
      <c r="Z824" s="193" t="str">
        <f>IF(A824="","",IF(COUNTIF('Observaciones-SMP'!$A$2:$A$1001,A824)&gt;1,1,0))</f>
        <v/>
      </c>
      <c r="AA824" s="193" t="str">
        <f t="shared" si="51"/>
        <v/>
      </c>
    </row>
    <row r="825" spans="1:27" ht="13.5" customHeight="1" x14ac:dyDescent="0.3">
      <c r="A825" s="193" t="str">
        <f>IF('Observaciones-SMP'!A825="","",'Observaciones-SMP'!A825)</f>
        <v/>
      </c>
      <c r="B825" s="257" t="str">
        <f>IF('Observaciones-SMP'!B825="","",'Observaciones-SMP'!B825)</f>
        <v/>
      </c>
      <c r="C825" s="193" t="str">
        <f>IF('Observaciones-SMP'!C825="","",'Observaciones-SMP'!C825)</f>
        <v/>
      </c>
      <c r="D825" s="193" t="str">
        <f>IF('Observaciones-SMP'!D825="","",'Observaciones-SMP'!D825)</f>
        <v/>
      </c>
      <c r="E825" s="193" t="str">
        <f>IF('Observaciones-SMP'!E825="","",'Observaciones-SMP'!E825)</f>
        <v/>
      </c>
      <c r="F825" s="193" t="str">
        <f>IF('Observaciones-SMP'!F825="","",'Observaciones-SMP'!F825)</f>
        <v/>
      </c>
      <c r="G825" s="193" t="str">
        <f>IF('Observaciones-SMP'!G825="","",'Observaciones-SMP'!G825)</f>
        <v/>
      </c>
      <c r="H825" s="193" t="str">
        <f>IF('Observaciones-SMP'!H825="","",'Observaciones-SMP'!H825)</f>
        <v/>
      </c>
      <c r="I825" s="193" t="str">
        <f>IF('Observaciones-SMP'!I825="","",'Observaciones-SMP'!I825)</f>
        <v/>
      </c>
      <c r="J825" s="193" t="str">
        <f>IF('Observaciones-SMP'!J825="","",'Observaciones-SMP'!J825)</f>
        <v/>
      </c>
      <c r="K825" s="193" t="str">
        <f>IF('Observaciones-SMP'!K825="","",'Observaciones-SMP'!K825)</f>
        <v/>
      </c>
      <c r="L825" s="193" t="str">
        <f>IF('Observaciones-SMP'!L825="","",'Observaciones-SMP'!L825)</f>
        <v/>
      </c>
      <c r="M825" s="193" t="str">
        <f>IF('Observaciones-SMP'!M825="","",'Observaciones-SMP'!M825)</f>
        <v/>
      </c>
      <c r="N825" s="193" t="str">
        <f>IF('Observaciones-SMP'!N825="","",'Observaciones-SMP'!N825)</f>
        <v/>
      </c>
      <c r="O825" s="193" t="str">
        <f>IF('Observaciones-SMP'!O825="","",'Observaciones-SMP'!O825)</f>
        <v/>
      </c>
      <c r="P825" s="193" t="str">
        <f>IF('Observaciones-SMP'!P825="","",'Observaciones-SMP'!P825)</f>
        <v/>
      </c>
      <c r="Q825" s="257" t="str">
        <f>IF('Observaciones-SMP'!S825="","",'Observaciones-SMP'!S825)</f>
        <v/>
      </c>
      <c r="R825" s="193" t="str">
        <f>IF('Observaciones-SMP'!T825="","",'Observaciones-SMP'!T825)</f>
        <v/>
      </c>
      <c r="S825" s="193" t="str">
        <f>""</f>
        <v/>
      </c>
      <c r="T825" s="193" t="str">
        <f>""</f>
        <v/>
      </c>
      <c r="U825" s="193" t="str">
        <f t="shared" si="48"/>
        <v/>
      </c>
      <c r="V825" s="193" t="str">
        <f>""</f>
        <v/>
      </c>
      <c r="W825" s="193" t="str">
        <f>""</f>
        <v/>
      </c>
      <c r="X825" s="258" t="str">
        <f t="shared" si="49"/>
        <v/>
      </c>
      <c r="Y825" s="258" t="str">
        <f t="shared" si="50"/>
        <v/>
      </c>
      <c r="Z825" s="193" t="str">
        <f>IF(A825="","",IF(COUNTIF('Observaciones-SMP'!$A$2:$A$1001,A825)&gt;1,1,0))</f>
        <v/>
      </c>
      <c r="AA825" s="193" t="str">
        <f t="shared" si="51"/>
        <v/>
      </c>
    </row>
    <row r="826" spans="1:27" ht="13.5" customHeight="1" x14ac:dyDescent="0.3">
      <c r="A826" s="193" t="str">
        <f>IF('Observaciones-SMP'!A826="","",'Observaciones-SMP'!A826)</f>
        <v/>
      </c>
      <c r="B826" s="257" t="str">
        <f>IF('Observaciones-SMP'!B826="","",'Observaciones-SMP'!B826)</f>
        <v/>
      </c>
      <c r="C826" s="193" t="str">
        <f>IF('Observaciones-SMP'!C826="","",'Observaciones-SMP'!C826)</f>
        <v/>
      </c>
      <c r="D826" s="193" t="str">
        <f>IF('Observaciones-SMP'!D826="","",'Observaciones-SMP'!D826)</f>
        <v/>
      </c>
      <c r="E826" s="193" t="str">
        <f>IF('Observaciones-SMP'!E826="","",'Observaciones-SMP'!E826)</f>
        <v/>
      </c>
      <c r="F826" s="193" t="str">
        <f>IF('Observaciones-SMP'!F826="","",'Observaciones-SMP'!F826)</f>
        <v/>
      </c>
      <c r="G826" s="193" t="str">
        <f>IF('Observaciones-SMP'!G826="","",'Observaciones-SMP'!G826)</f>
        <v/>
      </c>
      <c r="H826" s="193" t="str">
        <f>IF('Observaciones-SMP'!H826="","",'Observaciones-SMP'!H826)</f>
        <v/>
      </c>
      <c r="I826" s="193" t="str">
        <f>IF('Observaciones-SMP'!I826="","",'Observaciones-SMP'!I826)</f>
        <v/>
      </c>
      <c r="J826" s="193" t="str">
        <f>IF('Observaciones-SMP'!J826="","",'Observaciones-SMP'!J826)</f>
        <v/>
      </c>
      <c r="K826" s="193" t="str">
        <f>IF('Observaciones-SMP'!K826="","",'Observaciones-SMP'!K826)</f>
        <v/>
      </c>
      <c r="L826" s="193" t="str">
        <f>IF('Observaciones-SMP'!L826="","",'Observaciones-SMP'!L826)</f>
        <v/>
      </c>
      <c r="M826" s="193" t="str">
        <f>IF('Observaciones-SMP'!M826="","",'Observaciones-SMP'!M826)</f>
        <v/>
      </c>
      <c r="N826" s="193" t="str">
        <f>IF('Observaciones-SMP'!N826="","",'Observaciones-SMP'!N826)</f>
        <v/>
      </c>
      <c r="O826" s="193" t="str">
        <f>IF('Observaciones-SMP'!O826="","",'Observaciones-SMP'!O826)</f>
        <v/>
      </c>
      <c r="P826" s="193" t="str">
        <f>IF('Observaciones-SMP'!P826="","",'Observaciones-SMP'!P826)</f>
        <v/>
      </c>
      <c r="Q826" s="257" t="str">
        <f>IF('Observaciones-SMP'!S826="","",'Observaciones-SMP'!S826)</f>
        <v/>
      </c>
      <c r="R826" s="193" t="str">
        <f>IF('Observaciones-SMP'!T826="","",'Observaciones-SMP'!T826)</f>
        <v/>
      </c>
      <c r="S826" s="193" t="str">
        <f>""</f>
        <v/>
      </c>
      <c r="T826" s="193" t="str">
        <f>""</f>
        <v/>
      </c>
      <c r="U826" s="193" t="str">
        <f t="shared" si="48"/>
        <v/>
      </c>
      <c r="V826" s="193" t="str">
        <f>""</f>
        <v/>
      </c>
      <c r="W826" s="193" t="str">
        <f>""</f>
        <v/>
      </c>
      <c r="X826" s="258" t="str">
        <f t="shared" si="49"/>
        <v/>
      </c>
      <c r="Y826" s="258" t="str">
        <f t="shared" si="50"/>
        <v/>
      </c>
      <c r="Z826" s="193" t="str">
        <f>IF(A826="","",IF(COUNTIF('Observaciones-SMP'!$A$2:$A$1001,A826)&gt;1,1,0))</f>
        <v/>
      </c>
      <c r="AA826" s="193" t="str">
        <f t="shared" si="51"/>
        <v/>
      </c>
    </row>
    <row r="827" spans="1:27" ht="13.5" customHeight="1" x14ac:dyDescent="0.3">
      <c r="A827" s="193" t="str">
        <f>IF('Observaciones-SMP'!A827="","",'Observaciones-SMP'!A827)</f>
        <v/>
      </c>
      <c r="B827" s="257" t="str">
        <f>IF('Observaciones-SMP'!B827="","",'Observaciones-SMP'!B827)</f>
        <v/>
      </c>
      <c r="C827" s="193" t="str">
        <f>IF('Observaciones-SMP'!C827="","",'Observaciones-SMP'!C827)</f>
        <v/>
      </c>
      <c r="D827" s="193" t="str">
        <f>IF('Observaciones-SMP'!D827="","",'Observaciones-SMP'!D827)</f>
        <v/>
      </c>
      <c r="E827" s="193" t="str">
        <f>IF('Observaciones-SMP'!E827="","",'Observaciones-SMP'!E827)</f>
        <v/>
      </c>
      <c r="F827" s="193" t="str">
        <f>IF('Observaciones-SMP'!F827="","",'Observaciones-SMP'!F827)</f>
        <v/>
      </c>
      <c r="G827" s="193" t="str">
        <f>IF('Observaciones-SMP'!G827="","",'Observaciones-SMP'!G827)</f>
        <v/>
      </c>
      <c r="H827" s="193" t="str">
        <f>IF('Observaciones-SMP'!H827="","",'Observaciones-SMP'!H827)</f>
        <v/>
      </c>
      <c r="I827" s="193" t="str">
        <f>IF('Observaciones-SMP'!I827="","",'Observaciones-SMP'!I827)</f>
        <v/>
      </c>
      <c r="J827" s="193" t="str">
        <f>IF('Observaciones-SMP'!J827="","",'Observaciones-SMP'!J827)</f>
        <v/>
      </c>
      <c r="K827" s="193" t="str">
        <f>IF('Observaciones-SMP'!K827="","",'Observaciones-SMP'!K827)</f>
        <v/>
      </c>
      <c r="L827" s="193" t="str">
        <f>IF('Observaciones-SMP'!L827="","",'Observaciones-SMP'!L827)</f>
        <v/>
      </c>
      <c r="M827" s="193" t="str">
        <f>IF('Observaciones-SMP'!M827="","",'Observaciones-SMP'!M827)</f>
        <v/>
      </c>
      <c r="N827" s="193" t="str">
        <f>IF('Observaciones-SMP'!N827="","",'Observaciones-SMP'!N827)</f>
        <v/>
      </c>
      <c r="O827" s="193" t="str">
        <f>IF('Observaciones-SMP'!O827="","",'Observaciones-SMP'!O827)</f>
        <v/>
      </c>
      <c r="P827" s="193" t="str">
        <f>IF('Observaciones-SMP'!P827="","",'Observaciones-SMP'!P827)</f>
        <v/>
      </c>
      <c r="Q827" s="257" t="str">
        <f>IF('Observaciones-SMP'!S827="","",'Observaciones-SMP'!S827)</f>
        <v/>
      </c>
      <c r="R827" s="193" t="str">
        <f>IF('Observaciones-SMP'!T827="","",'Observaciones-SMP'!T827)</f>
        <v/>
      </c>
      <c r="S827" s="193" t="str">
        <f>""</f>
        <v/>
      </c>
      <c r="T827" s="193" t="str">
        <f>""</f>
        <v/>
      </c>
      <c r="U827" s="193" t="str">
        <f t="shared" si="48"/>
        <v/>
      </c>
      <c r="V827" s="193" t="str">
        <f>""</f>
        <v/>
      </c>
      <c r="W827" s="193" t="str">
        <f>""</f>
        <v/>
      </c>
      <c r="X827" s="258" t="str">
        <f t="shared" si="49"/>
        <v/>
      </c>
      <c r="Y827" s="258" t="str">
        <f t="shared" si="50"/>
        <v/>
      </c>
      <c r="Z827" s="193" t="str">
        <f>IF(A827="","",IF(COUNTIF('Observaciones-SMP'!$A$2:$A$1001,A827)&gt;1,1,0))</f>
        <v/>
      </c>
      <c r="AA827" s="193" t="str">
        <f t="shared" si="51"/>
        <v/>
      </c>
    </row>
    <row r="828" spans="1:27" ht="13.5" customHeight="1" x14ac:dyDescent="0.3">
      <c r="A828" s="193" t="str">
        <f>IF('Observaciones-SMP'!A828="","",'Observaciones-SMP'!A828)</f>
        <v/>
      </c>
      <c r="B828" s="257" t="str">
        <f>IF('Observaciones-SMP'!B828="","",'Observaciones-SMP'!B828)</f>
        <v/>
      </c>
      <c r="C828" s="193" t="str">
        <f>IF('Observaciones-SMP'!C828="","",'Observaciones-SMP'!C828)</f>
        <v/>
      </c>
      <c r="D828" s="193" t="str">
        <f>IF('Observaciones-SMP'!D828="","",'Observaciones-SMP'!D828)</f>
        <v/>
      </c>
      <c r="E828" s="193" t="str">
        <f>IF('Observaciones-SMP'!E828="","",'Observaciones-SMP'!E828)</f>
        <v/>
      </c>
      <c r="F828" s="193" t="str">
        <f>IF('Observaciones-SMP'!F828="","",'Observaciones-SMP'!F828)</f>
        <v/>
      </c>
      <c r="G828" s="193" t="str">
        <f>IF('Observaciones-SMP'!G828="","",'Observaciones-SMP'!G828)</f>
        <v/>
      </c>
      <c r="H828" s="193" t="str">
        <f>IF('Observaciones-SMP'!H828="","",'Observaciones-SMP'!H828)</f>
        <v/>
      </c>
      <c r="I828" s="193" t="str">
        <f>IF('Observaciones-SMP'!I828="","",'Observaciones-SMP'!I828)</f>
        <v/>
      </c>
      <c r="J828" s="193" t="str">
        <f>IF('Observaciones-SMP'!J828="","",'Observaciones-SMP'!J828)</f>
        <v/>
      </c>
      <c r="K828" s="193" t="str">
        <f>IF('Observaciones-SMP'!K828="","",'Observaciones-SMP'!K828)</f>
        <v/>
      </c>
      <c r="L828" s="193" t="str">
        <f>IF('Observaciones-SMP'!L828="","",'Observaciones-SMP'!L828)</f>
        <v/>
      </c>
      <c r="M828" s="193" t="str">
        <f>IF('Observaciones-SMP'!M828="","",'Observaciones-SMP'!M828)</f>
        <v/>
      </c>
      <c r="N828" s="193" t="str">
        <f>IF('Observaciones-SMP'!N828="","",'Observaciones-SMP'!N828)</f>
        <v/>
      </c>
      <c r="O828" s="193" t="str">
        <f>IF('Observaciones-SMP'!O828="","",'Observaciones-SMP'!O828)</f>
        <v/>
      </c>
      <c r="P828" s="193" t="str">
        <f>IF('Observaciones-SMP'!P828="","",'Observaciones-SMP'!P828)</f>
        <v/>
      </c>
      <c r="Q828" s="257" t="str">
        <f>IF('Observaciones-SMP'!S828="","",'Observaciones-SMP'!S828)</f>
        <v/>
      </c>
      <c r="R828" s="193" t="str">
        <f>IF('Observaciones-SMP'!T828="","",'Observaciones-SMP'!T828)</f>
        <v/>
      </c>
      <c r="S828" s="193" t="str">
        <f>""</f>
        <v/>
      </c>
      <c r="T828" s="193" t="str">
        <f>""</f>
        <v/>
      </c>
      <c r="U828" s="193" t="str">
        <f t="shared" si="48"/>
        <v/>
      </c>
      <c r="V828" s="193" t="str">
        <f>""</f>
        <v/>
      </c>
      <c r="W828" s="193" t="str">
        <f>""</f>
        <v/>
      </c>
      <c r="X828" s="258" t="str">
        <f t="shared" si="49"/>
        <v/>
      </c>
      <c r="Y828" s="258" t="str">
        <f t="shared" si="50"/>
        <v/>
      </c>
      <c r="Z828" s="193" t="str">
        <f>IF(A828="","",IF(COUNTIF('Observaciones-SMP'!$A$2:$A$1001,A828)&gt;1,1,0))</f>
        <v/>
      </c>
      <c r="AA828" s="193" t="str">
        <f t="shared" si="51"/>
        <v/>
      </c>
    </row>
    <row r="829" spans="1:27" ht="13.5" customHeight="1" x14ac:dyDescent="0.3">
      <c r="A829" s="193" t="str">
        <f>IF('Observaciones-SMP'!A829="","",'Observaciones-SMP'!A829)</f>
        <v/>
      </c>
      <c r="B829" s="257" t="str">
        <f>IF('Observaciones-SMP'!B829="","",'Observaciones-SMP'!B829)</f>
        <v/>
      </c>
      <c r="C829" s="193" t="str">
        <f>IF('Observaciones-SMP'!C829="","",'Observaciones-SMP'!C829)</f>
        <v/>
      </c>
      <c r="D829" s="193" t="str">
        <f>IF('Observaciones-SMP'!D829="","",'Observaciones-SMP'!D829)</f>
        <v/>
      </c>
      <c r="E829" s="193" t="str">
        <f>IF('Observaciones-SMP'!E829="","",'Observaciones-SMP'!E829)</f>
        <v/>
      </c>
      <c r="F829" s="193" t="str">
        <f>IF('Observaciones-SMP'!F829="","",'Observaciones-SMP'!F829)</f>
        <v/>
      </c>
      <c r="G829" s="193" t="str">
        <f>IF('Observaciones-SMP'!G829="","",'Observaciones-SMP'!G829)</f>
        <v/>
      </c>
      <c r="H829" s="193" t="str">
        <f>IF('Observaciones-SMP'!H829="","",'Observaciones-SMP'!H829)</f>
        <v/>
      </c>
      <c r="I829" s="193" t="str">
        <f>IF('Observaciones-SMP'!I829="","",'Observaciones-SMP'!I829)</f>
        <v/>
      </c>
      <c r="J829" s="193" t="str">
        <f>IF('Observaciones-SMP'!J829="","",'Observaciones-SMP'!J829)</f>
        <v/>
      </c>
      <c r="K829" s="193" t="str">
        <f>IF('Observaciones-SMP'!K829="","",'Observaciones-SMP'!K829)</f>
        <v/>
      </c>
      <c r="L829" s="193" t="str">
        <f>IF('Observaciones-SMP'!L829="","",'Observaciones-SMP'!L829)</f>
        <v/>
      </c>
      <c r="M829" s="193" t="str">
        <f>IF('Observaciones-SMP'!M829="","",'Observaciones-SMP'!M829)</f>
        <v/>
      </c>
      <c r="N829" s="193" t="str">
        <f>IF('Observaciones-SMP'!N829="","",'Observaciones-SMP'!N829)</f>
        <v/>
      </c>
      <c r="O829" s="193" t="str">
        <f>IF('Observaciones-SMP'!O829="","",'Observaciones-SMP'!O829)</f>
        <v/>
      </c>
      <c r="P829" s="193" t="str">
        <f>IF('Observaciones-SMP'!P829="","",'Observaciones-SMP'!P829)</f>
        <v/>
      </c>
      <c r="Q829" s="257" t="str">
        <f>IF('Observaciones-SMP'!S829="","",'Observaciones-SMP'!S829)</f>
        <v/>
      </c>
      <c r="R829" s="193" t="str">
        <f>IF('Observaciones-SMP'!T829="","",'Observaciones-SMP'!T829)</f>
        <v/>
      </c>
      <c r="S829" s="193" t="str">
        <f>""</f>
        <v/>
      </c>
      <c r="T829" s="193" t="str">
        <f>""</f>
        <v/>
      </c>
      <c r="U829" s="193" t="str">
        <f t="shared" si="48"/>
        <v/>
      </c>
      <c r="V829" s="193" t="str">
        <f>""</f>
        <v/>
      </c>
      <c r="W829" s="193" t="str">
        <f>""</f>
        <v/>
      </c>
      <c r="X829" s="258" t="str">
        <f t="shared" si="49"/>
        <v/>
      </c>
      <c r="Y829" s="258" t="str">
        <f t="shared" si="50"/>
        <v/>
      </c>
      <c r="Z829" s="193" t="str">
        <f>IF(A829="","",IF(COUNTIF('Observaciones-SMP'!$A$2:$A$1001,A829)&gt;1,1,0))</f>
        <v/>
      </c>
      <c r="AA829" s="193" t="str">
        <f t="shared" si="51"/>
        <v/>
      </c>
    </row>
    <row r="830" spans="1:27" ht="13.5" customHeight="1" x14ac:dyDescent="0.3">
      <c r="A830" s="193" t="str">
        <f>IF('Observaciones-SMP'!A830="","",'Observaciones-SMP'!A830)</f>
        <v/>
      </c>
      <c r="B830" s="257" t="str">
        <f>IF('Observaciones-SMP'!B830="","",'Observaciones-SMP'!B830)</f>
        <v/>
      </c>
      <c r="C830" s="193" t="str">
        <f>IF('Observaciones-SMP'!C830="","",'Observaciones-SMP'!C830)</f>
        <v/>
      </c>
      <c r="D830" s="193" t="str">
        <f>IF('Observaciones-SMP'!D830="","",'Observaciones-SMP'!D830)</f>
        <v/>
      </c>
      <c r="E830" s="193" t="str">
        <f>IF('Observaciones-SMP'!E830="","",'Observaciones-SMP'!E830)</f>
        <v/>
      </c>
      <c r="F830" s="193" t="str">
        <f>IF('Observaciones-SMP'!F830="","",'Observaciones-SMP'!F830)</f>
        <v/>
      </c>
      <c r="G830" s="193" t="str">
        <f>IF('Observaciones-SMP'!G830="","",'Observaciones-SMP'!G830)</f>
        <v/>
      </c>
      <c r="H830" s="193" t="str">
        <f>IF('Observaciones-SMP'!H830="","",'Observaciones-SMP'!H830)</f>
        <v/>
      </c>
      <c r="I830" s="193" t="str">
        <f>IF('Observaciones-SMP'!I830="","",'Observaciones-SMP'!I830)</f>
        <v/>
      </c>
      <c r="J830" s="193" t="str">
        <f>IF('Observaciones-SMP'!J830="","",'Observaciones-SMP'!J830)</f>
        <v/>
      </c>
      <c r="K830" s="193" t="str">
        <f>IF('Observaciones-SMP'!K830="","",'Observaciones-SMP'!K830)</f>
        <v/>
      </c>
      <c r="L830" s="193" t="str">
        <f>IF('Observaciones-SMP'!L830="","",'Observaciones-SMP'!L830)</f>
        <v/>
      </c>
      <c r="M830" s="193" t="str">
        <f>IF('Observaciones-SMP'!M830="","",'Observaciones-SMP'!M830)</f>
        <v/>
      </c>
      <c r="N830" s="193" t="str">
        <f>IF('Observaciones-SMP'!N830="","",'Observaciones-SMP'!N830)</f>
        <v/>
      </c>
      <c r="O830" s="193" t="str">
        <f>IF('Observaciones-SMP'!O830="","",'Observaciones-SMP'!O830)</f>
        <v/>
      </c>
      <c r="P830" s="193" t="str">
        <f>IF('Observaciones-SMP'!P830="","",'Observaciones-SMP'!P830)</f>
        <v/>
      </c>
      <c r="Q830" s="257" t="str">
        <f>IF('Observaciones-SMP'!S830="","",'Observaciones-SMP'!S830)</f>
        <v/>
      </c>
      <c r="R830" s="193" t="str">
        <f>IF('Observaciones-SMP'!T830="","",'Observaciones-SMP'!T830)</f>
        <v/>
      </c>
      <c r="S830" s="193" t="str">
        <f>""</f>
        <v/>
      </c>
      <c r="T830" s="193" t="str">
        <f>""</f>
        <v/>
      </c>
      <c r="U830" s="193" t="str">
        <f t="shared" si="48"/>
        <v/>
      </c>
      <c r="V830" s="193" t="str">
        <f>""</f>
        <v/>
      </c>
      <c r="W830" s="193" t="str">
        <f>""</f>
        <v/>
      </c>
      <c r="X830" s="258" t="str">
        <f t="shared" si="49"/>
        <v/>
      </c>
      <c r="Y830" s="258" t="str">
        <f t="shared" si="50"/>
        <v/>
      </c>
      <c r="Z830" s="193" t="str">
        <f>IF(A830="","",IF(COUNTIF('Observaciones-SMP'!$A$2:$A$1001,A830)&gt;1,1,0))</f>
        <v/>
      </c>
      <c r="AA830" s="193" t="str">
        <f t="shared" si="51"/>
        <v/>
      </c>
    </row>
    <row r="831" spans="1:27" ht="13.5" customHeight="1" x14ac:dyDescent="0.3">
      <c r="A831" s="193" t="str">
        <f>IF('Observaciones-SMP'!A831="","",'Observaciones-SMP'!A831)</f>
        <v/>
      </c>
      <c r="B831" s="257" t="str">
        <f>IF('Observaciones-SMP'!B831="","",'Observaciones-SMP'!B831)</f>
        <v/>
      </c>
      <c r="C831" s="193" t="str">
        <f>IF('Observaciones-SMP'!C831="","",'Observaciones-SMP'!C831)</f>
        <v/>
      </c>
      <c r="D831" s="193" t="str">
        <f>IF('Observaciones-SMP'!D831="","",'Observaciones-SMP'!D831)</f>
        <v/>
      </c>
      <c r="E831" s="193" t="str">
        <f>IF('Observaciones-SMP'!E831="","",'Observaciones-SMP'!E831)</f>
        <v/>
      </c>
      <c r="F831" s="193" t="str">
        <f>IF('Observaciones-SMP'!F831="","",'Observaciones-SMP'!F831)</f>
        <v/>
      </c>
      <c r="G831" s="193" t="str">
        <f>IF('Observaciones-SMP'!G831="","",'Observaciones-SMP'!G831)</f>
        <v/>
      </c>
      <c r="H831" s="193" t="str">
        <f>IF('Observaciones-SMP'!H831="","",'Observaciones-SMP'!H831)</f>
        <v/>
      </c>
      <c r="I831" s="193" t="str">
        <f>IF('Observaciones-SMP'!I831="","",'Observaciones-SMP'!I831)</f>
        <v/>
      </c>
      <c r="J831" s="193" t="str">
        <f>IF('Observaciones-SMP'!J831="","",'Observaciones-SMP'!J831)</f>
        <v/>
      </c>
      <c r="K831" s="193" t="str">
        <f>IF('Observaciones-SMP'!K831="","",'Observaciones-SMP'!K831)</f>
        <v/>
      </c>
      <c r="L831" s="193" t="str">
        <f>IF('Observaciones-SMP'!L831="","",'Observaciones-SMP'!L831)</f>
        <v/>
      </c>
      <c r="M831" s="193" t="str">
        <f>IF('Observaciones-SMP'!M831="","",'Observaciones-SMP'!M831)</f>
        <v/>
      </c>
      <c r="N831" s="193" t="str">
        <f>IF('Observaciones-SMP'!N831="","",'Observaciones-SMP'!N831)</f>
        <v/>
      </c>
      <c r="O831" s="193" t="str">
        <f>IF('Observaciones-SMP'!O831="","",'Observaciones-SMP'!O831)</f>
        <v/>
      </c>
      <c r="P831" s="193" t="str">
        <f>IF('Observaciones-SMP'!P831="","",'Observaciones-SMP'!P831)</f>
        <v/>
      </c>
      <c r="Q831" s="257" t="str">
        <f>IF('Observaciones-SMP'!S831="","",'Observaciones-SMP'!S831)</f>
        <v/>
      </c>
      <c r="R831" s="193" t="str">
        <f>IF('Observaciones-SMP'!T831="","",'Observaciones-SMP'!T831)</f>
        <v/>
      </c>
      <c r="S831" s="193" t="str">
        <f>""</f>
        <v/>
      </c>
      <c r="T831" s="193" t="str">
        <f>""</f>
        <v/>
      </c>
      <c r="U831" s="193" t="str">
        <f t="shared" si="48"/>
        <v/>
      </c>
      <c r="V831" s="193" t="str">
        <f>""</f>
        <v/>
      </c>
      <c r="W831" s="193" t="str">
        <f>""</f>
        <v/>
      </c>
      <c r="X831" s="258" t="str">
        <f t="shared" si="49"/>
        <v/>
      </c>
      <c r="Y831" s="258" t="str">
        <f t="shared" si="50"/>
        <v/>
      </c>
      <c r="Z831" s="193" t="str">
        <f>IF(A831="","",IF(COUNTIF('Observaciones-SMP'!$A$2:$A$1001,A831)&gt;1,1,0))</f>
        <v/>
      </c>
      <c r="AA831" s="193" t="str">
        <f t="shared" si="51"/>
        <v/>
      </c>
    </row>
    <row r="832" spans="1:27" ht="13.5" customHeight="1" x14ac:dyDescent="0.3">
      <c r="A832" s="193" t="str">
        <f>IF('Observaciones-SMP'!A832="","",'Observaciones-SMP'!A832)</f>
        <v/>
      </c>
      <c r="B832" s="257" t="str">
        <f>IF('Observaciones-SMP'!B832="","",'Observaciones-SMP'!B832)</f>
        <v/>
      </c>
      <c r="C832" s="193" t="str">
        <f>IF('Observaciones-SMP'!C832="","",'Observaciones-SMP'!C832)</f>
        <v/>
      </c>
      <c r="D832" s="193" t="str">
        <f>IF('Observaciones-SMP'!D832="","",'Observaciones-SMP'!D832)</f>
        <v/>
      </c>
      <c r="E832" s="193" t="str">
        <f>IF('Observaciones-SMP'!E832="","",'Observaciones-SMP'!E832)</f>
        <v/>
      </c>
      <c r="F832" s="193" t="str">
        <f>IF('Observaciones-SMP'!F832="","",'Observaciones-SMP'!F832)</f>
        <v/>
      </c>
      <c r="G832" s="193" t="str">
        <f>IF('Observaciones-SMP'!G832="","",'Observaciones-SMP'!G832)</f>
        <v/>
      </c>
      <c r="H832" s="193" t="str">
        <f>IF('Observaciones-SMP'!H832="","",'Observaciones-SMP'!H832)</f>
        <v/>
      </c>
      <c r="I832" s="193" t="str">
        <f>IF('Observaciones-SMP'!I832="","",'Observaciones-SMP'!I832)</f>
        <v/>
      </c>
      <c r="J832" s="193" t="str">
        <f>IF('Observaciones-SMP'!J832="","",'Observaciones-SMP'!J832)</f>
        <v/>
      </c>
      <c r="K832" s="193" t="str">
        <f>IF('Observaciones-SMP'!K832="","",'Observaciones-SMP'!K832)</f>
        <v/>
      </c>
      <c r="L832" s="193" t="str">
        <f>IF('Observaciones-SMP'!L832="","",'Observaciones-SMP'!L832)</f>
        <v/>
      </c>
      <c r="M832" s="193" t="str">
        <f>IF('Observaciones-SMP'!M832="","",'Observaciones-SMP'!M832)</f>
        <v/>
      </c>
      <c r="N832" s="193" t="str">
        <f>IF('Observaciones-SMP'!N832="","",'Observaciones-SMP'!N832)</f>
        <v/>
      </c>
      <c r="O832" s="193" t="str">
        <f>IF('Observaciones-SMP'!O832="","",'Observaciones-SMP'!O832)</f>
        <v/>
      </c>
      <c r="P832" s="193" t="str">
        <f>IF('Observaciones-SMP'!P832="","",'Observaciones-SMP'!P832)</f>
        <v/>
      </c>
      <c r="Q832" s="257" t="str">
        <f>IF('Observaciones-SMP'!S832="","",'Observaciones-SMP'!S832)</f>
        <v/>
      </c>
      <c r="R832" s="193" t="str">
        <f>IF('Observaciones-SMP'!T832="","",'Observaciones-SMP'!T832)</f>
        <v/>
      </c>
      <c r="S832" s="193" t="str">
        <f>""</f>
        <v/>
      </c>
      <c r="T832" s="193" t="str">
        <f>""</f>
        <v/>
      </c>
      <c r="U832" s="193" t="str">
        <f t="shared" si="48"/>
        <v/>
      </c>
      <c r="V832" s="193" t="str">
        <f>""</f>
        <v/>
      </c>
      <c r="W832" s="193" t="str">
        <f>""</f>
        <v/>
      </c>
      <c r="X832" s="258" t="str">
        <f t="shared" si="49"/>
        <v/>
      </c>
      <c r="Y832" s="258" t="str">
        <f t="shared" si="50"/>
        <v/>
      </c>
      <c r="Z832" s="193" t="str">
        <f>IF(A832="","",IF(COUNTIF('Observaciones-SMP'!$A$2:$A$1001,A832)&gt;1,1,0))</f>
        <v/>
      </c>
      <c r="AA832" s="193" t="str">
        <f t="shared" si="51"/>
        <v/>
      </c>
    </row>
    <row r="833" spans="1:27" ht="13.5" customHeight="1" x14ac:dyDescent="0.3">
      <c r="A833" s="193" t="str">
        <f>IF('Observaciones-SMP'!A833="","",'Observaciones-SMP'!A833)</f>
        <v/>
      </c>
      <c r="B833" s="257" t="str">
        <f>IF('Observaciones-SMP'!B833="","",'Observaciones-SMP'!B833)</f>
        <v/>
      </c>
      <c r="C833" s="193" t="str">
        <f>IF('Observaciones-SMP'!C833="","",'Observaciones-SMP'!C833)</f>
        <v/>
      </c>
      <c r="D833" s="193" t="str">
        <f>IF('Observaciones-SMP'!D833="","",'Observaciones-SMP'!D833)</f>
        <v/>
      </c>
      <c r="E833" s="193" t="str">
        <f>IF('Observaciones-SMP'!E833="","",'Observaciones-SMP'!E833)</f>
        <v/>
      </c>
      <c r="F833" s="193" t="str">
        <f>IF('Observaciones-SMP'!F833="","",'Observaciones-SMP'!F833)</f>
        <v/>
      </c>
      <c r="G833" s="193" t="str">
        <f>IF('Observaciones-SMP'!G833="","",'Observaciones-SMP'!G833)</f>
        <v/>
      </c>
      <c r="H833" s="193" t="str">
        <f>IF('Observaciones-SMP'!H833="","",'Observaciones-SMP'!H833)</f>
        <v/>
      </c>
      <c r="I833" s="193" t="str">
        <f>IF('Observaciones-SMP'!I833="","",'Observaciones-SMP'!I833)</f>
        <v/>
      </c>
      <c r="J833" s="193" t="str">
        <f>IF('Observaciones-SMP'!J833="","",'Observaciones-SMP'!J833)</f>
        <v/>
      </c>
      <c r="K833" s="193" t="str">
        <f>IF('Observaciones-SMP'!K833="","",'Observaciones-SMP'!K833)</f>
        <v/>
      </c>
      <c r="L833" s="193" t="str">
        <f>IF('Observaciones-SMP'!L833="","",'Observaciones-SMP'!L833)</f>
        <v/>
      </c>
      <c r="M833" s="193" t="str">
        <f>IF('Observaciones-SMP'!M833="","",'Observaciones-SMP'!M833)</f>
        <v/>
      </c>
      <c r="N833" s="193" t="str">
        <f>IF('Observaciones-SMP'!N833="","",'Observaciones-SMP'!N833)</f>
        <v/>
      </c>
      <c r="O833" s="193" t="str">
        <f>IF('Observaciones-SMP'!O833="","",'Observaciones-SMP'!O833)</f>
        <v/>
      </c>
      <c r="P833" s="193" t="str">
        <f>IF('Observaciones-SMP'!P833="","",'Observaciones-SMP'!P833)</f>
        <v/>
      </c>
      <c r="Q833" s="257" t="str">
        <f>IF('Observaciones-SMP'!S833="","",'Observaciones-SMP'!S833)</f>
        <v/>
      </c>
      <c r="R833" s="193" t="str">
        <f>IF('Observaciones-SMP'!T833="","",'Observaciones-SMP'!T833)</f>
        <v/>
      </c>
      <c r="S833" s="193" t="str">
        <f>""</f>
        <v/>
      </c>
      <c r="T833" s="193" t="str">
        <f>""</f>
        <v/>
      </c>
      <c r="U833" s="193" t="str">
        <f t="shared" si="48"/>
        <v/>
      </c>
      <c r="V833" s="193" t="str">
        <f>""</f>
        <v/>
      </c>
      <c r="W833" s="193" t="str">
        <f>""</f>
        <v/>
      </c>
      <c r="X833" s="258" t="str">
        <f t="shared" si="49"/>
        <v/>
      </c>
      <c r="Y833" s="258" t="str">
        <f t="shared" si="50"/>
        <v/>
      </c>
      <c r="Z833" s="193" t="str">
        <f>IF(A833="","",IF(COUNTIF('Observaciones-SMP'!$A$2:$A$1001,A833)&gt;1,1,0))</f>
        <v/>
      </c>
      <c r="AA833" s="193" t="str">
        <f t="shared" si="51"/>
        <v/>
      </c>
    </row>
    <row r="834" spans="1:27" ht="13.5" customHeight="1" x14ac:dyDescent="0.3">
      <c r="A834" s="193" t="str">
        <f>IF('Observaciones-SMP'!A834="","",'Observaciones-SMP'!A834)</f>
        <v/>
      </c>
      <c r="B834" s="257" t="str">
        <f>IF('Observaciones-SMP'!B834="","",'Observaciones-SMP'!B834)</f>
        <v/>
      </c>
      <c r="C834" s="193" t="str">
        <f>IF('Observaciones-SMP'!C834="","",'Observaciones-SMP'!C834)</f>
        <v/>
      </c>
      <c r="D834" s="193" t="str">
        <f>IF('Observaciones-SMP'!D834="","",'Observaciones-SMP'!D834)</f>
        <v/>
      </c>
      <c r="E834" s="193" t="str">
        <f>IF('Observaciones-SMP'!E834="","",'Observaciones-SMP'!E834)</f>
        <v/>
      </c>
      <c r="F834" s="193" t="str">
        <f>IF('Observaciones-SMP'!F834="","",'Observaciones-SMP'!F834)</f>
        <v/>
      </c>
      <c r="G834" s="193" t="str">
        <f>IF('Observaciones-SMP'!G834="","",'Observaciones-SMP'!G834)</f>
        <v/>
      </c>
      <c r="H834" s="193" t="str">
        <f>IF('Observaciones-SMP'!H834="","",'Observaciones-SMP'!H834)</f>
        <v/>
      </c>
      <c r="I834" s="193" t="str">
        <f>IF('Observaciones-SMP'!I834="","",'Observaciones-SMP'!I834)</f>
        <v/>
      </c>
      <c r="J834" s="193" t="str">
        <f>IF('Observaciones-SMP'!J834="","",'Observaciones-SMP'!J834)</f>
        <v/>
      </c>
      <c r="K834" s="193" t="str">
        <f>IF('Observaciones-SMP'!K834="","",'Observaciones-SMP'!K834)</f>
        <v/>
      </c>
      <c r="L834" s="193" t="str">
        <f>IF('Observaciones-SMP'!L834="","",'Observaciones-SMP'!L834)</f>
        <v/>
      </c>
      <c r="M834" s="193" t="str">
        <f>IF('Observaciones-SMP'!M834="","",'Observaciones-SMP'!M834)</f>
        <v/>
      </c>
      <c r="N834" s="193" t="str">
        <f>IF('Observaciones-SMP'!N834="","",'Observaciones-SMP'!N834)</f>
        <v/>
      </c>
      <c r="O834" s="193" t="str">
        <f>IF('Observaciones-SMP'!O834="","",'Observaciones-SMP'!O834)</f>
        <v/>
      </c>
      <c r="P834" s="193" t="str">
        <f>IF('Observaciones-SMP'!P834="","",'Observaciones-SMP'!P834)</f>
        <v/>
      </c>
      <c r="Q834" s="257" t="str">
        <f>IF('Observaciones-SMP'!S834="","",'Observaciones-SMP'!S834)</f>
        <v/>
      </c>
      <c r="R834" s="193" t="str">
        <f>IF('Observaciones-SMP'!T834="","",'Observaciones-SMP'!T834)</f>
        <v/>
      </c>
      <c r="S834" s="193" t="str">
        <f>""</f>
        <v/>
      </c>
      <c r="T834" s="193" t="str">
        <f>""</f>
        <v/>
      </c>
      <c r="U834" s="193" t="str">
        <f t="shared" ref="U834:U897" si="52">IF(AND(ISNUMBER(B834),ISNUMBER(Q834)),IF(Q834&gt;=B834,Q834-B834,""),"")</f>
        <v/>
      </c>
      <c r="V834" s="193" t="str">
        <f>""</f>
        <v/>
      </c>
      <c r="W834" s="193" t="str">
        <f>""</f>
        <v/>
      </c>
      <c r="X834" s="258" t="str">
        <f t="shared" ref="X834:X897" si="53">IF(ISNUMBER(B834),DATE(YEAR(B834),MONTH(B834),1),"")</f>
        <v/>
      </c>
      <c r="Y834" s="258" t="str">
        <f t="shared" ref="Y834:Y897" si="54">IF(ISNUMBER(Q834),DATE(YEAR(Q834),MONTH(Q834),1),"")</f>
        <v/>
      </c>
      <c r="Z834" s="193" t="str">
        <f>IF(A834="","",IF(COUNTIF('Observaciones-SMP'!$A$2:$A$1001,A834)&gt;1,1,0))</f>
        <v/>
      </c>
      <c r="AA834" s="193" t="str">
        <f t="shared" ref="AA834:AA897" si="55">IF(ISNUMBER(B834),IF(ISNUMBER(Q834),Q834,DATE(YEAR(RPT_MONTH),MONTH(RPT_MONTH)+1,0))-B834,"")</f>
        <v/>
      </c>
    </row>
    <row r="835" spans="1:27" ht="13.5" customHeight="1" x14ac:dyDescent="0.3">
      <c r="A835" s="193" t="str">
        <f>IF('Observaciones-SMP'!A835="","",'Observaciones-SMP'!A835)</f>
        <v/>
      </c>
      <c r="B835" s="257" t="str">
        <f>IF('Observaciones-SMP'!B835="","",'Observaciones-SMP'!B835)</f>
        <v/>
      </c>
      <c r="C835" s="193" t="str">
        <f>IF('Observaciones-SMP'!C835="","",'Observaciones-SMP'!C835)</f>
        <v/>
      </c>
      <c r="D835" s="193" t="str">
        <f>IF('Observaciones-SMP'!D835="","",'Observaciones-SMP'!D835)</f>
        <v/>
      </c>
      <c r="E835" s="193" t="str">
        <f>IF('Observaciones-SMP'!E835="","",'Observaciones-SMP'!E835)</f>
        <v/>
      </c>
      <c r="F835" s="193" t="str">
        <f>IF('Observaciones-SMP'!F835="","",'Observaciones-SMP'!F835)</f>
        <v/>
      </c>
      <c r="G835" s="193" t="str">
        <f>IF('Observaciones-SMP'!G835="","",'Observaciones-SMP'!G835)</f>
        <v/>
      </c>
      <c r="H835" s="193" t="str">
        <f>IF('Observaciones-SMP'!H835="","",'Observaciones-SMP'!H835)</f>
        <v/>
      </c>
      <c r="I835" s="193" t="str">
        <f>IF('Observaciones-SMP'!I835="","",'Observaciones-SMP'!I835)</f>
        <v/>
      </c>
      <c r="J835" s="193" t="str">
        <f>IF('Observaciones-SMP'!J835="","",'Observaciones-SMP'!J835)</f>
        <v/>
      </c>
      <c r="K835" s="193" t="str">
        <f>IF('Observaciones-SMP'!K835="","",'Observaciones-SMP'!K835)</f>
        <v/>
      </c>
      <c r="L835" s="193" t="str">
        <f>IF('Observaciones-SMP'!L835="","",'Observaciones-SMP'!L835)</f>
        <v/>
      </c>
      <c r="M835" s="193" t="str">
        <f>IF('Observaciones-SMP'!M835="","",'Observaciones-SMP'!M835)</f>
        <v/>
      </c>
      <c r="N835" s="193" t="str">
        <f>IF('Observaciones-SMP'!N835="","",'Observaciones-SMP'!N835)</f>
        <v/>
      </c>
      <c r="O835" s="193" t="str">
        <f>IF('Observaciones-SMP'!O835="","",'Observaciones-SMP'!O835)</f>
        <v/>
      </c>
      <c r="P835" s="193" t="str">
        <f>IF('Observaciones-SMP'!P835="","",'Observaciones-SMP'!P835)</f>
        <v/>
      </c>
      <c r="Q835" s="257" t="str">
        <f>IF('Observaciones-SMP'!S835="","",'Observaciones-SMP'!S835)</f>
        <v/>
      </c>
      <c r="R835" s="193" t="str">
        <f>IF('Observaciones-SMP'!T835="","",'Observaciones-SMP'!T835)</f>
        <v/>
      </c>
      <c r="S835" s="193" t="str">
        <f>""</f>
        <v/>
      </c>
      <c r="T835" s="193" t="str">
        <f>""</f>
        <v/>
      </c>
      <c r="U835" s="193" t="str">
        <f t="shared" si="52"/>
        <v/>
      </c>
      <c r="V835" s="193" t="str">
        <f>""</f>
        <v/>
      </c>
      <c r="W835" s="193" t="str">
        <f>""</f>
        <v/>
      </c>
      <c r="X835" s="258" t="str">
        <f t="shared" si="53"/>
        <v/>
      </c>
      <c r="Y835" s="258" t="str">
        <f t="shared" si="54"/>
        <v/>
      </c>
      <c r="Z835" s="193" t="str">
        <f>IF(A835="","",IF(COUNTIF('Observaciones-SMP'!$A$2:$A$1001,A835)&gt;1,1,0))</f>
        <v/>
      </c>
      <c r="AA835" s="193" t="str">
        <f t="shared" si="55"/>
        <v/>
      </c>
    </row>
    <row r="836" spans="1:27" ht="13.5" customHeight="1" x14ac:dyDescent="0.3">
      <c r="A836" s="193" t="str">
        <f>IF('Observaciones-SMP'!A836="","",'Observaciones-SMP'!A836)</f>
        <v/>
      </c>
      <c r="B836" s="257" t="str">
        <f>IF('Observaciones-SMP'!B836="","",'Observaciones-SMP'!B836)</f>
        <v/>
      </c>
      <c r="C836" s="193" t="str">
        <f>IF('Observaciones-SMP'!C836="","",'Observaciones-SMP'!C836)</f>
        <v/>
      </c>
      <c r="D836" s="193" t="str">
        <f>IF('Observaciones-SMP'!D836="","",'Observaciones-SMP'!D836)</f>
        <v/>
      </c>
      <c r="E836" s="193" t="str">
        <f>IF('Observaciones-SMP'!E836="","",'Observaciones-SMP'!E836)</f>
        <v/>
      </c>
      <c r="F836" s="193" t="str">
        <f>IF('Observaciones-SMP'!F836="","",'Observaciones-SMP'!F836)</f>
        <v/>
      </c>
      <c r="G836" s="193" t="str">
        <f>IF('Observaciones-SMP'!G836="","",'Observaciones-SMP'!G836)</f>
        <v/>
      </c>
      <c r="H836" s="193" t="str">
        <f>IF('Observaciones-SMP'!H836="","",'Observaciones-SMP'!H836)</f>
        <v/>
      </c>
      <c r="I836" s="193" t="str">
        <f>IF('Observaciones-SMP'!I836="","",'Observaciones-SMP'!I836)</f>
        <v/>
      </c>
      <c r="J836" s="193" t="str">
        <f>IF('Observaciones-SMP'!J836="","",'Observaciones-SMP'!J836)</f>
        <v/>
      </c>
      <c r="K836" s="193" t="str">
        <f>IF('Observaciones-SMP'!K836="","",'Observaciones-SMP'!K836)</f>
        <v/>
      </c>
      <c r="L836" s="193" t="str">
        <f>IF('Observaciones-SMP'!L836="","",'Observaciones-SMP'!L836)</f>
        <v/>
      </c>
      <c r="M836" s="193" t="str">
        <f>IF('Observaciones-SMP'!M836="","",'Observaciones-SMP'!M836)</f>
        <v/>
      </c>
      <c r="N836" s="193" t="str">
        <f>IF('Observaciones-SMP'!N836="","",'Observaciones-SMP'!N836)</f>
        <v/>
      </c>
      <c r="O836" s="193" t="str">
        <f>IF('Observaciones-SMP'!O836="","",'Observaciones-SMP'!O836)</f>
        <v/>
      </c>
      <c r="P836" s="193" t="str">
        <f>IF('Observaciones-SMP'!P836="","",'Observaciones-SMP'!P836)</f>
        <v/>
      </c>
      <c r="Q836" s="257" t="str">
        <f>IF('Observaciones-SMP'!S836="","",'Observaciones-SMP'!S836)</f>
        <v/>
      </c>
      <c r="R836" s="193" t="str">
        <f>IF('Observaciones-SMP'!T836="","",'Observaciones-SMP'!T836)</f>
        <v/>
      </c>
      <c r="S836" s="193" t="str">
        <f>""</f>
        <v/>
      </c>
      <c r="T836" s="193" t="str">
        <f>""</f>
        <v/>
      </c>
      <c r="U836" s="193" t="str">
        <f t="shared" si="52"/>
        <v/>
      </c>
      <c r="V836" s="193" t="str">
        <f>""</f>
        <v/>
      </c>
      <c r="W836" s="193" t="str">
        <f>""</f>
        <v/>
      </c>
      <c r="X836" s="258" t="str">
        <f t="shared" si="53"/>
        <v/>
      </c>
      <c r="Y836" s="258" t="str">
        <f t="shared" si="54"/>
        <v/>
      </c>
      <c r="Z836" s="193" t="str">
        <f>IF(A836="","",IF(COUNTIF('Observaciones-SMP'!$A$2:$A$1001,A836)&gt;1,1,0))</f>
        <v/>
      </c>
      <c r="AA836" s="193" t="str">
        <f t="shared" si="55"/>
        <v/>
      </c>
    </row>
    <row r="837" spans="1:27" ht="13.5" customHeight="1" x14ac:dyDescent="0.3">
      <c r="A837" s="193" t="str">
        <f>IF('Observaciones-SMP'!A837="","",'Observaciones-SMP'!A837)</f>
        <v/>
      </c>
      <c r="B837" s="257" t="str">
        <f>IF('Observaciones-SMP'!B837="","",'Observaciones-SMP'!B837)</f>
        <v/>
      </c>
      <c r="C837" s="193" t="str">
        <f>IF('Observaciones-SMP'!C837="","",'Observaciones-SMP'!C837)</f>
        <v/>
      </c>
      <c r="D837" s="193" t="str">
        <f>IF('Observaciones-SMP'!D837="","",'Observaciones-SMP'!D837)</f>
        <v/>
      </c>
      <c r="E837" s="193" t="str">
        <f>IF('Observaciones-SMP'!E837="","",'Observaciones-SMP'!E837)</f>
        <v/>
      </c>
      <c r="F837" s="193" t="str">
        <f>IF('Observaciones-SMP'!F837="","",'Observaciones-SMP'!F837)</f>
        <v/>
      </c>
      <c r="G837" s="193" t="str">
        <f>IF('Observaciones-SMP'!G837="","",'Observaciones-SMP'!G837)</f>
        <v/>
      </c>
      <c r="H837" s="193" t="str">
        <f>IF('Observaciones-SMP'!H837="","",'Observaciones-SMP'!H837)</f>
        <v/>
      </c>
      <c r="I837" s="193" t="str">
        <f>IF('Observaciones-SMP'!I837="","",'Observaciones-SMP'!I837)</f>
        <v/>
      </c>
      <c r="J837" s="193" t="str">
        <f>IF('Observaciones-SMP'!J837="","",'Observaciones-SMP'!J837)</f>
        <v/>
      </c>
      <c r="K837" s="193" t="str">
        <f>IF('Observaciones-SMP'!K837="","",'Observaciones-SMP'!K837)</f>
        <v/>
      </c>
      <c r="L837" s="193" t="str">
        <f>IF('Observaciones-SMP'!L837="","",'Observaciones-SMP'!L837)</f>
        <v/>
      </c>
      <c r="M837" s="193" t="str">
        <f>IF('Observaciones-SMP'!M837="","",'Observaciones-SMP'!M837)</f>
        <v/>
      </c>
      <c r="N837" s="193" t="str">
        <f>IF('Observaciones-SMP'!N837="","",'Observaciones-SMP'!N837)</f>
        <v/>
      </c>
      <c r="O837" s="193" t="str">
        <f>IF('Observaciones-SMP'!O837="","",'Observaciones-SMP'!O837)</f>
        <v/>
      </c>
      <c r="P837" s="193" t="str">
        <f>IF('Observaciones-SMP'!P837="","",'Observaciones-SMP'!P837)</f>
        <v/>
      </c>
      <c r="Q837" s="257" t="str">
        <f>IF('Observaciones-SMP'!S837="","",'Observaciones-SMP'!S837)</f>
        <v/>
      </c>
      <c r="R837" s="193" t="str">
        <f>IF('Observaciones-SMP'!T837="","",'Observaciones-SMP'!T837)</f>
        <v/>
      </c>
      <c r="S837" s="193" t="str">
        <f>""</f>
        <v/>
      </c>
      <c r="T837" s="193" t="str">
        <f>""</f>
        <v/>
      </c>
      <c r="U837" s="193" t="str">
        <f t="shared" si="52"/>
        <v/>
      </c>
      <c r="V837" s="193" t="str">
        <f>""</f>
        <v/>
      </c>
      <c r="W837" s="193" t="str">
        <f>""</f>
        <v/>
      </c>
      <c r="X837" s="258" t="str">
        <f t="shared" si="53"/>
        <v/>
      </c>
      <c r="Y837" s="258" t="str">
        <f t="shared" si="54"/>
        <v/>
      </c>
      <c r="Z837" s="193" t="str">
        <f>IF(A837="","",IF(COUNTIF('Observaciones-SMP'!$A$2:$A$1001,A837)&gt;1,1,0))</f>
        <v/>
      </c>
      <c r="AA837" s="193" t="str">
        <f t="shared" si="55"/>
        <v/>
      </c>
    </row>
    <row r="838" spans="1:27" ht="13.5" customHeight="1" x14ac:dyDescent="0.3">
      <c r="A838" s="193" t="str">
        <f>IF('Observaciones-SMP'!A838="","",'Observaciones-SMP'!A838)</f>
        <v/>
      </c>
      <c r="B838" s="257" t="str">
        <f>IF('Observaciones-SMP'!B838="","",'Observaciones-SMP'!B838)</f>
        <v/>
      </c>
      <c r="C838" s="193" t="str">
        <f>IF('Observaciones-SMP'!C838="","",'Observaciones-SMP'!C838)</f>
        <v/>
      </c>
      <c r="D838" s="193" t="str">
        <f>IF('Observaciones-SMP'!D838="","",'Observaciones-SMP'!D838)</f>
        <v/>
      </c>
      <c r="E838" s="193" t="str">
        <f>IF('Observaciones-SMP'!E838="","",'Observaciones-SMP'!E838)</f>
        <v/>
      </c>
      <c r="F838" s="193" t="str">
        <f>IF('Observaciones-SMP'!F838="","",'Observaciones-SMP'!F838)</f>
        <v/>
      </c>
      <c r="G838" s="193" t="str">
        <f>IF('Observaciones-SMP'!G838="","",'Observaciones-SMP'!G838)</f>
        <v/>
      </c>
      <c r="H838" s="193" t="str">
        <f>IF('Observaciones-SMP'!H838="","",'Observaciones-SMP'!H838)</f>
        <v/>
      </c>
      <c r="I838" s="193" t="str">
        <f>IF('Observaciones-SMP'!I838="","",'Observaciones-SMP'!I838)</f>
        <v/>
      </c>
      <c r="J838" s="193" t="str">
        <f>IF('Observaciones-SMP'!J838="","",'Observaciones-SMP'!J838)</f>
        <v/>
      </c>
      <c r="K838" s="193" t="str">
        <f>IF('Observaciones-SMP'!K838="","",'Observaciones-SMP'!K838)</f>
        <v/>
      </c>
      <c r="L838" s="193" t="str">
        <f>IF('Observaciones-SMP'!L838="","",'Observaciones-SMP'!L838)</f>
        <v/>
      </c>
      <c r="M838" s="193" t="str">
        <f>IF('Observaciones-SMP'!M838="","",'Observaciones-SMP'!M838)</f>
        <v/>
      </c>
      <c r="N838" s="193" t="str">
        <f>IF('Observaciones-SMP'!N838="","",'Observaciones-SMP'!N838)</f>
        <v/>
      </c>
      <c r="O838" s="193" t="str">
        <f>IF('Observaciones-SMP'!O838="","",'Observaciones-SMP'!O838)</f>
        <v/>
      </c>
      <c r="P838" s="193" t="str">
        <f>IF('Observaciones-SMP'!P838="","",'Observaciones-SMP'!P838)</f>
        <v/>
      </c>
      <c r="Q838" s="257" t="str">
        <f>IF('Observaciones-SMP'!S838="","",'Observaciones-SMP'!S838)</f>
        <v/>
      </c>
      <c r="R838" s="193" t="str">
        <f>IF('Observaciones-SMP'!T838="","",'Observaciones-SMP'!T838)</f>
        <v/>
      </c>
      <c r="S838" s="193" t="str">
        <f>""</f>
        <v/>
      </c>
      <c r="T838" s="193" t="str">
        <f>""</f>
        <v/>
      </c>
      <c r="U838" s="193" t="str">
        <f t="shared" si="52"/>
        <v/>
      </c>
      <c r="V838" s="193" t="str">
        <f>""</f>
        <v/>
      </c>
      <c r="W838" s="193" t="str">
        <f>""</f>
        <v/>
      </c>
      <c r="X838" s="258" t="str">
        <f t="shared" si="53"/>
        <v/>
      </c>
      <c r="Y838" s="258" t="str">
        <f t="shared" si="54"/>
        <v/>
      </c>
      <c r="Z838" s="193" t="str">
        <f>IF(A838="","",IF(COUNTIF('Observaciones-SMP'!$A$2:$A$1001,A838)&gt;1,1,0))</f>
        <v/>
      </c>
      <c r="AA838" s="193" t="str">
        <f t="shared" si="55"/>
        <v/>
      </c>
    </row>
    <row r="839" spans="1:27" ht="13.5" customHeight="1" x14ac:dyDescent="0.3">
      <c r="A839" s="193" t="str">
        <f>IF('Observaciones-SMP'!A839="","",'Observaciones-SMP'!A839)</f>
        <v/>
      </c>
      <c r="B839" s="257" t="str">
        <f>IF('Observaciones-SMP'!B839="","",'Observaciones-SMP'!B839)</f>
        <v/>
      </c>
      <c r="C839" s="193" t="str">
        <f>IF('Observaciones-SMP'!C839="","",'Observaciones-SMP'!C839)</f>
        <v/>
      </c>
      <c r="D839" s="193" t="str">
        <f>IF('Observaciones-SMP'!D839="","",'Observaciones-SMP'!D839)</f>
        <v/>
      </c>
      <c r="E839" s="193" t="str">
        <f>IF('Observaciones-SMP'!E839="","",'Observaciones-SMP'!E839)</f>
        <v/>
      </c>
      <c r="F839" s="193" t="str">
        <f>IF('Observaciones-SMP'!F839="","",'Observaciones-SMP'!F839)</f>
        <v/>
      </c>
      <c r="G839" s="193" t="str">
        <f>IF('Observaciones-SMP'!G839="","",'Observaciones-SMP'!G839)</f>
        <v/>
      </c>
      <c r="H839" s="193" t="str">
        <f>IF('Observaciones-SMP'!H839="","",'Observaciones-SMP'!H839)</f>
        <v/>
      </c>
      <c r="I839" s="193" t="str">
        <f>IF('Observaciones-SMP'!I839="","",'Observaciones-SMP'!I839)</f>
        <v/>
      </c>
      <c r="J839" s="193" t="str">
        <f>IF('Observaciones-SMP'!J839="","",'Observaciones-SMP'!J839)</f>
        <v/>
      </c>
      <c r="K839" s="193" t="str">
        <f>IF('Observaciones-SMP'!K839="","",'Observaciones-SMP'!K839)</f>
        <v/>
      </c>
      <c r="L839" s="193" t="str">
        <f>IF('Observaciones-SMP'!L839="","",'Observaciones-SMP'!L839)</f>
        <v/>
      </c>
      <c r="M839" s="193" t="str">
        <f>IF('Observaciones-SMP'!M839="","",'Observaciones-SMP'!M839)</f>
        <v/>
      </c>
      <c r="N839" s="193" t="str">
        <f>IF('Observaciones-SMP'!N839="","",'Observaciones-SMP'!N839)</f>
        <v/>
      </c>
      <c r="O839" s="193" t="str">
        <f>IF('Observaciones-SMP'!O839="","",'Observaciones-SMP'!O839)</f>
        <v/>
      </c>
      <c r="P839" s="193" t="str">
        <f>IF('Observaciones-SMP'!P839="","",'Observaciones-SMP'!P839)</f>
        <v/>
      </c>
      <c r="Q839" s="257" t="str">
        <f>IF('Observaciones-SMP'!S839="","",'Observaciones-SMP'!S839)</f>
        <v/>
      </c>
      <c r="R839" s="193" t="str">
        <f>IF('Observaciones-SMP'!T839="","",'Observaciones-SMP'!T839)</f>
        <v/>
      </c>
      <c r="S839" s="193" t="str">
        <f>""</f>
        <v/>
      </c>
      <c r="T839" s="193" t="str">
        <f>""</f>
        <v/>
      </c>
      <c r="U839" s="193" t="str">
        <f t="shared" si="52"/>
        <v/>
      </c>
      <c r="V839" s="193" t="str">
        <f>""</f>
        <v/>
      </c>
      <c r="W839" s="193" t="str">
        <f>""</f>
        <v/>
      </c>
      <c r="X839" s="258" t="str">
        <f t="shared" si="53"/>
        <v/>
      </c>
      <c r="Y839" s="258" t="str">
        <f t="shared" si="54"/>
        <v/>
      </c>
      <c r="Z839" s="193" t="str">
        <f>IF(A839="","",IF(COUNTIF('Observaciones-SMP'!$A$2:$A$1001,A839)&gt;1,1,0))</f>
        <v/>
      </c>
      <c r="AA839" s="193" t="str">
        <f t="shared" si="55"/>
        <v/>
      </c>
    </row>
    <row r="840" spans="1:27" ht="13.5" customHeight="1" x14ac:dyDescent="0.3">
      <c r="A840" s="193" t="str">
        <f>IF('Observaciones-SMP'!A840="","",'Observaciones-SMP'!A840)</f>
        <v/>
      </c>
      <c r="B840" s="257" t="str">
        <f>IF('Observaciones-SMP'!B840="","",'Observaciones-SMP'!B840)</f>
        <v/>
      </c>
      <c r="C840" s="193" t="str">
        <f>IF('Observaciones-SMP'!C840="","",'Observaciones-SMP'!C840)</f>
        <v/>
      </c>
      <c r="D840" s="193" t="str">
        <f>IF('Observaciones-SMP'!D840="","",'Observaciones-SMP'!D840)</f>
        <v/>
      </c>
      <c r="E840" s="193" t="str">
        <f>IF('Observaciones-SMP'!E840="","",'Observaciones-SMP'!E840)</f>
        <v/>
      </c>
      <c r="F840" s="193" t="str">
        <f>IF('Observaciones-SMP'!F840="","",'Observaciones-SMP'!F840)</f>
        <v/>
      </c>
      <c r="G840" s="193" t="str">
        <f>IF('Observaciones-SMP'!G840="","",'Observaciones-SMP'!G840)</f>
        <v/>
      </c>
      <c r="H840" s="193" t="str">
        <f>IF('Observaciones-SMP'!H840="","",'Observaciones-SMP'!H840)</f>
        <v/>
      </c>
      <c r="I840" s="193" t="str">
        <f>IF('Observaciones-SMP'!I840="","",'Observaciones-SMP'!I840)</f>
        <v/>
      </c>
      <c r="J840" s="193" t="str">
        <f>IF('Observaciones-SMP'!J840="","",'Observaciones-SMP'!J840)</f>
        <v/>
      </c>
      <c r="K840" s="193" t="str">
        <f>IF('Observaciones-SMP'!K840="","",'Observaciones-SMP'!K840)</f>
        <v/>
      </c>
      <c r="L840" s="193" t="str">
        <f>IF('Observaciones-SMP'!L840="","",'Observaciones-SMP'!L840)</f>
        <v/>
      </c>
      <c r="M840" s="193" t="str">
        <f>IF('Observaciones-SMP'!M840="","",'Observaciones-SMP'!M840)</f>
        <v/>
      </c>
      <c r="N840" s="193" t="str">
        <f>IF('Observaciones-SMP'!N840="","",'Observaciones-SMP'!N840)</f>
        <v/>
      </c>
      <c r="O840" s="193" t="str">
        <f>IF('Observaciones-SMP'!O840="","",'Observaciones-SMP'!O840)</f>
        <v/>
      </c>
      <c r="P840" s="193" t="str">
        <f>IF('Observaciones-SMP'!P840="","",'Observaciones-SMP'!P840)</f>
        <v/>
      </c>
      <c r="Q840" s="257" t="str">
        <f>IF('Observaciones-SMP'!S840="","",'Observaciones-SMP'!S840)</f>
        <v/>
      </c>
      <c r="R840" s="193" t="str">
        <f>IF('Observaciones-SMP'!T840="","",'Observaciones-SMP'!T840)</f>
        <v/>
      </c>
      <c r="S840" s="193" t="str">
        <f>""</f>
        <v/>
      </c>
      <c r="T840" s="193" t="str">
        <f>""</f>
        <v/>
      </c>
      <c r="U840" s="193" t="str">
        <f t="shared" si="52"/>
        <v/>
      </c>
      <c r="V840" s="193" t="str">
        <f>""</f>
        <v/>
      </c>
      <c r="W840" s="193" t="str">
        <f>""</f>
        <v/>
      </c>
      <c r="X840" s="258" t="str">
        <f t="shared" si="53"/>
        <v/>
      </c>
      <c r="Y840" s="258" t="str">
        <f t="shared" si="54"/>
        <v/>
      </c>
      <c r="Z840" s="193" t="str">
        <f>IF(A840="","",IF(COUNTIF('Observaciones-SMP'!$A$2:$A$1001,A840)&gt;1,1,0))</f>
        <v/>
      </c>
      <c r="AA840" s="193" t="str">
        <f t="shared" si="55"/>
        <v/>
      </c>
    </row>
    <row r="841" spans="1:27" ht="13.5" customHeight="1" x14ac:dyDescent="0.3">
      <c r="A841" s="193" t="str">
        <f>IF('Observaciones-SMP'!A841="","",'Observaciones-SMP'!A841)</f>
        <v/>
      </c>
      <c r="B841" s="257" t="str">
        <f>IF('Observaciones-SMP'!B841="","",'Observaciones-SMP'!B841)</f>
        <v/>
      </c>
      <c r="C841" s="193" t="str">
        <f>IF('Observaciones-SMP'!C841="","",'Observaciones-SMP'!C841)</f>
        <v/>
      </c>
      <c r="D841" s="193" t="str">
        <f>IF('Observaciones-SMP'!D841="","",'Observaciones-SMP'!D841)</f>
        <v/>
      </c>
      <c r="E841" s="193" t="str">
        <f>IF('Observaciones-SMP'!E841="","",'Observaciones-SMP'!E841)</f>
        <v/>
      </c>
      <c r="F841" s="193" t="str">
        <f>IF('Observaciones-SMP'!F841="","",'Observaciones-SMP'!F841)</f>
        <v/>
      </c>
      <c r="G841" s="193" t="str">
        <f>IF('Observaciones-SMP'!G841="","",'Observaciones-SMP'!G841)</f>
        <v/>
      </c>
      <c r="H841" s="193" t="str">
        <f>IF('Observaciones-SMP'!H841="","",'Observaciones-SMP'!H841)</f>
        <v/>
      </c>
      <c r="I841" s="193" t="str">
        <f>IF('Observaciones-SMP'!I841="","",'Observaciones-SMP'!I841)</f>
        <v/>
      </c>
      <c r="J841" s="193" t="str">
        <f>IF('Observaciones-SMP'!J841="","",'Observaciones-SMP'!J841)</f>
        <v/>
      </c>
      <c r="K841" s="193" t="str">
        <f>IF('Observaciones-SMP'!K841="","",'Observaciones-SMP'!K841)</f>
        <v/>
      </c>
      <c r="L841" s="193" t="str">
        <f>IF('Observaciones-SMP'!L841="","",'Observaciones-SMP'!L841)</f>
        <v/>
      </c>
      <c r="M841" s="193" t="str">
        <f>IF('Observaciones-SMP'!M841="","",'Observaciones-SMP'!M841)</f>
        <v/>
      </c>
      <c r="N841" s="193" t="str">
        <f>IF('Observaciones-SMP'!N841="","",'Observaciones-SMP'!N841)</f>
        <v/>
      </c>
      <c r="O841" s="193" t="str">
        <f>IF('Observaciones-SMP'!O841="","",'Observaciones-SMP'!O841)</f>
        <v/>
      </c>
      <c r="P841" s="193" t="str">
        <f>IF('Observaciones-SMP'!P841="","",'Observaciones-SMP'!P841)</f>
        <v/>
      </c>
      <c r="Q841" s="257" t="str">
        <f>IF('Observaciones-SMP'!S841="","",'Observaciones-SMP'!S841)</f>
        <v/>
      </c>
      <c r="R841" s="193" t="str">
        <f>IF('Observaciones-SMP'!T841="","",'Observaciones-SMP'!T841)</f>
        <v/>
      </c>
      <c r="S841" s="193" t="str">
        <f>""</f>
        <v/>
      </c>
      <c r="T841" s="193" t="str">
        <f>""</f>
        <v/>
      </c>
      <c r="U841" s="193" t="str">
        <f t="shared" si="52"/>
        <v/>
      </c>
      <c r="V841" s="193" t="str">
        <f>""</f>
        <v/>
      </c>
      <c r="W841" s="193" t="str">
        <f>""</f>
        <v/>
      </c>
      <c r="X841" s="258" t="str">
        <f t="shared" si="53"/>
        <v/>
      </c>
      <c r="Y841" s="258" t="str">
        <f t="shared" si="54"/>
        <v/>
      </c>
      <c r="Z841" s="193" t="str">
        <f>IF(A841="","",IF(COUNTIF('Observaciones-SMP'!$A$2:$A$1001,A841)&gt;1,1,0))</f>
        <v/>
      </c>
      <c r="AA841" s="193" t="str">
        <f t="shared" si="55"/>
        <v/>
      </c>
    </row>
    <row r="842" spans="1:27" ht="13.5" customHeight="1" x14ac:dyDescent="0.3">
      <c r="A842" s="193" t="str">
        <f>IF('Observaciones-SMP'!A842="","",'Observaciones-SMP'!A842)</f>
        <v/>
      </c>
      <c r="B842" s="257" t="str">
        <f>IF('Observaciones-SMP'!B842="","",'Observaciones-SMP'!B842)</f>
        <v/>
      </c>
      <c r="C842" s="193" t="str">
        <f>IF('Observaciones-SMP'!C842="","",'Observaciones-SMP'!C842)</f>
        <v/>
      </c>
      <c r="D842" s="193" t="str">
        <f>IF('Observaciones-SMP'!D842="","",'Observaciones-SMP'!D842)</f>
        <v/>
      </c>
      <c r="E842" s="193" t="str">
        <f>IF('Observaciones-SMP'!E842="","",'Observaciones-SMP'!E842)</f>
        <v/>
      </c>
      <c r="F842" s="193" t="str">
        <f>IF('Observaciones-SMP'!F842="","",'Observaciones-SMP'!F842)</f>
        <v/>
      </c>
      <c r="G842" s="193" t="str">
        <f>IF('Observaciones-SMP'!G842="","",'Observaciones-SMP'!G842)</f>
        <v/>
      </c>
      <c r="H842" s="193" t="str">
        <f>IF('Observaciones-SMP'!H842="","",'Observaciones-SMP'!H842)</f>
        <v/>
      </c>
      <c r="I842" s="193" t="str">
        <f>IF('Observaciones-SMP'!I842="","",'Observaciones-SMP'!I842)</f>
        <v/>
      </c>
      <c r="J842" s="193" t="str">
        <f>IF('Observaciones-SMP'!J842="","",'Observaciones-SMP'!J842)</f>
        <v/>
      </c>
      <c r="K842" s="193" t="str">
        <f>IF('Observaciones-SMP'!K842="","",'Observaciones-SMP'!K842)</f>
        <v/>
      </c>
      <c r="L842" s="193" t="str">
        <f>IF('Observaciones-SMP'!L842="","",'Observaciones-SMP'!L842)</f>
        <v/>
      </c>
      <c r="M842" s="193" t="str">
        <f>IF('Observaciones-SMP'!M842="","",'Observaciones-SMP'!M842)</f>
        <v/>
      </c>
      <c r="N842" s="193" t="str">
        <f>IF('Observaciones-SMP'!N842="","",'Observaciones-SMP'!N842)</f>
        <v/>
      </c>
      <c r="O842" s="193" t="str">
        <f>IF('Observaciones-SMP'!O842="","",'Observaciones-SMP'!O842)</f>
        <v/>
      </c>
      <c r="P842" s="193" t="str">
        <f>IF('Observaciones-SMP'!P842="","",'Observaciones-SMP'!P842)</f>
        <v/>
      </c>
      <c r="Q842" s="257" t="str">
        <f>IF('Observaciones-SMP'!S842="","",'Observaciones-SMP'!S842)</f>
        <v/>
      </c>
      <c r="R842" s="193" t="str">
        <f>IF('Observaciones-SMP'!T842="","",'Observaciones-SMP'!T842)</f>
        <v/>
      </c>
      <c r="S842" s="193" t="str">
        <f>""</f>
        <v/>
      </c>
      <c r="T842" s="193" t="str">
        <f>""</f>
        <v/>
      </c>
      <c r="U842" s="193" t="str">
        <f t="shared" si="52"/>
        <v/>
      </c>
      <c r="V842" s="193" t="str">
        <f>""</f>
        <v/>
      </c>
      <c r="W842" s="193" t="str">
        <f>""</f>
        <v/>
      </c>
      <c r="X842" s="258" t="str">
        <f t="shared" si="53"/>
        <v/>
      </c>
      <c r="Y842" s="258" t="str">
        <f t="shared" si="54"/>
        <v/>
      </c>
      <c r="Z842" s="193" t="str">
        <f>IF(A842="","",IF(COUNTIF('Observaciones-SMP'!$A$2:$A$1001,A842)&gt;1,1,0))</f>
        <v/>
      </c>
      <c r="AA842" s="193" t="str">
        <f t="shared" si="55"/>
        <v/>
      </c>
    </row>
    <row r="843" spans="1:27" ht="13.5" customHeight="1" x14ac:dyDescent="0.3">
      <c r="A843" s="193" t="str">
        <f>IF('Observaciones-SMP'!A843="","",'Observaciones-SMP'!A843)</f>
        <v/>
      </c>
      <c r="B843" s="257" t="str">
        <f>IF('Observaciones-SMP'!B843="","",'Observaciones-SMP'!B843)</f>
        <v/>
      </c>
      <c r="C843" s="193" t="str">
        <f>IF('Observaciones-SMP'!C843="","",'Observaciones-SMP'!C843)</f>
        <v/>
      </c>
      <c r="D843" s="193" t="str">
        <f>IF('Observaciones-SMP'!D843="","",'Observaciones-SMP'!D843)</f>
        <v/>
      </c>
      <c r="E843" s="193" t="str">
        <f>IF('Observaciones-SMP'!E843="","",'Observaciones-SMP'!E843)</f>
        <v/>
      </c>
      <c r="F843" s="193" t="str">
        <f>IF('Observaciones-SMP'!F843="","",'Observaciones-SMP'!F843)</f>
        <v/>
      </c>
      <c r="G843" s="193" t="str">
        <f>IF('Observaciones-SMP'!G843="","",'Observaciones-SMP'!G843)</f>
        <v/>
      </c>
      <c r="H843" s="193" t="str">
        <f>IF('Observaciones-SMP'!H843="","",'Observaciones-SMP'!H843)</f>
        <v/>
      </c>
      <c r="I843" s="193" t="str">
        <f>IF('Observaciones-SMP'!I843="","",'Observaciones-SMP'!I843)</f>
        <v/>
      </c>
      <c r="J843" s="193" t="str">
        <f>IF('Observaciones-SMP'!J843="","",'Observaciones-SMP'!J843)</f>
        <v/>
      </c>
      <c r="K843" s="193" t="str">
        <f>IF('Observaciones-SMP'!K843="","",'Observaciones-SMP'!K843)</f>
        <v/>
      </c>
      <c r="L843" s="193" t="str">
        <f>IF('Observaciones-SMP'!L843="","",'Observaciones-SMP'!L843)</f>
        <v/>
      </c>
      <c r="M843" s="193" t="str">
        <f>IF('Observaciones-SMP'!M843="","",'Observaciones-SMP'!M843)</f>
        <v/>
      </c>
      <c r="N843" s="193" t="str">
        <f>IF('Observaciones-SMP'!N843="","",'Observaciones-SMP'!N843)</f>
        <v/>
      </c>
      <c r="O843" s="193" t="str">
        <f>IF('Observaciones-SMP'!O843="","",'Observaciones-SMP'!O843)</f>
        <v/>
      </c>
      <c r="P843" s="193" t="str">
        <f>IF('Observaciones-SMP'!P843="","",'Observaciones-SMP'!P843)</f>
        <v/>
      </c>
      <c r="Q843" s="257" t="str">
        <f>IF('Observaciones-SMP'!S843="","",'Observaciones-SMP'!S843)</f>
        <v/>
      </c>
      <c r="R843" s="193" t="str">
        <f>IF('Observaciones-SMP'!T843="","",'Observaciones-SMP'!T843)</f>
        <v/>
      </c>
      <c r="S843" s="193" t="str">
        <f>""</f>
        <v/>
      </c>
      <c r="T843" s="193" t="str">
        <f>""</f>
        <v/>
      </c>
      <c r="U843" s="193" t="str">
        <f t="shared" si="52"/>
        <v/>
      </c>
      <c r="V843" s="193" t="str">
        <f>""</f>
        <v/>
      </c>
      <c r="W843" s="193" t="str">
        <f>""</f>
        <v/>
      </c>
      <c r="X843" s="258" t="str">
        <f t="shared" si="53"/>
        <v/>
      </c>
      <c r="Y843" s="258" t="str">
        <f t="shared" si="54"/>
        <v/>
      </c>
      <c r="Z843" s="193" t="str">
        <f>IF(A843="","",IF(COUNTIF('Observaciones-SMP'!$A$2:$A$1001,A843)&gt;1,1,0))</f>
        <v/>
      </c>
      <c r="AA843" s="193" t="str">
        <f t="shared" si="55"/>
        <v/>
      </c>
    </row>
    <row r="844" spans="1:27" ht="13.5" customHeight="1" x14ac:dyDescent="0.3">
      <c r="A844" s="193" t="str">
        <f>IF('Observaciones-SMP'!A844="","",'Observaciones-SMP'!A844)</f>
        <v/>
      </c>
      <c r="B844" s="257" t="str">
        <f>IF('Observaciones-SMP'!B844="","",'Observaciones-SMP'!B844)</f>
        <v/>
      </c>
      <c r="C844" s="193" t="str">
        <f>IF('Observaciones-SMP'!C844="","",'Observaciones-SMP'!C844)</f>
        <v/>
      </c>
      <c r="D844" s="193" t="str">
        <f>IF('Observaciones-SMP'!D844="","",'Observaciones-SMP'!D844)</f>
        <v/>
      </c>
      <c r="E844" s="193" t="str">
        <f>IF('Observaciones-SMP'!E844="","",'Observaciones-SMP'!E844)</f>
        <v/>
      </c>
      <c r="F844" s="193" t="str">
        <f>IF('Observaciones-SMP'!F844="","",'Observaciones-SMP'!F844)</f>
        <v/>
      </c>
      <c r="G844" s="193" t="str">
        <f>IF('Observaciones-SMP'!G844="","",'Observaciones-SMP'!G844)</f>
        <v/>
      </c>
      <c r="H844" s="193" t="str">
        <f>IF('Observaciones-SMP'!H844="","",'Observaciones-SMP'!H844)</f>
        <v/>
      </c>
      <c r="I844" s="193" t="str">
        <f>IF('Observaciones-SMP'!I844="","",'Observaciones-SMP'!I844)</f>
        <v/>
      </c>
      <c r="J844" s="193" t="str">
        <f>IF('Observaciones-SMP'!J844="","",'Observaciones-SMP'!J844)</f>
        <v/>
      </c>
      <c r="K844" s="193" t="str">
        <f>IF('Observaciones-SMP'!K844="","",'Observaciones-SMP'!K844)</f>
        <v/>
      </c>
      <c r="L844" s="193" t="str">
        <f>IF('Observaciones-SMP'!L844="","",'Observaciones-SMP'!L844)</f>
        <v/>
      </c>
      <c r="M844" s="193" t="str">
        <f>IF('Observaciones-SMP'!M844="","",'Observaciones-SMP'!M844)</f>
        <v/>
      </c>
      <c r="N844" s="193" t="str">
        <f>IF('Observaciones-SMP'!N844="","",'Observaciones-SMP'!N844)</f>
        <v/>
      </c>
      <c r="O844" s="193" t="str">
        <f>IF('Observaciones-SMP'!O844="","",'Observaciones-SMP'!O844)</f>
        <v/>
      </c>
      <c r="P844" s="193" t="str">
        <f>IF('Observaciones-SMP'!P844="","",'Observaciones-SMP'!P844)</f>
        <v/>
      </c>
      <c r="Q844" s="257" t="str">
        <f>IF('Observaciones-SMP'!S844="","",'Observaciones-SMP'!S844)</f>
        <v/>
      </c>
      <c r="R844" s="193" t="str">
        <f>IF('Observaciones-SMP'!T844="","",'Observaciones-SMP'!T844)</f>
        <v/>
      </c>
      <c r="S844" s="193" t="str">
        <f>""</f>
        <v/>
      </c>
      <c r="T844" s="193" t="str">
        <f>""</f>
        <v/>
      </c>
      <c r="U844" s="193" t="str">
        <f t="shared" si="52"/>
        <v/>
      </c>
      <c r="V844" s="193" t="str">
        <f>""</f>
        <v/>
      </c>
      <c r="W844" s="193" t="str">
        <f>""</f>
        <v/>
      </c>
      <c r="X844" s="258" t="str">
        <f t="shared" si="53"/>
        <v/>
      </c>
      <c r="Y844" s="258" t="str">
        <f t="shared" si="54"/>
        <v/>
      </c>
      <c r="Z844" s="193" t="str">
        <f>IF(A844="","",IF(COUNTIF('Observaciones-SMP'!$A$2:$A$1001,A844)&gt;1,1,0))</f>
        <v/>
      </c>
      <c r="AA844" s="193" t="str">
        <f t="shared" si="55"/>
        <v/>
      </c>
    </row>
    <row r="845" spans="1:27" ht="13.5" customHeight="1" x14ac:dyDescent="0.3">
      <c r="A845" s="193" t="str">
        <f>IF('Observaciones-SMP'!A845="","",'Observaciones-SMP'!A845)</f>
        <v/>
      </c>
      <c r="B845" s="257" t="str">
        <f>IF('Observaciones-SMP'!B845="","",'Observaciones-SMP'!B845)</f>
        <v/>
      </c>
      <c r="C845" s="193" t="str">
        <f>IF('Observaciones-SMP'!C845="","",'Observaciones-SMP'!C845)</f>
        <v/>
      </c>
      <c r="D845" s="193" t="str">
        <f>IF('Observaciones-SMP'!D845="","",'Observaciones-SMP'!D845)</f>
        <v/>
      </c>
      <c r="E845" s="193" t="str">
        <f>IF('Observaciones-SMP'!E845="","",'Observaciones-SMP'!E845)</f>
        <v/>
      </c>
      <c r="F845" s="193" t="str">
        <f>IF('Observaciones-SMP'!F845="","",'Observaciones-SMP'!F845)</f>
        <v/>
      </c>
      <c r="G845" s="193" t="str">
        <f>IF('Observaciones-SMP'!G845="","",'Observaciones-SMP'!G845)</f>
        <v/>
      </c>
      <c r="H845" s="193" t="str">
        <f>IF('Observaciones-SMP'!H845="","",'Observaciones-SMP'!H845)</f>
        <v/>
      </c>
      <c r="I845" s="193" t="str">
        <f>IF('Observaciones-SMP'!I845="","",'Observaciones-SMP'!I845)</f>
        <v/>
      </c>
      <c r="J845" s="193" t="str">
        <f>IF('Observaciones-SMP'!J845="","",'Observaciones-SMP'!J845)</f>
        <v/>
      </c>
      <c r="K845" s="193" t="str">
        <f>IF('Observaciones-SMP'!K845="","",'Observaciones-SMP'!K845)</f>
        <v/>
      </c>
      <c r="L845" s="193" t="str">
        <f>IF('Observaciones-SMP'!L845="","",'Observaciones-SMP'!L845)</f>
        <v/>
      </c>
      <c r="M845" s="193" t="str">
        <f>IF('Observaciones-SMP'!M845="","",'Observaciones-SMP'!M845)</f>
        <v/>
      </c>
      <c r="N845" s="193" t="str">
        <f>IF('Observaciones-SMP'!N845="","",'Observaciones-SMP'!N845)</f>
        <v/>
      </c>
      <c r="O845" s="193" t="str">
        <f>IF('Observaciones-SMP'!O845="","",'Observaciones-SMP'!O845)</f>
        <v/>
      </c>
      <c r="P845" s="193" t="str">
        <f>IF('Observaciones-SMP'!P845="","",'Observaciones-SMP'!P845)</f>
        <v/>
      </c>
      <c r="Q845" s="257" t="str">
        <f>IF('Observaciones-SMP'!S845="","",'Observaciones-SMP'!S845)</f>
        <v/>
      </c>
      <c r="R845" s="193" t="str">
        <f>IF('Observaciones-SMP'!T845="","",'Observaciones-SMP'!T845)</f>
        <v/>
      </c>
      <c r="S845" s="193" t="str">
        <f>""</f>
        <v/>
      </c>
      <c r="T845" s="193" t="str">
        <f>""</f>
        <v/>
      </c>
      <c r="U845" s="193" t="str">
        <f t="shared" si="52"/>
        <v/>
      </c>
      <c r="V845" s="193" t="str">
        <f>""</f>
        <v/>
      </c>
      <c r="W845" s="193" t="str">
        <f>""</f>
        <v/>
      </c>
      <c r="X845" s="258" t="str">
        <f t="shared" si="53"/>
        <v/>
      </c>
      <c r="Y845" s="258" t="str">
        <f t="shared" si="54"/>
        <v/>
      </c>
      <c r="Z845" s="193" t="str">
        <f>IF(A845="","",IF(COUNTIF('Observaciones-SMP'!$A$2:$A$1001,A845)&gt;1,1,0))</f>
        <v/>
      </c>
      <c r="AA845" s="193" t="str">
        <f t="shared" si="55"/>
        <v/>
      </c>
    </row>
    <row r="846" spans="1:27" ht="13.5" customHeight="1" x14ac:dyDescent="0.3">
      <c r="A846" s="193" t="str">
        <f>IF('Observaciones-SMP'!A846="","",'Observaciones-SMP'!A846)</f>
        <v/>
      </c>
      <c r="B846" s="257" t="str">
        <f>IF('Observaciones-SMP'!B846="","",'Observaciones-SMP'!B846)</f>
        <v/>
      </c>
      <c r="C846" s="193" t="str">
        <f>IF('Observaciones-SMP'!C846="","",'Observaciones-SMP'!C846)</f>
        <v/>
      </c>
      <c r="D846" s="193" t="str">
        <f>IF('Observaciones-SMP'!D846="","",'Observaciones-SMP'!D846)</f>
        <v/>
      </c>
      <c r="E846" s="193" t="str">
        <f>IF('Observaciones-SMP'!E846="","",'Observaciones-SMP'!E846)</f>
        <v/>
      </c>
      <c r="F846" s="193" t="str">
        <f>IF('Observaciones-SMP'!F846="","",'Observaciones-SMP'!F846)</f>
        <v/>
      </c>
      <c r="G846" s="193" t="str">
        <f>IF('Observaciones-SMP'!G846="","",'Observaciones-SMP'!G846)</f>
        <v/>
      </c>
      <c r="H846" s="193" t="str">
        <f>IF('Observaciones-SMP'!H846="","",'Observaciones-SMP'!H846)</f>
        <v/>
      </c>
      <c r="I846" s="193" t="str">
        <f>IF('Observaciones-SMP'!I846="","",'Observaciones-SMP'!I846)</f>
        <v/>
      </c>
      <c r="J846" s="193" t="str">
        <f>IF('Observaciones-SMP'!J846="","",'Observaciones-SMP'!J846)</f>
        <v/>
      </c>
      <c r="K846" s="193" t="str">
        <f>IF('Observaciones-SMP'!K846="","",'Observaciones-SMP'!K846)</f>
        <v/>
      </c>
      <c r="L846" s="193" t="str">
        <f>IF('Observaciones-SMP'!L846="","",'Observaciones-SMP'!L846)</f>
        <v/>
      </c>
      <c r="M846" s="193" t="str">
        <f>IF('Observaciones-SMP'!M846="","",'Observaciones-SMP'!M846)</f>
        <v/>
      </c>
      <c r="N846" s="193" t="str">
        <f>IF('Observaciones-SMP'!N846="","",'Observaciones-SMP'!N846)</f>
        <v/>
      </c>
      <c r="O846" s="193" t="str">
        <f>IF('Observaciones-SMP'!O846="","",'Observaciones-SMP'!O846)</f>
        <v/>
      </c>
      <c r="P846" s="193" t="str">
        <f>IF('Observaciones-SMP'!P846="","",'Observaciones-SMP'!P846)</f>
        <v/>
      </c>
      <c r="Q846" s="257" t="str">
        <f>IF('Observaciones-SMP'!S846="","",'Observaciones-SMP'!S846)</f>
        <v/>
      </c>
      <c r="R846" s="193" t="str">
        <f>IF('Observaciones-SMP'!T846="","",'Observaciones-SMP'!T846)</f>
        <v/>
      </c>
      <c r="S846" s="193" t="str">
        <f>""</f>
        <v/>
      </c>
      <c r="T846" s="193" t="str">
        <f>""</f>
        <v/>
      </c>
      <c r="U846" s="193" t="str">
        <f t="shared" si="52"/>
        <v/>
      </c>
      <c r="V846" s="193" t="str">
        <f>""</f>
        <v/>
      </c>
      <c r="W846" s="193" t="str">
        <f>""</f>
        <v/>
      </c>
      <c r="X846" s="258" t="str">
        <f t="shared" si="53"/>
        <v/>
      </c>
      <c r="Y846" s="258" t="str">
        <f t="shared" si="54"/>
        <v/>
      </c>
      <c r="Z846" s="193" t="str">
        <f>IF(A846="","",IF(COUNTIF('Observaciones-SMP'!$A$2:$A$1001,A846)&gt;1,1,0))</f>
        <v/>
      </c>
      <c r="AA846" s="193" t="str">
        <f t="shared" si="55"/>
        <v/>
      </c>
    </row>
    <row r="847" spans="1:27" ht="13.5" customHeight="1" x14ac:dyDescent="0.3">
      <c r="A847" s="193" t="str">
        <f>IF('Observaciones-SMP'!A847="","",'Observaciones-SMP'!A847)</f>
        <v/>
      </c>
      <c r="B847" s="257" t="str">
        <f>IF('Observaciones-SMP'!B847="","",'Observaciones-SMP'!B847)</f>
        <v/>
      </c>
      <c r="C847" s="193" t="str">
        <f>IF('Observaciones-SMP'!C847="","",'Observaciones-SMP'!C847)</f>
        <v/>
      </c>
      <c r="D847" s="193" t="str">
        <f>IF('Observaciones-SMP'!D847="","",'Observaciones-SMP'!D847)</f>
        <v/>
      </c>
      <c r="E847" s="193" t="str">
        <f>IF('Observaciones-SMP'!E847="","",'Observaciones-SMP'!E847)</f>
        <v/>
      </c>
      <c r="F847" s="193" t="str">
        <f>IF('Observaciones-SMP'!F847="","",'Observaciones-SMP'!F847)</f>
        <v/>
      </c>
      <c r="G847" s="193" t="str">
        <f>IF('Observaciones-SMP'!G847="","",'Observaciones-SMP'!G847)</f>
        <v/>
      </c>
      <c r="H847" s="193" t="str">
        <f>IF('Observaciones-SMP'!H847="","",'Observaciones-SMP'!H847)</f>
        <v/>
      </c>
      <c r="I847" s="193" t="str">
        <f>IF('Observaciones-SMP'!I847="","",'Observaciones-SMP'!I847)</f>
        <v/>
      </c>
      <c r="J847" s="193" t="str">
        <f>IF('Observaciones-SMP'!J847="","",'Observaciones-SMP'!J847)</f>
        <v/>
      </c>
      <c r="K847" s="193" t="str">
        <f>IF('Observaciones-SMP'!K847="","",'Observaciones-SMP'!K847)</f>
        <v/>
      </c>
      <c r="L847" s="193" t="str">
        <f>IF('Observaciones-SMP'!L847="","",'Observaciones-SMP'!L847)</f>
        <v/>
      </c>
      <c r="M847" s="193" t="str">
        <f>IF('Observaciones-SMP'!M847="","",'Observaciones-SMP'!M847)</f>
        <v/>
      </c>
      <c r="N847" s="193" t="str">
        <f>IF('Observaciones-SMP'!N847="","",'Observaciones-SMP'!N847)</f>
        <v/>
      </c>
      <c r="O847" s="193" t="str">
        <f>IF('Observaciones-SMP'!O847="","",'Observaciones-SMP'!O847)</f>
        <v/>
      </c>
      <c r="P847" s="193" t="str">
        <f>IF('Observaciones-SMP'!P847="","",'Observaciones-SMP'!P847)</f>
        <v/>
      </c>
      <c r="Q847" s="257" t="str">
        <f>IF('Observaciones-SMP'!S847="","",'Observaciones-SMP'!S847)</f>
        <v/>
      </c>
      <c r="R847" s="193" t="str">
        <f>IF('Observaciones-SMP'!T847="","",'Observaciones-SMP'!T847)</f>
        <v/>
      </c>
      <c r="S847" s="193" t="str">
        <f>""</f>
        <v/>
      </c>
      <c r="T847" s="193" t="str">
        <f>""</f>
        <v/>
      </c>
      <c r="U847" s="193" t="str">
        <f t="shared" si="52"/>
        <v/>
      </c>
      <c r="V847" s="193" t="str">
        <f>""</f>
        <v/>
      </c>
      <c r="W847" s="193" t="str">
        <f>""</f>
        <v/>
      </c>
      <c r="X847" s="258" t="str">
        <f t="shared" si="53"/>
        <v/>
      </c>
      <c r="Y847" s="258" t="str">
        <f t="shared" si="54"/>
        <v/>
      </c>
      <c r="Z847" s="193" t="str">
        <f>IF(A847="","",IF(COUNTIF('Observaciones-SMP'!$A$2:$A$1001,A847)&gt;1,1,0))</f>
        <v/>
      </c>
      <c r="AA847" s="193" t="str">
        <f t="shared" si="55"/>
        <v/>
      </c>
    </row>
    <row r="848" spans="1:27" ht="13.5" customHeight="1" x14ac:dyDescent="0.3">
      <c r="A848" s="193" t="str">
        <f>IF('Observaciones-SMP'!A848="","",'Observaciones-SMP'!A848)</f>
        <v/>
      </c>
      <c r="B848" s="257" t="str">
        <f>IF('Observaciones-SMP'!B848="","",'Observaciones-SMP'!B848)</f>
        <v/>
      </c>
      <c r="C848" s="193" t="str">
        <f>IF('Observaciones-SMP'!C848="","",'Observaciones-SMP'!C848)</f>
        <v/>
      </c>
      <c r="D848" s="193" t="str">
        <f>IF('Observaciones-SMP'!D848="","",'Observaciones-SMP'!D848)</f>
        <v/>
      </c>
      <c r="E848" s="193" t="str">
        <f>IF('Observaciones-SMP'!E848="","",'Observaciones-SMP'!E848)</f>
        <v/>
      </c>
      <c r="F848" s="193" t="str">
        <f>IF('Observaciones-SMP'!F848="","",'Observaciones-SMP'!F848)</f>
        <v/>
      </c>
      <c r="G848" s="193" t="str">
        <f>IF('Observaciones-SMP'!G848="","",'Observaciones-SMP'!G848)</f>
        <v/>
      </c>
      <c r="H848" s="193" t="str">
        <f>IF('Observaciones-SMP'!H848="","",'Observaciones-SMP'!H848)</f>
        <v/>
      </c>
      <c r="I848" s="193" t="str">
        <f>IF('Observaciones-SMP'!I848="","",'Observaciones-SMP'!I848)</f>
        <v/>
      </c>
      <c r="J848" s="193" t="str">
        <f>IF('Observaciones-SMP'!J848="","",'Observaciones-SMP'!J848)</f>
        <v/>
      </c>
      <c r="K848" s="193" t="str">
        <f>IF('Observaciones-SMP'!K848="","",'Observaciones-SMP'!K848)</f>
        <v/>
      </c>
      <c r="L848" s="193" t="str">
        <f>IF('Observaciones-SMP'!L848="","",'Observaciones-SMP'!L848)</f>
        <v/>
      </c>
      <c r="M848" s="193" t="str">
        <f>IF('Observaciones-SMP'!M848="","",'Observaciones-SMP'!M848)</f>
        <v/>
      </c>
      <c r="N848" s="193" t="str">
        <f>IF('Observaciones-SMP'!N848="","",'Observaciones-SMP'!N848)</f>
        <v/>
      </c>
      <c r="O848" s="193" t="str">
        <f>IF('Observaciones-SMP'!O848="","",'Observaciones-SMP'!O848)</f>
        <v/>
      </c>
      <c r="P848" s="193" t="str">
        <f>IF('Observaciones-SMP'!P848="","",'Observaciones-SMP'!P848)</f>
        <v/>
      </c>
      <c r="Q848" s="257" t="str">
        <f>IF('Observaciones-SMP'!S848="","",'Observaciones-SMP'!S848)</f>
        <v/>
      </c>
      <c r="R848" s="193" t="str">
        <f>IF('Observaciones-SMP'!T848="","",'Observaciones-SMP'!T848)</f>
        <v/>
      </c>
      <c r="S848" s="193" t="str">
        <f>""</f>
        <v/>
      </c>
      <c r="T848" s="193" t="str">
        <f>""</f>
        <v/>
      </c>
      <c r="U848" s="193" t="str">
        <f t="shared" si="52"/>
        <v/>
      </c>
      <c r="V848" s="193" t="str">
        <f>""</f>
        <v/>
      </c>
      <c r="W848" s="193" t="str">
        <f>""</f>
        <v/>
      </c>
      <c r="X848" s="258" t="str">
        <f t="shared" si="53"/>
        <v/>
      </c>
      <c r="Y848" s="258" t="str">
        <f t="shared" si="54"/>
        <v/>
      </c>
      <c r="Z848" s="193" t="str">
        <f>IF(A848="","",IF(COUNTIF('Observaciones-SMP'!$A$2:$A$1001,A848)&gt;1,1,0))</f>
        <v/>
      </c>
      <c r="AA848" s="193" t="str">
        <f t="shared" si="55"/>
        <v/>
      </c>
    </row>
    <row r="849" spans="1:27" ht="13.5" customHeight="1" x14ac:dyDescent="0.3">
      <c r="A849" s="193" t="str">
        <f>IF('Observaciones-SMP'!A849="","",'Observaciones-SMP'!A849)</f>
        <v/>
      </c>
      <c r="B849" s="257" t="str">
        <f>IF('Observaciones-SMP'!B849="","",'Observaciones-SMP'!B849)</f>
        <v/>
      </c>
      <c r="C849" s="193" t="str">
        <f>IF('Observaciones-SMP'!C849="","",'Observaciones-SMP'!C849)</f>
        <v/>
      </c>
      <c r="D849" s="193" t="str">
        <f>IF('Observaciones-SMP'!D849="","",'Observaciones-SMP'!D849)</f>
        <v/>
      </c>
      <c r="E849" s="193" t="str">
        <f>IF('Observaciones-SMP'!E849="","",'Observaciones-SMP'!E849)</f>
        <v/>
      </c>
      <c r="F849" s="193" t="str">
        <f>IF('Observaciones-SMP'!F849="","",'Observaciones-SMP'!F849)</f>
        <v/>
      </c>
      <c r="G849" s="193" t="str">
        <f>IF('Observaciones-SMP'!G849="","",'Observaciones-SMP'!G849)</f>
        <v/>
      </c>
      <c r="H849" s="193" t="str">
        <f>IF('Observaciones-SMP'!H849="","",'Observaciones-SMP'!H849)</f>
        <v/>
      </c>
      <c r="I849" s="193" t="str">
        <f>IF('Observaciones-SMP'!I849="","",'Observaciones-SMP'!I849)</f>
        <v/>
      </c>
      <c r="J849" s="193" t="str">
        <f>IF('Observaciones-SMP'!J849="","",'Observaciones-SMP'!J849)</f>
        <v/>
      </c>
      <c r="K849" s="193" t="str">
        <f>IF('Observaciones-SMP'!K849="","",'Observaciones-SMP'!K849)</f>
        <v/>
      </c>
      <c r="L849" s="193" t="str">
        <f>IF('Observaciones-SMP'!L849="","",'Observaciones-SMP'!L849)</f>
        <v/>
      </c>
      <c r="M849" s="193" t="str">
        <f>IF('Observaciones-SMP'!M849="","",'Observaciones-SMP'!M849)</f>
        <v/>
      </c>
      <c r="N849" s="193" t="str">
        <f>IF('Observaciones-SMP'!N849="","",'Observaciones-SMP'!N849)</f>
        <v/>
      </c>
      <c r="O849" s="193" t="str">
        <f>IF('Observaciones-SMP'!O849="","",'Observaciones-SMP'!O849)</f>
        <v/>
      </c>
      <c r="P849" s="193" t="str">
        <f>IF('Observaciones-SMP'!P849="","",'Observaciones-SMP'!P849)</f>
        <v/>
      </c>
      <c r="Q849" s="257" t="str">
        <f>IF('Observaciones-SMP'!S849="","",'Observaciones-SMP'!S849)</f>
        <v/>
      </c>
      <c r="R849" s="193" t="str">
        <f>IF('Observaciones-SMP'!T849="","",'Observaciones-SMP'!T849)</f>
        <v/>
      </c>
      <c r="S849" s="193" t="str">
        <f>""</f>
        <v/>
      </c>
      <c r="T849" s="193" t="str">
        <f>""</f>
        <v/>
      </c>
      <c r="U849" s="193" t="str">
        <f t="shared" si="52"/>
        <v/>
      </c>
      <c r="V849" s="193" t="str">
        <f>""</f>
        <v/>
      </c>
      <c r="W849" s="193" t="str">
        <f>""</f>
        <v/>
      </c>
      <c r="X849" s="258" t="str">
        <f t="shared" si="53"/>
        <v/>
      </c>
      <c r="Y849" s="258" t="str">
        <f t="shared" si="54"/>
        <v/>
      </c>
      <c r="Z849" s="193" t="str">
        <f>IF(A849="","",IF(COUNTIF('Observaciones-SMP'!$A$2:$A$1001,A849)&gt;1,1,0))</f>
        <v/>
      </c>
      <c r="AA849" s="193" t="str">
        <f t="shared" si="55"/>
        <v/>
      </c>
    </row>
    <row r="850" spans="1:27" ht="13.5" customHeight="1" x14ac:dyDescent="0.3">
      <c r="A850" s="193" t="str">
        <f>IF('Observaciones-SMP'!A850="","",'Observaciones-SMP'!A850)</f>
        <v/>
      </c>
      <c r="B850" s="257" t="str">
        <f>IF('Observaciones-SMP'!B850="","",'Observaciones-SMP'!B850)</f>
        <v/>
      </c>
      <c r="C850" s="193" t="str">
        <f>IF('Observaciones-SMP'!C850="","",'Observaciones-SMP'!C850)</f>
        <v/>
      </c>
      <c r="D850" s="193" t="str">
        <f>IF('Observaciones-SMP'!D850="","",'Observaciones-SMP'!D850)</f>
        <v/>
      </c>
      <c r="E850" s="193" t="str">
        <f>IF('Observaciones-SMP'!E850="","",'Observaciones-SMP'!E850)</f>
        <v/>
      </c>
      <c r="F850" s="193" t="str">
        <f>IF('Observaciones-SMP'!F850="","",'Observaciones-SMP'!F850)</f>
        <v/>
      </c>
      <c r="G850" s="193" t="str">
        <f>IF('Observaciones-SMP'!G850="","",'Observaciones-SMP'!G850)</f>
        <v/>
      </c>
      <c r="H850" s="193" t="str">
        <f>IF('Observaciones-SMP'!H850="","",'Observaciones-SMP'!H850)</f>
        <v/>
      </c>
      <c r="I850" s="193" t="str">
        <f>IF('Observaciones-SMP'!I850="","",'Observaciones-SMP'!I850)</f>
        <v/>
      </c>
      <c r="J850" s="193" t="str">
        <f>IF('Observaciones-SMP'!J850="","",'Observaciones-SMP'!J850)</f>
        <v/>
      </c>
      <c r="K850" s="193" t="str">
        <f>IF('Observaciones-SMP'!K850="","",'Observaciones-SMP'!K850)</f>
        <v/>
      </c>
      <c r="L850" s="193" t="str">
        <f>IF('Observaciones-SMP'!L850="","",'Observaciones-SMP'!L850)</f>
        <v/>
      </c>
      <c r="M850" s="193" t="str">
        <f>IF('Observaciones-SMP'!M850="","",'Observaciones-SMP'!M850)</f>
        <v/>
      </c>
      <c r="N850" s="193" t="str">
        <f>IF('Observaciones-SMP'!N850="","",'Observaciones-SMP'!N850)</f>
        <v/>
      </c>
      <c r="O850" s="193" t="str">
        <f>IF('Observaciones-SMP'!O850="","",'Observaciones-SMP'!O850)</f>
        <v/>
      </c>
      <c r="P850" s="193" t="str">
        <f>IF('Observaciones-SMP'!P850="","",'Observaciones-SMP'!P850)</f>
        <v/>
      </c>
      <c r="Q850" s="257" t="str">
        <f>IF('Observaciones-SMP'!S850="","",'Observaciones-SMP'!S850)</f>
        <v/>
      </c>
      <c r="R850" s="193" t="str">
        <f>IF('Observaciones-SMP'!T850="","",'Observaciones-SMP'!T850)</f>
        <v/>
      </c>
      <c r="S850" s="193" t="str">
        <f>""</f>
        <v/>
      </c>
      <c r="T850" s="193" t="str">
        <f>""</f>
        <v/>
      </c>
      <c r="U850" s="193" t="str">
        <f t="shared" si="52"/>
        <v/>
      </c>
      <c r="V850" s="193" t="str">
        <f>""</f>
        <v/>
      </c>
      <c r="W850" s="193" t="str">
        <f>""</f>
        <v/>
      </c>
      <c r="X850" s="258" t="str">
        <f t="shared" si="53"/>
        <v/>
      </c>
      <c r="Y850" s="258" t="str">
        <f t="shared" si="54"/>
        <v/>
      </c>
      <c r="Z850" s="193" t="str">
        <f>IF(A850="","",IF(COUNTIF('Observaciones-SMP'!$A$2:$A$1001,A850)&gt;1,1,0))</f>
        <v/>
      </c>
      <c r="AA850" s="193" t="str">
        <f t="shared" si="55"/>
        <v/>
      </c>
    </row>
    <row r="851" spans="1:27" ht="13.5" customHeight="1" x14ac:dyDescent="0.3">
      <c r="A851" s="193" t="str">
        <f>IF('Observaciones-SMP'!A851="","",'Observaciones-SMP'!A851)</f>
        <v/>
      </c>
      <c r="B851" s="257" t="str">
        <f>IF('Observaciones-SMP'!B851="","",'Observaciones-SMP'!B851)</f>
        <v/>
      </c>
      <c r="C851" s="193" t="str">
        <f>IF('Observaciones-SMP'!C851="","",'Observaciones-SMP'!C851)</f>
        <v/>
      </c>
      <c r="D851" s="193" t="str">
        <f>IF('Observaciones-SMP'!D851="","",'Observaciones-SMP'!D851)</f>
        <v/>
      </c>
      <c r="E851" s="193" t="str">
        <f>IF('Observaciones-SMP'!E851="","",'Observaciones-SMP'!E851)</f>
        <v/>
      </c>
      <c r="F851" s="193" t="str">
        <f>IF('Observaciones-SMP'!F851="","",'Observaciones-SMP'!F851)</f>
        <v/>
      </c>
      <c r="G851" s="193" t="str">
        <f>IF('Observaciones-SMP'!G851="","",'Observaciones-SMP'!G851)</f>
        <v/>
      </c>
      <c r="H851" s="193" t="str">
        <f>IF('Observaciones-SMP'!H851="","",'Observaciones-SMP'!H851)</f>
        <v/>
      </c>
      <c r="I851" s="193" t="str">
        <f>IF('Observaciones-SMP'!I851="","",'Observaciones-SMP'!I851)</f>
        <v/>
      </c>
      <c r="J851" s="193" t="str">
        <f>IF('Observaciones-SMP'!J851="","",'Observaciones-SMP'!J851)</f>
        <v/>
      </c>
      <c r="K851" s="193" t="str">
        <f>IF('Observaciones-SMP'!K851="","",'Observaciones-SMP'!K851)</f>
        <v/>
      </c>
      <c r="L851" s="193" t="str">
        <f>IF('Observaciones-SMP'!L851="","",'Observaciones-SMP'!L851)</f>
        <v/>
      </c>
      <c r="M851" s="193" t="str">
        <f>IF('Observaciones-SMP'!M851="","",'Observaciones-SMP'!M851)</f>
        <v/>
      </c>
      <c r="N851" s="193" t="str">
        <f>IF('Observaciones-SMP'!N851="","",'Observaciones-SMP'!N851)</f>
        <v/>
      </c>
      <c r="O851" s="193" t="str">
        <f>IF('Observaciones-SMP'!O851="","",'Observaciones-SMP'!O851)</f>
        <v/>
      </c>
      <c r="P851" s="193" t="str">
        <f>IF('Observaciones-SMP'!P851="","",'Observaciones-SMP'!P851)</f>
        <v/>
      </c>
      <c r="Q851" s="257" t="str">
        <f>IF('Observaciones-SMP'!S851="","",'Observaciones-SMP'!S851)</f>
        <v/>
      </c>
      <c r="R851" s="193" t="str">
        <f>IF('Observaciones-SMP'!T851="","",'Observaciones-SMP'!T851)</f>
        <v/>
      </c>
      <c r="S851" s="193" t="str">
        <f>""</f>
        <v/>
      </c>
      <c r="T851" s="193" t="str">
        <f>""</f>
        <v/>
      </c>
      <c r="U851" s="193" t="str">
        <f t="shared" si="52"/>
        <v/>
      </c>
      <c r="V851" s="193" t="str">
        <f>""</f>
        <v/>
      </c>
      <c r="W851" s="193" t="str">
        <f>""</f>
        <v/>
      </c>
      <c r="X851" s="258" t="str">
        <f t="shared" si="53"/>
        <v/>
      </c>
      <c r="Y851" s="258" t="str">
        <f t="shared" si="54"/>
        <v/>
      </c>
      <c r="Z851" s="193" t="str">
        <f>IF(A851="","",IF(COUNTIF('Observaciones-SMP'!$A$2:$A$1001,A851)&gt;1,1,0))</f>
        <v/>
      </c>
      <c r="AA851" s="193" t="str">
        <f t="shared" si="55"/>
        <v/>
      </c>
    </row>
    <row r="852" spans="1:27" ht="13.5" customHeight="1" x14ac:dyDescent="0.3">
      <c r="A852" s="193" t="str">
        <f>IF('Observaciones-SMP'!A852="","",'Observaciones-SMP'!A852)</f>
        <v/>
      </c>
      <c r="B852" s="257" t="str">
        <f>IF('Observaciones-SMP'!B852="","",'Observaciones-SMP'!B852)</f>
        <v/>
      </c>
      <c r="C852" s="193" t="str">
        <f>IF('Observaciones-SMP'!C852="","",'Observaciones-SMP'!C852)</f>
        <v/>
      </c>
      <c r="D852" s="193" t="str">
        <f>IF('Observaciones-SMP'!D852="","",'Observaciones-SMP'!D852)</f>
        <v/>
      </c>
      <c r="E852" s="193" t="str">
        <f>IF('Observaciones-SMP'!E852="","",'Observaciones-SMP'!E852)</f>
        <v/>
      </c>
      <c r="F852" s="193" t="str">
        <f>IF('Observaciones-SMP'!F852="","",'Observaciones-SMP'!F852)</f>
        <v/>
      </c>
      <c r="G852" s="193" t="str">
        <f>IF('Observaciones-SMP'!G852="","",'Observaciones-SMP'!G852)</f>
        <v/>
      </c>
      <c r="H852" s="193" t="str">
        <f>IF('Observaciones-SMP'!H852="","",'Observaciones-SMP'!H852)</f>
        <v/>
      </c>
      <c r="I852" s="193" t="str">
        <f>IF('Observaciones-SMP'!I852="","",'Observaciones-SMP'!I852)</f>
        <v/>
      </c>
      <c r="J852" s="193" t="str">
        <f>IF('Observaciones-SMP'!J852="","",'Observaciones-SMP'!J852)</f>
        <v/>
      </c>
      <c r="K852" s="193" t="str">
        <f>IF('Observaciones-SMP'!K852="","",'Observaciones-SMP'!K852)</f>
        <v/>
      </c>
      <c r="L852" s="193" t="str">
        <f>IF('Observaciones-SMP'!L852="","",'Observaciones-SMP'!L852)</f>
        <v/>
      </c>
      <c r="M852" s="193" t="str">
        <f>IF('Observaciones-SMP'!M852="","",'Observaciones-SMP'!M852)</f>
        <v/>
      </c>
      <c r="N852" s="193" t="str">
        <f>IF('Observaciones-SMP'!N852="","",'Observaciones-SMP'!N852)</f>
        <v/>
      </c>
      <c r="O852" s="193" t="str">
        <f>IF('Observaciones-SMP'!O852="","",'Observaciones-SMP'!O852)</f>
        <v/>
      </c>
      <c r="P852" s="193" t="str">
        <f>IF('Observaciones-SMP'!P852="","",'Observaciones-SMP'!P852)</f>
        <v/>
      </c>
      <c r="Q852" s="257" t="str">
        <f>IF('Observaciones-SMP'!S852="","",'Observaciones-SMP'!S852)</f>
        <v/>
      </c>
      <c r="R852" s="193" t="str">
        <f>IF('Observaciones-SMP'!T852="","",'Observaciones-SMP'!T852)</f>
        <v/>
      </c>
      <c r="S852" s="193" t="str">
        <f>""</f>
        <v/>
      </c>
      <c r="T852" s="193" t="str">
        <f>""</f>
        <v/>
      </c>
      <c r="U852" s="193" t="str">
        <f t="shared" si="52"/>
        <v/>
      </c>
      <c r="V852" s="193" t="str">
        <f>""</f>
        <v/>
      </c>
      <c r="W852" s="193" t="str">
        <f>""</f>
        <v/>
      </c>
      <c r="X852" s="258" t="str">
        <f t="shared" si="53"/>
        <v/>
      </c>
      <c r="Y852" s="258" t="str">
        <f t="shared" si="54"/>
        <v/>
      </c>
      <c r="Z852" s="193" t="str">
        <f>IF(A852="","",IF(COUNTIF('Observaciones-SMP'!$A$2:$A$1001,A852)&gt;1,1,0))</f>
        <v/>
      </c>
      <c r="AA852" s="193" t="str">
        <f t="shared" si="55"/>
        <v/>
      </c>
    </row>
    <row r="853" spans="1:27" ht="13.5" customHeight="1" x14ac:dyDescent="0.3">
      <c r="A853" s="193" t="str">
        <f>IF('Observaciones-SMP'!A853="","",'Observaciones-SMP'!A853)</f>
        <v/>
      </c>
      <c r="B853" s="257" t="str">
        <f>IF('Observaciones-SMP'!B853="","",'Observaciones-SMP'!B853)</f>
        <v/>
      </c>
      <c r="C853" s="193" t="str">
        <f>IF('Observaciones-SMP'!C853="","",'Observaciones-SMP'!C853)</f>
        <v/>
      </c>
      <c r="D853" s="193" t="str">
        <f>IF('Observaciones-SMP'!D853="","",'Observaciones-SMP'!D853)</f>
        <v/>
      </c>
      <c r="E853" s="193" t="str">
        <f>IF('Observaciones-SMP'!E853="","",'Observaciones-SMP'!E853)</f>
        <v/>
      </c>
      <c r="F853" s="193" t="str">
        <f>IF('Observaciones-SMP'!F853="","",'Observaciones-SMP'!F853)</f>
        <v/>
      </c>
      <c r="G853" s="193" t="str">
        <f>IF('Observaciones-SMP'!G853="","",'Observaciones-SMP'!G853)</f>
        <v/>
      </c>
      <c r="H853" s="193" t="str">
        <f>IF('Observaciones-SMP'!H853="","",'Observaciones-SMP'!H853)</f>
        <v/>
      </c>
      <c r="I853" s="193" t="str">
        <f>IF('Observaciones-SMP'!I853="","",'Observaciones-SMP'!I853)</f>
        <v/>
      </c>
      <c r="J853" s="193" t="str">
        <f>IF('Observaciones-SMP'!J853="","",'Observaciones-SMP'!J853)</f>
        <v/>
      </c>
      <c r="K853" s="193" t="str">
        <f>IF('Observaciones-SMP'!K853="","",'Observaciones-SMP'!K853)</f>
        <v/>
      </c>
      <c r="L853" s="193" t="str">
        <f>IF('Observaciones-SMP'!L853="","",'Observaciones-SMP'!L853)</f>
        <v/>
      </c>
      <c r="M853" s="193" t="str">
        <f>IF('Observaciones-SMP'!M853="","",'Observaciones-SMP'!M853)</f>
        <v/>
      </c>
      <c r="N853" s="193" t="str">
        <f>IF('Observaciones-SMP'!N853="","",'Observaciones-SMP'!N853)</f>
        <v/>
      </c>
      <c r="O853" s="193" t="str">
        <f>IF('Observaciones-SMP'!O853="","",'Observaciones-SMP'!O853)</f>
        <v/>
      </c>
      <c r="P853" s="193" t="str">
        <f>IF('Observaciones-SMP'!P853="","",'Observaciones-SMP'!P853)</f>
        <v/>
      </c>
      <c r="Q853" s="257" t="str">
        <f>IF('Observaciones-SMP'!S853="","",'Observaciones-SMP'!S853)</f>
        <v/>
      </c>
      <c r="R853" s="193" t="str">
        <f>IF('Observaciones-SMP'!T853="","",'Observaciones-SMP'!T853)</f>
        <v/>
      </c>
      <c r="S853" s="193" t="str">
        <f>""</f>
        <v/>
      </c>
      <c r="T853" s="193" t="str">
        <f>""</f>
        <v/>
      </c>
      <c r="U853" s="193" t="str">
        <f t="shared" si="52"/>
        <v/>
      </c>
      <c r="V853" s="193" t="str">
        <f>""</f>
        <v/>
      </c>
      <c r="W853" s="193" t="str">
        <f>""</f>
        <v/>
      </c>
      <c r="X853" s="258" t="str">
        <f t="shared" si="53"/>
        <v/>
      </c>
      <c r="Y853" s="258" t="str">
        <f t="shared" si="54"/>
        <v/>
      </c>
      <c r="Z853" s="193" t="str">
        <f>IF(A853="","",IF(COUNTIF('Observaciones-SMP'!$A$2:$A$1001,A853)&gt;1,1,0))</f>
        <v/>
      </c>
      <c r="AA853" s="193" t="str">
        <f t="shared" si="55"/>
        <v/>
      </c>
    </row>
    <row r="854" spans="1:27" ht="13.5" customHeight="1" x14ac:dyDescent="0.3">
      <c r="A854" s="193" t="str">
        <f>IF('Observaciones-SMP'!A854="","",'Observaciones-SMP'!A854)</f>
        <v/>
      </c>
      <c r="B854" s="257" t="str">
        <f>IF('Observaciones-SMP'!B854="","",'Observaciones-SMP'!B854)</f>
        <v/>
      </c>
      <c r="C854" s="193" t="str">
        <f>IF('Observaciones-SMP'!C854="","",'Observaciones-SMP'!C854)</f>
        <v/>
      </c>
      <c r="D854" s="193" t="str">
        <f>IF('Observaciones-SMP'!D854="","",'Observaciones-SMP'!D854)</f>
        <v/>
      </c>
      <c r="E854" s="193" t="str">
        <f>IF('Observaciones-SMP'!E854="","",'Observaciones-SMP'!E854)</f>
        <v/>
      </c>
      <c r="F854" s="193" t="str">
        <f>IF('Observaciones-SMP'!F854="","",'Observaciones-SMP'!F854)</f>
        <v/>
      </c>
      <c r="G854" s="193" t="str">
        <f>IF('Observaciones-SMP'!G854="","",'Observaciones-SMP'!G854)</f>
        <v/>
      </c>
      <c r="H854" s="193" t="str">
        <f>IF('Observaciones-SMP'!H854="","",'Observaciones-SMP'!H854)</f>
        <v/>
      </c>
      <c r="I854" s="193" t="str">
        <f>IF('Observaciones-SMP'!I854="","",'Observaciones-SMP'!I854)</f>
        <v/>
      </c>
      <c r="J854" s="193" t="str">
        <f>IF('Observaciones-SMP'!J854="","",'Observaciones-SMP'!J854)</f>
        <v/>
      </c>
      <c r="K854" s="193" t="str">
        <f>IF('Observaciones-SMP'!K854="","",'Observaciones-SMP'!K854)</f>
        <v/>
      </c>
      <c r="L854" s="193" t="str">
        <f>IF('Observaciones-SMP'!L854="","",'Observaciones-SMP'!L854)</f>
        <v/>
      </c>
      <c r="M854" s="193" t="str">
        <f>IF('Observaciones-SMP'!M854="","",'Observaciones-SMP'!M854)</f>
        <v/>
      </c>
      <c r="N854" s="193" t="str">
        <f>IF('Observaciones-SMP'!N854="","",'Observaciones-SMP'!N854)</f>
        <v/>
      </c>
      <c r="O854" s="193" t="str">
        <f>IF('Observaciones-SMP'!O854="","",'Observaciones-SMP'!O854)</f>
        <v/>
      </c>
      <c r="P854" s="193" t="str">
        <f>IF('Observaciones-SMP'!P854="","",'Observaciones-SMP'!P854)</f>
        <v/>
      </c>
      <c r="Q854" s="257" t="str">
        <f>IF('Observaciones-SMP'!S854="","",'Observaciones-SMP'!S854)</f>
        <v/>
      </c>
      <c r="R854" s="193" t="str">
        <f>IF('Observaciones-SMP'!T854="","",'Observaciones-SMP'!T854)</f>
        <v/>
      </c>
      <c r="S854" s="193" t="str">
        <f>""</f>
        <v/>
      </c>
      <c r="T854" s="193" t="str">
        <f>""</f>
        <v/>
      </c>
      <c r="U854" s="193" t="str">
        <f t="shared" si="52"/>
        <v/>
      </c>
      <c r="V854" s="193" t="str">
        <f>""</f>
        <v/>
      </c>
      <c r="W854" s="193" t="str">
        <f>""</f>
        <v/>
      </c>
      <c r="X854" s="258" t="str">
        <f t="shared" si="53"/>
        <v/>
      </c>
      <c r="Y854" s="258" t="str">
        <f t="shared" si="54"/>
        <v/>
      </c>
      <c r="Z854" s="193" t="str">
        <f>IF(A854="","",IF(COUNTIF('Observaciones-SMP'!$A$2:$A$1001,A854)&gt;1,1,0))</f>
        <v/>
      </c>
      <c r="AA854" s="193" t="str">
        <f t="shared" si="55"/>
        <v/>
      </c>
    </row>
    <row r="855" spans="1:27" ht="13.5" customHeight="1" x14ac:dyDescent="0.3">
      <c r="A855" s="193" t="str">
        <f>IF('Observaciones-SMP'!A855="","",'Observaciones-SMP'!A855)</f>
        <v/>
      </c>
      <c r="B855" s="257" t="str">
        <f>IF('Observaciones-SMP'!B855="","",'Observaciones-SMP'!B855)</f>
        <v/>
      </c>
      <c r="C855" s="193" t="str">
        <f>IF('Observaciones-SMP'!C855="","",'Observaciones-SMP'!C855)</f>
        <v/>
      </c>
      <c r="D855" s="193" t="str">
        <f>IF('Observaciones-SMP'!D855="","",'Observaciones-SMP'!D855)</f>
        <v/>
      </c>
      <c r="E855" s="193" t="str">
        <f>IF('Observaciones-SMP'!E855="","",'Observaciones-SMP'!E855)</f>
        <v/>
      </c>
      <c r="F855" s="193" t="str">
        <f>IF('Observaciones-SMP'!F855="","",'Observaciones-SMP'!F855)</f>
        <v/>
      </c>
      <c r="G855" s="193" t="str">
        <f>IF('Observaciones-SMP'!G855="","",'Observaciones-SMP'!G855)</f>
        <v/>
      </c>
      <c r="H855" s="193" t="str">
        <f>IF('Observaciones-SMP'!H855="","",'Observaciones-SMP'!H855)</f>
        <v/>
      </c>
      <c r="I855" s="193" t="str">
        <f>IF('Observaciones-SMP'!I855="","",'Observaciones-SMP'!I855)</f>
        <v/>
      </c>
      <c r="J855" s="193" t="str">
        <f>IF('Observaciones-SMP'!J855="","",'Observaciones-SMP'!J855)</f>
        <v/>
      </c>
      <c r="K855" s="193" t="str">
        <f>IF('Observaciones-SMP'!K855="","",'Observaciones-SMP'!K855)</f>
        <v/>
      </c>
      <c r="L855" s="193" t="str">
        <f>IF('Observaciones-SMP'!L855="","",'Observaciones-SMP'!L855)</f>
        <v/>
      </c>
      <c r="M855" s="193" t="str">
        <f>IF('Observaciones-SMP'!M855="","",'Observaciones-SMP'!M855)</f>
        <v/>
      </c>
      <c r="N855" s="193" t="str">
        <f>IF('Observaciones-SMP'!N855="","",'Observaciones-SMP'!N855)</f>
        <v/>
      </c>
      <c r="O855" s="193" t="str">
        <f>IF('Observaciones-SMP'!O855="","",'Observaciones-SMP'!O855)</f>
        <v/>
      </c>
      <c r="P855" s="193" t="str">
        <f>IF('Observaciones-SMP'!P855="","",'Observaciones-SMP'!P855)</f>
        <v/>
      </c>
      <c r="Q855" s="257" t="str">
        <f>IF('Observaciones-SMP'!S855="","",'Observaciones-SMP'!S855)</f>
        <v/>
      </c>
      <c r="R855" s="193" t="str">
        <f>IF('Observaciones-SMP'!T855="","",'Observaciones-SMP'!T855)</f>
        <v/>
      </c>
      <c r="S855" s="193" t="str">
        <f>""</f>
        <v/>
      </c>
      <c r="T855" s="193" t="str">
        <f>""</f>
        <v/>
      </c>
      <c r="U855" s="193" t="str">
        <f t="shared" si="52"/>
        <v/>
      </c>
      <c r="V855" s="193" t="str">
        <f>""</f>
        <v/>
      </c>
      <c r="W855" s="193" t="str">
        <f>""</f>
        <v/>
      </c>
      <c r="X855" s="258" t="str">
        <f t="shared" si="53"/>
        <v/>
      </c>
      <c r="Y855" s="258" t="str">
        <f t="shared" si="54"/>
        <v/>
      </c>
      <c r="Z855" s="193" t="str">
        <f>IF(A855="","",IF(COUNTIF('Observaciones-SMP'!$A$2:$A$1001,A855)&gt;1,1,0))</f>
        <v/>
      </c>
      <c r="AA855" s="193" t="str">
        <f t="shared" si="55"/>
        <v/>
      </c>
    </row>
    <row r="856" spans="1:27" ht="13.5" customHeight="1" x14ac:dyDescent="0.3">
      <c r="A856" s="193" t="str">
        <f>IF('Observaciones-SMP'!A856="","",'Observaciones-SMP'!A856)</f>
        <v/>
      </c>
      <c r="B856" s="257" t="str">
        <f>IF('Observaciones-SMP'!B856="","",'Observaciones-SMP'!B856)</f>
        <v/>
      </c>
      <c r="C856" s="193" t="str">
        <f>IF('Observaciones-SMP'!C856="","",'Observaciones-SMP'!C856)</f>
        <v/>
      </c>
      <c r="D856" s="193" t="str">
        <f>IF('Observaciones-SMP'!D856="","",'Observaciones-SMP'!D856)</f>
        <v/>
      </c>
      <c r="E856" s="193" t="str">
        <f>IF('Observaciones-SMP'!E856="","",'Observaciones-SMP'!E856)</f>
        <v/>
      </c>
      <c r="F856" s="193" t="str">
        <f>IF('Observaciones-SMP'!F856="","",'Observaciones-SMP'!F856)</f>
        <v/>
      </c>
      <c r="G856" s="193" t="str">
        <f>IF('Observaciones-SMP'!G856="","",'Observaciones-SMP'!G856)</f>
        <v/>
      </c>
      <c r="H856" s="193" t="str">
        <f>IF('Observaciones-SMP'!H856="","",'Observaciones-SMP'!H856)</f>
        <v/>
      </c>
      <c r="I856" s="193" t="str">
        <f>IF('Observaciones-SMP'!I856="","",'Observaciones-SMP'!I856)</f>
        <v/>
      </c>
      <c r="J856" s="193" t="str">
        <f>IF('Observaciones-SMP'!J856="","",'Observaciones-SMP'!J856)</f>
        <v/>
      </c>
      <c r="K856" s="193" t="str">
        <f>IF('Observaciones-SMP'!K856="","",'Observaciones-SMP'!K856)</f>
        <v/>
      </c>
      <c r="L856" s="193" t="str">
        <f>IF('Observaciones-SMP'!L856="","",'Observaciones-SMP'!L856)</f>
        <v/>
      </c>
      <c r="M856" s="193" t="str">
        <f>IF('Observaciones-SMP'!M856="","",'Observaciones-SMP'!M856)</f>
        <v/>
      </c>
      <c r="N856" s="193" t="str">
        <f>IF('Observaciones-SMP'!N856="","",'Observaciones-SMP'!N856)</f>
        <v/>
      </c>
      <c r="O856" s="193" t="str">
        <f>IF('Observaciones-SMP'!O856="","",'Observaciones-SMP'!O856)</f>
        <v/>
      </c>
      <c r="P856" s="193" t="str">
        <f>IF('Observaciones-SMP'!P856="","",'Observaciones-SMP'!P856)</f>
        <v/>
      </c>
      <c r="Q856" s="257" t="str">
        <f>IF('Observaciones-SMP'!S856="","",'Observaciones-SMP'!S856)</f>
        <v/>
      </c>
      <c r="R856" s="193" t="str">
        <f>IF('Observaciones-SMP'!T856="","",'Observaciones-SMP'!T856)</f>
        <v/>
      </c>
      <c r="S856" s="193" t="str">
        <f>""</f>
        <v/>
      </c>
      <c r="T856" s="193" t="str">
        <f>""</f>
        <v/>
      </c>
      <c r="U856" s="193" t="str">
        <f t="shared" si="52"/>
        <v/>
      </c>
      <c r="V856" s="193" t="str">
        <f>""</f>
        <v/>
      </c>
      <c r="W856" s="193" t="str">
        <f>""</f>
        <v/>
      </c>
      <c r="X856" s="258" t="str">
        <f t="shared" si="53"/>
        <v/>
      </c>
      <c r="Y856" s="258" t="str">
        <f t="shared" si="54"/>
        <v/>
      </c>
      <c r="Z856" s="193" t="str">
        <f>IF(A856="","",IF(COUNTIF('Observaciones-SMP'!$A$2:$A$1001,A856)&gt;1,1,0))</f>
        <v/>
      </c>
      <c r="AA856" s="193" t="str">
        <f t="shared" si="55"/>
        <v/>
      </c>
    </row>
    <row r="857" spans="1:27" ht="13.5" customHeight="1" x14ac:dyDescent="0.3">
      <c r="A857" s="193" t="str">
        <f>IF('Observaciones-SMP'!A857="","",'Observaciones-SMP'!A857)</f>
        <v/>
      </c>
      <c r="B857" s="257" t="str">
        <f>IF('Observaciones-SMP'!B857="","",'Observaciones-SMP'!B857)</f>
        <v/>
      </c>
      <c r="C857" s="193" t="str">
        <f>IF('Observaciones-SMP'!C857="","",'Observaciones-SMP'!C857)</f>
        <v/>
      </c>
      <c r="D857" s="193" t="str">
        <f>IF('Observaciones-SMP'!D857="","",'Observaciones-SMP'!D857)</f>
        <v/>
      </c>
      <c r="E857" s="193" t="str">
        <f>IF('Observaciones-SMP'!E857="","",'Observaciones-SMP'!E857)</f>
        <v/>
      </c>
      <c r="F857" s="193" t="str">
        <f>IF('Observaciones-SMP'!F857="","",'Observaciones-SMP'!F857)</f>
        <v/>
      </c>
      <c r="G857" s="193" t="str">
        <f>IF('Observaciones-SMP'!G857="","",'Observaciones-SMP'!G857)</f>
        <v/>
      </c>
      <c r="H857" s="193" t="str">
        <f>IF('Observaciones-SMP'!H857="","",'Observaciones-SMP'!H857)</f>
        <v/>
      </c>
      <c r="I857" s="193" t="str">
        <f>IF('Observaciones-SMP'!I857="","",'Observaciones-SMP'!I857)</f>
        <v/>
      </c>
      <c r="J857" s="193" t="str">
        <f>IF('Observaciones-SMP'!J857="","",'Observaciones-SMP'!J857)</f>
        <v/>
      </c>
      <c r="K857" s="193" t="str">
        <f>IF('Observaciones-SMP'!K857="","",'Observaciones-SMP'!K857)</f>
        <v/>
      </c>
      <c r="L857" s="193" t="str">
        <f>IF('Observaciones-SMP'!L857="","",'Observaciones-SMP'!L857)</f>
        <v/>
      </c>
      <c r="M857" s="193" t="str">
        <f>IF('Observaciones-SMP'!M857="","",'Observaciones-SMP'!M857)</f>
        <v/>
      </c>
      <c r="N857" s="193" t="str">
        <f>IF('Observaciones-SMP'!N857="","",'Observaciones-SMP'!N857)</f>
        <v/>
      </c>
      <c r="O857" s="193" t="str">
        <f>IF('Observaciones-SMP'!O857="","",'Observaciones-SMP'!O857)</f>
        <v/>
      </c>
      <c r="P857" s="193" t="str">
        <f>IF('Observaciones-SMP'!P857="","",'Observaciones-SMP'!P857)</f>
        <v/>
      </c>
      <c r="Q857" s="257" t="str">
        <f>IF('Observaciones-SMP'!S857="","",'Observaciones-SMP'!S857)</f>
        <v/>
      </c>
      <c r="R857" s="193" t="str">
        <f>IF('Observaciones-SMP'!T857="","",'Observaciones-SMP'!T857)</f>
        <v/>
      </c>
      <c r="S857" s="193" t="str">
        <f>""</f>
        <v/>
      </c>
      <c r="T857" s="193" t="str">
        <f>""</f>
        <v/>
      </c>
      <c r="U857" s="193" t="str">
        <f t="shared" si="52"/>
        <v/>
      </c>
      <c r="V857" s="193" t="str">
        <f>""</f>
        <v/>
      </c>
      <c r="W857" s="193" t="str">
        <f>""</f>
        <v/>
      </c>
      <c r="X857" s="258" t="str">
        <f t="shared" si="53"/>
        <v/>
      </c>
      <c r="Y857" s="258" t="str">
        <f t="shared" si="54"/>
        <v/>
      </c>
      <c r="Z857" s="193" t="str">
        <f>IF(A857="","",IF(COUNTIF('Observaciones-SMP'!$A$2:$A$1001,A857)&gt;1,1,0))</f>
        <v/>
      </c>
      <c r="AA857" s="193" t="str">
        <f t="shared" si="55"/>
        <v/>
      </c>
    </row>
    <row r="858" spans="1:27" ht="13.5" customHeight="1" x14ac:dyDescent="0.3">
      <c r="A858" s="193" t="str">
        <f>IF('Observaciones-SMP'!A858="","",'Observaciones-SMP'!A858)</f>
        <v/>
      </c>
      <c r="B858" s="257" t="str">
        <f>IF('Observaciones-SMP'!B858="","",'Observaciones-SMP'!B858)</f>
        <v/>
      </c>
      <c r="C858" s="193" t="str">
        <f>IF('Observaciones-SMP'!C858="","",'Observaciones-SMP'!C858)</f>
        <v/>
      </c>
      <c r="D858" s="193" t="str">
        <f>IF('Observaciones-SMP'!D858="","",'Observaciones-SMP'!D858)</f>
        <v/>
      </c>
      <c r="E858" s="193" t="str">
        <f>IF('Observaciones-SMP'!E858="","",'Observaciones-SMP'!E858)</f>
        <v/>
      </c>
      <c r="F858" s="193" t="str">
        <f>IF('Observaciones-SMP'!F858="","",'Observaciones-SMP'!F858)</f>
        <v/>
      </c>
      <c r="G858" s="193" t="str">
        <f>IF('Observaciones-SMP'!G858="","",'Observaciones-SMP'!G858)</f>
        <v/>
      </c>
      <c r="H858" s="193" t="str">
        <f>IF('Observaciones-SMP'!H858="","",'Observaciones-SMP'!H858)</f>
        <v/>
      </c>
      <c r="I858" s="193" t="str">
        <f>IF('Observaciones-SMP'!I858="","",'Observaciones-SMP'!I858)</f>
        <v/>
      </c>
      <c r="J858" s="193" t="str">
        <f>IF('Observaciones-SMP'!J858="","",'Observaciones-SMP'!J858)</f>
        <v/>
      </c>
      <c r="K858" s="193" t="str">
        <f>IF('Observaciones-SMP'!K858="","",'Observaciones-SMP'!K858)</f>
        <v/>
      </c>
      <c r="L858" s="193" t="str">
        <f>IF('Observaciones-SMP'!L858="","",'Observaciones-SMP'!L858)</f>
        <v/>
      </c>
      <c r="M858" s="193" t="str">
        <f>IF('Observaciones-SMP'!M858="","",'Observaciones-SMP'!M858)</f>
        <v/>
      </c>
      <c r="N858" s="193" t="str">
        <f>IF('Observaciones-SMP'!N858="","",'Observaciones-SMP'!N858)</f>
        <v/>
      </c>
      <c r="O858" s="193" t="str">
        <f>IF('Observaciones-SMP'!O858="","",'Observaciones-SMP'!O858)</f>
        <v/>
      </c>
      <c r="P858" s="193" t="str">
        <f>IF('Observaciones-SMP'!P858="","",'Observaciones-SMP'!P858)</f>
        <v/>
      </c>
      <c r="Q858" s="257" t="str">
        <f>IF('Observaciones-SMP'!S858="","",'Observaciones-SMP'!S858)</f>
        <v/>
      </c>
      <c r="R858" s="193" t="str">
        <f>IF('Observaciones-SMP'!T858="","",'Observaciones-SMP'!T858)</f>
        <v/>
      </c>
      <c r="S858" s="193" t="str">
        <f>""</f>
        <v/>
      </c>
      <c r="T858" s="193" t="str">
        <f>""</f>
        <v/>
      </c>
      <c r="U858" s="193" t="str">
        <f t="shared" si="52"/>
        <v/>
      </c>
      <c r="V858" s="193" t="str">
        <f>""</f>
        <v/>
      </c>
      <c r="W858" s="193" t="str">
        <f>""</f>
        <v/>
      </c>
      <c r="X858" s="258" t="str">
        <f t="shared" si="53"/>
        <v/>
      </c>
      <c r="Y858" s="258" t="str">
        <f t="shared" si="54"/>
        <v/>
      </c>
      <c r="Z858" s="193" t="str">
        <f>IF(A858="","",IF(COUNTIF('Observaciones-SMP'!$A$2:$A$1001,A858)&gt;1,1,0))</f>
        <v/>
      </c>
      <c r="AA858" s="193" t="str">
        <f t="shared" si="55"/>
        <v/>
      </c>
    </row>
    <row r="859" spans="1:27" ht="13.5" customHeight="1" x14ac:dyDescent="0.3">
      <c r="A859" s="193" t="str">
        <f>IF('Observaciones-SMP'!A859="","",'Observaciones-SMP'!A859)</f>
        <v/>
      </c>
      <c r="B859" s="257" t="str">
        <f>IF('Observaciones-SMP'!B859="","",'Observaciones-SMP'!B859)</f>
        <v/>
      </c>
      <c r="C859" s="193" t="str">
        <f>IF('Observaciones-SMP'!C859="","",'Observaciones-SMP'!C859)</f>
        <v/>
      </c>
      <c r="D859" s="193" t="str">
        <f>IF('Observaciones-SMP'!D859="","",'Observaciones-SMP'!D859)</f>
        <v/>
      </c>
      <c r="E859" s="193" t="str">
        <f>IF('Observaciones-SMP'!E859="","",'Observaciones-SMP'!E859)</f>
        <v/>
      </c>
      <c r="F859" s="193" t="str">
        <f>IF('Observaciones-SMP'!F859="","",'Observaciones-SMP'!F859)</f>
        <v/>
      </c>
      <c r="G859" s="193" t="str">
        <f>IF('Observaciones-SMP'!G859="","",'Observaciones-SMP'!G859)</f>
        <v/>
      </c>
      <c r="H859" s="193" t="str">
        <f>IF('Observaciones-SMP'!H859="","",'Observaciones-SMP'!H859)</f>
        <v/>
      </c>
      <c r="I859" s="193" t="str">
        <f>IF('Observaciones-SMP'!I859="","",'Observaciones-SMP'!I859)</f>
        <v/>
      </c>
      <c r="J859" s="193" t="str">
        <f>IF('Observaciones-SMP'!J859="","",'Observaciones-SMP'!J859)</f>
        <v/>
      </c>
      <c r="K859" s="193" t="str">
        <f>IF('Observaciones-SMP'!K859="","",'Observaciones-SMP'!K859)</f>
        <v/>
      </c>
      <c r="L859" s="193" t="str">
        <f>IF('Observaciones-SMP'!L859="","",'Observaciones-SMP'!L859)</f>
        <v/>
      </c>
      <c r="M859" s="193" t="str">
        <f>IF('Observaciones-SMP'!M859="","",'Observaciones-SMP'!M859)</f>
        <v/>
      </c>
      <c r="N859" s="193" t="str">
        <f>IF('Observaciones-SMP'!N859="","",'Observaciones-SMP'!N859)</f>
        <v/>
      </c>
      <c r="O859" s="193" t="str">
        <f>IF('Observaciones-SMP'!O859="","",'Observaciones-SMP'!O859)</f>
        <v/>
      </c>
      <c r="P859" s="193" t="str">
        <f>IF('Observaciones-SMP'!P859="","",'Observaciones-SMP'!P859)</f>
        <v/>
      </c>
      <c r="Q859" s="257" t="str">
        <f>IF('Observaciones-SMP'!S859="","",'Observaciones-SMP'!S859)</f>
        <v/>
      </c>
      <c r="R859" s="193" t="str">
        <f>IF('Observaciones-SMP'!T859="","",'Observaciones-SMP'!T859)</f>
        <v/>
      </c>
      <c r="S859" s="193" t="str">
        <f>""</f>
        <v/>
      </c>
      <c r="T859" s="193" t="str">
        <f>""</f>
        <v/>
      </c>
      <c r="U859" s="193" t="str">
        <f t="shared" si="52"/>
        <v/>
      </c>
      <c r="V859" s="193" t="str">
        <f>""</f>
        <v/>
      </c>
      <c r="W859" s="193" t="str">
        <f>""</f>
        <v/>
      </c>
      <c r="X859" s="258" t="str">
        <f t="shared" si="53"/>
        <v/>
      </c>
      <c r="Y859" s="258" t="str">
        <f t="shared" si="54"/>
        <v/>
      </c>
      <c r="Z859" s="193" t="str">
        <f>IF(A859="","",IF(COUNTIF('Observaciones-SMP'!$A$2:$A$1001,A859)&gt;1,1,0))</f>
        <v/>
      </c>
      <c r="AA859" s="193" t="str">
        <f t="shared" si="55"/>
        <v/>
      </c>
    </row>
    <row r="860" spans="1:27" ht="13.5" customHeight="1" x14ac:dyDescent="0.3">
      <c r="A860" s="193" t="str">
        <f>IF('Observaciones-SMP'!A860="","",'Observaciones-SMP'!A860)</f>
        <v/>
      </c>
      <c r="B860" s="257" t="str">
        <f>IF('Observaciones-SMP'!B860="","",'Observaciones-SMP'!B860)</f>
        <v/>
      </c>
      <c r="C860" s="193" t="str">
        <f>IF('Observaciones-SMP'!C860="","",'Observaciones-SMP'!C860)</f>
        <v/>
      </c>
      <c r="D860" s="193" t="str">
        <f>IF('Observaciones-SMP'!D860="","",'Observaciones-SMP'!D860)</f>
        <v/>
      </c>
      <c r="E860" s="193" t="str">
        <f>IF('Observaciones-SMP'!E860="","",'Observaciones-SMP'!E860)</f>
        <v/>
      </c>
      <c r="F860" s="193" t="str">
        <f>IF('Observaciones-SMP'!F860="","",'Observaciones-SMP'!F860)</f>
        <v/>
      </c>
      <c r="G860" s="193" t="str">
        <f>IF('Observaciones-SMP'!G860="","",'Observaciones-SMP'!G860)</f>
        <v/>
      </c>
      <c r="H860" s="193" t="str">
        <f>IF('Observaciones-SMP'!H860="","",'Observaciones-SMP'!H860)</f>
        <v/>
      </c>
      <c r="I860" s="193" t="str">
        <f>IF('Observaciones-SMP'!I860="","",'Observaciones-SMP'!I860)</f>
        <v/>
      </c>
      <c r="J860" s="193" t="str">
        <f>IF('Observaciones-SMP'!J860="","",'Observaciones-SMP'!J860)</f>
        <v/>
      </c>
      <c r="K860" s="193" t="str">
        <f>IF('Observaciones-SMP'!K860="","",'Observaciones-SMP'!K860)</f>
        <v/>
      </c>
      <c r="L860" s="193" t="str">
        <f>IF('Observaciones-SMP'!L860="","",'Observaciones-SMP'!L860)</f>
        <v/>
      </c>
      <c r="M860" s="193" t="str">
        <f>IF('Observaciones-SMP'!M860="","",'Observaciones-SMP'!M860)</f>
        <v/>
      </c>
      <c r="N860" s="193" t="str">
        <f>IF('Observaciones-SMP'!N860="","",'Observaciones-SMP'!N860)</f>
        <v/>
      </c>
      <c r="O860" s="193" t="str">
        <f>IF('Observaciones-SMP'!O860="","",'Observaciones-SMP'!O860)</f>
        <v/>
      </c>
      <c r="P860" s="193" t="str">
        <f>IF('Observaciones-SMP'!P860="","",'Observaciones-SMP'!P860)</f>
        <v/>
      </c>
      <c r="Q860" s="257" t="str">
        <f>IF('Observaciones-SMP'!S860="","",'Observaciones-SMP'!S860)</f>
        <v/>
      </c>
      <c r="R860" s="193" t="str">
        <f>IF('Observaciones-SMP'!T860="","",'Observaciones-SMP'!T860)</f>
        <v/>
      </c>
      <c r="S860" s="193" t="str">
        <f>""</f>
        <v/>
      </c>
      <c r="T860" s="193" t="str">
        <f>""</f>
        <v/>
      </c>
      <c r="U860" s="193" t="str">
        <f t="shared" si="52"/>
        <v/>
      </c>
      <c r="V860" s="193" t="str">
        <f>""</f>
        <v/>
      </c>
      <c r="W860" s="193" t="str">
        <f>""</f>
        <v/>
      </c>
      <c r="X860" s="258" t="str">
        <f t="shared" si="53"/>
        <v/>
      </c>
      <c r="Y860" s="258" t="str">
        <f t="shared" si="54"/>
        <v/>
      </c>
      <c r="Z860" s="193" t="str">
        <f>IF(A860="","",IF(COUNTIF('Observaciones-SMP'!$A$2:$A$1001,A860)&gt;1,1,0))</f>
        <v/>
      </c>
      <c r="AA860" s="193" t="str">
        <f t="shared" si="55"/>
        <v/>
      </c>
    </row>
    <row r="861" spans="1:27" ht="13.5" customHeight="1" x14ac:dyDescent="0.3">
      <c r="A861" s="193" t="str">
        <f>IF('Observaciones-SMP'!A861="","",'Observaciones-SMP'!A861)</f>
        <v/>
      </c>
      <c r="B861" s="257" t="str">
        <f>IF('Observaciones-SMP'!B861="","",'Observaciones-SMP'!B861)</f>
        <v/>
      </c>
      <c r="C861" s="193" t="str">
        <f>IF('Observaciones-SMP'!C861="","",'Observaciones-SMP'!C861)</f>
        <v/>
      </c>
      <c r="D861" s="193" t="str">
        <f>IF('Observaciones-SMP'!D861="","",'Observaciones-SMP'!D861)</f>
        <v/>
      </c>
      <c r="E861" s="193" t="str">
        <f>IF('Observaciones-SMP'!E861="","",'Observaciones-SMP'!E861)</f>
        <v/>
      </c>
      <c r="F861" s="193" t="str">
        <f>IF('Observaciones-SMP'!F861="","",'Observaciones-SMP'!F861)</f>
        <v/>
      </c>
      <c r="G861" s="193" t="str">
        <f>IF('Observaciones-SMP'!G861="","",'Observaciones-SMP'!G861)</f>
        <v/>
      </c>
      <c r="H861" s="193" t="str">
        <f>IF('Observaciones-SMP'!H861="","",'Observaciones-SMP'!H861)</f>
        <v/>
      </c>
      <c r="I861" s="193" t="str">
        <f>IF('Observaciones-SMP'!I861="","",'Observaciones-SMP'!I861)</f>
        <v/>
      </c>
      <c r="J861" s="193" t="str">
        <f>IF('Observaciones-SMP'!J861="","",'Observaciones-SMP'!J861)</f>
        <v/>
      </c>
      <c r="K861" s="193" t="str">
        <f>IF('Observaciones-SMP'!K861="","",'Observaciones-SMP'!K861)</f>
        <v/>
      </c>
      <c r="L861" s="193" t="str">
        <f>IF('Observaciones-SMP'!L861="","",'Observaciones-SMP'!L861)</f>
        <v/>
      </c>
      <c r="M861" s="193" t="str">
        <f>IF('Observaciones-SMP'!M861="","",'Observaciones-SMP'!M861)</f>
        <v/>
      </c>
      <c r="N861" s="193" t="str">
        <f>IF('Observaciones-SMP'!N861="","",'Observaciones-SMP'!N861)</f>
        <v/>
      </c>
      <c r="O861" s="193" t="str">
        <f>IF('Observaciones-SMP'!O861="","",'Observaciones-SMP'!O861)</f>
        <v/>
      </c>
      <c r="P861" s="193" t="str">
        <f>IF('Observaciones-SMP'!P861="","",'Observaciones-SMP'!P861)</f>
        <v/>
      </c>
      <c r="Q861" s="257" t="str">
        <f>IF('Observaciones-SMP'!S861="","",'Observaciones-SMP'!S861)</f>
        <v/>
      </c>
      <c r="R861" s="193" t="str">
        <f>IF('Observaciones-SMP'!T861="","",'Observaciones-SMP'!T861)</f>
        <v/>
      </c>
      <c r="S861" s="193" t="str">
        <f>""</f>
        <v/>
      </c>
      <c r="T861" s="193" t="str">
        <f>""</f>
        <v/>
      </c>
      <c r="U861" s="193" t="str">
        <f t="shared" si="52"/>
        <v/>
      </c>
      <c r="V861" s="193" t="str">
        <f>""</f>
        <v/>
      </c>
      <c r="W861" s="193" t="str">
        <f>""</f>
        <v/>
      </c>
      <c r="X861" s="258" t="str">
        <f t="shared" si="53"/>
        <v/>
      </c>
      <c r="Y861" s="258" t="str">
        <f t="shared" si="54"/>
        <v/>
      </c>
      <c r="Z861" s="193" t="str">
        <f>IF(A861="","",IF(COUNTIF('Observaciones-SMP'!$A$2:$A$1001,A861)&gt;1,1,0))</f>
        <v/>
      </c>
      <c r="AA861" s="193" t="str">
        <f t="shared" si="55"/>
        <v/>
      </c>
    </row>
    <row r="862" spans="1:27" ht="13.5" customHeight="1" x14ac:dyDescent="0.3">
      <c r="A862" s="193" t="str">
        <f>IF('Observaciones-SMP'!A862="","",'Observaciones-SMP'!A862)</f>
        <v/>
      </c>
      <c r="B862" s="257" t="str">
        <f>IF('Observaciones-SMP'!B862="","",'Observaciones-SMP'!B862)</f>
        <v/>
      </c>
      <c r="C862" s="193" t="str">
        <f>IF('Observaciones-SMP'!C862="","",'Observaciones-SMP'!C862)</f>
        <v/>
      </c>
      <c r="D862" s="193" t="str">
        <f>IF('Observaciones-SMP'!D862="","",'Observaciones-SMP'!D862)</f>
        <v/>
      </c>
      <c r="E862" s="193" t="str">
        <f>IF('Observaciones-SMP'!E862="","",'Observaciones-SMP'!E862)</f>
        <v/>
      </c>
      <c r="F862" s="193" t="str">
        <f>IF('Observaciones-SMP'!F862="","",'Observaciones-SMP'!F862)</f>
        <v/>
      </c>
      <c r="G862" s="193" t="str">
        <f>IF('Observaciones-SMP'!G862="","",'Observaciones-SMP'!G862)</f>
        <v/>
      </c>
      <c r="H862" s="193" t="str">
        <f>IF('Observaciones-SMP'!H862="","",'Observaciones-SMP'!H862)</f>
        <v/>
      </c>
      <c r="I862" s="193" t="str">
        <f>IF('Observaciones-SMP'!I862="","",'Observaciones-SMP'!I862)</f>
        <v/>
      </c>
      <c r="J862" s="193" t="str">
        <f>IF('Observaciones-SMP'!J862="","",'Observaciones-SMP'!J862)</f>
        <v/>
      </c>
      <c r="K862" s="193" t="str">
        <f>IF('Observaciones-SMP'!K862="","",'Observaciones-SMP'!K862)</f>
        <v/>
      </c>
      <c r="L862" s="193" t="str">
        <f>IF('Observaciones-SMP'!L862="","",'Observaciones-SMP'!L862)</f>
        <v/>
      </c>
      <c r="M862" s="193" t="str">
        <f>IF('Observaciones-SMP'!M862="","",'Observaciones-SMP'!M862)</f>
        <v/>
      </c>
      <c r="N862" s="193" t="str">
        <f>IF('Observaciones-SMP'!N862="","",'Observaciones-SMP'!N862)</f>
        <v/>
      </c>
      <c r="O862" s="193" t="str">
        <f>IF('Observaciones-SMP'!O862="","",'Observaciones-SMP'!O862)</f>
        <v/>
      </c>
      <c r="P862" s="193" t="str">
        <f>IF('Observaciones-SMP'!P862="","",'Observaciones-SMP'!P862)</f>
        <v/>
      </c>
      <c r="Q862" s="257" t="str">
        <f>IF('Observaciones-SMP'!S862="","",'Observaciones-SMP'!S862)</f>
        <v/>
      </c>
      <c r="R862" s="193" t="str">
        <f>IF('Observaciones-SMP'!T862="","",'Observaciones-SMP'!T862)</f>
        <v/>
      </c>
      <c r="S862" s="193" t="str">
        <f>""</f>
        <v/>
      </c>
      <c r="T862" s="193" t="str">
        <f>""</f>
        <v/>
      </c>
      <c r="U862" s="193" t="str">
        <f t="shared" si="52"/>
        <v/>
      </c>
      <c r="V862" s="193" t="str">
        <f>""</f>
        <v/>
      </c>
      <c r="W862" s="193" t="str">
        <f>""</f>
        <v/>
      </c>
      <c r="X862" s="258" t="str">
        <f t="shared" si="53"/>
        <v/>
      </c>
      <c r="Y862" s="258" t="str">
        <f t="shared" si="54"/>
        <v/>
      </c>
      <c r="Z862" s="193" t="str">
        <f>IF(A862="","",IF(COUNTIF('Observaciones-SMP'!$A$2:$A$1001,A862)&gt;1,1,0))</f>
        <v/>
      </c>
      <c r="AA862" s="193" t="str">
        <f t="shared" si="55"/>
        <v/>
      </c>
    </row>
    <row r="863" spans="1:27" ht="13.5" customHeight="1" x14ac:dyDescent="0.3">
      <c r="A863" s="193" t="str">
        <f>IF('Observaciones-SMP'!A863="","",'Observaciones-SMP'!A863)</f>
        <v/>
      </c>
      <c r="B863" s="257" t="str">
        <f>IF('Observaciones-SMP'!B863="","",'Observaciones-SMP'!B863)</f>
        <v/>
      </c>
      <c r="C863" s="193" t="str">
        <f>IF('Observaciones-SMP'!C863="","",'Observaciones-SMP'!C863)</f>
        <v/>
      </c>
      <c r="D863" s="193" t="str">
        <f>IF('Observaciones-SMP'!D863="","",'Observaciones-SMP'!D863)</f>
        <v/>
      </c>
      <c r="E863" s="193" t="str">
        <f>IF('Observaciones-SMP'!E863="","",'Observaciones-SMP'!E863)</f>
        <v/>
      </c>
      <c r="F863" s="193" t="str">
        <f>IF('Observaciones-SMP'!F863="","",'Observaciones-SMP'!F863)</f>
        <v/>
      </c>
      <c r="G863" s="193" t="str">
        <f>IF('Observaciones-SMP'!G863="","",'Observaciones-SMP'!G863)</f>
        <v/>
      </c>
      <c r="H863" s="193" t="str">
        <f>IF('Observaciones-SMP'!H863="","",'Observaciones-SMP'!H863)</f>
        <v/>
      </c>
      <c r="I863" s="193" t="str">
        <f>IF('Observaciones-SMP'!I863="","",'Observaciones-SMP'!I863)</f>
        <v/>
      </c>
      <c r="J863" s="193" t="str">
        <f>IF('Observaciones-SMP'!J863="","",'Observaciones-SMP'!J863)</f>
        <v/>
      </c>
      <c r="K863" s="193" t="str">
        <f>IF('Observaciones-SMP'!K863="","",'Observaciones-SMP'!K863)</f>
        <v/>
      </c>
      <c r="L863" s="193" t="str">
        <f>IF('Observaciones-SMP'!L863="","",'Observaciones-SMP'!L863)</f>
        <v/>
      </c>
      <c r="M863" s="193" t="str">
        <f>IF('Observaciones-SMP'!M863="","",'Observaciones-SMP'!M863)</f>
        <v/>
      </c>
      <c r="N863" s="193" t="str">
        <f>IF('Observaciones-SMP'!N863="","",'Observaciones-SMP'!N863)</f>
        <v/>
      </c>
      <c r="O863" s="193" t="str">
        <f>IF('Observaciones-SMP'!O863="","",'Observaciones-SMP'!O863)</f>
        <v/>
      </c>
      <c r="P863" s="193" t="str">
        <f>IF('Observaciones-SMP'!P863="","",'Observaciones-SMP'!P863)</f>
        <v/>
      </c>
      <c r="Q863" s="257" t="str">
        <f>IF('Observaciones-SMP'!S863="","",'Observaciones-SMP'!S863)</f>
        <v/>
      </c>
      <c r="R863" s="193" t="str">
        <f>IF('Observaciones-SMP'!T863="","",'Observaciones-SMP'!T863)</f>
        <v/>
      </c>
      <c r="S863" s="193" t="str">
        <f>""</f>
        <v/>
      </c>
      <c r="T863" s="193" t="str">
        <f>""</f>
        <v/>
      </c>
      <c r="U863" s="193" t="str">
        <f t="shared" si="52"/>
        <v/>
      </c>
      <c r="V863" s="193" t="str">
        <f>""</f>
        <v/>
      </c>
      <c r="W863" s="193" t="str">
        <f>""</f>
        <v/>
      </c>
      <c r="X863" s="258" t="str">
        <f t="shared" si="53"/>
        <v/>
      </c>
      <c r="Y863" s="258" t="str">
        <f t="shared" si="54"/>
        <v/>
      </c>
      <c r="Z863" s="193" t="str">
        <f>IF(A863="","",IF(COUNTIF('Observaciones-SMP'!$A$2:$A$1001,A863)&gt;1,1,0))</f>
        <v/>
      </c>
      <c r="AA863" s="193" t="str">
        <f t="shared" si="55"/>
        <v/>
      </c>
    </row>
    <row r="864" spans="1:27" ht="13.5" customHeight="1" x14ac:dyDescent="0.3">
      <c r="A864" s="193" t="str">
        <f>IF('Observaciones-SMP'!A864="","",'Observaciones-SMP'!A864)</f>
        <v/>
      </c>
      <c r="B864" s="257" t="str">
        <f>IF('Observaciones-SMP'!B864="","",'Observaciones-SMP'!B864)</f>
        <v/>
      </c>
      <c r="C864" s="193" t="str">
        <f>IF('Observaciones-SMP'!C864="","",'Observaciones-SMP'!C864)</f>
        <v/>
      </c>
      <c r="D864" s="193" t="str">
        <f>IF('Observaciones-SMP'!D864="","",'Observaciones-SMP'!D864)</f>
        <v/>
      </c>
      <c r="E864" s="193" t="str">
        <f>IF('Observaciones-SMP'!E864="","",'Observaciones-SMP'!E864)</f>
        <v/>
      </c>
      <c r="F864" s="193" t="str">
        <f>IF('Observaciones-SMP'!F864="","",'Observaciones-SMP'!F864)</f>
        <v/>
      </c>
      <c r="G864" s="193" t="str">
        <f>IF('Observaciones-SMP'!G864="","",'Observaciones-SMP'!G864)</f>
        <v/>
      </c>
      <c r="H864" s="193" t="str">
        <f>IF('Observaciones-SMP'!H864="","",'Observaciones-SMP'!H864)</f>
        <v/>
      </c>
      <c r="I864" s="193" t="str">
        <f>IF('Observaciones-SMP'!I864="","",'Observaciones-SMP'!I864)</f>
        <v/>
      </c>
      <c r="J864" s="193" t="str">
        <f>IF('Observaciones-SMP'!J864="","",'Observaciones-SMP'!J864)</f>
        <v/>
      </c>
      <c r="K864" s="193" t="str">
        <f>IF('Observaciones-SMP'!K864="","",'Observaciones-SMP'!K864)</f>
        <v/>
      </c>
      <c r="L864" s="193" t="str">
        <f>IF('Observaciones-SMP'!L864="","",'Observaciones-SMP'!L864)</f>
        <v/>
      </c>
      <c r="M864" s="193" t="str">
        <f>IF('Observaciones-SMP'!M864="","",'Observaciones-SMP'!M864)</f>
        <v/>
      </c>
      <c r="N864" s="193" t="str">
        <f>IF('Observaciones-SMP'!N864="","",'Observaciones-SMP'!N864)</f>
        <v/>
      </c>
      <c r="O864" s="193" t="str">
        <f>IF('Observaciones-SMP'!O864="","",'Observaciones-SMP'!O864)</f>
        <v/>
      </c>
      <c r="P864" s="193" t="str">
        <f>IF('Observaciones-SMP'!P864="","",'Observaciones-SMP'!P864)</f>
        <v/>
      </c>
      <c r="Q864" s="257" t="str">
        <f>IF('Observaciones-SMP'!S864="","",'Observaciones-SMP'!S864)</f>
        <v/>
      </c>
      <c r="R864" s="193" t="str">
        <f>IF('Observaciones-SMP'!T864="","",'Observaciones-SMP'!T864)</f>
        <v/>
      </c>
      <c r="S864" s="193" t="str">
        <f>""</f>
        <v/>
      </c>
      <c r="T864" s="193" t="str">
        <f>""</f>
        <v/>
      </c>
      <c r="U864" s="193" t="str">
        <f t="shared" si="52"/>
        <v/>
      </c>
      <c r="V864" s="193" t="str">
        <f>""</f>
        <v/>
      </c>
      <c r="W864" s="193" t="str">
        <f>""</f>
        <v/>
      </c>
      <c r="X864" s="258" t="str">
        <f t="shared" si="53"/>
        <v/>
      </c>
      <c r="Y864" s="258" t="str">
        <f t="shared" si="54"/>
        <v/>
      </c>
      <c r="Z864" s="193" t="str">
        <f>IF(A864="","",IF(COUNTIF('Observaciones-SMP'!$A$2:$A$1001,A864)&gt;1,1,0))</f>
        <v/>
      </c>
      <c r="AA864" s="193" t="str">
        <f t="shared" si="55"/>
        <v/>
      </c>
    </row>
    <row r="865" spans="1:27" ht="13.5" customHeight="1" x14ac:dyDescent="0.3">
      <c r="A865" s="193" t="str">
        <f>IF('Observaciones-SMP'!A865="","",'Observaciones-SMP'!A865)</f>
        <v/>
      </c>
      <c r="B865" s="257" t="str">
        <f>IF('Observaciones-SMP'!B865="","",'Observaciones-SMP'!B865)</f>
        <v/>
      </c>
      <c r="C865" s="193" t="str">
        <f>IF('Observaciones-SMP'!C865="","",'Observaciones-SMP'!C865)</f>
        <v/>
      </c>
      <c r="D865" s="193" t="str">
        <f>IF('Observaciones-SMP'!D865="","",'Observaciones-SMP'!D865)</f>
        <v/>
      </c>
      <c r="E865" s="193" t="str">
        <f>IF('Observaciones-SMP'!E865="","",'Observaciones-SMP'!E865)</f>
        <v/>
      </c>
      <c r="F865" s="193" t="str">
        <f>IF('Observaciones-SMP'!F865="","",'Observaciones-SMP'!F865)</f>
        <v/>
      </c>
      <c r="G865" s="193" t="str">
        <f>IF('Observaciones-SMP'!G865="","",'Observaciones-SMP'!G865)</f>
        <v/>
      </c>
      <c r="H865" s="193" t="str">
        <f>IF('Observaciones-SMP'!H865="","",'Observaciones-SMP'!H865)</f>
        <v/>
      </c>
      <c r="I865" s="193" t="str">
        <f>IF('Observaciones-SMP'!I865="","",'Observaciones-SMP'!I865)</f>
        <v/>
      </c>
      <c r="J865" s="193" t="str">
        <f>IF('Observaciones-SMP'!J865="","",'Observaciones-SMP'!J865)</f>
        <v/>
      </c>
      <c r="K865" s="193" t="str">
        <f>IF('Observaciones-SMP'!K865="","",'Observaciones-SMP'!K865)</f>
        <v/>
      </c>
      <c r="L865" s="193" t="str">
        <f>IF('Observaciones-SMP'!L865="","",'Observaciones-SMP'!L865)</f>
        <v/>
      </c>
      <c r="M865" s="193" t="str">
        <f>IF('Observaciones-SMP'!M865="","",'Observaciones-SMP'!M865)</f>
        <v/>
      </c>
      <c r="N865" s="193" t="str">
        <f>IF('Observaciones-SMP'!N865="","",'Observaciones-SMP'!N865)</f>
        <v/>
      </c>
      <c r="O865" s="193" t="str">
        <f>IF('Observaciones-SMP'!O865="","",'Observaciones-SMP'!O865)</f>
        <v/>
      </c>
      <c r="P865" s="193" t="str">
        <f>IF('Observaciones-SMP'!P865="","",'Observaciones-SMP'!P865)</f>
        <v/>
      </c>
      <c r="Q865" s="257" t="str">
        <f>IF('Observaciones-SMP'!S865="","",'Observaciones-SMP'!S865)</f>
        <v/>
      </c>
      <c r="R865" s="193" t="str">
        <f>IF('Observaciones-SMP'!T865="","",'Observaciones-SMP'!T865)</f>
        <v/>
      </c>
      <c r="S865" s="193" t="str">
        <f>""</f>
        <v/>
      </c>
      <c r="T865" s="193" t="str">
        <f>""</f>
        <v/>
      </c>
      <c r="U865" s="193" t="str">
        <f t="shared" si="52"/>
        <v/>
      </c>
      <c r="V865" s="193" t="str">
        <f>""</f>
        <v/>
      </c>
      <c r="W865" s="193" t="str">
        <f>""</f>
        <v/>
      </c>
      <c r="X865" s="258" t="str">
        <f t="shared" si="53"/>
        <v/>
      </c>
      <c r="Y865" s="258" t="str">
        <f t="shared" si="54"/>
        <v/>
      </c>
      <c r="Z865" s="193" t="str">
        <f>IF(A865="","",IF(COUNTIF('Observaciones-SMP'!$A$2:$A$1001,A865)&gt;1,1,0))</f>
        <v/>
      </c>
      <c r="AA865" s="193" t="str">
        <f t="shared" si="55"/>
        <v/>
      </c>
    </row>
    <row r="866" spans="1:27" ht="13.5" customHeight="1" x14ac:dyDescent="0.3">
      <c r="A866" s="193" t="str">
        <f>IF('Observaciones-SMP'!A866="","",'Observaciones-SMP'!A866)</f>
        <v/>
      </c>
      <c r="B866" s="257" t="str">
        <f>IF('Observaciones-SMP'!B866="","",'Observaciones-SMP'!B866)</f>
        <v/>
      </c>
      <c r="C866" s="193" t="str">
        <f>IF('Observaciones-SMP'!C866="","",'Observaciones-SMP'!C866)</f>
        <v/>
      </c>
      <c r="D866" s="193" t="str">
        <f>IF('Observaciones-SMP'!D866="","",'Observaciones-SMP'!D866)</f>
        <v/>
      </c>
      <c r="E866" s="193" t="str">
        <f>IF('Observaciones-SMP'!E866="","",'Observaciones-SMP'!E866)</f>
        <v/>
      </c>
      <c r="F866" s="193" t="str">
        <f>IF('Observaciones-SMP'!F866="","",'Observaciones-SMP'!F866)</f>
        <v/>
      </c>
      <c r="G866" s="193" t="str">
        <f>IF('Observaciones-SMP'!G866="","",'Observaciones-SMP'!G866)</f>
        <v/>
      </c>
      <c r="H866" s="193" t="str">
        <f>IF('Observaciones-SMP'!H866="","",'Observaciones-SMP'!H866)</f>
        <v/>
      </c>
      <c r="I866" s="193" t="str">
        <f>IF('Observaciones-SMP'!I866="","",'Observaciones-SMP'!I866)</f>
        <v/>
      </c>
      <c r="J866" s="193" t="str">
        <f>IF('Observaciones-SMP'!J866="","",'Observaciones-SMP'!J866)</f>
        <v/>
      </c>
      <c r="K866" s="193" t="str">
        <f>IF('Observaciones-SMP'!K866="","",'Observaciones-SMP'!K866)</f>
        <v/>
      </c>
      <c r="L866" s="193" t="str">
        <f>IF('Observaciones-SMP'!L866="","",'Observaciones-SMP'!L866)</f>
        <v/>
      </c>
      <c r="M866" s="193" t="str">
        <f>IF('Observaciones-SMP'!M866="","",'Observaciones-SMP'!M866)</f>
        <v/>
      </c>
      <c r="N866" s="193" t="str">
        <f>IF('Observaciones-SMP'!N866="","",'Observaciones-SMP'!N866)</f>
        <v/>
      </c>
      <c r="O866" s="193" t="str">
        <f>IF('Observaciones-SMP'!O866="","",'Observaciones-SMP'!O866)</f>
        <v/>
      </c>
      <c r="P866" s="193" t="str">
        <f>IF('Observaciones-SMP'!P866="","",'Observaciones-SMP'!P866)</f>
        <v/>
      </c>
      <c r="Q866" s="257" t="str">
        <f>IF('Observaciones-SMP'!S866="","",'Observaciones-SMP'!S866)</f>
        <v/>
      </c>
      <c r="R866" s="193" t="str">
        <f>IF('Observaciones-SMP'!T866="","",'Observaciones-SMP'!T866)</f>
        <v/>
      </c>
      <c r="S866" s="193" t="str">
        <f>""</f>
        <v/>
      </c>
      <c r="T866" s="193" t="str">
        <f>""</f>
        <v/>
      </c>
      <c r="U866" s="193" t="str">
        <f t="shared" si="52"/>
        <v/>
      </c>
      <c r="V866" s="193" t="str">
        <f>""</f>
        <v/>
      </c>
      <c r="W866" s="193" t="str">
        <f>""</f>
        <v/>
      </c>
      <c r="X866" s="258" t="str">
        <f t="shared" si="53"/>
        <v/>
      </c>
      <c r="Y866" s="258" t="str">
        <f t="shared" si="54"/>
        <v/>
      </c>
      <c r="Z866" s="193" t="str">
        <f>IF(A866="","",IF(COUNTIF('Observaciones-SMP'!$A$2:$A$1001,A866)&gt;1,1,0))</f>
        <v/>
      </c>
      <c r="AA866" s="193" t="str">
        <f t="shared" si="55"/>
        <v/>
      </c>
    </row>
    <row r="867" spans="1:27" ht="13.5" customHeight="1" x14ac:dyDescent="0.3">
      <c r="A867" s="193" t="str">
        <f>IF('Observaciones-SMP'!A867="","",'Observaciones-SMP'!A867)</f>
        <v/>
      </c>
      <c r="B867" s="257" t="str">
        <f>IF('Observaciones-SMP'!B867="","",'Observaciones-SMP'!B867)</f>
        <v/>
      </c>
      <c r="C867" s="193" t="str">
        <f>IF('Observaciones-SMP'!C867="","",'Observaciones-SMP'!C867)</f>
        <v/>
      </c>
      <c r="D867" s="193" t="str">
        <f>IF('Observaciones-SMP'!D867="","",'Observaciones-SMP'!D867)</f>
        <v/>
      </c>
      <c r="E867" s="193" t="str">
        <f>IF('Observaciones-SMP'!E867="","",'Observaciones-SMP'!E867)</f>
        <v/>
      </c>
      <c r="F867" s="193" t="str">
        <f>IF('Observaciones-SMP'!F867="","",'Observaciones-SMP'!F867)</f>
        <v/>
      </c>
      <c r="G867" s="193" t="str">
        <f>IF('Observaciones-SMP'!G867="","",'Observaciones-SMP'!G867)</f>
        <v/>
      </c>
      <c r="H867" s="193" t="str">
        <f>IF('Observaciones-SMP'!H867="","",'Observaciones-SMP'!H867)</f>
        <v/>
      </c>
      <c r="I867" s="193" t="str">
        <f>IF('Observaciones-SMP'!I867="","",'Observaciones-SMP'!I867)</f>
        <v/>
      </c>
      <c r="J867" s="193" t="str">
        <f>IF('Observaciones-SMP'!J867="","",'Observaciones-SMP'!J867)</f>
        <v/>
      </c>
      <c r="K867" s="193" t="str">
        <f>IF('Observaciones-SMP'!K867="","",'Observaciones-SMP'!K867)</f>
        <v/>
      </c>
      <c r="L867" s="193" t="str">
        <f>IF('Observaciones-SMP'!L867="","",'Observaciones-SMP'!L867)</f>
        <v/>
      </c>
      <c r="M867" s="193" t="str">
        <f>IF('Observaciones-SMP'!M867="","",'Observaciones-SMP'!M867)</f>
        <v/>
      </c>
      <c r="N867" s="193" t="str">
        <f>IF('Observaciones-SMP'!N867="","",'Observaciones-SMP'!N867)</f>
        <v/>
      </c>
      <c r="O867" s="193" t="str">
        <f>IF('Observaciones-SMP'!O867="","",'Observaciones-SMP'!O867)</f>
        <v/>
      </c>
      <c r="P867" s="193" t="str">
        <f>IF('Observaciones-SMP'!P867="","",'Observaciones-SMP'!P867)</f>
        <v/>
      </c>
      <c r="Q867" s="257" t="str">
        <f>IF('Observaciones-SMP'!S867="","",'Observaciones-SMP'!S867)</f>
        <v/>
      </c>
      <c r="R867" s="193" t="str">
        <f>IF('Observaciones-SMP'!T867="","",'Observaciones-SMP'!T867)</f>
        <v/>
      </c>
      <c r="S867" s="193" t="str">
        <f>""</f>
        <v/>
      </c>
      <c r="T867" s="193" t="str">
        <f>""</f>
        <v/>
      </c>
      <c r="U867" s="193" t="str">
        <f t="shared" si="52"/>
        <v/>
      </c>
      <c r="V867" s="193" t="str">
        <f>""</f>
        <v/>
      </c>
      <c r="W867" s="193" t="str">
        <f>""</f>
        <v/>
      </c>
      <c r="X867" s="258" t="str">
        <f t="shared" si="53"/>
        <v/>
      </c>
      <c r="Y867" s="258" t="str">
        <f t="shared" si="54"/>
        <v/>
      </c>
      <c r="Z867" s="193" t="str">
        <f>IF(A867="","",IF(COUNTIF('Observaciones-SMP'!$A$2:$A$1001,A867)&gt;1,1,0))</f>
        <v/>
      </c>
      <c r="AA867" s="193" t="str">
        <f t="shared" si="55"/>
        <v/>
      </c>
    </row>
    <row r="868" spans="1:27" ht="13.5" customHeight="1" x14ac:dyDescent="0.3">
      <c r="A868" s="193" t="str">
        <f>IF('Observaciones-SMP'!A868="","",'Observaciones-SMP'!A868)</f>
        <v/>
      </c>
      <c r="B868" s="257" t="str">
        <f>IF('Observaciones-SMP'!B868="","",'Observaciones-SMP'!B868)</f>
        <v/>
      </c>
      <c r="C868" s="193" t="str">
        <f>IF('Observaciones-SMP'!C868="","",'Observaciones-SMP'!C868)</f>
        <v/>
      </c>
      <c r="D868" s="193" t="str">
        <f>IF('Observaciones-SMP'!D868="","",'Observaciones-SMP'!D868)</f>
        <v/>
      </c>
      <c r="E868" s="193" t="str">
        <f>IF('Observaciones-SMP'!E868="","",'Observaciones-SMP'!E868)</f>
        <v/>
      </c>
      <c r="F868" s="193" t="str">
        <f>IF('Observaciones-SMP'!F868="","",'Observaciones-SMP'!F868)</f>
        <v/>
      </c>
      <c r="G868" s="193" t="str">
        <f>IF('Observaciones-SMP'!G868="","",'Observaciones-SMP'!G868)</f>
        <v/>
      </c>
      <c r="H868" s="193" t="str">
        <f>IF('Observaciones-SMP'!H868="","",'Observaciones-SMP'!H868)</f>
        <v/>
      </c>
      <c r="I868" s="193" t="str">
        <f>IF('Observaciones-SMP'!I868="","",'Observaciones-SMP'!I868)</f>
        <v/>
      </c>
      <c r="J868" s="193" t="str">
        <f>IF('Observaciones-SMP'!J868="","",'Observaciones-SMP'!J868)</f>
        <v/>
      </c>
      <c r="K868" s="193" t="str">
        <f>IF('Observaciones-SMP'!K868="","",'Observaciones-SMP'!K868)</f>
        <v/>
      </c>
      <c r="L868" s="193" t="str">
        <f>IF('Observaciones-SMP'!L868="","",'Observaciones-SMP'!L868)</f>
        <v/>
      </c>
      <c r="M868" s="193" t="str">
        <f>IF('Observaciones-SMP'!M868="","",'Observaciones-SMP'!M868)</f>
        <v/>
      </c>
      <c r="N868" s="193" t="str">
        <f>IF('Observaciones-SMP'!N868="","",'Observaciones-SMP'!N868)</f>
        <v/>
      </c>
      <c r="O868" s="193" t="str">
        <f>IF('Observaciones-SMP'!O868="","",'Observaciones-SMP'!O868)</f>
        <v/>
      </c>
      <c r="P868" s="193" t="str">
        <f>IF('Observaciones-SMP'!P868="","",'Observaciones-SMP'!P868)</f>
        <v/>
      </c>
      <c r="Q868" s="257" t="str">
        <f>IF('Observaciones-SMP'!S868="","",'Observaciones-SMP'!S868)</f>
        <v/>
      </c>
      <c r="R868" s="193" t="str">
        <f>IF('Observaciones-SMP'!T868="","",'Observaciones-SMP'!T868)</f>
        <v/>
      </c>
      <c r="S868" s="193" t="str">
        <f>""</f>
        <v/>
      </c>
      <c r="T868" s="193" t="str">
        <f>""</f>
        <v/>
      </c>
      <c r="U868" s="193" t="str">
        <f t="shared" si="52"/>
        <v/>
      </c>
      <c r="V868" s="193" t="str">
        <f>""</f>
        <v/>
      </c>
      <c r="W868" s="193" t="str">
        <f>""</f>
        <v/>
      </c>
      <c r="X868" s="258" t="str">
        <f t="shared" si="53"/>
        <v/>
      </c>
      <c r="Y868" s="258" t="str">
        <f t="shared" si="54"/>
        <v/>
      </c>
      <c r="Z868" s="193" t="str">
        <f>IF(A868="","",IF(COUNTIF('Observaciones-SMP'!$A$2:$A$1001,A868)&gt;1,1,0))</f>
        <v/>
      </c>
      <c r="AA868" s="193" t="str">
        <f t="shared" si="55"/>
        <v/>
      </c>
    </row>
    <row r="869" spans="1:27" ht="13.5" customHeight="1" x14ac:dyDescent="0.3">
      <c r="A869" s="193" t="str">
        <f>IF('Observaciones-SMP'!A869="","",'Observaciones-SMP'!A869)</f>
        <v/>
      </c>
      <c r="B869" s="257" t="str">
        <f>IF('Observaciones-SMP'!B869="","",'Observaciones-SMP'!B869)</f>
        <v/>
      </c>
      <c r="C869" s="193" t="str">
        <f>IF('Observaciones-SMP'!C869="","",'Observaciones-SMP'!C869)</f>
        <v/>
      </c>
      <c r="D869" s="193" t="str">
        <f>IF('Observaciones-SMP'!D869="","",'Observaciones-SMP'!D869)</f>
        <v/>
      </c>
      <c r="E869" s="193" t="str">
        <f>IF('Observaciones-SMP'!E869="","",'Observaciones-SMP'!E869)</f>
        <v/>
      </c>
      <c r="F869" s="193" t="str">
        <f>IF('Observaciones-SMP'!F869="","",'Observaciones-SMP'!F869)</f>
        <v/>
      </c>
      <c r="G869" s="193" t="str">
        <f>IF('Observaciones-SMP'!G869="","",'Observaciones-SMP'!G869)</f>
        <v/>
      </c>
      <c r="H869" s="193" t="str">
        <f>IF('Observaciones-SMP'!H869="","",'Observaciones-SMP'!H869)</f>
        <v/>
      </c>
      <c r="I869" s="193" t="str">
        <f>IF('Observaciones-SMP'!I869="","",'Observaciones-SMP'!I869)</f>
        <v/>
      </c>
      <c r="J869" s="193" t="str">
        <f>IF('Observaciones-SMP'!J869="","",'Observaciones-SMP'!J869)</f>
        <v/>
      </c>
      <c r="K869" s="193" t="str">
        <f>IF('Observaciones-SMP'!K869="","",'Observaciones-SMP'!K869)</f>
        <v/>
      </c>
      <c r="L869" s="193" t="str">
        <f>IF('Observaciones-SMP'!L869="","",'Observaciones-SMP'!L869)</f>
        <v/>
      </c>
      <c r="M869" s="193" t="str">
        <f>IF('Observaciones-SMP'!M869="","",'Observaciones-SMP'!M869)</f>
        <v/>
      </c>
      <c r="N869" s="193" t="str">
        <f>IF('Observaciones-SMP'!N869="","",'Observaciones-SMP'!N869)</f>
        <v/>
      </c>
      <c r="O869" s="193" t="str">
        <f>IF('Observaciones-SMP'!O869="","",'Observaciones-SMP'!O869)</f>
        <v/>
      </c>
      <c r="P869" s="193" t="str">
        <f>IF('Observaciones-SMP'!P869="","",'Observaciones-SMP'!P869)</f>
        <v/>
      </c>
      <c r="Q869" s="257" t="str">
        <f>IF('Observaciones-SMP'!S869="","",'Observaciones-SMP'!S869)</f>
        <v/>
      </c>
      <c r="R869" s="193" t="str">
        <f>IF('Observaciones-SMP'!T869="","",'Observaciones-SMP'!T869)</f>
        <v/>
      </c>
      <c r="S869" s="193" t="str">
        <f>""</f>
        <v/>
      </c>
      <c r="T869" s="193" t="str">
        <f>""</f>
        <v/>
      </c>
      <c r="U869" s="193" t="str">
        <f t="shared" si="52"/>
        <v/>
      </c>
      <c r="V869" s="193" t="str">
        <f>""</f>
        <v/>
      </c>
      <c r="W869" s="193" t="str">
        <f>""</f>
        <v/>
      </c>
      <c r="X869" s="258" t="str">
        <f t="shared" si="53"/>
        <v/>
      </c>
      <c r="Y869" s="258" t="str">
        <f t="shared" si="54"/>
        <v/>
      </c>
      <c r="Z869" s="193" t="str">
        <f>IF(A869="","",IF(COUNTIF('Observaciones-SMP'!$A$2:$A$1001,A869)&gt;1,1,0))</f>
        <v/>
      </c>
      <c r="AA869" s="193" t="str">
        <f t="shared" si="55"/>
        <v/>
      </c>
    </row>
    <row r="870" spans="1:27" ht="13.5" customHeight="1" x14ac:dyDescent="0.3">
      <c r="A870" s="193" t="str">
        <f>IF('Observaciones-SMP'!A870="","",'Observaciones-SMP'!A870)</f>
        <v/>
      </c>
      <c r="B870" s="257" t="str">
        <f>IF('Observaciones-SMP'!B870="","",'Observaciones-SMP'!B870)</f>
        <v/>
      </c>
      <c r="C870" s="193" t="str">
        <f>IF('Observaciones-SMP'!C870="","",'Observaciones-SMP'!C870)</f>
        <v/>
      </c>
      <c r="D870" s="193" t="str">
        <f>IF('Observaciones-SMP'!D870="","",'Observaciones-SMP'!D870)</f>
        <v/>
      </c>
      <c r="E870" s="193" t="str">
        <f>IF('Observaciones-SMP'!E870="","",'Observaciones-SMP'!E870)</f>
        <v/>
      </c>
      <c r="F870" s="193" t="str">
        <f>IF('Observaciones-SMP'!F870="","",'Observaciones-SMP'!F870)</f>
        <v/>
      </c>
      <c r="G870" s="193" t="str">
        <f>IF('Observaciones-SMP'!G870="","",'Observaciones-SMP'!G870)</f>
        <v/>
      </c>
      <c r="H870" s="193" t="str">
        <f>IF('Observaciones-SMP'!H870="","",'Observaciones-SMP'!H870)</f>
        <v/>
      </c>
      <c r="I870" s="193" t="str">
        <f>IF('Observaciones-SMP'!I870="","",'Observaciones-SMP'!I870)</f>
        <v/>
      </c>
      <c r="J870" s="193" t="str">
        <f>IF('Observaciones-SMP'!J870="","",'Observaciones-SMP'!J870)</f>
        <v/>
      </c>
      <c r="K870" s="193" t="str">
        <f>IF('Observaciones-SMP'!K870="","",'Observaciones-SMP'!K870)</f>
        <v/>
      </c>
      <c r="L870" s="193" t="str">
        <f>IF('Observaciones-SMP'!L870="","",'Observaciones-SMP'!L870)</f>
        <v/>
      </c>
      <c r="M870" s="193" t="str">
        <f>IF('Observaciones-SMP'!M870="","",'Observaciones-SMP'!M870)</f>
        <v/>
      </c>
      <c r="N870" s="193" t="str">
        <f>IF('Observaciones-SMP'!N870="","",'Observaciones-SMP'!N870)</f>
        <v/>
      </c>
      <c r="O870" s="193" t="str">
        <f>IF('Observaciones-SMP'!O870="","",'Observaciones-SMP'!O870)</f>
        <v/>
      </c>
      <c r="P870" s="193" t="str">
        <f>IF('Observaciones-SMP'!P870="","",'Observaciones-SMP'!P870)</f>
        <v/>
      </c>
      <c r="Q870" s="257" t="str">
        <f>IF('Observaciones-SMP'!S870="","",'Observaciones-SMP'!S870)</f>
        <v/>
      </c>
      <c r="R870" s="193" t="str">
        <f>IF('Observaciones-SMP'!T870="","",'Observaciones-SMP'!T870)</f>
        <v/>
      </c>
      <c r="S870" s="193" t="str">
        <f>""</f>
        <v/>
      </c>
      <c r="T870" s="193" t="str">
        <f>""</f>
        <v/>
      </c>
      <c r="U870" s="193" t="str">
        <f t="shared" si="52"/>
        <v/>
      </c>
      <c r="V870" s="193" t="str">
        <f>""</f>
        <v/>
      </c>
      <c r="W870" s="193" t="str">
        <f>""</f>
        <v/>
      </c>
      <c r="X870" s="258" t="str">
        <f t="shared" si="53"/>
        <v/>
      </c>
      <c r="Y870" s="258" t="str">
        <f t="shared" si="54"/>
        <v/>
      </c>
      <c r="Z870" s="193" t="str">
        <f>IF(A870="","",IF(COUNTIF('Observaciones-SMP'!$A$2:$A$1001,A870)&gt;1,1,0))</f>
        <v/>
      </c>
      <c r="AA870" s="193" t="str">
        <f t="shared" si="55"/>
        <v/>
      </c>
    </row>
    <row r="871" spans="1:27" ht="13.5" customHeight="1" x14ac:dyDescent="0.3">
      <c r="A871" s="193" t="str">
        <f>IF('Observaciones-SMP'!A871="","",'Observaciones-SMP'!A871)</f>
        <v/>
      </c>
      <c r="B871" s="257" t="str">
        <f>IF('Observaciones-SMP'!B871="","",'Observaciones-SMP'!B871)</f>
        <v/>
      </c>
      <c r="C871" s="193" t="str">
        <f>IF('Observaciones-SMP'!C871="","",'Observaciones-SMP'!C871)</f>
        <v/>
      </c>
      <c r="D871" s="193" t="str">
        <f>IF('Observaciones-SMP'!D871="","",'Observaciones-SMP'!D871)</f>
        <v/>
      </c>
      <c r="E871" s="193" t="str">
        <f>IF('Observaciones-SMP'!E871="","",'Observaciones-SMP'!E871)</f>
        <v/>
      </c>
      <c r="F871" s="193" t="str">
        <f>IF('Observaciones-SMP'!F871="","",'Observaciones-SMP'!F871)</f>
        <v/>
      </c>
      <c r="G871" s="193" t="str">
        <f>IF('Observaciones-SMP'!G871="","",'Observaciones-SMP'!G871)</f>
        <v/>
      </c>
      <c r="H871" s="193" t="str">
        <f>IF('Observaciones-SMP'!H871="","",'Observaciones-SMP'!H871)</f>
        <v/>
      </c>
      <c r="I871" s="193" t="str">
        <f>IF('Observaciones-SMP'!I871="","",'Observaciones-SMP'!I871)</f>
        <v/>
      </c>
      <c r="J871" s="193" t="str">
        <f>IF('Observaciones-SMP'!J871="","",'Observaciones-SMP'!J871)</f>
        <v/>
      </c>
      <c r="K871" s="193" t="str">
        <f>IF('Observaciones-SMP'!K871="","",'Observaciones-SMP'!K871)</f>
        <v/>
      </c>
      <c r="L871" s="193" t="str">
        <f>IF('Observaciones-SMP'!L871="","",'Observaciones-SMP'!L871)</f>
        <v/>
      </c>
      <c r="M871" s="193" t="str">
        <f>IF('Observaciones-SMP'!M871="","",'Observaciones-SMP'!M871)</f>
        <v/>
      </c>
      <c r="N871" s="193" t="str">
        <f>IF('Observaciones-SMP'!N871="","",'Observaciones-SMP'!N871)</f>
        <v/>
      </c>
      <c r="O871" s="193" t="str">
        <f>IF('Observaciones-SMP'!O871="","",'Observaciones-SMP'!O871)</f>
        <v/>
      </c>
      <c r="P871" s="193" t="str">
        <f>IF('Observaciones-SMP'!P871="","",'Observaciones-SMP'!P871)</f>
        <v/>
      </c>
      <c r="Q871" s="257" t="str">
        <f>IF('Observaciones-SMP'!S871="","",'Observaciones-SMP'!S871)</f>
        <v/>
      </c>
      <c r="R871" s="193" t="str">
        <f>IF('Observaciones-SMP'!T871="","",'Observaciones-SMP'!T871)</f>
        <v/>
      </c>
      <c r="S871" s="193" t="str">
        <f>""</f>
        <v/>
      </c>
      <c r="T871" s="193" t="str">
        <f>""</f>
        <v/>
      </c>
      <c r="U871" s="193" t="str">
        <f t="shared" si="52"/>
        <v/>
      </c>
      <c r="V871" s="193" t="str">
        <f>""</f>
        <v/>
      </c>
      <c r="W871" s="193" t="str">
        <f>""</f>
        <v/>
      </c>
      <c r="X871" s="258" t="str">
        <f t="shared" si="53"/>
        <v/>
      </c>
      <c r="Y871" s="258" t="str">
        <f t="shared" si="54"/>
        <v/>
      </c>
      <c r="Z871" s="193" t="str">
        <f>IF(A871="","",IF(COUNTIF('Observaciones-SMP'!$A$2:$A$1001,A871)&gt;1,1,0))</f>
        <v/>
      </c>
      <c r="AA871" s="193" t="str">
        <f t="shared" si="55"/>
        <v/>
      </c>
    </row>
    <row r="872" spans="1:27" ht="13.5" customHeight="1" x14ac:dyDescent="0.3">
      <c r="A872" s="193" t="str">
        <f>IF('Observaciones-SMP'!A872="","",'Observaciones-SMP'!A872)</f>
        <v/>
      </c>
      <c r="B872" s="257" t="str">
        <f>IF('Observaciones-SMP'!B872="","",'Observaciones-SMP'!B872)</f>
        <v/>
      </c>
      <c r="C872" s="193" t="str">
        <f>IF('Observaciones-SMP'!C872="","",'Observaciones-SMP'!C872)</f>
        <v/>
      </c>
      <c r="D872" s="193" t="str">
        <f>IF('Observaciones-SMP'!D872="","",'Observaciones-SMP'!D872)</f>
        <v/>
      </c>
      <c r="E872" s="193" t="str">
        <f>IF('Observaciones-SMP'!E872="","",'Observaciones-SMP'!E872)</f>
        <v/>
      </c>
      <c r="F872" s="193" t="str">
        <f>IF('Observaciones-SMP'!F872="","",'Observaciones-SMP'!F872)</f>
        <v/>
      </c>
      <c r="G872" s="193" t="str">
        <f>IF('Observaciones-SMP'!G872="","",'Observaciones-SMP'!G872)</f>
        <v/>
      </c>
      <c r="H872" s="193" t="str">
        <f>IF('Observaciones-SMP'!H872="","",'Observaciones-SMP'!H872)</f>
        <v/>
      </c>
      <c r="I872" s="193" t="str">
        <f>IF('Observaciones-SMP'!I872="","",'Observaciones-SMP'!I872)</f>
        <v/>
      </c>
      <c r="J872" s="193" t="str">
        <f>IF('Observaciones-SMP'!J872="","",'Observaciones-SMP'!J872)</f>
        <v/>
      </c>
      <c r="K872" s="193" t="str">
        <f>IF('Observaciones-SMP'!K872="","",'Observaciones-SMP'!K872)</f>
        <v/>
      </c>
      <c r="L872" s="193" t="str">
        <f>IF('Observaciones-SMP'!L872="","",'Observaciones-SMP'!L872)</f>
        <v/>
      </c>
      <c r="M872" s="193" t="str">
        <f>IF('Observaciones-SMP'!M872="","",'Observaciones-SMP'!M872)</f>
        <v/>
      </c>
      <c r="N872" s="193" t="str">
        <f>IF('Observaciones-SMP'!N872="","",'Observaciones-SMP'!N872)</f>
        <v/>
      </c>
      <c r="O872" s="193" t="str">
        <f>IF('Observaciones-SMP'!O872="","",'Observaciones-SMP'!O872)</f>
        <v/>
      </c>
      <c r="P872" s="193" t="str">
        <f>IF('Observaciones-SMP'!P872="","",'Observaciones-SMP'!P872)</f>
        <v/>
      </c>
      <c r="Q872" s="257" t="str">
        <f>IF('Observaciones-SMP'!S872="","",'Observaciones-SMP'!S872)</f>
        <v/>
      </c>
      <c r="R872" s="193" t="str">
        <f>IF('Observaciones-SMP'!T872="","",'Observaciones-SMP'!T872)</f>
        <v/>
      </c>
      <c r="S872" s="193" t="str">
        <f>""</f>
        <v/>
      </c>
      <c r="T872" s="193" t="str">
        <f>""</f>
        <v/>
      </c>
      <c r="U872" s="193" t="str">
        <f t="shared" si="52"/>
        <v/>
      </c>
      <c r="V872" s="193" t="str">
        <f>""</f>
        <v/>
      </c>
      <c r="W872" s="193" t="str">
        <f>""</f>
        <v/>
      </c>
      <c r="X872" s="258" t="str">
        <f t="shared" si="53"/>
        <v/>
      </c>
      <c r="Y872" s="258" t="str">
        <f t="shared" si="54"/>
        <v/>
      </c>
      <c r="Z872" s="193" t="str">
        <f>IF(A872="","",IF(COUNTIF('Observaciones-SMP'!$A$2:$A$1001,A872)&gt;1,1,0))</f>
        <v/>
      </c>
      <c r="AA872" s="193" t="str">
        <f t="shared" si="55"/>
        <v/>
      </c>
    </row>
    <row r="873" spans="1:27" ht="13.5" customHeight="1" x14ac:dyDescent="0.3">
      <c r="A873" s="193" t="str">
        <f>IF('Observaciones-SMP'!A873="","",'Observaciones-SMP'!A873)</f>
        <v/>
      </c>
      <c r="B873" s="257" t="str">
        <f>IF('Observaciones-SMP'!B873="","",'Observaciones-SMP'!B873)</f>
        <v/>
      </c>
      <c r="C873" s="193" t="str">
        <f>IF('Observaciones-SMP'!C873="","",'Observaciones-SMP'!C873)</f>
        <v/>
      </c>
      <c r="D873" s="193" t="str">
        <f>IF('Observaciones-SMP'!D873="","",'Observaciones-SMP'!D873)</f>
        <v/>
      </c>
      <c r="E873" s="193" t="str">
        <f>IF('Observaciones-SMP'!E873="","",'Observaciones-SMP'!E873)</f>
        <v/>
      </c>
      <c r="F873" s="193" t="str">
        <f>IF('Observaciones-SMP'!F873="","",'Observaciones-SMP'!F873)</f>
        <v/>
      </c>
      <c r="G873" s="193" t="str">
        <f>IF('Observaciones-SMP'!G873="","",'Observaciones-SMP'!G873)</f>
        <v/>
      </c>
      <c r="H873" s="193" t="str">
        <f>IF('Observaciones-SMP'!H873="","",'Observaciones-SMP'!H873)</f>
        <v/>
      </c>
      <c r="I873" s="193" t="str">
        <f>IF('Observaciones-SMP'!I873="","",'Observaciones-SMP'!I873)</f>
        <v/>
      </c>
      <c r="J873" s="193" t="str">
        <f>IF('Observaciones-SMP'!J873="","",'Observaciones-SMP'!J873)</f>
        <v/>
      </c>
      <c r="K873" s="193" t="str">
        <f>IF('Observaciones-SMP'!K873="","",'Observaciones-SMP'!K873)</f>
        <v/>
      </c>
      <c r="L873" s="193" t="str">
        <f>IF('Observaciones-SMP'!L873="","",'Observaciones-SMP'!L873)</f>
        <v/>
      </c>
      <c r="M873" s="193" t="str">
        <f>IF('Observaciones-SMP'!M873="","",'Observaciones-SMP'!M873)</f>
        <v/>
      </c>
      <c r="N873" s="193" t="str">
        <f>IF('Observaciones-SMP'!N873="","",'Observaciones-SMP'!N873)</f>
        <v/>
      </c>
      <c r="O873" s="193" t="str">
        <f>IF('Observaciones-SMP'!O873="","",'Observaciones-SMP'!O873)</f>
        <v/>
      </c>
      <c r="P873" s="193" t="str">
        <f>IF('Observaciones-SMP'!P873="","",'Observaciones-SMP'!P873)</f>
        <v/>
      </c>
      <c r="Q873" s="257" t="str">
        <f>IF('Observaciones-SMP'!S873="","",'Observaciones-SMP'!S873)</f>
        <v/>
      </c>
      <c r="R873" s="193" t="str">
        <f>IF('Observaciones-SMP'!T873="","",'Observaciones-SMP'!T873)</f>
        <v/>
      </c>
      <c r="S873" s="193" t="str">
        <f>""</f>
        <v/>
      </c>
      <c r="T873" s="193" t="str">
        <f>""</f>
        <v/>
      </c>
      <c r="U873" s="193" t="str">
        <f t="shared" si="52"/>
        <v/>
      </c>
      <c r="V873" s="193" t="str">
        <f>""</f>
        <v/>
      </c>
      <c r="W873" s="193" t="str">
        <f>""</f>
        <v/>
      </c>
      <c r="X873" s="258" t="str">
        <f t="shared" si="53"/>
        <v/>
      </c>
      <c r="Y873" s="258" t="str">
        <f t="shared" si="54"/>
        <v/>
      </c>
      <c r="Z873" s="193" t="str">
        <f>IF(A873="","",IF(COUNTIF('Observaciones-SMP'!$A$2:$A$1001,A873)&gt;1,1,0))</f>
        <v/>
      </c>
      <c r="AA873" s="193" t="str">
        <f t="shared" si="55"/>
        <v/>
      </c>
    </row>
    <row r="874" spans="1:27" ht="13.5" customHeight="1" x14ac:dyDescent="0.3">
      <c r="A874" s="193" t="str">
        <f>IF('Observaciones-SMP'!A874="","",'Observaciones-SMP'!A874)</f>
        <v/>
      </c>
      <c r="B874" s="257" t="str">
        <f>IF('Observaciones-SMP'!B874="","",'Observaciones-SMP'!B874)</f>
        <v/>
      </c>
      <c r="C874" s="193" t="str">
        <f>IF('Observaciones-SMP'!C874="","",'Observaciones-SMP'!C874)</f>
        <v/>
      </c>
      <c r="D874" s="193" t="str">
        <f>IF('Observaciones-SMP'!D874="","",'Observaciones-SMP'!D874)</f>
        <v/>
      </c>
      <c r="E874" s="193" t="str">
        <f>IF('Observaciones-SMP'!E874="","",'Observaciones-SMP'!E874)</f>
        <v/>
      </c>
      <c r="F874" s="193" t="str">
        <f>IF('Observaciones-SMP'!F874="","",'Observaciones-SMP'!F874)</f>
        <v/>
      </c>
      <c r="G874" s="193" t="str">
        <f>IF('Observaciones-SMP'!G874="","",'Observaciones-SMP'!G874)</f>
        <v/>
      </c>
      <c r="H874" s="193" t="str">
        <f>IF('Observaciones-SMP'!H874="","",'Observaciones-SMP'!H874)</f>
        <v/>
      </c>
      <c r="I874" s="193" t="str">
        <f>IF('Observaciones-SMP'!I874="","",'Observaciones-SMP'!I874)</f>
        <v/>
      </c>
      <c r="J874" s="193" t="str">
        <f>IF('Observaciones-SMP'!J874="","",'Observaciones-SMP'!J874)</f>
        <v/>
      </c>
      <c r="K874" s="193" t="str">
        <f>IF('Observaciones-SMP'!K874="","",'Observaciones-SMP'!K874)</f>
        <v/>
      </c>
      <c r="L874" s="193" t="str">
        <f>IF('Observaciones-SMP'!L874="","",'Observaciones-SMP'!L874)</f>
        <v/>
      </c>
      <c r="M874" s="193" t="str">
        <f>IF('Observaciones-SMP'!M874="","",'Observaciones-SMP'!M874)</f>
        <v/>
      </c>
      <c r="N874" s="193" t="str">
        <f>IF('Observaciones-SMP'!N874="","",'Observaciones-SMP'!N874)</f>
        <v/>
      </c>
      <c r="O874" s="193" t="str">
        <f>IF('Observaciones-SMP'!O874="","",'Observaciones-SMP'!O874)</f>
        <v/>
      </c>
      <c r="P874" s="193" t="str">
        <f>IF('Observaciones-SMP'!P874="","",'Observaciones-SMP'!P874)</f>
        <v/>
      </c>
      <c r="Q874" s="257" t="str">
        <f>IF('Observaciones-SMP'!S874="","",'Observaciones-SMP'!S874)</f>
        <v/>
      </c>
      <c r="R874" s="193" t="str">
        <f>IF('Observaciones-SMP'!T874="","",'Observaciones-SMP'!T874)</f>
        <v/>
      </c>
      <c r="S874" s="193" t="str">
        <f>""</f>
        <v/>
      </c>
      <c r="T874" s="193" t="str">
        <f>""</f>
        <v/>
      </c>
      <c r="U874" s="193" t="str">
        <f t="shared" si="52"/>
        <v/>
      </c>
      <c r="V874" s="193" t="str">
        <f>""</f>
        <v/>
      </c>
      <c r="W874" s="193" t="str">
        <f>""</f>
        <v/>
      </c>
      <c r="X874" s="258" t="str">
        <f t="shared" si="53"/>
        <v/>
      </c>
      <c r="Y874" s="258" t="str">
        <f t="shared" si="54"/>
        <v/>
      </c>
      <c r="Z874" s="193" t="str">
        <f>IF(A874="","",IF(COUNTIF('Observaciones-SMP'!$A$2:$A$1001,A874)&gt;1,1,0))</f>
        <v/>
      </c>
      <c r="AA874" s="193" t="str">
        <f t="shared" si="55"/>
        <v/>
      </c>
    </row>
    <row r="875" spans="1:27" ht="13.5" customHeight="1" x14ac:dyDescent="0.3">
      <c r="A875" s="193" t="str">
        <f>IF('Observaciones-SMP'!A875="","",'Observaciones-SMP'!A875)</f>
        <v/>
      </c>
      <c r="B875" s="257" t="str">
        <f>IF('Observaciones-SMP'!B875="","",'Observaciones-SMP'!B875)</f>
        <v/>
      </c>
      <c r="C875" s="193" t="str">
        <f>IF('Observaciones-SMP'!C875="","",'Observaciones-SMP'!C875)</f>
        <v/>
      </c>
      <c r="D875" s="193" t="str">
        <f>IF('Observaciones-SMP'!D875="","",'Observaciones-SMP'!D875)</f>
        <v/>
      </c>
      <c r="E875" s="193" t="str">
        <f>IF('Observaciones-SMP'!E875="","",'Observaciones-SMP'!E875)</f>
        <v/>
      </c>
      <c r="F875" s="193" t="str">
        <f>IF('Observaciones-SMP'!F875="","",'Observaciones-SMP'!F875)</f>
        <v/>
      </c>
      <c r="G875" s="193" t="str">
        <f>IF('Observaciones-SMP'!G875="","",'Observaciones-SMP'!G875)</f>
        <v/>
      </c>
      <c r="H875" s="193" t="str">
        <f>IF('Observaciones-SMP'!H875="","",'Observaciones-SMP'!H875)</f>
        <v/>
      </c>
      <c r="I875" s="193" t="str">
        <f>IF('Observaciones-SMP'!I875="","",'Observaciones-SMP'!I875)</f>
        <v/>
      </c>
      <c r="J875" s="193" t="str">
        <f>IF('Observaciones-SMP'!J875="","",'Observaciones-SMP'!J875)</f>
        <v/>
      </c>
      <c r="K875" s="193" t="str">
        <f>IF('Observaciones-SMP'!K875="","",'Observaciones-SMP'!K875)</f>
        <v/>
      </c>
      <c r="L875" s="193" t="str">
        <f>IF('Observaciones-SMP'!L875="","",'Observaciones-SMP'!L875)</f>
        <v/>
      </c>
      <c r="M875" s="193" t="str">
        <f>IF('Observaciones-SMP'!M875="","",'Observaciones-SMP'!M875)</f>
        <v/>
      </c>
      <c r="N875" s="193" t="str">
        <f>IF('Observaciones-SMP'!N875="","",'Observaciones-SMP'!N875)</f>
        <v/>
      </c>
      <c r="O875" s="193" t="str">
        <f>IF('Observaciones-SMP'!O875="","",'Observaciones-SMP'!O875)</f>
        <v/>
      </c>
      <c r="P875" s="193" t="str">
        <f>IF('Observaciones-SMP'!P875="","",'Observaciones-SMP'!P875)</f>
        <v/>
      </c>
      <c r="Q875" s="257" t="str">
        <f>IF('Observaciones-SMP'!S875="","",'Observaciones-SMP'!S875)</f>
        <v/>
      </c>
      <c r="R875" s="193" t="str">
        <f>IF('Observaciones-SMP'!T875="","",'Observaciones-SMP'!T875)</f>
        <v/>
      </c>
      <c r="S875" s="193" t="str">
        <f>""</f>
        <v/>
      </c>
      <c r="T875" s="193" t="str">
        <f>""</f>
        <v/>
      </c>
      <c r="U875" s="193" t="str">
        <f t="shared" si="52"/>
        <v/>
      </c>
      <c r="V875" s="193" t="str">
        <f>""</f>
        <v/>
      </c>
      <c r="W875" s="193" t="str">
        <f>""</f>
        <v/>
      </c>
      <c r="X875" s="258" t="str">
        <f t="shared" si="53"/>
        <v/>
      </c>
      <c r="Y875" s="258" t="str">
        <f t="shared" si="54"/>
        <v/>
      </c>
      <c r="Z875" s="193" t="str">
        <f>IF(A875="","",IF(COUNTIF('Observaciones-SMP'!$A$2:$A$1001,A875)&gt;1,1,0))</f>
        <v/>
      </c>
      <c r="AA875" s="193" t="str">
        <f t="shared" si="55"/>
        <v/>
      </c>
    </row>
    <row r="876" spans="1:27" ht="13.5" customHeight="1" x14ac:dyDescent="0.3">
      <c r="A876" s="193" t="str">
        <f>IF('Observaciones-SMP'!A876="","",'Observaciones-SMP'!A876)</f>
        <v/>
      </c>
      <c r="B876" s="257" t="str">
        <f>IF('Observaciones-SMP'!B876="","",'Observaciones-SMP'!B876)</f>
        <v/>
      </c>
      <c r="C876" s="193" t="str">
        <f>IF('Observaciones-SMP'!C876="","",'Observaciones-SMP'!C876)</f>
        <v/>
      </c>
      <c r="D876" s="193" t="str">
        <f>IF('Observaciones-SMP'!D876="","",'Observaciones-SMP'!D876)</f>
        <v/>
      </c>
      <c r="E876" s="193" t="str">
        <f>IF('Observaciones-SMP'!E876="","",'Observaciones-SMP'!E876)</f>
        <v/>
      </c>
      <c r="F876" s="193" t="str">
        <f>IF('Observaciones-SMP'!F876="","",'Observaciones-SMP'!F876)</f>
        <v/>
      </c>
      <c r="G876" s="193" t="str">
        <f>IF('Observaciones-SMP'!G876="","",'Observaciones-SMP'!G876)</f>
        <v/>
      </c>
      <c r="H876" s="193" t="str">
        <f>IF('Observaciones-SMP'!H876="","",'Observaciones-SMP'!H876)</f>
        <v/>
      </c>
      <c r="I876" s="193" t="str">
        <f>IF('Observaciones-SMP'!I876="","",'Observaciones-SMP'!I876)</f>
        <v/>
      </c>
      <c r="J876" s="193" t="str">
        <f>IF('Observaciones-SMP'!J876="","",'Observaciones-SMP'!J876)</f>
        <v/>
      </c>
      <c r="K876" s="193" t="str">
        <f>IF('Observaciones-SMP'!K876="","",'Observaciones-SMP'!K876)</f>
        <v/>
      </c>
      <c r="L876" s="193" t="str">
        <f>IF('Observaciones-SMP'!L876="","",'Observaciones-SMP'!L876)</f>
        <v/>
      </c>
      <c r="M876" s="193" t="str">
        <f>IF('Observaciones-SMP'!M876="","",'Observaciones-SMP'!M876)</f>
        <v/>
      </c>
      <c r="N876" s="193" t="str">
        <f>IF('Observaciones-SMP'!N876="","",'Observaciones-SMP'!N876)</f>
        <v/>
      </c>
      <c r="O876" s="193" t="str">
        <f>IF('Observaciones-SMP'!O876="","",'Observaciones-SMP'!O876)</f>
        <v/>
      </c>
      <c r="P876" s="193" t="str">
        <f>IF('Observaciones-SMP'!P876="","",'Observaciones-SMP'!P876)</f>
        <v/>
      </c>
      <c r="Q876" s="257" t="str">
        <f>IF('Observaciones-SMP'!S876="","",'Observaciones-SMP'!S876)</f>
        <v/>
      </c>
      <c r="R876" s="193" t="str">
        <f>IF('Observaciones-SMP'!T876="","",'Observaciones-SMP'!T876)</f>
        <v/>
      </c>
      <c r="S876" s="193" t="str">
        <f>""</f>
        <v/>
      </c>
      <c r="T876" s="193" t="str">
        <f>""</f>
        <v/>
      </c>
      <c r="U876" s="193" t="str">
        <f t="shared" si="52"/>
        <v/>
      </c>
      <c r="V876" s="193" t="str">
        <f>""</f>
        <v/>
      </c>
      <c r="W876" s="193" t="str">
        <f>""</f>
        <v/>
      </c>
      <c r="X876" s="258" t="str">
        <f t="shared" si="53"/>
        <v/>
      </c>
      <c r="Y876" s="258" t="str">
        <f t="shared" si="54"/>
        <v/>
      </c>
      <c r="Z876" s="193" t="str">
        <f>IF(A876="","",IF(COUNTIF('Observaciones-SMP'!$A$2:$A$1001,A876)&gt;1,1,0))</f>
        <v/>
      </c>
      <c r="AA876" s="193" t="str">
        <f t="shared" si="55"/>
        <v/>
      </c>
    </row>
    <row r="877" spans="1:27" ht="13.5" customHeight="1" x14ac:dyDescent="0.3">
      <c r="A877" s="193" t="str">
        <f>IF('Observaciones-SMP'!A877="","",'Observaciones-SMP'!A877)</f>
        <v/>
      </c>
      <c r="B877" s="257" t="str">
        <f>IF('Observaciones-SMP'!B877="","",'Observaciones-SMP'!B877)</f>
        <v/>
      </c>
      <c r="C877" s="193" t="str">
        <f>IF('Observaciones-SMP'!C877="","",'Observaciones-SMP'!C877)</f>
        <v/>
      </c>
      <c r="D877" s="193" t="str">
        <f>IF('Observaciones-SMP'!D877="","",'Observaciones-SMP'!D877)</f>
        <v/>
      </c>
      <c r="E877" s="193" t="str">
        <f>IF('Observaciones-SMP'!E877="","",'Observaciones-SMP'!E877)</f>
        <v/>
      </c>
      <c r="F877" s="193" t="str">
        <f>IF('Observaciones-SMP'!F877="","",'Observaciones-SMP'!F877)</f>
        <v/>
      </c>
      <c r="G877" s="193" t="str">
        <f>IF('Observaciones-SMP'!G877="","",'Observaciones-SMP'!G877)</f>
        <v/>
      </c>
      <c r="H877" s="193" t="str">
        <f>IF('Observaciones-SMP'!H877="","",'Observaciones-SMP'!H877)</f>
        <v/>
      </c>
      <c r="I877" s="193" t="str">
        <f>IF('Observaciones-SMP'!I877="","",'Observaciones-SMP'!I877)</f>
        <v/>
      </c>
      <c r="J877" s="193" t="str">
        <f>IF('Observaciones-SMP'!J877="","",'Observaciones-SMP'!J877)</f>
        <v/>
      </c>
      <c r="K877" s="193" t="str">
        <f>IF('Observaciones-SMP'!K877="","",'Observaciones-SMP'!K877)</f>
        <v/>
      </c>
      <c r="L877" s="193" t="str">
        <f>IF('Observaciones-SMP'!L877="","",'Observaciones-SMP'!L877)</f>
        <v/>
      </c>
      <c r="M877" s="193" t="str">
        <f>IF('Observaciones-SMP'!M877="","",'Observaciones-SMP'!M877)</f>
        <v/>
      </c>
      <c r="N877" s="193" t="str">
        <f>IF('Observaciones-SMP'!N877="","",'Observaciones-SMP'!N877)</f>
        <v/>
      </c>
      <c r="O877" s="193" t="str">
        <f>IF('Observaciones-SMP'!O877="","",'Observaciones-SMP'!O877)</f>
        <v/>
      </c>
      <c r="P877" s="193" t="str">
        <f>IF('Observaciones-SMP'!P877="","",'Observaciones-SMP'!P877)</f>
        <v/>
      </c>
      <c r="Q877" s="257" t="str">
        <f>IF('Observaciones-SMP'!S877="","",'Observaciones-SMP'!S877)</f>
        <v/>
      </c>
      <c r="R877" s="193" t="str">
        <f>IF('Observaciones-SMP'!T877="","",'Observaciones-SMP'!T877)</f>
        <v/>
      </c>
      <c r="S877" s="193" t="str">
        <f>""</f>
        <v/>
      </c>
      <c r="T877" s="193" t="str">
        <f>""</f>
        <v/>
      </c>
      <c r="U877" s="193" t="str">
        <f t="shared" si="52"/>
        <v/>
      </c>
      <c r="V877" s="193" t="str">
        <f>""</f>
        <v/>
      </c>
      <c r="W877" s="193" t="str">
        <f>""</f>
        <v/>
      </c>
      <c r="X877" s="258" t="str">
        <f t="shared" si="53"/>
        <v/>
      </c>
      <c r="Y877" s="258" t="str">
        <f t="shared" si="54"/>
        <v/>
      </c>
      <c r="Z877" s="193" t="str">
        <f>IF(A877="","",IF(COUNTIF('Observaciones-SMP'!$A$2:$A$1001,A877)&gt;1,1,0))</f>
        <v/>
      </c>
      <c r="AA877" s="193" t="str">
        <f t="shared" si="55"/>
        <v/>
      </c>
    </row>
    <row r="878" spans="1:27" ht="13.5" customHeight="1" x14ac:dyDescent="0.3">
      <c r="A878" s="193" t="str">
        <f>IF('Observaciones-SMP'!A878="","",'Observaciones-SMP'!A878)</f>
        <v/>
      </c>
      <c r="B878" s="257" t="str">
        <f>IF('Observaciones-SMP'!B878="","",'Observaciones-SMP'!B878)</f>
        <v/>
      </c>
      <c r="C878" s="193" t="str">
        <f>IF('Observaciones-SMP'!C878="","",'Observaciones-SMP'!C878)</f>
        <v/>
      </c>
      <c r="D878" s="193" t="str">
        <f>IF('Observaciones-SMP'!D878="","",'Observaciones-SMP'!D878)</f>
        <v/>
      </c>
      <c r="E878" s="193" t="str">
        <f>IF('Observaciones-SMP'!E878="","",'Observaciones-SMP'!E878)</f>
        <v/>
      </c>
      <c r="F878" s="193" t="str">
        <f>IF('Observaciones-SMP'!F878="","",'Observaciones-SMP'!F878)</f>
        <v/>
      </c>
      <c r="G878" s="193" t="str">
        <f>IF('Observaciones-SMP'!G878="","",'Observaciones-SMP'!G878)</f>
        <v/>
      </c>
      <c r="H878" s="193" t="str">
        <f>IF('Observaciones-SMP'!H878="","",'Observaciones-SMP'!H878)</f>
        <v/>
      </c>
      <c r="I878" s="193" t="str">
        <f>IF('Observaciones-SMP'!I878="","",'Observaciones-SMP'!I878)</f>
        <v/>
      </c>
      <c r="J878" s="193" t="str">
        <f>IF('Observaciones-SMP'!J878="","",'Observaciones-SMP'!J878)</f>
        <v/>
      </c>
      <c r="K878" s="193" t="str">
        <f>IF('Observaciones-SMP'!K878="","",'Observaciones-SMP'!K878)</f>
        <v/>
      </c>
      <c r="L878" s="193" t="str">
        <f>IF('Observaciones-SMP'!L878="","",'Observaciones-SMP'!L878)</f>
        <v/>
      </c>
      <c r="M878" s="193" t="str">
        <f>IF('Observaciones-SMP'!M878="","",'Observaciones-SMP'!M878)</f>
        <v/>
      </c>
      <c r="N878" s="193" t="str">
        <f>IF('Observaciones-SMP'!N878="","",'Observaciones-SMP'!N878)</f>
        <v/>
      </c>
      <c r="O878" s="193" t="str">
        <f>IF('Observaciones-SMP'!O878="","",'Observaciones-SMP'!O878)</f>
        <v/>
      </c>
      <c r="P878" s="193" t="str">
        <f>IF('Observaciones-SMP'!P878="","",'Observaciones-SMP'!P878)</f>
        <v/>
      </c>
      <c r="Q878" s="257" t="str">
        <f>IF('Observaciones-SMP'!S878="","",'Observaciones-SMP'!S878)</f>
        <v/>
      </c>
      <c r="R878" s="193" t="str">
        <f>IF('Observaciones-SMP'!T878="","",'Observaciones-SMP'!T878)</f>
        <v/>
      </c>
      <c r="S878" s="193" t="str">
        <f>""</f>
        <v/>
      </c>
      <c r="T878" s="193" t="str">
        <f>""</f>
        <v/>
      </c>
      <c r="U878" s="193" t="str">
        <f t="shared" si="52"/>
        <v/>
      </c>
      <c r="V878" s="193" t="str">
        <f>""</f>
        <v/>
      </c>
      <c r="W878" s="193" t="str">
        <f>""</f>
        <v/>
      </c>
      <c r="X878" s="258" t="str">
        <f t="shared" si="53"/>
        <v/>
      </c>
      <c r="Y878" s="258" t="str">
        <f t="shared" si="54"/>
        <v/>
      </c>
      <c r="Z878" s="193" t="str">
        <f>IF(A878="","",IF(COUNTIF('Observaciones-SMP'!$A$2:$A$1001,A878)&gt;1,1,0))</f>
        <v/>
      </c>
      <c r="AA878" s="193" t="str">
        <f t="shared" si="55"/>
        <v/>
      </c>
    </row>
    <row r="879" spans="1:27" ht="13.5" customHeight="1" x14ac:dyDescent="0.3">
      <c r="A879" s="193" t="str">
        <f>IF('Observaciones-SMP'!A879="","",'Observaciones-SMP'!A879)</f>
        <v/>
      </c>
      <c r="B879" s="257" t="str">
        <f>IF('Observaciones-SMP'!B879="","",'Observaciones-SMP'!B879)</f>
        <v/>
      </c>
      <c r="C879" s="193" t="str">
        <f>IF('Observaciones-SMP'!C879="","",'Observaciones-SMP'!C879)</f>
        <v/>
      </c>
      <c r="D879" s="193" t="str">
        <f>IF('Observaciones-SMP'!D879="","",'Observaciones-SMP'!D879)</f>
        <v/>
      </c>
      <c r="E879" s="193" t="str">
        <f>IF('Observaciones-SMP'!E879="","",'Observaciones-SMP'!E879)</f>
        <v/>
      </c>
      <c r="F879" s="193" t="str">
        <f>IF('Observaciones-SMP'!F879="","",'Observaciones-SMP'!F879)</f>
        <v/>
      </c>
      <c r="G879" s="193" t="str">
        <f>IF('Observaciones-SMP'!G879="","",'Observaciones-SMP'!G879)</f>
        <v/>
      </c>
      <c r="H879" s="193" t="str">
        <f>IF('Observaciones-SMP'!H879="","",'Observaciones-SMP'!H879)</f>
        <v/>
      </c>
      <c r="I879" s="193" t="str">
        <f>IF('Observaciones-SMP'!I879="","",'Observaciones-SMP'!I879)</f>
        <v/>
      </c>
      <c r="J879" s="193" t="str">
        <f>IF('Observaciones-SMP'!J879="","",'Observaciones-SMP'!J879)</f>
        <v/>
      </c>
      <c r="K879" s="193" t="str">
        <f>IF('Observaciones-SMP'!K879="","",'Observaciones-SMP'!K879)</f>
        <v/>
      </c>
      <c r="L879" s="193" t="str">
        <f>IF('Observaciones-SMP'!L879="","",'Observaciones-SMP'!L879)</f>
        <v/>
      </c>
      <c r="M879" s="193" t="str">
        <f>IF('Observaciones-SMP'!M879="","",'Observaciones-SMP'!M879)</f>
        <v/>
      </c>
      <c r="N879" s="193" t="str">
        <f>IF('Observaciones-SMP'!N879="","",'Observaciones-SMP'!N879)</f>
        <v/>
      </c>
      <c r="O879" s="193" t="str">
        <f>IF('Observaciones-SMP'!O879="","",'Observaciones-SMP'!O879)</f>
        <v/>
      </c>
      <c r="P879" s="193" t="str">
        <f>IF('Observaciones-SMP'!P879="","",'Observaciones-SMP'!P879)</f>
        <v/>
      </c>
      <c r="Q879" s="257" t="str">
        <f>IF('Observaciones-SMP'!S879="","",'Observaciones-SMP'!S879)</f>
        <v/>
      </c>
      <c r="R879" s="193" t="str">
        <f>IF('Observaciones-SMP'!T879="","",'Observaciones-SMP'!T879)</f>
        <v/>
      </c>
      <c r="S879" s="193" t="str">
        <f>""</f>
        <v/>
      </c>
      <c r="T879" s="193" t="str">
        <f>""</f>
        <v/>
      </c>
      <c r="U879" s="193" t="str">
        <f t="shared" si="52"/>
        <v/>
      </c>
      <c r="V879" s="193" t="str">
        <f>""</f>
        <v/>
      </c>
      <c r="W879" s="193" t="str">
        <f>""</f>
        <v/>
      </c>
      <c r="X879" s="258" t="str">
        <f t="shared" si="53"/>
        <v/>
      </c>
      <c r="Y879" s="258" t="str">
        <f t="shared" si="54"/>
        <v/>
      </c>
      <c r="Z879" s="193" t="str">
        <f>IF(A879="","",IF(COUNTIF('Observaciones-SMP'!$A$2:$A$1001,A879)&gt;1,1,0))</f>
        <v/>
      </c>
      <c r="AA879" s="193" t="str">
        <f t="shared" si="55"/>
        <v/>
      </c>
    </row>
    <row r="880" spans="1:27" ht="13.5" customHeight="1" x14ac:dyDescent="0.3">
      <c r="A880" s="193" t="str">
        <f>IF('Observaciones-SMP'!A880="","",'Observaciones-SMP'!A880)</f>
        <v/>
      </c>
      <c r="B880" s="257" t="str">
        <f>IF('Observaciones-SMP'!B880="","",'Observaciones-SMP'!B880)</f>
        <v/>
      </c>
      <c r="C880" s="193" t="str">
        <f>IF('Observaciones-SMP'!C880="","",'Observaciones-SMP'!C880)</f>
        <v/>
      </c>
      <c r="D880" s="193" t="str">
        <f>IF('Observaciones-SMP'!D880="","",'Observaciones-SMP'!D880)</f>
        <v/>
      </c>
      <c r="E880" s="193" t="str">
        <f>IF('Observaciones-SMP'!E880="","",'Observaciones-SMP'!E880)</f>
        <v/>
      </c>
      <c r="F880" s="193" t="str">
        <f>IF('Observaciones-SMP'!F880="","",'Observaciones-SMP'!F880)</f>
        <v/>
      </c>
      <c r="G880" s="193" t="str">
        <f>IF('Observaciones-SMP'!G880="","",'Observaciones-SMP'!G880)</f>
        <v/>
      </c>
      <c r="H880" s="193" t="str">
        <f>IF('Observaciones-SMP'!H880="","",'Observaciones-SMP'!H880)</f>
        <v/>
      </c>
      <c r="I880" s="193" t="str">
        <f>IF('Observaciones-SMP'!I880="","",'Observaciones-SMP'!I880)</f>
        <v/>
      </c>
      <c r="J880" s="193" t="str">
        <f>IF('Observaciones-SMP'!J880="","",'Observaciones-SMP'!J880)</f>
        <v/>
      </c>
      <c r="K880" s="193" t="str">
        <f>IF('Observaciones-SMP'!K880="","",'Observaciones-SMP'!K880)</f>
        <v/>
      </c>
      <c r="L880" s="193" t="str">
        <f>IF('Observaciones-SMP'!L880="","",'Observaciones-SMP'!L880)</f>
        <v/>
      </c>
      <c r="M880" s="193" t="str">
        <f>IF('Observaciones-SMP'!M880="","",'Observaciones-SMP'!M880)</f>
        <v/>
      </c>
      <c r="N880" s="193" t="str">
        <f>IF('Observaciones-SMP'!N880="","",'Observaciones-SMP'!N880)</f>
        <v/>
      </c>
      <c r="O880" s="193" t="str">
        <f>IF('Observaciones-SMP'!O880="","",'Observaciones-SMP'!O880)</f>
        <v/>
      </c>
      <c r="P880" s="193" t="str">
        <f>IF('Observaciones-SMP'!P880="","",'Observaciones-SMP'!P880)</f>
        <v/>
      </c>
      <c r="Q880" s="257" t="str">
        <f>IF('Observaciones-SMP'!S880="","",'Observaciones-SMP'!S880)</f>
        <v/>
      </c>
      <c r="R880" s="193" t="str">
        <f>IF('Observaciones-SMP'!T880="","",'Observaciones-SMP'!T880)</f>
        <v/>
      </c>
      <c r="S880" s="193" t="str">
        <f>""</f>
        <v/>
      </c>
      <c r="T880" s="193" t="str">
        <f>""</f>
        <v/>
      </c>
      <c r="U880" s="193" t="str">
        <f t="shared" si="52"/>
        <v/>
      </c>
      <c r="V880" s="193" t="str">
        <f>""</f>
        <v/>
      </c>
      <c r="W880" s="193" t="str">
        <f>""</f>
        <v/>
      </c>
      <c r="X880" s="258" t="str">
        <f t="shared" si="53"/>
        <v/>
      </c>
      <c r="Y880" s="258" t="str">
        <f t="shared" si="54"/>
        <v/>
      </c>
      <c r="Z880" s="193" t="str">
        <f>IF(A880="","",IF(COUNTIF('Observaciones-SMP'!$A$2:$A$1001,A880)&gt;1,1,0))</f>
        <v/>
      </c>
      <c r="AA880" s="193" t="str">
        <f t="shared" si="55"/>
        <v/>
      </c>
    </row>
    <row r="881" spans="1:27" ht="13.5" customHeight="1" x14ac:dyDescent="0.3">
      <c r="A881" s="193" t="str">
        <f>IF('Observaciones-SMP'!A881="","",'Observaciones-SMP'!A881)</f>
        <v/>
      </c>
      <c r="B881" s="257" t="str">
        <f>IF('Observaciones-SMP'!B881="","",'Observaciones-SMP'!B881)</f>
        <v/>
      </c>
      <c r="C881" s="193" t="str">
        <f>IF('Observaciones-SMP'!C881="","",'Observaciones-SMP'!C881)</f>
        <v/>
      </c>
      <c r="D881" s="193" t="str">
        <f>IF('Observaciones-SMP'!D881="","",'Observaciones-SMP'!D881)</f>
        <v/>
      </c>
      <c r="E881" s="193" t="str">
        <f>IF('Observaciones-SMP'!E881="","",'Observaciones-SMP'!E881)</f>
        <v/>
      </c>
      <c r="F881" s="193" t="str">
        <f>IF('Observaciones-SMP'!F881="","",'Observaciones-SMP'!F881)</f>
        <v/>
      </c>
      <c r="G881" s="193" t="str">
        <f>IF('Observaciones-SMP'!G881="","",'Observaciones-SMP'!G881)</f>
        <v/>
      </c>
      <c r="H881" s="193" t="str">
        <f>IF('Observaciones-SMP'!H881="","",'Observaciones-SMP'!H881)</f>
        <v/>
      </c>
      <c r="I881" s="193" t="str">
        <f>IF('Observaciones-SMP'!I881="","",'Observaciones-SMP'!I881)</f>
        <v/>
      </c>
      <c r="J881" s="193" t="str">
        <f>IF('Observaciones-SMP'!J881="","",'Observaciones-SMP'!J881)</f>
        <v/>
      </c>
      <c r="K881" s="193" t="str">
        <f>IF('Observaciones-SMP'!K881="","",'Observaciones-SMP'!K881)</f>
        <v/>
      </c>
      <c r="L881" s="193" t="str">
        <f>IF('Observaciones-SMP'!L881="","",'Observaciones-SMP'!L881)</f>
        <v/>
      </c>
      <c r="M881" s="193" t="str">
        <f>IF('Observaciones-SMP'!M881="","",'Observaciones-SMP'!M881)</f>
        <v/>
      </c>
      <c r="N881" s="193" t="str">
        <f>IF('Observaciones-SMP'!N881="","",'Observaciones-SMP'!N881)</f>
        <v/>
      </c>
      <c r="O881" s="193" t="str">
        <f>IF('Observaciones-SMP'!O881="","",'Observaciones-SMP'!O881)</f>
        <v/>
      </c>
      <c r="P881" s="193" t="str">
        <f>IF('Observaciones-SMP'!P881="","",'Observaciones-SMP'!P881)</f>
        <v/>
      </c>
      <c r="Q881" s="257" t="str">
        <f>IF('Observaciones-SMP'!S881="","",'Observaciones-SMP'!S881)</f>
        <v/>
      </c>
      <c r="R881" s="193" t="str">
        <f>IF('Observaciones-SMP'!T881="","",'Observaciones-SMP'!T881)</f>
        <v/>
      </c>
      <c r="S881" s="193" t="str">
        <f>""</f>
        <v/>
      </c>
      <c r="T881" s="193" t="str">
        <f>""</f>
        <v/>
      </c>
      <c r="U881" s="193" t="str">
        <f t="shared" si="52"/>
        <v/>
      </c>
      <c r="V881" s="193" t="str">
        <f>""</f>
        <v/>
      </c>
      <c r="W881" s="193" t="str">
        <f>""</f>
        <v/>
      </c>
      <c r="X881" s="258" t="str">
        <f t="shared" si="53"/>
        <v/>
      </c>
      <c r="Y881" s="258" t="str">
        <f t="shared" si="54"/>
        <v/>
      </c>
      <c r="Z881" s="193" t="str">
        <f>IF(A881="","",IF(COUNTIF('Observaciones-SMP'!$A$2:$A$1001,A881)&gt;1,1,0))</f>
        <v/>
      </c>
      <c r="AA881" s="193" t="str">
        <f t="shared" si="55"/>
        <v/>
      </c>
    </row>
    <row r="882" spans="1:27" ht="13.5" customHeight="1" x14ac:dyDescent="0.3">
      <c r="A882" s="193" t="str">
        <f>IF('Observaciones-SMP'!A882="","",'Observaciones-SMP'!A882)</f>
        <v/>
      </c>
      <c r="B882" s="257" t="str">
        <f>IF('Observaciones-SMP'!B882="","",'Observaciones-SMP'!B882)</f>
        <v/>
      </c>
      <c r="C882" s="193" t="str">
        <f>IF('Observaciones-SMP'!C882="","",'Observaciones-SMP'!C882)</f>
        <v/>
      </c>
      <c r="D882" s="193" t="str">
        <f>IF('Observaciones-SMP'!D882="","",'Observaciones-SMP'!D882)</f>
        <v/>
      </c>
      <c r="E882" s="193" t="str">
        <f>IF('Observaciones-SMP'!E882="","",'Observaciones-SMP'!E882)</f>
        <v/>
      </c>
      <c r="F882" s="193" t="str">
        <f>IF('Observaciones-SMP'!F882="","",'Observaciones-SMP'!F882)</f>
        <v/>
      </c>
      <c r="G882" s="193" t="str">
        <f>IF('Observaciones-SMP'!G882="","",'Observaciones-SMP'!G882)</f>
        <v/>
      </c>
      <c r="H882" s="193" t="str">
        <f>IF('Observaciones-SMP'!H882="","",'Observaciones-SMP'!H882)</f>
        <v/>
      </c>
      <c r="I882" s="193" t="str">
        <f>IF('Observaciones-SMP'!I882="","",'Observaciones-SMP'!I882)</f>
        <v/>
      </c>
      <c r="J882" s="193" t="str">
        <f>IF('Observaciones-SMP'!J882="","",'Observaciones-SMP'!J882)</f>
        <v/>
      </c>
      <c r="K882" s="193" t="str">
        <f>IF('Observaciones-SMP'!K882="","",'Observaciones-SMP'!K882)</f>
        <v/>
      </c>
      <c r="L882" s="193" t="str">
        <f>IF('Observaciones-SMP'!L882="","",'Observaciones-SMP'!L882)</f>
        <v/>
      </c>
      <c r="M882" s="193" t="str">
        <f>IF('Observaciones-SMP'!M882="","",'Observaciones-SMP'!M882)</f>
        <v/>
      </c>
      <c r="N882" s="193" t="str">
        <f>IF('Observaciones-SMP'!N882="","",'Observaciones-SMP'!N882)</f>
        <v/>
      </c>
      <c r="O882" s="193" t="str">
        <f>IF('Observaciones-SMP'!O882="","",'Observaciones-SMP'!O882)</f>
        <v/>
      </c>
      <c r="P882" s="193" t="str">
        <f>IF('Observaciones-SMP'!P882="","",'Observaciones-SMP'!P882)</f>
        <v/>
      </c>
      <c r="Q882" s="257" t="str">
        <f>IF('Observaciones-SMP'!S882="","",'Observaciones-SMP'!S882)</f>
        <v/>
      </c>
      <c r="R882" s="193" t="str">
        <f>IF('Observaciones-SMP'!T882="","",'Observaciones-SMP'!T882)</f>
        <v/>
      </c>
      <c r="S882" s="193" t="str">
        <f>""</f>
        <v/>
      </c>
      <c r="T882" s="193" t="str">
        <f>""</f>
        <v/>
      </c>
      <c r="U882" s="193" t="str">
        <f t="shared" si="52"/>
        <v/>
      </c>
      <c r="V882" s="193" t="str">
        <f>""</f>
        <v/>
      </c>
      <c r="W882" s="193" t="str">
        <f>""</f>
        <v/>
      </c>
      <c r="X882" s="258" t="str">
        <f t="shared" si="53"/>
        <v/>
      </c>
      <c r="Y882" s="258" t="str">
        <f t="shared" si="54"/>
        <v/>
      </c>
      <c r="Z882" s="193" t="str">
        <f>IF(A882="","",IF(COUNTIF('Observaciones-SMP'!$A$2:$A$1001,A882)&gt;1,1,0))</f>
        <v/>
      </c>
      <c r="AA882" s="193" t="str">
        <f t="shared" si="55"/>
        <v/>
      </c>
    </row>
    <row r="883" spans="1:27" ht="13.5" customHeight="1" x14ac:dyDescent="0.3">
      <c r="A883" s="193" t="str">
        <f>IF('Observaciones-SMP'!A883="","",'Observaciones-SMP'!A883)</f>
        <v/>
      </c>
      <c r="B883" s="257" t="str">
        <f>IF('Observaciones-SMP'!B883="","",'Observaciones-SMP'!B883)</f>
        <v/>
      </c>
      <c r="C883" s="193" t="str">
        <f>IF('Observaciones-SMP'!C883="","",'Observaciones-SMP'!C883)</f>
        <v/>
      </c>
      <c r="D883" s="193" t="str">
        <f>IF('Observaciones-SMP'!D883="","",'Observaciones-SMP'!D883)</f>
        <v/>
      </c>
      <c r="E883" s="193" t="str">
        <f>IF('Observaciones-SMP'!E883="","",'Observaciones-SMP'!E883)</f>
        <v/>
      </c>
      <c r="F883" s="193" t="str">
        <f>IF('Observaciones-SMP'!F883="","",'Observaciones-SMP'!F883)</f>
        <v/>
      </c>
      <c r="G883" s="193" t="str">
        <f>IF('Observaciones-SMP'!G883="","",'Observaciones-SMP'!G883)</f>
        <v/>
      </c>
      <c r="H883" s="193" t="str">
        <f>IF('Observaciones-SMP'!H883="","",'Observaciones-SMP'!H883)</f>
        <v/>
      </c>
      <c r="I883" s="193" t="str">
        <f>IF('Observaciones-SMP'!I883="","",'Observaciones-SMP'!I883)</f>
        <v/>
      </c>
      <c r="J883" s="193" t="str">
        <f>IF('Observaciones-SMP'!J883="","",'Observaciones-SMP'!J883)</f>
        <v/>
      </c>
      <c r="K883" s="193" t="str">
        <f>IF('Observaciones-SMP'!K883="","",'Observaciones-SMP'!K883)</f>
        <v/>
      </c>
      <c r="L883" s="193" t="str">
        <f>IF('Observaciones-SMP'!L883="","",'Observaciones-SMP'!L883)</f>
        <v/>
      </c>
      <c r="M883" s="193" t="str">
        <f>IF('Observaciones-SMP'!M883="","",'Observaciones-SMP'!M883)</f>
        <v/>
      </c>
      <c r="N883" s="193" t="str">
        <f>IF('Observaciones-SMP'!N883="","",'Observaciones-SMP'!N883)</f>
        <v/>
      </c>
      <c r="O883" s="193" t="str">
        <f>IF('Observaciones-SMP'!O883="","",'Observaciones-SMP'!O883)</f>
        <v/>
      </c>
      <c r="P883" s="193" t="str">
        <f>IF('Observaciones-SMP'!P883="","",'Observaciones-SMP'!P883)</f>
        <v/>
      </c>
      <c r="Q883" s="257" t="str">
        <f>IF('Observaciones-SMP'!S883="","",'Observaciones-SMP'!S883)</f>
        <v/>
      </c>
      <c r="R883" s="193" t="str">
        <f>IF('Observaciones-SMP'!T883="","",'Observaciones-SMP'!T883)</f>
        <v/>
      </c>
      <c r="S883" s="193" t="str">
        <f>""</f>
        <v/>
      </c>
      <c r="T883" s="193" t="str">
        <f>""</f>
        <v/>
      </c>
      <c r="U883" s="193" t="str">
        <f t="shared" si="52"/>
        <v/>
      </c>
      <c r="V883" s="193" t="str">
        <f>""</f>
        <v/>
      </c>
      <c r="W883" s="193" t="str">
        <f>""</f>
        <v/>
      </c>
      <c r="X883" s="258" t="str">
        <f t="shared" si="53"/>
        <v/>
      </c>
      <c r="Y883" s="258" t="str">
        <f t="shared" si="54"/>
        <v/>
      </c>
      <c r="Z883" s="193" t="str">
        <f>IF(A883="","",IF(COUNTIF('Observaciones-SMP'!$A$2:$A$1001,A883)&gt;1,1,0))</f>
        <v/>
      </c>
      <c r="AA883" s="193" t="str">
        <f t="shared" si="55"/>
        <v/>
      </c>
    </row>
    <row r="884" spans="1:27" ht="13.5" customHeight="1" x14ac:dyDescent="0.3">
      <c r="A884" s="193" t="str">
        <f>IF('Observaciones-SMP'!A884="","",'Observaciones-SMP'!A884)</f>
        <v/>
      </c>
      <c r="B884" s="257" t="str">
        <f>IF('Observaciones-SMP'!B884="","",'Observaciones-SMP'!B884)</f>
        <v/>
      </c>
      <c r="C884" s="193" t="str">
        <f>IF('Observaciones-SMP'!C884="","",'Observaciones-SMP'!C884)</f>
        <v/>
      </c>
      <c r="D884" s="193" t="str">
        <f>IF('Observaciones-SMP'!D884="","",'Observaciones-SMP'!D884)</f>
        <v/>
      </c>
      <c r="E884" s="193" t="str">
        <f>IF('Observaciones-SMP'!E884="","",'Observaciones-SMP'!E884)</f>
        <v/>
      </c>
      <c r="F884" s="193" t="str">
        <f>IF('Observaciones-SMP'!F884="","",'Observaciones-SMP'!F884)</f>
        <v/>
      </c>
      <c r="G884" s="193" t="str">
        <f>IF('Observaciones-SMP'!G884="","",'Observaciones-SMP'!G884)</f>
        <v/>
      </c>
      <c r="H884" s="193" t="str">
        <f>IF('Observaciones-SMP'!H884="","",'Observaciones-SMP'!H884)</f>
        <v/>
      </c>
      <c r="I884" s="193" t="str">
        <f>IF('Observaciones-SMP'!I884="","",'Observaciones-SMP'!I884)</f>
        <v/>
      </c>
      <c r="J884" s="193" t="str">
        <f>IF('Observaciones-SMP'!J884="","",'Observaciones-SMP'!J884)</f>
        <v/>
      </c>
      <c r="K884" s="193" t="str">
        <f>IF('Observaciones-SMP'!K884="","",'Observaciones-SMP'!K884)</f>
        <v/>
      </c>
      <c r="L884" s="193" t="str">
        <f>IF('Observaciones-SMP'!L884="","",'Observaciones-SMP'!L884)</f>
        <v/>
      </c>
      <c r="M884" s="193" t="str">
        <f>IF('Observaciones-SMP'!M884="","",'Observaciones-SMP'!M884)</f>
        <v/>
      </c>
      <c r="N884" s="193" t="str">
        <f>IF('Observaciones-SMP'!N884="","",'Observaciones-SMP'!N884)</f>
        <v/>
      </c>
      <c r="O884" s="193" t="str">
        <f>IF('Observaciones-SMP'!O884="","",'Observaciones-SMP'!O884)</f>
        <v/>
      </c>
      <c r="P884" s="193" t="str">
        <f>IF('Observaciones-SMP'!P884="","",'Observaciones-SMP'!P884)</f>
        <v/>
      </c>
      <c r="Q884" s="257" t="str">
        <f>IF('Observaciones-SMP'!S884="","",'Observaciones-SMP'!S884)</f>
        <v/>
      </c>
      <c r="R884" s="193" t="str">
        <f>IF('Observaciones-SMP'!T884="","",'Observaciones-SMP'!T884)</f>
        <v/>
      </c>
      <c r="S884" s="193" t="str">
        <f>""</f>
        <v/>
      </c>
      <c r="T884" s="193" t="str">
        <f>""</f>
        <v/>
      </c>
      <c r="U884" s="193" t="str">
        <f t="shared" si="52"/>
        <v/>
      </c>
      <c r="V884" s="193" t="str">
        <f>""</f>
        <v/>
      </c>
      <c r="W884" s="193" t="str">
        <f>""</f>
        <v/>
      </c>
      <c r="X884" s="258" t="str">
        <f t="shared" si="53"/>
        <v/>
      </c>
      <c r="Y884" s="258" t="str">
        <f t="shared" si="54"/>
        <v/>
      </c>
      <c r="Z884" s="193" t="str">
        <f>IF(A884="","",IF(COUNTIF('Observaciones-SMP'!$A$2:$A$1001,A884)&gt;1,1,0))</f>
        <v/>
      </c>
      <c r="AA884" s="193" t="str">
        <f t="shared" si="55"/>
        <v/>
      </c>
    </row>
    <row r="885" spans="1:27" ht="13.5" customHeight="1" x14ac:dyDescent="0.3">
      <c r="A885" s="193" t="str">
        <f>IF('Observaciones-SMP'!A885="","",'Observaciones-SMP'!A885)</f>
        <v/>
      </c>
      <c r="B885" s="257" t="str">
        <f>IF('Observaciones-SMP'!B885="","",'Observaciones-SMP'!B885)</f>
        <v/>
      </c>
      <c r="C885" s="193" t="str">
        <f>IF('Observaciones-SMP'!C885="","",'Observaciones-SMP'!C885)</f>
        <v/>
      </c>
      <c r="D885" s="193" t="str">
        <f>IF('Observaciones-SMP'!D885="","",'Observaciones-SMP'!D885)</f>
        <v/>
      </c>
      <c r="E885" s="193" t="str">
        <f>IF('Observaciones-SMP'!E885="","",'Observaciones-SMP'!E885)</f>
        <v/>
      </c>
      <c r="F885" s="193" t="str">
        <f>IF('Observaciones-SMP'!F885="","",'Observaciones-SMP'!F885)</f>
        <v/>
      </c>
      <c r="G885" s="193" t="str">
        <f>IF('Observaciones-SMP'!G885="","",'Observaciones-SMP'!G885)</f>
        <v/>
      </c>
      <c r="H885" s="193" t="str">
        <f>IF('Observaciones-SMP'!H885="","",'Observaciones-SMP'!H885)</f>
        <v/>
      </c>
      <c r="I885" s="193" t="str">
        <f>IF('Observaciones-SMP'!I885="","",'Observaciones-SMP'!I885)</f>
        <v/>
      </c>
      <c r="J885" s="193" t="str">
        <f>IF('Observaciones-SMP'!J885="","",'Observaciones-SMP'!J885)</f>
        <v/>
      </c>
      <c r="K885" s="193" t="str">
        <f>IF('Observaciones-SMP'!K885="","",'Observaciones-SMP'!K885)</f>
        <v/>
      </c>
      <c r="L885" s="193" t="str">
        <f>IF('Observaciones-SMP'!L885="","",'Observaciones-SMP'!L885)</f>
        <v/>
      </c>
      <c r="M885" s="193" t="str">
        <f>IF('Observaciones-SMP'!M885="","",'Observaciones-SMP'!M885)</f>
        <v/>
      </c>
      <c r="N885" s="193" t="str">
        <f>IF('Observaciones-SMP'!N885="","",'Observaciones-SMP'!N885)</f>
        <v/>
      </c>
      <c r="O885" s="193" t="str">
        <f>IF('Observaciones-SMP'!O885="","",'Observaciones-SMP'!O885)</f>
        <v/>
      </c>
      <c r="P885" s="193" t="str">
        <f>IF('Observaciones-SMP'!P885="","",'Observaciones-SMP'!P885)</f>
        <v/>
      </c>
      <c r="Q885" s="257" t="str">
        <f>IF('Observaciones-SMP'!S885="","",'Observaciones-SMP'!S885)</f>
        <v/>
      </c>
      <c r="R885" s="193" t="str">
        <f>IF('Observaciones-SMP'!T885="","",'Observaciones-SMP'!T885)</f>
        <v/>
      </c>
      <c r="S885" s="193" t="str">
        <f>""</f>
        <v/>
      </c>
      <c r="T885" s="193" t="str">
        <f>""</f>
        <v/>
      </c>
      <c r="U885" s="193" t="str">
        <f t="shared" si="52"/>
        <v/>
      </c>
      <c r="V885" s="193" t="str">
        <f>""</f>
        <v/>
      </c>
      <c r="W885" s="193" t="str">
        <f>""</f>
        <v/>
      </c>
      <c r="X885" s="258" t="str">
        <f t="shared" si="53"/>
        <v/>
      </c>
      <c r="Y885" s="258" t="str">
        <f t="shared" si="54"/>
        <v/>
      </c>
      <c r="Z885" s="193" t="str">
        <f>IF(A885="","",IF(COUNTIF('Observaciones-SMP'!$A$2:$A$1001,A885)&gt;1,1,0))</f>
        <v/>
      </c>
      <c r="AA885" s="193" t="str">
        <f t="shared" si="55"/>
        <v/>
      </c>
    </row>
    <row r="886" spans="1:27" ht="13.5" customHeight="1" x14ac:dyDescent="0.3">
      <c r="A886" s="193" t="str">
        <f>IF('Observaciones-SMP'!A886="","",'Observaciones-SMP'!A886)</f>
        <v/>
      </c>
      <c r="B886" s="257" t="str">
        <f>IF('Observaciones-SMP'!B886="","",'Observaciones-SMP'!B886)</f>
        <v/>
      </c>
      <c r="C886" s="193" t="str">
        <f>IF('Observaciones-SMP'!C886="","",'Observaciones-SMP'!C886)</f>
        <v/>
      </c>
      <c r="D886" s="193" t="str">
        <f>IF('Observaciones-SMP'!D886="","",'Observaciones-SMP'!D886)</f>
        <v/>
      </c>
      <c r="E886" s="193" t="str">
        <f>IF('Observaciones-SMP'!E886="","",'Observaciones-SMP'!E886)</f>
        <v/>
      </c>
      <c r="F886" s="193" t="str">
        <f>IF('Observaciones-SMP'!F886="","",'Observaciones-SMP'!F886)</f>
        <v/>
      </c>
      <c r="G886" s="193" t="str">
        <f>IF('Observaciones-SMP'!G886="","",'Observaciones-SMP'!G886)</f>
        <v/>
      </c>
      <c r="H886" s="193" t="str">
        <f>IF('Observaciones-SMP'!H886="","",'Observaciones-SMP'!H886)</f>
        <v/>
      </c>
      <c r="I886" s="193" t="str">
        <f>IF('Observaciones-SMP'!I886="","",'Observaciones-SMP'!I886)</f>
        <v/>
      </c>
      <c r="J886" s="193" t="str">
        <f>IF('Observaciones-SMP'!J886="","",'Observaciones-SMP'!J886)</f>
        <v/>
      </c>
      <c r="K886" s="193" t="str">
        <f>IF('Observaciones-SMP'!K886="","",'Observaciones-SMP'!K886)</f>
        <v/>
      </c>
      <c r="L886" s="193" t="str">
        <f>IF('Observaciones-SMP'!L886="","",'Observaciones-SMP'!L886)</f>
        <v/>
      </c>
      <c r="M886" s="193" t="str">
        <f>IF('Observaciones-SMP'!M886="","",'Observaciones-SMP'!M886)</f>
        <v/>
      </c>
      <c r="N886" s="193" t="str">
        <f>IF('Observaciones-SMP'!N886="","",'Observaciones-SMP'!N886)</f>
        <v/>
      </c>
      <c r="O886" s="193" t="str">
        <f>IF('Observaciones-SMP'!O886="","",'Observaciones-SMP'!O886)</f>
        <v/>
      </c>
      <c r="P886" s="193" t="str">
        <f>IF('Observaciones-SMP'!P886="","",'Observaciones-SMP'!P886)</f>
        <v/>
      </c>
      <c r="Q886" s="257" t="str">
        <f>IF('Observaciones-SMP'!S886="","",'Observaciones-SMP'!S886)</f>
        <v/>
      </c>
      <c r="R886" s="193" t="str">
        <f>IF('Observaciones-SMP'!T886="","",'Observaciones-SMP'!T886)</f>
        <v/>
      </c>
      <c r="S886" s="193" t="str">
        <f>""</f>
        <v/>
      </c>
      <c r="T886" s="193" t="str">
        <f>""</f>
        <v/>
      </c>
      <c r="U886" s="193" t="str">
        <f t="shared" si="52"/>
        <v/>
      </c>
      <c r="V886" s="193" t="str">
        <f>""</f>
        <v/>
      </c>
      <c r="W886" s="193" t="str">
        <f>""</f>
        <v/>
      </c>
      <c r="X886" s="258" t="str">
        <f t="shared" si="53"/>
        <v/>
      </c>
      <c r="Y886" s="258" t="str">
        <f t="shared" si="54"/>
        <v/>
      </c>
      <c r="Z886" s="193" t="str">
        <f>IF(A886="","",IF(COUNTIF('Observaciones-SMP'!$A$2:$A$1001,A886)&gt;1,1,0))</f>
        <v/>
      </c>
      <c r="AA886" s="193" t="str">
        <f t="shared" si="55"/>
        <v/>
      </c>
    </row>
    <row r="887" spans="1:27" ht="13.5" customHeight="1" x14ac:dyDescent="0.3">
      <c r="A887" s="193" t="str">
        <f>IF('Observaciones-SMP'!A887="","",'Observaciones-SMP'!A887)</f>
        <v/>
      </c>
      <c r="B887" s="257" t="str">
        <f>IF('Observaciones-SMP'!B887="","",'Observaciones-SMP'!B887)</f>
        <v/>
      </c>
      <c r="C887" s="193" t="str">
        <f>IF('Observaciones-SMP'!C887="","",'Observaciones-SMP'!C887)</f>
        <v/>
      </c>
      <c r="D887" s="193" t="str">
        <f>IF('Observaciones-SMP'!D887="","",'Observaciones-SMP'!D887)</f>
        <v/>
      </c>
      <c r="E887" s="193" t="str">
        <f>IF('Observaciones-SMP'!E887="","",'Observaciones-SMP'!E887)</f>
        <v/>
      </c>
      <c r="F887" s="193" t="str">
        <f>IF('Observaciones-SMP'!F887="","",'Observaciones-SMP'!F887)</f>
        <v/>
      </c>
      <c r="G887" s="193" t="str">
        <f>IF('Observaciones-SMP'!G887="","",'Observaciones-SMP'!G887)</f>
        <v/>
      </c>
      <c r="H887" s="193" t="str">
        <f>IF('Observaciones-SMP'!H887="","",'Observaciones-SMP'!H887)</f>
        <v/>
      </c>
      <c r="I887" s="193" t="str">
        <f>IF('Observaciones-SMP'!I887="","",'Observaciones-SMP'!I887)</f>
        <v/>
      </c>
      <c r="J887" s="193" t="str">
        <f>IF('Observaciones-SMP'!J887="","",'Observaciones-SMP'!J887)</f>
        <v/>
      </c>
      <c r="K887" s="193" t="str">
        <f>IF('Observaciones-SMP'!K887="","",'Observaciones-SMP'!K887)</f>
        <v/>
      </c>
      <c r="L887" s="193" t="str">
        <f>IF('Observaciones-SMP'!L887="","",'Observaciones-SMP'!L887)</f>
        <v/>
      </c>
      <c r="M887" s="193" t="str">
        <f>IF('Observaciones-SMP'!M887="","",'Observaciones-SMP'!M887)</f>
        <v/>
      </c>
      <c r="N887" s="193" t="str">
        <f>IF('Observaciones-SMP'!N887="","",'Observaciones-SMP'!N887)</f>
        <v/>
      </c>
      <c r="O887" s="193" t="str">
        <f>IF('Observaciones-SMP'!O887="","",'Observaciones-SMP'!O887)</f>
        <v/>
      </c>
      <c r="P887" s="193" t="str">
        <f>IF('Observaciones-SMP'!P887="","",'Observaciones-SMP'!P887)</f>
        <v/>
      </c>
      <c r="Q887" s="257" t="str">
        <f>IF('Observaciones-SMP'!S887="","",'Observaciones-SMP'!S887)</f>
        <v/>
      </c>
      <c r="R887" s="193" t="str">
        <f>IF('Observaciones-SMP'!T887="","",'Observaciones-SMP'!T887)</f>
        <v/>
      </c>
      <c r="S887" s="193" t="str">
        <f>""</f>
        <v/>
      </c>
      <c r="T887" s="193" t="str">
        <f>""</f>
        <v/>
      </c>
      <c r="U887" s="193" t="str">
        <f t="shared" si="52"/>
        <v/>
      </c>
      <c r="V887" s="193" t="str">
        <f>""</f>
        <v/>
      </c>
      <c r="W887" s="193" t="str">
        <f>""</f>
        <v/>
      </c>
      <c r="X887" s="258" t="str">
        <f t="shared" si="53"/>
        <v/>
      </c>
      <c r="Y887" s="258" t="str">
        <f t="shared" si="54"/>
        <v/>
      </c>
      <c r="Z887" s="193" t="str">
        <f>IF(A887="","",IF(COUNTIF('Observaciones-SMP'!$A$2:$A$1001,A887)&gt;1,1,0))</f>
        <v/>
      </c>
      <c r="AA887" s="193" t="str">
        <f t="shared" si="55"/>
        <v/>
      </c>
    </row>
    <row r="888" spans="1:27" ht="13.5" customHeight="1" x14ac:dyDescent="0.3">
      <c r="A888" s="193" t="str">
        <f>IF('Observaciones-SMP'!A888="","",'Observaciones-SMP'!A888)</f>
        <v/>
      </c>
      <c r="B888" s="257" t="str">
        <f>IF('Observaciones-SMP'!B888="","",'Observaciones-SMP'!B888)</f>
        <v/>
      </c>
      <c r="C888" s="193" t="str">
        <f>IF('Observaciones-SMP'!C888="","",'Observaciones-SMP'!C888)</f>
        <v/>
      </c>
      <c r="D888" s="193" t="str">
        <f>IF('Observaciones-SMP'!D888="","",'Observaciones-SMP'!D888)</f>
        <v/>
      </c>
      <c r="E888" s="193" t="str">
        <f>IF('Observaciones-SMP'!E888="","",'Observaciones-SMP'!E888)</f>
        <v/>
      </c>
      <c r="F888" s="193" t="str">
        <f>IF('Observaciones-SMP'!F888="","",'Observaciones-SMP'!F888)</f>
        <v/>
      </c>
      <c r="G888" s="193" t="str">
        <f>IF('Observaciones-SMP'!G888="","",'Observaciones-SMP'!G888)</f>
        <v/>
      </c>
      <c r="H888" s="193" t="str">
        <f>IF('Observaciones-SMP'!H888="","",'Observaciones-SMP'!H888)</f>
        <v/>
      </c>
      <c r="I888" s="193" t="str">
        <f>IF('Observaciones-SMP'!I888="","",'Observaciones-SMP'!I888)</f>
        <v/>
      </c>
      <c r="J888" s="193" t="str">
        <f>IF('Observaciones-SMP'!J888="","",'Observaciones-SMP'!J888)</f>
        <v/>
      </c>
      <c r="K888" s="193" t="str">
        <f>IF('Observaciones-SMP'!K888="","",'Observaciones-SMP'!K888)</f>
        <v/>
      </c>
      <c r="L888" s="193" t="str">
        <f>IF('Observaciones-SMP'!L888="","",'Observaciones-SMP'!L888)</f>
        <v/>
      </c>
      <c r="M888" s="193" t="str">
        <f>IF('Observaciones-SMP'!M888="","",'Observaciones-SMP'!M888)</f>
        <v/>
      </c>
      <c r="N888" s="193" t="str">
        <f>IF('Observaciones-SMP'!N888="","",'Observaciones-SMP'!N888)</f>
        <v/>
      </c>
      <c r="O888" s="193" t="str">
        <f>IF('Observaciones-SMP'!O888="","",'Observaciones-SMP'!O888)</f>
        <v/>
      </c>
      <c r="P888" s="193" t="str">
        <f>IF('Observaciones-SMP'!P888="","",'Observaciones-SMP'!P888)</f>
        <v/>
      </c>
      <c r="Q888" s="257" t="str">
        <f>IF('Observaciones-SMP'!S888="","",'Observaciones-SMP'!S888)</f>
        <v/>
      </c>
      <c r="R888" s="193" t="str">
        <f>IF('Observaciones-SMP'!T888="","",'Observaciones-SMP'!T888)</f>
        <v/>
      </c>
      <c r="S888" s="193" t="str">
        <f>""</f>
        <v/>
      </c>
      <c r="T888" s="193" t="str">
        <f>""</f>
        <v/>
      </c>
      <c r="U888" s="193" t="str">
        <f t="shared" si="52"/>
        <v/>
      </c>
      <c r="V888" s="193" t="str">
        <f>""</f>
        <v/>
      </c>
      <c r="W888" s="193" t="str">
        <f>""</f>
        <v/>
      </c>
      <c r="X888" s="258" t="str">
        <f t="shared" si="53"/>
        <v/>
      </c>
      <c r="Y888" s="258" t="str">
        <f t="shared" si="54"/>
        <v/>
      </c>
      <c r="Z888" s="193" t="str">
        <f>IF(A888="","",IF(COUNTIF('Observaciones-SMP'!$A$2:$A$1001,A888)&gt;1,1,0))</f>
        <v/>
      </c>
      <c r="AA888" s="193" t="str">
        <f t="shared" si="55"/>
        <v/>
      </c>
    </row>
    <row r="889" spans="1:27" ht="13.5" customHeight="1" x14ac:dyDescent="0.3">
      <c r="A889" s="193" t="str">
        <f>IF('Observaciones-SMP'!A889="","",'Observaciones-SMP'!A889)</f>
        <v/>
      </c>
      <c r="B889" s="257" t="str">
        <f>IF('Observaciones-SMP'!B889="","",'Observaciones-SMP'!B889)</f>
        <v/>
      </c>
      <c r="C889" s="193" t="str">
        <f>IF('Observaciones-SMP'!C889="","",'Observaciones-SMP'!C889)</f>
        <v/>
      </c>
      <c r="D889" s="193" t="str">
        <f>IF('Observaciones-SMP'!D889="","",'Observaciones-SMP'!D889)</f>
        <v/>
      </c>
      <c r="E889" s="193" t="str">
        <f>IF('Observaciones-SMP'!E889="","",'Observaciones-SMP'!E889)</f>
        <v/>
      </c>
      <c r="F889" s="193" t="str">
        <f>IF('Observaciones-SMP'!F889="","",'Observaciones-SMP'!F889)</f>
        <v/>
      </c>
      <c r="G889" s="193" t="str">
        <f>IF('Observaciones-SMP'!G889="","",'Observaciones-SMP'!G889)</f>
        <v/>
      </c>
      <c r="H889" s="193" t="str">
        <f>IF('Observaciones-SMP'!H889="","",'Observaciones-SMP'!H889)</f>
        <v/>
      </c>
      <c r="I889" s="193" t="str">
        <f>IF('Observaciones-SMP'!I889="","",'Observaciones-SMP'!I889)</f>
        <v/>
      </c>
      <c r="J889" s="193" t="str">
        <f>IF('Observaciones-SMP'!J889="","",'Observaciones-SMP'!J889)</f>
        <v/>
      </c>
      <c r="K889" s="193" t="str">
        <f>IF('Observaciones-SMP'!K889="","",'Observaciones-SMP'!K889)</f>
        <v/>
      </c>
      <c r="L889" s="193" t="str">
        <f>IF('Observaciones-SMP'!L889="","",'Observaciones-SMP'!L889)</f>
        <v/>
      </c>
      <c r="M889" s="193" t="str">
        <f>IF('Observaciones-SMP'!M889="","",'Observaciones-SMP'!M889)</f>
        <v/>
      </c>
      <c r="N889" s="193" t="str">
        <f>IF('Observaciones-SMP'!N889="","",'Observaciones-SMP'!N889)</f>
        <v/>
      </c>
      <c r="O889" s="193" t="str">
        <f>IF('Observaciones-SMP'!O889="","",'Observaciones-SMP'!O889)</f>
        <v/>
      </c>
      <c r="P889" s="193" t="str">
        <f>IF('Observaciones-SMP'!P889="","",'Observaciones-SMP'!P889)</f>
        <v/>
      </c>
      <c r="Q889" s="257" t="str">
        <f>IF('Observaciones-SMP'!S889="","",'Observaciones-SMP'!S889)</f>
        <v/>
      </c>
      <c r="R889" s="193" t="str">
        <f>IF('Observaciones-SMP'!T889="","",'Observaciones-SMP'!T889)</f>
        <v/>
      </c>
      <c r="S889" s="193" t="str">
        <f>""</f>
        <v/>
      </c>
      <c r="T889" s="193" t="str">
        <f>""</f>
        <v/>
      </c>
      <c r="U889" s="193" t="str">
        <f t="shared" si="52"/>
        <v/>
      </c>
      <c r="V889" s="193" t="str">
        <f>""</f>
        <v/>
      </c>
      <c r="W889" s="193" t="str">
        <f>""</f>
        <v/>
      </c>
      <c r="X889" s="258" t="str">
        <f t="shared" si="53"/>
        <v/>
      </c>
      <c r="Y889" s="258" t="str">
        <f t="shared" si="54"/>
        <v/>
      </c>
      <c r="Z889" s="193" t="str">
        <f>IF(A889="","",IF(COUNTIF('Observaciones-SMP'!$A$2:$A$1001,A889)&gt;1,1,0))</f>
        <v/>
      </c>
      <c r="AA889" s="193" t="str">
        <f t="shared" si="55"/>
        <v/>
      </c>
    </row>
    <row r="890" spans="1:27" ht="13.5" customHeight="1" x14ac:dyDescent="0.3">
      <c r="A890" s="193" t="str">
        <f>IF('Observaciones-SMP'!A890="","",'Observaciones-SMP'!A890)</f>
        <v/>
      </c>
      <c r="B890" s="257" t="str">
        <f>IF('Observaciones-SMP'!B890="","",'Observaciones-SMP'!B890)</f>
        <v/>
      </c>
      <c r="C890" s="193" t="str">
        <f>IF('Observaciones-SMP'!C890="","",'Observaciones-SMP'!C890)</f>
        <v/>
      </c>
      <c r="D890" s="193" t="str">
        <f>IF('Observaciones-SMP'!D890="","",'Observaciones-SMP'!D890)</f>
        <v/>
      </c>
      <c r="E890" s="193" t="str">
        <f>IF('Observaciones-SMP'!E890="","",'Observaciones-SMP'!E890)</f>
        <v/>
      </c>
      <c r="F890" s="193" t="str">
        <f>IF('Observaciones-SMP'!F890="","",'Observaciones-SMP'!F890)</f>
        <v/>
      </c>
      <c r="G890" s="193" t="str">
        <f>IF('Observaciones-SMP'!G890="","",'Observaciones-SMP'!G890)</f>
        <v/>
      </c>
      <c r="H890" s="193" t="str">
        <f>IF('Observaciones-SMP'!H890="","",'Observaciones-SMP'!H890)</f>
        <v/>
      </c>
      <c r="I890" s="193" t="str">
        <f>IF('Observaciones-SMP'!I890="","",'Observaciones-SMP'!I890)</f>
        <v/>
      </c>
      <c r="J890" s="193" t="str">
        <f>IF('Observaciones-SMP'!J890="","",'Observaciones-SMP'!J890)</f>
        <v/>
      </c>
      <c r="K890" s="193" t="str">
        <f>IF('Observaciones-SMP'!K890="","",'Observaciones-SMP'!K890)</f>
        <v/>
      </c>
      <c r="L890" s="193" t="str">
        <f>IF('Observaciones-SMP'!L890="","",'Observaciones-SMP'!L890)</f>
        <v/>
      </c>
      <c r="M890" s="193" t="str">
        <f>IF('Observaciones-SMP'!M890="","",'Observaciones-SMP'!M890)</f>
        <v/>
      </c>
      <c r="N890" s="193" t="str">
        <f>IF('Observaciones-SMP'!N890="","",'Observaciones-SMP'!N890)</f>
        <v/>
      </c>
      <c r="O890" s="193" t="str">
        <f>IF('Observaciones-SMP'!O890="","",'Observaciones-SMP'!O890)</f>
        <v/>
      </c>
      <c r="P890" s="193" t="str">
        <f>IF('Observaciones-SMP'!P890="","",'Observaciones-SMP'!P890)</f>
        <v/>
      </c>
      <c r="Q890" s="257" t="str">
        <f>IF('Observaciones-SMP'!S890="","",'Observaciones-SMP'!S890)</f>
        <v/>
      </c>
      <c r="R890" s="193" t="str">
        <f>IF('Observaciones-SMP'!T890="","",'Observaciones-SMP'!T890)</f>
        <v/>
      </c>
      <c r="S890" s="193" t="str">
        <f>""</f>
        <v/>
      </c>
      <c r="T890" s="193" t="str">
        <f>""</f>
        <v/>
      </c>
      <c r="U890" s="193" t="str">
        <f t="shared" si="52"/>
        <v/>
      </c>
      <c r="V890" s="193" t="str">
        <f>""</f>
        <v/>
      </c>
      <c r="W890" s="193" t="str">
        <f>""</f>
        <v/>
      </c>
      <c r="X890" s="258" t="str">
        <f t="shared" si="53"/>
        <v/>
      </c>
      <c r="Y890" s="258" t="str">
        <f t="shared" si="54"/>
        <v/>
      </c>
      <c r="Z890" s="193" t="str">
        <f>IF(A890="","",IF(COUNTIF('Observaciones-SMP'!$A$2:$A$1001,A890)&gt;1,1,0))</f>
        <v/>
      </c>
      <c r="AA890" s="193" t="str">
        <f t="shared" si="55"/>
        <v/>
      </c>
    </row>
    <row r="891" spans="1:27" ht="13.5" customHeight="1" x14ac:dyDescent="0.3">
      <c r="A891" s="193" t="str">
        <f>IF('Observaciones-SMP'!A891="","",'Observaciones-SMP'!A891)</f>
        <v/>
      </c>
      <c r="B891" s="257" t="str">
        <f>IF('Observaciones-SMP'!B891="","",'Observaciones-SMP'!B891)</f>
        <v/>
      </c>
      <c r="C891" s="193" t="str">
        <f>IF('Observaciones-SMP'!C891="","",'Observaciones-SMP'!C891)</f>
        <v/>
      </c>
      <c r="D891" s="193" t="str">
        <f>IF('Observaciones-SMP'!D891="","",'Observaciones-SMP'!D891)</f>
        <v/>
      </c>
      <c r="E891" s="193" t="str">
        <f>IF('Observaciones-SMP'!E891="","",'Observaciones-SMP'!E891)</f>
        <v/>
      </c>
      <c r="F891" s="193" t="str">
        <f>IF('Observaciones-SMP'!F891="","",'Observaciones-SMP'!F891)</f>
        <v/>
      </c>
      <c r="G891" s="193" t="str">
        <f>IF('Observaciones-SMP'!G891="","",'Observaciones-SMP'!G891)</f>
        <v/>
      </c>
      <c r="H891" s="193" t="str">
        <f>IF('Observaciones-SMP'!H891="","",'Observaciones-SMP'!H891)</f>
        <v/>
      </c>
      <c r="I891" s="193" t="str">
        <f>IF('Observaciones-SMP'!I891="","",'Observaciones-SMP'!I891)</f>
        <v/>
      </c>
      <c r="J891" s="193" t="str">
        <f>IF('Observaciones-SMP'!J891="","",'Observaciones-SMP'!J891)</f>
        <v/>
      </c>
      <c r="K891" s="193" t="str">
        <f>IF('Observaciones-SMP'!K891="","",'Observaciones-SMP'!K891)</f>
        <v/>
      </c>
      <c r="L891" s="193" t="str">
        <f>IF('Observaciones-SMP'!L891="","",'Observaciones-SMP'!L891)</f>
        <v/>
      </c>
      <c r="M891" s="193" t="str">
        <f>IF('Observaciones-SMP'!M891="","",'Observaciones-SMP'!M891)</f>
        <v/>
      </c>
      <c r="N891" s="193" t="str">
        <f>IF('Observaciones-SMP'!N891="","",'Observaciones-SMP'!N891)</f>
        <v/>
      </c>
      <c r="O891" s="193" t="str">
        <f>IF('Observaciones-SMP'!O891="","",'Observaciones-SMP'!O891)</f>
        <v/>
      </c>
      <c r="P891" s="193" t="str">
        <f>IF('Observaciones-SMP'!P891="","",'Observaciones-SMP'!P891)</f>
        <v/>
      </c>
      <c r="Q891" s="257" t="str">
        <f>IF('Observaciones-SMP'!S891="","",'Observaciones-SMP'!S891)</f>
        <v/>
      </c>
      <c r="R891" s="193" t="str">
        <f>IF('Observaciones-SMP'!T891="","",'Observaciones-SMP'!T891)</f>
        <v/>
      </c>
      <c r="S891" s="193" t="str">
        <f>""</f>
        <v/>
      </c>
      <c r="T891" s="193" t="str">
        <f>""</f>
        <v/>
      </c>
      <c r="U891" s="193" t="str">
        <f t="shared" si="52"/>
        <v/>
      </c>
      <c r="V891" s="193" t="str">
        <f>""</f>
        <v/>
      </c>
      <c r="W891" s="193" t="str">
        <f>""</f>
        <v/>
      </c>
      <c r="X891" s="258" t="str">
        <f t="shared" si="53"/>
        <v/>
      </c>
      <c r="Y891" s="258" t="str">
        <f t="shared" si="54"/>
        <v/>
      </c>
      <c r="Z891" s="193" t="str">
        <f>IF(A891="","",IF(COUNTIF('Observaciones-SMP'!$A$2:$A$1001,A891)&gt;1,1,0))</f>
        <v/>
      </c>
      <c r="AA891" s="193" t="str">
        <f t="shared" si="55"/>
        <v/>
      </c>
    </row>
    <row r="892" spans="1:27" ht="13.5" customHeight="1" x14ac:dyDescent="0.3">
      <c r="A892" s="193" t="str">
        <f>IF('Observaciones-SMP'!A892="","",'Observaciones-SMP'!A892)</f>
        <v/>
      </c>
      <c r="B892" s="257" t="str">
        <f>IF('Observaciones-SMP'!B892="","",'Observaciones-SMP'!B892)</f>
        <v/>
      </c>
      <c r="C892" s="193" t="str">
        <f>IF('Observaciones-SMP'!C892="","",'Observaciones-SMP'!C892)</f>
        <v/>
      </c>
      <c r="D892" s="193" t="str">
        <f>IF('Observaciones-SMP'!D892="","",'Observaciones-SMP'!D892)</f>
        <v/>
      </c>
      <c r="E892" s="193" t="str">
        <f>IF('Observaciones-SMP'!E892="","",'Observaciones-SMP'!E892)</f>
        <v/>
      </c>
      <c r="F892" s="193" t="str">
        <f>IF('Observaciones-SMP'!F892="","",'Observaciones-SMP'!F892)</f>
        <v/>
      </c>
      <c r="G892" s="193" t="str">
        <f>IF('Observaciones-SMP'!G892="","",'Observaciones-SMP'!G892)</f>
        <v/>
      </c>
      <c r="H892" s="193" t="str">
        <f>IF('Observaciones-SMP'!H892="","",'Observaciones-SMP'!H892)</f>
        <v/>
      </c>
      <c r="I892" s="193" t="str">
        <f>IF('Observaciones-SMP'!I892="","",'Observaciones-SMP'!I892)</f>
        <v/>
      </c>
      <c r="J892" s="193" t="str">
        <f>IF('Observaciones-SMP'!J892="","",'Observaciones-SMP'!J892)</f>
        <v/>
      </c>
      <c r="K892" s="193" t="str">
        <f>IF('Observaciones-SMP'!K892="","",'Observaciones-SMP'!K892)</f>
        <v/>
      </c>
      <c r="L892" s="193" t="str">
        <f>IF('Observaciones-SMP'!L892="","",'Observaciones-SMP'!L892)</f>
        <v/>
      </c>
      <c r="M892" s="193" t="str">
        <f>IF('Observaciones-SMP'!M892="","",'Observaciones-SMP'!M892)</f>
        <v/>
      </c>
      <c r="N892" s="193" t="str">
        <f>IF('Observaciones-SMP'!N892="","",'Observaciones-SMP'!N892)</f>
        <v/>
      </c>
      <c r="O892" s="193" t="str">
        <f>IF('Observaciones-SMP'!O892="","",'Observaciones-SMP'!O892)</f>
        <v/>
      </c>
      <c r="P892" s="193" t="str">
        <f>IF('Observaciones-SMP'!P892="","",'Observaciones-SMP'!P892)</f>
        <v/>
      </c>
      <c r="Q892" s="257" t="str">
        <f>IF('Observaciones-SMP'!S892="","",'Observaciones-SMP'!S892)</f>
        <v/>
      </c>
      <c r="R892" s="193" t="str">
        <f>IF('Observaciones-SMP'!T892="","",'Observaciones-SMP'!T892)</f>
        <v/>
      </c>
      <c r="S892" s="193" t="str">
        <f>""</f>
        <v/>
      </c>
      <c r="T892" s="193" t="str">
        <f>""</f>
        <v/>
      </c>
      <c r="U892" s="193" t="str">
        <f t="shared" si="52"/>
        <v/>
      </c>
      <c r="V892" s="193" t="str">
        <f>""</f>
        <v/>
      </c>
      <c r="W892" s="193" t="str">
        <f>""</f>
        <v/>
      </c>
      <c r="X892" s="258" t="str">
        <f t="shared" si="53"/>
        <v/>
      </c>
      <c r="Y892" s="258" t="str">
        <f t="shared" si="54"/>
        <v/>
      </c>
      <c r="Z892" s="193" t="str">
        <f>IF(A892="","",IF(COUNTIF('Observaciones-SMP'!$A$2:$A$1001,A892)&gt;1,1,0))</f>
        <v/>
      </c>
      <c r="AA892" s="193" t="str">
        <f t="shared" si="55"/>
        <v/>
      </c>
    </row>
    <row r="893" spans="1:27" ht="13.5" customHeight="1" x14ac:dyDescent="0.3">
      <c r="A893" s="193" t="str">
        <f>IF('Observaciones-SMP'!A893="","",'Observaciones-SMP'!A893)</f>
        <v/>
      </c>
      <c r="B893" s="257" t="str">
        <f>IF('Observaciones-SMP'!B893="","",'Observaciones-SMP'!B893)</f>
        <v/>
      </c>
      <c r="C893" s="193" t="str">
        <f>IF('Observaciones-SMP'!C893="","",'Observaciones-SMP'!C893)</f>
        <v/>
      </c>
      <c r="D893" s="193" t="str">
        <f>IF('Observaciones-SMP'!D893="","",'Observaciones-SMP'!D893)</f>
        <v/>
      </c>
      <c r="E893" s="193" t="str">
        <f>IF('Observaciones-SMP'!E893="","",'Observaciones-SMP'!E893)</f>
        <v/>
      </c>
      <c r="F893" s="193" t="str">
        <f>IF('Observaciones-SMP'!F893="","",'Observaciones-SMP'!F893)</f>
        <v/>
      </c>
      <c r="G893" s="193" t="str">
        <f>IF('Observaciones-SMP'!G893="","",'Observaciones-SMP'!G893)</f>
        <v/>
      </c>
      <c r="H893" s="193" t="str">
        <f>IF('Observaciones-SMP'!H893="","",'Observaciones-SMP'!H893)</f>
        <v/>
      </c>
      <c r="I893" s="193" t="str">
        <f>IF('Observaciones-SMP'!I893="","",'Observaciones-SMP'!I893)</f>
        <v/>
      </c>
      <c r="J893" s="193" t="str">
        <f>IF('Observaciones-SMP'!J893="","",'Observaciones-SMP'!J893)</f>
        <v/>
      </c>
      <c r="K893" s="193" t="str">
        <f>IF('Observaciones-SMP'!K893="","",'Observaciones-SMP'!K893)</f>
        <v/>
      </c>
      <c r="L893" s="193" t="str">
        <f>IF('Observaciones-SMP'!L893="","",'Observaciones-SMP'!L893)</f>
        <v/>
      </c>
      <c r="M893" s="193" t="str">
        <f>IF('Observaciones-SMP'!M893="","",'Observaciones-SMP'!M893)</f>
        <v/>
      </c>
      <c r="N893" s="193" t="str">
        <f>IF('Observaciones-SMP'!N893="","",'Observaciones-SMP'!N893)</f>
        <v/>
      </c>
      <c r="O893" s="193" t="str">
        <f>IF('Observaciones-SMP'!O893="","",'Observaciones-SMP'!O893)</f>
        <v/>
      </c>
      <c r="P893" s="193" t="str">
        <f>IF('Observaciones-SMP'!P893="","",'Observaciones-SMP'!P893)</f>
        <v/>
      </c>
      <c r="Q893" s="257" t="str">
        <f>IF('Observaciones-SMP'!S893="","",'Observaciones-SMP'!S893)</f>
        <v/>
      </c>
      <c r="R893" s="193" t="str">
        <f>IF('Observaciones-SMP'!T893="","",'Observaciones-SMP'!T893)</f>
        <v/>
      </c>
      <c r="S893" s="193" t="str">
        <f>""</f>
        <v/>
      </c>
      <c r="T893" s="193" t="str">
        <f>""</f>
        <v/>
      </c>
      <c r="U893" s="193" t="str">
        <f t="shared" si="52"/>
        <v/>
      </c>
      <c r="V893" s="193" t="str">
        <f>""</f>
        <v/>
      </c>
      <c r="W893" s="193" t="str">
        <f>""</f>
        <v/>
      </c>
      <c r="X893" s="258" t="str">
        <f t="shared" si="53"/>
        <v/>
      </c>
      <c r="Y893" s="258" t="str">
        <f t="shared" si="54"/>
        <v/>
      </c>
      <c r="Z893" s="193" t="str">
        <f>IF(A893="","",IF(COUNTIF('Observaciones-SMP'!$A$2:$A$1001,A893)&gt;1,1,0))</f>
        <v/>
      </c>
      <c r="AA893" s="193" t="str">
        <f t="shared" si="55"/>
        <v/>
      </c>
    </row>
    <row r="894" spans="1:27" ht="13.5" customHeight="1" x14ac:dyDescent="0.3">
      <c r="A894" s="193" t="str">
        <f>IF('Observaciones-SMP'!A894="","",'Observaciones-SMP'!A894)</f>
        <v/>
      </c>
      <c r="B894" s="257" t="str">
        <f>IF('Observaciones-SMP'!B894="","",'Observaciones-SMP'!B894)</f>
        <v/>
      </c>
      <c r="C894" s="193" t="str">
        <f>IF('Observaciones-SMP'!C894="","",'Observaciones-SMP'!C894)</f>
        <v/>
      </c>
      <c r="D894" s="193" t="str">
        <f>IF('Observaciones-SMP'!D894="","",'Observaciones-SMP'!D894)</f>
        <v/>
      </c>
      <c r="E894" s="193" t="str">
        <f>IF('Observaciones-SMP'!E894="","",'Observaciones-SMP'!E894)</f>
        <v/>
      </c>
      <c r="F894" s="193" t="str">
        <f>IF('Observaciones-SMP'!F894="","",'Observaciones-SMP'!F894)</f>
        <v/>
      </c>
      <c r="G894" s="193" t="str">
        <f>IF('Observaciones-SMP'!G894="","",'Observaciones-SMP'!G894)</f>
        <v/>
      </c>
      <c r="H894" s="193" t="str">
        <f>IF('Observaciones-SMP'!H894="","",'Observaciones-SMP'!H894)</f>
        <v/>
      </c>
      <c r="I894" s="193" t="str">
        <f>IF('Observaciones-SMP'!I894="","",'Observaciones-SMP'!I894)</f>
        <v/>
      </c>
      <c r="J894" s="193" t="str">
        <f>IF('Observaciones-SMP'!J894="","",'Observaciones-SMP'!J894)</f>
        <v/>
      </c>
      <c r="K894" s="193" t="str">
        <f>IF('Observaciones-SMP'!K894="","",'Observaciones-SMP'!K894)</f>
        <v/>
      </c>
      <c r="L894" s="193" t="str">
        <f>IF('Observaciones-SMP'!L894="","",'Observaciones-SMP'!L894)</f>
        <v/>
      </c>
      <c r="M894" s="193" t="str">
        <f>IF('Observaciones-SMP'!M894="","",'Observaciones-SMP'!M894)</f>
        <v/>
      </c>
      <c r="N894" s="193" t="str">
        <f>IF('Observaciones-SMP'!N894="","",'Observaciones-SMP'!N894)</f>
        <v/>
      </c>
      <c r="O894" s="193" t="str">
        <f>IF('Observaciones-SMP'!O894="","",'Observaciones-SMP'!O894)</f>
        <v/>
      </c>
      <c r="P894" s="193" t="str">
        <f>IF('Observaciones-SMP'!P894="","",'Observaciones-SMP'!P894)</f>
        <v/>
      </c>
      <c r="Q894" s="257" t="str">
        <f>IF('Observaciones-SMP'!S894="","",'Observaciones-SMP'!S894)</f>
        <v/>
      </c>
      <c r="R894" s="193" t="str">
        <f>IF('Observaciones-SMP'!T894="","",'Observaciones-SMP'!T894)</f>
        <v/>
      </c>
      <c r="S894" s="193" t="str">
        <f>""</f>
        <v/>
      </c>
      <c r="T894" s="193" t="str">
        <f>""</f>
        <v/>
      </c>
      <c r="U894" s="193" t="str">
        <f t="shared" si="52"/>
        <v/>
      </c>
      <c r="V894" s="193" t="str">
        <f>""</f>
        <v/>
      </c>
      <c r="W894" s="193" t="str">
        <f>""</f>
        <v/>
      </c>
      <c r="X894" s="258" t="str">
        <f t="shared" si="53"/>
        <v/>
      </c>
      <c r="Y894" s="258" t="str">
        <f t="shared" si="54"/>
        <v/>
      </c>
      <c r="Z894" s="193" t="str">
        <f>IF(A894="","",IF(COUNTIF('Observaciones-SMP'!$A$2:$A$1001,A894)&gt;1,1,0))</f>
        <v/>
      </c>
      <c r="AA894" s="193" t="str">
        <f t="shared" si="55"/>
        <v/>
      </c>
    </row>
    <row r="895" spans="1:27" ht="13.5" customHeight="1" x14ac:dyDescent="0.3">
      <c r="A895" s="193" t="str">
        <f>IF('Observaciones-SMP'!A895="","",'Observaciones-SMP'!A895)</f>
        <v/>
      </c>
      <c r="B895" s="257" t="str">
        <f>IF('Observaciones-SMP'!B895="","",'Observaciones-SMP'!B895)</f>
        <v/>
      </c>
      <c r="C895" s="193" t="str">
        <f>IF('Observaciones-SMP'!C895="","",'Observaciones-SMP'!C895)</f>
        <v/>
      </c>
      <c r="D895" s="193" t="str">
        <f>IF('Observaciones-SMP'!D895="","",'Observaciones-SMP'!D895)</f>
        <v/>
      </c>
      <c r="E895" s="193" t="str">
        <f>IF('Observaciones-SMP'!E895="","",'Observaciones-SMP'!E895)</f>
        <v/>
      </c>
      <c r="F895" s="193" t="str">
        <f>IF('Observaciones-SMP'!F895="","",'Observaciones-SMP'!F895)</f>
        <v/>
      </c>
      <c r="G895" s="193" t="str">
        <f>IF('Observaciones-SMP'!G895="","",'Observaciones-SMP'!G895)</f>
        <v/>
      </c>
      <c r="H895" s="193" t="str">
        <f>IF('Observaciones-SMP'!H895="","",'Observaciones-SMP'!H895)</f>
        <v/>
      </c>
      <c r="I895" s="193" t="str">
        <f>IF('Observaciones-SMP'!I895="","",'Observaciones-SMP'!I895)</f>
        <v/>
      </c>
      <c r="J895" s="193" t="str">
        <f>IF('Observaciones-SMP'!J895="","",'Observaciones-SMP'!J895)</f>
        <v/>
      </c>
      <c r="K895" s="193" t="str">
        <f>IF('Observaciones-SMP'!K895="","",'Observaciones-SMP'!K895)</f>
        <v/>
      </c>
      <c r="L895" s="193" t="str">
        <f>IF('Observaciones-SMP'!L895="","",'Observaciones-SMP'!L895)</f>
        <v/>
      </c>
      <c r="M895" s="193" t="str">
        <f>IF('Observaciones-SMP'!M895="","",'Observaciones-SMP'!M895)</f>
        <v/>
      </c>
      <c r="N895" s="193" t="str">
        <f>IF('Observaciones-SMP'!N895="","",'Observaciones-SMP'!N895)</f>
        <v/>
      </c>
      <c r="O895" s="193" t="str">
        <f>IF('Observaciones-SMP'!O895="","",'Observaciones-SMP'!O895)</f>
        <v/>
      </c>
      <c r="P895" s="193" t="str">
        <f>IF('Observaciones-SMP'!P895="","",'Observaciones-SMP'!P895)</f>
        <v/>
      </c>
      <c r="Q895" s="257" t="str">
        <f>IF('Observaciones-SMP'!S895="","",'Observaciones-SMP'!S895)</f>
        <v/>
      </c>
      <c r="R895" s="193" t="str">
        <f>IF('Observaciones-SMP'!T895="","",'Observaciones-SMP'!T895)</f>
        <v/>
      </c>
      <c r="S895" s="193" t="str">
        <f>""</f>
        <v/>
      </c>
      <c r="T895" s="193" t="str">
        <f>""</f>
        <v/>
      </c>
      <c r="U895" s="193" t="str">
        <f t="shared" si="52"/>
        <v/>
      </c>
      <c r="V895" s="193" t="str">
        <f>""</f>
        <v/>
      </c>
      <c r="W895" s="193" t="str">
        <f>""</f>
        <v/>
      </c>
      <c r="X895" s="258" t="str">
        <f t="shared" si="53"/>
        <v/>
      </c>
      <c r="Y895" s="258" t="str">
        <f t="shared" si="54"/>
        <v/>
      </c>
      <c r="Z895" s="193" t="str">
        <f>IF(A895="","",IF(COUNTIF('Observaciones-SMP'!$A$2:$A$1001,A895)&gt;1,1,0))</f>
        <v/>
      </c>
      <c r="AA895" s="193" t="str">
        <f t="shared" si="55"/>
        <v/>
      </c>
    </row>
    <row r="896" spans="1:27" ht="13.5" customHeight="1" x14ac:dyDescent="0.3">
      <c r="A896" s="193" t="str">
        <f>IF('Observaciones-SMP'!A896="","",'Observaciones-SMP'!A896)</f>
        <v/>
      </c>
      <c r="B896" s="257" t="str">
        <f>IF('Observaciones-SMP'!B896="","",'Observaciones-SMP'!B896)</f>
        <v/>
      </c>
      <c r="C896" s="193" t="str">
        <f>IF('Observaciones-SMP'!C896="","",'Observaciones-SMP'!C896)</f>
        <v/>
      </c>
      <c r="D896" s="193" t="str">
        <f>IF('Observaciones-SMP'!D896="","",'Observaciones-SMP'!D896)</f>
        <v/>
      </c>
      <c r="E896" s="193" t="str">
        <f>IF('Observaciones-SMP'!E896="","",'Observaciones-SMP'!E896)</f>
        <v/>
      </c>
      <c r="F896" s="193" t="str">
        <f>IF('Observaciones-SMP'!F896="","",'Observaciones-SMP'!F896)</f>
        <v/>
      </c>
      <c r="G896" s="193" t="str">
        <f>IF('Observaciones-SMP'!G896="","",'Observaciones-SMP'!G896)</f>
        <v/>
      </c>
      <c r="H896" s="193" t="str">
        <f>IF('Observaciones-SMP'!H896="","",'Observaciones-SMP'!H896)</f>
        <v/>
      </c>
      <c r="I896" s="193" t="str">
        <f>IF('Observaciones-SMP'!I896="","",'Observaciones-SMP'!I896)</f>
        <v/>
      </c>
      <c r="J896" s="193" t="str">
        <f>IF('Observaciones-SMP'!J896="","",'Observaciones-SMP'!J896)</f>
        <v/>
      </c>
      <c r="K896" s="193" t="str">
        <f>IF('Observaciones-SMP'!K896="","",'Observaciones-SMP'!K896)</f>
        <v/>
      </c>
      <c r="L896" s="193" t="str">
        <f>IF('Observaciones-SMP'!L896="","",'Observaciones-SMP'!L896)</f>
        <v/>
      </c>
      <c r="M896" s="193" t="str">
        <f>IF('Observaciones-SMP'!M896="","",'Observaciones-SMP'!M896)</f>
        <v/>
      </c>
      <c r="N896" s="193" t="str">
        <f>IF('Observaciones-SMP'!N896="","",'Observaciones-SMP'!N896)</f>
        <v/>
      </c>
      <c r="O896" s="193" t="str">
        <f>IF('Observaciones-SMP'!O896="","",'Observaciones-SMP'!O896)</f>
        <v/>
      </c>
      <c r="P896" s="193" t="str">
        <f>IF('Observaciones-SMP'!P896="","",'Observaciones-SMP'!P896)</f>
        <v/>
      </c>
      <c r="Q896" s="257" t="str">
        <f>IF('Observaciones-SMP'!S896="","",'Observaciones-SMP'!S896)</f>
        <v/>
      </c>
      <c r="R896" s="193" t="str">
        <f>IF('Observaciones-SMP'!T896="","",'Observaciones-SMP'!T896)</f>
        <v/>
      </c>
      <c r="S896" s="193" t="str">
        <f>""</f>
        <v/>
      </c>
      <c r="T896" s="193" t="str">
        <f>""</f>
        <v/>
      </c>
      <c r="U896" s="193" t="str">
        <f t="shared" si="52"/>
        <v/>
      </c>
      <c r="V896" s="193" t="str">
        <f>""</f>
        <v/>
      </c>
      <c r="W896" s="193" t="str">
        <f>""</f>
        <v/>
      </c>
      <c r="X896" s="258" t="str">
        <f t="shared" si="53"/>
        <v/>
      </c>
      <c r="Y896" s="258" t="str">
        <f t="shared" si="54"/>
        <v/>
      </c>
      <c r="Z896" s="193" t="str">
        <f>IF(A896="","",IF(COUNTIF('Observaciones-SMP'!$A$2:$A$1001,A896)&gt;1,1,0))</f>
        <v/>
      </c>
      <c r="AA896" s="193" t="str">
        <f t="shared" si="55"/>
        <v/>
      </c>
    </row>
    <row r="897" spans="1:27" ht="13.5" customHeight="1" x14ac:dyDescent="0.3">
      <c r="A897" s="193" t="str">
        <f>IF('Observaciones-SMP'!A897="","",'Observaciones-SMP'!A897)</f>
        <v/>
      </c>
      <c r="B897" s="257" t="str">
        <f>IF('Observaciones-SMP'!B897="","",'Observaciones-SMP'!B897)</f>
        <v/>
      </c>
      <c r="C897" s="193" t="str">
        <f>IF('Observaciones-SMP'!C897="","",'Observaciones-SMP'!C897)</f>
        <v/>
      </c>
      <c r="D897" s="193" t="str">
        <f>IF('Observaciones-SMP'!D897="","",'Observaciones-SMP'!D897)</f>
        <v/>
      </c>
      <c r="E897" s="193" t="str">
        <f>IF('Observaciones-SMP'!E897="","",'Observaciones-SMP'!E897)</f>
        <v/>
      </c>
      <c r="F897" s="193" t="str">
        <f>IF('Observaciones-SMP'!F897="","",'Observaciones-SMP'!F897)</f>
        <v/>
      </c>
      <c r="G897" s="193" t="str">
        <f>IF('Observaciones-SMP'!G897="","",'Observaciones-SMP'!G897)</f>
        <v/>
      </c>
      <c r="H897" s="193" t="str">
        <f>IF('Observaciones-SMP'!H897="","",'Observaciones-SMP'!H897)</f>
        <v/>
      </c>
      <c r="I897" s="193" t="str">
        <f>IF('Observaciones-SMP'!I897="","",'Observaciones-SMP'!I897)</f>
        <v/>
      </c>
      <c r="J897" s="193" t="str">
        <f>IF('Observaciones-SMP'!J897="","",'Observaciones-SMP'!J897)</f>
        <v/>
      </c>
      <c r="K897" s="193" t="str">
        <f>IF('Observaciones-SMP'!K897="","",'Observaciones-SMP'!K897)</f>
        <v/>
      </c>
      <c r="L897" s="193" t="str">
        <f>IF('Observaciones-SMP'!L897="","",'Observaciones-SMP'!L897)</f>
        <v/>
      </c>
      <c r="M897" s="193" t="str">
        <f>IF('Observaciones-SMP'!M897="","",'Observaciones-SMP'!M897)</f>
        <v/>
      </c>
      <c r="N897" s="193" t="str">
        <f>IF('Observaciones-SMP'!N897="","",'Observaciones-SMP'!N897)</f>
        <v/>
      </c>
      <c r="O897" s="193" t="str">
        <f>IF('Observaciones-SMP'!O897="","",'Observaciones-SMP'!O897)</f>
        <v/>
      </c>
      <c r="P897" s="193" t="str">
        <f>IF('Observaciones-SMP'!P897="","",'Observaciones-SMP'!P897)</f>
        <v/>
      </c>
      <c r="Q897" s="257" t="str">
        <f>IF('Observaciones-SMP'!S897="","",'Observaciones-SMP'!S897)</f>
        <v/>
      </c>
      <c r="R897" s="193" t="str">
        <f>IF('Observaciones-SMP'!T897="","",'Observaciones-SMP'!T897)</f>
        <v/>
      </c>
      <c r="S897" s="193" t="str">
        <f>""</f>
        <v/>
      </c>
      <c r="T897" s="193" t="str">
        <f>""</f>
        <v/>
      </c>
      <c r="U897" s="193" t="str">
        <f t="shared" si="52"/>
        <v/>
      </c>
      <c r="V897" s="193" t="str">
        <f>""</f>
        <v/>
      </c>
      <c r="W897" s="193" t="str">
        <f>""</f>
        <v/>
      </c>
      <c r="X897" s="258" t="str">
        <f t="shared" si="53"/>
        <v/>
      </c>
      <c r="Y897" s="258" t="str">
        <f t="shared" si="54"/>
        <v/>
      </c>
      <c r="Z897" s="193" t="str">
        <f>IF(A897="","",IF(COUNTIF('Observaciones-SMP'!$A$2:$A$1001,A897)&gt;1,1,0))</f>
        <v/>
      </c>
      <c r="AA897" s="193" t="str">
        <f t="shared" si="55"/>
        <v/>
      </c>
    </row>
    <row r="898" spans="1:27" ht="13.5" customHeight="1" x14ac:dyDescent="0.3">
      <c r="A898" s="193" t="str">
        <f>IF('Observaciones-SMP'!A898="","",'Observaciones-SMP'!A898)</f>
        <v/>
      </c>
      <c r="B898" s="257" t="str">
        <f>IF('Observaciones-SMP'!B898="","",'Observaciones-SMP'!B898)</f>
        <v/>
      </c>
      <c r="C898" s="193" t="str">
        <f>IF('Observaciones-SMP'!C898="","",'Observaciones-SMP'!C898)</f>
        <v/>
      </c>
      <c r="D898" s="193" t="str">
        <f>IF('Observaciones-SMP'!D898="","",'Observaciones-SMP'!D898)</f>
        <v/>
      </c>
      <c r="E898" s="193" t="str">
        <f>IF('Observaciones-SMP'!E898="","",'Observaciones-SMP'!E898)</f>
        <v/>
      </c>
      <c r="F898" s="193" t="str">
        <f>IF('Observaciones-SMP'!F898="","",'Observaciones-SMP'!F898)</f>
        <v/>
      </c>
      <c r="G898" s="193" t="str">
        <f>IF('Observaciones-SMP'!G898="","",'Observaciones-SMP'!G898)</f>
        <v/>
      </c>
      <c r="H898" s="193" t="str">
        <f>IF('Observaciones-SMP'!H898="","",'Observaciones-SMP'!H898)</f>
        <v/>
      </c>
      <c r="I898" s="193" t="str">
        <f>IF('Observaciones-SMP'!I898="","",'Observaciones-SMP'!I898)</f>
        <v/>
      </c>
      <c r="J898" s="193" t="str">
        <f>IF('Observaciones-SMP'!J898="","",'Observaciones-SMP'!J898)</f>
        <v/>
      </c>
      <c r="K898" s="193" t="str">
        <f>IF('Observaciones-SMP'!K898="","",'Observaciones-SMP'!K898)</f>
        <v/>
      </c>
      <c r="L898" s="193" t="str">
        <f>IF('Observaciones-SMP'!L898="","",'Observaciones-SMP'!L898)</f>
        <v/>
      </c>
      <c r="M898" s="193" t="str">
        <f>IF('Observaciones-SMP'!M898="","",'Observaciones-SMP'!M898)</f>
        <v/>
      </c>
      <c r="N898" s="193" t="str">
        <f>IF('Observaciones-SMP'!N898="","",'Observaciones-SMP'!N898)</f>
        <v/>
      </c>
      <c r="O898" s="193" t="str">
        <f>IF('Observaciones-SMP'!O898="","",'Observaciones-SMP'!O898)</f>
        <v/>
      </c>
      <c r="P898" s="193" t="str">
        <f>IF('Observaciones-SMP'!P898="","",'Observaciones-SMP'!P898)</f>
        <v/>
      </c>
      <c r="Q898" s="257" t="str">
        <f>IF('Observaciones-SMP'!S898="","",'Observaciones-SMP'!S898)</f>
        <v/>
      </c>
      <c r="R898" s="193" t="str">
        <f>IF('Observaciones-SMP'!T898="","",'Observaciones-SMP'!T898)</f>
        <v/>
      </c>
      <c r="S898" s="193" t="str">
        <f>""</f>
        <v/>
      </c>
      <c r="T898" s="193" t="str">
        <f>""</f>
        <v/>
      </c>
      <c r="U898" s="193" t="str">
        <f t="shared" ref="U898:U961" si="56">IF(AND(ISNUMBER(B898),ISNUMBER(Q898)),IF(Q898&gt;=B898,Q898-B898,""),"")</f>
        <v/>
      </c>
      <c r="V898" s="193" t="str">
        <f>""</f>
        <v/>
      </c>
      <c r="W898" s="193" t="str">
        <f>""</f>
        <v/>
      </c>
      <c r="X898" s="258" t="str">
        <f t="shared" ref="X898:X961" si="57">IF(ISNUMBER(B898),DATE(YEAR(B898),MONTH(B898),1),"")</f>
        <v/>
      </c>
      <c r="Y898" s="258" t="str">
        <f t="shared" ref="Y898:Y961" si="58">IF(ISNUMBER(Q898),DATE(YEAR(Q898),MONTH(Q898),1),"")</f>
        <v/>
      </c>
      <c r="Z898" s="193" t="str">
        <f>IF(A898="","",IF(COUNTIF('Observaciones-SMP'!$A$2:$A$1001,A898)&gt;1,1,0))</f>
        <v/>
      </c>
      <c r="AA898" s="193" t="str">
        <f t="shared" ref="AA898:AA961" si="59">IF(ISNUMBER(B898),IF(ISNUMBER(Q898),Q898,DATE(YEAR(RPT_MONTH),MONTH(RPT_MONTH)+1,0))-B898,"")</f>
        <v/>
      </c>
    </row>
    <row r="899" spans="1:27" ht="13.5" customHeight="1" x14ac:dyDescent="0.3">
      <c r="A899" s="193" t="str">
        <f>IF('Observaciones-SMP'!A899="","",'Observaciones-SMP'!A899)</f>
        <v/>
      </c>
      <c r="B899" s="257" t="str">
        <f>IF('Observaciones-SMP'!B899="","",'Observaciones-SMP'!B899)</f>
        <v/>
      </c>
      <c r="C899" s="193" t="str">
        <f>IF('Observaciones-SMP'!C899="","",'Observaciones-SMP'!C899)</f>
        <v/>
      </c>
      <c r="D899" s="193" t="str">
        <f>IF('Observaciones-SMP'!D899="","",'Observaciones-SMP'!D899)</f>
        <v/>
      </c>
      <c r="E899" s="193" t="str">
        <f>IF('Observaciones-SMP'!E899="","",'Observaciones-SMP'!E899)</f>
        <v/>
      </c>
      <c r="F899" s="193" t="str">
        <f>IF('Observaciones-SMP'!F899="","",'Observaciones-SMP'!F899)</f>
        <v/>
      </c>
      <c r="G899" s="193" t="str">
        <f>IF('Observaciones-SMP'!G899="","",'Observaciones-SMP'!G899)</f>
        <v/>
      </c>
      <c r="H899" s="193" t="str">
        <f>IF('Observaciones-SMP'!H899="","",'Observaciones-SMP'!H899)</f>
        <v/>
      </c>
      <c r="I899" s="193" t="str">
        <f>IF('Observaciones-SMP'!I899="","",'Observaciones-SMP'!I899)</f>
        <v/>
      </c>
      <c r="J899" s="193" t="str">
        <f>IF('Observaciones-SMP'!J899="","",'Observaciones-SMP'!J899)</f>
        <v/>
      </c>
      <c r="K899" s="193" t="str">
        <f>IF('Observaciones-SMP'!K899="","",'Observaciones-SMP'!K899)</f>
        <v/>
      </c>
      <c r="L899" s="193" t="str">
        <f>IF('Observaciones-SMP'!L899="","",'Observaciones-SMP'!L899)</f>
        <v/>
      </c>
      <c r="M899" s="193" t="str">
        <f>IF('Observaciones-SMP'!M899="","",'Observaciones-SMP'!M899)</f>
        <v/>
      </c>
      <c r="N899" s="193" t="str">
        <f>IF('Observaciones-SMP'!N899="","",'Observaciones-SMP'!N899)</f>
        <v/>
      </c>
      <c r="O899" s="193" t="str">
        <f>IF('Observaciones-SMP'!O899="","",'Observaciones-SMP'!O899)</f>
        <v/>
      </c>
      <c r="P899" s="193" t="str">
        <f>IF('Observaciones-SMP'!P899="","",'Observaciones-SMP'!P899)</f>
        <v/>
      </c>
      <c r="Q899" s="257" t="str">
        <f>IF('Observaciones-SMP'!S899="","",'Observaciones-SMP'!S899)</f>
        <v/>
      </c>
      <c r="R899" s="193" t="str">
        <f>IF('Observaciones-SMP'!T899="","",'Observaciones-SMP'!T899)</f>
        <v/>
      </c>
      <c r="S899" s="193" t="str">
        <f>""</f>
        <v/>
      </c>
      <c r="T899" s="193" t="str">
        <f>""</f>
        <v/>
      </c>
      <c r="U899" s="193" t="str">
        <f t="shared" si="56"/>
        <v/>
      </c>
      <c r="V899" s="193" t="str">
        <f>""</f>
        <v/>
      </c>
      <c r="W899" s="193" t="str">
        <f>""</f>
        <v/>
      </c>
      <c r="X899" s="258" t="str">
        <f t="shared" si="57"/>
        <v/>
      </c>
      <c r="Y899" s="258" t="str">
        <f t="shared" si="58"/>
        <v/>
      </c>
      <c r="Z899" s="193" t="str">
        <f>IF(A899="","",IF(COUNTIF('Observaciones-SMP'!$A$2:$A$1001,A899)&gt;1,1,0))</f>
        <v/>
      </c>
      <c r="AA899" s="193" t="str">
        <f t="shared" si="59"/>
        <v/>
      </c>
    </row>
    <row r="900" spans="1:27" ht="13.5" customHeight="1" x14ac:dyDescent="0.3">
      <c r="A900" s="193" t="str">
        <f>IF('Observaciones-SMP'!A900="","",'Observaciones-SMP'!A900)</f>
        <v/>
      </c>
      <c r="B900" s="257" t="str">
        <f>IF('Observaciones-SMP'!B900="","",'Observaciones-SMP'!B900)</f>
        <v/>
      </c>
      <c r="C900" s="193" t="str">
        <f>IF('Observaciones-SMP'!C900="","",'Observaciones-SMP'!C900)</f>
        <v/>
      </c>
      <c r="D900" s="193" t="str">
        <f>IF('Observaciones-SMP'!D900="","",'Observaciones-SMP'!D900)</f>
        <v/>
      </c>
      <c r="E900" s="193" t="str">
        <f>IF('Observaciones-SMP'!E900="","",'Observaciones-SMP'!E900)</f>
        <v/>
      </c>
      <c r="F900" s="193" t="str">
        <f>IF('Observaciones-SMP'!F900="","",'Observaciones-SMP'!F900)</f>
        <v/>
      </c>
      <c r="G900" s="193" t="str">
        <f>IF('Observaciones-SMP'!G900="","",'Observaciones-SMP'!G900)</f>
        <v/>
      </c>
      <c r="H900" s="193" t="str">
        <f>IF('Observaciones-SMP'!H900="","",'Observaciones-SMP'!H900)</f>
        <v/>
      </c>
      <c r="I900" s="193" t="str">
        <f>IF('Observaciones-SMP'!I900="","",'Observaciones-SMP'!I900)</f>
        <v/>
      </c>
      <c r="J900" s="193" t="str">
        <f>IF('Observaciones-SMP'!J900="","",'Observaciones-SMP'!J900)</f>
        <v/>
      </c>
      <c r="K900" s="193" t="str">
        <f>IF('Observaciones-SMP'!K900="","",'Observaciones-SMP'!K900)</f>
        <v/>
      </c>
      <c r="L900" s="193" t="str">
        <f>IF('Observaciones-SMP'!L900="","",'Observaciones-SMP'!L900)</f>
        <v/>
      </c>
      <c r="M900" s="193" t="str">
        <f>IF('Observaciones-SMP'!M900="","",'Observaciones-SMP'!M900)</f>
        <v/>
      </c>
      <c r="N900" s="193" t="str">
        <f>IF('Observaciones-SMP'!N900="","",'Observaciones-SMP'!N900)</f>
        <v/>
      </c>
      <c r="O900" s="193" t="str">
        <f>IF('Observaciones-SMP'!O900="","",'Observaciones-SMP'!O900)</f>
        <v/>
      </c>
      <c r="P900" s="193" t="str">
        <f>IF('Observaciones-SMP'!P900="","",'Observaciones-SMP'!P900)</f>
        <v/>
      </c>
      <c r="Q900" s="257" t="str">
        <f>IF('Observaciones-SMP'!S900="","",'Observaciones-SMP'!S900)</f>
        <v/>
      </c>
      <c r="R900" s="193" t="str">
        <f>IF('Observaciones-SMP'!T900="","",'Observaciones-SMP'!T900)</f>
        <v/>
      </c>
      <c r="S900" s="193" t="str">
        <f>""</f>
        <v/>
      </c>
      <c r="T900" s="193" t="str">
        <f>""</f>
        <v/>
      </c>
      <c r="U900" s="193" t="str">
        <f t="shared" si="56"/>
        <v/>
      </c>
      <c r="V900" s="193" t="str">
        <f>""</f>
        <v/>
      </c>
      <c r="W900" s="193" t="str">
        <f>""</f>
        <v/>
      </c>
      <c r="X900" s="258" t="str">
        <f t="shared" si="57"/>
        <v/>
      </c>
      <c r="Y900" s="258" t="str">
        <f t="shared" si="58"/>
        <v/>
      </c>
      <c r="Z900" s="193" t="str">
        <f>IF(A900="","",IF(COUNTIF('Observaciones-SMP'!$A$2:$A$1001,A900)&gt;1,1,0))</f>
        <v/>
      </c>
      <c r="AA900" s="193" t="str">
        <f t="shared" si="59"/>
        <v/>
      </c>
    </row>
    <row r="901" spans="1:27" ht="13.5" customHeight="1" x14ac:dyDescent="0.3">
      <c r="A901" s="193" t="str">
        <f>IF('Observaciones-SMP'!A901="","",'Observaciones-SMP'!A901)</f>
        <v/>
      </c>
      <c r="B901" s="257" t="str">
        <f>IF('Observaciones-SMP'!B901="","",'Observaciones-SMP'!B901)</f>
        <v/>
      </c>
      <c r="C901" s="193" t="str">
        <f>IF('Observaciones-SMP'!C901="","",'Observaciones-SMP'!C901)</f>
        <v/>
      </c>
      <c r="D901" s="193" t="str">
        <f>IF('Observaciones-SMP'!D901="","",'Observaciones-SMP'!D901)</f>
        <v/>
      </c>
      <c r="E901" s="193" t="str">
        <f>IF('Observaciones-SMP'!E901="","",'Observaciones-SMP'!E901)</f>
        <v/>
      </c>
      <c r="F901" s="193" t="str">
        <f>IF('Observaciones-SMP'!F901="","",'Observaciones-SMP'!F901)</f>
        <v/>
      </c>
      <c r="G901" s="193" t="str">
        <f>IF('Observaciones-SMP'!G901="","",'Observaciones-SMP'!G901)</f>
        <v/>
      </c>
      <c r="H901" s="193" t="str">
        <f>IF('Observaciones-SMP'!H901="","",'Observaciones-SMP'!H901)</f>
        <v/>
      </c>
      <c r="I901" s="193" t="str">
        <f>IF('Observaciones-SMP'!I901="","",'Observaciones-SMP'!I901)</f>
        <v/>
      </c>
      <c r="J901" s="193" t="str">
        <f>IF('Observaciones-SMP'!J901="","",'Observaciones-SMP'!J901)</f>
        <v/>
      </c>
      <c r="K901" s="193" t="str">
        <f>IF('Observaciones-SMP'!K901="","",'Observaciones-SMP'!K901)</f>
        <v/>
      </c>
      <c r="L901" s="193" t="str">
        <f>IF('Observaciones-SMP'!L901="","",'Observaciones-SMP'!L901)</f>
        <v/>
      </c>
      <c r="M901" s="193" t="str">
        <f>IF('Observaciones-SMP'!M901="","",'Observaciones-SMP'!M901)</f>
        <v/>
      </c>
      <c r="N901" s="193" t="str">
        <f>IF('Observaciones-SMP'!N901="","",'Observaciones-SMP'!N901)</f>
        <v/>
      </c>
      <c r="O901" s="193" t="str">
        <f>IF('Observaciones-SMP'!O901="","",'Observaciones-SMP'!O901)</f>
        <v/>
      </c>
      <c r="P901" s="193" t="str">
        <f>IF('Observaciones-SMP'!P901="","",'Observaciones-SMP'!P901)</f>
        <v/>
      </c>
      <c r="Q901" s="257" t="str">
        <f>IF('Observaciones-SMP'!S901="","",'Observaciones-SMP'!S901)</f>
        <v/>
      </c>
      <c r="R901" s="193" t="str">
        <f>IF('Observaciones-SMP'!T901="","",'Observaciones-SMP'!T901)</f>
        <v/>
      </c>
      <c r="S901" s="193" t="str">
        <f>""</f>
        <v/>
      </c>
      <c r="T901" s="193" t="str">
        <f>""</f>
        <v/>
      </c>
      <c r="U901" s="193" t="str">
        <f t="shared" si="56"/>
        <v/>
      </c>
      <c r="V901" s="193" t="str">
        <f>""</f>
        <v/>
      </c>
      <c r="W901" s="193" t="str">
        <f>""</f>
        <v/>
      </c>
      <c r="X901" s="258" t="str">
        <f t="shared" si="57"/>
        <v/>
      </c>
      <c r="Y901" s="258" t="str">
        <f t="shared" si="58"/>
        <v/>
      </c>
      <c r="Z901" s="193" t="str">
        <f>IF(A901="","",IF(COUNTIF('Observaciones-SMP'!$A$2:$A$1001,A901)&gt;1,1,0))</f>
        <v/>
      </c>
      <c r="AA901" s="193" t="str">
        <f t="shared" si="59"/>
        <v/>
      </c>
    </row>
    <row r="902" spans="1:27" ht="13.5" customHeight="1" x14ac:dyDescent="0.3">
      <c r="A902" s="193" t="str">
        <f>IF('Observaciones-SMP'!A902="","",'Observaciones-SMP'!A902)</f>
        <v/>
      </c>
      <c r="B902" s="257" t="str">
        <f>IF('Observaciones-SMP'!B902="","",'Observaciones-SMP'!B902)</f>
        <v/>
      </c>
      <c r="C902" s="193" t="str">
        <f>IF('Observaciones-SMP'!C902="","",'Observaciones-SMP'!C902)</f>
        <v/>
      </c>
      <c r="D902" s="193" t="str">
        <f>IF('Observaciones-SMP'!D902="","",'Observaciones-SMP'!D902)</f>
        <v/>
      </c>
      <c r="E902" s="193" t="str">
        <f>IF('Observaciones-SMP'!E902="","",'Observaciones-SMP'!E902)</f>
        <v/>
      </c>
      <c r="F902" s="193" t="str">
        <f>IF('Observaciones-SMP'!F902="","",'Observaciones-SMP'!F902)</f>
        <v/>
      </c>
      <c r="G902" s="193" t="str">
        <f>IF('Observaciones-SMP'!G902="","",'Observaciones-SMP'!G902)</f>
        <v/>
      </c>
      <c r="H902" s="193" t="str">
        <f>IF('Observaciones-SMP'!H902="","",'Observaciones-SMP'!H902)</f>
        <v/>
      </c>
      <c r="I902" s="193" t="str">
        <f>IF('Observaciones-SMP'!I902="","",'Observaciones-SMP'!I902)</f>
        <v/>
      </c>
      <c r="J902" s="193" t="str">
        <f>IF('Observaciones-SMP'!J902="","",'Observaciones-SMP'!J902)</f>
        <v/>
      </c>
      <c r="K902" s="193" t="str">
        <f>IF('Observaciones-SMP'!K902="","",'Observaciones-SMP'!K902)</f>
        <v/>
      </c>
      <c r="L902" s="193" t="str">
        <f>IF('Observaciones-SMP'!L902="","",'Observaciones-SMP'!L902)</f>
        <v/>
      </c>
      <c r="M902" s="193" t="str">
        <f>IF('Observaciones-SMP'!M902="","",'Observaciones-SMP'!M902)</f>
        <v/>
      </c>
      <c r="N902" s="193" t="str">
        <f>IF('Observaciones-SMP'!N902="","",'Observaciones-SMP'!N902)</f>
        <v/>
      </c>
      <c r="O902" s="193" t="str">
        <f>IF('Observaciones-SMP'!O902="","",'Observaciones-SMP'!O902)</f>
        <v/>
      </c>
      <c r="P902" s="193" t="str">
        <f>IF('Observaciones-SMP'!P902="","",'Observaciones-SMP'!P902)</f>
        <v/>
      </c>
      <c r="Q902" s="257" t="str">
        <f>IF('Observaciones-SMP'!S902="","",'Observaciones-SMP'!S902)</f>
        <v/>
      </c>
      <c r="R902" s="193" t="str">
        <f>IF('Observaciones-SMP'!T902="","",'Observaciones-SMP'!T902)</f>
        <v/>
      </c>
      <c r="S902" s="193" t="str">
        <f>""</f>
        <v/>
      </c>
      <c r="T902" s="193" t="str">
        <f>""</f>
        <v/>
      </c>
      <c r="U902" s="193" t="str">
        <f t="shared" si="56"/>
        <v/>
      </c>
      <c r="V902" s="193" t="str">
        <f>""</f>
        <v/>
      </c>
      <c r="W902" s="193" t="str">
        <f>""</f>
        <v/>
      </c>
      <c r="X902" s="258" t="str">
        <f t="shared" si="57"/>
        <v/>
      </c>
      <c r="Y902" s="258" t="str">
        <f t="shared" si="58"/>
        <v/>
      </c>
      <c r="Z902" s="193" t="str">
        <f>IF(A902="","",IF(COUNTIF('Observaciones-SMP'!$A$2:$A$1001,A902)&gt;1,1,0))</f>
        <v/>
      </c>
      <c r="AA902" s="193" t="str">
        <f t="shared" si="59"/>
        <v/>
      </c>
    </row>
    <row r="903" spans="1:27" ht="13.5" customHeight="1" x14ac:dyDescent="0.3">
      <c r="A903" s="193" t="str">
        <f>IF('Observaciones-SMP'!A903="","",'Observaciones-SMP'!A903)</f>
        <v/>
      </c>
      <c r="B903" s="257" t="str">
        <f>IF('Observaciones-SMP'!B903="","",'Observaciones-SMP'!B903)</f>
        <v/>
      </c>
      <c r="C903" s="193" t="str">
        <f>IF('Observaciones-SMP'!C903="","",'Observaciones-SMP'!C903)</f>
        <v/>
      </c>
      <c r="D903" s="193" t="str">
        <f>IF('Observaciones-SMP'!D903="","",'Observaciones-SMP'!D903)</f>
        <v/>
      </c>
      <c r="E903" s="193" t="str">
        <f>IF('Observaciones-SMP'!E903="","",'Observaciones-SMP'!E903)</f>
        <v/>
      </c>
      <c r="F903" s="193" t="str">
        <f>IF('Observaciones-SMP'!F903="","",'Observaciones-SMP'!F903)</f>
        <v/>
      </c>
      <c r="G903" s="193" t="str">
        <f>IF('Observaciones-SMP'!G903="","",'Observaciones-SMP'!G903)</f>
        <v/>
      </c>
      <c r="H903" s="193" t="str">
        <f>IF('Observaciones-SMP'!H903="","",'Observaciones-SMP'!H903)</f>
        <v/>
      </c>
      <c r="I903" s="193" t="str">
        <f>IF('Observaciones-SMP'!I903="","",'Observaciones-SMP'!I903)</f>
        <v/>
      </c>
      <c r="J903" s="193" t="str">
        <f>IF('Observaciones-SMP'!J903="","",'Observaciones-SMP'!J903)</f>
        <v/>
      </c>
      <c r="K903" s="193" t="str">
        <f>IF('Observaciones-SMP'!K903="","",'Observaciones-SMP'!K903)</f>
        <v/>
      </c>
      <c r="L903" s="193" t="str">
        <f>IF('Observaciones-SMP'!L903="","",'Observaciones-SMP'!L903)</f>
        <v/>
      </c>
      <c r="M903" s="193" t="str">
        <f>IF('Observaciones-SMP'!M903="","",'Observaciones-SMP'!M903)</f>
        <v/>
      </c>
      <c r="N903" s="193" t="str">
        <f>IF('Observaciones-SMP'!N903="","",'Observaciones-SMP'!N903)</f>
        <v/>
      </c>
      <c r="O903" s="193" t="str">
        <f>IF('Observaciones-SMP'!O903="","",'Observaciones-SMP'!O903)</f>
        <v/>
      </c>
      <c r="P903" s="193" t="str">
        <f>IF('Observaciones-SMP'!P903="","",'Observaciones-SMP'!P903)</f>
        <v/>
      </c>
      <c r="Q903" s="257" t="str">
        <f>IF('Observaciones-SMP'!S903="","",'Observaciones-SMP'!S903)</f>
        <v/>
      </c>
      <c r="R903" s="193" t="str">
        <f>IF('Observaciones-SMP'!T903="","",'Observaciones-SMP'!T903)</f>
        <v/>
      </c>
      <c r="S903" s="193" t="str">
        <f>""</f>
        <v/>
      </c>
      <c r="T903" s="193" t="str">
        <f>""</f>
        <v/>
      </c>
      <c r="U903" s="193" t="str">
        <f t="shared" si="56"/>
        <v/>
      </c>
      <c r="V903" s="193" t="str">
        <f>""</f>
        <v/>
      </c>
      <c r="W903" s="193" t="str">
        <f>""</f>
        <v/>
      </c>
      <c r="X903" s="258" t="str">
        <f t="shared" si="57"/>
        <v/>
      </c>
      <c r="Y903" s="258" t="str">
        <f t="shared" si="58"/>
        <v/>
      </c>
      <c r="Z903" s="193" t="str">
        <f>IF(A903="","",IF(COUNTIF('Observaciones-SMP'!$A$2:$A$1001,A903)&gt;1,1,0))</f>
        <v/>
      </c>
      <c r="AA903" s="193" t="str">
        <f t="shared" si="59"/>
        <v/>
      </c>
    </row>
    <row r="904" spans="1:27" ht="13.5" customHeight="1" x14ac:dyDescent="0.3">
      <c r="A904" s="193" t="str">
        <f>IF('Observaciones-SMP'!A904="","",'Observaciones-SMP'!A904)</f>
        <v/>
      </c>
      <c r="B904" s="257" t="str">
        <f>IF('Observaciones-SMP'!B904="","",'Observaciones-SMP'!B904)</f>
        <v/>
      </c>
      <c r="C904" s="193" t="str">
        <f>IF('Observaciones-SMP'!C904="","",'Observaciones-SMP'!C904)</f>
        <v/>
      </c>
      <c r="D904" s="193" t="str">
        <f>IF('Observaciones-SMP'!D904="","",'Observaciones-SMP'!D904)</f>
        <v/>
      </c>
      <c r="E904" s="193" t="str">
        <f>IF('Observaciones-SMP'!E904="","",'Observaciones-SMP'!E904)</f>
        <v/>
      </c>
      <c r="F904" s="193" t="str">
        <f>IF('Observaciones-SMP'!F904="","",'Observaciones-SMP'!F904)</f>
        <v/>
      </c>
      <c r="G904" s="193" t="str">
        <f>IF('Observaciones-SMP'!G904="","",'Observaciones-SMP'!G904)</f>
        <v/>
      </c>
      <c r="H904" s="193" t="str">
        <f>IF('Observaciones-SMP'!H904="","",'Observaciones-SMP'!H904)</f>
        <v/>
      </c>
      <c r="I904" s="193" t="str">
        <f>IF('Observaciones-SMP'!I904="","",'Observaciones-SMP'!I904)</f>
        <v/>
      </c>
      <c r="J904" s="193" t="str">
        <f>IF('Observaciones-SMP'!J904="","",'Observaciones-SMP'!J904)</f>
        <v/>
      </c>
      <c r="K904" s="193" t="str">
        <f>IF('Observaciones-SMP'!K904="","",'Observaciones-SMP'!K904)</f>
        <v/>
      </c>
      <c r="L904" s="193" t="str">
        <f>IF('Observaciones-SMP'!L904="","",'Observaciones-SMP'!L904)</f>
        <v/>
      </c>
      <c r="M904" s="193" t="str">
        <f>IF('Observaciones-SMP'!M904="","",'Observaciones-SMP'!M904)</f>
        <v/>
      </c>
      <c r="N904" s="193" t="str">
        <f>IF('Observaciones-SMP'!N904="","",'Observaciones-SMP'!N904)</f>
        <v/>
      </c>
      <c r="O904" s="193" t="str">
        <f>IF('Observaciones-SMP'!O904="","",'Observaciones-SMP'!O904)</f>
        <v/>
      </c>
      <c r="P904" s="193" t="str">
        <f>IF('Observaciones-SMP'!P904="","",'Observaciones-SMP'!P904)</f>
        <v/>
      </c>
      <c r="Q904" s="257" t="str">
        <f>IF('Observaciones-SMP'!S904="","",'Observaciones-SMP'!S904)</f>
        <v/>
      </c>
      <c r="R904" s="193" t="str">
        <f>IF('Observaciones-SMP'!T904="","",'Observaciones-SMP'!T904)</f>
        <v/>
      </c>
      <c r="S904" s="193" t="str">
        <f>""</f>
        <v/>
      </c>
      <c r="T904" s="193" t="str">
        <f>""</f>
        <v/>
      </c>
      <c r="U904" s="193" t="str">
        <f t="shared" si="56"/>
        <v/>
      </c>
      <c r="V904" s="193" t="str">
        <f>""</f>
        <v/>
      </c>
      <c r="W904" s="193" t="str">
        <f>""</f>
        <v/>
      </c>
      <c r="X904" s="258" t="str">
        <f t="shared" si="57"/>
        <v/>
      </c>
      <c r="Y904" s="258" t="str">
        <f t="shared" si="58"/>
        <v/>
      </c>
      <c r="Z904" s="193" t="str">
        <f>IF(A904="","",IF(COUNTIF('Observaciones-SMP'!$A$2:$A$1001,A904)&gt;1,1,0))</f>
        <v/>
      </c>
      <c r="AA904" s="193" t="str">
        <f t="shared" si="59"/>
        <v/>
      </c>
    </row>
    <row r="905" spans="1:27" ht="13.5" customHeight="1" x14ac:dyDescent="0.3">
      <c r="A905" s="193" t="str">
        <f>IF('Observaciones-SMP'!A905="","",'Observaciones-SMP'!A905)</f>
        <v/>
      </c>
      <c r="B905" s="257" t="str">
        <f>IF('Observaciones-SMP'!B905="","",'Observaciones-SMP'!B905)</f>
        <v/>
      </c>
      <c r="C905" s="193" t="str">
        <f>IF('Observaciones-SMP'!C905="","",'Observaciones-SMP'!C905)</f>
        <v/>
      </c>
      <c r="D905" s="193" t="str">
        <f>IF('Observaciones-SMP'!D905="","",'Observaciones-SMP'!D905)</f>
        <v/>
      </c>
      <c r="E905" s="193" t="str">
        <f>IF('Observaciones-SMP'!E905="","",'Observaciones-SMP'!E905)</f>
        <v/>
      </c>
      <c r="F905" s="193" t="str">
        <f>IF('Observaciones-SMP'!F905="","",'Observaciones-SMP'!F905)</f>
        <v/>
      </c>
      <c r="G905" s="193" t="str">
        <f>IF('Observaciones-SMP'!G905="","",'Observaciones-SMP'!G905)</f>
        <v/>
      </c>
      <c r="H905" s="193" t="str">
        <f>IF('Observaciones-SMP'!H905="","",'Observaciones-SMP'!H905)</f>
        <v/>
      </c>
      <c r="I905" s="193" t="str">
        <f>IF('Observaciones-SMP'!I905="","",'Observaciones-SMP'!I905)</f>
        <v/>
      </c>
      <c r="J905" s="193" t="str">
        <f>IF('Observaciones-SMP'!J905="","",'Observaciones-SMP'!J905)</f>
        <v/>
      </c>
      <c r="K905" s="193" t="str">
        <f>IF('Observaciones-SMP'!K905="","",'Observaciones-SMP'!K905)</f>
        <v/>
      </c>
      <c r="L905" s="193" t="str">
        <f>IF('Observaciones-SMP'!L905="","",'Observaciones-SMP'!L905)</f>
        <v/>
      </c>
      <c r="M905" s="193" t="str">
        <f>IF('Observaciones-SMP'!M905="","",'Observaciones-SMP'!M905)</f>
        <v/>
      </c>
      <c r="N905" s="193" t="str">
        <f>IF('Observaciones-SMP'!N905="","",'Observaciones-SMP'!N905)</f>
        <v/>
      </c>
      <c r="O905" s="193" t="str">
        <f>IF('Observaciones-SMP'!O905="","",'Observaciones-SMP'!O905)</f>
        <v/>
      </c>
      <c r="P905" s="193" t="str">
        <f>IF('Observaciones-SMP'!P905="","",'Observaciones-SMP'!P905)</f>
        <v/>
      </c>
      <c r="Q905" s="257" t="str">
        <f>IF('Observaciones-SMP'!S905="","",'Observaciones-SMP'!S905)</f>
        <v/>
      </c>
      <c r="R905" s="193" t="str">
        <f>IF('Observaciones-SMP'!T905="","",'Observaciones-SMP'!T905)</f>
        <v/>
      </c>
      <c r="S905" s="193" t="str">
        <f>""</f>
        <v/>
      </c>
      <c r="T905" s="193" t="str">
        <f>""</f>
        <v/>
      </c>
      <c r="U905" s="193" t="str">
        <f t="shared" si="56"/>
        <v/>
      </c>
      <c r="V905" s="193" t="str">
        <f>""</f>
        <v/>
      </c>
      <c r="W905" s="193" t="str">
        <f>""</f>
        <v/>
      </c>
      <c r="X905" s="258" t="str">
        <f t="shared" si="57"/>
        <v/>
      </c>
      <c r="Y905" s="258" t="str">
        <f t="shared" si="58"/>
        <v/>
      </c>
      <c r="Z905" s="193" t="str">
        <f>IF(A905="","",IF(COUNTIF('Observaciones-SMP'!$A$2:$A$1001,A905)&gt;1,1,0))</f>
        <v/>
      </c>
      <c r="AA905" s="193" t="str">
        <f t="shared" si="59"/>
        <v/>
      </c>
    </row>
    <row r="906" spans="1:27" ht="13.5" customHeight="1" x14ac:dyDescent="0.3">
      <c r="A906" s="193" t="str">
        <f>IF('Observaciones-SMP'!A906="","",'Observaciones-SMP'!A906)</f>
        <v/>
      </c>
      <c r="B906" s="257" t="str">
        <f>IF('Observaciones-SMP'!B906="","",'Observaciones-SMP'!B906)</f>
        <v/>
      </c>
      <c r="C906" s="193" t="str">
        <f>IF('Observaciones-SMP'!C906="","",'Observaciones-SMP'!C906)</f>
        <v/>
      </c>
      <c r="D906" s="193" t="str">
        <f>IF('Observaciones-SMP'!D906="","",'Observaciones-SMP'!D906)</f>
        <v/>
      </c>
      <c r="E906" s="193" t="str">
        <f>IF('Observaciones-SMP'!E906="","",'Observaciones-SMP'!E906)</f>
        <v/>
      </c>
      <c r="F906" s="193" t="str">
        <f>IF('Observaciones-SMP'!F906="","",'Observaciones-SMP'!F906)</f>
        <v/>
      </c>
      <c r="G906" s="193" t="str">
        <f>IF('Observaciones-SMP'!G906="","",'Observaciones-SMP'!G906)</f>
        <v/>
      </c>
      <c r="H906" s="193" t="str">
        <f>IF('Observaciones-SMP'!H906="","",'Observaciones-SMP'!H906)</f>
        <v/>
      </c>
      <c r="I906" s="193" t="str">
        <f>IF('Observaciones-SMP'!I906="","",'Observaciones-SMP'!I906)</f>
        <v/>
      </c>
      <c r="J906" s="193" t="str">
        <f>IF('Observaciones-SMP'!J906="","",'Observaciones-SMP'!J906)</f>
        <v/>
      </c>
      <c r="K906" s="193" t="str">
        <f>IF('Observaciones-SMP'!K906="","",'Observaciones-SMP'!K906)</f>
        <v/>
      </c>
      <c r="L906" s="193" t="str">
        <f>IF('Observaciones-SMP'!L906="","",'Observaciones-SMP'!L906)</f>
        <v/>
      </c>
      <c r="M906" s="193" t="str">
        <f>IF('Observaciones-SMP'!M906="","",'Observaciones-SMP'!M906)</f>
        <v/>
      </c>
      <c r="N906" s="193" t="str">
        <f>IF('Observaciones-SMP'!N906="","",'Observaciones-SMP'!N906)</f>
        <v/>
      </c>
      <c r="O906" s="193" t="str">
        <f>IF('Observaciones-SMP'!O906="","",'Observaciones-SMP'!O906)</f>
        <v/>
      </c>
      <c r="P906" s="193" t="str">
        <f>IF('Observaciones-SMP'!P906="","",'Observaciones-SMP'!P906)</f>
        <v/>
      </c>
      <c r="Q906" s="257" t="str">
        <f>IF('Observaciones-SMP'!S906="","",'Observaciones-SMP'!S906)</f>
        <v/>
      </c>
      <c r="R906" s="193" t="str">
        <f>IF('Observaciones-SMP'!T906="","",'Observaciones-SMP'!T906)</f>
        <v/>
      </c>
      <c r="S906" s="193" t="str">
        <f>""</f>
        <v/>
      </c>
      <c r="T906" s="193" t="str">
        <f>""</f>
        <v/>
      </c>
      <c r="U906" s="193" t="str">
        <f t="shared" si="56"/>
        <v/>
      </c>
      <c r="V906" s="193" t="str">
        <f>""</f>
        <v/>
      </c>
      <c r="W906" s="193" t="str">
        <f>""</f>
        <v/>
      </c>
      <c r="X906" s="258" t="str">
        <f t="shared" si="57"/>
        <v/>
      </c>
      <c r="Y906" s="258" t="str">
        <f t="shared" si="58"/>
        <v/>
      </c>
      <c r="Z906" s="193" t="str">
        <f>IF(A906="","",IF(COUNTIF('Observaciones-SMP'!$A$2:$A$1001,A906)&gt;1,1,0))</f>
        <v/>
      </c>
      <c r="AA906" s="193" t="str">
        <f t="shared" si="59"/>
        <v/>
      </c>
    </row>
    <row r="907" spans="1:27" ht="13.5" customHeight="1" x14ac:dyDescent="0.3">
      <c r="A907" s="193" t="str">
        <f>IF('Observaciones-SMP'!A907="","",'Observaciones-SMP'!A907)</f>
        <v/>
      </c>
      <c r="B907" s="257" t="str">
        <f>IF('Observaciones-SMP'!B907="","",'Observaciones-SMP'!B907)</f>
        <v/>
      </c>
      <c r="C907" s="193" t="str">
        <f>IF('Observaciones-SMP'!C907="","",'Observaciones-SMP'!C907)</f>
        <v/>
      </c>
      <c r="D907" s="193" t="str">
        <f>IF('Observaciones-SMP'!D907="","",'Observaciones-SMP'!D907)</f>
        <v/>
      </c>
      <c r="E907" s="193" t="str">
        <f>IF('Observaciones-SMP'!E907="","",'Observaciones-SMP'!E907)</f>
        <v/>
      </c>
      <c r="F907" s="193" t="str">
        <f>IF('Observaciones-SMP'!F907="","",'Observaciones-SMP'!F907)</f>
        <v/>
      </c>
      <c r="G907" s="193" t="str">
        <f>IF('Observaciones-SMP'!G907="","",'Observaciones-SMP'!G907)</f>
        <v/>
      </c>
      <c r="H907" s="193" t="str">
        <f>IF('Observaciones-SMP'!H907="","",'Observaciones-SMP'!H907)</f>
        <v/>
      </c>
      <c r="I907" s="193" t="str">
        <f>IF('Observaciones-SMP'!I907="","",'Observaciones-SMP'!I907)</f>
        <v/>
      </c>
      <c r="J907" s="193" t="str">
        <f>IF('Observaciones-SMP'!J907="","",'Observaciones-SMP'!J907)</f>
        <v/>
      </c>
      <c r="K907" s="193" t="str">
        <f>IF('Observaciones-SMP'!K907="","",'Observaciones-SMP'!K907)</f>
        <v/>
      </c>
      <c r="L907" s="193" t="str">
        <f>IF('Observaciones-SMP'!L907="","",'Observaciones-SMP'!L907)</f>
        <v/>
      </c>
      <c r="M907" s="193" t="str">
        <f>IF('Observaciones-SMP'!M907="","",'Observaciones-SMP'!M907)</f>
        <v/>
      </c>
      <c r="N907" s="193" t="str">
        <f>IF('Observaciones-SMP'!N907="","",'Observaciones-SMP'!N907)</f>
        <v/>
      </c>
      <c r="O907" s="193" t="str">
        <f>IF('Observaciones-SMP'!O907="","",'Observaciones-SMP'!O907)</f>
        <v/>
      </c>
      <c r="P907" s="193" t="str">
        <f>IF('Observaciones-SMP'!P907="","",'Observaciones-SMP'!P907)</f>
        <v/>
      </c>
      <c r="Q907" s="257" t="str">
        <f>IF('Observaciones-SMP'!S907="","",'Observaciones-SMP'!S907)</f>
        <v/>
      </c>
      <c r="R907" s="193" t="str">
        <f>IF('Observaciones-SMP'!T907="","",'Observaciones-SMP'!T907)</f>
        <v/>
      </c>
      <c r="S907" s="193" t="str">
        <f>""</f>
        <v/>
      </c>
      <c r="T907" s="193" t="str">
        <f>""</f>
        <v/>
      </c>
      <c r="U907" s="193" t="str">
        <f t="shared" si="56"/>
        <v/>
      </c>
      <c r="V907" s="193" t="str">
        <f>""</f>
        <v/>
      </c>
      <c r="W907" s="193" t="str">
        <f>""</f>
        <v/>
      </c>
      <c r="X907" s="258" t="str">
        <f t="shared" si="57"/>
        <v/>
      </c>
      <c r="Y907" s="258" t="str">
        <f t="shared" si="58"/>
        <v/>
      </c>
      <c r="Z907" s="193" t="str">
        <f>IF(A907="","",IF(COUNTIF('Observaciones-SMP'!$A$2:$A$1001,A907)&gt;1,1,0))</f>
        <v/>
      </c>
      <c r="AA907" s="193" t="str">
        <f t="shared" si="59"/>
        <v/>
      </c>
    </row>
    <row r="908" spans="1:27" ht="13.5" customHeight="1" x14ac:dyDescent="0.3">
      <c r="A908" s="193" t="str">
        <f>IF('Observaciones-SMP'!A908="","",'Observaciones-SMP'!A908)</f>
        <v/>
      </c>
      <c r="B908" s="257" t="str">
        <f>IF('Observaciones-SMP'!B908="","",'Observaciones-SMP'!B908)</f>
        <v/>
      </c>
      <c r="C908" s="193" t="str">
        <f>IF('Observaciones-SMP'!C908="","",'Observaciones-SMP'!C908)</f>
        <v/>
      </c>
      <c r="D908" s="193" t="str">
        <f>IF('Observaciones-SMP'!D908="","",'Observaciones-SMP'!D908)</f>
        <v/>
      </c>
      <c r="E908" s="193" t="str">
        <f>IF('Observaciones-SMP'!E908="","",'Observaciones-SMP'!E908)</f>
        <v/>
      </c>
      <c r="F908" s="193" t="str">
        <f>IF('Observaciones-SMP'!F908="","",'Observaciones-SMP'!F908)</f>
        <v/>
      </c>
      <c r="G908" s="193" t="str">
        <f>IF('Observaciones-SMP'!G908="","",'Observaciones-SMP'!G908)</f>
        <v/>
      </c>
      <c r="H908" s="193" t="str">
        <f>IF('Observaciones-SMP'!H908="","",'Observaciones-SMP'!H908)</f>
        <v/>
      </c>
      <c r="I908" s="193" t="str">
        <f>IF('Observaciones-SMP'!I908="","",'Observaciones-SMP'!I908)</f>
        <v/>
      </c>
      <c r="J908" s="193" t="str">
        <f>IF('Observaciones-SMP'!J908="","",'Observaciones-SMP'!J908)</f>
        <v/>
      </c>
      <c r="K908" s="193" t="str">
        <f>IF('Observaciones-SMP'!K908="","",'Observaciones-SMP'!K908)</f>
        <v/>
      </c>
      <c r="L908" s="193" t="str">
        <f>IF('Observaciones-SMP'!L908="","",'Observaciones-SMP'!L908)</f>
        <v/>
      </c>
      <c r="M908" s="193" t="str">
        <f>IF('Observaciones-SMP'!M908="","",'Observaciones-SMP'!M908)</f>
        <v/>
      </c>
      <c r="N908" s="193" t="str">
        <f>IF('Observaciones-SMP'!N908="","",'Observaciones-SMP'!N908)</f>
        <v/>
      </c>
      <c r="O908" s="193" t="str">
        <f>IF('Observaciones-SMP'!O908="","",'Observaciones-SMP'!O908)</f>
        <v/>
      </c>
      <c r="P908" s="193" t="str">
        <f>IF('Observaciones-SMP'!P908="","",'Observaciones-SMP'!P908)</f>
        <v/>
      </c>
      <c r="Q908" s="257" t="str">
        <f>IF('Observaciones-SMP'!S908="","",'Observaciones-SMP'!S908)</f>
        <v/>
      </c>
      <c r="R908" s="193" t="str">
        <f>IF('Observaciones-SMP'!T908="","",'Observaciones-SMP'!T908)</f>
        <v/>
      </c>
      <c r="S908" s="193" t="str">
        <f>""</f>
        <v/>
      </c>
      <c r="T908" s="193" t="str">
        <f>""</f>
        <v/>
      </c>
      <c r="U908" s="193" t="str">
        <f t="shared" si="56"/>
        <v/>
      </c>
      <c r="V908" s="193" t="str">
        <f>""</f>
        <v/>
      </c>
      <c r="W908" s="193" t="str">
        <f>""</f>
        <v/>
      </c>
      <c r="X908" s="258" t="str">
        <f t="shared" si="57"/>
        <v/>
      </c>
      <c r="Y908" s="258" t="str">
        <f t="shared" si="58"/>
        <v/>
      </c>
      <c r="Z908" s="193" t="str">
        <f>IF(A908="","",IF(COUNTIF('Observaciones-SMP'!$A$2:$A$1001,A908)&gt;1,1,0))</f>
        <v/>
      </c>
      <c r="AA908" s="193" t="str">
        <f t="shared" si="59"/>
        <v/>
      </c>
    </row>
    <row r="909" spans="1:27" ht="13.5" customHeight="1" x14ac:dyDescent="0.3">
      <c r="A909" s="193" t="str">
        <f>IF('Observaciones-SMP'!A909="","",'Observaciones-SMP'!A909)</f>
        <v/>
      </c>
      <c r="B909" s="257" t="str">
        <f>IF('Observaciones-SMP'!B909="","",'Observaciones-SMP'!B909)</f>
        <v/>
      </c>
      <c r="C909" s="193" t="str">
        <f>IF('Observaciones-SMP'!C909="","",'Observaciones-SMP'!C909)</f>
        <v/>
      </c>
      <c r="D909" s="193" t="str">
        <f>IF('Observaciones-SMP'!D909="","",'Observaciones-SMP'!D909)</f>
        <v/>
      </c>
      <c r="E909" s="193" t="str">
        <f>IF('Observaciones-SMP'!E909="","",'Observaciones-SMP'!E909)</f>
        <v/>
      </c>
      <c r="F909" s="193" t="str">
        <f>IF('Observaciones-SMP'!F909="","",'Observaciones-SMP'!F909)</f>
        <v/>
      </c>
      <c r="G909" s="193" t="str">
        <f>IF('Observaciones-SMP'!G909="","",'Observaciones-SMP'!G909)</f>
        <v/>
      </c>
      <c r="H909" s="193" t="str">
        <f>IF('Observaciones-SMP'!H909="","",'Observaciones-SMP'!H909)</f>
        <v/>
      </c>
      <c r="I909" s="193" t="str">
        <f>IF('Observaciones-SMP'!I909="","",'Observaciones-SMP'!I909)</f>
        <v/>
      </c>
      <c r="J909" s="193" t="str">
        <f>IF('Observaciones-SMP'!J909="","",'Observaciones-SMP'!J909)</f>
        <v/>
      </c>
      <c r="K909" s="193" t="str">
        <f>IF('Observaciones-SMP'!K909="","",'Observaciones-SMP'!K909)</f>
        <v/>
      </c>
      <c r="L909" s="193" t="str">
        <f>IF('Observaciones-SMP'!L909="","",'Observaciones-SMP'!L909)</f>
        <v/>
      </c>
      <c r="M909" s="193" t="str">
        <f>IF('Observaciones-SMP'!M909="","",'Observaciones-SMP'!M909)</f>
        <v/>
      </c>
      <c r="N909" s="193" t="str">
        <f>IF('Observaciones-SMP'!N909="","",'Observaciones-SMP'!N909)</f>
        <v/>
      </c>
      <c r="O909" s="193" t="str">
        <f>IF('Observaciones-SMP'!O909="","",'Observaciones-SMP'!O909)</f>
        <v/>
      </c>
      <c r="P909" s="193" t="str">
        <f>IF('Observaciones-SMP'!P909="","",'Observaciones-SMP'!P909)</f>
        <v/>
      </c>
      <c r="Q909" s="257" t="str">
        <f>IF('Observaciones-SMP'!S909="","",'Observaciones-SMP'!S909)</f>
        <v/>
      </c>
      <c r="R909" s="193" t="str">
        <f>IF('Observaciones-SMP'!T909="","",'Observaciones-SMP'!T909)</f>
        <v/>
      </c>
      <c r="S909" s="193" t="str">
        <f>""</f>
        <v/>
      </c>
      <c r="T909" s="193" t="str">
        <f>""</f>
        <v/>
      </c>
      <c r="U909" s="193" t="str">
        <f t="shared" si="56"/>
        <v/>
      </c>
      <c r="V909" s="193" t="str">
        <f>""</f>
        <v/>
      </c>
      <c r="W909" s="193" t="str">
        <f>""</f>
        <v/>
      </c>
      <c r="X909" s="258" t="str">
        <f t="shared" si="57"/>
        <v/>
      </c>
      <c r="Y909" s="258" t="str">
        <f t="shared" si="58"/>
        <v/>
      </c>
      <c r="Z909" s="193" t="str">
        <f>IF(A909="","",IF(COUNTIF('Observaciones-SMP'!$A$2:$A$1001,A909)&gt;1,1,0))</f>
        <v/>
      </c>
      <c r="AA909" s="193" t="str">
        <f t="shared" si="59"/>
        <v/>
      </c>
    </row>
    <row r="910" spans="1:27" ht="13.5" customHeight="1" x14ac:dyDescent="0.3">
      <c r="A910" s="193" t="str">
        <f>IF('Observaciones-SMP'!A910="","",'Observaciones-SMP'!A910)</f>
        <v/>
      </c>
      <c r="B910" s="257" t="str">
        <f>IF('Observaciones-SMP'!B910="","",'Observaciones-SMP'!B910)</f>
        <v/>
      </c>
      <c r="C910" s="193" t="str">
        <f>IF('Observaciones-SMP'!C910="","",'Observaciones-SMP'!C910)</f>
        <v/>
      </c>
      <c r="D910" s="193" t="str">
        <f>IF('Observaciones-SMP'!D910="","",'Observaciones-SMP'!D910)</f>
        <v/>
      </c>
      <c r="E910" s="193" t="str">
        <f>IF('Observaciones-SMP'!E910="","",'Observaciones-SMP'!E910)</f>
        <v/>
      </c>
      <c r="F910" s="193" t="str">
        <f>IF('Observaciones-SMP'!F910="","",'Observaciones-SMP'!F910)</f>
        <v/>
      </c>
      <c r="G910" s="193" t="str">
        <f>IF('Observaciones-SMP'!G910="","",'Observaciones-SMP'!G910)</f>
        <v/>
      </c>
      <c r="H910" s="193" t="str">
        <f>IF('Observaciones-SMP'!H910="","",'Observaciones-SMP'!H910)</f>
        <v/>
      </c>
      <c r="I910" s="193" t="str">
        <f>IF('Observaciones-SMP'!I910="","",'Observaciones-SMP'!I910)</f>
        <v/>
      </c>
      <c r="J910" s="193" t="str">
        <f>IF('Observaciones-SMP'!J910="","",'Observaciones-SMP'!J910)</f>
        <v/>
      </c>
      <c r="K910" s="193" t="str">
        <f>IF('Observaciones-SMP'!K910="","",'Observaciones-SMP'!K910)</f>
        <v/>
      </c>
      <c r="L910" s="193" t="str">
        <f>IF('Observaciones-SMP'!L910="","",'Observaciones-SMP'!L910)</f>
        <v/>
      </c>
      <c r="M910" s="193" t="str">
        <f>IF('Observaciones-SMP'!M910="","",'Observaciones-SMP'!M910)</f>
        <v/>
      </c>
      <c r="N910" s="193" t="str">
        <f>IF('Observaciones-SMP'!N910="","",'Observaciones-SMP'!N910)</f>
        <v/>
      </c>
      <c r="O910" s="193" t="str">
        <f>IF('Observaciones-SMP'!O910="","",'Observaciones-SMP'!O910)</f>
        <v/>
      </c>
      <c r="P910" s="193" t="str">
        <f>IF('Observaciones-SMP'!P910="","",'Observaciones-SMP'!P910)</f>
        <v/>
      </c>
      <c r="Q910" s="257" t="str">
        <f>IF('Observaciones-SMP'!S910="","",'Observaciones-SMP'!S910)</f>
        <v/>
      </c>
      <c r="R910" s="193" t="str">
        <f>IF('Observaciones-SMP'!T910="","",'Observaciones-SMP'!T910)</f>
        <v/>
      </c>
      <c r="S910" s="193" t="str">
        <f>""</f>
        <v/>
      </c>
      <c r="T910" s="193" t="str">
        <f>""</f>
        <v/>
      </c>
      <c r="U910" s="193" t="str">
        <f t="shared" si="56"/>
        <v/>
      </c>
      <c r="V910" s="193" t="str">
        <f>""</f>
        <v/>
      </c>
      <c r="W910" s="193" t="str">
        <f>""</f>
        <v/>
      </c>
      <c r="X910" s="258" t="str">
        <f t="shared" si="57"/>
        <v/>
      </c>
      <c r="Y910" s="258" t="str">
        <f t="shared" si="58"/>
        <v/>
      </c>
      <c r="Z910" s="193" t="str">
        <f>IF(A910="","",IF(COUNTIF('Observaciones-SMP'!$A$2:$A$1001,A910)&gt;1,1,0))</f>
        <v/>
      </c>
      <c r="AA910" s="193" t="str">
        <f t="shared" si="59"/>
        <v/>
      </c>
    </row>
    <row r="911" spans="1:27" ht="13.5" customHeight="1" x14ac:dyDescent="0.3">
      <c r="A911" s="193" t="str">
        <f>IF('Observaciones-SMP'!A911="","",'Observaciones-SMP'!A911)</f>
        <v/>
      </c>
      <c r="B911" s="257" t="str">
        <f>IF('Observaciones-SMP'!B911="","",'Observaciones-SMP'!B911)</f>
        <v/>
      </c>
      <c r="C911" s="193" t="str">
        <f>IF('Observaciones-SMP'!C911="","",'Observaciones-SMP'!C911)</f>
        <v/>
      </c>
      <c r="D911" s="193" t="str">
        <f>IF('Observaciones-SMP'!D911="","",'Observaciones-SMP'!D911)</f>
        <v/>
      </c>
      <c r="E911" s="193" t="str">
        <f>IF('Observaciones-SMP'!E911="","",'Observaciones-SMP'!E911)</f>
        <v/>
      </c>
      <c r="F911" s="193" t="str">
        <f>IF('Observaciones-SMP'!F911="","",'Observaciones-SMP'!F911)</f>
        <v/>
      </c>
      <c r="G911" s="193" t="str">
        <f>IF('Observaciones-SMP'!G911="","",'Observaciones-SMP'!G911)</f>
        <v/>
      </c>
      <c r="H911" s="193" t="str">
        <f>IF('Observaciones-SMP'!H911="","",'Observaciones-SMP'!H911)</f>
        <v/>
      </c>
      <c r="I911" s="193" t="str">
        <f>IF('Observaciones-SMP'!I911="","",'Observaciones-SMP'!I911)</f>
        <v/>
      </c>
      <c r="J911" s="193" t="str">
        <f>IF('Observaciones-SMP'!J911="","",'Observaciones-SMP'!J911)</f>
        <v/>
      </c>
      <c r="K911" s="193" t="str">
        <f>IF('Observaciones-SMP'!K911="","",'Observaciones-SMP'!K911)</f>
        <v/>
      </c>
      <c r="L911" s="193" t="str">
        <f>IF('Observaciones-SMP'!L911="","",'Observaciones-SMP'!L911)</f>
        <v/>
      </c>
      <c r="M911" s="193" t="str">
        <f>IF('Observaciones-SMP'!M911="","",'Observaciones-SMP'!M911)</f>
        <v/>
      </c>
      <c r="N911" s="193" t="str">
        <f>IF('Observaciones-SMP'!N911="","",'Observaciones-SMP'!N911)</f>
        <v/>
      </c>
      <c r="O911" s="193" t="str">
        <f>IF('Observaciones-SMP'!O911="","",'Observaciones-SMP'!O911)</f>
        <v/>
      </c>
      <c r="P911" s="193" t="str">
        <f>IF('Observaciones-SMP'!P911="","",'Observaciones-SMP'!P911)</f>
        <v/>
      </c>
      <c r="Q911" s="257" t="str">
        <f>IF('Observaciones-SMP'!S911="","",'Observaciones-SMP'!S911)</f>
        <v/>
      </c>
      <c r="R911" s="193" t="str">
        <f>IF('Observaciones-SMP'!T911="","",'Observaciones-SMP'!T911)</f>
        <v/>
      </c>
      <c r="S911" s="193" t="str">
        <f>""</f>
        <v/>
      </c>
      <c r="T911" s="193" t="str">
        <f>""</f>
        <v/>
      </c>
      <c r="U911" s="193" t="str">
        <f t="shared" si="56"/>
        <v/>
      </c>
      <c r="V911" s="193" t="str">
        <f>""</f>
        <v/>
      </c>
      <c r="W911" s="193" t="str">
        <f>""</f>
        <v/>
      </c>
      <c r="X911" s="258" t="str">
        <f t="shared" si="57"/>
        <v/>
      </c>
      <c r="Y911" s="258" t="str">
        <f t="shared" si="58"/>
        <v/>
      </c>
      <c r="Z911" s="193" t="str">
        <f>IF(A911="","",IF(COUNTIF('Observaciones-SMP'!$A$2:$A$1001,A911)&gt;1,1,0))</f>
        <v/>
      </c>
      <c r="AA911" s="193" t="str">
        <f t="shared" si="59"/>
        <v/>
      </c>
    </row>
    <row r="912" spans="1:27" ht="13.5" customHeight="1" x14ac:dyDescent="0.3">
      <c r="A912" s="193" t="str">
        <f>IF('Observaciones-SMP'!A912="","",'Observaciones-SMP'!A912)</f>
        <v/>
      </c>
      <c r="B912" s="257" t="str">
        <f>IF('Observaciones-SMP'!B912="","",'Observaciones-SMP'!B912)</f>
        <v/>
      </c>
      <c r="C912" s="193" t="str">
        <f>IF('Observaciones-SMP'!C912="","",'Observaciones-SMP'!C912)</f>
        <v/>
      </c>
      <c r="D912" s="193" t="str">
        <f>IF('Observaciones-SMP'!D912="","",'Observaciones-SMP'!D912)</f>
        <v/>
      </c>
      <c r="E912" s="193" t="str">
        <f>IF('Observaciones-SMP'!E912="","",'Observaciones-SMP'!E912)</f>
        <v/>
      </c>
      <c r="F912" s="193" t="str">
        <f>IF('Observaciones-SMP'!F912="","",'Observaciones-SMP'!F912)</f>
        <v/>
      </c>
      <c r="G912" s="193" t="str">
        <f>IF('Observaciones-SMP'!G912="","",'Observaciones-SMP'!G912)</f>
        <v/>
      </c>
      <c r="H912" s="193" t="str">
        <f>IF('Observaciones-SMP'!H912="","",'Observaciones-SMP'!H912)</f>
        <v/>
      </c>
      <c r="I912" s="193" t="str">
        <f>IF('Observaciones-SMP'!I912="","",'Observaciones-SMP'!I912)</f>
        <v/>
      </c>
      <c r="J912" s="193" t="str">
        <f>IF('Observaciones-SMP'!J912="","",'Observaciones-SMP'!J912)</f>
        <v/>
      </c>
      <c r="K912" s="193" t="str">
        <f>IF('Observaciones-SMP'!K912="","",'Observaciones-SMP'!K912)</f>
        <v/>
      </c>
      <c r="L912" s="193" t="str">
        <f>IF('Observaciones-SMP'!L912="","",'Observaciones-SMP'!L912)</f>
        <v/>
      </c>
      <c r="M912" s="193" t="str">
        <f>IF('Observaciones-SMP'!M912="","",'Observaciones-SMP'!M912)</f>
        <v/>
      </c>
      <c r="N912" s="193" t="str">
        <f>IF('Observaciones-SMP'!N912="","",'Observaciones-SMP'!N912)</f>
        <v/>
      </c>
      <c r="O912" s="193" t="str">
        <f>IF('Observaciones-SMP'!O912="","",'Observaciones-SMP'!O912)</f>
        <v/>
      </c>
      <c r="P912" s="193" t="str">
        <f>IF('Observaciones-SMP'!P912="","",'Observaciones-SMP'!P912)</f>
        <v/>
      </c>
      <c r="Q912" s="257" t="str">
        <f>IF('Observaciones-SMP'!S912="","",'Observaciones-SMP'!S912)</f>
        <v/>
      </c>
      <c r="R912" s="193" t="str">
        <f>IF('Observaciones-SMP'!T912="","",'Observaciones-SMP'!T912)</f>
        <v/>
      </c>
      <c r="S912" s="193" t="str">
        <f>""</f>
        <v/>
      </c>
      <c r="T912" s="193" t="str">
        <f>""</f>
        <v/>
      </c>
      <c r="U912" s="193" t="str">
        <f t="shared" si="56"/>
        <v/>
      </c>
      <c r="V912" s="193" t="str">
        <f>""</f>
        <v/>
      </c>
      <c r="W912" s="193" t="str">
        <f>""</f>
        <v/>
      </c>
      <c r="X912" s="258" t="str">
        <f t="shared" si="57"/>
        <v/>
      </c>
      <c r="Y912" s="258" t="str">
        <f t="shared" si="58"/>
        <v/>
      </c>
      <c r="Z912" s="193" t="str">
        <f>IF(A912="","",IF(COUNTIF('Observaciones-SMP'!$A$2:$A$1001,A912)&gt;1,1,0))</f>
        <v/>
      </c>
      <c r="AA912" s="193" t="str">
        <f t="shared" si="59"/>
        <v/>
      </c>
    </row>
    <row r="913" spans="1:27" ht="13.5" customHeight="1" x14ac:dyDescent="0.3">
      <c r="A913" s="193" t="str">
        <f>IF('Observaciones-SMP'!A913="","",'Observaciones-SMP'!A913)</f>
        <v/>
      </c>
      <c r="B913" s="257" t="str">
        <f>IF('Observaciones-SMP'!B913="","",'Observaciones-SMP'!B913)</f>
        <v/>
      </c>
      <c r="C913" s="193" t="str">
        <f>IF('Observaciones-SMP'!C913="","",'Observaciones-SMP'!C913)</f>
        <v/>
      </c>
      <c r="D913" s="193" t="str">
        <f>IF('Observaciones-SMP'!D913="","",'Observaciones-SMP'!D913)</f>
        <v/>
      </c>
      <c r="E913" s="193" t="str">
        <f>IF('Observaciones-SMP'!E913="","",'Observaciones-SMP'!E913)</f>
        <v/>
      </c>
      <c r="F913" s="193" t="str">
        <f>IF('Observaciones-SMP'!F913="","",'Observaciones-SMP'!F913)</f>
        <v/>
      </c>
      <c r="G913" s="193" t="str">
        <f>IF('Observaciones-SMP'!G913="","",'Observaciones-SMP'!G913)</f>
        <v/>
      </c>
      <c r="H913" s="193" t="str">
        <f>IF('Observaciones-SMP'!H913="","",'Observaciones-SMP'!H913)</f>
        <v/>
      </c>
      <c r="I913" s="193" t="str">
        <f>IF('Observaciones-SMP'!I913="","",'Observaciones-SMP'!I913)</f>
        <v/>
      </c>
      <c r="J913" s="193" t="str">
        <f>IF('Observaciones-SMP'!J913="","",'Observaciones-SMP'!J913)</f>
        <v/>
      </c>
      <c r="K913" s="193" t="str">
        <f>IF('Observaciones-SMP'!K913="","",'Observaciones-SMP'!K913)</f>
        <v/>
      </c>
      <c r="L913" s="193" t="str">
        <f>IF('Observaciones-SMP'!L913="","",'Observaciones-SMP'!L913)</f>
        <v/>
      </c>
      <c r="M913" s="193" t="str">
        <f>IF('Observaciones-SMP'!M913="","",'Observaciones-SMP'!M913)</f>
        <v/>
      </c>
      <c r="N913" s="193" t="str">
        <f>IF('Observaciones-SMP'!N913="","",'Observaciones-SMP'!N913)</f>
        <v/>
      </c>
      <c r="O913" s="193" t="str">
        <f>IF('Observaciones-SMP'!O913="","",'Observaciones-SMP'!O913)</f>
        <v/>
      </c>
      <c r="P913" s="193" t="str">
        <f>IF('Observaciones-SMP'!P913="","",'Observaciones-SMP'!P913)</f>
        <v/>
      </c>
      <c r="Q913" s="257" t="str">
        <f>IF('Observaciones-SMP'!S913="","",'Observaciones-SMP'!S913)</f>
        <v/>
      </c>
      <c r="R913" s="193" t="str">
        <f>IF('Observaciones-SMP'!T913="","",'Observaciones-SMP'!T913)</f>
        <v/>
      </c>
      <c r="S913" s="193" t="str">
        <f>""</f>
        <v/>
      </c>
      <c r="T913" s="193" t="str">
        <f>""</f>
        <v/>
      </c>
      <c r="U913" s="193" t="str">
        <f t="shared" si="56"/>
        <v/>
      </c>
      <c r="V913" s="193" t="str">
        <f>""</f>
        <v/>
      </c>
      <c r="W913" s="193" t="str">
        <f>""</f>
        <v/>
      </c>
      <c r="X913" s="258" t="str">
        <f t="shared" si="57"/>
        <v/>
      </c>
      <c r="Y913" s="258" t="str">
        <f t="shared" si="58"/>
        <v/>
      </c>
      <c r="Z913" s="193" t="str">
        <f>IF(A913="","",IF(COUNTIF('Observaciones-SMP'!$A$2:$A$1001,A913)&gt;1,1,0))</f>
        <v/>
      </c>
      <c r="AA913" s="193" t="str">
        <f t="shared" si="59"/>
        <v/>
      </c>
    </row>
    <row r="914" spans="1:27" ht="13.5" customHeight="1" x14ac:dyDescent="0.3">
      <c r="A914" s="193" t="str">
        <f>IF('Observaciones-SMP'!A914="","",'Observaciones-SMP'!A914)</f>
        <v/>
      </c>
      <c r="B914" s="257" t="str">
        <f>IF('Observaciones-SMP'!B914="","",'Observaciones-SMP'!B914)</f>
        <v/>
      </c>
      <c r="C914" s="193" t="str">
        <f>IF('Observaciones-SMP'!C914="","",'Observaciones-SMP'!C914)</f>
        <v/>
      </c>
      <c r="D914" s="193" t="str">
        <f>IF('Observaciones-SMP'!D914="","",'Observaciones-SMP'!D914)</f>
        <v/>
      </c>
      <c r="E914" s="193" t="str">
        <f>IF('Observaciones-SMP'!E914="","",'Observaciones-SMP'!E914)</f>
        <v/>
      </c>
      <c r="F914" s="193" t="str">
        <f>IF('Observaciones-SMP'!F914="","",'Observaciones-SMP'!F914)</f>
        <v/>
      </c>
      <c r="G914" s="193" t="str">
        <f>IF('Observaciones-SMP'!G914="","",'Observaciones-SMP'!G914)</f>
        <v/>
      </c>
      <c r="H914" s="193" t="str">
        <f>IF('Observaciones-SMP'!H914="","",'Observaciones-SMP'!H914)</f>
        <v/>
      </c>
      <c r="I914" s="193" t="str">
        <f>IF('Observaciones-SMP'!I914="","",'Observaciones-SMP'!I914)</f>
        <v/>
      </c>
      <c r="J914" s="193" t="str">
        <f>IF('Observaciones-SMP'!J914="","",'Observaciones-SMP'!J914)</f>
        <v/>
      </c>
      <c r="K914" s="193" t="str">
        <f>IF('Observaciones-SMP'!K914="","",'Observaciones-SMP'!K914)</f>
        <v/>
      </c>
      <c r="L914" s="193" t="str">
        <f>IF('Observaciones-SMP'!L914="","",'Observaciones-SMP'!L914)</f>
        <v/>
      </c>
      <c r="M914" s="193" t="str">
        <f>IF('Observaciones-SMP'!M914="","",'Observaciones-SMP'!M914)</f>
        <v/>
      </c>
      <c r="N914" s="193" t="str">
        <f>IF('Observaciones-SMP'!N914="","",'Observaciones-SMP'!N914)</f>
        <v/>
      </c>
      <c r="O914" s="193" t="str">
        <f>IF('Observaciones-SMP'!O914="","",'Observaciones-SMP'!O914)</f>
        <v/>
      </c>
      <c r="P914" s="193" t="str">
        <f>IF('Observaciones-SMP'!P914="","",'Observaciones-SMP'!P914)</f>
        <v/>
      </c>
      <c r="Q914" s="257" t="str">
        <f>IF('Observaciones-SMP'!S914="","",'Observaciones-SMP'!S914)</f>
        <v/>
      </c>
      <c r="R914" s="193" t="str">
        <f>IF('Observaciones-SMP'!T914="","",'Observaciones-SMP'!T914)</f>
        <v/>
      </c>
      <c r="S914" s="193" t="str">
        <f>""</f>
        <v/>
      </c>
      <c r="T914" s="193" t="str">
        <f>""</f>
        <v/>
      </c>
      <c r="U914" s="193" t="str">
        <f t="shared" si="56"/>
        <v/>
      </c>
      <c r="V914" s="193" t="str">
        <f>""</f>
        <v/>
      </c>
      <c r="W914" s="193" t="str">
        <f>""</f>
        <v/>
      </c>
      <c r="X914" s="258" t="str">
        <f t="shared" si="57"/>
        <v/>
      </c>
      <c r="Y914" s="258" t="str">
        <f t="shared" si="58"/>
        <v/>
      </c>
      <c r="Z914" s="193" t="str">
        <f>IF(A914="","",IF(COUNTIF('Observaciones-SMP'!$A$2:$A$1001,A914)&gt;1,1,0))</f>
        <v/>
      </c>
      <c r="AA914" s="193" t="str">
        <f t="shared" si="59"/>
        <v/>
      </c>
    </row>
    <row r="915" spans="1:27" ht="13.5" customHeight="1" x14ac:dyDescent="0.3">
      <c r="A915" s="193" t="str">
        <f>IF('Observaciones-SMP'!A915="","",'Observaciones-SMP'!A915)</f>
        <v/>
      </c>
      <c r="B915" s="257" t="str">
        <f>IF('Observaciones-SMP'!B915="","",'Observaciones-SMP'!B915)</f>
        <v/>
      </c>
      <c r="C915" s="193" t="str">
        <f>IF('Observaciones-SMP'!C915="","",'Observaciones-SMP'!C915)</f>
        <v/>
      </c>
      <c r="D915" s="193" t="str">
        <f>IF('Observaciones-SMP'!D915="","",'Observaciones-SMP'!D915)</f>
        <v/>
      </c>
      <c r="E915" s="193" t="str">
        <f>IF('Observaciones-SMP'!E915="","",'Observaciones-SMP'!E915)</f>
        <v/>
      </c>
      <c r="F915" s="193" t="str">
        <f>IF('Observaciones-SMP'!F915="","",'Observaciones-SMP'!F915)</f>
        <v/>
      </c>
      <c r="G915" s="193" t="str">
        <f>IF('Observaciones-SMP'!G915="","",'Observaciones-SMP'!G915)</f>
        <v/>
      </c>
      <c r="H915" s="193" t="str">
        <f>IF('Observaciones-SMP'!H915="","",'Observaciones-SMP'!H915)</f>
        <v/>
      </c>
      <c r="I915" s="193" t="str">
        <f>IF('Observaciones-SMP'!I915="","",'Observaciones-SMP'!I915)</f>
        <v/>
      </c>
      <c r="J915" s="193" t="str">
        <f>IF('Observaciones-SMP'!J915="","",'Observaciones-SMP'!J915)</f>
        <v/>
      </c>
      <c r="K915" s="193" t="str">
        <f>IF('Observaciones-SMP'!K915="","",'Observaciones-SMP'!K915)</f>
        <v/>
      </c>
      <c r="L915" s="193" t="str">
        <f>IF('Observaciones-SMP'!L915="","",'Observaciones-SMP'!L915)</f>
        <v/>
      </c>
      <c r="M915" s="193" t="str">
        <f>IF('Observaciones-SMP'!M915="","",'Observaciones-SMP'!M915)</f>
        <v/>
      </c>
      <c r="N915" s="193" t="str">
        <f>IF('Observaciones-SMP'!N915="","",'Observaciones-SMP'!N915)</f>
        <v/>
      </c>
      <c r="O915" s="193" t="str">
        <f>IF('Observaciones-SMP'!O915="","",'Observaciones-SMP'!O915)</f>
        <v/>
      </c>
      <c r="P915" s="193" t="str">
        <f>IF('Observaciones-SMP'!P915="","",'Observaciones-SMP'!P915)</f>
        <v/>
      </c>
      <c r="Q915" s="257" t="str">
        <f>IF('Observaciones-SMP'!S915="","",'Observaciones-SMP'!S915)</f>
        <v/>
      </c>
      <c r="R915" s="193" t="str">
        <f>IF('Observaciones-SMP'!T915="","",'Observaciones-SMP'!T915)</f>
        <v/>
      </c>
      <c r="S915" s="193" t="str">
        <f>""</f>
        <v/>
      </c>
      <c r="T915" s="193" t="str">
        <f>""</f>
        <v/>
      </c>
      <c r="U915" s="193" t="str">
        <f t="shared" si="56"/>
        <v/>
      </c>
      <c r="V915" s="193" t="str">
        <f>""</f>
        <v/>
      </c>
      <c r="W915" s="193" t="str">
        <f>""</f>
        <v/>
      </c>
      <c r="X915" s="258" t="str">
        <f t="shared" si="57"/>
        <v/>
      </c>
      <c r="Y915" s="258" t="str">
        <f t="shared" si="58"/>
        <v/>
      </c>
      <c r="Z915" s="193" t="str">
        <f>IF(A915="","",IF(COUNTIF('Observaciones-SMP'!$A$2:$A$1001,A915)&gt;1,1,0))</f>
        <v/>
      </c>
      <c r="AA915" s="193" t="str">
        <f t="shared" si="59"/>
        <v/>
      </c>
    </row>
    <row r="916" spans="1:27" ht="13.5" customHeight="1" x14ac:dyDescent="0.3">
      <c r="A916" s="193" t="str">
        <f>IF('Observaciones-SMP'!A916="","",'Observaciones-SMP'!A916)</f>
        <v/>
      </c>
      <c r="B916" s="257" t="str">
        <f>IF('Observaciones-SMP'!B916="","",'Observaciones-SMP'!B916)</f>
        <v/>
      </c>
      <c r="C916" s="193" t="str">
        <f>IF('Observaciones-SMP'!C916="","",'Observaciones-SMP'!C916)</f>
        <v/>
      </c>
      <c r="D916" s="193" t="str">
        <f>IF('Observaciones-SMP'!D916="","",'Observaciones-SMP'!D916)</f>
        <v/>
      </c>
      <c r="E916" s="193" t="str">
        <f>IF('Observaciones-SMP'!E916="","",'Observaciones-SMP'!E916)</f>
        <v/>
      </c>
      <c r="F916" s="193" t="str">
        <f>IF('Observaciones-SMP'!F916="","",'Observaciones-SMP'!F916)</f>
        <v/>
      </c>
      <c r="G916" s="193" t="str">
        <f>IF('Observaciones-SMP'!G916="","",'Observaciones-SMP'!G916)</f>
        <v/>
      </c>
      <c r="H916" s="193" t="str">
        <f>IF('Observaciones-SMP'!H916="","",'Observaciones-SMP'!H916)</f>
        <v/>
      </c>
      <c r="I916" s="193" t="str">
        <f>IF('Observaciones-SMP'!I916="","",'Observaciones-SMP'!I916)</f>
        <v/>
      </c>
      <c r="J916" s="193" t="str">
        <f>IF('Observaciones-SMP'!J916="","",'Observaciones-SMP'!J916)</f>
        <v/>
      </c>
      <c r="K916" s="193" t="str">
        <f>IF('Observaciones-SMP'!K916="","",'Observaciones-SMP'!K916)</f>
        <v/>
      </c>
      <c r="L916" s="193" t="str">
        <f>IF('Observaciones-SMP'!L916="","",'Observaciones-SMP'!L916)</f>
        <v/>
      </c>
      <c r="M916" s="193" t="str">
        <f>IF('Observaciones-SMP'!M916="","",'Observaciones-SMP'!M916)</f>
        <v/>
      </c>
      <c r="N916" s="193" t="str">
        <f>IF('Observaciones-SMP'!N916="","",'Observaciones-SMP'!N916)</f>
        <v/>
      </c>
      <c r="O916" s="193" t="str">
        <f>IF('Observaciones-SMP'!O916="","",'Observaciones-SMP'!O916)</f>
        <v/>
      </c>
      <c r="P916" s="193" t="str">
        <f>IF('Observaciones-SMP'!P916="","",'Observaciones-SMP'!P916)</f>
        <v/>
      </c>
      <c r="Q916" s="257" t="str">
        <f>IF('Observaciones-SMP'!S916="","",'Observaciones-SMP'!S916)</f>
        <v/>
      </c>
      <c r="R916" s="193" t="str">
        <f>IF('Observaciones-SMP'!T916="","",'Observaciones-SMP'!T916)</f>
        <v/>
      </c>
      <c r="S916" s="193" t="str">
        <f>""</f>
        <v/>
      </c>
      <c r="T916" s="193" t="str">
        <f>""</f>
        <v/>
      </c>
      <c r="U916" s="193" t="str">
        <f t="shared" si="56"/>
        <v/>
      </c>
      <c r="V916" s="193" t="str">
        <f>""</f>
        <v/>
      </c>
      <c r="W916" s="193" t="str">
        <f>""</f>
        <v/>
      </c>
      <c r="X916" s="258" t="str">
        <f t="shared" si="57"/>
        <v/>
      </c>
      <c r="Y916" s="258" t="str">
        <f t="shared" si="58"/>
        <v/>
      </c>
      <c r="Z916" s="193" t="str">
        <f>IF(A916="","",IF(COUNTIF('Observaciones-SMP'!$A$2:$A$1001,A916)&gt;1,1,0))</f>
        <v/>
      </c>
      <c r="AA916" s="193" t="str">
        <f t="shared" si="59"/>
        <v/>
      </c>
    </row>
    <row r="917" spans="1:27" ht="13.5" customHeight="1" x14ac:dyDescent="0.3">
      <c r="A917" s="193" t="str">
        <f>IF('Observaciones-SMP'!A917="","",'Observaciones-SMP'!A917)</f>
        <v/>
      </c>
      <c r="B917" s="257" t="str">
        <f>IF('Observaciones-SMP'!B917="","",'Observaciones-SMP'!B917)</f>
        <v/>
      </c>
      <c r="C917" s="193" t="str">
        <f>IF('Observaciones-SMP'!C917="","",'Observaciones-SMP'!C917)</f>
        <v/>
      </c>
      <c r="D917" s="193" t="str">
        <f>IF('Observaciones-SMP'!D917="","",'Observaciones-SMP'!D917)</f>
        <v/>
      </c>
      <c r="E917" s="193" t="str">
        <f>IF('Observaciones-SMP'!E917="","",'Observaciones-SMP'!E917)</f>
        <v/>
      </c>
      <c r="F917" s="193" t="str">
        <f>IF('Observaciones-SMP'!F917="","",'Observaciones-SMP'!F917)</f>
        <v/>
      </c>
      <c r="G917" s="193" t="str">
        <f>IF('Observaciones-SMP'!G917="","",'Observaciones-SMP'!G917)</f>
        <v/>
      </c>
      <c r="H917" s="193" t="str">
        <f>IF('Observaciones-SMP'!H917="","",'Observaciones-SMP'!H917)</f>
        <v/>
      </c>
      <c r="I917" s="193" t="str">
        <f>IF('Observaciones-SMP'!I917="","",'Observaciones-SMP'!I917)</f>
        <v/>
      </c>
      <c r="J917" s="193" t="str">
        <f>IF('Observaciones-SMP'!J917="","",'Observaciones-SMP'!J917)</f>
        <v/>
      </c>
      <c r="K917" s="193" t="str">
        <f>IF('Observaciones-SMP'!K917="","",'Observaciones-SMP'!K917)</f>
        <v/>
      </c>
      <c r="L917" s="193" t="str">
        <f>IF('Observaciones-SMP'!L917="","",'Observaciones-SMP'!L917)</f>
        <v/>
      </c>
      <c r="M917" s="193" t="str">
        <f>IF('Observaciones-SMP'!M917="","",'Observaciones-SMP'!M917)</f>
        <v/>
      </c>
      <c r="N917" s="193" t="str">
        <f>IF('Observaciones-SMP'!N917="","",'Observaciones-SMP'!N917)</f>
        <v/>
      </c>
      <c r="O917" s="193" t="str">
        <f>IF('Observaciones-SMP'!O917="","",'Observaciones-SMP'!O917)</f>
        <v/>
      </c>
      <c r="P917" s="193" t="str">
        <f>IF('Observaciones-SMP'!P917="","",'Observaciones-SMP'!P917)</f>
        <v/>
      </c>
      <c r="Q917" s="257" t="str">
        <f>IF('Observaciones-SMP'!S917="","",'Observaciones-SMP'!S917)</f>
        <v/>
      </c>
      <c r="R917" s="193" t="str">
        <f>IF('Observaciones-SMP'!T917="","",'Observaciones-SMP'!T917)</f>
        <v/>
      </c>
      <c r="S917" s="193" t="str">
        <f>""</f>
        <v/>
      </c>
      <c r="T917" s="193" t="str">
        <f>""</f>
        <v/>
      </c>
      <c r="U917" s="193" t="str">
        <f t="shared" si="56"/>
        <v/>
      </c>
      <c r="V917" s="193" t="str">
        <f>""</f>
        <v/>
      </c>
      <c r="W917" s="193" t="str">
        <f>""</f>
        <v/>
      </c>
      <c r="X917" s="258" t="str">
        <f t="shared" si="57"/>
        <v/>
      </c>
      <c r="Y917" s="258" t="str">
        <f t="shared" si="58"/>
        <v/>
      </c>
      <c r="Z917" s="193" t="str">
        <f>IF(A917="","",IF(COUNTIF('Observaciones-SMP'!$A$2:$A$1001,A917)&gt;1,1,0))</f>
        <v/>
      </c>
      <c r="AA917" s="193" t="str">
        <f t="shared" si="59"/>
        <v/>
      </c>
    </row>
    <row r="918" spans="1:27" ht="13.5" customHeight="1" x14ac:dyDescent="0.3">
      <c r="A918" s="193" t="str">
        <f>IF('Observaciones-SMP'!A918="","",'Observaciones-SMP'!A918)</f>
        <v/>
      </c>
      <c r="B918" s="257" t="str">
        <f>IF('Observaciones-SMP'!B918="","",'Observaciones-SMP'!B918)</f>
        <v/>
      </c>
      <c r="C918" s="193" t="str">
        <f>IF('Observaciones-SMP'!C918="","",'Observaciones-SMP'!C918)</f>
        <v/>
      </c>
      <c r="D918" s="193" t="str">
        <f>IF('Observaciones-SMP'!D918="","",'Observaciones-SMP'!D918)</f>
        <v/>
      </c>
      <c r="E918" s="193" t="str">
        <f>IF('Observaciones-SMP'!E918="","",'Observaciones-SMP'!E918)</f>
        <v/>
      </c>
      <c r="F918" s="193" t="str">
        <f>IF('Observaciones-SMP'!F918="","",'Observaciones-SMP'!F918)</f>
        <v/>
      </c>
      <c r="G918" s="193" t="str">
        <f>IF('Observaciones-SMP'!G918="","",'Observaciones-SMP'!G918)</f>
        <v/>
      </c>
      <c r="H918" s="193" t="str">
        <f>IF('Observaciones-SMP'!H918="","",'Observaciones-SMP'!H918)</f>
        <v/>
      </c>
      <c r="I918" s="193" t="str">
        <f>IF('Observaciones-SMP'!I918="","",'Observaciones-SMP'!I918)</f>
        <v/>
      </c>
      <c r="J918" s="193" t="str">
        <f>IF('Observaciones-SMP'!J918="","",'Observaciones-SMP'!J918)</f>
        <v/>
      </c>
      <c r="K918" s="193" t="str">
        <f>IF('Observaciones-SMP'!K918="","",'Observaciones-SMP'!K918)</f>
        <v/>
      </c>
      <c r="L918" s="193" t="str">
        <f>IF('Observaciones-SMP'!L918="","",'Observaciones-SMP'!L918)</f>
        <v/>
      </c>
      <c r="M918" s="193" t="str">
        <f>IF('Observaciones-SMP'!M918="","",'Observaciones-SMP'!M918)</f>
        <v/>
      </c>
      <c r="N918" s="193" t="str">
        <f>IF('Observaciones-SMP'!N918="","",'Observaciones-SMP'!N918)</f>
        <v/>
      </c>
      <c r="O918" s="193" t="str">
        <f>IF('Observaciones-SMP'!O918="","",'Observaciones-SMP'!O918)</f>
        <v/>
      </c>
      <c r="P918" s="193" t="str">
        <f>IF('Observaciones-SMP'!P918="","",'Observaciones-SMP'!P918)</f>
        <v/>
      </c>
      <c r="Q918" s="257" t="str">
        <f>IF('Observaciones-SMP'!S918="","",'Observaciones-SMP'!S918)</f>
        <v/>
      </c>
      <c r="R918" s="193" t="str">
        <f>IF('Observaciones-SMP'!T918="","",'Observaciones-SMP'!T918)</f>
        <v/>
      </c>
      <c r="S918" s="193" t="str">
        <f>""</f>
        <v/>
      </c>
      <c r="T918" s="193" t="str">
        <f>""</f>
        <v/>
      </c>
      <c r="U918" s="193" t="str">
        <f t="shared" si="56"/>
        <v/>
      </c>
      <c r="V918" s="193" t="str">
        <f>""</f>
        <v/>
      </c>
      <c r="W918" s="193" t="str">
        <f>""</f>
        <v/>
      </c>
      <c r="X918" s="258" t="str">
        <f t="shared" si="57"/>
        <v/>
      </c>
      <c r="Y918" s="258" t="str">
        <f t="shared" si="58"/>
        <v/>
      </c>
      <c r="Z918" s="193" t="str">
        <f>IF(A918="","",IF(COUNTIF('Observaciones-SMP'!$A$2:$A$1001,A918)&gt;1,1,0))</f>
        <v/>
      </c>
      <c r="AA918" s="193" t="str">
        <f t="shared" si="59"/>
        <v/>
      </c>
    </row>
    <row r="919" spans="1:27" ht="13.5" customHeight="1" x14ac:dyDescent="0.3">
      <c r="A919" s="193" t="str">
        <f>IF('Observaciones-SMP'!A919="","",'Observaciones-SMP'!A919)</f>
        <v/>
      </c>
      <c r="B919" s="257" t="str">
        <f>IF('Observaciones-SMP'!B919="","",'Observaciones-SMP'!B919)</f>
        <v/>
      </c>
      <c r="C919" s="193" t="str">
        <f>IF('Observaciones-SMP'!C919="","",'Observaciones-SMP'!C919)</f>
        <v/>
      </c>
      <c r="D919" s="193" t="str">
        <f>IF('Observaciones-SMP'!D919="","",'Observaciones-SMP'!D919)</f>
        <v/>
      </c>
      <c r="E919" s="193" t="str">
        <f>IF('Observaciones-SMP'!E919="","",'Observaciones-SMP'!E919)</f>
        <v/>
      </c>
      <c r="F919" s="193" t="str">
        <f>IF('Observaciones-SMP'!F919="","",'Observaciones-SMP'!F919)</f>
        <v/>
      </c>
      <c r="G919" s="193" t="str">
        <f>IF('Observaciones-SMP'!G919="","",'Observaciones-SMP'!G919)</f>
        <v/>
      </c>
      <c r="H919" s="193" t="str">
        <f>IF('Observaciones-SMP'!H919="","",'Observaciones-SMP'!H919)</f>
        <v/>
      </c>
      <c r="I919" s="193" t="str">
        <f>IF('Observaciones-SMP'!I919="","",'Observaciones-SMP'!I919)</f>
        <v/>
      </c>
      <c r="J919" s="193" t="str">
        <f>IF('Observaciones-SMP'!J919="","",'Observaciones-SMP'!J919)</f>
        <v/>
      </c>
      <c r="K919" s="193" t="str">
        <f>IF('Observaciones-SMP'!K919="","",'Observaciones-SMP'!K919)</f>
        <v/>
      </c>
      <c r="L919" s="193" t="str">
        <f>IF('Observaciones-SMP'!L919="","",'Observaciones-SMP'!L919)</f>
        <v/>
      </c>
      <c r="M919" s="193" t="str">
        <f>IF('Observaciones-SMP'!M919="","",'Observaciones-SMP'!M919)</f>
        <v/>
      </c>
      <c r="N919" s="193" t="str">
        <f>IF('Observaciones-SMP'!N919="","",'Observaciones-SMP'!N919)</f>
        <v/>
      </c>
      <c r="O919" s="193" t="str">
        <f>IF('Observaciones-SMP'!O919="","",'Observaciones-SMP'!O919)</f>
        <v/>
      </c>
      <c r="P919" s="193" t="str">
        <f>IF('Observaciones-SMP'!P919="","",'Observaciones-SMP'!P919)</f>
        <v/>
      </c>
      <c r="Q919" s="257" t="str">
        <f>IF('Observaciones-SMP'!S919="","",'Observaciones-SMP'!S919)</f>
        <v/>
      </c>
      <c r="R919" s="193" t="str">
        <f>IF('Observaciones-SMP'!T919="","",'Observaciones-SMP'!T919)</f>
        <v/>
      </c>
      <c r="S919" s="193" t="str">
        <f>""</f>
        <v/>
      </c>
      <c r="T919" s="193" t="str">
        <f>""</f>
        <v/>
      </c>
      <c r="U919" s="193" t="str">
        <f t="shared" si="56"/>
        <v/>
      </c>
      <c r="V919" s="193" t="str">
        <f>""</f>
        <v/>
      </c>
      <c r="W919" s="193" t="str">
        <f>""</f>
        <v/>
      </c>
      <c r="X919" s="258" t="str">
        <f t="shared" si="57"/>
        <v/>
      </c>
      <c r="Y919" s="258" t="str">
        <f t="shared" si="58"/>
        <v/>
      </c>
      <c r="Z919" s="193" t="str">
        <f>IF(A919="","",IF(COUNTIF('Observaciones-SMP'!$A$2:$A$1001,A919)&gt;1,1,0))</f>
        <v/>
      </c>
      <c r="AA919" s="193" t="str">
        <f t="shared" si="59"/>
        <v/>
      </c>
    </row>
    <row r="920" spans="1:27" ht="13.5" customHeight="1" x14ac:dyDescent="0.3">
      <c r="A920" s="193" t="str">
        <f>IF('Observaciones-SMP'!A920="","",'Observaciones-SMP'!A920)</f>
        <v/>
      </c>
      <c r="B920" s="257" t="str">
        <f>IF('Observaciones-SMP'!B920="","",'Observaciones-SMP'!B920)</f>
        <v/>
      </c>
      <c r="C920" s="193" t="str">
        <f>IF('Observaciones-SMP'!C920="","",'Observaciones-SMP'!C920)</f>
        <v/>
      </c>
      <c r="D920" s="193" t="str">
        <f>IF('Observaciones-SMP'!D920="","",'Observaciones-SMP'!D920)</f>
        <v/>
      </c>
      <c r="E920" s="193" t="str">
        <f>IF('Observaciones-SMP'!E920="","",'Observaciones-SMP'!E920)</f>
        <v/>
      </c>
      <c r="F920" s="193" t="str">
        <f>IF('Observaciones-SMP'!F920="","",'Observaciones-SMP'!F920)</f>
        <v/>
      </c>
      <c r="G920" s="193" t="str">
        <f>IF('Observaciones-SMP'!G920="","",'Observaciones-SMP'!G920)</f>
        <v/>
      </c>
      <c r="H920" s="193" t="str">
        <f>IF('Observaciones-SMP'!H920="","",'Observaciones-SMP'!H920)</f>
        <v/>
      </c>
      <c r="I920" s="193" t="str">
        <f>IF('Observaciones-SMP'!I920="","",'Observaciones-SMP'!I920)</f>
        <v/>
      </c>
      <c r="J920" s="193" t="str">
        <f>IF('Observaciones-SMP'!J920="","",'Observaciones-SMP'!J920)</f>
        <v/>
      </c>
      <c r="K920" s="193" t="str">
        <f>IF('Observaciones-SMP'!K920="","",'Observaciones-SMP'!K920)</f>
        <v/>
      </c>
      <c r="L920" s="193" t="str">
        <f>IF('Observaciones-SMP'!L920="","",'Observaciones-SMP'!L920)</f>
        <v/>
      </c>
      <c r="M920" s="193" t="str">
        <f>IF('Observaciones-SMP'!M920="","",'Observaciones-SMP'!M920)</f>
        <v/>
      </c>
      <c r="N920" s="193" t="str">
        <f>IF('Observaciones-SMP'!N920="","",'Observaciones-SMP'!N920)</f>
        <v/>
      </c>
      <c r="O920" s="193" t="str">
        <f>IF('Observaciones-SMP'!O920="","",'Observaciones-SMP'!O920)</f>
        <v/>
      </c>
      <c r="P920" s="193" t="str">
        <f>IF('Observaciones-SMP'!P920="","",'Observaciones-SMP'!P920)</f>
        <v/>
      </c>
      <c r="Q920" s="257" t="str">
        <f>IF('Observaciones-SMP'!S920="","",'Observaciones-SMP'!S920)</f>
        <v/>
      </c>
      <c r="R920" s="193" t="str">
        <f>IF('Observaciones-SMP'!T920="","",'Observaciones-SMP'!T920)</f>
        <v/>
      </c>
      <c r="S920" s="193" t="str">
        <f>""</f>
        <v/>
      </c>
      <c r="T920" s="193" t="str">
        <f>""</f>
        <v/>
      </c>
      <c r="U920" s="193" t="str">
        <f t="shared" si="56"/>
        <v/>
      </c>
      <c r="V920" s="193" t="str">
        <f>""</f>
        <v/>
      </c>
      <c r="W920" s="193" t="str">
        <f>""</f>
        <v/>
      </c>
      <c r="X920" s="258" t="str">
        <f t="shared" si="57"/>
        <v/>
      </c>
      <c r="Y920" s="258" t="str">
        <f t="shared" si="58"/>
        <v/>
      </c>
      <c r="Z920" s="193" t="str">
        <f>IF(A920="","",IF(COUNTIF('Observaciones-SMP'!$A$2:$A$1001,A920)&gt;1,1,0))</f>
        <v/>
      </c>
      <c r="AA920" s="193" t="str">
        <f t="shared" si="59"/>
        <v/>
      </c>
    </row>
    <row r="921" spans="1:27" ht="13.5" customHeight="1" x14ac:dyDescent="0.3">
      <c r="A921" s="193" t="str">
        <f>IF('Observaciones-SMP'!A921="","",'Observaciones-SMP'!A921)</f>
        <v/>
      </c>
      <c r="B921" s="257" t="str">
        <f>IF('Observaciones-SMP'!B921="","",'Observaciones-SMP'!B921)</f>
        <v/>
      </c>
      <c r="C921" s="193" t="str">
        <f>IF('Observaciones-SMP'!C921="","",'Observaciones-SMP'!C921)</f>
        <v/>
      </c>
      <c r="D921" s="193" t="str">
        <f>IF('Observaciones-SMP'!D921="","",'Observaciones-SMP'!D921)</f>
        <v/>
      </c>
      <c r="E921" s="193" t="str">
        <f>IF('Observaciones-SMP'!E921="","",'Observaciones-SMP'!E921)</f>
        <v/>
      </c>
      <c r="F921" s="193" t="str">
        <f>IF('Observaciones-SMP'!F921="","",'Observaciones-SMP'!F921)</f>
        <v/>
      </c>
      <c r="G921" s="193" t="str">
        <f>IF('Observaciones-SMP'!G921="","",'Observaciones-SMP'!G921)</f>
        <v/>
      </c>
      <c r="H921" s="193" t="str">
        <f>IF('Observaciones-SMP'!H921="","",'Observaciones-SMP'!H921)</f>
        <v/>
      </c>
      <c r="I921" s="193" t="str">
        <f>IF('Observaciones-SMP'!I921="","",'Observaciones-SMP'!I921)</f>
        <v/>
      </c>
      <c r="J921" s="193" t="str">
        <f>IF('Observaciones-SMP'!J921="","",'Observaciones-SMP'!J921)</f>
        <v/>
      </c>
      <c r="K921" s="193" t="str">
        <f>IF('Observaciones-SMP'!K921="","",'Observaciones-SMP'!K921)</f>
        <v/>
      </c>
      <c r="L921" s="193" t="str">
        <f>IF('Observaciones-SMP'!L921="","",'Observaciones-SMP'!L921)</f>
        <v/>
      </c>
      <c r="M921" s="193" t="str">
        <f>IF('Observaciones-SMP'!M921="","",'Observaciones-SMP'!M921)</f>
        <v/>
      </c>
      <c r="N921" s="193" t="str">
        <f>IF('Observaciones-SMP'!N921="","",'Observaciones-SMP'!N921)</f>
        <v/>
      </c>
      <c r="O921" s="193" t="str">
        <f>IF('Observaciones-SMP'!O921="","",'Observaciones-SMP'!O921)</f>
        <v/>
      </c>
      <c r="P921" s="193" t="str">
        <f>IF('Observaciones-SMP'!P921="","",'Observaciones-SMP'!P921)</f>
        <v/>
      </c>
      <c r="Q921" s="257" t="str">
        <f>IF('Observaciones-SMP'!S921="","",'Observaciones-SMP'!S921)</f>
        <v/>
      </c>
      <c r="R921" s="193" t="str">
        <f>IF('Observaciones-SMP'!T921="","",'Observaciones-SMP'!T921)</f>
        <v/>
      </c>
      <c r="S921" s="193" t="str">
        <f>""</f>
        <v/>
      </c>
      <c r="T921" s="193" t="str">
        <f>""</f>
        <v/>
      </c>
      <c r="U921" s="193" t="str">
        <f t="shared" si="56"/>
        <v/>
      </c>
      <c r="V921" s="193" t="str">
        <f>""</f>
        <v/>
      </c>
      <c r="W921" s="193" t="str">
        <f>""</f>
        <v/>
      </c>
      <c r="X921" s="258" t="str">
        <f t="shared" si="57"/>
        <v/>
      </c>
      <c r="Y921" s="258" t="str">
        <f t="shared" si="58"/>
        <v/>
      </c>
      <c r="Z921" s="193" t="str">
        <f>IF(A921="","",IF(COUNTIF('Observaciones-SMP'!$A$2:$A$1001,A921)&gt;1,1,0))</f>
        <v/>
      </c>
      <c r="AA921" s="193" t="str">
        <f t="shared" si="59"/>
        <v/>
      </c>
    </row>
    <row r="922" spans="1:27" ht="13.5" customHeight="1" x14ac:dyDescent="0.3">
      <c r="A922" s="193" t="str">
        <f>IF('Observaciones-SMP'!A922="","",'Observaciones-SMP'!A922)</f>
        <v/>
      </c>
      <c r="B922" s="257" t="str">
        <f>IF('Observaciones-SMP'!B922="","",'Observaciones-SMP'!B922)</f>
        <v/>
      </c>
      <c r="C922" s="193" t="str">
        <f>IF('Observaciones-SMP'!C922="","",'Observaciones-SMP'!C922)</f>
        <v/>
      </c>
      <c r="D922" s="193" t="str">
        <f>IF('Observaciones-SMP'!D922="","",'Observaciones-SMP'!D922)</f>
        <v/>
      </c>
      <c r="E922" s="193" t="str">
        <f>IF('Observaciones-SMP'!E922="","",'Observaciones-SMP'!E922)</f>
        <v/>
      </c>
      <c r="F922" s="193" t="str">
        <f>IF('Observaciones-SMP'!F922="","",'Observaciones-SMP'!F922)</f>
        <v/>
      </c>
      <c r="G922" s="193" t="str">
        <f>IF('Observaciones-SMP'!G922="","",'Observaciones-SMP'!G922)</f>
        <v/>
      </c>
      <c r="H922" s="193" t="str">
        <f>IF('Observaciones-SMP'!H922="","",'Observaciones-SMP'!H922)</f>
        <v/>
      </c>
      <c r="I922" s="193" t="str">
        <f>IF('Observaciones-SMP'!I922="","",'Observaciones-SMP'!I922)</f>
        <v/>
      </c>
      <c r="J922" s="193" t="str">
        <f>IF('Observaciones-SMP'!J922="","",'Observaciones-SMP'!J922)</f>
        <v/>
      </c>
      <c r="K922" s="193" t="str">
        <f>IF('Observaciones-SMP'!K922="","",'Observaciones-SMP'!K922)</f>
        <v/>
      </c>
      <c r="L922" s="193" t="str">
        <f>IF('Observaciones-SMP'!L922="","",'Observaciones-SMP'!L922)</f>
        <v/>
      </c>
      <c r="M922" s="193" t="str">
        <f>IF('Observaciones-SMP'!M922="","",'Observaciones-SMP'!M922)</f>
        <v/>
      </c>
      <c r="N922" s="193" t="str">
        <f>IF('Observaciones-SMP'!N922="","",'Observaciones-SMP'!N922)</f>
        <v/>
      </c>
      <c r="O922" s="193" t="str">
        <f>IF('Observaciones-SMP'!O922="","",'Observaciones-SMP'!O922)</f>
        <v/>
      </c>
      <c r="P922" s="193" t="str">
        <f>IF('Observaciones-SMP'!P922="","",'Observaciones-SMP'!P922)</f>
        <v/>
      </c>
      <c r="Q922" s="257" t="str">
        <f>IF('Observaciones-SMP'!S922="","",'Observaciones-SMP'!S922)</f>
        <v/>
      </c>
      <c r="R922" s="193" t="str">
        <f>IF('Observaciones-SMP'!T922="","",'Observaciones-SMP'!T922)</f>
        <v/>
      </c>
      <c r="S922" s="193" t="str">
        <f>""</f>
        <v/>
      </c>
      <c r="T922" s="193" t="str">
        <f>""</f>
        <v/>
      </c>
      <c r="U922" s="193" t="str">
        <f t="shared" si="56"/>
        <v/>
      </c>
      <c r="V922" s="193" t="str">
        <f>""</f>
        <v/>
      </c>
      <c r="W922" s="193" t="str">
        <f>""</f>
        <v/>
      </c>
      <c r="X922" s="258" t="str">
        <f t="shared" si="57"/>
        <v/>
      </c>
      <c r="Y922" s="258" t="str">
        <f t="shared" si="58"/>
        <v/>
      </c>
      <c r="Z922" s="193" t="str">
        <f>IF(A922="","",IF(COUNTIF('Observaciones-SMP'!$A$2:$A$1001,A922)&gt;1,1,0))</f>
        <v/>
      </c>
      <c r="AA922" s="193" t="str">
        <f t="shared" si="59"/>
        <v/>
      </c>
    </row>
    <row r="923" spans="1:27" ht="13.5" customHeight="1" x14ac:dyDescent="0.3">
      <c r="A923" s="193" t="str">
        <f>IF('Observaciones-SMP'!A923="","",'Observaciones-SMP'!A923)</f>
        <v/>
      </c>
      <c r="B923" s="257" t="str">
        <f>IF('Observaciones-SMP'!B923="","",'Observaciones-SMP'!B923)</f>
        <v/>
      </c>
      <c r="C923" s="193" t="str">
        <f>IF('Observaciones-SMP'!C923="","",'Observaciones-SMP'!C923)</f>
        <v/>
      </c>
      <c r="D923" s="193" t="str">
        <f>IF('Observaciones-SMP'!D923="","",'Observaciones-SMP'!D923)</f>
        <v/>
      </c>
      <c r="E923" s="193" t="str">
        <f>IF('Observaciones-SMP'!E923="","",'Observaciones-SMP'!E923)</f>
        <v/>
      </c>
      <c r="F923" s="193" t="str">
        <f>IF('Observaciones-SMP'!F923="","",'Observaciones-SMP'!F923)</f>
        <v/>
      </c>
      <c r="G923" s="193" t="str">
        <f>IF('Observaciones-SMP'!G923="","",'Observaciones-SMP'!G923)</f>
        <v/>
      </c>
      <c r="H923" s="193" t="str">
        <f>IF('Observaciones-SMP'!H923="","",'Observaciones-SMP'!H923)</f>
        <v/>
      </c>
      <c r="I923" s="193" t="str">
        <f>IF('Observaciones-SMP'!I923="","",'Observaciones-SMP'!I923)</f>
        <v/>
      </c>
      <c r="J923" s="193" t="str">
        <f>IF('Observaciones-SMP'!J923="","",'Observaciones-SMP'!J923)</f>
        <v/>
      </c>
      <c r="K923" s="193" t="str">
        <f>IF('Observaciones-SMP'!K923="","",'Observaciones-SMP'!K923)</f>
        <v/>
      </c>
      <c r="L923" s="193" t="str">
        <f>IF('Observaciones-SMP'!L923="","",'Observaciones-SMP'!L923)</f>
        <v/>
      </c>
      <c r="M923" s="193" t="str">
        <f>IF('Observaciones-SMP'!M923="","",'Observaciones-SMP'!M923)</f>
        <v/>
      </c>
      <c r="N923" s="193" t="str">
        <f>IF('Observaciones-SMP'!N923="","",'Observaciones-SMP'!N923)</f>
        <v/>
      </c>
      <c r="O923" s="193" t="str">
        <f>IF('Observaciones-SMP'!O923="","",'Observaciones-SMP'!O923)</f>
        <v/>
      </c>
      <c r="P923" s="193" t="str">
        <f>IF('Observaciones-SMP'!P923="","",'Observaciones-SMP'!P923)</f>
        <v/>
      </c>
      <c r="Q923" s="257" t="str">
        <f>IF('Observaciones-SMP'!S923="","",'Observaciones-SMP'!S923)</f>
        <v/>
      </c>
      <c r="R923" s="193" t="str">
        <f>IF('Observaciones-SMP'!T923="","",'Observaciones-SMP'!T923)</f>
        <v/>
      </c>
      <c r="S923" s="193" t="str">
        <f>""</f>
        <v/>
      </c>
      <c r="T923" s="193" t="str">
        <f>""</f>
        <v/>
      </c>
      <c r="U923" s="193" t="str">
        <f t="shared" si="56"/>
        <v/>
      </c>
      <c r="V923" s="193" t="str">
        <f>""</f>
        <v/>
      </c>
      <c r="W923" s="193" t="str">
        <f>""</f>
        <v/>
      </c>
      <c r="X923" s="258" t="str">
        <f t="shared" si="57"/>
        <v/>
      </c>
      <c r="Y923" s="258" t="str">
        <f t="shared" si="58"/>
        <v/>
      </c>
      <c r="Z923" s="193" t="str">
        <f>IF(A923="","",IF(COUNTIF('Observaciones-SMP'!$A$2:$A$1001,A923)&gt;1,1,0))</f>
        <v/>
      </c>
      <c r="AA923" s="193" t="str">
        <f t="shared" si="59"/>
        <v/>
      </c>
    </row>
    <row r="924" spans="1:27" ht="13.5" customHeight="1" x14ac:dyDescent="0.3">
      <c r="A924" s="193" t="str">
        <f>IF('Observaciones-SMP'!A924="","",'Observaciones-SMP'!A924)</f>
        <v/>
      </c>
      <c r="B924" s="257" t="str">
        <f>IF('Observaciones-SMP'!B924="","",'Observaciones-SMP'!B924)</f>
        <v/>
      </c>
      <c r="C924" s="193" t="str">
        <f>IF('Observaciones-SMP'!C924="","",'Observaciones-SMP'!C924)</f>
        <v/>
      </c>
      <c r="D924" s="193" t="str">
        <f>IF('Observaciones-SMP'!D924="","",'Observaciones-SMP'!D924)</f>
        <v/>
      </c>
      <c r="E924" s="193" t="str">
        <f>IF('Observaciones-SMP'!E924="","",'Observaciones-SMP'!E924)</f>
        <v/>
      </c>
      <c r="F924" s="193" t="str">
        <f>IF('Observaciones-SMP'!F924="","",'Observaciones-SMP'!F924)</f>
        <v/>
      </c>
      <c r="G924" s="193" t="str">
        <f>IF('Observaciones-SMP'!G924="","",'Observaciones-SMP'!G924)</f>
        <v/>
      </c>
      <c r="H924" s="193" t="str">
        <f>IF('Observaciones-SMP'!H924="","",'Observaciones-SMP'!H924)</f>
        <v/>
      </c>
      <c r="I924" s="193" t="str">
        <f>IF('Observaciones-SMP'!I924="","",'Observaciones-SMP'!I924)</f>
        <v/>
      </c>
      <c r="J924" s="193" t="str">
        <f>IF('Observaciones-SMP'!J924="","",'Observaciones-SMP'!J924)</f>
        <v/>
      </c>
      <c r="K924" s="193" t="str">
        <f>IF('Observaciones-SMP'!K924="","",'Observaciones-SMP'!K924)</f>
        <v/>
      </c>
      <c r="L924" s="193" t="str">
        <f>IF('Observaciones-SMP'!L924="","",'Observaciones-SMP'!L924)</f>
        <v/>
      </c>
      <c r="M924" s="193" t="str">
        <f>IF('Observaciones-SMP'!M924="","",'Observaciones-SMP'!M924)</f>
        <v/>
      </c>
      <c r="N924" s="193" t="str">
        <f>IF('Observaciones-SMP'!N924="","",'Observaciones-SMP'!N924)</f>
        <v/>
      </c>
      <c r="O924" s="193" t="str">
        <f>IF('Observaciones-SMP'!O924="","",'Observaciones-SMP'!O924)</f>
        <v/>
      </c>
      <c r="P924" s="193" t="str">
        <f>IF('Observaciones-SMP'!P924="","",'Observaciones-SMP'!P924)</f>
        <v/>
      </c>
      <c r="Q924" s="257" t="str">
        <f>IF('Observaciones-SMP'!S924="","",'Observaciones-SMP'!S924)</f>
        <v/>
      </c>
      <c r="R924" s="193" t="str">
        <f>IF('Observaciones-SMP'!T924="","",'Observaciones-SMP'!T924)</f>
        <v/>
      </c>
      <c r="S924" s="193" t="str">
        <f>""</f>
        <v/>
      </c>
      <c r="T924" s="193" t="str">
        <f>""</f>
        <v/>
      </c>
      <c r="U924" s="193" t="str">
        <f t="shared" si="56"/>
        <v/>
      </c>
      <c r="V924" s="193" t="str">
        <f>""</f>
        <v/>
      </c>
      <c r="W924" s="193" t="str">
        <f>""</f>
        <v/>
      </c>
      <c r="X924" s="258" t="str">
        <f t="shared" si="57"/>
        <v/>
      </c>
      <c r="Y924" s="258" t="str">
        <f t="shared" si="58"/>
        <v/>
      </c>
      <c r="Z924" s="193" t="str">
        <f>IF(A924="","",IF(COUNTIF('Observaciones-SMP'!$A$2:$A$1001,A924)&gt;1,1,0))</f>
        <v/>
      </c>
      <c r="AA924" s="193" t="str">
        <f t="shared" si="59"/>
        <v/>
      </c>
    </row>
    <row r="925" spans="1:27" ht="13.5" customHeight="1" x14ac:dyDescent="0.3">
      <c r="A925" s="193" t="str">
        <f>IF('Observaciones-SMP'!A925="","",'Observaciones-SMP'!A925)</f>
        <v/>
      </c>
      <c r="B925" s="257" t="str">
        <f>IF('Observaciones-SMP'!B925="","",'Observaciones-SMP'!B925)</f>
        <v/>
      </c>
      <c r="C925" s="193" t="str">
        <f>IF('Observaciones-SMP'!C925="","",'Observaciones-SMP'!C925)</f>
        <v/>
      </c>
      <c r="D925" s="193" t="str">
        <f>IF('Observaciones-SMP'!D925="","",'Observaciones-SMP'!D925)</f>
        <v/>
      </c>
      <c r="E925" s="193" t="str">
        <f>IF('Observaciones-SMP'!E925="","",'Observaciones-SMP'!E925)</f>
        <v/>
      </c>
      <c r="F925" s="193" t="str">
        <f>IF('Observaciones-SMP'!F925="","",'Observaciones-SMP'!F925)</f>
        <v/>
      </c>
      <c r="G925" s="193" t="str">
        <f>IF('Observaciones-SMP'!G925="","",'Observaciones-SMP'!G925)</f>
        <v/>
      </c>
      <c r="H925" s="193" t="str">
        <f>IF('Observaciones-SMP'!H925="","",'Observaciones-SMP'!H925)</f>
        <v/>
      </c>
      <c r="I925" s="193" t="str">
        <f>IF('Observaciones-SMP'!I925="","",'Observaciones-SMP'!I925)</f>
        <v/>
      </c>
      <c r="J925" s="193" t="str">
        <f>IF('Observaciones-SMP'!J925="","",'Observaciones-SMP'!J925)</f>
        <v/>
      </c>
      <c r="K925" s="193" t="str">
        <f>IF('Observaciones-SMP'!K925="","",'Observaciones-SMP'!K925)</f>
        <v/>
      </c>
      <c r="L925" s="193" t="str">
        <f>IF('Observaciones-SMP'!L925="","",'Observaciones-SMP'!L925)</f>
        <v/>
      </c>
      <c r="M925" s="193" t="str">
        <f>IF('Observaciones-SMP'!M925="","",'Observaciones-SMP'!M925)</f>
        <v/>
      </c>
      <c r="N925" s="193" t="str">
        <f>IF('Observaciones-SMP'!N925="","",'Observaciones-SMP'!N925)</f>
        <v/>
      </c>
      <c r="O925" s="193" t="str">
        <f>IF('Observaciones-SMP'!O925="","",'Observaciones-SMP'!O925)</f>
        <v/>
      </c>
      <c r="P925" s="193" t="str">
        <f>IF('Observaciones-SMP'!P925="","",'Observaciones-SMP'!P925)</f>
        <v/>
      </c>
      <c r="Q925" s="257" t="str">
        <f>IF('Observaciones-SMP'!S925="","",'Observaciones-SMP'!S925)</f>
        <v/>
      </c>
      <c r="R925" s="193" t="str">
        <f>IF('Observaciones-SMP'!T925="","",'Observaciones-SMP'!T925)</f>
        <v/>
      </c>
      <c r="S925" s="193" t="str">
        <f>""</f>
        <v/>
      </c>
      <c r="T925" s="193" t="str">
        <f>""</f>
        <v/>
      </c>
      <c r="U925" s="193" t="str">
        <f t="shared" si="56"/>
        <v/>
      </c>
      <c r="V925" s="193" t="str">
        <f>""</f>
        <v/>
      </c>
      <c r="W925" s="193" t="str">
        <f>""</f>
        <v/>
      </c>
      <c r="X925" s="258" t="str">
        <f t="shared" si="57"/>
        <v/>
      </c>
      <c r="Y925" s="258" t="str">
        <f t="shared" si="58"/>
        <v/>
      </c>
      <c r="Z925" s="193" t="str">
        <f>IF(A925="","",IF(COUNTIF('Observaciones-SMP'!$A$2:$A$1001,A925)&gt;1,1,0))</f>
        <v/>
      </c>
      <c r="AA925" s="193" t="str">
        <f t="shared" si="59"/>
        <v/>
      </c>
    </row>
    <row r="926" spans="1:27" ht="13.5" customHeight="1" x14ac:dyDescent="0.3">
      <c r="A926" s="193" t="str">
        <f>IF('Observaciones-SMP'!A926="","",'Observaciones-SMP'!A926)</f>
        <v/>
      </c>
      <c r="B926" s="257" t="str">
        <f>IF('Observaciones-SMP'!B926="","",'Observaciones-SMP'!B926)</f>
        <v/>
      </c>
      <c r="C926" s="193" t="str">
        <f>IF('Observaciones-SMP'!C926="","",'Observaciones-SMP'!C926)</f>
        <v/>
      </c>
      <c r="D926" s="193" t="str">
        <f>IF('Observaciones-SMP'!D926="","",'Observaciones-SMP'!D926)</f>
        <v/>
      </c>
      <c r="E926" s="193" t="str">
        <f>IF('Observaciones-SMP'!E926="","",'Observaciones-SMP'!E926)</f>
        <v/>
      </c>
      <c r="F926" s="193" t="str">
        <f>IF('Observaciones-SMP'!F926="","",'Observaciones-SMP'!F926)</f>
        <v/>
      </c>
      <c r="G926" s="193" t="str">
        <f>IF('Observaciones-SMP'!G926="","",'Observaciones-SMP'!G926)</f>
        <v/>
      </c>
      <c r="H926" s="193" t="str">
        <f>IF('Observaciones-SMP'!H926="","",'Observaciones-SMP'!H926)</f>
        <v/>
      </c>
      <c r="I926" s="193" t="str">
        <f>IF('Observaciones-SMP'!I926="","",'Observaciones-SMP'!I926)</f>
        <v/>
      </c>
      <c r="J926" s="193" t="str">
        <f>IF('Observaciones-SMP'!J926="","",'Observaciones-SMP'!J926)</f>
        <v/>
      </c>
      <c r="K926" s="193" t="str">
        <f>IF('Observaciones-SMP'!K926="","",'Observaciones-SMP'!K926)</f>
        <v/>
      </c>
      <c r="L926" s="193" t="str">
        <f>IF('Observaciones-SMP'!L926="","",'Observaciones-SMP'!L926)</f>
        <v/>
      </c>
      <c r="M926" s="193" t="str">
        <f>IF('Observaciones-SMP'!M926="","",'Observaciones-SMP'!M926)</f>
        <v/>
      </c>
      <c r="N926" s="193" t="str">
        <f>IF('Observaciones-SMP'!N926="","",'Observaciones-SMP'!N926)</f>
        <v/>
      </c>
      <c r="O926" s="193" t="str">
        <f>IF('Observaciones-SMP'!O926="","",'Observaciones-SMP'!O926)</f>
        <v/>
      </c>
      <c r="P926" s="193" t="str">
        <f>IF('Observaciones-SMP'!P926="","",'Observaciones-SMP'!P926)</f>
        <v/>
      </c>
      <c r="Q926" s="257" t="str">
        <f>IF('Observaciones-SMP'!S926="","",'Observaciones-SMP'!S926)</f>
        <v/>
      </c>
      <c r="R926" s="193" t="str">
        <f>IF('Observaciones-SMP'!T926="","",'Observaciones-SMP'!T926)</f>
        <v/>
      </c>
      <c r="S926" s="193" t="str">
        <f>""</f>
        <v/>
      </c>
      <c r="T926" s="193" t="str">
        <f>""</f>
        <v/>
      </c>
      <c r="U926" s="193" t="str">
        <f t="shared" si="56"/>
        <v/>
      </c>
      <c r="V926" s="193" t="str">
        <f>""</f>
        <v/>
      </c>
      <c r="W926" s="193" t="str">
        <f>""</f>
        <v/>
      </c>
      <c r="X926" s="258" t="str">
        <f t="shared" si="57"/>
        <v/>
      </c>
      <c r="Y926" s="258" t="str">
        <f t="shared" si="58"/>
        <v/>
      </c>
      <c r="Z926" s="193" t="str">
        <f>IF(A926="","",IF(COUNTIF('Observaciones-SMP'!$A$2:$A$1001,A926)&gt;1,1,0))</f>
        <v/>
      </c>
      <c r="AA926" s="193" t="str">
        <f t="shared" si="59"/>
        <v/>
      </c>
    </row>
    <row r="927" spans="1:27" ht="13.5" customHeight="1" x14ac:dyDescent="0.3">
      <c r="A927" s="193" t="str">
        <f>IF('Observaciones-SMP'!A927="","",'Observaciones-SMP'!A927)</f>
        <v/>
      </c>
      <c r="B927" s="257" t="str">
        <f>IF('Observaciones-SMP'!B927="","",'Observaciones-SMP'!B927)</f>
        <v/>
      </c>
      <c r="C927" s="193" t="str">
        <f>IF('Observaciones-SMP'!C927="","",'Observaciones-SMP'!C927)</f>
        <v/>
      </c>
      <c r="D927" s="193" t="str">
        <f>IF('Observaciones-SMP'!D927="","",'Observaciones-SMP'!D927)</f>
        <v/>
      </c>
      <c r="E927" s="193" t="str">
        <f>IF('Observaciones-SMP'!E927="","",'Observaciones-SMP'!E927)</f>
        <v/>
      </c>
      <c r="F927" s="193" t="str">
        <f>IF('Observaciones-SMP'!F927="","",'Observaciones-SMP'!F927)</f>
        <v/>
      </c>
      <c r="G927" s="193" t="str">
        <f>IF('Observaciones-SMP'!G927="","",'Observaciones-SMP'!G927)</f>
        <v/>
      </c>
      <c r="H927" s="193" t="str">
        <f>IF('Observaciones-SMP'!H927="","",'Observaciones-SMP'!H927)</f>
        <v/>
      </c>
      <c r="I927" s="193" t="str">
        <f>IF('Observaciones-SMP'!I927="","",'Observaciones-SMP'!I927)</f>
        <v/>
      </c>
      <c r="J927" s="193" t="str">
        <f>IF('Observaciones-SMP'!J927="","",'Observaciones-SMP'!J927)</f>
        <v/>
      </c>
      <c r="K927" s="193" t="str">
        <f>IF('Observaciones-SMP'!K927="","",'Observaciones-SMP'!K927)</f>
        <v/>
      </c>
      <c r="L927" s="193" t="str">
        <f>IF('Observaciones-SMP'!L927="","",'Observaciones-SMP'!L927)</f>
        <v/>
      </c>
      <c r="M927" s="193" t="str">
        <f>IF('Observaciones-SMP'!M927="","",'Observaciones-SMP'!M927)</f>
        <v/>
      </c>
      <c r="N927" s="193" t="str">
        <f>IF('Observaciones-SMP'!N927="","",'Observaciones-SMP'!N927)</f>
        <v/>
      </c>
      <c r="O927" s="193" t="str">
        <f>IF('Observaciones-SMP'!O927="","",'Observaciones-SMP'!O927)</f>
        <v/>
      </c>
      <c r="P927" s="193" t="str">
        <f>IF('Observaciones-SMP'!P927="","",'Observaciones-SMP'!P927)</f>
        <v/>
      </c>
      <c r="Q927" s="257" t="str">
        <f>IF('Observaciones-SMP'!S927="","",'Observaciones-SMP'!S927)</f>
        <v/>
      </c>
      <c r="R927" s="193" t="str">
        <f>IF('Observaciones-SMP'!T927="","",'Observaciones-SMP'!T927)</f>
        <v/>
      </c>
      <c r="S927" s="193" t="str">
        <f>""</f>
        <v/>
      </c>
      <c r="T927" s="193" t="str">
        <f>""</f>
        <v/>
      </c>
      <c r="U927" s="193" t="str">
        <f t="shared" si="56"/>
        <v/>
      </c>
      <c r="V927" s="193" t="str">
        <f>""</f>
        <v/>
      </c>
      <c r="W927" s="193" t="str">
        <f>""</f>
        <v/>
      </c>
      <c r="X927" s="258" t="str">
        <f t="shared" si="57"/>
        <v/>
      </c>
      <c r="Y927" s="258" t="str">
        <f t="shared" si="58"/>
        <v/>
      </c>
      <c r="Z927" s="193" t="str">
        <f>IF(A927="","",IF(COUNTIF('Observaciones-SMP'!$A$2:$A$1001,A927)&gt;1,1,0))</f>
        <v/>
      </c>
      <c r="AA927" s="193" t="str">
        <f t="shared" si="59"/>
        <v/>
      </c>
    </row>
    <row r="928" spans="1:27" ht="13.5" customHeight="1" x14ac:dyDescent="0.3">
      <c r="A928" s="193" t="str">
        <f>IF('Observaciones-SMP'!A928="","",'Observaciones-SMP'!A928)</f>
        <v/>
      </c>
      <c r="B928" s="257" t="str">
        <f>IF('Observaciones-SMP'!B928="","",'Observaciones-SMP'!B928)</f>
        <v/>
      </c>
      <c r="C928" s="193" t="str">
        <f>IF('Observaciones-SMP'!C928="","",'Observaciones-SMP'!C928)</f>
        <v/>
      </c>
      <c r="D928" s="193" t="str">
        <f>IF('Observaciones-SMP'!D928="","",'Observaciones-SMP'!D928)</f>
        <v/>
      </c>
      <c r="E928" s="193" t="str">
        <f>IF('Observaciones-SMP'!E928="","",'Observaciones-SMP'!E928)</f>
        <v/>
      </c>
      <c r="F928" s="193" t="str">
        <f>IF('Observaciones-SMP'!F928="","",'Observaciones-SMP'!F928)</f>
        <v/>
      </c>
      <c r="G928" s="193" t="str">
        <f>IF('Observaciones-SMP'!G928="","",'Observaciones-SMP'!G928)</f>
        <v/>
      </c>
      <c r="H928" s="193" t="str">
        <f>IF('Observaciones-SMP'!H928="","",'Observaciones-SMP'!H928)</f>
        <v/>
      </c>
      <c r="I928" s="193" t="str">
        <f>IF('Observaciones-SMP'!I928="","",'Observaciones-SMP'!I928)</f>
        <v/>
      </c>
      <c r="J928" s="193" t="str">
        <f>IF('Observaciones-SMP'!J928="","",'Observaciones-SMP'!J928)</f>
        <v/>
      </c>
      <c r="K928" s="193" t="str">
        <f>IF('Observaciones-SMP'!K928="","",'Observaciones-SMP'!K928)</f>
        <v/>
      </c>
      <c r="L928" s="193" t="str">
        <f>IF('Observaciones-SMP'!L928="","",'Observaciones-SMP'!L928)</f>
        <v/>
      </c>
      <c r="M928" s="193" t="str">
        <f>IF('Observaciones-SMP'!M928="","",'Observaciones-SMP'!M928)</f>
        <v/>
      </c>
      <c r="N928" s="193" t="str">
        <f>IF('Observaciones-SMP'!N928="","",'Observaciones-SMP'!N928)</f>
        <v/>
      </c>
      <c r="O928" s="193" t="str">
        <f>IF('Observaciones-SMP'!O928="","",'Observaciones-SMP'!O928)</f>
        <v/>
      </c>
      <c r="P928" s="193" t="str">
        <f>IF('Observaciones-SMP'!P928="","",'Observaciones-SMP'!P928)</f>
        <v/>
      </c>
      <c r="Q928" s="257" t="str">
        <f>IF('Observaciones-SMP'!S928="","",'Observaciones-SMP'!S928)</f>
        <v/>
      </c>
      <c r="R928" s="193" t="str">
        <f>IF('Observaciones-SMP'!T928="","",'Observaciones-SMP'!T928)</f>
        <v/>
      </c>
      <c r="S928" s="193" t="str">
        <f>""</f>
        <v/>
      </c>
      <c r="T928" s="193" t="str">
        <f>""</f>
        <v/>
      </c>
      <c r="U928" s="193" t="str">
        <f t="shared" si="56"/>
        <v/>
      </c>
      <c r="V928" s="193" t="str">
        <f>""</f>
        <v/>
      </c>
      <c r="W928" s="193" t="str">
        <f>""</f>
        <v/>
      </c>
      <c r="X928" s="258" t="str">
        <f t="shared" si="57"/>
        <v/>
      </c>
      <c r="Y928" s="258" t="str">
        <f t="shared" si="58"/>
        <v/>
      </c>
      <c r="Z928" s="193" t="str">
        <f>IF(A928="","",IF(COUNTIF('Observaciones-SMP'!$A$2:$A$1001,A928)&gt;1,1,0))</f>
        <v/>
      </c>
      <c r="AA928" s="193" t="str">
        <f t="shared" si="59"/>
        <v/>
      </c>
    </row>
    <row r="929" spans="1:27" ht="13.5" customHeight="1" x14ac:dyDescent="0.3">
      <c r="A929" s="193" t="str">
        <f>IF('Observaciones-SMP'!A929="","",'Observaciones-SMP'!A929)</f>
        <v/>
      </c>
      <c r="B929" s="257" t="str">
        <f>IF('Observaciones-SMP'!B929="","",'Observaciones-SMP'!B929)</f>
        <v/>
      </c>
      <c r="C929" s="193" t="str">
        <f>IF('Observaciones-SMP'!C929="","",'Observaciones-SMP'!C929)</f>
        <v/>
      </c>
      <c r="D929" s="193" t="str">
        <f>IF('Observaciones-SMP'!D929="","",'Observaciones-SMP'!D929)</f>
        <v/>
      </c>
      <c r="E929" s="193" t="str">
        <f>IF('Observaciones-SMP'!E929="","",'Observaciones-SMP'!E929)</f>
        <v/>
      </c>
      <c r="F929" s="193" t="str">
        <f>IF('Observaciones-SMP'!F929="","",'Observaciones-SMP'!F929)</f>
        <v/>
      </c>
      <c r="G929" s="193" t="str">
        <f>IF('Observaciones-SMP'!G929="","",'Observaciones-SMP'!G929)</f>
        <v/>
      </c>
      <c r="H929" s="193" t="str">
        <f>IF('Observaciones-SMP'!H929="","",'Observaciones-SMP'!H929)</f>
        <v/>
      </c>
      <c r="I929" s="193" t="str">
        <f>IF('Observaciones-SMP'!I929="","",'Observaciones-SMP'!I929)</f>
        <v/>
      </c>
      <c r="J929" s="193" t="str">
        <f>IF('Observaciones-SMP'!J929="","",'Observaciones-SMP'!J929)</f>
        <v/>
      </c>
      <c r="K929" s="193" t="str">
        <f>IF('Observaciones-SMP'!K929="","",'Observaciones-SMP'!K929)</f>
        <v/>
      </c>
      <c r="L929" s="193" t="str">
        <f>IF('Observaciones-SMP'!L929="","",'Observaciones-SMP'!L929)</f>
        <v/>
      </c>
      <c r="M929" s="193" t="str">
        <f>IF('Observaciones-SMP'!M929="","",'Observaciones-SMP'!M929)</f>
        <v/>
      </c>
      <c r="N929" s="193" t="str">
        <f>IF('Observaciones-SMP'!N929="","",'Observaciones-SMP'!N929)</f>
        <v/>
      </c>
      <c r="O929" s="193" t="str">
        <f>IF('Observaciones-SMP'!O929="","",'Observaciones-SMP'!O929)</f>
        <v/>
      </c>
      <c r="P929" s="193" t="str">
        <f>IF('Observaciones-SMP'!P929="","",'Observaciones-SMP'!P929)</f>
        <v/>
      </c>
      <c r="Q929" s="257" t="str">
        <f>IF('Observaciones-SMP'!S929="","",'Observaciones-SMP'!S929)</f>
        <v/>
      </c>
      <c r="R929" s="193" t="str">
        <f>IF('Observaciones-SMP'!T929="","",'Observaciones-SMP'!T929)</f>
        <v/>
      </c>
      <c r="S929" s="193" t="str">
        <f>""</f>
        <v/>
      </c>
      <c r="T929" s="193" t="str">
        <f>""</f>
        <v/>
      </c>
      <c r="U929" s="193" t="str">
        <f t="shared" si="56"/>
        <v/>
      </c>
      <c r="V929" s="193" t="str">
        <f>""</f>
        <v/>
      </c>
      <c r="W929" s="193" t="str">
        <f>""</f>
        <v/>
      </c>
      <c r="X929" s="258" t="str">
        <f t="shared" si="57"/>
        <v/>
      </c>
      <c r="Y929" s="258" t="str">
        <f t="shared" si="58"/>
        <v/>
      </c>
      <c r="Z929" s="193" t="str">
        <f>IF(A929="","",IF(COUNTIF('Observaciones-SMP'!$A$2:$A$1001,A929)&gt;1,1,0))</f>
        <v/>
      </c>
      <c r="AA929" s="193" t="str">
        <f t="shared" si="59"/>
        <v/>
      </c>
    </row>
    <row r="930" spans="1:27" ht="13.5" customHeight="1" x14ac:dyDescent="0.3">
      <c r="A930" s="193" t="str">
        <f>IF('Observaciones-SMP'!A930="","",'Observaciones-SMP'!A930)</f>
        <v/>
      </c>
      <c r="B930" s="257" t="str">
        <f>IF('Observaciones-SMP'!B930="","",'Observaciones-SMP'!B930)</f>
        <v/>
      </c>
      <c r="C930" s="193" t="str">
        <f>IF('Observaciones-SMP'!C930="","",'Observaciones-SMP'!C930)</f>
        <v/>
      </c>
      <c r="D930" s="193" t="str">
        <f>IF('Observaciones-SMP'!D930="","",'Observaciones-SMP'!D930)</f>
        <v/>
      </c>
      <c r="E930" s="193" t="str">
        <f>IF('Observaciones-SMP'!E930="","",'Observaciones-SMP'!E930)</f>
        <v/>
      </c>
      <c r="F930" s="193" t="str">
        <f>IF('Observaciones-SMP'!F930="","",'Observaciones-SMP'!F930)</f>
        <v/>
      </c>
      <c r="G930" s="193" t="str">
        <f>IF('Observaciones-SMP'!G930="","",'Observaciones-SMP'!G930)</f>
        <v/>
      </c>
      <c r="H930" s="193" t="str">
        <f>IF('Observaciones-SMP'!H930="","",'Observaciones-SMP'!H930)</f>
        <v/>
      </c>
      <c r="I930" s="193" t="str">
        <f>IF('Observaciones-SMP'!I930="","",'Observaciones-SMP'!I930)</f>
        <v/>
      </c>
      <c r="J930" s="193" t="str">
        <f>IF('Observaciones-SMP'!J930="","",'Observaciones-SMP'!J930)</f>
        <v/>
      </c>
      <c r="K930" s="193" t="str">
        <f>IF('Observaciones-SMP'!K930="","",'Observaciones-SMP'!K930)</f>
        <v/>
      </c>
      <c r="L930" s="193" t="str">
        <f>IF('Observaciones-SMP'!L930="","",'Observaciones-SMP'!L930)</f>
        <v/>
      </c>
      <c r="M930" s="193" t="str">
        <f>IF('Observaciones-SMP'!M930="","",'Observaciones-SMP'!M930)</f>
        <v/>
      </c>
      <c r="N930" s="193" t="str">
        <f>IF('Observaciones-SMP'!N930="","",'Observaciones-SMP'!N930)</f>
        <v/>
      </c>
      <c r="O930" s="193" t="str">
        <f>IF('Observaciones-SMP'!O930="","",'Observaciones-SMP'!O930)</f>
        <v/>
      </c>
      <c r="P930" s="193" t="str">
        <f>IF('Observaciones-SMP'!P930="","",'Observaciones-SMP'!P930)</f>
        <v/>
      </c>
      <c r="Q930" s="257" t="str">
        <f>IF('Observaciones-SMP'!S930="","",'Observaciones-SMP'!S930)</f>
        <v/>
      </c>
      <c r="R930" s="193" t="str">
        <f>IF('Observaciones-SMP'!T930="","",'Observaciones-SMP'!T930)</f>
        <v/>
      </c>
      <c r="S930" s="193" t="str">
        <f>""</f>
        <v/>
      </c>
      <c r="T930" s="193" t="str">
        <f>""</f>
        <v/>
      </c>
      <c r="U930" s="193" t="str">
        <f t="shared" si="56"/>
        <v/>
      </c>
      <c r="V930" s="193" t="str">
        <f>""</f>
        <v/>
      </c>
      <c r="W930" s="193" t="str">
        <f>""</f>
        <v/>
      </c>
      <c r="X930" s="258" t="str">
        <f t="shared" si="57"/>
        <v/>
      </c>
      <c r="Y930" s="258" t="str">
        <f t="shared" si="58"/>
        <v/>
      </c>
      <c r="Z930" s="193" t="str">
        <f>IF(A930="","",IF(COUNTIF('Observaciones-SMP'!$A$2:$A$1001,A930)&gt;1,1,0))</f>
        <v/>
      </c>
      <c r="AA930" s="193" t="str">
        <f t="shared" si="59"/>
        <v/>
      </c>
    </row>
    <row r="931" spans="1:27" ht="13.5" customHeight="1" x14ac:dyDescent="0.3">
      <c r="A931" s="193" t="str">
        <f>IF('Observaciones-SMP'!A931="","",'Observaciones-SMP'!A931)</f>
        <v/>
      </c>
      <c r="B931" s="257" t="str">
        <f>IF('Observaciones-SMP'!B931="","",'Observaciones-SMP'!B931)</f>
        <v/>
      </c>
      <c r="C931" s="193" t="str">
        <f>IF('Observaciones-SMP'!C931="","",'Observaciones-SMP'!C931)</f>
        <v/>
      </c>
      <c r="D931" s="193" t="str">
        <f>IF('Observaciones-SMP'!D931="","",'Observaciones-SMP'!D931)</f>
        <v/>
      </c>
      <c r="E931" s="193" t="str">
        <f>IF('Observaciones-SMP'!E931="","",'Observaciones-SMP'!E931)</f>
        <v/>
      </c>
      <c r="F931" s="193" t="str">
        <f>IF('Observaciones-SMP'!F931="","",'Observaciones-SMP'!F931)</f>
        <v/>
      </c>
      <c r="G931" s="193" t="str">
        <f>IF('Observaciones-SMP'!G931="","",'Observaciones-SMP'!G931)</f>
        <v/>
      </c>
      <c r="H931" s="193" t="str">
        <f>IF('Observaciones-SMP'!H931="","",'Observaciones-SMP'!H931)</f>
        <v/>
      </c>
      <c r="I931" s="193" t="str">
        <f>IF('Observaciones-SMP'!I931="","",'Observaciones-SMP'!I931)</f>
        <v/>
      </c>
      <c r="J931" s="193" t="str">
        <f>IF('Observaciones-SMP'!J931="","",'Observaciones-SMP'!J931)</f>
        <v/>
      </c>
      <c r="K931" s="193" t="str">
        <f>IF('Observaciones-SMP'!K931="","",'Observaciones-SMP'!K931)</f>
        <v/>
      </c>
      <c r="L931" s="193" t="str">
        <f>IF('Observaciones-SMP'!L931="","",'Observaciones-SMP'!L931)</f>
        <v/>
      </c>
      <c r="M931" s="193" t="str">
        <f>IF('Observaciones-SMP'!M931="","",'Observaciones-SMP'!M931)</f>
        <v/>
      </c>
      <c r="N931" s="193" t="str">
        <f>IF('Observaciones-SMP'!N931="","",'Observaciones-SMP'!N931)</f>
        <v/>
      </c>
      <c r="O931" s="193" t="str">
        <f>IF('Observaciones-SMP'!O931="","",'Observaciones-SMP'!O931)</f>
        <v/>
      </c>
      <c r="P931" s="193" t="str">
        <f>IF('Observaciones-SMP'!P931="","",'Observaciones-SMP'!P931)</f>
        <v/>
      </c>
      <c r="Q931" s="257" t="str">
        <f>IF('Observaciones-SMP'!S931="","",'Observaciones-SMP'!S931)</f>
        <v/>
      </c>
      <c r="R931" s="193" t="str">
        <f>IF('Observaciones-SMP'!T931="","",'Observaciones-SMP'!T931)</f>
        <v/>
      </c>
      <c r="S931" s="193" t="str">
        <f>""</f>
        <v/>
      </c>
      <c r="T931" s="193" t="str">
        <f>""</f>
        <v/>
      </c>
      <c r="U931" s="193" t="str">
        <f t="shared" si="56"/>
        <v/>
      </c>
      <c r="V931" s="193" t="str">
        <f>""</f>
        <v/>
      </c>
      <c r="W931" s="193" t="str">
        <f>""</f>
        <v/>
      </c>
      <c r="X931" s="258" t="str">
        <f t="shared" si="57"/>
        <v/>
      </c>
      <c r="Y931" s="258" t="str">
        <f t="shared" si="58"/>
        <v/>
      </c>
      <c r="Z931" s="193" t="str">
        <f>IF(A931="","",IF(COUNTIF('Observaciones-SMP'!$A$2:$A$1001,A931)&gt;1,1,0))</f>
        <v/>
      </c>
      <c r="AA931" s="193" t="str">
        <f t="shared" si="59"/>
        <v/>
      </c>
    </row>
    <row r="932" spans="1:27" ht="13.5" customHeight="1" x14ac:dyDescent="0.3">
      <c r="A932" s="193" t="str">
        <f>IF('Observaciones-SMP'!A932="","",'Observaciones-SMP'!A932)</f>
        <v/>
      </c>
      <c r="B932" s="257" t="str">
        <f>IF('Observaciones-SMP'!B932="","",'Observaciones-SMP'!B932)</f>
        <v/>
      </c>
      <c r="C932" s="193" t="str">
        <f>IF('Observaciones-SMP'!C932="","",'Observaciones-SMP'!C932)</f>
        <v/>
      </c>
      <c r="D932" s="193" t="str">
        <f>IF('Observaciones-SMP'!D932="","",'Observaciones-SMP'!D932)</f>
        <v/>
      </c>
      <c r="E932" s="193" t="str">
        <f>IF('Observaciones-SMP'!E932="","",'Observaciones-SMP'!E932)</f>
        <v/>
      </c>
      <c r="F932" s="193" t="str">
        <f>IF('Observaciones-SMP'!F932="","",'Observaciones-SMP'!F932)</f>
        <v/>
      </c>
      <c r="G932" s="193" t="str">
        <f>IF('Observaciones-SMP'!G932="","",'Observaciones-SMP'!G932)</f>
        <v/>
      </c>
      <c r="H932" s="193" t="str">
        <f>IF('Observaciones-SMP'!H932="","",'Observaciones-SMP'!H932)</f>
        <v/>
      </c>
      <c r="I932" s="193" t="str">
        <f>IF('Observaciones-SMP'!I932="","",'Observaciones-SMP'!I932)</f>
        <v/>
      </c>
      <c r="J932" s="193" t="str">
        <f>IF('Observaciones-SMP'!J932="","",'Observaciones-SMP'!J932)</f>
        <v/>
      </c>
      <c r="K932" s="193" t="str">
        <f>IF('Observaciones-SMP'!K932="","",'Observaciones-SMP'!K932)</f>
        <v/>
      </c>
      <c r="L932" s="193" t="str">
        <f>IF('Observaciones-SMP'!L932="","",'Observaciones-SMP'!L932)</f>
        <v/>
      </c>
      <c r="M932" s="193" t="str">
        <f>IF('Observaciones-SMP'!M932="","",'Observaciones-SMP'!M932)</f>
        <v/>
      </c>
      <c r="N932" s="193" t="str">
        <f>IF('Observaciones-SMP'!N932="","",'Observaciones-SMP'!N932)</f>
        <v/>
      </c>
      <c r="O932" s="193" t="str">
        <f>IF('Observaciones-SMP'!O932="","",'Observaciones-SMP'!O932)</f>
        <v/>
      </c>
      <c r="P932" s="193" t="str">
        <f>IF('Observaciones-SMP'!P932="","",'Observaciones-SMP'!P932)</f>
        <v/>
      </c>
      <c r="Q932" s="257" t="str">
        <f>IF('Observaciones-SMP'!S932="","",'Observaciones-SMP'!S932)</f>
        <v/>
      </c>
      <c r="R932" s="193" t="str">
        <f>IF('Observaciones-SMP'!T932="","",'Observaciones-SMP'!T932)</f>
        <v/>
      </c>
      <c r="S932" s="193" t="str">
        <f>""</f>
        <v/>
      </c>
      <c r="T932" s="193" t="str">
        <f>""</f>
        <v/>
      </c>
      <c r="U932" s="193" t="str">
        <f t="shared" si="56"/>
        <v/>
      </c>
      <c r="V932" s="193" t="str">
        <f>""</f>
        <v/>
      </c>
      <c r="W932" s="193" t="str">
        <f>""</f>
        <v/>
      </c>
      <c r="X932" s="258" t="str">
        <f t="shared" si="57"/>
        <v/>
      </c>
      <c r="Y932" s="258" t="str">
        <f t="shared" si="58"/>
        <v/>
      </c>
      <c r="Z932" s="193" t="str">
        <f>IF(A932="","",IF(COUNTIF('Observaciones-SMP'!$A$2:$A$1001,A932)&gt;1,1,0))</f>
        <v/>
      </c>
      <c r="AA932" s="193" t="str">
        <f t="shared" si="59"/>
        <v/>
      </c>
    </row>
    <row r="933" spans="1:27" ht="13.5" customHeight="1" x14ac:dyDescent="0.3">
      <c r="A933" s="193" t="str">
        <f>IF('Observaciones-SMP'!A933="","",'Observaciones-SMP'!A933)</f>
        <v/>
      </c>
      <c r="B933" s="257" t="str">
        <f>IF('Observaciones-SMP'!B933="","",'Observaciones-SMP'!B933)</f>
        <v/>
      </c>
      <c r="C933" s="193" t="str">
        <f>IF('Observaciones-SMP'!C933="","",'Observaciones-SMP'!C933)</f>
        <v/>
      </c>
      <c r="D933" s="193" t="str">
        <f>IF('Observaciones-SMP'!D933="","",'Observaciones-SMP'!D933)</f>
        <v/>
      </c>
      <c r="E933" s="193" t="str">
        <f>IF('Observaciones-SMP'!E933="","",'Observaciones-SMP'!E933)</f>
        <v/>
      </c>
      <c r="F933" s="193" t="str">
        <f>IF('Observaciones-SMP'!F933="","",'Observaciones-SMP'!F933)</f>
        <v/>
      </c>
      <c r="G933" s="193" t="str">
        <f>IF('Observaciones-SMP'!G933="","",'Observaciones-SMP'!G933)</f>
        <v/>
      </c>
      <c r="H933" s="193" t="str">
        <f>IF('Observaciones-SMP'!H933="","",'Observaciones-SMP'!H933)</f>
        <v/>
      </c>
      <c r="I933" s="193" t="str">
        <f>IF('Observaciones-SMP'!I933="","",'Observaciones-SMP'!I933)</f>
        <v/>
      </c>
      <c r="J933" s="193" t="str">
        <f>IF('Observaciones-SMP'!J933="","",'Observaciones-SMP'!J933)</f>
        <v/>
      </c>
      <c r="K933" s="193" t="str">
        <f>IF('Observaciones-SMP'!K933="","",'Observaciones-SMP'!K933)</f>
        <v/>
      </c>
      <c r="L933" s="193" t="str">
        <f>IF('Observaciones-SMP'!L933="","",'Observaciones-SMP'!L933)</f>
        <v/>
      </c>
      <c r="M933" s="193" t="str">
        <f>IF('Observaciones-SMP'!M933="","",'Observaciones-SMP'!M933)</f>
        <v/>
      </c>
      <c r="N933" s="193" t="str">
        <f>IF('Observaciones-SMP'!N933="","",'Observaciones-SMP'!N933)</f>
        <v/>
      </c>
      <c r="O933" s="193" t="str">
        <f>IF('Observaciones-SMP'!O933="","",'Observaciones-SMP'!O933)</f>
        <v/>
      </c>
      <c r="P933" s="193" t="str">
        <f>IF('Observaciones-SMP'!P933="","",'Observaciones-SMP'!P933)</f>
        <v/>
      </c>
      <c r="Q933" s="257" t="str">
        <f>IF('Observaciones-SMP'!S933="","",'Observaciones-SMP'!S933)</f>
        <v/>
      </c>
      <c r="R933" s="193" t="str">
        <f>IF('Observaciones-SMP'!T933="","",'Observaciones-SMP'!T933)</f>
        <v/>
      </c>
      <c r="S933" s="193" t="str">
        <f>""</f>
        <v/>
      </c>
      <c r="T933" s="193" t="str">
        <f>""</f>
        <v/>
      </c>
      <c r="U933" s="193" t="str">
        <f t="shared" si="56"/>
        <v/>
      </c>
      <c r="V933" s="193" t="str">
        <f>""</f>
        <v/>
      </c>
      <c r="W933" s="193" t="str">
        <f>""</f>
        <v/>
      </c>
      <c r="X933" s="258" t="str">
        <f t="shared" si="57"/>
        <v/>
      </c>
      <c r="Y933" s="258" t="str">
        <f t="shared" si="58"/>
        <v/>
      </c>
      <c r="Z933" s="193" t="str">
        <f>IF(A933="","",IF(COUNTIF('Observaciones-SMP'!$A$2:$A$1001,A933)&gt;1,1,0))</f>
        <v/>
      </c>
      <c r="AA933" s="193" t="str">
        <f t="shared" si="59"/>
        <v/>
      </c>
    </row>
    <row r="934" spans="1:27" ht="13.5" customHeight="1" x14ac:dyDescent="0.3">
      <c r="A934" s="193" t="str">
        <f>IF('Observaciones-SMP'!A934="","",'Observaciones-SMP'!A934)</f>
        <v/>
      </c>
      <c r="B934" s="257" t="str">
        <f>IF('Observaciones-SMP'!B934="","",'Observaciones-SMP'!B934)</f>
        <v/>
      </c>
      <c r="C934" s="193" t="str">
        <f>IF('Observaciones-SMP'!C934="","",'Observaciones-SMP'!C934)</f>
        <v/>
      </c>
      <c r="D934" s="193" t="str">
        <f>IF('Observaciones-SMP'!D934="","",'Observaciones-SMP'!D934)</f>
        <v/>
      </c>
      <c r="E934" s="193" t="str">
        <f>IF('Observaciones-SMP'!E934="","",'Observaciones-SMP'!E934)</f>
        <v/>
      </c>
      <c r="F934" s="193" t="str">
        <f>IF('Observaciones-SMP'!F934="","",'Observaciones-SMP'!F934)</f>
        <v/>
      </c>
      <c r="G934" s="193" t="str">
        <f>IF('Observaciones-SMP'!G934="","",'Observaciones-SMP'!G934)</f>
        <v/>
      </c>
      <c r="H934" s="193" t="str">
        <f>IF('Observaciones-SMP'!H934="","",'Observaciones-SMP'!H934)</f>
        <v/>
      </c>
      <c r="I934" s="193" t="str">
        <f>IF('Observaciones-SMP'!I934="","",'Observaciones-SMP'!I934)</f>
        <v/>
      </c>
      <c r="J934" s="193" t="str">
        <f>IF('Observaciones-SMP'!J934="","",'Observaciones-SMP'!J934)</f>
        <v/>
      </c>
      <c r="K934" s="193" t="str">
        <f>IF('Observaciones-SMP'!K934="","",'Observaciones-SMP'!K934)</f>
        <v/>
      </c>
      <c r="L934" s="193" t="str">
        <f>IF('Observaciones-SMP'!L934="","",'Observaciones-SMP'!L934)</f>
        <v/>
      </c>
      <c r="M934" s="193" t="str">
        <f>IF('Observaciones-SMP'!M934="","",'Observaciones-SMP'!M934)</f>
        <v/>
      </c>
      <c r="N934" s="193" t="str">
        <f>IF('Observaciones-SMP'!N934="","",'Observaciones-SMP'!N934)</f>
        <v/>
      </c>
      <c r="O934" s="193" t="str">
        <f>IF('Observaciones-SMP'!O934="","",'Observaciones-SMP'!O934)</f>
        <v/>
      </c>
      <c r="P934" s="193" t="str">
        <f>IF('Observaciones-SMP'!P934="","",'Observaciones-SMP'!P934)</f>
        <v/>
      </c>
      <c r="Q934" s="257" t="str">
        <f>IF('Observaciones-SMP'!S934="","",'Observaciones-SMP'!S934)</f>
        <v/>
      </c>
      <c r="R934" s="193" t="str">
        <f>IF('Observaciones-SMP'!T934="","",'Observaciones-SMP'!T934)</f>
        <v/>
      </c>
      <c r="S934" s="193" t="str">
        <f>""</f>
        <v/>
      </c>
      <c r="T934" s="193" t="str">
        <f>""</f>
        <v/>
      </c>
      <c r="U934" s="193" t="str">
        <f t="shared" si="56"/>
        <v/>
      </c>
      <c r="V934" s="193" t="str">
        <f>""</f>
        <v/>
      </c>
      <c r="W934" s="193" t="str">
        <f>""</f>
        <v/>
      </c>
      <c r="X934" s="258" t="str">
        <f t="shared" si="57"/>
        <v/>
      </c>
      <c r="Y934" s="258" t="str">
        <f t="shared" si="58"/>
        <v/>
      </c>
      <c r="Z934" s="193" t="str">
        <f>IF(A934="","",IF(COUNTIF('Observaciones-SMP'!$A$2:$A$1001,A934)&gt;1,1,0))</f>
        <v/>
      </c>
      <c r="AA934" s="193" t="str">
        <f t="shared" si="59"/>
        <v/>
      </c>
    </row>
    <row r="935" spans="1:27" ht="13.5" customHeight="1" x14ac:dyDescent="0.3">
      <c r="A935" s="193" t="str">
        <f>IF('Observaciones-SMP'!A935="","",'Observaciones-SMP'!A935)</f>
        <v/>
      </c>
      <c r="B935" s="257" t="str">
        <f>IF('Observaciones-SMP'!B935="","",'Observaciones-SMP'!B935)</f>
        <v/>
      </c>
      <c r="C935" s="193" t="str">
        <f>IF('Observaciones-SMP'!C935="","",'Observaciones-SMP'!C935)</f>
        <v/>
      </c>
      <c r="D935" s="193" t="str">
        <f>IF('Observaciones-SMP'!D935="","",'Observaciones-SMP'!D935)</f>
        <v/>
      </c>
      <c r="E935" s="193" t="str">
        <f>IF('Observaciones-SMP'!E935="","",'Observaciones-SMP'!E935)</f>
        <v/>
      </c>
      <c r="F935" s="193" t="str">
        <f>IF('Observaciones-SMP'!F935="","",'Observaciones-SMP'!F935)</f>
        <v/>
      </c>
      <c r="G935" s="193" t="str">
        <f>IF('Observaciones-SMP'!G935="","",'Observaciones-SMP'!G935)</f>
        <v/>
      </c>
      <c r="H935" s="193" t="str">
        <f>IF('Observaciones-SMP'!H935="","",'Observaciones-SMP'!H935)</f>
        <v/>
      </c>
      <c r="I935" s="193" t="str">
        <f>IF('Observaciones-SMP'!I935="","",'Observaciones-SMP'!I935)</f>
        <v/>
      </c>
      <c r="J935" s="193" t="str">
        <f>IF('Observaciones-SMP'!J935="","",'Observaciones-SMP'!J935)</f>
        <v/>
      </c>
      <c r="K935" s="193" t="str">
        <f>IF('Observaciones-SMP'!K935="","",'Observaciones-SMP'!K935)</f>
        <v/>
      </c>
      <c r="L935" s="193" t="str">
        <f>IF('Observaciones-SMP'!L935="","",'Observaciones-SMP'!L935)</f>
        <v/>
      </c>
      <c r="M935" s="193" t="str">
        <f>IF('Observaciones-SMP'!M935="","",'Observaciones-SMP'!M935)</f>
        <v/>
      </c>
      <c r="N935" s="193" t="str">
        <f>IF('Observaciones-SMP'!N935="","",'Observaciones-SMP'!N935)</f>
        <v/>
      </c>
      <c r="O935" s="193" t="str">
        <f>IF('Observaciones-SMP'!O935="","",'Observaciones-SMP'!O935)</f>
        <v/>
      </c>
      <c r="P935" s="193" t="str">
        <f>IF('Observaciones-SMP'!P935="","",'Observaciones-SMP'!P935)</f>
        <v/>
      </c>
      <c r="Q935" s="257" t="str">
        <f>IF('Observaciones-SMP'!S935="","",'Observaciones-SMP'!S935)</f>
        <v/>
      </c>
      <c r="R935" s="193" t="str">
        <f>IF('Observaciones-SMP'!T935="","",'Observaciones-SMP'!T935)</f>
        <v/>
      </c>
      <c r="S935" s="193" t="str">
        <f>""</f>
        <v/>
      </c>
      <c r="T935" s="193" t="str">
        <f>""</f>
        <v/>
      </c>
      <c r="U935" s="193" t="str">
        <f t="shared" si="56"/>
        <v/>
      </c>
      <c r="V935" s="193" t="str">
        <f>""</f>
        <v/>
      </c>
      <c r="W935" s="193" t="str">
        <f>""</f>
        <v/>
      </c>
      <c r="X935" s="258" t="str">
        <f t="shared" si="57"/>
        <v/>
      </c>
      <c r="Y935" s="258" t="str">
        <f t="shared" si="58"/>
        <v/>
      </c>
      <c r="Z935" s="193" t="str">
        <f>IF(A935="","",IF(COUNTIF('Observaciones-SMP'!$A$2:$A$1001,A935)&gt;1,1,0))</f>
        <v/>
      </c>
      <c r="AA935" s="193" t="str">
        <f t="shared" si="59"/>
        <v/>
      </c>
    </row>
    <row r="936" spans="1:27" ht="13.5" customHeight="1" x14ac:dyDescent="0.3">
      <c r="A936" s="193" t="str">
        <f>IF('Observaciones-SMP'!A936="","",'Observaciones-SMP'!A936)</f>
        <v/>
      </c>
      <c r="B936" s="257" t="str">
        <f>IF('Observaciones-SMP'!B936="","",'Observaciones-SMP'!B936)</f>
        <v/>
      </c>
      <c r="C936" s="193" t="str">
        <f>IF('Observaciones-SMP'!C936="","",'Observaciones-SMP'!C936)</f>
        <v/>
      </c>
      <c r="D936" s="193" t="str">
        <f>IF('Observaciones-SMP'!D936="","",'Observaciones-SMP'!D936)</f>
        <v/>
      </c>
      <c r="E936" s="193" t="str">
        <f>IF('Observaciones-SMP'!E936="","",'Observaciones-SMP'!E936)</f>
        <v/>
      </c>
      <c r="F936" s="193" t="str">
        <f>IF('Observaciones-SMP'!F936="","",'Observaciones-SMP'!F936)</f>
        <v/>
      </c>
      <c r="G936" s="193" t="str">
        <f>IF('Observaciones-SMP'!G936="","",'Observaciones-SMP'!G936)</f>
        <v/>
      </c>
      <c r="H936" s="193" t="str">
        <f>IF('Observaciones-SMP'!H936="","",'Observaciones-SMP'!H936)</f>
        <v/>
      </c>
      <c r="I936" s="193" t="str">
        <f>IF('Observaciones-SMP'!I936="","",'Observaciones-SMP'!I936)</f>
        <v/>
      </c>
      <c r="J936" s="193" t="str">
        <f>IF('Observaciones-SMP'!J936="","",'Observaciones-SMP'!J936)</f>
        <v/>
      </c>
      <c r="K936" s="193" t="str">
        <f>IF('Observaciones-SMP'!K936="","",'Observaciones-SMP'!K936)</f>
        <v/>
      </c>
      <c r="L936" s="193" t="str">
        <f>IF('Observaciones-SMP'!L936="","",'Observaciones-SMP'!L936)</f>
        <v/>
      </c>
      <c r="M936" s="193" t="str">
        <f>IF('Observaciones-SMP'!M936="","",'Observaciones-SMP'!M936)</f>
        <v/>
      </c>
      <c r="N936" s="193" t="str">
        <f>IF('Observaciones-SMP'!N936="","",'Observaciones-SMP'!N936)</f>
        <v/>
      </c>
      <c r="O936" s="193" t="str">
        <f>IF('Observaciones-SMP'!O936="","",'Observaciones-SMP'!O936)</f>
        <v/>
      </c>
      <c r="P936" s="193" t="str">
        <f>IF('Observaciones-SMP'!P936="","",'Observaciones-SMP'!P936)</f>
        <v/>
      </c>
      <c r="Q936" s="257" t="str">
        <f>IF('Observaciones-SMP'!S936="","",'Observaciones-SMP'!S936)</f>
        <v/>
      </c>
      <c r="R936" s="193" t="str">
        <f>IF('Observaciones-SMP'!T936="","",'Observaciones-SMP'!T936)</f>
        <v/>
      </c>
      <c r="S936" s="193" t="str">
        <f>""</f>
        <v/>
      </c>
      <c r="T936" s="193" t="str">
        <f>""</f>
        <v/>
      </c>
      <c r="U936" s="193" t="str">
        <f t="shared" si="56"/>
        <v/>
      </c>
      <c r="V936" s="193" t="str">
        <f>""</f>
        <v/>
      </c>
      <c r="W936" s="193" t="str">
        <f>""</f>
        <v/>
      </c>
      <c r="X936" s="258" t="str">
        <f t="shared" si="57"/>
        <v/>
      </c>
      <c r="Y936" s="258" t="str">
        <f t="shared" si="58"/>
        <v/>
      </c>
      <c r="Z936" s="193" t="str">
        <f>IF(A936="","",IF(COUNTIF('Observaciones-SMP'!$A$2:$A$1001,A936)&gt;1,1,0))</f>
        <v/>
      </c>
      <c r="AA936" s="193" t="str">
        <f t="shared" si="59"/>
        <v/>
      </c>
    </row>
    <row r="937" spans="1:27" ht="13.5" customHeight="1" x14ac:dyDescent="0.3">
      <c r="A937" s="193" t="str">
        <f>IF('Observaciones-SMP'!A937="","",'Observaciones-SMP'!A937)</f>
        <v/>
      </c>
      <c r="B937" s="257" t="str">
        <f>IF('Observaciones-SMP'!B937="","",'Observaciones-SMP'!B937)</f>
        <v/>
      </c>
      <c r="C937" s="193" t="str">
        <f>IF('Observaciones-SMP'!C937="","",'Observaciones-SMP'!C937)</f>
        <v/>
      </c>
      <c r="D937" s="193" t="str">
        <f>IF('Observaciones-SMP'!D937="","",'Observaciones-SMP'!D937)</f>
        <v/>
      </c>
      <c r="E937" s="193" t="str">
        <f>IF('Observaciones-SMP'!E937="","",'Observaciones-SMP'!E937)</f>
        <v/>
      </c>
      <c r="F937" s="193" t="str">
        <f>IF('Observaciones-SMP'!F937="","",'Observaciones-SMP'!F937)</f>
        <v/>
      </c>
      <c r="G937" s="193" t="str">
        <f>IF('Observaciones-SMP'!G937="","",'Observaciones-SMP'!G937)</f>
        <v/>
      </c>
      <c r="H937" s="193" t="str">
        <f>IF('Observaciones-SMP'!H937="","",'Observaciones-SMP'!H937)</f>
        <v/>
      </c>
      <c r="I937" s="193" t="str">
        <f>IF('Observaciones-SMP'!I937="","",'Observaciones-SMP'!I937)</f>
        <v/>
      </c>
      <c r="J937" s="193" t="str">
        <f>IF('Observaciones-SMP'!J937="","",'Observaciones-SMP'!J937)</f>
        <v/>
      </c>
      <c r="K937" s="193" t="str">
        <f>IF('Observaciones-SMP'!K937="","",'Observaciones-SMP'!K937)</f>
        <v/>
      </c>
      <c r="L937" s="193" t="str">
        <f>IF('Observaciones-SMP'!L937="","",'Observaciones-SMP'!L937)</f>
        <v/>
      </c>
      <c r="M937" s="193" t="str">
        <f>IF('Observaciones-SMP'!M937="","",'Observaciones-SMP'!M937)</f>
        <v/>
      </c>
      <c r="N937" s="193" t="str">
        <f>IF('Observaciones-SMP'!N937="","",'Observaciones-SMP'!N937)</f>
        <v/>
      </c>
      <c r="O937" s="193" t="str">
        <f>IF('Observaciones-SMP'!O937="","",'Observaciones-SMP'!O937)</f>
        <v/>
      </c>
      <c r="P937" s="193" t="str">
        <f>IF('Observaciones-SMP'!P937="","",'Observaciones-SMP'!P937)</f>
        <v/>
      </c>
      <c r="Q937" s="257" t="str">
        <f>IF('Observaciones-SMP'!S937="","",'Observaciones-SMP'!S937)</f>
        <v/>
      </c>
      <c r="R937" s="193" t="str">
        <f>IF('Observaciones-SMP'!T937="","",'Observaciones-SMP'!T937)</f>
        <v/>
      </c>
      <c r="S937" s="193" t="str">
        <f>""</f>
        <v/>
      </c>
      <c r="T937" s="193" t="str">
        <f>""</f>
        <v/>
      </c>
      <c r="U937" s="193" t="str">
        <f t="shared" si="56"/>
        <v/>
      </c>
      <c r="V937" s="193" t="str">
        <f>""</f>
        <v/>
      </c>
      <c r="W937" s="193" t="str">
        <f>""</f>
        <v/>
      </c>
      <c r="X937" s="258" t="str">
        <f t="shared" si="57"/>
        <v/>
      </c>
      <c r="Y937" s="258" t="str">
        <f t="shared" si="58"/>
        <v/>
      </c>
      <c r="Z937" s="193" t="str">
        <f>IF(A937="","",IF(COUNTIF('Observaciones-SMP'!$A$2:$A$1001,A937)&gt;1,1,0))</f>
        <v/>
      </c>
      <c r="AA937" s="193" t="str">
        <f t="shared" si="59"/>
        <v/>
      </c>
    </row>
    <row r="938" spans="1:27" ht="13.5" customHeight="1" x14ac:dyDescent="0.3">
      <c r="A938" s="193" t="str">
        <f>IF('Observaciones-SMP'!A938="","",'Observaciones-SMP'!A938)</f>
        <v/>
      </c>
      <c r="B938" s="257" t="str">
        <f>IF('Observaciones-SMP'!B938="","",'Observaciones-SMP'!B938)</f>
        <v/>
      </c>
      <c r="C938" s="193" t="str">
        <f>IF('Observaciones-SMP'!C938="","",'Observaciones-SMP'!C938)</f>
        <v/>
      </c>
      <c r="D938" s="193" t="str">
        <f>IF('Observaciones-SMP'!D938="","",'Observaciones-SMP'!D938)</f>
        <v/>
      </c>
      <c r="E938" s="193" t="str">
        <f>IF('Observaciones-SMP'!E938="","",'Observaciones-SMP'!E938)</f>
        <v/>
      </c>
      <c r="F938" s="193" t="str">
        <f>IF('Observaciones-SMP'!F938="","",'Observaciones-SMP'!F938)</f>
        <v/>
      </c>
      <c r="G938" s="193" t="str">
        <f>IF('Observaciones-SMP'!G938="","",'Observaciones-SMP'!G938)</f>
        <v/>
      </c>
      <c r="H938" s="193" t="str">
        <f>IF('Observaciones-SMP'!H938="","",'Observaciones-SMP'!H938)</f>
        <v/>
      </c>
      <c r="I938" s="193" t="str">
        <f>IF('Observaciones-SMP'!I938="","",'Observaciones-SMP'!I938)</f>
        <v/>
      </c>
      <c r="J938" s="193" t="str">
        <f>IF('Observaciones-SMP'!J938="","",'Observaciones-SMP'!J938)</f>
        <v/>
      </c>
      <c r="K938" s="193" t="str">
        <f>IF('Observaciones-SMP'!K938="","",'Observaciones-SMP'!K938)</f>
        <v/>
      </c>
      <c r="L938" s="193" t="str">
        <f>IF('Observaciones-SMP'!L938="","",'Observaciones-SMP'!L938)</f>
        <v/>
      </c>
      <c r="M938" s="193" t="str">
        <f>IF('Observaciones-SMP'!M938="","",'Observaciones-SMP'!M938)</f>
        <v/>
      </c>
      <c r="N938" s="193" t="str">
        <f>IF('Observaciones-SMP'!N938="","",'Observaciones-SMP'!N938)</f>
        <v/>
      </c>
      <c r="O938" s="193" t="str">
        <f>IF('Observaciones-SMP'!O938="","",'Observaciones-SMP'!O938)</f>
        <v/>
      </c>
      <c r="P938" s="193" t="str">
        <f>IF('Observaciones-SMP'!P938="","",'Observaciones-SMP'!P938)</f>
        <v/>
      </c>
      <c r="Q938" s="257" t="str">
        <f>IF('Observaciones-SMP'!S938="","",'Observaciones-SMP'!S938)</f>
        <v/>
      </c>
      <c r="R938" s="193" t="str">
        <f>IF('Observaciones-SMP'!T938="","",'Observaciones-SMP'!T938)</f>
        <v/>
      </c>
      <c r="S938" s="193" t="str">
        <f>""</f>
        <v/>
      </c>
      <c r="T938" s="193" t="str">
        <f>""</f>
        <v/>
      </c>
      <c r="U938" s="193" t="str">
        <f t="shared" si="56"/>
        <v/>
      </c>
      <c r="V938" s="193" t="str">
        <f>""</f>
        <v/>
      </c>
      <c r="W938" s="193" t="str">
        <f>""</f>
        <v/>
      </c>
      <c r="X938" s="258" t="str">
        <f t="shared" si="57"/>
        <v/>
      </c>
      <c r="Y938" s="258" t="str">
        <f t="shared" si="58"/>
        <v/>
      </c>
      <c r="Z938" s="193" t="str">
        <f>IF(A938="","",IF(COUNTIF('Observaciones-SMP'!$A$2:$A$1001,A938)&gt;1,1,0))</f>
        <v/>
      </c>
      <c r="AA938" s="193" t="str">
        <f t="shared" si="59"/>
        <v/>
      </c>
    </row>
    <row r="939" spans="1:27" ht="13.5" customHeight="1" x14ac:dyDescent="0.3">
      <c r="A939" s="193" t="str">
        <f>IF('Observaciones-SMP'!A939="","",'Observaciones-SMP'!A939)</f>
        <v/>
      </c>
      <c r="B939" s="257" t="str">
        <f>IF('Observaciones-SMP'!B939="","",'Observaciones-SMP'!B939)</f>
        <v/>
      </c>
      <c r="C939" s="193" t="str">
        <f>IF('Observaciones-SMP'!C939="","",'Observaciones-SMP'!C939)</f>
        <v/>
      </c>
      <c r="D939" s="193" t="str">
        <f>IF('Observaciones-SMP'!D939="","",'Observaciones-SMP'!D939)</f>
        <v/>
      </c>
      <c r="E939" s="193" t="str">
        <f>IF('Observaciones-SMP'!E939="","",'Observaciones-SMP'!E939)</f>
        <v/>
      </c>
      <c r="F939" s="193" t="str">
        <f>IF('Observaciones-SMP'!F939="","",'Observaciones-SMP'!F939)</f>
        <v/>
      </c>
      <c r="G939" s="193" t="str">
        <f>IF('Observaciones-SMP'!G939="","",'Observaciones-SMP'!G939)</f>
        <v/>
      </c>
      <c r="H939" s="193" t="str">
        <f>IF('Observaciones-SMP'!H939="","",'Observaciones-SMP'!H939)</f>
        <v/>
      </c>
      <c r="I939" s="193" t="str">
        <f>IF('Observaciones-SMP'!I939="","",'Observaciones-SMP'!I939)</f>
        <v/>
      </c>
      <c r="J939" s="193" t="str">
        <f>IF('Observaciones-SMP'!J939="","",'Observaciones-SMP'!J939)</f>
        <v/>
      </c>
      <c r="K939" s="193" t="str">
        <f>IF('Observaciones-SMP'!K939="","",'Observaciones-SMP'!K939)</f>
        <v/>
      </c>
      <c r="L939" s="193" t="str">
        <f>IF('Observaciones-SMP'!L939="","",'Observaciones-SMP'!L939)</f>
        <v/>
      </c>
      <c r="M939" s="193" t="str">
        <f>IF('Observaciones-SMP'!M939="","",'Observaciones-SMP'!M939)</f>
        <v/>
      </c>
      <c r="N939" s="193" t="str">
        <f>IF('Observaciones-SMP'!N939="","",'Observaciones-SMP'!N939)</f>
        <v/>
      </c>
      <c r="O939" s="193" t="str">
        <f>IF('Observaciones-SMP'!O939="","",'Observaciones-SMP'!O939)</f>
        <v/>
      </c>
      <c r="P939" s="193" t="str">
        <f>IF('Observaciones-SMP'!P939="","",'Observaciones-SMP'!P939)</f>
        <v/>
      </c>
      <c r="Q939" s="257" t="str">
        <f>IF('Observaciones-SMP'!S939="","",'Observaciones-SMP'!S939)</f>
        <v/>
      </c>
      <c r="R939" s="193" t="str">
        <f>IF('Observaciones-SMP'!T939="","",'Observaciones-SMP'!T939)</f>
        <v/>
      </c>
      <c r="S939" s="193" t="str">
        <f>""</f>
        <v/>
      </c>
      <c r="T939" s="193" t="str">
        <f>""</f>
        <v/>
      </c>
      <c r="U939" s="193" t="str">
        <f t="shared" si="56"/>
        <v/>
      </c>
      <c r="V939" s="193" t="str">
        <f>""</f>
        <v/>
      </c>
      <c r="W939" s="193" t="str">
        <f>""</f>
        <v/>
      </c>
      <c r="X939" s="258" t="str">
        <f t="shared" si="57"/>
        <v/>
      </c>
      <c r="Y939" s="258" t="str">
        <f t="shared" si="58"/>
        <v/>
      </c>
      <c r="Z939" s="193" t="str">
        <f>IF(A939="","",IF(COUNTIF('Observaciones-SMP'!$A$2:$A$1001,A939)&gt;1,1,0))</f>
        <v/>
      </c>
      <c r="AA939" s="193" t="str">
        <f t="shared" si="59"/>
        <v/>
      </c>
    </row>
    <row r="940" spans="1:27" ht="13.5" customHeight="1" x14ac:dyDescent="0.3">
      <c r="A940" s="193" t="str">
        <f>IF('Observaciones-SMP'!A940="","",'Observaciones-SMP'!A940)</f>
        <v/>
      </c>
      <c r="B940" s="257" t="str">
        <f>IF('Observaciones-SMP'!B940="","",'Observaciones-SMP'!B940)</f>
        <v/>
      </c>
      <c r="C940" s="193" t="str">
        <f>IF('Observaciones-SMP'!C940="","",'Observaciones-SMP'!C940)</f>
        <v/>
      </c>
      <c r="D940" s="193" t="str">
        <f>IF('Observaciones-SMP'!D940="","",'Observaciones-SMP'!D940)</f>
        <v/>
      </c>
      <c r="E940" s="193" t="str">
        <f>IF('Observaciones-SMP'!E940="","",'Observaciones-SMP'!E940)</f>
        <v/>
      </c>
      <c r="F940" s="193" t="str">
        <f>IF('Observaciones-SMP'!F940="","",'Observaciones-SMP'!F940)</f>
        <v/>
      </c>
      <c r="G940" s="193" t="str">
        <f>IF('Observaciones-SMP'!G940="","",'Observaciones-SMP'!G940)</f>
        <v/>
      </c>
      <c r="H940" s="193" t="str">
        <f>IF('Observaciones-SMP'!H940="","",'Observaciones-SMP'!H940)</f>
        <v/>
      </c>
      <c r="I940" s="193" t="str">
        <f>IF('Observaciones-SMP'!I940="","",'Observaciones-SMP'!I940)</f>
        <v/>
      </c>
      <c r="J940" s="193" t="str">
        <f>IF('Observaciones-SMP'!J940="","",'Observaciones-SMP'!J940)</f>
        <v/>
      </c>
      <c r="K940" s="193" t="str">
        <f>IF('Observaciones-SMP'!K940="","",'Observaciones-SMP'!K940)</f>
        <v/>
      </c>
      <c r="L940" s="193" t="str">
        <f>IF('Observaciones-SMP'!L940="","",'Observaciones-SMP'!L940)</f>
        <v/>
      </c>
      <c r="M940" s="193" t="str">
        <f>IF('Observaciones-SMP'!M940="","",'Observaciones-SMP'!M940)</f>
        <v/>
      </c>
      <c r="N940" s="193" t="str">
        <f>IF('Observaciones-SMP'!N940="","",'Observaciones-SMP'!N940)</f>
        <v/>
      </c>
      <c r="O940" s="193" t="str">
        <f>IF('Observaciones-SMP'!O940="","",'Observaciones-SMP'!O940)</f>
        <v/>
      </c>
      <c r="P940" s="193" t="str">
        <f>IF('Observaciones-SMP'!P940="","",'Observaciones-SMP'!P940)</f>
        <v/>
      </c>
      <c r="Q940" s="257" t="str">
        <f>IF('Observaciones-SMP'!S940="","",'Observaciones-SMP'!S940)</f>
        <v/>
      </c>
      <c r="R940" s="193" t="str">
        <f>IF('Observaciones-SMP'!T940="","",'Observaciones-SMP'!T940)</f>
        <v/>
      </c>
      <c r="S940" s="193" t="str">
        <f>""</f>
        <v/>
      </c>
      <c r="T940" s="193" t="str">
        <f>""</f>
        <v/>
      </c>
      <c r="U940" s="193" t="str">
        <f t="shared" si="56"/>
        <v/>
      </c>
      <c r="V940" s="193" t="str">
        <f>""</f>
        <v/>
      </c>
      <c r="W940" s="193" t="str">
        <f>""</f>
        <v/>
      </c>
      <c r="X940" s="258" t="str">
        <f t="shared" si="57"/>
        <v/>
      </c>
      <c r="Y940" s="258" t="str">
        <f t="shared" si="58"/>
        <v/>
      </c>
      <c r="Z940" s="193" t="str">
        <f>IF(A940="","",IF(COUNTIF('Observaciones-SMP'!$A$2:$A$1001,A940)&gt;1,1,0))</f>
        <v/>
      </c>
      <c r="AA940" s="193" t="str">
        <f t="shared" si="59"/>
        <v/>
      </c>
    </row>
    <row r="941" spans="1:27" ht="13.5" customHeight="1" x14ac:dyDescent="0.3">
      <c r="A941" s="193" t="str">
        <f>IF('Observaciones-SMP'!A941="","",'Observaciones-SMP'!A941)</f>
        <v/>
      </c>
      <c r="B941" s="257" t="str">
        <f>IF('Observaciones-SMP'!B941="","",'Observaciones-SMP'!B941)</f>
        <v/>
      </c>
      <c r="C941" s="193" t="str">
        <f>IF('Observaciones-SMP'!C941="","",'Observaciones-SMP'!C941)</f>
        <v/>
      </c>
      <c r="D941" s="193" t="str">
        <f>IF('Observaciones-SMP'!D941="","",'Observaciones-SMP'!D941)</f>
        <v/>
      </c>
      <c r="E941" s="193" t="str">
        <f>IF('Observaciones-SMP'!E941="","",'Observaciones-SMP'!E941)</f>
        <v/>
      </c>
      <c r="F941" s="193" t="str">
        <f>IF('Observaciones-SMP'!F941="","",'Observaciones-SMP'!F941)</f>
        <v/>
      </c>
      <c r="G941" s="193" t="str">
        <f>IF('Observaciones-SMP'!G941="","",'Observaciones-SMP'!G941)</f>
        <v/>
      </c>
      <c r="H941" s="193" t="str">
        <f>IF('Observaciones-SMP'!H941="","",'Observaciones-SMP'!H941)</f>
        <v/>
      </c>
      <c r="I941" s="193" t="str">
        <f>IF('Observaciones-SMP'!I941="","",'Observaciones-SMP'!I941)</f>
        <v/>
      </c>
      <c r="J941" s="193" t="str">
        <f>IF('Observaciones-SMP'!J941="","",'Observaciones-SMP'!J941)</f>
        <v/>
      </c>
      <c r="K941" s="193" t="str">
        <f>IF('Observaciones-SMP'!K941="","",'Observaciones-SMP'!K941)</f>
        <v/>
      </c>
      <c r="L941" s="193" t="str">
        <f>IF('Observaciones-SMP'!L941="","",'Observaciones-SMP'!L941)</f>
        <v/>
      </c>
      <c r="M941" s="193" t="str">
        <f>IF('Observaciones-SMP'!M941="","",'Observaciones-SMP'!M941)</f>
        <v/>
      </c>
      <c r="N941" s="193" t="str">
        <f>IF('Observaciones-SMP'!N941="","",'Observaciones-SMP'!N941)</f>
        <v/>
      </c>
      <c r="O941" s="193" t="str">
        <f>IF('Observaciones-SMP'!O941="","",'Observaciones-SMP'!O941)</f>
        <v/>
      </c>
      <c r="P941" s="193" t="str">
        <f>IF('Observaciones-SMP'!P941="","",'Observaciones-SMP'!P941)</f>
        <v/>
      </c>
      <c r="Q941" s="257" t="str">
        <f>IF('Observaciones-SMP'!S941="","",'Observaciones-SMP'!S941)</f>
        <v/>
      </c>
      <c r="R941" s="193" t="str">
        <f>IF('Observaciones-SMP'!T941="","",'Observaciones-SMP'!T941)</f>
        <v/>
      </c>
      <c r="S941" s="193" t="str">
        <f>""</f>
        <v/>
      </c>
      <c r="T941" s="193" t="str">
        <f>""</f>
        <v/>
      </c>
      <c r="U941" s="193" t="str">
        <f t="shared" si="56"/>
        <v/>
      </c>
      <c r="V941" s="193" t="str">
        <f>""</f>
        <v/>
      </c>
      <c r="W941" s="193" t="str">
        <f>""</f>
        <v/>
      </c>
      <c r="X941" s="258" t="str">
        <f t="shared" si="57"/>
        <v/>
      </c>
      <c r="Y941" s="258" t="str">
        <f t="shared" si="58"/>
        <v/>
      </c>
      <c r="Z941" s="193" t="str">
        <f>IF(A941="","",IF(COUNTIF('Observaciones-SMP'!$A$2:$A$1001,A941)&gt;1,1,0))</f>
        <v/>
      </c>
      <c r="AA941" s="193" t="str">
        <f t="shared" si="59"/>
        <v/>
      </c>
    </row>
    <row r="942" spans="1:27" ht="13.5" customHeight="1" x14ac:dyDescent="0.3">
      <c r="A942" s="193" t="str">
        <f>IF('Observaciones-SMP'!A942="","",'Observaciones-SMP'!A942)</f>
        <v/>
      </c>
      <c r="B942" s="257" t="str">
        <f>IF('Observaciones-SMP'!B942="","",'Observaciones-SMP'!B942)</f>
        <v/>
      </c>
      <c r="C942" s="193" t="str">
        <f>IF('Observaciones-SMP'!C942="","",'Observaciones-SMP'!C942)</f>
        <v/>
      </c>
      <c r="D942" s="193" t="str">
        <f>IF('Observaciones-SMP'!D942="","",'Observaciones-SMP'!D942)</f>
        <v/>
      </c>
      <c r="E942" s="193" t="str">
        <f>IF('Observaciones-SMP'!E942="","",'Observaciones-SMP'!E942)</f>
        <v/>
      </c>
      <c r="F942" s="193" t="str">
        <f>IF('Observaciones-SMP'!F942="","",'Observaciones-SMP'!F942)</f>
        <v/>
      </c>
      <c r="G942" s="193" t="str">
        <f>IF('Observaciones-SMP'!G942="","",'Observaciones-SMP'!G942)</f>
        <v/>
      </c>
      <c r="H942" s="193" t="str">
        <f>IF('Observaciones-SMP'!H942="","",'Observaciones-SMP'!H942)</f>
        <v/>
      </c>
      <c r="I942" s="193" t="str">
        <f>IF('Observaciones-SMP'!I942="","",'Observaciones-SMP'!I942)</f>
        <v/>
      </c>
      <c r="J942" s="193" t="str">
        <f>IF('Observaciones-SMP'!J942="","",'Observaciones-SMP'!J942)</f>
        <v/>
      </c>
      <c r="K942" s="193" t="str">
        <f>IF('Observaciones-SMP'!K942="","",'Observaciones-SMP'!K942)</f>
        <v/>
      </c>
      <c r="L942" s="193" t="str">
        <f>IF('Observaciones-SMP'!L942="","",'Observaciones-SMP'!L942)</f>
        <v/>
      </c>
      <c r="M942" s="193" t="str">
        <f>IF('Observaciones-SMP'!M942="","",'Observaciones-SMP'!M942)</f>
        <v/>
      </c>
      <c r="N942" s="193" t="str">
        <f>IF('Observaciones-SMP'!N942="","",'Observaciones-SMP'!N942)</f>
        <v/>
      </c>
      <c r="O942" s="193" t="str">
        <f>IF('Observaciones-SMP'!O942="","",'Observaciones-SMP'!O942)</f>
        <v/>
      </c>
      <c r="P942" s="193" t="str">
        <f>IF('Observaciones-SMP'!P942="","",'Observaciones-SMP'!P942)</f>
        <v/>
      </c>
      <c r="Q942" s="257" t="str">
        <f>IF('Observaciones-SMP'!S942="","",'Observaciones-SMP'!S942)</f>
        <v/>
      </c>
      <c r="R942" s="193" t="str">
        <f>IF('Observaciones-SMP'!T942="","",'Observaciones-SMP'!T942)</f>
        <v/>
      </c>
      <c r="S942" s="193" t="str">
        <f>""</f>
        <v/>
      </c>
      <c r="T942" s="193" t="str">
        <f>""</f>
        <v/>
      </c>
      <c r="U942" s="193" t="str">
        <f t="shared" si="56"/>
        <v/>
      </c>
      <c r="V942" s="193" t="str">
        <f>""</f>
        <v/>
      </c>
      <c r="W942" s="193" t="str">
        <f>""</f>
        <v/>
      </c>
      <c r="X942" s="258" t="str">
        <f t="shared" si="57"/>
        <v/>
      </c>
      <c r="Y942" s="258" t="str">
        <f t="shared" si="58"/>
        <v/>
      </c>
      <c r="Z942" s="193" t="str">
        <f>IF(A942="","",IF(COUNTIF('Observaciones-SMP'!$A$2:$A$1001,A942)&gt;1,1,0))</f>
        <v/>
      </c>
      <c r="AA942" s="193" t="str">
        <f t="shared" si="59"/>
        <v/>
      </c>
    </row>
    <row r="943" spans="1:27" ht="13.5" customHeight="1" x14ac:dyDescent="0.3">
      <c r="A943" s="193" t="str">
        <f>IF('Observaciones-SMP'!A943="","",'Observaciones-SMP'!A943)</f>
        <v/>
      </c>
      <c r="B943" s="257" t="str">
        <f>IF('Observaciones-SMP'!B943="","",'Observaciones-SMP'!B943)</f>
        <v/>
      </c>
      <c r="C943" s="193" t="str">
        <f>IF('Observaciones-SMP'!C943="","",'Observaciones-SMP'!C943)</f>
        <v/>
      </c>
      <c r="D943" s="193" t="str">
        <f>IF('Observaciones-SMP'!D943="","",'Observaciones-SMP'!D943)</f>
        <v/>
      </c>
      <c r="E943" s="193" t="str">
        <f>IF('Observaciones-SMP'!E943="","",'Observaciones-SMP'!E943)</f>
        <v/>
      </c>
      <c r="F943" s="193" t="str">
        <f>IF('Observaciones-SMP'!F943="","",'Observaciones-SMP'!F943)</f>
        <v/>
      </c>
      <c r="G943" s="193" t="str">
        <f>IF('Observaciones-SMP'!G943="","",'Observaciones-SMP'!G943)</f>
        <v/>
      </c>
      <c r="H943" s="193" t="str">
        <f>IF('Observaciones-SMP'!H943="","",'Observaciones-SMP'!H943)</f>
        <v/>
      </c>
      <c r="I943" s="193" t="str">
        <f>IF('Observaciones-SMP'!I943="","",'Observaciones-SMP'!I943)</f>
        <v/>
      </c>
      <c r="J943" s="193" t="str">
        <f>IF('Observaciones-SMP'!J943="","",'Observaciones-SMP'!J943)</f>
        <v/>
      </c>
      <c r="K943" s="193" t="str">
        <f>IF('Observaciones-SMP'!K943="","",'Observaciones-SMP'!K943)</f>
        <v/>
      </c>
      <c r="L943" s="193" t="str">
        <f>IF('Observaciones-SMP'!L943="","",'Observaciones-SMP'!L943)</f>
        <v/>
      </c>
      <c r="M943" s="193" t="str">
        <f>IF('Observaciones-SMP'!M943="","",'Observaciones-SMP'!M943)</f>
        <v/>
      </c>
      <c r="N943" s="193" t="str">
        <f>IF('Observaciones-SMP'!N943="","",'Observaciones-SMP'!N943)</f>
        <v/>
      </c>
      <c r="O943" s="193" t="str">
        <f>IF('Observaciones-SMP'!O943="","",'Observaciones-SMP'!O943)</f>
        <v/>
      </c>
      <c r="P943" s="193" t="str">
        <f>IF('Observaciones-SMP'!P943="","",'Observaciones-SMP'!P943)</f>
        <v/>
      </c>
      <c r="Q943" s="257" t="str">
        <f>IF('Observaciones-SMP'!S943="","",'Observaciones-SMP'!S943)</f>
        <v/>
      </c>
      <c r="R943" s="193" t="str">
        <f>IF('Observaciones-SMP'!T943="","",'Observaciones-SMP'!T943)</f>
        <v/>
      </c>
      <c r="S943" s="193" t="str">
        <f>""</f>
        <v/>
      </c>
      <c r="T943" s="193" t="str">
        <f>""</f>
        <v/>
      </c>
      <c r="U943" s="193" t="str">
        <f t="shared" si="56"/>
        <v/>
      </c>
      <c r="V943" s="193" t="str">
        <f>""</f>
        <v/>
      </c>
      <c r="W943" s="193" t="str">
        <f>""</f>
        <v/>
      </c>
      <c r="X943" s="258" t="str">
        <f t="shared" si="57"/>
        <v/>
      </c>
      <c r="Y943" s="258" t="str">
        <f t="shared" si="58"/>
        <v/>
      </c>
      <c r="Z943" s="193" t="str">
        <f>IF(A943="","",IF(COUNTIF('Observaciones-SMP'!$A$2:$A$1001,A943)&gt;1,1,0))</f>
        <v/>
      </c>
      <c r="AA943" s="193" t="str">
        <f t="shared" si="59"/>
        <v/>
      </c>
    </row>
    <row r="944" spans="1:27" ht="13.5" customHeight="1" x14ac:dyDescent="0.3">
      <c r="A944" s="193" t="str">
        <f>IF('Observaciones-SMP'!A944="","",'Observaciones-SMP'!A944)</f>
        <v/>
      </c>
      <c r="B944" s="257" t="str">
        <f>IF('Observaciones-SMP'!B944="","",'Observaciones-SMP'!B944)</f>
        <v/>
      </c>
      <c r="C944" s="193" t="str">
        <f>IF('Observaciones-SMP'!C944="","",'Observaciones-SMP'!C944)</f>
        <v/>
      </c>
      <c r="D944" s="193" t="str">
        <f>IF('Observaciones-SMP'!D944="","",'Observaciones-SMP'!D944)</f>
        <v/>
      </c>
      <c r="E944" s="193" t="str">
        <f>IF('Observaciones-SMP'!E944="","",'Observaciones-SMP'!E944)</f>
        <v/>
      </c>
      <c r="F944" s="193" t="str">
        <f>IF('Observaciones-SMP'!F944="","",'Observaciones-SMP'!F944)</f>
        <v/>
      </c>
      <c r="G944" s="193" t="str">
        <f>IF('Observaciones-SMP'!G944="","",'Observaciones-SMP'!G944)</f>
        <v/>
      </c>
      <c r="H944" s="193" t="str">
        <f>IF('Observaciones-SMP'!H944="","",'Observaciones-SMP'!H944)</f>
        <v/>
      </c>
      <c r="I944" s="193" t="str">
        <f>IF('Observaciones-SMP'!I944="","",'Observaciones-SMP'!I944)</f>
        <v/>
      </c>
      <c r="J944" s="193" t="str">
        <f>IF('Observaciones-SMP'!J944="","",'Observaciones-SMP'!J944)</f>
        <v/>
      </c>
      <c r="K944" s="193" t="str">
        <f>IF('Observaciones-SMP'!K944="","",'Observaciones-SMP'!K944)</f>
        <v/>
      </c>
      <c r="L944" s="193" t="str">
        <f>IF('Observaciones-SMP'!L944="","",'Observaciones-SMP'!L944)</f>
        <v/>
      </c>
      <c r="M944" s="193" t="str">
        <f>IF('Observaciones-SMP'!M944="","",'Observaciones-SMP'!M944)</f>
        <v/>
      </c>
      <c r="N944" s="193" t="str">
        <f>IF('Observaciones-SMP'!N944="","",'Observaciones-SMP'!N944)</f>
        <v/>
      </c>
      <c r="O944" s="193" t="str">
        <f>IF('Observaciones-SMP'!O944="","",'Observaciones-SMP'!O944)</f>
        <v/>
      </c>
      <c r="P944" s="193" t="str">
        <f>IF('Observaciones-SMP'!P944="","",'Observaciones-SMP'!P944)</f>
        <v/>
      </c>
      <c r="Q944" s="257" t="str">
        <f>IF('Observaciones-SMP'!S944="","",'Observaciones-SMP'!S944)</f>
        <v/>
      </c>
      <c r="R944" s="193" t="str">
        <f>IF('Observaciones-SMP'!T944="","",'Observaciones-SMP'!T944)</f>
        <v/>
      </c>
      <c r="S944" s="193" t="str">
        <f>""</f>
        <v/>
      </c>
      <c r="T944" s="193" t="str">
        <f>""</f>
        <v/>
      </c>
      <c r="U944" s="193" t="str">
        <f t="shared" si="56"/>
        <v/>
      </c>
      <c r="V944" s="193" t="str">
        <f>""</f>
        <v/>
      </c>
      <c r="W944" s="193" t="str">
        <f>""</f>
        <v/>
      </c>
      <c r="X944" s="258" t="str">
        <f t="shared" si="57"/>
        <v/>
      </c>
      <c r="Y944" s="258" t="str">
        <f t="shared" si="58"/>
        <v/>
      </c>
      <c r="Z944" s="193" t="str">
        <f>IF(A944="","",IF(COUNTIF('Observaciones-SMP'!$A$2:$A$1001,A944)&gt;1,1,0))</f>
        <v/>
      </c>
      <c r="AA944" s="193" t="str">
        <f t="shared" si="59"/>
        <v/>
      </c>
    </row>
    <row r="945" spans="1:27" ht="13.5" customHeight="1" x14ac:dyDescent="0.3">
      <c r="A945" s="193" t="str">
        <f>IF('Observaciones-SMP'!A945="","",'Observaciones-SMP'!A945)</f>
        <v/>
      </c>
      <c r="B945" s="257" t="str">
        <f>IF('Observaciones-SMP'!B945="","",'Observaciones-SMP'!B945)</f>
        <v/>
      </c>
      <c r="C945" s="193" t="str">
        <f>IF('Observaciones-SMP'!C945="","",'Observaciones-SMP'!C945)</f>
        <v/>
      </c>
      <c r="D945" s="193" t="str">
        <f>IF('Observaciones-SMP'!D945="","",'Observaciones-SMP'!D945)</f>
        <v/>
      </c>
      <c r="E945" s="193" t="str">
        <f>IF('Observaciones-SMP'!E945="","",'Observaciones-SMP'!E945)</f>
        <v/>
      </c>
      <c r="F945" s="193" t="str">
        <f>IF('Observaciones-SMP'!F945="","",'Observaciones-SMP'!F945)</f>
        <v/>
      </c>
      <c r="G945" s="193" t="str">
        <f>IF('Observaciones-SMP'!G945="","",'Observaciones-SMP'!G945)</f>
        <v/>
      </c>
      <c r="H945" s="193" t="str">
        <f>IF('Observaciones-SMP'!H945="","",'Observaciones-SMP'!H945)</f>
        <v/>
      </c>
      <c r="I945" s="193" t="str">
        <f>IF('Observaciones-SMP'!I945="","",'Observaciones-SMP'!I945)</f>
        <v/>
      </c>
      <c r="J945" s="193" t="str">
        <f>IF('Observaciones-SMP'!J945="","",'Observaciones-SMP'!J945)</f>
        <v/>
      </c>
      <c r="K945" s="193" t="str">
        <f>IF('Observaciones-SMP'!K945="","",'Observaciones-SMP'!K945)</f>
        <v/>
      </c>
      <c r="L945" s="193" t="str">
        <f>IF('Observaciones-SMP'!L945="","",'Observaciones-SMP'!L945)</f>
        <v/>
      </c>
      <c r="M945" s="193" t="str">
        <f>IF('Observaciones-SMP'!M945="","",'Observaciones-SMP'!M945)</f>
        <v/>
      </c>
      <c r="N945" s="193" t="str">
        <f>IF('Observaciones-SMP'!N945="","",'Observaciones-SMP'!N945)</f>
        <v/>
      </c>
      <c r="O945" s="193" t="str">
        <f>IF('Observaciones-SMP'!O945="","",'Observaciones-SMP'!O945)</f>
        <v/>
      </c>
      <c r="P945" s="193" t="str">
        <f>IF('Observaciones-SMP'!P945="","",'Observaciones-SMP'!P945)</f>
        <v/>
      </c>
      <c r="Q945" s="257" t="str">
        <f>IF('Observaciones-SMP'!S945="","",'Observaciones-SMP'!S945)</f>
        <v/>
      </c>
      <c r="R945" s="193" t="str">
        <f>IF('Observaciones-SMP'!T945="","",'Observaciones-SMP'!T945)</f>
        <v/>
      </c>
      <c r="S945" s="193" t="str">
        <f>""</f>
        <v/>
      </c>
      <c r="T945" s="193" t="str">
        <f>""</f>
        <v/>
      </c>
      <c r="U945" s="193" t="str">
        <f t="shared" si="56"/>
        <v/>
      </c>
      <c r="V945" s="193" t="str">
        <f>""</f>
        <v/>
      </c>
      <c r="W945" s="193" t="str">
        <f>""</f>
        <v/>
      </c>
      <c r="X945" s="258" t="str">
        <f t="shared" si="57"/>
        <v/>
      </c>
      <c r="Y945" s="258" t="str">
        <f t="shared" si="58"/>
        <v/>
      </c>
      <c r="Z945" s="193" t="str">
        <f>IF(A945="","",IF(COUNTIF('Observaciones-SMP'!$A$2:$A$1001,A945)&gt;1,1,0))</f>
        <v/>
      </c>
      <c r="AA945" s="193" t="str">
        <f t="shared" si="59"/>
        <v/>
      </c>
    </row>
    <row r="946" spans="1:27" ht="13.5" customHeight="1" x14ac:dyDescent="0.3">
      <c r="A946" s="193" t="str">
        <f>IF('Observaciones-SMP'!A946="","",'Observaciones-SMP'!A946)</f>
        <v/>
      </c>
      <c r="B946" s="257" t="str">
        <f>IF('Observaciones-SMP'!B946="","",'Observaciones-SMP'!B946)</f>
        <v/>
      </c>
      <c r="C946" s="193" t="str">
        <f>IF('Observaciones-SMP'!C946="","",'Observaciones-SMP'!C946)</f>
        <v/>
      </c>
      <c r="D946" s="193" t="str">
        <f>IF('Observaciones-SMP'!D946="","",'Observaciones-SMP'!D946)</f>
        <v/>
      </c>
      <c r="E946" s="193" t="str">
        <f>IF('Observaciones-SMP'!E946="","",'Observaciones-SMP'!E946)</f>
        <v/>
      </c>
      <c r="F946" s="193" t="str">
        <f>IF('Observaciones-SMP'!F946="","",'Observaciones-SMP'!F946)</f>
        <v/>
      </c>
      <c r="G946" s="193" t="str">
        <f>IF('Observaciones-SMP'!G946="","",'Observaciones-SMP'!G946)</f>
        <v/>
      </c>
      <c r="H946" s="193" t="str">
        <f>IF('Observaciones-SMP'!H946="","",'Observaciones-SMP'!H946)</f>
        <v/>
      </c>
      <c r="I946" s="193" t="str">
        <f>IF('Observaciones-SMP'!I946="","",'Observaciones-SMP'!I946)</f>
        <v/>
      </c>
      <c r="J946" s="193" t="str">
        <f>IF('Observaciones-SMP'!J946="","",'Observaciones-SMP'!J946)</f>
        <v/>
      </c>
      <c r="K946" s="193" t="str">
        <f>IF('Observaciones-SMP'!K946="","",'Observaciones-SMP'!K946)</f>
        <v/>
      </c>
      <c r="L946" s="193" t="str">
        <f>IF('Observaciones-SMP'!L946="","",'Observaciones-SMP'!L946)</f>
        <v/>
      </c>
      <c r="M946" s="193" t="str">
        <f>IF('Observaciones-SMP'!M946="","",'Observaciones-SMP'!M946)</f>
        <v/>
      </c>
      <c r="N946" s="193" t="str">
        <f>IF('Observaciones-SMP'!N946="","",'Observaciones-SMP'!N946)</f>
        <v/>
      </c>
      <c r="O946" s="193" t="str">
        <f>IF('Observaciones-SMP'!O946="","",'Observaciones-SMP'!O946)</f>
        <v/>
      </c>
      <c r="P946" s="193" t="str">
        <f>IF('Observaciones-SMP'!P946="","",'Observaciones-SMP'!P946)</f>
        <v/>
      </c>
      <c r="Q946" s="257" t="str">
        <f>IF('Observaciones-SMP'!S946="","",'Observaciones-SMP'!S946)</f>
        <v/>
      </c>
      <c r="R946" s="193" t="str">
        <f>IF('Observaciones-SMP'!T946="","",'Observaciones-SMP'!T946)</f>
        <v/>
      </c>
      <c r="S946" s="193" t="str">
        <f>""</f>
        <v/>
      </c>
      <c r="T946" s="193" t="str">
        <f>""</f>
        <v/>
      </c>
      <c r="U946" s="193" t="str">
        <f t="shared" si="56"/>
        <v/>
      </c>
      <c r="V946" s="193" t="str">
        <f>""</f>
        <v/>
      </c>
      <c r="W946" s="193" t="str">
        <f>""</f>
        <v/>
      </c>
      <c r="X946" s="258" t="str">
        <f t="shared" si="57"/>
        <v/>
      </c>
      <c r="Y946" s="258" t="str">
        <f t="shared" si="58"/>
        <v/>
      </c>
      <c r="Z946" s="193" t="str">
        <f>IF(A946="","",IF(COUNTIF('Observaciones-SMP'!$A$2:$A$1001,A946)&gt;1,1,0))</f>
        <v/>
      </c>
      <c r="AA946" s="193" t="str">
        <f t="shared" si="59"/>
        <v/>
      </c>
    </row>
    <row r="947" spans="1:27" ht="13.5" customHeight="1" x14ac:dyDescent="0.3">
      <c r="A947" s="193" t="str">
        <f>IF('Observaciones-SMP'!A947="","",'Observaciones-SMP'!A947)</f>
        <v/>
      </c>
      <c r="B947" s="257" t="str">
        <f>IF('Observaciones-SMP'!B947="","",'Observaciones-SMP'!B947)</f>
        <v/>
      </c>
      <c r="C947" s="193" t="str">
        <f>IF('Observaciones-SMP'!C947="","",'Observaciones-SMP'!C947)</f>
        <v/>
      </c>
      <c r="D947" s="193" t="str">
        <f>IF('Observaciones-SMP'!D947="","",'Observaciones-SMP'!D947)</f>
        <v/>
      </c>
      <c r="E947" s="193" t="str">
        <f>IF('Observaciones-SMP'!E947="","",'Observaciones-SMP'!E947)</f>
        <v/>
      </c>
      <c r="F947" s="193" t="str">
        <f>IF('Observaciones-SMP'!F947="","",'Observaciones-SMP'!F947)</f>
        <v/>
      </c>
      <c r="G947" s="193" t="str">
        <f>IF('Observaciones-SMP'!G947="","",'Observaciones-SMP'!G947)</f>
        <v/>
      </c>
      <c r="H947" s="193" t="str">
        <f>IF('Observaciones-SMP'!H947="","",'Observaciones-SMP'!H947)</f>
        <v/>
      </c>
      <c r="I947" s="193" t="str">
        <f>IF('Observaciones-SMP'!I947="","",'Observaciones-SMP'!I947)</f>
        <v/>
      </c>
      <c r="J947" s="193" t="str">
        <f>IF('Observaciones-SMP'!J947="","",'Observaciones-SMP'!J947)</f>
        <v/>
      </c>
      <c r="K947" s="193" t="str">
        <f>IF('Observaciones-SMP'!K947="","",'Observaciones-SMP'!K947)</f>
        <v/>
      </c>
      <c r="L947" s="193" t="str">
        <f>IF('Observaciones-SMP'!L947="","",'Observaciones-SMP'!L947)</f>
        <v/>
      </c>
      <c r="M947" s="193" t="str">
        <f>IF('Observaciones-SMP'!M947="","",'Observaciones-SMP'!M947)</f>
        <v/>
      </c>
      <c r="N947" s="193" t="str">
        <f>IF('Observaciones-SMP'!N947="","",'Observaciones-SMP'!N947)</f>
        <v/>
      </c>
      <c r="O947" s="193" t="str">
        <f>IF('Observaciones-SMP'!O947="","",'Observaciones-SMP'!O947)</f>
        <v/>
      </c>
      <c r="P947" s="193" t="str">
        <f>IF('Observaciones-SMP'!P947="","",'Observaciones-SMP'!P947)</f>
        <v/>
      </c>
      <c r="Q947" s="257" t="str">
        <f>IF('Observaciones-SMP'!S947="","",'Observaciones-SMP'!S947)</f>
        <v/>
      </c>
      <c r="R947" s="193" t="str">
        <f>IF('Observaciones-SMP'!T947="","",'Observaciones-SMP'!T947)</f>
        <v/>
      </c>
      <c r="S947" s="193" t="str">
        <f>""</f>
        <v/>
      </c>
      <c r="T947" s="193" t="str">
        <f>""</f>
        <v/>
      </c>
      <c r="U947" s="193" t="str">
        <f t="shared" si="56"/>
        <v/>
      </c>
      <c r="V947" s="193" t="str">
        <f>""</f>
        <v/>
      </c>
      <c r="W947" s="193" t="str">
        <f>""</f>
        <v/>
      </c>
      <c r="X947" s="258" t="str">
        <f t="shared" si="57"/>
        <v/>
      </c>
      <c r="Y947" s="258" t="str">
        <f t="shared" si="58"/>
        <v/>
      </c>
      <c r="Z947" s="193" t="str">
        <f>IF(A947="","",IF(COUNTIF('Observaciones-SMP'!$A$2:$A$1001,A947)&gt;1,1,0))</f>
        <v/>
      </c>
      <c r="AA947" s="193" t="str">
        <f t="shared" si="59"/>
        <v/>
      </c>
    </row>
    <row r="948" spans="1:27" ht="13.5" customHeight="1" x14ac:dyDescent="0.3">
      <c r="A948" s="193" t="str">
        <f>IF('Observaciones-SMP'!A948="","",'Observaciones-SMP'!A948)</f>
        <v/>
      </c>
      <c r="B948" s="257" t="str">
        <f>IF('Observaciones-SMP'!B948="","",'Observaciones-SMP'!B948)</f>
        <v/>
      </c>
      <c r="C948" s="193" t="str">
        <f>IF('Observaciones-SMP'!C948="","",'Observaciones-SMP'!C948)</f>
        <v/>
      </c>
      <c r="D948" s="193" t="str">
        <f>IF('Observaciones-SMP'!D948="","",'Observaciones-SMP'!D948)</f>
        <v/>
      </c>
      <c r="E948" s="193" t="str">
        <f>IF('Observaciones-SMP'!E948="","",'Observaciones-SMP'!E948)</f>
        <v/>
      </c>
      <c r="F948" s="193" t="str">
        <f>IF('Observaciones-SMP'!F948="","",'Observaciones-SMP'!F948)</f>
        <v/>
      </c>
      <c r="G948" s="193" t="str">
        <f>IF('Observaciones-SMP'!G948="","",'Observaciones-SMP'!G948)</f>
        <v/>
      </c>
      <c r="H948" s="193" t="str">
        <f>IF('Observaciones-SMP'!H948="","",'Observaciones-SMP'!H948)</f>
        <v/>
      </c>
      <c r="I948" s="193" t="str">
        <f>IF('Observaciones-SMP'!I948="","",'Observaciones-SMP'!I948)</f>
        <v/>
      </c>
      <c r="J948" s="193" t="str">
        <f>IF('Observaciones-SMP'!J948="","",'Observaciones-SMP'!J948)</f>
        <v/>
      </c>
      <c r="K948" s="193" t="str">
        <f>IF('Observaciones-SMP'!K948="","",'Observaciones-SMP'!K948)</f>
        <v/>
      </c>
      <c r="L948" s="193" t="str">
        <f>IF('Observaciones-SMP'!L948="","",'Observaciones-SMP'!L948)</f>
        <v/>
      </c>
      <c r="M948" s="193" t="str">
        <f>IF('Observaciones-SMP'!M948="","",'Observaciones-SMP'!M948)</f>
        <v/>
      </c>
      <c r="N948" s="193" t="str">
        <f>IF('Observaciones-SMP'!N948="","",'Observaciones-SMP'!N948)</f>
        <v/>
      </c>
      <c r="O948" s="193" t="str">
        <f>IF('Observaciones-SMP'!O948="","",'Observaciones-SMP'!O948)</f>
        <v/>
      </c>
      <c r="P948" s="193" t="str">
        <f>IF('Observaciones-SMP'!P948="","",'Observaciones-SMP'!P948)</f>
        <v/>
      </c>
      <c r="Q948" s="257" t="str">
        <f>IF('Observaciones-SMP'!S948="","",'Observaciones-SMP'!S948)</f>
        <v/>
      </c>
      <c r="R948" s="193" t="str">
        <f>IF('Observaciones-SMP'!T948="","",'Observaciones-SMP'!T948)</f>
        <v/>
      </c>
      <c r="S948" s="193" t="str">
        <f>""</f>
        <v/>
      </c>
      <c r="T948" s="193" t="str">
        <f>""</f>
        <v/>
      </c>
      <c r="U948" s="193" t="str">
        <f t="shared" si="56"/>
        <v/>
      </c>
      <c r="V948" s="193" t="str">
        <f>""</f>
        <v/>
      </c>
      <c r="W948" s="193" t="str">
        <f>""</f>
        <v/>
      </c>
      <c r="X948" s="258" t="str">
        <f t="shared" si="57"/>
        <v/>
      </c>
      <c r="Y948" s="258" t="str">
        <f t="shared" si="58"/>
        <v/>
      </c>
      <c r="Z948" s="193" t="str">
        <f>IF(A948="","",IF(COUNTIF('Observaciones-SMP'!$A$2:$A$1001,A948)&gt;1,1,0))</f>
        <v/>
      </c>
      <c r="AA948" s="193" t="str">
        <f t="shared" si="59"/>
        <v/>
      </c>
    </row>
    <row r="949" spans="1:27" ht="13.5" customHeight="1" x14ac:dyDescent="0.3">
      <c r="A949" s="193" t="str">
        <f>IF('Observaciones-SMP'!A949="","",'Observaciones-SMP'!A949)</f>
        <v/>
      </c>
      <c r="B949" s="257" t="str">
        <f>IF('Observaciones-SMP'!B949="","",'Observaciones-SMP'!B949)</f>
        <v/>
      </c>
      <c r="C949" s="193" t="str">
        <f>IF('Observaciones-SMP'!C949="","",'Observaciones-SMP'!C949)</f>
        <v/>
      </c>
      <c r="D949" s="193" t="str">
        <f>IF('Observaciones-SMP'!D949="","",'Observaciones-SMP'!D949)</f>
        <v/>
      </c>
      <c r="E949" s="193" t="str">
        <f>IF('Observaciones-SMP'!E949="","",'Observaciones-SMP'!E949)</f>
        <v/>
      </c>
      <c r="F949" s="193" t="str">
        <f>IF('Observaciones-SMP'!F949="","",'Observaciones-SMP'!F949)</f>
        <v/>
      </c>
      <c r="G949" s="193" t="str">
        <f>IF('Observaciones-SMP'!G949="","",'Observaciones-SMP'!G949)</f>
        <v/>
      </c>
      <c r="H949" s="193" t="str">
        <f>IF('Observaciones-SMP'!H949="","",'Observaciones-SMP'!H949)</f>
        <v/>
      </c>
      <c r="I949" s="193" t="str">
        <f>IF('Observaciones-SMP'!I949="","",'Observaciones-SMP'!I949)</f>
        <v/>
      </c>
      <c r="J949" s="193" t="str">
        <f>IF('Observaciones-SMP'!J949="","",'Observaciones-SMP'!J949)</f>
        <v/>
      </c>
      <c r="K949" s="193" t="str">
        <f>IF('Observaciones-SMP'!K949="","",'Observaciones-SMP'!K949)</f>
        <v/>
      </c>
      <c r="L949" s="193" t="str">
        <f>IF('Observaciones-SMP'!L949="","",'Observaciones-SMP'!L949)</f>
        <v/>
      </c>
      <c r="M949" s="193" t="str">
        <f>IF('Observaciones-SMP'!M949="","",'Observaciones-SMP'!M949)</f>
        <v/>
      </c>
      <c r="N949" s="193" t="str">
        <f>IF('Observaciones-SMP'!N949="","",'Observaciones-SMP'!N949)</f>
        <v/>
      </c>
      <c r="O949" s="193" t="str">
        <f>IF('Observaciones-SMP'!O949="","",'Observaciones-SMP'!O949)</f>
        <v/>
      </c>
      <c r="P949" s="193" t="str">
        <f>IF('Observaciones-SMP'!P949="","",'Observaciones-SMP'!P949)</f>
        <v/>
      </c>
      <c r="Q949" s="257" t="str">
        <f>IF('Observaciones-SMP'!S949="","",'Observaciones-SMP'!S949)</f>
        <v/>
      </c>
      <c r="R949" s="193" t="str">
        <f>IF('Observaciones-SMP'!T949="","",'Observaciones-SMP'!T949)</f>
        <v/>
      </c>
      <c r="S949" s="193" t="str">
        <f>""</f>
        <v/>
      </c>
      <c r="T949" s="193" t="str">
        <f>""</f>
        <v/>
      </c>
      <c r="U949" s="193" t="str">
        <f t="shared" si="56"/>
        <v/>
      </c>
      <c r="V949" s="193" t="str">
        <f>""</f>
        <v/>
      </c>
      <c r="W949" s="193" t="str">
        <f>""</f>
        <v/>
      </c>
      <c r="X949" s="258" t="str">
        <f t="shared" si="57"/>
        <v/>
      </c>
      <c r="Y949" s="258" t="str">
        <f t="shared" si="58"/>
        <v/>
      </c>
      <c r="Z949" s="193" t="str">
        <f>IF(A949="","",IF(COUNTIF('Observaciones-SMP'!$A$2:$A$1001,A949)&gt;1,1,0))</f>
        <v/>
      </c>
      <c r="AA949" s="193" t="str">
        <f t="shared" si="59"/>
        <v/>
      </c>
    </row>
    <row r="950" spans="1:27" ht="13.5" customHeight="1" x14ac:dyDescent="0.3">
      <c r="A950" s="193" t="str">
        <f>IF('Observaciones-SMP'!A950="","",'Observaciones-SMP'!A950)</f>
        <v/>
      </c>
      <c r="B950" s="257" t="str">
        <f>IF('Observaciones-SMP'!B950="","",'Observaciones-SMP'!B950)</f>
        <v/>
      </c>
      <c r="C950" s="193" t="str">
        <f>IF('Observaciones-SMP'!C950="","",'Observaciones-SMP'!C950)</f>
        <v/>
      </c>
      <c r="D950" s="193" t="str">
        <f>IF('Observaciones-SMP'!D950="","",'Observaciones-SMP'!D950)</f>
        <v/>
      </c>
      <c r="E950" s="193" t="str">
        <f>IF('Observaciones-SMP'!E950="","",'Observaciones-SMP'!E950)</f>
        <v/>
      </c>
      <c r="F950" s="193" t="str">
        <f>IF('Observaciones-SMP'!F950="","",'Observaciones-SMP'!F950)</f>
        <v/>
      </c>
      <c r="G950" s="193" t="str">
        <f>IF('Observaciones-SMP'!G950="","",'Observaciones-SMP'!G950)</f>
        <v/>
      </c>
      <c r="H950" s="193" t="str">
        <f>IF('Observaciones-SMP'!H950="","",'Observaciones-SMP'!H950)</f>
        <v/>
      </c>
      <c r="I950" s="193" t="str">
        <f>IF('Observaciones-SMP'!I950="","",'Observaciones-SMP'!I950)</f>
        <v/>
      </c>
      <c r="J950" s="193" t="str">
        <f>IF('Observaciones-SMP'!J950="","",'Observaciones-SMP'!J950)</f>
        <v/>
      </c>
      <c r="K950" s="193" t="str">
        <f>IF('Observaciones-SMP'!K950="","",'Observaciones-SMP'!K950)</f>
        <v/>
      </c>
      <c r="L950" s="193" t="str">
        <f>IF('Observaciones-SMP'!L950="","",'Observaciones-SMP'!L950)</f>
        <v/>
      </c>
      <c r="M950" s="193" t="str">
        <f>IF('Observaciones-SMP'!M950="","",'Observaciones-SMP'!M950)</f>
        <v/>
      </c>
      <c r="N950" s="193" t="str">
        <f>IF('Observaciones-SMP'!N950="","",'Observaciones-SMP'!N950)</f>
        <v/>
      </c>
      <c r="O950" s="193" t="str">
        <f>IF('Observaciones-SMP'!O950="","",'Observaciones-SMP'!O950)</f>
        <v/>
      </c>
      <c r="P950" s="193" t="str">
        <f>IF('Observaciones-SMP'!P950="","",'Observaciones-SMP'!P950)</f>
        <v/>
      </c>
      <c r="Q950" s="257" t="str">
        <f>IF('Observaciones-SMP'!S950="","",'Observaciones-SMP'!S950)</f>
        <v/>
      </c>
      <c r="R950" s="193" t="str">
        <f>IF('Observaciones-SMP'!T950="","",'Observaciones-SMP'!T950)</f>
        <v/>
      </c>
      <c r="S950" s="193" t="str">
        <f>""</f>
        <v/>
      </c>
      <c r="T950" s="193" t="str">
        <f>""</f>
        <v/>
      </c>
      <c r="U950" s="193" t="str">
        <f t="shared" si="56"/>
        <v/>
      </c>
      <c r="V950" s="193" t="str">
        <f>""</f>
        <v/>
      </c>
      <c r="W950" s="193" t="str">
        <f>""</f>
        <v/>
      </c>
      <c r="X950" s="258" t="str">
        <f t="shared" si="57"/>
        <v/>
      </c>
      <c r="Y950" s="258" t="str">
        <f t="shared" si="58"/>
        <v/>
      </c>
      <c r="Z950" s="193" t="str">
        <f>IF(A950="","",IF(COUNTIF('Observaciones-SMP'!$A$2:$A$1001,A950)&gt;1,1,0))</f>
        <v/>
      </c>
      <c r="AA950" s="193" t="str">
        <f t="shared" si="59"/>
        <v/>
      </c>
    </row>
    <row r="951" spans="1:27" ht="13.5" customHeight="1" x14ac:dyDescent="0.3">
      <c r="A951" s="193" t="str">
        <f>IF('Observaciones-SMP'!A951="","",'Observaciones-SMP'!A951)</f>
        <v/>
      </c>
      <c r="B951" s="257" t="str">
        <f>IF('Observaciones-SMP'!B951="","",'Observaciones-SMP'!B951)</f>
        <v/>
      </c>
      <c r="C951" s="193" t="str">
        <f>IF('Observaciones-SMP'!C951="","",'Observaciones-SMP'!C951)</f>
        <v/>
      </c>
      <c r="D951" s="193" t="str">
        <f>IF('Observaciones-SMP'!D951="","",'Observaciones-SMP'!D951)</f>
        <v/>
      </c>
      <c r="E951" s="193" t="str">
        <f>IF('Observaciones-SMP'!E951="","",'Observaciones-SMP'!E951)</f>
        <v/>
      </c>
      <c r="F951" s="193" t="str">
        <f>IF('Observaciones-SMP'!F951="","",'Observaciones-SMP'!F951)</f>
        <v/>
      </c>
      <c r="G951" s="193" t="str">
        <f>IF('Observaciones-SMP'!G951="","",'Observaciones-SMP'!G951)</f>
        <v/>
      </c>
      <c r="H951" s="193" t="str">
        <f>IF('Observaciones-SMP'!H951="","",'Observaciones-SMP'!H951)</f>
        <v/>
      </c>
      <c r="I951" s="193" t="str">
        <f>IF('Observaciones-SMP'!I951="","",'Observaciones-SMP'!I951)</f>
        <v/>
      </c>
      <c r="J951" s="193" t="str">
        <f>IF('Observaciones-SMP'!J951="","",'Observaciones-SMP'!J951)</f>
        <v/>
      </c>
      <c r="K951" s="193" t="str">
        <f>IF('Observaciones-SMP'!K951="","",'Observaciones-SMP'!K951)</f>
        <v/>
      </c>
      <c r="L951" s="193" t="str">
        <f>IF('Observaciones-SMP'!L951="","",'Observaciones-SMP'!L951)</f>
        <v/>
      </c>
      <c r="M951" s="193" t="str">
        <f>IF('Observaciones-SMP'!M951="","",'Observaciones-SMP'!M951)</f>
        <v/>
      </c>
      <c r="N951" s="193" t="str">
        <f>IF('Observaciones-SMP'!N951="","",'Observaciones-SMP'!N951)</f>
        <v/>
      </c>
      <c r="O951" s="193" t="str">
        <f>IF('Observaciones-SMP'!O951="","",'Observaciones-SMP'!O951)</f>
        <v/>
      </c>
      <c r="P951" s="193" t="str">
        <f>IF('Observaciones-SMP'!P951="","",'Observaciones-SMP'!P951)</f>
        <v/>
      </c>
      <c r="Q951" s="257" t="str">
        <f>IF('Observaciones-SMP'!S951="","",'Observaciones-SMP'!S951)</f>
        <v/>
      </c>
      <c r="R951" s="193" t="str">
        <f>IF('Observaciones-SMP'!T951="","",'Observaciones-SMP'!T951)</f>
        <v/>
      </c>
      <c r="S951" s="193" t="str">
        <f>""</f>
        <v/>
      </c>
      <c r="T951" s="193" t="str">
        <f>""</f>
        <v/>
      </c>
      <c r="U951" s="193" t="str">
        <f t="shared" si="56"/>
        <v/>
      </c>
      <c r="V951" s="193" t="str">
        <f>""</f>
        <v/>
      </c>
      <c r="W951" s="193" t="str">
        <f>""</f>
        <v/>
      </c>
      <c r="X951" s="258" t="str">
        <f t="shared" si="57"/>
        <v/>
      </c>
      <c r="Y951" s="258" t="str">
        <f t="shared" si="58"/>
        <v/>
      </c>
      <c r="Z951" s="193" t="str">
        <f>IF(A951="","",IF(COUNTIF('Observaciones-SMP'!$A$2:$A$1001,A951)&gt;1,1,0))</f>
        <v/>
      </c>
      <c r="AA951" s="193" t="str">
        <f t="shared" si="59"/>
        <v/>
      </c>
    </row>
    <row r="952" spans="1:27" ht="13.5" customHeight="1" x14ac:dyDescent="0.3">
      <c r="A952" s="193" t="str">
        <f>IF('Observaciones-SMP'!A952="","",'Observaciones-SMP'!A952)</f>
        <v/>
      </c>
      <c r="B952" s="257" t="str">
        <f>IF('Observaciones-SMP'!B952="","",'Observaciones-SMP'!B952)</f>
        <v/>
      </c>
      <c r="C952" s="193" t="str">
        <f>IF('Observaciones-SMP'!C952="","",'Observaciones-SMP'!C952)</f>
        <v/>
      </c>
      <c r="D952" s="193" t="str">
        <f>IF('Observaciones-SMP'!D952="","",'Observaciones-SMP'!D952)</f>
        <v/>
      </c>
      <c r="E952" s="193" t="str">
        <f>IF('Observaciones-SMP'!E952="","",'Observaciones-SMP'!E952)</f>
        <v/>
      </c>
      <c r="F952" s="193" t="str">
        <f>IF('Observaciones-SMP'!F952="","",'Observaciones-SMP'!F952)</f>
        <v/>
      </c>
      <c r="G952" s="193" t="str">
        <f>IF('Observaciones-SMP'!G952="","",'Observaciones-SMP'!G952)</f>
        <v/>
      </c>
      <c r="H952" s="193" t="str">
        <f>IF('Observaciones-SMP'!H952="","",'Observaciones-SMP'!H952)</f>
        <v/>
      </c>
      <c r="I952" s="193" t="str">
        <f>IF('Observaciones-SMP'!I952="","",'Observaciones-SMP'!I952)</f>
        <v/>
      </c>
      <c r="J952" s="193" t="str">
        <f>IF('Observaciones-SMP'!J952="","",'Observaciones-SMP'!J952)</f>
        <v/>
      </c>
      <c r="K952" s="193" t="str">
        <f>IF('Observaciones-SMP'!K952="","",'Observaciones-SMP'!K952)</f>
        <v/>
      </c>
      <c r="L952" s="193" t="str">
        <f>IF('Observaciones-SMP'!L952="","",'Observaciones-SMP'!L952)</f>
        <v/>
      </c>
      <c r="M952" s="193" t="str">
        <f>IF('Observaciones-SMP'!M952="","",'Observaciones-SMP'!M952)</f>
        <v/>
      </c>
      <c r="N952" s="193" t="str">
        <f>IF('Observaciones-SMP'!N952="","",'Observaciones-SMP'!N952)</f>
        <v/>
      </c>
      <c r="O952" s="193" t="str">
        <f>IF('Observaciones-SMP'!O952="","",'Observaciones-SMP'!O952)</f>
        <v/>
      </c>
      <c r="P952" s="193" t="str">
        <f>IF('Observaciones-SMP'!P952="","",'Observaciones-SMP'!P952)</f>
        <v/>
      </c>
      <c r="Q952" s="257" t="str">
        <f>IF('Observaciones-SMP'!S952="","",'Observaciones-SMP'!S952)</f>
        <v/>
      </c>
      <c r="R952" s="193" t="str">
        <f>IF('Observaciones-SMP'!T952="","",'Observaciones-SMP'!T952)</f>
        <v/>
      </c>
      <c r="S952" s="193" t="str">
        <f>""</f>
        <v/>
      </c>
      <c r="T952" s="193" t="str">
        <f>""</f>
        <v/>
      </c>
      <c r="U952" s="193" t="str">
        <f t="shared" si="56"/>
        <v/>
      </c>
      <c r="V952" s="193" t="str">
        <f>""</f>
        <v/>
      </c>
      <c r="W952" s="193" t="str">
        <f>""</f>
        <v/>
      </c>
      <c r="X952" s="258" t="str">
        <f t="shared" si="57"/>
        <v/>
      </c>
      <c r="Y952" s="258" t="str">
        <f t="shared" si="58"/>
        <v/>
      </c>
      <c r="Z952" s="193" t="str">
        <f>IF(A952="","",IF(COUNTIF('Observaciones-SMP'!$A$2:$A$1001,A952)&gt;1,1,0))</f>
        <v/>
      </c>
      <c r="AA952" s="193" t="str">
        <f t="shared" si="59"/>
        <v/>
      </c>
    </row>
    <row r="953" spans="1:27" ht="13.5" customHeight="1" x14ac:dyDescent="0.3">
      <c r="A953" s="193" t="str">
        <f>IF('Observaciones-SMP'!A953="","",'Observaciones-SMP'!A953)</f>
        <v/>
      </c>
      <c r="B953" s="257" t="str">
        <f>IF('Observaciones-SMP'!B953="","",'Observaciones-SMP'!B953)</f>
        <v/>
      </c>
      <c r="C953" s="193" t="str">
        <f>IF('Observaciones-SMP'!C953="","",'Observaciones-SMP'!C953)</f>
        <v/>
      </c>
      <c r="D953" s="193" t="str">
        <f>IF('Observaciones-SMP'!D953="","",'Observaciones-SMP'!D953)</f>
        <v/>
      </c>
      <c r="E953" s="193" t="str">
        <f>IF('Observaciones-SMP'!E953="","",'Observaciones-SMP'!E953)</f>
        <v/>
      </c>
      <c r="F953" s="193" t="str">
        <f>IF('Observaciones-SMP'!F953="","",'Observaciones-SMP'!F953)</f>
        <v/>
      </c>
      <c r="G953" s="193" t="str">
        <f>IF('Observaciones-SMP'!G953="","",'Observaciones-SMP'!G953)</f>
        <v/>
      </c>
      <c r="H953" s="193" t="str">
        <f>IF('Observaciones-SMP'!H953="","",'Observaciones-SMP'!H953)</f>
        <v/>
      </c>
      <c r="I953" s="193" t="str">
        <f>IF('Observaciones-SMP'!I953="","",'Observaciones-SMP'!I953)</f>
        <v/>
      </c>
      <c r="J953" s="193" t="str">
        <f>IF('Observaciones-SMP'!J953="","",'Observaciones-SMP'!J953)</f>
        <v/>
      </c>
      <c r="K953" s="193" t="str">
        <f>IF('Observaciones-SMP'!K953="","",'Observaciones-SMP'!K953)</f>
        <v/>
      </c>
      <c r="L953" s="193" t="str">
        <f>IF('Observaciones-SMP'!L953="","",'Observaciones-SMP'!L953)</f>
        <v/>
      </c>
      <c r="M953" s="193" t="str">
        <f>IF('Observaciones-SMP'!M953="","",'Observaciones-SMP'!M953)</f>
        <v/>
      </c>
      <c r="N953" s="193" t="str">
        <f>IF('Observaciones-SMP'!N953="","",'Observaciones-SMP'!N953)</f>
        <v/>
      </c>
      <c r="O953" s="193" t="str">
        <f>IF('Observaciones-SMP'!O953="","",'Observaciones-SMP'!O953)</f>
        <v/>
      </c>
      <c r="P953" s="193" t="str">
        <f>IF('Observaciones-SMP'!P953="","",'Observaciones-SMP'!P953)</f>
        <v/>
      </c>
      <c r="Q953" s="257" t="str">
        <f>IF('Observaciones-SMP'!S953="","",'Observaciones-SMP'!S953)</f>
        <v/>
      </c>
      <c r="R953" s="193" t="str">
        <f>IF('Observaciones-SMP'!T953="","",'Observaciones-SMP'!T953)</f>
        <v/>
      </c>
      <c r="S953" s="193" t="str">
        <f>""</f>
        <v/>
      </c>
      <c r="T953" s="193" t="str">
        <f>""</f>
        <v/>
      </c>
      <c r="U953" s="193" t="str">
        <f t="shared" si="56"/>
        <v/>
      </c>
      <c r="V953" s="193" t="str">
        <f>""</f>
        <v/>
      </c>
      <c r="W953" s="193" t="str">
        <f>""</f>
        <v/>
      </c>
      <c r="X953" s="258" t="str">
        <f t="shared" si="57"/>
        <v/>
      </c>
      <c r="Y953" s="258" t="str">
        <f t="shared" si="58"/>
        <v/>
      </c>
      <c r="Z953" s="193" t="str">
        <f>IF(A953="","",IF(COUNTIF('Observaciones-SMP'!$A$2:$A$1001,A953)&gt;1,1,0))</f>
        <v/>
      </c>
      <c r="AA953" s="193" t="str">
        <f t="shared" si="59"/>
        <v/>
      </c>
    </row>
    <row r="954" spans="1:27" ht="13.5" customHeight="1" x14ac:dyDescent="0.3">
      <c r="A954" s="193" t="str">
        <f>IF('Observaciones-SMP'!A954="","",'Observaciones-SMP'!A954)</f>
        <v/>
      </c>
      <c r="B954" s="257" t="str">
        <f>IF('Observaciones-SMP'!B954="","",'Observaciones-SMP'!B954)</f>
        <v/>
      </c>
      <c r="C954" s="193" t="str">
        <f>IF('Observaciones-SMP'!C954="","",'Observaciones-SMP'!C954)</f>
        <v/>
      </c>
      <c r="D954" s="193" t="str">
        <f>IF('Observaciones-SMP'!D954="","",'Observaciones-SMP'!D954)</f>
        <v/>
      </c>
      <c r="E954" s="193" t="str">
        <f>IF('Observaciones-SMP'!E954="","",'Observaciones-SMP'!E954)</f>
        <v/>
      </c>
      <c r="F954" s="193" t="str">
        <f>IF('Observaciones-SMP'!F954="","",'Observaciones-SMP'!F954)</f>
        <v/>
      </c>
      <c r="G954" s="193" t="str">
        <f>IF('Observaciones-SMP'!G954="","",'Observaciones-SMP'!G954)</f>
        <v/>
      </c>
      <c r="H954" s="193" t="str">
        <f>IF('Observaciones-SMP'!H954="","",'Observaciones-SMP'!H954)</f>
        <v/>
      </c>
      <c r="I954" s="193" t="str">
        <f>IF('Observaciones-SMP'!I954="","",'Observaciones-SMP'!I954)</f>
        <v/>
      </c>
      <c r="J954" s="193" t="str">
        <f>IF('Observaciones-SMP'!J954="","",'Observaciones-SMP'!J954)</f>
        <v/>
      </c>
      <c r="K954" s="193" t="str">
        <f>IF('Observaciones-SMP'!K954="","",'Observaciones-SMP'!K954)</f>
        <v/>
      </c>
      <c r="L954" s="193" t="str">
        <f>IF('Observaciones-SMP'!L954="","",'Observaciones-SMP'!L954)</f>
        <v/>
      </c>
      <c r="M954" s="193" t="str">
        <f>IF('Observaciones-SMP'!M954="","",'Observaciones-SMP'!M954)</f>
        <v/>
      </c>
      <c r="N954" s="193" t="str">
        <f>IF('Observaciones-SMP'!N954="","",'Observaciones-SMP'!N954)</f>
        <v/>
      </c>
      <c r="O954" s="193" t="str">
        <f>IF('Observaciones-SMP'!O954="","",'Observaciones-SMP'!O954)</f>
        <v/>
      </c>
      <c r="P954" s="193" t="str">
        <f>IF('Observaciones-SMP'!P954="","",'Observaciones-SMP'!P954)</f>
        <v/>
      </c>
      <c r="Q954" s="257" t="str">
        <f>IF('Observaciones-SMP'!S954="","",'Observaciones-SMP'!S954)</f>
        <v/>
      </c>
      <c r="R954" s="193" t="str">
        <f>IF('Observaciones-SMP'!T954="","",'Observaciones-SMP'!T954)</f>
        <v/>
      </c>
      <c r="S954" s="193" t="str">
        <f>""</f>
        <v/>
      </c>
      <c r="T954" s="193" t="str">
        <f>""</f>
        <v/>
      </c>
      <c r="U954" s="193" t="str">
        <f t="shared" si="56"/>
        <v/>
      </c>
      <c r="V954" s="193" t="str">
        <f>""</f>
        <v/>
      </c>
      <c r="W954" s="193" t="str">
        <f>""</f>
        <v/>
      </c>
      <c r="X954" s="258" t="str">
        <f t="shared" si="57"/>
        <v/>
      </c>
      <c r="Y954" s="258" t="str">
        <f t="shared" si="58"/>
        <v/>
      </c>
      <c r="Z954" s="193" t="str">
        <f>IF(A954="","",IF(COUNTIF('Observaciones-SMP'!$A$2:$A$1001,A954)&gt;1,1,0))</f>
        <v/>
      </c>
      <c r="AA954" s="193" t="str">
        <f t="shared" si="59"/>
        <v/>
      </c>
    </row>
    <row r="955" spans="1:27" ht="13.5" customHeight="1" x14ac:dyDescent="0.3">
      <c r="A955" s="193" t="str">
        <f>IF('Observaciones-SMP'!A955="","",'Observaciones-SMP'!A955)</f>
        <v/>
      </c>
      <c r="B955" s="257" t="str">
        <f>IF('Observaciones-SMP'!B955="","",'Observaciones-SMP'!B955)</f>
        <v/>
      </c>
      <c r="C955" s="193" t="str">
        <f>IF('Observaciones-SMP'!C955="","",'Observaciones-SMP'!C955)</f>
        <v/>
      </c>
      <c r="D955" s="193" t="str">
        <f>IF('Observaciones-SMP'!D955="","",'Observaciones-SMP'!D955)</f>
        <v/>
      </c>
      <c r="E955" s="193" t="str">
        <f>IF('Observaciones-SMP'!E955="","",'Observaciones-SMP'!E955)</f>
        <v/>
      </c>
      <c r="F955" s="193" t="str">
        <f>IF('Observaciones-SMP'!F955="","",'Observaciones-SMP'!F955)</f>
        <v/>
      </c>
      <c r="G955" s="193" t="str">
        <f>IF('Observaciones-SMP'!G955="","",'Observaciones-SMP'!G955)</f>
        <v/>
      </c>
      <c r="H955" s="193" t="str">
        <f>IF('Observaciones-SMP'!H955="","",'Observaciones-SMP'!H955)</f>
        <v/>
      </c>
      <c r="I955" s="193" t="str">
        <f>IF('Observaciones-SMP'!I955="","",'Observaciones-SMP'!I955)</f>
        <v/>
      </c>
      <c r="J955" s="193" t="str">
        <f>IF('Observaciones-SMP'!J955="","",'Observaciones-SMP'!J955)</f>
        <v/>
      </c>
      <c r="K955" s="193" t="str">
        <f>IF('Observaciones-SMP'!K955="","",'Observaciones-SMP'!K955)</f>
        <v/>
      </c>
      <c r="L955" s="193" t="str">
        <f>IF('Observaciones-SMP'!L955="","",'Observaciones-SMP'!L955)</f>
        <v/>
      </c>
      <c r="M955" s="193" t="str">
        <f>IF('Observaciones-SMP'!M955="","",'Observaciones-SMP'!M955)</f>
        <v/>
      </c>
      <c r="N955" s="193" t="str">
        <f>IF('Observaciones-SMP'!N955="","",'Observaciones-SMP'!N955)</f>
        <v/>
      </c>
      <c r="O955" s="193" t="str">
        <f>IF('Observaciones-SMP'!O955="","",'Observaciones-SMP'!O955)</f>
        <v/>
      </c>
      <c r="P955" s="193" t="str">
        <f>IF('Observaciones-SMP'!P955="","",'Observaciones-SMP'!P955)</f>
        <v/>
      </c>
      <c r="Q955" s="257" t="str">
        <f>IF('Observaciones-SMP'!S955="","",'Observaciones-SMP'!S955)</f>
        <v/>
      </c>
      <c r="R955" s="193" t="str">
        <f>IF('Observaciones-SMP'!T955="","",'Observaciones-SMP'!T955)</f>
        <v/>
      </c>
      <c r="S955" s="193" t="str">
        <f>""</f>
        <v/>
      </c>
      <c r="T955" s="193" t="str">
        <f>""</f>
        <v/>
      </c>
      <c r="U955" s="193" t="str">
        <f t="shared" si="56"/>
        <v/>
      </c>
      <c r="V955" s="193" t="str">
        <f>""</f>
        <v/>
      </c>
      <c r="W955" s="193" t="str">
        <f>""</f>
        <v/>
      </c>
      <c r="X955" s="258" t="str">
        <f t="shared" si="57"/>
        <v/>
      </c>
      <c r="Y955" s="258" t="str">
        <f t="shared" si="58"/>
        <v/>
      </c>
      <c r="Z955" s="193" t="str">
        <f>IF(A955="","",IF(COUNTIF('Observaciones-SMP'!$A$2:$A$1001,A955)&gt;1,1,0))</f>
        <v/>
      </c>
      <c r="AA955" s="193" t="str">
        <f t="shared" si="59"/>
        <v/>
      </c>
    </row>
    <row r="956" spans="1:27" ht="13.5" customHeight="1" x14ac:dyDescent="0.3">
      <c r="A956" s="193" t="str">
        <f>IF('Observaciones-SMP'!A956="","",'Observaciones-SMP'!A956)</f>
        <v/>
      </c>
      <c r="B956" s="257" t="str">
        <f>IF('Observaciones-SMP'!B956="","",'Observaciones-SMP'!B956)</f>
        <v/>
      </c>
      <c r="C956" s="193" t="str">
        <f>IF('Observaciones-SMP'!C956="","",'Observaciones-SMP'!C956)</f>
        <v/>
      </c>
      <c r="D956" s="193" t="str">
        <f>IF('Observaciones-SMP'!D956="","",'Observaciones-SMP'!D956)</f>
        <v/>
      </c>
      <c r="E956" s="193" t="str">
        <f>IF('Observaciones-SMP'!E956="","",'Observaciones-SMP'!E956)</f>
        <v/>
      </c>
      <c r="F956" s="193" t="str">
        <f>IF('Observaciones-SMP'!F956="","",'Observaciones-SMP'!F956)</f>
        <v/>
      </c>
      <c r="G956" s="193" t="str">
        <f>IF('Observaciones-SMP'!G956="","",'Observaciones-SMP'!G956)</f>
        <v/>
      </c>
      <c r="H956" s="193" t="str">
        <f>IF('Observaciones-SMP'!H956="","",'Observaciones-SMP'!H956)</f>
        <v/>
      </c>
      <c r="I956" s="193" t="str">
        <f>IF('Observaciones-SMP'!I956="","",'Observaciones-SMP'!I956)</f>
        <v/>
      </c>
      <c r="J956" s="193" t="str">
        <f>IF('Observaciones-SMP'!J956="","",'Observaciones-SMP'!J956)</f>
        <v/>
      </c>
      <c r="K956" s="193" t="str">
        <f>IF('Observaciones-SMP'!K956="","",'Observaciones-SMP'!K956)</f>
        <v/>
      </c>
      <c r="L956" s="193" t="str">
        <f>IF('Observaciones-SMP'!L956="","",'Observaciones-SMP'!L956)</f>
        <v/>
      </c>
      <c r="M956" s="193" t="str">
        <f>IF('Observaciones-SMP'!M956="","",'Observaciones-SMP'!M956)</f>
        <v/>
      </c>
      <c r="N956" s="193" t="str">
        <f>IF('Observaciones-SMP'!N956="","",'Observaciones-SMP'!N956)</f>
        <v/>
      </c>
      <c r="O956" s="193" t="str">
        <f>IF('Observaciones-SMP'!O956="","",'Observaciones-SMP'!O956)</f>
        <v/>
      </c>
      <c r="P956" s="193" t="str">
        <f>IF('Observaciones-SMP'!P956="","",'Observaciones-SMP'!P956)</f>
        <v/>
      </c>
      <c r="Q956" s="257" t="str">
        <f>IF('Observaciones-SMP'!S956="","",'Observaciones-SMP'!S956)</f>
        <v/>
      </c>
      <c r="R956" s="193" t="str">
        <f>IF('Observaciones-SMP'!T956="","",'Observaciones-SMP'!T956)</f>
        <v/>
      </c>
      <c r="S956" s="193" t="str">
        <f>""</f>
        <v/>
      </c>
      <c r="T956" s="193" t="str">
        <f>""</f>
        <v/>
      </c>
      <c r="U956" s="193" t="str">
        <f t="shared" si="56"/>
        <v/>
      </c>
      <c r="V956" s="193" t="str">
        <f>""</f>
        <v/>
      </c>
      <c r="W956" s="193" t="str">
        <f>""</f>
        <v/>
      </c>
      <c r="X956" s="258" t="str">
        <f t="shared" si="57"/>
        <v/>
      </c>
      <c r="Y956" s="258" t="str">
        <f t="shared" si="58"/>
        <v/>
      </c>
      <c r="Z956" s="193" t="str">
        <f>IF(A956="","",IF(COUNTIF('Observaciones-SMP'!$A$2:$A$1001,A956)&gt;1,1,0))</f>
        <v/>
      </c>
      <c r="AA956" s="193" t="str">
        <f t="shared" si="59"/>
        <v/>
      </c>
    </row>
    <row r="957" spans="1:27" ht="13.5" customHeight="1" x14ac:dyDescent="0.3">
      <c r="A957" s="193" t="str">
        <f>IF('Observaciones-SMP'!A957="","",'Observaciones-SMP'!A957)</f>
        <v/>
      </c>
      <c r="B957" s="257" t="str">
        <f>IF('Observaciones-SMP'!B957="","",'Observaciones-SMP'!B957)</f>
        <v/>
      </c>
      <c r="C957" s="193" t="str">
        <f>IF('Observaciones-SMP'!C957="","",'Observaciones-SMP'!C957)</f>
        <v/>
      </c>
      <c r="D957" s="193" t="str">
        <f>IF('Observaciones-SMP'!D957="","",'Observaciones-SMP'!D957)</f>
        <v/>
      </c>
      <c r="E957" s="193" t="str">
        <f>IF('Observaciones-SMP'!E957="","",'Observaciones-SMP'!E957)</f>
        <v/>
      </c>
      <c r="F957" s="193" t="str">
        <f>IF('Observaciones-SMP'!F957="","",'Observaciones-SMP'!F957)</f>
        <v/>
      </c>
      <c r="G957" s="193" t="str">
        <f>IF('Observaciones-SMP'!G957="","",'Observaciones-SMP'!G957)</f>
        <v/>
      </c>
      <c r="H957" s="193" t="str">
        <f>IF('Observaciones-SMP'!H957="","",'Observaciones-SMP'!H957)</f>
        <v/>
      </c>
      <c r="I957" s="193" t="str">
        <f>IF('Observaciones-SMP'!I957="","",'Observaciones-SMP'!I957)</f>
        <v/>
      </c>
      <c r="J957" s="193" t="str">
        <f>IF('Observaciones-SMP'!J957="","",'Observaciones-SMP'!J957)</f>
        <v/>
      </c>
      <c r="K957" s="193" t="str">
        <f>IF('Observaciones-SMP'!K957="","",'Observaciones-SMP'!K957)</f>
        <v/>
      </c>
      <c r="L957" s="193" t="str">
        <f>IF('Observaciones-SMP'!L957="","",'Observaciones-SMP'!L957)</f>
        <v/>
      </c>
      <c r="M957" s="193" t="str">
        <f>IF('Observaciones-SMP'!M957="","",'Observaciones-SMP'!M957)</f>
        <v/>
      </c>
      <c r="N957" s="193" t="str">
        <f>IF('Observaciones-SMP'!N957="","",'Observaciones-SMP'!N957)</f>
        <v/>
      </c>
      <c r="O957" s="193" t="str">
        <f>IF('Observaciones-SMP'!O957="","",'Observaciones-SMP'!O957)</f>
        <v/>
      </c>
      <c r="P957" s="193" t="str">
        <f>IF('Observaciones-SMP'!P957="","",'Observaciones-SMP'!P957)</f>
        <v/>
      </c>
      <c r="Q957" s="257" t="str">
        <f>IF('Observaciones-SMP'!S957="","",'Observaciones-SMP'!S957)</f>
        <v/>
      </c>
      <c r="R957" s="193" t="str">
        <f>IF('Observaciones-SMP'!T957="","",'Observaciones-SMP'!T957)</f>
        <v/>
      </c>
      <c r="S957" s="193" t="str">
        <f>""</f>
        <v/>
      </c>
      <c r="T957" s="193" t="str">
        <f>""</f>
        <v/>
      </c>
      <c r="U957" s="193" t="str">
        <f t="shared" si="56"/>
        <v/>
      </c>
      <c r="V957" s="193" t="str">
        <f>""</f>
        <v/>
      </c>
      <c r="W957" s="193" t="str">
        <f>""</f>
        <v/>
      </c>
      <c r="X957" s="258" t="str">
        <f t="shared" si="57"/>
        <v/>
      </c>
      <c r="Y957" s="258" t="str">
        <f t="shared" si="58"/>
        <v/>
      </c>
      <c r="Z957" s="193" t="str">
        <f>IF(A957="","",IF(COUNTIF('Observaciones-SMP'!$A$2:$A$1001,A957)&gt;1,1,0))</f>
        <v/>
      </c>
      <c r="AA957" s="193" t="str">
        <f t="shared" si="59"/>
        <v/>
      </c>
    </row>
    <row r="958" spans="1:27" ht="13.5" customHeight="1" x14ac:dyDescent="0.3">
      <c r="A958" s="193" t="str">
        <f>IF('Observaciones-SMP'!A958="","",'Observaciones-SMP'!A958)</f>
        <v/>
      </c>
      <c r="B958" s="257" t="str">
        <f>IF('Observaciones-SMP'!B958="","",'Observaciones-SMP'!B958)</f>
        <v/>
      </c>
      <c r="C958" s="193" t="str">
        <f>IF('Observaciones-SMP'!C958="","",'Observaciones-SMP'!C958)</f>
        <v/>
      </c>
      <c r="D958" s="193" t="str">
        <f>IF('Observaciones-SMP'!D958="","",'Observaciones-SMP'!D958)</f>
        <v/>
      </c>
      <c r="E958" s="193" t="str">
        <f>IF('Observaciones-SMP'!E958="","",'Observaciones-SMP'!E958)</f>
        <v/>
      </c>
      <c r="F958" s="193" t="str">
        <f>IF('Observaciones-SMP'!F958="","",'Observaciones-SMP'!F958)</f>
        <v/>
      </c>
      <c r="G958" s="193" t="str">
        <f>IF('Observaciones-SMP'!G958="","",'Observaciones-SMP'!G958)</f>
        <v/>
      </c>
      <c r="H958" s="193" t="str">
        <f>IF('Observaciones-SMP'!H958="","",'Observaciones-SMP'!H958)</f>
        <v/>
      </c>
      <c r="I958" s="193" t="str">
        <f>IF('Observaciones-SMP'!I958="","",'Observaciones-SMP'!I958)</f>
        <v/>
      </c>
      <c r="J958" s="193" t="str">
        <f>IF('Observaciones-SMP'!J958="","",'Observaciones-SMP'!J958)</f>
        <v/>
      </c>
      <c r="K958" s="193" t="str">
        <f>IF('Observaciones-SMP'!K958="","",'Observaciones-SMP'!K958)</f>
        <v/>
      </c>
      <c r="L958" s="193" t="str">
        <f>IF('Observaciones-SMP'!L958="","",'Observaciones-SMP'!L958)</f>
        <v/>
      </c>
      <c r="M958" s="193" t="str">
        <f>IF('Observaciones-SMP'!M958="","",'Observaciones-SMP'!M958)</f>
        <v/>
      </c>
      <c r="N958" s="193" t="str">
        <f>IF('Observaciones-SMP'!N958="","",'Observaciones-SMP'!N958)</f>
        <v/>
      </c>
      <c r="O958" s="193" t="str">
        <f>IF('Observaciones-SMP'!O958="","",'Observaciones-SMP'!O958)</f>
        <v/>
      </c>
      <c r="P958" s="193" t="str">
        <f>IF('Observaciones-SMP'!P958="","",'Observaciones-SMP'!P958)</f>
        <v/>
      </c>
      <c r="Q958" s="257" t="str">
        <f>IF('Observaciones-SMP'!S958="","",'Observaciones-SMP'!S958)</f>
        <v/>
      </c>
      <c r="R958" s="193" t="str">
        <f>IF('Observaciones-SMP'!T958="","",'Observaciones-SMP'!T958)</f>
        <v/>
      </c>
      <c r="S958" s="193" t="str">
        <f>""</f>
        <v/>
      </c>
      <c r="T958" s="193" t="str">
        <f>""</f>
        <v/>
      </c>
      <c r="U958" s="193" t="str">
        <f t="shared" si="56"/>
        <v/>
      </c>
      <c r="V958" s="193" t="str">
        <f>""</f>
        <v/>
      </c>
      <c r="W958" s="193" t="str">
        <f>""</f>
        <v/>
      </c>
      <c r="X958" s="258" t="str">
        <f t="shared" si="57"/>
        <v/>
      </c>
      <c r="Y958" s="258" t="str">
        <f t="shared" si="58"/>
        <v/>
      </c>
      <c r="Z958" s="193" t="str">
        <f>IF(A958="","",IF(COUNTIF('Observaciones-SMP'!$A$2:$A$1001,A958)&gt;1,1,0))</f>
        <v/>
      </c>
      <c r="AA958" s="193" t="str">
        <f t="shared" si="59"/>
        <v/>
      </c>
    </row>
    <row r="959" spans="1:27" ht="13.5" customHeight="1" x14ac:dyDescent="0.3">
      <c r="A959" s="193" t="str">
        <f>IF('Observaciones-SMP'!A959="","",'Observaciones-SMP'!A959)</f>
        <v/>
      </c>
      <c r="B959" s="257" t="str">
        <f>IF('Observaciones-SMP'!B959="","",'Observaciones-SMP'!B959)</f>
        <v/>
      </c>
      <c r="C959" s="193" t="str">
        <f>IF('Observaciones-SMP'!C959="","",'Observaciones-SMP'!C959)</f>
        <v/>
      </c>
      <c r="D959" s="193" t="str">
        <f>IF('Observaciones-SMP'!D959="","",'Observaciones-SMP'!D959)</f>
        <v/>
      </c>
      <c r="E959" s="193" t="str">
        <f>IF('Observaciones-SMP'!E959="","",'Observaciones-SMP'!E959)</f>
        <v/>
      </c>
      <c r="F959" s="193" t="str">
        <f>IF('Observaciones-SMP'!F959="","",'Observaciones-SMP'!F959)</f>
        <v/>
      </c>
      <c r="G959" s="193" t="str">
        <f>IF('Observaciones-SMP'!G959="","",'Observaciones-SMP'!G959)</f>
        <v/>
      </c>
      <c r="H959" s="193" t="str">
        <f>IF('Observaciones-SMP'!H959="","",'Observaciones-SMP'!H959)</f>
        <v/>
      </c>
      <c r="I959" s="193" t="str">
        <f>IF('Observaciones-SMP'!I959="","",'Observaciones-SMP'!I959)</f>
        <v/>
      </c>
      <c r="J959" s="193" t="str">
        <f>IF('Observaciones-SMP'!J959="","",'Observaciones-SMP'!J959)</f>
        <v/>
      </c>
      <c r="K959" s="193" t="str">
        <f>IF('Observaciones-SMP'!K959="","",'Observaciones-SMP'!K959)</f>
        <v/>
      </c>
      <c r="L959" s="193" t="str">
        <f>IF('Observaciones-SMP'!L959="","",'Observaciones-SMP'!L959)</f>
        <v/>
      </c>
      <c r="M959" s="193" t="str">
        <f>IF('Observaciones-SMP'!M959="","",'Observaciones-SMP'!M959)</f>
        <v/>
      </c>
      <c r="N959" s="193" t="str">
        <f>IF('Observaciones-SMP'!N959="","",'Observaciones-SMP'!N959)</f>
        <v/>
      </c>
      <c r="O959" s="193" t="str">
        <f>IF('Observaciones-SMP'!O959="","",'Observaciones-SMP'!O959)</f>
        <v/>
      </c>
      <c r="P959" s="193" t="str">
        <f>IF('Observaciones-SMP'!P959="","",'Observaciones-SMP'!P959)</f>
        <v/>
      </c>
      <c r="Q959" s="257" t="str">
        <f>IF('Observaciones-SMP'!S959="","",'Observaciones-SMP'!S959)</f>
        <v/>
      </c>
      <c r="R959" s="193" t="str">
        <f>IF('Observaciones-SMP'!T959="","",'Observaciones-SMP'!T959)</f>
        <v/>
      </c>
      <c r="S959" s="193" t="str">
        <f>""</f>
        <v/>
      </c>
      <c r="T959" s="193" t="str">
        <f>""</f>
        <v/>
      </c>
      <c r="U959" s="193" t="str">
        <f t="shared" si="56"/>
        <v/>
      </c>
      <c r="V959" s="193" t="str">
        <f>""</f>
        <v/>
      </c>
      <c r="W959" s="193" t="str">
        <f>""</f>
        <v/>
      </c>
      <c r="X959" s="258" t="str">
        <f t="shared" si="57"/>
        <v/>
      </c>
      <c r="Y959" s="258" t="str">
        <f t="shared" si="58"/>
        <v/>
      </c>
      <c r="Z959" s="193" t="str">
        <f>IF(A959="","",IF(COUNTIF('Observaciones-SMP'!$A$2:$A$1001,A959)&gt;1,1,0))</f>
        <v/>
      </c>
      <c r="AA959" s="193" t="str">
        <f t="shared" si="59"/>
        <v/>
      </c>
    </row>
    <row r="960" spans="1:27" ht="13.5" customHeight="1" x14ac:dyDescent="0.3">
      <c r="A960" s="193" t="str">
        <f>IF('Observaciones-SMP'!A960="","",'Observaciones-SMP'!A960)</f>
        <v/>
      </c>
      <c r="B960" s="257" t="str">
        <f>IF('Observaciones-SMP'!B960="","",'Observaciones-SMP'!B960)</f>
        <v/>
      </c>
      <c r="C960" s="193" t="str">
        <f>IF('Observaciones-SMP'!C960="","",'Observaciones-SMP'!C960)</f>
        <v/>
      </c>
      <c r="D960" s="193" t="str">
        <f>IF('Observaciones-SMP'!D960="","",'Observaciones-SMP'!D960)</f>
        <v/>
      </c>
      <c r="E960" s="193" t="str">
        <f>IF('Observaciones-SMP'!E960="","",'Observaciones-SMP'!E960)</f>
        <v/>
      </c>
      <c r="F960" s="193" t="str">
        <f>IF('Observaciones-SMP'!F960="","",'Observaciones-SMP'!F960)</f>
        <v/>
      </c>
      <c r="G960" s="193" t="str">
        <f>IF('Observaciones-SMP'!G960="","",'Observaciones-SMP'!G960)</f>
        <v/>
      </c>
      <c r="H960" s="193" t="str">
        <f>IF('Observaciones-SMP'!H960="","",'Observaciones-SMP'!H960)</f>
        <v/>
      </c>
      <c r="I960" s="193" t="str">
        <f>IF('Observaciones-SMP'!I960="","",'Observaciones-SMP'!I960)</f>
        <v/>
      </c>
      <c r="J960" s="193" t="str">
        <f>IF('Observaciones-SMP'!J960="","",'Observaciones-SMP'!J960)</f>
        <v/>
      </c>
      <c r="K960" s="193" t="str">
        <f>IF('Observaciones-SMP'!K960="","",'Observaciones-SMP'!K960)</f>
        <v/>
      </c>
      <c r="L960" s="193" t="str">
        <f>IF('Observaciones-SMP'!L960="","",'Observaciones-SMP'!L960)</f>
        <v/>
      </c>
      <c r="M960" s="193" t="str">
        <f>IF('Observaciones-SMP'!M960="","",'Observaciones-SMP'!M960)</f>
        <v/>
      </c>
      <c r="N960" s="193" t="str">
        <f>IF('Observaciones-SMP'!N960="","",'Observaciones-SMP'!N960)</f>
        <v/>
      </c>
      <c r="O960" s="193" t="str">
        <f>IF('Observaciones-SMP'!O960="","",'Observaciones-SMP'!O960)</f>
        <v/>
      </c>
      <c r="P960" s="193" t="str">
        <f>IF('Observaciones-SMP'!P960="","",'Observaciones-SMP'!P960)</f>
        <v/>
      </c>
      <c r="Q960" s="257" t="str">
        <f>IF('Observaciones-SMP'!S960="","",'Observaciones-SMP'!S960)</f>
        <v/>
      </c>
      <c r="R960" s="193" t="str">
        <f>IF('Observaciones-SMP'!T960="","",'Observaciones-SMP'!T960)</f>
        <v/>
      </c>
      <c r="S960" s="193" t="str">
        <f>""</f>
        <v/>
      </c>
      <c r="T960" s="193" t="str">
        <f>""</f>
        <v/>
      </c>
      <c r="U960" s="193" t="str">
        <f t="shared" si="56"/>
        <v/>
      </c>
      <c r="V960" s="193" t="str">
        <f>""</f>
        <v/>
      </c>
      <c r="W960" s="193" t="str">
        <f>""</f>
        <v/>
      </c>
      <c r="X960" s="258" t="str">
        <f t="shared" si="57"/>
        <v/>
      </c>
      <c r="Y960" s="258" t="str">
        <f t="shared" si="58"/>
        <v/>
      </c>
      <c r="Z960" s="193" t="str">
        <f>IF(A960="","",IF(COUNTIF('Observaciones-SMP'!$A$2:$A$1001,A960)&gt;1,1,0))</f>
        <v/>
      </c>
      <c r="AA960" s="193" t="str">
        <f t="shared" si="59"/>
        <v/>
      </c>
    </row>
    <row r="961" spans="1:27" ht="13.5" customHeight="1" x14ac:dyDescent="0.3">
      <c r="A961" s="193" t="str">
        <f>IF('Observaciones-SMP'!A961="","",'Observaciones-SMP'!A961)</f>
        <v/>
      </c>
      <c r="B961" s="257" t="str">
        <f>IF('Observaciones-SMP'!B961="","",'Observaciones-SMP'!B961)</f>
        <v/>
      </c>
      <c r="C961" s="193" t="str">
        <f>IF('Observaciones-SMP'!C961="","",'Observaciones-SMP'!C961)</f>
        <v/>
      </c>
      <c r="D961" s="193" t="str">
        <f>IF('Observaciones-SMP'!D961="","",'Observaciones-SMP'!D961)</f>
        <v/>
      </c>
      <c r="E961" s="193" t="str">
        <f>IF('Observaciones-SMP'!E961="","",'Observaciones-SMP'!E961)</f>
        <v/>
      </c>
      <c r="F961" s="193" t="str">
        <f>IF('Observaciones-SMP'!F961="","",'Observaciones-SMP'!F961)</f>
        <v/>
      </c>
      <c r="G961" s="193" t="str">
        <f>IF('Observaciones-SMP'!G961="","",'Observaciones-SMP'!G961)</f>
        <v/>
      </c>
      <c r="H961" s="193" t="str">
        <f>IF('Observaciones-SMP'!H961="","",'Observaciones-SMP'!H961)</f>
        <v/>
      </c>
      <c r="I961" s="193" t="str">
        <f>IF('Observaciones-SMP'!I961="","",'Observaciones-SMP'!I961)</f>
        <v/>
      </c>
      <c r="J961" s="193" t="str">
        <f>IF('Observaciones-SMP'!J961="","",'Observaciones-SMP'!J961)</f>
        <v/>
      </c>
      <c r="K961" s="193" t="str">
        <f>IF('Observaciones-SMP'!K961="","",'Observaciones-SMP'!K961)</f>
        <v/>
      </c>
      <c r="L961" s="193" t="str">
        <f>IF('Observaciones-SMP'!L961="","",'Observaciones-SMP'!L961)</f>
        <v/>
      </c>
      <c r="M961" s="193" t="str">
        <f>IF('Observaciones-SMP'!M961="","",'Observaciones-SMP'!M961)</f>
        <v/>
      </c>
      <c r="N961" s="193" t="str">
        <f>IF('Observaciones-SMP'!N961="","",'Observaciones-SMP'!N961)</f>
        <v/>
      </c>
      <c r="O961" s="193" t="str">
        <f>IF('Observaciones-SMP'!O961="","",'Observaciones-SMP'!O961)</f>
        <v/>
      </c>
      <c r="P961" s="193" t="str">
        <f>IF('Observaciones-SMP'!P961="","",'Observaciones-SMP'!P961)</f>
        <v/>
      </c>
      <c r="Q961" s="257" t="str">
        <f>IF('Observaciones-SMP'!S961="","",'Observaciones-SMP'!S961)</f>
        <v/>
      </c>
      <c r="R961" s="193" t="str">
        <f>IF('Observaciones-SMP'!T961="","",'Observaciones-SMP'!T961)</f>
        <v/>
      </c>
      <c r="S961" s="193" t="str">
        <f>""</f>
        <v/>
      </c>
      <c r="T961" s="193" t="str">
        <f>""</f>
        <v/>
      </c>
      <c r="U961" s="193" t="str">
        <f t="shared" si="56"/>
        <v/>
      </c>
      <c r="V961" s="193" t="str">
        <f>""</f>
        <v/>
      </c>
      <c r="W961" s="193" t="str">
        <f>""</f>
        <v/>
      </c>
      <c r="X961" s="258" t="str">
        <f t="shared" si="57"/>
        <v/>
      </c>
      <c r="Y961" s="258" t="str">
        <f t="shared" si="58"/>
        <v/>
      </c>
      <c r="Z961" s="193" t="str">
        <f>IF(A961="","",IF(COUNTIF('Observaciones-SMP'!$A$2:$A$1001,A961)&gt;1,1,0))</f>
        <v/>
      </c>
      <c r="AA961" s="193" t="str">
        <f t="shared" si="59"/>
        <v/>
      </c>
    </row>
    <row r="962" spans="1:27" ht="13.5" customHeight="1" x14ac:dyDescent="0.3">
      <c r="A962" s="193" t="str">
        <f>IF('Observaciones-SMP'!A962="","",'Observaciones-SMP'!A962)</f>
        <v/>
      </c>
      <c r="B962" s="257" t="str">
        <f>IF('Observaciones-SMP'!B962="","",'Observaciones-SMP'!B962)</f>
        <v/>
      </c>
      <c r="C962" s="193" t="str">
        <f>IF('Observaciones-SMP'!C962="","",'Observaciones-SMP'!C962)</f>
        <v/>
      </c>
      <c r="D962" s="193" t="str">
        <f>IF('Observaciones-SMP'!D962="","",'Observaciones-SMP'!D962)</f>
        <v/>
      </c>
      <c r="E962" s="193" t="str">
        <f>IF('Observaciones-SMP'!E962="","",'Observaciones-SMP'!E962)</f>
        <v/>
      </c>
      <c r="F962" s="193" t="str">
        <f>IF('Observaciones-SMP'!F962="","",'Observaciones-SMP'!F962)</f>
        <v/>
      </c>
      <c r="G962" s="193" t="str">
        <f>IF('Observaciones-SMP'!G962="","",'Observaciones-SMP'!G962)</f>
        <v/>
      </c>
      <c r="H962" s="193" t="str">
        <f>IF('Observaciones-SMP'!H962="","",'Observaciones-SMP'!H962)</f>
        <v/>
      </c>
      <c r="I962" s="193" t="str">
        <f>IF('Observaciones-SMP'!I962="","",'Observaciones-SMP'!I962)</f>
        <v/>
      </c>
      <c r="J962" s="193" t="str">
        <f>IF('Observaciones-SMP'!J962="","",'Observaciones-SMP'!J962)</f>
        <v/>
      </c>
      <c r="K962" s="193" t="str">
        <f>IF('Observaciones-SMP'!K962="","",'Observaciones-SMP'!K962)</f>
        <v/>
      </c>
      <c r="L962" s="193" t="str">
        <f>IF('Observaciones-SMP'!L962="","",'Observaciones-SMP'!L962)</f>
        <v/>
      </c>
      <c r="M962" s="193" t="str">
        <f>IF('Observaciones-SMP'!M962="","",'Observaciones-SMP'!M962)</f>
        <v/>
      </c>
      <c r="N962" s="193" t="str">
        <f>IF('Observaciones-SMP'!N962="","",'Observaciones-SMP'!N962)</f>
        <v/>
      </c>
      <c r="O962" s="193" t="str">
        <f>IF('Observaciones-SMP'!O962="","",'Observaciones-SMP'!O962)</f>
        <v/>
      </c>
      <c r="P962" s="193" t="str">
        <f>IF('Observaciones-SMP'!P962="","",'Observaciones-SMP'!P962)</f>
        <v/>
      </c>
      <c r="Q962" s="257" t="str">
        <f>IF('Observaciones-SMP'!S962="","",'Observaciones-SMP'!S962)</f>
        <v/>
      </c>
      <c r="R962" s="193" t="str">
        <f>IF('Observaciones-SMP'!T962="","",'Observaciones-SMP'!T962)</f>
        <v/>
      </c>
      <c r="S962" s="193" t="str">
        <f>""</f>
        <v/>
      </c>
      <c r="T962" s="193" t="str">
        <f>""</f>
        <v/>
      </c>
      <c r="U962" s="193" t="str">
        <f t="shared" ref="U962:U1001" si="60">IF(AND(ISNUMBER(B962),ISNUMBER(Q962)),IF(Q962&gt;=B962,Q962-B962,""),"")</f>
        <v/>
      </c>
      <c r="V962" s="193" t="str">
        <f>""</f>
        <v/>
      </c>
      <c r="W962" s="193" t="str">
        <f>""</f>
        <v/>
      </c>
      <c r="X962" s="258" t="str">
        <f t="shared" ref="X962:X1001" si="61">IF(ISNUMBER(B962),DATE(YEAR(B962),MONTH(B962),1),"")</f>
        <v/>
      </c>
      <c r="Y962" s="258" t="str">
        <f t="shared" ref="Y962:Y1001" si="62">IF(ISNUMBER(Q962),DATE(YEAR(Q962),MONTH(Q962),1),"")</f>
        <v/>
      </c>
      <c r="Z962" s="193" t="str">
        <f>IF(A962="","",IF(COUNTIF('Observaciones-SMP'!$A$2:$A$1001,A962)&gt;1,1,0))</f>
        <v/>
      </c>
      <c r="AA962" s="193" t="str">
        <f t="shared" ref="AA962:AA1001" si="63">IF(ISNUMBER(B962),IF(ISNUMBER(Q962),Q962,DATE(YEAR(RPT_MONTH),MONTH(RPT_MONTH)+1,0))-B962,"")</f>
        <v/>
      </c>
    </row>
    <row r="963" spans="1:27" ht="13.5" customHeight="1" x14ac:dyDescent="0.3">
      <c r="A963" s="193" t="str">
        <f>IF('Observaciones-SMP'!A963="","",'Observaciones-SMP'!A963)</f>
        <v/>
      </c>
      <c r="B963" s="257" t="str">
        <f>IF('Observaciones-SMP'!B963="","",'Observaciones-SMP'!B963)</f>
        <v/>
      </c>
      <c r="C963" s="193" t="str">
        <f>IF('Observaciones-SMP'!C963="","",'Observaciones-SMP'!C963)</f>
        <v/>
      </c>
      <c r="D963" s="193" t="str">
        <f>IF('Observaciones-SMP'!D963="","",'Observaciones-SMP'!D963)</f>
        <v/>
      </c>
      <c r="E963" s="193" t="str">
        <f>IF('Observaciones-SMP'!E963="","",'Observaciones-SMP'!E963)</f>
        <v/>
      </c>
      <c r="F963" s="193" t="str">
        <f>IF('Observaciones-SMP'!F963="","",'Observaciones-SMP'!F963)</f>
        <v/>
      </c>
      <c r="G963" s="193" t="str">
        <f>IF('Observaciones-SMP'!G963="","",'Observaciones-SMP'!G963)</f>
        <v/>
      </c>
      <c r="H963" s="193" t="str">
        <f>IF('Observaciones-SMP'!H963="","",'Observaciones-SMP'!H963)</f>
        <v/>
      </c>
      <c r="I963" s="193" t="str">
        <f>IF('Observaciones-SMP'!I963="","",'Observaciones-SMP'!I963)</f>
        <v/>
      </c>
      <c r="J963" s="193" t="str">
        <f>IF('Observaciones-SMP'!J963="","",'Observaciones-SMP'!J963)</f>
        <v/>
      </c>
      <c r="K963" s="193" t="str">
        <f>IF('Observaciones-SMP'!K963="","",'Observaciones-SMP'!K963)</f>
        <v/>
      </c>
      <c r="L963" s="193" t="str">
        <f>IF('Observaciones-SMP'!L963="","",'Observaciones-SMP'!L963)</f>
        <v/>
      </c>
      <c r="M963" s="193" t="str">
        <f>IF('Observaciones-SMP'!M963="","",'Observaciones-SMP'!M963)</f>
        <v/>
      </c>
      <c r="N963" s="193" t="str">
        <f>IF('Observaciones-SMP'!N963="","",'Observaciones-SMP'!N963)</f>
        <v/>
      </c>
      <c r="O963" s="193" t="str">
        <f>IF('Observaciones-SMP'!O963="","",'Observaciones-SMP'!O963)</f>
        <v/>
      </c>
      <c r="P963" s="193" t="str">
        <f>IF('Observaciones-SMP'!P963="","",'Observaciones-SMP'!P963)</f>
        <v/>
      </c>
      <c r="Q963" s="257" t="str">
        <f>IF('Observaciones-SMP'!S963="","",'Observaciones-SMP'!S963)</f>
        <v/>
      </c>
      <c r="R963" s="193" t="str">
        <f>IF('Observaciones-SMP'!T963="","",'Observaciones-SMP'!T963)</f>
        <v/>
      </c>
      <c r="S963" s="193" t="str">
        <f>""</f>
        <v/>
      </c>
      <c r="T963" s="193" t="str">
        <f>""</f>
        <v/>
      </c>
      <c r="U963" s="193" t="str">
        <f t="shared" si="60"/>
        <v/>
      </c>
      <c r="V963" s="193" t="str">
        <f>""</f>
        <v/>
      </c>
      <c r="W963" s="193" t="str">
        <f>""</f>
        <v/>
      </c>
      <c r="X963" s="258" t="str">
        <f t="shared" si="61"/>
        <v/>
      </c>
      <c r="Y963" s="258" t="str">
        <f t="shared" si="62"/>
        <v/>
      </c>
      <c r="Z963" s="193" t="str">
        <f>IF(A963="","",IF(COUNTIF('Observaciones-SMP'!$A$2:$A$1001,A963)&gt;1,1,0))</f>
        <v/>
      </c>
      <c r="AA963" s="193" t="str">
        <f t="shared" si="63"/>
        <v/>
      </c>
    </row>
    <row r="964" spans="1:27" ht="13.5" customHeight="1" x14ac:dyDescent="0.3">
      <c r="A964" s="193" t="str">
        <f>IF('Observaciones-SMP'!A964="","",'Observaciones-SMP'!A964)</f>
        <v/>
      </c>
      <c r="B964" s="257" t="str">
        <f>IF('Observaciones-SMP'!B964="","",'Observaciones-SMP'!B964)</f>
        <v/>
      </c>
      <c r="C964" s="193" t="str">
        <f>IF('Observaciones-SMP'!C964="","",'Observaciones-SMP'!C964)</f>
        <v/>
      </c>
      <c r="D964" s="193" t="str">
        <f>IF('Observaciones-SMP'!D964="","",'Observaciones-SMP'!D964)</f>
        <v/>
      </c>
      <c r="E964" s="193" t="str">
        <f>IF('Observaciones-SMP'!E964="","",'Observaciones-SMP'!E964)</f>
        <v/>
      </c>
      <c r="F964" s="193" t="str">
        <f>IF('Observaciones-SMP'!F964="","",'Observaciones-SMP'!F964)</f>
        <v/>
      </c>
      <c r="G964" s="193" t="str">
        <f>IF('Observaciones-SMP'!G964="","",'Observaciones-SMP'!G964)</f>
        <v/>
      </c>
      <c r="H964" s="193" t="str">
        <f>IF('Observaciones-SMP'!H964="","",'Observaciones-SMP'!H964)</f>
        <v/>
      </c>
      <c r="I964" s="193" t="str">
        <f>IF('Observaciones-SMP'!I964="","",'Observaciones-SMP'!I964)</f>
        <v/>
      </c>
      <c r="J964" s="193" t="str">
        <f>IF('Observaciones-SMP'!J964="","",'Observaciones-SMP'!J964)</f>
        <v/>
      </c>
      <c r="K964" s="193" t="str">
        <f>IF('Observaciones-SMP'!K964="","",'Observaciones-SMP'!K964)</f>
        <v/>
      </c>
      <c r="L964" s="193" t="str">
        <f>IF('Observaciones-SMP'!L964="","",'Observaciones-SMP'!L964)</f>
        <v/>
      </c>
      <c r="M964" s="193" t="str">
        <f>IF('Observaciones-SMP'!M964="","",'Observaciones-SMP'!M964)</f>
        <v/>
      </c>
      <c r="N964" s="193" t="str">
        <f>IF('Observaciones-SMP'!N964="","",'Observaciones-SMP'!N964)</f>
        <v/>
      </c>
      <c r="O964" s="193" t="str">
        <f>IF('Observaciones-SMP'!O964="","",'Observaciones-SMP'!O964)</f>
        <v/>
      </c>
      <c r="P964" s="193" t="str">
        <f>IF('Observaciones-SMP'!P964="","",'Observaciones-SMP'!P964)</f>
        <v/>
      </c>
      <c r="Q964" s="257" t="str">
        <f>IF('Observaciones-SMP'!S964="","",'Observaciones-SMP'!S964)</f>
        <v/>
      </c>
      <c r="R964" s="193" t="str">
        <f>IF('Observaciones-SMP'!T964="","",'Observaciones-SMP'!T964)</f>
        <v/>
      </c>
      <c r="S964" s="193" t="str">
        <f>""</f>
        <v/>
      </c>
      <c r="T964" s="193" t="str">
        <f>""</f>
        <v/>
      </c>
      <c r="U964" s="193" t="str">
        <f t="shared" si="60"/>
        <v/>
      </c>
      <c r="V964" s="193" t="str">
        <f>""</f>
        <v/>
      </c>
      <c r="W964" s="193" t="str">
        <f>""</f>
        <v/>
      </c>
      <c r="X964" s="258" t="str">
        <f t="shared" si="61"/>
        <v/>
      </c>
      <c r="Y964" s="258" t="str">
        <f t="shared" si="62"/>
        <v/>
      </c>
      <c r="Z964" s="193" t="str">
        <f>IF(A964="","",IF(COUNTIF('Observaciones-SMP'!$A$2:$A$1001,A964)&gt;1,1,0))</f>
        <v/>
      </c>
      <c r="AA964" s="193" t="str">
        <f t="shared" si="63"/>
        <v/>
      </c>
    </row>
    <row r="965" spans="1:27" ht="13.5" customHeight="1" x14ac:dyDescent="0.3">
      <c r="A965" s="193" t="str">
        <f>IF('Observaciones-SMP'!A965="","",'Observaciones-SMP'!A965)</f>
        <v/>
      </c>
      <c r="B965" s="257" t="str">
        <f>IF('Observaciones-SMP'!B965="","",'Observaciones-SMP'!B965)</f>
        <v/>
      </c>
      <c r="C965" s="193" t="str">
        <f>IF('Observaciones-SMP'!C965="","",'Observaciones-SMP'!C965)</f>
        <v/>
      </c>
      <c r="D965" s="193" t="str">
        <f>IF('Observaciones-SMP'!D965="","",'Observaciones-SMP'!D965)</f>
        <v/>
      </c>
      <c r="E965" s="193" t="str">
        <f>IF('Observaciones-SMP'!E965="","",'Observaciones-SMP'!E965)</f>
        <v/>
      </c>
      <c r="F965" s="193" t="str">
        <f>IF('Observaciones-SMP'!F965="","",'Observaciones-SMP'!F965)</f>
        <v/>
      </c>
      <c r="G965" s="193" t="str">
        <f>IF('Observaciones-SMP'!G965="","",'Observaciones-SMP'!G965)</f>
        <v/>
      </c>
      <c r="H965" s="193" t="str">
        <f>IF('Observaciones-SMP'!H965="","",'Observaciones-SMP'!H965)</f>
        <v/>
      </c>
      <c r="I965" s="193" t="str">
        <f>IF('Observaciones-SMP'!I965="","",'Observaciones-SMP'!I965)</f>
        <v/>
      </c>
      <c r="J965" s="193" t="str">
        <f>IF('Observaciones-SMP'!J965="","",'Observaciones-SMP'!J965)</f>
        <v/>
      </c>
      <c r="K965" s="193" t="str">
        <f>IF('Observaciones-SMP'!K965="","",'Observaciones-SMP'!K965)</f>
        <v/>
      </c>
      <c r="L965" s="193" t="str">
        <f>IF('Observaciones-SMP'!L965="","",'Observaciones-SMP'!L965)</f>
        <v/>
      </c>
      <c r="M965" s="193" t="str">
        <f>IF('Observaciones-SMP'!M965="","",'Observaciones-SMP'!M965)</f>
        <v/>
      </c>
      <c r="N965" s="193" t="str">
        <f>IF('Observaciones-SMP'!N965="","",'Observaciones-SMP'!N965)</f>
        <v/>
      </c>
      <c r="O965" s="193" t="str">
        <f>IF('Observaciones-SMP'!O965="","",'Observaciones-SMP'!O965)</f>
        <v/>
      </c>
      <c r="P965" s="193" t="str">
        <f>IF('Observaciones-SMP'!P965="","",'Observaciones-SMP'!P965)</f>
        <v/>
      </c>
      <c r="Q965" s="257" t="str">
        <f>IF('Observaciones-SMP'!S965="","",'Observaciones-SMP'!S965)</f>
        <v/>
      </c>
      <c r="R965" s="193" t="str">
        <f>IF('Observaciones-SMP'!T965="","",'Observaciones-SMP'!T965)</f>
        <v/>
      </c>
      <c r="S965" s="193" t="str">
        <f>""</f>
        <v/>
      </c>
      <c r="T965" s="193" t="str">
        <f>""</f>
        <v/>
      </c>
      <c r="U965" s="193" t="str">
        <f t="shared" si="60"/>
        <v/>
      </c>
      <c r="V965" s="193" t="str">
        <f>""</f>
        <v/>
      </c>
      <c r="W965" s="193" t="str">
        <f>""</f>
        <v/>
      </c>
      <c r="X965" s="258" t="str">
        <f t="shared" si="61"/>
        <v/>
      </c>
      <c r="Y965" s="258" t="str">
        <f t="shared" si="62"/>
        <v/>
      </c>
      <c r="Z965" s="193" t="str">
        <f>IF(A965="","",IF(COUNTIF('Observaciones-SMP'!$A$2:$A$1001,A965)&gt;1,1,0))</f>
        <v/>
      </c>
      <c r="AA965" s="193" t="str">
        <f t="shared" si="63"/>
        <v/>
      </c>
    </row>
    <row r="966" spans="1:27" ht="13.5" customHeight="1" x14ac:dyDescent="0.3">
      <c r="A966" s="193" t="str">
        <f>IF('Observaciones-SMP'!A966="","",'Observaciones-SMP'!A966)</f>
        <v/>
      </c>
      <c r="B966" s="257" t="str">
        <f>IF('Observaciones-SMP'!B966="","",'Observaciones-SMP'!B966)</f>
        <v/>
      </c>
      <c r="C966" s="193" t="str">
        <f>IF('Observaciones-SMP'!C966="","",'Observaciones-SMP'!C966)</f>
        <v/>
      </c>
      <c r="D966" s="193" t="str">
        <f>IF('Observaciones-SMP'!D966="","",'Observaciones-SMP'!D966)</f>
        <v/>
      </c>
      <c r="E966" s="193" t="str">
        <f>IF('Observaciones-SMP'!E966="","",'Observaciones-SMP'!E966)</f>
        <v/>
      </c>
      <c r="F966" s="193" t="str">
        <f>IF('Observaciones-SMP'!F966="","",'Observaciones-SMP'!F966)</f>
        <v/>
      </c>
      <c r="G966" s="193" t="str">
        <f>IF('Observaciones-SMP'!G966="","",'Observaciones-SMP'!G966)</f>
        <v/>
      </c>
      <c r="H966" s="193" t="str">
        <f>IF('Observaciones-SMP'!H966="","",'Observaciones-SMP'!H966)</f>
        <v/>
      </c>
      <c r="I966" s="193" t="str">
        <f>IF('Observaciones-SMP'!I966="","",'Observaciones-SMP'!I966)</f>
        <v/>
      </c>
      <c r="J966" s="193" t="str">
        <f>IF('Observaciones-SMP'!J966="","",'Observaciones-SMP'!J966)</f>
        <v/>
      </c>
      <c r="K966" s="193" t="str">
        <f>IF('Observaciones-SMP'!K966="","",'Observaciones-SMP'!K966)</f>
        <v/>
      </c>
      <c r="L966" s="193" t="str">
        <f>IF('Observaciones-SMP'!L966="","",'Observaciones-SMP'!L966)</f>
        <v/>
      </c>
      <c r="M966" s="193" t="str">
        <f>IF('Observaciones-SMP'!M966="","",'Observaciones-SMP'!M966)</f>
        <v/>
      </c>
      <c r="N966" s="193" t="str">
        <f>IF('Observaciones-SMP'!N966="","",'Observaciones-SMP'!N966)</f>
        <v/>
      </c>
      <c r="O966" s="193" t="str">
        <f>IF('Observaciones-SMP'!O966="","",'Observaciones-SMP'!O966)</f>
        <v/>
      </c>
      <c r="P966" s="193" t="str">
        <f>IF('Observaciones-SMP'!P966="","",'Observaciones-SMP'!P966)</f>
        <v/>
      </c>
      <c r="Q966" s="257" t="str">
        <f>IF('Observaciones-SMP'!S966="","",'Observaciones-SMP'!S966)</f>
        <v/>
      </c>
      <c r="R966" s="193" t="str">
        <f>IF('Observaciones-SMP'!T966="","",'Observaciones-SMP'!T966)</f>
        <v/>
      </c>
      <c r="S966" s="193" t="str">
        <f>""</f>
        <v/>
      </c>
      <c r="T966" s="193" t="str">
        <f>""</f>
        <v/>
      </c>
      <c r="U966" s="193" t="str">
        <f t="shared" si="60"/>
        <v/>
      </c>
      <c r="V966" s="193" t="str">
        <f>""</f>
        <v/>
      </c>
      <c r="W966" s="193" t="str">
        <f>""</f>
        <v/>
      </c>
      <c r="X966" s="258" t="str">
        <f t="shared" si="61"/>
        <v/>
      </c>
      <c r="Y966" s="258" t="str">
        <f t="shared" si="62"/>
        <v/>
      </c>
      <c r="Z966" s="193" t="str">
        <f>IF(A966="","",IF(COUNTIF('Observaciones-SMP'!$A$2:$A$1001,A966)&gt;1,1,0))</f>
        <v/>
      </c>
      <c r="AA966" s="193" t="str">
        <f t="shared" si="63"/>
        <v/>
      </c>
    </row>
    <row r="967" spans="1:27" ht="13.5" customHeight="1" x14ac:dyDescent="0.3">
      <c r="A967" s="193" t="str">
        <f>IF('Observaciones-SMP'!A967="","",'Observaciones-SMP'!A967)</f>
        <v/>
      </c>
      <c r="B967" s="257" t="str">
        <f>IF('Observaciones-SMP'!B967="","",'Observaciones-SMP'!B967)</f>
        <v/>
      </c>
      <c r="C967" s="193" t="str">
        <f>IF('Observaciones-SMP'!C967="","",'Observaciones-SMP'!C967)</f>
        <v/>
      </c>
      <c r="D967" s="193" t="str">
        <f>IF('Observaciones-SMP'!D967="","",'Observaciones-SMP'!D967)</f>
        <v/>
      </c>
      <c r="E967" s="193" t="str">
        <f>IF('Observaciones-SMP'!E967="","",'Observaciones-SMP'!E967)</f>
        <v/>
      </c>
      <c r="F967" s="193" t="str">
        <f>IF('Observaciones-SMP'!F967="","",'Observaciones-SMP'!F967)</f>
        <v/>
      </c>
      <c r="G967" s="193" t="str">
        <f>IF('Observaciones-SMP'!G967="","",'Observaciones-SMP'!G967)</f>
        <v/>
      </c>
      <c r="H967" s="193" t="str">
        <f>IF('Observaciones-SMP'!H967="","",'Observaciones-SMP'!H967)</f>
        <v/>
      </c>
      <c r="I967" s="193" t="str">
        <f>IF('Observaciones-SMP'!I967="","",'Observaciones-SMP'!I967)</f>
        <v/>
      </c>
      <c r="J967" s="193" t="str">
        <f>IF('Observaciones-SMP'!J967="","",'Observaciones-SMP'!J967)</f>
        <v/>
      </c>
      <c r="K967" s="193" t="str">
        <f>IF('Observaciones-SMP'!K967="","",'Observaciones-SMP'!K967)</f>
        <v/>
      </c>
      <c r="L967" s="193" t="str">
        <f>IF('Observaciones-SMP'!L967="","",'Observaciones-SMP'!L967)</f>
        <v/>
      </c>
      <c r="M967" s="193" t="str">
        <f>IF('Observaciones-SMP'!M967="","",'Observaciones-SMP'!M967)</f>
        <v/>
      </c>
      <c r="N967" s="193" t="str">
        <f>IF('Observaciones-SMP'!N967="","",'Observaciones-SMP'!N967)</f>
        <v/>
      </c>
      <c r="O967" s="193" t="str">
        <f>IF('Observaciones-SMP'!O967="","",'Observaciones-SMP'!O967)</f>
        <v/>
      </c>
      <c r="P967" s="193" t="str">
        <f>IF('Observaciones-SMP'!P967="","",'Observaciones-SMP'!P967)</f>
        <v/>
      </c>
      <c r="Q967" s="257" t="str">
        <f>IF('Observaciones-SMP'!S967="","",'Observaciones-SMP'!S967)</f>
        <v/>
      </c>
      <c r="R967" s="193" t="str">
        <f>IF('Observaciones-SMP'!T967="","",'Observaciones-SMP'!T967)</f>
        <v/>
      </c>
      <c r="S967" s="193" t="str">
        <f>""</f>
        <v/>
      </c>
      <c r="T967" s="193" t="str">
        <f>""</f>
        <v/>
      </c>
      <c r="U967" s="193" t="str">
        <f t="shared" si="60"/>
        <v/>
      </c>
      <c r="V967" s="193" t="str">
        <f>""</f>
        <v/>
      </c>
      <c r="W967" s="193" t="str">
        <f>""</f>
        <v/>
      </c>
      <c r="X967" s="258" t="str">
        <f t="shared" si="61"/>
        <v/>
      </c>
      <c r="Y967" s="258" t="str">
        <f t="shared" si="62"/>
        <v/>
      </c>
      <c r="Z967" s="193" t="str">
        <f>IF(A967="","",IF(COUNTIF('Observaciones-SMP'!$A$2:$A$1001,A967)&gt;1,1,0))</f>
        <v/>
      </c>
      <c r="AA967" s="193" t="str">
        <f t="shared" si="63"/>
        <v/>
      </c>
    </row>
    <row r="968" spans="1:27" ht="13.5" customHeight="1" x14ac:dyDescent="0.3">
      <c r="A968" s="193" t="str">
        <f>IF('Observaciones-SMP'!A968="","",'Observaciones-SMP'!A968)</f>
        <v/>
      </c>
      <c r="B968" s="257" t="str">
        <f>IF('Observaciones-SMP'!B968="","",'Observaciones-SMP'!B968)</f>
        <v/>
      </c>
      <c r="C968" s="193" t="str">
        <f>IF('Observaciones-SMP'!C968="","",'Observaciones-SMP'!C968)</f>
        <v/>
      </c>
      <c r="D968" s="193" t="str">
        <f>IF('Observaciones-SMP'!D968="","",'Observaciones-SMP'!D968)</f>
        <v/>
      </c>
      <c r="E968" s="193" t="str">
        <f>IF('Observaciones-SMP'!E968="","",'Observaciones-SMP'!E968)</f>
        <v/>
      </c>
      <c r="F968" s="193" t="str">
        <f>IF('Observaciones-SMP'!F968="","",'Observaciones-SMP'!F968)</f>
        <v/>
      </c>
      <c r="G968" s="193" t="str">
        <f>IF('Observaciones-SMP'!G968="","",'Observaciones-SMP'!G968)</f>
        <v/>
      </c>
      <c r="H968" s="193" t="str">
        <f>IF('Observaciones-SMP'!H968="","",'Observaciones-SMP'!H968)</f>
        <v/>
      </c>
      <c r="I968" s="193" t="str">
        <f>IF('Observaciones-SMP'!I968="","",'Observaciones-SMP'!I968)</f>
        <v/>
      </c>
      <c r="J968" s="193" t="str">
        <f>IF('Observaciones-SMP'!J968="","",'Observaciones-SMP'!J968)</f>
        <v/>
      </c>
      <c r="K968" s="193" t="str">
        <f>IF('Observaciones-SMP'!K968="","",'Observaciones-SMP'!K968)</f>
        <v/>
      </c>
      <c r="L968" s="193" t="str">
        <f>IF('Observaciones-SMP'!L968="","",'Observaciones-SMP'!L968)</f>
        <v/>
      </c>
      <c r="M968" s="193" t="str">
        <f>IF('Observaciones-SMP'!M968="","",'Observaciones-SMP'!M968)</f>
        <v/>
      </c>
      <c r="N968" s="193" t="str">
        <f>IF('Observaciones-SMP'!N968="","",'Observaciones-SMP'!N968)</f>
        <v/>
      </c>
      <c r="O968" s="193" t="str">
        <f>IF('Observaciones-SMP'!O968="","",'Observaciones-SMP'!O968)</f>
        <v/>
      </c>
      <c r="P968" s="193" t="str">
        <f>IF('Observaciones-SMP'!P968="","",'Observaciones-SMP'!P968)</f>
        <v/>
      </c>
      <c r="Q968" s="257" t="str">
        <f>IF('Observaciones-SMP'!S968="","",'Observaciones-SMP'!S968)</f>
        <v/>
      </c>
      <c r="R968" s="193" t="str">
        <f>IF('Observaciones-SMP'!T968="","",'Observaciones-SMP'!T968)</f>
        <v/>
      </c>
      <c r="S968" s="193" t="str">
        <f>""</f>
        <v/>
      </c>
      <c r="T968" s="193" t="str">
        <f>""</f>
        <v/>
      </c>
      <c r="U968" s="193" t="str">
        <f t="shared" si="60"/>
        <v/>
      </c>
      <c r="V968" s="193" t="str">
        <f>""</f>
        <v/>
      </c>
      <c r="W968" s="193" t="str">
        <f>""</f>
        <v/>
      </c>
      <c r="X968" s="258" t="str">
        <f t="shared" si="61"/>
        <v/>
      </c>
      <c r="Y968" s="258" t="str">
        <f t="shared" si="62"/>
        <v/>
      </c>
      <c r="Z968" s="193" t="str">
        <f>IF(A968="","",IF(COUNTIF('Observaciones-SMP'!$A$2:$A$1001,A968)&gt;1,1,0))</f>
        <v/>
      </c>
      <c r="AA968" s="193" t="str">
        <f t="shared" si="63"/>
        <v/>
      </c>
    </row>
    <row r="969" spans="1:27" ht="13.5" customHeight="1" x14ac:dyDescent="0.3">
      <c r="A969" s="193" t="str">
        <f>IF('Observaciones-SMP'!A969="","",'Observaciones-SMP'!A969)</f>
        <v/>
      </c>
      <c r="B969" s="257" t="str">
        <f>IF('Observaciones-SMP'!B969="","",'Observaciones-SMP'!B969)</f>
        <v/>
      </c>
      <c r="C969" s="193" t="str">
        <f>IF('Observaciones-SMP'!C969="","",'Observaciones-SMP'!C969)</f>
        <v/>
      </c>
      <c r="D969" s="193" t="str">
        <f>IF('Observaciones-SMP'!D969="","",'Observaciones-SMP'!D969)</f>
        <v/>
      </c>
      <c r="E969" s="193" t="str">
        <f>IF('Observaciones-SMP'!E969="","",'Observaciones-SMP'!E969)</f>
        <v/>
      </c>
      <c r="F969" s="193" t="str">
        <f>IF('Observaciones-SMP'!F969="","",'Observaciones-SMP'!F969)</f>
        <v/>
      </c>
      <c r="G969" s="193" t="str">
        <f>IF('Observaciones-SMP'!G969="","",'Observaciones-SMP'!G969)</f>
        <v/>
      </c>
      <c r="H969" s="193" t="str">
        <f>IF('Observaciones-SMP'!H969="","",'Observaciones-SMP'!H969)</f>
        <v/>
      </c>
      <c r="I969" s="193" t="str">
        <f>IF('Observaciones-SMP'!I969="","",'Observaciones-SMP'!I969)</f>
        <v/>
      </c>
      <c r="J969" s="193" t="str">
        <f>IF('Observaciones-SMP'!J969="","",'Observaciones-SMP'!J969)</f>
        <v/>
      </c>
      <c r="K969" s="193" t="str">
        <f>IF('Observaciones-SMP'!K969="","",'Observaciones-SMP'!K969)</f>
        <v/>
      </c>
      <c r="L969" s="193" t="str">
        <f>IF('Observaciones-SMP'!L969="","",'Observaciones-SMP'!L969)</f>
        <v/>
      </c>
      <c r="M969" s="193" t="str">
        <f>IF('Observaciones-SMP'!M969="","",'Observaciones-SMP'!M969)</f>
        <v/>
      </c>
      <c r="N969" s="193" t="str">
        <f>IF('Observaciones-SMP'!N969="","",'Observaciones-SMP'!N969)</f>
        <v/>
      </c>
      <c r="O969" s="193" t="str">
        <f>IF('Observaciones-SMP'!O969="","",'Observaciones-SMP'!O969)</f>
        <v/>
      </c>
      <c r="P969" s="193" t="str">
        <f>IF('Observaciones-SMP'!P969="","",'Observaciones-SMP'!P969)</f>
        <v/>
      </c>
      <c r="Q969" s="257" t="str">
        <f>IF('Observaciones-SMP'!S969="","",'Observaciones-SMP'!S969)</f>
        <v/>
      </c>
      <c r="R969" s="193" t="str">
        <f>IF('Observaciones-SMP'!T969="","",'Observaciones-SMP'!T969)</f>
        <v/>
      </c>
      <c r="S969" s="193" t="str">
        <f>""</f>
        <v/>
      </c>
      <c r="T969" s="193" t="str">
        <f>""</f>
        <v/>
      </c>
      <c r="U969" s="193" t="str">
        <f t="shared" si="60"/>
        <v/>
      </c>
      <c r="V969" s="193" t="str">
        <f>""</f>
        <v/>
      </c>
      <c r="W969" s="193" t="str">
        <f>""</f>
        <v/>
      </c>
      <c r="X969" s="258" t="str">
        <f t="shared" si="61"/>
        <v/>
      </c>
      <c r="Y969" s="258" t="str">
        <f t="shared" si="62"/>
        <v/>
      </c>
      <c r="Z969" s="193" t="str">
        <f>IF(A969="","",IF(COUNTIF('Observaciones-SMP'!$A$2:$A$1001,A969)&gt;1,1,0))</f>
        <v/>
      </c>
      <c r="AA969" s="193" t="str">
        <f t="shared" si="63"/>
        <v/>
      </c>
    </row>
    <row r="970" spans="1:27" ht="13.5" customHeight="1" x14ac:dyDescent="0.3">
      <c r="A970" s="193" t="str">
        <f>IF('Observaciones-SMP'!A970="","",'Observaciones-SMP'!A970)</f>
        <v/>
      </c>
      <c r="B970" s="257" t="str">
        <f>IF('Observaciones-SMP'!B970="","",'Observaciones-SMP'!B970)</f>
        <v/>
      </c>
      <c r="C970" s="193" t="str">
        <f>IF('Observaciones-SMP'!C970="","",'Observaciones-SMP'!C970)</f>
        <v/>
      </c>
      <c r="D970" s="193" t="str">
        <f>IF('Observaciones-SMP'!D970="","",'Observaciones-SMP'!D970)</f>
        <v/>
      </c>
      <c r="E970" s="193" t="str">
        <f>IF('Observaciones-SMP'!E970="","",'Observaciones-SMP'!E970)</f>
        <v/>
      </c>
      <c r="F970" s="193" t="str">
        <f>IF('Observaciones-SMP'!F970="","",'Observaciones-SMP'!F970)</f>
        <v/>
      </c>
      <c r="G970" s="193" t="str">
        <f>IF('Observaciones-SMP'!G970="","",'Observaciones-SMP'!G970)</f>
        <v/>
      </c>
      <c r="H970" s="193" t="str">
        <f>IF('Observaciones-SMP'!H970="","",'Observaciones-SMP'!H970)</f>
        <v/>
      </c>
      <c r="I970" s="193" t="str">
        <f>IF('Observaciones-SMP'!I970="","",'Observaciones-SMP'!I970)</f>
        <v/>
      </c>
      <c r="J970" s="193" t="str">
        <f>IF('Observaciones-SMP'!J970="","",'Observaciones-SMP'!J970)</f>
        <v/>
      </c>
      <c r="K970" s="193" t="str">
        <f>IF('Observaciones-SMP'!K970="","",'Observaciones-SMP'!K970)</f>
        <v/>
      </c>
      <c r="L970" s="193" t="str">
        <f>IF('Observaciones-SMP'!L970="","",'Observaciones-SMP'!L970)</f>
        <v/>
      </c>
      <c r="M970" s="193" t="str">
        <f>IF('Observaciones-SMP'!M970="","",'Observaciones-SMP'!M970)</f>
        <v/>
      </c>
      <c r="N970" s="193" t="str">
        <f>IF('Observaciones-SMP'!N970="","",'Observaciones-SMP'!N970)</f>
        <v/>
      </c>
      <c r="O970" s="193" t="str">
        <f>IF('Observaciones-SMP'!O970="","",'Observaciones-SMP'!O970)</f>
        <v/>
      </c>
      <c r="P970" s="193" t="str">
        <f>IF('Observaciones-SMP'!P970="","",'Observaciones-SMP'!P970)</f>
        <v/>
      </c>
      <c r="Q970" s="257" t="str">
        <f>IF('Observaciones-SMP'!S970="","",'Observaciones-SMP'!S970)</f>
        <v/>
      </c>
      <c r="R970" s="193" t="str">
        <f>IF('Observaciones-SMP'!T970="","",'Observaciones-SMP'!T970)</f>
        <v/>
      </c>
      <c r="S970" s="193" t="str">
        <f>""</f>
        <v/>
      </c>
      <c r="T970" s="193" t="str">
        <f>""</f>
        <v/>
      </c>
      <c r="U970" s="193" t="str">
        <f t="shared" si="60"/>
        <v/>
      </c>
      <c r="V970" s="193" t="str">
        <f>""</f>
        <v/>
      </c>
      <c r="W970" s="193" t="str">
        <f>""</f>
        <v/>
      </c>
      <c r="X970" s="258" t="str">
        <f t="shared" si="61"/>
        <v/>
      </c>
      <c r="Y970" s="258" t="str">
        <f t="shared" si="62"/>
        <v/>
      </c>
      <c r="Z970" s="193" t="str">
        <f>IF(A970="","",IF(COUNTIF('Observaciones-SMP'!$A$2:$A$1001,A970)&gt;1,1,0))</f>
        <v/>
      </c>
      <c r="AA970" s="193" t="str">
        <f t="shared" si="63"/>
        <v/>
      </c>
    </row>
    <row r="971" spans="1:27" ht="13.5" customHeight="1" x14ac:dyDescent="0.3">
      <c r="A971" s="193" t="str">
        <f>IF('Observaciones-SMP'!A971="","",'Observaciones-SMP'!A971)</f>
        <v/>
      </c>
      <c r="B971" s="257" t="str">
        <f>IF('Observaciones-SMP'!B971="","",'Observaciones-SMP'!B971)</f>
        <v/>
      </c>
      <c r="C971" s="193" t="str">
        <f>IF('Observaciones-SMP'!C971="","",'Observaciones-SMP'!C971)</f>
        <v/>
      </c>
      <c r="D971" s="193" t="str">
        <f>IF('Observaciones-SMP'!D971="","",'Observaciones-SMP'!D971)</f>
        <v/>
      </c>
      <c r="E971" s="193" t="str">
        <f>IF('Observaciones-SMP'!E971="","",'Observaciones-SMP'!E971)</f>
        <v/>
      </c>
      <c r="F971" s="193" t="str">
        <f>IF('Observaciones-SMP'!F971="","",'Observaciones-SMP'!F971)</f>
        <v/>
      </c>
      <c r="G971" s="193" t="str">
        <f>IF('Observaciones-SMP'!G971="","",'Observaciones-SMP'!G971)</f>
        <v/>
      </c>
      <c r="H971" s="193" t="str">
        <f>IF('Observaciones-SMP'!H971="","",'Observaciones-SMP'!H971)</f>
        <v/>
      </c>
      <c r="I971" s="193" t="str">
        <f>IF('Observaciones-SMP'!I971="","",'Observaciones-SMP'!I971)</f>
        <v/>
      </c>
      <c r="J971" s="193" t="str">
        <f>IF('Observaciones-SMP'!J971="","",'Observaciones-SMP'!J971)</f>
        <v/>
      </c>
      <c r="K971" s="193" t="str">
        <f>IF('Observaciones-SMP'!K971="","",'Observaciones-SMP'!K971)</f>
        <v/>
      </c>
      <c r="L971" s="193" t="str">
        <f>IF('Observaciones-SMP'!L971="","",'Observaciones-SMP'!L971)</f>
        <v/>
      </c>
      <c r="M971" s="193" t="str">
        <f>IF('Observaciones-SMP'!M971="","",'Observaciones-SMP'!M971)</f>
        <v/>
      </c>
      <c r="N971" s="193" t="str">
        <f>IF('Observaciones-SMP'!N971="","",'Observaciones-SMP'!N971)</f>
        <v/>
      </c>
      <c r="O971" s="193" t="str">
        <f>IF('Observaciones-SMP'!O971="","",'Observaciones-SMP'!O971)</f>
        <v/>
      </c>
      <c r="P971" s="193" t="str">
        <f>IF('Observaciones-SMP'!P971="","",'Observaciones-SMP'!P971)</f>
        <v/>
      </c>
      <c r="Q971" s="257" t="str">
        <f>IF('Observaciones-SMP'!S971="","",'Observaciones-SMP'!S971)</f>
        <v/>
      </c>
      <c r="R971" s="193" t="str">
        <f>IF('Observaciones-SMP'!T971="","",'Observaciones-SMP'!T971)</f>
        <v/>
      </c>
      <c r="S971" s="193" t="str">
        <f>""</f>
        <v/>
      </c>
      <c r="T971" s="193" t="str">
        <f>""</f>
        <v/>
      </c>
      <c r="U971" s="193" t="str">
        <f t="shared" si="60"/>
        <v/>
      </c>
      <c r="V971" s="193" t="str">
        <f>""</f>
        <v/>
      </c>
      <c r="W971" s="193" t="str">
        <f>""</f>
        <v/>
      </c>
      <c r="X971" s="258" t="str">
        <f t="shared" si="61"/>
        <v/>
      </c>
      <c r="Y971" s="258" t="str">
        <f t="shared" si="62"/>
        <v/>
      </c>
      <c r="Z971" s="193" t="str">
        <f>IF(A971="","",IF(COUNTIF('Observaciones-SMP'!$A$2:$A$1001,A971)&gt;1,1,0))</f>
        <v/>
      </c>
      <c r="AA971" s="193" t="str">
        <f t="shared" si="63"/>
        <v/>
      </c>
    </row>
    <row r="972" spans="1:27" ht="13.5" customHeight="1" x14ac:dyDescent="0.3">
      <c r="A972" s="193" t="str">
        <f>IF('Observaciones-SMP'!A972="","",'Observaciones-SMP'!A972)</f>
        <v/>
      </c>
      <c r="B972" s="257" t="str">
        <f>IF('Observaciones-SMP'!B972="","",'Observaciones-SMP'!B972)</f>
        <v/>
      </c>
      <c r="C972" s="193" t="str">
        <f>IF('Observaciones-SMP'!C972="","",'Observaciones-SMP'!C972)</f>
        <v/>
      </c>
      <c r="D972" s="193" t="str">
        <f>IF('Observaciones-SMP'!D972="","",'Observaciones-SMP'!D972)</f>
        <v/>
      </c>
      <c r="E972" s="193" t="str">
        <f>IF('Observaciones-SMP'!E972="","",'Observaciones-SMP'!E972)</f>
        <v/>
      </c>
      <c r="F972" s="193" t="str">
        <f>IF('Observaciones-SMP'!F972="","",'Observaciones-SMP'!F972)</f>
        <v/>
      </c>
      <c r="G972" s="193" t="str">
        <f>IF('Observaciones-SMP'!G972="","",'Observaciones-SMP'!G972)</f>
        <v/>
      </c>
      <c r="H972" s="193" t="str">
        <f>IF('Observaciones-SMP'!H972="","",'Observaciones-SMP'!H972)</f>
        <v/>
      </c>
      <c r="I972" s="193" t="str">
        <f>IF('Observaciones-SMP'!I972="","",'Observaciones-SMP'!I972)</f>
        <v/>
      </c>
      <c r="J972" s="193" t="str">
        <f>IF('Observaciones-SMP'!J972="","",'Observaciones-SMP'!J972)</f>
        <v/>
      </c>
      <c r="K972" s="193" t="str">
        <f>IF('Observaciones-SMP'!K972="","",'Observaciones-SMP'!K972)</f>
        <v/>
      </c>
      <c r="L972" s="193" t="str">
        <f>IF('Observaciones-SMP'!L972="","",'Observaciones-SMP'!L972)</f>
        <v/>
      </c>
      <c r="M972" s="193" t="str">
        <f>IF('Observaciones-SMP'!M972="","",'Observaciones-SMP'!M972)</f>
        <v/>
      </c>
      <c r="N972" s="193" t="str">
        <f>IF('Observaciones-SMP'!N972="","",'Observaciones-SMP'!N972)</f>
        <v/>
      </c>
      <c r="O972" s="193" t="str">
        <f>IF('Observaciones-SMP'!O972="","",'Observaciones-SMP'!O972)</f>
        <v/>
      </c>
      <c r="P972" s="193" t="str">
        <f>IF('Observaciones-SMP'!P972="","",'Observaciones-SMP'!P972)</f>
        <v/>
      </c>
      <c r="Q972" s="257" t="str">
        <f>IF('Observaciones-SMP'!S972="","",'Observaciones-SMP'!S972)</f>
        <v/>
      </c>
      <c r="R972" s="193" t="str">
        <f>IF('Observaciones-SMP'!T972="","",'Observaciones-SMP'!T972)</f>
        <v/>
      </c>
      <c r="S972" s="193" t="str">
        <f>""</f>
        <v/>
      </c>
      <c r="T972" s="193" t="str">
        <f>""</f>
        <v/>
      </c>
      <c r="U972" s="193" t="str">
        <f t="shared" si="60"/>
        <v/>
      </c>
      <c r="V972" s="193" t="str">
        <f>""</f>
        <v/>
      </c>
      <c r="W972" s="193" t="str">
        <f>""</f>
        <v/>
      </c>
      <c r="X972" s="258" t="str">
        <f t="shared" si="61"/>
        <v/>
      </c>
      <c r="Y972" s="258" t="str">
        <f t="shared" si="62"/>
        <v/>
      </c>
      <c r="Z972" s="193" t="str">
        <f>IF(A972="","",IF(COUNTIF('Observaciones-SMP'!$A$2:$A$1001,A972)&gt;1,1,0))</f>
        <v/>
      </c>
      <c r="AA972" s="193" t="str">
        <f t="shared" si="63"/>
        <v/>
      </c>
    </row>
    <row r="973" spans="1:27" ht="13.5" customHeight="1" x14ac:dyDescent="0.3">
      <c r="A973" s="193" t="str">
        <f>IF('Observaciones-SMP'!A973="","",'Observaciones-SMP'!A973)</f>
        <v/>
      </c>
      <c r="B973" s="257" t="str">
        <f>IF('Observaciones-SMP'!B973="","",'Observaciones-SMP'!B973)</f>
        <v/>
      </c>
      <c r="C973" s="193" t="str">
        <f>IF('Observaciones-SMP'!C973="","",'Observaciones-SMP'!C973)</f>
        <v/>
      </c>
      <c r="D973" s="193" t="str">
        <f>IF('Observaciones-SMP'!D973="","",'Observaciones-SMP'!D973)</f>
        <v/>
      </c>
      <c r="E973" s="193" t="str">
        <f>IF('Observaciones-SMP'!E973="","",'Observaciones-SMP'!E973)</f>
        <v/>
      </c>
      <c r="F973" s="193" t="str">
        <f>IF('Observaciones-SMP'!F973="","",'Observaciones-SMP'!F973)</f>
        <v/>
      </c>
      <c r="G973" s="193" t="str">
        <f>IF('Observaciones-SMP'!G973="","",'Observaciones-SMP'!G973)</f>
        <v/>
      </c>
      <c r="H973" s="193" t="str">
        <f>IF('Observaciones-SMP'!H973="","",'Observaciones-SMP'!H973)</f>
        <v/>
      </c>
      <c r="I973" s="193" t="str">
        <f>IF('Observaciones-SMP'!I973="","",'Observaciones-SMP'!I973)</f>
        <v/>
      </c>
      <c r="J973" s="193" t="str">
        <f>IF('Observaciones-SMP'!J973="","",'Observaciones-SMP'!J973)</f>
        <v/>
      </c>
      <c r="K973" s="193" t="str">
        <f>IF('Observaciones-SMP'!K973="","",'Observaciones-SMP'!K973)</f>
        <v/>
      </c>
      <c r="L973" s="193" t="str">
        <f>IF('Observaciones-SMP'!L973="","",'Observaciones-SMP'!L973)</f>
        <v/>
      </c>
      <c r="M973" s="193" t="str">
        <f>IF('Observaciones-SMP'!M973="","",'Observaciones-SMP'!M973)</f>
        <v/>
      </c>
      <c r="N973" s="193" t="str">
        <f>IF('Observaciones-SMP'!N973="","",'Observaciones-SMP'!N973)</f>
        <v/>
      </c>
      <c r="O973" s="193" t="str">
        <f>IF('Observaciones-SMP'!O973="","",'Observaciones-SMP'!O973)</f>
        <v/>
      </c>
      <c r="P973" s="193" t="str">
        <f>IF('Observaciones-SMP'!P973="","",'Observaciones-SMP'!P973)</f>
        <v/>
      </c>
      <c r="Q973" s="257" t="str">
        <f>IF('Observaciones-SMP'!S973="","",'Observaciones-SMP'!S973)</f>
        <v/>
      </c>
      <c r="R973" s="193" t="str">
        <f>IF('Observaciones-SMP'!T973="","",'Observaciones-SMP'!T973)</f>
        <v/>
      </c>
      <c r="S973" s="193" t="str">
        <f>""</f>
        <v/>
      </c>
      <c r="T973" s="193" t="str">
        <f>""</f>
        <v/>
      </c>
      <c r="U973" s="193" t="str">
        <f t="shared" si="60"/>
        <v/>
      </c>
      <c r="V973" s="193" t="str">
        <f>""</f>
        <v/>
      </c>
      <c r="W973" s="193" t="str">
        <f>""</f>
        <v/>
      </c>
      <c r="X973" s="258" t="str">
        <f t="shared" si="61"/>
        <v/>
      </c>
      <c r="Y973" s="258" t="str">
        <f t="shared" si="62"/>
        <v/>
      </c>
      <c r="Z973" s="193" t="str">
        <f>IF(A973="","",IF(COUNTIF('Observaciones-SMP'!$A$2:$A$1001,A973)&gt;1,1,0))</f>
        <v/>
      </c>
      <c r="AA973" s="193" t="str">
        <f t="shared" si="63"/>
        <v/>
      </c>
    </row>
    <row r="974" spans="1:27" ht="13.5" customHeight="1" x14ac:dyDescent="0.3">
      <c r="A974" s="193" t="str">
        <f>IF('Observaciones-SMP'!A974="","",'Observaciones-SMP'!A974)</f>
        <v/>
      </c>
      <c r="B974" s="257" t="str">
        <f>IF('Observaciones-SMP'!B974="","",'Observaciones-SMP'!B974)</f>
        <v/>
      </c>
      <c r="C974" s="193" t="str">
        <f>IF('Observaciones-SMP'!C974="","",'Observaciones-SMP'!C974)</f>
        <v/>
      </c>
      <c r="D974" s="193" t="str">
        <f>IF('Observaciones-SMP'!D974="","",'Observaciones-SMP'!D974)</f>
        <v/>
      </c>
      <c r="E974" s="193" t="str">
        <f>IF('Observaciones-SMP'!E974="","",'Observaciones-SMP'!E974)</f>
        <v/>
      </c>
      <c r="F974" s="193" t="str">
        <f>IF('Observaciones-SMP'!F974="","",'Observaciones-SMP'!F974)</f>
        <v/>
      </c>
      <c r="G974" s="193" t="str">
        <f>IF('Observaciones-SMP'!G974="","",'Observaciones-SMP'!G974)</f>
        <v/>
      </c>
      <c r="H974" s="193" t="str">
        <f>IF('Observaciones-SMP'!H974="","",'Observaciones-SMP'!H974)</f>
        <v/>
      </c>
      <c r="I974" s="193" t="str">
        <f>IF('Observaciones-SMP'!I974="","",'Observaciones-SMP'!I974)</f>
        <v/>
      </c>
      <c r="J974" s="193" t="str">
        <f>IF('Observaciones-SMP'!J974="","",'Observaciones-SMP'!J974)</f>
        <v/>
      </c>
      <c r="K974" s="193" t="str">
        <f>IF('Observaciones-SMP'!K974="","",'Observaciones-SMP'!K974)</f>
        <v/>
      </c>
      <c r="L974" s="193" t="str">
        <f>IF('Observaciones-SMP'!L974="","",'Observaciones-SMP'!L974)</f>
        <v/>
      </c>
      <c r="M974" s="193" t="str">
        <f>IF('Observaciones-SMP'!M974="","",'Observaciones-SMP'!M974)</f>
        <v/>
      </c>
      <c r="N974" s="193" t="str">
        <f>IF('Observaciones-SMP'!N974="","",'Observaciones-SMP'!N974)</f>
        <v/>
      </c>
      <c r="O974" s="193" t="str">
        <f>IF('Observaciones-SMP'!O974="","",'Observaciones-SMP'!O974)</f>
        <v/>
      </c>
      <c r="P974" s="193" t="str">
        <f>IF('Observaciones-SMP'!P974="","",'Observaciones-SMP'!P974)</f>
        <v/>
      </c>
      <c r="Q974" s="257" t="str">
        <f>IF('Observaciones-SMP'!S974="","",'Observaciones-SMP'!S974)</f>
        <v/>
      </c>
      <c r="R974" s="193" t="str">
        <f>IF('Observaciones-SMP'!T974="","",'Observaciones-SMP'!T974)</f>
        <v/>
      </c>
      <c r="S974" s="193" t="str">
        <f>""</f>
        <v/>
      </c>
      <c r="T974" s="193" t="str">
        <f>""</f>
        <v/>
      </c>
      <c r="U974" s="193" t="str">
        <f t="shared" si="60"/>
        <v/>
      </c>
      <c r="V974" s="193" t="str">
        <f>""</f>
        <v/>
      </c>
      <c r="W974" s="193" t="str">
        <f>""</f>
        <v/>
      </c>
      <c r="X974" s="258" t="str">
        <f t="shared" si="61"/>
        <v/>
      </c>
      <c r="Y974" s="258" t="str">
        <f t="shared" si="62"/>
        <v/>
      </c>
      <c r="Z974" s="193" t="str">
        <f>IF(A974="","",IF(COUNTIF('Observaciones-SMP'!$A$2:$A$1001,A974)&gt;1,1,0))</f>
        <v/>
      </c>
      <c r="AA974" s="193" t="str">
        <f t="shared" si="63"/>
        <v/>
      </c>
    </row>
    <row r="975" spans="1:27" ht="13.5" customHeight="1" x14ac:dyDescent="0.3">
      <c r="A975" s="193" t="str">
        <f>IF('Observaciones-SMP'!A975="","",'Observaciones-SMP'!A975)</f>
        <v/>
      </c>
      <c r="B975" s="257" t="str">
        <f>IF('Observaciones-SMP'!B975="","",'Observaciones-SMP'!B975)</f>
        <v/>
      </c>
      <c r="C975" s="193" t="str">
        <f>IF('Observaciones-SMP'!C975="","",'Observaciones-SMP'!C975)</f>
        <v/>
      </c>
      <c r="D975" s="193" t="str">
        <f>IF('Observaciones-SMP'!D975="","",'Observaciones-SMP'!D975)</f>
        <v/>
      </c>
      <c r="E975" s="193" t="str">
        <f>IF('Observaciones-SMP'!E975="","",'Observaciones-SMP'!E975)</f>
        <v/>
      </c>
      <c r="F975" s="193" t="str">
        <f>IF('Observaciones-SMP'!F975="","",'Observaciones-SMP'!F975)</f>
        <v/>
      </c>
      <c r="G975" s="193" t="str">
        <f>IF('Observaciones-SMP'!G975="","",'Observaciones-SMP'!G975)</f>
        <v/>
      </c>
      <c r="H975" s="193" t="str">
        <f>IF('Observaciones-SMP'!H975="","",'Observaciones-SMP'!H975)</f>
        <v/>
      </c>
      <c r="I975" s="193" t="str">
        <f>IF('Observaciones-SMP'!I975="","",'Observaciones-SMP'!I975)</f>
        <v/>
      </c>
      <c r="J975" s="193" t="str">
        <f>IF('Observaciones-SMP'!J975="","",'Observaciones-SMP'!J975)</f>
        <v/>
      </c>
      <c r="K975" s="193" t="str">
        <f>IF('Observaciones-SMP'!K975="","",'Observaciones-SMP'!K975)</f>
        <v/>
      </c>
      <c r="L975" s="193" t="str">
        <f>IF('Observaciones-SMP'!L975="","",'Observaciones-SMP'!L975)</f>
        <v/>
      </c>
      <c r="M975" s="193" t="str">
        <f>IF('Observaciones-SMP'!M975="","",'Observaciones-SMP'!M975)</f>
        <v/>
      </c>
      <c r="N975" s="193" t="str">
        <f>IF('Observaciones-SMP'!N975="","",'Observaciones-SMP'!N975)</f>
        <v/>
      </c>
      <c r="O975" s="193" t="str">
        <f>IF('Observaciones-SMP'!O975="","",'Observaciones-SMP'!O975)</f>
        <v/>
      </c>
      <c r="P975" s="193" t="str">
        <f>IF('Observaciones-SMP'!P975="","",'Observaciones-SMP'!P975)</f>
        <v/>
      </c>
      <c r="Q975" s="257" t="str">
        <f>IF('Observaciones-SMP'!S975="","",'Observaciones-SMP'!S975)</f>
        <v/>
      </c>
      <c r="R975" s="193" t="str">
        <f>IF('Observaciones-SMP'!T975="","",'Observaciones-SMP'!T975)</f>
        <v/>
      </c>
      <c r="S975" s="193" t="str">
        <f>""</f>
        <v/>
      </c>
      <c r="T975" s="193" t="str">
        <f>""</f>
        <v/>
      </c>
      <c r="U975" s="193" t="str">
        <f t="shared" si="60"/>
        <v/>
      </c>
      <c r="V975" s="193" t="str">
        <f>""</f>
        <v/>
      </c>
      <c r="W975" s="193" t="str">
        <f>""</f>
        <v/>
      </c>
      <c r="X975" s="258" t="str">
        <f t="shared" si="61"/>
        <v/>
      </c>
      <c r="Y975" s="258" t="str">
        <f t="shared" si="62"/>
        <v/>
      </c>
      <c r="Z975" s="193" t="str">
        <f>IF(A975="","",IF(COUNTIF('Observaciones-SMP'!$A$2:$A$1001,A975)&gt;1,1,0))</f>
        <v/>
      </c>
      <c r="AA975" s="193" t="str">
        <f t="shared" si="63"/>
        <v/>
      </c>
    </row>
    <row r="976" spans="1:27" ht="13.5" customHeight="1" x14ac:dyDescent="0.3">
      <c r="A976" s="193" t="str">
        <f>IF('Observaciones-SMP'!A976="","",'Observaciones-SMP'!A976)</f>
        <v/>
      </c>
      <c r="B976" s="257" t="str">
        <f>IF('Observaciones-SMP'!B976="","",'Observaciones-SMP'!B976)</f>
        <v/>
      </c>
      <c r="C976" s="193" t="str">
        <f>IF('Observaciones-SMP'!C976="","",'Observaciones-SMP'!C976)</f>
        <v/>
      </c>
      <c r="D976" s="193" t="str">
        <f>IF('Observaciones-SMP'!D976="","",'Observaciones-SMP'!D976)</f>
        <v/>
      </c>
      <c r="E976" s="193" t="str">
        <f>IF('Observaciones-SMP'!E976="","",'Observaciones-SMP'!E976)</f>
        <v/>
      </c>
      <c r="F976" s="193" t="str">
        <f>IF('Observaciones-SMP'!F976="","",'Observaciones-SMP'!F976)</f>
        <v/>
      </c>
      <c r="G976" s="193" t="str">
        <f>IF('Observaciones-SMP'!G976="","",'Observaciones-SMP'!G976)</f>
        <v/>
      </c>
      <c r="H976" s="193" t="str">
        <f>IF('Observaciones-SMP'!H976="","",'Observaciones-SMP'!H976)</f>
        <v/>
      </c>
      <c r="I976" s="193" t="str">
        <f>IF('Observaciones-SMP'!I976="","",'Observaciones-SMP'!I976)</f>
        <v/>
      </c>
      <c r="J976" s="193" t="str">
        <f>IF('Observaciones-SMP'!J976="","",'Observaciones-SMP'!J976)</f>
        <v/>
      </c>
      <c r="K976" s="193" t="str">
        <f>IF('Observaciones-SMP'!K976="","",'Observaciones-SMP'!K976)</f>
        <v/>
      </c>
      <c r="L976" s="193" t="str">
        <f>IF('Observaciones-SMP'!L976="","",'Observaciones-SMP'!L976)</f>
        <v/>
      </c>
      <c r="M976" s="193" t="str">
        <f>IF('Observaciones-SMP'!M976="","",'Observaciones-SMP'!M976)</f>
        <v/>
      </c>
      <c r="N976" s="193" t="str">
        <f>IF('Observaciones-SMP'!N976="","",'Observaciones-SMP'!N976)</f>
        <v/>
      </c>
      <c r="O976" s="193" t="str">
        <f>IF('Observaciones-SMP'!O976="","",'Observaciones-SMP'!O976)</f>
        <v/>
      </c>
      <c r="P976" s="193" t="str">
        <f>IF('Observaciones-SMP'!P976="","",'Observaciones-SMP'!P976)</f>
        <v/>
      </c>
      <c r="Q976" s="257" t="str">
        <f>IF('Observaciones-SMP'!S976="","",'Observaciones-SMP'!S976)</f>
        <v/>
      </c>
      <c r="R976" s="193" t="str">
        <f>IF('Observaciones-SMP'!T976="","",'Observaciones-SMP'!T976)</f>
        <v/>
      </c>
      <c r="S976" s="193" t="str">
        <f>""</f>
        <v/>
      </c>
      <c r="T976" s="193" t="str">
        <f>""</f>
        <v/>
      </c>
      <c r="U976" s="193" t="str">
        <f t="shared" si="60"/>
        <v/>
      </c>
      <c r="V976" s="193" t="str">
        <f>""</f>
        <v/>
      </c>
      <c r="W976" s="193" t="str">
        <f>""</f>
        <v/>
      </c>
      <c r="X976" s="258" t="str">
        <f t="shared" si="61"/>
        <v/>
      </c>
      <c r="Y976" s="258" t="str">
        <f t="shared" si="62"/>
        <v/>
      </c>
      <c r="Z976" s="193" t="str">
        <f>IF(A976="","",IF(COUNTIF('Observaciones-SMP'!$A$2:$A$1001,A976)&gt;1,1,0))</f>
        <v/>
      </c>
      <c r="AA976" s="193" t="str">
        <f t="shared" si="63"/>
        <v/>
      </c>
    </row>
    <row r="977" spans="1:27" ht="13.5" customHeight="1" x14ac:dyDescent="0.3">
      <c r="A977" s="193" t="str">
        <f>IF('Observaciones-SMP'!A977="","",'Observaciones-SMP'!A977)</f>
        <v/>
      </c>
      <c r="B977" s="257" t="str">
        <f>IF('Observaciones-SMP'!B977="","",'Observaciones-SMP'!B977)</f>
        <v/>
      </c>
      <c r="C977" s="193" t="str">
        <f>IF('Observaciones-SMP'!C977="","",'Observaciones-SMP'!C977)</f>
        <v/>
      </c>
      <c r="D977" s="193" t="str">
        <f>IF('Observaciones-SMP'!D977="","",'Observaciones-SMP'!D977)</f>
        <v/>
      </c>
      <c r="E977" s="193" t="str">
        <f>IF('Observaciones-SMP'!E977="","",'Observaciones-SMP'!E977)</f>
        <v/>
      </c>
      <c r="F977" s="193" t="str">
        <f>IF('Observaciones-SMP'!F977="","",'Observaciones-SMP'!F977)</f>
        <v/>
      </c>
      <c r="G977" s="193" t="str">
        <f>IF('Observaciones-SMP'!G977="","",'Observaciones-SMP'!G977)</f>
        <v/>
      </c>
      <c r="H977" s="193" t="str">
        <f>IF('Observaciones-SMP'!H977="","",'Observaciones-SMP'!H977)</f>
        <v/>
      </c>
      <c r="I977" s="193" t="str">
        <f>IF('Observaciones-SMP'!I977="","",'Observaciones-SMP'!I977)</f>
        <v/>
      </c>
      <c r="J977" s="193" t="str">
        <f>IF('Observaciones-SMP'!J977="","",'Observaciones-SMP'!J977)</f>
        <v/>
      </c>
      <c r="K977" s="193" t="str">
        <f>IF('Observaciones-SMP'!K977="","",'Observaciones-SMP'!K977)</f>
        <v/>
      </c>
      <c r="L977" s="193" t="str">
        <f>IF('Observaciones-SMP'!L977="","",'Observaciones-SMP'!L977)</f>
        <v/>
      </c>
      <c r="M977" s="193" t="str">
        <f>IF('Observaciones-SMP'!M977="","",'Observaciones-SMP'!M977)</f>
        <v/>
      </c>
      <c r="N977" s="193" t="str">
        <f>IF('Observaciones-SMP'!N977="","",'Observaciones-SMP'!N977)</f>
        <v/>
      </c>
      <c r="O977" s="193" t="str">
        <f>IF('Observaciones-SMP'!O977="","",'Observaciones-SMP'!O977)</f>
        <v/>
      </c>
      <c r="P977" s="193" t="str">
        <f>IF('Observaciones-SMP'!P977="","",'Observaciones-SMP'!P977)</f>
        <v/>
      </c>
      <c r="Q977" s="257" t="str">
        <f>IF('Observaciones-SMP'!S977="","",'Observaciones-SMP'!S977)</f>
        <v/>
      </c>
      <c r="R977" s="193" t="str">
        <f>IF('Observaciones-SMP'!T977="","",'Observaciones-SMP'!T977)</f>
        <v/>
      </c>
      <c r="S977" s="193" t="str">
        <f>""</f>
        <v/>
      </c>
      <c r="T977" s="193" t="str">
        <f>""</f>
        <v/>
      </c>
      <c r="U977" s="193" t="str">
        <f t="shared" si="60"/>
        <v/>
      </c>
      <c r="V977" s="193" t="str">
        <f>""</f>
        <v/>
      </c>
      <c r="W977" s="193" t="str">
        <f>""</f>
        <v/>
      </c>
      <c r="X977" s="258" t="str">
        <f t="shared" si="61"/>
        <v/>
      </c>
      <c r="Y977" s="258" t="str">
        <f t="shared" si="62"/>
        <v/>
      </c>
      <c r="Z977" s="193" t="str">
        <f>IF(A977="","",IF(COUNTIF('Observaciones-SMP'!$A$2:$A$1001,A977)&gt;1,1,0))</f>
        <v/>
      </c>
      <c r="AA977" s="193" t="str">
        <f t="shared" si="63"/>
        <v/>
      </c>
    </row>
    <row r="978" spans="1:27" ht="13.5" customHeight="1" x14ac:dyDescent="0.3">
      <c r="A978" s="193" t="str">
        <f>IF('Observaciones-SMP'!A978="","",'Observaciones-SMP'!A978)</f>
        <v/>
      </c>
      <c r="B978" s="257" t="str">
        <f>IF('Observaciones-SMP'!B978="","",'Observaciones-SMP'!B978)</f>
        <v/>
      </c>
      <c r="C978" s="193" t="str">
        <f>IF('Observaciones-SMP'!C978="","",'Observaciones-SMP'!C978)</f>
        <v/>
      </c>
      <c r="D978" s="193" t="str">
        <f>IF('Observaciones-SMP'!D978="","",'Observaciones-SMP'!D978)</f>
        <v/>
      </c>
      <c r="E978" s="193" t="str">
        <f>IF('Observaciones-SMP'!E978="","",'Observaciones-SMP'!E978)</f>
        <v/>
      </c>
      <c r="F978" s="193" t="str">
        <f>IF('Observaciones-SMP'!F978="","",'Observaciones-SMP'!F978)</f>
        <v/>
      </c>
      <c r="G978" s="193" t="str">
        <f>IF('Observaciones-SMP'!G978="","",'Observaciones-SMP'!G978)</f>
        <v/>
      </c>
      <c r="H978" s="193" t="str">
        <f>IF('Observaciones-SMP'!H978="","",'Observaciones-SMP'!H978)</f>
        <v/>
      </c>
      <c r="I978" s="193" t="str">
        <f>IF('Observaciones-SMP'!I978="","",'Observaciones-SMP'!I978)</f>
        <v/>
      </c>
      <c r="J978" s="193" t="str">
        <f>IF('Observaciones-SMP'!J978="","",'Observaciones-SMP'!J978)</f>
        <v/>
      </c>
      <c r="K978" s="193" t="str">
        <f>IF('Observaciones-SMP'!K978="","",'Observaciones-SMP'!K978)</f>
        <v/>
      </c>
      <c r="L978" s="193" t="str">
        <f>IF('Observaciones-SMP'!L978="","",'Observaciones-SMP'!L978)</f>
        <v/>
      </c>
      <c r="M978" s="193" t="str">
        <f>IF('Observaciones-SMP'!M978="","",'Observaciones-SMP'!M978)</f>
        <v/>
      </c>
      <c r="N978" s="193" t="str">
        <f>IF('Observaciones-SMP'!N978="","",'Observaciones-SMP'!N978)</f>
        <v/>
      </c>
      <c r="O978" s="193" t="str">
        <f>IF('Observaciones-SMP'!O978="","",'Observaciones-SMP'!O978)</f>
        <v/>
      </c>
      <c r="P978" s="193" t="str">
        <f>IF('Observaciones-SMP'!P978="","",'Observaciones-SMP'!P978)</f>
        <v/>
      </c>
      <c r="Q978" s="257" t="str">
        <f>IF('Observaciones-SMP'!S978="","",'Observaciones-SMP'!S978)</f>
        <v/>
      </c>
      <c r="R978" s="193" t="str">
        <f>IF('Observaciones-SMP'!T978="","",'Observaciones-SMP'!T978)</f>
        <v/>
      </c>
      <c r="S978" s="193" t="str">
        <f>""</f>
        <v/>
      </c>
      <c r="T978" s="193" t="str">
        <f>""</f>
        <v/>
      </c>
      <c r="U978" s="193" t="str">
        <f t="shared" si="60"/>
        <v/>
      </c>
      <c r="V978" s="193" t="str">
        <f>""</f>
        <v/>
      </c>
      <c r="W978" s="193" t="str">
        <f>""</f>
        <v/>
      </c>
      <c r="X978" s="258" t="str">
        <f t="shared" si="61"/>
        <v/>
      </c>
      <c r="Y978" s="258" t="str">
        <f t="shared" si="62"/>
        <v/>
      </c>
      <c r="Z978" s="193" t="str">
        <f>IF(A978="","",IF(COUNTIF('Observaciones-SMP'!$A$2:$A$1001,A978)&gt;1,1,0))</f>
        <v/>
      </c>
      <c r="AA978" s="193" t="str">
        <f t="shared" si="63"/>
        <v/>
      </c>
    </row>
    <row r="979" spans="1:27" ht="13.5" customHeight="1" x14ac:dyDescent="0.3">
      <c r="A979" s="193" t="str">
        <f>IF('Observaciones-SMP'!A979="","",'Observaciones-SMP'!A979)</f>
        <v/>
      </c>
      <c r="B979" s="257" t="str">
        <f>IF('Observaciones-SMP'!B979="","",'Observaciones-SMP'!B979)</f>
        <v/>
      </c>
      <c r="C979" s="193" t="str">
        <f>IF('Observaciones-SMP'!C979="","",'Observaciones-SMP'!C979)</f>
        <v/>
      </c>
      <c r="D979" s="193" t="str">
        <f>IF('Observaciones-SMP'!D979="","",'Observaciones-SMP'!D979)</f>
        <v/>
      </c>
      <c r="E979" s="193" t="str">
        <f>IF('Observaciones-SMP'!E979="","",'Observaciones-SMP'!E979)</f>
        <v/>
      </c>
      <c r="F979" s="193" t="str">
        <f>IF('Observaciones-SMP'!F979="","",'Observaciones-SMP'!F979)</f>
        <v/>
      </c>
      <c r="G979" s="193" t="str">
        <f>IF('Observaciones-SMP'!G979="","",'Observaciones-SMP'!G979)</f>
        <v/>
      </c>
      <c r="H979" s="193" t="str">
        <f>IF('Observaciones-SMP'!H979="","",'Observaciones-SMP'!H979)</f>
        <v/>
      </c>
      <c r="I979" s="193" t="str">
        <f>IF('Observaciones-SMP'!I979="","",'Observaciones-SMP'!I979)</f>
        <v/>
      </c>
      <c r="J979" s="193" t="str">
        <f>IF('Observaciones-SMP'!J979="","",'Observaciones-SMP'!J979)</f>
        <v/>
      </c>
      <c r="K979" s="193" t="str">
        <f>IF('Observaciones-SMP'!K979="","",'Observaciones-SMP'!K979)</f>
        <v/>
      </c>
      <c r="L979" s="193" t="str">
        <f>IF('Observaciones-SMP'!L979="","",'Observaciones-SMP'!L979)</f>
        <v/>
      </c>
      <c r="M979" s="193" t="str">
        <f>IF('Observaciones-SMP'!M979="","",'Observaciones-SMP'!M979)</f>
        <v/>
      </c>
      <c r="N979" s="193" t="str">
        <f>IF('Observaciones-SMP'!N979="","",'Observaciones-SMP'!N979)</f>
        <v/>
      </c>
      <c r="O979" s="193" t="str">
        <f>IF('Observaciones-SMP'!O979="","",'Observaciones-SMP'!O979)</f>
        <v/>
      </c>
      <c r="P979" s="193" t="str">
        <f>IF('Observaciones-SMP'!P979="","",'Observaciones-SMP'!P979)</f>
        <v/>
      </c>
      <c r="Q979" s="257" t="str">
        <f>IF('Observaciones-SMP'!S979="","",'Observaciones-SMP'!S979)</f>
        <v/>
      </c>
      <c r="R979" s="193" t="str">
        <f>IF('Observaciones-SMP'!T979="","",'Observaciones-SMP'!T979)</f>
        <v/>
      </c>
      <c r="S979" s="193" t="str">
        <f>""</f>
        <v/>
      </c>
      <c r="T979" s="193" t="str">
        <f>""</f>
        <v/>
      </c>
      <c r="U979" s="193" t="str">
        <f t="shared" si="60"/>
        <v/>
      </c>
      <c r="V979" s="193" t="str">
        <f>""</f>
        <v/>
      </c>
      <c r="W979" s="193" t="str">
        <f>""</f>
        <v/>
      </c>
      <c r="X979" s="258" t="str">
        <f t="shared" si="61"/>
        <v/>
      </c>
      <c r="Y979" s="258" t="str">
        <f t="shared" si="62"/>
        <v/>
      </c>
      <c r="Z979" s="193" t="str">
        <f>IF(A979="","",IF(COUNTIF('Observaciones-SMP'!$A$2:$A$1001,A979)&gt;1,1,0))</f>
        <v/>
      </c>
      <c r="AA979" s="193" t="str">
        <f t="shared" si="63"/>
        <v/>
      </c>
    </row>
    <row r="980" spans="1:27" ht="13.5" customHeight="1" x14ac:dyDescent="0.3">
      <c r="A980" s="193" t="str">
        <f>IF('Observaciones-SMP'!A980="","",'Observaciones-SMP'!A980)</f>
        <v/>
      </c>
      <c r="B980" s="257" t="str">
        <f>IF('Observaciones-SMP'!B980="","",'Observaciones-SMP'!B980)</f>
        <v/>
      </c>
      <c r="C980" s="193" t="str">
        <f>IF('Observaciones-SMP'!C980="","",'Observaciones-SMP'!C980)</f>
        <v/>
      </c>
      <c r="D980" s="193" t="str">
        <f>IF('Observaciones-SMP'!D980="","",'Observaciones-SMP'!D980)</f>
        <v/>
      </c>
      <c r="E980" s="193" t="str">
        <f>IF('Observaciones-SMP'!E980="","",'Observaciones-SMP'!E980)</f>
        <v/>
      </c>
      <c r="F980" s="193" t="str">
        <f>IF('Observaciones-SMP'!F980="","",'Observaciones-SMP'!F980)</f>
        <v/>
      </c>
      <c r="G980" s="193" t="str">
        <f>IF('Observaciones-SMP'!G980="","",'Observaciones-SMP'!G980)</f>
        <v/>
      </c>
      <c r="H980" s="193" t="str">
        <f>IF('Observaciones-SMP'!H980="","",'Observaciones-SMP'!H980)</f>
        <v/>
      </c>
      <c r="I980" s="193" t="str">
        <f>IF('Observaciones-SMP'!I980="","",'Observaciones-SMP'!I980)</f>
        <v/>
      </c>
      <c r="J980" s="193" t="str">
        <f>IF('Observaciones-SMP'!J980="","",'Observaciones-SMP'!J980)</f>
        <v/>
      </c>
      <c r="K980" s="193" t="str">
        <f>IF('Observaciones-SMP'!K980="","",'Observaciones-SMP'!K980)</f>
        <v/>
      </c>
      <c r="L980" s="193" t="str">
        <f>IF('Observaciones-SMP'!L980="","",'Observaciones-SMP'!L980)</f>
        <v/>
      </c>
      <c r="M980" s="193" t="str">
        <f>IF('Observaciones-SMP'!M980="","",'Observaciones-SMP'!M980)</f>
        <v/>
      </c>
      <c r="N980" s="193" t="str">
        <f>IF('Observaciones-SMP'!N980="","",'Observaciones-SMP'!N980)</f>
        <v/>
      </c>
      <c r="O980" s="193" t="str">
        <f>IF('Observaciones-SMP'!O980="","",'Observaciones-SMP'!O980)</f>
        <v/>
      </c>
      <c r="P980" s="193" t="str">
        <f>IF('Observaciones-SMP'!P980="","",'Observaciones-SMP'!P980)</f>
        <v/>
      </c>
      <c r="Q980" s="257" t="str">
        <f>IF('Observaciones-SMP'!S980="","",'Observaciones-SMP'!S980)</f>
        <v/>
      </c>
      <c r="R980" s="193" t="str">
        <f>IF('Observaciones-SMP'!T980="","",'Observaciones-SMP'!T980)</f>
        <v/>
      </c>
      <c r="S980" s="193" t="str">
        <f>""</f>
        <v/>
      </c>
      <c r="T980" s="193" t="str">
        <f>""</f>
        <v/>
      </c>
      <c r="U980" s="193" t="str">
        <f t="shared" si="60"/>
        <v/>
      </c>
      <c r="V980" s="193" t="str">
        <f>""</f>
        <v/>
      </c>
      <c r="W980" s="193" t="str">
        <f>""</f>
        <v/>
      </c>
      <c r="X980" s="258" t="str">
        <f t="shared" si="61"/>
        <v/>
      </c>
      <c r="Y980" s="258" t="str">
        <f t="shared" si="62"/>
        <v/>
      </c>
      <c r="Z980" s="193" t="str">
        <f>IF(A980="","",IF(COUNTIF('Observaciones-SMP'!$A$2:$A$1001,A980)&gt;1,1,0))</f>
        <v/>
      </c>
      <c r="AA980" s="193" t="str">
        <f t="shared" si="63"/>
        <v/>
      </c>
    </row>
    <row r="981" spans="1:27" ht="13.5" customHeight="1" x14ac:dyDescent="0.3">
      <c r="A981" s="193" t="str">
        <f>IF('Observaciones-SMP'!A981="","",'Observaciones-SMP'!A981)</f>
        <v/>
      </c>
      <c r="B981" s="257" t="str">
        <f>IF('Observaciones-SMP'!B981="","",'Observaciones-SMP'!B981)</f>
        <v/>
      </c>
      <c r="C981" s="193" t="str">
        <f>IF('Observaciones-SMP'!C981="","",'Observaciones-SMP'!C981)</f>
        <v/>
      </c>
      <c r="D981" s="193" t="str">
        <f>IF('Observaciones-SMP'!D981="","",'Observaciones-SMP'!D981)</f>
        <v/>
      </c>
      <c r="E981" s="193" t="str">
        <f>IF('Observaciones-SMP'!E981="","",'Observaciones-SMP'!E981)</f>
        <v/>
      </c>
      <c r="F981" s="193" t="str">
        <f>IF('Observaciones-SMP'!F981="","",'Observaciones-SMP'!F981)</f>
        <v/>
      </c>
      <c r="G981" s="193" t="str">
        <f>IF('Observaciones-SMP'!G981="","",'Observaciones-SMP'!G981)</f>
        <v/>
      </c>
      <c r="H981" s="193" t="str">
        <f>IF('Observaciones-SMP'!H981="","",'Observaciones-SMP'!H981)</f>
        <v/>
      </c>
      <c r="I981" s="193" t="str">
        <f>IF('Observaciones-SMP'!I981="","",'Observaciones-SMP'!I981)</f>
        <v/>
      </c>
      <c r="J981" s="193" t="str">
        <f>IF('Observaciones-SMP'!J981="","",'Observaciones-SMP'!J981)</f>
        <v/>
      </c>
      <c r="K981" s="193" t="str">
        <f>IF('Observaciones-SMP'!K981="","",'Observaciones-SMP'!K981)</f>
        <v/>
      </c>
      <c r="L981" s="193" t="str">
        <f>IF('Observaciones-SMP'!L981="","",'Observaciones-SMP'!L981)</f>
        <v/>
      </c>
      <c r="M981" s="193" t="str">
        <f>IF('Observaciones-SMP'!M981="","",'Observaciones-SMP'!M981)</f>
        <v/>
      </c>
      <c r="N981" s="193" t="str">
        <f>IF('Observaciones-SMP'!N981="","",'Observaciones-SMP'!N981)</f>
        <v/>
      </c>
      <c r="O981" s="193" t="str">
        <f>IF('Observaciones-SMP'!O981="","",'Observaciones-SMP'!O981)</f>
        <v/>
      </c>
      <c r="P981" s="193" t="str">
        <f>IF('Observaciones-SMP'!P981="","",'Observaciones-SMP'!P981)</f>
        <v/>
      </c>
      <c r="Q981" s="257" t="str">
        <f>IF('Observaciones-SMP'!S981="","",'Observaciones-SMP'!S981)</f>
        <v/>
      </c>
      <c r="R981" s="193" t="str">
        <f>IF('Observaciones-SMP'!T981="","",'Observaciones-SMP'!T981)</f>
        <v/>
      </c>
      <c r="S981" s="193" t="str">
        <f>""</f>
        <v/>
      </c>
      <c r="T981" s="193" t="str">
        <f>""</f>
        <v/>
      </c>
      <c r="U981" s="193" t="str">
        <f t="shared" si="60"/>
        <v/>
      </c>
      <c r="V981" s="193" t="str">
        <f>""</f>
        <v/>
      </c>
      <c r="W981" s="193" t="str">
        <f>""</f>
        <v/>
      </c>
      <c r="X981" s="258" t="str">
        <f t="shared" si="61"/>
        <v/>
      </c>
      <c r="Y981" s="258" t="str">
        <f t="shared" si="62"/>
        <v/>
      </c>
      <c r="Z981" s="193" t="str">
        <f>IF(A981="","",IF(COUNTIF('Observaciones-SMP'!$A$2:$A$1001,A981)&gt;1,1,0))</f>
        <v/>
      </c>
      <c r="AA981" s="193" t="str">
        <f t="shared" si="63"/>
        <v/>
      </c>
    </row>
    <row r="982" spans="1:27" ht="13.5" customHeight="1" x14ac:dyDescent="0.3">
      <c r="A982" s="193" t="str">
        <f>IF('Observaciones-SMP'!A982="","",'Observaciones-SMP'!A982)</f>
        <v/>
      </c>
      <c r="B982" s="257" t="str">
        <f>IF('Observaciones-SMP'!B982="","",'Observaciones-SMP'!B982)</f>
        <v/>
      </c>
      <c r="C982" s="193" t="str">
        <f>IF('Observaciones-SMP'!C982="","",'Observaciones-SMP'!C982)</f>
        <v/>
      </c>
      <c r="D982" s="193" t="str">
        <f>IF('Observaciones-SMP'!D982="","",'Observaciones-SMP'!D982)</f>
        <v/>
      </c>
      <c r="E982" s="193" t="str">
        <f>IF('Observaciones-SMP'!E982="","",'Observaciones-SMP'!E982)</f>
        <v/>
      </c>
      <c r="F982" s="193" t="str">
        <f>IF('Observaciones-SMP'!F982="","",'Observaciones-SMP'!F982)</f>
        <v/>
      </c>
      <c r="G982" s="193" t="str">
        <f>IF('Observaciones-SMP'!G982="","",'Observaciones-SMP'!G982)</f>
        <v/>
      </c>
      <c r="H982" s="193" t="str">
        <f>IF('Observaciones-SMP'!H982="","",'Observaciones-SMP'!H982)</f>
        <v/>
      </c>
      <c r="I982" s="193" t="str">
        <f>IF('Observaciones-SMP'!I982="","",'Observaciones-SMP'!I982)</f>
        <v/>
      </c>
      <c r="J982" s="193" t="str">
        <f>IF('Observaciones-SMP'!J982="","",'Observaciones-SMP'!J982)</f>
        <v/>
      </c>
      <c r="K982" s="193" t="str">
        <f>IF('Observaciones-SMP'!K982="","",'Observaciones-SMP'!K982)</f>
        <v/>
      </c>
      <c r="L982" s="193" t="str">
        <f>IF('Observaciones-SMP'!L982="","",'Observaciones-SMP'!L982)</f>
        <v/>
      </c>
      <c r="M982" s="193" t="str">
        <f>IF('Observaciones-SMP'!M982="","",'Observaciones-SMP'!M982)</f>
        <v/>
      </c>
      <c r="N982" s="193" t="str">
        <f>IF('Observaciones-SMP'!N982="","",'Observaciones-SMP'!N982)</f>
        <v/>
      </c>
      <c r="O982" s="193" t="str">
        <f>IF('Observaciones-SMP'!O982="","",'Observaciones-SMP'!O982)</f>
        <v/>
      </c>
      <c r="P982" s="193" t="str">
        <f>IF('Observaciones-SMP'!P982="","",'Observaciones-SMP'!P982)</f>
        <v/>
      </c>
      <c r="Q982" s="257" t="str">
        <f>IF('Observaciones-SMP'!S982="","",'Observaciones-SMP'!S982)</f>
        <v/>
      </c>
      <c r="R982" s="193" t="str">
        <f>IF('Observaciones-SMP'!T982="","",'Observaciones-SMP'!T982)</f>
        <v/>
      </c>
      <c r="S982" s="193" t="str">
        <f>""</f>
        <v/>
      </c>
      <c r="T982" s="193" t="str">
        <f>""</f>
        <v/>
      </c>
      <c r="U982" s="193" t="str">
        <f t="shared" si="60"/>
        <v/>
      </c>
      <c r="V982" s="193" t="str">
        <f>""</f>
        <v/>
      </c>
      <c r="W982" s="193" t="str">
        <f>""</f>
        <v/>
      </c>
      <c r="X982" s="258" t="str">
        <f t="shared" si="61"/>
        <v/>
      </c>
      <c r="Y982" s="258" t="str">
        <f t="shared" si="62"/>
        <v/>
      </c>
      <c r="Z982" s="193" t="str">
        <f>IF(A982="","",IF(COUNTIF('Observaciones-SMP'!$A$2:$A$1001,A982)&gt;1,1,0))</f>
        <v/>
      </c>
      <c r="AA982" s="193" t="str">
        <f t="shared" si="63"/>
        <v/>
      </c>
    </row>
    <row r="983" spans="1:27" ht="13.5" customHeight="1" x14ac:dyDescent="0.3">
      <c r="A983" s="193" t="str">
        <f>IF('Observaciones-SMP'!A983="","",'Observaciones-SMP'!A983)</f>
        <v/>
      </c>
      <c r="B983" s="257" t="str">
        <f>IF('Observaciones-SMP'!B983="","",'Observaciones-SMP'!B983)</f>
        <v/>
      </c>
      <c r="C983" s="193" t="str">
        <f>IF('Observaciones-SMP'!C983="","",'Observaciones-SMP'!C983)</f>
        <v/>
      </c>
      <c r="D983" s="193" t="str">
        <f>IF('Observaciones-SMP'!D983="","",'Observaciones-SMP'!D983)</f>
        <v/>
      </c>
      <c r="E983" s="193" t="str">
        <f>IF('Observaciones-SMP'!E983="","",'Observaciones-SMP'!E983)</f>
        <v/>
      </c>
      <c r="F983" s="193" t="str">
        <f>IF('Observaciones-SMP'!F983="","",'Observaciones-SMP'!F983)</f>
        <v/>
      </c>
      <c r="G983" s="193" t="str">
        <f>IF('Observaciones-SMP'!G983="","",'Observaciones-SMP'!G983)</f>
        <v/>
      </c>
      <c r="H983" s="193" t="str">
        <f>IF('Observaciones-SMP'!H983="","",'Observaciones-SMP'!H983)</f>
        <v/>
      </c>
      <c r="I983" s="193" t="str">
        <f>IF('Observaciones-SMP'!I983="","",'Observaciones-SMP'!I983)</f>
        <v/>
      </c>
      <c r="J983" s="193" t="str">
        <f>IF('Observaciones-SMP'!J983="","",'Observaciones-SMP'!J983)</f>
        <v/>
      </c>
      <c r="K983" s="193" t="str">
        <f>IF('Observaciones-SMP'!K983="","",'Observaciones-SMP'!K983)</f>
        <v/>
      </c>
      <c r="L983" s="193" t="str">
        <f>IF('Observaciones-SMP'!L983="","",'Observaciones-SMP'!L983)</f>
        <v/>
      </c>
      <c r="M983" s="193" t="str">
        <f>IF('Observaciones-SMP'!M983="","",'Observaciones-SMP'!M983)</f>
        <v/>
      </c>
      <c r="N983" s="193" t="str">
        <f>IF('Observaciones-SMP'!N983="","",'Observaciones-SMP'!N983)</f>
        <v/>
      </c>
      <c r="O983" s="193" t="str">
        <f>IF('Observaciones-SMP'!O983="","",'Observaciones-SMP'!O983)</f>
        <v/>
      </c>
      <c r="P983" s="193" t="str">
        <f>IF('Observaciones-SMP'!P983="","",'Observaciones-SMP'!P983)</f>
        <v/>
      </c>
      <c r="Q983" s="257" t="str">
        <f>IF('Observaciones-SMP'!S983="","",'Observaciones-SMP'!S983)</f>
        <v/>
      </c>
      <c r="R983" s="193" t="str">
        <f>IF('Observaciones-SMP'!T983="","",'Observaciones-SMP'!T983)</f>
        <v/>
      </c>
      <c r="S983" s="193" t="str">
        <f>""</f>
        <v/>
      </c>
      <c r="T983" s="193" t="str">
        <f>""</f>
        <v/>
      </c>
      <c r="U983" s="193" t="str">
        <f t="shared" si="60"/>
        <v/>
      </c>
      <c r="V983" s="193" t="str">
        <f>""</f>
        <v/>
      </c>
      <c r="W983" s="193" t="str">
        <f>""</f>
        <v/>
      </c>
      <c r="X983" s="258" t="str">
        <f t="shared" si="61"/>
        <v/>
      </c>
      <c r="Y983" s="258" t="str">
        <f t="shared" si="62"/>
        <v/>
      </c>
      <c r="Z983" s="193" t="str">
        <f>IF(A983="","",IF(COUNTIF('Observaciones-SMP'!$A$2:$A$1001,A983)&gt;1,1,0))</f>
        <v/>
      </c>
      <c r="AA983" s="193" t="str">
        <f t="shared" si="63"/>
        <v/>
      </c>
    </row>
    <row r="984" spans="1:27" ht="13.5" customHeight="1" x14ac:dyDescent="0.3">
      <c r="A984" s="193" t="str">
        <f>IF('Observaciones-SMP'!A984="","",'Observaciones-SMP'!A984)</f>
        <v/>
      </c>
      <c r="B984" s="257" t="str">
        <f>IF('Observaciones-SMP'!B984="","",'Observaciones-SMP'!B984)</f>
        <v/>
      </c>
      <c r="C984" s="193" t="str">
        <f>IF('Observaciones-SMP'!C984="","",'Observaciones-SMP'!C984)</f>
        <v/>
      </c>
      <c r="D984" s="193" t="str">
        <f>IF('Observaciones-SMP'!D984="","",'Observaciones-SMP'!D984)</f>
        <v/>
      </c>
      <c r="E984" s="193" t="str">
        <f>IF('Observaciones-SMP'!E984="","",'Observaciones-SMP'!E984)</f>
        <v/>
      </c>
      <c r="F984" s="193" t="str">
        <f>IF('Observaciones-SMP'!F984="","",'Observaciones-SMP'!F984)</f>
        <v/>
      </c>
      <c r="G984" s="193" t="str">
        <f>IF('Observaciones-SMP'!G984="","",'Observaciones-SMP'!G984)</f>
        <v/>
      </c>
      <c r="H984" s="193" t="str">
        <f>IF('Observaciones-SMP'!H984="","",'Observaciones-SMP'!H984)</f>
        <v/>
      </c>
      <c r="I984" s="193" t="str">
        <f>IF('Observaciones-SMP'!I984="","",'Observaciones-SMP'!I984)</f>
        <v/>
      </c>
      <c r="J984" s="193" t="str">
        <f>IF('Observaciones-SMP'!J984="","",'Observaciones-SMP'!J984)</f>
        <v/>
      </c>
      <c r="K984" s="193" t="str">
        <f>IF('Observaciones-SMP'!K984="","",'Observaciones-SMP'!K984)</f>
        <v/>
      </c>
      <c r="L984" s="193" t="str">
        <f>IF('Observaciones-SMP'!L984="","",'Observaciones-SMP'!L984)</f>
        <v/>
      </c>
      <c r="M984" s="193" t="str">
        <f>IF('Observaciones-SMP'!M984="","",'Observaciones-SMP'!M984)</f>
        <v/>
      </c>
      <c r="N984" s="193" t="str">
        <f>IF('Observaciones-SMP'!N984="","",'Observaciones-SMP'!N984)</f>
        <v/>
      </c>
      <c r="O984" s="193" t="str">
        <f>IF('Observaciones-SMP'!O984="","",'Observaciones-SMP'!O984)</f>
        <v/>
      </c>
      <c r="P984" s="193" t="str">
        <f>IF('Observaciones-SMP'!P984="","",'Observaciones-SMP'!P984)</f>
        <v/>
      </c>
      <c r="Q984" s="257" t="str">
        <f>IF('Observaciones-SMP'!S984="","",'Observaciones-SMP'!S984)</f>
        <v/>
      </c>
      <c r="R984" s="193" t="str">
        <f>IF('Observaciones-SMP'!T984="","",'Observaciones-SMP'!T984)</f>
        <v/>
      </c>
      <c r="S984" s="193" t="str">
        <f>""</f>
        <v/>
      </c>
      <c r="T984" s="193" t="str">
        <f>""</f>
        <v/>
      </c>
      <c r="U984" s="193" t="str">
        <f t="shared" si="60"/>
        <v/>
      </c>
      <c r="V984" s="193" t="str">
        <f>""</f>
        <v/>
      </c>
      <c r="W984" s="193" t="str">
        <f>""</f>
        <v/>
      </c>
      <c r="X984" s="258" t="str">
        <f t="shared" si="61"/>
        <v/>
      </c>
      <c r="Y984" s="258" t="str">
        <f t="shared" si="62"/>
        <v/>
      </c>
      <c r="Z984" s="193" t="str">
        <f>IF(A984="","",IF(COUNTIF('Observaciones-SMP'!$A$2:$A$1001,A984)&gt;1,1,0))</f>
        <v/>
      </c>
      <c r="AA984" s="193" t="str">
        <f t="shared" si="63"/>
        <v/>
      </c>
    </row>
    <row r="985" spans="1:27" ht="13.5" customHeight="1" x14ac:dyDescent="0.3">
      <c r="A985" s="193" t="str">
        <f>IF('Observaciones-SMP'!A985="","",'Observaciones-SMP'!A985)</f>
        <v/>
      </c>
      <c r="B985" s="257" t="str">
        <f>IF('Observaciones-SMP'!B985="","",'Observaciones-SMP'!B985)</f>
        <v/>
      </c>
      <c r="C985" s="193" t="str">
        <f>IF('Observaciones-SMP'!C985="","",'Observaciones-SMP'!C985)</f>
        <v/>
      </c>
      <c r="D985" s="193" t="str">
        <f>IF('Observaciones-SMP'!D985="","",'Observaciones-SMP'!D985)</f>
        <v/>
      </c>
      <c r="E985" s="193" t="str">
        <f>IF('Observaciones-SMP'!E985="","",'Observaciones-SMP'!E985)</f>
        <v/>
      </c>
      <c r="F985" s="193" t="str">
        <f>IF('Observaciones-SMP'!F985="","",'Observaciones-SMP'!F985)</f>
        <v/>
      </c>
      <c r="G985" s="193" t="str">
        <f>IF('Observaciones-SMP'!G985="","",'Observaciones-SMP'!G985)</f>
        <v/>
      </c>
      <c r="H985" s="193" t="str">
        <f>IF('Observaciones-SMP'!H985="","",'Observaciones-SMP'!H985)</f>
        <v/>
      </c>
      <c r="I985" s="193" t="str">
        <f>IF('Observaciones-SMP'!I985="","",'Observaciones-SMP'!I985)</f>
        <v/>
      </c>
      <c r="J985" s="193" t="str">
        <f>IF('Observaciones-SMP'!J985="","",'Observaciones-SMP'!J985)</f>
        <v/>
      </c>
      <c r="K985" s="193" t="str">
        <f>IF('Observaciones-SMP'!K985="","",'Observaciones-SMP'!K985)</f>
        <v/>
      </c>
      <c r="L985" s="193" t="str">
        <f>IF('Observaciones-SMP'!L985="","",'Observaciones-SMP'!L985)</f>
        <v/>
      </c>
      <c r="M985" s="193" t="str">
        <f>IF('Observaciones-SMP'!M985="","",'Observaciones-SMP'!M985)</f>
        <v/>
      </c>
      <c r="N985" s="193" t="str">
        <f>IF('Observaciones-SMP'!N985="","",'Observaciones-SMP'!N985)</f>
        <v/>
      </c>
      <c r="O985" s="193" t="str">
        <f>IF('Observaciones-SMP'!O985="","",'Observaciones-SMP'!O985)</f>
        <v/>
      </c>
      <c r="P985" s="193" t="str">
        <f>IF('Observaciones-SMP'!P985="","",'Observaciones-SMP'!P985)</f>
        <v/>
      </c>
      <c r="Q985" s="257" t="str">
        <f>IF('Observaciones-SMP'!S985="","",'Observaciones-SMP'!S985)</f>
        <v/>
      </c>
      <c r="R985" s="193" t="str">
        <f>IF('Observaciones-SMP'!T985="","",'Observaciones-SMP'!T985)</f>
        <v/>
      </c>
      <c r="S985" s="193" t="str">
        <f>""</f>
        <v/>
      </c>
      <c r="T985" s="193" t="str">
        <f>""</f>
        <v/>
      </c>
      <c r="U985" s="193" t="str">
        <f t="shared" si="60"/>
        <v/>
      </c>
      <c r="V985" s="193" t="str">
        <f>""</f>
        <v/>
      </c>
      <c r="W985" s="193" t="str">
        <f>""</f>
        <v/>
      </c>
      <c r="X985" s="258" t="str">
        <f t="shared" si="61"/>
        <v/>
      </c>
      <c r="Y985" s="258" t="str">
        <f t="shared" si="62"/>
        <v/>
      </c>
      <c r="Z985" s="193" t="str">
        <f>IF(A985="","",IF(COUNTIF('Observaciones-SMP'!$A$2:$A$1001,A985)&gt;1,1,0))</f>
        <v/>
      </c>
      <c r="AA985" s="193" t="str">
        <f t="shared" si="63"/>
        <v/>
      </c>
    </row>
    <row r="986" spans="1:27" ht="13.5" customHeight="1" x14ac:dyDescent="0.3">
      <c r="A986" s="193" t="str">
        <f>IF('Observaciones-SMP'!A986="","",'Observaciones-SMP'!A986)</f>
        <v/>
      </c>
      <c r="B986" s="257" t="str">
        <f>IF('Observaciones-SMP'!B986="","",'Observaciones-SMP'!B986)</f>
        <v/>
      </c>
      <c r="C986" s="193" t="str">
        <f>IF('Observaciones-SMP'!C986="","",'Observaciones-SMP'!C986)</f>
        <v/>
      </c>
      <c r="D986" s="193" t="str">
        <f>IF('Observaciones-SMP'!D986="","",'Observaciones-SMP'!D986)</f>
        <v/>
      </c>
      <c r="E986" s="193" t="str">
        <f>IF('Observaciones-SMP'!E986="","",'Observaciones-SMP'!E986)</f>
        <v/>
      </c>
      <c r="F986" s="193" t="str">
        <f>IF('Observaciones-SMP'!F986="","",'Observaciones-SMP'!F986)</f>
        <v/>
      </c>
      <c r="G986" s="193" t="str">
        <f>IF('Observaciones-SMP'!G986="","",'Observaciones-SMP'!G986)</f>
        <v/>
      </c>
      <c r="H986" s="193" t="str">
        <f>IF('Observaciones-SMP'!H986="","",'Observaciones-SMP'!H986)</f>
        <v/>
      </c>
      <c r="I986" s="193" t="str">
        <f>IF('Observaciones-SMP'!I986="","",'Observaciones-SMP'!I986)</f>
        <v/>
      </c>
      <c r="J986" s="193" t="str">
        <f>IF('Observaciones-SMP'!J986="","",'Observaciones-SMP'!J986)</f>
        <v/>
      </c>
      <c r="K986" s="193" t="str">
        <f>IF('Observaciones-SMP'!K986="","",'Observaciones-SMP'!K986)</f>
        <v/>
      </c>
      <c r="L986" s="193" t="str">
        <f>IF('Observaciones-SMP'!L986="","",'Observaciones-SMP'!L986)</f>
        <v/>
      </c>
      <c r="M986" s="193" t="str">
        <f>IF('Observaciones-SMP'!M986="","",'Observaciones-SMP'!M986)</f>
        <v/>
      </c>
      <c r="N986" s="193" t="str">
        <f>IF('Observaciones-SMP'!N986="","",'Observaciones-SMP'!N986)</f>
        <v/>
      </c>
      <c r="O986" s="193" t="str">
        <f>IF('Observaciones-SMP'!O986="","",'Observaciones-SMP'!O986)</f>
        <v/>
      </c>
      <c r="P986" s="193" t="str">
        <f>IF('Observaciones-SMP'!P986="","",'Observaciones-SMP'!P986)</f>
        <v/>
      </c>
      <c r="Q986" s="257" t="str">
        <f>IF('Observaciones-SMP'!S986="","",'Observaciones-SMP'!S986)</f>
        <v/>
      </c>
      <c r="R986" s="193" t="str">
        <f>IF('Observaciones-SMP'!T986="","",'Observaciones-SMP'!T986)</f>
        <v/>
      </c>
      <c r="S986" s="193" t="str">
        <f>""</f>
        <v/>
      </c>
      <c r="T986" s="193" t="str">
        <f>""</f>
        <v/>
      </c>
      <c r="U986" s="193" t="str">
        <f t="shared" si="60"/>
        <v/>
      </c>
      <c r="V986" s="193" t="str">
        <f>""</f>
        <v/>
      </c>
      <c r="W986" s="193" t="str">
        <f>""</f>
        <v/>
      </c>
      <c r="X986" s="258" t="str">
        <f t="shared" si="61"/>
        <v/>
      </c>
      <c r="Y986" s="258" t="str">
        <f t="shared" si="62"/>
        <v/>
      </c>
      <c r="Z986" s="193" t="str">
        <f>IF(A986="","",IF(COUNTIF('Observaciones-SMP'!$A$2:$A$1001,A986)&gt;1,1,0))</f>
        <v/>
      </c>
      <c r="AA986" s="193" t="str">
        <f t="shared" si="63"/>
        <v/>
      </c>
    </row>
    <row r="987" spans="1:27" ht="13.5" customHeight="1" x14ac:dyDescent="0.3">
      <c r="A987" s="193" t="str">
        <f>IF('Observaciones-SMP'!A987="","",'Observaciones-SMP'!A987)</f>
        <v/>
      </c>
      <c r="B987" s="257" t="str">
        <f>IF('Observaciones-SMP'!B987="","",'Observaciones-SMP'!B987)</f>
        <v/>
      </c>
      <c r="C987" s="193" t="str">
        <f>IF('Observaciones-SMP'!C987="","",'Observaciones-SMP'!C987)</f>
        <v/>
      </c>
      <c r="D987" s="193" t="str">
        <f>IF('Observaciones-SMP'!D987="","",'Observaciones-SMP'!D987)</f>
        <v/>
      </c>
      <c r="E987" s="193" t="str">
        <f>IF('Observaciones-SMP'!E987="","",'Observaciones-SMP'!E987)</f>
        <v/>
      </c>
      <c r="F987" s="193" t="str">
        <f>IF('Observaciones-SMP'!F987="","",'Observaciones-SMP'!F987)</f>
        <v/>
      </c>
      <c r="G987" s="193" t="str">
        <f>IF('Observaciones-SMP'!G987="","",'Observaciones-SMP'!G987)</f>
        <v/>
      </c>
      <c r="H987" s="193" t="str">
        <f>IF('Observaciones-SMP'!H987="","",'Observaciones-SMP'!H987)</f>
        <v/>
      </c>
      <c r="I987" s="193" t="str">
        <f>IF('Observaciones-SMP'!I987="","",'Observaciones-SMP'!I987)</f>
        <v/>
      </c>
      <c r="J987" s="193" t="str">
        <f>IF('Observaciones-SMP'!J987="","",'Observaciones-SMP'!J987)</f>
        <v/>
      </c>
      <c r="K987" s="193" t="str">
        <f>IF('Observaciones-SMP'!K987="","",'Observaciones-SMP'!K987)</f>
        <v/>
      </c>
      <c r="L987" s="193" t="str">
        <f>IF('Observaciones-SMP'!L987="","",'Observaciones-SMP'!L987)</f>
        <v/>
      </c>
      <c r="M987" s="193" t="str">
        <f>IF('Observaciones-SMP'!M987="","",'Observaciones-SMP'!M987)</f>
        <v/>
      </c>
      <c r="N987" s="193" t="str">
        <f>IF('Observaciones-SMP'!N987="","",'Observaciones-SMP'!N987)</f>
        <v/>
      </c>
      <c r="O987" s="193" t="str">
        <f>IF('Observaciones-SMP'!O987="","",'Observaciones-SMP'!O987)</f>
        <v/>
      </c>
      <c r="P987" s="193" t="str">
        <f>IF('Observaciones-SMP'!P987="","",'Observaciones-SMP'!P987)</f>
        <v/>
      </c>
      <c r="Q987" s="257" t="str">
        <f>IF('Observaciones-SMP'!S987="","",'Observaciones-SMP'!S987)</f>
        <v/>
      </c>
      <c r="R987" s="193" t="str">
        <f>IF('Observaciones-SMP'!T987="","",'Observaciones-SMP'!T987)</f>
        <v/>
      </c>
      <c r="S987" s="193" t="str">
        <f>""</f>
        <v/>
      </c>
      <c r="T987" s="193" t="str">
        <f>""</f>
        <v/>
      </c>
      <c r="U987" s="193" t="str">
        <f t="shared" si="60"/>
        <v/>
      </c>
      <c r="V987" s="193" t="str">
        <f>""</f>
        <v/>
      </c>
      <c r="W987" s="193" t="str">
        <f>""</f>
        <v/>
      </c>
      <c r="X987" s="258" t="str">
        <f t="shared" si="61"/>
        <v/>
      </c>
      <c r="Y987" s="258" t="str">
        <f t="shared" si="62"/>
        <v/>
      </c>
      <c r="Z987" s="193" t="str">
        <f>IF(A987="","",IF(COUNTIF('Observaciones-SMP'!$A$2:$A$1001,A987)&gt;1,1,0))</f>
        <v/>
      </c>
      <c r="AA987" s="193" t="str">
        <f t="shared" si="63"/>
        <v/>
      </c>
    </row>
    <row r="988" spans="1:27" ht="13.5" customHeight="1" x14ac:dyDescent="0.3">
      <c r="A988" s="193" t="str">
        <f>IF('Observaciones-SMP'!A988="","",'Observaciones-SMP'!A988)</f>
        <v/>
      </c>
      <c r="B988" s="257" t="str">
        <f>IF('Observaciones-SMP'!B988="","",'Observaciones-SMP'!B988)</f>
        <v/>
      </c>
      <c r="C988" s="193" t="str">
        <f>IF('Observaciones-SMP'!C988="","",'Observaciones-SMP'!C988)</f>
        <v/>
      </c>
      <c r="D988" s="193" t="str">
        <f>IF('Observaciones-SMP'!D988="","",'Observaciones-SMP'!D988)</f>
        <v/>
      </c>
      <c r="E988" s="193" t="str">
        <f>IF('Observaciones-SMP'!E988="","",'Observaciones-SMP'!E988)</f>
        <v/>
      </c>
      <c r="F988" s="193" t="str">
        <f>IF('Observaciones-SMP'!F988="","",'Observaciones-SMP'!F988)</f>
        <v/>
      </c>
      <c r="G988" s="193" t="str">
        <f>IF('Observaciones-SMP'!G988="","",'Observaciones-SMP'!G988)</f>
        <v/>
      </c>
      <c r="H988" s="193" t="str">
        <f>IF('Observaciones-SMP'!H988="","",'Observaciones-SMP'!H988)</f>
        <v/>
      </c>
      <c r="I988" s="193" t="str">
        <f>IF('Observaciones-SMP'!I988="","",'Observaciones-SMP'!I988)</f>
        <v/>
      </c>
      <c r="J988" s="193" t="str">
        <f>IF('Observaciones-SMP'!J988="","",'Observaciones-SMP'!J988)</f>
        <v/>
      </c>
      <c r="K988" s="193" t="str">
        <f>IF('Observaciones-SMP'!K988="","",'Observaciones-SMP'!K988)</f>
        <v/>
      </c>
      <c r="L988" s="193" t="str">
        <f>IF('Observaciones-SMP'!L988="","",'Observaciones-SMP'!L988)</f>
        <v/>
      </c>
      <c r="M988" s="193" t="str">
        <f>IF('Observaciones-SMP'!M988="","",'Observaciones-SMP'!M988)</f>
        <v/>
      </c>
      <c r="N988" s="193" t="str">
        <f>IF('Observaciones-SMP'!N988="","",'Observaciones-SMP'!N988)</f>
        <v/>
      </c>
      <c r="O988" s="193" t="str">
        <f>IF('Observaciones-SMP'!O988="","",'Observaciones-SMP'!O988)</f>
        <v/>
      </c>
      <c r="P988" s="193" t="str">
        <f>IF('Observaciones-SMP'!P988="","",'Observaciones-SMP'!P988)</f>
        <v/>
      </c>
      <c r="Q988" s="257" t="str">
        <f>IF('Observaciones-SMP'!S988="","",'Observaciones-SMP'!S988)</f>
        <v/>
      </c>
      <c r="R988" s="193" t="str">
        <f>IF('Observaciones-SMP'!T988="","",'Observaciones-SMP'!T988)</f>
        <v/>
      </c>
      <c r="S988" s="193" t="str">
        <f>""</f>
        <v/>
      </c>
      <c r="T988" s="193" t="str">
        <f>""</f>
        <v/>
      </c>
      <c r="U988" s="193" t="str">
        <f t="shared" si="60"/>
        <v/>
      </c>
      <c r="V988" s="193" t="str">
        <f>""</f>
        <v/>
      </c>
      <c r="W988" s="193" t="str">
        <f>""</f>
        <v/>
      </c>
      <c r="X988" s="258" t="str">
        <f t="shared" si="61"/>
        <v/>
      </c>
      <c r="Y988" s="258" t="str">
        <f t="shared" si="62"/>
        <v/>
      </c>
      <c r="Z988" s="193" t="str">
        <f>IF(A988="","",IF(COUNTIF('Observaciones-SMP'!$A$2:$A$1001,A988)&gt;1,1,0))</f>
        <v/>
      </c>
      <c r="AA988" s="193" t="str">
        <f t="shared" si="63"/>
        <v/>
      </c>
    </row>
    <row r="989" spans="1:27" ht="13.5" customHeight="1" x14ac:dyDescent="0.3">
      <c r="A989" s="193" t="str">
        <f>IF('Observaciones-SMP'!A989="","",'Observaciones-SMP'!A989)</f>
        <v/>
      </c>
      <c r="B989" s="257" t="str">
        <f>IF('Observaciones-SMP'!B989="","",'Observaciones-SMP'!B989)</f>
        <v/>
      </c>
      <c r="C989" s="193" t="str">
        <f>IF('Observaciones-SMP'!C989="","",'Observaciones-SMP'!C989)</f>
        <v/>
      </c>
      <c r="D989" s="193" t="str">
        <f>IF('Observaciones-SMP'!D989="","",'Observaciones-SMP'!D989)</f>
        <v/>
      </c>
      <c r="E989" s="193" t="str">
        <f>IF('Observaciones-SMP'!E989="","",'Observaciones-SMP'!E989)</f>
        <v/>
      </c>
      <c r="F989" s="193" t="str">
        <f>IF('Observaciones-SMP'!F989="","",'Observaciones-SMP'!F989)</f>
        <v/>
      </c>
      <c r="G989" s="193" t="str">
        <f>IF('Observaciones-SMP'!G989="","",'Observaciones-SMP'!G989)</f>
        <v/>
      </c>
      <c r="H989" s="193" t="str">
        <f>IF('Observaciones-SMP'!H989="","",'Observaciones-SMP'!H989)</f>
        <v/>
      </c>
      <c r="I989" s="193" t="str">
        <f>IF('Observaciones-SMP'!I989="","",'Observaciones-SMP'!I989)</f>
        <v/>
      </c>
      <c r="J989" s="193" t="str">
        <f>IF('Observaciones-SMP'!J989="","",'Observaciones-SMP'!J989)</f>
        <v/>
      </c>
      <c r="K989" s="193" t="str">
        <f>IF('Observaciones-SMP'!K989="","",'Observaciones-SMP'!K989)</f>
        <v/>
      </c>
      <c r="L989" s="193" t="str">
        <f>IF('Observaciones-SMP'!L989="","",'Observaciones-SMP'!L989)</f>
        <v/>
      </c>
      <c r="M989" s="193" t="str">
        <f>IF('Observaciones-SMP'!M989="","",'Observaciones-SMP'!M989)</f>
        <v/>
      </c>
      <c r="N989" s="193" t="str">
        <f>IF('Observaciones-SMP'!N989="","",'Observaciones-SMP'!N989)</f>
        <v/>
      </c>
      <c r="O989" s="193" t="str">
        <f>IF('Observaciones-SMP'!O989="","",'Observaciones-SMP'!O989)</f>
        <v/>
      </c>
      <c r="P989" s="193" t="str">
        <f>IF('Observaciones-SMP'!P989="","",'Observaciones-SMP'!P989)</f>
        <v/>
      </c>
      <c r="Q989" s="257" t="str">
        <f>IF('Observaciones-SMP'!S989="","",'Observaciones-SMP'!S989)</f>
        <v/>
      </c>
      <c r="R989" s="193" t="str">
        <f>IF('Observaciones-SMP'!T989="","",'Observaciones-SMP'!T989)</f>
        <v/>
      </c>
      <c r="S989" s="193" t="str">
        <f>""</f>
        <v/>
      </c>
      <c r="T989" s="193" t="str">
        <f>""</f>
        <v/>
      </c>
      <c r="U989" s="193" t="str">
        <f t="shared" si="60"/>
        <v/>
      </c>
      <c r="V989" s="193" t="str">
        <f>""</f>
        <v/>
      </c>
      <c r="W989" s="193" t="str">
        <f>""</f>
        <v/>
      </c>
      <c r="X989" s="258" t="str">
        <f t="shared" si="61"/>
        <v/>
      </c>
      <c r="Y989" s="258" t="str">
        <f t="shared" si="62"/>
        <v/>
      </c>
      <c r="Z989" s="193" t="str">
        <f>IF(A989="","",IF(COUNTIF('Observaciones-SMP'!$A$2:$A$1001,A989)&gt;1,1,0))</f>
        <v/>
      </c>
      <c r="AA989" s="193" t="str">
        <f t="shared" si="63"/>
        <v/>
      </c>
    </row>
    <row r="990" spans="1:27" ht="13.5" customHeight="1" x14ac:dyDescent="0.3">
      <c r="A990" s="193" t="str">
        <f>IF('Observaciones-SMP'!A990="","",'Observaciones-SMP'!A990)</f>
        <v/>
      </c>
      <c r="B990" s="257" t="str">
        <f>IF('Observaciones-SMP'!B990="","",'Observaciones-SMP'!B990)</f>
        <v/>
      </c>
      <c r="C990" s="193" t="str">
        <f>IF('Observaciones-SMP'!C990="","",'Observaciones-SMP'!C990)</f>
        <v/>
      </c>
      <c r="D990" s="193" t="str">
        <f>IF('Observaciones-SMP'!D990="","",'Observaciones-SMP'!D990)</f>
        <v/>
      </c>
      <c r="E990" s="193" t="str">
        <f>IF('Observaciones-SMP'!E990="","",'Observaciones-SMP'!E990)</f>
        <v/>
      </c>
      <c r="F990" s="193" t="str">
        <f>IF('Observaciones-SMP'!F990="","",'Observaciones-SMP'!F990)</f>
        <v/>
      </c>
      <c r="G990" s="193" t="str">
        <f>IF('Observaciones-SMP'!G990="","",'Observaciones-SMP'!G990)</f>
        <v/>
      </c>
      <c r="H990" s="193" t="str">
        <f>IF('Observaciones-SMP'!H990="","",'Observaciones-SMP'!H990)</f>
        <v/>
      </c>
      <c r="I990" s="193" t="str">
        <f>IF('Observaciones-SMP'!I990="","",'Observaciones-SMP'!I990)</f>
        <v/>
      </c>
      <c r="J990" s="193" t="str">
        <f>IF('Observaciones-SMP'!J990="","",'Observaciones-SMP'!J990)</f>
        <v/>
      </c>
      <c r="K990" s="193" t="str">
        <f>IF('Observaciones-SMP'!K990="","",'Observaciones-SMP'!K990)</f>
        <v/>
      </c>
      <c r="L990" s="193" t="str">
        <f>IF('Observaciones-SMP'!L990="","",'Observaciones-SMP'!L990)</f>
        <v/>
      </c>
      <c r="M990" s="193" t="str">
        <f>IF('Observaciones-SMP'!M990="","",'Observaciones-SMP'!M990)</f>
        <v/>
      </c>
      <c r="N990" s="193" t="str">
        <f>IF('Observaciones-SMP'!N990="","",'Observaciones-SMP'!N990)</f>
        <v/>
      </c>
      <c r="O990" s="193" t="str">
        <f>IF('Observaciones-SMP'!O990="","",'Observaciones-SMP'!O990)</f>
        <v/>
      </c>
      <c r="P990" s="193" t="str">
        <f>IF('Observaciones-SMP'!P990="","",'Observaciones-SMP'!P990)</f>
        <v/>
      </c>
      <c r="Q990" s="257" t="str">
        <f>IF('Observaciones-SMP'!S990="","",'Observaciones-SMP'!S990)</f>
        <v/>
      </c>
      <c r="R990" s="193" t="str">
        <f>IF('Observaciones-SMP'!T990="","",'Observaciones-SMP'!T990)</f>
        <v/>
      </c>
      <c r="S990" s="193" t="str">
        <f>""</f>
        <v/>
      </c>
      <c r="T990" s="193" t="str">
        <f>""</f>
        <v/>
      </c>
      <c r="U990" s="193" t="str">
        <f t="shared" si="60"/>
        <v/>
      </c>
      <c r="V990" s="193" t="str">
        <f>""</f>
        <v/>
      </c>
      <c r="W990" s="193" t="str">
        <f>""</f>
        <v/>
      </c>
      <c r="X990" s="258" t="str">
        <f t="shared" si="61"/>
        <v/>
      </c>
      <c r="Y990" s="258" t="str">
        <f t="shared" si="62"/>
        <v/>
      </c>
      <c r="Z990" s="193" t="str">
        <f>IF(A990="","",IF(COUNTIF('Observaciones-SMP'!$A$2:$A$1001,A990)&gt;1,1,0))</f>
        <v/>
      </c>
      <c r="AA990" s="193" t="str">
        <f t="shared" si="63"/>
        <v/>
      </c>
    </row>
    <row r="991" spans="1:27" ht="13.5" customHeight="1" x14ac:dyDescent="0.3">
      <c r="A991" s="193" t="str">
        <f>IF('Observaciones-SMP'!A991="","",'Observaciones-SMP'!A991)</f>
        <v/>
      </c>
      <c r="B991" s="257" t="str">
        <f>IF('Observaciones-SMP'!B991="","",'Observaciones-SMP'!B991)</f>
        <v/>
      </c>
      <c r="C991" s="193" t="str">
        <f>IF('Observaciones-SMP'!C991="","",'Observaciones-SMP'!C991)</f>
        <v/>
      </c>
      <c r="D991" s="193" t="str">
        <f>IF('Observaciones-SMP'!D991="","",'Observaciones-SMP'!D991)</f>
        <v/>
      </c>
      <c r="E991" s="193" t="str">
        <f>IF('Observaciones-SMP'!E991="","",'Observaciones-SMP'!E991)</f>
        <v/>
      </c>
      <c r="F991" s="193" t="str">
        <f>IF('Observaciones-SMP'!F991="","",'Observaciones-SMP'!F991)</f>
        <v/>
      </c>
      <c r="G991" s="193" t="str">
        <f>IF('Observaciones-SMP'!G991="","",'Observaciones-SMP'!G991)</f>
        <v/>
      </c>
      <c r="H991" s="193" t="str">
        <f>IF('Observaciones-SMP'!H991="","",'Observaciones-SMP'!H991)</f>
        <v/>
      </c>
      <c r="I991" s="193" t="str">
        <f>IF('Observaciones-SMP'!I991="","",'Observaciones-SMP'!I991)</f>
        <v/>
      </c>
      <c r="J991" s="193" t="str">
        <f>IF('Observaciones-SMP'!J991="","",'Observaciones-SMP'!J991)</f>
        <v/>
      </c>
      <c r="K991" s="193" t="str">
        <f>IF('Observaciones-SMP'!K991="","",'Observaciones-SMP'!K991)</f>
        <v/>
      </c>
      <c r="L991" s="193" t="str">
        <f>IF('Observaciones-SMP'!L991="","",'Observaciones-SMP'!L991)</f>
        <v/>
      </c>
      <c r="M991" s="193" t="str">
        <f>IF('Observaciones-SMP'!M991="","",'Observaciones-SMP'!M991)</f>
        <v/>
      </c>
      <c r="N991" s="193" t="str">
        <f>IF('Observaciones-SMP'!N991="","",'Observaciones-SMP'!N991)</f>
        <v/>
      </c>
      <c r="O991" s="193" t="str">
        <f>IF('Observaciones-SMP'!O991="","",'Observaciones-SMP'!O991)</f>
        <v/>
      </c>
      <c r="P991" s="193" t="str">
        <f>IF('Observaciones-SMP'!P991="","",'Observaciones-SMP'!P991)</f>
        <v/>
      </c>
      <c r="Q991" s="257" t="str">
        <f>IF('Observaciones-SMP'!S991="","",'Observaciones-SMP'!S991)</f>
        <v/>
      </c>
      <c r="R991" s="193" t="str">
        <f>IF('Observaciones-SMP'!T991="","",'Observaciones-SMP'!T991)</f>
        <v/>
      </c>
      <c r="S991" s="193" t="str">
        <f>""</f>
        <v/>
      </c>
      <c r="T991" s="193" t="str">
        <f>""</f>
        <v/>
      </c>
      <c r="U991" s="193" t="str">
        <f t="shared" si="60"/>
        <v/>
      </c>
      <c r="V991" s="193" t="str">
        <f>""</f>
        <v/>
      </c>
      <c r="W991" s="193" t="str">
        <f>""</f>
        <v/>
      </c>
      <c r="X991" s="258" t="str">
        <f t="shared" si="61"/>
        <v/>
      </c>
      <c r="Y991" s="258" t="str">
        <f t="shared" si="62"/>
        <v/>
      </c>
      <c r="Z991" s="193" t="str">
        <f>IF(A991="","",IF(COUNTIF('Observaciones-SMP'!$A$2:$A$1001,A991)&gt;1,1,0))</f>
        <v/>
      </c>
      <c r="AA991" s="193" t="str">
        <f t="shared" si="63"/>
        <v/>
      </c>
    </row>
    <row r="992" spans="1:27" ht="13.5" customHeight="1" x14ac:dyDescent="0.3">
      <c r="A992" s="193" t="str">
        <f>IF('Observaciones-SMP'!A992="","",'Observaciones-SMP'!A992)</f>
        <v/>
      </c>
      <c r="B992" s="257" t="str">
        <f>IF('Observaciones-SMP'!B992="","",'Observaciones-SMP'!B992)</f>
        <v/>
      </c>
      <c r="C992" s="193" t="str">
        <f>IF('Observaciones-SMP'!C992="","",'Observaciones-SMP'!C992)</f>
        <v/>
      </c>
      <c r="D992" s="193" t="str">
        <f>IF('Observaciones-SMP'!D992="","",'Observaciones-SMP'!D992)</f>
        <v/>
      </c>
      <c r="E992" s="193" t="str">
        <f>IF('Observaciones-SMP'!E992="","",'Observaciones-SMP'!E992)</f>
        <v/>
      </c>
      <c r="F992" s="193" t="str">
        <f>IF('Observaciones-SMP'!F992="","",'Observaciones-SMP'!F992)</f>
        <v/>
      </c>
      <c r="G992" s="193" t="str">
        <f>IF('Observaciones-SMP'!G992="","",'Observaciones-SMP'!G992)</f>
        <v/>
      </c>
      <c r="H992" s="193" t="str">
        <f>IF('Observaciones-SMP'!H992="","",'Observaciones-SMP'!H992)</f>
        <v/>
      </c>
      <c r="I992" s="193" t="str">
        <f>IF('Observaciones-SMP'!I992="","",'Observaciones-SMP'!I992)</f>
        <v/>
      </c>
      <c r="J992" s="193" t="str">
        <f>IF('Observaciones-SMP'!J992="","",'Observaciones-SMP'!J992)</f>
        <v/>
      </c>
      <c r="K992" s="193" t="str">
        <f>IF('Observaciones-SMP'!K992="","",'Observaciones-SMP'!K992)</f>
        <v/>
      </c>
      <c r="L992" s="193" t="str">
        <f>IF('Observaciones-SMP'!L992="","",'Observaciones-SMP'!L992)</f>
        <v/>
      </c>
      <c r="M992" s="193" t="str">
        <f>IF('Observaciones-SMP'!M992="","",'Observaciones-SMP'!M992)</f>
        <v/>
      </c>
      <c r="N992" s="193" t="str">
        <f>IF('Observaciones-SMP'!N992="","",'Observaciones-SMP'!N992)</f>
        <v/>
      </c>
      <c r="O992" s="193" t="str">
        <f>IF('Observaciones-SMP'!O992="","",'Observaciones-SMP'!O992)</f>
        <v/>
      </c>
      <c r="P992" s="193" t="str">
        <f>IF('Observaciones-SMP'!P992="","",'Observaciones-SMP'!P992)</f>
        <v/>
      </c>
      <c r="Q992" s="257" t="str">
        <f>IF('Observaciones-SMP'!S992="","",'Observaciones-SMP'!S992)</f>
        <v/>
      </c>
      <c r="R992" s="193" t="str">
        <f>IF('Observaciones-SMP'!T992="","",'Observaciones-SMP'!T992)</f>
        <v/>
      </c>
      <c r="S992" s="193" t="str">
        <f>""</f>
        <v/>
      </c>
      <c r="T992" s="193" t="str">
        <f>""</f>
        <v/>
      </c>
      <c r="U992" s="193" t="str">
        <f t="shared" si="60"/>
        <v/>
      </c>
      <c r="V992" s="193" t="str">
        <f>""</f>
        <v/>
      </c>
      <c r="W992" s="193" t="str">
        <f>""</f>
        <v/>
      </c>
      <c r="X992" s="258" t="str">
        <f t="shared" si="61"/>
        <v/>
      </c>
      <c r="Y992" s="258" t="str">
        <f t="shared" si="62"/>
        <v/>
      </c>
      <c r="Z992" s="193" t="str">
        <f>IF(A992="","",IF(COUNTIF('Observaciones-SMP'!$A$2:$A$1001,A992)&gt;1,1,0))</f>
        <v/>
      </c>
      <c r="AA992" s="193" t="str">
        <f t="shared" si="63"/>
        <v/>
      </c>
    </row>
    <row r="993" spans="1:27" ht="13.5" customHeight="1" x14ac:dyDescent="0.3">
      <c r="A993" s="193" t="str">
        <f>IF('Observaciones-SMP'!A993="","",'Observaciones-SMP'!A993)</f>
        <v/>
      </c>
      <c r="B993" s="257" t="str">
        <f>IF('Observaciones-SMP'!B993="","",'Observaciones-SMP'!B993)</f>
        <v/>
      </c>
      <c r="C993" s="193" t="str">
        <f>IF('Observaciones-SMP'!C993="","",'Observaciones-SMP'!C993)</f>
        <v/>
      </c>
      <c r="D993" s="193" t="str">
        <f>IF('Observaciones-SMP'!D993="","",'Observaciones-SMP'!D993)</f>
        <v/>
      </c>
      <c r="E993" s="193" t="str">
        <f>IF('Observaciones-SMP'!E993="","",'Observaciones-SMP'!E993)</f>
        <v/>
      </c>
      <c r="F993" s="193" t="str">
        <f>IF('Observaciones-SMP'!F993="","",'Observaciones-SMP'!F993)</f>
        <v/>
      </c>
      <c r="G993" s="193" t="str">
        <f>IF('Observaciones-SMP'!G993="","",'Observaciones-SMP'!G993)</f>
        <v/>
      </c>
      <c r="H993" s="193" t="str">
        <f>IF('Observaciones-SMP'!H993="","",'Observaciones-SMP'!H993)</f>
        <v/>
      </c>
      <c r="I993" s="193" t="str">
        <f>IF('Observaciones-SMP'!I993="","",'Observaciones-SMP'!I993)</f>
        <v/>
      </c>
      <c r="J993" s="193" t="str">
        <f>IF('Observaciones-SMP'!J993="","",'Observaciones-SMP'!J993)</f>
        <v/>
      </c>
      <c r="K993" s="193" t="str">
        <f>IF('Observaciones-SMP'!K993="","",'Observaciones-SMP'!K993)</f>
        <v/>
      </c>
      <c r="L993" s="193" t="str">
        <f>IF('Observaciones-SMP'!L993="","",'Observaciones-SMP'!L993)</f>
        <v/>
      </c>
      <c r="M993" s="193" t="str">
        <f>IF('Observaciones-SMP'!M993="","",'Observaciones-SMP'!M993)</f>
        <v/>
      </c>
      <c r="N993" s="193" t="str">
        <f>IF('Observaciones-SMP'!N993="","",'Observaciones-SMP'!N993)</f>
        <v/>
      </c>
      <c r="O993" s="193" t="str">
        <f>IF('Observaciones-SMP'!O993="","",'Observaciones-SMP'!O993)</f>
        <v/>
      </c>
      <c r="P993" s="193" t="str">
        <f>IF('Observaciones-SMP'!P993="","",'Observaciones-SMP'!P993)</f>
        <v/>
      </c>
      <c r="Q993" s="257" t="str">
        <f>IF('Observaciones-SMP'!S993="","",'Observaciones-SMP'!S993)</f>
        <v/>
      </c>
      <c r="R993" s="193" t="str">
        <f>IF('Observaciones-SMP'!T993="","",'Observaciones-SMP'!T993)</f>
        <v/>
      </c>
      <c r="S993" s="193" t="str">
        <f>""</f>
        <v/>
      </c>
      <c r="T993" s="193" t="str">
        <f>""</f>
        <v/>
      </c>
      <c r="U993" s="193" t="str">
        <f t="shared" si="60"/>
        <v/>
      </c>
      <c r="V993" s="193" t="str">
        <f>""</f>
        <v/>
      </c>
      <c r="W993" s="193" t="str">
        <f>""</f>
        <v/>
      </c>
      <c r="X993" s="258" t="str">
        <f t="shared" si="61"/>
        <v/>
      </c>
      <c r="Y993" s="258" t="str">
        <f t="shared" si="62"/>
        <v/>
      </c>
      <c r="Z993" s="193" t="str">
        <f>IF(A993="","",IF(COUNTIF('Observaciones-SMP'!$A$2:$A$1001,A993)&gt;1,1,0))</f>
        <v/>
      </c>
      <c r="AA993" s="193" t="str">
        <f t="shared" si="63"/>
        <v/>
      </c>
    </row>
    <row r="994" spans="1:27" ht="13.5" customHeight="1" x14ac:dyDescent="0.3">
      <c r="A994" s="193" t="str">
        <f>IF('Observaciones-SMP'!A994="","",'Observaciones-SMP'!A994)</f>
        <v/>
      </c>
      <c r="B994" s="257" t="str">
        <f>IF('Observaciones-SMP'!B994="","",'Observaciones-SMP'!B994)</f>
        <v/>
      </c>
      <c r="C994" s="193" t="str">
        <f>IF('Observaciones-SMP'!C994="","",'Observaciones-SMP'!C994)</f>
        <v/>
      </c>
      <c r="D994" s="193" t="str">
        <f>IF('Observaciones-SMP'!D994="","",'Observaciones-SMP'!D994)</f>
        <v/>
      </c>
      <c r="E994" s="193" t="str">
        <f>IF('Observaciones-SMP'!E994="","",'Observaciones-SMP'!E994)</f>
        <v/>
      </c>
      <c r="F994" s="193" t="str">
        <f>IF('Observaciones-SMP'!F994="","",'Observaciones-SMP'!F994)</f>
        <v/>
      </c>
      <c r="G994" s="193" t="str">
        <f>IF('Observaciones-SMP'!G994="","",'Observaciones-SMP'!G994)</f>
        <v/>
      </c>
      <c r="H994" s="193" t="str">
        <f>IF('Observaciones-SMP'!H994="","",'Observaciones-SMP'!H994)</f>
        <v/>
      </c>
      <c r="I994" s="193" t="str">
        <f>IF('Observaciones-SMP'!I994="","",'Observaciones-SMP'!I994)</f>
        <v/>
      </c>
      <c r="J994" s="193" t="str">
        <f>IF('Observaciones-SMP'!J994="","",'Observaciones-SMP'!J994)</f>
        <v/>
      </c>
      <c r="K994" s="193" t="str">
        <f>IF('Observaciones-SMP'!K994="","",'Observaciones-SMP'!K994)</f>
        <v/>
      </c>
      <c r="L994" s="193" t="str">
        <f>IF('Observaciones-SMP'!L994="","",'Observaciones-SMP'!L994)</f>
        <v/>
      </c>
      <c r="M994" s="193" t="str">
        <f>IF('Observaciones-SMP'!M994="","",'Observaciones-SMP'!M994)</f>
        <v/>
      </c>
      <c r="N994" s="193" t="str">
        <f>IF('Observaciones-SMP'!N994="","",'Observaciones-SMP'!N994)</f>
        <v/>
      </c>
      <c r="O994" s="193" t="str">
        <f>IF('Observaciones-SMP'!O994="","",'Observaciones-SMP'!O994)</f>
        <v/>
      </c>
      <c r="P994" s="193" t="str">
        <f>IF('Observaciones-SMP'!P994="","",'Observaciones-SMP'!P994)</f>
        <v/>
      </c>
      <c r="Q994" s="257" t="str">
        <f>IF('Observaciones-SMP'!S994="","",'Observaciones-SMP'!S994)</f>
        <v/>
      </c>
      <c r="R994" s="193" t="str">
        <f>IF('Observaciones-SMP'!T994="","",'Observaciones-SMP'!T994)</f>
        <v/>
      </c>
      <c r="S994" s="193" t="str">
        <f>""</f>
        <v/>
      </c>
      <c r="T994" s="193" t="str">
        <f>""</f>
        <v/>
      </c>
      <c r="U994" s="193" t="str">
        <f t="shared" si="60"/>
        <v/>
      </c>
      <c r="V994" s="193" t="str">
        <f>""</f>
        <v/>
      </c>
      <c r="W994" s="193" t="str">
        <f>""</f>
        <v/>
      </c>
      <c r="X994" s="258" t="str">
        <f t="shared" si="61"/>
        <v/>
      </c>
      <c r="Y994" s="258" t="str">
        <f t="shared" si="62"/>
        <v/>
      </c>
      <c r="Z994" s="193" t="str">
        <f>IF(A994="","",IF(COUNTIF('Observaciones-SMP'!$A$2:$A$1001,A994)&gt;1,1,0))</f>
        <v/>
      </c>
      <c r="AA994" s="193" t="str">
        <f t="shared" si="63"/>
        <v/>
      </c>
    </row>
    <row r="995" spans="1:27" ht="13.5" customHeight="1" x14ac:dyDescent="0.3">
      <c r="A995" s="193" t="str">
        <f>IF('Observaciones-SMP'!A995="","",'Observaciones-SMP'!A995)</f>
        <v/>
      </c>
      <c r="B995" s="257" t="str">
        <f>IF('Observaciones-SMP'!B995="","",'Observaciones-SMP'!B995)</f>
        <v/>
      </c>
      <c r="C995" s="193" t="str">
        <f>IF('Observaciones-SMP'!C995="","",'Observaciones-SMP'!C995)</f>
        <v/>
      </c>
      <c r="D995" s="193" t="str">
        <f>IF('Observaciones-SMP'!D995="","",'Observaciones-SMP'!D995)</f>
        <v/>
      </c>
      <c r="E995" s="193" t="str">
        <f>IF('Observaciones-SMP'!E995="","",'Observaciones-SMP'!E995)</f>
        <v/>
      </c>
      <c r="F995" s="193" t="str">
        <f>IF('Observaciones-SMP'!F995="","",'Observaciones-SMP'!F995)</f>
        <v/>
      </c>
      <c r="G995" s="193" t="str">
        <f>IF('Observaciones-SMP'!G995="","",'Observaciones-SMP'!G995)</f>
        <v/>
      </c>
      <c r="H995" s="193" t="str">
        <f>IF('Observaciones-SMP'!H995="","",'Observaciones-SMP'!H995)</f>
        <v/>
      </c>
      <c r="I995" s="193" t="str">
        <f>IF('Observaciones-SMP'!I995="","",'Observaciones-SMP'!I995)</f>
        <v/>
      </c>
      <c r="J995" s="193" t="str">
        <f>IF('Observaciones-SMP'!J995="","",'Observaciones-SMP'!J995)</f>
        <v/>
      </c>
      <c r="K995" s="193" t="str">
        <f>IF('Observaciones-SMP'!K995="","",'Observaciones-SMP'!K995)</f>
        <v/>
      </c>
      <c r="L995" s="193" t="str">
        <f>IF('Observaciones-SMP'!L995="","",'Observaciones-SMP'!L995)</f>
        <v/>
      </c>
      <c r="M995" s="193" t="str">
        <f>IF('Observaciones-SMP'!M995="","",'Observaciones-SMP'!M995)</f>
        <v/>
      </c>
      <c r="N995" s="193" t="str">
        <f>IF('Observaciones-SMP'!N995="","",'Observaciones-SMP'!N995)</f>
        <v/>
      </c>
      <c r="O995" s="193" t="str">
        <f>IF('Observaciones-SMP'!O995="","",'Observaciones-SMP'!O995)</f>
        <v/>
      </c>
      <c r="P995" s="193" t="str">
        <f>IF('Observaciones-SMP'!P995="","",'Observaciones-SMP'!P995)</f>
        <v/>
      </c>
      <c r="Q995" s="257" t="str">
        <f>IF('Observaciones-SMP'!S995="","",'Observaciones-SMP'!S995)</f>
        <v/>
      </c>
      <c r="R995" s="193" t="str">
        <f>IF('Observaciones-SMP'!T995="","",'Observaciones-SMP'!T995)</f>
        <v/>
      </c>
      <c r="S995" s="193" t="str">
        <f>""</f>
        <v/>
      </c>
      <c r="T995" s="193" t="str">
        <f>""</f>
        <v/>
      </c>
      <c r="U995" s="193" t="str">
        <f t="shared" si="60"/>
        <v/>
      </c>
      <c r="V995" s="193" t="str">
        <f>""</f>
        <v/>
      </c>
      <c r="W995" s="193" t="str">
        <f>""</f>
        <v/>
      </c>
      <c r="X995" s="258" t="str">
        <f t="shared" si="61"/>
        <v/>
      </c>
      <c r="Y995" s="258" t="str">
        <f t="shared" si="62"/>
        <v/>
      </c>
      <c r="Z995" s="193" t="str">
        <f>IF(A995="","",IF(COUNTIF('Observaciones-SMP'!$A$2:$A$1001,A995)&gt;1,1,0))</f>
        <v/>
      </c>
      <c r="AA995" s="193" t="str">
        <f t="shared" si="63"/>
        <v/>
      </c>
    </row>
    <row r="996" spans="1:27" ht="13.5" customHeight="1" x14ac:dyDescent="0.3">
      <c r="A996" s="193" t="str">
        <f>IF('Observaciones-SMP'!A996="","",'Observaciones-SMP'!A996)</f>
        <v/>
      </c>
      <c r="B996" s="257" t="str">
        <f>IF('Observaciones-SMP'!B996="","",'Observaciones-SMP'!B996)</f>
        <v/>
      </c>
      <c r="C996" s="193" t="str">
        <f>IF('Observaciones-SMP'!C996="","",'Observaciones-SMP'!C996)</f>
        <v/>
      </c>
      <c r="D996" s="193" t="str">
        <f>IF('Observaciones-SMP'!D996="","",'Observaciones-SMP'!D996)</f>
        <v/>
      </c>
      <c r="E996" s="193" t="str">
        <f>IF('Observaciones-SMP'!E996="","",'Observaciones-SMP'!E996)</f>
        <v/>
      </c>
      <c r="F996" s="193" t="str">
        <f>IF('Observaciones-SMP'!F996="","",'Observaciones-SMP'!F996)</f>
        <v/>
      </c>
      <c r="G996" s="193" t="str">
        <f>IF('Observaciones-SMP'!G996="","",'Observaciones-SMP'!G996)</f>
        <v/>
      </c>
      <c r="H996" s="193" t="str">
        <f>IF('Observaciones-SMP'!H996="","",'Observaciones-SMP'!H996)</f>
        <v/>
      </c>
      <c r="I996" s="193" t="str">
        <f>IF('Observaciones-SMP'!I996="","",'Observaciones-SMP'!I996)</f>
        <v/>
      </c>
      <c r="J996" s="193" t="str">
        <f>IF('Observaciones-SMP'!J996="","",'Observaciones-SMP'!J996)</f>
        <v/>
      </c>
      <c r="K996" s="193" t="str">
        <f>IF('Observaciones-SMP'!K996="","",'Observaciones-SMP'!K996)</f>
        <v/>
      </c>
      <c r="L996" s="193" t="str">
        <f>IF('Observaciones-SMP'!L996="","",'Observaciones-SMP'!L996)</f>
        <v/>
      </c>
      <c r="M996" s="193" t="str">
        <f>IF('Observaciones-SMP'!M996="","",'Observaciones-SMP'!M996)</f>
        <v/>
      </c>
      <c r="N996" s="193" t="str">
        <f>IF('Observaciones-SMP'!N996="","",'Observaciones-SMP'!N996)</f>
        <v/>
      </c>
      <c r="O996" s="193" t="str">
        <f>IF('Observaciones-SMP'!O996="","",'Observaciones-SMP'!O996)</f>
        <v/>
      </c>
      <c r="P996" s="193" t="str">
        <f>IF('Observaciones-SMP'!P996="","",'Observaciones-SMP'!P996)</f>
        <v/>
      </c>
      <c r="Q996" s="257" t="str">
        <f>IF('Observaciones-SMP'!S996="","",'Observaciones-SMP'!S996)</f>
        <v/>
      </c>
      <c r="R996" s="193" t="str">
        <f>IF('Observaciones-SMP'!T996="","",'Observaciones-SMP'!T996)</f>
        <v/>
      </c>
      <c r="S996" s="193" t="str">
        <f>""</f>
        <v/>
      </c>
      <c r="T996" s="193" t="str">
        <f>""</f>
        <v/>
      </c>
      <c r="U996" s="193" t="str">
        <f t="shared" si="60"/>
        <v/>
      </c>
      <c r="V996" s="193" t="str">
        <f>""</f>
        <v/>
      </c>
      <c r="W996" s="193" t="str">
        <f>""</f>
        <v/>
      </c>
      <c r="X996" s="258" t="str">
        <f t="shared" si="61"/>
        <v/>
      </c>
      <c r="Y996" s="258" t="str">
        <f t="shared" si="62"/>
        <v/>
      </c>
      <c r="Z996" s="193" t="str">
        <f>IF(A996="","",IF(COUNTIF('Observaciones-SMP'!$A$2:$A$1001,A996)&gt;1,1,0))</f>
        <v/>
      </c>
      <c r="AA996" s="193" t="str">
        <f t="shared" si="63"/>
        <v/>
      </c>
    </row>
    <row r="997" spans="1:27" ht="13.5" customHeight="1" x14ac:dyDescent="0.3">
      <c r="A997" s="193" t="str">
        <f>IF('Observaciones-SMP'!A997="","",'Observaciones-SMP'!A997)</f>
        <v/>
      </c>
      <c r="B997" s="257" t="str">
        <f>IF('Observaciones-SMP'!B997="","",'Observaciones-SMP'!B997)</f>
        <v/>
      </c>
      <c r="C997" s="193" t="str">
        <f>IF('Observaciones-SMP'!C997="","",'Observaciones-SMP'!C997)</f>
        <v/>
      </c>
      <c r="D997" s="193" t="str">
        <f>IF('Observaciones-SMP'!D997="","",'Observaciones-SMP'!D997)</f>
        <v/>
      </c>
      <c r="E997" s="193" t="str">
        <f>IF('Observaciones-SMP'!E997="","",'Observaciones-SMP'!E997)</f>
        <v/>
      </c>
      <c r="F997" s="193" t="str">
        <f>IF('Observaciones-SMP'!F997="","",'Observaciones-SMP'!F997)</f>
        <v/>
      </c>
      <c r="G997" s="193" t="str">
        <f>IF('Observaciones-SMP'!G997="","",'Observaciones-SMP'!G997)</f>
        <v/>
      </c>
      <c r="H997" s="193" t="str">
        <f>IF('Observaciones-SMP'!H997="","",'Observaciones-SMP'!H997)</f>
        <v/>
      </c>
      <c r="I997" s="193" t="str">
        <f>IF('Observaciones-SMP'!I997="","",'Observaciones-SMP'!I997)</f>
        <v/>
      </c>
      <c r="J997" s="193" t="str">
        <f>IF('Observaciones-SMP'!J997="","",'Observaciones-SMP'!J997)</f>
        <v/>
      </c>
      <c r="K997" s="193" t="str">
        <f>IF('Observaciones-SMP'!K997="","",'Observaciones-SMP'!K997)</f>
        <v/>
      </c>
      <c r="L997" s="193" t="str">
        <f>IF('Observaciones-SMP'!L997="","",'Observaciones-SMP'!L997)</f>
        <v/>
      </c>
      <c r="M997" s="193" t="str">
        <f>IF('Observaciones-SMP'!M997="","",'Observaciones-SMP'!M997)</f>
        <v/>
      </c>
      <c r="N997" s="193" t="str">
        <f>IF('Observaciones-SMP'!N997="","",'Observaciones-SMP'!N997)</f>
        <v/>
      </c>
      <c r="O997" s="193" t="str">
        <f>IF('Observaciones-SMP'!O997="","",'Observaciones-SMP'!O997)</f>
        <v/>
      </c>
      <c r="P997" s="193" t="str">
        <f>IF('Observaciones-SMP'!P997="","",'Observaciones-SMP'!P997)</f>
        <v/>
      </c>
      <c r="Q997" s="257" t="str">
        <f>IF('Observaciones-SMP'!S997="","",'Observaciones-SMP'!S997)</f>
        <v/>
      </c>
      <c r="R997" s="193" t="str">
        <f>IF('Observaciones-SMP'!T997="","",'Observaciones-SMP'!T997)</f>
        <v/>
      </c>
      <c r="S997" s="193" t="str">
        <f>""</f>
        <v/>
      </c>
      <c r="T997" s="193" t="str">
        <f>""</f>
        <v/>
      </c>
      <c r="U997" s="193" t="str">
        <f t="shared" si="60"/>
        <v/>
      </c>
      <c r="V997" s="193" t="str">
        <f>""</f>
        <v/>
      </c>
      <c r="W997" s="193" t="str">
        <f>""</f>
        <v/>
      </c>
      <c r="X997" s="258" t="str">
        <f t="shared" si="61"/>
        <v/>
      </c>
      <c r="Y997" s="258" t="str">
        <f t="shared" si="62"/>
        <v/>
      </c>
      <c r="Z997" s="193" t="str">
        <f>IF(A997="","",IF(COUNTIF('Observaciones-SMP'!$A$2:$A$1001,A997)&gt;1,1,0))</f>
        <v/>
      </c>
      <c r="AA997" s="193" t="str">
        <f t="shared" si="63"/>
        <v/>
      </c>
    </row>
    <row r="998" spans="1:27" ht="13.5" customHeight="1" x14ac:dyDescent="0.3">
      <c r="A998" s="193" t="str">
        <f>IF('Observaciones-SMP'!A998="","",'Observaciones-SMP'!A998)</f>
        <v/>
      </c>
      <c r="B998" s="257" t="str">
        <f>IF('Observaciones-SMP'!B998="","",'Observaciones-SMP'!B998)</f>
        <v/>
      </c>
      <c r="C998" s="193" t="str">
        <f>IF('Observaciones-SMP'!C998="","",'Observaciones-SMP'!C998)</f>
        <v/>
      </c>
      <c r="D998" s="193" t="str">
        <f>IF('Observaciones-SMP'!D998="","",'Observaciones-SMP'!D998)</f>
        <v/>
      </c>
      <c r="E998" s="193" t="str">
        <f>IF('Observaciones-SMP'!E998="","",'Observaciones-SMP'!E998)</f>
        <v/>
      </c>
      <c r="F998" s="193" t="str">
        <f>IF('Observaciones-SMP'!F998="","",'Observaciones-SMP'!F998)</f>
        <v/>
      </c>
      <c r="G998" s="193" t="str">
        <f>IF('Observaciones-SMP'!G998="","",'Observaciones-SMP'!G998)</f>
        <v/>
      </c>
      <c r="H998" s="193" t="str">
        <f>IF('Observaciones-SMP'!H998="","",'Observaciones-SMP'!H998)</f>
        <v/>
      </c>
      <c r="I998" s="193" t="str">
        <f>IF('Observaciones-SMP'!I998="","",'Observaciones-SMP'!I998)</f>
        <v/>
      </c>
      <c r="J998" s="193" t="str">
        <f>IF('Observaciones-SMP'!J998="","",'Observaciones-SMP'!J998)</f>
        <v/>
      </c>
      <c r="K998" s="193" t="str">
        <f>IF('Observaciones-SMP'!K998="","",'Observaciones-SMP'!K998)</f>
        <v/>
      </c>
      <c r="L998" s="193" t="str">
        <f>IF('Observaciones-SMP'!L998="","",'Observaciones-SMP'!L998)</f>
        <v/>
      </c>
      <c r="M998" s="193" t="str">
        <f>IF('Observaciones-SMP'!M998="","",'Observaciones-SMP'!M998)</f>
        <v/>
      </c>
      <c r="N998" s="193" t="str">
        <f>IF('Observaciones-SMP'!N998="","",'Observaciones-SMP'!N998)</f>
        <v/>
      </c>
      <c r="O998" s="193" t="str">
        <f>IF('Observaciones-SMP'!O998="","",'Observaciones-SMP'!O998)</f>
        <v/>
      </c>
      <c r="P998" s="193" t="str">
        <f>IF('Observaciones-SMP'!P998="","",'Observaciones-SMP'!P998)</f>
        <v/>
      </c>
      <c r="Q998" s="257" t="str">
        <f>IF('Observaciones-SMP'!S998="","",'Observaciones-SMP'!S998)</f>
        <v/>
      </c>
      <c r="R998" s="193" t="str">
        <f>IF('Observaciones-SMP'!T998="","",'Observaciones-SMP'!T998)</f>
        <v/>
      </c>
      <c r="S998" s="193" t="str">
        <f>""</f>
        <v/>
      </c>
      <c r="T998" s="193" t="str">
        <f>""</f>
        <v/>
      </c>
      <c r="U998" s="193" t="str">
        <f t="shared" si="60"/>
        <v/>
      </c>
      <c r="V998" s="193" t="str">
        <f>""</f>
        <v/>
      </c>
      <c r="W998" s="193" t="str">
        <f>""</f>
        <v/>
      </c>
      <c r="X998" s="258" t="str">
        <f t="shared" si="61"/>
        <v/>
      </c>
      <c r="Y998" s="258" t="str">
        <f t="shared" si="62"/>
        <v/>
      </c>
      <c r="Z998" s="193" t="str">
        <f>IF(A998="","",IF(COUNTIF('Observaciones-SMP'!$A$2:$A$1001,A998)&gt;1,1,0))</f>
        <v/>
      </c>
      <c r="AA998" s="193" t="str">
        <f t="shared" si="63"/>
        <v/>
      </c>
    </row>
    <row r="999" spans="1:27" ht="13.5" customHeight="1" x14ac:dyDescent="0.3">
      <c r="A999" s="193" t="str">
        <f>IF('Observaciones-SMP'!A999="","",'Observaciones-SMP'!A999)</f>
        <v/>
      </c>
      <c r="B999" s="257" t="str">
        <f>IF('Observaciones-SMP'!B999="","",'Observaciones-SMP'!B999)</f>
        <v/>
      </c>
      <c r="C999" s="193" t="str">
        <f>IF('Observaciones-SMP'!C999="","",'Observaciones-SMP'!C999)</f>
        <v/>
      </c>
      <c r="D999" s="193" t="str">
        <f>IF('Observaciones-SMP'!D999="","",'Observaciones-SMP'!D999)</f>
        <v/>
      </c>
      <c r="E999" s="193" t="str">
        <f>IF('Observaciones-SMP'!E999="","",'Observaciones-SMP'!E999)</f>
        <v/>
      </c>
      <c r="F999" s="193" t="str">
        <f>IF('Observaciones-SMP'!F999="","",'Observaciones-SMP'!F999)</f>
        <v/>
      </c>
      <c r="G999" s="193" t="str">
        <f>IF('Observaciones-SMP'!G999="","",'Observaciones-SMP'!G999)</f>
        <v/>
      </c>
      <c r="H999" s="193" t="str">
        <f>IF('Observaciones-SMP'!H999="","",'Observaciones-SMP'!H999)</f>
        <v/>
      </c>
      <c r="I999" s="193" t="str">
        <f>IF('Observaciones-SMP'!I999="","",'Observaciones-SMP'!I999)</f>
        <v/>
      </c>
      <c r="J999" s="193" t="str">
        <f>IF('Observaciones-SMP'!J999="","",'Observaciones-SMP'!J999)</f>
        <v/>
      </c>
      <c r="K999" s="193" t="str">
        <f>IF('Observaciones-SMP'!K999="","",'Observaciones-SMP'!K999)</f>
        <v/>
      </c>
      <c r="L999" s="193" t="str">
        <f>IF('Observaciones-SMP'!L999="","",'Observaciones-SMP'!L999)</f>
        <v/>
      </c>
      <c r="M999" s="193" t="str">
        <f>IF('Observaciones-SMP'!M999="","",'Observaciones-SMP'!M999)</f>
        <v/>
      </c>
      <c r="N999" s="193" t="str">
        <f>IF('Observaciones-SMP'!N999="","",'Observaciones-SMP'!N999)</f>
        <v/>
      </c>
      <c r="O999" s="193" t="str">
        <f>IF('Observaciones-SMP'!O999="","",'Observaciones-SMP'!O999)</f>
        <v/>
      </c>
      <c r="P999" s="193" t="str">
        <f>IF('Observaciones-SMP'!P999="","",'Observaciones-SMP'!P999)</f>
        <v/>
      </c>
      <c r="Q999" s="257" t="str">
        <f>IF('Observaciones-SMP'!S999="","",'Observaciones-SMP'!S999)</f>
        <v/>
      </c>
      <c r="R999" s="193" t="str">
        <f>IF('Observaciones-SMP'!T999="","",'Observaciones-SMP'!T999)</f>
        <v/>
      </c>
      <c r="S999" s="193" t="str">
        <f>""</f>
        <v/>
      </c>
      <c r="T999" s="193" t="str">
        <f>""</f>
        <v/>
      </c>
      <c r="U999" s="193" t="str">
        <f t="shared" si="60"/>
        <v/>
      </c>
      <c r="V999" s="193" t="str">
        <f>""</f>
        <v/>
      </c>
      <c r="W999" s="193" t="str">
        <f>""</f>
        <v/>
      </c>
      <c r="X999" s="258" t="str">
        <f t="shared" si="61"/>
        <v/>
      </c>
      <c r="Y999" s="258" t="str">
        <f t="shared" si="62"/>
        <v/>
      </c>
      <c r="Z999" s="193" t="str">
        <f>IF(A999="","",IF(COUNTIF('Observaciones-SMP'!$A$2:$A$1001,A999)&gt;1,1,0))</f>
        <v/>
      </c>
      <c r="AA999" s="193" t="str">
        <f t="shared" si="63"/>
        <v/>
      </c>
    </row>
    <row r="1000" spans="1:27" ht="13.5" customHeight="1" x14ac:dyDescent="0.3">
      <c r="A1000" s="193" t="str">
        <f>IF('Observaciones-SMP'!A1000="","",'Observaciones-SMP'!A1000)</f>
        <v/>
      </c>
      <c r="B1000" s="257" t="str">
        <f>IF('Observaciones-SMP'!B1000="","",'Observaciones-SMP'!B1000)</f>
        <v/>
      </c>
      <c r="C1000" s="193" t="str">
        <f>IF('Observaciones-SMP'!C1000="","",'Observaciones-SMP'!C1000)</f>
        <v/>
      </c>
      <c r="D1000" s="193" t="str">
        <f>IF('Observaciones-SMP'!D1000="","",'Observaciones-SMP'!D1000)</f>
        <v/>
      </c>
      <c r="E1000" s="193" t="str">
        <f>IF('Observaciones-SMP'!E1000="","",'Observaciones-SMP'!E1000)</f>
        <v/>
      </c>
      <c r="F1000" s="193" t="str">
        <f>IF('Observaciones-SMP'!F1000="","",'Observaciones-SMP'!F1000)</f>
        <v/>
      </c>
      <c r="G1000" s="193" t="str">
        <f>IF('Observaciones-SMP'!G1000="","",'Observaciones-SMP'!G1000)</f>
        <v/>
      </c>
      <c r="H1000" s="193" t="str">
        <f>IF('Observaciones-SMP'!H1000="","",'Observaciones-SMP'!H1000)</f>
        <v/>
      </c>
      <c r="I1000" s="193" t="str">
        <f>IF('Observaciones-SMP'!I1000="","",'Observaciones-SMP'!I1000)</f>
        <v/>
      </c>
      <c r="J1000" s="193" t="str">
        <f>IF('Observaciones-SMP'!J1000="","",'Observaciones-SMP'!J1000)</f>
        <v/>
      </c>
      <c r="K1000" s="193" t="str">
        <f>IF('Observaciones-SMP'!K1000="","",'Observaciones-SMP'!K1000)</f>
        <v/>
      </c>
      <c r="L1000" s="193" t="str">
        <f>IF('Observaciones-SMP'!L1000="","",'Observaciones-SMP'!L1000)</f>
        <v/>
      </c>
      <c r="M1000" s="193" t="str">
        <f>IF('Observaciones-SMP'!M1000="","",'Observaciones-SMP'!M1000)</f>
        <v/>
      </c>
      <c r="N1000" s="193" t="str">
        <f>IF('Observaciones-SMP'!N1000="","",'Observaciones-SMP'!N1000)</f>
        <v/>
      </c>
      <c r="O1000" s="193" t="str">
        <f>IF('Observaciones-SMP'!O1000="","",'Observaciones-SMP'!O1000)</f>
        <v/>
      </c>
      <c r="P1000" s="193" t="str">
        <f>IF('Observaciones-SMP'!P1000="","",'Observaciones-SMP'!P1000)</f>
        <v/>
      </c>
      <c r="Q1000" s="257" t="str">
        <f>IF('Observaciones-SMP'!S1000="","",'Observaciones-SMP'!S1000)</f>
        <v/>
      </c>
      <c r="R1000" s="193" t="str">
        <f>IF('Observaciones-SMP'!T1000="","",'Observaciones-SMP'!T1000)</f>
        <v/>
      </c>
      <c r="S1000" s="193" t="str">
        <f>""</f>
        <v/>
      </c>
      <c r="T1000" s="193" t="str">
        <f>""</f>
        <v/>
      </c>
      <c r="U1000" s="193" t="str">
        <f t="shared" si="60"/>
        <v/>
      </c>
      <c r="V1000" s="193" t="str">
        <f>""</f>
        <v/>
      </c>
      <c r="W1000" s="193" t="str">
        <f>""</f>
        <v/>
      </c>
      <c r="X1000" s="258" t="str">
        <f t="shared" si="61"/>
        <v/>
      </c>
      <c r="Y1000" s="258" t="str">
        <f t="shared" si="62"/>
        <v/>
      </c>
      <c r="Z1000" s="193" t="str">
        <f>IF(A1000="","",IF(COUNTIF('Observaciones-SMP'!$A$2:$A$1001,A1000)&gt;1,1,0))</f>
        <v/>
      </c>
      <c r="AA1000" s="193" t="str">
        <f t="shared" si="63"/>
        <v/>
      </c>
    </row>
    <row r="1001" spans="1:27" ht="13.5" customHeight="1" x14ac:dyDescent="0.3">
      <c r="A1001" s="193" t="str">
        <f>IF('Observaciones-SMP'!A1001="","",'Observaciones-SMP'!A1001)</f>
        <v/>
      </c>
      <c r="B1001" s="257" t="str">
        <f>IF('Observaciones-SMP'!B1001="","",'Observaciones-SMP'!B1001)</f>
        <v/>
      </c>
      <c r="C1001" s="193" t="str">
        <f>IF('Observaciones-SMP'!C1001="","",'Observaciones-SMP'!C1001)</f>
        <v/>
      </c>
      <c r="D1001" s="193" t="str">
        <f>IF('Observaciones-SMP'!D1001="","",'Observaciones-SMP'!D1001)</f>
        <v/>
      </c>
      <c r="E1001" s="193" t="str">
        <f>IF('Observaciones-SMP'!E1001="","",'Observaciones-SMP'!E1001)</f>
        <v/>
      </c>
      <c r="F1001" s="193" t="str">
        <f>IF('Observaciones-SMP'!F1001="","",'Observaciones-SMP'!F1001)</f>
        <v/>
      </c>
      <c r="G1001" s="193" t="str">
        <f>IF('Observaciones-SMP'!G1001="","",'Observaciones-SMP'!G1001)</f>
        <v/>
      </c>
      <c r="H1001" s="193" t="str">
        <f>IF('Observaciones-SMP'!H1001="","",'Observaciones-SMP'!H1001)</f>
        <v/>
      </c>
      <c r="I1001" s="193" t="str">
        <f>IF('Observaciones-SMP'!I1001="","",'Observaciones-SMP'!I1001)</f>
        <v/>
      </c>
      <c r="J1001" s="193" t="str">
        <f>IF('Observaciones-SMP'!J1001="","",'Observaciones-SMP'!J1001)</f>
        <v/>
      </c>
      <c r="K1001" s="193" t="str">
        <f>IF('Observaciones-SMP'!K1001="","",'Observaciones-SMP'!K1001)</f>
        <v/>
      </c>
      <c r="L1001" s="193" t="str">
        <f>IF('Observaciones-SMP'!L1001="","",'Observaciones-SMP'!L1001)</f>
        <v/>
      </c>
      <c r="M1001" s="193" t="str">
        <f>IF('Observaciones-SMP'!M1001="","",'Observaciones-SMP'!M1001)</f>
        <v/>
      </c>
      <c r="N1001" s="193" t="str">
        <f>IF('Observaciones-SMP'!N1001="","",'Observaciones-SMP'!N1001)</f>
        <v/>
      </c>
      <c r="O1001" s="193" t="str">
        <f>IF('Observaciones-SMP'!O1001="","",'Observaciones-SMP'!O1001)</f>
        <v/>
      </c>
      <c r="P1001" s="193" t="str">
        <f>IF('Observaciones-SMP'!P1001="","",'Observaciones-SMP'!P1001)</f>
        <v/>
      </c>
      <c r="Q1001" s="257" t="str">
        <f>IF('Observaciones-SMP'!S1001="","",'Observaciones-SMP'!S1001)</f>
        <v/>
      </c>
      <c r="R1001" s="193" t="str">
        <f>IF('Observaciones-SMP'!T1001="","",'Observaciones-SMP'!T1001)</f>
        <v/>
      </c>
      <c r="S1001" s="193" t="str">
        <f>""</f>
        <v/>
      </c>
      <c r="T1001" s="193" t="str">
        <f>""</f>
        <v/>
      </c>
      <c r="U1001" s="193" t="str">
        <f t="shared" si="60"/>
        <v/>
      </c>
      <c r="V1001" s="193" t="str">
        <f>""</f>
        <v/>
      </c>
      <c r="W1001" s="193" t="str">
        <f>""</f>
        <v/>
      </c>
      <c r="X1001" s="258" t="str">
        <f t="shared" si="61"/>
        <v/>
      </c>
      <c r="Y1001" s="258" t="str">
        <f t="shared" si="62"/>
        <v/>
      </c>
      <c r="Z1001" s="193" t="str">
        <f>IF(A1001="","",IF(COUNTIF('Observaciones-SMP'!$A$2:$A$1001,A1001)&gt;1,1,0))</f>
        <v/>
      </c>
      <c r="AA1001" s="193" t="str">
        <f t="shared" si="63"/>
        <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DDE-B77E-45FF-A045-85633A2350CD}">
  <dimension ref="A1:K81"/>
  <sheetViews>
    <sheetView workbookViewId="0"/>
  </sheetViews>
  <sheetFormatPr baseColWidth="10" defaultColWidth="11.5546875" defaultRowHeight="14.4" x14ac:dyDescent="0.3"/>
  <cols>
    <col min="1" max="1" width="7" style="108" customWidth="1"/>
    <col min="2" max="2" width="23.44140625" style="108" customWidth="1"/>
    <col min="3" max="3" width="82.21875" style="108" customWidth="1"/>
    <col min="4" max="4" width="21.109375" style="108" customWidth="1"/>
    <col min="5" max="5" width="14.109375" style="108" customWidth="1"/>
    <col min="6" max="7" width="16.44140625" style="108" customWidth="1"/>
    <col min="8" max="8" width="58.77734375" style="108" customWidth="1"/>
  </cols>
  <sheetData>
    <row r="1" spans="1:11" ht="13.5" customHeight="1" x14ac:dyDescent="0.3">
      <c r="A1" t="s">
        <v>644</v>
      </c>
      <c r="K1" t="s">
        <v>645</v>
      </c>
    </row>
    <row r="2" spans="1:11" ht="13.5" customHeight="1" x14ac:dyDescent="0.3">
      <c r="B2" t="s">
        <v>1</v>
      </c>
      <c r="C2" s="258">
        <f>RPT_MONTH</f>
        <v>46296</v>
      </c>
      <c r="K2" t="s">
        <v>156</v>
      </c>
    </row>
    <row r="3" spans="1:11" ht="13.5" customHeight="1" x14ac:dyDescent="0.3">
      <c r="B3" t="s">
        <v>646</v>
      </c>
      <c r="C3" s="193">
        <f>IFERROR(MATCH(RPT_MONTH,Datos!$D$3:$AL$3,0),0)</f>
        <v>3</v>
      </c>
      <c r="K3" t="s">
        <v>157</v>
      </c>
    </row>
    <row r="4" spans="1:11" ht="13.5" customHeight="1" x14ac:dyDescent="0.3">
      <c r="B4" t="s">
        <v>647</v>
      </c>
      <c r="C4">
        <v>400</v>
      </c>
      <c r="K4" t="s">
        <v>100</v>
      </c>
    </row>
    <row r="5" spans="1:11" ht="13.5" customHeight="1" x14ac:dyDescent="0.3">
      <c r="B5" t="s">
        <v>648</v>
      </c>
      <c r="K5" t="s">
        <v>73</v>
      </c>
    </row>
    <row r="6" spans="1:11" ht="13.5" customHeight="1" x14ac:dyDescent="0.3">
      <c r="B6" t="s">
        <v>649</v>
      </c>
      <c r="C6">
        <v>1.0000000000000001E-9</v>
      </c>
      <c r="K6" t="s">
        <v>163</v>
      </c>
    </row>
    <row r="7" spans="1:11" ht="13.5" customHeight="1" x14ac:dyDescent="0.3"/>
    <row r="8" spans="1:11" ht="13.5" customHeight="1" x14ac:dyDescent="0.3">
      <c r="A8" s="7" t="s">
        <v>17</v>
      </c>
      <c r="B8" s="7" t="s">
        <v>650</v>
      </c>
      <c r="C8" s="7" t="s">
        <v>18</v>
      </c>
      <c r="D8" s="7" t="s">
        <v>651</v>
      </c>
      <c r="E8" s="7" t="s">
        <v>19</v>
      </c>
      <c r="F8" s="7" t="s">
        <v>20</v>
      </c>
      <c r="G8" s="7" t="s">
        <v>21</v>
      </c>
      <c r="H8" s="7" t="s">
        <v>22</v>
      </c>
    </row>
    <row r="9" spans="1:11" ht="14.25" customHeight="1" x14ac:dyDescent="0.3">
      <c r="A9" t="s">
        <v>652</v>
      </c>
      <c r="B9" t="s">
        <v>586</v>
      </c>
      <c r="C9" t="s">
        <v>653</v>
      </c>
      <c r="D9" t="s">
        <v>654</v>
      </c>
      <c r="E9" s="193">
        <f>IF(ISNUMBER(MATCH(RPT_MONTH,Datos!$D$3:$AL$3,0)),0,1)</f>
        <v>0</v>
      </c>
      <c r="F9" t="s">
        <v>655</v>
      </c>
      <c r="G9" s="193" t="str">
        <f t="shared" ref="G9:G40" si="0">IF(NOT(ISNUMBER(E9)),"ERROR",IF(E9&lt;0,"ERROR",IF(E9=0,"OK",F9)))</f>
        <v>OK</v>
      </c>
      <c r="H9" t="s">
        <v>656</v>
      </c>
    </row>
    <row r="10" spans="1:11" ht="14.25" customHeight="1" x14ac:dyDescent="0.3">
      <c r="A10" t="s">
        <v>657</v>
      </c>
      <c r="B10" t="s">
        <v>586</v>
      </c>
      <c r="C10" t="s">
        <v>658</v>
      </c>
      <c r="D10" t="s">
        <v>654</v>
      </c>
      <c r="E10" s="193">
        <f>IF(DAY(RPT_MONTH)=1,0,1)</f>
        <v>0</v>
      </c>
      <c r="F10" t="s">
        <v>655</v>
      </c>
      <c r="G10" s="193" t="str">
        <f t="shared" si="0"/>
        <v>OK</v>
      </c>
      <c r="H10" t="s">
        <v>659</v>
      </c>
    </row>
    <row r="11" spans="1:11" ht="14.25" customHeight="1" x14ac:dyDescent="0.3">
      <c r="A11" t="s">
        <v>660</v>
      </c>
      <c r="B11" t="s">
        <v>586</v>
      </c>
      <c r="C11" t="s">
        <v>661</v>
      </c>
      <c r="D11" t="s">
        <v>662</v>
      </c>
      <c r="E11" s="193">
        <f>SUMPRODUCT(--(Datos!$D$3:$AL$3&lt;&gt;KPIs!$D$3:$AL$3))</f>
        <v>0</v>
      </c>
      <c r="F11" t="s">
        <v>655</v>
      </c>
      <c r="G11" s="193" t="str">
        <f t="shared" si="0"/>
        <v>OK</v>
      </c>
      <c r="H11" t="s">
        <v>663</v>
      </c>
    </row>
    <row r="12" spans="1:11" ht="14.25" customHeight="1" x14ac:dyDescent="0.3">
      <c r="A12" t="s">
        <v>664</v>
      </c>
      <c r="B12" t="s">
        <v>586</v>
      </c>
      <c r="C12" t="s">
        <v>665</v>
      </c>
      <c r="D12" t="s">
        <v>666</v>
      </c>
      <c r="E12" s="193">
        <f>SUMPRODUCT(--(((YEAR(Datos!$E$3:$AL$3)*12+MONTH(Datos!$E$3:$AL$3))-(YEAR(Datos!$D$3:$AK$3)*12+MONTH(Datos!$D$3:$AK$3)))&lt;&gt;1))</f>
        <v>0</v>
      </c>
      <c r="F12" t="s">
        <v>655</v>
      </c>
      <c r="G12" s="193" t="str">
        <f t="shared" si="0"/>
        <v>OK</v>
      </c>
      <c r="H12" t="s">
        <v>667</v>
      </c>
    </row>
    <row r="13" spans="1:11" ht="14.25" customHeight="1" x14ac:dyDescent="0.3">
      <c r="A13" t="s">
        <v>668</v>
      </c>
      <c r="B13" t="s">
        <v>586</v>
      </c>
      <c r="C13" t="s">
        <v>669</v>
      </c>
      <c r="D13" t="s">
        <v>670</v>
      </c>
      <c r="E13" s="193">
        <f>IF($C$3=0,0,ABS(COUNTIF(BD_KPIs!$A$2:$A$1300,RPT_MONTH)-37))</f>
        <v>0</v>
      </c>
      <c r="F13" t="s">
        <v>655</v>
      </c>
      <c r="G13" s="193" t="str">
        <f t="shared" si="0"/>
        <v>OK</v>
      </c>
      <c r="H13" t="s">
        <v>671</v>
      </c>
    </row>
    <row r="14" spans="1:11" ht="14.25" customHeight="1" x14ac:dyDescent="0.3">
      <c r="A14" t="s">
        <v>672</v>
      </c>
      <c r="B14" t="s">
        <v>586</v>
      </c>
      <c r="C14" t="s">
        <v>673</v>
      </c>
      <c r="D14" t="s">
        <v>670</v>
      </c>
      <c r="E14" s="193">
        <f>IF($C$3=0,0,(SUMIFS(BD_KPIs!$K$2:$K$1300,BD_KPIs!$A$2:$A$1300,RPT_MONTH,BD_KPIs!$C$2:$C$1300,"DAFWCF",BD_KPIs!$J$2:$J$1300,"Cumulative")&lt;SUMIFS(BD_KPIs!$K$2:$K$1300,BD_KPIs!$A$2:$A$1300,RPT_MONTH,BD_KPIs!$C$2:$C$1300,"DAFWCF",BD_KPIs!$J$2:$J$1300,"YTD"))+(SUMIFS(BD_KPIs!$K$2:$K$1300,BD_KPIs!$A$2:$A$1300,RPT_MONTH,BD_KPIs!$C$2:$C$1300,"DAFWCF",BD_KPIs!$J$2:$J$1300,"YTD")&lt;SUMIFS(BD_KPIs!$K$2:$K$1300,BD_KPIs!$A$2:$A$1300,RPT_MONTH,BD_KPIs!$C$2:$C$1300,"DAFWCF",BD_KPIs!$J$2:$J$1300,"Monthly"))+(SUMIFS(BD_KPIs!$K$2:$K$1300,BD_KPIs!$A$2:$A$1300,RPT_MONTH,BD_KPIs!$C$2:$C$1300,"TRICF",BD_KPIs!$J$2:$J$1300,"Cumulative")&lt;SUMIFS(BD_KPIs!$K$2:$K$1300,BD_KPIs!$A$2:$A$1300,RPT_MONTH,BD_KPIs!$C$2:$C$1300,"TRICF",BD_KPIs!$J$2:$J$1300,"YTD"))+(SUMIFS(BD_KPIs!$K$2:$K$1300,BD_KPIs!$A$2:$A$1300,RPT_MONTH,BD_KPIs!$C$2:$C$1300,"TRICF",BD_KPIs!$J$2:$J$1300,"YTD")&lt;SUMIFS(BD_KPIs!$K$2:$K$1300,BD_KPIs!$A$2:$A$1300,RPT_MONTH,BD_KPIs!$C$2:$C$1300,"TRICF",BD_KPIs!$J$2:$J$1300,"Monthly"))+(SUMIFS(BD_KPIs!$K$2:$K$1300,BD_KPIs!$A$2:$A$1300,RPT_MONTH,BD_KPIs!$C$2:$C$1300,"FAC",BD_KPIs!$J$2:$J$1300,"Cumulative")&lt;SUMIFS(BD_KPIs!$K$2:$K$1300,BD_KPIs!$A$2:$A$1300,RPT_MONTH,BD_KPIs!$C$2:$C$1300,"FAC",BD_KPIs!$J$2:$J$1300,"YTD"))+(SUMIFS(BD_KPIs!$K$2:$K$1300,BD_KPIs!$A$2:$A$1300,RPT_MONTH,BD_KPIs!$C$2:$C$1300,"FAC",BD_KPIs!$J$2:$J$1300,"YTD")&lt;SUMIFS(BD_KPIs!$K$2:$K$1300,BD_KPIs!$A$2:$A$1300,RPT_MONTH,BD_KPIs!$C$2:$C$1300,"FAC",BD_KPIs!$J$2:$J$1300,"Monthly"))+(SUMIFS(BD_KPIs!$K$2:$K$1300,BD_KPIs!$A$2:$A$1300,RPT_MONTH,BD_KPIs!$C$2:$C$1300,"SVCR",BD_KPIs!$J$2:$J$1300,"Cumulative")&lt;SUMIFS(BD_KPIs!$K$2:$K$1300,BD_KPIs!$A$2:$A$1300,RPT_MONTH,BD_KPIs!$C$2:$C$1300,"SVCR",BD_KPIs!$J$2:$J$1300,"YTD"))+(SUMIFS(BD_KPIs!$K$2:$K$1300,BD_KPIs!$A$2:$A$1300,RPT_MONTH,BD_KPIs!$C$2:$C$1300,"SVCR",BD_KPIs!$J$2:$J$1300,"YTD")&lt;SUMIFS(BD_KPIs!$K$2:$K$1300,BD_KPIs!$A$2:$A$1300,RPT_MONTH,BD_KPIs!$C$2:$C$1300,"SVCR",BD_KPIs!$J$2:$J$1300,"Monthly"))+(SUMIFS(BD_KPIs!$K$2:$K$1300,BD_KPIs!$A$2:$A$1300,RPT_MONTH,BD_KPIs!$C$2:$C$1300,"TVCR",BD_KPIs!$J$2:$J$1300,"Cumulative")&lt;SUMIFS(BD_KPIs!$K$2:$K$1300,BD_KPIs!$A$2:$A$1300,RPT_MONTH,BD_KPIs!$C$2:$C$1300,"TVCR",BD_KPIs!$J$2:$J$1300,"YTD"))+(SUMIFS(BD_KPIs!$K$2:$K$1300,BD_KPIs!$A$2:$A$1300,RPT_MONTH,BD_KPIs!$C$2:$C$1300,"TVCR",BD_KPIs!$J$2:$J$1300,"YTD")&lt;SUMIFS(BD_KPIs!$K$2:$K$1300,BD_KPIs!$A$2:$A$1300,RPT_MONTH,BD_KPIs!$C$2:$C$1300,"TVCR",BD_KPIs!$J$2:$J$1300,"Monthly")))</f>
        <v>0</v>
      </c>
      <c r="F14" t="s">
        <v>655</v>
      </c>
      <c r="G14" s="193" t="str">
        <f t="shared" si="0"/>
        <v>OK</v>
      </c>
      <c r="H14" t="s">
        <v>674</v>
      </c>
    </row>
    <row r="15" spans="1:11" ht="14.25" customHeight="1" x14ac:dyDescent="0.3">
      <c r="A15" t="s">
        <v>675</v>
      </c>
      <c r="B15" t="s">
        <v>586</v>
      </c>
      <c r="C15" t="s">
        <v>676</v>
      </c>
      <c r="D15" t="s">
        <v>677</v>
      </c>
      <c r="E15" s="193">
        <f>IF($C$3=0,0,N(INDEX(Datos!$D$2:$AL$2,$C$3)))</f>
        <v>28</v>
      </c>
      <c r="F15" t="s">
        <v>678</v>
      </c>
      <c r="G15" s="193" t="str">
        <f t="shared" si="0"/>
        <v>ADVERTENCIA</v>
      </c>
      <c r="H15" t="s">
        <v>679</v>
      </c>
    </row>
    <row r="16" spans="1:11" ht="14.25" customHeight="1" x14ac:dyDescent="0.3">
      <c r="A16" t="s">
        <v>680</v>
      </c>
      <c r="B16" t="s">
        <v>586</v>
      </c>
      <c r="C16" t="s">
        <v>681</v>
      </c>
      <c r="D16" t="s">
        <v>572</v>
      </c>
      <c r="E16" s="193">
        <f>SUMPRODUCT(ISNUMBER('Observaciones-SMP'!$B$2:$B$1001)*('Observaciones-SMP'!$B$2:$B$1001&gt;DATE(YEAR(RPT_MONTH),MONTH(RPT_MONTH)+1,0)))</f>
        <v>0</v>
      </c>
      <c r="F16" t="s">
        <v>678</v>
      </c>
      <c r="G16" s="193" t="str">
        <f t="shared" si="0"/>
        <v>OK</v>
      </c>
      <c r="H16" t="s">
        <v>682</v>
      </c>
    </row>
    <row r="17" spans="1:8" ht="14.25" customHeight="1" x14ac:dyDescent="0.3">
      <c r="A17" t="s">
        <v>683</v>
      </c>
      <c r="B17" t="s">
        <v>586</v>
      </c>
      <c r="C17" t="s">
        <v>684</v>
      </c>
      <c r="D17" t="s">
        <v>572</v>
      </c>
      <c r="E17" s="193">
        <f>SUMPRODUCT(ISNUMBER('Observaciones-SMP'!$S$2:$S$1001)*('Observaciones-SMP'!$S$2:$S$1001&gt;DATE(YEAR(RPT_MONTH),MONTH(RPT_MONTH)+1,0)))</f>
        <v>0</v>
      </c>
      <c r="F17" t="s">
        <v>678</v>
      </c>
      <c r="G17" s="193" t="str">
        <f t="shared" si="0"/>
        <v>OK</v>
      </c>
      <c r="H17" t="s">
        <v>682</v>
      </c>
    </row>
    <row r="18" spans="1:8" ht="14.25" customHeight="1" x14ac:dyDescent="0.3">
      <c r="A18" t="s">
        <v>685</v>
      </c>
      <c r="B18" t="s">
        <v>586</v>
      </c>
      <c r="C18" t="s">
        <v>686</v>
      </c>
      <c r="D18" t="s">
        <v>687</v>
      </c>
      <c r="E18" s="193">
        <f>1</f>
        <v>1</v>
      </c>
      <c r="F18" t="s">
        <v>688</v>
      </c>
      <c r="G18" s="193" t="str">
        <f t="shared" si="0"/>
        <v>INFO</v>
      </c>
      <c r="H18" t="s">
        <v>689</v>
      </c>
    </row>
    <row r="19" spans="1:8" ht="14.25" customHeight="1" x14ac:dyDescent="0.3">
      <c r="A19" t="s">
        <v>690</v>
      </c>
      <c r="B19" t="s">
        <v>691</v>
      </c>
      <c r="C19" t="s">
        <v>692</v>
      </c>
      <c r="D19" t="s">
        <v>572</v>
      </c>
      <c r="E19" s="193">
        <f>SUMPRODUCT(('Observaciones-SMP'!$A$2:$A$1001&lt;&gt;"")*(COUNTIF('Observaciones-SMP'!$A$2:$A$1001,'Observaciones-SMP'!$A$2:$A$1001)&gt;1))</f>
        <v>0</v>
      </c>
      <c r="F19" t="s">
        <v>655</v>
      </c>
      <c r="G19" s="193" t="str">
        <f t="shared" si="0"/>
        <v>OK</v>
      </c>
      <c r="H19" t="s">
        <v>693</v>
      </c>
    </row>
    <row r="20" spans="1:8" ht="14.25" customHeight="1" x14ac:dyDescent="0.3">
      <c r="A20" t="s">
        <v>694</v>
      </c>
      <c r="B20" t="s">
        <v>691</v>
      </c>
      <c r="C20" t="s">
        <v>695</v>
      </c>
      <c r="D20" t="s">
        <v>572</v>
      </c>
      <c r="E20" s="193">
        <f>SUMPRODUCT((('Observaciones-SMP'!$A$2:$A$1001&lt;&gt;"")+('Observaciones-SMP'!$H$2:$H$1001&lt;&gt;"")&gt;0)*ISNUMBER('Observaciones-SMP'!$B$2:$B$1001)*(COUNTIFS('Observaciones-SMP'!$B$2:$B$1001,'Observaciones-SMP'!$B$2:$B$1001,'Observaciones-SMP'!$H$2:$H$1001,'Observaciones-SMP'!$H$2:$H$1001,'Observaciones-SMP'!$D$2:$D$1001,'Observaciones-SMP'!$D$2:$D$1001)&gt;1))</f>
        <v>0</v>
      </c>
      <c r="F20" t="s">
        <v>678</v>
      </c>
      <c r="G20" s="193" t="str">
        <f t="shared" si="0"/>
        <v>OK</v>
      </c>
      <c r="H20" t="s">
        <v>696</v>
      </c>
    </row>
    <row r="21" spans="1:8" ht="14.25" customHeight="1" x14ac:dyDescent="0.3">
      <c r="A21" t="s">
        <v>697</v>
      </c>
      <c r="B21" t="s">
        <v>691</v>
      </c>
      <c r="C21" t="s">
        <v>698</v>
      </c>
      <c r="D21" t="s">
        <v>670</v>
      </c>
      <c r="E21" s="193">
        <f>SUMPRODUCT((BD_KPIs!$Q$2:$Q$1300&lt;&gt;"")*(COUNTIF(BD_KPIs!$Q$2:$Q$1300,BD_KPIs!$Q$2:$Q$1300)&gt;1))</f>
        <v>0</v>
      </c>
      <c r="F21" t="s">
        <v>655</v>
      </c>
      <c r="G21" s="193" t="str">
        <f t="shared" si="0"/>
        <v>OK</v>
      </c>
      <c r="H21" t="s">
        <v>671</v>
      </c>
    </row>
    <row r="22" spans="1:8" ht="14.25" customHeight="1" x14ac:dyDescent="0.3">
      <c r="A22" t="s">
        <v>699</v>
      </c>
      <c r="B22" t="s">
        <v>700</v>
      </c>
      <c r="C22" t="s">
        <v>701</v>
      </c>
      <c r="D22" t="s">
        <v>572</v>
      </c>
      <c r="E22" s="193">
        <f>SUMPRODUCT((('Observaciones-SMP'!$A$2:$A$1001&lt;&gt;"")+('Observaciones-SMP'!$H$2:$H$1001&lt;&gt;"")&gt;0)*('Observaciones-SMP'!$B$2:$B$1001=""))</f>
        <v>0</v>
      </c>
      <c r="F22" t="s">
        <v>655</v>
      </c>
      <c r="G22" s="193" t="str">
        <f t="shared" si="0"/>
        <v>OK</v>
      </c>
      <c r="H22" t="s">
        <v>702</v>
      </c>
    </row>
    <row r="23" spans="1:8" ht="14.25" customHeight="1" x14ac:dyDescent="0.3">
      <c r="A23" t="s">
        <v>703</v>
      </c>
      <c r="B23" t="s">
        <v>700</v>
      </c>
      <c r="C23" t="s">
        <v>704</v>
      </c>
      <c r="D23" t="s">
        <v>572</v>
      </c>
      <c r="E23" s="193">
        <f>SUMPRODUCT((('Observaciones-SMP'!$A$2:$A$1001&lt;&gt;"")+('Observaciones-SMP'!$H$2:$H$1001&lt;&gt;"")&gt;0)*('Observaciones-SMP'!$H$2:$H$1001=""))</f>
        <v>0</v>
      </c>
      <c r="F23" t="s">
        <v>655</v>
      </c>
      <c r="G23" s="193" t="str">
        <f t="shared" si="0"/>
        <v>OK</v>
      </c>
      <c r="H23" t="s">
        <v>705</v>
      </c>
    </row>
    <row r="24" spans="1:8" ht="14.25" customHeight="1" x14ac:dyDescent="0.3">
      <c r="A24" t="s">
        <v>706</v>
      </c>
      <c r="B24" t="s">
        <v>700</v>
      </c>
      <c r="C24" t="s">
        <v>707</v>
      </c>
      <c r="D24" t="s">
        <v>572</v>
      </c>
      <c r="E24" s="193">
        <f>SUMPRODUCT((('Observaciones-SMP'!$A$2:$A$1001&lt;&gt;"")+('Observaciones-SMP'!$H$2:$H$1001&lt;&gt;"")&gt;0)*('Observaciones-SMP'!$O$2:$O$1001=""))</f>
        <v>0</v>
      </c>
      <c r="F24" t="s">
        <v>655</v>
      </c>
      <c r="G24" s="193" t="str">
        <f t="shared" si="0"/>
        <v>OK</v>
      </c>
      <c r="H24" t="s">
        <v>708</v>
      </c>
    </row>
    <row r="25" spans="1:8" ht="14.25" customHeight="1" x14ac:dyDescent="0.3">
      <c r="A25" t="s">
        <v>709</v>
      </c>
      <c r="B25" t="s">
        <v>700</v>
      </c>
      <c r="C25" t="s">
        <v>710</v>
      </c>
      <c r="D25" t="s">
        <v>572</v>
      </c>
      <c r="E25" s="193">
        <f>SUMPRODUCT((('Observaciones-SMP'!$A$2:$A$1001&lt;&gt;"")+('Observaciones-SMP'!$H$2:$H$1001&lt;&gt;"")&gt;0)*('Observaciones-SMP'!$F$2:$F$1001=""))</f>
        <v>0</v>
      </c>
      <c r="F25" t="s">
        <v>655</v>
      </c>
      <c r="G25" s="193" t="str">
        <f t="shared" si="0"/>
        <v>OK</v>
      </c>
      <c r="H25" t="s">
        <v>711</v>
      </c>
    </row>
    <row r="26" spans="1:8" ht="14.25" customHeight="1" x14ac:dyDescent="0.3">
      <c r="A26" t="s">
        <v>712</v>
      </c>
      <c r="B26" t="s">
        <v>700</v>
      </c>
      <c r="C26" t="s">
        <v>1719</v>
      </c>
      <c r="D26" t="s">
        <v>572</v>
      </c>
      <c r="E26" s="193">
        <f>COUNTA('Observaciones-SMP'!$T$2:$T$1001)-COUNTIF('Observaciones-SMP'!$T$2:$T$1001,"Sí")-COUNTIF('Observaciones-SMP'!$T$2:$T$1001,"No")</f>
        <v>0</v>
      </c>
      <c r="F26" t="s">
        <v>655</v>
      </c>
      <c r="G26" s="193" t="str">
        <f t="shared" si="0"/>
        <v>OK</v>
      </c>
      <c r="H26" t="s">
        <v>1720</v>
      </c>
    </row>
    <row r="27" spans="1:8" ht="14.25" customHeight="1" x14ac:dyDescent="0.3">
      <c r="A27" t="s">
        <v>713</v>
      </c>
      <c r="B27" t="s">
        <v>700</v>
      </c>
      <c r="C27" t="s">
        <v>714</v>
      </c>
      <c r="D27" t="s">
        <v>572</v>
      </c>
      <c r="E27" s="193">
        <f>SUMPRODUCT((('Observaciones-SMP'!$A$2:$A$1001&lt;&gt;"")+('Observaciones-SMP'!$H$2:$H$1001&lt;&gt;"")&gt;0)*('Observaciones-SMP'!$G$2:$G$1001=""))</f>
        <v>0</v>
      </c>
      <c r="F27" t="s">
        <v>678</v>
      </c>
      <c r="G27" s="193" t="str">
        <f t="shared" si="0"/>
        <v>OK</v>
      </c>
      <c r="H27" t="s">
        <v>715</v>
      </c>
    </row>
    <row r="28" spans="1:8" ht="14.25" customHeight="1" x14ac:dyDescent="0.3">
      <c r="A28" t="s">
        <v>716</v>
      </c>
      <c r="B28" t="s">
        <v>700</v>
      </c>
      <c r="C28" t="s">
        <v>717</v>
      </c>
      <c r="D28" t="s">
        <v>572</v>
      </c>
      <c r="E28" s="193">
        <f>SUMPRODUCT((('Observaciones-SMP'!$A$2:$A$1001&lt;&gt;"")+('Observaciones-SMP'!$H$2:$H$1001&lt;&gt;"")&gt;0)*('Observaciones-SMP'!$I$2:$I$1001=""))</f>
        <v>0</v>
      </c>
      <c r="F28" t="s">
        <v>655</v>
      </c>
      <c r="G28" s="193" t="str">
        <f t="shared" si="0"/>
        <v>OK</v>
      </c>
      <c r="H28" t="s">
        <v>718</v>
      </c>
    </row>
    <row r="29" spans="1:8" ht="14.25" customHeight="1" x14ac:dyDescent="0.3">
      <c r="A29" t="s">
        <v>719</v>
      </c>
      <c r="B29" t="s">
        <v>700</v>
      </c>
      <c r="C29" t="s">
        <v>1721</v>
      </c>
      <c r="D29" t="s">
        <v>572</v>
      </c>
      <c r="E29" s="193">
        <f>SUMPRODUCT(('Observaciones-SMP'!$T$2:$T$1001="Sí")*('Observaciones-SMP'!$M$2:$M$1001=""))</f>
        <v>0</v>
      </c>
      <c r="F29" t="s">
        <v>678</v>
      </c>
      <c r="G29" s="193" t="str">
        <f t="shared" si="0"/>
        <v>OK</v>
      </c>
      <c r="H29" t="s">
        <v>1722</v>
      </c>
    </row>
    <row r="30" spans="1:8" ht="14.25" customHeight="1" x14ac:dyDescent="0.3">
      <c r="A30" t="s">
        <v>720</v>
      </c>
      <c r="B30" t="s">
        <v>700</v>
      </c>
      <c r="C30" t="s">
        <v>1723</v>
      </c>
      <c r="D30" t="s">
        <v>572</v>
      </c>
      <c r="E30" s="193">
        <f>COUNTIFS('Observaciones-SMP'!$T$2:$T$1001,"Sí",'Observaciones-SMP'!$O$2:$O$1001,"&lt;&gt;Cerrado")</f>
        <v>0</v>
      </c>
      <c r="F30" t="s">
        <v>1724</v>
      </c>
      <c r="G30" s="193" t="str">
        <f t="shared" si="0"/>
        <v>OK</v>
      </c>
      <c r="H30" t="s">
        <v>1725</v>
      </c>
    </row>
    <row r="31" spans="1:8" ht="14.25" customHeight="1" x14ac:dyDescent="0.3">
      <c r="A31" t="s">
        <v>721</v>
      </c>
      <c r="B31" t="s">
        <v>700</v>
      </c>
      <c r="C31" t="s">
        <v>722</v>
      </c>
      <c r="D31" t="s">
        <v>572</v>
      </c>
      <c r="E31" s="193">
        <f>SUMPRODUCT((('Observaciones-SMP'!$A$2:$A$1001&lt;&gt;"")+('Observaciones-SMP'!$H$2:$H$1001&lt;&gt;"")&gt;0)*('Observaciones-SMP'!$O$2:$O$1001="Cerrado")*('Observaciones-SMP'!$S$2:$S$1001=""))</f>
        <v>15</v>
      </c>
      <c r="F31" t="s">
        <v>655</v>
      </c>
      <c r="G31" s="193" t="str">
        <f t="shared" si="0"/>
        <v>ERROR</v>
      </c>
      <c r="H31" t="s">
        <v>723</v>
      </c>
    </row>
    <row r="32" spans="1:8" ht="14.25" customHeight="1" x14ac:dyDescent="0.3">
      <c r="A32" t="s">
        <v>724</v>
      </c>
      <c r="B32" t="s">
        <v>725</v>
      </c>
      <c r="C32" t="s">
        <v>726</v>
      </c>
      <c r="D32" t="s">
        <v>572</v>
      </c>
      <c r="E32" s="193">
        <f>SUMPRODUCT((('Observaciones-SMP'!$A$2:$A$1001&lt;&gt;"")+('Observaciones-SMP'!$H$2:$H$1001&lt;&gt;"")&gt;0)*('Observaciones-SMP'!$B$2:$B$1001&lt;&gt;"")*(1-ISNUMBER('Observaciones-SMP'!$B$2:$B$1001)))</f>
        <v>0</v>
      </c>
      <c r="F32" t="s">
        <v>655</v>
      </c>
      <c r="G32" s="193" t="str">
        <f t="shared" si="0"/>
        <v>OK</v>
      </c>
      <c r="H32" t="s">
        <v>727</v>
      </c>
    </row>
    <row r="33" spans="1:8" ht="14.25" customHeight="1" x14ac:dyDescent="0.3">
      <c r="A33" t="s">
        <v>728</v>
      </c>
      <c r="B33" t="s">
        <v>725</v>
      </c>
      <c r="C33" t="s">
        <v>729</v>
      </c>
      <c r="D33" t="s">
        <v>572</v>
      </c>
      <c r="E33" s="193">
        <f>SUMPRODUCT((('Observaciones-SMP'!$A$2:$A$1001&lt;&gt;"")+('Observaciones-SMP'!$H$2:$H$1001&lt;&gt;"")&gt;0)*ISNUMBER('Observaciones-SMP'!$B$2:$B$1001)*((('Observaciones-SMP'!$B$2:$B$1001&lt;Datos!$D$3)+('Observaciones-SMP'!$B$2:$B$1001&gt;DATE(YEAR(Datos!$AL$3),MONTH(Datos!$AL$3)+1,0)))&gt;0))</f>
        <v>0</v>
      </c>
      <c r="F33" t="s">
        <v>678</v>
      </c>
      <c r="G33" s="193" t="str">
        <f t="shared" si="0"/>
        <v>OK</v>
      </c>
      <c r="H33" t="s">
        <v>730</v>
      </c>
    </row>
    <row r="34" spans="1:8" ht="14.25" customHeight="1" x14ac:dyDescent="0.3">
      <c r="A34" t="s">
        <v>731</v>
      </c>
      <c r="B34" t="s">
        <v>725</v>
      </c>
      <c r="C34" t="s">
        <v>732</v>
      </c>
      <c r="D34" t="s">
        <v>572</v>
      </c>
      <c r="E34" s="193">
        <f>SUMPRODUCT(ISNUMBER('Observaciones-SMP'!$S$2:$S$1001)*ISNUMBER('Observaciones-SMP'!$B$2:$B$1001)*('Observaciones-SMP'!$S$2:$S$1001&lt;'Observaciones-SMP'!$B$2:$B$1001))</f>
        <v>2</v>
      </c>
      <c r="F34" t="s">
        <v>655</v>
      </c>
      <c r="G34" s="193" t="str">
        <f t="shared" si="0"/>
        <v>ERROR</v>
      </c>
      <c r="H34" t="s">
        <v>733</v>
      </c>
    </row>
    <row r="35" spans="1:8" ht="14.25" customHeight="1" x14ac:dyDescent="0.3">
      <c r="A35" t="s">
        <v>734</v>
      </c>
      <c r="B35" t="s">
        <v>725</v>
      </c>
      <c r="C35" t="s">
        <v>735</v>
      </c>
      <c r="D35" t="s">
        <v>572</v>
      </c>
      <c r="E35" s="193">
        <f>SUMPRODUCT((('Observaciones-SMP'!$A$2:$A$1001&lt;&gt;"")+('Observaciones-SMP'!$H$2:$H$1001&lt;&gt;"")&gt;0)*('Observaciones-SMP'!$S$2:$S$1001&lt;&gt;"")*(1-ISNUMBER('Observaciones-SMP'!$S$2:$S$1001)))</f>
        <v>4</v>
      </c>
      <c r="F35" t="s">
        <v>655</v>
      </c>
      <c r="G35" s="193" t="str">
        <f t="shared" si="0"/>
        <v>ERROR</v>
      </c>
      <c r="H35" t="s">
        <v>733</v>
      </c>
    </row>
    <row r="36" spans="1:8" ht="14.25" customHeight="1" x14ac:dyDescent="0.3">
      <c r="A36" t="s">
        <v>736</v>
      </c>
      <c r="B36" t="s">
        <v>725</v>
      </c>
      <c r="C36" t="s">
        <v>737</v>
      </c>
      <c r="D36" t="s">
        <v>572</v>
      </c>
      <c r="E36" s="193">
        <f>SUMPRODUCT(ISNUMBER('Observaciones-SMP'!$S$2:$S$1001)*('Observaciones-SMP'!$O$2:$O$1001&lt;&gt;"Cerrado"))</f>
        <v>0</v>
      </c>
      <c r="F36" t="s">
        <v>678</v>
      </c>
      <c r="G36" s="193" t="str">
        <f t="shared" si="0"/>
        <v>OK</v>
      </c>
      <c r="H36" t="s">
        <v>738</v>
      </c>
    </row>
    <row r="37" spans="1:8" ht="14.25" customHeight="1" x14ac:dyDescent="0.3">
      <c r="A37" t="s">
        <v>739</v>
      </c>
      <c r="B37" t="s">
        <v>725</v>
      </c>
      <c r="C37" t="s">
        <v>740</v>
      </c>
      <c r="D37" t="s">
        <v>572</v>
      </c>
      <c r="E37" s="193">
        <f>COUNTIF(_FIND_DS!$U$2:$U$1001,"&gt;365")</f>
        <v>0</v>
      </c>
      <c r="F37" t="s">
        <v>678</v>
      </c>
      <c r="G37" s="193" t="str">
        <f t="shared" si="0"/>
        <v>OK</v>
      </c>
      <c r="H37" t="s">
        <v>741</v>
      </c>
    </row>
    <row r="38" spans="1:8" ht="14.25" customHeight="1" x14ac:dyDescent="0.3">
      <c r="A38" t="s">
        <v>742</v>
      </c>
      <c r="B38" t="s">
        <v>743</v>
      </c>
      <c r="C38" t="s">
        <v>744</v>
      </c>
      <c r="D38" t="s">
        <v>745</v>
      </c>
      <c r="E38" s="193">
        <f>SUMPRODUCT((Datos!$C$6:$C$46&lt;&gt;"")*(COUNTIF($K$2:$K$6,Datos!$C$6:$C$46)=0))</f>
        <v>0</v>
      </c>
      <c r="F38" t="s">
        <v>655</v>
      </c>
      <c r="G38" s="193" t="str">
        <f t="shared" si="0"/>
        <v>OK</v>
      </c>
      <c r="H38" t="s">
        <v>746</v>
      </c>
    </row>
    <row r="39" spans="1:8" ht="14.25" customHeight="1" x14ac:dyDescent="0.3">
      <c r="A39" t="s">
        <v>747</v>
      </c>
      <c r="B39" t="s">
        <v>743</v>
      </c>
      <c r="C39" t="s">
        <v>748</v>
      </c>
      <c r="D39" t="s">
        <v>749</v>
      </c>
      <c r="E39" s="193">
        <f>SUMPRODUCT(--ISTEXT(Datos!$D$6:$AL$46),--(Datos!$D$6:$AL$46&lt;&gt;""))</f>
        <v>0</v>
      </c>
      <c r="F39" t="s">
        <v>655</v>
      </c>
      <c r="G39" s="193" t="str">
        <f t="shared" si="0"/>
        <v>OK</v>
      </c>
      <c r="H39" t="s">
        <v>750</v>
      </c>
    </row>
    <row r="40" spans="1:8" ht="14.25" customHeight="1" x14ac:dyDescent="0.3">
      <c r="A40" t="s">
        <v>751</v>
      </c>
      <c r="B40" t="s">
        <v>743</v>
      </c>
      <c r="C40" t="s">
        <v>752</v>
      </c>
      <c r="D40" t="s">
        <v>749</v>
      </c>
      <c r="E40" s="193">
        <f>COUNTIF(Datos!$D$6:$AL$46,"&lt;0")</f>
        <v>0</v>
      </c>
      <c r="F40" t="s">
        <v>655</v>
      </c>
      <c r="G40" s="193" t="str">
        <f t="shared" si="0"/>
        <v>OK</v>
      </c>
      <c r="H40" t="s">
        <v>753</v>
      </c>
    </row>
    <row r="41" spans="1:8" ht="14.25" customHeight="1" x14ac:dyDescent="0.3">
      <c r="A41" t="s">
        <v>754</v>
      </c>
      <c r="B41" t="s">
        <v>743</v>
      </c>
      <c r="C41" t="s">
        <v>755</v>
      </c>
      <c r="D41" t="s">
        <v>749</v>
      </c>
      <c r="E41" s="193">
        <f>SUMPRODUCT(((Datos!$C$6:$C$46="u")+(Datos!$C$6:$C$46="pers")&gt;0)*ISNUMBER(Datos!$D$6:$AL$46)*(IFERROR(MOD(Datos!$D$6:$AL$46,1),0)&lt;&gt;0))</f>
        <v>0</v>
      </c>
      <c r="F41" t="s">
        <v>678</v>
      </c>
      <c r="G41" s="193" t="str">
        <f t="shared" ref="G41:G72" si="1">IF(NOT(ISNUMBER(E41)),"ERROR",IF(E41&lt;0,"ERROR",IF(E41=0,"OK",F41)))</f>
        <v>OK</v>
      </c>
      <c r="H41" t="s">
        <v>756</v>
      </c>
    </row>
    <row r="42" spans="1:8" ht="14.25" customHeight="1" x14ac:dyDescent="0.3">
      <c r="A42" t="s">
        <v>757</v>
      </c>
      <c r="B42" t="s">
        <v>758</v>
      </c>
      <c r="C42" t="s">
        <v>759</v>
      </c>
      <c r="D42" t="s">
        <v>670</v>
      </c>
      <c r="E42" s="193">
        <f>IF($C$3=0,0,SUMPRODUCT((BD_KPIs!$A$2:$A$1300=RPT_MONTH)*(BD_KPIs!$J$2:$J$1300="Monthly")*ISNUMBER(BD_KPIs!$L$2:$L$1300)*(BD_KPIs!$L$2:$L$1300=0)*ISNUMBER(BD_KPIs!$K$2:$K$1300)*(BD_KPIs!$K$2:$K$1300&gt;0)))</f>
        <v>1</v>
      </c>
      <c r="F42" t="s">
        <v>655</v>
      </c>
      <c r="G42" s="193" t="str">
        <f t="shared" si="1"/>
        <v>ERROR</v>
      </c>
      <c r="H42" t="s">
        <v>760</v>
      </c>
    </row>
    <row r="43" spans="1:8" ht="14.25" customHeight="1" x14ac:dyDescent="0.3">
      <c r="A43" t="s">
        <v>761</v>
      </c>
      <c r="B43" t="s">
        <v>758</v>
      </c>
      <c r="C43" t="s">
        <v>762</v>
      </c>
      <c r="D43" t="s">
        <v>670</v>
      </c>
      <c r="E43" s="193">
        <f>IF($C$3=0,0,SUMPRODUCT((BD_KPIs!$A$2:$A$1300=RPT_MONTH)*(BD_KPIs!$J$2:$J$1300="Monthly")*ISNUMBER(BD_KPIs!$L$2:$L$1300)*(BD_KPIs!$L$2:$L$1300=0)))</f>
        <v>8</v>
      </c>
      <c r="F43" t="s">
        <v>678</v>
      </c>
      <c r="G43" s="193" t="str">
        <f t="shared" si="1"/>
        <v>ADVERTENCIA</v>
      </c>
      <c r="H43" t="s">
        <v>763</v>
      </c>
    </row>
    <row r="44" spans="1:8" ht="14.25" customHeight="1" x14ac:dyDescent="0.3">
      <c r="A44" t="s">
        <v>764</v>
      </c>
      <c r="B44" t="s">
        <v>758</v>
      </c>
      <c r="C44" t="s">
        <v>765</v>
      </c>
      <c r="D44" t="s">
        <v>670</v>
      </c>
      <c r="E44" s="193">
        <f>IF($C$3=0,0,SUMPRODUCT((BD_KPIs!$A$2:$A$1300=RPT_MONTH)*(BD_KPIs!$J$2:$J$1300&lt;&gt;"Monthly")*ISNUMBER(BD_KPIs!$L$2:$L$1300)*(BD_KPIs!$L$2:$L$1300=0)))</f>
        <v>2</v>
      </c>
      <c r="F44" t="s">
        <v>678</v>
      </c>
      <c r="G44" s="193" t="str">
        <f t="shared" si="1"/>
        <v>ADVERTENCIA</v>
      </c>
      <c r="H44" t="s">
        <v>766</v>
      </c>
    </row>
    <row r="45" spans="1:8" ht="14.25" customHeight="1" x14ac:dyDescent="0.3">
      <c r="A45" t="s">
        <v>767</v>
      </c>
      <c r="B45" t="s">
        <v>758</v>
      </c>
      <c r="C45" t="s">
        <v>768</v>
      </c>
      <c r="D45" t="s">
        <v>670</v>
      </c>
      <c r="E45" s="193">
        <f>IF($C$3=0,0,SUMPRODUCT((BD_KPIs!$A$2:$A$1300=RPT_MONTH)*(BD_KPIs!$J$2:$J$1300&lt;&gt;"Monthly")*(BD_KPIs!$O$2:$O$1300="INCOMPLETE")))</f>
        <v>0</v>
      </c>
      <c r="F45" t="s">
        <v>655</v>
      </c>
      <c r="G45" s="193" t="str">
        <f t="shared" si="1"/>
        <v>OK</v>
      </c>
      <c r="H45" t="s">
        <v>769</v>
      </c>
    </row>
    <row r="46" spans="1:8" ht="14.25" customHeight="1" x14ac:dyDescent="0.3">
      <c r="A46" t="s">
        <v>770</v>
      </c>
      <c r="B46" t="s">
        <v>771</v>
      </c>
      <c r="C46" t="s">
        <v>772</v>
      </c>
      <c r="D46" t="s">
        <v>773</v>
      </c>
      <c r="E46" s="193">
        <f>SUMPRODUCT(--(N(+_HIST_KPI!$Y$2:$Y$1300)=1))</f>
        <v>0</v>
      </c>
      <c r="F46" t="s">
        <v>655</v>
      </c>
      <c r="G46" s="193" t="str">
        <f t="shared" si="1"/>
        <v>OK</v>
      </c>
      <c r="H46" t="s">
        <v>774</v>
      </c>
    </row>
    <row r="47" spans="1:8" ht="14.25" customHeight="1" x14ac:dyDescent="0.3">
      <c r="A47" t="s">
        <v>775</v>
      </c>
      <c r="B47" t="s">
        <v>771</v>
      </c>
      <c r="C47" t="s">
        <v>776</v>
      </c>
      <c r="D47" t="s">
        <v>777</v>
      </c>
      <c r="E47" s="193">
        <f>SUMPRODUCT((Datos!$D$3:$AL$3&lt;RPT_MONTH)*(Datos!$D$14:$AL$14&gt;0)*(COUNTIF(_HIST_KPI!$A$2:$A$1300,Datos!$D$3:$AL$3)=0))</f>
        <v>2</v>
      </c>
      <c r="F47" t="s">
        <v>678</v>
      </c>
      <c r="G47" s="193" t="str">
        <f t="shared" si="1"/>
        <v>ADVERTENCIA</v>
      </c>
      <c r="H47" t="s">
        <v>778</v>
      </c>
    </row>
    <row r="48" spans="1:8" ht="14.25" customHeight="1" x14ac:dyDescent="0.3">
      <c r="A48" t="s">
        <v>779</v>
      </c>
      <c r="B48" t="s">
        <v>780</v>
      </c>
      <c r="C48" t="s">
        <v>781</v>
      </c>
      <c r="D48" t="s">
        <v>677</v>
      </c>
      <c r="E48" s="193">
        <f>SUMPRODUCT(--ISERROR(Datos!$B$2:$AL$110))</f>
        <v>0</v>
      </c>
      <c r="F48" t="s">
        <v>655</v>
      </c>
      <c r="G48" s="193" t="str">
        <f t="shared" si="1"/>
        <v>OK</v>
      </c>
      <c r="H48" t="s">
        <v>782</v>
      </c>
    </row>
    <row r="49" spans="1:8" ht="14.25" customHeight="1" x14ac:dyDescent="0.3">
      <c r="A49" t="s">
        <v>783</v>
      </c>
      <c r="B49" t="s">
        <v>780</v>
      </c>
      <c r="C49" t="s">
        <v>784</v>
      </c>
      <c r="D49" t="s">
        <v>785</v>
      </c>
      <c r="E49" s="193">
        <f>SUMPRODUCT(--ISERROR(KPIs!$A$1:$AL$52))</f>
        <v>0</v>
      </c>
      <c r="F49" t="s">
        <v>655</v>
      </c>
      <c r="G49" s="193" t="str">
        <f t="shared" si="1"/>
        <v>OK</v>
      </c>
      <c r="H49" t="s">
        <v>782</v>
      </c>
    </row>
    <row r="50" spans="1:8" ht="14.25" customHeight="1" x14ac:dyDescent="0.3">
      <c r="A50" t="s">
        <v>786</v>
      </c>
      <c r="B50" t="s">
        <v>780</v>
      </c>
      <c r="C50" t="s">
        <v>787</v>
      </c>
      <c r="D50" t="s">
        <v>670</v>
      </c>
      <c r="E50" s="193">
        <f>SUMPRODUCT(--ISERROR(BD_KPIs!$A$1:$T$1300))</f>
        <v>0</v>
      </c>
      <c r="F50" t="s">
        <v>655</v>
      </c>
      <c r="G50" s="193" t="str">
        <f t="shared" si="1"/>
        <v>OK</v>
      </c>
      <c r="H50" t="s">
        <v>782</v>
      </c>
    </row>
    <row r="51" spans="1:8" ht="14.25" customHeight="1" x14ac:dyDescent="0.3">
      <c r="A51" t="s">
        <v>788</v>
      </c>
      <c r="B51" t="s">
        <v>780</v>
      </c>
      <c r="C51" t="s">
        <v>789</v>
      </c>
      <c r="D51" t="s">
        <v>790</v>
      </c>
      <c r="E51" s="193">
        <f>SUMPRODUCT(--ISERROR(BD_Datos!$A$1:$H$1700))</f>
        <v>0</v>
      </c>
      <c r="F51" t="s">
        <v>655</v>
      </c>
      <c r="G51" s="193" t="str">
        <f t="shared" si="1"/>
        <v>OK</v>
      </c>
      <c r="H51" t="s">
        <v>782</v>
      </c>
    </row>
    <row r="52" spans="1:8" ht="14.25" customHeight="1" x14ac:dyDescent="0.3">
      <c r="A52" t="s">
        <v>791</v>
      </c>
      <c r="B52" t="s">
        <v>780</v>
      </c>
      <c r="C52" t="s">
        <v>792</v>
      </c>
      <c r="D52" t="s">
        <v>793</v>
      </c>
      <c r="E52" s="193">
        <f>SUMPRODUCT(--ISERROR(_FIND_DS!$A$1:$AA$1001))+SUMPRODUCT(--ISERROR(_HLP_PPT!$A$1:$J$638))+SUMPRODUCT(--ISERROR(_HLP_PPT!$A$642:$J$660))</f>
        <v>0</v>
      </c>
      <c r="F52" t="s">
        <v>655</v>
      </c>
      <c r="G52" s="193" t="str">
        <f t="shared" si="1"/>
        <v>OK</v>
      </c>
      <c r="H52" t="s">
        <v>794</v>
      </c>
    </row>
    <row r="53" spans="1:8" ht="14.25" customHeight="1" x14ac:dyDescent="0.3">
      <c r="A53" t="s">
        <v>795</v>
      </c>
      <c r="B53" t="s">
        <v>780</v>
      </c>
      <c r="C53" t="s">
        <v>796</v>
      </c>
      <c r="D53" t="s">
        <v>670</v>
      </c>
      <c r="E53" s="193">
        <f>COUNTIF(BD_KPIs!$T$2:$T$1300,"&gt;"&amp;$C$6)+SUMPRODUCT(ISNUMBER(BD_KPIs!$F$2:$F$1300)*(BD_KPIs!$S$2:$S$1300=""))</f>
        <v>0</v>
      </c>
      <c r="F53" t="s">
        <v>655</v>
      </c>
      <c r="G53" s="193" t="str">
        <f t="shared" si="1"/>
        <v>OK</v>
      </c>
      <c r="H53" t="s">
        <v>797</v>
      </c>
    </row>
    <row r="54" spans="1:8" ht="14.25" customHeight="1" x14ac:dyDescent="0.3">
      <c r="A54" t="s">
        <v>798</v>
      </c>
      <c r="B54" t="s">
        <v>799</v>
      </c>
      <c r="C54" t="s">
        <v>1726</v>
      </c>
      <c r="D54" t="s">
        <v>800</v>
      </c>
      <c r="E54" s="193">
        <f>ABS(SUM(Datos!$D$78:$AL$78)-COUNTIFS('Observaciones-SMP'!$B$2:$B$1001,"&gt;="&amp;Datos!$D$3,'Observaciones-SMP'!$B$2:$B$1001,"&lt;="&amp;DATE(YEAR(Datos!$AL$3),MONTH(Datos!$AL$3)+1,0)))</f>
        <v>0</v>
      </c>
      <c r="F54" t="s">
        <v>655</v>
      </c>
      <c r="G54" s="193" t="str">
        <f t="shared" si="1"/>
        <v>OK</v>
      </c>
      <c r="H54" t="s">
        <v>801</v>
      </c>
    </row>
    <row r="55" spans="1:8" ht="14.25" customHeight="1" x14ac:dyDescent="0.3">
      <c r="A55" t="s">
        <v>802</v>
      </c>
      <c r="B55" t="s">
        <v>799</v>
      </c>
      <c r="C55" t="s">
        <v>1727</v>
      </c>
      <c r="D55" t="s">
        <v>572</v>
      </c>
      <c r="E55" s="193">
        <f>COUNTIF('Observaciones-SMP'!$T$2:$T$1001,"Sí")-SUM(Datos!$D$79:$AL$79)</f>
        <v>0</v>
      </c>
      <c r="F55" t="s">
        <v>655</v>
      </c>
      <c r="G55" s="193" t="str">
        <f t="shared" si="1"/>
        <v>OK</v>
      </c>
      <c r="H55" t="s">
        <v>1728</v>
      </c>
    </row>
    <row r="56" spans="1:8" ht="14.25" customHeight="1" x14ac:dyDescent="0.3">
      <c r="A56" t="s">
        <v>803</v>
      </c>
      <c r="B56" t="s">
        <v>799</v>
      </c>
      <c r="C56" t="s">
        <v>804</v>
      </c>
      <c r="D56" t="s">
        <v>805</v>
      </c>
      <c r="E56" s="193">
        <f>SUMPRODUCT(--(Datos!$D$4:$AL$4&lt;&gt;"Compresora"))</f>
        <v>0</v>
      </c>
      <c r="F56" t="s">
        <v>655</v>
      </c>
      <c r="G56" s="193" t="str">
        <f t="shared" si="1"/>
        <v>OK</v>
      </c>
      <c r="H56" t="s">
        <v>806</v>
      </c>
    </row>
    <row r="57" spans="1:8" ht="14.25" customHeight="1" x14ac:dyDescent="0.3">
      <c r="A57" t="s">
        <v>807</v>
      </c>
      <c r="B57" t="s">
        <v>799</v>
      </c>
      <c r="C57" t="s">
        <v>808</v>
      </c>
      <c r="D57" t="s">
        <v>572</v>
      </c>
      <c r="E57" s="193">
        <f>SUMPRODUCT(('Observaciones-SMP'!$F$2:$F$1001&lt;&gt;"")*(COUNTIF(Listas!$D$2:$D$40,'Observaciones-SMP'!$F$2:$F$1001)=0))</f>
        <v>1</v>
      </c>
      <c r="F57" t="s">
        <v>678</v>
      </c>
      <c r="G57" s="193" t="str">
        <f t="shared" si="1"/>
        <v>ADVERTENCIA</v>
      </c>
      <c r="H57" t="s">
        <v>809</v>
      </c>
    </row>
    <row r="58" spans="1:8" ht="14.25" customHeight="1" x14ac:dyDescent="0.3">
      <c r="A58" t="s">
        <v>810</v>
      </c>
      <c r="B58" t="s">
        <v>799</v>
      </c>
      <c r="C58" t="s">
        <v>811</v>
      </c>
      <c r="D58" t="s">
        <v>812</v>
      </c>
      <c r="E58" s="193">
        <f>IF(COUNTA(_RAW_OPS!$A$6:$Z$2000)+COUNTA(_RAW_GPS!$A$6:$Z$2000)=0,1,0)</f>
        <v>1</v>
      </c>
      <c r="F58" t="s">
        <v>688</v>
      </c>
      <c r="G58" s="193" t="str">
        <f t="shared" si="1"/>
        <v>INFO</v>
      </c>
      <c r="H58" t="s">
        <v>813</v>
      </c>
    </row>
    <row r="59" spans="1:8" ht="14.25" customHeight="1" x14ac:dyDescent="0.3">
      <c r="A59" t="s">
        <v>814</v>
      </c>
      <c r="B59" t="s">
        <v>815</v>
      </c>
      <c r="C59" t="s">
        <v>816</v>
      </c>
      <c r="D59" t="s">
        <v>817</v>
      </c>
      <c r="E59" s="193">
        <f>COUNTIF(_TARGETS!$H$2:$H$17,"Sin definir")</f>
        <v>0</v>
      </c>
      <c r="F59" t="s">
        <v>678</v>
      </c>
      <c r="G59" s="193" t="str">
        <f t="shared" si="1"/>
        <v>OK</v>
      </c>
      <c r="H59" t="s">
        <v>818</v>
      </c>
    </row>
    <row r="60" spans="1:8" ht="14.25" customHeight="1" x14ac:dyDescent="0.3">
      <c r="A60" t="s">
        <v>819</v>
      </c>
      <c r="B60" t="s">
        <v>815</v>
      </c>
      <c r="C60" t="s">
        <v>820</v>
      </c>
      <c r="D60" t="s">
        <v>817</v>
      </c>
      <c r="E60" s="193">
        <f>COUNTIF(_TARGETS!$O$2:$O$17,"PENDIENTE*")</f>
        <v>16</v>
      </c>
      <c r="F60" t="s">
        <v>688</v>
      </c>
      <c r="G60" s="193" t="str">
        <f t="shared" si="1"/>
        <v>INFO</v>
      </c>
      <c r="H60" t="s">
        <v>821</v>
      </c>
    </row>
    <row r="61" spans="1:8" ht="14.25" customHeight="1" x14ac:dyDescent="0.3">
      <c r="A61" t="s">
        <v>822</v>
      </c>
      <c r="B61" t="s">
        <v>815</v>
      </c>
      <c r="C61" t="s">
        <v>823</v>
      </c>
      <c r="D61" t="s">
        <v>670</v>
      </c>
      <c r="E61" s="193">
        <f>IF($C$3=0,0,SUMPRODUCT((BD_KPIs!$A$2:$A$1300=RPT_MONTH)*(BD_KPIs!$J$2:$J$1300="Monthly")*(LEFT(BD_KPIs!$R$2:$R$1300,8)="Definida")*(BD_KPIs!$G$2:$G$1300="")))</f>
        <v>0</v>
      </c>
      <c r="F61" t="s">
        <v>655</v>
      </c>
      <c r="G61" s="193" t="str">
        <f t="shared" si="1"/>
        <v>OK</v>
      </c>
      <c r="H61" t="s">
        <v>824</v>
      </c>
    </row>
    <row r="62" spans="1:8" ht="14.25" customHeight="1" x14ac:dyDescent="0.3">
      <c r="A62" t="s">
        <v>825</v>
      </c>
      <c r="B62" t="s">
        <v>815</v>
      </c>
      <c r="C62" t="s">
        <v>826</v>
      </c>
      <c r="D62" t="s">
        <v>670</v>
      </c>
      <c r="E62" s="193">
        <f>IF($C$3=0,0,SUMPRODUCT((BD_KPIs!$A$2:$A$1300=RPT_MONTH)*(BD_KPIs!$J$2:$J$1300="Monthly")*(LEFT(BD_KPIs!$R$2:$R$1300,8)="Definida")*(BD_KPIs!$H$2:$H$1300="")))</f>
        <v>0</v>
      </c>
      <c r="F62" t="s">
        <v>655</v>
      </c>
      <c r="G62" s="193" t="str">
        <f t="shared" si="1"/>
        <v>OK</v>
      </c>
      <c r="H62" t="s">
        <v>827</v>
      </c>
    </row>
    <row r="63" spans="1:8" ht="14.25" customHeight="1" x14ac:dyDescent="0.3">
      <c r="A63" t="s">
        <v>828</v>
      </c>
      <c r="B63" t="s">
        <v>829</v>
      </c>
      <c r="C63" t="s">
        <v>830</v>
      </c>
      <c r="D63" t="s">
        <v>670</v>
      </c>
      <c r="E63" s="193">
        <f>IF($C$3=0,0,SUMPRODUCT((BD_KPIs!$A$2:$A$1300=RPT_MONTH)*(BD_KPIs!$J$2:$J$1300="Monthly")*(((BD_KPIs!$C$2:$C$1300="CPSE")+(BD_KPIs!$C$2:$C$1300="ICCS")+(BD_KPIs!$C$2:$C$1300="CCS")+(BD_KPIs!$C$2:$C$1300="HCS")+(BD_KPIs!$C$2:$C$1300="HAL_ALTA_PCT"))&gt;0)*ISNUMBER(BD_KPIs!$F$2:$F$1300)*(BD_KPIs!$F$2:$F$1300&gt;1)))</f>
        <v>0</v>
      </c>
      <c r="F63" t="s">
        <v>678</v>
      </c>
      <c r="G63" s="193" t="str">
        <f t="shared" si="1"/>
        <v>OK</v>
      </c>
      <c r="H63" t="s">
        <v>831</v>
      </c>
    </row>
    <row r="64" spans="1:8" ht="14.25" customHeight="1" x14ac:dyDescent="0.3">
      <c r="A64" t="s">
        <v>832</v>
      </c>
      <c r="B64" t="s">
        <v>829</v>
      </c>
      <c r="C64" t="s">
        <v>833</v>
      </c>
      <c r="D64" t="s">
        <v>670</v>
      </c>
      <c r="E64" s="193">
        <f>COUNTIF(BD_KPIs!$F$2:$F$1300,"&lt;0")</f>
        <v>0</v>
      </c>
      <c r="F64" t="s">
        <v>655</v>
      </c>
      <c r="G64" s="193" t="str">
        <f t="shared" si="1"/>
        <v>OK</v>
      </c>
      <c r="H64" t="s">
        <v>834</v>
      </c>
    </row>
    <row r="65" spans="1:8" ht="14.25" customHeight="1" x14ac:dyDescent="0.3">
      <c r="A65" t="s">
        <v>835</v>
      </c>
      <c r="B65" t="s">
        <v>829</v>
      </c>
      <c r="C65" t="s">
        <v>836</v>
      </c>
      <c r="D65" t="s">
        <v>677</v>
      </c>
      <c r="E65" s="193">
        <f>IF(AND(IF($C$3=0,0,N(INDEX(Datos!$D$11:$AL$11,$C$3)))&gt;0,IF($C$3=0,0,N(INDEX(Datos!$D$14:$AL$14,$C$3)))/MAX(IF($C$3=0,0,N(INDEX(Datos!$D$11:$AL$11,$C$3))),1)&gt;$C$4),1,0)</f>
        <v>0</v>
      </c>
      <c r="F65" t="s">
        <v>678</v>
      </c>
      <c r="G65" s="193" t="str">
        <f t="shared" si="1"/>
        <v>OK</v>
      </c>
      <c r="H65" t="s">
        <v>837</v>
      </c>
    </row>
    <row r="66" spans="1:8" ht="14.25" customHeight="1" x14ac:dyDescent="0.3">
      <c r="A66" t="s">
        <v>838</v>
      </c>
      <c r="B66" t="s">
        <v>829</v>
      </c>
      <c r="C66" t="s">
        <v>839</v>
      </c>
      <c r="D66" t="s">
        <v>677</v>
      </c>
      <c r="E66" s="193">
        <f>IF(IF($C$3=0,0,N(INDEX(Datos!$D$18:$AL$18,$C$3)))&gt;IF($C$3=0,0,N(INDEX(Datos!$D$14:$AL$14,$C$3))),1,0)</f>
        <v>0</v>
      </c>
      <c r="F66" t="s">
        <v>655</v>
      </c>
      <c r="G66" s="193" t="str">
        <f t="shared" si="1"/>
        <v>OK</v>
      </c>
      <c r="H66" t="s">
        <v>840</v>
      </c>
    </row>
    <row r="67" spans="1:8" ht="14.25" customHeight="1" x14ac:dyDescent="0.3">
      <c r="A67" t="s">
        <v>841</v>
      </c>
      <c r="B67" t="s">
        <v>829</v>
      </c>
      <c r="C67" t="s">
        <v>842</v>
      </c>
      <c r="D67" t="s">
        <v>843</v>
      </c>
      <c r="E67" s="193">
        <f>IF($C$3=0,0,N(INDEX(Datos!$D$36:$AL$36,$C$3)))</f>
        <v>0</v>
      </c>
      <c r="F67" t="s">
        <v>678</v>
      </c>
      <c r="G67" s="193" t="str">
        <f t="shared" si="1"/>
        <v>OK</v>
      </c>
      <c r="H67" t="s">
        <v>844</v>
      </c>
    </row>
    <row r="68" spans="1:8" ht="14.25" customHeight="1" x14ac:dyDescent="0.3">
      <c r="A68" t="s">
        <v>845</v>
      </c>
      <c r="B68" t="s">
        <v>829</v>
      </c>
      <c r="C68" t="s">
        <v>846</v>
      </c>
      <c r="D68" t="s">
        <v>847</v>
      </c>
      <c r="E68" s="193">
        <f>IF(AND(IF($C$3=0,0,N(INDEX(Datos!$D$31:$AL$31,$C$3)))&gt;0,IF($C$3=0,0,N(INDEX(Datos!$D$30:$AL$30,$C$3)))=0),1,0)</f>
        <v>0</v>
      </c>
      <c r="F68" t="s">
        <v>655</v>
      </c>
      <c r="G68" s="193" t="str">
        <f t="shared" si="1"/>
        <v>OK</v>
      </c>
      <c r="H68" t="s">
        <v>848</v>
      </c>
    </row>
    <row r="69" spans="1:8" ht="14.25" customHeight="1" x14ac:dyDescent="0.3">
      <c r="A69" t="s">
        <v>849</v>
      </c>
      <c r="B69" t="s">
        <v>829</v>
      </c>
      <c r="C69" t="s">
        <v>850</v>
      </c>
      <c r="D69" t="s">
        <v>677</v>
      </c>
      <c r="E69" s="193">
        <f>IF($C$3=0,0,IF(IF($C$3=0,0,N(INDEX(Datos!$D$67:$AL$67,$C$3)))&gt;SUM(Datos!$D$61:INDEX(Datos!$D$70:$AL$70,$C$3)),1,0))</f>
        <v>0</v>
      </c>
      <c r="F69" t="s">
        <v>655</v>
      </c>
      <c r="G69" s="193" t="str">
        <f t="shared" si="1"/>
        <v>OK</v>
      </c>
      <c r="H69" t="s">
        <v>851</v>
      </c>
    </row>
    <row r="70" spans="1:8" ht="14.25" customHeight="1" x14ac:dyDescent="0.3">
      <c r="A70" t="s">
        <v>852</v>
      </c>
      <c r="B70" t="s">
        <v>829</v>
      </c>
      <c r="C70" t="s">
        <v>853</v>
      </c>
      <c r="D70" t="s">
        <v>854</v>
      </c>
      <c r="E70" s="193">
        <f>IF(ISNUMBER($C$5),0,1)</f>
        <v>1</v>
      </c>
      <c r="F70" t="s">
        <v>688</v>
      </c>
      <c r="G70" s="193" t="str">
        <f t="shared" si="1"/>
        <v>INFO</v>
      </c>
      <c r="H70" t="s">
        <v>855</v>
      </c>
    </row>
    <row r="71" spans="1:8" ht="14.25" customHeight="1" x14ac:dyDescent="0.3">
      <c r="A71" t="s">
        <v>856</v>
      </c>
      <c r="B71" t="s">
        <v>829</v>
      </c>
      <c r="C71" t="s">
        <v>857</v>
      </c>
      <c r="D71" t="s">
        <v>677</v>
      </c>
      <c r="E71" s="193">
        <f>IF(ISNUMBER($C$5),IF(IF($C$3=0,0,N(INDEX(Datos!$D$14:$AL$14,$C$3)))&lt;$C$5,1,0),0)</f>
        <v>0</v>
      </c>
      <c r="F71" t="s">
        <v>678</v>
      </c>
      <c r="G71" s="193" t="str">
        <f t="shared" si="1"/>
        <v>OK</v>
      </c>
      <c r="H71" t="s">
        <v>858</v>
      </c>
    </row>
    <row r="72" spans="1:8" ht="14.25" customHeight="1" x14ac:dyDescent="0.3">
      <c r="A72" t="s">
        <v>859</v>
      </c>
      <c r="B72" t="s">
        <v>860</v>
      </c>
      <c r="C72" t="s">
        <v>861</v>
      </c>
      <c r="D72" t="s">
        <v>862</v>
      </c>
      <c r="E72" s="193">
        <f>SUMPRODUCT(--ISNUMBER(_RPT_CARDS!$H$2:$H$17),--(COUNTIFS(BD_KPIs!$Q$2:$Q$1300,YEAR(RPT_MONTH)*100+MONTH(RPT_MONTH)&amp;"|"&amp;_RPT_CARDS!$B$2:$B$17&amp;"|Monthly",BD_KPIs!$F$2:$F$1300,_RPT_CARDS!$H$2:$H$17)=0))+SUMPRODUCT(--NOT(ISNUMBER(_RPT_CARDS!$H$2:$H$17)),--(COUNTIFS(BD_KPIs!$Q$2:$Q$1300,YEAR(RPT_MONTH)*100+MONTH(RPT_MONTH)&amp;"|"&amp;_RPT_CARDS!$B$2:$B$17&amp;"|Monthly",BD_KPIs!$F$2:$F$1300,"&gt;-1E+300")&gt;0))+SUMPRODUCT(--ISNUMBER(_RPT_CARDS!$M$2:$M$17),--(COUNTIFS(BD_KPIs!$Q$2:$Q$1300,YEAR(RPT_MONTH)*100+MONTH(RPT_MONTH)&amp;"|"&amp;_RPT_CARDS!$B$2:$B$17&amp;"|YTD",BD_KPIs!$F$2:$F$1300,_RPT_CARDS!$M$2:$M$17)=0))+SUMPRODUCT(--NOT(ISNUMBER(_RPT_CARDS!$M$2:$M$17)),--(COUNTIFS(BD_KPIs!$Q$2:$Q$1300,YEAR(RPT_MONTH)*100+MONTH(RPT_MONTH)&amp;"|"&amp;_RPT_CARDS!$B$2:$B$17&amp;"|YTD",BD_KPIs!$F$2:$F$1300,"&gt;-1E+300")&gt;0))+SUMPRODUCT(--ISNUMBER(_RPT_CARDS!$O$2:$O$17),--(COUNTIFS(BD_KPIs!$Q$2:$Q$1300,YEAR(RPT_MONTH)*100+MONTH(RPT_MONTH)&amp;"|"&amp;_RPT_CARDS!$B$2:$B$17&amp;"|Cumulative",BD_KPIs!$F$2:$F$1300,_RPT_CARDS!$O$2:$O$17)=0))+SUMPRODUCT(--NOT(ISNUMBER(_RPT_CARDS!$O$2:$O$17)),--(COUNTIFS(BD_KPIs!$Q$2:$Q$1300,YEAR(RPT_MONTH)*100+MONTH(RPT_MONTH)&amp;"|"&amp;_RPT_CARDS!$B$2:$B$17&amp;"|Cumulative",BD_KPIs!$F$2:$F$1300,"&gt;-1E+300")&gt;0))</f>
        <v>0</v>
      </c>
      <c r="F72" t="s">
        <v>655</v>
      </c>
      <c r="G72" s="193" t="str">
        <f t="shared" si="1"/>
        <v>OK</v>
      </c>
      <c r="H72" t="s">
        <v>863</v>
      </c>
    </row>
    <row r="73" spans="1:8" ht="14.25" customHeight="1" x14ac:dyDescent="0.3">
      <c r="A73" t="s">
        <v>864</v>
      </c>
      <c r="B73" t="s">
        <v>860</v>
      </c>
      <c r="C73" t="s">
        <v>865</v>
      </c>
      <c r="D73" t="s">
        <v>866</v>
      </c>
      <c r="E73" s="193">
        <f t="array" ref="E73">SUMPRODUCT((COUNTIF(BD_KPIs!$Q$2:$Q$1300,YEAR(_RPT_CHART!$F$2:$F$390)*100+MONTH(_RPT_CHART!$F$2:$F$390)&amp;"|"&amp;LEFT(_RPT_CHART!$B$2:$B$390,LEN(_RPT_CHART!$B$2:$B$390)-2)&amp;"|"&amp;IF(RIGHT(_RPT_CHART!$B$2:$B$390,2)="_Y","YTD","Monthly"))&gt;0)*ISNUMBER(_RPT_CHART!$H$2:$H$390)*(COUNTIFS(BD_KPIs!$Q$2:$Q$1300,YEAR(_RPT_CHART!$F$2:$F$390)*100+MONTH(_RPT_CHART!$F$2:$F$390)&amp;"|"&amp;LEFT(_RPT_CHART!$B$2:$B$390,LEN(_RPT_CHART!$B$2:$B$390)-2)&amp;"|"&amp;IF(RIGHT(_RPT_CHART!$B$2:$B$390,2)="_Y","YTD","Monthly"),BD_KPIs!$F$2:$F$1300,"&gt;="&amp;IFERROR(_RPT_CHART!$H$2:$H$390-0.000001,0),BD_KPIs!$F$2:$F$1300,"&lt;="&amp;IFERROR(_RPT_CHART!$H$2:$H$390+0.000001,0))=0))+SUMPRODUCT((COUNTIF(BD_KPIs!$Q$2:$Q$1300,YEAR(_RPT_CHART!$F$2:$F$390)*100+MONTH(_RPT_CHART!$F$2:$F$390)&amp;"|"&amp;LEFT(_RPT_CHART!$B$2:$B$390,LEN(_RPT_CHART!$B$2:$B$390)-2)&amp;"|"&amp;IF(RIGHT(_RPT_CHART!$B$2:$B$390,2)="_Y","YTD","Monthly"))&gt;0)*NOT(ISNUMBER(_RPT_CHART!$H$2:$H$390))*(COUNTIFS(BD_KPIs!$Q$2:$Q$1300,YEAR(_RPT_CHART!$F$2:$F$390)*100+MONTH(_RPT_CHART!$F$2:$F$390)&amp;"|"&amp;LEFT(_RPT_CHART!$B$2:$B$390,LEN(_RPT_CHART!$B$2:$B$390)-2)&amp;"|"&amp;IF(RIGHT(_RPT_CHART!$B$2:$B$390,2)="_Y","YTD","Monthly"),BD_KPIs!$F$2:$F$1300,"&gt;-1E+300")&gt;0))</f>
        <v>0</v>
      </c>
      <c r="F73" t="s">
        <v>655</v>
      </c>
      <c r="G73" s="193" t="str">
        <f t="shared" ref="G73:G81" si="2">IF(NOT(ISNUMBER(E73)),"ERROR",IF(E73&lt;0,"ERROR",IF(E73=0,"OK",F73)))</f>
        <v>OK</v>
      </c>
      <c r="H73" t="s">
        <v>867</v>
      </c>
    </row>
    <row r="74" spans="1:8" ht="14.25" customHeight="1" x14ac:dyDescent="0.3">
      <c r="A74" t="s">
        <v>868</v>
      </c>
      <c r="B74" t="s">
        <v>860</v>
      </c>
      <c r="C74" t="s">
        <v>869</v>
      </c>
      <c r="D74" t="s">
        <v>870</v>
      </c>
      <c r="E74" s="193">
        <f>SUM(_RPT_PPT!$Y$2:$Z$53)</f>
        <v>0</v>
      </c>
      <c r="F74" t="s">
        <v>655</v>
      </c>
      <c r="G74" s="193" t="str">
        <f t="shared" si="2"/>
        <v>OK</v>
      </c>
      <c r="H74" t="s">
        <v>871</v>
      </c>
    </row>
    <row r="75" spans="1:8" ht="14.25" customHeight="1" x14ac:dyDescent="0.3">
      <c r="A75" t="s">
        <v>872</v>
      </c>
      <c r="B75" t="s">
        <v>860</v>
      </c>
      <c r="C75" t="s">
        <v>873</v>
      </c>
      <c r="D75" t="s">
        <v>874</v>
      </c>
      <c r="E75" s="193">
        <f>IF(RPT_SCOPE="Compressor Plant",0,1)</f>
        <v>0</v>
      </c>
      <c r="F75" t="s">
        <v>655</v>
      </c>
      <c r="G75" s="193" t="str">
        <f t="shared" si="2"/>
        <v>OK</v>
      </c>
      <c r="H75" t="s">
        <v>875</v>
      </c>
    </row>
    <row r="76" spans="1:8" ht="14.25" customHeight="1" x14ac:dyDescent="0.3">
      <c r="A76" t="s">
        <v>876</v>
      </c>
      <c r="B76" t="s">
        <v>860</v>
      </c>
      <c r="C76" t="s">
        <v>877</v>
      </c>
      <c r="D76" t="s">
        <v>878</v>
      </c>
      <c r="E76" s="193">
        <f>SUMPRODUCT(ABS(ISNUMBER(_RPT_CHART!$H$362:$H$373)*SUMIF(Datos!$D$3:$AL$3,_RPT_CHART!$F$362:$F$373,Datos!$D$47:$AL$47)-SUMIF(_RPT_CHART!$F$362:$F$373,_RPT_CHART!$F$362:$F$373,_RPT_CHART!$H$362:$H$373)))+SUMPRODUCT((1-ISNUMBER(_RPT_CHART!$H$362:$H$373))*(_RPT_CHART!$Q$362:$Q$373=1)*((COUNTIFS(Datos!$D$3:$AL$3,_RPT_CHART!$F$362:$F$373,Datos!$D$44:$AL$44,"&gt;=0")+COUNTIFS(Datos!$D$3:$AL$3,_RPT_CHART!$F$362:$F$373,Datos!$D$45:$AL$45,"&gt;=0")+COUNTIFS(Datos!$D$3:$AL$3,_RPT_CHART!$F$362:$F$373,Datos!$D$46:$AL$46,"&gt;=0"))&gt;0))+SUMPRODUCT(ISNUMBER(_RPT_CHART!$H$362:$H$373)*((COUNTIFS(Datos!$D$3:$AL$3,_RPT_CHART!$F$362:$F$373,Datos!$D$44:$AL$44,"&gt;=0")+COUNTIFS(Datos!$D$3:$AL$3,_RPT_CHART!$F$362:$F$373,Datos!$D$45:$AL$45,"&gt;=0")+COUNTIFS(Datos!$D$3:$AL$3,_RPT_CHART!$F$362:$F$373,Datos!$D$46:$AL$46,"&gt;=0"))=0))</f>
        <v>0</v>
      </c>
      <c r="F76" t="s">
        <v>655</v>
      </c>
      <c r="G76" s="193" t="str">
        <f t="shared" si="2"/>
        <v>OK</v>
      </c>
      <c r="H76" t="s">
        <v>879</v>
      </c>
    </row>
    <row r="77" spans="1:8" ht="14.25" customHeight="1" x14ac:dyDescent="0.3">
      <c r="A77" t="s">
        <v>880</v>
      </c>
      <c r="B77" t="s">
        <v>860</v>
      </c>
      <c r="C77" t="s">
        <v>881</v>
      </c>
      <c r="D77" t="s">
        <v>882</v>
      </c>
      <c r="E77" s="193">
        <f>COUNTIF(_RPT_SPEC_CHART!$AG$2:$AG$16,"&lt;&gt;OK")</f>
        <v>0</v>
      </c>
      <c r="F77" t="s">
        <v>655</v>
      </c>
      <c r="G77" s="193" t="str">
        <f t="shared" si="2"/>
        <v>OK</v>
      </c>
      <c r="H77" t="s">
        <v>883</v>
      </c>
    </row>
    <row r="78" spans="1:8" ht="14.25" customHeight="1" x14ac:dyDescent="0.3">
      <c r="A78" t="s">
        <v>884</v>
      </c>
      <c r="B78" t="s">
        <v>860</v>
      </c>
      <c r="C78" t="s">
        <v>885</v>
      </c>
      <c r="D78" t="s">
        <v>886</v>
      </c>
      <c r="E78" s="193">
        <f>SUMPRODUCT(--(COUNTIF(_RPT_SPEC_CHART!$A$2:$A$16,_RPT_CHART!$A$2:$A$390)=0))+SUMPRODUCT(--(COUNTIF(_RPT_CHART!$A$2:$A$390,_RPT_SPEC_CHART!$A$2:$A$16)=0))</f>
        <v>0</v>
      </c>
      <c r="F78" t="s">
        <v>655</v>
      </c>
      <c r="G78" s="193" t="str">
        <f t="shared" si="2"/>
        <v>OK</v>
      </c>
      <c r="H78" t="s">
        <v>887</v>
      </c>
    </row>
    <row r="79" spans="1:8" ht="14.25" customHeight="1" x14ac:dyDescent="0.3">
      <c r="A79" t="s">
        <v>888</v>
      </c>
      <c r="B79" t="s">
        <v>860</v>
      </c>
      <c r="C79" t="s">
        <v>889</v>
      </c>
      <c r="D79" t="s">
        <v>882</v>
      </c>
      <c r="E79" s="193">
        <f>SUMPRODUCT((_RPT_SPEC_CHART!$P$2:$P$16="COMPLETE")*(_RPT_SPEC_CHART!$N$2:$N$16&lt;&gt;_RPT_SPEC_CHART!$O$2:$O$16))+SUMPRODUCT((_RPT_SPEC_CHART!$P$2:$P$16="NO_DATA")*(_RPT_SPEC_CHART!$N$2:$N$16&lt;&gt;0))+SUMPRODUCT((_RPT_SPEC_CHART!$P$2:$P$16="PARTIAL")*((_RPT_SPEC_CHART!$N$2:$N$16=0)+(_RPT_SPEC_CHART!$N$2:$N$16&gt;=_RPT_SPEC_CHART!$O$2:$O$16)&gt;0))+SUMPRODUCT(--((_RPT_SPEC_CHART!$P$2:$P$16&lt;&gt;"COMPLETE")*(_RPT_SPEC_CHART!$P$2:$P$16&lt;&gt;"PARTIAL")*(_RPT_SPEC_CHART!$P$2:$P$16&lt;&gt;"NO_DATA")*(_RPT_SPEC_CHART!$P$2:$P$16&lt;&gt;"PENDING_DEFINITION")&gt;0))</f>
        <v>0</v>
      </c>
      <c r="F79" t="s">
        <v>655</v>
      </c>
      <c r="G79" s="193" t="str">
        <f t="shared" si="2"/>
        <v>OK</v>
      </c>
      <c r="H79" t="s">
        <v>890</v>
      </c>
    </row>
    <row r="80" spans="1:8" ht="13.5" customHeight="1" x14ac:dyDescent="0.3">
      <c r="A80" t="s">
        <v>891</v>
      </c>
      <c r="B80" t="s">
        <v>892</v>
      </c>
      <c r="C80" t="s">
        <v>893</v>
      </c>
      <c r="D80" t="s">
        <v>677</v>
      </c>
      <c r="E80" s="193">
        <f>IF($C$3=0,0,(N(INDEX(Datos!$D$33:$AL$33,$C$3))+N(INDEX(Datos!$D$34:$AL$34,$C$3))+N(INDEX(Datos!$D$35:$AL$35,$C$3))+N(INDEX(Datos!$D$36:$AL$36,$C$3))&gt;0)*((INDEX(Datos!$D$61:$AL$61,$C$3)="")+(N(INDEX(Datos!$D$61:$AL$61,$C$3))&gt;0)*(LEN(TRIM(INDEX(Datos!$D$62:$AL$62,$C$3)&amp;""))=0)&gt;0))</f>
        <v>0</v>
      </c>
      <c r="F80" t="s">
        <v>678</v>
      </c>
      <c r="G80" s="193" t="str">
        <f t="shared" si="2"/>
        <v>OK</v>
      </c>
      <c r="H80" t="s">
        <v>894</v>
      </c>
    </row>
    <row r="81" spans="1:8" ht="13.5" customHeight="1" x14ac:dyDescent="0.3">
      <c r="A81" t="s">
        <v>895</v>
      </c>
      <c r="B81" t="s">
        <v>892</v>
      </c>
      <c r="C81" t="s">
        <v>896</v>
      </c>
      <c r="D81" t="s">
        <v>897</v>
      </c>
      <c r="E81" s="193">
        <f ca="1">IF(OR($C$3=0,_FOTOS_MAP!$K$2=""),0,(LEN(TRIM(INDIRECT("'"&amp;_FOTOS_MAP!$K$2&amp;"'!B23")&amp;""))=0)+(LEN(TRIM(INDIRECT("'"&amp;_FOTOS_MAP!$K$2&amp;"'!I23")&amp;""))=0))</f>
        <v>2</v>
      </c>
      <c r="F81" t="s">
        <v>678</v>
      </c>
      <c r="G81" s="193" t="str">
        <f t="shared" ca="1" si="2"/>
        <v>ADVERTENCIA</v>
      </c>
      <c r="H81" t="s">
        <v>898</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G9:G79">
    <cfRule type="cellIs" dxfId="9" priority="2" operator="equal">
      <formula>"ERROR"</formula>
    </cfRule>
    <cfRule type="cellIs" dxfId="8" priority="3" operator="equal">
      <formula>"ADVERTENCIA"</formula>
    </cfRule>
    <cfRule type="cellIs" dxfId="7" priority="4" operator="equal">
      <formula>"OK"</formula>
    </cfRule>
    <cfRule type="cellIs" dxfId="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58FA-0A21-4EC9-A34E-A791372097F6}">
  <dimension ref="A1:J666"/>
  <sheetViews>
    <sheetView workbookViewId="0"/>
  </sheetViews>
  <sheetFormatPr baseColWidth="10" defaultColWidth="11.5546875" defaultRowHeight="14.4" x14ac:dyDescent="0.3"/>
  <cols>
    <col min="1" max="1" width="25.77734375" style="108" customWidth="1"/>
    <col min="2" max="2" width="21.109375" style="108" customWidth="1"/>
    <col min="3" max="3" width="11.77734375" style="108" customWidth="1"/>
    <col min="4" max="4" width="35.21875" style="108" customWidth="1"/>
    <col min="5" max="5" width="14.109375" style="108" customWidth="1"/>
    <col min="6" max="6" width="11.77734375" style="108" customWidth="1"/>
    <col min="7" max="7" width="14.109375" style="108" customWidth="1"/>
    <col min="8" max="8" width="11.77734375" style="108" customWidth="1"/>
    <col min="9" max="9" width="47" style="108" customWidth="1"/>
    <col min="10" max="10" width="14.109375" style="108" customWidth="1"/>
  </cols>
  <sheetData>
    <row r="1" spans="1:10" ht="13.5" customHeight="1" x14ac:dyDescent="0.3">
      <c r="A1" s="7" t="s">
        <v>899</v>
      </c>
      <c r="B1" s="7" t="s">
        <v>650</v>
      </c>
      <c r="C1" s="7" t="s">
        <v>900</v>
      </c>
      <c r="D1" s="7" t="s">
        <v>901</v>
      </c>
      <c r="E1" s="7" t="s">
        <v>535</v>
      </c>
      <c r="F1" s="7" t="s">
        <v>165</v>
      </c>
      <c r="G1" s="7" t="s">
        <v>21</v>
      </c>
      <c r="H1" s="7" t="s">
        <v>26</v>
      </c>
      <c r="I1" s="7" t="s">
        <v>799</v>
      </c>
      <c r="J1" s="7" t="s">
        <v>902</v>
      </c>
    </row>
    <row r="2" spans="1:10" ht="13.5" customHeight="1" x14ac:dyDescent="0.3">
      <c r="A2" t="s">
        <v>903</v>
      </c>
      <c r="B2" s="193" t="str">
        <f>"DAFWCF"</f>
        <v>DAFWCF</v>
      </c>
      <c r="C2" s="258">
        <f t="shared" ref="C2:C36" si="0">RPT_MONTH</f>
        <v>46296</v>
      </c>
      <c r="D2" t="s">
        <v>68</v>
      </c>
      <c r="E2" s="193" t="str">
        <f>IFERROR(INDEX(BD_KPIs!$F$2:$F$1300,MATCH(YEAR(RPT_MONTH)*100+MONTH(RPT_MONTH)&amp;"|DAFWCF|Monthly",BD_KPIs!$Q$2:$Q$1300,0)),"")</f>
        <v/>
      </c>
      <c r="F2" s="250">
        <f>IFERROR(INDEX(BD_KPIs!$G$2:$G$1300,MATCH(YEAR(RPT_MONTH)*100+MONTH(RPT_MONTH)&amp;"|DAFWCF|Monthly",BD_KPIs!$Q$2:$Q$1300,0)),"")</f>
        <v>0</v>
      </c>
      <c r="G2" s="193" t="str">
        <f>IF(ISNUMBER(E2),IF(F2="","No target",IF(IFERROR(INDEX(BD_KPIs!$I$2:$I$1300,MATCH(YEAR(RPT_MONTH)*100+MONTH(RPT_MONTH)&amp;"|DAFWCF|Monthly",BD_KPIs!$Q$2:$Q$1300,0)),"")="Sí","On target","Off target")),"No data")</f>
        <v>No data</v>
      </c>
      <c r="H2" s="193" t="str">
        <f>INDEX(_TARGETS!$D$2:$D$17,MATCH("DAFWCF",_TARGETS!$A$2:$A$17,0))</f>
        <v>casos / 10^6 HH</v>
      </c>
      <c r="I2" s="193" t="str">
        <f>INDEX(_TARGETS!$K$2:$K$17,MATCH("DAFWCF",_TARGETS!$A$2:$A$17,0))</f>
        <v>OPS (carga manual en Datos)</v>
      </c>
      <c r="J2" s="258">
        <f t="shared" ref="J2:J65" si="1">RPT_MONTH</f>
        <v>46296</v>
      </c>
    </row>
    <row r="3" spans="1:10" ht="13.5" customHeight="1" x14ac:dyDescent="0.3">
      <c r="A3" t="s">
        <v>903</v>
      </c>
      <c r="B3" s="193" t="str">
        <f>"DAFWCF"</f>
        <v>DAFWCF</v>
      </c>
      <c r="C3" s="258">
        <f t="shared" si="0"/>
        <v>46296</v>
      </c>
      <c r="D3" t="s">
        <v>601</v>
      </c>
      <c r="E3" s="193" t="str">
        <f>IFERROR(INDEX(BD_KPIs!$F$2:$F$1300,MATCH(YEAR(RPT_MONTH)*100+MONTH(RPT_MONTH)&amp;"|DAFWCF|YTD",BD_KPIs!$Q$2:$Q$1300,0)),"")</f>
        <v/>
      </c>
      <c r="F3" s="250">
        <f>IFERROR(INDEX(BD_KPIs!$G$2:$G$1300,MATCH(YEAR(RPT_MONTH)*100+MONTH(RPT_MONTH)&amp;"|DAFWCF|YTD",BD_KPIs!$Q$2:$Q$1300,0)),"")</f>
        <v>0</v>
      </c>
      <c r="G3" s="193" t="str">
        <f>IF(ISNUMBER(E3),IF(F3="","No target",IF(IFERROR(INDEX(BD_KPIs!$I$2:$I$1300,MATCH(YEAR(RPT_MONTH)*100+MONTH(RPT_MONTH)&amp;"|DAFWCF|YTD",BD_KPIs!$Q$2:$Q$1300,0)),"")="Sí","On target","Off target")),"No data")</f>
        <v>No data</v>
      </c>
      <c r="H3" s="193" t="str">
        <f>INDEX(_TARGETS!$D$2:$D$17,MATCH("DAFWCF",_TARGETS!$A$2:$A$17,0))</f>
        <v>casos / 10^6 HH</v>
      </c>
      <c r="I3" s="193" t="str">
        <f>INDEX(_TARGETS!$K$2:$K$17,MATCH("DAFWCF",_TARGETS!$A$2:$A$17,0))</f>
        <v>OPS (carga manual en Datos)</v>
      </c>
      <c r="J3" s="258">
        <f t="shared" si="1"/>
        <v>46296</v>
      </c>
    </row>
    <row r="4" spans="1:10" ht="13.5" customHeight="1" x14ac:dyDescent="0.3">
      <c r="A4" t="s">
        <v>903</v>
      </c>
      <c r="B4" s="193" t="str">
        <f>"DAFWCF"</f>
        <v>DAFWCF</v>
      </c>
      <c r="C4" s="258">
        <f t="shared" si="0"/>
        <v>46296</v>
      </c>
      <c r="D4" t="s">
        <v>904</v>
      </c>
      <c r="E4" s="193" t="str">
        <f>IFERROR(INDEX(BD_KPIs!$F$2:$F$1300,MATCH(YEAR(RPT_MONTH)*100+MONTH(RPT_MONTH)&amp;"|DAFWCF|Cumulative",BD_KPIs!$Q$2:$Q$1300,0)),"")</f>
        <v/>
      </c>
      <c r="F4" s="250">
        <f>IFERROR(INDEX(BD_KPIs!$G$2:$G$1300,MATCH(YEAR(RPT_MONTH)*100+MONTH(RPT_MONTH)&amp;"|DAFWCF|Cumulative",BD_KPIs!$Q$2:$Q$1300,0)),"")</f>
        <v>0</v>
      </c>
      <c r="G4" s="193" t="str">
        <f>IF(ISNUMBER(E4),IF(F4="","No target",IF(IFERROR(INDEX(BD_KPIs!$I$2:$I$1300,MATCH(YEAR(RPT_MONTH)*100+MONTH(RPT_MONTH)&amp;"|DAFWCF|Cumulative",BD_KPIs!$Q$2:$Q$1300,0)),"")="Sí","On target","Off target")),"No data")</f>
        <v>No data</v>
      </c>
      <c r="H4" s="193" t="str">
        <f>INDEX(_TARGETS!$D$2:$D$17,MATCH("DAFWCF",_TARGETS!$A$2:$A$17,0))</f>
        <v>casos / 10^6 HH</v>
      </c>
      <c r="I4" s="193" t="str">
        <f>INDEX(_TARGETS!$K$2:$K$17,MATCH("DAFWCF",_TARGETS!$A$2:$A$17,0))</f>
        <v>OPS (carga manual en Datos)</v>
      </c>
      <c r="J4" s="258">
        <f t="shared" si="1"/>
        <v>46296</v>
      </c>
    </row>
    <row r="5" spans="1:10" ht="13.5" customHeight="1" x14ac:dyDescent="0.3">
      <c r="A5" t="s">
        <v>903</v>
      </c>
      <c r="B5" s="193" t="str">
        <f>"TRICF"</f>
        <v>TRICF</v>
      </c>
      <c r="C5" s="258">
        <f t="shared" si="0"/>
        <v>46296</v>
      </c>
      <c r="D5" t="s">
        <v>68</v>
      </c>
      <c r="E5" s="193" t="str">
        <f>IFERROR(INDEX(BD_KPIs!$F$2:$F$1300,MATCH(YEAR(RPT_MONTH)*100+MONTH(RPT_MONTH)&amp;"|TRICF|Monthly",BD_KPIs!$Q$2:$Q$1300,0)),"")</f>
        <v/>
      </c>
      <c r="F5" s="250">
        <f>IFERROR(INDEX(BD_KPIs!$G$2:$G$1300,MATCH(YEAR(RPT_MONTH)*100+MONTH(RPT_MONTH)&amp;"|TRICF|Monthly",BD_KPIs!$Q$2:$Q$1300,0)),"")</f>
        <v>2.35</v>
      </c>
      <c r="G5" s="193" t="str">
        <f>IF(ISNUMBER(E5),IF(F5="","No target",IF(IFERROR(INDEX(BD_KPIs!$I$2:$I$1300,MATCH(YEAR(RPT_MONTH)*100+MONTH(RPT_MONTH)&amp;"|TRICF|Monthly",BD_KPIs!$Q$2:$Q$1300,0)),"")="Sí","On target","Off target")),"No data")</f>
        <v>No data</v>
      </c>
      <c r="H5" s="193" t="str">
        <f>INDEX(_TARGETS!$D$2:$D$17,MATCH("TRICF",_TARGETS!$A$2:$A$17,0))</f>
        <v>casos / 10^6 HH</v>
      </c>
      <c r="I5" s="193" t="str">
        <f>INDEX(_TARGETS!$K$2:$K$17,MATCH("TRICF",_TARGETS!$A$2:$A$17,0))</f>
        <v>OPS (carga manual en Datos)</v>
      </c>
      <c r="J5" s="258">
        <f t="shared" si="1"/>
        <v>46296</v>
      </c>
    </row>
    <row r="6" spans="1:10" ht="13.5" customHeight="1" x14ac:dyDescent="0.3">
      <c r="A6" t="s">
        <v>903</v>
      </c>
      <c r="B6" s="193" t="str">
        <f>"TRICF"</f>
        <v>TRICF</v>
      </c>
      <c r="C6" s="258">
        <f t="shared" si="0"/>
        <v>46296</v>
      </c>
      <c r="D6" t="s">
        <v>601</v>
      </c>
      <c r="E6" s="193" t="str">
        <f>IFERROR(INDEX(BD_KPIs!$F$2:$F$1300,MATCH(YEAR(RPT_MONTH)*100+MONTH(RPT_MONTH)&amp;"|TRICF|YTD",BD_KPIs!$Q$2:$Q$1300,0)),"")</f>
        <v/>
      </c>
      <c r="F6" s="250">
        <f>IFERROR(INDEX(BD_KPIs!$G$2:$G$1300,MATCH(YEAR(RPT_MONTH)*100+MONTH(RPT_MONTH)&amp;"|TRICF|YTD",BD_KPIs!$Q$2:$Q$1300,0)),"")</f>
        <v>2.35</v>
      </c>
      <c r="G6" s="193" t="str">
        <f>IF(ISNUMBER(E6),IF(F6="","No target",IF(IFERROR(INDEX(BD_KPIs!$I$2:$I$1300,MATCH(YEAR(RPT_MONTH)*100+MONTH(RPT_MONTH)&amp;"|TRICF|YTD",BD_KPIs!$Q$2:$Q$1300,0)),"")="Sí","On target","Off target")),"No data")</f>
        <v>No data</v>
      </c>
      <c r="H6" s="193" t="str">
        <f>INDEX(_TARGETS!$D$2:$D$17,MATCH("TRICF",_TARGETS!$A$2:$A$17,0))</f>
        <v>casos / 10^6 HH</v>
      </c>
      <c r="I6" s="193" t="str">
        <f>INDEX(_TARGETS!$K$2:$K$17,MATCH("TRICF",_TARGETS!$A$2:$A$17,0))</f>
        <v>OPS (carga manual en Datos)</v>
      </c>
      <c r="J6" s="258">
        <f t="shared" si="1"/>
        <v>46296</v>
      </c>
    </row>
    <row r="7" spans="1:10" ht="13.5" customHeight="1" x14ac:dyDescent="0.3">
      <c r="A7" t="s">
        <v>903</v>
      </c>
      <c r="B7" s="193" t="str">
        <f>"TRICF"</f>
        <v>TRICF</v>
      </c>
      <c r="C7" s="258">
        <f t="shared" si="0"/>
        <v>46296</v>
      </c>
      <c r="D7" t="s">
        <v>904</v>
      </c>
      <c r="E7" s="193" t="str">
        <f>IFERROR(INDEX(BD_KPIs!$F$2:$F$1300,MATCH(YEAR(RPT_MONTH)*100+MONTH(RPT_MONTH)&amp;"|TRICF|Cumulative",BD_KPIs!$Q$2:$Q$1300,0)),"")</f>
        <v/>
      </c>
      <c r="F7" s="250">
        <f>IFERROR(INDEX(BD_KPIs!$G$2:$G$1300,MATCH(YEAR(RPT_MONTH)*100+MONTH(RPT_MONTH)&amp;"|TRICF|Cumulative",BD_KPIs!$Q$2:$Q$1300,0)),"")</f>
        <v>2.35</v>
      </c>
      <c r="G7" s="193" t="str">
        <f>IF(ISNUMBER(E7),IF(F7="","No target",IF(IFERROR(INDEX(BD_KPIs!$I$2:$I$1300,MATCH(YEAR(RPT_MONTH)*100+MONTH(RPT_MONTH)&amp;"|TRICF|Cumulative",BD_KPIs!$Q$2:$Q$1300,0)),"")="Sí","On target","Off target")),"No data")</f>
        <v>No data</v>
      </c>
      <c r="H7" s="193" t="str">
        <f>INDEX(_TARGETS!$D$2:$D$17,MATCH("TRICF",_TARGETS!$A$2:$A$17,0))</f>
        <v>casos / 10^6 HH</v>
      </c>
      <c r="I7" s="193" t="str">
        <f>INDEX(_TARGETS!$K$2:$K$17,MATCH("TRICF",_TARGETS!$A$2:$A$17,0))</f>
        <v>OPS (carga manual en Datos)</v>
      </c>
      <c r="J7" s="258">
        <f t="shared" si="1"/>
        <v>46296</v>
      </c>
    </row>
    <row r="8" spans="1:10" ht="13.5" customHeight="1" x14ac:dyDescent="0.3">
      <c r="A8" t="s">
        <v>903</v>
      </c>
      <c r="B8" s="193" t="str">
        <f>"FAC"</f>
        <v>FAC</v>
      </c>
      <c r="C8" s="258">
        <f t="shared" si="0"/>
        <v>46296</v>
      </c>
      <c r="D8" t="s">
        <v>68</v>
      </c>
      <c r="E8" s="193" t="str">
        <f>IFERROR(INDEX(BD_KPIs!$F$2:$F$1300,MATCH(YEAR(RPT_MONTH)*100+MONTH(RPT_MONTH)&amp;"|FAC|Monthly",BD_KPIs!$Q$2:$Q$1300,0)),"")</f>
        <v/>
      </c>
      <c r="F8" s="193" t="str">
        <f>IFERROR(INDEX(BD_KPIs!$G$2:$G$1300,MATCH(YEAR(RPT_MONTH)*100+MONTH(RPT_MONTH)&amp;"|FAC|Monthly",BD_KPIs!$Q$2:$Q$1300,0)),"")</f>
        <v/>
      </c>
      <c r="G8" s="193" t="str">
        <f>IF(ISNUMBER(E8),IF(F8="","No target",IF(IFERROR(INDEX(BD_KPIs!$I$2:$I$1300,MATCH(YEAR(RPT_MONTH)*100+MONTH(RPT_MONTH)&amp;"|FAC|Monthly",BD_KPIs!$Q$2:$Q$1300,0)),"")="Sí","On target","Off target")),"No data")</f>
        <v>No data</v>
      </c>
      <c r="H8" s="193" t="str">
        <f>INDEX(_TARGETS!$D$2:$D$17,MATCH("FAC",_TARGETS!$A$2:$A$17,0))</f>
        <v>casos</v>
      </c>
      <c r="I8" s="193" t="str">
        <f>INDEX(_TARGETS!$K$2:$K$17,MATCH("FAC",_TARGETS!$A$2:$A$17,0))</f>
        <v>OPS (carga manual en Datos)</v>
      </c>
      <c r="J8" s="258">
        <f t="shared" si="1"/>
        <v>46296</v>
      </c>
    </row>
    <row r="9" spans="1:10" ht="13.5" customHeight="1" x14ac:dyDescent="0.3">
      <c r="A9" t="s">
        <v>903</v>
      </c>
      <c r="B9" s="193" t="str">
        <f>"FAC"</f>
        <v>FAC</v>
      </c>
      <c r="C9" s="258">
        <f t="shared" si="0"/>
        <v>46296</v>
      </c>
      <c r="D9" t="s">
        <v>601</v>
      </c>
      <c r="E9" s="193" t="str">
        <f>IFERROR(INDEX(BD_KPIs!$F$2:$F$1300,MATCH(YEAR(RPT_MONTH)*100+MONTH(RPT_MONTH)&amp;"|FAC|YTD",BD_KPIs!$Q$2:$Q$1300,0)),"")</f>
        <v/>
      </c>
      <c r="F9" s="193" t="str">
        <f>IFERROR(INDEX(BD_KPIs!$G$2:$G$1300,MATCH(YEAR(RPT_MONTH)*100+MONTH(RPT_MONTH)&amp;"|FAC|YTD",BD_KPIs!$Q$2:$Q$1300,0)),"")</f>
        <v/>
      </c>
      <c r="G9" s="193" t="str">
        <f>IF(ISNUMBER(E9),IF(F9="","No target",IF(IFERROR(INDEX(BD_KPIs!$I$2:$I$1300,MATCH(YEAR(RPT_MONTH)*100+MONTH(RPT_MONTH)&amp;"|FAC|YTD",BD_KPIs!$Q$2:$Q$1300,0)),"")="Sí","On target","Off target")),"No data")</f>
        <v>No data</v>
      </c>
      <c r="H9" s="193" t="str">
        <f>INDEX(_TARGETS!$D$2:$D$17,MATCH("FAC",_TARGETS!$A$2:$A$17,0))</f>
        <v>casos</v>
      </c>
      <c r="I9" s="193" t="str">
        <f>INDEX(_TARGETS!$K$2:$K$17,MATCH("FAC",_TARGETS!$A$2:$A$17,0))</f>
        <v>OPS (carga manual en Datos)</v>
      </c>
      <c r="J9" s="258">
        <f t="shared" si="1"/>
        <v>46296</v>
      </c>
    </row>
    <row r="10" spans="1:10" ht="13.5" customHeight="1" x14ac:dyDescent="0.3">
      <c r="A10" t="s">
        <v>903</v>
      </c>
      <c r="B10" s="193" t="str">
        <f>"FAC"</f>
        <v>FAC</v>
      </c>
      <c r="C10" s="258">
        <f t="shared" si="0"/>
        <v>46296</v>
      </c>
      <c r="D10" t="s">
        <v>904</v>
      </c>
      <c r="E10" s="193" t="str">
        <f>IFERROR(INDEX(BD_KPIs!$F$2:$F$1300,MATCH(YEAR(RPT_MONTH)*100+MONTH(RPT_MONTH)&amp;"|FAC|Cumulative",BD_KPIs!$Q$2:$Q$1300,0)),"")</f>
        <v/>
      </c>
      <c r="F10" s="193" t="str">
        <f>IFERROR(INDEX(BD_KPIs!$G$2:$G$1300,MATCH(YEAR(RPT_MONTH)*100+MONTH(RPT_MONTH)&amp;"|FAC|Cumulative",BD_KPIs!$Q$2:$Q$1300,0)),"")</f>
        <v/>
      </c>
      <c r="G10" s="193" t="str">
        <f>IF(ISNUMBER(E10),IF(F10="","No target",IF(IFERROR(INDEX(BD_KPIs!$I$2:$I$1300,MATCH(YEAR(RPT_MONTH)*100+MONTH(RPT_MONTH)&amp;"|FAC|Cumulative",BD_KPIs!$Q$2:$Q$1300,0)),"")="Sí","On target","Off target")),"No data")</f>
        <v>No data</v>
      </c>
      <c r="H10" s="193" t="str">
        <f>INDEX(_TARGETS!$D$2:$D$17,MATCH("FAC",_TARGETS!$A$2:$A$17,0))</f>
        <v>casos</v>
      </c>
      <c r="I10" s="193" t="str">
        <f>INDEX(_TARGETS!$K$2:$K$17,MATCH("FAC",_TARGETS!$A$2:$A$17,0))</f>
        <v>OPS (carga manual en Datos)</v>
      </c>
      <c r="J10" s="258">
        <f t="shared" si="1"/>
        <v>46296</v>
      </c>
    </row>
    <row r="11" spans="1:10" ht="13.5" customHeight="1" x14ac:dyDescent="0.3">
      <c r="A11" t="s">
        <v>903</v>
      </c>
      <c r="B11" s="193" t="str">
        <f>"SVCR"</f>
        <v>SVCR</v>
      </c>
      <c r="C11" s="258">
        <f t="shared" si="0"/>
        <v>46296</v>
      </c>
      <c r="D11" t="s">
        <v>68</v>
      </c>
      <c r="E11" s="193" t="str">
        <f>IFERROR(INDEX(BD_KPIs!$F$2:$F$1300,MATCH(YEAR(RPT_MONTH)*100+MONTH(RPT_MONTH)&amp;"|SVCR|Monthly",BD_KPIs!$Q$2:$Q$1300,0)),"")</f>
        <v/>
      </c>
      <c r="F11" s="193" t="str">
        <f>IFERROR(INDEX(BD_KPIs!$G$2:$G$1300,MATCH(YEAR(RPT_MONTH)*100+MONTH(RPT_MONTH)&amp;"|SVCR|Monthly",BD_KPIs!$Q$2:$Q$1300,0)),"")</f>
        <v/>
      </c>
      <c r="G11" s="193" t="str">
        <f>IF(ISNUMBER(E11),IF(F11="","No target",IF(IFERROR(INDEX(BD_KPIs!$I$2:$I$1300,MATCH(YEAR(RPT_MONTH)*100+MONTH(RPT_MONTH)&amp;"|SVCR|Monthly",BD_KPIs!$Q$2:$Q$1300,0)),"")="Sí","On target","Off target")),"No data")</f>
        <v>No data</v>
      </c>
      <c r="H11" s="193" t="str">
        <f>INDEX(_TARGETS!$D$2:$D$17,MATCH("SVCR",_TARGETS!$A$2:$A$17,0))</f>
        <v>eventos / 10^6 km</v>
      </c>
      <c r="I11" s="193" t="str">
        <f>INDEX(_TARGETS!$K$2:$K$17,MATCH("SVCR",_TARGETS!$A$2:$A$17,0))</f>
        <v>OPS (eventos) + Full Control GPS (km) - carga manual en Datos</v>
      </c>
      <c r="J11" s="258">
        <f t="shared" si="1"/>
        <v>46296</v>
      </c>
    </row>
    <row r="12" spans="1:10" ht="13.5" customHeight="1" x14ac:dyDescent="0.3">
      <c r="A12" t="s">
        <v>903</v>
      </c>
      <c r="B12" s="193" t="str">
        <f>"SVCR"</f>
        <v>SVCR</v>
      </c>
      <c r="C12" s="258">
        <f t="shared" si="0"/>
        <v>46296</v>
      </c>
      <c r="D12" t="s">
        <v>601</v>
      </c>
      <c r="E12" s="193" t="str">
        <f>IFERROR(INDEX(BD_KPIs!$F$2:$F$1300,MATCH(YEAR(RPT_MONTH)*100+MONTH(RPT_MONTH)&amp;"|SVCR|YTD",BD_KPIs!$Q$2:$Q$1300,0)),"")</f>
        <v/>
      </c>
      <c r="F12" s="193" t="str">
        <f>IFERROR(INDEX(BD_KPIs!$G$2:$G$1300,MATCH(YEAR(RPT_MONTH)*100+MONTH(RPT_MONTH)&amp;"|SVCR|YTD",BD_KPIs!$Q$2:$Q$1300,0)),"")</f>
        <v/>
      </c>
      <c r="G12" s="193" t="str">
        <f>IF(ISNUMBER(E12),IF(F12="","No target",IF(IFERROR(INDEX(BD_KPIs!$I$2:$I$1300,MATCH(YEAR(RPT_MONTH)*100+MONTH(RPT_MONTH)&amp;"|SVCR|YTD",BD_KPIs!$Q$2:$Q$1300,0)),"")="Sí","On target","Off target")),"No data")</f>
        <v>No data</v>
      </c>
      <c r="H12" s="193" t="str">
        <f>INDEX(_TARGETS!$D$2:$D$17,MATCH("SVCR",_TARGETS!$A$2:$A$17,0))</f>
        <v>eventos / 10^6 km</v>
      </c>
      <c r="I12" s="193" t="str">
        <f>INDEX(_TARGETS!$K$2:$K$17,MATCH("SVCR",_TARGETS!$A$2:$A$17,0))</f>
        <v>OPS (eventos) + Full Control GPS (km) - carga manual en Datos</v>
      </c>
      <c r="J12" s="258">
        <f t="shared" si="1"/>
        <v>46296</v>
      </c>
    </row>
    <row r="13" spans="1:10" ht="13.5" customHeight="1" x14ac:dyDescent="0.3">
      <c r="A13" t="s">
        <v>903</v>
      </c>
      <c r="B13" s="193" t="str">
        <f>"SVCR"</f>
        <v>SVCR</v>
      </c>
      <c r="C13" s="258">
        <f t="shared" si="0"/>
        <v>46296</v>
      </c>
      <c r="D13" t="s">
        <v>904</v>
      </c>
      <c r="E13" s="193" t="str">
        <f>IFERROR(INDEX(BD_KPIs!$F$2:$F$1300,MATCH(YEAR(RPT_MONTH)*100+MONTH(RPT_MONTH)&amp;"|SVCR|Cumulative",BD_KPIs!$Q$2:$Q$1300,0)),"")</f>
        <v/>
      </c>
      <c r="F13" s="193" t="str">
        <f>IFERROR(INDEX(BD_KPIs!$G$2:$G$1300,MATCH(YEAR(RPT_MONTH)*100+MONTH(RPT_MONTH)&amp;"|SVCR|Cumulative",BD_KPIs!$Q$2:$Q$1300,0)),"")</f>
        <v/>
      </c>
      <c r="G13" s="193" t="str">
        <f>IF(ISNUMBER(E13),IF(F13="","No target",IF(IFERROR(INDEX(BD_KPIs!$I$2:$I$1300,MATCH(YEAR(RPT_MONTH)*100+MONTH(RPT_MONTH)&amp;"|SVCR|Cumulative",BD_KPIs!$Q$2:$Q$1300,0)),"")="Sí","On target","Off target")),"No data")</f>
        <v>No data</v>
      </c>
      <c r="H13" s="193" t="str">
        <f>INDEX(_TARGETS!$D$2:$D$17,MATCH("SVCR",_TARGETS!$A$2:$A$17,0))</f>
        <v>eventos / 10^6 km</v>
      </c>
      <c r="I13" s="193" t="str">
        <f>INDEX(_TARGETS!$K$2:$K$17,MATCH("SVCR",_TARGETS!$A$2:$A$17,0))</f>
        <v>OPS (eventos) + Full Control GPS (km) - carga manual en Datos</v>
      </c>
      <c r="J13" s="258">
        <f t="shared" si="1"/>
        <v>46296</v>
      </c>
    </row>
    <row r="14" spans="1:10" ht="13.5" customHeight="1" x14ac:dyDescent="0.3">
      <c r="A14" t="s">
        <v>903</v>
      </c>
      <c r="B14" s="193" t="str">
        <f>"TVCR"</f>
        <v>TVCR</v>
      </c>
      <c r="C14" s="258">
        <f t="shared" si="0"/>
        <v>46296</v>
      </c>
      <c r="D14" t="s">
        <v>68</v>
      </c>
      <c r="E14" s="193" t="str">
        <f>IFERROR(INDEX(BD_KPIs!$F$2:$F$1300,MATCH(YEAR(RPT_MONTH)*100+MONTH(RPT_MONTH)&amp;"|TVCR|Monthly",BD_KPIs!$Q$2:$Q$1300,0)),"")</f>
        <v/>
      </c>
      <c r="F14" s="250">
        <f>IFERROR(INDEX(BD_KPIs!$G$2:$G$1300,MATCH(YEAR(RPT_MONTH)*100+MONTH(RPT_MONTH)&amp;"|TVCR|Monthly",BD_KPIs!$Q$2:$Q$1300,0)),"")</f>
        <v>0.79</v>
      </c>
      <c r="G14" s="193" t="str">
        <f>IF(ISNUMBER(E14),IF(F14="","No target",IF(IFERROR(INDEX(BD_KPIs!$I$2:$I$1300,MATCH(YEAR(RPT_MONTH)*100+MONTH(RPT_MONTH)&amp;"|TVCR|Monthly",BD_KPIs!$Q$2:$Q$1300,0)),"")="Sí","On target","Off target")),"No data")</f>
        <v>No data</v>
      </c>
      <c r="H14" s="193" t="str">
        <f>INDEX(_TARGETS!$D$2:$D$17,MATCH("TVCR",_TARGETS!$A$2:$A$17,0))</f>
        <v>eventos / 10^6 km</v>
      </c>
      <c r="I14" s="193" t="str">
        <f>INDEX(_TARGETS!$K$2:$K$17,MATCH("TVCR",_TARGETS!$A$2:$A$17,0))</f>
        <v>OPS (eventos) + Full Control GPS (km) - carga manual en Datos</v>
      </c>
      <c r="J14" s="258">
        <f t="shared" si="1"/>
        <v>46296</v>
      </c>
    </row>
    <row r="15" spans="1:10" ht="13.5" customHeight="1" x14ac:dyDescent="0.3">
      <c r="A15" t="s">
        <v>903</v>
      </c>
      <c r="B15" s="193" t="str">
        <f>"TVCR"</f>
        <v>TVCR</v>
      </c>
      <c r="C15" s="258">
        <f t="shared" si="0"/>
        <v>46296</v>
      </c>
      <c r="D15" t="s">
        <v>601</v>
      </c>
      <c r="E15" s="193" t="str">
        <f>IFERROR(INDEX(BD_KPIs!$F$2:$F$1300,MATCH(YEAR(RPT_MONTH)*100+MONTH(RPT_MONTH)&amp;"|TVCR|YTD",BD_KPIs!$Q$2:$Q$1300,0)),"")</f>
        <v/>
      </c>
      <c r="F15" s="250">
        <f>IFERROR(INDEX(BD_KPIs!$G$2:$G$1300,MATCH(YEAR(RPT_MONTH)*100+MONTH(RPT_MONTH)&amp;"|TVCR|YTD",BD_KPIs!$Q$2:$Q$1300,0)),"")</f>
        <v>0.79</v>
      </c>
      <c r="G15" s="193" t="str">
        <f>IF(ISNUMBER(E15),IF(F15="","No target",IF(IFERROR(INDEX(BD_KPIs!$I$2:$I$1300,MATCH(YEAR(RPT_MONTH)*100+MONTH(RPT_MONTH)&amp;"|TVCR|YTD",BD_KPIs!$Q$2:$Q$1300,0)),"")="Sí","On target","Off target")),"No data")</f>
        <v>No data</v>
      </c>
      <c r="H15" s="193" t="str">
        <f>INDEX(_TARGETS!$D$2:$D$17,MATCH("TVCR",_TARGETS!$A$2:$A$17,0))</f>
        <v>eventos / 10^6 km</v>
      </c>
      <c r="I15" s="193" t="str">
        <f>INDEX(_TARGETS!$K$2:$K$17,MATCH("TVCR",_TARGETS!$A$2:$A$17,0))</f>
        <v>OPS (eventos) + Full Control GPS (km) - carga manual en Datos</v>
      </c>
      <c r="J15" s="258">
        <f t="shared" si="1"/>
        <v>46296</v>
      </c>
    </row>
    <row r="16" spans="1:10" ht="13.5" customHeight="1" x14ac:dyDescent="0.3">
      <c r="A16" t="s">
        <v>903</v>
      </c>
      <c r="B16" s="193" t="str">
        <f>"TVCR"</f>
        <v>TVCR</v>
      </c>
      <c r="C16" s="258">
        <f t="shared" si="0"/>
        <v>46296</v>
      </c>
      <c r="D16" t="s">
        <v>904</v>
      </c>
      <c r="E16" s="193" t="str">
        <f>IFERROR(INDEX(BD_KPIs!$F$2:$F$1300,MATCH(YEAR(RPT_MONTH)*100+MONTH(RPT_MONTH)&amp;"|TVCR|Cumulative",BD_KPIs!$Q$2:$Q$1300,0)),"")</f>
        <v/>
      </c>
      <c r="F16" s="250">
        <f>IFERROR(INDEX(BD_KPIs!$G$2:$G$1300,MATCH(YEAR(RPT_MONTH)*100+MONTH(RPT_MONTH)&amp;"|TVCR|Cumulative",BD_KPIs!$Q$2:$Q$1300,0)),"")</f>
        <v>0.79</v>
      </c>
      <c r="G16" s="193" t="str">
        <f>IF(ISNUMBER(E16),IF(F16="","No target",IF(IFERROR(INDEX(BD_KPIs!$I$2:$I$1300,MATCH(YEAR(RPT_MONTH)*100+MONTH(RPT_MONTH)&amp;"|TVCR|Cumulative",BD_KPIs!$Q$2:$Q$1300,0)),"")="Sí","On target","Off target")),"No data")</f>
        <v>No data</v>
      </c>
      <c r="H16" s="193" t="str">
        <f>INDEX(_TARGETS!$D$2:$D$17,MATCH("TVCR",_TARGETS!$A$2:$A$17,0))</f>
        <v>eventos / 10^6 km</v>
      </c>
      <c r="I16" s="193" t="str">
        <f>INDEX(_TARGETS!$K$2:$K$17,MATCH("TVCR",_TARGETS!$A$2:$A$17,0))</f>
        <v>OPS (eventos) + Full Control GPS (km) - carga manual en Datos</v>
      </c>
      <c r="J16" s="258">
        <f t="shared" si="1"/>
        <v>46296</v>
      </c>
    </row>
    <row r="17" spans="1:10" ht="13.5" customHeight="1" x14ac:dyDescent="0.3">
      <c r="A17" t="s">
        <v>903</v>
      </c>
      <c r="B17" s="193" t="str">
        <f>"OBS"</f>
        <v>OBS</v>
      </c>
      <c r="C17" s="258">
        <f t="shared" si="0"/>
        <v>46296</v>
      </c>
      <c r="D17" t="s">
        <v>68</v>
      </c>
      <c r="E17" s="193" t="str">
        <f>IFERROR(INDEX(BD_KPIs!$F$2:$F$1300,MATCH(YEAR(RPT_MONTH)*100+MONTH(RPT_MONTH)&amp;"|OBS|Monthly",BD_KPIs!$Q$2:$Q$1300,0)),"")</f>
        <v/>
      </c>
      <c r="F17" s="250">
        <f>IFERROR(INDEX(BD_KPIs!$G$2:$G$1300,MATCH(YEAR(RPT_MONTH)*100+MONTH(RPT_MONTH)&amp;"|OBS|Monthly",BD_KPIs!$Q$2:$Q$1300,0)),"")</f>
        <v>1</v>
      </c>
      <c r="G17" s="193" t="str">
        <f>IF(ISNUMBER(E17),IF(F17="","No target",IF(IFERROR(INDEX(BD_KPIs!$I$2:$I$1300,MATCH(YEAR(RPT_MONTH)*100+MONTH(RPT_MONTH)&amp;"|OBS|Monthly",BD_KPIs!$Q$2:$Q$1300,0)),"")="Sí","On target","Off target")),"No data")</f>
        <v>No data</v>
      </c>
      <c r="H17" s="193" t="str">
        <f>INDEX(_TARGETS!$D$2:$D$17,MATCH("OBS",_TARGETS!$A$2:$A$17,0))</f>
        <v>obs / persona</v>
      </c>
      <c r="I17" s="193" t="str">
        <f>INDEX(_TARGETS!$K$2:$K$17,MATCH("OBS",_TARGETS!$A$2:$A$17,0))</f>
        <v>OPS (carga manual en Datos)</v>
      </c>
      <c r="J17" s="258">
        <f t="shared" si="1"/>
        <v>46296</v>
      </c>
    </row>
    <row r="18" spans="1:10" ht="13.5" customHeight="1" x14ac:dyDescent="0.3">
      <c r="A18" t="s">
        <v>903</v>
      </c>
      <c r="B18" s="193" t="str">
        <f>"INV"</f>
        <v>INV</v>
      </c>
      <c r="C18" s="258">
        <f t="shared" si="0"/>
        <v>46296</v>
      </c>
      <c r="D18" t="s">
        <v>68</v>
      </c>
      <c r="E18" s="193" t="str">
        <f>IFERROR(INDEX(BD_KPIs!$F$2:$F$1300,MATCH(YEAR(RPT_MONTH)*100+MONTH(RPT_MONTH)&amp;"|INV|Monthly",BD_KPIs!$Q$2:$Q$1300,0)),"")</f>
        <v/>
      </c>
      <c r="F18" s="250">
        <f>IFERROR(INDEX(BD_KPIs!$G$2:$G$1300,MATCH(YEAR(RPT_MONTH)*100+MONTH(RPT_MONTH)&amp;"|INV|Monthly",BD_KPIs!$Q$2:$Q$1300,0)),"")</f>
        <v>20</v>
      </c>
      <c r="G18" s="193" t="str">
        <f>IF(ISNUMBER(E18),IF(F18="","No target",IF(IFERROR(INDEX(BD_KPIs!$I$2:$I$1300,MATCH(YEAR(RPT_MONTH)*100+MONTH(RPT_MONTH)&amp;"|INV|Monthly",BD_KPIs!$Q$2:$Q$1300,0)),"")="Sí","On target","Off target")),"No data")</f>
        <v>No data</v>
      </c>
      <c r="H18" s="193" t="str">
        <f>INDEX(_TARGETS!$D$2:$D$17,MATCH("INV",_TARGETS!$A$2:$A$17,0))</f>
        <v>días</v>
      </c>
      <c r="I18" s="193" t="str">
        <f>INDEX(_TARGETS!$K$2:$K$17,MATCH("INV",_TARGETS!$A$2:$A$17,0))</f>
        <v>OPS (carga manual en Datos)</v>
      </c>
      <c r="J18" s="258">
        <f t="shared" si="1"/>
        <v>46296</v>
      </c>
    </row>
    <row r="19" spans="1:10" ht="13.5" customHeight="1" x14ac:dyDescent="0.3">
      <c r="A19" t="s">
        <v>903</v>
      </c>
      <c r="B19" s="193" t="str">
        <f>"INV"</f>
        <v>INV</v>
      </c>
      <c r="C19" s="258">
        <f t="shared" si="0"/>
        <v>46296</v>
      </c>
      <c r="D19" t="s">
        <v>601</v>
      </c>
      <c r="E19" s="193" t="str">
        <f>IFERROR(INDEX(BD_KPIs!$F$2:$F$1300,MATCH(YEAR(RPT_MONTH)*100+MONTH(RPT_MONTH)&amp;"|INV|YTD",BD_KPIs!$Q$2:$Q$1300,0)),"")</f>
        <v/>
      </c>
      <c r="F19" s="251">
        <f>IFERROR(INDEX(BD_KPIs!$G$2:$G$1300,MATCH(YEAR(RPT_MONTH)*100+MONTH(RPT_MONTH)&amp;"|INV|YTD",BD_KPIs!$Q$2:$Q$1300,0)),"")</f>
        <v>20</v>
      </c>
      <c r="G19" s="193" t="str">
        <f>IF(ISNUMBER(E19),IF(F19="","No target",IF(IFERROR(INDEX(BD_KPIs!$I$2:$I$1300,MATCH(YEAR(RPT_MONTH)*100+MONTH(RPT_MONTH)&amp;"|INV|YTD",BD_KPIs!$Q$2:$Q$1300,0)),"")="Sí","On target","Off target")),"No data")</f>
        <v>No data</v>
      </c>
      <c r="H19" s="193" t="str">
        <f>INDEX(_TARGETS!$D$2:$D$17,MATCH("INV",_TARGETS!$A$2:$A$17,0))</f>
        <v>días</v>
      </c>
      <c r="I19" s="193" t="str">
        <f>INDEX(_TARGETS!$K$2:$K$17,MATCH("INV",_TARGETS!$A$2:$A$17,0))</f>
        <v>OPS (carga manual en Datos)</v>
      </c>
      <c r="J19" s="258">
        <f t="shared" si="1"/>
        <v>46296</v>
      </c>
    </row>
    <row r="20" spans="1:10" ht="13.5" customHeight="1" x14ac:dyDescent="0.3">
      <c r="A20" t="s">
        <v>903</v>
      </c>
      <c r="B20" s="193" t="str">
        <f>"HCS"</f>
        <v>HCS</v>
      </c>
      <c r="C20" s="258">
        <f t="shared" si="0"/>
        <v>46296</v>
      </c>
      <c r="D20" t="s">
        <v>68</v>
      </c>
      <c r="E20" s="193" t="str">
        <f>IFERROR(INDEX(BD_KPIs!$F$2:$F$1300,MATCH(YEAR(RPT_MONTH)*100+MONTH(RPT_MONTH)&amp;"|HCS|Monthly",BD_KPIs!$Q$2:$Q$1300,0)),"")</f>
        <v/>
      </c>
      <c r="F20" s="250">
        <f>IFERROR(INDEX(BD_KPIs!$G$2:$G$1300,MATCH(YEAR(RPT_MONTH)*100+MONTH(RPT_MONTH)&amp;"|HCS|Monthly",BD_KPIs!$Q$2:$Q$1300,0)),"")</f>
        <v>0.01</v>
      </c>
      <c r="G20" s="193" t="str">
        <f>IF(ISNUMBER(E20),IF(F20="","No target",IF(IFERROR(INDEX(BD_KPIs!$I$2:$I$1300,MATCH(YEAR(RPT_MONTH)*100+MONTH(RPT_MONTH)&amp;"|HCS|Monthly",BD_KPIs!$Q$2:$Q$1300,0)),"")="Sí","On target","Off target")),"No data")</f>
        <v>No data</v>
      </c>
      <c r="H20" s="193" t="str">
        <f>INDEX(_TARGETS!$D$2:$D$17,MATCH("HCS",_TARGETS!$A$2:$A$17,0))</f>
        <v>% (fracción)</v>
      </c>
      <c r="I20" s="193" t="str">
        <f>INDEX(_TARGETS!$K$2:$K$17,MATCH("HCS",_TARGETS!$A$2:$A$17,0))</f>
        <v>OPS (carga manual en Datos)</v>
      </c>
      <c r="J20" s="258">
        <f t="shared" si="1"/>
        <v>46296</v>
      </c>
    </row>
    <row r="21" spans="1:10" ht="13.5" customHeight="1" x14ac:dyDescent="0.3">
      <c r="A21" t="s">
        <v>903</v>
      </c>
      <c r="B21" s="193" t="str">
        <f>"HCS"</f>
        <v>HCS</v>
      </c>
      <c r="C21" s="258">
        <f t="shared" si="0"/>
        <v>46296</v>
      </c>
      <c r="D21" t="s">
        <v>601</v>
      </c>
      <c r="E21" s="193" t="str">
        <f>IFERROR(INDEX(BD_KPIs!$F$2:$F$1300,MATCH(YEAR(RPT_MONTH)*100+MONTH(RPT_MONTH)&amp;"|HCS|YTD",BD_KPIs!$Q$2:$Q$1300,0)),"")</f>
        <v/>
      </c>
      <c r="F21" s="252">
        <f>IFERROR(INDEX(BD_KPIs!$G$2:$G$1300,MATCH(YEAR(RPT_MONTH)*100+MONTH(RPT_MONTH)&amp;"|HCS|YTD",BD_KPIs!$Q$2:$Q$1300,0)),"")</f>
        <v>0.01</v>
      </c>
      <c r="G21" s="193" t="str">
        <f>IF(ISNUMBER(E21),IF(F21="","No target",IF(IFERROR(INDEX(BD_KPIs!$I$2:$I$1300,MATCH(YEAR(RPT_MONTH)*100+MONTH(RPT_MONTH)&amp;"|HCS|YTD",BD_KPIs!$Q$2:$Q$1300,0)),"")="Sí","On target","Off target")),"No data")</f>
        <v>No data</v>
      </c>
      <c r="H21" s="193" t="str">
        <f>INDEX(_TARGETS!$D$2:$D$17,MATCH("HCS",_TARGETS!$A$2:$A$17,0))</f>
        <v>% (fracción)</v>
      </c>
      <c r="I21" s="193" t="str">
        <f>INDEX(_TARGETS!$K$2:$K$17,MATCH("HCS",_TARGETS!$A$2:$A$17,0))</f>
        <v>OPS (carga manual en Datos)</v>
      </c>
      <c r="J21" s="258">
        <f t="shared" si="1"/>
        <v>46296</v>
      </c>
    </row>
    <row r="22" spans="1:10" ht="13.5" customHeight="1" x14ac:dyDescent="0.3">
      <c r="A22" t="s">
        <v>903</v>
      </c>
      <c r="B22" s="193" t="str">
        <f>"HCSA"</f>
        <v>HCSA</v>
      </c>
      <c r="C22" s="258">
        <f t="shared" si="0"/>
        <v>46296</v>
      </c>
      <c r="D22" t="s">
        <v>68</v>
      </c>
      <c r="E22" s="193" t="str">
        <f>IFERROR(INDEX(BD_KPIs!$F$2:$F$1300,MATCH(YEAR(RPT_MONTH)*100+MONTH(RPT_MONTH)&amp;"|HCSA|Monthly",BD_KPIs!$Q$2:$Q$1300,0)),"")</f>
        <v/>
      </c>
      <c r="F22" s="193" t="str">
        <f>IFERROR(INDEX(BD_KPIs!$G$2:$G$1300,MATCH(YEAR(RPT_MONTH)*100+MONTH(RPT_MONTH)&amp;"|HCSA|Monthly",BD_KPIs!$Q$2:$Q$1300,0)),"")</f>
        <v/>
      </c>
      <c r="G22" s="193" t="str">
        <f>IF(ISNUMBER(E22),IF(F22="","No target",IF(IFERROR(INDEX(BD_KPIs!$I$2:$I$1300,MATCH(YEAR(RPT_MONTH)*100+MONTH(RPT_MONTH)&amp;"|HCSA|Monthly",BD_KPIs!$Q$2:$Q$1300,0)),"")="Sí","On target","Off target")),"No data")</f>
        <v>No data</v>
      </c>
      <c r="H22" s="193" t="str">
        <f>INDEX(_TARGETS!$D$2:$D$17,MATCH("HCSA",_TARGETS!$A$2:$A$17,0))</f>
        <v>h / persona</v>
      </c>
      <c r="I22" s="193" t="str">
        <f>INDEX(_TARGETS!$K$2:$K$17,MATCH("HCSA",_TARGETS!$A$2:$A$17,0))</f>
        <v>OPS (carga manual en Datos)</v>
      </c>
      <c r="J22" s="258">
        <f t="shared" si="1"/>
        <v>46296</v>
      </c>
    </row>
    <row r="23" spans="1:10" ht="13.5" customHeight="1" x14ac:dyDescent="0.3">
      <c r="A23" t="s">
        <v>903</v>
      </c>
      <c r="B23" s="193" t="str">
        <f>"CPSE"</f>
        <v>CPSE</v>
      </c>
      <c r="C23" s="258">
        <f t="shared" si="0"/>
        <v>46296</v>
      </c>
      <c r="D23" t="s">
        <v>68</v>
      </c>
      <c r="E23" s="193" t="str">
        <f>IFERROR(INDEX(BD_KPIs!$F$2:$F$1300,MATCH(YEAR(RPT_MONTH)*100+MONTH(RPT_MONTH)&amp;"|CPSE|Monthly",BD_KPIs!$Q$2:$Q$1300,0)),"")</f>
        <v/>
      </c>
      <c r="F23" s="250">
        <f>IFERROR(INDEX(BD_KPIs!$G$2:$G$1300,MATCH(YEAR(RPT_MONTH)*100+MONTH(RPT_MONTH)&amp;"|CPSE|Monthly",BD_KPIs!$Q$2:$Q$1300,0)),"")</f>
        <v>1</v>
      </c>
      <c r="G23" s="193" t="str">
        <f>IF(ISNUMBER(E23),IF(F23="","No target",IF(IFERROR(INDEX(BD_KPIs!$I$2:$I$1300,MATCH(YEAR(RPT_MONTH)*100+MONTH(RPT_MONTH)&amp;"|CPSE|Monthly",BD_KPIs!$Q$2:$Q$1300,0)),"")="Sí","On target","Off target")),"No data")</f>
        <v>No data</v>
      </c>
      <c r="H23" s="193" t="str">
        <f>INDEX(_TARGETS!$D$2:$D$17,MATCH("CPSE",_TARGETS!$A$2:$A$17,0))</f>
        <v>% (fracción)</v>
      </c>
      <c r="I23" s="193" t="str">
        <f>INDEX(_TARGETS!$K$2:$K$17,MATCH("CPSE",_TARGETS!$A$2:$A$17,0))</f>
        <v>OPS (carga manual en Datos)</v>
      </c>
      <c r="J23" s="258">
        <f t="shared" si="1"/>
        <v>46296</v>
      </c>
    </row>
    <row r="24" spans="1:10" ht="13.5" customHeight="1" x14ac:dyDescent="0.3">
      <c r="A24" t="s">
        <v>903</v>
      </c>
      <c r="B24" s="193" t="str">
        <f>"CPSE"</f>
        <v>CPSE</v>
      </c>
      <c r="C24" s="258">
        <f t="shared" si="0"/>
        <v>46296</v>
      </c>
      <c r="D24" t="s">
        <v>601</v>
      </c>
      <c r="E24" s="193" t="str">
        <f>IFERROR(INDEX(BD_KPIs!$F$2:$F$1300,MATCH(YEAR(RPT_MONTH)*100+MONTH(RPT_MONTH)&amp;"|CPSE|YTD",BD_KPIs!$Q$2:$Q$1300,0)),"")</f>
        <v/>
      </c>
      <c r="F24" s="253">
        <f>IFERROR(INDEX(BD_KPIs!$G$2:$G$1300,MATCH(YEAR(RPT_MONTH)*100+MONTH(RPT_MONTH)&amp;"|CPSE|YTD",BD_KPIs!$Q$2:$Q$1300,0)),"")</f>
        <v>1</v>
      </c>
      <c r="G24" s="193" t="str">
        <f>IF(ISNUMBER(E24),IF(F24="","No target",IF(IFERROR(INDEX(BD_KPIs!$I$2:$I$1300,MATCH(YEAR(RPT_MONTH)*100+MONTH(RPT_MONTH)&amp;"|CPSE|YTD",BD_KPIs!$Q$2:$Q$1300,0)),"")="Sí","On target","Off target")),"No data")</f>
        <v>No data</v>
      </c>
      <c r="H24" s="193" t="str">
        <f>INDEX(_TARGETS!$D$2:$D$17,MATCH("CPSE",_TARGETS!$A$2:$A$17,0))</f>
        <v>% (fracción)</v>
      </c>
      <c r="I24" s="193" t="str">
        <f>INDEX(_TARGETS!$K$2:$K$17,MATCH("CPSE",_TARGETS!$A$2:$A$17,0))</f>
        <v>OPS (carga manual en Datos)</v>
      </c>
      <c r="J24" s="258">
        <f t="shared" si="1"/>
        <v>46296</v>
      </c>
    </row>
    <row r="25" spans="1:10" ht="13.5" customHeight="1" x14ac:dyDescent="0.3">
      <c r="A25" t="s">
        <v>903</v>
      </c>
      <c r="B25" s="193" t="str">
        <f>"CAMS"</f>
        <v>CAMS</v>
      </c>
      <c r="C25" s="258">
        <f t="shared" si="0"/>
        <v>46296</v>
      </c>
      <c r="D25" t="s">
        <v>68</v>
      </c>
      <c r="E25" s="193" t="str">
        <f>IFERROR(INDEX(BD_KPIs!$F$2:$F$1300,MATCH(YEAR(RPT_MONTH)*100+MONTH(RPT_MONTH)&amp;"|CAMS|Monthly",BD_KPIs!$Q$2:$Q$1300,0)),"")</f>
        <v/>
      </c>
      <c r="F25" s="250" t="str">
        <f>IFERROR(INDEX(BD_KPIs!$G$2:$G$1300,MATCH(YEAR(RPT_MONTH)*100+MONTH(RPT_MONTH)&amp;"|CAMS|Monthly",BD_KPIs!$Q$2:$Q$1300,0)),"")</f>
        <v/>
      </c>
      <c r="G25" s="193" t="str">
        <f>IF(ISNUMBER(E25),IF(F25="","No target",IF(IFERROR(INDEX(BD_KPIs!$I$2:$I$1300,MATCH(YEAR(RPT_MONTH)*100+MONTH(RPT_MONTH)&amp;"|CAMS|Monthly",BD_KPIs!$Q$2:$Q$1300,0)),"")="Sí","On target","Off target")),"No data")</f>
        <v>No data</v>
      </c>
      <c r="H25" s="193" t="str">
        <f>INDEX(_TARGETS!$D$2:$D$17,MATCH("CAMS",_TARGETS!$A$2:$A$17,0))</f>
        <v>% (fracción)</v>
      </c>
      <c r="I25" s="193" t="str">
        <f>INDEX(_TARGETS!$K$2:$K$17,MATCH("CAMS",_TARGETS!$A$2:$A$17,0))</f>
        <v>OPS (carga manual en Datos)</v>
      </c>
      <c r="J25" s="258">
        <f t="shared" si="1"/>
        <v>46296</v>
      </c>
    </row>
    <row r="26" spans="1:10" ht="13.5" customHeight="1" x14ac:dyDescent="0.3">
      <c r="A26" t="s">
        <v>903</v>
      </c>
      <c r="B26" s="193" t="str">
        <f>"CAMS"</f>
        <v>CAMS</v>
      </c>
      <c r="C26" s="258">
        <f t="shared" si="0"/>
        <v>46296</v>
      </c>
      <c r="D26" t="s">
        <v>601</v>
      </c>
      <c r="E26" s="193" t="str">
        <f>IFERROR(INDEX(BD_KPIs!$F$2:$F$1300,MATCH(YEAR(RPT_MONTH)*100+MONTH(RPT_MONTH)&amp;"|CAMS|YTD",BD_KPIs!$Q$2:$Q$1300,0)),"")</f>
        <v/>
      </c>
      <c r="F26" s="254" t="str">
        <f>IFERROR(INDEX(BD_KPIs!$G$2:$G$1300,MATCH(YEAR(RPT_MONTH)*100+MONTH(RPT_MONTH)&amp;"|CAMS|YTD",BD_KPIs!$Q$2:$Q$1300,0)),"")</f>
        <v/>
      </c>
      <c r="G26" s="193" t="str">
        <f>IF(ISNUMBER(E26),IF(F26="","No target",IF(IFERROR(INDEX(BD_KPIs!$I$2:$I$1300,MATCH(YEAR(RPT_MONTH)*100+MONTH(RPT_MONTH)&amp;"|CAMS|YTD",BD_KPIs!$Q$2:$Q$1300,0)),"")="Sí","On target","Off target")),"No data")</f>
        <v>No data</v>
      </c>
      <c r="H26" s="193" t="str">
        <f>INDEX(_TARGETS!$D$2:$D$17,MATCH("CAMS",_TARGETS!$A$2:$A$17,0))</f>
        <v>% (fracción)</v>
      </c>
      <c r="I26" s="193" t="str">
        <f>INDEX(_TARGETS!$K$2:$K$17,MATCH("CAMS",_TARGETS!$A$2:$A$17,0))</f>
        <v>OPS (carga manual en Datos)</v>
      </c>
      <c r="J26" s="258">
        <f t="shared" si="1"/>
        <v>46296</v>
      </c>
    </row>
    <row r="27" spans="1:10" ht="13.5" customHeight="1" x14ac:dyDescent="0.3">
      <c r="A27" t="s">
        <v>903</v>
      </c>
      <c r="B27" s="193" t="str">
        <f>"ICCS"</f>
        <v>ICCS</v>
      </c>
      <c r="C27" s="258">
        <f t="shared" si="0"/>
        <v>46296</v>
      </c>
      <c r="D27" t="s">
        <v>68</v>
      </c>
      <c r="E27" s="193" t="str">
        <f>IFERROR(INDEX(BD_KPIs!$F$2:$F$1300,MATCH(YEAR(RPT_MONTH)*100+MONTH(RPT_MONTH)&amp;"|ICCS|Monthly",BD_KPIs!$Q$2:$Q$1300,0)),"")</f>
        <v/>
      </c>
      <c r="F27" s="250">
        <f>IFERROR(INDEX(BD_KPIs!$G$2:$G$1300,MATCH(YEAR(RPT_MONTH)*100+MONTH(RPT_MONTH)&amp;"|ICCS|Monthly",BD_KPIs!$Q$2:$Q$1300,0)),"")</f>
        <v>1</v>
      </c>
      <c r="G27" s="193" t="str">
        <f>IF(ISNUMBER(E27),IF(F27="","No target",IF(IFERROR(INDEX(BD_KPIs!$I$2:$I$1300,MATCH(YEAR(RPT_MONTH)*100+MONTH(RPT_MONTH)&amp;"|ICCS|Monthly",BD_KPIs!$Q$2:$Q$1300,0)),"")="Sí","On target","Off target")),"No data")</f>
        <v>No data</v>
      </c>
      <c r="H27" s="193" t="str">
        <f>INDEX(_TARGETS!$D$2:$D$17,MATCH("ICCS",_TARGETS!$A$2:$A$17,0))</f>
        <v>% (fracción)</v>
      </c>
      <c r="I27" s="193" t="str">
        <f>INDEX(_TARGETS!$K$2:$K$17,MATCH("ICCS",_TARGETS!$A$2:$A$17,0))</f>
        <v>OPS (carga manual en Datos)</v>
      </c>
      <c r="J27" s="258">
        <f t="shared" si="1"/>
        <v>46296</v>
      </c>
    </row>
    <row r="28" spans="1:10" ht="13.5" customHeight="1" x14ac:dyDescent="0.3">
      <c r="A28" t="s">
        <v>903</v>
      </c>
      <c r="B28" s="193" t="str">
        <f>"ICCS"</f>
        <v>ICCS</v>
      </c>
      <c r="C28" s="258">
        <f t="shared" si="0"/>
        <v>46296</v>
      </c>
      <c r="D28" t="s">
        <v>601</v>
      </c>
      <c r="E28" s="193" t="str">
        <f>IFERROR(INDEX(BD_KPIs!$F$2:$F$1300,MATCH(YEAR(RPT_MONTH)*100+MONTH(RPT_MONTH)&amp;"|ICCS|YTD",BD_KPIs!$Q$2:$Q$1300,0)),"")</f>
        <v/>
      </c>
      <c r="F28" s="254">
        <f>IFERROR(INDEX(BD_KPIs!$G$2:$G$1300,MATCH(YEAR(RPT_MONTH)*100+MONTH(RPT_MONTH)&amp;"|ICCS|YTD",BD_KPIs!$Q$2:$Q$1300,0)),"")</f>
        <v>1</v>
      </c>
      <c r="G28" s="193" t="str">
        <f>IF(ISNUMBER(E28),IF(F28="","No target",IF(IFERROR(INDEX(BD_KPIs!$I$2:$I$1300,MATCH(YEAR(RPT_MONTH)*100+MONTH(RPT_MONTH)&amp;"|ICCS|YTD",BD_KPIs!$Q$2:$Q$1300,0)),"")="Sí","On target","Off target")),"No data")</f>
        <v>No data</v>
      </c>
      <c r="H28" s="193" t="str">
        <f>INDEX(_TARGETS!$D$2:$D$17,MATCH("ICCS",_TARGETS!$A$2:$A$17,0))</f>
        <v>% (fracción)</v>
      </c>
      <c r="I28" s="193" t="str">
        <f>INDEX(_TARGETS!$K$2:$K$17,MATCH("ICCS",_TARGETS!$A$2:$A$17,0))</f>
        <v>OPS (carga manual en Datos)</v>
      </c>
      <c r="J28" s="258">
        <f t="shared" si="1"/>
        <v>46296</v>
      </c>
    </row>
    <row r="29" spans="1:10" ht="13.5" customHeight="1" x14ac:dyDescent="0.3">
      <c r="A29" t="s">
        <v>903</v>
      </c>
      <c r="B29" s="193" t="str">
        <f>"CCS"</f>
        <v>CCS</v>
      </c>
      <c r="C29" s="258">
        <f t="shared" si="0"/>
        <v>46296</v>
      </c>
      <c r="D29" t="s">
        <v>68</v>
      </c>
      <c r="E29" s="193" t="str">
        <f>IFERROR(INDEX(BD_KPIs!$F$2:$F$1300,MATCH(YEAR(RPT_MONTH)*100+MONTH(RPT_MONTH)&amp;"|CCS|Monthly",BD_KPIs!$Q$2:$Q$1300,0)),"")</f>
        <v/>
      </c>
      <c r="F29" s="250">
        <f>IFERROR(INDEX(BD_KPIs!$G$2:$G$1300,MATCH(YEAR(RPT_MONTH)*100+MONTH(RPT_MONTH)&amp;"|CCS|Monthly",BD_KPIs!$Q$2:$Q$1300,0)),"")</f>
        <v>1</v>
      </c>
      <c r="G29" s="193" t="str">
        <f>IF(ISNUMBER(E29),IF(F29="","No target",IF(IFERROR(INDEX(BD_KPIs!$I$2:$I$1300,MATCH(YEAR(RPT_MONTH)*100+MONTH(RPT_MONTH)&amp;"|CCS|Monthly",BD_KPIs!$Q$2:$Q$1300,0)),"")="Sí","On target","Off target")),"No data")</f>
        <v>No data</v>
      </c>
      <c r="H29" s="193" t="str">
        <f>INDEX(_TARGETS!$D$2:$D$17,MATCH("CCS",_TARGETS!$A$2:$A$17,0))</f>
        <v>% (fracción)</v>
      </c>
      <c r="I29" s="193" t="str">
        <f>INDEX(_TARGETS!$K$2:$K$17,MATCH("CCS",_TARGETS!$A$2:$A$17,0))</f>
        <v>OPS (carga manual en Datos)</v>
      </c>
      <c r="J29" s="258">
        <f t="shared" si="1"/>
        <v>46296</v>
      </c>
    </row>
    <row r="30" spans="1:10" ht="13.5" customHeight="1" x14ac:dyDescent="0.3">
      <c r="A30" t="s">
        <v>903</v>
      </c>
      <c r="B30" s="193" t="str">
        <f>"CCS"</f>
        <v>CCS</v>
      </c>
      <c r="C30" s="258">
        <f t="shared" si="0"/>
        <v>46296</v>
      </c>
      <c r="D30" t="s">
        <v>601</v>
      </c>
      <c r="E30" s="193" t="str">
        <f>IFERROR(INDEX(BD_KPIs!$F$2:$F$1300,MATCH(YEAR(RPT_MONTH)*100+MONTH(RPT_MONTH)&amp;"|CCS|YTD",BD_KPIs!$Q$2:$Q$1300,0)),"")</f>
        <v/>
      </c>
      <c r="F30" s="254">
        <f>IFERROR(INDEX(BD_KPIs!$G$2:$G$1300,MATCH(YEAR(RPT_MONTH)*100+MONTH(RPT_MONTH)&amp;"|CCS|YTD",BD_KPIs!$Q$2:$Q$1300,0)),"")</f>
        <v>1</v>
      </c>
      <c r="G30" s="193" t="str">
        <f>IF(ISNUMBER(E30),IF(F30="","No target",IF(IFERROR(INDEX(BD_KPIs!$I$2:$I$1300,MATCH(YEAR(RPT_MONTH)*100+MONTH(RPT_MONTH)&amp;"|CCS|YTD",BD_KPIs!$Q$2:$Q$1300,0)),"")="Sí","On target","Off target")),"No data")</f>
        <v>No data</v>
      </c>
      <c r="H30" s="193" t="str">
        <f>INDEX(_TARGETS!$D$2:$D$17,MATCH("CCS",_TARGETS!$A$2:$A$17,0))</f>
        <v>% (fracción)</v>
      </c>
      <c r="I30" s="193" t="str">
        <f>INDEX(_TARGETS!$K$2:$K$17,MATCH("CCS",_TARGETS!$A$2:$A$17,0))</f>
        <v>OPS (carga manual en Datos)</v>
      </c>
      <c r="J30" s="258">
        <f t="shared" si="1"/>
        <v>46296</v>
      </c>
    </row>
    <row r="31" spans="1:10" ht="13.5" customHeight="1" x14ac:dyDescent="0.3">
      <c r="A31" t="s">
        <v>903</v>
      </c>
      <c r="B31" s="193" t="str">
        <f>"DPAS"</f>
        <v>DPAS</v>
      </c>
      <c r="C31" s="258">
        <f t="shared" si="0"/>
        <v>46296</v>
      </c>
      <c r="D31" t="s">
        <v>68</v>
      </c>
      <c r="E31" s="193" t="str">
        <f>IFERROR(INDEX(BD_KPIs!$F$2:$F$1300,MATCH(YEAR(RPT_MONTH)*100+MONTH(RPT_MONTH)&amp;"|DPAS|Monthly",BD_KPIs!$Q$2:$Q$1300,0)),"")</f>
        <v/>
      </c>
      <c r="F31" s="193" t="str">
        <f>IFERROR(INDEX(BD_KPIs!$G$2:$G$1300,MATCH(YEAR(RPT_MONTH)*100+MONTH(RPT_MONTH)&amp;"|DPAS|Monthly",BD_KPIs!$Q$2:$Q$1300,0)),"")</f>
        <v/>
      </c>
      <c r="G31" s="193" t="str">
        <f>IF(ISNUMBER(E31),IF(F31="","No target",IF(IFERROR(INDEX(BD_KPIs!$I$2:$I$1300,MATCH(YEAR(RPT_MONTH)*100+MONTH(RPT_MONTH)&amp;"|DPAS|Monthly",BD_KPIs!$Q$2:$Q$1300,0)),"")="Sí","On target","Off target")),"No data")</f>
        <v>No data</v>
      </c>
      <c r="H31" s="193" t="str">
        <f>INDEX(_TARGETS!$D$2:$D$17,MATCH("DPAS",_TARGETS!$A$2:$A$17,0))</f>
        <v>días</v>
      </c>
      <c r="I31" s="193" t="str">
        <f>INDEX(_TARGETS!$K$2:$K$17,MATCH("DPAS",_TARGETS!$A$2:$A$17,0))</f>
        <v>Plant Findings (hoja Observaciones-SMP)</v>
      </c>
      <c r="J31" s="258">
        <f t="shared" si="1"/>
        <v>46296</v>
      </c>
    </row>
    <row r="32" spans="1:10" ht="13.5" customHeight="1" x14ac:dyDescent="0.3">
      <c r="A32" t="s">
        <v>903</v>
      </c>
      <c r="B32" s="193" t="str">
        <f>"DPAS"</f>
        <v>DPAS</v>
      </c>
      <c r="C32" s="258">
        <f t="shared" si="0"/>
        <v>46296</v>
      </c>
      <c r="D32" t="s">
        <v>601</v>
      </c>
      <c r="E32" s="193" t="str">
        <f>IFERROR(INDEX(BD_KPIs!$F$2:$F$1300,MATCH(YEAR(RPT_MONTH)*100+MONTH(RPT_MONTH)&amp;"|DPAS|YTD",BD_KPIs!$Q$2:$Q$1300,0)),"")</f>
        <v/>
      </c>
      <c r="F32" s="193" t="str">
        <f>IFERROR(INDEX(BD_KPIs!$G$2:$G$1300,MATCH(YEAR(RPT_MONTH)*100+MONTH(RPT_MONTH)&amp;"|DPAS|YTD",BD_KPIs!$Q$2:$Q$1300,0)),"")</f>
        <v/>
      </c>
      <c r="G32" s="193" t="str">
        <f>IF(ISNUMBER(E32),IF(F32="","No target",IF(IFERROR(INDEX(BD_KPIs!$I$2:$I$1300,MATCH(YEAR(RPT_MONTH)*100+MONTH(RPT_MONTH)&amp;"|DPAS|YTD",BD_KPIs!$Q$2:$Q$1300,0)),"")="Sí","On target","Off target")),"No data")</f>
        <v>No data</v>
      </c>
      <c r="H32" s="193" t="str">
        <f>INDEX(_TARGETS!$D$2:$D$17,MATCH("DPAS",_TARGETS!$A$2:$A$17,0))</f>
        <v>días</v>
      </c>
      <c r="I32" s="193" t="str">
        <f>INDEX(_TARGETS!$K$2:$K$17,MATCH("DPAS",_TARGETS!$A$2:$A$17,0))</f>
        <v>Plant Findings (hoja Observaciones-SMP)</v>
      </c>
      <c r="J32" s="258">
        <f t="shared" si="1"/>
        <v>46296</v>
      </c>
    </row>
    <row r="33" spans="1:10" ht="13.5" customHeight="1" x14ac:dyDescent="0.3">
      <c r="A33" t="s">
        <v>903</v>
      </c>
      <c r="B33" s="193" t="str">
        <f>"HAL_ALTA_PCT"</f>
        <v>HAL_ALTA_PCT</v>
      </c>
      <c r="C33" s="258">
        <f t="shared" si="0"/>
        <v>46296</v>
      </c>
      <c r="D33" t="s">
        <v>68</v>
      </c>
      <c r="E33" s="193" t="str">
        <f>IFERROR(INDEX(BD_KPIs!$F$2:$F$1300,MATCH(YEAR(RPT_MONTH)*100+MONTH(RPT_MONTH)&amp;"|HAL_ALTA_PCT|Monthly",BD_KPIs!$Q$2:$Q$1300,0)),"")</f>
        <v/>
      </c>
      <c r="F33" s="193" t="str">
        <f>IFERROR(INDEX(BD_KPIs!$G$2:$G$1300,MATCH(YEAR(RPT_MONTH)*100+MONTH(RPT_MONTH)&amp;"|HAL_ALTA_PCT|Monthly",BD_KPIs!$Q$2:$Q$1300,0)),"")</f>
        <v/>
      </c>
      <c r="G33" s="193" t="str">
        <f>IF(ISNUMBER(E33),IF(F33="","No target",IF(IFERROR(INDEX(BD_KPIs!$I$2:$I$1300,MATCH(YEAR(RPT_MONTH)*100+MONTH(RPT_MONTH)&amp;"|HAL_ALTA_PCT|Monthly",BD_KPIs!$Q$2:$Q$1300,0)),"")="Sí","On target","Off target")),"No data")</f>
        <v>No data</v>
      </c>
      <c r="H33" s="193" t="str">
        <f>INDEX(_TARGETS!$D$2:$D$17,MATCH("HAL_ALTA_PCT",_TARGETS!$A$2:$A$17,0))</f>
        <v>% (fracción)</v>
      </c>
      <c r="I33" s="193" t="str">
        <f>INDEX(_TARGETS!$K$2:$K$17,MATCH("HAL_ALTA_PCT",_TARGETS!$A$2:$A$17,0))</f>
        <v>Plant Findings (hoja Observaciones-SMP)</v>
      </c>
      <c r="J33" s="258">
        <f t="shared" si="1"/>
        <v>46296</v>
      </c>
    </row>
    <row r="34" spans="1:10" ht="13.5" customHeight="1" x14ac:dyDescent="0.3">
      <c r="A34" t="s">
        <v>903</v>
      </c>
      <c r="B34" s="193" t="str">
        <f>"HAL_ALTA_PCT"</f>
        <v>HAL_ALTA_PCT</v>
      </c>
      <c r="C34" s="258">
        <f t="shared" si="0"/>
        <v>46296</v>
      </c>
      <c r="D34" t="s">
        <v>601</v>
      </c>
      <c r="E34" s="193" t="str">
        <f>IFERROR(INDEX(BD_KPIs!$F$2:$F$1300,MATCH(YEAR(RPT_MONTH)*100+MONTH(RPT_MONTH)&amp;"|HAL_ALTA_PCT|YTD",BD_KPIs!$Q$2:$Q$1300,0)),"")</f>
        <v/>
      </c>
      <c r="F34" s="193" t="str">
        <f>IFERROR(INDEX(BD_KPIs!$G$2:$G$1300,MATCH(YEAR(RPT_MONTH)*100+MONTH(RPT_MONTH)&amp;"|HAL_ALTA_PCT|YTD",BD_KPIs!$Q$2:$Q$1300,0)),"")</f>
        <v/>
      </c>
      <c r="G34" s="193" t="str">
        <f>IF(ISNUMBER(E34),IF(F34="","No target",IF(IFERROR(INDEX(BD_KPIs!$I$2:$I$1300,MATCH(YEAR(RPT_MONTH)*100+MONTH(RPT_MONTH)&amp;"|HAL_ALTA_PCT|YTD",BD_KPIs!$Q$2:$Q$1300,0)),"")="Sí","On target","Off target")),"No data")</f>
        <v>No data</v>
      </c>
      <c r="H34" s="193" t="str">
        <f>INDEX(_TARGETS!$D$2:$D$17,MATCH("HAL_ALTA_PCT",_TARGETS!$A$2:$A$17,0))</f>
        <v>% (fracción)</v>
      </c>
      <c r="I34" s="193" t="str">
        <f>INDEX(_TARGETS!$K$2:$K$17,MATCH("HAL_ALTA_PCT",_TARGETS!$A$2:$A$17,0))</f>
        <v>Plant Findings (hoja Observaciones-SMP)</v>
      </c>
      <c r="J34" s="258">
        <f t="shared" si="1"/>
        <v>46296</v>
      </c>
    </row>
    <row r="35" spans="1:10" ht="13.5" customHeight="1" x14ac:dyDescent="0.3">
      <c r="A35" t="s">
        <v>903</v>
      </c>
      <c r="B35" s="193" t="str">
        <f>"DET"</f>
        <v>DET</v>
      </c>
      <c r="C35" s="258">
        <f t="shared" si="0"/>
        <v>46296</v>
      </c>
      <c r="D35" t="s">
        <v>68</v>
      </c>
      <c r="E35" s="193" t="str">
        <f>IFERROR(INDEX(BD_KPIs!$F$2:$F$1300,MATCH(YEAR(RPT_MONTH)*100+MONTH(RPT_MONTH)&amp;"|DET|Monthly",BD_KPIs!$Q$2:$Q$1300,0)),"")</f>
        <v/>
      </c>
      <c r="F35" s="193" t="str">
        <f>IFERROR(INDEX(BD_KPIs!$G$2:$G$1300,MATCH(YEAR(RPT_MONTH)*100+MONTH(RPT_MONTH)&amp;"|DET|Monthly",BD_KPIs!$Q$2:$Q$1300,0)),"")</f>
        <v/>
      </c>
      <c r="G35" s="193" t="str">
        <f>IF(ISNUMBER(E35),IF(F35="","No target",IF(IFERROR(INDEX(BD_KPIs!$I$2:$I$1300,MATCH(YEAR(RPT_MONTH)*100+MONTH(RPT_MONTH)&amp;"|DET|Monthly",BD_KPIs!$Q$2:$Q$1300,0)),"")="Sí","On target","Off target")),"No data")</f>
        <v>No data</v>
      </c>
      <c r="H35" s="193" t="str">
        <f>INDEX(_TARGETS!$D$2:$D$17,MATCH("DET",_TARGETS!$A$2:$A$17,0))</f>
        <v>u</v>
      </c>
      <c r="I35" s="193" t="str">
        <f>INDEX(_TARGETS!$K$2:$K$17,MATCH("DET",_TARGETS!$A$2:$A$17,0))</f>
        <v>Plant Findings (hoja Observaciones-SMP)</v>
      </c>
      <c r="J35" s="258">
        <f t="shared" si="1"/>
        <v>46296</v>
      </c>
    </row>
    <row r="36" spans="1:10" ht="13.5" customHeight="1" x14ac:dyDescent="0.3">
      <c r="A36" t="s">
        <v>903</v>
      </c>
      <c r="B36" s="193" t="str">
        <f>"DET"</f>
        <v>DET</v>
      </c>
      <c r="C36" s="258">
        <f t="shared" si="0"/>
        <v>46296</v>
      </c>
      <c r="D36" t="s">
        <v>601</v>
      </c>
      <c r="E36" s="193" t="str">
        <f>IFERROR(INDEX(BD_KPIs!$F$2:$F$1300,MATCH(YEAR(RPT_MONTH)*100+MONTH(RPT_MONTH)&amp;"|DET|YTD",BD_KPIs!$Q$2:$Q$1300,0)),"")</f>
        <v/>
      </c>
      <c r="F36" s="193" t="str">
        <f>IFERROR(INDEX(BD_KPIs!$G$2:$G$1300,MATCH(YEAR(RPT_MONTH)*100+MONTH(RPT_MONTH)&amp;"|DET|YTD",BD_KPIs!$Q$2:$Q$1300,0)),"")</f>
        <v/>
      </c>
      <c r="G36" s="193" t="str">
        <f>IF(ISNUMBER(E36),IF(F36="","No target",IF(IFERROR(INDEX(BD_KPIs!$I$2:$I$1300,MATCH(YEAR(RPT_MONTH)*100+MONTH(RPT_MONTH)&amp;"|DET|YTD",BD_KPIs!$Q$2:$Q$1300,0)),"")="Sí","On target","Off target")),"No data")</f>
        <v>No data</v>
      </c>
      <c r="H36" s="193" t="str">
        <f>INDEX(_TARGETS!$D$2:$D$17,MATCH("DET",_TARGETS!$A$2:$A$17,0))</f>
        <v>u</v>
      </c>
      <c r="I36" s="193" t="str">
        <f>INDEX(_TARGETS!$K$2:$K$17,MATCH("DET",_TARGETS!$A$2:$A$17,0))</f>
        <v>Plant Findings (hoja Observaciones-SMP)</v>
      </c>
      <c r="J36" s="258">
        <f t="shared" si="1"/>
        <v>46296</v>
      </c>
    </row>
    <row r="37" spans="1:10" ht="13.5" customHeight="1" x14ac:dyDescent="0.3">
      <c r="A37" t="s">
        <v>905</v>
      </c>
      <c r="B37" s="193" t="str">
        <f>YEAR(DATE(YEAR(RPT_MONTH),MONTH(RPT_MONTH)-11,1))&amp;"-"&amp;RIGHT("0"&amp;MONTH(DATE(YEAR(RPT_MONTH),MONTH(RPT_MONTH)-11,1)),2)</f>
        <v>2025-11</v>
      </c>
      <c r="C37" s="258">
        <f>DATE(YEAR(RPT_MONTH),MONTH(RPT_MONTH)-11,1)</f>
        <v>45962</v>
      </c>
      <c r="D37" t="s">
        <v>68</v>
      </c>
      <c r="E37" s="193" t="str">
        <f>IFERROR(INDEX(BD_KPIs!$F$2:$F$1300,MATCH(YEAR(DATE(YEAR(RPT_MONTH),MONTH(RPT_MONTH)-11,1))*100+MONTH(DATE(YEAR(RPT_MONTH),MONTH(RPT_MONTH)-11,1))&amp;"|DAFWCF|Monthly",BD_KPIs!$Q$2:$Q$1300,0)),"")</f>
        <v/>
      </c>
      <c r="F37" s="193" t="str">
        <f>IFERROR(INDEX(BD_KPIs!$G$2:$G$1300,MATCH(YEAR(DATE(YEAR(RPT_MONTH),MONTH(RPT_MONTH)-11,1))*100+MONTH(DATE(YEAR(RPT_MONTH),MONTH(RPT_MONTH)-11,1))&amp;"|DAFWCF|Monthly",BD_KPIs!$Q$2:$Q$1300,0)),"")</f>
        <v/>
      </c>
      <c r="G37" s="193" t="str">
        <f>IF(ISNUMBER(E37),IF(F37="","No target",IF(IFERROR(INDEX(BD_KPIs!$I$2:$I$1300,MATCH(YEAR(DATE(YEAR(RPT_MONTH),MONTH(RPT_MONTH)-11,1))*100+MONTH(DATE(YEAR(RPT_MONTH),MONTH(RPT_MONTH)-11,1))&amp;"|DAFWCF|Monthly",BD_KPIs!$Q$2:$Q$1300,0)),"")="Sí","On target","Off target")),"No data")</f>
        <v>No data</v>
      </c>
      <c r="H37" s="193" t="str">
        <f>INDEX(_TARGETS!$D$2:$D$17,MATCH("DAFWCF",_TARGETS!$A$2:$A$17,0))</f>
        <v>casos / 10^6 HH</v>
      </c>
      <c r="I37" s="193" t="str">
        <f>INDEX(_TARGETS!$K$2:$K$17,MATCH("DAFWCF",_TARGETS!$A$2:$A$17,0))</f>
        <v>OPS (carga manual en Datos)</v>
      </c>
      <c r="J37" s="258">
        <f t="shared" si="1"/>
        <v>46296</v>
      </c>
    </row>
    <row r="38" spans="1:10" ht="13.5" customHeight="1" x14ac:dyDescent="0.3">
      <c r="A38" t="s">
        <v>905</v>
      </c>
      <c r="B38" s="193" t="str">
        <f>YEAR(DATE(YEAR(RPT_MONTH),MONTH(RPT_MONTH)-10,1))&amp;"-"&amp;RIGHT("0"&amp;MONTH(DATE(YEAR(RPT_MONTH),MONTH(RPT_MONTH)-10,1)),2)</f>
        <v>2025-12</v>
      </c>
      <c r="C38" s="258">
        <f>DATE(YEAR(RPT_MONTH),MONTH(RPT_MONTH)-10,1)</f>
        <v>45992</v>
      </c>
      <c r="D38" t="s">
        <v>68</v>
      </c>
      <c r="E38" s="193" t="str">
        <f>IFERROR(INDEX(BD_KPIs!$F$2:$F$1300,MATCH(YEAR(DATE(YEAR(RPT_MONTH),MONTH(RPT_MONTH)-10,1))*100+MONTH(DATE(YEAR(RPT_MONTH),MONTH(RPT_MONTH)-10,1))&amp;"|DAFWCF|Monthly",BD_KPIs!$Q$2:$Q$1300,0)),"")</f>
        <v/>
      </c>
      <c r="F38" s="193" t="str">
        <f>IFERROR(INDEX(BD_KPIs!$G$2:$G$1300,MATCH(YEAR(DATE(YEAR(RPT_MONTH),MONTH(RPT_MONTH)-10,1))*100+MONTH(DATE(YEAR(RPT_MONTH),MONTH(RPT_MONTH)-10,1))&amp;"|DAFWCF|Monthly",BD_KPIs!$Q$2:$Q$1300,0)),"")</f>
        <v/>
      </c>
      <c r="G38" s="193" t="str">
        <f>IF(ISNUMBER(E38),IF(F38="","No target",IF(IFERROR(INDEX(BD_KPIs!$I$2:$I$1300,MATCH(YEAR(DATE(YEAR(RPT_MONTH),MONTH(RPT_MONTH)-10,1))*100+MONTH(DATE(YEAR(RPT_MONTH),MONTH(RPT_MONTH)-10,1))&amp;"|DAFWCF|Monthly",BD_KPIs!$Q$2:$Q$1300,0)),"")="Sí","On target","Off target")),"No data")</f>
        <v>No data</v>
      </c>
      <c r="H38" s="193" t="str">
        <f>INDEX(_TARGETS!$D$2:$D$17,MATCH("DAFWCF",_TARGETS!$A$2:$A$17,0))</f>
        <v>casos / 10^6 HH</v>
      </c>
      <c r="I38" s="193" t="str">
        <f>INDEX(_TARGETS!$K$2:$K$17,MATCH("DAFWCF",_TARGETS!$A$2:$A$17,0))</f>
        <v>OPS (carga manual en Datos)</v>
      </c>
      <c r="J38" s="258">
        <f t="shared" si="1"/>
        <v>46296</v>
      </c>
    </row>
    <row r="39" spans="1:10" ht="13.5" customHeight="1" x14ac:dyDescent="0.3">
      <c r="A39" t="s">
        <v>905</v>
      </c>
      <c r="B39" s="193" t="str">
        <f>YEAR(DATE(YEAR(RPT_MONTH),MONTH(RPT_MONTH)-9,1))&amp;"-"&amp;RIGHT("0"&amp;MONTH(DATE(YEAR(RPT_MONTH),MONTH(RPT_MONTH)-9,1)),2)</f>
        <v>2026-01</v>
      </c>
      <c r="C39" s="258">
        <f>DATE(YEAR(RPT_MONTH),MONTH(RPT_MONTH)-9,1)</f>
        <v>46023</v>
      </c>
      <c r="D39" t="s">
        <v>68</v>
      </c>
      <c r="E39" s="193" t="str">
        <f>IFERROR(INDEX(BD_KPIs!$F$2:$F$1300,MATCH(YEAR(DATE(YEAR(RPT_MONTH),MONTH(RPT_MONTH)-9,1))*100+MONTH(DATE(YEAR(RPT_MONTH),MONTH(RPT_MONTH)-9,1))&amp;"|DAFWCF|Monthly",BD_KPIs!$Q$2:$Q$1300,0)),"")</f>
        <v/>
      </c>
      <c r="F39" s="193" t="str">
        <f>IFERROR(INDEX(BD_KPIs!$G$2:$G$1300,MATCH(YEAR(DATE(YEAR(RPT_MONTH),MONTH(RPT_MONTH)-9,1))*100+MONTH(DATE(YEAR(RPT_MONTH),MONTH(RPT_MONTH)-9,1))&amp;"|DAFWCF|Monthly",BD_KPIs!$Q$2:$Q$1300,0)),"")</f>
        <v/>
      </c>
      <c r="G39" s="193" t="str">
        <f>IF(ISNUMBER(E39),IF(F39="","No target",IF(IFERROR(INDEX(BD_KPIs!$I$2:$I$1300,MATCH(YEAR(DATE(YEAR(RPT_MONTH),MONTH(RPT_MONTH)-9,1))*100+MONTH(DATE(YEAR(RPT_MONTH),MONTH(RPT_MONTH)-9,1))&amp;"|DAFWCF|Monthly",BD_KPIs!$Q$2:$Q$1300,0)),"")="Sí","On target","Off target")),"No data")</f>
        <v>No data</v>
      </c>
      <c r="H39" s="193" t="str">
        <f>INDEX(_TARGETS!$D$2:$D$17,MATCH("DAFWCF",_TARGETS!$A$2:$A$17,0))</f>
        <v>casos / 10^6 HH</v>
      </c>
      <c r="I39" s="193" t="str">
        <f>INDEX(_TARGETS!$K$2:$K$17,MATCH("DAFWCF",_TARGETS!$A$2:$A$17,0))</f>
        <v>OPS (carga manual en Datos)</v>
      </c>
      <c r="J39" s="258">
        <f t="shared" si="1"/>
        <v>46296</v>
      </c>
    </row>
    <row r="40" spans="1:10" ht="13.5" customHeight="1" x14ac:dyDescent="0.3">
      <c r="A40" t="s">
        <v>905</v>
      </c>
      <c r="B40" s="193" t="str">
        <f>YEAR(DATE(YEAR(RPT_MONTH),MONTH(RPT_MONTH)-8,1))&amp;"-"&amp;RIGHT("0"&amp;MONTH(DATE(YEAR(RPT_MONTH),MONTH(RPT_MONTH)-8,1)),2)</f>
        <v>2026-02</v>
      </c>
      <c r="C40" s="258">
        <f>DATE(YEAR(RPT_MONTH),MONTH(RPT_MONTH)-8,1)</f>
        <v>46054</v>
      </c>
      <c r="D40" t="s">
        <v>68</v>
      </c>
      <c r="E40" s="193" t="str">
        <f>IFERROR(INDEX(BD_KPIs!$F$2:$F$1300,MATCH(YEAR(DATE(YEAR(RPT_MONTH),MONTH(RPT_MONTH)-8,1))*100+MONTH(DATE(YEAR(RPT_MONTH),MONTH(RPT_MONTH)-8,1))&amp;"|DAFWCF|Monthly",BD_KPIs!$Q$2:$Q$1300,0)),"")</f>
        <v/>
      </c>
      <c r="F40" s="193" t="str">
        <f>IFERROR(INDEX(BD_KPIs!$G$2:$G$1300,MATCH(YEAR(DATE(YEAR(RPT_MONTH),MONTH(RPT_MONTH)-8,1))*100+MONTH(DATE(YEAR(RPT_MONTH),MONTH(RPT_MONTH)-8,1))&amp;"|DAFWCF|Monthly",BD_KPIs!$Q$2:$Q$1300,0)),"")</f>
        <v/>
      </c>
      <c r="G40" s="193" t="str">
        <f>IF(ISNUMBER(E40),IF(F40="","No target",IF(IFERROR(INDEX(BD_KPIs!$I$2:$I$1300,MATCH(YEAR(DATE(YEAR(RPT_MONTH),MONTH(RPT_MONTH)-8,1))*100+MONTH(DATE(YEAR(RPT_MONTH),MONTH(RPT_MONTH)-8,1))&amp;"|DAFWCF|Monthly",BD_KPIs!$Q$2:$Q$1300,0)),"")="Sí","On target","Off target")),"No data")</f>
        <v>No data</v>
      </c>
      <c r="H40" s="193" t="str">
        <f>INDEX(_TARGETS!$D$2:$D$17,MATCH("DAFWCF",_TARGETS!$A$2:$A$17,0))</f>
        <v>casos / 10^6 HH</v>
      </c>
      <c r="I40" s="193" t="str">
        <f>INDEX(_TARGETS!$K$2:$K$17,MATCH("DAFWCF",_TARGETS!$A$2:$A$17,0))</f>
        <v>OPS (carga manual en Datos)</v>
      </c>
      <c r="J40" s="258">
        <f t="shared" si="1"/>
        <v>46296</v>
      </c>
    </row>
    <row r="41" spans="1:10" ht="13.5" customHeight="1" x14ac:dyDescent="0.3">
      <c r="A41" t="s">
        <v>905</v>
      </c>
      <c r="B41" s="193" t="str">
        <f>YEAR(DATE(YEAR(RPT_MONTH),MONTH(RPT_MONTH)-7,1))&amp;"-"&amp;RIGHT("0"&amp;MONTH(DATE(YEAR(RPT_MONTH),MONTH(RPT_MONTH)-7,1)),2)</f>
        <v>2026-03</v>
      </c>
      <c r="C41" s="258">
        <f>DATE(YEAR(RPT_MONTH),MONTH(RPT_MONTH)-7,1)</f>
        <v>46082</v>
      </c>
      <c r="D41" t="s">
        <v>68</v>
      </c>
      <c r="E41" s="193" t="str">
        <f>IFERROR(INDEX(BD_KPIs!$F$2:$F$1300,MATCH(YEAR(DATE(YEAR(RPT_MONTH),MONTH(RPT_MONTH)-7,1))*100+MONTH(DATE(YEAR(RPT_MONTH),MONTH(RPT_MONTH)-7,1))&amp;"|DAFWCF|Monthly",BD_KPIs!$Q$2:$Q$1300,0)),"")</f>
        <v/>
      </c>
      <c r="F41" s="193" t="str">
        <f>IFERROR(INDEX(BD_KPIs!$G$2:$G$1300,MATCH(YEAR(DATE(YEAR(RPT_MONTH),MONTH(RPT_MONTH)-7,1))*100+MONTH(DATE(YEAR(RPT_MONTH),MONTH(RPT_MONTH)-7,1))&amp;"|DAFWCF|Monthly",BD_KPIs!$Q$2:$Q$1300,0)),"")</f>
        <v/>
      </c>
      <c r="G41" s="193" t="str">
        <f>IF(ISNUMBER(E41),IF(F41="","No target",IF(IFERROR(INDEX(BD_KPIs!$I$2:$I$1300,MATCH(YEAR(DATE(YEAR(RPT_MONTH),MONTH(RPT_MONTH)-7,1))*100+MONTH(DATE(YEAR(RPT_MONTH),MONTH(RPT_MONTH)-7,1))&amp;"|DAFWCF|Monthly",BD_KPIs!$Q$2:$Q$1300,0)),"")="Sí","On target","Off target")),"No data")</f>
        <v>No data</v>
      </c>
      <c r="H41" s="193" t="str">
        <f>INDEX(_TARGETS!$D$2:$D$17,MATCH("DAFWCF",_TARGETS!$A$2:$A$17,0))</f>
        <v>casos / 10^6 HH</v>
      </c>
      <c r="I41" s="193" t="str">
        <f>INDEX(_TARGETS!$K$2:$K$17,MATCH("DAFWCF",_TARGETS!$A$2:$A$17,0))</f>
        <v>OPS (carga manual en Datos)</v>
      </c>
      <c r="J41" s="258">
        <f t="shared" si="1"/>
        <v>46296</v>
      </c>
    </row>
    <row r="42" spans="1:10" ht="13.5" customHeight="1" x14ac:dyDescent="0.3">
      <c r="A42" t="s">
        <v>905</v>
      </c>
      <c r="B42" s="193" t="str">
        <f>YEAR(DATE(YEAR(RPT_MONTH),MONTH(RPT_MONTH)-6,1))&amp;"-"&amp;RIGHT("0"&amp;MONTH(DATE(YEAR(RPT_MONTH),MONTH(RPT_MONTH)-6,1)),2)</f>
        <v>2026-04</v>
      </c>
      <c r="C42" s="258">
        <f>DATE(YEAR(RPT_MONTH),MONTH(RPT_MONTH)-6,1)</f>
        <v>46113</v>
      </c>
      <c r="D42" t="s">
        <v>68</v>
      </c>
      <c r="E42" s="193" t="str">
        <f>IFERROR(INDEX(BD_KPIs!$F$2:$F$1300,MATCH(YEAR(DATE(YEAR(RPT_MONTH),MONTH(RPT_MONTH)-6,1))*100+MONTH(DATE(YEAR(RPT_MONTH),MONTH(RPT_MONTH)-6,1))&amp;"|DAFWCF|Monthly",BD_KPIs!$Q$2:$Q$1300,0)),"")</f>
        <v/>
      </c>
      <c r="F42" s="193" t="str">
        <f>IFERROR(INDEX(BD_KPIs!$G$2:$G$1300,MATCH(YEAR(DATE(YEAR(RPT_MONTH),MONTH(RPT_MONTH)-6,1))*100+MONTH(DATE(YEAR(RPT_MONTH),MONTH(RPT_MONTH)-6,1))&amp;"|DAFWCF|Monthly",BD_KPIs!$Q$2:$Q$1300,0)),"")</f>
        <v/>
      </c>
      <c r="G42" s="193" t="str">
        <f>IF(ISNUMBER(E42),IF(F42="","No target",IF(IFERROR(INDEX(BD_KPIs!$I$2:$I$1300,MATCH(YEAR(DATE(YEAR(RPT_MONTH),MONTH(RPT_MONTH)-6,1))*100+MONTH(DATE(YEAR(RPT_MONTH),MONTH(RPT_MONTH)-6,1))&amp;"|DAFWCF|Monthly",BD_KPIs!$Q$2:$Q$1300,0)),"")="Sí","On target","Off target")),"No data")</f>
        <v>No data</v>
      </c>
      <c r="H42" s="193" t="str">
        <f>INDEX(_TARGETS!$D$2:$D$17,MATCH("DAFWCF",_TARGETS!$A$2:$A$17,0))</f>
        <v>casos / 10^6 HH</v>
      </c>
      <c r="I42" s="193" t="str">
        <f>INDEX(_TARGETS!$K$2:$K$17,MATCH("DAFWCF",_TARGETS!$A$2:$A$17,0))</f>
        <v>OPS (carga manual en Datos)</v>
      </c>
      <c r="J42" s="258">
        <f t="shared" si="1"/>
        <v>46296</v>
      </c>
    </row>
    <row r="43" spans="1:10" ht="13.5" customHeight="1" x14ac:dyDescent="0.3">
      <c r="A43" t="s">
        <v>905</v>
      </c>
      <c r="B43" s="193" t="str">
        <f>YEAR(DATE(YEAR(RPT_MONTH),MONTH(RPT_MONTH)-5,1))&amp;"-"&amp;RIGHT("0"&amp;MONTH(DATE(YEAR(RPT_MONTH),MONTH(RPT_MONTH)-5,1)),2)</f>
        <v>2026-05</v>
      </c>
      <c r="C43" s="258">
        <f>DATE(YEAR(RPT_MONTH),MONTH(RPT_MONTH)-5,1)</f>
        <v>46143</v>
      </c>
      <c r="D43" t="s">
        <v>68</v>
      </c>
      <c r="E43" s="193" t="str">
        <f>IFERROR(INDEX(BD_KPIs!$F$2:$F$1300,MATCH(YEAR(DATE(YEAR(RPT_MONTH),MONTH(RPT_MONTH)-5,1))*100+MONTH(DATE(YEAR(RPT_MONTH),MONTH(RPT_MONTH)-5,1))&amp;"|DAFWCF|Monthly",BD_KPIs!$Q$2:$Q$1300,0)),"")</f>
        <v/>
      </c>
      <c r="F43" s="193" t="str">
        <f>IFERROR(INDEX(BD_KPIs!$G$2:$G$1300,MATCH(YEAR(DATE(YEAR(RPT_MONTH),MONTH(RPT_MONTH)-5,1))*100+MONTH(DATE(YEAR(RPT_MONTH),MONTH(RPT_MONTH)-5,1))&amp;"|DAFWCF|Monthly",BD_KPIs!$Q$2:$Q$1300,0)),"")</f>
        <v/>
      </c>
      <c r="G43" s="193" t="str">
        <f>IF(ISNUMBER(E43),IF(F43="","No target",IF(IFERROR(INDEX(BD_KPIs!$I$2:$I$1300,MATCH(YEAR(DATE(YEAR(RPT_MONTH),MONTH(RPT_MONTH)-5,1))*100+MONTH(DATE(YEAR(RPT_MONTH),MONTH(RPT_MONTH)-5,1))&amp;"|DAFWCF|Monthly",BD_KPIs!$Q$2:$Q$1300,0)),"")="Sí","On target","Off target")),"No data")</f>
        <v>No data</v>
      </c>
      <c r="H43" s="193" t="str">
        <f>INDEX(_TARGETS!$D$2:$D$17,MATCH("DAFWCF",_TARGETS!$A$2:$A$17,0))</f>
        <v>casos / 10^6 HH</v>
      </c>
      <c r="I43" s="193" t="str">
        <f>INDEX(_TARGETS!$K$2:$K$17,MATCH("DAFWCF",_TARGETS!$A$2:$A$17,0))</f>
        <v>OPS (carga manual en Datos)</v>
      </c>
      <c r="J43" s="258">
        <f t="shared" si="1"/>
        <v>46296</v>
      </c>
    </row>
    <row r="44" spans="1:10" ht="13.5" customHeight="1" x14ac:dyDescent="0.3">
      <c r="A44" t="s">
        <v>905</v>
      </c>
      <c r="B44" s="193" t="str">
        <f>YEAR(DATE(YEAR(RPT_MONTH),MONTH(RPT_MONTH)-4,1))&amp;"-"&amp;RIGHT("0"&amp;MONTH(DATE(YEAR(RPT_MONTH),MONTH(RPT_MONTH)-4,1)),2)</f>
        <v>2026-06</v>
      </c>
      <c r="C44" s="258">
        <f>DATE(YEAR(RPT_MONTH),MONTH(RPT_MONTH)-4,1)</f>
        <v>46174</v>
      </c>
      <c r="D44" t="s">
        <v>68</v>
      </c>
      <c r="E44" s="193" t="str">
        <f>IFERROR(INDEX(BD_KPIs!$F$2:$F$1300,MATCH(YEAR(DATE(YEAR(RPT_MONTH),MONTH(RPT_MONTH)-4,1))*100+MONTH(DATE(YEAR(RPT_MONTH),MONTH(RPT_MONTH)-4,1))&amp;"|DAFWCF|Monthly",BD_KPIs!$Q$2:$Q$1300,0)),"")</f>
        <v/>
      </c>
      <c r="F44" s="193" t="str">
        <f>IFERROR(INDEX(BD_KPIs!$G$2:$G$1300,MATCH(YEAR(DATE(YEAR(RPT_MONTH),MONTH(RPT_MONTH)-4,1))*100+MONTH(DATE(YEAR(RPT_MONTH),MONTH(RPT_MONTH)-4,1))&amp;"|DAFWCF|Monthly",BD_KPIs!$Q$2:$Q$1300,0)),"")</f>
        <v/>
      </c>
      <c r="G44" s="193" t="str">
        <f>IF(ISNUMBER(E44),IF(F44="","No target",IF(IFERROR(INDEX(BD_KPIs!$I$2:$I$1300,MATCH(YEAR(DATE(YEAR(RPT_MONTH),MONTH(RPT_MONTH)-4,1))*100+MONTH(DATE(YEAR(RPT_MONTH),MONTH(RPT_MONTH)-4,1))&amp;"|DAFWCF|Monthly",BD_KPIs!$Q$2:$Q$1300,0)),"")="Sí","On target","Off target")),"No data")</f>
        <v>No data</v>
      </c>
      <c r="H44" s="193" t="str">
        <f>INDEX(_TARGETS!$D$2:$D$17,MATCH("DAFWCF",_TARGETS!$A$2:$A$17,0))</f>
        <v>casos / 10^6 HH</v>
      </c>
      <c r="I44" s="193" t="str">
        <f>INDEX(_TARGETS!$K$2:$K$17,MATCH("DAFWCF",_TARGETS!$A$2:$A$17,0))</f>
        <v>OPS (carga manual en Datos)</v>
      </c>
      <c r="J44" s="258">
        <f t="shared" si="1"/>
        <v>46296</v>
      </c>
    </row>
    <row r="45" spans="1:10" ht="13.5" customHeight="1" x14ac:dyDescent="0.3">
      <c r="A45" t="s">
        <v>905</v>
      </c>
      <c r="B45" s="193" t="str">
        <f>YEAR(DATE(YEAR(RPT_MONTH),MONTH(RPT_MONTH)-3,1))&amp;"-"&amp;RIGHT("0"&amp;MONTH(DATE(YEAR(RPT_MONTH),MONTH(RPT_MONTH)-3,1)),2)</f>
        <v>2026-07</v>
      </c>
      <c r="C45" s="258">
        <f>DATE(YEAR(RPT_MONTH),MONTH(RPT_MONTH)-3,1)</f>
        <v>46204</v>
      </c>
      <c r="D45" t="s">
        <v>68</v>
      </c>
      <c r="E45" s="193" t="str">
        <f>IFERROR(INDEX(BD_KPIs!$F$2:$F$1300,MATCH(YEAR(DATE(YEAR(RPT_MONTH),MONTH(RPT_MONTH)-3,1))*100+MONTH(DATE(YEAR(RPT_MONTH),MONTH(RPT_MONTH)-3,1))&amp;"|DAFWCF|Monthly",BD_KPIs!$Q$2:$Q$1300,0)),"")</f>
        <v/>
      </c>
      <c r="F45" s="193" t="str">
        <f>IFERROR(INDEX(BD_KPIs!$G$2:$G$1300,MATCH(YEAR(DATE(YEAR(RPT_MONTH),MONTH(RPT_MONTH)-3,1))*100+MONTH(DATE(YEAR(RPT_MONTH),MONTH(RPT_MONTH)-3,1))&amp;"|DAFWCF|Monthly",BD_KPIs!$Q$2:$Q$1300,0)),"")</f>
        <v/>
      </c>
      <c r="G45" s="193" t="str">
        <f>IF(ISNUMBER(E45),IF(F45="","No target",IF(IFERROR(INDEX(BD_KPIs!$I$2:$I$1300,MATCH(YEAR(DATE(YEAR(RPT_MONTH),MONTH(RPT_MONTH)-3,1))*100+MONTH(DATE(YEAR(RPT_MONTH),MONTH(RPT_MONTH)-3,1))&amp;"|DAFWCF|Monthly",BD_KPIs!$Q$2:$Q$1300,0)),"")="Sí","On target","Off target")),"No data")</f>
        <v>No data</v>
      </c>
      <c r="H45" s="193" t="str">
        <f>INDEX(_TARGETS!$D$2:$D$17,MATCH("DAFWCF",_TARGETS!$A$2:$A$17,0))</f>
        <v>casos / 10^6 HH</v>
      </c>
      <c r="I45" s="193" t="str">
        <f>INDEX(_TARGETS!$K$2:$K$17,MATCH("DAFWCF",_TARGETS!$A$2:$A$17,0))</f>
        <v>OPS (carga manual en Datos)</v>
      </c>
      <c r="J45" s="258">
        <f t="shared" si="1"/>
        <v>46296</v>
      </c>
    </row>
    <row r="46" spans="1:10" ht="13.5" customHeight="1" x14ac:dyDescent="0.3">
      <c r="A46" t="s">
        <v>905</v>
      </c>
      <c r="B46" s="193" t="str">
        <f>YEAR(DATE(YEAR(RPT_MONTH),MONTH(RPT_MONTH)-2,1))&amp;"-"&amp;RIGHT("0"&amp;MONTH(DATE(YEAR(RPT_MONTH),MONTH(RPT_MONTH)-2,1)),2)</f>
        <v>2026-08</v>
      </c>
      <c r="C46" s="258">
        <f>DATE(YEAR(RPT_MONTH),MONTH(RPT_MONTH)-2,1)</f>
        <v>46235</v>
      </c>
      <c r="D46" t="s">
        <v>68</v>
      </c>
      <c r="E46" s="193">
        <f>IFERROR(INDEX(BD_KPIs!$F$2:$F$1300,MATCH(YEAR(DATE(YEAR(RPT_MONTH),MONTH(RPT_MONTH)-2,1))*100+MONTH(DATE(YEAR(RPT_MONTH),MONTH(RPT_MONTH)-2,1))&amp;"|DAFWCF|Monthly",BD_KPIs!$Q$2:$Q$1300,0)),"")</f>
        <v>0</v>
      </c>
      <c r="F46" s="193">
        <f>IFERROR(INDEX(BD_KPIs!$G$2:$G$1300,MATCH(YEAR(DATE(YEAR(RPT_MONTH),MONTH(RPT_MONTH)-2,1))*100+MONTH(DATE(YEAR(RPT_MONTH),MONTH(RPT_MONTH)-2,1))&amp;"|DAFWCF|Monthly",BD_KPIs!$Q$2:$Q$1300,0)),"")</f>
        <v>0</v>
      </c>
      <c r="G46" s="193" t="str">
        <f>IF(ISNUMBER(E46),IF(F46="","No target",IF(IFERROR(INDEX(BD_KPIs!$I$2:$I$1300,MATCH(YEAR(DATE(YEAR(RPT_MONTH),MONTH(RPT_MONTH)-2,1))*100+MONTH(DATE(YEAR(RPT_MONTH),MONTH(RPT_MONTH)-2,1))&amp;"|DAFWCF|Monthly",BD_KPIs!$Q$2:$Q$1300,0)),"")="Sí","On target","Off target")),"No data")</f>
        <v>On target</v>
      </c>
      <c r="H46" s="193" t="str">
        <f>INDEX(_TARGETS!$D$2:$D$17,MATCH("DAFWCF",_TARGETS!$A$2:$A$17,0))</f>
        <v>casos / 10^6 HH</v>
      </c>
      <c r="I46" s="193" t="str">
        <f>INDEX(_TARGETS!$K$2:$K$17,MATCH("DAFWCF",_TARGETS!$A$2:$A$17,0))</f>
        <v>OPS (carga manual en Datos)</v>
      </c>
      <c r="J46" s="258">
        <f t="shared" si="1"/>
        <v>46296</v>
      </c>
    </row>
    <row r="47" spans="1:10" ht="13.5" customHeight="1" x14ac:dyDescent="0.3">
      <c r="A47" t="s">
        <v>905</v>
      </c>
      <c r="B47" s="193" t="str">
        <f>YEAR(DATE(YEAR(RPT_MONTH),MONTH(RPT_MONTH)-1,1))&amp;"-"&amp;RIGHT("0"&amp;MONTH(DATE(YEAR(RPT_MONTH),MONTH(RPT_MONTH)-1,1)),2)</f>
        <v>2026-09</v>
      </c>
      <c r="C47" s="258">
        <f>DATE(YEAR(RPT_MONTH),MONTH(RPT_MONTH)-1,1)</f>
        <v>46266</v>
      </c>
      <c r="D47" t="s">
        <v>68</v>
      </c>
      <c r="E47" s="193">
        <f>IFERROR(INDEX(BD_KPIs!$F$2:$F$1300,MATCH(YEAR(DATE(YEAR(RPT_MONTH),MONTH(RPT_MONTH)-1,1))*100+MONTH(DATE(YEAR(RPT_MONTH),MONTH(RPT_MONTH)-1,1))&amp;"|DAFWCF|Monthly",BD_KPIs!$Q$2:$Q$1300,0)),"")</f>
        <v>0</v>
      </c>
      <c r="F47" s="250">
        <f>IFERROR(INDEX(BD_KPIs!$G$2:$G$1300,MATCH(YEAR(DATE(YEAR(RPT_MONTH),MONTH(RPT_MONTH)-1,1))*100+MONTH(DATE(YEAR(RPT_MONTH),MONTH(RPT_MONTH)-1,1))&amp;"|DAFWCF|Monthly",BD_KPIs!$Q$2:$Q$1300,0)),"")</f>
        <v>0</v>
      </c>
      <c r="G47" s="193" t="str">
        <f>IF(ISNUMBER(E47),IF(F47="","No target",IF(IFERROR(INDEX(BD_KPIs!$I$2:$I$1300,MATCH(YEAR(DATE(YEAR(RPT_MONTH),MONTH(RPT_MONTH)-1,1))*100+MONTH(DATE(YEAR(RPT_MONTH),MONTH(RPT_MONTH)-1,1))&amp;"|DAFWCF|Monthly",BD_KPIs!$Q$2:$Q$1300,0)),"")="Sí","On target","Off target")),"No data")</f>
        <v>On target</v>
      </c>
      <c r="H47" s="193" t="str">
        <f>INDEX(_TARGETS!$D$2:$D$17,MATCH("DAFWCF",_TARGETS!$A$2:$A$17,0))</f>
        <v>casos / 10^6 HH</v>
      </c>
      <c r="I47" s="193" t="str">
        <f>INDEX(_TARGETS!$K$2:$K$17,MATCH("DAFWCF",_TARGETS!$A$2:$A$17,0))</f>
        <v>OPS (carga manual en Datos)</v>
      </c>
      <c r="J47" s="258">
        <f t="shared" si="1"/>
        <v>46296</v>
      </c>
    </row>
    <row r="48" spans="1:10" ht="13.5" customHeight="1" x14ac:dyDescent="0.3">
      <c r="A48" t="s">
        <v>905</v>
      </c>
      <c r="B48" s="193" t="str">
        <f>YEAR(DATE(YEAR(RPT_MONTH),MONTH(RPT_MONTH)-0,1))&amp;"-"&amp;RIGHT("0"&amp;MONTH(DATE(YEAR(RPT_MONTH),MONTH(RPT_MONTH)-0,1)),2)</f>
        <v>2026-10</v>
      </c>
      <c r="C48" s="258">
        <f>DATE(YEAR(RPT_MONTH),MONTH(RPT_MONTH)-0,1)</f>
        <v>46296</v>
      </c>
      <c r="D48" t="s">
        <v>68</v>
      </c>
      <c r="E48" s="193" t="str">
        <f>IFERROR(INDEX(BD_KPIs!$F$2:$F$1300,MATCH(YEAR(DATE(YEAR(RPT_MONTH),MONTH(RPT_MONTH)-0,1))*100+MONTH(DATE(YEAR(RPT_MONTH),MONTH(RPT_MONTH)-0,1))&amp;"|DAFWCF|Monthly",BD_KPIs!$Q$2:$Q$1300,0)),"")</f>
        <v/>
      </c>
      <c r="F48" s="250">
        <f>IFERROR(INDEX(BD_KPIs!$G$2:$G$1300,MATCH(YEAR(DATE(YEAR(RPT_MONTH),MONTH(RPT_MONTH)-0,1))*100+MONTH(DATE(YEAR(RPT_MONTH),MONTH(RPT_MONTH)-0,1))&amp;"|DAFWCF|Monthly",BD_KPIs!$Q$2:$Q$1300,0)),"")</f>
        <v>0</v>
      </c>
      <c r="G48" s="193" t="str">
        <f>IF(ISNUMBER(E48),IF(F48="","No target",IF(IFERROR(INDEX(BD_KPIs!$I$2:$I$1300,MATCH(YEAR(DATE(YEAR(RPT_MONTH),MONTH(RPT_MONTH)-0,1))*100+MONTH(DATE(YEAR(RPT_MONTH),MONTH(RPT_MONTH)-0,1))&amp;"|DAFWCF|Monthly",BD_KPIs!$Q$2:$Q$1300,0)),"")="Sí","On target","Off target")),"No data")</f>
        <v>No data</v>
      </c>
      <c r="H48" s="193" t="str">
        <f>INDEX(_TARGETS!$D$2:$D$17,MATCH("DAFWCF",_TARGETS!$A$2:$A$17,0))</f>
        <v>casos / 10^6 HH</v>
      </c>
      <c r="I48" s="193" t="str">
        <f>INDEX(_TARGETS!$K$2:$K$17,MATCH("DAFWCF",_TARGETS!$A$2:$A$17,0))</f>
        <v>OPS (carga manual en Datos)</v>
      </c>
      <c r="J48" s="258">
        <f t="shared" si="1"/>
        <v>46296</v>
      </c>
    </row>
    <row r="49" spans="1:10" ht="13.5" customHeight="1" x14ac:dyDescent="0.3">
      <c r="A49" t="s">
        <v>905</v>
      </c>
      <c r="B49" s="193" t="str">
        <f>YEAR(DATE(YEAR(RPT_MONTH),MONTH(RPT_MONTH)-11,1))&amp;"-"&amp;RIGHT("0"&amp;MONTH(DATE(YEAR(RPT_MONTH),MONTH(RPT_MONTH)-11,1)),2)</f>
        <v>2025-11</v>
      </c>
      <c r="C49" s="258">
        <f>DATE(YEAR(RPT_MONTH),MONTH(RPT_MONTH)-11,1)</f>
        <v>45962</v>
      </c>
      <c r="D49" t="s">
        <v>601</v>
      </c>
      <c r="E49" s="193" t="str">
        <f>IFERROR(INDEX(BD_KPIs!$F$2:$F$1300,MATCH(YEAR(DATE(YEAR(RPT_MONTH),MONTH(RPT_MONTH)-11,1))*100+MONTH(DATE(YEAR(RPT_MONTH),MONTH(RPT_MONTH)-11,1))&amp;"|DAFWCF|YTD",BD_KPIs!$Q$2:$Q$1300,0)),"")</f>
        <v/>
      </c>
      <c r="F49" s="193" t="str">
        <f>IFERROR(INDEX(BD_KPIs!$G$2:$G$1300,MATCH(YEAR(DATE(YEAR(RPT_MONTH),MONTH(RPT_MONTH)-11,1))*100+MONTH(DATE(YEAR(RPT_MONTH),MONTH(RPT_MONTH)-11,1))&amp;"|DAFWCF|YTD",BD_KPIs!$Q$2:$Q$1300,0)),"")</f>
        <v/>
      </c>
      <c r="G49" s="193" t="str">
        <f>IF(ISNUMBER(E49),IF(F49="","No target",IF(IFERROR(INDEX(BD_KPIs!$I$2:$I$1300,MATCH(YEAR(DATE(YEAR(RPT_MONTH),MONTH(RPT_MONTH)-11,1))*100+MONTH(DATE(YEAR(RPT_MONTH),MONTH(RPT_MONTH)-11,1))&amp;"|DAFWCF|YTD",BD_KPIs!$Q$2:$Q$1300,0)),"")="Sí","On target","Off target")),"No data")</f>
        <v>No data</v>
      </c>
      <c r="H49" s="193" t="str">
        <f>INDEX(_TARGETS!$D$2:$D$17,MATCH("DAFWCF",_TARGETS!$A$2:$A$17,0))</f>
        <v>casos / 10^6 HH</v>
      </c>
      <c r="I49" s="193" t="str">
        <f>INDEX(_TARGETS!$K$2:$K$17,MATCH("DAFWCF",_TARGETS!$A$2:$A$17,0))</f>
        <v>OPS (carga manual en Datos)</v>
      </c>
      <c r="J49" s="258">
        <f t="shared" si="1"/>
        <v>46296</v>
      </c>
    </row>
    <row r="50" spans="1:10" ht="13.5" customHeight="1" x14ac:dyDescent="0.3">
      <c r="A50" t="s">
        <v>905</v>
      </c>
      <c r="B50" s="193" t="str">
        <f>YEAR(DATE(YEAR(RPT_MONTH),MONTH(RPT_MONTH)-10,1))&amp;"-"&amp;RIGHT("0"&amp;MONTH(DATE(YEAR(RPT_MONTH),MONTH(RPT_MONTH)-10,1)),2)</f>
        <v>2025-12</v>
      </c>
      <c r="C50" s="258">
        <f>DATE(YEAR(RPT_MONTH),MONTH(RPT_MONTH)-10,1)</f>
        <v>45992</v>
      </c>
      <c r="D50" t="s">
        <v>601</v>
      </c>
      <c r="E50" s="193" t="str">
        <f>IFERROR(INDEX(BD_KPIs!$F$2:$F$1300,MATCH(YEAR(DATE(YEAR(RPT_MONTH),MONTH(RPT_MONTH)-10,1))*100+MONTH(DATE(YEAR(RPT_MONTH),MONTH(RPT_MONTH)-10,1))&amp;"|DAFWCF|YTD",BD_KPIs!$Q$2:$Q$1300,0)),"")</f>
        <v/>
      </c>
      <c r="F50" s="193" t="str">
        <f>IFERROR(INDEX(BD_KPIs!$G$2:$G$1300,MATCH(YEAR(DATE(YEAR(RPT_MONTH),MONTH(RPT_MONTH)-10,1))*100+MONTH(DATE(YEAR(RPT_MONTH),MONTH(RPT_MONTH)-10,1))&amp;"|DAFWCF|YTD",BD_KPIs!$Q$2:$Q$1300,0)),"")</f>
        <v/>
      </c>
      <c r="G50" s="193" t="str">
        <f>IF(ISNUMBER(E50),IF(F50="","No target",IF(IFERROR(INDEX(BD_KPIs!$I$2:$I$1300,MATCH(YEAR(DATE(YEAR(RPT_MONTH),MONTH(RPT_MONTH)-10,1))*100+MONTH(DATE(YEAR(RPT_MONTH),MONTH(RPT_MONTH)-10,1))&amp;"|DAFWCF|YTD",BD_KPIs!$Q$2:$Q$1300,0)),"")="Sí","On target","Off target")),"No data")</f>
        <v>No data</v>
      </c>
      <c r="H50" s="193" t="str">
        <f>INDEX(_TARGETS!$D$2:$D$17,MATCH("DAFWCF",_TARGETS!$A$2:$A$17,0))</f>
        <v>casos / 10^6 HH</v>
      </c>
      <c r="I50" s="193" t="str">
        <f>INDEX(_TARGETS!$K$2:$K$17,MATCH("DAFWCF",_TARGETS!$A$2:$A$17,0))</f>
        <v>OPS (carga manual en Datos)</v>
      </c>
      <c r="J50" s="258">
        <f t="shared" si="1"/>
        <v>46296</v>
      </c>
    </row>
    <row r="51" spans="1:10" ht="13.5" customHeight="1" x14ac:dyDescent="0.3">
      <c r="A51" t="s">
        <v>905</v>
      </c>
      <c r="B51" s="193" t="str">
        <f>YEAR(DATE(YEAR(RPT_MONTH),MONTH(RPT_MONTH)-9,1))&amp;"-"&amp;RIGHT("0"&amp;MONTH(DATE(YEAR(RPT_MONTH),MONTH(RPT_MONTH)-9,1)),2)</f>
        <v>2026-01</v>
      </c>
      <c r="C51" s="258">
        <f>DATE(YEAR(RPT_MONTH),MONTH(RPT_MONTH)-9,1)</f>
        <v>46023</v>
      </c>
      <c r="D51" t="s">
        <v>601</v>
      </c>
      <c r="E51" s="193" t="str">
        <f>IFERROR(INDEX(BD_KPIs!$F$2:$F$1300,MATCH(YEAR(DATE(YEAR(RPT_MONTH),MONTH(RPT_MONTH)-9,1))*100+MONTH(DATE(YEAR(RPT_MONTH),MONTH(RPT_MONTH)-9,1))&amp;"|DAFWCF|YTD",BD_KPIs!$Q$2:$Q$1300,0)),"")</f>
        <v/>
      </c>
      <c r="F51" s="193" t="str">
        <f>IFERROR(INDEX(BD_KPIs!$G$2:$G$1300,MATCH(YEAR(DATE(YEAR(RPT_MONTH),MONTH(RPT_MONTH)-9,1))*100+MONTH(DATE(YEAR(RPT_MONTH),MONTH(RPT_MONTH)-9,1))&amp;"|DAFWCF|YTD",BD_KPIs!$Q$2:$Q$1300,0)),"")</f>
        <v/>
      </c>
      <c r="G51" s="193" t="str">
        <f>IF(ISNUMBER(E51),IF(F51="","No target",IF(IFERROR(INDEX(BD_KPIs!$I$2:$I$1300,MATCH(YEAR(DATE(YEAR(RPT_MONTH),MONTH(RPT_MONTH)-9,1))*100+MONTH(DATE(YEAR(RPT_MONTH),MONTH(RPT_MONTH)-9,1))&amp;"|DAFWCF|YTD",BD_KPIs!$Q$2:$Q$1300,0)),"")="Sí","On target","Off target")),"No data")</f>
        <v>No data</v>
      </c>
      <c r="H51" s="193" t="str">
        <f>INDEX(_TARGETS!$D$2:$D$17,MATCH("DAFWCF",_TARGETS!$A$2:$A$17,0))</f>
        <v>casos / 10^6 HH</v>
      </c>
      <c r="I51" s="193" t="str">
        <f>INDEX(_TARGETS!$K$2:$K$17,MATCH("DAFWCF",_TARGETS!$A$2:$A$17,0))</f>
        <v>OPS (carga manual en Datos)</v>
      </c>
      <c r="J51" s="258">
        <f t="shared" si="1"/>
        <v>46296</v>
      </c>
    </row>
    <row r="52" spans="1:10" ht="13.5" customHeight="1" x14ac:dyDescent="0.3">
      <c r="A52" t="s">
        <v>905</v>
      </c>
      <c r="B52" s="193" t="str">
        <f>YEAR(DATE(YEAR(RPT_MONTH),MONTH(RPT_MONTH)-8,1))&amp;"-"&amp;RIGHT("0"&amp;MONTH(DATE(YEAR(RPT_MONTH),MONTH(RPT_MONTH)-8,1)),2)</f>
        <v>2026-02</v>
      </c>
      <c r="C52" s="258">
        <f>DATE(YEAR(RPT_MONTH),MONTH(RPT_MONTH)-8,1)</f>
        <v>46054</v>
      </c>
      <c r="D52" t="s">
        <v>601</v>
      </c>
      <c r="E52" s="193" t="str">
        <f>IFERROR(INDEX(BD_KPIs!$F$2:$F$1300,MATCH(YEAR(DATE(YEAR(RPT_MONTH),MONTH(RPT_MONTH)-8,1))*100+MONTH(DATE(YEAR(RPT_MONTH),MONTH(RPT_MONTH)-8,1))&amp;"|DAFWCF|YTD",BD_KPIs!$Q$2:$Q$1300,0)),"")</f>
        <v/>
      </c>
      <c r="F52" s="193" t="str">
        <f>IFERROR(INDEX(BD_KPIs!$G$2:$G$1300,MATCH(YEAR(DATE(YEAR(RPT_MONTH),MONTH(RPT_MONTH)-8,1))*100+MONTH(DATE(YEAR(RPT_MONTH),MONTH(RPT_MONTH)-8,1))&amp;"|DAFWCF|YTD",BD_KPIs!$Q$2:$Q$1300,0)),"")</f>
        <v/>
      </c>
      <c r="G52" s="193" t="str">
        <f>IF(ISNUMBER(E52),IF(F52="","No target",IF(IFERROR(INDEX(BD_KPIs!$I$2:$I$1300,MATCH(YEAR(DATE(YEAR(RPT_MONTH),MONTH(RPT_MONTH)-8,1))*100+MONTH(DATE(YEAR(RPT_MONTH),MONTH(RPT_MONTH)-8,1))&amp;"|DAFWCF|YTD",BD_KPIs!$Q$2:$Q$1300,0)),"")="Sí","On target","Off target")),"No data")</f>
        <v>No data</v>
      </c>
      <c r="H52" s="193" t="str">
        <f>INDEX(_TARGETS!$D$2:$D$17,MATCH("DAFWCF",_TARGETS!$A$2:$A$17,0))</f>
        <v>casos / 10^6 HH</v>
      </c>
      <c r="I52" s="193" t="str">
        <f>INDEX(_TARGETS!$K$2:$K$17,MATCH("DAFWCF",_TARGETS!$A$2:$A$17,0))</f>
        <v>OPS (carga manual en Datos)</v>
      </c>
      <c r="J52" s="258">
        <f t="shared" si="1"/>
        <v>46296</v>
      </c>
    </row>
    <row r="53" spans="1:10" ht="13.5" customHeight="1" x14ac:dyDescent="0.3">
      <c r="A53" t="s">
        <v>905</v>
      </c>
      <c r="B53" s="193" t="str">
        <f>YEAR(DATE(YEAR(RPT_MONTH),MONTH(RPT_MONTH)-7,1))&amp;"-"&amp;RIGHT("0"&amp;MONTH(DATE(YEAR(RPT_MONTH),MONTH(RPT_MONTH)-7,1)),2)</f>
        <v>2026-03</v>
      </c>
      <c r="C53" s="258">
        <f>DATE(YEAR(RPT_MONTH),MONTH(RPT_MONTH)-7,1)</f>
        <v>46082</v>
      </c>
      <c r="D53" t="s">
        <v>601</v>
      </c>
      <c r="E53" s="193" t="str">
        <f>IFERROR(INDEX(BD_KPIs!$F$2:$F$1300,MATCH(YEAR(DATE(YEAR(RPT_MONTH),MONTH(RPT_MONTH)-7,1))*100+MONTH(DATE(YEAR(RPT_MONTH),MONTH(RPT_MONTH)-7,1))&amp;"|DAFWCF|YTD",BD_KPIs!$Q$2:$Q$1300,0)),"")</f>
        <v/>
      </c>
      <c r="F53" s="193" t="str">
        <f>IFERROR(INDEX(BD_KPIs!$G$2:$G$1300,MATCH(YEAR(DATE(YEAR(RPT_MONTH),MONTH(RPT_MONTH)-7,1))*100+MONTH(DATE(YEAR(RPT_MONTH),MONTH(RPT_MONTH)-7,1))&amp;"|DAFWCF|YTD",BD_KPIs!$Q$2:$Q$1300,0)),"")</f>
        <v/>
      </c>
      <c r="G53" s="193" t="str">
        <f>IF(ISNUMBER(E53),IF(F53="","No target",IF(IFERROR(INDEX(BD_KPIs!$I$2:$I$1300,MATCH(YEAR(DATE(YEAR(RPT_MONTH),MONTH(RPT_MONTH)-7,1))*100+MONTH(DATE(YEAR(RPT_MONTH),MONTH(RPT_MONTH)-7,1))&amp;"|DAFWCF|YTD",BD_KPIs!$Q$2:$Q$1300,0)),"")="Sí","On target","Off target")),"No data")</f>
        <v>No data</v>
      </c>
      <c r="H53" s="193" t="str">
        <f>INDEX(_TARGETS!$D$2:$D$17,MATCH("DAFWCF",_TARGETS!$A$2:$A$17,0))</f>
        <v>casos / 10^6 HH</v>
      </c>
      <c r="I53" s="193" t="str">
        <f>INDEX(_TARGETS!$K$2:$K$17,MATCH("DAFWCF",_TARGETS!$A$2:$A$17,0))</f>
        <v>OPS (carga manual en Datos)</v>
      </c>
      <c r="J53" s="258">
        <f t="shared" si="1"/>
        <v>46296</v>
      </c>
    </row>
    <row r="54" spans="1:10" ht="13.5" customHeight="1" x14ac:dyDescent="0.3">
      <c r="A54" t="s">
        <v>905</v>
      </c>
      <c r="B54" s="193" t="str">
        <f>YEAR(DATE(YEAR(RPT_MONTH),MONTH(RPT_MONTH)-6,1))&amp;"-"&amp;RIGHT("0"&amp;MONTH(DATE(YEAR(RPT_MONTH),MONTH(RPT_MONTH)-6,1)),2)</f>
        <v>2026-04</v>
      </c>
      <c r="C54" s="258">
        <f>DATE(YEAR(RPT_MONTH),MONTH(RPT_MONTH)-6,1)</f>
        <v>46113</v>
      </c>
      <c r="D54" t="s">
        <v>601</v>
      </c>
      <c r="E54" s="193" t="str">
        <f>IFERROR(INDEX(BD_KPIs!$F$2:$F$1300,MATCH(YEAR(DATE(YEAR(RPT_MONTH),MONTH(RPT_MONTH)-6,1))*100+MONTH(DATE(YEAR(RPT_MONTH),MONTH(RPT_MONTH)-6,1))&amp;"|DAFWCF|YTD",BD_KPIs!$Q$2:$Q$1300,0)),"")</f>
        <v/>
      </c>
      <c r="F54" s="193" t="str">
        <f>IFERROR(INDEX(BD_KPIs!$G$2:$G$1300,MATCH(YEAR(DATE(YEAR(RPT_MONTH),MONTH(RPT_MONTH)-6,1))*100+MONTH(DATE(YEAR(RPT_MONTH),MONTH(RPT_MONTH)-6,1))&amp;"|DAFWCF|YTD",BD_KPIs!$Q$2:$Q$1300,0)),"")</f>
        <v/>
      </c>
      <c r="G54" s="193" t="str">
        <f>IF(ISNUMBER(E54),IF(F54="","No target",IF(IFERROR(INDEX(BD_KPIs!$I$2:$I$1300,MATCH(YEAR(DATE(YEAR(RPT_MONTH),MONTH(RPT_MONTH)-6,1))*100+MONTH(DATE(YEAR(RPT_MONTH),MONTH(RPT_MONTH)-6,1))&amp;"|DAFWCF|YTD",BD_KPIs!$Q$2:$Q$1300,0)),"")="Sí","On target","Off target")),"No data")</f>
        <v>No data</v>
      </c>
      <c r="H54" s="193" t="str">
        <f>INDEX(_TARGETS!$D$2:$D$17,MATCH("DAFWCF",_TARGETS!$A$2:$A$17,0))</f>
        <v>casos / 10^6 HH</v>
      </c>
      <c r="I54" s="193" t="str">
        <f>INDEX(_TARGETS!$K$2:$K$17,MATCH("DAFWCF",_TARGETS!$A$2:$A$17,0))</f>
        <v>OPS (carga manual en Datos)</v>
      </c>
      <c r="J54" s="258">
        <f t="shared" si="1"/>
        <v>46296</v>
      </c>
    </row>
    <row r="55" spans="1:10" ht="13.5" customHeight="1" x14ac:dyDescent="0.3">
      <c r="A55" t="s">
        <v>905</v>
      </c>
      <c r="B55" s="193" t="str">
        <f>YEAR(DATE(YEAR(RPT_MONTH),MONTH(RPT_MONTH)-5,1))&amp;"-"&amp;RIGHT("0"&amp;MONTH(DATE(YEAR(RPT_MONTH),MONTH(RPT_MONTH)-5,1)),2)</f>
        <v>2026-05</v>
      </c>
      <c r="C55" s="258">
        <f>DATE(YEAR(RPT_MONTH),MONTH(RPT_MONTH)-5,1)</f>
        <v>46143</v>
      </c>
      <c r="D55" t="s">
        <v>601</v>
      </c>
      <c r="E55" s="193" t="str">
        <f>IFERROR(INDEX(BD_KPIs!$F$2:$F$1300,MATCH(YEAR(DATE(YEAR(RPT_MONTH),MONTH(RPT_MONTH)-5,1))*100+MONTH(DATE(YEAR(RPT_MONTH),MONTH(RPT_MONTH)-5,1))&amp;"|DAFWCF|YTD",BD_KPIs!$Q$2:$Q$1300,0)),"")</f>
        <v/>
      </c>
      <c r="F55" s="193" t="str">
        <f>IFERROR(INDEX(BD_KPIs!$G$2:$G$1300,MATCH(YEAR(DATE(YEAR(RPT_MONTH),MONTH(RPT_MONTH)-5,1))*100+MONTH(DATE(YEAR(RPT_MONTH),MONTH(RPT_MONTH)-5,1))&amp;"|DAFWCF|YTD",BD_KPIs!$Q$2:$Q$1300,0)),"")</f>
        <v/>
      </c>
      <c r="G55" s="193" t="str">
        <f>IF(ISNUMBER(E55),IF(F55="","No target",IF(IFERROR(INDEX(BD_KPIs!$I$2:$I$1300,MATCH(YEAR(DATE(YEAR(RPT_MONTH),MONTH(RPT_MONTH)-5,1))*100+MONTH(DATE(YEAR(RPT_MONTH),MONTH(RPT_MONTH)-5,1))&amp;"|DAFWCF|YTD",BD_KPIs!$Q$2:$Q$1300,0)),"")="Sí","On target","Off target")),"No data")</f>
        <v>No data</v>
      </c>
      <c r="H55" s="193" t="str">
        <f>INDEX(_TARGETS!$D$2:$D$17,MATCH("DAFWCF",_TARGETS!$A$2:$A$17,0))</f>
        <v>casos / 10^6 HH</v>
      </c>
      <c r="I55" s="193" t="str">
        <f>INDEX(_TARGETS!$K$2:$K$17,MATCH("DAFWCF",_TARGETS!$A$2:$A$17,0))</f>
        <v>OPS (carga manual en Datos)</v>
      </c>
      <c r="J55" s="258">
        <f t="shared" si="1"/>
        <v>46296</v>
      </c>
    </row>
    <row r="56" spans="1:10" ht="13.5" customHeight="1" x14ac:dyDescent="0.3">
      <c r="A56" t="s">
        <v>905</v>
      </c>
      <c r="B56" s="193" t="str">
        <f>YEAR(DATE(YEAR(RPT_MONTH),MONTH(RPT_MONTH)-4,1))&amp;"-"&amp;RIGHT("0"&amp;MONTH(DATE(YEAR(RPT_MONTH),MONTH(RPT_MONTH)-4,1)),2)</f>
        <v>2026-06</v>
      </c>
      <c r="C56" s="258">
        <f>DATE(YEAR(RPT_MONTH),MONTH(RPT_MONTH)-4,1)</f>
        <v>46174</v>
      </c>
      <c r="D56" t="s">
        <v>601</v>
      </c>
      <c r="E56" s="193" t="str">
        <f>IFERROR(INDEX(BD_KPIs!$F$2:$F$1300,MATCH(YEAR(DATE(YEAR(RPT_MONTH),MONTH(RPT_MONTH)-4,1))*100+MONTH(DATE(YEAR(RPT_MONTH),MONTH(RPT_MONTH)-4,1))&amp;"|DAFWCF|YTD",BD_KPIs!$Q$2:$Q$1300,0)),"")</f>
        <v/>
      </c>
      <c r="F56" s="193" t="str">
        <f>IFERROR(INDEX(BD_KPIs!$G$2:$G$1300,MATCH(YEAR(DATE(YEAR(RPT_MONTH),MONTH(RPT_MONTH)-4,1))*100+MONTH(DATE(YEAR(RPT_MONTH),MONTH(RPT_MONTH)-4,1))&amp;"|DAFWCF|YTD",BD_KPIs!$Q$2:$Q$1300,0)),"")</f>
        <v/>
      </c>
      <c r="G56" s="193" t="str">
        <f>IF(ISNUMBER(E56),IF(F56="","No target",IF(IFERROR(INDEX(BD_KPIs!$I$2:$I$1300,MATCH(YEAR(DATE(YEAR(RPT_MONTH),MONTH(RPT_MONTH)-4,1))*100+MONTH(DATE(YEAR(RPT_MONTH),MONTH(RPT_MONTH)-4,1))&amp;"|DAFWCF|YTD",BD_KPIs!$Q$2:$Q$1300,0)),"")="Sí","On target","Off target")),"No data")</f>
        <v>No data</v>
      </c>
      <c r="H56" s="193" t="str">
        <f>INDEX(_TARGETS!$D$2:$D$17,MATCH("DAFWCF",_TARGETS!$A$2:$A$17,0))</f>
        <v>casos / 10^6 HH</v>
      </c>
      <c r="I56" s="193" t="str">
        <f>INDEX(_TARGETS!$K$2:$K$17,MATCH("DAFWCF",_TARGETS!$A$2:$A$17,0))</f>
        <v>OPS (carga manual en Datos)</v>
      </c>
      <c r="J56" s="258">
        <f t="shared" si="1"/>
        <v>46296</v>
      </c>
    </row>
    <row r="57" spans="1:10" ht="13.5" customHeight="1" x14ac:dyDescent="0.3">
      <c r="A57" t="s">
        <v>905</v>
      </c>
      <c r="B57" s="193" t="str">
        <f>YEAR(DATE(YEAR(RPT_MONTH),MONTH(RPT_MONTH)-3,1))&amp;"-"&amp;RIGHT("0"&amp;MONTH(DATE(YEAR(RPT_MONTH),MONTH(RPT_MONTH)-3,1)),2)</f>
        <v>2026-07</v>
      </c>
      <c r="C57" s="258">
        <f>DATE(YEAR(RPT_MONTH),MONTH(RPT_MONTH)-3,1)</f>
        <v>46204</v>
      </c>
      <c r="D57" t="s">
        <v>601</v>
      </c>
      <c r="E57" s="193" t="str">
        <f>IFERROR(INDEX(BD_KPIs!$F$2:$F$1300,MATCH(YEAR(DATE(YEAR(RPT_MONTH),MONTH(RPT_MONTH)-3,1))*100+MONTH(DATE(YEAR(RPT_MONTH),MONTH(RPT_MONTH)-3,1))&amp;"|DAFWCF|YTD",BD_KPIs!$Q$2:$Q$1300,0)),"")</f>
        <v/>
      </c>
      <c r="F57" s="193" t="str">
        <f>IFERROR(INDEX(BD_KPIs!$G$2:$G$1300,MATCH(YEAR(DATE(YEAR(RPT_MONTH),MONTH(RPT_MONTH)-3,1))*100+MONTH(DATE(YEAR(RPT_MONTH),MONTH(RPT_MONTH)-3,1))&amp;"|DAFWCF|YTD",BD_KPIs!$Q$2:$Q$1300,0)),"")</f>
        <v/>
      </c>
      <c r="G57" s="193" t="str">
        <f>IF(ISNUMBER(E57),IF(F57="","No target",IF(IFERROR(INDEX(BD_KPIs!$I$2:$I$1300,MATCH(YEAR(DATE(YEAR(RPT_MONTH),MONTH(RPT_MONTH)-3,1))*100+MONTH(DATE(YEAR(RPT_MONTH),MONTH(RPT_MONTH)-3,1))&amp;"|DAFWCF|YTD",BD_KPIs!$Q$2:$Q$1300,0)),"")="Sí","On target","Off target")),"No data")</f>
        <v>No data</v>
      </c>
      <c r="H57" s="193" t="str">
        <f>INDEX(_TARGETS!$D$2:$D$17,MATCH("DAFWCF",_TARGETS!$A$2:$A$17,0))</f>
        <v>casos / 10^6 HH</v>
      </c>
      <c r="I57" s="193" t="str">
        <f>INDEX(_TARGETS!$K$2:$K$17,MATCH("DAFWCF",_TARGETS!$A$2:$A$17,0))</f>
        <v>OPS (carga manual en Datos)</v>
      </c>
      <c r="J57" s="258">
        <f t="shared" si="1"/>
        <v>46296</v>
      </c>
    </row>
    <row r="58" spans="1:10" ht="13.5" customHeight="1" x14ac:dyDescent="0.3">
      <c r="A58" t="s">
        <v>905</v>
      </c>
      <c r="B58" s="193" t="str">
        <f>YEAR(DATE(YEAR(RPT_MONTH),MONTH(RPT_MONTH)-2,1))&amp;"-"&amp;RIGHT("0"&amp;MONTH(DATE(YEAR(RPT_MONTH),MONTH(RPT_MONTH)-2,1)),2)</f>
        <v>2026-08</v>
      </c>
      <c r="C58" s="258">
        <f>DATE(YEAR(RPT_MONTH),MONTH(RPT_MONTH)-2,1)</f>
        <v>46235</v>
      </c>
      <c r="D58" t="s">
        <v>601</v>
      </c>
      <c r="E58" s="193">
        <f>IFERROR(INDEX(BD_KPIs!$F$2:$F$1300,MATCH(YEAR(DATE(YEAR(RPT_MONTH),MONTH(RPT_MONTH)-2,1))*100+MONTH(DATE(YEAR(RPT_MONTH),MONTH(RPT_MONTH)-2,1))&amp;"|DAFWCF|YTD",BD_KPIs!$Q$2:$Q$1300,0)),"")</f>
        <v>0</v>
      </c>
      <c r="F58" s="193">
        <f>IFERROR(INDEX(BD_KPIs!$G$2:$G$1300,MATCH(YEAR(DATE(YEAR(RPT_MONTH),MONTH(RPT_MONTH)-2,1))*100+MONTH(DATE(YEAR(RPT_MONTH),MONTH(RPT_MONTH)-2,1))&amp;"|DAFWCF|YTD",BD_KPIs!$Q$2:$Q$1300,0)),"")</f>
        <v>0</v>
      </c>
      <c r="G58" s="193" t="str">
        <f>IF(ISNUMBER(E58),IF(F58="","No target",IF(IFERROR(INDEX(BD_KPIs!$I$2:$I$1300,MATCH(YEAR(DATE(YEAR(RPT_MONTH),MONTH(RPT_MONTH)-2,1))*100+MONTH(DATE(YEAR(RPT_MONTH),MONTH(RPT_MONTH)-2,1))&amp;"|DAFWCF|YTD",BD_KPIs!$Q$2:$Q$1300,0)),"")="Sí","On target","Off target")),"No data")</f>
        <v>On target</v>
      </c>
      <c r="H58" s="193" t="str">
        <f>INDEX(_TARGETS!$D$2:$D$17,MATCH("DAFWCF",_TARGETS!$A$2:$A$17,0))</f>
        <v>casos / 10^6 HH</v>
      </c>
      <c r="I58" s="193" t="str">
        <f>INDEX(_TARGETS!$K$2:$K$17,MATCH("DAFWCF",_TARGETS!$A$2:$A$17,0))</f>
        <v>OPS (carga manual en Datos)</v>
      </c>
      <c r="J58" s="258">
        <f t="shared" si="1"/>
        <v>46296</v>
      </c>
    </row>
    <row r="59" spans="1:10" ht="13.5" customHeight="1" x14ac:dyDescent="0.3">
      <c r="A59" t="s">
        <v>905</v>
      </c>
      <c r="B59" s="193" t="str">
        <f>YEAR(DATE(YEAR(RPT_MONTH),MONTH(RPT_MONTH)-1,1))&amp;"-"&amp;RIGHT("0"&amp;MONTH(DATE(YEAR(RPT_MONTH),MONTH(RPT_MONTH)-1,1)),2)</f>
        <v>2026-09</v>
      </c>
      <c r="C59" s="258">
        <f>DATE(YEAR(RPT_MONTH),MONTH(RPT_MONTH)-1,1)</f>
        <v>46266</v>
      </c>
      <c r="D59" t="s">
        <v>601</v>
      </c>
      <c r="E59" s="193">
        <f>IFERROR(INDEX(BD_KPIs!$F$2:$F$1300,MATCH(YEAR(DATE(YEAR(RPT_MONTH),MONTH(RPT_MONTH)-1,1))*100+MONTH(DATE(YEAR(RPT_MONTH),MONTH(RPT_MONTH)-1,1))&amp;"|DAFWCF|YTD",BD_KPIs!$Q$2:$Q$1300,0)),"")</f>
        <v>0</v>
      </c>
      <c r="F59" s="250">
        <f>IFERROR(INDEX(BD_KPIs!$G$2:$G$1300,MATCH(YEAR(DATE(YEAR(RPT_MONTH),MONTH(RPT_MONTH)-1,1))*100+MONTH(DATE(YEAR(RPT_MONTH),MONTH(RPT_MONTH)-1,1))&amp;"|DAFWCF|YTD",BD_KPIs!$Q$2:$Q$1300,0)),"")</f>
        <v>0</v>
      </c>
      <c r="G59" s="193" t="str">
        <f>IF(ISNUMBER(E59),IF(F59="","No target",IF(IFERROR(INDEX(BD_KPIs!$I$2:$I$1300,MATCH(YEAR(DATE(YEAR(RPT_MONTH),MONTH(RPT_MONTH)-1,1))*100+MONTH(DATE(YEAR(RPT_MONTH),MONTH(RPT_MONTH)-1,1))&amp;"|DAFWCF|YTD",BD_KPIs!$Q$2:$Q$1300,0)),"")="Sí","On target","Off target")),"No data")</f>
        <v>On target</v>
      </c>
      <c r="H59" s="193" t="str">
        <f>INDEX(_TARGETS!$D$2:$D$17,MATCH("DAFWCF",_TARGETS!$A$2:$A$17,0))</f>
        <v>casos / 10^6 HH</v>
      </c>
      <c r="I59" s="193" t="str">
        <f>INDEX(_TARGETS!$K$2:$K$17,MATCH("DAFWCF",_TARGETS!$A$2:$A$17,0))</f>
        <v>OPS (carga manual en Datos)</v>
      </c>
      <c r="J59" s="258">
        <f t="shared" si="1"/>
        <v>46296</v>
      </c>
    </row>
    <row r="60" spans="1:10" ht="13.5" customHeight="1" x14ac:dyDescent="0.3">
      <c r="A60" t="s">
        <v>905</v>
      </c>
      <c r="B60" s="193" t="str">
        <f>YEAR(DATE(YEAR(RPT_MONTH),MONTH(RPT_MONTH)-0,1))&amp;"-"&amp;RIGHT("0"&amp;MONTH(DATE(YEAR(RPT_MONTH),MONTH(RPT_MONTH)-0,1)),2)</f>
        <v>2026-10</v>
      </c>
      <c r="C60" s="258">
        <f>DATE(YEAR(RPT_MONTH),MONTH(RPT_MONTH)-0,1)</f>
        <v>46296</v>
      </c>
      <c r="D60" t="s">
        <v>601</v>
      </c>
      <c r="E60" s="193" t="str">
        <f>IFERROR(INDEX(BD_KPIs!$F$2:$F$1300,MATCH(YEAR(DATE(YEAR(RPT_MONTH),MONTH(RPT_MONTH)-0,1))*100+MONTH(DATE(YEAR(RPT_MONTH),MONTH(RPT_MONTH)-0,1))&amp;"|DAFWCF|YTD",BD_KPIs!$Q$2:$Q$1300,0)),"")</f>
        <v/>
      </c>
      <c r="F60" s="250">
        <f>IFERROR(INDEX(BD_KPIs!$G$2:$G$1300,MATCH(YEAR(DATE(YEAR(RPT_MONTH),MONTH(RPT_MONTH)-0,1))*100+MONTH(DATE(YEAR(RPT_MONTH),MONTH(RPT_MONTH)-0,1))&amp;"|DAFWCF|YTD",BD_KPIs!$Q$2:$Q$1300,0)),"")</f>
        <v>0</v>
      </c>
      <c r="G60" s="193" t="str">
        <f>IF(ISNUMBER(E60),IF(F60="","No target",IF(IFERROR(INDEX(BD_KPIs!$I$2:$I$1300,MATCH(YEAR(DATE(YEAR(RPT_MONTH),MONTH(RPT_MONTH)-0,1))*100+MONTH(DATE(YEAR(RPT_MONTH),MONTH(RPT_MONTH)-0,1))&amp;"|DAFWCF|YTD",BD_KPIs!$Q$2:$Q$1300,0)),"")="Sí","On target","Off target")),"No data")</f>
        <v>No data</v>
      </c>
      <c r="H60" s="193" t="str">
        <f>INDEX(_TARGETS!$D$2:$D$17,MATCH("DAFWCF",_TARGETS!$A$2:$A$17,0))</f>
        <v>casos / 10^6 HH</v>
      </c>
      <c r="I60" s="193" t="str">
        <f>INDEX(_TARGETS!$K$2:$K$17,MATCH("DAFWCF",_TARGETS!$A$2:$A$17,0))</f>
        <v>OPS (carga manual en Datos)</v>
      </c>
      <c r="J60" s="258">
        <f t="shared" si="1"/>
        <v>46296</v>
      </c>
    </row>
    <row r="61" spans="1:10" ht="13.5" customHeight="1" x14ac:dyDescent="0.3">
      <c r="A61" t="s">
        <v>905</v>
      </c>
      <c r="B61" s="193" t="str">
        <f>YEAR(DATE(YEAR(RPT_MONTH),MONTH(RPT_MONTH)-11,1))&amp;"-"&amp;RIGHT("0"&amp;MONTH(DATE(YEAR(RPT_MONTH),MONTH(RPT_MONTH)-11,1)),2)</f>
        <v>2025-11</v>
      </c>
      <c r="C61" s="258">
        <f>DATE(YEAR(RPT_MONTH),MONTH(RPT_MONTH)-11,1)</f>
        <v>45962</v>
      </c>
      <c r="D61" t="s">
        <v>904</v>
      </c>
      <c r="E61" s="193" t="str">
        <f>IFERROR(INDEX(BD_KPIs!$F$2:$F$1300,MATCH(YEAR(DATE(YEAR(RPT_MONTH),MONTH(RPT_MONTH)-11,1))*100+MONTH(DATE(YEAR(RPT_MONTH),MONTH(RPT_MONTH)-11,1))&amp;"|DAFWCF|Cumulative",BD_KPIs!$Q$2:$Q$1300,0)),"")</f>
        <v/>
      </c>
      <c r="F61" s="193" t="str">
        <f>IFERROR(INDEX(BD_KPIs!$G$2:$G$1300,MATCH(YEAR(DATE(YEAR(RPT_MONTH),MONTH(RPT_MONTH)-11,1))*100+MONTH(DATE(YEAR(RPT_MONTH),MONTH(RPT_MONTH)-11,1))&amp;"|DAFWCF|Cumulative",BD_KPIs!$Q$2:$Q$1300,0)),"")</f>
        <v/>
      </c>
      <c r="G61" s="193" t="str">
        <f>IF(ISNUMBER(E61),IF(F61="","No target",IF(IFERROR(INDEX(BD_KPIs!$I$2:$I$1300,MATCH(YEAR(DATE(YEAR(RPT_MONTH),MONTH(RPT_MONTH)-11,1))*100+MONTH(DATE(YEAR(RPT_MONTH),MONTH(RPT_MONTH)-11,1))&amp;"|DAFWCF|Cumulative",BD_KPIs!$Q$2:$Q$1300,0)),"")="Sí","On target","Off target")),"No data")</f>
        <v>No data</v>
      </c>
      <c r="H61" s="193" t="str">
        <f>INDEX(_TARGETS!$D$2:$D$17,MATCH("DAFWCF",_TARGETS!$A$2:$A$17,0))</f>
        <v>casos / 10^6 HH</v>
      </c>
      <c r="I61" s="193" t="str">
        <f>INDEX(_TARGETS!$K$2:$K$17,MATCH("DAFWCF",_TARGETS!$A$2:$A$17,0))</f>
        <v>OPS (carga manual en Datos)</v>
      </c>
      <c r="J61" s="258">
        <f t="shared" si="1"/>
        <v>46296</v>
      </c>
    </row>
    <row r="62" spans="1:10" ht="13.5" customHeight="1" x14ac:dyDescent="0.3">
      <c r="A62" t="s">
        <v>905</v>
      </c>
      <c r="B62" s="193" t="str">
        <f>YEAR(DATE(YEAR(RPT_MONTH),MONTH(RPT_MONTH)-10,1))&amp;"-"&amp;RIGHT("0"&amp;MONTH(DATE(YEAR(RPT_MONTH),MONTH(RPT_MONTH)-10,1)),2)</f>
        <v>2025-12</v>
      </c>
      <c r="C62" s="258">
        <f>DATE(YEAR(RPT_MONTH),MONTH(RPT_MONTH)-10,1)</f>
        <v>45992</v>
      </c>
      <c r="D62" t="s">
        <v>904</v>
      </c>
      <c r="E62" s="193" t="str">
        <f>IFERROR(INDEX(BD_KPIs!$F$2:$F$1300,MATCH(YEAR(DATE(YEAR(RPT_MONTH),MONTH(RPT_MONTH)-10,1))*100+MONTH(DATE(YEAR(RPT_MONTH),MONTH(RPT_MONTH)-10,1))&amp;"|DAFWCF|Cumulative",BD_KPIs!$Q$2:$Q$1300,0)),"")</f>
        <v/>
      </c>
      <c r="F62" s="193" t="str">
        <f>IFERROR(INDEX(BD_KPIs!$G$2:$G$1300,MATCH(YEAR(DATE(YEAR(RPT_MONTH),MONTH(RPT_MONTH)-10,1))*100+MONTH(DATE(YEAR(RPT_MONTH),MONTH(RPT_MONTH)-10,1))&amp;"|DAFWCF|Cumulative",BD_KPIs!$Q$2:$Q$1300,0)),"")</f>
        <v/>
      </c>
      <c r="G62" s="193" t="str">
        <f>IF(ISNUMBER(E62),IF(F62="","No target",IF(IFERROR(INDEX(BD_KPIs!$I$2:$I$1300,MATCH(YEAR(DATE(YEAR(RPT_MONTH),MONTH(RPT_MONTH)-10,1))*100+MONTH(DATE(YEAR(RPT_MONTH),MONTH(RPT_MONTH)-10,1))&amp;"|DAFWCF|Cumulative",BD_KPIs!$Q$2:$Q$1300,0)),"")="Sí","On target","Off target")),"No data")</f>
        <v>No data</v>
      </c>
      <c r="H62" s="193" t="str">
        <f>INDEX(_TARGETS!$D$2:$D$17,MATCH("DAFWCF",_TARGETS!$A$2:$A$17,0))</f>
        <v>casos / 10^6 HH</v>
      </c>
      <c r="I62" s="193" t="str">
        <f>INDEX(_TARGETS!$K$2:$K$17,MATCH("DAFWCF",_TARGETS!$A$2:$A$17,0))</f>
        <v>OPS (carga manual en Datos)</v>
      </c>
      <c r="J62" s="258">
        <f t="shared" si="1"/>
        <v>46296</v>
      </c>
    </row>
    <row r="63" spans="1:10" ht="13.5" customHeight="1" x14ac:dyDescent="0.3">
      <c r="A63" t="s">
        <v>905</v>
      </c>
      <c r="B63" s="193" t="str">
        <f>YEAR(DATE(YEAR(RPT_MONTH),MONTH(RPT_MONTH)-9,1))&amp;"-"&amp;RIGHT("0"&amp;MONTH(DATE(YEAR(RPT_MONTH),MONTH(RPT_MONTH)-9,1)),2)</f>
        <v>2026-01</v>
      </c>
      <c r="C63" s="258">
        <f>DATE(YEAR(RPT_MONTH),MONTH(RPT_MONTH)-9,1)</f>
        <v>46023</v>
      </c>
      <c r="D63" t="s">
        <v>904</v>
      </c>
      <c r="E63" s="193" t="str">
        <f>IFERROR(INDEX(BD_KPIs!$F$2:$F$1300,MATCH(YEAR(DATE(YEAR(RPT_MONTH),MONTH(RPT_MONTH)-9,1))*100+MONTH(DATE(YEAR(RPT_MONTH),MONTH(RPT_MONTH)-9,1))&amp;"|DAFWCF|Cumulative",BD_KPIs!$Q$2:$Q$1300,0)),"")</f>
        <v/>
      </c>
      <c r="F63" s="193" t="str">
        <f>IFERROR(INDEX(BD_KPIs!$G$2:$G$1300,MATCH(YEAR(DATE(YEAR(RPT_MONTH),MONTH(RPT_MONTH)-9,1))*100+MONTH(DATE(YEAR(RPT_MONTH),MONTH(RPT_MONTH)-9,1))&amp;"|DAFWCF|Cumulative",BD_KPIs!$Q$2:$Q$1300,0)),"")</f>
        <v/>
      </c>
      <c r="G63" s="193" t="str">
        <f>IF(ISNUMBER(E63),IF(F63="","No target",IF(IFERROR(INDEX(BD_KPIs!$I$2:$I$1300,MATCH(YEAR(DATE(YEAR(RPT_MONTH),MONTH(RPT_MONTH)-9,1))*100+MONTH(DATE(YEAR(RPT_MONTH),MONTH(RPT_MONTH)-9,1))&amp;"|DAFWCF|Cumulative",BD_KPIs!$Q$2:$Q$1300,0)),"")="Sí","On target","Off target")),"No data")</f>
        <v>No data</v>
      </c>
      <c r="H63" s="193" t="str">
        <f>INDEX(_TARGETS!$D$2:$D$17,MATCH("DAFWCF",_TARGETS!$A$2:$A$17,0))</f>
        <v>casos / 10^6 HH</v>
      </c>
      <c r="I63" s="193" t="str">
        <f>INDEX(_TARGETS!$K$2:$K$17,MATCH("DAFWCF",_TARGETS!$A$2:$A$17,0))</f>
        <v>OPS (carga manual en Datos)</v>
      </c>
      <c r="J63" s="258">
        <f t="shared" si="1"/>
        <v>46296</v>
      </c>
    </row>
    <row r="64" spans="1:10" ht="13.5" customHeight="1" x14ac:dyDescent="0.3">
      <c r="A64" t="s">
        <v>905</v>
      </c>
      <c r="B64" s="193" t="str">
        <f>YEAR(DATE(YEAR(RPT_MONTH),MONTH(RPT_MONTH)-8,1))&amp;"-"&amp;RIGHT("0"&amp;MONTH(DATE(YEAR(RPT_MONTH),MONTH(RPT_MONTH)-8,1)),2)</f>
        <v>2026-02</v>
      </c>
      <c r="C64" s="258">
        <f>DATE(YEAR(RPT_MONTH),MONTH(RPT_MONTH)-8,1)</f>
        <v>46054</v>
      </c>
      <c r="D64" t="s">
        <v>904</v>
      </c>
      <c r="E64" s="193" t="str">
        <f>IFERROR(INDEX(BD_KPIs!$F$2:$F$1300,MATCH(YEAR(DATE(YEAR(RPT_MONTH),MONTH(RPT_MONTH)-8,1))*100+MONTH(DATE(YEAR(RPT_MONTH),MONTH(RPT_MONTH)-8,1))&amp;"|DAFWCF|Cumulative",BD_KPIs!$Q$2:$Q$1300,0)),"")</f>
        <v/>
      </c>
      <c r="F64" s="193" t="str">
        <f>IFERROR(INDEX(BD_KPIs!$G$2:$G$1300,MATCH(YEAR(DATE(YEAR(RPT_MONTH),MONTH(RPT_MONTH)-8,1))*100+MONTH(DATE(YEAR(RPT_MONTH),MONTH(RPT_MONTH)-8,1))&amp;"|DAFWCF|Cumulative",BD_KPIs!$Q$2:$Q$1300,0)),"")</f>
        <v/>
      </c>
      <c r="G64" s="193" t="str">
        <f>IF(ISNUMBER(E64),IF(F64="","No target",IF(IFERROR(INDEX(BD_KPIs!$I$2:$I$1300,MATCH(YEAR(DATE(YEAR(RPT_MONTH),MONTH(RPT_MONTH)-8,1))*100+MONTH(DATE(YEAR(RPT_MONTH),MONTH(RPT_MONTH)-8,1))&amp;"|DAFWCF|Cumulative",BD_KPIs!$Q$2:$Q$1300,0)),"")="Sí","On target","Off target")),"No data")</f>
        <v>No data</v>
      </c>
      <c r="H64" s="193" t="str">
        <f>INDEX(_TARGETS!$D$2:$D$17,MATCH("DAFWCF",_TARGETS!$A$2:$A$17,0))</f>
        <v>casos / 10^6 HH</v>
      </c>
      <c r="I64" s="193" t="str">
        <f>INDEX(_TARGETS!$K$2:$K$17,MATCH("DAFWCF",_TARGETS!$A$2:$A$17,0))</f>
        <v>OPS (carga manual en Datos)</v>
      </c>
      <c r="J64" s="258">
        <f t="shared" si="1"/>
        <v>46296</v>
      </c>
    </row>
    <row r="65" spans="1:10" ht="13.5" customHeight="1" x14ac:dyDescent="0.3">
      <c r="A65" t="s">
        <v>905</v>
      </c>
      <c r="B65" s="193" t="str">
        <f>YEAR(DATE(YEAR(RPT_MONTH),MONTH(RPT_MONTH)-7,1))&amp;"-"&amp;RIGHT("0"&amp;MONTH(DATE(YEAR(RPT_MONTH),MONTH(RPT_MONTH)-7,1)),2)</f>
        <v>2026-03</v>
      </c>
      <c r="C65" s="258">
        <f>DATE(YEAR(RPT_MONTH),MONTH(RPT_MONTH)-7,1)</f>
        <v>46082</v>
      </c>
      <c r="D65" t="s">
        <v>904</v>
      </c>
      <c r="E65" s="193" t="str">
        <f>IFERROR(INDEX(BD_KPIs!$F$2:$F$1300,MATCH(YEAR(DATE(YEAR(RPT_MONTH),MONTH(RPT_MONTH)-7,1))*100+MONTH(DATE(YEAR(RPT_MONTH),MONTH(RPT_MONTH)-7,1))&amp;"|DAFWCF|Cumulative",BD_KPIs!$Q$2:$Q$1300,0)),"")</f>
        <v/>
      </c>
      <c r="F65" s="193" t="str">
        <f>IFERROR(INDEX(BD_KPIs!$G$2:$G$1300,MATCH(YEAR(DATE(YEAR(RPT_MONTH),MONTH(RPT_MONTH)-7,1))*100+MONTH(DATE(YEAR(RPT_MONTH),MONTH(RPT_MONTH)-7,1))&amp;"|DAFWCF|Cumulative",BD_KPIs!$Q$2:$Q$1300,0)),"")</f>
        <v/>
      </c>
      <c r="G65" s="193" t="str">
        <f>IF(ISNUMBER(E65),IF(F65="","No target",IF(IFERROR(INDEX(BD_KPIs!$I$2:$I$1300,MATCH(YEAR(DATE(YEAR(RPT_MONTH),MONTH(RPT_MONTH)-7,1))*100+MONTH(DATE(YEAR(RPT_MONTH),MONTH(RPT_MONTH)-7,1))&amp;"|DAFWCF|Cumulative",BD_KPIs!$Q$2:$Q$1300,0)),"")="Sí","On target","Off target")),"No data")</f>
        <v>No data</v>
      </c>
      <c r="H65" s="193" t="str">
        <f>INDEX(_TARGETS!$D$2:$D$17,MATCH("DAFWCF",_TARGETS!$A$2:$A$17,0))</f>
        <v>casos / 10^6 HH</v>
      </c>
      <c r="I65" s="193" t="str">
        <f>INDEX(_TARGETS!$K$2:$K$17,MATCH("DAFWCF",_TARGETS!$A$2:$A$17,0))</f>
        <v>OPS (carga manual en Datos)</v>
      </c>
      <c r="J65" s="258">
        <f t="shared" si="1"/>
        <v>46296</v>
      </c>
    </row>
    <row r="66" spans="1:10" ht="13.5" customHeight="1" x14ac:dyDescent="0.3">
      <c r="A66" t="s">
        <v>905</v>
      </c>
      <c r="B66" s="193" t="str">
        <f>YEAR(DATE(YEAR(RPT_MONTH),MONTH(RPT_MONTH)-6,1))&amp;"-"&amp;RIGHT("0"&amp;MONTH(DATE(YEAR(RPT_MONTH),MONTH(RPT_MONTH)-6,1)),2)</f>
        <v>2026-04</v>
      </c>
      <c r="C66" s="258">
        <f>DATE(YEAR(RPT_MONTH),MONTH(RPT_MONTH)-6,1)</f>
        <v>46113</v>
      </c>
      <c r="D66" t="s">
        <v>904</v>
      </c>
      <c r="E66" s="193" t="str">
        <f>IFERROR(INDEX(BD_KPIs!$F$2:$F$1300,MATCH(YEAR(DATE(YEAR(RPT_MONTH),MONTH(RPT_MONTH)-6,1))*100+MONTH(DATE(YEAR(RPT_MONTH),MONTH(RPT_MONTH)-6,1))&amp;"|DAFWCF|Cumulative",BD_KPIs!$Q$2:$Q$1300,0)),"")</f>
        <v/>
      </c>
      <c r="F66" s="193" t="str">
        <f>IFERROR(INDEX(BD_KPIs!$G$2:$G$1300,MATCH(YEAR(DATE(YEAR(RPT_MONTH),MONTH(RPT_MONTH)-6,1))*100+MONTH(DATE(YEAR(RPT_MONTH),MONTH(RPT_MONTH)-6,1))&amp;"|DAFWCF|Cumulative",BD_KPIs!$Q$2:$Q$1300,0)),"")</f>
        <v/>
      </c>
      <c r="G66" s="193" t="str">
        <f>IF(ISNUMBER(E66),IF(F66="","No target",IF(IFERROR(INDEX(BD_KPIs!$I$2:$I$1300,MATCH(YEAR(DATE(YEAR(RPT_MONTH),MONTH(RPT_MONTH)-6,1))*100+MONTH(DATE(YEAR(RPT_MONTH),MONTH(RPT_MONTH)-6,1))&amp;"|DAFWCF|Cumulative",BD_KPIs!$Q$2:$Q$1300,0)),"")="Sí","On target","Off target")),"No data")</f>
        <v>No data</v>
      </c>
      <c r="H66" s="193" t="str">
        <f>INDEX(_TARGETS!$D$2:$D$17,MATCH("DAFWCF",_TARGETS!$A$2:$A$17,0))</f>
        <v>casos / 10^6 HH</v>
      </c>
      <c r="I66" s="193" t="str">
        <f>INDEX(_TARGETS!$K$2:$K$17,MATCH("DAFWCF",_TARGETS!$A$2:$A$17,0))</f>
        <v>OPS (carga manual en Datos)</v>
      </c>
      <c r="J66" s="258">
        <f t="shared" ref="J66:J129" si="2">RPT_MONTH</f>
        <v>46296</v>
      </c>
    </row>
    <row r="67" spans="1:10" ht="13.5" customHeight="1" x14ac:dyDescent="0.3">
      <c r="A67" t="s">
        <v>905</v>
      </c>
      <c r="B67" s="193" t="str">
        <f>YEAR(DATE(YEAR(RPT_MONTH),MONTH(RPT_MONTH)-5,1))&amp;"-"&amp;RIGHT("0"&amp;MONTH(DATE(YEAR(RPT_MONTH),MONTH(RPT_MONTH)-5,1)),2)</f>
        <v>2026-05</v>
      </c>
      <c r="C67" s="258">
        <f>DATE(YEAR(RPT_MONTH),MONTH(RPT_MONTH)-5,1)</f>
        <v>46143</v>
      </c>
      <c r="D67" t="s">
        <v>904</v>
      </c>
      <c r="E67" s="193" t="str">
        <f>IFERROR(INDEX(BD_KPIs!$F$2:$F$1300,MATCH(YEAR(DATE(YEAR(RPT_MONTH),MONTH(RPT_MONTH)-5,1))*100+MONTH(DATE(YEAR(RPT_MONTH),MONTH(RPT_MONTH)-5,1))&amp;"|DAFWCF|Cumulative",BD_KPIs!$Q$2:$Q$1300,0)),"")</f>
        <v/>
      </c>
      <c r="F67" s="193" t="str">
        <f>IFERROR(INDEX(BD_KPIs!$G$2:$G$1300,MATCH(YEAR(DATE(YEAR(RPT_MONTH),MONTH(RPT_MONTH)-5,1))*100+MONTH(DATE(YEAR(RPT_MONTH),MONTH(RPT_MONTH)-5,1))&amp;"|DAFWCF|Cumulative",BD_KPIs!$Q$2:$Q$1300,0)),"")</f>
        <v/>
      </c>
      <c r="G67" s="193" t="str">
        <f>IF(ISNUMBER(E67),IF(F67="","No target",IF(IFERROR(INDEX(BD_KPIs!$I$2:$I$1300,MATCH(YEAR(DATE(YEAR(RPT_MONTH),MONTH(RPT_MONTH)-5,1))*100+MONTH(DATE(YEAR(RPT_MONTH),MONTH(RPT_MONTH)-5,1))&amp;"|DAFWCF|Cumulative",BD_KPIs!$Q$2:$Q$1300,0)),"")="Sí","On target","Off target")),"No data")</f>
        <v>No data</v>
      </c>
      <c r="H67" s="193" t="str">
        <f>INDEX(_TARGETS!$D$2:$D$17,MATCH("DAFWCF",_TARGETS!$A$2:$A$17,0))</f>
        <v>casos / 10^6 HH</v>
      </c>
      <c r="I67" s="193" t="str">
        <f>INDEX(_TARGETS!$K$2:$K$17,MATCH("DAFWCF",_TARGETS!$A$2:$A$17,0))</f>
        <v>OPS (carga manual en Datos)</v>
      </c>
      <c r="J67" s="258">
        <f t="shared" si="2"/>
        <v>46296</v>
      </c>
    </row>
    <row r="68" spans="1:10" ht="13.5" customHeight="1" x14ac:dyDescent="0.3">
      <c r="A68" t="s">
        <v>905</v>
      </c>
      <c r="B68" s="193" t="str">
        <f>YEAR(DATE(YEAR(RPT_MONTH),MONTH(RPT_MONTH)-4,1))&amp;"-"&amp;RIGHT("0"&amp;MONTH(DATE(YEAR(RPT_MONTH),MONTH(RPT_MONTH)-4,1)),2)</f>
        <v>2026-06</v>
      </c>
      <c r="C68" s="258">
        <f>DATE(YEAR(RPT_MONTH),MONTH(RPT_MONTH)-4,1)</f>
        <v>46174</v>
      </c>
      <c r="D68" t="s">
        <v>904</v>
      </c>
      <c r="E68" s="193" t="str">
        <f>IFERROR(INDEX(BD_KPIs!$F$2:$F$1300,MATCH(YEAR(DATE(YEAR(RPT_MONTH),MONTH(RPT_MONTH)-4,1))*100+MONTH(DATE(YEAR(RPT_MONTH),MONTH(RPT_MONTH)-4,1))&amp;"|DAFWCF|Cumulative",BD_KPIs!$Q$2:$Q$1300,0)),"")</f>
        <v/>
      </c>
      <c r="F68" s="193" t="str">
        <f>IFERROR(INDEX(BD_KPIs!$G$2:$G$1300,MATCH(YEAR(DATE(YEAR(RPT_MONTH),MONTH(RPT_MONTH)-4,1))*100+MONTH(DATE(YEAR(RPT_MONTH),MONTH(RPT_MONTH)-4,1))&amp;"|DAFWCF|Cumulative",BD_KPIs!$Q$2:$Q$1300,0)),"")</f>
        <v/>
      </c>
      <c r="G68" s="193" t="str">
        <f>IF(ISNUMBER(E68),IF(F68="","No target",IF(IFERROR(INDEX(BD_KPIs!$I$2:$I$1300,MATCH(YEAR(DATE(YEAR(RPT_MONTH),MONTH(RPT_MONTH)-4,1))*100+MONTH(DATE(YEAR(RPT_MONTH),MONTH(RPT_MONTH)-4,1))&amp;"|DAFWCF|Cumulative",BD_KPIs!$Q$2:$Q$1300,0)),"")="Sí","On target","Off target")),"No data")</f>
        <v>No data</v>
      </c>
      <c r="H68" s="193" t="str">
        <f>INDEX(_TARGETS!$D$2:$D$17,MATCH("DAFWCF",_TARGETS!$A$2:$A$17,0))</f>
        <v>casos / 10^6 HH</v>
      </c>
      <c r="I68" s="193" t="str">
        <f>INDEX(_TARGETS!$K$2:$K$17,MATCH("DAFWCF",_TARGETS!$A$2:$A$17,0))</f>
        <v>OPS (carga manual en Datos)</v>
      </c>
      <c r="J68" s="258">
        <f t="shared" si="2"/>
        <v>46296</v>
      </c>
    </row>
    <row r="69" spans="1:10" ht="13.5" customHeight="1" x14ac:dyDescent="0.3">
      <c r="A69" t="s">
        <v>905</v>
      </c>
      <c r="B69" s="193" t="str">
        <f>YEAR(DATE(YEAR(RPT_MONTH),MONTH(RPT_MONTH)-3,1))&amp;"-"&amp;RIGHT("0"&amp;MONTH(DATE(YEAR(RPT_MONTH),MONTH(RPT_MONTH)-3,1)),2)</f>
        <v>2026-07</v>
      </c>
      <c r="C69" s="258">
        <f>DATE(YEAR(RPT_MONTH),MONTH(RPT_MONTH)-3,1)</f>
        <v>46204</v>
      </c>
      <c r="D69" t="s">
        <v>904</v>
      </c>
      <c r="E69" s="193" t="str">
        <f>IFERROR(INDEX(BD_KPIs!$F$2:$F$1300,MATCH(YEAR(DATE(YEAR(RPT_MONTH),MONTH(RPT_MONTH)-3,1))*100+MONTH(DATE(YEAR(RPT_MONTH),MONTH(RPT_MONTH)-3,1))&amp;"|DAFWCF|Cumulative",BD_KPIs!$Q$2:$Q$1300,0)),"")</f>
        <v/>
      </c>
      <c r="F69" s="193" t="str">
        <f>IFERROR(INDEX(BD_KPIs!$G$2:$G$1300,MATCH(YEAR(DATE(YEAR(RPT_MONTH),MONTH(RPT_MONTH)-3,1))*100+MONTH(DATE(YEAR(RPT_MONTH),MONTH(RPT_MONTH)-3,1))&amp;"|DAFWCF|Cumulative",BD_KPIs!$Q$2:$Q$1300,0)),"")</f>
        <v/>
      </c>
      <c r="G69" s="193" t="str">
        <f>IF(ISNUMBER(E69),IF(F69="","No target",IF(IFERROR(INDEX(BD_KPIs!$I$2:$I$1300,MATCH(YEAR(DATE(YEAR(RPT_MONTH),MONTH(RPT_MONTH)-3,1))*100+MONTH(DATE(YEAR(RPT_MONTH),MONTH(RPT_MONTH)-3,1))&amp;"|DAFWCF|Cumulative",BD_KPIs!$Q$2:$Q$1300,0)),"")="Sí","On target","Off target")),"No data")</f>
        <v>No data</v>
      </c>
      <c r="H69" s="193" t="str">
        <f>INDEX(_TARGETS!$D$2:$D$17,MATCH("DAFWCF",_TARGETS!$A$2:$A$17,0))</f>
        <v>casos / 10^6 HH</v>
      </c>
      <c r="I69" s="193" t="str">
        <f>INDEX(_TARGETS!$K$2:$K$17,MATCH("DAFWCF",_TARGETS!$A$2:$A$17,0))</f>
        <v>OPS (carga manual en Datos)</v>
      </c>
      <c r="J69" s="258">
        <f t="shared" si="2"/>
        <v>46296</v>
      </c>
    </row>
    <row r="70" spans="1:10" ht="13.5" customHeight="1" x14ac:dyDescent="0.3">
      <c r="A70" t="s">
        <v>905</v>
      </c>
      <c r="B70" s="193" t="str">
        <f>YEAR(DATE(YEAR(RPT_MONTH),MONTH(RPT_MONTH)-2,1))&amp;"-"&amp;RIGHT("0"&amp;MONTH(DATE(YEAR(RPT_MONTH),MONTH(RPT_MONTH)-2,1)),2)</f>
        <v>2026-08</v>
      </c>
      <c r="C70" s="258">
        <f>DATE(YEAR(RPT_MONTH),MONTH(RPT_MONTH)-2,1)</f>
        <v>46235</v>
      </c>
      <c r="D70" t="s">
        <v>904</v>
      </c>
      <c r="E70" s="193">
        <f>IFERROR(INDEX(BD_KPIs!$F$2:$F$1300,MATCH(YEAR(DATE(YEAR(RPT_MONTH),MONTH(RPT_MONTH)-2,1))*100+MONTH(DATE(YEAR(RPT_MONTH),MONTH(RPT_MONTH)-2,1))&amp;"|DAFWCF|Cumulative",BD_KPIs!$Q$2:$Q$1300,0)),"")</f>
        <v>0</v>
      </c>
      <c r="F70" s="193">
        <f>IFERROR(INDEX(BD_KPIs!$G$2:$G$1300,MATCH(YEAR(DATE(YEAR(RPT_MONTH),MONTH(RPT_MONTH)-2,1))*100+MONTH(DATE(YEAR(RPT_MONTH),MONTH(RPT_MONTH)-2,1))&amp;"|DAFWCF|Cumulative",BD_KPIs!$Q$2:$Q$1300,0)),"")</f>
        <v>0</v>
      </c>
      <c r="G70" s="193" t="str">
        <f>IF(ISNUMBER(E70),IF(F70="","No target",IF(IFERROR(INDEX(BD_KPIs!$I$2:$I$1300,MATCH(YEAR(DATE(YEAR(RPT_MONTH),MONTH(RPT_MONTH)-2,1))*100+MONTH(DATE(YEAR(RPT_MONTH),MONTH(RPT_MONTH)-2,1))&amp;"|DAFWCF|Cumulative",BD_KPIs!$Q$2:$Q$1300,0)),"")="Sí","On target","Off target")),"No data")</f>
        <v>On target</v>
      </c>
      <c r="H70" s="193" t="str">
        <f>INDEX(_TARGETS!$D$2:$D$17,MATCH("DAFWCF",_TARGETS!$A$2:$A$17,0))</f>
        <v>casos / 10^6 HH</v>
      </c>
      <c r="I70" s="193" t="str">
        <f>INDEX(_TARGETS!$K$2:$K$17,MATCH("DAFWCF",_TARGETS!$A$2:$A$17,0))</f>
        <v>OPS (carga manual en Datos)</v>
      </c>
      <c r="J70" s="258">
        <f t="shared" si="2"/>
        <v>46296</v>
      </c>
    </row>
    <row r="71" spans="1:10" ht="13.5" customHeight="1" x14ac:dyDescent="0.3">
      <c r="A71" t="s">
        <v>905</v>
      </c>
      <c r="B71" s="193" t="str">
        <f>YEAR(DATE(YEAR(RPT_MONTH),MONTH(RPT_MONTH)-1,1))&amp;"-"&amp;RIGHT("0"&amp;MONTH(DATE(YEAR(RPT_MONTH),MONTH(RPT_MONTH)-1,1)),2)</f>
        <v>2026-09</v>
      </c>
      <c r="C71" s="258">
        <f>DATE(YEAR(RPT_MONTH),MONTH(RPT_MONTH)-1,1)</f>
        <v>46266</v>
      </c>
      <c r="D71" t="s">
        <v>904</v>
      </c>
      <c r="E71" s="193">
        <f>IFERROR(INDEX(BD_KPIs!$F$2:$F$1300,MATCH(YEAR(DATE(YEAR(RPT_MONTH),MONTH(RPT_MONTH)-1,1))*100+MONTH(DATE(YEAR(RPT_MONTH),MONTH(RPT_MONTH)-1,1))&amp;"|DAFWCF|Cumulative",BD_KPIs!$Q$2:$Q$1300,0)),"")</f>
        <v>0</v>
      </c>
      <c r="F71" s="250">
        <f>IFERROR(INDEX(BD_KPIs!$G$2:$G$1300,MATCH(YEAR(DATE(YEAR(RPT_MONTH),MONTH(RPT_MONTH)-1,1))*100+MONTH(DATE(YEAR(RPT_MONTH),MONTH(RPT_MONTH)-1,1))&amp;"|DAFWCF|Cumulative",BD_KPIs!$Q$2:$Q$1300,0)),"")</f>
        <v>0</v>
      </c>
      <c r="G71" s="193" t="str">
        <f>IF(ISNUMBER(E71),IF(F71="","No target",IF(IFERROR(INDEX(BD_KPIs!$I$2:$I$1300,MATCH(YEAR(DATE(YEAR(RPT_MONTH),MONTH(RPT_MONTH)-1,1))*100+MONTH(DATE(YEAR(RPT_MONTH),MONTH(RPT_MONTH)-1,1))&amp;"|DAFWCF|Cumulative",BD_KPIs!$Q$2:$Q$1300,0)),"")="Sí","On target","Off target")),"No data")</f>
        <v>On target</v>
      </c>
      <c r="H71" s="193" t="str">
        <f>INDEX(_TARGETS!$D$2:$D$17,MATCH("DAFWCF",_TARGETS!$A$2:$A$17,0))</f>
        <v>casos / 10^6 HH</v>
      </c>
      <c r="I71" s="193" t="str">
        <f>INDEX(_TARGETS!$K$2:$K$17,MATCH("DAFWCF",_TARGETS!$A$2:$A$17,0))</f>
        <v>OPS (carga manual en Datos)</v>
      </c>
      <c r="J71" s="258">
        <f t="shared" si="2"/>
        <v>46296</v>
      </c>
    </row>
    <row r="72" spans="1:10" ht="13.5" customHeight="1" x14ac:dyDescent="0.3">
      <c r="A72" t="s">
        <v>905</v>
      </c>
      <c r="B72" s="193" t="str">
        <f>YEAR(DATE(YEAR(RPT_MONTH),MONTH(RPT_MONTH)-0,1))&amp;"-"&amp;RIGHT("0"&amp;MONTH(DATE(YEAR(RPT_MONTH),MONTH(RPT_MONTH)-0,1)),2)</f>
        <v>2026-10</v>
      </c>
      <c r="C72" s="258">
        <f>DATE(YEAR(RPT_MONTH),MONTH(RPT_MONTH)-0,1)</f>
        <v>46296</v>
      </c>
      <c r="D72" t="s">
        <v>904</v>
      </c>
      <c r="E72" s="193" t="str">
        <f>IFERROR(INDEX(BD_KPIs!$F$2:$F$1300,MATCH(YEAR(DATE(YEAR(RPT_MONTH),MONTH(RPT_MONTH)-0,1))*100+MONTH(DATE(YEAR(RPT_MONTH),MONTH(RPT_MONTH)-0,1))&amp;"|DAFWCF|Cumulative",BD_KPIs!$Q$2:$Q$1300,0)),"")</f>
        <v/>
      </c>
      <c r="F72" s="250">
        <f>IFERROR(INDEX(BD_KPIs!$G$2:$G$1300,MATCH(YEAR(DATE(YEAR(RPT_MONTH),MONTH(RPT_MONTH)-0,1))*100+MONTH(DATE(YEAR(RPT_MONTH),MONTH(RPT_MONTH)-0,1))&amp;"|DAFWCF|Cumulative",BD_KPIs!$Q$2:$Q$1300,0)),"")</f>
        <v>0</v>
      </c>
      <c r="G72" s="193" t="str">
        <f>IF(ISNUMBER(E72),IF(F72="","No target",IF(IFERROR(INDEX(BD_KPIs!$I$2:$I$1300,MATCH(YEAR(DATE(YEAR(RPT_MONTH),MONTH(RPT_MONTH)-0,1))*100+MONTH(DATE(YEAR(RPT_MONTH),MONTH(RPT_MONTH)-0,1))&amp;"|DAFWCF|Cumulative",BD_KPIs!$Q$2:$Q$1300,0)),"")="Sí","On target","Off target")),"No data")</f>
        <v>No data</v>
      </c>
      <c r="H72" s="193" t="str">
        <f>INDEX(_TARGETS!$D$2:$D$17,MATCH("DAFWCF",_TARGETS!$A$2:$A$17,0))</f>
        <v>casos / 10^6 HH</v>
      </c>
      <c r="I72" s="193" t="str">
        <f>INDEX(_TARGETS!$K$2:$K$17,MATCH("DAFWCF",_TARGETS!$A$2:$A$17,0))</f>
        <v>OPS (carga manual en Datos)</v>
      </c>
      <c r="J72" s="258">
        <f t="shared" si="2"/>
        <v>46296</v>
      </c>
    </row>
    <row r="73" spans="1:10" ht="13.5" customHeight="1" x14ac:dyDescent="0.3">
      <c r="A73" t="s">
        <v>906</v>
      </c>
      <c r="B73" s="193" t="str">
        <f>YEAR(DATE(YEAR(RPT_MONTH),MONTH(RPT_MONTH)-11,1))&amp;"-"&amp;RIGHT("0"&amp;MONTH(DATE(YEAR(RPT_MONTH),MONTH(RPT_MONTH)-11,1)),2)</f>
        <v>2025-11</v>
      </c>
      <c r="C73" s="258">
        <f>DATE(YEAR(RPT_MONTH),MONTH(RPT_MONTH)-11,1)</f>
        <v>45962</v>
      </c>
      <c r="D73" t="s">
        <v>68</v>
      </c>
      <c r="E73" s="193" t="str">
        <f>IFERROR(INDEX(BD_KPIs!$F$2:$F$1300,MATCH(YEAR(DATE(YEAR(RPT_MONTH),MONTH(RPT_MONTH)-11,1))*100+MONTH(DATE(YEAR(RPT_MONTH),MONTH(RPT_MONTH)-11,1))&amp;"|TRICF|Monthly",BD_KPIs!$Q$2:$Q$1300,0)),"")</f>
        <v/>
      </c>
      <c r="F73" s="193" t="str">
        <f>IFERROR(INDEX(BD_KPIs!$G$2:$G$1300,MATCH(YEAR(DATE(YEAR(RPT_MONTH),MONTH(RPT_MONTH)-11,1))*100+MONTH(DATE(YEAR(RPT_MONTH),MONTH(RPT_MONTH)-11,1))&amp;"|TRICF|Monthly",BD_KPIs!$Q$2:$Q$1300,0)),"")</f>
        <v/>
      </c>
      <c r="G73" s="193" t="str">
        <f>IF(ISNUMBER(E73),IF(F73="","No target",IF(IFERROR(INDEX(BD_KPIs!$I$2:$I$1300,MATCH(YEAR(DATE(YEAR(RPT_MONTH),MONTH(RPT_MONTH)-11,1))*100+MONTH(DATE(YEAR(RPT_MONTH),MONTH(RPT_MONTH)-11,1))&amp;"|TRICF|Monthly",BD_KPIs!$Q$2:$Q$1300,0)),"")="Sí","On target","Off target")),"No data")</f>
        <v>No data</v>
      </c>
      <c r="H73" s="193" t="str">
        <f>INDEX(_TARGETS!$D$2:$D$17,MATCH("TRICF",_TARGETS!$A$2:$A$17,0))</f>
        <v>casos / 10^6 HH</v>
      </c>
      <c r="I73" s="193" t="str">
        <f>INDEX(_TARGETS!$K$2:$K$17,MATCH("TRICF",_TARGETS!$A$2:$A$17,0))</f>
        <v>OPS (carga manual en Datos)</v>
      </c>
      <c r="J73" s="258">
        <f t="shared" si="2"/>
        <v>46296</v>
      </c>
    </row>
    <row r="74" spans="1:10" ht="13.5" customHeight="1" x14ac:dyDescent="0.3">
      <c r="A74" t="s">
        <v>906</v>
      </c>
      <c r="B74" s="193" t="str">
        <f>YEAR(DATE(YEAR(RPT_MONTH),MONTH(RPT_MONTH)-10,1))&amp;"-"&amp;RIGHT("0"&amp;MONTH(DATE(YEAR(RPT_MONTH),MONTH(RPT_MONTH)-10,1)),2)</f>
        <v>2025-12</v>
      </c>
      <c r="C74" s="258">
        <f>DATE(YEAR(RPT_MONTH),MONTH(RPT_MONTH)-10,1)</f>
        <v>45992</v>
      </c>
      <c r="D74" t="s">
        <v>68</v>
      </c>
      <c r="E74" s="193" t="str">
        <f>IFERROR(INDEX(BD_KPIs!$F$2:$F$1300,MATCH(YEAR(DATE(YEAR(RPT_MONTH),MONTH(RPT_MONTH)-10,1))*100+MONTH(DATE(YEAR(RPT_MONTH),MONTH(RPT_MONTH)-10,1))&amp;"|TRICF|Monthly",BD_KPIs!$Q$2:$Q$1300,0)),"")</f>
        <v/>
      </c>
      <c r="F74" s="193" t="str">
        <f>IFERROR(INDEX(BD_KPIs!$G$2:$G$1300,MATCH(YEAR(DATE(YEAR(RPT_MONTH),MONTH(RPT_MONTH)-10,1))*100+MONTH(DATE(YEAR(RPT_MONTH),MONTH(RPT_MONTH)-10,1))&amp;"|TRICF|Monthly",BD_KPIs!$Q$2:$Q$1300,0)),"")</f>
        <v/>
      </c>
      <c r="G74" s="193" t="str">
        <f>IF(ISNUMBER(E74),IF(F74="","No target",IF(IFERROR(INDEX(BD_KPIs!$I$2:$I$1300,MATCH(YEAR(DATE(YEAR(RPT_MONTH),MONTH(RPT_MONTH)-10,1))*100+MONTH(DATE(YEAR(RPT_MONTH),MONTH(RPT_MONTH)-10,1))&amp;"|TRICF|Monthly",BD_KPIs!$Q$2:$Q$1300,0)),"")="Sí","On target","Off target")),"No data")</f>
        <v>No data</v>
      </c>
      <c r="H74" s="193" t="str">
        <f>INDEX(_TARGETS!$D$2:$D$17,MATCH("TRICF",_TARGETS!$A$2:$A$17,0))</f>
        <v>casos / 10^6 HH</v>
      </c>
      <c r="I74" s="193" t="str">
        <f>INDEX(_TARGETS!$K$2:$K$17,MATCH("TRICF",_TARGETS!$A$2:$A$17,0))</f>
        <v>OPS (carga manual en Datos)</v>
      </c>
      <c r="J74" s="258">
        <f t="shared" si="2"/>
        <v>46296</v>
      </c>
    </row>
    <row r="75" spans="1:10" ht="13.5" customHeight="1" x14ac:dyDescent="0.3">
      <c r="A75" t="s">
        <v>906</v>
      </c>
      <c r="B75" s="193" t="str">
        <f>YEAR(DATE(YEAR(RPT_MONTH),MONTH(RPT_MONTH)-9,1))&amp;"-"&amp;RIGHT("0"&amp;MONTH(DATE(YEAR(RPT_MONTH),MONTH(RPT_MONTH)-9,1)),2)</f>
        <v>2026-01</v>
      </c>
      <c r="C75" s="258">
        <f>DATE(YEAR(RPT_MONTH),MONTH(RPT_MONTH)-9,1)</f>
        <v>46023</v>
      </c>
      <c r="D75" t="s">
        <v>68</v>
      </c>
      <c r="E75" s="193" t="str">
        <f>IFERROR(INDEX(BD_KPIs!$F$2:$F$1300,MATCH(YEAR(DATE(YEAR(RPT_MONTH),MONTH(RPT_MONTH)-9,1))*100+MONTH(DATE(YEAR(RPT_MONTH),MONTH(RPT_MONTH)-9,1))&amp;"|TRICF|Monthly",BD_KPIs!$Q$2:$Q$1300,0)),"")</f>
        <v/>
      </c>
      <c r="F75" s="193" t="str">
        <f>IFERROR(INDEX(BD_KPIs!$G$2:$G$1300,MATCH(YEAR(DATE(YEAR(RPT_MONTH),MONTH(RPT_MONTH)-9,1))*100+MONTH(DATE(YEAR(RPT_MONTH),MONTH(RPT_MONTH)-9,1))&amp;"|TRICF|Monthly",BD_KPIs!$Q$2:$Q$1300,0)),"")</f>
        <v/>
      </c>
      <c r="G75" s="193" t="str">
        <f>IF(ISNUMBER(E75),IF(F75="","No target",IF(IFERROR(INDEX(BD_KPIs!$I$2:$I$1300,MATCH(YEAR(DATE(YEAR(RPT_MONTH),MONTH(RPT_MONTH)-9,1))*100+MONTH(DATE(YEAR(RPT_MONTH),MONTH(RPT_MONTH)-9,1))&amp;"|TRICF|Monthly",BD_KPIs!$Q$2:$Q$1300,0)),"")="Sí","On target","Off target")),"No data")</f>
        <v>No data</v>
      </c>
      <c r="H75" s="193" t="str">
        <f>INDEX(_TARGETS!$D$2:$D$17,MATCH("TRICF",_TARGETS!$A$2:$A$17,0))</f>
        <v>casos / 10^6 HH</v>
      </c>
      <c r="I75" s="193" t="str">
        <f>INDEX(_TARGETS!$K$2:$K$17,MATCH("TRICF",_TARGETS!$A$2:$A$17,0))</f>
        <v>OPS (carga manual en Datos)</v>
      </c>
      <c r="J75" s="258">
        <f t="shared" si="2"/>
        <v>46296</v>
      </c>
    </row>
    <row r="76" spans="1:10" ht="13.5" customHeight="1" x14ac:dyDescent="0.3">
      <c r="A76" t="s">
        <v>906</v>
      </c>
      <c r="B76" s="193" t="str">
        <f>YEAR(DATE(YEAR(RPT_MONTH),MONTH(RPT_MONTH)-8,1))&amp;"-"&amp;RIGHT("0"&amp;MONTH(DATE(YEAR(RPT_MONTH),MONTH(RPT_MONTH)-8,1)),2)</f>
        <v>2026-02</v>
      </c>
      <c r="C76" s="258">
        <f>DATE(YEAR(RPT_MONTH),MONTH(RPT_MONTH)-8,1)</f>
        <v>46054</v>
      </c>
      <c r="D76" t="s">
        <v>68</v>
      </c>
      <c r="E76" s="193" t="str">
        <f>IFERROR(INDEX(BD_KPIs!$F$2:$F$1300,MATCH(YEAR(DATE(YEAR(RPT_MONTH),MONTH(RPT_MONTH)-8,1))*100+MONTH(DATE(YEAR(RPT_MONTH),MONTH(RPT_MONTH)-8,1))&amp;"|TRICF|Monthly",BD_KPIs!$Q$2:$Q$1300,0)),"")</f>
        <v/>
      </c>
      <c r="F76" s="193" t="str">
        <f>IFERROR(INDEX(BD_KPIs!$G$2:$G$1300,MATCH(YEAR(DATE(YEAR(RPT_MONTH),MONTH(RPT_MONTH)-8,1))*100+MONTH(DATE(YEAR(RPT_MONTH),MONTH(RPT_MONTH)-8,1))&amp;"|TRICF|Monthly",BD_KPIs!$Q$2:$Q$1300,0)),"")</f>
        <v/>
      </c>
      <c r="G76" s="193" t="str">
        <f>IF(ISNUMBER(E76),IF(F76="","No target",IF(IFERROR(INDEX(BD_KPIs!$I$2:$I$1300,MATCH(YEAR(DATE(YEAR(RPT_MONTH),MONTH(RPT_MONTH)-8,1))*100+MONTH(DATE(YEAR(RPT_MONTH),MONTH(RPT_MONTH)-8,1))&amp;"|TRICF|Monthly",BD_KPIs!$Q$2:$Q$1300,0)),"")="Sí","On target","Off target")),"No data")</f>
        <v>No data</v>
      </c>
      <c r="H76" s="193" t="str">
        <f>INDEX(_TARGETS!$D$2:$D$17,MATCH("TRICF",_TARGETS!$A$2:$A$17,0))</f>
        <v>casos / 10^6 HH</v>
      </c>
      <c r="I76" s="193" t="str">
        <f>INDEX(_TARGETS!$K$2:$K$17,MATCH("TRICF",_TARGETS!$A$2:$A$17,0))</f>
        <v>OPS (carga manual en Datos)</v>
      </c>
      <c r="J76" s="258">
        <f t="shared" si="2"/>
        <v>46296</v>
      </c>
    </row>
    <row r="77" spans="1:10" ht="13.5" customHeight="1" x14ac:dyDescent="0.3">
      <c r="A77" t="s">
        <v>906</v>
      </c>
      <c r="B77" s="193" t="str">
        <f>YEAR(DATE(YEAR(RPT_MONTH),MONTH(RPT_MONTH)-7,1))&amp;"-"&amp;RIGHT("0"&amp;MONTH(DATE(YEAR(RPT_MONTH),MONTH(RPT_MONTH)-7,1)),2)</f>
        <v>2026-03</v>
      </c>
      <c r="C77" s="258">
        <f>DATE(YEAR(RPT_MONTH),MONTH(RPT_MONTH)-7,1)</f>
        <v>46082</v>
      </c>
      <c r="D77" t="s">
        <v>68</v>
      </c>
      <c r="E77" s="193" t="str">
        <f>IFERROR(INDEX(BD_KPIs!$F$2:$F$1300,MATCH(YEAR(DATE(YEAR(RPT_MONTH),MONTH(RPT_MONTH)-7,1))*100+MONTH(DATE(YEAR(RPT_MONTH),MONTH(RPT_MONTH)-7,1))&amp;"|TRICF|Monthly",BD_KPIs!$Q$2:$Q$1300,0)),"")</f>
        <v/>
      </c>
      <c r="F77" s="193" t="str">
        <f>IFERROR(INDEX(BD_KPIs!$G$2:$G$1300,MATCH(YEAR(DATE(YEAR(RPT_MONTH),MONTH(RPT_MONTH)-7,1))*100+MONTH(DATE(YEAR(RPT_MONTH),MONTH(RPT_MONTH)-7,1))&amp;"|TRICF|Monthly",BD_KPIs!$Q$2:$Q$1300,0)),"")</f>
        <v/>
      </c>
      <c r="G77" s="193" t="str">
        <f>IF(ISNUMBER(E77),IF(F77="","No target",IF(IFERROR(INDEX(BD_KPIs!$I$2:$I$1300,MATCH(YEAR(DATE(YEAR(RPT_MONTH),MONTH(RPT_MONTH)-7,1))*100+MONTH(DATE(YEAR(RPT_MONTH),MONTH(RPT_MONTH)-7,1))&amp;"|TRICF|Monthly",BD_KPIs!$Q$2:$Q$1300,0)),"")="Sí","On target","Off target")),"No data")</f>
        <v>No data</v>
      </c>
      <c r="H77" s="193" t="str">
        <f>INDEX(_TARGETS!$D$2:$D$17,MATCH("TRICF",_TARGETS!$A$2:$A$17,0))</f>
        <v>casos / 10^6 HH</v>
      </c>
      <c r="I77" s="193" t="str">
        <f>INDEX(_TARGETS!$K$2:$K$17,MATCH("TRICF",_TARGETS!$A$2:$A$17,0))</f>
        <v>OPS (carga manual en Datos)</v>
      </c>
      <c r="J77" s="258">
        <f t="shared" si="2"/>
        <v>46296</v>
      </c>
    </row>
    <row r="78" spans="1:10" ht="13.5" customHeight="1" x14ac:dyDescent="0.3">
      <c r="A78" t="s">
        <v>906</v>
      </c>
      <c r="B78" s="193" t="str">
        <f>YEAR(DATE(YEAR(RPT_MONTH),MONTH(RPT_MONTH)-6,1))&amp;"-"&amp;RIGHT("0"&amp;MONTH(DATE(YEAR(RPT_MONTH),MONTH(RPT_MONTH)-6,1)),2)</f>
        <v>2026-04</v>
      </c>
      <c r="C78" s="258">
        <f>DATE(YEAR(RPT_MONTH),MONTH(RPT_MONTH)-6,1)</f>
        <v>46113</v>
      </c>
      <c r="D78" t="s">
        <v>68</v>
      </c>
      <c r="E78" s="193" t="str">
        <f>IFERROR(INDEX(BD_KPIs!$F$2:$F$1300,MATCH(YEAR(DATE(YEAR(RPT_MONTH),MONTH(RPT_MONTH)-6,1))*100+MONTH(DATE(YEAR(RPT_MONTH),MONTH(RPT_MONTH)-6,1))&amp;"|TRICF|Monthly",BD_KPIs!$Q$2:$Q$1300,0)),"")</f>
        <v/>
      </c>
      <c r="F78" s="193" t="str">
        <f>IFERROR(INDEX(BD_KPIs!$G$2:$G$1300,MATCH(YEAR(DATE(YEAR(RPT_MONTH),MONTH(RPT_MONTH)-6,1))*100+MONTH(DATE(YEAR(RPT_MONTH),MONTH(RPT_MONTH)-6,1))&amp;"|TRICF|Monthly",BD_KPIs!$Q$2:$Q$1300,0)),"")</f>
        <v/>
      </c>
      <c r="G78" s="193" t="str">
        <f>IF(ISNUMBER(E78),IF(F78="","No target",IF(IFERROR(INDEX(BD_KPIs!$I$2:$I$1300,MATCH(YEAR(DATE(YEAR(RPT_MONTH),MONTH(RPT_MONTH)-6,1))*100+MONTH(DATE(YEAR(RPT_MONTH),MONTH(RPT_MONTH)-6,1))&amp;"|TRICF|Monthly",BD_KPIs!$Q$2:$Q$1300,0)),"")="Sí","On target","Off target")),"No data")</f>
        <v>No data</v>
      </c>
      <c r="H78" s="193" t="str">
        <f>INDEX(_TARGETS!$D$2:$D$17,MATCH("TRICF",_TARGETS!$A$2:$A$17,0))</f>
        <v>casos / 10^6 HH</v>
      </c>
      <c r="I78" s="193" t="str">
        <f>INDEX(_TARGETS!$K$2:$K$17,MATCH("TRICF",_TARGETS!$A$2:$A$17,0))</f>
        <v>OPS (carga manual en Datos)</v>
      </c>
      <c r="J78" s="258">
        <f t="shared" si="2"/>
        <v>46296</v>
      </c>
    </row>
    <row r="79" spans="1:10" ht="13.5" customHeight="1" x14ac:dyDescent="0.3">
      <c r="A79" t="s">
        <v>906</v>
      </c>
      <c r="B79" s="193" t="str">
        <f>YEAR(DATE(YEAR(RPT_MONTH),MONTH(RPT_MONTH)-5,1))&amp;"-"&amp;RIGHT("0"&amp;MONTH(DATE(YEAR(RPT_MONTH),MONTH(RPT_MONTH)-5,1)),2)</f>
        <v>2026-05</v>
      </c>
      <c r="C79" s="258">
        <f>DATE(YEAR(RPT_MONTH),MONTH(RPT_MONTH)-5,1)</f>
        <v>46143</v>
      </c>
      <c r="D79" t="s">
        <v>68</v>
      </c>
      <c r="E79" s="193" t="str">
        <f>IFERROR(INDEX(BD_KPIs!$F$2:$F$1300,MATCH(YEAR(DATE(YEAR(RPT_MONTH),MONTH(RPT_MONTH)-5,1))*100+MONTH(DATE(YEAR(RPT_MONTH),MONTH(RPT_MONTH)-5,1))&amp;"|TRICF|Monthly",BD_KPIs!$Q$2:$Q$1300,0)),"")</f>
        <v/>
      </c>
      <c r="F79" s="193" t="str">
        <f>IFERROR(INDEX(BD_KPIs!$G$2:$G$1300,MATCH(YEAR(DATE(YEAR(RPT_MONTH),MONTH(RPT_MONTH)-5,1))*100+MONTH(DATE(YEAR(RPT_MONTH),MONTH(RPT_MONTH)-5,1))&amp;"|TRICF|Monthly",BD_KPIs!$Q$2:$Q$1300,0)),"")</f>
        <v/>
      </c>
      <c r="G79" s="193" t="str">
        <f>IF(ISNUMBER(E79),IF(F79="","No target",IF(IFERROR(INDEX(BD_KPIs!$I$2:$I$1300,MATCH(YEAR(DATE(YEAR(RPT_MONTH),MONTH(RPT_MONTH)-5,1))*100+MONTH(DATE(YEAR(RPT_MONTH),MONTH(RPT_MONTH)-5,1))&amp;"|TRICF|Monthly",BD_KPIs!$Q$2:$Q$1300,0)),"")="Sí","On target","Off target")),"No data")</f>
        <v>No data</v>
      </c>
      <c r="H79" s="193" t="str">
        <f>INDEX(_TARGETS!$D$2:$D$17,MATCH("TRICF",_TARGETS!$A$2:$A$17,0))</f>
        <v>casos / 10^6 HH</v>
      </c>
      <c r="I79" s="193" t="str">
        <f>INDEX(_TARGETS!$K$2:$K$17,MATCH("TRICF",_TARGETS!$A$2:$A$17,0))</f>
        <v>OPS (carga manual en Datos)</v>
      </c>
      <c r="J79" s="258">
        <f t="shared" si="2"/>
        <v>46296</v>
      </c>
    </row>
    <row r="80" spans="1:10" ht="13.5" customHeight="1" x14ac:dyDescent="0.3">
      <c r="A80" t="s">
        <v>906</v>
      </c>
      <c r="B80" s="193" t="str">
        <f>YEAR(DATE(YEAR(RPT_MONTH),MONTH(RPT_MONTH)-4,1))&amp;"-"&amp;RIGHT("0"&amp;MONTH(DATE(YEAR(RPT_MONTH),MONTH(RPT_MONTH)-4,1)),2)</f>
        <v>2026-06</v>
      </c>
      <c r="C80" s="258">
        <f>DATE(YEAR(RPT_MONTH),MONTH(RPT_MONTH)-4,1)</f>
        <v>46174</v>
      </c>
      <c r="D80" t="s">
        <v>68</v>
      </c>
      <c r="E80" s="193" t="str">
        <f>IFERROR(INDEX(BD_KPIs!$F$2:$F$1300,MATCH(YEAR(DATE(YEAR(RPT_MONTH),MONTH(RPT_MONTH)-4,1))*100+MONTH(DATE(YEAR(RPT_MONTH),MONTH(RPT_MONTH)-4,1))&amp;"|TRICF|Monthly",BD_KPIs!$Q$2:$Q$1300,0)),"")</f>
        <v/>
      </c>
      <c r="F80" s="193" t="str">
        <f>IFERROR(INDEX(BD_KPIs!$G$2:$G$1300,MATCH(YEAR(DATE(YEAR(RPT_MONTH),MONTH(RPT_MONTH)-4,1))*100+MONTH(DATE(YEAR(RPT_MONTH),MONTH(RPT_MONTH)-4,1))&amp;"|TRICF|Monthly",BD_KPIs!$Q$2:$Q$1300,0)),"")</f>
        <v/>
      </c>
      <c r="G80" s="193" t="str">
        <f>IF(ISNUMBER(E80),IF(F80="","No target",IF(IFERROR(INDEX(BD_KPIs!$I$2:$I$1300,MATCH(YEAR(DATE(YEAR(RPT_MONTH),MONTH(RPT_MONTH)-4,1))*100+MONTH(DATE(YEAR(RPT_MONTH),MONTH(RPT_MONTH)-4,1))&amp;"|TRICF|Monthly",BD_KPIs!$Q$2:$Q$1300,0)),"")="Sí","On target","Off target")),"No data")</f>
        <v>No data</v>
      </c>
      <c r="H80" s="193" t="str">
        <f>INDEX(_TARGETS!$D$2:$D$17,MATCH("TRICF",_TARGETS!$A$2:$A$17,0))</f>
        <v>casos / 10^6 HH</v>
      </c>
      <c r="I80" s="193" t="str">
        <f>INDEX(_TARGETS!$K$2:$K$17,MATCH("TRICF",_TARGETS!$A$2:$A$17,0))</f>
        <v>OPS (carga manual en Datos)</v>
      </c>
      <c r="J80" s="258">
        <f t="shared" si="2"/>
        <v>46296</v>
      </c>
    </row>
    <row r="81" spans="1:10" ht="13.5" customHeight="1" x14ac:dyDescent="0.3">
      <c r="A81" t="s">
        <v>906</v>
      </c>
      <c r="B81" s="193" t="str">
        <f>YEAR(DATE(YEAR(RPT_MONTH),MONTH(RPT_MONTH)-3,1))&amp;"-"&amp;RIGHT("0"&amp;MONTH(DATE(YEAR(RPT_MONTH),MONTH(RPT_MONTH)-3,1)),2)</f>
        <v>2026-07</v>
      </c>
      <c r="C81" s="258">
        <f>DATE(YEAR(RPT_MONTH),MONTH(RPT_MONTH)-3,1)</f>
        <v>46204</v>
      </c>
      <c r="D81" t="s">
        <v>68</v>
      </c>
      <c r="E81" s="193" t="str">
        <f>IFERROR(INDEX(BD_KPIs!$F$2:$F$1300,MATCH(YEAR(DATE(YEAR(RPT_MONTH),MONTH(RPT_MONTH)-3,1))*100+MONTH(DATE(YEAR(RPT_MONTH),MONTH(RPT_MONTH)-3,1))&amp;"|TRICF|Monthly",BD_KPIs!$Q$2:$Q$1300,0)),"")</f>
        <v/>
      </c>
      <c r="F81" s="193" t="str">
        <f>IFERROR(INDEX(BD_KPIs!$G$2:$G$1300,MATCH(YEAR(DATE(YEAR(RPT_MONTH),MONTH(RPT_MONTH)-3,1))*100+MONTH(DATE(YEAR(RPT_MONTH),MONTH(RPT_MONTH)-3,1))&amp;"|TRICF|Monthly",BD_KPIs!$Q$2:$Q$1300,0)),"")</f>
        <v/>
      </c>
      <c r="G81" s="193" t="str">
        <f>IF(ISNUMBER(E81),IF(F81="","No target",IF(IFERROR(INDEX(BD_KPIs!$I$2:$I$1300,MATCH(YEAR(DATE(YEAR(RPT_MONTH),MONTH(RPT_MONTH)-3,1))*100+MONTH(DATE(YEAR(RPT_MONTH),MONTH(RPT_MONTH)-3,1))&amp;"|TRICF|Monthly",BD_KPIs!$Q$2:$Q$1300,0)),"")="Sí","On target","Off target")),"No data")</f>
        <v>No data</v>
      </c>
      <c r="H81" s="193" t="str">
        <f>INDEX(_TARGETS!$D$2:$D$17,MATCH("TRICF",_TARGETS!$A$2:$A$17,0))</f>
        <v>casos / 10^6 HH</v>
      </c>
      <c r="I81" s="193" t="str">
        <f>INDEX(_TARGETS!$K$2:$K$17,MATCH("TRICF",_TARGETS!$A$2:$A$17,0))</f>
        <v>OPS (carga manual en Datos)</v>
      </c>
      <c r="J81" s="258">
        <f t="shared" si="2"/>
        <v>46296</v>
      </c>
    </row>
    <row r="82" spans="1:10" ht="13.5" customHeight="1" x14ac:dyDescent="0.3">
      <c r="A82" t="s">
        <v>906</v>
      </c>
      <c r="B82" s="193" t="str">
        <f>YEAR(DATE(YEAR(RPT_MONTH),MONTH(RPT_MONTH)-2,1))&amp;"-"&amp;RIGHT("0"&amp;MONTH(DATE(YEAR(RPT_MONTH),MONTH(RPT_MONTH)-2,1)),2)</f>
        <v>2026-08</v>
      </c>
      <c r="C82" s="258">
        <f>DATE(YEAR(RPT_MONTH),MONTH(RPT_MONTH)-2,1)</f>
        <v>46235</v>
      </c>
      <c r="D82" t="s">
        <v>68</v>
      </c>
      <c r="E82" s="193">
        <f>IFERROR(INDEX(BD_KPIs!$F$2:$F$1300,MATCH(YEAR(DATE(YEAR(RPT_MONTH),MONTH(RPT_MONTH)-2,1))*100+MONTH(DATE(YEAR(RPT_MONTH),MONTH(RPT_MONTH)-2,1))&amp;"|TRICF|Monthly",BD_KPIs!$Q$2:$Q$1300,0)),"")</f>
        <v>0</v>
      </c>
      <c r="F82" s="193">
        <f>IFERROR(INDEX(BD_KPIs!$G$2:$G$1300,MATCH(YEAR(DATE(YEAR(RPT_MONTH),MONTH(RPT_MONTH)-2,1))*100+MONTH(DATE(YEAR(RPT_MONTH),MONTH(RPT_MONTH)-2,1))&amp;"|TRICF|Monthly",BD_KPIs!$Q$2:$Q$1300,0)),"")</f>
        <v>2.35</v>
      </c>
      <c r="G82" s="193" t="str">
        <f>IF(ISNUMBER(E82),IF(F82="","No target",IF(IFERROR(INDEX(BD_KPIs!$I$2:$I$1300,MATCH(YEAR(DATE(YEAR(RPT_MONTH),MONTH(RPT_MONTH)-2,1))*100+MONTH(DATE(YEAR(RPT_MONTH),MONTH(RPT_MONTH)-2,1))&amp;"|TRICF|Monthly",BD_KPIs!$Q$2:$Q$1300,0)),"")="Sí","On target","Off target")),"No data")</f>
        <v>On target</v>
      </c>
      <c r="H82" s="193" t="str">
        <f>INDEX(_TARGETS!$D$2:$D$17,MATCH("TRICF",_TARGETS!$A$2:$A$17,0))</f>
        <v>casos / 10^6 HH</v>
      </c>
      <c r="I82" s="193" t="str">
        <f>INDEX(_TARGETS!$K$2:$K$17,MATCH("TRICF",_TARGETS!$A$2:$A$17,0))</f>
        <v>OPS (carga manual en Datos)</v>
      </c>
      <c r="J82" s="258">
        <f t="shared" si="2"/>
        <v>46296</v>
      </c>
    </row>
    <row r="83" spans="1:10" ht="13.5" customHeight="1" x14ac:dyDescent="0.3">
      <c r="A83" t="s">
        <v>906</v>
      </c>
      <c r="B83" s="193" t="str">
        <f>YEAR(DATE(YEAR(RPT_MONTH),MONTH(RPT_MONTH)-1,1))&amp;"-"&amp;RIGHT("0"&amp;MONTH(DATE(YEAR(RPT_MONTH),MONTH(RPT_MONTH)-1,1)),2)</f>
        <v>2026-09</v>
      </c>
      <c r="C83" s="258">
        <f>DATE(YEAR(RPT_MONTH),MONTH(RPT_MONTH)-1,1)</f>
        <v>46266</v>
      </c>
      <c r="D83" t="s">
        <v>68</v>
      </c>
      <c r="E83" s="193">
        <f>IFERROR(INDEX(BD_KPIs!$F$2:$F$1300,MATCH(YEAR(DATE(YEAR(RPT_MONTH),MONTH(RPT_MONTH)-1,1))*100+MONTH(DATE(YEAR(RPT_MONTH),MONTH(RPT_MONTH)-1,1))&amp;"|TRICF|Monthly",BD_KPIs!$Q$2:$Q$1300,0)),"")</f>
        <v>0</v>
      </c>
      <c r="F83" s="250">
        <f>IFERROR(INDEX(BD_KPIs!$G$2:$G$1300,MATCH(YEAR(DATE(YEAR(RPT_MONTH),MONTH(RPT_MONTH)-1,1))*100+MONTH(DATE(YEAR(RPT_MONTH),MONTH(RPT_MONTH)-1,1))&amp;"|TRICF|Monthly",BD_KPIs!$Q$2:$Q$1300,0)),"")</f>
        <v>2.35</v>
      </c>
      <c r="G83" s="193" t="str">
        <f>IF(ISNUMBER(E83),IF(F83="","No target",IF(IFERROR(INDEX(BD_KPIs!$I$2:$I$1300,MATCH(YEAR(DATE(YEAR(RPT_MONTH),MONTH(RPT_MONTH)-1,1))*100+MONTH(DATE(YEAR(RPT_MONTH),MONTH(RPT_MONTH)-1,1))&amp;"|TRICF|Monthly",BD_KPIs!$Q$2:$Q$1300,0)),"")="Sí","On target","Off target")),"No data")</f>
        <v>On target</v>
      </c>
      <c r="H83" s="193" t="str">
        <f>INDEX(_TARGETS!$D$2:$D$17,MATCH("TRICF",_TARGETS!$A$2:$A$17,0))</f>
        <v>casos / 10^6 HH</v>
      </c>
      <c r="I83" s="193" t="str">
        <f>INDEX(_TARGETS!$K$2:$K$17,MATCH("TRICF",_TARGETS!$A$2:$A$17,0))</f>
        <v>OPS (carga manual en Datos)</v>
      </c>
      <c r="J83" s="258">
        <f t="shared" si="2"/>
        <v>46296</v>
      </c>
    </row>
    <row r="84" spans="1:10" ht="13.5" customHeight="1" x14ac:dyDescent="0.3">
      <c r="A84" t="s">
        <v>906</v>
      </c>
      <c r="B84" s="193" t="str">
        <f>YEAR(DATE(YEAR(RPT_MONTH),MONTH(RPT_MONTH)-0,1))&amp;"-"&amp;RIGHT("0"&amp;MONTH(DATE(YEAR(RPT_MONTH),MONTH(RPT_MONTH)-0,1)),2)</f>
        <v>2026-10</v>
      </c>
      <c r="C84" s="258">
        <f>DATE(YEAR(RPT_MONTH),MONTH(RPT_MONTH)-0,1)</f>
        <v>46296</v>
      </c>
      <c r="D84" t="s">
        <v>68</v>
      </c>
      <c r="E84" s="193" t="str">
        <f>IFERROR(INDEX(BD_KPIs!$F$2:$F$1300,MATCH(YEAR(DATE(YEAR(RPT_MONTH),MONTH(RPT_MONTH)-0,1))*100+MONTH(DATE(YEAR(RPT_MONTH),MONTH(RPT_MONTH)-0,1))&amp;"|TRICF|Monthly",BD_KPIs!$Q$2:$Q$1300,0)),"")</f>
        <v/>
      </c>
      <c r="F84" s="250">
        <f>IFERROR(INDEX(BD_KPIs!$G$2:$G$1300,MATCH(YEAR(DATE(YEAR(RPT_MONTH),MONTH(RPT_MONTH)-0,1))*100+MONTH(DATE(YEAR(RPT_MONTH),MONTH(RPT_MONTH)-0,1))&amp;"|TRICF|Monthly",BD_KPIs!$Q$2:$Q$1300,0)),"")</f>
        <v>2.35</v>
      </c>
      <c r="G84" s="193" t="str">
        <f>IF(ISNUMBER(E84),IF(F84="","No target",IF(IFERROR(INDEX(BD_KPIs!$I$2:$I$1300,MATCH(YEAR(DATE(YEAR(RPT_MONTH),MONTH(RPT_MONTH)-0,1))*100+MONTH(DATE(YEAR(RPT_MONTH),MONTH(RPT_MONTH)-0,1))&amp;"|TRICF|Monthly",BD_KPIs!$Q$2:$Q$1300,0)),"")="Sí","On target","Off target")),"No data")</f>
        <v>No data</v>
      </c>
      <c r="H84" s="193" t="str">
        <f>INDEX(_TARGETS!$D$2:$D$17,MATCH("TRICF",_TARGETS!$A$2:$A$17,0))</f>
        <v>casos / 10^6 HH</v>
      </c>
      <c r="I84" s="193" t="str">
        <f>INDEX(_TARGETS!$K$2:$K$17,MATCH("TRICF",_TARGETS!$A$2:$A$17,0))</f>
        <v>OPS (carga manual en Datos)</v>
      </c>
      <c r="J84" s="258">
        <f t="shared" si="2"/>
        <v>46296</v>
      </c>
    </row>
    <row r="85" spans="1:10" ht="13.5" customHeight="1" x14ac:dyDescent="0.3">
      <c r="A85" t="s">
        <v>906</v>
      </c>
      <c r="B85" s="193" t="str">
        <f>YEAR(DATE(YEAR(RPT_MONTH),MONTH(RPT_MONTH)-11,1))&amp;"-"&amp;RIGHT("0"&amp;MONTH(DATE(YEAR(RPT_MONTH),MONTH(RPT_MONTH)-11,1)),2)</f>
        <v>2025-11</v>
      </c>
      <c r="C85" s="258">
        <f>DATE(YEAR(RPT_MONTH),MONTH(RPT_MONTH)-11,1)</f>
        <v>45962</v>
      </c>
      <c r="D85" t="s">
        <v>601</v>
      </c>
      <c r="E85" s="193" t="str">
        <f>IFERROR(INDEX(BD_KPIs!$F$2:$F$1300,MATCH(YEAR(DATE(YEAR(RPT_MONTH),MONTH(RPT_MONTH)-11,1))*100+MONTH(DATE(YEAR(RPT_MONTH),MONTH(RPT_MONTH)-11,1))&amp;"|TRICF|YTD",BD_KPIs!$Q$2:$Q$1300,0)),"")</f>
        <v/>
      </c>
      <c r="F85" s="193" t="str">
        <f>IFERROR(INDEX(BD_KPIs!$G$2:$G$1300,MATCH(YEAR(DATE(YEAR(RPT_MONTH),MONTH(RPT_MONTH)-11,1))*100+MONTH(DATE(YEAR(RPT_MONTH),MONTH(RPT_MONTH)-11,1))&amp;"|TRICF|YTD",BD_KPIs!$Q$2:$Q$1300,0)),"")</f>
        <v/>
      </c>
      <c r="G85" s="193" t="str">
        <f>IF(ISNUMBER(E85),IF(F85="","No target",IF(IFERROR(INDEX(BD_KPIs!$I$2:$I$1300,MATCH(YEAR(DATE(YEAR(RPT_MONTH),MONTH(RPT_MONTH)-11,1))*100+MONTH(DATE(YEAR(RPT_MONTH),MONTH(RPT_MONTH)-11,1))&amp;"|TRICF|YTD",BD_KPIs!$Q$2:$Q$1300,0)),"")="Sí","On target","Off target")),"No data")</f>
        <v>No data</v>
      </c>
      <c r="H85" s="193" t="str">
        <f>INDEX(_TARGETS!$D$2:$D$17,MATCH("TRICF",_TARGETS!$A$2:$A$17,0))</f>
        <v>casos / 10^6 HH</v>
      </c>
      <c r="I85" s="193" t="str">
        <f>INDEX(_TARGETS!$K$2:$K$17,MATCH("TRICF",_TARGETS!$A$2:$A$17,0))</f>
        <v>OPS (carga manual en Datos)</v>
      </c>
      <c r="J85" s="258">
        <f t="shared" si="2"/>
        <v>46296</v>
      </c>
    </row>
    <row r="86" spans="1:10" ht="13.5" customHeight="1" x14ac:dyDescent="0.3">
      <c r="A86" t="s">
        <v>906</v>
      </c>
      <c r="B86" s="193" t="str">
        <f>YEAR(DATE(YEAR(RPT_MONTH),MONTH(RPT_MONTH)-10,1))&amp;"-"&amp;RIGHT("0"&amp;MONTH(DATE(YEAR(RPT_MONTH),MONTH(RPT_MONTH)-10,1)),2)</f>
        <v>2025-12</v>
      </c>
      <c r="C86" s="258">
        <f>DATE(YEAR(RPT_MONTH),MONTH(RPT_MONTH)-10,1)</f>
        <v>45992</v>
      </c>
      <c r="D86" t="s">
        <v>601</v>
      </c>
      <c r="E86" s="193" t="str">
        <f>IFERROR(INDEX(BD_KPIs!$F$2:$F$1300,MATCH(YEAR(DATE(YEAR(RPT_MONTH),MONTH(RPT_MONTH)-10,1))*100+MONTH(DATE(YEAR(RPT_MONTH),MONTH(RPT_MONTH)-10,1))&amp;"|TRICF|YTD",BD_KPIs!$Q$2:$Q$1300,0)),"")</f>
        <v/>
      </c>
      <c r="F86" s="193" t="str">
        <f>IFERROR(INDEX(BD_KPIs!$G$2:$G$1300,MATCH(YEAR(DATE(YEAR(RPT_MONTH),MONTH(RPT_MONTH)-10,1))*100+MONTH(DATE(YEAR(RPT_MONTH),MONTH(RPT_MONTH)-10,1))&amp;"|TRICF|YTD",BD_KPIs!$Q$2:$Q$1300,0)),"")</f>
        <v/>
      </c>
      <c r="G86" s="193" t="str">
        <f>IF(ISNUMBER(E86),IF(F86="","No target",IF(IFERROR(INDEX(BD_KPIs!$I$2:$I$1300,MATCH(YEAR(DATE(YEAR(RPT_MONTH),MONTH(RPT_MONTH)-10,1))*100+MONTH(DATE(YEAR(RPT_MONTH),MONTH(RPT_MONTH)-10,1))&amp;"|TRICF|YTD",BD_KPIs!$Q$2:$Q$1300,0)),"")="Sí","On target","Off target")),"No data")</f>
        <v>No data</v>
      </c>
      <c r="H86" s="193" t="str">
        <f>INDEX(_TARGETS!$D$2:$D$17,MATCH("TRICF",_TARGETS!$A$2:$A$17,0))</f>
        <v>casos / 10^6 HH</v>
      </c>
      <c r="I86" s="193" t="str">
        <f>INDEX(_TARGETS!$K$2:$K$17,MATCH("TRICF",_TARGETS!$A$2:$A$17,0))</f>
        <v>OPS (carga manual en Datos)</v>
      </c>
      <c r="J86" s="258">
        <f t="shared" si="2"/>
        <v>46296</v>
      </c>
    </row>
    <row r="87" spans="1:10" ht="13.5" customHeight="1" x14ac:dyDescent="0.3">
      <c r="A87" t="s">
        <v>906</v>
      </c>
      <c r="B87" s="193" t="str">
        <f>YEAR(DATE(YEAR(RPT_MONTH),MONTH(RPT_MONTH)-9,1))&amp;"-"&amp;RIGHT("0"&amp;MONTH(DATE(YEAR(RPT_MONTH),MONTH(RPT_MONTH)-9,1)),2)</f>
        <v>2026-01</v>
      </c>
      <c r="C87" s="258">
        <f>DATE(YEAR(RPT_MONTH),MONTH(RPT_MONTH)-9,1)</f>
        <v>46023</v>
      </c>
      <c r="D87" t="s">
        <v>601</v>
      </c>
      <c r="E87" s="193" t="str">
        <f>IFERROR(INDEX(BD_KPIs!$F$2:$F$1300,MATCH(YEAR(DATE(YEAR(RPT_MONTH),MONTH(RPT_MONTH)-9,1))*100+MONTH(DATE(YEAR(RPT_MONTH),MONTH(RPT_MONTH)-9,1))&amp;"|TRICF|YTD",BD_KPIs!$Q$2:$Q$1300,0)),"")</f>
        <v/>
      </c>
      <c r="F87" s="193" t="str">
        <f>IFERROR(INDEX(BD_KPIs!$G$2:$G$1300,MATCH(YEAR(DATE(YEAR(RPT_MONTH),MONTH(RPT_MONTH)-9,1))*100+MONTH(DATE(YEAR(RPT_MONTH),MONTH(RPT_MONTH)-9,1))&amp;"|TRICF|YTD",BD_KPIs!$Q$2:$Q$1300,0)),"")</f>
        <v/>
      </c>
      <c r="G87" s="193" t="str">
        <f>IF(ISNUMBER(E87),IF(F87="","No target",IF(IFERROR(INDEX(BD_KPIs!$I$2:$I$1300,MATCH(YEAR(DATE(YEAR(RPT_MONTH),MONTH(RPT_MONTH)-9,1))*100+MONTH(DATE(YEAR(RPT_MONTH),MONTH(RPT_MONTH)-9,1))&amp;"|TRICF|YTD",BD_KPIs!$Q$2:$Q$1300,0)),"")="Sí","On target","Off target")),"No data")</f>
        <v>No data</v>
      </c>
      <c r="H87" s="193" t="str">
        <f>INDEX(_TARGETS!$D$2:$D$17,MATCH("TRICF",_TARGETS!$A$2:$A$17,0))</f>
        <v>casos / 10^6 HH</v>
      </c>
      <c r="I87" s="193" t="str">
        <f>INDEX(_TARGETS!$K$2:$K$17,MATCH("TRICF",_TARGETS!$A$2:$A$17,0))</f>
        <v>OPS (carga manual en Datos)</v>
      </c>
      <c r="J87" s="258">
        <f t="shared" si="2"/>
        <v>46296</v>
      </c>
    </row>
    <row r="88" spans="1:10" ht="13.5" customHeight="1" x14ac:dyDescent="0.3">
      <c r="A88" t="s">
        <v>906</v>
      </c>
      <c r="B88" s="193" t="str">
        <f>YEAR(DATE(YEAR(RPT_MONTH),MONTH(RPT_MONTH)-8,1))&amp;"-"&amp;RIGHT("0"&amp;MONTH(DATE(YEAR(RPT_MONTH),MONTH(RPT_MONTH)-8,1)),2)</f>
        <v>2026-02</v>
      </c>
      <c r="C88" s="258">
        <f>DATE(YEAR(RPT_MONTH),MONTH(RPT_MONTH)-8,1)</f>
        <v>46054</v>
      </c>
      <c r="D88" t="s">
        <v>601</v>
      </c>
      <c r="E88" s="193" t="str">
        <f>IFERROR(INDEX(BD_KPIs!$F$2:$F$1300,MATCH(YEAR(DATE(YEAR(RPT_MONTH),MONTH(RPT_MONTH)-8,1))*100+MONTH(DATE(YEAR(RPT_MONTH),MONTH(RPT_MONTH)-8,1))&amp;"|TRICF|YTD",BD_KPIs!$Q$2:$Q$1300,0)),"")</f>
        <v/>
      </c>
      <c r="F88" s="193" t="str">
        <f>IFERROR(INDEX(BD_KPIs!$G$2:$G$1300,MATCH(YEAR(DATE(YEAR(RPT_MONTH),MONTH(RPT_MONTH)-8,1))*100+MONTH(DATE(YEAR(RPT_MONTH),MONTH(RPT_MONTH)-8,1))&amp;"|TRICF|YTD",BD_KPIs!$Q$2:$Q$1300,0)),"")</f>
        <v/>
      </c>
      <c r="G88" s="193" t="str">
        <f>IF(ISNUMBER(E88),IF(F88="","No target",IF(IFERROR(INDEX(BD_KPIs!$I$2:$I$1300,MATCH(YEAR(DATE(YEAR(RPT_MONTH),MONTH(RPT_MONTH)-8,1))*100+MONTH(DATE(YEAR(RPT_MONTH),MONTH(RPT_MONTH)-8,1))&amp;"|TRICF|YTD",BD_KPIs!$Q$2:$Q$1300,0)),"")="Sí","On target","Off target")),"No data")</f>
        <v>No data</v>
      </c>
      <c r="H88" s="193" t="str">
        <f>INDEX(_TARGETS!$D$2:$D$17,MATCH("TRICF",_TARGETS!$A$2:$A$17,0))</f>
        <v>casos / 10^6 HH</v>
      </c>
      <c r="I88" s="193" t="str">
        <f>INDEX(_TARGETS!$K$2:$K$17,MATCH("TRICF",_TARGETS!$A$2:$A$17,0))</f>
        <v>OPS (carga manual en Datos)</v>
      </c>
      <c r="J88" s="258">
        <f t="shared" si="2"/>
        <v>46296</v>
      </c>
    </row>
    <row r="89" spans="1:10" ht="13.5" customHeight="1" x14ac:dyDescent="0.3">
      <c r="A89" t="s">
        <v>906</v>
      </c>
      <c r="B89" s="193" t="str">
        <f>YEAR(DATE(YEAR(RPT_MONTH),MONTH(RPT_MONTH)-7,1))&amp;"-"&amp;RIGHT("0"&amp;MONTH(DATE(YEAR(RPT_MONTH),MONTH(RPT_MONTH)-7,1)),2)</f>
        <v>2026-03</v>
      </c>
      <c r="C89" s="258">
        <f>DATE(YEAR(RPT_MONTH),MONTH(RPT_MONTH)-7,1)</f>
        <v>46082</v>
      </c>
      <c r="D89" t="s">
        <v>601</v>
      </c>
      <c r="E89" s="193" t="str">
        <f>IFERROR(INDEX(BD_KPIs!$F$2:$F$1300,MATCH(YEAR(DATE(YEAR(RPT_MONTH),MONTH(RPT_MONTH)-7,1))*100+MONTH(DATE(YEAR(RPT_MONTH),MONTH(RPT_MONTH)-7,1))&amp;"|TRICF|YTD",BD_KPIs!$Q$2:$Q$1300,0)),"")</f>
        <v/>
      </c>
      <c r="F89" s="193" t="str">
        <f>IFERROR(INDEX(BD_KPIs!$G$2:$G$1300,MATCH(YEAR(DATE(YEAR(RPT_MONTH),MONTH(RPT_MONTH)-7,1))*100+MONTH(DATE(YEAR(RPT_MONTH),MONTH(RPT_MONTH)-7,1))&amp;"|TRICF|YTD",BD_KPIs!$Q$2:$Q$1300,0)),"")</f>
        <v/>
      </c>
      <c r="G89" s="193" t="str">
        <f>IF(ISNUMBER(E89),IF(F89="","No target",IF(IFERROR(INDEX(BD_KPIs!$I$2:$I$1300,MATCH(YEAR(DATE(YEAR(RPT_MONTH),MONTH(RPT_MONTH)-7,1))*100+MONTH(DATE(YEAR(RPT_MONTH),MONTH(RPT_MONTH)-7,1))&amp;"|TRICF|YTD",BD_KPIs!$Q$2:$Q$1300,0)),"")="Sí","On target","Off target")),"No data")</f>
        <v>No data</v>
      </c>
      <c r="H89" s="193" t="str">
        <f>INDEX(_TARGETS!$D$2:$D$17,MATCH("TRICF",_TARGETS!$A$2:$A$17,0))</f>
        <v>casos / 10^6 HH</v>
      </c>
      <c r="I89" s="193" t="str">
        <f>INDEX(_TARGETS!$K$2:$K$17,MATCH("TRICF",_TARGETS!$A$2:$A$17,0))</f>
        <v>OPS (carga manual en Datos)</v>
      </c>
      <c r="J89" s="258">
        <f t="shared" si="2"/>
        <v>46296</v>
      </c>
    </row>
    <row r="90" spans="1:10" ht="13.5" customHeight="1" x14ac:dyDescent="0.3">
      <c r="A90" t="s">
        <v>906</v>
      </c>
      <c r="B90" s="193" t="str">
        <f>YEAR(DATE(YEAR(RPT_MONTH),MONTH(RPT_MONTH)-6,1))&amp;"-"&amp;RIGHT("0"&amp;MONTH(DATE(YEAR(RPT_MONTH),MONTH(RPT_MONTH)-6,1)),2)</f>
        <v>2026-04</v>
      </c>
      <c r="C90" s="258">
        <f>DATE(YEAR(RPT_MONTH),MONTH(RPT_MONTH)-6,1)</f>
        <v>46113</v>
      </c>
      <c r="D90" t="s">
        <v>601</v>
      </c>
      <c r="E90" s="193" t="str">
        <f>IFERROR(INDEX(BD_KPIs!$F$2:$F$1300,MATCH(YEAR(DATE(YEAR(RPT_MONTH),MONTH(RPT_MONTH)-6,1))*100+MONTH(DATE(YEAR(RPT_MONTH),MONTH(RPT_MONTH)-6,1))&amp;"|TRICF|YTD",BD_KPIs!$Q$2:$Q$1300,0)),"")</f>
        <v/>
      </c>
      <c r="F90" s="193" t="str">
        <f>IFERROR(INDEX(BD_KPIs!$G$2:$G$1300,MATCH(YEAR(DATE(YEAR(RPT_MONTH),MONTH(RPT_MONTH)-6,1))*100+MONTH(DATE(YEAR(RPT_MONTH),MONTH(RPT_MONTH)-6,1))&amp;"|TRICF|YTD",BD_KPIs!$Q$2:$Q$1300,0)),"")</f>
        <v/>
      </c>
      <c r="G90" s="193" t="str">
        <f>IF(ISNUMBER(E90),IF(F90="","No target",IF(IFERROR(INDEX(BD_KPIs!$I$2:$I$1300,MATCH(YEAR(DATE(YEAR(RPT_MONTH),MONTH(RPT_MONTH)-6,1))*100+MONTH(DATE(YEAR(RPT_MONTH),MONTH(RPT_MONTH)-6,1))&amp;"|TRICF|YTD",BD_KPIs!$Q$2:$Q$1300,0)),"")="Sí","On target","Off target")),"No data")</f>
        <v>No data</v>
      </c>
      <c r="H90" s="193" t="str">
        <f>INDEX(_TARGETS!$D$2:$D$17,MATCH("TRICF",_TARGETS!$A$2:$A$17,0))</f>
        <v>casos / 10^6 HH</v>
      </c>
      <c r="I90" s="193" t="str">
        <f>INDEX(_TARGETS!$K$2:$K$17,MATCH("TRICF",_TARGETS!$A$2:$A$17,0))</f>
        <v>OPS (carga manual en Datos)</v>
      </c>
      <c r="J90" s="258">
        <f t="shared" si="2"/>
        <v>46296</v>
      </c>
    </row>
    <row r="91" spans="1:10" ht="13.5" customHeight="1" x14ac:dyDescent="0.3">
      <c r="A91" t="s">
        <v>906</v>
      </c>
      <c r="B91" s="193" t="str">
        <f>YEAR(DATE(YEAR(RPT_MONTH),MONTH(RPT_MONTH)-5,1))&amp;"-"&amp;RIGHT("0"&amp;MONTH(DATE(YEAR(RPT_MONTH),MONTH(RPT_MONTH)-5,1)),2)</f>
        <v>2026-05</v>
      </c>
      <c r="C91" s="258">
        <f>DATE(YEAR(RPT_MONTH),MONTH(RPT_MONTH)-5,1)</f>
        <v>46143</v>
      </c>
      <c r="D91" t="s">
        <v>601</v>
      </c>
      <c r="E91" s="193" t="str">
        <f>IFERROR(INDEX(BD_KPIs!$F$2:$F$1300,MATCH(YEAR(DATE(YEAR(RPT_MONTH),MONTH(RPT_MONTH)-5,1))*100+MONTH(DATE(YEAR(RPT_MONTH),MONTH(RPT_MONTH)-5,1))&amp;"|TRICF|YTD",BD_KPIs!$Q$2:$Q$1300,0)),"")</f>
        <v/>
      </c>
      <c r="F91" s="193" t="str">
        <f>IFERROR(INDEX(BD_KPIs!$G$2:$G$1300,MATCH(YEAR(DATE(YEAR(RPT_MONTH),MONTH(RPT_MONTH)-5,1))*100+MONTH(DATE(YEAR(RPT_MONTH),MONTH(RPT_MONTH)-5,1))&amp;"|TRICF|YTD",BD_KPIs!$Q$2:$Q$1300,0)),"")</f>
        <v/>
      </c>
      <c r="G91" s="193" t="str">
        <f>IF(ISNUMBER(E91),IF(F91="","No target",IF(IFERROR(INDEX(BD_KPIs!$I$2:$I$1300,MATCH(YEAR(DATE(YEAR(RPT_MONTH),MONTH(RPT_MONTH)-5,1))*100+MONTH(DATE(YEAR(RPT_MONTH),MONTH(RPT_MONTH)-5,1))&amp;"|TRICF|YTD",BD_KPIs!$Q$2:$Q$1300,0)),"")="Sí","On target","Off target")),"No data")</f>
        <v>No data</v>
      </c>
      <c r="H91" s="193" t="str">
        <f>INDEX(_TARGETS!$D$2:$D$17,MATCH("TRICF",_TARGETS!$A$2:$A$17,0))</f>
        <v>casos / 10^6 HH</v>
      </c>
      <c r="I91" s="193" t="str">
        <f>INDEX(_TARGETS!$K$2:$K$17,MATCH("TRICF",_TARGETS!$A$2:$A$17,0))</f>
        <v>OPS (carga manual en Datos)</v>
      </c>
      <c r="J91" s="258">
        <f t="shared" si="2"/>
        <v>46296</v>
      </c>
    </row>
    <row r="92" spans="1:10" ht="13.5" customHeight="1" x14ac:dyDescent="0.3">
      <c r="A92" t="s">
        <v>906</v>
      </c>
      <c r="B92" s="193" t="str">
        <f>YEAR(DATE(YEAR(RPT_MONTH),MONTH(RPT_MONTH)-4,1))&amp;"-"&amp;RIGHT("0"&amp;MONTH(DATE(YEAR(RPT_MONTH),MONTH(RPT_MONTH)-4,1)),2)</f>
        <v>2026-06</v>
      </c>
      <c r="C92" s="258">
        <f>DATE(YEAR(RPT_MONTH),MONTH(RPT_MONTH)-4,1)</f>
        <v>46174</v>
      </c>
      <c r="D92" t="s">
        <v>601</v>
      </c>
      <c r="E92" s="193" t="str">
        <f>IFERROR(INDEX(BD_KPIs!$F$2:$F$1300,MATCH(YEAR(DATE(YEAR(RPT_MONTH),MONTH(RPT_MONTH)-4,1))*100+MONTH(DATE(YEAR(RPT_MONTH),MONTH(RPT_MONTH)-4,1))&amp;"|TRICF|YTD",BD_KPIs!$Q$2:$Q$1300,0)),"")</f>
        <v/>
      </c>
      <c r="F92" s="193" t="str">
        <f>IFERROR(INDEX(BD_KPIs!$G$2:$G$1300,MATCH(YEAR(DATE(YEAR(RPT_MONTH),MONTH(RPT_MONTH)-4,1))*100+MONTH(DATE(YEAR(RPT_MONTH),MONTH(RPT_MONTH)-4,1))&amp;"|TRICF|YTD",BD_KPIs!$Q$2:$Q$1300,0)),"")</f>
        <v/>
      </c>
      <c r="G92" s="193" t="str">
        <f>IF(ISNUMBER(E92),IF(F92="","No target",IF(IFERROR(INDEX(BD_KPIs!$I$2:$I$1300,MATCH(YEAR(DATE(YEAR(RPT_MONTH),MONTH(RPT_MONTH)-4,1))*100+MONTH(DATE(YEAR(RPT_MONTH),MONTH(RPT_MONTH)-4,1))&amp;"|TRICF|YTD",BD_KPIs!$Q$2:$Q$1300,0)),"")="Sí","On target","Off target")),"No data")</f>
        <v>No data</v>
      </c>
      <c r="H92" s="193" t="str">
        <f>INDEX(_TARGETS!$D$2:$D$17,MATCH("TRICF",_TARGETS!$A$2:$A$17,0))</f>
        <v>casos / 10^6 HH</v>
      </c>
      <c r="I92" s="193" t="str">
        <f>INDEX(_TARGETS!$K$2:$K$17,MATCH("TRICF",_TARGETS!$A$2:$A$17,0))</f>
        <v>OPS (carga manual en Datos)</v>
      </c>
      <c r="J92" s="258">
        <f t="shared" si="2"/>
        <v>46296</v>
      </c>
    </row>
    <row r="93" spans="1:10" ht="13.5" customHeight="1" x14ac:dyDescent="0.3">
      <c r="A93" t="s">
        <v>906</v>
      </c>
      <c r="B93" s="193" t="str">
        <f>YEAR(DATE(YEAR(RPT_MONTH),MONTH(RPT_MONTH)-3,1))&amp;"-"&amp;RIGHT("0"&amp;MONTH(DATE(YEAR(RPT_MONTH),MONTH(RPT_MONTH)-3,1)),2)</f>
        <v>2026-07</v>
      </c>
      <c r="C93" s="258">
        <f>DATE(YEAR(RPT_MONTH),MONTH(RPT_MONTH)-3,1)</f>
        <v>46204</v>
      </c>
      <c r="D93" t="s">
        <v>601</v>
      </c>
      <c r="E93" s="193" t="str">
        <f>IFERROR(INDEX(BD_KPIs!$F$2:$F$1300,MATCH(YEAR(DATE(YEAR(RPT_MONTH),MONTH(RPT_MONTH)-3,1))*100+MONTH(DATE(YEAR(RPT_MONTH),MONTH(RPT_MONTH)-3,1))&amp;"|TRICF|YTD",BD_KPIs!$Q$2:$Q$1300,0)),"")</f>
        <v/>
      </c>
      <c r="F93" s="193" t="str">
        <f>IFERROR(INDEX(BD_KPIs!$G$2:$G$1300,MATCH(YEAR(DATE(YEAR(RPT_MONTH),MONTH(RPT_MONTH)-3,1))*100+MONTH(DATE(YEAR(RPT_MONTH),MONTH(RPT_MONTH)-3,1))&amp;"|TRICF|YTD",BD_KPIs!$Q$2:$Q$1300,0)),"")</f>
        <v/>
      </c>
      <c r="G93" s="193" t="str">
        <f>IF(ISNUMBER(E93),IF(F93="","No target",IF(IFERROR(INDEX(BD_KPIs!$I$2:$I$1300,MATCH(YEAR(DATE(YEAR(RPT_MONTH),MONTH(RPT_MONTH)-3,1))*100+MONTH(DATE(YEAR(RPT_MONTH),MONTH(RPT_MONTH)-3,1))&amp;"|TRICF|YTD",BD_KPIs!$Q$2:$Q$1300,0)),"")="Sí","On target","Off target")),"No data")</f>
        <v>No data</v>
      </c>
      <c r="H93" s="193" t="str">
        <f>INDEX(_TARGETS!$D$2:$D$17,MATCH("TRICF",_TARGETS!$A$2:$A$17,0))</f>
        <v>casos / 10^6 HH</v>
      </c>
      <c r="I93" s="193" t="str">
        <f>INDEX(_TARGETS!$K$2:$K$17,MATCH("TRICF",_TARGETS!$A$2:$A$17,0))</f>
        <v>OPS (carga manual en Datos)</v>
      </c>
      <c r="J93" s="258">
        <f t="shared" si="2"/>
        <v>46296</v>
      </c>
    </row>
    <row r="94" spans="1:10" ht="13.5" customHeight="1" x14ac:dyDescent="0.3">
      <c r="A94" t="s">
        <v>906</v>
      </c>
      <c r="B94" s="193" t="str">
        <f>YEAR(DATE(YEAR(RPT_MONTH),MONTH(RPT_MONTH)-2,1))&amp;"-"&amp;RIGHT("0"&amp;MONTH(DATE(YEAR(RPT_MONTH),MONTH(RPT_MONTH)-2,1)),2)</f>
        <v>2026-08</v>
      </c>
      <c r="C94" s="258">
        <f>DATE(YEAR(RPT_MONTH),MONTH(RPT_MONTH)-2,1)</f>
        <v>46235</v>
      </c>
      <c r="D94" t="s">
        <v>601</v>
      </c>
      <c r="E94" s="193">
        <f>IFERROR(INDEX(BD_KPIs!$F$2:$F$1300,MATCH(YEAR(DATE(YEAR(RPT_MONTH),MONTH(RPT_MONTH)-2,1))*100+MONTH(DATE(YEAR(RPT_MONTH),MONTH(RPT_MONTH)-2,1))&amp;"|TRICF|YTD",BD_KPIs!$Q$2:$Q$1300,0)),"")</f>
        <v>0</v>
      </c>
      <c r="F94" s="193">
        <f>IFERROR(INDEX(BD_KPIs!$G$2:$G$1300,MATCH(YEAR(DATE(YEAR(RPT_MONTH),MONTH(RPT_MONTH)-2,1))*100+MONTH(DATE(YEAR(RPT_MONTH),MONTH(RPT_MONTH)-2,1))&amp;"|TRICF|YTD",BD_KPIs!$Q$2:$Q$1300,0)),"")</f>
        <v>2.35</v>
      </c>
      <c r="G94" s="193" t="str">
        <f>IF(ISNUMBER(E94),IF(F94="","No target",IF(IFERROR(INDEX(BD_KPIs!$I$2:$I$1300,MATCH(YEAR(DATE(YEAR(RPT_MONTH),MONTH(RPT_MONTH)-2,1))*100+MONTH(DATE(YEAR(RPT_MONTH),MONTH(RPT_MONTH)-2,1))&amp;"|TRICF|YTD",BD_KPIs!$Q$2:$Q$1300,0)),"")="Sí","On target","Off target")),"No data")</f>
        <v>On target</v>
      </c>
      <c r="H94" s="193" t="str">
        <f>INDEX(_TARGETS!$D$2:$D$17,MATCH("TRICF",_TARGETS!$A$2:$A$17,0))</f>
        <v>casos / 10^6 HH</v>
      </c>
      <c r="I94" s="193" t="str">
        <f>INDEX(_TARGETS!$K$2:$K$17,MATCH("TRICF",_TARGETS!$A$2:$A$17,0))</f>
        <v>OPS (carga manual en Datos)</v>
      </c>
      <c r="J94" s="258">
        <f t="shared" si="2"/>
        <v>46296</v>
      </c>
    </row>
    <row r="95" spans="1:10" ht="13.5" customHeight="1" x14ac:dyDescent="0.3">
      <c r="A95" t="s">
        <v>906</v>
      </c>
      <c r="B95" s="193" t="str">
        <f>YEAR(DATE(YEAR(RPT_MONTH),MONTH(RPT_MONTH)-1,1))&amp;"-"&amp;RIGHT("0"&amp;MONTH(DATE(YEAR(RPT_MONTH),MONTH(RPT_MONTH)-1,1)),2)</f>
        <v>2026-09</v>
      </c>
      <c r="C95" s="258">
        <f>DATE(YEAR(RPT_MONTH),MONTH(RPT_MONTH)-1,1)</f>
        <v>46266</v>
      </c>
      <c r="D95" t="s">
        <v>601</v>
      </c>
      <c r="E95" s="193">
        <f>IFERROR(INDEX(BD_KPIs!$F$2:$F$1300,MATCH(YEAR(DATE(YEAR(RPT_MONTH),MONTH(RPT_MONTH)-1,1))*100+MONTH(DATE(YEAR(RPT_MONTH),MONTH(RPT_MONTH)-1,1))&amp;"|TRICF|YTD",BD_KPIs!$Q$2:$Q$1300,0)),"")</f>
        <v>0</v>
      </c>
      <c r="F95" s="250">
        <f>IFERROR(INDEX(BD_KPIs!$G$2:$G$1300,MATCH(YEAR(DATE(YEAR(RPT_MONTH),MONTH(RPT_MONTH)-1,1))*100+MONTH(DATE(YEAR(RPT_MONTH),MONTH(RPT_MONTH)-1,1))&amp;"|TRICF|YTD",BD_KPIs!$Q$2:$Q$1300,0)),"")</f>
        <v>2.35</v>
      </c>
      <c r="G95" s="193" t="str">
        <f>IF(ISNUMBER(E95),IF(F95="","No target",IF(IFERROR(INDEX(BD_KPIs!$I$2:$I$1300,MATCH(YEAR(DATE(YEAR(RPT_MONTH),MONTH(RPT_MONTH)-1,1))*100+MONTH(DATE(YEAR(RPT_MONTH),MONTH(RPT_MONTH)-1,1))&amp;"|TRICF|YTD",BD_KPIs!$Q$2:$Q$1300,0)),"")="Sí","On target","Off target")),"No data")</f>
        <v>On target</v>
      </c>
      <c r="H95" s="193" t="str">
        <f>INDEX(_TARGETS!$D$2:$D$17,MATCH("TRICF",_TARGETS!$A$2:$A$17,0))</f>
        <v>casos / 10^6 HH</v>
      </c>
      <c r="I95" s="193" t="str">
        <f>INDEX(_TARGETS!$K$2:$K$17,MATCH("TRICF",_TARGETS!$A$2:$A$17,0))</f>
        <v>OPS (carga manual en Datos)</v>
      </c>
      <c r="J95" s="258">
        <f t="shared" si="2"/>
        <v>46296</v>
      </c>
    </row>
    <row r="96" spans="1:10" ht="13.5" customHeight="1" x14ac:dyDescent="0.3">
      <c r="A96" t="s">
        <v>906</v>
      </c>
      <c r="B96" s="193" t="str">
        <f>YEAR(DATE(YEAR(RPT_MONTH),MONTH(RPT_MONTH)-0,1))&amp;"-"&amp;RIGHT("0"&amp;MONTH(DATE(YEAR(RPT_MONTH),MONTH(RPT_MONTH)-0,1)),2)</f>
        <v>2026-10</v>
      </c>
      <c r="C96" s="258">
        <f>DATE(YEAR(RPT_MONTH),MONTH(RPT_MONTH)-0,1)</f>
        <v>46296</v>
      </c>
      <c r="D96" t="s">
        <v>601</v>
      </c>
      <c r="E96" s="193" t="str">
        <f>IFERROR(INDEX(BD_KPIs!$F$2:$F$1300,MATCH(YEAR(DATE(YEAR(RPT_MONTH),MONTH(RPT_MONTH)-0,1))*100+MONTH(DATE(YEAR(RPT_MONTH),MONTH(RPT_MONTH)-0,1))&amp;"|TRICF|YTD",BD_KPIs!$Q$2:$Q$1300,0)),"")</f>
        <v/>
      </c>
      <c r="F96" s="250">
        <f>IFERROR(INDEX(BD_KPIs!$G$2:$G$1300,MATCH(YEAR(DATE(YEAR(RPT_MONTH),MONTH(RPT_MONTH)-0,1))*100+MONTH(DATE(YEAR(RPT_MONTH),MONTH(RPT_MONTH)-0,1))&amp;"|TRICF|YTD",BD_KPIs!$Q$2:$Q$1300,0)),"")</f>
        <v>2.35</v>
      </c>
      <c r="G96" s="193" t="str">
        <f>IF(ISNUMBER(E96),IF(F96="","No target",IF(IFERROR(INDEX(BD_KPIs!$I$2:$I$1300,MATCH(YEAR(DATE(YEAR(RPT_MONTH),MONTH(RPT_MONTH)-0,1))*100+MONTH(DATE(YEAR(RPT_MONTH),MONTH(RPT_MONTH)-0,1))&amp;"|TRICF|YTD",BD_KPIs!$Q$2:$Q$1300,0)),"")="Sí","On target","Off target")),"No data")</f>
        <v>No data</v>
      </c>
      <c r="H96" s="193" t="str">
        <f>INDEX(_TARGETS!$D$2:$D$17,MATCH("TRICF",_TARGETS!$A$2:$A$17,0))</f>
        <v>casos / 10^6 HH</v>
      </c>
      <c r="I96" s="193" t="str">
        <f>INDEX(_TARGETS!$K$2:$K$17,MATCH("TRICF",_TARGETS!$A$2:$A$17,0))</f>
        <v>OPS (carga manual en Datos)</v>
      </c>
      <c r="J96" s="258">
        <f t="shared" si="2"/>
        <v>46296</v>
      </c>
    </row>
    <row r="97" spans="1:10" ht="13.5" customHeight="1" x14ac:dyDescent="0.3">
      <c r="A97" t="s">
        <v>906</v>
      </c>
      <c r="B97" s="193" t="str">
        <f>YEAR(DATE(YEAR(RPT_MONTH),MONTH(RPT_MONTH)-11,1))&amp;"-"&amp;RIGHT("0"&amp;MONTH(DATE(YEAR(RPT_MONTH),MONTH(RPT_MONTH)-11,1)),2)</f>
        <v>2025-11</v>
      </c>
      <c r="C97" s="258">
        <f>DATE(YEAR(RPT_MONTH),MONTH(RPT_MONTH)-11,1)</f>
        <v>45962</v>
      </c>
      <c r="D97" t="s">
        <v>904</v>
      </c>
      <c r="E97" s="193" t="str">
        <f>IFERROR(INDEX(BD_KPIs!$F$2:$F$1300,MATCH(YEAR(DATE(YEAR(RPT_MONTH),MONTH(RPT_MONTH)-11,1))*100+MONTH(DATE(YEAR(RPT_MONTH),MONTH(RPT_MONTH)-11,1))&amp;"|TRICF|Cumulative",BD_KPIs!$Q$2:$Q$1300,0)),"")</f>
        <v/>
      </c>
      <c r="F97" s="193" t="str">
        <f>IFERROR(INDEX(BD_KPIs!$G$2:$G$1300,MATCH(YEAR(DATE(YEAR(RPT_MONTH),MONTH(RPT_MONTH)-11,1))*100+MONTH(DATE(YEAR(RPT_MONTH),MONTH(RPT_MONTH)-11,1))&amp;"|TRICF|Cumulative",BD_KPIs!$Q$2:$Q$1300,0)),"")</f>
        <v/>
      </c>
      <c r="G97" s="193" t="str">
        <f>IF(ISNUMBER(E97),IF(F97="","No target",IF(IFERROR(INDEX(BD_KPIs!$I$2:$I$1300,MATCH(YEAR(DATE(YEAR(RPT_MONTH),MONTH(RPT_MONTH)-11,1))*100+MONTH(DATE(YEAR(RPT_MONTH),MONTH(RPT_MONTH)-11,1))&amp;"|TRICF|Cumulative",BD_KPIs!$Q$2:$Q$1300,0)),"")="Sí","On target","Off target")),"No data")</f>
        <v>No data</v>
      </c>
      <c r="H97" s="193" t="str">
        <f>INDEX(_TARGETS!$D$2:$D$17,MATCH("TRICF",_TARGETS!$A$2:$A$17,0))</f>
        <v>casos / 10^6 HH</v>
      </c>
      <c r="I97" s="193" t="str">
        <f>INDEX(_TARGETS!$K$2:$K$17,MATCH("TRICF",_TARGETS!$A$2:$A$17,0))</f>
        <v>OPS (carga manual en Datos)</v>
      </c>
      <c r="J97" s="258">
        <f t="shared" si="2"/>
        <v>46296</v>
      </c>
    </row>
    <row r="98" spans="1:10" ht="13.5" customHeight="1" x14ac:dyDescent="0.3">
      <c r="A98" t="s">
        <v>906</v>
      </c>
      <c r="B98" s="193" t="str">
        <f>YEAR(DATE(YEAR(RPT_MONTH),MONTH(RPT_MONTH)-10,1))&amp;"-"&amp;RIGHT("0"&amp;MONTH(DATE(YEAR(RPT_MONTH),MONTH(RPT_MONTH)-10,1)),2)</f>
        <v>2025-12</v>
      </c>
      <c r="C98" s="258">
        <f>DATE(YEAR(RPT_MONTH),MONTH(RPT_MONTH)-10,1)</f>
        <v>45992</v>
      </c>
      <c r="D98" t="s">
        <v>904</v>
      </c>
      <c r="E98" s="193" t="str">
        <f>IFERROR(INDEX(BD_KPIs!$F$2:$F$1300,MATCH(YEAR(DATE(YEAR(RPT_MONTH),MONTH(RPT_MONTH)-10,1))*100+MONTH(DATE(YEAR(RPT_MONTH),MONTH(RPT_MONTH)-10,1))&amp;"|TRICF|Cumulative",BD_KPIs!$Q$2:$Q$1300,0)),"")</f>
        <v/>
      </c>
      <c r="F98" s="193" t="str">
        <f>IFERROR(INDEX(BD_KPIs!$G$2:$G$1300,MATCH(YEAR(DATE(YEAR(RPT_MONTH),MONTH(RPT_MONTH)-10,1))*100+MONTH(DATE(YEAR(RPT_MONTH),MONTH(RPT_MONTH)-10,1))&amp;"|TRICF|Cumulative",BD_KPIs!$Q$2:$Q$1300,0)),"")</f>
        <v/>
      </c>
      <c r="G98" s="193" t="str">
        <f>IF(ISNUMBER(E98),IF(F98="","No target",IF(IFERROR(INDEX(BD_KPIs!$I$2:$I$1300,MATCH(YEAR(DATE(YEAR(RPT_MONTH),MONTH(RPT_MONTH)-10,1))*100+MONTH(DATE(YEAR(RPT_MONTH),MONTH(RPT_MONTH)-10,1))&amp;"|TRICF|Cumulative",BD_KPIs!$Q$2:$Q$1300,0)),"")="Sí","On target","Off target")),"No data")</f>
        <v>No data</v>
      </c>
      <c r="H98" s="193" t="str">
        <f>INDEX(_TARGETS!$D$2:$D$17,MATCH("TRICF",_TARGETS!$A$2:$A$17,0))</f>
        <v>casos / 10^6 HH</v>
      </c>
      <c r="I98" s="193" t="str">
        <f>INDEX(_TARGETS!$K$2:$K$17,MATCH("TRICF",_TARGETS!$A$2:$A$17,0))</f>
        <v>OPS (carga manual en Datos)</v>
      </c>
      <c r="J98" s="258">
        <f t="shared" si="2"/>
        <v>46296</v>
      </c>
    </row>
    <row r="99" spans="1:10" ht="13.5" customHeight="1" x14ac:dyDescent="0.3">
      <c r="A99" t="s">
        <v>906</v>
      </c>
      <c r="B99" s="193" t="str">
        <f>YEAR(DATE(YEAR(RPT_MONTH),MONTH(RPT_MONTH)-9,1))&amp;"-"&amp;RIGHT("0"&amp;MONTH(DATE(YEAR(RPT_MONTH),MONTH(RPT_MONTH)-9,1)),2)</f>
        <v>2026-01</v>
      </c>
      <c r="C99" s="258">
        <f>DATE(YEAR(RPT_MONTH),MONTH(RPT_MONTH)-9,1)</f>
        <v>46023</v>
      </c>
      <c r="D99" t="s">
        <v>904</v>
      </c>
      <c r="E99" s="193" t="str">
        <f>IFERROR(INDEX(BD_KPIs!$F$2:$F$1300,MATCH(YEAR(DATE(YEAR(RPT_MONTH),MONTH(RPT_MONTH)-9,1))*100+MONTH(DATE(YEAR(RPT_MONTH),MONTH(RPT_MONTH)-9,1))&amp;"|TRICF|Cumulative",BD_KPIs!$Q$2:$Q$1300,0)),"")</f>
        <v/>
      </c>
      <c r="F99" s="193" t="str">
        <f>IFERROR(INDEX(BD_KPIs!$G$2:$G$1300,MATCH(YEAR(DATE(YEAR(RPT_MONTH),MONTH(RPT_MONTH)-9,1))*100+MONTH(DATE(YEAR(RPT_MONTH),MONTH(RPT_MONTH)-9,1))&amp;"|TRICF|Cumulative",BD_KPIs!$Q$2:$Q$1300,0)),"")</f>
        <v/>
      </c>
      <c r="G99" s="193" t="str">
        <f>IF(ISNUMBER(E99),IF(F99="","No target",IF(IFERROR(INDEX(BD_KPIs!$I$2:$I$1300,MATCH(YEAR(DATE(YEAR(RPT_MONTH),MONTH(RPT_MONTH)-9,1))*100+MONTH(DATE(YEAR(RPT_MONTH),MONTH(RPT_MONTH)-9,1))&amp;"|TRICF|Cumulative",BD_KPIs!$Q$2:$Q$1300,0)),"")="Sí","On target","Off target")),"No data")</f>
        <v>No data</v>
      </c>
      <c r="H99" s="193" t="str">
        <f>INDEX(_TARGETS!$D$2:$D$17,MATCH("TRICF",_TARGETS!$A$2:$A$17,0))</f>
        <v>casos / 10^6 HH</v>
      </c>
      <c r="I99" s="193" t="str">
        <f>INDEX(_TARGETS!$K$2:$K$17,MATCH("TRICF",_TARGETS!$A$2:$A$17,0))</f>
        <v>OPS (carga manual en Datos)</v>
      </c>
      <c r="J99" s="258">
        <f t="shared" si="2"/>
        <v>46296</v>
      </c>
    </row>
    <row r="100" spans="1:10" ht="13.5" customHeight="1" x14ac:dyDescent="0.3">
      <c r="A100" t="s">
        <v>906</v>
      </c>
      <c r="B100" s="193" t="str">
        <f>YEAR(DATE(YEAR(RPT_MONTH),MONTH(RPT_MONTH)-8,1))&amp;"-"&amp;RIGHT("0"&amp;MONTH(DATE(YEAR(RPT_MONTH),MONTH(RPT_MONTH)-8,1)),2)</f>
        <v>2026-02</v>
      </c>
      <c r="C100" s="258">
        <f>DATE(YEAR(RPT_MONTH),MONTH(RPT_MONTH)-8,1)</f>
        <v>46054</v>
      </c>
      <c r="D100" t="s">
        <v>904</v>
      </c>
      <c r="E100" s="193" t="str">
        <f>IFERROR(INDEX(BD_KPIs!$F$2:$F$1300,MATCH(YEAR(DATE(YEAR(RPT_MONTH),MONTH(RPT_MONTH)-8,1))*100+MONTH(DATE(YEAR(RPT_MONTH),MONTH(RPT_MONTH)-8,1))&amp;"|TRICF|Cumulative",BD_KPIs!$Q$2:$Q$1300,0)),"")</f>
        <v/>
      </c>
      <c r="F100" s="193" t="str">
        <f>IFERROR(INDEX(BD_KPIs!$G$2:$G$1300,MATCH(YEAR(DATE(YEAR(RPT_MONTH),MONTH(RPT_MONTH)-8,1))*100+MONTH(DATE(YEAR(RPT_MONTH),MONTH(RPT_MONTH)-8,1))&amp;"|TRICF|Cumulative",BD_KPIs!$Q$2:$Q$1300,0)),"")</f>
        <v/>
      </c>
      <c r="G100" s="193" t="str">
        <f>IF(ISNUMBER(E100),IF(F100="","No target",IF(IFERROR(INDEX(BD_KPIs!$I$2:$I$1300,MATCH(YEAR(DATE(YEAR(RPT_MONTH),MONTH(RPT_MONTH)-8,1))*100+MONTH(DATE(YEAR(RPT_MONTH),MONTH(RPT_MONTH)-8,1))&amp;"|TRICF|Cumulative",BD_KPIs!$Q$2:$Q$1300,0)),"")="Sí","On target","Off target")),"No data")</f>
        <v>No data</v>
      </c>
      <c r="H100" s="193" t="str">
        <f>INDEX(_TARGETS!$D$2:$D$17,MATCH("TRICF",_TARGETS!$A$2:$A$17,0))</f>
        <v>casos / 10^6 HH</v>
      </c>
      <c r="I100" s="193" t="str">
        <f>INDEX(_TARGETS!$K$2:$K$17,MATCH("TRICF",_TARGETS!$A$2:$A$17,0))</f>
        <v>OPS (carga manual en Datos)</v>
      </c>
      <c r="J100" s="258">
        <f t="shared" si="2"/>
        <v>46296</v>
      </c>
    </row>
    <row r="101" spans="1:10" ht="13.5" customHeight="1" x14ac:dyDescent="0.3">
      <c r="A101" t="s">
        <v>906</v>
      </c>
      <c r="B101" s="193" t="str">
        <f>YEAR(DATE(YEAR(RPT_MONTH),MONTH(RPT_MONTH)-7,1))&amp;"-"&amp;RIGHT("0"&amp;MONTH(DATE(YEAR(RPT_MONTH),MONTH(RPT_MONTH)-7,1)),2)</f>
        <v>2026-03</v>
      </c>
      <c r="C101" s="258">
        <f>DATE(YEAR(RPT_MONTH),MONTH(RPT_MONTH)-7,1)</f>
        <v>46082</v>
      </c>
      <c r="D101" t="s">
        <v>904</v>
      </c>
      <c r="E101" s="193" t="str">
        <f>IFERROR(INDEX(BD_KPIs!$F$2:$F$1300,MATCH(YEAR(DATE(YEAR(RPT_MONTH),MONTH(RPT_MONTH)-7,1))*100+MONTH(DATE(YEAR(RPT_MONTH),MONTH(RPT_MONTH)-7,1))&amp;"|TRICF|Cumulative",BD_KPIs!$Q$2:$Q$1300,0)),"")</f>
        <v/>
      </c>
      <c r="F101" s="193" t="str">
        <f>IFERROR(INDEX(BD_KPIs!$G$2:$G$1300,MATCH(YEAR(DATE(YEAR(RPT_MONTH),MONTH(RPT_MONTH)-7,1))*100+MONTH(DATE(YEAR(RPT_MONTH),MONTH(RPT_MONTH)-7,1))&amp;"|TRICF|Cumulative",BD_KPIs!$Q$2:$Q$1300,0)),"")</f>
        <v/>
      </c>
      <c r="G101" s="193" t="str">
        <f>IF(ISNUMBER(E101),IF(F101="","No target",IF(IFERROR(INDEX(BD_KPIs!$I$2:$I$1300,MATCH(YEAR(DATE(YEAR(RPT_MONTH),MONTH(RPT_MONTH)-7,1))*100+MONTH(DATE(YEAR(RPT_MONTH),MONTH(RPT_MONTH)-7,1))&amp;"|TRICF|Cumulative",BD_KPIs!$Q$2:$Q$1300,0)),"")="Sí","On target","Off target")),"No data")</f>
        <v>No data</v>
      </c>
      <c r="H101" s="193" t="str">
        <f>INDEX(_TARGETS!$D$2:$D$17,MATCH("TRICF",_TARGETS!$A$2:$A$17,0))</f>
        <v>casos / 10^6 HH</v>
      </c>
      <c r="I101" s="193" t="str">
        <f>INDEX(_TARGETS!$K$2:$K$17,MATCH("TRICF",_TARGETS!$A$2:$A$17,0))</f>
        <v>OPS (carga manual en Datos)</v>
      </c>
      <c r="J101" s="258">
        <f t="shared" si="2"/>
        <v>46296</v>
      </c>
    </row>
    <row r="102" spans="1:10" ht="13.5" customHeight="1" x14ac:dyDescent="0.3">
      <c r="A102" t="s">
        <v>906</v>
      </c>
      <c r="B102" s="193" t="str">
        <f>YEAR(DATE(YEAR(RPT_MONTH),MONTH(RPT_MONTH)-6,1))&amp;"-"&amp;RIGHT("0"&amp;MONTH(DATE(YEAR(RPT_MONTH),MONTH(RPT_MONTH)-6,1)),2)</f>
        <v>2026-04</v>
      </c>
      <c r="C102" s="258">
        <f>DATE(YEAR(RPT_MONTH),MONTH(RPT_MONTH)-6,1)</f>
        <v>46113</v>
      </c>
      <c r="D102" t="s">
        <v>904</v>
      </c>
      <c r="E102" s="193" t="str">
        <f>IFERROR(INDEX(BD_KPIs!$F$2:$F$1300,MATCH(YEAR(DATE(YEAR(RPT_MONTH),MONTH(RPT_MONTH)-6,1))*100+MONTH(DATE(YEAR(RPT_MONTH),MONTH(RPT_MONTH)-6,1))&amp;"|TRICF|Cumulative",BD_KPIs!$Q$2:$Q$1300,0)),"")</f>
        <v/>
      </c>
      <c r="F102" s="193" t="str">
        <f>IFERROR(INDEX(BD_KPIs!$G$2:$G$1300,MATCH(YEAR(DATE(YEAR(RPT_MONTH),MONTH(RPT_MONTH)-6,1))*100+MONTH(DATE(YEAR(RPT_MONTH),MONTH(RPT_MONTH)-6,1))&amp;"|TRICF|Cumulative",BD_KPIs!$Q$2:$Q$1300,0)),"")</f>
        <v/>
      </c>
      <c r="G102" s="193" t="str">
        <f>IF(ISNUMBER(E102),IF(F102="","No target",IF(IFERROR(INDEX(BD_KPIs!$I$2:$I$1300,MATCH(YEAR(DATE(YEAR(RPT_MONTH),MONTH(RPT_MONTH)-6,1))*100+MONTH(DATE(YEAR(RPT_MONTH),MONTH(RPT_MONTH)-6,1))&amp;"|TRICF|Cumulative",BD_KPIs!$Q$2:$Q$1300,0)),"")="Sí","On target","Off target")),"No data")</f>
        <v>No data</v>
      </c>
      <c r="H102" s="193" t="str">
        <f>INDEX(_TARGETS!$D$2:$D$17,MATCH("TRICF",_TARGETS!$A$2:$A$17,0))</f>
        <v>casos / 10^6 HH</v>
      </c>
      <c r="I102" s="193" t="str">
        <f>INDEX(_TARGETS!$K$2:$K$17,MATCH("TRICF",_TARGETS!$A$2:$A$17,0))</f>
        <v>OPS (carga manual en Datos)</v>
      </c>
      <c r="J102" s="258">
        <f t="shared" si="2"/>
        <v>46296</v>
      </c>
    </row>
    <row r="103" spans="1:10" ht="13.5" customHeight="1" x14ac:dyDescent="0.3">
      <c r="A103" t="s">
        <v>906</v>
      </c>
      <c r="B103" s="193" t="str">
        <f>YEAR(DATE(YEAR(RPT_MONTH),MONTH(RPT_MONTH)-5,1))&amp;"-"&amp;RIGHT("0"&amp;MONTH(DATE(YEAR(RPT_MONTH),MONTH(RPT_MONTH)-5,1)),2)</f>
        <v>2026-05</v>
      </c>
      <c r="C103" s="258">
        <f>DATE(YEAR(RPT_MONTH),MONTH(RPT_MONTH)-5,1)</f>
        <v>46143</v>
      </c>
      <c r="D103" t="s">
        <v>904</v>
      </c>
      <c r="E103" s="193" t="str">
        <f>IFERROR(INDEX(BD_KPIs!$F$2:$F$1300,MATCH(YEAR(DATE(YEAR(RPT_MONTH),MONTH(RPT_MONTH)-5,1))*100+MONTH(DATE(YEAR(RPT_MONTH),MONTH(RPT_MONTH)-5,1))&amp;"|TRICF|Cumulative",BD_KPIs!$Q$2:$Q$1300,0)),"")</f>
        <v/>
      </c>
      <c r="F103" s="193" t="str">
        <f>IFERROR(INDEX(BD_KPIs!$G$2:$G$1300,MATCH(YEAR(DATE(YEAR(RPT_MONTH),MONTH(RPT_MONTH)-5,1))*100+MONTH(DATE(YEAR(RPT_MONTH),MONTH(RPT_MONTH)-5,1))&amp;"|TRICF|Cumulative",BD_KPIs!$Q$2:$Q$1300,0)),"")</f>
        <v/>
      </c>
      <c r="G103" s="193" t="str">
        <f>IF(ISNUMBER(E103),IF(F103="","No target",IF(IFERROR(INDEX(BD_KPIs!$I$2:$I$1300,MATCH(YEAR(DATE(YEAR(RPT_MONTH),MONTH(RPT_MONTH)-5,1))*100+MONTH(DATE(YEAR(RPT_MONTH),MONTH(RPT_MONTH)-5,1))&amp;"|TRICF|Cumulative",BD_KPIs!$Q$2:$Q$1300,0)),"")="Sí","On target","Off target")),"No data")</f>
        <v>No data</v>
      </c>
      <c r="H103" s="193" t="str">
        <f>INDEX(_TARGETS!$D$2:$D$17,MATCH("TRICF",_TARGETS!$A$2:$A$17,0))</f>
        <v>casos / 10^6 HH</v>
      </c>
      <c r="I103" s="193" t="str">
        <f>INDEX(_TARGETS!$K$2:$K$17,MATCH("TRICF",_TARGETS!$A$2:$A$17,0))</f>
        <v>OPS (carga manual en Datos)</v>
      </c>
      <c r="J103" s="258">
        <f t="shared" si="2"/>
        <v>46296</v>
      </c>
    </row>
    <row r="104" spans="1:10" ht="13.5" customHeight="1" x14ac:dyDescent="0.3">
      <c r="A104" t="s">
        <v>906</v>
      </c>
      <c r="B104" s="193" t="str">
        <f>YEAR(DATE(YEAR(RPT_MONTH),MONTH(RPT_MONTH)-4,1))&amp;"-"&amp;RIGHT("0"&amp;MONTH(DATE(YEAR(RPT_MONTH),MONTH(RPT_MONTH)-4,1)),2)</f>
        <v>2026-06</v>
      </c>
      <c r="C104" s="258">
        <f>DATE(YEAR(RPT_MONTH),MONTH(RPT_MONTH)-4,1)</f>
        <v>46174</v>
      </c>
      <c r="D104" t="s">
        <v>904</v>
      </c>
      <c r="E104" s="193" t="str">
        <f>IFERROR(INDEX(BD_KPIs!$F$2:$F$1300,MATCH(YEAR(DATE(YEAR(RPT_MONTH),MONTH(RPT_MONTH)-4,1))*100+MONTH(DATE(YEAR(RPT_MONTH),MONTH(RPT_MONTH)-4,1))&amp;"|TRICF|Cumulative",BD_KPIs!$Q$2:$Q$1300,0)),"")</f>
        <v/>
      </c>
      <c r="F104" s="193" t="str">
        <f>IFERROR(INDEX(BD_KPIs!$G$2:$G$1300,MATCH(YEAR(DATE(YEAR(RPT_MONTH),MONTH(RPT_MONTH)-4,1))*100+MONTH(DATE(YEAR(RPT_MONTH),MONTH(RPT_MONTH)-4,1))&amp;"|TRICF|Cumulative",BD_KPIs!$Q$2:$Q$1300,0)),"")</f>
        <v/>
      </c>
      <c r="G104" s="193" t="str">
        <f>IF(ISNUMBER(E104),IF(F104="","No target",IF(IFERROR(INDEX(BD_KPIs!$I$2:$I$1300,MATCH(YEAR(DATE(YEAR(RPT_MONTH),MONTH(RPT_MONTH)-4,1))*100+MONTH(DATE(YEAR(RPT_MONTH),MONTH(RPT_MONTH)-4,1))&amp;"|TRICF|Cumulative",BD_KPIs!$Q$2:$Q$1300,0)),"")="Sí","On target","Off target")),"No data")</f>
        <v>No data</v>
      </c>
      <c r="H104" s="193" t="str">
        <f>INDEX(_TARGETS!$D$2:$D$17,MATCH("TRICF",_TARGETS!$A$2:$A$17,0))</f>
        <v>casos / 10^6 HH</v>
      </c>
      <c r="I104" s="193" t="str">
        <f>INDEX(_TARGETS!$K$2:$K$17,MATCH("TRICF",_TARGETS!$A$2:$A$17,0))</f>
        <v>OPS (carga manual en Datos)</v>
      </c>
      <c r="J104" s="258">
        <f t="shared" si="2"/>
        <v>46296</v>
      </c>
    </row>
    <row r="105" spans="1:10" ht="13.5" customHeight="1" x14ac:dyDescent="0.3">
      <c r="A105" t="s">
        <v>906</v>
      </c>
      <c r="B105" s="193" t="str">
        <f>YEAR(DATE(YEAR(RPT_MONTH),MONTH(RPT_MONTH)-3,1))&amp;"-"&amp;RIGHT("0"&amp;MONTH(DATE(YEAR(RPT_MONTH),MONTH(RPT_MONTH)-3,1)),2)</f>
        <v>2026-07</v>
      </c>
      <c r="C105" s="258">
        <f>DATE(YEAR(RPT_MONTH),MONTH(RPT_MONTH)-3,1)</f>
        <v>46204</v>
      </c>
      <c r="D105" t="s">
        <v>904</v>
      </c>
      <c r="E105" s="193" t="str">
        <f>IFERROR(INDEX(BD_KPIs!$F$2:$F$1300,MATCH(YEAR(DATE(YEAR(RPT_MONTH),MONTH(RPT_MONTH)-3,1))*100+MONTH(DATE(YEAR(RPT_MONTH),MONTH(RPT_MONTH)-3,1))&amp;"|TRICF|Cumulative",BD_KPIs!$Q$2:$Q$1300,0)),"")</f>
        <v/>
      </c>
      <c r="F105" s="193" t="str">
        <f>IFERROR(INDEX(BD_KPIs!$G$2:$G$1300,MATCH(YEAR(DATE(YEAR(RPT_MONTH),MONTH(RPT_MONTH)-3,1))*100+MONTH(DATE(YEAR(RPT_MONTH),MONTH(RPT_MONTH)-3,1))&amp;"|TRICF|Cumulative",BD_KPIs!$Q$2:$Q$1300,0)),"")</f>
        <v/>
      </c>
      <c r="G105" s="193" t="str">
        <f>IF(ISNUMBER(E105),IF(F105="","No target",IF(IFERROR(INDEX(BD_KPIs!$I$2:$I$1300,MATCH(YEAR(DATE(YEAR(RPT_MONTH),MONTH(RPT_MONTH)-3,1))*100+MONTH(DATE(YEAR(RPT_MONTH),MONTH(RPT_MONTH)-3,1))&amp;"|TRICF|Cumulative",BD_KPIs!$Q$2:$Q$1300,0)),"")="Sí","On target","Off target")),"No data")</f>
        <v>No data</v>
      </c>
      <c r="H105" s="193" t="str">
        <f>INDEX(_TARGETS!$D$2:$D$17,MATCH("TRICF",_TARGETS!$A$2:$A$17,0))</f>
        <v>casos / 10^6 HH</v>
      </c>
      <c r="I105" s="193" t="str">
        <f>INDEX(_TARGETS!$K$2:$K$17,MATCH("TRICF",_TARGETS!$A$2:$A$17,0))</f>
        <v>OPS (carga manual en Datos)</v>
      </c>
      <c r="J105" s="258">
        <f t="shared" si="2"/>
        <v>46296</v>
      </c>
    </row>
    <row r="106" spans="1:10" ht="13.5" customHeight="1" x14ac:dyDescent="0.3">
      <c r="A106" t="s">
        <v>906</v>
      </c>
      <c r="B106" s="193" t="str">
        <f>YEAR(DATE(YEAR(RPT_MONTH),MONTH(RPT_MONTH)-2,1))&amp;"-"&amp;RIGHT("0"&amp;MONTH(DATE(YEAR(RPT_MONTH),MONTH(RPT_MONTH)-2,1)),2)</f>
        <v>2026-08</v>
      </c>
      <c r="C106" s="258">
        <f>DATE(YEAR(RPT_MONTH),MONTH(RPT_MONTH)-2,1)</f>
        <v>46235</v>
      </c>
      <c r="D106" t="s">
        <v>904</v>
      </c>
      <c r="E106" s="193">
        <f>IFERROR(INDEX(BD_KPIs!$F$2:$F$1300,MATCH(YEAR(DATE(YEAR(RPT_MONTH),MONTH(RPT_MONTH)-2,1))*100+MONTH(DATE(YEAR(RPT_MONTH),MONTH(RPT_MONTH)-2,1))&amp;"|TRICF|Cumulative",BD_KPIs!$Q$2:$Q$1300,0)),"")</f>
        <v>0</v>
      </c>
      <c r="F106" s="193">
        <f>IFERROR(INDEX(BD_KPIs!$G$2:$G$1300,MATCH(YEAR(DATE(YEAR(RPT_MONTH),MONTH(RPT_MONTH)-2,1))*100+MONTH(DATE(YEAR(RPT_MONTH),MONTH(RPT_MONTH)-2,1))&amp;"|TRICF|Cumulative",BD_KPIs!$Q$2:$Q$1300,0)),"")</f>
        <v>2.35</v>
      </c>
      <c r="G106" s="193" t="str">
        <f>IF(ISNUMBER(E106),IF(F106="","No target",IF(IFERROR(INDEX(BD_KPIs!$I$2:$I$1300,MATCH(YEAR(DATE(YEAR(RPT_MONTH),MONTH(RPT_MONTH)-2,1))*100+MONTH(DATE(YEAR(RPT_MONTH),MONTH(RPT_MONTH)-2,1))&amp;"|TRICF|Cumulative",BD_KPIs!$Q$2:$Q$1300,0)),"")="Sí","On target","Off target")),"No data")</f>
        <v>On target</v>
      </c>
      <c r="H106" s="193" t="str">
        <f>INDEX(_TARGETS!$D$2:$D$17,MATCH("TRICF",_TARGETS!$A$2:$A$17,0))</f>
        <v>casos / 10^6 HH</v>
      </c>
      <c r="I106" s="193" t="str">
        <f>INDEX(_TARGETS!$K$2:$K$17,MATCH("TRICF",_TARGETS!$A$2:$A$17,0))</f>
        <v>OPS (carga manual en Datos)</v>
      </c>
      <c r="J106" s="258">
        <f t="shared" si="2"/>
        <v>46296</v>
      </c>
    </row>
    <row r="107" spans="1:10" ht="13.5" customHeight="1" x14ac:dyDescent="0.3">
      <c r="A107" t="s">
        <v>906</v>
      </c>
      <c r="B107" s="193" t="str">
        <f>YEAR(DATE(YEAR(RPT_MONTH),MONTH(RPT_MONTH)-1,1))&amp;"-"&amp;RIGHT("0"&amp;MONTH(DATE(YEAR(RPT_MONTH),MONTH(RPT_MONTH)-1,1)),2)</f>
        <v>2026-09</v>
      </c>
      <c r="C107" s="258">
        <f>DATE(YEAR(RPT_MONTH),MONTH(RPT_MONTH)-1,1)</f>
        <v>46266</v>
      </c>
      <c r="D107" t="s">
        <v>904</v>
      </c>
      <c r="E107" s="193">
        <f>IFERROR(INDEX(BD_KPIs!$F$2:$F$1300,MATCH(YEAR(DATE(YEAR(RPT_MONTH),MONTH(RPT_MONTH)-1,1))*100+MONTH(DATE(YEAR(RPT_MONTH),MONTH(RPT_MONTH)-1,1))&amp;"|TRICF|Cumulative",BD_KPIs!$Q$2:$Q$1300,0)),"")</f>
        <v>0</v>
      </c>
      <c r="F107" s="250">
        <f>IFERROR(INDEX(BD_KPIs!$G$2:$G$1300,MATCH(YEAR(DATE(YEAR(RPT_MONTH),MONTH(RPT_MONTH)-1,1))*100+MONTH(DATE(YEAR(RPT_MONTH),MONTH(RPT_MONTH)-1,1))&amp;"|TRICF|Cumulative",BD_KPIs!$Q$2:$Q$1300,0)),"")</f>
        <v>2.35</v>
      </c>
      <c r="G107" s="193" t="str">
        <f>IF(ISNUMBER(E107),IF(F107="","No target",IF(IFERROR(INDEX(BD_KPIs!$I$2:$I$1300,MATCH(YEAR(DATE(YEAR(RPT_MONTH),MONTH(RPT_MONTH)-1,1))*100+MONTH(DATE(YEAR(RPT_MONTH),MONTH(RPT_MONTH)-1,1))&amp;"|TRICF|Cumulative",BD_KPIs!$Q$2:$Q$1300,0)),"")="Sí","On target","Off target")),"No data")</f>
        <v>On target</v>
      </c>
      <c r="H107" s="193" t="str">
        <f>INDEX(_TARGETS!$D$2:$D$17,MATCH("TRICF",_TARGETS!$A$2:$A$17,0))</f>
        <v>casos / 10^6 HH</v>
      </c>
      <c r="I107" s="193" t="str">
        <f>INDEX(_TARGETS!$K$2:$K$17,MATCH("TRICF",_TARGETS!$A$2:$A$17,0))</f>
        <v>OPS (carga manual en Datos)</v>
      </c>
      <c r="J107" s="258">
        <f t="shared" si="2"/>
        <v>46296</v>
      </c>
    </row>
    <row r="108" spans="1:10" ht="13.5" customHeight="1" x14ac:dyDescent="0.3">
      <c r="A108" t="s">
        <v>906</v>
      </c>
      <c r="B108" s="193" t="str">
        <f>YEAR(DATE(YEAR(RPT_MONTH),MONTH(RPT_MONTH)-0,1))&amp;"-"&amp;RIGHT("0"&amp;MONTH(DATE(YEAR(RPT_MONTH),MONTH(RPT_MONTH)-0,1)),2)</f>
        <v>2026-10</v>
      </c>
      <c r="C108" s="258">
        <f>DATE(YEAR(RPT_MONTH),MONTH(RPT_MONTH)-0,1)</f>
        <v>46296</v>
      </c>
      <c r="D108" t="s">
        <v>904</v>
      </c>
      <c r="E108" s="193" t="str">
        <f>IFERROR(INDEX(BD_KPIs!$F$2:$F$1300,MATCH(YEAR(DATE(YEAR(RPT_MONTH),MONTH(RPT_MONTH)-0,1))*100+MONTH(DATE(YEAR(RPT_MONTH),MONTH(RPT_MONTH)-0,1))&amp;"|TRICF|Cumulative",BD_KPIs!$Q$2:$Q$1300,0)),"")</f>
        <v/>
      </c>
      <c r="F108" s="250">
        <f>IFERROR(INDEX(BD_KPIs!$G$2:$G$1300,MATCH(YEAR(DATE(YEAR(RPT_MONTH),MONTH(RPT_MONTH)-0,1))*100+MONTH(DATE(YEAR(RPT_MONTH),MONTH(RPT_MONTH)-0,1))&amp;"|TRICF|Cumulative",BD_KPIs!$Q$2:$Q$1300,0)),"")</f>
        <v>2.35</v>
      </c>
      <c r="G108" s="193" t="str">
        <f>IF(ISNUMBER(E108),IF(F108="","No target",IF(IFERROR(INDEX(BD_KPIs!$I$2:$I$1300,MATCH(YEAR(DATE(YEAR(RPT_MONTH),MONTH(RPT_MONTH)-0,1))*100+MONTH(DATE(YEAR(RPT_MONTH),MONTH(RPT_MONTH)-0,1))&amp;"|TRICF|Cumulative",BD_KPIs!$Q$2:$Q$1300,0)),"")="Sí","On target","Off target")),"No data")</f>
        <v>No data</v>
      </c>
      <c r="H108" s="193" t="str">
        <f>INDEX(_TARGETS!$D$2:$D$17,MATCH("TRICF",_TARGETS!$A$2:$A$17,0))</f>
        <v>casos / 10^6 HH</v>
      </c>
      <c r="I108" s="193" t="str">
        <f>INDEX(_TARGETS!$K$2:$K$17,MATCH("TRICF",_TARGETS!$A$2:$A$17,0))</f>
        <v>OPS (carga manual en Datos)</v>
      </c>
      <c r="J108" s="258">
        <f t="shared" si="2"/>
        <v>46296</v>
      </c>
    </row>
    <row r="109" spans="1:10" ht="13.5" customHeight="1" x14ac:dyDescent="0.3">
      <c r="A109" t="s">
        <v>907</v>
      </c>
      <c r="B109" s="193" t="str">
        <f>YEAR(DATE(YEAR(RPT_MONTH),MONTH(RPT_MONTH)-11,1))&amp;"-"&amp;RIGHT("0"&amp;MONTH(DATE(YEAR(RPT_MONTH),MONTH(RPT_MONTH)-11,1)),2)</f>
        <v>2025-11</v>
      </c>
      <c r="C109" s="258">
        <f>DATE(YEAR(RPT_MONTH),MONTH(RPT_MONTH)-11,1)</f>
        <v>45962</v>
      </c>
      <c r="D109" t="s">
        <v>68</v>
      </c>
      <c r="E109" s="193" t="str">
        <f>IFERROR(INDEX(BD_KPIs!$F$2:$F$1300,MATCH(YEAR(DATE(YEAR(RPT_MONTH),MONTH(RPT_MONTH)-11,1))*100+MONTH(DATE(YEAR(RPT_MONTH),MONTH(RPT_MONTH)-11,1))&amp;"|FAC|Monthly",BD_KPIs!$Q$2:$Q$1300,0)),"")</f>
        <v/>
      </c>
      <c r="F109" s="193" t="str">
        <f>IFERROR(INDEX(BD_KPIs!$G$2:$G$1300,MATCH(YEAR(DATE(YEAR(RPT_MONTH),MONTH(RPT_MONTH)-11,1))*100+MONTH(DATE(YEAR(RPT_MONTH),MONTH(RPT_MONTH)-11,1))&amp;"|FAC|Monthly",BD_KPIs!$Q$2:$Q$1300,0)),"")</f>
        <v/>
      </c>
      <c r="G109" s="193" t="str">
        <f>IF(ISNUMBER(E109),IF(F109="","No target",IF(IFERROR(INDEX(BD_KPIs!$I$2:$I$1300,MATCH(YEAR(DATE(YEAR(RPT_MONTH),MONTH(RPT_MONTH)-11,1))*100+MONTH(DATE(YEAR(RPT_MONTH),MONTH(RPT_MONTH)-11,1))&amp;"|FAC|Monthly",BD_KPIs!$Q$2:$Q$1300,0)),"")="Sí","On target","Off target")),"No data")</f>
        <v>No data</v>
      </c>
      <c r="H109" s="193" t="str">
        <f>INDEX(_TARGETS!$D$2:$D$17,MATCH("FAC",_TARGETS!$A$2:$A$17,0))</f>
        <v>casos</v>
      </c>
      <c r="I109" s="193" t="str">
        <f>INDEX(_TARGETS!$K$2:$K$17,MATCH("FAC",_TARGETS!$A$2:$A$17,0))</f>
        <v>OPS (carga manual en Datos)</v>
      </c>
      <c r="J109" s="258">
        <f t="shared" si="2"/>
        <v>46296</v>
      </c>
    </row>
    <row r="110" spans="1:10" ht="13.5" customHeight="1" x14ac:dyDescent="0.3">
      <c r="A110" t="s">
        <v>907</v>
      </c>
      <c r="B110" s="193" t="str">
        <f>YEAR(DATE(YEAR(RPT_MONTH),MONTH(RPT_MONTH)-10,1))&amp;"-"&amp;RIGHT("0"&amp;MONTH(DATE(YEAR(RPT_MONTH),MONTH(RPT_MONTH)-10,1)),2)</f>
        <v>2025-12</v>
      </c>
      <c r="C110" s="258">
        <f>DATE(YEAR(RPT_MONTH),MONTH(RPT_MONTH)-10,1)</f>
        <v>45992</v>
      </c>
      <c r="D110" t="s">
        <v>68</v>
      </c>
      <c r="E110" s="193" t="str">
        <f>IFERROR(INDEX(BD_KPIs!$F$2:$F$1300,MATCH(YEAR(DATE(YEAR(RPT_MONTH),MONTH(RPT_MONTH)-10,1))*100+MONTH(DATE(YEAR(RPT_MONTH),MONTH(RPT_MONTH)-10,1))&amp;"|FAC|Monthly",BD_KPIs!$Q$2:$Q$1300,0)),"")</f>
        <v/>
      </c>
      <c r="F110" s="193" t="str">
        <f>IFERROR(INDEX(BD_KPIs!$G$2:$G$1300,MATCH(YEAR(DATE(YEAR(RPT_MONTH),MONTH(RPT_MONTH)-10,1))*100+MONTH(DATE(YEAR(RPT_MONTH),MONTH(RPT_MONTH)-10,1))&amp;"|FAC|Monthly",BD_KPIs!$Q$2:$Q$1300,0)),"")</f>
        <v/>
      </c>
      <c r="G110" s="193" t="str">
        <f>IF(ISNUMBER(E110),IF(F110="","No target",IF(IFERROR(INDEX(BD_KPIs!$I$2:$I$1300,MATCH(YEAR(DATE(YEAR(RPT_MONTH),MONTH(RPT_MONTH)-10,1))*100+MONTH(DATE(YEAR(RPT_MONTH),MONTH(RPT_MONTH)-10,1))&amp;"|FAC|Monthly",BD_KPIs!$Q$2:$Q$1300,0)),"")="Sí","On target","Off target")),"No data")</f>
        <v>No data</v>
      </c>
      <c r="H110" s="193" t="str">
        <f>INDEX(_TARGETS!$D$2:$D$17,MATCH("FAC",_TARGETS!$A$2:$A$17,0))</f>
        <v>casos</v>
      </c>
      <c r="I110" s="193" t="str">
        <f>INDEX(_TARGETS!$K$2:$K$17,MATCH("FAC",_TARGETS!$A$2:$A$17,0))</f>
        <v>OPS (carga manual en Datos)</v>
      </c>
      <c r="J110" s="258">
        <f t="shared" si="2"/>
        <v>46296</v>
      </c>
    </row>
    <row r="111" spans="1:10" ht="13.5" customHeight="1" x14ac:dyDescent="0.3">
      <c r="A111" t="s">
        <v>907</v>
      </c>
      <c r="B111" s="193" t="str">
        <f>YEAR(DATE(YEAR(RPT_MONTH),MONTH(RPT_MONTH)-9,1))&amp;"-"&amp;RIGHT("0"&amp;MONTH(DATE(YEAR(RPT_MONTH),MONTH(RPT_MONTH)-9,1)),2)</f>
        <v>2026-01</v>
      </c>
      <c r="C111" s="258">
        <f>DATE(YEAR(RPT_MONTH),MONTH(RPT_MONTH)-9,1)</f>
        <v>46023</v>
      </c>
      <c r="D111" t="s">
        <v>68</v>
      </c>
      <c r="E111" s="193" t="str">
        <f>IFERROR(INDEX(BD_KPIs!$F$2:$F$1300,MATCH(YEAR(DATE(YEAR(RPT_MONTH),MONTH(RPT_MONTH)-9,1))*100+MONTH(DATE(YEAR(RPT_MONTH),MONTH(RPT_MONTH)-9,1))&amp;"|FAC|Monthly",BD_KPIs!$Q$2:$Q$1300,0)),"")</f>
        <v/>
      </c>
      <c r="F111" s="193" t="str">
        <f>IFERROR(INDEX(BD_KPIs!$G$2:$G$1300,MATCH(YEAR(DATE(YEAR(RPT_MONTH),MONTH(RPT_MONTH)-9,1))*100+MONTH(DATE(YEAR(RPT_MONTH),MONTH(RPT_MONTH)-9,1))&amp;"|FAC|Monthly",BD_KPIs!$Q$2:$Q$1300,0)),"")</f>
        <v/>
      </c>
      <c r="G111" s="193" t="str">
        <f>IF(ISNUMBER(E111),IF(F111="","No target",IF(IFERROR(INDEX(BD_KPIs!$I$2:$I$1300,MATCH(YEAR(DATE(YEAR(RPT_MONTH),MONTH(RPT_MONTH)-9,1))*100+MONTH(DATE(YEAR(RPT_MONTH),MONTH(RPT_MONTH)-9,1))&amp;"|FAC|Monthly",BD_KPIs!$Q$2:$Q$1300,0)),"")="Sí","On target","Off target")),"No data")</f>
        <v>No data</v>
      </c>
      <c r="H111" s="193" t="str">
        <f>INDEX(_TARGETS!$D$2:$D$17,MATCH("FAC",_TARGETS!$A$2:$A$17,0))</f>
        <v>casos</v>
      </c>
      <c r="I111" s="193" t="str">
        <f>INDEX(_TARGETS!$K$2:$K$17,MATCH("FAC",_TARGETS!$A$2:$A$17,0))</f>
        <v>OPS (carga manual en Datos)</v>
      </c>
      <c r="J111" s="258">
        <f t="shared" si="2"/>
        <v>46296</v>
      </c>
    </row>
    <row r="112" spans="1:10" ht="13.5" customHeight="1" x14ac:dyDescent="0.3">
      <c r="A112" t="s">
        <v>907</v>
      </c>
      <c r="B112" s="193" t="str">
        <f>YEAR(DATE(YEAR(RPT_MONTH),MONTH(RPT_MONTH)-8,1))&amp;"-"&amp;RIGHT("0"&amp;MONTH(DATE(YEAR(RPT_MONTH),MONTH(RPT_MONTH)-8,1)),2)</f>
        <v>2026-02</v>
      </c>
      <c r="C112" s="258">
        <f>DATE(YEAR(RPT_MONTH),MONTH(RPT_MONTH)-8,1)</f>
        <v>46054</v>
      </c>
      <c r="D112" t="s">
        <v>68</v>
      </c>
      <c r="E112" s="193" t="str">
        <f>IFERROR(INDEX(BD_KPIs!$F$2:$F$1300,MATCH(YEAR(DATE(YEAR(RPT_MONTH),MONTH(RPT_MONTH)-8,1))*100+MONTH(DATE(YEAR(RPT_MONTH),MONTH(RPT_MONTH)-8,1))&amp;"|FAC|Monthly",BD_KPIs!$Q$2:$Q$1300,0)),"")</f>
        <v/>
      </c>
      <c r="F112" s="193" t="str">
        <f>IFERROR(INDEX(BD_KPIs!$G$2:$G$1300,MATCH(YEAR(DATE(YEAR(RPT_MONTH),MONTH(RPT_MONTH)-8,1))*100+MONTH(DATE(YEAR(RPT_MONTH),MONTH(RPT_MONTH)-8,1))&amp;"|FAC|Monthly",BD_KPIs!$Q$2:$Q$1300,0)),"")</f>
        <v/>
      </c>
      <c r="G112" s="193" t="str">
        <f>IF(ISNUMBER(E112),IF(F112="","No target",IF(IFERROR(INDEX(BD_KPIs!$I$2:$I$1300,MATCH(YEAR(DATE(YEAR(RPT_MONTH),MONTH(RPT_MONTH)-8,1))*100+MONTH(DATE(YEAR(RPT_MONTH),MONTH(RPT_MONTH)-8,1))&amp;"|FAC|Monthly",BD_KPIs!$Q$2:$Q$1300,0)),"")="Sí","On target","Off target")),"No data")</f>
        <v>No data</v>
      </c>
      <c r="H112" s="193" t="str">
        <f>INDEX(_TARGETS!$D$2:$D$17,MATCH("FAC",_TARGETS!$A$2:$A$17,0))</f>
        <v>casos</v>
      </c>
      <c r="I112" s="193" t="str">
        <f>INDEX(_TARGETS!$K$2:$K$17,MATCH("FAC",_TARGETS!$A$2:$A$17,0))</f>
        <v>OPS (carga manual en Datos)</v>
      </c>
      <c r="J112" s="258">
        <f t="shared" si="2"/>
        <v>46296</v>
      </c>
    </row>
    <row r="113" spans="1:10" ht="13.5" customHeight="1" x14ac:dyDescent="0.3">
      <c r="A113" t="s">
        <v>907</v>
      </c>
      <c r="B113" s="193" t="str">
        <f>YEAR(DATE(YEAR(RPT_MONTH),MONTH(RPT_MONTH)-7,1))&amp;"-"&amp;RIGHT("0"&amp;MONTH(DATE(YEAR(RPT_MONTH),MONTH(RPT_MONTH)-7,1)),2)</f>
        <v>2026-03</v>
      </c>
      <c r="C113" s="258">
        <f>DATE(YEAR(RPT_MONTH),MONTH(RPT_MONTH)-7,1)</f>
        <v>46082</v>
      </c>
      <c r="D113" t="s">
        <v>68</v>
      </c>
      <c r="E113" s="193" t="str">
        <f>IFERROR(INDEX(BD_KPIs!$F$2:$F$1300,MATCH(YEAR(DATE(YEAR(RPT_MONTH),MONTH(RPT_MONTH)-7,1))*100+MONTH(DATE(YEAR(RPT_MONTH),MONTH(RPT_MONTH)-7,1))&amp;"|FAC|Monthly",BD_KPIs!$Q$2:$Q$1300,0)),"")</f>
        <v/>
      </c>
      <c r="F113" s="193" t="str">
        <f>IFERROR(INDEX(BD_KPIs!$G$2:$G$1300,MATCH(YEAR(DATE(YEAR(RPT_MONTH),MONTH(RPT_MONTH)-7,1))*100+MONTH(DATE(YEAR(RPT_MONTH),MONTH(RPT_MONTH)-7,1))&amp;"|FAC|Monthly",BD_KPIs!$Q$2:$Q$1300,0)),"")</f>
        <v/>
      </c>
      <c r="G113" s="193" t="str">
        <f>IF(ISNUMBER(E113),IF(F113="","No target",IF(IFERROR(INDEX(BD_KPIs!$I$2:$I$1300,MATCH(YEAR(DATE(YEAR(RPT_MONTH),MONTH(RPT_MONTH)-7,1))*100+MONTH(DATE(YEAR(RPT_MONTH),MONTH(RPT_MONTH)-7,1))&amp;"|FAC|Monthly",BD_KPIs!$Q$2:$Q$1300,0)),"")="Sí","On target","Off target")),"No data")</f>
        <v>No data</v>
      </c>
      <c r="H113" s="193" t="str">
        <f>INDEX(_TARGETS!$D$2:$D$17,MATCH("FAC",_TARGETS!$A$2:$A$17,0))</f>
        <v>casos</v>
      </c>
      <c r="I113" s="193" t="str">
        <f>INDEX(_TARGETS!$K$2:$K$17,MATCH("FAC",_TARGETS!$A$2:$A$17,0))</f>
        <v>OPS (carga manual en Datos)</v>
      </c>
      <c r="J113" s="258">
        <f t="shared" si="2"/>
        <v>46296</v>
      </c>
    </row>
    <row r="114" spans="1:10" ht="13.5" customHeight="1" x14ac:dyDescent="0.3">
      <c r="A114" t="s">
        <v>907</v>
      </c>
      <c r="B114" s="193" t="str">
        <f>YEAR(DATE(YEAR(RPT_MONTH),MONTH(RPT_MONTH)-6,1))&amp;"-"&amp;RIGHT("0"&amp;MONTH(DATE(YEAR(RPT_MONTH),MONTH(RPT_MONTH)-6,1)),2)</f>
        <v>2026-04</v>
      </c>
      <c r="C114" s="258">
        <f>DATE(YEAR(RPT_MONTH),MONTH(RPT_MONTH)-6,1)</f>
        <v>46113</v>
      </c>
      <c r="D114" t="s">
        <v>68</v>
      </c>
      <c r="E114" s="193" t="str">
        <f>IFERROR(INDEX(BD_KPIs!$F$2:$F$1300,MATCH(YEAR(DATE(YEAR(RPT_MONTH),MONTH(RPT_MONTH)-6,1))*100+MONTH(DATE(YEAR(RPT_MONTH),MONTH(RPT_MONTH)-6,1))&amp;"|FAC|Monthly",BD_KPIs!$Q$2:$Q$1300,0)),"")</f>
        <v/>
      </c>
      <c r="F114" s="193" t="str">
        <f>IFERROR(INDEX(BD_KPIs!$G$2:$G$1300,MATCH(YEAR(DATE(YEAR(RPT_MONTH),MONTH(RPT_MONTH)-6,1))*100+MONTH(DATE(YEAR(RPT_MONTH),MONTH(RPT_MONTH)-6,1))&amp;"|FAC|Monthly",BD_KPIs!$Q$2:$Q$1300,0)),"")</f>
        <v/>
      </c>
      <c r="G114" s="193" t="str">
        <f>IF(ISNUMBER(E114),IF(F114="","No target",IF(IFERROR(INDEX(BD_KPIs!$I$2:$I$1300,MATCH(YEAR(DATE(YEAR(RPT_MONTH),MONTH(RPT_MONTH)-6,1))*100+MONTH(DATE(YEAR(RPT_MONTH),MONTH(RPT_MONTH)-6,1))&amp;"|FAC|Monthly",BD_KPIs!$Q$2:$Q$1300,0)),"")="Sí","On target","Off target")),"No data")</f>
        <v>No data</v>
      </c>
      <c r="H114" s="193" t="str">
        <f>INDEX(_TARGETS!$D$2:$D$17,MATCH("FAC",_TARGETS!$A$2:$A$17,0))</f>
        <v>casos</v>
      </c>
      <c r="I114" s="193" t="str">
        <f>INDEX(_TARGETS!$K$2:$K$17,MATCH("FAC",_TARGETS!$A$2:$A$17,0))</f>
        <v>OPS (carga manual en Datos)</v>
      </c>
      <c r="J114" s="258">
        <f t="shared" si="2"/>
        <v>46296</v>
      </c>
    </row>
    <row r="115" spans="1:10" ht="13.5" customHeight="1" x14ac:dyDescent="0.3">
      <c r="A115" t="s">
        <v>907</v>
      </c>
      <c r="B115" s="193" t="str">
        <f>YEAR(DATE(YEAR(RPT_MONTH),MONTH(RPT_MONTH)-5,1))&amp;"-"&amp;RIGHT("0"&amp;MONTH(DATE(YEAR(RPT_MONTH),MONTH(RPT_MONTH)-5,1)),2)</f>
        <v>2026-05</v>
      </c>
      <c r="C115" s="258">
        <f>DATE(YEAR(RPT_MONTH),MONTH(RPT_MONTH)-5,1)</f>
        <v>46143</v>
      </c>
      <c r="D115" t="s">
        <v>68</v>
      </c>
      <c r="E115" s="193" t="str">
        <f>IFERROR(INDEX(BD_KPIs!$F$2:$F$1300,MATCH(YEAR(DATE(YEAR(RPT_MONTH),MONTH(RPT_MONTH)-5,1))*100+MONTH(DATE(YEAR(RPT_MONTH),MONTH(RPT_MONTH)-5,1))&amp;"|FAC|Monthly",BD_KPIs!$Q$2:$Q$1300,0)),"")</f>
        <v/>
      </c>
      <c r="F115" s="193" t="str">
        <f>IFERROR(INDEX(BD_KPIs!$G$2:$G$1300,MATCH(YEAR(DATE(YEAR(RPT_MONTH),MONTH(RPT_MONTH)-5,1))*100+MONTH(DATE(YEAR(RPT_MONTH),MONTH(RPT_MONTH)-5,1))&amp;"|FAC|Monthly",BD_KPIs!$Q$2:$Q$1300,0)),"")</f>
        <v/>
      </c>
      <c r="G115" s="193" t="str">
        <f>IF(ISNUMBER(E115),IF(F115="","No target",IF(IFERROR(INDEX(BD_KPIs!$I$2:$I$1300,MATCH(YEAR(DATE(YEAR(RPT_MONTH),MONTH(RPT_MONTH)-5,1))*100+MONTH(DATE(YEAR(RPT_MONTH),MONTH(RPT_MONTH)-5,1))&amp;"|FAC|Monthly",BD_KPIs!$Q$2:$Q$1300,0)),"")="Sí","On target","Off target")),"No data")</f>
        <v>No data</v>
      </c>
      <c r="H115" s="193" t="str">
        <f>INDEX(_TARGETS!$D$2:$D$17,MATCH("FAC",_TARGETS!$A$2:$A$17,0))</f>
        <v>casos</v>
      </c>
      <c r="I115" s="193" t="str">
        <f>INDEX(_TARGETS!$K$2:$K$17,MATCH("FAC",_TARGETS!$A$2:$A$17,0))</f>
        <v>OPS (carga manual en Datos)</v>
      </c>
      <c r="J115" s="258">
        <f t="shared" si="2"/>
        <v>46296</v>
      </c>
    </row>
    <row r="116" spans="1:10" ht="13.5" customHeight="1" x14ac:dyDescent="0.3">
      <c r="A116" t="s">
        <v>907</v>
      </c>
      <c r="B116" s="193" t="str">
        <f>YEAR(DATE(YEAR(RPT_MONTH),MONTH(RPT_MONTH)-4,1))&amp;"-"&amp;RIGHT("0"&amp;MONTH(DATE(YEAR(RPT_MONTH),MONTH(RPT_MONTH)-4,1)),2)</f>
        <v>2026-06</v>
      </c>
      <c r="C116" s="258">
        <f>DATE(YEAR(RPT_MONTH),MONTH(RPT_MONTH)-4,1)</f>
        <v>46174</v>
      </c>
      <c r="D116" t="s">
        <v>68</v>
      </c>
      <c r="E116" s="193" t="str">
        <f>IFERROR(INDEX(BD_KPIs!$F$2:$F$1300,MATCH(YEAR(DATE(YEAR(RPT_MONTH),MONTH(RPT_MONTH)-4,1))*100+MONTH(DATE(YEAR(RPT_MONTH),MONTH(RPT_MONTH)-4,1))&amp;"|FAC|Monthly",BD_KPIs!$Q$2:$Q$1300,0)),"")</f>
        <v/>
      </c>
      <c r="F116" s="193" t="str">
        <f>IFERROR(INDEX(BD_KPIs!$G$2:$G$1300,MATCH(YEAR(DATE(YEAR(RPT_MONTH),MONTH(RPT_MONTH)-4,1))*100+MONTH(DATE(YEAR(RPT_MONTH),MONTH(RPT_MONTH)-4,1))&amp;"|FAC|Monthly",BD_KPIs!$Q$2:$Q$1300,0)),"")</f>
        <v/>
      </c>
      <c r="G116" s="193" t="str">
        <f>IF(ISNUMBER(E116),IF(F116="","No target",IF(IFERROR(INDEX(BD_KPIs!$I$2:$I$1300,MATCH(YEAR(DATE(YEAR(RPT_MONTH),MONTH(RPT_MONTH)-4,1))*100+MONTH(DATE(YEAR(RPT_MONTH),MONTH(RPT_MONTH)-4,1))&amp;"|FAC|Monthly",BD_KPIs!$Q$2:$Q$1300,0)),"")="Sí","On target","Off target")),"No data")</f>
        <v>No data</v>
      </c>
      <c r="H116" s="193" t="str">
        <f>INDEX(_TARGETS!$D$2:$D$17,MATCH("FAC",_TARGETS!$A$2:$A$17,0))</f>
        <v>casos</v>
      </c>
      <c r="I116" s="193" t="str">
        <f>INDEX(_TARGETS!$K$2:$K$17,MATCH("FAC",_TARGETS!$A$2:$A$17,0))</f>
        <v>OPS (carga manual en Datos)</v>
      </c>
      <c r="J116" s="258">
        <f t="shared" si="2"/>
        <v>46296</v>
      </c>
    </row>
    <row r="117" spans="1:10" ht="13.5" customHeight="1" x14ac:dyDescent="0.3">
      <c r="A117" t="s">
        <v>907</v>
      </c>
      <c r="B117" s="193" t="str">
        <f>YEAR(DATE(YEAR(RPT_MONTH),MONTH(RPT_MONTH)-3,1))&amp;"-"&amp;RIGHT("0"&amp;MONTH(DATE(YEAR(RPT_MONTH),MONTH(RPT_MONTH)-3,1)),2)</f>
        <v>2026-07</v>
      </c>
      <c r="C117" s="258">
        <f>DATE(YEAR(RPT_MONTH),MONTH(RPT_MONTH)-3,1)</f>
        <v>46204</v>
      </c>
      <c r="D117" t="s">
        <v>68</v>
      </c>
      <c r="E117" s="193" t="str">
        <f>IFERROR(INDEX(BD_KPIs!$F$2:$F$1300,MATCH(YEAR(DATE(YEAR(RPT_MONTH),MONTH(RPT_MONTH)-3,1))*100+MONTH(DATE(YEAR(RPT_MONTH),MONTH(RPT_MONTH)-3,1))&amp;"|FAC|Monthly",BD_KPIs!$Q$2:$Q$1300,0)),"")</f>
        <v/>
      </c>
      <c r="F117" s="193" t="str">
        <f>IFERROR(INDEX(BD_KPIs!$G$2:$G$1300,MATCH(YEAR(DATE(YEAR(RPT_MONTH),MONTH(RPT_MONTH)-3,1))*100+MONTH(DATE(YEAR(RPT_MONTH),MONTH(RPT_MONTH)-3,1))&amp;"|FAC|Monthly",BD_KPIs!$Q$2:$Q$1300,0)),"")</f>
        <v/>
      </c>
      <c r="G117" s="193" t="str">
        <f>IF(ISNUMBER(E117),IF(F117="","No target",IF(IFERROR(INDEX(BD_KPIs!$I$2:$I$1300,MATCH(YEAR(DATE(YEAR(RPT_MONTH),MONTH(RPT_MONTH)-3,1))*100+MONTH(DATE(YEAR(RPT_MONTH),MONTH(RPT_MONTH)-3,1))&amp;"|FAC|Monthly",BD_KPIs!$Q$2:$Q$1300,0)),"")="Sí","On target","Off target")),"No data")</f>
        <v>No data</v>
      </c>
      <c r="H117" s="193" t="str">
        <f>INDEX(_TARGETS!$D$2:$D$17,MATCH("FAC",_TARGETS!$A$2:$A$17,0))</f>
        <v>casos</v>
      </c>
      <c r="I117" s="193" t="str">
        <f>INDEX(_TARGETS!$K$2:$K$17,MATCH("FAC",_TARGETS!$A$2:$A$17,0))</f>
        <v>OPS (carga manual en Datos)</v>
      </c>
      <c r="J117" s="258">
        <f t="shared" si="2"/>
        <v>46296</v>
      </c>
    </row>
    <row r="118" spans="1:10" ht="13.5" customHeight="1" x14ac:dyDescent="0.3">
      <c r="A118" t="s">
        <v>907</v>
      </c>
      <c r="B118" s="193" t="str">
        <f>YEAR(DATE(YEAR(RPT_MONTH),MONTH(RPT_MONTH)-2,1))&amp;"-"&amp;RIGHT("0"&amp;MONTH(DATE(YEAR(RPT_MONTH),MONTH(RPT_MONTH)-2,1)),2)</f>
        <v>2026-08</v>
      </c>
      <c r="C118" s="258">
        <f>DATE(YEAR(RPT_MONTH),MONTH(RPT_MONTH)-2,1)</f>
        <v>46235</v>
      </c>
      <c r="D118" t="s">
        <v>68</v>
      </c>
      <c r="E118" s="193">
        <f>IFERROR(INDEX(BD_KPIs!$F$2:$F$1300,MATCH(YEAR(DATE(YEAR(RPT_MONTH),MONTH(RPT_MONTH)-2,1))*100+MONTH(DATE(YEAR(RPT_MONTH),MONTH(RPT_MONTH)-2,1))&amp;"|FAC|Monthly",BD_KPIs!$Q$2:$Q$1300,0)),"")</f>
        <v>0</v>
      </c>
      <c r="F118" s="193" t="str">
        <f>IFERROR(INDEX(BD_KPIs!$G$2:$G$1300,MATCH(YEAR(DATE(YEAR(RPT_MONTH),MONTH(RPT_MONTH)-2,1))*100+MONTH(DATE(YEAR(RPT_MONTH),MONTH(RPT_MONTH)-2,1))&amp;"|FAC|Monthly",BD_KPIs!$Q$2:$Q$1300,0)),"")</f>
        <v/>
      </c>
      <c r="G118" s="193" t="str">
        <f>IF(ISNUMBER(E118),IF(F118="","No target",IF(IFERROR(INDEX(BD_KPIs!$I$2:$I$1300,MATCH(YEAR(DATE(YEAR(RPT_MONTH),MONTH(RPT_MONTH)-2,1))*100+MONTH(DATE(YEAR(RPT_MONTH),MONTH(RPT_MONTH)-2,1))&amp;"|FAC|Monthly",BD_KPIs!$Q$2:$Q$1300,0)),"")="Sí","On target","Off target")),"No data")</f>
        <v>No target</v>
      </c>
      <c r="H118" s="193" t="str">
        <f>INDEX(_TARGETS!$D$2:$D$17,MATCH("FAC",_TARGETS!$A$2:$A$17,0))</f>
        <v>casos</v>
      </c>
      <c r="I118" s="193" t="str">
        <f>INDEX(_TARGETS!$K$2:$K$17,MATCH("FAC",_TARGETS!$A$2:$A$17,0))</f>
        <v>OPS (carga manual en Datos)</v>
      </c>
      <c r="J118" s="258">
        <f t="shared" si="2"/>
        <v>46296</v>
      </c>
    </row>
    <row r="119" spans="1:10" ht="13.5" customHeight="1" x14ac:dyDescent="0.3">
      <c r="A119" t="s">
        <v>907</v>
      </c>
      <c r="B119" s="193" t="str">
        <f>YEAR(DATE(YEAR(RPT_MONTH),MONTH(RPT_MONTH)-1,1))&amp;"-"&amp;RIGHT("0"&amp;MONTH(DATE(YEAR(RPT_MONTH),MONTH(RPT_MONTH)-1,1)),2)</f>
        <v>2026-09</v>
      </c>
      <c r="C119" s="258">
        <f>DATE(YEAR(RPT_MONTH),MONTH(RPT_MONTH)-1,1)</f>
        <v>46266</v>
      </c>
      <c r="D119" t="s">
        <v>68</v>
      </c>
      <c r="E119" s="193">
        <f>IFERROR(INDEX(BD_KPIs!$F$2:$F$1300,MATCH(YEAR(DATE(YEAR(RPT_MONTH),MONTH(RPT_MONTH)-1,1))*100+MONTH(DATE(YEAR(RPT_MONTH),MONTH(RPT_MONTH)-1,1))&amp;"|FAC|Monthly",BD_KPIs!$Q$2:$Q$1300,0)),"")</f>
        <v>0</v>
      </c>
      <c r="F119" s="193" t="str">
        <f>IFERROR(INDEX(BD_KPIs!$G$2:$G$1300,MATCH(YEAR(DATE(YEAR(RPT_MONTH),MONTH(RPT_MONTH)-1,1))*100+MONTH(DATE(YEAR(RPT_MONTH),MONTH(RPT_MONTH)-1,1))&amp;"|FAC|Monthly",BD_KPIs!$Q$2:$Q$1300,0)),"")</f>
        <v/>
      </c>
      <c r="G119" s="193" t="str">
        <f>IF(ISNUMBER(E119),IF(F119="","No target",IF(IFERROR(INDEX(BD_KPIs!$I$2:$I$1300,MATCH(YEAR(DATE(YEAR(RPT_MONTH),MONTH(RPT_MONTH)-1,1))*100+MONTH(DATE(YEAR(RPT_MONTH),MONTH(RPT_MONTH)-1,1))&amp;"|FAC|Monthly",BD_KPIs!$Q$2:$Q$1300,0)),"")="Sí","On target","Off target")),"No data")</f>
        <v>No target</v>
      </c>
      <c r="H119" s="193" t="str">
        <f>INDEX(_TARGETS!$D$2:$D$17,MATCH("FAC",_TARGETS!$A$2:$A$17,0))</f>
        <v>casos</v>
      </c>
      <c r="I119" s="193" t="str">
        <f>INDEX(_TARGETS!$K$2:$K$17,MATCH("FAC",_TARGETS!$A$2:$A$17,0))</f>
        <v>OPS (carga manual en Datos)</v>
      </c>
      <c r="J119" s="258">
        <f t="shared" si="2"/>
        <v>46296</v>
      </c>
    </row>
    <row r="120" spans="1:10" ht="13.5" customHeight="1" x14ac:dyDescent="0.3">
      <c r="A120" t="s">
        <v>907</v>
      </c>
      <c r="B120" s="193" t="str">
        <f>YEAR(DATE(YEAR(RPT_MONTH),MONTH(RPT_MONTH)-0,1))&amp;"-"&amp;RIGHT("0"&amp;MONTH(DATE(YEAR(RPT_MONTH),MONTH(RPT_MONTH)-0,1)),2)</f>
        <v>2026-10</v>
      </c>
      <c r="C120" s="258">
        <f>DATE(YEAR(RPT_MONTH),MONTH(RPT_MONTH)-0,1)</f>
        <v>46296</v>
      </c>
      <c r="D120" t="s">
        <v>68</v>
      </c>
      <c r="E120" s="193" t="str">
        <f>IFERROR(INDEX(BD_KPIs!$F$2:$F$1300,MATCH(YEAR(DATE(YEAR(RPT_MONTH),MONTH(RPT_MONTH)-0,1))*100+MONTH(DATE(YEAR(RPT_MONTH),MONTH(RPT_MONTH)-0,1))&amp;"|FAC|Monthly",BD_KPIs!$Q$2:$Q$1300,0)),"")</f>
        <v/>
      </c>
      <c r="F120" s="193" t="str">
        <f>IFERROR(INDEX(BD_KPIs!$G$2:$G$1300,MATCH(YEAR(DATE(YEAR(RPT_MONTH),MONTH(RPT_MONTH)-0,1))*100+MONTH(DATE(YEAR(RPT_MONTH),MONTH(RPT_MONTH)-0,1))&amp;"|FAC|Monthly",BD_KPIs!$Q$2:$Q$1300,0)),"")</f>
        <v/>
      </c>
      <c r="G120" s="193" t="str">
        <f>IF(ISNUMBER(E120),IF(F120="","No target",IF(IFERROR(INDEX(BD_KPIs!$I$2:$I$1300,MATCH(YEAR(DATE(YEAR(RPT_MONTH),MONTH(RPT_MONTH)-0,1))*100+MONTH(DATE(YEAR(RPT_MONTH),MONTH(RPT_MONTH)-0,1))&amp;"|FAC|Monthly",BD_KPIs!$Q$2:$Q$1300,0)),"")="Sí","On target","Off target")),"No data")</f>
        <v>No data</v>
      </c>
      <c r="H120" s="193" t="str">
        <f>INDEX(_TARGETS!$D$2:$D$17,MATCH("FAC",_TARGETS!$A$2:$A$17,0))</f>
        <v>casos</v>
      </c>
      <c r="I120" s="193" t="str">
        <f>INDEX(_TARGETS!$K$2:$K$17,MATCH("FAC",_TARGETS!$A$2:$A$17,0))</f>
        <v>OPS (carga manual en Datos)</v>
      </c>
      <c r="J120" s="258">
        <f t="shared" si="2"/>
        <v>46296</v>
      </c>
    </row>
    <row r="121" spans="1:10" ht="13.5" customHeight="1" x14ac:dyDescent="0.3">
      <c r="A121" t="s">
        <v>907</v>
      </c>
      <c r="B121" s="193" t="str">
        <f>YEAR(DATE(YEAR(RPT_MONTH),MONTH(RPT_MONTH)-11,1))&amp;"-"&amp;RIGHT("0"&amp;MONTH(DATE(YEAR(RPT_MONTH),MONTH(RPT_MONTH)-11,1)),2)</f>
        <v>2025-11</v>
      </c>
      <c r="C121" s="258">
        <f>DATE(YEAR(RPT_MONTH),MONTH(RPT_MONTH)-11,1)</f>
        <v>45962</v>
      </c>
      <c r="D121" t="s">
        <v>601</v>
      </c>
      <c r="E121" s="193" t="str">
        <f>IFERROR(INDEX(BD_KPIs!$F$2:$F$1300,MATCH(YEAR(DATE(YEAR(RPT_MONTH),MONTH(RPT_MONTH)-11,1))*100+MONTH(DATE(YEAR(RPT_MONTH),MONTH(RPT_MONTH)-11,1))&amp;"|FAC|YTD",BD_KPIs!$Q$2:$Q$1300,0)),"")</f>
        <v/>
      </c>
      <c r="F121" s="193" t="str">
        <f>IFERROR(INDEX(BD_KPIs!$G$2:$G$1300,MATCH(YEAR(DATE(YEAR(RPT_MONTH),MONTH(RPT_MONTH)-11,1))*100+MONTH(DATE(YEAR(RPT_MONTH),MONTH(RPT_MONTH)-11,1))&amp;"|FAC|YTD",BD_KPIs!$Q$2:$Q$1300,0)),"")</f>
        <v/>
      </c>
      <c r="G121" s="193" t="str">
        <f>IF(ISNUMBER(E121),IF(F121="","No target",IF(IFERROR(INDEX(BD_KPIs!$I$2:$I$1300,MATCH(YEAR(DATE(YEAR(RPT_MONTH),MONTH(RPT_MONTH)-11,1))*100+MONTH(DATE(YEAR(RPT_MONTH),MONTH(RPT_MONTH)-11,1))&amp;"|FAC|YTD",BD_KPIs!$Q$2:$Q$1300,0)),"")="Sí","On target","Off target")),"No data")</f>
        <v>No data</v>
      </c>
      <c r="H121" s="193" t="str">
        <f>INDEX(_TARGETS!$D$2:$D$17,MATCH("FAC",_TARGETS!$A$2:$A$17,0))</f>
        <v>casos</v>
      </c>
      <c r="I121" s="193" t="str">
        <f>INDEX(_TARGETS!$K$2:$K$17,MATCH("FAC",_TARGETS!$A$2:$A$17,0))</f>
        <v>OPS (carga manual en Datos)</v>
      </c>
      <c r="J121" s="258">
        <f t="shared" si="2"/>
        <v>46296</v>
      </c>
    </row>
    <row r="122" spans="1:10" ht="13.5" customHeight="1" x14ac:dyDescent="0.3">
      <c r="A122" t="s">
        <v>907</v>
      </c>
      <c r="B122" s="193" t="str">
        <f>YEAR(DATE(YEAR(RPT_MONTH),MONTH(RPT_MONTH)-10,1))&amp;"-"&amp;RIGHT("0"&amp;MONTH(DATE(YEAR(RPT_MONTH),MONTH(RPT_MONTH)-10,1)),2)</f>
        <v>2025-12</v>
      </c>
      <c r="C122" s="258">
        <f>DATE(YEAR(RPT_MONTH),MONTH(RPT_MONTH)-10,1)</f>
        <v>45992</v>
      </c>
      <c r="D122" t="s">
        <v>601</v>
      </c>
      <c r="E122" s="193" t="str">
        <f>IFERROR(INDEX(BD_KPIs!$F$2:$F$1300,MATCH(YEAR(DATE(YEAR(RPT_MONTH),MONTH(RPT_MONTH)-10,1))*100+MONTH(DATE(YEAR(RPT_MONTH),MONTH(RPT_MONTH)-10,1))&amp;"|FAC|YTD",BD_KPIs!$Q$2:$Q$1300,0)),"")</f>
        <v/>
      </c>
      <c r="F122" s="193" t="str">
        <f>IFERROR(INDEX(BD_KPIs!$G$2:$G$1300,MATCH(YEAR(DATE(YEAR(RPT_MONTH),MONTH(RPT_MONTH)-10,1))*100+MONTH(DATE(YEAR(RPT_MONTH),MONTH(RPT_MONTH)-10,1))&amp;"|FAC|YTD",BD_KPIs!$Q$2:$Q$1300,0)),"")</f>
        <v/>
      </c>
      <c r="G122" s="193" t="str">
        <f>IF(ISNUMBER(E122),IF(F122="","No target",IF(IFERROR(INDEX(BD_KPIs!$I$2:$I$1300,MATCH(YEAR(DATE(YEAR(RPT_MONTH),MONTH(RPT_MONTH)-10,1))*100+MONTH(DATE(YEAR(RPT_MONTH),MONTH(RPT_MONTH)-10,1))&amp;"|FAC|YTD",BD_KPIs!$Q$2:$Q$1300,0)),"")="Sí","On target","Off target")),"No data")</f>
        <v>No data</v>
      </c>
      <c r="H122" s="193" t="str">
        <f>INDEX(_TARGETS!$D$2:$D$17,MATCH("FAC",_TARGETS!$A$2:$A$17,0))</f>
        <v>casos</v>
      </c>
      <c r="I122" s="193" t="str">
        <f>INDEX(_TARGETS!$K$2:$K$17,MATCH("FAC",_TARGETS!$A$2:$A$17,0))</f>
        <v>OPS (carga manual en Datos)</v>
      </c>
      <c r="J122" s="258">
        <f t="shared" si="2"/>
        <v>46296</v>
      </c>
    </row>
    <row r="123" spans="1:10" ht="13.5" customHeight="1" x14ac:dyDescent="0.3">
      <c r="A123" t="s">
        <v>907</v>
      </c>
      <c r="B123" s="193" t="str">
        <f>YEAR(DATE(YEAR(RPT_MONTH),MONTH(RPT_MONTH)-9,1))&amp;"-"&amp;RIGHT("0"&amp;MONTH(DATE(YEAR(RPT_MONTH),MONTH(RPT_MONTH)-9,1)),2)</f>
        <v>2026-01</v>
      </c>
      <c r="C123" s="258">
        <f>DATE(YEAR(RPT_MONTH),MONTH(RPT_MONTH)-9,1)</f>
        <v>46023</v>
      </c>
      <c r="D123" t="s">
        <v>601</v>
      </c>
      <c r="E123" s="193" t="str">
        <f>IFERROR(INDEX(BD_KPIs!$F$2:$F$1300,MATCH(YEAR(DATE(YEAR(RPT_MONTH),MONTH(RPT_MONTH)-9,1))*100+MONTH(DATE(YEAR(RPT_MONTH),MONTH(RPT_MONTH)-9,1))&amp;"|FAC|YTD",BD_KPIs!$Q$2:$Q$1300,0)),"")</f>
        <v/>
      </c>
      <c r="F123" s="193" t="str">
        <f>IFERROR(INDEX(BD_KPIs!$G$2:$G$1300,MATCH(YEAR(DATE(YEAR(RPT_MONTH),MONTH(RPT_MONTH)-9,1))*100+MONTH(DATE(YEAR(RPT_MONTH),MONTH(RPT_MONTH)-9,1))&amp;"|FAC|YTD",BD_KPIs!$Q$2:$Q$1300,0)),"")</f>
        <v/>
      </c>
      <c r="G123" s="193" t="str">
        <f>IF(ISNUMBER(E123),IF(F123="","No target",IF(IFERROR(INDEX(BD_KPIs!$I$2:$I$1300,MATCH(YEAR(DATE(YEAR(RPT_MONTH),MONTH(RPT_MONTH)-9,1))*100+MONTH(DATE(YEAR(RPT_MONTH),MONTH(RPT_MONTH)-9,1))&amp;"|FAC|YTD",BD_KPIs!$Q$2:$Q$1300,0)),"")="Sí","On target","Off target")),"No data")</f>
        <v>No data</v>
      </c>
      <c r="H123" s="193" t="str">
        <f>INDEX(_TARGETS!$D$2:$D$17,MATCH("FAC",_TARGETS!$A$2:$A$17,0))</f>
        <v>casos</v>
      </c>
      <c r="I123" s="193" t="str">
        <f>INDEX(_TARGETS!$K$2:$K$17,MATCH("FAC",_TARGETS!$A$2:$A$17,0))</f>
        <v>OPS (carga manual en Datos)</v>
      </c>
      <c r="J123" s="258">
        <f t="shared" si="2"/>
        <v>46296</v>
      </c>
    </row>
    <row r="124" spans="1:10" ht="13.5" customHeight="1" x14ac:dyDescent="0.3">
      <c r="A124" t="s">
        <v>907</v>
      </c>
      <c r="B124" s="193" t="str">
        <f>YEAR(DATE(YEAR(RPT_MONTH),MONTH(RPT_MONTH)-8,1))&amp;"-"&amp;RIGHT("0"&amp;MONTH(DATE(YEAR(RPT_MONTH),MONTH(RPT_MONTH)-8,1)),2)</f>
        <v>2026-02</v>
      </c>
      <c r="C124" s="258">
        <f>DATE(YEAR(RPT_MONTH),MONTH(RPT_MONTH)-8,1)</f>
        <v>46054</v>
      </c>
      <c r="D124" t="s">
        <v>601</v>
      </c>
      <c r="E124" s="193" t="str">
        <f>IFERROR(INDEX(BD_KPIs!$F$2:$F$1300,MATCH(YEAR(DATE(YEAR(RPT_MONTH),MONTH(RPT_MONTH)-8,1))*100+MONTH(DATE(YEAR(RPT_MONTH),MONTH(RPT_MONTH)-8,1))&amp;"|FAC|YTD",BD_KPIs!$Q$2:$Q$1300,0)),"")</f>
        <v/>
      </c>
      <c r="F124" s="193" t="str">
        <f>IFERROR(INDEX(BD_KPIs!$G$2:$G$1300,MATCH(YEAR(DATE(YEAR(RPT_MONTH),MONTH(RPT_MONTH)-8,1))*100+MONTH(DATE(YEAR(RPT_MONTH),MONTH(RPT_MONTH)-8,1))&amp;"|FAC|YTD",BD_KPIs!$Q$2:$Q$1300,0)),"")</f>
        <v/>
      </c>
      <c r="G124" s="193" t="str">
        <f>IF(ISNUMBER(E124),IF(F124="","No target",IF(IFERROR(INDEX(BD_KPIs!$I$2:$I$1300,MATCH(YEAR(DATE(YEAR(RPT_MONTH),MONTH(RPT_MONTH)-8,1))*100+MONTH(DATE(YEAR(RPT_MONTH),MONTH(RPT_MONTH)-8,1))&amp;"|FAC|YTD",BD_KPIs!$Q$2:$Q$1300,0)),"")="Sí","On target","Off target")),"No data")</f>
        <v>No data</v>
      </c>
      <c r="H124" s="193" t="str">
        <f>INDEX(_TARGETS!$D$2:$D$17,MATCH("FAC",_TARGETS!$A$2:$A$17,0))</f>
        <v>casos</v>
      </c>
      <c r="I124" s="193" t="str">
        <f>INDEX(_TARGETS!$K$2:$K$17,MATCH("FAC",_TARGETS!$A$2:$A$17,0))</f>
        <v>OPS (carga manual en Datos)</v>
      </c>
      <c r="J124" s="258">
        <f t="shared" si="2"/>
        <v>46296</v>
      </c>
    </row>
    <row r="125" spans="1:10" ht="13.5" customHeight="1" x14ac:dyDescent="0.3">
      <c r="A125" t="s">
        <v>907</v>
      </c>
      <c r="B125" s="193" t="str">
        <f>YEAR(DATE(YEAR(RPT_MONTH),MONTH(RPT_MONTH)-7,1))&amp;"-"&amp;RIGHT("0"&amp;MONTH(DATE(YEAR(RPT_MONTH),MONTH(RPT_MONTH)-7,1)),2)</f>
        <v>2026-03</v>
      </c>
      <c r="C125" s="258">
        <f>DATE(YEAR(RPT_MONTH),MONTH(RPT_MONTH)-7,1)</f>
        <v>46082</v>
      </c>
      <c r="D125" t="s">
        <v>601</v>
      </c>
      <c r="E125" s="193" t="str">
        <f>IFERROR(INDEX(BD_KPIs!$F$2:$F$1300,MATCH(YEAR(DATE(YEAR(RPT_MONTH),MONTH(RPT_MONTH)-7,1))*100+MONTH(DATE(YEAR(RPT_MONTH),MONTH(RPT_MONTH)-7,1))&amp;"|FAC|YTD",BD_KPIs!$Q$2:$Q$1300,0)),"")</f>
        <v/>
      </c>
      <c r="F125" s="193" t="str">
        <f>IFERROR(INDEX(BD_KPIs!$G$2:$G$1300,MATCH(YEAR(DATE(YEAR(RPT_MONTH),MONTH(RPT_MONTH)-7,1))*100+MONTH(DATE(YEAR(RPT_MONTH),MONTH(RPT_MONTH)-7,1))&amp;"|FAC|YTD",BD_KPIs!$Q$2:$Q$1300,0)),"")</f>
        <v/>
      </c>
      <c r="G125" s="193" t="str">
        <f>IF(ISNUMBER(E125),IF(F125="","No target",IF(IFERROR(INDEX(BD_KPIs!$I$2:$I$1300,MATCH(YEAR(DATE(YEAR(RPT_MONTH),MONTH(RPT_MONTH)-7,1))*100+MONTH(DATE(YEAR(RPT_MONTH),MONTH(RPT_MONTH)-7,1))&amp;"|FAC|YTD",BD_KPIs!$Q$2:$Q$1300,0)),"")="Sí","On target","Off target")),"No data")</f>
        <v>No data</v>
      </c>
      <c r="H125" s="193" t="str">
        <f>INDEX(_TARGETS!$D$2:$D$17,MATCH("FAC",_TARGETS!$A$2:$A$17,0))</f>
        <v>casos</v>
      </c>
      <c r="I125" s="193" t="str">
        <f>INDEX(_TARGETS!$K$2:$K$17,MATCH("FAC",_TARGETS!$A$2:$A$17,0))</f>
        <v>OPS (carga manual en Datos)</v>
      </c>
      <c r="J125" s="258">
        <f t="shared" si="2"/>
        <v>46296</v>
      </c>
    </row>
    <row r="126" spans="1:10" ht="13.5" customHeight="1" x14ac:dyDescent="0.3">
      <c r="A126" t="s">
        <v>907</v>
      </c>
      <c r="B126" s="193" t="str">
        <f>YEAR(DATE(YEAR(RPT_MONTH),MONTH(RPT_MONTH)-6,1))&amp;"-"&amp;RIGHT("0"&amp;MONTH(DATE(YEAR(RPT_MONTH),MONTH(RPT_MONTH)-6,1)),2)</f>
        <v>2026-04</v>
      </c>
      <c r="C126" s="258">
        <f>DATE(YEAR(RPT_MONTH),MONTH(RPT_MONTH)-6,1)</f>
        <v>46113</v>
      </c>
      <c r="D126" t="s">
        <v>601</v>
      </c>
      <c r="E126" s="193" t="str">
        <f>IFERROR(INDEX(BD_KPIs!$F$2:$F$1300,MATCH(YEAR(DATE(YEAR(RPT_MONTH),MONTH(RPT_MONTH)-6,1))*100+MONTH(DATE(YEAR(RPT_MONTH),MONTH(RPT_MONTH)-6,1))&amp;"|FAC|YTD",BD_KPIs!$Q$2:$Q$1300,0)),"")</f>
        <v/>
      </c>
      <c r="F126" s="193" t="str">
        <f>IFERROR(INDEX(BD_KPIs!$G$2:$G$1300,MATCH(YEAR(DATE(YEAR(RPT_MONTH),MONTH(RPT_MONTH)-6,1))*100+MONTH(DATE(YEAR(RPT_MONTH),MONTH(RPT_MONTH)-6,1))&amp;"|FAC|YTD",BD_KPIs!$Q$2:$Q$1300,0)),"")</f>
        <v/>
      </c>
      <c r="G126" s="193" t="str">
        <f>IF(ISNUMBER(E126),IF(F126="","No target",IF(IFERROR(INDEX(BD_KPIs!$I$2:$I$1300,MATCH(YEAR(DATE(YEAR(RPT_MONTH),MONTH(RPT_MONTH)-6,1))*100+MONTH(DATE(YEAR(RPT_MONTH),MONTH(RPT_MONTH)-6,1))&amp;"|FAC|YTD",BD_KPIs!$Q$2:$Q$1300,0)),"")="Sí","On target","Off target")),"No data")</f>
        <v>No data</v>
      </c>
      <c r="H126" s="193" t="str">
        <f>INDEX(_TARGETS!$D$2:$D$17,MATCH("FAC",_TARGETS!$A$2:$A$17,0))</f>
        <v>casos</v>
      </c>
      <c r="I126" s="193" t="str">
        <f>INDEX(_TARGETS!$K$2:$K$17,MATCH("FAC",_TARGETS!$A$2:$A$17,0))</f>
        <v>OPS (carga manual en Datos)</v>
      </c>
      <c r="J126" s="258">
        <f t="shared" si="2"/>
        <v>46296</v>
      </c>
    </row>
    <row r="127" spans="1:10" ht="13.5" customHeight="1" x14ac:dyDescent="0.3">
      <c r="A127" t="s">
        <v>907</v>
      </c>
      <c r="B127" s="193" t="str">
        <f>YEAR(DATE(YEAR(RPT_MONTH),MONTH(RPT_MONTH)-5,1))&amp;"-"&amp;RIGHT("0"&amp;MONTH(DATE(YEAR(RPT_MONTH),MONTH(RPT_MONTH)-5,1)),2)</f>
        <v>2026-05</v>
      </c>
      <c r="C127" s="258">
        <f>DATE(YEAR(RPT_MONTH),MONTH(RPT_MONTH)-5,1)</f>
        <v>46143</v>
      </c>
      <c r="D127" t="s">
        <v>601</v>
      </c>
      <c r="E127" s="193" t="str">
        <f>IFERROR(INDEX(BD_KPIs!$F$2:$F$1300,MATCH(YEAR(DATE(YEAR(RPT_MONTH),MONTH(RPT_MONTH)-5,1))*100+MONTH(DATE(YEAR(RPT_MONTH),MONTH(RPT_MONTH)-5,1))&amp;"|FAC|YTD",BD_KPIs!$Q$2:$Q$1300,0)),"")</f>
        <v/>
      </c>
      <c r="F127" s="193" t="str">
        <f>IFERROR(INDEX(BD_KPIs!$G$2:$G$1300,MATCH(YEAR(DATE(YEAR(RPT_MONTH),MONTH(RPT_MONTH)-5,1))*100+MONTH(DATE(YEAR(RPT_MONTH),MONTH(RPT_MONTH)-5,1))&amp;"|FAC|YTD",BD_KPIs!$Q$2:$Q$1300,0)),"")</f>
        <v/>
      </c>
      <c r="G127" s="193" t="str">
        <f>IF(ISNUMBER(E127),IF(F127="","No target",IF(IFERROR(INDEX(BD_KPIs!$I$2:$I$1300,MATCH(YEAR(DATE(YEAR(RPT_MONTH),MONTH(RPT_MONTH)-5,1))*100+MONTH(DATE(YEAR(RPT_MONTH),MONTH(RPT_MONTH)-5,1))&amp;"|FAC|YTD",BD_KPIs!$Q$2:$Q$1300,0)),"")="Sí","On target","Off target")),"No data")</f>
        <v>No data</v>
      </c>
      <c r="H127" s="193" t="str">
        <f>INDEX(_TARGETS!$D$2:$D$17,MATCH("FAC",_TARGETS!$A$2:$A$17,0))</f>
        <v>casos</v>
      </c>
      <c r="I127" s="193" t="str">
        <f>INDEX(_TARGETS!$K$2:$K$17,MATCH("FAC",_TARGETS!$A$2:$A$17,0))</f>
        <v>OPS (carga manual en Datos)</v>
      </c>
      <c r="J127" s="258">
        <f t="shared" si="2"/>
        <v>46296</v>
      </c>
    </row>
    <row r="128" spans="1:10" ht="13.5" customHeight="1" x14ac:dyDescent="0.3">
      <c r="A128" t="s">
        <v>907</v>
      </c>
      <c r="B128" s="193" t="str">
        <f>YEAR(DATE(YEAR(RPT_MONTH),MONTH(RPT_MONTH)-4,1))&amp;"-"&amp;RIGHT("0"&amp;MONTH(DATE(YEAR(RPT_MONTH),MONTH(RPT_MONTH)-4,1)),2)</f>
        <v>2026-06</v>
      </c>
      <c r="C128" s="258">
        <f>DATE(YEAR(RPT_MONTH),MONTH(RPT_MONTH)-4,1)</f>
        <v>46174</v>
      </c>
      <c r="D128" t="s">
        <v>601</v>
      </c>
      <c r="E128" s="193" t="str">
        <f>IFERROR(INDEX(BD_KPIs!$F$2:$F$1300,MATCH(YEAR(DATE(YEAR(RPT_MONTH),MONTH(RPT_MONTH)-4,1))*100+MONTH(DATE(YEAR(RPT_MONTH),MONTH(RPT_MONTH)-4,1))&amp;"|FAC|YTD",BD_KPIs!$Q$2:$Q$1300,0)),"")</f>
        <v/>
      </c>
      <c r="F128" s="193" t="str">
        <f>IFERROR(INDEX(BD_KPIs!$G$2:$G$1300,MATCH(YEAR(DATE(YEAR(RPT_MONTH),MONTH(RPT_MONTH)-4,1))*100+MONTH(DATE(YEAR(RPT_MONTH),MONTH(RPT_MONTH)-4,1))&amp;"|FAC|YTD",BD_KPIs!$Q$2:$Q$1300,0)),"")</f>
        <v/>
      </c>
      <c r="G128" s="193" t="str">
        <f>IF(ISNUMBER(E128),IF(F128="","No target",IF(IFERROR(INDEX(BD_KPIs!$I$2:$I$1300,MATCH(YEAR(DATE(YEAR(RPT_MONTH),MONTH(RPT_MONTH)-4,1))*100+MONTH(DATE(YEAR(RPT_MONTH),MONTH(RPT_MONTH)-4,1))&amp;"|FAC|YTD",BD_KPIs!$Q$2:$Q$1300,0)),"")="Sí","On target","Off target")),"No data")</f>
        <v>No data</v>
      </c>
      <c r="H128" s="193" t="str">
        <f>INDEX(_TARGETS!$D$2:$D$17,MATCH("FAC",_TARGETS!$A$2:$A$17,0))</f>
        <v>casos</v>
      </c>
      <c r="I128" s="193" t="str">
        <f>INDEX(_TARGETS!$K$2:$K$17,MATCH("FAC",_TARGETS!$A$2:$A$17,0))</f>
        <v>OPS (carga manual en Datos)</v>
      </c>
      <c r="J128" s="258">
        <f t="shared" si="2"/>
        <v>46296</v>
      </c>
    </row>
    <row r="129" spans="1:10" ht="13.5" customHeight="1" x14ac:dyDescent="0.3">
      <c r="A129" t="s">
        <v>907</v>
      </c>
      <c r="B129" s="193" t="str">
        <f>YEAR(DATE(YEAR(RPT_MONTH),MONTH(RPT_MONTH)-3,1))&amp;"-"&amp;RIGHT("0"&amp;MONTH(DATE(YEAR(RPT_MONTH),MONTH(RPT_MONTH)-3,1)),2)</f>
        <v>2026-07</v>
      </c>
      <c r="C129" s="258">
        <f>DATE(YEAR(RPT_MONTH),MONTH(RPT_MONTH)-3,1)</f>
        <v>46204</v>
      </c>
      <c r="D129" t="s">
        <v>601</v>
      </c>
      <c r="E129" s="193" t="str">
        <f>IFERROR(INDEX(BD_KPIs!$F$2:$F$1300,MATCH(YEAR(DATE(YEAR(RPT_MONTH),MONTH(RPT_MONTH)-3,1))*100+MONTH(DATE(YEAR(RPT_MONTH),MONTH(RPT_MONTH)-3,1))&amp;"|FAC|YTD",BD_KPIs!$Q$2:$Q$1300,0)),"")</f>
        <v/>
      </c>
      <c r="F129" s="193" t="str">
        <f>IFERROR(INDEX(BD_KPIs!$G$2:$G$1300,MATCH(YEAR(DATE(YEAR(RPT_MONTH),MONTH(RPT_MONTH)-3,1))*100+MONTH(DATE(YEAR(RPT_MONTH),MONTH(RPT_MONTH)-3,1))&amp;"|FAC|YTD",BD_KPIs!$Q$2:$Q$1300,0)),"")</f>
        <v/>
      </c>
      <c r="G129" s="193" t="str">
        <f>IF(ISNUMBER(E129),IF(F129="","No target",IF(IFERROR(INDEX(BD_KPIs!$I$2:$I$1300,MATCH(YEAR(DATE(YEAR(RPT_MONTH),MONTH(RPT_MONTH)-3,1))*100+MONTH(DATE(YEAR(RPT_MONTH),MONTH(RPT_MONTH)-3,1))&amp;"|FAC|YTD",BD_KPIs!$Q$2:$Q$1300,0)),"")="Sí","On target","Off target")),"No data")</f>
        <v>No data</v>
      </c>
      <c r="H129" s="193" t="str">
        <f>INDEX(_TARGETS!$D$2:$D$17,MATCH("FAC",_TARGETS!$A$2:$A$17,0))</f>
        <v>casos</v>
      </c>
      <c r="I129" s="193" t="str">
        <f>INDEX(_TARGETS!$K$2:$K$17,MATCH("FAC",_TARGETS!$A$2:$A$17,0))</f>
        <v>OPS (carga manual en Datos)</v>
      </c>
      <c r="J129" s="258">
        <f t="shared" si="2"/>
        <v>46296</v>
      </c>
    </row>
    <row r="130" spans="1:10" ht="13.5" customHeight="1" x14ac:dyDescent="0.3">
      <c r="A130" t="s">
        <v>907</v>
      </c>
      <c r="B130" s="193" t="str">
        <f>YEAR(DATE(YEAR(RPT_MONTH),MONTH(RPT_MONTH)-2,1))&amp;"-"&amp;RIGHT("0"&amp;MONTH(DATE(YEAR(RPT_MONTH),MONTH(RPT_MONTH)-2,1)),2)</f>
        <v>2026-08</v>
      </c>
      <c r="C130" s="258">
        <f>DATE(YEAR(RPT_MONTH),MONTH(RPT_MONTH)-2,1)</f>
        <v>46235</v>
      </c>
      <c r="D130" t="s">
        <v>601</v>
      </c>
      <c r="E130" s="193">
        <f>IFERROR(INDEX(BD_KPIs!$F$2:$F$1300,MATCH(YEAR(DATE(YEAR(RPT_MONTH),MONTH(RPT_MONTH)-2,1))*100+MONTH(DATE(YEAR(RPT_MONTH),MONTH(RPT_MONTH)-2,1))&amp;"|FAC|YTD",BD_KPIs!$Q$2:$Q$1300,0)),"")</f>
        <v>0</v>
      </c>
      <c r="F130" s="193" t="str">
        <f>IFERROR(INDEX(BD_KPIs!$G$2:$G$1300,MATCH(YEAR(DATE(YEAR(RPT_MONTH),MONTH(RPT_MONTH)-2,1))*100+MONTH(DATE(YEAR(RPT_MONTH),MONTH(RPT_MONTH)-2,1))&amp;"|FAC|YTD",BD_KPIs!$Q$2:$Q$1300,0)),"")</f>
        <v/>
      </c>
      <c r="G130" s="193" t="str">
        <f>IF(ISNUMBER(E130),IF(F130="","No target",IF(IFERROR(INDEX(BD_KPIs!$I$2:$I$1300,MATCH(YEAR(DATE(YEAR(RPT_MONTH),MONTH(RPT_MONTH)-2,1))*100+MONTH(DATE(YEAR(RPT_MONTH),MONTH(RPT_MONTH)-2,1))&amp;"|FAC|YTD",BD_KPIs!$Q$2:$Q$1300,0)),"")="Sí","On target","Off target")),"No data")</f>
        <v>No target</v>
      </c>
      <c r="H130" s="193" t="str">
        <f>INDEX(_TARGETS!$D$2:$D$17,MATCH("FAC",_TARGETS!$A$2:$A$17,0))</f>
        <v>casos</v>
      </c>
      <c r="I130" s="193" t="str">
        <f>INDEX(_TARGETS!$K$2:$K$17,MATCH("FAC",_TARGETS!$A$2:$A$17,0))</f>
        <v>OPS (carga manual en Datos)</v>
      </c>
      <c r="J130" s="258">
        <f t="shared" ref="J130:J193" si="3">RPT_MONTH</f>
        <v>46296</v>
      </c>
    </row>
    <row r="131" spans="1:10" ht="13.5" customHeight="1" x14ac:dyDescent="0.3">
      <c r="A131" t="s">
        <v>907</v>
      </c>
      <c r="B131" s="193" t="str">
        <f>YEAR(DATE(YEAR(RPT_MONTH),MONTH(RPT_MONTH)-1,1))&amp;"-"&amp;RIGHT("0"&amp;MONTH(DATE(YEAR(RPT_MONTH),MONTH(RPT_MONTH)-1,1)),2)</f>
        <v>2026-09</v>
      </c>
      <c r="C131" s="258">
        <f>DATE(YEAR(RPT_MONTH),MONTH(RPT_MONTH)-1,1)</f>
        <v>46266</v>
      </c>
      <c r="D131" t="s">
        <v>601</v>
      </c>
      <c r="E131" s="193">
        <f>IFERROR(INDEX(BD_KPIs!$F$2:$F$1300,MATCH(YEAR(DATE(YEAR(RPT_MONTH),MONTH(RPT_MONTH)-1,1))*100+MONTH(DATE(YEAR(RPT_MONTH),MONTH(RPT_MONTH)-1,1))&amp;"|FAC|YTD",BD_KPIs!$Q$2:$Q$1300,0)),"")</f>
        <v>0</v>
      </c>
      <c r="F131" s="193" t="str">
        <f>IFERROR(INDEX(BD_KPIs!$G$2:$G$1300,MATCH(YEAR(DATE(YEAR(RPT_MONTH),MONTH(RPT_MONTH)-1,1))*100+MONTH(DATE(YEAR(RPT_MONTH),MONTH(RPT_MONTH)-1,1))&amp;"|FAC|YTD",BD_KPIs!$Q$2:$Q$1300,0)),"")</f>
        <v/>
      </c>
      <c r="G131" s="193" t="str">
        <f>IF(ISNUMBER(E131),IF(F131="","No target",IF(IFERROR(INDEX(BD_KPIs!$I$2:$I$1300,MATCH(YEAR(DATE(YEAR(RPT_MONTH),MONTH(RPT_MONTH)-1,1))*100+MONTH(DATE(YEAR(RPT_MONTH),MONTH(RPT_MONTH)-1,1))&amp;"|FAC|YTD",BD_KPIs!$Q$2:$Q$1300,0)),"")="Sí","On target","Off target")),"No data")</f>
        <v>No target</v>
      </c>
      <c r="H131" s="193" t="str">
        <f>INDEX(_TARGETS!$D$2:$D$17,MATCH("FAC",_TARGETS!$A$2:$A$17,0))</f>
        <v>casos</v>
      </c>
      <c r="I131" s="193" t="str">
        <f>INDEX(_TARGETS!$K$2:$K$17,MATCH("FAC",_TARGETS!$A$2:$A$17,0))</f>
        <v>OPS (carga manual en Datos)</v>
      </c>
      <c r="J131" s="258">
        <f t="shared" si="3"/>
        <v>46296</v>
      </c>
    </row>
    <row r="132" spans="1:10" ht="13.5" customHeight="1" x14ac:dyDescent="0.3">
      <c r="A132" t="s">
        <v>907</v>
      </c>
      <c r="B132" s="193" t="str">
        <f>YEAR(DATE(YEAR(RPT_MONTH),MONTH(RPT_MONTH)-0,1))&amp;"-"&amp;RIGHT("0"&amp;MONTH(DATE(YEAR(RPT_MONTH),MONTH(RPT_MONTH)-0,1)),2)</f>
        <v>2026-10</v>
      </c>
      <c r="C132" s="258">
        <f>DATE(YEAR(RPT_MONTH),MONTH(RPT_MONTH)-0,1)</f>
        <v>46296</v>
      </c>
      <c r="D132" t="s">
        <v>601</v>
      </c>
      <c r="E132" s="193" t="str">
        <f>IFERROR(INDEX(BD_KPIs!$F$2:$F$1300,MATCH(YEAR(DATE(YEAR(RPT_MONTH),MONTH(RPT_MONTH)-0,1))*100+MONTH(DATE(YEAR(RPT_MONTH),MONTH(RPT_MONTH)-0,1))&amp;"|FAC|YTD",BD_KPIs!$Q$2:$Q$1300,0)),"")</f>
        <v/>
      </c>
      <c r="F132" s="193" t="str">
        <f>IFERROR(INDEX(BD_KPIs!$G$2:$G$1300,MATCH(YEAR(DATE(YEAR(RPT_MONTH),MONTH(RPT_MONTH)-0,1))*100+MONTH(DATE(YEAR(RPT_MONTH),MONTH(RPT_MONTH)-0,1))&amp;"|FAC|YTD",BD_KPIs!$Q$2:$Q$1300,0)),"")</f>
        <v/>
      </c>
      <c r="G132" s="193" t="str">
        <f>IF(ISNUMBER(E132),IF(F132="","No target",IF(IFERROR(INDEX(BD_KPIs!$I$2:$I$1300,MATCH(YEAR(DATE(YEAR(RPT_MONTH),MONTH(RPT_MONTH)-0,1))*100+MONTH(DATE(YEAR(RPT_MONTH),MONTH(RPT_MONTH)-0,1))&amp;"|FAC|YTD",BD_KPIs!$Q$2:$Q$1300,0)),"")="Sí","On target","Off target")),"No data")</f>
        <v>No data</v>
      </c>
      <c r="H132" s="193" t="str">
        <f>INDEX(_TARGETS!$D$2:$D$17,MATCH("FAC",_TARGETS!$A$2:$A$17,0))</f>
        <v>casos</v>
      </c>
      <c r="I132" s="193" t="str">
        <f>INDEX(_TARGETS!$K$2:$K$17,MATCH("FAC",_TARGETS!$A$2:$A$17,0))</f>
        <v>OPS (carga manual en Datos)</v>
      </c>
      <c r="J132" s="258">
        <f t="shared" si="3"/>
        <v>46296</v>
      </c>
    </row>
    <row r="133" spans="1:10" ht="13.5" customHeight="1" x14ac:dyDescent="0.3">
      <c r="A133" t="s">
        <v>907</v>
      </c>
      <c r="B133" s="193" t="str">
        <f>YEAR(DATE(YEAR(RPT_MONTH),MONTH(RPT_MONTH)-11,1))&amp;"-"&amp;RIGHT("0"&amp;MONTH(DATE(YEAR(RPT_MONTH),MONTH(RPT_MONTH)-11,1)),2)</f>
        <v>2025-11</v>
      </c>
      <c r="C133" s="258">
        <f>DATE(YEAR(RPT_MONTH),MONTH(RPT_MONTH)-11,1)</f>
        <v>45962</v>
      </c>
      <c r="D133" t="s">
        <v>904</v>
      </c>
      <c r="E133" s="193" t="str">
        <f>IFERROR(INDEX(BD_KPIs!$F$2:$F$1300,MATCH(YEAR(DATE(YEAR(RPT_MONTH),MONTH(RPT_MONTH)-11,1))*100+MONTH(DATE(YEAR(RPT_MONTH),MONTH(RPT_MONTH)-11,1))&amp;"|FAC|Cumulative",BD_KPIs!$Q$2:$Q$1300,0)),"")</f>
        <v/>
      </c>
      <c r="F133" s="193" t="str">
        <f>IFERROR(INDEX(BD_KPIs!$G$2:$G$1300,MATCH(YEAR(DATE(YEAR(RPT_MONTH),MONTH(RPT_MONTH)-11,1))*100+MONTH(DATE(YEAR(RPT_MONTH),MONTH(RPT_MONTH)-11,1))&amp;"|FAC|Cumulative",BD_KPIs!$Q$2:$Q$1300,0)),"")</f>
        <v/>
      </c>
      <c r="G133" s="193" t="str">
        <f>IF(ISNUMBER(E133),IF(F133="","No target",IF(IFERROR(INDEX(BD_KPIs!$I$2:$I$1300,MATCH(YEAR(DATE(YEAR(RPT_MONTH),MONTH(RPT_MONTH)-11,1))*100+MONTH(DATE(YEAR(RPT_MONTH),MONTH(RPT_MONTH)-11,1))&amp;"|FAC|Cumulative",BD_KPIs!$Q$2:$Q$1300,0)),"")="Sí","On target","Off target")),"No data")</f>
        <v>No data</v>
      </c>
      <c r="H133" s="193" t="str">
        <f>INDEX(_TARGETS!$D$2:$D$17,MATCH("FAC",_TARGETS!$A$2:$A$17,0))</f>
        <v>casos</v>
      </c>
      <c r="I133" s="193" t="str">
        <f>INDEX(_TARGETS!$K$2:$K$17,MATCH("FAC",_TARGETS!$A$2:$A$17,0))</f>
        <v>OPS (carga manual en Datos)</v>
      </c>
      <c r="J133" s="258">
        <f t="shared" si="3"/>
        <v>46296</v>
      </c>
    </row>
    <row r="134" spans="1:10" ht="13.5" customHeight="1" x14ac:dyDescent="0.3">
      <c r="A134" t="s">
        <v>907</v>
      </c>
      <c r="B134" s="193" t="str">
        <f>YEAR(DATE(YEAR(RPT_MONTH),MONTH(RPT_MONTH)-10,1))&amp;"-"&amp;RIGHT("0"&amp;MONTH(DATE(YEAR(RPT_MONTH),MONTH(RPT_MONTH)-10,1)),2)</f>
        <v>2025-12</v>
      </c>
      <c r="C134" s="258">
        <f>DATE(YEAR(RPT_MONTH),MONTH(RPT_MONTH)-10,1)</f>
        <v>45992</v>
      </c>
      <c r="D134" t="s">
        <v>904</v>
      </c>
      <c r="E134" s="193" t="str">
        <f>IFERROR(INDEX(BD_KPIs!$F$2:$F$1300,MATCH(YEAR(DATE(YEAR(RPT_MONTH),MONTH(RPT_MONTH)-10,1))*100+MONTH(DATE(YEAR(RPT_MONTH),MONTH(RPT_MONTH)-10,1))&amp;"|FAC|Cumulative",BD_KPIs!$Q$2:$Q$1300,0)),"")</f>
        <v/>
      </c>
      <c r="F134" s="193" t="str">
        <f>IFERROR(INDEX(BD_KPIs!$G$2:$G$1300,MATCH(YEAR(DATE(YEAR(RPT_MONTH),MONTH(RPT_MONTH)-10,1))*100+MONTH(DATE(YEAR(RPT_MONTH),MONTH(RPT_MONTH)-10,1))&amp;"|FAC|Cumulative",BD_KPIs!$Q$2:$Q$1300,0)),"")</f>
        <v/>
      </c>
      <c r="G134" s="193" t="str">
        <f>IF(ISNUMBER(E134),IF(F134="","No target",IF(IFERROR(INDEX(BD_KPIs!$I$2:$I$1300,MATCH(YEAR(DATE(YEAR(RPT_MONTH),MONTH(RPT_MONTH)-10,1))*100+MONTH(DATE(YEAR(RPT_MONTH),MONTH(RPT_MONTH)-10,1))&amp;"|FAC|Cumulative",BD_KPIs!$Q$2:$Q$1300,0)),"")="Sí","On target","Off target")),"No data")</f>
        <v>No data</v>
      </c>
      <c r="H134" s="193" t="str">
        <f>INDEX(_TARGETS!$D$2:$D$17,MATCH("FAC",_TARGETS!$A$2:$A$17,0))</f>
        <v>casos</v>
      </c>
      <c r="I134" s="193" t="str">
        <f>INDEX(_TARGETS!$K$2:$K$17,MATCH("FAC",_TARGETS!$A$2:$A$17,0))</f>
        <v>OPS (carga manual en Datos)</v>
      </c>
      <c r="J134" s="258">
        <f t="shared" si="3"/>
        <v>46296</v>
      </c>
    </row>
    <row r="135" spans="1:10" ht="13.5" customHeight="1" x14ac:dyDescent="0.3">
      <c r="A135" t="s">
        <v>907</v>
      </c>
      <c r="B135" s="193" t="str">
        <f>YEAR(DATE(YEAR(RPT_MONTH),MONTH(RPT_MONTH)-9,1))&amp;"-"&amp;RIGHT("0"&amp;MONTH(DATE(YEAR(RPT_MONTH),MONTH(RPT_MONTH)-9,1)),2)</f>
        <v>2026-01</v>
      </c>
      <c r="C135" s="258">
        <f>DATE(YEAR(RPT_MONTH),MONTH(RPT_MONTH)-9,1)</f>
        <v>46023</v>
      </c>
      <c r="D135" t="s">
        <v>904</v>
      </c>
      <c r="E135" s="193" t="str">
        <f>IFERROR(INDEX(BD_KPIs!$F$2:$F$1300,MATCH(YEAR(DATE(YEAR(RPT_MONTH),MONTH(RPT_MONTH)-9,1))*100+MONTH(DATE(YEAR(RPT_MONTH),MONTH(RPT_MONTH)-9,1))&amp;"|FAC|Cumulative",BD_KPIs!$Q$2:$Q$1300,0)),"")</f>
        <v/>
      </c>
      <c r="F135" s="193" t="str">
        <f>IFERROR(INDEX(BD_KPIs!$G$2:$G$1300,MATCH(YEAR(DATE(YEAR(RPT_MONTH),MONTH(RPT_MONTH)-9,1))*100+MONTH(DATE(YEAR(RPT_MONTH),MONTH(RPT_MONTH)-9,1))&amp;"|FAC|Cumulative",BD_KPIs!$Q$2:$Q$1300,0)),"")</f>
        <v/>
      </c>
      <c r="G135" s="193" t="str">
        <f>IF(ISNUMBER(E135),IF(F135="","No target",IF(IFERROR(INDEX(BD_KPIs!$I$2:$I$1300,MATCH(YEAR(DATE(YEAR(RPT_MONTH),MONTH(RPT_MONTH)-9,1))*100+MONTH(DATE(YEAR(RPT_MONTH),MONTH(RPT_MONTH)-9,1))&amp;"|FAC|Cumulative",BD_KPIs!$Q$2:$Q$1300,0)),"")="Sí","On target","Off target")),"No data")</f>
        <v>No data</v>
      </c>
      <c r="H135" s="193" t="str">
        <f>INDEX(_TARGETS!$D$2:$D$17,MATCH("FAC",_TARGETS!$A$2:$A$17,0))</f>
        <v>casos</v>
      </c>
      <c r="I135" s="193" t="str">
        <f>INDEX(_TARGETS!$K$2:$K$17,MATCH("FAC",_TARGETS!$A$2:$A$17,0))</f>
        <v>OPS (carga manual en Datos)</v>
      </c>
      <c r="J135" s="258">
        <f t="shared" si="3"/>
        <v>46296</v>
      </c>
    </row>
    <row r="136" spans="1:10" ht="13.5" customHeight="1" x14ac:dyDescent="0.3">
      <c r="A136" t="s">
        <v>907</v>
      </c>
      <c r="B136" s="193" t="str">
        <f>YEAR(DATE(YEAR(RPT_MONTH),MONTH(RPT_MONTH)-8,1))&amp;"-"&amp;RIGHT("0"&amp;MONTH(DATE(YEAR(RPT_MONTH),MONTH(RPT_MONTH)-8,1)),2)</f>
        <v>2026-02</v>
      </c>
      <c r="C136" s="258">
        <f>DATE(YEAR(RPT_MONTH),MONTH(RPT_MONTH)-8,1)</f>
        <v>46054</v>
      </c>
      <c r="D136" t="s">
        <v>904</v>
      </c>
      <c r="E136" s="193" t="str">
        <f>IFERROR(INDEX(BD_KPIs!$F$2:$F$1300,MATCH(YEAR(DATE(YEAR(RPT_MONTH),MONTH(RPT_MONTH)-8,1))*100+MONTH(DATE(YEAR(RPT_MONTH),MONTH(RPT_MONTH)-8,1))&amp;"|FAC|Cumulative",BD_KPIs!$Q$2:$Q$1300,0)),"")</f>
        <v/>
      </c>
      <c r="F136" s="193" t="str">
        <f>IFERROR(INDEX(BD_KPIs!$G$2:$G$1300,MATCH(YEAR(DATE(YEAR(RPT_MONTH),MONTH(RPT_MONTH)-8,1))*100+MONTH(DATE(YEAR(RPT_MONTH),MONTH(RPT_MONTH)-8,1))&amp;"|FAC|Cumulative",BD_KPIs!$Q$2:$Q$1300,0)),"")</f>
        <v/>
      </c>
      <c r="G136" s="193" t="str">
        <f>IF(ISNUMBER(E136),IF(F136="","No target",IF(IFERROR(INDEX(BD_KPIs!$I$2:$I$1300,MATCH(YEAR(DATE(YEAR(RPT_MONTH),MONTH(RPT_MONTH)-8,1))*100+MONTH(DATE(YEAR(RPT_MONTH),MONTH(RPT_MONTH)-8,1))&amp;"|FAC|Cumulative",BD_KPIs!$Q$2:$Q$1300,0)),"")="Sí","On target","Off target")),"No data")</f>
        <v>No data</v>
      </c>
      <c r="H136" s="193" t="str">
        <f>INDEX(_TARGETS!$D$2:$D$17,MATCH("FAC",_TARGETS!$A$2:$A$17,0))</f>
        <v>casos</v>
      </c>
      <c r="I136" s="193" t="str">
        <f>INDEX(_TARGETS!$K$2:$K$17,MATCH("FAC",_TARGETS!$A$2:$A$17,0))</f>
        <v>OPS (carga manual en Datos)</v>
      </c>
      <c r="J136" s="258">
        <f t="shared" si="3"/>
        <v>46296</v>
      </c>
    </row>
    <row r="137" spans="1:10" ht="13.5" customHeight="1" x14ac:dyDescent="0.3">
      <c r="A137" t="s">
        <v>907</v>
      </c>
      <c r="B137" s="193" t="str">
        <f>YEAR(DATE(YEAR(RPT_MONTH),MONTH(RPT_MONTH)-7,1))&amp;"-"&amp;RIGHT("0"&amp;MONTH(DATE(YEAR(RPT_MONTH),MONTH(RPT_MONTH)-7,1)),2)</f>
        <v>2026-03</v>
      </c>
      <c r="C137" s="258">
        <f>DATE(YEAR(RPT_MONTH),MONTH(RPT_MONTH)-7,1)</f>
        <v>46082</v>
      </c>
      <c r="D137" t="s">
        <v>904</v>
      </c>
      <c r="E137" s="193" t="str">
        <f>IFERROR(INDEX(BD_KPIs!$F$2:$F$1300,MATCH(YEAR(DATE(YEAR(RPT_MONTH),MONTH(RPT_MONTH)-7,1))*100+MONTH(DATE(YEAR(RPT_MONTH),MONTH(RPT_MONTH)-7,1))&amp;"|FAC|Cumulative",BD_KPIs!$Q$2:$Q$1300,0)),"")</f>
        <v/>
      </c>
      <c r="F137" s="193" t="str">
        <f>IFERROR(INDEX(BD_KPIs!$G$2:$G$1300,MATCH(YEAR(DATE(YEAR(RPT_MONTH),MONTH(RPT_MONTH)-7,1))*100+MONTH(DATE(YEAR(RPT_MONTH),MONTH(RPT_MONTH)-7,1))&amp;"|FAC|Cumulative",BD_KPIs!$Q$2:$Q$1300,0)),"")</f>
        <v/>
      </c>
      <c r="G137" s="193" t="str">
        <f>IF(ISNUMBER(E137),IF(F137="","No target",IF(IFERROR(INDEX(BD_KPIs!$I$2:$I$1300,MATCH(YEAR(DATE(YEAR(RPT_MONTH),MONTH(RPT_MONTH)-7,1))*100+MONTH(DATE(YEAR(RPT_MONTH),MONTH(RPT_MONTH)-7,1))&amp;"|FAC|Cumulative",BD_KPIs!$Q$2:$Q$1300,0)),"")="Sí","On target","Off target")),"No data")</f>
        <v>No data</v>
      </c>
      <c r="H137" s="193" t="str">
        <f>INDEX(_TARGETS!$D$2:$D$17,MATCH("FAC",_TARGETS!$A$2:$A$17,0))</f>
        <v>casos</v>
      </c>
      <c r="I137" s="193" t="str">
        <f>INDEX(_TARGETS!$K$2:$K$17,MATCH("FAC",_TARGETS!$A$2:$A$17,0))</f>
        <v>OPS (carga manual en Datos)</v>
      </c>
      <c r="J137" s="258">
        <f t="shared" si="3"/>
        <v>46296</v>
      </c>
    </row>
    <row r="138" spans="1:10" ht="13.5" customHeight="1" x14ac:dyDescent="0.3">
      <c r="A138" t="s">
        <v>907</v>
      </c>
      <c r="B138" s="193" t="str">
        <f>YEAR(DATE(YEAR(RPT_MONTH),MONTH(RPT_MONTH)-6,1))&amp;"-"&amp;RIGHT("0"&amp;MONTH(DATE(YEAR(RPT_MONTH),MONTH(RPT_MONTH)-6,1)),2)</f>
        <v>2026-04</v>
      </c>
      <c r="C138" s="258">
        <f>DATE(YEAR(RPT_MONTH),MONTH(RPT_MONTH)-6,1)</f>
        <v>46113</v>
      </c>
      <c r="D138" t="s">
        <v>904</v>
      </c>
      <c r="E138" s="193" t="str">
        <f>IFERROR(INDEX(BD_KPIs!$F$2:$F$1300,MATCH(YEAR(DATE(YEAR(RPT_MONTH),MONTH(RPT_MONTH)-6,1))*100+MONTH(DATE(YEAR(RPT_MONTH),MONTH(RPT_MONTH)-6,1))&amp;"|FAC|Cumulative",BD_KPIs!$Q$2:$Q$1300,0)),"")</f>
        <v/>
      </c>
      <c r="F138" s="193" t="str">
        <f>IFERROR(INDEX(BD_KPIs!$G$2:$G$1300,MATCH(YEAR(DATE(YEAR(RPT_MONTH),MONTH(RPT_MONTH)-6,1))*100+MONTH(DATE(YEAR(RPT_MONTH),MONTH(RPT_MONTH)-6,1))&amp;"|FAC|Cumulative",BD_KPIs!$Q$2:$Q$1300,0)),"")</f>
        <v/>
      </c>
      <c r="G138" s="193" t="str">
        <f>IF(ISNUMBER(E138),IF(F138="","No target",IF(IFERROR(INDEX(BD_KPIs!$I$2:$I$1300,MATCH(YEAR(DATE(YEAR(RPT_MONTH),MONTH(RPT_MONTH)-6,1))*100+MONTH(DATE(YEAR(RPT_MONTH),MONTH(RPT_MONTH)-6,1))&amp;"|FAC|Cumulative",BD_KPIs!$Q$2:$Q$1300,0)),"")="Sí","On target","Off target")),"No data")</f>
        <v>No data</v>
      </c>
      <c r="H138" s="193" t="str">
        <f>INDEX(_TARGETS!$D$2:$D$17,MATCH("FAC",_TARGETS!$A$2:$A$17,0))</f>
        <v>casos</v>
      </c>
      <c r="I138" s="193" t="str">
        <f>INDEX(_TARGETS!$K$2:$K$17,MATCH("FAC",_TARGETS!$A$2:$A$17,0))</f>
        <v>OPS (carga manual en Datos)</v>
      </c>
      <c r="J138" s="258">
        <f t="shared" si="3"/>
        <v>46296</v>
      </c>
    </row>
    <row r="139" spans="1:10" ht="13.5" customHeight="1" x14ac:dyDescent="0.3">
      <c r="A139" t="s">
        <v>907</v>
      </c>
      <c r="B139" s="193" t="str">
        <f>YEAR(DATE(YEAR(RPT_MONTH),MONTH(RPT_MONTH)-5,1))&amp;"-"&amp;RIGHT("0"&amp;MONTH(DATE(YEAR(RPT_MONTH),MONTH(RPT_MONTH)-5,1)),2)</f>
        <v>2026-05</v>
      </c>
      <c r="C139" s="258">
        <f>DATE(YEAR(RPT_MONTH),MONTH(RPT_MONTH)-5,1)</f>
        <v>46143</v>
      </c>
      <c r="D139" t="s">
        <v>904</v>
      </c>
      <c r="E139" s="193" t="str">
        <f>IFERROR(INDEX(BD_KPIs!$F$2:$F$1300,MATCH(YEAR(DATE(YEAR(RPT_MONTH),MONTH(RPT_MONTH)-5,1))*100+MONTH(DATE(YEAR(RPT_MONTH),MONTH(RPT_MONTH)-5,1))&amp;"|FAC|Cumulative",BD_KPIs!$Q$2:$Q$1300,0)),"")</f>
        <v/>
      </c>
      <c r="F139" s="193" t="str">
        <f>IFERROR(INDEX(BD_KPIs!$G$2:$G$1300,MATCH(YEAR(DATE(YEAR(RPT_MONTH),MONTH(RPT_MONTH)-5,1))*100+MONTH(DATE(YEAR(RPT_MONTH),MONTH(RPT_MONTH)-5,1))&amp;"|FAC|Cumulative",BD_KPIs!$Q$2:$Q$1300,0)),"")</f>
        <v/>
      </c>
      <c r="G139" s="193" t="str">
        <f>IF(ISNUMBER(E139),IF(F139="","No target",IF(IFERROR(INDEX(BD_KPIs!$I$2:$I$1300,MATCH(YEAR(DATE(YEAR(RPT_MONTH),MONTH(RPT_MONTH)-5,1))*100+MONTH(DATE(YEAR(RPT_MONTH),MONTH(RPT_MONTH)-5,1))&amp;"|FAC|Cumulative",BD_KPIs!$Q$2:$Q$1300,0)),"")="Sí","On target","Off target")),"No data")</f>
        <v>No data</v>
      </c>
      <c r="H139" s="193" t="str">
        <f>INDEX(_TARGETS!$D$2:$D$17,MATCH("FAC",_TARGETS!$A$2:$A$17,0))</f>
        <v>casos</v>
      </c>
      <c r="I139" s="193" t="str">
        <f>INDEX(_TARGETS!$K$2:$K$17,MATCH("FAC",_TARGETS!$A$2:$A$17,0))</f>
        <v>OPS (carga manual en Datos)</v>
      </c>
      <c r="J139" s="258">
        <f t="shared" si="3"/>
        <v>46296</v>
      </c>
    </row>
    <row r="140" spans="1:10" ht="13.5" customHeight="1" x14ac:dyDescent="0.3">
      <c r="A140" t="s">
        <v>907</v>
      </c>
      <c r="B140" s="193" t="str">
        <f>YEAR(DATE(YEAR(RPT_MONTH),MONTH(RPT_MONTH)-4,1))&amp;"-"&amp;RIGHT("0"&amp;MONTH(DATE(YEAR(RPT_MONTH),MONTH(RPT_MONTH)-4,1)),2)</f>
        <v>2026-06</v>
      </c>
      <c r="C140" s="258">
        <f>DATE(YEAR(RPT_MONTH),MONTH(RPT_MONTH)-4,1)</f>
        <v>46174</v>
      </c>
      <c r="D140" t="s">
        <v>904</v>
      </c>
      <c r="E140" s="193" t="str">
        <f>IFERROR(INDEX(BD_KPIs!$F$2:$F$1300,MATCH(YEAR(DATE(YEAR(RPT_MONTH),MONTH(RPT_MONTH)-4,1))*100+MONTH(DATE(YEAR(RPT_MONTH),MONTH(RPT_MONTH)-4,1))&amp;"|FAC|Cumulative",BD_KPIs!$Q$2:$Q$1300,0)),"")</f>
        <v/>
      </c>
      <c r="F140" s="193" t="str">
        <f>IFERROR(INDEX(BD_KPIs!$G$2:$G$1300,MATCH(YEAR(DATE(YEAR(RPT_MONTH),MONTH(RPT_MONTH)-4,1))*100+MONTH(DATE(YEAR(RPT_MONTH),MONTH(RPT_MONTH)-4,1))&amp;"|FAC|Cumulative",BD_KPIs!$Q$2:$Q$1300,0)),"")</f>
        <v/>
      </c>
      <c r="G140" s="193" t="str">
        <f>IF(ISNUMBER(E140),IF(F140="","No target",IF(IFERROR(INDEX(BD_KPIs!$I$2:$I$1300,MATCH(YEAR(DATE(YEAR(RPT_MONTH),MONTH(RPT_MONTH)-4,1))*100+MONTH(DATE(YEAR(RPT_MONTH),MONTH(RPT_MONTH)-4,1))&amp;"|FAC|Cumulative",BD_KPIs!$Q$2:$Q$1300,0)),"")="Sí","On target","Off target")),"No data")</f>
        <v>No data</v>
      </c>
      <c r="H140" s="193" t="str">
        <f>INDEX(_TARGETS!$D$2:$D$17,MATCH("FAC",_TARGETS!$A$2:$A$17,0))</f>
        <v>casos</v>
      </c>
      <c r="I140" s="193" t="str">
        <f>INDEX(_TARGETS!$K$2:$K$17,MATCH("FAC",_TARGETS!$A$2:$A$17,0))</f>
        <v>OPS (carga manual en Datos)</v>
      </c>
      <c r="J140" s="258">
        <f t="shared" si="3"/>
        <v>46296</v>
      </c>
    </row>
    <row r="141" spans="1:10" ht="13.5" customHeight="1" x14ac:dyDescent="0.3">
      <c r="A141" t="s">
        <v>907</v>
      </c>
      <c r="B141" s="193" t="str">
        <f>YEAR(DATE(YEAR(RPT_MONTH),MONTH(RPT_MONTH)-3,1))&amp;"-"&amp;RIGHT("0"&amp;MONTH(DATE(YEAR(RPT_MONTH),MONTH(RPT_MONTH)-3,1)),2)</f>
        <v>2026-07</v>
      </c>
      <c r="C141" s="258">
        <f>DATE(YEAR(RPT_MONTH),MONTH(RPT_MONTH)-3,1)</f>
        <v>46204</v>
      </c>
      <c r="D141" t="s">
        <v>904</v>
      </c>
      <c r="E141" s="193" t="str">
        <f>IFERROR(INDEX(BD_KPIs!$F$2:$F$1300,MATCH(YEAR(DATE(YEAR(RPT_MONTH),MONTH(RPT_MONTH)-3,1))*100+MONTH(DATE(YEAR(RPT_MONTH),MONTH(RPT_MONTH)-3,1))&amp;"|FAC|Cumulative",BD_KPIs!$Q$2:$Q$1300,0)),"")</f>
        <v/>
      </c>
      <c r="F141" s="193" t="str">
        <f>IFERROR(INDEX(BD_KPIs!$G$2:$G$1300,MATCH(YEAR(DATE(YEAR(RPT_MONTH),MONTH(RPT_MONTH)-3,1))*100+MONTH(DATE(YEAR(RPT_MONTH),MONTH(RPT_MONTH)-3,1))&amp;"|FAC|Cumulative",BD_KPIs!$Q$2:$Q$1300,0)),"")</f>
        <v/>
      </c>
      <c r="G141" s="193" t="str">
        <f>IF(ISNUMBER(E141),IF(F141="","No target",IF(IFERROR(INDEX(BD_KPIs!$I$2:$I$1300,MATCH(YEAR(DATE(YEAR(RPT_MONTH),MONTH(RPT_MONTH)-3,1))*100+MONTH(DATE(YEAR(RPT_MONTH),MONTH(RPT_MONTH)-3,1))&amp;"|FAC|Cumulative",BD_KPIs!$Q$2:$Q$1300,0)),"")="Sí","On target","Off target")),"No data")</f>
        <v>No data</v>
      </c>
      <c r="H141" s="193" t="str">
        <f>INDEX(_TARGETS!$D$2:$D$17,MATCH("FAC",_TARGETS!$A$2:$A$17,0))</f>
        <v>casos</v>
      </c>
      <c r="I141" s="193" t="str">
        <f>INDEX(_TARGETS!$K$2:$K$17,MATCH("FAC",_TARGETS!$A$2:$A$17,0))</f>
        <v>OPS (carga manual en Datos)</v>
      </c>
      <c r="J141" s="258">
        <f t="shared" si="3"/>
        <v>46296</v>
      </c>
    </row>
    <row r="142" spans="1:10" ht="13.5" customHeight="1" x14ac:dyDescent="0.3">
      <c r="A142" t="s">
        <v>907</v>
      </c>
      <c r="B142" s="193" t="str">
        <f>YEAR(DATE(YEAR(RPT_MONTH),MONTH(RPT_MONTH)-2,1))&amp;"-"&amp;RIGHT("0"&amp;MONTH(DATE(YEAR(RPT_MONTH),MONTH(RPT_MONTH)-2,1)),2)</f>
        <v>2026-08</v>
      </c>
      <c r="C142" s="258">
        <f>DATE(YEAR(RPT_MONTH),MONTH(RPT_MONTH)-2,1)</f>
        <v>46235</v>
      </c>
      <c r="D142" t="s">
        <v>904</v>
      </c>
      <c r="E142" s="193">
        <f>IFERROR(INDEX(BD_KPIs!$F$2:$F$1300,MATCH(YEAR(DATE(YEAR(RPT_MONTH),MONTH(RPT_MONTH)-2,1))*100+MONTH(DATE(YEAR(RPT_MONTH),MONTH(RPT_MONTH)-2,1))&amp;"|FAC|Cumulative",BD_KPIs!$Q$2:$Q$1300,0)),"")</f>
        <v>0</v>
      </c>
      <c r="F142" s="193" t="str">
        <f>IFERROR(INDEX(BD_KPIs!$G$2:$G$1300,MATCH(YEAR(DATE(YEAR(RPT_MONTH),MONTH(RPT_MONTH)-2,1))*100+MONTH(DATE(YEAR(RPT_MONTH),MONTH(RPT_MONTH)-2,1))&amp;"|FAC|Cumulative",BD_KPIs!$Q$2:$Q$1300,0)),"")</f>
        <v/>
      </c>
      <c r="G142" s="193" t="str">
        <f>IF(ISNUMBER(E142),IF(F142="","No target",IF(IFERROR(INDEX(BD_KPIs!$I$2:$I$1300,MATCH(YEAR(DATE(YEAR(RPT_MONTH),MONTH(RPT_MONTH)-2,1))*100+MONTH(DATE(YEAR(RPT_MONTH),MONTH(RPT_MONTH)-2,1))&amp;"|FAC|Cumulative",BD_KPIs!$Q$2:$Q$1300,0)),"")="Sí","On target","Off target")),"No data")</f>
        <v>No target</v>
      </c>
      <c r="H142" s="193" t="str">
        <f>INDEX(_TARGETS!$D$2:$D$17,MATCH("FAC",_TARGETS!$A$2:$A$17,0))</f>
        <v>casos</v>
      </c>
      <c r="I142" s="193" t="str">
        <f>INDEX(_TARGETS!$K$2:$K$17,MATCH("FAC",_TARGETS!$A$2:$A$17,0))</f>
        <v>OPS (carga manual en Datos)</v>
      </c>
      <c r="J142" s="258">
        <f t="shared" si="3"/>
        <v>46296</v>
      </c>
    </row>
    <row r="143" spans="1:10" ht="13.5" customHeight="1" x14ac:dyDescent="0.3">
      <c r="A143" t="s">
        <v>907</v>
      </c>
      <c r="B143" s="193" t="str">
        <f>YEAR(DATE(YEAR(RPT_MONTH),MONTH(RPT_MONTH)-1,1))&amp;"-"&amp;RIGHT("0"&amp;MONTH(DATE(YEAR(RPT_MONTH),MONTH(RPT_MONTH)-1,1)),2)</f>
        <v>2026-09</v>
      </c>
      <c r="C143" s="258">
        <f>DATE(YEAR(RPT_MONTH),MONTH(RPT_MONTH)-1,1)</f>
        <v>46266</v>
      </c>
      <c r="D143" t="s">
        <v>904</v>
      </c>
      <c r="E143" s="193">
        <f>IFERROR(INDEX(BD_KPIs!$F$2:$F$1300,MATCH(YEAR(DATE(YEAR(RPT_MONTH),MONTH(RPT_MONTH)-1,1))*100+MONTH(DATE(YEAR(RPT_MONTH),MONTH(RPT_MONTH)-1,1))&amp;"|FAC|Cumulative",BD_KPIs!$Q$2:$Q$1300,0)),"")</f>
        <v>0</v>
      </c>
      <c r="F143" s="193" t="str">
        <f>IFERROR(INDEX(BD_KPIs!$G$2:$G$1300,MATCH(YEAR(DATE(YEAR(RPT_MONTH),MONTH(RPT_MONTH)-1,1))*100+MONTH(DATE(YEAR(RPT_MONTH),MONTH(RPT_MONTH)-1,1))&amp;"|FAC|Cumulative",BD_KPIs!$Q$2:$Q$1300,0)),"")</f>
        <v/>
      </c>
      <c r="G143" s="193" t="str">
        <f>IF(ISNUMBER(E143),IF(F143="","No target",IF(IFERROR(INDEX(BD_KPIs!$I$2:$I$1300,MATCH(YEAR(DATE(YEAR(RPT_MONTH),MONTH(RPT_MONTH)-1,1))*100+MONTH(DATE(YEAR(RPT_MONTH),MONTH(RPT_MONTH)-1,1))&amp;"|FAC|Cumulative",BD_KPIs!$Q$2:$Q$1300,0)),"")="Sí","On target","Off target")),"No data")</f>
        <v>No target</v>
      </c>
      <c r="H143" s="193" t="str">
        <f>INDEX(_TARGETS!$D$2:$D$17,MATCH("FAC",_TARGETS!$A$2:$A$17,0))</f>
        <v>casos</v>
      </c>
      <c r="I143" s="193" t="str">
        <f>INDEX(_TARGETS!$K$2:$K$17,MATCH("FAC",_TARGETS!$A$2:$A$17,0))</f>
        <v>OPS (carga manual en Datos)</v>
      </c>
      <c r="J143" s="258">
        <f t="shared" si="3"/>
        <v>46296</v>
      </c>
    </row>
    <row r="144" spans="1:10" ht="13.5" customHeight="1" x14ac:dyDescent="0.3">
      <c r="A144" t="s">
        <v>907</v>
      </c>
      <c r="B144" s="193" t="str">
        <f>YEAR(DATE(YEAR(RPT_MONTH),MONTH(RPT_MONTH)-0,1))&amp;"-"&amp;RIGHT("0"&amp;MONTH(DATE(YEAR(RPT_MONTH),MONTH(RPT_MONTH)-0,1)),2)</f>
        <v>2026-10</v>
      </c>
      <c r="C144" s="258">
        <f>DATE(YEAR(RPT_MONTH),MONTH(RPT_MONTH)-0,1)</f>
        <v>46296</v>
      </c>
      <c r="D144" t="s">
        <v>904</v>
      </c>
      <c r="E144" s="193" t="str">
        <f>IFERROR(INDEX(BD_KPIs!$F$2:$F$1300,MATCH(YEAR(DATE(YEAR(RPT_MONTH),MONTH(RPT_MONTH)-0,1))*100+MONTH(DATE(YEAR(RPT_MONTH),MONTH(RPT_MONTH)-0,1))&amp;"|FAC|Cumulative",BD_KPIs!$Q$2:$Q$1300,0)),"")</f>
        <v/>
      </c>
      <c r="F144" s="193" t="str">
        <f>IFERROR(INDEX(BD_KPIs!$G$2:$G$1300,MATCH(YEAR(DATE(YEAR(RPT_MONTH),MONTH(RPT_MONTH)-0,1))*100+MONTH(DATE(YEAR(RPT_MONTH),MONTH(RPT_MONTH)-0,1))&amp;"|FAC|Cumulative",BD_KPIs!$Q$2:$Q$1300,0)),"")</f>
        <v/>
      </c>
      <c r="G144" s="193" t="str">
        <f>IF(ISNUMBER(E144),IF(F144="","No target",IF(IFERROR(INDEX(BD_KPIs!$I$2:$I$1300,MATCH(YEAR(DATE(YEAR(RPT_MONTH),MONTH(RPT_MONTH)-0,1))*100+MONTH(DATE(YEAR(RPT_MONTH),MONTH(RPT_MONTH)-0,1))&amp;"|FAC|Cumulative",BD_KPIs!$Q$2:$Q$1300,0)),"")="Sí","On target","Off target")),"No data")</f>
        <v>No data</v>
      </c>
      <c r="H144" s="193" t="str">
        <f>INDEX(_TARGETS!$D$2:$D$17,MATCH("FAC",_TARGETS!$A$2:$A$17,0))</f>
        <v>casos</v>
      </c>
      <c r="I144" s="193" t="str">
        <f>INDEX(_TARGETS!$K$2:$K$17,MATCH("FAC",_TARGETS!$A$2:$A$17,0))</f>
        <v>OPS (carga manual en Datos)</v>
      </c>
      <c r="J144" s="258">
        <f t="shared" si="3"/>
        <v>46296</v>
      </c>
    </row>
    <row r="145" spans="1:10" ht="13.5" customHeight="1" x14ac:dyDescent="0.3">
      <c r="A145" t="s">
        <v>908</v>
      </c>
      <c r="B145" s="193" t="str">
        <f>YEAR(DATE(YEAR(RPT_MONTH),MONTH(RPT_MONTH)-11,1))&amp;"-"&amp;RIGHT("0"&amp;MONTH(DATE(YEAR(RPT_MONTH),MONTH(RPT_MONTH)-11,1)),2)</f>
        <v>2025-11</v>
      </c>
      <c r="C145" s="258">
        <f>DATE(YEAR(RPT_MONTH),MONTH(RPT_MONTH)-11,1)</f>
        <v>45962</v>
      </c>
      <c r="D145" t="s">
        <v>68</v>
      </c>
      <c r="E145" s="193" t="str">
        <f>IFERROR(INDEX(BD_KPIs!$F$2:$F$1300,MATCH(YEAR(DATE(YEAR(RPT_MONTH),MONTH(RPT_MONTH)-11,1))*100+MONTH(DATE(YEAR(RPT_MONTH),MONTH(RPT_MONTH)-11,1))&amp;"|SVCR|Monthly",BD_KPIs!$Q$2:$Q$1300,0)),"")</f>
        <v/>
      </c>
      <c r="F145" s="193" t="str">
        <f>IFERROR(INDEX(BD_KPIs!$G$2:$G$1300,MATCH(YEAR(DATE(YEAR(RPT_MONTH),MONTH(RPT_MONTH)-11,1))*100+MONTH(DATE(YEAR(RPT_MONTH),MONTH(RPT_MONTH)-11,1))&amp;"|SVCR|Monthly",BD_KPIs!$Q$2:$Q$1300,0)),"")</f>
        <v/>
      </c>
      <c r="G145" s="193" t="str">
        <f>IF(ISNUMBER(E145),IF(F145="","No target",IF(IFERROR(INDEX(BD_KPIs!$I$2:$I$1300,MATCH(YEAR(DATE(YEAR(RPT_MONTH),MONTH(RPT_MONTH)-11,1))*100+MONTH(DATE(YEAR(RPT_MONTH),MONTH(RPT_MONTH)-11,1))&amp;"|SVCR|Monthly",BD_KPIs!$Q$2:$Q$1300,0)),"")="Sí","On target","Off target")),"No data")</f>
        <v>No data</v>
      </c>
      <c r="H145" s="193" t="str">
        <f>INDEX(_TARGETS!$D$2:$D$17,MATCH("SVCR",_TARGETS!$A$2:$A$17,0))</f>
        <v>eventos / 10^6 km</v>
      </c>
      <c r="I145" s="193" t="str">
        <f>INDEX(_TARGETS!$K$2:$K$17,MATCH("SVCR",_TARGETS!$A$2:$A$17,0))</f>
        <v>OPS (eventos) + Full Control GPS (km) - carga manual en Datos</v>
      </c>
      <c r="J145" s="258">
        <f t="shared" si="3"/>
        <v>46296</v>
      </c>
    </row>
    <row r="146" spans="1:10" ht="13.5" customHeight="1" x14ac:dyDescent="0.3">
      <c r="A146" t="s">
        <v>908</v>
      </c>
      <c r="B146" s="193" t="str">
        <f>YEAR(DATE(YEAR(RPT_MONTH),MONTH(RPT_MONTH)-10,1))&amp;"-"&amp;RIGHT("0"&amp;MONTH(DATE(YEAR(RPT_MONTH),MONTH(RPT_MONTH)-10,1)),2)</f>
        <v>2025-12</v>
      </c>
      <c r="C146" s="258">
        <f>DATE(YEAR(RPT_MONTH),MONTH(RPT_MONTH)-10,1)</f>
        <v>45992</v>
      </c>
      <c r="D146" t="s">
        <v>68</v>
      </c>
      <c r="E146" s="193" t="str">
        <f>IFERROR(INDEX(BD_KPIs!$F$2:$F$1300,MATCH(YEAR(DATE(YEAR(RPT_MONTH),MONTH(RPT_MONTH)-10,1))*100+MONTH(DATE(YEAR(RPT_MONTH),MONTH(RPT_MONTH)-10,1))&amp;"|SVCR|Monthly",BD_KPIs!$Q$2:$Q$1300,0)),"")</f>
        <v/>
      </c>
      <c r="F146" s="193" t="str">
        <f>IFERROR(INDEX(BD_KPIs!$G$2:$G$1300,MATCH(YEAR(DATE(YEAR(RPT_MONTH),MONTH(RPT_MONTH)-10,1))*100+MONTH(DATE(YEAR(RPT_MONTH),MONTH(RPT_MONTH)-10,1))&amp;"|SVCR|Monthly",BD_KPIs!$Q$2:$Q$1300,0)),"")</f>
        <v/>
      </c>
      <c r="G146" s="193" t="str">
        <f>IF(ISNUMBER(E146),IF(F146="","No target",IF(IFERROR(INDEX(BD_KPIs!$I$2:$I$1300,MATCH(YEAR(DATE(YEAR(RPT_MONTH),MONTH(RPT_MONTH)-10,1))*100+MONTH(DATE(YEAR(RPT_MONTH),MONTH(RPT_MONTH)-10,1))&amp;"|SVCR|Monthly",BD_KPIs!$Q$2:$Q$1300,0)),"")="Sí","On target","Off target")),"No data")</f>
        <v>No data</v>
      </c>
      <c r="H146" s="193" t="str">
        <f>INDEX(_TARGETS!$D$2:$D$17,MATCH("SVCR",_TARGETS!$A$2:$A$17,0))</f>
        <v>eventos / 10^6 km</v>
      </c>
      <c r="I146" s="193" t="str">
        <f>INDEX(_TARGETS!$K$2:$K$17,MATCH("SVCR",_TARGETS!$A$2:$A$17,0))</f>
        <v>OPS (eventos) + Full Control GPS (km) - carga manual en Datos</v>
      </c>
      <c r="J146" s="258">
        <f t="shared" si="3"/>
        <v>46296</v>
      </c>
    </row>
    <row r="147" spans="1:10" ht="13.5" customHeight="1" x14ac:dyDescent="0.3">
      <c r="A147" t="s">
        <v>908</v>
      </c>
      <c r="B147" s="193" t="str">
        <f>YEAR(DATE(YEAR(RPT_MONTH),MONTH(RPT_MONTH)-9,1))&amp;"-"&amp;RIGHT("0"&amp;MONTH(DATE(YEAR(RPT_MONTH),MONTH(RPT_MONTH)-9,1)),2)</f>
        <v>2026-01</v>
      </c>
      <c r="C147" s="258">
        <f>DATE(YEAR(RPT_MONTH),MONTH(RPT_MONTH)-9,1)</f>
        <v>46023</v>
      </c>
      <c r="D147" t="s">
        <v>68</v>
      </c>
      <c r="E147" s="193" t="str">
        <f>IFERROR(INDEX(BD_KPIs!$F$2:$F$1300,MATCH(YEAR(DATE(YEAR(RPT_MONTH),MONTH(RPT_MONTH)-9,1))*100+MONTH(DATE(YEAR(RPT_MONTH),MONTH(RPT_MONTH)-9,1))&amp;"|SVCR|Monthly",BD_KPIs!$Q$2:$Q$1300,0)),"")</f>
        <v/>
      </c>
      <c r="F147" s="193" t="str">
        <f>IFERROR(INDEX(BD_KPIs!$G$2:$G$1300,MATCH(YEAR(DATE(YEAR(RPT_MONTH),MONTH(RPT_MONTH)-9,1))*100+MONTH(DATE(YEAR(RPT_MONTH),MONTH(RPT_MONTH)-9,1))&amp;"|SVCR|Monthly",BD_KPIs!$Q$2:$Q$1300,0)),"")</f>
        <v/>
      </c>
      <c r="G147" s="193" t="str">
        <f>IF(ISNUMBER(E147),IF(F147="","No target",IF(IFERROR(INDEX(BD_KPIs!$I$2:$I$1300,MATCH(YEAR(DATE(YEAR(RPT_MONTH),MONTH(RPT_MONTH)-9,1))*100+MONTH(DATE(YEAR(RPT_MONTH),MONTH(RPT_MONTH)-9,1))&amp;"|SVCR|Monthly",BD_KPIs!$Q$2:$Q$1300,0)),"")="Sí","On target","Off target")),"No data")</f>
        <v>No data</v>
      </c>
      <c r="H147" s="193" t="str">
        <f>INDEX(_TARGETS!$D$2:$D$17,MATCH("SVCR",_TARGETS!$A$2:$A$17,0))</f>
        <v>eventos / 10^6 km</v>
      </c>
      <c r="I147" s="193" t="str">
        <f>INDEX(_TARGETS!$K$2:$K$17,MATCH("SVCR",_TARGETS!$A$2:$A$17,0))</f>
        <v>OPS (eventos) + Full Control GPS (km) - carga manual en Datos</v>
      </c>
      <c r="J147" s="258">
        <f t="shared" si="3"/>
        <v>46296</v>
      </c>
    </row>
    <row r="148" spans="1:10" ht="13.5" customHeight="1" x14ac:dyDescent="0.3">
      <c r="A148" t="s">
        <v>908</v>
      </c>
      <c r="B148" s="193" t="str">
        <f>YEAR(DATE(YEAR(RPT_MONTH),MONTH(RPT_MONTH)-8,1))&amp;"-"&amp;RIGHT("0"&amp;MONTH(DATE(YEAR(RPT_MONTH),MONTH(RPT_MONTH)-8,1)),2)</f>
        <v>2026-02</v>
      </c>
      <c r="C148" s="258">
        <f>DATE(YEAR(RPT_MONTH),MONTH(RPT_MONTH)-8,1)</f>
        <v>46054</v>
      </c>
      <c r="D148" t="s">
        <v>68</v>
      </c>
      <c r="E148" s="193" t="str">
        <f>IFERROR(INDEX(BD_KPIs!$F$2:$F$1300,MATCH(YEAR(DATE(YEAR(RPT_MONTH),MONTH(RPT_MONTH)-8,1))*100+MONTH(DATE(YEAR(RPT_MONTH),MONTH(RPT_MONTH)-8,1))&amp;"|SVCR|Monthly",BD_KPIs!$Q$2:$Q$1300,0)),"")</f>
        <v/>
      </c>
      <c r="F148" s="193" t="str">
        <f>IFERROR(INDEX(BD_KPIs!$G$2:$G$1300,MATCH(YEAR(DATE(YEAR(RPT_MONTH),MONTH(RPT_MONTH)-8,1))*100+MONTH(DATE(YEAR(RPT_MONTH),MONTH(RPT_MONTH)-8,1))&amp;"|SVCR|Monthly",BD_KPIs!$Q$2:$Q$1300,0)),"")</f>
        <v/>
      </c>
      <c r="G148" s="193" t="str">
        <f>IF(ISNUMBER(E148),IF(F148="","No target",IF(IFERROR(INDEX(BD_KPIs!$I$2:$I$1300,MATCH(YEAR(DATE(YEAR(RPT_MONTH),MONTH(RPT_MONTH)-8,1))*100+MONTH(DATE(YEAR(RPT_MONTH),MONTH(RPT_MONTH)-8,1))&amp;"|SVCR|Monthly",BD_KPIs!$Q$2:$Q$1300,0)),"")="Sí","On target","Off target")),"No data")</f>
        <v>No data</v>
      </c>
      <c r="H148" s="193" t="str">
        <f>INDEX(_TARGETS!$D$2:$D$17,MATCH("SVCR",_TARGETS!$A$2:$A$17,0))</f>
        <v>eventos / 10^6 km</v>
      </c>
      <c r="I148" s="193" t="str">
        <f>INDEX(_TARGETS!$K$2:$K$17,MATCH("SVCR",_TARGETS!$A$2:$A$17,0))</f>
        <v>OPS (eventos) + Full Control GPS (km) - carga manual en Datos</v>
      </c>
      <c r="J148" s="258">
        <f t="shared" si="3"/>
        <v>46296</v>
      </c>
    </row>
    <row r="149" spans="1:10" ht="13.5" customHeight="1" x14ac:dyDescent="0.3">
      <c r="A149" t="s">
        <v>908</v>
      </c>
      <c r="B149" s="193" t="str">
        <f>YEAR(DATE(YEAR(RPT_MONTH),MONTH(RPT_MONTH)-7,1))&amp;"-"&amp;RIGHT("0"&amp;MONTH(DATE(YEAR(RPT_MONTH),MONTH(RPT_MONTH)-7,1)),2)</f>
        <v>2026-03</v>
      </c>
      <c r="C149" s="258">
        <f>DATE(YEAR(RPT_MONTH),MONTH(RPT_MONTH)-7,1)</f>
        <v>46082</v>
      </c>
      <c r="D149" t="s">
        <v>68</v>
      </c>
      <c r="E149" s="193" t="str">
        <f>IFERROR(INDEX(BD_KPIs!$F$2:$F$1300,MATCH(YEAR(DATE(YEAR(RPT_MONTH),MONTH(RPT_MONTH)-7,1))*100+MONTH(DATE(YEAR(RPT_MONTH),MONTH(RPT_MONTH)-7,1))&amp;"|SVCR|Monthly",BD_KPIs!$Q$2:$Q$1300,0)),"")</f>
        <v/>
      </c>
      <c r="F149" s="193" t="str">
        <f>IFERROR(INDEX(BD_KPIs!$G$2:$G$1300,MATCH(YEAR(DATE(YEAR(RPT_MONTH),MONTH(RPT_MONTH)-7,1))*100+MONTH(DATE(YEAR(RPT_MONTH),MONTH(RPT_MONTH)-7,1))&amp;"|SVCR|Monthly",BD_KPIs!$Q$2:$Q$1300,0)),"")</f>
        <v/>
      </c>
      <c r="G149" s="193" t="str">
        <f>IF(ISNUMBER(E149),IF(F149="","No target",IF(IFERROR(INDEX(BD_KPIs!$I$2:$I$1300,MATCH(YEAR(DATE(YEAR(RPT_MONTH),MONTH(RPT_MONTH)-7,1))*100+MONTH(DATE(YEAR(RPT_MONTH),MONTH(RPT_MONTH)-7,1))&amp;"|SVCR|Monthly",BD_KPIs!$Q$2:$Q$1300,0)),"")="Sí","On target","Off target")),"No data")</f>
        <v>No data</v>
      </c>
      <c r="H149" s="193" t="str">
        <f>INDEX(_TARGETS!$D$2:$D$17,MATCH("SVCR",_TARGETS!$A$2:$A$17,0))</f>
        <v>eventos / 10^6 km</v>
      </c>
      <c r="I149" s="193" t="str">
        <f>INDEX(_TARGETS!$K$2:$K$17,MATCH("SVCR",_TARGETS!$A$2:$A$17,0))</f>
        <v>OPS (eventos) + Full Control GPS (km) - carga manual en Datos</v>
      </c>
      <c r="J149" s="258">
        <f t="shared" si="3"/>
        <v>46296</v>
      </c>
    </row>
    <row r="150" spans="1:10" ht="13.5" customHeight="1" x14ac:dyDescent="0.3">
      <c r="A150" t="s">
        <v>908</v>
      </c>
      <c r="B150" s="193" t="str">
        <f>YEAR(DATE(YEAR(RPT_MONTH),MONTH(RPT_MONTH)-6,1))&amp;"-"&amp;RIGHT("0"&amp;MONTH(DATE(YEAR(RPT_MONTH),MONTH(RPT_MONTH)-6,1)),2)</f>
        <v>2026-04</v>
      </c>
      <c r="C150" s="258">
        <f>DATE(YEAR(RPT_MONTH),MONTH(RPT_MONTH)-6,1)</f>
        <v>46113</v>
      </c>
      <c r="D150" t="s">
        <v>68</v>
      </c>
      <c r="E150" s="193" t="str">
        <f>IFERROR(INDEX(BD_KPIs!$F$2:$F$1300,MATCH(YEAR(DATE(YEAR(RPT_MONTH),MONTH(RPT_MONTH)-6,1))*100+MONTH(DATE(YEAR(RPT_MONTH),MONTH(RPT_MONTH)-6,1))&amp;"|SVCR|Monthly",BD_KPIs!$Q$2:$Q$1300,0)),"")</f>
        <v/>
      </c>
      <c r="F150" s="193" t="str">
        <f>IFERROR(INDEX(BD_KPIs!$G$2:$G$1300,MATCH(YEAR(DATE(YEAR(RPT_MONTH),MONTH(RPT_MONTH)-6,1))*100+MONTH(DATE(YEAR(RPT_MONTH),MONTH(RPT_MONTH)-6,1))&amp;"|SVCR|Monthly",BD_KPIs!$Q$2:$Q$1300,0)),"")</f>
        <v/>
      </c>
      <c r="G150" s="193" t="str">
        <f>IF(ISNUMBER(E150),IF(F150="","No target",IF(IFERROR(INDEX(BD_KPIs!$I$2:$I$1300,MATCH(YEAR(DATE(YEAR(RPT_MONTH),MONTH(RPT_MONTH)-6,1))*100+MONTH(DATE(YEAR(RPT_MONTH),MONTH(RPT_MONTH)-6,1))&amp;"|SVCR|Monthly",BD_KPIs!$Q$2:$Q$1300,0)),"")="Sí","On target","Off target")),"No data")</f>
        <v>No data</v>
      </c>
      <c r="H150" s="193" t="str">
        <f>INDEX(_TARGETS!$D$2:$D$17,MATCH("SVCR",_TARGETS!$A$2:$A$17,0))</f>
        <v>eventos / 10^6 km</v>
      </c>
      <c r="I150" s="193" t="str">
        <f>INDEX(_TARGETS!$K$2:$K$17,MATCH("SVCR",_TARGETS!$A$2:$A$17,0))</f>
        <v>OPS (eventos) + Full Control GPS (km) - carga manual en Datos</v>
      </c>
      <c r="J150" s="258">
        <f t="shared" si="3"/>
        <v>46296</v>
      </c>
    </row>
    <row r="151" spans="1:10" ht="13.5" customHeight="1" x14ac:dyDescent="0.3">
      <c r="A151" t="s">
        <v>908</v>
      </c>
      <c r="B151" s="193" t="str">
        <f>YEAR(DATE(YEAR(RPT_MONTH),MONTH(RPT_MONTH)-5,1))&amp;"-"&amp;RIGHT("0"&amp;MONTH(DATE(YEAR(RPT_MONTH),MONTH(RPT_MONTH)-5,1)),2)</f>
        <v>2026-05</v>
      </c>
      <c r="C151" s="258">
        <f>DATE(YEAR(RPT_MONTH),MONTH(RPT_MONTH)-5,1)</f>
        <v>46143</v>
      </c>
      <c r="D151" t="s">
        <v>68</v>
      </c>
      <c r="E151" s="193" t="str">
        <f>IFERROR(INDEX(BD_KPIs!$F$2:$F$1300,MATCH(YEAR(DATE(YEAR(RPT_MONTH),MONTH(RPT_MONTH)-5,1))*100+MONTH(DATE(YEAR(RPT_MONTH),MONTH(RPT_MONTH)-5,1))&amp;"|SVCR|Monthly",BD_KPIs!$Q$2:$Q$1300,0)),"")</f>
        <v/>
      </c>
      <c r="F151" s="193" t="str">
        <f>IFERROR(INDEX(BD_KPIs!$G$2:$G$1300,MATCH(YEAR(DATE(YEAR(RPT_MONTH),MONTH(RPT_MONTH)-5,1))*100+MONTH(DATE(YEAR(RPT_MONTH),MONTH(RPT_MONTH)-5,1))&amp;"|SVCR|Monthly",BD_KPIs!$Q$2:$Q$1300,0)),"")</f>
        <v/>
      </c>
      <c r="G151" s="193" t="str">
        <f>IF(ISNUMBER(E151),IF(F151="","No target",IF(IFERROR(INDEX(BD_KPIs!$I$2:$I$1300,MATCH(YEAR(DATE(YEAR(RPT_MONTH),MONTH(RPT_MONTH)-5,1))*100+MONTH(DATE(YEAR(RPT_MONTH),MONTH(RPT_MONTH)-5,1))&amp;"|SVCR|Monthly",BD_KPIs!$Q$2:$Q$1300,0)),"")="Sí","On target","Off target")),"No data")</f>
        <v>No data</v>
      </c>
      <c r="H151" s="193" t="str">
        <f>INDEX(_TARGETS!$D$2:$D$17,MATCH("SVCR",_TARGETS!$A$2:$A$17,0))</f>
        <v>eventos / 10^6 km</v>
      </c>
      <c r="I151" s="193" t="str">
        <f>INDEX(_TARGETS!$K$2:$K$17,MATCH("SVCR",_TARGETS!$A$2:$A$17,0))</f>
        <v>OPS (eventos) + Full Control GPS (km) - carga manual en Datos</v>
      </c>
      <c r="J151" s="258">
        <f t="shared" si="3"/>
        <v>46296</v>
      </c>
    </row>
    <row r="152" spans="1:10" ht="13.5" customHeight="1" x14ac:dyDescent="0.3">
      <c r="A152" t="s">
        <v>908</v>
      </c>
      <c r="B152" s="193" t="str">
        <f>YEAR(DATE(YEAR(RPT_MONTH),MONTH(RPT_MONTH)-4,1))&amp;"-"&amp;RIGHT("0"&amp;MONTH(DATE(YEAR(RPT_MONTH),MONTH(RPT_MONTH)-4,1)),2)</f>
        <v>2026-06</v>
      </c>
      <c r="C152" s="258">
        <f>DATE(YEAR(RPT_MONTH),MONTH(RPT_MONTH)-4,1)</f>
        <v>46174</v>
      </c>
      <c r="D152" t="s">
        <v>68</v>
      </c>
      <c r="E152" s="193" t="str">
        <f>IFERROR(INDEX(BD_KPIs!$F$2:$F$1300,MATCH(YEAR(DATE(YEAR(RPT_MONTH),MONTH(RPT_MONTH)-4,1))*100+MONTH(DATE(YEAR(RPT_MONTH),MONTH(RPT_MONTH)-4,1))&amp;"|SVCR|Monthly",BD_KPIs!$Q$2:$Q$1300,0)),"")</f>
        <v/>
      </c>
      <c r="F152" s="193" t="str">
        <f>IFERROR(INDEX(BD_KPIs!$G$2:$G$1300,MATCH(YEAR(DATE(YEAR(RPT_MONTH),MONTH(RPT_MONTH)-4,1))*100+MONTH(DATE(YEAR(RPT_MONTH),MONTH(RPT_MONTH)-4,1))&amp;"|SVCR|Monthly",BD_KPIs!$Q$2:$Q$1300,0)),"")</f>
        <v/>
      </c>
      <c r="G152" s="193" t="str">
        <f>IF(ISNUMBER(E152),IF(F152="","No target",IF(IFERROR(INDEX(BD_KPIs!$I$2:$I$1300,MATCH(YEAR(DATE(YEAR(RPT_MONTH),MONTH(RPT_MONTH)-4,1))*100+MONTH(DATE(YEAR(RPT_MONTH),MONTH(RPT_MONTH)-4,1))&amp;"|SVCR|Monthly",BD_KPIs!$Q$2:$Q$1300,0)),"")="Sí","On target","Off target")),"No data")</f>
        <v>No data</v>
      </c>
      <c r="H152" s="193" t="str">
        <f>INDEX(_TARGETS!$D$2:$D$17,MATCH("SVCR",_TARGETS!$A$2:$A$17,0))</f>
        <v>eventos / 10^6 km</v>
      </c>
      <c r="I152" s="193" t="str">
        <f>INDEX(_TARGETS!$K$2:$K$17,MATCH("SVCR",_TARGETS!$A$2:$A$17,0))</f>
        <v>OPS (eventos) + Full Control GPS (km) - carga manual en Datos</v>
      </c>
      <c r="J152" s="258">
        <f t="shared" si="3"/>
        <v>46296</v>
      </c>
    </row>
    <row r="153" spans="1:10" ht="13.5" customHeight="1" x14ac:dyDescent="0.3">
      <c r="A153" t="s">
        <v>908</v>
      </c>
      <c r="B153" s="193" t="str">
        <f>YEAR(DATE(YEAR(RPT_MONTH),MONTH(RPT_MONTH)-3,1))&amp;"-"&amp;RIGHT("0"&amp;MONTH(DATE(YEAR(RPT_MONTH),MONTH(RPT_MONTH)-3,1)),2)</f>
        <v>2026-07</v>
      </c>
      <c r="C153" s="258">
        <f>DATE(YEAR(RPT_MONTH),MONTH(RPT_MONTH)-3,1)</f>
        <v>46204</v>
      </c>
      <c r="D153" t="s">
        <v>68</v>
      </c>
      <c r="E153" s="193" t="str">
        <f>IFERROR(INDEX(BD_KPIs!$F$2:$F$1300,MATCH(YEAR(DATE(YEAR(RPT_MONTH),MONTH(RPT_MONTH)-3,1))*100+MONTH(DATE(YEAR(RPT_MONTH),MONTH(RPT_MONTH)-3,1))&amp;"|SVCR|Monthly",BD_KPIs!$Q$2:$Q$1300,0)),"")</f>
        <v/>
      </c>
      <c r="F153" s="193" t="str">
        <f>IFERROR(INDEX(BD_KPIs!$G$2:$G$1300,MATCH(YEAR(DATE(YEAR(RPT_MONTH),MONTH(RPT_MONTH)-3,1))*100+MONTH(DATE(YEAR(RPT_MONTH),MONTH(RPT_MONTH)-3,1))&amp;"|SVCR|Monthly",BD_KPIs!$Q$2:$Q$1300,0)),"")</f>
        <v/>
      </c>
      <c r="G153" s="193" t="str">
        <f>IF(ISNUMBER(E153),IF(F153="","No target",IF(IFERROR(INDEX(BD_KPIs!$I$2:$I$1300,MATCH(YEAR(DATE(YEAR(RPT_MONTH),MONTH(RPT_MONTH)-3,1))*100+MONTH(DATE(YEAR(RPT_MONTH),MONTH(RPT_MONTH)-3,1))&amp;"|SVCR|Monthly",BD_KPIs!$Q$2:$Q$1300,0)),"")="Sí","On target","Off target")),"No data")</f>
        <v>No data</v>
      </c>
      <c r="H153" s="193" t="str">
        <f>INDEX(_TARGETS!$D$2:$D$17,MATCH("SVCR",_TARGETS!$A$2:$A$17,0))</f>
        <v>eventos / 10^6 km</v>
      </c>
      <c r="I153" s="193" t="str">
        <f>INDEX(_TARGETS!$K$2:$K$17,MATCH("SVCR",_TARGETS!$A$2:$A$17,0))</f>
        <v>OPS (eventos) + Full Control GPS (km) - carga manual en Datos</v>
      </c>
      <c r="J153" s="258">
        <f t="shared" si="3"/>
        <v>46296</v>
      </c>
    </row>
    <row r="154" spans="1:10" ht="13.5" customHeight="1" x14ac:dyDescent="0.3">
      <c r="A154" t="s">
        <v>908</v>
      </c>
      <c r="B154" s="193" t="str">
        <f>YEAR(DATE(YEAR(RPT_MONTH),MONTH(RPT_MONTH)-2,1))&amp;"-"&amp;RIGHT("0"&amp;MONTH(DATE(YEAR(RPT_MONTH),MONTH(RPT_MONTH)-2,1)),2)</f>
        <v>2026-08</v>
      </c>
      <c r="C154" s="258">
        <f>DATE(YEAR(RPT_MONTH),MONTH(RPT_MONTH)-2,1)</f>
        <v>46235</v>
      </c>
      <c r="D154" t="s">
        <v>68</v>
      </c>
      <c r="E154" s="193">
        <f>IFERROR(INDEX(BD_KPIs!$F$2:$F$1300,MATCH(YEAR(DATE(YEAR(RPT_MONTH),MONTH(RPT_MONTH)-2,1))*100+MONTH(DATE(YEAR(RPT_MONTH),MONTH(RPT_MONTH)-2,1))&amp;"|SVCR|Monthly",BD_KPIs!$Q$2:$Q$1300,0)),"")</f>
        <v>0</v>
      </c>
      <c r="F154" s="193" t="str">
        <f>IFERROR(INDEX(BD_KPIs!$G$2:$G$1300,MATCH(YEAR(DATE(YEAR(RPT_MONTH),MONTH(RPT_MONTH)-2,1))*100+MONTH(DATE(YEAR(RPT_MONTH),MONTH(RPT_MONTH)-2,1))&amp;"|SVCR|Monthly",BD_KPIs!$Q$2:$Q$1300,0)),"")</f>
        <v/>
      </c>
      <c r="G154" s="193" t="str">
        <f>IF(ISNUMBER(E154),IF(F154="","No target",IF(IFERROR(INDEX(BD_KPIs!$I$2:$I$1300,MATCH(YEAR(DATE(YEAR(RPT_MONTH),MONTH(RPT_MONTH)-2,1))*100+MONTH(DATE(YEAR(RPT_MONTH),MONTH(RPT_MONTH)-2,1))&amp;"|SVCR|Monthly",BD_KPIs!$Q$2:$Q$1300,0)),"")="Sí","On target","Off target")),"No data")</f>
        <v>No target</v>
      </c>
      <c r="H154" s="193" t="str">
        <f>INDEX(_TARGETS!$D$2:$D$17,MATCH("SVCR",_TARGETS!$A$2:$A$17,0))</f>
        <v>eventos / 10^6 km</v>
      </c>
      <c r="I154" s="193" t="str">
        <f>INDEX(_TARGETS!$K$2:$K$17,MATCH("SVCR",_TARGETS!$A$2:$A$17,0))</f>
        <v>OPS (eventos) + Full Control GPS (km) - carga manual en Datos</v>
      </c>
      <c r="J154" s="258">
        <f t="shared" si="3"/>
        <v>46296</v>
      </c>
    </row>
    <row r="155" spans="1:10" ht="13.5" customHeight="1" x14ac:dyDescent="0.3">
      <c r="A155" t="s">
        <v>908</v>
      </c>
      <c r="B155" s="193" t="str">
        <f>YEAR(DATE(YEAR(RPT_MONTH),MONTH(RPT_MONTH)-1,1))&amp;"-"&amp;RIGHT("0"&amp;MONTH(DATE(YEAR(RPT_MONTH),MONTH(RPT_MONTH)-1,1)),2)</f>
        <v>2026-09</v>
      </c>
      <c r="C155" s="258">
        <f>DATE(YEAR(RPT_MONTH),MONTH(RPT_MONTH)-1,1)</f>
        <v>46266</v>
      </c>
      <c r="D155" t="s">
        <v>68</v>
      </c>
      <c r="E155" s="193">
        <f>IFERROR(INDEX(BD_KPIs!$F$2:$F$1300,MATCH(YEAR(DATE(YEAR(RPT_MONTH),MONTH(RPT_MONTH)-1,1))*100+MONTH(DATE(YEAR(RPT_MONTH),MONTH(RPT_MONTH)-1,1))&amp;"|SVCR|Monthly",BD_KPIs!$Q$2:$Q$1300,0)),"")</f>
        <v>0</v>
      </c>
      <c r="F155" s="193" t="str">
        <f>IFERROR(INDEX(BD_KPIs!$G$2:$G$1300,MATCH(YEAR(DATE(YEAR(RPT_MONTH),MONTH(RPT_MONTH)-1,1))*100+MONTH(DATE(YEAR(RPT_MONTH),MONTH(RPT_MONTH)-1,1))&amp;"|SVCR|Monthly",BD_KPIs!$Q$2:$Q$1300,0)),"")</f>
        <v/>
      </c>
      <c r="G155" s="193" t="str">
        <f>IF(ISNUMBER(E155),IF(F155="","No target",IF(IFERROR(INDEX(BD_KPIs!$I$2:$I$1300,MATCH(YEAR(DATE(YEAR(RPT_MONTH),MONTH(RPT_MONTH)-1,1))*100+MONTH(DATE(YEAR(RPT_MONTH),MONTH(RPT_MONTH)-1,1))&amp;"|SVCR|Monthly",BD_KPIs!$Q$2:$Q$1300,0)),"")="Sí","On target","Off target")),"No data")</f>
        <v>No target</v>
      </c>
      <c r="H155" s="193" t="str">
        <f>INDEX(_TARGETS!$D$2:$D$17,MATCH("SVCR",_TARGETS!$A$2:$A$17,0))</f>
        <v>eventos / 10^6 km</v>
      </c>
      <c r="I155" s="193" t="str">
        <f>INDEX(_TARGETS!$K$2:$K$17,MATCH("SVCR",_TARGETS!$A$2:$A$17,0))</f>
        <v>OPS (eventos) + Full Control GPS (km) - carga manual en Datos</v>
      </c>
      <c r="J155" s="258">
        <f t="shared" si="3"/>
        <v>46296</v>
      </c>
    </row>
    <row r="156" spans="1:10" ht="13.5" customHeight="1" x14ac:dyDescent="0.3">
      <c r="A156" t="s">
        <v>908</v>
      </c>
      <c r="B156" s="193" t="str">
        <f>YEAR(DATE(YEAR(RPT_MONTH),MONTH(RPT_MONTH)-0,1))&amp;"-"&amp;RIGHT("0"&amp;MONTH(DATE(YEAR(RPT_MONTH),MONTH(RPT_MONTH)-0,1)),2)</f>
        <v>2026-10</v>
      </c>
      <c r="C156" s="258">
        <f>DATE(YEAR(RPT_MONTH),MONTH(RPT_MONTH)-0,1)</f>
        <v>46296</v>
      </c>
      <c r="D156" t="s">
        <v>68</v>
      </c>
      <c r="E156" s="193" t="str">
        <f>IFERROR(INDEX(BD_KPIs!$F$2:$F$1300,MATCH(YEAR(DATE(YEAR(RPT_MONTH),MONTH(RPT_MONTH)-0,1))*100+MONTH(DATE(YEAR(RPT_MONTH),MONTH(RPT_MONTH)-0,1))&amp;"|SVCR|Monthly",BD_KPIs!$Q$2:$Q$1300,0)),"")</f>
        <v/>
      </c>
      <c r="F156" s="193" t="str">
        <f>IFERROR(INDEX(BD_KPIs!$G$2:$G$1300,MATCH(YEAR(DATE(YEAR(RPT_MONTH),MONTH(RPT_MONTH)-0,1))*100+MONTH(DATE(YEAR(RPT_MONTH),MONTH(RPT_MONTH)-0,1))&amp;"|SVCR|Monthly",BD_KPIs!$Q$2:$Q$1300,0)),"")</f>
        <v/>
      </c>
      <c r="G156" s="193" t="str">
        <f>IF(ISNUMBER(E156),IF(F156="","No target",IF(IFERROR(INDEX(BD_KPIs!$I$2:$I$1300,MATCH(YEAR(DATE(YEAR(RPT_MONTH),MONTH(RPT_MONTH)-0,1))*100+MONTH(DATE(YEAR(RPT_MONTH),MONTH(RPT_MONTH)-0,1))&amp;"|SVCR|Monthly",BD_KPIs!$Q$2:$Q$1300,0)),"")="Sí","On target","Off target")),"No data")</f>
        <v>No data</v>
      </c>
      <c r="H156" s="193" t="str">
        <f>INDEX(_TARGETS!$D$2:$D$17,MATCH("SVCR",_TARGETS!$A$2:$A$17,0))</f>
        <v>eventos / 10^6 km</v>
      </c>
      <c r="I156" s="193" t="str">
        <f>INDEX(_TARGETS!$K$2:$K$17,MATCH("SVCR",_TARGETS!$A$2:$A$17,0))</f>
        <v>OPS (eventos) + Full Control GPS (km) - carga manual en Datos</v>
      </c>
      <c r="J156" s="258">
        <f t="shared" si="3"/>
        <v>46296</v>
      </c>
    </row>
    <row r="157" spans="1:10" ht="13.5" customHeight="1" x14ac:dyDescent="0.3">
      <c r="A157" t="s">
        <v>908</v>
      </c>
      <c r="B157" s="193" t="str">
        <f>YEAR(DATE(YEAR(RPT_MONTH),MONTH(RPT_MONTH)-11,1))&amp;"-"&amp;RIGHT("0"&amp;MONTH(DATE(YEAR(RPT_MONTH),MONTH(RPT_MONTH)-11,1)),2)</f>
        <v>2025-11</v>
      </c>
      <c r="C157" s="258">
        <f>DATE(YEAR(RPT_MONTH),MONTH(RPT_MONTH)-11,1)</f>
        <v>45962</v>
      </c>
      <c r="D157" t="s">
        <v>601</v>
      </c>
      <c r="E157" s="193" t="str">
        <f>IFERROR(INDEX(BD_KPIs!$F$2:$F$1300,MATCH(YEAR(DATE(YEAR(RPT_MONTH),MONTH(RPT_MONTH)-11,1))*100+MONTH(DATE(YEAR(RPT_MONTH),MONTH(RPT_MONTH)-11,1))&amp;"|SVCR|YTD",BD_KPIs!$Q$2:$Q$1300,0)),"")</f>
        <v/>
      </c>
      <c r="F157" s="193" t="str">
        <f>IFERROR(INDEX(BD_KPIs!$G$2:$G$1300,MATCH(YEAR(DATE(YEAR(RPT_MONTH),MONTH(RPT_MONTH)-11,1))*100+MONTH(DATE(YEAR(RPT_MONTH),MONTH(RPT_MONTH)-11,1))&amp;"|SVCR|YTD",BD_KPIs!$Q$2:$Q$1300,0)),"")</f>
        <v/>
      </c>
      <c r="G157" s="193" t="str">
        <f>IF(ISNUMBER(E157),IF(F157="","No target",IF(IFERROR(INDEX(BD_KPIs!$I$2:$I$1300,MATCH(YEAR(DATE(YEAR(RPT_MONTH),MONTH(RPT_MONTH)-11,1))*100+MONTH(DATE(YEAR(RPT_MONTH),MONTH(RPT_MONTH)-11,1))&amp;"|SVCR|YTD",BD_KPIs!$Q$2:$Q$1300,0)),"")="Sí","On target","Off target")),"No data")</f>
        <v>No data</v>
      </c>
      <c r="H157" s="193" t="str">
        <f>INDEX(_TARGETS!$D$2:$D$17,MATCH("SVCR",_TARGETS!$A$2:$A$17,0))</f>
        <v>eventos / 10^6 km</v>
      </c>
      <c r="I157" s="193" t="str">
        <f>INDEX(_TARGETS!$K$2:$K$17,MATCH("SVCR",_TARGETS!$A$2:$A$17,0))</f>
        <v>OPS (eventos) + Full Control GPS (km) - carga manual en Datos</v>
      </c>
      <c r="J157" s="258">
        <f t="shared" si="3"/>
        <v>46296</v>
      </c>
    </row>
    <row r="158" spans="1:10" ht="13.5" customHeight="1" x14ac:dyDescent="0.3">
      <c r="A158" t="s">
        <v>908</v>
      </c>
      <c r="B158" s="193" t="str">
        <f>YEAR(DATE(YEAR(RPT_MONTH),MONTH(RPT_MONTH)-10,1))&amp;"-"&amp;RIGHT("0"&amp;MONTH(DATE(YEAR(RPT_MONTH),MONTH(RPT_MONTH)-10,1)),2)</f>
        <v>2025-12</v>
      </c>
      <c r="C158" s="258">
        <f>DATE(YEAR(RPT_MONTH),MONTH(RPT_MONTH)-10,1)</f>
        <v>45992</v>
      </c>
      <c r="D158" t="s">
        <v>601</v>
      </c>
      <c r="E158" s="193" t="str">
        <f>IFERROR(INDEX(BD_KPIs!$F$2:$F$1300,MATCH(YEAR(DATE(YEAR(RPT_MONTH),MONTH(RPT_MONTH)-10,1))*100+MONTH(DATE(YEAR(RPT_MONTH),MONTH(RPT_MONTH)-10,1))&amp;"|SVCR|YTD",BD_KPIs!$Q$2:$Q$1300,0)),"")</f>
        <v/>
      </c>
      <c r="F158" s="193" t="str">
        <f>IFERROR(INDEX(BD_KPIs!$G$2:$G$1300,MATCH(YEAR(DATE(YEAR(RPT_MONTH),MONTH(RPT_MONTH)-10,1))*100+MONTH(DATE(YEAR(RPT_MONTH),MONTH(RPT_MONTH)-10,1))&amp;"|SVCR|YTD",BD_KPIs!$Q$2:$Q$1300,0)),"")</f>
        <v/>
      </c>
      <c r="G158" s="193" t="str">
        <f>IF(ISNUMBER(E158),IF(F158="","No target",IF(IFERROR(INDEX(BD_KPIs!$I$2:$I$1300,MATCH(YEAR(DATE(YEAR(RPT_MONTH),MONTH(RPT_MONTH)-10,1))*100+MONTH(DATE(YEAR(RPT_MONTH),MONTH(RPT_MONTH)-10,1))&amp;"|SVCR|YTD",BD_KPIs!$Q$2:$Q$1300,0)),"")="Sí","On target","Off target")),"No data")</f>
        <v>No data</v>
      </c>
      <c r="H158" s="193" t="str">
        <f>INDEX(_TARGETS!$D$2:$D$17,MATCH("SVCR",_TARGETS!$A$2:$A$17,0))</f>
        <v>eventos / 10^6 km</v>
      </c>
      <c r="I158" s="193" t="str">
        <f>INDEX(_TARGETS!$K$2:$K$17,MATCH("SVCR",_TARGETS!$A$2:$A$17,0))</f>
        <v>OPS (eventos) + Full Control GPS (km) - carga manual en Datos</v>
      </c>
      <c r="J158" s="258">
        <f t="shared" si="3"/>
        <v>46296</v>
      </c>
    </row>
    <row r="159" spans="1:10" ht="13.5" customHeight="1" x14ac:dyDescent="0.3">
      <c r="A159" t="s">
        <v>908</v>
      </c>
      <c r="B159" s="193" t="str">
        <f>YEAR(DATE(YEAR(RPT_MONTH),MONTH(RPT_MONTH)-9,1))&amp;"-"&amp;RIGHT("0"&amp;MONTH(DATE(YEAR(RPT_MONTH),MONTH(RPT_MONTH)-9,1)),2)</f>
        <v>2026-01</v>
      </c>
      <c r="C159" s="258">
        <f>DATE(YEAR(RPT_MONTH),MONTH(RPT_MONTH)-9,1)</f>
        <v>46023</v>
      </c>
      <c r="D159" t="s">
        <v>601</v>
      </c>
      <c r="E159" s="193" t="str">
        <f>IFERROR(INDEX(BD_KPIs!$F$2:$F$1300,MATCH(YEAR(DATE(YEAR(RPT_MONTH),MONTH(RPT_MONTH)-9,1))*100+MONTH(DATE(YEAR(RPT_MONTH),MONTH(RPT_MONTH)-9,1))&amp;"|SVCR|YTD",BD_KPIs!$Q$2:$Q$1300,0)),"")</f>
        <v/>
      </c>
      <c r="F159" s="193" t="str">
        <f>IFERROR(INDEX(BD_KPIs!$G$2:$G$1300,MATCH(YEAR(DATE(YEAR(RPT_MONTH),MONTH(RPT_MONTH)-9,1))*100+MONTH(DATE(YEAR(RPT_MONTH),MONTH(RPT_MONTH)-9,1))&amp;"|SVCR|YTD",BD_KPIs!$Q$2:$Q$1300,0)),"")</f>
        <v/>
      </c>
      <c r="G159" s="193" t="str">
        <f>IF(ISNUMBER(E159),IF(F159="","No target",IF(IFERROR(INDEX(BD_KPIs!$I$2:$I$1300,MATCH(YEAR(DATE(YEAR(RPT_MONTH),MONTH(RPT_MONTH)-9,1))*100+MONTH(DATE(YEAR(RPT_MONTH),MONTH(RPT_MONTH)-9,1))&amp;"|SVCR|YTD",BD_KPIs!$Q$2:$Q$1300,0)),"")="Sí","On target","Off target")),"No data")</f>
        <v>No data</v>
      </c>
      <c r="H159" s="193" t="str">
        <f>INDEX(_TARGETS!$D$2:$D$17,MATCH("SVCR",_TARGETS!$A$2:$A$17,0))</f>
        <v>eventos / 10^6 km</v>
      </c>
      <c r="I159" s="193" t="str">
        <f>INDEX(_TARGETS!$K$2:$K$17,MATCH("SVCR",_TARGETS!$A$2:$A$17,0))</f>
        <v>OPS (eventos) + Full Control GPS (km) - carga manual en Datos</v>
      </c>
      <c r="J159" s="258">
        <f t="shared" si="3"/>
        <v>46296</v>
      </c>
    </row>
    <row r="160" spans="1:10" ht="13.5" customHeight="1" x14ac:dyDescent="0.3">
      <c r="A160" t="s">
        <v>908</v>
      </c>
      <c r="B160" s="193" t="str">
        <f>YEAR(DATE(YEAR(RPT_MONTH),MONTH(RPT_MONTH)-8,1))&amp;"-"&amp;RIGHT("0"&amp;MONTH(DATE(YEAR(RPT_MONTH),MONTH(RPT_MONTH)-8,1)),2)</f>
        <v>2026-02</v>
      </c>
      <c r="C160" s="258">
        <f>DATE(YEAR(RPT_MONTH),MONTH(RPT_MONTH)-8,1)</f>
        <v>46054</v>
      </c>
      <c r="D160" t="s">
        <v>601</v>
      </c>
      <c r="E160" s="193" t="str">
        <f>IFERROR(INDEX(BD_KPIs!$F$2:$F$1300,MATCH(YEAR(DATE(YEAR(RPT_MONTH),MONTH(RPT_MONTH)-8,1))*100+MONTH(DATE(YEAR(RPT_MONTH),MONTH(RPT_MONTH)-8,1))&amp;"|SVCR|YTD",BD_KPIs!$Q$2:$Q$1300,0)),"")</f>
        <v/>
      </c>
      <c r="F160" s="193" t="str">
        <f>IFERROR(INDEX(BD_KPIs!$G$2:$G$1300,MATCH(YEAR(DATE(YEAR(RPT_MONTH),MONTH(RPT_MONTH)-8,1))*100+MONTH(DATE(YEAR(RPT_MONTH),MONTH(RPT_MONTH)-8,1))&amp;"|SVCR|YTD",BD_KPIs!$Q$2:$Q$1300,0)),"")</f>
        <v/>
      </c>
      <c r="G160" s="193" t="str">
        <f>IF(ISNUMBER(E160),IF(F160="","No target",IF(IFERROR(INDEX(BD_KPIs!$I$2:$I$1300,MATCH(YEAR(DATE(YEAR(RPT_MONTH),MONTH(RPT_MONTH)-8,1))*100+MONTH(DATE(YEAR(RPT_MONTH),MONTH(RPT_MONTH)-8,1))&amp;"|SVCR|YTD",BD_KPIs!$Q$2:$Q$1300,0)),"")="Sí","On target","Off target")),"No data")</f>
        <v>No data</v>
      </c>
      <c r="H160" s="193" t="str">
        <f>INDEX(_TARGETS!$D$2:$D$17,MATCH("SVCR",_TARGETS!$A$2:$A$17,0))</f>
        <v>eventos / 10^6 km</v>
      </c>
      <c r="I160" s="193" t="str">
        <f>INDEX(_TARGETS!$K$2:$K$17,MATCH("SVCR",_TARGETS!$A$2:$A$17,0))</f>
        <v>OPS (eventos) + Full Control GPS (km) - carga manual en Datos</v>
      </c>
      <c r="J160" s="258">
        <f t="shared" si="3"/>
        <v>46296</v>
      </c>
    </row>
    <row r="161" spans="1:10" ht="13.5" customHeight="1" x14ac:dyDescent="0.3">
      <c r="A161" t="s">
        <v>908</v>
      </c>
      <c r="B161" s="193" t="str">
        <f>YEAR(DATE(YEAR(RPT_MONTH),MONTH(RPT_MONTH)-7,1))&amp;"-"&amp;RIGHT("0"&amp;MONTH(DATE(YEAR(RPT_MONTH),MONTH(RPT_MONTH)-7,1)),2)</f>
        <v>2026-03</v>
      </c>
      <c r="C161" s="258">
        <f>DATE(YEAR(RPT_MONTH),MONTH(RPT_MONTH)-7,1)</f>
        <v>46082</v>
      </c>
      <c r="D161" t="s">
        <v>601</v>
      </c>
      <c r="E161" s="193" t="str">
        <f>IFERROR(INDEX(BD_KPIs!$F$2:$F$1300,MATCH(YEAR(DATE(YEAR(RPT_MONTH),MONTH(RPT_MONTH)-7,1))*100+MONTH(DATE(YEAR(RPT_MONTH),MONTH(RPT_MONTH)-7,1))&amp;"|SVCR|YTD",BD_KPIs!$Q$2:$Q$1300,0)),"")</f>
        <v/>
      </c>
      <c r="F161" s="193" t="str">
        <f>IFERROR(INDEX(BD_KPIs!$G$2:$G$1300,MATCH(YEAR(DATE(YEAR(RPT_MONTH),MONTH(RPT_MONTH)-7,1))*100+MONTH(DATE(YEAR(RPT_MONTH),MONTH(RPT_MONTH)-7,1))&amp;"|SVCR|YTD",BD_KPIs!$Q$2:$Q$1300,0)),"")</f>
        <v/>
      </c>
      <c r="G161" s="193" t="str">
        <f>IF(ISNUMBER(E161),IF(F161="","No target",IF(IFERROR(INDEX(BD_KPIs!$I$2:$I$1300,MATCH(YEAR(DATE(YEAR(RPT_MONTH),MONTH(RPT_MONTH)-7,1))*100+MONTH(DATE(YEAR(RPT_MONTH),MONTH(RPT_MONTH)-7,1))&amp;"|SVCR|YTD",BD_KPIs!$Q$2:$Q$1300,0)),"")="Sí","On target","Off target")),"No data")</f>
        <v>No data</v>
      </c>
      <c r="H161" s="193" t="str">
        <f>INDEX(_TARGETS!$D$2:$D$17,MATCH("SVCR",_TARGETS!$A$2:$A$17,0))</f>
        <v>eventos / 10^6 km</v>
      </c>
      <c r="I161" s="193" t="str">
        <f>INDEX(_TARGETS!$K$2:$K$17,MATCH("SVCR",_TARGETS!$A$2:$A$17,0))</f>
        <v>OPS (eventos) + Full Control GPS (km) - carga manual en Datos</v>
      </c>
      <c r="J161" s="258">
        <f t="shared" si="3"/>
        <v>46296</v>
      </c>
    </row>
    <row r="162" spans="1:10" ht="13.5" customHeight="1" x14ac:dyDescent="0.3">
      <c r="A162" t="s">
        <v>908</v>
      </c>
      <c r="B162" s="193" t="str">
        <f>YEAR(DATE(YEAR(RPT_MONTH),MONTH(RPT_MONTH)-6,1))&amp;"-"&amp;RIGHT("0"&amp;MONTH(DATE(YEAR(RPT_MONTH),MONTH(RPT_MONTH)-6,1)),2)</f>
        <v>2026-04</v>
      </c>
      <c r="C162" s="258">
        <f>DATE(YEAR(RPT_MONTH),MONTH(RPT_MONTH)-6,1)</f>
        <v>46113</v>
      </c>
      <c r="D162" t="s">
        <v>601</v>
      </c>
      <c r="E162" s="193" t="str">
        <f>IFERROR(INDEX(BD_KPIs!$F$2:$F$1300,MATCH(YEAR(DATE(YEAR(RPT_MONTH),MONTH(RPT_MONTH)-6,1))*100+MONTH(DATE(YEAR(RPT_MONTH),MONTH(RPT_MONTH)-6,1))&amp;"|SVCR|YTD",BD_KPIs!$Q$2:$Q$1300,0)),"")</f>
        <v/>
      </c>
      <c r="F162" s="193" t="str">
        <f>IFERROR(INDEX(BD_KPIs!$G$2:$G$1300,MATCH(YEAR(DATE(YEAR(RPT_MONTH),MONTH(RPT_MONTH)-6,1))*100+MONTH(DATE(YEAR(RPT_MONTH),MONTH(RPT_MONTH)-6,1))&amp;"|SVCR|YTD",BD_KPIs!$Q$2:$Q$1300,0)),"")</f>
        <v/>
      </c>
      <c r="G162" s="193" t="str">
        <f>IF(ISNUMBER(E162),IF(F162="","No target",IF(IFERROR(INDEX(BD_KPIs!$I$2:$I$1300,MATCH(YEAR(DATE(YEAR(RPT_MONTH),MONTH(RPT_MONTH)-6,1))*100+MONTH(DATE(YEAR(RPT_MONTH),MONTH(RPT_MONTH)-6,1))&amp;"|SVCR|YTD",BD_KPIs!$Q$2:$Q$1300,0)),"")="Sí","On target","Off target")),"No data")</f>
        <v>No data</v>
      </c>
      <c r="H162" s="193" t="str">
        <f>INDEX(_TARGETS!$D$2:$D$17,MATCH("SVCR",_TARGETS!$A$2:$A$17,0))</f>
        <v>eventos / 10^6 km</v>
      </c>
      <c r="I162" s="193" t="str">
        <f>INDEX(_TARGETS!$K$2:$K$17,MATCH("SVCR",_TARGETS!$A$2:$A$17,0))</f>
        <v>OPS (eventos) + Full Control GPS (km) - carga manual en Datos</v>
      </c>
      <c r="J162" s="258">
        <f t="shared" si="3"/>
        <v>46296</v>
      </c>
    </row>
    <row r="163" spans="1:10" ht="13.5" customHeight="1" x14ac:dyDescent="0.3">
      <c r="A163" t="s">
        <v>908</v>
      </c>
      <c r="B163" s="193" t="str">
        <f>YEAR(DATE(YEAR(RPT_MONTH),MONTH(RPT_MONTH)-5,1))&amp;"-"&amp;RIGHT("0"&amp;MONTH(DATE(YEAR(RPT_MONTH),MONTH(RPT_MONTH)-5,1)),2)</f>
        <v>2026-05</v>
      </c>
      <c r="C163" s="258">
        <f>DATE(YEAR(RPT_MONTH),MONTH(RPT_MONTH)-5,1)</f>
        <v>46143</v>
      </c>
      <c r="D163" t="s">
        <v>601</v>
      </c>
      <c r="E163" s="193" t="str">
        <f>IFERROR(INDEX(BD_KPIs!$F$2:$F$1300,MATCH(YEAR(DATE(YEAR(RPT_MONTH),MONTH(RPT_MONTH)-5,1))*100+MONTH(DATE(YEAR(RPT_MONTH),MONTH(RPT_MONTH)-5,1))&amp;"|SVCR|YTD",BD_KPIs!$Q$2:$Q$1300,0)),"")</f>
        <v/>
      </c>
      <c r="F163" s="193" t="str">
        <f>IFERROR(INDEX(BD_KPIs!$G$2:$G$1300,MATCH(YEAR(DATE(YEAR(RPT_MONTH),MONTH(RPT_MONTH)-5,1))*100+MONTH(DATE(YEAR(RPT_MONTH),MONTH(RPT_MONTH)-5,1))&amp;"|SVCR|YTD",BD_KPIs!$Q$2:$Q$1300,0)),"")</f>
        <v/>
      </c>
      <c r="G163" s="193" t="str">
        <f>IF(ISNUMBER(E163),IF(F163="","No target",IF(IFERROR(INDEX(BD_KPIs!$I$2:$I$1300,MATCH(YEAR(DATE(YEAR(RPT_MONTH),MONTH(RPT_MONTH)-5,1))*100+MONTH(DATE(YEAR(RPT_MONTH),MONTH(RPT_MONTH)-5,1))&amp;"|SVCR|YTD",BD_KPIs!$Q$2:$Q$1300,0)),"")="Sí","On target","Off target")),"No data")</f>
        <v>No data</v>
      </c>
      <c r="H163" s="193" t="str">
        <f>INDEX(_TARGETS!$D$2:$D$17,MATCH("SVCR",_TARGETS!$A$2:$A$17,0))</f>
        <v>eventos / 10^6 km</v>
      </c>
      <c r="I163" s="193" t="str">
        <f>INDEX(_TARGETS!$K$2:$K$17,MATCH("SVCR",_TARGETS!$A$2:$A$17,0))</f>
        <v>OPS (eventos) + Full Control GPS (km) - carga manual en Datos</v>
      </c>
      <c r="J163" s="258">
        <f t="shared" si="3"/>
        <v>46296</v>
      </c>
    </row>
    <row r="164" spans="1:10" ht="13.5" customHeight="1" x14ac:dyDescent="0.3">
      <c r="A164" t="s">
        <v>908</v>
      </c>
      <c r="B164" s="193" t="str">
        <f>YEAR(DATE(YEAR(RPT_MONTH),MONTH(RPT_MONTH)-4,1))&amp;"-"&amp;RIGHT("0"&amp;MONTH(DATE(YEAR(RPT_MONTH),MONTH(RPT_MONTH)-4,1)),2)</f>
        <v>2026-06</v>
      </c>
      <c r="C164" s="258">
        <f>DATE(YEAR(RPT_MONTH),MONTH(RPT_MONTH)-4,1)</f>
        <v>46174</v>
      </c>
      <c r="D164" t="s">
        <v>601</v>
      </c>
      <c r="E164" s="193" t="str">
        <f>IFERROR(INDEX(BD_KPIs!$F$2:$F$1300,MATCH(YEAR(DATE(YEAR(RPT_MONTH),MONTH(RPT_MONTH)-4,1))*100+MONTH(DATE(YEAR(RPT_MONTH),MONTH(RPT_MONTH)-4,1))&amp;"|SVCR|YTD",BD_KPIs!$Q$2:$Q$1300,0)),"")</f>
        <v/>
      </c>
      <c r="F164" s="193" t="str">
        <f>IFERROR(INDEX(BD_KPIs!$G$2:$G$1300,MATCH(YEAR(DATE(YEAR(RPT_MONTH),MONTH(RPT_MONTH)-4,1))*100+MONTH(DATE(YEAR(RPT_MONTH),MONTH(RPT_MONTH)-4,1))&amp;"|SVCR|YTD",BD_KPIs!$Q$2:$Q$1300,0)),"")</f>
        <v/>
      </c>
      <c r="G164" s="193" t="str">
        <f>IF(ISNUMBER(E164),IF(F164="","No target",IF(IFERROR(INDEX(BD_KPIs!$I$2:$I$1300,MATCH(YEAR(DATE(YEAR(RPT_MONTH),MONTH(RPT_MONTH)-4,1))*100+MONTH(DATE(YEAR(RPT_MONTH),MONTH(RPT_MONTH)-4,1))&amp;"|SVCR|YTD",BD_KPIs!$Q$2:$Q$1300,0)),"")="Sí","On target","Off target")),"No data")</f>
        <v>No data</v>
      </c>
      <c r="H164" s="193" t="str">
        <f>INDEX(_TARGETS!$D$2:$D$17,MATCH("SVCR",_TARGETS!$A$2:$A$17,0))</f>
        <v>eventos / 10^6 km</v>
      </c>
      <c r="I164" s="193" t="str">
        <f>INDEX(_TARGETS!$K$2:$K$17,MATCH("SVCR",_TARGETS!$A$2:$A$17,0))</f>
        <v>OPS (eventos) + Full Control GPS (km) - carga manual en Datos</v>
      </c>
      <c r="J164" s="258">
        <f t="shared" si="3"/>
        <v>46296</v>
      </c>
    </row>
    <row r="165" spans="1:10" ht="13.5" customHeight="1" x14ac:dyDescent="0.3">
      <c r="A165" t="s">
        <v>908</v>
      </c>
      <c r="B165" s="193" t="str">
        <f>YEAR(DATE(YEAR(RPT_MONTH),MONTH(RPT_MONTH)-3,1))&amp;"-"&amp;RIGHT("0"&amp;MONTH(DATE(YEAR(RPT_MONTH),MONTH(RPT_MONTH)-3,1)),2)</f>
        <v>2026-07</v>
      </c>
      <c r="C165" s="258">
        <f>DATE(YEAR(RPT_MONTH),MONTH(RPT_MONTH)-3,1)</f>
        <v>46204</v>
      </c>
      <c r="D165" t="s">
        <v>601</v>
      </c>
      <c r="E165" s="193" t="str">
        <f>IFERROR(INDEX(BD_KPIs!$F$2:$F$1300,MATCH(YEAR(DATE(YEAR(RPT_MONTH),MONTH(RPT_MONTH)-3,1))*100+MONTH(DATE(YEAR(RPT_MONTH),MONTH(RPT_MONTH)-3,1))&amp;"|SVCR|YTD",BD_KPIs!$Q$2:$Q$1300,0)),"")</f>
        <v/>
      </c>
      <c r="F165" s="193" t="str">
        <f>IFERROR(INDEX(BD_KPIs!$G$2:$G$1300,MATCH(YEAR(DATE(YEAR(RPT_MONTH),MONTH(RPT_MONTH)-3,1))*100+MONTH(DATE(YEAR(RPT_MONTH),MONTH(RPT_MONTH)-3,1))&amp;"|SVCR|YTD",BD_KPIs!$Q$2:$Q$1300,0)),"")</f>
        <v/>
      </c>
      <c r="G165" s="193" t="str">
        <f>IF(ISNUMBER(E165),IF(F165="","No target",IF(IFERROR(INDEX(BD_KPIs!$I$2:$I$1300,MATCH(YEAR(DATE(YEAR(RPT_MONTH),MONTH(RPT_MONTH)-3,1))*100+MONTH(DATE(YEAR(RPT_MONTH),MONTH(RPT_MONTH)-3,1))&amp;"|SVCR|YTD",BD_KPIs!$Q$2:$Q$1300,0)),"")="Sí","On target","Off target")),"No data")</f>
        <v>No data</v>
      </c>
      <c r="H165" s="193" t="str">
        <f>INDEX(_TARGETS!$D$2:$D$17,MATCH("SVCR",_TARGETS!$A$2:$A$17,0))</f>
        <v>eventos / 10^6 km</v>
      </c>
      <c r="I165" s="193" t="str">
        <f>INDEX(_TARGETS!$K$2:$K$17,MATCH("SVCR",_TARGETS!$A$2:$A$17,0))</f>
        <v>OPS (eventos) + Full Control GPS (km) - carga manual en Datos</v>
      </c>
      <c r="J165" s="258">
        <f t="shared" si="3"/>
        <v>46296</v>
      </c>
    </row>
    <row r="166" spans="1:10" ht="13.5" customHeight="1" x14ac:dyDescent="0.3">
      <c r="A166" t="s">
        <v>908</v>
      </c>
      <c r="B166" s="193" t="str">
        <f>YEAR(DATE(YEAR(RPT_MONTH),MONTH(RPT_MONTH)-2,1))&amp;"-"&amp;RIGHT("0"&amp;MONTH(DATE(YEAR(RPT_MONTH),MONTH(RPT_MONTH)-2,1)),2)</f>
        <v>2026-08</v>
      </c>
      <c r="C166" s="258">
        <f>DATE(YEAR(RPT_MONTH),MONTH(RPT_MONTH)-2,1)</f>
        <v>46235</v>
      </c>
      <c r="D166" t="s">
        <v>601</v>
      </c>
      <c r="E166" s="193">
        <f>IFERROR(INDEX(BD_KPIs!$F$2:$F$1300,MATCH(YEAR(DATE(YEAR(RPT_MONTH),MONTH(RPT_MONTH)-2,1))*100+MONTH(DATE(YEAR(RPT_MONTH),MONTH(RPT_MONTH)-2,1))&amp;"|SVCR|YTD",BD_KPIs!$Q$2:$Q$1300,0)),"")</f>
        <v>0</v>
      </c>
      <c r="F166" s="193" t="str">
        <f>IFERROR(INDEX(BD_KPIs!$G$2:$G$1300,MATCH(YEAR(DATE(YEAR(RPT_MONTH),MONTH(RPT_MONTH)-2,1))*100+MONTH(DATE(YEAR(RPT_MONTH),MONTH(RPT_MONTH)-2,1))&amp;"|SVCR|YTD",BD_KPIs!$Q$2:$Q$1300,0)),"")</f>
        <v/>
      </c>
      <c r="G166" s="193" t="str">
        <f>IF(ISNUMBER(E166),IF(F166="","No target",IF(IFERROR(INDEX(BD_KPIs!$I$2:$I$1300,MATCH(YEAR(DATE(YEAR(RPT_MONTH),MONTH(RPT_MONTH)-2,1))*100+MONTH(DATE(YEAR(RPT_MONTH),MONTH(RPT_MONTH)-2,1))&amp;"|SVCR|YTD",BD_KPIs!$Q$2:$Q$1300,0)),"")="Sí","On target","Off target")),"No data")</f>
        <v>No target</v>
      </c>
      <c r="H166" s="193" t="str">
        <f>INDEX(_TARGETS!$D$2:$D$17,MATCH("SVCR",_TARGETS!$A$2:$A$17,0))</f>
        <v>eventos / 10^6 km</v>
      </c>
      <c r="I166" s="193" t="str">
        <f>INDEX(_TARGETS!$K$2:$K$17,MATCH("SVCR",_TARGETS!$A$2:$A$17,0))</f>
        <v>OPS (eventos) + Full Control GPS (km) - carga manual en Datos</v>
      </c>
      <c r="J166" s="258">
        <f t="shared" si="3"/>
        <v>46296</v>
      </c>
    </row>
    <row r="167" spans="1:10" ht="13.5" customHeight="1" x14ac:dyDescent="0.3">
      <c r="A167" t="s">
        <v>908</v>
      </c>
      <c r="B167" s="193" t="str">
        <f>YEAR(DATE(YEAR(RPT_MONTH),MONTH(RPT_MONTH)-1,1))&amp;"-"&amp;RIGHT("0"&amp;MONTH(DATE(YEAR(RPT_MONTH),MONTH(RPT_MONTH)-1,1)),2)</f>
        <v>2026-09</v>
      </c>
      <c r="C167" s="258">
        <f>DATE(YEAR(RPT_MONTH),MONTH(RPT_MONTH)-1,1)</f>
        <v>46266</v>
      </c>
      <c r="D167" t="s">
        <v>601</v>
      </c>
      <c r="E167" s="193">
        <f>IFERROR(INDEX(BD_KPIs!$F$2:$F$1300,MATCH(YEAR(DATE(YEAR(RPT_MONTH),MONTH(RPT_MONTH)-1,1))*100+MONTH(DATE(YEAR(RPT_MONTH),MONTH(RPT_MONTH)-1,1))&amp;"|SVCR|YTD",BD_KPIs!$Q$2:$Q$1300,0)),"")</f>
        <v>0</v>
      </c>
      <c r="F167" s="193" t="str">
        <f>IFERROR(INDEX(BD_KPIs!$G$2:$G$1300,MATCH(YEAR(DATE(YEAR(RPT_MONTH),MONTH(RPT_MONTH)-1,1))*100+MONTH(DATE(YEAR(RPT_MONTH),MONTH(RPT_MONTH)-1,1))&amp;"|SVCR|YTD",BD_KPIs!$Q$2:$Q$1300,0)),"")</f>
        <v/>
      </c>
      <c r="G167" s="193" t="str">
        <f>IF(ISNUMBER(E167),IF(F167="","No target",IF(IFERROR(INDEX(BD_KPIs!$I$2:$I$1300,MATCH(YEAR(DATE(YEAR(RPT_MONTH),MONTH(RPT_MONTH)-1,1))*100+MONTH(DATE(YEAR(RPT_MONTH),MONTH(RPT_MONTH)-1,1))&amp;"|SVCR|YTD",BD_KPIs!$Q$2:$Q$1300,0)),"")="Sí","On target","Off target")),"No data")</f>
        <v>No target</v>
      </c>
      <c r="H167" s="193" t="str">
        <f>INDEX(_TARGETS!$D$2:$D$17,MATCH("SVCR",_TARGETS!$A$2:$A$17,0))</f>
        <v>eventos / 10^6 km</v>
      </c>
      <c r="I167" s="193" t="str">
        <f>INDEX(_TARGETS!$K$2:$K$17,MATCH("SVCR",_TARGETS!$A$2:$A$17,0))</f>
        <v>OPS (eventos) + Full Control GPS (km) - carga manual en Datos</v>
      </c>
      <c r="J167" s="258">
        <f t="shared" si="3"/>
        <v>46296</v>
      </c>
    </row>
    <row r="168" spans="1:10" ht="13.5" customHeight="1" x14ac:dyDescent="0.3">
      <c r="A168" t="s">
        <v>908</v>
      </c>
      <c r="B168" s="193" t="str">
        <f>YEAR(DATE(YEAR(RPT_MONTH),MONTH(RPT_MONTH)-0,1))&amp;"-"&amp;RIGHT("0"&amp;MONTH(DATE(YEAR(RPT_MONTH),MONTH(RPT_MONTH)-0,1)),2)</f>
        <v>2026-10</v>
      </c>
      <c r="C168" s="258">
        <f>DATE(YEAR(RPT_MONTH),MONTH(RPT_MONTH)-0,1)</f>
        <v>46296</v>
      </c>
      <c r="D168" t="s">
        <v>601</v>
      </c>
      <c r="E168" s="193" t="str">
        <f>IFERROR(INDEX(BD_KPIs!$F$2:$F$1300,MATCH(YEAR(DATE(YEAR(RPT_MONTH),MONTH(RPT_MONTH)-0,1))*100+MONTH(DATE(YEAR(RPT_MONTH),MONTH(RPT_MONTH)-0,1))&amp;"|SVCR|YTD",BD_KPIs!$Q$2:$Q$1300,0)),"")</f>
        <v/>
      </c>
      <c r="F168" s="193" t="str">
        <f>IFERROR(INDEX(BD_KPIs!$G$2:$G$1300,MATCH(YEAR(DATE(YEAR(RPT_MONTH),MONTH(RPT_MONTH)-0,1))*100+MONTH(DATE(YEAR(RPT_MONTH),MONTH(RPT_MONTH)-0,1))&amp;"|SVCR|YTD",BD_KPIs!$Q$2:$Q$1300,0)),"")</f>
        <v/>
      </c>
      <c r="G168" s="193" t="str">
        <f>IF(ISNUMBER(E168),IF(F168="","No target",IF(IFERROR(INDEX(BD_KPIs!$I$2:$I$1300,MATCH(YEAR(DATE(YEAR(RPT_MONTH),MONTH(RPT_MONTH)-0,1))*100+MONTH(DATE(YEAR(RPT_MONTH),MONTH(RPT_MONTH)-0,1))&amp;"|SVCR|YTD",BD_KPIs!$Q$2:$Q$1300,0)),"")="Sí","On target","Off target")),"No data")</f>
        <v>No data</v>
      </c>
      <c r="H168" s="193" t="str">
        <f>INDEX(_TARGETS!$D$2:$D$17,MATCH("SVCR",_TARGETS!$A$2:$A$17,0))</f>
        <v>eventos / 10^6 km</v>
      </c>
      <c r="I168" s="193" t="str">
        <f>INDEX(_TARGETS!$K$2:$K$17,MATCH("SVCR",_TARGETS!$A$2:$A$17,0))</f>
        <v>OPS (eventos) + Full Control GPS (km) - carga manual en Datos</v>
      </c>
      <c r="J168" s="258">
        <f t="shared" si="3"/>
        <v>46296</v>
      </c>
    </row>
    <row r="169" spans="1:10" ht="13.5" customHeight="1" x14ac:dyDescent="0.3">
      <c r="A169" t="s">
        <v>908</v>
      </c>
      <c r="B169" s="193" t="str">
        <f>YEAR(DATE(YEAR(RPT_MONTH),MONTH(RPT_MONTH)-11,1))&amp;"-"&amp;RIGHT("0"&amp;MONTH(DATE(YEAR(RPT_MONTH),MONTH(RPT_MONTH)-11,1)),2)</f>
        <v>2025-11</v>
      </c>
      <c r="C169" s="258">
        <f>DATE(YEAR(RPT_MONTH),MONTH(RPT_MONTH)-11,1)</f>
        <v>45962</v>
      </c>
      <c r="D169" t="s">
        <v>904</v>
      </c>
      <c r="E169" s="193" t="str">
        <f>IFERROR(INDEX(BD_KPIs!$F$2:$F$1300,MATCH(YEAR(DATE(YEAR(RPT_MONTH),MONTH(RPT_MONTH)-11,1))*100+MONTH(DATE(YEAR(RPT_MONTH),MONTH(RPT_MONTH)-11,1))&amp;"|SVCR|Cumulative",BD_KPIs!$Q$2:$Q$1300,0)),"")</f>
        <v/>
      </c>
      <c r="F169" s="193" t="str">
        <f>IFERROR(INDEX(BD_KPIs!$G$2:$G$1300,MATCH(YEAR(DATE(YEAR(RPT_MONTH),MONTH(RPT_MONTH)-11,1))*100+MONTH(DATE(YEAR(RPT_MONTH),MONTH(RPT_MONTH)-11,1))&amp;"|SVCR|Cumulative",BD_KPIs!$Q$2:$Q$1300,0)),"")</f>
        <v/>
      </c>
      <c r="G169" s="193" t="str">
        <f>IF(ISNUMBER(E169),IF(F169="","No target",IF(IFERROR(INDEX(BD_KPIs!$I$2:$I$1300,MATCH(YEAR(DATE(YEAR(RPT_MONTH),MONTH(RPT_MONTH)-11,1))*100+MONTH(DATE(YEAR(RPT_MONTH),MONTH(RPT_MONTH)-11,1))&amp;"|SVCR|Cumulative",BD_KPIs!$Q$2:$Q$1300,0)),"")="Sí","On target","Off target")),"No data")</f>
        <v>No data</v>
      </c>
      <c r="H169" s="193" t="str">
        <f>INDEX(_TARGETS!$D$2:$D$17,MATCH("SVCR",_TARGETS!$A$2:$A$17,0))</f>
        <v>eventos / 10^6 km</v>
      </c>
      <c r="I169" s="193" t="str">
        <f>INDEX(_TARGETS!$K$2:$K$17,MATCH("SVCR",_TARGETS!$A$2:$A$17,0))</f>
        <v>OPS (eventos) + Full Control GPS (km) - carga manual en Datos</v>
      </c>
      <c r="J169" s="258">
        <f t="shared" si="3"/>
        <v>46296</v>
      </c>
    </row>
    <row r="170" spans="1:10" ht="13.5" customHeight="1" x14ac:dyDescent="0.3">
      <c r="A170" t="s">
        <v>908</v>
      </c>
      <c r="B170" s="193" t="str">
        <f>YEAR(DATE(YEAR(RPT_MONTH),MONTH(RPT_MONTH)-10,1))&amp;"-"&amp;RIGHT("0"&amp;MONTH(DATE(YEAR(RPT_MONTH),MONTH(RPT_MONTH)-10,1)),2)</f>
        <v>2025-12</v>
      </c>
      <c r="C170" s="258">
        <f>DATE(YEAR(RPT_MONTH),MONTH(RPT_MONTH)-10,1)</f>
        <v>45992</v>
      </c>
      <c r="D170" t="s">
        <v>904</v>
      </c>
      <c r="E170" s="193" t="str">
        <f>IFERROR(INDEX(BD_KPIs!$F$2:$F$1300,MATCH(YEAR(DATE(YEAR(RPT_MONTH),MONTH(RPT_MONTH)-10,1))*100+MONTH(DATE(YEAR(RPT_MONTH),MONTH(RPT_MONTH)-10,1))&amp;"|SVCR|Cumulative",BD_KPIs!$Q$2:$Q$1300,0)),"")</f>
        <v/>
      </c>
      <c r="F170" s="193" t="str">
        <f>IFERROR(INDEX(BD_KPIs!$G$2:$G$1300,MATCH(YEAR(DATE(YEAR(RPT_MONTH),MONTH(RPT_MONTH)-10,1))*100+MONTH(DATE(YEAR(RPT_MONTH),MONTH(RPT_MONTH)-10,1))&amp;"|SVCR|Cumulative",BD_KPIs!$Q$2:$Q$1300,0)),"")</f>
        <v/>
      </c>
      <c r="G170" s="193" t="str">
        <f>IF(ISNUMBER(E170),IF(F170="","No target",IF(IFERROR(INDEX(BD_KPIs!$I$2:$I$1300,MATCH(YEAR(DATE(YEAR(RPT_MONTH),MONTH(RPT_MONTH)-10,1))*100+MONTH(DATE(YEAR(RPT_MONTH),MONTH(RPT_MONTH)-10,1))&amp;"|SVCR|Cumulative",BD_KPIs!$Q$2:$Q$1300,0)),"")="Sí","On target","Off target")),"No data")</f>
        <v>No data</v>
      </c>
      <c r="H170" s="193" t="str">
        <f>INDEX(_TARGETS!$D$2:$D$17,MATCH("SVCR",_TARGETS!$A$2:$A$17,0))</f>
        <v>eventos / 10^6 km</v>
      </c>
      <c r="I170" s="193" t="str">
        <f>INDEX(_TARGETS!$K$2:$K$17,MATCH("SVCR",_TARGETS!$A$2:$A$17,0))</f>
        <v>OPS (eventos) + Full Control GPS (km) - carga manual en Datos</v>
      </c>
      <c r="J170" s="258">
        <f t="shared" si="3"/>
        <v>46296</v>
      </c>
    </row>
    <row r="171" spans="1:10" ht="13.5" customHeight="1" x14ac:dyDescent="0.3">
      <c r="A171" t="s">
        <v>908</v>
      </c>
      <c r="B171" s="193" t="str">
        <f>YEAR(DATE(YEAR(RPT_MONTH),MONTH(RPT_MONTH)-9,1))&amp;"-"&amp;RIGHT("0"&amp;MONTH(DATE(YEAR(RPT_MONTH),MONTH(RPT_MONTH)-9,1)),2)</f>
        <v>2026-01</v>
      </c>
      <c r="C171" s="258">
        <f>DATE(YEAR(RPT_MONTH),MONTH(RPT_MONTH)-9,1)</f>
        <v>46023</v>
      </c>
      <c r="D171" t="s">
        <v>904</v>
      </c>
      <c r="E171" s="193" t="str">
        <f>IFERROR(INDEX(BD_KPIs!$F$2:$F$1300,MATCH(YEAR(DATE(YEAR(RPT_MONTH),MONTH(RPT_MONTH)-9,1))*100+MONTH(DATE(YEAR(RPT_MONTH),MONTH(RPT_MONTH)-9,1))&amp;"|SVCR|Cumulative",BD_KPIs!$Q$2:$Q$1300,0)),"")</f>
        <v/>
      </c>
      <c r="F171" s="193" t="str">
        <f>IFERROR(INDEX(BD_KPIs!$G$2:$G$1300,MATCH(YEAR(DATE(YEAR(RPT_MONTH),MONTH(RPT_MONTH)-9,1))*100+MONTH(DATE(YEAR(RPT_MONTH),MONTH(RPT_MONTH)-9,1))&amp;"|SVCR|Cumulative",BD_KPIs!$Q$2:$Q$1300,0)),"")</f>
        <v/>
      </c>
      <c r="G171" s="193" t="str">
        <f>IF(ISNUMBER(E171),IF(F171="","No target",IF(IFERROR(INDEX(BD_KPIs!$I$2:$I$1300,MATCH(YEAR(DATE(YEAR(RPT_MONTH),MONTH(RPT_MONTH)-9,1))*100+MONTH(DATE(YEAR(RPT_MONTH),MONTH(RPT_MONTH)-9,1))&amp;"|SVCR|Cumulative",BD_KPIs!$Q$2:$Q$1300,0)),"")="Sí","On target","Off target")),"No data")</f>
        <v>No data</v>
      </c>
      <c r="H171" s="193" t="str">
        <f>INDEX(_TARGETS!$D$2:$D$17,MATCH("SVCR",_TARGETS!$A$2:$A$17,0))</f>
        <v>eventos / 10^6 km</v>
      </c>
      <c r="I171" s="193" t="str">
        <f>INDEX(_TARGETS!$K$2:$K$17,MATCH("SVCR",_TARGETS!$A$2:$A$17,0))</f>
        <v>OPS (eventos) + Full Control GPS (km) - carga manual en Datos</v>
      </c>
      <c r="J171" s="258">
        <f t="shared" si="3"/>
        <v>46296</v>
      </c>
    </row>
    <row r="172" spans="1:10" ht="13.5" customHeight="1" x14ac:dyDescent="0.3">
      <c r="A172" t="s">
        <v>908</v>
      </c>
      <c r="B172" s="193" t="str">
        <f>YEAR(DATE(YEAR(RPT_MONTH),MONTH(RPT_MONTH)-8,1))&amp;"-"&amp;RIGHT("0"&amp;MONTH(DATE(YEAR(RPT_MONTH),MONTH(RPT_MONTH)-8,1)),2)</f>
        <v>2026-02</v>
      </c>
      <c r="C172" s="258">
        <f>DATE(YEAR(RPT_MONTH),MONTH(RPT_MONTH)-8,1)</f>
        <v>46054</v>
      </c>
      <c r="D172" t="s">
        <v>904</v>
      </c>
      <c r="E172" s="193" t="str">
        <f>IFERROR(INDEX(BD_KPIs!$F$2:$F$1300,MATCH(YEAR(DATE(YEAR(RPT_MONTH),MONTH(RPT_MONTH)-8,1))*100+MONTH(DATE(YEAR(RPT_MONTH),MONTH(RPT_MONTH)-8,1))&amp;"|SVCR|Cumulative",BD_KPIs!$Q$2:$Q$1300,0)),"")</f>
        <v/>
      </c>
      <c r="F172" s="193" t="str">
        <f>IFERROR(INDEX(BD_KPIs!$G$2:$G$1300,MATCH(YEAR(DATE(YEAR(RPT_MONTH),MONTH(RPT_MONTH)-8,1))*100+MONTH(DATE(YEAR(RPT_MONTH),MONTH(RPT_MONTH)-8,1))&amp;"|SVCR|Cumulative",BD_KPIs!$Q$2:$Q$1300,0)),"")</f>
        <v/>
      </c>
      <c r="G172" s="193" t="str">
        <f>IF(ISNUMBER(E172),IF(F172="","No target",IF(IFERROR(INDEX(BD_KPIs!$I$2:$I$1300,MATCH(YEAR(DATE(YEAR(RPT_MONTH),MONTH(RPT_MONTH)-8,1))*100+MONTH(DATE(YEAR(RPT_MONTH),MONTH(RPT_MONTH)-8,1))&amp;"|SVCR|Cumulative",BD_KPIs!$Q$2:$Q$1300,0)),"")="Sí","On target","Off target")),"No data")</f>
        <v>No data</v>
      </c>
      <c r="H172" s="193" t="str">
        <f>INDEX(_TARGETS!$D$2:$D$17,MATCH("SVCR",_TARGETS!$A$2:$A$17,0))</f>
        <v>eventos / 10^6 km</v>
      </c>
      <c r="I172" s="193" t="str">
        <f>INDEX(_TARGETS!$K$2:$K$17,MATCH("SVCR",_TARGETS!$A$2:$A$17,0))</f>
        <v>OPS (eventos) + Full Control GPS (km) - carga manual en Datos</v>
      </c>
      <c r="J172" s="258">
        <f t="shared" si="3"/>
        <v>46296</v>
      </c>
    </row>
    <row r="173" spans="1:10" ht="13.5" customHeight="1" x14ac:dyDescent="0.3">
      <c r="A173" t="s">
        <v>908</v>
      </c>
      <c r="B173" s="193" t="str">
        <f>YEAR(DATE(YEAR(RPT_MONTH),MONTH(RPT_MONTH)-7,1))&amp;"-"&amp;RIGHT("0"&amp;MONTH(DATE(YEAR(RPT_MONTH),MONTH(RPT_MONTH)-7,1)),2)</f>
        <v>2026-03</v>
      </c>
      <c r="C173" s="258">
        <f>DATE(YEAR(RPT_MONTH),MONTH(RPT_MONTH)-7,1)</f>
        <v>46082</v>
      </c>
      <c r="D173" t="s">
        <v>904</v>
      </c>
      <c r="E173" s="193" t="str">
        <f>IFERROR(INDEX(BD_KPIs!$F$2:$F$1300,MATCH(YEAR(DATE(YEAR(RPT_MONTH),MONTH(RPT_MONTH)-7,1))*100+MONTH(DATE(YEAR(RPT_MONTH),MONTH(RPT_MONTH)-7,1))&amp;"|SVCR|Cumulative",BD_KPIs!$Q$2:$Q$1300,0)),"")</f>
        <v/>
      </c>
      <c r="F173" s="193" t="str">
        <f>IFERROR(INDEX(BD_KPIs!$G$2:$G$1300,MATCH(YEAR(DATE(YEAR(RPT_MONTH),MONTH(RPT_MONTH)-7,1))*100+MONTH(DATE(YEAR(RPT_MONTH),MONTH(RPT_MONTH)-7,1))&amp;"|SVCR|Cumulative",BD_KPIs!$Q$2:$Q$1300,0)),"")</f>
        <v/>
      </c>
      <c r="G173" s="193" t="str">
        <f>IF(ISNUMBER(E173),IF(F173="","No target",IF(IFERROR(INDEX(BD_KPIs!$I$2:$I$1300,MATCH(YEAR(DATE(YEAR(RPT_MONTH),MONTH(RPT_MONTH)-7,1))*100+MONTH(DATE(YEAR(RPT_MONTH),MONTH(RPT_MONTH)-7,1))&amp;"|SVCR|Cumulative",BD_KPIs!$Q$2:$Q$1300,0)),"")="Sí","On target","Off target")),"No data")</f>
        <v>No data</v>
      </c>
      <c r="H173" s="193" t="str">
        <f>INDEX(_TARGETS!$D$2:$D$17,MATCH("SVCR",_TARGETS!$A$2:$A$17,0))</f>
        <v>eventos / 10^6 km</v>
      </c>
      <c r="I173" s="193" t="str">
        <f>INDEX(_TARGETS!$K$2:$K$17,MATCH("SVCR",_TARGETS!$A$2:$A$17,0))</f>
        <v>OPS (eventos) + Full Control GPS (km) - carga manual en Datos</v>
      </c>
      <c r="J173" s="258">
        <f t="shared" si="3"/>
        <v>46296</v>
      </c>
    </row>
    <row r="174" spans="1:10" ht="13.5" customHeight="1" x14ac:dyDescent="0.3">
      <c r="A174" t="s">
        <v>908</v>
      </c>
      <c r="B174" s="193" t="str">
        <f>YEAR(DATE(YEAR(RPT_MONTH),MONTH(RPT_MONTH)-6,1))&amp;"-"&amp;RIGHT("0"&amp;MONTH(DATE(YEAR(RPT_MONTH),MONTH(RPT_MONTH)-6,1)),2)</f>
        <v>2026-04</v>
      </c>
      <c r="C174" s="258">
        <f>DATE(YEAR(RPT_MONTH),MONTH(RPT_MONTH)-6,1)</f>
        <v>46113</v>
      </c>
      <c r="D174" t="s">
        <v>904</v>
      </c>
      <c r="E174" s="193" t="str">
        <f>IFERROR(INDEX(BD_KPIs!$F$2:$F$1300,MATCH(YEAR(DATE(YEAR(RPT_MONTH),MONTH(RPT_MONTH)-6,1))*100+MONTH(DATE(YEAR(RPT_MONTH),MONTH(RPT_MONTH)-6,1))&amp;"|SVCR|Cumulative",BD_KPIs!$Q$2:$Q$1300,0)),"")</f>
        <v/>
      </c>
      <c r="F174" s="193" t="str">
        <f>IFERROR(INDEX(BD_KPIs!$G$2:$G$1300,MATCH(YEAR(DATE(YEAR(RPT_MONTH),MONTH(RPT_MONTH)-6,1))*100+MONTH(DATE(YEAR(RPT_MONTH),MONTH(RPT_MONTH)-6,1))&amp;"|SVCR|Cumulative",BD_KPIs!$Q$2:$Q$1300,0)),"")</f>
        <v/>
      </c>
      <c r="G174" s="193" t="str">
        <f>IF(ISNUMBER(E174),IF(F174="","No target",IF(IFERROR(INDEX(BD_KPIs!$I$2:$I$1300,MATCH(YEAR(DATE(YEAR(RPT_MONTH),MONTH(RPT_MONTH)-6,1))*100+MONTH(DATE(YEAR(RPT_MONTH),MONTH(RPT_MONTH)-6,1))&amp;"|SVCR|Cumulative",BD_KPIs!$Q$2:$Q$1300,0)),"")="Sí","On target","Off target")),"No data")</f>
        <v>No data</v>
      </c>
      <c r="H174" s="193" t="str">
        <f>INDEX(_TARGETS!$D$2:$D$17,MATCH("SVCR",_TARGETS!$A$2:$A$17,0))</f>
        <v>eventos / 10^6 km</v>
      </c>
      <c r="I174" s="193" t="str">
        <f>INDEX(_TARGETS!$K$2:$K$17,MATCH("SVCR",_TARGETS!$A$2:$A$17,0))</f>
        <v>OPS (eventos) + Full Control GPS (km) - carga manual en Datos</v>
      </c>
      <c r="J174" s="258">
        <f t="shared" si="3"/>
        <v>46296</v>
      </c>
    </row>
    <row r="175" spans="1:10" ht="13.5" customHeight="1" x14ac:dyDescent="0.3">
      <c r="A175" t="s">
        <v>908</v>
      </c>
      <c r="B175" s="193" t="str">
        <f>YEAR(DATE(YEAR(RPT_MONTH),MONTH(RPT_MONTH)-5,1))&amp;"-"&amp;RIGHT("0"&amp;MONTH(DATE(YEAR(RPT_MONTH),MONTH(RPT_MONTH)-5,1)),2)</f>
        <v>2026-05</v>
      </c>
      <c r="C175" s="258">
        <f>DATE(YEAR(RPT_MONTH),MONTH(RPT_MONTH)-5,1)</f>
        <v>46143</v>
      </c>
      <c r="D175" t="s">
        <v>904</v>
      </c>
      <c r="E175" s="193" t="str">
        <f>IFERROR(INDEX(BD_KPIs!$F$2:$F$1300,MATCH(YEAR(DATE(YEAR(RPT_MONTH),MONTH(RPT_MONTH)-5,1))*100+MONTH(DATE(YEAR(RPT_MONTH),MONTH(RPT_MONTH)-5,1))&amp;"|SVCR|Cumulative",BD_KPIs!$Q$2:$Q$1300,0)),"")</f>
        <v/>
      </c>
      <c r="F175" s="193" t="str">
        <f>IFERROR(INDEX(BD_KPIs!$G$2:$G$1300,MATCH(YEAR(DATE(YEAR(RPT_MONTH),MONTH(RPT_MONTH)-5,1))*100+MONTH(DATE(YEAR(RPT_MONTH),MONTH(RPT_MONTH)-5,1))&amp;"|SVCR|Cumulative",BD_KPIs!$Q$2:$Q$1300,0)),"")</f>
        <v/>
      </c>
      <c r="G175" s="193" t="str">
        <f>IF(ISNUMBER(E175),IF(F175="","No target",IF(IFERROR(INDEX(BD_KPIs!$I$2:$I$1300,MATCH(YEAR(DATE(YEAR(RPT_MONTH),MONTH(RPT_MONTH)-5,1))*100+MONTH(DATE(YEAR(RPT_MONTH),MONTH(RPT_MONTH)-5,1))&amp;"|SVCR|Cumulative",BD_KPIs!$Q$2:$Q$1300,0)),"")="Sí","On target","Off target")),"No data")</f>
        <v>No data</v>
      </c>
      <c r="H175" s="193" t="str">
        <f>INDEX(_TARGETS!$D$2:$D$17,MATCH("SVCR",_TARGETS!$A$2:$A$17,0))</f>
        <v>eventos / 10^6 km</v>
      </c>
      <c r="I175" s="193" t="str">
        <f>INDEX(_TARGETS!$K$2:$K$17,MATCH("SVCR",_TARGETS!$A$2:$A$17,0))</f>
        <v>OPS (eventos) + Full Control GPS (km) - carga manual en Datos</v>
      </c>
      <c r="J175" s="258">
        <f t="shared" si="3"/>
        <v>46296</v>
      </c>
    </row>
    <row r="176" spans="1:10" ht="13.5" customHeight="1" x14ac:dyDescent="0.3">
      <c r="A176" t="s">
        <v>908</v>
      </c>
      <c r="B176" s="193" t="str">
        <f>YEAR(DATE(YEAR(RPT_MONTH),MONTH(RPT_MONTH)-4,1))&amp;"-"&amp;RIGHT("0"&amp;MONTH(DATE(YEAR(RPT_MONTH),MONTH(RPT_MONTH)-4,1)),2)</f>
        <v>2026-06</v>
      </c>
      <c r="C176" s="258">
        <f>DATE(YEAR(RPT_MONTH),MONTH(RPT_MONTH)-4,1)</f>
        <v>46174</v>
      </c>
      <c r="D176" t="s">
        <v>904</v>
      </c>
      <c r="E176" s="193" t="str">
        <f>IFERROR(INDEX(BD_KPIs!$F$2:$F$1300,MATCH(YEAR(DATE(YEAR(RPT_MONTH),MONTH(RPT_MONTH)-4,1))*100+MONTH(DATE(YEAR(RPT_MONTH),MONTH(RPT_MONTH)-4,1))&amp;"|SVCR|Cumulative",BD_KPIs!$Q$2:$Q$1300,0)),"")</f>
        <v/>
      </c>
      <c r="F176" s="193" t="str">
        <f>IFERROR(INDEX(BD_KPIs!$G$2:$G$1300,MATCH(YEAR(DATE(YEAR(RPT_MONTH),MONTH(RPT_MONTH)-4,1))*100+MONTH(DATE(YEAR(RPT_MONTH),MONTH(RPT_MONTH)-4,1))&amp;"|SVCR|Cumulative",BD_KPIs!$Q$2:$Q$1300,0)),"")</f>
        <v/>
      </c>
      <c r="G176" s="193" t="str">
        <f>IF(ISNUMBER(E176),IF(F176="","No target",IF(IFERROR(INDEX(BD_KPIs!$I$2:$I$1300,MATCH(YEAR(DATE(YEAR(RPT_MONTH),MONTH(RPT_MONTH)-4,1))*100+MONTH(DATE(YEAR(RPT_MONTH),MONTH(RPT_MONTH)-4,1))&amp;"|SVCR|Cumulative",BD_KPIs!$Q$2:$Q$1300,0)),"")="Sí","On target","Off target")),"No data")</f>
        <v>No data</v>
      </c>
      <c r="H176" s="193" t="str">
        <f>INDEX(_TARGETS!$D$2:$D$17,MATCH("SVCR",_TARGETS!$A$2:$A$17,0))</f>
        <v>eventos / 10^6 km</v>
      </c>
      <c r="I176" s="193" t="str">
        <f>INDEX(_TARGETS!$K$2:$K$17,MATCH("SVCR",_TARGETS!$A$2:$A$17,0))</f>
        <v>OPS (eventos) + Full Control GPS (km) - carga manual en Datos</v>
      </c>
      <c r="J176" s="258">
        <f t="shared" si="3"/>
        <v>46296</v>
      </c>
    </row>
    <row r="177" spans="1:10" ht="13.5" customHeight="1" x14ac:dyDescent="0.3">
      <c r="A177" t="s">
        <v>908</v>
      </c>
      <c r="B177" s="193" t="str">
        <f>YEAR(DATE(YEAR(RPT_MONTH),MONTH(RPT_MONTH)-3,1))&amp;"-"&amp;RIGHT("0"&amp;MONTH(DATE(YEAR(RPT_MONTH),MONTH(RPT_MONTH)-3,1)),2)</f>
        <v>2026-07</v>
      </c>
      <c r="C177" s="258">
        <f>DATE(YEAR(RPT_MONTH),MONTH(RPT_MONTH)-3,1)</f>
        <v>46204</v>
      </c>
      <c r="D177" t="s">
        <v>904</v>
      </c>
      <c r="E177" s="193" t="str">
        <f>IFERROR(INDEX(BD_KPIs!$F$2:$F$1300,MATCH(YEAR(DATE(YEAR(RPT_MONTH),MONTH(RPT_MONTH)-3,1))*100+MONTH(DATE(YEAR(RPT_MONTH),MONTH(RPT_MONTH)-3,1))&amp;"|SVCR|Cumulative",BD_KPIs!$Q$2:$Q$1300,0)),"")</f>
        <v/>
      </c>
      <c r="F177" s="193" t="str">
        <f>IFERROR(INDEX(BD_KPIs!$G$2:$G$1300,MATCH(YEAR(DATE(YEAR(RPT_MONTH),MONTH(RPT_MONTH)-3,1))*100+MONTH(DATE(YEAR(RPT_MONTH),MONTH(RPT_MONTH)-3,1))&amp;"|SVCR|Cumulative",BD_KPIs!$Q$2:$Q$1300,0)),"")</f>
        <v/>
      </c>
      <c r="G177" s="193" t="str">
        <f>IF(ISNUMBER(E177),IF(F177="","No target",IF(IFERROR(INDEX(BD_KPIs!$I$2:$I$1300,MATCH(YEAR(DATE(YEAR(RPT_MONTH),MONTH(RPT_MONTH)-3,1))*100+MONTH(DATE(YEAR(RPT_MONTH),MONTH(RPT_MONTH)-3,1))&amp;"|SVCR|Cumulative",BD_KPIs!$Q$2:$Q$1300,0)),"")="Sí","On target","Off target")),"No data")</f>
        <v>No data</v>
      </c>
      <c r="H177" s="193" t="str">
        <f>INDEX(_TARGETS!$D$2:$D$17,MATCH("SVCR",_TARGETS!$A$2:$A$17,0))</f>
        <v>eventos / 10^6 km</v>
      </c>
      <c r="I177" s="193" t="str">
        <f>INDEX(_TARGETS!$K$2:$K$17,MATCH("SVCR",_TARGETS!$A$2:$A$17,0))</f>
        <v>OPS (eventos) + Full Control GPS (km) - carga manual en Datos</v>
      </c>
      <c r="J177" s="258">
        <f t="shared" si="3"/>
        <v>46296</v>
      </c>
    </row>
    <row r="178" spans="1:10" ht="13.5" customHeight="1" x14ac:dyDescent="0.3">
      <c r="A178" t="s">
        <v>908</v>
      </c>
      <c r="B178" s="193" t="str">
        <f>YEAR(DATE(YEAR(RPT_MONTH),MONTH(RPT_MONTH)-2,1))&amp;"-"&amp;RIGHT("0"&amp;MONTH(DATE(YEAR(RPT_MONTH),MONTH(RPT_MONTH)-2,1)),2)</f>
        <v>2026-08</v>
      </c>
      <c r="C178" s="258">
        <f>DATE(YEAR(RPT_MONTH),MONTH(RPT_MONTH)-2,1)</f>
        <v>46235</v>
      </c>
      <c r="D178" t="s">
        <v>904</v>
      </c>
      <c r="E178" s="193">
        <f>IFERROR(INDEX(BD_KPIs!$F$2:$F$1300,MATCH(YEAR(DATE(YEAR(RPT_MONTH),MONTH(RPT_MONTH)-2,1))*100+MONTH(DATE(YEAR(RPT_MONTH),MONTH(RPT_MONTH)-2,1))&amp;"|SVCR|Cumulative",BD_KPIs!$Q$2:$Q$1300,0)),"")</f>
        <v>0</v>
      </c>
      <c r="F178" s="193" t="str">
        <f>IFERROR(INDEX(BD_KPIs!$G$2:$G$1300,MATCH(YEAR(DATE(YEAR(RPT_MONTH),MONTH(RPT_MONTH)-2,1))*100+MONTH(DATE(YEAR(RPT_MONTH),MONTH(RPT_MONTH)-2,1))&amp;"|SVCR|Cumulative",BD_KPIs!$Q$2:$Q$1300,0)),"")</f>
        <v/>
      </c>
      <c r="G178" s="193" t="str">
        <f>IF(ISNUMBER(E178),IF(F178="","No target",IF(IFERROR(INDEX(BD_KPIs!$I$2:$I$1300,MATCH(YEAR(DATE(YEAR(RPT_MONTH),MONTH(RPT_MONTH)-2,1))*100+MONTH(DATE(YEAR(RPT_MONTH),MONTH(RPT_MONTH)-2,1))&amp;"|SVCR|Cumulative",BD_KPIs!$Q$2:$Q$1300,0)),"")="Sí","On target","Off target")),"No data")</f>
        <v>No target</v>
      </c>
      <c r="H178" s="193" t="str">
        <f>INDEX(_TARGETS!$D$2:$D$17,MATCH("SVCR",_TARGETS!$A$2:$A$17,0))</f>
        <v>eventos / 10^6 km</v>
      </c>
      <c r="I178" s="193" t="str">
        <f>INDEX(_TARGETS!$K$2:$K$17,MATCH("SVCR",_TARGETS!$A$2:$A$17,0))</f>
        <v>OPS (eventos) + Full Control GPS (km) - carga manual en Datos</v>
      </c>
      <c r="J178" s="258">
        <f t="shared" si="3"/>
        <v>46296</v>
      </c>
    </row>
    <row r="179" spans="1:10" ht="13.5" customHeight="1" x14ac:dyDescent="0.3">
      <c r="A179" t="s">
        <v>908</v>
      </c>
      <c r="B179" s="193" t="str">
        <f>YEAR(DATE(YEAR(RPT_MONTH),MONTH(RPT_MONTH)-1,1))&amp;"-"&amp;RIGHT("0"&amp;MONTH(DATE(YEAR(RPT_MONTH),MONTH(RPT_MONTH)-1,1)),2)</f>
        <v>2026-09</v>
      </c>
      <c r="C179" s="258">
        <f>DATE(YEAR(RPT_MONTH),MONTH(RPT_MONTH)-1,1)</f>
        <v>46266</v>
      </c>
      <c r="D179" t="s">
        <v>904</v>
      </c>
      <c r="E179" s="193">
        <f>IFERROR(INDEX(BD_KPIs!$F$2:$F$1300,MATCH(YEAR(DATE(YEAR(RPT_MONTH),MONTH(RPT_MONTH)-1,1))*100+MONTH(DATE(YEAR(RPT_MONTH),MONTH(RPT_MONTH)-1,1))&amp;"|SVCR|Cumulative",BD_KPIs!$Q$2:$Q$1300,0)),"")</f>
        <v>0</v>
      </c>
      <c r="F179" s="193" t="str">
        <f>IFERROR(INDEX(BD_KPIs!$G$2:$G$1300,MATCH(YEAR(DATE(YEAR(RPT_MONTH),MONTH(RPT_MONTH)-1,1))*100+MONTH(DATE(YEAR(RPT_MONTH),MONTH(RPT_MONTH)-1,1))&amp;"|SVCR|Cumulative",BD_KPIs!$Q$2:$Q$1300,0)),"")</f>
        <v/>
      </c>
      <c r="G179" s="193" t="str">
        <f>IF(ISNUMBER(E179),IF(F179="","No target",IF(IFERROR(INDEX(BD_KPIs!$I$2:$I$1300,MATCH(YEAR(DATE(YEAR(RPT_MONTH),MONTH(RPT_MONTH)-1,1))*100+MONTH(DATE(YEAR(RPT_MONTH),MONTH(RPT_MONTH)-1,1))&amp;"|SVCR|Cumulative",BD_KPIs!$Q$2:$Q$1300,0)),"")="Sí","On target","Off target")),"No data")</f>
        <v>No target</v>
      </c>
      <c r="H179" s="193" t="str">
        <f>INDEX(_TARGETS!$D$2:$D$17,MATCH("SVCR",_TARGETS!$A$2:$A$17,0))</f>
        <v>eventos / 10^6 km</v>
      </c>
      <c r="I179" s="193" t="str">
        <f>INDEX(_TARGETS!$K$2:$K$17,MATCH("SVCR",_TARGETS!$A$2:$A$17,0))</f>
        <v>OPS (eventos) + Full Control GPS (km) - carga manual en Datos</v>
      </c>
      <c r="J179" s="258">
        <f t="shared" si="3"/>
        <v>46296</v>
      </c>
    </row>
    <row r="180" spans="1:10" ht="13.5" customHeight="1" x14ac:dyDescent="0.3">
      <c r="A180" t="s">
        <v>908</v>
      </c>
      <c r="B180" s="193" t="str">
        <f>YEAR(DATE(YEAR(RPT_MONTH),MONTH(RPT_MONTH)-0,1))&amp;"-"&amp;RIGHT("0"&amp;MONTH(DATE(YEAR(RPT_MONTH),MONTH(RPT_MONTH)-0,1)),2)</f>
        <v>2026-10</v>
      </c>
      <c r="C180" s="258">
        <f>DATE(YEAR(RPT_MONTH),MONTH(RPT_MONTH)-0,1)</f>
        <v>46296</v>
      </c>
      <c r="D180" t="s">
        <v>904</v>
      </c>
      <c r="E180" s="193" t="str">
        <f>IFERROR(INDEX(BD_KPIs!$F$2:$F$1300,MATCH(YEAR(DATE(YEAR(RPT_MONTH),MONTH(RPT_MONTH)-0,1))*100+MONTH(DATE(YEAR(RPT_MONTH),MONTH(RPT_MONTH)-0,1))&amp;"|SVCR|Cumulative",BD_KPIs!$Q$2:$Q$1300,0)),"")</f>
        <v/>
      </c>
      <c r="F180" s="193" t="str">
        <f>IFERROR(INDEX(BD_KPIs!$G$2:$G$1300,MATCH(YEAR(DATE(YEAR(RPT_MONTH),MONTH(RPT_MONTH)-0,1))*100+MONTH(DATE(YEAR(RPT_MONTH),MONTH(RPT_MONTH)-0,1))&amp;"|SVCR|Cumulative",BD_KPIs!$Q$2:$Q$1300,0)),"")</f>
        <v/>
      </c>
      <c r="G180" s="193" t="str">
        <f>IF(ISNUMBER(E180),IF(F180="","No target",IF(IFERROR(INDEX(BD_KPIs!$I$2:$I$1300,MATCH(YEAR(DATE(YEAR(RPT_MONTH),MONTH(RPT_MONTH)-0,1))*100+MONTH(DATE(YEAR(RPT_MONTH),MONTH(RPT_MONTH)-0,1))&amp;"|SVCR|Cumulative",BD_KPIs!$Q$2:$Q$1300,0)),"")="Sí","On target","Off target")),"No data")</f>
        <v>No data</v>
      </c>
      <c r="H180" s="193" t="str">
        <f>INDEX(_TARGETS!$D$2:$D$17,MATCH("SVCR",_TARGETS!$A$2:$A$17,0))</f>
        <v>eventos / 10^6 km</v>
      </c>
      <c r="I180" s="193" t="str">
        <f>INDEX(_TARGETS!$K$2:$K$17,MATCH("SVCR",_TARGETS!$A$2:$A$17,0))</f>
        <v>OPS (eventos) + Full Control GPS (km) - carga manual en Datos</v>
      </c>
      <c r="J180" s="258">
        <f t="shared" si="3"/>
        <v>46296</v>
      </c>
    </row>
    <row r="181" spans="1:10" ht="13.5" customHeight="1" x14ac:dyDescent="0.3">
      <c r="A181" t="s">
        <v>909</v>
      </c>
      <c r="B181" s="193" t="str">
        <f>YEAR(DATE(YEAR(RPT_MONTH),MONTH(RPT_MONTH)-11,1))&amp;"-"&amp;RIGHT("0"&amp;MONTH(DATE(YEAR(RPT_MONTH),MONTH(RPT_MONTH)-11,1)),2)</f>
        <v>2025-11</v>
      </c>
      <c r="C181" s="258">
        <f>DATE(YEAR(RPT_MONTH),MONTH(RPT_MONTH)-11,1)</f>
        <v>45962</v>
      </c>
      <c r="D181" t="s">
        <v>68</v>
      </c>
      <c r="E181" s="193" t="str">
        <f>IFERROR(INDEX(BD_KPIs!$F$2:$F$1300,MATCH(YEAR(DATE(YEAR(RPT_MONTH),MONTH(RPT_MONTH)-11,1))*100+MONTH(DATE(YEAR(RPT_MONTH),MONTH(RPT_MONTH)-11,1))&amp;"|TVCR|Monthly",BD_KPIs!$Q$2:$Q$1300,0)),"")</f>
        <v/>
      </c>
      <c r="F181" s="193" t="str">
        <f>IFERROR(INDEX(BD_KPIs!$G$2:$G$1300,MATCH(YEAR(DATE(YEAR(RPT_MONTH),MONTH(RPT_MONTH)-11,1))*100+MONTH(DATE(YEAR(RPT_MONTH),MONTH(RPT_MONTH)-11,1))&amp;"|TVCR|Monthly",BD_KPIs!$Q$2:$Q$1300,0)),"")</f>
        <v/>
      </c>
      <c r="G181" s="193" t="str">
        <f>IF(ISNUMBER(E181),IF(F181="","No target",IF(IFERROR(INDEX(BD_KPIs!$I$2:$I$1300,MATCH(YEAR(DATE(YEAR(RPT_MONTH),MONTH(RPT_MONTH)-11,1))*100+MONTH(DATE(YEAR(RPT_MONTH),MONTH(RPT_MONTH)-11,1))&amp;"|TVCR|Monthly",BD_KPIs!$Q$2:$Q$1300,0)),"")="Sí","On target","Off target")),"No data")</f>
        <v>No data</v>
      </c>
      <c r="H181" s="193" t="str">
        <f>INDEX(_TARGETS!$D$2:$D$17,MATCH("TVCR",_TARGETS!$A$2:$A$17,0))</f>
        <v>eventos / 10^6 km</v>
      </c>
      <c r="I181" s="193" t="str">
        <f>INDEX(_TARGETS!$K$2:$K$17,MATCH("TVCR",_TARGETS!$A$2:$A$17,0))</f>
        <v>OPS (eventos) + Full Control GPS (km) - carga manual en Datos</v>
      </c>
      <c r="J181" s="258">
        <f t="shared" si="3"/>
        <v>46296</v>
      </c>
    </row>
    <row r="182" spans="1:10" ht="13.5" customHeight="1" x14ac:dyDescent="0.3">
      <c r="A182" t="s">
        <v>909</v>
      </c>
      <c r="B182" s="193" t="str">
        <f>YEAR(DATE(YEAR(RPT_MONTH),MONTH(RPT_MONTH)-10,1))&amp;"-"&amp;RIGHT("0"&amp;MONTH(DATE(YEAR(RPT_MONTH),MONTH(RPT_MONTH)-10,1)),2)</f>
        <v>2025-12</v>
      </c>
      <c r="C182" s="258">
        <f>DATE(YEAR(RPT_MONTH),MONTH(RPT_MONTH)-10,1)</f>
        <v>45992</v>
      </c>
      <c r="D182" t="s">
        <v>68</v>
      </c>
      <c r="E182" s="193" t="str">
        <f>IFERROR(INDEX(BD_KPIs!$F$2:$F$1300,MATCH(YEAR(DATE(YEAR(RPT_MONTH),MONTH(RPT_MONTH)-10,1))*100+MONTH(DATE(YEAR(RPT_MONTH),MONTH(RPT_MONTH)-10,1))&amp;"|TVCR|Monthly",BD_KPIs!$Q$2:$Q$1300,0)),"")</f>
        <v/>
      </c>
      <c r="F182" s="193" t="str">
        <f>IFERROR(INDEX(BD_KPIs!$G$2:$G$1300,MATCH(YEAR(DATE(YEAR(RPT_MONTH),MONTH(RPT_MONTH)-10,1))*100+MONTH(DATE(YEAR(RPT_MONTH),MONTH(RPT_MONTH)-10,1))&amp;"|TVCR|Monthly",BD_KPIs!$Q$2:$Q$1300,0)),"")</f>
        <v/>
      </c>
      <c r="G182" s="193" t="str">
        <f>IF(ISNUMBER(E182),IF(F182="","No target",IF(IFERROR(INDEX(BD_KPIs!$I$2:$I$1300,MATCH(YEAR(DATE(YEAR(RPT_MONTH),MONTH(RPT_MONTH)-10,1))*100+MONTH(DATE(YEAR(RPT_MONTH),MONTH(RPT_MONTH)-10,1))&amp;"|TVCR|Monthly",BD_KPIs!$Q$2:$Q$1300,0)),"")="Sí","On target","Off target")),"No data")</f>
        <v>No data</v>
      </c>
      <c r="H182" s="193" t="str">
        <f>INDEX(_TARGETS!$D$2:$D$17,MATCH("TVCR",_TARGETS!$A$2:$A$17,0))</f>
        <v>eventos / 10^6 km</v>
      </c>
      <c r="I182" s="193" t="str">
        <f>INDEX(_TARGETS!$K$2:$K$17,MATCH("TVCR",_TARGETS!$A$2:$A$17,0))</f>
        <v>OPS (eventos) + Full Control GPS (km) - carga manual en Datos</v>
      </c>
      <c r="J182" s="258">
        <f t="shared" si="3"/>
        <v>46296</v>
      </c>
    </row>
    <row r="183" spans="1:10" ht="13.5" customHeight="1" x14ac:dyDescent="0.3">
      <c r="A183" t="s">
        <v>909</v>
      </c>
      <c r="B183" s="193" t="str">
        <f>YEAR(DATE(YEAR(RPT_MONTH),MONTH(RPT_MONTH)-9,1))&amp;"-"&amp;RIGHT("0"&amp;MONTH(DATE(YEAR(RPT_MONTH),MONTH(RPT_MONTH)-9,1)),2)</f>
        <v>2026-01</v>
      </c>
      <c r="C183" s="258">
        <f>DATE(YEAR(RPT_MONTH),MONTH(RPT_MONTH)-9,1)</f>
        <v>46023</v>
      </c>
      <c r="D183" t="s">
        <v>68</v>
      </c>
      <c r="E183" s="193" t="str">
        <f>IFERROR(INDEX(BD_KPIs!$F$2:$F$1300,MATCH(YEAR(DATE(YEAR(RPT_MONTH),MONTH(RPT_MONTH)-9,1))*100+MONTH(DATE(YEAR(RPT_MONTH),MONTH(RPT_MONTH)-9,1))&amp;"|TVCR|Monthly",BD_KPIs!$Q$2:$Q$1300,0)),"")</f>
        <v/>
      </c>
      <c r="F183" s="193" t="str">
        <f>IFERROR(INDEX(BD_KPIs!$G$2:$G$1300,MATCH(YEAR(DATE(YEAR(RPT_MONTH),MONTH(RPT_MONTH)-9,1))*100+MONTH(DATE(YEAR(RPT_MONTH),MONTH(RPT_MONTH)-9,1))&amp;"|TVCR|Monthly",BD_KPIs!$Q$2:$Q$1300,0)),"")</f>
        <v/>
      </c>
      <c r="G183" s="193" t="str">
        <f>IF(ISNUMBER(E183),IF(F183="","No target",IF(IFERROR(INDEX(BD_KPIs!$I$2:$I$1300,MATCH(YEAR(DATE(YEAR(RPT_MONTH),MONTH(RPT_MONTH)-9,1))*100+MONTH(DATE(YEAR(RPT_MONTH),MONTH(RPT_MONTH)-9,1))&amp;"|TVCR|Monthly",BD_KPIs!$Q$2:$Q$1300,0)),"")="Sí","On target","Off target")),"No data")</f>
        <v>No data</v>
      </c>
      <c r="H183" s="193" t="str">
        <f>INDEX(_TARGETS!$D$2:$D$17,MATCH("TVCR",_TARGETS!$A$2:$A$17,0))</f>
        <v>eventos / 10^6 km</v>
      </c>
      <c r="I183" s="193" t="str">
        <f>INDEX(_TARGETS!$K$2:$K$17,MATCH("TVCR",_TARGETS!$A$2:$A$17,0))</f>
        <v>OPS (eventos) + Full Control GPS (km) - carga manual en Datos</v>
      </c>
      <c r="J183" s="258">
        <f t="shared" si="3"/>
        <v>46296</v>
      </c>
    </row>
    <row r="184" spans="1:10" ht="13.5" customHeight="1" x14ac:dyDescent="0.3">
      <c r="A184" t="s">
        <v>909</v>
      </c>
      <c r="B184" s="193" t="str">
        <f>YEAR(DATE(YEAR(RPT_MONTH),MONTH(RPT_MONTH)-8,1))&amp;"-"&amp;RIGHT("0"&amp;MONTH(DATE(YEAR(RPT_MONTH),MONTH(RPT_MONTH)-8,1)),2)</f>
        <v>2026-02</v>
      </c>
      <c r="C184" s="258">
        <f>DATE(YEAR(RPT_MONTH),MONTH(RPT_MONTH)-8,1)</f>
        <v>46054</v>
      </c>
      <c r="D184" t="s">
        <v>68</v>
      </c>
      <c r="E184" s="193" t="str">
        <f>IFERROR(INDEX(BD_KPIs!$F$2:$F$1300,MATCH(YEAR(DATE(YEAR(RPT_MONTH),MONTH(RPT_MONTH)-8,1))*100+MONTH(DATE(YEAR(RPT_MONTH),MONTH(RPT_MONTH)-8,1))&amp;"|TVCR|Monthly",BD_KPIs!$Q$2:$Q$1300,0)),"")</f>
        <v/>
      </c>
      <c r="F184" s="193" t="str">
        <f>IFERROR(INDEX(BD_KPIs!$G$2:$G$1300,MATCH(YEAR(DATE(YEAR(RPT_MONTH),MONTH(RPT_MONTH)-8,1))*100+MONTH(DATE(YEAR(RPT_MONTH),MONTH(RPT_MONTH)-8,1))&amp;"|TVCR|Monthly",BD_KPIs!$Q$2:$Q$1300,0)),"")</f>
        <v/>
      </c>
      <c r="G184" s="193" t="str">
        <f>IF(ISNUMBER(E184),IF(F184="","No target",IF(IFERROR(INDEX(BD_KPIs!$I$2:$I$1300,MATCH(YEAR(DATE(YEAR(RPT_MONTH),MONTH(RPT_MONTH)-8,1))*100+MONTH(DATE(YEAR(RPT_MONTH),MONTH(RPT_MONTH)-8,1))&amp;"|TVCR|Monthly",BD_KPIs!$Q$2:$Q$1300,0)),"")="Sí","On target","Off target")),"No data")</f>
        <v>No data</v>
      </c>
      <c r="H184" s="193" t="str">
        <f>INDEX(_TARGETS!$D$2:$D$17,MATCH("TVCR",_TARGETS!$A$2:$A$17,0))</f>
        <v>eventos / 10^6 km</v>
      </c>
      <c r="I184" s="193" t="str">
        <f>INDEX(_TARGETS!$K$2:$K$17,MATCH("TVCR",_TARGETS!$A$2:$A$17,0))</f>
        <v>OPS (eventos) + Full Control GPS (km) - carga manual en Datos</v>
      </c>
      <c r="J184" s="258">
        <f t="shared" si="3"/>
        <v>46296</v>
      </c>
    </row>
    <row r="185" spans="1:10" ht="13.5" customHeight="1" x14ac:dyDescent="0.3">
      <c r="A185" t="s">
        <v>909</v>
      </c>
      <c r="B185" s="193" t="str">
        <f>YEAR(DATE(YEAR(RPT_MONTH),MONTH(RPT_MONTH)-7,1))&amp;"-"&amp;RIGHT("0"&amp;MONTH(DATE(YEAR(RPT_MONTH),MONTH(RPT_MONTH)-7,1)),2)</f>
        <v>2026-03</v>
      </c>
      <c r="C185" s="258">
        <f>DATE(YEAR(RPT_MONTH),MONTH(RPT_MONTH)-7,1)</f>
        <v>46082</v>
      </c>
      <c r="D185" t="s">
        <v>68</v>
      </c>
      <c r="E185" s="193" t="str">
        <f>IFERROR(INDEX(BD_KPIs!$F$2:$F$1300,MATCH(YEAR(DATE(YEAR(RPT_MONTH),MONTH(RPT_MONTH)-7,1))*100+MONTH(DATE(YEAR(RPT_MONTH),MONTH(RPT_MONTH)-7,1))&amp;"|TVCR|Monthly",BD_KPIs!$Q$2:$Q$1300,0)),"")</f>
        <v/>
      </c>
      <c r="F185" s="193" t="str">
        <f>IFERROR(INDEX(BD_KPIs!$G$2:$G$1300,MATCH(YEAR(DATE(YEAR(RPT_MONTH),MONTH(RPT_MONTH)-7,1))*100+MONTH(DATE(YEAR(RPT_MONTH),MONTH(RPT_MONTH)-7,1))&amp;"|TVCR|Monthly",BD_KPIs!$Q$2:$Q$1300,0)),"")</f>
        <v/>
      </c>
      <c r="G185" s="193" t="str">
        <f>IF(ISNUMBER(E185),IF(F185="","No target",IF(IFERROR(INDEX(BD_KPIs!$I$2:$I$1300,MATCH(YEAR(DATE(YEAR(RPT_MONTH),MONTH(RPT_MONTH)-7,1))*100+MONTH(DATE(YEAR(RPT_MONTH),MONTH(RPT_MONTH)-7,1))&amp;"|TVCR|Monthly",BD_KPIs!$Q$2:$Q$1300,0)),"")="Sí","On target","Off target")),"No data")</f>
        <v>No data</v>
      </c>
      <c r="H185" s="193" t="str">
        <f>INDEX(_TARGETS!$D$2:$D$17,MATCH("TVCR",_TARGETS!$A$2:$A$17,0))</f>
        <v>eventos / 10^6 km</v>
      </c>
      <c r="I185" s="193" t="str">
        <f>INDEX(_TARGETS!$K$2:$K$17,MATCH("TVCR",_TARGETS!$A$2:$A$17,0))</f>
        <v>OPS (eventos) + Full Control GPS (km) - carga manual en Datos</v>
      </c>
      <c r="J185" s="258">
        <f t="shared" si="3"/>
        <v>46296</v>
      </c>
    </row>
    <row r="186" spans="1:10" ht="13.5" customHeight="1" x14ac:dyDescent="0.3">
      <c r="A186" t="s">
        <v>909</v>
      </c>
      <c r="B186" s="193" t="str">
        <f>YEAR(DATE(YEAR(RPT_MONTH),MONTH(RPT_MONTH)-6,1))&amp;"-"&amp;RIGHT("0"&amp;MONTH(DATE(YEAR(RPT_MONTH),MONTH(RPT_MONTH)-6,1)),2)</f>
        <v>2026-04</v>
      </c>
      <c r="C186" s="258">
        <f>DATE(YEAR(RPT_MONTH),MONTH(RPT_MONTH)-6,1)</f>
        <v>46113</v>
      </c>
      <c r="D186" t="s">
        <v>68</v>
      </c>
      <c r="E186" s="193" t="str">
        <f>IFERROR(INDEX(BD_KPIs!$F$2:$F$1300,MATCH(YEAR(DATE(YEAR(RPT_MONTH),MONTH(RPT_MONTH)-6,1))*100+MONTH(DATE(YEAR(RPT_MONTH),MONTH(RPT_MONTH)-6,1))&amp;"|TVCR|Monthly",BD_KPIs!$Q$2:$Q$1300,0)),"")</f>
        <v/>
      </c>
      <c r="F186" s="193" t="str">
        <f>IFERROR(INDEX(BD_KPIs!$G$2:$G$1300,MATCH(YEAR(DATE(YEAR(RPT_MONTH),MONTH(RPT_MONTH)-6,1))*100+MONTH(DATE(YEAR(RPT_MONTH),MONTH(RPT_MONTH)-6,1))&amp;"|TVCR|Monthly",BD_KPIs!$Q$2:$Q$1300,0)),"")</f>
        <v/>
      </c>
      <c r="G186" s="193" t="str">
        <f>IF(ISNUMBER(E186),IF(F186="","No target",IF(IFERROR(INDEX(BD_KPIs!$I$2:$I$1300,MATCH(YEAR(DATE(YEAR(RPT_MONTH),MONTH(RPT_MONTH)-6,1))*100+MONTH(DATE(YEAR(RPT_MONTH),MONTH(RPT_MONTH)-6,1))&amp;"|TVCR|Monthly",BD_KPIs!$Q$2:$Q$1300,0)),"")="Sí","On target","Off target")),"No data")</f>
        <v>No data</v>
      </c>
      <c r="H186" s="193" t="str">
        <f>INDEX(_TARGETS!$D$2:$D$17,MATCH("TVCR",_TARGETS!$A$2:$A$17,0))</f>
        <v>eventos / 10^6 km</v>
      </c>
      <c r="I186" s="193" t="str">
        <f>INDEX(_TARGETS!$K$2:$K$17,MATCH("TVCR",_TARGETS!$A$2:$A$17,0))</f>
        <v>OPS (eventos) + Full Control GPS (km) - carga manual en Datos</v>
      </c>
      <c r="J186" s="258">
        <f t="shared" si="3"/>
        <v>46296</v>
      </c>
    </row>
    <row r="187" spans="1:10" ht="13.5" customHeight="1" x14ac:dyDescent="0.3">
      <c r="A187" t="s">
        <v>909</v>
      </c>
      <c r="B187" s="193" t="str">
        <f>YEAR(DATE(YEAR(RPT_MONTH),MONTH(RPT_MONTH)-5,1))&amp;"-"&amp;RIGHT("0"&amp;MONTH(DATE(YEAR(RPT_MONTH),MONTH(RPT_MONTH)-5,1)),2)</f>
        <v>2026-05</v>
      </c>
      <c r="C187" s="258">
        <f>DATE(YEAR(RPT_MONTH),MONTH(RPT_MONTH)-5,1)</f>
        <v>46143</v>
      </c>
      <c r="D187" t="s">
        <v>68</v>
      </c>
      <c r="E187" s="193" t="str">
        <f>IFERROR(INDEX(BD_KPIs!$F$2:$F$1300,MATCH(YEAR(DATE(YEAR(RPT_MONTH),MONTH(RPT_MONTH)-5,1))*100+MONTH(DATE(YEAR(RPT_MONTH),MONTH(RPT_MONTH)-5,1))&amp;"|TVCR|Monthly",BD_KPIs!$Q$2:$Q$1300,0)),"")</f>
        <v/>
      </c>
      <c r="F187" s="193" t="str">
        <f>IFERROR(INDEX(BD_KPIs!$G$2:$G$1300,MATCH(YEAR(DATE(YEAR(RPT_MONTH),MONTH(RPT_MONTH)-5,1))*100+MONTH(DATE(YEAR(RPT_MONTH),MONTH(RPT_MONTH)-5,1))&amp;"|TVCR|Monthly",BD_KPIs!$Q$2:$Q$1300,0)),"")</f>
        <v/>
      </c>
      <c r="G187" s="193" t="str">
        <f>IF(ISNUMBER(E187),IF(F187="","No target",IF(IFERROR(INDEX(BD_KPIs!$I$2:$I$1300,MATCH(YEAR(DATE(YEAR(RPT_MONTH),MONTH(RPT_MONTH)-5,1))*100+MONTH(DATE(YEAR(RPT_MONTH),MONTH(RPT_MONTH)-5,1))&amp;"|TVCR|Monthly",BD_KPIs!$Q$2:$Q$1300,0)),"")="Sí","On target","Off target")),"No data")</f>
        <v>No data</v>
      </c>
      <c r="H187" s="193" t="str">
        <f>INDEX(_TARGETS!$D$2:$D$17,MATCH("TVCR",_TARGETS!$A$2:$A$17,0))</f>
        <v>eventos / 10^6 km</v>
      </c>
      <c r="I187" s="193" t="str">
        <f>INDEX(_TARGETS!$K$2:$K$17,MATCH("TVCR",_TARGETS!$A$2:$A$17,0))</f>
        <v>OPS (eventos) + Full Control GPS (km) - carga manual en Datos</v>
      </c>
      <c r="J187" s="258">
        <f t="shared" si="3"/>
        <v>46296</v>
      </c>
    </row>
    <row r="188" spans="1:10" ht="13.5" customHeight="1" x14ac:dyDescent="0.3">
      <c r="A188" t="s">
        <v>909</v>
      </c>
      <c r="B188" s="193" t="str">
        <f>YEAR(DATE(YEAR(RPT_MONTH),MONTH(RPT_MONTH)-4,1))&amp;"-"&amp;RIGHT("0"&amp;MONTH(DATE(YEAR(RPT_MONTH),MONTH(RPT_MONTH)-4,1)),2)</f>
        <v>2026-06</v>
      </c>
      <c r="C188" s="258">
        <f>DATE(YEAR(RPT_MONTH),MONTH(RPT_MONTH)-4,1)</f>
        <v>46174</v>
      </c>
      <c r="D188" t="s">
        <v>68</v>
      </c>
      <c r="E188" s="193" t="str">
        <f>IFERROR(INDEX(BD_KPIs!$F$2:$F$1300,MATCH(YEAR(DATE(YEAR(RPT_MONTH),MONTH(RPT_MONTH)-4,1))*100+MONTH(DATE(YEAR(RPT_MONTH),MONTH(RPT_MONTH)-4,1))&amp;"|TVCR|Monthly",BD_KPIs!$Q$2:$Q$1300,0)),"")</f>
        <v/>
      </c>
      <c r="F188" s="193" t="str">
        <f>IFERROR(INDEX(BD_KPIs!$G$2:$G$1300,MATCH(YEAR(DATE(YEAR(RPT_MONTH),MONTH(RPT_MONTH)-4,1))*100+MONTH(DATE(YEAR(RPT_MONTH),MONTH(RPT_MONTH)-4,1))&amp;"|TVCR|Monthly",BD_KPIs!$Q$2:$Q$1300,0)),"")</f>
        <v/>
      </c>
      <c r="G188" s="193" t="str">
        <f>IF(ISNUMBER(E188),IF(F188="","No target",IF(IFERROR(INDEX(BD_KPIs!$I$2:$I$1300,MATCH(YEAR(DATE(YEAR(RPT_MONTH),MONTH(RPT_MONTH)-4,1))*100+MONTH(DATE(YEAR(RPT_MONTH),MONTH(RPT_MONTH)-4,1))&amp;"|TVCR|Monthly",BD_KPIs!$Q$2:$Q$1300,0)),"")="Sí","On target","Off target")),"No data")</f>
        <v>No data</v>
      </c>
      <c r="H188" s="193" t="str">
        <f>INDEX(_TARGETS!$D$2:$D$17,MATCH("TVCR",_TARGETS!$A$2:$A$17,0))</f>
        <v>eventos / 10^6 km</v>
      </c>
      <c r="I188" s="193" t="str">
        <f>INDEX(_TARGETS!$K$2:$K$17,MATCH("TVCR",_TARGETS!$A$2:$A$17,0))</f>
        <v>OPS (eventos) + Full Control GPS (km) - carga manual en Datos</v>
      </c>
      <c r="J188" s="258">
        <f t="shared" si="3"/>
        <v>46296</v>
      </c>
    </row>
    <row r="189" spans="1:10" ht="13.5" customHeight="1" x14ac:dyDescent="0.3">
      <c r="A189" t="s">
        <v>909</v>
      </c>
      <c r="B189" s="193" t="str">
        <f>YEAR(DATE(YEAR(RPT_MONTH),MONTH(RPT_MONTH)-3,1))&amp;"-"&amp;RIGHT("0"&amp;MONTH(DATE(YEAR(RPT_MONTH),MONTH(RPT_MONTH)-3,1)),2)</f>
        <v>2026-07</v>
      </c>
      <c r="C189" s="258">
        <f>DATE(YEAR(RPT_MONTH),MONTH(RPT_MONTH)-3,1)</f>
        <v>46204</v>
      </c>
      <c r="D189" t="s">
        <v>68</v>
      </c>
      <c r="E189" s="193" t="str">
        <f>IFERROR(INDEX(BD_KPIs!$F$2:$F$1300,MATCH(YEAR(DATE(YEAR(RPT_MONTH),MONTH(RPT_MONTH)-3,1))*100+MONTH(DATE(YEAR(RPT_MONTH),MONTH(RPT_MONTH)-3,1))&amp;"|TVCR|Monthly",BD_KPIs!$Q$2:$Q$1300,0)),"")</f>
        <v/>
      </c>
      <c r="F189" s="193" t="str">
        <f>IFERROR(INDEX(BD_KPIs!$G$2:$G$1300,MATCH(YEAR(DATE(YEAR(RPT_MONTH),MONTH(RPT_MONTH)-3,1))*100+MONTH(DATE(YEAR(RPT_MONTH),MONTH(RPT_MONTH)-3,1))&amp;"|TVCR|Monthly",BD_KPIs!$Q$2:$Q$1300,0)),"")</f>
        <v/>
      </c>
      <c r="G189" s="193" t="str">
        <f>IF(ISNUMBER(E189),IF(F189="","No target",IF(IFERROR(INDEX(BD_KPIs!$I$2:$I$1300,MATCH(YEAR(DATE(YEAR(RPT_MONTH),MONTH(RPT_MONTH)-3,1))*100+MONTH(DATE(YEAR(RPT_MONTH),MONTH(RPT_MONTH)-3,1))&amp;"|TVCR|Monthly",BD_KPIs!$Q$2:$Q$1300,0)),"")="Sí","On target","Off target")),"No data")</f>
        <v>No data</v>
      </c>
      <c r="H189" s="193" t="str">
        <f>INDEX(_TARGETS!$D$2:$D$17,MATCH("TVCR",_TARGETS!$A$2:$A$17,0))</f>
        <v>eventos / 10^6 km</v>
      </c>
      <c r="I189" s="193" t="str">
        <f>INDEX(_TARGETS!$K$2:$K$17,MATCH("TVCR",_TARGETS!$A$2:$A$17,0))</f>
        <v>OPS (eventos) + Full Control GPS (km) - carga manual en Datos</v>
      </c>
      <c r="J189" s="258">
        <f t="shared" si="3"/>
        <v>46296</v>
      </c>
    </row>
    <row r="190" spans="1:10" ht="13.5" customHeight="1" x14ac:dyDescent="0.3">
      <c r="A190" t="s">
        <v>909</v>
      </c>
      <c r="B190" s="193" t="str">
        <f>YEAR(DATE(YEAR(RPT_MONTH),MONTH(RPT_MONTH)-2,1))&amp;"-"&amp;RIGHT("0"&amp;MONTH(DATE(YEAR(RPT_MONTH),MONTH(RPT_MONTH)-2,1)),2)</f>
        <v>2026-08</v>
      </c>
      <c r="C190" s="258">
        <f>DATE(YEAR(RPT_MONTH),MONTH(RPT_MONTH)-2,1)</f>
        <v>46235</v>
      </c>
      <c r="D190" t="s">
        <v>68</v>
      </c>
      <c r="E190" s="193">
        <f>IFERROR(INDEX(BD_KPIs!$F$2:$F$1300,MATCH(YEAR(DATE(YEAR(RPT_MONTH),MONTH(RPT_MONTH)-2,1))*100+MONTH(DATE(YEAR(RPT_MONTH),MONTH(RPT_MONTH)-2,1))&amp;"|TVCR|Monthly",BD_KPIs!$Q$2:$Q$1300,0)),"")</f>
        <v>0</v>
      </c>
      <c r="F190" s="193">
        <f>IFERROR(INDEX(BD_KPIs!$G$2:$G$1300,MATCH(YEAR(DATE(YEAR(RPT_MONTH),MONTH(RPT_MONTH)-2,1))*100+MONTH(DATE(YEAR(RPT_MONTH),MONTH(RPT_MONTH)-2,1))&amp;"|TVCR|Monthly",BD_KPIs!$Q$2:$Q$1300,0)),"")</f>
        <v>0.79</v>
      </c>
      <c r="G190" s="193" t="str">
        <f>IF(ISNUMBER(E190),IF(F190="","No target",IF(IFERROR(INDEX(BD_KPIs!$I$2:$I$1300,MATCH(YEAR(DATE(YEAR(RPT_MONTH),MONTH(RPT_MONTH)-2,1))*100+MONTH(DATE(YEAR(RPT_MONTH),MONTH(RPT_MONTH)-2,1))&amp;"|TVCR|Monthly",BD_KPIs!$Q$2:$Q$1300,0)),"")="Sí","On target","Off target")),"No data")</f>
        <v>On target</v>
      </c>
      <c r="H190" s="193" t="str">
        <f>INDEX(_TARGETS!$D$2:$D$17,MATCH("TVCR",_TARGETS!$A$2:$A$17,0))</f>
        <v>eventos / 10^6 km</v>
      </c>
      <c r="I190" s="193" t="str">
        <f>INDEX(_TARGETS!$K$2:$K$17,MATCH("TVCR",_TARGETS!$A$2:$A$17,0))</f>
        <v>OPS (eventos) + Full Control GPS (km) - carga manual en Datos</v>
      </c>
      <c r="J190" s="258">
        <f t="shared" si="3"/>
        <v>46296</v>
      </c>
    </row>
    <row r="191" spans="1:10" ht="13.5" customHeight="1" x14ac:dyDescent="0.3">
      <c r="A191" t="s">
        <v>909</v>
      </c>
      <c r="B191" s="193" t="str">
        <f>YEAR(DATE(YEAR(RPT_MONTH),MONTH(RPT_MONTH)-1,1))&amp;"-"&amp;RIGHT("0"&amp;MONTH(DATE(YEAR(RPT_MONTH),MONTH(RPT_MONTH)-1,1)),2)</f>
        <v>2026-09</v>
      </c>
      <c r="C191" s="258">
        <f>DATE(YEAR(RPT_MONTH),MONTH(RPT_MONTH)-1,1)</f>
        <v>46266</v>
      </c>
      <c r="D191" t="s">
        <v>68</v>
      </c>
      <c r="E191" s="193">
        <f>IFERROR(INDEX(BD_KPIs!$F$2:$F$1300,MATCH(YEAR(DATE(YEAR(RPT_MONTH),MONTH(RPT_MONTH)-1,1))*100+MONTH(DATE(YEAR(RPT_MONTH),MONTH(RPT_MONTH)-1,1))&amp;"|TVCR|Monthly",BD_KPIs!$Q$2:$Q$1300,0)),"")</f>
        <v>0</v>
      </c>
      <c r="F191" s="250">
        <f>IFERROR(INDEX(BD_KPIs!$G$2:$G$1300,MATCH(YEAR(DATE(YEAR(RPT_MONTH),MONTH(RPT_MONTH)-1,1))*100+MONTH(DATE(YEAR(RPT_MONTH),MONTH(RPT_MONTH)-1,1))&amp;"|TVCR|Monthly",BD_KPIs!$Q$2:$Q$1300,0)),"")</f>
        <v>0.79</v>
      </c>
      <c r="G191" s="193" t="str">
        <f>IF(ISNUMBER(E191),IF(F191="","No target",IF(IFERROR(INDEX(BD_KPIs!$I$2:$I$1300,MATCH(YEAR(DATE(YEAR(RPT_MONTH),MONTH(RPT_MONTH)-1,1))*100+MONTH(DATE(YEAR(RPT_MONTH),MONTH(RPT_MONTH)-1,1))&amp;"|TVCR|Monthly",BD_KPIs!$Q$2:$Q$1300,0)),"")="Sí","On target","Off target")),"No data")</f>
        <v>On target</v>
      </c>
      <c r="H191" s="193" t="str">
        <f>INDEX(_TARGETS!$D$2:$D$17,MATCH("TVCR",_TARGETS!$A$2:$A$17,0))</f>
        <v>eventos / 10^6 km</v>
      </c>
      <c r="I191" s="193" t="str">
        <f>INDEX(_TARGETS!$K$2:$K$17,MATCH("TVCR",_TARGETS!$A$2:$A$17,0))</f>
        <v>OPS (eventos) + Full Control GPS (km) - carga manual en Datos</v>
      </c>
      <c r="J191" s="258">
        <f t="shared" si="3"/>
        <v>46296</v>
      </c>
    </row>
    <row r="192" spans="1:10" ht="13.5" customHeight="1" x14ac:dyDescent="0.3">
      <c r="A192" t="s">
        <v>909</v>
      </c>
      <c r="B192" s="193" t="str">
        <f>YEAR(DATE(YEAR(RPT_MONTH),MONTH(RPT_MONTH)-0,1))&amp;"-"&amp;RIGHT("0"&amp;MONTH(DATE(YEAR(RPT_MONTH),MONTH(RPT_MONTH)-0,1)),2)</f>
        <v>2026-10</v>
      </c>
      <c r="C192" s="258">
        <f>DATE(YEAR(RPT_MONTH),MONTH(RPT_MONTH)-0,1)</f>
        <v>46296</v>
      </c>
      <c r="D192" t="s">
        <v>68</v>
      </c>
      <c r="E192" s="193" t="str">
        <f>IFERROR(INDEX(BD_KPIs!$F$2:$F$1300,MATCH(YEAR(DATE(YEAR(RPT_MONTH),MONTH(RPT_MONTH)-0,1))*100+MONTH(DATE(YEAR(RPT_MONTH),MONTH(RPT_MONTH)-0,1))&amp;"|TVCR|Monthly",BD_KPIs!$Q$2:$Q$1300,0)),"")</f>
        <v/>
      </c>
      <c r="F192" s="250">
        <f>IFERROR(INDEX(BD_KPIs!$G$2:$G$1300,MATCH(YEAR(DATE(YEAR(RPT_MONTH),MONTH(RPT_MONTH)-0,1))*100+MONTH(DATE(YEAR(RPT_MONTH),MONTH(RPT_MONTH)-0,1))&amp;"|TVCR|Monthly",BD_KPIs!$Q$2:$Q$1300,0)),"")</f>
        <v>0.79</v>
      </c>
      <c r="G192" s="193" t="str">
        <f>IF(ISNUMBER(E192),IF(F192="","No target",IF(IFERROR(INDEX(BD_KPIs!$I$2:$I$1300,MATCH(YEAR(DATE(YEAR(RPT_MONTH),MONTH(RPT_MONTH)-0,1))*100+MONTH(DATE(YEAR(RPT_MONTH),MONTH(RPT_MONTH)-0,1))&amp;"|TVCR|Monthly",BD_KPIs!$Q$2:$Q$1300,0)),"")="Sí","On target","Off target")),"No data")</f>
        <v>No data</v>
      </c>
      <c r="H192" s="193" t="str">
        <f>INDEX(_TARGETS!$D$2:$D$17,MATCH("TVCR",_TARGETS!$A$2:$A$17,0))</f>
        <v>eventos / 10^6 km</v>
      </c>
      <c r="I192" s="193" t="str">
        <f>INDEX(_TARGETS!$K$2:$K$17,MATCH("TVCR",_TARGETS!$A$2:$A$17,0))</f>
        <v>OPS (eventos) + Full Control GPS (km) - carga manual en Datos</v>
      </c>
      <c r="J192" s="258">
        <f t="shared" si="3"/>
        <v>46296</v>
      </c>
    </row>
    <row r="193" spans="1:10" ht="13.5" customHeight="1" x14ac:dyDescent="0.3">
      <c r="A193" t="s">
        <v>909</v>
      </c>
      <c r="B193" s="193" t="str">
        <f>YEAR(DATE(YEAR(RPT_MONTH),MONTH(RPT_MONTH)-11,1))&amp;"-"&amp;RIGHT("0"&amp;MONTH(DATE(YEAR(RPT_MONTH),MONTH(RPT_MONTH)-11,1)),2)</f>
        <v>2025-11</v>
      </c>
      <c r="C193" s="258">
        <f>DATE(YEAR(RPT_MONTH),MONTH(RPT_MONTH)-11,1)</f>
        <v>45962</v>
      </c>
      <c r="D193" t="s">
        <v>601</v>
      </c>
      <c r="E193" s="193" t="str">
        <f>IFERROR(INDEX(BD_KPIs!$F$2:$F$1300,MATCH(YEAR(DATE(YEAR(RPT_MONTH),MONTH(RPT_MONTH)-11,1))*100+MONTH(DATE(YEAR(RPT_MONTH),MONTH(RPT_MONTH)-11,1))&amp;"|TVCR|YTD",BD_KPIs!$Q$2:$Q$1300,0)),"")</f>
        <v/>
      </c>
      <c r="F193" s="193" t="str">
        <f>IFERROR(INDEX(BD_KPIs!$G$2:$G$1300,MATCH(YEAR(DATE(YEAR(RPT_MONTH),MONTH(RPT_MONTH)-11,1))*100+MONTH(DATE(YEAR(RPT_MONTH),MONTH(RPT_MONTH)-11,1))&amp;"|TVCR|YTD",BD_KPIs!$Q$2:$Q$1300,0)),"")</f>
        <v/>
      </c>
      <c r="G193" s="193" t="str">
        <f>IF(ISNUMBER(E193),IF(F193="","No target",IF(IFERROR(INDEX(BD_KPIs!$I$2:$I$1300,MATCH(YEAR(DATE(YEAR(RPT_MONTH),MONTH(RPT_MONTH)-11,1))*100+MONTH(DATE(YEAR(RPT_MONTH),MONTH(RPT_MONTH)-11,1))&amp;"|TVCR|YTD",BD_KPIs!$Q$2:$Q$1300,0)),"")="Sí","On target","Off target")),"No data")</f>
        <v>No data</v>
      </c>
      <c r="H193" s="193" t="str">
        <f>INDEX(_TARGETS!$D$2:$D$17,MATCH("TVCR",_TARGETS!$A$2:$A$17,0))</f>
        <v>eventos / 10^6 km</v>
      </c>
      <c r="I193" s="193" t="str">
        <f>INDEX(_TARGETS!$K$2:$K$17,MATCH("TVCR",_TARGETS!$A$2:$A$17,0))</f>
        <v>OPS (eventos) + Full Control GPS (km) - carga manual en Datos</v>
      </c>
      <c r="J193" s="258">
        <f t="shared" si="3"/>
        <v>46296</v>
      </c>
    </row>
    <row r="194" spans="1:10" ht="13.5" customHeight="1" x14ac:dyDescent="0.3">
      <c r="A194" t="s">
        <v>909</v>
      </c>
      <c r="B194" s="193" t="str">
        <f>YEAR(DATE(YEAR(RPT_MONTH),MONTH(RPT_MONTH)-10,1))&amp;"-"&amp;RIGHT("0"&amp;MONTH(DATE(YEAR(RPT_MONTH),MONTH(RPT_MONTH)-10,1)),2)</f>
        <v>2025-12</v>
      </c>
      <c r="C194" s="258">
        <f>DATE(YEAR(RPT_MONTH),MONTH(RPT_MONTH)-10,1)</f>
        <v>45992</v>
      </c>
      <c r="D194" t="s">
        <v>601</v>
      </c>
      <c r="E194" s="193" t="str">
        <f>IFERROR(INDEX(BD_KPIs!$F$2:$F$1300,MATCH(YEAR(DATE(YEAR(RPT_MONTH),MONTH(RPT_MONTH)-10,1))*100+MONTH(DATE(YEAR(RPT_MONTH),MONTH(RPT_MONTH)-10,1))&amp;"|TVCR|YTD",BD_KPIs!$Q$2:$Q$1300,0)),"")</f>
        <v/>
      </c>
      <c r="F194" s="193" t="str">
        <f>IFERROR(INDEX(BD_KPIs!$G$2:$G$1300,MATCH(YEAR(DATE(YEAR(RPT_MONTH),MONTH(RPT_MONTH)-10,1))*100+MONTH(DATE(YEAR(RPT_MONTH),MONTH(RPT_MONTH)-10,1))&amp;"|TVCR|YTD",BD_KPIs!$Q$2:$Q$1300,0)),"")</f>
        <v/>
      </c>
      <c r="G194" s="193" t="str">
        <f>IF(ISNUMBER(E194),IF(F194="","No target",IF(IFERROR(INDEX(BD_KPIs!$I$2:$I$1300,MATCH(YEAR(DATE(YEAR(RPT_MONTH),MONTH(RPT_MONTH)-10,1))*100+MONTH(DATE(YEAR(RPT_MONTH),MONTH(RPT_MONTH)-10,1))&amp;"|TVCR|YTD",BD_KPIs!$Q$2:$Q$1300,0)),"")="Sí","On target","Off target")),"No data")</f>
        <v>No data</v>
      </c>
      <c r="H194" s="193" t="str">
        <f>INDEX(_TARGETS!$D$2:$D$17,MATCH("TVCR",_TARGETS!$A$2:$A$17,0))</f>
        <v>eventos / 10^6 km</v>
      </c>
      <c r="I194" s="193" t="str">
        <f>INDEX(_TARGETS!$K$2:$K$17,MATCH("TVCR",_TARGETS!$A$2:$A$17,0))</f>
        <v>OPS (eventos) + Full Control GPS (km) - carga manual en Datos</v>
      </c>
      <c r="J194" s="258">
        <f t="shared" ref="J194:J257" si="4">RPT_MONTH</f>
        <v>46296</v>
      </c>
    </row>
    <row r="195" spans="1:10" ht="13.5" customHeight="1" x14ac:dyDescent="0.3">
      <c r="A195" t="s">
        <v>909</v>
      </c>
      <c r="B195" s="193" t="str">
        <f>YEAR(DATE(YEAR(RPT_MONTH),MONTH(RPT_MONTH)-9,1))&amp;"-"&amp;RIGHT("0"&amp;MONTH(DATE(YEAR(RPT_MONTH),MONTH(RPT_MONTH)-9,1)),2)</f>
        <v>2026-01</v>
      </c>
      <c r="C195" s="258">
        <f>DATE(YEAR(RPT_MONTH),MONTH(RPT_MONTH)-9,1)</f>
        <v>46023</v>
      </c>
      <c r="D195" t="s">
        <v>601</v>
      </c>
      <c r="E195" s="193" t="str">
        <f>IFERROR(INDEX(BD_KPIs!$F$2:$F$1300,MATCH(YEAR(DATE(YEAR(RPT_MONTH),MONTH(RPT_MONTH)-9,1))*100+MONTH(DATE(YEAR(RPT_MONTH),MONTH(RPT_MONTH)-9,1))&amp;"|TVCR|YTD",BD_KPIs!$Q$2:$Q$1300,0)),"")</f>
        <v/>
      </c>
      <c r="F195" s="193" t="str">
        <f>IFERROR(INDEX(BD_KPIs!$G$2:$G$1300,MATCH(YEAR(DATE(YEAR(RPT_MONTH),MONTH(RPT_MONTH)-9,1))*100+MONTH(DATE(YEAR(RPT_MONTH),MONTH(RPT_MONTH)-9,1))&amp;"|TVCR|YTD",BD_KPIs!$Q$2:$Q$1300,0)),"")</f>
        <v/>
      </c>
      <c r="G195" s="193" t="str">
        <f>IF(ISNUMBER(E195),IF(F195="","No target",IF(IFERROR(INDEX(BD_KPIs!$I$2:$I$1300,MATCH(YEAR(DATE(YEAR(RPT_MONTH),MONTH(RPT_MONTH)-9,1))*100+MONTH(DATE(YEAR(RPT_MONTH),MONTH(RPT_MONTH)-9,1))&amp;"|TVCR|YTD",BD_KPIs!$Q$2:$Q$1300,0)),"")="Sí","On target","Off target")),"No data")</f>
        <v>No data</v>
      </c>
      <c r="H195" s="193" t="str">
        <f>INDEX(_TARGETS!$D$2:$D$17,MATCH("TVCR",_TARGETS!$A$2:$A$17,0))</f>
        <v>eventos / 10^6 km</v>
      </c>
      <c r="I195" s="193" t="str">
        <f>INDEX(_TARGETS!$K$2:$K$17,MATCH("TVCR",_TARGETS!$A$2:$A$17,0))</f>
        <v>OPS (eventos) + Full Control GPS (km) - carga manual en Datos</v>
      </c>
      <c r="J195" s="258">
        <f t="shared" si="4"/>
        <v>46296</v>
      </c>
    </row>
    <row r="196" spans="1:10" ht="13.5" customHeight="1" x14ac:dyDescent="0.3">
      <c r="A196" t="s">
        <v>909</v>
      </c>
      <c r="B196" s="193" t="str">
        <f>YEAR(DATE(YEAR(RPT_MONTH),MONTH(RPT_MONTH)-8,1))&amp;"-"&amp;RIGHT("0"&amp;MONTH(DATE(YEAR(RPT_MONTH),MONTH(RPT_MONTH)-8,1)),2)</f>
        <v>2026-02</v>
      </c>
      <c r="C196" s="258">
        <f>DATE(YEAR(RPT_MONTH),MONTH(RPT_MONTH)-8,1)</f>
        <v>46054</v>
      </c>
      <c r="D196" t="s">
        <v>601</v>
      </c>
      <c r="E196" s="193" t="str">
        <f>IFERROR(INDEX(BD_KPIs!$F$2:$F$1300,MATCH(YEAR(DATE(YEAR(RPT_MONTH),MONTH(RPT_MONTH)-8,1))*100+MONTH(DATE(YEAR(RPT_MONTH),MONTH(RPT_MONTH)-8,1))&amp;"|TVCR|YTD",BD_KPIs!$Q$2:$Q$1300,0)),"")</f>
        <v/>
      </c>
      <c r="F196" s="193" t="str">
        <f>IFERROR(INDEX(BD_KPIs!$G$2:$G$1300,MATCH(YEAR(DATE(YEAR(RPT_MONTH),MONTH(RPT_MONTH)-8,1))*100+MONTH(DATE(YEAR(RPT_MONTH),MONTH(RPT_MONTH)-8,1))&amp;"|TVCR|YTD",BD_KPIs!$Q$2:$Q$1300,0)),"")</f>
        <v/>
      </c>
      <c r="G196" s="193" t="str">
        <f>IF(ISNUMBER(E196),IF(F196="","No target",IF(IFERROR(INDEX(BD_KPIs!$I$2:$I$1300,MATCH(YEAR(DATE(YEAR(RPT_MONTH),MONTH(RPT_MONTH)-8,1))*100+MONTH(DATE(YEAR(RPT_MONTH),MONTH(RPT_MONTH)-8,1))&amp;"|TVCR|YTD",BD_KPIs!$Q$2:$Q$1300,0)),"")="Sí","On target","Off target")),"No data")</f>
        <v>No data</v>
      </c>
      <c r="H196" s="193" t="str">
        <f>INDEX(_TARGETS!$D$2:$D$17,MATCH("TVCR",_TARGETS!$A$2:$A$17,0))</f>
        <v>eventos / 10^6 km</v>
      </c>
      <c r="I196" s="193" t="str">
        <f>INDEX(_TARGETS!$K$2:$K$17,MATCH("TVCR",_TARGETS!$A$2:$A$17,0))</f>
        <v>OPS (eventos) + Full Control GPS (km) - carga manual en Datos</v>
      </c>
      <c r="J196" s="258">
        <f t="shared" si="4"/>
        <v>46296</v>
      </c>
    </row>
    <row r="197" spans="1:10" ht="13.5" customHeight="1" x14ac:dyDescent="0.3">
      <c r="A197" t="s">
        <v>909</v>
      </c>
      <c r="B197" s="193" t="str">
        <f>YEAR(DATE(YEAR(RPT_MONTH),MONTH(RPT_MONTH)-7,1))&amp;"-"&amp;RIGHT("0"&amp;MONTH(DATE(YEAR(RPT_MONTH),MONTH(RPT_MONTH)-7,1)),2)</f>
        <v>2026-03</v>
      </c>
      <c r="C197" s="258">
        <f>DATE(YEAR(RPT_MONTH),MONTH(RPT_MONTH)-7,1)</f>
        <v>46082</v>
      </c>
      <c r="D197" t="s">
        <v>601</v>
      </c>
      <c r="E197" s="193" t="str">
        <f>IFERROR(INDEX(BD_KPIs!$F$2:$F$1300,MATCH(YEAR(DATE(YEAR(RPT_MONTH),MONTH(RPT_MONTH)-7,1))*100+MONTH(DATE(YEAR(RPT_MONTH),MONTH(RPT_MONTH)-7,1))&amp;"|TVCR|YTD",BD_KPIs!$Q$2:$Q$1300,0)),"")</f>
        <v/>
      </c>
      <c r="F197" s="193" t="str">
        <f>IFERROR(INDEX(BD_KPIs!$G$2:$G$1300,MATCH(YEAR(DATE(YEAR(RPT_MONTH),MONTH(RPT_MONTH)-7,1))*100+MONTH(DATE(YEAR(RPT_MONTH),MONTH(RPT_MONTH)-7,1))&amp;"|TVCR|YTD",BD_KPIs!$Q$2:$Q$1300,0)),"")</f>
        <v/>
      </c>
      <c r="G197" s="193" t="str">
        <f>IF(ISNUMBER(E197),IF(F197="","No target",IF(IFERROR(INDEX(BD_KPIs!$I$2:$I$1300,MATCH(YEAR(DATE(YEAR(RPT_MONTH),MONTH(RPT_MONTH)-7,1))*100+MONTH(DATE(YEAR(RPT_MONTH),MONTH(RPT_MONTH)-7,1))&amp;"|TVCR|YTD",BD_KPIs!$Q$2:$Q$1300,0)),"")="Sí","On target","Off target")),"No data")</f>
        <v>No data</v>
      </c>
      <c r="H197" s="193" t="str">
        <f>INDEX(_TARGETS!$D$2:$D$17,MATCH("TVCR",_TARGETS!$A$2:$A$17,0))</f>
        <v>eventos / 10^6 km</v>
      </c>
      <c r="I197" s="193" t="str">
        <f>INDEX(_TARGETS!$K$2:$K$17,MATCH("TVCR",_TARGETS!$A$2:$A$17,0))</f>
        <v>OPS (eventos) + Full Control GPS (km) - carga manual en Datos</v>
      </c>
      <c r="J197" s="258">
        <f t="shared" si="4"/>
        <v>46296</v>
      </c>
    </row>
    <row r="198" spans="1:10" ht="13.5" customHeight="1" x14ac:dyDescent="0.3">
      <c r="A198" t="s">
        <v>909</v>
      </c>
      <c r="B198" s="193" t="str">
        <f>YEAR(DATE(YEAR(RPT_MONTH),MONTH(RPT_MONTH)-6,1))&amp;"-"&amp;RIGHT("0"&amp;MONTH(DATE(YEAR(RPT_MONTH),MONTH(RPT_MONTH)-6,1)),2)</f>
        <v>2026-04</v>
      </c>
      <c r="C198" s="258">
        <f>DATE(YEAR(RPT_MONTH),MONTH(RPT_MONTH)-6,1)</f>
        <v>46113</v>
      </c>
      <c r="D198" t="s">
        <v>601</v>
      </c>
      <c r="E198" s="193" t="str">
        <f>IFERROR(INDEX(BD_KPIs!$F$2:$F$1300,MATCH(YEAR(DATE(YEAR(RPT_MONTH),MONTH(RPT_MONTH)-6,1))*100+MONTH(DATE(YEAR(RPT_MONTH),MONTH(RPT_MONTH)-6,1))&amp;"|TVCR|YTD",BD_KPIs!$Q$2:$Q$1300,0)),"")</f>
        <v/>
      </c>
      <c r="F198" s="193" t="str">
        <f>IFERROR(INDEX(BD_KPIs!$G$2:$G$1300,MATCH(YEAR(DATE(YEAR(RPT_MONTH),MONTH(RPT_MONTH)-6,1))*100+MONTH(DATE(YEAR(RPT_MONTH),MONTH(RPT_MONTH)-6,1))&amp;"|TVCR|YTD",BD_KPIs!$Q$2:$Q$1300,0)),"")</f>
        <v/>
      </c>
      <c r="G198" s="193" t="str">
        <f>IF(ISNUMBER(E198),IF(F198="","No target",IF(IFERROR(INDEX(BD_KPIs!$I$2:$I$1300,MATCH(YEAR(DATE(YEAR(RPT_MONTH),MONTH(RPT_MONTH)-6,1))*100+MONTH(DATE(YEAR(RPT_MONTH),MONTH(RPT_MONTH)-6,1))&amp;"|TVCR|YTD",BD_KPIs!$Q$2:$Q$1300,0)),"")="Sí","On target","Off target")),"No data")</f>
        <v>No data</v>
      </c>
      <c r="H198" s="193" t="str">
        <f>INDEX(_TARGETS!$D$2:$D$17,MATCH("TVCR",_TARGETS!$A$2:$A$17,0))</f>
        <v>eventos / 10^6 km</v>
      </c>
      <c r="I198" s="193" t="str">
        <f>INDEX(_TARGETS!$K$2:$K$17,MATCH("TVCR",_TARGETS!$A$2:$A$17,0))</f>
        <v>OPS (eventos) + Full Control GPS (km) - carga manual en Datos</v>
      </c>
      <c r="J198" s="258">
        <f t="shared" si="4"/>
        <v>46296</v>
      </c>
    </row>
    <row r="199" spans="1:10" ht="13.5" customHeight="1" x14ac:dyDescent="0.3">
      <c r="A199" t="s">
        <v>909</v>
      </c>
      <c r="B199" s="193" t="str">
        <f>YEAR(DATE(YEAR(RPT_MONTH),MONTH(RPT_MONTH)-5,1))&amp;"-"&amp;RIGHT("0"&amp;MONTH(DATE(YEAR(RPT_MONTH),MONTH(RPT_MONTH)-5,1)),2)</f>
        <v>2026-05</v>
      </c>
      <c r="C199" s="258">
        <f>DATE(YEAR(RPT_MONTH),MONTH(RPT_MONTH)-5,1)</f>
        <v>46143</v>
      </c>
      <c r="D199" t="s">
        <v>601</v>
      </c>
      <c r="E199" s="193" t="str">
        <f>IFERROR(INDEX(BD_KPIs!$F$2:$F$1300,MATCH(YEAR(DATE(YEAR(RPT_MONTH),MONTH(RPT_MONTH)-5,1))*100+MONTH(DATE(YEAR(RPT_MONTH),MONTH(RPT_MONTH)-5,1))&amp;"|TVCR|YTD",BD_KPIs!$Q$2:$Q$1300,0)),"")</f>
        <v/>
      </c>
      <c r="F199" s="193" t="str">
        <f>IFERROR(INDEX(BD_KPIs!$G$2:$G$1300,MATCH(YEAR(DATE(YEAR(RPT_MONTH),MONTH(RPT_MONTH)-5,1))*100+MONTH(DATE(YEAR(RPT_MONTH),MONTH(RPT_MONTH)-5,1))&amp;"|TVCR|YTD",BD_KPIs!$Q$2:$Q$1300,0)),"")</f>
        <v/>
      </c>
      <c r="G199" s="193" t="str">
        <f>IF(ISNUMBER(E199),IF(F199="","No target",IF(IFERROR(INDEX(BD_KPIs!$I$2:$I$1300,MATCH(YEAR(DATE(YEAR(RPT_MONTH),MONTH(RPT_MONTH)-5,1))*100+MONTH(DATE(YEAR(RPT_MONTH),MONTH(RPT_MONTH)-5,1))&amp;"|TVCR|YTD",BD_KPIs!$Q$2:$Q$1300,0)),"")="Sí","On target","Off target")),"No data")</f>
        <v>No data</v>
      </c>
      <c r="H199" s="193" t="str">
        <f>INDEX(_TARGETS!$D$2:$D$17,MATCH("TVCR",_TARGETS!$A$2:$A$17,0))</f>
        <v>eventos / 10^6 km</v>
      </c>
      <c r="I199" s="193" t="str">
        <f>INDEX(_TARGETS!$K$2:$K$17,MATCH("TVCR",_TARGETS!$A$2:$A$17,0))</f>
        <v>OPS (eventos) + Full Control GPS (km) - carga manual en Datos</v>
      </c>
      <c r="J199" s="258">
        <f t="shared" si="4"/>
        <v>46296</v>
      </c>
    </row>
    <row r="200" spans="1:10" ht="13.5" customHeight="1" x14ac:dyDescent="0.3">
      <c r="A200" t="s">
        <v>909</v>
      </c>
      <c r="B200" s="193" t="str">
        <f>YEAR(DATE(YEAR(RPT_MONTH),MONTH(RPT_MONTH)-4,1))&amp;"-"&amp;RIGHT("0"&amp;MONTH(DATE(YEAR(RPT_MONTH),MONTH(RPT_MONTH)-4,1)),2)</f>
        <v>2026-06</v>
      </c>
      <c r="C200" s="258">
        <f>DATE(YEAR(RPT_MONTH),MONTH(RPT_MONTH)-4,1)</f>
        <v>46174</v>
      </c>
      <c r="D200" t="s">
        <v>601</v>
      </c>
      <c r="E200" s="193" t="str">
        <f>IFERROR(INDEX(BD_KPIs!$F$2:$F$1300,MATCH(YEAR(DATE(YEAR(RPT_MONTH),MONTH(RPT_MONTH)-4,1))*100+MONTH(DATE(YEAR(RPT_MONTH),MONTH(RPT_MONTH)-4,1))&amp;"|TVCR|YTD",BD_KPIs!$Q$2:$Q$1300,0)),"")</f>
        <v/>
      </c>
      <c r="F200" s="193" t="str">
        <f>IFERROR(INDEX(BD_KPIs!$G$2:$G$1300,MATCH(YEAR(DATE(YEAR(RPT_MONTH),MONTH(RPT_MONTH)-4,1))*100+MONTH(DATE(YEAR(RPT_MONTH),MONTH(RPT_MONTH)-4,1))&amp;"|TVCR|YTD",BD_KPIs!$Q$2:$Q$1300,0)),"")</f>
        <v/>
      </c>
      <c r="G200" s="193" t="str">
        <f>IF(ISNUMBER(E200),IF(F200="","No target",IF(IFERROR(INDEX(BD_KPIs!$I$2:$I$1300,MATCH(YEAR(DATE(YEAR(RPT_MONTH),MONTH(RPT_MONTH)-4,1))*100+MONTH(DATE(YEAR(RPT_MONTH),MONTH(RPT_MONTH)-4,1))&amp;"|TVCR|YTD",BD_KPIs!$Q$2:$Q$1300,0)),"")="Sí","On target","Off target")),"No data")</f>
        <v>No data</v>
      </c>
      <c r="H200" s="193" t="str">
        <f>INDEX(_TARGETS!$D$2:$D$17,MATCH("TVCR",_TARGETS!$A$2:$A$17,0))</f>
        <v>eventos / 10^6 km</v>
      </c>
      <c r="I200" s="193" t="str">
        <f>INDEX(_TARGETS!$K$2:$K$17,MATCH("TVCR",_TARGETS!$A$2:$A$17,0))</f>
        <v>OPS (eventos) + Full Control GPS (km) - carga manual en Datos</v>
      </c>
      <c r="J200" s="258">
        <f t="shared" si="4"/>
        <v>46296</v>
      </c>
    </row>
    <row r="201" spans="1:10" ht="13.5" customHeight="1" x14ac:dyDescent="0.3">
      <c r="A201" t="s">
        <v>909</v>
      </c>
      <c r="B201" s="193" t="str">
        <f>YEAR(DATE(YEAR(RPT_MONTH),MONTH(RPT_MONTH)-3,1))&amp;"-"&amp;RIGHT("0"&amp;MONTH(DATE(YEAR(RPT_MONTH),MONTH(RPT_MONTH)-3,1)),2)</f>
        <v>2026-07</v>
      </c>
      <c r="C201" s="258">
        <f>DATE(YEAR(RPT_MONTH),MONTH(RPT_MONTH)-3,1)</f>
        <v>46204</v>
      </c>
      <c r="D201" t="s">
        <v>601</v>
      </c>
      <c r="E201" s="193" t="str">
        <f>IFERROR(INDEX(BD_KPIs!$F$2:$F$1300,MATCH(YEAR(DATE(YEAR(RPT_MONTH),MONTH(RPT_MONTH)-3,1))*100+MONTH(DATE(YEAR(RPT_MONTH),MONTH(RPT_MONTH)-3,1))&amp;"|TVCR|YTD",BD_KPIs!$Q$2:$Q$1300,0)),"")</f>
        <v/>
      </c>
      <c r="F201" s="193" t="str">
        <f>IFERROR(INDEX(BD_KPIs!$G$2:$G$1300,MATCH(YEAR(DATE(YEAR(RPT_MONTH),MONTH(RPT_MONTH)-3,1))*100+MONTH(DATE(YEAR(RPT_MONTH),MONTH(RPT_MONTH)-3,1))&amp;"|TVCR|YTD",BD_KPIs!$Q$2:$Q$1300,0)),"")</f>
        <v/>
      </c>
      <c r="G201" s="193" t="str">
        <f>IF(ISNUMBER(E201),IF(F201="","No target",IF(IFERROR(INDEX(BD_KPIs!$I$2:$I$1300,MATCH(YEAR(DATE(YEAR(RPT_MONTH),MONTH(RPT_MONTH)-3,1))*100+MONTH(DATE(YEAR(RPT_MONTH),MONTH(RPT_MONTH)-3,1))&amp;"|TVCR|YTD",BD_KPIs!$Q$2:$Q$1300,0)),"")="Sí","On target","Off target")),"No data")</f>
        <v>No data</v>
      </c>
      <c r="H201" s="193" t="str">
        <f>INDEX(_TARGETS!$D$2:$D$17,MATCH("TVCR",_TARGETS!$A$2:$A$17,0))</f>
        <v>eventos / 10^6 km</v>
      </c>
      <c r="I201" s="193" t="str">
        <f>INDEX(_TARGETS!$K$2:$K$17,MATCH("TVCR",_TARGETS!$A$2:$A$17,0))</f>
        <v>OPS (eventos) + Full Control GPS (km) - carga manual en Datos</v>
      </c>
      <c r="J201" s="258">
        <f t="shared" si="4"/>
        <v>46296</v>
      </c>
    </row>
    <row r="202" spans="1:10" ht="13.5" customHeight="1" x14ac:dyDescent="0.3">
      <c r="A202" t="s">
        <v>909</v>
      </c>
      <c r="B202" s="193" t="str">
        <f>YEAR(DATE(YEAR(RPT_MONTH),MONTH(RPT_MONTH)-2,1))&amp;"-"&amp;RIGHT("0"&amp;MONTH(DATE(YEAR(RPT_MONTH),MONTH(RPT_MONTH)-2,1)),2)</f>
        <v>2026-08</v>
      </c>
      <c r="C202" s="258">
        <f>DATE(YEAR(RPT_MONTH),MONTH(RPT_MONTH)-2,1)</f>
        <v>46235</v>
      </c>
      <c r="D202" t="s">
        <v>601</v>
      </c>
      <c r="E202" s="193">
        <f>IFERROR(INDEX(BD_KPIs!$F$2:$F$1300,MATCH(YEAR(DATE(YEAR(RPT_MONTH),MONTH(RPT_MONTH)-2,1))*100+MONTH(DATE(YEAR(RPT_MONTH),MONTH(RPT_MONTH)-2,1))&amp;"|TVCR|YTD",BD_KPIs!$Q$2:$Q$1300,0)),"")</f>
        <v>0</v>
      </c>
      <c r="F202" s="193">
        <f>IFERROR(INDEX(BD_KPIs!$G$2:$G$1300,MATCH(YEAR(DATE(YEAR(RPT_MONTH),MONTH(RPT_MONTH)-2,1))*100+MONTH(DATE(YEAR(RPT_MONTH),MONTH(RPT_MONTH)-2,1))&amp;"|TVCR|YTD",BD_KPIs!$Q$2:$Q$1300,0)),"")</f>
        <v>0.79</v>
      </c>
      <c r="G202" s="193" t="str">
        <f>IF(ISNUMBER(E202),IF(F202="","No target",IF(IFERROR(INDEX(BD_KPIs!$I$2:$I$1300,MATCH(YEAR(DATE(YEAR(RPT_MONTH),MONTH(RPT_MONTH)-2,1))*100+MONTH(DATE(YEAR(RPT_MONTH),MONTH(RPT_MONTH)-2,1))&amp;"|TVCR|YTD",BD_KPIs!$Q$2:$Q$1300,0)),"")="Sí","On target","Off target")),"No data")</f>
        <v>On target</v>
      </c>
      <c r="H202" s="193" t="str">
        <f>INDEX(_TARGETS!$D$2:$D$17,MATCH("TVCR",_TARGETS!$A$2:$A$17,0))</f>
        <v>eventos / 10^6 km</v>
      </c>
      <c r="I202" s="193" t="str">
        <f>INDEX(_TARGETS!$K$2:$K$17,MATCH("TVCR",_TARGETS!$A$2:$A$17,0))</f>
        <v>OPS (eventos) + Full Control GPS (km) - carga manual en Datos</v>
      </c>
      <c r="J202" s="258">
        <f t="shared" si="4"/>
        <v>46296</v>
      </c>
    </row>
    <row r="203" spans="1:10" ht="13.5" customHeight="1" x14ac:dyDescent="0.3">
      <c r="A203" t="s">
        <v>909</v>
      </c>
      <c r="B203" s="193" t="str">
        <f>YEAR(DATE(YEAR(RPT_MONTH),MONTH(RPT_MONTH)-1,1))&amp;"-"&amp;RIGHT("0"&amp;MONTH(DATE(YEAR(RPT_MONTH),MONTH(RPT_MONTH)-1,1)),2)</f>
        <v>2026-09</v>
      </c>
      <c r="C203" s="258">
        <f>DATE(YEAR(RPT_MONTH),MONTH(RPT_MONTH)-1,1)</f>
        <v>46266</v>
      </c>
      <c r="D203" t="s">
        <v>601</v>
      </c>
      <c r="E203" s="193">
        <f>IFERROR(INDEX(BD_KPIs!$F$2:$F$1300,MATCH(YEAR(DATE(YEAR(RPT_MONTH),MONTH(RPT_MONTH)-1,1))*100+MONTH(DATE(YEAR(RPT_MONTH),MONTH(RPT_MONTH)-1,1))&amp;"|TVCR|YTD",BD_KPIs!$Q$2:$Q$1300,0)),"")</f>
        <v>0</v>
      </c>
      <c r="F203" s="250">
        <f>IFERROR(INDEX(BD_KPIs!$G$2:$G$1300,MATCH(YEAR(DATE(YEAR(RPT_MONTH),MONTH(RPT_MONTH)-1,1))*100+MONTH(DATE(YEAR(RPT_MONTH),MONTH(RPT_MONTH)-1,1))&amp;"|TVCR|YTD",BD_KPIs!$Q$2:$Q$1300,0)),"")</f>
        <v>0.79</v>
      </c>
      <c r="G203" s="193" t="str">
        <f>IF(ISNUMBER(E203),IF(F203="","No target",IF(IFERROR(INDEX(BD_KPIs!$I$2:$I$1300,MATCH(YEAR(DATE(YEAR(RPT_MONTH),MONTH(RPT_MONTH)-1,1))*100+MONTH(DATE(YEAR(RPT_MONTH),MONTH(RPT_MONTH)-1,1))&amp;"|TVCR|YTD",BD_KPIs!$Q$2:$Q$1300,0)),"")="Sí","On target","Off target")),"No data")</f>
        <v>On target</v>
      </c>
      <c r="H203" s="193" t="str">
        <f>INDEX(_TARGETS!$D$2:$D$17,MATCH("TVCR",_TARGETS!$A$2:$A$17,0))</f>
        <v>eventos / 10^6 km</v>
      </c>
      <c r="I203" s="193" t="str">
        <f>INDEX(_TARGETS!$K$2:$K$17,MATCH("TVCR",_TARGETS!$A$2:$A$17,0))</f>
        <v>OPS (eventos) + Full Control GPS (km) - carga manual en Datos</v>
      </c>
      <c r="J203" s="258">
        <f t="shared" si="4"/>
        <v>46296</v>
      </c>
    </row>
    <row r="204" spans="1:10" ht="13.5" customHeight="1" x14ac:dyDescent="0.3">
      <c r="A204" t="s">
        <v>909</v>
      </c>
      <c r="B204" s="193" t="str">
        <f>YEAR(DATE(YEAR(RPT_MONTH),MONTH(RPT_MONTH)-0,1))&amp;"-"&amp;RIGHT("0"&amp;MONTH(DATE(YEAR(RPT_MONTH),MONTH(RPT_MONTH)-0,1)),2)</f>
        <v>2026-10</v>
      </c>
      <c r="C204" s="258">
        <f>DATE(YEAR(RPT_MONTH),MONTH(RPT_MONTH)-0,1)</f>
        <v>46296</v>
      </c>
      <c r="D204" t="s">
        <v>601</v>
      </c>
      <c r="E204" s="193" t="str">
        <f>IFERROR(INDEX(BD_KPIs!$F$2:$F$1300,MATCH(YEAR(DATE(YEAR(RPT_MONTH),MONTH(RPT_MONTH)-0,1))*100+MONTH(DATE(YEAR(RPT_MONTH),MONTH(RPT_MONTH)-0,1))&amp;"|TVCR|YTD",BD_KPIs!$Q$2:$Q$1300,0)),"")</f>
        <v/>
      </c>
      <c r="F204" s="250">
        <f>IFERROR(INDEX(BD_KPIs!$G$2:$G$1300,MATCH(YEAR(DATE(YEAR(RPT_MONTH),MONTH(RPT_MONTH)-0,1))*100+MONTH(DATE(YEAR(RPT_MONTH),MONTH(RPT_MONTH)-0,1))&amp;"|TVCR|YTD",BD_KPIs!$Q$2:$Q$1300,0)),"")</f>
        <v>0.79</v>
      </c>
      <c r="G204" s="193" t="str">
        <f>IF(ISNUMBER(E204),IF(F204="","No target",IF(IFERROR(INDEX(BD_KPIs!$I$2:$I$1300,MATCH(YEAR(DATE(YEAR(RPT_MONTH),MONTH(RPT_MONTH)-0,1))*100+MONTH(DATE(YEAR(RPT_MONTH),MONTH(RPT_MONTH)-0,1))&amp;"|TVCR|YTD",BD_KPIs!$Q$2:$Q$1300,0)),"")="Sí","On target","Off target")),"No data")</f>
        <v>No data</v>
      </c>
      <c r="H204" s="193" t="str">
        <f>INDEX(_TARGETS!$D$2:$D$17,MATCH("TVCR",_TARGETS!$A$2:$A$17,0))</f>
        <v>eventos / 10^6 km</v>
      </c>
      <c r="I204" s="193" t="str">
        <f>INDEX(_TARGETS!$K$2:$K$17,MATCH("TVCR",_TARGETS!$A$2:$A$17,0))</f>
        <v>OPS (eventos) + Full Control GPS (km) - carga manual en Datos</v>
      </c>
      <c r="J204" s="258">
        <f t="shared" si="4"/>
        <v>46296</v>
      </c>
    </row>
    <row r="205" spans="1:10" ht="13.5" customHeight="1" x14ac:dyDescent="0.3">
      <c r="A205" t="s">
        <v>909</v>
      </c>
      <c r="B205" s="193" t="str">
        <f>YEAR(DATE(YEAR(RPT_MONTH),MONTH(RPT_MONTH)-11,1))&amp;"-"&amp;RIGHT("0"&amp;MONTH(DATE(YEAR(RPT_MONTH),MONTH(RPT_MONTH)-11,1)),2)</f>
        <v>2025-11</v>
      </c>
      <c r="C205" s="258">
        <f>DATE(YEAR(RPT_MONTH),MONTH(RPT_MONTH)-11,1)</f>
        <v>45962</v>
      </c>
      <c r="D205" t="s">
        <v>904</v>
      </c>
      <c r="E205" s="193" t="str">
        <f>IFERROR(INDEX(BD_KPIs!$F$2:$F$1300,MATCH(YEAR(DATE(YEAR(RPT_MONTH),MONTH(RPT_MONTH)-11,1))*100+MONTH(DATE(YEAR(RPT_MONTH),MONTH(RPT_MONTH)-11,1))&amp;"|TVCR|Cumulative",BD_KPIs!$Q$2:$Q$1300,0)),"")</f>
        <v/>
      </c>
      <c r="F205" s="193" t="str">
        <f>IFERROR(INDEX(BD_KPIs!$G$2:$G$1300,MATCH(YEAR(DATE(YEAR(RPT_MONTH),MONTH(RPT_MONTH)-11,1))*100+MONTH(DATE(YEAR(RPT_MONTH),MONTH(RPT_MONTH)-11,1))&amp;"|TVCR|Cumulative",BD_KPIs!$Q$2:$Q$1300,0)),"")</f>
        <v/>
      </c>
      <c r="G205" s="193" t="str">
        <f>IF(ISNUMBER(E205),IF(F205="","No target",IF(IFERROR(INDEX(BD_KPIs!$I$2:$I$1300,MATCH(YEAR(DATE(YEAR(RPT_MONTH),MONTH(RPT_MONTH)-11,1))*100+MONTH(DATE(YEAR(RPT_MONTH),MONTH(RPT_MONTH)-11,1))&amp;"|TVCR|Cumulative",BD_KPIs!$Q$2:$Q$1300,0)),"")="Sí","On target","Off target")),"No data")</f>
        <v>No data</v>
      </c>
      <c r="H205" s="193" t="str">
        <f>INDEX(_TARGETS!$D$2:$D$17,MATCH("TVCR",_TARGETS!$A$2:$A$17,0))</f>
        <v>eventos / 10^6 km</v>
      </c>
      <c r="I205" s="193" t="str">
        <f>INDEX(_TARGETS!$K$2:$K$17,MATCH("TVCR",_TARGETS!$A$2:$A$17,0))</f>
        <v>OPS (eventos) + Full Control GPS (km) - carga manual en Datos</v>
      </c>
      <c r="J205" s="258">
        <f t="shared" si="4"/>
        <v>46296</v>
      </c>
    </row>
    <row r="206" spans="1:10" ht="13.5" customHeight="1" x14ac:dyDescent="0.3">
      <c r="A206" t="s">
        <v>909</v>
      </c>
      <c r="B206" s="193" t="str">
        <f>YEAR(DATE(YEAR(RPT_MONTH),MONTH(RPT_MONTH)-10,1))&amp;"-"&amp;RIGHT("0"&amp;MONTH(DATE(YEAR(RPT_MONTH),MONTH(RPT_MONTH)-10,1)),2)</f>
        <v>2025-12</v>
      </c>
      <c r="C206" s="258">
        <f>DATE(YEAR(RPT_MONTH),MONTH(RPT_MONTH)-10,1)</f>
        <v>45992</v>
      </c>
      <c r="D206" t="s">
        <v>904</v>
      </c>
      <c r="E206" s="193" t="str">
        <f>IFERROR(INDEX(BD_KPIs!$F$2:$F$1300,MATCH(YEAR(DATE(YEAR(RPT_MONTH),MONTH(RPT_MONTH)-10,1))*100+MONTH(DATE(YEAR(RPT_MONTH),MONTH(RPT_MONTH)-10,1))&amp;"|TVCR|Cumulative",BD_KPIs!$Q$2:$Q$1300,0)),"")</f>
        <v/>
      </c>
      <c r="F206" s="193" t="str">
        <f>IFERROR(INDEX(BD_KPIs!$G$2:$G$1300,MATCH(YEAR(DATE(YEAR(RPT_MONTH),MONTH(RPT_MONTH)-10,1))*100+MONTH(DATE(YEAR(RPT_MONTH),MONTH(RPT_MONTH)-10,1))&amp;"|TVCR|Cumulative",BD_KPIs!$Q$2:$Q$1300,0)),"")</f>
        <v/>
      </c>
      <c r="G206" s="193" t="str">
        <f>IF(ISNUMBER(E206),IF(F206="","No target",IF(IFERROR(INDEX(BD_KPIs!$I$2:$I$1300,MATCH(YEAR(DATE(YEAR(RPT_MONTH),MONTH(RPT_MONTH)-10,1))*100+MONTH(DATE(YEAR(RPT_MONTH),MONTH(RPT_MONTH)-10,1))&amp;"|TVCR|Cumulative",BD_KPIs!$Q$2:$Q$1300,0)),"")="Sí","On target","Off target")),"No data")</f>
        <v>No data</v>
      </c>
      <c r="H206" s="193" t="str">
        <f>INDEX(_TARGETS!$D$2:$D$17,MATCH("TVCR",_TARGETS!$A$2:$A$17,0))</f>
        <v>eventos / 10^6 km</v>
      </c>
      <c r="I206" s="193" t="str">
        <f>INDEX(_TARGETS!$K$2:$K$17,MATCH("TVCR",_TARGETS!$A$2:$A$17,0))</f>
        <v>OPS (eventos) + Full Control GPS (km) - carga manual en Datos</v>
      </c>
      <c r="J206" s="258">
        <f t="shared" si="4"/>
        <v>46296</v>
      </c>
    </row>
    <row r="207" spans="1:10" ht="13.5" customHeight="1" x14ac:dyDescent="0.3">
      <c r="A207" t="s">
        <v>909</v>
      </c>
      <c r="B207" s="193" t="str">
        <f>YEAR(DATE(YEAR(RPT_MONTH),MONTH(RPT_MONTH)-9,1))&amp;"-"&amp;RIGHT("0"&amp;MONTH(DATE(YEAR(RPT_MONTH),MONTH(RPT_MONTH)-9,1)),2)</f>
        <v>2026-01</v>
      </c>
      <c r="C207" s="258">
        <f>DATE(YEAR(RPT_MONTH),MONTH(RPT_MONTH)-9,1)</f>
        <v>46023</v>
      </c>
      <c r="D207" t="s">
        <v>904</v>
      </c>
      <c r="E207" s="193" t="str">
        <f>IFERROR(INDEX(BD_KPIs!$F$2:$F$1300,MATCH(YEAR(DATE(YEAR(RPT_MONTH),MONTH(RPT_MONTH)-9,1))*100+MONTH(DATE(YEAR(RPT_MONTH),MONTH(RPT_MONTH)-9,1))&amp;"|TVCR|Cumulative",BD_KPIs!$Q$2:$Q$1300,0)),"")</f>
        <v/>
      </c>
      <c r="F207" s="193" t="str">
        <f>IFERROR(INDEX(BD_KPIs!$G$2:$G$1300,MATCH(YEAR(DATE(YEAR(RPT_MONTH),MONTH(RPT_MONTH)-9,1))*100+MONTH(DATE(YEAR(RPT_MONTH),MONTH(RPT_MONTH)-9,1))&amp;"|TVCR|Cumulative",BD_KPIs!$Q$2:$Q$1300,0)),"")</f>
        <v/>
      </c>
      <c r="G207" s="193" t="str">
        <f>IF(ISNUMBER(E207),IF(F207="","No target",IF(IFERROR(INDEX(BD_KPIs!$I$2:$I$1300,MATCH(YEAR(DATE(YEAR(RPT_MONTH),MONTH(RPT_MONTH)-9,1))*100+MONTH(DATE(YEAR(RPT_MONTH),MONTH(RPT_MONTH)-9,1))&amp;"|TVCR|Cumulative",BD_KPIs!$Q$2:$Q$1300,0)),"")="Sí","On target","Off target")),"No data")</f>
        <v>No data</v>
      </c>
      <c r="H207" s="193" t="str">
        <f>INDEX(_TARGETS!$D$2:$D$17,MATCH("TVCR",_TARGETS!$A$2:$A$17,0))</f>
        <v>eventos / 10^6 km</v>
      </c>
      <c r="I207" s="193" t="str">
        <f>INDEX(_TARGETS!$K$2:$K$17,MATCH("TVCR",_TARGETS!$A$2:$A$17,0))</f>
        <v>OPS (eventos) + Full Control GPS (km) - carga manual en Datos</v>
      </c>
      <c r="J207" s="258">
        <f t="shared" si="4"/>
        <v>46296</v>
      </c>
    </row>
    <row r="208" spans="1:10" ht="13.5" customHeight="1" x14ac:dyDescent="0.3">
      <c r="A208" t="s">
        <v>909</v>
      </c>
      <c r="B208" s="193" t="str">
        <f>YEAR(DATE(YEAR(RPT_MONTH),MONTH(RPT_MONTH)-8,1))&amp;"-"&amp;RIGHT("0"&amp;MONTH(DATE(YEAR(RPT_MONTH),MONTH(RPT_MONTH)-8,1)),2)</f>
        <v>2026-02</v>
      </c>
      <c r="C208" s="258">
        <f>DATE(YEAR(RPT_MONTH),MONTH(RPT_MONTH)-8,1)</f>
        <v>46054</v>
      </c>
      <c r="D208" t="s">
        <v>904</v>
      </c>
      <c r="E208" s="193" t="str">
        <f>IFERROR(INDEX(BD_KPIs!$F$2:$F$1300,MATCH(YEAR(DATE(YEAR(RPT_MONTH),MONTH(RPT_MONTH)-8,1))*100+MONTH(DATE(YEAR(RPT_MONTH),MONTH(RPT_MONTH)-8,1))&amp;"|TVCR|Cumulative",BD_KPIs!$Q$2:$Q$1300,0)),"")</f>
        <v/>
      </c>
      <c r="F208" s="193" t="str">
        <f>IFERROR(INDEX(BD_KPIs!$G$2:$G$1300,MATCH(YEAR(DATE(YEAR(RPT_MONTH),MONTH(RPT_MONTH)-8,1))*100+MONTH(DATE(YEAR(RPT_MONTH),MONTH(RPT_MONTH)-8,1))&amp;"|TVCR|Cumulative",BD_KPIs!$Q$2:$Q$1300,0)),"")</f>
        <v/>
      </c>
      <c r="G208" s="193" t="str">
        <f>IF(ISNUMBER(E208),IF(F208="","No target",IF(IFERROR(INDEX(BD_KPIs!$I$2:$I$1300,MATCH(YEAR(DATE(YEAR(RPT_MONTH),MONTH(RPT_MONTH)-8,1))*100+MONTH(DATE(YEAR(RPT_MONTH),MONTH(RPT_MONTH)-8,1))&amp;"|TVCR|Cumulative",BD_KPIs!$Q$2:$Q$1300,0)),"")="Sí","On target","Off target")),"No data")</f>
        <v>No data</v>
      </c>
      <c r="H208" s="193" t="str">
        <f>INDEX(_TARGETS!$D$2:$D$17,MATCH("TVCR",_TARGETS!$A$2:$A$17,0))</f>
        <v>eventos / 10^6 km</v>
      </c>
      <c r="I208" s="193" t="str">
        <f>INDEX(_TARGETS!$K$2:$K$17,MATCH("TVCR",_TARGETS!$A$2:$A$17,0))</f>
        <v>OPS (eventos) + Full Control GPS (km) - carga manual en Datos</v>
      </c>
      <c r="J208" s="258">
        <f t="shared" si="4"/>
        <v>46296</v>
      </c>
    </row>
    <row r="209" spans="1:10" ht="13.5" customHeight="1" x14ac:dyDescent="0.3">
      <c r="A209" t="s">
        <v>909</v>
      </c>
      <c r="B209" s="193" t="str">
        <f>YEAR(DATE(YEAR(RPT_MONTH),MONTH(RPT_MONTH)-7,1))&amp;"-"&amp;RIGHT("0"&amp;MONTH(DATE(YEAR(RPT_MONTH),MONTH(RPT_MONTH)-7,1)),2)</f>
        <v>2026-03</v>
      </c>
      <c r="C209" s="258">
        <f>DATE(YEAR(RPT_MONTH),MONTH(RPT_MONTH)-7,1)</f>
        <v>46082</v>
      </c>
      <c r="D209" t="s">
        <v>904</v>
      </c>
      <c r="E209" s="193" t="str">
        <f>IFERROR(INDEX(BD_KPIs!$F$2:$F$1300,MATCH(YEAR(DATE(YEAR(RPT_MONTH),MONTH(RPT_MONTH)-7,1))*100+MONTH(DATE(YEAR(RPT_MONTH),MONTH(RPT_MONTH)-7,1))&amp;"|TVCR|Cumulative",BD_KPIs!$Q$2:$Q$1300,0)),"")</f>
        <v/>
      </c>
      <c r="F209" s="193" t="str">
        <f>IFERROR(INDEX(BD_KPIs!$G$2:$G$1300,MATCH(YEAR(DATE(YEAR(RPT_MONTH),MONTH(RPT_MONTH)-7,1))*100+MONTH(DATE(YEAR(RPT_MONTH),MONTH(RPT_MONTH)-7,1))&amp;"|TVCR|Cumulative",BD_KPIs!$Q$2:$Q$1300,0)),"")</f>
        <v/>
      </c>
      <c r="G209" s="193" t="str">
        <f>IF(ISNUMBER(E209),IF(F209="","No target",IF(IFERROR(INDEX(BD_KPIs!$I$2:$I$1300,MATCH(YEAR(DATE(YEAR(RPT_MONTH),MONTH(RPT_MONTH)-7,1))*100+MONTH(DATE(YEAR(RPT_MONTH),MONTH(RPT_MONTH)-7,1))&amp;"|TVCR|Cumulative",BD_KPIs!$Q$2:$Q$1300,0)),"")="Sí","On target","Off target")),"No data")</f>
        <v>No data</v>
      </c>
      <c r="H209" s="193" t="str">
        <f>INDEX(_TARGETS!$D$2:$D$17,MATCH("TVCR",_TARGETS!$A$2:$A$17,0))</f>
        <v>eventos / 10^6 km</v>
      </c>
      <c r="I209" s="193" t="str">
        <f>INDEX(_TARGETS!$K$2:$K$17,MATCH("TVCR",_TARGETS!$A$2:$A$17,0))</f>
        <v>OPS (eventos) + Full Control GPS (km) - carga manual en Datos</v>
      </c>
      <c r="J209" s="258">
        <f t="shared" si="4"/>
        <v>46296</v>
      </c>
    </row>
    <row r="210" spans="1:10" ht="13.5" customHeight="1" x14ac:dyDescent="0.3">
      <c r="A210" t="s">
        <v>909</v>
      </c>
      <c r="B210" s="193" t="str">
        <f>YEAR(DATE(YEAR(RPT_MONTH),MONTH(RPT_MONTH)-6,1))&amp;"-"&amp;RIGHT("0"&amp;MONTH(DATE(YEAR(RPT_MONTH),MONTH(RPT_MONTH)-6,1)),2)</f>
        <v>2026-04</v>
      </c>
      <c r="C210" s="258">
        <f>DATE(YEAR(RPT_MONTH),MONTH(RPT_MONTH)-6,1)</f>
        <v>46113</v>
      </c>
      <c r="D210" t="s">
        <v>904</v>
      </c>
      <c r="E210" s="193" t="str">
        <f>IFERROR(INDEX(BD_KPIs!$F$2:$F$1300,MATCH(YEAR(DATE(YEAR(RPT_MONTH),MONTH(RPT_MONTH)-6,1))*100+MONTH(DATE(YEAR(RPT_MONTH),MONTH(RPT_MONTH)-6,1))&amp;"|TVCR|Cumulative",BD_KPIs!$Q$2:$Q$1300,0)),"")</f>
        <v/>
      </c>
      <c r="F210" s="193" t="str">
        <f>IFERROR(INDEX(BD_KPIs!$G$2:$G$1300,MATCH(YEAR(DATE(YEAR(RPT_MONTH),MONTH(RPT_MONTH)-6,1))*100+MONTH(DATE(YEAR(RPT_MONTH),MONTH(RPT_MONTH)-6,1))&amp;"|TVCR|Cumulative",BD_KPIs!$Q$2:$Q$1300,0)),"")</f>
        <v/>
      </c>
      <c r="G210" s="193" t="str">
        <f>IF(ISNUMBER(E210),IF(F210="","No target",IF(IFERROR(INDEX(BD_KPIs!$I$2:$I$1300,MATCH(YEAR(DATE(YEAR(RPT_MONTH),MONTH(RPT_MONTH)-6,1))*100+MONTH(DATE(YEAR(RPT_MONTH),MONTH(RPT_MONTH)-6,1))&amp;"|TVCR|Cumulative",BD_KPIs!$Q$2:$Q$1300,0)),"")="Sí","On target","Off target")),"No data")</f>
        <v>No data</v>
      </c>
      <c r="H210" s="193" t="str">
        <f>INDEX(_TARGETS!$D$2:$D$17,MATCH("TVCR",_TARGETS!$A$2:$A$17,0))</f>
        <v>eventos / 10^6 km</v>
      </c>
      <c r="I210" s="193" t="str">
        <f>INDEX(_TARGETS!$K$2:$K$17,MATCH("TVCR",_TARGETS!$A$2:$A$17,0))</f>
        <v>OPS (eventos) + Full Control GPS (km) - carga manual en Datos</v>
      </c>
      <c r="J210" s="258">
        <f t="shared" si="4"/>
        <v>46296</v>
      </c>
    </row>
    <row r="211" spans="1:10" ht="13.5" customHeight="1" x14ac:dyDescent="0.3">
      <c r="A211" t="s">
        <v>909</v>
      </c>
      <c r="B211" s="193" t="str">
        <f>YEAR(DATE(YEAR(RPT_MONTH),MONTH(RPT_MONTH)-5,1))&amp;"-"&amp;RIGHT("0"&amp;MONTH(DATE(YEAR(RPT_MONTH),MONTH(RPT_MONTH)-5,1)),2)</f>
        <v>2026-05</v>
      </c>
      <c r="C211" s="258">
        <f>DATE(YEAR(RPT_MONTH),MONTH(RPT_MONTH)-5,1)</f>
        <v>46143</v>
      </c>
      <c r="D211" t="s">
        <v>904</v>
      </c>
      <c r="E211" s="193" t="str">
        <f>IFERROR(INDEX(BD_KPIs!$F$2:$F$1300,MATCH(YEAR(DATE(YEAR(RPT_MONTH),MONTH(RPT_MONTH)-5,1))*100+MONTH(DATE(YEAR(RPT_MONTH),MONTH(RPT_MONTH)-5,1))&amp;"|TVCR|Cumulative",BD_KPIs!$Q$2:$Q$1300,0)),"")</f>
        <v/>
      </c>
      <c r="F211" s="193" t="str">
        <f>IFERROR(INDEX(BD_KPIs!$G$2:$G$1300,MATCH(YEAR(DATE(YEAR(RPT_MONTH),MONTH(RPT_MONTH)-5,1))*100+MONTH(DATE(YEAR(RPT_MONTH),MONTH(RPT_MONTH)-5,1))&amp;"|TVCR|Cumulative",BD_KPIs!$Q$2:$Q$1300,0)),"")</f>
        <v/>
      </c>
      <c r="G211" s="193" t="str">
        <f>IF(ISNUMBER(E211),IF(F211="","No target",IF(IFERROR(INDEX(BD_KPIs!$I$2:$I$1300,MATCH(YEAR(DATE(YEAR(RPT_MONTH),MONTH(RPT_MONTH)-5,1))*100+MONTH(DATE(YEAR(RPT_MONTH),MONTH(RPT_MONTH)-5,1))&amp;"|TVCR|Cumulative",BD_KPIs!$Q$2:$Q$1300,0)),"")="Sí","On target","Off target")),"No data")</f>
        <v>No data</v>
      </c>
      <c r="H211" s="193" t="str">
        <f>INDEX(_TARGETS!$D$2:$D$17,MATCH("TVCR",_TARGETS!$A$2:$A$17,0))</f>
        <v>eventos / 10^6 km</v>
      </c>
      <c r="I211" s="193" t="str">
        <f>INDEX(_TARGETS!$K$2:$K$17,MATCH("TVCR",_TARGETS!$A$2:$A$17,0))</f>
        <v>OPS (eventos) + Full Control GPS (km) - carga manual en Datos</v>
      </c>
      <c r="J211" s="258">
        <f t="shared" si="4"/>
        <v>46296</v>
      </c>
    </row>
    <row r="212" spans="1:10" ht="13.5" customHeight="1" x14ac:dyDescent="0.3">
      <c r="A212" t="s">
        <v>909</v>
      </c>
      <c r="B212" s="193" t="str">
        <f>YEAR(DATE(YEAR(RPT_MONTH),MONTH(RPT_MONTH)-4,1))&amp;"-"&amp;RIGHT("0"&amp;MONTH(DATE(YEAR(RPT_MONTH),MONTH(RPT_MONTH)-4,1)),2)</f>
        <v>2026-06</v>
      </c>
      <c r="C212" s="258">
        <f>DATE(YEAR(RPT_MONTH),MONTH(RPT_MONTH)-4,1)</f>
        <v>46174</v>
      </c>
      <c r="D212" t="s">
        <v>904</v>
      </c>
      <c r="E212" s="193" t="str">
        <f>IFERROR(INDEX(BD_KPIs!$F$2:$F$1300,MATCH(YEAR(DATE(YEAR(RPT_MONTH),MONTH(RPT_MONTH)-4,1))*100+MONTH(DATE(YEAR(RPT_MONTH),MONTH(RPT_MONTH)-4,1))&amp;"|TVCR|Cumulative",BD_KPIs!$Q$2:$Q$1300,0)),"")</f>
        <v/>
      </c>
      <c r="F212" s="193" t="str">
        <f>IFERROR(INDEX(BD_KPIs!$G$2:$G$1300,MATCH(YEAR(DATE(YEAR(RPT_MONTH),MONTH(RPT_MONTH)-4,1))*100+MONTH(DATE(YEAR(RPT_MONTH),MONTH(RPT_MONTH)-4,1))&amp;"|TVCR|Cumulative",BD_KPIs!$Q$2:$Q$1300,0)),"")</f>
        <v/>
      </c>
      <c r="G212" s="193" t="str">
        <f>IF(ISNUMBER(E212),IF(F212="","No target",IF(IFERROR(INDEX(BD_KPIs!$I$2:$I$1300,MATCH(YEAR(DATE(YEAR(RPT_MONTH),MONTH(RPT_MONTH)-4,1))*100+MONTH(DATE(YEAR(RPT_MONTH),MONTH(RPT_MONTH)-4,1))&amp;"|TVCR|Cumulative",BD_KPIs!$Q$2:$Q$1300,0)),"")="Sí","On target","Off target")),"No data")</f>
        <v>No data</v>
      </c>
      <c r="H212" s="193" t="str">
        <f>INDEX(_TARGETS!$D$2:$D$17,MATCH("TVCR",_TARGETS!$A$2:$A$17,0))</f>
        <v>eventos / 10^6 km</v>
      </c>
      <c r="I212" s="193" t="str">
        <f>INDEX(_TARGETS!$K$2:$K$17,MATCH("TVCR",_TARGETS!$A$2:$A$17,0))</f>
        <v>OPS (eventos) + Full Control GPS (km) - carga manual en Datos</v>
      </c>
      <c r="J212" s="258">
        <f t="shared" si="4"/>
        <v>46296</v>
      </c>
    </row>
    <row r="213" spans="1:10" ht="13.5" customHeight="1" x14ac:dyDescent="0.3">
      <c r="A213" t="s">
        <v>909</v>
      </c>
      <c r="B213" s="193" t="str">
        <f>YEAR(DATE(YEAR(RPT_MONTH),MONTH(RPT_MONTH)-3,1))&amp;"-"&amp;RIGHT("0"&amp;MONTH(DATE(YEAR(RPT_MONTH),MONTH(RPT_MONTH)-3,1)),2)</f>
        <v>2026-07</v>
      </c>
      <c r="C213" s="258">
        <f>DATE(YEAR(RPT_MONTH),MONTH(RPT_MONTH)-3,1)</f>
        <v>46204</v>
      </c>
      <c r="D213" t="s">
        <v>904</v>
      </c>
      <c r="E213" s="193" t="str">
        <f>IFERROR(INDEX(BD_KPIs!$F$2:$F$1300,MATCH(YEAR(DATE(YEAR(RPT_MONTH),MONTH(RPT_MONTH)-3,1))*100+MONTH(DATE(YEAR(RPT_MONTH),MONTH(RPT_MONTH)-3,1))&amp;"|TVCR|Cumulative",BD_KPIs!$Q$2:$Q$1300,0)),"")</f>
        <v/>
      </c>
      <c r="F213" s="193" t="str">
        <f>IFERROR(INDEX(BD_KPIs!$G$2:$G$1300,MATCH(YEAR(DATE(YEAR(RPT_MONTH),MONTH(RPT_MONTH)-3,1))*100+MONTH(DATE(YEAR(RPT_MONTH),MONTH(RPT_MONTH)-3,1))&amp;"|TVCR|Cumulative",BD_KPIs!$Q$2:$Q$1300,0)),"")</f>
        <v/>
      </c>
      <c r="G213" s="193" t="str">
        <f>IF(ISNUMBER(E213),IF(F213="","No target",IF(IFERROR(INDEX(BD_KPIs!$I$2:$I$1300,MATCH(YEAR(DATE(YEAR(RPT_MONTH),MONTH(RPT_MONTH)-3,1))*100+MONTH(DATE(YEAR(RPT_MONTH),MONTH(RPT_MONTH)-3,1))&amp;"|TVCR|Cumulative",BD_KPIs!$Q$2:$Q$1300,0)),"")="Sí","On target","Off target")),"No data")</f>
        <v>No data</v>
      </c>
      <c r="H213" s="193" t="str">
        <f>INDEX(_TARGETS!$D$2:$D$17,MATCH("TVCR",_TARGETS!$A$2:$A$17,0))</f>
        <v>eventos / 10^6 km</v>
      </c>
      <c r="I213" s="193" t="str">
        <f>INDEX(_TARGETS!$K$2:$K$17,MATCH("TVCR",_TARGETS!$A$2:$A$17,0))</f>
        <v>OPS (eventos) + Full Control GPS (km) - carga manual en Datos</v>
      </c>
      <c r="J213" s="258">
        <f t="shared" si="4"/>
        <v>46296</v>
      </c>
    </row>
    <row r="214" spans="1:10" ht="13.5" customHeight="1" x14ac:dyDescent="0.3">
      <c r="A214" t="s">
        <v>909</v>
      </c>
      <c r="B214" s="193" t="str">
        <f>YEAR(DATE(YEAR(RPT_MONTH),MONTH(RPT_MONTH)-2,1))&amp;"-"&amp;RIGHT("0"&amp;MONTH(DATE(YEAR(RPT_MONTH),MONTH(RPT_MONTH)-2,1)),2)</f>
        <v>2026-08</v>
      </c>
      <c r="C214" s="258">
        <f>DATE(YEAR(RPT_MONTH),MONTH(RPT_MONTH)-2,1)</f>
        <v>46235</v>
      </c>
      <c r="D214" t="s">
        <v>904</v>
      </c>
      <c r="E214" s="193">
        <f>IFERROR(INDEX(BD_KPIs!$F$2:$F$1300,MATCH(YEAR(DATE(YEAR(RPT_MONTH),MONTH(RPT_MONTH)-2,1))*100+MONTH(DATE(YEAR(RPT_MONTH),MONTH(RPT_MONTH)-2,1))&amp;"|TVCR|Cumulative",BD_KPIs!$Q$2:$Q$1300,0)),"")</f>
        <v>0</v>
      </c>
      <c r="F214" s="193">
        <f>IFERROR(INDEX(BD_KPIs!$G$2:$G$1300,MATCH(YEAR(DATE(YEAR(RPT_MONTH),MONTH(RPT_MONTH)-2,1))*100+MONTH(DATE(YEAR(RPT_MONTH),MONTH(RPT_MONTH)-2,1))&amp;"|TVCR|Cumulative",BD_KPIs!$Q$2:$Q$1300,0)),"")</f>
        <v>0.79</v>
      </c>
      <c r="G214" s="193" t="str">
        <f>IF(ISNUMBER(E214),IF(F214="","No target",IF(IFERROR(INDEX(BD_KPIs!$I$2:$I$1300,MATCH(YEAR(DATE(YEAR(RPT_MONTH),MONTH(RPT_MONTH)-2,1))*100+MONTH(DATE(YEAR(RPT_MONTH),MONTH(RPT_MONTH)-2,1))&amp;"|TVCR|Cumulative",BD_KPIs!$Q$2:$Q$1300,0)),"")="Sí","On target","Off target")),"No data")</f>
        <v>On target</v>
      </c>
      <c r="H214" s="193" t="str">
        <f>INDEX(_TARGETS!$D$2:$D$17,MATCH("TVCR",_TARGETS!$A$2:$A$17,0))</f>
        <v>eventos / 10^6 km</v>
      </c>
      <c r="I214" s="193" t="str">
        <f>INDEX(_TARGETS!$K$2:$K$17,MATCH("TVCR",_TARGETS!$A$2:$A$17,0))</f>
        <v>OPS (eventos) + Full Control GPS (km) - carga manual en Datos</v>
      </c>
      <c r="J214" s="258">
        <f t="shared" si="4"/>
        <v>46296</v>
      </c>
    </row>
    <row r="215" spans="1:10" ht="13.5" customHeight="1" x14ac:dyDescent="0.3">
      <c r="A215" t="s">
        <v>909</v>
      </c>
      <c r="B215" s="193" t="str">
        <f>YEAR(DATE(YEAR(RPT_MONTH),MONTH(RPT_MONTH)-1,1))&amp;"-"&amp;RIGHT("0"&amp;MONTH(DATE(YEAR(RPT_MONTH),MONTH(RPT_MONTH)-1,1)),2)</f>
        <v>2026-09</v>
      </c>
      <c r="C215" s="258">
        <f>DATE(YEAR(RPT_MONTH),MONTH(RPT_MONTH)-1,1)</f>
        <v>46266</v>
      </c>
      <c r="D215" t="s">
        <v>904</v>
      </c>
      <c r="E215" s="193">
        <f>IFERROR(INDEX(BD_KPIs!$F$2:$F$1300,MATCH(YEAR(DATE(YEAR(RPT_MONTH),MONTH(RPT_MONTH)-1,1))*100+MONTH(DATE(YEAR(RPT_MONTH),MONTH(RPT_MONTH)-1,1))&amp;"|TVCR|Cumulative",BD_KPIs!$Q$2:$Q$1300,0)),"")</f>
        <v>0</v>
      </c>
      <c r="F215" s="250">
        <f>IFERROR(INDEX(BD_KPIs!$G$2:$G$1300,MATCH(YEAR(DATE(YEAR(RPT_MONTH),MONTH(RPT_MONTH)-1,1))*100+MONTH(DATE(YEAR(RPT_MONTH),MONTH(RPT_MONTH)-1,1))&amp;"|TVCR|Cumulative",BD_KPIs!$Q$2:$Q$1300,0)),"")</f>
        <v>0.79</v>
      </c>
      <c r="G215" s="193" t="str">
        <f>IF(ISNUMBER(E215),IF(F215="","No target",IF(IFERROR(INDEX(BD_KPIs!$I$2:$I$1300,MATCH(YEAR(DATE(YEAR(RPT_MONTH),MONTH(RPT_MONTH)-1,1))*100+MONTH(DATE(YEAR(RPT_MONTH),MONTH(RPT_MONTH)-1,1))&amp;"|TVCR|Cumulative",BD_KPIs!$Q$2:$Q$1300,0)),"")="Sí","On target","Off target")),"No data")</f>
        <v>On target</v>
      </c>
      <c r="H215" s="193" t="str">
        <f>INDEX(_TARGETS!$D$2:$D$17,MATCH("TVCR",_TARGETS!$A$2:$A$17,0))</f>
        <v>eventos / 10^6 km</v>
      </c>
      <c r="I215" s="193" t="str">
        <f>INDEX(_TARGETS!$K$2:$K$17,MATCH("TVCR",_TARGETS!$A$2:$A$17,0))</f>
        <v>OPS (eventos) + Full Control GPS (km) - carga manual en Datos</v>
      </c>
      <c r="J215" s="258">
        <f t="shared" si="4"/>
        <v>46296</v>
      </c>
    </row>
    <row r="216" spans="1:10" ht="13.5" customHeight="1" x14ac:dyDescent="0.3">
      <c r="A216" t="s">
        <v>909</v>
      </c>
      <c r="B216" s="193" t="str">
        <f>YEAR(DATE(YEAR(RPT_MONTH),MONTH(RPT_MONTH)-0,1))&amp;"-"&amp;RIGHT("0"&amp;MONTH(DATE(YEAR(RPT_MONTH),MONTH(RPT_MONTH)-0,1)),2)</f>
        <v>2026-10</v>
      </c>
      <c r="C216" s="258">
        <f>DATE(YEAR(RPT_MONTH),MONTH(RPT_MONTH)-0,1)</f>
        <v>46296</v>
      </c>
      <c r="D216" t="s">
        <v>904</v>
      </c>
      <c r="E216" s="193" t="str">
        <f>IFERROR(INDEX(BD_KPIs!$F$2:$F$1300,MATCH(YEAR(DATE(YEAR(RPT_MONTH),MONTH(RPT_MONTH)-0,1))*100+MONTH(DATE(YEAR(RPT_MONTH),MONTH(RPT_MONTH)-0,1))&amp;"|TVCR|Cumulative",BD_KPIs!$Q$2:$Q$1300,0)),"")</f>
        <v/>
      </c>
      <c r="F216" s="250">
        <f>IFERROR(INDEX(BD_KPIs!$G$2:$G$1300,MATCH(YEAR(DATE(YEAR(RPT_MONTH),MONTH(RPT_MONTH)-0,1))*100+MONTH(DATE(YEAR(RPT_MONTH),MONTH(RPT_MONTH)-0,1))&amp;"|TVCR|Cumulative",BD_KPIs!$Q$2:$Q$1300,0)),"")</f>
        <v>0.79</v>
      </c>
      <c r="G216" s="193" t="str">
        <f>IF(ISNUMBER(E216),IF(F216="","No target",IF(IFERROR(INDEX(BD_KPIs!$I$2:$I$1300,MATCH(YEAR(DATE(YEAR(RPT_MONTH),MONTH(RPT_MONTH)-0,1))*100+MONTH(DATE(YEAR(RPT_MONTH),MONTH(RPT_MONTH)-0,1))&amp;"|TVCR|Cumulative",BD_KPIs!$Q$2:$Q$1300,0)),"")="Sí","On target","Off target")),"No data")</f>
        <v>No data</v>
      </c>
      <c r="H216" s="193" t="str">
        <f>INDEX(_TARGETS!$D$2:$D$17,MATCH("TVCR",_TARGETS!$A$2:$A$17,0))</f>
        <v>eventos / 10^6 km</v>
      </c>
      <c r="I216" s="193" t="str">
        <f>INDEX(_TARGETS!$K$2:$K$17,MATCH("TVCR",_TARGETS!$A$2:$A$17,0))</f>
        <v>OPS (eventos) + Full Control GPS (km) - carga manual en Datos</v>
      </c>
      <c r="J216" s="258">
        <f t="shared" si="4"/>
        <v>46296</v>
      </c>
    </row>
    <row r="217" spans="1:10" ht="13.5" customHeight="1" x14ac:dyDescent="0.3">
      <c r="A217" t="s">
        <v>910</v>
      </c>
      <c r="B217" s="193" t="str">
        <f>YEAR(DATE(YEAR(RPT_MONTH),MONTH(RPT_MONTH)-11,1))&amp;"-"&amp;RIGHT("0"&amp;MONTH(DATE(YEAR(RPT_MONTH),MONTH(RPT_MONTH)-11,1)),2)</f>
        <v>2025-11</v>
      </c>
      <c r="C217" s="258">
        <f>DATE(YEAR(RPT_MONTH),MONTH(RPT_MONTH)-11,1)</f>
        <v>45962</v>
      </c>
      <c r="D217" t="s">
        <v>68</v>
      </c>
      <c r="E217" s="193" t="str">
        <f>IFERROR(INDEX(BD_KPIs!$F$2:$F$1300,MATCH(YEAR(DATE(YEAR(RPT_MONTH),MONTH(RPT_MONTH)-11,1))*100+MONTH(DATE(YEAR(RPT_MONTH),MONTH(RPT_MONTH)-11,1))&amp;"|OBS|Monthly",BD_KPIs!$Q$2:$Q$1300,0)),"")</f>
        <v/>
      </c>
      <c r="F217" s="193" t="str">
        <f>IFERROR(INDEX(BD_KPIs!$G$2:$G$1300,MATCH(YEAR(DATE(YEAR(RPT_MONTH),MONTH(RPT_MONTH)-11,1))*100+MONTH(DATE(YEAR(RPT_MONTH),MONTH(RPT_MONTH)-11,1))&amp;"|OBS|Monthly",BD_KPIs!$Q$2:$Q$1300,0)),"")</f>
        <v/>
      </c>
      <c r="G217" s="193" t="str">
        <f>IF(ISNUMBER(E217),IF(F217="","No target",IF(IFERROR(INDEX(BD_KPIs!$I$2:$I$1300,MATCH(YEAR(DATE(YEAR(RPT_MONTH),MONTH(RPT_MONTH)-11,1))*100+MONTH(DATE(YEAR(RPT_MONTH),MONTH(RPT_MONTH)-11,1))&amp;"|OBS|Monthly",BD_KPIs!$Q$2:$Q$1300,0)),"")="Sí","On target","Off target")),"No data")</f>
        <v>No data</v>
      </c>
      <c r="H217" s="193" t="str">
        <f>INDEX(_TARGETS!$D$2:$D$17,MATCH("OBS",_TARGETS!$A$2:$A$17,0))</f>
        <v>obs / persona</v>
      </c>
      <c r="I217" s="193" t="str">
        <f>INDEX(_TARGETS!$K$2:$K$17,MATCH("OBS",_TARGETS!$A$2:$A$17,0))</f>
        <v>OPS (carga manual en Datos)</v>
      </c>
      <c r="J217" s="258">
        <f t="shared" si="4"/>
        <v>46296</v>
      </c>
    </row>
    <row r="218" spans="1:10" ht="13.5" customHeight="1" x14ac:dyDescent="0.3">
      <c r="A218" t="s">
        <v>910</v>
      </c>
      <c r="B218" s="193" t="str">
        <f>YEAR(DATE(YEAR(RPT_MONTH),MONTH(RPT_MONTH)-10,1))&amp;"-"&amp;RIGHT("0"&amp;MONTH(DATE(YEAR(RPT_MONTH),MONTH(RPT_MONTH)-10,1)),2)</f>
        <v>2025-12</v>
      </c>
      <c r="C218" s="258">
        <f>DATE(YEAR(RPT_MONTH),MONTH(RPT_MONTH)-10,1)</f>
        <v>45992</v>
      </c>
      <c r="D218" t="s">
        <v>68</v>
      </c>
      <c r="E218" s="193" t="str">
        <f>IFERROR(INDEX(BD_KPIs!$F$2:$F$1300,MATCH(YEAR(DATE(YEAR(RPT_MONTH),MONTH(RPT_MONTH)-10,1))*100+MONTH(DATE(YEAR(RPT_MONTH),MONTH(RPT_MONTH)-10,1))&amp;"|OBS|Monthly",BD_KPIs!$Q$2:$Q$1300,0)),"")</f>
        <v/>
      </c>
      <c r="F218" s="193" t="str">
        <f>IFERROR(INDEX(BD_KPIs!$G$2:$G$1300,MATCH(YEAR(DATE(YEAR(RPT_MONTH),MONTH(RPT_MONTH)-10,1))*100+MONTH(DATE(YEAR(RPT_MONTH),MONTH(RPT_MONTH)-10,1))&amp;"|OBS|Monthly",BD_KPIs!$Q$2:$Q$1300,0)),"")</f>
        <v/>
      </c>
      <c r="G218" s="193" t="str">
        <f>IF(ISNUMBER(E218),IF(F218="","No target",IF(IFERROR(INDEX(BD_KPIs!$I$2:$I$1300,MATCH(YEAR(DATE(YEAR(RPT_MONTH),MONTH(RPT_MONTH)-10,1))*100+MONTH(DATE(YEAR(RPT_MONTH),MONTH(RPT_MONTH)-10,1))&amp;"|OBS|Monthly",BD_KPIs!$Q$2:$Q$1300,0)),"")="Sí","On target","Off target")),"No data")</f>
        <v>No data</v>
      </c>
      <c r="H218" s="193" t="str">
        <f>INDEX(_TARGETS!$D$2:$D$17,MATCH("OBS",_TARGETS!$A$2:$A$17,0))</f>
        <v>obs / persona</v>
      </c>
      <c r="I218" s="193" t="str">
        <f>INDEX(_TARGETS!$K$2:$K$17,MATCH("OBS",_TARGETS!$A$2:$A$17,0))</f>
        <v>OPS (carga manual en Datos)</v>
      </c>
      <c r="J218" s="258">
        <f t="shared" si="4"/>
        <v>46296</v>
      </c>
    </row>
    <row r="219" spans="1:10" ht="13.5" customHeight="1" x14ac:dyDescent="0.3">
      <c r="A219" t="s">
        <v>910</v>
      </c>
      <c r="B219" s="193" t="str">
        <f>YEAR(DATE(YEAR(RPT_MONTH),MONTH(RPT_MONTH)-9,1))&amp;"-"&amp;RIGHT("0"&amp;MONTH(DATE(YEAR(RPT_MONTH),MONTH(RPT_MONTH)-9,1)),2)</f>
        <v>2026-01</v>
      </c>
      <c r="C219" s="258">
        <f>DATE(YEAR(RPT_MONTH),MONTH(RPT_MONTH)-9,1)</f>
        <v>46023</v>
      </c>
      <c r="D219" t="s">
        <v>68</v>
      </c>
      <c r="E219" s="193" t="str">
        <f>IFERROR(INDEX(BD_KPIs!$F$2:$F$1300,MATCH(YEAR(DATE(YEAR(RPT_MONTH),MONTH(RPT_MONTH)-9,1))*100+MONTH(DATE(YEAR(RPT_MONTH),MONTH(RPT_MONTH)-9,1))&amp;"|OBS|Monthly",BD_KPIs!$Q$2:$Q$1300,0)),"")</f>
        <v/>
      </c>
      <c r="F219" s="193" t="str">
        <f>IFERROR(INDEX(BD_KPIs!$G$2:$G$1300,MATCH(YEAR(DATE(YEAR(RPT_MONTH),MONTH(RPT_MONTH)-9,1))*100+MONTH(DATE(YEAR(RPT_MONTH),MONTH(RPT_MONTH)-9,1))&amp;"|OBS|Monthly",BD_KPIs!$Q$2:$Q$1300,0)),"")</f>
        <v/>
      </c>
      <c r="G219" s="193" t="str">
        <f>IF(ISNUMBER(E219),IF(F219="","No target",IF(IFERROR(INDEX(BD_KPIs!$I$2:$I$1300,MATCH(YEAR(DATE(YEAR(RPT_MONTH),MONTH(RPT_MONTH)-9,1))*100+MONTH(DATE(YEAR(RPT_MONTH),MONTH(RPT_MONTH)-9,1))&amp;"|OBS|Monthly",BD_KPIs!$Q$2:$Q$1300,0)),"")="Sí","On target","Off target")),"No data")</f>
        <v>No data</v>
      </c>
      <c r="H219" s="193" t="str">
        <f>INDEX(_TARGETS!$D$2:$D$17,MATCH("OBS",_TARGETS!$A$2:$A$17,0))</f>
        <v>obs / persona</v>
      </c>
      <c r="I219" s="193" t="str">
        <f>INDEX(_TARGETS!$K$2:$K$17,MATCH("OBS",_TARGETS!$A$2:$A$17,0))</f>
        <v>OPS (carga manual en Datos)</v>
      </c>
      <c r="J219" s="258">
        <f t="shared" si="4"/>
        <v>46296</v>
      </c>
    </row>
    <row r="220" spans="1:10" ht="13.5" customHeight="1" x14ac:dyDescent="0.3">
      <c r="A220" t="s">
        <v>910</v>
      </c>
      <c r="B220" s="193" t="str">
        <f>YEAR(DATE(YEAR(RPT_MONTH),MONTH(RPT_MONTH)-8,1))&amp;"-"&amp;RIGHT("0"&amp;MONTH(DATE(YEAR(RPT_MONTH),MONTH(RPT_MONTH)-8,1)),2)</f>
        <v>2026-02</v>
      </c>
      <c r="C220" s="258">
        <f>DATE(YEAR(RPT_MONTH),MONTH(RPT_MONTH)-8,1)</f>
        <v>46054</v>
      </c>
      <c r="D220" t="s">
        <v>68</v>
      </c>
      <c r="E220" s="193" t="str">
        <f>IFERROR(INDEX(BD_KPIs!$F$2:$F$1300,MATCH(YEAR(DATE(YEAR(RPT_MONTH),MONTH(RPT_MONTH)-8,1))*100+MONTH(DATE(YEAR(RPT_MONTH),MONTH(RPT_MONTH)-8,1))&amp;"|OBS|Monthly",BD_KPIs!$Q$2:$Q$1300,0)),"")</f>
        <v/>
      </c>
      <c r="F220" s="193" t="str">
        <f>IFERROR(INDEX(BD_KPIs!$G$2:$G$1300,MATCH(YEAR(DATE(YEAR(RPT_MONTH),MONTH(RPT_MONTH)-8,1))*100+MONTH(DATE(YEAR(RPT_MONTH),MONTH(RPT_MONTH)-8,1))&amp;"|OBS|Monthly",BD_KPIs!$Q$2:$Q$1300,0)),"")</f>
        <v/>
      </c>
      <c r="G220" s="193" t="str">
        <f>IF(ISNUMBER(E220),IF(F220="","No target",IF(IFERROR(INDEX(BD_KPIs!$I$2:$I$1300,MATCH(YEAR(DATE(YEAR(RPT_MONTH),MONTH(RPT_MONTH)-8,1))*100+MONTH(DATE(YEAR(RPT_MONTH),MONTH(RPT_MONTH)-8,1))&amp;"|OBS|Monthly",BD_KPIs!$Q$2:$Q$1300,0)),"")="Sí","On target","Off target")),"No data")</f>
        <v>No data</v>
      </c>
      <c r="H220" s="193" t="str">
        <f>INDEX(_TARGETS!$D$2:$D$17,MATCH("OBS",_TARGETS!$A$2:$A$17,0))</f>
        <v>obs / persona</v>
      </c>
      <c r="I220" s="193" t="str">
        <f>INDEX(_TARGETS!$K$2:$K$17,MATCH("OBS",_TARGETS!$A$2:$A$17,0))</f>
        <v>OPS (carga manual en Datos)</v>
      </c>
      <c r="J220" s="258">
        <f t="shared" si="4"/>
        <v>46296</v>
      </c>
    </row>
    <row r="221" spans="1:10" ht="13.5" customHeight="1" x14ac:dyDescent="0.3">
      <c r="A221" t="s">
        <v>910</v>
      </c>
      <c r="B221" s="193" t="str">
        <f>YEAR(DATE(YEAR(RPT_MONTH),MONTH(RPT_MONTH)-7,1))&amp;"-"&amp;RIGHT("0"&amp;MONTH(DATE(YEAR(RPT_MONTH),MONTH(RPT_MONTH)-7,1)),2)</f>
        <v>2026-03</v>
      </c>
      <c r="C221" s="258">
        <f>DATE(YEAR(RPT_MONTH),MONTH(RPT_MONTH)-7,1)</f>
        <v>46082</v>
      </c>
      <c r="D221" t="s">
        <v>68</v>
      </c>
      <c r="E221" s="193" t="str">
        <f>IFERROR(INDEX(BD_KPIs!$F$2:$F$1300,MATCH(YEAR(DATE(YEAR(RPT_MONTH),MONTH(RPT_MONTH)-7,1))*100+MONTH(DATE(YEAR(RPT_MONTH),MONTH(RPT_MONTH)-7,1))&amp;"|OBS|Monthly",BD_KPIs!$Q$2:$Q$1300,0)),"")</f>
        <v/>
      </c>
      <c r="F221" s="193" t="str">
        <f>IFERROR(INDEX(BD_KPIs!$G$2:$G$1300,MATCH(YEAR(DATE(YEAR(RPT_MONTH),MONTH(RPT_MONTH)-7,1))*100+MONTH(DATE(YEAR(RPT_MONTH),MONTH(RPT_MONTH)-7,1))&amp;"|OBS|Monthly",BD_KPIs!$Q$2:$Q$1300,0)),"")</f>
        <v/>
      </c>
      <c r="G221" s="193" t="str">
        <f>IF(ISNUMBER(E221),IF(F221="","No target",IF(IFERROR(INDEX(BD_KPIs!$I$2:$I$1300,MATCH(YEAR(DATE(YEAR(RPT_MONTH),MONTH(RPT_MONTH)-7,1))*100+MONTH(DATE(YEAR(RPT_MONTH),MONTH(RPT_MONTH)-7,1))&amp;"|OBS|Monthly",BD_KPIs!$Q$2:$Q$1300,0)),"")="Sí","On target","Off target")),"No data")</f>
        <v>No data</v>
      </c>
      <c r="H221" s="193" t="str">
        <f>INDEX(_TARGETS!$D$2:$D$17,MATCH("OBS",_TARGETS!$A$2:$A$17,0))</f>
        <v>obs / persona</v>
      </c>
      <c r="I221" s="193" t="str">
        <f>INDEX(_TARGETS!$K$2:$K$17,MATCH("OBS",_TARGETS!$A$2:$A$17,0))</f>
        <v>OPS (carga manual en Datos)</v>
      </c>
      <c r="J221" s="258">
        <f t="shared" si="4"/>
        <v>46296</v>
      </c>
    </row>
    <row r="222" spans="1:10" ht="13.5" customHeight="1" x14ac:dyDescent="0.3">
      <c r="A222" t="s">
        <v>910</v>
      </c>
      <c r="B222" s="193" t="str">
        <f>YEAR(DATE(YEAR(RPT_MONTH),MONTH(RPT_MONTH)-6,1))&amp;"-"&amp;RIGHT("0"&amp;MONTH(DATE(YEAR(RPT_MONTH),MONTH(RPT_MONTH)-6,1)),2)</f>
        <v>2026-04</v>
      </c>
      <c r="C222" s="258">
        <f>DATE(YEAR(RPT_MONTH),MONTH(RPT_MONTH)-6,1)</f>
        <v>46113</v>
      </c>
      <c r="D222" t="s">
        <v>68</v>
      </c>
      <c r="E222" s="193" t="str">
        <f>IFERROR(INDEX(BD_KPIs!$F$2:$F$1300,MATCH(YEAR(DATE(YEAR(RPT_MONTH),MONTH(RPT_MONTH)-6,1))*100+MONTH(DATE(YEAR(RPT_MONTH),MONTH(RPT_MONTH)-6,1))&amp;"|OBS|Monthly",BD_KPIs!$Q$2:$Q$1300,0)),"")</f>
        <v/>
      </c>
      <c r="F222" s="193" t="str">
        <f>IFERROR(INDEX(BD_KPIs!$G$2:$G$1300,MATCH(YEAR(DATE(YEAR(RPT_MONTH),MONTH(RPT_MONTH)-6,1))*100+MONTH(DATE(YEAR(RPT_MONTH),MONTH(RPT_MONTH)-6,1))&amp;"|OBS|Monthly",BD_KPIs!$Q$2:$Q$1300,0)),"")</f>
        <v/>
      </c>
      <c r="G222" s="193" t="str">
        <f>IF(ISNUMBER(E222),IF(F222="","No target",IF(IFERROR(INDEX(BD_KPIs!$I$2:$I$1300,MATCH(YEAR(DATE(YEAR(RPT_MONTH),MONTH(RPT_MONTH)-6,1))*100+MONTH(DATE(YEAR(RPT_MONTH),MONTH(RPT_MONTH)-6,1))&amp;"|OBS|Monthly",BD_KPIs!$Q$2:$Q$1300,0)),"")="Sí","On target","Off target")),"No data")</f>
        <v>No data</v>
      </c>
      <c r="H222" s="193" t="str">
        <f>INDEX(_TARGETS!$D$2:$D$17,MATCH("OBS",_TARGETS!$A$2:$A$17,0))</f>
        <v>obs / persona</v>
      </c>
      <c r="I222" s="193" t="str">
        <f>INDEX(_TARGETS!$K$2:$K$17,MATCH("OBS",_TARGETS!$A$2:$A$17,0))</f>
        <v>OPS (carga manual en Datos)</v>
      </c>
      <c r="J222" s="258">
        <f t="shared" si="4"/>
        <v>46296</v>
      </c>
    </row>
    <row r="223" spans="1:10" ht="13.5" customHeight="1" x14ac:dyDescent="0.3">
      <c r="A223" t="s">
        <v>910</v>
      </c>
      <c r="B223" s="193" t="str">
        <f>YEAR(DATE(YEAR(RPT_MONTH),MONTH(RPT_MONTH)-5,1))&amp;"-"&amp;RIGHT("0"&amp;MONTH(DATE(YEAR(RPT_MONTH),MONTH(RPT_MONTH)-5,1)),2)</f>
        <v>2026-05</v>
      </c>
      <c r="C223" s="258">
        <f>DATE(YEAR(RPT_MONTH),MONTH(RPT_MONTH)-5,1)</f>
        <v>46143</v>
      </c>
      <c r="D223" t="s">
        <v>68</v>
      </c>
      <c r="E223" s="193" t="str">
        <f>IFERROR(INDEX(BD_KPIs!$F$2:$F$1300,MATCH(YEAR(DATE(YEAR(RPT_MONTH),MONTH(RPT_MONTH)-5,1))*100+MONTH(DATE(YEAR(RPT_MONTH),MONTH(RPT_MONTH)-5,1))&amp;"|OBS|Monthly",BD_KPIs!$Q$2:$Q$1300,0)),"")</f>
        <v/>
      </c>
      <c r="F223" s="193" t="str">
        <f>IFERROR(INDEX(BD_KPIs!$G$2:$G$1300,MATCH(YEAR(DATE(YEAR(RPT_MONTH),MONTH(RPT_MONTH)-5,1))*100+MONTH(DATE(YEAR(RPT_MONTH),MONTH(RPT_MONTH)-5,1))&amp;"|OBS|Monthly",BD_KPIs!$Q$2:$Q$1300,0)),"")</f>
        <v/>
      </c>
      <c r="G223" s="193" t="str">
        <f>IF(ISNUMBER(E223),IF(F223="","No target",IF(IFERROR(INDEX(BD_KPIs!$I$2:$I$1300,MATCH(YEAR(DATE(YEAR(RPT_MONTH),MONTH(RPT_MONTH)-5,1))*100+MONTH(DATE(YEAR(RPT_MONTH),MONTH(RPT_MONTH)-5,1))&amp;"|OBS|Monthly",BD_KPIs!$Q$2:$Q$1300,0)),"")="Sí","On target","Off target")),"No data")</f>
        <v>No data</v>
      </c>
      <c r="H223" s="193" t="str">
        <f>INDEX(_TARGETS!$D$2:$D$17,MATCH("OBS",_TARGETS!$A$2:$A$17,0))</f>
        <v>obs / persona</v>
      </c>
      <c r="I223" s="193" t="str">
        <f>INDEX(_TARGETS!$K$2:$K$17,MATCH("OBS",_TARGETS!$A$2:$A$17,0))</f>
        <v>OPS (carga manual en Datos)</v>
      </c>
      <c r="J223" s="258">
        <f t="shared" si="4"/>
        <v>46296</v>
      </c>
    </row>
    <row r="224" spans="1:10" ht="13.5" customHeight="1" x14ac:dyDescent="0.3">
      <c r="A224" t="s">
        <v>910</v>
      </c>
      <c r="B224" s="193" t="str">
        <f>YEAR(DATE(YEAR(RPT_MONTH),MONTH(RPT_MONTH)-4,1))&amp;"-"&amp;RIGHT("0"&amp;MONTH(DATE(YEAR(RPT_MONTH),MONTH(RPT_MONTH)-4,1)),2)</f>
        <v>2026-06</v>
      </c>
      <c r="C224" s="258">
        <f>DATE(YEAR(RPT_MONTH),MONTH(RPT_MONTH)-4,1)</f>
        <v>46174</v>
      </c>
      <c r="D224" t="s">
        <v>68</v>
      </c>
      <c r="E224" s="193" t="str">
        <f>IFERROR(INDEX(BD_KPIs!$F$2:$F$1300,MATCH(YEAR(DATE(YEAR(RPT_MONTH),MONTH(RPT_MONTH)-4,1))*100+MONTH(DATE(YEAR(RPT_MONTH),MONTH(RPT_MONTH)-4,1))&amp;"|OBS|Monthly",BD_KPIs!$Q$2:$Q$1300,0)),"")</f>
        <v/>
      </c>
      <c r="F224" s="193" t="str">
        <f>IFERROR(INDEX(BD_KPIs!$G$2:$G$1300,MATCH(YEAR(DATE(YEAR(RPT_MONTH),MONTH(RPT_MONTH)-4,1))*100+MONTH(DATE(YEAR(RPT_MONTH),MONTH(RPT_MONTH)-4,1))&amp;"|OBS|Monthly",BD_KPIs!$Q$2:$Q$1300,0)),"")</f>
        <v/>
      </c>
      <c r="G224" s="193" t="str">
        <f>IF(ISNUMBER(E224),IF(F224="","No target",IF(IFERROR(INDEX(BD_KPIs!$I$2:$I$1300,MATCH(YEAR(DATE(YEAR(RPT_MONTH),MONTH(RPT_MONTH)-4,1))*100+MONTH(DATE(YEAR(RPT_MONTH),MONTH(RPT_MONTH)-4,1))&amp;"|OBS|Monthly",BD_KPIs!$Q$2:$Q$1300,0)),"")="Sí","On target","Off target")),"No data")</f>
        <v>No data</v>
      </c>
      <c r="H224" s="193" t="str">
        <f>INDEX(_TARGETS!$D$2:$D$17,MATCH("OBS",_TARGETS!$A$2:$A$17,0))</f>
        <v>obs / persona</v>
      </c>
      <c r="I224" s="193" t="str">
        <f>INDEX(_TARGETS!$K$2:$K$17,MATCH("OBS",_TARGETS!$A$2:$A$17,0))</f>
        <v>OPS (carga manual en Datos)</v>
      </c>
      <c r="J224" s="258">
        <f t="shared" si="4"/>
        <v>46296</v>
      </c>
    </row>
    <row r="225" spans="1:10" ht="13.5" customHeight="1" x14ac:dyDescent="0.3">
      <c r="A225" t="s">
        <v>910</v>
      </c>
      <c r="B225" s="193" t="str">
        <f>YEAR(DATE(YEAR(RPT_MONTH),MONTH(RPT_MONTH)-3,1))&amp;"-"&amp;RIGHT("0"&amp;MONTH(DATE(YEAR(RPT_MONTH),MONTH(RPT_MONTH)-3,1)),2)</f>
        <v>2026-07</v>
      </c>
      <c r="C225" s="258">
        <f>DATE(YEAR(RPT_MONTH),MONTH(RPT_MONTH)-3,1)</f>
        <v>46204</v>
      </c>
      <c r="D225" t="s">
        <v>68</v>
      </c>
      <c r="E225" s="193" t="str">
        <f>IFERROR(INDEX(BD_KPIs!$F$2:$F$1300,MATCH(YEAR(DATE(YEAR(RPT_MONTH),MONTH(RPT_MONTH)-3,1))*100+MONTH(DATE(YEAR(RPT_MONTH),MONTH(RPT_MONTH)-3,1))&amp;"|OBS|Monthly",BD_KPIs!$Q$2:$Q$1300,0)),"")</f>
        <v/>
      </c>
      <c r="F225" s="193" t="str">
        <f>IFERROR(INDEX(BD_KPIs!$G$2:$G$1300,MATCH(YEAR(DATE(YEAR(RPT_MONTH),MONTH(RPT_MONTH)-3,1))*100+MONTH(DATE(YEAR(RPT_MONTH),MONTH(RPT_MONTH)-3,1))&amp;"|OBS|Monthly",BD_KPIs!$Q$2:$Q$1300,0)),"")</f>
        <v/>
      </c>
      <c r="G225" s="193" t="str">
        <f>IF(ISNUMBER(E225),IF(F225="","No target",IF(IFERROR(INDEX(BD_KPIs!$I$2:$I$1300,MATCH(YEAR(DATE(YEAR(RPT_MONTH),MONTH(RPT_MONTH)-3,1))*100+MONTH(DATE(YEAR(RPT_MONTH),MONTH(RPT_MONTH)-3,1))&amp;"|OBS|Monthly",BD_KPIs!$Q$2:$Q$1300,0)),"")="Sí","On target","Off target")),"No data")</f>
        <v>No data</v>
      </c>
      <c r="H225" s="193" t="str">
        <f>INDEX(_TARGETS!$D$2:$D$17,MATCH("OBS",_TARGETS!$A$2:$A$17,0))</f>
        <v>obs / persona</v>
      </c>
      <c r="I225" s="193" t="str">
        <f>INDEX(_TARGETS!$K$2:$K$17,MATCH("OBS",_TARGETS!$A$2:$A$17,0))</f>
        <v>OPS (carga manual en Datos)</v>
      </c>
      <c r="J225" s="258">
        <f t="shared" si="4"/>
        <v>46296</v>
      </c>
    </row>
    <row r="226" spans="1:10" ht="13.5" customHeight="1" x14ac:dyDescent="0.3">
      <c r="A226" t="s">
        <v>910</v>
      </c>
      <c r="B226" s="193" t="str">
        <f>YEAR(DATE(YEAR(RPT_MONTH),MONTH(RPT_MONTH)-2,1))&amp;"-"&amp;RIGHT("0"&amp;MONTH(DATE(YEAR(RPT_MONTH),MONTH(RPT_MONTH)-2,1)),2)</f>
        <v>2026-08</v>
      </c>
      <c r="C226" s="258">
        <f>DATE(YEAR(RPT_MONTH),MONTH(RPT_MONTH)-2,1)</f>
        <v>46235</v>
      </c>
      <c r="D226" t="s">
        <v>68</v>
      </c>
      <c r="E226" s="193">
        <f>IFERROR(INDEX(BD_KPIs!$F$2:$F$1300,MATCH(YEAR(DATE(YEAR(RPT_MONTH),MONTH(RPT_MONTH)-2,1))*100+MONTH(DATE(YEAR(RPT_MONTH),MONTH(RPT_MONTH)-2,1))&amp;"|OBS|Monthly",BD_KPIs!$Q$2:$Q$1300,0)),"")</f>
        <v>0.380434782608696</v>
      </c>
      <c r="F226" s="193">
        <f>IFERROR(INDEX(BD_KPIs!$G$2:$G$1300,MATCH(YEAR(DATE(YEAR(RPT_MONTH),MONTH(RPT_MONTH)-2,1))*100+MONTH(DATE(YEAR(RPT_MONTH),MONTH(RPT_MONTH)-2,1))&amp;"|OBS|Monthly",BD_KPIs!$Q$2:$Q$1300,0)),"")</f>
        <v>1</v>
      </c>
      <c r="G226" s="193" t="str">
        <f>IF(ISNUMBER(E226),IF(F226="","No target",IF(IFERROR(INDEX(BD_KPIs!$I$2:$I$1300,MATCH(YEAR(DATE(YEAR(RPT_MONTH),MONTH(RPT_MONTH)-2,1))*100+MONTH(DATE(YEAR(RPT_MONTH),MONTH(RPT_MONTH)-2,1))&amp;"|OBS|Monthly",BD_KPIs!$Q$2:$Q$1300,0)),"")="Sí","On target","Off target")),"No data")</f>
        <v>Off target</v>
      </c>
      <c r="H226" s="193" t="str">
        <f>INDEX(_TARGETS!$D$2:$D$17,MATCH("OBS",_TARGETS!$A$2:$A$17,0))</f>
        <v>obs / persona</v>
      </c>
      <c r="I226" s="193" t="str">
        <f>INDEX(_TARGETS!$K$2:$K$17,MATCH("OBS",_TARGETS!$A$2:$A$17,0))</f>
        <v>OPS (carga manual en Datos)</v>
      </c>
      <c r="J226" s="258">
        <f t="shared" si="4"/>
        <v>46296</v>
      </c>
    </row>
    <row r="227" spans="1:10" ht="13.5" customHeight="1" x14ac:dyDescent="0.3">
      <c r="A227" t="s">
        <v>910</v>
      </c>
      <c r="B227" s="193" t="str">
        <f>YEAR(DATE(YEAR(RPT_MONTH),MONTH(RPT_MONTH)-1,1))&amp;"-"&amp;RIGHT("0"&amp;MONTH(DATE(YEAR(RPT_MONTH),MONTH(RPT_MONTH)-1,1)),2)</f>
        <v>2026-09</v>
      </c>
      <c r="C227" s="258">
        <f>DATE(YEAR(RPT_MONTH),MONTH(RPT_MONTH)-1,1)</f>
        <v>46266</v>
      </c>
      <c r="D227" t="s">
        <v>68</v>
      </c>
      <c r="E227" s="193">
        <f>IFERROR(INDEX(BD_KPIs!$F$2:$F$1300,MATCH(YEAR(DATE(YEAR(RPT_MONTH),MONTH(RPT_MONTH)-1,1))*100+MONTH(DATE(YEAR(RPT_MONTH),MONTH(RPT_MONTH)-1,1))&amp;"|OBS|Monthly",BD_KPIs!$Q$2:$Q$1300,0)),"")</f>
        <v>1.4390243902439</v>
      </c>
      <c r="F227" s="250">
        <f>IFERROR(INDEX(BD_KPIs!$G$2:$G$1300,MATCH(YEAR(DATE(YEAR(RPT_MONTH),MONTH(RPT_MONTH)-1,1))*100+MONTH(DATE(YEAR(RPT_MONTH),MONTH(RPT_MONTH)-1,1))&amp;"|OBS|Monthly",BD_KPIs!$Q$2:$Q$1300,0)),"")</f>
        <v>1</v>
      </c>
      <c r="G227" s="193" t="str">
        <f>IF(ISNUMBER(E227),IF(F227="","No target",IF(IFERROR(INDEX(BD_KPIs!$I$2:$I$1300,MATCH(YEAR(DATE(YEAR(RPT_MONTH),MONTH(RPT_MONTH)-1,1))*100+MONTH(DATE(YEAR(RPT_MONTH),MONTH(RPT_MONTH)-1,1))&amp;"|OBS|Monthly",BD_KPIs!$Q$2:$Q$1300,0)),"")="Sí","On target","Off target")),"No data")</f>
        <v>On target</v>
      </c>
      <c r="H227" s="193" t="str">
        <f>INDEX(_TARGETS!$D$2:$D$17,MATCH("OBS",_TARGETS!$A$2:$A$17,0))</f>
        <v>obs / persona</v>
      </c>
      <c r="I227" s="193" t="str">
        <f>INDEX(_TARGETS!$K$2:$K$17,MATCH("OBS",_TARGETS!$A$2:$A$17,0))</f>
        <v>OPS (carga manual en Datos)</v>
      </c>
      <c r="J227" s="258">
        <f t="shared" si="4"/>
        <v>46296</v>
      </c>
    </row>
    <row r="228" spans="1:10" ht="13.5" customHeight="1" x14ac:dyDescent="0.3">
      <c r="A228" t="s">
        <v>910</v>
      </c>
      <c r="B228" s="193" t="str">
        <f>YEAR(DATE(YEAR(RPT_MONTH),MONTH(RPT_MONTH)-0,1))&amp;"-"&amp;RIGHT("0"&amp;MONTH(DATE(YEAR(RPT_MONTH),MONTH(RPT_MONTH)-0,1)),2)</f>
        <v>2026-10</v>
      </c>
      <c r="C228" s="258">
        <f>DATE(YEAR(RPT_MONTH),MONTH(RPT_MONTH)-0,1)</f>
        <v>46296</v>
      </c>
      <c r="D228" t="s">
        <v>68</v>
      </c>
      <c r="E228" s="193" t="str">
        <f>IFERROR(INDEX(BD_KPIs!$F$2:$F$1300,MATCH(YEAR(DATE(YEAR(RPT_MONTH),MONTH(RPT_MONTH)-0,1))*100+MONTH(DATE(YEAR(RPT_MONTH),MONTH(RPT_MONTH)-0,1))&amp;"|OBS|Monthly",BD_KPIs!$Q$2:$Q$1300,0)),"")</f>
        <v/>
      </c>
      <c r="F228" s="250">
        <f>IFERROR(INDEX(BD_KPIs!$G$2:$G$1300,MATCH(YEAR(DATE(YEAR(RPT_MONTH),MONTH(RPT_MONTH)-0,1))*100+MONTH(DATE(YEAR(RPT_MONTH),MONTH(RPT_MONTH)-0,1))&amp;"|OBS|Monthly",BD_KPIs!$Q$2:$Q$1300,0)),"")</f>
        <v>1</v>
      </c>
      <c r="G228" s="193" t="str">
        <f>IF(ISNUMBER(E228),IF(F228="","No target",IF(IFERROR(INDEX(BD_KPIs!$I$2:$I$1300,MATCH(YEAR(DATE(YEAR(RPT_MONTH),MONTH(RPT_MONTH)-0,1))*100+MONTH(DATE(YEAR(RPT_MONTH),MONTH(RPT_MONTH)-0,1))&amp;"|OBS|Monthly",BD_KPIs!$Q$2:$Q$1300,0)),"")="Sí","On target","Off target")),"No data")</f>
        <v>No data</v>
      </c>
      <c r="H228" s="193" t="str">
        <f>INDEX(_TARGETS!$D$2:$D$17,MATCH("OBS",_TARGETS!$A$2:$A$17,0))</f>
        <v>obs / persona</v>
      </c>
      <c r="I228" s="193" t="str">
        <f>INDEX(_TARGETS!$K$2:$K$17,MATCH("OBS",_TARGETS!$A$2:$A$17,0))</f>
        <v>OPS (carga manual en Datos)</v>
      </c>
      <c r="J228" s="258">
        <f t="shared" si="4"/>
        <v>46296</v>
      </c>
    </row>
    <row r="229" spans="1:10" ht="13.5" customHeight="1" x14ac:dyDescent="0.3">
      <c r="A229" t="s">
        <v>911</v>
      </c>
      <c r="B229" s="193" t="str">
        <f>YEAR(DATE(YEAR(RPT_MONTH),MONTH(RPT_MONTH)-11,1))&amp;"-"&amp;RIGHT("0"&amp;MONTH(DATE(YEAR(RPT_MONTH),MONTH(RPT_MONTH)-11,1)),2)</f>
        <v>2025-11</v>
      </c>
      <c r="C229" s="258">
        <f>DATE(YEAR(RPT_MONTH),MONTH(RPT_MONTH)-11,1)</f>
        <v>45962</v>
      </c>
      <c r="D229" t="s">
        <v>68</v>
      </c>
      <c r="E229" s="193" t="str">
        <f>IFERROR(INDEX(BD_KPIs!$F$2:$F$1300,MATCH(YEAR(DATE(YEAR(RPT_MONTH),MONTH(RPT_MONTH)-11,1))*100+MONTH(DATE(YEAR(RPT_MONTH),MONTH(RPT_MONTH)-11,1))&amp;"|INV|Monthly",BD_KPIs!$Q$2:$Q$1300,0)),"")</f>
        <v/>
      </c>
      <c r="F229" s="193" t="str">
        <f>IFERROR(INDEX(BD_KPIs!$G$2:$G$1300,MATCH(YEAR(DATE(YEAR(RPT_MONTH),MONTH(RPT_MONTH)-11,1))*100+MONTH(DATE(YEAR(RPT_MONTH),MONTH(RPT_MONTH)-11,1))&amp;"|INV|Monthly",BD_KPIs!$Q$2:$Q$1300,0)),"")</f>
        <v/>
      </c>
      <c r="G229" s="193" t="str">
        <f>IF(ISNUMBER(E229),IF(F229="","No target",IF(IFERROR(INDEX(BD_KPIs!$I$2:$I$1300,MATCH(YEAR(DATE(YEAR(RPT_MONTH),MONTH(RPT_MONTH)-11,1))*100+MONTH(DATE(YEAR(RPT_MONTH),MONTH(RPT_MONTH)-11,1))&amp;"|INV|Monthly",BD_KPIs!$Q$2:$Q$1300,0)),"")="Sí","On target","Off target")),"No data")</f>
        <v>No data</v>
      </c>
      <c r="H229" s="193" t="str">
        <f>INDEX(_TARGETS!$D$2:$D$17,MATCH("INV",_TARGETS!$A$2:$A$17,0))</f>
        <v>días</v>
      </c>
      <c r="I229" s="193" t="str">
        <f>INDEX(_TARGETS!$K$2:$K$17,MATCH("INV",_TARGETS!$A$2:$A$17,0))</f>
        <v>OPS (carga manual en Datos)</v>
      </c>
      <c r="J229" s="258">
        <f t="shared" si="4"/>
        <v>46296</v>
      </c>
    </row>
    <row r="230" spans="1:10" ht="13.5" customHeight="1" x14ac:dyDescent="0.3">
      <c r="A230" t="s">
        <v>911</v>
      </c>
      <c r="B230" s="193" t="str">
        <f>YEAR(DATE(YEAR(RPT_MONTH),MONTH(RPT_MONTH)-10,1))&amp;"-"&amp;RIGHT("0"&amp;MONTH(DATE(YEAR(RPT_MONTH),MONTH(RPT_MONTH)-10,1)),2)</f>
        <v>2025-12</v>
      </c>
      <c r="C230" s="258">
        <f>DATE(YEAR(RPT_MONTH),MONTH(RPT_MONTH)-10,1)</f>
        <v>45992</v>
      </c>
      <c r="D230" t="s">
        <v>68</v>
      </c>
      <c r="E230" s="193" t="str">
        <f>IFERROR(INDEX(BD_KPIs!$F$2:$F$1300,MATCH(YEAR(DATE(YEAR(RPT_MONTH),MONTH(RPT_MONTH)-10,1))*100+MONTH(DATE(YEAR(RPT_MONTH),MONTH(RPT_MONTH)-10,1))&amp;"|INV|Monthly",BD_KPIs!$Q$2:$Q$1300,0)),"")</f>
        <v/>
      </c>
      <c r="F230" s="193" t="str">
        <f>IFERROR(INDEX(BD_KPIs!$G$2:$G$1300,MATCH(YEAR(DATE(YEAR(RPT_MONTH),MONTH(RPT_MONTH)-10,1))*100+MONTH(DATE(YEAR(RPT_MONTH),MONTH(RPT_MONTH)-10,1))&amp;"|INV|Monthly",BD_KPIs!$Q$2:$Q$1300,0)),"")</f>
        <v/>
      </c>
      <c r="G230" s="193" t="str">
        <f>IF(ISNUMBER(E230),IF(F230="","No target",IF(IFERROR(INDEX(BD_KPIs!$I$2:$I$1300,MATCH(YEAR(DATE(YEAR(RPT_MONTH),MONTH(RPT_MONTH)-10,1))*100+MONTH(DATE(YEAR(RPT_MONTH),MONTH(RPT_MONTH)-10,1))&amp;"|INV|Monthly",BD_KPIs!$Q$2:$Q$1300,0)),"")="Sí","On target","Off target")),"No data")</f>
        <v>No data</v>
      </c>
      <c r="H230" s="193" t="str">
        <f>INDEX(_TARGETS!$D$2:$D$17,MATCH("INV",_TARGETS!$A$2:$A$17,0))</f>
        <v>días</v>
      </c>
      <c r="I230" s="193" t="str">
        <f>INDEX(_TARGETS!$K$2:$K$17,MATCH("INV",_TARGETS!$A$2:$A$17,0))</f>
        <v>OPS (carga manual en Datos)</v>
      </c>
      <c r="J230" s="258">
        <f t="shared" si="4"/>
        <v>46296</v>
      </c>
    </row>
    <row r="231" spans="1:10" ht="13.5" customHeight="1" x14ac:dyDescent="0.3">
      <c r="A231" t="s">
        <v>911</v>
      </c>
      <c r="B231" s="193" t="str">
        <f>YEAR(DATE(YEAR(RPT_MONTH),MONTH(RPT_MONTH)-9,1))&amp;"-"&amp;RIGHT("0"&amp;MONTH(DATE(YEAR(RPT_MONTH),MONTH(RPT_MONTH)-9,1)),2)</f>
        <v>2026-01</v>
      </c>
      <c r="C231" s="258">
        <f>DATE(YEAR(RPT_MONTH),MONTH(RPT_MONTH)-9,1)</f>
        <v>46023</v>
      </c>
      <c r="D231" t="s">
        <v>68</v>
      </c>
      <c r="E231" s="193" t="str">
        <f>IFERROR(INDEX(BD_KPIs!$F$2:$F$1300,MATCH(YEAR(DATE(YEAR(RPT_MONTH),MONTH(RPT_MONTH)-9,1))*100+MONTH(DATE(YEAR(RPT_MONTH),MONTH(RPT_MONTH)-9,1))&amp;"|INV|Monthly",BD_KPIs!$Q$2:$Q$1300,0)),"")</f>
        <v/>
      </c>
      <c r="F231" s="193" t="str">
        <f>IFERROR(INDEX(BD_KPIs!$G$2:$G$1300,MATCH(YEAR(DATE(YEAR(RPT_MONTH),MONTH(RPT_MONTH)-9,1))*100+MONTH(DATE(YEAR(RPT_MONTH),MONTH(RPT_MONTH)-9,1))&amp;"|INV|Monthly",BD_KPIs!$Q$2:$Q$1300,0)),"")</f>
        <v/>
      </c>
      <c r="G231" s="193" t="str">
        <f>IF(ISNUMBER(E231),IF(F231="","No target",IF(IFERROR(INDEX(BD_KPIs!$I$2:$I$1300,MATCH(YEAR(DATE(YEAR(RPT_MONTH),MONTH(RPT_MONTH)-9,1))*100+MONTH(DATE(YEAR(RPT_MONTH),MONTH(RPT_MONTH)-9,1))&amp;"|INV|Monthly",BD_KPIs!$Q$2:$Q$1300,0)),"")="Sí","On target","Off target")),"No data")</f>
        <v>No data</v>
      </c>
      <c r="H231" s="193" t="str">
        <f>INDEX(_TARGETS!$D$2:$D$17,MATCH("INV",_TARGETS!$A$2:$A$17,0))</f>
        <v>días</v>
      </c>
      <c r="I231" s="193" t="str">
        <f>INDEX(_TARGETS!$K$2:$K$17,MATCH("INV",_TARGETS!$A$2:$A$17,0))</f>
        <v>OPS (carga manual en Datos)</v>
      </c>
      <c r="J231" s="258">
        <f t="shared" si="4"/>
        <v>46296</v>
      </c>
    </row>
    <row r="232" spans="1:10" ht="13.5" customHeight="1" x14ac:dyDescent="0.3">
      <c r="A232" t="s">
        <v>911</v>
      </c>
      <c r="B232" s="193" t="str">
        <f>YEAR(DATE(YEAR(RPT_MONTH),MONTH(RPT_MONTH)-8,1))&amp;"-"&amp;RIGHT("0"&amp;MONTH(DATE(YEAR(RPT_MONTH),MONTH(RPT_MONTH)-8,1)),2)</f>
        <v>2026-02</v>
      </c>
      <c r="C232" s="258">
        <f>DATE(YEAR(RPT_MONTH),MONTH(RPT_MONTH)-8,1)</f>
        <v>46054</v>
      </c>
      <c r="D232" t="s">
        <v>68</v>
      </c>
      <c r="E232" s="193" t="str">
        <f>IFERROR(INDEX(BD_KPIs!$F$2:$F$1300,MATCH(YEAR(DATE(YEAR(RPT_MONTH),MONTH(RPT_MONTH)-8,1))*100+MONTH(DATE(YEAR(RPT_MONTH),MONTH(RPT_MONTH)-8,1))&amp;"|INV|Monthly",BD_KPIs!$Q$2:$Q$1300,0)),"")</f>
        <v/>
      </c>
      <c r="F232" s="193" t="str">
        <f>IFERROR(INDEX(BD_KPIs!$G$2:$G$1300,MATCH(YEAR(DATE(YEAR(RPT_MONTH),MONTH(RPT_MONTH)-8,1))*100+MONTH(DATE(YEAR(RPT_MONTH),MONTH(RPT_MONTH)-8,1))&amp;"|INV|Monthly",BD_KPIs!$Q$2:$Q$1300,0)),"")</f>
        <v/>
      </c>
      <c r="G232" s="193" t="str">
        <f>IF(ISNUMBER(E232),IF(F232="","No target",IF(IFERROR(INDEX(BD_KPIs!$I$2:$I$1300,MATCH(YEAR(DATE(YEAR(RPT_MONTH),MONTH(RPT_MONTH)-8,1))*100+MONTH(DATE(YEAR(RPT_MONTH),MONTH(RPT_MONTH)-8,1))&amp;"|INV|Monthly",BD_KPIs!$Q$2:$Q$1300,0)),"")="Sí","On target","Off target")),"No data")</f>
        <v>No data</v>
      </c>
      <c r="H232" s="193" t="str">
        <f>INDEX(_TARGETS!$D$2:$D$17,MATCH("INV",_TARGETS!$A$2:$A$17,0))</f>
        <v>días</v>
      </c>
      <c r="I232" s="193" t="str">
        <f>INDEX(_TARGETS!$K$2:$K$17,MATCH("INV",_TARGETS!$A$2:$A$17,0))</f>
        <v>OPS (carga manual en Datos)</v>
      </c>
      <c r="J232" s="258">
        <f t="shared" si="4"/>
        <v>46296</v>
      </c>
    </row>
    <row r="233" spans="1:10" ht="13.5" customHeight="1" x14ac:dyDescent="0.3">
      <c r="A233" t="s">
        <v>911</v>
      </c>
      <c r="B233" s="193" t="str">
        <f>YEAR(DATE(YEAR(RPT_MONTH),MONTH(RPT_MONTH)-7,1))&amp;"-"&amp;RIGHT("0"&amp;MONTH(DATE(YEAR(RPT_MONTH),MONTH(RPT_MONTH)-7,1)),2)</f>
        <v>2026-03</v>
      </c>
      <c r="C233" s="258">
        <f>DATE(YEAR(RPT_MONTH),MONTH(RPT_MONTH)-7,1)</f>
        <v>46082</v>
      </c>
      <c r="D233" t="s">
        <v>68</v>
      </c>
      <c r="E233" s="193" t="str">
        <f>IFERROR(INDEX(BD_KPIs!$F$2:$F$1300,MATCH(YEAR(DATE(YEAR(RPT_MONTH),MONTH(RPT_MONTH)-7,1))*100+MONTH(DATE(YEAR(RPT_MONTH),MONTH(RPT_MONTH)-7,1))&amp;"|INV|Monthly",BD_KPIs!$Q$2:$Q$1300,0)),"")</f>
        <v/>
      </c>
      <c r="F233" s="193" t="str">
        <f>IFERROR(INDEX(BD_KPIs!$G$2:$G$1300,MATCH(YEAR(DATE(YEAR(RPT_MONTH),MONTH(RPT_MONTH)-7,1))*100+MONTH(DATE(YEAR(RPT_MONTH),MONTH(RPT_MONTH)-7,1))&amp;"|INV|Monthly",BD_KPIs!$Q$2:$Q$1300,0)),"")</f>
        <v/>
      </c>
      <c r="G233" s="193" t="str">
        <f>IF(ISNUMBER(E233),IF(F233="","No target",IF(IFERROR(INDEX(BD_KPIs!$I$2:$I$1300,MATCH(YEAR(DATE(YEAR(RPT_MONTH),MONTH(RPT_MONTH)-7,1))*100+MONTH(DATE(YEAR(RPT_MONTH),MONTH(RPT_MONTH)-7,1))&amp;"|INV|Monthly",BD_KPIs!$Q$2:$Q$1300,0)),"")="Sí","On target","Off target")),"No data")</f>
        <v>No data</v>
      </c>
      <c r="H233" s="193" t="str">
        <f>INDEX(_TARGETS!$D$2:$D$17,MATCH("INV",_TARGETS!$A$2:$A$17,0))</f>
        <v>días</v>
      </c>
      <c r="I233" s="193" t="str">
        <f>INDEX(_TARGETS!$K$2:$K$17,MATCH("INV",_TARGETS!$A$2:$A$17,0))</f>
        <v>OPS (carga manual en Datos)</v>
      </c>
      <c r="J233" s="258">
        <f t="shared" si="4"/>
        <v>46296</v>
      </c>
    </row>
    <row r="234" spans="1:10" ht="13.5" customHeight="1" x14ac:dyDescent="0.3">
      <c r="A234" t="s">
        <v>911</v>
      </c>
      <c r="B234" s="193" t="str">
        <f>YEAR(DATE(YEAR(RPT_MONTH),MONTH(RPT_MONTH)-6,1))&amp;"-"&amp;RIGHT("0"&amp;MONTH(DATE(YEAR(RPT_MONTH),MONTH(RPT_MONTH)-6,1)),2)</f>
        <v>2026-04</v>
      </c>
      <c r="C234" s="258">
        <f>DATE(YEAR(RPT_MONTH),MONTH(RPT_MONTH)-6,1)</f>
        <v>46113</v>
      </c>
      <c r="D234" t="s">
        <v>68</v>
      </c>
      <c r="E234" s="193" t="str">
        <f>IFERROR(INDEX(BD_KPIs!$F$2:$F$1300,MATCH(YEAR(DATE(YEAR(RPT_MONTH),MONTH(RPT_MONTH)-6,1))*100+MONTH(DATE(YEAR(RPT_MONTH),MONTH(RPT_MONTH)-6,1))&amp;"|INV|Monthly",BD_KPIs!$Q$2:$Q$1300,0)),"")</f>
        <v/>
      </c>
      <c r="F234" s="193" t="str">
        <f>IFERROR(INDEX(BD_KPIs!$G$2:$G$1300,MATCH(YEAR(DATE(YEAR(RPT_MONTH),MONTH(RPT_MONTH)-6,1))*100+MONTH(DATE(YEAR(RPT_MONTH),MONTH(RPT_MONTH)-6,1))&amp;"|INV|Monthly",BD_KPIs!$Q$2:$Q$1300,0)),"")</f>
        <v/>
      </c>
      <c r="G234" s="193" t="str">
        <f>IF(ISNUMBER(E234),IF(F234="","No target",IF(IFERROR(INDEX(BD_KPIs!$I$2:$I$1300,MATCH(YEAR(DATE(YEAR(RPT_MONTH),MONTH(RPT_MONTH)-6,1))*100+MONTH(DATE(YEAR(RPT_MONTH),MONTH(RPT_MONTH)-6,1))&amp;"|INV|Monthly",BD_KPIs!$Q$2:$Q$1300,0)),"")="Sí","On target","Off target")),"No data")</f>
        <v>No data</v>
      </c>
      <c r="H234" s="193" t="str">
        <f>INDEX(_TARGETS!$D$2:$D$17,MATCH("INV",_TARGETS!$A$2:$A$17,0))</f>
        <v>días</v>
      </c>
      <c r="I234" s="193" t="str">
        <f>INDEX(_TARGETS!$K$2:$K$17,MATCH("INV",_TARGETS!$A$2:$A$17,0))</f>
        <v>OPS (carga manual en Datos)</v>
      </c>
      <c r="J234" s="258">
        <f t="shared" si="4"/>
        <v>46296</v>
      </c>
    </row>
    <row r="235" spans="1:10" ht="13.5" customHeight="1" x14ac:dyDescent="0.3">
      <c r="A235" t="s">
        <v>911</v>
      </c>
      <c r="B235" s="193" t="str">
        <f>YEAR(DATE(YEAR(RPT_MONTH),MONTH(RPT_MONTH)-5,1))&amp;"-"&amp;RIGHT("0"&amp;MONTH(DATE(YEAR(RPT_MONTH),MONTH(RPT_MONTH)-5,1)),2)</f>
        <v>2026-05</v>
      </c>
      <c r="C235" s="258">
        <f>DATE(YEAR(RPT_MONTH),MONTH(RPT_MONTH)-5,1)</f>
        <v>46143</v>
      </c>
      <c r="D235" t="s">
        <v>68</v>
      </c>
      <c r="E235" s="193" t="str">
        <f>IFERROR(INDEX(BD_KPIs!$F$2:$F$1300,MATCH(YEAR(DATE(YEAR(RPT_MONTH),MONTH(RPT_MONTH)-5,1))*100+MONTH(DATE(YEAR(RPT_MONTH),MONTH(RPT_MONTH)-5,1))&amp;"|INV|Monthly",BD_KPIs!$Q$2:$Q$1300,0)),"")</f>
        <v/>
      </c>
      <c r="F235" s="193" t="str">
        <f>IFERROR(INDEX(BD_KPIs!$G$2:$G$1300,MATCH(YEAR(DATE(YEAR(RPT_MONTH),MONTH(RPT_MONTH)-5,1))*100+MONTH(DATE(YEAR(RPT_MONTH),MONTH(RPT_MONTH)-5,1))&amp;"|INV|Monthly",BD_KPIs!$Q$2:$Q$1300,0)),"")</f>
        <v/>
      </c>
      <c r="G235" s="193" t="str">
        <f>IF(ISNUMBER(E235),IF(F235="","No target",IF(IFERROR(INDEX(BD_KPIs!$I$2:$I$1300,MATCH(YEAR(DATE(YEAR(RPT_MONTH),MONTH(RPT_MONTH)-5,1))*100+MONTH(DATE(YEAR(RPT_MONTH),MONTH(RPT_MONTH)-5,1))&amp;"|INV|Monthly",BD_KPIs!$Q$2:$Q$1300,0)),"")="Sí","On target","Off target")),"No data")</f>
        <v>No data</v>
      </c>
      <c r="H235" s="193" t="str">
        <f>INDEX(_TARGETS!$D$2:$D$17,MATCH("INV",_TARGETS!$A$2:$A$17,0))</f>
        <v>días</v>
      </c>
      <c r="I235" s="193" t="str">
        <f>INDEX(_TARGETS!$K$2:$K$17,MATCH("INV",_TARGETS!$A$2:$A$17,0))</f>
        <v>OPS (carga manual en Datos)</v>
      </c>
      <c r="J235" s="258">
        <f t="shared" si="4"/>
        <v>46296</v>
      </c>
    </row>
    <row r="236" spans="1:10" ht="13.5" customHeight="1" x14ac:dyDescent="0.3">
      <c r="A236" t="s">
        <v>911</v>
      </c>
      <c r="B236" s="193" t="str">
        <f>YEAR(DATE(YEAR(RPT_MONTH),MONTH(RPT_MONTH)-4,1))&amp;"-"&amp;RIGHT("0"&amp;MONTH(DATE(YEAR(RPT_MONTH),MONTH(RPT_MONTH)-4,1)),2)</f>
        <v>2026-06</v>
      </c>
      <c r="C236" s="258">
        <f>DATE(YEAR(RPT_MONTH),MONTH(RPT_MONTH)-4,1)</f>
        <v>46174</v>
      </c>
      <c r="D236" t="s">
        <v>68</v>
      </c>
      <c r="E236" s="193" t="str">
        <f>IFERROR(INDEX(BD_KPIs!$F$2:$F$1300,MATCH(YEAR(DATE(YEAR(RPT_MONTH),MONTH(RPT_MONTH)-4,1))*100+MONTH(DATE(YEAR(RPT_MONTH),MONTH(RPT_MONTH)-4,1))&amp;"|INV|Monthly",BD_KPIs!$Q$2:$Q$1300,0)),"")</f>
        <v/>
      </c>
      <c r="F236" s="193" t="str">
        <f>IFERROR(INDEX(BD_KPIs!$G$2:$G$1300,MATCH(YEAR(DATE(YEAR(RPT_MONTH),MONTH(RPT_MONTH)-4,1))*100+MONTH(DATE(YEAR(RPT_MONTH),MONTH(RPT_MONTH)-4,1))&amp;"|INV|Monthly",BD_KPIs!$Q$2:$Q$1300,0)),"")</f>
        <v/>
      </c>
      <c r="G236" s="193" t="str">
        <f>IF(ISNUMBER(E236),IF(F236="","No target",IF(IFERROR(INDEX(BD_KPIs!$I$2:$I$1300,MATCH(YEAR(DATE(YEAR(RPT_MONTH),MONTH(RPT_MONTH)-4,1))*100+MONTH(DATE(YEAR(RPT_MONTH),MONTH(RPT_MONTH)-4,1))&amp;"|INV|Monthly",BD_KPIs!$Q$2:$Q$1300,0)),"")="Sí","On target","Off target")),"No data")</f>
        <v>No data</v>
      </c>
      <c r="H236" s="193" t="str">
        <f>INDEX(_TARGETS!$D$2:$D$17,MATCH("INV",_TARGETS!$A$2:$A$17,0))</f>
        <v>días</v>
      </c>
      <c r="I236" s="193" t="str">
        <f>INDEX(_TARGETS!$K$2:$K$17,MATCH("INV",_TARGETS!$A$2:$A$17,0))</f>
        <v>OPS (carga manual en Datos)</v>
      </c>
      <c r="J236" s="258">
        <f t="shared" si="4"/>
        <v>46296</v>
      </c>
    </row>
    <row r="237" spans="1:10" ht="13.5" customHeight="1" x14ac:dyDescent="0.3">
      <c r="A237" t="s">
        <v>911</v>
      </c>
      <c r="B237" s="193" t="str">
        <f>YEAR(DATE(YEAR(RPT_MONTH),MONTH(RPT_MONTH)-3,1))&amp;"-"&amp;RIGHT("0"&amp;MONTH(DATE(YEAR(RPT_MONTH),MONTH(RPT_MONTH)-3,1)),2)</f>
        <v>2026-07</v>
      </c>
      <c r="C237" s="258">
        <f>DATE(YEAR(RPT_MONTH),MONTH(RPT_MONTH)-3,1)</f>
        <v>46204</v>
      </c>
      <c r="D237" t="s">
        <v>68</v>
      </c>
      <c r="E237" s="193" t="str">
        <f>IFERROR(INDEX(BD_KPIs!$F$2:$F$1300,MATCH(YEAR(DATE(YEAR(RPT_MONTH),MONTH(RPT_MONTH)-3,1))*100+MONTH(DATE(YEAR(RPT_MONTH),MONTH(RPT_MONTH)-3,1))&amp;"|INV|Monthly",BD_KPIs!$Q$2:$Q$1300,0)),"")</f>
        <v/>
      </c>
      <c r="F237" s="193" t="str">
        <f>IFERROR(INDEX(BD_KPIs!$G$2:$G$1300,MATCH(YEAR(DATE(YEAR(RPT_MONTH),MONTH(RPT_MONTH)-3,1))*100+MONTH(DATE(YEAR(RPT_MONTH),MONTH(RPT_MONTH)-3,1))&amp;"|INV|Monthly",BD_KPIs!$Q$2:$Q$1300,0)),"")</f>
        <v/>
      </c>
      <c r="G237" s="193" t="str">
        <f>IF(ISNUMBER(E237),IF(F237="","No target",IF(IFERROR(INDEX(BD_KPIs!$I$2:$I$1300,MATCH(YEAR(DATE(YEAR(RPT_MONTH),MONTH(RPT_MONTH)-3,1))*100+MONTH(DATE(YEAR(RPT_MONTH),MONTH(RPT_MONTH)-3,1))&amp;"|INV|Monthly",BD_KPIs!$Q$2:$Q$1300,0)),"")="Sí","On target","Off target")),"No data")</f>
        <v>No data</v>
      </c>
      <c r="H237" s="193" t="str">
        <f>INDEX(_TARGETS!$D$2:$D$17,MATCH("INV",_TARGETS!$A$2:$A$17,0))</f>
        <v>días</v>
      </c>
      <c r="I237" s="193" t="str">
        <f>INDEX(_TARGETS!$K$2:$K$17,MATCH("INV",_TARGETS!$A$2:$A$17,0))</f>
        <v>OPS (carga manual en Datos)</v>
      </c>
      <c r="J237" s="258">
        <f t="shared" si="4"/>
        <v>46296</v>
      </c>
    </row>
    <row r="238" spans="1:10" ht="13.5" customHeight="1" x14ac:dyDescent="0.3">
      <c r="A238" t="s">
        <v>911</v>
      </c>
      <c r="B238" s="193" t="str">
        <f>YEAR(DATE(YEAR(RPT_MONTH),MONTH(RPT_MONTH)-2,1))&amp;"-"&amp;RIGHT("0"&amp;MONTH(DATE(YEAR(RPT_MONTH),MONTH(RPT_MONTH)-2,1)),2)</f>
        <v>2026-08</v>
      </c>
      <c r="C238" s="258">
        <f>DATE(YEAR(RPT_MONTH),MONTH(RPT_MONTH)-2,1)</f>
        <v>46235</v>
      </c>
      <c r="D238" t="s">
        <v>68</v>
      </c>
      <c r="E238" s="193" t="str">
        <f>IFERROR(INDEX(BD_KPIs!$F$2:$F$1300,MATCH(YEAR(DATE(YEAR(RPT_MONTH),MONTH(RPT_MONTH)-2,1))*100+MONTH(DATE(YEAR(RPT_MONTH),MONTH(RPT_MONTH)-2,1))&amp;"|INV|Monthly",BD_KPIs!$Q$2:$Q$1300,0)),"")</f>
        <v/>
      </c>
      <c r="F238" s="193">
        <f>IFERROR(INDEX(BD_KPIs!$G$2:$G$1300,MATCH(YEAR(DATE(YEAR(RPT_MONTH),MONTH(RPT_MONTH)-2,1))*100+MONTH(DATE(YEAR(RPT_MONTH),MONTH(RPT_MONTH)-2,1))&amp;"|INV|Monthly",BD_KPIs!$Q$2:$Q$1300,0)),"")</f>
        <v>20</v>
      </c>
      <c r="G238" s="193" t="str">
        <f>IF(ISNUMBER(E238),IF(F238="","No target",IF(IFERROR(INDEX(BD_KPIs!$I$2:$I$1300,MATCH(YEAR(DATE(YEAR(RPT_MONTH),MONTH(RPT_MONTH)-2,1))*100+MONTH(DATE(YEAR(RPT_MONTH),MONTH(RPT_MONTH)-2,1))&amp;"|INV|Monthly",BD_KPIs!$Q$2:$Q$1300,0)),"")="Sí","On target","Off target")),"No data")</f>
        <v>No data</v>
      </c>
      <c r="H238" s="193" t="str">
        <f>INDEX(_TARGETS!$D$2:$D$17,MATCH("INV",_TARGETS!$A$2:$A$17,0))</f>
        <v>días</v>
      </c>
      <c r="I238" s="193" t="str">
        <f>INDEX(_TARGETS!$K$2:$K$17,MATCH("INV",_TARGETS!$A$2:$A$17,0))</f>
        <v>OPS (carga manual en Datos)</v>
      </c>
      <c r="J238" s="258">
        <f t="shared" si="4"/>
        <v>46296</v>
      </c>
    </row>
    <row r="239" spans="1:10" ht="13.5" customHeight="1" x14ac:dyDescent="0.3">
      <c r="A239" t="s">
        <v>911</v>
      </c>
      <c r="B239" s="193" t="str">
        <f>YEAR(DATE(YEAR(RPT_MONTH),MONTH(RPT_MONTH)-1,1))&amp;"-"&amp;RIGHT("0"&amp;MONTH(DATE(YEAR(RPT_MONTH),MONTH(RPT_MONTH)-1,1)),2)</f>
        <v>2026-09</v>
      </c>
      <c r="C239" s="258">
        <f>DATE(YEAR(RPT_MONTH),MONTH(RPT_MONTH)-1,1)</f>
        <v>46266</v>
      </c>
      <c r="D239" t="s">
        <v>68</v>
      </c>
      <c r="E239" s="193" t="str">
        <f>IFERROR(INDEX(BD_KPIs!$F$2:$F$1300,MATCH(YEAR(DATE(YEAR(RPT_MONTH),MONTH(RPT_MONTH)-1,1))*100+MONTH(DATE(YEAR(RPT_MONTH),MONTH(RPT_MONTH)-1,1))&amp;"|INV|Monthly",BD_KPIs!$Q$2:$Q$1300,0)),"")</f>
        <v/>
      </c>
      <c r="F239" s="250">
        <f>IFERROR(INDEX(BD_KPIs!$G$2:$G$1300,MATCH(YEAR(DATE(YEAR(RPT_MONTH),MONTH(RPT_MONTH)-1,1))*100+MONTH(DATE(YEAR(RPT_MONTH),MONTH(RPT_MONTH)-1,1))&amp;"|INV|Monthly",BD_KPIs!$Q$2:$Q$1300,0)),"")</f>
        <v>20</v>
      </c>
      <c r="G239" s="193" t="str">
        <f>IF(ISNUMBER(E239),IF(F239="","No target",IF(IFERROR(INDEX(BD_KPIs!$I$2:$I$1300,MATCH(YEAR(DATE(YEAR(RPT_MONTH),MONTH(RPT_MONTH)-1,1))*100+MONTH(DATE(YEAR(RPT_MONTH),MONTH(RPT_MONTH)-1,1))&amp;"|INV|Monthly",BD_KPIs!$Q$2:$Q$1300,0)),"")="Sí","On target","Off target")),"No data")</f>
        <v>No data</v>
      </c>
      <c r="H239" s="193" t="str">
        <f>INDEX(_TARGETS!$D$2:$D$17,MATCH("INV",_TARGETS!$A$2:$A$17,0))</f>
        <v>días</v>
      </c>
      <c r="I239" s="193" t="str">
        <f>INDEX(_TARGETS!$K$2:$K$17,MATCH("INV",_TARGETS!$A$2:$A$17,0))</f>
        <v>OPS (carga manual en Datos)</v>
      </c>
      <c r="J239" s="258">
        <f t="shared" si="4"/>
        <v>46296</v>
      </c>
    </row>
    <row r="240" spans="1:10" ht="13.5" customHeight="1" x14ac:dyDescent="0.3">
      <c r="A240" t="s">
        <v>911</v>
      </c>
      <c r="B240" s="193" t="str">
        <f>YEAR(DATE(YEAR(RPT_MONTH),MONTH(RPT_MONTH)-0,1))&amp;"-"&amp;RIGHT("0"&amp;MONTH(DATE(YEAR(RPT_MONTH),MONTH(RPT_MONTH)-0,1)),2)</f>
        <v>2026-10</v>
      </c>
      <c r="C240" s="258">
        <f>DATE(YEAR(RPT_MONTH),MONTH(RPT_MONTH)-0,1)</f>
        <v>46296</v>
      </c>
      <c r="D240" t="s">
        <v>68</v>
      </c>
      <c r="E240" s="193" t="str">
        <f>IFERROR(INDEX(BD_KPIs!$F$2:$F$1300,MATCH(YEAR(DATE(YEAR(RPT_MONTH),MONTH(RPT_MONTH)-0,1))*100+MONTH(DATE(YEAR(RPT_MONTH),MONTH(RPT_MONTH)-0,1))&amp;"|INV|Monthly",BD_KPIs!$Q$2:$Q$1300,0)),"")</f>
        <v/>
      </c>
      <c r="F240" s="250">
        <f>IFERROR(INDEX(BD_KPIs!$G$2:$G$1300,MATCH(YEAR(DATE(YEAR(RPT_MONTH),MONTH(RPT_MONTH)-0,1))*100+MONTH(DATE(YEAR(RPT_MONTH),MONTH(RPT_MONTH)-0,1))&amp;"|INV|Monthly",BD_KPIs!$Q$2:$Q$1300,0)),"")</f>
        <v>20</v>
      </c>
      <c r="G240" s="193" t="str">
        <f>IF(ISNUMBER(E240),IF(F240="","No target",IF(IFERROR(INDEX(BD_KPIs!$I$2:$I$1300,MATCH(YEAR(DATE(YEAR(RPT_MONTH),MONTH(RPT_MONTH)-0,1))*100+MONTH(DATE(YEAR(RPT_MONTH),MONTH(RPT_MONTH)-0,1))&amp;"|INV|Monthly",BD_KPIs!$Q$2:$Q$1300,0)),"")="Sí","On target","Off target")),"No data")</f>
        <v>No data</v>
      </c>
      <c r="H240" s="193" t="str">
        <f>INDEX(_TARGETS!$D$2:$D$17,MATCH("INV",_TARGETS!$A$2:$A$17,0))</f>
        <v>días</v>
      </c>
      <c r="I240" s="193" t="str">
        <f>INDEX(_TARGETS!$K$2:$K$17,MATCH("INV",_TARGETS!$A$2:$A$17,0))</f>
        <v>OPS (carga manual en Datos)</v>
      </c>
      <c r="J240" s="258">
        <f t="shared" si="4"/>
        <v>46296</v>
      </c>
    </row>
    <row r="241" spans="1:10" ht="13.5" customHeight="1" x14ac:dyDescent="0.3">
      <c r="A241" t="s">
        <v>911</v>
      </c>
      <c r="B241" s="193" t="str">
        <f>YEAR(DATE(YEAR(RPT_MONTH),MONTH(RPT_MONTH)-11,1))&amp;"-"&amp;RIGHT("0"&amp;MONTH(DATE(YEAR(RPT_MONTH),MONTH(RPT_MONTH)-11,1)),2)</f>
        <v>2025-11</v>
      </c>
      <c r="C241" s="258">
        <f>DATE(YEAR(RPT_MONTH),MONTH(RPT_MONTH)-11,1)</f>
        <v>45962</v>
      </c>
      <c r="D241" t="s">
        <v>601</v>
      </c>
      <c r="E241" s="193" t="str">
        <f>IFERROR(INDEX(BD_KPIs!$F$2:$F$1300,MATCH(YEAR(DATE(YEAR(RPT_MONTH),MONTH(RPT_MONTH)-11,1))*100+MONTH(DATE(YEAR(RPT_MONTH),MONTH(RPT_MONTH)-11,1))&amp;"|INV|YTD",BD_KPIs!$Q$2:$Q$1300,0)),"")</f>
        <v/>
      </c>
      <c r="F241" s="193" t="str">
        <f>IFERROR(INDEX(BD_KPIs!$G$2:$G$1300,MATCH(YEAR(DATE(YEAR(RPT_MONTH),MONTH(RPT_MONTH)-11,1))*100+MONTH(DATE(YEAR(RPT_MONTH),MONTH(RPT_MONTH)-11,1))&amp;"|INV|YTD",BD_KPIs!$Q$2:$Q$1300,0)),"")</f>
        <v/>
      </c>
      <c r="G241" s="193" t="str">
        <f>IF(ISNUMBER(E241),IF(F241="","No target",IF(IFERROR(INDEX(BD_KPIs!$I$2:$I$1300,MATCH(YEAR(DATE(YEAR(RPT_MONTH),MONTH(RPT_MONTH)-11,1))*100+MONTH(DATE(YEAR(RPT_MONTH),MONTH(RPT_MONTH)-11,1))&amp;"|INV|YTD",BD_KPIs!$Q$2:$Q$1300,0)),"")="Sí","On target","Off target")),"No data")</f>
        <v>No data</v>
      </c>
      <c r="H241" s="193" t="str">
        <f>INDEX(_TARGETS!$D$2:$D$17,MATCH("INV",_TARGETS!$A$2:$A$17,0))</f>
        <v>días</v>
      </c>
      <c r="I241" s="193" t="str">
        <f>INDEX(_TARGETS!$K$2:$K$17,MATCH("INV",_TARGETS!$A$2:$A$17,0))</f>
        <v>OPS (carga manual en Datos)</v>
      </c>
      <c r="J241" s="258">
        <f t="shared" si="4"/>
        <v>46296</v>
      </c>
    </row>
    <row r="242" spans="1:10" ht="13.5" customHeight="1" x14ac:dyDescent="0.3">
      <c r="A242" t="s">
        <v>911</v>
      </c>
      <c r="B242" s="193" t="str">
        <f>YEAR(DATE(YEAR(RPT_MONTH),MONTH(RPT_MONTH)-10,1))&amp;"-"&amp;RIGHT("0"&amp;MONTH(DATE(YEAR(RPT_MONTH),MONTH(RPT_MONTH)-10,1)),2)</f>
        <v>2025-12</v>
      </c>
      <c r="C242" s="258">
        <f>DATE(YEAR(RPT_MONTH),MONTH(RPT_MONTH)-10,1)</f>
        <v>45992</v>
      </c>
      <c r="D242" t="s">
        <v>601</v>
      </c>
      <c r="E242" s="193" t="str">
        <f>IFERROR(INDEX(BD_KPIs!$F$2:$F$1300,MATCH(YEAR(DATE(YEAR(RPT_MONTH),MONTH(RPT_MONTH)-10,1))*100+MONTH(DATE(YEAR(RPT_MONTH),MONTH(RPT_MONTH)-10,1))&amp;"|INV|YTD",BD_KPIs!$Q$2:$Q$1300,0)),"")</f>
        <v/>
      </c>
      <c r="F242" s="193" t="str">
        <f>IFERROR(INDEX(BD_KPIs!$G$2:$G$1300,MATCH(YEAR(DATE(YEAR(RPT_MONTH),MONTH(RPT_MONTH)-10,1))*100+MONTH(DATE(YEAR(RPT_MONTH),MONTH(RPT_MONTH)-10,1))&amp;"|INV|YTD",BD_KPIs!$Q$2:$Q$1300,0)),"")</f>
        <v/>
      </c>
      <c r="G242" s="193" t="str">
        <f>IF(ISNUMBER(E242),IF(F242="","No target",IF(IFERROR(INDEX(BD_KPIs!$I$2:$I$1300,MATCH(YEAR(DATE(YEAR(RPT_MONTH),MONTH(RPT_MONTH)-10,1))*100+MONTH(DATE(YEAR(RPT_MONTH),MONTH(RPT_MONTH)-10,1))&amp;"|INV|YTD",BD_KPIs!$Q$2:$Q$1300,0)),"")="Sí","On target","Off target")),"No data")</f>
        <v>No data</v>
      </c>
      <c r="H242" s="193" t="str">
        <f>INDEX(_TARGETS!$D$2:$D$17,MATCH("INV",_TARGETS!$A$2:$A$17,0))</f>
        <v>días</v>
      </c>
      <c r="I242" s="193" t="str">
        <f>INDEX(_TARGETS!$K$2:$K$17,MATCH("INV",_TARGETS!$A$2:$A$17,0))</f>
        <v>OPS (carga manual en Datos)</v>
      </c>
      <c r="J242" s="258">
        <f t="shared" si="4"/>
        <v>46296</v>
      </c>
    </row>
    <row r="243" spans="1:10" ht="13.5" customHeight="1" x14ac:dyDescent="0.3">
      <c r="A243" t="s">
        <v>911</v>
      </c>
      <c r="B243" s="193" t="str">
        <f>YEAR(DATE(YEAR(RPT_MONTH),MONTH(RPT_MONTH)-9,1))&amp;"-"&amp;RIGHT("0"&amp;MONTH(DATE(YEAR(RPT_MONTH),MONTH(RPT_MONTH)-9,1)),2)</f>
        <v>2026-01</v>
      </c>
      <c r="C243" s="258">
        <f>DATE(YEAR(RPT_MONTH),MONTH(RPT_MONTH)-9,1)</f>
        <v>46023</v>
      </c>
      <c r="D243" t="s">
        <v>601</v>
      </c>
      <c r="E243" s="193" t="str">
        <f>IFERROR(INDEX(BD_KPIs!$F$2:$F$1300,MATCH(YEAR(DATE(YEAR(RPT_MONTH),MONTH(RPT_MONTH)-9,1))*100+MONTH(DATE(YEAR(RPT_MONTH),MONTH(RPT_MONTH)-9,1))&amp;"|INV|YTD",BD_KPIs!$Q$2:$Q$1300,0)),"")</f>
        <v/>
      </c>
      <c r="F243" s="193" t="str">
        <f>IFERROR(INDEX(BD_KPIs!$G$2:$G$1300,MATCH(YEAR(DATE(YEAR(RPT_MONTH),MONTH(RPT_MONTH)-9,1))*100+MONTH(DATE(YEAR(RPT_MONTH),MONTH(RPT_MONTH)-9,1))&amp;"|INV|YTD",BD_KPIs!$Q$2:$Q$1300,0)),"")</f>
        <v/>
      </c>
      <c r="G243" s="193" t="str">
        <f>IF(ISNUMBER(E243),IF(F243="","No target",IF(IFERROR(INDEX(BD_KPIs!$I$2:$I$1300,MATCH(YEAR(DATE(YEAR(RPT_MONTH),MONTH(RPT_MONTH)-9,1))*100+MONTH(DATE(YEAR(RPT_MONTH),MONTH(RPT_MONTH)-9,1))&amp;"|INV|YTD",BD_KPIs!$Q$2:$Q$1300,0)),"")="Sí","On target","Off target")),"No data")</f>
        <v>No data</v>
      </c>
      <c r="H243" s="193" t="str">
        <f>INDEX(_TARGETS!$D$2:$D$17,MATCH("INV",_TARGETS!$A$2:$A$17,0))</f>
        <v>días</v>
      </c>
      <c r="I243" s="193" t="str">
        <f>INDEX(_TARGETS!$K$2:$K$17,MATCH("INV",_TARGETS!$A$2:$A$17,0))</f>
        <v>OPS (carga manual en Datos)</v>
      </c>
      <c r="J243" s="258">
        <f t="shared" si="4"/>
        <v>46296</v>
      </c>
    </row>
    <row r="244" spans="1:10" ht="13.5" customHeight="1" x14ac:dyDescent="0.3">
      <c r="A244" t="s">
        <v>911</v>
      </c>
      <c r="B244" s="193" t="str">
        <f>YEAR(DATE(YEAR(RPT_MONTH),MONTH(RPT_MONTH)-8,1))&amp;"-"&amp;RIGHT("0"&amp;MONTH(DATE(YEAR(RPT_MONTH),MONTH(RPT_MONTH)-8,1)),2)</f>
        <v>2026-02</v>
      </c>
      <c r="C244" s="258">
        <f>DATE(YEAR(RPT_MONTH),MONTH(RPT_MONTH)-8,1)</f>
        <v>46054</v>
      </c>
      <c r="D244" t="s">
        <v>601</v>
      </c>
      <c r="E244" s="193" t="str">
        <f>IFERROR(INDEX(BD_KPIs!$F$2:$F$1300,MATCH(YEAR(DATE(YEAR(RPT_MONTH),MONTH(RPT_MONTH)-8,1))*100+MONTH(DATE(YEAR(RPT_MONTH),MONTH(RPT_MONTH)-8,1))&amp;"|INV|YTD",BD_KPIs!$Q$2:$Q$1300,0)),"")</f>
        <v/>
      </c>
      <c r="F244" s="193" t="str">
        <f>IFERROR(INDEX(BD_KPIs!$G$2:$G$1300,MATCH(YEAR(DATE(YEAR(RPT_MONTH),MONTH(RPT_MONTH)-8,1))*100+MONTH(DATE(YEAR(RPT_MONTH),MONTH(RPT_MONTH)-8,1))&amp;"|INV|YTD",BD_KPIs!$Q$2:$Q$1300,0)),"")</f>
        <v/>
      </c>
      <c r="G244" s="193" t="str">
        <f>IF(ISNUMBER(E244),IF(F244="","No target",IF(IFERROR(INDEX(BD_KPIs!$I$2:$I$1300,MATCH(YEAR(DATE(YEAR(RPT_MONTH),MONTH(RPT_MONTH)-8,1))*100+MONTH(DATE(YEAR(RPT_MONTH),MONTH(RPT_MONTH)-8,1))&amp;"|INV|YTD",BD_KPIs!$Q$2:$Q$1300,0)),"")="Sí","On target","Off target")),"No data")</f>
        <v>No data</v>
      </c>
      <c r="H244" s="193" t="str">
        <f>INDEX(_TARGETS!$D$2:$D$17,MATCH("INV",_TARGETS!$A$2:$A$17,0))</f>
        <v>días</v>
      </c>
      <c r="I244" s="193" t="str">
        <f>INDEX(_TARGETS!$K$2:$K$17,MATCH("INV",_TARGETS!$A$2:$A$17,0))</f>
        <v>OPS (carga manual en Datos)</v>
      </c>
      <c r="J244" s="258">
        <f t="shared" si="4"/>
        <v>46296</v>
      </c>
    </row>
    <row r="245" spans="1:10" ht="13.5" customHeight="1" x14ac:dyDescent="0.3">
      <c r="A245" t="s">
        <v>911</v>
      </c>
      <c r="B245" s="193" t="str">
        <f>YEAR(DATE(YEAR(RPT_MONTH),MONTH(RPT_MONTH)-7,1))&amp;"-"&amp;RIGHT("0"&amp;MONTH(DATE(YEAR(RPT_MONTH),MONTH(RPT_MONTH)-7,1)),2)</f>
        <v>2026-03</v>
      </c>
      <c r="C245" s="258">
        <f>DATE(YEAR(RPT_MONTH),MONTH(RPT_MONTH)-7,1)</f>
        <v>46082</v>
      </c>
      <c r="D245" t="s">
        <v>601</v>
      </c>
      <c r="E245" s="193" t="str">
        <f>IFERROR(INDEX(BD_KPIs!$F$2:$F$1300,MATCH(YEAR(DATE(YEAR(RPT_MONTH),MONTH(RPT_MONTH)-7,1))*100+MONTH(DATE(YEAR(RPT_MONTH),MONTH(RPT_MONTH)-7,1))&amp;"|INV|YTD",BD_KPIs!$Q$2:$Q$1300,0)),"")</f>
        <v/>
      </c>
      <c r="F245" s="193" t="str">
        <f>IFERROR(INDEX(BD_KPIs!$G$2:$G$1300,MATCH(YEAR(DATE(YEAR(RPT_MONTH),MONTH(RPT_MONTH)-7,1))*100+MONTH(DATE(YEAR(RPT_MONTH),MONTH(RPT_MONTH)-7,1))&amp;"|INV|YTD",BD_KPIs!$Q$2:$Q$1300,0)),"")</f>
        <v/>
      </c>
      <c r="G245" s="193" t="str">
        <f>IF(ISNUMBER(E245),IF(F245="","No target",IF(IFERROR(INDEX(BD_KPIs!$I$2:$I$1300,MATCH(YEAR(DATE(YEAR(RPT_MONTH),MONTH(RPT_MONTH)-7,1))*100+MONTH(DATE(YEAR(RPT_MONTH),MONTH(RPT_MONTH)-7,1))&amp;"|INV|YTD",BD_KPIs!$Q$2:$Q$1300,0)),"")="Sí","On target","Off target")),"No data")</f>
        <v>No data</v>
      </c>
      <c r="H245" s="193" t="str">
        <f>INDEX(_TARGETS!$D$2:$D$17,MATCH("INV",_TARGETS!$A$2:$A$17,0))</f>
        <v>días</v>
      </c>
      <c r="I245" s="193" t="str">
        <f>INDEX(_TARGETS!$K$2:$K$17,MATCH("INV",_TARGETS!$A$2:$A$17,0))</f>
        <v>OPS (carga manual en Datos)</v>
      </c>
      <c r="J245" s="258">
        <f t="shared" si="4"/>
        <v>46296</v>
      </c>
    </row>
    <row r="246" spans="1:10" ht="13.5" customHeight="1" x14ac:dyDescent="0.3">
      <c r="A246" t="s">
        <v>911</v>
      </c>
      <c r="B246" s="193" t="str">
        <f>YEAR(DATE(YEAR(RPT_MONTH),MONTH(RPT_MONTH)-6,1))&amp;"-"&amp;RIGHT("0"&amp;MONTH(DATE(YEAR(RPT_MONTH),MONTH(RPT_MONTH)-6,1)),2)</f>
        <v>2026-04</v>
      </c>
      <c r="C246" s="258">
        <f>DATE(YEAR(RPT_MONTH),MONTH(RPT_MONTH)-6,1)</f>
        <v>46113</v>
      </c>
      <c r="D246" t="s">
        <v>601</v>
      </c>
      <c r="E246" s="193" t="str">
        <f>IFERROR(INDEX(BD_KPIs!$F$2:$F$1300,MATCH(YEAR(DATE(YEAR(RPT_MONTH),MONTH(RPT_MONTH)-6,1))*100+MONTH(DATE(YEAR(RPT_MONTH),MONTH(RPT_MONTH)-6,1))&amp;"|INV|YTD",BD_KPIs!$Q$2:$Q$1300,0)),"")</f>
        <v/>
      </c>
      <c r="F246" s="193" t="str">
        <f>IFERROR(INDEX(BD_KPIs!$G$2:$G$1300,MATCH(YEAR(DATE(YEAR(RPT_MONTH),MONTH(RPT_MONTH)-6,1))*100+MONTH(DATE(YEAR(RPT_MONTH),MONTH(RPT_MONTH)-6,1))&amp;"|INV|YTD",BD_KPIs!$Q$2:$Q$1300,0)),"")</f>
        <v/>
      </c>
      <c r="G246" s="193" t="str">
        <f>IF(ISNUMBER(E246),IF(F246="","No target",IF(IFERROR(INDEX(BD_KPIs!$I$2:$I$1300,MATCH(YEAR(DATE(YEAR(RPT_MONTH),MONTH(RPT_MONTH)-6,1))*100+MONTH(DATE(YEAR(RPT_MONTH),MONTH(RPT_MONTH)-6,1))&amp;"|INV|YTD",BD_KPIs!$Q$2:$Q$1300,0)),"")="Sí","On target","Off target")),"No data")</f>
        <v>No data</v>
      </c>
      <c r="H246" s="193" t="str">
        <f>INDEX(_TARGETS!$D$2:$D$17,MATCH("INV",_TARGETS!$A$2:$A$17,0))</f>
        <v>días</v>
      </c>
      <c r="I246" s="193" t="str">
        <f>INDEX(_TARGETS!$K$2:$K$17,MATCH("INV",_TARGETS!$A$2:$A$17,0))</f>
        <v>OPS (carga manual en Datos)</v>
      </c>
      <c r="J246" s="258">
        <f t="shared" si="4"/>
        <v>46296</v>
      </c>
    </row>
    <row r="247" spans="1:10" ht="13.5" customHeight="1" x14ac:dyDescent="0.3">
      <c r="A247" t="s">
        <v>911</v>
      </c>
      <c r="B247" s="193" t="str">
        <f>YEAR(DATE(YEAR(RPT_MONTH),MONTH(RPT_MONTH)-5,1))&amp;"-"&amp;RIGHT("0"&amp;MONTH(DATE(YEAR(RPT_MONTH),MONTH(RPT_MONTH)-5,1)),2)</f>
        <v>2026-05</v>
      </c>
      <c r="C247" s="258">
        <f>DATE(YEAR(RPT_MONTH),MONTH(RPT_MONTH)-5,1)</f>
        <v>46143</v>
      </c>
      <c r="D247" t="s">
        <v>601</v>
      </c>
      <c r="E247" s="193" t="str">
        <f>IFERROR(INDEX(BD_KPIs!$F$2:$F$1300,MATCH(YEAR(DATE(YEAR(RPT_MONTH),MONTH(RPT_MONTH)-5,1))*100+MONTH(DATE(YEAR(RPT_MONTH),MONTH(RPT_MONTH)-5,1))&amp;"|INV|YTD",BD_KPIs!$Q$2:$Q$1300,0)),"")</f>
        <v/>
      </c>
      <c r="F247" s="193" t="str">
        <f>IFERROR(INDEX(BD_KPIs!$G$2:$G$1300,MATCH(YEAR(DATE(YEAR(RPT_MONTH),MONTH(RPT_MONTH)-5,1))*100+MONTH(DATE(YEAR(RPT_MONTH),MONTH(RPT_MONTH)-5,1))&amp;"|INV|YTD",BD_KPIs!$Q$2:$Q$1300,0)),"")</f>
        <v/>
      </c>
      <c r="G247" s="193" t="str">
        <f>IF(ISNUMBER(E247),IF(F247="","No target",IF(IFERROR(INDEX(BD_KPIs!$I$2:$I$1300,MATCH(YEAR(DATE(YEAR(RPT_MONTH),MONTH(RPT_MONTH)-5,1))*100+MONTH(DATE(YEAR(RPT_MONTH),MONTH(RPT_MONTH)-5,1))&amp;"|INV|YTD",BD_KPIs!$Q$2:$Q$1300,0)),"")="Sí","On target","Off target")),"No data")</f>
        <v>No data</v>
      </c>
      <c r="H247" s="193" t="str">
        <f>INDEX(_TARGETS!$D$2:$D$17,MATCH("INV",_TARGETS!$A$2:$A$17,0))</f>
        <v>días</v>
      </c>
      <c r="I247" s="193" t="str">
        <f>INDEX(_TARGETS!$K$2:$K$17,MATCH("INV",_TARGETS!$A$2:$A$17,0))</f>
        <v>OPS (carga manual en Datos)</v>
      </c>
      <c r="J247" s="258">
        <f t="shared" si="4"/>
        <v>46296</v>
      </c>
    </row>
    <row r="248" spans="1:10" ht="13.5" customHeight="1" x14ac:dyDescent="0.3">
      <c r="A248" t="s">
        <v>911</v>
      </c>
      <c r="B248" s="193" t="str">
        <f>YEAR(DATE(YEAR(RPT_MONTH),MONTH(RPT_MONTH)-4,1))&amp;"-"&amp;RIGHT("0"&amp;MONTH(DATE(YEAR(RPT_MONTH),MONTH(RPT_MONTH)-4,1)),2)</f>
        <v>2026-06</v>
      </c>
      <c r="C248" s="258">
        <f>DATE(YEAR(RPT_MONTH),MONTH(RPT_MONTH)-4,1)</f>
        <v>46174</v>
      </c>
      <c r="D248" t="s">
        <v>601</v>
      </c>
      <c r="E248" s="193" t="str">
        <f>IFERROR(INDEX(BD_KPIs!$F$2:$F$1300,MATCH(YEAR(DATE(YEAR(RPT_MONTH),MONTH(RPT_MONTH)-4,1))*100+MONTH(DATE(YEAR(RPT_MONTH),MONTH(RPT_MONTH)-4,1))&amp;"|INV|YTD",BD_KPIs!$Q$2:$Q$1300,0)),"")</f>
        <v/>
      </c>
      <c r="F248" s="193" t="str">
        <f>IFERROR(INDEX(BD_KPIs!$G$2:$G$1300,MATCH(YEAR(DATE(YEAR(RPT_MONTH),MONTH(RPT_MONTH)-4,1))*100+MONTH(DATE(YEAR(RPT_MONTH),MONTH(RPT_MONTH)-4,1))&amp;"|INV|YTD",BD_KPIs!$Q$2:$Q$1300,0)),"")</f>
        <v/>
      </c>
      <c r="G248" s="193" t="str">
        <f>IF(ISNUMBER(E248),IF(F248="","No target",IF(IFERROR(INDEX(BD_KPIs!$I$2:$I$1300,MATCH(YEAR(DATE(YEAR(RPT_MONTH),MONTH(RPT_MONTH)-4,1))*100+MONTH(DATE(YEAR(RPT_MONTH),MONTH(RPT_MONTH)-4,1))&amp;"|INV|YTD",BD_KPIs!$Q$2:$Q$1300,0)),"")="Sí","On target","Off target")),"No data")</f>
        <v>No data</v>
      </c>
      <c r="H248" s="193" t="str">
        <f>INDEX(_TARGETS!$D$2:$D$17,MATCH("INV",_TARGETS!$A$2:$A$17,0))</f>
        <v>días</v>
      </c>
      <c r="I248" s="193" t="str">
        <f>INDEX(_TARGETS!$K$2:$K$17,MATCH("INV",_TARGETS!$A$2:$A$17,0))</f>
        <v>OPS (carga manual en Datos)</v>
      </c>
      <c r="J248" s="258">
        <f t="shared" si="4"/>
        <v>46296</v>
      </c>
    </row>
    <row r="249" spans="1:10" ht="13.5" customHeight="1" x14ac:dyDescent="0.3">
      <c r="A249" t="s">
        <v>911</v>
      </c>
      <c r="B249" s="193" t="str">
        <f>YEAR(DATE(YEAR(RPT_MONTH),MONTH(RPT_MONTH)-3,1))&amp;"-"&amp;RIGHT("0"&amp;MONTH(DATE(YEAR(RPT_MONTH),MONTH(RPT_MONTH)-3,1)),2)</f>
        <v>2026-07</v>
      </c>
      <c r="C249" s="258">
        <f>DATE(YEAR(RPT_MONTH),MONTH(RPT_MONTH)-3,1)</f>
        <v>46204</v>
      </c>
      <c r="D249" t="s">
        <v>601</v>
      </c>
      <c r="E249" s="193" t="str">
        <f>IFERROR(INDEX(BD_KPIs!$F$2:$F$1300,MATCH(YEAR(DATE(YEAR(RPT_MONTH),MONTH(RPT_MONTH)-3,1))*100+MONTH(DATE(YEAR(RPT_MONTH),MONTH(RPT_MONTH)-3,1))&amp;"|INV|YTD",BD_KPIs!$Q$2:$Q$1300,0)),"")</f>
        <v/>
      </c>
      <c r="F249" s="193" t="str">
        <f>IFERROR(INDEX(BD_KPIs!$G$2:$G$1300,MATCH(YEAR(DATE(YEAR(RPT_MONTH),MONTH(RPT_MONTH)-3,1))*100+MONTH(DATE(YEAR(RPT_MONTH),MONTH(RPT_MONTH)-3,1))&amp;"|INV|YTD",BD_KPIs!$Q$2:$Q$1300,0)),"")</f>
        <v/>
      </c>
      <c r="G249" s="193" t="str">
        <f>IF(ISNUMBER(E249),IF(F249="","No target",IF(IFERROR(INDEX(BD_KPIs!$I$2:$I$1300,MATCH(YEAR(DATE(YEAR(RPT_MONTH),MONTH(RPT_MONTH)-3,1))*100+MONTH(DATE(YEAR(RPT_MONTH),MONTH(RPT_MONTH)-3,1))&amp;"|INV|YTD",BD_KPIs!$Q$2:$Q$1300,0)),"")="Sí","On target","Off target")),"No data")</f>
        <v>No data</v>
      </c>
      <c r="H249" s="193" t="str">
        <f>INDEX(_TARGETS!$D$2:$D$17,MATCH("INV",_TARGETS!$A$2:$A$17,0))</f>
        <v>días</v>
      </c>
      <c r="I249" s="193" t="str">
        <f>INDEX(_TARGETS!$K$2:$K$17,MATCH("INV",_TARGETS!$A$2:$A$17,0))</f>
        <v>OPS (carga manual en Datos)</v>
      </c>
      <c r="J249" s="258">
        <f t="shared" si="4"/>
        <v>46296</v>
      </c>
    </row>
    <row r="250" spans="1:10" ht="13.5" customHeight="1" x14ac:dyDescent="0.3">
      <c r="A250" t="s">
        <v>911</v>
      </c>
      <c r="B250" s="193" t="str">
        <f>YEAR(DATE(YEAR(RPT_MONTH),MONTH(RPT_MONTH)-2,1))&amp;"-"&amp;RIGHT("0"&amp;MONTH(DATE(YEAR(RPT_MONTH),MONTH(RPT_MONTH)-2,1)),2)</f>
        <v>2026-08</v>
      </c>
      <c r="C250" s="258">
        <f>DATE(YEAR(RPT_MONTH),MONTH(RPT_MONTH)-2,1)</f>
        <v>46235</v>
      </c>
      <c r="D250" t="s">
        <v>601</v>
      </c>
      <c r="E250" s="193" t="str">
        <f>IFERROR(INDEX(BD_KPIs!$F$2:$F$1300,MATCH(YEAR(DATE(YEAR(RPT_MONTH),MONTH(RPT_MONTH)-2,1))*100+MONTH(DATE(YEAR(RPT_MONTH),MONTH(RPT_MONTH)-2,1))&amp;"|INV|YTD",BD_KPIs!$Q$2:$Q$1300,0)),"")</f>
        <v/>
      </c>
      <c r="F250" s="193">
        <f>IFERROR(INDEX(BD_KPIs!$G$2:$G$1300,MATCH(YEAR(DATE(YEAR(RPT_MONTH),MONTH(RPT_MONTH)-2,1))*100+MONTH(DATE(YEAR(RPT_MONTH),MONTH(RPT_MONTH)-2,1))&amp;"|INV|YTD",BD_KPIs!$Q$2:$Q$1300,0)),"")</f>
        <v>20</v>
      </c>
      <c r="G250" s="193" t="str">
        <f>IF(ISNUMBER(E250),IF(F250="","No target",IF(IFERROR(INDEX(BD_KPIs!$I$2:$I$1300,MATCH(YEAR(DATE(YEAR(RPT_MONTH),MONTH(RPT_MONTH)-2,1))*100+MONTH(DATE(YEAR(RPT_MONTH),MONTH(RPT_MONTH)-2,1))&amp;"|INV|YTD",BD_KPIs!$Q$2:$Q$1300,0)),"")="Sí","On target","Off target")),"No data")</f>
        <v>No data</v>
      </c>
      <c r="H250" s="193" t="str">
        <f>INDEX(_TARGETS!$D$2:$D$17,MATCH("INV",_TARGETS!$A$2:$A$17,0))</f>
        <v>días</v>
      </c>
      <c r="I250" s="193" t="str">
        <f>INDEX(_TARGETS!$K$2:$K$17,MATCH("INV",_TARGETS!$A$2:$A$17,0))</f>
        <v>OPS (carga manual en Datos)</v>
      </c>
      <c r="J250" s="258">
        <f t="shared" si="4"/>
        <v>46296</v>
      </c>
    </row>
    <row r="251" spans="1:10" ht="13.5" customHeight="1" x14ac:dyDescent="0.3">
      <c r="A251" t="s">
        <v>911</v>
      </c>
      <c r="B251" s="193" t="str">
        <f>YEAR(DATE(YEAR(RPT_MONTH),MONTH(RPT_MONTH)-1,1))&amp;"-"&amp;RIGHT("0"&amp;MONTH(DATE(YEAR(RPT_MONTH),MONTH(RPT_MONTH)-1,1)),2)</f>
        <v>2026-09</v>
      </c>
      <c r="C251" s="258">
        <f>DATE(YEAR(RPT_MONTH),MONTH(RPT_MONTH)-1,1)</f>
        <v>46266</v>
      </c>
      <c r="D251" t="s">
        <v>601</v>
      </c>
      <c r="E251" s="193" t="str">
        <f>IFERROR(INDEX(BD_KPIs!$F$2:$F$1300,MATCH(YEAR(DATE(YEAR(RPT_MONTH),MONTH(RPT_MONTH)-1,1))*100+MONTH(DATE(YEAR(RPT_MONTH),MONTH(RPT_MONTH)-1,1))&amp;"|INV|YTD",BD_KPIs!$Q$2:$Q$1300,0)),"")</f>
        <v/>
      </c>
      <c r="F251" s="251">
        <f>IFERROR(INDEX(BD_KPIs!$G$2:$G$1300,MATCH(YEAR(DATE(YEAR(RPT_MONTH),MONTH(RPT_MONTH)-1,1))*100+MONTH(DATE(YEAR(RPT_MONTH),MONTH(RPT_MONTH)-1,1))&amp;"|INV|YTD",BD_KPIs!$Q$2:$Q$1300,0)),"")</f>
        <v>20</v>
      </c>
      <c r="G251" s="193" t="str">
        <f>IF(ISNUMBER(E251),IF(F251="","No target",IF(IFERROR(INDEX(BD_KPIs!$I$2:$I$1300,MATCH(YEAR(DATE(YEAR(RPT_MONTH),MONTH(RPT_MONTH)-1,1))*100+MONTH(DATE(YEAR(RPT_MONTH),MONTH(RPT_MONTH)-1,1))&amp;"|INV|YTD",BD_KPIs!$Q$2:$Q$1300,0)),"")="Sí","On target","Off target")),"No data")</f>
        <v>No data</v>
      </c>
      <c r="H251" s="193" t="str">
        <f>INDEX(_TARGETS!$D$2:$D$17,MATCH("INV",_TARGETS!$A$2:$A$17,0))</f>
        <v>días</v>
      </c>
      <c r="I251" s="193" t="str">
        <f>INDEX(_TARGETS!$K$2:$K$17,MATCH("INV",_TARGETS!$A$2:$A$17,0))</f>
        <v>OPS (carga manual en Datos)</v>
      </c>
      <c r="J251" s="258">
        <f t="shared" si="4"/>
        <v>46296</v>
      </c>
    </row>
    <row r="252" spans="1:10" ht="13.5" customHeight="1" x14ac:dyDescent="0.3">
      <c r="A252" t="s">
        <v>911</v>
      </c>
      <c r="B252" s="193" t="str">
        <f>YEAR(DATE(YEAR(RPT_MONTH),MONTH(RPT_MONTH)-0,1))&amp;"-"&amp;RIGHT("0"&amp;MONTH(DATE(YEAR(RPT_MONTH),MONTH(RPT_MONTH)-0,1)),2)</f>
        <v>2026-10</v>
      </c>
      <c r="C252" s="258">
        <f>DATE(YEAR(RPT_MONTH),MONTH(RPT_MONTH)-0,1)</f>
        <v>46296</v>
      </c>
      <c r="D252" t="s">
        <v>601</v>
      </c>
      <c r="E252" s="193" t="str">
        <f>IFERROR(INDEX(BD_KPIs!$F$2:$F$1300,MATCH(YEAR(DATE(YEAR(RPT_MONTH),MONTH(RPT_MONTH)-0,1))*100+MONTH(DATE(YEAR(RPT_MONTH),MONTH(RPT_MONTH)-0,1))&amp;"|INV|YTD",BD_KPIs!$Q$2:$Q$1300,0)),"")</f>
        <v/>
      </c>
      <c r="F252" s="251">
        <f>IFERROR(INDEX(BD_KPIs!$G$2:$G$1300,MATCH(YEAR(DATE(YEAR(RPT_MONTH),MONTH(RPT_MONTH)-0,1))*100+MONTH(DATE(YEAR(RPT_MONTH),MONTH(RPT_MONTH)-0,1))&amp;"|INV|YTD",BD_KPIs!$Q$2:$Q$1300,0)),"")</f>
        <v>20</v>
      </c>
      <c r="G252" s="193" t="str">
        <f>IF(ISNUMBER(E252),IF(F252="","No target",IF(IFERROR(INDEX(BD_KPIs!$I$2:$I$1300,MATCH(YEAR(DATE(YEAR(RPT_MONTH),MONTH(RPT_MONTH)-0,1))*100+MONTH(DATE(YEAR(RPT_MONTH),MONTH(RPT_MONTH)-0,1))&amp;"|INV|YTD",BD_KPIs!$Q$2:$Q$1300,0)),"")="Sí","On target","Off target")),"No data")</f>
        <v>No data</v>
      </c>
      <c r="H252" s="193" t="str">
        <f>INDEX(_TARGETS!$D$2:$D$17,MATCH("INV",_TARGETS!$A$2:$A$17,0))</f>
        <v>días</v>
      </c>
      <c r="I252" s="193" t="str">
        <f>INDEX(_TARGETS!$K$2:$K$17,MATCH("INV",_TARGETS!$A$2:$A$17,0))</f>
        <v>OPS (carga manual en Datos)</v>
      </c>
      <c r="J252" s="258">
        <f t="shared" si="4"/>
        <v>46296</v>
      </c>
    </row>
    <row r="253" spans="1:10" ht="13.5" customHeight="1" x14ac:dyDescent="0.3">
      <c r="A253" t="s">
        <v>912</v>
      </c>
      <c r="B253" s="193" t="str">
        <f>YEAR(DATE(YEAR(RPT_MONTH),MONTH(RPT_MONTH)-11,1))&amp;"-"&amp;RIGHT("0"&amp;MONTH(DATE(YEAR(RPT_MONTH),MONTH(RPT_MONTH)-11,1)),2)</f>
        <v>2025-11</v>
      </c>
      <c r="C253" s="258">
        <f>DATE(YEAR(RPT_MONTH),MONTH(RPT_MONTH)-11,1)</f>
        <v>45962</v>
      </c>
      <c r="D253" t="s">
        <v>68</v>
      </c>
      <c r="E253" s="193" t="str">
        <f>IFERROR(INDEX(BD_KPIs!$F$2:$F$1300,MATCH(YEAR(DATE(YEAR(RPT_MONTH),MONTH(RPT_MONTH)-11,1))*100+MONTH(DATE(YEAR(RPT_MONTH),MONTH(RPT_MONTH)-11,1))&amp;"|HCS|Monthly",BD_KPIs!$Q$2:$Q$1300,0)),"")</f>
        <v/>
      </c>
      <c r="F253" s="193" t="str">
        <f>IFERROR(INDEX(BD_KPIs!$G$2:$G$1300,MATCH(YEAR(DATE(YEAR(RPT_MONTH),MONTH(RPT_MONTH)-11,1))*100+MONTH(DATE(YEAR(RPT_MONTH),MONTH(RPT_MONTH)-11,1))&amp;"|HCS|Monthly",BD_KPIs!$Q$2:$Q$1300,0)),"")</f>
        <v/>
      </c>
      <c r="G253" s="193" t="str">
        <f>IF(ISNUMBER(E253),IF(F253="","No target",IF(IFERROR(INDEX(BD_KPIs!$I$2:$I$1300,MATCH(YEAR(DATE(YEAR(RPT_MONTH),MONTH(RPT_MONTH)-11,1))*100+MONTH(DATE(YEAR(RPT_MONTH),MONTH(RPT_MONTH)-11,1))&amp;"|HCS|Monthly",BD_KPIs!$Q$2:$Q$1300,0)),"")="Sí","On target","Off target")),"No data")</f>
        <v>No data</v>
      </c>
      <c r="H253" s="193" t="str">
        <f>INDEX(_TARGETS!$D$2:$D$17,MATCH("HCS",_TARGETS!$A$2:$A$17,0))</f>
        <v>% (fracción)</v>
      </c>
      <c r="I253" s="193" t="str">
        <f>INDEX(_TARGETS!$K$2:$K$17,MATCH("HCS",_TARGETS!$A$2:$A$17,0))</f>
        <v>OPS (carga manual en Datos)</v>
      </c>
      <c r="J253" s="258">
        <f t="shared" si="4"/>
        <v>46296</v>
      </c>
    </row>
    <row r="254" spans="1:10" ht="13.5" customHeight="1" x14ac:dyDescent="0.3">
      <c r="A254" t="s">
        <v>912</v>
      </c>
      <c r="B254" s="193" t="str">
        <f>YEAR(DATE(YEAR(RPT_MONTH),MONTH(RPT_MONTH)-10,1))&amp;"-"&amp;RIGHT("0"&amp;MONTH(DATE(YEAR(RPT_MONTH),MONTH(RPT_MONTH)-10,1)),2)</f>
        <v>2025-12</v>
      </c>
      <c r="C254" s="258">
        <f>DATE(YEAR(RPT_MONTH),MONTH(RPT_MONTH)-10,1)</f>
        <v>45992</v>
      </c>
      <c r="D254" t="s">
        <v>68</v>
      </c>
      <c r="E254" s="193" t="str">
        <f>IFERROR(INDEX(BD_KPIs!$F$2:$F$1300,MATCH(YEAR(DATE(YEAR(RPT_MONTH),MONTH(RPT_MONTH)-10,1))*100+MONTH(DATE(YEAR(RPT_MONTH),MONTH(RPT_MONTH)-10,1))&amp;"|HCS|Monthly",BD_KPIs!$Q$2:$Q$1300,0)),"")</f>
        <v/>
      </c>
      <c r="F254" s="193" t="str">
        <f>IFERROR(INDEX(BD_KPIs!$G$2:$G$1300,MATCH(YEAR(DATE(YEAR(RPT_MONTH),MONTH(RPT_MONTH)-10,1))*100+MONTH(DATE(YEAR(RPT_MONTH),MONTH(RPT_MONTH)-10,1))&amp;"|HCS|Monthly",BD_KPIs!$Q$2:$Q$1300,0)),"")</f>
        <v/>
      </c>
      <c r="G254" s="193" t="str">
        <f>IF(ISNUMBER(E254),IF(F254="","No target",IF(IFERROR(INDEX(BD_KPIs!$I$2:$I$1300,MATCH(YEAR(DATE(YEAR(RPT_MONTH),MONTH(RPT_MONTH)-10,1))*100+MONTH(DATE(YEAR(RPT_MONTH),MONTH(RPT_MONTH)-10,1))&amp;"|HCS|Monthly",BD_KPIs!$Q$2:$Q$1300,0)),"")="Sí","On target","Off target")),"No data")</f>
        <v>No data</v>
      </c>
      <c r="H254" s="193" t="str">
        <f>INDEX(_TARGETS!$D$2:$D$17,MATCH("HCS",_TARGETS!$A$2:$A$17,0))</f>
        <v>% (fracción)</v>
      </c>
      <c r="I254" s="193" t="str">
        <f>INDEX(_TARGETS!$K$2:$K$17,MATCH("HCS",_TARGETS!$A$2:$A$17,0))</f>
        <v>OPS (carga manual en Datos)</v>
      </c>
      <c r="J254" s="258">
        <f t="shared" si="4"/>
        <v>46296</v>
      </c>
    </row>
    <row r="255" spans="1:10" ht="13.5" customHeight="1" x14ac:dyDescent="0.3">
      <c r="A255" t="s">
        <v>912</v>
      </c>
      <c r="B255" s="193" t="str">
        <f>YEAR(DATE(YEAR(RPT_MONTH),MONTH(RPT_MONTH)-9,1))&amp;"-"&amp;RIGHT("0"&amp;MONTH(DATE(YEAR(RPT_MONTH),MONTH(RPT_MONTH)-9,1)),2)</f>
        <v>2026-01</v>
      </c>
      <c r="C255" s="258">
        <f>DATE(YEAR(RPT_MONTH),MONTH(RPT_MONTH)-9,1)</f>
        <v>46023</v>
      </c>
      <c r="D255" t="s">
        <v>68</v>
      </c>
      <c r="E255" s="193" t="str">
        <f>IFERROR(INDEX(BD_KPIs!$F$2:$F$1300,MATCH(YEAR(DATE(YEAR(RPT_MONTH),MONTH(RPT_MONTH)-9,1))*100+MONTH(DATE(YEAR(RPT_MONTH),MONTH(RPT_MONTH)-9,1))&amp;"|HCS|Monthly",BD_KPIs!$Q$2:$Q$1300,0)),"")</f>
        <v/>
      </c>
      <c r="F255" s="193" t="str">
        <f>IFERROR(INDEX(BD_KPIs!$G$2:$G$1300,MATCH(YEAR(DATE(YEAR(RPT_MONTH),MONTH(RPT_MONTH)-9,1))*100+MONTH(DATE(YEAR(RPT_MONTH),MONTH(RPT_MONTH)-9,1))&amp;"|HCS|Monthly",BD_KPIs!$Q$2:$Q$1300,0)),"")</f>
        <v/>
      </c>
      <c r="G255" s="193" t="str">
        <f>IF(ISNUMBER(E255),IF(F255="","No target",IF(IFERROR(INDEX(BD_KPIs!$I$2:$I$1300,MATCH(YEAR(DATE(YEAR(RPT_MONTH),MONTH(RPT_MONTH)-9,1))*100+MONTH(DATE(YEAR(RPT_MONTH),MONTH(RPT_MONTH)-9,1))&amp;"|HCS|Monthly",BD_KPIs!$Q$2:$Q$1300,0)),"")="Sí","On target","Off target")),"No data")</f>
        <v>No data</v>
      </c>
      <c r="H255" s="193" t="str">
        <f>INDEX(_TARGETS!$D$2:$D$17,MATCH("HCS",_TARGETS!$A$2:$A$17,0))</f>
        <v>% (fracción)</v>
      </c>
      <c r="I255" s="193" t="str">
        <f>INDEX(_TARGETS!$K$2:$K$17,MATCH("HCS",_TARGETS!$A$2:$A$17,0))</f>
        <v>OPS (carga manual en Datos)</v>
      </c>
      <c r="J255" s="258">
        <f t="shared" si="4"/>
        <v>46296</v>
      </c>
    </row>
    <row r="256" spans="1:10" ht="13.5" customHeight="1" x14ac:dyDescent="0.3">
      <c r="A256" t="s">
        <v>912</v>
      </c>
      <c r="B256" s="193" t="str">
        <f>YEAR(DATE(YEAR(RPT_MONTH),MONTH(RPT_MONTH)-8,1))&amp;"-"&amp;RIGHT("0"&amp;MONTH(DATE(YEAR(RPT_MONTH),MONTH(RPT_MONTH)-8,1)),2)</f>
        <v>2026-02</v>
      </c>
      <c r="C256" s="258">
        <f>DATE(YEAR(RPT_MONTH),MONTH(RPT_MONTH)-8,1)</f>
        <v>46054</v>
      </c>
      <c r="D256" t="s">
        <v>68</v>
      </c>
      <c r="E256" s="193" t="str">
        <f>IFERROR(INDEX(BD_KPIs!$F$2:$F$1300,MATCH(YEAR(DATE(YEAR(RPT_MONTH),MONTH(RPT_MONTH)-8,1))*100+MONTH(DATE(YEAR(RPT_MONTH),MONTH(RPT_MONTH)-8,1))&amp;"|HCS|Monthly",BD_KPIs!$Q$2:$Q$1300,0)),"")</f>
        <v/>
      </c>
      <c r="F256" s="193" t="str">
        <f>IFERROR(INDEX(BD_KPIs!$G$2:$G$1300,MATCH(YEAR(DATE(YEAR(RPT_MONTH),MONTH(RPT_MONTH)-8,1))*100+MONTH(DATE(YEAR(RPT_MONTH),MONTH(RPT_MONTH)-8,1))&amp;"|HCS|Monthly",BD_KPIs!$Q$2:$Q$1300,0)),"")</f>
        <v/>
      </c>
      <c r="G256" s="193" t="str">
        <f>IF(ISNUMBER(E256),IF(F256="","No target",IF(IFERROR(INDEX(BD_KPIs!$I$2:$I$1300,MATCH(YEAR(DATE(YEAR(RPT_MONTH),MONTH(RPT_MONTH)-8,1))*100+MONTH(DATE(YEAR(RPT_MONTH),MONTH(RPT_MONTH)-8,1))&amp;"|HCS|Monthly",BD_KPIs!$Q$2:$Q$1300,0)),"")="Sí","On target","Off target")),"No data")</f>
        <v>No data</v>
      </c>
      <c r="H256" s="193" t="str">
        <f>INDEX(_TARGETS!$D$2:$D$17,MATCH("HCS",_TARGETS!$A$2:$A$17,0))</f>
        <v>% (fracción)</v>
      </c>
      <c r="I256" s="193" t="str">
        <f>INDEX(_TARGETS!$K$2:$K$17,MATCH("HCS",_TARGETS!$A$2:$A$17,0))</f>
        <v>OPS (carga manual en Datos)</v>
      </c>
      <c r="J256" s="258">
        <f t="shared" si="4"/>
        <v>46296</v>
      </c>
    </row>
    <row r="257" spans="1:10" ht="13.5" customHeight="1" x14ac:dyDescent="0.3">
      <c r="A257" t="s">
        <v>912</v>
      </c>
      <c r="B257" s="193" t="str">
        <f>YEAR(DATE(YEAR(RPT_MONTH),MONTH(RPT_MONTH)-7,1))&amp;"-"&amp;RIGHT("0"&amp;MONTH(DATE(YEAR(RPT_MONTH),MONTH(RPT_MONTH)-7,1)),2)</f>
        <v>2026-03</v>
      </c>
      <c r="C257" s="258">
        <f>DATE(YEAR(RPT_MONTH),MONTH(RPT_MONTH)-7,1)</f>
        <v>46082</v>
      </c>
      <c r="D257" t="s">
        <v>68</v>
      </c>
      <c r="E257" s="193" t="str">
        <f>IFERROR(INDEX(BD_KPIs!$F$2:$F$1300,MATCH(YEAR(DATE(YEAR(RPT_MONTH),MONTH(RPT_MONTH)-7,1))*100+MONTH(DATE(YEAR(RPT_MONTH),MONTH(RPT_MONTH)-7,1))&amp;"|HCS|Monthly",BD_KPIs!$Q$2:$Q$1300,0)),"")</f>
        <v/>
      </c>
      <c r="F257" s="193" t="str">
        <f>IFERROR(INDEX(BD_KPIs!$G$2:$G$1300,MATCH(YEAR(DATE(YEAR(RPT_MONTH),MONTH(RPT_MONTH)-7,1))*100+MONTH(DATE(YEAR(RPT_MONTH),MONTH(RPT_MONTH)-7,1))&amp;"|HCS|Monthly",BD_KPIs!$Q$2:$Q$1300,0)),"")</f>
        <v/>
      </c>
      <c r="G257" s="193" t="str">
        <f>IF(ISNUMBER(E257),IF(F257="","No target",IF(IFERROR(INDEX(BD_KPIs!$I$2:$I$1300,MATCH(YEAR(DATE(YEAR(RPT_MONTH),MONTH(RPT_MONTH)-7,1))*100+MONTH(DATE(YEAR(RPT_MONTH),MONTH(RPT_MONTH)-7,1))&amp;"|HCS|Monthly",BD_KPIs!$Q$2:$Q$1300,0)),"")="Sí","On target","Off target")),"No data")</f>
        <v>No data</v>
      </c>
      <c r="H257" s="193" t="str">
        <f>INDEX(_TARGETS!$D$2:$D$17,MATCH("HCS",_TARGETS!$A$2:$A$17,0))</f>
        <v>% (fracción)</v>
      </c>
      <c r="I257" s="193" t="str">
        <f>INDEX(_TARGETS!$K$2:$K$17,MATCH("HCS",_TARGETS!$A$2:$A$17,0))</f>
        <v>OPS (carga manual en Datos)</v>
      </c>
      <c r="J257" s="258">
        <f t="shared" si="4"/>
        <v>46296</v>
      </c>
    </row>
    <row r="258" spans="1:10" ht="13.5" customHeight="1" x14ac:dyDescent="0.3">
      <c r="A258" t="s">
        <v>912</v>
      </c>
      <c r="B258" s="193" t="str">
        <f>YEAR(DATE(YEAR(RPT_MONTH),MONTH(RPT_MONTH)-6,1))&amp;"-"&amp;RIGHT("0"&amp;MONTH(DATE(YEAR(RPT_MONTH),MONTH(RPT_MONTH)-6,1)),2)</f>
        <v>2026-04</v>
      </c>
      <c r="C258" s="258">
        <f>DATE(YEAR(RPT_MONTH),MONTH(RPT_MONTH)-6,1)</f>
        <v>46113</v>
      </c>
      <c r="D258" t="s">
        <v>68</v>
      </c>
      <c r="E258" s="193" t="str">
        <f>IFERROR(INDEX(BD_KPIs!$F$2:$F$1300,MATCH(YEAR(DATE(YEAR(RPT_MONTH),MONTH(RPT_MONTH)-6,1))*100+MONTH(DATE(YEAR(RPT_MONTH),MONTH(RPT_MONTH)-6,1))&amp;"|HCS|Monthly",BD_KPIs!$Q$2:$Q$1300,0)),"")</f>
        <v/>
      </c>
      <c r="F258" s="193" t="str">
        <f>IFERROR(INDEX(BD_KPIs!$G$2:$G$1300,MATCH(YEAR(DATE(YEAR(RPT_MONTH),MONTH(RPT_MONTH)-6,1))*100+MONTH(DATE(YEAR(RPT_MONTH),MONTH(RPT_MONTH)-6,1))&amp;"|HCS|Monthly",BD_KPIs!$Q$2:$Q$1300,0)),"")</f>
        <v/>
      </c>
      <c r="G258" s="193" t="str">
        <f>IF(ISNUMBER(E258),IF(F258="","No target",IF(IFERROR(INDEX(BD_KPIs!$I$2:$I$1300,MATCH(YEAR(DATE(YEAR(RPT_MONTH),MONTH(RPT_MONTH)-6,1))*100+MONTH(DATE(YEAR(RPT_MONTH),MONTH(RPT_MONTH)-6,1))&amp;"|HCS|Monthly",BD_KPIs!$Q$2:$Q$1300,0)),"")="Sí","On target","Off target")),"No data")</f>
        <v>No data</v>
      </c>
      <c r="H258" s="193" t="str">
        <f>INDEX(_TARGETS!$D$2:$D$17,MATCH("HCS",_TARGETS!$A$2:$A$17,0))</f>
        <v>% (fracción)</v>
      </c>
      <c r="I258" s="193" t="str">
        <f>INDEX(_TARGETS!$K$2:$K$17,MATCH("HCS",_TARGETS!$A$2:$A$17,0))</f>
        <v>OPS (carga manual en Datos)</v>
      </c>
      <c r="J258" s="258">
        <f t="shared" ref="J258:J321" si="5">RPT_MONTH</f>
        <v>46296</v>
      </c>
    </row>
    <row r="259" spans="1:10" ht="13.5" customHeight="1" x14ac:dyDescent="0.3">
      <c r="A259" t="s">
        <v>912</v>
      </c>
      <c r="B259" s="193" t="str">
        <f>YEAR(DATE(YEAR(RPT_MONTH),MONTH(RPT_MONTH)-5,1))&amp;"-"&amp;RIGHT("0"&amp;MONTH(DATE(YEAR(RPT_MONTH),MONTH(RPT_MONTH)-5,1)),2)</f>
        <v>2026-05</v>
      </c>
      <c r="C259" s="258">
        <f>DATE(YEAR(RPT_MONTH),MONTH(RPT_MONTH)-5,1)</f>
        <v>46143</v>
      </c>
      <c r="D259" t="s">
        <v>68</v>
      </c>
      <c r="E259" s="193" t="str">
        <f>IFERROR(INDEX(BD_KPIs!$F$2:$F$1300,MATCH(YEAR(DATE(YEAR(RPT_MONTH),MONTH(RPT_MONTH)-5,1))*100+MONTH(DATE(YEAR(RPT_MONTH),MONTH(RPT_MONTH)-5,1))&amp;"|HCS|Monthly",BD_KPIs!$Q$2:$Q$1300,0)),"")</f>
        <v/>
      </c>
      <c r="F259" s="193" t="str">
        <f>IFERROR(INDEX(BD_KPIs!$G$2:$G$1300,MATCH(YEAR(DATE(YEAR(RPT_MONTH),MONTH(RPT_MONTH)-5,1))*100+MONTH(DATE(YEAR(RPT_MONTH),MONTH(RPT_MONTH)-5,1))&amp;"|HCS|Monthly",BD_KPIs!$Q$2:$Q$1300,0)),"")</f>
        <v/>
      </c>
      <c r="G259" s="193" t="str">
        <f>IF(ISNUMBER(E259),IF(F259="","No target",IF(IFERROR(INDEX(BD_KPIs!$I$2:$I$1300,MATCH(YEAR(DATE(YEAR(RPT_MONTH),MONTH(RPT_MONTH)-5,1))*100+MONTH(DATE(YEAR(RPT_MONTH),MONTH(RPT_MONTH)-5,1))&amp;"|HCS|Monthly",BD_KPIs!$Q$2:$Q$1300,0)),"")="Sí","On target","Off target")),"No data")</f>
        <v>No data</v>
      </c>
      <c r="H259" s="193" t="str">
        <f>INDEX(_TARGETS!$D$2:$D$17,MATCH("HCS",_TARGETS!$A$2:$A$17,0))</f>
        <v>% (fracción)</v>
      </c>
      <c r="I259" s="193" t="str">
        <f>INDEX(_TARGETS!$K$2:$K$17,MATCH("HCS",_TARGETS!$A$2:$A$17,0))</f>
        <v>OPS (carga manual en Datos)</v>
      </c>
      <c r="J259" s="258">
        <f t="shared" si="5"/>
        <v>46296</v>
      </c>
    </row>
    <row r="260" spans="1:10" ht="13.5" customHeight="1" x14ac:dyDescent="0.3">
      <c r="A260" t="s">
        <v>912</v>
      </c>
      <c r="B260" s="193" t="str">
        <f>YEAR(DATE(YEAR(RPT_MONTH),MONTH(RPT_MONTH)-4,1))&amp;"-"&amp;RIGHT("0"&amp;MONTH(DATE(YEAR(RPT_MONTH),MONTH(RPT_MONTH)-4,1)),2)</f>
        <v>2026-06</v>
      </c>
      <c r="C260" s="258">
        <f>DATE(YEAR(RPT_MONTH),MONTH(RPT_MONTH)-4,1)</f>
        <v>46174</v>
      </c>
      <c r="D260" t="s">
        <v>68</v>
      </c>
      <c r="E260" s="193" t="str">
        <f>IFERROR(INDEX(BD_KPIs!$F$2:$F$1300,MATCH(YEAR(DATE(YEAR(RPT_MONTH),MONTH(RPT_MONTH)-4,1))*100+MONTH(DATE(YEAR(RPT_MONTH),MONTH(RPT_MONTH)-4,1))&amp;"|HCS|Monthly",BD_KPIs!$Q$2:$Q$1300,0)),"")</f>
        <v/>
      </c>
      <c r="F260" s="193" t="str">
        <f>IFERROR(INDEX(BD_KPIs!$G$2:$G$1300,MATCH(YEAR(DATE(YEAR(RPT_MONTH),MONTH(RPT_MONTH)-4,1))*100+MONTH(DATE(YEAR(RPT_MONTH),MONTH(RPT_MONTH)-4,1))&amp;"|HCS|Monthly",BD_KPIs!$Q$2:$Q$1300,0)),"")</f>
        <v/>
      </c>
      <c r="G260" s="193" t="str">
        <f>IF(ISNUMBER(E260),IF(F260="","No target",IF(IFERROR(INDEX(BD_KPIs!$I$2:$I$1300,MATCH(YEAR(DATE(YEAR(RPT_MONTH),MONTH(RPT_MONTH)-4,1))*100+MONTH(DATE(YEAR(RPT_MONTH),MONTH(RPT_MONTH)-4,1))&amp;"|HCS|Monthly",BD_KPIs!$Q$2:$Q$1300,0)),"")="Sí","On target","Off target")),"No data")</f>
        <v>No data</v>
      </c>
      <c r="H260" s="193" t="str">
        <f>INDEX(_TARGETS!$D$2:$D$17,MATCH("HCS",_TARGETS!$A$2:$A$17,0))</f>
        <v>% (fracción)</v>
      </c>
      <c r="I260" s="193" t="str">
        <f>INDEX(_TARGETS!$K$2:$K$17,MATCH("HCS",_TARGETS!$A$2:$A$17,0))</f>
        <v>OPS (carga manual en Datos)</v>
      </c>
      <c r="J260" s="258">
        <f t="shared" si="5"/>
        <v>46296</v>
      </c>
    </row>
    <row r="261" spans="1:10" ht="13.5" customHeight="1" x14ac:dyDescent="0.3">
      <c r="A261" t="s">
        <v>912</v>
      </c>
      <c r="B261" s="193" t="str">
        <f>YEAR(DATE(YEAR(RPT_MONTH),MONTH(RPT_MONTH)-3,1))&amp;"-"&amp;RIGHT("0"&amp;MONTH(DATE(YEAR(RPT_MONTH),MONTH(RPT_MONTH)-3,1)),2)</f>
        <v>2026-07</v>
      </c>
      <c r="C261" s="258">
        <f>DATE(YEAR(RPT_MONTH),MONTH(RPT_MONTH)-3,1)</f>
        <v>46204</v>
      </c>
      <c r="D261" t="s">
        <v>68</v>
      </c>
      <c r="E261" s="193" t="str">
        <f>IFERROR(INDEX(BD_KPIs!$F$2:$F$1300,MATCH(YEAR(DATE(YEAR(RPT_MONTH),MONTH(RPT_MONTH)-3,1))*100+MONTH(DATE(YEAR(RPT_MONTH),MONTH(RPT_MONTH)-3,1))&amp;"|HCS|Monthly",BD_KPIs!$Q$2:$Q$1300,0)),"")</f>
        <v/>
      </c>
      <c r="F261" s="193" t="str">
        <f>IFERROR(INDEX(BD_KPIs!$G$2:$G$1300,MATCH(YEAR(DATE(YEAR(RPT_MONTH),MONTH(RPT_MONTH)-3,1))*100+MONTH(DATE(YEAR(RPT_MONTH),MONTH(RPT_MONTH)-3,1))&amp;"|HCS|Monthly",BD_KPIs!$Q$2:$Q$1300,0)),"")</f>
        <v/>
      </c>
      <c r="G261" s="193" t="str">
        <f>IF(ISNUMBER(E261),IF(F261="","No target",IF(IFERROR(INDEX(BD_KPIs!$I$2:$I$1300,MATCH(YEAR(DATE(YEAR(RPT_MONTH),MONTH(RPT_MONTH)-3,1))*100+MONTH(DATE(YEAR(RPT_MONTH),MONTH(RPT_MONTH)-3,1))&amp;"|HCS|Monthly",BD_KPIs!$Q$2:$Q$1300,0)),"")="Sí","On target","Off target")),"No data")</f>
        <v>No data</v>
      </c>
      <c r="H261" s="193" t="str">
        <f>INDEX(_TARGETS!$D$2:$D$17,MATCH("HCS",_TARGETS!$A$2:$A$17,0))</f>
        <v>% (fracción)</v>
      </c>
      <c r="I261" s="193" t="str">
        <f>INDEX(_TARGETS!$K$2:$K$17,MATCH("HCS",_TARGETS!$A$2:$A$17,0))</f>
        <v>OPS (carga manual en Datos)</v>
      </c>
      <c r="J261" s="258">
        <f t="shared" si="5"/>
        <v>46296</v>
      </c>
    </row>
    <row r="262" spans="1:10" ht="13.5" customHeight="1" x14ac:dyDescent="0.3">
      <c r="A262" t="s">
        <v>912</v>
      </c>
      <c r="B262" s="193" t="str">
        <f>YEAR(DATE(YEAR(RPT_MONTH),MONTH(RPT_MONTH)-2,1))&amp;"-"&amp;RIGHT("0"&amp;MONTH(DATE(YEAR(RPT_MONTH),MONTH(RPT_MONTH)-2,1)),2)</f>
        <v>2026-08</v>
      </c>
      <c r="C262" s="258">
        <f>DATE(YEAR(RPT_MONTH),MONTH(RPT_MONTH)-2,1)</f>
        <v>46235</v>
      </c>
      <c r="D262" t="s">
        <v>68</v>
      </c>
      <c r="E262" s="193">
        <f>IFERROR(INDEX(BD_KPIs!$F$2:$F$1300,MATCH(YEAR(DATE(YEAR(RPT_MONTH),MONTH(RPT_MONTH)-2,1))*100+MONTH(DATE(YEAR(RPT_MONTH),MONTH(RPT_MONTH)-2,1))&amp;"|HCS|Monthly",BD_KPIs!$Q$2:$Q$1300,0)),"")</f>
        <v>0.0548112058465286</v>
      </c>
      <c r="F262" s="193">
        <f>IFERROR(INDEX(BD_KPIs!$G$2:$G$1300,MATCH(YEAR(DATE(YEAR(RPT_MONTH),MONTH(RPT_MONTH)-2,1))*100+MONTH(DATE(YEAR(RPT_MONTH),MONTH(RPT_MONTH)-2,1))&amp;"|HCS|Monthly",BD_KPIs!$Q$2:$Q$1300,0)),"")</f>
        <v>0.01</v>
      </c>
      <c r="G262" s="193" t="str">
        <f>IF(ISNUMBER(E262),IF(F262="","No target",IF(IFERROR(INDEX(BD_KPIs!$I$2:$I$1300,MATCH(YEAR(DATE(YEAR(RPT_MONTH),MONTH(RPT_MONTH)-2,1))*100+MONTH(DATE(YEAR(RPT_MONTH),MONTH(RPT_MONTH)-2,1))&amp;"|HCS|Monthly",BD_KPIs!$Q$2:$Q$1300,0)),"")="Sí","On target","Off target")),"No data")</f>
        <v>On target</v>
      </c>
      <c r="H262" s="193" t="str">
        <f>INDEX(_TARGETS!$D$2:$D$17,MATCH("HCS",_TARGETS!$A$2:$A$17,0))</f>
        <v>% (fracción)</v>
      </c>
      <c r="I262" s="193" t="str">
        <f>INDEX(_TARGETS!$K$2:$K$17,MATCH("HCS",_TARGETS!$A$2:$A$17,0))</f>
        <v>OPS (carga manual en Datos)</v>
      </c>
      <c r="J262" s="258">
        <f t="shared" si="5"/>
        <v>46296</v>
      </c>
    </row>
    <row r="263" spans="1:10" ht="13.5" customHeight="1" x14ac:dyDescent="0.3">
      <c r="A263" t="s">
        <v>912</v>
      </c>
      <c r="B263" s="193" t="str">
        <f>YEAR(DATE(YEAR(RPT_MONTH),MONTH(RPT_MONTH)-1,1))&amp;"-"&amp;RIGHT("0"&amp;MONTH(DATE(YEAR(RPT_MONTH),MONTH(RPT_MONTH)-1,1)),2)</f>
        <v>2026-09</v>
      </c>
      <c r="C263" s="258">
        <f>DATE(YEAR(RPT_MONTH),MONTH(RPT_MONTH)-1,1)</f>
        <v>46266</v>
      </c>
      <c r="D263" t="s">
        <v>68</v>
      </c>
      <c r="E263" s="193">
        <f>IFERROR(INDEX(BD_KPIs!$F$2:$F$1300,MATCH(YEAR(DATE(YEAR(RPT_MONTH),MONTH(RPT_MONTH)-1,1))*100+MONTH(DATE(YEAR(RPT_MONTH),MONTH(RPT_MONTH)-1,1))&amp;"|HCS|Monthly",BD_KPIs!$Q$2:$Q$1300,0)),"")</f>
        <v>0.03515625</v>
      </c>
      <c r="F263" s="250">
        <f>IFERROR(INDEX(BD_KPIs!$G$2:$G$1300,MATCH(YEAR(DATE(YEAR(RPT_MONTH),MONTH(RPT_MONTH)-1,1))*100+MONTH(DATE(YEAR(RPT_MONTH),MONTH(RPT_MONTH)-1,1))&amp;"|HCS|Monthly",BD_KPIs!$Q$2:$Q$1300,0)),"")</f>
        <v>0.01</v>
      </c>
      <c r="G263" s="193" t="str">
        <f>IF(ISNUMBER(E263),IF(F263="","No target",IF(IFERROR(INDEX(BD_KPIs!$I$2:$I$1300,MATCH(YEAR(DATE(YEAR(RPT_MONTH),MONTH(RPT_MONTH)-1,1))*100+MONTH(DATE(YEAR(RPT_MONTH),MONTH(RPT_MONTH)-1,1))&amp;"|HCS|Monthly",BD_KPIs!$Q$2:$Q$1300,0)),"")="Sí","On target","Off target")),"No data")</f>
        <v>On target</v>
      </c>
      <c r="H263" s="193" t="str">
        <f>INDEX(_TARGETS!$D$2:$D$17,MATCH("HCS",_TARGETS!$A$2:$A$17,0))</f>
        <v>% (fracción)</v>
      </c>
      <c r="I263" s="193" t="str">
        <f>INDEX(_TARGETS!$K$2:$K$17,MATCH("HCS",_TARGETS!$A$2:$A$17,0))</f>
        <v>OPS (carga manual en Datos)</v>
      </c>
      <c r="J263" s="258">
        <f t="shared" si="5"/>
        <v>46296</v>
      </c>
    </row>
    <row r="264" spans="1:10" ht="13.5" customHeight="1" x14ac:dyDescent="0.3">
      <c r="A264" t="s">
        <v>912</v>
      </c>
      <c r="B264" s="193" t="str">
        <f>YEAR(DATE(YEAR(RPT_MONTH),MONTH(RPT_MONTH)-0,1))&amp;"-"&amp;RIGHT("0"&amp;MONTH(DATE(YEAR(RPT_MONTH),MONTH(RPT_MONTH)-0,1)),2)</f>
        <v>2026-10</v>
      </c>
      <c r="C264" s="258">
        <f>DATE(YEAR(RPT_MONTH),MONTH(RPT_MONTH)-0,1)</f>
        <v>46296</v>
      </c>
      <c r="D264" t="s">
        <v>68</v>
      </c>
      <c r="E264" s="193" t="str">
        <f>IFERROR(INDEX(BD_KPIs!$F$2:$F$1300,MATCH(YEAR(DATE(YEAR(RPT_MONTH),MONTH(RPT_MONTH)-0,1))*100+MONTH(DATE(YEAR(RPT_MONTH),MONTH(RPT_MONTH)-0,1))&amp;"|HCS|Monthly",BD_KPIs!$Q$2:$Q$1300,0)),"")</f>
        <v/>
      </c>
      <c r="F264" s="250">
        <f>IFERROR(INDEX(BD_KPIs!$G$2:$G$1300,MATCH(YEAR(DATE(YEAR(RPT_MONTH),MONTH(RPT_MONTH)-0,1))*100+MONTH(DATE(YEAR(RPT_MONTH),MONTH(RPT_MONTH)-0,1))&amp;"|HCS|Monthly",BD_KPIs!$Q$2:$Q$1300,0)),"")</f>
        <v>0.01</v>
      </c>
      <c r="G264" s="193" t="str">
        <f>IF(ISNUMBER(E264),IF(F264="","No target",IF(IFERROR(INDEX(BD_KPIs!$I$2:$I$1300,MATCH(YEAR(DATE(YEAR(RPT_MONTH),MONTH(RPT_MONTH)-0,1))*100+MONTH(DATE(YEAR(RPT_MONTH),MONTH(RPT_MONTH)-0,1))&amp;"|HCS|Monthly",BD_KPIs!$Q$2:$Q$1300,0)),"")="Sí","On target","Off target")),"No data")</f>
        <v>No data</v>
      </c>
      <c r="H264" s="193" t="str">
        <f>INDEX(_TARGETS!$D$2:$D$17,MATCH("HCS",_TARGETS!$A$2:$A$17,0))</f>
        <v>% (fracción)</v>
      </c>
      <c r="I264" s="193" t="str">
        <f>INDEX(_TARGETS!$K$2:$K$17,MATCH("HCS",_TARGETS!$A$2:$A$17,0))</f>
        <v>OPS (carga manual en Datos)</v>
      </c>
      <c r="J264" s="258">
        <f t="shared" si="5"/>
        <v>46296</v>
      </c>
    </row>
    <row r="265" spans="1:10" ht="13.5" customHeight="1" x14ac:dyDescent="0.3">
      <c r="A265" t="s">
        <v>912</v>
      </c>
      <c r="B265" s="193" t="str">
        <f>YEAR(DATE(YEAR(RPT_MONTH),MONTH(RPT_MONTH)-11,1))&amp;"-"&amp;RIGHT("0"&amp;MONTH(DATE(YEAR(RPT_MONTH),MONTH(RPT_MONTH)-11,1)),2)</f>
        <v>2025-11</v>
      </c>
      <c r="C265" s="258">
        <f>DATE(YEAR(RPT_MONTH),MONTH(RPT_MONTH)-11,1)</f>
        <v>45962</v>
      </c>
      <c r="D265" t="s">
        <v>601</v>
      </c>
      <c r="E265" s="193" t="str">
        <f>IFERROR(INDEX(BD_KPIs!$F$2:$F$1300,MATCH(YEAR(DATE(YEAR(RPT_MONTH),MONTH(RPT_MONTH)-11,1))*100+MONTH(DATE(YEAR(RPT_MONTH),MONTH(RPT_MONTH)-11,1))&amp;"|HCS|YTD",BD_KPIs!$Q$2:$Q$1300,0)),"")</f>
        <v/>
      </c>
      <c r="F265" s="193" t="str">
        <f>IFERROR(INDEX(BD_KPIs!$G$2:$G$1300,MATCH(YEAR(DATE(YEAR(RPT_MONTH),MONTH(RPT_MONTH)-11,1))*100+MONTH(DATE(YEAR(RPT_MONTH),MONTH(RPT_MONTH)-11,1))&amp;"|HCS|YTD",BD_KPIs!$Q$2:$Q$1300,0)),"")</f>
        <v/>
      </c>
      <c r="G265" s="193" t="str">
        <f>IF(ISNUMBER(E265),IF(F265="","No target",IF(IFERROR(INDEX(BD_KPIs!$I$2:$I$1300,MATCH(YEAR(DATE(YEAR(RPT_MONTH),MONTH(RPT_MONTH)-11,1))*100+MONTH(DATE(YEAR(RPT_MONTH),MONTH(RPT_MONTH)-11,1))&amp;"|HCS|YTD",BD_KPIs!$Q$2:$Q$1300,0)),"")="Sí","On target","Off target")),"No data")</f>
        <v>No data</v>
      </c>
      <c r="H265" s="193" t="str">
        <f>INDEX(_TARGETS!$D$2:$D$17,MATCH("HCS",_TARGETS!$A$2:$A$17,0))</f>
        <v>% (fracción)</v>
      </c>
      <c r="I265" s="193" t="str">
        <f>INDEX(_TARGETS!$K$2:$K$17,MATCH("HCS",_TARGETS!$A$2:$A$17,0))</f>
        <v>OPS (carga manual en Datos)</v>
      </c>
      <c r="J265" s="258">
        <f t="shared" si="5"/>
        <v>46296</v>
      </c>
    </row>
    <row r="266" spans="1:10" ht="13.5" customHeight="1" x14ac:dyDescent="0.3">
      <c r="A266" t="s">
        <v>912</v>
      </c>
      <c r="B266" s="193" t="str">
        <f>YEAR(DATE(YEAR(RPT_MONTH),MONTH(RPT_MONTH)-10,1))&amp;"-"&amp;RIGHT("0"&amp;MONTH(DATE(YEAR(RPT_MONTH),MONTH(RPT_MONTH)-10,1)),2)</f>
        <v>2025-12</v>
      </c>
      <c r="C266" s="258">
        <f>DATE(YEAR(RPT_MONTH),MONTH(RPT_MONTH)-10,1)</f>
        <v>45992</v>
      </c>
      <c r="D266" t="s">
        <v>601</v>
      </c>
      <c r="E266" s="193" t="str">
        <f>IFERROR(INDEX(BD_KPIs!$F$2:$F$1300,MATCH(YEAR(DATE(YEAR(RPT_MONTH),MONTH(RPT_MONTH)-10,1))*100+MONTH(DATE(YEAR(RPT_MONTH),MONTH(RPT_MONTH)-10,1))&amp;"|HCS|YTD",BD_KPIs!$Q$2:$Q$1300,0)),"")</f>
        <v/>
      </c>
      <c r="F266" s="193" t="str">
        <f>IFERROR(INDEX(BD_KPIs!$G$2:$G$1300,MATCH(YEAR(DATE(YEAR(RPT_MONTH),MONTH(RPT_MONTH)-10,1))*100+MONTH(DATE(YEAR(RPT_MONTH),MONTH(RPT_MONTH)-10,1))&amp;"|HCS|YTD",BD_KPIs!$Q$2:$Q$1300,0)),"")</f>
        <v/>
      </c>
      <c r="G266" s="193" t="str">
        <f>IF(ISNUMBER(E266),IF(F266="","No target",IF(IFERROR(INDEX(BD_KPIs!$I$2:$I$1300,MATCH(YEAR(DATE(YEAR(RPT_MONTH),MONTH(RPT_MONTH)-10,1))*100+MONTH(DATE(YEAR(RPT_MONTH),MONTH(RPT_MONTH)-10,1))&amp;"|HCS|YTD",BD_KPIs!$Q$2:$Q$1300,0)),"")="Sí","On target","Off target")),"No data")</f>
        <v>No data</v>
      </c>
      <c r="H266" s="193" t="str">
        <f>INDEX(_TARGETS!$D$2:$D$17,MATCH("HCS",_TARGETS!$A$2:$A$17,0))</f>
        <v>% (fracción)</v>
      </c>
      <c r="I266" s="193" t="str">
        <f>INDEX(_TARGETS!$K$2:$K$17,MATCH("HCS",_TARGETS!$A$2:$A$17,0))</f>
        <v>OPS (carga manual en Datos)</v>
      </c>
      <c r="J266" s="258">
        <f t="shared" si="5"/>
        <v>46296</v>
      </c>
    </row>
    <row r="267" spans="1:10" ht="13.5" customHeight="1" x14ac:dyDescent="0.3">
      <c r="A267" t="s">
        <v>912</v>
      </c>
      <c r="B267" s="193" t="str">
        <f>YEAR(DATE(YEAR(RPT_MONTH),MONTH(RPT_MONTH)-9,1))&amp;"-"&amp;RIGHT("0"&amp;MONTH(DATE(YEAR(RPT_MONTH),MONTH(RPT_MONTH)-9,1)),2)</f>
        <v>2026-01</v>
      </c>
      <c r="C267" s="258">
        <f>DATE(YEAR(RPT_MONTH),MONTH(RPT_MONTH)-9,1)</f>
        <v>46023</v>
      </c>
      <c r="D267" t="s">
        <v>601</v>
      </c>
      <c r="E267" s="193" t="str">
        <f>IFERROR(INDEX(BD_KPIs!$F$2:$F$1300,MATCH(YEAR(DATE(YEAR(RPT_MONTH),MONTH(RPT_MONTH)-9,1))*100+MONTH(DATE(YEAR(RPT_MONTH),MONTH(RPT_MONTH)-9,1))&amp;"|HCS|YTD",BD_KPIs!$Q$2:$Q$1300,0)),"")</f>
        <v/>
      </c>
      <c r="F267" s="193" t="str">
        <f>IFERROR(INDEX(BD_KPIs!$G$2:$G$1300,MATCH(YEAR(DATE(YEAR(RPT_MONTH),MONTH(RPT_MONTH)-9,1))*100+MONTH(DATE(YEAR(RPT_MONTH),MONTH(RPT_MONTH)-9,1))&amp;"|HCS|YTD",BD_KPIs!$Q$2:$Q$1300,0)),"")</f>
        <v/>
      </c>
      <c r="G267" s="193" t="str">
        <f>IF(ISNUMBER(E267),IF(F267="","No target",IF(IFERROR(INDEX(BD_KPIs!$I$2:$I$1300,MATCH(YEAR(DATE(YEAR(RPT_MONTH),MONTH(RPT_MONTH)-9,1))*100+MONTH(DATE(YEAR(RPT_MONTH),MONTH(RPT_MONTH)-9,1))&amp;"|HCS|YTD",BD_KPIs!$Q$2:$Q$1300,0)),"")="Sí","On target","Off target")),"No data")</f>
        <v>No data</v>
      </c>
      <c r="H267" s="193" t="str">
        <f>INDEX(_TARGETS!$D$2:$D$17,MATCH("HCS",_TARGETS!$A$2:$A$17,0))</f>
        <v>% (fracción)</v>
      </c>
      <c r="I267" s="193" t="str">
        <f>INDEX(_TARGETS!$K$2:$K$17,MATCH("HCS",_TARGETS!$A$2:$A$17,0))</f>
        <v>OPS (carga manual en Datos)</v>
      </c>
      <c r="J267" s="258">
        <f t="shared" si="5"/>
        <v>46296</v>
      </c>
    </row>
    <row r="268" spans="1:10" ht="13.5" customHeight="1" x14ac:dyDescent="0.3">
      <c r="A268" t="s">
        <v>912</v>
      </c>
      <c r="B268" s="193" t="str">
        <f>YEAR(DATE(YEAR(RPT_MONTH),MONTH(RPT_MONTH)-8,1))&amp;"-"&amp;RIGHT("0"&amp;MONTH(DATE(YEAR(RPT_MONTH),MONTH(RPT_MONTH)-8,1)),2)</f>
        <v>2026-02</v>
      </c>
      <c r="C268" s="258">
        <f>DATE(YEAR(RPT_MONTH),MONTH(RPT_MONTH)-8,1)</f>
        <v>46054</v>
      </c>
      <c r="D268" t="s">
        <v>601</v>
      </c>
      <c r="E268" s="193" t="str">
        <f>IFERROR(INDEX(BD_KPIs!$F$2:$F$1300,MATCH(YEAR(DATE(YEAR(RPT_MONTH),MONTH(RPT_MONTH)-8,1))*100+MONTH(DATE(YEAR(RPT_MONTH),MONTH(RPT_MONTH)-8,1))&amp;"|HCS|YTD",BD_KPIs!$Q$2:$Q$1300,0)),"")</f>
        <v/>
      </c>
      <c r="F268" s="193" t="str">
        <f>IFERROR(INDEX(BD_KPIs!$G$2:$G$1300,MATCH(YEAR(DATE(YEAR(RPT_MONTH),MONTH(RPT_MONTH)-8,1))*100+MONTH(DATE(YEAR(RPT_MONTH),MONTH(RPT_MONTH)-8,1))&amp;"|HCS|YTD",BD_KPIs!$Q$2:$Q$1300,0)),"")</f>
        <v/>
      </c>
      <c r="G268" s="193" t="str">
        <f>IF(ISNUMBER(E268),IF(F268="","No target",IF(IFERROR(INDEX(BD_KPIs!$I$2:$I$1300,MATCH(YEAR(DATE(YEAR(RPT_MONTH),MONTH(RPT_MONTH)-8,1))*100+MONTH(DATE(YEAR(RPT_MONTH),MONTH(RPT_MONTH)-8,1))&amp;"|HCS|YTD",BD_KPIs!$Q$2:$Q$1300,0)),"")="Sí","On target","Off target")),"No data")</f>
        <v>No data</v>
      </c>
      <c r="H268" s="193" t="str">
        <f>INDEX(_TARGETS!$D$2:$D$17,MATCH("HCS",_TARGETS!$A$2:$A$17,0))</f>
        <v>% (fracción)</v>
      </c>
      <c r="I268" s="193" t="str">
        <f>INDEX(_TARGETS!$K$2:$K$17,MATCH("HCS",_TARGETS!$A$2:$A$17,0))</f>
        <v>OPS (carga manual en Datos)</v>
      </c>
      <c r="J268" s="258">
        <f t="shared" si="5"/>
        <v>46296</v>
      </c>
    </row>
    <row r="269" spans="1:10" ht="13.5" customHeight="1" x14ac:dyDescent="0.3">
      <c r="A269" t="s">
        <v>912</v>
      </c>
      <c r="B269" s="193" t="str">
        <f>YEAR(DATE(YEAR(RPT_MONTH),MONTH(RPT_MONTH)-7,1))&amp;"-"&amp;RIGHT("0"&amp;MONTH(DATE(YEAR(RPT_MONTH),MONTH(RPT_MONTH)-7,1)),2)</f>
        <v>2026-03</v>
      </c>
      <c r="C269" s="258">
        <f>DATE(YEAR(RPT_MONTH),MONTH(RPT_MONTH)-7,1)</f>
        <v>46082</v>
      </c>
      <c r="D269" t="s">
        <v>601</v>
      </c>
      <c r="E269" s="193" t="str">
        <f>IFERROR(INDEX(BD_KPIs!$F$2:$F$1300,MATCH(YEAR(DATE(YEAR(RPT_MONTH),MONTH(RPT_MONTH)-7,1))*100+MONTH(DATE(YEAR(RPT_MONTH),MONTH(RPT_MONTH)-7,1))&amp;"|HCS|YTD",BD_KPIs!$Q$2:$Q$1300,0)),"")</f>
        <v/>
      </c>
      <c r="F269" s="193" t="str">
        <f>IFERROR(INDEX(BD_KPIs!$G$2:$G$1300,MATCH(YEAR(DATE(YEAR(RPT_MONTH),MONTH(RPT_MONTH)-7,1))*100+MONTH(DATE(YEAR(RPT_MONTH),MONTH(RPT_MONTH)-7,1))&amp;"|HCS|YTD",BD_KPIs!$Q$2:$Q$1300,0)),"")</f>
        <v/>
      </c>
      <c r="G269" s="193" t="str">
        <f>IF(ISNUMBER(E269),IF(F269="","No target",IF(IFERROR(INDEX(BD_KPIs!$I$2:$I$1300,MATCH(YEAR(DATE(YEAR(RPT_MONTH),MONTH(RPT_MONTH)-7,1))*100+MONTH(DATE(YEAR(RPT_MONTH),MONTH(RPT_MONTH)-7,1))&amp;"|HCS|YTD",BD_KPIs!$Q$2:$Q$1300,0)),"")="Sí","On target","Off target")),"No data")</f>
        <v>No data</v>
      </c>
      <c r="H269" s="193" t="str">
        <f>INDEX(_TARGETS!$D$2:$D$17,MATCH("HCS",_TARGETS!$A$2:$A$17,0))</f>
        <v>% (fracción)</v>
      </c>
      <c r="I269" s="193" t="str">
        <f>INDEX(_TARGETS!$K$2:$K$17,MATCH("HCS",_TARGETS!$A$2:$A$17,0))</f>
        <v>OPS (carga manual en Datos)</v>
      </c>
      <c r="J269" s="258">
        <f t="shared" si="5"/>
        <v>46296</v>
      </c>
    </row>
    <row r="270" spans="1:10" ht="13.5" customHeight="1" x14ac:dyDescent="0.3">
      <c r="A270" t="s">
        <v>912</v>
      </c>
      <c r="B270" s="193" t="str">
        <f>YEAR(DATE(YEAR(RPT_MONTH),MONTH(RPT_MONTH)-6,1))&amp;"-"&amp;RIGHT("0"&amp;MONTH(DATE(YEAR(RPT_MONTH),MONTH(RPT_MONTH)-6,1)),2)</f>
        <v>2026-04</v>
      </c>
      <c r="C270" s="258">
        <f>DATE(YEAR(RPT_MONTH),MONTH(RPT_MONTH)-6,1)</f>
        <v>46113</v>
      </c>
      <c r="D270" t="s">
        <v>601</v>
      </c>
      <c r="E270" s="193" t="str">
        <f>IFERROR(INDEX(BD_KPIs!$F$2:$F$1300,MATCH(YEAR(DATE(YEAR(RPT_MONTH),MONTH(RPT_MONTH)-6,1))*100+MONTH(DATE(YEAR(RPT_MONTH),MONTH(RPT_MONTH)-6,1))&amp;"|HCS|YTD",BD_KPIs!$Q$2:$Q$1300,0)),"")</f>
        <v/>
      </c>
      <c r="F270" s="193" t="str">
        <f>IFERROR(INDEX(BD_KPIs!$G$2:$G$1300,MATCH(YEAR(DATE(YEAR(RPT_MONTH),MONTH(RPT_MONTH)-6,1))*100+MONTH(DATE(YEAR(RPT_MONTH),MONTH(RPT_MONTH)-6,1))&amp;"|HCS|YTD",BD_KPIs!$Q$2:$Q$1300,0)),"")</f>
        <v/>
      </c>
      <c r="G270" s="193" t="str">
        <f>IF(ISNUMBER(E270),IF(F270="","No target",IF(IFERROR(INDEX(BD_KPIs!$I$2:$I$1300,MATCH(YEAR(DATE(YEAR(RPT_MONTH),MONTH(RPT_MONTH)-6,1))*100+MONTH(DATE(YEAR(RPT_MONTH),MONTH(RPT_MONTH)-6,1))&amp;"|HCS|YTD",BD_KPIs!$Q$2:$Q$1300,0)),"")="Sí","On target","Off target")),"No data")</f>
        <v>No data</v>
      </c>
      <c r="H270" s="193" t="str">
        <f>INDEX(_TARGETS!$D$2:$D$17,MATCH("HCS",_TARGETS!$A$2:$A$17,0))</f>
        <v>% (fracción)</v>
      </c>
      <c r="I270" s="193" t="str">
        <f>INDEX(_TARGETS!$K$2:$K$17,MATCH("HCS",_TARGETS!$A$2:$A$17,0))</f>
        <v>OPS (carga manual en Datos)</v>
      </c>
      <c r="J270" s="258">
        <f t="shared" si="5"/>
        <v>46296</v>
      </c>
    </row>
    <row r="271" spans="1:10" ht="13.5" customHeight="1" x14ac:dyDescent="0.3">
      <c r="A271" t="s">
        <v>912</v>
      </c>
      <c r="B271" s="193" t="str">
        <f>YEAR(DATE(YEAR(RPT_MONTH),MONTH(RPT_MONTH)-5,1))&amp;"-"&amp;RIGHT("0"&amp;MONTH(DATE(YEAR(RPT_MONTH),MONTH(RPT_MONTH)-5,1)),2)</f>
        <v>2026-05</v>
      </c>
      <c r="C271" s="258">
        <f>DATE(YEAR(RPT_MONTH),MONTH(RPT_MONTH)-5,1)</f>
        <v>46143</v>
      </c>
      <c r="D271" t="s">
        <v>601</v>
      </c>
      <c r="E271" s="193" t="str">
        <f>IFERROR(INDEX(BD_KPIs!$F$2:$F$1300,MATCH(YEAR(DATE(YEAR(RPT_MONTH),MONTH(RPT_MONTH)-5,1))*100+MONTH(DATE(YEAR(RPT_MONTH),MONTH(RPT_MONTH)-5,1))&amp;"|HCS|YTD",BD_KPIs!$Q$2:$Q$1300,0)),"")</f>
        <v/>
      </c>
      <c r="F271" s="193" t="str">
        <f>IFERROR(INDEX(BD_KPIs!$G$2:$G$1300,MATCH(YEAR(DATE(YEAR(RPT_MONTH),MONTH(RPT_MONTH)-5,1))*100+MONTH(DATE(YEAR(RPT_MONTH),MONTH(RPT_MONTH)-5,1))&amp;"|HCS|YTD",BD_KPIs!$Q$2:$Q$1300,0)),"")</f>
        <v/>
      </c>
      <c r="G271" s="193" t="str">
        <f>IF(ISNUMBER(E271),IF(F271="","No target",IF(IFERROR(INDEX(BD_KPIs!$I$2:$I$1300,MATCH(YEAR(DATE(YEAR(RPT_MONTH),MONTH(RPT_MONTH)-5,1))*100+MONTH(DATE(YEAR(RPT_MONTH),MONTH(RPT_MONTH)-5,1))&amp;"|HCS|YTD",BD_KPIs!$Q$2:$Q$1300,0)),"")="Sí","On target","Off target")),"No data")</f>
        <v>No data</v>
      </c>
      <c r="H271" s="193" t="str">
        <f>INDEX(_TARGETS!$D$2:$D$17,MATCH("HCS",_TARGETS!$A$2:$A$17,0))</f>
        <v>% (fracción)</v>
      </c>
      <c r="I271" s="193" t="str">
        <f>INDEX(_TARGETS!$K$2:$K$17,MATCH("HCS",_TARGETS!$A$2:$A$17,0))</f>
        <v>OPS (carga manual en Datos)</v>
      </c>
      <c r="J271" s="258">
        <f t="shared" si="5"/>
        <v>46296</v>
      </c>
    </row>
    <row r="272" spans="1:10" ht="13.5" customHeight="1" x14ac:dyDescent="0.3">
      <c r="A272" t="s">
        <v>912</v>
      </c>
      <c r="B272" s="193" t="str">
        <f>YEAR(DATE(YEAR(RPT_MONTH),MONTH(RPT_MONTH)-4,1))&amp;"-"&amp;RIGHT("0"&amp;MONTH(DATE(YEAR(RPT_MONTH),MONTH(RPT_MONTH)-4,1)),2)</f>
        <v>2026-06</v>
      </c>
      <c r="C272" s="258">
        <f>DATE(YEAR(RPT_MONTH),MONTH(RPT_MONTH)-4,1)</f>
        <v>46174</v>
      </c>
      <c r="D272" t="s">
        <v>601</v>
      </c>
      <c r="E272" s="193" t="str">
        <f>IFERROR(INDEX(BD_KPIs!$F$2:$F$1300,MATCH(YEAR(DATE(YEAR(RPT_MONTH),MONTH(RPT_MONTH)-4,1))*100+MONTH(DATE(YEAR(RPT_MONTH),MONTH(RPT_MONTH)-4,1))&amp;"|HCS|YTD",BD_KPIs!$Q$2:$Q$1300,0)),"")</f>
        <v/>
      </c>
      <c r="F272" s="193" t="str">
        <f>IFERROR(INDEX(BD_KPIs!$G$2:$G$1300,MATCH(YEAR(DATE(YEAR(RPT_MONTH),MONTH(RPT_MONTH)-4,1))*100+MONTH(DATE(YEAR(RPT_MONTH),MONTH(RPT_MONTH)-4,1))&amp;"|HCS|YTD",BD_KPIs!$Q$2:$Q$1300,0)),"")</f>
        <v/>
      </c>
      <c r="G272" s="193" t="str">
        <f>IF(ISNUMBER(E272),IF(F272="","No target",IF(IFERROR(INDEX(BD_KPIs!$I$2:$I$1300,MATCH(YEAR(DATE(YEAR(RPT_MONTH),MONTH(RPT_MONTH)-4,1))*100+MONTH(DATE(YEAR(RPT_MONTH),MONTH(RPT_MONTH)-4,1))&amp;"|HCS|YTD",BD_KPIs!$Q$2:$Q$1300,0)),"")="Sí","On target","Off target")),"No data")</f>
        <v>No data</v>
      </c>
      <c r="H272" s="193" t="str">
        <f>INDEX(_TARGETS!$D$2:$D$17,MATCH("HCS",_TARGETS!$A$2:$A$17,0))</f>
        <v>% (fracción)</v>
      </c>
      <c r="I272" s="193" t="str">
        <f>INDEX(_TARGETS!$K$2:$K$17,MATCH("HCS",_TARGETS!$A$2:$A$17,0))</f>
        <v>OPS (carga manual en Datos)</v>
      </c>
      <c r="J272" s="258">
        <f t="shared" si="5"/>
        <v>46296</v>
      </c>
    </row>
    <row r="273" spans="1:10" ht="13.5" customHeight="1" x14ac:dyDescent="0.3">
      <c r="A273" t="s">
        <v>912</v>
      </c>
      <c r="B273" s="193" t="str">
        <f>YEAR(DATE(YEAR(RPT_MONTH),MONTH(RPT_MONTH)-3,1))&amp;"-"&amp;RIGHT("0"&amp;MONTH(DATE(YEAR(RPT_MONTH),MONTH(RPT_MONTH)-3,1)),2)</f>
        <v>2026-07</v>
      </c>
      <c r="C273" s="258">
        <f>DATE(YEAR(RPT_MONTH),MONTH(RPT_MONTH)-3,1)</f>
        <v>46204</v>
      </c>
      <c r="D273" t="s">
        <v>601</v>
      </c>
      <c r="E273" s="193" t="str">
        <f>IFERROR(INDEX(BD_KPIs!$F$2:$F$1300,MATCH(YEAR(DATE(YEAR(RPT_MONTH),MONTH(RPT_MONTH)-3,1))*100+MONTH(DATE(YEAR(RPT_MONTH),MONTH(RPT_MONTH)-3,1))&amp;"|HCS|YTD",BD_KPIs!$Q$2:$Q$1300,0)),"")</f>
        <v/>
      </c>
      <c r="F273" s="193" t="str">
        <f>IFERROR(INDEX(BD_KPIs!$G$2:$G$1300,MATCH(YEAR(DATE(YEAR(RPT_MONTH),MONTH(RPT_MONTH)-3,1))*100+MONTH(DATE(YEAR(RPT_MONTH),MONTH(RPT_MONTH)-3,1))&amp;"|HCS|YTD",BD_KPIs!$Q$2:$Q$1300,0)),"")</f>
        <v/>
      </c>
      <c r="G273" s="193" t="str">
        <f>IF(ISNUMBER(E273),IF(F273="","No target",IF(IFERROR(INDEX(BD_KPIs!$I$2:$I$1300,MATCH(YEAR(DATE(YEAR(RPT_MONTH),MONTH(RPT_MONTH)-3,1))*100+MONTH(DATE(YEAR(RPT_MONTH),MONTH(RPT_MONTH)-3,1))&amp;"|HCS|YTD",BD_KPIs!$Q$2:$Q$1300,0)),"")="Sí","On target","Off target")),"No data")</f>
        <v>No data</v>
      </c>
      <c r="H273" s="193" t="str">
        <f>INDEX(_TARGETS!$D$2:$D$17,MATCH("HCS",_TARGETS!$A$2:$A$17,0))</f>
        <v>% (fracción)</v>
      </c>
      <c r="I273" s="193" t="str">
        <f>INDEX(_TARGETS!$K$2:$K$17,MATCH("HCS",_TARGETS!$A$2:$A$17,0))</f>
        <v>OPS (carga manual en Datos)</v>
      </c>
      <c r="J273" s="258">
        <f t="shared" si="5"/>
        <v>46296</v>
      </c>
    </row>
    <row r="274" spans="1:10" ht="13.5" customHeight="1" x14ac:dyDescent="0.3">
      <c r="A274" t="s">
        <v>912</v>
      </c>
      <c r="B274" s="193" t="str">
        <f>YEAR(DATE(YEAR(RPT_MONTH),MONTH(RPT_MONTH)-2,1))&amp;"-"&amp;RIGHT("0"&amp;MONTH(DATE(YEAR(RPT_MONTH),MONTH(RPT_MONTH)-2,1)),2)</f>
        <v>2026-08</v>
      </c>
      <c r="C274" s="258">
        <f>DATE(YEAR(RPT_MONTH),MONTH(RPT_MONTH)-2,1)</f>
        <v>46235</v>
      </c>
      <c r="D274" t="s">
        <v>601</v>
      </c>
      <c r="E274" s="193">
        <f>IFERROR(INDEX(BD_KPIs!$F$2:$F$1300,MATCH(YEAR(DATE(YEAR(RPT_MONTH),MONTH(RPT_MONTH)-2,1))*100+MONTH(DATE(YEAR(RPT_MONTH),MONTH(RPT_MONTH)-2,1))&amp;"|HCS|YTD",BD_KPIs!$Q$2:$Q$1300,0)),"")</f>
        <v>0.0548112058465286</v>
      </c>
      <c r="F274" s="193">
        <f>IFERROR(INDEX(BD_KPIs!$G$2:$G$1300,MATCH(YEAR(DATE(YEAR(RPT_MONTH),MONTH(RPT_MONTH)-2,1))*100+MONTH(DATE(YEAR(RPT_MONTH),MONTH(RPT_MONTH)-2,1))&amp;"|HCS|YTD",BD_KPIs!$Q$2:$Q$1300,0)),"")</f>
        <v>0.01</v>
      </c>
      <c r="G274" s="193" t="str">
        <f>IF(ISNUMBER(E274),IF(F274="","No target",IF(IFERROR(INDEX(BD_KPIs!$I$2:$I$1300,MATCH(YEAR(DATE(YEAR(RPT_MONTH),MONTH(RPT_MONTH)-2,1))*100+MONTH(DATE(YEAR(RPT_MONTH),MONTH(RPT_MONTH)-2,1))&amp;"|HCS|YTD",BD_KPIs!$Q$2:$Q$1300,0)),"")="Sí","On target","Off target")),"No data")</f>
        <v>On target</v>
      </c>
      <c r="H274" s="193" t="str">
        <f>INDEX(_TARGETS!$D$2:$D$17,MATCH("HCS",_TARGETS!$A$2:$A$17,0))</f>
        <v>% (fracción)</v>
      </c>
      <c r="I274" s="193" t="str">
        <f>INDEX(_TARGETS!$K$2:$K$17,MATCH("HCS",_TARGETS!$A$2:$A$17,0))</f>
        <v>OPS (carga manual en Datos)</v>
      </c>
      <c r="J274" s="258">
        <f t="shared" si="5"/>
        <v>46296</v>
      </c>
    </row>
    <row r="275" spans="1:10" ht="13.5" customHeight="1" x14ac:dyDescent="0.3">
      <c r="A275" t="s">
        <v>912</v>
      </c>
      <c r="B275" s="193" t="str">
        <f>YEAR(DATE(YEAR(RPT_MONTH),MONTH(RPT_MONTH)-1,1))&amp;"-"&amp;RIGHT("0"&amp;MONTH(DATE(YEAR(RPT_MONTH),MONTH(RPT_MONTH)-1,1)),2)</f>
        <v>2026-09</v>
      </c>
      <c r="C275" s="258">
        <f>DATE(YEAR(RPT_MONTH),MONTH(RPT_MONTH)-1,1)</f>
        <v>46266</v>
      </c>
      <c r="D275" t="s">
        <v>601</v>
      </c>
      <c r="E275" s="193">
        <f>IFERROR(INDEX(BD_KPIs!$F$2:$F$1300,MATCH(YEAR(DATE(YEAR(RPT_MONTH),MONTH(RPT_MONTH)-1,1))*100+MONTH(DATE(YEAR(RPT_MONTH),MONTH(RPT_MONTH)-1,1))&amp;"|HCS|YTD",BD_KPIs!$Q$2:$Q$1300,0)),"")</f>
        <v>0.0445046759910618</v>
      </c>
      <c r="F275" s="252">
        <f>IFERROR(INDEX(BD_KPIs!$G$2:$G$1300,MATCH(YEAR(DATE(YEAR(RPT_MONTH),MONTH(RPT_MONTH)-1,1))*100+MONTH(DATE(YEAR(RPT_MONTH),MONTH(RPT_MONTH)-1,1))&amp;"|HCS|YTD",BD_KPIs!$Q$2:$Q$1300,0)),"")</f>
        <v>0.01</v>
      </c>
      <c r="G275" s="193" t="str">
        <f>IF(ISNUMBER(E275),IF(F275="","No target",IF(IFERROR(INDEX(BD_KPIs!$I$2:$I$1300,MATCH(YEAR(DATE(YEAR(RPT_MONTH),MONTH(RPT_MONTH)-1,1))*100+MONTH(DATE(YEAR(RPT_MONTH),MONTH(RPT_MONTH)-1,1))&amp;"|HCS|YTD",BD_KPIs!$Q$2:$Q$1300,0)),"")="Sí","On target","Off target")),"No data")</f>
        <v>On target</v>
      </c>
      <c r="H275" s="193" t="str">
        <f>INDEX(_TARGETS!$D$2:$D$17,MATCH("HCS",_TARGETS!$A$2:$A$17,0))</f>
        <v>% (fracción)</v>
      </c>
      <c r="I275" s="193" t="str">
        <f>INDEX(_TARGETS!$K$2:$K$17,MATCH("HCS",_TARGETS!$A$2:$A$17,0))</f>
        <v>OPS (carga manual en Datos)</v>
      </c>
      <c r="J275" s="258">
        <f t="shared" si="5"/>
        <v>46296</v>
      </c>
    </row>
    <row r="276" spans="1:10" ht="13.5" customHeight="1" x14ac:dyDescent="0.3">
      <c r="A276" t="s">
        <v>912</v>
      </c>
      <c r="B276" s="193" t="str">
        <f>YEAR(DATE(YEAR(RPT_MONTH),MONTH(RPT_MONTH)-0,1))&amp;"-"&amp;RIGHT("0"&amp;MONTH(DATE(YEAR(RPT_MONTH),MONTH(RPT_MONTH)-0,1)),2)</f>
        <v>2026-10</v>
      </c>
      <c r="C276" s="258">
        <f>DATE(YEAR(RPT_MONTH),MONTH(RPT_MONTH)-0,1)</f>
        <v>46296</v>
      </c>
      <c r="D276" t="s">
        <v>601</v>
      </c>
      <c r="E276" s="193" t="str">
        <f>IFERROR(INDEX(BD_KPIs!$F$2:$F$1300,MATCH(YEAR(DATE(YEAR(RPT_MONTH),MONTH(RPT_MONTH)-0,1))*100+MONTH(DATE(YEAR(RPT_MONTH),MONTH(RPT_MONTH)-0,1))&amp;"|HCS|YTD",BD_KPIs!$Q$2:$Q$1300,0)),"")</f>
        <v/>
      </c>
      <c r="F276" s="252">
        <f>IFERROR(INDEX(BD_KPIs!$G$2:$G$1300,MATCH(YEAR(DATE(YEAR(RPT_MONTH),MONTH(RPT_MONTH)-0,1))*100+MONTH(DATE(YEAR(RPT_MONTH),MONTH(RPT_MONTH)-0,1))&amp;"|HCS|YTD",BD_KPIs!$Q$2:$Q$1300,0)),"")</f>
        <v>0.01</v>
      </c>
      <c r="G276" s="193" t="str">
        <f>IF(ISNUMBER(E276),IF(F276="","No target",IF(IFERROR(INDEX(BD_KPIs!$I$2:$I$1300,MATCH(YEAR(DATE(YEAR(RPT_MONTH),MONTH(RPT_MONTH)-0,1))*100+MONTH(DATE(YEAR(RPT_MONTH),MONTH(RPT_MONTH)-0,1))&amp;"|HCS|YTD",BD_KPIs!$Q$2:$Q$1300,0)),"")="Sí","On target","Off target")),"No data")</f>
        <v>No data</v>
      </c>
      <c r="H276" s="193" t="str">
        <f>INDEX(_TARGETS!$D$2:$D$17,MATCH("HCS",_TARGETS!$A$2:$A$17,0))</f>
        <v>% (fracción)</v>
      </c>
      <c r="I276" s="193" t="str">
        <f>INDEX(_TARGETS!$K$2:$K$17,MATCH("HCS",_TARGETS!$A$2:$A$17,0))</f>
        <v>OPS (carga manual en Datos)</v>
      </c>
      <c r="J276" s="258">
        <f t="shared" si="5"/>
        <v>46296</v>
      </c>
    </row>
    <row r="277" spans="1:10" ht="13.5" customHeight="1" x14ac:dyDescent="0.3">
      <c r="A277" t="s">
        <v>913</v>
      </c>
      <c r="B277" s="193" t="str">
        <f>YEAR(DATE(YEAR(RPT_MONTH),MONTH(RPT_MONTH)-11,1))&amp;"-"&amp;RIGHT("0"&amp;MONTH(DATE(YEAR(RPT_MONTH),MONTH(RPT_MONTH)-11,1)),2)</f>
        <v>2025-11</v>
      </c>
      <c r="C277" s="258">
        <f>DATE(YEAR(RPT_MONTH),MONTH(RPT_MONTH)-11,1)</f>
        <v>45962</v>
      </c>
      <c r="D277" t="s">
        <v>68</v>
      </c>
      <c r="E277" s="193" t="str">
        <f>IFERROR(INDEX(BD_KPIs!$F$2:$F$1300,MATCH(YEAR(DATE(YEAR(RPT_MONTH),MONTH(RPT_MONTH)-11,1))*100+MONTH(DATE(YEAR(RPT_MONTH),MONTH(RPT_MONTH)-11,1))&amp;"|HCSA|Monthly",BD_KPIs!$Q$2:$Q$1300,0)),"")</f>
        <v/>
      </c>
      <c r="F277" s="193" t="str">
        <f>IFERROR(INDEX(BD_KPIs!$G$2:$G$1300,MATCH(YEAR(DATE(YEAR(RPT_MONTH),MONTH(RPT_MONTH)-11,1))*100+MONTH(DATE(YEAR(RPT_MONTH),MONTH(RPT_MONTH)-11,1))&amp;"|HCSA|Monthly",BD_KPIs!$Q$2:$Q$1300,0)),"")</f>
        <v/>
      </c>
      <c r="G277" s="193" t="str">
        <f>IF(ISNUMBER(E277),IF(F277="","No target",IF(IFERROR(INDEX(BD_KPIs!$I$2:$I$1300,MATCH(YEAR(DATE(YEAR(RPT_MONTH),MONTH(RPT_MONTH)-11,1))*100+MONTH(DATE(YEAR(RPT_MONTH),MONTH(RPT_MONTH)-11,1))&amp;"|HCSA|Monthly",BD_KPIs!$Q$2:$Q$1300,0)),"")="Sí","On target","Off target")),"No data")</f>
        <v>No data</v>
      </c>
      <c r="H277" s="193" t="str">
        <f>INDEX(_TARGETS!$D$2:$D$17,MATCH("HCSA",_TARGETS!$A$2:$A$17,0))</f>
        <v>h / persona</v>
      </c>
      <c r="I277" s="193" t="str">
        <f>INDEX(_TARGETS!$K$2:$K$17,MATCH("HCSA",_TARGETS!$A$2:$A$17,0))</f>
        <v>OPS (carga manual en Datos)</v>
      </c>
      <c r="J277" s="258">
        <f t="shared" si="5"/>
        <v>46296</v>
      </c>
    </row>
    <row r="278" spans="1:10" ht="13.5" customHeight="1" x14ac:dyDescent="0.3">
      <c r="A278" t="s">
        <v>913</v>
      </c>
      <c r="B278" s="193" t="str">
        <f>YEAR(DATE(YEAR(RPT_MONTH),MONTH(RPT_MONTH)-10,1))&amp;"-"&amp;RIGHT("0"&amp;MONTH(DATE(YEAR(RPT_MONTH),MONTH(RPT_MONTH)-10,1)),2)</f>
        <v>2025-12</v>
      </c>
      <c r="C278" s="258">
        <f>DATE(YEAR(RPT_MONTH),MONTH(RPT_MONTH)-10,1)</f>
        <v>45992</v>
      </c>
      <c r="D278" t="s">
        <v>68</v>
      </c>
      <c r="E278" s="193" t="str">
        <f>IFERROR(INDEX(BD_KPIs!$F$2:$F$1300,MATCH(YEAR(DATE(YEAR(RPT_MONTH),MONTH(RPT_MONTH)-10,1))*100+MONTH(DATE(YEAR(RPT_MONTH),MONTH(RPT_MONTH)-10,1))&amp;"|HCSA|Monthly",BD_KPIs!$Q$2:$Q$1300,0)),"")</f>
        <v/>
      </c>
      <c r="F278" s="193" t="str">
        <f>IFERROR(INDEX(BD_KPIs!$G$2:$G$1300,MATCH(YEAR(DATE(YEAR(RPT_MONTH),MONTH(RPT_MONTH)-10,1))*100+MONTH(DATE(YEAR(RPT_MONTH),MONTH(RPT_MONTH)-10,1))&amp;"|HCSA|Monthly",BD_KPIs!$Q$2:$Q$1300,0)),"")</f>
        <v/>
      </c>
      <c r="G278" s="193" t="str">
        <f>IF(ISNUMBER(E278),IF(F278="","No target",IF(IFERROR(INDEX(BD_KPIs!$I$2:$I$1300,MATCH(YEAR(DATE(YEAR(RPT_MONTH),MONTH(RPT_MONTH)-10,1))*100+MONTH(DATE(YEAR(RPT_MONTH),MONTH(RPT_MONTH)-10,1))&amp;"|HCSA|Monthly",BD_KPIs!$Q$2:$Q$1300,0)),"")="Sí","On target","Off target")),"No data")</f>
        <v>No data</v>
      </c>
      <c r="H278" s="193" t="str">
        <f>INDEX(_TARGETS!$D$2:$D$17,MATCH("HCSA",_TARGETS!$A$2:$A$17,0))</f>
        <v>h / persona</v>
      </c>
      <c r="I278" s="193" t="str">
        <f>INDEX(_TARGETS!$K$2:$K$17,MATCH("HCSA",_TARGETS!$A$2:$A$17,0))</f>
        <v>OPS (carga manual en Datos)</v>
      </c>
      <c r="J278" s="258">
        <f t="shared" si="5"/>
        <v>46296</v>
      </c>
    </row>
    <row r="279" spans="1:10" ht="13.5" customHeight="1" x14ac:dyDescent="0.3">
      <c r="A279" t="s">
        <v>913</v>
      </c>
      <c r="B279" s="193" t="str">
        <f>YEAR(DATE(YEAR(RPT_MONTH),MONTH(RPT_MONTH)-9,1))&amp;"-"&amp;RIGHT("0"&amp;MONTH(DATE(YEAR(RPT_MONTH),MONTH(RPT_MONTH)-9,1)),2)</f>
        <v>2026-01</v>
      </c>
      <c r="C279" s="258">
        <f>DATE(YEAR(RPT_MONTH),MONTH(RPT_MONTH)-9,1)</f>
        <v>46023</v>
      </c>
      <c r="D279" t="s">
        <v>68</v>
      </c>
      <c r="E279" s="193" t="str">
        <f>IFERROR(INDEX(BD_KPIs!$F$2:$F$1300,MATCH(YEAR(DATE(YEAR(RPT_MONTH),MONTH(RPT_MONTH)-9,1))*100+MONTH(DATE(YEAR(RPT_MONTH),MONTH(RPT_MONTH)-9,1))&amp;"|HCSA|Monthly",BD_KPIs!$Q$2:$Q$1300,0)),"")</f>
        <v/>
      </c>
      <c r="F279" s="193" t="str">
        <f>IFERROR(INDEX(BD_KPIs!$G$2:$G$1300,MATCH(YEAR(DATE(YEAR(RPT_MONTH),MONTH(RPT_MONTH)-9,1))*100+MONTH(DATE(YEAR(RPT_MONTH),MONTH(RPT_MONTH)-9,1))&amp;"|HCSA|Monthly",BD_KPIs!$Q$2:$Q$1300,0)),"")</f>
        <v/>
      </c>
      <c r="G279" s="193" t="str">
        <f>IF(ISNUMBER(E279),IF(F279="","No target",IF(IFERROR(INDEX(BD_KPIs!$I$2:$I$1300,MATCH(YEAR(DATE(YEAR(RPT_MONTH),MONTH(RPT_MONTH)-9,1))*100+MONTH(DATE(YEAR(RPT_MONTH),MONTH(RPT_MONTH)-9,1))&amp;"|HCSA|Monthly",BD_KPIs!$Q$2:$Q$1300,0)),"")="Sí","On target","Off target")),"No data")</f>
        <v>No data</v>
      </c>
      <c r="H279" s="193" t="str">
        <f>INDEX(_TARGETS!$D$2:$D$17,MATCH("HCSA",_TARGETS!$A$2:$A$17,0))</f>
        <v>h / persona</v>
      </c>
      <c r="I279" s="193" t="str">
        <f>INDEX(_TARGETS!$K$2:$K$17,MATCH("HCSA",_TARGETS!$A$2:$A$17,0))</f>
        <v>OPS (carga manual en Datos)</v>
      </c>
      <c r="J279" s="258">
        <f t="shared" si="5"/>
        <v>46296</v>
      </c>
    </row>
    <row r="280" spans="1:10" ht="13.5" customHeight="1" x14ac:dyDescent="0.3">
      <c r="A280" t="s">
        <v>913</v>
      </c>
      <c r="B280" s="193" t="str">
        <f>YEAR(DATE(YEAR(RPT_MONTH),MONTH(RPT_MONTH)-8,1))&amp;"-"&amp;RIGHT("0"&amp;MONTH(DATE(YEAR(RPT_MONTH),MONTH(RPT_MONTH)-8,1)),2)</f>
        <v>2026-02</v>
      </c>
      <c r="C280" s="258">
        <f>DATE(YEAR(RPT_MONTH),MONTH(RPT_MONTH)-8,1)</f>
        <v>46054</v>
      </c>
      <c r="D280" t="s">
        <v>68</v>
      </c>
      <c r="E280" s="193" t="str">
        <f>IFERROR(INDEX(BD_KPIs!$F$2:$F$1300,MATCH(YEAR(DATE(YEAR(RPT_MONTH),MONTH(RPT_MONTH)-8,1))*100+MONTH(DATE(YEAR(RPT_MONTH),MONTH(RPT_MONTH)-8,1))&amp;"|HCSA|Monthly",BD_KPIs!$Q$2:$Q$1300,0)),"")</f>
        <v/>
      </c>
      <c r="F280" s="193" t="str">
        <f>IFERROR(INDEX(BD_KPIs!$G$2:$G$1300,MATCH(YEAR(DATE(YEAR(RPT_MONTH),MONTH(RPT_MONTH)-8,1))*100+MONTH(DATE(YEAR(RPT_MONTH),MONTH(RPT_MONTH)-8,1))&amp;"|HCSA|Monthly",BD_KPIs!$Q$2:$Q$1300,0)),"")</f>
        <v/>
      </c>
      <c r="G280" s="193" t="str">
        <f>IF(ISNUMBER(E280),IF(F280="","No target",IF(IFERROR(INDEX(BD_KPIs!$I$2:$I$1300,MATCH(YEAR(DATE(YEAR(RPT_MONTH),MONTH(RPT_MONTH)-8,1))*100+MONTH(DATE(YEAR(RPT_MONTH),MONTH(RPT_MONTH)-8,1))&amp;"|HCSA|Monthly",BD_KPIs!$Q$2:$Q$1300,0)),"")="Sí","On target","Off target")),"No data")</f>
        <v>No data</v>
      </c>
      <c r="H280" s="193" t="str">
        <f>INDEX(_TARGETS!$D$2:$D$17,MATCH("HCSA",_TARGETS!$A$2:$A$17,0))</f>
        <v>h / persona</v>
      </c>
      <c r="I280" s="193" t="str">
        <f>INDEX(_TARGETS!$K$2:$K$17,MATCH("HCSA",_TARGETS!$A$2:$A$17,0))</f>
        <v>OPS (carga manual en Datos)</v>
      </c>
      <c r="J280" s="258">
        <f t="shared" si="5"/>
        <v>46296</v>
      </c>
    </row>
    <row r="281" spans="1:10" ht="13.5" customHeight="1" x14ac:dyDescent="0.3">
      <c r="A281" t="s">
        <v>913</v>
      </c>
      <c r="B281" s="193" t="str">
        <f>YEAR(DATE(YEAR(RPT_MONTH),MONTH(RPT_MONTH)-7,1))&amp;"-"&amp;RIGHT("0"&amp;MONTH(DATE(YEAR(RPT_MONTH),MONTH(RPT_MONTH)-7,1)),2)</f>
        <v>2026-03</v>
      </c>
      <c r="C281" s="258">
        <f>DATE(YEAR(RPT_MONTH),MONTH(RPT_MONTH)-7,1)</f>
        <v>46082</v>
      </c>
      <c r="D281" t="s">
        <v>68</v>
      </c>
      <c r="E281" s="193" t="str">
        <f>IFERROR(INDEX(BD_KPIs!$F$2:$F$1300,MATCH(YEAR(DATE(YEAR(RPT_MONTH),MONTH(RPT_MONTH)-7,1))*100+MONTH(DATE(YEAR(RPT_MONTH),MONTH(RPT_MONTH)-7,1))&amp;"|HCSA|Monthly",BD_KPIs!$Q$2:$Q$1300,0)),"")</f>
        <v/>
      </c>
      <c r="F281" s="193" t="str">
        <f>IFERROR(INDEX(BD_KPIs!$G$2:$G$1300,MATCH(YEAR(DATE(YEAR(RPT_MONTH),MONTH(RPT_MONTH)-7,1))*100+MONTH(DATE(YEAR(RPT_MONTH),MONTH(RPT_MONTH)-7,1))&amp;"|HCSA|Monthly",BD_KPIs!$Q$2:$Q$1300,0)),"")</f>
        <v/>
      </c>
      <c r="G281" s="193" t="str">
        <f>IF(ISNUMBER(E281),IF(F281="","No target",IF(IFERROR(INDEX(BD_KPIs!$I$2:$I$1300,MATCH(YEAR(DATE(YEAR(RPT_MONTH),MONTH(RPT_MONTH)-7,1))*100+MONTH(DATE(YEAR(RPT_MONTH),MONTH(RPT_MONTH)-7,1))&amp;"|HCSA|Monthly",BD_KPIs!$Q$2:$Q$1300,0)),"")="Sí","On target","Off target")),"No data")</f>
        <v>No data</v>
      </c>
      <c r="H281" s="193" t="str">
        <f>INDEX(_TARGETS!$D$2:$D$17,MATCH("HCSA",_TARGETS!$A$2:$A$17,0))</f>
        <v>h / persona</v>
      </c>
      <c r="I281" s="193" t="str">
        <f>INDEX(_TARGETS!$K$2:$K$17,MATCH("HCSA",_TARGETS!$A$2:$A$17,0))</f>
        <v>OPS (carga manual en Datos)</v>
      </c>
      <c r="J281" s="258">
        <f t="shared" si="5"/>
        <v>46296</v>
      </c>
    </row>
    <row r="282" spans="1:10" ht="13.5" customHeight="1" x14ac:dyDescent="0.3">
      <c r="A282" t="s">
        <v>913</v>
      </c>
      <c r="B282" s="193" t="str">
        <f>YEAR(DATE(YEAR(RPT_MONTH),MONTH(RPT_MONTH)-6,1))&amp;"-"&amp;RIGHT("0"&amp;MONTH(DATE(YEAR(RPT_MONTH),MONTH(RPT_MONTH)-6,1)),2)</f>
        <v>2026-04</v>
      </c>
      <c r="C282" s="258">
        <f>DATE(YEAR(RPT_MONTH),MONTH(RPT_MONTH)-6,1)</f>
        <v>46113</v>
      </c>
      <c r="D282" t="s">
        <v>68</v>
      </c>
      <c r="E282" s="193" t="str">
        <f>IFERROR(INDEX(BD_KPIs!$F$2:$F$1300,MATCH(YEAR(DATE(YEAR(RPT_MONTH),MONTH(RPT_MONTH)-6,1))*100+MONTH(DATE(YEAR(RPT_MONTH),MONTH(RPT_MONTH)-6,1))&amp;"|HCSA|Monthly",BD_KPIs!$Q$2:$Q$1300,0)),"")</f>
        <v/>
      </c>
      <c r="F282" s="193" t="str">
        <f>IFERROR(INDEX(BD_KPIs!$G$2:$G$1300,MATCH(YEAR(DATE(YEAR(RPT_MONTH),MONTH(RPT_MONTH)-6,1))*100+MONTH(DATE(YEAR(RPT_MONTH),MONTH(RPT_MONTH)-6,1))&amp;"|HCSA|Monthly",BD_KPIs!$Q$2:$Q$1300,0)),"")</f>
        <v/>
      </c>
      <c r="G282" s="193" t="str">
        <f>IF(ISNUMBER(E282),IF(F282="","No target",IF(IFERROR(INDEX(BD_KPIs!$I$2:$I$1300,MATCH(YEAR(DATE(YEAR(RPT_MONTH),MONTH(RPT_MONTH)-6,1))*100+MONTH(DATE(YEAR(RPT_MONTH),MONTH(RPT_MONTH)-6,1))&amp;"|HCSA|Monthly",BD_KPIs!$Q$2:$Q$1300,0)),"")="Sí","On target","Off target")),"No data")</f>
        <v>No data</v>
      </c>
      <c r="H282" s="193" t="str">
        <f>INDEX(_TARGETS!$D$2:$D$17,MATCH("HCSA",_TARGETS!$A$2:$A$17,0))</f>
        <v>h / persona</v>
      </c>
      <c r="I282" s="193" t="str">
        <f>INDEX(_TARGETS!$K$2:$K$17,MATCH("HCSA",_TARGETS!$A$2:$A$17,0))</f>
        <v>OPS (carga manual en Datos)</v>
      </c>
      <c r="J282" s="258">
        <f t="shared" si="5"/>
        <v>46296</v>
      </c>
    </row>
    <row r="283" spans="1:10" ht="13.5" customHeight="1" x14ac:dyDescent="0.3">
      <c r="A283" t="s">
        <v>913</v>
      </c>
      <c r="B283" s="193" t="str">
        <f>YEAR(DATE(YEAR(RPT_MONTH),MONTH(RPT_MONTH)-5,1))&amp;"-"&amp;RIGHT("0"&amp;MONTH(DATE(YEAR(RPT_MONTH),MONTH(RPT_MONTH)-5,1)),2)</f>
        <v>2026-05</v>
      </c>
      <c r="C283" s="258">
        <f>DATE(YEAR(RPT_MONTH),MONTH(RPT_MONTH)-5,1)</f>
        <v>46143</v>
      </c>
      <c r="D283" t="s">
        <v>68</v>
      </c>
      <c r="E283" s="193" t="str">
        <f>IFERROR(INDEX(BD_KPIs!$F$2:$F$1300,MATCH(YEAR(DATE(YEAR(RPT_MONTH),MONTH(RPT_MONTH)-5,1))*100+MONTH(DATE(YEAR(RPT_MONTH),MONTH(RPT_MONTH)-5,1))&amp;"|HCSA|Monthly",BD_KPIs!$Q$2:$Q$1300,0)),"")</f>
        <v/>
      </c>
      <c r="F283" s="193" t="str">
        <f>IFERROR(INDEX(BD_KPIs!$G$2:$G$1300,MATCH(YEAR(DATE(YEAR(RPT_MONTH),MONTH(RPT_MONTH)-5,1))*100+MONTH(DATE(YEAR(RPT_MONTH),MONTH(RPT_MONTH)-5,1))&amp;"|HCSA|Monthly",BD_KPIs!$Q$2:$Q$1300,0)),"")</f>
        <v/>
      </c>
      <c r="G283" s="193" t="str">
        <f>IF(ISNUMBER(E283),IF(F283="","No target",IF(IFERROR(INDEX(BD_KPIs!$I$2:$I$1300,MATCH(YEAR(DATE(YEAR(RPT_MONTH),MONTH(RPT_MONTH)-5,1))*100+MONTH(DATE(YEAR(RPT_MONTH),MONTH(RPT_MONTH)-5,1))&amp;"|HCSA|Monthly",BD_KPIs!$Q$2:$Q$1300,0)),"")="Sí","On target","Off target")),"No data")</f>
        <v>No data</v>
      </c>
      <c r="H283" s="193" t="str">
        <f>INDEX(_TARGETS!$D$2:$D$17,MATCH("HCSA",_TARGETS!$A$2:$A$17,0))</f>
        <v>h / persona</v>
      </c>
      <c r="I283" s="193" t="str">
        <f>INDEX(_TARGETS!$K$2:$K$17,MATCH("HCSA",_TARGETS!$A$2:$A$17,0))</f>
        <v>OPS (carga manual en Datos)</v>
      </c>
      <c r="J283" s="258">
        <f t="shared" si="5"/>
        <v>46296</v>
      </c>
    </row>
    <row r="284" spans="1:10" ht="13.5" customHeight="1" x14ac:dyDescent="0.3">
      <c r="A284" t="s">
        <v>913</v>
      </c>
      <c r="B284" s="193" t="str">
        <f>YEAR(DATE(YEAR(RPT_MONTH),MONTH(RPT_MONTH)-4,1))&amp;"-"&amp;RIGHT("0"&amp;MONTH(DATE(YEAR(RPT_MONTH),MONTH(RPT_MONTH)-4,1)),2)</f>
        <v>2026-06</v>
      </c>
      <c r="C284" s="258">
        <f>DATE(YEAR(RPT_MONTH),MONTH(RPT_MONTH)-4,1)</f>
        <v>46174</v>
      </c>
      <c r="D284" t="s">
        <v>68</v>
      </c>
      <c r="E284" s="193" t="str">
        <f>IFERROR(INDEX(BD_KPIs!$F$2:$F$1300,MATCH(YEAR(DATE(YEAR(RPT_MONTH),MONTH(RPT_MONTH)-4,1))*100+MONTH(DATE(YEAR(RPT_MONTH),MONTH(RPT_MONTH)-4,1))&amp;"|HCSA|Monthly",BD_KPIs!$Q$2:$Q$1300,0)),"")</f>
        <v/>
      </c>
      <c r="F284" s="193" t="str">
        <f>IFERROR(INDEX(BD_KPIs!$G$2:$G$1300,MATCH(YEAR(DATE(YEAR(RPT_MONTH),MONTH(RPT_MONTH)-4,1))*100+MONTH(DATE(YEAR(RPT_MONTH),MONTH(RPT_MONTH)-4,1))&amp;"|HCSA|Monthly",BD_KPIs!$Q$2:$Q$1300,0)),"")</f>
        <v/>
      </c>
      <c r="G284" s="193" t="str">
        <f>IF(ISNUMBER(E284),IF(F284="","No target",IF(IFERROR(INDEX(BD_KPIs!$I$2:$I$1300,MATCH(YEAR(DATE(YEAR(RPT_MONTH),MONTH(RPT_MONTH)-4,1))*100+MONTH(DATE(YEAR(RPT_MONTH),MONTH(RPT_MONTH)-4,1))&amp;"|HCSA|Monthly",BD_KPIs!$Q$2:$Q$1300,0)),"")="Sí","On target","Off target")),"No data")</f>
        <v>No data</v>
      </c>
      <c r="H284" s="193" t="str">
        <f>INDEX(_TARGETS!$D$2:$D$17,MATCH("HCSA",_TARGETS!$A$2:$A$17,0))</f>
        <v>h / persona</v>
      </c>
      <c r="I284" s="193" t="str">
        <f>INDEX(_TARGETS!$K$2:$K$17,MATCH("HCSA",_TARGETS!$A$2:$A$17,0))</f>
        <v>OPS (carga manual en Datos)</v>
      </c>
      <c r="J284" s="258">
        <f t="shared" si="5"/>
        <v>46296</v>
      </c>
    </row>
    <row r="285" spans="1:10" ht="13.5" customHeight="1" x14ac:dyDescent="0.3">
      <c r="A285" t="s">
        <v>913</v>
      </c>
      <c r="B285" s="193" t="str">
        <f>YEAR(DATE(YEAR(RPT_MONTH),MONTH(RPT_MONTH)-3,1))&amp;"-"&amp;RIGHT("0"&amp;MONTH(DATE(YEAR(RPT_MONTH),MONTH(RPT_MONTH)-3,1)),2)</f>
        <v>2026-07</v>
      </c>
      <c r="C285" s="258">
        <f>DATE(YEAR(RPT_MONTH),MONTH(RPT_MONTH)-3,1)</f>
        <v>46204</v>
      </c>
      <c r="D285" t="s">
        <v>68</v>
      </c>
      <c r="E285" s="193" t="str">
        <f>IFERROR(INDEX(BD_KPIs!$F$2:$F$1300,MATCH(YEAR(DATE(YEAR(RPT_MONTH),MONTH(RPT_MONTH)-3,1))*100+MONTH(DATE(YEAR(RPT_MONTH),MONTH(RPT_MONTH)-3,1))&amp;"|HCSA|Monthly",BD_KPIs!$Q$2:$Q$1300,0)),"")</f>
        <v/>
      </c>
      <c r="F285" s="193" t="str">
        <f>IFERROR(INDEX(BD_KPIs!$G$2:$G$1300,MATCH(YEAR(DATE(YEAR(RPT_MONTH),MONTH(RPT_MONTH)-3,1))*100+MONTH(DATE(YEAR(RPT_MONTH),MONTH(RPT_MONTH)-3,1))&amp;"|HCSA|Monthly",BD_KPIs!$Q$2:$Q$1300,0)),"")</f>
        <v/>
      </c>
      <c r="G285" s="193" t="str">
        <f>IF(ISNUMBER(E285),IF(F285="","No target",IF(IFERROR(INDEX(BD_KPIs!$I$2:$I$1300,MATCH(YEAR(DATE(YEAR(RPT_MONTH),MONTH(RPT_MONTH)-3,1))*100+MONTH(DATE(YEAR(RPT_MONTH),MONTH(RPT_MONTH)-3,1))&amp;"|HCSA|Monthly",BD_KPIs!$Q$2:$Q$1300,0)),"")="Sí","On target","Off target")),"No data")</f>
        <v>No data</v>
      </c>
      <c r="H285" s="193" t="str">
        <f>INDEX(_TARGETS!$D$2:$D$17,MATCH("HCSA",_TARGETS!$A$2:$A$17,0))</f>
        <v>h / persona</v>
      </c>
      <c r="I285" s="193" t="str">
        <f>INDEX(_TARGETS!$K$2:$K$17,MATCH("HCSA",_TARGETS!$A$2:$A$17,0))</f>
        <v>OPS (carga manual en Datos)</v>
      </c>
      <c r="J285" s="258">
        <f t="shared" si="5"/>
        <v>46296</v>
      </c>
    </row>
    <row r="286" spans="1:10" ht="13.5" customHeight="1" x14ac:dyDescent="0.3">
      <c r="A286" t="s">
        <v>913</v>
      </c>
      <c r="B286" s="193" t="str">
        <f>YEAR(DATE(YEAR(RPT_MONTH),MONTH(RPT_MONTH)-2,1))&amp;"-"&amp;RIGHT("0"&amp;MONTH(DATE(YEAR(RPT_MONTH),MONTH(RPT_MONTH)-2,1)),2)</f>
        <v>2026-08</v>
      </c>
      <c r="C286" s="258">
        <f>DATE(YEAR(RPT_MONTH),MONTH(RPT_MONTH)-2,1)</f>
        <v>46235</v>
      </c>
      <c r="D286" t="s">
        <v>68</v>
      </c>
      <c r="E286" s="193">
        <f>IFERROR(INDEX(BD_KPIs!$F$2:$F$1300,MATCH(YEAR(DATE(YEAR(RPT_MONTH),MONTH(RPT_MONTH)-2,1))*100+MONTH(DATE(YEAR(RPT_MONTH),MONTH(RPT_MONTH)-2,1))&amp;"|HCSA|Monthly",BD_KPIs!$Q$2:$Q$1300,0)),"")</f>
        <v>13.695652173913</v>
      </c>
      <c r="F286" s="193" t="str">
        <f>IFERROR(INDEX(BD_KPIs!$G$2:$G$1300,MATCH(YEAR(DATE(YEAR(RPT_MONTH),MONTH(RPT_MONTH)-2,1))*100+MONTH(DATE(YEAR(RPT_MONTH),MONTH(RPT_MONTH)-2,1))&amp;"|HCSA|Monthly",BD_KPIs!$Q$2:$Q$1300,0)),"")</f>
        <v/>
      </c>
      <c r="G286" s="193" t="str">
        <f>IF(ISNUMBER(E286),IF(F286="","No target",IF(IFERROR(INDEX(BD_KPIs!$I$2:$I$1300,MATCH(YEAR(DATE(YEAR(RPT_MONTH),MONTH(RPT_MONTH)-2,1))*100+MONTH(DATE(YEAR(RPT_MONTH),MONTH(RPT_MONTH)-2,1))&amp;"|HCSA|Monthly",BD_KPIs!$Q$2:$Q$1300,0)),"")="Sí","On target","Off target")),"No data")</f>
        <v>No target</v>
      </c>
      <c r="H286" s="193" t="str">
        <f>INDEX(_TARGETS!$D$2:$D$17,MATCH("HCSA",_TARGETS!$A$2:$A$17,0))</f>
        <v>h / persona</v>
      </c>
      <c r="I286" s="193" t="str">
        <f>INDEX(_TARGETS!$K$2:$K$17,MATCH("HCSA",_TARGETS!$A$2:$A$17,0))</f>
        <v>OPS (carga manual en Datos)</v>
      </c>
      <c r="J286" s="258">
        <f t="shared" si="5"/>
        <v>46296</v>
      </c>
    </row>
    <row r="287" spans="1:10" ht="13.5" customHeight="1" x14ac:dyDescent="0.3">
      <c r="A287" t="s">
        <v>913</v>
      </c>
      <c r="B287" s="193" t="str">
        <f>YEAR(DATE(YEAR(RPT_MONTH),MONTH(RPT_MONTH)-1,1))&amp;"-"&amp;RIGHT("0"&amp;MONTH(DATE(YEAR(RPT_MONTH),MONTH(RPT_MONTH)-1,1)),2)</f>
        <v>2026-09</v>
      </c>
      <c r="C287" s="258">
        <f>DATE(YEAR(RPT_MONTH),MONTH(RPT_MONTH)-1,1)</f>
        <v>46266</v>
      </c>
      <c r="D287" t="s">
        <v>68</v>
      </c>
      <c r="E287" s="193">
        <f>IFERROR(INDEX(BD_KPIs!$F$2:$F$1300,MATCH(YEAR(DATE(YEAR(RPT_MONTH),MONTH(RPT_MONTH)-1,1))*100+MONTH(DATE(YEAR(RPT_MONTH),MONTH(RPT_MONTH)-1,1))&amp;"|HCSA|Monthly",BD_KPIs!$Q$2:$Q$1300,0)),"")</f>
        <v>7.24390243902439</v>
      </c>
      <c r="F287" s="193" t="str">
        <f>IFERROR(INDEX(BD_KPIs!$G$2:$G$1300,MATCH(YEAR(DATE(YEAR(RPT_MONTH),MONTH(RPT_MONTH)-1,1))*100+MONTH(DATE(YEAR(RPT_MONTH),MONTH(RPT_MONTH)-1,1))&amp;"|HCSA|Monthly",BD_KPIs!$Q$2:$Q$1300,0)),"")</f>
        <v/>
      </c>
      <c r="G287" s="193" t="str">
        <f>IF(ISNUMBER(E287),IF(F287="","No target",IF(IFERROR(INDEX(BD_KPIs!$I$2:$I$1300,MATCH(YEAR(DATE(YEAR(RPT_MONTH),MONTH(RPT_MONTH)-1,1))*100+MONTH(DATE(YEAR(RPT_MONTH),MONTH(RPT_MONTH)-1,1))&amp;"|HCSA|Monthly",BD_KPIs!$Q$2:$Q$1300,0)),"")="Sí","On target","Off target")),"No data")</f>
        <v>No target</v>
      </c>
      <c r="H287" s="193" t="str">
        <f>INDEX(_TARGETS!$D$2:$D$17,MATCH("HCSA",_TARGETS!$A$2:$A$17,0))</f>
        <v>h / persona</v>
      </c>
      <c r="I287" s="193" t="str">
        <f>INDEX(_TARGETS!$K$2:$K$17,MATCH("HCSA",_TARGETS!$A$2:$A$17,0))</f>
        <v>OPS (carga manual en Datos)</v>
      </c>
      <c r="J287" s="258">
        <f t="shared" si="5"/>
        <v>46296</v>
      </c>
    </row>
    <row r="288" spans="1:10" ht="13.5" customHeight="1" x14ac:dyDescent="0.3">
      <c r="A288" t="s">
        <v>913</v>
      </c>
      <c r="B288" s="193" t="str">
        <f>YEAR(DATE(YEAR(RPT_MONTH),MONTH(RPT_MONTH)-0,1))&amp;"-"&amp;RIGHT("0"&amp;MONTH(DATE(YEAR(RPT_MONTH),MONTH(RPT_MONTH)-0,1)),2)</f>
        <v>2026-10</v>
      </c>
      <c r="C288" s="258">
        <f>DATE(YEAR(RPT_MONTH),MONTH(RPT_MONTH)-0,1)</f>
        <v>46296</v>
      </c>
      <c r="D288" t="s">
        <v>68</v>
      </c>
      <c r="E288" s="193" t="str">
        <f>IFERROR(INDEX(BD_KPIs!$F$2:$F$1300,MATCH(YEAR(DATE(YEAR(RPT_MONTH),MONTH(RPT_MONTH)-0,1))*100+MONTH(DATE(YEAR(RPT_MONTH),MONTH(RPT_MONTH)-0,1))&amp;"|HCSA|Monthly",BD_KPIs!$Q$2:$Q$1300,0)),"")</f>
        <v/>
      </c>
      <c r="F288" s="193" t="str">
        <f>IFERROR(INDEX(BD_KPIs!$G$2:$G$1300,MATCH(YEAR(DATE(YEAR(RPT_MONTH),MONTH(RPT_MONTH)-0,1))*100+MONTH(DATE(YEAR(RPT_MONTH),MONTH(RPT_MONTH)-0,1))&amp;"|HCSA|Monthly",BD_KPIs!$Q$2:$Q$1300,0)),"")</f>
        <v/>
      </c>
      <c r="G288" s="193" t="str">
        <f>IF(ISNUMBER(E288),IF(F288="","No target",IF(IFERROR(INDEX(BD_KPIs!$I$2:$I$1300,MATCH(YEAR(DATE(YEAR(RPT_MONTH),MONTH(RPT_MONTH)-0,1))*100+MONTH(DATE(YEAR(RPT_MONTH),MONTH(RPT_MONTH)-0,1))&amp;"|HCSA|Monthly",BD_KPIs!$Q$2:$Q$1300,0)),"")="Sí","On target","Off target")),"No data")</f>
        <v>No data</v>
      </c>
      <c r="H288" s="193" t="str">
        <f>INDEX(_TARGETS!$D$2:$D$17,MATCH("HCSA",_TARGETS!$A$2:$A$17,0))</f>
        <v>h / persona</v>
      </c>
      <c r="I288" s="193" t="str">
        <f>INDEX(_TARGETS!$K$2:$K$17,MATCH("HCSA",_TARGETS!$A$2:$A$17,0))</f>
        <v>OPS (carga manual en Datos)</v>
      </c>
      <c r="J288" s="258">
        <f t="shared" si="5"/>
        <v>46296</v>
      </c>
    </row>
    <row r="289" spans="1:10" ht="13.5" customHeight="1" x14ac:dyDescent="0.3">
      <c r="A289" t="s">
        <v>914</v>
      </c>
      <c r="B289" s="193" t="str">
        <f>YEAR(DATE(YEAR(RPT_MONTH),MONTH(RPT_MONTH)-11,1))&amp;"-"&amp;RIGHT("0"&amp;MONTH(DATE(YEAR(RPT_MONTH),MONTH(RPT_MONTH)-11,1)),2)</f>
        <v>2025-11</v>
      </c>
      <c r="C289" s="258">
        <f>DATE(YEAR(RPT_MONTH),MONTH(RPT_MONTH)-11,1)</f>
        <v>45962</v>
      </c>
      <c r="D289" t="s">
        <v>68</v>
      </c>
      <c r="E289" s="193" t="str">
        <f>IFERROR(INDEX(BD_KPIs!$F$2:$F$1300,MATCH(YEAR(DATE(YEAR(RPT_MONTH),MONTH(RPT_MONTH)-11,1))*100+MONTH(DATE(YEAR(RPT_MONTH),MONTH(RPT_MONTH)-11,1))&amp;"|CPSE|Monthly",BD_KPIs!$Q$2:$Q$1300,0)),"")</f>
        <v/>
      </c>
      <c r="F289" s="193" t="str">
        <f>IFERROR(INDEX(BD_KPIs!$G$2:$G$1300,MATCH(YEAR(DATE(YEAR(RPT_MONTH),MONTH(RPT_MONTH)-11,1))*100+MONTH(DATE(YEAR(RPT_MONTH),MONTH(RPT_MONTH)-11,1))&amp;"|CPSE|Monthly",BD_KPIs!$Q$2:$Q$1300,0)),"")</f>
        <v/>
      </c>
      <c r="G289" s="193" t="str">
        <f>IF(ISNUMBER(E289),IF(F289="","No target",IF(IFERROR(INDEX(BD_KPIs!$I$2:$I$1300,MATCH(YEAR(DATE(YEAR(RPT_MONTH),MONTH(RPT_MONTH)-11,1))*100+MONTH(DATE(YEAR(RPT_MONTH),MONTH(RPT_MONTH)-11,1))&amp;"|CPSE|Monthly",BD_KPIs!$Q$2:$Q$1300,0)),"")="Sí","On target","Off target")),"No data")</f>
        <v>No data</v>
      </c>
      <c r="H289" s="193" t="str">
        <f>INDEX(_TARGETS!$D$2:$D$17,MATCH("CPSE",_TARGETS!$A$2:$A$17,0))</f>
        <v>% (fracción)</v>
      </c>
      <c r="I289" s="193" t="str">
        <f>INDEX(_TARGETS!$K$2:$K$17,MATCH("CPSE",_TARGETS!$A$2:$A$17,0))</f>
        <v>OPS (carga manual en Datos)</v>
      </c>
      <c r="J289" s="258">
        <f t="shared" si="5"/>
        <v>46296</v>
      </c>
    </row>
    <row r="290" spans="1:10" ht="13.5" customHeight="1" x14ac:dyDescent="0.3">
      <c r="A290" t="s">
        <v>914</v>
      </c>
      <c r="B290" s="193" t="str">
        <f>YEAR(DATE(YEAR(RPT_MONTH),MONTH(RPT_MONTH)-10,1))&amp;"-"&amp;RIGHT("0"&amp;MONTH(DATE(YEAR(RPT_MONTH),MONTH(RPT_MONTH)-10,1)),2)</f>
        <v>2025-12</v>
      </c>
      <c r="C290" s="258">
        <f>DATE(YEAR(RPT_MONTH),MONTH(RPT_MONTH)-10,1)</f>
        <v>45992</v>
      </c>
      <c r="D290" t="s">
        <v>68</v>
      </c>
      <c r="E290" s="193" t="str">
        <f>IFERROR(INDEX(BD_KPIs!$F$2:$F$1300,MATCH(YEAR(DATE(YEAR(RPT_MONTH),MONTH(RPT_MONTH)-10,1))*100+MONTH(DATE(YEAR(RPT_MONTH),MONTH(RPT_MONTH)-10,1))&amp;"|CPSE|Monthly",BD_KPIs!$Q$2:$Q$1300,0)),"")</f>
        <v/>
      </c>
      <c r="F290" s="193" t="str">
        <f>IFERROR(INDEX(BD_KPIs!$G$2:$G$1300,MATCH(YEAR(DATE(YEAR(RPT_MONTH),MONTH(RPT_MONTH)-10,1))*100+MONTH(DATE(YEAR(RPT_MONTH),MONTH(RPT_MONTH)-10,1))&amp;"|CPSE|Monthly",BD_KPIs!$Q$2:$Q$1300,0)),"")</f>
        <v/>
      </c>
      <c r="G290" s="193" t="str">
        <f>IF(ISNUMBER(E290),IF(F290="","No target",IF(IFERROR(INDEX(BD_KPIs!$I$2:$I$1300,MATCH(YEAR(DATE(YEAR(RPT_MONTH),MONTH(RPT_MONTH)-10,1))*100+MONTH(DATE(YEAR(RPT_MONTH),MONTH(RPT_MONTH)-10,1))&amp;"|CPSE|Monthly",BD_KPIs!$Q$2:$Q$1300,0)),"")="Sí","On target","Off target")),"No data")</f>
        <v>No data</v>
      </c>
      <c r="H290" s="193" t="str">
        <f>INDEX(_TARGETS!$D$2:$D$17,MATCH("CPSE",_TARGETS!$A$2:$A$17,0))</f>
        <v>% (fracción)</v>
      </c>
      <c r="I290" s="193" t="str">
        <f>INDEX(_TARGETS!$K$2:$K$17,MATCH("CPSE",_TARGETS!$A$2:$A$17,0))</f>
        <v>OPS (carga manual en Datos)</v>
      </c>
      <c r="J290" s="258">
        <f t="shared" si="5"/>
        <v>46296</v>
      </c>
    </row>
    <row r="291" spans="1:10" ht="13.5" customHeight="1" x14ac:dyDescent="0.3">
      <c r="A291" t="s">
        <v>914</v>
      </c>
      <c r="B291" s="193" t="str">
        <f>YEAR(DATE(YEAR(RPT_MONTH),MONTH(RPT_MONTH)-9,1))&amp;"-"&amp;RIGHT("0"&amp;MONTH(DATE(YEAR(RPT_MONTH),MONTH(RPT_MONTH)-9,1)),2)</f>
        <v>2026-01</v>
      </c>
      <c r="C291" s="258">
        <f>DATE(YEAR(RPT_MONTH),MONTH(RPT_MONTH)-9,1)</f>
        <v>46023</v>
      </c>
      <c r="D291" t="s">
        <v>68</v>
      </c>
      <c r="E291" s="193" t="str">
        <f>IFERROR(INDEX(BD_KPIs!$F$2:$F$1300,MATCH(YEAR(DATE(YEAR(RPT_MONTH),MONTH(RPT_MONTH)-9,1))*100+MONTH(DATE(YEAR(RPT_MONTH),MONTH(RPT_MONTH)-9,1))&amp;"|CPSE|Monthly",BD_KPIs!$Q$2:$Q$1300,0)),"")</f>
        <v/>
      </c>
      <c r="F291" s="193" t="str">
        <f>IFERROR(INDEX(BD_KPIs!$G$2:$G$1300,MATCH(YEAR(DATE(YEAR(RPT_MONTH),MONTH(RPT_MONTH)-9,1))*100+MONTH(DATE(YEAR(RPT_MONTH),MONTH(RPT_MONTH)-9,1))&amp;"|CPSE|Monthly",BD_KPIs!$Q$2:$Q$1300,0)),"")</f>
        <v/>
      </c>
      <c r="G291" s="193" t="str">
        <f>IF(ISNUMBER(E291),IF(F291="","No target",IF(IFERROR(INDEX(BD_KPIs!$I$2:$I$1300,MATCH(YEAR(DATE(YEAR(RPT_MONTH),MONTH(RPT_MONTH)-9,1))*100+MONTH(DATE(YEAR(RPT_MONTH),MONTH(RPT_MONTH)-9,1))&amp;"|CPSE|Monthly",BD_KPIs!$Q$2:$Q$1300,0)),"")="Sí","On target","Off target")),"No data")</f>
        <v>No data</v>
      </c>
      <c r="H291" s="193" t="str">
        <f>INDEX(_TARGETS!$D$2:$D$17,MATCH("CPSE",_TARGETS!$A$2:$A$17,0))</f>
        <v>% (fracción)</v>
      </c>
      <c r="I291" s="193" t="str">
        <f>INDEX(_TARGETS!$K$2:$K$17,MATCH("CPSE",_TARGETS!$A$2:$A$17,0))</f>
        <v>OPS (carga manual en Datos)</v>
      </c>
      <c r="J291" s="258">
        <f t="shared" si="5"/>
        <v>46296</v>
      </c>
    </row>
    <row r="292" spans="1:10" ht="13.5" customHeight="1" x14ac:dyDescent="0.3">
      <c r="A292" t="s">
        <v>914</v>
      </c>
      <c r="B292" s="193" t="str">
        <f>YEAR(DATE(YEAR(RPT_MONTH),MONTH(RPT_MONTH)-8,1))&amp;"-"&amp;RIGHT("0"&amp;MONTH(DATE(YEAR(RPT_MONTH),MONTH(RPT_MONTH)-8,1)),2)</f>
        <v>2026-02</v>
      </c>
      <c r="C292" s="258">
        <f>DATE(YEAR(RPT_MONTH),MONTH(RPT_MONTH)-8,1)</f>
        <v>46054</v>
      </c>
      <c r="D292" t="s">
        <v>68</v>
      </c>
      <c r="E292" s="193" t="str">
        <f>IFERROR(INDEX(BD_KPIs!$F$2:$F$1300,MATCH(YEAR(DATE(YEAR(RPT_MONTH),MONTH(RPT_MONTH)-8,1))*100+MONTH(DATE(YEAR(RPT_MONTH),MONTH(RPT_MONTH)-8,1))&amp;"|CPSE|Monthly",BD_KPIs!$Q$2:$Q$1300,0)),"")</f>
        <v/>
      </c>
      <c r="F292" s="193" t="str">
        <f>IFERROR(INDEX(BD_KPIs!$G$2:$G$1300,MATCH(YEAR(DATE(YEAR(RPT_MONTH),MONTH(RPT_MONTH)-8,1))*100+MONTH(DATE(YEAR(RPT_MONTH),MONTH(RPT_MONTH)-8,1))&amp;"|CPSE|Monthly",BD_KPIs!$Q$2:$Q$1300,0)),"")</f>
        <v/>
      </c>
      <c r="G292" s="193" t="str">
        <f>IF(ISNUMBER(E292),IF(F292="","No target",IF(IFERROR(INDEX(BD_KPIs!$I$2:$I$1300,MATCH(YEAR(DATE(YEAR(RPT_MONTH),MONTH(RPT_MONTH)-8,1))*100+MONTH(DATE(YEAR(RPT_MONTH),MONTH(RPT_MONTH)-8,1))&amp;"|CPSE|Monthly",BD_KPIs!$Q$2:$Q$1300,0)),"")="Sí","On target","Off target")),"No data")</f>
        <v>No data</v>
      </c>
      <c r="H292" s="193" t="str">
        <f>INDEX(_TARGETS!$D$2:$D$17,MATCH("CPSE",_TARGETS!$A$2:$A$17,0))</f>
        <v>% (fracción)</v>
      </c>
      <c r="I292" s="193" t="str">
        <f>INDEX(_TARGETS!$K$2:$K$17,MATCH("CPSE",_TARGETS!$A$2:$A$17,0))</f>
        <v>OPS (carga manual en Datos)</v>
      </c>
      <c r="J292" s="258">
        <f t="shared" si="5"/>
        <v>46296</v>
      </c>
    </row>
    <row r="293" spans="1:10" ht="13.5" customHeight="1" x14ac:dyDescent="0.3">
      <c r="A293" t="s">
        <v>914</v>
      </c>
      <c r="B293" s="193" t="str">
        <f>YEAR(DATE(YEAR(RPT_MONTH),MONTH(RPT_MONTH)-7,1))&amp;"-"&amp;RIGHT("0"&amp;MONTH(DATE(YEAR(RPT_MONTH),MONTH(RPT_MONTH)-7,1)),2)</f>
        <v>2026-03</v>
      </c>
      <c r="C293" s="258">
        <f>DATE(YEAR(RPT_MONTH),MONTH(RPT_MONTH)-7,1)</f>
        <v>46082</v>
      </c>
      <c r="D293" t="s">
        <v>68</v>
      </c>
      <c r="E293" s="193" t="str">
        <f>IFERROR(INDEX(BD_KPIs!$F$2:$F$1300,MATCH(YEAR(DATE(YEAR(RPT_MONTH),MONTH(RPT_MONTH)-7,1))*100+MONTH(DATE(YEAR(RPT_MONTH),MONTH(RPT_MONTH)-7,1))&amp;"|CPSE|Monthly",BD_KPIs!$Q$2:$Q$1300,0)),"")</f>
        <v/>
      </c>
      <c r="F293" s="193" t="str">
        <f>IFERROR(INDEX(BD_KPIs!$G$2:$G$1300,MATCH(YEAR(DATE(YEAR(RPT_MONTH),MONTH(RPT_MONTH)-7,1))*100+MONTH(DATE(YEAR(RPT_MONTH),MONTH(RPT_MONTH)-7,1))&amp;"|CPSE|Monthly",BD_KPIs!$Q$2:$Q$1300,0)),"")</f>
        <v/>
      </c>
      <c r="G293" s="193" t="str">
        <f>IF(ISNUMBER(E293),IF(F293="","No target",IF(IFERROR(INDEX(BD_KPIs!$I$2:$I$1300,MATCH(YEAR(DATE(YEAR(RPT_MONTH),MONTH(RPT_MONTH)-7,1))*100+MONTH(DATE(YEAR(RPT_MONTH),MONTH(RPT_MONTH)-7,1))&amp;"|CPSE|Monthly",BD_KPIs!$Q$2:$Q$1300,0)),"")="Sí","On target","Off target")),"No data")</f>
        <v>No data</v>
      </c>
      <c r="H293" s="193" t="str">
        <f>INDEX(_TARGETS!$D$2:$D$17,MATCH("CPSE",_TARGETS!$A$2:$A$17,0))</f>
        <v>% (fracción)</v>
      </c>
      <c r="I293" s="193" t="str">
        <f>INDEX(_TARGETS!$K$2:$K$17,MATCH("CPSE",_TARGETS!$A$2:$A$17,0))</f>
        <v>OPS (carga manual en Datos)</v>
      </c>
      <c r="J293" s="258">
        <f t="shared" si="5"/>
        <v>46296</v>
      </c>
    </row>
    <row r="294" spans="1:10" ht="13.5" customHeight="1" x14ac:dyDescent="0.3">
      <c r="A294" t="s">
        <v>914</v>
      </c>
      <c r="B294" s="193" t="str">
        <f>YEAR(DATE(YEAR(RPT_MONTH),MONTH(RPT_MONTH)-6,1))&amp;"-"&amp;RIGHT("0"&amp;MONTH(DATE(YEAR(RPT_MONTH),MONTH(RPT_MONTH)-6,1)),2)</f>
        <v>2026-04</v>
      </c>
      <c r="C294" s="258">
        <f>DATE(YEAR(RPT_MONTH),MONTH(RPT_MONTH)-6,1)</f>
        <v>46113</v>
      </c>
      <c r="D294" t="s">
        <v>68</v>
      </c>
      <c r="E294" s="193" t="str">
        <f>IFERROR(INDEX(BD_KPIs!$F$2:$F$1300,MATCH(YEAR(DATE(YEAR(RPT_MONTH),MONTH(RPT_MONTH)-6,1))*100+MONTH(DATE(YEAR(RPT_MONTH),MONTH(RPT_MONTH)-6,1))&amp;"|CPSE|Monthly",BD_KPIs!$Q$2:$Q$1300,0)),"")</f>
        <v/>
      </c>
      <c r="F294" s="193" t="str">
        <f>IFERROR(INDEX(BD_KPIs!$G$2:$G$1300,MATCH(YEAR(DATE(YEAR(RPT_MONTH),MONTH(RPT_MONTH)-6,1))*100+MONTH(DATE(YEAR(RPT_MONTH),MONTH(RPT_MONTH)-6,1))&amp;"|CPSE|Monthly",BD_KPIs!$Q$2:$Q$1300,0)),"")</f>
        <v/>
      </c>
      <c r="G294" s="193" t="str">
        <f>IF(ISNUMBER(E294),IF(F294="","No target",IF(IFERROR(INDEX(BD_KPIs!$I$2:$I$1300,MATCH(YEAR(DATE(YEAR(RPT_MONTH),MONTH(RPT_MONTH)-6,1))*100+MONTH(DATE(YEAR(RPT_MONTH),MONTH(RPT_MONTH)-6,1))&amp;"|CPSE|Monthly",BD_KPIs!$Q$2:$Q$1300,0)),"")="Sí","On target","Off target")),"No data")</f>
        <v>No data</v>
      </c>
      <c r="H294" s="193" t="str">
        <f>INDEX(_TARGETS!$D$2:$D$17,MATCH("CPSE",_TARGETS!$A$2:$A$17,0))</f>
        <v>% (fracción)</v>
      </c>
      <c r="I294" s="193" t="str">
        <f>INDEX(_TARGETS!$K$2:$K$17,MATCH("CPSE",_TARGETS!$A$2:$A$17,0))</f>
        <v>OPS (carga manual en Datos)</v>
      </c>
      <c r="J294" s="258">
        <f t="shared" si="5"/>
        <v>46296</v>
      </c>
    </row>
    <row r="295" spans="1:10" ht="13.5" customHeight="1" x14ac:dyDescent="0.3">
      <c r="A295" t="s">
        <v>914</v>
      </c>
      <c r="B295" s="193" t="str">
        <f>YEAR(DATE(YEAR(RPT_MONTH),MONTH(RPT_MONTH)-5,1))&amp;"-"&amp;RIGHT("0"&amp;MONTH(DATE(YEAR(RPT_MONTH),MONTH(RPT_MONTH)-5,1)),2)</f>
        <v>2026-05</v>
      </c>
      <c r="C295" s="258">
        <f>DATE(YEAR(RPT_MONTH),MONTH(RPT_MONTH)-5,1)</f>
        <v>46143</v>
      </c>
      <c r="D295" t="s">
        <v>68</v>
      </c>
      <c r="E295" s="193" t="str">
        <f>IFERROR(INDEX(BD_KPIs!$F$2:$F$1300,MATCH(YEAR(DATE(YEAR(RPT_MONTH),MONTH(RPT_MONTH)-5,1))*100+MONTH(DATE(YEAR(RPT_MONTH),MONTH(RPT_MONTH)-5,1))&amp;"|CPSE|Monthly",BD_KPIs!$Q$2:$Q$1300,0)),"")</f>
        <v/>
      </c>
      <c r="F295" s="193" t="str">
        <f>IFERROR(INDEX(BD_KPIs!$G$2:$G$1300,MATCH(YEAR(DATE(YEAR(RPT_MONTH),MONTH(RPT_MONTH)-5,1))*100+MONTH(DATE(YEAR(RPT_MONTH),MONTH(RPT_MONTH)-5,1))&amp;"|CPSE|Monthly",BD_KPIs!$Q$2:$Q$1300,0)),"")</f>
        <v/>
      </c>
      <c r="G295" s="193" t="str">
        <f>IF(ISNUMBER(E295),IF(F295="","No target",IF(IFERROR(INDEX(BD_KPIs!$I$2:$I$1300,MATCH(YEAR(DATE(YEAR(RPT_MONTH),MONTH(RPT_MONTH)-5,1))*100+MONTH(DATE(YEAR(RPT_MONTH),MONTH(RPT_MONTH)-5,1))&amp;"|CPSE|Monthly",BD_KPIs!$Q$2:$Q$1300,0)),"")="Sí","On target","Off target")),"No data")</f>
        <v>No data</v>
      </c>
      <c r="H295" s="193" t="str">
        <f>INDEX(_TARGETS!$D$2:$D$17,MATCH("CPSE",_TARGETS!$A$2:$A$17,0))</f>
        <v>% (fracción)</v>
      </c>
      <c r="I295" s="193" t="str">
        <f>INDEX(_TARGETS!$K$2:$K$17,MATCH("CPSE",_TARGETS!$A$2:$A$17,0))</f>
        <v>OPS (carga manual en Datos)</v>
      </c>
      <c r="J295" s="258">
        <f t="shared" si="5"/>
        <v>46296</v>
      </c>
    </row>
    <row r="296" spans="1:10" ht="13.5" customHeight="1" x14ac:dyDescent="0.3">
      <c r="A296" t="s">
        <v>914</v>
      </c>
      <c r="B296" s="193" t="str">
        <f>YEAR(DATE(YEAR(RPT_MONTH),MONTH(RPT_MONTH)-4,1))&amp;"-"&amp;RIGHT("0"&amp;MONTH(DATE(YEAR(RPT_MONTH),MONTH(RPT_MONTH)-4,1)),2)</f>
        <v>2026-06</v>
      </c>
      <c r="C296" s="258">
        <f>DATE(YEAR(RPT_MONTH),MONTH(RPT_MONTH)-4,1)</f>
        <v>46174</v>
      </c>
      <c r="D296" t="s">
        <v>68</v>
      </c>
      <c r="E296" s="193" t="str">
        <f>IFERROR(INDEX(BD_KPIs!$F$2:$F$1300,MATCH(YEAR(DATE(YEAR(RPT_MONTH),MONTH(RPT_MONTH)-4,1))*100+MONTH(DATE(YEAR(RPT_MONTH),MONTH(RPT_MONTH)-4,1))&amp;"|CPSE|Monthly",BD_KPIs!$Q$2:$Q$1300,0)),"")</f>
        <v/>
      </c>
      <c r="F296" s="193" t="str">
        <f>IFERROR(INDEX(BD_KPIs!$G$2:$G$1300,MATCH(YEAR(DATE(YEAR(RPT_MONTH),MONTH(RPT_MONTH)-4,1))*100+MONTH(DATE(YEAR(RPT_MONTH),MONTH(RPT_MONTH)-4,1))&amp;"|CPSE|Monthly",BD_KPIs!$Q$2:$Q$1300,0)),"")</f>
        <v/>
      </c>
      <c r="G296" s="193" t="str">
        <f>IF(ISNUMBER(E296),IF(F296="","No target",IF(IFERROR(INDEX(BD_KPIs!$I$2:$I$1300,MATCH(YEAR(DATE(YEAR(RPT_MONTH),MONTH(RPT_MONTH)-4,1))*100+MONTH(DATE(YEAR(RPT_MONTH),MONTH(RPT_MONTH)-4,1))&amp;"|CPSE|Monthly",BD_KPIs!$Q$2:$Q$1300,0)),"")="Sí","On target","Off target")),"No data")</f>
        <v>No data</v>
      </c>
      <c r="H296" s="193" t="str">
        <f>INDEX(_TARGETS!$D$2:$D$17,MATCH("CPSE",_TARGETS!$A$2:$A$17,0))</f>
        <v>% (fracción)</v>
      </c>
      <c r="I296" s="193" t="str">
        <f>INDEX(_TARGETS!$K$2:$K$17,MATCH("CPSE",_TARGETS!$A$2:$A$17,0))</f>
        <v>OPS (carga manual en Datos)</v>
      </c>
      <c r="J296" s="258">
        <f t="shared" si="5"/>
        <v>46296</v>
      </c>
    </row>
    <row r="297" spans="1:10" ht="13.5" customHeight="1" x14ac:dyDescent="0.3">
      <c r="A297" t="s">
        <v>914</v>
      </c>
      <c r="B297" s="193" t="str">
        <f>YEAR(DATE(YEAR(RPT_MONTH),MONTH(RPT_MONTH)-3,1))&amp;"-"&amp;RIGHT("0"&amp;MONTH(DATE(YEAR(RPT_MONTH),MONTH(RPT_MONTH)-3,1)),2)</f>
        <v>2026-07</v>
      </c>
      <c r="C297" s="258">
        <f>DATE(YEAR(RPT_MONTH),MONTH(RPT_MONTH)-3,1)</f>
        <v>46204</v>
      </c>
      <c r="D297" t="s">
        <v>68</v>
      </c>
      <c r="E297" s="193" t="str">
        <f>IFERROR(INDEX(BD_KPIs!$F$2:$F$1300,MATCH(YEAR(DATE(YEAR(RPT_MONTH),MONTH(RPT_MONTH)-3,1))*100+MONTH(DATE(YEAR(RPT_MONTH),MONTH(RPT_MONTH)-3,1))&amp;"|CPSE|Monthly",BD_KPIs!$Q$2:$Q$1300,0)),"")</f>
        <v/>
      </c>
      <c r="F297" s="193" t="str">
        <f>IFERROR(INDEX(BD_KPIs!$G$2:$G$1300,MATCH(YEAR(DATE(YEAR(RPT_MONTH),MONTH(RPT_MONTH)-3,1))*100+MONTH(DATE(YEAR(RPT_MONTH),MONTH(RPT_MONTH)-3,1))&amp;"|CPSE|Monthly",BD_KPIs!$Q$2:$Q$1300,0)),"")</f>
        <v/>
      </c>
      <c r="G297" s="193" t="str">
        <f>IF(ISNUMBER(E297),IF(F297="","No target",IF(IFERROR(INDEX(BD_KPIs!$I$2:$I$1300,MATCH(YEAR(DATE(YEAR(RPT_MONTH),MONTH(RPT_MONTH)-3,1))*100+MONTH(DATE(YEAR(RPT_MONTH),MONTH(RPT_MONTH)-3,1))&amp;"|CPSE|Monthly",BD_KPIs!$Q$2:$Q$1300,0)),"")="Sí","On target","Off target")),"No data")</f>
        <v>No data</v>
      </c>
      <c r="H297" s="193" t="str">
        <f>INDEX(_TARGETS!$D$2:$D$17,MATCH("CPSE",_TARGETS!$A$2:$A$17,0))</f>
        <v>% (fracción)</v>
      </c>
      <c r="I297" s="193" t="str">
        <f>INDEX(_TARGETS!$K$2:$K$17,MATCH("CPSE",_TARGETS!$A$2:$A$17,0))</f>
        <v>OPS (carga manual en Datos)</v>
      </c>
      <c r="J297" s="258">
        <f t="shared" si="5"/>
        <v>46296</v>
      </c>
    </row>
    <row r="298" spans="1:10" ht="13.5" customHeight="1" x14ac:dyDescent="0.3">
      <c r="A298" t="s">
        <v>914</v>
      </c>
      <c r="B298" s="193" t="str">
        <f>YEAR(DATE(YEAR(RPT_MONTH),MONTH(RPT_MONTH)-2,1))&amp;"-"&amp;RIGHT("0"&amp;MONTH(DATE(YEAR(RPT_MONTH),MONTH(RPT_MONTH)-2,1)),2)</f>
        <v>2026-08</v>
      </c>
      <c r="C298" s="258">
        <f>DATE(YEAR(RPT_MONTH),MONTH(RPT_MONTH)-2,1)</f>
        <v>46235</v>
      </c>
      <c r="D298" t="s">
        <v>68</v>
      </c>
      <c r="E298" s="193">
        <f>IFERROR(INDEX(BD_KPIs!$F$2:$F$1300,MATCH(YEAR(DATE(YEAR(RPT_MONTH),MONTH(RPT_MONTH)-2,1))*100+MONTH(DATE(YEAR(RPT_MONTH),MONTH(RPT_MONTH)-2,1))&amp;"|CPSE|Monthly",BD_KPIs!$Q$2:$Q$1300,0)),"")</f>
        <v>1</v>
      </c>
      <c r="F298" s="193">
        <f>IFERROR(INDEX(BD_KPIs!$G$2:$G$1300,MATCH(YEAR(DATE(YEAR(RPT_MONTH),MONTH(RPT_MONTH)-2,1))*100+MONTH(DATE(YEAR(RPT_MONTH),MONTH(RPT_MONTH)-2,1))&amp;"|CPSE|Monthly",BD_KPIs!$Q$2:$Q$1300,0)),"")</f>
        <v>1</v>
      </c>
      <c r="G298" s="193" t="str">
        <f>IF(ISNUMBER(E298),IF(F298="","No target",IF(IFERROR(INDEX(BD_KPIs!$I$2:$I$1300,MATCH(YEAR(DATE(YEAR(RPT_MONTH),MONTH(RPT_MONTH)-2,1))*100+MONTH(DATE(YEAR(RPT_MONTH),MONTH(RPT_MONTH)-2,1))&amp;"|CPSE|Monthly",BD_KPIs!$Q$2:$Q$1300,0)),"")="Sí","On target","Off target")),"No data")</f>
        <v>On target</v>
      </c>
      <c r="H298" s="193" t="str">
        <f>INDEX(_TARGETS!$D$2:$D$17,MATCH("CPSE",_TARGETS!$A$2:$A$17,0))</f>
        <v>% (fracción)</v>
      </c>
      <c r="I298" s="193" t="str">
        <f>INDEX(_TARGETS!$K$2:$K$17,MATCH("CPSE",_TARGETS!$A$2:$A$17,0))</f>
        <v>OPS (carga manual en Datos)</v>
      </c>
      <c r="J298" s="258">
        <f t="shared" si="5"/>
        <v>46296</v>
      </c>
    </row>
    <row r="299" spans="1:10" ht="13.5" customHeight="1" x14ac:dyDescent="0.3">
      <c r="A299" t="s">
        <v>914</v>
      </c>
      <c r="B299" s="193" t="str">
        <f>YEAR(DATE(YEAR(RPT_MONTH),MONTH(RPT_MONTH)-1,1))&amp;"-"&amp;RIGHT("0"&amp;MONTH(DATE(YEAR(RPT_MONTH),MONTH(RPT_MONTH)-1,1)),2)</f>
        <v>2026-09</v>
      </c>
      <c r="C299" s="258">
        <f>DATE(YEAR(RPT_MONTH),MONTH(RPT_MONTH)-1,1)</f>
        <v>46266</v>
      </c>
      <c r="D299" t="s">
        <v>68</v>
      </c>
      <c r="E299" s="193">
        <f>IFERROR(INDEX(BD_KPIs!$F$2:$F$1300,MATCH(YEAR(DATE(YEAR(RPT_MONTH),MONTH(RPT_MONTH)-1,1))*100+MONTH(DATE(YEAR(RPT_MONTH),MONTH(RPT_MONTH)-1,1))&amp;"|CPSE|Monthly",BD_KPIs!$Q$2:$Q$1300,0)),"")</f>
        <v>1</v>
      </c>
      <c r="F299" s="250">
        <f>IFERROR(INDEX(BD_KPIs!$G$2:$G$1300,MATCH(YEAR(DATE(YEAR(RPT_MONTH),MONTH(RPT_MONTH)-1,1))*100+MONTH(DATE(YEAR(RPT_MONTH),MONTH(RPT_MONTH)-1,1))&amp;"|CPSE|Monthly",BD_KPIs!$Q$2:$Q$1300,0)),"")</f>
        <v>1</v>
      </c>
      <c r="G299" s="193" t="str">
        <f>IF(ISNUMBER(E299),IF(F299="","No target",IF(IFERROR(INDEX(BD_KPIs!$I$2:$I$1300,MATCH(YEAR(DATE(YEAR(RPT_MONTH),MONTH(RPT_MONTH)-1,1))*100+MONTH(DATE(YEAR(RPT_MONTH),MONTH(RPT_MONTH)-1,1))&amp;"|CPSE|Monthly",BD_KPIs!$Q$2:$Q$1300,0)),"")="Sí","On target","Off target")),"No data")</f>
        <v>On target</v>
      </c>
      <c r="H299" s="193" t="str">
        <f>INDEX(_TARGETS!$D$2:$D$17,MATCH("CPSE",_TARGETS!$A$2:$A$17,0))</f>
        <v>% (fracción)</v>
      </c>
      <c r="I299" s="193" t="str">
        <f>INDEX(_TARGETS!$K$2:$K$17,MATCH("CPSE",_TARGETS!$A$2:$A$17,0))</f>
        <v>OPS (carga manual en Datos)</v>
      </c>
      <c r="J299" s="258">
        <f t="shared" si="5"/>
        <v>46296</v>
      </c>
    </row>
    <row r="300" spans="1:10" ht="13.5" customHeight="1" x14ac:dyDescent="0.3">
      <c r="A300" t="s">
        <v>914</v>
      </c>
      <c r="B300" s="193" t="str">
        <f>YEAR(DATE(YEAR(RPT_MONTH),MONTH(RPT_MONTH)-0,1))&amp;"-"&amp;RIGHT("0"&amp;MONTH(DATE(YEAR(RPT_MONTH),MONTH(RPT_MONTH)-0,1)),2)</f>
        <v>2026-10</v>
      </c>
      <c r="C300" s="258">
        <f>DATE(YEAR(RPT_MONTH),MONTH(RPT_MONTH)-0,1)</f>
        <v>46296</v>
      </c>
      <c r="D300" t="s">
        <v>68</v>
      </c>
      <c r="E300" s="193" t="str">
        <f>IFERROR(INDEX(BD_KPIs!$F$2:$F$1300,MATCH(YEAR(DATE(YEAR(RPT_MONTH),MONTH(RPT_MONTH)-0,1))*100+MONTH(DATE(YEAR(RPT_MONTH),MONTH(RPT_MONTH)-0,1))&amp;"|CPSE|Monthly",BD_KPIs!$Q$2:$Q$1300,0)),"")</f>
        <v/>
      </c>
      <c r="F300" s="250">
        <f>IFERROR(INDEX(BD_KPIs!$G$2:$G$1300,MATCH(YEAR(DATE(YEAR(RPT_MONTH),MONTH(RPT_MONTH)-0,1))*100+MONTH(DATE(YEAR(RPT_MONTH),MONTH(RPT_MONTH)-0,1))&amp;"|CPSE|Monthly",BD_KPIs!$Q$2:$Q$1300,0)),"")</f>
        <v>1</v>
      </c>
      <c r="G300" s="193" t="str">
        <f>IF(ISNUMBER(E300),IF(F300="","No target",IF(IFERROR(INDEX(BD_KPIs!$I$2:$I$1300,MATCH(YEAR(DATE(YEAR(RPT_MONTH),MONTH(RPT_MONTH)-0,1))*100+MONTH(DATE(YEAR(RPT_MONTH),MONTH(RPT_MONTH)-0,1))&amp;"|CPSE|Monthly",BD_KPIs!$Q$2:$Q$1300,0)),"")="Sí","On target","Off target")),"No data")</f>
        <v>No data</v>
      </c>
      <c r="H300" s="193" t="str">
        <f>INDEX(_TARGETS!$D$2:$D$17,MATCH("CPSE",_TARGETS!$A$2:$A$17,0))</f>
        <v>% (fracción)</v>
      </c>
      <c r="I300" s="193" t="str">
        <f>INDEX(_TARGETS!$K$2:$K$17,MATCH("CPSE",_TARGETS!$A$2:$A$17,0))</f>
        <v>OPS (carga manual en Datos)</v>
      </c>
      <c r="J300" s="258">
        <f t="shared" si="5"/>
        <v>46296</v>
      </c>
    </row>
    <row r="301" spans="1:10" ht="13.5" customHeight="1" x14ac:dyDescent="0.3">
      <c r="A301" t="s">
        <v>914</v>
      </c>
      <c r="B301" s="193" t="str">
        <f>YEAR(DATE(YEAR(RPT_MONTH),MONTH(RPT_MONTH)-11,1))&amp;"-"&amp;RIGHT("0"&amp;MONTH(DATE(YEAR(RPT_MONTH),MONTH(RPT_MONTH)-11,1)),2)</f>
        <v>2025-11</v>
      </c>
      <c r="C301" s="258">
        <f>DATE(YEAR(RPT_MONTH),MONTH(RPT_MONTH)-11,1)</f>
        <v>45962</v>
      </c>
      <c r="D301" t="s">
        <v>601</v>
      </c>
      <c r="E301" s="193" t="str">
        <f>IFERROR(INDEX(BD_KPIs!$F$2:$F$1300,MATCH(YEAR(DATE(YEAR(RPT_MONTH),MONTH(RPT_MONTH)-11,1))*100+MONTH(DATE(YEAR(RPT_MONTH),MONTH(RPT_MONTH)-11,1))&amp;"|CPSE|YTD",BD_KPIs!$Q$2:$Q$1300,0)),"")</f>
        <v/>
      </c>
      <c r="F301" s="193" t="str">
        <f>IFERROR(INDEX(BD_KPIs!$G$2:$G$1300,MATCH(YEAR(DATE(YEAR(RPT_MONTH),MONTH(RPT_MONTH)-11,1))*100+MONTH(DATE(YEAR(RPT_MONTH),MONTH(RPT_MONTH)-11,1))&amp;"|CPSE|YTD",BD_KPIs!$Q$2:$Q$1300,0)),"")</f>
        <v/>
      </c>
      <c r="G301" s="193" t="str">
        <f>IF(ISNUMBER(E301),IF(F301="","No target",IF(IFERROR(INDEX(BD_KPIs!$I$2:$I$1300,MATCH(YEAR(DATE(YEAR(RPT_MONTH),MONTH(RPT_MONTH)-11,1))*100+MONTH(DATE(YEAR(RPT_MONTH),MONTH(RPT_MONTH)-11,1))&amp;"|CPSE|YTD",BD_KPIs!$Q$2:$Q$1300,0)),"")="Sí","On target","Off target")),"No data")</f>
        <v>No data</v>
      </c>
      <c r="H301" s="193" t="str">
        <f>INDEX(_TARGETS!$D$2:$D$17,MATCH("CPSE",_TARGETS!$A$2:$A$17,0))</f>
        <v>% (fracción)</v>
      </c>
      <c r="I301" s="193" t="str">
        <f>INDEX(_TARGETS!$K$2:$K$17,MATCH("CPSE",_TARGETS!$A$2:$A$17,0))</f>
        <v>OPS (carga manual en Datos)</v>
      </c>
      <c r="J301" s="258">
        <f t="shared" si="5"/>
        <v>46296</v>
      </c>
    </row>
    <row r="302" spans="1:10" ht="13.5" customHeight="1" x14ac:dyDescent="0.3">
      <c r="A302" t="s">
        <v>914</v>
      </c>
      <c r="B302" s="193" t="str">
        <f>YEAR(DATE(YEAR(RPT_MONTH),MONTH(RPT_MONTH)-10,1))&amp;"-"&amp;RIGHT("0"&amp;MONTH(DATE(YEAR(RPT_MONTH),MONTH(RPT_MONTH)-10,1)),2)</f>
        <v>2025-12</v>
      </c>
      <c r="C302" s="258">
        <f>DATE(YEAR(RPT_MONTH),MONTH(RPT_MONTH)-10,1)</f>
        <v>45992</v>
      </c>
      <c r="D302" t="s">
        <v>601</v>
      </c>
      <c r="E302" s="193" t="str">
        <f>IFERROR(INDEX(BD_KPIs!$F$2:$F$1300,MATCH(YEAR(DATE(YEAR(RPT_MONTH),MONTH(RPT_MONTH)-10,1))*100+MONTH(DATE(YEAR(RPT_MONTH),MONTH(RPT_MONTH)-10,1))&amp;"|CPSE|YTD",BD_KPIs!$Q$2:$Q$1300,0)),"")</f>
        <v/>
      </c>
      <c r="F302" s="193" t="str">
        <f>IFERROR(INDEX(BD_KPIs!$G$2:$G$1300,MATCH(YEAR(DATE(YEAR(RPT_MONTH),MONTH(RPT_MONTH)-10,1))*100+MONTH(DATE(YEAR(RPT_MONTH),MONTH(RPT_MONTH)-10,1))&amp;"|CPSE|YTD",BD_KPIs!$Q$2:$Q$1300,0)),"")</f>
        <v/>
      </c>
      <c r="G302" s="193" t="str">
        <f>IF(ISNUMBER(E302),IF(F302="","No target",IF(IFERROR(INDEX(BD_KPIs!$I$2:$I$1300,MATCH(YEAR(DATE(YEAR(RPT_MONTH),MONTH(RPT_MONTH)-10,1))*100+MONTH(DATE(YEAR(RPT_MONTH),MONTH(RPT_MONTH)-10,1))&amp;"|CPSE|YTD",BD_KPIs!$Q$2:$Q$1300,0)),"")="Sí","On target","Off target")),"No data")</f>
        <v>No data</v>
      </c>
      <c r="H302" s="193" t="str">
        <f>INDEX(_TARGETS!$D$2:$D$17,MATCH("CPSE",_TARGETS!$A$2:$A$17,0))</f>
        <v>% (fracción)</v>
      </c>
      <c r="I302" s="193" t="str">
        <f>INDEX(_TARGETS!$K$2:$K$17,MATCH("CPSE",_TARGETS!$A$2:$A$17,0))</f>
        <v>OPS (carga manual en Datos)</v>
      </c>
      <c r="J302" s="258">
        <f t="shared" si="5"/>
        <v>46296</v>
      </c>
    </row>
    <row r="303" spans="1:10" ht="13.5" customHeight="1" x14ac:dyDescent="0.3">
      <c r="A303" t="s">
        <v>914</v>
      </c>
      <c r="B303" s="193" t="str">
        <f>YEAR(DATE(YEAR(RPT_MONTH),MONTH(RPT_MONTH)-9,1))&amp;"-"&amp;RIGHT("0"&amp;MONTH(DATE(YEAR(RPT_MONTH),MONTH(RPT_MONTH)-9,1)),2)</f>
        <v>2026-01</v>
      </c>
      <c r="C303" s="258">
        <f>DATE(YEAR(RPT_MONTH),MONTH(RPT_MONTH)-9,1)</f>
        <v>46023</v>
      </c>
      <c r="D303" t="s">
        <v>601</v>
      </c>
      <c r="E303" s="193" t="str">
        <f>IFERROR(INDEX(BD_KPIs!$F$2:$F$1300,MATCH(YEAR(DATE(YEAR(RPT_MONTH),MONTH(RPT_MONTH)-9,1))*100+MONTH(DATE(YEAR(RPT_MONTH),MONTH(RPT_MONTH)-9,1))&amp;"|CPSE|YTD",BD_KPIs!$Q$2:$Q$1300,0)),"")</f>
        <v/>
      </c>
      <c r="F303" s="193" t="str">
        <f>IFERROR(INDEX(BD_KPIs!$G$2:$G$1300,MATCH(YEAR(DATE(YEAR(RPT_MONTH),MONTH(RPT_MONTH)-9,1))*100+MONTH(DATE(YEAR(RPT_MONTH),MONTH(RPT_MONTH)-9,1))&amp;"|CPSE|YTD",BD_KPIs!$Q$2:$Q$1300,0)),"")</f>
        <v/>
      </c>
      <c r="G303" s="193" t="str">
        <f>IF(ISNUMBER(E303),IF(F303="","No target",IF(IFERROR(INDEX(BD_KPIs!$I$2:$I$1300,MATCH(YEAR(DATE(YEAR(RPT_MONTH),MONTH(RPT_MONTH)-9,1))*100+MONTH(DATE(YEAR(RPT_MONTH),MONTH(RPT_MONTH)-9,1))&amp;"|CPSE|YTD",BD_KPIs!$Q$2:$Q$1300,0)),"")="Sí","On target","Off target")),"No data")</f>
        <v>No data</v>
      </c>
      <c r="H303" s="193" t="str">
        <f>INDEX(_TARGETS!$D$2:$D$17,MATCH("CPSE",_TARGETS!$A$2:$A$17,0))</f>
        <v>% (fracción)</v>
      </c>
      <c r="I303" s="193" t="str">
        <f>INDEX(_TARGETS!$K$2:$K$17,MATCH("CPSE",_TARGETS!$A$2:$A$17,0))</f>
        <v>OPS (carga manual en Datos)</v>
      </c>
      <c r="J303" s="258">
        <f t="shared" si="5"/>
        <v>46296</v>
      </c>
    </row>
    <row r="304" spans="1:10" ht="13.5" customHeight="1" x14ac:dyDescent="0.3">
      <c r="A304" t="s">
        <v>914</v>
      </c>
      <c r="B304" s="193" t="str">
        <f>YEAR(DATE(YEAR(RPT_MONTH),MONTH(RPT_MONTH)-8,1))&amp;"-"&amp;RIGHT("0"&amp;MONTH(DATE(YEAR(RPT_MONTH),MONTH(RPT_MONTH)-8,1)),2)</f>
        <v>2026-02</v>
      </c>
      <c r="C304" s="258">
        <f>DATE(YEAR(RPT_MONTH),MONTH(RPT_MONTH)-8,1)</f>
        <v>46054</v>
      </c>
      <c r="D304" t="s">
        <v>601</v>
      </c>
      <c r="E304" s="193" t="str">
        <f>IFERROR(INDEX(BD_KPIs!$F$2:$F$1300,MATCH(YEAR(DATE(YEAR(RPT_MONTH),MONTH(RPT_MONTH)-8,1))*100+MONTH(DATE(YEAR(RPT_MONTH),MONTH(RPT_MONTH)-8,1))&amp;"|CPSE|YTD",BD_KPIs!$Q$2:$Q$1300,0)),"")</f>
        <v/>
      </c>
      <c r="F304" s="193" t="str">
        <f>IFERROR(INDEX(BD_KPIs!$G$2:$G$1300,MATCH(YEAR(DATE(YEAR(RPT_MONTH),MONTH(RPT_MONTH)-8,1))*100+MONTH(DATE(YEAR(RPT_MONTH),MONTH(RPT_MONTH)-8,1))&amp;"|CPSE|YTD",BD_KPIs!$Q$2:$Q$1300,0)),"")</f>
        <v/>
      </c>
      <c r="G304" s="193" t="str">
        <f>IF(ISNUMBER(E304),IF(F304="","No target",IF(IFERROR(INDEX(BD_KPIs!$I$2:$I$1300,MATCH(YEAR(DATE(YEAR(RPT_MONTH),MONTH(RPT_MONTH)-8,1))*100+MONTH(DATE(YEAR(RPT_MONTH),MONTH(RPT_MONTH)-8,1))&amp;"|CPSE|YTD",BD_KPIs!$Q$2:$Q$1300,0)),"")="Sí","On target","Off target")),"No data")</f>
        <v>No data</v>
      </c>
      <c r="H304" s="193" t="str">
        <f>INDEX(_TARGETS!$D$2:$D$17,MATCH("CPSE",_TARGETS!$A$2:$A$17,0))</f>
        <v>% (fracción)</v>
      </c>
      <c r="I304" s="193" t="str">
        <f>INDEX(_TARGETS!$K$2:$K$17,MATCH("CPSE",_TARGETS!$A$2:$A$17,0))</f>
        <v>OPS (carga manual en Datos)</v>
      </c>
      <c r="J304" s="258">
        <f t="shared" si="5"/>
        <v>46296</v>
      </c>
    </row>
    <row r="305" spans="1:10" ht="13.5" customHeight="1" x14ac:dyDescent="0.3">
      <c r="A305" t="s">
        <v>914</v>
      </c>
      <c r="B305" s="193" t="str">
        <f>YEAR(DATE(YEAR(RPT_MONTH),MONTH(RPT_MONTH)-7,1))&amp;"-"&amp;RIGHT("0"&amp;MONTH(DATE(YEAR(RPT_MONTH),MONTH(RPT_MONTH)-7,1)),2)</f>
        <v>2026-03</v>
      </c>
      <c r="C305" s="258">
        <f>DATE(YEAR(RPT_MONTH),MONTH(RPT_MONTH)-7,1)</f>
        <v>46082</v>
      </c>
      <c r="D305" t="s">
        <v>601</v>
      </c>
      <c r="E305" s="193" t="str">
        <f>IFERROR(INDEX(BD_KPIs!$F$2:$F$1300,MATCH(YEAR(DATE(YEAR(RPT_MONTH),MONTH(RPT_MONTH)-7,1))*100+MONTH(DATE(YEAR(RPT_MONTH),MONTH(RPT_MONTH)-7,1))&amp;"|CPSE|YTD",BD_KPIs!$Q$2:$Q$1300,0)),"")</f>
        <v/>
      </c>
      <c r="F305" s="193" t="str">
        <f>IFERROR(INDEX(BD_KPIs!$G$2:$G$1300,MATCH(YEAR(DATE(YEAR(RPT_MONTH),MONTH(RPT_MONTH)-7,1))*100+MONTH(DATE(YEAR(RPT_MONTH),MONTH(RPT_MONTH)-7,1))&amp;"|CPSE|YTD",BD_KPIs!$Q$2:$Q$1300,0)),"")</f>
        <v/>
      </c>
      <c r="G305" s="193" t="str">
        <f>IF(ISNUMBER(E305),IF(F305="","No target",IF(IFERROR(INDEX(BD_KPIs!$I$2:$I$1300,MATCH(YEAR(DATE(YEAR(RPT_MONTH),MONTH(RPT_MONTH)-7,1))*100+MONTH(DATE(YEAR(RPT_MONTH),MONTH(RPT_MONTH)-7,1))&amp;"|CPSE|YTD",BD_KPIs!$Q$2:$Q$1300,0)),"")="Sí","On target","Off target")),"No data")</f>
        <v>No data</v>
      </c>
      <c r="H305" s="193" t="str">
        <f>INDEX(_TARGETS!$D$2:$D$17,MATCH("CPSE",_TARGETS!$A$2:$A$17,0))</f>
        <v>% (fracción)</v>
      </c>
      <c r="I305" s="193" t="str">
        <f>INDEX(_TARGETS!$K$2:$K$17,MATCH("CPSE",_TARGETS!$A$2:$A$17,0))</f>
        <v>OPS (carga manual en Datos)</v>
      </c>
      <c r="J305" s="258">
        <f t="shared" si="5"/>
        <v>46296</v>
      </c>
    </row>
    <row r="306" spans="1:10" ht="13.5" customHeight="1" x14ac:dyDescent="0.3">
      <c r="A306" t="s">
        <v>914</v>
      </c>
      <c r="B306" s="193" t="str">
        <f>YEAR(DATE(YEAR(RPT_MONTH),MONTH(RPT_MONTH)-6,1))&amp;"-"&amp;RIGHT("0"&amp;MONTH(DATE(YEAR(RPT_MONTH),MONTH(RPT_MONTH)-6,1)),2)</f>
        <v>2026-04</v>
      </c>
      <c r="C306" s="258">
        <f>DATE(YEAR(RPT_MONTH),MONTH(RPT_MONTH)-6,1)</f>
        <v>46113</v>
      </c>
      <c r="D306" t="s">
        <v>601</v>
      </c>
      <c r="E306" s="193" t="str">
        <f>IFERROR(INDEX(BD_KPIs!$F$2:$F$1300,MATCH(YEAR(DATE(YEAR(RPT_MONTH),MONTH(RPT_MONTH)-6,1))*100+MONTH(DATE(YEAR(RPT_MONTH),MONTH(RPT_MONTH)-6,1))&amp;"|CPSE|YTD",BD_KPIs!$Q$2:$Q$1300,0)),"")</f>
        <v/>
      </c>
      <c r="F306" s="193" t="str">
        <f>IFERROR(INDEX(BD_KPIs!$G$2:$G$1300,MATCH(YEAR(DATE(YEAR(RPT_MONTH),MONTH(RPT_MONTH)-6,1))*100+MONTH(DATE(YEAR(RPT_MONTH),MONTH(RPT_MONTH)-6,1))&amp;"|CPSE|YTD",BD_KPIs!$Q$2:$Q$1300,0)),"")</f>
        <v/>
      </c>
      <c r="G306" s="193" t="str">
        <f>IF(ISNUMBER(E306),IF(F306="","No target",IF(IFERROR(INDEX(BD_KPIs!$I$2:$I$1300,MATCH(YEAR(DATE(YEAR(RPT_MONTH),MONTH(RPT_MONTH)-6,1))*100+MONTH(DATE(YEAR(RPT_MONTH),MONTH(RPT_MONTH)-6,1))&amp;"|CPSE|YTD",BD_KPIs!$Q$2:$Q$1300,0)),"")="Sí","On target","Off target")),"No data")</f>
        <v>No data</v>
      </c>
      <c r="H306" s="193" t="str">
        <f>INDEX(_TARGETS!$D$2:$D$17,MATCH("CPSE",_TARGETS!$A$2:$A$17,0))</f>
        <v>% (fracción)</v>
      </c>
      <c r="I306" s="193" t="str">
        <f>INDEX(_TARGETS!$K$2:$K$17,MATCH("CPSE",_TARGETS!$A$2:$A$17,0))</f>
        <v>OPS (carga manual en Datos)</v>
      </c>
      <c r="J306" s="258">
        <f t="shared" si="5"/>
        <v>46296</v>
      </c>
    </row>
    <row r="307" spans="1:10" ht="13.5" customHeight="1" x14ac:dyDescent="0.3">
      <c r="A307" t="s">
        <v>914</v>
      </c>
      <c r="B307" s="193" t="str">
        <f>YEAR(DATE(YEAR(RPT_MONTH),MONTH(RPT_MONTH)-5,1))&amp;"-"&amp;RIGHT("0"&amp;MONTH(DATE(YEAR(RPT_MONTH),MONTH(RPT_MONTH)-5,1)),2)</f>
        <v>2026-05</v>
      </c>
      <c r="C307" s="258">
        <f>DATE(YEAR(RPT_MONTH),MONTH(RPT_MONTH)-5,1)</f>
        <v>46143</v>
      </c>
      <c r="D307" t="s">
        <v>601</v>
      </c>
      <c r="E307" s="193" t="str">
        <f>IFERROR(INDEX(BD_KPIs!$F$2:$F$1300,MATCH(YEAR(DATE(YEAR(RPT_MONTH),MONTH(RPT_MONTH)-5,1))*100+MONTH(DATE(YEAR(RPT_MONTH),MONTH(RPT_MONTH)-5,1))&amp;"|CPSE|YTD",BD_KPIs!$Q$2:$Q$1300,0)),"")</f>
        <v/>
      </c>
      <c r="F307" s="193" t="str">
        <f>IFERROR(INDEX(BD_KPIs!$G$2:$G$1300,MATCH(YEAR(DATE(YEAR(RPT_MONTH),MONTH(RPT_MONTH)-5,1))*100+MONTH(DATE(YEAR(RPT_MONTH),MONTH(RPT_MONTH)-5,1))&amp;"|CPSE|YTD",BD_KPIs!$Q$2:$Q$1300,0)),"")</f>
        <v/>
      </c>
      <c r="G307" s="193" t="str">
        <f>IF(ISNUMBER(E307),IF(F307="","No target",IF(IFERROR(INDEX(BD_KPIs!$I$2:$I$1300,MATCH(YEAR(DATE(YEAR(RPT_MONTH),MONTH(RPT_MONTH)-5,1))*100+MONTH(DATE(YEAR(RPT_MONTH),MONTH(RPT_MONTH)-5,1))&amp;"|CPSE|YTD",BD_KPIs!$Q$2:$Q$1300,0)),"")="Sí","On target","Off target")),"No data")</f>
        <v>No data</v>
      </c>
      <c r="H307" s="193" t="str">
        <f>INDEX(_TARGETS!$D$2:$D$17,MATCH("CPSE",_TARGETS!$A$2:$A$17,0))</f>
        <v>% (fracción)</v>
      </c>
      <c r="I307" s="193" t="str">
        <f>INDEX(_TARGETS!$K$2:$K$17,MATCH("CPSE",_TARGETS!$A$2:$A$17,0))</f>
        <v>OPS (carga manual en Datos)</v>
      </c>
      <c r="J307" s="258">
        <f t="shared" si="5"/>
        <v>46296</v>
      </c>
    </row>
    <row r="308" spans="1:10" ht="13.5" customHeight="1" x14ac:dyDescent="0.3">
      <c r="A308" t="s">
        <v>914</v>
      </c>
      <c r="B308" s="193" t="str">
        <f>YEAR(DATE(YEAR(RPT_MONTH),MONTH(RPT_MONTH)-4,1))&amp;"-"&amp;RIGHT("0"&amp;MONTH(DATE(YEAR(RPT_MONTH),MONTH(RPT_MONTH)-4,1)),2)</f>
        <v>2026-06</v>
      </c>
      <c r="C308" s="258">
        <f>DATE(YEAR(RPT_MONTH),MONTH(RPT_MONTH)-4,1)</f>
        <v>46174</v>
      </c>
      <c r="D308" t="s">
        <v>601</v>
      </c>
      <c r="E308" s="193" t="str">
        <f>IFERROR(INDEX(BD_KPIs!$F$2:$F$1300,MATCH(YEAR(DATE(YEAR(RPT_MONTH),MONTH(RPT_MONTH)-4,1))*100+MONTH(DATE(YEAR(RPT_MONTH),MONTH(RPT_MONTH)-4,1))&amp;"|CPSE|YTD",BD_KPIs!$Q$2:$Q$1300,0)),"")</f>
        <v/>
      </c>
      <c r="F308" s="193" t="str">
        <f>IFERROR(INDEX(BD_KPIs!$G$2:$G$1300,MATCH(YEAR(DATE(YEAR(RPT_MONTH),MONTH(RPT_MONTH)-4,1))*100+MONTH(DATE(YEAR(RPT_MONTH),MONTH(RPT_MONTH)-4,1))&amp;"|CPSE|YTD",BD_KPIs!$Q$2:$Q$1300,0)),"")</f>
        <v/>
      </c>
      <c r="G308" s="193" t="str">
        <f>IF(ISNUMBER(E308),IF(F308="","No target",IF(IFERROR(INDEX(BD_KPIs!$I$2:$I$1300,MATCH(YEAR(DATE(YEAR(RPT_MONTH),MONTH(RPT_MONTH)-4,1))*100+MONTH(DATE(YEAR(RPT_MONTH),MONTH(RPT_MONTH)-4,1))&amp;"|CPSE|YTD",BD_KPIs!$Q$2:$Q$1300,0)),"")="Sí","On target","Off target")),"No data")</f>
        <v>No data</v>
      </c>
      <c r="H308" s="193" t="str">
        <f>INDEX(_TARGETS!$D$2:$D$17,MATCH("CPSE",_TARGETS!$A$2:$A$17,0))</f>
        <v>% (fracción)</v>
      </c>
      <c r="I308" s="193" t="str">
        <f>INDEX(_TARGETS!$K$2:$K$17,MATCH("CPSE",_TARGETS!$A$2:$A$17,0))</f>
        <v>OPS (carga manual en Datos)</v>
      </c>
      <c r="J308" s="258">
        <f t="shared" si="5"/>
        <v>46296</v>
      </c>
    </row>
    <row r="309" spans="1:10" ht="13.5" customHeight="1" x14ac:dyDescent="0.3">
      <c r="A309" t="s">
        <v>914</v>
      </c>
      <c r="B309" s="193" t="str">
        <f>YEAR(DATE(YEAR(RPT_MONTH),MONTH(RPT_MONTH)-3,1))&amp;"-"&amp;RIGHT("0"&amp;MONTH(DATE(YEAR(RPT_MONTH),MONTH(RPT_MONTH)-3,1)),2)</f>
        <v>2026-07</v>
      </c>
      <c r="C309" s="258">
        <f>DATE(YEAR(RPT_MONTH),MONTH(RPT_MONTH)-3,1)</f>
        <v>46204</v>
      </c>
      <c r="D309" t="s">
        <v>601</v>
      </c>
      <c r="E309" s="193" t="str">
        <f>IFERROR(INDEX(BD_KPIs!$F$2:$F$1300,MATCH(YEAR(DATE(YEAR(RPT_MONTH),MONTH(RPT_MONTH)-3,1))*100+MONTH(DATE(YEAR(RPT_MONTH),MONTH(RPT_MONTH)-3,1))&amp;"|CPSE|YTD",BD_KPIs!$Q$2:$Q$1300,0)),"")</f>
        <v/>
      </c>
      <c r="F309" s="193" t="str">
        <f>IFERROR(INDEX(BD_KPIs!$G$2:$G$1300,MATCH(YEAR(DATE(YEAR(RPT_MONTH),MONTH(RPT_MONTH)-3,1))*100+MONTH(DATE(YEAR(RPT_MONTH),MONTH(RPT_MONTH)-3,1))&amp;"|CPSE|YTD",BD_KPIs!$Q$2:$Q$1300,0)),"")</f>
        <v/>
      </c>
      <c r="G309" s="193" t="str">
        <f>IF(ISNUMBER(E309),IF(F309="","No target",IF(IFERROR(INDEX(BD_KPIs!$I$2:$I$1300,MATCH(YEAR(DATE(YEAR(RPT_MONTH),MONTH(RPT_MONTH)-3,1))*100+MONTH(DATE(YEAR(RPT_MONTH),MONTH(RPT_MONTH)-3,1))&amp;"|CPSE|YTD",BD_KPIs!$Q$2:$Q$1300,0)),"")="Sí","On target","Off target")),"No data")</f>
        <v>No data</v>
      </c>
      <c r="H309" s="193" t="str">
        <f>INDEX(_TARGETS!$D$2:$D$17,MATCH("CPSE",_TARGETS!$A$2:$A$17,0))</f>
        <v>% (fracción)</v>
      </c>
      <c r="I309" s="193" t="str">
        <f>INDEX(_TARGETS!$K$2:$K$17,MATCH("CPSE",_TARGETS!$A$2:$A$17,0))</f>
        <v>OPS (carga manual en Datos)</v>
      </c>
      <c r="J309" s="258">
        <f t="shared" si="5"/>
        <v>46296</v>
      </c>
    </row>
    <row r="310" spans="1:10" ht="13.5" customHeight="1" x14ac:dyDescent="0.3">
      <c r="A310" t="s">
        <v>914</v>
      </c>
      <c r="B310" s="193" t="str">
        <f>YEAR(DATE(YEAR(RPT_MONTH),MONTH(RPT_MONTH)-2,1))&amp;"-"&amp;RIGHT("0"&amp;MONTH(DATE(YEAR(RPT_MONTH),MONTH(RPT_MONTH)-2,1)),2)</f>
        <v>2026-08</v>
      </c>
      <c r="C310" s="258">
        <f>DATE(YEAR(RPT_MONTH),MONTH(RPT_MONTH)-2,1)</f>
        <v>46235</v>
      </c>
      <c r="D310" t="s">
        <v>601</v>
      </c>
      <c r="E310" s="193">
        <f>IFERROR(INDEX(BD_KPIs!$F$2:$F$1300,MATCH(YEAR(DATE(YEAR(RPT_MONTH),MONTH(RPT_MONTH)-2,1))*100+MONTH(DATE(YEAR(RPT_MONTH),MONTH(RPT_MONTH)-2,1))&amp;"|CPSE|YTD",BD_KPIs!$Q$2:$Q$1300,0)),"")</f>
        <v>1</v>
      </c>
      <c r="F310" s="193">
        <f>IFERROR(INDEX(BD_KPIs!$G$2:$G$1300,MATCH(YEAR(DATE(YEAR(RPT_MONTH),MONTH(RPT_MONTH)-2,1))*100+MONTH(DATE(YEAR(RPT_MONTH),MONTH(RPT_MONTH)-2,1))&amp;"|CPSE|YTD",BD_KPIs!$Q$2:$Q$1300,0)),"")</f>
        <v>1</v>
      </c>
      <c r="G310" s="193" t="str">
        <f>IF(ISNUMBER(E310),IF(F310="","No target",IF(IFERROR(INDEX(BD_KPIs!$I$2:$I$1300,MATCH(YEAR(DATE(YEAR(RPT_MONTH),MONTH(RPT_MONTH)-2,1))*100+MONTH(DATE(YEAR(RPT_MONTH),MONTH(RPT_MONTH)-2,1))&amp;"|CPSE|YTD",BD_KPIs!$Q$2:$Q$1300,0)),"")="Sí","On target","Off target")),"No data")</f>
        <v>On target</v>
      </c>
      <c r="H310" s="193" t="str">
        <f>INDEX(_TARGETS!$D$2:$D$17,MATCH("CPSE",_TARGETS!$A$2:$A$17,0))</f>
        <v>% (fracción)</v>
      </c>
      <c r="I310" s="193" t="str">
        <f>INDEX(_TARGETS!$K$2:$K$17,MATCH("CPSE",_TARGETS!$A$2:$A$17,0))</f>
        <v>OPS (carga manual en Datos)</v>
      </c>
      <c r="J310" s="258">
        <f t="shared" si="5"/>
        <v>46296</v>
      </c>
    </row>
    <row r="311" spans="1:10" ht="13.5" customHeight="1" x14ac:dyDescent="0.3">
      <c r="A311" t="s">
        <v>914</v>
      </c>
      <c r="B311" s="193" t="str">
        <f>YEAR(DATE(YEAR(RPT_MONTH),MONTH(RPT_MONTH)-1,1))&amp;"-"&amp;RIGHT("0"&amp;MONTH(DATE(YEAR(RPT_MONTH),MONTH(RPT_MONTH)-1,1)),2)</f>
        <v>2026-09</v>
      </c>
      <c r="C311" s="258">
        <f>DATE(YEAR(RPT_MONTH),MONTH(RPT_MONTH)-1,1)</f>
        <v>46266</v>
      </c>
      <c r="D311" t="s">
        <v>601</v>
      </c>
      <c r="E311" s="193">
        <f>IFERROR(INDEX(BD_KPIs!$F$2:$F$1300,MATCH(YEAR(DATE(YEAR(RPT_MONTH),MONTH(RPT_MONTH)-1,1))*100+MONTH(DATE(YEAR(RPT_MONTH),MONTH(RPT_MONTH)-1,1))&amp;"|CPSE|YTD",BD_KPIs!$Q$2:$Q$1300,0)),"")</f>
        <v>1</v>
      </c>
      <c r="F311" s="253">
        <f>IFERROR(INDEX(BD_KPIs!$G$2:$G$1300,MATCH(YEAR(DATE(YEAR(RPT_MONTH),MONTH(RPT_MONTH)-1,1))*100+MONTH(DATE(YEAR(RPT_MONTH),MONTH(RPT_MONTH)-1,1))&amp;"|CPSE|YTD",BD_KPIs!$Q$2:$Q$1300,0)),"")</f>
        <v>1</v>
      </c>
      <c r="G311" s="193" t="str">
        <f>IF(ISNUMBER(E311),IF(F311="","No target",IF(IFERROR(INDEX(BD_KPIs!$I$2:$I$1300,MATCH(YEAR(DATE(YEAR(RPT_MONTH),MONTH(RPT_MONTH)-1,1))*100+MONTH(DATE(YEAR(RPT_MONTH),MONTH(RPT_MONTH)-1,1))&amp;"|CPSE|YTD",BD_KPIs!$Q$2:$Q$1300,0)),"")="Sí","On target","Off target")),"No data")</f>
        <v>On target</v>
      </c>
      <c r="H311" s="193" t="str">
        <f>INDEX(_TARGETS!$D$2:$D$17,MATCH("CPSE",_TARGETS!$A$2:$A$17,0))</f>
        <v>% (fracción)</v>
      </c>
      <c r="I311" s="193" t="str">
        <f>INDEX(_TARGETS!$K$2:$K$17,MATCH("CPSE",_TARGETS!$A$2:$A$17,0))</f>
        <v>OPS (carga manual en Datos)</v>
      </c>
      <c r="J311" s="258">
        <f t="shared" si="5"/>
        <v>46296</v>
      </c>
    </row>
    <row r="312" spans="1:10" ht="13.5" customHeight="1" x14ac:dyDescent="0.3">
      <c r="A312" t="s">
        <v>914</v>
      </c>
      <c r="B312" s="193" t="str">
        <f>YEAR(DATE(YEAR(RPT_MONTH),MONTH(RPT_MONTH)-0,1))&amp;"-"&amp;RIGHT("0"&amp;MONTH(DATE(YEAR(RPT_MONTH),MONTH(RPT_MONTH)-0,1)),2)</f>
        <v>2026-10</v>
      </c>
      <c r="C312" s="258">
        <f>DATE(YEAR(RPT_MONTH),MONTH(RPT_MONTH)-0,1)</f>
        <v>46296</v>
      </c>
      <c r="D312" t="s">
        <v>601</v>
      </c>
      <c r="E312" s="193" t="str">
        <f>IFERROR(INDEX(BD_KPIs!$F$2:$F$1300,MATCH(YEAR(DATE(YEAR(RPT_MONTH),MONTH(RPT_MONTH)-0,1))*100+MONTH(DATE(YEAR(RPT_MONTH),MONTH(RPT_MONTH)-0,1))&amp;"|CPSE|YTD",BD_KPIs!$Q$2:$Q$1300,0)),"")</f>
        <v/>
      </c>
      <c r="F312" s="253">
        <f>IFERROR(INDEX(BD_KPIs!$G$2:$G$1300,MATCH(YEAR(DATE(YEAR(RPT_MONTH),MONTH(RPT_MONTH)-0,1))*100+MONTH(DATE(YEAR(RPT_MONTH),MONTH(RPT_MONTH)-0,1))&amp;"|CPSE|YTD",BD_KPIs!$Q$2:$Q$1300,0)),"")</f>
        <v>1</v>
      </c>
      <c r="G312" s="193" t="str">
        <f>IF(ISNUMBER(E312),IF(F312="","No target",IF(IFERROR(INDEX(BD_KPIs!$I$2:$I$1300,MATCH(YEAR(DATE(YEAR(RPT_MONTH),MONTH(RPT_MONTH)-0,1))*100+MONTH(DATE(YEAR(RPT_MONTH),MONTH(RPT_MONTH)-0,1))&amp;"|CPSE|YTD",BD_KPIs!$Q$2:$Q$1300,0)),"")="Sí","On target","Off target")),"No data")</f>
        <v>No data</v>
      </c>
      <c r="H312" s="193" t="str">
        <f>INDEX(_TARGETS!$D$2:$D$17,MATCH("CPSE",_TARGETS!$A$2:$A$17,0))</f>
        <v>% (fracción)</v>
      </c>
      <c r="I312" s="193" t="str">
        <f>INDEX(_TARGETS!$K$2:$K$17,MATCH("CPSE",_TARGETS!$A$2:$A$17,0))</f>
        <v>OPS (carga manual en Datos)</v>
      </c>
      <c r="J312" s="258">
        <f t="shared" si="5"/>
        <v>46296</v>
      </c>
    </row>
    <row r="313" spans="1:10" ht="13.5" customHeight="1" x14ac:dyDescent="0.3">
      <c r="A313" t="s">
        <v>915</v>
      </c>
      <c r="B313" s="193" t="str">
        <f>YEAR(DATE(YEAR(RPT_MONTH),MONTH(RPT_MONTH)-11,1))&amp;"-"&amp;RIGHT("0"&amp;MONTH(DATE(YEAR(RPT_MONTH),MONTH(RPT_MONTH)-11,1)),2)</f>
        <v>2025-11</v>
      </c>
      <c r="C313" s="258">
        <f>DATE(YEAR(RPT_MONTH),MONTH(RPT_MONTH)-11,1)</f>
        <v>45962</v>
      </c>
      <c r="D313" t="s">
        <v>68</v>
      </c>
      <c r="E313" s="193" t="str">
        <f>IFERROR(INDEX(BD_KPIs!$F$2:$F$1300,MATCH(YEAR(DATE(YEAR(RPT_MONTH),MONTH(RPT_MONTH)-11,1))*100+MONTH(DATE(YEAR(RPT_MONTH),MONTH(RPT_MONTH)-11,1))&amp;"|CAMS|Monthly",BD_KPIs!$Q$2:$Q$1300,0)),"")</f>
        <v/>
      </c>
      <c r="F313" s="193" t="str">
        <f>IFERROR(INDEX(BD_KPIs!$G$2:$G$1300,MATCH(YEAR(DATE(YEAR(RPT_MONTH),MONTH(RPT_MONTH)-11,1))*100+MONTH(DATE(YEAR(RPT_MONTH),MONTH(RPT_MONTH)-11,1))&amp;"|CAMS|Monthly",BD_KPIs!$Q$2:$Q$1300,0)),"")</f>
        <v/>
      </c>
      <c r="G313" s="193" t="str">
        <f>IF(ISNUMBER(E313),IF(F313="","No target",IF(IFERROR(INDEX(BD_KPIs!$I$2:$I$1300,MATCH(YEAR(DATE(YEAR(RPT_MONTH),MONTH(RPT_MONTH)-11,1))*100+MONTH(DATE(YEAR(RPT_MONTH),MONTH(RPT_MONTH)-11,1))&amp;"|CAMS|Monthly",BD_KPIs!$Q$2:$Q$1300,0)),"")="Sí","On target","Off target")),"No data")</f>
        <v>No data</v>
      </c>
      <c r="H313" s="193" t="str">
        <f>INDEX(_TARGETS!$D$2:$D$17,MATCH("CAMS",_TARGETS!$A$2:$A$17,0))</f>
        <v>% (fracción)</v>
      </c>
      <c r="I313" s="193" t="str">
        <f>INDEX(_TARGETS!$K$2:$K$17,MATCH("CAMS",_TARGETS!$A$2:$A$17,0))</f>
        <v>OPS (carga manual en Datos)</v>
      </c>
      <c r="J313" s="258">
        <f t="shared" si="5"/>
        <v>46296</v>
      </c>
    </row>
    <row r="314" spans="1:10" ht="13.5" customHeight="1" x14ac:dyDescent="0.3">
      <c r="A314" t="s">
        <v>915</v>
      </c>
      <c r="B314" s="193" t="str">
        <f>YEAR(DATE(YEAR(RPT_MONTH),MONTH(RPT_MONTH)-10,1))&amp;"-"&amp;RIGHT("0"&amp;MONTH(DATE(YEAR(RPT_MONTH),MONTH(RPT_MONTH)-10,1)),2)</f>
        <v>2025-12</v>
      </c>
      <c r="C314" s="258">
        <f>DATE(YEAR(RPT_MONTH),MONTH(RPT_MONTH)-10,1)</f>
        <v>45992</v>
      </c>
      <c r="D314" t="s">
        <v>68</v>
      </c>
      <c r="E314" s="193" t="str">
        <f>IFERROR(INDEX(BD_KPIs!$F$2:$F$1300,MATCH(YEAR(DATE(YEAR(RPT_MONTH),MONTH(RPT_MONTH)-10,1))*100+MONTH(DATE(YEAR(RPT_MONTH),MONTH(RPT_MONTH)-10,1))&amp;"|CAMS|Monthly",BD_KPIs!$Q$2:$Q$1300,0)),"")</f>
        <v/>
      </c>
      <c r="F314" s="193" t="str">
        <f>IFERROR(INDEX(BD_KPIs!$G$2:$G$1300,MATCH(YEAR(DATE(YEAR(RPT_MONTH),MONTH(RPT_MONTH)-10,1))*100+MONTH(DATE(YEAR(RPT_MONTH),MONTH(RPT_MONTH)-10,1))&amp;"|CAMS|Monthly",BD_KPIs!$Q$2:$Q$1300,0)),"")</f>
        <v/>
      </c>
      <c r="G314" s="193" t="str">
        <f>IF(ISNUMBER(E314),IF(F314="","No target",IF(IFERROR(INDEX(BD_KPIs!$I$2:$I$1300,MATCH(YEAR(DATE(YEAR(RPT_MONTH),MONTH(RPT_MONTH)-10,1))*100+MONTH(DATE(YEAR(RPT_MONTH),MONTH(RPT_MONTH)-10,1))&amp;"|CAMS|Monthly",BD_KPIs!$Q$2:$Q$1300,0)),"")="Sí","On target","Off target")),"No data")</f>
        <v>No data</v>
      </c>
      <c r="H314" s="193" t="str">
        <f>INDEX(_TARGETS!$D$2:$D$17,MATCH("CAMS",_TARGETS!$A$2:$A$17,0))</f>
        <v>% (fracción)</v>
      </c>
      <c r="I314" s="193" t="str">
        <f>INDEX(_TARGETS!$K$2:$K$17,MATCH("CAMS",_TARGETS!$A$2:$A$17,0))</f>
        <v>OPS (carga manual en Datos)</v>
      </c>
      <c r="J314" s="258">
        <f t="shared" si="5"/>
        <v>46296</v>
      </c>
    </row>
    <row r="315" spans="1:10" ht="13.5" customHeight="1" x14ac:dyDescent="0.3">
      <c r="A315" t="s">
        <v>915</v>
      </c>
      <c r="B315" s="193" t="str">
        <f>YEAR(DATE(YEAR(RPT_MONTH),MONTH(RPT_MONTH)-9,1))&amp;"-"&amp;RIGHT("0"&amp;MONTH(DATE(YEAR(RPT_MONTH),MONTH(RPT_MONTH)-9,1)),2)</f>
        <v>2026-01</v>
      </c>
      <c r="C315" s="258">
        <f>DATE(YEAR(RPT_MONTH),MONTH(RPT_MONTH)-9,1)</f>
        <v>46023</v>
      </c>
      <c r="D315" t="s">
        <v>68</v>
      </c>
      <c r="E315" s="193" t="str">
        <f>IFERROR(INDEX(BD_KPIs!$F$2:$F$1300,MATCH(YEAR(DATE(YEAR(RPT_MONTH),MONTH(RPT_MONTH)-9,1))*100+MONTH(DATE(YEAR(RPT_MONTH),MONTH(RPT_MONTH)-9,1))&amp;"|CAMS|Monthly",BD_KPIs!$Q$2:$Q$1300,0)),"")</f>
        <v/>
      </c>
      <c r="F315" s="193" t="str">
        <f>IFERROR(INDEX(BD_KPIs!$G$2:$G$1300,MATCH(YEAR(DATE(YEAR(RPT_MONTH),MONTH(RPT_MONTH)-9,1))*100+MONTH(DATE(YEAR(RPT_MONTH),MONTH(RPT_MONTH)-9,1))&amp;"|CAMS|Monthly",BD_KPIs!$Q$2:$Q$1300,0)),"")</f>
        <v/>
      </c>
      <c r="G315" s="193" t="str">
        <f>IF(ISNUMBER(E315),IF(F315="","No target",IF(IFERROR(INDEX(BD_KPIs!$I$2:$I$1300,MATCH(YEAR(DATE(YEAR(RPT_MONTH),MONTH(RPT_MONTH)-9,1))*100+MONTH(DATE(YEAR(RPT_MONTH),MONTH(RPT_MONTH)-9,1))&amp;"|CAMS|Monthly",BD_KPIs!$Q$2:$Q$1300,0)),"")="Sí","On target","Off target")),"No data")</f>
        <v>No data</v>
      </c>
      <c r="H315" s="193" t="str">
        <f>INDEX(_TARGETS!$D$2:$D$17,MATCH("CAMS",_TARGETS!$A$2:$A$17,0))</f>
        <v>% (fracción)</v>
      </c>
      <c r="I315" s="193" t="str">
        <f>INDEX(_TARGETS!$K$2:$K$17,MATCH("CAMS",_TARGETS!$A$2:$A$17,0))</f>
        <v>OPS (carga manual en Datos)</v>
      </c>
      <c r="J315" s="258">
        <f t="shared" si="5"/>
        <v>46296</v>
      </c>
    </row>
    <row r="316" spans="1:10" ht="13.5" customHeight="1" x14ac:dyDescent="0.3">
      <c r="A316" t="s">
        <v>915</v>
      </c>
      <c r="B316" s="193" t="str">
        <f>YEAR(DATE(YEAR(RPT_MONTH),MONTH(RPT_MONTH)-8,1))&amp;"-"&amp;RIGHT("0"&amp;MONTH(DATE(YEAR(RPT_MONTH),MONTH(RPT_MONTH)-8,1)),2)</f>
        <v>2026-02</v>
      </c>
      <c r="C316" s="258">
        <f>DATE(YEAR(RPT_MONTH),MONTH(RPT_MONTH)-8,1)</f>
        <v>46054</v>
      </c>
      <c r="D316" t="s">
        <v>68</v>
      </c>
      <c r="E316" s="193" t="str">
        <f>IFERROR(INDEX(BD_KPIs!$F$2:$F$1300,MATCH(YEAR(DATE(YEAR(RPT_MONTH),MONTH(RPT_MONTH)-8,1))*100+MONTH(DATE(YEAR(RPT_MONTH),MONTH(RPT_MONTH)-8,1))&amp;"|CAMS|Monthly",BD_KPIs!$Q$2:$Q$1300,0)),"")</f>
        <v/>
      </c>
      <c r="F316" s="193" t="str">
        <f>IFERROR(INDEX(BD_KPIs!$G$2:$G$1300,MATCH(YEAR(DATE(YEAR(RPT_MONTH),MONTH(RPT_MONTH)-8,1))*100+MONTH(DATE(YEAR(RPT_MONTH),MONTH(RPT_MONTH)-8,1))&amp;"|CAMS|Monthly",BD_KPIs!$Q$2:$Q$1300,0)),"")</f>
        <v/>
      </c>
      <c r="G316" s="193" t="str">
        <f>IF(ISNUMBER(E316),IF(F316="","No target",IF(IFERROR(INDEX(BD_KPIs!$I$2:$I$1300,MATCH(YEAR(DATE(YEAR(RPT_MONTH),MONTH(RPT_MONTH)-8,1))*100+MONTH(DATE(YEAR(RPT_MONTH),MONTH(RPT_MONTH)-8,1))&amp;"|CAMS|Monthly",BD_KPIs!$Q$2:$Q$1300,0)),"")="Sí","On target","Off target")),"No data")</f>
        <v>No data</v>
      </c>
      <c r="H316" s="193" t="str">
        <f>INDEX(_TARGETS!$D$2:$D$17,MATCH("CAMS",_TARGETS!$A$2:$A$17,0))</f>
        <v>% (fracción)</v>
      </c>
      <c r="I316" s="193" t="str">
        <f>INDEX(_TARGETS!$K$2:$K$17,MATCH("CAMS",_TARGETS!$A$2:$A$17,0))</f>
        <v>OPS (carga manual en Datos)</v>
      </c>
      <c r="J316" s="258">
        <f t="shared" si="5"/>
        <v>46296</v>
      </c>
    </row>
    <row r="317" spans="1:10" ht="13.5" customHeight="1" x14ac:dyDescent="0.3">
      <c r="A317" t="s">
        <v>915</v>
      </c>
      <c r="B317" s="193" t="str">
        <f>YEAR(DATE(YEAR(RPT_MONTH),MONTH(RPT_MONTH)-7,1))&amp;"-"&amp;RIGHT("0"&amp;MONTH(DATE(YEAR(RPT_MONTH),MONTH(RPT_MONTH)-7,1)),2)</f>
        <v>2026-03</v>
      </c>
      <c r="C317" s="258">
        <f>DATE(YEAR(RPT_MONTH),MONTH(RPT_MONTH)-7,1)</f>
        <v>46082</v>
      </c>
      <c r="D317" t="s">
        <v>68</v>
      </c>
      <c r="E317" s="193" t="str">
        <f>IFERROR(INDEX(BD_KPIs!$F$2:$F$1300,MATCH(YEAR(DATE(YEAR(RPT_MONTH),MONTH(RPT_MONTH)-7,1))*100+MONTH(DATE(YEAR(RPT_MONTH),MONTH(RPT_MONTH)-7,1))&amp;"|CAMS|Monthly",BD_KPIs!$Q$2:$Q$1300,0)),"")</f>
        <v/>
      </c>
      <c r="F317" s="193" t="str">
        <f>IFERROR(INDEX(BD_KPIs!$G$2:$G$1300,MATCH(YEAR(DATE(YEAR(RPT_MONTH),MONTH(RPT_MONTH)-7,1))*100+MONTH(DATE(YEAR(RPT_MONTH),MONTH(RPT_MONTH)-7,1))&amp;"|CAMS|Monthly",BD_KPIs!$Q$2:$Q$1300,0)),"")</f>
        <v/>
      </c>
      <c r="G317" s="193" t="str">
        <f>IF(ISNUMBER(E317),IF(F317="","No target",IF(IFERROR(INDEX(BD_KPIs!$I$2:$I$1300,MATCH(YEAR(DATE(YEAR(RPT_MONTH),MONTH(RPT_MONTH)-7,1))*100+MONTH(DATE(YEAR(RPT_MONTH),MONTH(RPT_MONTH)-7,1))&amp;"|CAMS|Monthly",BD_KPIs!$Q$2:$Q$1300,0)),"")="Sí","On target","Off target")),"No data")</f>
        <v>No data</v>
      </c>
      <c r="H317" s="193" t="str">
        <f>INDEX(_TARGETS!$D$2:$D$17,MATCH("CAMS",_TARGETS!$A$2:$A$17,0))</f>
        <v>% (fracción)</v>
      </c>
      <c r="I317" s="193" t="str">
        <f>INDEX(_TARGETS!$K$2:$K$17,MATCH("CAMS",_TARGETS!$A$2:$A$17,0))</f>
        <v>OPS (carga manual en Datos)</v>
      </c>
      <c r="J317" s="258">
        <f t="shared" si="5"/>
        <v>46296</v>
      </c>
    </row>
    <row r="318" spans="1:10" ht="13.5" customHeight="1" x14ac:dyDescent="0.3">
      <c r="A318" t="s">
        <v>915</v>
      </c>
      <c r="B318" s="193" t="str">
        <f>YEAR(DATE(YEAR(RPT_MONTH),MONTH(RPT_MONTH)-6,1))&amp;"-"&amp;RIGHT("0"&amp;MONTH(DATE(YEAR(RPT_MONTH),MONTH(RPT_MONTH)-6,1)),2)</f>
        <v>2026-04</v>
      </c>
      <c r="C318" s="258">
        <f>DATE(YEAR(RPT_MONTH),MONTH(RPT_MONTH)-6,1)</f>
        <v>46113</v>
      </c>
      <c r="D318" t="s">
        <v>68</v>
      </c>
      <c r="E318" s="193" t="str">
        <f>IFERROR(INDEX(BD_KPIs!$F$2:$F$1300,MATCH(YEAR(DATE(YEAR(RPT_MONTH),MONTH(RPT_MONTH)-6,1))*100+MONTH(DATE(YEAR(RPT_MONTH),MONTH(RPT_MONTH)-6,1))&amp;"|CAMS|Monthly",BD_KPIs!$Q$2:$Q$1300,0)),"")</f>
        <v/>
      </c>
      <c r="F318" s="193" t="str">
        <f>IFERROR(INDEX(BD_KPIs!$G$2:$G$1300,MATCH(YEAR(DATE(YEAR(RPT_MONTH),MONTH(RPT_MONTH)-6,1))*100+MONTH(DATE(YEAR(RPT_MONTH),MONTH(RPT_MONTH)-6,1))&amp;"|CAMS|Monthly",BD_KPIs!$Q$2:$Q$1300,0)),"")</f>
        <v/>
      </c>
      <c r="G318" s="193" t="str">
        <f>IF(ISNUMBER(E318),IF(F318="","No target",IF(IFERROR(INDEX(BD_KPIs!$I$2:$I$1300,MATCH(YEAR(DATE(YEAR(RPT_MONTH),MONTH(RPT_MONTH)-6,1))*100+MONTH(DATE(YEAR(RPT_MONTH),MONTH(RPT_MONTH)-6,1))&amp;"|CAMS|Monthly",BD_KPIs!$Q$2:$Q$1300,0)),"")="Sí","On target","Off target")),"No data")</f>
        <v>No data</v>
      </c>
      <c r="H318" s="193" t="str">
        <f>INDEX(_TARGETS!$D$2:$D$17,MATCH("CAMS",_TARGETS!$A$2:$A$17,0))</f>
        <v>% (fracción)</v>
      </c>
      <c r="I318" s="193" t="str">
        <f>INDEX(_TARGETS!$K$2:$K$17,MATCH("CAMS",_TARGETS!$A$2:$A$17,0))</f>
        <v>OPS (carga manual en Datos)</v>
      </c>
      <c r="J318" s="258">
        <f t="shared" si="5"/>
        <v>46296</v>
      </c>
    </row>
    <row r="319" spans="1:10" ht="13.5" customHeight="1" x14ac:dyDescent="0.3">
      <c r="A319" t="s">
        <v>915</v>
      </c>
      <c r="B319" s="193" t="str">
        <f>YEAR(DATE(YEAR(RPT_MONTH),MONTH(RPT_MONTH)-5,1))&amp;"-"&amp;RIGHT("0"&amp;MONTH(DATE(YEAR(RPT_MONTH),MONTH(RPT_MONTH)-5,1)),2)</f>
        <v>2026-05</v>
      </c>
      <c r="C319" s="258">
        <f>DATE(YEAR(RPT_MONTH),MONTH(RPT_MONTH)-5,1)</f>
        <v>46143</v>
      </c>
      <c r="D319" t="s">
        <v>68</v>
      </c>
      <c r="E319" s="193" t="str">
        <f>IFERROR(INDEX(BD_KPIs!$F$2:$F$1300,MATCH(YEAR(DATE(YEAR(RPT_MONTH),MONTH(RPT_MONTH)-5,1))*100+MONTH(DATE(YEAR(RPT_MONTH),MONTH(RPT_MONTH)-5,1))&amp;"|CAMS|Monthly",BD_KPIs!$Q$2:$Q$1300,0)),"")</f>
        <v/>
      </c>
      <c r="F319" s="193" t="str">
        <f>IFERROR(INDEX(BD_KPIs!$G$2:$G$1300,MATCH(YEAR(DATE(YEAR(RPT_MONTH),MONTH(RPT_MONTH)-5,1))*100+MONTH(DATE(YEAR(RPT_MONTH),MONTH(RPT_MONTH)-5,1))&amp;"|CAMS|Monthly",BD_KPIs!$Q$2:$Q$1300,0)),"")</f>
        <v/>
      </c>
      <c r="G319" s="193" t="str">
        <f>IF(ISNUMBER(E319),IF(F319="","No target",IF(IFERROR(INDEX(BD_KPIs!$I$2:$I$1300,MATCH(YEAR(DATE(YEAR(RPT_MONTH),MONTH(RPT_MONTH)-5,1))*100+MONTH(DATE(YEAR(RPT_MONTH),MONTH(RPT_MONTH)-5,1))&amp;"|CAMS|Monthly",BD_KPIs!$Q$2:$Q$1300,0)),"")="Sí","On target","Off target")),"No data")</f>
        <v>No data</v>
      </c>
      <c r="H319" s="193" t="str">
        <f>INDEX(_TARGETS!$D$2:$D$17,MATCH("CAMS",_TARGETS!$A$2:$A$17,0))</f>
        <v>% (fracción)</v>
      </c>
      <c r="I319" s="193" t="str">
        <f>INDEX(_TARGETS!$K$2:$K$17,MATCH("CAMS",_TARGETS!$A$2:$A$17,0))</f>
        <v>OPS (carga manual en Datos)</v>
      </c>
      <c r="J319" s="258">
        <f t="shared" si="5"/>
        <v>46296</v>
      </c>
    </row>
    <row r="320" spans="1:10" ht="13.5" customHeight="1" x14ac:dyDescent="0.3">
      <c r="A320" t="s">
        <v>915</v>
      </c>
      <c r="B320" s="193" t="str">
        <f>YEAR(DATE(YEAR(RPT_MONTH),MONTH(RPT_MONTH)-4,1))&amp;"-"&amp;RIGHT("0"&amp;MONTH(DATE(YEAR(RPT_MONTH),MONTH(RPT_MONTH)-4,1)),2)</f>
        <v>2026-06</v>
      </c>
      <c r="C320" s="258">
        <f>DATE(YEAR(RPT_MONTH),MONTH(RPT_MONTH)-4,1)</f>
        <v>46174</v>
      </c>
      <c r="D320" t="s">
        <v>68</v>
      </c>
      <c r="E320" s="193" t="str">
        <f>IFERROR(INDEX(BD_KPIs!$F$2:$F$1300,MATCH(YEAR(DATE(YEAR(RPT_MONTH),MONTH(RPT_MONTH)-4,1))*100+MONTH(DATE(YEAR(RPT_MONTH),MONTH(RPT_MONTH)-4,1))&amp;"|CAMS|Monthly",BD_KPIs!$Q$2:$Q$1300,0)),"")</f>
        <v/>
      </c>
      <c r="F320" s="193" t="str">
        <f>IFERROR(INDEX(BD_KPIs!$G$2:$G$1300,MATCH(YEAR(DATE(YEAR(RPT_MONTH),MONTH(RPT_MONTH)-4,1))*100+MONTH(DATE(YEAR(RPT_MONTH),MONTH(RPT_MONTH)-4,1))&amp;"|CAMS|Monthly",BD_KPIs!$Q$2:$Q$1300,0)),"")</f>
        <v/>
      </c>
      <c r="G320" s="193" t="str">
        <f>IF(ISNUMBER(E320),IF(F320="","No target",IF(IFERROR(INDEX(BD_KPIs!$I$2:$I$1300,MATCH(YEAR(DATE(YEAR(RPT_MONTH),MONTH(RPT_MONTH)-4,1))*100+MONTH(DATE(YEAR(RPT_MONTH),MONTH(RPT_MONTH)-4,1))&amp;"|CAMS|Monthly",BD_KPIs!$Q$2:$Q$1300,0)),"")="Sí","On target","Off target")),"No data")</f>
        <v>No data</v>
      </c>
      <c r="H320" s="193" t="str">
        <f>INDEX(_TARGETS!$D$2:$D$17,MATCH("CAMS",_TARGETS!$A$2:$A$17,0))</f>
        <v>% (fracción)</v>
      </c>
      <c r="I320" s="193" t="str">
        <f>INDEX(_TARGETS!$K$2:$K$17,MATCH("CAMS",_TARGETS!$A$2:$A$17,0))</f>
        <v>OPS (carga manual en Datos)</v>
      </c>
      <c r="J320" s="258">
        <f t="shared" si="5"/>
        <v>46296</v>
      </c>
    </row>
    <row r="321" spans="1:10" ht="13.5" customHeight="1" x14ac:dyDescent="0.3">
      <c r="A321" t="s">
        <v>915</v>
      </c>
      <c r="B321" s="193" t="str">
        <f>YEAR(DATE(YEAR(RPT_MONTH),MONTH(RPT_MONTH)-3,1))&amp;"-"&amp;RIGHT("0"&amp;MONTH(DATE(YEAR(RPT_MONTH),MONTH(RPT_MONTH)-3,1)),2)</f>
        <v>2026-07</v>
      </c>
      <c r="C321" s="258">
        <f>DATE(YEAR(RPT_MONTH),MONTH(RPT_MONTH)-3,1)</f>
        <v>46204</v>
      </c>
      <c r="D321" t="s">
        <v>68</v>
      </c>
      <c r="E321" s="193" t="str">
        <f>IFERROR(INDEX(BD_KPIs!$F$2:$F$1300,MATCH(YEAR(DATE(YEAR(RPT_MONTH),MONTH(RPT_MONTH)-3,1))*100+MONTH(DATE(YEAR(RPT_MONTH),MONTH(RPT_MONTH)-3,1))&amp;"|CAMS|Monthly",BD_KPIs!$Q$2:$Q$1300,0)),"")</f>
        <v/>
      </c>
      <c r="F321" s="193" t="str">
        <f>IFERROR(INDEX(BD_KPIs!$G$2:$G$1300,MATCH(YEAR(DATE(YEAR(RPT_MONTH),MONTH(RPT_MONTH)-3,1))*100+MONTH(DATE(YEAR(RPT_MONTH),MONTH(RPT_MONTH)-3,1))&amp;"|CAMS|Monthly",BD_KPIs!$Q$2:$Q$1300,0)),"")</f>
        <v/>
      </c>
      <c r="G321" s="193" t="str">
        <f>IF(ISNUMBER(E321),IF(F321="","No target",IF(IFERROR(INDEX(BD_KPIs!$I$2:$I$1300,MATCH(YEAR(DATE(YEAR(RPT_MONTH),MONTH(RPT_MONTH)-3,1))*100+MONTH(DATE(YEAR(RPT_MONTH),MONTH(RPT_MONTH)-3,1))&amp;"|CAMS|Monthly",BD_KPIs!$Q$2:$Q$1300,0)),"")="Sí","On target","Off target")),"No data")</f>
        <v>No data</v>
      </c>
      <c r="H321" s="193" t="str">
        <f>INDEX(_TARGETS!$D$2:$D$17,MATCH("CAMS",_TARGETS!$A$2:$A$17,0))</f>
        <v>% (fracción)</v>
      </c>
      <c r="I321" s="193" t="str">
        <f>INDEX(_TARGETS!$K$2:$K$17,MATCH("CAMS",_TARGETS!$A$2:$A$17,0))</f>
        <v>OPS (carga manual en Datos)</v>
      </c>
      <c r="J321" s="258">
        <f t="shared" si="5"/>
        <v>46296</v>
      </c>
    </row>
    <row r="322" spans="1:10" ht="13.5" customHeight="1" x14ac:dyDescent="0.3">
      <c r="A322" t="s">
        <v>915</v>
      </c>
      <c r="B322" s="193" t="str">
        <f>YEAR(DATE(YEAR(RPT_MONTH),MONTH(RPT_MONTH)-2,1))&amp;"-"&amp;RIGHT("0"&amp;MONTH(DATE(YEAR(RPT_MONTH),MONTH(RPT_MONTH)-2,1)),2)</f>
        <v>2026-08</v>
      </c>
      <c r="C322" s="258">
        <f>DATE(YEAR(RPT_MONTH),MONTH(RPT_MONTH)-2,1)</f>
        <v>46235</v>
      </c>
      <c r="D322" t="s">
        <v>68</v>
      </c>
      <c r="E322" s="193" t="str">
        <f>IFERROR(INDEX(BD_KPIs!$F$2:$F$1300,MATCH(YEAR(DATE(YEAR(RPT_MONTH),MONTH(RPT_MONTH)-2,1))*100+MONTH(DATE(YEAR(RPT_MONTH),MONTH(RPT_MONTH)-2,1))&amp;"|CAMS|Monthly",BD_KPIs!$Q$2:$Q$1300,0)),"")</f>
        <v/>
      </c>
      <c r="F322" s="193" t="str">
        <f>IFERROR(INDEX(BD_KPIs!$G$2:$G$1300,MATCH(YEAR(DATE(YEAR(RPT_MONTH),MONTH(RPT_MONTH)-2,1))*100+MONTH(DATE(YEAR(RPT_MONTH),MONTH(RPT_MONTH)-2,1))&amp;"|CAMS|Monthly",BD_KPIs!$Q$2:$Q$1300,0)),"")</f>
        <v/>
      </c>
      <c r="G322" s="193" t="str">
        <f>IF(ISNUMBER(E322),IF(F322="","No target",IF(IFERROR(INDEX(BD_KPIs!$I$2:$I$1300,MATCH(YEAR(DATE(YEAR(RPT_MONTH),MONTH(RPT_MONTH)-2,1))*100+MONTH(DATE(YEAR(RPT_MONTH),MONTH(RPT_MONTH)-2,1))&amp;"|CAMS|Monthly",BD_KPIs!$Q$2:$Q$1300,0)),"")="Sí","On target","Off target")),"No data")</f>
        <v>No data</v>
      </c>
      <c r="H322" s="193" t="str">
        <f>INDEX(_TARGETS!$D$2:$D$17,MATCH("CAMS",_TARGETS!$A$2:$A$17,0))</f>
        <v>% (fracción)</v>
      </c>
      <c r="I322" s="193" t="str">
        <f>INDEX(_TARGETS!$K$2:$K$17,MATCH("CAMS",_TARGETS!$A$2:$A$17,0))</f>
        <v>OPS (carga manual en Datos)</v>
      </c>
      <c r="J322" s="258">
        <f t="shared" ref="J322:J385" si="6">RPT_MONTH</f>
        <v>46296</v>
      </c>
    </row>
    <row r="323" spans="1:10" ht="13.5" customHeight="1" x14ac:dyDescent="0.3">
      <c r="A323" t="s">
        <v>915</v>
      </c>
      <c r="B323" s="193" t="str">
        <f>YEAR(DATE(YEAR(RPT_MONTH),MONTH(RPT_MONTH)-1,1))&amp;"-"&amp;RIGHT("0"&amp;MONTH(DATE(YEAR(RPT_MONTH),MONTH(RPT_MONTH)-1,1)),2)</f>
        <v>2026-09</v>
      </c>
      <c r="C323" s="258">
        <f>DATE(YEAR(RPT_MONTH),MONTH(RPT_MONTH)-1,1)</f>
        <v>46266</v>
      </c>
      <c r="D323" t="s">
        <v>68</v>
      </c>
      <c r="E323" s="193">
        <f>IFERROR(INDEX(BD_KPIs!$F$2:$F$1300,MATCH(YEAR(DATE(YEAR(RPT_MONTH),MONTH(RPT_MONTH)-1,1))*100+MONTH(DATE(YEAR(RPT_MONTH),MONTH(RPT_MONTH)-1,1))&amp;"|CAMS|Monthly",BD_KPIs!$Q$2:$Q$1300,0)),"")</f>
        <v>1</v>
      </c>
      <c r="F323" s="250" t="str">
        <f>IFERROR(INDEX(BD_KPIs!$G$2:$G$1300,MATCH(YEAR(DATE(YEAR(RPT_MONTH),MONTH(RPT_MONTH)-1,1))*100+MONTH(DATE(YEAR(RPT_MONTH),MONTH(RPT_MONTH)-1,1))&amp;"|CAMS|Monthly",BD_KPIs!$Q$2:$Q$1300,0)),"")</f>
        <v/>
      </c>
      <c r="G323" s="193" t="str">
        <f>IF(ISNUMBER(E323),IF(F323="","No target",IF(IFERROR(INDEX(BD_KPIs!$I$2:$I$1300,MATCH(YEAR(DATE(YEAR(RPT_MONTH),MONTH(RPT_MONTH)-1,1))*100+MONTH(DATE(YEAR(RPT_MONTH),MONTH(RPT_MONTH)-1,1))&amp;"|CAMS|Monthly",BD_KPIs!$Q$2:$Q$1300,0)),"")="Sí","On target","Off target")),"No data")</f>
        <v>No target</v>
      </c>
      <c r="H323" s="193" t="str">
        <f>INDEX(_TARGETS!$D$2:$D$17,MATCH("CAMS",_TARGETS!$A$2:$A$17,0))</f>
        <v>% (fracción)</v>
      </c>
      <c r="I323" s="193" t="str">
        <f>INDEX(_TARGETS!$K$2:$K$17,MATCH("CAMS",_TARGETS!$A$2:$A$17,0))</f>
        <v>OPS (carga manual en Datos)</v>
      </c>
      <c r="J323" s="258">
        <f t="shared" si="6"/>
        <v>46296</v>
      </c>
    </row>
    <row r="324" spans="1:10" ht="13.5" customHeight="1" x14ac:dyDescent="0.3">
      <c r="A324" t="s">
        <v>915</v>
      </c>
      <c r="B324" s="193" t="str">
        <f>YEAR(DATE(YEAR(RPT_MONTH),MONTH(RPT_MONTH)-0,1))&amp;"-"&amp;RIGHT("0"&amp;MONTH(DATE(YEAR(RPT_MONTH),MONTH(RPT_MONTH)-0,1)),2)</f>
        <v>2026-10</v>
      </c>
      <c r="C324" s="258">
        <f>DATE(YEAR(RPT_MONTH),MONTH(RPT_MONTH)-0,1)</f>
        <v>46296</v>
      </c>
      <c r="D324" t="s">
        <v>68</v>
      </c>
      <c r="E324" s="193" t="str">
        <f>IFERROR(INDEX(BD_KPIs!$F$2:$F$1300,MATCH(YEAR(DATE(YEAR(RPT_MONTH),MONTH(RPT_MONTH)-0,1))*100+MONTH(DATE(YEAR(RPT_MONTH),MONTH(RPT_MONTH)-0,1))&amp;"|CAMS|Monthly",BD_KPIs!$Q$2:$Q$1300,0)),"")</f>
        <v/>
      </c>
      <c r="F324" s="250" t="str">
        <f>IFERROR(INDEX(BD_KPIs!$G$2:$G$1300,MATCH(YEAR(DATE(YEAR(RPT_MONTH),MONTH(RPT_MONTH)-0,1))*100+MONTH(DATE(YEAR(RPT_MONTH),MONTH(RPT_MONTH)-0,1))&amp;"|CAMS|Monthly",BD_KPIs!$Q$2:$Q$1300,0)),"")</f>
        <v/>
      </c>
      <c r="G324" s="193" t="str">
        <f>IF(ISNUMBER(E324),IF(F324="","No target",IF(IFERROR(INDEX(BD_KPIs!$I$2:$I$1300,MATCH(YEAR(DATE(YEAR(RPT_MONTH),MONTH(RPT_MONTH)-0,1))*100+MONTH(DATE(YEAR(RPT_MONTH),MONTH(RPT_MONTH)-0,1))&amp;"|CAMS|Monthly",BD_KPIs!$Q$2:$Q$1300,0)),"")="Sí","On target","Off target")),"No data")</f>
        <v>No data</v>
      </c>
      <c r="H324" s="193" t="str">
        <f>INDEX(_TARGETS!$D$2:$D$17,MATCH("CAMS",_TARGETS!$A$2:$A$17,0))</f>
        <v>% (fracción)</v>
      </c>
      <c r="I324" s="193" t="str">
        <f>INDEX(_TARGETS!$K$2:$K$17,MATCH("CAMS",_TARGETS!$A$2:$A$17,0))</f>
        <v>OPS (carga manual en Datos)</v>
      </c>
      <c r="J324" s="258">
        <f t="shared" si="6"/>
        <v>46296</v>
      </c>
    </row>
    <row r="325" spans="1:10" ht="13.5" customHeight="1" x14ac:dyDescent="0.3">
      <c r="A325" t="s">
        <v>915</v>
      </c>
      <c r="B325" s="193" t="str">
        <f>YEAR(DATE(YEAR(RPT_MONTH),MONTH(RPT_MONTH)-11,1))&amp;"-"&amp;RIGHT("0"&amp;MONTH(DATE(YEAR(RPT_MONTH),MONTH(RPT_MONTH)-11,1)),2)</f>
        <v>2025-11</v>
      </c>
      <c r="C325" s="258">
        <f>DATE(YEAR(RPT_MONTH),MONTH(RPT_MONTH)-11,1)</f>
        <v>45962</v>
      </c>
      <c r="D325" t="s">
        <v>601</v>
      </c>
      <c r="E325" s="193" t="str">
        <f>IFERROR(INDEX(BD_KPIs!$F$2:$F$1300,MATCH(YEAR(DATE(YEAR(RPT_MONTH),MONTH(RPT_MONTH)-11,1))*100+MONTH(DATE(YEAR(RPT_MONTH),MONTH(RPT_MONTH)-11,1))&amp;"|CAMS|YTD",BD_KPIs!$Q$2:$Q$1300,0)),"")</f>
        <v/>
      </c>
      <c r="F325" s="193" t="str">
        <f>IFERROR(INDEX(BD_KPIs!$G$2:$G$1300,MATCH(YEAR(DATE(YEAR(RPT_MONTH),MONTH(RPT_MONTH)-11,1))*100+MONTH(DATE(YEAR(RPT_MONTH),MONTH(RPT_MONTH)-11,1))&amp;"|CAMS|YTD",BD_KPIs!$Q$2:$Q$1300,0)),"")</f>
        <v/>
      </c>
      <c r="G325" s="193" t="str">
        <f>IF(ISNUMBER(E325),IF(F325="","No target",IF(IFERROR(INDEX(BD_KPIs!$I$2:$I$1300,MATCH(YEAR(DATE(YEAR(RPT_MONTH),MONTH(RPT_MONTH)-11,1))*100+MONTH(DATE(YEAR(RPT_MONTH),MONTH(RPT_MONTH)-11,1))&amp;"|CAMS|YTD",BD_KPIs!$Q$2:$Q$1300,0)),"")="Sí","On target","Off target")),"No data")</f>
        <v>No data</v>
      </c>
      <c r="H325" s="193" t="str">
        <f>INDEX(_TARGETS!$D$2:$D$17,MATCH("CAMS",_TARGETS!$A$2:$A$17,0))</f>
        <v>% (fracción)</v>
      </c>
      <c r="I325" s="193" t="str">
        <f>INDEX(_TARGETS!$K$2:$K$17,MATCH("CAMS",_TARGETS!$A$2:$A$17,0))</f>
        <v>OPS (carga manual en Datos)</v>
      </c>
      <c r="J325" s="258">
        <f t="shared" si="6"/>
        <v>46296</v>
      </c>
    </row>
    <row r="326" spans="1:10" ht="13.5" customHeight="1" x14ac:dyDescent="0.3">
      <c r="A326" t="s">
        <v>915</v>
      </c>
      <c r="B326" s="193" t="str">
        <f>YEAR(DATE(YEAR(RPT_MONTH),MONTH(RPT_MONTH)-10,1))&amp;"-"&amp;RIGHT("0"&amp;MONTH(DATE(YEAR(RPT_MONTH),MONTH(RPT_MONTH)-10,1)),2)</f>
        <v>2025-12</v>
      </c>
      <c r="C326" s="258">
        <f>DATE(YEAR(RPT_MONTH),MONTH(RPT_MONTH)-10,1)</f>
        <v>45992</v>
      </c>
      <c r="D326" t="s">
        <v>601</v>
      </c>
      <c r="E326" s="193" t="str">
        <f>IFERROR(INDEX(BD_KPIs!$F$2:$F$1300,MATCH(YEAR(DATE(YEAR(RPT_MONTH),MONTH(RPT_MONTH)-10,1))*100+MONTH(DATE(YEAR(RPT_MONTH),MONTH(RPT_MONTH)-10,1))&amp;"|CAMS|YTD",BD_KPIs!$Q$2:$Q$1300,0)),"")</f>
        <v/>
      </c>
      <c r="F326" s="193" t="str">
        <f>IFERROR(INDEX(BD_KPIs!$G$2:$G$1300,MATCH(YEAR(DATE(YEAR(RPT_MONTH),MONTH(RPT_MONTH)-10,1))*100+MONTH(DATE(YEAR(RPT_MONTH),MONTH(RPT_MONTH)-10,1))&amp;"|CAMS|YTD",BD_KPIs!$Q$2:$Q$1300,0)),"")</f>
        <v/>
      </c>
      <c r="G326" s="193" t="str">
        <f>IF(ISNUMBER(E326),IF(F326="","No target",IF(IFERROR(INDEX(BD_KPIs!$I$2:$I$1300,MATCH(YEAR(DATE(YEAR(RPT_MONTH),MONTH(RPT_MONTH)-10,1))*100+MONTH(DATE(YEAR(RPT_MONTH),MONTH(RPT_MONTH)-10,1))&amp;"|CAMS|YTD",BD_KPIs!$Q$2:$Q$1300,0)),"")="Sí","On target","Off target")),"No data")</f>
        <v>No data</v>
      </c>
      <c r="H326" s="193" t="str">
        <f>INDEX(_TARGETS!$D$2:$D$17,MATCH("CAMS",_TARGETS!$A$2:$A$17,0))</f>
        <v>% (fracción)</v>
      </c>
      <c r="I326" s="193" t="str">
        <f>INDEX(_TARGETS!$K$2:$K$17,MATCH("CAMS",_TARGETS!$A$2:$A$17,0))</f>
        <v>OPS (carga manual en Datos)</v>
      </c>
      <c r="J326" s="258">
        <f t="shared" si="6"/>
        <v>46296</v>
      </c>
    </row>
    <row r="327" spans="1:10" ht="13.5" customHeight="1" x14ac:dyDescent="0.3">
      <c r="A327" t="s">
        <v>915</v>
      </c>
      <c r="B327" s="193" t="str">
        <f>YEAR(DATE(YEAR(RPT_MONTH),MONTH(RPT_MONTH)-9,1))&amp;"-"&amp;RIGHT("0"&amp;MONTH(DATE(YEAR(RPT_MONTH),MONTH(RPT_MONTH)-9,1)),2)</f>
        <v>2026-01</v>
      </c>
      <c r="C327" s="258">
        <f>DATE(YEAR(RPT_MONTH),MONTH(RPT_MONTH)-9,1)</f>
        <v>46023</v>
      </c>
      <c r="D327" t="s">
        <v>601</v>
      </c>
      <c r="E327" s="193" t="str">
        <f>IFERROR(INDEX(BD_KPIs!$F$2:$F$1300,MATCH(YEAR(DATE(YEAR(RPT_MONTH),MONTH(RPT_MONTH)-9,1))*100+MONTH(DATE(YEAR(RPT_MONTH),MONTH(RPT_MONTH)-9,1))&amp;"|CAMS|YTD",BD_KPIs!$Q$2:$Q$1300,0)),"")</f>
        <v/>
      </c>
      <c r="F327" s="193" t="str">
        <f>IFERROR(INDEX(BD_KPIs!$G$2:$G$1300,MATCH(YEAR(DATE(YEAR(RPT_MONTH),MONTH(RPT_MONTH)-9,1))*100+MONTH(DATE(YEAR(RPT_MONTH),MONTH(RPT_MONTH)-9,1))&amp;"|CAMS|YTD",BD_KPIs!$Q$2:$Q$1300,0)),"")</f>
        <v/>
      </c>
      <c r="G327" s="193" t="str">
        <f>IF(ISNUMBER(E327),IF(F327="","No target",IF(IFERROR(INDEX(BD_KPIs!$I$2:$I$1300,MATCH(YEAR(DATE(YEAR(RPT_MONTH),MONTH(RPT_MONTH)-9,1))*100+MONTH(DATE(YEAR(RPT_MONTH),MONTH(RPT_MONTH)-9,1))&amp;"|CAMS|YTD",BD_KPIs!$Q$2:$Q$1300,0)),"")="Sí","On target","Off target")),"No data")</f>
        <v>No data</v>
      </c>
      <c r="H327" s="193" t="str">
        <f>INDEX(_TARGETS!$D$2:$D$17,MATCH("CAMS",_TARGETS!$A$2:$A$17,0))</f>
        <v>% (fracción)</v>
      </c>
      <c r="I327" s="193" t="str">
        <f>INDEX(_TARGETS!$K$2:$K$17,MATCH("CAMS",_TARGETS!$A$2:$A$17,0))</f>
        <v>OPS (carga manual en Datos)</v>
      </c>
      <c r="J327" s="258">
        <f t="shared" si="6"/>
        <v>46296</v>
      </c>
    </row>
    <row r="328" spans="1:10" ht="13.5" customHeight="1" x14ac:dyDescent="0.3">
      <c r="A328" t="s">
        <v>915</v>
      </c>
      <c r="B328" s="193" t="str">
        <f>YEAR(DATE(YEAR(RPT_MONTH),MONTH(RPT_MONTH)-8,1))&amp;"-"&amp;RIGHT("0"&amp;MONTH(DATE(YEAR(RPT_MONTH),MONTH(RPT_MONTH)-8,1)),2)</f>
        <v>2026-02</v>
      </c>
      <c r="C328" s="258">
        <f>DATE(YEAR(RPT_MONTH),MONTH(RPT_MONTH)-8,1)</f>
        <v>46054</v>
      </c>
      <c r="D328" t="s">
        <v>601</v>
      </c>
      <c r="E328" s="193" t="str">
        <f>IFERROR(INDEX(BD_KPIs!$F$2:$F$1300,MATCH(YEAR(DATE(YEAR(RPT_MONTH),MONTH(RPT_MONTH)-8,1))*100+MONTH(DATE(YEAR(RPT_MONTH),MONTH(RPT_MONTH)-8,1))&amp;"|CAMS|YTD",BD_KPIs!$Q$2:$Q$1300,0)),"")</f>
        <v/>
      </c>
      <c r="F328" s="193" t="str">
        <f>IFERROR(INDEX(BD_KPIs!$G$2:$G$1300,MATCH(YEAR(DATE(YEAR(RPT_MONTH),MONTH(RPT_MONTH)-8,1))*100+MONTH(DATE(YEAR(RPT_MONTH),MONTH(RPT_MONTH)-8,1))&amp;"|CAMS|YTD",BD_KPIs!$Q$2:$Q$1300,0)),"")</f>
        <v/>
      </c>
      <c r="G328" s="193" t="str">
        <f>IF(ISNUMBER(E328),IF(F328="","No target",IF(IFERROR(INDEX(BD_KPIs!$I$2:$I$1300,MATCH(YEAR(DATE(YEAR(RPT_MONTH),MONTH(RPT_MONTH)-8,1))*100+MONTH(DATE(YEAR(RPT_MONTH),MONTH(RPT_MONTH)-8,1))&amp;"|CAMS|YTD",BD_KPIs!$Q$2:$Q$1300,0)),"")="Sí","On target","Off target")),"No data")</f>
        <v>No data</v>
      </c>
      <c r="H328" s="193" t="str">
        <f>INDEX(_TARGETS!$D$2:$D$17,MATCH("CAMS",_TARGETS!$A$2:$A$17,0))</f>
        <v>% (fracción)</v>
      </c>
      <c r="I328" s="193" t="str">
        <f>INDEX(_TARGETS!$K$2:$K$17,MATCH("CAMS",_TARGETS!$A$2:$A$17,0))</f>
        <v>OPS (carga manual en Datos)</v>
      </c>
      <c r="J328" s="258">
        <f t="shared" si="6"/>
        <v>46296</v>
      </c>
    </row>
    <row r="329" spans="1:10" ht="13.5" customHeight="1" x14ac:dyDescent="0.3">
      <c r="A329" t="s">
        <v>915</v>
      </c>
      <c r="B329" s="193" t="str">
        <f>YEAR(DATE(YEAR(RPT_MONTH),MONTH(RPT_MONTH)-7,1))&amp;"-"&amp;RIGHT("0"&amp;MONTH(DATE(YEAR(RPT_MONTH),MONTH(RPT_MONTH)-7,1)),2)</f>
        <v>2026-03</v>
      </c>
      <c r="C329" s="258">
        <f>DATE(YEAR(RPT_MONTH),MONTH(RPT_MONTH)-7,1)</f>
        <v>46082</v>
      </c>
      <c r="D329" t="s">
        <v>601</v>
      </c>
      <c r="E329" s="193" t="str">
        <f>IFERROR(INDEX(BD_KPIs!$F$2:$F$1300,MATCH(YEAR(DATE(YEAR(RPT_MONTH),MONTH(RPT_MONTH)-7,1))*100+MONTH(DATE(YEAR(RPT_MONTH),MONTH(RPT_MONTH)-7,1))&amp;"|CAMS|YTD",BD_KPIs!$Q$2:$Q$1300,0)),"")</f>
        <v/>
      </c>
      <c r="F329" s="193" t="str">
        <f>IFERROR(INDEX(BD_KPIs!$G$2:$G$1300,MATCH(YEAR(DATE(YEAR(RPT_MONTH),MONTH(RPT_MONTH)-7,1))*100+MONTH(DATE(YEAR(RPT_MONTH),MONTH(RPT_MONTH)-7,1))&amp;"|CAMS|YTD",BD_KPIs!$Q$2:$Q$1300,0)),"")</f>
        <v/>
      </c>
      <c r="G329" s="193" t="str">
        <f>IF(ISNUMBER(E329),IF(F329="","No target",IF(IFERROR(INDEX(BD_KPIs!$I$2:$I$1300,MATCH(YEAR(DATE(YEAR(RPT_MONTH),MONTH(RPT_MONTH)-7,1))*100+MONTH(DATE(YEAR(RPT_MONTH),MONTH(RPT_MONTH)-7,1))&amp;"|CAMS|YTD",BD_KPIs!$Q$2:$Q$1300,0)),"")="Sí","On target","Off target")),"No data")</f>
        <v>No data</v>
      </c>
      <c r="H329" s="193" t="str">
        <f>INDEX(_TARGETS!$D$2:$D$17,MATCH("CAMS",_TARGETS!$A$2:$A$17,0))</f>
        <v>% (fracción)</v>
      </c>
      <c r="I329" s="193" t="str">
        <f>INDEX(_TARGETS!$K$2:$K$17,MATCH("CAMS",_TARGETS!$A$2:$A$17,0))</f>
        <v>OPS (carga manual en Datos)</v>
      </c>
      <c r="J329" s="258">
        <f t="shared" si="6"/>
        <v>46296</v>
      </c>
    </row>
    <row r="330" spans="1:10" ht="13.5" customHeight="1" x14ac:dyDescent="0.3">
      <c r="A330" t="s">
        <v>915</v>
      </c>
      <c r="B330" s="193" t="str">
        <f>YEAR(DATE(YEAR(RPT_MONTH),MONTH(RPT_MONTH)-6,1))&amp;"-"&amp;RIGHT("0"&amp;MONTH(DATE(YEAR(RPT_MONTH),MONTH(RPT_MONTH)-6,1)),2)</f>
        <v>2026-04</v>
      </c>
      <c r="C330" s="258">
        <f>DATE(YEAR(RPT_MONTH),MONTH(RPT_MONTH)-6,1)</f>
        <v>46113</v>
      </c>
      <c r="D330" t="s">
        <v>601</v>
      </c>
      <c r="E330" s="193" t="str">
        <f>IFERROR(INDEX(BD_KPIs!$F$2:$F$1300,MATCH(YEAR(DATE(YEAR(RPT_MONTH),MONTH(RPT_MONTH)-6,1))*100+MONTH(DATE(YEAR(RPT_MONTH),MONTH(RPT_MONTH)-6,1))&amp;"|CAMS|YTD",BD_KPIs!$Q$2:$Q$1300,0)),"")</f>
        <v/>
      </c>
      <c r="F330" s="193" t="str">
        <f>IFERROR(INDEX(BD_KPIs!$G$2:$G$1300,MATCH(YEAR(DATE(YEAR(RPT_MONTH),MONTH(RPT_MONTH)-6,1))*100+MONTH(DATE(YEAR(RPT_MONTH),MONTH(RPT_MONTH)-6,1))&amp;"|CAMS|YTD",BD_KPIs!$Q$2:$Q$1300,0)),"")</f>
        <v/>
      </c>
      <c r="G330" s="193" t="str">
        <f>IF(ISNUMBER(E330),IF(F330="","No target",IF(IFERROR(INDEX(BD_KPIs!$I$2:$I$1300,MATCH(YEAR(DATE(YEAR(RPT_MONTH),MONTH(RPT_MONTH)-6,1))*100+MONTH(DATE(YEAR(RPT_MONTH),MONTH(RPT_MONTH)-6,1))&amp;"|CAMS|YTD",BD_KPIs!$Q$2:$Q$1300,0)),"")="Sí","On target","Off target")),"No data")</f>
        <v>No data</v>
      </c>
      <c r="H330" s="193" t="str">
        <f>INDEX(_TARGETS!$D$2:$D$17,MATCH("CAMS",_TARGETS!$A$2:$A$17,0))</f>
        <v>% (fracción)</v>
      </c>
      <c r="I330" s="193" t="str">
        <f>INDEX(_TARGETS!$K$2:$K$17,MATCH("CAMS",_TARGETS!$A$2:$A$17,0))</f>
        <v>OPS (carga manual en Datos)</v>
      </c>
      <c r="J330" s="258">
        <f t="shared" si="6"/>
        <v>46296</v>
      </c>
    </row>
    <row r="331" spans="1:10" ht="13.5" customHeight="1" x14ac:dyDescent="0.3">
      <c r="A331" t="s">
        <v>915</v>
      </c>
      <c r="B331" s="193" t="str">
        <f>YEAR(DATE(YEAR(RPT_MONTH),MONTH(RPT_MONTH)-5,1))&amp;"-"&amp;RIGHT("0"&amp;MONTH(DATE(YEAR(RPT_MONTH),MONTH(RPT_MONTH)-5,1)),2)</f>
        <v>2026-05</v>
      </c>
      <c r="C331" s="258">
        <f>DATE(YEAR(RPT_MONTH),MONTH(RPT_MONTH)-5,1)</f>
        <v>46143</v>
      </c>
      <c r="D331" t="s">
        <v>601</v>
      </c>
      <c r="E331" s="193" t="str">
        <f>IFERROR(INDEX(BD_KPIs!$F$2:$F$1300,MATCH(YEAR(DATE(YEAR(RPT_MONTH),MONTH(RPT_MONTH)-5,1))*100+MONTH(DATE(YEAR(RPT_MONTH),MONTH(RPT_MONTH)-5,1))&amp;"|CAMS|YTD",BD_KPIs!$Q$2:$Q$1300,0)),"")</f>
        <v/>
      </c>
      <c r="F331" s="193" t="str">
        <f>IFERROR(INDEX(BD_KPIs!$G$2:$G$1300,MATCH(YEAR(DATE(YEAR(RPT_MONTH),MONTH(RPT_MONTH)-5,1))*100+MONTH(DATE(YEAR(RPT_MONTH),MONTH(RPT_MONTH)-5,1))&amp;"|CAMS|YTD",BD_KPIs!$Q$2:$Q$1300,0)),"")</f>
        <v/>
      </c>
      <c r="G331" s="193" t="str">
        <f>IF(ISNUMBER(E331),IF(F331="","No target",IF(IFERROR(INDEX(BD_KPIs!$I$2:$I$1300,MATCH(YEAR(DATE(YEAR(RPT_MONTH),MONTH(RPT_MONTH)-5,1))*100+MONTH(DATE(YEAR(RPT_MONTH),MONTH(RPT_MONTH)-5,1))&amp;"|CAMS|YTD",BD_KPIs!$Q$2:$Q$1300,0)),"")="Sí","On target","Off target")),"No data")</f>
        <v>No data</v>
      </c>
      <c r="H331" s="193" t="str">
        <f>INDEX(_TARGETS!$D$2:$D$17,MATCH("CAMS",_TARGETS!$A$2:$A$17,0))</f>
        <v>% (fracción)</v>
      </c>
      <c r="I331" s="193" t="str">
        <f>INDEX(_TARGETS!$K$2:$K$17,MATCH("CAMS",_TARGETS!$A$2:$A$17,0))</f>
        <v>OPS (carga manual en Datos)</v>
      </c>
      <c r="J331" s="258">
        <f t="shared" si="6"/>
        <v>46296</v>
      </c>
    </row>
    <row r="332" spans="1:10" ht="13.5" customHeight="1" x14ac:dyDescent="0.3">
      <c r="A332" t="s">
        <v>915</v>
      </c>
      <c r="B332" s="193" t="str">
        <f>YEAR(DATE(YEAR(RPT_MONTH),MONTH(RPT_MONTH)-4,1))&amp;"-"&amp;RIGHT("0"&amp;MONTH(DATE(YEAR(RPT_MONTH),MONTH(RPT_MONTH)-4,1)),2)</f>
        <v>2026-06</v>
      </c>
      <c r="C332" s="258">
        <f>DATE(YEAR(RPT_MONTH),MONTH(RPT_MONTH)-4,1)</f>
        <v>46174</v>
      </c>
      <c r="D332" t="s">
        <v>601</v>
      </c>
      <c r="E332" s="193" t="str">
        <f>IFERROR(INDEX(BD_KPIs!$F$2:$F$1300,MATCH(YEAR(DATE(YEAR(RPT_MONTH),MONTH(RPT_MONTH)-4,1))*100+MONTH(DATE(YEAR(RPT_MONTH),MONTH(RPT_MONTH)-4,1))&amp;"|CAMS|YTD",BD_KPIs!$Q$2:$Q$1300,0)),"")</f>
        <v/>
      </c>
      <c r="F332" s="193" t="str">
        <f>IFERROR(INDEX(BD_KPIs!$G$2:$G$1300,MATCH(YEAR(DATE(YEAR(RPT_MONTH),MONTH(RPT_MONTH)-4,1))*100+MONTH(DATE(YEAR(RPT_MONTH),MONTH(RPT_MONTH)-4,1))&amp;"|CAMS|YTD",BD_KPIs!$Q$2:$Q$1300,0)),"")</f>
        <v/>
      </c>
      <c r="G332" s="193" t="str">
        <f>IF(ISNUMBER(E332),IF(F332="","No target",IF(IFERROR(INDEX(BD_KPIs!$I$2:$I$1300,MATCH(YEAR(DATE(YEAR(RPT_MONTH),MONTH(RPT_MONTH)-4,1))*100+MONTH(DATE(YEAR(RPT_MONTH),MONTH(RPT_MONTH)-4,1))&amp;"|CAMS|YTD",BD_KPIs!$Q$2:$Q$1300,0)),"")="Sí","On target","Off target")),"No data")</f>
        <v>No data</v>
      </c>
      <c r="H332" s="193" t="str">
        <f>INDEX(_TARGETS!$D$2:$D$17,MATCH("CAMS",_TARGETS!$A$2:$A$17,0))</f>
        <v>% (fracción)</v>
      </c>
      <c r="I332" s="193" t="str">
        <f>INDEX(_TARGETS!$K$2:$K$17,MATCH("CAMS",_TARGETS!$A$2:$A$17,0))</f>
        <v>OPS (carga manual en Datos)</v>
      </c>
      <c r="J332" s="258">
        <f t="shared" si="6"/>
        <v>46296</v>
      </c>
    </row>
    <row r="333" spans="1:10" ht="13.5" customHeight="1" x14ac:dyDescent="0.3">
      <c r="A333" t="s">
        <v>915</v>
      </c>
      <c r="B333" s="193" t="str">
        <f>YEAR(DATE(YEAR(RPT_MONTH),MONTH(RPT_MONTH)-3,1))&amp;"-"&amp;RIGHT("0"&amp;MONTH(DATE(YEAR(RPT_MONTH),MONTH(RPT_MONTH)-3,1)),2)</f>
        <v>2026-07</v>
      </c>
      <c r="C333" s="258">
        <f>DATE(YEAR(RPT_MONTH),MONTH(RPT_MONTH)-3,1)</f>
        <v>46204</v>
      </c>
      <c r="D333" t="s">
        <v>601</v>
      </c>
      <c r="E333" s="193" t="str">
        <f>IFERROR(INDEX(BD_KPIs!$F$2:$F$1300,MATCH(YEAR(DATE(YEAR(RPT_MONTH),MONTH(RPT_MONTH)-3,1))*100+MONTH(DATE(YEAR(RPT_MONTH),MONTH(RPT_MONTH)-3,1))&amp;"|CAMS|YTD",BD_KPIs!$Q$2:$Q$1300,0)),"")</f>
        <v/>
      </c>
      <c r="F333" s="193" t="str">
        <f>IFERROR(INDEX(BD_KPIs!$G$2:$G$1300,MATCH(YEAR(DATE(YEAR(RPT_MONTH),MONTH(RPT_MONTH)-3,1))*100+MONTH(DATE(YEAR(RPT_MONTH),MONTH(RPT_MONTH)-3,1))&amp;"|CAMS|YTD",BD_KPIs!$Q$2:$Q$1300,0)),"")</f>
        <v/>
      </c>
      <c r="G333" s="193" t="str">
        <f>IF(ISNUMBER(E333),IF(F333="","No target",IF(IFERROR(INDEX(BD_KPIs!$I$2:$I$1300,MATCH(YEAR(DATE(YEAR(RPT_MONTH),MONTH(RPT_MONTH)-3,1))*100+MONTH(DATE(YEAR(RPT_MONTH),MONTH(RPT_MONTH)-3,1))&amp;"|CAMS|YTD",BD_KPIs!$Q$2:$Q$1300,0)),"")="Sí","On target","Off target")),"No data")</f>
        <v>No data</v>
      </c>
      <c r="H333" s="193" t="str">
        <f>INDEX(_TARGETS!$D$2:$D$17,MATCH("CAMS",_TARGETS!$A$2:$A$17,0))</f>
        <v>% (fracción)</v>
      </c>
      <c r="I333" s="193" t="str">
        <f>INDEX(_TARGETS!$K$2:$K$17,MATCH("CAMS",_TARGETS!$A$2:$A$17,0))</f>
        <v>OPS (carga manual en Datos)</v>
      </c>
      <c r="J333" s="258">
        <f t="shared" si="6"/>
        <v>46296</v>
      </c>
    </row>
    <row r="334" spans="1:10" ht="13.5" customHeight="1" x14ac:dyDescent="0.3">
      <c r="A334" t="s">
        <v>915</v>
      </c>
      <c r="B334" s="193" t="str">
        <f>YEAR(DATE(YEAR(RPT_MONTH),MONTH(RPT_MONTH)-2,1))&amp;"-"&amp;RIGHT("0"&amp;MONTH(DATE(YEAR(RPT_MONTH),MONTH(RPT_MONTH)-2,1)),2)</f>
        <v>2026-08</v>
      </c>
      <c r="C334" s="258">
        <f>DATE(YEAR(RPT_MONTH),MONTH(RPT_MONTH)-2,1)</f>
        <v>46235</v>
      </c>
      <c r="D334" t="s">
        <v>601</v>
      </c>
      <c r="E334" s="193" t="str">
        <f>IFERROR(INDEX(BD_KPIs!$F$2:$F$1300,MATCH(YEAR(DATE(YEAR(RPT_MONTH),MONTH(RPT_MONTH)-2,1))*100+MONTH(DATE(YEAR(RPT_MONTH),MONTH(RPT_MONTH)-2,1))&amp;"|CAMS|YTD",BD_KPIs!$Q$2:$Q$1300,0)),"")</f>
        <v/>
      </c>
      <c r="F334" s="193" t="str">
        <f>IFERROR(INDEX(BD_KPIs!$G$2:$G$1300,MATCH(YEAR(DATE(YEAR(RPT_MONTH),MONTH(RPT_MONTH)-2,1))*100+MONTH(DATE(YEAR(RPT_MONTH),MONTH(RPT_MONTH)-2,1))&amp;"|CAMS|YTD",BD_KPIs!$Q$2:$Q$1300,0)),"")</f>
        <v/>
      </c>
      <c r="G334" s="193" t="str">
        <f>IF(ISNUMBER(E334),IF(F334="","No target",IF(IFERROR(INDEX(BD_KPIs!$I$2:$I$1300,MATCH(YEAR(DATE(YEAR(RPT_MONTH),MONTH(RPT_MONTH)-2,1))*100+MONTH(DATE(YEAR(RPT_MONTH),MONTH(RPT_MONTH)-2,1))&amp;"|CAMS|YTD",BD_KPIs!$Q$2:$Q$1300,0)),"")="Sí","On target","Off target")),"No data")</f>
        <v>No data</v>
      </c>
      <c r="H334" s="193" t="str">
        <f>INDEX(_TARGETS!$D$2:$D$17,MATCH("CAMS",_TARGETS!$A$2:$A$17,0))</f>
        <v>% (fracción)</v>
      </c>
      <c r="I334" s="193" t="str">
        <f>INDEX(_TARGETS!$K$2:$K$17,MATCH("CAMS",_TARGETS!$A$2:$A$17,0))</f>
        <v>OPS (carga manual en Datos)</v>
      </c>
      <c r="J334" s="258">
        <f t="shared" si="6"/>
        <v>46296</v>
      </c>
    </row>
    <row r="335" spans="1:10" ht="13.5" customHeight="1" x14ac:dyDescent="0.3">
      <c r="A335" t="s">
        <v>915</v>
      </c>
      <c r="B335" s="193" t="str">
        <f>YEAR(DATE(YEAR(RPT_MONTH),MONTH(RPT_MONTH)-1,1))&amp;"-"&amp;RIGHT("0"&amp;MONTH(DATE(YEAR(RPT_MONTH),MONTH(RPT_MONTH)-1,1)),2)</f>
        <v>2026-09</v>
      </c>
      <c r="C335" s="258">
        <f>DATE(YEAR(RPT_MONTH),MONTH(RPT_MONTH)-1,1)</f>
        <v>46266</v>
      </c>
      <c r="D335" t="s">
        <v>601</v>
      </c>
      <c r="E335" s="193">
        <f>IFERROR(INDEX(BD_KPIs!$F$2:$F$1300,MATCH(YEAR(DATE(YEAR(RPT_MONTH),MONTH(RPT_MONTH)-1,1))*100+MONTH(DATE(YEAR(RPT_MONTH),MONTH(RPT_MONTH)-1,1))&amp;"|CAMS|YTD",BD_KPIs!$Q$2:$Q$1300,0)),"")</f>
        <v>1</v>
      </c>
      <c r="F335" s="254" t="str">
        <f>IFERROR(INDEX(BD_KPIs!$G$2:$G$1300,MATCH(YEAR(DATE(YEAR(RPT_MONTH),MONTH(RPT_MONTH)-1,1))*100+MONTH(DATE(YEAR(RPT_MONTH),MONTH(RPT_MONTH)-1,1))&amp;"|CAMS|YTD",BD_KPIs!$Q$2:$Q$1300,0)),"")</f>
        <v/>
      </c>
      <c r="G335" s="193" t="str">
        <f>IF(ISNUMBER(E335),IF(F335="","No target",IF(IFERROR(INDEX(BD_KPIs!$I$2:$I$1300,MATCH(YEAR(DATE(YEAR(RPT_MONTH),MONTH(RPT_MONTH)-1,1))*100+MONTH(DATE(YEAR(RPT_MONTH),MONTH(RPT_MONTH)-1,1))&amp;"|CAMS|YTD",BD_KPIs!$Q$2:$Q$1300,0)),"")="Sí","On target","Off target")),"No data")</f>
        <v>No target</v>
      </c>
      <c r="H335" s="193" t="str">
        <f>INDEX(_TARGETS!$D$2:$D$17,MATCH("CAMS",_TARGETS!$A$2:$A$17,0))</f>
        <v>% (fracción)</v>
      </c>
      <c r="I335" s="193" t="str">
        <f>INDEX(_TARGETS!$K$2:$K$17,MATCH("CAMS",_TARGETS!$A$2:$A$17,0))</f>
        <v>OPS (carga manual en Datos)</v>
      </c>
      <c r="J335" s="258">
        <f t="shared" si="6"/>
        <v>46296</v>
      </c>
    </row>
    <row r="336" spans="1:10" ht="13.5" customHeight="1" x14ac:dyDescent="0.3">
      <c r="A336" t="s">
        <v>915</v>
      </c>
      <c r="B336" s="193" t="str">
        <f>YEAR(DATE(YEAR(RPT_MONTH),MONTH(RPT_MONTH)-0,1))&amp;"-"&amp;RIGHT("0"&amp;MONTH(DATE(YEAR(RPT_MONTH),MONTH(RPT_MONTH)-0,1)),2)</f>
        <v>2026-10</v>
      </c>
      <c r="C336" s="258">
        <f>DATE(YEAR(RPT_MONTH),MONTH(RPT_MONTH)-0,1)</f>
        <v>46296</v>
      </c>
      <c r="D336" t="s">
        <v>601</v>
      </c>
      <c r="E336" s="193" t="str">
        <f>IFERROR(INDEX(BD_KPIs!$F$2:$F$1300,MATCH(YEAR(DATE(YEAR(RPT_MONTH),MONTH(RPT_MONTH)-0,1))*100+MONTH(DATE(YEAR(RPT_MONTH),MONTH(RPT_MONTH)-0,1))&amp;"|CAMS|YTD",BD_KPIs!$Q$2:$Q$1300,0)),"")</f>
        <v/>
      </c>
      <c r="F336" s="254" t="str">
        <f>IFERROR(INDEX(BD_KPIs!$G$2:$G$1300,MATCH(YEAR(DATE(YEAR(RPT_MONTH),MONTH(RPT_MONTH)-0,1))*100+MONTH(DATE(YEAR(RPT_MONTH),MONTH(RPT_MONTH)-0,1))&amp;"|CAMS|YTD",BD_KPIs!$Q$2:$Q$1300,0)),"")</f>
        <v/>
      </c>
      <c r="G336" s="193" t="str">
        <f>IF(ISNUMBER(E336),IF(F336="","No target",IF(IFERROR(INDEX(BD_KPIs!$I$2:$I$1300,MATCH(YEAR(DATE(YEAR(RPT_MONTH),MONTH(RPT_MONTH)-0,1))*100+MONTH(DATE(YEAR(RPT_MONTH),MONTH(RPT_MONTH)-0,1))&amp;"|CAMS|YTD",BD_KPIs!$Q$2:$Q$1300,0)),"")="Sí","On target","Off target")),"No data")</f>
        <v>No data</v>
      </c>
      <c r="H336" s="193" t="str">
        <f>INDEX(_TARGETS!$D$2:$D$17,MATCH("CAMS",_TARGETS!$A$2:$A$17,0))</f>
        <v>% (fracción)</v>
      </c>
      <c r="I336" s="193" t="str">
        <f>INDEX(_TARGETS!$K$2:$K$17,MATCH("CAMS",_TARGETS!$A$2:$A$17,0))</f>
        <v>OPS (carga manual en Datos)</v>
      </c>
      <c r="J336" s="258">
        <f t="shared" si="6"/>
        <v>46296</v>
      </c>
    </row>
    <row r="337" spans="1:10" ht="13.5" customHeight="1" x14ac:dyDescent="0.3">
      <c r="A337" t="s">
        <v>916</v>
      </c>
      <c r="B337" s="193" t="str">
        <f>YEAR(DATE(YEAR(RPT_MONTH),MONTH(RPT_MONTH)-11,1))&amp;"-"&amp;RIGHT("0"&amp;MONTH(DATE(YEAR(RPT_MONTH),MONTH(RPT_MONTH)-11,1)),2)</f>
        <v>2025-11</v>
      </c>
      <c r="C337" s="258">
        <f>DATE(YEAR(RPT_MONTH),MONTH(RPT_MONTH)-11,1)</f>
        <v>45962</v>
      </c>
      <c r="D337" t="s">
        <v>68</v>
      </c>
      <c r="E337" s="193" t="str">
        <f>IFERROR(INDEX(BD_KPIs!$F$2:$F$1300,MATCH(YEAR(DATE(YEAR(RPT_MONTH),MONTH(RPT_MONTH)-11,1))*100+MONTH(DATE(YEAR(RPT_MONTH),MONTH(RPT_MONTH)-11,1))&amp;"|ICCS|Monthly",BD_KPIs!$Q$2:$Q$1300,0)),"")</f>
        <v/>
      </c>
      <c r="F337" s="193" t="str">
        <f>IFERROR(INDEX(BD_KPIs!$G$2:$G$1300,MATCH(YEAR(DATE(YEAR(RPT_MONTH),MONTH(RPT_MONTH)-11,1))*100+MONTH(DATE(YEAR(RPT_MONTH),MONTH(RPT_MONTH)-11,1))&amp;"|ICCS|Monthly",BD_KPIs!$Q$2:$Q$1300,0)),"")</f>
        <v/>
      </c>
      <c r="G337" s="193" t="str">
        <f>IF(ISNUMBER(E337),IF(F337="","No target",IF(IFERROR(INDEX(BD_KPIs!$I$2:$I$1300,MATCH(YEAR(DATE(YEAR(RPT_MONTH),MONTH(RPT_MONTH)-11,1))*100+MONTH(DATE(YEAR(RPT_MONTH),MONTH(RPT_MONTH)-11,1))&amp;"|ICCS|Monthly",BD_KPIs!$Q$2:$Q$1300,0)),"")="Sí","On target","Off target")),"No data")</f>
        <v>No data</v>
      </c>
      <c r="H337" s="193" t="str">
        <f>INDEX(_TARGETS!$D$2:$D$17,MATCH("ICCS",_TARGETS!$A$2:$A$17,0))</f>
        <v>% (fracción)</v>
      </c>
      <c r="I337" s="193" t="str">
        <f>INDEX(_TARGETS!$K$2:$K$17,MATCH("ICCS",_TARGETS!$A$2:$A$17,0))</f>
        <v>OPS (carga manual en Datos)</v>
      </c>
      <c r="J337" s="258">
        <f t="shared" si="6"/>
        <v>46296</v>
      </c>
    </row>
    <row r="338" spans="1:10" ht="13.5" customHeight="1" x14ac:dyDescent="0.3">
      <c r="A338" t="s">
        <v>916</v>
      </c>
      <c r="B338" s="193" t="str">
        <f>YEAR(DATE(YEAR(RPT_MONTH),MONTH(RPT_MONTH)-10,1))&amp;"-"&amp;RIGHT("0"&amp;MONTH(DATE(YEAR(RPT_MONTH),MONTH(RPT_MONTH)-10,1)),2)</f>
        <v>2025-12</v>
      </c>
      <c r="C338" s="258">
        <f>DATE(YEAR(RPT_MONTH),MONTH(RPT_MONTH)-10,1)</f>
        <v>45992</v>
      </c>
      <c r="D338" t="s">
        <v>68</v>
      </c>
      <c r="E338" s="193" t="str">
        <f>IFERROR(INDEX(BD_KPIs!$F$2:$F$1300,MATCH(YEAR(DATE(YEAR(RPT_MONTH),MONTH(RPT_MONTH)-10,1))*100+MONTH(DATE(YEAR(RPT_MONTH),MONTH(RPT_MONTH)-10,1))&amp;"|ICCS|Monthly",BD_KPIs!$Q$2:$Q$1300,0)),"")</f>
        <v/>
      </c>
      <c r="F338" s="193" t="str">
        <f>IFERROR(INDEX(BD_KPIs!$G$2:$G$1300,MATCH(YEAR(DATE(YEAR(RPT_MONTH),MONTH(RPT_MONTH)-10,1))*100+MONTH(DATE(YEAR(RPT_MONTH),MONTH(RPT_MONTH)-10,1))&amp;"|ICCS|Monthly",BD_KPIs!$Q$2:$Q$1300,0)),"")</f>
        <v/>
      </c>
      <c r="G338" s="193" t="str">
        <f>IF(ISNUMBER(E338),IF(F338="","No target",IF(IFERROR(INDEX(BD_KPIs!$I$2:$I$1300,MATCH(YEAR(DATE(YEAR(RPT_MONTH),MONTH(RPT_MONTH)-10,1))*100+MONTH(DATE(YEAR(RPT_MONTH),MONTH(RPT_MONTH)-10,1))&amp;"|ICCS|Monthly",BD_KPIs!$Q$2:$Q$1300,0)),"")="Sí","On target","Off target")),"No data")</f>
        <v>No data</v>
      </c>
      <c r="H338" s="193" t="str">
        <f>INDEX(_TARGETS!$D$2:$D$17,MATCH("ICCS",_TARGETS!$A$2:$A$17,0))</f>
        <v>% (fracción)</v>
      </c>
      <c r="I338" s="193" t="str">
        <f>INDEX(_TARGETS!$K$2:$K$17,MATCH("ICCS",_TARGETS!$A$2:$A$17,0))</f>
        <v>OPS (carga manual en Datos)</v>
      </c>
      <c r="J338" s="258">
        <f t="shared" si="6"/>
        <v>46296</v>
      </c>
    </row>
    <row r="339" spans="1:10" ht="13.5" customHeight="1" x14ac:dyDescent="0.3">
      <c r="A339" t="s">
        <v>916</v>
      </c>
      <c r="B339" s="193" t="str">
        <f>YEAR(DATE(YEAR(RPT_MONTH),MONTH(RPT_MONTH)-9,1))&amp;"-"&amp;RIGHT("0"&amp;MONTH(DATE(YEAR(RPT_MONTH),MONTH(RPT_MONTH)-9,1)),2)</f>
        <v>2026-01</v>
      </c>
      <c r="C339" s="258">
        <f>DATE(YEAR(RPT_MONTH),MONTH(RPT_MONTH)-9,1)</f>
        <v>46023</v>
      </c>
      <c r="D339" t="s">
        <v>68</v>
      </c>
      <c r="E339" s="193" t="str">
        <f>IFERROR(INDEX(BD_KPIs!$F$2:$F$1300,MATCH(YEAR(DATE(YEAR(RPT_MONTH),MONTH(RPT_MONTH)-9,1))*100+MONTH(DATE(YEAR(RPT_MONTH),MONTH(RPT_MONTH)-9,1))&amp;"|ICCS|Monthly",BD_KPIs!$Q$2:$Q$1300,0)),"")</f>
        <v/>
      </c>
      <c r="F339" s="193" t="str">
        <f>IFERROR(INDEX(BD_KPIs!$G$2:$G$1300,MATCH(YEAR(DATE(YEAR(RPT_MONTH),MONTH(RPT_MONTH)-9,1))*100+MONTH(DATE(YEAR(RPT_MONTH),MONTH(RPT_MONTH)-9,1))&amp;"|ICCS|Monthly",BD_KPIs!$Q$2:$Q$1300,0)),"")</f>
        <v/>
      </c>
      <c r="G339" s="193" t="str">
        <f>IF(ISNUMBER(E339),IF(F339="","No target",IF(IFERROR(INDEX(BD_KPIs!$I$2:$I$1300,MATCH(YEAR(DATE(YEAR(RPT_MONTH),MONTH(RPT_MONTH)-9,1))*100+MONTH(DATE(YEAR(RPT_MONTH),MONTH(RPT_MONTH)-9,1))&amp;"|ICCS|Monthly",BD_KPIs!$Q$2:$Q$1300,0)),"")="Sí","On target","Off target")),"No data")</f>
        <v>No data</v>
      </c>
      <c r="H339" s="193" t="str">
        <f>INDEX(_TARGETS!$D$2:$D$17,MATCH("ICCS",_TARGETS!$A$2:$A$17,0))</f>
        <v>% (fracción)</v>
      </c>
      <c r="I339" s="193" t="str">
        <f>INDEX(_TARGETS!$K$2:$K$17,MATCH("ICCS",_TARGETS!$A$2:$A$17,0))</f>
        <v>OPS (carga manual en Datos)</v>
      </c>
      <c r="J339" s="258">
        <f t="shared" si="6"/>
        <v>46296</v>
      </c>
    </row>
    <row r="340" spans="1:10" ht="13.5" customHeight="1" x14ac:dyDescent="0.3">
      <c r="A340" t="s">
        <v>916</v>
      </c>
      <c r="B340" s="193" t="str">
        <f>YEAR(DATE(YEAR(RPT_MONTH),MONTH(RPT_MONTH)-8,1))&amp;"-"&amp;RIGHT("0"&amp;MONTH(DATE(YEAR(RPT_MONTH),MONTH(RPT_MONTH)-8,1)),2)</f>
        <v>2026-02</v>
      </c>
      <c r="C340" s="258">
        <f>DATE(YEAR(RPT_MONTH),MONTH(RPT_MONTH)-8,1)</f>
        <v>46054</v>
      </c>
      <c r="D340" t="s">
        <v>68</v>
      </c>
      <c r="E340" s="193" t="str">
        <f>IFERROR(INDEX(BD_KPIs!$F$2:$F$1300,MATCH(YEAR(DATE(YEAR(RPT_MONTH),MONTH(RPT_MONTH)-8,1))*100+MONTH(DATE(YEAR(RPT_MONTH),MONTH(RPT_MONTH)-8,1))&amp;"|ICCS|Monthly",BD_KPIs!$Q$2:$Q$1300,0)),"")</f>
        <v/>
      </c>
      <c r="F340" s="193" t="str">
        <f>IFERROR(INDEX(BD_KPIs!$G$2:$G$1300,MATCH(YEAR(DATE(YEAR(RPT_MONTH),MONTH(RPT_MONTH)-8,1))*100+MONTH(DATE(YEAR(RPT_MONTH),MONTH(RPT_MONTH)-8,1))&amp;"|ICCS|Monthly",BD_KPIs!$Q$2:$Q$1300,0)),"")</f>
        <v/>
      </c>
      <c r="G340" s="193" t="str">
        <f>IF(ISNUMBER(E340),IF(F340="","No target",IF(IFERROR(INDEX(BD_KPIs!$I$2:$I$1300,MATCH(YEAR(DATE(YEAR(RPT_MONTH),MONTH(RPT_MONTH)-8,1))*100+MONTH(DATE(YEAR(RPT_MONTH),MONTH(RPT_MONTH)-8,1))&amp;"|ICCS|Monthly",BD_KPIs!$Q$2:$Q$1300,0)),"")="Sí","On target","Off target")),"No data")</f>
        <v>No data</v>
      </c>
      <c r="H340" s="193" t="str">
        <f>INDEX(_TARGETS!$D$2:$D$17,MATCH("ICCS",_TARGETS!$A$2:$A$17,0))</f>
        <v>% (fracción)</v>
      </c>
      <c r="I340" s="193" t="str">
        <f>INDEX(_TARGETS!$K$2:$K$17,MATCH("ICCS",_TARGETS!$A$2:$A$17,0))</f>
        <v>OPS (carga manual en Datos)</v>
      </c>
      <c r="J340" s="258">
        <f t="shared" si="6"/>
        <v>46296</v>
      </c>
    </row>
    <row r="341" spans="1:10" ht="13.5" customHeight="1" x14ac:dyDescent="0.3">
      <c r="A341" t="s">
        <v>916</v>
      </c>
      <c r="B341" s="193" t="str">
        <f>YEAR(DATE(YEAR(RPT_MONTH),MONTH(RPT_MONTH)-7,1))&amp;"-"&amp;RIGHT("0"&amp;MONTH(DATE(YEAR(RPT_MONTH),MONTH(RPT_MONTH)-7,1)),2)</f>
        <v>2026-03</v>
      </c>
      <c r="C341" s="258">
        <f>DATE(YEAR(RPT_MONTH),MONTH(RPT_MONTH)-7,1)</f>
        <v>46082</v>
      </c>
      <c r="D341" t="s">
        <v>68</v>
      </c>
      <c r="E341" s="193" t="str">
        <f>IFERROR(INDEX(BD_KPIs!$F$2:$F$1300,MATCH(YEAR(DATE(YEAR(RPT_MONTH),MONTH(RPT_MONTH)-7,1))*100+MONTH(DATE(YEAR(RPT_MONTH),MONTH(RPT_MONTH)-7,1))&amp;"|ICCS|Monthly",BD_KPIs!$Q$2:$Q$1300,0)),"")</f>
        <v/>
      </c>
      <c r="F341" s="193" t="str">
        <f>IFERROR(INDEX(BD_KPIs!$G$2:$G$1300,MATCH(YEAR(DATE(YEAR(RPT_MONTH),MONTH(RPT_MONTH)-7,1))*100+MONTH(DATE(YEAR(RPT_MONTH),MONTH(RPT_MONTH)-7,1))&amp;"|ICCS|Monthly",BD_KPIs!$Q$2:$Q$1300,0)),"")</f>
        <v/>
      </c>
      <c r="G341" s="193" t="str">
        <f>IF(ISNUMBER(E341),IF(F341="","No target",IF(IFERROR(INDEX(BD_KPIs!$I$2:$I$1300,MATCH(YEAR(DATE(YEAR(RPT_MONTH),MONTH(RPT_MONTH)-7,1))*100+MONTH(DATE(YEAR(RPT_MONTH),MONTH(RPT_MONTH)-7,1))&amp;"|ICCS|Monthly",BD_KPIs!$Q$2:$Q$1300,0)),"")="Sí","On target","Off target")),"No data")</f>
        <v>No data</v>
      </c>
      <c r="H341" s="193" t="str">
        <f>INDEX(_TARGETS!$D$2:$D$17,MATCH("ICCS",_TARGETS!$A$2:$A$17,0))</f>
        <v>% (fracción)</v>
      </c>
      <c r="I341" s="193" t="str">
        <f>INDEX(_TARGETS!$K$2:$K$17,MATCH("ICCS",_TARGETS!$A$2:$A$17,0))</f>
        <v>OPS (carga manual en Datos)</v>
      </c>
      <c r="J341" s="258">
        <f t="shared" si="6"/>
        <v>46296</v>
      </c>
    </row>
    <row r="342" spans="1:10" ht="13.5" customHeight="1" x14ac:dyDescent="0.3">
      <c r="A342" t="s">
        <v>916</v>
      </c>
      <c r="B342" s="193" t="str">
        <f>YEAR(DATE(YEAR(RPT_MONTH),MONTH(RPT_MONTH)-6,1))&amp;"-"&amp;RIGHT("0"&amp;MONTH(DATE(YEAR(RPT_MONTH),MONTH(RPT_MONTH)-6,1)),2)</f>
        <v>2026-04</v>
      </c>
      <c r="C342" s="258">
        <f>DATE(YEAR(RPT_MONTH),MONTH(RPT_MONTH)-6,1)</f>
        <v>46113</v>
      </c>
      <c r="D342" t="s">
        <v>68</v>
      </c>
      <c r="E342" s="193" t="str">
        <f>IFERROR(INDEX(BD_KPIs!$F$2:$F$1300,MATCH(YEAR(DATE(YEAR(RPT_MONTH),MONTH(RPT_MONTH)-6,1))*100+MONTH(DATE(YEAR(RPT_MONTH),MONTH(RPT_MONTH)-6,1))&amp;"|ICCS|Monthly",BD_KPIs!$Q$2:$Q$1300,0)),"")</f>
        <v/>
      </c>
      <c r="F342" s="193" t="str">
        <f>IFERROR(INDEX(BD_KPIs!$G$2:$G$1300,MATCH(YEAR(DATE(YEAR(RPT_MONTH),MONTH(RPT_MONTH)-6,1))*100+MONTH(DATE(YEAR(RPT_MONTH),MONTH(RPT_MONTH)-6,1))&amp;"|ICCS|Monthly",BD_KPIs!$Q$2:$Q$1300,0)),"")</f>
        <v/>
      </c>
      <c r="G342" s="193" t="str">
        <f>IF(ISNUMBER(E342),IF(F342="","No target",IF(IFERROR(INDEX(BD_KPIs!$I$2:$I$1300,MATCH(YEAR(DATE(YEAR(RPT_MONTH),MONTH(RPT_MONTH)-6,1))*100+MONTH(DATE(YEAR(RPT_MONTH),MONTH(RPT_MONTH)-6,1))&amp;"|ICCS|Monthly",BD_KPIs!$Q$2:$Q$1300,0)),"")="Sí","On target","Off target")),"No data")</f>
        <v>No data</v>
      </c>
      <c r="H342" s="193" t="str">
        <f>INDEX(_TARGETS!$D$2:$D$17,MATCH("ICCS",_TARGETS!$A$2:$A$17,0))</f>
        <v>% (fracción)</v>
      </c>
      <c r="I342" s="193" t="str">
        <f>INDEX(_TARGETS!$K$2:$K$17,MATCH("ICCS",_TARGETS!$A$2:$A$17,0))</f>
        <v>OPS (carga manual en Datos)</v>
      </c>
      <c r="J342" s="258">
        <f t="shared" si="6"/>
        <v>46296</v>
      </c>
    </row>
    <row r="343" spans="1:10" ht="13.5" customHeight="1" x14ac:dyDescent="0.3">
      <c r="A343" t="s">
        <v>916</v>
      </c>
      <c r="B343" s="193" t="str">
        <f>YEAR(DATE(YEAR(RPT_MONTH),MONTH(RPT_MONTH)-5,1))&amp;"-"&amp;RIGHT("0"&amp;MONTH(DATE(YEAR(RPT_MONTH),MONTH(RPT_MONTH)-5,1)),2)</f>
        <v>2026-05</v>
      </c>
      <c r="C343" s="258">
        <f>DATE(YEAR(RPT_MONTH),MONTH(RPT_MONTH)-5,1)</f>
        <v>46143</v>
      </c>
      <c r="D343" t="s">
        <v>68</v>
      </c>
      <c r="E343" s="193" t="str">
        <f>IFERROR(INDEX(BD_KPIs!$F$2:$F$1300,MATCH(YEAR(DATE(YEAR(RPT_MONTH),MONTH(RPT_MONTH)-5,1))*100+MONTH(DATE(YEAR(RPT_MONTH),MONTH(RPT_MONTH)-5,1))&amp;"|ICCS|Monthly",BD_KPIs!$Q$2:$Q$1300,0)),"")</f>
        <v/>
      </c>
      <c r="F343" s="193" t="str">
        <f>IFERROR(INDEX(BD_KPIs!$G$2:$G$1300,MATCH(YEAR(DATE(YEAR(RPT_MONTH),MONTH(RPT_MONTH)-5,1))*100+MONTH(DATE(YEAR(RPT_MONTH),MONTH(RPT_MONTH)-5,1))&amp;"|ICCS|Monthly",BD_KPIs!$Q$2:$Q$1300,0)),"")</f>
        <v/>
      </c>
      <c r="G343" s="193" t="str">
        <f>IF(ISNUMBER(E343),IF(F343="","No target",IF(IFERROR(INDEX(BD_KPIs!$I$2:$I$1300,MATCH(YEAR(DATE(YEAR(RPT_MONTH),MONTH(RPT_MONTH)-5,1))*100+MONTH(DATE(YEAR(RPT_MONTH),MONTH(RPT_MONTH)-5,1))&amp;"|ICCS|Monthly",BD_KPIs!$Q$2:$Q$1300,0)),"")="Sí","On target","Off target")),"No data")</f>
        <v>No data</v>
      </c>
      <c r="H343" s="193" t="str">
        <f>INDEX(_TARGETS!$D$2:$D$17,MATCH("ICCS",_TARGETS!$A$2:$A$17,0))</f>
        <v>% (fracción)</v>
      </c>
      <c r="I343" s="193" t="str">
        <f>INDEX(_TARGETS!$K$2:$K$17,MATCH("ICCS",_TARGETS!$A$2:$A$17,0))</f>
        <v>OPS (carga manual en Datos)</v>
      </c>
      <c r="J343" s="258">
        <f t="shared" si="6"/>
        <v>46296</v>
      </c>
    </row>
    <row r="344" spans="1:10" ht="13.5" customHeight="1" x14ac:dyDescent="0.3">
      <c r="A344" t="s">
        <v>916</v>
      </c>
      <c r="B344" s="193" t="str">
        <f>YEAR(DATE(YEAR(RPT_MONTH),MONTH(RPT_MONTH)-4,1))&amp;"-"&amp;RIGHT("0"&amp;MONTH(DATE(YEAR(RPT_MONTH),MONTH(RPT_MONTH)-4,1)),2)</f>
        <v>2026-06</v>
      </c>
      <c r="C344" s="258">
        <f>DATE(YEAR(RPT_MONTH),MONTH(RPT_MONTH)-4,1)</f>
        <v>46174</v>
      </c>
      <c r="D344" t="s">
        <v>68</v>
      </c>
      <c r="E344" s="193" t="str">
        <f>IFERROR(INDEX(BD_KPIs!$F$2:$F$1300,MATCH(YEAR(DATE(YEAR(RPT_MONTH),MONTH(RPT_MONTH)-4,1))*100+MONTH(DATE(YEAR(RPT_MONTH),MONTH(RPT_MONTH)-4,1))&amp;"|ICCS|Monthly",BD_KPIs!$Q$2:$Q$1300,0)),"")</f>
        <v/>
      </c>
      <c r="F344" s="193" t="str">
        <f>IFERROR(INDEX(BD_KPIs!$G$2:$G$1300,MATCH(YEAR(DATE(YEAR(RPT_MONTH),MONTH(RPT_MONTH)-4,1))*100+MONTH(DATE(YEAR(RPT_MONTH),MONTH(RPT_MONTH)-4,1))&amp;"|ICCS|Monthly",BD_KPIs!$Q$2:$Q$1300,0)),"")</f>
        <v/>
      </c>
      <c r="G344" s="193" t="str">
        <f>IF(ISNUMBER(E344),IF(F344="","No target",IF(IFERROR(INDEX(BD_KPIs!$I$2:$I$1300,MATCH(YEAR(DATE(YEAR(RPT_MONTH),MONTH(RPT_MONTH)-4,1))*100+MONTH(DATE(YEAR(RPT_MONTH),MONTH(RPT_MONTH)-4,1))&amp;"|ICCS|Monthly",BD_KPIs!$Q$2:$Q$1300,0)),"")="Sí","On target","Off target")),"No data")</f>
        <v>No data</v>
      </c>
      <c r="H344" s="193" t="str">
        <f>INDEX(_TARGETS!$D$2:$D$17,MATCH("ICCS",_TARGETS!$A$2:$A$17,0))</f>
        <v>% (fracción)</v>
      </c>
      <c r="I344" s="193" t="str">
        <f>INDEX(_TARGETS!$K$2:$K$17,MATCH("ICCS",_TARGETS!$A$2:$A$17,0))</f>
        <v>OPS (carga manual en Datos)</v>
      </c>
      <c r="J344" s="258">
        <f t="shared" si="6"/>
        <v>46296</v>
      </c>
    </row>
    <row r="345" spans="1:10" ht="13.5" customHeight="1" x14ac:dyDescent="0.3">
      <c r="A345" t="s">
        <v>916</v>
      </c>
      <c r="B345" s="193" t="str">
        <f>YEAR(DATE(YEAR(RPT_MONTH),MONTH(RPT_MONTH)-3,1))&amp;"-"&amp;RIGHT("0"&amp;MONTH(DATE(YEAR(RPT_MONTH),MONTH(RPT_MONTH)-3,1)),2)</f>
        <v>2026-07</v>
      </c>
      <c r="C345" s="258">
        <f>DATE(YEAR(RPT_MONTH),MONTH(RPT_MONTH)-3,1)</f>
        <v>46204</v>
      </c>
      <c r="D345" t="s">
        <v>68</v>
      </c>
      <c r="E345" s="193" t="str">
        <f>IFERROR(INDEX(BD_KPIs!$F$2:$F$1300,MATCH(YEAR(DATE(YEAR(RPT_MONTH),MONTH(RPT_MONTH)-3,1))*100+MONTH(DATE(YEAR(RPT_MONTH),MONTH(RPT_MONTH)-3,1))&amp;"|ICCS|Monthly",BD_KPIs!$Q$2:$Q$1300,0)),"")</f>
        <v/>
      </c>
      <c r="F345" s="193" t="str">
        <f>IFERROR(INDEX(BD_KPIs!$G$2:$G$1300,MATCH(YEAR(DATE(YEAR(RPT_MONTH),MONTH(RPT_MONTH)-3,1))*100+MONTH(DATE(YEAR(RPT_MONTH),MONTH(RPT_MONTH)-3,1))&amp;"|ICCS|Monthly",BD_KPIs!$Q$2:$Q$1300,0)),"")</f>
        <v/>
      </c>
      <c r="G345" s="193" t="str">
        <f>IF(ISNUMBER(E345),IF(F345="","No target",IF(IFERROR(INDEX(BD_KPIs!$I$2:$I$1300,MATCH(YEAR(DATE(YEAR(RPT_MONTH),MONTH(RPT_MONTH)-3,1))*100+MONTH(DATE(YEAR(RPT_MONTH),MONTH(RPT_MONTH)-3,1))&amp;"|ICCS|Monthly",BD_KPIs!$Q$2:$Q$1300,0)),"")="Sí","On target","Off target")),"No data")</f>
        <v>No data</v>
      </c>
      <c r="H345" s="193" t="str">
        <f>INDEX(_TARGETS!$D$2:$D$17,MATCH("ICCS",_TARGETS!$A$2:$A$17,0))</f>
        <v>% (fracción)</v>
      </c>
      <c r="I345" s="193" t="str">
        <f>INDEX(_TARGETS!$K$2:$K$17,MATCH("ICCS",_TARGETS!$A$2:$A$17,0))</f>
        <v>OPS (carga manual en Datos)</v>
      </c>
      <c r="J345" s="258">
        <f t="shared" si="6"/>
        <v>46296</v>
      </c>
    </row>
    <row r="346" spans="1:10" ht="13.5" customHeight="1" x14ac:dyDescent="0.3">
      <c r="A346" t="s">
        <v>916</v>
      </c>
      <c r="B346" s="193" t="str">
        <f>YEAR(DATE(YEAR(RPT_MONTH),MONTH(RPT_MONTH)-2,1))&amp;"-"&amp;RIGHT("0"&amp;MONTH(DATE(YEAR(RPT_MONTH),MONTH(RPT_MONTH)-2,1)),2)</f>
        <v>2026-08</v>
      </c>
      <c r="C346" s="258">
        <f>DATE(YEAR(RPT_MONTH),MONTH(RPT_MONTH)-2,1)</f>
        <v>46235</v>
      </c>
      <c r="D346" t="s">
        <v>68</v>
      </c>
      <c r="E346" s="193" t="str">
        <f>IFERROR(INDEX(BD_KPIs!$F$2:$F$1300,MATCH(YEAR(DATE(YEAR(RPT_MONTH),MONTH(RPT_MONTH)-2,1))*100+MONTH(DATE(YEAR(RPT_MONTH),MONTH(RPT_MONTH)-2,1))&amp;"|ICCS|Monthly",BD_KPIs!$Q$2:$Q$1300,0)),"")</f>
        <v/>
      </c>
      <c r="F346" s="193">
        <f>IFERROR(INDEX(BD_KPIs!$G$2:$G$1300,MATCH(YEAR(DATE(YEAR(RPT_MONTH),MONTH(RPT_MONTH)-2,1))*100+MONTH(DATE(YEAR(RPT_MONTH),MONTH(RPT_MONTH)-2,1))&amp;"|ICCS|Monthly",BD_KPIs!$Q$2:$Q$1300,0)),"")</f>
        <v>1</v>
      </c>
      <c r="G346" s="193" t="str">
        <f>IF(ISNUMBER(E346),IF(F346="","No target",IF(IFERROR(INDEX(BD_KPIs!$I$2:$I$1300,MATCH(YEAR(DATE(YEAR(RPT_MONTH),MONTH(RPT_MONTH)-2,1))*100+MONTH(DATE(YEAR(RPT_MONTH),MONTH(RPT_MONTH)-2,1))&amp;"|ICCS|Monthly",BD_KPIs!$Q$2:$Q$1300,0)),"")="Sí","On target","Off target")),"No data")</f>
        <v>No data</v>
      </c>
      <c r="H346" s="193" t="str">
        <f>INDEX(_TARGETS!$D$2:$D$17,MATCH("ICCS",_TARGETS!$A$2:$A$17,0))</f>
        <v>% (fracción)</v>
      </c>
      <c r="I346" s="193" t="str">
        <f>INDEX(_TARGETS!$K$2:$K$17,MATCH("ICCS",_TARGETS!$A$2:$A$17,0))</f>
        <v>OPS (carga manual en Datos)</v>
      </c>
      <c r="J346" s="258">
        <f t="shared" si="6"/>
        <v>46296</v>
      </c>
    </row>
    <row r="347" spans="1:10" ht="13.5" customHeight="1" x14ac:dyDescent="0.3">
      <c r="A347" t="s">
        <v>916</v>
      </c>
      <c r="B347" s="193" t="str">
        <f>YEAR(DATE(YEAR(RPT_MONTH),MONTH(RPT_MONTH)-1,1))&amp;"-"&amp;RIGHT("0"&amp;MONTH(DATE(YEAR(RPT_MONTH),MONTH(RPT_MONTH)-1,1)),2)</f>
        <v>2026-09</v>
      </c>
      <c r="C347" s="258">
        <f>DATE(YEAR(RPT_MONTH),MONTH(RPT_MONTH)-1,1)</f>
        <v>46266</v>
      </c>
      <c r="D347" t="s">
        <v>68</v>
      </c>
      <c r="E347" s="193">
        <f>IFERROR(INDEX(BD_KPIs!$F$2:$F$1300,MATCH(YEAR(DATE(YEAR(RPT_MONTH),MONTH(RPT_MONTH)-1,1))*100+MONTH(DATE(YEAR(RPT_MONTH),MONTH(RPT_MONTH)-1,1))&amp;"|ICCS|Monthly",BD_KPIs!$Q$2:$Q$1300,0)),"")</f>
        <v>1</v>
      </c>
      <c r="F347" s="250">
        <f>IFERROR(INDEX(BD_KPIs!$G$2:$G$1300,MATCH(YEAR(DATE(YEAR(RPT_MONTH),MONTH(RPT_MONTH)-1,1))*100+MONTH(DATE(YEAR(RPT_MONTH),MONTH(RPT_MONTH)-1,1))&amp;"|ICCS|Monthly",BD_KPIs!$Q$2:$Q$1300,0)),"")</f>
        <v>1</v>
      </c>
      <c r="G347" s="193" t="str">
        <f>IF(ISNUMBER(E347),IF(F347="","No target",IF(IFERROR(INDEX(BD_KPIs!$I$2:$I$1300,MATCH(YEAR(DATE(YEAR(RPT_MONTH),MONTH(RPT_MONTH)-1,1))*100+MONTH(DATE(YEAR(RPT_MONTH),MONTH(RPT_MONTH)-1,1))&amp;"|ICCS|Monthly",BD_KPIs!$Q$2:$Q$1300,0)),"")="Sí","On target","Off target")),"No data")</f>
        <v>On target</v>
      </c>
      <c r="H347" s="193" t="str">
        <f>INDEX(_TARGETS!$D$2:$D$17,MATCH("ICCS",_TARGETS!$A$2:$A$17,0))</f>
        <v>% (fracción)</v>
      </c>
      <c r="I347" s="193" t="str">
        <f>INDEX(_TARGETS!$K$2:$K$17,MATCH("ICCS",_TARGETS!$A$2:$A$17,0))</f>
        <v>OPS (carga manual en Datos)</v>
      </c>
      <c r="J347" s="258">
        <f t="shared" si="6"/>
        <v>46296</v>
      </c>
    </row>
    <row r="348" spans="1:10" ht="13.5" customHeight="1" x14ac:dyDescent="0.3">
      <c r="A348" t="s">
        <v>916</v>
      </c>
      <c r="B348" s="193" t="str">
        <f>YEAR(DATE(YEAR(RPT_MONTH),MONTH(RPT_MONTH)-0,1))&amp;"-"&amp;RIGHT("0"&amp;MONTH(DATE(YEAR(RPT_MONTH),MONTH(RPT_MONTH)-0,1)),2)</f>
        <v>2026-10</v>
      </c>
      <c r="C348" s="258">
        <f>DATE(YEAR(RPT_MONTH),MONTH(RPT_MONTH)-0,1)</f>
        <v>46296</v>
      </c>
      <c r="D348" t="s">
        <v>68</v>
      </c>
      <c r="E348" s="193" t="str">
        <f>IFERROR(INDEX(BD_KPIs!$F$2:$F$1300,MATCH(YEAR(DATE(YEAR(RPT_MONTH),MONTH(RPT_MONTH)-0,1))*100+MONTH(DATE(YEAR(RPT_MONTH),MONTH(RPT_MONTH)-0,1))&amp;"|ICCS|Monthly",BD_KPIs!$Q$2:$Q$1300,0)),"")</f>
        <v/>
      </c>
      <c r="F348" s="250">
        <f>IFERROR(INDEX(BD_KPIs!$G$2:$G$1300,MATCH(YEAR(DATE(YEAR(RPT_MONTH),MONTH(RPT_MONTH)-0,1))*100+MONTH(DATE(YEAR(RPT_MONTH),MONTH(RPT_MONTH)-0,1))&amp;"|ICCS|Monthly",BD_KPIs!$Q$2:$Q$1300,0)),"")</f>
        <v>1</v>
      </c>
      <c r="G348" s="193" t="str">
        <f>IF(ISNUMBER(E348),IF(F348="","No target",IF(IFERROR(INDEX(BD_KPIs!$I$2:$I$1300,MATCH(YEAR(DATE(YEAR(RPT_MONTH),MONTH(RPT_MONTH)-0,1))*100+MONTH(DATE(YEAR(RPT_MONTH),MONTH(RPT_MONTH)-0,1))&amp;"|ICCS|Monthly",BD_KPIs!$Q$2:$Q$1300,0)),"")="Sí","On target","Off target")),"No data")</f>
        <v>No data</v>
      </c>
      <c r="H348" s="193" t="str">
        <f>INDEX(_TARGETS!$D$2:$D$17,MATCH("ICCS",_TARGETS!$A$2:$A$17,0))</f>
        <v>% (fracción)</v>
      </c>
      <c r="I348" s="193" t="str">
        <f>INDEX(_TARGETS!$K$2:$K$17,MATCH("ICCS",_TARGETS!$A$2:$A$17,0))</f>
        <v>OPS (carga manual en Datos)</v>
      </c>
      <c r="J348" s="258">
        <f t="shared" si="6"/>
        <v>46296</v>
      </c>
    </row>
    <row r="349" spans="1:10" ht="13.5" customHeight="1" x14ac:dyDescent="0.3">
      <c r="A349" t="s">
        <v>916</v>
      </c>
      <c r="B349" s="193" t="str">
        <f>YEAR(DATE(YEAR(RPT_MONTH),MONTH(RPT_MONTH)-11,1))&amp;"-"&amp;RIGHT("0"&amp;MONTH(DATE(YEAR(RPT_MONTH),MONTH(RPT_MONTH)-11,1)),2)</f>
        <v>2025-11</v>
      </c>
      <c r="C349" s="258">
        <f>DATE(YEAR(RPT_MONTH),MONTH(RPT_MONTH)-11,1)</f>
        <v>45962</v>
      </c>
      <c r="D349" t="s">
        <v>601</v>
      </c>
      <c r="E349" s="193" t="str">
        <f>IFERROR(INDEX(BD_KPIs!$F$2:$F$1300,MATCH(YEAR(DATE(YEAR(RPT_MONTH),MONTH(RPT_MONTH)-11,1))*100+MONTH(DATE(YEAR(RPT_MONTH),MONTH(RPT_MONTH)-11,1))&amp;"|ICCS|YTD",BD_KPIs!$Q$2:$Q$1300,0)),"")</f>
        <v/>
      </c>
      <c r="F349" s="193" t="str">
        <f>IFERROR(INDEX(BD_KPIs!$G$2:$G$1300,MATCH(YEAR(DATE(YEAR(RPT_MONTH),MONTH(RPT_MONTH)-11,1))*100+MONTH(DATE(YEAR(RPT_MONTH),MONTH(RPT_MONTH)-11,1))&amp;"|ICCS|YTD",BD_KPIs!$Q$2:$Q$1300,0)),"")</f>
        <v/>
      </c>
      <c r="G349" s="193" t="str">
        <f>IF(ISNUMBER(E349),IF(F349="","No target",IF(IFERROR(INDEX(BD_KPIs!$I$2:$I$1300,MATCH(YEAR(DATE(YEAR(RPT_MONTH),MONTH(RPT_MONTH)-11,1))*100+MONTH(DATE(YEAR(RPT_MONTH),MONTH(RPT_MONTH)-11,1))&amp;"|ICCS|YTD",BD_KPIs!$Q$2:$Q$1300,0)),"")="Sí","On target","Off target")),"No data")</f>
        <v>No data</v>
      </c>
      <c r="H349" s="193" t="str">
        <f>INDEX(_TARGETS!$D$2:$D$17,MATCH("ICCS",_TARGETS!$A$2:$A$17,0))</f>
        <v>% (fracción)</v>
      </c>
      <c r="I349" s="193" t="str">
        <f>INDEX(_TARGETS!$K$2:$K$17,MATCH("ICCS",_TARGETS!$A$2:$A$17,0))</f>
        <v>OPS (carga manual en Datos)</v>
      </c>
      <c r="J349" s="258">
        <f t="shared" si="6"/>
        <v>46296</v>
      </c>
    </row>
    <row r="350" spans="1:10" ht="13.5" customHeight="1" x14ac:dyDescent="0.3">
      <c r="A350" t="s">
        <v>916</v>
      </c>
      <c r="B350" s="193" t="str">
        <f>YEAR(DATE(YEAR(RPT_MONTH),MONTH(RPT_MONTH)-10,1))&amp;"-"&amp;RIGHT("0"&amp;MONTH(DATE(YEAR(RPT_MONTH),MONTH(RPT_MONTH)-10,1)),2)</f>
        <v>2025-12</v>
      </c>
      <c r="C350" s="258">
        <f>DATE(YEAR(RPT_MONTH),MONTH(RPT_MONTH)-10,1)</f>
        <v>45992</v>
      </c>
      <c r="D350" t="s">
        <v>601</v>
      </c>
      <c r="E350" s="193" t="str">
        <f>IFERROR(INDEX(BD_KPIs!$F$2:$F$1300,MATCH(YEAR(DATE(YEAR(RPT_MONTH),MONTH(RPT_MONTH)-10,1))*100+MONTH(DATE(YEAR(RPT_MONTH),MONTH(RPT_MONTH)-10,1))&amp;"|ICCS|YTD",BD_KPIs!$Q$2:$Q$1300,0)),"")</f>
        <v/>
      </c>
      <c r="F350" s="193" t="str">
        <f>IFERROR(INDEX(BD_KPIs!$G$2:$G$1300,MATCH(YEAR(DATE(YEAR(RPT_MONTH),MONTH(RPT_MONTH)-10,1))*100+MONTH(DATE(YEAR(RPT_MONTH),MONTH(RPT_MONTH)-10,1))&amp;"|ICCS|YTD",BD_KPIs!$Q$2:$Q$1300,0)),"")</f>
        <v/>
      </c>
      <c r="G350" s="193" t="str">
        <f>IF(ISNUMBER(E350),IF(F350="","No target",IF(IFERROR(INDEX(BD_KPIs!$I$2:$I$1300,MATCH(YEAR(DATE(YEAR(RPT_MONTH),MONTH(RPT_MONTH)-10,1))*100+MONTH(DATE(YEAR(RPT_MONTH),MONTH(RPT_MONTH)-10,1))&amp;"|ICCS|YTD",BD_KPIs!$Q$2:$Q$1300,0)),"")="Sí","On target","Off target")),"No data")</f>
        <v>No data</v>
      </c>
      <c r="H350" s="193" t="str">
        <f>INDEX(_TARGETS!$D$2:$D$17,MATCH("ICCS",_TARGETS!$A$2:$A$17,0))</f>
        <v>% (fracción)</v>
      </c>
      <c r="I350" s="193" t="str">
        <f>INDEX(_TARGETS!$K$2:$K$17,MATCH("ICCS",_TARGETS!$A$2:$A$17,0))</f>
        <v>OPS (carga manual en Datos)</v>
      </c>
      <c r="J350" s="258">
        <f t="shared" si="6"/>
        <v>46296</v>
      </c>
    </row>
    <row r="351" spans="1:10" ht="13.5" customHeight="1" x14ac:dyDescent="0.3">
      <c r="A351" t="s">
        <v>916</v>
      </c>
      <c r="B351" s="193" t="str">
        <f>YEAR(DATE(YEAR(RPT_MONTH),MONTH(RPT_MONTH)-9,1))&amp;"-"&amp;RIGHT("0"&amp;MONTH(DATE(YEAR(RPT_MONTH),MONTH(RPT_MONTH)-9,1)),2)</f>
        <v>2026-01</v>
      </c>
      <c r="C351" s="258">
        <f>DATE(YEAR(RPT_MONTH),MONTH(RPT_MONTH)-9,1)</f>
        <v>46023</v>
      </c>
      <c r="D351" t="s">
        <v>601</v>
      </c>
      <c r="E351" s="193" t="str">
        <f>IFERROR(INDEX(BD_KPIs!$F$2:$F$1300,MATCH(YEAR(DATE(YEAR(RPT_MONTH),MONTH(RPT_MONTH)-9,1))*100+MONTH(DATE(YEAR(RPT_MONTH),MONTH(RPT_MONTH)-9,1))&amp;"|ICCS|YTD",BD_KPIs!$Q$2:$Q$1300,0)),"")</f>
        <v/>
      </c>
      <c r="F351" s="193" t="str">
        <f>IFERROR(INDEX(BD_KPIs!$G$2:$G$1300,MATCH(YEAR(DATE(YEAR(RPT_MONTH),MONTH(RPT_MONTH)-9,1))*100+MONTH(DATE(YEAR(RPT_MONTH),MONTH(RPT_MONTH)-9,1))&amp;"|ICCS|YTD",BD_KPIs!$Q$2:$Q$1300,0)),"")</f>
        <v/>
      </c>
      <c r="G351" s="193" t="str">
        <f>IF(ISNUMBER(E351),IF(F351="","No target",IF(IFERROR(INDEX(BD_KPIs!$I$2:$I$1300,MATCH(YEAR(DATE(YEAR(RPT_MONTH),MONTH(RPT_MONTH)-9,1))*100+MONTH(DATE(YEAR(RPT_MONTH),MONTH(RPT_MONTH)-9,1))&amp;"|ICCS|YTD",BD_KPIs!$Q$2:$Q$1300,0)),"")="Sí","On target","Off target")),"No data")</f>
        <v>No data</v>
      </c>
      <c r="H351" s="193" t="str">
        <f>INDEX(_TARGETS!$D$2:$D$17,MATCH("ICCS",_TARGETS!$A$2:$A$17,0))</f>
        <v>% (fracción)</v>
      </c>
      <c r="I351" s="193" t="str">
        <f>INDEX(_TARGETS!$K$2:$K$17,MATCH("ICCS",_TARGETS!$A$2:$A$17,0))</f>
        <v>OPS (carga manual en Datos)</v>
      </c>
      <c r="J351" s="258">
        <f t="shared" si="6"/>
        <v>46296</v>
      </c>
    </row>
    <row r="352" spans="1:10" ht="13.5" customHeight="1" x14ac:dyDescent="0.3">
      <c r="A352" t="s">
        <v>916</v>
      </c>
      <c r="B352" s="193" t="str">
        <f>YEAR(DATE(YEAR(RPT_MONTH),MONTH(RPT_MONTH)-8,1))&amp;"-"&amp;RIGHT("0"&amp;MONTH(DATE(YEAR(RPT_MONTH),MONTH(RPT_MONTH)-8,1)),2)</f>
        <v>2026-02</v>
      </c>
      <c r="C352" s="258">
        <f>DATE(YEAR(RPT_MONTH),MONTH(RPT_MONTH)-8,1)</f>
        <v>46054</v>
      </c>
      <c r="D352" t="s">
        <v>601</v>
      </c>
      <c r="E352" s="193" t="str">
        <f>IFERROR(INDEX(BD_KPIs!$F$2:$F$1300,MATCH(YEAR(DATE(YEAR(RPT_MONTH),MONTH(RPT_MONTH)-8,1))*100+MONTH(DATE(YEAR(RPT_MONTH),MONTH(RPT_MONTH)-8,1))&amp;"|ICCS|YTD",BD_KPIs!$Q$2:$Q$1300,0)),"")</f>
        <v/>
      </c>
      <c r="F352" s="193" t="str">
        <f>IFERROR(INDEX(BD_KPIs!$G$2:$G$1300,MATCH(YEAR(DATE(YEAR(RPT_MONTH),MONTH(RPT_MONTH)-8,1))*100+MONTH(DATE(YEAR(RPT_MONTH),MONTH(RPT_MONTH)-8,1))&amp;"|ICCS|YTD",BD_KPIs!$Q$2:$Q$1300,0)),"")</f>
        <v/>
      </c>
      <c r="G352" s="193" t="str">
        <f>IF(ISNUMBER(E352),IF(F352="","No target",IF(IFERROR(INDEX(BD_KPIs!$I$2:$I$1300,MATCH(YEAR(DATE(YEAR(RPT_MONTH),MONTH(RPT_MONTH)-8,1))*100+MONTH(DATE(YEAR(RPT_MONTH),MONTH(RPT_MONTH)-8,1))&amp;"|ICCS|YTD",BD_KPIs!$Q$2:$Q$1300,0)),"")="Sí","On target","Off target")),"No data")</f>
        <v>No data</v>
      </c>
      <c r="H352" s="193" t="str">
        <f>INDEX(_TARGETS!$D$2:$D$17,MATCH("ICCS",_TARGETS!$A$2:$A$17,0))</f>
        <v>% (fracción)</v>
      </c>
      <c r="I352" s="193" t="str">
        <f>INDEX(_TARGETS!$K$2:$K$17,MATCH("ICCS",_TARGETS!$A$2:$A$17,0))</f>
        <v>OPS (carga manual en Datos)</v>
      </c>
      <c r="J352" s="258">
        <f t="shared" si="6"/>
        <v>46296</v>
      </c>
    </row>
    <row r="353" spans="1:10" ht="13.5" customHeight="1" x14ac:dyDescent="0.3">
      <c r="A353" t="s">
        <v>916</v>
      </c>
      <c r="B353" s="193" t="str">
        <f>YEAR(DATE(YEAR(RPT_MONTH),MONTH(RPT_MONTH)-7,1))&amp;"-"&amp;RIGHT("0"&amp;MONTH(DATE(YEAR(RPT_MONTH),MONTH(RPT_MONTH)-7,1)),2)</f>
        <v>2026-03</v>
      </c>
      <c r="C353" s="258">
        <f>DATE(YEAR(RPT_MONTH),MONTH(RPT_MONTH)-7,1)</f>
        <v>46082</v>
      </c>
      <c r="D353" t="s">
        <v>601</v>
      </c>
      <c r="E353" s="193" t="str">
        <f>IFERROR(INDEX(BD_KPIs!$F$2:$F$1300,MATCH(YEAR(DATE(YEAR(RPT_MONTH),MONTH(RPT_MONTH)-7,1))*100+MONTH(DATE(YEAR(RPT_MONTH),MONTH(RPT_MONTH)-7,1))&amp;"|ICCS|YTD",BD_KPIs!$Q$2:$Q$1300,0)),"")</f>
        <v/>
      </c>
      <c r="F353" s="193" t="str">
        <f>IFERROR(INDEX(BD_KPIs!$G$2:$G$1300,MATCH(YEAR(DATE(YEAR(RPT_MONTH),MONTH(RPT_MONTH)-7,1))*100+MONTH(DATE(YEAR(RPT_MONTH),MONTH(RPT_MONTH)-7,1))&amp;"|ICCS|YTD",BD_KPIs!$Q$2:$Q$1300,0)),"")</f>
        <v/>
      </c>
      <c r="G353" s="193" t="str">
        <f>IF(ISNUMBER(E353),IF(F353="","No target",IF(IFERROR(INDEX(BD_KPIs!$I$2:$I$1300,MATCH(YEAR(DATE(YEAR(RPT_MONTH),MONTH(RPT_MONTH)-7,1))*100+MONTH(DATE(YEAR(RPT_MONTH),MONTH(RPT_MONTH)-7,1))&amp;"|ICCS|YTD",BD_KPIs!$Q$2:$Q$1300,0)),"")="Sí","On target","Off target")),"No data")</f>
        <v>No data</v>
      </c>
      <c r="H353" s="193" t="str">
        <f>INDEX(_TARGETS!$D$2:$D$17,MATCH("ICCS",_TARGETS!$A$2:$A$17,0))</f>
        <v>% (fracción)</v>
      </c>
      <c r="I353" s="193" t="str">
        <f>INDEX(_TARGETS!$K$2:$K$17,MATCH("ICCS",_TARGETS!$A$2:$A$17,0))</f>
        <v>OPS (carga manual en Datos)</v>
      </c>
      <c r="J353" s="258">
        <f t="shared" si="6"/>
        <v>46296</v>
      </c>
    </row>
    <row r="354" spans="1:10" ht="13.5" customHeight="1" x14ac:dyDescent="0.3">
      <c r="A354" t="s">
        <v>916</v>
      </c>
      <c r="B354" s="193" t="str">
        <f>YEAR(DATE(YEAR(RPT_MONTH),MONTH(RPT_MONTH)-6,1))&amp;"-"&amp;RIGHT("0"&amp;MONTH(DATE(YEAR(RPT_MONTH),MONTH(RPT_MONTH)-6,1)),2)</f>
        <v>2026-04</v>
      </c>
      <c r="C354" s="258">
        <f>DATE(YEAR(RPT_MONTH),MONTH(RPT_MONTH)-6,1)</f>
        <v>46113</v>
      </c>
      <c r="D354" t="s">
        <v>601</v>
      </c>
      <c r="E354" s="193" t="str">
        <f>IFERROR(INDEX(BD_KPIs!$F$2:$F$1300,MATCH(YEAR(DATE(YEAR(RPT_MONTH),MONTH(RPT_MONTH)-6,1))*100+MONTH(DATE(YEAR(RPT_MONTH),MONTH(RPT_MONTH)-6,1))&amp;"|ICCS|YTD",BD_KPIs!$Q$2:$Q$1300,0)),"")</f>
        <v/>
      </c>
      <c r="F354" s="193" t="str">
        <f>IFERROR(INDEX(BD_KPIs!$G$2:$G$1300,MATCH(YEAR(DATE(YEAR(RPT_MONTH),MONTH(RPT_MONTH)-6,1))*100+MONTH(DATE(YEAR(RPT_MONTH),MONTH(RPT_MONTH)-6,1))&amp;"|ICCS|YTD",BD_KPIs!$Q$2:$Q$1300,0)),"")</f>
        <v/>
      </c>
      <c r="G354" s="193" t="str">
        <f>IF(ISNUMBER(E354),IF(F354="","No target",IF(IFERROR(INDEX(BD_KPIs!$I$2:$I$1300,MATCH(YEAR(DATE(YEAR(RPT_MONTH),MONTH(RPT_MONTH)-6,1))*100+MONTH(DATE(YEAR(RPT_MONTH),MONTH(RPT_MONTH)-6,1))&amp;"|ICCS|YTD",BD_KPIs!$Q$2:$Q$1300,0)),"")="Sí","On target","Off target")),"No data")</f>
        <v>No data</v>
      </c>
      <c r="H354" s="193" t="str">
        <f>INDEX(_TARGETS!$D$2:$D$17,MATCH("ICCS",_TARGETS!$A$2:$A$17,0))</f>
        <v>% (fracción)</v>
      </c>
      <c r="I354" s="193" t="str">
        <f>INDEX(_TARGETS!$K$2:$K$17,MATCH("ICCS",_TARGETS!$A$2:$A$17,0))</f>
        <v>OPS (carga manual en Datos)</v>
      </c>
      <c r="J354" s="258">
        <f t="shared" si="6"/>
        <v>46296</v>
      </c>
    </row>
    <row r="355" spans="1:10" ht="13.5" customHeight="1" x14ac:dyDescent="0.3">
      <c r="A355" t="s">
        <v>916</v>
      </c>
      <c r="B355" s="193" t="str">
        <f>YEAR(DATE(YEAR(RPT_MONTH),MONTH(RPT_MONTH)-5,1))&amp;"-"&amp;RIGHT("0"&amp;MONTH(DATE(YEAR(RPT_MONTH),MONTH(RPT_MONTH)-5,1)),2)</f>
        <v>2026-05</v>
      </c>
      <c r="C355" s="258">
        <f>DATE(YEAR(RPT_MONTH),MONTH(RPT_MONTH)-5,1)</f>
        <v>46143</v>
      </c>
      <c r="D355" t="s">
        <v>601</v>
      </c>
      <c r="E355" s="193" t="str">
        <f>IFERROR(INDEX(BD_KPIs!$F$2:$F$1300,MATCH(YEAR(DATE(YEAR(RPT_MONTH),MONTH(RPT_MONTH)-5,1))*100+MONTH(DATE(YEAR(RPT_MONTH),MONTH(RPT_MONTH)-5,1))&amp;"|ICCS|YTD",BD_KPIs!$Q$2:$Q$1300,0)),"")</f>
        <v/>
      </c>
      <c r="F355" s="193" t="str">
        <f>IFERROR(INDEX(BD_KPIs!$G$2:$G$1300,MATCH(YEAR(DATE(YEAR(RPT_MONTH),MONTH(RPT_MONTH)-5,1))*100+MONTH(DATE(YEAR(RPT_MONTH),MONTH(RPT_MONTH)-5,1))&amp;"|ICCS|YTD",BD_KPIs!$Q$2:$Q$1300,0)),"")</f>
        <v/>
      </c>
      <c r="G355" s="193" t="str">
        <f>IF(ISNUMBER(E355),IF(F355="","No target",IF(IFERROR(INDEX(BD_KPIs!$I$2:$I$1300,MATCH(YEAR(DATE(YEAR(RPT_MONTH),MONTH(RPT_MONTH)-5,1))*100+MONTH(DATE(YEAR(RPT_MONTH),MONTH(RPT_MONTH)-5,1))&amp;"|ICCS|YTD",BD_KPIs!$Q$2:$Q$1300,0)),"")="Sí","On target","Off target")),"No data")</f>
        <v>No data</v>
      </c>
      <c r="H355" s="193" t="str">
        <f>INDEX(_TARGETS!$D$2:$D$17,MATCH("ICCS",_TARGETS!$A$2:$A$17,0))</f>
        <v>% (fracción)</v>
      </c>
      <c r="I355" s="193" t="str">
        <f>INDEX(_TARGETS!$K$2:$K$17,MATCH("ICCS",_TARGETS!$A$2:$A$17,0))</f>
        <v>OPS (carga manual en Datos)</v>
      </c>
      <c r="J355" s="258">
        <f t="shared" si="6"/>
        <v>46296</v>
      </c>
    </row>
    <row r="356" spans="1:10" ht="13.5" customHeight="1" x14ac:dyDescent="0.3">
      <c r="A356" t="s">
        <v>916</v>
      </c>
      <c r="B356" s="193" t="str">
        <f>YEAR(DATE(YEAR(RPT_MONTH),MONTH(RPT_MONTH)-4,1))&amp;"-"&amp;RIGHT("0"&amp;MONTH(DATE(YEAR(RPT_MONTH),MONTH(RPT_MONTH)-4,1)),2)</f>
        <v>2026-06</v>
      </c>
      <c r="C356" s="258">
        <f>DATE(YEAR(RPT_MONTH),MONTH(RPT_MONTH)-4,1)</f>
        <v>46174</v>
      </c>
      <c r="D356" t="s">
        <v>601</v>
      </c>
      <c r="E356" s="193" t="str">
        <f>IFERROR(INDEX(BD_KPIs!$F$2:$F$1300,MATCH(YEAR(DATE(YEAR(RPT_MONTH),MONTH(RPT_MONTH)-4,1))*100+MONTH(DATE(YEAR(RPT_MONTH),MONTH(RPT_MONTH)-4,1))&amp;"|ICCS|YTD",BD_KPIs!$Q$2:$Q$1300,0)),"")</f>
        <v/>
      </c>
      <c r="F356" s="193" t="str">
        <f>IFERROR(INDEX(BD_KPIs!$G$2:$G$1300,MATCH(YEAR(DATE(YEAR(RPT_MONTH),MONTH(RPT_MONTH)-4,1))*100+MONTH(DATE(YEAR(RPT_MONTH),MONTH(RPT_MONTH)-4,1))&amp;"|ICCS|YTD",BD_KPIs!$Q$2:$Q$1300,0)),"")</f>
        <v/>
      </c>
      <c r="G356" s="193" t="str">
        <f>IF(ISNUMBER(E356),IF(F356="","No target",IF(IFERROR(INDEX(BD_KPIs!$I$2:$I$1300,MATCH(YEAR(DATE(YEAR(RPT_MONTH),MONTH(RPT_MONTH)-4,1))*100+MONTH(DATE(YEAR(RPT_MONTH),MONTH(RPT_MONTH)-4,1))&amp;"|ICCS|YTD",BD_KPIs!$Q$2:$Q$1300,0)),"")="Sí","On target","Off target")),"No data")</f>
        <v>No data</v>
      </c>
      <c r="H356" s="193" t="str">
        <f>INDEX(_TARGETS!$D$2:$D$17,MATCH("ICCS",_TARGETS!$A$2:$A$17,0))</f>
        <v>% (fracción)</v>
      </c>
      <c r="I356" s="193" t="str">
        <f>INDEX(_TARGETS!$K$2:$K$17,MATCH("ICCS",_TARGETS!$A$2:$A$17,0))</f>
        <v>OPS (carga manual en Datos)</v>
      </c>
      <c r="J356" s="258">
        <f t="shared" si="6"/>
        <v>46296</v>
      </c>
    </row>
    <row r="357" spans="1:10" ht="13.5" customHeight="1" x14ac:dyDescent="0.3">
      <c r="A357" t="s">
        <v>916</v>
      </c>
      <c r="B357" s="193" t="str">
        <f>YEAR(DATE(YEAR(RPT_MONTH),MONTH(RPT_MONTH)-3,1))&amp;"-"&amp;RIGHT("0"&amp;MONTH(DATE(YEAR(RPT_MONTH),MONTH(RPT_MONTH)-3,1)),2)</f>
        <v>2026-07</v>
      </c>
      <c r="C357" s="258">
        <f>DATE(YEAR(RPT_MONTH),MONTH(RPT_MONTH)-3,1)</f>
        <v>46204</v>
      </c>
      <c r="D357" t="s">
        <v>601</v>
      </c>
      <c r="E357" s="193" t="str">
        <f>IFERROR(INDEX(BD_KPIs!$F$2:$F$1300,MATCH(YEAR(DATE(YEAR(RPT_MONTH),MONTH(RPT_MONTH)-3,1))*100+MONTH(DATE(YEAR(RPT_MONTH),MONTH(RPT_MONTH)-3,1))&amp;"|ICCS|YTD",BD_KPIs!$Q$2:$Q$1300,0)),"")</f>
        <v/>
      </c>
      <c r="F357" s="193" t="str">
        <f>IFERROR(INDEX(BD_KPIs!$G$2:$G$1300,MATCH(YEAR(DATE(YEAR(RPT_MONTH),MONTH(RPT_MONTH)-3,1))*100+MONTH(DATE(YEAR(RPT_MONTH),MONTH(RPT_MONTH)-3,1))&amp;"|ICCS|YTD",BD_KPIs!$Q$2:$Q$1300,0)),"")</f>
        <v/>
      </c>
      <c r="G357" s="193" t="str">
        <f>IF(ISNUMBER(E357),IF(F357="","No target",IF(IFERROR(INDEX(BD_KPIs!$I$2:$I$1300,MATCH(YEAR(DATE(YEAR(RPT_MONTH),MONTH(RPT_MONTH)-3,1))*100+MONTH(DATE(YEAR(RPT_MONTH),MONTH(RPT_MONTH)-3,1))&amp;"|ICCS|YTD",BD_KPIs!$Q$2:$Q$1300,0)),"")="Sí","On target","Off target")),"No data")</f>
        <v>No data</v>
      </c>
      <c r="H357" s="193" t="str">
        <f>INDEX(_TARGETS!$D$2:$D$17,MATCH("ICCS",_TARGETS!$A$2:$A$17,0))</f>
        <v>% (fracción)</v>
      </c>
      <c r="I357" s="193" t="str">
        <f>INDEX(_TARGETS!$K$2:$K$17,MATCH("ICCS",_TARGETS!$A$2:$A$17,0))</f>
        <v>OPS (carga manual en Datos)</v>
      </c>
      <c r="J357" s="258">
        <f t="shared" si="6"/>
        <v>46296</v>
      </c>
    </row>
    <row r="358" spans="1:10" ht="13.5" customHeight="1" x14ac:dyDescent="0.3">
      <c r="A358" t="s">
        <v>916</v>
      </c>
      <c r="B358" s="193" t="str">
        <f>YEAR(DATE(YEAR(RPT_MONTH),MONTH(RPT_MONTH)-2,1))&amp;"-"&amp;RIGHT("0"&amp;MONTH(DATE(YEAR(RPT_MONTH),MONTH(RPT_MONTH)-2,1)),2)</f>
        <v>2026-08</v>
      </c>
      <c r="C358" s="258">
        <f>DATE(YEAR(RPT_MONTH),MONTH(RPT_MONTH)-2,1)</f>
        <v>46235</v>
      </c>
      <c r="D358" t="s">
        <v>601</v>
      </c>
      <c r="E358" s="193" t="str">
        <f>IFERROR(INDEX(BD_KPIs!$F$2:$F$1300,MATCH(YEAR(DATE(YEAR(RPT_MONTH),MONTH(RPT_MONTH)-2,1))*100+MONTH(DATE(YEAR(RPT_MONTH),MONTH(RPT_MONTH)-2,1))&amp;"|ICCS|YTD",BD_KPIs!$Q$2:$Q$1300,0)),"")</f>
        <v/>
      </c>
      <c r="F358" s="193">
        <f>IFERROR(INDEX(BD_KPIs!$G$2:$G$1300,MATCH(YEAR(DATE(YEAR(RPT_MONTH),MONTH(RPT_MONTH)-2,1))*100+MONTH(DATE(YEAR(RPT_MONTH),MONTH(RPT_MONTH)-2,1))&amp;"|ICCS|YTD",BD_KPIs!$Q$2:$Q$1300,0)),"")</f>
        <v>1</v>
      </c>
      <c r="G358" s="193" t="str">
        <f>IF(ISNUMBER(E358),IF(F358="","No target",IF(IFERROR(INDEX(BD_KPIs!$I$2:$I$1300,MATCH(YEAR(DATE(YEAR(RPT_MONTH),MONTH(RPT_MONTH)-2,1))*100+MONTH(DATE(YEAR(RPT_MONTH),MONTH(RPT_MONTH)-2,1))&amp;"|ICCS|YTD",BD_KPIs!$Q$2:$Q$1300,0)),"")="Sí","On target","Off target")),"No data")</f>
        <v>No data</v>
      </c>
      <c r="H358" s="193" t="str">
        <f>INDEX(_TARGETS!$D$2:$D$17,MATCH("ICCS",_TARGETS!$A$2:$A$17,0))</f>
        <v>% (fracción)</v>
      </c>
      <c r="I358" s="193" t="str">
        <f>INDEX(_TARGETS!$K$2:$K$17,MATCH("ICCS",_TARGETS!$A$2:$A$17,0))</f>
        <v>OPS (carga manual en Datos)</v>
      </c>
      <c r="J358" s="258">
        <f t="shared" si="6"/>
        <v>46296</v>
      </c>
    </row>
    <row r="359" spans="1:10" ht="13.5" customHeight="1" x14ac:dyDescent="0.3">
      <c r="A359" t="s">
        <v>916</v>
      </c>
      <c r="B359" s="193" t="str">
        <f>YEAR(DATE(YEAR(RPT_MONTH),MONTH(RPT_MONTH)-1,1))&amp;"-"&amp;RIGHT("0"&amp;MONTH(DATE(YEAR(RPT_MONTH),MONTH(RPT_MONTH)-1,1)),2)</f>
        <v>2026-09</v>
      </c>
      <c r="C359" s="258">
        <f>DATE(YEAR(RPT_MONTH),MONTH(RPT_MONTH)-1,1)</f>
        <v>46266</v>
      </c>
      <c r="D359" t="s">
        <v>601</v>
      </c>
      <c r="E359" s="193">
        <f>IFERROR(INDEX(BD_KPIs!$F$2:$F$1300,MATCH(YEAR(DATE(YEAR(RPT_MONTH),MONTH(RPT_MONTH)-1,1))*100+MONTH(DATE(YEAR(RPT_MONTH),MONTH(RPT_MONTH)-1,1))&amp;"|ICCS|YTD",BD_KPIs!$Q$2:$Q$1300,0)),"")</f>
        <v>1</v>
      </c>
      <c r="F359" s="254">
        <f>IFERROR(INDEX(BD_KPIs!$G$2:$G$1300,MATCH(YEAR(DATE(YEAR(RPT_MONTH),MONTH(RPT_MONTH)-1,1))*100+MONTH(DATE(YEAR(RPT_MONTH),MONTH(RPT_MONTH)-1,1))&amp;"|ICCS|YTD",BD_KPIs!$Q$2:$Q$1300,0)),"")</f>
        <v>1</v>
      </c>
      <c r="G359" s="193" t="str">
        <f>IF(ISNUMBER(E359),IF(F359="","No target",IF(IFERROR(INDEX(BD_KPIs!$I$2:$I$1300,MATCH(YEAR(DATE(YEAR(RPT_MONTH),MONTH(RPT_MONTH)-1,1))*100+MONTH(DATE(YEAR(RPT_MONTH),MONTH(RPT_MONTH)-1,1))&amp;"|ICCS|YTD",BD_KPIs!$Q$2:$Q$1300,0)),"")="Sí","On target","Off target")),"No data")</f>
        <v>On target</v>
      </c>
      <c r="H359" s="193" t="str">
        <f>INDEX(_TARGETS!$D$2:$D$17,MATCH("ICCS",_TARGETS!$A$2:$A$17,0))</f>
        <v>% (fracción)</v>
      </c>
      <c r="I359" s="193" t="str">
        <f>INDEX(_TARGETS!$K$2:$K$17,MATCH("ICCS",_TARGETS!$A$2:$A$17,0))</f>
        <v>OPS (carga manual en Datos)</v>
      </c>
      <c r="J359" s="258">
        <f t="shared" si="6"/>
        <v>46296</v>
      </c>
    </row>
    <row r="360" spans="1:10" ht="13.5" customHeight="1" x14ac:dyDescent="0.3">
      <c r="A360" t="s">
        <v>916</v>
      </c>
      <c r="B360" s="193" t="str">
        <f>YEAR(DATE(YEAR(RPT_MONTH),MONTH(RPT_MONTH)-0,1))&amp;"-"&amp;RIGHT("0"&amp;MONTH(DATE(YEAR(RPT_MONTH),MONTH(RPT_MONTH)-0,1)),2)</f>
        <v>2026-10</v>
      </c>
      <c r="C360" s="258">
        <f>DATE(YEAR(RPT_MONTH),MONTH(RPT_MONTH)-0,1)</f>
        <v>46296</v>
      </c>
      <c r="D360" t="s">
        <v>601</v>
      </c>
      <c r="E360" s="193" t="str">
        <f>IFERROR(INDEX(BD_KPIs!$F$2:$F$1300,MATCH(YEAR(DATE(YEAR(RPT_MONTH),MONTH(RPT_MONTH)-0,1))*100+MONTH(DATE(YEAR(RPT_MONTH),MONTH(RPT_MONTH)-0,1))&amp;"|ICCS|YTD",BD_KPIs!$Q$2:$Q$1300,0)),"")</f>
        <v/>
      </c>
      <c r="F360" s="254">
        <f>IFERROR(INDEX(BD_KPIs!$G$2:$G$1300,MATCH(YEAR(DATE(YEAR(RPT_MONTH),MONTH(RPT_MONTH)-0,1))*100+MONTH(DATE(YEAR(RPT_MONTH),MONTH(RPT_MONTH)-0,1))&amp;"|ICCS|YTD",BD_KPIs!$Q$2:$Q$1300,0)),"")</f>
        <v>1</v>
      </c>
      <c r="G360" s="193" t="str">
        <f>IF(ISNUMBER(E360),IF(F360="","No target",IF(IFERROR(INDEX(BD_KPIs!$I$2:$I$1300,MATCH(YEAR(DATE(YEAR(RPT_MONTH),MONTH(RPT_MONTH)-0,1))*100+MONTH(DATE(YEAR(RPT_MONTH),MONTH(RPT_MONTH)-0,1))&amp;"|ICCS|YTD",BD_KPIs!$Q$2:$Q$1300,0)),"")="Sí","On target","Off target")),"No data")</f>
        <v>No data</v>
      </c>
      <c r="H360" s="193" t="str">
        <f>INDEX(_TARGETS!$D$2:$D$17,MATCH("ICCS",_TARGETS!$A$2:$A$17,0))</f>
        <v>% (fracción)</v>
      </c>
      <c r="I360" s="193" t="str">
        <f>INDEX(_TARGETS!$K$2:$K$17,MATCH("ICCS",_TARGETS!$A$2:$A$17,0))</f>
        <v>OPS (carga manual en Datos)</v>
      </c>
      <c r="J360" s="258">
        <f t="shared" si="6"/>
        <v>46296</v>
      </c>
    </row>
    <row r="361" spans="1:10" ht="13.5" customHeight="1" x14ac:dyDescent="0.3">
      <c r="A361" t="s">
        <v>917</v>
      </c>
      <c r="B361" s="193" t="str">
        <f>YEAR(DATE(YEAR(RPT_MONTH),MONTH(RPT_MONTH)-11,1))&amp;"-"&amp;RIGHT("0"&amp;MONTH(DATE(YEAR(RPT_MONTH),MONTH(RPT_MONTH)-11,1)),2)</f>
        <v>2025-11</v>
      </c>
      <c r="C361" s="258">
        <f>DATE(YEAR(RPT_MONTH),MONTH(RPT_MONTH)-11,1)</f>
        <v>45962</v>
      </c>
      <c r="D361" t="s">
        <v>68</v>
      </c>
      <c r="E361" s="193" t="str">
        <f>IFERROR(INDEX(BD_KPIs!$F$2:$F$1300,MATCH(YEAR(DATE(YEAR(RPT_MONTH),MONTH(RPT_MONTH)-11,1))*100+MONTH(DATE(YEAR(RPT_MONTH),MONTH(RPT_MONTH)-11,1))&amp;"|CCS|Monthly",BD_KPIs!$Q$2:$Q$1300,0)),"")</f>
        <v/>
      </c>
      <c r="F361" s="193" t="str">
        <f>IFERROR(INDEX(BD_KPIs!$G$2:$G$1300,MATCH(YEAR(DATE(YEAR(RPT_MONTH),MONTH(RPT_MONTH)-11,1))*100+MONTH(DATE(YEAR(RPT_MONTH),MONTH(RPT_MONTH)-11,1))&amp;"|CCS|Monthly",BD_KPIs!$Q$2:$Q$1300,0)),"")</f>
        <v/>
      </c>
      <c r="G361" s="193" t="str">
        <f>IF(ISNUMBER(E361),IF(F361="","No target",IF(IFERROR(INDEX(BD_KPIs!$I$2:$I$1300,MATCH(YEAR(DATE(YEAR(RPT_MONTH),MONTH(RPT_MONTH)-11,1))*100+MONTH(DATE(YEAR(RPT_MONTH),MONTH(RPT_MONTH)-11,1))&amp;"|CCS|Monthly",BD_KPIs!$Q$2:$Q$1300,0)),"")="Sí","On target","Off target")),"No data")</f>
        <v>No data</v>
      </c>
      <c r="H361" s="193" t="str">
        <f>INDEX(_TARGETS!$D$2:$D$17,MATCH("CCS",_TARGETS!$A$2:$A$17,0))</f>
        <v>% (fracción)</v>
      </c>
      <c r="I361" s="193" t="str">
        <f>INDEX(_TARGETS!$K$2:$K$17,MATCH("CCS",_TARGETS!$A$2:$A$17,0))</f>
        <v>OPS (carga manual en Datos)</v>
      </c>
      <c r="J361" s="258">
        <f t="shared" si="6"/>
        <v>46296</v>
      </c>
    </row>
    <row r="362" spans="1:10" ht="13.5" customHeight="1" x14ac:dyDescent="0.3">
      <c r="A362" t="s">
        <v>917</v>
      </c>
      <c r="B362" s="193" t="str">
        <f>YEAR(DATE(YEAR(RPT_MONTH),MONTH(RPT_MONTH)-10,1))&amp;"-"&amp;RIGHT("0"&amp;MONTH(DATE(YEAR(RPT_MONTH),MONTH(RPT_MONTH)-10,1)),2)</f>
        <v>2025-12</v>
      </c>
      <c r="C362" s="258">
        <f>DATE(YEAR(RPT_MONTH),MONTH(RPT_MONTH)-10,1)</f>
        <v>45992</v>
      </c>
      <c r="D362" t="s">
        <v>68</v>
      </c>
      <c r="E362" s="193" t="str">
        <f>IFERROR(INDEX(BD_KPIs!$F$2:$F$1300,MATCH(YEAR(DATE(YEAR(RPT_MONTH),MONTH(RPT_MONTH)-10,1))*100+MONTH(DATE(YEAR(RPT_MONTH),MONTH(RPT_MONTH)-10,1))&amp;"|CCS|Monthly",BD_KPIs!$Q$2:$Q$1300,0)),"")</f>
        <v/>
      </c>
      <c r="F362" s="193" t="str">
        <f>IFERROR(INDEX(BD_KPIs!$G$2:$G$1300,MATCH(YEAR(DATE(YEAR(RPT_MONTH),MONTH(RPT_MONTH)-10,1))*100+MONTH(DATE(YEAR(RPT_MONTH),MONTH(RPT_MONTH)-10,1))&amp;"|CCS|Monthly",BD_KPIs!$Q$2:$Q$1300,0)),"")</f>
        <v/>
      </c>
      <c r="G362" s="193" t="str">
        <f>IF(ISNUMBER(E362),IF(F362="","No target",IF(IFERROR(INDEX(BD_KPIs!$I$2:$I$1300,MATCH(YEAR(DATE(YEAR(RPT_MONTH),MONTH(RPT_MONTH)-10,1))*100+MONTH(DATE(YEAR(RPT_MONTH),MONTH(RPT_MONTH)-10,1))&amp;"|CCS|Monthly",BD_KPIs!$Q$2:$Q$1300,0)),"")="Sí","On target","Off target")),"No data")</f>
        <v>No data</v>
      </c>
      <c r="H362" s="193" t="str">
        <f>INDEX(_TARGETS!$D$2:$D$17,MATCH("CCS",_TARGETS!$A$2:$A$17,0))</f>
        <v>% (fracción)</v>
      </c>
      <c r="I362" s="193" t="str">
        <f>INDEX(_TARGETS!$K$2:$K$17,MATCH("CCS",_TARGETS!$A$2:$A$17,0))</f>
        <v>OPS (carga manual en Datos)</v>
      </c>
      <c r="J362" s="258">
        <f t="shared" si="6"/>
        <v>46296</v>
      </c>
    </row>
    <row r="363" spans="1:10" ht="13.5" customHeight="1" x14ac:dyDescent="0.3">
      <c r="A363" t="s">
        <v>917</v>
      </c>
      <c r="B363" s="193" t="str">
        <f>YEAR(DATE(YEAR(RPT_MONTH),MONTH(RPT_MONTH)-9,1))&amp;"-"&amp;RIGHT("0"&amp;MONTH(DATE(YEAR(RPT_MONTH),MONTH(RPT_MONTH)-9,1)),2)</f>
        <v>2026-01</v>
      </c>
      <c r="C363" s="258">
        <f>DATE(YEAR(RPT_MONTH),MONTH(RPT_MONTH)-9,1)</f>
        <v>46023</v>
      </c>
      <c r="D363" t="s">
        <v>68</v>
      </c>
      <c r="E363" s="193" t="str">
        <f>IFERROR(INDEX(BD_KPIs!$F$2:$F$1300,MATCH(YEAR(DATE(YEAR(RPT_MONTH),MONTH(RPT_MONTH)-9,1))*100+MONTH(DATE(YEAR(RPT_MONTH),MONTH(RPT_MONTH)-9,1))&amp;"|CCS|Monthly",BD_KPIs!$Q$2:$Q$1300,0)),"")</f>
        <v/>
      </c>
      <c r="F363" s="193" t="str">
        <f>IFERROR(INDEX(BD_KPIs!$G$2:$G$1300,MATCH(YEAR(DATE(YEAR(RPT_MONTH),MONTH(RPT_MONTH)-9,1))*100+MONTH(DATE(YEAR(RPT_MONTH),MONTH(RPT_MONTH)-9,1))&amp;"|CCS|Monthly",BD_KPIs!$Q$2:$Q$1300,0)),"")</f>
        <v/>
      </c>
      <c r="G363" s="193" t="str">
        <f>IF(ISNUMBER(E363),IF(F363="","No target",IF(IFERROR(INDEX(BD_KPIs!$I$2:$I$1300,MATCH(YEAR(DATE(YEAR(RPT_MONTH),MONTH(RPT_MONTH)-9,1))*100+MONTH(DATE(YEAR(RPT_MONTH),MONTH(RPT_MONTH)-9,1))&amp;"|CCS|Monthly",BD_KPIs!$Q$2:$Q$1300,0)),"")="Sí","On target","Off target")),"No data")</f>
        <v>No data</v>
      </c>
      <c r="H363" s="193" t="str">
        <f>INDEX(_TARGETS!$D$2:$D$17,MATCH("CCS",_TARGETS!$A$2:$A$17,0))</f>
        <v>% (fracción)</v>
      </c>
      <c r="I363" s="193" t="str">
        <f>INDEX(_TARGETS!$K$2:$K$17,MATCH("CCS",_TARGETS!$A$2:$A$17,0))</f>
        <v>OPS (carga manual en Datos)</v>
      </c>
      <c r="J363" s="258">
        <f t="shared" si="6"/>
        <v>46296</v>
      </c>
    </row>
    <row r="364" spans="1:10" ht="13.5" customHeight="1" x14ac:dyDescent="0.3">
      <c r="A364" t="s">
        <v>917</v>
      </c>
      <c r="B364" s="193" t="str">
        <f>YEAR(DATE(YEAR(RPT_MONTH),MONTH(RPT_MONTH)-8,1))&amp;"-"&amp;RIGHT("0"&amp;MONTH(DATE(YEAR(RPT_MONTH),MONTH(RPT_MONTH)-8,1)),2)</f>
        <v>2026-02</v>
      </c>
      <c r="C364" s="258">
        <f>DATE(YEAR(RPT_MONTH),MONTH(RPT_MONTH)-8,1)</f>
        <v>46054</v>
      </c>
      <c r="D364" t="s">
        <v>68</v>
      </c>
      <c r="E364" s="193" t="str">
        <f>IFERROR(INDEX(BD_KPIs!$F$2:$F$1300,MATCH(YEAR(DATE(YEAR(RPT_MONTH),MONTH(RPT_MONTH)-8,1))*100+MONTH(DATE(YEAR(RPT_MONTH),MONTH(RPT_MONTH)-8,1))&amp;"|CCS|Monthly",BD_KPIs!$Q$2:$Q$1300,0)),"")</f>
        <v/>
      </c>
      <c r="F364" s="193" t="str">
        <f>IFERROR(INDEX(BD_KPIs!$G$2:$G$1300,MATCH(YEAR(DATE(YEAR(RPT_MONTH),MONTH(RPT_MONTH)-8,1))*100+MONTH(DATE(YEAR(RPT_MONTH),MONTH(RPT_MONTH)-8,1))&amp;"|CCS|Monthly",BD_KPIs!$Q$2:$Q$1300,0)),"")</f>
        <v/>
      </c>
      <c r="G364" s="193" t="str">
        <f>IF(ISNUMBER(E364),IF(F364="","No target",IF(IFERROR(INDEX(BD_KPIs!$I$2:$I$1300,MATCH(YEAR(DATE(YEAR(RPT_MONTH),MONTH(RPT_MONTH)-8,1))*100+MONTH(DATE(YEAR(RPT_MONTH),MONTH(RPT_MONTH)-8,1))&amp;"|CCS|Monthly",BD_KPIs!$Q$2:$Q$1300,0)),"")="Sí","On target","Off target")),"No data")</f>
        <v>No data</v>
      </c>
      <c r="H364" s="193" t="str">
        <f>INDEX(_TARGETS!$D$2:$D$17,MATCH("CCS",_TARGETS!$A$2:$A$17,0))</f>
        <v>% (fracción)</v>
      </c>
      <c r="I364" s="193" t="str">
        <f>INDEX(_TARGETS!$K$2:$K$17,MATCH("CCS",_TARGETS!$A$2:$A$17,0))</f>
        <v>OPS (carga manual en Datos)</v>
      </c>
      <c r="J364" s="258">
        <f t="shared" si="6"/>
        <v>46296</v>
      </c>
    </row>
    <row r="365" spans="1:10" ht="13.5" customHeight="1" x14ac:dyDescent="0.3">
      <c r="A365" t="s">
        <v>917</v>
      </c>
      <c r="B365" s="193" t="str">
        <f>YEAR(DATE(YEAR(RPT_MONTH),MONTH(RPT_MONTH)-7,1))&amp;"-"&amp;RIGHT("0"&amp;MONTH(DATE(YEAR(RPT_MONTH),MONTH(RPT_MONTH)-7,1)),2)</f>
        <v>2026-03</v>
      </c>
      <c r="C365" s="258">
        <f>DATE(YEAR(RPT_MONTH),MONTH(RPT_MONTH)-7,1)</f>
        <v>46082</v>
      </c>
      <c r="D365" t="s">
        <v>68</v>
      </c>
      <c r="E365" s="193" t="str">
        <f>IFERROR(INDEX(BD_KPIs!$F$2:$F$1300,MATCH(YEAR(DATE(YEAR(RPT_MONTH),MONTH(RPT_MONTH)-7,1))*100+MONTH(DATE(YEAR(RPT_MONTH),MONTH(RPT_MONTH)-7,1))&amp;"|CCS|Monthly",BD_KPIs!$Q$2:$Q$1300,0)),"")</f>
        <v/>
      </c>
      <c r="F365" s="193" t="str">
        <f>IFERROR(INDEX(BD_KPIs!$G$2:$G$1300,MATCH(YEAR(DATE(YEAR(RPT_MONTH),MONTH(RPT_MONTH)-7,1))*100+MONTH(DATE(YEAR(RPT_MONTH),MONTH(RPT_MONTH)-7,1))&amp;"|CCS|Monthly",BD_KPIs!$Q$2:$Q$1300,0)),"")</f>
        <v/>
      </c>
      <c r="G365" s="193" t="str">
        <f>IF(ISNUMBER(E365),IF(F365="","No target",IF(IFERROR(INDEX(BD_KPIs!$I$2:$I$1300,MATCH(YEAR(DATE(YEAR(RPT_MONTH),MONTH(RPT_MONTH)-7,1))*100+MONTH(DATE(YEAR(RPT_MONTH),MONTH(RPT_MONTH)-7,1))&amp;"|CCS|Monthly",BD_KPIs!$Q$2:$Q$1300,0)),"")="Sí","On target","Off target")),"No data")</f>
        <v>No data</v>
      </c>
      <c r="H365" s="193" t="str">
        <f>INDEX(_TARGETS!$D$2:$D$17,MATCH("CCS",_TARGETS!$A$2:$A$17,0))</f>
        <v>% (fracción)</v>
      </c>
      <c r="I365" s="193" t="str">
        <f>INDEX(_TARGETS!$K$2:$K$17,MATCH("CCS",_TARGETS!$A$2:$A$17,0))</f>
        <v>OPS (carga manual en Datos)</v>
      </c>
      <c r="J365" s="258">
        <f t="shared" si="6"/>
        <v>46296</v>
      </c>
    </row>
    <row r="366" spans="1:10" ht="13.5" customHeight="1" x14ac:dyDescent="0.3">
      <c r="A366" t="s">
        <v>917</v>
      </c>
      <c r="B366" s="193" t="str">
        <f>YEAR(DATE(YEAR(RPT_MONTH),MONTH(RPT_MONTH)-6,1))&amp;"-"&amp;RIGHT("0"&amp;MONTH(DATE(YEAR(RPT_MONTH),MONTH(RPT_MONTH)-6,1)),2)</f>
        <v>2026-04</v>
      </c>
      <c r="C366" s="258">
        <f>DATE(YEAR(RPT_MONTH),MONTH(RPT_MONTH)-6,1)</f>
        <v>46113</v>
      </c>
      <c r="D366" t="s">
        <v>68</v>
      </c>
      <c r="E366" s="193" t="str">
        <f>IFERROR(INDEX(BD_KPIs!$F$2:$F$1300,MATCH(YEAR(DATE(YEAR(RPT_MONTH),MONTH(RPT_MONTH)-6,1))*100+MONTH(DATE(YEAR(RPT_MONTH),MONTH(RPT_MONTH)-6,1))&amp;"|CCS|Monthly",BD_KPIs!$Q$2:$Q$1300,0)),"")</f>
        <v/>
      </c>
      <c r="F366" s="193" t="str">
        <f>IFERROR(INDEX(BD_KPIs!$G$2:$G$1300,MATCH(YEAR(DATE(YEAR(RPT_MONTH),MONTH(RPT_MONTH)-6,1))*100+MONTH(DATE(YEAR(RPT_MONTH),MONTH(RPT_MONTH)-6,1))&amp;"|CCS|Monthly",BD_KPIs!$Q$2:$Q$1300,0)),"")</f>
        <v/>
      </c>
      <c r="G366" s="193" t="str">
        <f>IF(ISNUMBER(E366),IF(F366="","No target",IF(IFERROR(INDEX(BD_KPIs!$I$2:$I$1300,MATCH(YEAR(DATE(YEAR(RPT_MONTH),MONTH(RPT_MONTH)-6,1))*100+MONTH(DATE(YEAR(RPT_MONTH),MONTH(RPT_MONTH)-6,1))&amp;"|CCS|Monthly",BD_KPIs!$Q$2:$Q$1300,0)),"")="Sí","On target","Off target")),"No data")</f>
        <v>No data</v>
      </c>
      <c r="H366" s="193" t="str">
        <f>INDEX(_TARGETS!$D$2:$D$17,MATCH("CCS",_TARGETS!$A$2:$A$17,0))</f>
        <v>% (fracción)</v>
      </c>
      <c r="I366" s="193" t="str">
        <f>INDEX(_TARGETS!$K$2:$K$17,MATCH("CCS",_TARGETS!$A$2:$A$17,0))</f>
        <v>OPS (carga manual en Datos)</v>
      </c>
      <c r="J366" s="258">
        <f t="shared" si="6"/>
        <v>46296</v>
      </c>
    </row>
    <row r="367" spans="1:10" ht="13.5" customHeight="1" x14ac:dyDescent="0.3">
      <c r="A367" t="s">
        <v>917</v>
      </c>
      <c r="B367" s="193" t="str">
        <f>YEAR(DATE(YEAR(RPT_MONTH),MONTH(RPT_MONTH)-5,1))&amp;"-"&amp;RIGHT("0"&amp;MONTH(DATE(YEAR(RPT_MONTH),MONTH(RPT_MONTH)-5,1)),2)</f>
        <v>2026-05</v>
      </c>
      <c r="C367" s="258">
        <f>DATE(YEAR(RPT_MONTH),MONTH(RPT_MONTH)-5,1)</f>
        <v>46143</v>
      </c>
      <c r="D367" t="s">
        <v>68</v>
      </c>
      <c r="E367" s="193" t="str">
        <f>IFERROR(INDEX(BD_KPIs!$F$2:$F$1300,MATCH(YEAR(DATE(YEAR(RPT_MONTH),MONTH(RPT_MONTH)-5,1))*100+MONTH(DATE(YEAR(RPT_MONTH),MONTH(RPT_MONTH)-5,1))&amp;"|CCS|Monthly",BD_KPIs!$Q$2:$Q$1300,0)),"")</f>
        <v/>
      </c>
      <c r="F367" s="193" t="str">
        <f>IFERROR(INDEX(BD_KPIs!$G$2:$G$1300,MATCH(YEAR(DATE(YEAR(RPT_MONTH),MONTH(RPT_MONTH)-5,1))*100+MONTH(DATE(YEAR(RPT_MONTH),MONTH(RPT_MONTH)-5,1))&amp;"|CCS|Monthly",BD_KPIs!$Q$2:$Q$1300,0)),"")</f>
        <v/>
      </c>
      <c r="G367" s="193" t="str">
        <f>IF(ISNUMBER(E367),IF(F367="","No target",IF(IFERROR(INDEX(BD_KPIs!$I$2:$I$1300,MATCH(YEAR(DATE(YEAR(RPT_MONTH),MONTH(RPT_MONTH)-5,1))*100+MONTH(DATE(YEAR(RPT_MONTH),MONTH(RPT_MONTH)-5,1))&amp;"|CCS|Monthly",BD_KPIs!$Q$2:$Q$1300,0)),"")="Sí","On target","Off target")),"No data")</f>
        <v>No data</v>
      </c>
      <c r="H367" s="193" t="str">
        <f>INDEX(_TARGETS!$D$2:$D$17,MATCH("CCS",_TARGETS!$A$2:$A$17,0))</f>
        <v>% (fracción)</v>
      </c>
      <c r="I367" s="193" t="str">
        <f>INDEX(_TARGETS!$K$2:$K$17,MATCH("CCS",_TARGETS!$A$2:$A$17,0))</f>
        <v>OPS (carga manual en Datos)</v>
      </c>
      <c r="J367" s="258">
        <f t="shared" si="6"/>
        <v>46296</v>
      </c>
    </row>
    <row r="368" spans="1:10" ht="13.5" customHeight="1" x14ac:dyDescent="0.3">
      <c r="A368" t="s">
        <v>917</v>
      </c>
      <c r="B368" s="193" t="str">
        <f>YEAR(DATE(YEAR(RPT_MONTH),MONTH(RPT_MONTH)-4,1))&amp;"-"&amp;RIGHT("0"&amp;MONTH(DATE(YEAR(RPT_MONTH),MONTH(RPT_MONTH)-4,1)),2)</f>
        <v>2026-06</v>
      </c>
      <c r="C368" s="258">
        <f>DATE(YEAR(RPT_MONTH),MONTH(RPT_MONTH)-4,1)</f>
        <v>46174</v>
      </c>
      <c r="D368" t="s">
        <v>68</v>
      </c>
      <c r="E368" s="193" t="str">
        <f>IFERROR(INDEX(BD_KPIs!$F$2:$F$1300,MATCH(YEAR(DATE(YEAR(RPT_MONTH),MONTH(RPT_MONTH)-4,1))*100+MONTH(DATE(YEAR(RPT_MONTH),MONTH(RPT_MONTH)-4,1))&amp;"|CCS|Monthly",BD_KPIs!$Q$2:$Q$1300,0)),"")</f>
        <v/>
      </c>
      <c r="F368" s="193" t="str">
        <f>IFERROR(INDEX(BD_KPIs!$G$2:$G$1300,MATCH(YEAR(DATE(YEAR(RPT_MONTH),MONTH(RPT_MONTH)-4,1))*100+MONTH(DATE(YEAR(RPT_MONTH),MONTH(RPT_MONTH)-4,1))&amp;"|CCS|Monthly",BD_KPIs!$Q$2:$Q$1300,0)),"")</f>
        <v/>
      </c>
      <c r="G368" s="193" t="str">
        <f>IF(ISNUMBER(E368),IF(F368="","No target",IF(IFERROR(INDEX(BD_KPIs!$I$2:$I$1300,MATCH(YEAR(DATE(YEAR(RPT_MONTH),MONTH(RPT_MONTH)-4,1))*100+MONTH(DATE(YEAR(RPT_MONTH),MONTH(RPT_MONTH)-4,1))&amp;"|CCS|Monthly",BD_KPIs!$Q$2:$Q$1300,0)),"")="Sí","On target","Off target")),"No data")</f>
        <v>No data</v>
      </c>
      <c r="H368" s="193" t="str">
        <f>INDEX(_TARGETS!$D$2:$D$17,MATCH("CCS",_TARGETS!$A$2:$A$17,0))</f>
        <v>% (fracción)</v>
      </c>
      <c r="I368" s="193" t="str">
        <f>INDEX(_TARGETS!$K$2:$K$17,MATCH("CCS",_TARGETS!$A$2:$A$17,0))</f>
        <v>OPS (carga manual en Datos)</v>
      </c>
      <c r="J368" s="258">
        <f t="shared" si="6"/>
        <v>46296</v>
      </c>
    </row>
    <row r="369" spans="1:10" ht="13.5" customHeight="1" x14ac:dyDescent="0.3">
      <c r="A369" t="s">
        <v>917</v>
      </c>
      <c r="B369" s="193" t="str">
        <f>YEAR(DATE(YEAR(RPT_MONTH),MONTH(RPT_MONTH)-3,1))&amp;"-"&amp;RIGHT("0"&amp;MONTH(DATE(YEAR(RPT_MONTH),MONTH(RPT_MONTH)-3,1)),2)</f>
        <v>2026-07</v>
      </c>
      <c r="C369" s="258">
        <f>DATE(YEAR(RPT_MONTH),MONTH(RPT_MONTH)-3,1)</f>
        <v>46204</v>
      </c>
      <c r="D369" t="s">
        <v>68</v>
      </c>
      <c r="E369" s="193" t="str">
        <f>IFERROR(INDEX(BD_KPIs!$F$2:$F$1300,MATCH(YEAR(DATE(YEAR(RPT_MONTH),MONTH(RPT_MONTH)-3,1))*100+MONTH(DATE(YEAR(RPT_MONTH),MONTH(RPT_MONTH)-3,1))&amp;"|CCS|Monthly",BD_KPIs!$Q$2:$Q$1300,0)),"")</f>
        <v/>
      </c>
      <c r="F369" s="193" t="str">
        <f>IFERROR(INDEX(BD_KPIs!$G$2:$G$1300,MATCH(YEAR(DATE(YEAR(RPT_MONTH),MONTH(RPT_MONTH)-3,1))*100+MONTH(DATE(YEAR(RPT_MONTH),MONTH(RPT_MONTH)-3,1))&amp;"|CCS|Monthly",BD_KPIs!$Q$2:$Q$1300,0)),"")</f>
        <v/>
      </c>
      <c r="G369" s="193" t="str">
        <f>IF(ISNUMBER(E369),IF(F369="","No target",IF(IFERROR(INDEX(BD_KPIs!$I$2:$I$1300,MATCH(YEAR(DATE(YEAR(RPT_MONTH),MONTH(RPT_MONTH)-3,1))*100+MONTH(DATE(YEAR(RPT_MONTH),MONTH(RPT_MONTH)-3,1))&amp;"|CCS|Monthly",BD_KPIs!$Q$2:$Q$1300,0)),"")="Sí","On target","Off target")),"No data")</f>
        <v>No data</v>
      </c>
      <c r="H369" s="193" t="str">
        <f>INDEX(_TARGETS!$D$2:$D$17,MATCH("CCS",_TARGETS!$A$2:$A$17,0))</f>
        <v>% (fracción)</v>
      </c>
      <c r="I369" s="193" t="str">
        <f>INDEX(_TARGETS!$K$2:$K$17,MATCH("CCS",_TARGETS!$A$2:$A$17,0))</f>
        <v>OPS (carga manual en Datos)</v>
      </c>
      <c r="J369" s="258">
        <f t="shared" si="6"/>
        <v>46296</v>
      </c>
    </row>
    <row r="370" spans="1:10" ht="13.5" customHeight="1" x14ac:dyDescent="0.3">
      <c r="A370" t="s">
        <v>917</v>
      </c>
      <c r="B370" s="193" t="str">
        <f>YEAR(DATE(YEAR(RPT_MONTH),MONTH(RPT_MONTH)-2,1))&amp;"-"&amp;RIGHT("0"&amp;MONTH(DATE(YEAR(RPT_MONTH),MONTH(RPT_MONTH)-2,1)),2)</f>
        <v>2026-08</v>
      </c>
      <c r="C370" s="258">
        <f>DATE(YEAR(RPT_MONTH),MONTH(RPT_MONTH)-2,1)</f>
        <v>46235</v>
      </c>
      <c r="D370" t="s">
        <v>68</v>
      </c>
      <c r="E370" s="193" t="str">
        <f>IFERROR(INDEX(BD_KPIs!$F$2:$F$1300,MATCH(YEAR(DATE(YEAR(RPT_MONTH),MONTH(RPT_MONTH)-2,1))*100+MONTH(DATE(YEAR(RPT_MONTH),MONTH(RPT_MONTH)-2,1))&amp;"|CCS|Monthly",BD_KPIs!$Q$2:$Q$1300,0)),"")</f>
        <v/>
      </c>
      <c r="F370" s="193">
        <f>IFERROR(INDEX(BD_KPIs!$G$2:$G$1300,MATCH(YEAR(DATE(YEAR(RPT_MONTH),MONTH(RPT_MONTH)-2,1))*100+MONTH(DATE(YEAR(RPT_MONTH),MONTH(RPT_MONTH)-2,1))&amp;"|CCS|Monthly",BD_KPIs!$Q$2:$Q$1300,0)),"")</f>
        <v>1</v>
      </c>
      <c r="G370" s="193" t="str">
        <f>IF(ISNUMBER(E370),IF(F370="","No target",IF(IFERROR(INDEX(BD_KPIs!$I$2:$I$1300,MATCH(YEAR(DATE(YEAR(RPT_MONTH),MONTH(RPT_MONTH)-2,1))*100+MONTH(DATE(YEAR(RPT_MONTH),MONTH(RPT_MONTH)-2,1))&amp;"|CCS|Monthly",BD_KPIs!$Q$2:$Q$1300,0)),"")="Sí","On target","Off target")),"No data")</f>
        <v>No data</v>
      </c>
      <c r="H370" s="193" t="str">
        <f>INDEX(_TARGETS!$D$2:$D$17,MATCH("CCS",_TARGETS!$A$2:$A$17,0))</f>
        <v>% (fracción)</v>
      </c>
      <c r="I370" s="193" t="str">
        <f>INDEX(_TARGETS!$K$2:$K$17,MATCH("CCS",_TARGETS!$A$2:$A$17,0))</f>
        <v>OPS (carga manual en Datos)</v>
      </c>
      <c r="J370" s="258">
        <f t="shared" si="6"/>
        <v>46296</v>
      </c>
    </row>
    <row r="371" spans="1:10" ht="13.5" customHeight="1" x14ac:dyDescent="0.3">
      <c r="A371" t="s">
        <v>917</v>
      </c>
      <c r="B371" s="193" t="str">
        <f>YEAR(DATE(YEAR(RPT_MONTH),MONTH(RPT_MONTH)-1,1))&amp;"-"&amp;RIGHT("0"&amp;MONTH(DATE(YEAR(RPT_MONTH),MONTH(RPT_MONTH)-1,1)),2)</f>
        <v>2026-09</v>
      </c>
      <c r="C371" s="258">
        <f>DATE(YEAR(RPT_MONTH),MONTH(RPT_MONTH)-1,1)</f>
        <v>46266</v>
      </c>
      <c r="D371" t="s">
        <v>68</v>
      </c>
      <c r="E371" s="193">
        <f>IFERROR(INDEX(BD_KPIs!$F$2:$F$1300,MATCH(YEAR(DATE(YEAR(RPT_MONTH),MONTH(RPT_MONTH)-1,1))*100+MONTH(DATE(YEAR(RPT_MONTH),MONTH(RPT_MONTH)-1,1))&amp;"|CCS|Monthly",BD_KPIs!$Q$2:$Q$1300,0)),"")</f>
        <v>1</v>
      </c>
      <c r="F371" s="250">
        <f>IFERROR(INDEX(BD_KPIs!$G$2:$G$1300,MATCH(YEAR(DATE(YEAR(RPT_MONTH),MONTH(RPT_MONTH)-1,1))*100+MONTH(DATE(YEAR(RPT_MONTH),MONTH(RPT_MONTH)-1,1))&amp;"|CCS|Monthly",BD_KPIs!$Q$2:$Q$1300,0)),"")</f>
        <v>1</v>
      </c>
      <c r="G371" s="193" t="str">
        <f>IF(ISNUMBER(E371),IF(F371="","No target",IF(IFERROR(INDEX(BD_KPIs!$I$2:$I$1300,MATCH(YEAR(DATE(YEAR(RPT_MONTH),MONTH(RPT_MONTH)-1,1))*100+MONTH(DATE(YEAR(RPT_MONTH),MONTH(RPT_MONTH)-1,1))&amp;"|CCS|Monthly",BD_KPIs!$Q$2:$Q$1300,0)),"")="Sí","On target","Off target")),"No data")</f>
        <v>On target</v>
      </c>
      <c r="H371" s="193" t="str">
        <f>INDEX(_TARGETS!$D$2:$D$17,MATCH("CCS",_TARGETS!$A$2:$A$17,0))</f>
        <v>% (fracción)</v>
      </c>
      <c r="I371" s="193" t="str">
        <f>INDEX(_TARGETS!$K$2:$K$17,MATCH("CCS",_TARGETS!$A$2:$A$17,0))</f>
        <v>OPS (carga manual en Datos)</v>
      </c>
      <c r="J371" s="258">
        <f t="shared" si="6"/>
        <v>46296</v>
      </c>
    </row>
    <row r="372" spans="1:10" ht="13.5" customHeight="1" x14ac:dyDescent="0.3">
      <c r="A372" t="s">
        <v>917</v>
      </c>
      <c r="B372" s="193" t="str">
        <f>YEAR(DATE(YEAR(RPT_MONTH),MONTH(RPT_MONTH)-0,1))&amp;"-"&amp;RIGHT("0"&amp;MONTH(DATE(YEAR(RPT_MONTH),MONTH(RPT_MONTH)-0,1)),2)</f>
        <v>2026-10</v>
      </c>
      <c r="C372" s="258">
        <f>DATE(YEAR(RPT_MONTH),MONTH(RPT_MONTH)-0,1)</f>
        <v>46296</v>
      </c>
      <c r="D372" t="s">
        <v>68</v>
      </c>
      <c r="E372" s="193" t="str">
        <f>IFERROR(INDEX(BD_KPIs!$F$2:$F$1300,MATCH(YEAR(DATE(YEAR(RPT_MONTH),MONTH(RPT_MONTH)-0,1))*100+MONTH(DATE(YEAR(RPT_MONTH),MONTH(RPT_MONTH)-0,1))&amp;"|CCS|Monthly",BD_KPIs!$Q$2:$Q$1300,0)),"")</f>
        <v/>
      </c>
      <c r="F372" s="250">
        <f>IFERROR(INDEX(BD_KPIs!$G$2:$G$1300,MATCH(YEAR(DATE(YEAR(RPT_MONTH),MONTH(RPT_MONTH)-0,1))*100+MONTH(DATE(YEAR(RPT_MONTH),MONTH(RPT_MONTH)-0,1))&amp;"|CCS|Monthly",BD_KPIs!$Q$2:$Q$1300,0)),"")</f>
        <v>1</v>
      </c>
      <c r="G372" s="193" t="str">
        <f>IF(ISNUMBER(E372),IF(F372="","No target",IF(IFERROR(INDEX(BD_KPIs!$I$2:$I$1300,MATCH(YEAR(DATE(YEAR(RPT_MONTH),MONTH(RPT_MONTH)-0,1))*100+MONTH(DATE(YEAR(RPT_MONTH),MONTH(RPT_MONTH)-0,1))&amp;"|CCS|Monthly",BD_KPIs!$Q$2:$Q$1300,0)),"")="Sí","On target","Off target")),"No data")</f>
        <v>No data</v>
      </c>
      <c r="H372" s="193" t="str">
        <f>INDEX(_TARGETS!$D$2:$D$17,MATCH("CCS",_TARGETS!$A$2:$A$17,0))</f>
        <v>% (fracción)</v>
      </c>
      <c r="I372" s="193" t="str">
        <f>INDEX(_TARGETS!$K$2:$K$17,MATCH("CCS",_TARGETS!$A$2:$A$17,0))</f>
        <v>OPS (carga manual en Datos)</v>
      </c>
      <c r="J372" s="258">
        <f t="shared" si="6"/>
        <v>46296</v>
      </c>
    </row>
    <row r="373" spans="1:10" ht="13.5" customHeight="1" x14ac:dyDescent="0.3">
      <c r="A373" t="s">
        <v>917</v>
      </c>
      <c r="B373" s="193" t="str">
        <f>YEAR(DATE(YEAR(RPT_MONTH),MONTH(RPT_MONTH)-11,1))&amp;"-"&amp;RIGHT("0"&amp;MONTH(DATE(YEAR(RPT_MONTH),MONTH(RPT_MONTH)-11,1)),2)</f>
        <v>2025-11</v>
      </c>
      <c r="C373" s="258">
        <f>DATE(YEAR(RPT_MONTH),MONTH(RPT_MONTH)-11,1)</f>
        <v>45962</v>
      </c>
      <c r="D373" t="s">
        <v>601</v>
      </c>
      <c r="E373" s="193" t="str">
        <f>IFERROR(INDEX(BD_KPIs!$F$2:$F$1300,MATCH(YEAR(DATE(YEAR(RPT_MONTH),MONTH(RPT_MONTH)-11,1))*100+MONTH(DATE(YEAR(RPT_MONTH),MONTH(RPT_MONTH)-11,1))&amp;"|CCS|YTD",BD_KPIs!$Q$2:$Q$1300,0)),"")</f>
        <v/>
      </c>
      <c r="F373" s="193" t="str">
        <f>IFERROR(INDEX(BD_KPIs!$G$2:$G$1300,MATCH(YEAR(DATE(YEAR(RPT_MONTH),MONTH(RPT_MONTH)-11,1))*100+MONTH(DATE(YEAR(RPT_MONTH),MONTH(RPT_MONTH)-11,1))&amp;"|CCS|YTD",BD_KPIs!$Q$2:$Q$1300,0)),"")</f>
        <v/>
      </c>
      <c r="G373" s="193" t="str">
        <f>IF(ISNUMBER(E373),IF(F373="","No target",IF(IFERROR(INDEX(BD_KPIs!$I$2:$I$1300,MATCH(YEAR(DATE(YEAR(RPT_MONTH),MONTH(RPT_MONTH)-11,1))*100+MONTH(DATE(YEAR(RPT_MONTH),MONTH(RPT_MONTH)-11,1))&amp;"|CCS|YTD",BD_KPIs!$Q$2:$Q$1300,0)),"")="Sí","On target","Off target")),"No data")</f>
        <v>No data</v>
      </c>
      <c r="H373" s="193" t="str">
        <f>INDEX(_TARGETS!$D$2:$D$17,MATCH("CCS",_TARGETS!$A$2:$A$17,0))</f>
        <v>% (fracción)</v>
      </c>
      <c r="I373" s="193" t="str">
        <f>INDEX(_TARGETS!$K$2:$K$17,MATCH("CCS",_TARGETS!$A$2:$A$17,0))</f>
        <v>OPS (carga manual en Datos)</v>
      </c>
      <c r="J373" s="258">
        <f t="shared" si="6"/>
        <v>46296</v>
      </c>
    </row>
    <row r="374" spans="1:10" ht="13.5" customHeight="1" x14ac:dyDescent="0.3">
      <c r="A374" t="s">
        <v>917</v>
      </c>
      <c r="B374" s="193" t="str">
        <f>YEAR(DATE(YEAR(RPT_MONTH),MONTH(RPT_MONTH)-10,1))&amp;"-"&amp;RIGHT("0"&amp;MONTH(DATE(YEAR(RPT_MONTH),MONTH(RPT_MONTH)-10,1)),2)</f>
        <v>2025-12</v>
      </c>
      <c r="C374" s="258">
        <f>DATE(YEAR(RPT_MONTH),MONTH(RPT_MONTH)-10,1)</f>
        <v>45992</v>
      </c>
      <c r="D374" t="s">
        <v>601</v>
      </c>
      <c r="E374" s="193" t="str">
        <f>IFERROR(INDEX(BD_KPIs!$F$2:$F$1300,MATCH(YEAR(DATE(YEAR(RPT_MONTH),MONTH(RPT_MONTH)-10,1))*100+MONTH(DATE(YEAR(RPT_MONTH),MONTH(RPT_MONTH)-10,1))&amp;"|CCS|YTD",BD_KPIs!$Q$2:$Q$1300,0)),"")</f>
        <v/>
      </c>
      <c r="F374" s="193" t="str">
        <f>IFERROR(INDEX(BD_KPIs!$G$2:$G$1300,MATCH(YEAR(DATE(YEAR(RPT_MONTH),MONTH(RPT_MONTH)-10,1))*100+MONTH(DATE(YEAR(RPT_MONTH),MONTH(RPT_MONTH)-10,1))&amp;"|CCS|YTD",BD_KPIs!$Q$2:$Q$1300,0)),"")</f>
        <v/>
      </c>
      <c r="G374" s="193" t="str">
        <f>IF(ISNUMBER(E374),IF(F374="","No target",IF(IFERROR(INDEX(BD_KPIs!$I$2:$I$1300,MATCH(YEAR(DATE(YEAR(RPT_MONTH),MONTH(RPT_MONTH)-10,1))*100+MONTH(DATE(YEAR(RPT_MONTH),MONTH(RPT_MONTH)-10,1))&amp;"|CCS|YTD",BD_KPIs!$Q$2:$Q$1300,0)),"")="Sí","On target","Off target")),"No data")</f>
        <v>No data</v>
      </c>
      <c r="H374" s="193" t="str">
        <f>INDEX(_TARGETS!$D$2:$D$17,MATCH("CCS",_TARGETS!$A$2:$A$17,0))</f>
        <v>% (fracción)</v>
      </c>
      <c r="I374" s="193" t="str">
        <f>INDEX(_TARGETS!$K$2:$K$17,MATCH("CCS",_TARGETS!$A$2:$A$17,0))</f>
        <v>OPS (carga manual en Datos)</v>
      </c>
      <c r="J374" s="258">
        <f t="shared" si="6"/>
        <v>46296</v>
      </c>
    </row>
    <row r="375" spans="1:10" ht="13.5" customHeight="1" x14ac:dyDescent="0.3">
      <c r="A375" t="s">
        <v>917</v>
      </c>
      <c r="B375" s="193" t="str">
        <f>YEAR(DATE(YEAR(RPT_MONTH),MONTH(RPT_MONTH)-9,1))&amp;"-"&amp;RIGHT("0"&amp;MONTH(DATE(YEAR(RPT_MONTH),MONTH(RPT_MONTH)-9,1)),2)</f>
        <v>2026-01</v>
      </c>
      <c r="C375" s="258">
        <f>DATE(YEAR(RPT_MONTH),MONTH(RPT_MONTH)-9,1)</f>
        <v>46023</v>
      </c>
      <c r="D375" t="s">
        <v>601</v>
      </c>
      <c r="E375" s="193" t="str">
        <f>IFERROR(INDEX(BD_KPIs!$F$2:$F$1300,MATCH(YEAR(DATE(YEAR(RPT_MONTH),MONTH(RPT_MONTH)-9,1))*100+MONTH(DATE(YEAR(RPT_MONTH),MONTH(RPT_MONTH)-9,1))&amp;"|CCS|YTD",BD_KPIs!$Q$2:$Q$1300,0)),"")</f>
        <v/>
      </c>
      <c r="F375" s="193" t="str">
        <f>IFERROR(INDEX(BD_KPIs!$G$2:$G$1300,MATCH(YEAR(DATE(YEAR(RPT_MONTH),MONTH(RPT_MONTH)-9,1))*100+MONTH(DATE(YEAR(RPT_MONTH),MONTH(RPT_MONTH)-9,1))&amp;"|CCS|YTD",BD_KPIs!$Q$2:$Q$1300,0)),"")</f>
        <v/>
      </c>
      <c r="G375" s="193" t="str">
        <f>IF(ISNUMBER(E375),IF(F375="","No target",IF(IFERROR(INDEX(BD_KPIs!$I$2:$I$1300,MATCH(YEAR(DATE(YEAR(RPT_MONTH),MONTH(RPT_MONTH)-9,1))*100+MONTH(DATE(YEAR(RPT_MONTH),MONTH(RPT_MONTH)-9,1))&amp;"|CCS|YTD",BD_KPIs!$Q$2:$Q$1300,0)),"")="Sí","On target","Off target")),"No data")</f>
        <v>No data</v>
      </c>
      <c r="H375" s="193" t="str">
        <f>INDEX(_TARGETS!$D$2:$D$17,MATCH("CCS",_TARGETS!$A$2:$A$17,0))</f>
        <v>% (fracción)</v>
      </c>
      <c r="I375" s="193" t="str">
        <f>INDEX(_TARGETS!$K$2:$K$17,MATCH("CCS",_TARGETS!$A$2:$A$17,0))</f>
        <v>OPS (carga manual en Datos)</v>
      </c>
      <c r="J375" s="258">
        <f t="shared" si="6"/>
        <v>46296</v>
      </c>
    </row>
    <row r="376" spans="1:10" ht="13.5" customHeight="1" x14ac:dyDescent="0.3">
      <c r="A376" t="s">
        <v>917</v>
      </c>
      <c r="B376" s="193" t="str">
        <f>YEAR(DATE(YEAR(RPT_MONTH),MONTH(RPT_MONTH)-8,1))&amp;"-"&amp;RIGHT("0"&amp;MONTH(DATE(YEAR(RPT_MONTH),MONTH(RPT_MONTH)-8,1)),2)</f>
        <v>2026-02</v>
      </c>
      <c r="C376" s="258">
        <f>DATE(YEAR(RPT_MONTH),MONTH(RPT_MONTH)-8,1)</f>
        <v>46054</v>
      </c>
      <c r="D376" t="s">
        <v>601</v>
      </c>
      <c r="E376" s="193" t="str">
        <f>IFERROR(INDEX(BD_KPIs!$F$2:$F$1300,MATCH(YEAR(DATE(YEAR(RPT_MONTH),MONTH(RPT_MONTH)-8,1))*100+MONTH(DATE(YEAR(RPT_MONTH),MONTH(RPT_MONTH)-8,1))&amp;"|CCS|YTD",BD_KPIs!$Q$2:$Q$1300,0)),"")</f>
        <v/>
      </c>
      <c r="F376" s="193" t="str">
        <f>IFERROR(INDEX(BD_KPIs!$G$2:$G$1300,MATCH(YEAR(DATE(YEAR(RPT_MONTH),MONTH(RPT_MONTH)-8,1))*100+MONTH(DATE(YEAR(RPT_MONTH),MONTH(RPT_MONTH)-8,1))&amp;"|CCS|YTD",BD_KPIs!$Q$2:$Q$1300,0)),"")</f>
        <v/>
      </c>
      <c r="G376" s="193" t="str">
        <f>IF(ISNUMBER(E376),IF(F376="","No target",IF(IFERROR(INDEX(BD_KPIs!$I$2:$I$1300,MATCH(YEAR(DATE(YEAR(RPT_MONTH),MONTH(RPT_MONTH)-8,1))*100+MONTH(DATE(YEAR(RPT_MONTH),MONTH(RPT_MONTH)-8,1))&amp;"|CCS|YTD",BD_KPIs!$Q$2:$Q$1300,0)),"")="Sí","On target","Off target")),"No data")</f>
        <v>No data</v>
      </c>
      <c r="H376" s="193" t="str">
        <f>INDEX(_TARGETS!$D$2:$D$17,MATCH("CCS",_TARGETS!$A$2:$A$17,0))</f>
        <v>% (fracción)</v>
      </c>
      <c r="I376" s="193" t="str">
        <f>INDEX(_TARGETS!$K$2:$K$17,MATCH("CCS",_TARGETS!$A$2:$A$17,0))</f>
        <v>OPS (carga manual en Datos)</v>
      </c>
      <c r="J376" s="258">
        <f t="shared" si="6"/>
        <v>46296</v>
      </c>
    </row>
    <row r="377" spans="1:10" ht="13.5" customHeight="1" x14ac:dyDescent="0.3">
      <c r="A377" t="s">
        <v>917</v>
      </c>
      <c r="B377" s="193" t="str">
        <f>YEAR(DATE(YEAR(RPT_MONTH),MONTH(RPT_MONTH)-7,1))&amp;"-"&amp;RIGHT("0"&amp;MONTH(DATE(YEAR(RPT_MONTH),MONTH(RPT_MONTH)-7,1)),2)</f>
        <v>2026-03</v>
      </c>
      <c r="C377" s="258">
        <f>DATE(YEAR(RPT_MONTH),MONTH(RPT_MONTH)-7,1)</f>
        <v>46082</v>
      </c>
      <c r="D377" t="s">
        <v>601</v>
      </c>
      <c r="E377" s="193" t="str">
        <f>IFERROR(INDEX(BD_KPIs!$F$2:$F$1300,MATCH(YEAR(DATE(YEAR(RPT_MONTH),MONTH(RPT_MONTH)-7,1))*100+MONTH(DATE(YEAR(RPT_MONTH),MONTH(RPT_MONTH)-7,1))&amp;"|CCS|YTD",BD_KPIs!$Q$2:$Q$1300,0)),"")</f>
        <v/>
      </c>
      <c r="F377" s="193" t="str">
        <f>IFERROR(INDEX(BD_KPIs!$G$2:$G$1300,MATCH(YEAR(DATE(YEAR(RPT_MONTH),MONTH(RPT_MONTH)-7,1))*100+MONTH(DATE(YEAR(RPT_MONTH),MONTH(RPT_MONTH)-7,1))&amp;"|CCS|YTD",BD_KPIs!$Q$2:$Q$1300,0)),"")</f>
        <v/>
      </c>
      <c r="G377" s="193" t="str">
        <f>IF(ISNUMBER(E377),IF(F377="","No target",IF(IFERROR(INDEX(BD_KPIs!$I$2:$I$1300,MATCH(YEAR(DATE(YEAR(RPT_MONTH),MONTH(RPT_MONTH)-7,1))*100+MONTH(DATE(YEAR(RPT_MONTH),MONTH(RPT_MONTH)-7,1))&amp;"|CCS|YTD",BD_KPIs!$Q$2:$Q$1300,0)),"")="Sí","On target","Off target")),"No data")</f>
        <v>No data</v>
      </c>
      <c r="H377" s="193" t="str">
        <f>INDEX(_TARGETS!$D$2:$D$17,MATCH("CCS",_TARGETS!$A$2:$A$17,0))</f>
        <v>% (fracción)</v>
      </c>
      <c r="I377" s="193" t="str">
        <f>INDEX(_TARGETS!$K$2:$K$17,MATCH("CCS",_TARGETS!$A$2:$A$17,0))</f>
        <v>OPS (carga manual en Datos)</v>
      </c>
      <c r="J377" s="258">
        <f t="shared" si="6"/>
        <v>46296</v>
      </c>
    </row>
    <row r="378" spans="1:10" ht="13.5" customHeight="1" x14ac:dyDescent="0.3">
      <c r="A378" t="s">
        <v>917</v>
      </c>
      <c r="B378" s="193" t="str">
        <f>YEAR(DATE(YEAR(RPT_MONTH),MONTH(RPT_MONTH)-6,1))&amp;"-"&amp;RIGHT("0"&amp;MONTH(DATE(YEAR(RPT_MONTH),MONTH(RPT_MONTH)-6,1)),2)</f>
        <v>2026-04</v>
      </c>
      <c r="C378" s="258">
        <f>DATE(YEAR(RPT_MONTH),MONTH(RPT_MONTH)-6,1)</f>
        <v>46113</v>
      </c>
      <c r="D378" t="s">
        <v>601</v>
      </c>
      <c r="E378" s="193" t="str">
        <f>IFERROR(INDEX(BD_KPIs!$F$2:$F$1300,MATCH(YEAR(DATE(YEAR(RPT_MONTH),MONTH(RPT_MONTH)-6,1))*100+MONTH(DATE(YEAR(RPT_MONTH),MONTH(RPT_MONTH)-6,1))&amp;"|CCS|YTD",BD_KPIs!$Q$2:$Q$1300,0)),"")</f>
        <v/>
      </c>
      <c r="F378" s="193" t="str">
        <f>IFERROR(INDEX(BD_KPIs!$G$2:$G$1300,MATCH(YEAR(DATE(YEAR(RPT_MONTH),MONTH(RPT_MONTH)-6,1))*100+MONTH(DATE(YEAR(RPT_MONTH),MONTH(RPT_MONTH)-6,1))&amp;"|CCS|YTD",BD_KPIs!$Q$2:$Q$1300,0)),"")</f>
        <v/>
      </c>
      <c r="G378" s="193" t="str">
        <f>IF(ISNUMBER(E378),IF(F378="","No target",IF(IFERROR(INDEX(BD_KPIs!$I$2:$I$1300,MATCH(YEAR(DATE(YEAR(RPT_MONTH),MONTH(RPT_MONTH)-6,1))*100+MONTH(DATE(YEAR(RPT_MONTH),MONTH(RPT_MONTH)-6,1))&amp;"|CCS|YTD",BD_KPIs!$Q$2:$Q$1300,0)),"")="Sí","On target","Off target")),"No data")</f>
        <v>No data</v>
      </c>
      <c r="H378" s="193" t="str">
        <f>INDEX(_TARGETS!$D$2:$D$17,MATCH("CCS",_TARGETS!$A$2:$A$17,0))</f>
        <v>% (fracción)</v>
      </c>
      <c r="I378" s="193" t="str">
        <f>INDEX(_TARGETS!$K$2:$K$17,MATCH("CCS",_TARGETS!$A$2:$A$17,0))</f>
        <v>OPS (carga manual en Datos)</v>
      </c>
      <c r="J378" s="258">
        <f t="shared" si="6"/>
        <v>46296</v>
      </c>
    </row>
    <row r="379" spans="1:10" ht="13.5" customHeight="1" x14ac:dyDescent="0.3">
      <c r="A379" t="s">
        <v>917</v>
      </c>
      <c r="B379" s="193" t="str">
        <f>YEAR(DATE(YEAR(RPT_MONTH),MONTH(RPT_MONTH)-5,1))&amp;"-"&amp;RIGHT("0"&amp;MONTH(DATE(YEAR(RPT_MONTH),MONTH(RPT_MONTH)-5,1)),2)</f>
        <v>2026-05</v>
      </c>
      <c r="C379" s="258">
        <f>DATE(YEAR(RPT_MONTH),MONTH(RPT_MONTH)-5,1)</f>
        <v>46143</v>
      </c>
      <c r="D379" t="s">
        <v>601</v>
      </c>
      <c r="E379" s="193" t="str">
        <f>IFERROR(INDEX(BD_KPIs!$F$2:$F$1300,MATCH(YEAR(DATE(YEAR(RPT_MONTH),MONTH(RPT_MONTH)-5,1))*100+MONTH(DATE(YEAR(RPT_MONTH),MONTH(RPT_MONTH)-5,1))&amp;"|CCS|YTD",BD_KPIs!$Q$2:$Q$1300,0)),"")</f>
        <v/>
      </c>
      <c r="F379" s="193" t="str">
        <f>IFERROR(INDEX(BD_KPIs!$G$2:$G$1300,MATCH(YEAR(DATE(YEAR(RPT_MONTH),MONTH(RPT_MONTH)-5,1))*100+MONTH(DATE(YEAR(RPT_MONTH),MONTH(RPT_MONTH)-5,1))&amp;"|CCS|YTD",BD_KPIs!$Q$2:$Q$1300,0)),"")</f>
        <v/>
      </c>
      <c r="G379" s="193" t="str">
        <f>IF(ISNUMBER(E379),IF(F379="","No target",IF(IFERROR(INDEX(BD_KPIs!$I$2:$I$1300,MATCH(YEAR(DATE(YEAR(RPT_MONTH),MONTH(RPT_MONTH)-5,1))*100+MONTH(DATE(YEAR(RPT_MONTH),MONTH(RPT_MONTH)-5,1))&amp;"|CCS|YTD",BD_KPIs!$Q$2:$Q$1300,0)),"")="Sí","On target","Off target")),"No data")</f>
        <v>No data</v>
      </c>
      <c r="H379" s="193" t="str">
        <f>INDEX(_TARGETS!$D$2:$D$17,MATCH("CCS",_TARGETS!$A$2:$A$17,0))</f>
        <v>% (fracción)</v>
      </c>
      <c r="I379" s="193" t="str">
        <f>INDEX(_TARGETS!$K$2:$K$17,MATCH("CCS",_TARGETS!$A$2:$A$17,0))</f>
        <v>OPS (carga manual en Datos)</v>
      </c>
      <c r="J379" s="258">
        <f t="shared" si="6"/>
        <v>46296</v>
      </c>
    </row>
    <row r="380" spans="1:10" ht="13.5" customHeight="1" x14ac:dyDescent="0.3">
      <c r="A380" t="s">
        <v>917</v>
      </c>
      <c r="B380" s="193" t="str">
        <f>YEAR(DATE(YEAR(RPT_MONTH),MONTH(RPT_MONTH)-4,1))&amp;"-"&amp;RIGHT("0"&amp;MONTH(DATE(YEAR(RPT_MONTH),MONTH(RPT_MONTH)-4,1)),2)</f>
        <v>2026-06</v>
      </c>
      <c r="C380" s="258">
        <f>DATE(YEAR(RPT_MONTH),MONTH(RPT_MONTH)-4,1)</f>
        <v>46174</v>
      </c>
      <c r="D380" t="s">
        <v>601</v>
      </c>
      <c r="E380" s="193" t="str">
        <f>IFERROR(INDEX(BD_KPIs!$F$2:$F$1300,MATCH(YEAR(DATE(YEAR(RPT_MONTH),MONTH(RPT_MONTH)-4,1))*100+MONTH(DATE(YEAR(RPT_MONTH),MONTH(RPT_MONTH)-4,1))&amp;"|CCS|YTD",BD_KPIs!$Q$2:$Q$1300,0)),"")</f>
        <v/>
      </c>
      <c r="F380" s="193" t="str">
        <f>IFERROR(INDEX(BD_KPIs!$G$2:$G$1300,MATCH(YEAR(DATE(YEAR(RPT_MONTH),MONTH(RPT_MONTH)-4,1))*100+MONTH(DATE(YEAR(RPT_MONTH),MONTH(RPT_MONTH)-4,1))&amp;"|CCS|YTD",BD_KPIs!$Q$2:$Q$1300,0)),"")</f>
        <v/>
      </c>
      <c r="G380" s="193" t="str">
        <f>IF(ISNUMBER(E380),IF(F380="","No target",IF(IFERROR(INDEX(BD_KPIs!$I$2:$I$1300,MATCH(YEAR(DATE(YEAR(RPT_MONTH),MONTH(RPT_MONTH)-4,1))*100+MONTH(DATE(YEAR(RPT_MONTH),MONTH(RPT_MONTH)-4,1))&amp;"|CCS|YTD",BD_KPIs!$Q$2:$Q$1300,0)),"")="Sí","On target","Off target")),"No data")</f>
        <v>No data</v>
      </c>
      <c r="H380" s="193" t="str">
        <f>INDEX(_TARGETS!$D$2:$D$17,MATCH("CCS",_TARGETS!$A$2:$A$17,0))</f>
        <v>% (fracción)</v>
      </c>
      <c r="I380" s="193" t="str">
        <f>INDEX(_TARGETS!$K$2:$K$17,MATCH("CCS",_TARGETS!$A$2:$A$17,0))</f>
        <v>OPS (carga manual en Datos)</v>
      </c>
      <c r="J380" s="258">
        <f t="shared" si="6"/>
        <v>46296</v>
      </c>
    </row>
    <row r="381" spans="1:10" ht="13.5" customHeight="1" x14ac:dyDescent="0.3">
      <c r="A381" t="s">
        <v>917</v>
      </c>
      <c r="B381" s="193" t="str">
        <f>YEAR(DATE(YEAR(RPT_MONTH),MONTH(RPT_MONTH)-3,1))&amp;"-"&amp;RIGHT("0"&amp;MONTH(DATE(YEAR(RPT_MONTH),MONTH(RPT_MONTH)-3,1)),2)</f>
        <v>2026-07</v>
      </c>
      <c r="C381" s="258">
        <f>DATE(YEAR(RPT_MONTH),MONTH(RPT_MONTH)-3,1)</f>
        <v>46204</v>
      </c>
      <c r="D381" t="s">
        <v>601</v>
      </c>
      <c r="E381" s="193" t="str">
        <f>IFERROR(INDEX(BD_KPIs!$F$2:$F$1300,MATCH(YEAR(DATE(YEAR(RPT_MONTH),MONTH(RPT_MONTH)-3,1))*100+MONTH(DATE(YEAR(RPT_MONTH),MONTH(RPT_MONTH)-3,1))&amp;"|CCS|YTD",BD_KPIs!$Q$2:$Q$1300,0)),"")</f>
        <v/>
      </c>
      <c r="F381" s="193" t="str">
        <f>IFERROR(INDEX(BD_KPIs!$G$2:$G$1300,MATCH(YEAR(DATE(YEAR(RPT_MONTH),MONTH(RPT_MONTH)-3,1))*100+MONTH(DATE(YEAR(RPT_MONTH),MONTH(RPT_MONTH)-3,1))&amp;"|CCS|YTD",BD_KPIs!$Q$2:$Q$1300,0)),"")</f>
        <v/>
      </c>
      <c r="G381" s="193" t="str">
        <f>IF(ISNUMBER(E381),IF(F381="","No target",IF(IFERROR(INDEX(BD_KPIs!$I$2:$I$1300,MATCH(YEAR(DATE(YEAR(RPT_MONTH),MONTH(RPT_MONTH)-3,1))*100+MONTH(DATE(YEAR(RPT_MONTH),MONTH(RPT_MONTH)-3,1))&amp;"|CCS|YTD",BD_KPIs!$Q$2:$Q$1300,0)),"")="Sí","On target","Off target")),"No data")</f>
        <v>No data</v>
      </c>
      <c r="H381" s="193" t="str">
        <f>INDEX(_TARGETS!$D$2:$D$17,MATCH("CCS",_TARGETS!$A$2:$A$17,0))</f>
        <v>% (fracción)</v>
      </c>
      <c r="I381" s="193" t="str">
        <f>INDEX(_TARGETS!$K$2:$K$17,MATCH("CCS",_TARGETS!$A$2:$A$17,0))</f>
        <v>OPS (carga manual en Datos)</v>
      </c>
      <c r="J381" s="258">
        <f t="shared" si="6"/>
        <v>46296</v>
      </c>
    </row>
    <row r="382" spans="1:10" ht="13.5" customHeight="1" x14ac:dyDescent="0.3">
      <c r="A382" t="s">
        <v>917</v>
      </c>
      <c r="B382" s="193" t="str">
        <f>YEAR(DATE(YEAR(RPT_MONTH),MONTH(RPT_MONTH)-2,1))&amp;"-"&amp;RIGHT("0"&amp;MONTH(DATE(YEAR(RPT_MONTH),MONTH(RPT_MONTH)-2,1)),2)</f>
        <v>2026-08</v>
      </c>
      <c r="C382" s="258">
        <f>DATE(YEAR(RPT_MONTH),MONTH(RPT_MONTH)-2,1)</f>
        <v>46235</v>
      </c>
      <c r="D382" t="s">
        <v>601</v>
      </c>
      <c r="E382" s="193" t="str">
        <f>IFERROR(INDEX(BD_KPIs!$F$2:$F$1300,MATCH(YEAR(DATE(YEAR(RPT_MONTH),MONTH(RPT_MONTH)-2,1))*100+MONTH(DATE(YEAR(RPT_MONTH),MONTH(RPT_MONTH)-2,1))&amp;"|CCS|YTD",BD_KPIs!$Q$2:$Q$1300,0)),"")</f>
        <v/>
      </c>
      <c r="F382" s="193">
        <f>IFERROR(INDEX(BD_KPIs!$G$2:$G$1300,MATCH(YEAR(DATE(YEAR(RPT_MONTH),MONTH(RPT_MONTH)-2,1))*100+MONTH(DATE(YEAR(RPT_MONTH),MONTH(RPT_MONTH)-2,1))&amp;"|CCS|YTD",BD_KPIs!$Q$2:$Q$1300,0)),"")</f>
        <v>1</v>
      </c>
      <c r="G382" s="193" t="str">
        <f>IF(ISNUMBER(E382),IF(F382="","No target",IF(IFERROR(INDEX(BD_KPIs!$I$2:$I$1300,MATCH(YEAR(DATE(YEAR(RPT_MONTH),MONTH(RPT_MONTH)-2,1))*100+MONTH(DATE(YEAR(RPT_MONTH),MONTH(RPT_MONTH)-2,1))&amp;"|CCS|YTD",BD_KPIs!$Q$2:$Q$1300,0)),"")="Sí","On target","Off target")),"No data")</f>
        <v>No data</v>
      </c>
      <c r="H382" s="193" t="str">
        <f>INDEX(_TARGETS!$D$2:$D$17,MATCH("CCS",_TARGETS!$A$2:$A$17,0))</f>
        <v>% (fracción)</v>
      </c>
      <c r="I382" s="193" t="str">
        <f>INDEX(_TARGETS!$K$2:$K$17,MATCH("CCS",_TARGETS!$A$2:$A$17,0))</f>
        <v>OPS (carga manual en Datos)</v>
      </c>
      <c r="J382" s="258">
        <f t="shared" si="6"/>
        <v>46296</v>
      </c>
    </row>
    <row r="383" spans="1:10" ht="13.5" customHeight="1" x14ac:dyDescent="0.3">
      <c r="A383" t="s">
        <v>917</v>
      </c>
      <c r="B383" s="193" t="str">
        <f>YEAR(DATE(YEAR(RPT_MONTH),MONTH(RPT_MONTH)-1,1))&amp;"-"&amp;RIGHT("0"&amp;MONTH(DATE(YEAR(RPT_MONTH),MONTH(RPT_MONTH)-1,1)),2)</f>
        <v>2026-09</v>
      </c>
      <c r="C383" s="258">
        <f>DATE(YEAR(RPT_MONTH),MONTH(RPT_MONTH)-1,1)</f>
        <v>46266</v>
      </c>
      <c r="D383" t="s">
        <v>601</v>
      </c>
      <c r="E383" s="193">
        <f>IFERROR(INDEX(BD_KPIs!$F$2:$F$1300,MATCH(YEAR(DATE(YEAR(RPT_MONTH),MONTH(RPT_MONTH)-1,1))*100+MONTH(DATE(YEAR(RPT_MONTH),MONTH(RPT_MONTH)-1,1))&amp;"|CCS|YTD",BD_KPIs!$Q$2:$Q$1300,0)),"")</f>
        <v>1</v>
      </c>
      <c r="F383" s="254">
        <f>IFERROR(INDEX(BD_KPIs!$G$2:$G$1300,MATCH(YEAR(DATE(YEAR(RPT_MONTH),MONTH(RPT_MONTH)-1,1))*100+MONTH(DATE(YEAR(RPT_MONTH),MONTH(RPT_MONTH)-1,1))&amp;"|CCS|YTD",BD_KPIs!$Q$2:$Q$1300,0)),"")</f>
        <v>1</v>
      </c>
      <c r="G383" s="193" t="str">
        <f>IF(ISNUMBER(E383),IF(F383="","No target",IF(IFERROR(INDEX(BD_KPIs!$I$2:$I$1300,MATCH(YEAR(DATE(YEAR(RPT_MONTH),MONTH(RPT_MONTH)-1,1))*100+MONTH(DATE(YEAR(RPT_MONTH),MONTH(RPT_MONTH)-1,1))&amp;"|CCS|YTD",BD_KPIs!$Q$2:$Q$1300,0)),"")="Sí","On target","Off target")),"No data")</f>
        <v>On target</v>
      </c>
      <c r="H383" s="193" t="str">
        <f>INDEX(_TARGETS!$D$2:$D$17,MATCH("CCS",_TARGETS!$A$2:$A$17,0))</f>
        <v>% (fracción)</v>
      </c>
      <c r="I383" s="193" t="str">
        <f>INDEX(_TARGETS!$K$2:$K$17,MATCH("CCS",_TARGETS!$A$2:$A$17,0))</f>
        <v>OPS (carga manual en Datos)</v>
      </c>
      <c r="J383" s="258">
        <f t="shared" si="6"/>
        <v>46296</v>
      </c>
    </row>
    <row r="384" spans="1:10" ht="13.5" customHeight="1" x14ac:dyDescent="0.3">
      <c r="A384" t="s">
        <v>917</v>
      </c>
      <c r="B384" s="193" t="str">
        <f>YEAR(DATE(YEAR(RPT_MONTH),MONTH(RPT_MONTH)-0,1))&amp;"-"&amp;RIGHT("0"&amp;MONTH(DATE(YEAR(RPT_MONTH),MONTH(RPT_MONTH)-0,1)),2)</f>
        <v>2026-10</v>
      </c>
      <c r="C384" s="258">
        <f>DATE(YEAR(RPT_MONTH),MONTH(RPT_MONTH)-0,1)</f>
        <v>46296</v>
      </c>
      <c r="D384" t="s">
        <v>601</v>
      </c>
      <c r="E384" s="193" t="str">
        <f>IFERROR(INDEX(BD_KPIs!$F$2:$F$1300,MATCH(YEAR(DATE(YEAR(RPT_MONTH),MONTH(RPT_MONTH)-0,1))*100+MONTH(DATE(YEAR(RPT_MONTH),MONTH(RPT_MONTH)-0,1))&amp;"|CCS|YTD",BD_KPIs!$Q$2:$Q$1300,0)),"")</f>
        <v/>
      </c>
      <c r="F384" s="254">
        <f>IFERROR(INDEX(BD_KPIs!$G$2:$G$1300,MATCH(YEAR(DATE(YEAR(RPT_MONTH),MONTH(RPT_MONTH)-0,1))*100+MONTH(DATE(YEAR(RPT_MONTH),MONTH(RPT_MONTH)-0,1))&amp;"|CCS|YTD",BD_KPIs!$Q$2:$Q$1300,0)),"")</f>
        <v>1</v>
      </c>
      <c r="G384" s="193" t="str">
        <f>IF(ISNUMBER(E384),IF(F384="","No target",IF(IFERROR(INDEX(BD_KPIs!$I$2:$I$1300,MATCH(YEAR(DATE(YEAR(RPT_MONTH),MONTH(RPT_MONTH)-0,1))*100+MONTH(DATE(YEAR(RPT_MONTH),MONTH(RPT_MONTH)-0,1))&amp;"|CCS|YTD",BD_KPIs!$Q$2:$Q$1300,0)),"")="Sí","On target","Off target")),"No data")</f>
        <v>No data</v>
      </c>
      <c r="H384" s="193" t="str">
        <f>INDEX(_TARGETS!$D$2:$D$17,MATCH("CCS",_TARGETS!$A$2:$A$17,0))</f>
        <v>% (fracción)</v>
      </c>
      <c r="I384" s="193" t="str">
        <f>INDEX(_TARGETS!$K$2:$K$17,MATCH("CCS",_TARGETS!$A$2:$A$17,0))</f>
        <v>OPS (carga manual en Datos)</v>
      </c>
      <c r="J384" s="258">
        <f t="shared" si="6"/>
        <v>46296</v>
      </c>
    </row>
    <row r="385" spans="1:10" ht="13.5" customHeight="1" x14ac:dyDescent="0.3">
      <c r="A385" t="s">
        <v>918</v>
      </c>
      <c r="B385" s="193" t="str">
        <f>YEAR(DATE(YEAR(RPT_MONTH),MONTH(RPT_MONTH)-11,1))&amp;"-"&amp;RIGHT("0"&amp;MONTH(DATE(YEAR(RPT_MONTH),MONTH(RPT_MONTH)-11,1)),2)</f>
        <v>2025-11</v>
      </c>
      <c r="C385" s="258">
        <f>DATE(YEAR(RPT_MONTH),MONTH(RPT_MONTH)-11,1)</f>
        <v>45962</v>
      </c>
      <c r="D385" t="s">
        <v>68</v>
      </c>
      <c r="E385" s="193" t="str">
        <f>IFERROR(INDEX(BD_KPIs!$F$2:$F$1300,MATCH(YEAR(DATE(YEAR(RPT_MONTH),MONTH(RPT_MONTH)-11,1))*100+MONTH(DATE(YEAR(RPT_MONTH),MONTH(RPT_MONTH)-11,1))&amp;"|DPAS|Monthly",BD_KPIs!$Q$2:$Q$1300,0)),"")</f>
        <v/>
      </c>
      <c r="F385" s="193" t="str">
        <f>IFERROR(INDEX(BD_KPIs!$G$2:$G$1300,MATCH(YEAR(DATE(YEAR(RPT_MONTH),MONTH(RPT_MONTH)-11,1))*100+MONTH(DATE(YEAR(RPT_MONTH),MONTH(RPT_MONTH)-11,1))&amp;"|DPAS|Monthly",BD_KPIs!$Q$2:$Q$1300,0)),"")</f>
        <v/>
      </c>
      <c r="G385" s="193" t="str">
        <f>IF(ISNUMBER(E385),IF(F385="","No target",IF(IFERROR(INDEX(BD_KPIs!$I$2:$I$1300,MATCH(YEAR(DATE(YEAR(RPT_MONTH),MONTH(RPT_MONTH)-11,1))*100+MONTH(DATE(YEAR(RPT_MONTH),MONTH(RPT_MONTH)-11,1))&amp;"|DPAS|Monthly",BD_KPIs!$Q$2:$Q$1300,0)),"")="Sí","On target","Off target")),"No data")</f>
        <v>No data</v>
      </c>
      <c r="H385" s="193" t="str">
        <f>INDEX(_TARGETS!$D$2:$D$17,MATCH("DPAS",_TARGETS!$A$2:$A$17,0))</f>
        <v>días</v>
      </c>
      <c r="I385" s="193" t="str">
        <f>INDEX(_TARGETS!$K$2:$K$17,MATCH("DPAS",_TARGETS!$A$2:$A$17,0))</f>
        <v>Plant Findings (hoja Observaciones-SMP)</v>
      </c>
      <c r="J385" s="258">
        <f t="shared" si="6"/>
        <v>46296</v>
      </c>
    </row>
    <row r="386" spans="1:10" ht="13.5" customHeight="1" x14ac:dyDescent="0.3">
      <c r="A386" t="s">
        <v>918</v>
      </c>
      <c r="B386" s="193" t="str">
        <f>YEAR(DATE(YEAR(RPT_MONTH),MONTH(RPT_MONTH)-10,1))&amp;"-"&amp;RIGHT("0"&amp;MONTH(DATE(YEAR(RPT_MONTH),MONTH(RPT_MONTH)-10,1)),2)</f>
        <v>2025-12</v>
      </c>
      <c r="C386" s="258">
        <f>DATE(YEAR(RPT_MONTH),MONTH(RPT_MONTH)-10,1)</f>
        <v>45992</v>
      </c>
      <c r="D386" t="s">
        <v>68</v>
      </c>
      <c r="E386" s="193" t="str">
        <f>IFERROR(INDEX(BD_KPIs!$F$2:$F$1300,MATCH(YEAR(DATE(YEAR(RPT_MONTH),MONTH(RPT_MONTH)-10,1))*100+MONTH(DATE(YEAR(RPT_MONTH),MONTH(RPT_MONTH)-10,1))&amp;"|DPAS|Monthly",BD_KPIs!$Q$2:$Q$1300,0)),"")</f>
        <v/>
      </c>
      <c r="F386" s="193" t="str">
        <f>IFERROR(INDEX(BD_KPIs!$G$2:$G$1300,MATCH(YEAR(DATE(YEAR(RPT_MONTH),MONTH(RPT_MONTH)-10,1))*100+MONTH(DATE(YEAR(RPT_MONTH),MONTH(RPT_MONTH)-10,1))&amp;"|DPAS|Monthly",BD_KPIs!$Q$2:$Q$1300,0)),"")</f>
        <v/>
      </c>
      <c r="G386" s="193" t="str">
        <f>IF(ISNUMBER(E386),IF(F386="","No target",IF(IFERROR(INDEX(BD_KPIs!$I$2:$I$1300,MATCH(YEAR(DATE(YEAR(RPT_MONTH),MONTH(RPT_MONTH)-10,1))*100+MONTH(DATE(YEAR(RPT_MONTH),MONTH(RPT_MONTH)-10,1))&amp;"|DPAS|Monthly",BD_KPIs!$Q$2:$Q$1300,0)),"")="Sí","On target","Off target")),"No data")</f>
        <v>No data</v>
      </c>
      <c r="H386" s="193" t="str">
        <f>INDEX(_TARGETS!$D$2:$D$17,MATCH("DPAS",_TARGETS!$A$2:$A$17,0))</f>
        <v>días</v>
      </c>
      <c r="I386" s="193" t="str">
        <f>INDEX(_TARGETS!$K$2:$K$17,MATCH("DPAS",_TARGETS!$A$2:$A$17,0))</f>
        <v>Plant Findings (hoja Observaciones-SMP)</v>
      </c>
      <c r="J386" s="258">
        <f t="shared" ref="J386:J449" si="7">RPT_MONTH</f>
        <v>46296</v>
      </c>
    </row>
    <row r="387" spans="1:10" ht="13.5" customHeight="1" x14ac:dyDescent="0.3">
      <c r="A387" t="s">
        <v>918</v>
      </c>
      <c r="B387" s="193" t="str">
        <f>YEAR(DATE(YEAR(RPT_MONTH),MONTH(RPT_MONTH)-9,1))&amp;"-"&amp;RIGHT("0"&amp;MONTH(DATE(YEAR(RPT_MONTH),MONTH(RPT_MONTH)-9,1)),2)</f>
        <v>2026-01</v>
      </c>
      <c r="C387" s="258">
        <f>DATE(YEAR(RPT_MONTH),MONTH(RPT_MONTH)-9,1)</f>
        <v>46023</v>
      </c>
      <c r="D387" t="s">
        <v>68</v>
      </c>
      <c r="E387" s="193" t="str">
        <f>IFERROR(INDEX(BD_KPIs!$F$2:$F$1300,MATCH(YEAR(DATE(YEAR(RPT_MONTH),MONTH(RPT_MONTH)-9,1))*100+MONTH(DATE(YEAR(RPT_MONTH),MONTH(RPT_MONTH)-9,1))&amp;"|DPAS|Monthly",BD_KPIs!$Q$2:$Q$1300,0)),"")</f>
        <v/>
      </c>
      <c r="F387" s="193" t="str">
        <f>IFERROR(INDEX(BD_KPIs!$G$2:$G$1300,MATCH(YEAR(DATE(YEAR(RPT_MONTH),MONTH(RPT_MONTH)-9,1))*100+MONTH(DATE(YEAR(RPT_MONTH),MONTH(RPT_MONTH)-9,1))&amp;"|DPAS|Monthly",BD_KPIs!$Q$2:$Q$1300,0)),"")</f>
        <v/>
      </c>
      <c r="G387" s="193" t="str">
        <f>IF(ISNUMBER(E387),IF(F387="","No target",IF(IFERROR(INDEX(BD_KPIs!$I$2:$I$1300,MATCH(YEAR(DATE(YEAR(RPT_MONTH),MONTH(RPT_MONTH)-9,1))*100+MONTH(DATE(YEAR(RPT_MONTH),MONTH(RPT_MONTH)-9,1))&amp;"|DPAS|Monthly",BD_KPIs!$Q$2:$Q$1300,0)),"")="Sí","On target","Off target")),"No data")</f>
        <v>No data</v>
      </c>
      <c r="H387" s="193" t="str">
        <f>INDEX(_TARGETS!$D$2:$D$17,MATCH("DPAS",_TARGETS!$A$2:$A$17,0))</f>
        <v>días</v>
      </c>
      <c r="I387" s="193" t="str">
        <f>INDEX(_TARGETS!$K$2:$K$17,MATCH("DPAS",_TARGETS!$A$2:$A$17,0))</f>
        <v>Plant Findings (hoja Observaciones-SMP)</v>
      </c>
      <c r="J387" s="258">
        <f t="shared" si="7"/>
        <v>46296</v>
      </c>
    </row>
    <row r="388" spans="1:10" ht="13.5" customHeight="1" x14ac:dyDescent="0.3">
      <c r="A388" t="s">
        <v>918</v>
      </c>
      <c r="B388" s="193" t="str">
        <f>YEAR(DATE(YEAR(RPT_MONTH),MONTH(RPT_MONTH)-8,1))&amp;"-"&amp;RIGHT("0"&amp;MONTH(DATE(YEAR(RPT_MONTH),MONTH(RPT_MONTH)-8,1)),2)</f>
        <v>2026-02</v>
      </c>
      <c r="C388" s="258">
        <f>DATE(YEAR(RPT_MONTH),MONTH(RPT_MONTH)-8,1)</f>
        <v>46054</v>
      </c>
      <c r="D388" t="s">
        <v>68</v>
      </c>
      <c r="E388" s="193" t="str">
        <f>IFERROR(INDEX(BD_KPIs!$F$2:$F$1300,MATCH(YEAR(DATE(YEAR(RPT_MONTH),MONTH(RPT_MONTH)-8,1))*100+MONTH(DATE(YEAR(RPT_MONTH),MONTH(RPT_MONTH)-8,1))&amp;"|DPAS|Monthly",BD_KPIs!$Q$2:$Q$1300,0)),"")</f>
        <v/>
      </c>
      <c r="F388" s="193" t="str">
        <f>IFERROR(INDEX(BD_KPIs!$G$2:$G$1300,MATCH(YEAR(DATE(YEAR(RPT_MONTH),MONTH(RPT_MONTH)-8,1))*100+MONTH(DATE(YEAR(RPT_MONTH),MONTH(RPT_MONTH)-8,1))&amp;"|DPAS|Monthly",BD_KPIs!$Q$2:$Q$1300,0)),"")</f>
        <v/>
      </c>
      <c r="G388" s="193" t="str">
        <f>IF(ISNUMBER(E388),IF(F388="","No target",IF(IFERROR(INDEX(BD_KPIs!$I$2:$I$1300,MATCH(YEAR(DATE(YEAR(RPT_MONTH),MONTH(RPT_MONTH)-8,1))*100+MONTH(DATE(YEAR(RPT_MONTH),MONTH(RPT_MONTH)-8,1))&amp;"|DPAS|Monthly",BD_KPIs!$Q$2:$Q$1300,0)),"")="Sí","On target","Off target")),"No data")</f>
        <v>No data</v>
      </c>
      <c r="H388" s="193" t="str">
        <f>INDEX(_TARGETS!$D$2:$D$17,MATCH("DPAS",_TARGETS!$A$2:$A$17,0))</f>
        <v>días</v>
      </c>
      <c r="I388" s="193" t="str">
        <f>INDEX(_TARGETS!$K$2:$K$17,MATCH("DPAS",_TARGETS!$A$2:$A$17,0))</f>
        <v>Plant Findings (hoja Observaciones-SMP)</v>
      </c>
      <c r="J388" s="258">
        <f t="shared" si="7"/>
        <v>46296</v>
      </c>
    </row>
    <row r="389" spans="1:10" ht="13.5" customHeight="1" x14ac:dyDescent="0.3">
      <c r="A389" t="s">
        <v>918</v>
      </c>
      <c r="B389" s="193" t="str">
        <f>YEAR(DATE(YEAR(RPT_MONTH),MONTH(RPT_MONTH)-7,1))&amp;"-"&amp;RIGHT("0"&amp;MONTH(DATE(YEAR(RPT_MONTH),MONTH(RPT_MONTH)-7,1)),2)</f>
        <v>2026-03</v>
      </c>
      <c r="C389" s="258">
        <f>DATE(YEAR(RPT_MONTH),MONTH(RPT_MONTH)-7,1)</f>
        <v>46082</v>
      </c>
      <c r="D389" t="s">
        <v>68</v>
      </c>
      <c r="E389" s="193" t="str">
        <f>IFERROR(INDEX(BD_KPIs!$F$2:$F$1300,MATCH(YEAR(DATE(YEAR(RPT_MONTH),MONTH(RPT_MONTH)-7,1))*100+MONTH(DATE(YEAR(RPT_MONTH),MONTH(RPT_MONTH)-7,1))&amp;"|DPAS|Monthly",BD_KPIs!$Q$2:$Q$1300,0)),"")</f>
        <v/>
      </c>
      <c r="F389" s="193" t="str">
        <f>IFERROR(INDEX(BD_KPIs!$G$2:$G$1300,MATCH(YEAR(DATE(YEAR(RPT_MONTH),MONTH(RPT_MONTH)-7,1))*100+MONTH(DATE(YEAR(RPT_MONTH),MONTH(RPT_MONTH)-7,1))&amp;"|DPAS|Monthly",BD_KPIs!$Q$2:$Q$1300,0)),"")</f>
        <v/>
      </c>
      <c r="G389" s="193" t="str">
        <f>IF(ISNUMBER(E389),IF(F389="","No target",IF(IFERROR(INDEX(BD_KPIs!$I$2:$I$1300,MATCH(YEAR(DATE(YEAR(RPT_MONTH),MONTH(RPT_MONTH)-7,1))*100+MONTH(DATE(YEAR(RPT_MONTH),MONTH(RPT_MONTH)-7,1))&amp;"|DPAS|Monthly",BD_KPIs!$Q$2:$Q$1300,0)),"")="Sí","On target","Off target")),"No data")</f>
        <v>No data</v>
      </c>
      <c r="H389" s="193" t="str">
        <f>INDEX(_TARGETS!$D$2:$D$17,MATCH("DPAS",_TARGETS!$A$2:$A$17,0))</f>
        <v>días</v>
      </c>
      <c r="I389" s="193" t="str">
        <f>INDEX(_TARGETS!$K$2:$K$17,MATCH("DPAS",_TARGETS!$A$2:$A$17,0))</f>
        <v>Plant Findings (hoja Observaciones-SMP)</v>
      </c>
      <c r="J389" s="258">
        <f t="shared" si="7"/>
        <v>46296</v>
      </c>
    </row>
    <row r="390" spans="1:10" ht="13.5" customHeight="1" x14ac:dyDescent="0.3">
      <c r="A390" t="s">
        <v>918</v>
      </c>
      <c r="B390" s="193" t="str">
        <f>YEAR(DATE(YEAR(RPT_MONTH),MONTH(RPT_MONTH)-6,1))&amp;"-"&amp;RIGHT("0"&amp;MONTH(DATE(YEAR(RPT_MONTH),MONTH(RPT_MONTH)-6,1)),2)</f>
        <v>2026-04</v>
      </c>
      <c r="C390" s="258">
        <f>DATE(YEAR(RPT_MONTH),MONTH(RPT_MONTH)-6,1)</f>
        <v>46113</v>
      </c>
      <c r="D390" t="s">
        <v>68</v>
      </c>
      <c r="E390" s="193" t="str">
        <f>IFERROR(INDEX(BD_KPIs!$F$2:$F$1300,MATCH(YEAR(DATE(YEAR(RPT_MONTH),MONTH(RPT_MONTH)-6,1))*100+MONTH(DATE(YEAR(RPT_MONTH),MONTH(RPT_MONTH)-6,1))&amp;"|DPAS|Monthly",BD_KPIs!$Q$2:$Q$1300,0)),"")</f>
        <v/>
      </c>
      <c r="F390" s="193" t="str">
        <f>IFERROR(INDEX(BD_KPIs!$G$2:$G$1300,MATCH(YEAR(DATE(YEAR(RPT_MONTH),MONTH(RPT_MONTH)-6,1))*100+MONTH(DATE(YEAR(RPT_MONTH),MONTH(RPT_MONTH)-6,1))&amp;"|DPAS|Monthly",BD_KPIs!$Q$2:$Q$1300,0)),"")</f>
        <v/>
      </c>
      <c r="G390" s="193" t="str">
        <f>IF(ISNUMBER(E390),IF(F390="","No target",IF(IFERROR(INDEX(BD_KPIs!$I$2:$I$1300,MATCH(YEAR(DATE(YEAR(RPT_MONTH),MONTH(RPT_MONTH)-6,1))*100+MONTH(DATE(YEAR(RPT_MONTH),MONTH(RPT_MONTH)-6,1))&amp;"|DPAS|Monthly",BD_KPIs!$Q$2:$Q$1300,0)),"")="Sí","On target","Off target")),"No data")</f>
        <v>No data</v>
      </c>
      <c r="H390" s="193" t="str">
        <f>INDEX(_TARGETS!$D$2:$D$17,MATCH("DPAS",_TARGETS!$A$2:$A$17,0))</f>
        <v>días</v>
      </c>
      <c r="I390" s="193" t="str">
        <f>INDEX(_TARGETS!$K$2:$K$17,MATCH("DPAS",_TARGETS!$A$2:$A$17,0))</f>
        <v>Plant Findings (hoja Observaciones-SMP)</v>
      </c>
      <c r="J390" s="258">
        <f t="shared" si="7"/>
        <v>46296</v>
      </c>
    </row>
    <row r="391" spans="1:10" ht="13.5" customHeight="1" x14ac:dyDescent="0.3">
      <c r="A391" t="s">
        <v>918</v>
      </c>
      <c r="B391" s="193" t="str">
        <f>YEAR(DATE(YEAR(RPT_MONTH),MONTH(RPT_MONTH)-5,1))&amp;"-"&amp;RIGHT("0"&amp;MONTH(DATE(YEAR(RPT_MONTH),MONTH(RPT_MONTH)-5,1)),2)</f>
        <v>2026-05</v>
      </c>
      <c r="C391" s="258">
        <f>DATE(YEAR(RPT_MONTH),MONTH(RPT_MONTH)-5,1)</f>
        <v>46143</v>
      </c>
      <c r="D391" t="s">
        <v>68</v>
      </c>
      <c r="E391" s="193" t="str">
        <f>IFERROR(INDEX(BD_KPIs!$F$2:$F$1300,MATCH(YEAR(DATE(YEAR(RPT_MONTH),MONTH(RPT_MONTH)-5,1))*100+MONTH(DATE(YEAR(RPT_MONTH),MONTH(RPT_MONTH)-5,1))&amp;"|DPAS|Monthly",BD_KPIs!$Q$2:$Q$1300,0)),"")</f>
        <v/>
      </c>
      <c r="F391" s="193" t="str">
        <f>IFERROR(INDEX(BD_KPIs!$G$2:$G$1300,MATCH(YEAR(DATE(YEAR(RPT_MONTH),MONTH(RPT_MONTH)-5,1))*100+MONTH(DATE(YEAR(RPT_MONTH),MONTH(RPT_MONTH)-5,1))&amp;"|DPAS|Monthly",BD_KPIs!$Q$2:$Q$1300,0)),"")</f>
        <v/>
      </c>
      <c r="G391" s="193" t="str">
        <f>IF(ISNUMBER(E391),IF(F391="","No target",IF(IFERROR(INDEX(BD_KPIs!$I$2:$I$1300,MATCH(YEAR(DATE(YEAR(RPT_MONTH),MONTH(RPT_MONTH)-5,1))*100+MONTH(DATE(YEAR(RPT_MONTH),MONTH(RPT_MONTH)-5,1))&amp;"|DPAS|Monthly",BD_KPIs!$Q$2:$Q$1300,0)),"")="Sí","On target","Off target")),"No data")</f>
        <v>No data</v>
      </c>
      <c r="H391" s="193" t="str">
        <f>INDEX(_TARGETS!$D$2:$D$17,MATCH("DPAS",_TARGETS!$A$2:$A$17,0))</f>
        <v>días</v>
      </c>
      <c r="I391" s="193" t="str">
        <f>INDEX(_TARGETS!$K$2:$K$17,MATCH("DPAS",_TARGETS!$A$2:$A$17,0))</f>
        <v>Plant Findings (hoja Observaciones-SMP)</v>
      </c>
      <c r="J391" s="258">
        <f t="shared" si="7"/>
        <v>46296</v>
      </c>
    </row>
    <row r="392" spans="1:10" ht="13.5" customHeight="1" x14ac:dyDescent="0.3">
      <c r="A392" t="s">
        <v>918</v>
      </c>
      <c r="B392" s="193" t="str">
        <f>YEAR(DATE(YEAR(RPT_MONTH),MONTH(RPT_MONTH)-4,1))&amp;"-"&amp;RIGHT("0"&amp;MONTH(DATE(YEAR(RPT_MONTH),MONTH(RPT_MONTH)-4,1)),2)</f>
        <v>2026-06</v>
      </c>
      <c r="C392" s="258">
        <f>DATE(YEAR(RPT_MONTH),MONTH(RPT_MONTH)-4,1)</f>
        <v>46174</v>
      </c>
      <c r="D392" t="s">
        <v>68</v>
      </c>
      <c r="E392" s="193" t="str">
        <f>IFERROR(INDEX(BD_KPIs!$F$2:$F$1300,MATCH(YEAR(DATE(YEAR(RPT_MONTH),MONTH(RPT_MONTH)-4,1))*100+MONTH(DATE(YEAR(RPT_MONTH),MONTH(RPT_MONTH)-4,1))&amp;"|DPAS|Monthly",BD_KPIs!$Q$2:$Q$1300,0)),"")</f>
        <v/>
      </c>
      <c r="F392" s="193" t="str">
        <f>IFERROR(INDEX(BD_KPIs!$G$2:$G$1300,MATCH(YEAR(DATE(YEAR(RPT_MONTH),MONTH(RPT_MONTH)-4,1))*100+MONTH(DATE(YEAR(RPT_MONTH),MONTH(RPT_MONTH)-4,1))&amp;"|DPAS|Monthly",BD_KPIs!$Q$2:$Q$1300,0)),"")</f>
        <v/>
      </c>
      <c r="G392" s="193" t="str">
        <f>IF(ISNUMBER(E392),IF(F392="","No target",IF(IFERROR(INDEX(BD_KPIs!$I$2:$I$1300,MATCH(YEAR(DATE(YEAR(RPT_MONTH),MONTH(RPT_MONTH)-4,1))*100+MONTH(DATE(YEAR(RPT_MONTH),MONTH(RPT_MONTH)-4,1))&amp;"|DPAS|Monthly",BD_KPIs!$Q$2:$Q$1300,0)),"")="Sí","On target","Off target")),"No data")</f>
        <v>No data</v>
      </c>
      <c r="H392" s="193" t="str">
        <f>INDEX(_TARGETS!$D$2:$D$17,MATCH("DPAS",_TARGETS!$A$2:$A$17,0))</f>
        <v>días</v>
      </c>
      <c r="I392" s="193" t="str">
        <f>INDEX(_TARGETS!$K$2:$K$17,MATCH("DPAS",_TARGETS!$A$2:$A$17,0))</f>
        <v>Plant Findings (hoja Observaciones-SMP)</v>
      </c>
      <c r="J392" s="258">
        <f t="shared" si="7"/>
        <v>46296</v>
      </c>
    </row>
    <row r="393" spans="1:10" ht="13.5" customHeight="1" x14ac:dyDescent="0.3">
      <c r="A393" t="s">
        <v>918</v>
      </c>
      <c r="B393" s="193" t="str">
        <f>YEAR(DATE(YEAR(RPT_MONTH),MONTH(RPT_MONTH)-3,1))&amp;"-"&amp;RIGHT("0"&amp;MONTH(DATE(YEAR(RPT_MONTH),MONTH(RPT_MONTH)-3,1)),2)</f>
        <v>2026-07</v>
      </c>
      <c r="C393" s="258">
        <f>DATE(YEAR(RPT_MONTH),MONTH(RPT_MONTH)-3,1)</f>
        <v>46204</v>
      </c>
      <c r="D393" t="s">
        <v>68</v>
      </c>
      <c r="E393" s="193" t="str">
        <f>IFERROR(INDEX(BD_KPIs!$F$2:$F$1300,MATCH(YEAR(DATE(YEAR(RPT_MONTH),MONTH(RPT_MONTH)-3,1))*100+MONTH(DATE(YEAR(RPT_MONTH),MONTH(RPT_MONTH)-3,1))&amp;"|DPAS|Monthly",BD_KPIs!$Q$2:$Q$1300,0)),"")</f>
        <v/>
      </c>
      <c r="F393" s="193" t="str">
        <f>IFERROR(INDEX(BD_KPIs!$G$2:$G$1300,MATCH(YEAR(DATE(YEAR(RPT_MONTH),MONTH(RPT_MONTH)-3,1))*100+MONTH(DATE(YEAR(RPT_MONTH),MONTH(RPT_MONTH)-3,1))&amp;"|DPAS|Monthly",BD_KPIs!$Q$2:$Q$1300,0)),"")</f>
        <v/>
      </c>
      <c r="G393" s="193" t="str">
        <f>IF(ISNUMBER(E393),IF(F393="","No target",IF(IFERROR(INDEX(BD_KPIs!$I$2:$I$1300,MATCH(YEAR(DATE(YEAR(RPT_MONTH),MONTH(RPT_MONTH)-3,1))*100+MONTH(DATE(YEAR(RPT_MONTH),MONTH(RPT_MONTH)-3,1))&amp;"|DPAS|Monthly",BD_KPIs!$Q$2:$Q$1300,0)),"")="Sí","On target","Off target")),"No data")</f>
        <v>No data</v>
      </c>
      <c r="H393" s="193" t="str">
        <f>INDEX(_TARGETS!$D$2:$D$17,MATCH("DPAS",_TARGETS!$A$2:$A$17,0))</f>
        <v>días</v>
      </c>
      <c r="I393" s="193" t="str">
        <f>INDEX(_TARGETS!$K$2:$K$17,MATCH("DPAS",_TARGETS!$A$2:$A$17,0))</f>
        <v>Plant Findings (hoja Observaciones-SMP)</v>
      </c>
      <c r="J393" s="258">
        <f t="shared" si="7"/>
        <v>46296</v>
      </c>
    </row>
    <row r="394" spans="1:10" ht="13.5" customHeight="1" x14ac:dyDescent="0.3">
      <c r="A394" t="s">
        <v>918</v>
      </c>
      <c r="B394" s="193" t="str">
        <f>YEAR(DATE(YEAR(RPT_MONTH),MONTH(RPT_MONTH)-2,1))&amp;"-"&amp;RIGHT("0"&amp;MONTH(DATE(YEAR(RPT_MONTH),MONTH(RPT_MONTH)-2,1)),2)</f>
        <v>2026-08</v>
      </c>
      <c r="C394" s="258">
        <f>DATE(YEAR(RPT_MONTH),MONTH(RPT_MONTH)-2,1)</f>
        <v>46235</v>
      </c>
      <c r="D394" t="s">
        <v>68</v>
      </c>
      <c r="E394" s="193">
        <f>IFERROR(INDEX(BD_KPIs!$F$2:$F$1300,MATCH(YEAR(DATE(YEAR(RPT_MONTH),MONTH(RPT_MONTH)-2,1))*100+MONTH(DATE(YEAR(RPT_MONTH),MONTH(RPT_MONTH)-2,1))&amp;"|DPAS|Monthly",BD_KPIs!$Q$2:$Q$1300,0)),"")</f>
        <v>1.34615384615385</v>
      </c>
      <c r="F394" s="193" t="str">
        <f>IFERROR(INDEX(BD_KPIs!$G$2:$G$1300,MATCH(YEAR(DATE(YEAR(RPT_MONTH),MONTH(RPT_MONTH)-2,1))*100+MONTH(DATE(YEAR(RPT_MONTH),MONTH(RPT_MONTH)-2,1))&amp;"|DPAS|Monthly",BD_KPIs!$Q$2:$Q$1300,0)),"")</f>
        <v/>
      </c>
      <c r="G394" s="193" t="str">
        <f>IF(ISNUMBER(E394),IF(F394="","No target",IF(IFERROR(INDEX(BD_KPIs!$I$2:$I$1300,MATCH(YEAR(DATE(YEAR(RPT_MONTH),MONTH(RPT_MONTH)-2,1))*100+MONTH(DATE(YEAR(RPT_MONTH),MONTH(RPT_MONTH)-2,1))&amp;"|DPAS|Monthly",BD_KPIs!$Q$2:$Q$1300,0)),"")="Sí","On target","Off target")),"No data")</f>
        <v>No target</v>
      </c>
      <c r="H394" s="193" t="str">
        <f>INDEX(_TARGETS!$D$2:$D$17,MATCH("DPAS",_TARGETS!$A$2:$A$17,0))</f>
        <v>días</v>
      </c>
      <c r="I394" s="193" t="str">
        <f>INDEX(_TARGETS!$K$2:$K$17,MATCH("DPAS",_TARGETS!$A$2:$A$17,0))</f>
        <v>Plant Findings (hoja Observaciones-SMP)</v>
      </c>
      <c r="J394" s="258">
        <f t="shared" si="7"/>
        <v>46296</v>
      </c>
    </row>
    <row r="395" spans="1:10" ht="13.5" customHeight="1" x14ac:dyDescent="0.3">
      <c r="A395" t="s">
        <v>918</v>
      </c>
      <c r="B395" s="193" t="str">
        <f>YEAR(DATE(YEAR(RPT_MONTH),MONTH(RPT_MONTH)-1,1))&amp;"-"&amp;RIGHT("0"&amp;MONTH(DATE(YEAR(RPT_MONTH),MONTH(RPT_MONTH)-1,1)),2)</f>
        <v>2026-09</v>
      </c>
      <c r="C395" s="258">
        <f>DATE(YEAR(RPT_MONTH),MONTH(RPT_MONTH)-1,1)</f>
        <v>46266</v>
      </c>
      <c r="D395" t="s">
        <v>68</v>
      </c>
      <c r="E395" s="250">
        <f>IFERROR(INDEX(BD_KPIs!$F$2:$F$1300,MATCH(YEAR(DATE(YEAR(RPT_MONTH),MONTH(RPT_MONTH)-1,1))*100+MONTH(DATE(YEAR(RPT_MONTH),MONTH(RPT_MONTH)-1,1))&amp;"|DPAS|Monthly",BD_KPIs!$Q$2:$Q$1300,0)),"")</f>
        <v>0.25</v>
      </c>
      <c r="F395" s="193" t="str">
        <f>IFERROR(INDEX(BD_KPIs!$G$2:$G$1300,MATCH(YEAR(DATE(YEAR(RPT_MONTH),MONTH(RPT_MONTH)-1,1))*100+MONTH(DATE(YEAR(RPT_MONTH),MONTH(RPT_MONTH)-1,1))&amp;"|DPAS|Monthly",BD_KPIs!$Q$2:$Q$1300,0)),"")</f>
        <v/>
      </c>
      <c r="G395" s="193" t="str">
        <f>IF(ISNUMBER(E395),IF(F395="","No target",IF(IFERROR(INDEX(BD_KPIs!$I$2:$I$1300,MATCH(YEAR(DATE(YEAR(RPT_MONTH),MONTH(RPT_MONTH)-1,1))*100+MONTH(DATE(YEAR(RPT_MONTH),MONTH(RPT_MONTH)-1,1))&amp;"|DPAS|Monthly",BD_KPIs!$Q$2:$Q$1300,0)),"")="Sí","On target","Off target")),"No data")</f>
        <v>No target</v>
      </c>
      <c r="H395" s="193" t="str">
        <f>INDEX(_TARGETS!$D$2:$D$17,MATCH("DPAS",_TARGETS!$A$2:$A$17,0))</f>
        <v>días</v>
      </c>
      <c r="I395" s="193" t="str">
        <f>INDEX(_TARGETS!$K$2:$K$17,MATCH("DPAS",_TARGETS!$A$2:$A$17,0))</f>
        <v>Plant Findings (hoja Observaciones-SMP)</v>
      </c>
      <c r="J395" s="258">
        <f t="shared" si="7"/>
        <v>46296</v>
      </c>
    </row>
    <row r="396" spans="1:10" ht="13.5" customHeight="1" x14ac:dyDescent="0.3">
      <c r="A396" t="s">
        <v>918</v>
      </c>
      <c r="B396" s="193" t="str">
        <f>YEAR(DATE(YEAR(RPT_MONTH),MONTH(RPT_MONTH)-0,1))&amp;"-"&amp;RIGHT("0"&amp;MONTH(DATE(YEAR(RPT_MONTH),MONTH(RPT_MONTH)-0,1)),2)</f>
        <v>2026-10</v>
      </c>
      <c r="C396" s="258">
        <f>DATE(YEAR(RPT_MONTH),MONTH(RPT_MONTH)-0,1)</f>
        <v>46296</v>
      </c>
      <c r="D396" t="s">
        <v>68</v>
      </c>
      <c r="E396" s="193" t="str">
        <f>IFERROR(INDEX(BD_KPIs!$F$2:$F$1300,MATCH(YEAR(DATE(YEAR(RPT_MONTH),MONTH(RPT_MONTH)-0,1))*100+MONTH(DATE(YEAR(RPT_MONTH),MONTH(RPT_MONTH)-0,1))&amp;"|DPAS|Monthly",BD_KPIs!$Q$2:$Q$1300,0)),"")</f>
        <v/>
      </c>
      <c r="F396" s="193" t="str">
        <f>IFERROR(INDEX(BD_KPIs!$G$2:$G$1300,MATCH(YEAR(DATE(YEAR(RPT_MONTH),MONTH(RPT_MONTH)-0,1))*100+MONTH(DATE(YEAR(RPT_MONTH),MONTH(RPT_MONTH)-0,1))&amp;"|DPAS|Monthly",BD_KPIs!$Q$2:$Q$1300,0)),"")</f>
        <v/>
      </c>
      <c r="G396" s="193" t="str">
        <f>IF(ISNUMBER(E396),IF(F396="","No target",IF(IFERROR(INDEX(BD_KPIs!$I$2:$I$1300,MATCH(YEAR(DATE(YEAR(RPT_MONTH),MONTH(RPT_MONTH)-0,1))*100+MONTH(DATE(YEAR(RPT_MONTH),MONTH(RPT_MONTH)-0,1))&amp;"|DPAS|Monthly",BD_KPIs!$Q$2:$Q$1300,0)),"")="Sí","On target","Off target")),"No data")</f>
        <v>No data</v>
      </c>
      <c r="H396" s="193" t="str">
        <f>INDEX(_TARGETS!$D$2:$D$17,MATCH("DPAS",_TARGETS!$A$2:$A$17,0))</f>
        <v>días</v>
      </c>
      <c r="I396" s="193" t="str">
        <f>INDEX(_TARGETS!$K$2:$K$17,MATCH("DPAS",_TARGETS!$A$2:$A$17,0))</f>
        <v>Plant Findings (hoja Observaciones-SMP)</v>
      </c>
      <c r="J396" s="258">
        <f t="shared" si="7"/>
        <v>46296</v>
      </c>
    </row>
    <row r="397" spans="1:10" ht="13.5" customHeight="1" x14ac:dyDescent="0.3">
      <c r="A397" t="s">
        <v>918</v>
      </c>
      <c r="B397" s="193" t="str">
        <f>YEAR(DATE(YEAR(RPT_MONTH),MONTH(RPT_MONTH)-11,1))&amp;"-"&amp;RIGHT("0"&amp;MONTH(DATE(YEAR(RPT_MONTH),MONTH(RPT_MONTH)-11,1)),2)</f>
        <v>2025-11</v>
      </c>
      <c r="C397" s="258">
        <f>DATE(YEAR(RPT_MONTH),MONTH(RPT_MONTH)-11,1)</f>
        <v>45962</v>
      </c>
      <c r="D397" t="s">
        <v>601</v>
      </c>
      <c r="E397" s="193" t="str">
        <f>IFERROR(INDEX(BD_KPIs!$F$2:$F$1300,MATCH(YEAR(DATE(YEAR(RPT_MONTH),MONTH(RPT_MONTH)-11,1))*100+MONTH(DATE(YEAR(RPT_MONTH),MONTH(RPT_MONTH)-11,1))&amp;"|DPAS|YTD",BD_KPIs!$Q$2:$Q$1300,0)),"")</f>
        <v/>
      </c>
      <c r="F397" s="193" t="str">
        <f>IFERROR(INDEX(BD_KPIs!$G$2:$G$1300,MATCH(YEAR(DATE(YEAR(RPT_MONTH),MONTH(RPT_MONTH)-11,1))*100+MONTH(DATE(YEAR(RPT_MONTH),MONTH(RPT_MONTH)-11,1))&amp;"|DPAS|YTD",BD_KPIs!$Q$2:$Q$1300,0)),"")</f>
        <v/>
      </c>
      <c r="G397" s="193" t="str">
        <f>IF(ISNUMBER(E397),IF(F397="","No target",IF(IFERROR(INDEX(BD_KPIs!$I$2:$I$1300,MATCH(YEAR(DATE(YEAR(RPT_MONTH),MONTH(RPT_MONTH)-11,1))*100+MONTH(DATE(YEAR(RPT_MONTH),MONTH(RPT_MONTH)-11,1))&amp;"|DPAS|YTD",BD_KPIs!$Q$2:$Q$1300,0)),"")="Sí","On target","Off target")),"No data")</f>
        <v>No data</v>
      </c>
      <c r="H397" s="193" t="str">
        <f>INDEX(_TARGETS!$D$2:$D$17,MATCH("DPAS",_TARGETS!$A$2:$A$17,0))</f>
        <v>días</v>
      </c>
      <c r="I397" s="193" t="str">
        <f>INDEX(_TARGETS!$K$2:$K$17,MATCH("DPAS",_TARGETS!$A$2:$A$17,0))</f>
        <v>Plant Findings (hoja Observaciones-SMP)</v>
      </c>
      <c r="J397" s="258">
        <f t="shared" si="7"/>
        <v>46296</v>
      </c>
    </row>
    <row r="398" spans="1:10" ht="13.5" customHeight="1" x14ac:dyDescent="0.3">
      <c r="A398" t="s">
        <v>918</v>
      </c>
      <c r="B398" s="193" t="str">
        <f>YEAR(DATE(YEAR(RPT_MONTH),MONTH(RPT_MONTH)-10,1))&amp;"-"&amp;RIGHT("0"&amp;MONTH(DATE(YEAR(RPT_MONTH),MONTH(RPT_MONTH)-10,1)),2)</f>
        <v>2025-12</v>
      </c>
      <c r="C398" s="258">
        <f>DATE(YEAR(RPT_MONTH),MONTH(RPT_MONTH)-10,1)</f>
        <v>45992</v>
      </c>
      <c r="D398" t="s">
        <v>601</v>
      </c>
      <c r="E398" s="193" t="str">
        <f>IFERROR(INDEX(BD_KPIs!$F$2:$F$1300,MATCH(YEAR(DATE(YEAR(RPT_MONTH),MONTH(RPT_MONTH)-10,1))*100+MONTH(DATE(YEAR(RPT_MONTH),MONTH(RPT_MONTH)-10,1))&amp;"|DPAS|YTD",BD_KPIs!$Q$2:$Q$1300,0)),"")</f>
        <v/>
      </c>
      <c r="F398" s="193" t="str">
        <f>IFERROR(INDEX(BD_KPIs!$G$2:$G$1300,MATCH(YEAR(DATE(YEAR(RPT_MONTH),MONTH(RPT_MONTH)-10,1))*100+MONTH(DATE(YEAR(RPT_MONTH),MONTH(RPT_MONTH)-10,1))&amp;"|DPAS|YTD",BD_KPIs!$Q$2:$Q$1300,0)),"")</f>
        <v/>
      </c>
      <c r="G398" s="193" t="str">
        <f>IF(ISNUMBER(E398),IF(F398="","No target",IF(IFERROR(INDEX(BD_KPIs!$I$2:$I$1300,MATCH(YEAR(DATE(YEAR(RPT_MONTH),MONTH(RPT_MONTH)-10,1))*100+MONTH(DATE(YEAR(RPT_MONTH),MONTH(RPT_MONTH)-10,1))&amp;"|DPAS|YTD",BD_KPIs!$Q$2:$Q$1300,0)),"")="Sí","On target","Off target")),"No data")</f>
        <v>No data</v>
      </c>
      <c r="H398" s="193" t="str">
        <f>INDEX(_TARGETS!$D$2:$D$17,MATCH("DPAS",_TARGETS!$A$2:$A$17,0))</f>
        <v>días</v>
      </c>
      <c r="I398" s="193" t="str">
        <f>INDEX(_TARGETS!$K$2:$K$17,MATCH("DPAS",_TARGETS!$A$2:$A$17,0))</f>
        <v>Plant Findings (hoja Observaciones-SMP)</v>
      </c>
      <c r="J398" s="258">
        <f t="shared" si="7"/>
        <v>46296</v>
      </c>
    </row>
    <row r="399" spans="1:10" ht="13.5" customHeight="1" x14ac:dyDescent="0.3">
      <c r="A399" t="s">
        <v>918</v>
      </c>
      <c r="B399" s="193" t="str">
        <f>YEAR(DATE(YEAR(RPT_MONTH),MONTH(RPT_MONTH)-9,1))&amp;"-"&amp;RIGHT("0"&amp;MONTH(DATE(YEAR(RPT_MONTH),MONTH(RPT_MONTH)-9,1)),2)</f>
        <v>2026-01</v>
      </c>
      <c r="C399" s="258">
        <f>DATE(YEAR(RPT_MONTH),MONTH(RPT_MONTH)-9,1)</f>
        <v>46023</v>
      </c>
      <c r="D399" t="s">
        <v>601</v>
      </c>
      <c r="E399" s="193" t="str">
        <f>IFERROR(INDEX(BD_KPIs!$F$2:$F$1300,MATCH(YEAR(DATE(YEAR(RPT_MONTH),MONTH(RPT_MONTH)-9,1))*100+MONTH(DATE(YEAR(RPT_MONTH),MONTH(RPT_MONTH)-9,1))&amp;"|DPAS|YTD",BD_KPIs!$Q$2:$Q$1300,0)),"")</f>
        <v/>
      </c>
      <c r="F399" s="193" t="str">
        <f>IFERROR(INDEX(BD_KPIs!$G$2:$G$1300,MATCH(YEAR(DATE(YEAR(RPT_MONTH),MONTH(RPT_MONTH)-9,1))*100+MONTH(DATE(YEAR(RPT_MONTH),MONTH(RPT_MONTH)-9,1))&amp;"|DPAS|YTD",BD_KPIs!$Q$2:$Q$1300,0)),"")</f>
        <v/>
      </c>
      <c r="G399" s="193" t="str">
        <f>IF(ISNUMBER(E399),IF(F399="","No target",IF(IFERROR(INDEX(BD_KPIs!$I$2:$I$1300,MATCH(YEAR(DATE(YEAR(RPT_MONTH),MONTH(RPT_MONTH)-9,1))*100+MONTH(DATE(YEAR(RPT_MONTH),MONTH(RPT_MONTH)-9,1))&amp;"|DPAS|YTD",BD_KPIs!$Q$2:$Q$1300,0)),"")="Sí","On target","Off target")),"No data")</f>
        <v>No data</v>
      </c>
      <c r="H399" s="193" t="str">
        <f>INDEX(_TARGETS!$D$2:$D$17,MATCH("DPAS",_TARGETS!$A$2:$A$17,0))</f>
        <v>días</v>
      </c>
      <c r="I399" s="193" t="str">
        <f>INDEX(_TARGETS!$K$2:$K$17,MATCH("DPAS",_TARGETS!$A$2:$A$17,0))</f>
        <v>Plant Findings (hoja Observaciones-SMP)</v>
      </c>
      <c r="J399" s="258">
        <f t="shared" si="7"/>
        <v>46296</v>
      </c>
    </row>
    <row r="400" spans="1:10" ht="13.5" customHeight="1" x14ac:dyDescent="0.3">
      <c r="A400" t="s">
        <v>918</v>
      </c>
      <c r="B400" s="193" t="str">
        <f>YEAR(DATE(YEAR(RPT_MONTH),MONTH(RPT_MONTH)-8,1))&amp;"-"&amp;RIGHT("0"&amp;MONTH(DATE(YEAR(RPT_MONTH),MONTH(RPT_MONTH)-8,1)),2)</f>
        <v>2026-02</v>
      </c>
      <c r="C400" s="258">
        <f>DATE(YEAR(RPT_MONTH),MONTH(RPT_MONTH)-8,1)</f>
        <v>46054</v>
      </c>
      <c r="D400" t="s">
        <v>601</v>
      </c>
      <c r="E400" s="193" t="str">
        <f>IFERROR(INDEX(BD_KPIs!$F$2:$F$1300,MATCH(YEAR(DATE(YEAR(RPT_MONTH),MONTH(RPT_MONTH)-8,1))*100+MONTH(DATE(YEAR(RPT_MONTH),MONTH(RPT_MONTH)-8,1))&amp;"|DPAS|YTD",BD_KPIs!$Q$2:$Q$1300,0)),"")</f>
        <v/>
      </c>
      <c r="F400" s="193" t="str">
        <f>IFERROR(INDEX(BD_KPIs!$G$2:$G$1300,MATCH(YEAR(DATE(YEAR(RPT_MONTH),MONTH(RPT_MONTH)-8,1))*100+MONTH(DATE(YEAR(RPT_MONTH),MONTH(RPT_MONTH)-8,1))&amp;"|DPAS|YTD",BD_KPIs!$Q$2:$Q$1300,0)),"")</f>
        <v/>
      </c>
      <c r="G400" s="193" t="str">
        <f>IF(ISNUMBER(E400),IF(F400="","No target",IF(IFERROR(INDEX(BD_KPIs!$I$2:$I$1300,MATCH(YEAR(DATE(YEAR(RPT_MONTH),MONTH(RPT_MONTH)-8,1))*100+MONTH(DATE(YEAR(RPT_MONTH),MONTH(RPT_MONTH)-8,1))&amp;"|DPAS|YTD",BD_KPIs!$Q$2:$Q$1300,0)),"")="Sí","On target","Off target")),"No data")</f>
        <v>No data</v>
      </c>
      <c r="H400" s="193" t="str">
        <f>INDEX(_TARGETS!$D$2:$D$17,MATCH("DPAS",_TARGETS!$A$2:$A$17,0))</f>
        <v>días</v>
      </c>
      <c r="I400" s="193" t="str">
        <f>INDEX(_TARGETS!$K$2:$K$17,MATCH("DPAS",_TARGETS!$A$2:$A$17,0))</f>
        <v>Plant Findings (hoja Observaciones-SMP)</v>
      </c>
      <c r="J400" s="258">
        <f t="shared" si="7"/>
        <v>46296</v>
      </c>
    </row>
    <row r="401" spans="1:10" ht="13.5" customHeight="1" x14ac:dyDescent="0.3">
      <c r="A401" t="s">
        <v>918</v>
      </c>
      <c r="B401" s="193" t="str">
        <f>YEAR(DATE(YEAR(RPT_MONTH),MONTH(RPT_MONTH)-7,1))&amp;"-"&amp;RIGHT("0"&amp;MONTH(DATE(YEAR(RPT_MONTH),MONTH(RPT_MONTH)-7,1)),2)</f>
        <v>2026-03</v>
      </c>
      <c r="C401" s="258">
        <f>DATE(YEAR(RPT_MONTH),MONTH(RPT_MONTH)-7,1)</f>
        <v>46082</v>
      </c>
      <c r="D401" t="s">
        <v>601</v>
      </c>
      <c r="E401" s="193" t="str">
        <f>IFERROR(INDEX(BD_KPIs!$F$2:$F$1300,MATCH(YEAR(DATE(YEAR(RPT_MONTH),MONTH(RPT_MONTH)-7,1))*100+MONTH(DATE(YEAR(RPT_MONTH),MONTH(RPT_MONTH)-7,1))&amp;"|DPAS|YTD",BD_KPIs!$Q$2:$Q$1300,0)),"")</f>
        <v/>
      </c>
      <c r="F401" s="193" t="str">
        <f>IFERROR(INDEX(BD_KPIs!$G$2:$G$1300,MATCH(YEAR(DATE(YEAR(RPT_MONTH),MONTH(RPT_MONTH)-7,1))*100+MONTH(DATE(YEAR(RPT_MONTH),MONTH(RPT_MONTH)-7,1))&amp;"|DPAS|YTD",BD_KPIs!$Q$2:$Q$1300,0)),"")</f>
        <v/>
      </c>
      <c r="G401" s="193" t="str">
        <f>IF(ISNUMBER(E401),IF(F401="","No target",IF(IFERROR(INDEX(BD_KPIs!$I$2:$I$1300,MATCH(YEAR(DATE(YEAR(RPT_MONTH),MONTH(RPT_MONTH)-7,1))*100+MONTH(DATE(YEAR(RPT_MONTH),MONTH(RPT_MONTH)-7,1))&amp;"|DPAS|YTD",BD_KPIs!$Q$2:$Q$1300,0)),"")="Sí","On target","Off target")),"No data")</f>
        <v>No data</v>
      </c>
      <c r="H401" s="193" t="str">
        <f>INDEX(_TARGETS!$D$2:$D$17,MATCH("DPAS",_TARGETS!$A$2:$A$17,0))</f>
        <v>días</v>
      </c>
      <c r="I401" s="193" t="str">
        <f>INDEX(_TARGETS!$K$2:$K$17,MATCH("DPAS",_TARGETS!$A$2:$A$17,0))</f>
        <v>Plant Findings (hoja Observaciones-SMP)</v>
      </c>
      <c r="J401" s="258">
        <f t="shared" si="7"/>
        <v>46296</v>
      </c>
    </row>
    <row r="402" spans="1:10" ht="13.5" customHeight="1" x14ac:dyDescent="0.3">
      <c r="A402" t="s">
        <v>918</v>
      </c>
      <c r="B402" s="193" t="str">
        <f>YEAR(DATE(YEAR(RPT_MONTH),MONTH(RPT_MONTH)-6,1))&amp;"-"&amp;RIGHT("0"&amp;MONTH(DATE(YEAR(RPT_MONTH),MONTH(RPT_MONTH)-6,1)),2)</f>
        <v>2026-04</v>
      </c>
      <c r="C402" s="258">
        <f>DATE(YEAR(RPT_MONTH),MONTH(RPT_MONTH)-6,1)</f>
        <v>46113</v>
      </c>
      <c r="D402" t="s">
        <v>601</v>
      </c>
      <c r="E402" s="193" t="str">
        <f>IFERROR(INDEX(BD_KPIs!$F$2:$F$1300,MATCH(YEAR(DATE(YEAR(RPT_MONTH),MONTH(RPT_MONTH)-6,1))*100+MONTH(DATE(YEAR(RPT_MONTH),MONTH(RPT_MONTH)-6,1))&amp;"|DPAS|YTD",BD_KPIs!$Q$2:$Q$1300,0)),"")</f>
        <v/>
      </c>
      <c r="F402" s="193" t="str">
        <f>IFERROR(INDEX(BD_KPIs!$G$2:$G$1300,MATCH(YEAR(DATE(YEAR(RPT_MONTH),MONTH(RPT_MONTH)-6,1))*100+MONTH(DATE(YEAR(RPT_MONTH),MONTH(RPT_MONTH)-6,1))&amp;"|DPAS|YTD",BD_KPIs!$Q$2:$Q$1300,0)),"")</f>
        <v/>
      </c>
      <c r="G402" s="193" t="str">
        <f>IF(ISNUMBER(E402),IF(F402="","No target",IF(IFERROR(INDEX(BD_KPIs!$I$2:$I$1300,MATCH(YEAR(DATE(YEAR(RPT_MONTH),MONTH(RPT_MONTH)-6,1))*100+MONTH(DATE(YEAR(RPT_MONTH),MONTH(RPT_MONTH)-6,1))&amp;"|DPAS|YTD",BD_KPIs!$Q$2:$Q$1300,0)),"")="Sí","On target","Off target")),"No data")</f>
        <v>No data</v>
      </c>
      <c r="H402" s="193" t="str">
        <f>INDEX(_TARGETS!$D$2:$D$17,MATCH("DPAS",_TARGETS!$A$2:$A$17,0))</f>
        <v>días</v>
      </c>
      <c r="I402" s="193" t="str">
        <f>INDEX(_TARGETS!$K$2:$K$17,MATCH("DPAS",_TARGETS!$A$2:$A$17,0))</f>
        <v>Plant Findings (hoja Observaciones-SMP)</v>
      </c>
      <c r="J402" s="258">
        <f t="shared" si="7"/>
        <v>46296</v>
      </c>
    </row>
    <row r="403" spans="1:10" ht="13.5" customHeight="1" x14ac:dyDescent="0.3">
      <c r="A403" t="s">
        <v>918</v>
      </c>
      <c r="B403" s="193" t="str">
        <f>YEAR(DATE(YEAR(RPT_MONTH),MONTH(RPT_MONTH)-5,1))&amp;"-"&amp;RIGHT("0"&amp;MONTH(DATE(YEAR(RPT_MONTH),MONTH(RPT_MONTH)-5,1)),2)</f>
        <v>2026-05</v>
      </c>
      <c r="C403" s="258">
        <f>DATE(YEAR(RPT_MONTH),MONTH(RPT_MONTH)-5,1)</f>
        <v>46143</v>
      </c>
      <c r="D403" t="s">
        <v>601</v>
      </c>
      <c r="E403" s="193" t="str">
        <f>IFERROR(INDEX(BD_KPIs!$F$2:$F$1300,MATCH(YEAR(DATE(YEAR(RPT_MONTH),MONTH(RPT_MONTH)-5,1))*100+MONTH(DATE(YEAR(RPT_MONTH),MONTH(RPT_MONTH)-5,1))&amp;"|DPAS|YTD",BD_KPIs!$Q$2:$Q$1300,0)),"")</f>
        <v/>
      </c>
      <c r="F403" s="193" t="str">
        <f>IFERROR(INDEX(BD_KPIs!$G$2:$G$1300,MATCH(YEAR(DATE(YEAR(RPT_MONTH),MONTH(RPT_MONTH)-5,1))*100+MONTH(DATE(YEAR(RPT_MONTH),MONTH(RPT_MONTH)-5,1))&amp;"|DPAS|YTD",BD_KPIs!$Q$2:$Q$1300,0)),"")</f>
        <v/>
      </c>
      <c r="G403" s="193" t="str">
        <f>IF(ISNUMBER(E403),IF(F403="","No target",IF(IFERROR(INDEX(BD_KPIs!$I$2:$I$1300,MATCH(YEAR(DATE(YEAR(RPT_MONTH),MONTH(RPT_MONTH)-5,1))*100+MONTH(DATE(YEAR(RPT_MONTH),MONTH(RPT_MONTH)-5,1))&amp;"|DPAS|YTD",BD_KPIs!$Q$2:$Q$1300,0)),"")="Sí","On target","Off target")),"No data")</f>
        <v>No data</v>
      </c>
      <c r="H403" s="193" t="str">
        <f>INDEX(_TARGETS!$D$2:$D$17,MATCH("DPAS",_TARGETS!$A$2:$A$17,0))</f>
        <v>días</v>
      </c>
      <c r="I403" s="193" t="str">
        <f>INDEX(_TARGETS!$K$2:$K$17,MATCH("DPAS",_TARGETS!$A$2:$A$17,0))</f>
        <v>Plant Findings (hoja Observaciones-SMP)</v>
      </c>
      <c r="J403" s="258">
        <f t="shared" si="7"/>
        <v>46296</v>
      </c>
    </row>
    <row r="404" spans="1:10" ht="13.5" customHeight="1" x14ac:dyDescent="0.3">
      <c r="A404" t="s">
        <v>918</v>
      </c>
      <c r="B404" s="193" t="str">
        <f>YEAR(DATE(YEAR(RPT_MONTH),MONTH(RPT_MONTH)-4,1))&amp;"-"&amp;RIGHT("0"&amp;MONTH(DATE(YEAR(RPT_MONTH),MONTH(RPT_MONTH)-4,1)),2)</f>
        <v>2026-06</v>
      </c>
      <c r="C404" s="258">
        <f>DATE(YEAR(RPT_MONTH),MONTH(RPT_MONTH)-4,1)</f>
        <v>46174</v>
      </c>
      <c r="D404" t="s">
        <v>601</v>
      </c>
      <c r="E404" s="193" t="str">
        <f>IFERROR(INDEX(BD_KPIs!$F$2:$F$1300,MATCH(YEAR(DATE(YEAR(RPT_MONTH),MONTH(RPT_MONTH)-4,1))*100+MONTH(DATE(YEAR(RPT_MONTH),MONTH(RPT_MONTH)-4,1))&amp;"|DPAS|YTD",BD_KPIs!$Q$2:$Q$1300,0)),"")</f>
        <v/>
      </c>
      <c r="F404" s="193" t="str">
        <f>IFERROR(INDEX(BD_KPIs!$G$2:$G$1300,MATCH(YEAR(DATE(YEAR(RPT_MONTH),MONTH(RPT_MONTH)-4,1))*100+MONTH(DATE(YEAR(RPT_MONTH),MONTH(RPT_MONTH)-4,1))&amp;"|DPAS|YTD",BD_KPIs!$Q$2:$Q$1300,0)),"")</f>
        <v/>
      </c>
      <c r="G404" s="193" t="str">
        <f>IF(ISNUMBER(E404),IF(F404="","No target",IF(IFERROR(INDEX(BD_KPIs!$I$2:$I$1300,MATCH(YEAR(DATE(YEAR(RPT_MONTH),MONTH(RPT_MONTH)-4,1))*100+MONTH(DATE(YEAR(RPT_MONTH),MONTH(RPT_MONTH)-4,1))&amp;"|DPAS|YTD",BD_KPIs!$Q$2:$Q$1300,0)),"")="Sí","On target","Off target")),"No data")</f>
        <v>No data</v>
      </c>
      <c r="H404" s="193" t="str">
        <f>INDEX(_TARGETS!$D$2:$D$17,MATCH("DPAS",_TARGETS!$A$2:$A$17,0))</f>
        <v>días</v>
      </c>
      <c r="I404" s="193" t="str">
        <f>INDEX(_TARGETS!$K$2:$K$17,MATCH("DPAS",_TARGETS!$A$2:$A$17,0))</f>
        <v>Plant Findings (hoja Observaciones-SMP)</v>
      </c>
      <c r="J404" s="258">
        <f t="shared" si="7"/>
        <v>46296</v>
      </c>
    </row>
    <row r="405" spans="1:10" ht="13.5" customHeight="1" x14ac:dyDescent="0.3">
      <c r="A405" t="s">
        <v>918</v>
      </c>
      <c r="B405" s="193" t="str">
        <f>YEAR(DATE(YEAR(RPT_MONTH),MONTH(RPT_MONTH)-3,1))&amp;"-"&amp;RIGHT("0"&amp;MONTH(DATE(YEAR(RPT_MONTH),MONTH(RPT_MONTH)-3,1)),2)</f>
        <v>2026-07</v>
      </c>
      <c r="C405" s="258">
        <f>DATE(YEAR(RPT_MONTH),MONTH(RPT_MONTH)-3,1)</f>
        <v>46204</v>
      </c>
      <c r="D405" t="s">
        <v>601</v>
      </c>
      <c r="E405" s="193" t="str">
        <f>IFERROR(INDEX(BD_KPIs!$F$2:$F$1300,MATCH(YEAR(DATE(YEAR(RPT_MONTH),MONTH(RPT_MONTH)-3,1))*100+MONTH(DATE(YEAR(RPT_MONTH),MONTH(RPT_MONTH)-3,1))&amp;"|DPAS|YTD",BD_KPIs!$Q$2:$Q$1300,0)),"")</f>
        <v/>
      </c>
      <c r="F405" s="193" t="str">
        <f>IFERROR(INDEX(BD_KPIs!$G$2:$G$1300,MATCH(YEAR(DATE(YEAR(RPT_MONTH),MONTH(RPT_MONTH)-3,1))*100+MONTH(DATE(YEAR(RPT_MONTH),MONTH(RPT_MONTH)-3,1))&amp;"|DPAS|YTD",BD_KPIs!$Q$2:$Q$1300,0)),"")</f>
        <v/>
      </c>
      <c r="G405" s="193" t="str">
        <f>IF(ISNUMBER(E405),IF(F405="","No target",IF(IFERROR(INDEX(BD_KPIs!$I$2:$I$1300,MATCH(YEAR(DATE(YEAR(RPT_MONTH),MONTH(RPT_MONTH)-3,1))*100+MONTH(DATE(YEAR(RPT_MONTH),MONTH(RPT_MONTH)-3,1))&amp;"|DPAS|YTD",BD_KPIs!$Q$2:$Q$1300,0)),"")="Sí","On target","Off target")),"No data")</f>
        <v>No data</v>
      </c>
      <c r="H405" s="193" t="str">
        <f>INDEX(_TARGETS!$D$2:$D$17,MATCH("DPAS",_TARGETS!$A$2:$A$17,0))</f>
        <v>días</v>
      </c>
      <c r="I405" s="193" t="str">
        <f>INDEX(_TARGETS!$K$2:$K$17,MATCH("DPAS",_TARGETS!$A$2:$A$17,0))</f>
        <v>Plant Findings (hoja Observaciones-SMP)</v>
      </c>
      <c r="J405" s="258">
        <f t="shared" si="7"/>
        <v>46296</v>
      </c>
    </row>
    <row r="406" spans="1:10" ht="13.5" customHeight="1" x14ac:dyDescent="0.3">
      <c r="A406" t="s">
        <v>918</v>
      </c>
      <c r="B406" s="193" t="str">
        <f>YEAR(DATE(YEAR(RPT_MONTH),MONTH(RPT_MONTH)-2,1))&amp;"-"&amp;RIGHT("0"&amp;MONTH(DATE(YEAR(RPT_MONTH),MONTH(RPT_MONTH)-2,1)),2)</f>
        <v>2026-08</v>
      </c>
      <c r="C406" s="258">
        <f>DATE(YEAR(RPT_MONTH),MONTH(RPT_MONTH)-2,1)</f>
        <v>46235</v>
      </c>
      <c r="D406" t="s">
        <v>601</v>
      </c>
      <c r="E406" s="193">
        <f>IFERROR(INDEX(BD_KPIs!$F$2:$F$1300,MATCH(YEAR(DATE(YEAR(RPT_MONTH),MONTH(RPT_MONTH)-2,1))*100+MONTH(DATE(YEAR(RPT_MONTH),MONTH(RPT_MONTH)-2,1))&amp;"|DPAS|YTD",BD_KPIs!$Q$2:$Q$1300,0)),"")</f>
        <v>1.34615384615385</v>
      </c>
      <c r="F406" s="193" t="str">
        <f>IFERROR(INDEX(BD_KPIs!$G$2:$G$1300,MATCH(YEAR(DATE(YEAR(RPT_MONTH),MONTH(RPT_MONTH)-2,1))*100+MONTH(DATE(YEAR(RPT_MONTH),MONTH(RPT_MONTH)-2,1))&amp;"|DPAS|YTD",BD_KPIs!$Q$2:$Q$1300,0)),"")</f>
        <v/>
      </c>
      <c r="G406" s="193" t="str">
        <f>IF(ISNUMBER(E406),IF(F406="","No target",IF(IFERROR(INDEX(BD_KPIs!$I$2:$I$1300,MATCH(YEAR(DATE(YEAR(RPT_MONTH),MONTH(RPT_MONTH)-2,1))*100+MONTH(DATE(YEAR(RPT_MONTH),MONTH(RPT_MONTH)-2,1))&amp;"|DPAS|YTD",BD_KPIs!$Q$2:$Q$1300,0)),"")="Sí","On target","Off target")),"No data")</f>
        <v>No target</v>
      </c>
      <c r="H406" s="193" t="str">
        <f>INDEX(_TARGETS!$D$2:$D$17,MATCH("DPAS",_TARGETS!$A$2:$A$17,0))</f>
        <v>días</v>
      </c>
      <c r="I406" s="193" t="str">
        <f>INDEX(_TARGETS!$K$2:$K$17,MATCH("DPAS",_TARGETS!$A$2:$A$17,0))</f>
        <v>Plant Findings (hoja Observaciones-SMP)</v>
      </c>
      <c r="J406" s="258">
        <f t="shared" si="7"/>
        <v>46296</v>
      </c>
    </row>
    <row r="407" spans="1:10" ht="13.5" customHeight="1" x14ac:dyDescent="0.3">
      <c r="A407" t="s">
        <v>918</v>
      </c>
      <c r="B407" s="193" t="str">
        <f>YEAR(DATE(YEAR(RPT_MONTH),MONTH(RPT_MONTH)-1,1))&amp;"-"&amp;RIGHT("0"&amp;MONTH(DATE(YEAR(RPT_MONTH),MONTH(RPT_MONTH)-1,1)),2)</f>
        <v>2026-09</v>
      </c>
      <c r="C407" s="258">
        <f>DATE(YEAR(RPT_MONTH),MONTH(RPT_MONTH)-1,1)</f>
        <v>46266</v>
      </c>
      <c r="D407" t="s">
        <v>601</v>
      </c>
      <c r="E407" s="251">
        <f>IFERROR(INDEX(BD_KPIs!$F$2:$F$1300,MATCH(YEAR(DATE(YEAR(RPT_MONTH),MONTH(RPT_MONTH)-1,1))*100+MONTH(DATE(YEAR(RPT_MONTH),MONTH(RPT_MONTH)-1,1))&amp;"|DPAS|YTD",BD_KPIs!$Q$2:$Q$1300,0)),"")</f>
        <v>1.08823529411765</v>
      </c>
      <c r="F407" s="193" t="str">
        <f>IFERROR(INDEX(BD_KPIs!$G$2:$G$1300,MATCH(YEAR(DATE(YEAR(RPT_MONTH),MONTH(RPT_MONTH)-1,1))*100+MONTH(DATE(YEAR(RPT_MONTH),MONTH(RPT_MONTH)-1,1))&amp;"|DPAS|YTD",BD_KPIs!$Q$2:$Q$1300,0)),"")</f>
        <v/>
      </c>
      <c r="G407" s="193" t="str">
        <f>IF(ISNUMBER(E407),IF(F407="","No target",IF(IFERROR(INDEX(BD_KPIs!$I$2:$I$1300,MATCH(YEAR(DATE(YEAR(RPT_MONTH),MONTH(RPT_MONTH)-1,1))*100+MONTH(DATE(YEAR(RPT_MONTH),MONTH(RPT_MONTH)-1,1))&amp;"|DPAS|YTD",BD_KPIs!$Q$2:$Q$1300,0)),"")="Sí","On target","Off target")),"No data")</f>
        <v>No target</v>
      </c>
      <c r="H407" s="193" t="str">
        <f>INDEX(_TARGETS!$D$2:$D$17,MATCH("DPAS",_TARGETS!$A$2:$A$17,0))</f>
        <v>días</v>
      </c>
      <c r="I407" s="193" t="str">
        <f>INDEX(_TARGETS!$K$2:$K$17,MATCH("DPAS",_TARGETS!$A$2:$A$17,0))</f>
        <v>Plant Findings (hoja Observaciones-SMP)</v>
      </c>
      <c r="J407" s="258">
        <f t="shared" si="7"/>
        <v>46296</v>
      </c>
    </row>
    <row r="408" spans="1:10" ht="13.5" customHeight="1" x14ac:dyDescent="0.3">
      <c r="A408" t="s">
        <v>918</v>
      </c>
      <c r="B408" s="193" t="str">
        <f>YEAR(DATE(YEAR(RPT_MONTH),MONTH(RPT_MONTH)-0,1))&amp;"-"&amp;RIGHT("0"&amp;MONTH(DATE(YEAR(RPT_MONTH),MONTH(RPT_MONTH)-0,1)),2)</f>
        <v>2026-10</v>
      </c>
      <c r="C408" s="258">
        <f>DATE(YEAR(RPT_MONTH),MONTH(RPT_MONTH)-0,1)</f>
        <v>46296</v>
      </c>
      <c r="D408" t="s">
        <v>601</v>
      </c>
      <c r="E408" s="193" t="str">
        <f>IFERROR(INDEX(BD_KPIs!$F$2:$F$1300,MATCH(YEAR(DATE(YEAR(RPT_MONTH),MONTH(RPT_MONTH)-0,1))*100+MONTH(DATE(YEAR(RPT_MONTH),MONTH(RPT_MONTH)-0,1))&amp;"|DPAS|YTD",BD_KPIs!$Q$2:$Q$1300,0)),"")</f>
        <v/>
      </c>
      <c r="F408" s="193" t="str">
        <f>IFERROR(INDEX(BD_KPIs!$G$2:$G$1300,MATCH(YEAR(DATE(YEAR(RPT_MONTH),MONTH(RPT_MONTH)-0,1))*100+MONTH(DATE(YEAR(RPT_MONTH),MONTH(RPT_MONTH)-0,1))&amp;"|DPAS|YTD",BD_KPIs!$Q$2:$Q$1300,0)),"")</f>
        <v/>
      </c>
      <c r="G408" s="193" t="str">
        <f>IF(ISNUMBER(E408),IF(F408="","No target",IF(IFERROR(INDEX(BD_KPIs!$I$2:$I$1300,MATCH(YEAR(DATE(YEAR(RPT_MONTH),MONTH(RPT_MONTH)-0,1))*100+MONTH(DATE(YEAR(RPT_MONTH),MONTH(RPT_MONTH)-0,1))&amp;"|DPAS|YTD",BD_KPIs!$Q$2:$Q$1300,0)),"")="Sí","On target","Off target")),"No data")</f>
        <v>No data</v>
      </c>
      <c r="H408" s="193" t="str">
        <f>INDEX(_TARGETS!$D$2:$D$17,MATCH("DPAS",_TARGETS!$A$2:$A$17,0))</f>
        <v>días</v>
      </c>
      <c r="I408" s="193" t="str">
        <f>INDEX(_TARGETS!$K$2:$K$17,MATCH("DPAS",_TARGETS!$A$2:$A$17,0))</f>
        <v>Plant Findings (hoja Observaciones-SMP)</v>
      </c>
      <c r="J408" s="258">
        <f t="shared" si="7"/>
        <v>46296</v>
      </c>
    </row>
    <row r="409" spans="1:10" ht="13.5" customHeight="1" x14ac:dyDescent="0.3">
      <c r="A409" t="s">
        <v>919</v>
      </c>
      <c r="B409" s="193" t="str">
        <f>YEAR(DATE(YEAR(RPT_MONTH),MONTH(RPT_MONTH)-11,1))&amp;"-"&amp;RIGHT("0"&amp;MONTH(DATE(YEAR(RPT_MONTH),MONTH(RPT_MONTH)-11,1)),2)</f>
        <v>2025-11</v>
      </c>
      <c r="C409" s="258">
        <f>DATE(YEAR(RPT_MONTH),MONTH(RPT_MONTH)-11,1)</f>
        <v>45962</v>
      </c>
      <c r="D409" t="s">
        <v>68</v>
      </c>
      <c r="E409" s="193" t="str">
        <f>IFERROR(INDEX(BD_KPIs!$F$2:$F$1300,MATCH(YEAR(DATE(YEAR(RPT_MONTH),MONTH(RPT_MONTH)-11,1))*100+MONTH(DATE(YEAR(RPT_MONTH),MONTH(RPT_MONTH)-11,1))&amp;"|HAL_ALTA_PCT|Monthly",BD_KPIs!$Q$2:$Q$1300,0)),"")</f>
        <v/>
      </c>
      <c r="F409" s="193" t="str">
        <f>IFERROR(INDEX(BD_KPIs!$G$2:$G$1300,MATCH(YEAR(DATE(YEAR(RPT_MONTH),MONTH(RPT_MONTH)-11,1))*100+MONTH(DATE(YEAR(RPT_MONTH),MONTH(RPT_MONTH)-11,1))&amp;"|HAL_ALTA_PCT|Monthly",BD_KPIs!$Q$2:$Q$1300,0)),"")</f>
        <v/>
      </c>
      <c r="G409" s="193" t="str">
        <f>IF(ISNUMBER(E409),IF(F409="","No target",IF(IFERROR(INDEX(BD_KPIs!$I$2:$I$1300,MATCH(YEAR(DATE(YEAR(RPT_MONTH),MONTH(RPT_MONTH)-11,1))*100+MONTH(DATE(YEAR(RPT_MONTH),MONTH(RPT_MONTH)-11,1))&amp;"|HAL_ALTA_PCT|Monthly",BD_KPIs!$Q$2:$Q$1300,0)),"")="Sí","On target","Off target")),"No data")</f>
        <v>No data</v>
      </c>
      <c r="H409" s="193" t="str">
        <f>INDEX(_TARGETS!$D$2:$D$17,MATCH("HAL_ALTA_PCT",_TARGETS!$A$2:$A$17,0))</f>
        <v>% (fracción)</v>
      </c>
      <c r="I409" s="193" t="str">
        <f>INDEX(_TARGETS!$K$2:$K$17,MATCH("HAL_ALTA_PCT",_TARGETS!$A$2:$A$17,0))</f>
        <v>Plant Findings (hoja Observaciones-SMP)</v>
      </c>
      <c r="J409" s="258">
        <f t="shared" si="7"/>
        <v>46296</v>
      </c>
    </row>
    <row r="410" spans="1:10" ht="13.5" customHeight="1" x14ac:dyDescent="0.3">
      <c r="A410" t="s">
        <v>919</v>
      </c>
      <c r="B410" s="193" t="str">
        <f>YEAR(DATE(YEAR(RPT_MONTH),MONTH(RPT_MONTH)-10,1))&amp;"-"&amp;RIGHT("0"&amp;MONTH(DATE(YEAR(RPT_MONTH),MONTH(RPT_MONTH)-10,1)),2)</f>
        <v>2025-12</v>
      </c>
      <c r="C410" s="258">
        <f>DATE(YEAR(RPT_MONTH),MONTH(RPT_MONTH)-10,1)</f>
        <v>45992</v>
      </c>
      <c r="D410" t="s">
        <v>68</v>
      </c>
      <c r="E410" s="193" t="str">
        <f>IFERROR(INDEX(BD_KPIs!$F$2:$F$1300,MATCH(YEAR(DATE(YEAR(RPT_MONTH),MONTH(RPT_MONTH)-10,1))*100+MONTH(DATE(YEAR(RPT_MONTH),MONTH(RPT_MONTH)-10,1))&amp;"|HAL_ALTA_PCT|Monthly",BD_KPIs!$Q$2:$Q$1300,0)),"")</f>
        <v/>
      </c>
      <c r="F410" s="193" t="str">
        <f>IFERROR(INDEX(BD_KPIs!$G$2:$G$1300,MATCH(YEAR(DATE(YEAR(RPT_MONTH),MONTH(RPT_MONTH)-10,1))*100+MONTH(DATE(YEAR(RPT_MONTH),MONTH(RPT_MONTH)-10,1))&amp;"|HAL_ALTA_PCT|Monthly",BD_KPIs!$Q$2:$Q$1300,0)),"")</f>
        <v/>
      </c>
      <c r="G410" s="193" t="str">
        <f>IF(ISNUMBER(E410),IF(F410="","No target",IF(IFERROR(INDEX(BD_KPIs!$I$2:$I$1300,MATCH(YEAR(DATE(YEAR(RPT_MONTH),MONTH(RPT_MONTH)-10,1))*100+MONTH(DATE(YEAR(RPT_MONTH),MONTH(RPT_MONTH)-10,1))&amp;"|HAL_ALTA_PCT|Monthly",BD_KPIs!$Q$2:$Q$1300,0)),"")="Sí","On target","Off target")),"No data")</f>
        <v>No data</v>
      </c>
      <c r="H410" s="193" t="str">
        <f>INDEX(_TARGETS!$D$2:$D$17,MATCH("HAL_ALTA_PCT",_TARGETS!$A$2:$A$17,0))</f>
        <v>% (fracción)</v>
      </c>
      <c r="I410" s="193" t="str">
        <f>INDEX(_TARGETS!$K$2:$K$17,MATCH("HAL_ALTA_PCT",_TARGETS!$A$2:$A$17,0))</f>
        <v>Plant Findings (hoja Observaciones-SMP)</v>
      </c>
      <c r="J410" s="258">
        <f t="shared" si="7"/>
        <v>46296</v>
      </c>
    </row>
    <row r="411" spans="1:10" ht="13.5" customHeight="1" x14ac:dyDescent="0.3">
      <c r="A411" t="s">
        <v>919</v>
      </c>
      <c r="B411" s="193" t="str">
        <f>YEAR(DATE(YEAR(RPT_MONTH),MONTH(RPT_MONTH)-9,1))&amp;"-"&amp;RIGHT("0"&amp;MONTH(DATE(YEAR(RPT_MONTH),MONTH(RPT_MONTH)-9,1)),2)</f>
        <v>2026-01</v>
      </c>
      <c r="C411" s="258">
        <f>DATE(YEAR(RPT_MONTH),MONTH(RPT_MONTH)-9,1)</f>
        <v>46023</v>
      </c>
      <c r="D411" t="s">
        <v>68</v>
      </c>
      <c r="E411" s="193" t="str">
        <f>IFERROR(INDEX(BD_KPIs!$F$2:$F$1300,MATCH(YEAR(DATE(YEAR(RPT_MONTH),MONTH(RPT_MONTH)-9,1))*100+MONTH(DATE(YEAR(RPT_MONTH),MONTH(RPT_MONTH)-9,1))&amp;"|HAL_ALTA_PCT|Monthly",BD_KPIs!$Q$2:$Q$1300,0)),"")</f>
        <v/>
      </c>
      <c r="F411" s="193" t="str">
        <f>IFERROR(INDEX(BD_KPIs!$G$2:$G$1300,MATCH(YEAR(DATE(YEAR(RPT_MONTH),MONTH(RPT_MONTH)-9,1))*100+MONTH(DATE(YEAR(RPT_MONTH),MONTH(RPT_MONTH)-9,1))&amp;"|HAL_ALTA_PCT|Monthly",BD_KPIs!$Q$2:$Q$1300,0)),"")</f>
        <v/>
      </c>
      <c r="G411" s="193" t="str">
        <f>IF(ISNUMBER(E411),IF(F411="","No target",IF(IFERROR(INDEX(BD_KPIs!$I$2:$I$1300,MATCH(YEAR(DATE(YEAR(RPT_MONTH),MONTH(RPT_MONTH)-9,1))*100+MONTH(DATE(YEAR(RPT_MONTH),MONTH(RPT_MONTH)-9,1))&amp;"|HAL_ALTA_PCT|Monthly",BD_KPIs!$Q$2:$Q$1300,0)),"")="Sí","On target","Off target")),"No data")</f>
        <v>No data</v>
      </c>
      <c r="H411" s="193" t="str">
        <f>INDEX(_TARGETS!$D$2:$D$17,MATCH("HAL_ALTA_PCT",_TARGETS!$A$2:$A$17,0))</f>
        <v>% (fracción)</v>
      </c>
      <c r="I411" s="193" t="str">
        <f>INDEX(_TARGETS!$K$2:$K$17,MATCH("HAL_ALTA_PCT",_TARGETS!$A$2:$A$17,0))</f>
        <v>Plant Findings (hoja Observaciones-SMP)</v>
      </c>
      <c r="J411" s="258">
        <f t="shared" si="7"/>
        <v>46296</v>
      </c>
    </row>
    <row r="412" spans="1:10" ht="13.5" customHeight="1" x14ac:dyDescent="0.3">
      <c r="A412" t="s">
        <v>919</v>
      </c>
      <c r="B412" s="193" t="str">
        <f>YEAR(DATE(YEAR(RPT_MONTH),MONTH(RPT_MONTH)-8,1))&amp;"-"&amp;RIGHT("0"&amp;MONTH(DATE(YEAR(RPT_MONTH),MONTH(RPT_MONTH)-8,1)),2)</f>
        <v>2026-02</v>
      </c>
      <c r="C412" s="258">
        <f>DATE(YEAR(RPT_MONTH),MONTH(RPT_MONTH)-8,1)</f>
        <v>46054</v>
      </c>
      <c r="D412" t="s">
        <v>68</v>
      </c>
      <c r="E412" s="193" t="str">
        <f>IFERROR(INDEX(BD_KPIs!$F$2:$F$1300,MATCH(YEAR(DATE(YEAR(RPT_MONTH),MONTH(RPT_MONTH)-8,1))*100+MONTH(DATE(YEAR(RPT_MONTH),MONTH(RPT_MONTH)-8,1))&amp;"|HAL_ALTA_PCT|Monthly",BD_KPIs!$Q$2:$Q$1300,0)),"")</f>
        <v/>
      </c>
      <c r="F412" s="193" t="str">
        <f>IFERROR(INDEX(BD_KPIs!$G$2:$G$1300,MATCH(YEAR(DATE(YEAR(RPT_MONTH),MONTH(RPT_MONTH)-8,1))*100+MONTH(DATE(YEAR(RPT_MONTH),MONTH(RPT_MONTH)-8,1))&amp;"|HAL_ALTA_PCT|Monthly",BD_KPIs!$Q$2:$Q$1300,0)),"")</f>
        <v/>
      </c>
      <c r="G412" s="193" t="str">
        <f>IF(ISNUMBER(E412),IF(F412="","No target",IF(IFERROR(INDEX(BD_KPIs!$I$2:$I$1300,MATCH(YEAR(DATE(YEAR(RPT_MONTH),MONTH(RPT_MONTH)-8,1))*100+MONTH(DATE(YEAR(RPT_MONTH),MONTH(RPT_MONTH)-8,1))&amp;"|HAL_ALTA_PCT|Monthly",BD_KPIs!$Q$2:$Q$1300,0)),"")="Sí","On target","Off target")),"No data")</f>
        <v>No data</v>
      </c>
      <c r="H412" s="193" t="str">
        <f>INDEX(_TARGETS!$D$2:$D$17,MATCH("HAL_ALTA_PCT",_TARGETS!$A$2:$A$17,0))</f>
        <v>% (fracción)</v>
      </c>
      <c r="I412" s="193" t="str">
        <f>INDEX(_TARGETS!$K$2:$K$17,MATCH("HAL_ALTA_PCT",_TARGETS!$A$2:$A$17,0))</f>
        <v>Plant Findings (hoja Observaciones-SMP)</v>
      </c>
      <c r="J412" s="258">
        <f t="shared" si="7"/>
        <v>46296</v>
      </c>
    </row>
    <row r="413" spans="1:10" ht="13.5" customHeight="1" x14ac:dyDescent="0.3">
      <c r="A413" t="s">
        <v>919</v>
      </c>
      <c r="B413" s="193" t="str">
        <f>YEAR(DATE(YEAR(RPT_MONTH),MONTH(RPT_MONTH)-7,1))&amp;"-"&amp;RIGHT("0"&amp;MONTH(DATE(YEAR(RPT_MONTH),MONTH(RPT_MONTH)-7,1)),2)</f>
        <v>2026-03</v>
      </c>
      <c r="C413" s="258">
        <f>DATE(YEAR(RPT_MONTH),MONTH(RPT_MONTH)-7,1)</f>
        <v>46082</v>
      </c>
      <c r="D413" t="s">
        <v>68</v>
      </c>
      <c r="E413" s="193" t="str">
        <f>IFERROR(INDEX(BD_KPIs!$F$2:$F$1300,MATCH(YEAR(DATE(YEAR(RPT_MONTH),MONTH(RPT_MONTH)-7,1))*100+MONTH(DATE(YEAR(RPT_MONTH),MONTH(RPT_MONTH)-7,1))&amp;"|HAL_ALTA_PCT|Monthly",BD_KPIs!$Q$2:$Q$1300,0)),"")</f>
        <v/>
      </c>
      <c r="F413" s="193" t="str">
        <f>IFERROR(INDEX(BD_KPIs!$G$2:$G$1300,MATCH(YEAR(DATE(YEAR(RPT_MONTH),MONTH(RPT_MONTH)-7,1))*100+MONTH(DATE(YEAR(RPT_MONTH),MONTH(RPT_MONTH)-7,1))&amp;"|HAL_ALTA_PCT|Monthly",BD_KPIs!$Q$2:$Q$1300,0)),"")</f>
        <v/>
      </c>
      <c r="G413" s="193" t="str">
        <f>IF(ISNUMBER(E413),IF(F413="","No target",IF(IFERROR(INDEX(BD_KPIs!$I$2:$I$1300,MATCH(YEAR(DATE(YEAR(RPT_MONTH),MONTH(RPT_MONTH)-7,1))*100+MONTH(DATE(YEAR(RPT_MONTH),MONTH(RPT_MONTH)-7,1))&amp;"|HAL_ALTA_PCT|Monthly",BD_KPIs!$Q$2:$Q$1300,0)),"")="Sí","On target","Off target")),"No data")</f>
        <v>No data</v>
      </c>
      <c r="H413" s="193" t="str">
        <f>INDEX(_TARGETS!$D$2:$D$17,MATCH("HAL_ALTA_PCT",_TARGETS!$A$2:$A$17,0))</f>
        <v>% (fracción)</v>
      </c>
      <c r="I413" s="193" t="str">
        <f>INDEX(_TARGETS!$K$2:$K$17,MATCH("HAL_ALTA_PCT",_TARGETS!$A$2:$A$17,0))</f>
        <v>Plant Findings (hoja Observaciones-SMP)</v>
      </c>
      <c r="J413" s="258">
        <f t="shared" si="7"/>
        <v>46296</v>
      </c>
    </row>
    <row r="414" spans="1:10" ht="13.5" customHeight="1" x14ac:dyDescent="0.3">
      <c r="A414" t="s">
        <v>919</v>
      </c>
      <c r="B414" s="193" t="str">
        <f>YEAR(DATE(YEAR(RPT_MONTH),MONTH(RPT_MONTH)-6,1))&amp;"-"&amp;RIGHT("0"&amp;MONTH(DATE(YEAR(RPT_MONTH),MONTH(RPT_MONTH)-6,1)),2)</f>
        <v>2026-04</v>
      </c>
      <c r="C414" s="258">
        <f>DATE(YEAR(RPT_MONTH),MONTH(RPT_MONTH)-6,1)</f>
        <v>46113</v>
      </c>
      <c r="D414" t="s">
        <v>68</v>
      </c>
      <c r="E414" s="193" t="str">
        <f>IFERROR(INDEX(BD_KPIs!$F$2:$F$1300,MATCH(YEAR(DATE(YEAR(RPT_MONTH),MONTH(RPT_MONTH)-6,1))*100+MONTH(DATE(YEAR(RPT_MONTH),MONTH(RPT_MONTH)-6,1))&amp;"|HAL_ALTA_PCT|Monthly",BD_KPIs!$Q$2:$Q$1300,0)),"")</f>
        <v/>
      </c>
      <c r="F414" s="193" t="str">
        <f>IFERROR(INDEX(BD_KPIs!$G$2:$G$1300,MATCH(YEAR(DATE(YEAR(RPT_MONTH),MONTH(RPT_MONTH)-6,1))*100+MONTH(DATE(YEAR(RPT_MONTH),MONTH(RPT_MONTH)-6,1))&amp;"|HAL_ALTA_PCT|Monthly",BD_KPIs!$Q$2:$Q$1300,0)),"")</f>
        <v/>
      </c>
      <c r="G414" s="193" t="str">
        <f>IF(ISNUMBER(E414),IF(F414="","No target",IF(IFERROR(INDEX(BD_KPIs!$I$2:$I$1300,MATCH(YEAR(DATE(YEAR(RPT_MONTH),MONTH(RPT_MONTH)-6,1))*100+MONTH(DATE(YEAR(RPT_MONTH),MONTH(RPT_MONTH)-6,1))&amp;"|HAL_ALTA_PCT|Monthly",BD_KPIs!$Q$2:$Q$1300,0)),"")="Sí","On target","Off target")),"No data")</f>
        <v>No data</v>
      </c>
      <c r="H414" s="193" t="str">
        <f>INDEX(_TARGETS!$D$2:$D$17,MATCH("HAL_ALTA_PCT",_TARGETS!$A$2:$A$17,0))</f>
        <v>% (fracción)</v>
      </c>
      <c r="I414" s="193" t="str">
        <f>INDEX(_TARGETS!$K$2:$K$17,MATCH("HAL_ALTA_PCT",_TARGETS!$A$2:$A$17,0))</f>
        <v>Plant Findings (hoja Observaciones-SMP)</v>
      </c>
      <c r="J414" s="258">
        <f t="shared" si="7"/>
        <v>46296</v>
      </c>
    </row>
    <row r="415" spans="1:10" ht="13.5" customHeight="1" x14ac:dyDescent="0.3">
      <c r="A415" t="s">
        <v>919</v>
      </c>
      <c r="B415" s="193" t="str">
        <f>YEAR(DATE(YEAR(RPT_MONTH),MONTH(RPT_MONTH)-5,1))&amp;"-"&amp;RIGHT("0"&amp;MONTH(DATE(YEAR(RPT_MONTH),MONTH(RPT_MONTH)-5,1)),2)</f>
        <v>2026-05</v>
      </c>
      <c r="C415" s="258">
        <f>DATE(YEAR(RPT_MONTH),MONTH(RPT_MONTH)-5,1)</f>
        <v>46143</v>
      </c>
      <c r="D415" t="s">
        <v>68</v>
      </c>
      <c r="E415" s="193" t="str">
        <f>IFERROR(INDEX(BD_KPIs!$F$2:$F$1300,MATCH(YEAR(DATE(YEAR(RPT_MONTH),MONTH(RPT_MONTH)-5,1))*100+MONTH(DATE(YEAR(RPT_MONTH),MONTH(RPT_MONTH)-5,1))&amp;"|HAL_ALTA_PCT|Monthly",BD_KPIs!$Q$2:$Q$1300,0)),"")</f>
        <v/>
      </c>
      <c r="F415" s="193" t="str">
        <f>IFERROR(INDEX(BD_KPIs!$G$2:$G$1300,MATCH(YEAR(DATE(YEAR(RPT_MONTH),MONTH(RPT_MONTH)-5,1))*100+MONTH(DATE(YEAR(RPT_MONTH),MONTH(RPT_MONTH)-5,1))&amp;"|HAL_ALTA_PCT|Monthly",BD_KPIs!$Q$2:$Q$1300,0)),"")</f>
        <v/>
      </c>
      <c r="G415" s="193" t="str">
        <f>IF(ISNUMBER(E415),IF(F415="","No target",IF(IFERROR(INDEX(BD_KPIs!$I$2:$I$1300,MATCH(YEAR(DATE(YEAR(RPT_MONTH),MONTH(RPT_MONTH)-5,1))*100+MONTH(DATE(YEAR(RPT_MONTH),MONTH(RPT_MONTH)-5,1))&amp;"|HAL_ALTA_PCT|Monthly",BD_KPIs!$Q$2:$Q$1300,0)),"")="Sí","On target","Off target")),"No data")</f>
        <v>No data</v>
      </c>
      <c r="H415" s="193" t="str">
        <f>INDEX(_TARGETS!$D$2:$D$17,MATCH("HAL_ALTA_PCT",_TARGETS!$A$2:$A$17,0))</f>
        <v>% (fracción)</v>
      </c>
      <c r="I415" s="193" t="str">
        <f>INDEX(_TARGETS!$K$2:$K$17,MATCH("HAL_ALTA_PCT",_TARGETS!$A$2:$A$17,0))</f>
        <v>Plant Findings (hoja Observaciones-SMP)</v>
      </c>
      <c r="J415" s="258">
        <f t="shared" si="7"/>
        <v>46296</v>
      </c>
    </row>
    <row r="416" spans="1:10" ht="13.5" customHeight="1" x14ac:dyDescent="0.3">
      <c r="A416" t="s">
        <v>919</v>
      </c>
      <c r="B416" s="193" t="str">
        <f>YEAR(DATE(YEAR(RPT_MONTH),MONTH(RPT_MONTH)-4,1))&amp;"-"&amp;RIGHT("0"&amp;MONTH(DATE(YEAR(RPT_MONTH),MONTH(RPT_MONTH)-4,1)),2)</f>
        <v>2026-06</v>
      </c>
      <c r="C416" s="258">
        <f>DATE(YEAR(RPT_MONTH),MONTH(RPT_MONTH)-4,1)</f>
        <v>46174</v>
      </c>
      <c r="D416" t="s">
        <v>68</v>
      </c>
      <c r="E416" s="193" t="str">
        <f>IFERROR(INDEX(BD_KPIs!$F$2:$F$1300,MATCH(YEAR(DATE(YEAR(RPT_MONTH),MONTH(RPT_MONTH)-4,1))*100+MONTH(DATE(YEAR(RPT_MONTH),MONTH(RPT_MONTH)-4,1))&amp;"|HAL_ALTA_PCT|Monthly",BD_KPIs!$Q$2:$Q$1300,0)),"")</f>
        <v/>
      </c>
      <c r="F416" s="193" t="str">
        <f>IFERROR(INDEX(BD_KPIs!$G$2:$G$1300,MATCH(YEAR(DATE(YEAR(RPT_MONTH),MONTH(RPT_MONTH)-4,1))*100+MONTH(DATE(YEAR(RPT_MONTH),MONTH(RPT_MONTH)-4,1))&amp;"|HAL_ALTA_PCT|Monthly",BD_KPIs!$Q$2:$Q$1300,0)),"")</f>
        <v/>
      </c>
      <c r="G416" s="193" t="str">
        <f>IF(ISNUMBER(E416),IF(F416="","No target",IF(IFERROR(INDEX(BD_KPIs!$I$2:$I$1300,MATCH(YEAR(DATE(YEAR(RPT_MONTH),MONTH(RPT_MONTH)-4,1))*100+MONTH(DATE(YEAR(RPT_MONTH),MONTH(RPT_MONTH)-4,1))&amp;"|HAL_ALTA_PCT|Monthly",BD_KPIs!$Q$2:$Q$1300,0)),"")="Sí","On target","Off target")),"No data")</f>
        <v>No data</v>
      </c>
      <c r="H416" s="193" t="str">
        <f>INDEX(_TARGETS!$D$2:$D$17,MATCH("HAL_ALTA_PCT",_TARGETS!$A$2:$A$17,0))</f>
        <v>% (fracción)</v>
      </c>
      <c r="I416" s="193" t="str">
        <f>INDEX(_TARGETS!$K$2:$K$17,MATCH("HAL_ALTA_PCT",_TARGETS!$A$2:$A$17,0))</f>
        <v>Plant Findings (hoja Observaciones-SMP)</v>
      </c>
      <c r="J416" s="258">
        <f t="shared" si="7"/>
        <v>46296</v>
      </c>
    </row>
    <row r="417" spans="1:10" ht="13.5" customHeight="1" x14ac:dyDescent="0.3">
      <c r="A417" t="s">
        <v>919</v>
      </c>
      <c r="B417" s="193" t="str">
        <f>YEAR(DATE(YEAR(RPT_MONTH),MONTH(RPT_MONTH)-3,1))&amp;"-"&amp;RIGHT("0"&amp;MONTH(DATE(YEAR(RPT_MONTH),MONTH(RPT_MONTH)-3,1)),2)</f>
        <v>2026-07</v>
      </c>
      <c r="C417" s="258">
        <f>DATE(YEAR(RPT_MONTH),MONTH(RPT_MONTH)-3,1)</f>
        <v>46204</v>
      </c>
      <c r="D417" t="s">
        <v>68</v>
      </c>
      <c r="E417" s="193" t="str">
        <f>IFERROR(INDEX(BD_KPIs!$F$2:$F$1300,MATCH(YEAR(DATE(YEAR(RPT_MONTH),MONTH(RPT_MONTH)-3,1))*100+MONTH(DATE(YEAR(RPT_MONTH),MONTH(RPT_MONTH)-3,1))&amp;"|HAL_ALTA_PCT|Monthly",BD_KPIs!$Q$2:$Q$1300,0)),"")</f>
        <v/>
      </c>
      <c r="F417" s="193" t="str">
        <f>IFERROR(INDEX(BD_KPIs!$G$2:$G$1300,MATCH(YEAR(DATE(YEAR(RPT_MONTH),MONTH(RPT_MONTH)-3,1))*100+MONTH(DATE(YEAR(RPT_MONTH),MONTH(RPT_MONTH)-3,1))&amp;"|HAL_ALTA_PCT|Monthly",BD_KPIs!$Q$2:$Q$1300,0)),"")</f>
        <v/>
      </c>
      <c r="G417" s="193" t="str">
        <f>IF(ISNUMBER(E417),IF(F417="","No target",IF(IFERROR(INDEX(BD_KPIs!$I$2:$I$1300,MATCH(YEAR(DATE(YEAR(RPT_MONTH),MONTH(RPT_MONTH)-3,1))*100+MONTH(DATE(YEAR(RPT_MONTH),MONTH(RPT_MONTH)-3,1))&amp;"|HAL_ALTA_PCT|Monthly",BD_KPIs!$Q$2:$Q$1300,0)),"")="Sí","On target","Off target")),"No data")</f>
        <v>No data</v>
      </c>
      <c r="H417" s="193" t="str">
        <f>INDEX(_TARGETS!$D$2:$D$17,MATCH("HAL_ALTA_PCT",_TARGETS!$A$2:$A$17,0))</f>
        <v>% (fracción)</v>
      </c>
      <c r="I417" s="193" t="str">
        <f>INDEX(_TARGETS!$K$2:$K$17,MATCH("HAL_ALTA_PCT",_TARGETS!$A$2:$A$17,0))</f>
        <v>Plant Findings (hoja Observaciones-SMP)</v>
      </c>
      <c r="J417" s="258">
        <f t="shared" si="7"/>
        <v>46296</v>
      </c>
    </row>
    <row r="418" spans="1:10" ht="13.5" customHeight="1" x14ac:dyDescent="0.3">
      <c r="A418" t="s">
        <v>919</v>
      </c>
      <c r="B418" s="193" t="str">
        <f>YEAR(DATE(YEAR(RPT_MONTH),MONTH(RPT_MONTH)-2,1))&amp;"-"&amp;RIGHT("0"&amp;MONTH(DATE(YEAR(RPT_MONTH),MONTH(RPT_MONTH)-2,1)),2)</f>
        <v>2026-08</v>
      </c>
      <c r="C418" s="258">
        <f>DATE(YEAR(RPT_MONTH),MONTH(RPT_MONTH)-2,1)</f>
        <v>46235</v>
      </c>
      <c r="D418" t="s">
        <v>68</v>
      </c>
      <c r="E418" s="193" t="str">
        <f>IFERROR(INDEX(BD_KPIs!$F$2:$F$1300,MATCH(YEAR(DATE(YEAR(RPT_MONTH),MONTH(RPT_MONTH)-2,1))*100+MONTH(DATE(YEAR(RPT_MONTH),MONTH(RPT_MONTH)-2,1))&amp;"|HAL_ALTA_PCT|Monthly",BD_KPIs!$Q$2:$Q$1300,0)),"")</f>
        <v/>
      </c>
      <c r="F418" s="193" t="str">
        <f>IFERROR(INDEX(BD_KPIs!$G$2:$G$1300,MATCH(YEAR(DATE(YEAR(RPT_MONTH),MONTH(RPT_MONTH)-2,1))*100+MONTH(DATE(YEAR(RPT_MONTH),MONTH(RPT_MONTH)-2,1))&amp;"|HAL_ALTA_PCT|Monthly",BD_KPIs!$Q$2:$Q$1300,0)),"")</f>
        <v/>
      </c>
      <c r="G418" s="193" t="str">
        <f>IF(ISNUMBER(E418),IF(F418="","No target",IF(IFERROR(INDEX(BD_KPIs!$I$2:$I$1300,MATCH(YEAR(DATE(YEAR(RPT_MONTH),MONTH(RPT_MONTH)-2,1))*100+MONTH(DATE(YEAR(RPT_MONTH),MONTH(RPT_MONTH)-2,1))&amp;"|HAL_ALTA_PCT|Monthly",BD_KPIs!$Q$2:$Q$1300,0)),"")="Sí","On target","Off target")),"No data")</f>
        <v>No data</v>
      </c>
      <c r="H418" s="193" t="str">
        <f>INDEX(_TARGETS!$D$2:$D$17,MATCH("HAL_ALTA_PCT",_TARGETS!$A$2:$A$17,0))</f>
        <v>% (fracción)</v>
      </c>
      <c r="I418" s="193" t="str">
        <f>INDEX(_TARGETS!$K$2:$K$17,MATCH("HAL_ALTA_PCT",_TARGETS!$A$2:$A$17,0))</f>
        <v>Plant Findings (hoja Observaciones-SMP)</v>
      </c>
      <c r="J418" s="258">
        <f t="shared" si="7"/>
        <v>46296</v>
      </c>
    </row>
    <row r="419" spans="1:10" ht="13.5" customHeight="1" x14ac:dyDescent="0.3">
      <c r="A419" t="s">
        <v>919</v>
      </c>
      <c r="B419" s="193" t="str">
        <f>YEAR(DATE(YEAR(RPT_MONTH),MONTH(RPT_MONTH)-1,1))&amp;"-"&amp;RIGHT("0"&amp;MONTH(DATE(YEAR(RPT_MONTH),MONTH(RPT_MONTH)-1,1)),2)</f>
        <v>2026-09</v>
      </c>
      <c r="C419" s="258">
        <f>DATE(YEAR(RPT_MONTH),MONTH(RPT_MONTH)-1,1)</f>
        <v>46266</v>
      </c>
      <c r="D419" t="s">
        <v>68</v>
      </c>
      <c r="E419" s="193" t="str">
        <f>IFERROR(INDEX(BD_KPIs!$F$2:$F$1300,MATCH(YEAR(DATE(YEAR(RPT_MONTH),MONTH(RPT_MONTH)-1,1))*100+MONTH(DATE(YEAR(RPT_MONTH),MONTH(RPT_MONTH)-1,1))&amp;"|HAL_ALTA_PCT|Monthly",BD_KPIs!$Q$2:$Q$1300,0)),"")</f>
        <v/>
      </c>
      <c r="F419" s="193" t="str">
        <f>IFERROR(INDEX(BD_KPIs!$G$2:$G$1300,MATCH(YEAR(DATE(YEAR(RPT_MONTH),MONTH(RPT_MONTH)-1,1))*100+MONTH(DATE(YEAR(RPT_MONTH),MONTH(RPT_MONTH)-1,1))&amp;"|HAL_ALTA_PCT|Monthly",BD_KPIs!$Q$2:$Q$1300,0)),"")</f>
        <v/>
      </c>
      <c r="G419" s="193" t="str">
        <f>IF(ISNUMBER(E419),IF(F419="","No target",IF(IFERROR(INDEX(BD_KPIs!$I$2:$I$1300,MATCH(YEAR(DATE(YEAR(RPT_MONTH),MONTH(RPT_MONTH)-1,1))*100+MONTH(DATE(YEAR(RPT_MONTH),MONTH(RPT_MONTH)-1,1))&amp;"|HAL_ALTA_PCT|Monthly",BD_KPIs!$Q$2:$Q$1300,0)),"")="Sí","On target","Off target")),"No data")</f>
        <v>No data</v>
      </c>
      <c r="H419" s="193" t="str">
        <f>INDEX(_TARGETS!$D$2:$D$17,MATCH("HAL_ALTA_PCT",_TARGETS!$A$2:$A$17,0))</f>
        <v>% (fracción)</v>
      </c>
      <c r="I419" s="193" t="str">
        <f>INDEX(_TARGETS!$K$2:$K$17,MATCH("HAL_ALTA_PCT",_TARGETS!$A$2:$A$17,0))</f>
        <v>Plant Findings (hoja Observaciones-SMP)</v>
      </c>
      <c r="J419" s="258">
        <f t="shared" si="7"/>
        <v>46296</v>
      </c>
    </row>
    <row r="420" spans="1:10" ht="13.5" customHeight="1" x14ac:dyDescent="0.3">
      <c r="A420" t="s">
        <v>919</v>
      </c>
      <c r="B420" s="193" t="str">
        <f>YEAR(DATE(YEAR(RPT_MONTH),MONTH(RPT_MONTH)-0,1))&amp;"-"&amp;RIGHT("0"&amp;MONTH(DATE(YEAR(RPT_MONTH),MONTH(RPT_MONTH)-0,1)),2)</f>
        <v>2026-10</v>
      </c>
      <c r="C420" s="258">
        <f>DATE(YEAR(RPT_MONTH),MONTH(RPT_MONTH)-0,1)</f>
        <v>46296</v>
      </c>
      <c r="D420" t="s">
        <v>68</v>
      </c>
      <c r="E420" s="193" t="str">
        <f>IFERROR(INDEX(BD_KPIs!$F$2:$F$1300,MATCH(YEAR(DATE(YEAR(RPT_MONTH),MONTH(RPT_MONTH)-0,1))*100+MONTH(DATE(YEAR(RPT_MONTH),MONTH(RPT_MONTH)-0,1))&amp;"|HAL_ALTA_PCT|Monthly",BD_KPIs!$Q$2:$Q$1300,0)),"")</f>
        <v/>
      </c>
      <c r="F420" s="193" t="str">
        <f>IFERROR(INDEX(BD_KPIs!$G$2:$G$1300,MATCH(YEAR(DATE(YEAR(RPT_MONTH),MONTH(RPT_MONTH)-0,1))*100+MONTH(DATE(YEAR(RPT_MONTH),MONTH(RPT_MONTH)-0,1))&amp;"|HAL_ALTA_PCT|Monthly",BD_KPIs!$Q$2:$Q$1300,0)),"")</f>
        <v/>
      </c>
      <c r="G420" s="193" t="str">
        <f>IF(ISNUMBER(E420),IF(F420="","No target",IF(IFERROR(INDEX(BD_KPIs!$I$2:$I$1300,MATCH(YEAR(DATE(YEAR(RPT_MONTH),MONTH(RPT_MONTH)-0,1))*100+MONTH(DATE(YEAR(RPT_MONTH),MONTH(RPT_MONTH)-0,1))&amp;"|HAL_ALTA_PCT|Monthly",BD_KPIs!$Q$2:$Q$1300,0)),"")="Sí","On target","Off target")),"No data")</f>
        <v>No data</v>
      </c>
      <c r="H420" s="193" t="str">
        <f>INDEX(_TARGETS!$D$2:$D$17,MATCH("HAL_ALTA_PCT",_TARGETS!$A$2:$A$17,0))</f>
        <v>% (fracción)</v>
      </c>
      <c r="I420" s="193" t="str">
        <f>INDEX(_TARGETS!$K$2:$K$17,MATCH("HAL_ALTA_PCT",_TARGETS!$A$2:$A$17,0))</f>
        <v>Plant Findings (hoja Observaciones-SMP)</v>
      </c>
      <c r="J420" s="258">
        <f t="shared" si="7"/>
        <v>46296</v>
      </c>
    </row>
    <row r="421" spans="1:10" ht="13.5" customHeight="1" x14ac:dyDescent="0.3">
      <c r="A421" t="s">
        <v>919</v>
      </c>
      <c r="B421" s="193" t="str">
        <f>YEAR(DATE(YEAR(RPT_MONTH),MONTH(RPT_MONTH)-11,1))&amp;"-"&amp;RIGHT("0"&amp;MONTH(DATE(YEAR(RPT_MONTH),MONTH(RPT_MONTH)-11,1)),2)</f>
        <v>2025-11</v>
      </c>
      <c r="C421" s="258">
        <f>DATE(YEAR(RPT_MONTH),MONTH(RPT_MONTH)-11,1)</f>
        <v>45962</v>
      </c>
      <c r="D421" t="s">
        <v>601</v>
      </c>
      <c r="E421" s="193" t="str">
        <f>IFERROR(INDEX(BD_KPIs!$F$2:$F$1300,MATCH(YEAR(DATE(YEAR(RPT_MONTH),MONTH(RPT_MONTH)-11,1))*100+MONTH(DATE(YEAR(RPT_MONTH),MONTH(RPT_MONTH)-11,1))&amp;"|HAL_ALTA_PCT|YTD",BD_KPIs!$Q$2:$Q$1300,0)),"")</f>
        <v/>
      </c>
      <c r="F421" s="193" t="str">
        <f>IFERROR(INDEX(BD_KPIs!$G$2:$G$1300,MATCH(YEAR(DATE(YEAR(RPT_MONTH),MONTH(RPT_MONTH)-11,1))*100+MONTH(DATE(YEAR(RPT_MONTH),MONTH(RPT_MONTH)-11,1))&amp;"|HAL_ALTA_PCT|YTD",BD_KPIs!$Q$2:$Q$1300,0)),"")</f>
        <v/>
      </c>
      <c r="G421" s="193" t="str">
        <f>IF(ISNUMBER(E421),IF(F421="","No target",IF(IFERROR(INDEX(BD_KPIs!$I$2:$I$1300,MATCH(YEAR(DATE(YEAR(RPT_MONTH),MONTH(RPT_MONTH)-11,1))*100+MONTH(DATE(YEAR(RPT_MONTH),MONTH(RPT_MONTH)-11,1))&amp;"|HAL_ALTA_PCT|YTD",BD_KPIs!$Q$2:$Q$1300,0)),"")="Sí","On target","Off target")),"No data")</f>
        <v>No data</v>
      </c>
      <c r="H421" s="193" t="str">
        <f>INDEX(_TARGETS!$D$2:$D$17,MATCH("HAL_ALTA_PCT",_TARGETS!$A$2:$A$17,0))</f>
        <v>% (fracción)</v>
      </c>
      <c r="I421" s="193" t="str">
        <f>INDEX(_TARGETS!$K$2:$K$17,MATCH("HAL_ALTA_PCT",_TARGETS!$A$2:$A$17,0))</f>
        <v>Plant Findings (hoja Observaciones-SMP)</v>
      </c>
      <c r="J421" s="258">
        <f t="shared" si="7"/>
        <v>46296</v>
      </c>
    </row>
    <row r="422" spans="1:10" ht="13.5" customHeight="1" x14ac:dyDescent="0.3">
      <c r="A422" t="s">
        <v>919</v>
      </c>
      <c r="B422" s="193" t="str">
        <f>YEAR(DATE(YEAR(RPT_MONTH),MONTH(RPT_MONTH)-10,1))&amp;"-"&amp;RIGHT("0"&amp;MONTH(DATE(YEAR(RPT_MONTH),MONTH(RPT_MONTH)-10,1)),2)</f>
        <v>2025-12</v>
      </c>
      <c r="C422" s="258">
        <f>DATE(YEAR(RPT_MONTH),MONTH(RPT_MONTH)-10,1)</f>
        <v>45992</v>
      </c>
      <c r="D422" t="s">
        <v>601</v>
      </c>
      <c r="E422" s="193" t="str">
        <f>IFERROR(INDEX(BD_KPIs!$F$2:$F$1300,MATCH(YEAR(DATE(YEAR(RPT_MONTH),MONTH(RPT_MONTH)-10,1))*100+MONTH(DATE(YEAR(RPT_MONTH),MONTH(RPT_MONTH)-10,1))&amp;"|HAL_ALTA_PCT|YTD",BD_KPIs!$Q$2:$Q$1300,0)),"")</f>
        <v/>
      </c>
      <c r="F422" s="193" t="str">
        <f>IFERROR(INDEX(BD_KPIs!$G$2:$G$1300,MATCH(YEAR(DATE(YEAR(RPT_MONTH),MONTH(RPT_MONTH)-10,1))*100+MONTH(DATE(YEAR(RPT_MONTH),MONTH(RPT_MONTH)-10,1))&amp;"|HAL_ALTA_PCT|YTD",BD_KPIs!$Q$2:$Q$1300,0)),"")</f>
        <v/>
      </c>
      <c r="G422" s="193" t="str">
        <f>IF(ISNUMBER(E422),IF(F422="","No target",IF(IFERROR(INDEX(BD_KPIs!$I$2:$I$1300,MATCH(YEAR(DATE(YEAR(RPT_MONTH),MONTH(RPT_MONTH)-10,1))*100+MONTH(DATE(YEAR(RPT_MONTH),MONTH(RPT_MONTH)-10,1))&amp;"|HAL_ALTA_PCT|YTD",BD_KPIs!$Q$2:$Q$1300,0)),"")="Sí","On target","Off target")),"No data")</f>
        <v>No data</v>
      </c>
      <c r="H422" s="193" t="str">
        <f>INDEX(_TARGETS!$D$2:$D$17,MATCH("HAL_ALTA_PCT",_TARGETS!$A$2:$A$17,0))</f>
        <v>% (fracción)</v>
      </c>
      <c r="I422" s="193" t="str">
        <f>INDEX(_TARGETS!$K$2:$K$17,MATCH("HAL_ALTA_PCT",_TARGETS!$A$2:$A$17,0))</f>
        <v>Plant Findings (hoja Observaciones-SMP)</v>
      </c>
      <c r="J422" s="258">
        <f t="shared" si="7"/>
        <v>46296</v>
      </c>
    </row>
    <row r="423" spans="1:10" ht="13.5" customHeight="1" x14ac:dyDescent="0.3">
      <c r="A423" t="s">
        <v>919</v>
      </c>
      <c r="B423" s="193" t="str">
        <f>YEAR(DATE(YEAR(RPT_MONTH),MONTH(RPT_MONTH)-9,1))&amp;"-"&amp;RIGHT("0"&amp;MONTH(DATE(YEAR(RPT_MONTH),MONTH(RPT_MONTH)-9,1)),2)</f>
        <v>2026-01</v>
      </c>
      <c r="C423" s="258">
        <f>DATE(YEAR(RPT_MONTH),MONTH(RPT_MONTH)-9,1)</f>
        <v>46023</v>
      </c>
      <c r="D423" t="s">
        <v>601</v>
      </c>
      <c r="E423" s="193" t="str">
        <f>IFERROR(INDEX(BD_KPIs!$F$2:$F$1300,MATCH(YEAR(DATE(YEAR(RPT_MONTH),MONTH(RPT_MONTH)-9,1))*100+MONTH(DATE(YEAR(RPT_MONTH),MONTH(RPT_MONTH)-9,1))&amp;"|HAL_ALTA_PCT|YTD",BD_KPIs!$Q$2:$Q$1300,0)),"")</f>
        <v/>
      </c>
      <c r="F423" s="193" t="str">
        <f>IFERROR(INDEX(BD_KPIs!$G$2:$G$1300,MATCH(YEAR(DATE(YEAR(RPT_MONTH),MONTH(RPT_MONTH)-9,1))*100+MONTH(DATE(YEAR(RPT_MONTH),MONTH(RPT_MONTH)-9,1))&amp;"|HAL_ALTA_PCT|YTD",BD_KPIs!$Q$2:$Q$1300,0)),"")</f>
        <v/>
      </c>
      <c r="G423" s="193" t="str">
        <f>IF(ISNUMBER(E423),IF(F423="","No target",IF(IFERROR(INDEX(BD_KPIs!$I$2:$I$1300,MATCH(YEAR(DATE(YEAR(RPT_MONTH),MONTH(RPT_MONTH)-9,1))*100+MONTH(DATE(YEAR(RPT_MONTH),MONTH(RPT_MONTH)-9,1))&amp;"|HAL_ALTA_PCT|YTD",BD_KPIs!$Q$2:$Q$1300,0)),"")="Sí","On target","Off target")),"No data")</f>
        <v>No data</v>
      </c>
      <c r="H423" s="193" t="str">
        <f>INDEX(_TARGETS!$D$2:$D$17,MATCH("HAL_ALTA_PCT",_TARGETS!$A$2:$A$17,0))</f>
        <v>% (fracción)</v>
      </c>
      <c r="I423" s="193" t="str">
        <f>INDEX(_TARGETS!$K$2:$K$17,MATCH("HAL_ALTA_PCT",_TARGETS!$A$2:$A$17,0))</f>
        <v>Plant Findings (hoja Observaciones-SMP)</v>
      </c>
      <c r="J423" s="258">
        <f t="shared" si="7"/>
        <v>46296</v>
      </c>
    </row>
    <row r="424" spans="1:10" ht="13.5" customHeight="1" x14ac:dyDescent="0.3">
      <c r="A424" t="s">
        <v>919</v>
      </c>
      <c r="B424" s="193" t="str">
        <f>YEAR(DATE(YEAR(RPT_MONTH),MONTH(RPT_MONTH)-8,1))&amp;"-"&amp;RIGHT("0"&amp;MONTH(DATE(YEAR(RPT_MONTH),MONTH(RPT_MONTH)-8,1)),2)</f>
        <v>2026-02</v>
      </c>
      <c r="C424" s="258">
        <f>DATE(YEAR(RPT_MONTH),MONTH(RPT_MONTH)-8,1)</f>
        <v>46054</v>
      </c>
      <c r="D424" t="s">
        <v>601</v>
      </c>
      <c r="E424" s="193" t="str">
        <f>IFERROR(INDEX(BD_KPIs!$F$2:$F$1300,MATCH(YEAR(DATE(YEAR(RPT_MONTH),MONTH(RPT_MONTH)-8,1))*100+MONTH(DATE(YEAR(RPT_MONTH),MONTH(RPT_MONTH)-8,1))&amp;"|HAL_ALTA_PCT|YTD",BD_KPIs!$Q$2:$Q$1300,0)),"")</f>
        <v/>
      </c>
      <c r="F424" s="193" t="str">
        <f>IFERROR(INDEX(BD_KPIs!$G$2:$G$1300,MATCH(YEAR(DATE(YEAR(RPT_MONTH),MONTH(RPT_MONTH)-8,1))*100+MONTH(DATE(YEAR(RPT_MONTH),MONTH(RPT_MONTH)-8,1))&amp;"|HAL_ALTA_PCT|YTD",BD_KPIs!$Q$2:$Q$1300,0)),"")</f>
        <v/>
      </c>
      <c r="G424" s="193" t="str">
        <f>IF(ISNUMBER(E424),IF(F424="","No target",IF(IFERROR(INDEX(BD_KPIs!$I$2:$I$1300,MATCH(YEAR(DATE(YEAR(RPT_MONTH),MONTH(RPT_MONTH)-8,1))*100+MONTH(DATE(YEAR(RPT_MONTH),MONTH(RPT_MONTH)-8,1))&amp;"|HAL_ALTA_PCT|YTD",BD_KPIs!$Q$2:$Q$1300,0)),"")="Sí","On target","Off target")),"No data")</f>
        <v>No data</v>
      </c>
      <c r="H424" s="193" t="str">
        <f>INDEX(_TARGETS!$D$2:$D$17,MATCH("HAL_ALTA_PCT",_TARGETS!$A$2:$A$17,0))</f>
        <v>% (fracción)</v>
      </c>
      <c r="I424" s="193" t="str">
        <f>INDEX(_TARGETS!$K$2:$K$17,MATCH("HAL_ALTA_PCT",_TARGETS!$A$2:$A$17,0))</f>
        <v>Plant Findings (hoja Observaciones-SMP)</v>
      </c>
      <c r="J424" s="258">
        <f t="shared" si="7"/>
        <v>46296</v>
      </c>
    </row>
    <row r="425" spans="1:10" ht="13.5" customHeight="1" x14ac:dyDescent="0.3">
      <c r="A425" t="s">
        <v>919</v>
      </c>
      <c r="B425" s="193" t="str">
        <f>YEAR(DATE(YEAR(RPT_MONTH),MONTH(RPT_MONTH)-7,1))&amp;"-"&amp;RIGHT("0"&amp;MONTH(DATE(YEAR(RPT_MONTH),MONTH(RPT_MONTH)-7,1)),2)</f>
        <v>2026-03</v>
      </c>
      <c r="C425" s="258">
        <f>DATE(YEAR(RPT_MONTH),MONTH(RPT_MONTH)-7,1)</f>
        <v>46082</v>
      </c>
      <c r="D425" t="s">
        <v>601</v>
      </c>
      <c r="E425" s="193" t="str">
        <f>IFERROR(INDEX(BD_KPIs!$F$2:$F$1300,MATCH(YEAR(DATE(YEAR(RPT_MONTH),MONTH(RPT_MONTH)-7,1))*100+MONTH(DATE(YEAR(RPT_MONTH),MONTH(RPT_MONTH)-7,1))&amp;"|HAL_ALTA_PCT|YTD",BD_KPIs!$Q$2:$Q$1300,0)),"")</f>
        <v/>
      </c>
      <c r="F425" s="193" t="str">
        <f>IFERROR(INDEX(BD_KPIs!$G$2:$G$1300,MATCH(YEAR(DATE(YEAR(RPT_MONTH),MONTH(RPT_MONTH)-7,1))*100+MONTH(DATE(YEAR(RPT_MONTH),MONTH(RPT_MONTH)-7,1))&amp;"|HAL_ALTA_PCT|YTD",BD_KPIs!$Q$2:$Q$1300,0)),"")</f>
        <v/>
      </c>
      <c r="G425" s="193" t="str">
        <f>IF(ISNUMBER(E425),IF(F425="","No target",IF(IFERROR(INDEX(BD_KPIs!$I$2:$I$1300,MATCH(YEAR(DATE(YEAR(RPT_MONTH),MONTH(RPT_MONTH)-7,1))*100+MONTH(DATE(YEAR(RPT_MONTH),MONTH(RPT_MONTH)-7,1))&amp;"|HAL_ALTA_PCT|YTD",BD_KPIs!$Q$2:$Q$1300,0)),"")="Sí","On target","Off target")),"No data")</f>
        <v>No data</v>
      </c>
      <c r="H425" s="193" t="str">
        <f>INDEX(_TARGETS!$D$2:$D$17,MATCH("HAL_ALTA_PCT",_TARGETS!$A$2:$A$17,0))</f>
        <v>% (fracción)</v>
      </c>
      <c r="I425" s="193" t="str">
        <f>INDEX(_TARGETS!$K$2:$K$17,MATCH("HAL_ALTA_PCT",_TARGETS!$A$2:$A$17,0))</f>
        <v>Plant Findings (hoja Observaciones-SMP)</v>
      </c>
      <c r="J425" s="258">
        <f t="shared" si="7"/>
        <v>46296</v>
      </c>
    </row>
    <row r="426" spans="1:10" ht="13.5" customHeight="1" x14ac:dyDescent="0.3">
      <c r="A426" t="s">
        <v>919</v>
      </c>
      <c r="B426" s="193" t="str">
        <f>YEAR(DATE(YEAR(RPT_MONTH),MONTH(RPT_MONTH)-6,1))&amp;"-"&amp;RIGHT("0"&amp;MONTH(DATE(YEAR(RPT_MONTH),MONTH(RPT_MONTH)-6,1)),2)</f>
        <v>2026-04</v>
      </c>
      <c r="C426" s="258">
        <f>DATE(YEAR(RPT_MONTH),MONTH(RPT_MONTH)-6,1)</f>
        <v>46113</v>
      </c>
      <c r="D426" t="s">
        <v>601</v>
      </c>
      <c r="E426" s="193" t="str">
        <f>IFERROR(INDEX(BD_KPIs!$F$2:$F$1300,MATCH(YEAR(DATE(YEAR(RPT_MONTH),MONTH(RPT_MONTH)-6,1))*100+MONTH(DATE(YEAR(RPT_MONTH),MONTH(RPT_MONTH)-6,1))&amp;"|HAL_ALTA_PCT|YTD",BD_KPIs!$Q$2:$Q$1300,0)),"")</f>
        <v/>
      </c>
      <c r="F426" s="193" t="str">
        <f>IFERROR(INDEX(BD_KPIs!$G$2:$G$1300,MATCH(YEAR(DATE(YEAR(RPT_MONTH),MONTH(RPT_MONTH)-6,1))*100+MONTH(DATE(YEAR(RPT_MONTH),MONTH(RPT_MONTH)-6,1))&amp;"|HAL_ALTA_PCT|YTD",BD_KPIs!$Q$2:$Q$1300,0)),"")</f>
        <v/>
      </c>
      <c r="G426" s="193" t="str">
        <f>IF(ISNUMBER(E426),IF(F426="","No target",IF(IFERROR(INDEX(BD_KPIs!$I$2:$I$1300,MATCH(YEAR(DATE(YEAR(RPT_MONTH),MONTH(RPT_MONTH)-6,1))*100+MONTH(DATE(YEAR(RPT_MONTH),MONTH(RPT_MONTH)-6,1))&amp;"|HAL_ALTA_PCT|YTD",BD_KPIs!$Q$2:$Q$1300,0)),"")="Sí","On target","Off target")),"No data")</f>
        <v>No data</v>
      </c>
      <c r="H426" s="193" t="str">
        <f>INDEX(_TARGETS!$D$2:$D$17,MATCH("HAL_ALTA_PCT",_TARGETS!$A$2:$A$17,0))</f>
        <v>% (fracción)</v>
      </c>
      <c r="I426" s="193" t="str">
        <f>INDEX(_TARGETS!$K$2:$K$17,MATCH("HAL_ALTA_PCT",_TARGETS!$A$2:$A$17,0))</f>
        <v>Plant Findings (hoja Observaciones-SMP)</v>
      </c>
      <c r="J426" s="258">
        <f t="shared" si="7"/>
        <v>46296</v>
      </c>
    </row>
    <row r="427" spans="1:10" ht="13.5" customHeight="1" x14ac:dyDescent="0.3">
      <c r="A427" t="s">
        <v>919</v>
      </c>
      <c r="B427" s="193" t="str">
        <f>YEAR(DATE(YEAR(RPT_MONTH),MONTH(RPT_MONTH)-5,1))&amp;"-"&amp;RIGHT("0"&amp;MONTH(DATE(YEAR(RPT_MONTH),MONTH(RPT_MONTH)-5,1)),2)</f>
        <v>2026-05</v>
      </c>
      <c r="C427" s="258">
        <f>DATE(YEAR(RPT_MONTH),MONTH(RPT_MONTH)-5,1)</f>
        <v>46143</v>
      </c>
      <c r="D427" t="s">
        <v>601</v>
      </c>
      <c r="E427" s="193" t="str">
        <f>IFERROR(INDEX(BD_KPIs!$F$2:$F$1300,MATCH(YEAR(DATE(YEAR(RPT_MONTH),MONTH(RPT_MONTH)-5,1))*100+MONTH(DATE(YEAR(RPT_MONTH),MONTH(RPT_MONTH)-5,1))&amp;"|HAL_ALTA_PCT|YTD",BD_KPIs!$Q$2:$Q$1300,0)),"")</f>
        <v/>
      </c>
      <c r="F427" s="193" t="str">
        <f>IFERROR(INDEX(BD_KPIs!$G$2:$G$1300,MATCH(YEAR(DATE(YEAR(RPT_MONTH),MONTH(RPT_MONTH)-5,1))*100+MONTH(DATE(YEAR(RPT_MONTH),MONTH(RPT_MONTH)-5,1))&amp;"|HAL_ALTA_PCT|YTD",BD_KPIs!$Q$2:$Q$1300,0)),"")</f>
        <v/>
      </c>
      <c r="G427" s="193" t="str">
        <f>IF(ISNUMBER(E427),IF(F427="","No target",IF(IFERROR(INDEX(BD_KPIs!$I$2:$I$1300,MATCH(YEAR(DATE(YEAR(RPT_MONTH),MONTH(RPT_MONTH)-5,1))*100+MONTH(DATE(YEAR(RPT_MONTH),MONTH(RPT_MONTH)-5,1))&amp;"|HAL_ALTA_PCT|YTD",BD_KPIs!$Q$2:$Q$1300,0)),"")="Sí","On target","Off target")),"No data")</f>
        <v>No data</v>
      </c>
      <c r="H427" s="193" t="str">
        <f>INDEX(_TARGETS!$D$2:$D$17,MATCH("HAL_ALTA_PCT",_TARGETS!$A$2:$A$17,0))</f>
        <v>% (fracción)</v>
      </c>
      <c r="I427" s="193" t="str">
        <f>INDEX(_TARGETS!$K$2:$K$17,MATCH("HAL_ALTA_PCT",_TARGETS!$A$2:$A$17,0))</f>
        <v>Plant Findings (hoja Observaciones-SMP)</v>
      </c>
      <c r="J427" s="258">
        <f t="shared" si="7"/>
        <v>46296</v>
      </c>
    </row>
    <row r="428" spans="1:10" ht="13.5" customHeight="1" x14ac:dyDescent="0.3">
      <c r="A428" t="s">
        <v>919</v>
      </c>
      <c r="B428" s="193" t="str">
        <f>YEAR(DATE(YEAR(RPT_MONTH),MONTH(RPT_MONTH)-4,1))&amp;"-"&amp;RIGHT("0"&amp;MONTH(DATE(YEAR(RPT_MONTH),MONTH(RPT_MONTH)-4,1)),2)</f>
        <v>2026-06</v>
      </c>
      <c r="C428" s="258">
        <f>DATE(YEAR(RPT_MONTH),MONTH(RPT_MONTH)-4,1)</f>
        <v>46174</v>
      </c>
      <c r="D428" t="s">
        <v>601</v>
      </c>
      <c r="E428" s="193" t="str">
        <f>IFERROR(INDEX(BD_KPIs!$F$2:$F$1300,MATCH(YEAR(DATE(YEAR(RPT_MONTH),MONTH(RPT_MONTH)-4,1))*100+MONTH(DATE(YEAR(RPT_MONTH),MONTH(RPT_MONTH)-4,1))&amp;"|HAL_ALTA_PCT|YTD",BD_KPIs!$Q$2:$Q$1300,0)),"")</f>
        <v/>
      </c>
      <c r="F428" s="193" t="str">
        <f>IFERROR(INDEX(BD_KPIs!$G$2:$G$1300,MATCH(YEAR(DATE(YEAR(RPT_MONTH),MONTH(RPT_MONTH)-4,1))*100+MONTH(DATE(YEAR(RPT_MONTH),MONTH(RPT_MONTH)-4,1))&amp;"|HAL_ALTA_PCT|YTD",BD_KPIs!$Q$2:$Q$1300,0)),"")</f>
        <v/>
      </c>
      <c r="G428" s="193" t="str">
        <f>IF(ISNUMBER(E428),IF(F428="","No target",IF(IFERROR(INDEX(BD_KPIs!$I$2:$I$1300,MATCH(YEAR(DATE(YEAR(RPT_MONTH),MONTH(RPT_MONTH)-4,1))*100+MONTH(DATE(YEAR(RPT_MONTH),MONTH(RPT_MONTH)-4,1))&amp;"|HAL_ALTA_PCT|YTD",BD_KPIs!$Q$2:$Q$1300,0)),"")="Sí","On target","Off target")),"No data")</f>
        <v>No data</v>
      </c>
      <c r="H428" s="193" t="str">
        <f>INDEX(_TARGETS!$D$2:$D$17,MATCH("HAL_ALTA_PCT",_TARGETS!$A$2:$A$17,0))</f>
        <v>% (fracción)</v>
      </c>
      <c r="I428" s="193" t="str">
        <f>INDEX(_TARGETS!$K$2:$K$17,MATCH("HAL_ALTA_PCT",_TARGETS!$A$2:$A$17,0))</f>
        <v>Plant Findings (hoja Observaciones-SMP)</v>
      </c>
      <c r="J428" s="258">
        <f t="shared" si="7"/>
        <v>46296</v>
      </c>
    </row>
    <row r="429" spans="1:10" ht="13.5" customHeight="1" x14ac:dyDescent="0.3">
      <c r="A429" t="s">
        <v>919</v>
      </c>
      <c r="B429" s="193" t="str">
        <f>YEAR(DATE(YEAR(RPT_MONTH),MONTH(RPT_MONTH)-3,1))&amp;"-"&amp;RIGHT("0"&amp;MONTH(DATE(YEAR(RPT_MONTH),MONTH(RPT_MONTH)-3,1)),2)</f>
        <v>2026-07</v>
      </c>
      <c r="C429" s="258">
        <f>DATE(YEAR(RPT_MONTH),MONTH(RPT_MONTH)-3,1)</f>
        <v>46204</v>
      </c>
      <c r="D429" t="s">
        <v>601</v>
      </c>
      <c r="E429" s="193" t="str">
        <f>IFERROR(INDEX(BD_KPIs!$F$2:$F$1300,MATCH(YEAR(DATE(YEAR(RPT_MONTH),MONTH(RPT_MONTH)-3,1))*100+MONTH(DATE(YEAR(RPT_MONTH),MONTH(RPT_MONTH)-3,1))&amp;"|HAL_ALTA_PCT|YTD",BD_KPIs!$Q$2:$Q$1300,0)),"")</f>
        <v/>
      </c>
      <c r="F429" s="193" t="str">
        <f>IFERROR(INDEX(BD_KPIs!$G$2:$G$1300,MATCH(YEAR(DATE(YEAR(RPT_MONTH),MONTH(RPT_MONTH)-3,1))*100+MONTH(DATE(YEAR(RPT_MONTH),MONTH(RPT_MONTH)-3,1))&amp;"|HAL_ALTA_PCT|YTD",BD_KPIs!$Q$2:$Q$1300,0)),"")</f>
        <v/>
      </c>
      <c r="G429" s="193" t="str">
        <f>IF(ISNUMBER(E429),IF(F429="","No target",IF(IFERROR(INDEX(BD_KPIs!$I$2:$I$1300,MATCH(YEAR(DATE(YEAR(RPT_MONTH),MONTH(RPT_MONTH)-3,1))*100+MONTH(DATE(YEAR(RPT_MONTH),MONTH(RPT_MONTH)-3,1))&amp;"|HAL_ALTA_PCT|YTD",BD_KPIs!$Q$2:$Q$1300,0)),"")="Sí","On target","Off target")),"No data")</f>
        <v>No data</v>
      </c>
      <c r="H429" s="193" t="str">
        <f>INDEX(_TARGETS!$D$2:$D$17,MATCH("HAL_ALTA_PCT",_TARGETS!$A$2:$A$17,0))</f>
        <v>% (fracción)</v>
      </c>
      <c r="I429" s="193" t="str">
        <f>INDEX(_TARGETS!$K$2:$K$17,MATCH("HAL_ALTA_PCT",_TARGETS!$A$2:$A$17,0))</f>
        <v>Plant Findings (hoja Observaciones-SMP)</v>
      </c>
      <c r="J429" s="258">
        <f t="shared" si="7"/>
        <v>46296</v>
      </c>
    </row>
    <row r="430" spans="1:10" ht="13.5" customHeight="1" x14ac:dyDescent="0.3">
      <c r="A430" t="s">
        <v>919</v>
      </c>
      <c r="B430" s="193" t="str">
        <f>YEAR(DATE(YEAR(RPT_MONTH),MONTH(RPT_MONTH)-2,1))&amp;"-"&amp;RIGHT("0"&amp;MONTH(DATE(YEAR(RPT_MONTH),MONTH(RPT_MONTH)-2,1)),2)</f>
        <v>2026-08</v>
      </c>
      <c r="C430" s="258">
        <f>DATE(YEAR(RPT_MONTH),MONTH(RPT_MONTH)-2,1)</f>
        <v>46235</v>
      </c>
      <c r="D430" t="s">
        <v>601</v>
      </c>
      <c r="E430" s="193" t="str">
        <f>IFERROR(INDEX(BD_KPIs!$F$2:$F$1300,MATCH(YEAR(DATE(YEAR(RPT_MONTH),MONTH(RPT_MONTH)-2,1))*100+MONTH(DATE(YEAR(RPT_MONTH),MONTH(RPT_MONTH)-2,1))&amp;"|HAL_ALTA_PCT|YTD",BD_KPIs!$Q$2:$Q$1300,0)),"")</f>
        <v/>
      </c>
      <c r="F430" s="193" t="str">
        <f>IFERROR(INDEX(BD_KPIs!$G$2:$G$1300,MATCH(YEAR(DATE(YEAR(RPT_MONTH),MONTH(RPT_MONTH)-2,1))*100+MONTH(DATE(YEAR(RPT_MONTH),MONTH(RPT_MONTH)-2,1))&amp;"|HAL_ALTA_PCT|YTD",BD_KPIs!$Q$2:$Q$1300,0)),"")</f>
        <v/>
      </c>
      <c r="G430" s="193" t="str">
        <f>IF(ISNUMBER(E430),IF(F430="","No target",IF(IFERROR(INDEX(BD_KPIs!$I$2:$I$1300,MATCH(YEAR(DATE(YEAR(RPT_MONTH),MONTH(RPT_MONTH)-2,1))*100+MONTH(DATE(YEAR(RPT_MONTH),MONTH(RPT_MONTH)-2,1))&amp;"|HAL_ALTA_PCT|YTD",BD_KPIs!$Q$2:$Q$1300,0)),"")="Sí","On target","Off target")),"No data")</f>
        <v>No data</v>
      </c>
      <c r="H430" s="193" t="str">
        <f>INDEX(_TARGETS!$D$2:$D$17,MATCH("HAL_ALTA_PCT",_TARGETS!$A$2:$A$17,0))</f>
        <v>% (fracción)</v>
      </c>
      <c r="I430" s="193" t="str">
        <f>INDEX(_TARGETS!$K$2:$K$17,MATCH("HAL_ALTA_PCT",_TARGETS!$A$2:$A$17,0))</f>
        <v>Plant Findings (hoja Observaciones-SMP)</v>
      </c>
      <c r="J430" s="258">
        <f t="shared" si="7"/>
        <v>46296</v>
      </c>
    </row>
    <row r="431" spans="1:10" ht="13.5" customHeight="1" x14ac:dyDescent="0.3">
      <c r="A431" t="s">
        <v>919</v>
      </c>
      <c r="B431" s="193" t="str">
        <f>YEAR(DATE(YEAR(RPT_MONTH),MONTH(RPT_MONTH)-1,1))&amp;"-"&amp;RIGHT("0"&amp;MONTH(DATE(YEAR(RPT_MONTH),MONTH(RPT_MONTH)-1,1)),2)</f>
        <v>2026-09</v>
      </c>
      <c r="C431" s="258">
        <f>DATE(YEAR(RPT_MONTH),MONTH(RPT_MONTH)-1,1)</f>
        <v>46266</v>
      </c>
      <c r="D431" t="s">
        <v>601</v>
      </c>
      <c r="E431" s="193" t="str">
        <f>IFERROR(INDEX(BD_KPIs!$F$2:$F$1300,MATCH(YEAR(DATE(YEAR(RPT_MONTH),MONTH(RPT_MONTH)-1,1))*100+MONTH(DATE(YEAR(RPT_MONTH),MONTH(RPT_MONTH)-1,1))&amp;"|HAL_ALTA_PCT|YTD",BD_KPIs!$Q$2:$Q$1300,0)),"")</f>
        <v/>
      </c>
      <c r="F431" s="193" t="str">
        <f>IFERROR(INDEX(BD_KPIs!$G$2:$G$1300,MATCH(YEAR(DATE(YEAR(RPT_MONTH),MONTH(RPT_MONTH)-1,1))*100+MONTH(DATE(YEAR(RPT_MONTH),MONTH(RPT_MONTH)-1,1))&amp;"|HAL_ALTA_PCT|YTD",BD_KPIs!$Q$2:$Q$1300,0)),"")</f>
        <v/>
      </c>
      <c r="G431" s="193" t="str">
        <f>IF(ISNUMBER(E431),IF(F431="","No target",IF(IFERROR(INDEX(BD_KPIs!$I$2:$I$1300,MATCH(YEAR(DATE(YEAR(RPT_MONTH),MONTH(RPT_MONTH)-1,1))*100+MONTH(DATE(YEAR(RPT_MONTH),MONTH(RPT_MONTH)-1,1))&amp;"|HAL_ALTA_PCT|YTD",BD_KPIs!$Q$2:$Q$1300,0)),"")="Sí","On target","Off target")),"No data")</f>
        <v>No data</v>
      </c>
      <c r="H431" s="193" t="str">
        <f>INDEX(_TARGETS!$D$2:$D$17,MATCH("HAL_ALTA_PCT",_TARGETS!$A$2:$A$17,0))</f>
        <v>% (fracción)</v>
      </c>
      <c r="I431" s="193" t="str">
        <f>INDEX(_TARGETS!$K$2:$K$17,MATCH("HAL_ALTA_PCT",_TARGETS!$A$2:$A$17,0))</f>
        <v>Plant Findings (hoja Observaciones-SMP)</v>
      </c>
      <c r="J431" s="258">
        <f t="shared" si="7"/>
        <v>46296</v>
      </c>
    </row>
    <row r="432" spans="1:10" ht="13.5" customHeight="1" x14ac:dyDescent="0.3">
      <c r="A432" t="s">
        <v>919</v>
      </c>
      <c r="B432" s="193" t="str">
        <f>YEAR(DATE(YEAR(RPT_MONTH),MONTH(RPT_MONTH)-0,1))&amp;"-"&amp;RIGHT("0"&amp;MONTH(DATE(YEAR(RPT_MONTH),MONTH(RPT_MONTH)-0,1)),2)</f>
        <v>2026-10</v>
      </c>
      <c r="C432" s="258">
        <f>DATE(YEAR(RPT_MONTH),MONTH(RPT_MONTH)-0,1)</f>
        <v>46296</v>
      </c>
      <c r="D432" t="s">
        <v>601</v>
      </c>
      <c r="E432" s="193" t="str">
        <f>IFERROR(INDEX(BD_KPIs!$F$2:$F$1300,MATCH(YEAR(DATE(YEAR(RPT_MONTH),MONTH(RPT_MONTH)-0,1))*100+MONTH(DATE(YEAR(RPT_MONTH),MONTH(RPT_MONTH)-0,1))&amp;"|HAL_ALTA_PCT|YTD",BD_KPIs!$Q$2:$Q$1300,0)),"")</f>
        <v/>
      </c>
      <c r="F432" s="193" t="str">
        <f>IFERROR(INDEX(BD_KPIs!$G$2:$G$1300,MATCH(YEAR(DATE(YEAR(RPT_MONTH),MONTH(RPT_MONTH)-0,1))*100+MONTH(DATE(YEAR(RPT_MONTH),MONTH(RPT_MONTH)-0,1))&amp;"|HAL_ALTA_PCT|YTD",BD_KPIs!$Q$2:$Q$1300,0)),"")</f>
        <v/>
      </c>
      <c r="G432" s="193" t="str">
        <f>IF(ISNUMBER(E432),IF(F432="","No target",IF(IFERROR(INDEX(BD_KPIs!$I$2:$I$1300,MATCH(YEAR(DATE(YEAR(RPT_MONTH),MONTH(RPT_MONTH)-0,1))*100+MONTH(DATE(YEAR(RPT_MONTH),MONTH(RPT_MONTH)-0,1))&amp;"|HAL_ALTA_PCT|YTD",BD_KPIs!$Q$2:$Q$1300,0)),"")="Sí","On target","Off target")),"No data")</f>
        <v>No data</v>
      </c>
      <c r="H432" s="193" t="str">
        <f>INDEX(_TARGETS!$D$2:$D$17,MATCH("HAL_ALTA_PCT",_TARGETS!$A$2:$A$17,0))</f>
        <v>% (fracción)</v>
      </c>
      <c r="I432" s="193" t="str">
        <f>INDEX(_TARGETS!$K$2:$K$17,MATCH("HAL_ALTA_PCT",_TARGETS!$A$2:$A$17,0))</f>
        <v>Plant Findings (hoja Observaciones-SMP)</v>
      </c>
      <c r="J432" s="258">
        <f t="shared" si="7"/>
        <v>46296</v>
      </c>
    </row>
    <row r="433" spans="1:10" ht="13.5" customHeight="1" x14ac:dyDescent="0.3">
      <c r="A433" t="s">
        <v>920</v>
      </c>
      <c r="B433" s="193" t="str">
        <f>YEAR(DATE(YEAR(RPT_MONTH),MONTH(RPT_MONTH)-11,1))&amp;"-"&amp;RIGHT("0"&amp;MONTH(DATE(YEAR(RPT_MONTH),MONTH(RPT_MONTH)-11,1)),2)</f>
        <v>2025-11</v>
      </c>
      <c r="C433" s="258">
        <f>DATE(YEAR(RPT_MONTH),MONTH(RPT_MONTH)-11,1)</f>
        <v>45962</v>
      </c>
      <c r="D433" t="s">
        <v>68</v>
      </c>
      <c r="E433" s="193" t="str">
        <f>IFERROR(INDEX(BD_KPIs!$F$2:$F$1300,MATCH(YEAR(DATE(YEAR(RPT_MONTH),MONTH(RPT_MONTH)-11,1))*100+MONTH(DATE(YEAR(RPT_MONTH),MONTH(RPT_MONTH)-11,1))&amp;"|DET|Monthly",BD_KPIs!$Q$2:$Q$1300,0)),"")</f>
        <v/>
      </c>
      <c r="F433" s="193" t="str">
        <f>IFERROR(INDEX(BD_KPIs!$G$2:$G$1300,MATCH(YEAR(DATE(YEAR(RPT_MONTH),MONTH(RPT_MONTH)-11,1))*100+MONTH(DATE(YEAR(RPT_MONTH),MONTH(RPT_MONTH)-11,1))&amp;"|DET|Monthly",BD_KPIs!$Q$2:$Q$1300,0)),"")</f>
        <v/>
      </c>
      <c r="G433" s="193" t="str">
        <f>IF(ISNUMBER(E433),IF(F433="","No target",IF(IFERROR(INDEX(BD_KPIs!$I$2:$I$1300,MATCH(YEAR(DATE(YEAR(RPT_MONTH),MONTH(RPT_MONTH)-11,1))*100+MONTH(DATE(YEAR(RPT_MONTH),MONTH(RPT_MONTH)-11,1))&amp;"|DET|Monthly",BD_KPIs!$Q$2:$Q$1300,0)),"")="Sí","On target","Off target")),"No data")</f>
        <v>No data</v>
      </c>
      <c r="H433" s="193" t="str">
        <f>INDEX(_TARGETS!$D$2:$D$17,MATCH("DET",_TARGETS!$A$2:$A$17,0))</f>
        <v>u</v>
      </c>
      <c r="I433" s="193" t="str">
        <f>INDEX(_TARGETS!$K$2:$K$17,MATCH("DET",_TARGETS!$A$2:$A$17,0))</f>
        <v>Plant Findings (hoja Observaciones-SMP)</v>
      </c>
      <c r="J433" s="258">
        <f t="shared" si="7"/>
        <v>46296</v>
      </c>
    </row>
    <row r="434" spans="1:10" ht="13.5" customHeight="1" x14ac:dyDescent="0.3">
      <c r="A434" t="s">
        <v>920</v>
      </c>
      <c r="B434" s="193" t="str">
        <f>YEAR(DATE(YEAR(RPT_MONTH),MONTH(RPT_MONTH)-10,1))&amp;"-"&amp;RIGHT("0"&amp;MONTH(DATE(YEAR(RPT_MONTH),MONTH(RPT_MONTH)-10,1)),2)</f>
        <v>2025-12</v>
      </c>
      <c r="C434" s="258">
        <f>DATE(YEAR(RPT_MONTH),MONTH(RPT_MONTH)-10,1)</f>
        <v>45992</v>
      </c>
      <c r="D434" t="s">
        <v>68</v>
      </c>
      <c r="E434" s="193" t="str">
        <f>IFERROR(INDEX(BD_KPIs!$F$2:$F$1300,MATCH(YEAR(DATE(YEAR(RPT_MONTH),MONTH(RPT_MONTH)-10,1))*100+MONTH(DATE(YEAR(RPT_MONTH),MONTH(RPT_MONTH)-10,1))&amp;"|DET|Monthly",BD_KPIs!$Q$2:$Q$1300,0)),"")</f>
        <v/>
      </c>
      <c r="F434" s="193" t="str">
        <f>IFERROR(INDEX(BD_KPIs!$G$2:$G$1300,MATCH(YEAR(DATE(YEAR(RPT_MONTH),MONTH(RPT_MONTH)-10,1))*100+MONTH(DATE(YEAR(RPT_MONTH),MONTH(RPT_MONTH)-10,1))&amp;"|DET|Monthly",BD_KPIs!$Q$2:$Q$1300,0)),"")</f>
        <v/>
      </c>
      <c r="G434" s="193" t="str">
        <f>IF(ISNUMBER(E434),IF(F434="","No target",IF(IFERROR(INDEX(BD_KPIs!$I$2:$I$1300,MATCH(YEAR(DATE(YEAR(RPT_MONTH),MONTH(RPT_MONTH)-10,1))*100+MONTH(DATE(YEAR(RPT_MONTH),MONTH(RPT_MONTH)-10,1))&amp;"|DET|Monthly",BD_KPIs!$Q$2:$Q$1300,0)),"")="Sí","On target","Off target")),"No data")</f>
        <v>No data</v>
      </c>
      <c r="H434" s="193" t="str">
        <f>INDEX(_TARGETS!$D$2:$D$17,MATCH("DET",_TARGETS!$A$2:$A$17,0))</f>
        <v>u</v>
      </c>
      <c r="I434" s="193" t="str">
        <f>INDEX(_TARGETS!$K$2:$K$17,MATCH("DET",_TARGETS!$A$2:$A$17,0))</f>
        <v>Plant Findings (hoja Observaciones-SMP)</v>
      </c>
      <c r="J434" s="258">
        <f t="shared" si="7"/>
        <v>46296</v>
      </c>
    </row>
    <row r="435" spans="1:10" ht="13.5" customHeight="1" x14ac:dyDescent="0.3">
      <c r="A435" t="s">
        <v>920</v>
      </c>
      <c r="B435" s="193" t="str">
        <f>YEAR(DATE(YEAR(RPT_MONTH),MONTH(RPT_MONTH)-9,1))&amp;"-"&amp;RIGHT("0"&amp;MONTH(DATE(YEAR(RPT_MONTH),MONTH(RPT_MONTH)-9,1)),2)</f>
        <v>2026-01</v>
      </c>
      <c r="C435" s="258">
        <f>DATE(YEAR(RPT_MONTH),MONTH(RPT_MONTH)-9,1)</f>
        <v>46023</v>
      </c>
      <c r="D435" t="s">
        <v>68</v>
      </c>
      <c r="E435" s="193" t="str">
        <f>IFERROR(INDEX(BD_KPIs!$F$2:$F$1300,MATCH(YEAR(DATE(YEAR(RPT_MONTH),MONTH(RPT_MONTH)-9,1))*100+MONTH(DATE(YEAR(RPT_MONTH),MONTH(RPT_MONTH)-9,1))&amp;"|DET|Monthly",BD_KPIs!$Q$2:$Q$1300,0)),"")</f>
        <v/>
      </c>
      <c r="F435" s="193" t="str">
        <f>IFERROR(INDEX(BD_KPIs!$G$2:$G$1300,MATCH(YEAR(DATE(YEAR(RPT_MONTH),MONTH(RPT_MONTH)-9,1))*100+MONTH(DATE(YEAR(RPT_MONTH),MONTH(RPT_MONTH)-9,1))&amp;"|DET|Monthly",BD_KPIs!$Q$2:$Q$1300,0)),"")</f>
        <v/>
      </c>
      <c r="G435" s="193" t="str">
        <f>IF(ISNUMBER(E435),IF(F435="","No target",IF(IFERROR(INDEX(BD_KPIs!$I$2:$I$1300,MATCH(YEAR(DATE(YEAR(RPT_MONTH),MONTH(RPT_MONTH)-9,1))*100+MONTH(DATE(YEAR(RPT_MONTH),MONTH(RPT_MONTH)-9,1))&amp;"|DET|Monthly",BD_KPIs!$Q$2:$Q$1300,0)),"")="Sí","On target","Off target")),"No data")</f>
        <v>No data</v>
      </c>
      <c r="H435" s="193" t="str">
        <f>INDEX(_TARGETS!$D$2:$D$17,MATCH("DET",_TARGETS!$A$2:$A$17,0))</f>
        <v>u</v>
      </c>
      <c r="I435" s="193" t="str">
        <f>INDEX(_TARGETS!$K$2:$K$17,MATCH("DET",_TARGETS!$A$2:$A$17,0))</f>
        <v>Plant Findings (hoja Observaciones-SMP)</v>
      </c>
      <c r="J435" s="258">
        <f t="shared" si="7"/>
        <v>46296</v>
      </c>
    </row>
    <row r="436" spans="1:10" ht="13.5" customHeight="1" x14ac:dyDescent="0.3">
      <c r="A436" t="s">
        <v>920</v>
      </c>
      <c r="B436" s="193" t="str">
        <f>YEAR(DATE(YEAR(RPT_MONTH),MONTH(RPT_MONTH)-8,1))&amp;"-"&amp;RIGHT("0"&amp;MONTH(DATE(YEAR(RPT_MONTH),MONTH(RPT_MONTH)-8,1)),2)</f>
        <v>2026-02</v>
      </c>
      <c r="C436" s="258">
        <f>DATE(YEAR(RPT_MONTH),MONTH(RPT_MONTH)-8,1)</f>
        <v>46054</v>
      </c>
      <c r="D436" t="s">
        <v>68</v>
      </c>
      <c r="E436" s="193" t="str">
        <f>IFERROR(INDEX(BD_KPIs!$F$2:$F$1300,MATCH(YEAR(DATE(YEAR(RPT_MONTH),MONTH(RPT_MONTH)-8,1))*100+MONTH(DATE(YEAR(RPT_MONTH),MONTH(RPT_MONTH)-8,1))&amp;"|DET|Monthly",BD_KPIs!$Q$2:$Q$1300,0)),"")</f>
        <v/>
      </c>
      <c r="F436" s="193" t="str">
        <f>IFERROR(INDEX(BD_KPIs!$G$2:$G$1300,MATCH(YEAR(DATE(YEAR(RPT_MONTH),MONTH(RPT_MONTH)-8,1))*100+MONTH(DATE(YEAR(RPT_MONTH),MONTH(RPT_MONTH)-8,1))&amp;"|DET|Monthly",BD_KPIs!$Q$2:$Q$1300,0)),"")</f>
        <v/>
      </c>
      <c r="G436" s="193" t="str">
        <f>IF(ISNUMBER(E436),IF(F436="","No target",IF(IFERROR(INDEX(BD_KPIs!$I$2:$I$1300,MATCH(YEAR(DATE(YEAR(RPT_MONTH),MONTH(RPT_MONTH)-8,1))*100+MONTH(DATE(YEAR(RPT_MONTH),MONTH(RPT_MONTH)-8,1))&amp;"|DET|Monthly",BD_KPIs!$Q$2:$Q$1300,0)),"")="Sí","On target","Off target")),"No data")</f>
        <v>No data</v>
      </c>
      <c r="H436" s="193" t="str">
        <f>INDEX(_TARGETS!$D$2:$D$17,MATCH("DET",_TARGETS!$A$2:$A$17,0))</f>
        <v>u</v>
      </c>
      <c r="I436" s="193" t="str">
        <f>INDEX(_TARGETS!$K$2:$K$17,MATCH("DET",_TARGETS!$A$2:$A$17,0))</f>
        <v>Plant Findings (hoja Observaciones-SMP)</v>
      </c>
      <c r="J436" s="258">
        <f t="shared" si="7"/>
        <v>46296</v>
      </c>
    </row>
    <row r="437" spans="1:10" ht="13.5" customHeight="1" x14ac:dyDescent="0.3">
      <c r="A437" t="s">
        <v>920</v>
      </c>
      <c r="B437" s="193" t="str">
        <f>YEAR(DATE(YEAR(RPT_MONTH),MONTH(RPT_MONTH)-7,1))&amp;"-"&amp;RIGHT("0"&amp;MONTH(DATE(YEAR(RPT_MONTH),MONTH(RPT_MONTH)-7,1)),2)</f>
        <v>2026-03</v>
      </c>
      <c r="C437" s="258">
        <f>DATE(YEAR(RPT_MONTH),MONTH(RPT_MONTH)-7,1)</f>
        <v>46082</v>
      </c>
      <c r="D437" t="s">
        <v>68</v>
      </c>
      <c r="E437" s="193" t="str">
        <f>IFERROR(INDEX(BD_KPIs!$F$2:$F$1300,MATCH(YEAR(DATE(YEAR(RPT_MONTH),MONTH(RPT_MONTH)-7,1))*100+MONTH(DATE(YEAR(RPT_MONTH),MONTH(RPT_MONTH)-7,1))&amp;"|DET|Monthly",BD_KPIs!$Q$2:$Q$1300,0)),"")</f>
        <v/>
      </c>
      <c r="F437" s="193" t="str">
        <f>IFERROR(INDEX(BD_KPIs!$G$2:$G$1300,MATCH(YEAR(DATE(YEAR(RPT_MONTH),MONTH(RPT_MONTH)-7,1))*100+MONTH(DATE(YEAR(RPT_MONTH),MONTH(RPT_MONTH)-7,1))&amp;"|DET|Monthly",BD_KPIs!$Q$2:$Q$1300,0)),"")</f>
        <v/>
      </c>
      <c r="G437" s="193" t="str">
        <f>IF(ISNUMBER(E437),IF(F437="","No target",IF(IFERROR(INDEX(BD_KPIs!$I$2:$I$1300,MATCH(YEAR(DATE(YEAR(RPT_MONTH),MONTH(RPT_MONTH)-7,1))*100+MONTH(DATE(YEAR(RPT_MONTH),MONTH(RPT_MONTH)-7,1))&amp;"|DET|Monthly",BD_KPIs!$Q$2:$Q$1300,0)),"")="Sí","On target","Off target")),"No data")</f>
        <v>No data</v>
      </c>
      <c r="H437" s="193" t="str">
        <f>INDEX(_TARGETS!$D$2:$D$17,MATCH("DET",_TARGETS!$A$2:$A$17,0))</f>
        <v>u</v>
      </c>
      <c r="I437" s="193" t="str">
        <f>INDEX(_TARGETS!$K$2:$K$17,MATCH("DET",_TARGETS!$A$2:$A$17,0))</f>
        <v>Plant Findings (hoja Observaciones-SMP)</v>
      </c>
      <c r="J437" s="258">
        <f t="shared" si="7"/>
        <v>46296</v>
      </c>
    </row>
    <row r="438" spans="1:10" ht="13.5" customHeight="1" x14ac:dyDescent="0.3">
      <c r="A438" t="s">
        <v>920</v>
      </c>
      <c r="B438" s="193" t="str">
        <f>YEAR(DATE(YEAR(RPT_MONTH),MONTH(RPT_MONTH)-6,1))&amp;"-"&amp;RIGHT("0"&amp;MONTH(DATE(YEAR(RPT_MONTH),MONTH(RPT_MONTH)-6,1)),2)</f>
        <v>2026-04</v>
      </c>
      <c r="C438" s="258">
        <f>DATE(YEAR(RPT_MONTH),MONTH(RPT_MONTH)-6,1)</f>
        <v>46113</v>
      </c>
      <c r="D438" t="s">
        <v>68</v>
      </c>
      <c r="E438" s="193" t="str">
        <f>IFERROR(INDEX(BD_KPIs!$F$2:$F$1300,MATCH(YEAR(DATE(YEAR(RPT_MONTH),MONTH(RPT_MONTH)-6,1))*100+MONTH(DATE(YEAR(RPT_MONTH),MONTH(RPT_MONTH)-6,1))&amp;"|DET|Monthly",BD_KPIs!$Q$2:$Q$1300,0)),"")</f>
        <v/>
      </c>
      <c r="F438" s="193" t="str">
        <f>IFERROR(INDEX(BD_KPIs!$G$2:$G$1300,MATCH(YEAR(DATE(YEAR(RPT_MONTH),MONTH(RPT_MONTH)-6,1))*100+MONTH(DATE(YEAR(RPT_MONTH),MONTH(RPT_MONTH)-6,1))&amp;"|DET|Monthly",BD_KPIs!$Q$2:$Q$1300,0)),"")</f>
        <v/>
      </c>
      <c r="G438" s="193" t="str">
        <f>IF(ISNUMBER(E438),IF(F438="","No target",IF(IFERROR(INDEX(BD_KPIs!$I$2:$I$1300,MATCH(YEAR(DATE(YEAR(RPT_MONTH),MONTH(RPT_MONTH)-6,1))*100+MONTH(DATE(YEAR(RPT_MONTH),MONTH(RPT_MONTH)-6,1))&amp;"|DET|Monthly",BD_KPIs!$Q$2:$Q$1300,0)),"")="Sí","On target","Off target")),"No data")</f>
        <v>No data</v>
      </c>
      <c r="H438" s="193" t="str">
        <f>INDEX(_TARGETS!$D$2:$D$17,MATCH("DET",_TARGETS!$A$2:$A$17,0))</f>
        <v>u</v>
      </c>
      <c r="I438" s="193" t="str">
        <f>INDEX(_TARGETS!$K$2:$K$17,MATCH("DET",_TARGETS!$A$2:$A$17,0))</f>
        <v>Plant Findings (hoja Observaciones-SMP)</v>
      </c>
      <c r="J438" s="258">
        <f t="shared" si="7"/>
        <v>46296</v>
      </c>
    </row>
    <row r="439" spans="1:10" ht="13.5" customHeight="1" x14ac:dyDescent="0.3">
      <c r="A439" t="s">
        <v>920</v>
      </c>
      <c r="B439" s="193" t="str">
        <f>YEAR(DATE(YEAR(RPT_MONTH),MONTH(RPT_MONTH)-5,1))&amp;"-"&amp;RIGHT("0"&amp;MONTH(DATE(YEAR(RPT_MONTH),MONTH(RPT_MONTH)-5,1)),2)</f>
        <v>2026-05</v>
      </c>
      <c r="C439" s="258">
        <f>DATE(YEAR(RPT_MONTH),MONTH(RPT_MONTH)-5,1)</f>
        <v>46143</v>
      </c>
      <c r="D439" t="s">
        <v>68</v>
      </c>
      <c r="E439" s="193" t="str">
        <f>IFERROR(INDEX(BD_KPIs!$F$2:$F$1300,MATCH(YEAR(DATE(YEAR(RPT_MONTH),MONTH(RPT_MONTH)-5,1))*100+MONTH(DATE(YEAR(RPT_MONTH),MONTH(RPT_MONTH)-5,1))&amp;"|DET|Monthly",BD_KPIs!$Q$2:$Q$1300,0)),"")</f>
        <v/>
      </c>
      <c r="F439" s="193" t="str">
        <f>IFERROR(INDEX(BD_KPIs!$G$2:$G$1300,MATCH(YEAR(DATE(YEAR(RPT_MONTH),MONTH(RPT_MONTH)-5,1))*100+MONTH(DATE(YEAR(RPT_MONTH),MONTH(RPT_MONTH)-5,1))&amp;"|DET|Monthly",BD_KPIs!$Q$2:$Q$1300,0)),"")</f>
        <v/>
      </c>
      <c r="G439" s="193" t="str">
        <f>IF(ISNUMBER(E439),IF(F439="","No target",IF(IFERROR(INDEX(BD_KPIs!$I$2:$I$1300,MATCH(YEAR(DATE(YEAR(RPT_MONTH),MONTH(RPT_MONTH)-5,1))*100+MONTH(DATE(YEAR(RPT_MONTH),MONTH(RPT_MONTH)-5,1))&amp;"|DET|Monthly",BD_KPIs!$Q$2:$Q$1300,0)),"")="Sí","On target","Off target")),"No data")</f>
        <v>No data</v>
      </c>
      <c r="H439" s="193" t="str">
        <f>INDEX(_TARGETS!$D$2:$D$17,MATCH("DET",_TARGETS!$A$2:$A$17,0))</f>
        <v>u</v>
      </c>
      <c r="I439" s="193" t="str">
        <f>INDEX(_TARGETS!$K$2:$K$17,MATCH("DET",_TARGETS!$A$2:$A$17,0))</f>
        <v>Plant Findings (hoja Observaciones-SMP)</v>
      </c>
      <c r="J439" s="258">
        <f t="shared" si="7"/>
        <v>46296</v>
      </c>
    </row>
    <row r="440" spans="1:10" ht="13.5" customHeight="1" x14ac:dyDescent="0.3">
      <c r="A440" t="s">
        <v>920</v>
      </c>
      <c r="B440" s="193" t="str">
        <f>YEAR(DATE(YEAR(RPT_MONTH),MONTH(RPT_MONTH)-4,1))&amp;"-"&amp;RIGHT("0"&amp;MONTH(DATE(YEAR(RPT_MONTH),MONTH(RPT_MONTH)-4,1)),2)</f>
        <v>2026-06</v>
      </c>
      <c r="C440" s="258">
        <f>DATE(YEAR(RPT_MONTH),MONTH(RPT_MONTH)-4,1)</f>
        <v>46174</v>
      </c>
      <c r="D440" t="s">
        <v>68</v>
      </c>
      <c r="E440" s="193" t="str">
        <f>IFERROR(INDEX(BD_KPIs!$F$2:$F$1300,MATCH(YEAR(DATE(YEAR(RPT_MONTH),MONTH(RPT_MONTH)-4,1))*100+MONTH(DATE(YEAR(RPT_MONTH),MONTH(RPT_MONTH)-4,1))&amp;"|DET|Monthly",BD_KPIs!$Q$2:$Q$1300,0)),"")</f>
        <v/>
      </c>
      <c r="F440" s="193" t="str">
        <f>IFERROR(INDEX(BD_KPIs!$G$2:$G$1300,MATCH(YEAR(DATE(YEAR(RPT_MONTH),MONTH(RPT_MONTH)-4,1))*100+MONTH(DATE(YEAR(RPT_MONTH),MONTH(RPT_MONTH)-4,1))&amp;"|DET|Monthly",BD_KPIs!$Q$2:$Q$1300,0)),"")</f>
        <v/>
      </c>
      <c r="G440" s="193" t="str">
        <f>IF(ISNUMBER(E440),IF(F440="","No target",IF(IFERROR(INDEX(BD_KPIs!$I$2:$I$1300,MATCH(YEAR(DATE(YEAR(RPT_MONTH),MONTH(RPT_MONTH)-4,1))*100+MONTH(DATE(YEAR(RPT_MONTH),MONTH(RPT_MONTH)-4,1))&amp;"|DET|Monthly",BD_KPIs!$Q$2:$Q$1300,0)),"")="Sí","On target","Off target")),"No data")</f>
        <v>No data</v>
      </c>
      <c r="H440" s="193" t="str">
        <f>INDEX(_TARGETS!$D$2:$D$17,MATCH("DET",_TARGETS!$A$2:$A$17,0))</f>
        <v>u</v>
      </c>
      <c r="I440" s="193" t="str">
        <f>INDEX(_TARGETS!$K$2:$K$17,MATCH("DET",_TARGETS!$A$2:$A$17,0))</f>
        <v>Plant Findings (hoja Observaciones-SMP)</v>
      </c>
      <c r="J440" s="258">
        <f t="shared" si="7"/>
        <v>46296</v>
      </c>
    </row>
    <row r="441" spans="1:10" ht="13.5" customHeight="1" x14ac:dyDescent="0.3">
      <c r="A441" t="s">
        <v>920</v>
      </c>
      <c r="B441" s="193" t="str">
        <f>YEAR(DATE(YEAR(RPT_MONTH),MONTH(RPT_MONTH)-3,1))&amp;"-"&amp;RIGHT("0"&amp;MONTH(DATE(YEAR(RPT_MONTH),MONTH(RPT_MONTH)-3,1)),2)</f>
        <v>2026-07</v>
      </c>
      <c r="C441" s="258">
        <f>DATE(YEAR(RPT_MONTH),MONTH(RPT_MONTH)-3,1)</f>
        <v>46204</v>
      </c>
      <c r="D441" t="s">
        <v>68</v>
      </c>
      <c r="E441" s="193" t="str">
        <f>IFERROR(INDEX(BD_KPIs!$F$2:$F$1300,MATCH(YEAR(DATE(YEAR(RPT_MONTH),MONTH(RPT_MONTH)-3,1))*100+MONTH(DATE(YEAR(RPT_MONTH),MONTH(RPT_MONTH)-3,1))&amp;"|DET|Monthly",BD_KPIs!$Q$2:$Q$1300,0)),"")</f>
        <v/>
      </c>
      <c r="F441" s="193" t="str">
        <f>IFERROR(INDEX(BD_KPIs!$G$2:$G$1300,MATCH(YEAR(DATE(YEAR(RPT_MONTH),MONTH(RPT_MONTH)-3,1))*100+MONTH(DATE(YEAR(RPT_MONTH),MONTH(RPT_MONTH)-3,1))&amp;"|DET|Monthly",BD_KPIs!$Q$2:$Q$1300,0)),"")</f>
        <v/>
      </c>
      <c r="G441" s="193" t="str">
        <f>IF(ISNUMBER(E441),IF(F441="","No target",IF(IFERROR(INDEX(BD_KPIs!$I$2:$I$1300,MATCH(YEAR(DATE(YEAR(RPT_MONTH),MONTH(RPT_MONTH)-3,1))*100+MONTH(DATE(YEAR(RPT_MONTH),MONTH(RPT_MONTH)-3,1))&amp;"|DET|Monthly",BD_KPIs!$Q$2:$Q$1300,0)),"")="Sí","On target","Off target")),"No data")</f>
        <v>No data</v>
      </c>
      <c r="H441" s="193" t="str">
        <f>INDEX(_TARGETS!$D$2:$D$17,MATCH("DET",_TARGETS!$A$2:$A$17,0))</f>
        <v>u</v>
      </c>
      <c r="I441" s="193" t="str">
        <f>INDEX(_TARGETS!$K$2:$K$17,MATCH("DET",_TARGETS!$A$2:$A$17,0))</f>
        <v>Plant Findings (hoja Observaciones-SMP)</v>
      </c>
      <c r="J441" s="258">
        <f t="shared" si="7"/>
        <v>46296</v>
      </c>
    </row>
    <row r="442" spans="1:10" ht="13.5" customHeight="1" x14ac:dyDescent="0.3">
      <c r="A442" t="s">
        <v>920</v>
      </c>
      <c r="B442" s="193" t="str">
        <f>YEAR(DATE(YEAR(RPT_MONTH),MONTH(RPT_MONTH)-2,1))&amp;"-"&amp;RIGHT("0"&amp;MONTH(DATE(YEAR(RPT_MONTH),MONTH(RPT_MONTH)-2,1)),2)</f>
        <v>2026-08</v>
      </c>
      <c r="C442" s="258">
        <f>DATE(YEAR(RPT_MONTH),MONTH(RPT_MONTH)-2,1)</f>
        <v>46235</v>
      </c>
      <c r="D442" t="s">
        <v>68</v>
      </c>
      <c r="E442" s="193">
        <f>IFERROR(INDEX(BD_KPIs!$F$2:$F$1300,MATCH(YEAR(DATE(YEAR(RPT_MONTH),MONTH(RPT_MONTH)-2,1))*100+MONTH(DATE(YEAR(RPT_MONTH),MONTH(RPT_MONTH)-2,1))&amp;"|DET|Monthly",BD_KPIs!$Q$2:$Q$1300,0)),"")</f>
        <v>0</v>
      </c>
      <c r="F442" s="193" t="str">
        <f>IFERROR(INDEX(BD_KPIs!$G$2:$G$1300,MATCH(YEAR(DATE(YEAR(RPT_MONTH),MONTH(RPT_MONTH)-2,1))*100+MONTH(DATE(YEAR(RPT_MONTH),MONTH(RPT_MONTH)-2,1))&amp;"|DET|Monthly",BD_KPIs!$Q$2:$Q$1300,0)),"")</f>
        <v/>
      </c>
      <c r="G442" s="193" t="str">
        <f>IF(ISNUMBER(E442),IF(F442="","No target",IF(IFERROR(INDEX(BD_KPIs!$I$2:$I$1300,MATCH(YEAR(DATE(YEAR(RPT_MONTH),MONTH(RPT_MONTH)-2,1))*100+MONTH(DATE(YEAR(RPT_MONTH),MONTH(RPT_MONTH)-2,1))&amp;"|DET|Monthly",BD_KPIs!$Q$2:$Q$1300,0)),"")="Sí","On target","Off target")),"No data")</f>
        <v>No target</v>
      </c>
      <c r="H442" s="193" t="str">
        <f>INDEX(_TARGETS!$D$2:$D$17,MATCH("DET",_TARGETS!$A$2:$A$17,0))</f>
        <v>u</v>
      </c>
      <c r="I442" s="193" t="str">
        <f>INDEX(_TARGETS!$K$2:$K$17,MATCH("DET",_TARGETS!$A$2:$A$17,0))</f>
        <v>Plant Findings (hoja Observaciones-SMP)</v>
      </c>
      <c r="J442" s="258">
        <f t="shared" si="7"/>
        <v>46296</v>
      </c>
    </row>
    <row r="443" spans="1:10" ht="13.5" customHeight="1" x14ac:dyDescent="0.3">
      <c r="A443" t="s">
        <v>920</v>
      </c>
      <c r="B443" s="193" t="str">
        <f>YEAR(DATE(YEAR(RPT_MONTH),MONTH(RPT_MONTH)-1,1))&amp;"-"&amp;RIGHT("0"&amp;MONTH(DATE(YEAR(RPT_MONTH),MONTH(RPT_MONTH)-1,1)),2)</f>
        <v>2026-09</v>
      </c>
      <c r="C443" s="258">
        <f>DATE(YEAR(RPT_MONTH),MONTH(RPT_MONTH)-1,1)</f>
        <v>46266</v>
      </c>
      <c r="D443" t="s">
        <v>68</v>
      </c>
      <c r="E443" s="193">
        <f>IFERROR(INDEX(BD_KPIs!$F$2:$F$1300,MATCH(YEAR(DATE(YEAR(RPT_MONTH),MONTH(RPT_MONTH)-1,1))*100+MONTH(DATE(YEAR(RPT_MONTH),MONTH(RPT_MONTH)-1,1))&amp;"|DET|Monthly",BD_KPIs!$Q$2:$Q$1300,0)),"")</f>
        <v>0</v>
      </c>
      <c r="F443" s="193" t="str">
        <f>IFERROR(INDEX(BD_KPIs!$G$2:$G$1300,MATCH(YEAR(DATE(YEAR(RPT_MONTH),MONTH(RPT_MONTH)-1,1))*100+MONTH(DATE(YEAR(RPT_MONTH),MONTH(RPT_MONTH)-1,1))&amp;"|DET|Monthly",BD_KPIs!$Q$2:$Q$1300,0)),"")</f>
        <v/>
      </c>
      <c r="G443" s="193" t="str">
        <f>IF(ISNUMBER(E443),IF(F443="","No target",IF(IFERROR(INDEX(BD_KPIs!$I$2:$I$1300,MATCH(YEAR(DATE(YEAR(RPT_MONTH),MONTH(RPT_MONTH)-1,1))*100+MONTH(DATE(YEAR(RPT_MONTH),MONTH(RPT_MONTH)-1,1))&amp;"|DET|Monthly",BD_KPIs!$Q$2:$Q$1300,0)),"")="Sí","On target","Off target")),"No data")</f>
        <v>No target</v>
      </c>
      <c r="H443" s="193" t="str">
        <f>INDEX(_TARGETS!$D$2:$D$17,MATCH("DET",_TARGETS!$A$2:$A$17,0))</f>
        <v>u</v>
      </c>
      <c r="I443" s="193" t="str">
        <f>INDEX(_TARGETS!$K$2:$K$17,MATCH("DET",_TARGETS!$A$2:$A$17,0))</f>
        <v>Plant Findings (hoja Observaciones-SMP)</v>
      </c>
      <c r="J443" s="258">
        <f t="shared" si="7"/>
        <v>46296</v>
      </c>
    </row>
    <row r="444" spans="1:10" ht="13.5" customHeight="1" x14ac:dyDescent="0.3">
      <c r="A444" t="s">
        <v>920</v>
      </c>
      <c r="B444" s="193" t="str">
        <f>YEAR(DATE(YEAR(RPT_MONTH),MONTH(RPT_MONTH)-0,1))&amp;"-"&amp;RIGHT("0"&amp;MONTH(DATE(YEAR(RPT_MONTH),MONTH(RPT_MONTH)-0,1)),2)</f>
        <v>2026-10</v>
      </c>
      <c r="C444" s="258">
        <f>DATE(YEAR(RPT_MONTH),MONTH(RPT_MONTH)-0,1)</f>
        <v>46296</v>
      </c>
      <c r="D444" t="s">
        <v>68</v>
      </c>
      <c r="E444" s="193" t="str">
        <f>IFERROR(INDEX(BD_KPIs!$F$2:$F$1300,MATCH(YEAR(DATE(YEAR(RPT_MONTH),MONTH(RPT_MONTH)-0,1))*100+MONTH(DATE(YEAR(RPT_MONTH),MONTH(RPT_MONTH)-0,1))&amp;"|DET|Monthly",BD_KPIs!$Q$2:$Q$1300,0)),"")</f>
        <v/>
      </c>
      <c r="F444" s="193" t="str">
        <f>IFERROR(INDEX(BD_KPIs!$G$2:$G$1300,MATCH(YEAR(DATE(YEAR(RPT_MONTH),MONTH(RPT_MONTH)-0,1))*100+MONTH(DATE(YEAR(RPT_MONTH),MONTH(RPT_MONTH)-0,1))&amp;"|DET|Monthly",BD_KPIs!$Q$2:$Q$1300,0)),"")</f>
        <v/>
      </c>
      <c r="G444" s="193" t="str">
        <f>IF(ISNUMBER(E444),IF(F444="","No target",IF(IFERROR(INDEX(BD_KPIs!$I$2:$I$1300,MATCH(YEAR(DATE(YEAR(RPT_MONTH),MONTH(RPT_MONTH)-0,1))*100+MONTH(DATE(YEAR(RPT_MONTH),MONTH(RPT_MONTH)-0,1))&amp;"|DET|Monthly",BD_KPIs!$Q$2:$Q$1300,0)),"")="Sí","On target","Off target")),"No data")</f>
        <v>No data</v>
      </c>
      <c r="H444" s="193" t="str">
        <f>INDEX(_TARGETS!$D$2:$D$17,MATCH("DET",_TARGETS!$A$2:$A$17,0))</f>
        <v>u</v>
      </c>
      <c r="I444" s="193" t="str">
        <f>INDEX(_TARGETS!$K$2:$K$17,MATCH("DET",_TARGETS!$A$2:$A$17,0))</f>
        <v>Plant Findings (hoja Observaciones-SMP)</v>
      </c>
      <c r="J444" s="258">
        <f t="shared" si="7"/>
        <v>46296</v>
      </c>
    </row>
    <row r="445" spans="1:10" ht="13.5" customHeight="1" x14ac:dyDescent="0.3">
      <c r="A445" t="s">
        <v>920</v>
      </c>
      <c r="B445" s="193" t="str">
        <f>YEAR(DATE(YEAR(RPT_MONTH),MONTH(RPT_MONTH)-11,1))&amp;"-"&amp;RIGHT("0"&amp;MONTH(DATE(YEAR(RPT_MONTH),MONTH(RPT_MONTH)-11,1)),2)</f>
        <v>2025-11</v>
      </c>
      <c r="C445" s="258">
        <f>DATE(YEAR(RPT_MONTH),MONTH(RPT_MONTH)-11,1)</f>
        <v>45962</v>
      </c>
      <c r="D445" t="s">
        <v>601</v>
      </c>
      <c r="E445" s="193" t="str">
        <f>IFERROR(INDEX(BD_KPIs!$F$2:$F$1300,MATCH(YEAR(DATE(YEAR(RPT_MONTH),MONTH(RPT_MONTH)-11,1))*100+MONTH(DATE(YEAR(RPT_MONTH),MONTH(RPT_MONTH)-11,1))&amp;"|DET|YTD",BD_KPIs!$Q$2:$Q$1300,0)),"")</f>
        <v/>
      </c>
      <c r="F445" s="193" t="str">
        <f>IFERROR(INDEX(BD_KPIs!$G$2:$G$1300,MATCH(YEAR(DATE(YEAR(RPT_MONTH),MONTH(RPT_MONTH)-11,1))*100+MONTH(DATE(YEAR(RPT_MONTH),MONTH(RPT_MONTH)-11,1))&amp;"|DET|YTD",BD_KPIs!$Q$2:$Q$1300,0)),"")</f>
        <v/>
      </c>
      <c r="G445" s="193" t="str">
        <f>IF(ISNUMBER(E445),IF(F445="","No target",IF(IFERROR(INDEX(BD_KPIs!$I$2:$I$1300,MATCH(YEAR(DATE(YEAR(RPT_MONTH),MONTH(RPT_MONTH)-11,1))*100+MONTH(DATE(YEAR(RPT_MONTH),MONTH(RPT_MONTH)-11,1))&amp;"|DET|YTD",BD_KPIs!$Q$2:$Q$1300,0)),"")="Sí","On target","Off target")),"No data")</f>
        <v>No data</v>
      </c>
      <c r="H445" s="193" t="str">
        <f>INDEX(_TARGETS!$D$2:$D$17,MATCH("DET",_TARGETS!$A$2:$A$17,0))</f>
        <v>u</v>
      </c>
      <c r="I445" s="193" t="str">
        <f>INDEX(_TARGETS!$K$2:$K$17,MATCH("DET",_TARGETS!$A$2:$A$17,0))</f>
        <v>Plant Findings (hoja Observaciones-SMP)</v>
      </c>
      <c r="J445" s="258">
        <f t="shared" si="7"/>
        <v>46296</v>
      </c>
    </row>
    <row r="446" spans="1:10" ht="13.5" customHeight="1" x14ac:dyDescent="0.3">
      <c r="A446" t="s">
        <v>920</v>
      </c>
      <c r="B446" s="193" t="str">
        <f>YEAR(DATE(YEAR(RPT_MONTH),MONTH(RPT_MONTH)-10,1))&amp;"-"&amp;RIGHT("0"&amp;MONTH(DATE(YEAR(RPT_MONTH),MONTH(RPT_MONTH)-10,1)),2)</f>
        <v>2025-12</v>
      </c>
      <c r="C446" s="258">
        <f>DATE(YEAR(RPT_MONTH),MONTH(RPT_MONTH)-10,1)</f>
        <v>45992</v>
      </c>
      <c r="D446" t="s">
        <v>601</v>
      </c>
      <c r="E446" s="193" t="str">
        <f>IFERROR(INDEX(BD_KPIs!$F$2:$F$1300,MATCH(YEAR(DATE(YEAR(RPT_MONTH),MONTH(RPT_MONTH)-10,1))*100+MONTH(DATE(YEAR(RPT_MONTH),MONTH(RPT_MONTH)-10,1))&amp;"|DET|YTD",BD_KPIs!$Q$2:$Q$1300,0)),"")</f>
        <v/>
      </c>
      <c r="F446" s="193" t="str">
        <f>IFERROR(INDEX(BD_KPIs!$G$2:$G$1300,MATCH(YEAR(DATE(YEAR(RPT_MONTH),MONTH(RPT_MONTH)-10,1))*100+MONTH(DATE(YEAR(RPT_MONTH),MONTH(RPT_MONTH)-10,1))&amp;"|DET|YTD",BD_KPIs!$Q$2:$Q$1300,0)),"")</f>
        <v/>
      </c>
      <c r="G446" s="193" t="str">
        <f>IF(ISNUMBER(E446),IF(F446="","No target",IF(IFERROR(INDEX(BD_KPIs!$I$2:$I$1300,MATCH(YEAR(DATE(YEAR(RPT_MONTH),MONTH(RPT_MONTH)-10,1))*100+MONTH(DATE(YEAR(RPT_MONTH),MONTH(RPT_MONTH)-10,1))&amp;"|DET|YTD",BD_KPIs!$Q$2:$Q$1300,0)),"")="Sí","On target","Off target")),"No data")</f>
        <v>No data</v>
      </c>
      <c r="H446" s="193" t="str">
        <f>INDEX(_TARGETS!$D$2:$D$17,MATCH("DET",_TARGETS!$A$2:$A$17,0))</f>
        <v>u</v>
      </c>
      <c r="I446" s="193" t="str">
        <f>INDEX(_TARGETS!$K$2:$K$17,MATCH("DET",_TARGETS!$A$2:$A$17,0))</f>
        <v>Plant Findings (hoja Observaciones-SMP)</v>
      </c>
      <c r="J446" s="258">
        <f t="shared" si="7"/>
        <v>46296</v>
      </c>
    </row>
    <row r="447" spans="1:10" ht="13.5" customHeight="1" x14ac:dyDescent="0.3">
      <c r="A447" t="s">
        <v>920</v>
      </c>
      <c r="B447" s="193" t="str">
        <f>YEAR(DATE(YEAR(RPT_MONTH),MONTH(RPT_MONTH)-9,1))&amp;"-"&amp;RIGHT("0"&amp;MONTH(DATE(YEAR(RPT_MONTH),MONTH(RPT_MONTH)-9,1)),2)</f>
        <v>2026-01</v>
      </c>
      <c r="C447" s="258">
        <f>DATE(YEAR(RPT_MONTH),MONTH(RPT_MONTH)-9,1)</f>
        <v>46023</v>
      </c>
      <c r="D447" t="s">
        <v>601</v>
      </c>
      <c r="E447" s="193" t="str">
        <f>IFERROR(INDEX(BD_KPIs!$F$2:$F$1300,MATCH(YEAR(DATE(YEAR(RPT_MONTH),MONTH(RPT_MONTH)-9,1))*100+MONTH(DATE(YEAR(RPT_MONTH),MONTH(RPT_MONTH)-9,1))&amp;"|DET|YTD",BD_KPIs!$Q$2:$Q$1300,0)),"")</f>
        <v/>
      </c>
      <c r="F447" s="193" t="str">
        <f>IFERROR(INDEX(BD_KPIs!$G$2:$G$1300,MATCH(YEAR(DATE(YEAR(RPT_MONTH),MONTH(RPT_MONTH)-9,1))*100+MONTH(DATE(YEAR(RPT_MONTH),MONTH(RPT_MONTH)-9,1))&amp;"|DET|YTD",BD_KPIs!$Q$2:$Q$1300,0)),"")</f>
        <v/>
      </c>
      <c r="G447" s="193" t="str">
        <f>IF(ISNUMBER(E447),IF(F447="","No target",IF(IFERROR(INDEX(BD_KPIs!$I$2:$I$1300,MATCH(YEAR(DATE(YEAR(RPT_MONTH),MONTH(RPT_MONTH)-9,1))*100+MONTH(DATE(YEAR(RPT_MONTH),MONTH(RPT_MONTH)-9,1))&amp;"|DET|YTD",BD_KPIs!$Q$2:$Q$1300,0)),"")="Sí","On target","Off target")),"No data")</f>
        <v>No data</v>
      </c>
      <c r="H447" s="193" t="str">
        <f>INDEX(_TARGETS!$D$2:$D$17,MATCH("DET",_TARGETS!$A$2:$A$17,0))</f>
        <v>u</v>
      </c>
      <c r="I447" s="193" t="str">
        <f>INDEX(_TARGETS!$K$2:$K$17,MATCH("DET",_TARGETS!$A$2:$A$17,0))</f>
        <v>Plant Findings (hoja Observaciones-SMP)</v>
      </c>
      <c r="J447" s="258">
        <f t="shared" si="7"/>
        <v>46296</v>
      </c>
    </row>
    <row r="448" spans="1:10" ht="13.5" customHeight="1" x14ac:dyDescent="0.3">
      <c r="A448" t="s">
        <v>920</v>
      </c>
      <c r="B448" s="193" t="str">
        <f>YEAR(DATE(YEAR(RPT_MONTH),MONTH(RPT_MONTH)-8,1))&amp;"-"&amp;RIGHT("0"&amp;MONTH(DATE(YEAR(RPT_MONTH),MONTH(RPT_MONTH)-8,1)),2)</f>
        <v>2026-02</v>
      </c>
      <c r="C448" s="258">
        <f>DATE(YEAR(RPT_MONTH),MONTH(RPT_MONTH)-8,1)</f>
        <v>46054</v>
      </c>
      <c r="D448" t="s">
        <v>601</v>
      </c>
      <c r="E448" s="193" t="str">
        <f>IFERROR(INDEX(BD_KPIs!$F$2:$F$1300,MATCH(YEAR(DATE(YEAR(RPT_MONTH),MONTH(RPT_MONTH)-8,1))*100+MONTH(DATE(YEAR(RPT_MONTH),MONTH(RPT_MONTH)-8,1))&amp;"|DET|YTD",BD_KPIs!$Q$2:$Q$1300,0)),"")</f>
        <v/>
      </c>
      <c r="F448" s="193" t="str">
        <f>IFERROR(INDEX(BD_KPIs!$G$2:$G$1300,MATCH(YEAR(DATE(YEAR(RPT_MONTH),MONTH(RPT_MONTH)-8,1))*100+MONTH(DATE(YEAR(RPT_MONTH),MONTH(RPT_MONTH)-8,1))&amp;"|DET|YTD",BD_KPIs!$Q$2:$Q$1300,0)),"")</f>
        <v/>
      </c>
      <c r="G448" s="193" t="str">
        <f>IF(ISNUMBER(E448),IF(F448="","No target",IF(IFERROR(INDEX(BD_KPIs!$I$2:$I$1300,MATCH(YEAR(DATE(YEAR(RPT_MONTH),MONTH(RPT_MONTH)-8,1))*100+MONTH(DATE(YEAR(RPT_MONTH),MONTH(RPT_MONTH)-8,1))&amp;"|DET|YTD",BD_KPIs!$Q$2:$Q$1300,0)),"")="Sí","On target","Off target")),"No data")</f>
        <v>No data</v>
      </c>
      <c r="H448" s="193" t="str">
        <f>INDEX(_TARGETS!$D$2:$D$17,MATCH("DET",_TARGETS!$A$2:$A$17,0))</f>
        <v>u</v>
      </c>
      <c r="I448" s="193" t="str">
        <f>INDEX(_TARGETS!$K$2:$K$17,MATCH("DET",_TARGETS!$A$2:$A$17,0))</f>
        <v>Plant Findings (hoja Observaciones-SMP)</v>
      </c>
      <c r="J448" s="258">
        <f t="shared" si="7"/>
        <v>46296</v>
      </c>
    </row>
    <row r="449" spans="1:10" ht="13.5" customHeight="1" x14ac:dyDescent="0.3">
      <c r="A449" t="s">
        <v>920</v>
      </c>
      <c r="B449" s="193" t="str">
        <f>YEAR(DATE(YEAR(RPT_MONTH),MONTH(RPT_MONTH)-7,1))&amp;"-"&amp;RIGHT("0"&amp;MONTH(DATE(YEAR(RPT_MONTH),MONTH(RPT_MONTH)-7,1)),2)</f>
        <v>2026-03</v>
      </c>
      <c r="C449" s="258">
        <f>DATE(YEAR(RPT_MONTH),MONTH(RPT_MONTH)-7,1)</f>
        <v>46082</v>
      </c>
      <c r="D449" t="s">
        <v>601</v>
      </c>
      <c r="E449" s="193" t="str">
        <f>IFERROR(INDEX(BD_KPIs!$F$2:$F$1300,MATCH(YEAR(DATE(YEAR(RPT_MONTH),MONTH(RPT_MONTH)-7,1))*100+MONTH(DATE(YEAR(RPT_MONTH),MONTH(RPT_MONTH)-7,1))&amp;"|DET|YTD",BD_KPIs!$Q$2:$Q$1300,0)),"")</f>
        <v/>
      </c>
      <c r="F449" s="193" t="str">
        <f>IFERROR(INDEX(BD_KPIs!$G$2:$G$1300,MATCH(YEAR(DATE(YEAR(RPT_MONTH),MONTH(RPT_MONTH)-7,1))*100+MONTH(DATE(YEAR(RPT_MONTH),MONTH(RPT_MONTH)-7,1))&amp;"|DET|YTD",BD_KPIs!$Q$2:$Q$1300,0)),"")</f>
        <v/>
      </c>
      <c r="G449" s="193" t="str">
        <f>IF(ISNUMBER(E449),IF(F449="","No target",IF(IFERROR(INDEX(BD_KPIs!$I$2:$I$1300,MATCH(YEAR(DATE(YEAR(RPT_MONTH),MONTH(RPT_MONTH)-7,1))*100+MONTH(DATE(YEAR(RPT_MONTH),MONTH(RPT_MONTH)-7,1))&amp;"|DET|YTD",BD_KPIs!$Q$2:$Q$1300,0)),"")="Sí","On target","Off target")),"No data")</f>
        <v>No data</v>
      </c>
      <c r="H449" s="193" t="str">
        <f>INDEX(_TARGETS!$D$2:$D$17,MATCH("DET",_TARGETS!$A$2:$A$17,0))</f>
        <v>u</v>
      </c>
      <c r="I449" s="193" t="str">
        <f>INDEX(_TARGETS!$K$2:$K$17,MATCH("DET",_TARGETS!$A$2:$A$17,0))</f>
        <v>Plant Findings (hoja Observaciones-SMP)</v>
      </c>
      <c r="J449" s="258">
        <f t="shared" si="7"/>
        <v>46296</v>
      </c>
    </row>
    <row r="450" spans="1:10" ht="13.5" customHeight="1" x14ac:dyDescent="0.3">
      <c r="A450" t="s">
        <v>920</v>
      </c>
      <c r="B450" s="193" t="str">
        <f>YEAR(DATE(YEAR(RPT_MONTH),MONTH(RPT_MONTH)-6,1))&amp;"-"&amp;RIGHT("0"&amp;MONTH(DATE(YEAR(RPT_MONTH),MONTH(RPT_MONTH)-6,1)),2)</f>
        <v>2026-04</v>
      </c>
      <c r="C450" s="258">
        <f>DATE(YEAR(RPT_MONTH),MONTH(RPT_MONTH)-6,1)</f>
        <v>46113</v>
      </c>
      <c r="D450" t="s">
        <v>601</v>
      </c>
      <c r="E450" s="193" t="str">
        <f>IFERROR(INDEX(BD_KPIs!$F$2:$F$1300,MATCH(YEAR(DATE(YEAR(RPT_MONTH),MONTH(RPT_MONTH)-6,1))*100+MONTH(DATE(YEAR(RPT_MONTH),MONTH(RPT_MONTH)-6,1))&amp;"|DET|YTD",BD_KPIs!$Q$2:$Q$1300,0)),"")</f>
        <v/>
      </c>
      <c r="F450" s="193" t="str">
        <f>IFERROR(INDEX(BD_KPIs!$G$2:$G$1300,MATCH(YEAR(DATE(YEAR(RPT_MONTH),MONTH(RPT_MONTH)-6,1))*100+MONTH(DATE(YEAR(RPT_MONTH),MONTH(RPT_MONTH)-6,1))&amp;"|DET|YTD",BD_KPIs!$Q$2:$Q$1300,0)),"")</f>
        <v/>
      </c>
      <c r="G450" s="193" t="str">
        <f>IF(ISNUMBER(E450),IF(F450="","No target",IF(IFERROR(INDEX(BD_KPIs!$I$2:$I$1300,MATCH(YEAR(DATE(YEAR(RPT_MONTH),MONTH(RPT_MONTH)-6,1))*100+MONTH(DATE(YEAR(RPT_MONTH),MONTH(RPT_MONTH)-6,1))&amp;"|DET|YTD",BD_KPIs!$Q$2:$Q$1300,0)),"")="Sí","On target","Off target")),"No data")</f>
        <v>No data</v>
      </c>
      <c r="H450" s="193" t="str">
        <f>INDEX(_TARGETS!$D$2:$D$17,MATCH("DET",_TARGETS!$A$2:$A$17,0))</f>
        <v>u</v>
      </c>
      <c r="I450" s="193" t="str">
        <f>INDEX(_TARGETS!$K$2:$K$17,MATCH("DET",_TARGETS!$A$2:$A$17,0))</f>
        <v>Plant Findings (hoja Observaciones-SMP)</v>
      </c>
      <c r="J450" s="258">
        <f t="shared" ref="J450:J513" si="8">RPT_MONTH</f>
        <v>46296</v>
      </c>
    </row>
    <row r="451" spans="1:10" ht="13.5" customHeight="1" x14ac:dyDescent="0.3">
      <c r="A451" t="s">
        <v>920</v>
      </c>
      <c r="B451" s="193" t="str">
        <f>YEAR(DATE(YEAR(RPT_MONTH),MONTH(RPT_MONTH)-5,1))&amp;"-"&amp;RIGHT("0"&amp;MONTH(DATE(YEAR(RPT_MONTH),MONTH(RPT_MONTH)-5,1)),2)</f>
        <v>2026-05</v>
      </c>
      <c r="C451" s="258">
        <f>DATE(YEAR(RPT_MONTH),MONTH(RPT_MONTH)-5,1)</f>
        <v>46143</v>
      </c>
      <c r="D451" t="s">
        <v>601</v>
      </c>
      <c r="E451" s="193" t="str">
        <f>IFERROR(INDEX(BD_KPIs!$F$2:$F$1300,MATCH(YEAR(DATE(YEAR(RPT_MONTH),MONTH(RPT_MONTH)-5,1))*100+MONTH(DATE(YEAR(RPT_MONTH),MONTH(RPT_MONTH)-5,1))&amp;"|DET|YTD",BD_KPIs!$Q$2:$Q$1300,0)),"")</f>
        <v/>
      </c>
      <c r="F451" s="193" t="str">
        <f>IFERROR(INDEX(BD_KPIs!$G$2:$G$1300,MATCH(YEAR(DATE(YEAR(RPT_MONTH),MONTH(RPT_MONTH)-5,1))*100+MONTH(DATE(YEAR(RPT_MONTH),MONTH(RPT_MONTH)-5,1))&amp;"|DET|YTD",BD_KPIs!$Q$2:$Q$1300,0)),"")</f>
        <v/>
      </c>
      <c r="G451" s="193" t="str">
        <f>IF(ISNUMBER(E451),IF(F451="","No target",IF(IFERROR(INDEX(BD_KPIs!$I$2:$I$1300,MATCH(YEAR(DATE(YEAR(RPT_MONTH),MONTH(RPT_MONTH)-5,1))*100+MONTH(DATE(YEAR(RPT_MONTH),MONTH(RPT_MONTH)-5,1))&amp;"|DET|YTD",BD_KPIs!$Q$2:$Q$1300,0)),"")="Sí","On target","Off target")),"No data")</f>
        <v>No data</v>
      </c>
      <c r="H451" s="193" t="str">
        <f>INDEX(_TARGETS!$D$2:$D$17,MATCH("DET",_TARGETS!$A$2:$A$17,0))</f>
        <v>u</v>
      </c>
      <c r="I451" s="193" t="str">
        <f>INDEX(_TARGETS!$K$2:$K$17,MATCH("DET",_TARGETS!$A$2:$A$17,0))</f>
        <v>Plant Findings (hoja Observaciones-SMP)</v>
      </c>
      <c r="J451" s="258">
        <f t="shared" si="8"/>
        <v>46296</v>
      </c>
    </row>
    <row r="452" spans="1:10" ht="13.5" customHeight="1" x14ac:dyDescent="0.3">
      <c r="A452" t="s">
        <v>920</v>
      </c>
      <c r="B452" s="193" t="str">
        <f>YEAR(DATE(YEAR(RPT_MONTH),MONTH(RPT_MONTH)-4,1))&amp;"-"&amp;RIGHT("0"&amp;MONTH(DATE(YEAR(RPT_MONTH),MONTH(RPT_MONTH)-4,1)),2)</f>
        <v>2026-06</v>
      </c>
      <c r="C452" s="258">
        <f>DATE(YEAR(RPT_MONTH),MONTH(RPT_MONTH)-4,1)</f>
        <v>46174</v>
      </c>
      <c r="D452" t="s">
        <v>601</v>
      </c>
      <c r="E452" s="193" t="str">
        <f>IFERROR(INDEX(BD_KPIs!$F$2:$F$1300,MATCH(YEAR(DATE(YEAR(RPT_MONTH),MONTH(RPT_MONTH)-4,1))*100+MONTH(DATE(YEAR(RPT_MONTH),MONTH(RPT_MONTH)-4,1))&amp;"|DET|YTD",BD_KPIs!$Q$2:$Q$1300,0)),"")</f>
        <v/>
      </c>
      <c r="F452" s="193" t="str">
        <f>IFERROR(INDEX(BD_KPIs!$G$2:$G$1300,MATCH(YEAR(DATE(YEAR(RPT_MONTH),MONTH(RPT_MONTH)-4,1))*100+MONTH(DATE(YEAR(RPT_MONTH),MONTH(RPT_MONTH)-4,1))&amp;"|DET|YTD",BD_KPIs!$Q$2:$Q$1300,0)),"")</f>
        <v/>
      </c>
      <c r="G452" s="193" t="str">
        <f>IF(ISNUMBER(E452),IF(F452="","No target",IF(IFERROR(INDEX(BD_KPIs!$I$2:$I$1300,MATCH(YEAR(DATE(YEAR(RPT_MONTH),MONTH(RPT_MONTH)-4,1))*100+MONTH(DATE(YEAR(RPT_MONTH),MONTH(RPT_MONTH)-4,1))&amp;"|DET|YTD",BD_KPIs!$Q$2:$Q$1300,0)),"")="Sí","On target","Off target")),"No data")</f>
        <v>No data</v>
      </c>
      <c r="H452" s="193" t="str">
        <f>INDEX(_TARGETS!$D$2:$D$17,MATCH("DET",_TARGETS!$A$2:$A$17,0))</f>
        <v>u</v>
      </c>
      <c r="I452" s="193" t="str">
        <f>INDEX(_TARGETS!$K$2:$K$17,MATCH("DET",_TARGETS!$A$2:$A$17,0))</f>
        <v>Plant Findings (hoja Observaciones-SMP)</v>
      </c>
      <c r="J452" s="258">
        <f t="shared" si="8"/>
        <v>46296</v>
      </c>
    </row>
    <row r="453" spans="1:10" ht="13.5" customHeight="1" x14ac:dyDescent="0.3">
      <c r="A453" t="s">
        <v>920</v>
      </c>
      <c r="B453" s="193" t="str">
        <f>YEAR(DATE(YEAR(RPT_MONTH),MONTH(RPT_MONTH)-3,1))&amp;"-"&amp;RIGHT("0"&amp;MONTH(DATE(YEAR(RPT_MONTH),MONTH(RPT_MONTH)-3,1)),2)</f>
        <v>2026-07</v>
      </c>
      <c r="C453" s="258">
        <f>DATE(YEAR(RPT_MONTH),MONTH(RPT_MONTH)-3,1)</f>
        <v>46204</v>
      </c>
      <c r="D453" t="s">
        <v>601</v>
      </c>
      <c r="E453" s="193" t="str">
        <f>IFERROR(INDEX(BD_KPIs!$F$2:$F$1300,MATCH(YEAR(DATE(YEAR(RPT_MONTH),MONTH(RPT_MONTH)-3,1))*100+MONTH(DATE(YEAR(RPT_MONTH),MONTH(RPT_MONTH)-3,1))&amp;"|DET|YTD",BD_KPIs!$Q$2:$Q$1300,0)),"")</f>
        <v/>
      </c>
      <c r="F453" s="193" t="str">
        <f>IFERROR(INDEX(BD_KPIs!$G$2:$G$1300,MATCH(YEAR(DATE(YEAR(RPT_MONTH),MONTH(RPT_MONTH)-3,1))*100+MONTH(DATE(YEAR(RPT_MONTH),MONTH(RPT_MONTH)-3,1))&amp;"|DET|YTD",BD_KPIs!$Q$2:$Q$1300,0)),"")</f>
        <v/>
      </c>
      <c r="G453" s="193" t="str">
        <f>IF(ISNUMBER(E453),IF(F453="","No target",IF(IFERROR(INDEX(BD_KPIs!$I$2:$I$1300,MATCH(YEAR(DATE(YEAR(RPT_MONTH),MONTH(RPT_MONTH)-3,1))*100+MONTH(DATE(YEAR(RPT_MONTH),MONTH(RPT_MONTH)-3,1))&amp;"|DET|YTD",BD_KPIs!$Q$2:$Q$1300,0)),"")="Sí","On target","Off target")),"No data")</f>
        <v>No data</v>
      </c>
      <c r="H453" s="193" t="str">
        <f>INDEX(_TARGETS!$D$2:$D$17,MATCH("DET",_TARGETS!$A$2:$A$17,0))</f>
        <v>u</v>
      </c>
      <c r="I453" s="193" t="str">
        <f>INDEX(_TARGETS!$K$2:$K$17,MATCH("DET",_TARGETS!$A$2:$A$17,0))</f>
        <v>Plant Findings (hoja Observaciones-SMP)</v>
      </c>
      <c r="J453" s="258">
        <f t="shared" si="8"/>
        <v>46296</v>
      </c>
    </row>
    <row r="454" spans="1:10" ht="13.5" customHeight="1" x14ac:dyDescent="0.3">
      <c r="A454" t="s">
        <v>920</v>
      </c>
      <c r="B454" s="193" t="str">
        <f>YEAR(DATE(YEAR(RPT_MONTH),MONTH(RPT_MONTH)-2,1))&amp;"-"&amp;RIGHT("0"&amp;MONTH(DATE(YEAR(RPT_MONTH),MONTH(RPT_MONTH)-2,1)),2)</f>
        <v>2026-08</v>
      </c>
      <c r="C454" s="258">
        <f>DATE(YEAR(RPT_MONTH),MONTH(RPT_MONTH)-2,1)</f>
        <v>46235</v>
      </c>
      <c r="D454" t="s">
        <v>601</v>
      </c>
      <c r="E454" s="193">
        <f>IFERROR(INDEX(BD_KPIs!$F$2:$F$1300,MATCH(YEAR(DATE(YEAR(RPT_MONTH),MONTH(RPT_MONTH)-2,1))*100+MONTH(DATE(YEAR(RPT_MONTH),MONTH(RPT_MONTH)-2,1))&amp;"|DET|YTD",BD_KPIs!$Q$2:$Q$1300,0)),"")</f>
        <v>0</v>
      </c>
      <c r="F454" s="193" t="str">
        <f>IFERROR(INDEX(BD_KPIs!$G$2:$G$1300,MATCH(YEAR(DATE(YEAR(RPT_MONTH),MONTH(RPT_MONTH)-2,1))*100+MONTH(DATE(YEAR(RPT_MONTH),MONTH(RPT_MONTH)-2,1))&amp;"|DET|YTD",BD_KPIs!$Q$2:$Q$1300,0)),"")</f>
        <v/>
      </c>
      <c r="G454" s="193" t="str">
        <f>IF(ISNUMBER(E454),IF(F454="","No target",IF(IFERROR(INDEX(BD_KPIs!$I$2:$I$1300,MATCH(YEAR(DATE(YEAR(RPT_MONTH),MONTH(RPT_MONTH)-2,1))*100+MONTH(DATE(YEAR(RPT_MONTH),MONTH(RPT_MONTH)-2,1))&amp;"|DET|YTD",BD_KPIs!$Q$2:$Q$1300,0)),"")="Sí","On target","Off target")),"No data")</f>
        <v>No target</v>
      </c>
      <c r="H454" s="193" t="str">
        <f>INDEX(_TARGETS!$D$2:$D$17,MATCH("DET",_TARGETS!$A$2:$A$17,0))</f>
        <v>u</v>
      </c>
      <c r="I454" s="193" t="str">
        <f>INDEX(_TARGETS!$K$2:$K$17,MATCH("DET",_TARGETS!$A$2:$A$17,0))</f>
        <v>Plant Findings (hoja Observaciones-SMP)</v>
      </c>
      <c r="J454" s="258">
        <f t="shared" si="8"/>
        <v>46296</v>
      </c>
    </row>
    <row r="455" spans="1:10" ht="13.5" customHeight="1" x14ac:dyDescent="0.3">
      <c r="A455" t="s">
        <v>920</v>
      </c>
      <c r="B455" s="193" t="str">
        <f>YEAR(DATE(YEAR(RPT_MONTH),MONTH(RPT_MONTH)-1,1))&amp;"-"&amp;RIGHT("0"&amp;MONTH(DATE(YEAR(RPT_MONTH),MONTH(RPT_MONTH)-1,1)),2)</f>
        <v>2026-09</v>
      </c>
      <c r="C455" s="258">
        <f>DATE(YEAR(RPT_MONTH),MONTH(RPT_MONTH)-1,1)</f>
        <v>46266</v>
      </c>
      <c r="D455" t="s">
        <v>601</v>
      </c>
      <c r="E455" s="193">
        <f>IFERROR(INDEX(BD_KPIs!$F$2:$F$1300,MATCH(YEAR(DATE(YEAR(RPT_MONTH),MONTH(RPT_MONTH)-1,1))*100+MONTH(DATE(YEAR(RPT_MONTH),MONTH(RPT_MONTH)-1,1))&amp;"|DET|YTD",BD_KPIs!$Q$2:$Q$1300,0)),"")</f>
        <v>0</v>
      </c>
      <c r="F455" s="193" t="str">
        <f>IFERROR(INDEX(BD_KPIs!$G$2:$G$1300,MATCH(YEAR(DATE(YEAR(RPT_MONTH),MONTH(RPT_MONTH)-1,1))*100+MONTH(DATE(YEAR(RPT_MONTH),MONTH(RPT_MONTH)-1,1))&amp;"|DET|YTD",BD_KPIs!$Q$2:$Q$1300,0)),"")</f>
        <v/>
      </c>
      <c r="G455" s="193" t="str">
        <f>IF(ISNUMBER(E455),IF(F455="","No target",IF(IFERROR(INDEX(BD_KPIs!$I$2:$I$1300,MATCH(YEAR(DATE(YEAR(RPT_MONTH),MONTH(RPT_MONTH)-1,1))*100+MONTH(DATE(YEAR(RPT_MONTH),MONTH(RPT_MONTH)-1,1))&amp;"|DET|YTD",BD_KPIs!$Q$2:$Q$1300,0)),"")="Sí","On target","Off target")),"No data")</f>
        <v>No target</v>
      </c>
      <c r="H455" s="193" t="str">
        <f>INDEX(_TARGETS!$D$2:$D$17,MATCH("DET",_TARGETS!$A$2:$A$17,0))</f>
        <v>u</v>
      </c>
      <c r="I455" s="193" t="str">
        <f>INDEX(_TARGETS!$K$2:$K$17,MATCH("DET",_TARGETS!$A$2:$A$17,0))</f>
        <v>Plant Findings (hoja Observaciones-SMP)</v>
      </c>
      <c r="J455" s="258">
        <f t="shared" si="8"/>
        <v>46296</v>
      </c>
    </row>
    <row r="456" spans="1:10" ht="13.5" customHeight="1" x14ac:dyDescent="0.3">
      <c r="A456" t="s">
        <v>920</v>
      </c>
      <c r="B456" s="193" t="str">
        <f>YEAR(DATE(YEAR(RPT_MONTH),MONTH(RPT_MONTH)-0,1))&amp;"-"&amp;RIGHT("0"&amp;MONTH(DATE(YEAR(RPT_MONTH),MONTH(RPT_MONTH)-0,1)),2)</f>
        <v>2026-10</v>
      </c>
      <c r="C456" s="258">
        <f>DATE(YEAR(RPT_MONTH),MONTH(RPT_MONTH)-0,1)</f>
        <v>46296</v>
      </c>
      <c r="D456" t="s">
        <v>601</v>
      </c>
      <c r="E456" s="193" t="str">
        <f>IFERROR(INDEX(BD_KPIs!$F$2:$F$1300,MATCH(YEAR(DATE(YEAR(RPT_MONTH),MONTH(RPT_MONTH)-0,1))*100+MONTH(DATE(YEAR(RPT_MONTH),MONTH(RPT_MONTH)-0,1))&amp;"|DET|YTD",BD_KPIs!$Q$2:$Q$1300,0)),"")</f>
        <v/>
      </c>
      <c r="F456" s="193" t="str">
        <f>IFERROR(INDEX(BD_KPIs!$G$2:$G$1300,MATCH(YEAR(DATE(YEAR(RPT_MONTH),MONTH(RPT_MONTH)-0,1))*100+MONTH(DATE(YEAR(RPT_MONTH),MONTH(RPT_MONTH)-0,1))&amp;"|DET|YTD",BD_KPIs!$Q$2:$Q$1300,0)),"")</f>
        <v/>
      </c>
      <c r="G456" s="193" t="str">
        <f>IF(ISNUMBER(E456),IF(F456="","No target",IF(IFERROR(INDEX(BD_KPIs!$I$2:$I$1300,MATCH(YEAR(DATE(YEAR(RPT_MONTH),MONTH(RPT_MONTH)-0,1))*100+MONTH(DATE(YEAR(RPT_MONTH),MONTH(RPT_MONTH)-0,1))&amp;"|DET|YTD",BD_KPIs!$Q$2:$Q$1300,0)),"")="Sí","On target","Off target")),"No data")</f>
        <v>No data</v>
      </c>
      <c r="H456" s="193" t="str">
        <f>INDEX(_TARGETS!$D$2:$D$17,MATCH("DET",_TARGETS!$A$2:$A$17,0))</f>
        <v>u</v>
      </c>
      <c r="I456" s="193" t="str">
        <f>INDEX(_TARGETS!$K$2:$K$17,MATCH("DET",_TARGETS!$A$2:$A$17,0))</f>
        <v>Plant Findings (hoja Observaciones-SMP)</v>
      </c>
      <c r="J456" s="258">
        <f t="shared" si="8"/>
        <v>46296</v>
      </c>
    </row>
    <row r="457" spans="1:10" ht="13.5" customHeight="1" x14ac:dyDescent="0.3">
      <c r="A457" t="s">
        <v>921</v>
      </c>
      <c r="B457" s="193" t="str">
        <f t="shared" ref="B457:B464" si="9">YEAR(DATE(YEAR(RPT_MONTH),MONTH(RPT_MONTH)-11,1))&amp;"-"&amp;RIGHT("0"&amp;MONTH(DATE(YEAR(RPT_MONTH),MONTH(RPT_MONTH)-11,1)),2)</f>
        <v>2025-11</v>
      </c>
      <c r="C457" s="258">
        <f t="shared" ref="C457:C464" si="10">DATE(YEAR(RPT_MONTH),MONTH(RPT_MONTH)-11,1)</f>
        <v>45962</v>
      </c>
      <c r="D457" t="s">
        <v>922</v>
      </c>
      <c r="E457" s="193" t="str">
        <f>IFERROR(INDEX(Datos!$D$70:$AL$70,MATCH(DATE(YEAR(RPT_MONTH),MONTH(RPT_MONTH)-11,1),Datos!$D$3:$AL$3,0)),"")</f>
        <v/>
      </c>
      <c r="H457" t="s">
        <v>100</v>
      </c>
      <c r="I457" t="s">
        <v>95</v>
      </c>
      <c r="J457" s="258">
        <f t="shared" si="8"/>
        <v>46296</v>
      </c>
    </row>
    <row r="458" spans="1:10" ht="13.5" customHeight="1" x14ac:dyDescent="0.3">
      <c r="A458" t="s">
        <v>921</v>
      </c>
      <c r="B458" s="193" t="str">
        <f t="shared" si="9"/>
        <v>2025-11</v>
      </c>
      <c r="C458" s="258">
        <f t="shared" si="10"/>
        <v>45962</v>
      </c>
      <c r="D458" t="s">
        <v>923</v>
      </c>
      <c r="E458" s="193" t="str">
        <f>IFERROR(INDEX(Datos!$D$67:$AL$67,MATCH(DATE(YEAR(RPT_MONTH),MONTH(RPT_MONTH)-11,1),Datos!$D$3:$AL$3,0)),"")</f>
        <v/>
      </c>
      <c r="H458" t="s">
        <v>100</v>
      </c>
      <c r="I458" t="s">
        <v>95</v>
      </c>
      <c r="J458" s="258">
        <f t="shared" si="8"/>
        <v>46296</v>
      </c>
    </row>
    <row r="459" spans="1:10" ht="13.5" customHeight="1" x14ac:dyDescent="0.3">
      <c r="A459" t="s">
        <v>921</v>
      </c>
      <c r="B459" s="193" t="str">
        <f t="shared" si="9"/>
        <v>2025-11</v>
      </c>
      <c r="C459" s="258">
        <f t="shared" si="10"/>
        <v>45962</v>
      </c>
      <c r="D459" t="s">
        <v>924</v>
      </c>
      <c r="E459" s="193" t="str">
        <f>IFERROR(INDEX(Datos!$D$69:$AL$69,MATCH(DATE(YEAR(RPT_MONTH),MONTH(RPT_MONTH)-11,1),Datos!$D$3:$AL$3,0)),"")</f>
        <v/>
      </c>
      <c r="H459" t="s">
        <v>100</v>
      </c>
      <c r="I459" t="s">
        <v>95</v>
      </c>
      <c r="J459" s="258">
        <f t="shared" si="8"/>
        <v>46296</v>
      </c>
    </row>
    <row r="460" spans="1:10" ht="13.5" customHeight="1" x14ac:dyDescent="0.3">
      <c r="A460" t="s">
        <v>921</v>
      </c>
      <c r="B460" s="193" t="str">
        <f t="shared" si="9"/>
        <v>2025-11</v>
      </c>
      <c r="C460" s="258">
        <f t="shared" si="10"/>
        <v>45962</v>
      </c>
      <c r="D460" t="s">
        <v>925</v>
      </c>
      <c r="E460" s="193" t="str">
        <f>IFERROR(INDEX(Datos!$D$71:$AL$71,MATCH(DATE(YEAR(RPT_MONTH),MONTH(RPT_MONTH)-11,1),Datos!$D$3:$AL$3,0)),"")</f>
        <v/>
      </c>
      <c r="H460" t="s">
        <v>100</v>
      </c>
      <c r="I460" t="s">
        <v>95</v>
      </c>
      <c r="J460" s="258">
        <f t="shared" si="8"/>
        <v>46296</v>
      </c>
    </row>
    <row r="461" spans="1:10" ht="13.5" customHeight="1" x14ac:dyDescent="0.3">
      <c r="A461" t="s">
        <v>921</v>
      </c>
      <c r="B461" s="193" t="str">
        <f t="shared" si="9"/>
        <v>2025-11</v>
      </c>
      <c r="C461" s="258">
        <f t="shared" si="10"/>
        <v>45962</v>
      </c>
      <c r="D461" t="s">
        <v>926</v>
      </c>
      <c r="E461" s="193" t="str">
        <f>IFERROR(INDEX(Datos!$D$72:$AL$72,MATCH(DATE(YEAR(RPT_MONTH),MONTH(RPT_MONTH)-11,1),Datos!$D$3:$AL$3,0)),"")</f>
        <v/>
      </c>
      <c r="H461" t="s">
        <v>100</v>
      </c>
      <c r="I461" t="s">
        <v>95</v>
      </c>
      <c r="J461" s="258">
        <f t="shared" si="8"/>
        <v>46296</v>
      </c>
    </row>
    <row r="462" spans="1:10" ht="13.5" customHeight="1" x14ac:dyDescent="0.3">
      <c r="A462" t="s">
        <v>921</v>
      </c>
      <c r="B462" s="193" t="str">
        <f t="shared" si="9"/>
        <v>2025-11</v>
      </c>
      <c r="C462" s="258">
        <f t="shared" si="10"/>
        <v>45962</v>
      </c>
      <c r="D462" t="s">
        <v>927</v>
      </c>
      <c r="E462" s="193" t="str">
        <f>IFERROR(INDEX(Datos!$D$73:$AL$73,MATCH(DATE(YEAR(RPT_MONTH),MONTH(RPT_MONTH)-11,1),Datos!$D$3:$AL$3,0)),"")</f>
        <v/>
      </c>
      <c r="H462" t="s">
        <v>100</v>
      </c>
      <c r="I462" t="s">
        <v>95</v>
      </c>
      <c r="J462" s="258">
        <f t="shared" si="8"/>
        <v>46296</v>
      </c>
    </row>
    <row r="463" spans="1:10" ht="13.5" customHeight="1" x14ac:dyDescent="0.3">
      <c r="A463" t="s">
        <v>921</v>
      </c>
      <c r="B463" s="193" t="str">
        <f t="shared" si="9"/>
        <v>2025-11</v>
      </c>
      <c r="C463" s="258">
        <f t="shared" si="10"/>
        <v>45962</v>
      </c>
      <c r="D463" t="s">
        <v>928</v>
      </c>
      <c r="E463" s="193" t="str">
        <f>IFERROR(INDEX(Datos!$D$75:$AL$75,MATCH(DATE(YEAR(RPT_MONTH),MONTH(RPT_MONTH)-11,1),Datos!$D$3:$AL$3,0)),"")</f>
        <v/>
      </c>
      <c r="H463" t="s">
        <v>100</v>
      </c>
      <c r="I463" t="s">
        <v>95</v>
      </c>
      <c r="J463" s="258">
        <f t="shared" si="8"/>
        <v>46296</v>
      </c>
    </row>
    <row r="464" spans="1:10" ht="13.5" customHeight="1" x14ac:dyDescent="0.3">
      <c r="A464" t="s">
        <v>921</v>
      </c>
      <c r="B464" s="193" t="str">
        <f t="shared" si="9"/>
        <v>2025-11</v>
      </c>
      <c r="C464" s="258">
        <f t="shared" si="10"/>
        <v>45962</v>
      </c>
      <c r="D464" t="s">
        <v>929</v>
      </c>
      <c r="E464" s="193" t="str">
        <f>IFERROR(INDEX(Datos!$D$76:$AL$76,MATCH(DATE(YEAR(RPT_MONTH),MONTH(RPT_MONTH)-11,1),Datos!$D$3:$AL$3,0)),"")</f>
        <v/>
      </c>
      <c r="H464" t="s">
        <v>100</v>
      </c>
      <c r="I464" t="s">
        <v>95</v>
      </c>
      <c r="J464" s="258">
        <f t="shared" si="8"/>
        <v>46296</v>
      </c>
    </row>
    <row r="465" spans="1:10" ht="13.5" customHeight="1" x14ac:dyDescent="0.3">
      <c r="A465" t="s">
        <v>921</v>
      </c>
      <c r="B465" s="193" t="str">
        <f t="shared" ref="B465:B472" si="11">YEAR(DATE(YEAR(RPT_MONTH),MONTH(RPT_MONTH)-10,1))&amp;"-"&amp;RIGHT("0"&amp;MONTH(DATE(YEAR(RPT_MONTH),MONTH(RPT_MONTH)-10,1)),2)</f>
        <v>2025-12</v>
      </c>
      <c r="C465" s="258">
        <f t="shared" ref="C465:C472" si="12">DATE(YEAR(RPT_MONTH),MONTH(RPT_MONTH)-10,1)</f>
        <v>45992</v>
      </c>
      <c r="D465" t="s">
        <v>922</v>
      </c>
      <c r="E465" s="193" t="str">
        <f>IFERROR(INDEX(Datos!$D$70:$AL$70,MATCH(DATE(YEAR(RPT_MONTH),MONTH(RPT_MONTH)-10,1),Datos!$D$3:$AL$3,0)),"")</f>
        <v/>
      </c>
      <c r="H465" t="s">
        <v>100</v>
      </c>
      <c r="I465" t="s">
        <v>95</v>
      </c>
      <c r="J465" s="258">
        <f t="shared" si="8"/>
        <v>46296</v>
      </c>
    </row>
    <row r="466" spans="1:10" ht="13.5" customHeight="1" x14ac:dyDescent="0.3">
      <c r="A466" t="s">
        <v>921</v>
      </c>
      <c r="B466" s="193" t="str">
        <f t="shared" si="11"/>
        <v>2025-12</v>
      </c>
      <c r="C466" s="258">
        <f t="shared" si="12"/>
        <v>45992</v>
      </c>
      <c r="D466" t="s">
        <v>923</v>
      </c>
      <c r="E466" s="193" t="str">
        <f>IFERROR(INDEX(Datos!$D$67:$AL$67,MATCH(DATE(YEAR(RPT_MONTH),MONTH(RPT_MONTH)-10,1),Datos!$D$3:$AL$3,0)),"")</f>
        <v/>
      </c>
      <c r="H466" t="s">
        <v>100</v>
      </c>
      <c r="I466" t="s">
        <v>95</v>
      </c>
      <c r="J466" s="258">
        <f t="shared" si="8"/>
        <v>46296</v>
      </c>
    </row>
    <row r="467" spans="1:10" ht="13.5" customHeight="1" x14ac:dyDescent="0.3">
      <c r="A467" t="s">
        <v>921</v>
      </c>
      <c r="B467" s="193" t="str">
        <f t="shared" si="11"/>
        <v>2025-12</v>
      </c>
      <c r="C467" s="258">
        <f t="shared" si="12"/>
        <v>45992</v>
      </c>
      <c r="D467" t="s">
        <v>924</v>
      </c>
      <c r="E467" s="193" t="str">
        <f>IFERROR(INDEX(Datos!$D$69:$AL$69,MATCH(DATE(YEAR(RPT_MONTH),MONTH(RPT_MONTH)-10,1),Datos!$D$3:$AL$3,0)),"")</f>
        <v/>
      </c>
      <c r="H467" t="s">
        <v>100</v>
      </c>
      <c r="I467" t="s">
        <v>95</v>
      </c>
      <c r="J467" s="258">
        <f t="shared" si="8"/>
        <v>46296</v>
      </c>
    </row>
    <row r="468" spans="1:10" ht="13.5" customHeight="1" x14ac:dyDescent="0.3">
      <c r="A468" t="s">
        <v>921</v>
      </c>
      <c r="B468" s="193" t="str">
        <f t="shared" si="11"/>
        <v>2025-12</v>
      </c>
      <c r="C468" s="258">
        <f t="shared" si="12"/>
        <v>45992</v>
      </c>
      <c r="D468" t="s">
        <v>925</v>
      </c>
      <c r="E468" s="193" t="str">
        <f>IFERROR(INDEX(Datos!$D$71:$AL$71,MATCH(DATE(YEAR(RPT_MONTH),MONTH(RPT_MONTH)-10,1),Datos!$D$3:$AL$3,0)),"")</f>
        <v/>
      </c>
      <c r="H468" t="s">
        <v>100</v>
      </c>
      <c r="I468" t="s">
        <v>95</v>
      </c>
      <c r="J468" s="258">
        <f t="shared" si="8"/>
        <v>46296</v>
      </c>
    </row>
    <row r="469" spans="1:10" ht="13.5" customHeight="1" x14ac:dyDescent="0.3">
      <c r="A469" t="s">
        <v>921</v>
      </c>
      <c r="B469" s="193" t="str">
        <f t="shared" si="11"/>
        <v>2025-12</v>
      </c>
      <c r="C469" s="258">
        <f t="shared" si="12"/>
        <v>45992</v>
      </c>
      <c r="D469" t="s">
        <v>926</v>
      </c>
      <c r="E469" s="193" t="str">
        <f>IFERROR(INDEX(Datos!$D$72:$AL$72,MATCH(DATE(YEAR(RPT_MONTH),MONTH(RPT_MONTH)-10,1),Datos!$D$3:$AL$3,0)),"")</f>
        <v/>
      </c>
      <c r="H469" t="s">
        <v>100</v>
      </c>
      <c r="I469" t="s">
        <v>95</v>
      </c>
      <c r="J469" s="258">
        <f t="shared" si="8"/>
        <v>46296</v>
      </c>
    </row>
    <row r="470" spans="1:10" ht="13.5" customHeight="1" x14ac:dyDescent="0.3">
      <c r="A470" t="s">
        <v>921</v>
      </c>
      <c r="B470" s="193" t="str">
        <f t="shared" si="11"/>
        <v>2025-12</v>
      </c>
      <c r="C470" s="258">
        <f t="shared" si="12"/>
        <v>45992</v>
      </c>
      <c r="D470" t="s">
        <v>927</v>
      </c>
      <c r="E470" s="193" t="str">
        <f>IFERROR(INDEX(Datos!$D$73:$AL$73,MATCH(DATE(YEAR(RPT_MONTH),MONTH(RPT_MONTH)-10,1),Datos!$D$3:$AL$3,0)),"")</f>
        <v/>
      </c>
      <c r="H470" t="s">
        <v>100</v>
      </c>
      <c r="I470" t="s">
        <v>95</v>
      </c>
      <c r="J470" s="258">
        <f t="shared" si="8"/>
        <v>46296</v>
      </c>
    </row>
    <row r="471" spans="1:10" ht="13.5" customHeight="1" x14ac:dyDescent="0.3">
      <c r="A471" t="s">
        <v>921</v>
      </c>
      <c r="B471" s="193" t="str">
        <f t="shared" si="11"/>
        <v>2025-12</v>
      </c>
      <c r="C471" s="258">
        <f t="shared" si="12"/>
        <v>45992</v>
      </c>
      <c r="D471" t="s">
        <v>928</v>
      </c>
      <c r="E471" s="193" t="str">
        <f>IFERROR(INDEX(Datos!$D$75:$AL$75,MATCH(DATE(YEAR(RPT_MONTH),MONTH(RPT_MONTH)-10,1),Datos!$D$3:$AL$3,0)),"")</f>
        <v/>
      </c>
      <c r="H471" t="s">
        <v>100</v>
      </c>
      <c r="I471" t="s">
        <v>95</v>
      </c>
      <c r="J471" s="258">
        <f t="shared" si="8"/>
        <v>46296</v>
      </c>
    </row>
    <row r="472" spans="1:10" ht="13.5" customHeight="1" x14ac:dyDescent="0.3">
      <c r="A472" t="s">
        <v>921</v>
      </c>
      <c r="B472" s="193" t="str">
        <f t="shared" si="11"/>
        <v>2025-12</v>
      </c>
      <c r="C472" s="258">
        <f t="shared" si="12"/>
        <v>45992</v>
      </c>
      <c r="D472" t="s">
        <v>929</v>
      </c>
      <c r="E472" s="193" t="str">
        <f>IFERROR(INDEX(Datos!$D$76:$AL$76,MATCH(DATE(YEAR(RPT_MONTH),MONTH(RPT_MONTH)-10,1),Datos!$D$3:$AL$3,0)),"")</f>
        <v/>
      </c>
      <c r="H472" t="s">
        <v>100</v>
      </c>
      <c r="I472" t="s">
        <v>95</v>
      </c>
      <c r="J472" s="258">
        <f t="shared" si="8"/>
        <v>46296</v>
      </c>
    </row>
    <row r="473" spans="1:10" ht="13.5" customHeight="1" x14ac:dyDescent="0.3">
      <c r="A473" t="s">
        <v>921</v>
      </c>
      <c r="B473" s="193" t="str">
        <f t="shared" ref="B473:B480" si="13">YEAR(DATE(YEAR(RPT_MONTH),MONTH(RPT_MONTH)-9,1))&amp;"-"&amp;RIGHT("0"&amp;MONTH(DATE(YEAR(RPT_MONTH),MONTH(RPT_MONTH)-9,1)),2)</f>
        <v>2026-01</v>
      </c>
      <c r="C473" s="258">
        <f t="shared" ref="C473:C480" si="14">DATE(YEAR(RPT_MONTH),MONTH(RPT_MONTH)-9,1)</f>
        <v>46023</v>
      </c>
      <c r="D473" t="s">
        <v>922</v>
      </c>
      <c r="E473" s="193" t="str">
        <f>IFERROR(INDEX(Datos!$D$70:$AL$70,MATCH(DATE(YEAR(RPT_MONTH),MONTH(RPT_MONTH)-9,1),Datos!$D$3:$AL$3,0)),"")</f>
        <v/>
      </c>
      <c r="H473" t="s">
        <v>100</v>
      </c>
      <c r="I473" t="s">
        <v>95</v>
      </c>
      <c r="J473" s="258">
        <f t="shared" si="8"/>
        <v>46296</v>
      </c>
    </row>
    <row r="474" spans="1:10" ht="13.5" customHeight="1" x14ac:dyDescent="0.3">
      <c r="A474" t="s">
        <v>921</v>
      </c>
      <c r="B474" s="193" t="str">
        <f t="shared" si="13"/>
        <v>2026-01</v>
      </c>
      <c r="C474" s="258">
        <f t="shared" si="14"/>
        <v>46023</v>
      </c>
      <c r="D474" t="s">
        <v>923</v>
      </c>
      <c r="E474" s="193" t="str">
        <f>IFERROR(INDEX(Datos!$D$67:$AL$67,MATCH(DATE(YEAR(RPT_MONTH),MONTH(RPT_MONTH)-9,1),Datos!$D$3:$AL$3,0)),"")</f>
        <v/>
      </c>
      <c r="H474" t="s">
        <v>100</v>
      </c>
      <c r="I474" t="s">
        <v>95</v>
      </c>
      <c r="J474" s="258">
        <f t="shared" si="8"/>
        <v>46296</v>
      </c>
    </row>
    <row r="475" spans="1:10" ht="13.5" customHeight="1" x14ac:dyDescent="0.3">
      <c r="A475" t="s">
        <v>921</v>
      </c>
      <c r="B475" s="193" t="str">
        <f t="shared" si="13"/>
        <v>2026-01</v>
      </c>
      <c r="C475" s="258">
        <f t="shared" si="14"/>
        <v>46023</v>
      </c>
      <c r="D475" t="s">
        <v>924</v>
      </c>
      <c r="E475" s="193" t="str">
        <f>IFERROR(INDEX(Datos!$D$69:$AL$69,MATCH(DATE(YEAR(RPT_MONTH),MONTH(RPT_MONTH)-9,1),Datos!$D$3:$AL$3,0)),"")</f>
        <v/>
      </c>
      <c r="H475" t="s">
        <v>100</v>
      </c>
      <c r="I475" t="s">
        <v>95</v>
      </c>
      <c r="J475" s="258">
        <f t="shared" si="8"/>
        <v>46296</v>
      </c>
    </row>
    <row r="476" spans="1:10" ht="13.5" customHeight="1" x14ac:dyDescent="0.3">
      <c r="A476" t="s">
        <v>921</v>
      </c>
      <c r="B476" s="193" t="str">
        <f t="shared" si="13"/>
        <v>2026-01</v>
      </c>
      <c r="C476" s="258">
        <f t="shared" si="14"/>
        <v>46023</v>
      </c>
      <c r="D476" t="s">
        <v>925</v>
      </c>
      <c r="E476" s="193" t="str">
        <f>IFERROR(INDEX(Datos!$D$71:$AL$71,MATCH(DATE(YEAR(RPT_MONTH),MONTH(RPT_MONTH)-9,1),Datos!$D$3:$AL$3,0)),"")</f>
        <v/>
      </c>
      <c r="H476" t="s">
        <v>100</v>
      </c>
      <c r="I476" t="s">
        <v>95</v>
      </c>
      <c r="J476" s="258">
        <f t="shared" si="8"/>
        <v>46296</v>
      </c>
    </row>
    <row r="477" spans="1:10" ht="13.5" customHeight="1" x14ac:dyDescent="0.3">
      <c r="A477" t="s">
        <v>921</v>
      </c>
      <c r="B477" s="193" t="str">
        <f t="shared" si="13"/>
        <v>2026-01</v>
      </c>
      <c r="C477" s="258">
        <f t="shared" si="14"/>
        <v>46023</v>
      </c>
      <c r="D477" t="s">
        <v>926</v>
      </c>
      <c r="E477" s="193" t="str">
        <f>IFERROR(INDEX(Datos!$D$72:$AL$72,MATCH(DATE(YEAR(RPT_MONTH),MONTH(RPT_MONTH)-9,1),Datos!$D$3:$AL$3,0)),"")</f>
        <v/>
      </c>
      <c r="H477" t="s">
        <v>100</v>
      </c>
      <c r="I477" t="s">
        <v>95</v>
      </c>
      <c r="J477" s="258">
        <f t="shared" si="8"/>
        <v>46296</v>
      </c>
    </row>
    <row r="478" spans="1:10" ht="13.5" customHeight="1" x14ac:dyDescent="0.3">
      <c r="A478" t="s">
        <v>921</v>
      </c>
      <c r="B478" s="193" t="str">
        <f t="shared" si="13"/>
        <v>2026-01</v>
      </c>
      <c r="C478" s="258">
        <f t="shared" si="14"/>
        <v>46023</v>
      </c>
      <c r="D478" t="s">
        <v>927</v>
      </c>
      <c r="E478" s="193" t="str">
        <f>IFERROR(INDEX(Datos!$D$73:$AL$73,MATCH(DATE(YEAR(RPT_MONTH),MONTH(RPT_MONTH)-9,1),Datos!$D$3:$AL$3,0)),"")</f>
        <v/>
      </c>
      <c r="H478" t="s">
        <v>100</v>
      </c>
      <c r="I478" t="s">
        <v>95</v>
      </c>
      <c r="J478" s="258">
        <f t="shared" si="8"/>
        <v>46296</v>
      </c>
    </row>
    <row r="479" spans="1:10" ht="13.5" customHeight="1" x14ac:dyDescent="0.3">
      <c r="A479" t="s">
        <v>921</v>
      </c>
      <c r="B479" s="193" t="str">
        <f t="shared" si="13"/>
        <v>2026-01</v>
      </c>
      <c r="C479" s="258">
        <f t="shared" si="14"/>
        <v>46023</v>
      </c>
      <c r="D479" t="s">
        <v>928</v>
      </c>
      <c r="E479" s="193" t="str">
        <f>IFERROR(INDEX(Datos!$D$75:$AL$75,MATCH(DATE(YEAR(RPT_MONTH),MONTH(RPT_MONTH)-9,1),Datos!$D$3:$AL$3,0)),"")</f>
        <v/>
      </c>
      <c r="H479" t="s">
        <v>100</v>
      </c>
      <c r="I479" t="s">
        <v>95</v>
      </c>
      <c r="J479" s="258">
        <f t="shared" si="8"/>
        <v>46296</v>
      </c>
    </row>
    <row r="480" spans="1:10" ht="13.5" customHeight="1" x14ac:dyDescent="0.3">
      <c r="A480" t="s">
        <v>921</v>
      </c>
      <c r="B480" s="193" t="str">
        <f t="shared" si="13"/>
        <v>2026-01</v>
      </c>
      <c r="C480" s="258">
        <f t="shared" si="14"/>
        <v>46023</v>
      </c>
      <c r="D480" t="s">
        <v>929</v>
      </c>
      <c r="E480" s="193" t="str">
        <f>IFERROR(INDEX(Datos!$D$76:$AL$76,MATCH(DATE(YEAR(RPT_MONTH),MONTH(RPT_MONTH)-9,1),Datos!$D$3:$AL$3,0)),"")</f>
        <v/>
      </c>
      <c r="H480" t="s">
        <v>100</v>
      </c>
      <c r="I480" t="s">
        <v>95</v>
      </c>
      <c r="J480" s="258">
        <f t="shared" si="8"/>
        <v>46296</v>
      </c>
    </row>
    <row r="481" spans="1:10" ht="13.5" customHeight="1" x14ac:dyDescent="0.3">
      <c r="A481" t="s">
        <v>921</v>
      </c>
      <c r="B481" s="193" t="str">
        <f t="shared" ref="B481:B488" si="15">YEAR(DATE(YEAR(RPT_MONTH),MONTH(RPT_MONTH)-8,1))&amp;"-"&amp;RIGHT("0"&amp;MONTH(DATE(YEAR(RPT_MONTH),MONTH(RPT_MONTH)-8,1)),2)</f>
        <v>2026-02</v>
      </c>
      <c r="C481" s="258">
        <f t="shared" ref="C481:C488" si="16">DATE(YEAR(RPT_MONTH),MONTH(RPT_MONTH)-8,1)</f>
        <v>46054</v>
      </c>
      <c r="D481" t="s">
        <v>922</v>
      </c>
      <c r="E481" s="193" t="str">
        <f>IFERROR(INDEX(Datos!$D$70:$AL$70,MATCH(DATE(YEAR(RPT_MONTH),MONTH(RPT_MONTH)-8,1),Datos!$D$3:$AL$3,0)),"")</f>
        <v/>
      </c>
      <c r="H481" t="s">
        <v>100</v>
      </c>
      <c r="I481" t="s">
        <v>95</v>
      </c>
      <c r="J481" s="258">
        <f t="shared" si="8"/>
        <v>46296</v>
      </c>
    </row>
    <row r="482" spans="1:10" ht="13.5" customHeight="1" x14ac:dyDescent="0.3">
      <c r="A482" t="s">
        <v>921</v>
      </c>
      <c r="B482" s="193" t="str">
        <f t="shared" si="15"/>
        <v>2026-02</v>
      </c>
      <c r="C482" s="258">
        <f t="shared" si="16"/>
        <v>46054</v>
      </c>
      <c r="D482" t="s">
        <v>923</v>
      </c>
      <c r="E482" s="193" t="str">
        <f>IFERROR(INDEX(Datos!$D$67:$AL$67,MATCH(DATE(YEAR(RPT_MONTH),MONTH(RPT_MONTH)-8,1),Datos!$D$3:$AL$3,0)),"")</f>
        <v/>
      </c>
      <c r="H482" t="s">
        <v>100</v>
      </c>
      <c r="I482" t="s">
        <v>95</v>
      </c>
      <c r="J482" s="258">
        <f t="shared" si="8"/>
        <v>46296</v>
      </c>
    </row>
    <row r="483" spans="1:10" ht="13.5" customHeight="1" x14ac:dyDescent="0.3">
      <c r="A483" t="s">
        <v>921</v>
      </c>
      <c r="B483" s="193" t="str">
        <f t="shared" si="15"/>
        <v>2026-02</v>
      </c>
      <c r="C483" s="258">
        <f t="shared" si="16"/>
        <v>46054</v>
      </c>
      <c r="D483" t="s">
        <v>924</v>
      </c>
      <c r="E483" s="193" t="str">
        <f>IFERROR(INDEX(Datos!$D$69:$AL$69,MATCH(DATE(YEAR(RPT_MONTH),MONTH(RPT_MONTH)-8,1),Datos!$D$3:$AL$3,0)),"")</f>
        <v/>
      </c>
      <c r="H483" t="s">
        <v>100</v>
      </c>
      <c r="I483" t="s">
        <v>95</v>
      </c>
      <c r="J483" s="258">
        <f t="shared" si="8"/>
        <v>46296</v>
      </c>
    </row>
    <row r="484" spans="1:10" ht="13.5" customHeight="1" x14ac:dyDescent="0.3">
      <c r="A484" t="s">
        <v>921</v>
      </c>
      <c r="B484" s="193" t="str">
        <f t="shared" si="15"/>
        <v>2026-02</v>
      </c>
      <c r="C484" s="258">
        <f t="shared" si="16"/>
        <v>46054</v>
      </c>
      <c r="D484" t="s">
        <v>925</v>
      </c>
      <c r="E484" s="193" t="str">
        <f>IFERROR(INDEX(Datos!$D$71:$AL$71,MATCH(DATE(YEAR(RPT_MONTH),MONTH(RPT_MONTH)-8,1),Datos!$D$3:$AL$3,0)),"")</f>
        <v/>
      </c>
      <c r="H484" t="s">
        <v>100</v>
      </c>
      <c r="I484" t="s">
        <v>95</v>
      </c>
      <c r="J484" s="258">
        <f t="shared" si="8"/>
        <v>46296</v>
      </c>
    </row>
    <row r="485" spans="1:10" ht="13.5" customHeight="1" x14ac:dyDescent="0.3">
      <c r="A485" t="s">
        <v>921</v>
      </c>
      <c r="B485" s="193" t="str">
        <f t="shared" si="15"/>
        <v>2026-02</v>
      </c>
      <c r="C485" s="258">
        <f t="shared" si="16"/>
        <v>46054</v>
      </c>
      <c r="D485" t="s">
        <v>926</v>
      </c>
      <c r="E485" s="193" t="str">
        <f>IFERROR(INDEX(Datos!$D$72:$AL$72,MATCH(DATE(YEAR(RPT_MONTH),MONTH(RPT_MONTH)-8,1),Datos!$D$3:$AL$3,0)),"")</f>
        <v/>
      </c>
      <c r="H485" t="s">
        <v>100</v>
      </c>
      <c r="I485" t="s">
        <v>95</v>
      </c>
      <c r="J485" s="258">
        <f t="shared" si="8"/>
        <v>46296</v>
      </c>
    </row>
    <row r="486" spans="1:10" ht="13.5" customHeight="1" x14ac:dyDescent="0.3">
      <c r="A486" t="s">
        <v>921</v>
      </c>
      <c r="B486" s="193" t="str">
        <f t="shared" si="15"/>
        <v>2026-02</v>
      </c>
      <c r="C486" s="258">
        <f t="shared" si="16"/>
        <v>46054</v>
      </c>
      <c r="D486" t="s">
        <v>927</v>
      </c>
      <c r="E486" s="193" t="str">
        <f>IFERROR(INDEX(Datos!$D$73:$AL$73,MATCH(DATE(YEAR(RPT_MONTH),MONTH(RPT_MONTH)-8,1),Datos!$D$3:$AL$3,0)),"")</f>
        <v/>
      </c>
      <c r="H486" t="s">
        <v>100</v>
      </c>
      <c r="I486" t="s">
        <v>95</v>
      </c>
      <c r="J486" s="258">
        <f t="shared" si="8"/>
        <v>46296</v>
      </c>
    </row>
    <row r="487" spans="1:10" ht="13.5" customHeight="1" x14ac:dyDescent="0.3">
      <c r="A487" t="s">
        <v>921</v>
      </c>
      <c r="B487" s="193" t="str">
        <f t="shared" si="15"/>
        <v>2026-02</v>
      </c>
      <c r="C487" s="258">
        <f t="shared" si="16"/>
        <v>46054</v>
      </c>
      <c r="D487" t="s">
        <v>928</v>
      </c>
      <c r="E487" s="193" t="str">
        <f>IFERROR(INDEX(Datos!$D$75:$AL$75,MATCH(DATE(YEAR(RPT_MONTH),MONTH(RPT_MONTH)-8,1),Datos!$D$3:$AL$3,0)),"")</f>
        <v/>
      </c>
      <c r="H487" t="s">
        <v>100</v>
      </c>
      <c r="I487" t="s">
        <v>95</v>
      </c>
      <c r="J487" s="258">
        <f t="shared" si="8"/>
        <v>46296</v>
      </c>
    </row>
    <row r="488" spans="1:10" ht="13.5" customHeight="1" x14ac:dyDescent="0.3">
      <c r="A488" t="s">
        <v>921</v>
      </c>
      <c r="B488" s="193" t="str">
        <f t="shared" si="15"/>
        <v>2026-02</v>
      </c>
      <c r="C488" s="258">
        <f t="shared" si="16"/>
        <v>46054</v>
      </c>
      <c r="D488" t="s">
        <v>929</v>
      </c>
      <c r="E488" s="193" t="str">
        <f>IFERROR(INDEX(Datos!$D$76:$AL$76,MATCH(DATE(YEAR(RPT_MONTH),MONTH(RPT_MONTH)-8,1),Datos!$D$3:$AL$3,0)),"")</f>
        <v/>
      </c>
      <c r="H488" t="s">
        <v>100</v>
      </c>
      <c r="I488" t="s">
        <v>95</v>
      </c>
      <c r="J488" s="258">
        <f t="shared" si="8"/>
        <v>46296</v>
      </c>
    </row>
    <row r="489" spans="1:10" ht="13.5" customHeight="1" x14ac:dyDescent="0.3">
      <c r="A489" t="s">
        <v>921</v>
      </c>
      <c r="B489" s="193" t="str">
        <f t="shared" ref="B489:B496" si="17">YEAR(DATE(YEAR(RPT_MONTH),MONTH(RPT_MONTH)-7,1))&amp;"-"&amp;RIGHT("0"&amp;MONTH(DATE(YEAR(RPT_MONTH),MONTH(RPT_MONTH)-7,1)),2)</f>
        <v>2026-03</v>
      </c>
      <c r="C489" s="258">
        <f t="shared" ref="C489:C496" si="18">DATE(YEAR(RPT_MONTH),MONTH(RPT_MONTH)-7,1)</f>
        <v>46082</v>
      </c>
      <c r="D489" t="s">
        <v>922</v>
      </c>
      <c r="E489" s="193" t="str">
        <f>IFERROR(INDEX(Datos!$D$70:$AL$70,MATCH(DATE(YEAR(RPT_MONTH),MONTH(RPT_MONTH)-7,1),Datos!$D$3:$AL$3,0)),"")</f>
        <v/>
      </c>
      <c r="H489" t="s">
        <v>100</v>
      </c>
      <c r="I489" t="s">
        <v>95</v>
      </c>
      <c r="J489" s="258">
        <f t="shared" si="8"/>
        <v>46296</v>
      </c>
    </row>
    <row r="490" spans="1:10" ht="13.5" customHeight="1" x14ac:dyDescent="0.3">
      <c r="A490" t="s">
        <v>921</v>
      </c>
      <c r="B490" s="193" t="str">
        <f t="shared" si="17"/>
        <v>2026-03</v>
      </c>
      <c r="C490" s="258">
        <f t="shared" si="18"/>
        <v>46082</v>
      </c>
      <c r="D490" t="s">
        <v>923</v>
      </c>
      <c r="E490" s="193" t="str">
        <f>IFERROR(INDEX(Datos!$D$67:$AL$67,MATCH(DATE(YEAR(RPT_MONTH),MONTH(RPT_MONTH)-7,1),Datos!$D$3:$AL$3,0)),"")</f>
        <v/>
      </c>
      <c r="H490" t="s">
        <v>100</v>
      </c>
      <c r="I490" t="s">
        <v>95</v>
      </c>
      <c r="J490" s="258">
        <f t="shared" si="8"/>
        <v>46296</v>
      </c>
    </row>
    <row r="491" spans="1:10" ht="13.5" customHeight="1" x14ac:dyDescent="0.3">
      <c r="A491" t="s">
        <v>921</v>
      </c>
      <c r="B491" s="193" t="str">
        <f t="shared" si="17"/>
        <v>2026-03</v>
      </c>
      <c r="C491" s="258">
        <f t="shared" si="18"/>
        <v>46082</v>
      </c>
      <c r="D491" t="s">
        <v>924</v>
      </c>
      <c r="E491" s="193" t="str">
        <f>IFERROR(INDEX(Datos!$D$69:$AL$69,MATCH(DATE(YEAR(RPT_MONTH),MONTH(RPT_MONTH)-7,1),Datos!$D$3:$AL$3,0)),"")</f>
        <v/>
      </c>
      <c r="H491" t="s">
        <v>100</v>
      </c>
      <c r="I491" t="s">
        <v>95</v>
      </c>
      <c r="J491" s="258">
        <f t="shared" si="8"/>
        <v>46296</v>
      </c>
    </row>
    <row r="492" spans="1:10" ht="13.5" customHeight="1" x14ac:dyDescent="0.3">
      <c r="A492" t="s">
        <v>921</v>
      </c>
      <c r="B492" s="193" t="str">
        <f t="shared" si="17"/>
        <v>2026-03</v>
      </c>
      <c r="C492" s="258">
        <f t="shared" si="18"/>
        <v>46082</v>
      </c>
      <c r="D492" t="s">
        <v>925</v>
      </c>
      <c r="E492" s="193" t="str">
        <f>IFERROR(INDEX(Datos!$D$71:$AL$71,MATCH(DATE(YEAR(RPT_MONTH),MONTH(RPT_MONTH)-7,1),Datos!$D$3:$AL$3,0)),"")</f>
        <v/>
      </c>
      <c r="H492" t="s">
        <v>100</v>
      </c>
      <c r="I492" t="s">
        <v>95</v>
      </c>
      <c r="J492" s="258">
        <f t="shared" si="8"/>
        <v>46296</v>
      </c>
    </row>
    <row r="493" spans="1:10" ht="13.5" customHeight="1" x14ac:dyDescent="0.3">
      <c r="A493" t="s">
        <v>921</v>
      </c>
      <c r="B493" s="193" t="str">
        <f t="shared" si="17"/>
        <v>2026-03</v>
      </c>
      <c r="C493" s="258">
        <f t="shared" si="18"/>
        <v>46082</v>
      </c>
      <c r="D493" t="s">
        <v>926</v>
      </c>
      <c r="E493" s="193" t="str">
        <f>IFERROR(INDEX(Datos!$D$72:$AL$72,MATCH(DATE(YEAR(RPT_MONTH),MONTH(RPT_MONTH)-7,1),Datos!$D$3:$AL$3,0)),"")</f>
        <v/>
      </c>
      <c r="H493" t="s">
        <v>100</v>
      </c>
      <c r="I493" t="s">
        <v>95</v>
      </c>
      <c r="J493" s="258">
        <f t="shared" si="8"/>
        <v>46296</v>
      </c>
    </row>
    <row r="494" spans="1:10" ht="13.5" customHeight="1" x14ac:dyDescent="0.3">
      <c r="A494" t="s">
        <v>921</v>
      </c>
      <c r="B494" s="193" t="str">
        <f t="shared" si="17"/>
        <v>2026-03</v>
      </c>
      <c r="C494" s="258">
        <f t="shared" si="18"/>
        <v>46082</v>
      </c>
      <c r="D494" t="s">
        <v>927</v>
      </c>
      <c r="E494" s="193" t="str">
        <f>IFERROR(INDEX(Datos!$D$73:$AL$73,MATCH(DATE(YEAR(RPT_MONTH),MONTH(RPT_MONTH)-7,1),Datos!$D$3:$AL$3,0)),"")</f>
        <v/>
      </c>
      <c r="H494" t="s">
        <v>100</v>
      </c>
      <c r="I494" t="s">
        <v>95</v>
      </c>
      <c r="J494" s="258">
        <f t="shared" si="8"/>
        <v>46296</v>
      </c>
    </row>
    <row r="495" spans="1:10" ht="13.5" customHeight="1" x14ac:dyDescent="0.3">
      <c r="A495" t="s">
        <v>921</v>
      </c>
      <c r="B495" s="193" t="str">
        <f t="shared" si="17"/>
        <v>2026-03</v>
      </c>
      <c r="C495" s="258">
        <f t="shared" si="18"/>
        <v>46082</v>
      </c>
      <c r="D495" t="s">
        <v>928</v>
      </c>
      <c r="E495" s="193" t="str">
        <f>IFERROR(INDEX(Datos!$D$75:$AL$75,MATCH(DATE(YEAR(RPT_MONTH),MONTH(RPT_MONTH)-7,1),Datos!$D$3:$AL$3,0)),"")</f>
        <v/>
      </c>
      <c r="H495" t="s">
        <v>100</v>
      </c>
      <c r="I495" t="s">
        <v>95</v>
      </c>
      <c r="J495" s="258">
        <f t="shared" si="8"/>
        <v>46296</v>
      </c>
    </row>
    <row r="496" spans="1:10" ht="13.5" customHeight="1" x14ac:dyDescent="0.3">
      <c r="A496" t="s">
        <v>921</v>
      </c>
      <c r="B496" s="193" t="str">
        <f t="shared" si="17"/>
        <v>2026-03</v>
      </c>
      <c r="C496" s="258">
        <f t="shared" si="18"/>
        <v>46082</v>
      </c>
      <c r="D496" t="s">
        <v>929</v>
      </c>
      <c r="E496" s="193" t="str">
        <f>IFERROR(INDEX(Datos!$D$76:$AL$76,MATCH(DATE(YEAR(RPT_MONTH),MONTH(RPT_MONTH)-7,1),Datos!$D$3:$AL$3,0)),"")</f>
        <v/>
      </c>
      <c r="H496" t="s">
        <v>100</v>
      </c>
      <c r="I496" t="s">
        <v>95</v>
      </c>
      <c r="J496" s="258">
        <f t="shared" si="8"/>
        <v>46296</v>
      </c>
    </row>
    <row r="497" spans="1:10" ht="13.5" customHeight="1" x14ac:dyDescent="0.3">
      <c r="A497" t="s">
        <v>921</v>
      </c>
      <c r="B497" s="193" t="str">
        <f t="shared" ref="B497:B504" si="19">YEAR(DATE(YEAR(RPT_MONTH),MONTH(RPT_MONTH)-6,1))&amp;"-"&amp;RIGHT("0"&amp;MONTH(DATE(YEAR(RPT_MONTH),MONTH(RPT_MONTH)-6,1)),2)</f>
        <v>2026-04</v>
      </c>
      <c r="C497" s="258">
        <f t="shared" ref="C497:C504" si="20">DATE(YEAR(RPT_MONTH),MONTH(RPT_MONTH)-6,1)</f>
        <v>46113</v>
      </c>
      <c r="D497" t="s">
        <v>922</v>
      </c>
      <c r="E497" s="193" t="str">
        <f>IFERROR(INDEX(Datos!$D$70:$AL$70,MATCH(DATE(YEAR(RPT_MONTH),MONTH(RPT_MONTH)-6,1),Datos!$D$3:$AL$3,0)),"")</f>
        <v/>
      </c>
      <c r="H497" t="s">
        <v>100</v>
      </c>
      <c r="I497" t="s">
        <v>95</v>
      </c>
      <c r="J497" s="258">
        <f t="shared" si="8"/>
        <v>46296</v>
      </c>
    </row>
    <row r="498" spans="1:10" ht="13.5" customHeight="1" x14ac:dyDescent="0.3">
      <c r="A498" t="s">
        <v>921</v>
      </c>
      <c r="B498" s="193" t="str">
        <f t="shared" si="19"/>
        <v>2026-04</v>
      </c>
      <c r="C498" s="258">
        <f t="shared" si="20"/>
        <v>46113</v>
      </c>
      <c r="D498" t="s">
        <v>923</v>
      </c>
      <c r="E498" s="193" t="str">
        <f>IFERROR(INDEX(Datos!$D$67:$AL$67,MATCH(DATE(YEAR(RPT_MONTH),MONTH(RPT_MONTH)-6,1),Datos!$D$3:$AL$3,0)),"")</f>
        <v/>
      </c>
      <c r="H498" t="s">
        <v>100</v>
      </c>
      <c r="I498" t="s">
        <v>95</v>
      </c>
      <c r="J498" s="258">
        <f t="shared" si="8"/>
        <v>46296</v>
      </c>
    </row>
    <row r="499" spans="1:10" ht="13.5" customHeight="1" x14ac:dyDescent="0.3">
      <c r="A499" t="s">
        <v>921</v>
      </c>
      <c r="B499" s="193" t="str">
        <f t="shared" si="19"/>
        <v>2026-04</v>
      </c>
      <c r="C499" s="258">
        <f t="shared" si="20"/>
        <v>46113</v>
      </c>
      <c r="D499" t="s">
        <v>924</v>
      </c>
      <c r="E499" s="193" t="str">
        <f>IFERROR(INDEX(Datos!$D$69:$AL$69,MATCH(DATE(YEAR(RPT_MONTH),MONTH(RPT_MONTH)-6,1),Datos!$D$3:$AL$3,0)),"")</f>
        <v/>
      </c>
      <c r="H499" t="s">
        <v>100</v>
      </c>
      <c r="I499" t="s">
        <v>95</v>
      </c>
      <c r="J499" s="258">
        <f t="shared" si="8"/>
        <v>46296</v>
      </c>
    </row>
    <row r="500" spans="1:10" ht="13.5" customHeight="1" x14ac:dyDescent="0.3">
      <c r="A500" t="s">
        <v>921</v>
      </c>
      <c r="B500" s="193" t="str">
        <f t="shared" si="19"/>
        <v>2026-04</v>
      </c>
      <c r="C500" s="258">
        <f t="shared" si="20"/>
        <v>46113</v>
      </c>
      <c r="D500" t="s">
        <v>925</v>
      </c>
      <c r="E500" s="193" t="str">
        <f>IFERROR(INDEX(Datos!$D$71:$AL$71,MATCH(DATE(YEAR(RPT_MONTH),MONTH(RPT_MONTH)-6,1),Datos!$D$3:$AL$3,0)),"")</f>
        <v/>
      </c>
      <c r="H500" t="s">
        <v>100</v>
      </c>
      <c r="I500" t="s">
        <v>95</v>
      </c>
      <c r="J500" s="258">
        <f t="shared" si="8"/>
        <v>46296</v>
      </c>
    </row>
    <row r="501" spans="1:10" ht="13.5" customHeight="1" x14ac:dyDescent="0.3">
      <c r="A501" t="s">
        <v>921</v>
      </c>
      <c r="B501" s="193" t="str">
        <f t="shared" si="19"/>
        <v>2026-04</v>
      </c>
      <c r="C501" s="258">
        <f t="shared" si="20"/>
        <v>46113</v>
      </c>
      <c r="D501" t="s">
        <v>926</v>
      </c>
      <c r="E501" s="193" t="str">
        <f>IFERROR(INDEX(Datos!$D$72:$AL$72,MATCH(DATE(YEAR(RPT_MONTH),MONTH(RPT_MONTH)-6,1),Datos!$D$3:$AL$3,0)),"")</f>
        <v/>
      </c>
      <c r="H501" t="s">
        <v>100</v>
      </c>
      <c r="I501" t="s">
        <v>95</v>
      </c>
      <c r="J501" s="258">
        <f t="shared" si="8"/>
        <v>46296</v>
      </c>
    </row>
    <row r="502" spans="1:10" ht="13.5" customHeight="1" x14ac:dyDescent="0.3">
      <c r="A502" t="s">
        <v>921</v>
      </c>
      <c r="B502" s="193" t="str">
        <f t="shared" si="19"/>
        <v>2026-04</v>
      </c>
      <c r="C502" s="258">
        <f t="shared" si="20"/>
        <v>46113</v>
      </c>
      <c r="D502" t="s">
        <v>927</v>
      </c>
      <c r="E502" s="193" t="str">
        <f>IFERROR(INDEX(Datos!$D$73:$AL$73,MATCH(DATE(YEAR(RPT_MONTH),MONTH(RPT_MONTH)-6,1),Datos!$D$3:$AL$3,0)),"")</f>
        <v/>
      </c>
      <c r="H502" t="s">
        <v>100</v>
      </c>
      <c r="I502" t="s">
        <v>95</v>
      </c>
      <c r="J502" s="258">
        <f t="shared" si="8"/>
        <v>46296</v>
      </c>
    </row>
    <row r="503" spans="1:10" ht="13.5" customHeight="1" x14ac:dyDescent="0.3">
      <c r="A503" t="s">
        <v>921</v>
      </c>
      <c r="B503" s="193" t="str">
        <f t="shared" si="19"/>
        <v>2026-04</v>
      </c>
      <c r="C503" s="258">
        <f t="shared" si="20"/>
        <v>46113</v>
      </c>
      <c r="D503" t="s">
        <v>928</v>
      </c>
      <c r="E503" s="193" t="str">
        <f>IFERROR(INDEX(Datos!$D$75:$AL$75,MATCH(DATE(YEAR(RPT_MONTH),MONTH(RPT_MONTH)-6,1),Datos!$D$3:$AL$3,0)),"")</f>
        <v/>
      </c>
      <c r="H503" t="s">
        <v>100</v>
      </c>
      <c r="I503" t="s">
        <v>95</v>
      </c>
      <c r="J503" s="258">
        <f t="shared" si="8"/>
        <v>46296</v>
      </c>
    </row>
    <row r="504" spans="1:10" ht="13.5" customHeight="1" x14ac:dyDescent="0.3">
      <c r="A504" t="s">
        <v>921</v>
      </c>
      <c r="B504" s="193" t="str">
        <f t="shared" si="19"/>
        <v>2026-04</v>
      </c>
      <c r="C504" s="258">
        <f t="shared" si="20"/>
        <v>46113</v>
      </c>
      <c r="D504" t="s">
        <v>929</v>
      </c>
      <c r="E504" s="193" t="str">
        <f>IFERROR(INDEX(Datos!$D$76:$AL$76,MATCH(DATE(YEAR(RPT_MONTH),MONTH(RPT_MONTH)-6,1),Datos!$D$3:$AL$3,0)),"")</f>
        <v/>
      </c>
      <c r="H504" t="s">
        <v>100</v>
      </c>
      <c r="I504" t="s">
        <v>95</v>
      </c>
      <c r="J504" s="258">
        <f t="shared" si="8"/>
        <v>46296</v>
      </c>
    </row>
    <row r="505" spans="1:10" ht="13.5" customHeight="1" x14ac:dyDescent="0.3">
      <c r="A505" t="s">
        <v>921</v>
      </c>
      <c r="B505" s="193" t="str">
        <f t="shared" ref="B505:B512" si="21">YEAR(DATE(YEAR(RPT_MONTH),MONTH(RPT_MONTH)-5,1))&amp;"-"&amp;RIGHT("0"&amp;MONTH(DATE(YEAR(RPT_MONTH),MONTH(RPT_MONTH)-5,1)),2)</f>
        <v>2026-05</v>
      </c>
      <c r="C505" s="258">
        <f t="shared" ref="C505:C512" si="22">DATE(YEAR(RPT_MONTH),MONTH(RPT_MONTH)-5,1)</f>
        <v>46143</v>
      </c>
      <c r="D505" t="s">
        <v>922</v>
      </c>
      <c r="E505" s="193" t="str">
        <f>IFERROR(INDEX(Datos!$D$70:$AL$70,MATCH(DATE(YEAR(RPT_MONTH),MONTH(RPT_MONTH)-5,1),Datos!$D$3:$AL$3,0)),"")</f>
        <v/>
      </c>
      <c r="H505" t="s">
        <v>100</v>
      </c>
      <c r="I505" t="s">
        <v>95</v>
      </c>
      <c r="J505" s="258">
        <f t="shared" si="8"/>
        <v>46296</v>
      </c>
    </row>
    <row r="506" spans="1:10" ht="13.5" customHeight="1" x14ac:dyDescent="0.3">
      <c r="A506" t="s">
        <v>921</v>
      </c>
      <c r="B506" s="193" t="str">
        <f t="shared" si="21"/>
        <v>2026-05</v>
      </c>
      <c r="C506" s="258">
        <f t="shared" si="22"/>
        <v>46143</v>
      </c>
      <c r="D506" t="s">
        <v>923</v>
      </c>
      <c r="E506" s="193" t="str">
        <f>IFERROR(INDEX(Datos!$D$67:$AL$67,MATCH(DATE(YEAR(RPT_MONTH),MONTH(RPT_MONTH)-5,1),Datos!$D$3:$AL$3,0)),"")</f>
        <v/>
      </c>
      <c r="H506" t="s">
        <v>100</v>
      </c>
      <c r="I506" t="s">
        <v>95</v>
      </c>
      <c r="J506" s="258">
        <f t="shared" si="8"/>
        <v>46296</v>
      </c>
    </row>
    <row r="507" spans="1:10" ht="13.5" customHeight="1" x14ac:dyDescent="0.3">
      <c r="A507" t="s">
        <v>921</v>
      </c>
      <c r="B507" s="193" t="str">
        <f t="shared" si="21"/>
        <v>2026-05</v>
      </c>
      <c r="C507" s="258">
        <f t="shared" si="22"/>
        <v>46143</v>
      </c>
      <c r="D507" t="s">
        <v>924</v>
      </c>
      <c r="E507" s="193" t="str">
        <f>IFERROR(INDEX(Datos!$D$69:$AL$69,MATCH(DATE(YEAR(RPT_MONTH),MONTH(RPT_MONTH)-5,1),Datos!$D$3:$AL$3,0)),"")</f>
        <v/>
      </c>
      <c r="H507" t="s">
        <v>100</v>
      </c>
      <c r="I507" t="s">
        <v>95</v>
      </c>
      <c r="J507" s="258">
        <f t="shared" si="8"/>
        <v>46296</v>
      </c>
    </row>
    <row r="508" spans="1:10" ht="13.5" customHeight="1" x14ac:dyDescent="0.3">
      <c r="A508" t="s">
        <v>921</v>
      </c>
      <c r="B508" s="193" t="str">
        <f t="shared" si="21"/>
        <v>2026-05</v>
      </c>
      <c r="C508" s="258">
        <f t="shared" si="22"/>
        <v>46143</v>
      </c>
      <c r="D508" t="s">
        <v>925</v>
      </c>
      <c r="E508" s="193" t="str">
        <f>IFERROR(INDEX(Datos!$D$71:$AL$71,MATCH(DATE(YEAR(RPT_MONTH),MONTH(RPT_MONTH)-5,1),Datos!$D$3:$AL$3,0)),"")</f>
        <v/>
      </c>
      <c r="H508" t="s">
        <v>100</v>
      </c>
      <c r="I508" t="s">
        <v>95</v>
      </c>
      <c r="J508" s="258">
        <f t="shared" si="8"/>
        <v>46296</v>
      </c>
    </row>
    <row r="509" spans="1:10" ht="13.5" customHeight="1" x14ac:dyDescent="0.3">
      <c r="A509" t="s">
        <v>921</v>
      </c>
      <c r="B509" s="193" t="str">
        <f t="shared" si="21"/>
        <v>2026-05</v>
      </c>
      <c r="C509" s="258">
        <f t="shared" si="22"/>
        <v>46143</v>
      </c>
      <c r="D509" t="s">
        <v>926</v>
      </c>
      <c r="E509" s="193" t="str">
        <f>IFERROR(INDEX(Datos!$D$72:$AL$72,MATCH(DATE(YEAR(RPT_MONTH),MONTH(RPT_MONTH)-5,1),Datos!$D$3:$AL$3,0)),"")</f>
        <v/>
      </c>
      <c r="H509" t="s">
        <v>100</v>
      </c>
      <c r="I509" t="s">
        <v>95</v>
      </c>
      <c r="J509" s="258">
        <f t="shared" si="8"/>
        <v>46296</v>
      </c>
    </row>
    <row r="510" spans="1:10" ht="13.5" customHeight="1" x14ac:dyDescent="0.3">
      <c r="A510" t="s">
        <v>921</v>
      </c>
      <c r="B510" s="193" t="str">
        <f t="shared" si="21"/>
        <v>2026-05</v>
      </c>
      <c r="C510" s="258">
        <f t="shared" si="22"/>
        <v>46143</v>
      </c>
      <c r="D510" t="s">
        <v>927</v>
      </c>
      <c r="E510" s="193" t="str">
        <f>IFERROR(INDEX(Datos!$D$73:$AL$73,MATCH(DATE(YEAR(RPT_MONTH),MONTH(RPT_MONTH)-5,1),Datos!$D$3:$AL$3,0)),"")</f>
        <v/>
      </c>
      <c r="H510" t="s">
        <v>100</v>
      </c>
      <c r="I510" t="s">
        <v>95</v>
      </c>
      <c r="J510" s="258">
        <f t="shared" si="8"/>
        <v>46296</v>
      </c>
    </row>
    <row r="511" spans="1:10" ht="13.5" customHeight="1" x14ac:dyDescent="0.3">
      <c r="A511" t="s">
        <v>921</v>
      </c>
      <c r="B511" s="193" t="str">
        <f t="shared" si="21"/>
        <v>2026-05</v>
      </c>
      <c r="C511" s="258">
        <f t="shared" si="22"/>
        <v>46143</v>
      </c>
      <c r="D511" t="s">
        <v>928</v>
      </c>
      <c r="E511" s="193" t="str">
        <f>IFERROR(INDEX(Datos!$D$75:$AL$75,MATCH(DATE(YEAR(RPT_MONTH),MONTH(RPT_MONTH)-5,1),Datos!$D$3:$AL$3,0)),"")</f>
        <v/>
      </c>
      <c r="H511" t="s">
        <v>100</v>
      </c>
      <c r="I511" t="s">
        <v>95</v>
      </c>
      <c r="J511" s="258">
        <f t="shared" si="8"/>
        <v>46296</v>
      </c>
    </row>
    <row r="512" spans="1:10" ht="13.5" customHeight="1" x14ac:dyDescent="0.3">
      <c r="A512" t="s">
        <v>921</v>
      </c>
      <c r="B512" s="193" t="str">
        <f t="shared" si="21"/>
        <v>2026-05</v>
      </c>
      <c r="C512" s="258">
        <f t="shared" si="22"/>
        <v>46143</v>
      </c>
      <c r="D512" t="s">
        <v>929</v>
      </c>
      <c r="E512" s="193" t="str">
        <f>IFERROR(INDEX(Datos!$D$76:$AL$76,MATCH(DATE(YEAR(RPT_MONTH),MONTH(RPT_MONTH)-5,1),Datos!$D$3:$AL$3,0)),"")</f>
        <v/>
      </c>
      <c r="H512" t="s">
        <v>100</v>
      </c>
      <c r="I512" t="s">
        <v>95</v>
      </c>
      <c r="J512" s="258">
        <f t="shared" si="8"/>
        <v>46296</v>
      </c>
    </row>
    <row r="513" spans="1:10" ht="13.5" customHeight="1" x14ac:dyDescent="0.3">
      <c r="A513" t="s">
        <v>921</v>
      </c>
      <c r="B513" s="193" t="str">
        <f t="shared" ref="B513:B520" si="23">YEAR(DATE(YEAR(RPT_MONTH),MONTH(RPT_MONTH)-4,1))&amp;"-"&amp;RIGHT("0"&amp;MONTH(DATE(YEAR(RPT_MONTH),MONTH(RPT_MONTH)-4,1)),2)</f>
        <v>2026-06</v>
      </c>
      <c r="C513" s="258">
        <f t="shared" ref="C513:C520" si="24">DATE(YEAR(RPT_MONTH),MONTH(RPT_MONTH)-4,1)</f>
        <v>46174</v>
      </c>
      <c r="D513" t="s">
        <v>922</v>
      </c>
      <c r="E513" s="193" t="str">
        <f>IFERROR(INDEX(Datos!$D$70:$AL$70,MATCH(DATE(YEAR(RPT_MONTH),MONTH(RPT_MONTH)-4,1),Datos!$D$3:$AL$3,0)),"")</f>
        <v/>
      </c>
      <c r="H513" t="s">
        <v>100</v>
      </c>
      <c r="I513" t="s">
        <v>95</v>
      </c>
      <c r="J513" s="258">
        <f t="shared" si="8"/>
        <v>46296</v>
      </c>
    </row>
    <row r="514" spans="1:10" ht="13.5" customHeight="1" x14ac:dyDescent="0.3">
      <c r="A514" t="s">
        <v>921</v>
      </c>
      <c r="B514" s="193" t="str">
        <f t="shared" si="23"/>
        <v>2026-06</v>
      </c>
      <c r="C514" s="258">
        <f t="shared" si="24"/>
        <v>46174</v>
      </c>
      <c r="D514" t="s">
        <v>923</v>
      </c>
      <c r="E514" s="193" t="str">
        <f>IFERROR(INDEX(Datos!$D$67:$AL$67,MATCH(DATE(YEAR(RPT_MONTH),MONTH(RPT_MONTH)-4,1),Datos!$D$3:$AL$3,0)),"")</f>
        <v/>
      </c>
      <c r="H514" t="s">
        <v>100</v>
      </c>
      <c r="I514" t="s">
        <v>95</v>
      </c>
      <c r="J514" s="258">
        <f t="shared" ref="J514:J577" si="25">RPT_MONTH</f>
        <v>46296</v>
      </c>
    </row>
    <row r="515" spans="1:10" ht="13.5" customHeight="1" x14ac:dyDescent="0.3">
      <c r="A515" t="s">
        <v>921</v>
      </c>
      <c r="B515" s="193" t="str">
        <f t="shared" si="23"/>
        <v>2026-06</v>
      </c>
      <c r="C515" s="258">
        <f t="shared" si="24"/>
        <v>46174</v>
      </c>
      <c r="D515" t="s">
        <v>924</v>
      </c>
      <c r="E515" s="193" t="str">
        <f>IFERROR(INDEX(Datos!$D$69:$AL$69,MATCH(DATE(YEAR(RPT_MONTH),MONTH(RPT_MONTH)-4,1),Datos!$D$3:$AL$3,0)),"")</f>
        <v/>
      </c>
      <c r="H515" t="s">
        <v>100</v>
      </c>
      <c r="I515" t="s">
        <v>95</v>
      </c>
      <c r="J515" s="258">
        <f t="shared" si="25"/>
        <v>46296</v>
      </c>
    </row>
    <row r="516" spans="1:10" ht="13.5" customHeight="1" x14ac:dyDescent="0.3">
      <c r="A516" t="s">
        <v>921</v>
      </c>
      <c r="B516" s="193" t="str">
        <f t="shared" si="23"/>
        <v>2026-06</v>
      </c>
      <c r="C516" s="258">
        <f t="shared" si="24"/>
        <v>46174</v>
      </c>
      <c r="D516" t="s">
        <v>925</v>
      </c>
      <c r="E516" s="193" t="str">
        <f>IFERROR(INDEX(Datos!$D$71:$AL$71,MATCH(DATE(YEAR(RPT_MONTH),MONTH(RPT_MONTH)-4,1),Datos!$D$3:$AL$3,0)),"")</f>
        <v/>
      </c>
      <c r="H516" t="s">
        <v>100</v>
      </c>
      <c r="I516" t="s">
        <v>95</v>
      </c>
      <c r="J516" s="258">
        <f t="shared" si="25"/>
        <v>46296</v>
      </c>
    </row>
    <row r="517" spans="1:10" ht="13.5" customHeight="1" x14ac:dyDescent="0.3">
      <c r="A517" t="s">
        <v>921</v>
      </c>
      <c r="B517" s="193" t="str">
        <f t="shared" si="23"/>
        <v>2026-06</v>
      </c>
      <c r="C517" s="258">
        <f t="shared" si="24"/>
        <v>46174</v>
      </c>
      <c r="D517" t="s">
        <v>926</v>
      </c>
      <c r="E517" s="193" t="str">
        <f>IFERROR(INDEX(Datos!$D$72:$AL$72,MATCH(DATE(YEAR(RPT_MONTH),MONTH(RPT_MONTH)-4,1),Datos!$D$3:$AL$3,0)),"")</f>
        <v/>
      </c>
      <c r="H517" t="s">
        <v>100</v>
      </c>
      <c r="I517" t="s">
        <v>95</v>
      </c>
      <c r="J517" s="258">
        <f t="shared" si="25"/>
        <v>46296</v>
      </c>
    </row>
    <row r="518" spans="1:10" ht="13.5" customHeight="1" x14ac:dyDescent="0.3">
      <c r="A518" t="s">
        <v>921</v>
      </c>
      <c r="B518" s="193" t="str">
        <f t="shared" si="23"/>
        <v>2026-06</v>
      </c>
      <c r="C518" s="258">
        <f t="shared" si="24"/>
        <v>46174</v>
      </c>
      <c r="D518" t="s">
        <v>927</v>
      </c>
      <c r="E518" s="193" t="str">
        <f>IFERROR(INDEX(Datos!$D$73:$AL$73,MATCH(DATE(YEAR(RPT_MONTH),MONTH(RPT_MONTH)-4,1),Datos!$D$3:$AL$3,0)),"")</f>
        <v/>
      </c>
      <c r="H518" t="s">
        <v>100</v>
      </c>
      <c r="I518" t="s">
        <v>95</v>
      </c>
      <c r="J518" s="258">
        <f t="shared" si="25"/>
        <v>46296</v>
      </c>
    </row>
    <row r="519" spans="1:10" ht="13.5" customHeight="1" x14ac:dyDescent="0.3">
      <c r="A519" t="s">
        <v>921</v>
      </c>
      <c r="B519" s="193" t="str">
        <f t="shared" si="23"/>
        <v>2026-06</v>
      </c>
      <c r="C519" s="258">
        <f t="shared" si="24"/>
        <v>46174</v>
      </c>
      <c r="D519" t="s">
        <v>928</v>
      </c>
      <c r="E519" s="193" t="str">
        <f>IFERROR(INDEX(Datos!$D$75:$AL$75,MATCH(DATE(YEAR(RPT_MONTH),MONTH(RPT_MONTH)-4,1),Datos!$D$3:$AL$3,0)),"")</f>
        <v/>
      </c>
      <c r="H519" t="s">
        <v>100</v>
      </c>
      <c r="I519" t="s">
        <v>95</v>
      </c>
      <c r="J519" s="258">
        <f t="shared" si="25"/>
        <v>46296</v>
      </c>
    </row>
    <row r="520" spans="1:10" ht="13.5" customHeight="1" x14ac:dyDescent="0.3">
      <c r="A520" t="s">
        <v>921</v>
      </c>
      <c r="B520" s="193" t="str">
        <f t="shared" si="23"/>
        <v>2026-06</v>
      </c>
      <c r="C520" s="258">
        <f t="shared" si="24"/>
        <v>46174</v>
      </c>
      <c r="D520" t="s">
        <v>929</v>
      </c>
      <c r="E520" s="193" t="str">
        <f>IFERROR(INDEX(Datos!$D$76:$AL$76,MATCH(DATE(YEAR(RPT_MONTH),MONTH(RPT_MONTH)-4,1),Datos!$D$3:$AL$3,0)),"")</f>
        <v/>
      </c>
      <c r="H520" t="s">
        <v>100</v>
      </c>
      <c r="I520" t="s">
        <v>95</v>
      </c>
      <c r="J520" s="258">
        <f t="shared" si="25"/>
        <v>46296</v>
      </c>
    </row>
    <row r="521" spans="1:10" ht="13.5" customHeight="1" x14ac:dyDescent="0.3">
      <c r="A521" t="s">
        <v>921</v>
      </c>
      <c r="B521" s="193" t="str">
        <f t="shared" ref="B521:B528" si="26">YEAR(DATE(YEAR(RPT_MONTH),MONTH(RPT_MONTH)-3,1))&amp;"-"&amp;RIGHT("0"&amp;MONTH(DATE(YEAR(RPT_MONTH),MONTH(RPT_MONTH)-3,1)),2)</f>
        <v>2026-07</v>
      </c>
      <c r="C521" s="258">
        <f t="shared" ref="C521:C528" si="27">DATE(YEAR(RPT_MONTH),MONTH(RPT_MONTH)-3,1)</f>
        <v>46204</v>
      </c>
      <c r="D521" t="s">
        <v>922</v>
      </c>
      <c r="E521" s="193" t="str">
        <f>IFERROR(INDEX(Datos!$D$70:$AL$70,MATCH(DATE(YEAR(RPT_MONTH),MONTH(RPT_MONTH)-3,1),Datos!$D$3:$AL$3,0)),"")</f>
        <v/>
      </c>
      <c r="H521" t="s">
        <v>100</v>
      </c>
      <c r="I521" t="s">
        <v>95</v>
      </c>
      <c r="J521" s="258">
        <f t="shared" si="25"/>
        <v>46296</v>
      </c>
    </row>
    <row r="522" spans="1:10" ht="13.5" customHeight="1" x14ac:dyDescent="0.3">
      <c r="A522" t="s">
        <v>921</v>
      </c>
      <c r="B522" s="193" t="str">
        <f t="shared" si="26"/>
        <v>2026-07</v>
      </c>
      <c r="C522" s="258">
        <f t="shared" si="27"/>
        <v>46204</v>
      </c>
      <c r="D522" t="s">
        <v>923</v>
      </c>
      <c r="E522" s="193" t="str">
        <f>IFERROR(INDEX(Datos!$D$67:$AL$67,MATCH(DATE(YEAR(RPT_MONTH),MONTH(RPT_MONTH)-3,1),Datos!$D$3:$AL$3,0)),"")</f>
        <v/>
      </c>
      <c r="H522" t="s">
        <v>100</v>
      </c>
      <c r="I522" t="s">
        <v>95</v>
      </c>
      <c r="J522" s="258">
        <f t="shared" si="25"/>
        <v>46296</v>
      </c>
    </row>
    <row r="523" spans="1:10" ht="13.5" customHeight="1" x14ac:dyDescent="0.3">
      <c r="A523" t="s">
        <v>921</v>
      </c>
      <c r="B523" s="193" t="str">
        <f t="shared" si="26"/>
        <v>2026-07</v>
      </c>
      <c r="C523" s="258">
        <f t="shared" si="27"/>
        <v>46204</v>
      </c>
      <c r="D523" t="s">
        <v>924</v>
      </c>
      <c r="E523" s="193" t="str">
        <f>IFERROR(INDEX(Datos!$D$69:$AL$69,MATCH(DATE(YEAR(RPT_MONTH),MONTH(RPT_MONTH)-3,1),Datos!$D$3:$AL$3,0)),"")</f>
        <v/>
      </c>
      <c r="H523" t="s">
        <v>100</v>
      </c>
      <c r="I523" t="s">
        <v>95</v>
      </c>
      <c r="J523" s="258">
        <f t="shared" si="25"/>
        <v>46296</v>
      </c>
    </row>
    <row r="524" spans="1:10" ht="13.5" customHeight="1" x14ac:dyDescent="0.3">
      <c r="A524" t="s">
        <v>921</v>
      </c>
      <c r="B524" s="193" t="str">
        <f t="shared" si="26"/>
        <v>2026-07</v>
      </c>
      <c r="C524" s="258">
        <f t="shared" si="27"/>
        <v>46204</v>
      </c>
      <c r="D524" t="s">
        <v>925</v>
      </c>
      <c r="E524" s="193" t="str">
        <f>IFERROR(INDEX(Datos!$D$71:$AL$71,MATCH(DATE(YEAR(RPT_MONTH),MONTH(RPT_MONTH)-3,1),Datos!$D$3:$AL$3,0)),"")</f>
        <v/>
      </c>
      <c r="H524" t="s">
        <v>100</v>
      </c>
      <c r="I524" t="s">
        <v>95</v>
      </c>
      <c r="J524" s="258">
        <f t="shared" si="25"/>
        <v>46296</v>
      </c>
    </row>
    <row r="525" spans="1:10" ht="13.5" customHeight="1" x14ac:dyDescent="0.3">
      <c r="A525" t="s">
        <v>921</v>
      </c>
      <c r="B525" s="193" t="str">
        <f t="shared" si="26"/>
        <v>2026-07</v>
      </c>
      <c r="C525" s="258">
        <f t="shared" si="27"/>
        <v>46204</v>
      </c>
      <c r="D525" t="s">
        <v>926</v>
      </c>
      <c r="E525" s="193" t="str">
        <f>IFERROR(INDEX(Datos!$D$72:$AL$72,MATCH(DATE(YEAR(RPT_MONTH),MONTH(RPT_MONTH)-3,1),Datos!$D$3:$AL$3,0)),"")</f>
        <v/>
      </c>
      <c r="H525" t="s">
        <v>100</v>
      </c>
      <c r="I525" t="s">
        <v>95</v>
      </c>
      <c r="J525" s="258">
        <f t="shared" si="25"/>
        <v>46296</v>
      </c>
    </row>
    <row r="526" spans="1:10" ht="13.5" customHeight="1" x14ac:dyDescent="0.3">
      <c r="A526" t="s">
        <v>921</v>
      </c>
      <c r="B526" s="193" t="str">
        <f t="shared" si="26"/>
        <v>2026-07</v>
      </c>
      <c r="C526" s="258">
        <f t="shared" si="27"/>
        <v>46204</v>
      </c>
      <c r="D526" t="s">
        <v>927</v>
      </c>
      <c r="E526" s="193" t="str">
        <f>IFERROR(INDEX(Datos!$D$73:$AL$73,MATCH(DATE(YEAR(RPT_MONTH),MONTH(RPT_MONTH)-3,1),Datos!$D$3:$AL$3,0)),"")</f>
        <v/>
      </c>
      <c r="H526" t="s">
        <v>100</v>
      </c>
      <c r="I526" t="s">
        <v>95</v>
      </c>
      <c r="J526" s="258">
        <f t="shared" si="25"/>
        <v>46296</v>
      </c>
    </row>
    <row r="527" spans="1:10" ht="13.5" customHeight="1" x14ac:dyDescent="0.3">
      <c r="A527" t="s">
        <v>921</v>
      </c>
      <c r="B527" s="193" t="str">
        <f t="shared" si="26"/>
        <v>2026-07</v>
      </c>
      <c r="C527" s="258">
        <f t="shared" si="27"/>
        <v>46204</v>
      </c>
      <c r="D527" t="s">
        <v>928</v>
      </c>
      <c r="E527" s="193" t="str">
        <f>IFERROR(INDEX(Datos!$D$75:$AL$75,MATCH(DATE(YEAR(RPT_MONTH),MONTH(RPT_MONTH)-3,1),Datos!$D$3:$AL$3,0)),"")</f>
        <v/>
      </c>
      <c r="H527" t="s">
        <v>100</v>
      </c>
      <c r="I527" t="s">
        <v>95</v>
      </c>
      <c r="J527" s="258">
        <f t="shared" si="25"/>
        <v>46296</v>
      </c>
    </row>
    <row r="528" spans="1:10" ht="13.5" customHeight="1" x14ac:dyDescent="0.3">
      <c r="A528" t="s">
        <v>921</v>
      </c>
      <c r="B528" s="193" t="str">
        <f t="shared" si="26"/>
        <v>2026-07</v>
      </c>
      <c r="C528" s="258">
        <f t="shared" si="27"/>
        <v>46204</v>
      </c>
      <c r="D528" t="s">
        <v>929</v>
      </c>
      <c r="E528" s="193" t="str">
        <f>IFERROR(INDEX(Datos!$D$76:$AL$76,MATCH(DATE(YEAR(RPT_MONTH),MONTH(RPT_MONTH)-3,1),Datos!$D$3:$AL$3,0)),"")</f>
        <v/>
      </c>
      <c r="H528" t="s">
        <v>100</v>
      </c>
      <c r="I528" t="s">
        <v>95</v>
      </c>
      <c r="J528" s="258">
        <f t="shared" si="25"/>
        <v>46296</v>
      </c>
    </row>
    <row r="529" spans="1:10" ht="13.5" customHeight="1" x14ac:dyDescent="0.3">
      <c r="A529" t="s">
        <v>921</v>
      </c>
      <c r="B529" s="193" t="str">
        <f t="shared" ref="B529:B536" si="28">YEAR(DATE(YEAR(RPT_MONTH),MONTH(RPT_MONTH)-2,1))&amp;"-"&amp;RIGHT("0"&amp;MONTH(DATE(YEAR(RPT_MONTH),MONTH(RPT_MONTH)-2,1)),2)</f>
        <v>2026-08</v>
      </c>
      <c r="C529" s="258">
        <f t="shared" ref="C529:C536" si="29">DATE(YEAR(RPT_MONTH),MONTH(RPT_MONTH)-2,1)</f>
        <v>46235</v>
      </c>
      <c r="D529" t="s">
        <v>922</v>
      </c>
      <c r="E529" s="193">
        <f>IFERROR(INDEX(Datos!$D$70:$AL$70,MATCH(DATE(YEAR(RPT_MONTH),MONTH(RPT_MONTH)-2,1),Datos!$D$3:$AL$3,0)),"")</f>
        <v>32</v>
      </c>
      <c r="H529" t="s">
        <v>100</v>
      </c>
      <c r="I529" t="s">
        <v>95</v>
      </c>
      <c r="J529" s="258">
        <f t="shared" si="25"/>
        <v>46296</v>
      </c>
    </row>
    <row r="530" spans="1:10" ht="13.5" customHeight="1" x14ac:dyDescent="0.3">
      <c r="A530" t="s">
        <v>921</v>
      </c>
      <c r="B530" s="193" t="str">
        <f t="shared" si="28"/>
        <v>2026-08</v>
      </c>
      <c r="C530" s="258">
        <f t="shared" si="29"/>
        <v>46235</v>
      </c>
      <c r="D530" t="s">
        <v>923</v>
      </c>
      <c r="E530" s="193">
        <f>IFERROR(INDEX(Datos!$D$67:$AL$67,MATCH(DATE(YEAR(RPT_MONTH),MONTH(RPT_MONTH)-2,1),Datos!$D$3:$AL$3,0)),"")</f>
        <v>26</v>
      </c>
      <c r="H530" t="s">
        <v>100</v>
      </c>
      <c r="I530" t="s">
        <v>95</v>
      </c>
      <c r="J530" s="258">
        <f t="shared" si="25"/>
        <v>46296</v>
      </c>
    </row>
    <row r="531" spans="1:10" ht="13.5" customHeight="1" x14ac:dyDescent="0.3">
      <c r="A531" t="s">
        <v>921</v>
      </c>
      <c r="B531" s="193" t="str">
        <f t="shared" si="28"/>
        <v>2026-08</v>
      </c>
      <c r="C531" s="258">
        <f t="shared" si="29"/>
        <v>46235</v>
      </c>
      <c r="D531" t="s">
        <v>924</v>
      </c>
      <c r="E531" s="193">
        <f>IFERROR(INDEX(Datos!$D$69:$AL$69,MATCH(DATE(YEAR(RPT_MONTH),MONTH(RPT_MONTH)-2,1),Datos!$D$3:$AL$3,0)),"")</f>
        <v>6</v>
      </c>
      <c r="H531" t="s">
        <v>100</v>
      </c>
      <c r="I531" t="s">
        <v>95</v>
      </c>
      <c r="J531" s="258">
        <f t="shared" si="25"/>
        <v>46296</v>
      </c>
    </row>
    <row r="532" spans="1:10" ht="13.5" customHeight="1" x14ac:dyDescent="0.3">
      <c r="A532" t="s">
        <v>921</v>
      </c>
      <c r="B532" s="193" t="str">
        <f t="shared" si="28"/>
        <v>2026-08</v>
      </c>
      <c r="C532" s="258">
        <f t="shared" si="29"/>
        <v>46235</v>
      </c>
      <c r="D532" t="s">
        <v>925</v>
      </c>
      <c r="E532" s="193">
        <f>IFERROR(INDEX(Datos!$D$71:$AL$71,MATCH(DATE(YEAR(RPT_MONTH),MONTH(RPT_MONTH)-2,1),Datos!$D$3:$AL$3,0)),"")</f>
        <v>0</v>
      </c>
      <c r="H532" t="s">
        <v>100</v>
      </c>
      <c r="I532" t="s">
        <v>95</v>
      </c>
      <c r="J532" s="258">
        <f t="shared" si="25"/>
        <v>46296</v>
      </c>
    </row>
    <row r="533" spans="1:10" ht="13.5" customHeight="1" x14ac:dyDescent="0.3">
      <c r="A533" t="s">
        <v>921</v>
      </c>
      <c r="B533" s="193" t="str">
        <f t="shared" si="28"/>
        <v>2026-08</v>
      </c>
      <c r="C533" s="258">
        <f t="shared" si="29"/>
        <v>46235</v>
      </c>
      <c r="D533" t="s">
        <v>926</v>
      </c>
      <c r="E533" s="193">
        <f>IFERROR(INDEX(Datos!$D$72:$AL$72,MATCH(DATE(YEAR(RPT_MONTH),MONTH(RPT_MONTH)-2,1),Datos!$D$3:$AL$3,0)),"")</f>
        <v>0</v>
      </c>
      <c r="H533" t="s">
        <v>100</v>
      </c>
      <c r="I533" t="s">
        <v>95</v>
      </c>
      <c r="J533" s="258">
        <f t="shared" si="25"/>
        <v>46296</v>
      </c>
    </row>
    <row r="534" spans="1:10" ht="13.5" customHeight="1" x14ac:dyDescent="0.3">
      <c r="A534" t="s">
        <v>921</v>
      </c>
      <c r="B534" s="193" t="str">
        <f t="shared" si="28"/>
        <v>2026-08</v>
      </c>
      <c r="C534" s="258">
        <f t="shared" si="29"/>
        <v>46235</v>
      </c>
      <c r="D534" t="s">
        <v>927</v>
      </c>
      <c r="E534" s="193">
        <f>IFERROR(INDEX(Datos!$D$73:$AL$73,MATCH(DATE(YEAR(RPT_MONTH),MONTH(RPT_MONTH)-2,1),Datos!$D$3:$AL$3,0)),"")</f>
        <v>0</v>
      </c>
      <c r="H534" t="s">
        <v>100</v>
      </c>
      <c r="I534" t="s">
        <v>95</v>
      </c>
      <c r="J534" s="258">
        <f t="shared" si="25"/>
        <v>46296</v>
      </c>
    </row>
    <row r="535" spans="1:10" ht="13.5" customHeight="1" x14ac:dyDescent="0.3">
      <c r="A535" t="s">
        <v>921</v>
      </c>
      <c r="B535" s="193" t="str">
        <f t="shared" si="28"/>
        <v>2026-08</v>
      </c>
      <c r="C535" s="258">
        <f t="shared" si="29"/>
        <v>46235</v>
      </c>
      <c r="D535" t="s">
        <v>928</v>
      </c>
      <c r="E535" s="193">
        <f>IFERROR(INDEX(Datos!$D$75:$AL$75,MATCH(DATE(YEAR(RPT_MONTH),MONTH(RPT_MONTH)-2,1),Datos!$D$3:$AL$3,0)),"")</f>
        <v>0</v>
      </c>
      <c r="H535" t="s">
        <v>100</v>
      </c>
      <c r="I535" t="s">
        <v>95</v>
      </c>
      <c r="J535" s="258">
        <f t="shared" si="25"/>
        <v>46296</v>
      </c>
    </row>
    <row r="536" spans="1:10" ht="13.5" customHeight="1" x14ac:dyDescent="0.3">
      <c r="A536" t="s">
        <v>921</v>
      </c>
      <c r="B536" s="193" t="str">
        <f t="shared" si="28"/>
        <v>2026-08</v>
      </c>
      <c r="C536" s="258">
        <f t="shared" si="29"/>
        <v>46235</v>
      </c>
      <c r="D536" t="s">
        <v>929</v>
      </c>
      <c r="E536" s="193">
        <f>IFERROR(INDEX(Datos!$D$76:$AL$76,MATCH(DATE(YEAR(RPT_MONTH),MONTH(RPT_MONTH)-2,1),Datos!$D$3:$AL$3,0)),"")</f>
        <v>0</v>
      </c>
      <c r="H536" t="s">
        <v>100</v>
      </c>
      <c r="I536" t="s">
        <v>95</v>
      </c>
      <c r="J536" s="258">
        <f t="shared" si="25"/>
        <v>46296</v>
      </c>
    </row>
    <row r="537" spans="1:10" ht="13.5" customHeight="1" x14ac:dyDescent="0.3">
      <c r="A537" t="s">
        <v>921</v>
      </c>
      <c r="B537" s="193" t="str">
        <f t="shared" ref="B537:B544" si="30">YEAR(DATE(YEAR(RPT_MONTH),MONTH(RPT_MONTH)-1,1))&amp;"-"&amp;RIGHT("0"&amp;MONTH(DATE(YEAR(RPT_MONTH),MONTH(RPT_MONTH)-1,1)),2)</f>
        <v>2026-09</v>
      </c>
      <c r="C537" s="258">
        <f t="shared" ref="C537:C544" si="31">DATE(YEAR(RPT_MONTH),MONTH(RPT_MONTH)-1,1)</f>
        <v>46266</v>
      </c>
      <c r="D537" t="s">
        <v>922</v>
      </c>
      <c r="E537" s="248">
        <f>IFERROR(INDEX(Datos!$D$70:$AL$70,MATCH(DATE(YEAR(RPT_MONTH),MONTH(RPT_MONTH)-1,1),Datos!$D$3:$AL$3,0)),"")</f>
        <v>29</v>
      </c>
      <c r="H537" t="s">
        <v>100</v>
      </c>
      <c r="I537" t="s">
        <v>95</v>
      </c>
      <c r="J537" s="258">
        <f t="shared" si="25"/>
        <v>46296</v>
      </c>
    </row>
    <row r="538" spans="1:10" ht="13.5" customHeight="1" x14ac:dyDescent="0.3">
      <c r="A538" t="s">
        <v>921</v>
      </c>
      <c r="B538" s="193" t="str">
        <f t="shared" si="30"/>
        <v>2026-09</v>
      </c>
      <c r="C538" s="258">
        <f t="shared" si="31"/>
        <v>46266</v>
      </c>
      <c r="D538" t="s">
        <v>923</v>
      </c>
      <c r="E538" s="248">
        <f>IFERROR(INDEX(Datos!$D$67:$AL$67,MATCH(DATE(YEAR(RPT_MONTH),MONTH(RPT_MONTH)-1,1),Datos!$D$3:$AL$3,0)),"")</f>
        <v>8</v>
      </c>
      <c r="H538" t="s">
        <v>100</v>
      </c>
      <c r="I538" t="s">
        <v>95</v>
      </c>
      <c r="J538" s="258">
        <f t="shared" si="25"/>
        <v>46296</v>
      </c>
    </row>
    <row r="539" spans="1:10" ht="13.5" customHeight="1" x14ac:dyDescent="0.3">
      <c r="A539" t="s">
        <v>921</v>
      </c>
      <c r="B539" s="193" t="str">
        <f t="shared" si="30"/>
        <v>2026-09</v>
      </c>
      <c r="C539" s="258">
        <f t="shared" si="31"/>
        <v>46266</v>
      </c>
      <c r="D539" t="s">
        <v>924</v>
      </c>
      <c r="E539" s="248">
        <f>IFERROR(INDEX(Datos!$D$69:$AL$69,MATCH(DATE(YEAR(RPT_MONTH),MONTH(RPT_MONTH)-1,1),Datos!$D$3:$AL$3,0)),"")</f>
        <v>21</v>
      </c>
      <c r="H539" t="s">
        <v>100</v>
      </c>
      <c r="I539" t="s">
        <v>95</v>
      </c>
      <c r="J539" s="258">
        <f t="shared" si="25"/>
        <v>46296</v>
      </c>
    </row>
    <row r="540" spans="1:10" ht="13.5" customHeight="1" x14ac:dyDescent="0.3">
      <c r="A540" t="s">
        <v>921</v>
      </c>
      <c r="B540" s="193" t="str">
        <f t="shared" si="30"/>
        <v>2026-09</v>
      </c>
      <c r="C540" s="258">
        <f t="shared" si="31"/>
        <v>46266</v>
      </c>
      <c r="D540" t="s">
        <v>925</v>
      </c>
      <c r="E540" s="248">
        <f>IFERROR(INDEX(Datos!$D$71:$AL$71,MATCH(DATE(YEAR(RPT_MONTH),MONTH(RPT_MONTH)-1,1),Datos!$D$3:$AL$3,0)),"")</f>
        <v>0</v>
      </c>
      <c r="H540" t="s">
        <v>100</v>
      </c>
      <c r="I540" t="s">
        <v>95</v>
      </c>
      <c r="J540" s="258">
        <f t="shared" si="25"/>
        <v>46296</v>
      </c>
    </row>
    <row r="541" spans="1:10" ht="13.5" customHeight="1" x14ac:dyDescent="0.3">
      <c r="A541" t="s">
        <v>921</v>
      </c>
      <c r="B541" s="193" t="str">
        <f t="shared" si="30"/>
        <v>2026-09</v>
      </c>
      <c r="C541" s="258">
        <f t="shared" si="31"/>
        <v>46266</v>
      </c>
      <c r="D541" t="s">
        <v>926</v>
      </c>
      <c r="E541" s="248">
        <f>IFERROR(INDEX(Datos!$D$72:$AL$72,MATCH(DATE(YEAR(RPT_MONTH),MONTH(RPT_MONTH)-1,1),Datos!$D$3:$AL$3,0)),"")</f>
        <v>0</v>
      </c>
      <c r="H541" t="s">
        <v>100</v>
      </c>
      <c r="I541" t="s">
        <v>95</v>
      </c>
      <c r="J541" s="258">
        <f t="shared" si="25"/>
        <v>46296</v>
      </c>
    </row>
    <row r="542" spans="1:10" ht="13.5" customHeight="1" x14ac:dyDescent="0.3">
      <c r="A542" t="s">
        <v>921</v>
      </c>
      <c r="B542" s="193" t="str">
        <f t="shared" si="30"/>
        <v>2026-09</v>
      </c>
      <c r="C542" s="258">
        <f t="shared" si="31"/>
        <v>46266</v>
      </c>
      <c r="D542" t="s">
        <v>927</v>
      </c>
      <c r="E542" s="248">
        <f>IFERROR(INDEX(Datos!$D$73:$AL$73,MATCH(DATE(YEAR(RPT_MONTH),MONTH(RPT_MONTH)-1,1),Datos!$D$3:$AL$3,0)),"")</f>
        <v>0</v>
      </c>
      <c r="H542" t="s">
        <v>100</v>
      </c>
      <c r="I542" t="s">
        <v>95</v>
      </c>
      <c r="J542" s="258">
        <f t="shared" si="25"/>
        <v>46296</v>
      </c>
    </row>
    <row r="543" spans="1:10" ht="13.5" customHeight="1" x14ac:dyDescent="0.3">
      <c r="A543" t="s">
        <v>921</v>
      </c>
      <c r="B543" s="193" t="str">
        <f t="shared" si="30"/>
        <v>2026-09</v>
      </c>
      <c r="C543" s="258">
        <f t="shared" si="31"/>
        <v>46266</v>
      </c>
      <c r="D543" t="s">
        <v>928</v>
      </c>
      <c r="E543" s="248">
        <f>IFERROR(INDEX(Datos!$D$75:$AL$75,MATCH(DATE(YEAR(RPT_MONTH),MONTH(RPT_MONTH)-1,1),Datos!$D$3:$AL$3,0)),"")</f>
        <v>0</v>
      </c>
      <c r="H543" t="s">
        <v>100</v>
      </c>
      <c r="I543" t="s">
        <v>95</v>
      </c>
      <c r="J543" s="258">
        <f t="shared" si="25"/>
        <v>46296</v>
      </c>
    </row>
    <row r="544" spans="1:10" ht="13.5" customHeight="1" x14ac:dyDescent="0.3">
      <c r="A544" t="s">
        <v>921</v>
      </c>
      <c r="B544" s="193" t="str">
        <f t="shared" si="30"/>
        <v>2026-09</v>
      </c>
      <c r="C544" s="258">
        <f t="shared" si="31"/>
        <v>46266</v>
      </c>
      <c r="D544" t="s">
        <v>929</v>
      </c>
      <c r="E544" s="248">
        <f>IFERROR(INDEX(Datos!$D$76:$AL$76,MATCH(DATE(YEAR(RPT_MONTH),MONTH(RPT_MONTH)-1,1),Datos!$D$3:$AL$3,0)),"")</f>
        <v>0</v>
      </c>
      <c r="H544" t="s">
        <v>100</v>
      </c>
      <c r="I544" t="s">
        <v>95</v>
      </c>
      <c r="J544" s="258">
        <f t="shared" si="25"/>
        <v>46296</v>
      </c>
    </row>
    <row r="545" spans="1:10" ht="13.5" customHeight="1" x14ac:dyDescent="0.3">
      <c r="A545" t="s">
        <v>921</v>
      </c>
      <c r="B545" s="193" t="str">
        <f t="shared" ref="B545:B552" si="32">YEAR(DATE(YEAR(RPT_MONTH),MONTH(RPT_MONTH)-0,1))&amp;"-"&amp;RIGHT("0"&amp;MONTH(DATE(YEAR(RPT_MONTH),MONTH(RPT_MONTH)-0,1)),2)</f>
        <v>2026-10</v>
      </c>
      <c r="C545" s="258">
        <f t="shared" ref="C545:C552" si="33">DATE(YEAR(RPT_MONTH),MONTH(RPT_MONTH)-0,1)</f>
        <v>46296</v>
      </c>
      <c r="D545" t="s">
        <v>922</v>
      </c>
      <c r="E545" s="248">
        <f>IFERROR(INDEX(Datos!$D$70:$AL$70,MATCH(DATE(YEAR(RPT_MONTH),MONTH(RPT_MONTH)-0,1),Datos!$D$3:$AL$3,0)),"")</f>
        <v>0</v>
      </c>
      <c r="H545" t="s">
        <v>100</v>
      </c>
      <c r="I545" t="s">
        <v>95</v>
      </c>
      <c r="J545" s="258">
        <f t="shared" si="25"/>
        <v>46296</v>
      </c>
    </row>
    <row r="546" spans="1:10" ht="13.5" customHeight="1" x14ac:dyDescent="0.3">
      <c r="A546" t="s">
        <v>921</v>
      </c>
      <c r="B546" s="193" t="str">
        <f t="shared" si="32"/>
        <v>2026-10</v>
      </c>
      <c r="C546" s="258">
        <f t="shared" si="33"/>
        <v>46296</v>
      </c>
      <c r="D546" t="s">
        <v>923</v>
      </c>
      <c r="E546" s="248">
        <f>IFERROR(INDEX(Datos!$D$67:$AL$67,MATCH(DATE(YEAR(RPT_MONTH),MONTH(RPT_MONTH)-0,1),Datos!$D$3:$AL$3,0)),"")</f>
        <v>0</v>
      </c>
      <c r="H546" t="s">
        <v>100</v>
      </c>
      <c r="I546" t="s">
        <v>95</v>
      </c>
      <c r="J546" s="258">
        <f t="shared" si="25"/>
        <v>46296</v>
      </c>
    </row>
    <row r="547" spans="1:10" ht="13.5" customHeight="1" x14ac:dyDescent="0.3">
      <c r="A547" t="s">
        <v>921</v>
      </c>
      <c r="B547" s="193" t="str">
        <f t="shared" si="32"/>
        <v>2026-10</v>
      </c>
      <c r="C547" s="258">
        <f t="shared" si="33"/>
        <v>46296</v>
      </c>
      <c r="D547" t="s">
        <v>924</v>
      </c>
      <c r="E547" s="248">
        <f>IFERROR(INDEX(Datos!$D$69:$AL$69,MATCH(DATE(YEAR(RPT_MONTH),MONTH(RPT_MONTH)-0,1),Datos!$D$3:$AL$3,0)),"")</f>
        <v>0</v>
      </c>
      <c r="H547" t="s">
        <v>100</v>
      </c>
      <c r="I547" t="s">
        <v>95</v>
      </c>
      <c r="J547" s="258">
        <f t="shared" si="25"/>
        <v>46296</v>
      </c>
    </row>
    <row r="548" spans="1:10" ht="13.5" customHeight="1" x14ac:dyDescent="0.3">
      <c r="A548" t="s">
        <v>921</v>
      </c>
      <c r="B548" s="193" t="str">
        <f t="shared" si="32"/>
        <v>2026-10</v>
      </c>
      <c r="C548" s="258">
        <f t="shared" si="33"/>
        <v>46296</v>
      </c>
      <c r="D548" t="s">
        <v>925</v>
      </c>
      <c r="E548" s="248">
        <f>IFERROR(INDEX(Datos!$D$71:$AL$71,MATCH(DATE(YEAR(RPT_MONTH),MONTH(RPT_MONTH)-0,1),Datos!$D$3:$AL$3,0)),"")</f>
        <v>0</v>
      </c>
      <c r="H548" t="s">
        <v>100</v>
      </c>
      <c r="I548" t="s">
        <v>95</v>
      </c>
      <c r="J548" s="258">
        <f t="shared" si="25"/>
        <v>46296</v>
      </c>
    </row>
    <row r="549" spans="1:10" ht="13.5" customHeight="1" x14ac:dyDescent="0.3">
      <c r="A549" t="s">
        <v>921</v>
      </c>
      <c r="B549" s="193" t="str">
        <f t="shared" si="32"/>
        <v>2026-10</v>
      </c>
      <c r="C549" s="258">
        <f t="shared" si="33"/>
        <v>46296</v>
      </c>
      <c r="D549" t="s">
        <v>926</v>
      </c>
      <c r="E549" s="248">
        <f>IFERROR(INDEX(Datos!$D$72:$AL$72,MATCH(DATE(YEAR(RPT_MONTH),MONTH(RPT_MONTH)-0,1),Datos!$D$3:$AL$3,0)),"")</f>
        <v>0</v>
      </c>
      <c r="H549" t="s">
        <v>100</v>
      </c>
      <c r="I549" t="s">
        <v>95</v>
      </c>
      <c r="J549" s="258">
        <f t="shared" si="25"/>
        <v>46296</v>
      </c>
    </row>
    <row r="550" spans="1:10" ht="13.5" customHeight="1" x14ac:dyDescent="0.3">
      <c r="A550" t="s">
        <v>921</v>
      </c>
      <c r="B550" s="193" t="str">
        <f t="shared" si="32"/>
        <v>2026-10</v>
      </c>
      <c r="C550" s="258">
        <f t="shared" si="33"/>
        <v>46296</v>
      </c>
      <c r="D550" t="s">
        <v>927</v>
      </c>
      <c r="E550" s="248">
        <f>IFERROR(INDEX(Datos!$D$73:$AL$73,MATCH(DATE(YEAR(RPT_MONTH),MONTH(RPT_MONTH)-0,1),Datos!$D$3:$AL$3,0)),"")</f>
        <v>0</v>
      </c>
      <c r="H550" t="s">
        <v>100</v>
      </c>
      <c r="I550" t="s">
        <v>95</v>
      </c>
      <c r="J550" s="258">
        <f t="shared" si="25"/>
        <v>46296</v>
      </c>
    </row>
    <row r="551" spans="1:10" ht="13.5" customHeight="1" x14ac:dyDescent="0.3">
      <c r="A551" t="s">
        <v>921</v>
      </c>
      <c r="B551" s="193" t="str">
        <f t="shared" si="32"/>
        <v>2026-10</v>
      </c>
      <c r="C551" s="258">
        <f t="shared" si="33"/>
        <v>46296</v>
      </c>
      <c r="D551" t="s">
        <v>928</v>
      </c>
      <c r="E551" s="248">
        <f>IFERROR(INDEX(Datos!$D$75:$AL$75,MATCH(DATE(YEAR(RPT_MONTH),MONTH(RPT_MONTH)-0,1),Datos!$D$3:$AL$3,0)),"")</f>
        <v>0</v>
      </c>
      <c r="H551" t="s">
        <v>100</v>
      </c>
      <c r="I551" t="s">
        <v>95</v>
      </c>
      <c r="J551" s="258">
        <f t="shared" si="25"/>
        <v>46296</v>
      </c>
    </row>
    <row r="552" spans="1:10" ht="13.5" customHeight="1" x14ac:dyDescent="0.3">
      <c r="A552" t="s">
        <v>921</v>
      </c>
      <c r="B552" s="193" t="str">
        <f t="shared" si="32"/>
        <v>2026-10</v>
      </c>
      <c r="C552" s="258">
        <f t="shared" si="33"/>
        <v>46296</v>
      </c>
      <c r="D552" t="s">
        <v>929</v>
      </c>
      <c r="E552" s="248">
        <f>IFERROR(INDEX(Datos!$D$76:$AL$76,MATCH(DATE(YEAR(RPT_MONTH),MONTH(RPT_MONTH)-0,1),Datos!$D$3:$AL$3,0)),"")</f>
        <v>0</v>
      </c>
      <c r="H552" t="s">
        <v>100</v>
      </c>
      <c r="I552" t="s">
        <v>95</v>
      </c>
      <c r="J552" s="258">
        <f t="shared" si="25"/>
        <v>46296</v>
      </c>
    </row>
    <row r="553" spans="1:10" ht="13.5" customHeight="1" x14ac:dyDescent="0.3">
      <c r="A553" t="s">
        <v>930</v>
      </c>
      <c r="B553" s="193" t="str">
        <f>YEAR(DATE(YEAR(RPT_MONTH),MONTH(RPT_MONTH)-11,1))&amp;"-"&amp;RIGHT("0"&amp;MONTH(DATE(YEAR(RPT_MONTH),MONTH(RPT_MONTH)-11,1)),2)</f>
        <v>2025-11</v>
      </c>
      <c r="C553" s="258">
        <f>DATE(YEAR(RPT_MONTH),MONTH(RPT_MONTH)-11,1)</f>
        <v>45962</v>
      </c>
      <c r="D553" t="s">
        <v>931</v>
      </c>
      <c r="E553" s="193" t="str">
        <f>IFERROR(INDEX(Datos!$D$14:$AL$14,MATCH(DATE(YEAR(RPT_MONTH),MONTH(RPT_MONTH)-11,1),Datos!$D$3:$AL$3,0)),"")</f>
        <v/>
      </c>
      <c r="H553" t="s">
        <v>157</v>
      </c>
      <c r="I553" t="s">
        <v>932</v>
      </c>
      <c r="J553" s="258">
        <f t="shared" si="25"/>
        <v>46296</v>
      </c>
    </row>
    <row r="554" spans="1:10" ht="13.5" customHeight="1" x14ac:dyDescent="0.3">
      <c r="A554" t="s">
        <v>930</v>
      </c>
      <c r="B554" s="193" t="str">
        <f>YEAR(DATE(YEAR(RPT_MONTH),MONTH(RPT_MONTH)-11,1))&amp;"-"&amp;RIGHT("0"&amp;MONTH(DATE(YEAR(RPT_MONTH),MONTH(RPT_MONTH)-11,1)),2)</f>
        <v>2025-11</v>
      </c>
      <c r="C554" s="258">
        <f>DATE(YEAR(RPT_MONTH),MONTH(RPT_MONTH)-11,1)</f>
        <v>45962</v>
      </c>
      <c r="D554" t="s">
        <v>933</v>
      </c>
      <c r="E554" s="193" t="str">
        <f>IFERROR(INDEX(Datos!$D$18:$AL$18,MATCH(DATE(YEAR(RPT_MONTH),MONTH(RPT_MONTH)-11,1),Datos!$D$3:$AL$3,0)),"")</f>
        <v/>
      </c>
      <c r="H554" t="s">
        <v>157</v>
      </c>
      <c r="I554" t="s">
        <v>932</v>
      </c>
      <c r="J554" s="258">
        <f t="shared" si="25"/>
        <v>46296</v>
      </c>
    </row>
    <row r="555" spans="1:10" ht="13.5" customHeight="1" x14ac:dyDescent="0.3">
      <c r="A555" t="s">
        <v>930</v>
      </c>
      <c r="B555" s="193" t="str">
        <f>YEAR(DATE(YEAR(RPT_MONTH),MONTH(RPT_MONTH)-11,1))&amp;"-"&amp;RIGHT("0"&amp;MONTH(DATE(YEAR(RPT_MONTH),MONTH(RPT_MONTH)-11,1)),2)</f>
        <v>2025-11</v>
      </c>
      <c r="C555" s="258">
        <f>DATE(YEAR(RPT_MONTH),MONTH(RPT_MONTH)-11,1)</f>
        <v>45962</v>
      </c>
      <c r="D555" t="s">
        <v>934</v>
      </c>
      <c r="E555" s="193" t="str">
        <f>IFERROR(INDEX(Datos!$D$47:$AL$47,MATCH(DATE(YEAR(RPT_MONTH),MONTH(RPT_MONTH)-11,1),Datos!$D$3:$AL$3,0)),"")</f>
        <v/>
      </c>
      <c r="H555" t="s">
        <v>163</v>
      </c>
      <c r="I555" t="s">
        <v>932</v>
      </c>
      <c r="J555" s="258">
        <f t="shared" si="25"/>
        <v>46296</v>
      </c>
    </row>
    <row r="556" spans="1:10" ht="13.5" customHeight="1" x14ac:dyDescent="0.3">
      <c r="A556" t="s">
        <v>930</v>
      </c>
      <c r="B556" s="193" t="str">
        <f>YEAR(DATE(YEAR(RPT_MONTH),MONTH(RPT_MONTH)-11,1))&amp;"-"&amp;RIGHT("0"&amp;MONTH(DATE(YEAR(RPT_MONTH),MONTH(RPT_MONTH)-11,1)),2)</f>
        <v>2025-11</v>
      </c>
      <c r="C556" s="258">
        <f>DATE(YEAR(RPT_MONTH),MONTH(RPT_MONTH)-11,1)</f>
        <v>45962</v>
      </c>
      <c r="D556" t="s">
        <v>935</v>
      </c>
      <c r="E556" s="193" t="str">
        <f>IFERROR(INDEX(Datos!$D$11:$AL$11,MATCH(DATE(YEAR(RPT_MONTH),MONTH(RPT_MONTH)-11,1),Datos!$D$3:$AL$3,0)),"")</f>
        <v/>
      </c>
      <c r="H556" t="s">
        <v>156</v>
      </c>
      <c r="I556" t="s">
        <v>932</v>
      </c>
      <c r="J556" s="258">
        <f t="shared" si="25"/>
        <v>46296</v>
      </c>
    </row>
    <row r="557" spans="1:10" ht="13.5" customHeight="1" x14ac:dyDescent="0.3">
      <c r="A557" t="s">
        <v>930</v>
      </c>
      <c r="B557" s="193" t="str">
        <f>YEAR(DATE(YEAR(RPT_MONTH),MONTH(RPT_MONTH)-10,1))&amp;"-"&amp;RIGHT("0"&amp;MONTH(DATE(YEAR(RPT_MONTH),MONTH(RPT_MONTH)-10,1)),2)</f>
        <v>2025-12</v>
      </c>
      <c r="C557" s="258">
        <f>DATE(YEAR(RPT_MONTH),MONTH(RPT_MONTH)-10,1)</f>
        <v>45992</v>
      </c>
      <c r="D557" t="s">
        <v>931</v>
      </c>
      <c r="E557" s="193" t="str">
        <f>IFERROR(INDEX(Datos!$D$14:$AL$14,MATCH(DATE(YEAR(RPT_MONTH),MONTH(RPT_MONTH)-10,1),Datos!$D$3:$AL$3,0)),"")</f>
        <v/>
      </c>
      <c r="H557" t="s">
        <v>157</v>
      </c>
      <c r="I557" t="s">
        <v>932</v>
      </c>
      <c r="J557" s="258">
        <f t="shared" si="25"/>
        <v>46296</v>
      </c>
    </row>
    <row r="558" spans="1:10" ht="13.5" customHeight="1" x14ac:dyDescent="0.3">
      <c r="A558" t="s">
        <v>930</v>
      </c>
      <c r="B558" s="193" t="str">
        <f>YEAR(DATE(YEAR(RPT_MONTH),MONTH(RPT_MONTH)-10,1))&amp;"-"&amp;RIGHT("0"&amp;MONTH(DATE(YEAR(RPT_MONTH),MONTH(RPT_MONTH)-10,1)),2)</f>
        <v>2025-12</v>
      </c>
      <c r="C558" s="258">
        <f>DATE(YEAR(RPT_MONTH),MONTH(RPT_MONTH)-10,1)</f>
        <v>45992</v>
      </c>
      <c r="D558" t="s">
        <v>933</v>
      </c>
      <c r="E558" s="193" t="str">
        <f>IFERROR(INDEX(Datos!$D$18:$AL$18,MATCH(DATE(YEAR(RPT_MONTH),MONTH(RPT_MONTH)-10,1),Datos!$D$3:$AL$3,0)),"")</f>
        <v/>
      </c>
      <c r="H558" t="s">
        <v>157</v>
      </c>
      <c r="I558" t="s">
        <v>932</v>
      </c>
      <c r="J558" s="258">
        <f t="shared" si="25"/>
        <v>46296</v>
      </c>
    </row>
    <row r="559" spans="1:10" ht="13.5" customHeight="1" x14ac:dyDescent="0.3">
      <c r="A559" t="s">
        <v>930</v>
      </c>
      <c r="B559" s="193" t="str">
        <f>YEAR(DATE(YEAR(RPT_MONTH),MONTH(RPT_MONTH)-10,1))&amp;"-"&amp;RIGHT("0"&amp;MONTH(DATE(YEAR(RPT_MONTH),MONTH(RPT_MONTH)-10,1)),2)</f>
        <v>2025-12</v>
      </c>
      <c r="C559" s="258">
        <f>DATE(YEAR(RPT_MONTH),MONTH(RPT_MONTH)-10,1)</f>
        <v>45992</v>
      </c>
      <c r="D559" t="s">
        <v>934</v>
      </c>
      <c r="E559" s="193" t="str">
        <f>IFERROR(INDEX(Datos!$D$47:$AL$47,MATCH(DATE(YEAR(RPT_MONTH),MONTH(RPT_MONTH)-10,1),Datos!$D$3:$AL$3,0)),"")</f>
        <v/>
      </c>
      <c r="H559" t="s">
        <v>163</v>
      </c>
      <c r="I559" t="s">
        <v>932</v>
      </c>
      <c r="J559" s="258">
        <f t="shared" si="25"/>
        <v>46296</v>
      </c>
    </row>
    <row r="560" spans="1:10" ht="13.5" customHeight="1" x14ac:dyDescent="0.3">
      <c r="A560" t="s">
        <v>930</v>
      </c>
      <c r="B560" s="193" t="str">
        <f>YEAR(DATE(YEAR(RPT_MONTH),MONTH(RPT_MONTH)-10,1))&amp;"-"&amp;RIGHT("0"&amp;MONTH(DATE(YEAR(RPT_MONTH),MONTH(RPT_MONTH)-10,1)),2)</f>
        <v>2025-12</v>
      </c>
      <c r="C560" s="258">
        <f>DATE(YEAR(RPT_MONTH),MONTH(RPT_MONTH)-10,1)</f>
        <v>45992</v>
      </c>
      <c r="D560" t="s">
        <v>935</v>
      </c>
      <c r="E560" s="193" t="str">
        <f>IFERROR(INDEX(Datos!$D$11:$AL$11,MATCH(DATE(YEAR(RPT_MONTH),MONTH(RPT_MONTH)-10,1),Datos!$D$3:$AL$3,0)),"")</f>
        <v/>
      </c>
      <c r="H560" t="s">
        <v>156</v>
      </c>
      <c r="I560" t="s">
        <v>932</v>
      </c>
      <c r="J560" s="258">
        <f t="shared" si="25"/>
        <v>46296</v>
      </c>
    </row>
    <row r="561" spans="1:10" ht="13.5" customHeight="1" x14ac:dyDescent="0.3">
      <c r="A561" t="s">
        <v>930</v>
      </c>
      <c r="B561" s="193" t="str">
        <f>YEAR(DATE(YEAR(RPT_MONTH),MONTH(RPT_MONTH)-9,1))&amp;"-"&amp;RIGHT("0"&amp;MONTH(DATE(YEAR(RPT_MONTH),MONTH(RPT_MONTH)-9,1)),2)</f>
        <v>2026-01</v>
      </c>
      <c r="C561" s="258">
        <f>DATE(YEAR(RPT_MONTH),MONTH(RPT_MONTH)-9,1)</f>
        <v>46023</v>
      </c>
      <c r="D561" t="s">
        <v>931</v>
      </c>
      <c r="E561" s="193" t="str">
        <f>IFERROR(INDEX(Datos!$D$14:$AL$14,MATCH(DATE(YEAR(RPT_MONTH),MONTH(RPT_MONTH)-9,1),Datos!$D$3:$AL$3,0)),"")</f>
        <v/>
      </c>
      <c r="H561" t="s">
        <v>157</v>
      </c>
      <c r="I561" t="s">
        <v>932</v>
      </c>
      <c r="J561" s="258">
        <f t="shared" si="25"/>
        <v>46296</v>
      </c>
    </row>
    <row r="562" spans="1:10" ht="13.5" customHeight="1" x14ac:dyDescent="0.3">
      <c r="A562" t="s">
        <v>930</v>
      </c>
      <c r="B562" s="193" t="str">
        <f>YEAR(DATE(YEAR(RPT_MONTH),MONTH(RPT_MONTH)-9,1))&amp;"-"&amp;RIGHT("0"&amp;MONTH(DATE(YEAR(RPT_MONTH),MONTH(RPT_MONTH)-9,1)),2)</f>
        <v>2026-01</v>
      </c>
      <c r="C562" s="258">
        <f>DATE(YEAR(RPT_MONTH),MONTH(RPT_MONTH)-9,1)</f>
        <v>46023</v>
      </c>
      <c r="D562" t="s">
        <v>933</v>
      </c>
      <c r="E562" s="193" t="str">
        <f>IFERROR(INDEX(Datos!$D$18:$AL$18,MATCH(DATE(YEAR(RPT_MONTH),MONTH(RPT_MONTH)-9,1),Datos!$D$3:$AL$3,0)),"")</f>
        <v/>
      </c>
      <c r="H562" t="s">
        <v>157</v>
      </c>
      <c r="I562" t="s">
        <v>932</v>
      </c>
      <c r="J562" s="258">
        <f t="shared" si="25"/>
        <v>46296</v>
      </c>
    </row>
    <row r="563" spans="1:10" ht="13.5" customHeight="1" x14ac:dyDescent="0.3">
      <c r="A563" t="s">
        <v>930</v>
      </c>
      <c r="B563" s="193" t="str">
        <f>YEAR(DATE(YEAR(RPT_MONTH),MONTH(RPT_MONTH)-9,1))&amp;"-"&amp;RIGHT("0"&amp;MONTH(DATE(YEAR(RPT_MONTH),MONTH(RPT_MONTH)-9,1)),2)</f>
        <v>2026-01</v>
      </c>
      <c r="C563" s="258">
        <f>DATE(YEAR(RPT_MONTH),MONTH(RPT_MONTH)-9,1)</f>
        <v>46023</v>
      </c>
      <c r="D563" t="s">
        <v>934</v>
      </c>
      <c r="E563" s="193" t="str">
        <f>IFERROR(INDEX(Datos!$D$47:$AL$47,MATCH(DATE(YEAR(RPT_MONTH),MONTH(RPT_MONTH)-9,1),Datos!$D$3:$AL$3,0)),"")</f>
        <v/>
      </c>
      <c r="H563" t="s">
        <v>163</v>
      </c>
      <c r="I563" t="s">
        <v>932</v>
      </c>
      <c r="J563" s="258">
        <f t="shared" si="25"/>
        <v>46296</v>
      </c>
    </row>
    <row r="564" spans="1:10" ht="13.5" customHeight="1" x14ac:dyDescent="0.3">
      <c r="A564" t="s">
        <v>930</v>
      </c>
      <c r="B564" s="193" t="str">
        <f>YEAR(DATE(YEAR(RPT_MONTH),MONTH(RPT_MONTH)-9,1))&amp;"-"&amp;RIGHT("0"&amp;MONTH(DATE(YEAR(RPT_MONTH),MONTH(RPT_MONTH)-9,1)),2)</f>
        <v>2026-01</v>
      </c>
      <c r="C564" s="258">
        <f>DATE(YEAR(RPT_MONTH),MONTH(RPT_MONTH)-9,1)</f>
        <v>46023</v>
      </c>
      <c r="D564" t="s">
        <v>935</v>
      </c>
      <c r="E564" s="193" t="str">
        <f>IFERROR(INDEX(Datos!$D$11:$AL$11,MATCH(DATE(YEAR(RPT_MONTH),MONTH(RPT_MONTH)-9,1),Datos!$D$3:$AL$3,0)),"")</f>
        <v/>
      </c>
      <c r="H564" t="s">
        <v>156</v>
      </c>
      <c r="I564" t="s">
        <v>932</v>
      </c>
      <c r="J564" s="258">
        <f t="shared" si="25"/>
        <v>46296</v>
      </c>
    </row>
    <row r="565" spans="1:10" ht="13.5" customHeight="1" x14ac:dyDescent="0.3">
      <c r="A565" t="s">
        <v>930</v>
      </c>
      <c r="B565" s="193" t="str">
        <f>YEAR(DATE(YEAR(RPT_MONTH),MONTH(RPT_MONTH)-8,1))&amp;"-"&amp;RIGHT("0"&amp;MONTH(DATE(YEAR(RPT_MONTH),MONTH(RPT_MONTH)-8,1)),2)</f>
        <v>2026-02</v>
      </c>
      <c r="C565" s="258">
        <f>DATE(YEAR(RPT_MONTH),MONTH(RPT_MONTH)-8,1)</f>
        <v>46054</v>
      </c>
      <c r="D565" t="s">
        <v>931</v>
      </c>
      <c r="E565" s="193" t="str">
        <f>IFERROR(INDEX(Datos!$D$14:$AL$14,MATCH(DATE(YEAR(RPT_MONTH),MONTH(RPT_MONTH)-8,1),Datos!$D$3:$AL$3,0)),"")</f>
        <v/>
      </c>
      <c r="H565" t="s">
        <v>157</v>
      </c>
      <c r="I565" t="s">
        <v>932</v>
      </c>
      <c r="J565" s="258">
        <f t="shared" si="25"/>
        <v>46296</v>
      </c>
    </row>
    <row r="566" spans="1:10" ht="13.5" customHeight="1" x14ac:dyDescent="0.3">
      <c r="A566" t="s">
        <v>930</v>
      </c>
      <c r="B566" s="193" t="str">
        <f>YEAR(DATE(YEAR(RPT_MONTH),MONTH(RPT_MONTH)-8,1))&amp;"-"&amp;RIGHT("0"&amp;MONTH(DATE(YEAR(RPT_MONTH),MONTH(RPT_MONTH)-8,1)),2)</f>
        <v>2026-02</v>
      </c>
      <c r="C566" s="258">
        <f>DATE(YEAR(RPT_MONTH),MONTH(RPT_MONTH)-8,1)</f>
        <v>46054</v>
      </c>
      <c r="D566" t="s">
        <v>933</v>
      </c>
      <c r="E566" s="193" t="str">
        <f>IFERROR(INDEX(Datos!$D$18:$AL$18,MATCH(DATE(YEAR(RPT_MONTH),MONTH(RPT_MONTH)-8,1),Datos!$D$3:$AL$3,0)),"")</f>
        <v/>
      </c>
      <c r="H566" t="s">
        <v>157</v>
      </c>
      <c r="I566" t="s">
        <v>932</v>
      </c>
      <c r="J566" s="258">
        <f t="shared" si="25"/>
        <v>46296</v>
      </c>
    </row>
    <row r="567" spans="1:10" ht="13.5" customHeight="1" x14ac:dyDescent="0.3">
      <c r="A567" t="s">
        <v>930</v>
      </c>
      <c r="B567" s="193" t="str">
        <f>YEAR(DATE(YEAR(RPT_MONTH),MONTH(RPT_MONTH)-8,1))&amp;"-"&amp;RIGHT("0"&amp;MONTH(DATE(YEAR(RPT_MONTH),MONTH(RPT_MONTH)-8,1)),2)</f>
        <v>2026-02</v>
      </c>
      <c r="C567" s="258">
        <f>DATE(YEAR(RPT_MONTH),MONTH(RPT_MONTH)-8,1)</f>
        <v>46054</v>
      </c>
      <c r="D567" t="s">
        <v>934</v>
      </c>
      <c r="E567" s="193" t="str">
        <f>IFERROR(INDEX(Datos!$D$47:$AL$47,MATCH(DATE(YEAR(RPT_MONTH),MONTH(RPT_MONTH)-8,1),Datos!$D$3:$AL$3,0)),"")</f>
        <v/>
      </c>
      <c r="H567" t="s">
        <v>163</v>
      </c>
      <c r="I567" t="s">
        <v>932</v>
      </c>
      <c r="J567" s="258">
        <f t="shared" si="25"/>
        <v>46296</v>
      </c>
    </row>
    <row r="568" spans="1:10" ht="13.5" customHeight="1" x14ac:dyDescent="0.3">
      <c r="A568" t="s">
        <v>930</v>
      </c>
      <c r="B568" s="193" t="str">
        <f>YEAR(DATE(YEAR(RPT_MONTH),MONTH(RPT_MONTH)-8,1))&amp;"-"&amp;RIGHT("0"&amp;MONTH(DATE(YEAR(RPT_MONTH),MONTH(RPT_MONTH)-8,1)),2)</f>
        <v>2026-02</v>
      </c>
      <c r="C568" s="258">
        <f>DATE(YEAR(RPT_MONTH),MONTH(RPT_MONTH)-8,1)</f>
        <v>46054</v>
      </c>
      <c r="D568" t="s">
        <v>935</v>
      </c>
      <c r="E568" s="193" t="str">
        <f>IFERROR(INDEX(Datos!$D$11:$AL$11,MATCH(DATE(YEAR(RPT_MONTH),MONTH(RPT_MONTH)-8,1),Datos!$D$3:$AL$3,0)),"")</f>
        <v/>
      </c>
      <c r="H568" t="s">
        <v>156</v>
      </c>
      <c r="I568" t="s">
        <v>932</v>
      </c>
      <c r="J568" s="258">
        <f t="shared" si="25"/>
        <v>46296</v>
      </c>
    </row>
    <row r="569" spans="1:10" ht="13.5" customHeight="1" x14ac:dyDescent="0.3">
      <c r="A569" t="s">
        <v>930</v>
      </c>
      <c r="B569" s="193" t="str">
        <f>YEAR(DATE(YEAR(RPT_MONTH),MONTH(RPT_MONTH)-7,1))&amp;"-"&amp;RIGHT("0"&amp;MONTH(DATE(YEAR(RPT_MONTH),MONTH(RPT_MONTH)-7,1)),2)</f>
        <v>2026-03</v>
      </c>
      <c r="C569" s="258">
        <f>DATE(YEAR(RPT_MONTH),MONTH(RPT_MONTH)-7,1)</f>
        <v>46082</v>
      </c>
      <c r="D569" t="s">
        <v>931</v>
      </c>
      <c r="E569" s="193" t="str">
        <f>IFERROR(INDEX(Datos!$D$14:$AL$14,MATCH(DATE(YEAR(RPT_MONTH),MONTH(RPT_MONTH)-7,1),Datos!$D$3:$AL$3,0)),"")</f>
        <v/>
      </c>
      <c r="H569" t="s">
        <v>157</v>
      </c>
      <c r="I569" t="s">
        <v>932</v>
      </c>
      <c r="J569" s="258">
        <f t="shared" si="25"/>
        <v>46296</v>
      </c>
    </row>
    <row r="570" spans="1:10" ht="13.5" customHeight="1" x14ac:dyDescent="0.3">
      <c r="A570" t="s">
        <v>930</v>
      </c>
      <c r="B570" s="193" t="str">
        <f>YEAR(DATE(YEAR(RPT_MONTH),MONTH(RPT_MONTH)-7,1))&amp;"-"&amp;RIGHT("0"&amp;MONTH(DATE(YEAR(RPT_MONTH),MONTH(RPT_MONTH)-7,1)),2)</f>
        <v>2026-03</v>
      </c>
      <c r="C570" s="258">
        <f>DATE(YEAR(RPT_MONTH),MONTH(RPT_MONTH)-7,1)</f>
        <v>46082</v>
      </c>
      <c r="D570" t="s">
        <v>933</v>
      </c>
      <c r="E570" s="193" t="str">
        <f>IFERROR(INDEX(Datos!$D$18:$AL$18,MATCH(DATE(YEAR(RPT_MONTH),MONTH(RPT_MONTH)-7,1),Datos!$D$3:$AL$3,0)),"")</f>
        <v/>
      </c>
      <c r="H570" t="s">
        <v>157</v>
      </c>
      <c r="I570" t="s">
        <v>932</v>
      </c>
      <c r="J570" s="258">
        <f t="shared" si="25"/>
        <v>46296</v>
      </c>
    </row>
    <row r="571" spans="1:10" ht="13.5" customHeight="1" x14ac:dyDescent="0.3">
      <c r="A571" t="s">
        <v>930</v>
      </c>
      <c r="B571" s="193" t="str">
        <f>YEAR(DATE(YEAR(RPT_MONTH),MONTH(RPT_MONTH)-7,1))&amp;"-"&amp;RIGHT("0"&amp;MONTH(DATE(YEAR(RPT_MONTH),MONTH(RPT_MONTH)-7,1)),2)</f>
        <v>2026-03</v>
      </c>
      <c r="C571" s="258">
        <f>DATE(YEAR(RPT_MONTH),MONTH(RPT_MONTH)-7,1)</f>
        <v>46082</v>
      </c>
      <c r="D571" t="s">
        <v>934</v>
      </c>
      <c r="E571" s="193" t="str">
        <f>IFERROR(INDEX(Datos!$D$47:$AL$47,MATCH(DATE(YEAR(RPT_MONTH),MONTH(RPT_MONTH)-7,1),Datos!$D$3:$AL$3,0)),"")</f>
        <v/>
      </c>
      <c r="H571" t="s">
        <v>163</v>
      </c>
      <c r="I571" t="s">
        <v>932</v>
      </c>
      <c r="J571" s="258">
        <f t="shared" si="25"/>
        <v>46296</v>
      </c>
    </row>
    <row r="572" spans="1:10" ht="13.5" customHeight="1" x14ac:dyDescent="0.3">
      <c r="A572" t="s">
        <v>930</v>
      </c>
      <c r="B572" s="193" t="str">
        <f>YEAR(DATE(YEAR(RPT_MONTH),MONTH(RPT_MONTH)-7,1))&amp;"-"&amp;RIGHT("0"&amp;MONTH(DATE(YEAR(RPT_MONTH),MONTH(RPT_MONTH)-7,1)),2)</f>
        <v>2026-03</v>
      </c>
      <c r="C572" s="258">
        <f>DATE(YEAR(RPT_MONTH),MONTH(RPT_MONTH)-7,1)</f>
        <v>46082</v>
      </c>
      <c r="D572" t="s">
        <v>935</v>
      </c>
      <c r="E572" s="193" t="str">
        <f>IFERROR(INDEX(Datos!$D$11:$AL$11,MATCH(DATE(YEAR(RPT_MONTH),MONTH(RPT_MONTH)-7,1),Datos!$D$3:$AL$3,0)),"")</f>
        <v/>
      </c>
      <c r="H572" t="s">
        <v>156</v>
      </c>
      <c r="I572" t="s">
        <v>932</v>
      </c>
      <c r="J572" s="258">
        <f t="shared" si="25"/>
        <v>46296</v>
      </c>
    </row>
    <row r="573" spans="1:10" ht="13.5" customHeight="1" x14ac:dyDescent="0.3">
      <c r="A573" t="s">
        <v>930</v>
      </c>
      <c r="B573" s="193" t="str">
        <f>YEAR(DATE(YEAR(RPT_MONTH),MONTH(RPT_MONTH)-6,1))&amp;"-"&amp;RIGHT("0"&amp;MONTH(DATE(YEAR(RPT_MONTH),MONTH(RPT_MONTH)-6,1)),2)</f>
        <v>2026-04</v>
      </c>
      <c r="C573" s="258">
        <f>DATE(YEAR(RPT_MONTH),MONTH(RPT_MONTH)-6,1)</f>
        <v>46113</v>
      </c>
      <c r="D573" t="s">
        <v>931</v>
      </c>
      <c r="E573" s="193" t="str">
        <f>IFERROR(INDEX(Datos!$D$14:$AL$14,MATCH(DATE(YEAR(RPT_MONTH),MONTH(RPT_MONTH)-6,1),Datos!$D$3:$AL$3,0)),"")</f>
        <v/>
      </c>
      <c r="H573" t="s">
        <v>157</v>
      </c>
      <c r="I573" t="s">
        <v>932</v>
      </c>
      <c r="J573" s="258">
        <f t="shared" si="25"/>
        <v>46296</v>
      </c>
    </row>
    <row r="574" spans="1:10" ht="13.5" customHeight="1" x14ac:dyDescent="0.3">
      <c r="A574" t="s">
        <v>930</v>
      </c>
      <c r="B574" s="193" t="str">
        <f>YEAR(DATE(YEAR(RPT_MONTH),MONTH(RPT_MONTH)-6,1))&amp;"-"&amp;RIGHT("0"&amp;MONTH(DATE(YEAR(RPT_MONTH),MONTH(RPT_MONTH)-6,1)),2)</f>
        <v>2026-04</v>
      </c>
      <c r="C574" s="258">
        <f>DATE(YEAR(RPT_MONTH),MONTH(RPT_MONTH)-6,1)</f>
        <v>46113</v>
      </c>
      <c r="D574" t="s">
        <v>933</v>
      </c>
      <c r="E574" s="193" t="str">
        <f>IFERROR(INDEX(Datos!$D$18:$AL$18,MATCH(DATE(YEAR(RPT_MONTH),MONTH(RPT_MONTH)-6,1),Datos!$D$3:$AL$3,0)),"")</f>
        <v/>
      </c>
      <c r="H574" t="s">
        <v>157</v>
      </c>
      <c r="I574" t="s">
        <v>932</v>
      </c>
      <c r="J574" s="258">
        <f t="shared" si="25"/>
        <v>46296</v>
      </c>
    </row>
    <row r="575" spans="1:10" ht="13.5" customHeight="1" x14ac:dyDescent="0.3">
      <c r="A575" t="s">
        <v>930</v>
      </c>
      <c r="B575" s="193" t="str">
        <f>YEAR(DATE(YEAR(RPT_MONTH),MONTH(RPT_MONTH)-6,1))&amp;"-"&amp;RIGHT("0"&amp;MONTH(DATE(YEAR(RPT_MONTH),MONTH(RPT_MONTH)-6,1)),2)</f>
        <v>2026-04</v>
      </c>
      <c r="C575" s="258">
        <f>DATE(YEAR(RPT_MONTH),MONTH(RPT_MONTH)-6,1)</f>
        <v>46113</v>
      </c>
      <c r="D575" t="s">
        <v>934</v>
      </c>
      <c r="E575" s="193" t="str">
        <f>IFERROR(INDEX(Datos!$D$47:$AL$47,MATCH(DATE(YEAR(RPT_MONTH),MONTH(RPT_MONTH)-6,1),Datos!$D$3:$AL$3,0)),"")</f>
        <v/>
      </c>
      <c r="H575" t="s">
        <v>163</v>
      </c>
      <c r="I575" t="s">
        <v>932</v>
      </c>
      <c r="J575" s="258">
        <f t="shared" si="25"/>
        <v>46296</v>
      </c>
    </row>
    <row r="576" spans="1:10" ht="13.5" customHeight="1" x14ac:dyDescent="0.3">
      <c r="A576" t="s">
        <v>930</v>
      </c>
      <c r="B576" s="193" t="str">
        <f>YEAR(DATE(YEAR(RPT_MONTH),MONTH(RPT_MONTH)-6,1))&amp;"-"&amp;RIGHT("0"&amp;MONTH(DATE(YEAR(RPT_MONTH),MONTH(RPT_MONTH)-6,1)),2)</f>
        <v>2026-04</v>
      </c>
      <c r="C576" s="258">
        <f>DATE(YEAR(RPT_MONTH),MONTH(RPT_MONTH)-6,1)</f>
        <v>46113</v>
      </c>
      <c r="D576" t="s">
        <v>935</v>
      </c>
      <c r="E576" s="193" t="str">
        <f>IFERROR(INDEX(Datos!$D$11:$AL$11,MATCH(DATE(YEAR(RPT_MONTH),MONTH(RPT_MONTH)-6,1),Datos!$D$3:$AL$3,0)),"")</f>
        <v/>
      </c>
      <c r="H576" t="s">
        <v>156</v>
      </c>
      <c r="I576" t="s">
        <v>932</v>
      </c>
      <c r="J576" s="258">
        <f t="shared" si="25"/>
        <v>46296</v>
      </c>
    </row>
    <row r="577" spans="1:10" ht="13.5" customHeight="1" x14ac:dyDescent="0.3">
      <c r="A577" t="s">
        <v>930</v>
      </c>
      <c r="B577" s="193" t="str">
        <f>YEAR(DATE(YEAR(RPT_MONTH),MONTH(RPT_MONTH)-5,1))&amp;"-"&amp;RIGHT("0"&amp;MONTH(DATE(YEAR(RPT_MONTH),MONTH(RPT_MONTH)-5,1)),2)</f>
        <v>2026-05</v>
      </c>
      <c r="C577" s="258">
        <f>DATE(YEAR(RPT_MONTH),MONTH(RPT_MONTH)-5,1)</f>
        <v>46143</v>
      </c>
      <c r="D577" t="s">
        <v>931</v>
      </c>
      <c r="E577" s="193" t="str">
        <f>IFERROR(INDEX(Datos!$D$14:$AL$14,MATCH(DATE(YEAR(RPT_MONTH),MONTH(RPT_MONTH)-5,1),Datos!$D$3:$AL$3,0)),"")</f>
        <v/>
      </c>
      <c r="H577" t="s">
        <v>157</v>
      </c>
      <c r="I577" t="s">
        <v>932</v>
      </c>
      <c r="J577" s="258">
        <f t="shared" si="25"/>
        <v>46296</v>
      </c>
    </row>
    <row r="578" spans="1:10" ht="13.5" customHeight="1" x14ac:dyDescent="0.3">
      <c r="A578" t="s">
        <v>930</v>
      </c>
      <c r="B578" s="193" t="str">
        <f>YEAR(DATE(YEAR(RPT_MONTH),MONTH(RPT_MONTH)-5,1))&amp;"-"&amp;RIGHT("0"&amp;MONTH(DATE(YEAR(RPT_MONTH),MONTH(RPT_MONTH)-5,1)),2)</f>
        <v>2026-05</v>
      </c>
      <c r="C578" s="258">
        <f>DATE(YEAR(RPT_MONTH),MONTH(RPT_MONTH)-5,1)</f>
        <v>46143</v>
      </c>
      <c r="D578" t="s">
        <v>933</v>
      </c>
      <c r="E578" s="193" t="str">
        <f>IFERROR(INDEX(Datos!$D$18:$AL$18,MATCH(DATE(YEAR(RPT_MONTH),MONTH(RPT_MONTH)-5,1),Datos!$D$3:$AL$3,0)),"")</f>
        <v/>
      </c>
      <c r="H578" t="s">
        <v>157</v>
      </c>
      <c r="I578" t="s">
        <v>932</v>
      </c>
      <c r="J578" s="258">
        <f t="shared" ref="J578:J641" si="34">RPT_MONTH</f>
        <v>46296</v>
      </c>
    </row>
    <row r="579" spans="1:10" ht="13.5" customHeight="1" x14ac:dyDescent="0.3">
      <c r="A579" t="s">
        <v>930</v>
      </c>
      <c r="B579" s="193" t="str">
        <f>YEAR(DATE(YEAR(RPT_MONTH),MONTH(RPT_MONTH)-5,1))&amp;"-"&amp;RIGHT("0"&amp;MONTH(DATE(YEAR(RPT_MONTH),MONTH(RPT_MONTH)-5,1)),2)</f>
        <v>2026-05</v>
      </c>
      <c r="C579" s="258">
        <f>DATE(YEAR(RPT_MONTH),MONTH(RPT_MONTH)-5,1)</f>
        <v>46143</v>
      </c>
      <c r="D579" t="s">
        <v>934</v>
      </c>
      <c r="E579" s="193" t="str">
        <f>IFERROR(INDEX(Datos!$D$47:$AL$47,MATCH(DATE(YEAR(RPT_MONTH),MONTH(RPT_MONTH)-5,1),Datos!$D$3:$AL$3,0)),"")</f>
        <v/>
      </c>
      <c r="H579" t="s">
        <v>163</v>
      </c>
      <c r="I579" t="s">
        <v>932</v>
      </c>
      <c r="J579" s="258">
        <f t="shared" si="34"/>
        <v>46296</v>
      </c>
    </row>
    <row r="580" spans="1:10" ht="13.5" customHeight="1" x14ac:dyDescent="0.3">
      <c r="A580" t="s">
        <v>930</v>
      </c>
      <c r="B580" s="193" t="str">
        <f>YEAR(DATE(YEAR(RPT_MONTH),MONTH(RPT_MONTH)-5,1))&amp;"-"&amp;RIGHT("0"&amp;MONTH(DATE(YEAR(RPT_MONTH),MONTH(RPT_MONTH)-5,1)),2)</f>
        <v>2026-05</v>
      </c>
      <c r="C580" s="258">
        <f>DATE(YEAR(RPT_MONTH),MONTH(RPT_MONTH)-5,1)</f>
        <v>46143</v>
      </c>
      <c r="D580" t="s">
        <v>935</v>
      </c>
      <c r="E580" s="193" t="str">
        <f>IFERROR(INDEX(Datos!$D$11:$AL$11,MATCH(DATE(YEAR(RPT_MONTH),MONTH(RPT_MONTH)-5,1),Datos!$D$3:$AL$3,0)),"")</f>
        <v/>
      </c>
      <c r="H580" t="s">
        <v>156</v>
      </c>
      <c r="I580" t="s">
        <v>932</v>
      </c>
      <c r="J580" s="258">
        <f t="shared" si="34"/>
        <v>46296</v>
      </c>
    </row>
    <row r="581" spans="1:10" ht="13.5" customHeight="1" x14ac:dyDescent="0.3">
      <c r="A581" t="s">
        <v>930</v>
      </c>
      <c r="B581" s="193" t="str">
        <f>YEAR(DATE(YEAR(RPT_MONTH),MONTH(RPT_MONTH)-4,1))&amp;"-"&amp;RIGHT("0"&amp;MONTH(DATE(YEAR(RPT_MONTH),MONTH(RPT_MONTH)-4,1)),2)</f>
        <v>2026-06</v>
      </c>
      <c r="C581" s="258">
        <f>DATE(YEAR(RPT_MONTH),MONTH(RPT_MONTH)-4,1)</f>
        <v>46174</v>
      </c>
      <c r="D581" t="s">
        <v>931</v>
      </c>
      <c r="E581" s="193" t="str">
        <f>IFERROR(INDEX(Datos!$D$14:$AL$14,MATCH(DATE(YEAR(RPT_MONTH),MONTH(RPT_MONTH)-4,1),Datos!$D$3:$AL$3,0)),"")</f>
        <v/>
      </c>
      <c r="H581" t="s">
        <v>157</v>
      </c>
      <c r="I581" t="s">
        <v>932</v>
      </c>
      <c r="J581" s="258">
        <f t="shared" si="34"/>
        <v>46296</v>
      </c>
    </row>
    <row r="582" spans="1:10" ht="13.5" customHeight="1" x14ac:dyDescent="0.3">
      <c r="A582" t="s">
        <v>930</v>
      </c>
      <c r="B582" s="193" t="str">
        <f>YEAR(DATE(YEAR(RPT_MONTH),MONTH(RPT_MONTH)-4,1))&amp;"-"&amp;RIGHT("0"&amp;MONTH(DATE(YEAR(RPT_MONTH),MONTH(RPT_MONTH)-4,1)),2)</f>
        <v>2026-06</v>
      </c>
      <c r="C582" s="258">
        <f>DATE(YEAR(RPT_MONTH),MONTH(RPT_MONTH)-4,1)</f>
        <v>46174</v>
      </c>
      <c r="D582" t="s">
        <v>933</v>
      </c>
      <c r="E582" s="193" t="str">
        <f>IFERROR(INDEX(Datos!$D$18:$AL$18,MATCH(DATE(YEAR(RPT_MONTH),MONTH(RPT_MONTH)-4,1),Datos!$D$3:$AL$3,0)),"")</f>
        <v/>
      </c>
      <c r="H582" t="s">
        <v>157</v>
      </c>
      <c r="I582" t="s">
        <v>932</v>
      </c>
      <c r="J582" s="258">
        <f t="shared" si="34"/>
        <v>46296</v>
      </c>
    </row>
    <row r="583" spans="1:10" ht="13.5" customHeight="1" x14ac:dyDescent="0.3">
      <c r="A583" t="s">
        <v>930</v>
      </c>
      <c r="B583" s="193" t="str">
        <f>YEAR(DATE(YEAR(RPT_MONTH),MONTH(RPT_MONTH)-4,1))&amp;"-"&amp;RIGHT("0"&amp;MONTH(DATE(YEAR(RPT_MONTH),MONTH(RPT_MONTH)-4,1)),2)</f>
        <v>2026-06</v>
      </c>
      <c r="C583" s="258">
        <f>DATE(YEAR(RPT_MONTH),MONTH(RPT_MONTH)-4,1)</f>
        <v>46174</v>
      </c>
      <c r="D583" t="s">
        <v>934</v>
      </c>
      <c r="E583" s="193" t="str">
        <f>IFERROR(INDEX(Datos!$D$47:$AL$47,MATCH(DATE(YEAR(RPT_MONTH),MONTH(RPT_MONTH)-4,1),Datos!$D$3:$AL$3,0)),"")</f>
        <v/>
      </c>
      <c r="H583" t="s">
        <v>163</v>
      </c>
      <c r="I583" t="s">
        <v>932</v>
      </c>
      <c r="J583" s="258">
        <f t="shared" si="34"/>
        <v>46296</v>
      </c>
    </row>
    <row r="584" spans="1:10" ht="13.5" customHeight="1" x14ac:dyDescent="0.3">
      <c r="A584" t="s">
        <v>930</v>
      </c>
      <c r="B584" s="193" t="str">
        <f>YEAR(DATE(YEAR(RPT_MONTH),MONTH(RPT_MONTH)-4,1))&amp;"-"&amp;RIGHT("0"&amp;MONTH(DATE(YEAR(RPT_MONTH),MONTH(RPT_MONTH)-4,1)),2)</f>
        <v>2026-06</v>
      </c>
      <c r="C584" s="258">
        <f>DATE(YEAR(RPT_MONTH),MONTH(RPT_MONTH)-4,1)</f>
        <v>46174</v>
      </c>
      <c r="D584" t="s">
        <v>935</v>
      </c>
      <c r="E584" s="193" t="str">
        <f>IFERROR(INDEX(Datos!$D$11:$AL$11,MATCH(DATE(YEAR(RPT_MONTH),MONTH(RPT_MONTH)-4,1),Datos!$D$3:$AL$3,0)),"")</f>
        <v/>
      </c>
      <c r="H584" t="s">
        <v>156</v>
      </c>
      <c r="I584" t="s">
        <v>932</v>
      </c>
      <c r="J584" s="258">
        <f t="shared" si="34"/>
        <v>46296</v>
      </c>
    </row>
    <row r="585" spans="1:10" ht="13.5" customHeight="1" x14ac:dyDescent="0.3">
      <c r="A585" t="s">
        <v>930</v>
      </c>
      <c r="B585" s="193" t="str">
        <f>YEAR(DATE(YEAR(RPT_MONTH),MONTH(RPT_MONTH)-3,1))&amp;"-"&amp;RIGHT("0"&amp;MONTH(DATE(YEAR(RPT_MONTH),MONTH(RPT_MONTH)-3,1)),2)</f>
        <v>2026-07</v>
      </c>
      <c r="C585" s="258">
        <f>DATE(YEAR(RPT_MONTH),MONTH(RPT_MONTH)-3,1)</f>
        <v>46204</v>
      </c>
      <c r="D585" t="s">
        <v>931</v>
      </c>
      <c r="E585" s="193" t="str">
        <f>IFERROR(INDEX(Datos!$D$14:$AL$14,MATCH(DATE(YEAR(RPT_MONTH),MONTH(RPT_MONTH)-3,1),Datos!$D$3:$AL$3,0)),"")</f>
        <v/>
      </c>
      <c r="H585" t="s">
        <v>157</v>
      </c>
      <c r="I585" t="s">
        <v>932</v>
      </c>
      <c r="J585" s="258">
        <f t="shared" si="34"/>
        <v>46296</v>
      </c>
    </row>
    <row r="586" spans="1:10" ht="13.5" customHeight="1" x14ac:dyDescent="0.3">
      <c r="A586" t="s">
        <v>930</v>
      </c>
      <c r="B586" s="193" t="str">
        <f>YEAR(DATE(YEAR(RPT_MONTH),MONTH(RPT_MONTH)-3,1))&amp;"-"&amp;RIGHT("0"&amp;MONTH(DATE(YEAR(RPT_MONTH),MONTH(RPT_MONTH)-3,1)),2)</f>
        <v>2026-07</v>
      </c>
      <c r="C586" s="258">
        <f>DATE(YEAR(RPT_MONTH),MONTH(RPT_MONTH)-3,1)</f>
        <v>46204</v>
      </c>
      <c r="D586" t="s">
        <v>933</v>
      </c>
      <c r="E586" s="193" t="str">
        <f>IFERROR(INDEX(Datos!$D$18:$AL$18,MATCH(DATE(YEAR(RPT_MONTH),MONTH(RPT_MONTH)-3,1),Datos!$D$3:$AL$3,0)),"")</f>
        <v/>
      </c>
      <c r="H586" t="s">
        <v>157</v>
      </c>
      <c r="I586" t="s">
        <v>932</v>
      </c>
      <c r="J586" s="258">
        <f t="shared" si="34"/>
        <v>46296</v>
      </c>
    </row>
    <row r="587" spans="1:10" ht="13.5" customHeight="1" x14ac:dyDescent="0.3">
      <c r="A587" t="s">
        <v>930</v>
      </c>
      <c r="B587" s="193" t="str">
        <f>YEAR(DATE(YEAR(RPT_MONTH),MONTH(RPT_MONTH)-3,1))&amp;"-"&amp;RIGHT("0"&amp;MONTH(DATE(YEAR(RPT_MONTH),MONTH(RPT_MONTH)-3,1)),2)</f>
        <v>2026-07</v>
      </c>
      <c r="C587" s="258">
        <f>DATE(YEAR(RPT_MONTH),MONTH(RPT_MONTH)-3,1)</f>
        <v>46204</v>
      </c>
      <c r="D587" t="s">
        <v>934</v>
      </c>
      <c r="E587" s="193" t="str">
        <f>IFERROR(INDEX(Datos!$D$47:$AL$47,MATCH(DATE(YEAR(RPT_MONTH),MONTH(RPT_MONTH)-3,1),Datos!$D$3:$AL$3,0)),"")</f>
        <v/>
      </c>
      <c r="H587" t="s">
        <v>163</v>
      </c>
      <c r="I587" t="s">
        <v>932</v>
      </c>
      <c r="J587" s="258">
        <f t="shared" si="34"/>
        <v>46296</v>
      </c>
    </row>
    <row r="588" spans="1:10" ht="13.5" customHeight="1" x14ac:dyDescent="0.3">
      <c r="A588" t="s">
        <v>930</v>
      </c>
      <c r="B588" s="193" t="str">
        <f>YEAR(DATE(YEAR(RPT_MONTH),MONTH(RPT_MONTH)-3,1))&amp;"-"&amp;RIGHT("0"&amp;MONTH(DATE(YEAR(RPT_MONTH),MONTH(RPT_MONTH)-3,1)),2)</f>
        <v>2026-07</v>
      </c>
      <c r="C588" s="258">
        <f>DATE(YEAR(RPT_MONTH),MONTH(RPT_MONTH)-3,1)</f>
        <v>46204</v>
      </c>
      <c r="D588" t="s">
        <v>935</v>
      </c>
      <c r="E588" s="193" t="str">
        <f>IFERROR(INDEX(Datos!$D$11:$AL$11,MATCH(DATE(YEAR(RPT_MONTH),MONTH(RPT_MONTH)-3,1),Datos!$D$3:$AL$3,0)),"")</f>
        <v/>
      </c>
      <c r="H588" t="s">
        <v>156</v>
      </c>
      <c r="I588" t="s">
        <v>932</v>
      </c>
      <c r="J588" s="258">
        <f t="shared" si="34"/>
        <v>46296</v>
      </c>
    </row>
    <row r="589" spans="1:10" ht="13.5" customHeight="1" x14ac:dyDescent="0.3">
      <c r="A589" t="s">
        <v>930</v>
      </c>
      <c r="B589" s="193" t="str">
        <f>YEAR(DATE(YEAR(RPT_MONTH),MONTH(RPT_MONTH)-2,1))&amp;"-"&amp;RIGHT("0"&amp;MONTH(DATE(YEAR(RPT_MONTH),MONTH(RPT_MONTH)-2,1)),2)</f>
        <v>2026-08</v>
      </c>
      <c r="C589" s="258">
        <f>DATE(YEAR(RPT_MONTH),MONTH(RPT_MONTH)-2,1)</f>
        <v>46235</v>
      </c>
      <c r="D589" t="s">
        <v>931</v>
      </c>
      <c r="E589" s="193">
        <f>IFERROR(INDEX(Datos!$D$14:$AL$14,MATCH(DATE(YEAR(RPT_MONTH),MONTH(RPT_MONTH)-2,1),Datos!$D$3:$AL$3,0)),"")</f>
        <v>22988</v>
      </c>
      <c r="H589" t="s">
        <v>157</v>
      </c>
      <c r="I589" t="s">
        <v>932</v>
      </c>
      <c r="J589" s="258">
        <f t="shared" si="34"/>
        <v>46296</v>
      </c>
    </row>
    <row r="590" spans="1:10" ht="13.5" customHeight="1" x14ac:dyDescent="0.3">
      <c r="A590" t="s">
        <v>930</v>
      </c>
      <c r="B590" s="193" t="str">
        <f>YEAR(DATE(YEAR(RPT_MONTH),MONTH(RPT_MONTH)-2,1))&amp;"-"&amp;RIGHT("0"&amp;MONTH(DATE(YEAR(RPT_MONTH),MONTH(RPT_MONTH)-2,1)),2)</f>
        <v>2026-08</v>
      </c>
      <c r="C590" s="258">
        <f>DATE(YEAR(RPT_MONTH),MONTH(RPT_MONTH)-2,1)</f>
        <v>46235</v>
      </c>
      <c r="D590" t="s">
        <v>933</v>
      </c>
      <c r="E590" s="193">
        <f>IFERROR(INDEX(Datos!$D$18:$AL$18,MATCH(DATE(YEAR(RPT_MONTH),MONTH(RPT_MONTH)-2,1),Datos!$D$3:$AL$3,0)),"")</f>
        <v>1260</v>
      </c>
      <c r="H590" t="s">
        <v>157</v>
      </c>
      <c r="I590" t="s">
        <v>932</v>
      </c>
      <c r="J590" s="258">
        <f t="shared" si="34"/>
        <v>46296</v>
      </c>
    </row>
    <row r="591" spans="1:10" ht="13.5" customHeight="1" x14ac:dyDescent="0.3">
      <c r="A591" t="s">
        <v>930</v>
      </c>
      <c r="B591" s="193" t="str">
        <f>YEAR(DATE(YEAR(RPT_MONTH),MONTH(RPT_MONTH)-2,1))&amp;"-"&amp;RIGHT("0"&amp;MONTH(DATE(YEAR(RPT_MONTH),MONTH(RPT_MONTH)-2,1)),2)</f>
        <v>2026-08</v>
      </c>
      <c r="C591" s="258">
        <f>DATE(YEAR(RPT_MONTH),MONTH(RPT_MONTH)-2,1)</f>
        <v>46235</v>
      </c>
      <c r="D591" t="s">
        <v>934</v>
      </c>
      <c r="E591" s="193">
        <f>IFERROR(INDEX(Datos!$D$47:$AL$47,MATCH(DATE(YEAR(RPT_MONTH),MONTH(RPT_MONTH)-2,1),Datos!$D$3:$AL$3,0)),"")</f>
        <v>56057</v>
      </c>
      <c r="H591" t="s">
        <v>163</v>
      </c>
      <c r="I591" t="s">
        <v>932</v>
      </c>
      <c r="J591" s="258">
        <f t="shared" si="34"/>
        <v>46296</v>
      </c>
    </row>
    <row r="592" spans="1:10" ht="13.5" customHeight="1" x14ac:dyDescent="0.3">
      <c r="A592" t="s">
        <v>930</v>
      </c>
      <c r="B592" s="193" t="str">
        <f>YEAR(DATE(YEAR(RPT_MONTH),MONTH(RPT_MONTH)-2,1))&amp;"-"&amp;RIGHT("0"&amp;MONTH(DATE(YEAR(RPT_MONTH),MONTH(RPT_MONTH)-2,1)),2)</f>
        <v>2026-08</v>
      </c>
      <c r="C592" s="258">
        <f>DATE(YEAR(RPT_MONTH),MONTH(RPT_MONTH)-2,1)</f>
        <v>46235</v>
      </c>
      <c r="D592" t="s">
        <v>935</v>
      </c>
      <c r="E592" s="193">
        <f>IFERROR(INDEX(Datos!$D$11:$AL$11,MATCH(DATE(YEAR(RPT_MONTH),MONTH(RPT_MONTH)-2,1),Datos!$D$3:$AL$3,0)),"")</f>
        <v>92</v>
      </c>
      <c r="H592" t="s">
        <v>156</v>
      </c>
      <c r="I592" t="s">
        <v>932</v>
      </c>
      <c r="J592" s="258">
        <f t="shared" si="34"/>
        <v>46296</v>
      </c>
    </row>
    <row r="593" spans="1:10" ht="13.5" customHeight="1" x14ac:dyDescent="0.3">
      <c r="A593" t="s">
        <v>930</v>
      </c>
      <c r="B593" s="193" t="str">
        <f>YEAR(DATE(YEAR(RPT_MONTH),MONTH(RPT_MONTH)-1,1))&amp;"-"&amp;RIGHT("0"&amp;MONTH(DATE(YEAR(RPT_MONTH),MONTH(RPT_MONTH)-1,1)),2)</f>
        <v>2026-09</v>
      </c>
      <c r="C593" s="258">
        <f>DATE(YEAR(RPT_MONTH),MONTH(RPT_MONTH)-1,1)</f>
        <v>46266</v>
      </c>
      <c r="D593" t="s">
        <v>931</v>
      </c>
      <c r="E593" s="248">
        <f>IFERROR(INDEX(Datos!$D$14:$AL$14,MATCH(DATE(YEAR(RPT_MONTH),MONTH(RPT_MONTH)-1,1),Datos!$D$3:$AL$3,0)),"")</f>
        <v>25344</v>
      </c>
      <c r="H593" t="s">
        <v>157</v>
      </c>
      <c r="I593" t="s">
        <v>932</v>
      </c>
      <c r="J593" s="258">
        <f t="shared" si="34"/>
        <v>46296</v>
      </c>
    </row>
    <row r="594" spans="1:10" ht="13.5" customHeight="1" x14ac:dyDescent="0.3">
      <c r="A594" t="s">
        <v>930</v>
      </c>
      <c r="B594" s="193" t="str">
        <f>YEAR(DATE(YEAR(RPT_MONTH),MONTH(RPT_MONTH)-1,1))&amp;"-"&amp;RIGHT("0"&amp;MONTH(DATE(YEAR(RPT_MONTH),MONTH(RPT_MONTH)-1,1)),2)</f>
        <v>2026-09</v>
      </c>
      <c r="C594" s="258">
        <f>DATE(YEAR(RPT_MONTH),MONTH(RPT_MONTH)-1,1)</f>
        <v>46266</v>
      </c>
      <c r="D594" t="s">
        <v>933</v>
      </c>
      <c r="E594" s="248">
        <f>IFERROR(INDEX(Datos!$D$18:$AL$18,MATCH(DATE(YEAR(RPT_MONTH),MONTH(RPT_MONTH)-1,1),Datos!$D$3:$AL$3,0)),"")</f>
        <v>891</v>
      </c>
      <c r="H594" t="s">
        <v>157</v>
      </c>
      <c r="I594" t="s">
        <v>932</v>
      </c>
      <c r="J594" s="258">
        <f t="shared" si="34"/>
        <v>46296</v>
      </c>
    </row>
    <row r="595" spans="1:10" ht="13.5" customHeight="1" x14ac:dyDescent="0.3">
      <c r="A595" t="s">
        <v>930</v>
      </c>
      <c r="B595" s="193" t="str">
        <f>YEAR(DATE(YEAR(RPT_MONTH),MONTH(RPT_MONTH)-1,1))&amp;"-"&amp;RIGHT("0"&amp;MONTH(DATE(YEAR(RPT_MONTH),MONTH(RPT_MONTH)-1,1)),2)</f>
        <v>2026-09</v>
      </c>
      <c r="C595" s="258">
        <f>DATE(YEAR(RPT_MONTH),MONTH(RPT_MONTH)-1,1)</f>
        <v>46266</v>
      </c>
      <c r="D595" t="s">
        <v>934</v>
      </c>
      <c r="E595" s="248">
        <f>IFERROR(INDEX(Datos!$D$47:$AL$47,MATCH(DATE(YEAR(RPT_MONTH),MONTH(RPT_MONTH)-1,1),Datos!$D$3:$AL$3,0)),"")</f>
        <v>116767</v>
      </c>
      <c r="H595" t="s">
        <v>163</v>
      </c>
      <c r="I595" t="s">
        <v>932</v>
      </c>
      <c r="J595" s="258">
        <f t="shared" si="34"/>
        <v>46296</v>
      </c>
    </row>
    <row r="596" spans="1:10" ht="13.5" customHeight="1" x14ac:dyDescent="0.3">
      <c r="A596" t="s">
        <v>930</v>
      </c>
      <c r="B596" s="193" t="str">
        <f>YEAR(DATE(YEAR(RPT_MONTH),MONTH(RPT_MONTH)-1,1))&amp;"-"&amp;RIGHT("0"&amp;MONTH(DATE(YEAR(RPT_MONTH),MONTH(RPT_MONTH)-1,1)),2)</f>
        <v>2026-09</v>
      </c>
      <c r="C596" s="258">
        <f>DATE(YEAR(RPT_MONTH),MONTH(RPT_MONTH)-1,1)</f>
        <v>46266</v>
      </c>
      <c r="D596" t="s">
        <v>935</v>
      </c>
      <c r="E596" s="248">
        <f>IFERROR(INDEX(Datos!$D$11:$AL$11,MATCH(DATE(YEAR(RPT_MONTH),MONTH(RPT_MONTH)-1,1),Datos!$D$3:$AL$3,0)),"")</f>
        <v>123</v>
      </c>
      <c r="H596" t="s">
        <v>156</v>
      </c>
      <c r="I596" t="s">
        <v>932</v>
      </c>
      <c r="J596" s="258">
        <f t="shared" si="34"/>
        <v>46296</v>
      </c>
    </row>
    <row r="597" spans="1:10" ht="13.5" customHeight="1" x14ac:dyDescent="0.3">
      <c r="A597" t="s">
        <v>930</v>
      </c>
      <c r="B597" s="193" t="str">
        <f>YEAR(DATE(YEAR(RPT_MONTH),MONTH(RPT_MONTH)-0,1))&amp;"-"&amp;RIGHT("0"&amp;MONTH(DATE(YEAR(RPT_MONTH),MONTH(RPT_MONTH)-0,1)),2)</f>
        <v>2026-10</v>
      </c>
      <c r="C597" s="258">
        <f>DATE(YEAR(RPT_MONTH),MONTH(RPT_MONTH)-0,1)</f>
        <v>46296</v>
      </c>
      <c r="D597" t="s">
        <v>931</v>
      </c>
      <c r="E597" s="248">
        <f>IFERROR(INDEX(Datos!$D$14:$AL$14,MATCH(DATE(YEAR(RPT_MONTH),MONTH(RPT_MONTH)-0,1),Datos!$D$3:$AL$3,0)),"")</f>
        <v>0</v>
      </c>
      <c r="H597" t="s">
        <v>157</v>
      </c>
      <c r="I597" t="s">
        <v>932</v>
      </c>
      <c r="J597" s="258">
        <f t="shared" si="34"/>
        <v>46296</v>
      </c>
    </row>
    <row r="598" spans="1:10" ht="13.5" customHeight="1" x14ac:dyDescent="0.3">
      <c r="A598" t="s">
        <v>930</v>
      </c>
      <c r="B598" s="193" t="str">
        <f>YEAR(DATE(YEAR(RPT_MONTH),MONTH(RPT_MONTH)-0,1))&amp;"-"&amp;RIGHT("0"&amp;MONTH(DATE(YEAR(RPT_MONTH),MONTH(RPT_MONTH)-0,1)),2)</f>
        <v>2026-10</v>
      </c>
      <c r="C598" s="258">
        <f>DATE(YEAR(RPT_MONTH),MONTH(RPT_MONTH)-0,1)</f>
        <v>46296</v>
      </c>
      <c r="D598" t="s">
        <v>933</v>
      </c>
      <c r="E598" s="248">
        <f>IFERROR(INDEX(Datos!$D$18:$AL$18,MATCH(DATE(YEAR(RPT_MONTH),MONTH(RPT_MONTH)-0,1),Datos!$D$3:$AL$3,0)),"")</f>
        <v>0</v>
      </c>
      <c r="H598" t="s">
        <v>157</v>
      </c>
      <c r="I598" t="s">
        <v>932</v>
      </c>
      <c r="J598" s="258">
        <f t="shared" si="34"/>
        <v>46296</v>
      </c>
    </row>
    <row r="599" spans="1:10" ht="13.5" customHeight="1" x14ac:dyDescent="0.3">
      <c r="A599" t="s">
        <v>930</v>
      </c>
      <c r="B599" s="193" t="str">
        <f>YEAR(DATE(YEAR(RPT_MONTH),MONTH(RPT_MONTH)-0,1))&amp;"-"&amp;RIGHT("0"&amp;MONTH(DATE(YEAR(RPT_MONTH),MONTH(RPT_MONTH)-0,1)),2)</f>
        <v>2026-10</v>
      </c>
      <c r="C599" s="258">
        <f>DATE(YEAR(RPT_MONTH),MONTH(RPT_MONTH)-0,1)</f>
        <v>46296</v>
      </c>
      <c r="D599" t="s">
        <v>934</v>
      </c>
      <c r="E599" s="248">
        <f>IFERROR(INDEX(Datos!$D$47:$AL$47,MATCH(DATE(YEAR(RPT_MONTH),MONTH(RPT_MONTH)-0,1),Datos!$D$3:$AL$3,0)),"")</f>
        <v>0</v>
      </c>
      <c r="H599" t="s">
        <v>163</v>
      </c>
      <c r="I599" t="s">
        <v>932</v>
      </c>
      <c r="J599" s="258">
        <f t="shared" si="34"/>
        <v>46296</v>
      </c>
    </row>
    <row r="600" spans="1:10" ht="13.5" customHeight="1" x14ac:dyDescent="0.3">
      <c r="A600" t="s">
        <v>930</v>
      </c>
      <c r="B600" s="193" t="str">
        <f>YEAR(DATE(YEAR(RPT_MONTH),MONTH(RPT_MONTH)-0,1))&amp;"-"&amp;RIGHT("0"&amp;MONTH(DATE(YEAR(RPT_MONTH),MONTH(RPT_MONTH)-0,1)),2)</f>
        <v>2026-10</v>
      </c>
      <c r="C600" s="258">
        <f>DATE(YEAR(RPT_MONTH),MONTH(RPT_MONTH)-0,1)</f>
        <v>46296</v>
      </c>
      <c r="D600" t="s">
        <v>935</v>
      </c>
      <c r="E600" s="248">
        <f>IFERROR(INDEX(Datos!$D$11:$AL$11,MATCH(DATE(YEAR(RPT_MONTH),MONTH(RPT_MONTH)-0,1),Datos!$D$3:$AL$3,0)),"")</f>
        <v>0</v>
      </c>
      <c r="H600" t="s">
        <v>156</v>
      </c>
      <c r="I600" t="s">
        <v>932</v>
      </c>
      <c r="J600" s="258">
        <f t="shared" si="34"/>
        <v>46296</v>
      </c>
    </row>
    <row r="601" spans="1:10" ht="13.5" customHeight="1" x14ac:dyDescent="0.3">
      <c r="A601" t="s">
        <v>936</v>
      </c>
      <c r="B601" s="193" t="str">
        <f>Listas!F2</f>
        <v>Acto estándar</v>
      </c>
      <c r="C601" s="258">
        <f t="shared" ref="C601:C632" si="35">RPT_MONTH</f>
        <v>46296</v>
      </c>
      <c r="D601" t="s">
        <v>937</v>
      </c>
      <c r="E601" s="193">
        <f>COUNTIFS(_FIND_DS!$I$2:$I$1001,Listas!F2,_FIND_DS!$X$2:$X$1001,RPT_MONTH)</f>
        <v>0</v>
      </c>
      <c r="H601" t="s">
        <v>100</v>
      </c>
      <c r="I601" t="s">
        <v>95</v>
      </c>
      <c r="J601" s="258">
        <f t="shared" si="34"/>
        <v>46296</v>
      </c>
    </row>
    <row r="602" spans="1:10" ht="13.5" customHeight="1" x14ac:dyDescent="0.3">
      <c r="A602" t="s">
        <v>936</v>
      </c>
      <c r="B602" s="193" t="str">
        <f>Listas!F3</f>
        <v>Acto Subestándar</v>
      </c>
      <c r="C602" s="258">
        <f t="shared" si="35"/>
        <v>46296</v>
      </c>
      <c r="D602" t="s">
        <v>937</v>
      </c>
      <c r="E602" s="193">
        <f>COUNTIFS(_FIND_DS!$I$2:$I$1001,Listas!F3,_FIND_DS!$X$2:$X$1001,RPT_MONTH)</f>
        <v>0</v>
      </c>
      <c r="H602" t="s">
        <v>100</v>
      </c>
      <c r="I602" t="s">
        <v>95</v>
      </c>
      <c r="J602" s="258">
        <f t="shared" si="34"/>
        <v>46296</v>
      </c>
    </row>
    <row r="603" spans="1:10" ht="13.5" customHeight="1" x14ac:dyDescent="0.3">
      <c r="A603" t="s">
        <v>936</v>
      </c>
      <c r="B603" s="193" t="str">
        <f>Listas!F4</f>
        <v>Condición estándar</v>
      </c>
      <c r="C603" s="258">
        <f t="shared" si="35"/>
        <v>46296</v>
      </c>
      <c r="D603" t="s">
        <v>937</v>
      </c>
      <c r="E603" s="193">
        <f>COUNTIFS(_FIND_DS!$I$2:$I$1001,Listas!F4,_FIND_DS!$X$2:$X$1001,RPT_MONTH)</f>
        <v>0</v>
      </c>
      <c r="H603" t="s">
        <v>100</v>
      </c>
      <c r="I603" t="s">
        <v>95</v>
      </c>
      <c r="J603" s="258">
        <f t="shared" si="34"/>
        <v>46296</v>
      </c>
    </row>
    <row r="604" spans="1:10" ht="13.5" customHeight="1" x14ac:dyDescent="0.3">
      <c r="A604" t="s">
        <v>936</v>
      </c>
      <c r="B604" s="193" t="str">
        <f>Listas!F5</f>
        <v>Condición subestándar</v>
      </c>
      <c r="C604" s="258">
        <f t="shared" si="35"/>
        <v>46296</v>
      </c>
      <c r="D604" t="s">
        <v>937</v>
      </c>
      <c r="E604" s="193">
        <f>COUNTIFS(_FIND_DS!$I$2:$I$1001,Listas!F5,_FIND_DS!$X$2:$X$1001,RPT_MONTH)</f>
        <v>0</v>
      </c>
      <c r="H604" t="s">
        <v>100</v>
      </c>
      <c r="I604" t="s">
        <v>95</v>
      </c>
      <c r="J604" s="258">
        <f t="shared" si="34"/>
        <v>46296</v>
      </c>
    </row>
    <row r="605" spans="1:10" ht="13.5" customHeight="1" x14ac:dyDescent="0.3">
      <c r="A605" t="s">
        <v>936</v>
      </c>
      <c r="B605" s="193" t="str">
        <f>Listas!F6</f>
        <v>Desvío requisito legal</v>
      </c>
      <c r="C605" s="258">
        <f t="shared" si="35"/>
        <v>46296</v>
      </c>
      <c r="D605" t="s">
        <v>937</v>
      </c>
      <c r="E605" s="193">
        <f>COUNTIFS(_FIND_DS!$I$2:$I$1001,Listas!F6,_FIND_DS!$X$2:$X$1001,RPT_MONTH)</f>
        <v>0</v>
      </c>
      <c r="H605" t="s">
        <v>100</v>
      </c>
      <c r="I605" t="s">
        <v>95</v>
      </c>
      <c r="J605" s="258">
        <f t="shared" si="34"/>
        <v>46296</v>
      </c>
    </row>
    <row r="606" spans="1:10" ht="13.5" customHeight="1" x14ac:dyDescent="0.3">
      <c r="A606" t="s">
        <v>936</v>
      </c>
      <c r="B606" s="193" t="str">
        <f>Listas!F7</f>
        <v>Cumplimiento</v>
      </c>
      <c r="C606" s="258">
        <f t="shared" si="35"/>
        <v>46296</v>
      </c>
      <c r="D606" t="s">
        <v>937</v>
      </c>
      <c r="E606" s="193">
        <f>COUNTIFS(_FIND_DS!$I$2:$I$1001,Listas!F7,_FIND_DS!$X$2:$X$1001,RPT_MONTH)</f>
        <v>0</v>
      </c>
      <c r="H606" t="s">
        <v>100</v>
      </c>
      <c r="I606" t="s">
        <v>95</v>
      </c>
      <c r="J606" s="258">
        <f t="shared" si="34"/>
        <v>46296</v>
      </c>
    </row>
    <row r="607" spans="1:10" ht="13.5" customHeight="1" x14ac:dyDescent="0.3">
      <c r="A607" t="s">
        <v>936</v>
      </c>
      <c r="B607" s="193" t="str">
        <f>Listas!F8</f>
        <v>Fortaleza</v>
      </c>
      <c r="C607" s="258">
        <f t="shared" si="35"/>
        <v>46296</v>
      </c>
      <c r="D607" t="s">
        <v>937</v>
      </c>
      <c r="E607" s="193">
        <f>COUNTIFS(_FIND_DS!$I$2:$I$1001,Listas!F8,_FIND_DS!$X$2:$X$1001,RPT_MONTH)</f>
        <v>0</v>
      </c>
      <c r="H607" t="s">
        <v>100</v>
      </c>
      <c r="I607" t="s">
        <v>95</v>
      </c>
      <c r="J607" s="258">
        <f t="shared" si="34"/>
        <v>46296</v>
      </c>
    </row>
    <row r="608" spans="1:10" ht="13.5" customHeight="1" x14ac:dyDescent="0.3">
      <c r="A608" t="s">
        <v>938</v>
      </c>
      <c r="B608" s="193" t="str">
        <f>Listas!B2</f>
        <v>Área 1   Obrador</v>
      </c>
      <c r="C608" s="258">
        <f t="shared" si="35"/>
        <v>46296</v>
      </c>
      <c r="D608" t="s">
        <v>937</v>
      </c>
      <c r="E608" s="193">
        <f>COUNTIFS(_FIND_DS!$D$2:$D$1001,Listas!B2,_FIND_DS!$X$2:$X$1001,RPT_MONTH)</f>
        <v>0</v>
      </c>
      <c r="H608" t="s">
        <v>100</v>
      </c>
      <c r="I608" t="s">
        <v>95</v>
      </c>
      <c r="J608" s="258">
        <f t="shared" si="34"/>
        <v>46296</v>
      </c>
    </row>
    <row r="609" spans="1:10" ht="13.5" customHeight="1" x14ac:dyDescent="0.3">
      <c r="A609" t="s">
        <v>938</v>
      </c>
      <c r="B609" s="193" t="str">
        <f>Listas!B3</f>
        <v>Área 2   Est. Pesados</v>
      </c>
      <c r="C609" s="258">
        <f t="shared" si="35"/>
        <v>46296</v>
      </c>
      <c r="D609" t="s">
        <v>937</v>
      </c>
      <c r="E609" s="193">
        <f>COUNTIFS(_FIND_DS!$D$2:$D$1001,Listas!B3,_FIND_DS!$X$2:$X$1001,RPT_MONTH)</f>
        <v>0</v>
      </c>
      <c r="H609" t="s">
        <v>100</v>
      </c>
      <c r="I609" t="s">
        <v>95</v>
      </c>
      <c r="J609" s="258">
        <f t="shared" si="34"/>
        <v>46296</v>
      </c>
    </row>
    <row r="610" spans="1:10" ht="13.5" customHeight="1" x14ac:dyDescent="0.3">
      <c r="A610" t="s">
        <v>938</v>
      </c>
      <c r="B610" s="193" t="str">
        <f>Listas!B4</f>
        <v>Área 3   Pta. combustible</v>
      </c>
      <c r="C610" s="258">
        <f t="shared" si="35"/>
        <v>46296</v>
      </c>
      <c r="D610" t="s">
        <v>937</v>
      </c>
      <c r="E610" s="193">
        <f>COUNTIFS(_FIND_DS!$D$2:$D$1001,Listas!B4,_FIND_DS!$X$2:$X$1001,RPT_MONTH)</f>
        <v>0</v>
      </c>
      <c r="H610" t="s">
        <v>100</v>
      </c>
      <c r="I610" t="s">
        <v>95</v>
      </c>
      <c r="J610" s="258">
        <f t="shared" si="34"/>
        <v>46296</v>
      </c>
    </row>
    <row r="611" spans="1:10" ht="13.5" customHeight="1" x14ac:dyDescent="0.3">
      <c r="A611" t="s">
        <v>938</v>
      </c>
      <c r="B611" s="193" t="str">
        <f>Listas!B5</f>
        <v>Área 4   Generadores</v>
      </c>
      <c r="C611" s="258">
        <f t="shared" si="35"/>
        <v>46296</v>
      </c>
      <c r="D611" t="s">
        <v>937</v>
      </c>
      <c r="E611" s="193">
        <f>COUNTIFS(_FIND_DS!$D$2:$D$1001,Listas!B5,_FIND_DS!$X$2:$X$1001,RPT_MONTH)</f>
        <v>0</v>
      </c>
      <c r="H611" t="s">
        <v>100</v>
      </c>
      <c r="I611" t="s">
        <v>95</v>
      </c>
      <c r="J611" s="258">
        <f t="shared" si="34"/>
        <v>46296</v>
      </c>
    </row>
    <row r="612" spans="1:10" ht="13.5" customHeight="1" x14ac:dyDescent="0.3">
      <c r="A612" t="s">
        <v>938</v>
      </c>
      <c r="B612" s="193" t="str">
        <f>Listas!B6</f>
        <v>Área 5   Mtto. Mecánico.</v>
      </c>
      <c r="C612" s="258">
        <f t="shared" si="35"/>
        <v>46296</v>
      </c>
      <c r="D612" t="s">
        <v>937</v>
      </c>
      <c r="E612" s="193">
        <f>COUNTIFS(_FIND_DS!$D$2:$D$1001,Listas!B6,_FIND_DS!$X$2:$X$1001,RPT_MONTH)</f>
        <v>0</v>
      </c>
      <c r="H612" t="s">
        <v>100</v>
      </c>
      <c r="I612" t="s">
        <v>95</v>
      </c>
      <c r="J612" s="258">
        <f t="shared" si="34"/>
        <v>46296</v>
      </c>
    </row>
    <row r="613" spans="1:10" ht="13.5" customHeight="1" x14ac:dyDescent="0.3">
      <c r="A613" t="s">
        <v>938</v>
      </c>
      <c r="B613" s="193" t="str">
        <f>Listas!B7</f>
        <v>Área 6   Lab.- baños</v>
      </c>
      <c r="C613" s="258">
        <f t="shared" si="35"/>
        <v>46296</v>
      </c>
      <c r="D613" t="s">
        <v>937</v>
      </c>
      <c r="E613" s="193">
        <f>COUNTIFS(_FIND_DS!$D$2:$D$1001,Listas!B7,_FIND_DS!$X$2:$X$1001,RPT_MONTH)</f>
        <v>0</v>
      </c>
      <c r="H613" t="s">
        <v>100</v>
      </c>
      <c r="I613" t="s">
        <v>95</v>
      </c>
      <c r="J613" s="258">
        <f t="shared" si="34"/>
        <v>46296</v>
      </c>
    </row>
    <row r="614" spans="1:10" ht="13.5" customHeight="1" x14ac:dyDescent="0.3">
      <c r="A614" t="s">
        <v>938</v>
      </c>
      <c r="B614" s="193" t="str">
        <f>Listas!B8</f>
        <v>Área 7   Prefabricados</v>
      </c>
      <c r="C614" s="258">
        <f t="shared" si="35"/>
        <v>46296</v>
      </c>
      <c r="D614" t="s">
        <v>937</v>
      </c>
      <c r="E614" s="193">
        <f>COUNTIFS(_FIND_DS!$D$2:$D$1001,Listas!B8,_FIND_DS!$X$2:$X$1001,RPT_MONTH)</f>
        <v>0</v>
      </c>
      <c r="H614" t="s">
        <v>100</v>
      </c>
      <c r="I614" t="s">
        <v>95</v>
      </c>
      <c r="J614" s="258">
        <f t="shared" si="34"/>
        <v>46296</v>
      </c>
    </row>
    <row r="615" spans="1:10" ht="13.5" customHeight="1" x14ac:dyDescent="0.3">
      <c r="A615" t="s">
        <v>938</v>
      </c>
      <c r="B615" s="193" t="str">
        <f>Listas!B9</f>
        <v>Área 8   Periferia</v>
      </c>
      <c r="C615" s="258">
        <f t="shared" si="35"/>
        <v>46296</v>
      </c>
      <c r="D615" t="s">
        <v>937</v>
      </c>
      <c r="E615" s="193">
        <f>COUNTIFS(_FIND_DS!$D$2:$D$1001,Listas!B9,_FIND_DS!$X$2:$X$1001,RPT_MONTH)</f>
        <v>0</v>
      </c>
      <c r="H615" t="s">
        <v>100</v>
      </c>
      <c r="I615" t="s">
        <v>95</v>
      </c>
      <c r="J615" s="258">
        <f t="shared" si="34"/>
        <v>46296</v>
      </c>
    </row>
    <row r="616" spans="1:10" ht="13.5" customHeight="1" x14ac:dyDescent="0.3">
      <c r="A616" t="s">
        <v>938</v>
      </c>
      <c r="B616" s="193" t="str">
        <f>Listas!B10</f>
        <v>Área 9   Sendas peatonales</v>
      </c>
      <c r="C616" s="258">
        <f t="shared" si="35"/>
        <v>46296</v>
      </c>
      <c r="D616" t="s">
        <v>937</v>
      </c>
      <c r="E616" s="193">
        <f>COUNTIFS(_FIND_DS!$D$2:$D$1001,Listas!B10,_FIND_DS!$X$2:$X$1001,RPT_MONTH)</f>
        <v>0</v>
      </c>
      <c r="H616" t="s">
        <v>100</v>
      </c>
      <c r="I616" t="s">
        <v>95</v>
      </c>
      <c r="J616" s="258">
        <f t="shared" si="34"/>
        <v>46296</v>
      </c>
    </row>
    <row r="617" spans="1:10" ht="13.5" customHeight="1" x14ac:dyDescent="0.3">
      <c r="A617" t="s">
        <v>938</v>
      </c>
      <c r="B617" s="193" t="str">
        <f>Listas!B11</f>
        <v>Área 10  Sector de hormigonado</v>
      </c>
      <c r="C617" s="258">
        <f t="shared" si="35"/>
        <v>46296</v>
      </c>
      <c r="D617" t="s">
        <v>937</v>
      </c>
      <c r="E617" s="193">
        <f>COUNTIFS(_FIND_DS!$D$2:$D$1001,Listas!B11,_FIND_DS!$X$2:$X$1001,RPT_MONTH)</f>
        <v>0</v>
      </c>
      <c r="H617" t="s">
        <v>100</v>
      </c>
      <c r="I617" t="s">
        <v>95</v>
      </c>
      <c r="J617" s="258">
        <f t="shared" si="34"/>
        <v>46296</v>
      </c>
    </row>
    <row r="618" spans="1:10" ht="13.5" customHeight="1" x14ac:dyDescent="0.3">
      <c r="A618" t="s">
        <v>938</v>
      </c>
      <c r="B618" s="193" t="str">
        <f>Listas!B12</f>
        <v>Área 11 Plataforma de PC</v>
      </c>
      <c r="C618" s="258">
        <f t="shared" si="35"/>
        <v>46296</v>
      </c>
      <c r="D618" t="s">
        <v>937</v>
      </c>
      <c r="E618" s="193">
        <f>COUNTIFS(_FIND_DS!$D$2:$D$1001,Listas!B12,_FIND_DS!$X$2:$X$1001,RPT_MONTH)</f>
        <v>0</v>
      </c>
      <c r="H618" t="s">
        <v>100</v>
      </c>
      <c r="I618" t="s">
        <v>95</v>
      </c>
      <c r="J618" s="258">
        <f t="shared" si="34"/>
        <v>46296</v>
      </c>
    </row>
    <row r="619" spans="1:10" ht="13.5" customHeight="1" x14ac:dyDescent="0.3">
      <c r="A619" t="s">
        <v>938</v>
      </c>
      <c r="B619" s="193" t="str">
        <f>Listas!B13</f>
        <v>Área 12 Ingreso desde Ruta N° 6</v>
      </c>
      <c r="C619" s="258">
        <f t="shared" si="35"/>
        <v>46296</v>
      </c>
      <c r="D619" t="s">
        <v>937</v>
      </c>
      <c r="E619" s="193">
        <f>COUNTIFS(_FIND_DS!$D$2:$D$1001,Listas!B13,_FIND_DS!$X$2:$X$1001,RPT_MONTH)</f>
        <v>0</v>
      </c>
      <c r="H619" t="s">
        <v>100</v>
      </c>
      <c r="I619" t="s">
        <v>95</v>
      </c>
      <c r="J619" s="258">
        <f t="shared" si="34"/>
        <v>46296</v>
      </c>
    </row>
    <row r="620" spans="1:10" ht="13.5" customHeight="1" x14ac:dyDescent="0.3">
      <c r="A620" t="s">
        <v>938</v>
      </c>
      <c r="B620" s="193" t="str">
        <f>Listas!B14</f>
        <v>Área 13 Acopio contenedores de residuos</v>
      </c>
      <c r="C620" s="258">
        <f t="shared" si="35"/>
        <v>46296</v>
      </c>
      <c r="D620" t="s">
        <v>937</v>
      </c>
      <c r="E620" s="193">
        <f>COUNTIFS(_FIND_DS!$D$2:$D$1001,Listas!B14,_FIND_DS!$X$2:$X$1001,RPT_MONTH)</f>
        <v>0</v>
      </c>
      <c r="H620" t="s">
        <v>100</v>
      </c>
      <c r="I620" t="s">
        <v>95</v>
      </c>
      <c r="J620" s="258">
        <f t="shared" si="34"/>
        <v>46296</v>
      </c>
    </row>
    <row r="621" spans="1:10" ht="13.5" customHeight="1" x14ac:dyDescent="0.3">
      <c r="A621" t="s">
        <v>938</v>
      </c>
      <c r="B621" s="193" t="str">
        <f>Listas!B15</f>
        <v>Área 14</v>
      </c>
      <c r="C621" s="258">
        <f t="shared" si="35"/>
        <v>46296</v>
      </c>
      <c r="D621" t="s">
        <v>937</v>
      </c>
      <c r="E621" s="193">
        <f>COUNTIFS(_FIND_DS!$D$2:$D$1001,Listas!B15,_FIND_DS!$X$2:$X$1001,RPT_MONTH)</f>
        <v>0</v>
      </c>
      <c r="H621" t="s">
        <v>100</v>
      </c>
      <c r="I621" t="s">
        <v>95</v>
      </c>
      <c r="J621" s="258">
        <f t="shared" si="34"/>
        <v>46296</v>
      </c>
    </row>
    <row r="622" spans="1:10" ht="13.5" customHeight="1" x14ac:dyDescent="0.3">
      <c r="A622" t="s">
        <v>938</v>
      </c>
      <c r="B622" s="193" t="str">
        <f>Listas!B16</f>
        <v>Área 15</v>
      </c>
      <c r="C622" s="258">
        <f t="shared" si="35"/>
        <v>46296</v>
      </c>
      <c r="D622" t="s">
        <v>937</v>
      </c>
      <c r="E622" s="193">
        <f>COUNTIFS(_FIND_DS!$D$2:$D$1001,Listas!B16,_FIND_DS!$X$2:$X$1001,RPT_MONTH)</f>
        <v>0</v>
      </c>
      <c r="H622" t="s">
        <v>100</v>
      </c>
      <c r="I622" t="s">
        <v>95</v>
      </c>
      <c r="J622" s="258">
        <f t="shared" si="34"/>
        <v>46296</v>
      </c>
    </row>
    <row r="623" spans="1:10" ht="13.5" customHeight="1" x14ac:dyDescent="0.3">
      <c r="A623" t="s">
        <v>938</v>
      </c>
      <c r="B623" s="193" t="str">
        <f>Listas!B17</f>
        <v>Área 16</v>
      </c>
      <c r="C623" s="258">
        <f t="shared" si="35"/>
        <v>46296</v>
      </c>
      <c r="D623" t="s">
        <v>937</v>
      </c>
      <c r="E623" s="193">
        <f>COUNTIFS(_FIND_DS!$D$2:$D$1001,Listas!B17,_FIND_DS!$X$2:$X$1001,RPT_MONTH)</f>
        <v>0</v>
      </c>
      <c r="H623" t="s">
        <v>100</v>
      </c>
      <c r="I623" t="s">
        <v>95</v>
      </c>
      <c r="J623" s="258">
        <f t="shared" si="34"/>
        <v>46296</v>
      </c>
    </row>
    <row r="624" spans="1:10" ht="13.5" customHeight="1" x14ac:dyDescent="0.3">
      <c r="A624" t="s">
        <v>938</v>
      </c>
      <c r="B624" s="193" t="str">
        <f>Listas!B18</f>
        <v>Área 17</v>
      </c>
      <c r="C624" s="258">
        <f t="shared" si="35"/>
        <v>46296</v>
      </c>
      <c r="D624" t="s">
        <v>937</v>
      </c>
      <c r="E624" s="193">
        <f>COUNTIFS(_FIND_DS!$D$2:$D$1001,Listas!B18,_FIND_DS!$X$2:$X$1001,RPT_MONTH)</f>
        <v>0</v>
      </c>
      <c r="H624" t="s">
        <v>100</v>
      </c>
      <c r="I624" t="s">
        <v>95</v>
      </c>
      <c r="J624" s="258">
        <f t="shared" si="34"/>
        <v>46296</v>
      </c>
    </row>
    <row r="625" spans="1:10" ht="13.5" customHeight="1" x14ac:dyDescent="0.3">
      <c r="A625" t="s">
        <v>938</v>
      </c>
      <c r="B625" s="193" t="str">
        <f>Listas!B19</f>
        <v>Área 18</v>
      </c>
      <c r="C625" s="258">
        <f t="shared" si="35"/>
        <v>46296</v>
      </c>
      <c r="D625" t="s">
        <v>937</v>
      </c>
      <c r="E625" s="193">
        <f>COUNTIFS(_FIND_DS!$D$2:$D$1001,Listas!B19,_FIND_DS!$X$2:$X$1001,RPT_MONTH)</f>
        <v>0</v>
      </c>
      <c r="H625" t="s">
        <v>100</v>
      </c>
      <c r="I625" t="s">
        <v>95</v>
      </c>
      <c r="J625" s="258">
        <f t="shared" si="34"/>
        <v>46296</v>
      </c>
    </row>
    <row r="626" spans="1:10" ht="13.5" customHeight="1" x14ac:dyDescent="0.3">
      <c r="A626" t="s">
        <v>938</v>
      </c>
      <c r="B626" s="193" t="str">
        <f>Listas!B20</f>
        <v>Área 19</v>
      </c>
      <c r="C626" s="258">
        <f t="shared" si="35"/>
        <v>46296</v>
      </c>
      <c r="D626" t="s">
        <v>937</v>
      </c>
      <c r="E626" s="193">
        <f>COUNTIFS(_FIND_DS!$D$2:$D$1001,Listas!B20,_FIND_DS!$X$2:$X$1001,RPT_MONTH)</f>
        <v>0</v>
      </c>
      <c r="H626" t="s">
        <v>100</v>
      </c>
      <c r="I626" t="s">
        <v>95</v>
      </c>
      <c r="J626" s="258">
        <f t="shared" si="34"/>
        <v>46296</v>
      </c>
    </row>
    <row r="627" spans="1:10" ht="13.5" customHeight="1" x14ac:dyDescent="0.3">
      <c r="A627" t="s">
        <v>938</v>
      </c>
      <c r="B627" s="193" t="str">
        <f>Listas!B21</f>
        <v>Área 20</v>
      </c>
      <c r="C627" s="258">
        <f t="shared" si="35"/>
        <v>46296</v>
      </c>
      <c r="D627" t="s">
        <v>937</v>
      </c>
      <c r="E627" s="193">
        <f>COUNTIFS(_FIND_DS!$D$2:$D$1001,Listas!B21,_FIND_DS!$X$2:$X$1001,RPT_MONTH)</f>
        <v>0</v>
      </c>
      <c r="H627" t="s">
        <v>100</v>
      </c>
      <c r="I627" t="s">
        <v>95</v>
      </c>
      <c r="J627" s="258">
        <f t="shared" si="34"/>
        <v>46296</v>
      </c>
    </row>
    <row r="628" spans="1:10" ht="13.5" customHeight="1" x14ac:dyDescent="0.3">
      <c r="A628" t="s">
        <v>938</v>
      </c>
      <c r="B628" s="193" t="str">
        <f>Listas!B22</f>
        <v>Área 21</v>
      </c>
      <c r="C628" s="258">
        <f t="shared" si="35"/>
        <v>46296</v>
      </c>
      <c r="D628" t="s">
        <v>937</v>
      </c>
      <c r="E628" s="193">
        <f>COUNTIFS(_FIND_DS!$D$2:$D$1001,Listas!B22,_FIND_DS!$X$2:$X$1001,RPT_MONTH)</f>
        <v>0</v>
      </c>
      <c r="H628" t="s">
        <v>100</v>
      </c>
      <c r="I628" t="s">
        <v>95</v>
      </c>
      <c r="J628" s="258">
        <f t="shared" si="34"/>
        <v>46296</v>
      </c>
    </row>
    <row r="629" spans="1:10" ht="13.5" customHeight="1" x14ac:dyDescent="0.3">
      <c r="A629" t="s">
        <v>938</v>
      </c>
      <c r="B629" s="193" t="str">
        <f>Listas!B23</f>
        <v>Área 22</v>
      </c>
      <c r="C629" s="258">
        <f t="shared" si="35"/>
        <v>46296</v>
      </c>
      <c r="D629" t="s">
        <v>937</v>
      </c>
      <c r="E629" s="193">
        <f>COUNTIFS(_FIND_DS!$D$2:$D$1001,Listas!B23,_FIND_DS!$X$2:$X$1001,RPT_MONTH)</f>
        <v>0</v>
      </c>
      <c r="H629" t="s">
        <v>100</v>
      </c>
      <c r="I629" t="s">
        <v>95</v>
      </c>
      <c r="J629" s="258">
        <f t="shared" si="34"/>
        <v>46296</v>
      </c>
    </row>
    <row r="630" spans="1:10" ht="13.5" customHeight="1" x14ac:dyDescent="0.3">
      <c r="A630" t="s">
        <v>938</v>
      </c>
      <c r="B630" s="193" t="str">
        <f>Listas!B24</f>
        <v>Área 23</v>
      </c>
      <c r="C630" s="258">
        <f t="shared" si="35"/>
        <v>46296</v>
      </c>
      <c r="D630" t="s">
        <v>937</v>
      </c>
      <c r="E630" s="193">
        <f>COUNTIFS(_FIND_DS!$D$2:$D$1001,Listas!B24,_FIND_DS!$X$2:$X$1001,RPT_MONTH)</f>
        <v>0</v>
      </c>
      <c r="H630" t="s">
        <v>100</v>
      </c>
      <c r="I630" t="s">
        <v>95</v>
      </c>
      <c r="J630" s="258">
        <f t="shared" si="34"/>
        <v>46296</v>
      </c>
    </row>
    <row r="631" spans="1:10" ht="13.5" customHeight="1" x14ac:dyDescent="0.3">
      <c r="A631" t="s">
        <v>938</v>
      </c>
      <c r="B631" s="193" t="str">
        <f>Listas!B25</f>
        <v>Área 24</v>
      </c>
      <c r="C631" s="258">
        <f t="shared" si="35"/>
        <v>46296</v>
      </c>
      <c r="D631" t="s">
        <v>937</v>
      </c>
      <c r="E631" s="193">
        <f>COUNTIFS(_FIND_DS!$D$2:$D$1001,Listas!B25,_FIND_DS!$X$2:$X$1001,RPT_MONTH)</f>
        <v>0</v>
      </c>
      <c r="H631" t="s">
        <v>100</v>
      </c>
      <c r="I631" t="s">
        <v>95</v>
      </c>
      <c r="J631" s="258">
        <f t="shared" si="34"/>
        <v>46296</v>
      </c>
    </row>
    <row r="632" spans="1:10" ht="13.5" customHeight="1" x14ac:dyDescent="0.3">
      <c r="A632" t="s">
        <v>938</v>
      </c>
      <c r="B632" s="193" t="str">
        <f>Listas!B26</f>
        <v>Área 25</v>
      </c>
      <c r="C632" s="258">
        <f t="shared" si="35"/>
        <v>46296</v>
      </c>
      <c r="D632" t="s">
        <v>937</v>
      </c>
      <c r="E632" s="193">
        <f>COUNTIFS(_FIND_DS!$D$2:$D$1001,Listas!B26,_FIND_DS!$X$2:$X$1001,RPT_MONTH)</f>
        <v>0</v>
      </c>
      <c r="H632" t="s">
        <v>100</v>
      </c>
      <c r="I632" t="s">
        <v>95</v>
      </c>
      <c r="J632" s="258">
        <f t="shared" si="34"/>
        <v>46296</v>
      </c>
    </row>
    <row r="633" spans="1:10" ht="13.5" customHeight="1" x14ac:dyDescent="0.3">
      <c r="A633" t="s">
        <v>939</v>
      </c>
      <c r="B633" s="193" t="str">
        <f>Listas!D2</f>
        <v>OPS</v>
      </c>
      <c r="C633" s="258">
        <f t="shared" ref="C633:C666" si="36">RPT_MONTH</f>
        <v>46296</v>
      </c>
      <c r="D633" t="s">
        <v>937</v>
      </c>
      <c r="E633" s="193">
        <f>COUNTIFS(_FIND_DS!$F$2:$F$1001,Listas!D2,_FIND_DS!$X$2:$X$1001,RPT_MONTH)</f>
        <v>3</v>
      </c>
      <c r="H633" t="s">
        <v>100</v>
      </c>
      <c r="I633" t="s">
        <v>95</v>
      </c>
      <c r="J633" s="258">
        <f t="shared" si="34"/>
        <v>46296</v>
      </c>
    </row>
    <row r="634" spans="1:10" ht="13.5" customHeight="1" x14ac:dyDescent="0.3">
      <c r="A634" t="s">
        <v>939</v>
      </c>
      <c r="B634" s="193" t="str">
        <f>Listas!D3</f>
        <v>SPUSA</v>
      </c>
      <c r="C634" s="258">
        <f t="shared" si="36"/>
        <v>46296</v>
      </c>
      <c r="D634" t="s">
        <v>937</v>
      </c>
      <c r="E634" s="193">
        <f>COUNTIFS(_FIND_DS!$F$2:$F$1001,Listas!D3,_FIND_DS!$X$2:$X$1001,RPT_MONTH)</f>
        <v>0</v>
      </c>
      <c r="H634" t="s">
        <v>100</v>
      </c>
      <c r="I634" t="s">
        <v>95</v>
      </c>
      <c r="J634" s="258">
        <f t="shared" si="34"/>
        <v>46296</v>
      </c>
    </row>
    <row r="635" spans="1:10" ht="13.5" customHeight="1" x14ac:dyDescent="0.3">
      <c r="A635" t="s">
        <v>939</v>
      </c>
      <c r="B635" s="193" t="str">
        <f>Listas!D4</f>
        <v>CAT Finning</v>
      </c>
      <c r="C635" s="258">
        <f t="shared" si="36"/>
        <v>46296</v>
      </c>
      <c r="D635" t="s">
        <v>937</v>
      </c>
      <c r="E635" s="193">
        <f>COUNTIFS(_FIND_DS!$F$2:$F$1001,Listas!D4,_FIND_DS!$X$2:$X$1001,RPT_MONTH)</f>
        <v>0</v>
      </c>
      <c r="H635" t="s">
        <v>100</v>
      </c>
      <c r="I635" t="s">
        <v>95</v>
      </c>
      <c r="J635" s="258">
        <f t="shared" si="34"/>
        <v>46296</v>
      </c>
    </row>
    <row r="636" spans="1:10" ht="13.5" customHeight="1" x14ac:dyDescent="0.3">
      <c r="A636" t="s">
        <v>940</v>
      </c>
      <c r="B636" s="193" t="str">
        <f>Listas!C2</f>
        <v>Civil</v>
      </c>
      <c r="C636" s="258">
        <f t="shared" si="36"/>
        <v>46296</v>
      </c>
      <c r="D636" t="s">
        <v>937</v>
      </c>
      <c r="E636" s="193">
        <f>COUNTIFS(_FIND_DS!$E$2:$E$1001,Listas!C2,_FIND_DS!$X$2:$X$1001,RPT_MONTH)</f>
        <v>1</v>
      </c>
      <c r="H636" t="s">
        <v>100</v>
      </c>
      <c r="I636" t="s">
        <v>95</v>
      </c>
      <c r="J636" s="258">
        <f t="shared" si="34"/>
        <v>46296</v>
      </c>
    </row>
    <row r="637" spans="1:10" ht="13.5" customHeight="1" x14ac:dyDescent="0.3">
      <c r="A637" t="s">
        <v>940</v>
      </c>
      <c r="B637" s="193" t="str">
        <f>Listas!C3</f>
        <v>SSGG</v>
      </c>
      <c r="C637" s="258">
        <f t="shared" si="36"/>
        <v>46296</v>
      </c>
      <c r="D637" t="s">
        <v>937</v>
      </c>
      <c r="E637" s="193">
        <f>COUNTIFS(_FIND_DS!$E$2:$E$1001,Listas!C3,_FIND_DS!$X$2:$X$1001,RPT_MONTH)</f>
        <v>0</v>
      </c>
      <c r="H637" t="s">
        <v>100</v>
      </c>
      <c r="I637" t="s">
        <v>95</v>
      </c>
      <c r="J637" s="258">
        <f t="shared" si="34"/>
        <v>46296</v>
      </c>
    </row>
    <row r="638" spans="1:10" ht="13.5" customHeight="1" x14ac:dyDescent="0.3">
      <c r="A638" t="s">
        <v>940</v>
      </c>
      <c r="B638" s="193" t="str">
        <f>Listas!C4</f>
        <v>Electricidad e Instrumentos</v>
      </c>
      <c r="C638" s="258">
        <f t="shared" si="36"/>
        <v>46296</v>
      </c>
      <c r="D638" t="s">
        <v>937</v>
      </c>
      <c r="E638" s="193">
        <f>COUNTIFS(_FIND_DS!$E$2:$E$1001,Listas!C4,_FIND_DS!$X$2:$X$1001,RPT_MONTH)</f>
        <v>0</v>
      </c>
      <c r="H638" t="s">
        <v>100</v>
      </c>
      <c r="I638" t="s">
        <v>95</v>
      </c>
      <c r="J638" s="258">
        <f t="shared" si="34"/>
        <v>46296</v>
      </c>
    </row>
    <row r="639" spans="1:10" ht="13.5" customHeight="1" x14ac:dyDescent="0.3">
      <c r="A639" t="s">
        <v>940</v>
      </c>
      <c r="B639" s="193" t="str">
        <f>Listas!C5</f>
        <v>Montaje mecánico</v>
      </c>
      <c r="C639" s="258">
        <f t="shared" si="36"/>
        <v>46296</v>
      </c>
      <c r="D639" t="s">
        <v>937</v>
      </c>
      <c r="E639" s="193">
        <f>COUNTIFS(_FIND_DS!$E$2:$E$1001,Listas!C5,_FIND_DS!$X$2:$X$1001,RPT_MONTH)</f>
        <v>0</v>
      </c>
      <c r="H639" t="s">
        <v>100</v>
      </c>
      <c r="I639" t="s">
        <v>95</v>
      </c>
      <c r="J639" s="258">
        <f t="shared" si="34"/>
        <v>46296</v>
      </c>
    </row>
    <row r="640" spans="1:10" ht="13.5" customHeight="1" x14ac:dyDescent="0.3">
      <c r="A640" t="s">
        <v>940</v>
      </c>
      <c r="B640" s="193" t="str">
        <f>Listas!C6</f>
        <v>Izaje</v>
      </c>
      <c r="C640" s="258">
        <f t="shared" si="36"/>
        <v>46296</v>
      </c>
      <c r="D640" t="s">
        <v>937</v>
      </c>
      <c r="E640" s="193">
        <f>COUNTIFS(_FIND_DS!$E$2:$E$1001,Listas!C6,_FIND_DS!$X$2:$X$1001,RPT_MONTH)</f>
        <v>2</v>
      </c>
      <c r="H640" t="s">
        <v>100</v>
      </c>
      <c r="I640" t="s">
        <v>95</v>
      </c>
      <c r="J640" s="258">
        <f t="shared" si="34"/>
        <v>46296</v>
      </c>
    </row>
    <row r="641" spans="1:10" ht="13.5" customHeight="1" x14ac:dyDescent="0.3">
      <c r="A641" t="s">
        <v>940</v>
      </c>
      <c r="B641" s="193" t="str">
        <f>Listas!C7</f>
        <v>Almacenes</v>
      </c>
      <c r="C641" s="258">
        <f t="shared" si="36"/>
        <v>46296</v>
      </c>
      <c r="D641" t="s">
        <v>937</v>
      </c>
      <c r="E641" s="193">
        <f>COUNTIFS(_FIND_DS!$E$2:$E$1001,Listas!C7,_FIND_DS!$X$2:$X$1001,RPT_MONTH)</f>
        <v>0</v>
      </c>
      <c r="H641" t="s">
        <v>100</v>
      </c>
      <c r="I641" t="s">
        <v>95</v>
      </c>
      <c r="J641" s="258">
        <f t="shared" si="34"/>
        <v>46296</v>
      </c>
    </row>
    <row r="642" spans="1:10" ht="13.5" customHeight="1" x14ac:dyDescent="0.3">
      <c r="A642" t="s">
        <v>940</v>
      </c>
      <c r="B642" s="193" t="str">
        <f>Listas!C8</f>
        <v>Logística</v>
      </c>
      <c r="C642" s="258">
        <f t="shared" si="36"/>
        <v>46296</v>
      </c>
      <c r="D642" t="s">
        <v>937</v>
      </c>
      <c r="E642" s="193">
        <f>COUNTIFS(_FIND_DS!$E$2:$E$1001,Listas!C8,_FIND_DS!$X$2:$X$1001,RPT_MONTH)</f>
        <v>0</v>
      </c>
      <c r="H642" t="s">
        <v>100</v>
      </c>
      <c r="I642" t="s">
        <v>95</v>
      </c>
      <c r="J642" s="258">
        <f t="shared" ref="J642:J666" si="37">RPT_MONTH</f>
        <v>46296</v>
      </c>
    </row>
    <row r="643" spans="1:10" ht="13.5" customHeight="1" x14ac:dyDescent="0.3">
      <c r="A643" t="s">
        <v>940</v>
      </c>
      <c r="B643" s="193" t="str">
        <f>Listas!C9</f>
        <v>PreComm</v>
      </c>
      <c r="C643" s="258">
        <f t="shared" si="36"/>
        <v>46296</v>
      </c>
      <c r="D643" t="s">
        <v>937</v>
      </c>
      <c r="E643" s="193">
        <f>COUNTIFS(_FIND_DS!$E$2:$E$1001,Listas!C9,_FIND_DS!$X$2:$X$1001,RPT_MONTH)</f>
        <v>0</v>
      </c>
      <c r="H643" t="s">
        <v>100</v>
      </c>
      <c r="I643" t="s">
        <v>95</v>
      </c>
      <c r="J643" s="258">
        <f t="shared" si="37"/>
        <v>46296</v>
      </c>
    </row>
    <row r="644" spans="1:10" ht="13.5" customHeight="1" x14ac:dyDescent="0.3">
      <c r="A644" t="s">
        <v>940</v>
      </c>
      <c r="B644" s="193" t="str">
        <f>Listas!C10</f>
        <v>Comm</v>
      </c>
      <c r="C644" s="258">
        <f t="shared" si="36"/>
        <v>46296</v>
      </c>
      <c r="D644" t="s">
        <v>937</v>
      </c>
      <c r="E644" s="193">
        <f>COUNTIFS(_FIND_DS!$E$2:$E$1001,Listas!C10,_FIND_DS!$X$2:$X$1001,RPT_MONTH)</f>
        <v>0</v>
      </c>
      <c r="H644" t="s">
        <v>100</v>
      </c>
      <c r="I644" t="s">
        <v>95</v>
      </c>
      <c r="J644" s="258">
        <f t="shared" si="37"/>
        <v>46296</v>
      </c>
    </row>
    <row r="645" spans="1:10" ht="13.5" customHeight="1" x14ac:dyDescent="0.3">
      <c r="A645" t="s">
        <v>940</v>
      </c>
      <c r="B645" s="193" t="str">
        <f>Listas!C11</f>
        <v>Soldadura</v>
      </c>
      <c r="C645" s="258">
        <f t="shared" si="36"/>
        <v>46296</v>
      </c>
      <c r="D645" t="s">
        <v>937</v>
      </c>
      <c r="E645" s="193">
        <f>COUNTIFS(_FIND_DS!$E$2:$E$1001,Listas!C11,_FIND_DS!$X$2:$X$1001,RPT_MONTH)</f>
        <v>0</v>
      </c>
      <c r="H645" t="s">
        <v>100</v>
      </c>
      <c r="I645" t="s">
        <v>95</v>
      </c>
      <c r="J645" s="258">
        <f t="shared" si="37"/>
        <v>46296</v>
      </c>
    </row>
    <row r="646" spans="1:10" ht="13.5" customHeight="1" x14ac:dyDescent="0.3">
      <c r="A646" t="s">
        <v>940</v>
      </c>
      <c r="B646" s="193" t="str">
        <f>Listas!C12</f>
        <v>Pipping</v>
      </c>
      <c r="C646" s="258">
        <f t="shared" si="36"/>
        <v>46296</v>
      </c>
      <c r="D646" t="s">
        <v>937</v>
      </c>
      <c r="E646" s="193">
        <f>COUNTIFS(_FIND_DS!$E$2:$E$1001,Listas!C12,_FIND_DS!$X$2:$X$1001,RPT_MONTH)</f>
        <v>0</v>
      </c>
      <c r="H646" t="s">
        <v>100</v>
      </c>
      <c r="I646" t="s">
        <v>95</v>
      </c>
      <c r="J646" s="258">
        <f t="shared" si="37"/>
        <v>46296</v>
      </c>
    </row>
    <row r="647" spans="1:10" ht="13.5" customHeight="1" x14ac:dyDescent="0.3">
      <c r="A647" t="s">
        <v>940</v>
      </c>
      <c r="B647" s="193" t="str">
        <f>Listas!C13</f>
        <v>Oficina Técnica</v>
      </c>
      <c r="C647" s="258">
        <f t="shared" si="36"/>
        <v>46296</v>
      </c>
      <c r="D647" t="s">
        <v>937</v>
      </c>
      <c r="E647" s="193">
        <f>COUNTIFS(_FIND_DS!$E$2:$E$1001,Listas!C13,_FIND_DS!$X$2:$X$1001,RPT_MONTH)</f>
        <v>0</v>
      </c>
      <c r="H647" t="s">
        <v>100</v>
      </c>
      <c r="I647" t="s">
        <v>95</v>
      </c>
      <c r="J647" s="258">
        <f t="shared" si="37"/>
        <v>46296</v>
      </c>
    </row>
    <row r="648" spans="1:10" ht="13.5" customHeight="1" x14ac:dyDescent="0.3">
      <c r="A648" t="s">
        <v>940</v>
      </c>
      <c r="B648" s="193" t="str">
        <f>Listas!C14</f>
        <v>Andamios</v>
      </c>
      <c r="C648" s="258">
        <f t="shared" si="36"/>
        <v>46296</v>
      </c>
      <c r="D648" t="s">
        <v>937</v>
      </c>
      <c r="E648" s="193">
        <f>COUNTIFS(_FIND_DS!$E$2:$E$1001,Listas!C14,_FIND_DS!$X$2:$X$1001,RPT_MONTH)</f>
        <v>0</v>
      </c>
      <c r="H648" t="s">
        <v>100</v>
      </c>
      <c r="I648" t="s">
        <v>95</v>
      </c>
      <c r="J648" s="258">
        <f t="shared" si="37"/>
        <v>46296</v>
      </c>
    </row>
    <row r="649" spans="1:10" ht="13.5" customHeight="1" x14ac:dyDescent="0.3">
      <c r="A649" t="s">
        <v>940</v>
      </c>
      <c r="B649" s="193" t="str">
        <f>Listas!C15</f>
        <v>Vehículos pesados y viales</v>
      </c>
      <c r="C649" s="258">
        <f t="shared" si="36"/>
        <v>46296</v>
      </c>
      <c r="D649" t="s">
        <v>937</v>
      </c>
      <c r="E649" s="193">
        <f>COUNTIFS(_FIND_DS!$E$2:$E$1001,Listas!C15,_FIND_DS!$X$2:$X$1001,RPT_MONTH)</f>
        <v>0</v>
      </c>
      <c r="H649" t="s">
        <v>100</v>
      </c>
      <c r="I649" t="s">
        <v>95</v>
      </c>
      <c r="J649" s="258">
        <f t="shared" si="37"/>
        <v>46296</v>
      </c>
    </row>
    <row r="650" spans="1:10" ht="13.5" customHeight="1" x14ac:dyDescent="0.3">
      <c r="A650" t="s">
        <v>940</v>
      </c>
      <c r="B650" s="193" t="str">
        <f>Listas!C16</f>
        <v>Despacho de combustible </v>
      </c>
      <c r="C650" s="258">
        <f t="shared" si="36"/>
        <v>46296</v>
      </c>
      <c r="D650" t="s">
        <v>937</v>
      </c>
      <c r="E650" s="193">
        <f>COUNTIFS(_FIND_DS!$E$2:$E$1001,Listas!C16,_FIND_DS!$X$2:$X$1001,RPT_MONTH)</f>
        <v>0</v>
      </c>
      <c r="H650" t="s">
        <v>100</v>
      </c>
      <c r="I650" t="s">
        <v>95</v>
      </c>
      <c r="J650" s="258">
        <f t="shared" si="37"/>
        <v>46296</v>
      </c>
    </row>
    <row r="651" spans="1:10" ht="13.5" customHeight="1" x14ac:dyDescent="0.3">
      <c r="A651" t="s">
        <v>940</v>
      </c>
      <c r="B651" s="193" t="str">
        <f>Listas!C17</f>
        <v>Mant. Mecánico</v>
      </c>
      <c r="C651" s="258">
        <f t="shared" si="36"/>
        <v>46296</v>
      </c>
      <c r="D651" t="s">
        <v>937</v>
      </c>
      <c r="E651" s="193">
        <f>COUNTIFS(_FIND_DS!$E$2:$E$1001,Listas!C17,_FIND_DS!$X$2:$X$1001,RPT_MONTH)</f>
        <v>0</v>
      </c>
      <c r="H651" t="s">
        <v>100</v>
      </c>
      <c r="I651" t="s">
        <v>95</v>
      </c>
      <c r="J651" s="258">
        <f t="shared" si="37"/>
        <v>46296</v>
      </c>
    </row>
    <row r="652" spans="1:10" ht="13.5" customHeight="1" x14ac:dyDescent="0.3">
      <c r="A652" t="s">
        <v>940</v>
      </c>
      <c r="B652" s="193" t="str">
        <f>Listas!C18</f>
        <v>Fumadores</v>
      </c>
      <c r="C652" s="258">
        <f t="shared" si="36"/>
        <v>46296</v>
      </c>
      <c r="D652" t="s">
        <v>937</v>
      </c>
      <c r="E652" s="193">
        <f>COUNTIFS(_FIND_DS!$E$2:$E$1001,Listas!C18,_FIND_DS!$X$2:$X$1001,RPT_MONTH)</f>
        <v>0</v>
      </c>
      <c r="H652" t="s">
        <v>100</v>
      </c>
      <c r="I652" t="s">
        <v>95</v>
      </c>
      <c r="J652" s="258">
        <f t="shared" si="37"/>
        <v>46296</v>
      </c>
    </row>
    <row r="653" spans="1:10" ht="13.5" customHeight="1" x14ac:dyDescent="0.3">
      <c r="A653" t="s">
        <v>940</v>
      </c>
      <c r="B653" s="193" t="str">
        <f>Listas!C19</f>
        <v>Generación de energía</v>
      </c>
      <c r="C653" s="258">
        <f t="shared" si="36"/>
        <v>46296</v>
      </c>
      <c r="D653" t="s">
        <v>937</v>
      </c>
      <c r="E653" s="193">
        <f>COUNTIFS(_FIND_DS!$E$2:$E$1001,Listas!C19,_FIND_DS!$X$2:$X$1001,RPT_MONTH)</f>
        <v>0</v>
      </c>
      <c r="H653" t="s">
        <v>100</v>
      </c>
      <c r="I653" t="s">
        <v>95</v>
      </c>
      <c r="J653" s="258">
        <f t="shared" si="37"/>
        <v>46296</v>
      </c>
    </row>
    <row r="654" spans="1:10" ht="13.5" customHeight="1" x14ac:dyDescent="0.3">
      <c r="A654" t="s">
        <v>940</v>
      </c>
      <c r="B654" s="193" t="str">
        <f>Listas!C20</f>
        <v>Laboratorio  civil</v>
      </c>
      <c r="C654" s="258">
        <f t="shared" si="36"/>
        <v>46296</v>
      </c>
      <c r="D654" t="s">
        <v>937</v>
      </c>
      <c r="E654" s="193">
        <f>COUNTIFS(_FIND_DS!$E$2:$E$1001,Listas!C20,_FIND_DS!$X$2:$X$1001,RPT_MONTH)</f>
        <v>0</v>
      </c>
      <c r="H654" t="s">
        <v>100</v>
      </c>
      <c r="I654" t="s">
        <v>95</v>
      </c>
      <c r="J654" s="258">
        <f t="shared" si="37"/>
        <v>46296</v>
      </c>
    </row>
    <row r="655" spans="1:10" ht="13.5" customHeight="1" x14ac:dyDescent="0.3">
      <c r="A655" t="s">
        <v>940</v>
      </c>
      <c r="B655" s="193" t="str">
        <f>Listas!C21</f>
        <v>Pañol</v>
      </c>
      <c r="C655" s="258">
        <f t="shared" si="36"/>
        <v>46296</v>
      </c>
      <c r="D655" t="s">
        <v>937</v>
      </c>
      <c r="E655" s="193">
        <f>COUNTIFS(_FIND_DS!$E$2:$E$1001,Listas!C21,_FIND_DS!$X$2:$X$1001,RPT_MONTH)</f>
        <v>0</v>
      </c>
      <c r="H655" t="s">
        <v>100</v>
      </c>
      <c r="I655" t="s">
        <v>95</v>
      </c>
      <c r="J655" s="258">
        <f t="shared" si="37"/>
        <v>46296</v>
      </c>
    </row>
    <row r="656" spans="1:10" ht="13.5" customHeight="1" x14ac:dyDescent="0.3">
      <c r="A656" t="s">
        <v>940</v>
      </c>
      <c r="B656" s="193" t="str">
        <f>Listas!C22</f>
        <v>Maestranza</v>
      </c>
      <c r="C656" s="258">
        <f t="shared" si="36"/>
        <v>46296</v>
      </c>
      <c r="D656" t="s">
        <v>937</v>
      </c>
      <c r="E656" s="193">
        <f>COUNTIFS(_FIND_DS!$E$2:$E$1001,Listas!C22,_FIND_DS!$X$2:$X$1001,RPT_MONTH)</f>
        <v>0</v>
      </c>
      <c r="H656" t="s">
        <v>100</v>
      </c>
      <c r="I656" t="s">
        <v>95</v>
      </c>
      <c r="J656" s="258">
        <f t="shared" si="37"/>
        <v>46296</v>
      </c>
    </row>
    <row r="657" spans="1:10" ht="13.5" customHeight="1" x14ac:dyDescent="0.3">
      <c r="A657" t="s">
        <v>941</v>
      </c>
      <c r="B657" s="193" t="str">
        <f>Listas!I2</f>
        <v>Alto</v>
      </c>
      <c r="C657" s="258">
        <f t="shared" si="36"/>
        <v>46296</v>
      </c>
      <c r="D657" t="s">
        <v>937</v>
      </c>
      <c r="E657" s="193">
        <f>COUNTIFS(_FIND_DS!$L$2:$L$1001,Listas!I2,_FIND_DS!$X$2:$X$1001,RPT_MONTH)</f>
        <v>0</v>
      </c>
      <c r="H657" t="s">
        <v>100</v>
      </c>
      <c r="I657" t="s">
        <v>95</v>
      </c>
      <c r="J657" s="258">
        <f t="shared" si="37"/>
        <v>46296</v>
      </c>
    </row>
    <row r="658" spans="1:10" ht="13.5" customHeight="1" x14ac:dyDescent="0.3">
      <c r="A658" t="s">
        <v>941</v>
      </c>
      <c r="B658" s="193" t="str">
        <f>Listas!I3</f>
        <v>Medio</v>
      </c>
      <c r="C658" s="258">
        <f t="shared" si="36"/>
        <v>46296</v>
      </c>
      <c r="D658" t="s">
        <v>937</v>
      </c>
      <c r="E658" s="193">
        <f>COUNTIFS(_FIND_DS!$L$2:$L$1001,Listas!I3,_FIND_DS!$X$2:$X$1001,RPT_MONTH)</f>
        <v>0</v>
      </c>
      <c r="H658" t="s">
        <v>100</v>
      </c>
      <c r="I658" t="s">
        <v>95</v>
      </c>
      <c r="J658" s="258">
        <f t="shared" si="37"/>
        <v>46296</v>
      </c>
    </row>
    <row r="659" spans="1:10" ht="13.5" customHeight="1" x14ac:dyDescent="0.3">
      <c r="A659" t="s">
        <v>941</v>
      </c>
      <c r="B659" s="193" t="str">
        <f>Listas!I4</f>
        <v>Bajo</v>
      </c>
      <c r="C659" s="258">
        <f t="shared" si="36"/>
        <v>46296</v>
      </c>
      <c r="D659" t="s">
        <v>937</v>
      </c>
      <c r="E659" s="193">
        <f>COUNTIFS(_FIND_DS!$L$2:$L$1001,Listas!I4,_FIND_DS!$X$2:$X$1001,RPT_MONTH)</f>
        <v>0</v>
      </c>
      <c r="H659" t="s">
        <v>100</v>
      </c>
      <c r="I659" t="s">
        <v>95</v>
      </c>
      <c r="J659" s="258">
        <f t="shared" si="37"/>
        <v>46296</v>
      </c>
    </row>
    <row r="660" spans="1:10" ht="13.5" customHeight="1" x14ac:dyDescent="0.3">
      <c r="A660" t="s">
        <v>941</v>
      </c>
      <c r="B660" s="193" t="str">
        <f>Listas!I5</f>
        <v>Detención de tareas</v>
      </c>
      <c r="C660" s="258">
        <f t="shared" si="36"/>
        <v>46296</v>
      </c>
      <c r="D660" t="s">
        <v>937</v>
      </c>
      <c r="E660" s="193">
        <f>COUNTIFS(_FIND_DS!$L$2:$L$1001,Listas!I5,_FIND_DS!$X$2:$X$1001,RPT_MONTH)</f>
        <v>0</v>
      </c>
      <c r="H660" t="s">
        <v>100</v>
      </c>
      <c r="I660" t="s">
        <v>95</v>
      </c>
      <c r="J660" s="258">
        <f t="shared" si="37"/>
        <v>46296</v>
      </c>
    </row>
    <row r="661" spans="1:10" ht="13.5" customHeight="1" x14ac:dyDescent="0.3">
      <c r="A661" t="s">
        <v>942</v>
      </c>
      <c r="B661" s="193" t="str">
        <f>Listas!L2</f>
        <v>Abierto</v>
      </c>
      <c r="C661" s="258">
        <f t="shared" si="36"/>
        <v>46296</v>
      </c>
      <c r="D661" t="s">
        <v>943</v>
      </c>
      <c r="E661" s="193">
        <f>COUNTIFS(_FIND_DS!$O$2:$O$1001,Listas!L2,_FIND_DS!$B$2:$B$1001,"&lt;="&amp;DATE(YEAR(RPT_MONTH),MONTH(RPT_MONTH)+1,0))</f>
        <v>6</v>
      </c>
      <c r="H661" t="s">
        <v>100</v>
      </c>
      <c r="I661" t="s">
        <v>95</v>
      </c>
      <c r="J661" s="258">
        <f t="shared" si="37"/>
        <v>46296</v>
      </c>
    </row>
    <row r="662" spans="1:10" ht="13.5" customHeight="1" x14ac:dyDescent="0.3">
      <c r="A662" t="s">
        <v>942</v>
      </c>
      <c r="B662" s="193" t="str">
        <f>Listas!L3</f>
        <v>En proceso</v>
      </c>
      <c r="C662" s="258">
        <f t="shared" si="36"/>
        <v>46296</v>
      </c>
      <c r="D662" t="s">
        <v>943</v>
      </c>
      <c r="E662" s="193">
        <f>COUNTIFS(_FIND_DS!$O$2:$O$1001,Listas!L3,_FIND_DS!$B$2:$B$1001,"&lt;="&amp;DATE(YEAR(RPT_MONTH),MONTH(RPT_MONTH)+1,0))</f>
        <v>6</v>
      </c>
      <c r="H662" t="s">
        <v>100</v>
      </c>
      <c r="I662" t="s">
        <v>95</v>
      </c>
      <c r="J662" s="258">
        <f t="shared" si="37"/>
        <v>46296</v>
      </c>
    </row>
    <row r="663" spans="1:10" ht="13.5" customHeight="1" x14ac:dyDescent="0.3">
      <c r="A663" t="s">
        <v>942</v>
      </c>
      <c r="B663" s="193" t="str">
        <f>Listas!L4</f>
        <v>Cerrado</v>
      </c>
      <c r="C663" s="258">
        <f t="shared" si="36"/>
        <v>46296</v>
      </c>
      <c r="D663" t="s">
        <v>943</v>
      </c>
      <c r="E663" s="193">
        <f>COUNTIFS(_FIND_DS!$O$2:$O$1001,Listas!L4,_FIND_DS!$B$2:$B$1001,"&lt;="&amp;DATE(YEAR(RPT_MONTH),MONTH(RPT_MONTH)+1,0))</f>
        <v>58</v>
      </c>
      <c r="H663" t="s">
        <v>100</v>
      </c>
      <c r="I663" t="s">
        <v>95</v>
      </c>
      <c r="J663" s="258">
        <f t="shared" si="37"/>
        <v>46296</v>
      </c>
    </row>
    <row r="664" spans="1:10" ht="13.5" customHeight="1" x14ac:dyDescent="0.3">
      <c r="A664" t="s">
        <v>944</v>
      </c>
      <c r="B664" t="s">
        <v>945</v>
      </c>
      <c r="C664" s="258">
        <f t="shared" si="36"/>
        <v>46296</v>
      </c>
      <c r="D664" t="s">
        <v>946</v>
      </c>
      <c r="E664" s="193">
        <f ca="1">COUNTIF(_QA!$G$9:$G$81,"ERROR")</f>
        <v>4</v>
      </c>
      <c r="H664" t="s">
        <v>100</v>
      </c>
      <c r="I664" t="s">
        <v>854</v>
      </c>
      <c r="J664" s="258">
        <f t="shared" si="37"/>
        <v>46296</v>
      </c>
    </row>
    <row r="665" spans="1:10" ht="13.5" customHeight="1" x14ac:dyDescent="0.3">
      <c r="A665" t="s">
        <v>944</v>
      </c>
      <c r="B665" t="s">
        <v>947</v>
      </c>
      <c r="C665" s="258">
        <f t="shared" si="36"/>
        <v>46296</v>
      </c>
      <c r="D665" t="s">
        <v>946</v>
      </c>
      <c r="E665" s="193">
        <f ca="1">COUNTIF(_QA!$G$9:$G$81,"ADVERTENCIA")</f>
        <v>6</v>
      </c>
      <c r="H665" t="s">
        <v>100</v>
      </c>
      <c r="I665" t="s">
        <v>854</v>
      </c>
      <c r="J665" s="258">
        <f t="shared" si="37"/>
        <v>46296</v>
      </c>
    </row>
    <row r="666" spans="1:10" ht="13.5" customHeight="1" x14ac:dyDescent="0.3">
      <c r="A666" t="s">
        <v>944</v>
      </c>
      <c r="B666" t="s">
        <v>948</v>
      </c>
      <c r="C666" s="258">
        <f t="shared" si="36"/>
        <v>46296</v>
      </c>
      <c r="D666" t="s">
        <v>946</v>
      </c>
      <c r="E666" s="193">
        <f ca="1">COUNTIF(_QA!$G$9:$G$81,"INFO")</f>
        <v>4</v>
      </c>
      <c r="H666" t="s">
        <v>100</v>
      </c>
      <c r="I666" t="s">
        <v>854</v>
      </c>
      <c r="J666" s="258">
        <f t="shared" si="37"/>
        <v>46296</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CF2-B3E8-41EE-BEE7-89E5D2ED1BDA}">
  <dimension ref="A1:Y1300"/>
  <sheetViews>
    <sheetView workbookViewId="0"/>
  </sheetViews>
  <sheetFormatPr baseColWidth="10" defaultColWidth="11.5546875" defaultRowHeight="14.4" x14ac:dyDescent="0.3"/>
  <sheetData>
    <row r="1" spans="1:25" ht="13.5" customHeight="1" x14ac:dyDescent="0.3">
      <c r="A1" s="7" t="s">
        <v>531</v>
      </c>
      <c r="B1" s="7" t="s">
        <v>188</v>
      </c>
      <c r="C1" s="7" t="s">
        <v>532</v>
      </c>
      <c r="D1" s="7" t="s">
        <v>585</v>
      </c>
      <c r="E1" s="7" t="s">
        <v>586</v>
      </c>
      <c r="F1" s="7" t="s">
        <v>535</v>
      </c>
      <c r="G1" s="7" t="s">
        <v>165</v>
      </c>
      <c r="H1" s="7" t="s">
        <v>587</v>
      </c>
      <c r="I1" s="7" t="s">
        <v>588</v>
      </c>
      <c r="J1" s="7" t="s">
        <v>589</v>
      </c>
      <c r="K1" s="7" t="s">
        <v>590</v>
      </c>
      <c r="L1" s="7" t="s">
        <v>591</v>
      </c>
      <c r="M1" s="7" t="s">
        <v>592</v>
      </c>
      <c r="N1" s="7" t="s">
        <v>26</v>
      </c>
      <c r="O1" s="7" t="s">
        <v>593</v>
      </c>
      <c r="P1" s="7" t="s">
        <v>594</v>
      </c>
      <c r="Q1" s="7" t="s">
        <v>595</v>
      </c>
      <c r="R1" s="7" t="s">
        <v>596</v>
      </c>
      <c r="S1" s="7" t="s">
        <v>597</v>
      </c>
      <c r="T1" s="7" t="s">
        <v>598</v>
      </c>
      <c r="U1" s="7" t="s">
        <v>949</v>
      </c>
      <c r="V1" s="7" t="s">
        <v>950</v>
      </c>
      <c r="W1" s="7" t="s">
        <v>951</v>
      </c>
      <c r="X1" s="7" t="s">
        <v>952</v>
      </c>
      <c r="Y1" s="7" t="s">
        <v>953</v>
      </c>
    </row>
    <row r="2" spans="1:25" ht="13.5" customHeight="1" x14ac:dyDescent="0.3">
      <c r="X2" s="193" t="str">
        <f>IF($Q2="","",IFERROR(INDEX(BD_KPIs!$F$2:$F$1300,MATCH($Q2,BD_KPIs!$Q$2:$Q$1300,0)),"n/d"))</f>
        <v/>
      </c>
      <c r="Y2" s="193" t="str">
        <f>IF($Q2="","",IF(COUNTIFS($Q$2:$Q$1300,$Q2,$U$2:$U$1300,"&gt;"&amp;$U2)&gt;0,0,IF(AND(ISNUMBER($F2),ISNUMBER($X2)),IF(ABS($F2-$X2)&gt;_QA!$C$6,1,0),IF($F2&amp;""=$X2&amp;"",0,1))))</f>
        <v/>
      </c>
    </row>
    <row r="3" spans="1:25" ht="13.5" customHeight="1" x14ac:dyDescent="0.3">
      <c r="X3" s="193" t="str">
        <f>IF($Q3="","",IFERROR(INDEX(BD_KPIs!$F$2:$F$1300,MATCH($Q3,BD_KPIs!$Q$2:$Q$1300,0)),"n/d"))</f>
        <v/>
      </c>
      <c r="Y3" s="193" t="str">
        <f>IF($Q3="","",IF(COUNTIFS($Q$2:$Q$1300,$Q3,$U$2:$U$1300,"&gt;"&amp;$U3)&gt;0,0,IF(AND(ISNUMBER($F3),ISNUMBER($X3)),IF(ABS($F3-$X3)&gt;_QA!$C$6,1,0),IF($F3&amp;""=$X3&amp;"",0,1))))</f>
        <v/>
      </c>
    </row>
    <row r="4" spans="1:25" ht="13.5" customHeight="1" x14ac:dyDescent="0.3">
      <c r="X4" s="193" t="str">
        <f>IF($Q4="","",IFERROR(INDEX(BD_KPIs!$F$2:$F$1300,MATCH($Q4,BD_KPIs!$Q$2:$Q$1300,0)),"n/d"))</f>
        <v/>
      </c>
      <c r="Y4" s="193" t="str">
        <f>IF($Q4="","",IF(COUNTIFS($Q$2:$Q$1300,$Q4,$U$2:$U$1300,"&gt;"&amp;$U4)&gt;0,0,IF(AND(ISNUMBER($F4),ISNUMBER($X4)),IF(ABS($F4-$X4)&gt;_QA!$C$6,1,0),IF($F4&amp;""=$X4&amp;"",0,1))))</f>
        <v/>
      </c>
    </row>
    <row r="5" spans="1:25" ht="13.5" customHeight="1" x14ac:dyDescent="0.3">
      <c r="X5" s="193" t="str">
        <f>IF($Q5="","",IFERROR(INDEX(BD_KPIs!$F$2:$F$1300,MATCH($Q5,BD_KPIs!$Q$2:$Q$1300,0)),"n/d"))</f>
        <v/>
      </c>
      <c r="Y5" s="193" t="str">
        <f>IF($Q5="","",IF(COUNTIFS($Q$2:$Q$1300,$Q5,$U$2:$U$1300,"&gt;"&amp;$U5)&gt;0,0,IF(AND(ISNUMBER($F5),ISNUMBER($X5)),IF(ABS($F5-$X5)&gt;_QA!$C$6,1,0),IF($F5&amp;""=$X5&amp;"",0,1))))</f>
        <v/>
      </c>
    </row>
    <row r="6" spans="1:25" ht="13.5" customHeight="1" x14ac:dyDescent="0.3">
      <c r="X6" s="193" t="str">
        <f>IF($Q6="","",IFERROR(INDEX(BD_KPIs!$F$2:$F$1300,MATCH($Q6,BD_KPIs!$Q$2:$Q$1300,0)),"n/d"))</f>
        <v/>
      </c>
      <c r="Y6" s="193" t="str">
        <f>IF($Q6="","",IF(COUNTIFS($Q$2:$Q$1300,$Q6,$U$2:$U$1300,"&gt;"&amp;$U6)&gt;0,0,IF(AND(ISNUMBER($F6),ISNUMBER($X6)),IF(ABS($F6-$X6)&gt;_QA!$C$6,1,0),IF($F6&amp;""=$X6&amp;"",0,1))))</f>
        <v/>
      </c>
    </row>
    <row r="7" spans="1:25" ht="13.5" customHeight="1" x14ac:dyDescent="0.3">
      <c r="X7" s="193" t="str">
        <f>IF($Q7="","",IFERROR(INDEX(BD_KPIs!$F$2:$F$1300,MATCH($Q7,BD_KPIs!$Q$2:$Q$1300,0)),"n/d"))</f>
        <v/>
      </c>
      <c r="Y7" s="193" t="str">
        <f>IF($Q7="","",IF(COUNTIFS($Q$2:$Q$1300,$Q7,$U$2:$U$1300,"&gt;"&amp;$U7)&gt;0,0,IF(AND(ISNUMBER($F7),ISNUMBER($X7)),IF(ABS($F7-$X7)&gt;_QA!$C$6,1,0),IF($F7&amp;""=$X7&amp;"",0,1))))</f>
        <v/>
      </c>
    </row>
    <row r="8" spans="1:25" ht="13.5" customHeight="1" x14ac:dyDescent="0.3">
      <c r="X8" s="193" t="str">
        <f>IF($Q8="","",IFERROR(INDEX(BD_KPIs!$F$2:$F$1300,MATCH($Q8,BD_KPIs!$Q$2:$Q$1300,0)),"n/d"))</f>
        <v/>
      </c>
      <c r="Y8" s="193" t="str">
        <f>IF($Q8="","",IF(COUNTIFS($Q$2:$Q$1300,$Q8,$U$2:$U$1300,"&gt;"&amp;$U8)&gt;0,0,IF(AND(ISNUMBER($F8),ISNUMBER($X8)),IF(ABS($F8-$X8)&gt;_QA!$C$6,1,0),IF($F8&amp;""=$X8&amp;"",0,1))))</f>
        <v/>
      </c>
    </row>
    <row r="9" spans="1:25" ht="13.5" customHeight="1" x14ac:dyDescent="0.3">
      <c r="X9" s="193" t="str">
        <f>IF($Q9="","",IFERROR(INDEX(BD_KPIs!$F$2:$F$1300,MATCH($Q9,BD_KPIs!$Q$2:$Q$1300,0)),"n/d"))</f>
        <v/>
      </c>
      <c r="Y9" s="193" t="str">
        <f>IF($Q9="","",IF(COUNTIFS($Q$2:$Q$1300,$Q9,$U$2:$U$1300,"&gt;"&amp;$U9)&gt;0,0,IF(AND(ISNUMBER($F9),ISNUMBER($X9)),IF(ABS($F9-$X9)&gt;_QA!$C$6,1,0),IF($F9&amp;""=$X9&amp;"",0,1))))</f>
        <v/>
      </c>
    </row>
    <row r="10" spans="1:25" ht="13.5" customHeight="1" x14ac:dyDescent="0.3">
      <c r="X10" s="193" t="str">
        <f>IF($Q10="","",IFERROR(INDEX(BD_KPIs!$F$2:$F$1300,MATCH($Q10,BD_KPIs!$Q$2:$Q$1300,0)),"n/d"))</f>
        <v/>
      </c>
      <c r="Y10" s="193" t="str">
        <f>IF($Q10="","",IF(COUNTIFS($Q$2:$Q$1300,$Q10,$U$2:$U$1300,"&gt;"&amp;$U10)&gt;0,0,IF(AND(ISNUMBER($F10),ISNUMBER($X10)),IF(ABS($F10-$X10)&gt;_QA!$C$6,1,0),IF($F10&amp;""=$X10&amp;"",0,1))))</f>
        <v/>
      </c>
    </row>
    <row r="11" spans="1:25" ht="13.5" customHeight="1" x14ac:dyDescent="0.3">
      <c r="X11" s="193" t="str">
        <f>IF($Q11="","",IFERROR(INDEX(BD_KPIs!$F$2:$F$1300,MATCH($Q11,BD_KPIs!$Q$2:$Q$1300,0)),"n/d"))</f>
        <v/>
      </c>
      <c r="Y11" s="193" t="str">
        <f>IF($Q11="","",IF(COUNTIFS($Q$2:$Q$1300,$Q11,$U$2:$U$1300,"&gt;"&amp;$U11)&gt;0,0,IF(AND(ISNUMBER($F11),ISNUMBER($X11)),IF(ABS($F11-$X11)&gt;_QA!$C$6,1,0),IF($F11&amp;""=$X11&amp;"",0,1))))</f>
        <v/>
      </c>
    </row>
    <row r="12" spans="1:25" ht="13.5" customHeight="1" x14ac:dyDescent="0.3">
      <c r="X12" s="193" t="str">
        <f>IF($Q12="","",IFERROR(INDEX(BD_KPIs!$F$2:$F$1300,MATCH($Q12,BD_KPIs!$Q$2:$Q$1300,0)),"n/d"))</f>
        <v/>
      </c>
      <c r="Y12" s="193" t="str">
        <f>IF($Q12="","",IF(COUNTIFS($Q$2:$Q$1300,$Q12,$U$2:$U$1300,"&gt;"&amp;$U12)&gt;0,0,IF(AND(ISNUMBER($F12),ISNUMBER($X12)),IF(ABS($F12-$X12)&gt;_QA!$C$6,1,0),IF($F12&amp;""=$X12&amp;"",0,1))))</f>
        <v/>
      </c>
    </row>
    <row r="13" spans="1:25" ht="13.5" customHeight="1" x14ac:dyDescent="0.3">
      <c r="X13" s="193" t="str">
        <f>IF($Q13="","",IFERROR(INDEX(BD_KPIs!$F$2:$F$1300,MATCH($Q13,BD_KPIs!$Q$2:$Q$1300,0)),"n/d"))</f>
        <v/>
      </c>
      <c r="Y13" s="193" t="str">
        <f>IF($Q13="","",IF(COUNTIFS($Q$2:$Q$1300,$Q13,$U$2:$U$1300,"&gt;"&amp;$U13)&gt;0,0,IF(AND(ISNUMBER($F13),ISNUMBER($X13)),IF(ABS($F13-$X13)&gt;_QA!$C$6,1,0),IF($F13&amp;""=$X13&amp;"",0,1))))</f>
        <v/>
      </c>
    </row>
    <row r="14" spans="1:25" ht="13.5" customHeight="1" x14ac:dyDescent="0.3">
      <c r="X14" s="193" t="str">
        <f>IF($Q14="","",IFERROR(INDEX(BD_KPIs!$F$2:$F$1300,MATCH($Q14,BD_KPIs!$Q$2:$Q$1300,0)),"n/d"))</f>
        <v/>
      </c>
      <c r="Y14" s="193" t="str">
        <f>IF($Q14="","",IF(COUNTIFS($Q$2:$Q$1300,$Q14,$U$2:$U$1300,"&gt;"&amp;$U14)&gt;0,0,IF(AND(ISNUMBER($F14),ISNUMBER($X14)),IF(ABS($F14-$X14)&gt;_QA!$C$6,1,0),IF($F14&amp;""=$X14&amp;"",0,1))))</f>
        <v/>
      </c>
    </row>
    <row r="15" spans="1:25" ht="13.5" customHeight="1" x14ac:dyDescent="0.3">
      <c r="X15" s="193" t="str">
        <f>IF($Q15="","",IFERROR(INDEX(BD_KPIs!$F$2:$F$1300,MATCH($Q15,BD_KPIs!$Q$2:$Q$1300,0)),"n/d"))</f>
        <v/>
      </c>
      <c r="Y15" s="193" t="str">
        <f>IF($Q15="","",IF(COUNTIFS($Q$2:$Q$1300,$Q15,$U$2:$U$1300,"&gt;"&amp;$U15)&gt;0,0,IF(AND(ISNUMBER($F15),ISNUMBER($X15)),IF(ABS($F15-$X15)&gt;_QA!$C$6,1,0),IF($F15&amp;""=$X15&amp;"",0,1))))</f>
        <v/>
      </c>
    </row>
    <row r="16" spans="1:25" ht="13.5" customHeight="1" x14ac:dyDescent="0.3">
      <c r="X16" s="193" t="str">
        <f>IF($Q16="","",IFERROR(INDEX(BD_KPIs!$F$2:$F$1300,MATCH($Q16,BD_KPIs!$Q$2:$Q$1300,0)),"n/d"))</f>
        <v/>
      </c>
      <c r="Y16" s="193" t="str">
        <f>IF($Q16="","",IF(COUNTIFS($Q$2:$Q$1300,$Q16,$U$2:$U$1300,"&gt;"&amp;$U16)&gt;0,0,IF(AND(ISNUMBER($F16),ISNUMBER($X16)),IF(ABS($F16-$X16)&gt;_QA!$C$6,1,0),IF($F16&amp;""=$X16&amp;"",0,1))))</f>
        <v/>
      </c>
    </row>
    <row r="17" spans="24:25" ht="13.5" customHeight="1" x14ac:dyDescent="0.3">
      <c r="X17" s="193" t="str">
        <f>IF($Q17="","",IFERROR(INDEX(BD_KPIs!$F$2:$F$1300,MATCH($Q17,BD_KPIs!$Q$2:$Q$1300,0)),"n/d"))</f>
        <v/>
      </c>
      <c r="Y17" s="193" t="str">
        <f>IF($Q17="","",IF(COUNTIFS($Q$2:$Q$1300,$Q17,$U$2:$U$1300,"&gt;"&amp;$U17)&gt;0,0,IF(AND(ISNUMBER($F17),ISNUMBER($X17)),IF(ABS($F17-$X17)&gt;_QA!$C$6,1,0),IF($F17&amp;""=$X17&amp;"",0,1))))</f>
        <v/>
      </c>
    </row>
    <row r="18" spans="24:25" ht="13.5" customHeight="1" x14ac:dyDescent="0.3">
      <c r="X18" s="193" t="str">
        <f>IF($Q18="","",IFERROR(INDEX(BD_KPIs!$F$2:$F$1300,MATCH($Q18,BD_KPIs!$Q$2:$Q$1300,0)),"n/d"))</f>
        <v/>
      </c>
      <c r="Y18" s="193" t="str">
        <f>IF($Q18="","",IF(COUNTIFS($Q$2:$Q$1300,$Q18,$U$2:$U$1300,"&gt;"&amp;$U18)&gt;0,0,IF(AND(ISNUMBER($F18),ISNUMBER($X18)),IF(ABS($F18-$X18)&gt;_QA!$C$6,1,0),IF($F18&amp;""=$X18&amp;"",0,1))))</f>
        <v/>
      </c>
    </row>
    <row r="19" spans="24:25" ht="13.5" customHeight="1" x14ac:dyDescent="0.3">
      <c r="X19" s="193" t="str">
        <f>IF($Q19="","",IFERROR(INDEX(BD_KPIs!$F$2:$F$1300,MATCH($Q19,BD_KPIs!$Q$2:$Q$1300,0)),"n/d"))</f>
        <v/>
      </c>
      <c r="Y19" s="193" t="str">
        <f>IF($Q19="","",IF(COUNTIFS($Q$2:$Q$1300,$Q19,$U$2:$U$1300,"&gt;"&amp;$U19)&gt;0,0,IF(AND(ISNUMBER($F19),ISNUMBER($X19)),IF(ABS($F19-$X19)&gt;_QA!$C$6,1,0),IF($F19&amp;""=$X19&amp;"",0,1))))</f>
        <v/>
      </c>
    </row>
    <row r="20" spans="24:25" ht="13.5" customHeight="1" x14ac:dyDescent="0.3">
      <c r="X20" s="193" t="str">
        <f>IF($Q20="","",IFERROR(INDEX(BD_KPIs!$F$2:$F$1300,MATCH($Q20,BD_KPIs!$Q$2:$Q$1300,0)),"n/d"))</f>
        <v/>
      </c>
      <c r="Y20" s="193" t="str">
        <f>IF($Q20="","",IF(COUNTIFS($Q$2:$Q$1300,$Q20,$U$2:$U$1300,"&gt;"&amp;$U20)&gt;0,0,IF(AND(ISNUMBER($F20),ISNUMBER($X20)),IF(ABS($F20-$X20)&gt;_QA!$C$6,1,0),IF($F20&amp;""=$X20&amp;"",0,1))))</f>
        <v/>
      </c>
    </row>
    <row r="21" spans="24:25" ht="13.5" customHeight="1" x14ac:dyDescent="0.3">
      <c r="X21" s="193" t="str">
        <f>IF($Q21="","",IFERROR(INDEX(BD_KPIs!$F$2:$F$1300,MATCH($Q21,BD_KPIs!$Q$2:$Q$1300,0)),"n/d"))</f>
        <v/>
      </c>
      <c r="Y21" s="193" t="str">
        <f>IF($Q21="","",IF(COUNTIFS($Q$2:$Q$1300,$Q21,$U$2:$U$1300,"&gt;"&amp;$U21)&gt;0,0,IF(AND(ISNUMBER($F21),ISNUMBER($X21)),IF(ABS($F21-$X21)&gt;_QA!$C$6,1,0),IF($F21&amp;""=$X21&amp;"",0,1))))</f>
        <v/>
      </c>
    </row>
    <row r="22" spans="24:25" ht="13.5" customHeight="1" x14ac:dyDescent="0.3">
      <c r="X22" s="193" t="str">
        <f>IF($Q22="","",IFERROR(INDEX(BD_KPIs!$F$2:$F$1300,MATCH($Q22,BD_KPIs!$Q$2:$Q$1300,0)),"n/d"))</f>
        <v/>
      </c>
      <c r="Y22" s="193" t="str">
        <f>IF($Q22="","",IF(COUNTIFS($Q$2:$Q$1300,$Q22,$U$2:$U$1300,"&gt;"&amp;$U22)&gt;0,0,IF(AND(ISNUMBER($F22),ISNUMBER($X22)),IF(ABS($F22-$X22)&gt;_QA!$C$6,1,0),IF($F22&amp;""=$X22&amp;"",0,1))))</f>
        <v/>
      </c>
    </row>
    <row r="23" spans="24:25" ht="13.5" customHeight="1" x14ac:dyDescent="0.3">
      <c r="X23" s="193" t="str">
        <f>IF($Q23="","",IFERROR(INDEX(BD_KPIs!$F$2:$F$1300,MATCH($Q23,BD_KPIs!$Q$2:$Q$1300,0)),"n/d"))</f>
        <v/>
      </c>
      <c r="Y23" s="193" t="str">
        <f>IF($Q23="","",IF(COUNTIFS($Q$2:$Q$1300,$Q23,$U$2:$U$1300,"&gt;"&amp;$U23)&gt;0,0,IF(AND(ISNUMBER($F23),ISNUMBER($X23)),IF(ABS($F23-$X23)&gt;_QA!$C$6,1,0),IF($F23&amp;""=$X23&amp;"",0,1))))</f>
        <v/>
      </c>
    </row>
    <row r="24" spans="24:25" ht="13.5" customHeight="1" x14ac:dyDescent="0.3">
      <c r="X24" s="193" t="str">
        <f>IF($Q24="","",IFERROR(INDEX(BD_KPIs!$F$2:$F$1300,MATCH($Q24,BD_KPIs!$Q$2:$Q$1300,0)),"n/d"))</f>
        <v/>
      </c>
      <c r="Y24" s="193" t="str">
        <f>IF($Q24="","",IF(COUNTIFS($Q$2:$Q$1300,$Q24,$U$2:$U$1300,"&gt;"&amp;$U24)&gt;0,0,IF(AND(ISNUMBER($F24),ISNUMBER($X24)),IF(ABS($F24-$X24)&gt;_QA!$C$6,1,0),IF($F24&amp;""=$X24&amp;"",0,1))))</f>
        <v/>
      </c>
    </row>
    <row r="25" spans="24:25" ht="13.5" customHeight="1" x14ac:dyDescent="0.3">
      <c r="X25" s="193" t="str">
        <f>IF($Q25="","",IFERROR(INDEX(BD_KPIs!$F$2:$F$1300,MATCH($Q25,BD_KPIs!$Q$2:$Q$1300,0)),"n/d"))</f>
        <v/>
      </c>
      <c r="Y25" s="193" t="str">
        <f>IF($Q25="","",IF(COUNTIFS($Q$2:$Q$1300,$Q25,$U$2:$U$1300,"&gt;"&amp;$U25)&gt;0,0,IF(AND(ISNUMBER($F25),ISNUMBER($X25)),IF(ABS($F25-$X25)&gt;_QA!$C$6,1,0),IF($F25&amp;""=$X25&amp;"",0,1))))</f>
        <v/>
      </c>
    </row>
    <row r="26" spans="24:25" ht="13.5" customHeight="1" x14ac:dyDescent="0.3">
      <c r="X26" s="193" t="str">
        <f>IF($Q26="","",IFERROR(INDEX(BD_KPIs!$F$2:$F$1300,MATCH($Q26,BD_KPIs!$Q$2:$Q$1300,0)),"n/d"))</f>
        <v/>
      </c>
      <c r="Y26" s="193" t="str">
        <f>IF($Q26="","",IF(COUNTIFS($Q$2:$Q$1300,$Q26,$U$2:$U$1300,"&gt;"&amp;$U26)&gt;0,0,IF(AND(ISNUMBER($F26),ISNUMBER($X26)),IF(ABS($F26-$X26)&gt;_QA!$C$6,1,0),IF($F26&amp;""=$X26&amp;"",0,1))))</f>
        <v/>
      </c>
    </row>
    <row r="27" spans="24:25" ht="13.5" customHeight="1" x14ac:dyDescent="0.3">
      <c r="X27" s="193" t="str">
        <f>IF($Q27="","",IFERROR(INDEX(BD_KPIs!$F$2:$F$1300,MATCH($Q27,BD_KPIs!$Q$2:$Q$1300,0)),"n/d"))</f>
        <v/>
      </c>
      <c r="Y27" s="193" t="str">
        <f>IF($Q27="","",IF(COUNTIFS($Q$2:$Q$1300,$Q27,$U$2:$U$1300,"&gt;"&amp;$U27)&gt;0,0,IF(AND(ISNUMBER($F27),ISNUMBER($X27)),IF(ABS($F27-$X27)&gt;_QA!$C$6,1,0),IF($F27&amp;""=$X27&amp;"",0,1))))</f>
        <v/>
      </c>
    </row>
    <row r="28" spans="24:25" ht="13.5" customHeight="1" x14ac:dyDescent="0.3">
      <c r="X28" s="193" t="str">
        <f>IF($Q28="","",IFERROR(INDEX(BD_KPIs!$F$2:$F$1300,MATCH($Q28,BD_KPIs!$Q$2:$Q$1300,0)),"n/d"))</f>
        <v/>
      </c>
      <c r="Y28" s="193" t="str">
        <f>IF($Q28="","",IF(COUNTIFS($Q$2:$Q$1300,$Q28,$U$2:$U$1300,"&gt;"&amp;$U28)&gt;0,0,IF(AND(ISNUMBER($F28),ISNUMBER($X28)),IF(ABS($F28-$X28)&gt;_QA!$C$6,1,0),IF($F28&amp;""=$X28&amp;"",0,1))))</f>
        <v/>
      </c>
    </row>
    <row r="29" spans="24:25" ht="13.5" customHeight="1" x14ac:dyDescent="0.3">
      <c r="X29" s="193" t="str">
        <f>IF($Q29="","",IFERROR(INDEX(BD_KPIs!$F$2:$F$1300,MATCH($Q29,BD_KPIs!$Q$2:$Q$1300,0)),"n/d"))</f>
        <v/>
      </c>
      <c r="Y29" s="193" t="str">
        <f>IF($Q29="","",IF(COUNTIFS($Q$2:$Q$1300,$Q29,$U$2:$U$1300,"&gt;"&amp;$U29)&gt;0,0,IF(AND(ISNUMBER($F29),ISNUMBER($X29)),IF(ABS($F29-$X29)&gt;_QA!$C$6,1,0),IF($F29&amp;""=$X29&amp;"",0,1))))</f>
        <v/>
      </c>
    </row>
    <row r="30" spans="24:25" ht="13.5" customHeight="1" x14ac:dyDescent="0.3">
      <c r="X30" s="193" t="str">
        <f>IF($Q30="","",IFERROR(INDEX(BD_KPIs!$F$2:$F$1300,MATCH($Q30,BD_KPIs!$Q$2:$Q$1300,0)),"n/d"))</f>
        <v/>
      </c>
      <c r="Y30" s="193" t="str">
        <f>IF($Q30="","",IF(COUNTIFS($Q$2:$Q$1300,$Q30,$U$2:$U$1300,"&gt;"&amp;$U30)&gt;0,0,IF(AND(ISNUMBER($F30),ISNUMBER($X30)),IF(ABS($F30-$X30)&gt;_QA!$C$6,1,0),IF($F30&amp;""=$X30&amp;"",0,1))))</f>
        <v/>
      </c>
    </row>
    <row r="31" spans="24:25" ht="13.5" customHeight="1" x14ac:dyDescent="0.3">
      <c r="X31" s="193" t="str">
        <f>IF($Q31="","",IFERROR(INDEX(BD_KPIs!$F$2:$F$1300,MATCH($Q31,BD_KPIs!$Q$2:$Q$1300,0)),"n/d"))</f>
        <v/>
      </c>
      <c r="Y31" s="193" t="str">
        <f>IF($Q31="","",IF(COUNTIFS($Q$2:$Q$1300,$Q31,$U$2:$U$1300,"&gt;"&amp;$U31)&gt;0,0,IF(AND(ISNUMBER($F31),ISNUMBER($X31)),IF(ABS($F31-$X31)&gt;_QA!$C$6,1,0),IF($F31&amp;""=$X31&amp;"",0,1))))</f>
        <v/>
      </c>
    </row>
    <row r="32" spans="24:25" ht="13.5" customHeight="1" x14ac:dyDescent="0.3">
      <c r="X32" s="193" t="str">
        <f>IF($Q32="","",IFERROR(INDEX(BD_KPIs!$F$2:$F$1300,MATCH($Q32,BD_KPIs!$Q$2:$Q$1300,0)),"n/d"))</f>
        <v/>
      </c>
      <c r="Y32" s="193" t="str">
        <f>IF($Q32="","",IF(COUNTIFS($Q$2:$Q$1300,$Q32,$U$2:$U$1300,"&gt;"&amp;$U32)&gt;0,0,IF(AND(ISNUMBER($F32),ISNUMBER($X32)),IF(ABS($F32-$X32)&gt;_QA!$C$6,1,0),IF($F32&amp;""=$X32&amp;"",0,1))))</f>
        <v/>
      </c>
    </row>
    <row r="33" spans="24:25" ht="13.5" customHeight="1" x14ac:dyDescent="0.3">
      <c r="X33" s="193" t="str">
        <f>IF($Q33="","",IFERROR(INDEX(BD_KPIs!$F$2:$F$1300,MATCH($Q33,BD_KPIs!$Q$2:$Q$1300,0)),"n/d"))</f>
        <v/>
      </c>
      <c r="Y33" s="193" t="str">
        <f>IF($Q33="","",IF(COUNTIFS($Q$2:$Q$1300,$Q33,$U$2:$U$1300,"&gt;"&amp;$U33)&gt;0,0,IF(AND(ISNUMBER($F33),ISNUMBER($X33)),IF(ABS($F33-$X33)&gt;_QA!$C$6,1,0),IF($F33&amp;""=$X33&amp;"",0,1))))</f>
        <v/>
      </c>
    </row>
    <row r="34" spans="24:25" ht="13.5" customHeight="1" x14ac:dyDescent="0.3">
      <c r="X34" s="193" t="str">
        <f>IF($Q34="","",IFERROR(INDEX(BD_KPIs!$F$2:$F$1300,MATCH($Q34,BD_KPIs!$Q$2:$Q$1300,0)),"n/d"))</f>
        <v/>
      </c>
      <c r="Y34" s="193" t="str">
        <f>IF($Q34="","",IF(COUNTIFS($Q$2:$Q$1300,$Q34,$U$2:$U$1300,"&gt;"&amp;$U34)&gt;0,0,IF(AND(ISNUMBER($F34),ISNUMBER($X34)),IF(ABS($F34-$X34)&gt;_QA!$C$6,1,0),IF($F34&amp;""=$X34&amp;"",0,1))))</f>
        <v/>
      </c>
    </row>
    <row r="35" spans="24:25" ht="13.5" customHeight="1" x14ac:dyDescent="0.3">
      <c r="X35" s="193" t="str">
        <f>IF($Q35="","",IFERROR(INDEX(BD_KPIs!$F$2:$F$1300,MATCH($Q35,BD_KPIs!$Q$2:$Q$1300,0)),"n/d"))</f>
        <v/>
      </c>
      <c r="Y35" s="193" t="str">
        <f>IF($Q35="","",IF(COUNTIFS($Q$2:$Q$1300,$Q35,$U$2:$U$1300,"&gt;"&amp;$U35)&gt;0,0,IF(AND(ISNUMBER($F35),ISNUMBER($X35)),IF(ABS($F35-$X35)&gt;_QA!$C$6,1,0),IF($F35&amp;""=$X35&amp;"",0,1))))</f>
        <v/>
      </c>
    </row>
    <row r="36" spans="24:25" ht="13.5" customHeight="1" x14ac:dyDescent="0.3">
      <c r="X36" s="193" t="str">
        <f>IF($Q36="","",IFERROR(INDEX(BD_KPIs!$F$2:$F$1300,MATCH($Q36,BD_KPIs!$Q$2:$Q$1300,0)),"n/d"))</f>
        <v/>
      </c>
      <c r="Y36" s="193" t="str">
        <f>IF($Q36="","",IF(COUNTIFS($Q$2:$Q$1300,$Q36,$U$2:$U$1300,"&gt;"&amp;$U36)&gt;0,0,IF(AND(ISNUMBER($F36),ISNUMBER($X36)),IF(ABS($F36-$X36)&gt;_QA!$C$6,1,0),IF($F36&amp;""=$X36&amp;"",0,1))))</f>
        <v/>
      </c>
    </row>
    <row r="37" spans="24:25" ht="13.5" customHeight="1" x14ac:dyDescent="0.3">
      <c r="X37" s="193" t="str">
        <f>IF($Q37="","",IFERROR(INDEX(BD_KPIs!$F$2:$F$1300,MATCH($Q37,BD_KPIs!$Q$2:$Q$1300,0)),"n/d"))</f>
        <v/>
      </c>
      <c r="Y37" s="193" t="str">
        <f>IF($Q37="","",IF(COUNTIFS($Q$2:$Q$1300,$Q37,$U$2:$U$1300,"&gt;"&amp;$U37)&gt;0,0,IF(AND(ISNUMBER($F37),ISNUMBER($X37)),IF(ABS($F37-$X37)&gt;_QA!$C$6,1,0),IF($F37&amp;""=$X37&amp;"",0,1))))</f>
        <v/>
      </c>
    </row>
    <row r="38" spans="24:25" ht="13.5" customHeight="1" x14ac:dyDescent="0.3">
      <c r="X38" s="193" t="str">
        <f>IF($Q38="","",IFERROR(INDEX(BD_KPIs!$F$2:$F$1300,MATCH($Q38,BD_KPIs!$Q$2:$Q$1300,0)),"n/d"))</f>
        <v/>
      </c>
      <c r="Y38" s="193" t="str">
        <f>IF($Q38="","",IF(COUNTIFS($Q$2:$Q$1300,$Q38,$U$2:$U$1300,"&gt;"&amp;$U38)&gt;0,0,IF(AND(ISNUMBER($F38),ISNUMBER($X38)),IF(ABS($F38-$X38)&gt;_QA!$C$6,1,0),IF($F38&amp;""=$X38&amp;"",0,1))))</f>
        <v/>
      </c>
    </row>
    <row r="39" spans="24:25" ht="13.5" customHeight="1" x14ac:dyDescent="0.3">
      <c r="X39" s="193" t="str">
        <f>IF($Q39="","",IFERROR(INDEX(BD_KPIs!$F$2:$F$1300,MATCH($Q39,BD_KPIs!$Q$2:$Q$1300,0)),"n/d"))</f>
        <v/>
      </c>
      <c r="Y39" s="193" t="str">
        <f>IF($Q39="","",IF(COUNTIFS($Q$2:$Q$1300,$Q39,$U$2:$U$1300,"&gt;"&amp;$U39)&gt;0,0,IF(AND(ISNUMBER($F39),ISNUMBER($X39)),IF(ABS($F39-$X39)&gt;_QA!$C$6,1,0),IF($F39&amp;""=$X39&amp;"",0,1))))</f>
        <v/>
      </c>
    </row>
    <row r="40" spans="24:25" ht="13.5" customHeight="1" x14ac:dyDescent="0.3">
      <c r="X40" s="193" t="str">
        <f>IF($Q40="","",IFERROR(INDEX(BD_KPIs!$F$2:$F$1300,MATCH($Q40,BD_KPIs!$Q$2:$Q$1300,0)),"n/d"))</f>
        <v/>
      </c>
      <c r="Y40" s="193" t="str">
        <f>IF($Q40="","",IF(COUNTIFS($Q$2:$Q$1300,$Q40,$U$2:$U$1300,"&gt;"&amp;$U40)&gt;0,0,IF(AND(ISNUMBER($F40),ISNUMBER($X40)),IF(ABS($F40-$X40)&gt;_QA!$C$6,1,0),IF($F40&amp;""=$X40&amp;"",0,1))))</f>
        <v/>
      </c>
    </row>
    <row r="41" spans="24:25" ht="13.5" customHeight="1" x14ac:dyDescent="0.3">
      <c r="X41" s="193" t="str">
        <f>IF($Q41="","",IFERROR(INDEX(BD_KPIs!$F$2:$F$1300,MATCH($Q41,BD_KPIs!$Q$2:$Q$1300,0)),"n/d"))</f>
        <v/>
      </c>
      <c r="Y41" s="193" t="str">
        <f>IF($Q41="","",IF(COUNTIFS($Q$2:$Q$1300,$Q41,$U$2:$U$1300,"&gt;"&amp;$U41)&gt;0,0,IF(AND(ISNUMBER($F41),ISNUMBER($X41)),IF(ABS($F41-$X41)&gt;_QA!$C$6,1,0),IF($F41&amp;""=$X41&amp;"",0,1))))</f>
        <v/>
      </c>
    </row>
    <row r="42" spans="24:25" ht="13.5" customHeight="1" x14ac:dyDescent="0.3">
      <c r="X42" s="193" t="str">
        <f>IF($Q42="","",IFERROR(INDEX(BD_KPIs!$F$2:$F$1300,MATCH($Q42,BD_KPIs!$Q$2:$Q$1300,0)),"n/d"))</f>
        <v/>
      </c>
      <c r="Y42" s="193" t="str">
        <f>IF($Q42="","",IF(COUNTIFS($Q$2:$Q$1300,$Q42,$U$2:$U$1300,"&gt;"&amp;$U42)&gt;0,0,IF(AND(ISNUMBER($F42),ISNUMBER($X42)),IF(ABS($F42-$X42)&gt;_QA!$C$6,1,0),IF($F42&amp;""=$X42&amp;"",0,1))))</f>
        <v/>
      </c>
    </row>
    <row r="43" spans="24:25" ht="13.5" customHeight="1" x14ac:dyDescent="0.3">
      <c r="X43" s="193" t="str">
        <f>IF($Q43="","",IFERROR(INDEX(BD_KPIs!$F$2:$F$1300,MATCH($Q43,BD_KPIs!$Q$2:$Q$1300,0)),"n/d"))</f>
        <v/>
      </c>
      <c r="Y43" s="193" t="str">
        <f>IF($Q43="","",IF(COUNTIFS($Q$2:$Q$1300,$Q43,$U$2:$U$1300,"&gt;"&amp;$U43)&gt;0,0,IF(AND(ISNUMBER($F43),ISNUMBER($X43)),IF(ABS($F43-$X43)&gt;_QA!$C$6,1,0),IF($F43&amp;""=$X43&amp;"",0,1))))</f>
        <v/>
      </c>
    </row>
    <row r="44" spans="24:25" ht="13.5" customHeight="1" x14ac:dyDescent="0.3">
      <c r="X44" s="193" t="str">
        <f>IF($Q44="","",IFERROR(INDEX(BD_KPIs!$F$2:$F$1300,MATCH($Q44,BD_KPIs!$Q$2:$Q$1300,0)),"n/d"))</f>
        <v/>
      </c>
      <c r="Y44" s="193" t="str">
        <f>IF($Q44="","",IF(COUNTIFS($Q$2:$Q$1300,$Q44,$U$2:$U$1300,"&gt;"&amp;$U44)&gt;0,0,IF(AND(ISNUMBER($F44),ISNUMBER($X44)),IF(ABS($F44-$X44)&gt;_QA!$C$6,1,0),IF($F44&amp;""=$X44&amp;"",0,1))))</f>
        <v/>
      </c>
    </row>
    <row r="45" spans="24:25" ht="13.5" customHeight="1" x14ac:dyDescent="0.3">
      <c r="X45" s="193" t="str">
        <f>IF($Q45="","",IFERROR(INDEX(BD_KPIs!$F$2:$F$1300,MATCH($Q45,BD_KPIs!$Q$2:$Q$1300,0)),"n/d"))</f>
        <v/>
      </c>
      <c r="Y45" s="193" t="str">
        <f>IF($Q45="","",IF(COUNTIFS($Q$2:$Q$1300,$Q45,$U$2:$U$1300,"&gt;"&amp;$U45)&gt;0,0,IF(AND(ISNUMBER($F45),ISNUMBER($X45)),IF(ABS($F45-$X45)&gt;_QA!$C$6,1,0),IF($F45&amp;""=$X45&amp;"",0,1))))</f>
        <v/>
      </c>
    </row>
    <row r="46" spans="24:25" ht="13.5" customHeight="1" x14ac:dyDescent="0.3">
      <c r="X46" s="193" t="str">
        <f>IF($Q46="","",IFERROR(INDEX(BD_KPIs!$F$2:$F$1300,MATCH($Q46,BD_KPIs!$Q$2:$Q$1300,0)),"n/d"))</f>
        <v/>
      </c>
      <c r="Y46" s="193" t="str">
        <f>IF($Q46="","",IF(COUNTIFS($Q$2:$Q$1300,$Q46,$U$2:$U$1300,"&gt;"&amp;$U46)&gt;0,0,IF(AND(ISNUMBER($F46),ISNUMBER($X46)),IF(ABS($F46-$X46)&gt;_QA!$C$6,1,0),IF($F46&amp;""=$X46&amp;"",0,1))))</f>
        <v/>
      </c>
    </row>
    <row r="47" spans="24:25" ht="13.5" customHeight="1" x14ac:dyDescent="0.3">
      <c r="X47" s="193" t="str">
        <f>IF($Q47="","",IFERROR(INDEX(BD_KPIs!$F$2:$F$1300,MATCH($Q47,BD_KPIs!$Q$2:$Q$1300,0)),"n/d"))</f>
        <v/>
      </c>
      <c r="Y47" s="193" t="str">
        <f>IF($Q47="","",IF(COUNTIFS($Q$2:$Q$1300,$Q47,$U$2:$U$1300,"&gt;"&amp;$U47)&gt;0,0,IF(AND(ISNUMBER($F47),ISNUMBER($X47)),IF(ABS($F47-$X47)&gt;_QA!$C$6,1,0),IF($F47&amp;""=$X47&amp;"",0,1))))</f>
        <v/>
      </c>
    </row>
    <row r="48" spans="24:25" ht="13.5" customHeight="1" x14ac:dyDescent="0.3">
      <c r="X48" s="193" t="str">
        <f>IF($Q48="","",IFERROR(INDEX(BD_KPIs!$F$2:$F$1300,MATCH($Q48,BD_KPIs!$Q$2:$Q$1300,0)),"n/d"))</f>
        <v/>
      </c>
      <c r="Y48" s="193" t="str">
        <f>IF($Q48="","",IF(COUNTIFS($Q$2:$Q$1300,$Q48,$U$2:$U$1300,"&gt;"&amp;$U48)&gt;0,0,IF(AND(ISNUMBER($F48),ISNUMBER($X48)),IF(ABS($F48-$X48)&gt;_QA!$C$6,1,0),IF($F48&amp;""=$X48&amp;"",0,1))))</f>
        <v/>
      </c>
    </row>
    <row r="49" spans="24:25" ht="13.5" customHeight="1" x14ac:dyDescent="0.3">
      <c r="X49" s="193" t="str">
        <f>IF($Q49="","",IFERROR(INDEX(BD_KPIs!$F$2:$F$1300,MATCH($Q49,BD_KPIs!$Q$2:$Q$1300,0)),"n/d"))</f>
        <v/>
      </c>
      <c r="Y49" s="193" t="str">
        <f>IF($Q49="","",IF(COUNTIFS($Q$2:$Q$1300,$Q49,$U$2:$U$1300,"&gt;"&amp;$U49)&gt;0,0,IF(AND(ISNUMBER($F49),ISNUMBER($X49)),IF(ABS($F49-$X49)&gt;_QA!$C$6,1,0),IF($F49&amp;""=$X49&amp;"",0,1))))</f>
        <v/>
      </c>
    </row>
    <row r="50" spans="24:25" ht="13.5" customHeight="1" x14ac:dyDescent="0.3">
      <c r="X50" s="193" t="str">
        <f>IF($Q50="","",IFERROR(INDEX(BD_KPIs!$F$2:$F$1300,MATCH($Q50,BD_KPIs!$Q$2:$Q$1300,0)),"n/d"))</f>
        <v/>
      </c>
      <c r="Y50" s="193" t="str">
        <f>IF($Q50="","",IF(COUNTIFS($Q$2:$Q$1300,$Q50,$U$2:$U$1300,"&gt;"&amp;$U50)&gt;0,0,IF(AND(ISNUMBER($F50),ISNUMBER($X50)),IF(ABS($F50-$X50)&gt;_QA!$C$6,1,0),IF($F50&amp;""=$X50&amp;"",0,1))))</f>
        <v/>
      </c>
    </row>
    <row r="51" spans="24:25" ht="13.5" customHeight="1" x14ac:dyDescent="0.3">
      <c r="X51" s="193" t="str">
        <f>IF($Q51="","",IFERROR(INDEX(BD_KPIs!$F$2:$F$1300,MATCH($Q51,BD_KPIs!$Q$2:$Q$1300,0)),"n/d"))</f>
        <v/>
      </c>
      <c r="Y51" s="193" t="str">
        <f>IF($Q51="","",IF(COUNTIFS($Q$2:$Q$1300,$Q51,$U$2:$U$1300,"&gt;"&amp;$U51)&gt;0,0,IF(AND(ISNUMBER($F51),ISNUMBER($X51)),IF(ABS($F51-$X51)&gt;_QA!$C$6,1,0),IF($F51&amp;""=$X51&amp;"",0,1))))</f>
        <v/>
      </c>
    </row>
    <row r="52" spans="24:25" ht="13.5" customHeight="1" x14ac:dyDescent="0.3">
      <c r="X52" s="193" t="str">
        <f>IF($Q52="","",IFERROR(INDEX(BD_KPIs!$F$2:$F$1300,MATCH($Q52,BD_KPIs!$Q$2:$Q$1300,0)),"n/d"))</f>
        <v/>
      </c>
      <c r="Y52" s="193" t="str">
        <f>IF($Q52="","",IF(COUNTIFS($Q$2:$Q$1300,$Q52,$U$2:$U$1300,"&gt;"&amp;$U52)&gt;0,0,IF(AND(ISNUMBER($F52),ISNUMBER($X52)),IF(ABS($F52-$X52)&gt;_QA!$C$6,1,0),IF($F52&amp;""=$X52&amp;"",0,1))))</f>
        <v/>
      </c>
    </row>
    <row r="53" spans="24:25" ht="13.5" customHeight="1" x14ac:dyDescent="0.3">
      <c r="X53" s="193" t="str">
        <f>IF($Q53="","",IFERROR(INDEX(BD_KPIs!$F$2:$F$1300,MATCH($Q53,BD_KPIs!$Q$2:$Q$1300,0)),"n/d"))</f>
        <v/>
      </c>
      <c r="Y53" s="193" t="str">
        <f>IF($Q53="","",IF(COUNTIFS($Q$2:$Q$1300,$Q53,$U$2:$U$1300,"&gt;"&amp;$U53)&gt;0,0,IF(AND(ISNUMBER($F53),ISNUMBER($X53)),IF(ABS($F53-$X53)&gt;_QA!$C$6,1,0),IF($F53&amp;""=$X53&amp;"",0,1))))</f>
        <v/>
      </c>
    </row>
    <row r="54" spans="24:25" ht="13.5" customHeight="1" x14ac:dyDescent="0.3">
      <c r="X54" s="193" t="str">
        <f>IF($Q54="","",IFERROR(INDEX(BD_KPIs!$F$2:$F$1300,MATCH($Q54,BD_KPIs!$Q$2:$Q$1300,0)),"n/d"))</f>
        <v/>
      </c>
      <c r="Y54" s="193" t="str">
        <f>IF($Q54="","",IF(COUNTIFS($Q$2:$Q$1300,$Q54,$U$2:$U$1300,"&gt;"&amp;$U54)&gt;0,0,IF(AND(ISNUMBER($F54),ISNUMBER($X54)),IF(ABS($F54-$X54)&gt;_QA!$C$6,1,0),IF($F54&amp;""=$X54&amp;"",0,1))))</f>
        <v/>
      </c>
    </row>
    <row r="55" spans="24:25" ht="13.5" customHeight="1" x14ac:dyDescent="0.3">
      <c r="X55" s="193" t="str">
        <f>IF($Q55="","",IFERROR(INDEX(BD_KPIs!$F$2:$F$1300,MATCH($Q55,BD_KPIs!$Q$2:$Q$1300,0)),"n/d"))</f>
        <v/>
      </c>
      <c r="Y55" s="193" t="str">
        <f>IF($Q55="","",IF(COUNTIFS($Q$2:$Q$1300,$Q55,$U$2:$U$1300,"&gt;"&amp;$U55)&gt;0,0,IF(AND(ISNUMBER($F55),ISNUMBER($X55)),IF(ABS($F55-$X55)&gt;_QA!$C$6,1,0),IF($F55&amp;""=$X55&amp;"",0,1))))</f>
        <v/>
      </c>
    </row>
    <row r="56" spans="24:25" ht="13.5" customHeight="1" x14ac:dyDescent="0.3">
      <c r="X56" s="193" t="str">
        <f>IF($Q56="","",IFERROR(INDEX(BD_KPIs!$F$2:$F$1300,MATCH($Q56,BD_KPIs!$Q$2:$Q$1300,0)),"n/d"))</f>
        <v/>
      </c>
      <c r="Y56" s="193" t="str">
        <f>IF($Q56="","",IF(COUNTIFS($Q$2:$Q$1300,$Q56,$U$2:$U$1300,"&gt;"&amp;$U56)&gt;0,0,IF(AND(ISNUMBER($F56),ISNUMBER($X56)),IF(ABS($F56-$X56)&gt;_QA!$C$6,1,0),IF($F56&amp;""=$X56&amp;"",0,1))))</f>
        <v/>
      </c>
    </row>
    <row r="57" spans="24:25" ht="13.5" customHeight="1" x14ac:dyDescent="0.3">
      <c r="X57" s="193" t="str">
        <f>IF($Q57="","",IFERROR(INDEX(BD_KPIs!$F$2:$F$1300,MATCH($Q57,BD_KPIs!$Q$2:$Q$1300,0)),"n/d"))</f>
        <v/>
      </c>
      <c r="Y57" s="193" t="str">
        <f>IF($Q57="","",IF(COUNTIFS($Q$2:$Q$1300,$Q57,$U$2:$U$1300,"&gt;"&amp;$U57)&gt;0,0,IF(AND(ISNUMBER($F57),ISNUMBER($X57)),IF(ABS($F57-$X57)&gt;_QA!$C$6,1,0),IF($F57&amp;""=$X57&amp;"",0,1))))</f>
        <v/>
      </c>
    </row>
    <row r="58" spans="24:25" ht="13.5" customHeight="1" x14ac:dyDescent="0.3">
      <c r="X58" s="193" t="str">
        <f>IF($Q58="","",IFERROR(INDEX(BD_KPIs!$F$2:$F$1300,MATCH($Q58,BD_KPIs!$Q$2:$Q$1300,0)),"n/d"))</f>
        <v/>
      </c>
      <c r="Y58" s="193" t="str">
        <f>IF($Q58="","",IF(COUNTIFS($Q$2:$Q$1300,$Q58,$U$2:$U$1300,"&gt;"&amp;$U58)&gt;0,0,IF(AND(ISNUMBER($F58),ISNUMBER($X58)),IF(ABS($F58-$X58)&gt;_QA!$C$6,1,0),IF($F58&amp;""=$X58&amp;"",0,1))))</f>
        <v/>
      </c>
    </row>
    <row r="59" spans="24:25" ht="13.5" customHeight="1" x14ac:dyDescent="0.3">
      <c r="X59" s="193" t="str">
        <f>IF($Q59="","",IFERROR(INDEX(BD_KPIs!$F$2:$F$1300,MATCH($Q59,BD_KPIs!$Q$2:$Q$1300,0)),"n/d"))</f>
        <v/>
      </c>
      <c r="Y59" s="193" t="str">
        <f>IF($Q59="","",IF(COUNTIFS($Q$2:$Q$1300,$Q59,$U$2:$U$1300,"&gt;"&amp;$U59)&gt;0,0,IF(AND(ISNUMBER($F59),ISNUMBER($X59)),IF(ABS($F59-$X59)&gt;_QA!$C$6,1,0),IF($F59&amp;""=$X59&amp;"",0,1))))</f>
        <v/>
      </c>
    </row>
    <row r="60" spans="24:25" ht="13.5" customHeight="1" x14ac:dyDescent="0.3">
      <c r="X60" s="193" t="str">
        <f>IF($Q60="","",IFERROR(INDEX(BD_KPIs!$F$2:$F$1300,MATCH($Q60,BD_KPIs!$Q$2:$Q$1300,0)),"n/d"))</f>
        <v/>
      </c>
      <c r="Y60" s="193" t="str">
        <f>IF($Q60="","",IF(COUNTIFS($Q$2:$Q$1300,$Q60,$U$2:$U$1300,"&gt;"&amp;$U60)&gt;0,0,IF(AND(ISNUMBER($F60),ISNUMBER($X60)),IF(ABS($F60-$X60)&gt;_QA!$C$6,1,0),IF($F60&amp;""=$X60&amp;"",0,1))))</f>
        <v/>
      </c>
    </row>
    <row r="61" spans="24:25" ht="13.5" customHeight="1" x14ac:dyDescent="0.3">
      <c r="X61" s="193" t="str">
        <f>IF($Q61="","",IFERROR(INDEX(BD_KPIs!$F$2:$F$1300,MATCH($Q61,BD_KPIs!$Q$2:$Q$1300,0)),"n/d"))</f>
        <v/>
      </c>
      <c r="Y61" s="193" t="str">
        <f>IF($Q61="","",IF(COUNTIFS($Q$2:$Q$1300,$Q61,$U$2:$U$1300,"&gt;"&amp;$U61)&gt;0,0,IF(AND(ISNUMBER($F61),ISNUMBER($X61)),IF(ABS($F61-$X61)&gt;_QA!$C$6,1,0),IF($F61&amp;""=$X61&amp;"",0,1))))</f>
        <v/>
      </c>
    </row>
    <row r="62" spans="24:25" ht="13.5" customHeight="1" x14ac:dyDescent="0.3">
      <c r="X62" s="193" t="str">
        <f>IF($Q62="","",IFERROR(INDEX(BD_KPIs!$F$2:$F$1300,MATCH($Q62,BD_KPIs!$Q$2:$Q$1300,0)),"n/d"))</f>
        <v/>
      </c>
      <c r="Y62" s="193" t="str">
        <f>IF($Q62="","",IF(COUNTIFS($Q$2:$Q$1300,$Q62,$U$2:$U$1300,"&gt;"&amp;$U62)&gt;0,0,IF(AND(ISNUMBER($F62),ISNUMBER($X62)),IF(ABS($F62-$X62)&gt;_QA!$C$6,1,0),IF($F62&amp;""=$X62&amp;"",0,1))))</f>
        <v/>
      </c>
    </row>
    <row r="63" spans="24:25" ht="13.5" customHeight="1" x14ac:dyDescent="0.3">
      <c r="X63" s="193" t="str">
        <f>IF($Q63="","",IFERROR(INDEX(BD_KPIs!$F$2:$F$1300,MATCH($Q63,BD_KPIs!$Q$2:$Q$1300,0)),"n/d"))</f>
        <v/>
      </c>
      <c r="Y63" s="193" t="str">
        <f>IF($Q63="","",IF(COUNTIFS($Q$2:$Q$1300,$Q63,$U$2:$U$1300,"&gt;"&amp;$U63)&gt;0,0,IF(AND(ISNUMBER($F63),ISNUMBER($X63)),IF(ABS($F63-$X63)&gt;_QA!$C$6,1,0),IF($F63&amp;""=$X63&amp;"",0,1))))</f>
        <v/>
      </c>
    </row>
    <row r="64" spans="24:25" ht="13.5" customHeight="1" x14ac:dyDescent="0.3">
      <c r="X64" s="193" t="str">
        <f>IF($Q64="","",IFERROR(INDEX(BD_KPIs!$F$2:$F$1300,MATCH($Q64,BD_KPIs!$Q$2:$Q$1300,0)),"n/d"))</f>
        <v/>
      </c>
      <c r="Y64" s="193" t="str">
        <f>IF($Q64="","",IF(COUNTIFS($Q$2:$Q$1300,$Q64,$U$2:$U$1300,"&gt;"&amp;$U64)&gt;0,0,IF(AND(ISNUMBER($F64),ISNUMBER($X64)),IF(ABS($F64-$X64)&gt;_QA!$C$6,1,0),IF($F64&amp;""=$X64&amp;"",0,1))))</f>
        <v/>
      </c>
    </row>
    <row r="65" spans="24:25" ht="13.5" customHeight="1" x14ac:dyDescent="0.3">
      <c r="X65" s="193" t="str">
        <f>IF($Q65="","",IFERROR(INDEX(BD_KPIs!$F$2:$F$1300,MATCH($Q65,BD_KPIs!$Q$2:$Q$1300,0)),"n/d"))</f>
        <v/>
      </c>
      <c r="Y65" s="193" t="str">
        <f>IF($Q65="","",IF(COUNTIFS($Q$2:$Q$1300,$Q65,$U$2:$U$1300,"&gt;"&amp;$U65)&gt;0,0,IF(AND(ISNUMBER($F65),ISNUMBER($X65)),IF(ABS($F65-$X65)&gt;_QA!$C$6,1,0),IF($F65&amp;""=$X65&amp;"",0,1))))</f>
        <v/>
      </c>
    </row>
    <row r="66" spans="24:25" ht="13.5" customHeight="1" x14ac:dyDescent="0.3">
      <c r="X66" s="193" t="str">
        <f>IF($Q66="","",IFERROR(INDEX(BD_KPIs!$F$2:$F$1300,MATCH($Q66,BD_KPIs!$Q$2:$Q$1300,0)),"n/d"))</f>
        <v/>
      </c>
      <c r="Y66" s="193" t="str">
        <f>IF($Q66="","",IF(COUNTIFS($Q$2:$Q$1300,$Q66,$U$2:$U$1300,"&gt;"&amp;$U66)&gt;0,0,IF(AND(ISNUMBER($F66),ISNUMBER($X66)),IF(ABS($F66-$X66)&gt;_QA!$C$6,1,0),IF($F66&amp;""=$X66&amp;"",0,1))))</f>
        <v/>
      </c>
    </row>
    <row r="67" spans="24:25" ht="13.5" customHeight="1" x14ac:dyDescent="0.3">
      <c r="X67" s="193" t="str">
        <f>IF($Q67="","",IFERROR(INDEX(BD_KPIs!$F$2:$F$1300,MATCH($Q67,BD_KPIs!$Q$2:$Q$1300,0)),"n/d"))</f>
        <v/>
      </c>
      <c r="Y67" s="193" t="str">
        <f>IF($Q67="","",IF(COUNTIFS($Q$2:$Q$1300,$Q67,$U$2:$U$1300,"&gt;"&amp;$U67)&gt;0,0,IF(AND(ISNUMBER($F67),ISNUMBER($X67)),IF(ABS($F67-$X67)&gt;_QA!$C$6,1,0),IF($F67&amp;""=$X67&amp;"",0,1))))</f>
        <v/>
      </c>
    </row>
    <row r="68" spans="24:25" ht="13.5" customHeight="1" x14ac:dyDescent="0.3">
      <c r="X68" s="193" t="str">
        <f>IF($Q68="","",IFERROR(INDEX(BD_KPIs!$F$2:$F$1300,MATCH($Q68,BD_KPIs!$Q$2:$Q$1300,0)),"n/d"))</f>
        <v/>
      </c>
      <c r="Y68" s="193" t="str">
        <f>IF($Q68="","",IF(COUNTIFS($Q$2:$Q$1300,$Q68,$U$2:$U$1300,"&gt;"&amp;$U68)&gt;0,0,IF(AND(ISNUMBER($F68),ISNUMBER($X68)),IF(ABS($F68-$X68)&gt;_QA!$C$6,1,0),IF($F68&amp;""=$X68&amp;"",0,1))))</f>
        <v/>
      </c>
    </row>
    <row r="69" spans="24:25" ht="13.5" customHeight="1" x14ac:dyDescent="0.3">
      <c r="X69" s="193" t="str">
        <f>IF($Q69="","",IFERROR(INDEX(BD_KPIs!$F$2:$F$1300,MATCH($Q69,BD_KPIs!$Q$2:$Q$1300,0)),"n/d"))</f>
        <v/>
      </c>
      <c r="Y69" s="193" t="str">
        <f>IF($Q69="","",IF(COUNTIFS($Q$2:$Q$1300,$Q69,$U$2:$U$1300,"&gt;"&amp;$U69)&gt;0,0,IF(AND(ISNUMBER($F69),ISNUMBER($X69)),IF(ABS($F69-$X69)&gt;_QA!$C$6,1,0),IF($F69&amp;""=$X69&amp;"",0,1))))</f>
        <v/>
      </c>
    </row>
    <row r="70" spans="24:25" ht="13.5" customHeight="1" x14ac:dyDescent="0.3">
      <c r="X70" s="193" t="str">
        <f>IF($Q70="","",IFERROR(INDEX(BD_KPIs!$F$2:$F$1300,MATCH($Q70,BD_KPIs!$Q$2:$Q$1300,0)),"n/d"))</f>
        <v/>
      </c>
      <c r="Y70" s="193" t="str">
        <f>IF($Q70="","",IF(COUNTIFS($Q$2:$Q$1300,$Q70,$U$2:$U$1300,"&gt;"&amp;$U70)&gt;0,0,IF(AND(ISNUMBER($F70),ISNUMBER($X70)),IF(ABS($F70-$X70)&gt;_QA!$C$6,1,0),IF($F70&amp;""=$X70&amp;"",0,1))))</f>
        <v/>
      </c>
    </row>
    <row r="71" spans="24:25" ht="13.5" customHeight="1" x14ac:dyDescent="0.3">
      <c r="X71" s="193" t="str">
        <f>IF($Q71="","",IFERROR(INDEX(BD_KPIs!$F$2:$F$1300,MATCH($Q71,BD_KPIs!$Q$2:$Q$1300,0)),"n/d"))</f>
        <v/>
      </c>
      <c r="Y71" s="193" t="str">
        <f>IF($Q71="","",IF(COUNTIFS($Q$2:$Q$1300,$Q71,$U$2:$U$1300,"&gt;"&amp;$U71)&gt;0,0,IF(AND(ISNUMBER($F71),ISNUMBER($X71)),IF(ABS($F71-$X71)&gt;_QA!$C$6,1,0),IF($F71&amp;""=$X71&amp;"",0,1))))</f>
        <v/>
      </c>
    </row>
    <row r="72" spans="24:25" ht="13.5" customHeight="1" x14ac:dyDescent="0.3">
      <c r="X72" s="193" t="str">
        <f>IF($Q72="","",IFERROR(INDEX(BD_KPIs!$F$2:$F$1300,MATCH($Q72,BD_KPIs!$Q$2:$Q$1300,0)),"n/d"))</f>
        <v/>
      </c>
      <c r="Y72" s="193" t="str">
        <f>IF($Q72="","",IF(COUNTIFS($Q$2:$Q$1300,$Q72,$U$2:$U$1300,"&gt;"&amp;$U72)&gt;0,0,IF(AND(ISNUMBER($F72),ISNUMBER($X72)),IF(ABS($F72-$X72)&gt;_QA!$C$6,1,0),IF($F72&amp;""=$X72&amp;"",0,1))))</f>
        <v/>
      </c>
    </row>
    <row r="73" spans="24:25" ht="13.5" customHeight="1" x14ac:dyDescent="0.3">
      <c r="X73" s="193" t="str">
        <f>IF($Q73="","",IFERROR(INDEX(BD_KPIs!$F$2:$F$1300,MATCH($Q73,BD_KPIs!$Q$2:$Q$1300,0)),"n/d"))</f>
        <v/>
      </c>
      <c r="Y73" s="193" t="str">
        <f>IF($Q73="","",IF(COUNTIFS($Q$2:$Q$1300,$Q73,$U$2:$U$1300,"&gt;"&amp;$U73)&gt;0,0,IF(AND(ISNUMBER($F73),ISNUMBER($X73)),IF(ABS($F73-$X73)&gt;_QA!$C$6,1,0),IF($F73&amp;""=$X73&amp;"",0,1))))</f>
        <v/>
      </c>
    </row>
    <row r="74" spans="24:25" ht="13.5" customHeight="1" x14ac:dyDescent="0.3">
      <c r="X74" s="193" t="str">
        <f>IF($Q74="","",IFERROR(INDEX(BD_KPIs!$F$2:$F$1300,MATCH($Q74,BD_KPIs!$Q$2:$Q$1300,0)),"n/d"))</f>
        <v/>
      </c>
      <c r="Y74" s="193" t="str">
        <f>IF($Q74="","",IF(COUNTIFS($Q$2:$Q$1300,$Q74,$U$2:$U$1300,"&gt;"&amp;$U74)&gt;0,0,IF(AND(ISNUMBER($F74),ISNUMBER($X74)),IF(ABS($F74-$X74)&gt;_QA!$C$6,1,0),IF($F74&amp;""=$X74&amp;"",0,1))))</f>
        <v/>
      </c>
    </row>
    <row r="75" spans="24:25" ht="13.5" customHeight="1" x14ac:dyDescent="0.3">
      <c r="X75" s="193" t="str">
        <f>IF($Q75="","",IFERROR(INDEX(BD_KPIs!$F$2:$F$1300,MATCH($Q75,BD_KPIs!$Q$2:$Q$1300,0)),"n/d"))</f>
        <v/>
      </c>
      <c r="Y75" s="193" t="str">
        <f>IF($Q75="","",IF(COUNTIFS($Q$2:$Q$1300,$Q75,$U$2:$U$1300,"&gt;"&amp;$U75)&gt;0,0,IF(AND(ISNUMBER($F75),ISNUMBER($X75)),IF(ABS($F75-$X75)&gt;_QA!$C$6,1,0),IF($F75&amp;""=$X75&amp;"",0,1))))</f>
        <v/>
      </c>
    </row>
    <row r="76" spans="24:25" ht="13.5" customHeight="1" x14ac:dyDescent="0.3">
      <c r="X76" s="193" t="str">
        <f>IF($Q76="","",IFERROR(INDEX(BD_KPIs!$F$2:$F$1300,MATCH($Q76,BD_KPIs!$Q$2:$Q$1300,0)),"n/d"))</f>
        <v/>
      </c>
      <c r="Y76" s="193" t="str">
        <f>IF($Q76="","",IF(COUNTIFS($Q$2:$Q$1300,$Q76,$U$2:$U$1300,"&gt;"&amp;$U76)&gt;0,0,IF(AND(ISNUMBER($F76),ISNUMBER($X76)),IF(ABS($F76-$X76)&gt;_QA!$C$6,1,0),IF($F76&amp;""=$X76&amp;"",0,1))))</f>
        <v/>
      </c>
    </row>
    <row r="77" spans="24:25" ht="13.5" customHeight="1" x14ac:dyDescent="0.3">
      <c r="X77" s="193" t="str">
        <f>IF($Q77="","",IFERROR(INDEX(BD_KPIs!$F$2:$F$1300,MATCH($Q77,BD_KPIs!$Q$2:$Q$1300,0)),"n/d"))</f>
        <v/>
      </c>
      <c r="Y77" s="193" t="str">
        <f>IF($Q77="","",IF(COUNTIFS($Q$2:$Q$1300,$Q77,$U$2:$U$1300,"&gt;"&amp;$U77)&gt;0,0,IF(AND(ISNUMBER($F77),ISNUMBER($X77)),IF(ABS($F77-$X77)&gt;_QA!$C$6,1,0),IF($F77&amp;""=$X77&amp;"",0,1))))</f>
        <v/>
      </c>
    </row>
    <row r="78" spans="24:25" ht="13.5" customHeight="1" x14ac:dyDescent="0.3">
      <c r="X78" s="193" t="str">
        <f>IF($Q78="","",IFERROR(INDEX(BD_KPIs!$F$2:$F$1300,MATCH($Q78,BD_KPIs!$Q$2:$Q$1300,0)),"n/d"))</f>
        <v/>
      </c>
      <c r="Y78" s="193" t="str">
        <f>IF($Q78="","",IF(COUNTIFS($Q$2:$Q$1300,$Q78,$U$2:$U$1300,"&gt;"&amp;$U78)&gt;0,0,IF(AND(ISNUMBER($F78),ISNUMBER($X78)),IF(ABS($F78-$X78)&gt;_QA!$C$6,1,0),IF($F78&amp;""=$X78&amp;"",0,1))))</f>
        <v/>
      </c>
    </row>
    <row r="79" spans="24:25" ht="13.5" customHeight="1" x14ac:dyDescent="0.3">
      <c r="X79" s="193" t="str">
        <f>IF($Q79="","",IFERROR(INDEX(BD_KPIs!$F$2:$F$1300,MATCH($Q79,BD_KPIs!$Q$2:$Q$1300,0)),"n/d"))</f>
        <v/>
      </c>
      <c r="Y79" s="193" t="str">
        <f>IF($Q79="","",IF(COUNTIFS($Q$2:$Q$1300,$Q79,$U$2:$U$1300,"&gt;"&amp;$U79)&gt;0,0,IF(AND(ISNUMBER($F79),ISNUMBER($X79)),IF(ABS($F79-$X79)&gt;_QA!$C$6,1,0),IF($F79&amp;""=$X79&amp;"",0,1))))</f>
        <v/>
      </c>
    </row>
    <row r="80" spans="24:25" ht="13.5" customHeight="1" x14ac:dyDescent="0.3">
      <c r="X80" s="193" t="str">
        <f>IF($Q80="","",IFERROR(INDEX(BD_KPIs!$F$2:$F$1300,MATCH($Q80,BD_KPIs!$Q$2:$Q$1300,0)),"n/d"))</f>
        <v/>
      </c>
      <c r="Y80" s="193" t="str">
        <f>IF($Q80="","",IF(COUNTIFS($Q$2:$Q$1300,$Q80,$U$2:$U$1300,"&gt;"&amp;$U80)&gt;0,0,IF(AND(ISNUMBER($F80),ISNUMBER($X80)),IF(ABS($F80-$X80)&gt;_QA!$C$6,1,0),IF($F80&amp;""=$X80&amp;"",0,1))))</f>
        <v/>
      </c>
    </row>
    <row r="81" spans="24:25" ht="13.5" customHeight="1" x14ac:dyDescent="0.3">
      <c r="X81" s="193" t="str">
        <f>IF($Q81="","",IFERROR(INDEX(BD_KPIs!$F$2:$F$1300,MATCH($Q81,BD_KPIs!$Q$2:$Q$1300,0)),"n/d"))</f>
        <v/>
      </c>
      <c r="Y81" s="193" t="str">
        <f>IF($Q81="","",IF(COUNTIFS($Q$2:$Q$1300,$Q81,$U$2:$U$1300,"&gt;"&amp;$U81)&gt;0,0,IF(AND(ISNUMBER($F81),ISNUMBER($X81)),IF(ABS($F81-$X81)&gt;_QA!$C$6,1,0),IF($F81&amp;""=$X81&amp;"",0,1))))</f>
        <v/>
      </c>
    </row>
    <row r="82" spans="24:25" ht="13.5" customHeight="1" x14ac:dyDescent="0.3">
      <c r="X82" s="193" t="str">
        <f>IF($Q82="","",IFERROR(INDEX(BD_KPIs!$F$2:$F$1300,MATCH($Q82,BD_KPIs!$Q$2:$Q$1300,0)),"n/d"))</f>
        <v/>
      </c>
      <c r="Y82" s="193" t="str">
        <f>IF($Q82="","",IF(COUNTIFS($Q$2:$Q$1300,$Q82,$U$2:$U$1300,"&gt;"&amp;$U82)&gt;0,0,IF(AND(ISNUMBER($F82),ISNUMBER($X82)),IF(ABS($F82-$X82)&gt;_QA!$C$6,1,0),IF($F82&amp;""=$X82&amp;"",0,1))))</f>
        <v/>
      </c>
    </row>
    <row r="83" spans="24:25" ht="13.5" customHeight="1" x14ac:dyDescent="0.3">
      <c r="X83" s="193" t="str">
        <f>IF($Q83="","",IFERROR(INDEX(BD_KPIs!$F$2:$F$1300,MATCH($Q83,BD_KPIs!$Q$2:$Q$1300,0)),"n/d"))</f>
        <v/>
      </c>
      <c r="Y83" s="193" t="str">
        <f>IF($Q83="","",IF(COUNTIFS($Q$2:$Q$1300,$Q83,$U$2:$U$1300,"&gt;"&amp;$U83)&gt;0,0,IF(AND(ISNUMBER($F83),ISNUMBER($X83)),IF(ABS($F83-$X83)&gt;_QA!$C$6,1,0),IF($F83&amp;""=$X83&amp;"",0,1))))</f>
        <v/>
      </c>
    </row>
    <row r="84" spans="24:25" ht="13.5" customHeight="1" x14ac:dyDescent="0.3">
      <c r="X84" s="193" t="str">
        <f>IF($Q84="","",IFERROR(INDEX(BD_KPIs!$F$2:$F$1300,MATCH($Q84,BD_KPIs!$Q$2:$Q$1300,0)),"n/d"))</f>
        <v/>
      </c>
      <c r="Y84" s="193" t="str">
        <f>IF($Q84="","",IF(COUNTIFS($Q$2:$Q$1300,$Q84,$U$2:$U$1300,"&gt;"&amp;$U84)&gt;0,0,IF(AND(ISNUMBER($F84),ISNUMBER($X84)),IF(ABS($F84-$X84)&gt;_QA!$C$6,1,0),IF($F84&amp;""=$X84&amp;"",0,1))))</f>
        <v/>
      </c>
    </row>
    <row r="85" spans="24:25" ht="13.5" customHeight="1" x14ac:dyDescent="0.3">
      <c r="X85" s="193" t="str">
        <f>IF($Q85="","",IFERROR(INDEX(BD_KPIs!$F$2:$F$1300,MATCH($Q85,BD_KPIs!$Q$2:$Q$1300,0)),"n/d"))</f>
        <v/>
      </c>
      <c r="Y85" s="193" t="str">
        <f>IF($Q85="","",IF(COUNTIFS($Q$2:$Q$1300,$Q85,$U$2:$U$1300,"&gt;"&amp;$U85)&gt;0,0,IF(AND(ISNUMBER($F85),ISNUMBER($X85)),IF(ABS($F85-$X85)&gt;_QA!$C$6,1,0),IF($F85&amp;""=$X85&amp;"",0,1))))</f>
        <v/>
      </c>
    </row>
    <row r="86" spans="24:25" ht="13.5" customHeight="1" x14ac:dyDescent="0.3">
      <c r="X86" s="193" t="str">
        <f>IF($Q86="","",IFERROR(INDEX(BD_KPIs!$F$2:$F$1300,MATCH($Q86,BD_KPIs!$Q$2:$Q$1300,0)),"n/d"))</f>
        <v/>
      </c>
      <c r="Y86" s="193" t="str">
        <f>IF($Q86="","",IF(COUNTIFS($Q$2:$Q$1300,$Q86,$U$2:$U$1300,"&gt;"&amp;$U86)&gt;0,0,IF(AND(ISNUMBER($F86),ISNUMBER($X86)),IF(ABS($F86-$X86)&gt;_QA!$C$6,1,0),IF($F86&amp;""=$X86&amp;"",0,1))))</f>
        <v/>
      </c>
    </row>
    <row r="87" spans="24:25" ht="13.5" customHeight="1" x14ac:dyDescent="0.3">
      <c r="X87" s="193" t="str">
        <f>IF($Q87="","",IFERROR(INDEX(BD_KPIs!$F$2:$F$1300,MATCH($Q87,BD_KPIs!$Q$2:$Q$1300,0)),"n/d"))</f>
        <v/>
      </c>
      <c r="Y87" s="193" t="str">
        <f>IF($Q87="","",IF(COUNTIFS($Q$2:$Q$1300,$Q87,$U$2:$U$1300,"&gt;"&amp;$U87)&gt;0,0,IF(AND(ISNUMBER($F87),ISNUMBER($X87)),IF(ABS($F87-$X87)&gt;_QA!$C$6,1,0),IF($F87&amp;""=$X87&amp;"",0,1))))</f>
        <v/>
      </c>
    </row>
    <row r="88" spans="24:25" ht="13.5" customHeight="1" x14ac:dyDescent="0.3">
      <c r="X88" s="193" t="str">
        <f>IF($Q88="","",IFERROR(INDEX(BD_KPIs!$F$2:$F$1300,MATCH($Q88,BD_KPIs!$Q$2:$Q$1300,0)),"n/d"))</f>
        <v/>
      </c>
      <c r="Y88" s="193" t="str">
        <f>IF($Q88="","",IF(COUNTIFS($Q$2:$Q$1300,$Q88,$U$2:$U$1300,"&gt;"&amp;$U88)&gt;0,0,IF(AND(ISNUMBER($F88),ISNUMBER($X88)),IF(ABS($F88-$X88)&gt;_QA!$C$6,1,0),IF($F88&amp;""=$X88&amp;"",0,1))))</f>
        <v/>
      </c>
    </row>
    <row r="89" spans="24:25" ht="13.5" customHeight="1" x14ac:dyDescent="0.3">
      <c r="X89" s="193" t="str">
        <f>IF($Q89="","",IFERROR(INDEX(BD_KPIs!$F$2:$F$1300,MATCH($Q89,BD_KPIs!$Q$2:$Q$1300,0)),"n/d"))</f>
        <v/>
      </c>
      <c r="Y89" s="193" t="str">
        <f>IF($Q89="","",IF(COUNTIFS($Q$2:$Q$1300,$Q89,$U$2:$U$1300,"&gt;"&amp;$U89)&gt;0,0,IF(AND(ISNUMBER($F89),ISNUMBER($X89)),IF(ABS($F89-$X89)&gt;_QA!$C$6,1,0),IF($F89&amp;""=$X89&amp;"",0,1))))</f>
        <v/>
      </c>
    </row>
    <row r="90" spans="24:25" ht="13.5" customHeight="1" x14ac:dyDescent="0.3">
      <c r="X90" s="193" t="str">
        <f>IF($Q90="","",IFERROR(INDEX(BD_KPIs!$F$2:$F$1300,MATCH($Q90,BD_KPIs!$Q$2:$Q$1300,0)),"n/d"))</f>
        <v/>
      </c>
      <c r="Y90" s="193" t="str">
        <f>IF($Q90="","",IF(COUNTIFS($Q$2:$Q$1300,$Q90,$U$2:$U$1300,"&gt;"&amp;$U90)&gt;0,0,IF(AND(ISNUMBER($F90),ISNUMBER($X90)),IF(ABS($F90-$X90)&gt;_QA!$C$6,1,0),IF($F90&amp;""=$X90&amp;"",0,1))))</f>
        <v/>
      </c>
    </row>
    <row r="91" spans="24:25" ht="13.5" customHeight="1" x14ac:dyDescent="0.3">
      <c r="X91" s="193" t="str">
        <f>IF($Q91="","",IFERROR(INDEX(BD_KPIs!$F$2:$F$1300,MATCH($Q91,BD_KPIs!$Q$2:$Q$1300,0)),"n/d"))</f>
        <v/>
      </c>
      <c r="Y91" s="193" t="str">
        <f>IF($Q91="","",IF(COUNTIFS($Q$2:$Q$1300,$Q91,$U$2:$U$1300,"&gt;"&amp;$U91)&gt;0,0,IF(AND(ISNUMBER($F91),ISNUMBER($X91)),IF(ABS($F91-$X91)&gt;_QA!$C$6,1,0),IF($F91&amp;""=$X91&amp;"",0,1))))</f>
        <v/>
      </c>
    </row>
    <row r="92" spans="24:25" ht="13.5" customHeight="1" x14ac:dyDescent="0.3">
      <c r="X92" s="193" t="str">
        <f>IF($Q92="","",IFERROR(INDEX(BD_KPIs!$F$2:$F$1300,MATCH($Q92,BD_KPIs!$Q$2:$Q$1300,0)),"n/d"))</f>
        <v/>
      </c>
      <c r="Y92" s="193" t="str">
        <f>IF($Q92="","",IF(COUNTIFS($Q$2:$Q$1300,$Q92,$U$2:$U$1300,"&gt;"&amp;$U92)&gt;0,0,IF(AND(ISNUMBER($F92),ISNUMBER($X92)),IF(ABS($F92-$X92)&gt;_QA!$C$6,1,0),IF($F92&amp;""=$X92&amp;"",0,1))))</f>
        <v/>
      </c>
    </row>
    <row r="93" spans="24:25" ht="13.5" customHeight="1" x14ac:dyDescent="0.3">
      <c r="X93" s="193" t="str">
        <f>IF($Q93="","",IFERROR(INDEX(BD_KPIs!$F$2:$F$1300,MATCH($Q93,BD_KPIs!$Q$2:$Q$1300,0)),"n/d"))</f>
        <v/>
      </c>
      <c r="Y93" s="193" t="str">
        <f>IF($Q93="","",IF(COUNTIFS($Q$2:$Q$1300,$Q93,$U$2:$U$1300,"&gt;"&amp;$U93)&gt;0,0,IF(AND(ISNUMBER($F93),ISNUMBER($X93)),IF(ABS($F93-$X93)&gt;_QA!$C$6,1,0),IF($F93&amp;""=$X93&amp;"",0,1))))</f>
        <v/>
      </c>
    </row>
    <row r="94" spans="24:25" ht="13.5" customHeight="1" x14ac:dyDescent="0.3">
      <c r="X94" s="193" t="str">
        <f>IF($Q94="","",IFERROR(INDEX(BD_KPIs!$F$2:$F$1300,MATCH($Q94,BD_KPIs!$Q$2:$Q$1300,0)),"n/d"))</f>
        <v/>
      </c>
      <c r="Y94" s="193" t="str">
        <f>IF($Q94="","",IF(COUNTIFS($Q$2:$Q$1300,$Q94,$U$2:$U$1300,"&gt;"&amp;$U94)&gt;0,0,IF(AND(ISNUMBER($F94),ISNUMBER($X94)),IF(ABS($F94-$X94)&gt;_QA!$C$6,1,0),IF($F94&amp;""=$X94&amp;"",0,1))))</f>
        <v/>
      </c>
    </row>
    <row r="95" spans="24:25" ht="13.5" customHeight="1" x14ac:dyDescent="0.3">
      <c r="X95" s="193" t="str">
        <f>IF($Q95="","",IFERROR(INDEX(BD_KPIs!$F$2:$F$1300,MATCH($Q95,BD_KPIs!$Q$2:$Q$1300,0)),"n/d"))</f>
        <v/>
      </c>
      <c r="Y95" s="193" t="str">
        <f>IF($Q95="","",IF(COUNTIFS($Q$2:$Q$1300,$Q95,$U$2:$U$1300,"&gt;"&amp;$U95)&gt;0,0,IF(AND(ISNUMBER($F95),ISNUMBER($X95)),IF(ABS($F95-$X95)&gt;_QA!$C$6,1,0),IF($F95&amp;""=$X95&amp;"",0,1))))</f>
        <v/>
      </c>
    </row>
    <row r="96" spans="24:25" ht="13.5" customHeight="1" x14ac:dyDescent="0.3">
      <c r="X96" s="193" t="str">
        <f>IF($Q96="","",IFERROR(INDEX(BD_KPIs!$F$2:$F$1300,MATCH($Q96,BD_KPIs!$Q$2:$Q$1300,0)),"n/d"))</f>
        <v/>
      </c>
      <c r="Y96" s="193" t="str">
        <f>IF($Q96="","",IF(COUNTIFS($Q$2:$Q$1300,$Q96,$U$2:$U$1300,"&gt;"&amp;$U96)&gt;0,0,IF(AND(ISNUMBER($F96),ISNUMBER($X96)),IF(ABS($F96-$X96)&gt;_QA!$C$6,1,0),IF($F96&amp;""=$X96&amp;"",0,1))))</f>
        <v/>
      </c>
    </row>
    <row r="97" spans="24:25" ht="13.5" customHeight="1" x14ac:dyDescent="0.3">
      <c r="X97" s="193" t="str">
        <f>IF($Q97="","",IFERROR(INDEX(BD_KPIs!$F$2:$F$1300,MATCH($Q97,BD_KPIs!$Q$2:$Q$1300,0)),"n/d"))</f>
        <v/>
      </c>
      <c r="Y97" s="193" t="str">
        <f>IF($Q97="","",IF(COUNTIFS($Q$2:$Q$1300,$Q97,$U$2:$U$1300,"&gt;"&amp;$U97)&gt;0,0,IF(AND(ISNUMBER($F97),ISNUMBER($X97)),IF(ABS($F97-$X97)&gt;_QA!$C$6,1,0),IF($F97&amp;""=$X97&amp;"",0,1))))</f>
        <v/>
      </c>
    </row>
    <row r="98" spans="24:25" ht="13.5" customHeight="1" x14ac:dyDescent="0.3">
      <c r="X98" s="193" t="str">
        <f>IF($Q98="","",IFERROR(INDEX(BD_KPIs!$F$2:$F$1300,MATCH($Q98,BD_KPIs!$Q$2:$Q$1300,0)),"n/d"))</f>
        <v/>
      </c>
      <c r="Y98" s="193" t="str">
        <f>IF($Q98="","",IF(COUNTIFS($Q$2:$Q$1300,$Q98,$U$2:$U$1300,"&gt;"&amp;$U98)&gt;0,0,IF(AND(ISNUMBER($F98),ISNUMBER($X98)),IF(ABS($F98-$X98)&gt;_QA!$C$6,1,0),IF($F98&amp;""=$X98&amp;"",0,1))))</f>
        <v/>
      </c>
    </row>
    <row r="99" spans="24:25" ht="13.5" customHeight="1" x14ac:dyDescent="0.3">
      <c r="X99" s="193" t="str">
        <f>IF($Q99="","",IFERROR(INDEX(BD_KPIs!$F$2:$F$1300,MATCH($Q99,BD_KPIs!$Q$2:$Q$1300,0)),"n/d"))</f>
        <v/>
      </c>
      <c r="Y99" s="193" t="str">
        <f>IF($Q99="","",IF(COUNTIFS($Q$2:$Q$1300,$Q99,$U$2:$U$1300,"&gt;"&amp;$U99)&gt;0,0,IF(AND(ISNUMBER($F99),ISNUMBER($X99)),IF(ABS($F99-$X99)&gt;_QA!$C$6,1,0),IF($F99&amp;""=$X99&amp;"",0,1))))</f>
        <v/>
      </c>
    </row>
    <row r="100" spans="24:25" ht="13.5" customHeight="1" x14ac:dyDescent="0.3">
      <c r="X100" s="193" t="str">
        <f>IF($Q100="","",IFERROR(INDEX(BD_KPIs!$F$2:$F$1300,MATCH($Q100,BD_KPIs!$Q$2:$Q$1300,0)),"n/d"))</f>
        <v/>
      </c>
      <c r="Y100" s="193" t="str">
        <f>IF($Q100="","",IF(COUNTIFS($Q$2:$Q$1300,$Q100,$U$2:$U$1300,"&gt;"&amp;$U100)&gt;0,0,IF(AND(ISNUMBER($F100),ISNUMBER($X100)),IF(ABS($F100-$X100)&gt;_QA!$C$6,1,0),IF($F100&amp;""=$X100&amp;"",0,1))))</f>
        <v/>
      </c>
    </row>
    <row r="101" spans="24:25" ht="13.5" customHeight="1" x14ac:dyDescent="0.3">
      <c r="X101" s="193" t="str">
        <f>IF($Q101="","",IFERROR(INDEX(BD_KPIs!$F$2:$F$1300,MATCH($Q101,BD_KPIs!$Q$2:$Q$1300,0)),"n/d"))</f>
        <v/>
      </c>
      <c r="Y101" s="193" t="str">
        <f>IF($Q101="","",IF(COUNTIFS($Q$2:$Q$1300,$Q101,$U$2:$U$1300,"&gt;"&amp;$U101)&gt;0,0,IF(AND(ISNUMBER($F101),ISNUMBER($X101)),IF(ABS($F101-$X101)&gt;_QA!$C$6,1,0),IF($F101&amp;""=$X101&amp;"",0,1))))</f>
        <v/>
      </c>
    </row>
    <row r="102" spans="24:25" ht="13.5" customHeight="1" x14ac:dyDescent="0.3">
      <c r="X102" s="193" t="str">
        <f>IF($Q102="","",IFERROR(INDEX(BD_KPIs!$F$2:$F$1300,MATCH($Q102,BD_KPIs!$Q$2:$Q$1300,0)),"n/d"))</f>
        <v/>
      </c>
      <c r="Y102" s="193" t="str">
        <f>IF($Q102="","",IF(COUNTIFS($Q$2:$Q$1300,$Q102,$U$2:$U$1300,"&gt;"&amp;$U102)&gt;0,0,IF(AND(ISNUMBER($F102),ISNUMBER($X102)),IF(ABS($F102-$X102)&gt;_QA!$C$6,1,0),IF($F102&amp;""=$X102&amp;"",0,1))))</f>
        <v/>
      </c>
    </row>
    <row r="103" spans="24:25" ht="13.5" customHeight="1" x14ac:dyDescent="0.3">
      <c r="X103" s="193" t="str">
        <f>IF($Q103="","",IFERROR(INDEX(BD_KPIs!$F$2:$F$1300,MATCH($Q103,BD_KPIs!$Q$2:$Q$1300,0)),"n/d"))</f>
        <v/>
      </c>
      <c r="Y103" s="193" t="str">
        <f>IF($Q103="","",IF(COUNTIFS($Q$2:$Q$1300,$Q103,$U$2:$U$1300,"&gt;"&amp;$U103)&gt;0,0,IF(AND(ISNUMBER($F103),ISNUMBER($X103)),IF(ABS($F103-$X103)&gt;_QA!$C$6,1,0),IF($F103&amp;""=$X103&amp;"",0,1))))</f>
        <v/>
      </c>
    </row>
    <row r="104" spans="24:25" ht="13.5" customHeight="1" x14ac:dyDescent="0.3">
      <c r="X104" s="193" t="str">
        <f>IF($Q104="","",IFERROR(INDEX(BD_KPIs!$F$2:$F$1300,MATCH($Q104,BD_KPIs!$Q$2:$Q$1300,0)),"n/d"))</f>
        <v/>
      </c>
      <c r="Y104" s="193" t="str">
        <f>IF($Q104="","",IF(COUNTIFS($Q$2:$Q$1300,$Q104,$U$2:$U$1300,"&gt;"&amp;$U104)&gt;0,0,IF(AND(ISNUMBER($F104),ISNUMBER($X104)),IF(ABS($F104-$X104)&gt;_QA!$C$6,1,0),IF($F104&amp;""=$X104&amp;"",0,1))))</f>
        <v/>
      </c>
    </row>
    <row r="105" spans="24:25" ht="13.5" customHeight="1" x14ac:dyDescent="0.3">
      <c r="X105" s="193" t="str">
        <f>IF($Q105="","",IFERROR(INDEX(BD_KPIs!$F$2:$F$1300,MATCH($Q105,BD_KPIs!$Q$2:$Q$1300,0)),"n/d"))</f>
        <v/>
      </c>
      <c r="Y105" s="193" t="str">
        <f>IF($Q105="","",IF(COUNTIFS($Q$2:$Q$1300,$Q105,$U$2:$U$1300,"&gt;"&amp;$U105)&gt;0,0,IF(AND(ISNUMBER($F105),ISNUMBER($X105)),IF(ABS($F105-$X105)&gt;_QA!$C$6,1,0),IF($F105&amp;""=$X105&amp;"",0,1))))</f>
        <v/>
      </c>
    </row>
    <row r="106" spans="24:25" ht="13.5" customHeight="1" x14ac:dyDescent="0.3">
      <c r="X106" s="193" t="str">
        <f>IF($Q106="","",IFERROR(INDEX(BD_KPIs!$F$2:$F$1300,MATCH($Q106,BD_KPIs!$Q$2:$Q$1300,0)),"n/d"))</f>
        <v/>
      </c>
      <c r="Y106" s="193" t="str">
        <f>IF($Q106="","",IF(COUNTIFS($Q$2:$Q$1300,$Q106,$U$2:$U$1300,"&gt;"&amp;$U106)&gt;0,0,IF(AND(ISNUMBER($F106),ISNUMBER($X106)),IF(ABS($F106-$X106)&gt;_QA!$C$6,1,0),IF($F106&amp;""=$X106&amp;"",0,1))))</f>
        <v/>
      </c>
    </row>
    <row r="107" spans="24:25" ht="13.5" customHeight="1" x14ac:dyDescent="0.3">
      <c r="X107" s="193" t="str">
        <f>IF($Q107="","",IFERROR(INDEX(BD_KPIs!$F$2:$F$1300,MATCH($Q107,BD_KPIs!$Q$2:$Q$1300,0)),"n/d"))</f>
        <v/>
      </c>
      <c r="Y107" s="193" t="str">
        <f>IF($Q107="","",IF(COUNTIFS($Q$2:$Q$1300,$Q107,$U$2:$U$1300,"&gt;"&amp;$U107)&gt;0,0,IF(AND(ISNUMBER($F107),ISNUMBER($X107)),IF(ABS($F107-$X107)&gt;_QA!$C$6,1,0),IF($F107&amp;""=$X107&amp;"",0,1))))</f>
        <v/>
      </c>
    </row>
    <row r="108" spans="24:25" ht="13.5" customHeight="1" x14ac:dyDescent="0.3">
      <c r="X108" s="193" t="str">
        <f>IF($Q108="","",IFERROR(INDEX(BD_KPIs!$F$2:$F$1300,MATCH($Q108,BD_KPIs!$Q$2:$Q$1300,0)),"n/d"))</f>
        <v/>
      </c>
      <c r="Y108" s="193" t="str">
        <f>IF($Q108="","",IF(COUNTIFS($Q$2:$Q$1300,$Q108,$U$2:$U$1300,"&gt;"&amp;$U108)&gt;0,0,IF(AND(ISNUMBER($F108),ISNUMBER($X108)),IF(ABS($F108-$X108)&gt;_QA!$C$6,1,0),IF($F108&amp;""=$X108&amp;"",0,1))))</f>
        <v/>
      </c>
    </row>
    <row r="109" spans="24:25" ht="13.5" customHeight="1" x14ac:dyDescent="0.3">
      <c r="X109" s="193" t="str">
        <f>IF($Q109="","",IFERROR(INDEX(BD_KPIs!$F$2:$F$1300,MATCH($Q109,BD_KPIs!$Q$2:$Q$1300,0)),"n/d"))</f>
        <v/>
      </c>
      <c r="Y109" s="193" t="str">
        <f>IF($Q109="","",IF(COUNTIFS($Q$2:$Q$1300,$Q109,$U$2:$U$1300,"&gt;"&amp;$U109)&gt;0,0,IF(AND(ISNUMBER($F109),ISNUMBER($X109)),IF(ABS($F109-$X109)&gt;_QA!$C$6,1,0),IF($F109&amp;""=$X109&amp;"",0,1))))</f>
        <v/>
      </c>
    </row>
    <row r="110" spans="24:25" ht="13.5" customHeight="1" x14ac:dyDescent="0.3">
      <c r="X110" s="193" t="str">
        <f>IF($Q110="","",IFERROR(INDEX(BD_KPIs!$F$2:$F$1300,MATCH($Q110,BD_KPIs!$Q$2:$Q$1300,0)),"n/d"))</f>
        <v/>
      </c>
      <c r="Y110" s="193" t="str">
        <f>IF($Q110="","",IF(COUNTIFS($Q$2:$Q$1300,$Q110,$U$2:$U$1300,"&gt;"&amp;$U110)&gt;0,0,IF(AND(ISNUMBER($F110),ISNUMBER($X110)),IF(ABS($F110-$X110)&gt;_QA!$C$6,1,0),IF($F110&amp;""=$X110&amp;"",0,1))))</f>
        <v/>
      </c>
    </row>
    <row r="111" spans="24:25" ht="13.5" customHeight="1" x14ac:dyDescent="0.3">
      <c r="X111" s="193" t="str">
        <f>IF($Q111="","",IFERROR(INDEX(BD_KPIs!$F$2:$F$1300,MATCH($Q111,BD_KPIs!$Q$2:$Q$1300,0)),"n/d"))</f>
        <v/>
      </c>
      <c r="Y111" s="193" t="str">
        <f>IF($Q111="","",IF(COUNTIFS($Q$2:$Q$1300,$Q111,$U$2:$U$1300,"&gt;"&amp;$U111)&gt;0,0,IF(AND(ISNUMBER($F111),ISNUMBER($X111)),IF(ABS($F111-$X111)&gt;_QA!$C$6,1,0),IF($F111&amp;""=$X111&amp;"",0,1))))</f>
        <v/>
      </c>
    </row>
    <row r="112" spans="24:25" ht="13.5" customHeight="1" x14ac:dyDescent="0.3">
      <c r="X112" s="193" t="str">
        <f>IF($Q112="","",IFERROR(INDEX(BD_KPIs!$F$2:$F$1300,MATCH($Q112,BD_KPIs!$Q$2:$Q$1300,0)),"n/d"))</f>
        <v/>
      </c>
      <c r="Y112" s="193" t="str">
        <f>IF($Q112="","",IF(COUNTIFS($Q$2:$Q$1300,$Q112,$U$2:$U$1300,"&gt;"&amp;$U112)&gt;0,0,IF(AND(ISNUMBER($F112),ISNUMBER($X112)),IF(ABS($F112-$X112)&gt;_QA!$C$6,1,0),IF($F112&amp;""=$X112&amp;"",0,1))))</f>
        <v/>
      </c>
    </row>
    <row r="113" spans="24:25" ht="13.5" customHeight="1" x14ac:dyDescent="0.3">
      <c r="X113" s="193" t="str">
        <f>IF($Q113="","",IFERROR(INDEX(BD_KPIs!$F$2:$F$1300,MATCH($Q113,BD_KPIs!$Q$2:$Q$1300,0)),"n/d"))</f>
        <v/>
      </c>
      <c r="Y113" s="193" t="str">
        <f>IF($Q113="","",IF(COUNTIFS($Q$2:$Q$1300,$Q113,$U$2:$U$1300,"&gt;"&amp;$U113)&gt;0,0,IF(AND(ISNUMBER($F113),ISNUMBER($X113)),IF(ABS($F113-$X113)&gt;_QA!$C$6,1,0),IF($F113&amp;""=$X113&amp;"",0,1))))</f>
        <v/>
      </c>
    </row>
    <row r="114" spans="24:25" ht="13.5" customHeight="1" x14ac:dyDescent="0.3">
      <c r="X114" s="193" t="str">
        <f>IF($Q114="","",IFERROR(INDEX(BD_KPIs!$F$2:$F$1300,MATCH($Q114,BD_KPIs!$Q$2:$Q$1300,0)),"n/d"))</f>
        <v/>
      </c>
      <c r="Y114" s="193" t="str">
        <f>IF($Q114="","",IF(COUNTIFS($Q$2:$Q$1300,$Q114,$U$2:$U$1300,"&gt;"&amp;$U114)&gt;0,0,IF(AND(ISNUMBER($F114),ISNUMBER($X114)),IF(ABS($F114-$X114)&gt;_QA!$C$6,1,0),IF($F114&amp;""=$X114&amp;"",0,1))))</f>
        <v/>
      </c>
    </row>
    <row r="115" spans="24:25" ht="13.5" customHeight="1" x14ac:dyDescent="0.3">
      <c r="X115" s="193" t="str">
        <f>IF($Q115="","",IFERROR(INDEX(BD_KPIs!$F$2:$F$1300,MATCH($Q115,BD_KPIs!$Q$2:$Q$1300,0)),"n/d"))</f>
        <v/>
      </c>
      <c r="Y115" s="193" t="str">
        <f>IF($Q115="","",IF(COUNTIFS($Q$2:$Q$1300,$Q115,$U$2:$U$1300,"&gt;"&amp;$U115)&gt;0,0,IF(AND(ISNUMBER($F115),ISNUMBER($X115)),IF(ABS($F115-$X115)&gt;_QA!$C$6,1,0),IF($F115&amp;""=$X115&amp;"",0,1))))</f>
        <v/>
      </c>
    </row>
    <row r="116" spans="24:25" ht="13.5" customHeight="1" x14ac:dyDescent="0.3">
      <c r="X116" s="193" t="str">
        <f>IF($Q116="","",IFERROR(INDEX(BD_KPIs!$F$2:$F$1300,MATCH($Q116,BD_KPIs!$Q$2:$Q$1300,0)),"n/d"))</f>
        <v/>
      </c>
      <c r="Y116" s="193" t="str">
        <f>IF($Q116="","",IF(COUNTIFS($Q$2:$Q$1300,$Q116,$U$2:$U$1300,"&gt;"&amp;$U116)&gt;0,0,IF(AND(ISNUMBER($F116),ISNUMBER($X116)),IF(ABS($F116-$X116)&gt;_QA!$C$6,1,0),IF($F116&amp;""=$X116&amp;"",0,1))))</f>
        <v/>
      </c>
    </row>
    <row r="117" spans="24:25" ht="13.5" customHeight="1" x14ac:dyDescent="0.3">
      <c r="X117" s="193" t="str">
        <f>IF($Q117="","",IFERROR(INDEX(BD_KPIs!$F$2:$F$1300,MATCH($Q117,BD_KPIs!$Q$2:$Q$1300,0)),"n/d"))</f>
        <v/>
      </c>
      <c r="Y117" s="193" t="str">
        <f>IF($Q117="","",IF(COUNTIFS($Q$2:$Q$1300,$Q117,$U$2:$U$1300,"&gt;"&amp;$U117)&gt;0,0,IF(AND(ISNUMBER($F117),ISNUMBER($X117)),IF(ABS($F117-$X117)&gt;_QA!$C$6,1,0),IF($F117&amp;""=$X117&amp;"",0,1))))</f>
        <v/>
      </c>
    </row>
    <row r="118" spans="24:25" ht="13.5" customHeight="1" x14ac:dyDescent="0.3">
      <c r="X118" s="193" t="str">
        <f>IF($Q118="","",IFERROR(INDEX(BD_KPIs!$F$2:$F$1300,MATCH($Q118,BD_KPIs!$Q$2:$Q$1300,0)),"n/d"))</f>
        <v/>
      </c>
      <c r="Y118" s="193" t="str">
        <f>IF($Q118="","",IF(COUNTIFS($Q$2:$Q$1300,$Q118,$U$2:$U$1300,"&gt;"&amp;$U118)&gt;0,0,IF(AND(ISNUMBER($F118),ISNUMBER($X118)),IF(ABS($F118-$X118)&gt;_QA!$C$6,1,0),IF($F118&amp;""=$X118&amp;"",0,1))))</f>
        <v/>
      </c>
    </row>
    <row r="119" spans="24:25" ht="13.5" customHeight="1" x14ac:dyDescent="0.3">
      <c r="X119" s="193" t="str">
        <f>IF($Q119="","",IFERROR(INDEX(BD_KPIs!$F$2:$F$1300,MATCH($Q119,BD_KPIs!$Q$2:$Q$1300,0)),"n/d"))</f>
        <v/>
      </c>
      <c r="Y119" s="193" t="str">
        <f>IF($Q119="","",IF(COUNTIFS($Q$2:$Q$1300,$Q119,$U$2:$U$1300,"&gt;"&amp;$U119)&gt;0,0,IF(AND(ISNUMBER($F119),ISNUMBER($X119)),IF(ABS($F119-$X119)&gt;_QA!$C$6,1,0),IF($F119&amp;""=$X119&amp;"",0,1))))</f>
        <v/>
      </c>
    </row>
    <row r="120" spans="24:25" ht="13.5" customHeight="1" x14ac:dyDescent="0.3">
      <c r="X120" s="193" t="str">
        <f>IF($Q120="","",IFERROR(INDEX(BD_KPIs!$F$2:$F$1300,MATCH($Q120,BD_KPIs!$Q$2:$Q$1300,0)),"n/d"))</f>
        <v/>
      </c>
      <c r="Y120" s="193" t="str">
        <f>IF($Q120="","",IF(COUNTIFS($Q$2:$Q$1300,$Q120,$U$2:$U$1300,"&gt;"&amp;$U120)&gt;0,0,IF(AND(ISNUMBER($F120),ISNUMBER($X120)),IF(ABS($F120-$X120)&gt;_QA!$C$6,1,0),IF($F120&amp;""=$X120&amp;"",0,1))))</f>
        <v/>
      </c>
    </row>
    <row r="121" spans="24:25" ht="13.5" customHeight="1" x14ac:dyDescent="0.3">
      <c r="X121" s="193" t="str">
        <f>IF($Q121="","",IFERROR(INDEX(BD_KPIs!$F$2:$F$1300,MATCH($Q121,BD_KPIs!$Q$2:$Q$1300,0)),"n/d"))</f>
        <v/>
      </c>
      <c r="Y121" s="193" t="str">
        <f>IF($Q121="","",IF(COUNTIFS($Q$2:$Q$1300,$Q121,$U$2:$U$1300,"&gt;"&amp;$U121)&gt;0,0,IF(AND(ISNUMBER($F121),ISNUMBER($X121)),IF(ABS($F121-$X121)&gt;_QA!$C$6,1,0),IF($F121&amp;""=$X121&amp;"",0,1))))</f>
        <v/>
      </c>
    </row>
    <row r="122" spans="24:25" ht="13.5" customHeight="1" x14ac:dyDescent="0.3">
      <c r="X122" s="193" t="str">
        <f>IF($Q122="","",IFERROR(INDEX(BD_KPIs!$F$2:$F$1300,MATCH($Q122,BD_KPIs!$Q$2:$Q$1300,0)),"n/d"))</f>
        <v/>
      </c>
      <c r="Y122" s="193" t="str">
        <f>IF($Q122="","",IF(COUNTIFS($Q$2:$Q$1300,$Q122,$U$2:$U$1300,"&gt;"&amp;$U122)&gt;0,0,IF(AND(ISNUMBER($F122),ISNUMBER($X122)),IF(ABS($F122-$X122)&gt;_QA!$C$6,1,0),IF($F122&amp;""=$X122&amp;"",0,1))))</f>
        <v/>
      </c>
    </row>
    <row r="123" spans="24:25" ht="13.5" customHeight="1" x14ac:dyDescent="0.3">
      <c r="X123" s="193" t="str">
        <f>IF($Q123="","",IFERROR(INDEX(BD_KPIs!$F$2:$F$1300,MATCH($Q123,BD_KPIs!$Q$2:$Q$1300,0)),"n/d"))</f>
        <v/>
      </c>
      <c r="Y123" s="193" t="str">
        <f>IF($Q123="","",IF(COUNTIFS($Q$2:$Q$1300,$Q123,$U$2:$U$1300,"&gt;"&amp;$U123)&gt;0,0,IF(AND(ISNUMBER($F123),ISNUMBER($X123)),IF(ABS($F123-$X123)&gt;_QA!$C$6,1,0),IF($F123&amp;""=$X123&amp;"",0,1))))</f>
        <v/>
      </c>
    </row>
    <row r="124" spans="24:25" ht="13.5" customHeight="1" x14ac:dyDescent="0.3">
      <c r="X124" s="193" t="str">
        <f>IF($Q124="","",IFERROR(INDEX(BD_KPIs!$F$2:$F$1300,MATCH($Q124,BD_KPIs!$Q$2:$Q$1300,0)),"n/d"))</f>
        <v/>
      </c>
      <c r="Y124" s="193" t="str">
        <f>IF($Q124="","",IF(COUNTIFS($Q$2:$Q$1300,$Q124,$U$2:$U$1300,"&gt;"&amp;$U124)&gt;0,0,IF(AND(ISNUMBER($F124),ISNUMBER($X124)),IF(ABS($F124-$X124)&gt;_QA!$C$6,1,0),IF($F124&amp;""=$X124&amp;"",0,1))))</f>
        <v/>
      </c>
    </row>
    <row r="125" spans="24:25" ht="13.5" customHeight="1" x14ac:dyDescent="0.3">
      <c r="X125" s="193" t="str">
        <f>IF($Q125="","",IFERROR(INDEX(BD_KPIs!$F$2:$F$1300,MATCH($Q125,BD_KPIs!$Q$2:$Q$1300,0)),"n/d"))</f>
        <v/>
      </c>
      <c r="Y125" s="193" t="str">
        <f>IF($Q125="","",IF(COUNTIFS($Q$2:$Q$1300,$Q125,$U$2:$U$1300,"&gt;"&amp;$U125)&gt;0,0,IF(AND(ISNUMBER($F125),ISNUMBER($X125)),IF(ABS($F125-$X125)&gt;_QA!$C$6,1,0),IF($F125&amp;""=$X125&amp;"",0,1))))</f>
        <v/>
      </c>
    </row>
    <row r="126" spans="24:25" ht="13.5" customHeight="1" x14ac:dyDescent="0.3">
      <c r="X126" s="193" t="str">
        <f>IF($Q126="","",IFERROR(INDEX(BD_KPIs!$F$2:$F$1300,MATCH($Q126,BD_KPIs!$Q$2:$Q$1300,0)),"n/d"))</f>
        <v/>
      </c>
      <c r="Y126" s="193" t="str">
        <f>IF($Q126="","",IF(COUNTIFS($Q$2:$Q$1300,$Q126,$U$2:$U$1300,"&gt;"&amp;$U126)&gt;0,0,IF(AND(ISNUMBER($F126),ISNUMBER($X126)),IF(ABS($F126-$X126)&gt;_QA!$C$6,1,0),IF($F126&amp;""=$X126&amp;"",0,1))))</f>
        <v/>
      </c>
    </row>
    <row r="127" spans="24:25" ht="13.5" customHeight="1" x14ac:dyDescent="0.3">
      <c r="X127" s="193" t="str">
        <f>IF($Q127="","",IFERROR(INDEX(BD_KPIs!$F$2:$F$1300,MATCH($Q127,BD_KPIs!$Q$2:$Q$1300,0)),"n/d"))</f>
        <v/>
      </c>
      <c r="Y127" s="193" t="str">
        <f>IF($Q127="","",IF(COUNTIFS($Q$2:$Q$1300,$Q127,$U$2:$U$1300,"&gt;"&amp;$U127)&gt;0,0,IF(AND(ISNUMBER($F127),ISNUMBER($X127)),IF(ABS($F127-$X127)&gt;_QA!$C$6,1,0),IF($F127&amp;""=$X127&amp;"",0,1))))</f>
        <v/>
      </c>
    </row>
    <row r="128" spans="24:25" ht="13.5" customHeight="1" x14ac:dyDescent="0.3">
      <c r="X128" s="193" t="str">
        <f>IF($Q128="","",IFERROR(INDEX(BD_KPIs!$F$2:$F$1300,MATCH($Q128,BD_KPIs!$Q$2:$Q$1300,0)),"n/d"))</f>
        <v/>
      </c>
      <c r="Y128" s="193" t="str">
        <f>IF($Q128="","",IF(COUNTIFS($Q$2:$Q$1300,$Q128,$U$2:$U$1300,"&gt;"&amp;$U128)&gt;0,0,IF(AND(ISNUMBER($F128),ISNUMBER($X128)),IF(ABS($F128-$X128)&gt;_QA!$C$6,1,0),IF($F128&amp;""=$X128&amp;"",0,1))))</f>
        <v/>
      </c>
    </row>
    <row r="129" spans="24:25" ht="13.5" customHeight="1" x14ac:dyDescent="0.3">
      <c r="X129" s="193" t="str">
        <f>IF($Q129="","",IFERROR(INDEX(BD_KPIs!$F$2:$F$1300,MATCH($Q129,BD_KPIs!$Q$2:$Q$1300,0)),"n/d"))</f>
        <v/>
      </c>
      <c r="Y129" s="193" t="str">
        <f>IF($Q129="","",IF(COUNTIFS($Q$2:$Q$1300,$Q129,$U$2:$U$1300,"&gt;"&amp;$U129)&gt;0,0,IF(AND(ISNUMBER($F129),ISNUMBER($X129)),IF(ABS($F129-$X129)&gt;_QA!$C$6,1,0),IF($F129&amp;""=$X129&amp;"",0,1))))</f>
        <v/>
      </c>
    </row>
    <row r="130" spans="24:25" ht="13.5" customHeight="1" x14ac:dyDescent="0.3">
      <c r="X130" s="193" t="str">
        <f>IF($Q130="","",IFERROR(INDEX(BD_KPIs!$F$2:$F$1300,MATCH($Q130,BD_KPIs!$Q$2:$Q$1300,0)),"n/d"))</f>
        <v/>
      </c>
      <c r="Y130" s="193" t="str">
        <f>IF($Q130="","",IF(COUNTIFS($Q$2:$Q$1300,$Q130,$U$2:$U$1300,"&gt;"&amp;$U130)&gt;0,0,IF(AND(ISNUMBER($F130),ISNUMBER($X130)),IF(ABS($F130-$X130)&gt;_QA!$C$6,1,0),IF($F130&amp;""=$X130&amp;"",0,1))))</f>
        <v/>
      </c>
    </row>
    <row r="131" spans="24:25" ht="13.5" customHeight="1" x14ac:dyDescent="0.3">
      <c r="X131" s="193" t="str">
        <f>IF($Q131="","",IFERROR(INDEX(BD_KPIs!$F$2:$F$1300,MATCH($Q131,BD_KPIs!$Q$2:$Q$1300,0)),"n/d"))</f>
        <v/>
      </c>
      <c r="Y131" s="193" t="str">
        <f>IF($Q131="","",IF(COUNTIFS($Q$2:$Q$1300,$Q131,$U$2:$U$1300,"&gt;"&amp;$U131)&gt;0,0,IF(AND(ISNUMBER($F131),ISNUMBER($X131)),IF(ABS($F131-$X131)&gt;_QA!$C$6,1,0),IF($F131&amp;""=$X131&amp;"",0,1))))</f>
        <v/>
      </c>
    </row>
    <row r="132" spans="24:25" ht="13.5" customHeight="1" x14ac:dyDescent="0.3">
      <c r="X132" s="193" t="str">
        <f>IF($Q132="","",IFERROR(INDEX(BD_KPIs!$F$2:$F$1300,MATCH($Q132,BD_KPIs!$Q$2:$Q$1300,0)),"n/d"))</f>
        <v/>
      </c>
      <c r="Y132" s="193" t="str">
        <f>IF($Q132="","",IF(COUNTIFS($Q$2:$Q$1300,$Q132,$U$2:$U$1300,"&gt;"&amp;$U132)&gt;0,0,IF(AND(ISNUMBER($F132),ISNUMBER($X132)),IF(ABS($F132-$X132)&gt;_QA!$C$6,1,0),IF($F132&amp;""=$X132&amp;"",0,1))))</f>
        <v/>
      </c>
    </row>
    <row r="133" spans="24:25" ht="13.5" customHeight="1" x14ac:dyDescent="0.3">
      <c r="X133" s="193" t="str">
        <f>IF($Q133="","",IFERROR(INDEX(BD_KPIs!$F$2:$F$1300,MATCH($Q133,BD_KPIs!$Q$2:$Q$1300,0)),"n/d"))</f>
        <v/>
      </c>
      <c r="Y133" s="193" t="str">
        <f>IF($Q133="","",IF(COUNTIFS($Q$2:$Q$1300,$Q133,$U$2:$U$1300,"&gt;"&amp;$U133)&gt;0,0,IF(AND(ISNUMBER($F133),ISNUMBER($X133)),IF(ABS($F133-$X133)&gt;_QA!$C$6,1,0),IF($F133&amp;""=$X133&amp;"",0,1))))</f>
        <v/>
      </c>
    </row>
    <row r="134" spans="24:25" ht="13.5" customHeight="1" x14ac:dyDescent="0.3">
      <c r="X134" s="193" t="str">
        <f>IF($Q134="","",IFERROR(INDEX(BD_KPIs!$F$2:$F$1300,MATCH($Q134,BD_KPIs!$Q$2:$Q$1300,0)),"n/d"))</f>
        <v/>
      </c>
      <c r="Y134" s="193" t="str">
        <f>IF($Q134="","",IF(COUNTIFS($Q$2:$Q$1300,$Q134,$U$2:$U$1300,"&gt;"&amp;$U134)&gt;0,0,IF(AND(ISNUMBER($F134),ISNUMBER($X134)),IF(ABS($F134-$X134)&gt;_QA!$C$6,1,0),IF($F134&amp;""=$X134&amp;"",0,1))))</f>
        <v/>
      </c>
    </row>
    <row r="135" spans="24:25" ht="13.5" customHeight="1" x14ac:dyDescent="0.3">
      <c r="X135" s="193" t="str">
        <f>IF($Q135="","",IFERROR(INDEX(BD_KPIs!$F$2:$F$1300,MATCH($Q135,BD_KPIs!$Q$2:$Q$1300,0)),"n/d"))</f>
        <v/>
      </c>
      <c r="Y135" s="193" t="str">
        <f>IF($Q135="","",IF(COUNTIFS($Q$2:$Q$1300,$Q135,$U$2:$U$1300,"&gt;"&amp;$U135)&gt;0,0,IF(AND(ISNUMBER($F135),ISNUMBER($X135)),IF(ABS($F135-$X135)&gt;_QA!$C$6,1,0),IF($F135&amp;""=$X135&amp;"",0,1))))</f>
        <v/>
      </c>
    </row>
    <row r="136" spans="24:25" ht="13.5" customHeight="1" x14ac:dyDescent="0.3">
      <c r="X136" s="193" t="str">
        <f>IF($Q136="","",IFERROR(INDEX(BD_KPIs!$F$2:$F$1300,MATCH($Q136,BD_KPIs!$Q$2:$Q$1300,0)),"n/d"))</f>
        <v/>
      </c>
      <c r="Y136" s="193" t="str">
        <f>IF($Q136="","",IF(COUNTIFS($Q$2:$Q$1300,$Q136,$U$2:$U$1300,"&gt;"&amp;$U136)&gt;0,0,IF(AND(ISNUMBER($F136),ISNUMBER($X136)),IF(ABS($F136-$X136)&gt;_QA!$C$6,1,0),IF($F136&amp;""=$X136&amp;"",0,1))))</f>
        <v/>
      </c>
    </row>
    <row r="137" spans="24:25" ht="13.5" customHeight="1" x14ac:dyDescent="0.3">
      <c r="X137" s="193" t="str">
        <f>IF($Q137="","",IFERROR(INDEX(BD_KPIs!$F$2:$F$1300,MATCH($Q137,BD_KPIs!$Q$2:$Q$1300,0)),"n/d"))</f>
        <v/>
      </c>
      <c r="Y137" s="193" t="str">
        <f>IF($Q137="","",IF(COUNTIFS($Q$2:$Q$1300,$Q137,$U$2:$U$1300,"&gt;"&amp;$U137)&gt;0,0,IF(AND(ISNUMBER($F137),ISNUMBER($X137)),IF(ABS($F137-$X137)&gt;_QA!$C$6,1,0),IF($F137&amp;""=$X137&amp;"",0,1))))</f>
        <v/>
      </c>
    </row>
    <row r="138" spans="24:25" ht="13.5" customHeight="1" x14ac:dyDescent="0.3">
      <c r="X138" s="193" t="str">
        <f>IF($Q138="","",IFERROR(INDEX(BD_KPIs!$F$2:$F$1300,MATCH($Q138,BD_KPIs!$Q$2:$Q$1300,0)),"n/d"))</f>
        <v/>
      </c>
      <c r="Y138" s="193" t="str">
        <f>IF($Q138="","",IF(COUNTIFS($Q$2:$Q$1300,$Q138,$U$2:$U$1300,"&gt;"&amp;$U138)&gt;0,0,IF(AND(ISNUMBER($F138),ISNUMBER($X138)),IF(ABS($F138-$X138)&gt;_QA!$C$6,1,0),IF($F138&amp;""=$X138&amp;"",0,1))))</f>
        <v/>
      </c>
    </row>
    <row r="139" spans="24:25" ht="13.5" customHeight="1" x14ac:dyDescent="0.3">
      <c r="X139" s="193" t="str">
        <f>IF($Q139="","",IFERROR(INDEX(BD_KPIs!$F$2:$F$1300,MATCH($Q139,BD_KPIs!$Q$2:$Q$1300,0)),"n/d"))</f>
        <v/>
      </c>
      <c r="Y139" s="193" t="str">
        <f>IF($Q139="","",IF(COUNTIFS($Q$2:$Q$1300,$Q139,$U$2:$U$1300,"&gt;"&amp;$U139)&gt;0,0,IF(AND(ISNUMBER($F139),ISNUMBER($X139)),IF(ABS($F139-$X139)&gt;_QA!$C$6,1,0),IF($F139&amp;""=$X139&amp;"",0,1))))</f>
        <v/>
      </c>
    </row>
    <row r="140" spans="24:25" ht="13.5" customHeight="1" x14ac:dyDescent="0.3">
      <c r="X140" s="193" t="str">
        <f>IF($Q140="","",IFERROR(INDEX(BD_KPIs!$F$2:$F$1300,MATCH($Q140,BD_KPIs!$Q$2:$Q$1300,0)),"n/d"))</f>
        <v/>
      </c>
      <c r="Y140" s="193" t="str">
        <f>IF($Q140="","",IF(COUNTIFS($Q$2:$Q$1300,$Q140,$U$2:$U$1300,"&gt;"&amp;$U140)&gt;0,0,IF(AND(ISNUMBER($F140),ISNUMBER($X140)),IF(ABS($F140-$X140)&gt;_QA!$C$6,1,0),IF($F140&amp;""=$X140&amp;"",0,1))))</f>
        <v/>
      </c>
    </row>
    <row r="141" spans="24:25" ht="13.5" customHeight="1" x14ac:dyDescent="0.3">
      <c r="X141" s="193" t="str">
        <f>IF($Q141="","",IFERROR(INDEX(BD_KPIs!$F$2:$F$1300,MATCH($Q141,BD_KPIs!$Q$2:$Q$1300,0)),"n/d"))</f>
        <v/>
      </c>
      <c r="Y141" s="193" t="str">
        <f>IF($Q141="","",IF(COUNTIFS($Q$2:$Q$1300,$Q141,$U$2:$U$1300,"&gt;"&amp;$U141)&gt;0,0,IF(AND(ISNUMBER($F141),ISNUMBER($X141)),IF(ABS($F141-$X141)&gt;_QA!$C$6,1,0),IF($F141&amp;""=$X141&amp;"",0,1))))</f>
        <v/>
      </c>
    </row>
    <row r="142" spans="24:25" ht="13.5" customHeight="1" x14ac:dyDescent="0.3">
      <c r="X142" s="193" t="str">
        <f>IF($Q142="","",IFERROR(INDEX(BD_KPIs!$F$2:$F$1300,MATCH($Q142,BD_KPIs!$Q$2:$Q$1300,0)),"n/d"))</f>
        <v/>
      </c>
      <c r="Y142" s="193" t="str">
        <f>IF($Q142="","",IF(COUNTIFS($Q$2:$Q$1300,$Q142,$U$2:$U$1300,"&gt;"&amp;$U142)&gt;0,0,IF(AND(ISNUMBER($F142),ISNUMBER($X142)),IF(ABS($F142-$X142)&gt;_QA!$C$6,1,0),IF($F142&amp;""=$X142&amp;"",0,1))))</f>
        <v/>
      </c>
    </row>
    <row r="143" spans="24:25" ht="13.5" customHeight="1" x14ac:dyDescent="0.3">
      <c r="X143" s="193" t="str">
        <f>IF($Q143="","",IFERROR(INDEX(BD_KPIs!$F$2:$F$1300,MATCH($Q143,BD_KPIs!$Q$2:$Q$1300,0)),"n/d"))</f>
        <v/>
      </c>
      <c r="Y143" s="193" t="str">
        <f>IF($Q143="","",IF(COUNTIFS($Q$2:$Q$1300,$Q143,$U$2:$U$1300,"&gt;"&amp;$U143)&gt;0,0,IF(AND(ISNUMBER($F143),ISNUMBER($X143)),IF(ABS($F143-$X143)&gt;_QA!$C$6,1,0),IF($F143&amp;""=$X143&amp;"",0,1))))</f>
        <v/>
      </c>
    </row>
    <row r="144" spans="24:25" ht="13.5" customHeight="1" x14ac:dyDescent="0.3">
      <c r="X144" s="193" t="str">
        <f>IF($Q144="","",IFERROR(INDEX(BD_KPIs!$F$2:$F$1300,MATCH($Q144,BD_KPIs!$Q$2:$Q$1300,0)),"n/d"))</f>
        <v/>
      </c>
      <c r="Y144" s="193" t="str">
        <f>IF($Q144="","",IF(COUNTIFS($Q$2:$Q$1300,$Q144,$U$2:$U$1300,"&gt;"&amp;$U144)&gt;0,0,IF(AND(ISNUMBER($F144),ISNUMBER($X144)),IF(ABS($F144-$X144)&gt;_QA!$C$6,1,0),IF($F144&amp;""=$X144&amp;"",0,1))))</f>
        <v/>
      </c>
    </row>
    <row r="145" spans="24:25" ht="13.5" customHeight="1" x14ac:dyDescent="0.3">
      <c r="X145" s="193" t="str">
        <f>IF($Q145="","",IFERROR(INDEX(BD_KPIs!$F$2:$F$1300,MATCH($Q145,BD_KPIs!$Q$2:$Q$1300,0)),"n/d"))</f>
        <v/>
      </c>
      <c r="Y145" s="193" t="str">
        <f>IF($Q145="","",IF(COUNTIFS($Q$2:$Q$1300,$Q145,$U$2:$U$1300,"&gt;"&amp;$U145)&gt;0,0,IF(AND(ISNUMBER($F145),ISNUMBER($X145)),IF(ABS($F145-$X145)&gt;_QA!$C$6,1,0),IF($F145&amp;""=$X145&amp;"",0,1))))</f>
        <v/>
      </c>
    </row>
    <row r="146" spans="24:25" ht="13.5" customHeight="1" x14ac:dyDescent="0.3">
      <c r="X146" s="193" t="str">
        <f>IF($Q146="","",IFERROR(INDEX(BD_KPIs!$F$2:$F$1300,MATCH($Q146,BD_KPIs!$Q$2:$Q$1300,0)),"n/d"))</f>
        <v/>
      </c>
      <c r="Y146" s="193" t="str">
        <f>IF($Q146="","",IF(COUNTIFS($Q$2:$Q$1300,$Q146,$U$2:$U$1300,"&gt;"&amp;$U146)&gt;0,0,IF(AND(ISNUMBER($F146),ISNUMBER($X146)),IF(ABS($F146-$X146)&gt;_QA!$C$6,1,0),IF($F146&amp;""=$X146&amp;"",0,1))))</f>
        <v/>
      </c>
    </row>
    <row r="147" spans="24:25" ht="13.5" customHeight="1" x14ac:dyDescent="0.3">
      <c r="X147" s="193" t="str">
        <f>IF($Q147="","",IFERROR(INDEX(BD_KPIs!$F$2:$F$1300,MATCH($Q147,BD_KPIs!$Q$2:$Q$1300,0)),"n/d"))</f>
        <v/>
      </c>
      <c r="Y147" s="193" t="str">
        <f>IF($Q147="","",IF(COUNTIFS($Q$2:$Q$1300,$Q147,$U$2:$U$1300,"&gt;"&amp;$U147)&gt;0,0,IF(AND(ISNUMBER($F147),ISNUMBER($X147)),IF(ABS($F147-$X147)&gt;_QA!$C$6,1,0),IF($F147&amp;""=$X147&amp;"",0,1))))</f>
        <v/>
      </c>
    </row>
    <row r="148" spans="24:25" ht="13.5" customHeight="1" x14ac:dyDescent="0.3">
      <c r="X148" s="193" t="str">
        <f>IF($Q148="","",IFERROR(INDEX(BD_KPIs!$F$2:$F$1300,MATCH($Q148,BD_KPIs!$Q$2:$Q$1300,0)),"n/d"))</f>
        <v/>
      </c>
      <c r="Y148" s="193" t="str">
        <f>IF($Q148="","",IF(COUNTIFS($Q$2:$Q$1300,$Q148,$U$2:$U$1300,"&gt;"&amp;$U148)&gt;0,0,IF(AND(ISNUMBER($F148),ISNUMBER($X148)),IF(ABS($F148-$X148)&gt;_QA!$C$6,1,0),IF($F148&amp;""=$X148&amp;"",0,1))))</f>
        <v/>
      </c>
    </row>
    <row r="149" spans="24:25" ht="13.5" customHeight="1" x14ac:dyDescent="0.3">
      <c r="X149" s="193" t="str">
        <f>IF($Q149="","",IFERROR(INDEX(BD_KPIs!$F$2:$F$1300,MATCH($Q149,BD_KPIs!$Q$2:$Q$1300,0)),"n/d"))</f>
        <v/>
      </c>
      <c r="Y149" s="193" t="str">
        <f>IF($Q149="","",IF(COUNTIFS($Q$2:$Q$1300,$Q149,$U$2:$U$1300,"&gt;"&amp;$U149)&gt;0,0,IF(AND(ISNUMBER($F149),ISNUMBER($X149)),IF(ABS($F149-$X149)&gt;_QA!$C$6,1,0),IF($F149&amp;""=$X149&amp;"",0,1))))</f>
        <v/>
      </c>
    </row>
    <row r="150" spans="24:25" ht="13.5" customHeight="1" x14ac:dyDescent="0.3">
      <c r="X150" s="193" t="str">
        <f>IF($Q150="","",IFERROR(INDEX(BD_KPIs!$F$2:$F$1300,MATCH($Q150,BD_KPIs!$Q$2:$Q$1300,0)),"n/d"))</f>
        <v/>
      </c>
      <c r="Y150" s="193" t="str">
        <f>IF($Q150="","",IF(COUNTIFS($Q$2:$Q$1300,$Q150,$U$2:$U$1300,"&gt;"&amp;$U150)&gt;0,0,IF(AND(ISNUMBER($F150),ISNUMBER($X150)),IF(ABS($F150-$X150)&gt;_QA!$C$6,1,0),IF($F150&amp;""=$X150&amp;"",0,1))))</f>
        <v/>
      </c>
    </row>
    <row r="151" spans="24:25" ht="13.5" customHeight="1" x14ac:dyDescent="0.3">
      <c r="X151" s="193" t="str">
        <f>IF($Q151="","",IFERROR(INDEX(BD_KPIs!$F$2:$F$1300,MATCH($Q151,BD_KPIs!$Q$2:$Q$1300,0)),"n/d"))</f>
        <v/>
      </c>
      <c r="Y151" s="193" t="str">
        <f>IF($Q151="","",IF(COUNTIFS($Q$2:$Q$1300,$Q151,$U$2:$U$1300,"&gt;"&amp;$U151)&gt;0,0,IF(AND(ISNUMBER($F151),ISNUMBER($X151)),IF(ABS($F151-$X151)&gt;_QA!$C$6,1,0),IF($F151&amp;""=$X151&amp;"",0,1))))</f>
        <v/>
      </c>
    </row>
    <row r="152" spans="24:25" ht="13.5" customHeight="1" x14ac:dyDescent="0.3">
      <c r="X152" s="193" t="str">
        <f>IF($Q152="","",IFERROR(INDEX(BD_KPIs!$F$2:$F$1300,MATCH($Q152,BD_KPIs!$Q$2:$Q$1300,0)),"n/d"))</f>
        <v/>
      </c>
      <c r="Y152" s="193" t="str">
        <f>IF($Q152="","",IF(COUNTIFS($Q$2:$Q$1300,$Q152,$U$2:$U$1300,"&gt;"&amp;$U152)&gt;0,0,IF(AND(ISNUMBER($F152),ISNUMBER($X152)),IF(ABS($F152-$X152)&gt;_QA!$C$6,1,0),IF($F152&amp;""=$X152&amp;"",0,1))))</f>
        <v/>
      </c>
    </row>
    <row r="153" spans="24:25" ht="13.5" customHeight="1" x14ac:dyDescent="0.3">
      <c r="X153" s="193" t="str">
        <f>IF($Q153="","",IFERROR(INDEX(BD_KPIs!$F$2:$F$1300,MATCH($Q153,BD_KPIs!$Q$2:$Q$1300,0)),"n/d"))</f>
        <v/>
      </c>
      <c r="Y153" s="193" t="str">
        <f>IF($Q153="","",IF(COUNTIFS($Q$2:$Q$1300,$Q153,$U$2:$U$1300,"&gt;"&amp;$U153)&gt;0,0,IF(AND(ISNUMBER($F153),ISNUMBER($X153)),IF(ABS($F153-$X153)&gt;_QA!$C$6,1,0),IF($F153&amp;""=$X153&amp;"",0,1))))</f>
        <v/>
      </c>
    </row>
    <row r="154" spans="24:25" ht="13.5" customHeight="1" x14ac:dyDescent="0.3">
      <c r="X154" s="193" t="str">
        <f>IF($Q154="","",IFERROR(INDEX(BD_KPIs!$F$2:$F$1300,MATCH($Q154,BD_KPIs!$Q$2:$Q$1300,0)),"n/d"))</f>
        <v/>
      </c>
      <c r="Y154" s="193" t="str">
        <f>IF($Q154="","",IF(COUNTIFS($Q$2:$Q$1300,$Q154,$U$2:$U$1300,"&gt;"&amp;$U154)&gt;0,0,IF(AND(ISNUMBER($F154),ISNUMBER($X154)),IF(ABS($F154-$X154)&gt;_QA!$C$6,1,0),IF($F154&amp;""=$X154&amp;"",0,1))))</f>
        <v/>
      </c>
    </row>
    <row r="155" spans="24:25" ht="13.5" customHeight="1" x14ac:dyDescent="0.3">
      <c r="X155" s="193" t="str">
        <f>IF($Q155="","",IFERROR(INDEX(BD_KPIs!$F$2:$F$1300,MATCH($Q155,BD_KPIs!$Q$2:$Q$1300,0)),"n/d"))</f>
        <v/>
      </c>
      <c r="Y155" s="193" t="str">
        <f>IF($Q155="","",IF(COUNTIFS($Q$2:$Q$1300,$Q155,$U$2:$U$1300,"&gt;"&amp;$U155)&gt;0,0,IF(AND(ISNUMBER($F155),ISNUMBER($X155)),IF(ABS($F155-$X155)&gt;_QA!$C$6,1,0),IF($F155&amp;""=$X155&amp;"",0,1))))</f>
        <v/>
      </c>
    </row>
    <row r="156" spans="24:25" ht="13.5" customHeight="1" x14ac:dyDescent="0.3">
      <c r="X156" s="193" t="str">
        <f>IF($Q156="","",IFERROR(INDEX(BD_KPIs!$F$2:$F$1300,MATCH($Q156,BD_KPIs!$Q$2:$Q$1300,0)),"n/d"))</f>
        <v/>
      </c>
      <c r="Y156" s="193" t="str">
        <f>IF($Q156="","",IF(COUNTIFS($Q$2:$Q$1300,$Q156,$U$2:$U$1300,"&gt;"&amp;$U156)&gt;0,0,IF(AND(ISNUMBER($F156),ISNUMBER($X156)),IF(ABS($F156-$X156)&gt;_QA!$C$6,1,0),IF($F156&amp;""=$X156&amp;"",0,1))))</f>
        <v/>
      </c>
    </row>
    <row r="157" spans="24:25" ht="13.5" customHeight="1" x14ac:dyDescent="0.3">
      <c r="X157" s="193" t="str">
        <f>IF($Q157="","",IFERROR(INDEX(BD_KPIs!$F$2:$F$1300,MATCH($Q157,BD_KPIs!$Q$2:$Q$1300,0)),"n/d"))</f>
        <v/>
      </c>
      <c r="Y157" s="193" t="str">
        <f>IF($Q157="","",IF(COUNTIFS($Q$2:$Q$1300,$Q157,$U$2:$U$1300,"&gt;"&amp;$U157)&gt;0,0,IF(AND(ISNUMBER($F157),ISNUMBER($X157)),IF(ABS($F157-$X157)&gt;_QA!$C$6,1,0),IF($F157&amp;""=$X157&amp;"",0,1))))</f>
        <v/>
      </c>
    </row>
    <row r="158" spans="24:25" ht="13.5" customHeight="1" x14ac:dyDescent="0.3">
      <c r="X158" s="193" t="str">
        <f>IF($Q158="","",IFERROR(INDEX(BD_KPIs!$F$2:$F$1300,MATCH($Q158,BD_KPIs!$Q$2:$Q$1300,0)),"n/d"))</f>
        <v/>
      </c>
      <c r="Y158" s="193" t="str">
        <f>IF($Q158="","",IF(COUNTIFS($Q$2:$Q$1300,$Q158,$U$2:$U$1300,"&gt;"&amp;$U158)&gt;0,0,IF(AND(ISNUMBER($F158),ISNUMBER($X158)),IF(ABS($F158-$X158)&gt;_QA!$C$6,1,0),IF($F158&amp;""=$X158&amp;"",0,1))))</f>
        <v/>
      </c>
    </row>
    <row r="159" spans="24:25" ht="13.5" customHeight="1" x14ac:dyDescent="0.3">
      <c r="X159" s="193" t="str">
        <f>IF($Q159="","",IFERROR(INDEX(BD_KPIs!$F$2:$F$1300,MATCH($Q159,BD_KPIs!$Q$2:$Q$1300,0)),"n/d"))</f>
        <v/>
      </c>
      <c r="Y159" s="193" t="str">
        <f>IF($Q159="","",IF(COUNTIFS($Q$2:$Q$1300,$Q159,$U$2:$U$1300,"&gt;"&amp;$U159)&gt;0,0,IF(AND(ISNUMBER($F159),ISNUMBER($X159)),IF(ABS($F159-$X159)&gt;_QA!$C$6,1,0),IF($F159&amp;""=$X159&amp;"",0,1))))</f>
        <v/>
      </c>
    </row>
    <row r="160" spans="24:25" ht="13.5" customHeight="1" x14ac:dyDescent="0.3">
      <c r="X160" s="193" t="str">
        <f>IF($Q160="","",IFERROR(INDEX(BD_KPIs!$F$2:$F$1300,MATCH($Q160,BD_KPIs!$Q$2:$Q$1300,0)),"n/d"))</f>
        <v/>
      </c>
      <c r="Y160" s="193" t="str">
        <f>IF($Q160="","",IF(COUNTIFS($Q$2:$Q$1300,$Q160,$U$2:$U$1300,"&gt;"&amp;$U160)&gt;0,0,IF(AND(ISNUMBER($F160),ISNUMBER($X160)),IF(ABS($F160-$X160)&gt;_QA!$C$6,1,0),IF($F160&amp;""=$X160&amp;"",0,1))))</f>
        <v/>
      </c>
    </row>
    <row r="161" spans="24:25" ht="13.5" customHeight="1" x14ac:dyDescent="0.3">
      <c r="X161" s="193" t="str">
        <f>IF($Q161="","",IFERROR(INDEX(BD_KPIs!$F$2:$F$1300,MATCH($Q161,BD_KPIs!$Q$2:$Q$1300,0)),"n/d"))</f>
        <v/>
      </c>
      <c r="Y161" s="193" t="str">
        <f>IF($Q161="","",IF(COUNTIFS($Q$2:$Q$1300,$Q161,$U$2:$U$1300,"&gt;"&amp;$U161)&gt;0,0,IF(AND(ISNUMBER($F161),ISNUMBER($X161)),IF(ABS($F161-$X161)&gt;_QA!$C$6,1,0),IF($F161&amp;""=$X161&amp;"",0,1))))</f>
        <v/>
      </c>
    </row>
    <row r="162" spans="24:25" ht="13.5" customHeight="1" x14ac:dyDescent="0.3">
      <c r="X162" s="193" t="str">
        <f>IF($Q162="","",IFERROR(INDEX(BD_KPIs!$F$2:$F$1300,MATCH($Q162,BD_KPIs!$Q$2:$Q$1300,0)),"n/d"))</f>
        <v/>
      </c>
      <c r="Y162" s="193" t="str">
        <f>IF($Q162="","",IF(COUNTIFS($Q$2:$Q$1300,$Q162,$U$2:$U$1300,"&gt;"&amp;$U162)&gt;0,0,IF(AND(ISNUMBER($F162),ISNUMBER($X162)),IF(ABS($F162-$X162)&gt;_QA!$C$6,1,0),IF($F162&amp;""=$X162&amp;"",0,1))))</f>
        <v/>
      </c>
    </row>
    <row r="163" spans="24:25" ht="13.5" customHeight="1" x14ac:dyDescent="0.3">
      <c r="X163" s="193" t="str">
        <f>IF($Q163="","",IFERROR(INDEX(BD_KPIs!$F$2:$F$1300,MATCH($Q163,BD_KPIs!$Q$2:$Q$1300,0)),"n/d"))</f>
        <v/>
      </c>
      <c r="Y163" s="193" t="str">
        <f>IF($Q163="","",IF(COUNTIFS($Q$2:$Q$1300,$Q163,$U$2:$U$1300,"&gt;"&amp;$U163)&gt;0,0,IF(AND(ISNUMBER($F163),ISNUMBER($X163)),IF(ABS($F163-$X163)&gt;_QA!$C$6,1,0),IF($F163&amp;""=$X163&amp;"",0,1))))</f>
        <v/>
      </c>
    </row>
    <row r="164" spans="24:25" ht="13.5" customHeight="1" x14ac:dyDescent="0.3">
      <c r="X164" s="193" t="str">
        <f>IF($Q164="","",IFERROR(INDEX(BD_KPIs!$F$2:$F$1300,MATCH($Q164,BD_KPIs!$Q$2:$Q$1300,0)),"n/d"))</f>
        <v/>
      </c>
      <c r="Y164" s="193" t="str">
        <f>IF($Q164="","",IF(COUNTIFS($Q$2:$Q$1300,$Q164,$U$2:$U$1300,"&gt;"&amp;$U164)&gt;0,0,IF(AND(ISNUMBER($F164),ISNUMBER($X164)),IF(ABS($F164-$X164)&gt;_QA!$C$6,1,0),IF($F164&amp;""=$X164&amp;"",0,1))))</f>
        <v/>
      </c>
    </row>
    <row r="165" spans="24:25" ht="13.5" customHeight="1" x14ac:dyDescent="0.3">
      <c r="X165" s="193" t="str">
        <f>IF($Q165="","",IFERROR(INDEX(BD_KPIs!$F$2:$F$1300,MATCH($Q165,BD_KPIs!$Q$2:$Q$1300,0)),"n/d"))</f>
        <v/>
      </c>
      <c r="Y165" s="193" t="str">
        <f>IF($Q165="","",IF(COUNTIFS($Q$2:$Q$1300,$Q165,$U$2:$U$1300,"&gt;"&amp;$U165)&gt;0,0,IF(AND(ISNUMBER($F165),ISNUMBER($X165)),IF(ABS($F165-$X165)&gt;_QA!$C$6,1,0),IF($F165&amp;""=$X165&amp;"",0,1))))</f>
        <v/>
      </c>
    </row>
    <row r="166" spans="24:25" ht="13.5" customHeight="1" x14ac:dyDescent="0.3">
      <c r="X166" s="193" t="str">
        <f>IF($Q166="","",IFERROR(INDEX(BD_KPIs!$F$2:$F$1300,MATCH($Q166,BD_KPIs!$Q$2:$Q$1300,0)),"n/d"))</f>
        <v/>
      </c>
      <c r="Y166" s="193" t="str">
        <f>IF($Q166="","",IF(COUNTIFS($Q$2:$Q$1300,$Q166,$U$2:$U$1300,"&gt;"&amp;$U166)&gt;0,0,IF(AND(ISNUMBER($F166),ISNUMBER($X166)),IF(ABS($F166-$X166)&gt;_QA!$C$6,1,0),IF($F166&amp;""=$X166&amp;"",0,1))))</f>
        <v/>
      </c>
    </row>
    <row r="167" spans="24:25" ht="13.5" customHeight="1" x14ac:dyDescent="0.3">
      <c r="X167" s="193" t="str">
        <f>IF($Q167="","",IFERROR(INDEX(BD_KPIs!$F$2:$F$1300,MATCH($Q167,BD_KPIs!$Q$2:$Q$1300,0)),"n/d"))</f>
        <v/>
      </c>
      <c r="Y167" s="193" t="str">
        <f>IF($Q167="","",IF(COUNTIFS($Q$2:$Q$1300,$Q167,$U$2:$U$1300,"&gt;"&amp;$U167)&gt;0,0,IF(AND(ISNUMBER($F167),ISNUMBER($X167)),IF(ABS($F167-$X167)&gt;_QA!$C$6,1,0),IF($F167&amp;""=$X167&amp;"",0,1))))</f>
        <v/>
      </c>
    </row>
    <row r="168" spans="24:25" ht="13.5" customHeight="1" x14ac:dyDescent="0.3">
      <c r="X168" s="193" t="str">
        <f>IF($Q168="","",IFERROR(INDEX(BD_KPIs!$F$2:$F$1300,MATCH($Q168,BD_KPIs!$Q$2:$Q$1300,0)),"n/d"))</f>
        <v/>
      </c>
      <c r="Y168" s="193" t="str">
        <f>IF($Q168="","",IF(COUNTIFS($Q$2:$Q$1300,$Q168,$U$2:$U$1300,"&gt;"&amp;$U168)&gt;0,0,IF(AND(ISNUMBER($F168),ISNUMBER($X168)),IF(ABS($F168-$X168)&gt;_QA!$C$6,1,0),IF($F168&amp;""=$X168&amp;"",0,1))))</f>
        <v/>
      </c>
    </row>
    <row r="169" spans="24:25" ht="13.5" customHeight="1" x14ac:dyDescent="0.3">
      <c r="X169" s="193" t="str">
        <f>IF($Q169="","",IFERROR(INDEX(BD_KPIs!$F$2:$F$1300,MATCH($Q169,BD_KPIs!$Q$2:$Q$1300,0)),"n/d"))</f>
        <v/>
      </c>
      <c r="Y169" s="193" t="str">
        <f>IF($Q169="","",IF(COUNTIFS($Q$2:$Q$1300,$Q169,$U$2:$U$1300,"&gt;"&amp;$U169)&gt;0,0,IF(AND(ISNUMBER($F169),ISNUMBER($X169)),IF(ABS($F169-$X169)&gt;_QA!$C$6,1,0),IF($F169&amp;""=$X169&amp;"",0,1))))</f>
        <v/>
      </c>
    </row>
    <row r="170" spans="24:25" ht="13.5" customHeight="1" x14ac:dyDescent="0.3">
      <c r="X170" s="193" t="str">
        <f>IF($Q170="","",IFERROR(INDEX(BD_KPIs!$F$2:$F$1300,MATCH($Q170,BD_KPIs!$Q$2:$Q$1300,0)),"n/d"))</f>
        <v/>
      </c>
      <c r="Y170" s="193" t="str">
        <f>IF($Q170="","",IF(COUNTIFS($Q$2:$Q$1300,$Q170,$U$2:$U$1300,"&gt;"&amp;$U170)&gt;0,0,IF(AND(ISNUMBER($F170),ISNUMBER($X170)),IF(ABS($F170-$X170)&gt;_QA!$C$6,1,0),IF($F170&amp;""=$X170&amp;"",0,1))))</f>
        <v/>
      </c>
    </row>
    <row r="171" spans="24:25" ht="13.5" customHeight="1" x14ac:dyDescent="0.3">
      <c r="X171" s="193" t="str">
        <f>IF($Q171="","",IFERROR(INDEX(BD_KPIs!$F$2:$F$1300,MATCH($Q171,BD_KPIs!$Q$2:$Q$1300,0)),"n/d"))</f>
        <v/>
      </c>
      <c r="Y171" s="193" t="str">
        <f>IF($Q171="","",IF(COUNTIFS($Q$2:$Q$1300,$Q171,$U$2:$U$1300,"&gt;"&amp;$U171)&gt;0,0,IF(AND(ISNUMBER($F171),ISNUMBER($X171)),IF(ABS($F171-$X171)&gt;_QA!$C$6,1,0),IF($F171&amp;""=$X171&amp;"",0,1))))</f>
        <v/>
      </c>
    </row>
    <row r="172" spans="24:25" ht="13.5" customHeight="1" x14ac:dyDescent="0.3">
      <c r="X172" s="193" t="str">
        <f>IF($Q172="","",IFERROR(INDEX(BD_KPIs!$F$2:$F$1300,MATCH($Q172,BD_KPIs!$Q$2:$Q$1300,0)),"n/d"))</f>
        <v/>
      </c>
      <c r="Y172" s="193" t="str">
        <f>IF($Q172="","",IF(COUNTIFS($Q$2:$Q$1300,$Q172,$U$2:$U$1300,"&gt;"&amp;$U172)&gt;0,0,IF(AND(ISNUMBER($F172),ISNUMBER($X172)),IF(ABS($F172-$X172)&gt;_QA!$C$6,1,0),IF($F172&amp;""=$X172&amp;"",0,1))))</f>
        <v/>
      </c>
    </row>
    <row r="173" spans="24:25" ht="13.5" customHeight="1" x14ac:dyDescent="0.3">
      <c r="X173" s="193" t="str">
        <f>IF($Q173="","",IFERROR(INDEX(BD_KPIs!$F$2:$F$1300,MATCH($Q173,BD_KPIs!$Q$2:$Q$1300,0)),"n/d"))</f>
        <v/>
      </c>
      <c r="Y173" s="193" t="str">
        <f>IF($Q173="","",IF(COUNTIFS($Q$2:$Q$1300,$Q173,$U$2:$U$1300,"&gt;"&amp;$U173)&gt;0,0,IF(AND(ISNUMBER($F173),ISNUMBER($X173)),IF(ABS($F173-$X173)&gt;_QA!$C$6,1,0),IF($F173&amp;""=$X173&amp;"",0,1))))</f>
        <v/>
      </c>
    </row>
    <row r="174" spans="24:25" ht="13.5" customHeight="1" x14ac:dyDescent="0.3">
      <c r="X174" s="193" t="str">
        <f>IF($Q174="","",IFERROR(INDEX(BD_KPIs!$F$2:$F$1300,MATCH($Q174,BD_KPIs!$Q$2:$Q$1300,0)),"n/d"))</f>
        <v/>
      </c>
      <c r="Y174" s="193" t="str">
        <f>IF($Q174="","",IF(COUNTIFS($Q$2:$Q$1300,$Q174,$U$2:$U$1300,"&gt;"&amp;$U174)&gt;0,0,IF(AND(ISNUMBER($F174),ISNUMBER($X174)),IF(ABS($F174-$X174)&gt;_QA!$C$6,1,0),IF($F174&amp;""=$X174&amp;"",0,1))))</f>
        <v/>
      </c>
    </row>
    <row r="175" spans="24:25" ht="13.5" customHeight="1" x14ac:dyDescent="0.3">
      <c r="X175" s="193" t="str">
        <f>IF($Q175="","",IFERROR(INDEX(BD_KPIs!$F$2:$F$1300,MATCH($Q175,BD_KPIs!$Q$2:$Q$1300,0)),"n/d"))</f>
        <v/>
      </c>
      <c r="Y175" s="193" t="str">
        <f>IF($Q175="","",IF(COUNTIFS($Q$2:$Q$1300,$Q175,$U$2:$U$1300,"&gt;"&amp;$U175)&gt;0,0,IF(AND(ISNUMBER($F175),ISNUMBER($X175)),IF(ABS($F175-$X175)&gt;_QA!$C$6,1,0),IF($F175&amp;""=$X175&amp;"",0,1))))</f>
        <v/>
      </c>
    </row>
    <row r="176" spans="24:25" ht="13.5" customHeight="1" x14ac:dyDescent="0.3">
      <c r="X176" s="193" t="str">
        <f>IF($Q176="","",IFERROR(INDEX(BD_KPIs!$F$2:$F$1300,MATCH($Q176,BD_KPIs!$Q$2:$Q$1300,0)),"n/d"))</f>
        <v/>
      </c>
      <c r="Y176" s="193" t="str">
        <f>IF($Q176="","",IF(COUNTIFS($Q$2:$Q$1300,$Q176,$U$2:$U$1300,"&gt;"&amp;$U176)&gt;0,0,IF(AND(ISNUMBER($F176),ISNUMBER($X176)),IF(ABS($F176-$X176)&gt;_QA!$C$6,1,0),IF($F176&amp;""=$X176&amp;"",0,1))))</f>
        <v/>
      </c>
    </row>
    <row r="177" spans="24:25" ht="13.5" customHeight="1" x14ac:dyDescent="0.3">
      <c r="X177" s="193" t="str">
        <f>IF($Q177="","",IFERROR(INDEX(BD_KPIs!$F$2:$F$1300,MATCH($Q177,BD_KPIs!$Q$2:$Q$1300,0)),"n/d"))</f>
        <v/>
      </c>
      <c r="Y177" s="193" t="str">
        <f>IF($Q177="","",IF(COUNTIFS($Q$2:$Q$1300,$Q177,$U$2:$U$1300,"&gt;"&amp;$U177)&gt;0,0,IF(AND(ISNUMBER($F177),ISNUMBER($X177)),IF(ABS($F177-$X177)&gt;_QA!$C$6,1,0),IF($F177&amp;""=$X177&amp;"",0,1))))</f>
        <v/>
      </c>
    </row>
    <row r="178" spans="24:25" ht="13.5" customHeight="1" x14ac:dyDescent="0.3">
      <c r="X178" s="193" t="str">
        <f>IF($Q178="","",IFERROR(INDEX(BD_KPIs!$F$2:$F$1300,MATCH($Q178,BD_KPIs!$Q$2:$Q$1300,0)),"n/d"))</f>
        <v/>
      </c>
      <c r="Y178" s="193" t="str">
        <f>IF($Q178="","",IF(COUNTIFS($Q$2:$Q$1300,$Q178,$U$2:$U$1300,"&gt;"&amp;$U178)&gt;0,0,IF(AND(ISNUMBER($F178),ISNUMBER($X178)),IF(ABS($F178-$X178)&gt;_QA!$C$6,1,0),IF($F178&amp;""=$X178&amp;"",0,1))))</f>
        <v/>
      </c>
    </row>
    <row r="179" spans="24:25" ht="13.5" customHeight="1" x14ac:dyDescent="0.3">
      <c r="X179" s="193" t="str">
        <f>IF($Q179="","",IFERROR(INDEX(BD_KPIs!$F$2:$F$1300,MATCH($Q179,BD_KPIs!$Q$2:$Q$1300,0)),"n/d"))</f>
        <v/>
      </c>
      <c r="Y179" s="193" t="str">
        <f>IF($Q179="","",IF(COUNTIFS($Q$2:$Q$1300,$Q179,$U$2:$U$1300,"&gt;"&amp;$U179)&gt;0,0,IF(AND(ISNUMBER($F179),ISNUMBER($X179)),IF(ABS($F179-$X179)&gt;_QA!$C$6,1,0),IF($F179&amp;""=$X179&amp;"",0,1))))</f>
        <v/>
      </c>
    </row>
    <row r="180" spans="24:25" ht="13.5" customHeight="1" x14ac:dyDescent="0.3">
      <c r="X180" s="193" t="str">
        <f>IF($Q180="","",IFERROR(INDEX(BD_KPIs!$F$2:$F$1300,MATCH($Q180,BD_KPIs!$Q$2:$Q$1300,0)),"n/d"))</f>
        <v/>
      </c>
      <c r="Y180" s="193" t="str">
        <f>IF($Q180="","",IF(COUNTIFS($Q$2:$Q$1300,$Q180,$U$2:$U$1300,"&gt;"&amp;$U180)&gt;0,0,IF(AND(ISNUMBER($F180),ISNUMBER($X180)),IF(ABS($F180-$X180)&gt;_QA!$C$6,1,0),IF($F180&amp;""=$X180&amp;"",0,1))))</f>
        <v/>
      </c>
    </row>
    <row r="181" spans="24:25" ht="13.5" customHeight="1" x14ac:dyDescent="0.3">
      <c r="X181" s="193" t="str">
        <f>IF($Q181="","",IFERROR(INDEX(BD_KPIs!$F$2:$F$1300,MATCH($Q181,BD_KPIs!$Q$2:$Q$1300,0)),"n/d"))</f>
        <v/>
      </c>
      <c r="Y181" s="193" t="str">
        <f>IF($Q181="","",IF(COUNTIFS($Q$2:$Q$1300,$Q181,$U$2:$U$1300,"&gt;"&amp;$U181)&gt;0,0,IF(AND(ISNUMBER($F181),ISNUMBER($X181)),IF(ABS($F181-$X181)&gt;_QA!$C$6,1,0),IF($F181&amp;""=$X181&amp;"",0,1))))</f>
        <v/>
      </c>
    </row>
    <row r="182" spans="24:25" ht="13.5" customHeight="1" x14ac:dyDescent="0.3">
      <c r="X182" s="193" t="str">
        <f>IF($Q182="","",IFERROR(INDEX(BD_KPIs!$F$2:$F$1300,MATCH($Q182,BD_KPIs!$Q$2:$Q$1300,0)),"n/d"))</f>
        <v/>
      </c>
      <c r="Y182" s="193" t="str">
        <f>IF($Q182="","",IF(COUNTIFS($Q$2:$Q$1300,$Q182,$U$2:$U$1300,"&gt;"&amp;$U182)&gt;0,0,IF(AND(ISNUMBER($F182),ISNUMBER($X182)),IF(ABS($F182-$X182)&gt;_QA!$C$6,1,0),IF($F182&amp;""=$X182&amp;"",0,1))))</f>
        <v/>
      </c>
    </row>
    <row r="183" spans="24:25" ht="13.5" customHeight="1" x14ac:dyDescent="0.3">
      <c r="X183" s="193" t="str">
        <f>IF($Q183="","",IFERROR(INDEX(BD_KPIs!$F$2:$F$1300,MATCH($Q183,BD_KPIs!$Q$2:$Q$1300,0)),"n/d"))</f>
        <v/>
      </c>
      <c r="Y183" s="193" t="str">
        <f>IF($Q183="","",IF(COUNTIFS($Q$2:$Q$1300,$Q183,$U$2:$U$1300,"&gt;"&amp;$U183)&gt;0,0,IF(AND(ISNUMBER($F183),ISNUMBER($X183)),IF(ABS($F183-$X183)&gt;_QA!$C$6,1,0),IF($F183&amp;""=$X183&amp;"",0,1))))</f>
        <v/>
      </c>
    </row>
    <row r="184" spans="24:25" ht="13.5" customHeight="1" x14ac:dyDescent="0.3">
      <c r="X184" s="193" t="str">
        <f>IF($Q184="","",IFERROR(INDEX(BD_KPIs!$F$2:$F$1300,MATCH($Q184,BD_KPIs!$Q$2:$Q$1300,0)),"n/d"))</f>
        <v/>
      </c>
      <c r="Y184" s="193" t="str">
        <f>IF($Q184="","",IF(COUNTIFS($Q$2:$Q$1300,$Q184,$U$2:$U$1300,"&gt;"&amp;$U184)&gt;0,0,IF(AND(ISNUMBER($F184),ISNUMBER($X184)),IF(ABS($F184-$X184)&gt;_QA!$C$6,1,0),IF($F184&amp;""=$X184&amp;"",0,1))))</f>
        <v/>
      </c>
    </row>
    <row r="185" spans="24:25" ht="13.5" customHeight="1" x14ac:dyDescent="0.3">
      <c r="X185" s="193" t="str">
        <f>IF($Q185="","",IFERROR(INDEX(BD_KPIs!$F$2:$F$1300,MATCH($Q185,BD_KPIs!$Q$2:$Q$1300,0)),"n/d"))</f>
        <v/>
      </c>
      <c r="Y185" s="193" t="str">
        <f>IF($Q185="","",IF(COUNTIFS($Q$2:$Q$1300,$Q185,$U$2:$U$1300,"&gt;"&amp;$U185)&gt;0,0,IF(AND(ISNUMBER($F185),ISNUMBER($X185)),IF(ABS($F185-$X185)&gt;_QA!$C$6,1,0),IF($F185&amp;""=$X185&amp;"",0,1))))</f>
        <v/>
      </c>
    </row>
    <row r="186" spans="24:25" ht="13.5" customHeight="1" x14ac:dyDescent="0.3">
      <c r="X186" s="193" t="str">
        <f>IF($Q186="","",IFERROR(INDEX(BD_KPIs!$F$2:$F$1300,MATCH($Q186,BD_KPIs!$Q$2:$Q$1300,0)),"n/d"))</f>
        <v/>
      </c>
      <c r="Y186" s="193" t="str">
        <f>IF($Q186="","",IF(COUNTIFS($Q$2:$Q$1300,$Q186,$U$2:$U$1300,"&gt;"&amp;$U186)&gt;0,0,IF(AND(ISNUMBER($F186),ISNUMBER($X186)),IF(ABS($F186-$X186)&gt;_QA!$C$6,1,0),IF($F186&amp;""=$X186&amp;"",0,1))))</f>
        <v/>
      </c>
    </row>
    <row r="187" spans="24:25" ht="13.5" customHeight="1" x14ac:dyDescent="0.3">
      <c r="X187" s="193" t="str">
        <f>IF($Q187="","",IFERROR(INDEX(BD_KPIs!$F$2:$F$1300,MATCH($Q187,BD_KPIs!$Q$2:$Q$1300,0)),"n/d"))</f>
        <v/>
      </c>
      <c r="Y187" s="193" t="str">
        <f>IF($Q187="","",IF(COUNTIFS($Q$2:$Q$1300,$Q187,$U$2:$U$1300,"&gt;"&amp;$U187)&gt;0,0,IF(AND(ISNUMBER($F187),ISNUMBER($X187)),IF(ABS($F187-$X187)&gt;_QA!$C$6,1,0),IF($F187&amp;""=$X187&amp;"",0,1))))</f>
        <v/>
      </c>
    </row>
    <row r="188" spans="24:25" ht="13.5" customHeight="1" x14ac:dyDescent="0.3">
      <c r="X188" s="193" t="str">
        <f>IF($Q188="","",IFERROR(INDEX(BD_KPIs!$F$2:$F$1300,MATCH($Q188,BD_KPIs!$Q$2:$Q$1300,0)),"n/d"))</f>
        <v/>
      </c>
      <c r="Y188" s="193" t="str">
        <f>IF($Q188="","",IF(COUNTIFS($Q$2:$Q$1300,$Q188,$U$2:$U$1300,"&gt;"&amp;$U188)&gt;0,0,IF(AND(ISNUMBER($F188),ISNUMBER($X188)),IF(ABS($F188-$X188)&gt;_QA!$C$6,1,0),IF($F188&amp;""=$X188&amp;"",0,1))))</f>
        <v/>
      </c>
    </row>
    <row r="189" spans="24:25" ht="13.5" customHeight="1" x14ac:dyDescent="0.3">
      <c r="X189" s="193" t="str">
        <f>IF($Q189="","",IFERROR(INDEX(BD_KPIs!$F$2:$F$1300,MATCH($Q189,BD_KPIs!$Q$2:$Q$1300,0)),"n/d"))</f>
        <v/>
      </c>
      <c r="Y189" s="193" t="str">
        <f>IF($Q189="","",IF(COUNTIFS($Q$2:$Q$1300,$Q189,$U$2:$U$1300,"&gt;"&amp;$U189)&gt;0,0,IF(AND(ISNUMBER($F189),ISNUMBER($X189)),IF(ABS($F189-$X189)&gt;_QA!$C$6,1,0),IF($F189&amp;""=$X189&amp;"",0,1))))</f>
        <v/>
      </c>
    </row>
    <row r="190" spans="24:25" ht="13.5" customHeight="1" x14ac:dyDescent="0.3">
      <c r="X190" s="193" t="str">
        <f>IF($Q190="","",IFERROR(INDEX(BD_KPIs!$F$2:$F$1300,MATCH($Q190,BD_KPIs!$Q$2:$Q$1300,0)),"n/d"))</f>
        <v/>
      </c>
      <c r="Y190" s="193" t="str">
        <f>IF($Q190="","",IF(COUNTIFS($Q$2:$Q$1300,$Q190,$U$2:$U$1300,"&gt;"&amp;$U190)&gt;0,0,IF(AND(ISNUMBER($F190),ISNUMBER($X190)),IF(ABS($F190-$X190)&gt;_QA!$C$6,1,0),IF($F190&amp;""=$X190&amp;"",0,1))))</f>
        <v/>
      </c>
    </row>
    <row r="191" spans="24:25" ht="13.5" customHeight="1" x14ac:dyDescent="0.3">
      <c r="X191" s="193" t="str">
        <f>IF($Q191="","",IFERROR(INDEX(BD_KPIs!$F$2:$F$1300,MATCH($Q191,BD_KPIs!$Q$2:$Q$1300,0)),"n/d"))</f>
        <v/>
      </c>
      <c r="Y191" s="193" t="str">
        <f>IF($Q191="","",IF(COUNTIFS($Q$2:$Q$1300,$Q191,$U$2:$U$1300,"&gt;"&amp;$U191)&gt;0,0,IF(AND(ISNUMBER($F191),ISNUMBER($X191)),IF(ABS($F191-$X191)&gt;_QA!$C$6,1,0),IF($F191&amp;""=$X191&amp;"",0,1))))</f>
        <v/>
      </c>
    </row>
    <row r="192" spans="24:25" ht="13.5" customHeight="1" x14ac:dyDescent="0.3">
      <c r="X192" s="193" t="str">
        <f>IF($Q192="","",IFERROR(INDEX(BD_KPIs!$F$2:$F$1300,MATCH($Q192,BD_KPIs!$Q$2:$Q$1300,0)),"n/d"))</f>
        <v/>
      </c>
      <c r="Y192" s="193" t="str">
        <f>IF($Q192="","",IF(COUNTIFS($Q$2:$Q$1300,$Q192,$U$2:$U$1300,"&gt;"&amp;$U192)&gt;0,0,IF(AND(ISNUMBER($F192),ISNUMBER($X192)),IF(ABS($F192-$X192)&gt;_QA!$C$6,1,0),IF($F192&amp;""=$X192&amp;"",0,1))))</f>
        <v/>
      </c>
    </row>
    <row r="193" spans="24:25" ht="13.5" customHeight="1" x14ac:dyDescent="0.3">
      <c r="X193" s="193" t="str">
        <f>IF($Q193="","",IFERROR(INDEX(BD_KPIs!$F$2:$F$1300,MATCH($Q193,BD_KPIs!$Q$2:$Q$1300,0)),"n/d"))</f>
        <v/>
      </c>
      <c r="Y193" s="193" t="str">
        <f>IF($Q193="","",IF(COUNTIFS($Q$2:$Q$1300,$Q193,$U$2:$U$1300,"&gt;"&amp;$U193)&gt;0,0,IF(AND(ISNUMBER($F193),ISNUMBER($X193)),IF(ABS($F193-$X193)&gt;_QA!$C$6,1,0),IF($F193&amp;""=$X193&amp;"",0,1))))</f>
        <v/>
      </c>
    </row>
    <row r="194" spans="24:25" ht="13.5" customHeight="1" x14ac:dyDescent="0.3">
      <c r="X194" s="193" t="str">
        <f>IF($Q194="","",IFERROR(INDEX(BD_KPIs!$F$2:$F$1300,MATCH($Q194,BD_KPIs!$Q$2:$Q$1300,0)),"n/d"))</f>
        <v/>
      </c>
      <c r="Y194" s="193" t="str">
        <f>IF($Q194="","",IF(COUNTIFS($Q$2:$Q$1300,$Q194,$U$2:$U$1300,"&gt;"&amp;$U194)&gt;0,0,IF(AND(ISNUMBER($F194),ISNUMBER($X194)),IF(ABS($F194-$X194)&gt;_QA!$C$6,1,0),IF($F194&amp;""=$X194&amp;"",0,1))))</f>
        <v/>
      </c>
    </row>
    <row r="195" spans="24:25" ht="13.5" customHeight="1" x14ac:dyDescent="0.3">
      <c r="X195" s="193" t="str">
        <f>IF($Q195="","",IFERROR(INDEX(BD_KPIs!$F$2:$F$1300,MATCH($Q195,BD_KPIs!$Q$2:$Q$1300,0)),"n/d"))</f>
        <v/>
      </c>
      <c r="Y195" s="193" t="str">
        <f>IF($Q195="","",IF(COUNTIFS($Q$2:$Q$1300,$Q195,$U$2:$U$1300,"&gt;"&amp;$U195)&gt;0,0,IF(AND(ISNUMBER($F195),ISNUMBER($X195)),IF(ABS($F195-$X195)&gt;_QA!$C$6,1,0),IF($F195&amp;""=$X195&amp;"",0,1))))</f>
        <v/>
      </c>
    </row>
    <row r="196" spans="24:25" ht="13.5" customHeight="1" x14ac:dyDescent="0.3">
      <c r="X196" s="193" t="str">
        <f>IF($Q196="","",IFERROR(INDEX(BD_KPIs!$F$2:$F$1300,MATCH($Q196,BD_KPIs!$Q$2:$Q$1300,0)),"n/d"))</f>
        <v/>
      </c>
      <c r="Y196" s="193" t="str">
        <f>IF($Q196="","",IF(COUNTIFS($Q$2:$Q$1300,$Q196,$U$2:$U$1300,"&gt;"&amp;$U196)&gt;0,0,IF(AND(ISNUMBER($F196),ISNUMBER($X196)),IF(ABS($F196-$X196)&gt;_QA!$C$6,1,0),IF($F196&amp;""=$X196&amp;"",0,1))))</f>
        <v/>
      </c>
    </row>
    <row r="197" spans="24:25" ht="13.5" customHeight="1" x14ac:dyDescent="0.3">
      <c r="X197" s="193" t="str">
        <f>IF($Q197="","",IFERROR(INDEX(BD_KPIs!$F$2:$F$1300,MATCH($Q197,BD_KPIs!$Q$2:$Q$1300,0)),"n/d"))</f>
        <v/>
      </c>
      <c r="Y197" s="193" t="str">
        <f>IF($Q197="","",IF(COUNTIFS($Q$2:$Q$1300,$Q197,$U$2:$U$1300,"&gt;"&amp;$U197)&gt;0,0,IF(AND(ISNUMBER($F197),ISNUMBER($X197)),IF(ABS($F197-$X197)&gt;_QA!$C$6,1,0),IF($F197&amp;""=$X197&amp;"",0,1))))</f>
        <v/>
      </c>
    </row>
    <row r="198" spans="24:25" ht="13.5" customHeight="1" x14ac:dyDescent="0.3">
      <c r="X198" s="193" t="str">
        <f>IF($Q198="","",IFERROR(INDEX(BD_KPIs!$F$2:$F$1300,MATCH($Q198,BD_KPIs!$Q$2:$Q$1300,0)),"n/d"))</f>
        <v/>
      </c>
      <c r="Y198" s="193" t="str">
        <f>IF($Q198="","",IF(COUNTIFS($Q$2:$Q$1300,$Q198,$U$2:$U$1300,"&gt;"&amp;$U198)&gt;0,0,IF(AND(ISNUMBER($F198),ISNUMBER($X198)),IF(ABS($F198-$X198)&gt;_QA!$C$6,1,0),IF($F198&amp;""=$X198&amp;"",0,1))))</f>
        <v/>
      </c>
    </row>
    <row r="199" spans="24:25" ht="13.5" customHeight="1" x14ac:dyDescent="0.3">
      <c r="X199" s="193" t="str">
        <f>IF($Q199="","",IFERROR(INDEX(BD_KPIs!$F$2:$F$1300,MATCH($Q199,BD_KPIs!$Q$2:$Q$1300,0)),"n/d"))</f>
        <v/>
      </c>
      <c r="Y199" s="193" t="str">
        <f>IF($Q199="","",IF(COUNTIFS($Q$2:$Q$1300,$Q199,$U$2:$U$1300,"&gt;"&amp;$U199)&gt;0,0,IF(AND(ISNUMBER($F199),ISNUMBER($X199)),IF(ABS($F199-$X199)&gt;_QA!$C$6,1,0),IF($F199&amp;""=$X199&amp;"",0,1))))</f>
        <v/>
      </c>
    </row>
    <row r="200" spans="24:25" ht="13.5" customHeight="1" x14ac:dyDescent="0.3">
      <c r="X200" s="193" t="str">
        <f>IF($Q200="","",IFERROR(INDEX(BD_KPIs!$F$2:$F$1300,MATCH($Q200,BD_KPIs!$Q$2:$Q$1300,0)),"n/d"))</f>
        <v/>
      </c>
      <c r="Y200" s="193" t="str">
        <f>IF($Q200="","",IF(COUNTIFS($Q$2:$Q$1300,$Q200,$U$2:$U$1300,"&gt;"&amp;$U200)&gt;0,0,IF(AND(ISNUMBER($F200),ISNUMBER($X200)),IF(ABS($F200-$X200)&gt;_QA!$C$6,1,0),IF($F200&amp;""=$X200&amp;"",0,1))))</f>
        <v/>
      </c>
    </row>
    <row r="201" spans="24:25" ht="13.5" customHeight="1" x14ac:dyDescent="0.3">
      <c r="X201" s="193" t="str">
        <f>IF($Q201="","",IFERROR(INDEX(BD_KPIs!$F$2:$F$1300,MATCH($Q201,BD_KPIs!$Q$2:$Q$1300,0)),"n/d"))</f>
        <v/>
      </c>
      <c r="Y201" s="193" t="str">
        <f>IF($Q201="","",IF(COUNTIFS($Q$2:$Q$1300,$Q201,$U$2:$U$1300,"&gt;"&amp;$U201)&gt;0,0,IF(AND(ISNUMBER($F201),ISNUMBER($X201)),IF(ABS($F201-$X201)&gt;_QA!$C$6,1,0),IF($F201&amp;""=$X201&amp;"",0,1))))</f>
        <v/>
      </c>
    </row>
    <row r="202" spans="24:25" ht="13.5" customHeight="1" x14ac:dyDescent="0.3">
      <c r="X202" s="193" t="str">
        <f>IF($Q202="","",IFERROR(INDEX(BD_KPIs!$F$2:$F$1300,MATCH($Q202,BD_KPIs!$Q$2:$Q$1300,0)),"n/d"))</f>
        <v/>
      </c>
      <c r="Y202" s="193" t="str">
        <f>IF($Q202="","",IF(COUNTIFS($Q$2:$Q$1300,$Q202,$U$2:$U$1300,"&gt;"&amp;$U202)&gt;0,0,IF(AND(ISNUMBER($F202),ISNUMBER($X202)),IF(ABS($F202-$X202)&gt;_QA!$C$6,1,0),IF($F202&amp;""=$X202&amp;"",0,1))))</f>
        <v/>
      </c>
    </row>
    <row r="203" spans="24:25" ht="13.5" customHeight="1" x14ac:dyDescent="0.3">
      <c r="X203" s="193" t="str">
        <f>IF($Q203="","",IFERROR(INDEX(BD_KPIs!$F$2:$F$1300,MATCH($Q203,BD_KPIs!$Q$2:$Q$1300,0)),"n/d"))</f>
        <v/>
      </c>
      <c r="Y203" s="193" t="str">
        <f>IF($Q203="","",IF(COUNTIFS($Q$2:$Q$1300,$Q203,$U$2:$U$1300,"&gt;"&amp;$U203)&gt;0,0,IF(AND(ISNUMBER($F203),ISNUMBER($X203)),IF(ABS($F203-$X203)&gt;_QA!$C$6,1,0),IF($F203&amp;""=$X203&amp;"",0,1))))</f>
        <v/>
      </c>
    </row>
    <row r="204" spans="24:25" ht="13.5" customHeight="1" x14ac:dyDescent="0.3">
      <c r="X204" s="193" t="str">
        <f>IF($Q204="","",IFERROR(INDEX(BD_KPIs!$F$2:$F$1300,MATCH($Q204,BD_KPIs!$Q$2:$Q$1300,0)),"n/d"))</f>
        <v/>
      </c>
      <c r="Y204" s="193" t="str">
        <f>IF($Q204="","",IF(COUNTIFS($Q$2:$Q$1300,$Q204,$U$2:$U$1300,"&gt;"&amp;$U204)&gt;0,0,IF(AND(ISNUMBER($F204),ISNUMBER($X204)),IF(ABS($F204-$X204)&gt;_QA!$C$6,1,0),IF($F204&amp;""=$X204&amp;"",0,1))))</f>
        <v/>
      </c>
    </row>
    <row r="205" spans="24:25" ht="13.5" customHeight="1" x14ac:dyDescent="0.3">
      <c r="X205" s="193" t="str">
        <f>IF($Q205="","",IFERROR(INDEX(BD_KPIs!$F$2:$F$1300,MATCH($Q205,BD_KPIs!$Q$2:$Q$1300,0)),"n/d"))</f>
        <v/>
      </c>
      <c r="Y205" s="193" t="str">
        <f>IF($Q205="","",IF(COUNTIFS($Q$2:$Q$1300,$Q205,$U$2:$U$1300,"&gt;"&amp;$U205)&gt;0,0,IF(AND(ISNUMBER($F205),ISNUMBER($X205)),IF(ABS($F205-$X205)&gt;_QA!$C$6,1,0),IF($F205&amp;""=$X205&amp;"",0,1))))</f>
        <v/>
      </c>
    </row>
    <row r="206" spans="24:25" ht="13.5" customHeight="1" x14ac:dyDescent="0.3">
      <c r="X206" s="193" t="str">
        <f>IF($Q206="","",IFERROR(INDEX(BD_KPIs!$F$2:$F$1300,MATCH($Q206,BD_KPIs!$Q$2:$Q$1300,0)),"n/d"))</f>
        <v/>
      </c>
      <c r="Y206" s="193" t="str">
        <f>IF($Q206="","",IF(COUNTIFS($Q$2:$Q$1300,$Q206,$U$2:$U$1300,"&gt;"&amp;$U206)&gt;0,0,IF(AND(ISNUMBER($F206),ISNUMBER($X206)),IF(ABS($F206-$X206)&gt;_QA!$C$6,1,0),IF($F206&amp;""=$X206&amp;"",0,1))))</f>
        <v/>
      </c>
    </row>
    <row r="207" spans="24:25" ht="13.5" customHeight="1" x14ac:dyDescent="0.3">
      <c r="X207" s="193" t="str">
        <f>IF($Q207="","",IFERROR(INDEX(BD_KPIs!$F$2:$F$1300,MATCH($Q207,BD_KPIs!$Q$2:$Q$1300,0)),"n/d"))</f>
        <v/>
      </c>
      <c r="Y207" s="193" t="str">
        <f>IF($Q207="","",IF(COUNTIFS($Q$2:$Q$1300,$Q207,$U$2:$U$1300,"&gt;"&amp;$U207)&gt;0,0,IF(AND(ISNUMBER($F207),ISNUMBER($X207)),IF(ABS($F207-$X207)&gt;_QA!$C$6,1,0),IF($F207&amp;""=$X207&amp;"",0,1))))</f>
        <v/>
      </c>
    </row>
    <row r="208" spans="24:25" ht="13.5" customHeight="1" x14ac:dyDescent="0.3">
      <c r="X208" s="193" t="str">
        <f>IF($Q208="","",IFERROR(INDEX(BD_KPIs!$F$2:$F$1300,MATCH($Q208,BD_KPIs!$Q$2:$Q$1300,0)),"n/d"))</f>
        <v/>
      </c>
      <c r="Y208" s="193" t="str">
        <f>IF($Q208="","",IF(COUNTIFS($Q$2:$Q$1300,$Q208,$U$2:$U$1300,"&gt;"&amp;$U208)&gt;0,0,IF(AND(ISNUMBER($F208),ISNUMBER($X208)),IF(ABS($F208-$X208)&gt;_QA!$C$6,1,0),IF($F208&amp;""=$X208&amp;"",0,1))))</f>
        <v/>
      </c>
    </row>
    <row r="209" spans="24:25" ht="13.5" customHeight="1" x14ac:dyDescent="0.3">
      <c r="X209" s="193" t="str">
        <f>IF($Q209="","",IFERROR(INDEX(BD_KPIs!$F$2:$F$1300,MATCH($Q209,BD_KPIs!$Q$2:$Q$1300,0)),"n/d"))</f>
        <v/>
      </c>
      <c r="Y209" s="193" t="str">
        <f>IF($Q209="","",IF(COUNTIFS($Q$2:$Q$1300,$Q209,$U$2:$U$1300,"&gt;"&amp;$U209)&gt;0,0,IF(AND(ISNUMBER($F209),ISNUMBER($X209)),IF(ABS($F209-$X209)&gt;_QA!$C$6,1,0),IF($F209&amp;""=$X209&amp;"",0,1))))</f>
        <v/>
      </c>
    </row>
    <row r="210" spans="24:25" ht="13.5" customHeight="1" x14ac:dyDescent="0.3">
      <c r="X210" s="193" t="str">
        <f>IF($Q210="","",IFERROR(INDEX(BD_KPIs!$F$2:$F$1300,MATCH($Q210,BD_KPIs!$Q$2:$Q$1300,0)),"n/d"))</f>
        <v/>
      </c>
      <c r="Y210" s="193" t="str">
        <f>IF($Q210="","",IF(COUNTIFS($Q$2:$Q$1300,$Q210,$U$2:$U$1300,"&gt;"&amp;$U210)&gt;0,0,IF(AND(ISNUMBER($F210),ISNUMBER($X210)),IF(ABS($F210-$X210)&gt;_QA!$C$6,1,0),IF($F210&amp;""=$X210&amp;"",0,1))))</f>
        <v/>
      </c>
    </row>
    <row r="211" spans="24:25" ht="13.5" customHeight="1" x14ac:dyDescent="0.3">
      <c r="X211" s="193" t="str">
        <f>IF($Q211="","",IFERROR(INDEX(BD_KPIs!$F$2:$F$1300,MATCH($Q211,BD_KPIs!$Q$2:$Q$1300,0)),"n/d"))</f>
        <v/>
      </c>
      <c r="Y211" s="193" t="str">
        <f>IF($Q211="","",IF(COUNTIFS($Q$2:$Q$1300,$Q211,$U$2:$U$1300,"&gt;"&amp;$U211)&gt;0,0,IF(AND(ISNUMBER($F211),ISNUMBER($X211)),IF(ABS($F211-$X211)&gt;_QA!$C$6,1,0),IF($F211&amp;""=$X211&amp;"",0,1))))</f>
        <v/>
      </c>
    </row>
    <row r="212" spans="24:25" ht="13.5" customHeight="1" x14ac:dyDescent="0.3">
      <c r="X212" s="193" t="str">
        <f>IF($Q212="","",IFERROR(INDEX(BD_KPIs!$F$2:$F$1300,MATCH($Q212,BD_KPIs!$Q$2:$Q$1300,0)),"n/d"))</f>
        <v/>
      </c>
      <c r="Y212" s="193" t="str">
        <f>IF($Q212="","",IF(COUNTIFS($Q$2:$Q$1300,$Q212,$U$2:$U$1300,"&gt;"&amp;$U212)&gt;0,0,IF(AND(ISNUMBER($F212),ISNUMBER($X212)),IF(ABS($F212-$X212)&gt;_QA!$C$6,1,0),IF($F212&amp;""=$X212&amp;"",0,1))))</f>
        <v/>
      </c>
    </row>
    <row r="213" spans="24:25" ht="13.5" customHeight="1" x14ac:dyDescent="0.3">
      <c r="X213" s="193" t="str">
        <f>IF($Q213="","",IFERROR(INDEX(BD_KPIs!$F$2:$F$1300,MATCH($Q213,BD_KPIs!$Q$2:$Q$1300,0)),"n/d"))</f>
        <v/>
      </c>
      <c r="Y213" s="193" t="str">
        <f>IF($Q213="","",IF(COUNTIFS($Q$2:$Q$1300,$Q213,$U$2:$U$1300,"&gt;"&amp;$U213)&gt;0,0,IF(AND(ISNUMBER($F213),ISNUMBER($X213)),IF(ABS($F213-$X213)&gt;_QA!$C$6,1,0),IF($F213&amp;""=$X213&amp;"",0,1))))</f>
        <v/>
      </c>
    </row>
    <row r="214" spans="24:25" ht="13.5" customHeight="1" x14ac:dyDescent="0.3">
      <c r="X214" s="193" t="str">
        <f>IF($Q214="","",IFERROR(INDEX(BD_KPIs!$F$2:$F$1300,MATCH($Q214,BD_KPIs!$Q$2:$Q$1300,0)),"n/d"))</f>
        <v/>
      </c>
      <c r="Y214" s="193" t="str">
        <f>IF($Q214="","",IF(COUNTIFS($Q$2:$Q$1300,$Q214,$U$2:$U$1300,"&gt;"&amp;$U214)&gt;0,0,IF(AND(ISNUMBER($F214),ISNUMBER($X214)),IF(ABS($F214-$X214)&gt;_QA!$C$6,1,0),IF($F214&amp;""=$X214&amp;"",0,1))))</f>
        <v/>
      </c>
    </row>
    <row r="215" spans="24:25" ht="13.5" customHeight="1" x14ac:dyDescent="0.3">
      <c r="X215" s="193" t="str">
        <f>IF($Q215="","",IFERROR(INDEX(BD_KPIs!$F$2:$F$1300,MATCH($Q215,BD_KPIs!$Q$2:$Q$1300,0)),"n/d"))</f>
        <v/>
      </c>
      <c r="Y215" s="193" t="str">
        <f>IF($Q215="","",IF(COUNTIFS($Q$2:$Q$1300,$Q215,$U$2:$U$1300,"&gt;"&amp;$U215)&gt;0,0,IF(AND(ISNUMBER($F215),ISNUMBER($X215)),IF(ABS($F215-$X215)&gt;_QA!$C$6,1,0),IF($F215&amp;""=$X215&amp;"",0,1))))</f>
        <v/>
      </c>
    </row>
    <row r="216" spans="24:25" ht="13.5" customHeight="1" x14ac:dyDescent="0.3">
      <c r="X216" s="193" t="str">
        <f>IF($Q216="","",IFERROR(INDEX(BD_KPIs!$F$2:$F$1300,MATCH($Q216,BD_KPIs!$Q$2:$Q$1300,0)),"n/d"))</f>
        <v/>
      </c>
      <c r="Y216" s="193" t="str">
        <f>IF($Q216="","",IF(COUNTIFS($Q$2:$Q$1300,$Q216,$U$2:$U$1300,"&gt;"&amp;$U216)&gt;0,0,IF(AND(ISNUMBER($F216),ISNUMBER($X216)),IF(ABS($F216-$X216)&gt;_QA!$C$6,1,0),IF($F216&amp;""=$X216&amp;"",0,1))))</f>
        <v/>
      </c>
    </row>
    <row r="217" spans="24:25" ht="13.5" customHeight="1" x14ac:dyDescent="0.3">
      <c r="X217" s="193" t="str">
        <f>IF($Q217="","",IFERROR(INDEX(BD_KPIs!$F$2:$F$1300,MATCH($Q217,BD_KPIs!$Q$2:$Q$1300,0)),"n/d"))</f>
        <v/>
      </c>
      <c r="Y217" s="193" t="str">
        <f>IF($Q217="","",IF(COUNTIFS($Q$2:$Q$1300,$Q217,$U$2:$U$1300,"&gt;"&amp;$U217)&gt;0,0,IF(AND(ISNUMBER($F217),ISNUMBER($X217)),IF(ABS($F217-$X217)&gt;_QA!$C$6,1,0),IF($F217&amp;""=$X217&amp;"",0,1))))</f>
        <v/>
      </c>
    </row>
    <row r="218" spans="24:25" ht="13.5" customHeight="1" x14ac:dyDescent="0.3">
      <c r="X218" s="193" t="str">
        <f>IF($Q218="","",IFERROR(INDEX(BD_KPIs!$F$2:$F$1300,MATCH($Q218,BD_KPIs!$Q$2:$Q$1300,0)),"n/d"))</f>
        <v/>
      </c>
      <c r="Y218" s="193" t="str">
        <f>IF($Q218="","",IF(COUNTIFS($Q$2:$Q$1300,$Q218,$U$2:$U$1300,"&gt;"&amp;$U218)&gt;0,0,IF(AND(ISNUMBER($F218),ISNUMBER($X218)),IF(ABS($F218-$X218)&gt;_QA!$C$6,1,0),IF($F218&amp;""=$X218&amp;"",0,1))))</f>
        <v/>
      </c>
    </row>
    <row r="219" spans="24:25" ht="13.5" customHeight="1" x14ac:dyDescent="0.3">
      <c r="X219" s="193" t="str">
        <f>IF($Q219="","",IFERROR(INDEX(BD_KPIs!$F$2:$F$1300,MATCH($Q219,BD_KPIs!$Q$2:$Q$1300,0)),"n/d"))</f>
        <v/>
      </c>
      <c r="Y219" s="193" t="str">
        <f>IF($Q219="","",IF(COUNTIFS($Q$2:$Q$1300,$Q219,$U$2:$U$1300,"&gt;"&amp;$U219)&gt;0,0,IF(AND(ISNUMBER($F219),ISNUMBER($X219)),IF(ABS($F219-$X219)&gt;_QA!$C$6,1,0),IF($F219&amp;""=$X219&amp;"",0,1))))</f>
        <v/>
      </c>
    </row>
    <row r="220" spans="24:25" ht="13.5" customHeight="1" x14ac:dyDescent="0.3">
      <c r="X220" s="193" t="str">
        <f>IF($Q220="","",IFERROR(INDEX(BD_KPIs!$F$2:$F$1300,MATCH($Q220,BD_KPIs!$Q$2:$Q$1300,0)),"n/d"))</f>
        <v/>
      </c>
      <c r="Y220" s="193" t="str">
        <f>IF($Q220="","",IF(COUNTIFS($Q$2:$Q$1300,$Q220,$U$2:$U$1300,"&gt;"&amp;$U220)&gt;0,0,IF(AND(ISNUMBER($F220),ISNUMBER($X220)),IF(ABS($F220-$X220)&gt;_QA!$C$6,1,0),IF($F220&amp;""=$X220&amp;"",0,1))))</f>
        <v/>
      </c>
    </row>
    <row r="221" spans="24:25" ht="13.5" customHeight="1" x14ac:dyDescent="0.3">
      <c r="X221" s="193" t="str">
        <f>IF($Q221="","",IFERROR(INDEX(BD_KPIs!$F$2:$F$1300,MATCH($Q221,BD_KPIs!$Q$2:$Q$1300,0)),"n/d"))</f>
        <v/>
      </c>
      <c r="Y221" s="193" t="str">
        <f>IF($Q221="","",IF(COUNTIFS($Q$2:$Q$1300,$Q221,$U$2:$U$1300,"&gt;"&amp;$U221)&gt;0,0,IF(AND(ISNUMBER($F221),ISNUMBER($X221)),IF(ABS($F221-$X221)&gt;_QA!$C$6,1,0),IF($F221&amp;""=$X221&amp;"",0,1))))</f>
        <v/>
      </c>
    </row>
    <row r="222" spans="24:25" ht="13.5" customHeight="1" x14ac:dyDescent="0.3">
      <c r="X222" s="193" t="str">
        <f>IF($Q222="","",IFERROR(INDEX(BD_KPIs!$F$2:$F$1300,MATCH($Q222,BD_KPIs!$Q$2:$Q$1300,0)),"n/d"))</f>
        <v/>
      </c>
      <c r="Y222" s="193" t="str">
        <f>IF($Q222="","",IF(COUNTIFS($Q$2:$Q$1300,$Q222,$U$2:$U$1300,"&gt;"&amp;$U222)&gt;0,0,IF(AND(ISNUMBER($F222),ISNUMBER($X222)),IF(ABS($F222-$X222)&gt;_QA!$C$6,1,0),IF($F222&amp;""=$X222&amp;"",0,1))))</f>
        <v/>
      </c>
    </row>
    <row r="223" spans="24:25" ht="13.5" customHeight="1" x14ac:dyDescent="0.3">
      <c r="X223" s="193" t="str">
        <f>IF($Q223="","",IFERROR(INDEX(BD_KPIs!$F$2:$F$1300,MATCH($Q223,BD_KPIs!$Q$2:$Q$1300,0)),"n/d"))</f>
        <v/>
      </c>
      <c r="Y223" s="193" t="str">
        <f>IF($Q223="","",IF(COUNTIFS($Q$2:$Q$1300,$Q223,$U$2:$U$1300,"&gt;"&amp;$U223)&gt;0,0,IF(AND(ISNUMBER($F223),ISNUMBER($X223)),IF(ABS($F223-$X223)&gt;_QA!$C$6,1,0),IF($F223&amp;""=$X223&amp;"",0,1))))</f>
        <v/>
      </c>
    </row>
    <row r="224" spans="24:25" ht="13.5" customHeight="1" x14ac:dyDescent="0.3">
      <c r="X224" s="193" t="str">
        <f>IF($Q224="","",IFERROR(INDEX(BD_KPIs!$F$2:$F$1300,MATCH($Q224,BD_KPIs!$Q$2:$Q$1300,0)),"n/d"))</f>
        <v/>
      </c>
      <c r="Y224" s="193" t="str">
        <f>IF($Q224="","",IF(COUNTIFS($Q$2:$Q$1300,$Q224,$U$2:$U$1300,"&gt;"&amp;$U224)&gt;0,0,IF(AND(ISNUMBER($F224),ISNUMBER($X224)),IF(ABS($F224-$X224)&gt;_QA!$C$6,1,0),IF($F224&amp;""=$X224&amp;"",0,1))))</f>
        <v/>
      </c>
    </row>
    <row r="225" spans="24:25" ht="13.5" customHeight="1" x14ac:dyDescent="0.3">
      <c r="X225" s="193" t="str">
        <f>IF($Q225="","",IFERROR(INDEX(BD_KPIs!$F$2:$F$1300,MATCH($Q225,BD_KPIs!$Q$2:$Q$1300,0)),"n/d"))</f>
        <v/>
      </c>
      <c r="Y225" s="193" t="str">
        <f>IF($Q225="","",IF(COUNTIFS($Q$2:$Q$1300,$Q225,$U$2:$U$1300,"&gt;"&amp;$U225)&gt;0,0,IF(AND(ISNUMBER($F225),ISNUMBER($X225)),IF(ABS($F225-$X225)&gt;_QA!$C$6,1,0),IF($F225&amp;""=$X225&amp;"",0,1))))</f>
        <v/>
      </c>
    </row>
    <row r="226" spans="24:25" ht="13.5" customHeight="1" x14ac:dyDescent="0.3">
      <c r="X226" s="193" t="str">
        <f>IF($Q226="","",IFERROR(INDEX(BD_KPIs!$F$2:$F$1300,MATCH($Q226,BD_KPIs!$Q$2:$Q$1300,0)),"n/d"))</f>
        <v/>
      </c>
      <c r="Y226" s="193" t="str">
        <f>IF($Q226="","",IF(COUNTIFS($Q$2:$Q$1300,$Q226,$U$2:$U$1300,"&gt;"&amp;$U226)&gt;0,0,IF(AND(ISNUMBER($F226),ISNUMBER($X226)),IF(ABS($F226-$X226)&gt;_QA!$C$6,1,0),IF($F226&amp;""=$X226&amp;"",0,1))))</f>
        <v/>
      </c>
    </row>
    <row r="227" spans="24:25" ht="13.5" customHeight="1" x14ac:dyDescent="0.3">
      <c r="X227" s="193" t="str">
        <f>IF($Q227="","",IFERROR(INDEX(BD_KPIs!$F$2:$F$1300,MATCH($Q227,BD_KPIs!$Q$2:$Q$1300,0)),"n/d"))</f>
        <v/>
      </c>
      <c r="Y227" s="193" t="str">
        <f>IF($Q227="","",IF(COUNTIFS($Q$2:$Q$1300,$Q227,$U$2:$U$1300,"&gt;"&amp;$U227)&gt;0,0,IF(AND(ISNUMBER($F227),ISNUMBER($X227)),IF(ABS($F227-$X227)&gt;_QA!$C$6,1,0),IF($F227&amp;""=$X227&amp;"",0,1))))</f>
        <v/>
      </c>
    </row>
    <row r="228" spans="24:25" ht="13.5" customHeight="1" x14ac:dyDescent="0.3">
      <c r="X228" s="193" t="str">
        <f>IF($Q228="","",IFERROR(INDEX(BD_KPIs!$F$2:$F$1300,MATCH($Q228,BD_KPIs!$Q$2:$Q$1300,0)),"n/d"))</f>
        <v/>
      </c>
      <c r="Y228" s="193" t="str">
        <f>IF($Q228="","",IF(COUNTIFS($Q$2:$Q$1300,$Q228,$U$2:$U$1300,"&gt;"&amp;$U228)&gt;0,0,IF(AND(ISNUMBER($F228),ISNUMBER($X228)),IF(ABS($F228-$X228)&gt;_QA!$C$6,1,0),IF($F228&amp;""=$X228&amp;"",0,1))))</f>
        <v/>
      </c>
    </row>
    <row r="229" spans="24:25" ht="13.5" customHeight="1" x14ac:dyDescent="0.3">
      <c r="X229" s="193" t="str">
        <f>IF($Q229="","",IFERROR(INDEX(BD_KPIs!$F$2:$F$1300,MATCH($Q229,BD_KPIs!$Q$2:$Q$1300,0)),"n/d"))</f>
        <v/>
      </c>
      <c r="Y229" s="193" t="str">
        <f>IF($Q229="","",IF(COUNTIFS($Q$2:$Q$1300,$Q229,$U$2:$U$1300,"&gt;"&amp;$U229)&gt;0,0,IF(AND(ISNUMBER($F229),ISNUMBER($X229)),IF(ABS($F229-$X229)&gt;_QA!$C$6,1,0),IF($F229&amp;""=$X229&amp;"",0,1))))</f>
        <v/>
      </c>
    </row>
    <row r="230" spans="24:25" ht="13.5" customHeight="1" x14ac:dyDescent="0.3">
      <c r="X230" s="193" t="str">
        <f>IF($Q230="","",IFERROR(INDEX(BD_KPIs!$F$2:$F$1300,MATCH($Q230,BD_KPIs!$Q$2:$Q$1300,0)),"n/d"))</f>
        <v/>
      </c>
      <c r="Y230" s="193" t="str">
        <f>IF($Q230="","",IF(COUNTIFS($Q$2:$Q$1300,$Q230,$U$2:$U$1300,"&gt;"&amp;$U230)&gt;0,0,IF(AND(ISNUMBER($F230),ISNUMBER($X230)),IF(ABS($F230-$X230)&gt;_QA!$C$6,1,0),IF($F230&amp;""=$X230&amp;"",0,1))))</f>
        <v/>
      </c>
    </row>
    <row r="231" spans="24:25" ht="13.5" customHeight="1" x14ac:dyDescent="0.3">
      <c r="X231" s="193" t="str">
        <f>IF($Q231="","",IFERROR(INDEX(BD_KPIs!$F$2:$F$1300,MATCH($Q231,BD_KPIs!$Q$2:$Q$1300,0)),"n/d"))</f>
        <v/>
      </c>
      <c r="Y231" s="193" t="str">
        <f>IF($Q231="","",IF(COUNTIFS($Q$2:$Q$1300,$Q231,$U$2:$U$1300,"&gt;"&amp;$U231)&gt;0,0,IF(AND(ISNUMBER($F231),ISNUMBER($X231)),IF(ABS($F231-$X231)&gt;_QA!$C$6,1,0),IF($F231&amp;""=$X231&amp;"",0,1))))</f>
        <v/>
      </c>
    </row>
    <row r="232" spans="24:25" ht="13.5" customHeight="1" x14ac:dyDescent="0.3">
      <c r="X232" s="193" t="str">
        <f>IF($Q232="","",IFERROR(INDEX(BD_KPIs!$F$2:$F$1300,MATCH($Q232,BD_KPIs!$Q$2:$Q$1300,0)),"n/d"))</f>
        <v/>
      </c>
      <c r="Y232" s="193" t="str">
        <f>IF($Q232="","",IF(COUNTIFS($Q$2:$Q$1300,$Q232,$U$2:$U$1300,"&gt;"&amp;$U232)&gt;0,0,IF(AND(ISNUMBER($F232),ISNUMBER($X232)),IF(ABS($F232-$X232)&gt;_QA!$C$6,1,0),IF($F232&amp;""=$X232&amp;"",0,1))))</f>
        <v/>
      </c>
    </row>
    <row r="233" spans="24:25" ht="13.5" customHeight="1" x14ac:dyDescent="0.3">
      <c r="X233" s="193" t="str">
        <f>IF($Q233="","",IFERROR(INDEX(BD_KPIs!$F$2:$F$1300,MATCH($Q233,BD_KPIs!$Q$2:$Q$1300,0)),"n/d"))</f>
        <v/>
      </c>
      <c r="Y233" s="193" t="str">
        <f>IF($Q233="","",IF(COUNTIFS($Q$2:$Q$1300,$Q233,$U$2:$U$1300,"&gt;"&amp;$U233)&gt;0,0,IF(AND(ISNUMBER($F233),ISNUMBER($X233)),IF(ABS($F233-$X233)&gt;_QA!$C$6,1,0),IF($F233&amp;""=$X233&amp;"",0,1))))</f>
        <v/>
      </c>
    </row>
    <row r="234" spans="24:25" ht="13.5" customHeight="1" x14ac:dyDescent="0.3">
      <c r="X234" s="193" t="str">
        <f>IF($Q234="","",IFERROR(INDEX(BD_KPIs!$F$2:$F$1300,MATCH($Q234,BD_KPIs!$Q$2:$Q$1300,0)),"n/d"))</f>
        <v/>
      </c>
      <c r="Y234" s="193" t="str">
        <f>IF($Q234="","",IF(COUNTIFS($Q$2:$Q$1300,$Q234,$U$2:$U$1300,"&gt;"&amp;$U234)&gt;0,0,IF(AND(ISNUMBER($F234),ISNUMBER($X234)),IF(ABS($F234-$X234)&gt;_QA!$C$6,1,0),IF($F234&amp;""=$X234&amp;"",0,1))))</f>
        <v/>
      </c>
    </row>
    <row r="235" spans="24:25" ht="13.5" customHeight="1" x14ac:dyDescent="0.3">
      <c r="X235" s="193" t="str">
        <f>IF($Q235="","",IFERROR(INDEX(BD_KPIs!$F$2:$F$1300,MATCH($Q235,BD_KPIs!$Q$2:$Q$1300,0)),"n/d"))</f>
        <v/>
      </c>
      <c r="Y235" s="193" t="str">
        <f>IF($Q235="","",IF(COUNTIFS($Q$2:$Q$1300,$Q235,$U$2:$U$1300,"&gt;"&amp;$U235)&gt;0,0,IF(AND(ISNUMBER($F235),ISNUMBER($X235)),IF(ABS($F235-$X235)&gt;_QA!$C$6,1,0),IF($F235&amp;""=$X235&amp;"",0,1))))</f>
        <v/>
      </c>
    </row>
    <row r="236" spans="24:25" ht="13.5" customHeight="1" x14ac:dyDescent="0.3">
      <c r="X236" s="193" t="str">
        <f>IF($Q236="","",IFERROR(INDEX(BD_KPIs!$F$2:$F$1300,MATCH($Q236,BD_KPIs!$Q$2:$Q$1300,0)),"n/d"))</f>
        <v/>
      </c>
      <c r="Y236" s="193" t="str">
        <f>IF($Q236="","",IF(COUNTIFS($Q$2:$Q$1300,$Q236,$U$2:$U$1300,"&gt;"&amp;$U236)&gt;0,0,IF(AND(ISNUMBER($F236),ISNUMBER($X236)),IF(ABS($F236-$X236)&gt;_QA!$C$6,1,0),IF($F236&amp;""=$X236&amp;"",0,1))))</f>
        <v/>
      </c>
    </row>
    <row r="237" spans="24:25" ht="13.5" customHeight="1" x14ac:dyDescent="0.3">
      <c r="X237" s="193" t="str">
        <f>IF($Q237="","",IFERROR(INDEX(BD_KPIs!$F$2:$F$1300,MATCH($Q237,BD_KPIs!$Q$2:$Q$1300,0)),"n/d"))</f>
        <v/>
      </c>
      <c r="Y237" s="193" t="str">
        <f>IF($Q237="","",IF(COUNTIFS($Q$2:$Q$1300,$Q237,$U$2:$U$1300,"&gt;"&amp;$U237)&gt;0,0,IF(AND(ISNUMBER($F237),ISNUMBER($X237)),IF(ABS($F237-$X237)&gt;_QA!$C$6,1,0),IF($F237&amp;""=$X237&amp;"",0,1))))</f>
        <v/>
      </c>
    </row>
    <row r="238" spans="24:25" ht="13.5" customHeight="1" x14ac:dyDescent="0.3">
      <c r="X238" s="193" t="str">
        <f>IF($Q238="","",IFERROR(INDEX(BD_KPIs!$F$2:$F$1300,MATCH($Q238,BD_KPIs!$Q$2:$Q$1300,0)),"n/d"))</f>
        <v/>
      </c>
      <c r="Y238" s="193" t="str">
        <f>IF($Q238="","",IF(COUNTIFS($Q$2:$Q$1300,$Q238,$U$2:$U$1300,"&gt;"&amp;$U238)&gt;0,0,IF(AND(ISNUMBER($F238),ISNUMBER($X238)),IF(ABS($F238-$X238)&gt;_QA!$C$6,1,0),IF($F238&amp;""=$X238&amp;"",0,1))))</f>
        <v/>
      </c>
    </row>
    <row r="239" spans="24:25" ht="13.5" customHeight="1" x14ac:dyDescent="0.3">
      <c r="X239" s="193" t="str">
        <f>IF($Q239="","",IFERROR(INDEX(BD_KPIs!$F$2:$F$1300,MATCH($Q239,BD_KPIs!$Q$2:$Q$1300,0)),"n/d"))</f>
        <v/>
      </c>
      <c r="Y239" s="193" t="str">
        <f>IF($Q239="","",IF(COUNTIFS($Q$2:$Q$1300,$Q239,$U$2:$U$1300,"&gt;"&amp;$U239)&gt;0,0,IF(AND(ISNUMBER($F239),ISNUMBER($X239)),IF(ABS($F239-$X239)&gt;_QA!$C$6,1,0),IF($F239&amp;""=$X239&amp;"",0,1))))</f>
        <v/>
      </c>
    </row>
    <row r="240" spans="24:25" ht="13.5" customHeight="1" x14ac:dyDescent="0.3">
      <c r="X240" s="193" t="str">
        <f>IF($Q240="","",IFERROR(INDEX(BD_KPIs!$F$2:$F$1300,MATCH($Q240,BD_KPIs!$Q$2:$Q$1300,0)),"n/d"))</f>
        <v/>
      </c>
      <c r="Y240" s="193" t="str">
        <f>IF($Q240="","",IF(COUNTIFS($Q$2:$Q$1300,$Q240,$U$2:$U$1300,"&gt;"&amp;$U240)&gt;0,0,IF(AND(ISNUMBER($F240),ISNUMBER($X240)),IF(ABS($F240-$X240)&gt;_QA!$C$6,1,0),IF($F240&amp;""=$X240&amp;"",0,1))))</f>
        <v/>
      </c>
    </row>
    <row r="241" spans="24:25" ht="13.5" customHeight="1" x14ac:dyDescent="0.3">
      <c r="X241" s="193" t="str">
        <f>IF($Q241="","",IFERROR(INDEX(BD_KPIs!$F$2:$F$1300,MATCH($Q241,BD_KPIs!$Q$2:$Q$1300,0)),"n/d"))</f>
        <v/>
      </c>
      <c r="Y241" s="193" t="str">
        <f>IF($Q241="","",IF(COUNTIFS($Q$2:$Q$1300,$Q241,$U$2:$U$1300,"&gt;"&amp;$U241)&gt;0,0,IF(AND(ISNUMBER($F241),ISNUMBER($X241)),IF(ABS($F241-$X241)&gt;_QA!$C$6,1,0),IF($F241&amp;""=$X241&amp;"",0,1))))</f>
        <v/>
      </c>
    </row>
    <row r="242" spans="24:25" ht="13.5" customHeight="1" x14ac:dyDescent="0.3">
      <c r="X242" s="193" t="str">
        <f>IF($Q242="","",IFERROR(INDEX(BD_KPIs!$F$2:$F$1300,MATCH($Q242,BD_KPIs!$Q$2:$Q$1300,0)),"n/d"))</f>
        <v/>
      </c>
      <c r="Y242" s="193" t="str">
        <f>IF($Q242="","",IF(COUNTIFS($Q$2:$Q$1300,$Q242,$U$2:$U$1300,"&gt;"&amp;$U242)&gt;0,0,IF(AND(ISNUMBER($F242),ISNUMBER($X242)),IF(ABS($F242-$X242)&gt;_QA!$C$6,1,0),IF($F242&amp;""=$X242&amp;"",0,1))))</f>
        <v/>
      </c>
    </row>
    <row r="243" spans="24:25" ht="13.5" customHeight="1" x14ac:dyDescent="0.3">
      <c r="X243" s="193" t="str">
        <f>IF($Q243="","",IFERROR(INDEX(BD_KPIs!$F$2:$F$1300,MATCH($Q243,BD_KPIs!$Q$2:$Q$1300,0)),"n/d"))</f>
        <v/>
      </c>
      <c r="Y243" s="193" t="str">
        <f>IF($Q243="","",IF(COUNTIFS($Q$2:$Q$1300,$Q243,$U$2:$U$1300,"&gt;"&amp;$U243)&gt;0,0,IF(AND(ISNUMBER($F243),ISNUMBER($X243)),IF(ABS($F243-$X243)&gt;_QA!$C$6,1,0),IF($F243&amp;""=$X243&amp;"",0,1))))</f>
        <v/>
      </c>
    </row>
    <row r="244" spans="24:25" ht="13.5" customHeight="1" x14ac:dyDescent="0.3">
      <c r="X244" s="193" t="str">
        <f>IF($Q244="","",IFERROR(INDEX(BD_KPIs!$F$2:$F$1300,MATCH($Q244,BD_KPIs!$Q$2:$Q$1300,0)),"n/d"))</f>
        <v/>
      </c>
      <c r="Y244" s="193" t="str">
        <f>IF($Q244="","",IF(COUNTIFS($Q$2:$Q$1300,$Q244,$U$2:$U$1300,"&gt;"&amp;$U244)&gt;0,0,IF(AND(ISNUMBER($F244),ISNUMBER($X244)),IF(ABS($F244-$X244)&gt;_QA!$C$6,1,0),IF($F244&amp;""=$X244&amp;"",0,1))))</f>
        <v/>
      </c>
    </row>
    <row r="245" spans="24:25" ht="13.5" customHeight="1" x14ac:dyDescent="0.3">
      <c r="X245" s="193" t="str">
        <f>IF($Q245="","",IFERROR(INDEX(BD_KPIs!$F$2:$F$1300,MATCH($Q245,BD_KPIs!$Q$2:$Q$1300,0)),"n/d"))</f>
        <v/>
      </c>
      <c r="Y245" s="193" t="str">
        <f>IF($Q245="","",IF(COUNTIFS($Q$2:$Q$1300,$Q245,$U$2:$U$1300,"&gt;"&amp;$U245)&gt;0,0,IF(AND(ISNUMBER($F245),ISNUMBER($X245)),IF(ABS($F245-$X245)&gt;_QA!$C$6,1,0),IF($F245&amp;""=$X245&amp;"",0,1))))</f>
        <v/>
      </c>
    </row>
    <row r="246" spans="24:25" ht="13.5" customHeight="1" x14ac:dyDescent="0.3">
      <c r="X246" s="193" t="str">
        <f>IF($Q246="","",IFERROR(INDEX(BD_KPIs!$F$2:$F$1300,MATCH($Q246,BD_KPIs!$Q$2:$Q$1300,0)),"n/d"))</f>
        <v/>
      </c>
      <c r="Y246" s="193" t="str">
        <f>IF($Q246="","",IF(COUNTIFS($Q$2:$Q$1300,$Q246,$U$2:$U$1300,"&gt;"&amp;$U246)&gt;0,0,IF(AND(ISNUMBER($F246),ISNUMBER($X246)),IF(ABS($F246-$X246)&gt;_QA!$C$6,1,0),IF($F246&amp;""=$X246&amp;"",0,1))))</f>
        <v/>
      </c>
    </row>
    <row r="247" spans="24:25" ht="13.5" customHeight="1" x14ac:dyDescent="0.3">
      <c r="X247" s="193" t="str">
        <f>IF($Q247="","",IFERROR(INDEX(BD_KPIs!$F$2:$F$1300,MATCH($Q247,BD_KPIs!$Q$2:$Q$1300,0)),"n/d"))</f>
        <v/>
      </c>
      <c r="Y247" s="193" t="str">
        <f>IF($Q247="","",IF(COUNTIFS($Q$2:$Q$1300,$Q247,$U$2:$U$1300,"&gt;"&amp;$U247)&gt;0,0,IF(AND(ISNUMBER($F247),ISNUMBER($X247)),IF(ABS($F247-$X247)&gt;_QA!$C$6,1,0),IF($F247&amp;""=$X247&amp;"",0,1))))</f>
        <v/>
      </c>
    </row>
    <row r="248" spans="24:25" ht="13.5" customHeight="1" x14ac:dyDescent="0.3">
      <c r="X248" s="193" t="str">
        <f>IF($Q248="","",IFERROR(INDEX(BD_KPIs!$F$2:$F$1300,MATCH($Q248,BD_KPIs!$Q$2:$Q$1300,0)),"n/d"))</f>
        <v/>
      </c>
      <c r="Y248" s="193" t="str">
        <f>IF($Q248="","",IF(COUNTIFS($Q$2:$Q$1300,$Q248,$U$2:$U$1300,"&gt;"&amp;$U248)&gt;0,0,IF(AND(ISNUMBER($F248),ISNUMBER($X248)),IF(ABS($F248-$X248)&gt;_QA!$C$6,1,0),IF($F248&amp;""=$X248&amp;"",0,1))))</f>
        <v/>
      </c>
    </row>
    <row r="249" spans="24:25" ht="13.5" customHeight="1" x14ac:dyDescent="0.3">
      <c r="X249" s="193" t="str">
        <f>IF($Q249="","",IFERROR(INDEX(BD_KPIs!$F$2:$F$1300,MATCH($Q249,BD_KPIs!$Q$2:$Q$1300,0)),"n/d"))</f>
        <v/>
      </c>
      <c r="Y249" s="193" t="str">
        <f>IF($Q249="","",IF(COUNTIFS($Q$2:$Q$1300,$Q249,$U$2:$U$1300,"&gt;"&amp;$U249)&gt;0,0,IF(AND(ISNUMBER($F249),ISNUMBER($X249)),IF(ABS($F249-$X249)&gt;_QA!$C$6,1,0),IF($F249&amp;""=$X249&amp;"",0,1))))</f>
        <v/>
      </c>
    </row>
    <row r="250" spans="24:25" ht="13.5" customHeight="1" x14ac:dyDescent="0.3">
      <c r="X250" s="193" t="str">
        <f>IF($Q250="","",IFERROR(INDEX(BD_KPIs!$F$2:$F$1300,MATCH($Q250,BD_KPIs!$Q$2:$Q$1300,0)),"n/d"))</f>
        <v/>
      </c>
      <c r="Y250" s="193" t="str">
        <f>IF($Q250="","",IF(COUNTIFS($Q$2:$Q$1300,$Q250,$U$2:$U$1300,"&gt;"&amp;$U250)&gt;0,0,IF(AND(ISNUMBER($F250),ISNUMBER($X250)),IF(ABS($F250-$X250)&gt;_QA!$C$6,1,0),IF($F250&amp;""=$X250&amp;"",0,1))))</f>
        <v/>
      </c>
    </row>
    <row r="251" spans="24:25" ht="13.5" customHeight="1" x14ac:dyDescent="0.3">
      <c r="X251" s="193" t="str">
        <f>IF($Q251="","",IFERROR(INDEX(BD_KPIs!$F$2:$F$1300,MATCH($Q251,BD_KPIs!$Q$2:$Q$1300,0)),"n/d"))</f>
        <v/>
      </c>
      <c r="Y251" s="193" t="str">
        <f>IF($Q251="","",IF(COUNTIFS($Q$2:$Q$1300,$Q251,$U$2:$U$1300,"&gt;"&amp;$U251)&gt;0,0,IF(AND(ISNUMBER($F251),ISNUMBER($X251)),IF(ABS($F251-$X251)&gt;_QA!$C$6,1,0),IF($F251&amp;""=$X251&amp;"",0,1))))</f>
        <v/>
      </c>
    </row>
    <row r="252" spans="24:25" ht="13.5" customHeight="1" x14ac:dyDescent="0.3">
      <c r="X252" s="193" t="str">
        <f>IF($Q252="","",IFERROR(INDEX(BD_KPIs!$F$2:$F$1300,MATCH($Q252,BD_KPIs!$Q$2:$Q$1300,0)),"n/d"))</f>
        <v/>
      </c>
      <c r="Y252" s="193" t="str">
        <f>IF($Q252="","",IF(COUNTIFS($Q$2:$Q$1300,$Q252,$U$2:$U$1300,"&gt;"&amp;$U252)&gt;0,0,IF(AND(ISNUMBER($F252),ISNUMBER($X252)),IF(ABS($F252-$X252)&gt;_QA!$C$6,1,0),IF($F252&amp;""=$X252&amp;"",0,1))))</f>
        <v/>
      </c>
    </row>
    <row r="253" spans="24:25" ht="13.5" customHeight="1" x14ac:dyDescent="0.3">
      <c r="X253" s="193" t="str">
        <f>IF($Q253="","",IFERROR(INDEX(BD_KPIs!$F$2:$F$1300,MATCH($Q253,BD_KPIs!$Q$2:$Q$1300,0)),"n/d"))</f>
        <v/>
      </c>
      <c r="Y253" s="193" t="str">
        <f>IF($Q253="","",IF(COUNTIFS($Q$2:$Q$1300,$Q253,$U$2:$U$1300,"&gt;"&amp;$U253)&gt;0,0,IF(AND(ISNUMBER($F253),ISNUMBER($X253)),IF(ABS($F253-$X253)&gt;_QA!$C$6,1,0),IF($F253&amp;""=$X253&amp;"",0,1))))</f>
        <v/>
      </c>
    </row>
    <row r="254" spans="24:25" ht="13.5" customHeight="1" x14ac:dyDescent="0.3">
      <c r="X254" s="193" t="str">
        <f>IF($Q254="","",IFERROR(INDEX(BD_KPIs!$F$2:$F$1300,MATCH($Q254,BD_KPIs!$Q$2:$Q$1300,0)),"n/d"))</f>
        <v/>
      </c>
      <c r="Y254" s="193" t="str">
        <f>IF($Q254="","",IF(COUNTIFS($Q$2:$Q$1300,$Q254,$U$2:$U$1300,"&gt;"&amp;$U254)&gt;0,0,IF(AND(ISNUMBER($F254),ISNUMBER($X254)),IF(ABS($F254-$X254)&gt;_QA!$C$6,1,0),IF($F254&amp;""=$X254&amp;"",0,1))))</f>
        <v/>
      </c>
    </row>
    <row r="255" spans="24:25" ht="13.5" customHeight="1" x14ac:dyDescent="0.3">
      <c r="X255" s="193" t="str">
        <f>IF($Q255="","",IFERROR(INDEX(BD_KPIs!$F$2:$F$1300,MATCH($Q255,BD_KPIs!$Q$2:$Q$1300,0)),"n/d"))</f>
        <v/>
      </c>
      <c r="Y255" s="193" t="str">
        <f>IF($Q255="","",IF(COUNTIFS($Q$2:$Q$1300,$Q255,$U$2:$U$1300,"&gt;"&amp;$U255)&gt;0,0,IF(AND(ISNUMBER($F255),ISNUMBER($X255)),IF(ABS($F255-$X255)&gt;_QA!$C$6,1,0),IF($F255&amp;""=$X255&amp;"",0,1))))</f>
        <v/>
      </c>
    </row>
    <row r="256" spans="24:25" ht="13.5" customHeight="1" x14ac:dyDescent="0.3">
      <c r="X256" s="193" t="str">
        <f>IF($Q256="","",IFERROR(INDEX(BD_KPIs!$F$2:$F$1300,MATCH($Q256,BD_KPIs!$Q$2:$Q$1300,0)),"n/d"))</f>
        <v/>
      </c>
      <c r="Y256" s="193" t="str">
        <f>IF($Q256="","",IF(COUNTIFS($Q$2:$Q$1300,$Q256,$U$2:$U$1300,"&gt;"&amp;$U256)&gt;0,0,IF(AND(ISNUMBER($F256),ISNUMBER($X256)),IF(ABS($F256-$X256)&gt;_QA!$C$6,1,0),IF($F256&amp;""=$X256&amp;"",0,1))))</f>
        <v/>
      </c>
    </row>
    <row r="257" spans="24:25" ht="13.5" customHeight="1" x14ac:dyDescent="0.3">
      <c r="X257" s="193" t="str">
        <f>IF($Q257="","",IFERROR(INDEX(BD_KPIs!$F$2:$F$1300,MATCH($Q257,BD_KPIs!$Q$2:$Q$1300,0)),"n/d"))</f>
        <v/>
      </c>
      <c r="Y257" s="193" t="str">
        <f>IF($Q257="","",IF(COUNTIFS($Q$2:$Q$1300,$Q257,$U$2:$U$1300,"&gt;"&amp;$U257)&gt;0,0,IF(AND(ISNUMBER($F257),ISNUMBER($X257)),IF(ABS($F257-$X257)&gt;_QA!$C$6,1,0),IF($F257&amp;""=$X257&amp;"",0,1))))</f>
        <v/>
      </c>
    </row>
    <row r="258" spans="24:25" ht="13.5" customHeight="1" x14ac:dyDescent="0.3">
      <c r="X258" s="193" t="str">
        <f>IF($Q258="","",IFERROR(INDEX(BD_KPIs!$F$2:$F$1300,MATCH($Q258,BD_KPIs!$Q$2:$Q$1300,0)),"n/d"))</f>
        <v/>
      </c>
      <c r="Y258" s="193" t="str">
        <f>IF($Q258="","",IF(COUNTIFS($Q$2:$Q$1300,$Q258,$U$2:$U$1300,"&gt;"&amp;$U258)&gt;0,0,IF(AND(ISNUMBER($F258),ISNUMBER($X258)),IF(ABS($F258-$X258)&gt;_QA!$C$6,1,0),IF($F258&amp;""=$X258&amp;"",0,1))))</f>
        <v/>
      </c>
    </row>
    <row r="259" spans="24:25" ht="13.5" customHeight="1" x14ac:dyDescent="0.3">
      <c r="X259" s="193" t="str">
        <f>IF($Q259="","",IFERROR(INDEX(BD_KPIs!$F$2:$F$1300,MATCH($Q259,BD_KPIs!$Q$2:$Q$1300,0)),"n/d"))</f>
        <v/>
      </c>
      <c r="Y259" s="193" t="str">
        <f>IF($Q259="","",IF(COUNTIFS($Q$2:$Q$1300,$Q259,$U$2:$U$1300,"&gt;"&amp;$U259)&gt;0,0,IF(AND(ISNUMBER($F259),ISNUMBER($X259)),IF(ABS($F259-$X259)&gt;_QA!$C$6,1,0),IF($F259&amp;""=$X259&amp;"",0,1))))</f>
        <v/>
      </c>
    </row>
    <row r="260" spans="24:25" ht="13.5" customHeight="1" x14ac:dyDescent="0.3">
      <c r="X260" s="193" t="str">
        <f>IF($Q260="","",IFERROR(INDEX(BD_KPIs!$F$2:$F$1300,MATCH($Q260,BD_KPIs!$Q$2:$Q$1300,0)),"n/d"))</f>
        <v/>
      </c>
      <c r="Y260" s="193" t="str">
        <f>IF($Q260="","",IF(COUNTIFS($Q$2:$Q$1300,$Q260,$U$2:$U$1300,"&gt;"&amp;$U260)&gt;0,0,IF(AND(ISNUMBER($F260),ISNUMBER($X260)),IF(ABS($F260-$X260)&gt;_QA!$C$6,1,0),IF($F260&amp;""=$X260&amp;"",0,1))))</f>
        <v/>
      </c>
    </row>
    <row r="261" spans="24:25" ht="13.5" customHeight="1" x14ac:dyDescent="0.3">
      <c r="X261" s="193" t="str">
        <f>IF($Q261="","",IFERROR(INDEX(BD_KPIs!$F$2:$F$1300,MATCH($Q261,BD_KPIs!$Q$2:$Q$1300,0)),"n/d"))</f>
        <v/>
      </c>
      <c r="Y261" s="193" t="str">
        <f>IF($Q261="","",IF(COUNTIFS($Q$2:$Q$1300,$Q261,$U$2:$U$1300,"&gt;"&amp;$U261)&gt;0,0,IF(AND(ISNUMBER($F261),ISNUMBER($X261)),IF(ABS($F261-$X261)&gt;_QA!$C$6,1,0),IF($F261&amp;""=$X261&amp;"",0,1))))</f>
        <v/>
      </c>
    </row>
    <row r="262" spans="24:25" ht="13.5" customHeight="1" x14ac:dyDescent="0.3">
      <c r="X262" s="193" t="str">
        <f>IF($Q262="","",IFERROR(INDEX(BD_KPIs!$F$2:$F$1300,MATCH($Q262,BD_KPIs!$Q$2:$Q$1300,0)),"n/d"))</f>
        <v/>
      </c>
      <c r="Y262" s="193" t="str">
        <f>IF($Q262="","",IF(COUNTIFS($Q$2:$Q$1300,$Q262,$U$2:$U$1300,"&gt;"&amp;$U262)&gt;0,0,IF(AND(ISNUMBER($F262),ISNUMBER($X262)),IF(ABS($F262-$X262)&gt;_QA!$C$6,1,0),IF($F262&amp;""=$X262&amp;"",0,1))))</f>
        <v/>
      </c>
    </row>
    <row r="263" spans="24:25" ht="13.5" customHeight="1" x14ac:dyDescent="0.3">
      <c r="X263" s="193" t="str">
        <f>IF($Q263="","",IFERROR(INDEX(BD_KPIs!$F$2:$F$1300,MATCH($Q263,BD_KPIs!$Q$2:$Q$1300,0)),"n/d"))</f>
        <v/>
      </c>
      <c r="Y263" s="193" t="str">
        <f>IF($Q263="","",IF(COUNTIFS($Q$2:$Q$1300,$Q263,$U$2:$U$1300,"&gt;"&amp;$U263)&gt;0,0,IF(AND(ISNUMBER($F263),ISNUMBER($X263)),IF(ABS($F263-$X263)&gt;_QA!$C$6,1,0),IF($F263&amp;""=$X263&amp;"",0,1))))</f>
        <v/>
      </c>
    </row>
    <row r="264" spans="24:25" ht="13.5" customHeight="1" x14ac:dyDescent="0.3">
      <c r="X264" s="193" t="str">
        <f>IF($Q264="","",IFERROR(INDEX(BD_KPIs!$F$2:$F$1300,MATCH($Q264,BD_KPIs!$Q$2:$Q$1300,0)),"n/d"))</f>
        <v/>
      </c>
      <c r="Y264" s="193" t="str">
        <f>IF($Q264="","",IF(COUNTIFS($Q$2:$Q$1300,$Q264,$U$2:$U$1300,"&gt;"&amp;$U264)&gt;0,0,IF(AND(ISNUMBER($F264),ISNUMBER($X264)),IF(ABS($F264-$X264)&gt;_QA!$C$6,1,0),IF($F264&amp;""=$X264&amp;"",0,1))))</f>
        <v/>
      </c>
    </row>
    <row r="265" spans="24:25" ht="13.5" customHeight="1" x14ac:dyDescent="0.3">
      <c r="X265" s="193" t="str">
        <f>IF($Q265="","",IFERROR(INDEX(BD_KPIs!$F$2:$F$1300,MATCH($Q265,BD_KPIs!$Q$2:$Q$1300,0)),"n/d"))</f>
        <v/>
      </c>
      <c r="Y265" s="193" t="str">
        <f>IF($Q265="","",IF(COUNTIFS($Q$2:$Q$1300,$Q265,$U$2:$U$1300,"&gt;"&amp;$U265)&gt;0,0,IF(AND(ISNUMBER($F265),ISNUMBER($X265)),IF(ABS($F265-$X265)&gt;_QA!$C$6,1,0),IF($F265&amp;""=$X265&amp;"",0,1))))</f>
        <v/>
      </c>
    </row>
    <row r="266" spans="24:25" ht="13.5" customHeight="1" x14ac:dyDescent="0.3">
      <c r="X266" s="193" t="str">
        <f>IF($Q266="","",IFERROR(INDEX(BD_KPIs!$F$2:$F$1300,MATCH($Q266,BD_KPIs!$Q$2:$Q$1300,0)),"n/d"))</f>
        <v/>
      </c>
      <c r="Y266" s="193" t="str">
        <f>IF($Q266="","",IF(COUNTIFS($Q$2:$Q$1300,$Q266,$U$2:$U$1300,"&gt;"&amp;$U266)&gt;0,0,IF(AND(ISNUMBER($F266),ISNUMBER($X266)),IF(ABS($F266-$X266)&gt;_QA!$C$6,1,0),IF($F266&amp;""=$X266&amp;"",0,1))))</f>
        <v/>
      </c>
    </row>
    <row r="267" spans="24:25" ht="13.5" customHeight="1" x14ac:dyDescent="0.3">
      <c r="X267" s="193" t="str">
        <f>IF($Q267="","",IFERROR(INDEX(BD_KPIs!$F$2:$F$1300,MATCH($Q267,BD_KPIs!$Q$2:$Q$1300,0)),"n/d"))</f>
        <v/>
      </c>
      <c r="Y267" s="193" t="str">
        <f>IF($Q267="","",IF(COUNTIFS($Q$2:$Q$1300,$Q267,$U$2:$U$1300,"&gt;"&amp;$U267)&gt;0,0,IF(AND(ISNUMBER($F267),ISNUMBER($X267)),IF(ABS($F267-$X267)&gt;_QA!$C$6,1,0),IF($F267&amp;""=$X267&amp;"",0,1))))</f>
        <v/>
      </c>
    </row>
    <row r="268" spans="24:25" ht="13.5" customHeight="1" x14ac:dyDescent="0.3">
      <c r="X268" s="193" t="str">
        <f>IF($Q268="","",IFERROR(INDEX(BD_KPIs!$F$2:$F$1300,MATCH($Q268,BD_KPIs!$Q$2:$Q$1300,0)),"n/d"))</f>
        <v/>
      </c>
      <c r="Y268" s="193" t="str">
        <f>IF($Q268="","",IF(COUNTIFS($Q$2:$Q$1300,$Q268,$U$2:$U$1300,"&gt;"&amp;$U268)&gt;0,0,IF(AND(ISNUMBER($F268),ISNUMBER($X268)),IF(ABS($F268-$X268)&gt;_QA!$C$6,1,0),IF($F268&amp;""=$X268&amp;"",0,1))))</f>
        <v/>
      </c>
    </row>
    <row r="269" spans="24:25" ht="13.5" customHeight="1" x14ac:dyDescent="0.3">
      <c r="X269" s="193" t="str">
        <f>IF($Q269="","",IFERROR(INDEX(BD_KPIs!$F$2:$F$1300,MATCH($Q269,BD_KPIs!$Q$2:$Q$1300,0)),"n/d"))</f>
        <v/>
      </c>
      <c r="Y269" s="193" t="str">
        <f>IF($Q269="","",IF(COUNTIFS($Q$2:$Q$1300,$Q269,$U$2:$U$1300,"&gt;"&amp;$U269)&gt;0,0,IF(AND(ISNUMBER($F269),ISNUMBER($X269)),IF(ABS($F269-$X269)&gt;_QA!$C$6,1,0),IF($F269&amp;""=$X269&amp;"",0,1))))</f>
        <v/>
      </c>
    </row>
    <row r="270" spans="24:25" ht="13.5" customHeight="1" x14ac:dyDescent="0.3">
      <c r="X270" s="193" t="str">
        <f>IF($Q270="","",IFERROR(INDEX(BD_KPIs!$F$2:$F$1300,MATCH($Q270,BD_KPIs!$Q$2:$Q$1300,0)),"n/d"))</f>
        <v/>
      </c>
      <c r="Y270" s="193" t="str">
        <f>IF($Q270="","",IF(COUNTIFS($Q$2:$Q$1300,$Q270,$U$2:$U$1300,"&gt;"&amp;$U270)&gt;0,0,IF(AND(ISNUMBER($F270),ISNUMBER($X270)),IF(ABS($F270-$X270)&gt;_QA!$C$6,1,0),IF($F270&amp;""=$X270&amp;"",0,1))))</f>
        <v/>
      </c>
    </row>
    <row r="271" spans="24:25" ht="13.5" customHeight="1" x14ac:dyDescent="0.3">
      <c r="X271" s="193" t="str">
        <f>IF($Q271="","",IFERROR(INDEX(BD_KPIs!$F$2:$F$1300,MATCH($Q271,BD_KPIs!$Q$2:$Q$1300,0)),"n/d"))</f>
        <v/>
      </c>
      <c r="Y271" s="193" t="str">
        <f>IF($Q271="","",IF(COUNTIFS($Q$2:$Q$1300,$Q271,$U$2:$U$1300,"&gt;"&amp;$U271)&gt;0,0,IF(AND(ISNUMBER($F271),ISNUMBER($X271)),IF(ABS($F271-$X271)&gt;_QA!$C$6,1,0),IF($F271&amp;""=$X271&amp;"",0,1))))</f>
        <v/>
      </c>
    </row>
    <row r="272" spans="24:25" ht="13.5" customHeight="1" x14ac:dyDescent="0.3">
      <c r="X272" s="193" t="str">
        <f>IF($Q272="","",IFERROR(INDEX(BD_KPIs!$F$2:$F$1300,MATCH($Q272,BD_KPIs!$Q$2:$Q$1300,0)),"n/d"))</f>
        <v/>
      </c>
      <c r="Y272" s="193" t="str">
        <f>IF($Q272="","",IF(COUNTIFS($Q$2:$Q$1300,$Q272,$U$2:$U$1300,"&gt;"&amp;$U272)&gt;0,0,IF(AND(ISNUMBER($F272),ISNUMBER($X272)),IF(ABS($F272-$X272)&gt;_QA!$C$6,1,0),IF($F272&amp;""=$X272&amp;"",0,1))))</f>
        <v/>
      </c>
    </row>
    <row r="273" spans="24:25" ht="13.5" customHeight="1" x14ac:dyDescent="0.3">
      <c r="X273" s="193" t="str">
        <f>IF($Q273="","",IFERROR(INDEX(BD_KPIs!$F$2:$F$1300,MATCH($Q273,BD_KPIs!$Q$2:$Q$1300,0)),"n/d"))</f>
        <v/>
      </c>
      <c r="Y273" s="193" t="str">
        <f>IF($Q273="","",IF(COUNTIFS($Q$2:$Q$1300,$Q273,$U$2:$U$1300,"&gt;"&amp;$U273)&gt;0,0,IF(AND(ISNUMBER($F273),ISNUMBER($X273)),IF(ABS($F273-$X273)&gt;_QA!$C$6,1,0),IF($F273&amp;""=$X273&amp;"",0,1))))</f>
        <v/>
      </c>
    </row>
    <row r="274" spans="24:25" ht="13.5" customHeight="1" x14ac:dyDescent="0.3">
      <c r="X274" s="193" t="str">
        <f>IF($Q274="","",IFERROR(INDEX(BD_KPIs!$F$2:$F$1300,MATCH($Q274,BD_KPIs!$Q$2:$Q$1300,0)),"n/d"))</f>
        <v/>
      </c>
      <c r="Y274" s="193" t="str">
        <f>IF($Q274="","",IF(COUNTIFS($Q$2:$Q$1300,$Q274,$U$2:$U$1300,"&gt;"&amp;$U274)&gt;0,0,IF(AND(ISNUMBER($F274),ISNUMBER($X274)),IF(ABS($F274-$X274)&gt;_QA!$C$6,1,0),IF($F274&amp;""=$X274&amp;"",0,1))))</f>
        <v/>
      </c>
    </row>
    <row r="275" spans="24:25" ht="13.5" customHeight="1" x14ac:dyDescent="0.3">
      <c r="X275" s="193" t="str">
        <f>IF($Q275="","",IFERROR(INDEX(BD_KPIs!$F$2:$F$1300,MATCH($Q275,BD_KPIs!$Q$2:$Q$1300,0)),"n/d"))</f>
        <v/>
      </c>
      <c r="Y275" s="193" t="str">
        <f>IF($Q275="","",IF(COUNTIFS($Q$2:$Q$1300,$Q275,$U$2:$U$1300,"&gt;"&amp;$U275)&gt;0,0,IF(AND(ISNUMBER($F275),ISNUMBER($X275)),IF(ABS($F275-$X275)&gt;_QA!$C$6,1,0),IF($F275&amp;""=$X275&amp;"",0,1))))</f>
        <v/>
      </c>
    </row>
    <row r="276" spans="24:25" ht="13.5" customHeight="1" x14ac:dyDescent="0.3">
      <c r="X276" s="193" t="str">
        <f>IF($Q276="","",IFERROR(INDEX(BD_KPIs!$F$2:$F$1300,MATCH($Q276,BD_KPIs!$Q$2:$Q$1300,0)),"n/d"))</f>
        <v/>
      </c>
      <c r="Y276" s="193" t="str">
        <f>IF($Q276="","",IF(COUNTIFS($Q$2:$Q$1300,$Q276,$U$2:$U$1300,"&gt;"&amp;$U276)&gt;0,0,IF(AND(ISNUMBER($F276),ISNUMBER($X276)),IF(ABS($F276-$X276)&gt;_QA!$C$6,1,0),IF($F276&amp;""=$X276&amp;"",0,1))))</f>
        <v/>
      </c>
    </row>
    <row r="277" spans="24:25" ht="13.5" customHeight="1" x14ac:dyDescent="0.3">
      <c r="X277" s="193" t="str">
        <f>IF($Q277="","",IFERROR(INDEX(BD_KPIs!$F$2:$F$1300,MATCH($Q277,BD_KPIs!$Q$2:$Q$1300,0)),"n/d"))</f>
        <v/>
      </c>
      <c r="Y277" s="193" t="str">
        <f>IF($Q277="","",IF(COUNTIFS($Q$2:$Q$1300,$Q277,$U$2:$U$1300,"&gt;"&amp;$U277)&gt;0,0,IF(AND(ISNUMBER($F277),ISNUMBER($X277)),IF(ABS($F277-$X277)&gt;_QA!$C$6,1,0),IF($F277&amp;""=$X277&amp;"",0,1))))</f>
        <v/>
      </c>
    </row>
    <row r="278" spans="24:25" ht="13.5" customHeight="1" x14ac:dyDescent="0.3">
      <c r="X278" s="193" t="str">
        <f>IF($Q278="","",IFERROR(INDEX(BD_KPIs!$F$2:$F$1300,MATCH($Q278,BD_KPIs!$Q$2:$Q$1300,0)),"n/d"))</f>
        <v/>
      </c>
      <c r="Y278" s="193" t="str">
        <f>IF($Q278="","",IF(COUNTIFS($Q$2:$Q$1300,$Q278,$U$2:$U$1300,"&gt;"&amp;$U278)&gt;0,0,IF(AND(ISNUMBER($F278),ISNUMBER($X278)),IF(ABS($F278-$X278)&gt;_QA!$C$6,1,0),IF($F278&amp;""=$X278&amp;"",0,1))))</f>
        <v/>
      </c>
    </row>
    <row r="279" spans="24:25" ht="13.5" customHeight="1" x14ac:dyDescent="0.3">
      <c r="X279" s="193" t="str">
        <f>IF($Q279="","",IFERROR(INDEX(BD_KPIs!$F$2:$F$1300,MATCH($Q279,BD_KPIs!$Q$2:$Q$1300,0)),"n/d"))</f>
        <v/>
      </c>
      <c r="Y279" s="193" t="str">
        <f>IF($Q279="","",IF(COUNTIFS($Q$2:$Q$1300,$Q279,$U$2:$U$1300,"&gt;"&amp;$U279)&gt;0,0,IF(AND(ISNUMBER($F279),ISNUMBER($X279)),IF(ABS($F279-$X279)&gt;_QA!$C$6,1,0),IF($F279&amp;""=$X279&amp;"",0,1))))</f>
        <v/>
      </c>
    </row>
    <row r="280" spans="24:25" ht="13.5" customHeight="1" x14ac:dyDescent="0.3">
      <c r="X280" s="193" t="str">
        <f>IF($Q280="","",IFERROR(INDEX(BD_KPIs!$F$2:$F$1300,MATCH($Q280,BD_KPIs!$Q$2:$Q$1300,0)),"n/d"))</f>
        <v/>
      </c>
      <c r="Y280" s="193" t="str">
        <f>IF($Q280="","",IF(COUNTIFS($Q$2:$Q$1300,$Q280,$U$2:$U$1300,"&gt;"&amp;$U280)&gt;0,0,IF(AND(ISNUMBER($F280),ISNUMBER($X280)),IF(ABS($F280-$X280)&gt;_QA!$C$6,1,0),IF($F280&amp;""=$X280&amp;"",0,1))))</f>
        <v/>
      </c>
    </row>
    <row r="281" spans="24:25" ht="13.5" customHeight="1" x14ac:dyDescent="0.3">
      <c r="X281" s="193" t="str">
        <f>IF($Q281="","",IFERROR(INDEX(BD_KPIs!$F$2:$F$1300,MATCH($Q281,BD_KPIs!$Q$2:$Q$1300,0)),"n/d"))</f>
        <v/>
      </c>
      <c r="Y281" s="193" t="str">
        <f>IF($Q281="","",IF(COUNTIFS($Q$2:$Q$1300,$Q281,$U$2:$U$1300,"&gt;"&amp;$U281)&gt;0,0,IF(AND(ISNUMBER($F281),ISNUMBER($X281)),IF(ABS($F281-$X281)&gt;_QA!$C$6,1,0),IF($F281&amp;""=$X281&amp;"",0,1))))</f>
        <v/>
      </c>
    </row>
    <row r="282" spans="24:25" ht="13.5" customHeight="1" x14ac:dyDescent="0.3">
      <c r="X282" s="193" t="str">
        <f>IF($Q282="","",IFERROR(INDEX(BD_KPIs!$F$2:$F$1300,MATCH($Q282,BD_KPIs!$Q$2:$Q$1300,0)),"n/d"))</f>
        <v/>
      </c>
      <c r="Y282" s="193" t="str">
        <f>IF($Q282="","",IF(COUNTIFS($Q$2:$Q$1300,$Q282,$U$2:$U$1300,"&gt;"&amp;$U282)&gt;0,0,IF(AND(ISNUMBER($F282),ISNUMBER($X282)),IF(ABS($F282-$X282)&gt;_QA!$C$6,1,0),IF($F282&amp;""=$X282&amp;"",0,1))))</f>
        <v/>
      </c>
    </row>
    <row r="283" spans="24:25" ht="13.5" customHeight="1" x14ac:dyDescent="0.3">
      <c r="X283" s="193" t="str">
        <f>IF($Q283="","",IFERROR(INDEX(BD_KPIs!$F$2:$F$1300,MATCH($Q283,BD_KPIs!$Q$2:$Q$1300,0)),"n/d"))</f>
        <v/>
      </c>
      <c r="Y283" s="193" t="str">
        <f>IF($Q283="","",IF(COUNTIFS($Q$2:$Q$1300,$Q283,$U$2:$U$1300,"&gt;"&amp;$U283)&gt;0,0,IF(AND(ISNUMBER($F283),ISNUMBER($X283)),IF(ABS($F283-$X283)&gt;_QA!$C$6,1,0),IF($F283&amp;""=$X283&amp;"",0,1))))</f>
        <v/>
      </c>
    </row>
    <row r="284" spans="24:25" ht="13.5" customHeight="1" x14ac:dyDescent="0.3">
      <c r="X284" s="193" t="str">
        <f>IF($Q284="","",IFERROR(INDEX(BD_KPIs!$F$2:$F$1300,MATCH($Q284,BD_KPIs!$Q$2:$Q$1300,0)),"n/d"))</f>
        <v/>
      </c>
      <c r="Y284" s="193" t="str">
        <f>IF($Q284="","",IF(COUNTIFS($Q$2:$Q$1300,$Q284,$U$2:$U$1300,"&gt;"&amp;$U284)&gt;0,0,IF(AND(ISNUMBER($F284),ISNUMBER($X284)),IF(ABS($F284-$X284)&gt;_QA!$C$6,1,0),IF($F284&amp;""=$X284&amp;"",0,1))))</f>
        <v/>
      </c>
    </row>
    <row r="285" spans="24:25" ht="13.5" customHeight="1" x14ac:dyDescent="0.3">
      <c r="X285" s="193" t="str">
        <f>IF($Q285="","",IFERROR(INDEX(BD_KPIs!$F$2:$F$1300,MATCH($Q285,BD_KPIs!$Q$2:$Q$1300,0)),"n/d"))</f>
        <v/>
      </c>
      <c r="Y285" s="193" t="str">
        <f>IF($Q285="","",IF(COUNTIFS($Q$2:$Q$1300,$Q285,$U$2:$U$1300,"&gt;"&amp;$U285)&gt;0,0,IF(AND(ISNUMBER($F285),ISNUMBER($X285)),IF(ABS($F285-$X285)&gt;_QA!$C$6,1,0),IF($F285&amp;""=$X285&amp;"",0,1))))</f>
        <v/>
      </c>
    </row>
    <row r="286" spans="24:25" ht="13.5" customHeight="1" x14ac:dyDescent="0.3">
      <c r="X286" s="193" t="str">
        <f>IF($Q286="","",IFERROR(INDEX(BD_KPIs!$F$2:$F$1300,MATCH($Q286,BD_KPIs!$Q$2:$Q$1300,0)),"n/d"))</f>
        <v/>
      </c>
      <c r="Y286" s="193" t="str">
        <f>IF($Q286="","",IF(COUNTIFS($Q$2:$Q$1300,$Q286,$U$2:$U$1300,"&gt;"&amp;$U286)&gt;0,0,IF(AND(ISNUMBER($F286),ISNUMBER($X286)),IF(ABS($F286-$X286)&gt;_QA!$C$6,1,0),IF($F286&amp;""=$X286&amp;"",0,1))))</f>
        <v/>
      </c>
    </row>
    <row r="287" spans="24:25" ht="13.5" customHeight="1" x14ac:dyDescent="0.3">
      <c r="X287" s="193" t="str">
        <f>IF($Q287="","",IFERROR(INDEX(BD_KPIs!$F$2:$F$1300,MATCH($Q287,BD_KPIs!$Q$2:$Q$1300,0)),"n/d"))</f>
        <v/>
      </c>
      <c r="Y287" s="193" t="str">
        <f>IF($Q287="","",IF(COUNTIFS($Q$2:$Q$1300,$Q287,$U$2:$U$1300,"&gt;"&amp;$U287)&gt;0,0,IF(AND(ISNUMBER($F287),ISNUMBER($X287)),IF(ABS($F287-$X287)&gt;_QA!$C$6,1,0),IF($F287&amp;""=$X287&amp;"",0,1))))</f>
        <v/>
      </c>
    </row>
    <row r="288" spans="24:25" ht="13.5" customHeight="1" x14ac:dyDescent="0.3">
      <c r="X288" s="193" t="str">
        <f>IF($Q288="","",IFERROR(INDEX(BD_KPIs!$F$2:$F$1300,MATCH($Q288,BD_KPIs!$Q$2:$Q$1300,0)),"n/d"))</f>
        <v/>
      </c>
      <c r="Y288" s="193" t="str">
        <f>IF($Q288="","",IF(COUNTIFS($Q$2:$Q$1300,$Q288,$U$2:$U$1300,"&gt;"&amp;$U288)&gt;0,0,IF(AND(ISNUMBER($F288),ISNUMBER($X288)),IF(ABS($F288-$X288)&gt;_QA!$C$6,1,0),IF($F288&amp;""=$X288&amp;"",0,1))))</f>
        <v/>
      </c>
    </row>
    <row r="289" spans="24:25" ht="13.5" customHeight="1" x14ac:dyDescent="0.3">
      <c r="X289" s="193" t="str">
        <f>IF($Q289="","",IFERROR(INDEX(BD_KPIs!$F$2:$F$1300,MATCH($Q289,BD_KPIs!$Q$2:$Q$1300,0)),"n/d"))</f>
        <v/>
      </c>
      <c r="Y289" s="193" t="str">
        <f>IF($Q289="","",IF(COUNTIFS($Q$2:$Q$1300,$Q289,$U$2:$U$1300,"&gt;"&amp;$U289)&gt;0,0,IF(AND(ISNUMBER($F289),ISNUMBER($X289)),IF(ABS($F289-$X289)&gt;_QA!$C$6,1,0),IF($F289&amp;""=$X289&amp;"",0,1))))</f>
        <v/>
      </c>
    </row>
    <row r="290" spans="24:25" ht="13.5" customHeight="1" x14ac:dyDescent="0.3">
      <c r="X290" s="193" t="str">
        <f>IF($Q290="","",IFERROR(INDEX(BD_KPIs!$F$2:$F$1300,MATCH($Q290,BD_KPIs!$Q$2:$Q$1300,0)),"n/d"))</f>
        <v/>
      </c>
      <c r="Y290" s="193" t="str">
        <f>IF($Q290="","",IF(COUNTIFS($Q$2:$Q$1300,$Q290,$U$2:$U$1300,"&gt;"&amp;$U290)&gt;0,0,IF(AND(ISNUMBER($F290),ISNUMBER($X290)),IF(ABS($F290-$X290)&gt;_QA!$C$6,1,0),IF($F290&amp;""=$X290&amp;"",0,1))))</f>
        <v/>
      </c>
    </row>
    <row r="291" spans="24:25" ht="13.5" customHeight="1" x14ac:dyDescent="0.3">
      <c r="X291" s="193" t="str">
        <f>IF($Q291="","",IFERROR(INDEX(BD_KPIs!$F$2:$F$1300,MATCH($Q291,BD_KPIs!$Q$2:$Q$1300,0)),"n/d"))</f>
        <v/>
      </c>
      <c r="Y291" s="193" t="str">
        <f>IF($Q291="","",IF(COUNTIFS($Q$2:$Q$1300,$Q291,$U$2:$U$1300,"&gt;"&amp;$U291)&gt;0,0,IF(AND(ISNUMBER($F291),ISNUMBER($X291)),IF(ABS($F291-$X291)&gt;_QA!$C$6,1,0),IF($F291&amp;""=$X291&amp;"",0,1))))</f>
        <v/>
      </c>
    </row>
    <row r="292" spans="24:25" ht="13.5" customHeight="1" x14ac:dyDescent="0.3">
      <c r="X292" s="193" t="str">
        <f>IF($Q292="","",IFERROR(INDEX(BD_KPIs!$F$2:$F$1300,MATCH($Q292,BD_KPIs!$Q$2:$Q$1300,0)),"n/d"))</f>
        <v/>
      </c>
      <c r="Y292" s="193" t="str">
        <f>IF($Q292="","",IF(COUNTIFS($Q$2:$Q$1300,$Q292,$U$2:$U$1300,"&gt;"&amp;$U292)&gt;0,0,IF(AND(ISNUMBER($F292),ISNUMBER($X292)),IF(ABS($F292-$X292)&gt;_QA!$C$6,1,0),IF($F292&amp;""=$X292&amp;"",0,1))))</f>
        <v/>
      </c>
    </row>
    <row r="293" spans="24:25" ht="13.5" customHeight="1" x14ac:dyDescent="0.3">
      <c r="X293" s="193" t="str">
        <f>IF($Q293="","",IFERROR(INDEX(BD_KPIs!$F$2:$F$1300,MATCH($Q293,BD_KPIs!$Q$2:$Q$1300,0)),"n/d"))</f>
        <v/>
      </c>
      <c r="Y293" s="193" t="str">
        <f>IF($Q293="","",IF(COUNTIFS($Q$2:$Q$1300,$Q293,$U$2:$U$1300,"&gt;"&amp;$U293)&gt;0,0,IF(AND(ISNUMBER($F293),ISNUMBER($X293)),IF(ABS($F293-$X293)&gt;_QA!$C$6,1,0),IF($F293&amp;""=$X293&amp;"",0,1))))</f>
        <v/>
      </c>
    </row>
    <row r="294" spans="24:25" ht="13.5" customHeight="1" x14ac:dyDescent="0.3">
      <c r="X294" s="193" t="str">
        <f>IF($Q294="","",IFERROR(INDEX(BD_KPIs!$F$2:$F$1300,MATCH($Q294,BD_KPIs!$Q$2:$Q$1300,0)),"n/d"))</f>
        <v/>
      </c>
      <c r="Y294" s="193" t="str">
        <f>IF($Q294="","",IF(COUNTIFS($Q$2:$Q$1300,$Q294,$U$2:$U$1300,"&gt;"&amp;$U294)&gt;0,0,IF(AND(ISNUMBER($F294),ISNUMBER($X294)),IF(ABS($F294-$X294)&gt;_QA!$C$6,1,0),IF($F294&amp;""=$X294&amp;"",0,1))))</f>
        <v/>
      </c>
    </row>
    <row r="295" spans="24:25" ht="13.5" customHeight="1" x14ac:dyDescent="0.3">
      <c r="X295" s="193" t="str">
        <f>IF($Q295="","",IFERROR(INDEX(BD_KPIs!$F$2:$F$1300,MATCH($Q295,BD_KPIs!$Q$2:$Q$1300,0)),"n/d"))</f>
        <v/>
      </c>
      <c r="Y295" s="193" t="str">
        <f>IF($Q295="","",IF(COUNTIFS($Q$2:$Q$1300,$Q295,$U$2:$U$1300,"&gt;"&amp;$U295)&gt;0,0,IF(AND(ISNUMBER($F295),ISNUMBER($X295)),IF(ABS($F295-$X295)&gt;_QA!$C$6,1,0),IF($F295&amp;""=$X295&amp;"",0,1))))</f>
        <v/>
      </c>
    </row>
    <row r="296" spans="24:25" ht="13.5" customHeight="1" x14ac:dyDescent="0.3">
      <c r="X296" s="193" t="str">
        <f>IF($Q296="","",IFERROR(INDEX(BD_KPIs!$F$2:$F$1300,MATCH($Q296,BD_KPIs!$Q$2:$Q$1300,0)),"n/d"))</f>
        <v/>
      </c>
      <c r="Y296" s="193" t="str">
        <f>IF($Q296="","",IF(COUNTIFS($Q$2:$Q$1300,$Q296,$U$2:$U$1300,"&gt;"&amp;$U296)&gt;0,0,IF(AND(ISNUMBER($F296),ISNUMBER($X296)),IF(ABS($F296-$X296)&gt;_QA!$C$6,1,0),IF($F296&amp;""=$X296&amp;"",0,1))))</f>
        <v/>
      </c>
    </row>
    <row r="297" spans="24:25" ht="13.5" customHeight="1" x14ac:dyDescent="0.3">
      <c r="X297" s="193" t="str">
        <f>IF($Q297="","",IFERROR(INDEX(BD_KPIs!$F$2:$F$1300,MATCH($Q297,BD_KPIs!$Q$2:$Q$1300,0)),"n/d"))</f>
        <v/>
      </c>
      <c r="Y297" s="193" t="str">
        <f>IF($Q297="","",IF(COUNTIFS($Q$2:$Q$1300,$Q297,$U$2:$U$1300,"&gt;"&amp;$U297)&gt;0,0,IF(AND(ISNUMBER($F297),ISNUMBER($X297)),IF(ABS($F297-$X297)&gt;_QA!$C$6,1,0),IF($F297&amp;""=$X297&amp;"",0,1))))</f>
        <v/>
      </c>
    </row>
    <row r="298" spans="24:25" ht="13.5" customHeight="1" x14ac:dyDescent="0.3">
      <c r="X298" s="193" t="str">
        <f>IF($Q298="","",IFERROR(INDEX(BD_KPIs!$F$2:$F$1300,MATCH($Q298,BD_KPIs!$Q$2:$Q$1300,0)),"n/d"))</f>
        <v/>
      </c>
      <c r="Y298" s="193" t="str">
        <f>IF($Q298="","",IF(COUNTIFS($Q$2:$Q$1300,$Q298,$U$2:$U$1300,"&gt;"&amp;$U298)&gt;0,0,IF(AND(ISNUMBER($F298),ISNUMBER($X298)),IF(ABS($F298-$X298)&gt;_QA!$C$6,1,0),IF($F298&amp;""=$X298&amp;"",0,1))))</f>
        <v/>
      </c>
    </row>
    <row r="299" spans="24:25" ht="13.5" customHeight="1" x14ac:dyDescent="0.3">
      <c r="X299" s="193" t="str">
        <f>IF($Q299="","",IFERROR(INDEX(BD_KPIs!$F$2:$F$1300,MATCH($Q299,BD_KPIs!$Q$2:$Q$1300,0)),"n/d"))</f>
        <v/>
      </c>
      <c r="Y299" s="193" t="str">
        <f>IF($Q299="","",IF(COUNTIFS($Q$2:$Q$1300,$Q299,$U$2:$U$1300,"&gt;"&amp;$U299)&gt;0,0,IF(AND(ISNUMBER($F299),ISNUMBER($X299)),IF(ABS($F299-$X299)&gt;_QA!$C$6,1,0),IF($F299&amp;""=$X299&amp;"",0,1))))</f>
        <v/>
      </c>
    </row>
    <row r="300" spans="24:25" ht="13.5" customHeight="1" x14ac:dyDescent="0.3">
      <c r="X300" s="193" t="str">
        <f>IF($Q300="","",IFERROR(INDEX(BD_KPIs!$F$2:$F$1300,MATCH($Q300,BD_KPIs!$Q$2:$Q$1300,0)),"n/d"))</f>
        <v/>
      </c>
      <c r="Y300" s="193" t="str">
        <f>IF($Q300="","",IF(COUNTIFS($Q$2:$Q$1300,$Q300,$U$2:$U$1300,"&gt;"&amp;$U300)&gt;0,0,IF(AND(ISNUMBER($F300),ISNUMBER($X300)),IF(ABS($F300-$X300)&gt;_QA!$C$6,1,0),IF($F300&amp;""=$X300&amp;"",0,1))))</f>
        <v/>
      </c>
    </row>
    <row r="301" spans="24:25" ht="13.5" customHeight="1" x14ac:dyDescent="0.3">
      <c r="X301" s="193" t="str">
        <f>IF($Q301="","",IFERROR(INDEX(BD_KPIs!$F$2:$F$1300,MATCH($Q301,BD_KPIs!$Q$2:$Q$1300,0)),"n/d"))</f>
        <v/>
      </c>
      <c r="Y301" s="193" t="str">
        <f>IF($Q301="","",IF(COUNTIFS($Q$2:$Q$1300,$Q301,$U$2:$U$1300,"&gt;"&amp;$U301)&gt;0,0,IF(AND(ISNUMBER($F301),ISNUMBER($X301)),IF(ABS($F301-$X301)&gt;_QA!$C$6,1,0),IF($F301&amp;""=$X301&amp;"",0,1))))</f>
        <v/>
      </c>
    </row>
    <row r="302" spans="24:25" ht="13.5" customHeight="1" x14ac:dyDescent="0.3">
      <c r="X302" s="193" t="str">
        <f>IF($Q302="","",IFERROR(INDEX(BD_KPIs!$F$2:$F$1300,MATCH($Q302,BD_KPIs!$Q$2:$Q$1300,0)),"n/d"))</f>
        <v/>
      </c>
      <c r="Y302" s="193" t="str">
        <f>IF($Q302="","",IF(COUNTIFS($Q$2:$Q$1300,$Q302,$U$2:$U$1300,"&gt;"&amp;$U302)&gt;0,0,IF(AND(ISNUMBER($F302),ISNUMBER($X302)),IF(ABS($F302-$X302)&gt;_QA!$C$6,1,0),IF($F302&amp;""=$X302&amp;"",0,1))))</f>
        <v/>
      </c>
    </row>
    <row r="303" spans="24:25" ht="13.5" customHeight="1" x14ac:dyDescent="0.3">
      <c r="X303" s="193" t="str">
        <f>IF($Q303="","",IFERROR(INDEX(BD_KPIs!$F$2:$F$1300,MATCH($Q303,BD_KPIs!$Q$2:$Q$1300,0)),"n/d"))</f>
        <v/>
      </c>
      <c r="Y303" s="193" t="str">
        <f>IF($Q303="","",IF(COUNTIFS($Q$2:$Q$1300,$Q303,$U$2:$U$1300,"&gt;"&amp;$U303)&gt;0,0,IF(AND(ISNUMBER($F303),ISNUMBER($X303)),IF(ABS($F303-$X303)&gt;_QA!$C$6,1,0),IF($F303&amp;""=$X303&amp;"",0,1))))</f>
        <v/>
      </c>
    </row>
    <row r="304" spans="24:25" ht="13.5" customHeight="1" x14ac:dyDescent="0.3">
      <c r="X304" s="193" t="str">
        <f>IF($Q304="","",IFERROR(INDEX(BD_KPIs!$F$2:$F$1300,MATCH($Q304,BD_KPIs!$Q$2:$Q$1300,0)),"n/d"))</f>
        <v/>
      </c>
      <c r="Y304" s="193" t="str">
        <f>IF($Q304="","",IF(COUNTIFS($Q$2:$Q$1300,$Q304,$U$2:$U$1300,"&gt;"&amp;$U304)&gt;0,0,IF(AND(ISNUMBER($F304),ISNUMBER($X304)),IF(ABS($F304-$X304)&gt;_QA!$C$6,1,0),IF($F304&amp;""=$X304&amp;"",0,1))))</f>
        <v/>
      </c>
    </row>
    <row r="305" spans="24:25" ht="13.5" customHeight="1" x14ac:dyDescent="0.3">
      <c r="X305" s="193" t="str">
        <f>IF($Q305="","",IFERROR(INDEX(BD_KPIs!$F$2:$F$1300,MATCH($Q305,BD_KPIs!$Q$2:$Q$1300,0)),"n/d"))</f>
        <v/>
      </c>
      <c r="Y305" s="193" t="str">
        <f>IF($Q305="","",IF(COUNTIFS($Q$2:$Q$1300,$Q305,$U$2:$U$1300,"&gt;"&amp;$U305)&gt;0,0,IF(AND(ISNUMBER($F305),ISNUMBER($X305)),IF(ABS($F305-$X305)&gt;_QA!$C$6,1,0),IF($F305&amp;""=$X305&amp;"",0,1))))</f>
        <v/>
      </c>
    </row>
    <row r="306" spans="24:25" ht="13.5" customHeight="1" x14ac:dyDescent="0.3">
      <c r="X306" s="193" t="str">
        <f>IF($Q306="","",IFERROR(INDEX(BD_KPIs!$F$2:$F$1300,MATCH($Q306,BD_KPIs!$Q$2:$Q$1300,0)),"n/d"))</f>
        <v/>
      </c>
      <c r="Y306" s="193" t="str">
        <f>IF($Q306="","",IF(COUNTIFS($Q$2:$Q$1300,$Q306,$U$2:$U$1300,"&gt;"&amp;$U306)&gt;0,0,IF(AND(ISNUMBER($F306),ISNUMBER($X306)),IF(ABS($F306-$X306)&gt;_QA!$C$6,1,0),IF($F306&amp;""=$X306&amp;"",0,1))))</f>
        <v/>
      </c>
    </row>
    <row r="307" spans="24:25" ht="13.5" customHeight="1" x14ac:dyDescent="0.3">
      <c r="X307" s="193" t="str">
        <f>IF($Q307="","",IFERROR(INDEX(BD_KPIs!$F$2:$F$1300,MATCH($Q307,BD_KPIs!$Q$2:$Q$1300,0)),"n/d"))</f>
        <v/>
      </c>
      <c r="Y307" s="193" t="str">
        <f>IF($Q307="","",IF(COUNTIFS($Q$2:$Q$1300,$Q307,$U$2:$U$1300,"&gt;"&amp;$U307)&gt;0,0,IF(AND(ISNUMBER($F307),ISNUMBER($X307)),IF(ABS($F307-$X307)&gt;_QA!$C$6,1,0),IF($F307&amp;""=$X307&amp;"",0,1))))</f>
        <v/>
      </c>
    </row>
    <row r="308" spans="24:25" ht="13.5" customHeight="1" x14ac:dyDescent="0.3">
      <c r="X308" s="193" t="str">
        <f>IF($Q308="","",IFERROR(INDEX(BD_KPIs!$F$2:$F$1300,MATCH($Q308,BD_KPIs!$Q$2:$Q$1300,0)),"n/d"))</f>
        <v/>
      </c>
      <c r="Y308" s="193" t="str">
        <f>IF($Q308="","",IF(COUNTIFS($Q$2:$Q$1300,$Q308,$U$2:$U$1300,"&gt;"&amp;$U308)&gt;0,0,IF(AND(ISNUMBER($F308),ISNUMBER($X308)),IF(ABS($F308-$X308)&gt;_QA!$C$6,1,0),IF($F308&amp;""=$X308&amp;"",0,1))))</f>
        <v/>
      </c>
    </row>
    <row r="309" spans="24:25" ht="13.5" customHeight="1" x14ac:dyDescent="0.3">
      <c r="X309" s="193" t="str">
        <f>IF($Q309="","",IFERROR(INDEX(BD_KPIs!$F$2:$F$1300,MATCH($Q309,BD_KPIs!$Q$2:$Q$1300,0)),"n/d"))</f>
        <v/>
      </c>
      <c r="Y309" s="193" t="str">
        <f>IF($Q309="","",IF(COUNTIFS($Q$2:$Q$1300,$Q309,$U$2:$U$1300,"&gt;"&amp;$U309)&gt;0,0,IF(AND(ISNUMBER($F309),ISNUMBER($X309)),IF(ABS($F309-$X309)&gt;_QA!$C$6,1,0),IF($F309&amp;""=$X309&amp;"",0,1))))</f>
        <v/>
      </c>
    </row>
    <row r="310" spans="24:25" ht="13.5" customHeight="1" x14ac:dyDescent="0.3">
      <c r="X310" s="193" t="str">
        <f>IF($Q310="","",IFERROR(INDEX(BD_KPIs!$F$2:$F$1300,MATCH($Q310,BD_KPIs!$Q$2:$Q$1300,0)),"n/d"))</f>
        <v/>
      </c>
      <c r="Y310" s="193" t="str">
        <f>IF($Q310="","",IF(COUNTIFS($Q$2:$Q$1300,$Q310,$U$2:$U$1300,"&gt;"&amp;$U310)&gt;0,0,IF(AND(ISNUMBER($F310),ISNUMBER($X310)),IF(ABS($F310-$X310)&gt;_QA!$C$6,1,0),IF($F310&amp;""=$X310&amp;"",0,1))))</f>
        <v/>
      </c>
    </row>
    <row r="311" spans="24:25" ht="13.5" customHeight="1" x14ac:dyDescent="0.3">
      <c r="X311" s="193" t="str">
        <f>IF($Q311="","",IFERROR(INDEX(BD_KPIs!$F$2:$F$1300,MATCH($Q311,BD_KPIs!$Q$2:$Q$1300,0)),"n/d"))</f>
        <v/>
      </c>
      <c r="Y311" s="193" t="str">
        <f>IF($Q311="","",IF(COUNTIFS($Q$2:$Q$1300,$Q311,$U$2:$U$1300,"&gt;"&amp;$U311)&gt;0,0,IF(AND(ISNUMBER($F311),ISNUMBER($X311)),IF(ABS($F311-$X311)&gt;_QA!$C$6,1,0),IF($F311&amp;""=$X311&amp;"",0,1))))</f>
        <v/>
      </c>
    </row>
    <row r="312" spans="24:25" ht="13.5" customHeight="1" x14ac:dyDescent="0.3">
      <c r="X312" s="193" t="str">
        <f>IF($Q312="","",IFERROR(INDEX(BD_KPIs!$F$2:$F$1300,MATCH($Q312,BD_KPIs!$Q$2:$Q$1300,0)),"n/d"))</f>
        <v/>
      </c>
      <c r="Y312" s="193" t="str">
        <f>IF($Q312="","",IF(COUNTIFS($Q$2:$Q$1300,$Q312,$U$2:$U$1300,"&gt;"&amp;$U312)&gt;0,0,IF(AND(ISNUMBER($F312),ISNUMBER($X312)),IF(ABS($F312-$X312)&gt;_QA!$C$6,1,0),IF($F312&amp;""=$X312&amp;"",0,1))))</f>
        <v/>
      </c>
    </row>
    <row r="313" spans="24:25" ht="13.5" customHeight="1" x14ac:dyDescent="0.3">
      <c r="X313" s="193" t="str">
        <f>IF($Q313="","",IFERROR(INDEX(BD_KPIs!$F$2:$F$1300,MATCH($Q313,BD_KPIs!$Q$2:$Q$1300,0)),"n/d"))</f>
        <v/>
      </c>
      <c r="Y313" s="193" t="str">
        <f>IF($Q313="","",IF(COUNTIFS($Q$2:$Q$1300,$Q313,$U$2:$U$1300,"&gt;"&amp;$U313)&gt;0,0,IF(AND(ISNUMBER($F313),ISNUMBER($X313)),IF(ABS($F313-$X313)&gt;_QA!$C$6,1,0),IF($F313&amp;""=$X313&amp;"",0,1))))</f>
        <v/>
      </c>
    </row>
    <row r="314" spans="24:25" ht="13.5" customHeight="1" x14ac:dyDescent="0.3">
      <c r="X314" s="193" t="str">
        <f>IF($Q314="","",IFERROR(INDEX(BD_KPIs!$F$2:$F$1300,MATCH($Q314,BD_KPIs!$Q$2:$Q$1300,0)),"n/d"))</f>
        <v/>
      </c>
      <c r="Y314" s="193" t="str">
        <f>IF($Q314="","",IF(COUNTIFS($Q$2:$Q$1300,$Q314,$U$2:$U$1300,"&gt;"&amp;$U314)&gt;0,0,IF(AND(ISNUMBER($F314),ISNUMBER($X314)),IF(ABS($F314-$X314)&gt;_QA!$C$6,1,0),IF($F314&amp;""=$X314&amp;"",0,1))))</f>
        <v/>
      </c>
    </row>
    <row r="315" spans="24:25" ht="13.5" customHeight="1" x14ac:dyDescent="0.3">
      <c r="X315" s="193" t="str">
        <f>IF($Q315="","",IFERROR(INDEX(BD_KPIs!$F$2:$F$1300,MATCH($Q315,BD_KPIs!$Q$2:$Q$1300,0)),"n/d"))</f>
        <v/>
      </c>
      <c r="Y315" s="193" t="str">
        <f>IF($Q315="","",IF(COUNTIFS($Q$2:$Q$1300,$Q315,$U$2:$U$1300,"&gt;"&amp;$U315)&gt;0,0,IF(AND(ISNUMBER($F315),ISNUMBER($X315)),IF(ABS($F315-$X315)&gt;_QA!$C$6,1,0),IF($F315&amp;""=$X315&amp;"",0,1))))</f>
        <v/>
      </c>
    </row>
    <row r="316" spans="24:25" ht="13.5" customHeight="1" x14ac:dyDescent="0.3">
      <c r="X316" s="193" t="str">
        <f>IF($Q316="","",IFERROR(INDEX(BD_KPIs!$F$2:$F$1300,MATCH($Q316,BD_KPIs!$Q$2:$Q$1300,0)),"n/d"))</f>
        <v/>
      </c>
      <c r="Y316" s="193" t="str">
        <f>IF($Q316="","",IF(COUNTIFS($Q$2:$Q$1300,$Q316,$U$2:$U$1300,"&gt;"&amp;$U316)&gt;0,0,IF(AND(ISNUMBER($F316),ISNUMBER($X316)),IF(ABS($F316-$X316)&gt;_QA!$C$6,1,0),IF($F316&amp;""=$X316&amp;"",0,1))))</f>
        <v/>
      </c>
    </row>
    <row r="317" spans="24:25" ht="13.5" customHeight="1" x14ac:dyDescent="0.3">
      <c r="X317" s="193" t="str">
        <f>IF($Q317="","",IFERROR(INDEX(BD_KPIs!$F$2:$F$1300,MATCH($Q317,BD_KPIs!$Q$2:$Q$1300,0)),"n/d"))</f>
        <v/>
      </c>
      <c r="Y317" s="193" t="str">
        <f>IF($Q317="","",IF(COUNTIFS($Q$2:$Q$1300,$Q317,$U$2:$U$1300,"&gt;"&amp;$U317)&gt;0,0,IF(AND(ISNUMBER($F317),ISNUMBER($X317)),IF(ABS($F317-$X317)&gt;_QA!$C$6,1,0),IF($F317&amp;""=$X317&amp;"",0,1))))</f>
        <v/>
      </c>
    </row>
    <row r="318" spans="24:25" ht="13.5" customHeight="1" x14ac:dyDescent="0.3">
      <c r="X318" s="193" t="str">
        <f>IF($Q318="","",IFERROR(INDEX(BD_KPIs!$F$2:$F$1300,MATCH($Q318,BD_KPIs!$Q$2:$Q$1300,0)),"n/d"))</f>
        <v/>
      </c>
      <c r="Y318" s="193" t="str">
        <f>IF($Q318="","",IF(COUNTIFS($Q$2:$Q$1300,$Q318,$U$2:$U$1300,"&gt;"&amp;$U318)&gt;0,0,IF(AND(ISNUMBER($F318),ISNUMBER($X318)),IF(ABS($F318-$X318)&gt;_QA!$C$6,1,0),IF($F318&amp;""=$X318&amp;"",0,1))))</f>
        <v/>
      </c>
    </row>
    <row r="319" spans="24:25" ht="13.5" customHeight="1" x14ac:dyDescent="0.3">
      <c r="X319" s="193" t="str">
        <f>IF($Q319="","",IFERROR(INDEX(BD_KPIs!$F$2:$F$1300,MATCH($Q319,BD_KPIs!$Q$2:$Q$1300,0)),"n/d"))</f>
        <v/>
      </c>
      <c r="Y319" s="193" t="str">
        <f>IF($Q319="","",IF(COUNTIFS($Q$2:$Q$1300,$Q319,$U$2:$U$1300,"&gt;"&amp;$U319)&gt;0,0,IF(AND(ISNUMBER($F319),ISNUMBER($X319)),IF(ABS($F319-$X319)&gt;_QA!$C$6,1,0),IF($F319&amp;""=$X319&amp;"",0,1))))</f>
        <v/>
      </c>
    </row>
    <row r="320" spans="24:25" ht="13.5" customHeight="1" x14ac:dyDescent="0.3">
      <c r="X320" s="193" t="str">
        <f>IF($Q320="","",IFERROR(INDEX(BD_KPIs!$F$2:$F$1300,MATCH($Q320,BD_KPIs!$Q$2:$Q$1300,0)),"n/d"))</f>
        <v/>
      </c>
      <c r="Y320" s="193" t="str">
        <f>IF($Q320="","",IF(COUNTIFS($Q$2:$Q$1300,$Q320,$U$2:$U$1300,"&gt;"&amp;$U320)&gt;0,0,IF(AND(ISNUMBER($F320),ISNUMBER($X320)),IF(ABS($F320-$X320)&gt;_QA!$C$6,1,0),IF($F320&amp;""=$X320&amp;"",0,1))))</f>
        <v/>
      </c>
    </row>
    <row r="321" spans="24:25" ht="13.5" customHeight="1" x14ac:dyDescent="0.3">
      <c r="X321" s="193" t="str">
        <f>IF($Q321="","",IFERROR(INDEX(BD_KPIs!$F$2:$F$1300,MATCH($Q321,BD_KPIs!$Q$2:$Q$1300,0)),"n/d"))</f>
        <v/>
      </c>
      <c r="Y321" s="193" t="str">
        <f>IF($Q321="","",IF(COUNTIFS($Q$2:$Q$1300,$Q321,$U$2:$U$1300,"&gt;"&amp;$U321)&gt;0,0,IF(AND(ISNUMBER($F321),ISNUMBER($X321)),IF(ABS($F321-$X321)&gt;_QA!$C$6,1,0),IF($F321&amp;""=$X321&amp;"",0,1))))</f>
        <v/>
      </c>
    </row>
    <row r="322" spans="24:25" ht="13.5" customHeight="1" x14ac:dyDescent="0.3">
      <c r="X322" s="193" t="str">
        <f>IF($Q322="","",IFERROR(INDEX(BD_KPIs!$F$2:$F$1300,MATCH($Q322,BD_KPIs!$Q$2:$Q$1300,0)),"n/d"))</f>
        <v/>
      </c>
      <c r="Y322" s="193" t="str">
        <f>IF($Q322="","",IF(COUNTIFS($Q$2:$Q$1300,$Q322,$U$2:$U$1300,"&gt;"&amp;$U322)&gt;0,0,IF(AND(ISNUMBER($F322),ISNUMBER($X322)),IF(ABS($F322-$X322)&gt;_QA!$C$6,1,0),IF($F322&amp;""=$X322&amp;"",0,1))))</f>
        <v/>
      </c>
    </row>
    <row r="323" spans="24:25" ht="13.5" customHeight="1" x14ac:dyDescent="0.3">
      <c r="X323" s="193" t="str">
        <f>IF($Q323="","",IFERROR(INDEX(BD_KPIs!$F$2:$F$1300,MATCH($Q323,BD_KPIs!$Q$2:$Q$1300,0)),"n/d"))</f>
        <v/>
      </c>
      <c r="Y323" s="193" t="str">
        <f>IF($Q323="","",IF(COUNTIFS($Q$2:$Q$1300,$Q323,$U$2:$U$1300,"&gt;"&amp;$U323)&gt;0,0,IF(AND(ISNUMBER($F323),ISNUMBER($X323)),IF(ABS($F323-$X323)&gt;_QA!$C$6,1,0),IF($F323&amp;""=$X323&amp;"",0,1))))</f>
        <v/>
      </c>
    </row>
    <row r="324" spans="24:25" ht="13.5" customHeight="1" x14ac:dyDescent="0.3">
      <c r="X324" s="193" t="str">
        <f>IF($Q324="","",IFERROR(INDEX(BD_KPIs!$F$2:$F$1300,MATCH($Q324,BD_KPIs!$Q$2:$Q$1300,0)),"n/d"))</f>
        <v/>
      </c>
      <c r="Y324" s="193" t="str">
        <f>IF($Q324="","",IF(COUNTIFS($Q$2:$Q$1300,$Q324,$U$2:$U$1300,"&gt;"&amp;$U324)&gt;0,0,IF(AND(ISNUMBER($F324),ISNUMBER($X324)),IF(ABS($F324-$X324)&gt;_QA!$C$6,1,0),IF($F324&amp;""=$X324&amp;"",0,1))))</f>
        <v/>
      </c>
    </row>
    <row r="325" spans="24:25" ht="13.5" customHeight="1" x14ac:dyDescent="0.3">
      <c r="X325" s="193" t="str">
        <f>IF($Q325="","",IFERROR(INDEX(BD_KPIs!$F$2:$F$1300,MATCH($Q325,BD_KPIs!$Q$2:$Q$1300,0)),"n/d"))</f>
        <v/>
      </c>
      <c r="Y325" s="193" t="str">
        <f>IF($Q325="","",IF(COUNTIFS($Q$2:$Q$1300,$Q325,$U$2:$U$1300,"&gt;"&amp;$U325)&gt;0,0,IF(AND(ISNUMBER($F325),ISNUMBER($X325)),IF(ABS($F325-$X325)&gt;_QA!$C$6,1,0),IF($F325&amp;""=$X325&amp;"",0,1))))</f>
        <v/>
      </c>
    </row>
    <row r="326" spans="24:25" ht="13.5" customHeight="1" x14ac:dyDescent="0.3">
      <c r="X326" s="193" t="str">
        <f>IF($Q326="","",IFERROR(INDEX(BD_KPIs!$F$2:$F$1300,MATCH($Q326,BD_KPIs!$Q$2:$Q$1300,0)),"n/d"))</f>
        <v/>
      </c>
      <c r="Y326" s="193" t="str">
        <f>IF($Q326="","",IF(COUNTIFS($Q$2:$Q$1300,$Q326,$U$2:$U$1300,"&gt;"&amp;$U326)&gt;0,0,IF(AND(ISNUMBER($F326),ISNUMBER($X326)),IF(ABS($F326-$X326)&gt;_QA!$C$6,1,0),IF($F326&amp;""=$X326&amp;"",0,1))))</f>
        <v/>
      </c>
    </row>
    <row r="327" spans="24:25" ht="13.5" customHeight="1" x14ac:dyDescent="0.3">
      <c r="X327" s="193" t="str">
        <f>IF($Q327="","",IFERROR(INDEX(BD_KPIs!$F$2:$F$1300,MATCH($Q327,BD_KPIs!$Q$2:$Q$1300,0)),"n/d"))</f>
        <v/>
      </c>
      <c r="Y327" s="193" t="str">
        <f>IF($Q327="","",IF(COUNTIFS($Q$2:$Q$1300,$Q327,$U$2:$U$1300,"&gt;"&amp;$U327)&gt;0,0,IF(AND(ISNUMBER($F327),ISNUMBER($X327)),IF(ABS($F327-$X327)&gt;_QA!$C$6,1,0),IF($F327&amp;""=$X327&amp;"",0,1))))</f>
        <v/>
      </c>
    </row>
    <row r="328" spans="24:25" ht="13.5" customHeight="1" x14ac:dyDescent="0.3">
      <c r="X328" s="193" t="str">
        <f>IF($Q328="","",IFERROR(INDEX(BD_KPIs!$F$2:$F$1300,MATCH($Q328,BD_KPIs!$Q$2:$Q$1300,0)),"n/d"))</f>
        <v/>
      </c>
      <c r="Y328" s="193" t="str">
        <f>IF($Q328="","",IF(COUNTIFS($Q$2:$Q$1300,$Q328,$U$2:$U$1300,"&gt;"&amp;$U328)&gt;0,0,IF(AND(ISNUMBER($F328),ISNUMBER($X328)),IF(ABS($F328-$X328)&gt;_QA!$C$6,1,0),IF($F328&amp;""=$X328&amp;"",0,1))))</f>
        <v/>
      </c>
    </row>
    <row r="329" spans="24:25" ht="13.5" customHeight="1" x14ac:dyDescent="0.3">
      <c r="X329" s="193" t="str">
        <f>IF($Q329="","",IFERROR(INDEX(BD_KPIs!$F$2:$F$1300,MATCH($Q329,BD_KPIs!$Q$2:$Q$1300,0)),"n/d"))</f>
        <v/>
      </c>
      <c r="Y329" s="193" t="str">
        <f>IF($Q329="","",IF(COUNTIFS($Q$2:$Q$1300,$Q329,$U$2:$U$1300,"&gt;"&amp;$U329)&gt;0,0,IF(AND(ISNUMBER($F329),ISNUMBER($X329)),IF(ABS($F329-$X329)&gt;_QA!$C$6,1,0),IF($F329&amp;""=$X329&amp;"",0,1))))</f>
        <v/>
      </c>
    </row>
    <row r="330" spans="24:25" ht="13.5" customHeight="1" x14ac:dyDescent="0.3">
      <c r="X330" s="193" t="str">
        <f>IF($Q330="","",IFERROR(INDEX(BD_KPIs!$F$2:$F$1300,MATCH($Q330,BD_KPIs!$Q$2:$Q$1300,0)),"n/d"))</f>
        <v/>
      </c>
      <c r="Y330" s="193" t="str">
        <f>IF($Q330="","",IF(COUNTIFS($Q$2:$Q$1300,$Q330,$U$2:$U$1300,"&gt;"&amp;$U330)&gt;0,0,IF(AND(ISNUMBER($F330),ISNUMBER($X330)),IF(ABS($F330-$X330)&gt;_QA!$C$6,1,0),IF($F330&amp;""=$X330&amp;"",0,1))))</f>
        <v/>
      </c>
    </row>
    <row r="331" spans="24:25" ht="13.5" customHeight="1" x14ac:dyDescent="0.3">
      <c r="X331" s="193" t="str">
        <f>IF($Q331="","",IFERROR(INDEX(BD_KPIs!$F$2:$F$1300,MATCH($Q331,BD_KPIs!$Q$2:$Q$1300,0)),"n/d"))</f>
        <v/>
      </c>
      <c r="Y331" s="193" t="str">
        <f>IF($Q331="","",IF(COUNTIFS($Q$2:$Q$1300,$Q331,$U$2:$U$1300,"&gt;"&amp;$U331)&gt;0,0,IF(AND(ISNUMBER($F331),ISNUMBER($X331)),IF(ABS($F331-$X331)&gt;_QA!$C$6,1,0),IF($F331&amp;""=$X331&amp;"",0,1))))</f>
        <v/>
      </c>
    </row>
    <row r="332" spans="24:25" ht="13.5" customHeight="1" x14ac:dyDescent="0.3">
      <c r="X332" s="193" t="str">
        <f>IF($Q332="","",IFERROR(INDEX(BD_KPIs!$F$2:$F$1300,MATCH($Q332,BD_KPIs!$Q$2:$Q$1300,0)),"n/d"))</f>
        <v/>
      </c>
      <c r="Y332" s="193" t="str">
        <f>IF($Q332="","",IF(COUNTIFS($Q$2:$Q$1300,$Q332,$U$2:$U$1300,"&gt;"&amp;$U332)&gt;0,0,IF(AND(ISNUMBER($F332),ISNUMBER($X332)),IF(ABS($F332-$X332)&gt;_QA!$C$6,1,0),IF($F332&amp;""=$X332&amp;"",0,1))))</f>
        <v/>
      </c>
    </row>
    <row r="333" spans="24:25" ht="13.5" customHeight="1" x14ac:dyDescent="0.3">
      <c r="X333" s="193" t="str">
        <f>IF($Q333="","",IFERROR(INDEX(BD_KPIs!$F$2:$F$1300,MATCH($Q333,BD_KPIs!$Q$2:$Q$1300,0)),"n/d"))</f>
        <v/>
      </c>
      <c r="Y333" s="193" t="str">
        <f>IF($Q333="","",IF(COUNTIFS($Q$2:$Q$1300,$Q333,$U$2:$U$1300,"&gt;"&amp;$U333)&gt;0,0,IF(AND(ISNUMBER($F333),ISNUMBER($X333)),IF(ABS($F333-$X333)&gt;_QA!$C$6,1,0),IF($F333&amp;""=$X333&amp;"",0,1))))</f>
        <v/>
      </c>
    </row>
    <row r="334" spans="24:25" ht="13.5" customHeight="1" x14ac:dyDescent="0.3">
      <c r="X334" s="193" t="str">
        <f>IF($Q334="","",IFERROR(INDEX(BD_KPIs!$F$2:$F$1300,MATCH($Q334,BD_KPIs!$Q$2:$Q$1300,0)),"n/d"))</f>
        <v/>
      </c>
      <c r="Y334" s="193" t="str">
        <f>IF($Q334="","",IF(COUNTIFS($Q$2:$Q$1300,$Q334,$U$2:$U$1300,"&gt;"&amp;$U334)&gt;0,0,IF(AND(ISNUMBER($F334),ISNUMBER($X334)),IF(ABS($F334-$X334)&gt;_QA!$C$6,1,0),IF($F334&amp;""=$X334&amp;"",0,1))))</f>
        <v/>
      </c>
    </row>
    <row r="335" spans="24:25" ht="13.5" customHeight="1" x14ac:dyDescent="0.3">
      <c r="X335" s="193" t="str">
        <f>IF($Q335="","",IFERROR(INDEX(BD_KPIs!$F$2:$F$1300,MATCH($Q335,BD_KPIs!$Q$2:$Q$1300,0)),"n/d"))</f>
        <v/>
      </c>
      <c r="Y335" s="193" t="str">
        <f>IF($Q335="","",IF(COUNTIFS($Q$2:$Q$1300,$Q335,$U$2:$U$1300,"&gt;"&amp;$U335)&gt;0,0,IF(AND(ISNUMBER($F335),ISNUMBER($X335)),IF(ABS($F335-$X335)&gt;_QA!$C$6,1,0),IF($F335&amp;""=$X335&amp;"",0,1))))</f>
        <v/>
      </c>
    </row>
    <row r="336" spans="24:25" ht="13.5" customHeight="1" x14ac:dyDescent="0.3">
      <c r="X336" s="193" t="str">
        <f>IF($Q336="","",IFERROR(INDEX(BD_KPIs!$F$2:$F$1300,MATCH($Q336,BD_KPIs!$Q$2:$Q$1300,0)),"n/d"))</f>
        <v/>
      </c>
      <c r="Y336" s="193" t="str">
        <f>IF($Q336="","",IF(COUNTIFS($Q$2:$Q$1300,$Q336,$U$2:$U$1300,"&gt;"&amp;$U336)&gt;0,0,IF(AND(ISNUMBER($F336),ISNUMBER($X336)),IF(ABS($F336-$X336)&gt;_QA!$C$6,1,0),IF($F336&amp;""=$X336&amp;"",0,1))))</f>
        <v/>
      </c>
    </row>
    <row r="337" spans="24:25" ht="13.5" customHeight="1" x14ac:dyDescent="0.3">
      <c r="X337" s="193" t="str">
        <f>IF($Q337="","",IFERROR(INDEX(BD_KPIs!$F$2:$F$1300,MATCH($Q337,BD_KPIs!$Q$2:$Q$1300,0)),"n/d"))</f>
        <v/>
      </c>
      <c r="Y337" s="193" t="str">
        <f>IF($Q337="","",IF(COUNTIFS($Q$2:$Q$1300,$Q337,$U$2:$U$1300,"&gt;"&amp;$U337)&gt;0,0,IF(AND(ISNUMBER($F337),ISNUMBER($X337)),IF(ABS($F337-$X337)&gt;_QA!$C$6,1,0),IF($F337&amp;""=$X337&amp;"",0,1))))</f>
        <v/>
      </c>
    </row>
    <row r="338" spans="24:25" ht="13.5" customHeight="1" x14ac:dyDescent="0.3">
      <c r="X338" s="193" t="str">
        <f>IF($Q338="","",IFERROR(INDEX(BD_KPIs!$F$2:$F$1300,MATCH($Q338,BD_KPIs!$Q$2:$Q$1300,0)),"n/d"))</f>
        <v/>
      </c>
      <c r="Y338" s="193" t="str">
        <f>IF($Q338="","",IF(COUNTIFS($Q$2:$Q$1300,$Q338,$U$2:$U$1300,"&gt;"&amp;$U338)&gt;0,0,IF(AND(ISNUMBER($F338),ISNUMBER($X338)),IF(ABS($F338-$X338)&gt;_QA!$C$6,1,0),IF($F338&amp;""=$X338&amp;"",0,1))))</f>
        <v/>
      </c>
    </row>
    <row r="339" spans="24:25" ht="13.5" customHeight="1" x14ac:dyDescent="0.3">
      <c r="X339" s="193" t="str">
        <f>IF($Q339="","",IFERROR(INDEX(BD_KPIs!$F$2:$F$1300,MATCH($Q339,BD_KPIs!$Q$2:$Q$1300,0)),"n/d"))</f>
        <v/>
      </c>
      <c r="Y339" s="193" t="str">
        <f>IF($Q339="","",IF(COUNTIFS($Q$2:$Q$1300,$Q339,$U$2:$U$1300,"&gt;"&amp;$U339)&gt;0,0,IF(AND(ISNUMBER($F339),ISNUMBER($X339)),IF(ABS($F339-$X339)&gt;_QA!$C$6,1,0),IF($F339&amp;""=$X339&amp;"",0,1))))</f>
        <v/>
      </c>
    </row>
    <row r="340" spans="24:25" ht="13.5" customHeight="1" x14ac:dyDescent="0.3">
      <c r="X340" s="193" t="str">
        <f>IF($Q340="","",IFERROR(INDEX(BD_KPIs!$F$2:$F$1300,MATCH($Q340,BD_KPIs!$Q$2:$Q$1300,0)),"n/d"))</f>
        <v/>
      </c>
      <c r="Y340" s="193" t="str">
        <f>IF($Q340="","",IF(COUNTIFS($Q$2:$Q$1300,$Q340,$U$2:$U$1300,"&gt;"&amp;$U340)&gt;0,0,IF(AND(ISNUMBER($F340),ISNUMBER($X340)),IF(ABS($F340-$X340)&gt;_QA!$C$6,1,0),IF($F340&amp;""=$X340&amp;"",0,1))))</f>
        <v/>
      </c>
    </row>
    <row r="341" spans="24:25" ht="13.5" customHeight="1" x14ac:dyDescent="0.3">
      <c r="X341" s="193" t="str">
        <f>IF($Q341="","",IFERROR(INDEX(BD_KPIs!$F$2:$F$1300,MATCH($Q341,BD_KPIs!$Q$2:$Q$1300,0)),"n/d"))</f>
        <v/>
      </c>
      <c r="Y341" s="193" t="str">
        <f>IF($Q341="","",IF(COUNTIFS($Q$2:$Q$1300,$Q341,$U$2:$U$1300,"&gt;"&amp;$U341)&gt;0,0,IF(AND(ISNUMBER($F341),ISNUMBER($X341)),IF(ABS($F341-$X341)&gt;_QA!$C$6,1,0),IF($F341&amp;""=$X341&amp;"",0,1))))</f>
        <v/>
      </c>
    </row>
    <row r="342" spans="24:25" ht="13.5" customHeight="1" x14ac:dyDescent="0.3">
      <c r="X342" s="193" t="str">
        <f>IF($Q342="","",IFERROR(INDEX(BD_KPIs!$F$2:$F$1300,MATCH($Q342,BD_KPIs!$Q$2:$Q$1300,0)),"n/d"))</f>
        <v/>
      </c>
      <c r="Y342" s="193" t="str">
        <f>IF($Q342="","",IF(COUNTIFS($Q$2:$Q$1300,$Q342,$U$2:$U$1300,"&gt;"&amp;$U342)&gt;0,0,IF(AND(ISNUMBER($F342),ISNUMBER($X342)),IF(ABS($F342-$X342)&gt;_QA!$C$6,1,0),IF($F342&amp;""=$X342&amp;"",0,1))))</f>
        <v/>
      </c>
    </row>
    <row r="343" spans="24:25" ht="13.5" customHeight="1" x14ac:dyDescent="0.3">
      <c r="X343" s="193" t="str">
        <f>IF($Q343="","",IFERROR(INDEX(BD_KPIs!$F$2:$F$1300,MATCH($Q343,BD_KPIs!$Q$2:$Q$1300,0)),"n/d"))</f>
        <v/>
      </c>
      <c r="Y343" s="193" t="str">
        <f>IF($Q343="","",IF(COUNTIFS($Q$2:$Q$1300,$Q343,$U$2:$U$1300,"&gt;"&amp;$U343)&gt;0,0,IF(AND(ISNUMBER($F343),ISNUMBER($X343)),IF(ABS($F343-$X343)&gt;_QA!$C$6,1,0),IF($F343&amp;""=$X343&amp;"",0,1))))</f>
        <v/>
      </c>
    </row>
    <row r="344" spans="24:25" ht="13.5" customHeight="1" x14ac:dyDescent="0.3">
      <c r="X344" s="193" t="str">
        <f>IF($Q344="","",IFERROR(INDEX(BD_KPIs!$F$2:$F$1300,MATCH($Q344,BD_KPIs!$Q$2:$Q$1300,0)),"n/d"))</f>
        <v/>
      </c>
      <c r="Y344" s="193" t="str">
        <f>IF($Q344="","",IF(COUNTIFS($Q$2:$Q$1300,$Q344,$U$2:$U$1300,"&gt;"&amp;$U344)&gt;0,0,IF(AND(ISNUMBER($F344),ISNUMBER($X344)),IF(ABS($F344-$X344)&gt;_QA!$C$6,1,0),IF($F344&amp;""=$X344&amp;"",0,1))))</f>
        <v/>
      </c>
    </row>
    <row r="345" spans="24:25" ht="13.5" customHeight="1" x14ac:dyDescent="0.3">
      <c r="X345" s="193" t="str">
        <f>IF($Q345="","",IFERROR(INDEX(BD_KPIs!$F$2:$F$1300,MATCH($Q345,BD_KPIs!$Q$2:$Q$1300,0)),"n/d"))</f>
        <v/>
      </c>
      <c r="Y345" s="193" t="str">
        <f>IF($Q345="","",IF(COUNTIFS($Q$2:$Q$1300,$Q345,$U$2:$U$1300,"&gt;"&amp;$U345)&gt;0,0,IF(AND(ISNUMBER($F345),ISNUMBER($X345)),IF(ABS($F345-$X345)&gt;_QA!$C$6,1,0),IF($F345&amp;""=$X345&amp;"",0,1))))</f>
        <v/>
      </c>
    </row>
    <row r="346" spans="24:25" ht="13.5" customHeight="1" x14ac:dyDescent="0.3">
      <c r="X346" s="193" t="str">
        <f>IF($Q346="","",IFERROR(INDEX(BD_KPIs!$F$2:$F$1300,MATCH($Q346,BD_KPIs!$Q$2:$Q$1300,0)),"n/d"))</f>
        <v/>
      </c>
      <c r="Y346" s="193" t="str">
        <f>IF($Q346="","",IF(COUNTIFS($Q$2:$Q$1300,$Q346,$U$2:$U$1300,"&gt;"&amp;$U346)&gt;0,0,IF(AND(ISNUMBER($F346),ISNUMBER($X346)),IF(ABS($F346-$X346)&gt;_QA!$C$6,1,0),IF($F346&amp;""=$X346&amp;"",0,1))))</f>
        <v/>
      </c>
    </row>
    <row r="347" spans="24:25" ht="13.5" customHeight="1" x14ac:dyDescent="0.3">
      <c r="X347" s="193" t="str">
        <f>IF($Q347="","",IFERROR(INDEX(BD_KPIs!$F$2:$F$1300,MATCH($Q347,BD_KPIs!$Q$2:$Q$1300,0)),"n/d"))</f>
        <v/>
      </c>
      <c r="Y347" s="193" t="str">
        <f>IF($Q347="","",IF(COUNTIFS($Q$2:$Q$1300,$Q347,$U$2:$U$1300,"&gt;"&amp;$U347)&gt;0,0,IF(AND(ISNUMBER($F347),ISNUMBER($X347)),IF(ABS($F347-$X347)&gt;_QA!$C$6,1,0),IF($F347&amp;""=$X347&amp;"",0,1))))</f>
        <v/>
      </c>
    </row>
    <row r="348" spans="24:25" ht="13.5" customHeight="1" x14ac:dyDescent="0.3">
      <c r="X348" s="193" t="str">
        <f>IF($Q348="","",IFERROR(INDEX(BD_KPIs!$F$2:$F$1300,MATCH($Q348,BD_KPIs!$Q$2:$Q$1300,0)),"n/d"))</f>
        <v/>
      </c>
      <c r="Y348" s="193" t="str">
        <f>IF($Q348="","",IF(COUNTIFS($Q$2:$Q$1300,$Q348,$U$2:$U$1300,"&gt;"&amp;$U348)&gt;0,0,IF(AND(ISNUMBER($F348),ISNUMBER($X348)),IF(ABS($F348-$X348)&gt;_QA!$C$6,1,0),IF($F348&amp;""=$X348&amp;"",0,1))))</f>
        <v/>
      </c>
    </row>
    <row r="349" spans="24:25" ht="13.5" customHeight="1" x14ac:dyDescent="0.3">
      <c r="X349" s="193" t="str">
        <f>IF($Q349="","",IFERROR(INDEX(BD_KPIs!$F$2:$F$1300,MATCH($Q349,BD_KPIs!$Q$2:$Q$1300,0)),"n/d"))</f>
        <v/>
      </c>
      <c r="Y349" s="193" t="str">
        <f>IF($Q349="","",IF(COUNTIFS($Q$2:$Q$1300,$Q349,$U$2:$U$1300,"&gt;"&amp;$U349)&gt;0,0,IF(AND(ISNUMBER($F349),ISNUMBER($X349)),IF(ABS($F349-$X349)&gt;_QA!$C$6,1,0),IF($F349&amp;""=$X349&amp;"",0,1))))</f>
        <v/>
      </c>
    </row>
    <row r="350" spans="24:25" ht="13.5" customHeight="1" x14ac:dyDescent="0.3">
      <c r="X350" s="193" t="str">
        <f>IF($Q350="","",IFERROR(INDEX(BD_KPIs!$F$2:$F$1300,MATCH($Q350,BD_KPIs!$Q$2:$Q$1300,0)),"n/d"))</f>
        <v/>
      </c>
      <c r="Y350" s="193" t="str">
        <f>IF($Q350="","",IF(COUNTIFS($Q$2:$Q$1300,$Q350,$U$2:$U$1300,"&gt;"&amp;$U350)&gt;0,0,IF(AND(ISNUMBER($F350),ISNUMBER($X350)),IF(ABS($F350-$X350)&gt;_QA!$C$6,1,0),IF($F350&amp;""=$X350&amp;"",0,1))))</f>
        <v/>
      </c>
    </row>
    <row r="351" spans="24:25" ht="13.5" customHeight="1" x14ac:dyDescent="0.3">
      <c r="X351" s="193" t="str">
        <f>IF($Q351="","",IFERROR(INDEX(BD_KPIs!$F$2:$F$1300,MATCH($Q351,BD_KPIs!$Q$2:$Q$1300,0)),"n/d"))</f>
        <v/>
      </c>
      <c r="Y351" s="193" t="str">
        <f>IF($Q351="","",IF(COUNTIFS($Q$2:$Q$1300,$Q351,$U$2:$U$1300,"&gt;"&amp;$U351)&gt;0,0,IF(AND(ISNUMBER($F351),ISNUMBER($X351)),IF(ABS($F351-$X351)&gt;_QA!$C$6,1,0),IF($F351&amp;""=$X351&amp;"",0,1))))</f>
        <v/>
      </c>
    </row>
    <row r="352" spans="24:25" ht="13.5" customHeight="1" x14ac:dyDescent="0.3">
      <c r="X352" s="193" t="str">
        <f>IF($Q352="","",IFERROR(INDEX(BD_KPIs!$F$2:$F$1300,MATCH($Q352,BD_KPIs!$Q$2:$Q$1300,0)),"n/d"))</f>
        <v/>
      </c>
      <c r="Y352" s="193" t="str">
        <f>IF($Q352="","",IF(COUNTIFS($Q$2:$Q$1300,$Q352,$U$2:$U$1300,"&gt;"&amp;$U352)&gt;0,0,IF(AND(ISNUMBER($F352),ISNUMBER($X352)),IF(ABS($F352-$X352)&gt;_QA!$C$6,1,0),IF($F352&amp;""=$X352&amp;"",0,1))))</f>
        <v/>
      </c>
    </row>
    <row r="353" spans="24:25" ht="13.5" customHeight="1" x14ac:dyDescent="0.3">
      <c r="X353" s="193" t="str">
        <f>IF($Q353="","",IFERROR(INDEX(BD_KPIs!$F$2:$F$1300,MATCH($Q353,BD_KPIs!$Q$2:$Q$1300,0)),"n/d"))</f>
        <v/>
      </c>
      <c r="Y353" s="193" t="str">
        <f>IF($Q353="","",IF(COUNTIFS($Q$2:$Q$1300,$Q353,$U$2:$U$1300,"&gt;"&amp;$U353)&gt;0,0,IF(AND(ISNUMBER($F353),ISNUMBER($X353)),IF(ABS($F353-$X353)&gt;_QA!$C$6,1,0),IF($F353&amp;""=$X353&amp;"",0,1))))</f>
        <v/>
      </c>
    </row>
    <row r="354" spans="24:25" ht="13.5" customHeight="1" x14ac:dyDescent="0.3">
      <c r="X354" s="193" t="str">
        <f>IF($Q354="","",IFERROR(INDEX(BD_KPIs!$F$2:$F$1300,MATCH($Q354,BD_KPIs!$Q$2:$Q$1300,0)),"n/d"))</f>
        <v/>
      </c>
      <c r="Y354" s="193" t="str">
        <f>IF($Q354="","",IF(COUNTIFS($Q$2:$Q$1300,$Q354,$U$2:$U$1300,"&gt;"&amp;$U354)&gt;0,0,IF(AND(ISNUMBER($F354),ISNUMBER($X354)),IF(ABS($F354-$X354)&gt;_QA!$C$6,1,0),IF($F354&amp;""=$X354&amp;"",0,1))))</f>
        <v/>
      </c>
    </row>
    <row r="355" spans="24:25" ht="13.5" customHeight="1" x14ac:dyDescent="0.3">
      <c r="X355" s="193" t="str">
        <f>IF($Q355="","",IFERROR(INDEX(BD_KPIs!$F$2:$F$1300,MATCH($Q355,BD_KPIs!$Q$2:$Q$1300,0)),"n/d"))</f>
        <v/>
      </c>
      <c r="Y355" s="193" t="str">
        <f>IF($Q355="","",IF(COUNTIFS($Q$2:$Q$1300,$Q355,$U$2:$U$1300,"&gt;"&amp;$U355)&gt;0,0,IF(AND(ISNUMBER($F355),ISNUMBER($X355)),IF(ABS($F355-$X355)&gt;_QA!$C$6,1,0),IF($F355&amp;""=$X355&amp;"",0,1))))</f>
        <v/>
      </c>
    </row>
    <row r="356" spans="24:25" ht="13.5" customHeight="1" x14ac:dyDescent="0.3">
      <c r="X356" s="193" t="str">
        <f>IF($Q356="","",IFERROR(INDEX(BD_KPIs!$F$2:$F$1300,MATCH($Q356,BD_KPIs!$Q$2:$Q$1300,0)),"n/d"))</f>
        <v/>
      </c>
      <c r="Y356" s="193" t="str">
        <f>IF($Q356="","",IF(COUNTIFS($Q$2:$Q$1300,$Q356,$U$2:$U$1300,"&gt;"&amp;$U356)&gt;0,0,IF(AND(ISNUMBER($F356),ISNUMBER($X356)),IF(ABS($F356-$X356)&gt;_QA!$C$6,1,0),IF($F356&amp;""=$X356&amp;"",0,1))))</f>
        <v/>
      </c>
    </row>
    <row r="357" spans="24:25" ht="13.5" customHeight="1" x14ac:dyDescent="0.3">
      <c r="X357" s="193" t="str">
        <f>IF($Q357="","",IFERROR(INDEX(BD_KPIs!$F$2:$F$1300,MATCH($Q357,BD_KPIs!$Q$2:$Q$1300,0)),"n/d"))</f>
        <v/>
      </c>
      <c r="Y357" s="193" t="str">
        <f>IF($Q357="","",IF(COUNTIFS($Q$2:$Q$1300,$Q357,$U$2:$U$1300,"&gt;"&amp;$U357)&gt;0,0,IF(AND(ISNUMBER($F357),ISNUMBER($X357)),IF(ABS($F357-$X357)&gt;_QA!$C$6,1,0),IF($F357&amp;""=$X357&amp;"",0,1))))</f>
        <v/>
      </c>
    </row>
    <row r="358" spans="24:25" ht="13.5" customHeight="1" x14ac:dyDescent="0.3">
      <c r="X358" s="193" t="str">
        <f>IF($Q358="","",IFERROR(INDEX(BD_KPIs!$F$2:$F$1300,MATCH($Q358,BD_KPIs!$Q$2:$Q$1300,0)),"n/d"))</f>
        <v/>
      </c>
      <c r="Y358" s="193" t="str">
        <f>IF($Q358="","",IF(COUNTIFS($Q$2:$Q$1300,$Q358,$U$2:$U$1300,"&gt;"&amp;$U358)&gt;0,0,IF(AND(ISNUMBER($F358),ISNUMBER($X358)),IF(ABS($F358-$X358)&gt;_QA!$C$6,1,0),IF($F358&amp;""=$X358&amp;"",0,1))))</f>
        <v/>
      </c>
    </row>
    <row r="359" spans="24:25" ht="13.5" customHeight="1" x14ac:dyDescent="0.3">
      <c r="X359" s="193" t="str">
        <f>IF($Q359="","",IFERROR(INDEX(BD_KPIs!$F$2:$F$1300,MATCH($Q359,BD_KPIs!$Q$2:$Q$1300,0)),"n/d"))</f>
        <v/>
      </c>
      <c r="Y359" s="193" t="str">
        <f>IF($Q359="","",IF(COUNTIFS($Q$2:$Q$1300,$Q359,$U$2:$U$1300,"&gt;"&amp;$U359)&gt;0,0,IF(AND(ISNUMBER($F359),ISNUMBER($X359)),IF(ABS($F359-$X359)&gt;_QA!$C$6,1,0),IF($F359&amp;""=$X359&amp;"",0,1))))</f>
        <v/>
      </c>
    </row>
    <row r="360" spans="24:25" ht="13.5" customHeight="1" x14ac:dyDescent="0.3">
      <c r="X360" s="193" t="str">
        <f>IF($Q360="","",IFERROR(INDEX(BD_KPIs!$F$2:$F$1300,MATCH($Q360,BD_KPIs!$Q$2:$Q$1300,0)),"n/d"))</f>
        <v/>
      </c>
      <c r="Y360" s="193" t="str">
        <f>IF($Q360="","",IF(COUNTIFS($Q$2:$Q$1300,$Q360,$U$2:$U$1300,"&gt;"&amp;$U360)&gt;0,0,IF(AND(ISNUMBER($F360),ISNUMBER($X360)),IF(ABS($F360-$X360)&gt;_QA!$C$6,1,0),IF($F360&amp;""=$X360&amp;"",0,1))))</f>
        <v/>
      </c>
    </row>
    <row r="361" spans="24:25" ht="13.5" customHeight="1" x14ac:dyDescent="0.3">
      <c r="X361" s="193" t="str">
        <f>IF($Q361="","",IFERROR(INDEX(BD_KPIs!$F$2:$F$1300,MATCH($Q361,BD_KPIs!$Q$2:$Q$1300,0)),"n/d"))</f>
        <v/>
      </c>
      <c r="Y361" s="193" t="str">
        <f>IF($Q361="","",IF(COUNTIFS($Q$2:$Q$1300,$Q361,$U$2:$U$1300,"&gt;"&amp;$U361)&gt;0,0,IF(AND(ISNUMBER($F361),ISNUMBER($X361)),IF(ABS($F361-$X361)&gt;_QA!$C$6,1,0),IF($F361&amp;""=$X361&amp;"",0,1))))</f>
        <v/>
      </c>
    </row>
    <row r="362" spans="24:25" ht="13.5" customHeight="1" x14ac:dyDescent="0.3">
      <c r="X362" s="193" t="str">
        <f>IF($Q362="","",IFERROR(INDEX(BD_KPIs!$F$2:$F$1300,MATCH($Q362,BD_KPIs!$Q$2:$Q$1300,0)),"n/d"))</f>
        <v/>
      </c>
      <c r="Y362" s="193" t="str">
        <f>IF($Q362="","",IF(COUNTIFS($Q$2:$Q$1300,$Q362,$U$2:$U$1300,"&gt;"&amp;$U362)&gt;0,0,IF(AND(ISNUMBER($F362),ISNUMBER($X362)),IF(ABS($F362-$X362)&gt;_QA!$C$6,1,0),IF($F362&amp;""=$X362&amp;"",0,1))))</f>
        <v/>
      </c>
    </row>
    <row r="363" spans="24:25" ht="13.5" customHeight="1" x14ac:dyDescent="0.3">
      <c r="X363" s="193" t="str">
        <f>IF($Q363="","",IFERROR(INDEX(BD_KPIs!$F$2:$F$1300,MATCH($Q363,BD_KPIs!$Q$2:$Q$1300,0)),"n/d"))</f>
        <v/>
      </c>
      <c r="Y363" s="193" t="str">
        <f>IF($Q363="","",IF(COUNTIFS($Q$2:$Q$1300,$Q363,$U$2:$U$1300,"&gt;"&amp;$U363)&gt;0,0,IF(AND(ISNUMBER($F363),ISNUMBER($X363)),IF(ABS($F363-$X363)&gt;_QA!$C$6,1,0),IF($F363&amp;""=$X363&amp;"",0,1))))</f>
        <v/>
      </c>
    </row>
    <row r="364" spans="24:25" ht="13.5" customHeight="1" x14ac:dyDescent="0.3">
      <c r="X364" s="193" t="str">
        <f>IF($Q364="","",IFERROR(INDEX(BD_KPIs!$F$2:$F$1300,MATCH($Q364,BD_KPIs!$Q$2:$Q$1300,0)),"n/d"))</f>
        <v/>
      </c>
      <c r="Y364" s="193" t="str">
        <f>IF($Q364="","",IF(COUNTIFS($Q$2:$Q$1300,$Q364,$U$2:$U$1300,"&gt;"&amp;$U364)&gt;0,0,IF(AND(ISNUMBER($F364),ISNUMBER($X364)),IF(ABS($F364-$X364)&gt;_QA!$C$6,1,0),IF($F364&amp;""=$X364&amp;"",0,1))))</f>
        <v/>
      </c>
    </row>
    <row r="365" spans="24:25" ht="13.5" customHeight="1" x14ac:dyDescent="0.3">
      <c r="X365" s="193" t="str">
        <f>IF($Q365="","",IFERROR(INDEX(BD_KPIs!$F$2:$F$1300,MATCH($Q365,BD_KPIs!$Q$2:$Q$1300,0)),"n/d"))</f>
        <v/>
      </c>
      <c r="Y365" s="193" t="str">
        <f>IF($Q365="","",IF(COUNTIFS($Q$2:$Q$1300,$Q365,$U$2:$U$1300,"&gt;"&amp;$U365)&gt;0,0,IF(AND(ISNUMBER($F365),ISNUMBER($X365)),IF(ABS($F365-$X365)&gt;_QA!$C$6,1,0),IF($F365&amp;""=$X365&amp;"",0,1))))</f>
        <v/>
      </c>
    </row>
    <row r="366" spans="24:25" ht="13.5" customHeight="1" x14ac:dyDescent="0.3">
      <c r="X366" s="193" t="str">
        <f>IF($Q366="","",IFERROR(INDEX(BD_KPIs!$F$2:$F$1300,MATCH($Q366,BD_KPIs!$Q$2:$Q$1300,0)),"n/d"))</f>
        <v/>
      </c>
      <c r="Y366" s="193" t="str">
        <f>IF($Q366="","",IF(COUNTIFS($Q$2:$Q$1300,$Q366,$U$2:$U$1300,"&gt;"&amp;$U366)&gt;0,0,IF(AND(ISNUMBER($F366),ISNUMBER($X366)),IF(ABS($F366-$X366)&gt;_QA!$C$6,1,0),IF($F366&amp;""=$X366&amp;"",0,1))))</f>
        <v/>
      </c>
    </row>
    <row r="367" spans="24:25" ht="13.5" customHeight="1" x14ac:dyDescent="0.3">
      <c r="X367" s="193" t="str">
        <f>IF($Q367="","",IFERROR(INDEX(BD_KPIs!$F$2:$F$1300,MATCH($Q367,BD_KPIs!$Q$2:$Q$1300,0)),"n/d"))</f>
        <v/>
      </c>
      <c r="Y367" s="193" t="str">
        <f>IF($Q367="","",IF(COUNTIFS($Q$2:$Q$1300,$Q367,$U$2:$U$1300,"&gt;"&amp;$U367)&gt;0,0,IF(AND(ISNUMBER($F367),ISNUMBER($X367)),IF(ABS($F367-$X367)&gt;_QA!$C$6,1,0),IF($F367&amp;""=$X367&amp;"",0,1))))</f>
        <v/>
      </c>
    </row>
    <row r="368" spans="24:25" ht="13.5" customHeight="1" x14ac:dyDescent="0.3">
      <c r="X368" s="193" t="str">
        <f>IF($Q368="","",IFERROR(INDEX(BD_KPIs!$F$2:$F$1300,MATCH($Q368,BD_KPIs!$Q$2:$Q$1300,0)),"n/d"))</f>
        <v/>
      </c>
      <c r="Y368" s="193" t="str">
        <f>IF($Q368="","",IF(COUNTIFS($Q$2:$Q$1300,$Q368,$U$2:$U$1300,"&gt;"&amp;$U368)&gt;0,0,IF(AND(ISNUMBER($F368),ISNUMBER($X368)),IF(ABS($F368-$X368)&gt;_QA!$C$6,1,0),IF($F368&amp;""=$X368&amp;"",0,1))))</f>
        <v/>
      </c>
    </row>
    <row r="369" spans="24:25" ht="13.5" customHeight="1" x14ac:dyDescent="0.3">
      <c r="X369" s="193" t="str">
        <f>IF($Q369="","",IFERROR(INDEX(BD_KPIs!$F$2:$F$1300,MATCH($Q369,BD_KPIs!$Q$2:$Q$1300,0)),"n/d"))</f>
        <v/>
      </c>
      <c r="Y369" s="193" t="str">
        <f>IF($Q369="","",IF(COUNTIFS($Q$2:$Q$1300,$Q369,$U$2:$U$1300,"&gt;"&amp;$U369)&gt;0,0,IF(AND(ISNUMBER($F369),ISNUMBER($X369)),IF(ABS($F369-$X369)&gt;_QA!$C$6,1,0),IF($F369&amp;""=$X369&amp;"",0,1))))</f>
        <v/>
      </c>
    </row>
    <row r="370" spans="24:25" ht="13.5" customHeight="1" x14ac:dyDescent="0.3">
      <c r="X370" s="193" t="str">
        <f>IF($Q370="","",IFERROR(INDEX(BD_KPIs!$F$2:$F$1300,MATCH($Q370,BD_KPIs!$Q$2:$Q$1300,0)),"n/d"))</f>
        <v/>
      </c>
      <c r="Y370" s="193" t="str">
        <f>IF($Q370="","",IF(COUNTIFS($Q$2:$Q$1300,$Q370,$U$2:$U$1300,"&gt;"&amp;$U370)&gt;0,0,IF(AND(ISNUMBER($F370),ISNUMBER($X370)),IF(ABS($F370-$X370)&gt;_QA!$C$6,1,0),IF($F370&amp;""=$X370&amp;"",0,1))))</f>
        <v/>
      </c>
    </row>
    <row r="371" spans="24:25" ht="13.5" customHeight="1" x14ac:dyDescent="0.3">
      <c r="X371" s="193" t="str">
        <f>IF($Q371="","",IFERROR(INDEX(BD_KPIs!$F$2:$F$1300,MATCH($Q371,BD_KPIs!$Q$2:$Q$1300,0)),"n/d"))</f>
        <v/>
      </c>
      <c r="Y371" s="193" t="str">
        <f>IF($Q371="","",IF(COUNTIFS($Q$2:$Q$1300,$Q371,$U$2:$U$1300,"&gt;"&amp;$U371)&gt;0,0,IF(AND(ISNUMBER($F371),ISNUMBER($X371)),IF(ABS($F371-$X371)&gt;_QA!$C$6,1,0),IF($F371&amp;""=$X371&amp;"",0,1))))</f>
        <v/>
      </c>
    </row>
    <row r="372" spans="24:25" ht="13.5" customHeight="1" x14ac:dyDescent="0.3">
      <c r="X372" s="193" t="str">
        <f>IF($Q372="","",IFERROR(INDEX(BD_KPIs!$F$2:$F$1300,MATCH($Q372,BD_KPIs!$Q$2:$Q$1300,0)),"n/d"))</f>
        <v/>
      </c>
      <c r="Y372" s="193" t="str">
        <f>IF($Q372="","",IF(COUNTIFS($Q$2:$Q$1300,$Q372,$U$2:$U$1300,"&gt;"&amp;$U372)&gt;0,0,IF(AND(ISNUMBER($F372),ISNUMBER($X372)),IF(ABS($F372-$X372)&gt;_QA!$C$6,1,0),IF($F372&amp;""=$X372&amp;"",0,1))))</f>
        <v/>
      </c>
    </row>
    <row r="373" spans="24:25" ht="13.5" customHeight="1" x14ac:dyDescent="0.3">
      <c r="X373" s="193" t="str">
        <f>IF($Q373="","",IFERROR(INDEX(BD_KPIs!$F$2:$F$1300,MATCH($Q373,BD_KPIs!$Q$2:$Q$1300,0)),"n/d"))</f>
        <v/>
      </c>
      <c r="Y373" s="193" t="str">
        <f>IF($Q373="","",IF(COUNTIFS($Q$2:$Q$1300,$Q373,$U$2:$U$1300,"&gt;"&amp;$U373)&gt;0,0,IF(AND(ISNUMBER($F373),ISNUMBER($X373)),IF(ABS($F373-$X373)&gt;_QA!$C$6,1,0),IF($F373&amp;""=$X373&amp;"",0,1))))</f>
        <v/>
      </c>
    </row>
    <row r="374" spans="24:25" ht="13.5" customHeight="1" x14ac:dyDescent="0.3">
      <c r="X374" s="193" t="str">
        <f>IF($Q374="","",IFERROR(INDEX(BD_KPIs!$F$2:$F$1300,MATCH($Q374,BD_KPIs!$Q$2:$Q$1300,0)),"n/d"))</f>
        <v/>
      </c>
      <c r="Y374" s="193" t="str">
        <f>IF($Q374="","",IF(COUNTIFS($Q$2:$Q$1300,$Q374,$U$2:$U$1300,"&gt;"&amp;$U374)&gt;0,0,IF(AND(ISNUMBER($F374),ISNUMBER($X374)),IF(ABS($F374-$X374)&gt;_QA!$C$6,1,0),IF($F374&amp;""=$X374&amp;"",0,1))))</f>
        <v/>
      </c>
    </row>
    <row r="375" spans="24:25" ht="13.5" customHeight="1" x14ac:dyDescent="0.3">
      <c r="X375" s="193" t="str">
        <f>IF($Q375="","",IFERROR(INDEX(BD_KPIs!$F$2:$F$1300,MATCH($Q375,BD_KPIs!$Q$2:$Q$1300,0)),"n/d"))</f>
        <v/>
      </c>
      <c r="Y375" s="193" t="str">
        <f>IF($Q375="","",IF(COUNTIFS($Q$2:$Q$1300,$Q375,$U$2:$U$1300,"&gt;"&amp;$U375)&gt;0,0,IF(AND(ISNUMBER($F375),ISNUMBER($X375)),IF(ABS($F375-$X375)&gt;_QA!$C$6,1,0),IF($F375&amp;""=$X375&amp;"",0,1))))</f>
        <v/>
      </c>
    </row>
    <row r="376" spans="24:25" ht="13.5" customHeight="1" x14ac:dyDescent="0.3">
      <c r="X376" s="193" t="str">
        <f>IF($Q376="","",IFERROR(INDEX(BD_KPIs!$F$2:$F$1300,MATCH($Q376,BD_KPIs!$Q$2:$Q$1300,0)),"n/d"))</f>
        <v/>
      </c>
      <c r="Y376" s="193" t="str">
        <f>IF($Q376="","",IF(COUNTIFS($Q$2:$Q$1300,$Q376,$U$2:$U$1300,"&gt;"&amp;$U376)&gt;0,0,IF(AND(ISNUMBER($F376),ISNUMBER($X376)),IF(ABS($F376-$X376)&gt;_QA!$C$6,1,0),IF($F376&amp;""=$X376&amp;"",0,1))))</f>
        <v/>
      </c>
    </row>
    <row r="377" spans="24:25" ht="13.5" customHeight="1" x14ac:dyDescent="0.3">
      <c r="X377" s="193" t="str">
        <f>IF($Q377="","",IFERROR(INDEX(BD_KPIs!$F$2:$F$1300,MATCH($Q377,BD_KPIs!$Q$2:$Q$1300,0)),"n/d"))</f>
        <v/>
      </c>
      <c r="Y377" s="193" t="str">
        <f>IF($Q377="","",IF(COUNTIFS($Q$2:$Q$1300,$Q377,$U$2:$U$1300,"&gt;"&amp;$U377)&gt;0,0,IF(AND(ISNUMBER($F377),ISNUMBER($X377)),IF(ABS($F377-$X377)&gt;_QA!$C$6,1,0),IF($F377&amp;""=$X377&amp;"",0,1))))</f>
        <v/>
      </c>
    </row>
    <row r="378" spans="24:25" ht="13.5" customHeight="1" x14ac:dyDescent="0.3">
      <c r="X378" s="193" t="str">
        <f>IF($Q378="","",IFERROR(INDEX(BD_KPIs!$F$2:$F$1300,MATCH($Q378,BD_KPIs!$Q$2:$Q$1300,0)),"n/d"))</f>
        <v/>
      </c>
      <c r="Y378" s="193" t="str">
        <f>IF($Q378="","",IF(COUNTIFS($Q$2:$Q$1300,$Q378,$U$2:$U$1300,"&gt;"&amp;$U378)&gt;0,0,IF(AND(ISNUMBER($F378),ISNUMBER($X378)),IF(ABS($F378-$X378)&gt;_QA!$C$6,1,0),IF($F378&amp;""=$X378&amp;"",0,1))))</f>
        <v/>
      </c>
    </row>
    <row r="379" spans="24:25" ht="13.5" customHeight="1" x14ac:dyDescent="0.3">
      <c r="X379" s="193" t="str">
        <f>IF($Q379="","",IFERROR(INDEX(BD_KPIs!$F$2:$F$1300,MATCH($Q379,BD_KPIs!$Q$2:$Q$1300,0)),"n/d"))</f>
        <v/>
      </c>
      <c r="Y379" s="193" t="str">
        <f>IF($Q379="","",IF(COUNTIFS($Q$2:$Q$1300,$Q379,$U$2:$U$1300,"&gt;"&amp;$U379)&gt;0,0,IF(AND(ISNUMBER($F379),ISNUMBER($X379)),IF(ABS($F379-$X379)&gt;_QA!$C$6,1,0),IF($F379&amp;""=$X379&amp;"",0,1))))</f>
        <v/>
      </c>
    </row>
    <row r="380" spans="24:25" ht="13.5" customHeight="1" x14ac:dyDescent="0.3">
      <c r="X380" s="193" t="str">
        <f>IF($Q380="","",IFERROR(INDEX(BD_KPIs!$F$2:$F$1300,MATCH($Q380,BD_KPIs!$Q$2:$Q$1300,0)),"n/d"))</f>
        <v/>
      </c>
      <c r="Y380" s="193" t="str">
        <f>IF($Q380="","",IF(COUNTIFS($Q$2:$Q$1300,$Q380,$U$2:$U$1300,"&gt;"&amp;$U380)&gt;0,0,IF(AND(ISNUMBER($F380),ISNUMBER($X380)),IF(ABS($F380-$X380)&gt;_QA!$C$6,1,0),IF($F380&amp;""=$X380&amp;"",0,1))))</f>
        <v/>
      </c>
    </row>
    <row r="381" spans="24:25" ht="13.5" customHeight="1" x14ac:dyDescent="0.3">
      <c r="X381" s="193" t="str">
        <f>IF($Q381="","",IFERROR(INDEX(BD_KPIs!$F$2:$F$1300,MATCH($Q381,BD_KPIs!$Q$2:$Q$1300,0)),"n/d"))</f>
        <v/>
      </c>
      <c r="Y381" s="193" t="str">
        <f>IF($Q381="","",IF(COUNTIFS($Q$2:$Q$1300,$Q381,$U$2:$U$1300,"&gt;"&amp;$U381)&gt;0,0,IF(AND(ISNUMBER($F381),ISNUMBER($X381)),IF(ABS($F381-$X381)&gt;_QA!$C$6,1,0),IF($F381&amp;""=$X381&amp;"",0,1))))</f>
        <v/>
      </c>
    </row>
    <row r="382" spans="24:25" ht="13.5" customHeight="1" x14ac:dyDescent="0.3">
      <c r="X382" s="193" t="str">
        <f>IF($Q382="","",IFERROR(INDEX(BD_KPIs!$F$2:$F$1300,MATCH($Q382,BD_KPIs!$Q$2:$Q$1300,0)),"n/d"))</f>
        <v/>
      </c>
      <c r="Y382" s="193" t="str">
        <f>IF($Q382="","",IF(COUNTIFS($Q$2:$Q$1300,$Q382,$U$2:$U$1300,"&gt;"&amp;$U382)&gt;0,0,IF(AND(ISNUMBER($F382),ISNUMBER($X382)),IF(ABS($F382-$X382)&gt;_QA!$C$6,1,0),IF($F382&amp;""=$X382&amp;"",0,1))))</f>
        <v/>
      </c>
    </row>
    <row r="383" spans="24:25" ht="13.5" customHeight="1" x14ac:dyDescent="0.3">
      <c r="X383" s="193" t="str">
        <f>IF($Q383="","",IFERROR(INDEX(BD_KPIs!$F$2:$F$1300,MATCH($Q383,BD_KPIs!$Q$2:$Q$1300,0)),"n/d"))</f>
        <v/>
      </c>
      <c r="Y383" s="193" t="str">
        <f>IF($Q383="","",IF(COUNTIFS($Q$2:$Q$1300,$Q383,$U$2:$U$1300,"&gt;"&amp;$U383)&gt;0,0,IF(AND(ISNUMBER($F383),ISNUMBER($X383)),IF(ABS($F383-$X383)&gt;_QA!$C$6,1,0),IF($F383&amp;""=$X383&amp;"",0,1))))</f>
        <v/>
      </c>
    </row>
    <row r="384" spans="24:25" ht="13.5" customHeight="1" x14ac:dyDescent="0.3">
      <c r="X384" s="193" t="str">
        <f>IF($Q384="","",IFERROR(INDEX(BD_KPIs!$F$2:$F$1300,MATCH($Q384,BD_KPIs!$Q$2:$Q$1300,0)),"n/d"))</f>
        <v/>
      </c>
      <c r="Y384" s="193" t="str">
        <f>IF($Q384="","",IF(COUNTIFS($Q$2:$Q$1300,$Q384,$U$2:$U$1300,"&gt;"&amp;$U384)&gt;0,0,IF(AND(ISNUMBER($F384),ISNUMBER($X384)),IF(ABS($F384-$X384)&gt;_QA!$C$6,1,0),IF($F384&amp;""=$X384&amp;"",0,1))))</f>
        <v/>
      </c>
    </row>
    <row r="385" spans="24:25" ht="13.5" customHeight="1" x14ac:dyDescent="0.3">
      <c r="X385" s="193" t="str">
        <f>IF($Q385="","",IFERROR(INDEX(BD_KPIs!$F$2:$F$1300,MATCH($Q385,BD_KPIs!$Q$2:$Q$1300,0)),"n/d"))</f>
        <v/>
      </c>
      <c r="Y385" s="193" t="str">
        <f>IF($Q385="","",IF(COUNTIFS($Q$2:$Q$1300,$Q385,$U$2:$U$1300,"&gt;"&amp;$U385)&gt;0,0,IF(AND(ISNUMBER($F385),ISNUMBER($X385)),IF(ABS($F385-$X385)&gt;_QA!$C$6,1,0),IF($F385&amp;""=$X385&amp;"",0,1))))</f>
        <v/>
      </c>
    </row>
    <row r="386" spans="24:25" ht="13.5" customHeight="1" x14ac:dyDescent="0.3">
      <c r="X386" s="193" t="str">
        <f>IF($Q386="","",IFERROR(INDEX(BD_KPIs!$F$2:$F$1300,MATCH($Q386,BD_KPIs!$Q$2:$Q$1300,0)),"n/d"))</f>
        <v/>
      </c>
      <c r="Y386" s="193" t="str">
        <f>IF($Q386="","",IF(COUNTIFS($Q$2:$Q$1300,$Q386,$U$2:$U$1300,"&gt;"&amp;$U386)&gt;0,0,IF(AND(ISNUMBER($F386),ISNUMBER($X386)),IF(ABS($F386-$X386)&gt;_QA!$C$6,1,0),IF($F386&amp;""=$X386&amp;"",0,1))))</f>
        <v/>
      </c>
    </row>
    <row r="387" spans="24:25" ht="13.5" customHeight="1" x14ac:dyDescent="0.3">
      <c r="X387" s="193" t="str">
        <f>IF($Q387="","",IFERROR(INDEX(BD_KPIs!$F$2:$F$1300,MATCH($Q387,BD_KPIs!$Q$2:$Q$1300,0)),"n/d"))</f>
        <v/>
      </c>
      <c r="Y387" s="193" t="str">
        <f>IF($Q387="","",IF(COUNTIFS($Q$2:$Q$1300,$Q387,$U$2:$U$1300,"&gt;"&amp;$U387)&gt;0,0,IF(AND(ISNUMBER($F387),ISNUMBER($X387)),IF(ABS($F387-$X387)&gt;_QA!$C$6,1,0),IF($F387&amp;""=$X387&amp;"",0,1))))</f>
        <v/>
      </c>
    </row>
    <row r="388" spans="24:25" ht="13.5" customHeight="1" x14ac:dyDescent="0.3">
      <c r="X388" s="193" t="str">
        <f>IF($Q388="","",IFERROR(INDEX(BD_KPIs!$F$2:$F$1300,MATCH($Q388,BD_KPIs!$Q$2:$Q$1300,0)),"n/d"))</f>
        <v/>
      </c>
      <c r="Y388" s="193" t="str">
        <f>IF($Q388="","",IF(COUNTIFS($Q$2:$Q$1300,$Q388,$U$2:$U$1300,"&gt;"&amp;$U388)&gt;0,0,IF(AND(ISNUMBER($F388),ISNUMBER($X388)),IF(ABS($F388-$X388)&gt;_QA!$C$6,1,0),IF($F388&amp;""=$X388&amp;"",0,1))))</f>
        <v/>
      </c>
    </row>
    <row r="389" spans="24:25" ht="13.5" customHeight="1" x14ac:dyDescent="0.3">
      <c r="X389" s="193" t="str">
        <f>IF($Q389="","",IFERROR(INDEX(BD_KPIs!$F$2:$F$1300,MATCH($Q389,BD_KPIs!$Q$2:$Q$1300,0)),"n/d"))</f>
        <v/>
      </c>
      <c r="Y389" s="193" t="str">
        <f>IF($Q389="","",IF(COUNTIFS($Q$2:$Q$1300,$Q389,$U$2:$U$1300,"&gt;"&amp;$U389)&gt;0,0,IF(AND(ISNUMBER($F389),ISNUMBER($X389)),IF(ABS($F389-$X389)&gt;_QA!$C$6,1,0),IF($F389&amp;""=$X389&amp;"",0,1))))</f>
        <v/>
      </c>
    </row>
    <row r="390" spans="24:25" ht="13.5" customHeight="1" x14ac:dyDescent="0.3">
      <c r="X390" s="193" t="str">
        <f>IF($Q390="","",IFERROR(INDEX(BD_KPIs!$F$2:$F$1300,MATCH($Q390,BD_KPIs!$Q$2:$Q$1300,0)),"n/d"))</f>
        <v/>
      </c>
      <c r="Y390" s="193" t="str">
        <f>IF($Q390="","",IF(COUNTIFS($Q$2:$Q$1300,$Q390,$U$2:$U$1300,"&gt;"&amp;$U390)&gt;0,0,IF(AND(ISNUMBER($F390),ISNUMBER($X390)),IF(ABS($F390-$X390)&gt;_QA!$C$6,1,0),IF($F390&amp;""=$X390&amp;"",0,1))))</f>
        <v/>
      </c>
    </row>
    <row r="391" spans="24:25" ht="13.5" customHeight="1" x14ac:dyDescent="0.3">
      <c r="X391" s="193" t="str">
        <f>IF($Q391="","",IFERROR(INDEX(BD_KPIs!$F$2:$F$1300,MATCH($Q391,BD_KPIs!$Q$2:$Q$1300,0)),"n/d"))</f>
        <v/>
      </c>
      <c r="Y391" s="193" t="str">
        <f>IF($Q391="","",IF(COUNTIFS($Q$2:$Q$1300,$Q391,$U$2:$U$1300,"&gt;"&amp;$U391)&gt;0,0,IF(AND(ISNUMBER($F391),ISNUMBER($X391)),IF(ABS($F391-$X391)&gt;_QA!$C$6,1,0),IF($F391&amp;""=$X391&amp;"",0,1))))</f>
        <v/>
      </c>
    </row>
    <row r="392" spans="24:25" ht="13.5" customHeight="1" x14ac:dyDescent="0.3">
      <c r="X392" s="193" t="str">
        <f>IF($Q392="","",IFERROR(INDEX(BD_KPIs!$F$2:$F$1300,MATCH($Q392,BD_KPIs!$Q$2:$Q$1300,0)),"n/d"))</f>
        <v/>
      </c>
      <c r="Y392" s="193" t="str">
        <f>IF($Q392="","",IF(COUNTIFS($Q$2:$Q$1300,$Q392,$U$2:$U$1300,"&gt;"&amp;$U392)&gt;0,0,IF(AND(ISNUMBER($F392),ISNUMBER($X392)),IF(ABS($F392-$X392)&gt;_QA!$C$6,1,0),IF($F392&amp;""=$X392&amp;"",0,1))))</f>
        <v/>
      </c>
    </row>
    <row r="393" spans="24:25" ht="13.5" customHeight="1" x14ac:dyDescent="0.3">
      <c r="X393" s="193" t="str">
        <f>IF($Q393="","",IFERROR(INDEX(BD_KPIs!$F$2:$F$1300,MATCH($Q393,BD_KPIs!$Q$2:$Q$1300,0)),"n/d"))</f>
        <v/>
      </c>
      <c r="Y393" s="193" t="str">
        <f>IF($Q393="","",IF(COUNTIFS($Q$2:$Q$1300,$Q393,$U$2:$U$1300,"&gt;"&amp;$U393)&gt;0,0,IF(AND(ISNUMBER($F393),ISNUMBER($X393)),IF(ABS($F393-$X393)&gt;_QA!$C$6,1,0),IF($F393&amp;""=$X393&amp;"",0,1))))</f>
        <v/>
      </c>
    </row>
    <row r="394" spans="24:25" ht="13.5" customHeight="1" x14ac:dyDescent="0.3">
      <c r="X394" s="193" t="str">
        <f>IF($Q394="","",IFERROR(INDEX(BD_KPIs!$F$2:$F$1300,MATCH($Q394,BD_KPIs!$Q$2:$Q$1300,0)),"n/d"))</f>
        <v/>
      </c>
      <c r="Y394" s="193" t="str">
        <f>IF($Q394="","",IF(COUNTIFS($Q$2:$Q$1300,$Q394,$U$2:$U$1300,"&gt;"&amp;$U394)&gt;0,0,IF(AND(ISNUMBER($F394),ISNUMBER($X394)),IF(ABS($F394-$X394)&gt;_QA!$C$6,1,0),IF($F394&amp;""=$X394&amp;"",0,1))))</f>
        <v/>
      </c>
    </row>
    <row r="395" spans="24:25" ht="13.5" customHeight="1" x14ac:dyDescent="0.3">
      <c r="X395" s="193" t="str">
        <f>IF($Q395="","",IFERROR(INDEX(BD_KPIs!$F$2:$F$1300,MATCH($Q395,BD_KPIs!$Q$2:$Q$1300,0)),"n/d"))</f>
        <v/>
      </c>
      <c r="Y395" s="193" t="str">
        <f>IF($Q395="","",IF(COUNTIFS($Q$2:$Q$1300,$Q395,$U$2:$U$1300,"&gt;"&amp;$U395)&gt;0,0,IF(AND(ISNUMBER($F395),ISNUMBER($X395)),IF(ABS($F395-$X395)&gt;_QA!$C$6,1,0),IF($F395&amp;""=$X395&amp;"",0,1))))</f>
        <v/>
      </c>
    </row>
    <row r="396" spans="24:25" ht="13.5" customHeight="1" x14ac:dyDescent="0.3">
      <c r="X396" s="193" t="str">
        <f>IF($Q396="","",IFERROR(INDEX(BD_KPIs!$F$2:$F$1300,MATCH($Q396,BD_KPIs!$Q$2:$Q$1300,0)),"n/d"))</f>
        <v/>
      </c>
      <c r="Y396" s="193" t="str">
        <f>IF($Q396="","",IF(COUNTIFS($Q$2:$Q$1300,$Q396,$U$2:$U$1300,"&gt;"&amp;$U396)&gt;0,0,IF(AND(ISNUMBER($F396),ISNUMBER($X396)),IF(ABS($F396-$X396)&gt;_QA!$C$6,1,0),IF($F396&amp;""=$X396&amp;"",0,1))))</f>
        <v/>
      </c>
    </row>
    <row r="397" spans="24:25" ht="13.5" customHeight="1" x14ac:dyDescent="0.3">
      <c r="X397" s="193" t="str">
        <f>IF($Q397="","",IFERROR(INDEX(BD_KPIs!$F$2:$F$1300,MATCH($Q397,BD_KPIs!$Q$2:$Q$1300,0)),"n/d"))</f>
        <v/>
      </c>
      <c r="Y397" s="193" t="str">
        <f>IF($Q397="","",IF(COUNTIFS($Q$2:$Q$1300,$Q397,$U$2:$U$1300,"&gt;"&amp;$U397)&gt;0,0,IF(AND(ISNUMBER($F397),ISNUMBER($X397)),IF(ABS($F397-$X397)&gt;_QA!$C$6,1,0),IF($F397&amp;""=$X397&amp;"",0,1))))</f>
        <v/>
      </c>
    </row>
    <row r="398" spans="24:25" ht="13.5" customHeight="1" x14ac:dyDescent="0.3">
      <c r="X398" s="193" t="str">
        <f>IF($Q398="","",IFERROR(INDEX(BD_KPIs!$F$2:$F$1300,MATCH($Q398,BD_KPIs!$Q$2:$Q$1300,0)),"n/d"))</f>
        <v/>
      </c>
      <c r="Y398" s="193" t="str">
        <f>IF($Q398="","",IF(COUNTIFS($Q$2:$Q$1300,$Q398,$U$2:$U$1300,"&gt;"&amp;$U398)&gt;0,0,IF(AND(ISNUMBER($F398),ISNUMBER($X398)),IF(ABS($F398-$X398)&gt;_QA!$C$6,1,0),IF($F398&amp;""=$X398&amp;"",0,1))))</f>
        <v/>
      </c>
    </row>
    <row r="399" spans="24:25" ht="13.5" customHeight="1" x14ac:dyDescent="0.3">
      <c r="X399" s="193" t="str">
        <f>IF($Q399="","",IFERROR(INDEX(BD_KPIs!$F$2:$F$1300,MATCH($Q399,BD_KPIs!$Q$2:$Q$1300,0)),"n/d"))</f>
        <v/>
      </c>
      <c r="Y399" s="193" t="str">
        <f>IF($Q399="","",IF(COUNTIFS($Q$2:$Q$1300,$Q399,$U$2:$U$1300,"&gt;"&amp;$U399)&gt;0,0,IF(AND(ISNUMBER($F399),ISNUMBER($X399)),IF(ABS($F399-$X399)&gt;_QA!$C$6,1,0),IF($F399&amp;""=$X399&amp;"",0,1))))</f>
        <v/>
      </c>
    </row>
    <row r="400" spans="24:25" ht="13.5" customHeight="1" x14ac:dyDescent="0.3">
      <c r="X400" s="193" t="str">
        <f>IF($Q400="","",IFERROR(INDEX(BD_KPIs!$F$2:$F$1300,MATCH($Q400,BD_KPIs!$Q$2:$Q$1300,0)),"n/d"))</f>
        <v/>
      </c>
      <c r="Y400" s="193" t="str">
        <f>IF($Q400="","",IF(COUNTIFS($Q$2:$Q$1300,$Q400,$U$2:$U$1300,"&gt;"&amp;$U400)&gt;0,0,IF(AND(ISNUMBER($F400),ISNUMBER($X400)),IF(ABS($F400-$X400)&gt;_QA!$C$6,1,0),IF($F400&amp;""=$X400&amp;"",0,1))))</f>
        <v/>
      </c>
    </row>
    <row r="401" spans="24:25" ht="13.5" customHeight="1" x14ac:dyDescent="0.3">
      <c r="X401" s="193" t="str">
        <f>IF($Q401="","",IFERROR(INDEX(BD_KPIs!$F$2:$F$1300,MATCH($Q401,BD_KPIs!$Q$2:$Q$1300,0)),"n/d"))</f>
        <v/>
      </c>
      <c r="Y401" s="193" t="str">
        <f>IF($Q401="","",IF(COUNTIFS($Q$2:$Q$1300,$Q401,$U$2:$U$1300,"&gt;"&amp;$U401)&gt;0,0,IF(AND(ISNUMBER($F401),ISNUMBER($X401)),IF(ABS($F401-$X401)&gt;_QA!$C$6,1,0),IF($F401&amp;""=$X401&amp;"",0,1))))</f>
        <v/>
      </c>
    </row>
    <row r="402" spans="24:25" ht="13.5" customHeight="1" x14ac:dyDescent="0.3">
      <c r="X402" s="193" t="str">
        <f>IF($Q402="","",IFERROR(INDEX(BD_KPIs!$F$2:$F$1300,MATCH($Q402,BD_KPIs!$Q$2:$Q$1300,0)),"n/d"))</f>
        <v/>
      </c>
      <c r="Y402" s="193" t="str">
        <f>IF($Q402="","",IF(COUNTIFS($Q$2:$Q$1300,$Q402,$U$2:$U$1300,"&gt;"&amp;$U402)&gt;0,0,IF(AND(ISNUMBER($F402),ISNUMBER($X402)),IF(ABS($F402-$X402)&gt;_QA!$C$6,1,0),IF($F402&amp;""=$X402&amp;"",0,1))))</f>
        <v/>
      </c>
    </row>
    <row r="403" spans="24:25" ht="13.5" customHeight="1" x14ac:dyDescent="0.3">
      <c r="X403" s="193" t="str">
        <f>IF($Q403="","",IFERROR(INDEX(BD_KPIs!$F$2:$F$1300,MATCH($Q403,BD_KPIs!$Q$2:$Q$1300,0)),"n/d"))</f>
        <v/>
      </c>
      <c r="Y403" s="193" t="str">
        <f>IF($Q403="","",IF(COUNTIFS($Q$2:$Q$1300,$Q403,$U$2:$U$1300,"&gt;"&amp;$U403)&gt;0,0,IF(AND(ISNUMBER($F403),ISNUMBER($X403)),IF(ABS($F403-$X403)&gt;_QA!$C$6,1,0),IF($F403&amp;""=$X403&amp;"",0,1))))</f>
        <v/>
      </c>
    </row>
    <row r="404" spans="24:25" ht="13.5" customHeight="1" x14ac:dyDescent="0.3">
      <c r="X404" s="193" t="str">
        <f>IF($Q404="","",IFERROR(INDEX(BD_KPIs!$F$2:$F$1300,MATCH($Q404,BD_KPIs!$Q$2:$Q$1300,0)),"n/d"))</f>
        <v/>
      </c>
      <c r="Y404" s="193" t="str">
        <f>IF($Q404="","",IF(COUNTIFS($Q$2:$Q$1300,$Q404,$U$2:$U$1300,"&gt;"&amp;$U404)&gt;0,0,IF(AND(ISNUMBER($F404),ISNUMBER($X404)),IF(ABS($F404-$X404)&gt;_QA!$C$6,1,0),IF($F404&amp;""=$X404&amp;"",0,1))))</f>
        <v/>
      </c>
    </row>
    <row r="405" spans="24:25" ht="13.5" customHeight="1" x14ac:dyDescent="0.3">
      <c r="X405" s="193" t="str">
        <f>IF($Q405="","",IFERROR(INDEX(BD_KPIs!$F$2:$F$1300,MATCH($Q405,BD_KPIs!$Q$2:$Q$1300,0)),"n/d"))</f>
        <v/>
      </c>
      <c r="Y405" s="193" t="str">
        <f>IF($Q405="","",IF(COUNTIFS($Q$2:$Q$1300,$Q405,$U$2:$U$1300,"&gt;"&amp;$U405)&gt;0,0,IF(AND(ISNUMBER($F405),ISNUMBER($X405)),IF(ABS($F405-$X405)&gt;_QA!$C$6,1,0),IF($F405&amp;""=$X405&amp;"",0,1))))</f>
        <v/>
      </c>
    </row>
    <row r="406" spans="24:25" ht="13.5" customHeight="1" x14ac:dyDescent="0.3">
      <c r="X406" s="193" t="str">
        <f>IF($Q406="","",IFERROR(INDEX(BD_KPIs!$F$2:$F$1300,MATCH($Q406,BD_KPIs!$Q$2:$Q$1300,0)),"n/d"))</f>
        <v/>
      </c>
      <c r="Y406" s="193" t="str">
        <f>IF($Q406="","",IF(COUNTIFS($Q$2:$Q$1300,$Q406,$U$2:$U$1300,"&gt;"&amp;$U406)&gt;0,0,IF(AND(ISNUMBER($F406),ISNUMBER($X406)),IF(ABS($F406-$X406)&gt;_QA!$C$6,1,0),IF($F406&amp;""=$X406&amp;"",0,1))))</f>
        <v/>
      </c>
    </row>
    <row r="407" spans="24:25" ht="13.5" customHeight="1" x14ac:dyDescent="0.3">
      <c r="X407" s="193" t="str">
        <f>IF($Q407="","",IFERROR(INDEX(BD_KPIs!$F$2:$F$1300,MATCH($Q407,BD_KPIs!$Q$2:$Q$1300,0)),"n/d"))</f>
        <v/>
      </c>
      <c r="Y407" s="193" t="str">
        <f>IF($Q407="","",IF(COUNTIFS($Q$2:$Q$1300,$Q407,$U$2:$U$1300,"&gt;"&amp;$U407)&gt;0,0,IF(AND(ISNUMBER($F407),ISNUMBER($X407)),IF(ABS($F407-$X407)&gt;_QA!$C$6,1,0),IF($F407&amp;""=$X407&amp;"",0,1))))</f>
        <v/>
      </c>
    </row>
    <row r="408" spans="24:25" ht="13.5" customHeight="1" x14ac:dyDescent="0.3">
      <c r="X408" s="193" t="str">
        <f>IF($Q408="","",IFERROR(INDEX(BD_KPIs!$F$2:$F$1300,MATCH($Q408,BD_KPIs!$Q$2:$Q$1300,0)),"n/d"))</f>
        <v/>
      </c>
      <c r="Y408" s="193" t="str">
        <f>IF($Q408="","",IF(COUNTIFS($Q$2:$Q$1300,$Q408,$U$2:$U$1300,"&gt;"&amp;$U408)&gt;0,0,IF(AND(ISNUMBER($F408),ISNUMBER($X408)),IF(ABS($F408-$X408)&gt;_QA!$C$6,1,0),IF($F408&amp;""=$X408&amp;"",0,1))))</f>
        <v/>
      </c>
    </row>
    <row r="409" spans="24:25" ht="13.5" customHeight="1" x14ac:dyDescent="0.3">
      <c r="X409" s="193" t="str">
        <f>IF($Q409="","",IFERROR(INDEX(BD_KPIs!$F$2:$F$1300,MATCH($Q409,BD_KPIs!$Q$2:$Q$1300,0)),"n/d"))</f>
        <v/>
      </c>
      <c r="Y409" s="193" t="str">
        <f>IF($Q409="","",IF(COUNTIFS($Q$2:$Q$1300,$Q409,$U$2:$U$1300,"&gt;"&amp;$U409)&gt;0,0,IF(AND(ISNUMBER($F409),ISNUMBER($X409)),IF(ABS($F409-$X409)&gt;_QA!$C$6,1,0),IF($F409&amp;""=$X409&amp;"",0,1))))</f>
        <v/>
      </c>
    </row>
    <row r="410" spans="24:25" ht="13.5" customHeight="1" x14ac:dyDescent="0.3">
      <c r="X410" s="193" t="str">
        <f>IF($Q410="","",IFERROR(INDEX(BD_KPIs!$F$2:$F$1300,MATCH($Q410,BD_KPIs!$Q$2:$Q$1300,0)),"n/d"))</f>
        <v/>
      </c>
      <c r="Y410" s="193" t="str">
        <f>IF($Q410="","",IF(COUNTIFS($Q$2:$Q$1300,$Q410,$U$2:$U$1300,"&gt;"&amp;$U410)&gt;0,0,IF(AND(ISNUMBER($F410),ISNUMBER($X410)),IF(ABS($F410-$X410)&gt;_QA!$C$6,1,0),IF($F410&amp;""=$X410&amp;"",0,1))))</f>
        <v/>
      </c>
    </row>
    <row r="411" spans="24:25" ht="13.5" customHeight="1" x14ac:dyDescent="0.3">
      <c r="X411" s="193" t="str">
        <f>IF($Q411="","",IFERROR(INDEX(BD_KPIs!$F$2:$F$1300,MATCH($Q411,BD_KPIs!$Q$2:$Q$1300,0)),"n/d"))</f>
        <v/>
      </c>
      <c r="Y411" s="193" t="str">
        <f>IF($Q411="","",IF(COUNTIFS($Q$2:$Q$1300,$Q411,$U$2:$U$1300,"&gt;"&amp;$U411)&gt;0,0,IF(AND(ISNUMBER($F411),ISNUMBER($X411)),IF(ABS($F411-$X411)&gt;_QA!$C$6,1,0),IF($F411&amp;""=$X411&amp;"",0,1))))</f>
        <v/>
      </c>
    </row>
    <row r="412" spans="24:25" ht="13.5" customHeight="1" x14ac:dyDescent="0.3">
      <c r="X412" s="193" t="str">
        <f>IF($Q412="","",IFERROR(INDEX(BD_KPIs!$F$2:$F$1300,MATCH($Q412,BD_KPIs!$Q$2:$Q$1300,0)),"n/d"))</f>
        <v/>
      </c>
      <c r="Y412" s="193" t="str">
        <f>IF($Q412="","",IF(COUNTIFS($Q$2:$Q$1300,$Q412,$U$2:$U$1300,"&gt;"&amp;$U412)&gt;0,0,IF(AND(ISNUMBER($F412),ISNUMBER($X412)),IF(ABS($F412-$X412)&gt;_QA!$C$6,1,0),IF($F412&amp;""=$X412&amp;"",0,1))))</f>
        <v/>
      </c>
    </row>
    <row r="413" spans="24:25" ht="13.5" customHeight="1" x14ac:dyDescent="0.3">
      <c r="X413" s="193" t="str">
        <f>IF($Q413="","",IFERROR(INDEX(BD_KPIs!$F$2:$F$1300,MATCH($Q413,BD_KPIs!$Q$2:$Q$1300,0)),"n/d"))</f>
        <v/>
      </c>
      <c r="Y413" s="193" t="str">
        <f>IF($Q413="","",IF(COUNTIFS($Q$2:$Q$1300,$Q413,$U$2:$U$1300,"&gt;"&amp;$U413)&gt;0,0,IF(AND(ISNUMBER($F413),ISNUMBER($X413)),IF(ABS($F413-$X413)&gt;_QA!$C$6,1,0),IF($F413&amp;""=$X413&amp;"",0,1))))</f>
        <v/>
      </c>
    </row>
    <row r="414" spans="24:25" ht="13.5" customHeight="1" x14ac:dyDescent="0.3">
      <c r="X414" s="193" t="str">
        <f>IF($Q414="","",IFERROR(INDEX(BD_KPIs!$F$2:$F$1300,MATCH($Q414,BD_KPIs!$Q$2:$Q$1300,0)),"n/d"))</f>
        <v/>
      </c>
      <c r="Y414" s="193" t="str">
        <f>IF($Q414="","",IF(COUNTIFS($Q$2:$Q$1300,$Q414,$U$2:$U$1300,"&gt;"&amp;$U414)&gt;0,0,IF(AND(ISNUMBER($F414),ISNUMBER($X414)),IF(ABS($F414-$X414)&gt;_QA!$C$6,1,0),IF($F414&amp;""=$X414&amp;"",0,1))))</f>
        <v/>
      </c>
    </row>
    <row r="415" spans="24:25" ht="13.5" customHeight="1" x14ac:dyDescent="0.3">
      <c r="X415" s="193" t="str">
        <f>IF($Q415="","",IFERROR(INDEX(BD_KPIs!$F$2:$F$1300,MATCH($Q415,BD_KPIs!$Q$2:$Q$1300,0)),"n/d"))</f>
        <v/>
      </c>
      <c r="Y415" s="193" t="str">
        <f>IF($Q415="","",IF(COUNTIFS($Q$2:$Q$1300,$Q415,$U$2:$U$1300,"&gt;"&amp;$U415)&gt;0,0,IF(AND(ISNUMBER($F415),ISNUMBER($X415)),IF(ABS($F415-$X415)&gt;_QA!$C$6,1,0),IF($F415&amp;""=$X415&amp;"",0,1))))</f>
        <v/>
      </c>
    </row>
    <row r="416" spans="24:25" ht="13.5" customHeight="1" x14ac:dyDescent="0.3">
      <c r="X416" s="193" t="str">
        <f>IF($Q416="","",IFERROR(INDEX(BD_KPIs!$F$2:$F$1300,MATCH($Q416,BD_KPIs!$Q$2:$Q$1300,0)),"n/d"))</f>
        <v/>
      </c>
      <c r="Y416" s="193" t="str">
        <f>IF($Q416="","",IF(COUNTIFS($Q$2:$Q$1300,$Q416,$U$2:$U$1300,"&gt;"&amp;$U416)&gt;0,0,IF(AND(ISNUMBER($F416),ISNUMBER($X416)),IF(ABS($F416-$X416)&gt;_QA!$C$6,1,0),IF($F416&amp;""=$X416&amp;"",0,1))))</f>
        <v/>
      </c>
    </row>
    <row r="417" spans="24:25" ht="13.5" customHeight="1" x14ac:dyDescent="0.3">
      <c r="X417" s="193" t="str">
        <f>IF($Q417="","",IFERROR(INDEX(BD_KPIs!$F$2:$F$1300,MATCH($Q417,BD_KPIs!$Q$2:$Q$1300,0)),"n/d"))</f>
        <v/>
      </c>
      <c r="Y417" s="193" t="str">
        <f>IF($Q417="","",IF(COUNTIFS($Q$2:$Q$1300,$Q417,$U$2:$U$1300,"&gt;"&amp;$U417)&gt;0,0,IF(AND(ISNUMBER($F417),ISNUMBER($X417)),IF(ABS($F417-$X417)&gt;_QA!$C$6,1,0),IF($F417&amp;""=$X417&amp;"",0,1))))</f>
        <v/>
      </c>
    </row>
    <row r="418" spans="24:25" ht="13.5" customHeight="1" x14ac:dyDescent="0.3">
      <c r="X418" s="193" t="str">
        <f>IF($Q418="","",IFERROR(INDEX(BD_KPIs!$F$2:$F$1300,MATCH($Q418,BD_KPIs!$Q$2:$Q$1300,0)),"n/d"))</f>
        <v/>
      </c>
      <c r="Y418" s="193" t="str">
        <f>IF($Q418="","",IF(COUNTIFS($Q$2:$Q$1300,$Q418,$U$2:$U$1300,"&gt;"&amp;$U418)&gt;0,0,IF(AND(ISNUMBER($F418),ISNUMBER($X418)),IF(ABS($F418-$X418)&gt;_QA!$C$6,1,0),IF($F418&amp;""=$X418&amp;"",0,1))))</f>
        <v/>
      </c>
    </row>
    <row r="419" spans="24:25" ht="13.5" customHeight="1" x14ac:dyDescent="0.3">
      <c r="X419" s="193" t="str">
        <f>IF($Q419="","",IFERROR(INDEX(BD_KPIs!$F$2:$F$1300,MATCH($Q419,BD_KPIs!$Q$2:$Q$1300,0)),"n/d"))</f>
        <v/>
      </c>
      <c r="Y419" s="193" t="str">
        <f>IF($Q419="","",IF(COUNTIFS($Q$2:$Q$1300,$Q419,$U$2:$U$1300,"&gt;"&amp;$U419)&gt;0,0,IF(AND(ISNUMBER($F419),ISNUMBER($X419)),IF(ABS($F419-$X419)&gt;_QA!$C$6,1,0),IF($F419&amp;""=$X419&amp;"",0,1))))</f>
        <v/>
      </c>
    </row>
    <row r="420" spans="24:25" ht="13.5" customHeight="1" x14ac:dyDescent="0.3">
      <c r="X420" s="193" t="str">
        <f>IF($Q420="","",IFERROR(INDEX(BD_KPIs!$F$2:$F$1300,MATCH($Q420,BD_KPIs!$Q$2:$Q$1300,0)),"n/d"))</f>
        <v/>
      </c>
      <c r="Y420" s="193" t="str">
        <f>IF($Q420="","",IF(COUNTIFS($Q$2:$Q$1300,$Q420,$U$2:$U$1300,"&gt;"&amp;$U420)&gt;0,0,IF(AND(ISNUMBER($F420),ISNUMBER($X420)),IF(ABS($F420-$X420)&gt;_QA!$C$6,1,0),IF($F420&amp;""=$X420&amp;"",0,1))))</f>
        <v/>
      </c>
    </row>
    <row r="421" spans="24:25" ht="13.5" customHeight="1" x14ac:dyDescent="0.3">
      <c r="X421" s="193" t="str">
        <f>IF($Q421="","",IFERROR(INDEX(BD_KPIs!$F$2:$F$1300,MATCH($Q421,BD_KPIs!$Q$2:$Q$1300,0)),"n/d"))</f>
        <v/>
      </c>
      <c r="Y421" s="193" t="str">
        <f>IF($Q421="","",IF(COUNTIFS($Q$2:$Q$1300,$Q421,$U$2:$U$1300,"&gt;"&amp;$U421)&gt;0,0,IF(AND(ISNUMBER($F421),ISNUMBER($X421)),IF(ABS($F421-$X421)&gt;_QA!$C$6,1,0),IF($F421&amp;""=$X421&amp;"",0,1))))</f>
        <v/>
      </c>
    </row>
    <row r="422" spans="24:25" ht="13.5" customHeight="1" x14ac:dyDescent="0.3">
      <c r="X422" s="193" t="str">
        <f>IF($Q422="","",IFERROR(INDEX(BD_KPIs!$F$2:$F$1300,MATCH($Q422,BD_KPIs!$Q$2:$Q$1300,0)),"n/d"))</f>
        <v/>
      </c>
      <c r="Y422" s="193" t="str">
        <f>IF($Q422="","",IF(COUNTIFS($Q$2:$Q$1300,$Q422,$U$2:$U$1300,"&gt;"&amp;$U422)&gt;0,0,IF(AND(ISNUMBER($F422),ISNUMBER($X422)),IF(ABS($F422-$X422)&gt;_QA!$C$6,1,0),IF($F422&amp;""=$X422&amp;"",0,1))))</f>
        <v/>
      </c>
    </row>
    <row r="423" spans="24:25" ht="13.5" customHeight="1" x14ac:dyDescent="0.3">
      <c r="X423" s="193" t="str">
        <f>IF($Q423="","",IFERROR(INDEX(BD_KPIs!$F$2:$F$1300,MATCH($Q423,BD_KPIs!$Q$2:$Q$1300,0)),"n/d"))</f>
        <v/>
      </c>
      <c r="Y423" s="193" t="str">
        <f>IF($Q423="","",IF(COUNTIFS($Q$2:$Q$1300,$Q423,$U$2:$U$1300,"&gt;"&amp;$U423)&gt;0,0,IF(AND(ISNUMBER($F423),ISNUMBER($X423)),IF(ABS($F423-$X423)&gt;_QA!$C$6,1,0),IF($F423&amp;""=$X423&amp;"",0,1))))</f>
        <v/>
      </c>
    </row>
    <row r="424" spans="24:25" ht="13.5" customHeight="1" x14ac:dyDescent="0.3">
      <c r="X424" s="193" t="str">
        <f>IF($Q424="","",IFERROR(INDEX(BD_KPIs!$F$2:$F$1300,MATCH($Q424,BD_KPIs!$Q$2:$Q$1300,0)),"n/d"))</f>
        <v/>
      </c>
      <c r="Y424" s="193" t="str">
        <f>IF($Q424="","",IF(COUNTIFS($Q$2:$Q$1300,$Q424,$U$2:$U$1300,"&gt;"&amp;$U424)&gt;0,0,IF(AND(ISNUMBER($F424),ISNUMBER($X424)),IF(ABS($F424-$X424)&gt;_QA!$C$6,1,0),IF($F424&amp;""=$X424&amp;"",0,1))))</f>
        <v/>
      </c>
    </row>
    <row r="425" spans="24:25" ht="13.5" customHeight="1" x14ac:dyDescent="0.3">
      <c r="X425" s="193" t="str">
        <f>IF($Q425="","",IFERROR(INDEX(BD_KPIs!$F$2:$F$1300,MATCH($Q425,BD_KPIs!$Q$2:$Q$1300,0)),"n/d"))</f>
        <v/>
      </c>
      <c r="Y425" s="193" t="str">
        <f>IF($Q425="","",IF(COUNTIFS($Q$2:$Q$1300,$Q425,$U$2:$U$1300,"&gt;"&amp;$U425)&gt;0,0,IF(AND(ISNUMBER($F425),ISNUMBER($X425)),IF(ABS($F425-$X425)&gt;_QA!$C$6,1,0),IF($F425&amp;""=$X425&amp;"",0,1))))</f>
        <v/>
      </c>
    </row>
    <row r="426" spans="24:25" ht="13.5" customHeight="1" x14ac:dyDescent="0.3">
      <c r="X426" s="193" t="str">
        <f>IF($Q426="","",IFERROR(INDEX(BD_KPIs!$F$2:$F$1300,MATCH($Q426,BD_KPIs!$Q$2:$Q$1300,0)),"n/d"))</f>
        <v/>
      </c>
      <c r="Y426" s="193" t="str">
        <f>IF($Q426="","",IF(COUNTIFS($Q$2:$Q$1300,$Q426,$U$2:$U$1300,"&gt;"&amp;$U426)&gt;0,0,IF(AND(ISNUMBER($F426),ISNUMBER($X426)),IF(ABS($F426-$X426)&gt;_QA!$C$6,1,0),IF($F426&amp;""=$X426&amp;"",0,1))))</f>
        <v/>
      </c>
    </row>
    <row r="427" spans="24:25" ht="13.5" customHeight="1" x14ac:dyDescent="0.3">
      <c r="X427" s="193" t="str">
        <f>IF($Q427="","",IFERROR(INDEX(BD_KPIs!$F$2:$F$1300,MATCH($Q427,BD_KPIs!$Q$2:$Q$1300,0)),"n/d"))</f>
        <v/>
      </c>
      <c r="Y427" s="193" t="str">
        <f>IF($Q427="","",IF(COUNTIFS($Q$2:$Q$1300,$Q427,$U$2:$U$1300,"&gt;"&amp;$U427)&gt;0,0,IF(AND(ISNUMBER($F427),ISNUMBER($X427)),IF(ABS($F427-$X427)&gt;_QA!$C$6,1,0),IF($F427&amp;""=$X427&amp;"",0,1))))</f>
        <v/>
      </c>
    </row>
    <row r="428" spans="24:25" ht="13.5" customHeight="1" x14ac:dyDescent="0.3">
      <c r="X428" s="193" t="str">
        <f>IF($Q428="","",IFERROR(INDEX(BD_KPIs!$F$2:$F$1300,MATCH($Q428,BD_KPIs!$Q$2:$Q$1300,0)),"n/d"))</f>
        <v/>
      </c>
      <c r="Y428" s="193" t="str">
        <f>IF($Q428="","",IF(COUNTIFS($Q$2:$Q$1300,$Q428,$U$2:$U$1300,"&gt;"&amp;$U428)&gt;0,0,IF(AND(ISNUMBER($F428),ISNUMBER($X428)),IF(ABS($F428-$X428)&gt;_QA!$C$6,1,0),IF($F428&amp;""=$X428&amp;"",0,1))))</f>
        <v/>
      </c>
    </row>
    <row r="429" spans="24:25" ht="13.5" customHeight="1" x14ac:dyDescent="0.3">
      <c r="X429" s="193" t="str">
        <f>IF($Q429="","",IFERROR(INDEX(BD_KPIs!$F$2:$F$1300,MATCH($Q429,BD_KPIs!$Q$2:$Q$1300,0)),"n/d"))</f>
        <v/>
      </c>
      <c r="Y429" s="193" t="str">
        <f>IF($Q429="","",IF(COUNTIFS($Q$2:$Q$1300,$Q429,$U$2:$U$1300,"&gt;"&amp;$U429)&gt;0,0,IF(AND(ISNUMBER($F429),ISNUMBER($X429)),IF(ABS($F429-$X429)&gt;_QA!$C$6,1,0),IF($F429&amp;""=$X429&amp;"",0,1))))</f>
        <v/>
      </c>
    </row>
    <row r="430" spans="24:25" ht="13.5" customHeight="1" x14ac:dyDescent="0.3">
      <c r="X430" s="193" t="str">
        <f>IF($Q430="","",IFERROR(INDEX(BD_KPIs!$F$2:$F$1300,MATCH($Q430,BD_KPIs!$Q$2:$Q$1300,0)),"n/d"))</f>
        <v/>
      </c>
      <c r="Y430" s="193" t="str">
        <f>IF($Q430="","",IF(COUNTIFS($Q$2:$Q$1300,$Q430,$U$2:$U$1300,"&gt;"&amp;$U430)&gt;0,0,IF(AND(ISNUMBER($F430),ISNUMBER($X430)),IF(ABS($F430-$X430)&gt;_QA!$C$6,1,0),IF($F430&amp;""=$X430&amp;"",0,1))))</f>
        <v/>
      </c>
    </row>
    <row r="431" spans="24:25" ht="13.5" customHeight="1" x14ac:dyDescent="0.3">
      <c r="X431" s="193" t="str">
        <f>IF($Q431="","",IFERROR(INDEX(BD_KPIs!$F$2:$F$1300,MATCH($Q431,BD_KPIs!$Q$2:$Q$1300,0)),"n/d"))</f>
        <v/>
      </c>
      <c r="Y431" s="193" t="str">
        <f>IF($Q431="","",IF(COUNTIFS($Q$2:$Q$1300,$Q431,$U$2:$U$1300,"&gt;"&amp;$U431)&gt;0,0,IF(AND(ISNUMBER($F431),ISNUMBER($X431)),IF(ABS($F431-$X431)&gt;_QA!$C$6,1,0),IF($F431&amp;""=$X431&amp;"",0,1))))</f>
        <v/>
      </c>
    </row>
    <row r="432" spans="24:25" ht="13.5" customHeight="1" x14ac:dyDescent="0.3">
      <c r="X432" s="193" t="str">
        <f>IF($Q432="","",IFERROR(INDEX(BD_KPIs!$F$2:$F$1300,MATCH($Q432,BD_KPIs!$Q$2:$Q$1300,0)),"n/d"))</f>
        <v/>
      </c>
      <c r="Y432" s="193" t="str">
        <f>IF($Q432="","",IF(COUNTIFS($Q$2:$Q$1300,$Q432,$U$2:$U$1300,"&gt;"&amp;$U432)&gt;0,0,IF(AND(ISNUMBER($F432),ISNUMBER($X432)),IF(ABS($F432-$X432)&gt;_QA!$C$6,1,0),IF($F432&amp;""=$X432&amp;"",0,1))))</f>
        <v/>
      </c>
    </row>
    <row r="433" spans="24:25" ht="13.5" customHeight="1" x14ac:dyDescent="0.3">
      <c r="X433" s="193" t="str">
        <f>IF($Q433="","",IFERROR(INDEX(BD_KPIs!$F$2:$F$1300,MATCH($Q433,BD_KPIs!$Q$2:$Q$1300,0)),"n/d"))</f>
        <v/>
      </c>
      <c r="Y433" s="193" t="str">
        <f>IF($Q433="","",IF(COUNTIFS($Q$2:$Q$1300,$Q433,$U$2:$U$1300,"&gt;"&amp;$U433)&gt;0,0,IF(AND(ISNUMBER($F433),ISNUMBER($X433)),IF(ABS($F433-$X433)&gt;_QA!$C$6,1,0),IF($F433&amp;""=$X433&amp;"",0,1))))</f>
        <v/>
      </c>
    </row>
    <row r="434" spans="24:25" ht="13.5" customHeight="1" x14ac:dyDescent="0.3">
      <c r="X434" s="193" t="str">
        <f>IF($Q434="","",IFERROR(INDEX(BD_KPIs!$F$2:$F$1300,MATCH($Q434,BD_KPIs!$Q$2:$Q$1300,0)),"n/d"))</f>
        <v/>
      </c>
      <c r="Y434" s="193" t="str">
        <f>IF($Q434="","",IF(COUNTIFS($Q$2:$Q$1300,$Q434,$U$2:$U$1300,"&gt;"&amp;$U434)&gt;0,0,IF(AND(ISNUMBER($F434),ISNUMBER($X434)),IF(ABS($F434-$X434)&gt;_QA!$C$6,1,0),IF($F434&amp;""=$X434&amp;"",0,1))))</f>
        <v/>
      </c>
    </row>
    <row r="435" spans="24:25" ht="13.5" customHeight="1" x14ac:dyDescent="0.3">
      <c r="X435" s="193" t="str">
        <f>IF($Q435="","",IFERROR(INDEX(BD_KPIs!$F$2:$F$1300,MATCH($Q435,BD_KPIs!$Q$2:$Q$1300,0)),"n/d"))</f>
        <v/>
      </c>
      <c r="Y435" s="193" t="str">
        <f>IF($Q435="","",IF(COUNTIFS($Q$2:$Q$1300,$Q435,$U$2:$U$1300,"&gt;"&amp;$U435)&gt;0,0,IF(AND(ISNUMBER($F435),ISNUMBER($X435)),IF(ABS($F435-$X435)&gt;_QA!$C$6,1,0),IF($F435&amp;""=$X435&amp;"",0,1))))</f>
        <v/>
      </c>
    </row>
    <row r="436" spans="24:25" ht="13.5" customHeight="1" x14ac:dyDescent="0.3">
      <c r="X436" s="193" t="str">
        <f>IF($Q436="","",IFERROR(INDEX(BD_KPIs!$F$2:$F$1300,MATCH($Q436,BD_KPIs!$Q$2:$Q$1300,0)),"n/d"))</f>
        <v/>
      </c>
      <c r="Y436" s="193" t="str">
        <f>IF($Q436="","",IF(COUNTIFS($Q$2:$Q$1300,$Q436,$U$2:$U$1300,"&gt;"&amp;$U436)&gt;0,0,IF(AND(ISNUMBER($F436),ISNUMBER($X436)),IF(ABS($F436-$X436)&gt;_QA!$C$6,1,0),IF($F436&amp;""=$X436&amp;"",0,1))))</f>
        <v/>
      </c>
    </row>
    <row r="437" spans="24:25" ht="13.5" customHeight="1" x14ac:dyDescent="0.3">
      <c r="X437" s="193" t="str">
        <f>IF($Q437="","",IFERROR(INDEX(BD_KPIs!$F$2:$F$1300,MATCH($Q437,BD_KPIs!$Q$2:$Q$1300,0)),"n/d"))</f>
        <v/>
      </c>
      <c r="Y437" s="193" t="str">
        <f>IF($Q437="","",IF(COUNTIFS($Q$2:$Q$1300,$Q437,$U$2:$U$1300,"&gt;"&amp;$U437)&gt;0,0,IF(AND(ISNUMBER($F437),ISNUMBER($X437)),IF(ABS($F437-$X437)&gt;_QA!$C$6,1,0),IF($F437&amp;""=$X437&amp;"",0,1))))</f>
        <v/>
      </c>
    </row>
    <row r="438" spans="24:25" ht="13.5" customHeight="1" x14ac:dyDescent="0.3">
      <c r="X438" s="193" t="str">
        <f>IF($Q438="","",IFERROR(INDEX(BD_KPIs!$F$2:$F$1300,MATCH($Q438,BD_KPIs!$Q$2:$Q$1300,0)),"n/d"))</f>
        <v/>
      </c>
      <c r="Y438" s="193" t="str">
        <f>IF($Q438="","",IF(COUNTIFS($Q$2:$Q$1300,$Q438,$U$2:$U$1300,"&gt;"&amp;$U438)&gt;0,0,IF(AND(ISNUMBER($F438),ISNUMBER($X438)),IF(ABS($F438-$X438)&gt;_QA!$C$6,1,0),IF($F438&amp;""=$X438&amp;"",0,1))))</f>
        <v/>
      </c>
    </row>
    <row r="439" spans="24:25" ht="13.5" customHeight="1" x14ac:dyDescent="0.3">
      <c r="X439" s="193" t="str">
        <f>IF($Q439="","",IFERROR(INDEX(BD_KPIs!$F$2:$F$1300,MATCH($Q439,BD_KPIs!$Q$2:$Q$1300,0)),"n/d"))</f>
        <v/>
      </c>
      <c r="Y439" s="193" t="str">
        <f>IF($Q439="","",IF(COUNTIFS($Q$2:$Q$1300,$Q439,$U$2:$U$1300,"&gt;"&amp;$U439)&gt;0,0,IF(AND(ISNUMBER($F439),ISNUMBER($X439)),IF(ABS($F439-$X439)&gt;_QA!$C$6,1,0),IF($F439&amp;""=$X439&amp;"",0,1))))</f>
        <v/>
      </c>
    </row>
    <row r="440" spans="24:25" ht="13.5" customHeight="1" x14ac:dyDescent="0.3">
      <c r="X440" s="193" t="str">
        <f>IF($Q440="","",IFERROR(INDEX(BD_KPIs!$F$2:$F$1300,MATCH($Q440,BD_KPIs!$Q$2:$Q$1300,0)),"n/d"))</f>
        <v/>
      </c>
      <c r="Y440" s="193" t="str">
        <f>IF($Q440="","",IF(COUNTIFS($Q$2:$Q$1300,$Q440,$U$2:$U$1300,"&gt;"&amp;$U440)&gt;0,0,IF(AND(ISNUMBER($F440),ISNUMBER($X440)),IF(ABS($F440-$X440)&gt;_QA!$C$6,1,0),IF($F440&amp;""=$X440&amp;"",0,1))))</f>
        <v/>
      </c>
    </row>
    <row r="441" spans="24:25" ht="13.5" customHeight="1" x14ac:dyDescent="0.3">
      <c r="X441" s="193" t="str">
        <f>IF($Q441="","",IFERROR(INDEX(BD_KPIs!$F$2:$F$1300,MATCH($Q441,BD_KPIs!$Q$2:$Q$1300,0)),"n/d"))</f>
        <v/>
      </c>
      <c r="Y441" s="193" t="str">
        <f>IF($Q441="","",IF(COUNTIFS($Q$2:$Q$1300,$Q441,$U$2:$U$1300,"&gt;"&amp;$U441)&gt;0,0,IF(AND(ISNUMBER($F441),ISNUMBER($X441)),IF(ABS($F441-$X441)&gt;_QA!$C$6,1,0),IF($F441&amp;""=$X441&amp;"",0,1))))</f>
        <v/>
      </c>
    </row>
    <row r="442" spans="24:25" ht="13.5" customHeight="1" x14ac:dyDescent="0.3">
      <c r="X442" s="193" t="str">
        <f>IF($Q442="","",IFERROR(INDEX(BD_KPIs!$F$2:$F$1300,MATCH($Q442,BD_KPIs!$Q$2:$Q$1300,0)),"n/d"))</f>
        <v/>
      </c>
      <c r="Y442" s="193" t="str">
        <f>IF($Q442="","",IF(COUNTIFS($Q$2:$Q$1300,$Q442,$U$2:$U$1300,"&gt;"&amp;$U442)&gt;0,0,IF(AND(ISNUMBER($F442),ISNUMBER($X442)),IF(ABS($F442-$X442)&gt;_QA!$C$6,1,0),IF($F442&amp;""=$X442&amp;"",0,1))))</f>
        <v/>
      </c>
    </row>
    <row r="443" spans="24:25" ht="13.5" customHeight="1" x14ac:dyDescent="0.3">
      <c r="X443" s="193" t="str">
        <f>IF($Q443="","",IFERROR(INDEX(BD_KPIs!$F$2:$F$1300,MATCH($Q443,BD_KPIs!$Q$2:$Q$1300,0)),"n/d"))</f>
        <v/>
      </c>
      <c r="Y443" s="193" t="str">
        <f>IF($Q443="","",IF(COUNTIFS($Q$2:$Q$1300,$Q443,$U$2:$U$1300,"&gt;"&amp;$U443)&gt;0,0,IF(AND(ISNUMBER($F443),ISNUMBER($X443)),IF(ABS($F443-$X443)&gt;_QA!$C$6,1,0),IF($F443&amp;""=$X443&amp;"",0,1))))</f>
        <v/>
      </c>
    </row>
    <row r="444" spans="24:25" ht="13.5" customHeight="1" x14ac:dyDescent="0.3">
      <c r="X444" s="193" t="str">
        <f>IF($Q444="","",IFERROR(INDEX(BD_KPIs!$F$2:$F$1300,MATCH($Q444,BD_KPIs!$Q$2:$Q$1300,0)),"n/d"))</f>
        <v/>
      </c>
      <c r="Y444" s="193" t="str">
        <f>IF($Q444="","",IF(COUNTIFS($Q$2:$Q$1300,$Q444,$U$2:$U$1300,"&gt;"&amp;$U444)&gt;0,0,IF(AND(ISNUMBER($F444),ISNUMBER($X444)),IF(ABS($F444-$X444)&gt;_QA!$C$6,1,0),IF($F444&amp;""=$X444&amp;"",0,1))))</f>
        <v/>
      </c>
    </row>
    <row r="445" spans="24:25" ht="13.5" customHeight="1" x14ac:dyDescent="0.3">
      <c r="X445" s="193" t="str">
        <f>IF($Q445="","",IFERROR(INDEX(BD_KPIs!$F$2:$F$1300,MATCH($Q445,BD_KPIs!$Q$2:$Q$1300,0)),"n/d"))</f>
        <v/>
      </c>
      <c r="Y445" s="193" t="str">
        <f>IF($Q445="","",IF(COUNTIFS($Q$2:$Q$1300,$Q445,$U$2:$U$1300,"&gt;"&amp;$U445)&gt;0,0,IF(AND(ISNUMBER($F445),ISNUMBER($X445)),IF(ABS($F445-$X445)&gt;_QA!$C$6,1,0),IF($F445&amp;""=$X445&amp;"",0,1))))</f>
        <v/>
      </c>
    </row>
    <row r="446" spans="24:25" ht="13.5" customHeight="1" x14ac:dyDescent="0.3">
      <c r="X446" s="193" t="str">
        <f>IF($Q446="","",IFERROR(INDEX(BD_KPIs!$F$2:$F$1300,MATCH($Q446,BD_KPIs!$Q$2:$Q$1300,0)),"n/d"))</f>
        <v/>
      </c>
      <c r="Y446" s="193" t="str">
        <f>IF($Q446="","",IF(COUNTIFS($Q$2:$Q$1300,$Q446,$U$2:$U$1300,"&gt;"&amp;$U446)&gt;0,0,IF(AND(ISNUMBER($F446),ISNUMBER($X446)),IF(ABS($F446-$X446)&gt;_QA!$C$6,1,0),IF($F446&amp;""=$X446&amp;"",0,1))))</f>
        <v/>
      </c>
    </row>
    <row r="447" spans="24:25" ht="13.5" customHeight="1" x14ac:dyDescent="0.3">
      <c r="X447" s="193" t="str">
        <f>IF($Q447="","",IFERROR(INDEX(BD_KPIs!$F$2:$F$1300,MATCH($Q447,BD_KPIs!$Q$2:$Q$1300,0)),"n/d"))</f>
        <v/>
      </c>
      <c r="Y447" s="193" t="str">
        <f>IF($Q447="","",IF(COUNTIFS($Q$2:$Q$1300,$Q447,$U$2:$U$1300,"&gt;"&amp;$U447)&gt;0,0,IF(AND(ISNUMBER($F447),ISNUMBER($X447)),IF(ABS($F447-$X447)&gt;_QA!$C$6,1,0),IF($F447&amp;""=$X447&amp;"",0,1))))</f>
        <v/>
      </c>
    </row>
    <row r="448" spans="24:25" ht="13.5" customHeight="1" x14ac:dyDescent="0.3">
      <c r="X448" s="193" t="str">
        <f>IF($Q448="","",IFERROR(INDEX(BD_KPIs!$F$2:$F$1300,MATCH($Q448,BD_KPIs!$Q$2:$Q$1300,0)),"n/d"))</f>
        <v/>
      </c>
      <c r="Y448" s="193" t="str">
        <f>IF($Q448="","",IF(COUNTIFS($Q$2:$Q$1300,$Q448,$U$2:$U$1300,"&gt;"&amp;$U448)&gt;0,0,IF(AND(ISNUMBER($F448),ISNUMBER($X448)),IF(ABS($F448-$X448)&gt;_QA!$C$6,1,0),IF($F448&amp;""=$X448&amp;"",0,1))))</f>
        <v/>
      </c>
    </row>
    <row r="449" spans="24:25" ht="13.5" customHeight="1" x14ac:dyDescent="0.3">
      <c r="X449" s="193" t="str">
        <f>IF($Q449="","",IFERROR(INDEX(BD_KPIs!$F$2:$F$1300,MATCH($Q449,BD_KPIs!$Q$2:$Q$1300,0)),"n/d"))</f>
        <v/>
      </c>
      <c r="Y449" s="193" t="str">
        <f>IF($Q449="","",IF(COUNTIFS($Q$2:$Q$1300,$Q449,$U$2:$U$1300,"&gt;"&amp;$U449)&gt;0,0,IF(AND(ISNUMBER($F449),ISNUMBER($X449)),IF(ABS($F449-$X449)&gt;_QA!$C$6,1,0),IF($F449&amp;""=$X449&amp;"",0,1))))</f>
        <v/>
      </c>
    </row>
    <row r="450" spans="24:25" ht="13.5" customHeight="1" x14ac:dyDescent="0.3">
      <c r="X450" s="193" t="str">
        <f>IF($Q450="","",IFERROR(INDEX(BD_KPIs!$F$2:$F$1300,MATCH($Q450,BD_KPIs!$Q$2:$Q$1300,0)),"n/d"))</f>
        <v/>
      </c>
      <c r="Y450" s="193" t="str">
        <f>IF($Q450="","",IF(COUNTIFS($Q$2:$Q$1300,$Q450,$U$2:$U$1300,"&gt;"&amp;$U450)&gt;0,0,IF(AND(ISNUMBER($F450),ISNUMBER($X450)),IF(ABS($F450-$X450)&gt;_QA!$C$6,1,0),IF($F450&amp;""=$X450&amp;"",0,1))))</f>
        <v/>
      </c>
    </row>
    <row r="451" spans="24:25" ht="13.5" customHeight="1" x14ac:dyDescent="0.3">
      <c r="X451" s="193" t="str">
        <f>IF($Q451="","",IFERROR(INDEX(BD_KPIs!$F$2:$F$1300,MATCH($Q451,BD_KPIs!$Q$2:$Q$1300,0)),"n/d"))</f>
        <v/>
      </c>
      <c r="Y451" s="193" t="str">
        <f>IF($Q451="","",IF(COUNTIFS($Q$2:$Q$1300,$Q451,$U$2:$U$1300,"&gt;"&amp;$U451)&gt;0,0,IF(AND(ISNUMBER($F451),ISNUMBER($X451)),IF(ABS($F451-$X451)&gt;_QA!$C$6,1,0),IF($F451&amp;""=$X451&amp;"",0,1))))</f>
        <v/>
      </c>
    </row>
    <row r="452" spans="24:25" ht="13.5" customHeight="1" x14ac:dyDescent="0.3">
      <c r="X452" s="193" t="str">
        <f>IF($Q452="","",IFERROR(INDEX(BD_KPIs!$F$2:$F$1300,MATCH($Q452,BD_KPIs!$Q$2:$Q$1300,0)),"n/d"))</f>
        <v/>
      </c>
      <c r="Y452" s="193" t="str">
        <f>IF($Q452="","",IF(COUNTIFS($Q$2:$Q$1300,$Q452,$U$2:$U$1300,"&gt;"&amp;$U452)&gt;0,0,IF(AND(ISNUMBER($F452),ISNUMBER($X452)),IF(ABS($F452-$X452)&gt;_QA!$C$6,1,0),IF($F452&amp;""=$X452&amp;"",0,1))))</f>
        <v/>
      </c>
    </row>
    <row r="453" spans="24:25" ht="13.5" customHeight="1" x14ac:dyDescent="0.3">
      <c r="X453" s="193" t="str">
        <f>IF($Q453="","",IFERROR(INDEX(BD_KPIs!$F$2:$F$1300,MATCH($Q453,BD_KPIs!$Q$2:$Q$1300,0)),"n/d"))</f>
        <v/>
      </c>
      <c r="Y453" s="193" t="str">
        <f>IF($Q453="","",IF(COUNTIFS($Q$2:$Q$1300,$Q453,$U$2:$U$1300,"&gt;"&amp;$U453)&gt;0,0,IF(AND(ISNUMBER($F453),ISNUMBER($X453)),IF(ABS($F453-$X453)&gt;_QA!$C$6,1,0),IF($F453&amp;""=$X453&amp;"",0,1))))</f>
        <v/>
      </c>
    </row>
    <row r="454" spans="24:25" ht="13.5" customHeight="1" x14ac:dyDescent="0.3">
      <c r="X454" s="193" t="str">
        <f>IF($Q454="","",IFERROR(INDEX(BD_KPIs!$F$2:$F$1300,MATCH($Q454,BD_KPIs!$Q$2:$Q$1300,0)),"n/d"))</f>
        <v/>
      </c>
      <c r="Y454" s="193" t="str">
        <f>IF($Q454="","",IF(COUNTIFS($Q$2:$Q$1300,$Q454,$U$2:$U$1300,"&gt;"&amp;$U454)&gt;0,0,IF(AND(ISNUMBER($F454),ISNUMBER($X454)),IF(ABS($F454-$X454)&gt;_QA!$C$6,1,0),IF($F454&amp;""=$X454&amp;"",0,1))))</f>
        <v/>
      </c>
    </row>
    <row r="455" spans="24:25" ht="13.5" customHeight="1" x14ac:dyDescent="0.3">
      <c r="X455" s="193" t="str">
        <f>IF($Q455="","",IFERROR(INDEX(BD_KPIs!$F$2:$F$1300,MATCH($Q455,BD_KPIs!$Q$2:$Q$1300,0)),"n/d"))</f>
        <v/>
      </c>
      <c r="Y455" s="193" t="str">
        <f>IF($Q455="","",IF(COUNTIFS($Q$2:$Q$1300,$Q455,$U$2:$U$1300,"&gt;"&amp;$U455)&gt;0,0,IF(AND(ISNUMBER($F455),ISNUMBER($X455)),IF(ABS($F455-$X455)&gt;_QA!$C$6,1,0),IF($F455&amp;""=$X455&amp;"",0,1))))</f>
        <v/>
      </c>
    </row>
    <row r="456" spans="24:25" ht="13.5" customHeight="1" x14ac:dyDescent="0.3">
      <c r="X456" s="193" t="str">
        <f>IF($Q456="","",IFERROR(INDEX(BD_KPIs!$F$2:$F$1300,MATCH($Q456,BD_KPIs!$Q$2:$Q$1300,0)),"n/d"))</f>
        <v/>
      </c>
      <c r="Y456" s="193" t="str">
        <f>IF($Q456="","",IF(COUNTIFS($Q$2:$Q$1300,$Q456,$U$2:$U$1300,"&gt;"&amp;$U456)&gt;0,0,IF(AND(ISNUMBER($F456),ISNUMBER($X456)),IF(ABS($F456-$X456)&gt;_QA!$C$6,1,0),IF($F456&amp;""=$X456&amp;"",0,1))))</f>
        <v/>
      </c>
    </row>
    <row r="457" spans="24:25" ht="13.5" customHeight="1" x14ac:dyDescent="0.3">
      <c r="X457" s="193" t="str">
        <f>IF($Q457="","",IFERROR(INDEX(BD_KPIs!$F$2:$F$1300,MATCH($Q457,BD_KPIs!$Q$2:$Q$1300,0)),"n/d"))</f>
        <v/>
      </c>
      <c r="Y457" s="193" t="str">
        <f>IF($Q457="","",IF(COUNTIFS($Q$2:$Q$1300,$Q457,$U$2:$U$1300,"&gt;"&amp;$U457)&gt;0,0,IF(AND(ISNUMBER($F457),ISNUMBER($X457)),IF(ABS($F457-$X457)&gt;_QA!$C$6,1,0),IF($F457&amp;""=$X457&amp;"",0,1))))</f>
        <v/>
      </c>
    </row>
    <row r="458" spans="24:25" ht="13.5" customHeight="1" x14ac:dyDescent="0.3">
      <c r="X458" s="193" t="str">
        <f>IF($Q458="","",IFERROR(INDEX(BD_KPIs!$F$2:$F$1300,MATCH($Q458,BD_KPIs!$Q$2:$Q$1300,0)),"n/d"))</f>
        <v/>
      </c>
      <c r="Y458" s="193" t="str">
        <f>IF($Q458="","",IF(COUNTIFS($Q$2:$Q$1300,$Q458,$U$2:$U$1300,"&gt;"&amp;$U458)&gt;0,0,IF(AND(ISNUMBER($F458),ISNUMBER($X458)),IF(ABS($F458-$X458)&gt;_QA!$C$6,1,0),IF($F458&amp;""=$X458&amp;"",0,1))))</f>
        <v/>
      </c>
    </row>
    <row r="459" spans="24:25" ht="13.5" customHeight="1" x14ac:dyDescent="0.3">
      <c r="X459" s="193" t="str">
        <f>IF($Q459="","",IFERROR(INDEX(BD_KPIs!$F$2:$F$1300,MATCH($Q459,BD_KPIs!$Q$2:$Q$1300,0)),"n/d"))</f>
        <v/>
      </c>
      <c r="Y459" s="193" t="str">
        <f>IF($Q459="","",IF(COUNTIFS($Q$2:$Q$1300,$Q459,$U$2:$U$1300,"&gt;"&amp;$U459)&gt;0,0,IF(AND(ISNUMBER($F459),ISNUMBER($X459)),IF(ABS($F459-$X459)&gt;_QA!$C$6,1,0),IF($F459&amp;""=$X459&amp;"",0,1))))</f>
        <v/>
      </c>
    </row>
    <row r="460" spans="24:25" ht="13.5" customHeight="1" x14ac:dyDescent="0.3">
      <c r="X460" s="193" t="str">
        <f>IF($Q460="","",IFERROR(INDEX(BD_KPIs!$F$2:$F$1300,MATCH($Q460,BD_KPIs!$Q$2:$Q$1300,0)),"n/d"))</f>
        <v/>
      </c>
      <c r="Y460" s="193" t="str">
        <f>IF($Q460="","",IF(COUNTIFS($Q$2:$Q$1300,$Q460,$U$2:$U$1300,"&gt;"&amp;$U460)&gt;0,0,IF(AND(ISNUMBER($F460),ISNUMBER($X460)),IF(ABS($F460-$X460)&gt;_QA!$C$6,1,0),IF($F460&amp;""=$X460&amp;"",0,1))))</f>
        <v/>
      </c>
    </row>
    <row r="461" spans="24:25" ht="13.5" customHeight="1" x14ac:dyDescent="0.3">
      <c r="X461" s="193" t="str">
        <f>IF($Q461="","",IFERROR(INDEX(BD_KPIs!$F$2:$F$1300,MATCH($Q461,BD_KPIs!$Q$2:$Q$1300,0)),"n/d"))</f>
        <v/>
      </c>
      <c r="Y461" s="193" t="str">
        <f>IF($Q461="","",IF(COUNTIFS($Q$2:$Q$1300,$Q461,$U$2:$U$1300,"&gt;"&amp;$U461)&gt;0,0,IF(AND(ISNUMBER($F461),ISNUMBER($X461)),IF(ABS($F461-$X461)&gt;_QA!$C$6,1,0),IF($F461&amp;""=$X461&amp;"",0,1))))</f>
        <v/>
      </c>
    </row>
    <row r="462" spans="24:25" ht="13.5" customHeight="1" x14ac:dyDescent="0.3">
      <c r="X462" s="193" t="str">
        <f>IF($Q462="","",IFERROR(INDEX(BD_KPIs!$F$2:$F$1300,MATCH($Q462,BD_KPIs!$Q$2:$Q$1300,0)),"n/d"))</f>
        <v/>
      </c>
      <c r="Y462" s="193" t="str">
        <f>IF($Q462="","",IF(COUNTIFS($Q$2:$Q$1300,$Q462,$U$2:$U$1300,"&gt;"&amp;$U462)&gt;0,0,IF(AND(ISNUMBER($F462),ISNUMBER($X462)),IF(ABS($F462-$X462)&gt;_QA!$C$6,1,0),IF($F462&amp;""=$X462&amp;"",0,1))))</f>
        <v/>
      </c>
    </row>
    <row r="463" spans="24:25" ht="13.5" customHeight="1" x14ac:dyDescent="0.3">
      <c r="X463" s="193" t="str">
        <f>IF($Q463="","",IFERROR(INDEX(BD_KPIs!$F$2:$F$1300,MATCH($Q463,BD_KPIs!$Q$2:$Q$1300,0)),"n/d"))</f>
        <v/>
      </c>
      <c r="Y463" s="193" t="str">
        <f>IF($Q463="","",IF(COUNTIFS($Q$2:$Q$1300,$Q463,$U$2:$U$1300,"&gt;"&amp;$U463)&gt;0,0,IF(AND(ISNUMBER($F463),ISNUMBER($X463)),IF(ABS($F463-$X463)&gt;_QA!$C$6,1,0),IF($F463&amp;""=$X463&amp;"",0,1))))</f>
        <v/>
      </c>
    </row>
    <row r="464" spans="24:25" ht="13.5" customHeight="1" x14ac:dyDescent="0.3">
      <c r="X464" s="193" t="str">
        <f>IF($Q464="","",IFERROR(INDEX(BD_KPIs!$F$2:$F$1300,MATCH($Q464,BD_KPIs!$Q$2:$Q$1300,0)),"n/d"))</f>
        <v/>
      </c>
      <c r="Y464" s="193" t="str">
        <f>IF($Q464="","",IF(COUNTIFS($Q$2:$Q$1300,$Q464,$U$2:$U$1300,"&gt;"&amp;$U464)&gt;0,0,IF(AND(ISNUMBER($F464),ISNUMBER($X464)),IF(ABS($F464-$X464)&gt;_QA!$C$6,1,0),IF($F464&amp;""=$X464&amp;"",0,1))))</f>
        <v/>
      </c>
    </row>
    <row r="465" spans="24:25" ht="13.5" customHeight="1" x14ac:dyDescent="0.3">
      <c r="X465" s="193" t="str">
        <f>IF($Q465="","",IFERROR(INDEX(BD_KPIs!$F$2:$F$1300,MATCH($Q465,BD_KPIs!$Q$2:$Q$1300,0)),"n/d"))</f>
        <v/>
      </c>
      <c r="Y465" s="193" t="str">
        <f>IF($Q465="","",IF(COUNTIFS($Q$2:$Q$1300,$Q465,$U$2:$U$1300,"&gt;"&amp;$U465)&gt;0,0,IF(AND(ISNUMBER($F465),ISNUMBER($X465)),IF(ABS($F465-$X465)&gt;_QA!$C$6,1,0),IF($F465&amp;""=$X465&amp;"",0,1))))</f>
        <v/>
      </c>
    </row>
    <row r="466" spans="24:25" ht="13.5" customHeight="1" x14ac:dyDescent="0.3">
      <c r="X466" s="193" t="str">
        <f>IF($Q466="","",IFERROR(INDEX(BD_KPIs!$F$2:$F$1300,MATCH($Q466,BD_KPIs!$Q$2:$Q$1300,0)),"n/d"))</f>
        <v/>
      </c>
      <c r="Y466" s="193" t="str">
        <f>IF($Q466="","",IF(COUNTIFS($Q$2:$Q$1300,$Q466,$U$2:$U$1300,"&gt;"&amp;$U466)&gt;0,0,IF(AND(ISNUMBER($F466),ISNUMBER($X466)),IF(ABS($F466-$X466)&gt;_QA!$C$6,1,0),IF($F466&amp;""=$X466&amp;"",0,1))))</f>
        <v/>
      </c>
    </row>
    <row r="467" spans="24:25" ht="13.5" customHeight="1" x14ac:dyDescent="0.3">
      <c r="X467" s="193" t="str">
        <f>IF($Q467="","",IFERROR(INDEX(BD_KPIs!$F$2:$F$1300,MATCH($Q467,BD_KPIs!$Q$2:$Q$1300,0)),"n/d"))</f>
        <v/>
      </c>
      <c r="Y467" s="193" t="str">
        <f>IF($Q467="","",IF(COUNTIFS($Q$2:$Q$1300,$Q467,$U$2:$U$1300,"&gt;"&amp;$U467)&gt;0,0,IF(AND(ISNUMBER($F467),ISNUMBER($X467)),IF(ABS($F467-$X467)&gt;_QA!$C$6,1,0),IF($F467&amp;""=$X467&amp;"",0,1))))</f>
        <v/>
      </c>
    </row>
    <row r="468" spans="24:25" ht="13.5" customHeight="1" x14ac:dyDescent="0.3">
      <c r="X468" s="193" t="str">
        <f>IF($Q468="","",IFERROR(INDEX(BD_KPIs!$F$2:$F$1300,MATCH($Q468,BD_KPIs!$Q$2:$Q$1300,0)),"n/d"))</f>
        <v/>
      </c>
      <c r="Y468" s="193" t="str">
        <f>IF($Q468="","",IF(COUNTIFS($Q$2:$Q$1300,$Q468,$U$2:$U$1300,"&gt;"&amp;$U468)&gt;0,0,IF(AND(ISNUMBER($F468),ISNUMBER($X468)),IF(ABS($F468-$X468)&gt;_QA!$C$6,1,0),IF($F468&amp;""=$X468&amp;"",0,1))))</f>
        <v/>
      </c>
    </row>
    <row r="469" spans="24:25" ht="13.5" customHeight="1" x14ac:dyDescent="0.3">
      <c r="X469" s="193" t="str">
        <f>IF($Q469="","",IFERROR(INDEX(BD_KPIs!$F$2:$F$1300,MATCH($Q469,BD_KPIs!$Q$2:$Q$1300,0)),"n/d"))</f>
        <v/>
      </c>
      <c r="Y469" s="193" t="str">
        <f>IF($Q469="","",IF(COUNTIFS($Q$2:$Q$1300,$Q469,$U$2:$U$1300,"&gt;"&amp;$U469)&gt;0,0,IF(AND(ISNUMBER($F469),ISNUMBER($X469)),IF(ABS($F469-$X469)&gt;_QA!$C$6,1,0),IF($F469&amp;""=$X469&amp;"",0,1))))</f>
        <v/>
      </c>
    </row>
    <row r="470" spans="24:25" ht="13.5" customHeight="1" x14ac:dyDescent="0.3">
      <c r="X470" s="193" t="str">
        <f>IF($Q470="","",IFERROR(INDEX(BD_KPIs!$F$2:$F$1300,MATCH($Q470,BD_KPIs!$Q$2:$Q$1300,0)),"n/d"))</f>
        <v/>
      </c>
      <c r="Y470" s="193" t="str">
        <f>IF($Q470="","",IF(COUNTIFS($Q$2:$Q$1300,$Q470,$U$2:$U$1300,"&gt;"&amp;$U470)&gt;0,0,IF(AND(ISNUMBER($F470),ISNUMBER($X470)),IF(ABS($F470-$X470)&gt;_QA!$C$6,1,0),IF($F470&amp;""=$X470&amp;"",0,1))))</f>
        <v/>
      </c>
    </row>
    <row r="471" spans="24:25" ht="13.5" customHeight="1" x14ac:dyDescent="0.3">
      <c r="X471" s="193" t="str">
        <f>IF($Q471="","",IFERROR(INDEX(BD_KPIs!$F$2:$F$1300,MATCH($Q471,BD_KPIs!$Q$2:$Q$1300,0)),"n/d"))</f>
        <v/>
      </c>
      <c r="Y471" s="193" t="str">
        <f>IF($Q471="","",IF(COUNTIFS($Q$2:$Q$1300,$Q471,$U$2:$U$1300,"&gt;"&amp;$U471)&gt;0,0,IF(AND(ISNUMBER($F471),ISNUMBER($X471)),IF(ABS($F471-$X471)&gt;_QA!$C$6,1,0),IF($F471&amp;""=$X471&amp;"",0,1))))</f>
        <v/>
      </c>
    </row>
    <row r="472" spans="24:25" ht="13.5" customHeight="1" x14ac:dyDescent="0.3">
      <c r="X472" s="193" t="str">
        <f>IF($Q472="","",IFERROR(INDEX(BD_KPIs!$F$2:$F$1300,MATCH($Q472,BD_KPIs!$Q$2:$Q$1300,0)),"n/d"))</f>
        <v/>
      </c>
      <c r="Y472" s="193" t="str">
        <f>IF($Q472="","",IF(COUNTIFS($Q$2:$Q$1300,$Q472,$U$2:$U$1300,"&gt;"&amp;$U472)&gt;0,0,IF(AND(ISNUMBER($F472),ISNUMBER($X472)),IF(ABS($F472-$X472)&gt;_QA!$C$6,1,0),IF($F472&amp;""=$X472&amp;"",0,1))))</f>
        <v/>
      </c>
    </row>
    <row r="473" spans="24:25" ht="13.5" customHeight="1" x14ac:dyDescent="0.3">
      <c r="X473" s="193" t="str">
        <f>IF($Q473="","",IFERROR(INDEX(BD_KPIs!$F$2:$F$1300,MATCH($Q473,BD_KPIs!$Q$2:$Q$1300,0)),"n/d"))</f>
        <v/>
      </c>
      <c r="Y473" s="193" t="str">
        <f>IF($Q473="","",IF(COUNTIFS($Q$2:$Q$1300,$Q473,$U$2:$U$1300,"&gt;"&amp;$U473)&gt;0,0,IF(AND(ISNUMBER($F473),ISNUMBER($X473)),IF(ABS($F473-$X473)&gt;_QA!$C$6,1,0),IF($F473&amp;""=$X473&amp;"",0,1))))</f>
        <v/>
      </c>
    </row>
    <row r="474" spans="24:25" ht="13.5" customHeight="1" x14ac:dyDescent="0.3">
      <c r="X474" s="193" t="str">
        <f>IF($Q474="","",IFERROR(INDEX(BD_KPIs!$F$2:$F$1300,MATCH($Q474,BD_KPIs!$Q$2:$Q$1300,0)),"n/d"))</f>
        <v/>
      </c>
      <c r="Y474" s="193" t="str">
        <f>IF($Q474="","",IF(COUNTIFS($Q$2:$Q$1300,$Q474,$U$2:$U$1300,"&gt;"&amp;$U474)&gt;0,0,IF(AND(ISNUMBER($F474),ISNUMBER($X474)),IF(ABS($F474-$X474)&gt;_QA!$C$6,1,0),IF($F474&amp;""=$X474&amp;"",0,1))))</f>
        <v/>
      </c>
    </row>
    <row r="475" spans="24:25" ht="13.5" customHeight="1" x14ac:dyDescent="0.3">
      <c r="X475" s="193" t="str">
        <f>IF($Q475="","",IFERROR(INDEX(BD_KPIs!$F$2:$F$1300,MATCH($Q475,BD_KPIs!$Q$2:$Q$1300,0)),"n/d"))</f>
        <v/>
      </c>
      <c r="Y475" s="193" t="str">
        <f>IF($Q475="","",IF(COUNTIFS($Q$2:$Q$1300,$Q475,$U$2:$U$1300,"&gt;"&amp;$U475)&gt;0,0,IF(AND(ISNUMBER($F475),ISNUMBER($X475)),IF(ABS($F475-$X475)&gt;_QA!$C$6,1,0),IF($F475&amp;""=$X475&amp;"",0,1))))</f>
        <v/>
      </c>
    </row>
    <row r="476" spans="24:25" ht="13.5" customHeight="1" x14ac:dyDescent="0.3">
      <c r="X476" s="193" t="str">
        <f>IF($Q476="","",IFERROR(INDEX(BD_KPIs!$F$2:$F$1300,MATCH($Q476,BD_KPIs!$Q$2:$Q$1300,0)),"n/d"))</f>
        <v/>
      </c>
      <c r="Y476" s="193" t="str">
        <f>IF($Q476="","",IF(COUNTIFS($Q$2:$Q$1300,$Q476,$U$2:$U$1300,"&gt;"&amp;$U476)&gt;0,0,IF(AND(ISNUMBER($F476),ISNUMBER($X476)),IF(ABS($F476-$X476)&gt;_QA!$C$6,1,0),IF($F476&amp;""=$X476&amp;"",0,1))))</f>
        <v/>
      </c>
    </row>
    <row r="477" spans="24:25" ht="13.5" customHeight="1" x14ac:dyDescent="0.3">
      <c r="X477" s="193" t="str">
        <f>IF($Q477="","",IFERROR(INDEX(BD_KPIs!$F$2:$F$1300,MATCH($Q477,BD_KPIs!$Q$2:$Q$1300,0)),"n/d"))</f>
        <v/>
      </c>
      <c r="Y477" s="193" t="str">
        <f>IF($Q477="","",IF(COUNTIFS($Q$2:$Q$1300,$Q477,$U$2:$U$1300,"&gt;"&amp;$U477)&gt;0,0,IF(AND(ISNUMBER($F477),ISNUMBER($X477)),IF(ABS($F477-$X477)&gt;_QA!$C$6,1,0),IF($F477&amp;""=$X477&amp;"",0,1))))</f>
        <v/>
      </c>
    </row>
    <row r="478" spans="24:25" ht="13.5" customHeight="1" x14ac:dyDescent="0.3">
      <c r="X478" s="193" t="str">
        <f>IF($Q478="","",IFERROR(INDEX(BD_KPIs!$F$2:$F$1300,MATCH($Q478,BD_KPIs!$Q$2:$Q$1300,0)),"n/d"))</f>
        <v/>
      </c>
      <c r="Y478" s="193" t="str">
        <f>IF($Q478="","",IF(COUNTIFS($Q$2:$Q$1300,$Q478,$U$2:$U$1300,"&gt;"&amp;$U478)&gt;0,0,IF(AND(ISNUMBER($F478),ISNUMBER($X478)),IF(ABS($F478-$X478)&gt;_QA!$C$6,1,0),IF($F478&amp;""=$X478&amp;"",0,1))))</f>
        <v/>
      </c>
    </row>
    <row r="479" spans="24:25" ht="13.5" customHeight="1" x14ac:dyDescent="0.3">
      <c r="X479" s="193" t="str">
        <f>IF($Q479="","",IFERROR(INDEX(BD_KPIs!$F$2:$F$1300,MATCH($Q479,BD_KPIs!$Q$2:$Q$1300,0)),"n/d"))</f>
        <v/>
      </c>
      <c r="Y479" s="193" t="str">
        <f>IF($Q479="","",IF(COUNTIFS($Q$2:$Q$1300,$Q479,$U$2:$U$1300,"&gt;"&amp;$U479)&gt;0,0,IF(AND(ISNUMBER($F479),ISNUMBER($X479)),IF(ABS($F479-$X479)&gt;_QA!$C$6,1,0),IF($F479&amp;""=$X479&amp;"",0,1))))</f>
        <v/>
      </c>
    </row>
    <row r="480" spans="24:25" ht="13.5" customHeight="1" x14ac:dyDescent="0.3">
      <c r="X480" s="193" t="str">
        <f>IF($Q480="","",IFERROR(INDEX(BD_KPIs!$F$2:$F$1300,MATCH($Q480,BD_KPIs!$Q$2:$Q$1300,0)),"n/d"))</f>
        <v/>
      </c>
      <c r="Y480" s="193" t="str">
        <f>IF($Q480="","",IF(COUNTIFS($Q$2:$Q$1300,$Q480,$U$2:$U$1300,"&gt;"&amp;$U480)&gt;0,0,IF(AND(ISNUMBER($F480),ISNUMBER($X480)),IF(ABS($F480-$X480)&gt;_QA!$C$6,1,0),IF($F480&amp;""=$X480&amp;"",0,1))))</f>
        <v/>
      </c>
    </row>
    <row r="481" spans="24:25" ht="13.5" customHeight="1" x14ac:dyDescent="0.3">
      <c r="X481" s="193" t="str">
        <f>IF($Q481="","",IFERROR(INDEX(BD_KPIs!$F$2:$F$1300,MATCH($Q481,BD_KPIs!$Q$2:$Q$1300,0)),"n/d"))</f>
        <v/>
      </c>
      <c r="Y481" s="193" t="str">
        <f>IF($Q481="","",IF(COUNTIFS($Q$2:$Q$1300,$Q481,$U$2:$U$1300,"&gt;"&amp;$U481)&gt;0,0,IF(AND(ISNUMBER($F481),ISNUMBER($X481)),IF(ABS($F481-$X481)&gt;_QA!$C$6,1,0),IF($F481&amp;""=$X481&amp;"",0,1))))</f>
        <v/>
      </c>
    </row>
    <row r="482" spans="24:25" ht="13.5" customHeight="1" x14ac:dyDescent="0.3">
      <c r="X482" s="193" t="str">
        <f>IF($Q482="","",IFERROR(INDEX(BD_KPIs!$F$2:$F$1300,MATCH($Q482,BD_KPIs!$Q$2:$Q$1300,0)),"n/d"))</f>
        <v/>
      </c>
      <c r="Y482" s="193" t="str">
        <f>IF($Q482="","",IF(COUNTIFS($Q$2:$Q$1300,$Q482,$U$2:$U$1300,"&gt;"&amp;$U482)&gt;0,0,IF(AND(ISNUMBER($F482),ISNUMBER($X482)),IF(ABS($F482-$X482)&gt;_QA!$C$6,1,0),IF($F482&amp;""=$X482&amp;"",0,1))))</f>
        <v/>
      </c>
    </row>
    <row r="483" spans="24:25" ht="13.5" customHeight="1" x14ac:dyDescent="0.3">
      <c r="X483" s="193" t="str">
        <f>IF($Q483="","",IFERROR(INDEX(BD_KPIs!$F$2:$F$1300,MATCH($Q483,BD_KPIs!$Q$2:$Q$1300,0)),"n/d"))</f>
        <v/>
      </c>
      <c r="Y483" s="193" t="str">
        <f>IF($Q483="","",IF(COUNTIFS($Q$2:$Q$1300,$Q483,$U$2:$U$1300,"&gt;"&amp;$U483)&gt;0,0,IF(AND(ISNUMBER($F483),ISNUMBER($X483)),IF(ABS($F483-$X483)&gt;_QA!$C$6,1,0),IF($F483&amp;""=$X483&amp;"",0,1))))</f>
        <v/>
      </c>
    </row>
    <row r="484" spans="24:25" ht="13.5" customHeight="1" x14ac:dyDescent="0.3">
      <c r="X484" s="193" t="str">
        <f>IF($Q484="","",IFERROR(INDEX(BD_KPIs!$F$2:$F$1300,MATCH($Q484,BD_KPIs!$Q$2:$Q$1300,0)),"n/d"))</f>
        <v/>
      </c>
      <c r="Y484" s="193" t="str">
        <f>IF($Q484="","",IF(COUNTIFS($Q$2:$Q$1300,$Q484,$U$2:$U$1300,"&gt;"&amp;$U484)&gt;0,0,IF(AND(ISNUMBER($F484),ISNUMBER($X484)),IF(ABS($F484-$X484)&gt;_QA!$C$6,1,0),IF($F484&amp;""=$X484&amp;"",0,1))))</f>
        <v/>
      </c>
    </row>
    <row r="485" spans="24:25" ht="13.5" customHeight="1" x14ac:dyDescent="0.3">
      <c r="X485" s="193" t="str">
        <f>IF($Q485="","",IFERROR(INDEX(BD_KPIs!$F$2:$F$1300,MATCH($Q485,BD_KPIs!$Q$2:$Q$1300,0)),"n/d"))</f>
        <v/>
      </c>
      <c r="Y485" s="193" t="str">
        <f>IF($Q485="","",IF(COUNTIFS($Q$2:$Q$1300,$Q485,$U$2:$U$1300,"&gt;"&amp;$U485)&gt;0,0,IF(AND(ISNUMBER($F485),ISNUMBER($X485)),IF(ABS($F485-$X485)&gt;_QA!$C$6,1,0),IF($F485&amp;""=$X485&amp;"",0,1))))</f>
        <v/>
      </c>
    </row>
    <row r="486" spans="24:25" ht="13.5" customHeight="1" x14ac:dyDescent="0.3">
      <c r="X486" s="193" t="str">
        <f>IF($Q486="","",IFERROR(INDEX(BD_KPIs!$F$2:$F$1300,MATCH($Q486,BD_KPIs!$Q$2:$Q$1300,0)),"n/d"))</f>
        <v/>
      </c>
      <c r="Y486" s="193" t="str">
        <f>IF($Q486="","",IF(COUNTIFS($Q$2:$Q$1300,$Q486,$U$2:$U$1300,"&gt;"&amp;$U486)&gt;0,0,IF(AND(ISNUMBER($F486),ISNUMBER($X486)),IF(ABS($F486-$X486)&gt;_QA!$C$6,1,0),IF($F486&amp;""=$X486&amp;"",0,1))))</f>
        <v/>
      </c>
    </row>
    <row r="487" spans="24:25" ht="13.5" customHeight="1" x14ac:dyDescent="0.3">
      <c r="X487" s="193" t="str">
        <f>IF($Q487="","",IFERROR(INDEX(BD_KPIs!$F$2:$F$1300,MATCH($Q487,BD_KPIs!$Q$2:$Q$1300,0)),"n/d"))</f>
        <v/>
      </c>
      <c r="Y487" s="193" t="str">
        <f>IF($Q487="","",IF(COUNTIFS($Q$2:$Q$1300,$Q487,$U$2:$U$1300,"&gt;"&amp;$U487)&gt;0,0,IF(AND(ISNUMBER($F487),ISNUMBER($X487)),IF(ABS($F487-$X487)&gt;_QA!$C$6,1,0),IF($F487&amp;""=$X487&amp;"",0,1))))</f>
        <v/>
      </c>
    </row>
    <row r="488" spans="24:25" ht="13.5" customHeight="1" x14ac:dyDescent="0.3">
      <c r="X488" s="193" t="str">
        <f>IF($Q488="","",IFERROR(INDEX(BD_KPIs!$F$2:$F$1300,MATCH($Q488,BD_KPIs!$Q$2:$Q$1300,0)),"n/d"))</f>
        <v/>
      </c>
      <c r="Y488" s="193" t="str">
        <f>IF($Q488="","",IF(COUNTIFS($Q$2:$Q$1300,$Q488,$U$2:$U$1300,"&gt;"&amp;$U488)&gt;0,0,IF(AND(ISNUMBER($F488),ISNUMBER($X488)),IF(ABS($F488-$X488)&gt;_QA!$C$6,1,0),IF($F488&amp;""=$X488&amp;"",0,1))))</f>
        <v/>
      </c>
    </row>
    <row r="489" spans="24:25" ht="13.5" customHeight="1" x14ac:dyDescent="0.3">
      <c r="X489" s="193" t="str">
        <f>IF($Q489="","",IFERROR(INDEX(BD_KPIs!$F$2:$F$1300,MATCH($Q489,BD_KPIs!$Q$2:$Q$1300,0)),"n/d"))</f>
        <v/>
      </c>
      <c r="Y489" s="193" t="str">
        <f>IF($Q489="","",IF(COUNTIFS($Q$2:$Q$1300,$Q489,$U$2:$U$1300,"&gt;"&amp;$U489)&gt;0,0,IF(AND(ISNUMBER($F489),ISNUMBER($X489)),IF(ABS($F489-$X489)&gt;_QA!$C$6,1,0),IF($F489&amp;""=$X489&amp;"",0,1))))</f>
        <v/>
      </c>
    </row>
    <row r="490" spans="24:25" ht="13.5" customHeight="1" x14ac:dyDescent="0.3">
      <c r="X490" s="193" t="str">
        <f>IF($Q490="","",IFERROR(INDEX(BD_KPIs!$F$2:$F$1300,MATCH($Q490,BD_KPIs!$Q$2:$Q$1300,0)),"n/d"))</f>
        <v/>
      </c>
      <c r="Y490" s="193" t="str">
        <f>IF($Q490="","",IF(COUNTIFS($Q$2:$Q$1300,$Q490,$U$2:$U$1300,"&gt;"&amp;$U490)&gt;0,0,IF(AND(ISNUMBER($F490),ISNUMBER($X490)),IF(ABS($F490-$X490)&gt;_QA!$C$6,1,0),IF($F490&amp;""=$X490&amp;"",0,1))))</f>
        <v/>
      </c>
    </row>
    <row r="491" spans="24:25" ht="13.5" customHeight="1" x14ac:dyDescent="0.3">
      <c r="X491" s="193" t="str">
        <f>IF($Q491="","",IFERROR(INDEX(BD_KPIs!$F$2:$F$1300,MATCH($Q491,BD_KPIs!$Q$2:$Q$1300,0)),"n/d"))</f>
        <v/>
      </c>
      <c r="Y491" s="193" t="str">
        <f>IF($Q491="","",IF(COUNTIFS($Q$2:$Q$1300,$Q491,$U$2:$U$1300,"&gt;"&amp;$U491)&gt;0,0,IF(AND(ISNUMBER($F491),ISNUMBER($X491)),IF(ABS($F491-$X491)&gt;_QA!$C$6,1,0),IF($F491&amp;""=$X491&amp;"",0,1))))</f>
        <v/>
      </c>
    </row>
    <row r="492" spans="24:25" ht="13.5" customHeight="1" x14ac:dyDescent="0.3">
      <c r="X492" s="193" t="str">
        <f>IF($Q492="","",IFERROR(INDEX(BD_KPIs!$F$2:$F$1300,MATCH($Q492,BD_KPIs!$Q$2:$Q$1300,0)),"n/d"))</f>
        <v/>
      </c>
      <c r="Y492" s="193" t="str">
        <f>IF($Q492="","",IF(COUNTIFS($Q$2:$Q$1300,$Q492,$U$2:$U$1300,"&gt;"&amp;$U492)&gt;0,0,IF(AND(ISNUMBER($F492),ISNUMBER($X492)),IF(ABS($F492-$X492)&gt;_QA!$C$6,1,0),IF($F492&amp;""=$X492&amp;"",0,1))))</f>
        <v/>
      </c>
    </row>
    <row r="493" spans="24:25" ht="13.5" customHeight="1" x14ac:dyDescent="0.3">
      <c r="X493" s="193" t="str">
        <f>IF($Q493="","",IFERROR(INDEX(BD_KPIs!$F$2:$F$1300,MATCH($Q493,BD_KPIs!$Q$2:$Q$1300,0)),"n/d"))</f>
        <v/>
      </c>
      <c r="Y493" s="193" t="str">
        <f>IF($Q493="","",IF(COUNTIFS($Q$2:$Q$1300,$Q493,$U$2:$U$1300,"&gt;"&amp;$U493)&gt;0,0,IF(AND(ISNUMBER($F493),ISNUMBER($X493)),IF(ABS($F493-$X493)&gt;_QA!$C$6,1,0),IF($F493&amp;""=$X493&amp;"",0,1))))</f>
        <v/>
      </c>
    </row>
    <row r="494" spans="24:25" ht="13.5" customHeight="1" x14ac:dyDescent="0.3">
      <c r="X494" s="193" t="str">
        <f>IF($Q494="","",IFERROR(INDEX(BD_KPIs!$F$2:$F$1300,MATCH($Q494,BD_KPIs!$Q$2:$Q$1300,0)),"n/d"))</f>
        <v/>
      </c>
      <c r="Y494" s="193" t="str">
        <f>IF($Q494="","",IF(COUNTIFS($Q$2:$Q$1300,$Q494,$U$2:$U$1300,"&gt;"&amp;$U494)&gt;0,0,IF(AND(ISNUMBER($F494),ISNUMBER($X494)),IF(ABS($F494-$X494)&gt;_QA!$C$6,1,0),IF($F494&amp;""=$X494&amp;"",0,1))))</f>
        <v/>
      </c>
    </row>
    <row r="495" spans="24:25" ht="13.5" customHeight="1" x14ac:dyDescent="0.3">
      <c r="X495" s="193" t="str">
        <f>IF($Q495="","",IFERROR(INDEX(BD_KPIs!$F$2:$F$1300,MATCH($Q495,BD_KPIs!$Q$2:$Q$1300,0)),"n/d"))</f>
        <v/>
      </c>
      <c r="Y495" s="193" t="str">
        <f>IF($Q495="","",IF(COUNTIFS($Q$2:$Q$1300,$Q495,$U$2:$U$1300,"&gt;"&amp;$U495)&gt;0,0,IF(AND(ISNUMBER($F495),ISNUMBER($X495)),IF(ABS($F495-$X495)&gt;_QA!$C$6,1,0),IF($F495&amp;""=$X495&amp;"",0,1))))</f>
        <v/>
      </c>
    </row>
    <row r="496" spans="24:25" ht="13.5" customHeight="1" x14ac:dyDescent="0.3">
      <c r="X496" s="193" t="str">
        <f>IF($Q496="","",IFERROR(INDEX(BD_KPIs!$F$2:$F$1300,MATCH($Q496,BD_KPIs!$Q$2:$Q$1300,0)),"n/d"))</f>
        <v/>
      </c>
      <c r="Y496" s="193" t="str">
        <f>IF($Q496="","",IF(COUNTIFS($Q$2:$Q$1300,$Q496,$U$2:$U$1300,"&gt;"&amp;$U496)&gt;0,0,IF(AND(ISNUMBER($F496),ISNUMBER($X496)),IF(ABS($F496-$X496)&gt;_QA!$C$6,1,0),IF($F496&amp;""=$X496&amp;"",0,1))))</f>
        <v/>
      </c>
    </row>
    <row r="497" spans="24:25" ht="13.5" customHeight="1" x14ac:dyDescent="0.3">
      <c r="X497" s="193" t="str">
        <f>IF($Q497="","",IFERROR(INDEX(BD_KPIs!$F$2:$F$1300,MATCH($Q497,BD_KPIs!$Q$2:$Q$1300,0)),"n/d"))</f>
        <v/>
      </c>
      <c r="Y497" s="193" t="str">
        <f>IF($Q497="","",IF(COUNTIFS($Q$2:$Q$1300,$Q497,$U$2:$U$1300,"&gt;"&amp;$U497)&gt;0,0,IF(AND(ISNUMBER($F497),ISNUMBER($X497)),IF(ABS($F497-$X497)&gt;_QA!$C$6,1,0),IF($F497&amp;""=$X497&amp;"",0,1))))</f>
        <v/>
      </c>
    </row>
    <row r="498" spans="24:25" ht="13.5" customHeight="1" x14ac:dyDescent="0.3">
      <c r="X498" s="193" t="str">
        <f>IF($Q498="","",IFERROR(INDEX(BD_KPIs!$F$2:$F$1300,MATCH($Q498,BD_KPIs!$Q$2:$Q$1300,0)),"n/d"))</f>
        <v/>
      </c>
      <c r="Y498" s="193" t="str">
        <f>IF($Q498="","",IF(COUNTIFS($Q$2:$Q$1300,$Q498,$U$2:$U$1300,"&gt;"&amp;$U498)&gt;0,0,IF(AND(ISNUMBER($F498),ISNUMBER($X498)),IF(ABS($F498-$X498)&gt;_QA!$C$6,1,0),IF($F498&amp;""=$X498&amp;"",0,1))))</f>
        <v/>
      </c>
    </row>
    <row r="499" spans="24:25" ht="13.5" customHeight="1" x14ac:dyDescent="0.3">
      <c r="X499" s="193" t="str">
        <f>IF($Q499="","",IFERROR(INDEX(BD_KPIs!$F$2:$F$1300,MATCH($Q499,BD_KPIs!$Q$2:$Q$1300,0)),"n/d"))</f>
        <v/>
      </c>
      <c r="Y499" s="193" t="str">
        <f>IF($Q499="","",IF(COUNTIFS($Q$2:$Q$1300,$Q499,$U$2:$U$1300,"&gt;"&amp;$U499)&gt;0,0,IF(AND(ISNUMBER($F499),ISNUMBER($X499)),IF(ABS($F499-$X499)&gt;_QA!$C$6,1,0),IF($F499&amp;""=$X499&amp;"",0,1))))</f>
        <v/>
      </c>
    </row>
    <row r="500" spans="24:25" ht="13.5" customHeight="1" x14ac:dyDescent="0.3">
      <c r="X500" s="193" t="str">
        <f>IF($Q500="","",IFERROR(INDEX(BD_KPIs!$F$2:$F$1300,MATCH($Q500,BD_KPIs!$Q$2:$Q$1300,0)),"n/d"))</f>
        <v/>
      </c>
      <c r="Y500" s="193" t="str">
        <f>IF($Q500="","",IF(COUNTIFS($Q$2:$Q$1300,$Q500,$U$2:$U$1300,"&gt;"&amp;$U500)&gt;0,0,IF(AND(ISNUMBER($F500),ISNUMBER($X500)),IF(ABS($F500-$X500)&gt;_QA!$C$6,1,0),IF($F500&amp;""=$X500&amp;"",0,1))))</f>
        <v/>
      </c>
    </row>
    <row r="501" spans="24:25" ht="13.5" customHeight="1" x14ac:dyDescent="0.3">
      <c r="X501" s="193" t="str">
        <f>IF($Q501="","",IFERROR(INDEX(BD_KPIs!$F$2:$F$1300,MATCH($Q501,BD_KPIs!$Q$2:$Q$1300,0)),"n/d"))</f>
        <v/>
      </c>
      <c r="Y501" s="193" t="str">
        <f>IF($Q501="","",IF(COUNTIFS($Q$2:$Q$1300,$Q501,$U$2:$U$1300,"&gt;"&amp;$U501)&gt;0,0,IF(AND(ISNUMBER($F501),ISNUMBER($X501)),IF(ABS($F501-$X501)&gt;_QA!$C$6,1,0),IF($F501&amp;""=$X501&amp;"",0,1))))</f>
        <v/>
      </c>
    </row>
    <row r="502" spans="24:25" ht="13.5" customHeight="1" x14ac:dyDescent="0.3">
      <c r="X502" s="193" t="str">
        <f>IF($Q502="","",IFERROR(INDEX(BD_KPIs!$F$2:$F$1300,MATCH($Q502,BD_KPIs!$Q$2:$Q$1300,0)),"n/d"))</f>
        <v/>
      </c>
      <c r="Y502" s="193" t="str">
        <f>IF($Q502="","",IF(COUNTIFS($Q$2:$Q$1300,$Q502,$U$2:$U$1300,"&gt;"&amp;$U502)&gt;0,0,IF(AND(ISNUMBER($F502),ISNUMBER($X502)),IF(ABS($F502-$X502)&gt;_QA!$C$6,1,0),IF($F502&amp;""=$X502&amp;"",0,1))))</f>
        <v/>
      </c>
    </row>
    <row r="503" spans="24:25" ht="13.5" customHeight="1" x14ac:dyDescent="0.3">
      <c r="X503" s="193" t="str">
        <f>IF($Q503="","",IFERROR(INDEX(BD_KPIs!$F$2:$F$1300,MATCH($Q503,BD_KPIs!$Q$2:$Q$1300,0)),"n/d"))</f>
        <v/>
      </c>
      <c r="Y503" s="193" t="str">
        <f>IF($Q503="","",IF(COUNTIFS($Q$2:$Q$1300,$Q503,$U$2:$U$1300,"&gt;"&amp;$U503)&gt;0,0,IF(AND(ISNUMBER($F503),ISNUMBER($X503)),IF(ABS($F503-$X503)&gt;_QA!$C$6,1,0),IF($F503&amp;""=$X503&amp;"",0,1))))</f>
        <v/>
      </c>
    </row>
    <row r="504" spans="24:25" ht="13.5" customHeight="1" x14ac:dyDescent="0.3">
      <c r="X504" s="193" t="str">
        <f>IF($Q504="","",IFERROR(INDEX(BD_KPIs!$F$2:$F$1300,MATCH($Q504,BD_KPIs!$Q$2:$Q$1300,0)),"n/d"))</f>
        <v/>
      </c>
      <c r="Y504" s="193" t="str">
        <f>IF($Q504="","",IF(COUNTIFS($Q$2:$Q$1300,$Q504,$U$2:$U$1300,"&gt;"&amp;$U504)&gt;0,0,IF(AND(ISNUMBER($F504),ISNUMBER($X504)),IF(ABS($F504-$X504)&gt;_QA!$C$6,1,0),IF($F504&amp;""=$X504&amp;"",0,1))))</f>
        <v/>
      </c>
    </row>
    <row r="505" spans="24:25" ht="13.5" customHeight="1" x14ac:dyDescent="0.3">
      <c r="X505" s="193" t="str">
        <f>IF($Q505="","",IFERROR(INDEX(BD_KPIs!$F$2:$F$1300,MATCH($Q505,BD_KPIs!$Q$2:$Q$1300,0)),"n/d"))</f>
        <v/>
      </c>
      <c r="Y505" s="193" t="str">
        <f>IF($Q505="","",IF(COUNTIFS($Q$2:$Q$1300,$Q505,$U$2:$U$1300,"&gt;"&amp;$U505)&gt;0,0,IF(AND(ISNUMBER($F505),ISNUMBER($X505)),IF(ABS($F505-$X505)&gt;_QA!$C$6,1,0),IF($F505&amp;""=$X505&amp;"",0,1))))</f>
        <v/>
      </c>
    </row>
    <row r="506" spans="24:25" ht="13.5" customHeight="1" x14ac:dyDescent="0.3">
      <c r="X506" s="193" t="str">
        <f>IF($Q506="","",IFERROR(INDEX(BD_KPIs!$F$2:$F$1300,MATCH($Q506,BD_KPIs!$Q$2:$Q$1300,0)),"n/d"))</f>
        <v/>
      </c>
      <c r="Y506" s="193" t="str">
        <f>IF($Q506="","",IF(COUNTIFS($Q$2:$Q$1300,$Q506,$U$2:$U$1300,"&gt;"&amp;$U506)&gt;0,0,IF(AND(ISNUMBER($F506),ISNUMBER($X506)),IF(ABS($F506-$X506)&gt;_QA!$C$6,1,0),IF($F506&amp;""=$X506&amp;"",0,1))))</f>
        <v/>
      </c>
    </row>
    <row r="507" spans="24:25" ht="13.5" customHeight="1" x14ac:dyDescent="0.3">
      <c r="X507" s="193" t="str">
        <f>IF($Q507="","",IFERROR(INDEX(BD_KPIs!$F$2:$F$1300,MATCH($Q507,BD_KPIs!$Q$2:$Q$1300,0)),"n/d"))</f>
        <v/>
      </c>
      <c r="Y507" s="193" t="str">
        <f>IF($Q507="","",IF(COUNTIFS($Q$2:$Q$1300,$Q507,$U$2:$U$1300,"&gt;"&amp;$U507)&gt;0,0,IF(AND(ISNUMBER($F507),ISNUMBER($X507)),IF(ABS($F507-$X507)&gt;_QA!$C$6,1,0),IF($F507&amp;""=$X507&amp;"",0,1))))</f>
        <v/>
      </c>
    </row>
    <row r="508" spans="24:25" ht="13.5" customHeight="1" x14ac:dyDescent="0.3">
      <c r="X508" s="193" t="str">
        <f>IF($Q508="","",IFERROR(INDEX(BD_KPIs!$F$2:$F$1300,MATCH($Q508,BD_KPIs!$Q$2:$Q$1300,0)),"n/d"))</f>
        <v/>
      </c>
      <c r="Y508" s="193" t="str">
        <f>IF($Q508="","",IF(COUNTIFS($Q$2:$Q$1300,$Q508,$U$2:$U$1300,"&gt;"&amp;$U508)&gt;0,0,IF(AND(ISNUMBER($F508),ISNUMBER($X508)),IF(ABS($F508-$X508)&gt;_QA!$C$6,1,0),IF($F508&amp;""=$X508&amp;"",0,1))))</f>
        <v/>
      </c>
    </row>
    <row r="509" spans="24:25" ht="13.5" customHeight="1" x14ac:dyDescent="0.3">
      <c r="X509" s="193" t="str">
        <f>IF($Q509="","",IFERROR(INDEX(BD_KPIs!$F$2:$F$1300,MATCH($Q509,BD_KPIs!$Q$2:$Q$1300,0)),"n/d"))</f>
        <v/>
      </c>
      <c r="Y509" s="193" t="str">
        <f>IF($Q509="","",IF(COUNTIFS($Q$2:$Q$1300,$Q509,$U$2:$U$1300,"&gt;"&amp;$U509)&gt;0,0,IF(AND(ISNUMBER($F509),ISNUMBER($X509)),IF(ABS($F509-$X509)&gt;_QA!$C$6,1,0),IF($F509&amp;""=$X509&amp;"",0,1))))</f>
        <v/>
      </c>
    </row>
    <row r="510" spans="24:25" ht="13.5" customHeight="1" x14ac:dyDescent="0.3">
      <c r="X510" s="193" t="str">
        <f>IF($Q510="","",IFERROR(INDEX(BD_KPIs!$F$2:$F$1300,MATCH($Q510,BD_KPIs!$Q$2:$Q$1300,0)),"n/d"))</f>
        <v/>
      </c>
      <c r="Y510" s="193" t="str">
        <f>IF($Q510="","",IF(COUNTIFS($Q$2:$Q$1300,$Q510,$U$2:$U$1300,"&gt;"&amp;$U510)&gt;0,0,IF(AND(ISNUMBER($F510),ISNUMBER($X510)),IF(ABS($F510-$X510)&gt;_QA!$C$6,1,0),IF($F510&amp;""=$X510&amp;"",0,1))))</f>
        <v/>
      </c>
    </row>
    <row r="511" spans="24:25" ht="13.5" customHeight="1" x14ac:dyDescent="0.3">
      <c r="X511" s="193" t="str">
        <f>IF($Q511="","",IFERROR(INDEX(BD_KPIs!$F$2:$F$1300,MATCH($Q511,BD_KPIs!$Q$2:$Q$1300,0)),"n/d"))</f>
        <v/>
      </c>
      <c r="Y511" s="193" t="str">
        <f>IF($Q511="","",IF(COUNTIFS($Q$2:$Q$1300,$Q511,$U$2:$U$1300,"&gt;"&amp;$U511)&gt;0,0,IF(AND(ISNUMBER($F511),ISNUMBER($X511)),IF(ABS($F511-$X511)&gt;_QA!$C$6,1,0),IF($F511&amp;""=$X511&amp;"",0,1))))</f>
        <v/>
      </c>
    </row>
    <row r="512" spans="24:25" ht="13.5" customHeight="1" x14ac:dyDescent="0.3">
      <c r="X512" s="193" t="str">
        <f>IF($Q512="","",IFERROR(INDEX(BD_KPIs!$F$2:$F$1300,MATCH($Q512,BD_KPIs!$Q$2:$Q$1300,0)),"n/d"))</f>
        <v/>
      </c>
      <c r="Y512" s="193" t="str">
        <f>IF($Q512="","",IF(COUNTIFS($Q$2:$Q$1300,$Q512,$U$2:$U$1300,"&gt;"&amp;$U512)&gt;0,0,IF(AND(ISNUMBER($F512),ISNUMBER($X512)),IF(ABS($F512-$X512)&gt;_QA!$C$6,1,0),IF($F512&amp;""=$X512&amp;"",0,1))))</f>
        <v/>
      </c>
    </row>
    <row r="513" spans="24:25" ht="13.5" customHeight="1" x14ac:dyDescent="0.3">
      <c r="X513" s="193" t="str">
        <f>IF($Q513="","",IFERROR(INDEX(BD_KPIs!$F$2:$F$1300,MATCH($Q513,BD_KPIs!$Q$2:$Q$1300,0)),"n/d"))</f>
        <v/>
      </c>
      <c r="Y513" s="193" t="str">
        <f>IF($Q513="","",IF(COUNTIFS($Q$2:$Q$1300,$Q513,$U$2:$U$1300,"&gt;"&amp;$U513)&gt;0,0,IF(AND(ISNUMBER($F513),ISNUMBER($X513)),IF(ABS($F513-$X513)&gt;_QA!$C$6,1,0),IF($F513&amp;""=$X513&amp;"",0,1))))</f>
        <v/>
      </c>
    </row>
    <row r="514" spans="24:25" ht="13.5" customHeight="1" x14ac:dyDescent="0.3">
      <c r="X514" s="193" t="str">
        <f>IF($Q514="","",IFERROR(INDEX(BD_KPIs!$F$2:$F$1300,MATCH($Q514,BD_KPIs!$Q$2:$Q$1300,0)),"n/d"))</f>
        <v/>
      </c>
      <c r="Y514" s="193" t="str">
        <f>IF($Q514="","",IF(COUNTIFS($Q$2:$Q$1300,$Q514,$U$2:$U$1300,"&gt;"&amp;$U514)&gt;0,0,IF(AND(ISNUMBER($F514),ISNUMBER($X514)),IF(ABS($F514-$X514)&gt;_QA!$C$6,1,0),IF($F514&amp;""=$X514&amp;"",0,1))))</f>
        <v/>
      </c>
    </row>
    <row r="515" spans="24:25" ht="13.5" customHeight="1" x14ac:dyDescent="0.3">
      <c r="X515" s="193" t="str">
        <f>IF($Q515="","",IFERROR(INDEX(BD_KPIs!$F$2:$F$1300,MATCH($Q515,BD_KPIs!$Q$2:$Q$1300,0)),"n/d"))</f>
        <v/>
      </c>
      <c r="Y515" s="193" t="str">
        <f>IF($Q515="","",IF(COUNTIFS($Q$2:$Q$1300,$Q515,$U$2:$U$1300,"&gt;"&amp;$U515)&gt;0,0,IF(AND(ISNUMBER($F515),ISNUMBER($X515)),IF(ABS($F515-$X515)&gt;_QA!$C$6,1,0),IF($F515&amp;""=$X515&amp;"",0,1))))</f>
        <v/>
      </c>
    </row>
    <row r="516" spans="24:25" ht="13.5" customHeight="1" x14ac:dyDescent="0.3">
      <c r="X516" s="193" t="str">
        <f>IF($Q516="","",IFERROR(INDEX(BD_KPIs!$F$2:$F$1300,MATCH($Q516,BD_KPIs!$Q$2:$Q$1300,0)),"n/d"))</f>
        <v/>
      </c>
      <c r="Y516" s="193" t="str">
        <f>IF($Q516="","",IF(COUNTIFS($Q$2:$Q$1300,$Q516,$U$2:$U$1300,"&gt;"&amp;$U516)&gt;0,0,IF(AND(ISNUMBER($F516),ISNUMBER($X516)),IF(ABS($F516-$X516)&gt;_QA!$C$6,1,0),IF($F516&amp;""=$X516&amp;"",0,1))))</f>
        <v/>
      </c>
    </row>
    <row r="517" spans="24:25" ht="13.5" customHeight="1" x14ac:dyDescent="0.3">
      <c r="X517" s="193" t="str">
        <f>IF($Q517="","",IFERROR(INDEX(BD_KPIs!$F$2:$F$1300,MATCH($Q517,BD_KPIs!$Q$2:$Q$1300,0)),"n/d"))</f>
        <v/>
      </c>
      <c r="Y517" s="193" t="str">
        <f>IF($Q517="","",IF(COUNTIFS($Q$2:$Q$1300,$Q517,$U$2:$U$1300,"&gt;"&amp;$U517)&gt;0,0,IF(AND(ISNUMBER($F517),ISNUMBER($X517)),IF(ABS($F517-$X517)&gt;_QA!$C$6,1,0),IF($F517&amp;""=$X517&amp;"",0,1))))</f>
        <v/>
      </c>
    </row>
    <row r="518" spans="24:25" ht="13.5" customHeight="1" x14ac:dyDescent="0.3">
      <c r="X518" s="193" t="str">
        <f>IF($Q518="","",IFERROR(INDEX(BD_KPIs!$F$2:$F$1300,MATCH($Q518,BD_KPIs!$Q$2:$Q$1300,0)),"n/d"))</f>
        <v/>
      </c>
      <c r="Y518" s="193" t="str">
        <f>IF($Q518="","",IF(COUNTIFS($Q$2:$Q$1300,$Q518,$U$2:$U$1300,"&gt;"&amp;$U518)&gt;0,0,IF(AND(ISNUMBER($F518),ISNUMBER($X518)),IF(ABS($F518-$X518)&gt;_QA!$C$6,1,0),IF($F518&amp;""=$X518&amp;"",0,1))))</f>
        <v/>
      </c>
    </row>
    <row r="519" spans="24:25" ht="13.5" customHeight="1" x14ac:dyDescent="0.3">
      <c r="X519" s="193" t="str">
        <f>IF($Q519="","",IFERROR(INDEX(BD_KPIs!$F$2:$F$1300,MATCH($Q519,BD_KPIs!$Q$2:$Q$1300,0)),"n/d"))</f>
        <v/>
      </c>
      <c r="Y519" s="193" t="str">
        <f>IF($Q519="","",IF(COUNTIFS($Q$2:$Q$1300,$Q519,$U$2:$U$1300,"&gt;"&amp;$U519)&gt;0,0,IF(AND(ISNUMBER($F519),ISNUMBER($X519)),IF(ABS($F519-$X519)&gt;_QA!$C$6,1,0),IF($F519&amp;""=$X519&amp;"",0,1))))</f>
        <v/>
      </c>
    </row>
    <row r="520" spans="24:25" ht="13.5" customHeight="1" x14ac:dyDescent="0.3">
      <c r="X520" s="193" t="str">
        <f>IF($Q520="","",IFERROR(INDEX(BD_KPIs!$F$2:$F$1300,MATCH($Q520,BD_KPIs!$Q$2:$Q$1300,0)),"n/d"))</f>
        <v/>
      </c>
      <c r="Y520" s="193" t="str">
        <f>IF($Q520="","",IF(COUNTIFS($Q$2:$Q$1300,$Q520,$U$2:$U$1300,"&gt;"&amp;$U520)&gt;0,0,IF(AND(ISNUMBER($F520),ISNUMBER($X520)),IF(ABS($F520-$X520)&gt;_QA!$C$6,1,0),IF($F520&amp;""=$X520&amp;"",0,1))))</f>
        <v/>
      </c>
    </row>
    <row r="521" spans="24:25" ht="13.5" customHeight="1" x14ac:dyDescent="0.3">
      <c r="X521" s="193" t="str">
        <f>IF($Q521="","",IFERROR(INDEX(BD_KPIs!$F$2:$F$1300,MATCH($Q521,BD_KPIs!$Q$2:$Q$1300,0)),"n/d"))</f>
        <v/>
      </c>
      <c r="Y521" s="193" t="str">
        <f>IF($Q521="","",IF(COUNTIFS($Q$2:$Q$1300,$Q521,$U$2:$U$1300,"&gt;"&amp;$U521)&gt;0,0,IF(AND(ISNUMBER($F521),ISNUMBER($X521)),IF(ABS($F521-$X521)&gt;_QA!$C$6,1,0),IF($F521&amp;""=$X521&amp;"",0,1))))</f>
        <v/>
      </c>
    </row>
    <row r="522" spans="24:25" ht="13.5" customHeight="1" x14ac:dyDescent="0.3">
      <c r="X522" s="193" t="str">
        <f>IF($Q522="","",IFERROR(INDEX(BD_KPIs!$F$2:$F$1300,MATCH($Q522,BD_KPIs!$Q$2:$Q$1300,0)),"n/d"))</f>
        <v/>
      </c>
      <c r="Y522" s="193" t="str">
        <f>IF($Q522="","",IF(COUNTIFS($Q$2:$Q$1300,$Q522,$U$2:$U$1300,"&gt;"&amp;$U522)&gt;0,0,IF(AND(ISNUMBER($F522),ISNUMBER($X522)),IF(ABS($F522-$X522)&gt;_QA!$C$6,1,0),IF($F522&amp;""=$X522&amp;"",0,1))))</f>
        <v/>
      </c>
    </row>
    <row r="523" spans="24:25" ht="13.5" customHeight="1" x14ac:dyDescent="0.3">
      <c r="X523" s="193" t="str">
        <f>IF($Q523="","",IFERROR(INDEX(BD_KPIs!$F$2:$F$1300,MATCH($Q523,BD_KPIs!$Q$2:$Q$1300,0)),"n/d"))</f>
        <v/>
      </c>
      <c r="Y523" s="193" t="str">
        <f>IF($Q523="","",IF(COUNTIFS($Q$2:$Q$1300,$Q523,$U$2:$U$1300,"&gt;"&amp;$U523)&gt;0,0,IF(AND(ISNUMBER($F523),ISNUMBER($X523)),IF(ABS($F523-$X523)&gt;_QA!$C$6,1,0),IF($F523&amp;""=$X523&amp;"",0,1))))</f>
        <v/>
      </c>
    </row>
    <row r="524" spans="24:25" ht="13.5" customHeight="1" x14ac:dyDescent="0.3">
      <c r="X524" s="193" t="str">
        <f>IF($Q524="","",IFERROR(INDEX(BD_KPIs!$F$2:$F$1300,MATCH($Q524,BD_KPIs!$Q$2:$Q$1300,0)),"n/d"))</f>
        <v/>
      </c>
      <c r="Y524" s="193" t="str">
        <f>IF($Q524="","",IF(COUNTIFS($Q$2:$Q$1300,$Q524,$U$2:$U$1300,"&gt;"&amp;$U524)&gt;0,0,IF(AND(ISNUMBER($F524),ISNUMBER($X524)),IF(ABS($F524-$X524)&gt;_QA!$C$6,1,0),IF($F524&amp;""=$X524&amp;"",0,1))))</f>
        <v/>
      </c>
    </row>
    <row r="525" spans="24:25" ht="13.5" customHeight="1" x14ac:dyDescent="0.3">
      <c r="X525" s="193" t="str">
        <f>IF($Q525="","",IFERROR(INDEX(BD_KPIs!$F$2:$F$1300,MATCH($Q525,BD_KPIs!$Q$2:$Q$1300,0)),"n/d"))</f>
        <v/>
      </c>
      <c r="Y525" s="193" t="str">
        <f>IF($Q525="","",IF(COUNTIFS($Q$2:$Q$1300,$Q525,$U$2:$U$1300,"&gt;"&amp;$U525)&gt;0,0,IF(AND(ISNUMBER($F525),ISNUMBER($X525)),IF(ABS($F525-$X525)&gt;_QA!$C$6,1,0),IF($F525&amp;""=$X525&amp;"",0,1))))</f>
        <v/>
      </c>
    </row>
    <row r="526" spans="24:25" ht="13.5" customHeight="1" x14ac:dyDescent="0.3">
      <c r="X526" s="193" t="str">
        <f>IF($Q526="","",IFERROR(INDEX(BD_KPIs!$F$2:$F$1300,MATCH($Q526,BD_KPIs!$Q$2:$Q$1300,0)),"n/d"))</f>
        <v/>
      </c>
      <c r="Y526" s="193" t="str">
        <f>IF($Q526="","",IF(COUNTIFS($Q$2:$Q$1300,$Q526,$U$2:$U$1300,"&gt;"&amp;$U526)&gt;0,0,IF(AND(ISNUMBER($F526),ISNUMBER($X526)),IF(ABS($F526-$X526)&gt;_QA!$C$6,1,0),IF($F526&amp;""=$X526&amp;"",0,1))))</f>
        <v/>
      </c>
    </row>
    <row r="527" spans="24:25" ht="13.5" customHeight="1" x14ac:dyDescent="0.3">
      <c r="X527" s="193" t="str">
        <f>IF($Q527="","",IFERROR(INDEX(BD_KPIs!$F$2:$F$1300,MATCH($Q527,BD_KPIs!$Q$2:$Q$1300,0)),"n/d"))</f>
        <v/>
      </c>
      <c r="Y527" s="193" t="str">
        <f>IF($Q527="","",IF(COUNTIFS($Q$2:$Q$1300,$Q527,$U$2:$U$1300,"&gt;"&amp;$U527)&gt;0,0,IF(AND(ISNUMBER($F527),ISNUMBER($X527)),IF(ABS($F527-$X527)&gt;_QA!$C$6,1,0),IF($F527&amp;""=$X527&amp;"",0,1))))</f>
        <v/>
      </c>
    </row>
    <row r="528" spans="24:25" ht="13.5" customHeight="1" x14ac:dyDescent="0.3">
      <c r="X528" s="193" t="str">
        <f>IF($Q528="","",IFERROR(INDEX(BD_KPIs!$F$2:$F$1300,MATCH($Q528,BD_KPIs!$Q$2:$Q$1300,0)),"n/d"))</f>
        <v/>
      </c>
      <c r="Y528" s="193" t="str">
        <f>IF($Q528="","",IF(COUNTIFS($Q$2:$Q$1300,$Q528,$U$2:$U$1300,"&gt;"&amp;$U528)&gt;0,0,IF(AND(ISNUMBER($F528),ISNUMBER($X528)),IF(ABS($F528-$X528)&gt;_QA!$C$6,1,0),IF($F528&amp;""=$X528&amp;"",0,1))))</f>
        <v/>
      </c>
    </row>
    <row r="529" spans="24:25" ht="13.5" customHeight="1" x14ac:dyDescent="0.3">
      <c r="X529" s="193" t="str">
        <f>IF($Q529="","",IFERROR(INDEX(BD_KPIs!$F$2:$F$1300,MATCH($Q529,BD_KPIs!$Q$2:$Q$1300,0)),"n/d"))</f>
        <v/>
      </c>
      <c r="Y529" s="193" t="str">
        <f>IF($Q529="","",IF(COUNTIFS($Q$2:$Q$1300,$Q529,$U$2:$U$1300,"&gt;"&amp;$U529)&gt;0,0,IF(AND(ISNUMBER($F529),ISNUMBER($X529)),IF(ABS($F529-$X529)&gt;_QA!$C$6,1,0),IF($F529&amp;""=$X529&amp;"",0,1))))</f>
        <v/>
      </c>
    </row>
    <row r="530" spans="24:25" ht="13.5" customHeight="1" x14ac:dyDescent="0.3">
      <c r="X530" s="193" t="str">
        <f>IF($Q530="","",IFERROR(INDEX(BD_KPIs!$F$2:$F$1300,MATCH($Q530,BD_KPIs!$Q$2:$Q$1300,0)),"n/d"))</f>
        <v/>
      </c>
      <c r="Y530" s="193" t="str">
        <f>IF($Q530="","",IF(COUNTIFS($Q$2:$Q$1300,$Q530,$U$2:$U$1300,"&gt;"&amp;$U530)&gt;0,0,IF(AND(ISNUMBER($F530),ISNUMBER($X530)),IF(ABS($F530-$X530)&gt;_QA!$C$6,1,0),IF($F530&amp;""=$X530&amp;"",0,1))))</f>
        <v/>
      </c>
    </row>
    <row r="531" spans="24:25" ht="13.5" customHeight="1" x14ac:dyDescent="0.3">
      <c r="X531" s="193" t="str">
        <f>IF($Q531="","",IFERROR(INDEX(BD_KPIs!$F$2:$F$1300,MATCH($Q531,BD_KPIs!$Q$2:$Q$1300,0)),"n/d"))</f>
        <v/>
      </c>
      <c r="Y531" s="193" t="str">
        <f>IF($Q531="","",IF(COUNTIFS($Q$2:$Q$1300,$Q531,$U$2:$U$1300,"&gt;"&amp;$U531)&gt;0,0,IF(AND(ISNUMBER($F531),ISNUMBER($X531)),IF(ABS($F531-$X531)&gt;_QA!$C$6,1,0),IF($F531&amp;""=$X531&amp;"",0,1))))</f>
        <v/>
      </c>
    </row>
    <row r="532" spans="24:25" ht="13.5" customHeight="1" x14ac:dyDescent="0.3">
      <c r="X532" s="193" t="str">
        <f>IF($Q532="","",IFERROR(INDEX(BD_KPIs!$F$2:$F$1300,MATCH($Q532,BD_KPIs!$Q$2:$Q$1300,0)),"n/d"))</f>
        <v/>
      </c>
      <c r="Y532" s="193" t="str">
        <f>IF($Q532="","",IF(COUNTIFS($Q$2:$Q$1300,$Q532,$U$2:$U$1300,"&gt;"&amp;$U532)&gt;0,0,IF(AND(ISNUMBER($F532),ISNUMBER($X532)),IF(ABS($F532-$X532)&gt;_QA!$C$6,1,0),IF($F532&amp;""=$X532&amp;"",0,1))))</f>
        <v/>
      </c>
    </row>
    <row r="533" spans="24:25" ht="13.5" customHeight="1" x14ac:dyDescent="0.3">
      <c r="X533" s="193" t="str">
        <f>IF($Q533="","",IFERROR(INDEX(BD_KPIs!$F$2:$F$1300,MATCH($Q533,BD_KPIs!$Q$2:$Q$1300,0)),"n/d"))</f>
        <v/>
      </c>
      <c r="Y533" s="193" t="str">
        <f>IF($Q533="","",IF(COUNTIFS($Q$2:$Q$1300,$Q533,$U$2:$U$1300,"&gt;"&amp;$U533)&gt;0,0,IF(AND(ISNUMBER($F533),ISNUMBER($X533)),IF(ABS($F533-$X533)&gt;_QA!$C$6,1,0),IF($F533&amp;""=$X533&amp;"",0,1))))</f>
        <v/>
      </c>
    </row>
    <row r="534" spans="24:25" ht="13.5" customHeight="1" x14ac:dyDescent="0.3">
      <c r="X534" s="193" t="str">
        <f>IF($Q534="","",IFERROR(INDEX(BD_KPIs!$F$2:$F$1300,MATCH($Q534,BD_KPIs!$Q$2:$Q$1300,0)),"n/d"))</f>
        <v/>
      </c>
      <c r="Y534" s="193" t="str">
        <f>IF($Q534="","",IF(COUNTIFS($Q$2:$Q$1300,$Q534,$U$2:$U$1300,"&gt;"&amp;$U534)&gt;0,0,IF(AND(ISNUMBER($F534),ISNUMBER($X534)),IF(ABS($F534-$X534)&gt;_QA!$C$6,1,0),IF($F534&amp;""=$X534&amp;"",0,1))))</f>
        <v/>
      </c>
    </row>
    <row r="535" spans="24:25" ht="13.5" customHeight="1" x14ac:dyDescent="0.3">
      <c r="X535" s="193" t="str">
        <f>IF($Q535="","",IFERROR(INDEX(BD_KPIs!$F$2:$F$1300,MATCH($Q535,BD_KPIs!$Q$2:$Q$1300,0)),"n/d"))</f>
        <v/>
      </c>
      <c r="Y535" s="193" t="str">
        <f>IF($Q535="","",IF(COUNTIFS($Q$2:$Q$1300,$Q535,$U$2:$U$1300,"&gt;"&amp;$U535)&gt;0,0,IF(AND(ISNUMBER($F535),ISNUMBER($X535)),IF(ABS($F535-$X535)&gt;_QA!$C$6,1,0),IF($F535&amp;""=$X535&amp;"",0,1))))</f>
        <v/>
      </c>
    </row>
    <row r="536" spans="24:25" ht="13.5" customHeight="1" x14ac:dyDescent="0.3">
      <c r="X536" s="193" t="str">
        <f>IF($Q536="","",IFERROR(INDEX(BD_KPIs!$F$2:$F$1300,MATCH($Q536,BD_KPIs!$Q$2:$Q$1300,0)),"n/d"))</f>
        <v/>
      </c>
      <c r="Y536" s="193" t="str">
        <f>IF($Q536="","",IF(COUNTIFS($Q$2:$Q$1300,$Q536,$U$2:$U$1300,"&gt;"&amp;$U536)&gt;0,0,IF(AND(ISNUMBER($F536),ISNUMBER($X536)),IF(ABS($F536-$X536)&gt;_QA!$C$6,1,0),IF($F536&amp;""=$X536&amp;"",0,1))))</f>
        <v/>
      </c>
    </row>
    <row r="537" spans="24:25" ht="13.5" customHeight="1" x14ac:dyDescent="0.3">
      <c r="X537" s="193" t="str">
        <f>IF($Q537="","",IFERROR(INDEX(BD_KPIs!$F$2:$F$1300,MATCH($Q537,BD_KPIs!$Q$2:$Q$1300,0)),"n/d"))</f>
        <v/>
      </c>
      <c r="Y537" s="193" t="str">
        <f>IF($Q537="","",IF(COUNTIFS($Q$2:$Q$1300,$Q537,$U$2:$U$1300,"&gt;"&amp;$U537)&gt;0,0,IF(AND(ISNUMBER($F537),ISNUMBER($X537)),IF(ABS($F537-$X537)&gt;_QA!$C$6,1,0),IF($F537&amp;""=$X537&amp;"",0,1))))</f>
        <v/>
      </c>
    </row>
    <row r="538" spans="24:25" ht="13.5" customHeight="1" x14ac:dyDescent="0.3">
      <c r="X538" s="193" t="str">
        <f>IF($Q538="","",IFERROR(INDEX(BD_KPIs!$F$2:$F$1300,MATCH($Q538,BD_KPIs!$Q$2:$Q$1300,0)),"n/d"))</f>
        <v/>
      </c>
      <c r="Y538" s="193" t="str">
        <f>IF($Q538="","",IF(COUNTIFS($Q$2:$Q$1300,$Q538,$U$2:$U$1300,"&gt;"&amp;$U538)&gt;0,0,IF(AND(ISNUMBER($F538),ISNUMBER($X538)),IF(ABS($F538-$X538)&gt;_QA!$C$6,1,0),IF($F538&amp;""=$X538&amp;"",0,1))))</f>
        <v/>
      </c>
    </row>
    <row r="539" spans="24:25" ht="13.5" customHeight="1" x14ac:dyDescent="0.3">
      <c r="X539" s="193" t="str">
        <f>IF($Q539="","",IFERROR(INDEX(BD_KPIs!$F$2:$F$1300,MATCH($Q539,BD_KPIs!$Q$2:$Q$1300,0)),"n/d"))</f>
        <v/>
      </c>
      <c r="Y539" s="193" t="str">
        <f>IF($Q539="","",IF(COUNTIFS($Q$2:$Q$1300,$Q539,$U$2:$U$1300,"&gt;"&amp;$U539)&gt;0,0,IF(AND(ISNUMBER($F539),ISNUMBER($X539)),IF(ABS($F539-$X539)&gt;_QA!$C$6,1,0),IF($F539&amp;""=$X539&amp;"",0,1))))</f>
        <v/>
      </c>
    </row>
    <row r="540" spans="24:25" ht="13.5" customHeight="1" x14ac:dyDescent="0.3">
      <c r="X540" s="193" t="str">
        <f>IF($Q540="","",IFERROR(INDEX(BD_KPIs!$F$2:$F$1300,MATCH($Q540,BD_KPIs!$Q$2:$Q$1300,0)),"n/d"))</f>
        <v/>
      </c>
      <c r="Y540" s="193" t="str">
        <f>IF($Q540="","",IF(COUNTIFS($Q$2:$Q$1300,$Q540,$U$2:$U$1300,"&gt;"&amp;$U540)&gt;0,0,IF(AND(ISNUMBER($F540),ISNUMBER($X540)),IF(ABS($F540-$X540)&gt;_QA!$C$6,1,0),IF($F540&amp;""=$X540&amp;"",0,1))))</f>
        <v/>
      </c>
    </row>
    <row r="541" spans="24:25" ht="13.5" customHeight="1" x14ac:dyDescent="0.3">
      <c r="X541" s="193" t="str">
        <f>IF($Q541="","",IFERROR(INDEX(BD_KPIs!$F$2:$F$1300,MATCH($Q541,BD_KPIs!$Q$2:$Q$1300,0)),"n/d"))</f>
        <v/>
      </c>
      <c r="Y541" s="193" t="str">
        <f>IF($Q541="","",IF(COUNTIFS($Q$2:$Q$1300,$Q541,$U$2:$U$1300,"&gt;"&amp;$U541)&gt;0,0,IF(AND(ISNUMBER($F541),ISNUMBER($X541)),IF(ABS($F541-$X541)&gt;_QA!$C$6,1,0),IF($F541&amp;""=$X541&amp;"",0,1))))</f>
        <v/>
      </c>
    </row>
    <row r="542" spans="24:25" ht="13.5" customHeight="1" x14ac:dyDescent="0.3">
      <c r="X542" s="193" t="str">
        <f>IF($Q542="","",IFERROR(INDEX(BD_KPIs!$F$2:$F$1300,MATCH($Q542,BD_KPIs!$Q$2:$Q$1300,0)),"n/d"))</f>
        <v/>
      </c>
      <c r="Y542" s="193" t="str">
        <f>IF($Q542="","",IF(COUNTIFS($Q$2:$Q$1300,$Q542,$U$2:$U$1300,"&gt;"&amp;$U542)&gt;0,0,IF(AND(ISNUMBER($F542),ISNUMBER($X542)),IF(ABS($F542-$X542)&gt;_QA!$C$6,1,0),IF($F542&amp;""=$X542&amp;"",0,1))))</f>
        <v/>
      </c>
    </row>
    <row r="543" spans="24:25" ht="13.5" customHeight="1" x14ac:dyDescent="0.3">
      <c r="X543" s="193" t="str">
        <f>IF($Q543="","",IFERROR(INDEX(BD_KPIs!$F$2:$F$1300,MATCH($Q543,BD_KPIs!$Q$2:$Q$1300,0)),"n/d"))</f>
        <v/>
      </c>
      <c r="Y543" s="193" t="str">
        <f>IF($Q543="","",IF(COUNTIFS($Q$2:$Q$1300,$Q543,$U$2:$U$1300,"&gt;"&amp;$U543)&gt;0,0,IF(AND(ISNUMBER($F543),ISNUMBER($X543)),IF(ABS($F543-$X543)&gt;_QA!$C$6,1,0),IF($F543&amp;""=$X543&amp;"",0,1))))</f>
        <v/>
      </c>
    </row>
    <row r="544" spans="24:25" ht="13.5" customHeight="1" x14ac:dyDescent="0.3">
      <c r="X544" s="193" t="str">
        <f>IF($Q544="","",IFERROR(INDEX(BD_KPIs!$F$2:$F$1300,MATCH($Q544,BD_KPIs!$Q$2:$Q$1300,0)),"n/d"))</f>
        <v/>
      </c>
      <c r="Y544" s="193" t="str">
        <f>IF($Q544="","",IF(COUNTIFS($Q$2:$Q$1300,$Q544,$U$2:$U$1300,"&gt;"&amp;$U544)&gt;0,0,IF(AND(ISNUMBER($F544),ISNUMBER($X544)),IF(ABS($F544-$X544)&gt;_QA!$C$6,1,0),IF($F544&amp;""=$X544&amp;"",0,1))))</f>
        <v/>
      </c>
    </row>
    <row r="545" spans="24:25" ht="13.5" customHeight="1" x14ac:dyDescent="0.3">
      <c r="X545" s="193" t="str">
        <f>IF($Q545="","",IFERROR(INDEX(BD_KPIs!$F$2:$F$1300,MATCH($Q545,BD_KPIs!$Q$2:$Q$1300,0)),"n/d"))</f>
        <v/>
      </c>
      <c r="Y545" s="193" t="str">
        <f>IF($Q545="","",IF(COUNTIFS($Q$2:$Q$1300,$Q545,$U$2:$U$1300,"&gt;"&amp;$U545)&gt;0,0,IF(AND(ISNUMBER($F545),ISNUMBER($X545)),IF(ABS($F545-$X545)&gt;_QA!$C$6,1,0),IF($F545&amp;""=$X545&amp;"",0,1))))</f>
        <v/>
      </c>
    </row>
    <row r="546" spans="24:25" ht="13.5" customHeight="1" x14ac:dyDescent="0.3">
      <c r="X546" s="193" t="str">
        <f>IF($Q546="","",IFERROR(INDEX(BD_KPIs!$F$2:$F$1300,MATCH($Q546,BD_KPIs!$Q$2:$Q$1300,0)),"n/d"))</f>
        <v/>
      </c>
      <c r="Y546" s="193" t="str">
        <f>IF($Q546="","",IF(COUNTIFS($Q$2:$Q$1300,$Q546,$U$2:$U$1300,"&gt;"&amp;$U546)&gt;0,0,IF(AND(ISNUMBER($F546),ISNUMBER($X546)),IF(ABS($F546-$X546)&gt;_QA!$C$6,1,0),IF($F546&amp;""=$X546&amp;"",0,1))))</f>
        <v/>
      </c>
    </row>
    <row r="547" spans="24:25" ht="13.5" customHeight="1" x14ac:dyDescent="0.3">
      <c r="X547" s="193" t="str">
        <f>IF($Q547="","",IFERROR(INDEX(BD_KPIs!$F$2:$F$1300,MATCH($Q547,BD_KPIs!$Q$2:$Q$1300,0)),"n/d"))</f>
        <v/>
      </c>
      <c r="Y547" s="193" t="str">
        <f>IF($Q547="","",IF(COUNTIFS($Q$2:$Q$1300,$Q547,$U$2:$U$1300,"&gt;"&amp;$U547)&gt;0,0,IF(AND(ISNUMBER($F547),ISNUMBER($X547)),IF(ABS($F547-$X547)&gt;_QA!$C$6,1,0),IF($F547&amp;""=$X547&amp;"",0,1))))</f>
        <v/>
      </c>
    </row>
    <row r="548" spans="24:25" ht="13.5" customHeight="1" x14ac:dyDescent="0.3">
      <c r="X548" s="193" t="str">
        <f>IF($Q548="","",IFERROR(INDEX(BD_KPIs!$F$2:$F$1300,MATCH($Q548,BD_KPIs!$Q$2:$Q$1300,0)),"n/d"))</f>
        <v/>
      </c>
      <c r="Y548" s="193" t="str">
        <f>IF($Q548="","",IF(COUNTIFS($Q$2:$Q$1300,$Q548,$U$2:$U$1300,"&gt;"&amp;$U548)&gt;0,0,IF(AND(ISNUMBER($F548),ISNUMBER($X548)),IF(ABS($F548-$X548)&gt;_QA!$C$6,1,0),IF($F548&amp;""=$X548&amp;"",0,1))))</f>
        <v/>
      </c>
    </row>
    <row r="549" spans="24:25" ht="13.5" customHeight="1" x14ac:dyDescent="0.3">
      <c r="X549" s="193" t="str">
        <f>IF($Q549="","",IFERROR(INDEX(BD_KPIs!$F$2:$F$1300,MATCH($Q549,BD_KPIs!$Q$2:$Q$1300,0)),"n/d"))</f>
        <v/>
      </c>
      <c r="Y549" s="193" t="str">
        <f>IF($Q549="","",IF(COUNTIFS($Q$2:$Q$1300,$Q549,$U$2:$U$1300,"&gt;"&amp;$U549)&gt;0,0,IF(AND(ISNUMBER($F549),ISNUMBER($X549)),IF(ABS($F549-$X549)&gt;_QA!$C$6,1,0),IF($F549&amp;""=$X549&amp;"",0,1))))</f>
        <v/>
      </c>
    </row>
    <row r="550" spans="24:25" ht="13.5" customHeight="1" x14ac:dyDescent="0.3">
      <c r="X550" s="193" t="str">
        <f>IF($Q550="","",IFERROR(INDEX(BD_KPIs!$F$2:$F$1300,MATCH($Q550,BD_KPIs!$Q$2:$Q$1300,0)),"n/d"))</f>
        <v/>
      </c>
      <c r="Y550" s="193" t="str">
        <f>IF($Q550="","",IF(COUNTIFS($Q$2:$Q$1300,$Q550,$U$2:$U$1300,"&gt;"&amp;$U550)&gt;0,0,IF(AND(ISNUMBER($F550),ISNUMBER($X550)),IF(ABS($F550-$X550)&gt;_QA!$C$6,1,0),IF($F550&amp;""=$X550&amp;"",0,1))))</f>
        <v/>
      </c>
    </row>
    <row r="551" spans="24:25" ht="13.5" customHeight="1" x14ac:dyDescent="0.3">
      <c r="X551" s="193" t="str">
        <f>IF($Q551="","",IFERROR(INDEX(BD_KPIs!$F$2:$F$1300,MATCH($Q551,BD_KPIs!$Q$2:$Q$1300,0)),"n/d"))</f>
        <v/>
      </c>
      <c r="Y551" s="193" t="str">
        <f>IF($Q551="","",IF(COUNTIFS($Q$2:$Q$1300,$Q551,$U$2:$U$1300,"&gt;"&amp;$U551)&gt;0,0,IF(AND(ISNUMBER($F551),ISNUMBER($X551)),IF(ABS($F551-$X551)&gt;_QA!$C$6,1,0),IF($F551&amp;""=$X551&amp;"",0,1))))</f>
        <v/>
      </c>
    </row>
    <row r="552" spans="24:25" ht="13.5" customHeight="1" x14ac:dyDescent="0.3">
      <c r="X552" s="193" t="str">
        <f>IF($Q552="","",IFERROR(INDEX(BD_KPIs!$F$2:$F$1300,MATCH($Q552,BD_KPIs!$Q$2:$Q$1300,0)),"n/d"))</f>
        <v/>
      </c>
      <c r="Y552" s="193" t="str">
        <f>IF($Q552="","",IF(COUNTIFS($Q$2:$Q$1300,$Q552,$U$2:$U$1300,"&gt;"&amp;$U552)&gt;0,0,IF(AND(ISNUMBER($F552),ISNUMBER($X552)),IF(ABS($F552-$X552)&gt;_QA!$C$6,1,0),IF($F552&amp;""=$X552&amp;"",0,1))))</f>
        <v/>
      </c>
    </row>
    <row r="553" spans="24:25" ht="13.5" customHeight="1" x14ac:dyDescent="0.3">
      <c r="X553" s="193" t="str">
        <f>IF($Q553="","",IFERROR(INDEX(BD_KPIs!$F$2:$F$1300,MATCH($Q553,BD_KPIs!$Q$2:$Q$1300,0)),"n/d"))</f>
        <v/>
      </c>
      <c r="Y553" s="193" t="str">
        <f>IF($Q553="","",IF(COUNTIFS($Q$2:$Q$1300,$Q553,$U$2:$U$1300,"&gt;"&amp;$U553)&gt;0,0,IF(AND(ISNUMBER($F553),ISNUMBER($X553)),IF(ABS($F553-$X553)&gt;_QA!$C$6,1,0),IF($F553&amp;""=$X553&amp;"",0,1))))</f>
        <v/>
      </c>
    </row>
    <row r="554" spans="24:25" ht="13.5" customHeight="1" x14ac:dyDescent="0.3">
      <c r="X554" s="193" t="str">
        <f>IF($Q554="","",IFERROR(INDEX(BD_KPIs!$F$2:$F$1300,MATCH($Q554,BD_KPIs!$Q$2:$Q$1300,0)),"n/d"))</f>
        <v/>
      </c>
      <c r="Y554" s="193" t="str">
        <f>IF($Q554="","",IF(COUNTIFS($Q$2:$Q$1300,$Q554,$U$2:$U$1300,"&gt;"&amp;$U554)&gt;0,0,IF(AND(ISNUMBER($F554),ISNUMBER($X554)),IF(ABS($F554-$X554)&gt;_QA!$C$6,1,0),IF($F554&amp;""=$X554&amp;"",0,1))))</f>
        <v/>
      </c>
    </row>
    <row r="555" spans="24:25" ht="13.5" customHeight="1" x14ac:dyDescent="0.3">
      <c r="X555" s="193" t="str">
        <f>IF($Q555="","",IFERROR(INDEX(BD_KPIs!$F$2:$F$1300,MATCH($Q555,BD_KPIs!$Q$2:$Q$1300,0)),"n/d"))</f>
        <v/>
      </c>
      <c r="Y555" s="193" t="str">
        <f>IF($Q555="","",IF(COUNTIFS($Q$2:$Q$1300,$Q555,$U$2:$U$1300,"&gt;"&amp;$U555)&gt;0,0,IF(AND(ISNUMBER($F555),ISNUMBER($X555)),IF(ABS($F555-$X555)&gt;_QA!$C$6,1,0),IF($F555&amp;""=$X555&amp;"",0,1))))</f>
        <v/>
      </c>
    </row>
    <row r="556" spans="24:25" ht="13.5" customHeight="1" x14ac:dyDescent="0.3">
      <c r="X556" s="193" t="str">
        <f>IF($Q556="","",IFERROR(INDEX(BD_KPIs!$F$2:$F$1300,MATCH($Q556,BD_KPIs!$Q$2:$Q$1300,0)),"n/d"))</f>
        <v/>
      </c>
      <c r="Y556" s="193" t="str">
        <f>IF($Q556="","",IF(COUNTIFS($Q$2:$Q$1300,$Q556,$U$2:$U$1300,"&gt;"&amp;$U556)&gt;0,0,IF(AND(ISNUMBER($F556),ISNUMBER($X556)),IF(ABS($F556-$X556)&gt;_QA!$C$6,1,0),IF($F556&amp;""=$X556&amp;"",0,1))))</f>
        <v/>
      </c>
    </row>
    <row r="557" spans="24:25" ht="13.5" customHeight="1" x14ac:dyDescent="0.3">
      <c r="X557" s="193" t="str">
        <f>IF($Q557="","",IFERROR(INDEX(BD_KPIs!$F$2:$F$1300,MATCH($Q557,BD_KPIs!$Q$2:$Q$1300,0)),"n/d"))</f>
        <v/>
      </c>
      <c r="Y557" s="193" t="str">
        <f>IF($Q557="","",IF(COUNTIFS($Q$2:$Q$1300,$Q557,$U$2:$U$1300,"&gt;"&amp;$U557)&gt;0,0,IF(AND(ISNUMBER($F557),ISNUMBER($X557)),IF(ABS($F557-$X557)&gt;_QA!$C$6,1,0),IF($F557&amp;""=$X557&amp;"",0,1))))</f>
        <v/>
      </c>
    </row>
    <row r="558" spans="24:25" ht="13.5" customHeight="1" x14ac:dyDescent="0.3">
      <c r="X558" s="193" t="str">
        <f>IF($Q558="","",IFERROR(INDEX(BD_KPIs!$F$2:$F$1300,MATCH($Q558,BD_KPIs!$Q$2:$Q$1300,0)),"n/d"))</f>
        <v/>
      </c>
      <c r="Y558" s="193" t="str">
        <f>IF($Q558="","",IF(COUNTIFS($Q$2:$Q$1300,$Q558,$U$2:$U$1300,"&gt;"&amp;$U558)&gt;0,0,IF(AND(ISNUMBER($F558),ISNUMBER($X558)),IF(ABS($F558-$X558)&gt;_QA!$C$6,1,0),IF($F558&amp;""=$X558&amp;"",0,1))))</f>
        <v/>
      </c>
    </row>
    <row r="559" spans="24:25" ht="13.5" customHeight="1" x14ac:dyDescent="0.3">
      <c r="X559" s="193" t="str">
        <f>IF($Q559="","",IFERROR(INDEX(BD_KPIs!$F$2:$F$1300,MATCH($Q559,BD_KPIs!$Q$2:$Q$1300,0)),"n/d"))</f>
        <v/>
      </c>
      <c r="Y559" s="193" t="str">
        <f>IF($Q559="","",IF(COUNTIFS($Q$2:$Q$1300,$Q559,$U$2:$U$1300,"&gt;"&amp;$U559)&gt;0,0,IF(AND(ISNUMBER($F559),ISNUMBER($X559)),IF(ABS($F559-$X559)&gt;_QA!$C$6,1,0),IF($F559&amp;""=$X559&amp;"",0,1))))</f>
        <v/>
      </c>
    </row>
    <row r="560" spans="24:25" ht="13.5" customHeight="1" x14ac:dyDescent="0.3">
      <c r="X560" s="193" t="str">
        <f>IF($Q560="","",IFERROR(INDEX(BD_KPIs!$F$2:$F$1300,MATCH($Q560,BD_KPIs!$Q$2:$Q$1300,0)),"n/d"))</f>
        <v/>
      </c>
      <c r="Y560" s="193" t="str">
        <f>IF($Q560="","",IF(COUNTIFS($Q$2:$Q$1300,$Q560,$U$2:$U$1300,"&gt;"&amp;$U560)&gt;0,0,IF(AND(ISNUMBER($F560),ISNUMBER($X560)),IF(ABS($F560-$X560)&gt;_QA!$C$6,1,0),IF($F560&amp;""=$X560&amp;"",0,1))))</f>
        <v/>
      </c>
    </row>
    <row r="561" spans="24:25" ht="13.5" customHeight="1" x14ac:dyDescent="0.3">
      <c r="X561" s="193" t="str">
        <f>IF($Q561="","",IFERROR(INDEX(BD_KPIs!$F$2:$F$1300,MATCH($Q561,BD_KPIs!$Q$2:$Q$1300,0)),"n/d"))</f>
        <v/>
      </c>
      <c r="Y561" s="193" t="str">
        <f>IF($Q561="","",IF(COUNTIFS($Q$2:$Q$1300,$Q561,$U$2:$U$1300,"&gt;"&amp;$U561)&gt;0,0,IF(AND(ISNUMBER($F561),ISNUMBER($X561)),IF(ABS($F561-$X561)&gt;_QA!$C$6,1,0),IF($F561&amp;""=$X561&amp;"",0,1))))</f>
        <v/>
      </c>
    </row>
    <row r="562" spans="24:25" ht="13.5" customHeight="1" x14ac:dyDescent="0.3">
      <c r="X562" s="193" t="str">
        <f>IF($Q562="","",IFERROR(INDEX(BD_KPIs!$F$2:$F$1300,MATCH($Q562,BD_KPIs!$Q$2:$Q$1300,0)),"n/d"))</f>
        <v/>
      </c>
      <c r="Y562" s="193" t="str">
        <f>IF($Q562="","",IF(COUNTIFS($Q$2:$Q$1300,$Q562,$U$2:$U$1300,"&gt;"&amp;$U562)&gt;0,0,IF(AND(ISNUMBER($F562),ISNUMBER($X562)),IF(ABS($F562-$X562)&gt;_QA!$C$6,1,0),IF($F562&amp;""=$X562&amp;"",0,1))))</f>
        <v/>
      </c>
    </row>
    <row r="563" spans="24:25" ht="13.5" customHeight="1" x14ac:dyDescent="0.3">
      <c r="X563" s="193" t="str">
        <f>IF($Q563="","",IFERROR(INDEX(BD_KPIs!$F$2:$F$1300,MATCH($Q563,BD_KPIs!$Q$2:$Q$1300,0)),"n/d"))</f>
        <v/>
      </c>
      <c r="Y563" s="193" t="str">
        <f>IF($Q563="","",IF(COUNTIFS($Q$2:$Q$1300,$Q563,$U$2:$U$1300,"&gt;"&amp;$U563)&gt;0,0,IF(AND(ISNUMBER($F563),ISNUMBER($X563)),IF(ABS($F563-$X563)&gt;_QA!$C$6,1,0),IF($F563&amp;""=$X563&amp;"",0,1))))</f>
        <v/>
      </c>
    </row>
    <row r="564" spans="24:25" ht="13.5" customHeight="1" x14ac:dyDescent="0.3">
      <c r="X564" s="193" t="str">
        <f>IF($Q564="","",IFERROR(INDEX(BD_KPIs!$F$2:$F$1300,MATCH($Q564,BD_KPIs!$Q$2:$Q$1300,0)),"n/d"))</f>
        <v/>
      </c>
      <c r="Y564" s="193" t="str">
        <f>IF($Q564="","",IF(COUNTIFS($Q$2:$Q$1300,$Q564,$U$2:$U$1300,"&gt;"&amp;$U564)&gt;0,0,IF(AND(ISNUMBER($F564),ISNUMBER($X564)),IF(ABS($F564-$X564)&gt;_QA!$C$6,1,0),IF($F564&amp;""=$X564&amp;"",0,1))))</f>
        <v/>
      </c>
    </row>
    <row r="565" spans="24:25" ht="13.5" customHeight="1" x14ac:dyDescent="0.3">
      <c r="X565" s="193" t="str">
        <f>IF($Q565="","",IFERROR(INDEX(BD_KPIs!$F$2:$F$1300,MATCH($Q565,BD_KPIs!$Q$2:$Q$1300,0)),"n/d"))</f>
        <v/>
      </c>
      <c r="Y565" s="193" t="str">
        <f>IF($Q565="","",IF(COUNTIFS($Q$2:$Q$1300,$Q565,$U$2:$U$1300,"&gt;"&amp;$U565)&gt;0,0,IF(AND(ISNUMBER($F565),ISNUMBER($X565)),IF(ABS($F565-$X565)&gt;_QA!$C$6,1,0),IF($F565&amp;""=$X565&amp;"",0,1))))</f>
        <v/>
      </c>
    </row>
    <row r="566" spans="24:25" ht="13.5" customHeight="1" x14ac:dyDescent="0.3">
      <c r="X566" s="193" t="str">
        <f>IF($Q566="","",IFERROR(INDEX(BD_KPIs!$F$2:$F$1300,MATCH($Q566,BD_KPIs!$Q$2:$Q$1300,0)),"n/d"))</f>
        <v/>
      </c>
      <c r="Y566" s="193" t="str">
        <f>IF($Q566="","",IF(COUNTIFS($Q$2:$Q$1300,$Q566,$U$2:$U$1300,"&gt;"&amp;$U566)&gt;0,0,IF(AND(ISNUMBER($F566),ISNUMBER($X566)),IF(ABS($F566-$X566)&gt;_QA!$C$6,1,0),IF($F566&amp;""=$X566&amp;"",0,1))))</f>
        <v/>
      </c>
    </row>
    <row r="567" spans="24:25" ht="13.5" customHeight="1" x14ac:dyDescent="0.3">
      <c r="X567" s="193" t="str">
        <f>IF($Q567="","",IFERROR(INDEX(BD_KPIs!$F$2:$F$1300,MATCH($Q567,BD_KPIs!$Q$2:$Q$1300,0)),"n/d"))</f>
        <v/>
      </c>
      <c r="Y567" s="193" t="str">
        <f>IF($Q567="","",IF(COUNTIFS($Q$2:$Q$1300,$Q567,$U$2:$U$1300,"&gt;"&amp;$U567)&gt;0,0,IF(AND(ISNUMBER($F567),ISNUMBER($X567)),IF(ABS($F567-$X567)&gt;_QA!$C$6,1,0),IF($F567&amp;""=$X567&amp;"",0,1))))</f>
        <v/>
      </c>
    </row>
    <row r="568" spans="24:25" ht="13.5" customHeight="1" x14ac:dyDescent="0.3">
      <c r="X568" s="193" t="str">
        <f>IF($Q568="","",IFERROR(INDEX(BD_KPIs!$F$2:$F$1300,MATCH($Q568,BD_KPIs!$Q$2:$Q$1300,0)),"n/d"))</f>
        <v/>
      </c>
      <c r="Y568" s="193" t="str">
        <f>IF($Q568="","",IF(COUNTIFS($Q$2:$Q$1300,$Q568,$U$2:$U$1300,"&gt;"&amp;$U568)&gt;0,0,IF(AND(ISNUMBER($F568),ISNUMBER($X568)),IF(ABS($F568-$X568)&gt;_QA!$C$6,1,0),IF($F568&amp;""=$X568&amp;"",0,1))))</f>
        <v/>
      </c>
    </row>
    <row r="569" spans="24:25" ht="13.5" customHeight="1" x14ac:dyDescent="0.3">
      <c r="X569" s="193" t="str">
        <f>IF($Q569="","",IFERROR(INDEX(BD_KPIs!$F$2:$F$1300,MATCH($Q569,BD_KPIs!$Q$2:$Q$1300,0)),"n/d"))</f>
        <v/>
      </c>
      <c r="Y569" s="193" t="str">
        <f>IF($Q569="","",IF(COUNTIFS($Q$2:$Q$1300,$Q569,$U$2:$U$1300,"&gt;"&amp;$U569)&gt;0,0,IF(AND(ISNUMBER($F569),ISNUMBER($X569)),IF(ABS($F569-$X569)&gt;_QA!$C$6,1,0),IF($F569&amp;""=$X569&amp;"",0,1))))</f>
        <v/>
      </c>
    </row>
    <row r="570" spans="24:25" ht="13.5" customHeight="1" x14ac:dyDescent="0.3">
      <c r="X570" s="193" t="str">
        <f>IF($Q570="","",IFERROR(INDEX(BD_KPIs!$F$2:$F$1300,MATCH($Q570,BD_KPIs!$Q$2:$Q$1300,0)),"n/d"))</f>
        <v/>
      </c>
      <c r="Y570" s="193" t="str">
        <f>IF($Q570="","",IF(COUNTIFS($Q$2:$Q$1300,$Q570,$U$2:$U$1300,"&gt;"&amp;$U570)&gt;0,0,IF(AND(ISNUMBER($F570),ISNUMBER($X570)),IF(ABS($F570-$X570)&gt;_QA!$C$6,1,0),IF($F570&amp;""=$X570&amp;"",0,1))))</f>
        <v/>
      </c>
    </row>
    <row r="571" spans="24:25" ht="13.5" customHeight="1" x14ac:dyDescent="0.3">
      <c r="X571" s="193" t="str">
        <f>IF($Q571="","",IFERROR(INDEX(BD_KPIs!$F$2:$F$1300,MATCH($Q571,BD_KPIs!$Q$2:$Q$1300,0)),"n/d"))</f>
        <v/>
      </c>
      <c r="Y571" s="193" t="str">
        <f>IF($Q571="","",IF(COUNTIFS($Q$2:$Q$1300,$Q571,$U$2:$U$1300,"&gt;"&amp;$U571)&gt;0,0,IF(AND(ISNUMBER($F571),ISNUMBER($X571)),IF(ABS($F571-$X571)&gt;_QA!$C$6,1,0),IF($F571&amp;""=$X571&amp;"",0,1))))</f>
        <v/>
      </c>
    </row>
    <row r="572" spans="24:25" ht="13.5" customHeight="1" x14ac:dyDescent="0.3">
      <c r="X572" s="193" t="str">
        <f>IF($Q572="","",IFERROR(INDEX(BD_KPIs!$F$2:$F$1300,MATCH($Q572,BD_KPIs!$Q$2:$Q$1300,0)),"n/d"))</f>
        <v/>
      </c>
      <c r="Y572" s="193" t="str">
        <f>IF($Q572="","",IF(COUNTIFS($Q$2:$Q$1300,$Q572,$U$2:$U$1300,"&gt;"&amp;$U572)&gt;0,0,IF(AND(ISNUMBER($F572),ISNUMBER($X572)),IF(ABS($F572-$X572)&gt;_QA!$C$6,1,0),IF($F572&amp;""=$X572&amp;"",0,1))))</f>
        <v/>
      </c>
    </row>
    <row r="573" spans="24:25" ht="13.5" customHeight="1" x14ac:dyDescent="0.3">
      <c r="X573" s="193" t="str">
        <f>IF($Q573="","",IFERROR(INDEX(BD_KPIs!$F$2:$F$1300,MATCH($Q573,BD_KPIs!$Q$2:$Q$1300,0)),"n/d"))</f>
        <v/>
      </c>
      <c r="Y573" s="193" t="str">
        <f>IF($Q573="","",IF(COUNTIFS($Q$2:$Q$1300,$Q573,$U$2:$U$1300,"&gt;"&amp;$U573)&gt;0,0,IF(AND(ISNUMBER($F573),ISNUMBER($X573)),IF(ABS($F573-$X573)&gt;_QA!$C$6,1,0),IF($F573&amp;""=$X573&amp;"",0,1))))</f>
        <v/>
      </c>
    </row>
    <row r="574" spans="24:25" ht="13.5" customHeight="1" x14ac:dyDescent="0.3">
      <c r="X574" s="193" t="str">
        <f>IF($Q574="","",IFERROR(INDEX(BD_KPIs!$F$2:$F$1300,MATCH($Q574,BD_KPIs!$Q$2:$Q$1300,0)),"n/d"))</f>
        <v/>
      </c>
      <c r="Y574" s="193" t="str">
        <f>IF($Q574="","",IF(COUNTIFS($Q$2:$Q$1300,$Q574,$U$2:$U$1300,"&gt;"&amp;$U574)&gt;0,0,IF(AND(ISNUMBER($F574),ISNUMBER($X574)),IF(ABS($F574-$X574)&gt;_QA!$C$6,1,0),IF($F574&amp;""=$X574&amp;"",0,1))))</f>
        <v/>
      </c>
    </row>
    <row r="575" spans="24:25" ht="13.5" customHeight="1" x14ac:dyDescent="0.3">
      <c r="X575" s="193" t="str">
        <f>IF($Q575="","",IFERROR(INDEX(BD_KPIs!$F$2:$F$1300,MATCH($Q575,BD_KPIs!$Q$2:$Q$1300,0)),"n/d"))</f>
        <v/>
      </c>
      <c r="Y575" s="193" t="str">
        <f>IF($Q575="","",IF(COUNTIFS($Q$2:$Q$1300,$Q575,$U$2:$U$1300,"&gt;"&amp;$U575)&gt;0,0,IF(AND(ISNUMBER($F575),ISNUMBER($X575)),IF(ABS($F575-$X575)&gt;_QA!$C$6,1,0),IF($F575&amp;""=$X575&amp;"",0,1))))</f>
        <v/>
      </c>
    </row>
    <row r="576" spans="24:25" ht="13.5" customHeight="1" x14ac:dyDescent="0.3">
      <c r="X576" s="193" t="str">
        <f>IF($Q576="","",IFERROR(INDEX(BD_KPIs!$F$2:$F$1300,MATCH($Q576,BD_KPIs!$Q$2:$Q$1300,0)),"n/d"))</f>
        <v/>
      </c>
      <c r="Y576" s="193" t="str">
        <f>IF($Q576="","",IF(COUNTIFS($Q$2:$Q$1300,$Q576,$U$2:$U$1300,"&gt;"&amp;$U576)&gt;0,0,IF(AND(ISNUMBER($F576),ISNUMBER($X576)),IF(ABS($F576-$X576)&gt;_QA!$C$6,1,0),IF($F576&amp;""=$X576&amp;"",0,1))))</f>
        <v/>
      </c>
    </row>
    <row r="577" spans="24:25" ht="13.5" customHeight="1" x14ac:dyDescent="0.3">
      <c r="X577" s="193" t="str">
        <f>IF($Q577="","",IFERROR(INDEX(BD_KPIs!$F$2:$F$1300,MATCH($Q577,BD_KPIs!$Q$2:$Q$1300,0)),"n/d"))</f>
        <v/>
      </c>
      <c r="Y577" s="193" t="str">
        <f>IF($Q577="","",IF(COUNTIFS($Q$2:$Q$1300,$Q577,$U$2:$U$1300,"&gt;"&amp;$U577)&gt;0,0,IF(AND(ISNUMBER($F577),ISNUMBER($X577)),IF(ABS($F577-$X577)&gt;_QA!$C$6,1,0),IF($F577&amp;""=$X577&amp;"",0,1))))</f>
        <v/>
      </c>
    </row>
    <row r="578" spans="24:25" ht="13.5" customHeight="1" x14ac:dyDescent="0.3">
      <c r="X578" s="193" t="str">
        <f>IF($Q578="","",IFERROR(INDEX(BD_KPIs!$F$2:$F$1300,MATCH($Q578,BD_KPIs!$Q$2:$Q$1300,0)),"n/d"))</f>
        <v/>
      </c>
      <c r="Y578" s="193" t="str">
        <f>IF($Q578="","",IF(COUNTIFS($Q$2:$Q$1300,$Q578,$U$2:$U$1300,"&gt;"&amp;$U578)&gt;0,0,IF(AND(ISNUMBER($F578),ISNUMBER($X578)),IF(ABS($F578-$X578)&gt;_QA!$C$6,1,0),IF($F578&amp;""=$X578&amp;"",0,1))))</f>
        <v/>
      </c>
    </row>
    <row r="579" spans="24:25" ht="13.5" customHeight="1" x14ac:dyDescent="0.3">
      <c r="X579" s="193" t="str">
        <f>IF($Q579="","",IFERROR(INDEX(BD_KPIs!$F$2:$F$1300,MATCH($Q579,BD_KPIs!$Q$2:$Q$1300,0)),"n/d"))</f>
        <v/>
      </c>
      <c r="Y579" s="193" t="str">
        <f>IF($Q579="","",IF(COUNTIFS($Q$2:$Q$1300,$Q579,$U$2:$U$1300,"&gt;"&amp;$U579)&gt;0,0,IF(AND(ISNUMBER($F579),ISNUMBER($X579)),IF(ABS($F579-$X579)&gt;_QA!$C$6,1,0),IF($F579&amp;""=$X579&amp;"",0,1))))</f>
        <v/>
      </c>
    </row>
    <row r="580" spans="24:25" ht="13.5" customHeight="1" x14ac:dyDescent="0.3">
      <c r="X580" s="193" t="str">
        <f>IF($Q580="","",IFERROR(INDEX(BD_KPIs!$F$2:$F$1300,MATCH($Q580,BD_KPIs!$Q$2:$Q$1300,0)),"n/d"))</f>
        <v/>
      </c>
      <c r="Y580" s="193" t="str">
        <f>IF($Q580="","",IF(COUNTIFS($Q$2:$Q$1300,$Q580,$U$2:$U$1300,"&gt;"&amp;$U580)&gt;0,0,IF(AND(ISNUMBER($F580),ISNUMBER($X580)),IF(ABS($F580-$X580)&gt;_QA!$C$6,1,0),IF($F580&amp;""=$X580&amp;"",0,1))))</f>
        <v/>
      </c>
    </row>
    <row r="581" spans="24:25" ht="13.5" customHeight="1" x14ac:dyDescent="0.3">
      <c r="X581" s="193" t="str">
        <f>IF($Q581="","",IFERROR(INDEX(BD_KPIs!$F$2:$F$1300,MATCH($Q581,BD_KPIs!$Q$2:$Q$1300,0)),"n/d"))</f>
        <v/>
      </c>
      <c r="Y581" s="193" t="str">
        <f>IF($Q581="","",IF(COUNTIFS($Q$2:$Q$1300,$Q581,$U$2:$U$1300,"&gt;"&amp;$U581)&gt;0,0,IF(AND(ISNUMBER($F581),ISNUMBER($X581)),IF(ABS($F581-$X581)&gt;_QA!$C$6,1,0),IF($F581&amp;""=$X581&amp;"",0,1))))</f>
        <v/>
      </c>
    </row>
    <row r="582" spans="24:25" ht="13.5" customHeight="1" x14ac:dyDescent="0.3">
      <c r="X582" s="193" t="str">
        <f>IF($Q582="","",IFERROR(INDEX(BD_KPIs!$F$2:$F$1300,MATCH($Q582,BD_KPIs!$Q$2:$Q$1300,0)),"n/d"))</f>
        <v/>
      </c>
      <c r="Y582" s="193" t="str">
        <f>IF($Q582="","",IF(COUNTIFS($Q$2:$Q$1300,$Q582,$U$2:$U$1300,"&gt;"&amp;$U582)&gt;0,0,IF(AND(ISNUMBER($F582),ISNUMBER($X582)),IF(ABS($F582-$X582)&gt;_QA!$C$6,1,0),IF($F582&amp;""=$X582&amp;"",0,1))))</f>
        <v/>
      </c>
    </row>
    <row r="583" spans="24:25" ht="13.5" customHeight="1" x14ac:dyDescent="0.3">
      <c r="X583" s="193" t="str">
        <f>IF($Q583="","",IFERROR(INDEX(BD_KPIs!$F$2:$F$1300,MATCH($Q583,BD_KPIs!$Q$2:$Q$1300,0)),"n/d"))</f>
        <v/>
      </c>
      <c r="Y583" s="193" t="str">
        <f>IF($Q583="","",IF(COUNTIFS($Q$2:$Q$1300,$Q583,$U$2:$U$1300,"&gt;"&amp;$U583)&gt;0,0,IF(AND(ISNUMBER($F583),ISNUMBER($X583)),IF(ABS($F583-$X583)&gt;_QA!$C$6,1,0),IF($F583&amp;""=$X583&amp;"",0,1))))</f>
        <v/>
      </c>
    </row>
    <row r="584" spans="24:25" ht="13.5" customHeight="1" x14ac:dyDescent="0.3">
      <c r="X584" s="193" t="str">
        <f>IF($Q584="","",IFERROR(INDEX(BD_KPIs!$F$2:$F$1300,MATCH($Q584,BD_KPIs!$Q$2:$Q$1300,0)),"n/d"))</f>
        <v/>
      </c>
      <c r="Y584" s="193" t="str">
        <f>IF($Q584="","",IF(COUNTIFS($Q$2:$Q$1300,$Q584,$U$2:$U$1300,"&gt;"&amp;$U584)&gt;0,0,IF(AND(ISNUMBER($F584),ISNUMBER($X584)),IF(ABS($F584-$X584)&gt;_QA!$C$6,1,0),IF($F584&amp;""=$X584&amp;"",0,1))))</f>
        <v/>
      </c>
    </row>
    <row r="585" spans="24:25" ht="13.5" customHeight="1" x14ac:dyDescent="0.3">
      <c r="X585" s="193" t="str">
        <f>IF($Q585="","",IFERROR(INDEX(BD_KPIs!$F$2:$F$1300,MATCH($Q585,BD_KPIs!$Q$2:$Q$1300,0)),"n/d"))</f>
        <v/>
      </c>
      <c r="Y585" s="193" t="str">
        <f>IF($Q585="","",IF(COUNTIFS($Q$2:$Q$1300,$Q585,$U$2:$U$1300,"&gt;"&amp;$U585)&gt;0,0,IF(AND(ISNUMBER($F585),ISNUMBER($X585)),IF(ABS($F585-$X585)&gt;_QA!$C$6,1,0),IF($F585&amp;""=$X585&amp;"",0,1))))</f>
        <v/>
      </c>
    </row>
    <row r="586" spans="24:25" ht="13.5" customHeight="1" x14ac:dyDescent="0.3">
      <c r="X586" s="193" t="str">
        <f>IF($Q586="","",IFERROR(INDEX(BD_KPIs!$F$2:$F$1300,MATCH($Q586,BD_KPIs!$Q$2:$Q$1300,0)),"n/d"))</f>
        <v/>
      </c>
      <c r="Y586" s="193" t="str">
        <f>IF($Q586="","",IF(COUNTIFS($Q$2:$Q$1300,$Q586,$U$2:$U$1300,"&gt;"&amp;$U586)&gt;0,0,IF(AND(ISNUMBER($F586),ISNUMBER($X586)),IF(ABS($F586-$X586)&gt;_QA!$C$6,1,0),IF($F586&amp;""=$X586&amp;"",0,1))))</f>
        <v/>
      </c>
    </row>
    <row r="587" spans="24:25" ht="13.5" customHeight="1" x14ac:dyDescent="0.3">
      <c r="X587" s="193" t="str">
        <f>IF($Q587="","",IFERROR(INDEX(BD_KPIs!$F$2:$F$1300,MATCH($Q587,BD_KPIs!$Q$2:$Q$1300,0)),"n/d"))</f>
        <v/>
      </c>
      <c r="Y587" s="193" t="str">
        <f>IF($Q587="","",IF(COUNTIFS($Q$2:$Q$1300,$Q587,$U$2:$U$1300,"&gt;"&amp;$U587)&gt;0,0,IF(AND(ISNUMBER($F587),ISNUMBER($X587)),IF(ABS($F587-$X587)&gt;_QA!$C$6,1,0),IF($F587&amp;""=$X587&amp;"",0,1))))</f>
        <v/>
      </c>
    </row>
    <row r="588" spans="24:25" ht="13.5" customHeight="1" x14ac:dyDescent="0.3">
      <c r="X588" s="193" t="str">
        <f>IF($Q588="","",IFERROR(INDEX(BD_KPIs!$F$2:$F$1300,MATCH($Q588,BD_KPIs!$Q$2:$Q$1300,0)),"n/d"))</f>
        <v/>
      </c>
      <c r="Y588" s="193" t="str">
        <f>IF($Q588="","",IF(COUNTIFS($Q$2:$Q$1300,$Q588,$U$2:$U$1300,"&gt;"&amp;$U588)&gt;0,0,IF(AND(ISNUMBER($F588),ISNUMBER($X588)),IF(ABS($F588-$X588)&gt;_QA!$C$6,1,0),IF($F588&amp;""=$X588&amp;"",0,1))))</f>
        <v/>
      </c>
    </row>
    <row r="589" spans="24:25" ht="13.5" customHeight="1" x14ac:dyDescent="0.3">
      <c r="X589" s="193" t="str">
        <f>IF($Q589="","",IFERROR(INDEX(BD_KPIs!$F$2:$F$1300,MATCH($Q589,BD_KPIs!$Q$2:$Q$1300,0)),"n/d"))</f>
        <v/>
      </c>
      <c r="Y589" s="193" t="str">
        <f>IF($Q589="","",IF(COUNTIFS($Q$2:$Q$1300,$Q589,$U$2:$U$1300,"&gt;"&amp;$U589)&gt;0,0,IF(AND(ISNUMBER($F589),ISNUMBER($X589)),IF(ABS($F589-$X589)&gt;_QA!$C$6,1,0),IF($F589&amp;""=$X589&amp;"",0,1))))</f>
        <v/>
      </c>
    </row>
    <row r="590" spans="24:25" ht="13.5" customHeight="1" x14ac:dyDescent="0.3">
      <c r="X590" s="193" t="str">
        <f>IF($Q590="","",IFERROR(INDEX(BD_KPIs!$F$2:$F$1300,MATCH($Q590,BD_KPIs!$Q$2:$Q$1300,0)),"n/d"))</f>
        <v/>
      </c>
      <c r="Y590" s="193" t="str">
        <f>IF($Q590="","",IF(COUNTIFS($Q$2:$Q$1300,$Q590,$U$2:$U$1300,"&gt;"&amp;$U590)&gt;0,0,IF(AND(ISNUMBER($F590),ISNUMBER($X590)),IF(ABS($F590-$X590)&gt;_QA!$C$6,1,0),IF($F590&amp;""=$X590&amp;"",0,1))))</f>
        <v/>
      </c>
    </row>
    <row r="591" spans="24:25" ht="13.5" customHeight="1" x14ac:dyDescent="0.3">
      <c r="X591" s="193" t="str">
        <f>IF($Q591="","",IFERROR(INDEX(BD_KPIs!$F$2:$F$1300,MATCH($Q591,BD_KPIs!$Q$2:$Q$1300,0)),"n/d"))</f>
        <v/>
      </c>
      <c r="Y591" s="193" t="str">
        <f>IF($Q591="","",IF(COUNTIFS($Q$2:$Q$1300,$Q591,$U$2:$U$1300,"&gt;"&amp;$U591)&gt;0,0,IF(AND(ISNUMBER($F591),ISNUMBER($X591)),IF(ABS($F591-$X591)&gt;_QA!$C$6,1,0),IF($F591&amp;""=$X591&amp;"",0,1))))</f>
        <v/>
      </c>
    </row>
    <row r="592" spans="24:25" ht="13.5" customHeight="1" x14ac:dyDescent="0.3">
      <c r="X592" s="193" t="str">
        <f>IF($Q592="","",IFERROR(INDEX(BD_KPIs!$F$2:$F$1300,MATCH($Q592,BD_KPIs!$Q$2:$Q$1300,0)),"n/d"))</f>
        <v/>
      </c>
      <c r="Y592" s="193" t="str">
        <f>IF($Q592="","",IF(COUNTIFS($Q$2:$Q$1300,$Q592,$U$2:$U$1300,"&gt;"&amp;$U592)&gt;0,0,IF(AND(ISNUMBER($F592),ISNUMBER($X592)),IF(ABS($F592-$X592)&gt;_QA!$C$6,1,0),IF($F592&amp;""=$X592&amp;"",0,1))))</f>
        <v/>
      </c>
    </row>
    <row r="593" spans="24:25" ht="13.5" customHeight="1" x14ac:dyDescent="0.3">
      <c r="X593" s="193" t="str">
        <f>IF($Q593="","",IFERROR(INDEX(BD_KPIs!$F$2:$F$1300,MATCH($Q593,BD_KPIs!$Q$2:$Q$1300,0)),"n/d"))</f>
        <v/>
      </c>
      <c r="Y593" s="193" t="str">
        <f>IF($Q593="","",IF(COUNTIFS($Q$2:$Q$1300,$Q593,$U$2:$U$1300,"&gt;"&amp;$U593)&gt;0,0,IF(AND(ISNUMBER($F593),ISNUMBER($X593)),IF(ABS($F593-$X593)&gt;_QA!$C$6,1,0),IF($F593&amp;""=$X593&amp;"",0,1))))</f>
        <v/>
      </c>
    </row>
    <row r="594" spans="24:25" ht="13.5" customHeight="1" x14ac:dyDescent="0.3">
      <c r="X594" s="193" t="str">
        <f>IF($Q594="","",IFERROR(INDEX(BD_KPIs!$F$2:$F$1300,MATCH($Q594,BD_KPIs!$Q$2:$Q$1300,0)),"n/d"))</f>
        <v/>
      </c>
      <c r="Y594" s="193" t="str">
        <f>IF($Q594="","",IF(COUNTIFS($Q$2:$Q$1300,$Q594,$U$2:$U$1300,"&gt;"&amp;$U594)&gt;0,0,IF(AND(ISNUMBER($F594),ISNUMBER($X594)),IF(ABS($F594-$X594)&gt;_QA!$C$6,1,0),IF($F594&amp;""=$X594&amp;"",0,1))))</f>
        <v/>
      </c>
    </row>
    <row r="595" spans="24:25" ht="13.5" customHeight="1" x14ac:dyDescent="0.3">
      <c r="X595" s="193" t="str">
        <f>IF($Q595="","",IFERROR(INDEX(BD_KPIs!$F$2:$F$1300,MATCH($Q595,BD_KPIs!$Q$2:$Q$1300,0)),"n/d"))</f>
        <v/>
      </c>
      <c r="Y595" s="193" t="str">
        <f>IF($Q595="","",IF(COUNTIFS($Q$2:$Q$1300,$Q595,$U$2:$U$1300,"&gt;"&amp;$U595)&gt;0,0,IF(AND(ISNUMBER($F595),ISNUMBER($X595)),IF(ABS($F595-$X595)&gt;_QA!$C$6,1,0),IF($F595&amp;""=$X595&amp;"",0,1))))</f>
        <v/>
      </c>
    </row>
    <row r="596" spans="24:25" ht="13.5" customHeight="1" x14ac:dyDescent="0.3">
      <c r="X596" s="193" t="str">
        <f>IF($Q596="","",IFERROR(INDEX(BD_KPIs!$F$2:$F$1300,MATCH($Q596,BD_KPIs!$Q$2:$Q$1300,0)),"n/d"))</f>
        <v/>
      </c>
      <c r="Y596" s="193" t="str">
        <f>IF($Q596="","",IF(COUNTIFS($Q$2:$Q$1300,$Q596,$U$2:$U$1300,"&gt;"&amp;$U596)&gt;0,0,IF(AND(ISNUMBER($F596),ISNUMBER($X596)),IF(ABS($F596-$X596)&gt;_QA!$C$6,1,0),IF($F596&amp;""=$X596&amp;"",0,1))))</f>
        <v/>
      </c>
    </row>
    <row r="597" spans="24:25" ht="13.5" customHeight="1" x14ac:dyDescent="0.3">
      <c r="X597" s="193" t="str">
        <f>IF($Q597="","",IFERROR(INDEX(BD_KPIs!$F$2:$F$1300,MATCH($Q597,BD_KPIs!$Q$2:$Q$1300,0)),"n/d"))</f>
        <v/>
      </c>
      <c r="Y597" s="193" t="str">
        <f>IF($Q597="","",IF(COUNTIFS($Q$2:$Q$1300,$Q597,$U$2:$U$1300,"&gt;"&amp;$U597)&gt;0,0,IF(AND(ISNUMBER($F597),ISNUMBER($X597)),IF(ABS($F597-$X597)&gt;_QA!$C$6,1,0),IF($F597&amp;""=$X597&amp;"",0,1))))</f>
        <v/>
      </c>
    </row>
    <row r="598" spans="24:25" ht="13.5" customHeight="1" x14ac:dyDescent="0.3">
      <c r="X598" s="193" t="str">
        <f>IF($Q598="","",IFERROR(INDEX(BD_KPIs!$F$2:$F$1300,MATCH($Q598,BD_KPIs!$Q$2:$Q$1300,0)),"n/d"))</f>
        <v/>
      </c>
      <c r="Y598" s="193" t="str">
        <f>IF($Q598="","",IF(COUNTIFS($Q$2:$Q$1300,$Q598,$U$2:$U$1300,"&gt;"&amp;$U598)&gt;0,0,IF(AND(ISNUMBER($F598),ISNUMBER($X598)),IF(ABS($F598-$X598)&gt;_QA!$C$6,1,0),IF($F598&amp;""=$X598&amp;"",0,1))))</f>
        <v/>
      </c>
    </row>
    <row r="599" spans="24:25" ht="13.5" customHeight="1" x14ac:dyDescent="0.3">
      <c r="X599" s="193" t="str">
        <f>IF($Q599="","",IFERROR(INDEX(BD_KPIs!$F$2:$F$1300,MATCH($Q599,BD_KPIs!$Q$2:$Q$1300,0)),"n/d"))</f>
        <v/>
      </c>
      <c r="Y599" s="193" t="str">
        <f>IF($Q599="","",IF(COUNTIFS($Q$2:$Q$1300,$Q599,$U$2:$U$1300,"&gt;"&amp;$U599)&gt;0,0,IF(AND(ISNUMBER($F599),ISNUMBER($X599)),IF(ABS($F599-$X599)&gt;_QA!$C$6,1,0),IF($F599&amp;""=$X599&amp;"",0,1))))</f>
        <v/>
      </c>
    </row>
    <row r="600" spans="24:25" ht="13.5" customHeight="1" x14ac:dyDescent="0.3">
      <c r="X600" s="193" t="str">
        <f>IF($Q600="","",IFERROR(INDEX(BD_KPIs!$F$2:$F$1300,MATCH($Q600,BD_KPIs!$Q$2:$Q$1300,0)),"n/d"))</f>
        <v/>
      </c>
      <c r="Y600" s="193" t="str">
        <f>IF($Q600="","",IF(COUNTIFS($Q$2:$Q$1300,$Q600,$U$2:$U$1300,"&gt;"&amp;$U600)&gt;0,0,IF(AND(ISNUMBER($F600),ISNUMBER($X600)),IF(ABS($F600-$X600)&gt;_QA!$C$6,1,0),IF($F600&amp;""=$X600&amp;"",0,1))))</f>
        <v/>
      </c>
    </row>
    <row r="601" spans="24:25" ht="13.5" customHeight="1" x14ac:dyDescent="0.3">
      <c r="X601" s="193" t="str">
        <f>IF($Q601="","",IFERROR(INDEX(BD_KPIs!$F$2:$F$1300,MATCH($Q601,BD_KPIs!$Q$2:$Q$1300,0)),"n/d"))</f>
        <v/>
      </c>
      <c r="Y601" s="193" t="str">
        <f>IF($Q601="","",IF(COUNTIFS($Q$2:$Q$1300,$Q601,$U$2:$U$1300,"&gt;"&amp;$U601)&gt;0,0,IF(AND(ISNUMBER($F601),ISNUMBER($X601)),IF(ABS($F601-$X601)&gt;_QA!$C$6,1,0),IF($F601&amp;""=$X601&amp;"",0,1))))</f>
        <v/>
      </c>
    </row>
    <row r="602" spans="24:25" ht="13.5" customHeight="1" x14ac:dyDescent="0.3">
      <c r="X602" s="193" t="str">
        <f>IF($Q602="","",IFERROR(INDEX(BD_KPIs!$F$2:$F$1300,MATCH($Q602,BD_KPIs!$Q$2:$Q$1300,0)),"n/d"))</f>
        <v/>
      </c>
      <c r="Y602" s="193" t="str">
        <f>IF($Q602="","",IF(COUNTIFS($Q$2:$Q$1300,$Q602,$U$2:$U$1300,"&gt;"&amp;$U602)&gt;0,0,IF(AND(ISNUMBER($F602),ISNUMBER($X602)),IF(ABS($F602-$X602)&gt;_QA!$C$6,1,0),IF($F602&amp;""=$X602&amp;"",0,1))))</f>
        <v/>
      </c>
    </row>
    <row r="603" spans="24:25" ht="13.5" customHeight="1" x14ac:dyDescent="0.3">
      <c r="X603" s="193" t="str">
        <f>IF($Q603="","",IFERROR(INDEX(BD_KPIs!$F$2:$F$1300,MATCH($Q603,BD_KPIs!$Q$2:$Q$1300,0)),"n/d"))</f>
        <v/>
      </c>
      <c r="Y603" s="193" t="str">
        <f>IF($Q603="","",IF(COUNTIFS($Q$2:$Q$1300,$Q603,$U$2:$U$1300,"&gt;"&amp;$U603)&gt;0,0,IF(AND(ISNUMBER($F603),ISNUMBER($X603)),IF(ABS($F603-$X603)&gt;_QA!$C$6,1,0),IF($F603&amp;""=$X603&amp;"",0,1))))</f>
        <v/>
      </c>
    </row>
    <row r="604" spans="24:25" ht="13.5" customHeight="1" x14ac:dyDescent="0.3">
      <c r="X604" s="193" t="str">
        <f>IF($Q604="","",IFERROR(INDEX(BD_KPIs!$F$2:$F$1300,MATCH($Q604,BD_KPIs!$Q$2:$Q$1300,0)),"n/d"))</f>
        <v/>
      </c>
      <c r="Y604" s="193" t="str">
        <f>IF($Q604="","",IF(COUNTIFS($Q$2:$Q$1300,$Q604,$U$2:$U$1300,"&gt;"&amp;$U604)&gt;0,0,IF(AND(ISNUMBER($F604),ISNUMBER($X604)),IF(ABS($F604-$X604)&gt;_QA!$C$6,1,0),IF($F604&amp;""=$X604&amp;"",0,1))))</f>
        <v/>
      </c>
    </row>
    <row r="605" spans="24:25" ht="13.5" customHeight="1" x14ac:dyDescent="0.3">
      <c r="X605" s="193" t="str">
        <f>IF($Q605="","",IFERROR(INDEX(BD_KPIs!$F$2:$F$1300,MATCH($Q605,BD_KPIs!$Q$2:$Q$1300,0)),"n/d"))</f>
        <v/>
      </c>
      <c r="Y605" s="193" t="str">
        <f>IF($Q605="","",IF(COUNTIFS($Q$2:$Q$1300,$Q605,$U$2:$U$1300,"&gt;"&amp;$U605)&gt;0,0,IF(AND(ISNUMBER($F605),ISNUMBER($X605)),IF(ABS($F605-$X605)&gt;_QA!$C$6,1,0),IF($F605&amp;""=$X605&amp;"",0,1))))</f>
        <v/>
      </c>
    </row>
    <row r="606" spans="24:25" ht="13.5" customHeight="1" x14ac:dyDescent="0.3">
      <c r="X606" s="193" t="str">
        <f>IF($Q606="","",IFERROR(INDEX(BD_KPIs!$F$2:$F$1300,MATCH($Q606,BD_KPIs!$Q$2:$Q$1300,0)),"n/d"))</f>
        <v/>
      </c>
      <c r="Y606" s="193" t="str">
        <f>IF($Q606="","",IF(COUNTIFS($Q$2:$Q$1300,$Q606,$U$2:$U$1300,"&gt;"&amp;$U606)&gt;0,0,IF(AND(ISNUMBER($F606),ISNUMBER($X606)),IF(ABS($F606-$X606)&gt;_QA!$C$6,1,0),IF($F606&amp;""=$X606&amp;"",0,1))))</f>
        <v/>
      </c>
    </row>
    <row r="607" spans="24:25" ht="13.5" customHeight="1" x14ac:dyDescent="0.3">
      <c r="X607" s="193" t="str">
        <f>IF($Q607="","",IFERROR(INDEX(BD_KPIs!$F$2:$F$1300,MATCH($Q607,BD_KPIs!$Q$2:$Q$1300,0)),"n/d"))</f>
        <v/>
      </c>
      <c r="Y607" s="193" t="str">
        <f>IF($Q607="","",IF(COUNTIFS($Q$2:$Q$1300,$Q607,$U$2:$U$1300,"&gt;"&amp;$U607)&gt;0,0,IF(AND(ISNUMBER($F607),ISNUMBER($X607)),IF(ABS($F607-$X607)&gt;_QA!$C$6,1,0),IF($F607&amp;""=$X607&amp;"",0,1))))</f>
        <v/>
      </c>
    </row>
    <row r="608" spans="24:25" ht="13.5" customHeight="1" x14ac:dyDescent="0.3">
      <c r="X608" s="193" t="str">
        <f>IF($Q608="","",IFERROR(INDEX(BD_KPIs!$F$2:$F$1300,MATCH($Q608,BD_KPIs!$Q$2:$Q$1300,0)),"n/d"))</f>
        <v/>
      </c>
      <c r="Y608" s="193" t="str">
        <f>IF($Q608="","",IF(COUNTIFS($Q$2:$Q$1300,$Q608,$U$2:$U$1300,"&gt;"&amp;$U608)&gt;0,0,IF(AND(ISNUMBER($F608),ISNUMBER($X608)),IF(ABS($F608-$X608)&gt;_QA!$C$6,1,0),IF($F608&amp;""=$X608&amp;"",0,1))))</f>
        <v/>
      </c>
    </row>
    <row r="609" spans="24:25" ht="13.5" customHeight="1" x14ac:dyDescent="0.3">
      <c r="X609" s="193" t="str">
        <f>IF($Q609="","",IFERROR(INDEX(BD_KPIs!$F$2:$F$1300,MATCH($Q609,BD_KPIs!$Q$2:$Q$1300,0)),"n/d"))</f>
        <v/>
      </c>
      <c r="Y609" s="193" t="str">
        <f>IF($Q609="","",IF(COUNTIFS($Q$2:$Q$1300,$Q609,$U$2:$U$1300,"&gt;"&amp;$U609)&gt;0,0,IF(AND(ISNUMBER($F609),ISNUMBER($X609)),IF(ABS($F609-$X609)&gt;_QA!$C$6,1,0),IF($F609&amp;""=$X609&amp;"",0,1))))</f>
        <v/>
      </c>
    </row>
    <row r="610" spans="24:25" ht="13.5" customHeight="1" x14ac:dyDescent="0.3">
      <c r="X610" s="193" t="str">
        <f>IF($Q610="","",IFERROR(INDEX(BD_KPIs!$F$2:$F$1300,MATCH($Q610,BD_KPIs!$Q$2:$Q$1300,0)),"n/d"))</f>
        <v/>
      </c>
      <c r="Y610" s="193" t="str">
        <f>IF($Q610="","",IF(COUNTIFS($Q$2:$Q$1300,$Q610,$U$2:$U$1300,"&gt;"&amp;$U610)&gt;0,0,IF(AND(ISNUMBER($F610),ISNUMBER($X610)),IF(ABS($F610-$X610)&gt;_QA!$C$6,1,0),IF($F610&amp;""=$X610&amp;"",0,1))))</f>
        <v/>
      </c>
    </row>
    <row r="611" spans="24:25" ht="13.5" customHeight="1" x14ac:dyDescent="0.3">
      <c r="X611" s="193" t="str">
        <f>IF($Q611="","",IFERROR(INDEX(BD_KPIs!$F$2:$F$1300,MATCH($Q611,BD_KPIs!$Q$2:$Q$1300,0)),"n/d"))</f>
        <v/>
      </c>
      <c r="Y611" s="193" t="str">
        <f>IF($Q611="","",IF(COUNTIFS($Q$2:$Q$1300,$Q611,$U$2:$U$1300,"&gt;"&amp;$U611)&gt;0,0,IF(AND(ISNUMBER($F611),ISNUMBER($X611)),IF(ABS($F611-$X611)&gt;_QA!$C$6,1,0),IF($F611&amp;""=$X611&amp;"",0,1))))</f>
        <v/>
      </c>
    </row>
    <row r="612" spans="24:25" ht="13.5" customHeight="1" x14ac:dyDescent="0.3">
      <c r="X612" s="193" t="str">
        <f>IF($Q612="","",IFERROR(INDEX(BD_KPIs!$F$2:$F$1300,MATCH($Q612,BD_KPIs!$Q$2:$Q$1300,0)),"n/d"))</f>
        <v/>
      </c>
      <c r="Y612" s="193" t="str">
        <f>IF($Q612="","",IF(COUNTIFS($Q$2:$Q$1300,$Q612,$U$2:$U$1300,"&gt;"&amp;$U612)&gt;0,0,IF(AND(ISNUMBER($F612),ISNUMBER($X612)),IF(ABS($F612-$X612)&gt;_QA!$C$6,1,0),IF($F612&amp;""=$X612&amp;"",0,1))))</f>
        <v/>
      </c>
    </row>
    <row r="613" spans="24:25" ht="13.5" customHeight="1" x14ac:dyDescent="0.3">
      <c r="X613" s="193" t="str">
        <f>IF($Q613="","",IFERROR(INDEX(BD_KPIs!$F$2:$F$1300,MATCH($Q613,BD_KPIs!$Q$2:$Q$1300,0)),"n/d"))</f>
        <v/>
      </c>
      <c r="Y613" s="193" t="str">
        <f>IF($Q613="","",IF(COUNTIFS($Q$2:$Q$1300,$Q613,$U$2:$U$1300,"&gt;"&amp;$U613)&gt;0,0,IF(AND(ISNUMBER($F613),ISNUMBER($X613)),IF(ABS($F613-$X613)&gt;_QA!$C$6,1,0),IF($F613&amp;""=$X613&amp;"",0,1))))</f>
        <v/>
      </c>
    </row>
    <row r="614" spans="24:25" ht="13.5" customHeight="1" x14ac:dyDescent="0.3">
      <c r="X614" s="193" t="str">
        <f>IF($Q614="","",IFERROR(INDEX(BD_KPIs!$F$2:$F$1300,MATCH($Q614,BD_KPIs!$Q$2:$Q$1300,0)),"n/d"))</f>
        <v/>
      </c>
      <c r="Y614" s="193" t="str">
        <f>IF($Q614="","",IF(COUNTIFS($Q$2:$Q$1300,$Q614,$U$2:$U$1300,"&gt;"&amp;$U614)&gt;0,0,IF(AND(ISNUMBER($F614),ISNUMBER($X614)),IF(ABS($F614-$X614)&gt;_QA!$C$6,1,0),IF($F614&amp;""=$X614&amp;"",0,1))))</f>
        <v/>
      </c>
    </row>
    <row r="615" spans="24:25" ht="13.5" customHeight="1" x14ac:dyDescent="0.3">
      <c r="X615" s="193" t="str">
        <f>IF($Q615="","",IFERROR(INDEX(BD_KPIs!$F$2:$F$1300,MATCH($Q615,BD_KPIs!$Q$2:$Q$1300,0)),"n/d"))</f>
        <v/>
      </c>
      <c r="Y615" s="193" t="str">
        <f>IF($Q615="","",IF(COUNTIFS($Q$2:$Q$1300,$Q615,$U$2:$U$1300,"&gt;"&amp;$U615)&gt;0,0,IF(AND(ISNUMBER($F615),ISNUMBER($X615)),IF(ABS($F615-$X615)&gt;_QA!$C$6,1,0),IF($F615&amp;""=$X615&amp;"",0,1))))</f>
        <v/>
      </c>
    </row>
    <row r="616" spans="24:25" ht="13.5" customHeight="1" x14ac:dyDescent="0.3">
      <c r="X616" s="193" t="str">
        <f>IF($Q616="","",IFERROR(INDEX(BD_KPIs!$F$2:$F$1300,MATCH($Q616,BD_KPIs!$Q$2:$Q$1300,0)),"n/d"))</f>
        <v/>
      </c>
      <c r="Y616" s="193" t="str">
        <f>IF($Q616="","",IF(COUNTIFS($Q$2:$Q$1300,$Q616,$U$2:$U$1300,"&gt;"&amp;$U616)&gt;0,0,IF(AND(ISNUMBER($F616),ISNUMBER($X616)),IF(ABS($F616-$X616)&gt;_QA!$C$6,1,0),IF($F616&amp;""=$X616&amp;"",0,1))))</f>
        <v/>
      </c>
    </row>
    <row r="617" spans="24:25" ht="13.5" customHeight="1" x14ac:dyDescent="0.3">
      <c r="X617" s="193" t="str">
        <f>IF($Q617="","",IFERROR(INDEX(BD_KPIs!$F$2:$F$1300,MATCH($Q617,BD_KPIs!$Q$2:$Q$1300,0)),"n/d"))</f>
        <v/>
      </c>
      <c r="Y617" s="193" t="str">
        <f>IF($Q617="","",IF(COUNTIFS($Q$2:$Q$1300,$Q617,$U$2:$U$1300,"&gt;"&amp;$U617)&gt;0,0,IF(AND(ISNUMBER($F617),ISNUMBER($X617)),IF(ABS($F617-$X617)&gt;_QA!$C$6,1,0),IF($F617&amp;""=$X617&amp;"",0,1))))</f>
        <v/>
      </c>
    </row>
    <row r="618" spans="24:25" ht="13.5" customHeight="1" x14ac:dyDescent="0.3">
      <c r="X618" s="193" t="str">
        <f>IF($Q618="","",IFERROR(INDEX(BD_KPIs!$F$2:$F$1300,MATCH($Q618,BD_KPIs!$Q$2:$Q$1300,0)),"n/d"))</f>
        <v/>
      </c>
      <c r="Y618" s="193" t="str">
        <f>IF($Q618="","",IF(COUNTIFS($Q$2:$Q$1300,$Q618,$U$2:$U$1300,"&gt;"&amp;$U618)&gt;0,0,IF(AND(ISNUMBER($F618),ISNUMBER($X618)),IF(ABS($F618-$X618)&gt;_QA!$C$6,1,0),IF($F618&amp;""=$X618&amp;"",0,1))))</f>
        <v/>
      </c>
    </row>
    <row r="619" spans="24:25" ht="13.5" customHeight="1" x14ac:dyDescent="0.3">
      <c r="X619" s="193" t="str">
        <f>IF($Q619="","",IFERROR(INDEX(BD_KPIs!$F$2:$F$1300,MATCH($Q619,BD_KPIs!$Q$2:$Q$1300,0)),"n/d"))</f>
        <v/>
      </c>
      <c r="Y619" s="193" t="str">
        <f>IF($Q619="","",IF(COUNTIFS($Q$2:$Q$1300,$Q619,$U$2:$U$1300,"&gt;"&amp;$U619)&gt;0,0,IF(AND(ISNUMBER($F619),ISNUMBER($X619)),IF(ABS($F619-$X619)&gt;_QA!$C$6,1,0),IF($F619&amp;""=$X619&amp;"",0,1))))</f>
        <v/>
      </c>
    </row>
    <row r="620" spans="24:25" ht="13.5" customHeight="1" x14ac:dyDescent="0.3">
      <c r="X620" s="193" t="str">
        <f>IF($Q620="","",IFERROR(INDEX(BD_KPIs!$F$2:$F$1300,MATCH($Q620,BD_KPIs!$Q$2:$Q$1300,0)),"n/d"))</f>
        <v/>
      </c>
      <c r="Y620" s="193" t="str">
        <f>IF($Q620="","",IF(COUNTIFS($Q$2:$Q$1300,$Q620,$U$2:$U$1300,"&gt;"&amp;$U620)&gt;0,0,IF(AND(ISNUMBER($F620),ISNUMBER($X620)),IF(ABS($F620-$X620)&gt;_QA!$C$6,1,0),IF($F620&amp;""=$X620&amp;"",0,1))))</f>
        <v/>
      </c>
    </row>
    <row r="621" spans="24:25" ht="13.5" customHeight="1" x14ac:dyDescent="0.3">
      <c r="X621" s="193" t="str">
        <f>IF($Q621="","",IFERROR(INDEX(BD_KPIs!$F$2:$F$1300,MATCH($Q621,BD_KPIs!$Q$2:$Q$1300,0)),"n/d"))</f>
        <v/>
      </c>
      <c r="Y621" s="193" t="str">
        <f>IF($Q621="","",IF(COUNTIFS($Q$2:$Q$1300,$Q621,$U$2:$U$1300,"&gt;"&amp;$U621)&gt;0,0,IF(AND(ISNUMBER($F621),ISNUMBER($X621)),IF(ABS($F621-$X621)&gt;_QA!$C$6,1,0),IF($F621&amp;""=$X621&amp;"",0,1))))</f>
        <v/>
      </c>
    </row>
    <row r="622" spans="24:25" ht="13.5" customHeight="1" x14ac:dyDescent="0.3">
      <c r="X622" s="193" t="str">
        <f>IF($Q622="","",IFERROR(INDEX(BD_KPIs!$F$2:$F$1300,MATCH($Q622,BD_KPIs!$Q$2:$Q$1300,0)),"n/d"))</f>
        <v/>
      </c>
      <c r="Y622" s="193" t="str">
        <f>IF($Q622="","",IF(COUNTIFS($Q$2:$Q$1300,$Q622,$U$2:$U$1300,"&gt;"&amp;$U622)&gt;0,0,IF(AND(ISNUMBER($F622),ISNUMBER($X622)),IF(ABS($F622-$X622)&gt;_QA!$C$6,1,0),IF($F622&amp;""=$X622&amp;"",0,1))))</f>
        <v/>
      </c>
    </row>
    <row r="623" spans="24:25" ht="13.5" customHeight="1" x14ac:dyDescent="0.3">
      <c r="X623" s="193" t="str">
        <f>IF($Q623="","",IFERROR(INDEX(BD_KPIs!$F$2:$F$1300,MATCH($Q623,BD_KPIs!$Q$2:$Q$1300,0)),"n/d"))</f>
        <v/>
      </c>
      <c r="Y623" s="193" t="str">
        <f>IF($Q623="","",IF(COUNTIFS($Q$2:$Q$1300,$Q623,$U$2:$U$1300,"&gt;"&amp;$U623)&gt;0,0,IF(AND(ISNUMBER($F623),ISNUMBER($X623)),IF(ABS($F623-$X623)&gt;_QA!$C$6,1,0),IF($F623&amp;""=$X623&amp;"",0,1))))</f>
        <v/>
      </c>
    </row>
    <row r="624" spans="24:25" ht="13.5" customHeight="1" x14ac:dyDescent="0.3">
      <c r="X624" s="193" t="str">
        <f>IF($Q624="","",IFERROR(INDEX(BD_KPIs!$F$2:$F$1300,MATCH($Q624,BD_KPIs!$Q$2:$Q$1300,0)),"n/d"))</f>
        <v/>
      </c>
      <c r="Y624" s="193" t="str">
        <f>IF($Q624="","",IF(COUNTIFS($Q$2:$Q$1300,$Q624,$U$2:$U$1300,"&gt;"&amp;$U624)&gt;0,0,IF(AND(ISNUMBER($F624),ISNUMBER($X624)),IF(ABS($F624-$X624)&gt;_QA!$C$6,1,0),IF($F624&amp;""=$X624&amp;"",0,1))))</f>
        <v/>
      </c>
    </row>
    <row r="625" spans="24:25" ht="13.5" customHeight="1" x14ac:dyDescent="0.3">
      <c r="X625" s="193" t="str">
        <f>IF($Q625="","",IFERROR(INDEX(BD_KPIs!$F$2:$F$1300,MATCH($Q625,BD_KPIs!$Q$2:$Q$1300,0)),"n/d"))</f>
        <v/>
      </c>
      <c r="Y625" s="193" t="str">
        <f>IF($Q625="","",IF(COUNTIFS($Q$2:$Q$1300,$Q625,$U$2:$U$1300,"&gt;"&amp;$U625)&gt;0,0,IF(AND(ISNUMBER($F625),ISNUMBER($X625)),IF(ABS($F625-$X625)&gt;_QA!$C$6,1,0),IF($F625&amp;""=$X625&amp;"",0,1))))</f>
        <v/>
      </c>
    </row>
    <row r="626" spans="24:25" ht="13.5" customHeight="1" x14ac:dyDescent="0.3">
      <c r="X626" s="193" t="str">
        <f>IF($Q626="","",IFERROR(INDEX(BD_KPIs!$F$2:$F$1300,MATCH($Q626,BD_KPIs!$Q$2:$Q$1300,0)),"n/d"))</f>
        <v/>
      </c>
      <c r="Y626" s="193" t="str">
        <f>IF($Q626="","",IF(COUNTIFS($Q$2:$Q$1300,$Q626,$U$2:$U$1300,"&gt;"&amp;$U626)&gt;0,0,IF(AND(ISNUMBER($F626),ISNUMBER($X626)),IF(ABS($F626-$X626)&gt;_QA!$C$6,1,0),IF($F626&amp;""=$X626&amp;"",0,1))))</f>
        <v/>
      </c>
    </row>
    <row r="627" spans="24:25" ht="13.5" customHeight="1" x14ac:dyDescent="0.3">
      <c r="X627" s="193" t="str">
        <f>IF($Q627="","",IFERROR(INDEX(BD_KPIs!$F$2:$F$1300,MATCH($Q627,BD_KPIs!$Q$2:$Q$1300,0)),"n/d"))</f>
        <v/>
      </c>
      <c r="Y627" s="193" t="str">
        <f>IF($Q627="","",IF(COUNTIFS($Q$2:$Q$1300,$Q627,$U$2:$U$1300,"&gt;"&amp;$U627)&gt;0,0,IF(AND(ISNUMBER($F627),ISNUMBER($X627)),IF(ABS($F627-$X627)&gt;_QA!$C$6,1,0),IF($F627&amp;""=$X627&amp;"",0,1))))</f>
        <v/>
      </c>
    </row>
    <row r="628" spans="24:25" ht="13.5" customHeight="1" x14ac:dyDescent="0.3">
      <c r="X628" s="193" t="str">
        <f>IF($Q628="","",IFERROR(INDEX(BD_KPIs!$F$2:$F$1300,MATCH($Q628,BD_KPIs!$Q$2:$Q$1300,0)),"n/d"))</f>
        <v/>
      </c>
      <c r="Y628" s="193" t="str">
        <f>IF($Q628="","",IF(COUNTIFS($Q$2:$Q$1300,$Q628,$U$2:$U$1300,"&gt;"&amp;$U628)&gt;0,0,IF(AND(ISNUMBER($F628),ISNUMBER($X628)),IF(ABS($F628-$X628)&gt;_QA!$C$6,1,0),IF($F628&amp;""=$X628&amp;"",0,1))))</f>
        <v/>
      </c>
    </row>
    <row r="629" spans="24:25" ht="13.5" customHeight="1" x14ac:dyDescent="0.3">
      <c r="X629" s="193" t="str">
        <f>IF($Q629="","",IFERROR(INDEX(BD_KPIs!$F$2:$F$1300,MATCH($Q629,BD_KPIs!$Q$2:$Q$1300,0)),"n/d"))</f>
        <v/>
      </c>
      <c r="Y629" s="193" t="str">
        <f>IF($Q629="","",IF(COUNTIFS($Q$2:$Q$1300,$Q629,$U$2:$U$1300,"&gt;"&amp;$U629)&gt;0,0,IF(AND(ISNUMBER($F629),ISNUMBER($X629)),IF(ABS($F629-$X629)&gt;_QA!$C$6,1,0),IF($F629&amp;""=$X629&amp;"",0,1))))</f>
        <v/>
      </c>
    </row>
    <row r="630" spans="24:25" ht="13.5" customHeight="1" x14ac:dyDescent="0.3">
      <c r="X630" s="193" t="str">
        <f>IF($Q630="","",IFERROR(INDEX(BD_KPIs!$F$2:$F$1300,MATCH($Q630,BD_KPIs!$Q$2:$Q$1300,0)),"n/d"))</f>
        <v/>
      </c>
      <c r="Y630" s="193" t="str">
        <f>IF($Q630="","",IF(COUNTIFS($Q$2:$Q$1300,$Q630,$U$2:$U$1300,"&gt;"&amp;$U630)&gt;0,0,IF(AND(ISNUMBER($F630),ISNUMBER($X630)),IF(ABS($F630-$X630)&gt;_QA!$C$6,1,0),IF($F630&amp;""=$X630&amp;"",0,1))))</f>
        <v/>
      </c>
    </row>
    <row r="631" spans="24:25" ht="13.5" customHeight="1" x14ac:dyDescent="0.3">
      <c r="X631" s="193" t="str">
        <f>IF($Q631="","",IFERROR(INDEX(BD_KPIs!$F$2:$F$1300,MATCH($Q631,BD_KPIs!$Q$2:$Q$1300,0)),"n/d"))</f>
        <v/>
      </c>
      <c r="Y631" s="193" t="str">
        <f>IF($Q631="","",IF(COUNTIFS($Q$2:$Q$1300,$Q631,$U$2:$U$1300,"&gt;"&amp;$U631)&gt;0,0,IF(AND(ISNUMBER($F631),ISNUMBER($X631)),IF(ABS($F631-$X631)&gt;_QA!$C$6,1,0),IF($F631&amp;""=$X631&amp;"",0,1))))</f>
        <v/>
      </c>
    </row>
    <row r="632" spans="24:25" ht="13.5" customHeight="1" x14ac:dyDescent="0.3">
      <c r="X632" s="193" t="str">
        <f>IF($Q632="","",IFERROR(INDEX(BD_KPIs!$F$2:$F$1300,MATCH($Q632,BD_KPIs!$Q$2:$Q$1300,0)),"n/d"))</f>
        <v/>
      </c>
      <c r="Y632" s="193" t="str">
        <f>IF($Q632="","",IF(COUNTIFS($Q$2:$Q$1300,$Q632,$U$2:$U$1300,"&gt;"&amp;$U632)&gt;0,0,IF(AND(ISNUMBER($F632),ISNUMBER($X632)),IF(ABS($F632-$X632)&gt;_QA!$C$6,1,0),IF($F632&amp;""=$X632&amp;"",0,1))))</f>
        <v/>
      </c>
    </row>
    <row r="633" spans="24:25" ht="13.5" customHeight="1" x14ac:dyDescent="0.3">
      <c r="X633" s="193" t="str">
        <f>IF($Q633="","",IFERROR(INDEX(BD_KPIs!$F$2:$F$1300,MATCH($Q633,BD_KPIs!$Q$2:$Q$1300,0)),"n/d"))</f>
        <v/>
      </c>
      <c r="Y633" s="193" t="str">
        <f>IF($Q633="","",IF(COUNTIFS($Q$2:$Q$1300,$Q633,$U$2:$U$1300,"&gt;"&amp;$U633)&gt;0,0,IF(AND(ISNUMBER($F633),ISNUMBER($X633)),IF(ABS($F633-$X633)&gt;_QA!$C$6,1,0),IF($F633&amp;""=$X633&amp;"",0,1))))</f>
        <v/>
      </c>
    </row>
    <row r="634" spans="24:25" ht="13.5" customHeight="1" x14ac:dyDescent="0.3">
      <c r="X634" s="193" t="str">
        <f>IF($Q634="","",IFERROR(INDEX(BD_KPIs!$F$2:$F$1300,MATCH($Q634,BD_KPIs!$Q$2:$Q$1300,0)),"n/d"))</f>
        <v/>
      </c>
      <c r="Y634" s="193" t="str">
        <f>IF($Q634="","",IF(COUNTIFS($Q$2:$Q$1300,$Q634,$U$2:$U$1300,"&gt;"&amp;$U634)&gt;0,0,IF(AND(ISNUMBER($F634),ISNUMBER($X634)),IF(ABS($F634-$X634)&gt;_QA!$C$6,1,0),IF($F634&amp;""=$X634&amp;"",0,1))))</f>
        <v/>
      </c>
    </row>
    <row r="635" spans="24:25" ht="13.5" customHeight="1" x14ac:dyDescent="0.3">
      <c r="X635" s="193" t="str">
        <f>IF($Q635="","",IFERROR(INDEX(BD_KPIs!$F$2:$F$1300,MATCH($Q635,BD_KPIs!$Q$2:$Q$1300,0)),"n/d"))</f>
        <v/>
      </c>
      <c r="Y635" s="193" t="str">
        <f>IF($Q635="","",IF(COUNTIFS($Q$2:$Q$1300,$Q635,$U$2:$U$1300,"&gt;"&amp;$U635)&gt;0,0,IF(AND(ISNUMBER($F635),ISNUMBER($X635)),IF(ABS($F635-$X635)&gt;_QA!$C$6,1,0),IF($F635&amp;""=$X635&amp;"",0,1))))</f>
        <v/>
      </c>
    </row>
    <row r="636" spans="24:25" ht="13.5" customHeight="1" x14ac:dyDescent="0.3">
      <c r="X636" s="193" t="str">
        <f>IF($Q636="","",IFERROR(INDEX(BD_KPIs!$F$2:$F$1300,MATCH($Q636,BD_KPIs!$Q$2:$Q$1300,0)),"n/d"))</f>
        <v/>
      </c>
      <c r="Y636" s="193" t="str">
        <f>IF($Q636="","",IF(COUNTIFS($Q$2:$Q$1300,$Q636,$U$2:$U$1300,"&gt;"&amp;$U636)&gt;0,0,IF(AND(ISNUMBER($F636),ISNUMBER($X636)),IF(ABS($F636-$X636)&gt;_QA!$C$6,1,0),IF($F636&amp;""=$X636&amp;"",0,1))))</f>
        <v/>
      </c>
    </row>
    <row r="637" spans="24:25" ht="13.5" customHeight="1" x14ac:dyDescent="0.3">
      <c r="X637" s="193" t="str">
        <f>IF($Q637="","",IFERROR(INDEX(BD_KPIs!$F$2:$F$1300,MATCH($Q637,BD_KPIs!$Q$2:$Q$1300,0)),"n/d"))</f>
        <v/>
      </c>
      <c r="Y637" s="193" t="str">
        <f>IF($Q637="","",IF(COUNTIFS($Q$2:$Q$1300,$Q637,$U$2:$U$1300,"&gt;"&amp;$U637)&gt;0,0,IF(AND(ISNUMBER($F637),ISNUMBER($X637)),IF(ABS($F637-$X637)&gt;_QA!$C$6,1,0),IF($F637&amp;""=$X637&amp;"",0,1))))</f>
        <v/>
      </c>
    </row>
    <row r="638" spans="24:25" ht="13.5" customHeight="1" x14ac:dyDescent="0.3">
      <c r="X638" s="193" t="str">
        <f>IF($Q638="","",IFERROR(INDEX(BD_KPIs!$F$2:$F$1300,MATCH($Q638,BD_KPIs!$Q$2:$Q$1300,0)),"n/d"))</f>
        <v/>
      </c>
      <c r="Y638" s="193" t="str">
        <f>IF($Q638="","",IF(COUNTIFS($Q$2:$Q$1300,$Q638,$U$2:$U$1300,"&gt;"&amp;$U638)&gt;0,0,IF(AND(ISNUMBER($F638),ISNUMBER($X638)),IF(ABS($F638-$X638)&gt;_QA!$C$6,1,0),IF($F638&amp;""=$X638&amp;"",0,1))))</f>
        <v/>
      </c>
    </row>
    <row r="639" spans="24:25" ht="13.5" customHeight="1" x14ac:dyDescent="0.3">
      <c r="X639" s="193" t="str">
        <f>IF($Q639="","",IFERROR(INDEX(BD_KPIs!$F$2:$F$1300,MATCH($Q639,BD_KPIs!$Q$2:$Q$1300,0)),"n/d"))</f>
        <v/>
      </c>
      <c r="Y639" s="193" t="str">
        <f>IF($Q639="","",IF(COUNTIFS($Q$2:$Q$1300,$Q639,$U$2:$U$1300,"&gt;"&amp;$U639)&gt;0,0,IF(AND(ISNUMBER($F639),ISNUMBER($X639)),IF(ABS($F639-$X639)&gt;_QA!$C$6,1,0),IF($F639&amp;""=$X639&amp;"",0,1))))</f>
        <v/>
      </c>
    </row>
    <row r="640" spans="24:25" ht="13.5" customHeight="1" x14ac:dyDescent="0.3">
      <c r="X640" s="193" t="str">
        <f>IF($Q640="","",IFERROR(INDEX(BD_KPIs!$F$2:$F$1300,MATCH($Q640,BD_KPIs!$Q$2:$Q$1300,0)),"n/d"))</f>
        <v/>
      </c>
      <c r="Y640" s="193" t="str">
        <f>IF($Q640="","",IF(COUNTIFS($Q$2:$Q$1300,$Q640,$U$2:$U$1300,"&gt;"&amp;$U640)&gt;0,0,IF(AND(ISNUMBER($F640),ISNUMBER($X640)),IF(ABS($F640-$X640)&gt;_QA!$C$6,1,0),IF($F640&amp;""=$X640&amp;"",0,1))))</f>
        <v/>
      </c>
    </row>
    <row r="641" spans="24:25" ht="13.5" customHeight="1" x14ac:dyDescent="0.3">
      <c r="X641" s="193" t="str">
        <f>IF($Q641="","",IFERROR(INDEX(BD_KPIs!$F$2:$F$1300,MATCH($Q641,BD_KPIs!$Q$2:$Q$1300,0)),"n/d"))</f>
        <v/>
      </c>
      <c r="Y641" s="193" t="str">
        <f>IF($Q641="","",IF(COUNTIFS($Q$2:$Q$1300,$Q641,$U$2:$U$1300,"&gt;"&amp;$U641)&gt;0,0,IF(AND(ISNUMBER($F641),ISNUMBER($X641)),IF(ABS($F641-$X641)&gt;_QA!$C$6,1,0),IF($F641&amp;""=$X641&amp;"",0,1))))</f>
        <v/>
      </c>
    </row>
    <row r="642" spans="24:25" ht="13.5" customHeight="1" x14ac:dyDescent="0.3">
      <c r="X642" s="193" t="str">
        <f>IF($Q642="","",IFERROR(INDEX(BD_KPIs!$F$2:$F$1300,MATCH($Q642,BD_KPIs!$Q$2:$Q$1300,0)),"n/d"))</f>
        <v/>
      </c>
      <c r="Y642" s="193" t="str">
        <f>IF($Q642="","",IF(COUNTIFS($Q$2:$Q$1300,$Q642,$U$2:$U$1300,"&gt;"&amp;$U642)&gt;0,0,IF(AND(ISNUMBER($F642),ISNUMBER($X642)),IF(ABS($F642-$X642)&gt;_QA!$C$6,1,0),IF($F642&amp;""=$X642&amp;"",0,1))))</f>
        <v/>
      </c>
    </row>
    <row r="643" spans="24:25" ht="13.5" customHeight="1" x14ac:dyDescent="0.3">
      <c r="X643" s="193" t="str">
        <f>IF($Q643="","",IFERROR(INDEX(BD_KPIs!$F$2:$F$1300,MATCH($Q643,BD_KPIs!$Q$2:$Q$1300,0)),"n/d"))</f>
        <v/>
      </c>
      <c r="Y643" s="193" t="str">
        <f>IF($Q643="","",IF(COUNTIFS($Q$2:$Q$1300,$Q643,$U$2:$U$1300,"&gt;"&amp;$U643)&gt;0,0,IF(AND(ISNUMBER($F643),ISNUMBER($X643)),IF(ABS($F643-$X643)&gt;_QA!$C$6,1,0),IF($F643&amp;""=$X643&amp;"",0,1))))</f>
        <v/>
      </c>
    </row>
    <row r="644" spans="24:25" ht="13.5" customHeight="1" x14ac:dyDescent="0.3">
      <c r="X644" s="193" t="str">
        <f>IF($Q644="","",IFERROR(INDEX(BD_KPIs!$F$2:$F$1300,MATCH($Q644,BD_KPIs!$Q$2:$Q$1300,0)),"n/d"))</f>
        <v/>
      </c>
      <c r="Y644" s="193" t="str">
        <f>IF($Q644="","",IF(COUNTIFS($Q$2:$Q$1300,$Q644,$U$2:$U$1300,"&gt;"&amp;$U644)&gt;0,0,IF(AND(ISNUMBER($F644),ISNUMBER($X644)),IF(ABS($F644-$X644)&gt;_QA!$C$6,1,0),IF($F644&amp;""=$X644&amp;"",0,1))))</f>
        <v/>
      </c>
    </row>
    <row r="645" spans="24:25" ht="13.5" customHeight="1" x14ac:dyDescent="0.3">
      <c r="X645" s="193" t="str">
        <f>IF($Q645="","",IFERROR(INDEX(BD_KPIs!$F$2:$F$1300,MATCH($Q645,BD_KPIs!$Q$2:$Q$1300,0)),"n/d"))</f>
        <v/>
      </c>
      <c r="Y645" s="193" t="str">
        <f>IF($Q645="","",IF(COUNTIFS($Q$2:$Q$1300,$Q645,$U$2:$U$1300,"&gt;"&amp;$U645)&gt;0,0,IF(AND(ISNUMBER($F645),ISNUMBER($X645)),IF(ABS($F645-$X645)&gt;_QA!$C$6,1,0),IF($F645&amp;""=$X645&amp;"",0,1))))</f>
        <v/>
      </c>
    </row>
    <row r="646" spans="24:25" ht="13.5" customHeight="1" x14ac:dyDescent="0.3">
      <c r="X646" s="193" t="str">
        <f>IF($Q646="","",IFERROR(INDEX(BD_KPIs!$F$2:$F$1300,MATCH($Q646,BD_KPIs!$Q$2:$Q$1300,0)),"n/d"))</f>
        <v/>
      </c>
      <c r="Y646" s="193" t="str">
        <f>IF($Q646="","",IF(COUNTIFS($Q$2:$Q$1300,$Q646,$U$2:$U$1300,"&gt;"&amp;$U646)&gt;0,0,IF(AND(ISNUMBER($F646),ISNUMBER($X646)),IF(ABS($F646-$X646)&gt;_QA!$C$6,1,0),IF($F646&amp;""=$X646&amp;"",0,1))))</f>
        <v/>
      </c>
    </row>
    <row r="647" spans="24:25" ht="13.5" customHeight="1" x14ac:dyDescent="0.3">
      <c r="X647" s="193" t="str">
        <f>IF($Q647="","",IFERROR(INDEX(BD_KPIs!$F$2:$F$1300,MATCH($Q647,BD_KPIs!$Q$2:$Q$1300,0)),"n/d"))</f>
        <v/>
      </c>
      <c r="Y647" s="193" t="str">
        <f>IF($Q647="","",IF(COUNTIFS($Q$2:$Q$1300,$Q647,$U$2:$U$1300,"&gt;"&amp;$U647)&gt;0,0,IF(AND(ISNUMBER($F647),ISNUMBER($X647)),IF(ABS($F647-$X647)&gt;_QA!$C$6,1,0),IF($F647&amp;""=$X647&amp;"",0,1))))</f>
        <v/>
      </c>
    </row>
    <row r="648" spans="24:25" ht="13.5" customHeight="1" x14ac:dyDescent="0.3">
      <c r="X648" s="193" t="str">
        <f>IF($Q648="","",IFERROR(INDEX(BD_KPIs!$F$2:$F$1300,MATCH($Q648,BD_KPIs!$Q$2:$Q$1300,0)),"n/d"))</f>
        <v/>
      </c>
      <c r="Y648" s="193" t="str">
        <f>IF($Q648="","",IF(COUNTIFS($Q$2:$Q$1300,$Q648,$U$2:$U$1300,"&gt;"&amp;$U648)&gt;0,0,IF(AND(ISNUMBER($F648),ISNUMBER($X648)),IF(ABS($F648-$X648)&gt;_QA!$C$6,1,0),IF($F648&amp;""=$X648&amp;"",0,1))))</f>
        <v/>
      </c>
    </row>
    <row r="649" spans="24:25" ht="13.5" customHeight="1" x14ac:dyDescent="0.3">
      <c r="X649" s="193" t="str">
        <f>IF($Q649="","",IFERROR(INDEX(BD_KPIs!$F$2:$F$1300,MATCH($Q649,BD_KPIs!$Q$2:$Q$1300,0)),"n/d"))</f>
        <v/>
      </c>
      <c r="Y649" s="193" t="str">
        <f>IF($Q649="","",IF(COUNTIFS($Q$2:$Q$1300,$Q649,$U$2:$U$1300,"&gt;"&amp;$U649)&gt;0,0,IF(AND(ISNUMBER($F649),ISNUMBER($X649)),IF(ABS($F649-$X649)&gt;_QA!$C$6,1,0),IF($F649&amp;""=$X649&amp;"",0,1))))</f>
        <v/>
      </c>
    </row>
    <row r="650" spans="24:25" ht="13.5" customHeight="1" x14ac:dyDescent="0.3">
      <c r="X650" s="193" t="str">
        <f>IF($Q650="","",IFERROR(INDEX(BD_KPIs!$F$2:$F$1300,MATCH($Q650,BD_KPIs!$Q$2:$Q$1300,0)),"n/d"))</f>
        <v/>
      </c>
      <c r="Y650" s="193" t="str">
        <f>IF($Q650="","",IF(COUNTIFS($Q$2:$Q$1300,$Q650,$U$2:$U$1300,"&gt;"&amp;$U650)&gt;0,0,IF(AND(ISNUMBER($F650),ISNUMBER($X650)),IF(ABS($F650-$X650)&gt;_QA!$C$6,1,0),IF($F650&amp;""=$X650&amp;"",0,1))))</f>
        <v/>
      </c>
    </row>
    <row r="651" spans="24:25" ht="13.5" customHeight="1" x14ac:dyDescent="0.3">
      <c r="X651" s="193" t="str">
        <f>IF($Q651="","",IFERROR(INDEX(BD_KPIs!$F$2:$F$1300,MATCH($Q651,BD_KPIs!$Q$2:$Q$1300,0)),"n/d"))</f>
        <v/>
      </c>
      <c r="Y651" s="193" t="str">
        <f>IF($Q651="","",IF(COUNTIFS($Q$2:$Q$1300,$Q651,$U$2:$U$1300,"&gt;"&amp;$U651)&gt;0,0,IF(AND(ISNUMBER($F651),ISNUMBER($X651)),IF(ABS($F651-$X651)&gt;_QA!$C$6,1,0),IF($F651&amp;""=$X651&amp;"",0,1))))</f>
        <v/>
      </c>
    </row>
    <row r="652" spans="24:25" ht="13.5" customHeight="1" x14ac:dyDescent="0.3">
      <c r="X652" s="193" t="str">
        <f>IF($Q652="","",IFERROR(INDEX(BD_KPIs!$F$2:$F$1300,MATCH($Q652,BD_KPIs!$Q$2:$Q$1300,0)),"n/d"))</f>
        <v/>
      </c>
      <c r="Y652" s="193" t="str">
        <f>IF($Q652="","",IF(COUNTIFS($Q$2:$Q$1300,$Q652,$U$2:$U$1300,"&gt;"&amp;$U652)&gt;0,0,IF(AND(ISNUMBER($F652),ISNUMBER($X652)),IF(ABS($F652-$X652)&gt;_QA!$C$6,1,0),IF($F652&amp;""=$X652&amp;"",0,1))))</f>
        <v/>
      </c>
    </row>
    <row r="653" spans="24:25" ht="13.5" customHeight="1" x14ac:dyDescent="0.3">
      <c r="X653" s="193" t="str">
        <f>IF($Q653="","",IFERROR(INDEX(BD_KPIs!$F$2:$F$1300,MATCH($Q653,BD_KPIs!$Q$2:$Q$1300,0)),"n/d"))</f>
        <v/>
      </c>
      <c r="Y653" s="193" t="str">
        <f>IF($Q653="","",IF(COUNTIFS($Q$2:$Q$1300,$Q653,$U$2:$U$1300,"&gt;"&amp;$U653)&gt;0,0,IF(AND(ISNUMBER($F653),ISNUMBER($X653)),IF(ABS($F653-$X653)&gt;_QA!$C$6,1,0),IF($F653&amp;""=$X653&amp;"",0,1))))</f>
        <v/>
      </c>
    </row>
    <row r="654" spans="24:25" ht="13.5" customHeight="1" x14ac:dyDescent="0.3">
      <c r="X654" s="193" t="str">
        <f>IF($Q654="","",IFERROR(INDEX(BD_KPIs!$F$2:$F$1300,MATCH($Q654,BD_KPIs!$Q$2:$Q$1300,0)),"n/d"))</f>
        <v/>
      </c>
      <c r="Y654" s="193" t="str">
        <f>IF($Q654="","",IF(COUNTIFS($Q$2:$Q$1300,$Q654,$U$2:$U$1300,"&gt;"&amp;$U654)&gt;0,0,IF(AND(ISNUMBER($F654),ISNUMBER($X654)),IF(ABS($F654-$X654)&gt;_QA!$C$6,1,0),IF($F654&amp;""=$X654&amp;"",0,1))))</f>
        <v/>
      </c>
    </row>
    <row r="655" spans="24:25" ht="13.5" customHeight="1" x14ac:dyDescent="0.3">
      <c r="X655" s="193" t="str">
        <f>IF($Q655="","",IFERROR(INDEX(BD_KPIs!$F$2:$F$1300,MATCH($Q655,BD_KPIs!$Q$2:$Q$1300,0)),"n/d"))</f>
        <v/>
      </c>
      <c r="Y655" s="193" t="str">
        <f>IF($Q655="","",IF(COUNTIFS($Q$2:$Q$1300,$Q655,$U$2:$U$1300,"&gt;"&amp;$U655)&gt;0,0,IF(AND(ISNUMBER($F655),ISNUMBER($X655)),IF(ABS($F655-$X655)&gt;_QA!$C$6,1,0),IF($F655&amp;""=$X655&amp;"",0,1))))</f>
        <v/>
      </c>
    </row>
    <row r="656" spans="24:25" ht="13.5" customHeight="1" x14ac:dyDescent="0.3">
      <c r="X656" s="193" t="str">
        <f>IF($Q656="","",IFERROR(INDEX(BD_KPIs!$F$2:$F$1300,MATCH($Q656,BD_KPIs!$Q$2:$Q$1300,0)),"n/d"))</f>
        <v/>
      </c>
      <c r="Y656" s="193" t="str">
        <f>IF($Q656="","",IF(COUNTIFS($Q$2:$Q$1300,$Q656,$U$2:$U$1300,"&gt;"&amp;$U656)&gt;0,0,IF(AND(ISNUMBER($F656),ISNUMBER($X656)),IF(ABS($F656-$X656)&gt;_QA!$C$6,1,0),IF($F656&amp;""=$X656&amp;"",0,1))))</f>
        <v/>
      </c>
    </row>
    <row r="657" spans="24:25" ht="13.5" customHeight="1" x14ac:dyDescent="0.3">
      <c r="X657" s="193" t="str">
        <f>IF($Q657="","",IFERROR(INDEX(BD_KPIs!$F$2:$F$1300,MATCH($Q657,BD_KPIs!$Q$2:$Q$1300,0)),"n/d"))</f>
        <v/>
      </c>
      <c r="Y657" s="193" t="str">
        <f>IF($Q657="","",IF(COUNTIFS($Q$2:$Q$1300,$Q657,$U$2:$U$1300,"&gt;"&amp;$U657)&gt;0,0,IF(AND(ISNUMBER($F657),ISNUMBER($X657)),IF(ABS($F657-$X657)&gt;_QA!$C$6,1,0),IF($F657&amp;""=$X657&amp;"",0,1))))</f>
        <v/>
      </c>
    </row>
    <row r="658" spans="24:25" ht="13.5" customHeight="1" x14ac:dyDescent="0.3">
      <c r="X658" s="193" t="str">
        <f>IF($Q658="","",IFERROR(INDEX(BD_KPIs!$F$2:$F$1300,MATCH($Q658,BD_KPIs!$Q$2:$Q$1300,0)),"n/d"))</f>
        <v/>
      </c>
      <c r="Y658" s="193" t="str">
        <f>IF($Q658="","",IF(COUNTIFS($Q$2:$Q$1300,$Q658,$U$2:$U$1300,"&gt;"&amp;$U658)&gt;0,0,IF(AND(ISNUMBER($F658),ISNUMBER($X658)),IF(ABS($F658-$X658)&gt;_QA!$C$6,1,0),IF($F658&amp;""=$X658&amp;"",0,1))))</f>
        <v/>
      </c>
    </row>
    <row r="659" spans="24:25" ht="13.5" customHeight="1" x14ac:dyDescent="0.3">
      <c r="X659" s="193" t="str">
        <f>IF($Q659="","",IFERROR(INDEX(BD_KPIs!$F$2:$F$1300,MATCH($Q659,BD_KPIs!$Q$2:$Q$1300,0)),"n/d"))</f>
        <v/>
      </c>
      <c r="Y659" s="193" t="str">
        <f>IF($Q659="","",IF(COUNTIFS($Q$2:$Q$1300,$Q659,$U$2:$U$1300,"&gt;"&amp;$U659)&gt;0,0,IF(AND(ISNUMBER($F659),ISNUMBER($X659)),IF(ABS($F659-$X659)&gt;_QA!$C$6,1,0),IF($F659&amp;""=$X659&amp;"",0,1))))</f>
        <v/>
      </c>
    </row>
    <row r="660" spans="24:25" ht="13.5" customHeight="1" x14ac:dyDescent="0.3">
      <c r="X660" s="193" t="str">
        <f>IF($Q660="","",IFERROR(INDEX(BD_KPIs!$F$2:$F$1300,MATCH($Q660,BD_KPIs!$Q$2:$Q$1300,0)),"n/d"))</f>
        <v/>
      </c>
      <c r="Y660" s="193" t="str">
        <f>IF($Q660="","",IF(COUNTIFS($Q$2:$Q$1300,$Q660,$U$2:$U$1300,"&gt;"&amp;$U660)&gt;0,0,IF(AND(ISNUMBER($F660),ISNUMBER($X660)),IF(ABS($F660-$X660)&gt;_QA!$C$6,1,0),IF($F660&amp;""=$X660&amp;"",0,1))))</f>
        <v/>
      </c>
    </row>
    <row r="661" spans="24:25" ht="13.5" customHeight="1" x14ac:dyDescent="0.3">
      <c r="X661" s="193" t="str">
        <f>IF($Q661="","",IFERROR(INDEX(BD_KPIs!$F$2:$F$1300,MATCH($Q661,BD_KPIs!$Q$2:$Q$1300,0)),"n/d"))</f>
        <v/>
      </c>
      <c r="Y661" s="193" t="str">
        <f>IF($Q661="","",IF(COUNTIFS($Q$2:$Q$1300,$Q661,$U$2:$U$1300,"&gt;"&amp;$U661)&gt;0,0,IF(AND(ISNUMBER($F661),ISNUMBER($X661)),IF(ABS($F661-$X661)&gt;_QA!$C$6,1,0),IF($F661&amp;""=$X661&amp;"",0,1))))</f>
        <v/>
      </c>
    </row>
    <row r="662" spans="24:25" ht="13.5" customHeight="1" x14ac:dyDescent="0.3">
      <c r="X662" s="193" t="str">
        <f>IF($Q662="","",IFERROR(INDEX(BD_KPIs!$F$2:$F$1300,MATCH($Q662,BD_KPIs!$Q$2:$Q$1300,0)),"n/d"))</f>
        <v/>
      </c>
      <c r="Y662" s="193" t="str">
        <f>IF($Q662="","",IF(COUNTIFS($Q$2:$Q$1300,$Q662,$U$2:$U$1300,"&gt;"&amp;$U662)&gt;0,0,IF(AND(ISNUMBER($F662),ISNUMBER($X662)),IF(ABS($F662-$X662)&gt;_QA!$C$6,1,0),IF($F662&amp;""=$X662&amp;"",0,1))))</f>
        <v/>
      </c>
    </row>
    <row r="663" spans="24:25" ht="13.5" customHeight="1" x14ac:dyDescent="0.3">
      <c r="X663" s="193" t="str">
        <f>IF($Q663="","",IFERROR(INDEX(BD_KPIs!$F$2:$F$1300,MATCH($Q663,BD_KPIs!$Q$2:$Q$1300,0)),"n/d"))</f>
        <v/>
      </c>
      <c r="Y663" s="193" t="str">
        <f>IF($Q663="","",IF(COUNTIFS($Q$2:$Q$1300,$Q663,$U$2:$U$1300,"&gt;"&amp;$U663)&gt;0,0,IF(AND(ISNUMBER($F663),ISNUMBER($X663)),IF(ABS($F663-$X663)&gt;_QA!$C$6,1,0),IF($F663&amp;""=$X663&amp;"",0,1))))</f>
        <v/>
      </c>
    </row>
    <row r="664" spans="24:25" ht="13.5" customHeight="1" x14ac:dyDescent="0.3">
      <c r="X664" s="193" t="str">
        <f>IF($Q664="","",IFERROR(INDEX(BD_KPIs!$F$2:$F$1300,MATCH($Q664,BD_KPIs!$Q$2:$Q$1300,0)),"n/d"))</f>
        <v/>
      </c>
      <c r="Y664" s="193" t="str">
        <f>IF($Q664="","",IF(COUNTIFS($Q$2:$Q$1300,$Q664,$U$2:$U$1300,"&gt;"&amp;$U664)&gt;0,0,IF(AND(ISNUMBER($F664),ISNUMBER($X664)),IF(ABS($F664-$X664)&gt;_QA!$C$6,1,0),IF($F664&amp;""=$X664&amp;"",0,1))))</f>
        <v/>
      </c>
    </row>
    <row r="665" spans="24:25" ht="13.5" customHeight="1" x14ac:dyDescent="0.3">
      <c r="X665" s="193" t="str">
        <f>IF($Q665="","",IFERROR(INDEX(BD_KPIs!$F$2:$F$1300,MATCH($Q665,BD_KPIs!$Q$2:$Q$1300,0)),"n/d"))</f>
        <v/>
      </c>
      <c r="Y665" s="193" t="str">
        <f>IF($Q665="","",IF(COUNTIFS($Q$2:$Q$1300,$Q665,$U$2:$U$1300,"&gt;"&amp;$U665)&gt;0,0,IF(AND(ISNUMBER($F665),ISNUMBER($X665)),IF(ABS($F665-$X665)&gt;_QA!$C$6,1,0),IF($F665&amp;""=$X665&amp;"",0,1))))</f>
        <v/>
      </c>
    </row>
    <row r="666" spans="24:25" ht="13.5" customHeight="1" x14ac:dyDescent="0.3">
      <c r="X666" s="193" t="str">
        <f>IF($Q666="","",IFERROR(INDEX(BD_KPIs!$F$2:$F$1300,MATCH($Q666,BD_KPIs!$Q$2:$Q$1300,0)),"n/d"))</f>
        <v/>
      </c>
      <c r="Y666" s="193" t="str">
        <f>IF($Q666="","",IF(COUNTIFS($Q$2:$Q$1300,$Q666,$U$2:$U$1300,"&gt;"&amp;$U666)&gt;0,0,IF(AND(ISNUMBER($F666),ISNUMBER($X666)),IF(ABS($F666-$X666)&gt;_QA!$C$6,1,0),IF($F666&amp;""=$X666&amp;"",0,1))))</f>
        <v/>
      </c>
    </row>
    <row r="667" spans="24:25" ht="13.5" customHeight="1" x14ac:dyDescent="0.3">
      <c r="X667" s="193" t="str">
        <f>IF($Q667="","",IFERROR(INDEX(BD_KPIs!$F$2:$F$1300,MATCH($Q667,BD_KPIs!$Q$2:$Q$1300,0)),"n/d"))</f>
        <v/>
      </c>
      <c r="Y667" s="193" t="str">
        <f>IF($Q667="","",IF(COUNTIFS($Q$2:$Q$1300,$Q667,$U$2:$U$1300,"&gt;"&amp;$U667)&gt;0,0,IF(AND(ISNUMBER($F667),ISNUMBER($X667)),IF(ABS($F667-$X667)&gt;_QA!$C$6,1,0),IF($F667&amp;""=$X667&amp;"",0,1))))</f>
        <v/>
      </c>
    </row>
    <row r="668" spans="24:25" ht="13.5" customHeight="1" x14ac:dyDescent="0.3">
      <c r="X668" s="193" t="str">
        <f>IF($Q668="","",IFERROR(INDEX(BD_KPIs!$F$2:$F$1300,MATCH($Q668,BD_KPIs!$Q$2:$Q$1300,0)),"n/d"))</f>
        <v/>
      </c>
      <c r="Y668" s="193" t="str">
        <f>IF($Q668="","",IF(COUNTIFS($Q$2:$Q$1300,$Q668,$U$2:$U$1300,"&gt;"&amp;$U668)&gt;0,0,IF(AND(ISNUMBER($F668),ISNUMBER($X668)),IF(ABS($F668-$X668)&gt;_QA!$C$6,1,0),IF($F668&amp;""=$X668&amp;"",0,1))))</f>
        <v/>
      </c>
    </row>
    <row r="669" spans="24:25" ht="13.5" customHeight="1" x14ac:dyDescent="0.3">
      <c r="X669" s="193" t="str">
        <f>IF($Q669="","",IFERROR(INDEX(BD_KPIs!$F$2:$F$1300,MATCH($Q669,BD_KPIs!$Q$2:$Q$1300,0)),"n/d"))</f>
        <v/>
      </c>
      <c r="Y669" s="193" t="str">
        <f>IF($Q669="","",IF(COUNTIFS($Q$2:$Q$1300,$Q669,$U$2:$U$1300,"&gt;"&amp;$U669)&gt;0,0,IF(AND(ISNUMBER($F669),ISNUMBER($X669)),IF(ABS($F669-$X669)&gt;_QA!$C$6,1,0),IF($F669&amp;""=$X669&amp;"",0,1))))</f>
        <v/>
      </c>
    </row>
    <row r="670" spans="24:25" ht="13.5" customHeight="1" x14ac:dyDescent="0.3">
      <c r="X670" s="193" t="str">
        <f>IF($Q670="","",IFERROR(INDEX(BD_KPIs!$F$2:$F$1300,MATCH($Q670,BD_KPIs!$Q$2:$Q$1300,0)),"n/d"))</f>
        <v/>
      </c>
      <c r="Y670" s="193" t="str">
        <f>IF($Q670="","",IF(COUNTIFS($Q$2:$Q$1300,$Q670,$U$2:$U$1300,"&gt;"&amp;$U670)&gt;0,0,IF(AND(ISNUMBER($F670),ISNUMBER($X670)),IF(ABS($F670-$X670)&gt;_QA!$C$6,1,0),IF($F670&amp;""=$X670&amp;"",0,1))))</f>
        <v/>
      </c>
    </row>
    <row r="671" spans="24:25" ht="13.5" customHeight="1" x14ac:dyDescent="0.3">
      <c r="X671" s="193" t="str">
        <f>IF($Q671="","",IFERROR(INDEX(BD_KPIs!$F$2:$F$1300,MATCH($Q671,BD_KPIs!$Q$2:$Q$1300,0)),"n/d"))</f>
        <v/>
      </c>
      <c r="Y671" s="193" t="str">
        <f>IF($Q671="","",IF(COUNTIFS($Q$2:$Q$1300,$Q671,$U$2:$U$1300,"&gt;"&amp;$U671)&gt;0,0,IF(AND(ISNUMBER($F671),ISNUMBER($X671)),IF(ABS($F671-$X671)&gt;_QA!$C$6,1,0),IF($F671&amp;""=$X671&amp;"",0,1))))</f>
        <v/>
      </c>
    </row>
    <row r="672" spans="24:25" ht="13.5" customHeight="1" x14ac:dyDescent="0.3">
      <c r="X672" s="193" t="str">
        <f>IF($Q672="","",IFERROR(INDEX(BD_KPIs!$F$2:$F$1300,MATCH($Q672,BD_KPIs!$Q$2:$Q$1300,0)),"n/d"))</f>
        <v/>
      </c>
      <c r="Y672" s="193" t="str">
        <f>IF($Q672="","",IF(COUNTIFS($Q$2:$Q$1300,$Q672,$U$2:$U$1300,"&gt;"&amp;$U672)&gt;0,0,IF(AND(ISNUMBER($F672),ISNUMBER($X672)),IF(ABS($F672-$X672)&gt;_QA!$C$6,1,0),IF($F672&amp;""=$X672&amp;"",0,1))))</f>
        <v/>
      </c>
    </row>
    <row r="673" spans="24:25" ht="13.5" customHeight="1" x14ac:dyDescent="0.3">
      <c r="X673" s="193" t="str">
        <f>IF($Q673="","",IFERROR(INDEX(BD_KPIs!$F$2:$F$1300,MATCH($Q673,BD_KPIs!$Q$2:$Q$1300,0)),"n/d"))</f>
        <v/>
      </c>
      <c r="Y673" s="193" t="str">
        <f>IF($Q673="","",IF(COUNTIFS($Q$2:$Q$1300,$Q673,$U$2:$U$1300,"&gt;"&amp;$U673)&gt;0,0,IF(AND(ISNUMBER($F673),ISNUMBER($X673)),IF(ABS($F673-$X673)&gt;_QA!$C$6,1,0),IF($F673&amp;""=$X673&amp;"",0,1))))</f>
        <v/>
      </c>
    </row>
    <row r="674" spans="24:25" ht="13.5" customHeight="1" x14ac:dyDescent="0.3">
      <c r="X674" s="193" t="str">
        <f>IF($Q674="","",IFERROR(INDEX(BD_KPIs!$F$2:$F$1300,MATCH($Q674,BD_KPIs!$Q$2:$Q$1300,0)),"n/d"))</f>
        <v/>
      </c>
      <c r="Y674" s="193" t="str">
        <f>IF($Q674="","",IF(COUNTIFS($Q$2:$Q$1300,$Q674,$U$2:$U$1300,"&gt;"&amp;$U674)&gt;0,0,IF(AND(ISNUMBER($F674),ISNUMBER($X674)),IF(ABS($F674-$X674)&gt;_QA!$C$6,1,0),IF($F674&amp;""=$X674&amp;"",0,1))))</f>
        <v/>
      </c>
    </row>
    <row r="675" spans="24:25" ht="13.5" customHeight="1" x14ac:dyDescent="0.3">
      <c r="X675" s="193" t="str">
        <f>IF($Q675="","",IFERROR(INDEX(BD_KPIs!$F$2:$F$1300,MATCH($Q675,BD_KPIs!$Q$2:$Q$1300,0)),"n/d"))</f>
        <v/>
      </c>
      <c r="Y675" s="193" t="str">
        <f>IF($Q675="","",IF(COUNTIFS($Q$2:$Q$1300,$Q675,$U$2:$U$1300,"&gt;"&amp;$U675)&gt;0,0,IF(AND(ISNUMBER($F675),ISNUMBER($X675)),IF(ABS($F675-$X675)&gt;_QA!$C$6,1,0),IF($F675&amp;""=$X675&amp;"",0,1))))</f>
        <v/>
      </c>
    </row>
    <row r="676" spans="24:25" ht="13.5" customHeight="1" x14ac:dyDescent="0.3">
      <c r="X676" s="193" t="str">
        <f>IF($Q676="","",IFERROR(INDEX(BD_KPIs!$F$2:$F$1300,MATCH($Q676,BD_KPIs!$Q$2:$Q$1300,0)),"n/d"))</f>
        <v/>
      </c>
      <c r="Y676" s="193" t="str">
        <f>IF($Q676="","",IF(COUNTIFS($Q$2:$Q$1300,$Q676,$U$2:$U$1300,"&gt;"&amp;$U676)&gt;0,0,IF(AND(ISNUMBER($F676),ISNUMBER($X676)),IF(ABS($F676-$X676)&gt;_QA!$C$6,1,0),IF($F676&amp;""=$X676&amp;"",0,1))))</f>
        <v/>
      </c>
    </row>
    <row r="677" spans="24:25" ht="13.5" customHeight="1" x14ac:dyDescent="0.3">
      <c r="X677" s="193" t="str">
        <f>IF($Q677="","",IFERROR(INDEX(BD_KPIs!$F$2:$F$1300,MATCH($Q677,BD_KPIs!$Q$2:$Q$1300,0)),"n/d"))</f>
        <v/>
      </c>
      <c r="Y677" s="193" t="str">
        <f>IF($Q677="","",IF(COUNTIFS($Q$2:$Q$1300,$Q677,$U$2:$U$1300,"&gt;"&amp;$U677)&gt;0,0,IF(AND(ISNUMBER($F677),ISNUMBER($X677)),IF(ABS($F677-$X677)&gt;_QA!$C$6,1,0),IF($F677&amp;""=$X677&amp;"",0,1))))</f>
        <v/>
      </c>
    </row>
    <row r="678" spans="24:25" ht="13.5" customHeight="1" x14ac:dyDescent="0.3">
      <c r="X678" s="193" t="str">
        <f>IF($Q678="","",IFERROR(INDEX(BD_KPIs!$F$2:$F$1300,MATCH($Q678,BD_KPIs!$Q$2:$Q$1300,0)),"n/d"))</f>
        <v/>
      </c>
      <c r="Y678" s="193" t="str">
        <f>IF($Q678="","",IF(COUNTIFS($Q$2:$Q$1300,$Q678,$U$2:$U$1300,"&gt;"&amp;$U678)&gt;0,0,IF(AND(ISNUMBER($F678),ISNUMBER($X678)),IF(ABS($F678-$X678)&gt;_QA!$C$6,1,0),IF($F678&amp;""=$X678&amp;"",0,1))))</f>
        <v/>
      </c>
    </row>
    <row r="679" spans="24:25" ht="13.5" customHeight="1" x14ac:dyDescent="0.3">
      <c r="X679" s="193" t="str">
        <f>IF($Q679="","",IFERROR(INDEX(BD_KPIs!$F$2:$F$1300,MATCH($Q679,BD_KPIs!$Q$2:$Q$1300,0)),"n/d"))</f>
        <v/>
      </c>
      <c r="Y679" s="193" t="str">
        <f>IF($Q679="","",IF(COUNTIFS($Q$2:$Q$1300,$Q679,$U$2:$U$1300,"&gt;"&amp;$U679)&gt;0,0,IF(AND(ISNUMBER($F679),ISNUMBER($X679)),IF(ABS($F679-$X679)&gt;_QA!$C$6,1,0),IF($F679&amp;""=$X679&amp;"",0,1))))</f>
        <v/>
      </c>
    </row>
    <row r="680" spans="24:25" ht="13.5" customHeight="1" x14ac:dyDescent="0.3">
      <c r="X680" s="193" t="str">
        <f>IF($Q680="","",IFERROR(INDEX(BD_KPIs!$F$2:$F$1300,MATCH($Q680,BD_KPIs!$Q$2:$Q$1300,0)),"n/d"))</f>
        <v/>
      </c>
      <c r="Y680" s="193" t="str">
        <f>IF($Q680="","",IF(COUNTIFS($Q$2:$Q$1300,$Q680,$U$2:$U$1300,"&gt;"&amp;$U680)&gt;0,0,IF(AND(ISNUMBER($F680),ISNUMBER($X680)),IF(ABS($F680-$X680)&gt;_QA!$C$6,1,0),IF($F680&amp;""=$X680&amp;"",0,1))))</f>
        <v/>
      </c>
    </row>
    <row r="681" spans="24:25" ht="13.5" customHeight="1" x14ac:dyDescent="0.3">
      <c r="X681" s="193" t="str">
        <f>IF($Q681="","",IFERROR(INDEX(BD_KPIs!$F$2:$F$1300,MATCH($Q681,BD_KPIs!$Q$2:$Q$1300,0)),"n/d"))</f>
        <v/>
      </c>
      <c r="Y681" s="193" t="str">
        <f>IF($Q681="","",IF(COUNTIFS($Q$2:$Q$1300,$Q681,$U$2:$U$1300,"&gt;"&amp;$U681)&gt;0,0,IF(AND(ISNUMBER($F681),ISNUMBER($X681)),IF(ABS($F681-$X681)&gt;_QA!$C$6,1,0),IF($F681&amp;""=$X681&amp;"",0,1))))</f>
        <v/>
      </c>
    </row>
    <row r="682" spans="24:25" ht="13.5" customHeight="1" x14ac:dyDescent="0.3">
      <c r="X682" s="193" t="str">
        <f>IF($Q682="","",IFERROR(INDEX(BD_KPIs!$F$2:$F$1300,MATCH($Q682,BD_KPIs!$Q$2:$Q$1300,0)),"n/d"))</f>
        <v/>
      </c>
      <c r="Y682" s="193" t="str">
        <f>IF($Q682="","",IF(COUNTIFS($Q$2:$Q$1300,$Q682,$U$2:$U$1300,"&gt;"&amp;$U682)&gt;0,0,IF(AND(ISNUMBER($F682),ISNUMBER($X682)),IF(ABS($F682-$X682)&gt;_QA!$C$6,1,0),IF($F682&amp;""=$X682&amp;"",0,1))))</f>
        <v/>
      </c>
    </row>
    <row r="683" spans="24:25" ht="13.5" customHeight="1" x14ac:dyDescent="0.3">
      <c r="X683" s="193" t="str">
        <f>IF($Q683="","",IFERROR(INDEX(BD_KPIs!$F$2:$F$1300,MATCH($Q683,BD_KPIs!$Q$2:$Q$1300,0)),"n/d"))</f>
        <v/>
      </c>
      <c r="Y683" s="193" t="str">
        <f>IF($Q683="","",IF(COUNTIFS($Q$2:$Q$1300,$Q683,$U$2:$U$1300,"&gt;"&amp;$U683)&gt;0,0,IF(AND(ISNUMBER($F683),ISNUMBER($X683)),IF(ABS($F683-$X683)&gt;_QA!$C$6,1,0),IF($F683&amp;""=$X683&amp;"",0,1))))</f>
        <v/>
      </c>
    </row>
    <row r="684" spans="24:25" ht="13.5" customHeight="1" x14ac:dyDescent="0.3">
      <c r="X684" s="193" t="str">
        <f>IF($Q684="","",IFERROR(INDEX(BD_KPIs!$F$2:$F$1300,MATCH($Q684,BD_KPIs!$Q$2:$Q$1300,0)),"n/d"))</f>
        <v/>
      </c>
      <c r="Y684" s="193" t="str">
        <f>IF($Q684="","",IF(COUNTIFS($Q$2:$Q$1300,$Q684,$U$2:$U$1300,"&gt;"&amp;$U684)&gt;0,0,IF(AND(ISNUMBER($F684),ISNUMBER($X684)),IF(ABS($F684-$X684)&gt;_QA!$C$6,1,0),IF($F684&amp;""=$X684&amp;"",0,1))))</f>
        <v/>
      </c>
    </row>
    <row r="685" spans="24:25" ht="13.5" customHeight="1" x14ac:dyDescent="0.3">
      <c r="X685" s="193" t="str">
        <f>IF($Q685="","",IFERROR(INDEX(BD_KPIs!$F$2:$F$1300,MATCH($Q685,BD_KPIs!$Q$2:$Q$1300,0)),"n/d"))</f>
        <v/>
      </c>
      <c r="Y685" s="193" t="str">
        <f>IF($Q685="","",IF(COUNTIFS($Q$2:$Q$1300,$Q685,$U$2:$U$1300,"&gt;"&amp;$U685)&gt;0,0,IF(AND(ISNUMBER($F685),ISNUMBER($X685)),IF(ABS($F685-$X685)&gt;_QA!$C$6,1,0),IF($F685&amp;""=$X685&amp;"",0,1))))</f>
        <v/>
      </c>
    </row>
    <row r="686" spans="24:25" ht="13.5" customHeight="1" x14ac:dyDescent="0.3">
      <c r="X686" s="193" t="str">
        <f>IF($Q686="","",IFERROR(INDEX(BD_KPIs!$F$2:$F$1300,MATCH($Q686,BD_KPIs!$Q$2:$Q$1300,0)),"n/d"))</f>
        <v/>
      </c>
      <c r="Y686" s="193" t="str">
        <f>IF($Q686="","",IF(COUNTIFS($Q$2:$Q$1300,$Q686,$U$2:$U$1300,"&gt;"&amp;$U686)&gt;0,0,IF(AND(ISNUMBER($F686),ISNUMBER($X686)),IF(ABS($F686-$X686)&gt;_QA!$C$6,1,0),IF($F686&amp;""=$X686&amp;"",0,1))))</f>
        <v/>
      </c>
    </row>
    <row r="687" spans="24:25" ht="13.5" customHeight="1" x14ac:dyDescent="0.3">
      <c r="X687" s="193" t="str">
        <f>IF($Q687="","",IFERROR(INDEX(BD_KPIs!$F$2:$F$1300,MATCH($Q687,BD_KPIs!$Q$2:$Q$1300,0)),"n/d"))</f>
        <v/>
      </c>
      <c r="Y687" s="193" t="str">
        <f>IF($Q687="","",IF(COUNTIFS($Q$2:$Q$1300,$Q687,$U$2:$U$1300,"&gt;"&amp;$U687)&gt;0,0,IF(AND(ISNUMBER($F687),ISNUMBER($X687)),IF(ABS($F687-$X687)&gt;_QA!$C$6,1,0),IF($F687&amp;""=$X687&amp;"",0,1))))</f>
        <v/>
      </c>
    </row>
    <row r="688" spans="24:25" ht="13.5" customHeight="1" x14ac:dyDescent="0.3">
      <c r="X688" s="193" t="str">
        <f>IF($Q688="","",IFERROR(INDEX(BD_KPIs!$F$2:$F$1300,MATCH($Q688,BD_KPIs!$Q$2:$Q$1300,0)),"n/d"))</f>
        <v/>
      </c>
      <c r="Y688" s="193" t="str">
        <f>IF($Q688="","",IF(COUNTIFS($Q$2:$Q$1300,$Q688,$U$2:$U$1300,"&gt;"&amp;$U688)&gt;0,0,IF(AND(ISNUMBER($F688),ISNUMBER($X688)),IF(ABS($F688-$X688)&gt;_QA!$C$6,1,0),IF($F688&amp;""=$X688&amp;"",0,1))))</f>
        <v/>
      </c>
    </row>
    <row r="689" spans="24:25" ht="13.5" customHeight="1" x14ac:dyDescent="0.3">
      <c r="X689" s="193" t="str">
        <f>IF($Q689="","",IFERROR(INDEX(BD_KPIs!$F$2:$F$1300,MATCH($Q689,BD_KPIs!$Q$2:$Q$1300,0)),"n/d"))</f>
        <v/>
      </c>
      <c r="Y689" s="193" t="str">
        <f>IF($Q689="","",IF(COUNTIFS($Q$2:$Q$1300,$Q689,$U$2:$U$1300,"&gt;"&amp;$U689)&gt;0,0,IF(AND(ISNUMBER($F689),ISNUMBER($X689)),IF(ABS($F689-$X689)&gt;_QA!$C$6,1,0),IF($F689&amp;""=$X689&amp;"",0,1))))</f>
        <v/>
      </c>
    </row>
    <row r="690" spans="24:25" ht="13.5" customHeight="1" x14ac:dyDescent="0.3">
      <c r="X690" s="193" t="str">
        <f>IF($Q690="","",IFERROR(INDEX(BD_KPIs!$F$2:$F$1300,MATCH($Q690,BD_KPIs!$Q$2:$Q$1300,0)),"n/d"))</f>
        <v/>
      </c>
      <c r="Y690" s="193" t="str">
        <f>IF($Q690="","",IF(COUNTIFS($Q$2:$Q$1300,$Q690,$U$2:$U$1300,"&gt;"&amp;$U690)&gt;0,0,IF(AND(ISNUMBER($F690),ISNUMBER($X690)),IF(ABS($F690-$X690)&gt;_QA!$C$6,1,0),IF($F690&amp;""=$X690&amp;"",0,1))))</f>
        <v/>
      </c>
    </row>
    <row r="691" spans="24:25" ht="13.5" customHeight="1" x14ac:dyDescent="0.3">
      <c r="X691" s="193" t="str">
        <f>IF($Q691="","",IFERROR(INDEX(BD_KPIs!$F$2:$F$1300,MATCH($Q691,BD_KPIs!$Q$2:$Q$1300,0)),"n/d"))</f>
        <v/>
      </c>
      <c r="Y691" s="193" t="str">
        <f>IF($Q691="","",IF(COUNTIFS($Q$2:$Q$1300,$Q691,$U$2:$U$1300,"&gt;"&amp;$U691)&gt;0,0,IF(AND(ISNUMBER($F691),ISNUMBER($X691)),IF(ABS($F691-$X691)&gt;_QA!$C$6,1,0),IF($F691&amp;""=$X691&amp;"",0,1))))</f>
        <v/>
      </c>
    </row>
    <row r="692" spans="24:25" ht="13.5" customHeight="1" x14ac:dyDescent="0.3">
      <c r="X692" s="193" t="str">
        <f>IF($Q692="","",IFERROR(INDEX(BD_KPIs!$F$2:$F$1300,MATCH($Q692,BD_KPIs!$Q$2:$Q$1300,0)),"n/d"))</f>
        <v/>
      </c>
      <c r="Y692" s="193" t="str">
        <f>IF($Q692="","",IF(COUNTIFS($Q$2:$Q$1300,$Q692,$U$2:$U$1300,"&gt;"&amp;$U692)&gt;0,0,IF(AND(ISNUMBER($F692),ISNUMBER($X692)),IF(ABS($F692-$X692)&gt;_QA!$C$6,1,0),IF($F692&amp;""=$X692&amp;"",0,1))))</f>
        <v/>
      </c>
    </row>
    <row r="693" spans="24:25" ht="13.5" customHeight="1" x14ac:dyDescent="0.3">
      <c r="X693" s="193" t="str">
        <f>IF($Q693="","",IFERROR(INDEX(BD_KPIs!$F$2:$F$1300,MATCH($Q693,BD_KPIs!$Q$2:$Q$1300,0)),"n/d"))</f>
        <v/>
      </c>
      <c r="Y693" s="193" t="str">
        <f>IF($Q693="","",IF(COUNTIFS($Q$2:$Q$1300,$Q693,$U$2:$U$1300,"&gt;"&amp;$U693)&gt;0,0,IF(AND(ISNUMBER($F693),ISNUMBER($X693)),IF(ABS($F693-$X693)&gt;_QA!$C$6,1,0),IF($F693&amp;""=$X693&amp;"",0,1))))</f>
        <v/>
      </c>
    </row>
    <row r="694" spans="24:25" ht="13.5" customHeight="1" x14ac:dyDescent="0.3">
      <c r="X694" s="193" t="str">
        <f>IF($Q694="","",IFERROR(INDEX(BD_KPIs!$F$2:$F$1300,MATCH($Q694,BD_KPIs!$Q$2:$Q$1300,0)),"n/d"))</f>
        <v/>
      </c>
      <c r="Y694" s="193" t="str">
        <f>IF($Q694="","",IF(COUNTIFS($Q$2:$Q$1300,$Q694,$U$2:$U$1300,"&gt;"&amp;$U694)&gt;0,0,IF(AND(ISNUMBER($F694),ISNUMBER($X694)),IF(ABS($F694-$X694)&gt;_QA!$C$6,1,0),IF($F694&amp;""=$X694&amp;"",0,1))))</f>
        <v/>
      </c>
    </row>
    <row r="695" spans="24:25" ht="13.5" customHeight="1" x14ac:dyDescent="0.3">
      <c r="X695" s="193" t="str">
        <f>IF($Q695="","",IFERROR(INDEX(BD_KPIs!$F$2:$F$1300,MATCH($Q695,BD_KPIs!$Q$2:$Q$1300,0)),"n/d"))</f>
        <v/>
      </c>
      <c r="Y695" s="193" t="str">
        <f>IF($Q695="","",IF(COUNTIFS($Q$2:$Q$1300,$Q695,$U$2:$U$1300,"&gt;"&amp;$U695)&gt;0,0,IF(AND(ISNUMBER($F695),ISNUMBER($X695)),IF(ABS($F695-$X695)&gt;_QA!$C$6,1,0),IF($F695&amp;""=$X695&amp;"",0,1))))</f>
        <v/>
      </c>
    </row>
    <row r="696" spans="24:25" ht="13.5" customHeight="1" x14ac:dyDescent="0.3">
      <c r="X696" s="193" t="str">
        <f>IF($Q696="","",IFERROR(INDEX(BD_KPIs!$F$2:$F$1300,MATCH($Q696,BD_KPIs!$Q$2:$Q$1300,0)),"n/d"))</f>
        <v/>
      </c>
      <c r="Y696" s="193" t="str">
        <f>IF($Q696="","",IF(COUNTIFS($Q$2:$Q$1300,$Q696,$U$2:$U$1300,"&gt;"&amp;$U696)&gt;0,0,IF(AND(ISNUMBER($F696),ISNUMBER($X696)),IF(ABS($F696-$X696)&gt;_QA!$C$6,1,0),IF($F696&amp;""=$X696&amp;"",0,1))))</f>
        <v/>
      </c>
    </row>
    <row r="697" spans="24:25" ht="13.5" customHeight="1" x14ac:dyDescent="0.3">
      <c r="X697" s="193" t="str">
        <f>IF($Q697="","",IFERROR(INDEX(BD_KPIs!$F$2:$F$1300,MATCH($Q697,BD_KPIs!$Q$2:$Q$1300,0)),"n/d"))</f>
        <v/>
      </c>
      <c r="Y697" s="193" t="str">
        <f>IF($Q697="","",IF(COUNTIFS($Q$2:$Q$1300,$Q697,$U$2:$U$1300,"&gt;"&amp;$U697)&gt;0,0,IF(AND(ISNUMBER($F697),ISNUMBER($X697)),IF(ABS($F697-$X697)&gt;_QA!$C$6,1,0),IF($F697&amp;""=$X697&amp;"",0,1))))</f>
        <v/>
      </c>
    </row>
    <row r="698" spans="24:25" ht="13.5" customHeight="1" x14ac:dyDescent="0.3">
      <c r="X698" s="193" t="str">
        <f>IF($Q698="","",IFERROR(INDEX(BD_KPIs!$F$2:$F$1300,MATCH($Q698,BD_KPIs!$Q$2:$Q$1300,0)),"n/d"))</f>
        <v/>
      </c>
      <c r="Y698" s="193" t="str">
        <f>IF($Q698="","",IF(COUNTIFS($Q$2:$Q$1300,$Q698,$U$2:$U$1300,"&gt;"&amp;$U698)&gt;0,0,IF(AND(ISNUMBER($F698),ISNUMBER($X698)),IF(ABS($F698-$X698)&gt;_QA!$C$6,1,0),IF($F698&amp;""=$X698&amp;"",0,1))))</f>
        <v/>
      </c>
    </row>
    <row r="699" spans="24:25" ht="13.5" customHeight="1" x14ac:dyDescent="0.3">
      <c r="X699" s="193" t="str">
        <f>IF($Q699="","",IFERROR(INDEX(BD_KPIs!$F$2:$F$1300,MATCH($Q699,BD_KPIs!$Q$2:$Q$1300,0)),"n/d"))</f>
        <v/>
      </c>
      <c r="Y699" s="193" t="str">
        <f>IF($Q699="","",IF(COUNTIFS($Q$2:$Q$1300,$Q699,$U$2:$U$1300,"&gt;"&amp;$U699)&gt;0,0,IF(AND(ISNUMBER($F699),ISNUMBER($X699)),IF(ABS($F699-$X699)&gt;_QA!$C$6,1,0),IF($F699&amp;""=$X699&amp;"",0,1))))</f>
        <v/>
      </c>
    </row>
    <row r="700" spans="24:25" ht="13.5" customHeight="1" x14ac:dyDescent="0.3">
      <c r="X700" s="193" t="str">
        <f>IF($Q700="","",IFERROR(INDEX(BD_KPIs!$F$2:$F$1300,MATCH($Q700,BD_KPIs!$Q$2:$Q$1300,0)),"n/d"))</f>
        <v/>
      </c>
      <c r="Y700" s="193" t="str">
        <f>IF($Q700="","",IF(COUNTIFS($Q$2:$Q$1300,$Q700,$U$2:$U$1300,"&gt;"&amp;$U700)&gt;0,0,IF(AND(ISNUMBER($F700),ISNUMBER($X700)),IF(ABS($F700-$X700)&gt;_QA!$C$6,1,0),IF($F700&amp;""=$X700&amp;"",0,1))))</f>
        <v/>
      </c>
    </row>
    <row r="701" spans="24:25" x14ac:dyDescent="0.3">
      <c r="X701" s="193" t="str">
        <f>IF($Q701="","",IFERROR(INDEX(BD_KPIs!$F$2:$F$1300,MATCH($Q701,BD_KPIs!$Q$2:$Q$1300,0)),"n/d"))</f>
        <v/>
      </c>
      <c r="Y701" s="193" t="str">
        <f>IF($Q701="","",IF(COUNTIFS($Q$2:$Q$1300,$Q701,$U$2:$U$1300,"&gt;"&amp;$U701)&gt;0,0,IF(AND(ISNUMBER($F701),ISNUMBER($X701)),IF(ABS($F701-$X701)&gt;_QA!$C$6,1,0),IF($F701&amp;""=$X701&amp;"",0,1))))</f>
        <v/>
      </c>
    </row>
    <row r="702" spans="24:25" x14ac:dyDescent="0.3">
      <c r="X702" s="193" t="str">
        <f>IF($Q702="","",IFERROR(INDEX(BD_KPIs!$F$2:$F$1300,MATCH($Q702,BD_KPIs!$Q$2:$Q$1300,0)),"n/d"))</f>
        <v/>
      </c>
      <c r="Y702" s="193" t="str">
        <f>IF($Q702="","",IF(COUNTIFS($Q$2:$Q$1300,$Q702,$U$2:$U$1300,"&gt;"&amp;$U702)&gt;0,0,IF(AND(ISNUMBER($F702),ISNUMBER($X702)),IF(ABS($F702-$X702)&gt;_QA!$C$6,1,0),IF($F702&amp;""=$X702&amp;"",0,1))))</f>
        <v/>
      </c>
    </row>
    <row r="703" spans="24:25" x14ac:dyDescent="0.3">
      <c r="X703" s="193" t="str">
        <f>IF($Q703="","",IFERROR(INDEX(BD_KPIs!$F$2:$F$1300,MATCH($Q703,BD_KPIs!$Q$2:$Q$1300,0)),"n/d"))</f>
        <v/>
      </c>
      <c r="Y703" s="193" t="str">
        <f>IF($Q703="","",IF(COUNTIFS($Q$2:$Q$1300,$Q703,$U$2:$U$1300,"&gt;"&amp;$U703)&gt;0,0,IF(AND(ISNUMBER($F703),ISNUMBER($X703)),IF(ABS($F703-$X703)&gt;_QA!$C$6,1,0),IF($F703&amp;""=$X703&amp;"",0,1))))</f>
        <v/>
      </c>
    </row>
    <row r="704" spans="24:25" x14ac:dyDescent="0.3">
      <c r="X704" s="193" t="str">
        <f>IF($Q704="","",IFERROR(INDEX(BD_KPIs!$F$2:$F$1300,MATCH($Q704,BD_KPIs!$Q$2:$Q$1300,0)),"n/d"))</f>
        <v/>
      </c>
      <c r="Y704" s="193" t="str">
        <f>IF($Q704="","",IF(COUNTIFS($Q$2:$Q$1300,$Q704,$U$2:$U$1300,"&gt;"&amp;$U704)&gt;0,0,IF(AND(ISNUMBER($F704),ISNUMBER($X704)),IF(ABS($F704-$X704)&gt;_QA!$C$6,1,0),IF($F704&amp;""=$X704&amp;"",0,1))))</f>
        <v/>
      </c>
    </row>
    <row r="705" spans="24:25" x14ac:dyDescent="0.3">
      <c r="X705" s="193" t="str">
        <f>IF($Q705="","",IFERROR(INDEX(BD_KPIs!$F$2:$F$1300,MATCH($Q705,BD_KPIs!$Q$2:$Q$1300,0)),"n/d"))</f>
        <v/>
      </c>
      <c r="Y705" s="193" t="str">
        <f>IF($Q705="","",IF(COUNTIFS($Q$2:$Q$1300,$Q705,$U$2:$U$1300,"&gt;"&amp;$U705)&gt;0,0,IF(AND(ISNUMBER($F705),ISNUMBER($X705)),IF(ABS($F705-$X705)&gt;_QA!$C$6,1,0),IF($F705&amp;""=$X705&amp;"",0,1))))</f>
        <v/>
      </c>
    </row>
    <row r="706" spans="24:25" x14ac:dyDescent="0.3">
      <c r="X706" s="193" t="str">
        <f>IF($Q706="","",IFERROR(INDEX(BD_KPIs!$F$2:$F$1300,MATCH($Q706,BD_KPIs!$Q$2:$Q$1300,0)),"n/d"))</f>
        <v/>
      </c>
      <c r="Y706" s="193" t="str">
        <f>IF($Q706="","",IF(COUNTIFS($Q$2:$Q$1300,$Q706,$U$2:$U$1300,"&gt;"&amp;$U706)&gt;0,0,IF(AND(ISNUMBER($F706),ISNUMBER($X706)),IF(ABS($F706-$X706)&gt;_QA!$C$6,1,0),IF($F706&amp;""=$X706&amp;"",0,1))))</f>
        <v/>
      </c>
    </row>
    <row r="707" spans="24:25" x14ac:dyDescent="0.3">
      <c r="X707" s="193" t="str">
        <f>IF($Q707="","",IFERROR(INDEX(BD_KPIs!$F$2:$F$1300,MATCH($Q707,BD_KPIs!$Q$2:$Q$1300,0)),"n/d"))</f>
        <v/>
      </c>
      <c r="Y707" s="193" t="str">
        <f>IF($Q707="","",IF(COUNTIFS($Q$2:$Q$1300,$Q707,$U$2:$U$1300,"&gt;"&amp;$U707)&gt;0,0,IF(AND(ISNUMBER($F707),ISNUMBER($X707)),IF(ABS($F707-$X707)&gt;_QA!$C$6,1,0),IF($F707&amp;""=$X707&amp;"",0,1))))</f>
        <v/>
      </c>
    </row>
    <row r="708" spans="24:25" x14ac:dyDescent="0.3">
      <c r="X708" s="193" t="str">
        <f>IF($Q708="","",IFERROR(INDEX(BD_KPIs!$F$2:$F$1300,MATCH($Q708,BD_KPIs!$Q$2:$Q$1300,0)),"n/d"))</f>
        <v/>
      </c>
      <c r="Y708" s="193" t="str">
        <f>IF($Q708="","",IF(COUNTIFS($Q$2:$Q$1300,$Q708,$U$2:$U$1300,"&gt;"&amp;$U708)&gt;0,0,IF(AND(ISNUMBER($F708),ISNUMBER($X708)),IF(ABS($F708-$X708)&gt;_QA!$C$6,1,0),IF($F708&amp;""=$X708&amp;"",0,1))))</f>
        <v/>
      </c>
    </row>
    <row r="709" spans="24:25" x14ac:dyDescent="0.3">
      <c r="X709" s="193" t="str">
        <f>IF($Q709="","",IFERROR(INDEX(BD_KPIs!$F$2:$F$1300,MATCH($Q709,BD_KPIs!$Q$2:$Q$1300,0)),"n/d"))</f>
        <v/>
      </c>
      <c r="Y709" s="193" t="str">
        <f>IF($Q709="","",IF(COUNTIFS($Q$2:$Q$1300,$Q709,$U$2:$U$1300,"&gt;"&amp;$U709)&gt;0,0,IF(AND(ISNUMBER($F709),ISNUMBER($X709)),IF(ABS($F709-$X709)&gt;_QA!$C$6,1,0),IF($F709&amp;""=$X709&amp;"",0,1))))</f>
        <v/>
      </c>
    </row>
    <row r="710" spans="24:25" x14ac:dyDescent="0.3">
      <c r="X710" s="193" t="str">
        <f>IF($Q710="","",IFERROR(INDEX(BD_KPIs!$F$2:$F$1300,MATCH($Q710,BD_KPIs!$Q$2:$Q$1300,0)),"n/d"))</f>
        <v/>
      </c>
      <c r="Y710" s="193" t="str">
        <f>IF($Q710="","",IF(COUNTIFS($Q$2:$Q$1300,$Q710,$U$2:$U$1300,"&gt;"&amp;$U710)&gt;0,0,IF(AND(ISNUMBER($F710),ISNUMBER($X710)),IF(ABS($F710-$X710)&gt;_QA!$C$6,1,0),IF($F710&amp;""=$X710&amp;"",0,1))))</f>
        <v/>
      </c>
    </row>
    <row r="711" spans="24:25" x14ac:dyDescent="0.3">
      <c r="X711" s="193" t="str">
        <f>IF($Q711="","",IFERROR(INDEX(BD_KPIs!$F$2:$F$1300,MATCH($Q711,BD_KPIs!$Q$2:$Q$1300,0)),"n/d"))</f>
        <v/>
      </c>
      <c r="Y711" s="193" t="str">
        <f>IF($Q711="","",IF(COUNTIFS($Q$2:$Q$1300,$Q711,$U$2:$U$1300,"&gt;"&amp;$U711)&gt;0,0,IF(AND(ISNUMBER($F711),ISNUMBER($X711)),IF(ABS($F711-$X711)&gt;_QA!$C$6,1,0),IF($F711&amp;""=$X711&amp;"",0,1))))</f>
        <v/>
      </c>
    </row>
    <row r="712" spans="24:25" x14ac:dyDescent="0.3">
      <c r="X712" s="193" t="str">
        <f>IF($Q712="","",IFERROR(INDEX(BD_KPIs!$F$2:$F$1300,MATCH($Q712,BD_KPIs!$Q$2:$Q$1300,0)),"n/d"))</f>
        <v/>
      </c>
      <c r="Y712" s="193" t="str">
        <f>IF($Q712="","",IF(COUNTIFS($Q$2:$Q$1300,$Q712,$U$2:$U$1300,"&gt;"&amp;$U712)&gt;0,0,IF(AND(ISNUMBER($F712),ISNUMBER($X712)),IF(ABS($F712-$X712)&gt;_QA!$C$6,1,0),IF($F712&amp;""=$X712&amp;"",0,1))))</f>
        <v/>
      </c>
    </row>
    <row r="713" spans="24:25" x14ac:dyDescent="0.3">
      <c r="X713" s="193" t="str">
        <f>IF($Q713="","",IFERROR(INDEX(BD_KPIs!$F$2:$F$1300,MATCH($Q713,BD_KPIs!$Q$2:$Q$1300,0)),"n/d"))</f>
        <v/>
      </c>
      <c r="Y713" s="193" t="str">
        <f>IF($Q713="","",IF(COUNTIFS($Q$2:$Q$1300,$Q713,$U$2:$U$1300,"&gt;"&amp;$U713)&gt;0,0,IF(AND(ISNUMBER($F713),ISNUMBER($X713)),IF(ABS($F713-$X713)&gt;_QA!$C$6,1,0),IF($F713&amp;""=$X713&amp;"",0,1))))</f>
        <v/>
      </c>
    </row>
    <row r="714" spans="24:25" x14ac:dyDescent="0.3">
      <c r="X714" s="193" t="str">
        <f>IF($Q714="","",IFERROR(INDEX(BD_KPIs!$F$2:$F$1300,MATCH($Q714,BD_KPIs!$Q$2:$Q$1300,0)),"n/d"))</f>
        <v/>
      </c>
      <c r="Y714" s="193" t="str">
        <f>IF($Q714="","",IF(COUNTIFS($Q$2:$Q$1300,$Q714,$U$2:$U$1300,"&gt;"&amp;$U714)&gt;0,0,IF(AND(ISNUMBER($F714),ISNUMBER($X714)),IF(ABS($F714-$X714)&gt;_QA!$C$6,1,0),IF($F714&amp;""=$X714&amp;"",0,1))))</f>
        <v/>
      </c>
    </row>
    <row r="715" spans="24:25" x14ac:dyDescent="0.3">
      <c r="X715" s="193" t="str">
        <f>IF($Q715="","",IFERROR(INDEX(BD_KPIs!$F$2:$F$1300,MATCH($Q715,BD_KPIs!$Q$2:$Q$1300,0)),"n/d"))</f>
        <v/>
      </c>
      <c r="Y715" s="193" t="str">
        <f>IF($Q715="","",IF(COUNTIFS($Q$2:$Q$1300,$Q715,$U$2:$U$1300,"&gt;"&amp;$U715)&gt;0,0,IF(AND(ISNUMBER($F715),ISNUMBER($X715)),IF(ABS($F715-$X715)&gt;_QA!$C$6,1,0),IF($F715&amp;""=$X715&amp;"",0,1))))</f>
        <v/>
      </c>
    </row>
    <row r="716" spans="24:25" x14ac:dyDescent="0.3">
      <c r="X716" s="193" t="str">
        <f>IF($Q716="","",IFERROR(INDEX(BD_KPIs!$F$2:$F$1300,MATCH($Q716,BD_KPIs!$Q$2:$Q$1300,0)),"n/d"))</f>
        <v/>
      </c>
      <c r="Y716" s="193" t="str">
        <f>IF($Q716="","",IF(COUNTIFS($Q$2:$Q$1300,$Q716,$U$2:$U$1300,"&gt;"&amp;$U716)&gt;0,0,IF(AND(ISNUMBER($F716),ISNUMBER($X716)),IF(ABS($F716-$X716)&gt;_QA!$C$6,1,0),IF($F716&amp;""=$X716&amp;"",0,1))))</f>
        <v/>
      </c>
    </row>
    <row r="717" spans="24:25" x14ac:dyDescent="0.3">
      <c r="X717" s="193" t="str">
        <f>IF($Q717="","",IFERROR(INDEX(BD_KPIs!$F$2:$F$1300,MATCH($Q717,BD_KPIs!$Q$2:$Q$1300,0)),"n/d"))</f>
        <v/>
      </c>
      <c r="Y717" s="193" t="str">
        <f>IF($Q717="","",IF(COUNTIFS($Q$2:$Q$1300,$Q717,$U$2:$U$1300,"&gt;"&amp;$U717)&gt;0,0,IF(AND(ISNUMBER($F717),ISNUMBER($X717)),IF(ABS($F717-$X717)&gt;_QA!$C$6,1,0),IF($F717&amp;""=$X717&amp;"",0,1))))</f>
        <v/>
      </c>
    </row>
    <row r="718" spans="24:25" x14ac:dyDescent="0.3">
      <c r="X718" s="193" t="str">
        <f>IF($Q718="","",IFERROR(INDEX(BD_KPIs!$F$2:$F$1300,MATCH($Q718,BD_KPIs!$Q$2:$Q$1300,0)),"n/d"))</f>
        <v/>
      </c>
      <c r="Y718" s="193" t="str">
        <f>IF($Q718="","",IF(COUNTIFS($Q$2:$Q$1300,$Q718,$U$2:$U$1300,"&gt;"&amp;$U718)&gt;0,0,IF(AND(ISNUMBER($F718),ISNUMBER($X718)),IF(ABS($F718-$X718)&gt;_QA!$C$6,1,0),IF($F718&amp;""=$X718&amp;"",0,1))))</f>
        <v/>
      </c>
    </row>
    <row r="719" spans="24:25" x14ac:dyDescent="0.3">
      <c r="X719" s="193" t="str">
        <f>IF($Q719="","",IFERROR(INDEX(BD_KPIs!$F$2:$F$1300,MATCH($Q719,BD_KPIs!$Q$2:$Q$1300,0)),"n/d"))</f>
        <v/>
      </c>
      <c r="Y719" s="193" t="str">
        <f>IF($Q719="","",IF(COUNTIFS($Q$2:$Q$1300,$Q719,$U$2:$U$1300,"&gt;"&amp;$U719)&gt;0,0,IF(AND(ISNUMBER($F719),ISNUMBER($X719)),IF(ABS($F719-$X719)&gt;_QA!$C$6,1,0),IF($F719&amp;""=$X719&amp;"",0,1))))</f>
        <v/>
      </c>
    </row>
    <row r="720" spans="24:25" x14ac:dyDescent="0.3">
      <c r="X720" s="193" t="str">
        <f>IF($Q720="","",IFERROR(INDEX(BD_KPIs!$F$2:$F$1300,MATCH($Q720,BD_KPIs!$Q$2:$Q$1300,0)),"n/d"))</f>
        <v/>
      </c>
      <c r="Y720" s="193" t="str">
        <f>IF($Q720="","",IF(COUNTIFS($Q$2:$Q$1300,$Q720,$U$2:$U$1300,"&gt;"&amp;$U720)&gt;0,0,IF(AND(ISNUMBER($F720),ISNUMBER($X720)),IF(ABS($F720-$X720)&gt;_QA!$C$6,1,0),IF($F720&amp;""=$X720&amp;"",0,1))))</f>
        <v/>
      </c>
    </row>
    <row r="721" spans="24:25" x14ac:dyDescent="0.3">
      <c r="X721" s="193" t="str">
        <f>IF($Q721="","",IFERROR(INDEX(BD_KPIs!$F$2:$F$1300,MATCH($Q721,BD_KPIs!$Q$2:$Q$1300,0)),"n/d"))</f>
        <v/>
      </c>
      <c r="Y721" s="193" t="str">
        <f>IF($Q721="","",IF(COUNTIFS($Q$2:$Q$1300,$Q721,$U$2:$U$1300,"&gt;"&amp;$U721)&gt;0,0,IF(AND(ISNUMBER($F721),ISNUMBER($X721)),IF(ABS($F721-$X721)&gt;_QA!$C$6,1,0),IF($F721&amp;""=$X721&amp;"",0,1))))</f>
        <v/>
      </c>
    </row>
    <row r="722" spans="24:25" x14ac:dyDescent="0.3">
      <c r="X722" s="193" t="str">
        <f>IF($Q722="","",IFERROR(INDEX(BD_KPIs!$F$2:$F$1300,MATCH($Q722,BD_KPIs!$Q$2:$Q$1300,0)),"n/d"))</f>
        <v/>
      </c>
      <c r="Y722" s="193" t="str">
        <f>IF($Q722="","",IF(COUNTIFS($Q$2:$Q$1300,$Q722,$U$2:$U$1300,"&gt;"&amp;$U722)&gt;0,0,IF(AND(ISNUMBER($F722),ISNUMBER($X722)),IF(ABS($F722-$X722)&gt;_QA!$C$6,1,0),IF($F722&amp;""=$X722&amp;"",0,1))))</f>
        <v/>
      </c>
    </row>
    <row r="723" spans="24:25" x14ac:dyDescent="0.3">
      <c r="X723" s="193" t="str">
        <f>IF($Q723="","",IFERROR(INDEX(BD_KPIs!$F$2:$F$1300,MATCH($Q723,BD_KPIs!$Q$2:$Q$1300,0)),"n/d"))</f>
        <v/>
      </c>
      <c r="Y723" s="193" t="str">
        <f>IF($Q723="","",IF(COUNTIFS($Q$2:$Q$1300,$Q723,$U$2:$U$1300,"&gt;"&amp;$U723)&gt;0,0,IF(AND(ISNUMBER($F723),ISNUMBER($X723)),IF(ABS($F723-$X723)&gt;_QA!$C$6,1,0),IF($F723&amp;""=$X723&amp;"",0,1))))</f>
        <v/>
      </c>
    </row>
    <row r="724" spans="24:25" x14ac:dyDescent="0.3">
      <c r="X724" s="193" t="str">
        <f>IF($Q724="","",IFERROR(INDEX(BD_KPIs!$F$2:$F$1300,MATCH($Q724,BD_KPIs!$Q$2:$Q$1300,0)),"n/d"))</f>
        <v/>
      </c>
      <c r="Y724" s="193" t="str">
        <f>IF($Q724="","",IF(COUNTIFS($Q$2:$Q$1300,$Q724,$U$2:$U$1300,"&gt;"&amp;$U724)&gt;0,0,IF(AND(ISNUMBER($F724),ISNUMBER($X724)),IF(ABS($F724-$X724)&gt;_QA!$C$6,1,0),IF($F724&amp;""=$X724&amp;"",0,1))))</f>
        <v/>
      </c>
    </row>
    <row r="725" spans="24:25" x14ac:dyDescent="0.3">
      <c r="X725" s="193" t="str">
        <f>IF($Q725="","",IFERROR(INDEX(BD_KPIs!$F$2:$F$1300,MATCH($Q725,BD_KPIs!$Q$2:$Q$1300,0)),"n/d"))</f>
        <v/>
      </c>
      <c r="Y725" s="193" t="str">
        <f>IF($Q725="","",IF(COUNTIFS($Q$2:$Q$1300,$Q725,$U$2:$U$1300,"&gt;"&amp;$U725)&gt;0,0,IF(AND(ISNUMBER($F725),ISNUMBER($X725)),IF(ABS($F725-$X725)&gt;_QA!$C$6,1,0),IF($F725&amp;""=$X725&amp;"",0,1))))</f>
        <v/>
      </c>
    </row>
    <row r="726" spans="24:25" x14ac:dyDescent="0.3">
      <c r="X726" s="193" t="str">
        <f>IF($Q726="","",IFERROR(INDEX(BD_KPIs!$F$2:$F$1300,MATCH($Q726,BD_KPIs!$Q$2:$Q$1300,0)),"n/d"))</f>
        <v/>
      </c>
      <c r="Y726" s="193" t="str">
        <f>IF($Q726="","",IF(COUNTIFS($Q$2:$Q$1300,$Q726,$U$2:$U$1300,"&gt;"&amp;$U726)&gt;0,0,IF(AND(ISNUMBER($F726),ISNUMBER($X726)),IF(ABS($F726-$X726)&gt;_QA!$C$6,1,0),IF($F726&amp;""=$X726&amp;"",0,1))))</f>
        <v/>
      </c>
    </row>
    <row r="727" spans="24:25" x14ac:dyDescent="0.3">
      <c r="X727" s="193" t="str">
        <f>IF($Q727="","",IFERROR(INDEX(BD_KPIs!$F$2:$F$1300,MATCH($Q727,BD_KPIs!$Q$2:$Q$1300,0)),"n/d"))</f>
        <v/>
      </c>
      <c r="Y727" s="193" t="str">
        <f>IF($Q727="","",IF(COUNTIFS($Q$2:$Q$1300,$Q727,$U$2:$U$1300,"&gt;"&amp;$U727)&gt;0,0,IF(AND(ISNUMBER($F727),ISNUMBER($X727)),IF(ABS($F727-$X727)&gt;_QA!$C$6,1,0),IF($F727&amp;""=$X727&amp;"",0,1))))</f>
        <v/>
      </c>
    </row>
    <row r="728" spans="24:25" x14ac:dyDescent="0.3">
      <c r="X728" s="193" t="str">
        <f>IF($Q728="","",IFERROR(INDEX(BD_KPIs!$F$2:$F$1300,MATCH($Q728,BD_KPIs!$Q$2:$Q$1300,0)),"n/d"))</f>
        <v/>
      </c>
      <c r="Y728" s="193" t="str">
        <f>IF($Q728="","",IF(COUNTIFS($Q$2:$Q$1300,$Q728,$U$2:$U$1300,"&gt;"&amp;$U728)&gt;0,0,IF(AND(ISNUMBER($F728),ISNUMBER($X728)),IF(ABS($F728-$X728)&gt;_QA!$C$6,1,0),IF($F728&amp;""=$X728&amp;"",0,1))))</f>
        <v/>
      </c>
    </row>
    <row r="729" spans="24:25" x14ac:dyDescent="0.3">
      <c r="X729" s="193" t="str">
        <f>IF($Q729="","",IFERROR(INDEX(BD_KPIs!$F$2:$F$1300,MATCH($Q729,BD_KPIs!$Q$2:$Q$1300,0)),"n/d"))</f>
        <v/>
      </c>
      <c r="Y729" s="193" t="str">
        <f>IF($Q729="","",IF(COUNTIFS($Q$2:$Q$1300,$Q729,$U$2:$U$1300,"&gt;"&amp;$U729)&gt;0,0,IF(AND(ISNUMBER($F729),ISNUMBER($X729)),IF(ABS($F729-$X729)&gt;_QA!$C$6,1,0),IF($F729&amp;""=$X729&amp;"",0,1))))</f>
        <v/>
      </c>
    </row>
    <row r="730" spans="24:25" x14ac:dyDescent="0.3">
      <c r="X730" s="193" t="str">
        <f>IF($Q730="","",IFERROR(INDEX(BD_KPIs!$F$2:$F$1300,MATCH($Q730,BD_KPIs!$Q$2:$Q$1300,0)),"n/d"))</f>
        <v/>
      </c>
      <c r="Y730" s="193" t="str">
        <f>IF($Q730="","",IF(COUNTIFS($Q$2:$Q$1300,$Q730,$U$2:$U$1300,"&gt;"&amp;$U730)&gt;0,0,IF(AND(ISNUMBER($F730),ISNUMBER($X730)),IF(ABS($F730-$X730)&gt;_QA!$C$6,1,0),IF($F730&amp;""=$X730&amp;"",0,1))))</f>
        <v/>
      </c>
    </row>
    <row r="731" spans="24:25" x14ac:dyDescent="0.3">
      <c r="X731" s="193" t="str">
        <f>IF($Q731="","",IFERROR(INDEX(BD_KPIs!$F$2:$F$1300,MATCH($Q731,BD_KPIs!$Q$2:$Q$1300,0)),"n/d"))</f>
        <v/>
      </c>
      <c r="Y731" s="193" t="str">
        <f>IF($Q731="","",IF(COUNTIFS($Q$2:$Q$1300,$Q731,$U$2:$U$1300,"&gt;"&amp;$U731)&gt;0,0,IF(AND(ISNUMBER($F731),ISNUMBER($X731)),IF(ABS($F731-$X731)&gt;_QA!$C$6,1,0),IF($F731&amp;""=$X731&amp;"",0,1))))</f>
        <v/>
      </c>
    </row>
    <row r="732" spans="24:25" x14ac:dyDescent="0.3">
      <c r="X732" s="193" t="str">
        <f>IF($Q732="","",IFERROR(INDEX(BD_KPIs!$F$2:$F$1300,MATCH($Q732,BD_KPIs!$Q$2:$Q$1300,0)),"n/d"))</f>
        <v/>
      </c>
      <c r="Y732" s="193" t="str">
        <f>IF($Q732="","",IF(COUNTIFS($Q$2:$Q$1300,$Q732,$U$2:$U$1300,"&gt;"&amp;$U732)&gt;0,0,IF(AND(ISNUMBER($F732),ISNUMBER($X732)),IF(ABS($F732-$X732)&gt;_QA!$C$6,1,0),IF($F732&amp;""=$X732&amp;"",0,1))))</f>
        <v/>
      </c>
    </row>
    <row r="733" spans="24:25" x14ac:dyDescent="0.3">
      <c r="X733" s="193" t="str">
        <f>IF($Q733="","",IFERROR(INDEX(BD_KPIs!$F$2:$F$1300,MATCH($Q733,BD_KPIs!$Q$2:$Q$1300,0)),"n/d"))</f>
        <v/>
      </c>
      <c r="Y733" s="193" t="str">
        <f>IF($Q733="","",IF(COUNTIFS($Q$2:$Q$1300,$Q733,$U$2:$U$1300,"&gt;"&amp;$U733)&gt;0,0,IF(AND(ISNUMBER($F733),ISNUMBER($X733)),IF(ABS($F733-$X733)&gt;_QA!$C$6,1,0),IF($F733&amp;""=$X733&amp;"",0,1))))</f>
        <v/>
      </c>
    </row>
    <row r="734" spans="24:25" x14ac:dyDescent="0.3">
      <c r="X734" s="193" t="str">
        <f>IF($Q734="","",IFERROR(INDEX(BD_KPIs!$F$2:$F$1300,MATCH($Q734,BD_KPIs!$Q$2:$Q$1300,0)),"n/d"))</f>
        <v/>
      </c>
      <c r="Y734" s="193" t="str">
        <f>IF($Q734="","",IF(COUNTIFS($Q$2:$Q$1300,$Q734,$U$2:$U$1300,"&gt;"&amp;$U734)&gt;0,0,IF(AND(ISNUMBER($F734),ISNUMBER($X734)),IF(ABS($F734-$X734)&gt;_QA!$C$6,1,0),IF($F734&amp;""=$X734&amp;"",0,1))))</f>
        <v/>
      </c>
    </row>
    <row r="735" spans="24:25" x14ac:dyDescent="0.3">
      <c r="X735" s="193" t="str">
        <f>IF($Q735="","",IFERROR(INDEX(BD_KPIs!$F$2:$F$1300,MATCH($Q735,BD_KPIs!$Q$2:$Q$1300,0)),"n/d"))</f>
        <v/>
      </c>
      <c r="Y735" s="193" t="str">
        <f>IF($Q735="","",IF(COUNTIFS($Q$2:$Q$1300,$Q735,$U$2:$U$1300,"&gt;"&amp;$U735)&gt;0,0,IF(AND(ISNUMBER($F735),ISNUMBER($X735)),IF(ABS($F735-$X735)&gt;_QA!$C$6,1,0),IF($F735&amp;""=$X735&amp;"",0,1))))</f>
        <v/>
      </c>
    </row>
    <row r="736" spans="24:25" x14ac:dyDescent="0.3">
      <c r="X736" s="193" t="str">
        <f>IF($Q736="","",IFERROR(INDEX(BD_KPIs!$F$2:$F$1300,MATCH($Q736,BD_KPIs!$Q$2:$Q$1300,0)),"n/d"))</f>
        <v/>
      </c>
      <c r="Y736" s="193" t="str">
        <f>IF($Q736="","",IF(COUNTIFS($Q$2:$Q$1300,$Q736,$U$2:$U$1300,"&gt;"&amp;$U736)&gt;0,0,IF(AND(ISNUMBER($F736),ISNUMBER($X736)),IF(ABS($F736-$X736)&gt;_QA!$C$6,1,0),IF($F736&amp;""=$X736&amp;"",0,1))))</f>
        <v/>
      </c>
    </row>
    <row r="737" spans="24:25" x14ac:dyDescent="0.3">
      <c r="X737" s="193" t="str">
        <f>IF($Q737="","",IFERROR(INDEX(BD_KPIs!$F$2:$F$1300,MATCH($Q737,BD_KPIs!$Q$2:$Q$1300,0)),"n/d"))</f>
        <v/>
      </c>
      <c r="Y737" s="193" t="str">
        <f>IF($Q737="","",IF(COUNTIFS($Q$2:$Q$1300,$Q737,$U$2:$U$1300,"&gt;"&amp;$U737)&gt;0,0,IF(AND(ISNUMBER($F737),ISNUMBER($X737)),IF(ABS($F737-$X737)&gt;_QA!$C$6,1,0),IF($F737&amp;""=$X737&amp;"",0,1))))</f>
        <v/>
      </c>
    </row>
    <row r="738" spans="24:25" x14ac:dyDescent="0.3">
      <c r="X738" s="193" t="str">
        <f>IF($Q738="","",IFERROR(INDEX(BD_KPIs!$F$2:$F$1300,MATCH($Q738,BD_KPIs!$Q$2:$Q$1300,0)),"n/d"))</f>
        <v/>
      </c>
      <c r="Y738" s="193" t="str">
        <f>IF($Q738="","",IF(COUNTIFS($Q$2:$Q$1300,$Q738,$U$2:$U$1300,"&gt;"&amp;$U738)&gt;0,0,IF(AND(ISNUMBER($F738),ISNUMBER($X738)),IF(ABS($F738-$X738)&gt;_QA!$C$6,1,0),IF($F738&amp;""=$X738&amp;"",0,1))))</f>
        <v/>
      </c>
    </row>
    <row r="739" spans="24:25" x14ac:dyDescent="0.3">
      <c r="X739" s="193" t="str">
        <f>IF($Q739="","",IFERROR(INDEX(BD_KPIs!$F$2:$F$1300,MATCH($Q739,BD_KPIs!$Q$2:$Q$1300,0)),"n/d"))</f>
        <v/>
      </c>
      <c r="Y739" s="193" t="str">
        <f>IF($Q739="","",IF(COUNTIFS($Q$2:$Q$1300,$Q739,$U$2:$U$1300,"&gt;"&amp;$U739)&gt;0,0,IF(AND(ISNUMBER($F739),ISNUMBER($X739)),IF(ABS($F739-$X739)&gt;_QA!$C$6,1,0),IF($F739&amp;""=$X739&amp;"",0,1))))</f>
        <v/>
      </c>
    </row>
    <row r="740" spans="24:25" x14ac:dyDescent="0.3">
      <c r="X740" s="193" t="str">
        <f>IF($Q740="","",IFERROR(INDEX(BD_KPIs!$F$2:$F$1300,MATCH($Q740,BD_KPIs!$Q$2:$Q$1300,0)),"n/d"))</f>
        <v/>
      </c>
      <c r="Y740" s="193" t="str">
        <f>IF($Q740="","",IF(COUNTIFS($Q$2:$Q$1300,$Q740,$U$2:$U$1300,"&gt;"&amp;$U740)&gt;0,0,IF(AND(ISNUMBER($F740),ISNUMBER($X740)),IF(ABS($F740-$X740)&gt;_QA!$C$6,1,0),IF($F740&amp;""=$X740&amp;"",0,1))))</f>
        <v/>
      </c>
    </row>
    <row r="741" spans="24:25" x14ac:dyDescent="0.3">
      <c r="X741" s="193" t="str">
        <f>IF($Q741="","",IFERROR(INDEX(BD_KPIs!$F$2:$F$1300,MATCH($Q741,BD_KPIs!$Q$2:$Q$1300,0)),"n/d"))</f>
        <v/>
      </c>
      <c r="Y741" s="193" t="str">
        <f>IF($Q741="","",IF(COUNTIFS($Q$2:$Q$1300,$Q741,$U$2:$U$1300,"&gt;"&amp;$U741)&gt;0,0,IF(AND(ISNUMBER($F741),ISNUMBER($X741)),IF(ABS($F741-$X741)&gt;_QA!$C$6,1,0),IF($F741&amp;""=$X741&amp;"",0,1))))</f>
        <v/>
      </c>
    </row>
    <row r="742" spans="24:25" x14ac:dyDescent="0.3">
      <c r="X742" s="193" t="str">
        <f>IF($Q742="","",IFERROR(INDEX(BD_KPIs!$F$2:$F$1300,MATCH($Q742,BD_KPIs!$Q$2:$Q$1300,0)),"n/d"))</f>
        <v/>
      </c>
      <c r="Y742" s="193" t="str">
        <f>IF($Q742="","",IF(COUNTIFS($Q$2:$Q$1300,$Q742,$U$2:$U$1300,"&gt;"&amp;$U742)&gt;0,0,IF(AND(ISNUMBER($F742),ISNUMBER($X742)),IF(ABS($F742-$X742)&gt;_QA!$C$6,1,0),IF($F742&amp;""=$X742&amp;"",0,1))))</f>
        <v/>
      </c>
    </row>
    <row r="743" spans="24:25" x14ac:dyDescent="0.3">
      <c r="X743" s="193" t="str">
        <f>IF($Q743="","",IFERROR(INDEX(BD_KPIs!$F$2:$F$1300,MATCH($Q743,BD_KPIs!$Q$2:$Q$1300,0)),"n/d"))</f>
        <v/>
      </c>
      <c r="Y743" s="193" t="str">
        <f>IF($Q743="","",IF(COUNTIFS($Q$2:$Q$1300,$Q743,$U$2:$U$1300,"&gt;"&amp;$U743)&gt;0,0,IF(AND(ISNUMBER($F743),ISNUMBER($X743)),IF(ABS($F743-$X743)&gt;_QA!$C$6,1,0),IF($F743&amp;""=$X743&amp;"",0,1))))</f>
        <v/>
      </c>
    </row>
    <row r="744" spans="24:25" x14ac:dyDescent="0.3">
      <c r="X744" s="193" t="str">
        <f>IF($Q744="","",IFERROR(INDEX(BD_KPIs!$F$2:$F$1300,MATCH($Q744,BD_KPIs!$Q$2:$Q$1300,0)),"n/d"))</f>
        <v/>
      </c>
      <c r="Y744" s="193" t="str">
        <f>IF($Q744="","",IF(COUNTIFS($Q$2:$Q$1300,$Q744,$U$2:$U$1300,"&gt;"&amp;$U744)&gt;0,0,IF(AND(ISNUMBER($F744),ISNUMBER($X744)),IF(ABS($F744-$X744)&gt;_QA!$C$6,1,0),IF($F744&amp;""=$X744&amp;"",0,1))))</f>
        <v/>
      </c>
    </row>
    <row r="745" spans="24:25" x14ac:dyDescent="0.3">
      <c r="X745" s="193" t="str">
        <f>IF($Q745="","",IFERROR(INDEX(BD_KPIs!$F$2:$F$1300,MATCH($Q745,BD_KPIs!$Q$2:$Q$1300,0)),"n/d"))</f>
        <v/>
      </c>
      <c r="Y745" s="193" t="str">
        <f>IF($Q745="","",IF(COUNTIFS($Q$2:$Q$1300,$Q745,$U$2:$U$1300,"&gt;"&amp;$U745)&gt;0,0,IF(AND(ISNUMBER($F745),ISNUMBER($X745)),IF(ABS($F745-$X745)&gt;_QA!$C$6,1,0),IF($F745&amp;""=$X745&amp;"",0,1))))</f>
        <v/>
      </c>
    </row>
    <row r="746" spans="24:25" x14ac:dyDescent="0.3">
      <c r="X746" s="193" t="str">
        <f>IF($Q746="","",IFERROR(INDEX(BD_KPIs!$F$2:$F$1300,MATCH($Q746,BD_KPIs!$Q$2:$Q$1300,0)),"n/d"))</f>
        <v/>
      </c>
      <c r="Y746" s="193" t="str">
        <f>IF($Q746="","",IF(COUNTIFS($Q$2:$Q$1300,$Q746,$U$2:$U$1300,"&gt;"&amp;$U746)&gt;0,0,IF(AND(ISNUMBER($F746),ISNUMBER($X746)),IF(ABS($F746-$X746)&gt;_QA!$C$6,1,0),IF($F746&amp;""=$X746&amp;"",0,1))))</f>
        <v/>
      </c>
    </row>
    <row r="747" spans="24:25" x14ac:dyDescent="0.3">
      <c r="X747" s="193" t="str">
        <f>IF($Q747="","",IFERROR(INDEX(BD_KPIs!$F$2:$F$1300,MATCH($Q747,BD_KPIs!$Q$2:$Q$1300,0)),"n/d"))</f>
        <v/>
      </c>
      <c r="Y747" s="193" t="str">
        <f>IF($Q747="","",IF(COUNTIFS($Q$2:$Q$1300,$Q747,$U$2:$U$1300,"&gt;"&amp;$U747)&gt;0,0,IF(AND(ISNUMBER($F747),ISNUMBER($X747)),IF(ABS($F747-$X747)&gt;_QA!$C$6,1,0),IF($F747&amp;""=$X747&amp;"",0,1))))</f>
        <v/>
      </c>
    </row>
    <row r="748" spans="24:25" x14ac:dyDescent="0.3">
      <c r="X748" s="193" t="str">
        <f>IF($Q748="","",IFERROR(INDEX(BD_KPIs!$F$2:$F$1300,MATCH($Q748,BD_KPIs!$Q$2:$Q$1300,0)),"n/d"))</f>
        <v/>
      </c>
      <c r="Y748" s="193" t="str">
        <f>IF($Q748="","",IF(COUNTIFS($Q$2:$Q$1300,$Q748,$U$2:$U$1300,"&gt;"&amp;$U748)&gt;0,0,IF(AND(ISNUMBER($F748),ISNUMBER($X748)),IF(ABS($F748-$X748)&gt;_QA!$C$6,1,0),IF($F748&amp;""=$X748&amp;"",0,1))))</f>
        <v/>
      </c>
    </row>
    <row r="749" spans="24:25" x14ac:dyDescent="0.3">
      <c r="X749" s="193" t="str">
        <f>IF($Q749="","",IFERROR(INDEX(BD_KPIs!$F$2:$F$1300,MATCH($Q749,BD_KPIs!$Q$2:$Q$1300,0)),"n/d"))</f>
        <v/>
      </c>
      <c r="Y749" s="193" t="str">
        <f>IF($Q749="","",IF(COUNTIFS($Q$2:$Q$1300,$Q749,$U$2:$U$1300,"&gt;"&amp;$U749)&gt;0,0,IF(AND(ISNUMBER($F749),ISNUMBER($X749)),IF(ABS($F749-$X749)&gt;_QA!$C$6,1,0),IF($F749&amp;""=$X749&amp;"",0,1))))</f>
        <v/>
      </c>
    </row>
    <row r="750" spans="24:25" x14ac:dyDescent="0.3">
      <c r="X750" s="193" t="str">
        <f>IF($Q750="","",IFERROR(INDEX(BD_KPIs!$F$2:$F$1300,MATCH($Q750,BD_KPIs!$Q$2:$Q$1300,0)),"n/d"))</f>
        <v/>
      </c>
      <c r="Y750" s="193" t="str">
        <f>IF($Q750="","",IF(COUNTIFS($Q$2:$Q$1300,$Q750,$U$2:$U$1300,"&gt;"&amp;$U750)&gt;0,0,IF(AND(ISNUMBER($F750),ISNUMBER($X750)),IF(ABS($F750-$X750)&gt;_QA!$C$6,1,0),IF($F750&amp;""=$X750&amp;"",0,1))))</f>
        <v/>
      </c>
    </row>
    <row r="751" spans="24:25" x14ac:dyDescent="0.3">
      <c r="X751" s="193" t="str">
        <f>IF($Q751="","",IFERROR(INDEX(BD_KPIs!$F$2:$F$1300,MATCH($Q751,BD_KPIs!$Q$2:$Q$1300,0)),"n/d"))</f>
        <v/>
      </c>
      <c r="Y751" s="193" t="str">
        <f>IF($Q751="","",IF(COUNTIFS($Q$2:$Q$1300,$Q751,$U$2:$U$1300,"&gt;"&amp;$U751)&gt;0,0,IF(AND(ISNUMBER($F751),ISNUMBER($X751)),IF(ABS($F751-$X751)&gt;_QA!$C$6,1,0),IF($F751&amp;""=$X751&amp;"",0,1))))</f>
        <v/>
      </c>
    </row>
    <row r="752" spans="24:25" x14ac:dyDescent="0.3">
      <c r="X752" s="193" t="str">
        <f>IF($Q752="","",IFERROR(INDEX(BD_KPIs!$F$2:$F$1300,MATCH($Q752,BD_KPIs!$Q$2:$Q$1300,0)),"n/d"))</f>
        <v/>
      </c>
      <c r="Y752" s="193" t="str">
        <f>IF($Q752="","",IF(COUNTIFS($Q$2:$Q$1300,$Q752,$U$2:$U$1300,"&gt;"&amp;$U752)&gt;0,0,IF(AND(ISNUMBER($F752),ISNUMBER($X752)),IF(ABS($F752-$X752)&gt;_QA!$C$6,1,0),IF($F752&amp;""=$X752&amp;"",0,1))))</f>
        <v/>
      </c>
    </row>
    <row r="753" spans="24:25" x14ac:dyDescent="0.3">
      <c r="X753" s="193" t="str">
        <f>IF($Q753="","",IFERROR(INDEX(BD_KPIs!$F$2:$F$1300,MATCH($Q753,BD_KPIs!$Q$2:$Q$1300,0)),"n/d"))</f>
        <v/>
      </c>
      <c r="Y753" s="193" t="str">
        <f>IF($Q753="","",IF(COUNTIFS($Q$2:$Q$1300,$Q753,$U$2:$U$1300,"&gt;"&amp;$U753)&gt;0,0,IF(AND(ISNUMBER($F753),ISNUMBER($X753)),IF(ABS($F753-$X753)&gt;_QA!$C$6,1,0),IF($F753&amp;""=$X753&amp;"",0,1))))</f>
        <v/>
      </c>
    </row>
    <row r="754" spans="24:25" x14ac:dyDescent="0.3">
      <c r="X754" s="193" t="str">
        <f>IF($Q754="","",IFERROR(INDEX(BD_KPIs!$F$2:$F$1300,MATCH($Q754,BD_KPIs!$Q$2:$Q$1300,0)),"n/d"))</f>
        <v/>
      </c>
      <c r="Y754" s="193" t="str">
        <f>IF($Q754="","",IF(COUNTIFS($Q$2:$Q$1300,$Q754,$U$2:$U$1300,"&gt;"&amp;$U754)&gt;0,0,IF(AND(ISNUMBER($F754),ISNUMBER($X754)),IF(ABS($F754-$X754)&gt;_QA!$C$6,1,0),IF($F754&amp;""=$X754&amp;"",0,1))))</f>
        <v/>
      </c>
    </row>
    <row r="755" spans="24:25" x14ac:dyDescent="0.3">
      <c r="X755" s="193" t="str">
        <f>IF($Q755="","",IFERROR(INDEX(BD_KPIs!$F$2:$F$1300,MATCH($Q755,BD_KPIs!$Q$2:$Q$1300,0)),"n/d"))</f>
        <v/>
      </c>
      <c r="Y755" s="193" t="str">
        <f>IF($Q755="","",IF(COUNTIFS($Q$2:$Q$1300,$Q755,$U$2:$U$1300,"&gt;"&amp;$U755)&gt;0,0,IF(AND(ISNUMBER($F755),ISNUMBER($X755)),IF(ABS($F755-$X755)&gt;_QA!$C$6,1,0),IF($F755&amp;""=$X755&amp;"",0,1))))</f>
        <v/>
      </c>
    </row>
    <row r="756" spans="24:25" x14ac:dyDescent="0.3">
      <c r="X756" s="193" t="str">
        <f>IF($Q756="","",IFERROR(INDEX(BD_KPIs!$F$2:$F$1300,MATCH($Q756,BD_KPIs!$Q$2:$Q$1300,0)),"n/d"))</f>
        <v/>
      </c>
      <c r="Y756" s="193" t="str">
        <f>IF($Q756="","",IF(COUNTIFS($Q$2:$Q$1300,$Q756,$U$2:$U$1300,"&gt;"&amp;$U756)&gt;0,0,IF(AND(ISNUMBER($F756),ISNUMBER($X756)),IF(ABS($F756-$X756)&gt;_QA!$C$6,1,0),IF($F756&amp;""=$X756&amp;"",0,1))))</f>
        <v/>
      </c>
    </row>
    <row r="757" spans="24:25" x14ac:dyDescent="0.3">
      <c r="X757" s="193" t="str">
        <f>IF($Q757="","",IFERROR(INDEX(BD_KPIs!$F$2:$F$1300,MATCH($Q757,BD_KPIs!$Q$2:$Q$1300,0)),"n/d"))</f>
        <v/>
      </c>
      <c r="Y757" s="193" t="str">
        <f>IF($Q757="","",IF(COUNTIFS($Q$2:$Q$1300,$Q757,$U$2:$U$1300,"&gt;"&amp;$U757)&gt;0,0,IF(AND(ISNUMBER($F757),ISNUMBER($X757)),IF(ABS($F757-$X757)&gt;_QA!$C$6,1,0),IF($F757&amp;""=$X757&amp;"",0,1))))</f>
        <v/>
      </c>
    </row>
    <row r="758" spans="24:25" x14ac:dyDescent="0.3">
      <c r="X758" s="193" t="str">
        <f>IF($Q758="","",IFERROR(INDEX(BD_KPIs!$F$2:$F$1300,MATCH($Q758,BD_KPIs!$Q$2:$Q$1300,0)),"n/d"))</f>
        <v/>
      </c>
      <c r="Y758" s="193" t="str">
        <f>IF($Q758="","",IF(COUNTIFS($Q$2:$Q$1300,$Q758,$U$2:$U$1300,"&gt;"&amp;$U758)&gt;0,0,IF(AND(ISNUMBER($F758),ISNUMBER($X758)),IF(ABS($F758-$X758)&gt;_QA!$C$6,1,0),IF($F758&amp;""=$X758&amp;"",0,1))))</f>
        <v/>
      </c>
    </row>
    <row r="759" spans="24:25" x14ac:dyDescent="0.3">
      <c r="X759" s="193" t="str">
        <f>IF($Q759="","",IFERROR(INDEX(BD_KPIs!$F$2:$F$1300,MATCH($Q759,BD_KPIs!$Q$2:$Q$1300,0)),"n/d"))</f>
        <v/>
      </c>
      <c r="Y759" s="193" t="str">
        <f>IF($Q759="","",IF(COUNTIFS($Q$2:$Q$1300,$Q759,$U$2:$U$1300,"&gt;"&amp;$U759)&gt;0,0,IF(AND(ISNUMBER($F759),ISNUMBER($X759)),IF(ABS($F759-$X759)&gt;_QA!$C$6,1,0),IF($F759&amp;""=$X759&amp;"",0,1))))</f>
        <v/>
      </c>
    </row>
    <row r="760" spans="24:25" x14ac:dyDescent="0.3">
      <c r="X760" s="193" t="str">
        <f>IF($Q760="","",IFERROR(INDEX(BD_KPIs!$F$2:$F$1300,MATCH($Q760,BD_KPIs!$Q$2:$Q$1300,0)),"n/d"))</f>
        <v/>
      </c>
      <c r="Y760" s="193" t="str">
        <f>IF($Q760="","",IF(COUNTIFS($Q$2:$Q$1300,$Q760,$U$2:$U$1300,"&gt;"&amp;$U760)&gt;0,0,IF(AND(ISNUMBER($F760),ISNUMBER($X760)),IF(ABS($F760-$X760)&gt;_QA!$C$6,1,0),IF($F760&amp;""=$X760&amp;"",0,1))))</f>
        <v/>
      </c>
    </row>
    <row r="761" spans="24:25" x14ac:dyDescent="0.3">
      <c r="X761" s="193" t="str">
        <f>IF($Q761="","",IFERROR(INDEX(BD_KPIs!$F$2:$F$1300,MATCH($Q761,BD_KPIs!$Q$2:$Q$1300,0)),"n/d"))</f>
        <v/>
      </c>
      <c r="Y761" s="193" t="str">
        <f>IF($Q761="","",IF(COUNTIFS($Q$2:$Q$1300,$Q761,$U$2:$U$1300,"&gt;"&amp;$U761)&gt;0,0,IF(AND(ISNUMBER($F761),ISNUMBER($X761)),IF(ABS($F761-$X761)&gt;_QA!$C$6,1,0),IF($F761&amp;""=$X761&amp;"",0,1))))</f>
        <v/>
      </c>
    </row>
    <row r="762" spans="24:25" x14ac:dyDescent="0.3">
      <c r="X762" s="193" t="str">
        <f>IF($Q762="","",IFERROR(INDEX(BD_KPIs!$F$2:$F$1300,MATCH($Q762,BD_KPIs!$Q$2:$Q$1300,0)),"n/d"))</f>
        <v/>
      </c>
      <c r="Y762" s="193" t="str">
        <f>IF($Q762="","",IF(COUNTIFS($Q$2:$Q$1300,$Q762,$U$2:$U$1300,"&gt;"&amp;$U762)&gt;0,0,IF(AND(ISNUMBER($F762),ISNUMBER($X762)),IF(ABS($F762-$X762)&gt;_QA!$C$6,1,0),IF($F762&amp;""=$X762&amp;"",0,1))))</f>
        <v/>
      </c>
    </row>
    <row r="763" spans="24:25" x14ac:dyDescent="0.3">
      <c r="X763" s="193" t="str">
        <f>IF($Q763="","",IFERROR(INDEX(BD_KPIs!$F$2:$F$1300,MATCH($Q763,BD_KPIs!$Q$2:$Q$1300,0)),"n/d"))</f>
        <v/>
      </c>
      <c r="Y763" s="193" t="str">
        <f>IF($Q763="","",IF(COUNTIFS($Q$2:$Q$1300,$Q763,$U$2:$U$1300,"&gt;"&amp;$U763)&gt;0,0,IF(AND(ISNUMBER($F763),ISNUMBER($X763)),IF(ABS($F763-$X763)&gt;_QA!$C$6,1,0),IF($F763&amp;""=$X763&amp;"",0,1))))</f>
        <v/>
      </c>
    </row>
    <row r="764" spans="24:25" x14ac:dyDescent="0.3">
      <c r="X764" s="193" t="str">
        <f>IF($Q764="","",IFERROR(INDEX(BD_KPIs!$F$2:$F$1300,MATCH($Q764,BD_KPIs!$Q$2:$Q$1300,0)),"n/d"))</f>
        <v/>
      </c>
      <c r="Y764" s="193" t="str">
        <f>IF($Q764="","",IF(COUNTIFS($Q$2:$Q$1300,$Q764,$U$2:$U$1300,"&gt;"&amp;$U764)&gt;0,0,IF(AND(ISNUMBER($F764),ISNUMBER($X764)),IF(ABS($F764-$X764)&gt;_QA!$C$6,1,0),IF($F764&amp;""=$X764&amp;"",0,1))))</f>
        <v/>
      </c>
    </row>
    <row r="765" spans="24:25" x14ac:dyDescent="0.3">
      <c r="X765" s="193" t="str">
        <f>IF($Q765="","",IFERROR(INDEX(BD_KPIs!$F$2:$F$1300,MATCH($Q765,BD_KPIs!$Q$2:$Q$1300,0)),"n/d"))</f>
        <v/>
      </c>
      <c r="Y765" s="193" t="str">
        <f>IF($Q765="","",IF(COUNTIFS($Q$2:$Q$1300,$Q765,$U$2:$U$1300,"&gt;"&amp;$U765)&gt;0,0,IF(AND(ISNUMBER($F765),ISNUMBER($X765)),IF(ABS($F765-$X765)&gt;_QA!$C$6,1,0),IF($F765&amp;""=$X765&amp;"",0,1))))</f>
        <v/>
      </c>
    </row>
    <row r="766" spans="24:25" x14ac:dyDescent="0.3">
      <c r="X766" s="193" t="str">
        <f>IF($Q766="","",IFERROR(INDEX(BD_KPIs!$F$2:$F$1300,MATCH($Q766,BD_KPIs!$Q$2:$Q$1300,0)),"n/d"))</f>
        <v/>
      </c>
      <c r="Y766" s="193" t="str">
        <f>IF($Q766="","",IF(COUNTIFS($Q$2:$Q$1300,$Q766,$U$2:$U$1300,"&gt;"&amp;$U766)&gt;0,0,IF(AND(ISNUMBER($F766),ISNUMBER($X766)),IF(ABS($F766-$X766)&gt;_QA!$C$6,1,0),IF($F766&amp;""=$X766&amp;"",0,1))))</f>
        <v/>
      </c>
    </row>
    <row r="767" spans="24:25" x14ac:dyDescent="0.3">
      <c r="X767" s="193" t="str">
        <f>IF($Q767="","",IFERROR(INDEX(BD_KPIs!$F$2:$F$1300,MATCH($Q767,BD_KPIs!$Q$2:$Q$1300,0)),"n/d"))</f>
        <v/>
      </c>
      <c r="Y767" s="193" t="str">
        <f>IF($Q767="","",IF(COUNTIFS($Q$2:$Q$1300,$Q767,$U$2:$U$1300,"&gt;"&amp;$U767)&gt;0,0,IF(AND(ISNUMBER($F767),ISNUMBER($X767)),IF(ABS($F767-$X767)&gt;_QA!$C$6,1,0),IF($F767&amp;""=$X767&amp;"",0,1))))</f>
        <v/>
      </c>
    </row>
    <row r="768" spans="24:25" x14ac:dyDescent="0.3">
      <c r="X768" s="193" t="str">
        <f>IF($Q768="","",IFERROR(INDEX(BD_KPIs!$F$2:$F$1300,MATCH($Q768,BD_KPIs!$Q$2:$Q$1300,0)),"n/d"))</f>
        <v/>
      </c>
      <c r="Y768" s="193" t="str">
        <f>IF($Q768="","",IF(COUNTIFS($Q$2:$Q$1300,$Q768,$U$2:$U$1300,"&gt;"&amp;$U768)&gt;0,0,IF(AND(ISNUMBER($F768),ISNUMBER($X768)),IF(ABS($F768-$X768)&gt;_QA!$C$6,1,0),IF($F768&amp;""=$X768&amp;"",0,1))))</f>
        <v/>
      </c>
    </row>
    <row r="769" spans="24:25" x14ac:dyDescent="0.3">
      <c r="X769" s="193" t="str">
        <f>IF($Q769="","",IFERROR(INDEX(BD_KPIs!$F$2:$F$1300,MATCH($Q769,BD_KPIs!$Q$2:$Q$1300,0)),"n/d"))</f>
        <v/>
      </c>
      <c r="Y769" s="193" t="str">
        <f>IF($Q769="","",IF(COUNTIFS($Q$2:$Q$1300,$Q769,$U$2:$U$1300,"&gt;"&amp;$U769)&gt;0,0,IF(AND(ISNUMBER($F769),ISNUMBER($X769)),IF(ABS($F769-$X769)&gt;_QA!$C$6,1,0),IF($F769&amp;""=$X769&amp;"",0,1))))</f>
        <v/>
      </c>
    </row>
    <row r="770" spans="24:25" x14ac:dyDescent="0.3">
      <c r="X770" s="193" t="str">
        <f>IF($Q770="","",IFERROR(INDEX(BD_KPIs!$F$2:$F$1300,MATCH($Q770,BD_KPIs!$Q$2:$Q$1300,0)),"n/d"))</f>
        <v/>
      </c>
      <c r="Y770" s="193" t="str">
        <f>IF($Q770="","",IF(COUNTIFS($Q$2:$Q$1300,$Q770,$U$2:$U$1300,"&gt;"&amp;$U770)&gt;0,0,IF(AND(ISNUMBER($F770),ISNUMBER($X770)),IF(ABS($F770-$X770)&gt;_QA!$C$6,1,0),IF($F770&amp;""=$X770&amp;"",0,1))))</f>
        <v/>
      </c>
    </row>
    <row r="771" spans="24:25" x14ac:dyDescent="0.3">
      <c r="X771" s="193" t="str">
        <f>IF($Q771="","",IFERROR(INDEX(BD_KPIs!$F$2:$F$1300,MATCH($Q771,BD_KPIs!$Q$2:$Q$1300,0)),"n/d"))</f>
        <v/>
      </c>
      <c r="Y771" s="193" t="str">
        <f>IF($Q771="","",IF(COUNTIFS($Q$2:$Q$1300,$Q771,$U$2:$U$1300,"&gt;"&amp;$U771)&gt;0,0,IF(AND(ISNUMBER($F771),ISNUMBER($X771)),IF(ABS($F771-$X771)&gt;_QA!$C$6,1,0),IF($F771&amp;""=$X771&amp;"",0,1))))</f>
        <v/>
      </c>
    </row>
    <row r="772" spans="24:25" x14ac:dyDescent="0.3">
      <c r="X772" s="193" t="str">
        <f>IF($Q772="","",IFERROR(INDEX(BD_KPIs!$F$2:$F$1300,MATCH($Q772,BD_KPIs!$Q$2:$Q$1300,0)),"n/d"))</f>
        <v/>
      </c>
      <c r="Y772" s="193" t="str">
        <f>IF($Q772="","",IF(COUNTIFS($Q$2:$Q$1300,$Q772,$U$2:$U$1300,"&gt;"&amp;$U772)&gt;0,0,IF(AND(ISNUMBER($F772),ISNUMBER($X772)),IF(ABS($F772-$X772)&gt;_QA!$C$6,1,0),IF($F772&amp;""=$X772&amp;"",0,1))))</f>
        <v/>
      </c>
    </row>
    <row r="773" spans="24:25" x14ac:dyDescent="0.3">
      <c r="X773" s="193" t="str">
        <f>IF($Q773="","",IFERROR(INDEX(BD_KPIs!$F$2:$F$1300,MATCH($Q773,BD_KPIs!$Q$2:$Q$1300,0)),"n/d"))</f>
        <v/>
      </c>
      <c r="Y773" s="193" t="str">
        <f>IF($Q773="","",IF(COUNTIFS($Q$2:$Q$1300,$Q773,$U$2:$U$1300,"&gt;"&amp;$U773)&gt;0,0,IF(AND(ISNUMBER($F773),ISNUMBER($X773)),IF(ABS($F773-$X773)&gt;_QA!$C$6,1,0),IF($F773&amp;""=$X773&amp;"",0,1))))</f>
        <v/>
      </c>
    </row>
    <row r="774" spans="24:25" x14ac:dyDescent="0.3">
      <c r="X774" s="193" t="str">
        <f>IF($Q774="","",IFERROR(INDEX(BD_KPIs!$F$2:$F$1300,MATCH($Q774,BD_KPIs!$Q$2:$Q$1300,0)),"n/d"))</f>
        <v/>
      </c>
      <c r="Y774" s="193" t="str">
        <f>IF($Q774="","",IF(COUNTIFS($Q$2:$Q$1300,$Q774,$U$2:$U$1300,"&gt;"&amp;$U774)&gt;0,0,IF(AND(ISNUMBER($F774),ISNUMBER($X774)),IF(ABS($F774-$X774)&gt;_QA!$C$6,1,0),IF($F774&amp;""=$X774&amp;"",0,1))))</f>
        <v/>
      </c>
    </row>
    <row r="775" spans="24:25" x14ac:dyDescent="0.3">
      <c r="X775" s="193" t="str">
        <f>IF($Q775="","",IFERROR(INDEX(BD_KPIs!$F$2:$F$1300,MATCH($Q775,BD_KPIs!$Q$2:$Q$1300,0)),"n/d"))</f>
        <v/>
      </c>
      <c r="Y775" s="193" t="str">
        <f>IF($Q775="","",IF(COUNTIFS($Q$2:$Q$1300,$Q775,$U$2:$U$1300,"&gt;"&amp;$U775)&gt;0,0,IF(AND(ISNUMBER($F775),ISNUMBER($X775)),IF(ABS($F775-$X775)&gt;_QA!$C$6,1,0),IF($F775&amp;""=$X775&amp;"",0,1))))</f>
        <v/>
      </c>
    </row>
    <row r="776" spans="24:25" x14ac:dyDescent="0.3">
      <c r="X776" s="193" t="str">
        <f>IF($Q776="","",IFERROR(INDEX(BD_KPIs!$F$2:$F$1300,MATCH($Q776,BD_KPIs!$Q$2:$Q$1300,0)),"n/d"))</f>
        <v/>
      </c>
      <c r="Y776" s="193" t="str">
        <f>IF($Q776="","",IF(COUNTIFS($Q$2:$Q$1300,$Q776,$U$2:$U$1300,"&gt;"&amp;$U776)&gt;0,0,IF(AND(ISNUMBER($F776),ISNUMBER($X776)),IF(ABS($F776-$X776)&gt;_QA!$C$6,1,0),IF($F776&amp;""=$X776&amp;"",0,1))))</f>
        <v/>
      </c>
    </row>
    <row r="777" spans="24:25" x14ac:dyDescent="0.3">
      <c r="X777" s="193" t="str">
        <f>IF($Q777="","",IFERROR(INDEX(BD_KPIs!$F$2:$F$1300,MATCH($Q777,BD_KPIs!$Q$2:$Q$1300,0)),"n/d"))</f>
        <v/>
      </c>
      <c r="Y777" s="193" t="str">
        <f>IF($Q777="","",IF(COUNTIFS($Q$2:$Q$1300,$Q777,$U$2:$U$1300,"&gt;"&amp;$U777)&gt;0,0,IF(AND(ISNUMBER($F777),ISNUMBER($X777)),IF(ABS($F777-$X777)&gt;_QA!$C$6,1,0),IF($F777&amp;""=$X777&amp;"",0,1))))</f>
        <v/>
      </c>
    </row>
    <row r="778" spans="24:25" x14ac:dyDescent="0.3">
      <c r="X778" s="193" t="str">
        <f>IF($Q778="","",IFERROR(INDEX(BD_KPIs!$F$2:$F$1300,MATCH($Q778,BD_KPIs!$Q$2:$Q$1300,0)),"n/d"))</f>
        <v/>
      </c>
      <c r="Y778" s="193" t="str">
        <f>IF($Q778="","",IF(COUNTIFS($Q$2:$Q$1300,$Q778,$U$2:$U$1300,"&gt;"&amp;$U778)&gt;0,0,IF(AND(ISNUMBER($F778),ISNUMBER($X778)),IF(ABS($F778-$X778)&gt;_QA!$C$6,1,0),IF($F778&amp;""=$X778&amp;"",0,1))))</f>
        <v/>
      </c>
    </row>
    <row r="779" spans="24:25" x14ac:dyDescent="0.3">
      <c r="X779" s="193" t="str">
        <f>IF($Q779="","",IFERROR(INDEX(BD_KPIs!$F$2:$F$1300,MATCH($Q779,BD_KPIs!$Q$2:$Q$1300,0)),"n/d"))</f>
        <v/>
      </c>
      <c r="Y779" s="193" t="str">
        <f>IF($Q779="","",IF(COUNTIFS($Q$2:$Q$1300,$Q779,$U$2:$U$1300,"&gt;"&amp;$U779)&gt;0,0,IF(AND(ISNUMBER($F779),ISNUMBER($X779)),IF(ABS($F779-$X779)&gt;_QA!$C$6,1,0),IF($F779&amp;""=$X779&amp;"",0,1))))</f>
        <v/>
      </c>
    </row>
    <row r="780" spans="24:25" x14ac:dyDescent="0.3">
      <c r="X780" s="193" t="str">
        <f>IF($Q780="","",IFERROR(INDEX(BD_KPIs!$F$2:$F$1300,MATCH($Q780,BD_KPIs!$Q$2:$Q$1300,0)),"n/d"))</f>
        <v/>
      </c>
      <c r="Y780" s="193" t="str">
        <f>IF($Q780="","",IF(COUNTIFS($Q$2:$Q$1300,$Q780,$U$2:$U$1300,"&gt;"&amp;$U780)&gt;0,0,IF(AND(ISNUMBER($F780),ISNUMBER($X780)),IF(ABS($F780-$X780)&gt;_QA!$C$6,1,0),IF($F780&amp;""=$X780&amp;"",0,1))))</f>
        <v/>
      </c>
    </row>
    <row r="781" spans="24:25" x14ac:dyDescent="0.3">
      <c r="X781" s="193" t="str">
        <f>IF($Q781="","",IFERROR(INDEX(BD_KPIs!$F$2:$F$1300,MATCH($Q781,BD_KPIs!$Q$2:$Q$1300,0)),"n/d"))</f>
        <v/>
      </c>
      <c r="Y781" s="193" t="str">
        <f>IF($Q781="","",IF(COUNTIFS($Q$2:$Q$1300,$Q781,$U$2:$U$1300,"&gt;"&amp;$U781)&gt;0,0,IF(AND(ISNUMBER($F781),ISNUMBER($X781)),IF(ABS($F781-$X781)&gt;_QA!$C$6,1,0),IF($F781&amp;""=$X781&amp;"",0,1))))</f>
        <v/>
      </c>
    </row>
    <row r="782" spans="24:25" x14ac:dyDescent="0.3">
      <c r="X782" s="193" t="str">
        <f>IF($Q782="","",IFERROR(INDEX(BD_KPIs!$F$2:$F$1300,MATCH($Q782,BD_KPIs!$Q$2:$Q$1300,0)),"n/d"))</f>
        <v/>
      </c>
      <c r="Y782" s="193" t="str">
        <f>IF($Q782="","",IF(COUNTIFS($Q$2:$Q$1300,$Q782,$U$2:$U$1300,"&gt;"&amp;$U782)&gt;0,0,IF(AND(ISNUMBER($F782),ISNUMBER($X782)),IF(ABS($F782-$X782)&gt;_QA!$C$6,1,0),IF($F782&amp;""=$X782&amp;"",0,1))))</f>
        <v/>
      </c>
    </row>
    <row r="783" spans="24:25" x14ac:dyDescent="0.3">
      <c r="X783" s="193" t="str">
        <f>IF($Q783="","",IFERROR(INDEX(BD_KPIs!$F$2:$F$1300,MATCH($Q783,BD_KPIs!$Q$2:$Q$1300,0)),"n/d"))</f>
        <v/>
      </c>
      <c r="Y783" s="193" t="str">
        <f>IF($Q783="","",IF(COUNTIFS($Q$2:$Q$1300,$Q783,$U$2:$U$1300,"&gt;"&amp;$U783)&gt;0,0,IF(AND(ISNUMBER($F783),ISNUMBER($X783)),IF(ABS($F783-$X783)&gt;_QA!$C$6,1,0),IF($F783&amp;""=$X783&amp;"",0,1))))</f>
        <v/>
      </c>
    </row>
    <row r="784" spans="24:25" x14ac:dyDescent="0.3">
      <c r="X784" s="193" t="str">
        <f>IF($Q784="","",IFERROR(INDEX(BD_KPIs!$F$2:$F$1300,MATCH($Q784,BD_KPIs!$Q$2:$Q$1300,0)),"n/d"))</f>
        <v/>
      </c>
      <c r="Y784" s="193" t="str">
        <f>IF($Q784="","",IF(COUNTIFS($Q$2:$Q$1300,$Q784,$U$2:$U$1300,"&gt;"&amp;$U784)&gt;0,0,IF(AND(ISNUMBER($F784),ISNUMBER($X784)),IF(ABS($F784-$X784)&gt;_QA!$C$6,1,0),IF($F784&amp;""=$X784&amp;"",0,1))))</f>
        <v/>
      </c>
    </row>
    <row r="785" spans="24:25" x14ac:dyDescent="0.3">
      <c r="X785" s="193" t="str">
        <f>IF($Q785="","",IFERROR(INDEX(BD_KPIs!$F$2:$F$1300,MATCH($Q785,BD_KPIs!$Q$2:$Q$1300,0)),"n/d"))</f>
        <v/>
      </c>
      <c r="Y785" s="193" t="str">
        <f>IF($Q785="","",IF(COUNTIFS($Q$2:$Q$1300,$Q785,$U$2:$U$1300,"&gt;"&amp;$U785)&gt;0,0,IF(AND(ISNUMBER($F785),ISNUMBER($X785)),IF(ABS($F785-$X785)&gt;_QA!$C$6,1,0),IF($F785&amp;""=$X785&amp;"",0,1))))</f>
        <v/>
      </c>
    </row>
    <row r="786" spans="24:25" x14ac:dyDescent="0.3">
      <c r="X786" s="193" t="str">
        <f>IF($Q786="","",IFERROR(INDEX(BD_KPIs!$F$2:$F$1300,MATCH($Q786,BD_KPIs!$Q$2:$Q$1300,0)),"n/d"))</f>
        <v/>
      </c>
      <c r="Y786" s="193" t="str">
        <f>IF($Q786="","",IF(COUNTIFS($Q$2:$Q$1300,$Q786,$U$2:$U$1300,"&gt;"&amp;$U786)&gt;0,0,IF(AND(ISNUMBER($F786),ISNUMBER($X786)),IF(ABS($F786-$X786)&gt;_QA!$C$6,1,0),IF($F786&amp;""=$X786&amp;"",0,1))))</f>
        <v/>
      </c>
    </row>
    <row r="787" spans="24:25" x14ac:dyDescent="0.3">
      <c r="X787" s="193" t="str">
        <f>IF($Q787="","",IFERROR(INDEX(BD_KPIs!$F$2:$F$1300,MATCH($Q787,BD_KPIs!$Q$2:$Q$1300,0)),"n/d"))</f>
        <v/>
      </c>
      <c r="Y787" s="193" t="str">
        <f>IF($Q787="","",IF(COUNTIFS($Q$2:$Q$1300,$Q787,$U$2:$U$1300,"&gt;"&amp;$U787)&gt;0,0,IF(AND(ISNUMBER($F787),ISNUMBER($X787)),IF(ABS($F787-$X787)&gt;_QA!$C$6,1,0),IF($F787&amp;""=$X787&amp;"",0,1))))</f>
        <v/>
      </c>
    </row>
    <row r="788" spans="24:25" x14ac:dyDescent="0.3">
      <c r="X788" s="193" t="str">
        <f>IF($Q788="","",IFERROR(INDEX(BD_KPIs!$F$2:$F$1300,MATCH($Q788,BD_KPIs!$Q$2:$Q$1300,0)),"n/d"))</f>
        <v/>
      </c>
      <c r="Y788" s="193" t="str">
        <f>IF($Q788="","",IF(COUNTIFS($Q$2:$Q$1300,$Q788,$U$2:$U$1300,"&gt;"&amp;$U788)&gt;0,0,IF(AND(ISNUMBER($F788),ISNUMBER($X788)),IF(ABS($F788-$X788)&gt;_QA!$C$6,1,0),IF($F788&amp;""=$X788&amp;"",0,1))))</f>
        <v/>
      </c>
    </row>
    <row r="789" spans="24:25" x14ac:dyDescent="0.3">
      <c r="X789" s="193" t="str">
        <f>IF($Q789="","",IFERROR(INDEX(BD_KPIs!$F$2:$F$1300,MATCH($Q789,BD_KPIs!$Q$2:$Q$1300,0)),"n/d"))</f>
        <v/>
      </c>
      <c r="Y789" s="193" t="str">
        <f>IF($Q789="","",IF(COUNTIFS($Q$2:$Q$1300,$Q789,$U$2:$U$1300,"&gt;"&amp;$U789)&gt;0,0,IF(AND(ISNUMBER($F789),ISNUMBER($X789)),IF(ABS($F789-$X789)&gt;_QA!$C$6,1,0),IF($F789&amp;""=$X789&amp;"",0,1))))</f>
        <v/>
      </c>
    </row>
    <row r="790" spans="24:25" x14ac:dyDescent="0.3">
      <c r="X790" s="193" t="str">
        <f>IF($Q790="","",IFERROR(INDEX(BD_KPIs!$F$2:$F$1300,MATCH($Q790,BD_KPIs!$Q$2:$Q$1300,0)),"n/d"))</f>
        <v/>
      </c>
      <c r="Y790" s="193" t="str">
        <f>IF($Q790="","",IF(COUNTIFS($Q$2:$Q$1300,$Q790,$U$2:$U$1300,"&gt;"&amp;$U790)&gt;0,0,IF(AND(ISNUMBER($F790),ISNUMBER($X790)),IF(ABS($F790-$X790)&gt;_QA!$C$6,1,0),IF($F790&amp;""=$X790&amp;"",0,1))))</f>
        <v/>
      </c>
    </row>
    <row r="791" spans="24:25" x14ac:dyDescent="0.3">
      <c r="X791" s="193" t="str">
        <f>IF($Q791="","",IFERROR(INDEX(BD_KPIs!$F$2:$F$1300,MATCH($Q791,BD_KPIs!$Q$2:$Q$1300,0)),"n/d"))</f>
        <v/>
      </c>
      <c r="Y791" s="193" t="str">
        <f>IF($Q791="","",IF(COUNTIFS($Q$2:$Q$1300,$Q791,$U$2:$U$1300,"&gt;"&amp;$U791)&gt;0,0,IF(AND(ISNUMBER($F791),ISNUMBER($X791)),IF(ABS($F791-$X791)&gt;_QA!$C$6,1,0),IF($F791&amp;""=$X791&amp;"",0,1))))</f>
        <v/>
      </c>
    </row>
    <row r="792" spans="24:25" x14ac:dyDescent="0.3">
      <c r="X792" s="193" t="str">
        <f>IF($Q792="","",IFERROR(INDEX(BD_KPIs!$F$2:$F$1300,MATCH($Q792,BD_KPIs!$Q$2:$Q$1300,0)),"n/d"))</f>
        <v/>
      </c>
      <c r="Y792" s="193" t="str">
        <f>IF($Q792="","",IF(COUNTIFS($Q$2:$Q$1300,$Q792,$U$2:$U$1300,"&gt;"&amp;$U792)&gt;0,0,IF(AND(ISNUMBER($F792),ISNUMBER($X792)),IF(ABS($F792-$X792)&gt;_QA!$C$6,1,0),IF($F792&amp;""=$X792&amp;"",0,1))))</f>
        <v/>
      </c>
    </row>
    <row r="793" spans="24:25" x14ac:dyDescent="0.3">
      <c r="X793" s="193" t="str">
        <f>IF($Q793="","",IFERROR(INDEX(BD_KPIs!$F$2:$F$1300,MATCH($Q793,BD_KPIs!$Q$2:$Q$1300,0)),"n/d"))</f>
        <v/>
      </c>
      <c r="Y793" s="193" t="str">
        <f>IF($Q793="","",IF(COUNTIFS($Q$2:$Q$1300,$Q793,$U$2:$U$1300,"&gt;"&amp;$U793)&gt;0,0,IF(AND(ISNUMBER($F793),ISNUMBER($X793)),IF(ABS($F793-$X793)&gt;_QA!$C$6,1,0),IF($F793&amp;""=$X793&amp;"",0,1))))</f>
        <v/>
      </c>
    </row>
    <row r="794" spans="24:25" x14ac:dyDescent="0.3">
      <c r="X794" s="193" t="str">
        <f>IF($Q794="","",IFERROR(INDEX(BD_KPIs!$F$2:$F$1300,MATCH($Q794,BD_KPIs!$Q$2:$Q$1300,0)),"n/d"))</f>
        <v/>
      </c>
      <c r="Y794" s="193" t="str">
        <f>IF($Q794="","",IF(COUNTIFS($Q$2:$Q$1300,$Q794,$U$2:$U$1300,"&gt;"&amp;$U794)&gt;0,0,IF(AND(ISNUMBER($F794),ISNUMBER($X794)),IF(ABS($F794-$X794)&gt;_QA!$C$6,1,0),IF($F794&amp;""=$X794&amp;"",0,1))))</f>
        <v/>
      </c>
    </row>
    <row r="795" spans="24:25" x14ac:dyDescent="0.3">
      <c r="X795" s="193" t="str">
        <f>IF($Q795="","",IFERROR(INDEX(BD_KPIs!$F$2:$F$1300,MATCH($Q795,BD_KPIs!$Q$2:$Q$1300,0)),"n/d"))</f>
        <v/>
      </c>
      <c r="Y795" s="193" t="str">
        <f>IF($Q795="","",IF(COUNTIFS($Q$2:$Q$1300,$Q795,$U$2:$U$1300,"&gt;"&amp;$U795)&gt;0,0,IF(AND(ISNUMBER($F795),ISNUMBER($X795)),IF(ABS($F795-$X795)&gt;_QA!$C$6,1,0),IF($F795&amp;""=$X795&amp;"",0,1))))</f>
        <v/>
      </c>
    </row>
    <row r="796" spans="24:25" x14ac:dyDescent="0.3">
      <c r="X796" s="193" t="str">
        <f>IF($Q796="","",IFERROR(INDEX(BD_KPIs!$F$2:$F$1300,MATCH($Q796,BD_KPIs!$Q$2:$Q$1300,0)),"n/d"))</f>
        <v/>
      </c>
      <c r="Y796" s="193" t="str">
        <f>IF($Q796="","",IF(COUNTIFS($Q$2:$Q$1300,$Q796,$U$2:$U$1300,"&gt;"&amp;$U796)&gt;0,0,IF(AND(ISNUMBER($F796),ISNUMBER($X796)),IF(ABS($F796-$X796)&gt;_QA!$C$6,1,0),IF($F796&amp;""=$X796&amp;"",0,1))))</f>
        <v/>
      </c>
    </row>
    <row r="797" spans="24:25" x14ac:dyDescent="0.3">
      <c r="X797" s="193" t="str">
        <f>IF($Q797="","",IFERROR(INDEX(BD_KPIs!$F$2:$F$1300,MATCH($Q797,BD_KPIs!$Q$2:$Q$1300,0)),"n/d"))</f>
        <v/>
      </c>
      <c r="Y797" s="193" t="str">
        <f>IF($Q797="","",IF(COUNTIFS($Q$2:$Q$1300,$Q797,$U$2:$U$1300,"&gt;"&amp;$U797)&gt;0,0,IF(AND(ISNUMBER($F797),ISNUMBER($X797)),IF(ABS($F797-$X797)&gt;_QA!$C$6,1,0),IF($F797&amp;""=$X797&amp;"",0,1))))</f>
        <v/>
      </c>
    </row>
    <row r="798" spans="24:25" x14ac:dyDescent="0.3">
      <c r="X798" s="193" t="str">
        <f>IF($Q798="","",IFERROR(INDEX(BD_KPIs!$F$2:$F$1300,MATCH($Q798,BD_KPIs!$Q$2:$Q$1300,0)),"n/d"))</f>
        <v/>
      </c>
      <c r="Y798" s="193" t="str">
        <f>IF($Q798="","",IF(COUNTIFS($Q$2:$Q$1300,$Q798,$U$2:$U$1300,"&gt;"&amp;$U798)&gt;0,0,IF(AND(ISNUMBER($F798),ISNUMBER($X798)),IF(ABS($F798-$X798)&gt;_QA!$C$6,1,0),IF($F798&amp;""=$X798&amp;"",0,1))))</f>
        <v/>
      </c>
    </row>
    <row r="799" spans="24:25" x14ac:dyDescent="0.3">
      <c r="X799" s="193" t="str">
        <f>IF($Q799="","",IFERROR(INDEX(BD_KPIs!$F$2:$F$1300,MATCH($Q799,BD_KPIs!$Q$2:$Q$1300,0)),"n/d"))</f>
        <v/>
      </c>
      <c r="Y799" s="193" t="str">
        <f>IF($Q799="","",IF(COUNTIFS($Q$2:$Q$1300,$Q799,$U$2:$U$1300,"&gt;"&amp;$U799)&gt;0,0,IF(AND(ISNUMBER($F799),ISNUMBER($X799)),IF(ABS($F799-$X799)&gt;_QA!$C$6,1,0),IF($F799&amp;""=$X799&amp;"",0,1))))</f>
        <v/>
      </c>
    </row>
    <row r="800" spans="24:25" x14ac:dyDescent="0.3">
      <c r="X800" s="193" t="str">
        <f>IF($Q800="","",IFERROR(INDEX(BD_KPIs!$F$2:$F$1300,MATCH($Q800,BD_KPIs!$Q$2:$Q$1300,0)),"n/d"))</f>
        <v/>
      </c>
      <c r="Y800" s="193" t="str">
        <f>IF($Q800="","",IF(COUNTIFS($Q$2:$Q$1300,$Q800,$U$2:$U$1300,"&gt;"&amp;$U800)&gt;0,0,IF(AND(ISNUMBER($F800),ISNUMBER($X800)),IF(ABS($F800-$X800)&gt;_QA!$C$6,1,0),IF($F800&amp;""=$X800&amp;"",0,1))))</f>
        <v/>
      </c>
    </row>
    <row r="801" spans="24:25" x14ac:dyDescent="0.3">
      <c r="X801" s="193" t="str">
        <f>IF($Q801="","",IFERROR(INDEX(BD_KPIs!$F$2:$F$1300,MATCH($Q801,BD_KPIs!$Q$2:$Q$1300,0)),"n/d"))</f>
        <v/>
      </c>
      <c r="Y801" s="193" t="str">
        <f>IF($Q801="","",IF(COUNTIFS($Q$2:$Q$1300,$Q801,$U$2:$U$1300,"&gt;"&amp;$U801)&gt;0,0,IF(AND(ISNUMBER($F801),ISNUMBER($X801)),IF(ABS($F801-$X801)&gt;_QA!$C$6,1,0),IF($F801&amp;""=$X801&amp;"",0,1))))</f>
        <v/>
      </c>
    </row>
    <row r="802" spans="24:25" x14ac:dyDescent="0.3">
      <c r="X802" s="193" t="str">
        <f>IF($Q802="","",IFERROR(INDEX(BD_KPIs!$F$2:$F$1300,MATCH($Q802,BD_KPIs!$Q$2:$Q$1300,0)),"n/d"))</f>
        <v/>
      </c>
      <c r="Y802" s="193" t="str">
        <f>IF($Q802="","",IF(COUNTIFS($Q$2:$Q$1300,$Q802,$U$2:$U$1300,"&gt;"&amp;$U802)&gt;0,0,IF(AND(ISNUMBER($F802),ISNUMBER($X802)),IF(ABS($F802-$X802)&gt;_QA!$C$6,1,0),IF($F802&amp;""=$X802&amp;"",0,1))))</f>
        <v/>
      </c>
    </row>
    <row r="803" spans="24:25" x14ac:dyDescent="0.3">
      <c r="X803" s="193" t="str">
        <f>IF($Q803="","",IFERROR(INDEX(BD_KPIs!$F$2:$F$1300,MATCH($Q803,BD_KPIs!$Q$2:$Q$1300,0)),"n/d"))</f>
        <v/>
      </c>
      <c r="Y803" s="193" t="str">
        <f>IF($Q803="","",IF(COUNTIFS($Q$2:$Q$1300,$Q803,$U$2:$U$1300,"&gt;"&amp;$U803)&gt;0,0,IF(AND(ISNUMBER($F803),ISNUMBER($X803)),IF(ABS($F803-$X803)&gt;_QA!$C$6,1,0),IF($F803&amp;""=$X803&amp;"",0,1))))</f>
        <v/>
      </c>
    </row>
    <row r="804" spans="24:25" x14ac:dyDescent="0.3">
      <c r="X804" s="193" t="str">
        <f>IF($Q804="","",IFERROR(INDEX(BD_KPIs!$F$2:$F$1300,MATCH($Q804,BD_KPIs!$Q$2:$Q$1300,0)),"n/d"))</f>
        <v/>
      </c>
      <c r="Y804" s="193" t="str">
        <f>IF($Q804="","",IF(COUNTIFS($Q$2:$Q$1300,$Q804,$U$2:$U$1300,"&gt;"&amp;$U804)&gt;0,0,IF(AND(ISNUMBER($F804),ISNUMBER($X804)),IF(ABS($F804-$X804)&gt;_QA!$C$6,1,0),IF($F804&amp;""=$X804&amp;"",0,1))))</f>
        <v/>
      </c>
    </row>
    <row r="805" spans="24:25" x14ac:dyDescent="0.3">
      <c r="X805" s="193" t="str">
        <f>IF($Q805="","",IFERROR(INDEX(BD_KPIs!$F$2:$F$1300,MATCH($Q805,BD_KPIs!$Q$2:$Q$1300,0)),"n/d"))</f>
        <v/>
      </c>
      <c r="Y805" s="193" t="str">
        <f>IF($Q805="","",IF(COUNTIFS($Q$2:$Q$1300,$Q805,$U$2:$U$1300,"&gt;"&amp;$U805)&gt;0,0,IF(AND(ISNUMBER($F805),ISNUMBER($X805)),IF(ABS($F805-$X805)&gt;_QA!$C$6,1,0),IF($F805&amp;""=$X805&amp;"",0,1))))</f>
        <v/>
      </c>
    </row>
    <row r="806" spans="24:25" x14ac:dyDescent="0.3">
      <c r="X806" s="193" t="str">
        <f>IF($Q806="","",IFERROR(INDEX(BD_KPIs!$F$2:$F$1300,MATCH($Q806,BD_KPIs!$Q$2:$Q$1300,0)),"n/d"))</f>
        <v/>
      </c>
      <c r="Y806" s="193" t="str">
        <f>IF($Q806="","",IF(COUNTIFS($Q$2:$Q$1300,$Q806,$U$2:$U$1300,"&gt;"&amp;$U806)&gt;0,0,IF(AND(ISNUMBER($F806),ISNUMBER($X806)),IF(ABS($F806-$X806)&gt;_QA!$C$6,1,0),IF($F806&amp;""=$X806&amp;"",0,1))))</f>
        <v/>
      </c>
    </row>
    <row r="807" spans="24:25" x14ac:dyDescent="0.3">
      <c r="X807" s="193" t="str">
        <f>IF($Q807="","",IFERROR(INDEX(BD_KPIs!$F$2:$F$1300,MATCH($Q807,BD_KPIs!$Q$2:$Q$1300,0)),"n/d"))</f>
        <v/>
      </c>
      <c r="Y807" s="193" t="str">
        <f>IF($Q807="","",IF(COUNTIFS($Q$2:$Q$1300,$Q807,$U$2:$U$1300,"&gt;"&amp;$U807)&gt;0,0,IF(AND(ISNUMBER($F807),ISNUMBER($X807)),IF(ABS($F807-$X807)&gt;_QA!$C$6,1,0),IF($F807&amp;""=$X807&amp;"",0,1))))</f>
        <v/>
      </c>
    </row>
    <row r="808" spans="24:25" x14ac:dyDescent="0.3">
      <c r="X808" s="193" t="str">
        <f>IF($Q808="","",IFERROR(INDEX(BD_KPIs!$F$2:$F$1300,MATCH($Q808,BD_KPIs!$Q$2:$Q$1300,0)),"n/d"))</f>
        <v/>
      </c>
      <c r="Y808" s="193" t="str">
        <f>IF($Q808="","",IF(COUNTIFS($Q$2:$Q$1300,$Q808,$U$2:$U$1300,"&gt;"&amp;$U808)&gt;0,0,IF(AND(ISNUMBER($F808),ISNUMBER($X808)),IF(ABS($F808-$X808)&gt;_QA!$C$6,1,0),IF($F808&amp;""=$X808&amp;"",0,1))))</f>
        <v/>
      </c>
    </row>
    <row r="809" spans="24:25" x14ac:dyDescent="0.3">
      <c r="X809" s="193" t="str">
        <f>IF($Q809="","",IFERROR(INDEX(BD_KPIs!$F$2:$F$1300,MATCH($Q809,BD_KPIs!$Q$2:$Q$1300,0)),"n/d"))</f>
        <v/>
      </c>
      <c r="Y809" s="193" t="str">
        <f>IF($Q809="","",IF(COUNTIFS($Q$2:$Q$1300,$Q809,$U$2:$U$1300,"&gt;"&amp;$U809)&gt;0,0,IF(AND(ISNUMBER($F809),ISNUMBER($X809)),IF(ABS($F809-$X809)&gt;_QA!$C$6,1,0),IF($F809&amp;""=$X809&amp;"",0,1))))</f>
        <v/>
      </c>
    </row>
    <row r="810" spans="24:25" x14ac:dyDescent="0.3">
      <c r="X810" s="193" t="str">
        <f>IF($Q810="","",IFERROR(INDEX(BD_KPIs!$F$2:$F$1300,MATCH($Q810,BD_KPIs!$Q$2:$Q$1300,0)),"n/d"))</f>
        <v/>
      </c>
      <c r="Y810" s="193" t="str">
        <f>IF($Q810="","",IF(COUNTIFS($Q$2:$Q$1300,$Q810,$U$2:$U$1300,"&gt;"&amp;$U810)&gt;0,0,IF(AND(ISNUMBER($F810),ISNUMBER($X810)),IF(ABS($F810-$X810)&gt;_QA!$C$6,1,0),IF($F810&amp;""=$X810&amp;"",0,1))))</f>
        <v/>
      </c>
    </row>
    <row r="811" spans="24:25" x14ac:dyDescent="0.3">
      <c r="X811" s="193" t="str">
        <f>IF($Q811="","",IFERROR(INDEX(BD_KPIs!$F$2:$F$1300,MATCH($Q811,BD_KPIs!$Q$2:$Q$1300,0)),"n/d"))</f>
        <v/>
      </c>
      <c r="Y811" s="193" t="str">
        <f>IF($Q811="","",IF(COUNTIFS($Q$2:$Q$1300,$Q811,$U$2:$U$1300,"&gt;"&amp;$U811)&gt;0,0,IF(AND(ISNUMBER($F811),ISNUMBER($X811)),IF(ABS($F811-$X811)&gt;_QA!$C$6,1,0),IF($F811&amp;""=$X811&amp;"",0,1))))</f>
        <v/>
      </c>
    </row>
    <row r="812" spans="24:25" x14ac:dyDescent="0.3">
      <c r="X812" s="193" t="str">
        <f>IF($Q812="","",IFERROR(INDEX(BD_KPIs!$F$2:$F$1300,MATCH($Q812,BD_KPIs!$Q$2:$Q$1300,0)),"n/d"))</f>
        <v/>
      </c>
      <c r="Y812" s="193" t="str">
        <f>IF($Q812="","",IF(COUNTIFS($Q$2:$Q$1300,$Q812,$U$2:$U$1300,"&gt;"&amp;$U812)&gt;0,0,IF(AND(ISNUMBER($F812),ISNUMBER($X812)),IF(ABS($F812-$X812)&gt;_QA!$C$6,1,0),IF($F812&amp;""=$X812&amp;"",0,1))))</f>
        <v/>
      </c>
    </row>
    <row r="813" spans="24:25" x14ac:dyDescent="0.3">
      <c r="X813" s="193" t="str">
        <f>IF($Q813="","",IFERROR(INDEX(BD_KPIs!$F$2:$F$1300,MATCH($Q813,BD_KPIs!$Q$2:$Q$1300,0)),"n/d"))</f>
        <v/>
      </c>
      <c r="Y813" s="193" t="str">
        <f>IF($Q813="","",IF(COUNTIFS($Q$2:$Q$1300,$Q813,$U$2:$U$1300,"&gt;"&amp;$U813)&gt;0,0,IF(AND(ISNUMBER($F813),ISNUMBER($X813)),IF(ABS($F813-$X813)&gt;_QA!$C$6,1,0),IF($F813&amp;""=$X813&amp;"",0,1))))</f>
        <v/>
      </c>
    </row>
    <row r="814" spans="24:25" x14ac:dyDescent="0.3">
      <c r="X814" s="193" t="str">
        <f>IF($Q814="","",IFERROR(INDEX(BD_KPIs!$F$2:$F$1300,MATCH($Q814,BD_KPIs!$Q$2:$Q$1300,0)),"n/d"))</f>
        <v/>
      </c>
      <c r="Y814" s="193" t="str">
        <f>IF($Q814="","",IF(COUNTIFS($Q$2:$Q$1300,$Q814,$U$2:$U$1300,"&gt;"&amp;$U814)&gt;0,0,IF(AND(ISNUMBER($F814),ISNUMBER($X814)),IF(ABS($F814-$X814)&gt;_QA!$C$6,1,0),IF($F814&amp;""=$X814&amp;"",0,1))))</f>
        <v/>
      </c>
    </row>
    <row r="815" spans="24:25" x14ac:dyDescent="0.3">
      <c r="X815" s="193" t="str">
        <f>IF($Q815="","",IFERROR(INDEX(BD_KPIs!$F$2:$F$1300,MATCH($Q815,BD_KPIs!$Q$2:$Q$1300,0)),"n/d"))</f>
        <v/>
      </c>
      <c r="Y815" s="193" t="str">
        <f>IF($Q815="","",IF(COUNTIFS($Q$2:$Q$1300,$Q815,$U$2:$U$1300,"&gt;"&amp;$U815)&gt;0,0,IF(AND(ISNUMBER($F815),ISNUMBER($X815)),IF(ABS($F815-$X815)&gt;_QA!$C$6,1,0),IF($F815&amp;""=$X815&amp;"",0,1))))</f>
        <v/>
      </c>
    </row>
    <row r="816" spans="24:25" x14ac:dyDescent="0.3">
      <c r="X816" s="193" t="str">
        <f>IF($Q816="","",IFERROR(INDEX(BD_KPIs!$F$2:$F$1300,MATCH($Q816,BD_KPIs!$Q$2:$Q$1300,0)),"n/d"))</f>
        <v/>
      </c>
      <c r="Y816" s="193" t="str">
        <f>IF($Q816="","",IF(COUNTIFS($Q$2:$Q$1300,$Q816,$U$2:$U$1300,"&gt;"&amp;$U816)&gt;0,0,IF(AND(ISNUMBER($F816),ISNUMBER($X816)),IF(ABS($F816-$X816)&gt;_QA!$C$6,1,0),IF($F816&amp;""=$X816&amp;"",0,1))))</f>
        <v/>
      </c>
    </row>
    <row r="817" spans="24:25" x14ac:dyDescent="0.3">
      <c r="X817" s="193" t="str">
        <f>IF($Q817="","",IFERROR(INDEX(BD_KPIs!$F$2:$F$1300,MATCH($Q817,BD_KPIs!$Q$2:$Q$1300,0)),"n/d"))</f>
        <v/>
      </c>
      <c r="Y817" s="193" t="str">
        <f>IF($Q817="","",IF(COUNTIFS($Q$2:$Q$1300,$Q817,$U$2:$U$1300,"&gt;"&amp;$U817)&gt;0,0,IF(AND(ISNUMBER($F817),ISNUMBER($X817)),IF(ABS($F817-$X817)&gt;_QA!$C$6,1,0),IF($F817&amp;""=$X817&amp;"",0,1))))</f>
        <v/>
      </c>
    </row>
    <row r="818" spans="24:25" x14ac:dyDescent="0.3">
      <c r="X818" s="193" t="str">
        <f>IF($Q818="","",IFERROR(INDEX(BD_KPIs!$F$2:$F$1300,MATCH($Q818,BD_KPIs!$Q$2:$Q$1300,0)),"n/d"))</f>
        <v/>
      </c>
      <c r="Y818" s="193" t="str">
        <f>IF($Q818="","",IF(COUNTIFS($Q$2:$Q$1300,$Q818,$U$2:$U$1300,"&gt;"&amp;$U818)&gt;0,0,IF(AND(ISNUMBER($F818),ISNUMBER($X818)),IF(ABS($F818-$X818)&gt;_QA!$C$6,1,0),IF($F818&amp;""=$X818&amp;"",0,1))))</f>
        <v/>
      </c>
    </row>
    <row r="819" spans="24:25" x14ac:dyDescent="0.3">
      <c r="X819" s="193" t="str">
        <f>IF($Q819="","",IFERROR(INDEX(BD_KPIs!$F$2:$F$1300,MATCH($Q819,BD_KPIs!$Q$2:$Q$1300,0)),"n/d"))</f>
        <v/>
      </c>
      <c r="Y819" s="193" t="str">
        <f>IF($Q819="","",IF(COUNTIFS($Q$2:$Q$1300,$Q819,$U$2:$U$1300,"&gt;"&amp;$U819)&gt;0,0,IF(AND(ISNUMBER($F819),ISNUMBER($X819)),IF(ABS($F819-$X819)&gt;_QA!$C$6,1,0),IF($F819&amp;""=$X819&amp;"",0,1))))</f>
        <v/>
      </c>
    </row>
    <row r="820" spans="24:25" x14ac:dyDescent="0.3">
      <c r="X820" s="193" t="str">
        <f>IF($Q820="","",IFERROR(INDEX(BD_KPIs!$F$2:$F$1300,MATCH($Q820,BD_KPIs!$Q$2:$Q$1300,0)),"n/d"))</f>
        <v/>
      </c>
      <c r="Y820" s="193" t="str">
        <f>IF($Q820="","",IF(COUNTIFS($Q$2:$Q$1300,$Q820,$U$2:$U$1300,"&gt;"&amp;$U820)&gt;0,0,IF(AND(ISNUMBER($F820),ISNUMBER($X820)),IF(ABS($F820-$X820)&gt;_QA!$C$6,1,0),IF($F820&amp;""=$X820&amp;"",0,1))))</f>
        <v/>
      </c>
    </row>
    <row r="821" spans="24:25" x14ac:dyDescent="0.3">
      <c r="X821" s="193" t="str">
        <f>IF($Q821="","",IFERROR(INDEX(BD_KPIs!$F$2:$F$1300,MATCH($Q821,BD_KPIs!$Q$2:$Q$1300,0)),"n/d"))</f>
        <v/>
      </c>
      <c r="Y821" s="193" t="str">
        <f>IF($Q821="","",IF(COUNTIFS($Q$2:$Q$1300,$Q821,$U$2:$U$1300,"&gt;"&amp;$U821)&gt;0,0,IF(AND(ISNUMBER($F821),ISNUMBER($X821)),IF(ABS($F821-$X821)&gt;_QA!$C$6,1,0),IF($F821&amp;""=$X821&amp;"",0,1))))</f>
        <v/>
      </c>
    </row>
    <row r="822" spans="24:25" x14ac:dyDescent="0.3">
      <c r="X822" s="193" t="str">
        <f>IF($Q822="","",IFERROR(INDEX(BD_KPIs!$F$2:$F$1300,MATCH($Q822,BD_KPIs!$Q$2:$Q$1300,0)),"n/d"))</f>
        <v/>
      </c>
      <c r="Y822" s="193" t="str">
        <f>IF($Q822="","",IF(COUNTIFS($Q$2:$Q$1300,$Q822,$U$2:$U$1300,"&gt;"&amp;$U822)&gt;0,0,IF(AND(ISNUMBER($F822),ISNUMBER($X822)),IF(ABS($F822-$X822)&gt;_QA!$C$6,1,0),IF($F822&amp;""=$X822&amp;"",0,1))))</f>
        <v/>
      </c>
    </row>
    <row r="823" spans="24:25" x14ac:dyDescent="0.3">
      <c r="X823" s="193" t="str">
        <f>IF($Q823="","",IFERROR(INDEX(BD_KPIs!$F$2:$F$1300,MATCH($Q823,BD_KPIs!$Q$2:$Q$1300,0)),"n/d"))</f>
        <v/>
      </c>
      <c r="Y823" s="193" t="str">
        <f>IF($Q823="","",IF(COUNTIFS($Q$2:$Q$1300,$Q823,$U$2:$U$1300,"&gt;"&amp;$U823)&gt;0,0,IF(AND(ISNUMBER($F823),ISNUMBER($X823)),IF(ABS($F823-$X823)&gt;_QA!$C$6,1,0),IF($F823&amp;""=$X823&amp;"",0,1))))</f>
        <v/>
      </c>
    </row>
    <row r="824" spans="24:25" x14ac:dyDescent="0.3">
      <c r="X824" s="193" t="str">
        <f>IF($Q824="","",IFERROR(INDEX(BD_KPIs!$F$2:$F$1300,MATCH($Q824,BD_KPIs!$Q$2:$Q$1300,0)),"n/d"))</f>
        <v/>
      </c>
      <c r="Y824" s="193" t="str">
        <f>IF($Q824="","",IF(COUNTIFS($Q$2:$Q$1300,$Q824,$U$2:$U$1300,"&gt;"&amp;$U824)&gt;0,0,IF(AND(ISNUMBER($F824),ISNUMBER($X824)),IF(ABS($F824-$X824)&gt;_QA!$C$6,1,0),IF($F824&amp;""=$X824&amp;"",0,1))))</f>
        <v/>
      </c>
    </row>
    <row r="825" spans="24:25" x14ac:dyDescent="0.3">
      <c r="X825" s="193" t="str">
        <f>IF($Q825="","",IFERROR(INDEX(BD_KPIs!$F$2:$F$1300,MATCH($Q825,BD_KPIs!$Q$2:$Q$1300,0)),"n/d"))</f>
        <v/>
      </c>
      <c r="Y825" s="193" t="str">
        <f>IF($Q825="","",IF(COUNTIFS($Q$2:$Q$1300,$Q825,$U$2:$U$1300,"&gt;"&amp;$U825)&gt;0,0,IF(AND(ISNUMBER($F825),ISNUMBER($X825)),IF(ABS($F825-$X825)&gt;_QA!$C$6,1,0),IF($F825&amp;""=$X825&amp;"",0,1))))</f>
        <v/>
      </c>
    </row>
    <row r="826" spans="24:25" x14ac:dyDescent="0.3">
      <c r="X826" s="193" t="str">
        <f>IF($Q826="","",IFERROR(INDEX(BD_KPIs!$F$2:$F$1300,MATCH($Q826,BD_KPIs!$Q$2:$Q$1300,0)),"n/d"))</f>
        <v/>
      </c>
      <c r="Y826" s="193" t="str">
        <f>IF($Q826="","",IF(COUNTIFS($Q$2:$Q$1300,$Q826,$U$2:$U$1300,"&gt;"&amp;$U826)&gt;0,0,IF(AND(ISNUMBER($F826),ISNUMBER($X826)),IF(ABS($F826-$X826)&gt;_QA!$C$6,1,0),IF($F826&amp;""=$X826&amp;"",0,1))))</f>
        <v/>
      </c>
    </row>
    <row r="827" spans="24:25" x14ac:dyDescent="0.3">
      <c r="X827" s="193" t="str">
        <f>IF($Q827="","",IFERROR(INDEX(BD_KPIs!$F$2:$F$1300,MATCH($Q827,BD_KPIs!$Q$2:$Q$1300,0)),"n/d"))</f>
        <v/>
      </c>
      <c r="Y827" s="193" t="str">
        <f>IF($Q827="","",IF(COUNTIFS($Q$2:$Q$1300,$Q827,$U$2:$U$1300,"&gt;"&amp;$U827)&gt;0,0,IF(AND(ISNUMBER($F827),ISNUMBER($X827)),IF(ABS($F827-$X827)&gt;_QA!$C$6,1,0),IF($F827&amp;""=$X827&amp;"",0,1))))</f>
        <v/>
      </c>
    </row>
    <row r="828" spans="24:25" x14ac:dyDescent="0.3">
      <c r="X828" s="193" t="str">
        <f>IF($Q828="","",IFERROR(INDEX(BD_KPIs!$F$2:$F$1300,MATCH($Q828,BD_KPIs!$Q$2:$Q$1300,0)),"n/d"))</f>
        <v/>
      </c>
      <c r="Y828" s="193" t="str">
        <f>IF($Q828="","",IF(COUNTIFS($Q$2:$Q$1300,$Q828,$U$2:$U$1300,"&gt;"&amp;$U828)&gt;0,0,IF(AND(ISNUMBER($F828),ISNUMBER($X828)),IF(ABS($F828-$X828)&gt;_QA!$C$6,1,0),IF($F828&amp;""=$X828&amp;"",0,1))))</f>
        <v/>
      </c>
    </row>
    <row r="829" spans="24:25" x14ac:dyDescent="0.3">
      <c r="X829" s="193" t="str">
        <f>IF($Q829="","",IFERROR(INDEX(BD_KPIs!$F$2:$F$1300,MATCH($Q829,BD_KPIs!$Q$2:$Q$1300,0)),"n/d"))</f>
        <v/>
      </c>
      <c r="Y829" s="193" t="str">
        <f>IF($Q829="","",IF(COUNTIFS($Q$2:$Q$1300,$Q829,$U$2:$U$1300,"&gt;"&amp;$U829)&gt;0,0,IF(AND(ISNUMBER($F829),ISNUMBER($X829)),IF(ABS($F829-$X829)&gt;_QA!$C$6,1,0),IF($F829&amp;""=$X829&amp;"",0,1))))</f>
        <v/>
      </c>
    </row>
    <row r="830" spans="24:25" x14ac:dyDescent="0.3">
      <c r="X830" s="193" t="str">
        <f>IF($Q830="","",IFERROR(INDEX(BD_KPIs!$F$2:$F$1300,MATCH($Q830,BD_KPIs!$Q$2:$Q$1300,0)),"n/d"))</f>
        <v/>
      </c>
      <c r="Y830" s="193" t="str">
        <f>IF($Q830="","",IF(COUNTIFS($Q$2:$Q$1300,$Q830,$U$2:$U$1300,"&gt;"&amp;$U830)&gt;0,0,IF(AND(ISNUMBER($F830),ISNUMBER($X830)),IF(ABS($F830-$X830)&gt;_QA!$C$6,1,0),IF($F830&amp;""=$X830&amp;"",0,1))))</f>
        <v/>
      </c>
    </row>
    <row r="831" spans="24:25" x14ac:dyDescent="0.3">
      <c r="X831" s="193" t="str">
        <f>IF($Q831="","",IFERROR(INDEX(BD_KPIs!$F$2:$F$1300,MATCH($Q831,BD_KPIs!$Q$2:$Q$1300,0)),"n/d"))</f>
        <v/>
      </c>
      <c r="Y831" s="193" t="str">
        <f>IF($Q831="","",IF(COUNTIFS($Q$2:$Q$1300,$Q831,$U$2:$U$1300,"&gt;"&amp;$U831)&gt;0,0,IF(AND(ISNUMBER($F831),ISNUMBER($X831)),IF(ABS($F831-$X831)&gt;_QA!$C$6,1,0),IF($F831&amp;""=$X831&amp;"",0,1))))</f>
        <v/>
      </c>
    </row>
    <row r="832" spans="24:25" x14ac:dyDescent="0.3">
      <c r="X832" s="193" t="str">
        <f>IF($Q832="","",IFERROR(INDEX(BD_KPIs!$F$2:$F$1300,MATCH($Q832,BD_KPIs!$Q$2:$Q$1300,0)),"n/d"))</f>
        <v/>
      </c>
      <c r="Y832" s="193" t="str">
        <f>IF($Q832="","",IF(COUNTIFS($Q$2:$Q$1300,$Q832,$U$2:$U$1300,"&gt;"&amp;$U832)&gt;0,0,IF(AND(ISNUMBER($F832),ISNUMBER($X832)),IF(ABS($F832-$X832)&gt;_QA!$C$6,1,0),IF($F832&amp;""=$X832&amp;"",0,1))))</f>
        <v/>
      </c>
    </row>
    <row r="833" spans="24:25" x14ac:dyDescent="0.3">
      <c r="X833" s="193" t="str">
        <f>IF($Q833="","",IFERROR(INDEX(BD_KPIs!$F$2:$F$1300,MATCH($Q833,BD_KPIs!$Q$2:$Q$1300,0)),"n/d"))</f>
        <v/>
      </c>
      <c r="Y833" s="193" t="str">
        <f>IF($Q833="","",IF(COUNTIFS($Q$2:$Q$1300,$Q833,$U$2:$U$1300,"&gt;"&amp;$U833)&gt;0,0,IF(AND(ISNUMBER($F833),ISNUMBER($X833)),IF(ABS($F833-$X833)&gt;_QA!$C$6,1,0),IF($F833&amp;""=$X833&amp;"",0,1))))</f>
        <v/>
      </c>
    </row>
    <row r="834" spans="24:25" x14ac:dyDescent="0.3">
      <c r="X834" s="193" t="str">
        <f>IF($Q834="","",IFERROR(INDEX(BD_KPIs!$F$2:$F$1300,MATCH($Q834,BD_KPIs!$Q$2:$Q$1300,0)),"n/d"))</f>
        <v/>
      </c>
      <c r="Y834" s="193" t="str">
        <f>IF($Q834="","",IF(COUNTIFS($Q$2:$Q$1300,$Q834,$U$2:$U$1300,"&gt;"&amp;$U834)&gt;0,0,IF(AND(ISNUMBER($F834),ISNUMBER($X834)),IF(ABS($F834-$X834)&gt;_QA!$C$6,1,0),IF($F834&amp;""=$X834&amp;"",0,1))))</f>
        <v/>
      </c>
    </row>
    <row r="835" spans="24:25" x14ac:dyDescent="0.3">
      <c r="X835" s="193" t="str">
        <f>IF($Q835="","",IFERROR(INDEX(BD_KPIs!$F$2:$F$1300,MATCH($Q835,BD_KPIs!$Q$2:$Q$1300,0)),"n/d"))</f>
        <v/>
      </c>
      <c r="Y835" s="193" t="str">
        <f>IF($Q835="","",IF(COUNTIFS($Q$2:$Q$1300,$Q835,$U$2:$U$1300,"&gt;"&amp;$U835)&gt;0,0,IF(AND(ISNUMBER($F835),ISNUMBER($X835)),IF(ABS($F835-$X835)&gt;_QA!$C$6,1,0),IF($F835&amp;""=$X835&amp;"",0,1))))</f>
        <v/>
      </c>
    </row>
    <row r="836" spans="24:25" x14ac:dyDescent="0.3">
      <c r="X836" s="193" t="str">
        <f>IF($Q836="","",IFERROR(INDEX(BD_KPIs!$F$2:$F$1300,MATCH($Q836,BD_KPIs!$Q$2:$Q$1300,0)),"n/d"))</f>
        <v/>
      </c>
      <c r="Y836" s="193" t="str">
        <f>IF($Q836="","",IF(COUNTIFS($Q$2:$Q$1300,$Q836,$U$2:$U$1300,"&gt;"&amp;$U836)&gt;0,0,IF(AND(ISNUMBER($F836),ISNUMBER($X836)),IF(ABS($F836-$X836)&gt;_QA!$C$6,1,0),IF($F836&amp;""=$X836&amp;"",0,1))))</f>
        <v/>
      </c>
    </row>
    <row r="837" spans="24:25" x14ac:dyDescent="0.3">
      <c r="X837" s="193" t="str">
        <f>IF($Q837="","",IFERROR(INDEX(BD_KPIs!$F$2:$F$1300,MATCH($Q837,BD_KPIs!$Q$2:$Q$1300,0)),"n/d"))</f>
        <v/>
      </c>
      <c r="Y837" s="193" t="str">
        <f>IF($Q837="","",IF(COUNTIFS($Q$2:$Q$1300,$Q837,$U$2:$U$1300,"&gt;"&amp;$U837)&gt;0,0,IF(AND(ISNUMBER($F837),ISNUMBER($X837)),IF(ABS($F837-$X837)&gt;_QA!$C$6,1,0),IF($F837&amp;""=$X837&amp;"",0,1))))</f>
        <v/>
      </c>
    </row>
    <row r="838" spans="24:25" x14ac:dyDescent="0.3">
      <c r="X838" s="193" t="str">
        <f>IF($Q838="","",IFERROR(INDEX(BD_KPIs!$F$2:$F$1300,MATCH($Q838,BD_KPIs!$Q$2:$Q$1300,0)),"n/d"))</f>
        <v/>
      </c>
      <c r="Y838" s="193" t="str">
        <f>IF($Q838="","",IF(COUNTIFS($Q$2:$Q$1300,$Q838,$U$2:$U$1300,"&gt;"&amp;$U838)&gt;0,0,IF(AND(ISNUMBER($F838),ISNUMBER($X838)),IF(ABS($F838-$X838)&gt;_QA!$C$6,1,0),IF($F838&amp;""=$X838&amp;"",0,1))))</f>
        <v/>
      </c>
    </row>
    <row r="839" spans="24:25" x14ac:dyDescent="0.3">
      <c r="X839" s="193" t="str">
        <f>IF($Q839="","",IFERROR(INDEX(BD_KPIs!$F$2:$F$1300,MATCH($Q839,BD_KPIs!$Q$2:$Q$1300,0)),"n/d"))</f>
        <v/>
      </c>
      <c r="Y839" s="193" t="str">
        <f>IF($Q839="","",IF(COUNTIFS($Q$2:$Q$1300,$Q839,$U$2:$U$1300,"&gt;"&amp;$U839)&gt;0,0,IF(AND(ISNUMBER($F839),ISNUMBER($X839)),IF(ABS($F839-$X839)&gt;_QA!$C$6,1,0),IF($F839&amp;""=$X839&amp;"",0,1))))</f>
        <v/>
      </c>
    </row>
    <row r="840" spans="24:25" x14ac:dyDescent="0.3">
      <c r="X840" s="193" t="str">
        <f>IF($Q840="","",IFERROR(INDEX(BD_KPIs!$F$2:$F$1300,MATCH($Q840,BD_KPIs!$Q$2:$Q$1300,0)),"n/d"))</f>
        <v/>
      </c>
      <c r="Y840" s="193" t="str">
        <f>IF($Q840="","",IF(COUNTIFS($Q$2:$Q$1300,$Q840,$U$2:$U$1300,"&gt;"&amp;$U840)&gt;0,0,IF(AND(ISNUMBER($F840),ISNUMBER($X840)),IF(ABS($F840-$X840)&gt;_QA!$C$6,1,0),IF($F840&amp;""=$X840&amp;"",0,1))))</f>
        <v/>
      </c>
    </row>
    <row r="841" spans="24:25" x14ac:dyDescent="0.3">
      <c r="X841" s="193" t="str">
        <f>IF($Q841="","",IFERROR(INDEX(BD_KPIs!$F$2:$F$1300,MATCH($Q841,BD_KPIs!$Q$2:$Q$1300,0)),"n/d"))</f>
        <v/>
      </c>
      <c r="Y841" s="193" t="str">
        <f>IF($Q841="","",IF(COUNTIFS($Q$2:$Q$1300,$Q841,$U$2:$U$1300,"&gt;"&amp;$U841)&gt;0,0,IF(AND(ISNUMBER($F841),ISNUMBER($X841)),IF(ABS($F841-$X841)&gt;_QA!$C$6,1,0),IF($F841&amp;""=$X841&amp;"",0,1))))</f>
        <v/>
      </c>
    </row>
    <row r="842" spans="24:25" x14ac:dyDescent="0.3">
      <c r="X842" s="193" t="str">
        <f>IF($Q842="","",IFERROR(INDEX(BD_KPIs!$F$2:$F$1300,MATCH($Q842,BD_KPIs!$Q$2:$Q$1300,0)),"n/d"))</f>
        <v/>
      </c>
      <c r="Y842" s="193" t="str">
        <f>IF($Q842="","",IF(COUNTIFS($Q$2:$Q$1300,$Q842,$U$2:$U$1300,"&gt;"&amp;$U842)&gt;0,0,IF(AND(ISNUMBER($F842),ISNUMBER($X842)),IF(ABS($F842-$X842)&gt;_QA!$C$6,1,0),IF($F842&amp;""=$X842&amp;"",0,1))))</f>
        <v/>
      </c>
    </row>
    <row r="843" spans="24:25" x14ac:dyDescent="0.3">
      <c r="X843" s="193" t="str">
        <f>IF($Q843="","",IFERROR(INDEX(BD_KPIs!$F$2:$F$1300,MATCH($Q843,BD_KPIs!$Q$2:$Q$1300,0)),"n/d"))</f>
        <v/>
      </c>
      <c r="Y843" s="193" t="str">
        <f>IF($Q843="","",IF(COUNTIFS($Q$2:$Q$1300,$Q843,$U$2:$U$1300,"&gt;"&amp;$U843)&gt;0,0,IF(AND(ISNUMBER($F843),ISNUMBER($X843)),IF(ABS($F843-$X843)&gt;_QA!$C$6,1,0),IF($F843&amp;""=$X843&amp;"",0,1))))</f>
        <v/>
      </c>
    </row>
    <row r="844" spans="24:25" x14ac:dyDescent="0.3">
      <c r="X844" s="193" t="str">
        <f>IF($Q844="","",IFERROR(INDEX(BD_KPIs!$F$2:$F$1300,MATCH($Q844,BD_KPIs!$Q$2:$Q$1300,0)),"n/d"))</f>
        <v/>
      </c>
      <c r="Y844" s="193" t="str">
        <f>IF($Q844="","",IF(COUNTIFS($Q$2:$Q$1300,$Q844,$U$2:$U$1300,"&gt;"&amp;$U844)&gt;0,0,IF(AND(ISNUMBER($F844),ISNUMBER($X844)),IF(ABS($F844-$X844)&gt;_QA!$C$6,1,0),IF($F844&amp;""=$X844&amp;"",0,1))))</f>
        <v/>
      </c>
    </row>
    <row r="845" spans="24:25" x14ac:dyDescent="0.3">
      <c r="X845" s="193" t="str">
        <f>IF($Q845="","",IFERROR(INDEX(BD_KPIs!$F$2:$F$1300,MATCH($Q845,BD_KPIs!$Q$2:$Q$1300,0)),"n/d"))</f>
        <v/>
      </c>
      <c r="Y845" s="193" t="str">
        <f>IF($Q845="","",IF(COUNTIFS($Q$2:$Q$1300,$Q845,$U$2:$U$1300,"&gt;"&amp;$U845)&gt;0,0,IF(AND(ISNUMBER($F845),ISNUMBER($X845)),IF(ABS($F845-$X845)&gt;_QA!$C$6,1,0),IF($F845&amp;""=$X845&amp;"",0,1))))</f>
        <v/>
      </c>
    </row>
    <row r="846" spans="24:25" x14ac:dyDescent="0.3">
      <c r="X846" s="193" t="str">
        <f>IF($Q846="","",IFERROR(INDEX(BD_KPIs!$F$2:$F$1300,MATCH($Q846,BD_KPIs!$Q$2:$Q$1300,0)),"n/d"))</f>
        <v/>
      </c>
      <c r="Y846" s="193" t="str">
        <f>IF($Q846="","",IF(COUNTIFS($Q$2:$Q$1300,$Q846,$U$2:$U$1300,"&gt;"&amp;$U846)&gt;0,0,IF(AND(ISNUMBER($F846),ISNUMBER($X846)),IF(ABS($F846-$X846)&gt;_QA!$C$6,1,0),IF($F846&amp;""=$X846&amp;"",0,1))))</f>
        <v/>
      </c>
    </row>
    <row r="847" spans="24:25" x14ac:dyDescent="0.3">
      <c r="X847" s="193" t="str">
        <f>IF($Q847="","",IFERROR(INDEX(BD_KPIs!$F$2:$F$1300,MATCH($Q847,BD_KPIs!$Q$2:$Q$1300,0)),"n/d"))</f>
        <v/>
      </c>
      <c r="Y847" s="193" t="str">
        <f>IF($Q847="","",IF(COUNTIFS($Q$2:$Q$1300,$Q847,$U$2:$U$1300,"&gt;"&amp;$U847)&gt;0,0,IF(AND(ISNUMBER($F847),ISNUMBER($X847)),IF(ABS($F847-$X847)&gt;_QA!$C$6,1,0),IF($F847&amp;""=$X847&amp;"",0,1))))</f>
        <v/>
      </c>
    </row>
    <row r="848" spans="24:25" x14ac:dyDescent="0.3">
      <c r="X848" s="193" t="str">
        <f>IF($Q848="","",IFERROR(INDEX(BD_KPIs!$F$2:$F$1300,MATCH($Q848,BD_KPIs!$Q$2:$Q$1300,0)),"n/d"))</f>
        <v/>
      </c>
      <c r="Y848" s="193" t="str">
        <f>IF($Q848="","",IF(COUNTIFS($Q$2:$Q$1300,$Q848,$U$2:$U$1300,"&gt;"&amp;$U848)&gt;0,0,IF(AND(ISNUMBER($F848),ISNUMBER($X848)),IF(ABS($F848-$X848)&gt;_QA!$C$6,1,0),IF($F848&amp;""=$X848&amp;"",0,1))))</f>
        <v/>
      </c>
    </row>
    <row r="849" spans="24:25" x14ac:dyDescent="0.3">
      <c r="X849" s="193" t="str">
        <f>IF($Q849="","",IFERROR(INDEX(BD_KPIs!$F$2:$F$1300,MATCH($Q849,BD_KPIs!$Q$2:$Q$1300,0)),"n/d"))</f>
        <v/>
      </c>
      <c r="Y849" s="193" t="str">
        <f>IF($Q849="","",IF(COUNTIFS($Q$2:$Q$1300,$Q849,$U$2:$U$1300,"&gt;"&amp;$U849)&gt;0,0,IF(AND(ISNUMBER($F849),ISNUMBER($X849)),IF(ABS($F849-$X849)&gt;_QA!$C$6,1,0),IF($F849&amp;""=$X849&amp;"",0,1))))</f>
        <v/>
      </c>
    </row>
    <row r="850" spans="24:25" x14ac:dyDescent="0.3">
      <c r="X850" s="193" t="str">
        <f>IF($Q850="","",IFERROR(INDEX(BD_KPIs!$F$2:$F$1300,MATCH($Q850,BD_KPIs!$Q$2:$Q$1300,0)),"n/d"))</f>
        <v/>
      </c>
      <c r="Y850" s="193" t="str">
        <f>IF($Q850="","",IF(COUNTIFS($Q$2:$Q$1300,$Q850,$U$2:$U$1300,"&gt;"&amp;$U850)&gt;0,0,IF(AND(ISNUMBER($F850),ISNUMBER($X850)),IF(ABS($F850-$X850)&gt;_QA!$C$6,1,0),IF($F850&amp;""=$X850&amp;"",0,1))))</f>
        <v/>
      </c>
    </row>
    <row r="851" spans="24:25" x14ac:dyDescent="0.3">
      <c r="X851" s="193" t="str">
        <f>IF($Q851="","",IFERROR(INDEX(BD_KPIs!$F$2:$F$1300,MATCH($Q851,BD_KPIs!$Q$2:$Q$1300,0)),"n/d"))</f>
        <v/>
      </c>
      <c r="Y851" s="193" t="str">
        <f>IF($Q851="","",IF(COUNTIFS($Q$2:$Q$1300,$Q851,$U$2:$U$1300,"&gt;"&amp;$U851)&gt;0,0,IF(AND(ISNUMBER($F851),ISNUMBER($X851)),IF(ABS($F851-$X851)&gt;_QA!$C$6,1,0),IF($F851&amp;""=$X851&amp;"",0,1))))</f>
        <v/>
      </c>
    </row>
    <row r="852" spans="24:25" x14ac:dyDescent="0.3">
      <c r="X852" s="193" t="str">
        <f>IF($Q852="","",IFERROR(INDEX(BD_KPIs!$F$2:$F$1300,MATCH($Q852,BD_KPIs!$Q$2:$Q$1300,0)),"n/d"))</f>
        <v/>
      </c>
      <c r="Y852" s="193" t="str">
        <f>IF($Q852="","",IF(COUNTIFS($Q$2:$Q$1300,$Q852,$U$2:$U$1300,"&gt;"&amp;$U852)&gt;0,0,IF(AND(ISNUMBER($F852),ISNUMBER($X852)),IF(ABS($F852-$X852)&gt;_QA!$C$6,1,0),IF($F852&amp;""=$X852&amp;"",0,1))))</f>
        <v/>
      </c>
    </row>
    <row r="853" spans="24:25" x14ac:dyDescent="0.3">
      <c r="X853" s="193" t="str">
        <f>IF($Q853="","",IFERROR(INDEX(BD_KPIs!$F$2:$F$1300,MATCH($Q853,BD_KPIs!$Q$2:$Q$1300,0)),"n/d"))</f>
        <v/>
      </c>
      <c r="Y853" s="193" t="str">
        <f>IF($Q853="","",IF(COUNTIFS($Q$2:$Q$1300,$Q853,$U$2:$U$1300,"&gt;"&amp;$U853)&gt;0,0,IF(AND(ISNUMBER($F853),ISNUMBER($X853)),IF(ABS($F853-$X853)&gt;_QA!$C$6,1,0),IF($F853&amp;""=$X853&amp;"",0,1))))</f>
        <v/>
      </c>
    </row>
    <row r="854" spans="24:25" x14ac:dyDescent="0.3">
      <c r="X854" s="193" t="str">
        <f>IF($Q854="","",IFERROR(INDEX(BD_KPIs!$F$2:$F$1300,MATCH($Q854,BD_KPIs!$Q$2:$Q$1300,0)),"n/d"))</f>
        <v/>
      </c>
      <c r="Y854" s="193" t="str">
        <f>IF($Q854="","",IF(COUNTIFS($Q$2:$Q$1300,$Q854,$U$2:$U$1300,"&gt;"&amp;$U854)&gt;0,0,IF(AND(ISNUMBER($F854),ISNUMBER($X854)),IF(ABS($F854-$X854)&gt;_QA!$C$6,1,0),IF($F854&amp;""=$X854&amp;"",0,1))))</f>
        <v/>
      </c>
    </row>
    <row r="855" spans="24:25" x14ac:dyDescent="0.3">
      <c r="X855" s="193" t="str">
        <f>IF($Q855="","",IFERROR(INDEX(BD_KPIs!$F$2:$F$1300,MATCH($Q855,BD_KPIs!$Q$2:$Q$1300,0)),"n/d"))</f>
        <v/>
      </c>
      <c r="Y855" s="193" t="str">
        <f>IF($Q855="","",IF(COUNTIFS($Q$2:$Q$1300,$Q855,$U$2:$U$1300,"&gt;"&amp;$U855)&gt;0,0,IF(AND(ISNUMBER($F855),ISNUMBER($X855)),IF(ABS($F855-$X855)&gt;_QA!$C$6,1,0),IF($F855&amp;""=$X855&amp;"",0,1))))</f>
        <v/>
      </c>
    </row>
    <row r="856" spans="24:25" x14ac:dyDescent="0.3">
      <c r="X856" s="193" t="str">
        <f>IF($Q856="","",IFERROR(INDEX(BD_KPIs!$F$2:$F$1300,MATCH($Q856,BD_KPIs!$Q$2:$Q$1300,0)),"n/d"))</f>
        <v/>
      </c>
      <c r="Y856" s="193" t="str">
        <f>IF($Q856="","",IF(COUNTIFS($Q$2:$Q$1300,$Q856,$U$2:$U$1300,"&gt;"&amp;$U856)&gt;0,0,IF(AND(ISNUMBER($F856),ISNUMBER($X856)),IF(ABS($F856-$X856)&gt;_QA!$C$6,1,0),IF($F856&amp;""=$X856&amp;"",0,1))))</f>
        <v/>
      </c>
    </row>
    <row r="857" spans="24:25" x14ac:dyDescent="0.3">
      <c r="X857" s="193" t="str">
        <f>IF($Q857="","",IFERROR(INDEX(BD_KPIs!$F$2:$F$1300,MATCH($Q857,BD_KPIs!$Q$2:$Q$1300,0)),"n/d"))</f>
        <v/>
      </c>
      <c r="Y857" s="193" t="str">
        <f>IF($Q857="","",IF(COUNTIFS($Q$2:$Q$1300,$Q857,$U$2:$U$1300,"&gt;"&amp;$U857)&gt;0,0,IF(AND(ISNUMBER($F857),ISNUMBER($X857)),IF(ABS($F857-$X857)&gt;_QA!$C$6,1,0),IF($F857&amp;""=$X857&amp;"",0,1))))</f>
        <v/>
      </c>
    </row>
    <row r="858" spans="24:25" x14ac:dyDescent="0.3">
      <c r="X858" s="193" t="str">
        <f>IF($Q858="","",IFERROR(INDEX(BD_KPIs!$F$2:$F$1300,MATCH($Q858,BD_KPIs!$Q$2:$Q$1300,0)),"n/d"))</f>
        <v/>
      </c>
      <c r="Y858" s="193" t="str">
        <f>IF($Q858="","",IF(COUNTIFS($Q$2:$Q$1300,$Q858,$U$2:$U$1300,"&gt;"&amp;$U858)&gt;0,0,IF(AND(ISNUMBER($F858),ISNUMBER($X858)),IF(ABS($F858-$X858)&gt;_QA!$C$6,1,0),IF($F858&amp;""=$X858&amp;"",0,1))))</f>
        <v/>
      </c>
    </row>
    <row r="859" spans="24:25" x14ac:dyDescent="0.3">
      <c r="X859" s="193" t="str">
        <f>IF($Q859="","",IFERROR(INDEX(BD_KPIs!$F$2:$F$1300,MATCH($Q859,BD_KPIs!$Q$2:$Q$1300,0)),"n/d"))</f>
        <v/>
      </c>
      <c r="Y859" s="193" t="str">
        <f>IF($Q859="","",IF(COUNTIFS($Q$2:$Q$1300,$Q859,$U$2:$U$1300,"&gt;"&amp;$U859)&gt;0,0,IF(AND(ISNUMBER($F859),ISNUMBER($X859)),IF(ABS($F859-$X859)&gt;_QA!$C$6,1,0),IF($F859&amp;""=$X859&amp;"",0,1))))</f>
        <v/>
      </c>
    </row>
    <row r="860" spans="24:25" x14ac:dyDescent="0.3">
      <c r="X860" s="193" t="str">
        <f>IF($Q860="","",IFERROR(INDEX(BD_KPIs!$F$2:$F$1300,MATCH($Q860,BD_KPIs!$Q$2:$Q$1300,0)),"n/d"))</f>
        <v/>
      </c>
      <c r="Y860" s="193" t="str">
        <f>IF($Q860="","",IF(COUNTIFS($Q$2:$Q$1300,$Q860,$U$2:$U$1300,"&gt;"&amp;$U860)&gt;0,0,IF(AND(ISNUMBER($F860),ISNUMBER($X860)),IF(ABS($F860-$X860)&gt;_QA!$C$6,1,0),IF($F860&amp;""=$X860&amp;"",0,1))))</f>
        <v/>
      </c>
    </row>
    <row r="861" spans="24:25" x14ac:dyDescent="0.3">
      <c r="X861" s="193" t="str">
        <f>IF($Q861="","",IFERROR(INDEX(BD_KPIs!$F$2:$F$1300,MATCH($Q861,BD_KPIs!$Q$2:$Q$1300,0)),"n/d"))</f>
        <v/>
      </c>
      <c r="Y861" s="193" t="str">
        <f>IF($Q861="","",IF(COUNTIFS($Q$2:$Q$1300,$Q861,$U$2:$U$1300,"&gt;"&amp;$U861)&gt;0,0,IF(AND(ISNUMBER($F861),ISNUMBER($X861)),IF(ABS($F861-$X861)&gt;_QA!$C$6,1,0),IF($F861&amp;""=$X861&amp;"",0,1))))</f>
        <v/>
      </c>
    </row>
    <row r="862" spans="24:25" x14ac:dyDescent="0.3">
      <c r="X862" s="193" t="str">
        <f>IF($Q862="","",IFERROR(INDEX(BD_KPIs!$F$2:$F$1300,MATCH($Q862,BD_KPIs!$Q$2:$Q$1300,0)),"n/d"))</f>
        <v/>
      </c>
      <c r="Y862" s="193" t="str">
        <f>IF($Q862="","",IF(COUNTIFS($Q$2:$Q$1300,$Q862,$U$2:$U$1300,"&gt;"&amp;$U862)&gt;0,0,IF(AND(ISNUMBER($F862),ISNUMBER($X862)),IF(ABS($F862-$X862)&gt;_QA!$C$6,1,0),IF($F862&amp;""=$X862&amp;"",0,1))))</f>
        <v/>
      </c>
    </row>
    <row r="863" spans="24:25" x14ac:dyDescent="0.3">
      <c r="X863" s="193" t="str">
        <f>IF($Q863="","",IFERROR(INDEX(BD_KPIs!$F$2:$F$1300,MATCH($Q863,BD_KPIs!$Q$2:$Q$1300,0)),"n/d"))</f>
        <v/>
      </c>
      <c r="Y863" s="193" t="str">
        <f>IF($Q863="","",IF(COUNTIFS($Q$2:$Q$1300,$Q863,$U$2:$U$1300,"&gt;"&amp;$U863)&gt;0,0,IF(AND(ISNUMBER($F863),ISNUMBER($X863)),IF(ABS($F863-$X863)&gt;_QA!$C$6,1,0),IF($F863&amp;""=$X863&amp;"",0,1))))</f>
        <v/>
      </c>
    </row>
    <row r="864" spans="24:25" x14ac:dyDescent="0.3">
      <c r="X864" s="193" t="str">
        <f>IF($Q864="","",IFERROR(INDEX(BD_KPIs!$F$2:$F$1300,MATCH($Q864,BD_KPIs!$Q$2:$Q$1300,0)),"n/d"))</f>
        <v/>
      </c>
      <c r="Y864" s="193" t="str">
        <f>IF($Q864="","",IF(COUNTIFS($Q$2:$Q$1300,$Q864,$U$2:$U$1300,"&gt;"&amp;$U864)&gt;0,0,IF(AND(ISNUMBER($F864),ISNUMBER($X864)),IF(ABS($F864-$X864)&gt;_QA!$C$6,1,0),IF($F864&amp;""=$X864&amp;"",0,1))))</f>
        <v/>
      </c>
    </row>
    <row r="865" spans="24:25" x14ac:dyDescent="0.3">
      <c r="X865" s="193" t="str">
        <f>IF($Q865="","",IFERROR(INDEX(BD_KPIs!$F$2:$F$1300,MATCH($Q865,BD_KPIs!$Q$2:$Q$1300,0)),"n/d"))</f>
        <v/>
      </c>
      <c r="Y865" s="193" t="str">
        <f>IF($Q865="","",IF(COUNTIFS($Q$2:$Q$1300,$Q865,$U$2:$U$1300,"&gt;"&amp;$U865)&gt;0,0,IF(AND(ISNUMBER($F865),ISNUMBER($X865)),IF(ABS($F865-$X865)&gt;_QA!$C$6,1,0),IF($F865&amp;""=$X865&amp;"",0,1))))</f>
        <v/>
      </c>
    </row>
    <row r="866" spans="24:25" x14ac:dyDescent="0.3">
      <c r="X866" s="193" t="str">
        <f>IF($Q866="","",IFERROR(INDEX(BD_KPIs!$F$2:$F$1300,MATCH($Q866,BD_KPIs!$Q$2:$Q$1300,0)),"n/d"))</f>
        <v/>
      </c>
      <c r="Y866" s="193" t="str">
        <f>IF($Q866="","",IF(COUNTIFS($Q$2:$Q$1300,$Q866,$U$2:$U$1300,"&gt;"&amp;$U866)&gt;0,0,IF(AND(ISNUMBER($F866),ISNUMBER($X866)),IF(ABS($F866-$X866)&gt;_QA!$C$6,1,0),IF($F866&amp;""=$X866&amp;"",0,1))))</f>
        <v/>
      </c>
    </row>
    <row r="867" spans="24:25" x14ac:dyDescent="0.3">
      <c r="X867" s="193" t="str">
        <f>IF($Q867="","",IFERROR(INDEX(BD_KPIs!$F$2:$F$1300,MATCH($Q867,BD_KPIs!$Q$2:$Q$1300,0)),"n/d"))</f>
        <v/>
      </c>
      <c r="Y867" s="193" t="str">
        <f>IF($Q867="","",IF(COUNTIFS($Q$2:$Q$1300,$Q867,$U$2:$U$1300,"&gt;"&amp;$U867)&gt;0,0,IF(AND(ISNUMBER($F867),ISNUMBER($X867)),IF(ABS($F867-$X867)&gt;_QA!$C$6,1,0),IF($F867&amp;""=$X867&amp;"",0,1))))</f>
        <v/>
      </c>
    </row>
    <row r="868" spans="24:25" x14ac:dyDescent="0.3">
      <c r="X868" s="193" t="str">
        <f>IF($Q868="","",IFERROR(INDEX(BD_KPIs!$F$2:$F$1300,MATCH($Q868,BD_KPIs!$Q$2:$Q$1300,0)),"n/d"))</f>
        <v/>
      </c>
      <c r="Y868" s="193" t="str">
        <f>IF($Q868="","",IF(COUNTIFS($Q$2:$Q$1300,$Q868,$U$2:$U$1300,"&gt;"&amp;$U868)&gt;0,0,IF(AND(ISNUMBER($F868),ISNUMBER($X868)),IF(ABS($F868-$X868)&gt;_QA!$C$6,1,0),IF($F868&amp;""=$X868&amp;"",0,1))))</f>
        <v/>
      </c>
    </row>
    <row r="869" spans="24:25" x14ac:dyDescent="0.3">
      <c r="X869" s="193" t="str">
        <f>IF($Q869="","",IFERROR(INDEX(BD_KPIs!$F$2:$F$1300,MATCH($Q869,BD_KPIs!$Q$2:$Q$1300,0)),"n/d"))</f>
        <v/>
      </c>
      <c r="Y869" s="193" t="str">
        <f>IF($Q869="","",IF(COUNTIFS($Q$2:$Q$1300,$Q869,$U$2:$U$1300,"&gt;"&amp;$U869)&gt;0,0,IF(AND(ISNUMBER($F869),ISNUMBER($X869)),IF(ABS($F869-$X869)&gt;_QA!$C$6,1,0),IF($F869&amp;""=$X869&amp;"",0,1))))</f>
        <v/>
      </c>
    </row>
    <row r="870" spans="24:25" x14ac:dyDescent="0.3">
      <c r="X870" s="193" t="str">
        <f>IF($Q870="","",IFERROR(INDEX(BD_KPIs!$F$2:$F$1300,MATCH($Q870,BD_KPIs!$Q$2:$Q$1300,0)),"n/d"))</f>
        <v/>
      </c>
      <c r="Y870" s="193" t="str">
        <f>IF($Q870="","",IF(COUNTIFS($Q$2:$Q$1300,$Q870,$U$2:$U$1300,"&gt;"&amp;$U870)&gt;0,0,IF(AND(ISNUMBER($F870),ISNUMBER($X870)),IF(ABS($F870-$X870)&gt;_QA!$C$6,1,0),IF($F870&amp;""=$X870&amp;"",0,1))))</f>
        <v/>
      </c>
    </row>
    <row r="871" spans="24:25" x14ac:dyDescent="0.3">
      <c r="X871" s="193" t="str">
        <f>IF($Q871="","",IFERROR(INDEX(BD_KPIs!$F$2:$F$1300,MATCH($Q871,BD_KPIs!$Q$2:$Q$1300,0)),"n/d"))</f>
        <v/>
      </c>
      <c r="Y871" s="193" t="str">
        <f>IF($Q871="","",IF(COUNTIFS($Q$2:$Q$1300,$Q871,$U$2:$U$1300,"&gt;"&amp;$U871)&gt;0,0,IF(AND(ISNUMBER($F871),ISNUMBER($X871)),IF(ABS($F871-$X871)&gt;_QA!$C$6,1,0),IF($F871&amp;""=$X871&amp;"",0,1))))</f>
        <v/>
      </c>
    </row>
    <row r="872" spans="24:25" x14ac:dyDescent="0.3">
      <c r="X872" s="193" t="str">
        <f>IF($Q872="","",IFERROR(INDEX(BD_KPIs!$F$2:$F$1300,MATCH($Q872,BD_KPIs!$Q$2:$Q$1300,0)),"n/d"))</f>
        <v/>
      </c>
      <c r="Y872" s="193" t="str">
        <f>IF($Q872="","",IF(COUNTIFS($Q$2:$Q$1300,$Q872,$U$2:$U$1300,"&gt;"&amp;$U872)&gt;0,0,IF(AND(ISNUMBER($F872),ISNUMBER($X872)),IF(ABS($F872-$X872)&gt;_QA!$C$6,1,0),IF($F872&amp;""=$X872&amp;"",0,1))))</f>
        <v/>
      </c>
    </row>
    <row r="873" spans="24:25" x14ac:dyDescent="0.3">
      <c r="X873" s="193" t="str">
        <f>IF($Q873="","",IFERROR(INDEX(BD_KPIs!$F$2:$F$1300,MATCH($Q873,BD_KPIs!$Q$2:$Q$1300,0)),"n/d"))</f>
        <v/>
      </c>
      <c r="Y873" s="193" t="str">
        <f>IF($Q873="","",IF(COUNTIFS($Q$2:$Q$1300,$Q873,$U$2:$U$1300,"&gt;"&amp;$U873)&gt;0,0,IF(AND(ISNUMBER($F873),ISNUMBER($X873)),IF(ABS($F873-$X873)&gt;_QA!$C$6,1,0),IF($F873&amp;""=$X873&amp;"",0,1))))</f>
        <v/>
      </c>
    </row>
    <row r="874" spans="24:25" x14ac:dyDescent="0.3">
      <c r="X874" s="193" t="str">
        <f>IF($Q874="","",IFERROR(INDEX(BD_KPIs!$F$2:$F$1300,MATCH($Q874,BD_KPIs!$Q$2:$Q$1300,0)),"n/d"))</f>
        <v/>
      </c>
      <c r="Y874" s="193" t="str">
        <f>IF($Q874="","",IF(COUNTIFS($Q$2:$Q$1300,$Q874,$U$2:$U$1300,"&gt;"&amp;$U874)&gt;0,0,IF(AND(ISNUMBER($F874),ISNUMBER($X874)),IF(ABS($F874-$X874)&gt;_QA!$C$6,1,0),IF($F874&amp;""=$X874&amp;"",0,1))))</f>
        <v/>
      </c>
    </row>
    <row r="875" spans="24:25" x14ac:dyDescent="0.3">
      <c r="X875" s="193" t="str">
        <f>IF($Q875="","",IFERROR(INDEX(BD_KPIs!$F$2:$F$1300,MATCH($Q875,BD_KPIs!$Q$2:$Q$1300,0)),"n/d"))</f>
        <v/>
      </c>
      <c r="Y875" s="193" t="str">
        <f>IF($Q875="","",IF(COUNTIFS($Q$2:$Q$1300,$Q875,$U$2:$U$1300,"&gt;"&amp;$U875)&gt;0,0,IF(AND(ISNUMBER($F875),ISNUMBER($X875)),IF(ABS($F875-$X875)&gt;_QA!$C$6,1,0),IF($F875&amp;""=$X875&amp;"",0,1))))</f>
        <v/>
      </c>
    </row>
    <row r="876" spans="24:25" x14ac:dyDescent="0.3">
      <c r="X876" s="193" t="str">
        <f>IF($Q876="","",IFERROR(INDEX(BD_KPIs!$F$2:$F$1300,MATCH($Q876,BD_KPIs!$Q$2:$Q$1300,0)),"n/d"))</f>
        <v/>
      </c>
      <c r="Y876" s="193" t="str">
        <f>IF($Q876="","",IF(COUNTIFS($Q$2:$Q$1300,$Q876,$U$2:$U$1300,"&gt;"&amp;$U876)&gt;0,0,IF(AND(ISNUMBER($F876),ISNUMBER($X876)),IF(ABS($F876-$X876)&gt;_QA!$C$6,1,0),IF($F876&amp;""=$X876&amp;"",0,1))))</f>
        <v/>
      </c>
    </row>
    <row r="877" spans="24:25" x14ac:dyDescent="0.3">
      <c r="X877" s="193" t="str">
        <f>IF($Q877="","",IFERROR(INDEX(BD_KPIs!$F$2:$F$1300,MATCH($Q877,BD_KPIs!$Q$2:$Q$1300,0)),"n/d"))</f>
        <v/>
      </c>
      <c r="Y877" s="193" t="str">
        <f>IF($Q877="","",IF(COUNTIFS($Q$2:$Q$1300,$Q877,$U$2:$U$1300,"&gt;"&amp;$U877)&gt;0,0,IF(AND(ISNUMBER($F877),ISNUMBER($X877)),IF(ABS($F877-$X877)&gt;_QA!$C$6,1,0),IF($F877&amp;""=$X877&amp;"",0,1))))</f>
        <v/>
      </c>
    </row>
    <row r="878" spans="24:25" x14ac:dyDescent="0.3">
      <c r="X878" s="193" t="str">
        <f>IF($Q878="","",IFERROR(INDEX(BD_KPIs!$F$2:$F$1300,MATCH($Q878,BD_KPIs!$Q$2:$Q$1300,0)),"n/d"))</f>
        <v/>
      </c>
      <c r="Y878" s="193" t="str">
        <f>IF($Q878="","",IF(COUNTIFS($Q$2:$Q$1300,$Q878,$U$2:$U$1300,"&gt;"&amp;$U878)&gt;0,0,IF(AND(ISNUMBER($F878),ISNUMBER($X878)),IF(ABS($F878-$X878)&gt;_QA!$C$6,1,0),IF($F878&amp;""=$X878&amp;"",0,1))))</f>
        <v/>
      </c>
    </row>
    <row r="879" spans="24:25" x14ac:dyDescent="0.3">
      <c r="X879" s="193" t="str">
        <f>IF($Q879="","",IFERROR(INDEX(BD_KPIs!$F$2:$F$1300,MATCH($Q879,BD_KPIs!$Q$2:$Q$1300,0)),"n/d"))</f>
        <v/>
      </c>
      <c r="Y879" s="193" t="str">
        <f>IF($Q879="","",IF(COUNTIFS($Q$2:$Q$1300,$Q879,$U$2:$U$1300,"&gt;"&amp;$U879)&gt;0,0,IF(AND(ISNUMBER($F879),ISNUMBER($X879)),IF(ABS($F879-$X879)&gt;_QA!$C$6,1,0),IF($F879&amp;""=$X879&amp;"",0,1))))</f>
        <v/>
      </c>
    </row>
    <row r="880" spans="24:25" x14ac:dyDescent="0.3">
      <c r="X880" s="193" t="str">
        <f>IF($Q880="","",IFERROR(INDEX(BD_KPIs!$F$2:$F$1300,MATCH($Q880,BD_KPIs!$Q$2:$Q$1300,0)),"n/d"))</f>
        <v/>
      </c>
      <c r="Y880" s="193" t="str">
        <f>IF($Q880="","",IF(COUNTIFS($Q$2:$Q$1300,$Q880,$U$2:$U$1300,"&gt;"&amp;$U880)&gt;0,0,IF(AND(ISNUMBER($F880),ISNUMBER($X880)),IF(ABS($F880-$X880)&gt;_QA!$C$6,1,0),IF($F880&amp;""=$X880&amp;"",0,1))))</f>
        <v/>
      </c>
    </row>
    <row r="881" spans="24:25" x14ac:dyDescent="0.3">
      <c r="X881" s="193" t="str">
        <f>IF($Q881="","",IFERROR(INDEX(BD_KPIs!$F$2:$F$1300,MATCH($Q881,BD_KPIs!$Q$2:$Q$1300,0)),"n/d"))</f>
        <v/>
      </c>
      <c r="Y881" s="193" t="str">
        <f>IF($Q881="","",IF(COUNTIFS($Q$2:$Q$1300,$Q881,$U$2:$U$1300,"&gt;"&amp;$U881)&gt;0,0,IF(AND(ISNUMBER($F881),ISNUMBER($X881)),IF(ABS($F881-$X881)&gt;_QA!$C$6,1,0),IF($F881&amp;""=$X881&amp;"",0,1))))</f>
        <v/>
      </c>
    </row>
    <row r="882" spans="24:25" x14ac:dyDescent="0.3">
      <c r="X882" s="193" t="str">
        <f>IF($Q882="","",IFERROR(INDEX(BD_KPIs!$F$2:$F$1300,MATCH($Q882,BD_KPIs!$Q$2:$Q$1300,0)),"n/d"))</f>
        <v/>
      </c>
      <c r="Y882" s="193" t="str">
        <f>IF($Q882="","",IF(COUNTIFS($Q$2:$Q$1300,$Q882,$U$2:$U$1300,"&gt;"&amp;$U882)&gt;0,0,IF(AND(ISNUMBER($F882),ISNUMBER($X882)),IF(ABS($F882-$X882)&gt;_QA!$C$6,1,0),IF($F882&amp;""=$X882&amp;"",0,1))))</f>
        <v/>
      </c>
    </row>
    <row r="883" spans="24:25" x14ac:dyDescent="0.3">
      <c r="X883" s="193" t="str">
        <f>IF($Q883="","",IFERROR(INDEX(BD_KPIs!$F$2:$F$1300,MATCH($Q883,BD_KPIs!$Q$2:$Q$1300,0)),"n/d"))</f>
        <v/>
      </c>
      <c r="Y883" s="193" t="str">
        <f>IF($Q883="","",IF(COUNTIFS($Q$2:$Q$1300,$Q883,$U$2:$U$1300,"&gt;"&amp;$U883)&gt;0,0,IF(AND(ISNUMBER($F883),ISNUMBER($X883)),IF(ABS($F883-$X883)&gt;_QA!$C$6,1,0),IF($F883&amp;""=$X883&amp;"",0,1))))</f>
        <v/>
      </c>
    </row>
    <row r="884" spans="24:25" x14ac:dyDescent="0.3">
      <c r="X884" s="193" t="str">
        <f>IF($Q884="","",IFERROR(INDEX(BD_KPIs!$F$2:$F$1300,MATCH($Q884,BD_KPIs!$Q$2:$Q$1300,0)),"n/d"))</f>
        <v/>
      </c>
      <c r="Y884" s="193" t="str">
        <f>IF($Q884="","",IF(COUNTIFS($Q$2:$Q$1300,$Q884,$U$2:$U$1300,"&gt;"&amp;$U884)&gt;0,0,IF(AND(ISNUMBER($F884),ISNUMBER($X884)),IF(ABS($F884-$X884)&gt;_QA!$C$6,1,0),IF($F884&amp;""=$X884&amp;"",0,1))))</f>
        <v/>
      </c>
    </row>
    <row r="885" spans="24:25" x14ac:dyDescent="0.3">
      <c r="X885" s="193" t="str">
        <f>IF($Q885="","",IFERROR(INDEX(BD_KPIs!$F$2:$F$1300,MATCH($Q885,BD_KPIs!$Q$2:$Q$1300,0)),"n/d"))</f>
        <v/>
      </c>
      <c r="Y885" s="193" t="str">
        <f>IF($Q885="","",IF(COUNTIFS($Q$2:$Q$1300,$Q885,$U$2:$U$1300,"&gt;"&amp;$U885)&gt;0,0,IF(AND(ISNUMBER($F885),ISNUMBER($X885)),IF(ABS($F885-$X885)&gt;_QA!$C$6,1,0),IF($F885&amp;""=$X885&amp;"",0,1))))</f>
        <v/>
      </c>
    </row>
    <row r="886" spans="24:25" x14ac:dyDescent="0.3">
      <c r="X886" s="193" t="str">
        <f>IF($Q886="","",IFERROR(INDEX(BD_KPIs!$F$2:$F$1300,MATCH($Q886,BD_KPIs!$Q$2:$Q$1300,0)),"n/d"))</f>
        <v/>
      </c>
      <c r="Y886" s="193" t="str">
        <f>IF($Q886="","",IF(COUNTIFS($Q$2:$Q$1300,$Q886,$U$2:$U$1300,"&gt;"&amp;$U886)&gt;0,0,IF(AND(ISNUMBER($F886),ISNUMBER($X886)),IF(ABS($F886-$X886)&gt;_QA!$C$6,1,0),IF($F886&amp;""=$X886&amp;"",0,1))))</f>
        <v/>
      </c>
    </row>
    <row r="887" spans="24:25" x14ac:dyDescent="0.3">
      <c r="X887" s="193" t="str">
        <f>IF($Q887="","",IFERROR(INDEX(BD_KPIs!$F$2:$F$1300,MATCH($Q887,BD_KPIs!$Q$2:$Q$1300,0)),"n/d"))</f>
        <v/>
      </c>
      <c r="Y887" s="193" t="str">
        <f>IF($Q887="","",IF(COUNTIFS($Q$2:$Q$1300,$Q887,$U$2:$U$1300,"&gt;"&amp;$U887)&gt;0,0,IF(AND(ISNUMBER($F887),ISNUMBER($X887)),IF(ABS($F887-$X887)&gt;_QA!$C$6,1,0),IF($F887&amp;""=$X887&amp;"",0,1))))</f>
        <v/>
      </c>
    </row>
    <row r="888" spans="24:25" x14ac:dyDescent="0.3">
      <c r="X888" s="193" t="str">
        <f>IF($Q888="","",IFERROR(INDEX(BD_KPIs!$F$2:$F$1300,MATCH($Q888,BD_KPIs!$Q$2:$Q$1300,0)),"n/d"))</f>
        <v/>
      </c>
      <c r="Y888" s="193" t="str">
        <f>IF($Q888="","",IF(COUNTIFS($Q$2:$Q$1300,$Q888,$U$2:$U$1300,"&gt;"&amp;$U888)&gt;0,0,IF(AND(ISNUMBER($F888),ISNUMBER($X888)),IF(ABS($F888-$X888)&gt;_QA!$C$6,1,0),IF($F888&amp;""=$X888&amp;"",0,1))))</f>
        <v/>
      </c>
    </row>
    <row r="889" spans="24:25" x14ac:dyDescent="0.3">
      <c r="X889" s="193" t="str">
        <f>IF($Q889="","",IFERROR(INDEX(BD_KPIs!$F$2:$F$1300,MATCH($Q889,BD_KPIs!$Q$2:$Q$1300,0)),"n/d"))</f>
        <v/>
      </c>
      <c r="Y889" s="193" t="str">
        <f>IF($Q889="","",IF(COUNTIFS($Q$2:$Q$1300,$Q889,$U$2:$U$1300,"&gt;"&amp;$U889)&gt;0,0,IF(AND(ISNUMBER($F889),ISNUMBER($X889)),IF(ABS($F889-$X889)&gt;_QA!$C$6,1,0),IF($F889&amp;""=$X889&amp;"",0,1))))</f>
        <v/>
      </c>
    </row>
    <row r="890" spans="24:25" x14ac:dyDescent="0.3">
      <c r="X890" s="193" t="str">
        <f>IF($Q890="","",IFERROR(INDEX(BD_KPIs!$F$2:$F$1300,MATCH($Q890,BD_KPIs!$Q$2:$Q$1300,0)),"n/d"))</f>
        <v/>
      </c>
      <c r="Y890" s="193" t="str">
        <f>IF($Q890="","",IF(COUNTIFS($Q$2:$Q$1300,$Q890,$U$2:$U$1300,"&gt;"&amp;$U890)&gt;0,0,IF(AND(ISNUMBER($F890),ISNUMBER($X890)),IF(ABS($F890-$X890)&gt;_QA!$C$6,1,0),IF($F890&amp;""=$X890&amp;"",0,1))))</f>
        <v/>
      </c>
    </row>
    <row r="891" spans="24:25" x14ac:dyDescent="0.3">
      <c r="X891" s="193" t="str">
        <f>IF($Q891="","",IFERROR(INDEX(BD_KPIs!$F$2:$F$1300,MATCH($Q891,BD_KPIs!$Q$2:$Q$1300,0)),"n/d"))</f>
        <v/>
      </c>
      <c r="Y891" s="193" t="str">
        <f>IF($Q891="","",IF(COUNTIFS($Q$2:$Q$1300,$Q891,$U$2:$U$1300,"&gt;"&amp;$U891)&gt;0,0,IF(AND(ISNUMBER($F891),ISNUMBER($X891)),IF(ABS($F891-$X891)&gt;_QA!$C$6,1,0),IF($F891&amp;""=$X891&amp;"",0,1))))</f>
        <v/>
      </c>
    </row>
    <row r="892" spans="24:25" x14ac:dyDescent="0.3">
      <c r="X892" s="193" t="str">
        <f>IF($Q892="","",IFERROR(INDEX(BD_KPIs!$F$2:$F$1300,MATCH($Q892,BD_KPIs!$Q$2:$Q$1300,0)),"n/d"))</f>
        <v/>
      </c>
      <c r="Y892" s="193" t="str">
        <f>IF($Q892="","",IF(COUNTIFS($Q$2:$Q$1300,$Q892,$U$2:$U$1300,"&gt;"&amp;$U892)&gt;0,0,IF(AND(ISNUMBER($F892),ISNUMBER($X892)),IF(ABS($F892-$X892)&gt;_QA!$C$6,1,0),IF($F892&amp;""=$X892&amp;"",0,1))))</f>
        <v/>
      </c>
    </row>
    <row r="893" spans="24:25" x14ac:dyDescent="0.3">
      <c r="X893" s="193" t="str">
        <f>IF($Q893="","",IFERROR(INDEX(BD_KPIs!$F$2:$F$1300,MATCH($Q893,BD_KPIs!$Q$2:$Q$1300,0)),"n/d"))</f>
        <v/>
      </c>
      <c r="Y893" s="193" t="str">
        <f>IF($Q893="","",IF(COUNTIFS($Q$2:$Q$1300,$Q893,$U$2:$U$1300,"&gt;"&amp;$U893)&gt;0,0,IF(AND(ISNUMBER($F893),ISNUMBER($X893)),IF(ABS($F893-$X893)&gt;_QA!$C$6,1,0),IF($F893&amp;""=$X893&amp;"",0,1))))</f>
        <v/>
      </c>
    </row>
    <row r="894" spans="24:25" x14ac:dyDescent="0.3">
      <c r="X894" s="193" t="str">
        <f>IF($Q894="","",IFERROR(INDEX(BD_KPIs!$F$2:$F$1300,MATCH($Q894,BD_KPIs!$Q$2:$Q$1300,0)),"n/d"))</f>
        <v/>
      </c>
      <c r="Y894" s="193" t="str">
        <f>IF($Q894="","",IF(COUNTIFS($Q$2:$Q$1300,$Q894,$U$2:$U$1300,"&gt;"&amp;$U894)&gt;0,0,IF(AND(ISNUMBER($F894),ISNUMBER($X894)),IF(ABS($F894-$X894)&gt;_QA!$C$6,1,0),IF($F894&amp;""=$X894&amp;"",0,1))))</f>
        <v/>
      </c>
    </row>
    <row r="895" spans="24:25" x14ac:dyDescent="0.3">
      <c r="X895" s="193" t="str">
        <f>IF($Q895="","",IFERROR(INDEX(BD_KPIs!$F$2:$F$1300,MATCH($Q895,BD_KPIs!$Q$2:$Q$1300,0)),"n/d"))</f>
        <v/>
      </c>
      <c r="Y895" s="193" t="str">
        <f>IF($Q895="","",IF(COUNTIFS($Q$2:$Q$1300,$Q895,$U$2:$U$1300,"&gt;"&amp;$U895)&gt;0,0,IF(AND(ISNUMBER($F895),ISNUMBER($X895)),IF(ABS($F895-$X895)&gt;_QA!$C$6,1,0),IF($F895&amp;""=$X895&amp;"",0,1))))</f>
        <v/>
      </c>
    </row>
    <row r="896" spans="24:25" x14ac:dyDescent="0.3">
      <c r="X896" s="193" t="str">
        <f>IF($Q896="","",IFERROR(INDEX(BD_KPIs!$F$2:$F$1300,MATCH($Q896,BD_KPIs!$Q$2:$Q$1300,0)),"n/d"))</f>
        <v/>
      </c>
      <c r="Y896" s="193" t="str">
        <f>IF($Q896="","",IF(COUNTIFS($Q$2:$Q$1300,$Q896,$U$2:$U$1300,"&gt;"&amp;$U896)&gt;0,0,IF(AND(ISNUMBER($F896),ISNUMBER($X896)),IF(ABS($F896-$X896)&gt;_QA!$C$6,1,0),IF($F896&amp;""=$X896&amp;"",0,1))))</f>
        <v/>
      </c>
    </row>
    <row r="897" spans="24:25" x14ac:dyDescent="0.3">
      <c r="X897" s="193" t="str">
        <f>IF($Q897="","",IFERROR(INDEX(BD_KPIs!$F$2:$F$1300,MATCH($Q897,BD_KPIs!$Q$2:$Q$1300,0)),"n/d"))</f>
        <v/>
      </c>
      <c r="Y897" s="193" t="str">
        <f>IF($Q897="","",IF(COUNTIFS($Q$2:$Q$1300,$Q897,$U$2:$U$1300,"&gt;"&amp;$U897)&gt;0,0,IF(AND(ISNUMBER($F897),ISNUMBER($X897)),IF(ABS($F897-$X897)&gt;_QA!$C$6,1,0),IF($F897&amp;""=$X897&amp;"",0,1))))</f>
        <v/>
      </c>
    </row>
    <row r="898" spans="24:25" x14ac:dyDescent="0.3">
      <c r="X898" s="193" t="str">
        <f>IF($Q898="","",IFERROR(INDEX(BD_KPIs!$F$2:$F$1300,MATCH($Q898,BD_KPIs!$Q$2:$Q$1300,0)),"n/d"))</f>
        <v/>
      </c>
      <c r="Y898" s="193" t="str">
        <f>IF($Q898="","",IF(COUNTIFS($Q$2:$Q$1300,$Q898,$U$2:$U$1300,"&gt;"&amp;$U898)&gt;0,0,IF(AND(ISNUMBER($F898),ISNUMBER($X898)),IF(ABS($F898-$X898)&gt;_QA!$C$6,1,0),IF($F898&amp;""=$X898&amp;"",0,1))))</f>
        <v/>
      </c>
    </row>
    <row r="899" spans="24:25" x14ac:dyDescent="0.3">
      <c r="X899" s="193" t="str">
        <f>IF($Q899="","",IFERROR(INDEX(BD_KPIs!$F$2:$F$1300,MATCH($Q899,BD_KPIs!$Q$2:$Q$1300,0)),"n/d"))</f>
        <v/>
      </c>
      <c r="Y899" s="193" t="str">
        <f>IF($Q899="","",IF(COUNTIFS($Q$2:$Q$1300,$Q899,$U$2:$U$1300,"&gt;"&amp;$U899)&gt;0,0,IF(AND(ISNUMBER($F899),ISNUMBER($X899)),IF(ABS($F899-$X899)&gt;_QA!$C$6,1,0),IF($F899&amp;""=$X899&amp;"",0,1))))</f>
        <v/>
      </c>
    </row>
    <row r="900" spans="24:25" x14ac:dyDescent="0.3">
      <c r="X900" s="193" t="str">
        <f>IF($Q900="","",IFERROR(INDEX(BD_KPIs!$F$2:$F$1300,MATCH($Q900,BD_KPIs!$Q$2:$Q$1300,0)),"n/d"))</f>
        <v/>
      </c>
      <c r="Y900" s="193" t="str">
        <f>IF($Q900="","",IF(COUNTIFS($Q$2:$Q$1300,$Q900,$U$2:$U$1300,"&gt;"&amp;$U900)&gt;0,0,IF(AND(ISNUMBER($F900),ISNUMBER($X900)),IF(ABS($F900-$X900)&gt;_QA!$C$6,1,0),IF($F900&amp;""=$X900&amp;"",0,1))))</f>
        <v/>
      </c>
    </row>
    <row r="901" spans="24:25" x14ac:dyDescent="0.3">
      <c r="X901" s="193" t="str">
        <f>IF($Q901="","",IFERROR(INDEX(BD_KPIs!$F$2:$F$1300,MATCH($Q901,BD_KPIs!$Q$2:$Q$1300,0)),"n/d"))</f>
        <v/>
      </c>
      <c r="Y901" s="193" t="str">
        <f>IF($Q901="","",IF(COUNTIFS($Q$2:$Q$1300,$Q901,$U$2:$U$1300,"&gt;"&amp;$U901)&gt;0,0,IF(AND(ISNUMBER($F901),ISNUMBER($X901)),IF(ABS($F901-$X901)&gt;_QA!$C$6,1,0),IF($F901&amp;""=$X901&amp;"",0,1))))</f>
        <v/>
      </c>
    </row>
    <row r="902" spans="24:25" x14ac:dyDescent="0.3">
      <c r="X902" s="193" t="str">
        <f>IF($Q902="","",IFERROR(INDEX(BD_KPIs!$F$2:$F$1300,MATCH($Q902,BD_KPIs!$Q$2:$Q$1300,0)),"n/d"))</f>
        <v/>
      </c>
      <c r="Y902" s="193" t="str">
        <f>IF($Q902="","",IF(COUNTIFS($Q$2:$Q$1300,$Q902,$U$2:$U$1300,"&gt;"&amp;$U902)&gt;0,0,IF(AND(ISNUMBER($F902),ISNUMBER($X902)),IF(ABS($F902-$X902)&gt;_QA!$C$6,1,0),IF($F902&amp;""=$X902&amp;"",0,1))))</f>
        <v/>
      </c>
    </row>
    <row r="903" spans="24:25" x14ac:dyDescent="0.3">
      <c r="X903" s="193" t="str">
        <f>IF($Q903="","",IFERROR(INDEX(BD_KPIs!$F$2:$F$1300,MATCH($Q903,BD_KPIs!$Q$2:$Q$1300,0)),"n/d"))</f>
        <v/>
      </c>
      <c r="Y903" s="193" t="str">
        <f>IF($Q903="","",IF(COUNTIFS($Q$2:$Q$1300,$Q903,$U$2:$U$1300,"&gt;"&amp;$U903)&gt;0,0,IF(AND(ISNUMBER($F903),ISNUMBER($X903)),IF(ABS($F903-$X903)&gt;_QA!$C$6,1,0),IF($F903&amp;""=$X903&amp;"",0,1))))</f>
        <v/>
      </c>
    </row>
    <row r="904" spans="24:25" x14ac:dyDescent="0.3">
      <c r="X904" s="193" t="str">
        <f>IF($Q904="","",IFERROR(INDEX(BD_KPIs!$F$2:$F$1300,MATCH($Q904,BD_KPIs!$Q$2:$Q$1300,0)),"n/d"))</f>
        <v/>
      </c>
      <c r="Y904" s="193" t="str">
        <f>IF($Q904="","",IF(COUNTIFS($Q$2:$Q$1300,$Q904,$U$2:$U$1300,"&gt;"&amp;$U904)&gt;0,0,IF(AND(ISNUMBER($F904),ISNUMBER($X904)),IF(ABS($F904-$X904)&gt;_QA!$C$6,1,0),IF($F904&amp;""=$X904&amp;"",0,1))))</f>
        <v/>
      </c>
    </row>
    <row r="905" spans="24:25" x14ac:dyDescent="0.3">
      <c r="X905" s="193" t="str">
        <f>IF($Q905="","",IFERROR(INDEX(BD_KPIs!$F$2:$F$1300,MATCH($Q905,BD_KPIs!$Q$2:$Q$1300,0)),"n/d"))</f>
        <v/>
      </c>
      <c r="Y905" s="193" t="str">
        <f>IF($Q905="","",IF(COUNTIFS($Q$2:$Q$1300,$Q905,$U$2:$U$1300,"&gt;"&amp;$U905)&gt;0,0,IF(AND(ISNUMBER($F905),ISNUMBER($X905)),IF(ABS($F905-$X905)&gt;_QA!$C$6,1,0),IF($F905&amp;""=$X905&amp;"",0,1))))</f>
        <v/>
      </c>
    </row>
    <row r="906" spans="24:25" x14ac:dyDescent="0.3">
      <c r="X906" s="193" t="str">
        <f>IF($Q906="","",IFERROR(INDEX(BD_KPIs!$F$2:$F$1300,MATCH($Q906,BD_KPIs!$Q$2:$Q$1300,0)),"n/d"))</f>
        <v/>
      </c>
      <c r="Y906" s="193" t="str">
        <f>IF($Q906="","",IF(COUNTIFS($Q$2:$Q$1300,$Q906,$U$2:$U$1300,"&gt;"&amp;$U906)&gt;0,0,IF(AND(ISNUMBER($F906),ISNUMBER($X906)),IF(ABS($F906-$X906)&gt;_QA!$C$6,1,0),IF($F906&amp;""=$X906&amp;"",0,1))))</f>
        <v/>
      </c>
    </row>
    <row r="907" spans="24:25" x14ac:dyDescent="0.3">
      <c r="X907" s="193" t="str">
        <f>IF($Q907="","",IFERROR(INDEX(BD_KPIs!$F$2:$F$1300,MATCH($Q907,BD_KPIs!$Q$2:$Q$1300,0)),"n/d"))</f>
        <v/>
      </c>
      <c r="Y907" s="193" t="str">
        <f>IF($Q907="","",IF(COUNTIFS($Q$2:$Q$1300,$Q907,$U$2:$U$1300,"&gt;"&amp;$U907)&gt;0,0,IF(AND(ISNUMBER($F907),ISNUMBER($X907)),IF(ABS($F907-$X907)&gt;_QA!$C$6,1,0),IF($F907&amp;""=$X907&amp;"",0,1))))</f>
        <v/>
      </c>
    </row>
    <row r="908" spans="24:25" x14ac:dyDescent="0.3">
      <c r="X908" s="193" t="str">
        <f>IF($Q908="","",IFERROR(INDEX(BD_KPIs!$F$2:$F$1300,MATCH($Q908,BD_KPIs!$Q$2:$Q$1300,0)),"n/d"))</f>
        <v/>
      </c>
      <c r="Y908" s="193" t="str">
        <f>IF($Q908="","",IF(COUNTIFS($Q$2:$Q$1300,$Q908,$U$2:$U$1300,"&gt;"&amp;$U908)&gt;0,0,IF(AND(ISNUMBER($F908),ISNUMBER($X908)),IF(ABS($F908-$X908)&gt;_QA!$C$6,1,0),IF($F908&amp;""=$X908&amp;"",0,1))))</f>
        <v/>
      </c>
    </row>
    <row r="909" spans="24:25" x14ac:dyDescent="0.3">
      <c r="X909" s="193" t="str">
        <f>IF($Q909="","",IFERROR(INDEX(BD_KPIs!$F$2:$F$1300,MATCH($Q909,BD_KPIs!$Q$2:$Q$1300,0)),"n/d"))</f>
        <v/>
      </c>
      <c r="Y909" s="193" t="str">
        <f>IF($Q909="","",IF(COUNTIFS($Q$2:$Q$1300,$Q909,$U$2:$U$1300,"&gt;"&amp;$U909)&gt;0,0,IF(AND(ISNUMBER($F909),ISNUMBER($X909)),IF(ABS($F909-$X909)&gt;_QA!$C$6,1,0),IF($F909&amp;""=$X909&amp;"",0,1))))</f>
        <v/>
      </c>
    </row>
    <row r="910" spans="24:25" x14ac:dyDescent="0.3">
      <c r="X910" s="193" t="str">
        <f>IF($Q910="","",IFERROR(INDEX(BD_KPIs!$F$2:$F$1300,MATCH($Q910,BD_KPIs!$Q$2:$Q$1300,0)),"n/d"))</f>
        <v/>
      </c>
      <c r="Y910" s="193" t="str">
        <f>IF($Q910="","",IF(COUNTIFS($Q$2:$Q$1300,$Q910,$U$2:$U$1300,"&gt;"&amp;$U910)&gt;0,0,IF(AND(ISNUMBER($F910),ISNUMBER($X910)),IF(ABS($F910-$X910)&gt;_QA!$C$6,1,0),IF($F910&amp;""=$X910&amp;"",0,1))))</f>
        <v/>
      </c>
    </row>
    <row r="911" spans="24:25" x14ac:dyDescent="0.3">
      <c r="X911" s="193" t="str">
        <f>IF($Q911="","",IFERROR(INDEX(BD_KPIs!$F$2:$F$1300,MATCH($Q911,BD_KPIs!$Q$2:$Q$1300,0)),"n/d"))</f>
        <v/>
      </c>
      <c r="Y911" s="193" t="str">
        <f>IF($Q911="","",IF(COUNTIFS($Q$2:$Q$1300,$Q911,$U$2:$U$1300,"&gt;"&amp;$U911)&gt;0,0,IF(AND(ISNUMBER($F911),ISNUMBER($X911)),IF(ABS($F911-$X911)&gt;_QA!$C$6,1,0),IF($F911&amp;""=$X911&amp;"",0,1))))</f>
        <v/>
      </c>
    </row>
    <row r="912" spans="24:25" x14ac:dyDescent="0.3">
      <c r="X912" s="193" t="str">
        <f>IF($Q912="","",IFERROR(INDEX(BD_KPIs!$F$2:$F$1300,MATCH($Q912,BD_KPIs!$Q$2:$Q$1300,0)),"n/d"))</f>
        <v/>
      </c>
      <c r="Y912" s="193" t="str">
        <f>IF($Q912="","",IF(COUNTIFS($Q$2:$Q$1300,$Q912,$U$2:$U$1300,"&gt;"&amp;$U912)&gt;0,0,IF(AND(ISNUMBER($F912),ISNUMBER($X912)),IF(ABS($F912-$X912)&gt;_QA!$C$6,1,0),IF($F912&amp;""=$X912&amp;"",0,1))))</f>
        <v/>
      </c>
    </row>
    <row r="913" spans="24:25" x14ac:dyDescent="0.3">
      <c r="X913" s="193" t="str">
        <f>IF($Q913="","",IFERROR(INDEX(BD_KPIs!$F$2:$F$1300,MATCH($Q913,BD_KPIs!$Q$2:$Q$1300,0)),"n/d"))</f>
        <v/>
      </c>
      <c r="Y913" s="193" t="str">
        <f>IF($Q913="","",IF(COUNTIFS($Q$2:$Q$1300,$Q913,$U$2:$U$1300,"&gt;"&amp;$U913)&gt;0,0,IF(AND(ISNUMBER($F913),ISNUMBER($X913)),IF(ABS($F913-$X913)&gt;_QA!$C$6,1,0),IF($F913&amp;""=$X913&amp;"",0,1))))</f>
        <v/>
      </c>
    </row>
    <row r="914" spans="24:25" x14ac:dyDescent="0.3">
      <c r="X914" s="193" t="str">
        <f>IF($Q914="","",IFERROR(INDEX(BD_KPIs!$F$2:$F$1300,MATCH($Q914,BD_KPIs!$Q$2:$Q$1300,0)),"n/d"))</f>
        <v/>
      </c>
      <c r="Y914" s="193" t="str">
        <f>IF($Q914="","",IF(COUNTIFS($Q$2:$Q$1300,$Q914,$U$2:$U$1300,"&gt;"&amp;$U914)&gt;0,0,IF(AND(ISNUMBER($F914),ISNUMBER($X914)),IF(ABS($F914-$X914)&gt;_QA!$C$6,1,0),IF($F914&amp;""=$X914&amp;"",0,1))))</f>
        <v/>
      </c>
    </row>
    <row r="915" spans="24:25" x14ac:dyDescent="0.3">
      <c r="X915" s="193" t="str">
        <f>IF($Q915="","",IFERROR(INDEX(BD_KPIs!$F$2:$F$1300,MATCH($Q915,BD_KPIs!$Q$2:$Q$1300,0)),"n/d"))</f>
        <v/>
      </c>
      <c r="Y915" s="193" t="str">
        <f>IF($Q915="","",IF(COUNTIFS($Q$2:$Q$1300,$Q915,$U$2:$U$1300,"&gt;"&amp;$U915)&gt;0,0,IF(AND(ISNUMBER($F915),ISNUMBER($X915)),IF(ABS($F915-$X915)&gt;_QA!$C$6,1,0),IF($F915&amp;""=$X915&amp;"",0,1))))</f>
        <v/>
      </c>
    </row>
    <row r="916" spans="24:25" x14ac:dyDescent="0.3">
      <c r="X916" s="193" t="str">
        <f>IF($Q916="","",IFERROR(INDEX(BD_KPIs!$F$2:$F$1300,MATCH($Q916,BD_KPIs!$Q$2:$Q$1300,0)),"n/d"))</f>
        <v/>
      </c>
      <c r="Y916" s="193" t="str">
        <f>IF($Q916="","",IF(COUNTIFS($Q$2:$Q$1300,$Q916,$U$2:$U$1300,"&gt;"&amp;$U916)&gt;0,0,IF(AND(ISNUMBER($F916),ISNUMBER($X916)),IF(ABS($F916-$X916)&gt;_QA!$C$6,1,0),IF($F916&amp;""=$X916&amp;"",0,1))))</f>
        <v/>
      </c>
    </row>
    <row r="917" spans="24:25" x14ac:dyDescent="0.3">
      <c r="X917" s="193" t="str">
        <f>IF($Q917="","",IFERROR(INDEX(BD_KPIs!$F$2:$F$1300,MATCH($Q917,BD_KPIs!$Q$2:$Q$1300,0)),"n/d"))</f>
        <v/>
      </c>
      <c r="Y917" s="193" t="str">
        <f>IF($Q917="","",IF(COUNTIFS($Q$2:$Q$1300,$Q917,$U$2:$U$1300,"&gt;"&amp;$U917)&gt;0,0,IF(AND(ISNUMBER($F917),ISNUMBER($X917)),IF(ABS($F917-$X917)&gt;_QA!$C$6,1,0),IF($F917&amp;""=$X917&amp;"",0,1))))</f>
        <v/>
      </c>
    </row>
    <row r="918" spans="24:25" x14ac:dyDescent="0.3">
      <c r="X918" s="193" t="str">
        <f>IF($Q918="","",IFERROR(INDEX(BD_KPIs!$F$2:$F$1300,MATCH($Q918,BD_KPIs!$Q$2:$Q$1300,0)),"n/d"))</f>
        <v/>
      </c>
      <c r="Y918" s="193" t="str">
        <f>IF($Q918="","",IF(COUNTIFS($Q$2:$Q$1300,$Q918,$U$2:$U$1300,"&gt;"&amp;$U918)&gt;0,0,IF(AND(ISNUMBER($F918),ISNUMBER($X918)),IF(ABS($F918-$X918)&gt;_QA!$C$6,1,0),IF($F918&amp;""=$X918&amp;"",0,1))))</f>
        <v/>
      </c>
    </row>
    <row r="919" spans="24:25" x14ac:dyDescent="0.3">
      <c r="X919" s="193" t="str">
        <f>IF($Q919="","",IFERROR(INDEX(BD_KPIs!$F$2:$F$1300,MATCH($Q919,BD_KPIs!$Q$2:$Q$1300,0)),"n/d"))</f>
        <v/>
      </c>
      <c r="Y919" s="193" t="str">
        <f>IF($Q919="","",IF(COUNTIFS($Q$2:$Q$1300,$Q919,$U$2:$U$1300,"&gt;"&amp;$U919)&gt;0,0,IF(AND(ISNUMBER($F919),ISNUMBER($X919)),IF(ABS($F919-$X919)&gt;_QA!$C$6,1,0),IF($F919&amp;""=$X919&amp;"",0,1))))</f>
        <v/>
      </c>
    </row>
    <row r="920" spans="24:25" x14ac:dyDescent="0.3">
      <c r="X920" s="193" t="str">
        <f>IF($Q920="","",IFERROR(INDEX(BD_KPIs!$F$2:$F$1300,MATCH($Q920,BD_KPIs!$Q$2:$Q$1300,0)),"n/d"))</f>
        <v/>
      </c>
      <c r="Y920" s="193" t="str">
        <f>IF($Q920="","",IF(COUNTIFS($Q$2:$Q$1300,$Q920,$U$2:$U$1300,"&gt;"&amp;$U920)&gt;0,0,IF(AND(ISNUMBER($F920),ISNUMBER($X920)),IF(ABS($F920-$X920)&gt;_QA!$C$6,1,0),IF($F920&amp;""=$X920&amp;"",0,1))))</f>
        <v/>
      </c>
    </row>
    <row r="921" spans="24:25" x14ac:dyDescent="0.3">
      <c r="X921" s="193" t="str">
        <f>IF($Q921="","",IFERROR(INDEX(BD_KPIs!$F$2:$F$1300,MATCH($Q921,BD_KPIs!$Q$2:$Q$1300,0)),"n/d"))</f>
        <v/>
      </c>
      <c r="Y921" s="193" t="str">
        <f>IF($Q921="","",IF(COUNTIFS($Q$2:$Q$1300,$Q921,$U$2:$U$1300,"&gt;"&amp;$U921)&gt;0,0,IF(AND(ISNUMBER($F921),ISNUMBER($X921)),IF(ABS($F921-$X921)&gt;_QA!$C$6,1,0),IF($F921&amp;""=$X921&amp;"",0,1))))</f>
        <v/>
      </c>
    </row>
    <row r="922" spans="24:25" x14ac:dyDescent="0.3">
      <c r="X922" s="193" t="str">
        <f>IF($Q922="","",IFERROR(INDEX(BD_KPIs!$F$2:$F$1300,MATCH($Q922,BD_KPIs!$Q$2:$Q$1300,0)),"n/d"))</f>
        <v/>
      </c>
      <c r="Y922" s="193" t="str">
        <f>IF($Q922="","",IF(COUNTIFS($Q$2:$Q$1300,$Q922,$U$2:$U$1300,"&gt;"&amp;$U922)&gt;0,0,IF(AND(ISNUMBER($F922),ISNUMBER($X922)),IF(ABS($F922-$X922)&gt;_QA!$C$6,1,0),IF($F922&amp;""=$X922&amp;"",0,1))))</f>
        <v/>
      </c>
    </row>
    <row r="923" spans="24:25" x14ac:dyDescent="0.3">
      <c r="X923" s="193" t="str">
        <f>IF($Q923="","",IFERROR(INDEX(BD_KPIs!$F$2:$F$1300,MATCH($Q923,BD_KPIs!$Q$2:$Q$1300,0)),"n/d"))</f>
        <v/>
      </c>
      <c r="Y923" s="193" t="str">
        <f>IF($Q923="","",IF(COUNTIFS($Q$2:$Q$1300,$Q923,$U$2:$U$1300,"&gt;"&amp;$U923)&gt;0,0,IF(AND(ISNUMBER($F923),ISNUMBER($X923)),IF(ABS($F923-$X923)&gt;_QA!$C$6,1,0),IF($F923&amp;""=$X923&amp;"",0,1))))</f>
        <v/>
      </c>
    </row>
    <row r="924" spans="24:25" x14ac:dyDescent="0.3">
      <c r="X924" s="193" t="str">
        <f>IF($Q924="","",IFERROR(INDEX(BD_KPIs!$F$2:$F$1300,MATCH($Q924,BD_KPIs!$Q$2:$Q$1300,0)),"n/d"))</f>
        <v/>
      </c>
      <c r="Y924" s="193" t="str">
        <f>IF($Q924="","",IF(COUNTIFS($Q$2:$Q$1300,$Q924,$U$2:$U$1300,"&gt;"&amp;$U924)&gt;0,0,IF(AND(ISNUMBER($F924),ISNUMBER($X924)),IF(ABS($F924-$X924)&gt;_QA!$C$6,1,0),IF($F924&amp;""=$X924&amp;"",0,1))))</f>
        <v/>
      </c>
    </row>
    <row r="925" spans="24:25" x14ac:dyDescent="0.3">
      <c r="X925" s="193" t="str">
        <f>IF($Q925="","",IFERROR(INDEX(BD_KPIs!$F$2:$F$1300,MATCH($Q925,BD_KPIs!$Q$2:$Q$1300,0)),"n/d"))</f>
        <v/>
      </c>
      <c r="Y925" s="193" t="str">
        <f>IF($Q925="","",IF(COUNTIFS($Q$2:$Q$1300,$Q925,$U$2:$U$1300,"&gt;"&amp;$U925)&gt;0,0,IF(AND(ISNUMBER($F925),ISNUMBER($X925)),IF(ABS($F925-$X925)&gt;_QA!$C$6,1,0),IF($F925&amp;""=$X925&amp;"",0,1))))</f>
        <v/>
      </c>
    </row>
    <row r="926" spans="24:25" x14ac:dyDescent="0.3">
      <c r="X926" s="193" t="str">
        <f>IF($Q926="","",IFERROR(INDEX(BD_KPIs!$F$2:$F$1300,MATCH($Q926,BD_KPIs!$Q$2:$Q$1300,0)),"n/d"))</f>
        <v/>
      </c>
      <c r="Y926" s="193" t="str">
        <f>IF($Q926="","",IF(COUNTIFS($Q$2:$Q$1300,$Q926,$U$2:$U$1300,"&gt;"&amp;$U926)&gt;0,0,IF(AND(ISNUMBER($F926),ISNUMBER($X926)),IF(ABS($F926-$X926)&gt;_QA!$C$6,1,0),IF($F926&amp;""=$X926&amp;"",0,1))))</f>
        <v/>
      </c>
    </row>
    <row r="927" spans="24:25" x14ac:dyDescent="0.3">
      <c r="X927" s="193" t="str">
        <f>IF($Q927="","",IFERROR(INDEX(BD_KPIs!$F$2:$F$1300,MATCH($Q927,BD_KPIs!$Q$2:$Q$1300,0)),"n/d"))</f>
        <v/>
      </c>
      <c r="Y927" s="193" t="str">
        <f>IF($Q927="","",IF(COUNTIFS($Q$2:$Q$1300,$Q927,$U$2:$U$1300,"&gt;"&amp;$U927)&gt;0,0,IF(AND(ISNUMBER($F927),ISNUMBER($X927)),IF(ABS($F927-$X927)&gt;_QA!$C$6,1,0),IF($F927&amp;""=$X927&amp;"",0,1))))</f>
        <v/>
      </c>
    </row>
    <row r="928" spans="24:25" x14ac:dyDescent="0.3">
      <c r="X928" s="193" t="str">
        <f>IF($Q928="","",IFERROR(INDEX(BD_KPIs!$F$2:$F$1300,MATCH($Q928,BD_KPIs!$Q$2:$Q$1300,0)),"n/d"))</f>
        <v/>
      </c>
      <c r="Y928" s="193" t="str">
        <f>IF($Q928="","",IF(COUNTIFS($Q$2:$Q$1300,$Q928,$U$2:$U$1300,"&gt;"&amp;$U928)&gt;0,0,IF(AND(ISNUMBER($F928),ISNUMBER($X928)),IF(ABS($F928-$X928)&gt;_QA!$C$6,1,0),IF($F928&amp;""=$X928&amp;"",0,1))))</f>
        <v/>
      </c>
    </row>
    <row r="929" spans="24:25" x14ac:dyDescent="0.3">
      <c r="X929" s="193" t="str">
        <f>IF($Q929="","",IFERROR(INDEX(BD_KPIs!$F$2:$F$1300,MATCH($Q929,BD_KPIs!$Q$2:$Q$1300,0)),"n/d"))</f>
        <v/>
      </c>
      <c r="Y929" s="193" t="str">
        <f>IF($Q929="","",IF(COUNTIFS($Q$2:$Q$1300,$Q929,$U$2:$U$1300,"&gt;"&amp;$U929)&gt;0,0,IF(AND(ISNUMBER($F929),ISNUMBER($X929)),IF(ABS($F929-$X929)&gt;_QA!$C$6,1,0),IF($F929&amp;""=$X929&amp;"",0,1))))</f>
        <v/>
      </c>
    </row>
    <row r="930" spans="24:25" x14ac:dyDescent="0.3">
      <c r="X930" s="193" t="str">
        <f>IF($Q930="","",IFERROR(INDEX(BD_KPIs!$F$2:$F$1300,MATCH($Q930,BD_KPIs!$Q$2:$Q$1300,0)),"n/d"))</f>
        <v/>
      </c>
      <c r="Y930" s="193" t="str">
        <f>IF($Q930="","",IF(COUNTIFS($Q$2:$Q$1300,$Q930,$U$2:$U$1300,"&gt;"&amp;$U930)&gt;0,0,IF(AND(ISNUMBER($F930),ISNUMBER($X930)),IF(ABS($F930-$X930)&gt;_QA!$C$6,1,0),IF($F930&amp;""=$X930&amp;"",0,1))))</f>
        <v/>
      </c>
    </row>
    <row r="931" spans="24:25" x14ac:dyDescent="0.3">
      <c r="X931" s="193" t="str">
        <f>IF($Q931="","",IFERROR(INDEX(BD_KPIs!$F$2:$F$1300,MATCH($Q931,BD_KPIs!$Q$2:$Q$1300,0)),"n/d"))</f>
        <v/>
      </c>
      <c r="Y931" s="193" t="str">
        <f>IF($Q931="","",IF(COUNTIFS($Q$2:$Q$1300,$Q931,$U$2:$U$1300,"&gt;"&amp;$U931)&gt;0,0,IF(AND(ISNUMBER($F931),ISNUMBER($X931)),IF(ABS($F931-$X931)&gt;_QA!$C$6,1,0),IF($F931&amp;""=$X931&amp;"",0,1))))</f>
        <v/>
      </c>
    </row>
    <row r="932" spans="24:25" x14ac:dyDescent="0.3">
      <c r="X932" s="193" t="str">
        <f>IF($Q932="","",IFERROR(INDEX(BD_KPIs!$F$2:$F$1300,MATCH($Q932,BD_KPIs!$Q$2:$Q$1300,0)),"n/d"))</f>
        <v/>
      </c>
      <c r="Y932" s="193" t="str">
        <f>IF($Q932="","",IF(COUNTIFS($Q$2:$Q$1300,$Q932,$U$2:$U$1300,"&gt;"&amp;$U932)&gt;0,0,IF(AND(ISNUMBER($F932),ISNUMBER($X932)),IF(ABS($F932-$X932)&gt;_QA!$C$6,1,0),IF($F932&amp;""=$X932&amp;"",0,1))))</f>
        <v/>
      </c>
    </row>
    <row r="933" spans="24:25" x14ac:dyDescent="0.3">
      <c r="X933" s="193" t="str">
        <f>IF($Q933="","",IFERROR(INDEX(BD_KPIs!$F$2:$F$1300,MATCH($Q933,BD_KPIs!$Q$2:$Q$1300,0)),"n/d"))</f>
        <v/>
      </c>
      <c r="Y933" s="193" t="str">
        <f>IF($Q933="","",IF(COUNTIFS($Q$2:$Q$1300,$Q933,$U$2:$U$1300,"&gt;"&amp;$U933)&gt;0,0,IF(AND(ISNUMBER($F933),ISNUMBER($X933)),IF(ABS($F933-$X933)&gt;_QA!$C$6,1,0),IF($F933&amp;""=$X933&amp;"",0,1))))</f>
        <v/>
      </c>
    </row>
    <row r="934" spans="24:25" x14ac:dyDescent="0.3">
      <c r="X934" s="193" t="str">
        <f>IF($Q934="","",IFERROR(INDEX(BD_KPIs!$F$2:$F$1300,MATCH($Q934,BD_KPIs!$Q$2:$Q$1300,0)),"n/d"))</f>
        <v/>
      </c>
      <c r="Y934" s="193" t="str">
        <f>IF($Q934="","",IF(COUNTIFS($Q$2:$Q$1300,$Q934,$U$2:$U$1300,"&gt;"&amp;$U934)&gt;0,0,IF(AND(ISNUMBER($F934),ISNUMBER($X934)),IF(ABS($F934-$X934)&gt;_QA!$C$6,1,0),IF($F934&amp;""=$X934&amp;"",0,1))))</f>
        <v/>
      </c>
    </row>
    <row r="935" spans="24:25" x14ac:dyDescent="0.3">
      <c r="X935" s="193" t="str">
        <f>IF($Q935="","",IFERROR(INDEX(BD_KPIs!$F$2:$F$1300,MATCH($Q935,BD_KPIs!$Q$2:$Q$1300,0)),"n/d"))</f>
        <v/>
      </c>
      <c r="Y935" s="193" t="str">
        <f>IF($Q935="","",IF(COUNTIFS($Q$2:$Q$1300,$Q935,$U$2:$U$1300,"&gt;"&amp;$U935)&gt;0,0,IF(AND(ISNUMBER($F935),ISNUMBER($X935)),IF(ABS($F935-$X935)&gt;_QA!$C$6,1,0),IF($F935&amp;""=$X935&amp;"",0,1))))</f>
        <v/>
      </c>
    </row>
    <row r="936" spans="24:25" x14ac:dyDescent="0.3">
      <c r="X936" s="193" t="str">
        <f>IF($Q936="","",IFERROR(INDEX(BD_KPIs!$F$2:$F$1300,MATCH($Q936,BD_KPIs!$Q$2:$Q$1300,0)),"n/d"))</f>
        <v/>
      </c>
      <c r="Y936" s="193" t="str">
        <f>IF($Q936="","",IF(COUNTIFS($Q$2:$Q$1300,$Q936,$U$2:$U$1300,"&gt;"&amp;$U936)&gt;0,0,IF(AND(ISNUMBER($F936),ISNUMBER($X936)),IF(ABS($F936-$X936)&gt;_QA!$C$6,1,0),IF($F936&amp;""=$X936&amp;"",0,1))))</f>
        <v/>
      </c>
    </row>
    <row r="937" spans="24:25" x14ac:dyDescent="0.3">
      <c r="X937" s="193" t="str">
        <f>IF($Q937="","",IFERROR(INDEX(BD_KPIs!$F$2:$F$1300,MATCH($Q937,BD_KPIs!$Q$2:$Q$1300,0)),"n/d"))</f>
        <v/>
      </c>
      <c r="Y937" s="193" t="str">
        <f>IF($Q937="","",IF(COUNTIFS($Q$2:$Q$1300,$Q937,$U$2:$U$1300,"&gt;"&amp;$U937)&gt;0,0,IF(AND(ISNUMBER($F937),ISNUMBER($X937)),IF(ABS($F937-$X937)&gt;_QA!$C$6,1,0),IF($F937&amp;""=$X937&amp;"",0,1))))</f>
        <v/>
      </c>
    </row>
    <row r="938" spans="24:25" x14ac:dyDescent="0.3">
      <c r="X938" s="193" t="str">
        <f>IF($Q938="","",IFERROR(INDEX(BD_KPIs!$F$2:$F$1300,MATCH($Q938,BD_KPIs!$Q$2:$Q$1300,0)),"n/d"))</f>
        <v/>
      </c>
      <c r="Y938" s="193" t="str">
        <f>IF($Q938="","",IF(COUNTIFS($Q$2:$Q$1300,$Q938,$U$2:$U$1300,"&gt;"&amp;$U938)&gt;0,0,IF(AND(ISNUMBER($F938),ISNUMBER($X938)),IF(ABS($F938-$X938)&gt;_QA!$C$6,1,0),IF($F938&amp;""=$X938&amp;"",0,1))))</f>
        <v/>
      </c>
    </row>
    <row r="939" spans="24:25" x14ac:dyDescent="0.3">
      <c r="X939" s="193" t="str">
        <f>IF($Q939="","",IFERROR(INDEX(BD_KPIs!$F$2:$F$1300,MATCH($Q939,BD_KPIs!$Q$2:$Q$1300,0)),"n/d"))</f>
        <v/>
      </c>
      <c r="Y939" s="193" t="str">
        <f>IF($Q939="","",IF(COUNTIFS($Q$2:$Q$1300,$Q939,$U$2:$U$1300,"&gt;"&amp;$U939)&gt;0,0,IF(AND(ISNUMBER($F939),ISNUMBER($X939)),IF(ABS($F939-$X939)&gt;_QA!$C$6,1,0),IF($F939&amp;""=$X939&amp;"",0,1))))</f>
        <v/>
      </c>
    </row>
    <row r="940" spans="24:25" x14ac:dyDescent="0.3">
      <c r="X940" s="193" t="str">
        <f>IF($Q940="","",IFERROR(INDEX(BD_KPIs!$F$2:$F$1300,MATCH($Q940,BD_KPIs!$Q$2:$Q$1300,0)),"n/d"))</f>
        <v/>
      </c>
      <c r="Y940" s="193" t="str">
        <f>IF($Q940="","",IF(COUNTIFS($Q$2:$Q$1300,$Q940,$U$2:$U$1300,"&gt;"&amp;$U940)&gt;0,0,IF(AND(ISNUMBER($F940),ISNUMBER($X940)),IF(ABS($F940-$X940)&gt;_QA!$C$6,1,0),IF($F940&amp;""=$X940&amp;"",0,1))))</f>
        <v/>
      </c>
    </row>
    <row r="941" spans="24:25" x14ac:dyDescent="0.3">
      <c r="X941" s="193" t="str">
        <f>IF($Q941="","",IFERROR(INDEX(BD_KPIs!$F$2:$F$1300,MATCH($Q941,BD_KPIs!$Q$2:$Q$1300,0)),"n/d"))</f>
        <v/>
      </c>
      <c r="Y941" s="193" t="str">
        <f>IF($Q941="","",IF(COUNTIFS($Q$2:$Q$1300,$Q941,$U$2:$U$1300,"&gt;"&amp;$U941)&gt;0,0,IF(AND(ISNUMBER($F941),ISNUMBER($X941)),IF(ABS($F941-$X941)&gt;_QA!$C$6,1,0),IF($F941&amp;""=$X941&amp;"",0,1))))</f>
        <v/>
      </c>
    </row>
    <row r="942" spans="24:25" x14ac:dyDescent="0.3">
      <c r="X942" s="193" t="str">
        <f>IF($Q942="","",IFERROR(INDEX(BD_KPIs!$F$2:$F$1300,MATCH($Q942,BD_KPIs!$Q$2:$Q$1300,0)),"n/d"))</f>
        <v/>
      </c>
      <c r="Y942" s="193" t="str">
        <f>IF($Q942="","",IF(COUNTIFS($Q$2:$Q$1300,$Q942,$U$2:$U$1300,"&gt;"&amp;$U942)&gt;0,0,IF(AND(ISNUMBER($F942),ISNUMBER($X942)),IF(ABS($F942-$X942)&gt;_QA!$C$6,1,0),IF($F942&amp;""=$X942&amp;"",0,1))))</f>
        <v/>
      </c>
    </row>
    <row r="943" spans="24:25" x14ac:dyDescent="0.3">
      <c r="X943" s="193" t="str">
        <f>IF($Q943="","",IFERROR(INDEX(BD_KPIs!$F$2:$F$1300,MATCH($Q943,BD_KPIs!$Q$2:$Q$1300,0)),"n/d"))</f>
        <v/>
      </c>
      <c r="Y943" s="193" t="str">
        <f>IF($Q943="","",IF(COUNTIFS($Q$2:$Q$1300,$Q943,$U$2:$U$1300,"&gt;"&amp;$U943)&gt;0,0,IF(AND(ISNUMBER($F943),ISNUMBER($X943)),IF(ABS($F943-$X943)&gt;_QA!$C$6,1,0),IF($F943&amp;""=$X943&amp;"",0,1))))</f>
        <v/>
      </c>
    </row>
    <row r="944" spans="24:25" x14ac:dyDescent="0.3">
      <c r="X944" s="193" t="str">
        <f>IF($Q944="","",IFERROR(INDEX(BD_KPIs!$F$2:$F$1300,MATCH($Q944,BD_KPIs!$Q$2:$Q$1300,0)),"n/d"))</f>
        <v/>
      </c>
      <c r="Y944" s="193" t="str">
        <f>IF($Q944="","",IF(COUNTIFS($Q$2:$Q$1300,$Q944,$U$2:$U$1300,"&gt;"&amp;$U944)&gt;0,0,IF(AND(ISNUMBER($F944),ISNUMBER($X944)),IF(ABS($F944-$X944)&gt;_QA!$C$6,1,0),IF($F944&amp;""=$X944&amp;"",0,1))))</f>
        <v/>
      </c>
    </row>
    <row r="945" spans="24:25" x14ac:dyDescent="0.3">
      <c r="X945" s="193" t="str">
        <f>IF($Q945="","",IFERROR(INDEX(BD_KPIs!$F$2:$F$1300,MATCH($Q945,BD_KPIs!$Q$2:$Q$1300,0)),"n/d"))</f>
        <v/>
      </c>
      <c r="Y945" s="193" t="str">
        <f>IF($Q945="","",IF(COUNTIFS($Q$2:$Q$1300,$Q945,$U$2:$U$1300,"&gt;"&amp;$U945)&gt;0,0,IF(AND(ISNUMBER($F945),ISNUMBER($X945)),IF(ABS($F945-$X945)&gt;_QA!$C$6,1,0),IF($F945&amp;""=$X945&amp;"",0,1))))</f>
        <v/>
      </c>
    </row>
    <row r="946" spans="24:25" x14ac:dyDescent="0.3">
      <c r="X946" s="193" t="str">
        <f>IF($Q946="","",IFERROR(INDEX(BD_KPIs!$F$2:$F$1300,MATCH($Q946,BD_KPIs!$Q$2:$Q$1300,0)),"n/d"))</f>
        <v/>
      </c>
      <c r="Y946" s="193" t="str">
        <f>IF($Q946="","",IF(COUNTIFS($Q$2:$Q$1300,$Q946,$U$2:$U$1300,"&gt;"&amp;$U946)&gt;0,0,IF(AND(ISNUMBER($F946),ISNUMBER($X946)),IF(ABS($F946-$X946)&gt;_QA!$C$6,1,0),IF($F946&amp;""=$X946&amp;"",0,1))))</f>
        <v/>
      </c>
    </row>
    <row r="947" spans="24:25" x14ac:dyDescent="0.3">
      <c r="X947" s="193" t="str">
        <f>IF($Q947="","",IFERROR(INDEX(BD_KPIs!$F$2:$F$1300,MATCH($Q947,BD_KPIs!$Q$2:$Q$1300,0)),"n/d"))</f>
        <v/>
      </c>
      <c r="Y947" s="193" t="str">
        <f>IF($Q947="","",IF(COUNTIFS($Q$2:$Q$1300,$Q947,$U$2:$U$1300,"&gt;"&amp;$U947)&gt;0,0,IF(AND(ISNUMBER($F947),ISNUMBER($X947)),IF(ABS($F947-$X947)&gt;_QA!$C$6,1,0),IF($F947&amp;""=$X947&amp;"",0,1))))</f>
        <v/>
      </c>
    </row>
    <row r="948" spans="24:25" x14ac:dyDescent="0.3">
      <c r="X948" s="193" t="str">
        <f>IF($Q948="","",IFERROR(INDEX(BD_KPIs!$F$2:$F$1300,MATCH($Q948,BD_KPIs!$Q$2:$Q$1300,0)),"n/d"))</f>
        <v/>
      </c>
      <c r="Y948" s="193" t="str">
        <f>IF($Q948="","",IF(COUNTIFS($Q$2:$Q$1300,$Q948,$U$2:$U$1300,"&gt;"&amp;$U948)&gt;0,0,IF(AND(ISNUMBER($F948),ISNUMBER($X948)),IF(ABS($F948-$X948)&gt;_QA!$C$6,1,0),IF($F948&amp;""=$X948&amp;"",0,1))))</f>
        <v/>
      </c>
    </row>
    <row r="949" spans="24:25" x14ac:dyDescent="0.3">
      <c r="X949" s="193" t="str">
        <f>IF($Q949="","",IFERROR(INDEX(BD_KPIs!$F$2:$F$1300,MATCH($Q949,BD_KPIs!$Q$2:$Q$1300,0)),"n/d"))</f>
        <v/>
      </c>
      <c r="Y949" s="193" t="str">
        <f>IF($Q949="","",IF(COUNTIFS($Q$2:$Q$1300,$Q949,$U$2:$U$1300,"&gt;"&amp;$U949)&gt;0,0,IF(AND(ISNUMBER($F949),ISNUMBER($X949)),IF(ABS($F949-$X949)&gt;_QA!$C$6,1,0),IF($F949&amp;""=$X949&amp;"",0,1))))</f>
        <v/>
      </c>
    </row>
    <row r="950" spans="24:25" x14ac:dyDescent="0.3">
      <c r="X950" s="193" t="str">
        <f>IF($Q950="","",IFERROR(INDEX(BD_KPIs!$F$2:$F$1300,MATCH($Q950,BD_KPIs!$Q$2:$Q$1300,0)),"n/d"))</f>
        <v/>
      </c>
      <c r="Y950" s="193" t="str">
        <f>IF($Q950="","",IF(COUNTIFS($Q$2:$Q$1300,$Q950,$U$2:$U$1300,"&gt;"&amp;$U950)&gt;0,0,IF(AND(ISNUMBER($F950),ISNUMBER($X950)),IF(ABS($F950-$X950)&gt;_QA!$C$6,1,0),IF($F950&amp;""=$X950&amp;"",0,1))))</f>
        <v/>
      </c>
    </row>
    <row r="951" spans="24:25" x14ac:dyDescent="0.3">
      <c r="X951" s="193" t="str">
        <f>IF($Q951="","",IFERROR(INDEX(BD_KPIs!$F$2:$F$1300,MATCH($Q951,BD_KPIs!$Q$2:$Q$1300,0)),"n/d"))</f>
        <v/>
      </c>
      <c r="Y951" s="193" t="str">
        <f>IF($Q951="","",IF(COUNTIFS($Q$2:$Q$1300,$Q951,$U$2:$U$1300,"&gt;"&amp;$U951)&gt;0,0,IF(AND(ISNUMBER($F951),ISNUMBER($X951)),IF(ABS($F951-$X951)&gt;_QA!$C$6,1,0),IF($F951&amp;""=$X951&amp;"",0,1))))</f>
        <v/>
      </c>
    </row>
    <row r="952" spans="24:25" x14ac:dyDescent="0.3">
      <c r="X952" s="193" t="str">
        <f>IF($Q952="","",IFERROR(INDEX(BD_KPIs!$F$2:$F$1300,MATCH($Q952,BD_KPIs!$Q$2:$Q$1300,0)),"n/d"))</f>
        <v/>
      </c>
      <c r="Y952" s="193" t="str">
        <f>IF($Q952="","",IF(COUNTIFS($Q$2:$Q$1300,$Q952,$U$2:$U$1300,"&gt;"&amp;$U952)&gt;0,0,IF(AND(ISNUMBER($F952),ISNUMBER($X952)),IF(ABS($F952-$X952)&gt;_QA!$C$6,1,0),IF($F952&amp;""=$X952&amp;"",0,1))))</f>
        <v/>
      </c>
    </row>
    <row r="953" spans="24:25" x14ac:dyDescent="0.3">
      <c r="X953" s="193" t="str">
        <f>IF($Q953="","",IFERROR(INDEX(BD_KPIs!$F$2:$F$1300,MATCH($Q953,BD_KPIs!$Q$2:$Q$1300,0)),"n/d"))</f>
        <v/>
      </c>
      <c r="Y953" s="193" t="str">
        <f>IF($Q953="","",IF(COUNTIFS($Q$2:$Q$1300,$Q953,$U$2:$U$1300,"&gt;"&amp;$U953)&gt;0,0,IF(AND(ISNUMBER($F953),ISNUMBER($X953)),IF(ABS($F953-$X953)&gt;_QA!$C$6,1,0),IF($F953&amp;""=$X953&amp;"",0,1))))</f>
        <v/>
      </c>
    </row>
    <row r="954" spans="24:25" x14ac:dyDescent="0.3">
      <c r="X954" s="193" t="str">
        <f>IF($Q954="","",IFERROR(INDEX(BD_KPIs!$F$2:$F$1300,MATCH($Q954,BD_KPIs!$Q$2:$Q$1300,0)),"n/d"))</f>
        <v/>
      </c>
      <c r="Y954" s="193" t="str">
        <f>IF($Q954="","",IF(COUNTIFS($Q$2:$Q$1300,$Q954,$U$2:$U$1300,"&gt;"&amp;$U954)&gt;0,0,IF(AND(ISNUMBER($F954),ISNUMBER($X954)),IF(ABS($F954-$X954)&gt;_QA!$C$6,1,0),IF($F954&amp;""=$X954&amp;"",0,1))))</f>
        <v/>
      </c>
    </row>
    <row r="955" spans="24:25" x14ac:dyDescent="0.3">
      <c r="X955" s="193" t="str">
        <f>IF($Q955="","",IFERROR(INDEX(BD_KPIs!$F$2:$F$1300,MATCH($Q955,BD_KPIs!$Q$2:$Q$1300,0)),"n/d"))</f>
        <v/>
      </c>
      <c r="Y955" s="193" t="str">
        <f>IF($Q955="","",IF(COUNTIFS($Q$2:$Q$1300,$Q955,$U$2:$U$1300,"&gt;"&amp;$U955)&gt;0,0,IF(AND(ISNUMBER($F955),ISNUMBER($X955)),IF(ABS($F955-$X955)&gt;_QA!$C$6,1,0),IF($F955&amp;""=$X955&amp;"",0,1))))</f>
        <v/>
      </c>
    </row>
    <row r="956" spans="24:25" x14ac:dyDescent="0.3">
      <c r="X956" s="193" t="str">
        <f>IF($Q956="","",IFERROR(INDEX(BD_KPIs!$F$2:$F$1300,MATCH($Q956,BD_KPIs!$Q$2:$Q$1300,0)),"n/d"))</f>
        <v/>
      </c>
      <c r="Y956" s="193" t="str">
        <f>IF($Q956="","",IF(COUNTIFS($Q$2:$Q$1300,$Q956,$U$2:$U$1300,"&gt;"&amp;$U956)&gt;0,0,IF(AND(ISNUMBER($F956),ISNUMBER($X956)),IF(ABS($F956-$X956)&gt;_QA!$C$6,1,0),IF($F956&amp;""=$X956&amp;"",0,1))))</f>
        <v/>
      </c>
    </row>
    <row r="957" spans="24:25" x14ac:dyDescent="0.3">
      <c r="X957" s="193" t="str">
        <f>IF($Q957="","",IFERROR(INDEX(BD_KPIs!$F$2:$F$1300,MATCH($Q957,BD_KPIs!$Q$2:$Q$1300,0)),"n/d"))</f>
        <v/>
      </c>
      <c r="Y957" s="193" t="str">
        <f>IF($Q957="","",IF(COUNTIFS($Q$2:$Q$1300,$Q957,$U$2:$U$1300,"&gt;"&amp;$U957)&gt;0,0,IF(AND(ISNUMBER($F957),ISNUMBER($X957)),IF(ABS($F957-$X957)&gt;_QA!$C$6,1,0),IF($F957&amp;""=$X957&amp;"",0,1))))</f>
        <v/>
      </c>
    </row>
    <row r="958" spans="24:25" x14ac:dyDescent="0.3">
      <c r="X958" s="193" t="str">
        <f>IF($Q958="","",IFERROR(INDEX(BD_KPIs!$F$2:$F$1300,MATCH($Q958,BD_KPIs!$Q$2:$Q$1300,0)),"n/d"))</f>
        <v/>
      </c>
      <c r="Y958" s="193" t="str">
        <f>IF($Q958="","",IF(COUNTIFS($Q$2:$Q$1300,$Q958,$U$2:$U$1300,"&gt;"&amp;$U958)&gt;0,0,IF(AND(ISNUMBER($F958),ISNUMBER($X958)),IF(ABS($F958-$X958)&gt;_QA!$C$6,1,0),IF($F958&amp;""=$X958&amp;"",0,1))))</f>
        <v/>
      </c>
    </row>
    <row r="959" spans="24:25" x14ac:dyDescent="0.3">
      <c r="X959" s="193" t="str">
        <f>IF($Q959="","",IFERROR(INDEX(BD_KPIs!$F$2:$F$1300,MATCH($Q959,BD_KPIs!$Q$2:$Q$1300,0)),"n/d"))</f>
        <v/>
      </c>
      <c r="Y959" s="193" t="str">
        <f>IF($Q959="","",IF(COUNTIFS($Q$2:$Q$1300,$Q959,$U$2:$U$1300,"&gt;"&amp;$U959)&gt;0,0,IF(AND(ISNUMBER($F959),ISNUMBER($X959)),IF(ABS($F959-$X959)&gt;_QA!$C$6,1,0),IF($F959&amp;""=$X959&amp;"",0,1))))</f>
        <v/>
      </c>
    </row>
    <row r="960" spans="24:25" x14ac:dyDescent="0.3">
      <c r="X960" s="193" t="str">
        <f>IF($Q960="","",IFERROR(INDEX(BD_KPIs!$F$2:$F$1300,MATCH($Q960,BD_KPIs!$Q$2:$Q$1300,0)),"n/d"))</f>
        <v/>
      </c>
      <c r="Y960" s="193" t="str">
        <f>IF($Q960="","",IF(COUNTIFS($Q$2:$Q$1300,$Q960,$U$2:$U$1300,"&gt;"&amp;$U960)&gt;0,0,IF(AND(ISNUMBER($F960),ISNUMBER($X960)),IF(ABS($F960-$X960)&gt;_QA!$C$6,1,0),IF($F960&amp;""=$X960&amp;"",0,1))))</f>
        <v/>
      </c>
    </row>
    <row r="961" spans="24:25" x14ac:dyDescent="0.3">
      <c r="X961" s="193" t="str">
        <f>IF($Q961="","",IFERROR(INDEX(BD_KPIs!$F$2:$F$1300,MATCH($Q961,BD_KPIs!$Q$2:$Q$1300,0)),"n/d"))</f>
        <v/>
      </c>
      <c r="Y961" s="193" t="str">
        <f>IF($Q961="","",IF(COUNTIFS($Q$2:$Q$1300,$Q961,$U$2:$U$1300,"&gt;"&amp;$U961)&gt;0,0,IF(AND(ISNUMBER($F961),ISNUMBER($X961)),IF(ABS($F961-$X961)&gt;_QA!$C$6,1,0),IF($F961&amp;""=$X961&amp;"",0,1))))</f>
        <v/>
      </c>
    </row>
    <row r="962" spans="24:25" x14ac:dyDescent="0.3">
      <c r="X962" s="193" t="str">
        <f>IF($Q962="","",IFERROR(INDEX(BD_KPIs!$F$2:$F$1300,MATCH($Q962,BD_KPIs!$Q$2:$Q$1300,0)),"n/d"))</f>
        <v/>
      </c>
      <c r="Y962" s="193" t="str">
        <f>IF($Q962="","",IF(COUNTIFS($Q$2:$Q$1300,$Q962,$U$2:$U$1300,"&gt;"&amp;$U962)&gt;0,0,IF(AND(ISNUMBER($F962),ISNUMBER($X962)),IF(ABS($F962-$X962)&gt;_QA!$C$6,1,0),IF($F962&amp;""=$X962&amp;"",0,1))))</f>
        <v/>
      </c>
    </row>
    <row r="963" spans="24:25" x14ac:dyDescent="0.3">
      <c r="X963" s="193" t="str">
        <f>IF($Q963="","",IFERROR(INDEX(BD_KPIs!$F$2:$F$1300,MATCH($Q963,BD_KPIs!$Q$2:$Q$1300,0)),"n/d"))</f>
        <v/>
      </c>
      <c r="Y963" s="193" t="str">
        <f>IF($Q963="","",IF(COUNTIFS($Q$2:$Q$1300,$Q963,$U$2:$U$1300,"&gt;"&amp;$U963)&gt;0,0,IF(AND(ISNUMBER($F963),ISNUMBER($X963)),IF(ABS($F963-$X963)&gt;_QA!$C$6,1,0),IF($F963&amp;""=$X963&amp;"",0,1))))</f>
        <v/>
      </c>
    </row>
    <row r="964" spans="24:25" x14ac:dyDescent="0.3">
      <c r="X964" s="193" t="str">
        <f>IF($Q964="","",IFERROR(INDEX(BD_KPIs!$F$2:$F$1300,MATCH($Q964,BD_KPIs!$Q$2:$Q$1300,0)),"n/d"))</f>
        <v/>
      </c>
      <c r="Y964" s="193" t="str">
        <f>IF($Q964="","",IF(COUNTIFS($Q$2:$Q$1300,$Q964,$U$2:$U$1300,"&gt;"&amp;$U964)&gt;0,0,IF(AND(ISNUMBER($F964),ISNUMBER($X964)),IF(ABS($F964-$X964)&gt;_QA!$C$6,1,0),IF($F964&amp;""=$X964&amp;"",0,1))))</f>
        <v/>
      </c>
    </row>
    <row r="965" spans="24:25" x14ac:dyDescent="0.3">
      <c r="X965" s="193" t="str">
        <f>IF($Q965="","",IFERROR(INDEX(BD_KPIs!$F$2:$F$1300,MATCH($Q965,BD_KPIs!$Q$2:$Q$1300,0)),"n/d"))</f>
        <v/>
      </c>
      <c r="Y965" s="193" t="str">
        <f>IF($Q965="","",IF(COUNTIFS($Q$2:$Q$1300,$Q965,$U$2:$U$1300,"&gt;"&amp;$U965)&gt;0,0,IF(AND(ISNUMBER($F965),ISNUMBER($X965)),IF(ABS($F965-$X965)&gt;_QA!$C$6,1,0),IF($F965&amp;""=$X965&amp;"",0,1))))</f>
        <v/>
      </c>
    </row>
    <row r="966" spans="24:25" x14ac:dyDescent="0.3">
      <c r="X966" s="193" t="str">
        <f>IF($Q966="","",IFERROR(INDEX(BD_KPIs!$F$2:$F$1300,MATCH($Q966,BD_KPIs!$Q$2:$Q$1300,0)),"n/d"))</f>
        <v/>
      </c>
      <c r="Y966" s="193" t="str">
        <f>IF($Q966="","",IF(COUNTIFS($Q$2:$Q$1300,$Q966,$U$2:$U$1300,"&gt;"&amp;$U966)&gt;0,0,IF(AND(ISNUMBER($F966),ISNUMBER($X966)),IF(ABS($F966-$X966)&gt;_QA!$C$6,1,0),IF($F966&amp;""=$X966&amp;"",0,1))))</f>
        <v/>
      </c>
    </row>
    <row r="967" spans="24:25" x14ac:dyDescent="0.3">
      <c r="X967" s="193" t="str">
        <f>IF($Q967="","",IFERROR(INDEX(BD_KPIs!$F$2:$F$1300,MATCH($Q967,BD_KPIs!$Q$2:$Q$1300,0)),"n/d"))</f>
        <v/>
      </c>
      <c r="Y967" s="193" t="str">
        <f>IF($Q967="","",IF(COUNTIFS($Q$2:$Q$1300,$Q967,$U$2:$U$1300,"&gt;"&amp;$U967)&gt;0,0,IF(AND(ISNUMBER($F967),ISNUMBER($X967)),IF(ABS($F967-$X967)&gt;_QA!$C$6,1,0),IF($F967&amp;""=$X967&amp;"",0,1))))</f>
        <v/>
      </c>
    </row>
    <row r="968" spans="24:25" x14ac:dyDescent="0.3">
      <c r="X968" s="193" t="str">
        <f>IF($Q968="","",IFERROR(INDEX(BD_KPIs!$F$2:$F$1300,MATCH($Q968,BD_KPIs!$Q$2:$Q$1300,0)),"n/d"))</f>
        <v/>
      </c>
      <c r="Y968" s="193" t="str">
        <f>IF($Q968="","",IF(COUNTIFS($Q$2:$Q$1300,$Q968,$U$2:$U$1300,"&gt;"&amp;$U968)&gt;0,0,IF(AND(ISNUMBER($F968),ISNUMBER($X968)),IF(ABS($F968-$X968)&gt;_QA!$C$6,1,0),IF($F968&amp;""=$X968&amp;"",0,1))))</f>
        <v/>
      </c>
    </row>
    <row r="969" spans="24:25" x14ac:dyDescent="0.3">
      <c r="X969" s="193" t="str">
        <f>IF($Q969="","",IFERROR(INDEX(BD_KPIs!$F$2:$F$1300,MATCH($Q969,BD_KPIs!$Q$2:$Q$1300,0)),"n/d"))</f>
        <v/>
      </c>
      <c r="Y969" s="193" t="str">
        <f>IF($Q969="","",IF(COUNTIFS($Q$2:$Q$1300,$Q969,$U$2:$U$1300,"&gt;"&amp;$U969)&gt;0,0,IF(AND(ISNUMBER($F969),ISNUMBER($X969)),IF(ABS($F969-$X969)&gt;_QA!$C$6,1,0),IF($F969&amp;""=$X969&amp;"",0,1))))</f>
        <v/>
      </c>
    </row>
    <row r="970" spans="24:25" x14ac:dyDescent="0.3">
      <c r="X970" s="193" t="str">
        <f>IF($Q970="","",IFERROR(INDEX(BD_KPIs!$F$2:$F$1300,MATCH($Q970,BD_KPIs!$Q$2:$Q$1300,0)),"n/d"))</f>
        <v/>
      </c>
      <c r="Y970" s="193" t="str">
        <f>IF($Q970="","",IF(COUNTIFS($Q$2:$Q$1300,$Q970,$U$2:$U$1300,"&gt;"&amp;$U970)&gt;0,0,IF(AND(ISNUMBER($F970),ISNUMBER($X970)),IF(ABS($F970-$X970)&gt;_QA!$C$6,1,0),IF($F970&amp;""=$X970&amp;"",0,1))))</f>
        <v/>
      </c>
    </row>
    <row r="971" spans="24:25" x14ac:dyDescent="0.3">
      <c r="X971" s="193" t="str">
        <f>IF($Q971="","",IFERROR(INDEX(BD_KPIs!$F$2:$F$1300,MATCH($Q971,BD_KPIs!$Q$2:$Q$1300,0)),"n/d"))</f>
        <v/>
      </c>
      <c r="Y971" s="193" t="str">
        <f>IF($Q971="","",IF(COUNTIFS($Q$2:$Q$1300,$Q971,$U$2:$U$1300,"&gt;"&amp;$U971)&gt;0,0,IF(AND(ISNUMBER($F971),ISNUMBER($X971)),IF(ABS($F971-$X971)&gt;_QA!$C$6,1,0),IF($F971&amp;""=$X971&amp;"",0,1))))</f>
        <v/>
      </c>
    </row>
    <row r="972" spans="24:25" x14ac:dyDescent="0.3">
      <c r="X972" s="193" t="str">
        <f>IF($Q972="","",IFERROR(INDEX(BD_KPIs!$F$2:$F$1300,MATCH($Q972,BD_KPIs!$Q$2:$Q$1300,0)),"n/d"))</f>
        <v/>
      </c>
      <c r="Y972" s="193" t="str">
        <f>IF($Q972="","",IF(COUNTIFS($Q$2:$Q$1300,$Q972,$U$2:$U$1300,"&gt;"&amp;$U972)&gt;0,0,IF(AND(ISNUMBER($F972),ISNUMBER($X972)),IF(ABS($F972-$X972)&gt;_QA!$C$6,1,0),IF($F972&amp;""=$X972&amp;"",0,1))))</f>
        <v/>
      </c>
    </row>
    <row r="973" spans="24:25" x14ac:dyDescent="0.3">
      <c r="X973" s="193" t="str">
        <f>IF($Q973="","",IFERROR(INDEX(BD_KPIs!$F$2:$F$1300,MATCH($Q973,BD_KPIs!$Q$2:$Q$1300,0)),"n/d"))</f>
        <v/>
      </c>
      <c r="Y973" s="193" t="str">
        <f>IF($Q973="","",IF(COUNTIFS($Q$2:$Q$1300,$Q973,$U$2:$U$1300,"&gt;"&amp;$U973)&gt;0,0,IF(AND(ISNUMBER($F973),ISNUMBER($X973)),IF(ABS($F973-$X973)&gt;_QA!$C$6,1,0),IF($F973&amp;""=$X973&amp;"",0,1))))</f>
        <v/>
      </c>
    </row>
    <row r="974" spans="24:25" x14ac:dyDescent="0.3">
      <c r="X974" s="193" t="str">
        <f>IF($Q974="","",IFERROR(INDEX(BD_KPIs!$F$2:$F$1300,MATCH($Q974,BD_KPIs!$Q$2:$Q$1300,0)),"n/d"))</f>
        <v/>
      </c>
      <c r="Y974" s="193" t="str">
        <f>IF($Q974="","",IF(COUNTIFS($Q$2:$Q$1300,$Q974,$U$2:$U$1300,"&gt;"&amp;$U974)&gt;0,0,IF(AND(ISNUMBER($F974),ISNUMBER($X974)),IF(ABS($F974-$X974)&gt;_QA!$C$6,1,0),IF($F974&amp;""=$X974&amp;"",0,1))))</f>
        <v/>
      </c>
    </row>
    <row r="975" spans="24:25" x14ac:dyDescent="0.3">
      <c r="X975" s="193" t="str">
        <f>IF($Q975="","",IFERROR(INDEX(BD_KPIs!$F$2:$F$1300,MATCH($Q975,BD_KPIs!$Q$2:$Q$1300,0)),"n/d"))</f>
        <v/>
      </c>
      <c r="Y975" s="193" t="str">
        <f>IF($Q975="","",IF(COUNTIFS($Q$2:$Q$1300,$Q975,$U$2:$U$1300,"&gt;"&amp;$U975)&gt;0,0,IF(AND(ISNUMBER($F975),ISNUMBER($X975)),IF(ABS($F975-$X975)&gt;_QA!$C$6,1,0),IF($F975&amp;""=$X975&amp;"",0,1))))</f>
        <v/>
      </c>
    </row>
    <row r="976" spans="24:25" x14ac:dyDescent="0.3">
      <c r="X976" s="193" t="str">
        <f>IF($Q976="","",IFERROR(INDEX(BD_KPIs!$F$2:$F$1300,MATCH($Q976,BD_KPIs!$Q$2:$Q$1300,0)),"n/d"))</f>
        <v/>
      </c>
      <c r="Y976" s="193" t="str">
        <f>IF($Q976="","",IF(COUNTIFS($Q$2:$Q$1300,$Q976,$U$2:$U$1300,"&gt;"&amp;$U976)&gt;0,0,IF(AND(ISNUMBER($F976),ISNUMBER($X976)),IF(ABS($F976-$X976)&gt;_QA!$C$6,1,0),IF($F976&amp;""=$X976&amp;"",0,1))))</f>
        <v/>
      </c>
    </row>
    <row r="977" spans="24:25" x14ac:dyDescent="0.3">
      <c r="X977" s="193" t="str">
        <f>IF($Q977="","",IFERROR(INDEX(BD_KPIs!$F$2:$F$1300,MATCH($Q977,BD_KPIs!$Q$2:$Q$1300,0)),"n/d"))</f>
        <v/>
      </c>
      <c r="Y977" s="193" t="str">
        <f>IF($Q977="","",IF(COUNTIFS($Q$2:$Q$1300,$Q977,$U$2:$U$1300,"&gt;"&amp;$U977)&gt;0,0,IF(AND(ISNUMBER($F977),ISNUMBER($X977)),IF(ABS($F977-$X977)&gt;_QA!$C$6,1,0),IF($F977&amp;""=$X977&amp;"",0,1))))</f>
        <v/>
      </c>
    </row>
    <row r="978" spans="24:25" x14ac:dyDescent="0.3">
      <c r="X978" s="193" t="str">
        <f>IF($Q978="","",IFERROR(INDEX(BD_KPIs!$F$2:$F$1300,MATCH($Q978,BD_KPIs!$Q$2:$Q$1300,0)),"n/d"))</f>
        <v/>
      </c>
      <c r="Y978" s="193" t="str">
        <f>IF($Q978="","",IF(COUNTIFS($Q$2:$Q$1300,$Q978,$U$2:$U$1300,"&gt;"&amp;$U978)&gt;0,0,IF(AND(ISNUMBER($F978),ISNUMBER($X978)),IF(ABS($F978-$X978)&gt;_QA!$C$6,1,0),IF($F978&amp;""=$X978&amp;"",0,1))))</f>
        <v/>
      </c>
    </row>
    <row r="979" spans="24:25" x14ac:dyDescent="0.3">
      <c r="X979" s="193" t="str">
        <f>IF($Q979="","",IFERROR(INDEX(BD_KPIs!$F$2:$F$1300,MATCH($Q979,BD_KPIs!$Q$2:$Q$1300,0)),"n/d"))</f>
        <v/>
      </c>
      <c r="Y979" s="193" t="str">
        <f>IF($Q979="","",IF(COUNTIFS($Q$2:$Q$1300,$Q979,$U$2:$U$1300,"&gt;"&amp;$U979)&gt;0,0,IF(AND(ISNUMBER($F979),ISNUMBER($X979)),IF(ABS($F979-$X979)&gt;_QA!$C$6,1,0),IF($F979&amp;""=$X979&amp;"",0,1))))</f>
        <v/>
      </c>
    </row>
    <row r="980" spans="24:25" x14ac:dyDescent="0.3">
      <c r="X980" s="193" t="str">
        <f>IF($Q980="","",IFERROR(INDEX(BD_KPIs!$F$2:$F$1300,MATCH($Q980,BD_KPIs!$Q$2:$Q$1300,0)),"n/d"))</f>
        <v/>
      </c>
      <c r="Y980" s="193" t="str">
        <f>IF($Q980="","",IF(COUNTIFS($Q$2:$Q$1300,$Q980,$U$2:$U$1300,"&gt;"&amp;$U980)&gt;0,0,IF(AND(ISNUMBER($F980),ISNUMBER($X980)),IF(ABS($F980-$X980)&gt;_QA!$C$6,1,0),IF($F980&amp;""=$X980&amp;"",0,1))))</f>
        <v/>
      </c>
    </row>
    <row r="981" spans="24:25" x14ac:dyDescent="0.3">
      <c r="X981" s="193" t="str">
        <f>IF($Q981="","",IFERROR(INDEX(BD_KPIs!$F$2:$F$1300,MATCH($Q981,BD_KPIs!$Q$2:$Q$1300,0)),"n/d"))</f>
        <v/>
      </c>
      <c r="Y981" s="193" t="str">
        <f>IF($Q981="","",IF(COUNTIFS($Q$2:$Q$1300,$Q981,$U$2:$U$1300,"&gt;"&amp;$U981)&gt;0,0,IF(AND(ISNUMBER($F981),ISNUMBER($X981)),IF(ABS($F981-$X981)&gt;_QA!$C$6,1,0),IF($F981&amp;""=$X981&amp;"",0,1))))</f>
        <v/>
      </c>
    </row>
    <row r="982" spans="24:25" x14ac:dyDescent="0.3">
      <c r="X982" s="193" t="str">
        <f>IF($Q982="","",IFERROR(INDEX(BD_KPIs!$F$2:$F$1300,MATCH($Q982,BD_KPIs!$Q$2:$Q$1300,0)),"n/d"))</f>
        <v/>
      </c>
      <c r="Y982" s="193" t="str">
        <f>IF($Q982="","",IF(COUNTIFS($Q$2:$Q$1300,$Q982,$U$2:$U$1300,"&gt;"&amp;$U982)&gt;0,0,IF(AND(ISNUMBER($F982),ISNUMBER($X982)),IF(ABS($F982-$X982)&gt;_QA!$C$6,1,0),IF($F982&amp;""=$X982&amp;"",0,1))))</f>
        <v/>
      </c>
    </row>
    <row r="983" spans="24:25" x14ac:dyDescent="0.3">
      <c r="X983" s="193" t="str">
        <f>IF($Q983="","",IFERROR(INDEX(BD_KPIs!$F$2:$F$1300,MATCH($Q983,BD_KPIs!$Q$2:$Q$1300,0)),"n/d"))</f>
        <v/>
      </c>
      <c r="Y983" s="193" t="str">
        <f>IF($Q983="","",IF(COUNTIFS($Q$2:$Q$1300,$Q983,$U$2:$U$1300,"&gt;"&amp;$U983)&gt;0,0,IF(AND(ISNUMBER($F983),ISNUMBER($X983)),IF(ABS($F983-$X983)&gt;_QA!$C$6,1,0),IF($F983&amp;""=$X983&amp;"",0,1))))</f>
        <v/>
      </c>
    </row>
    <row r="984" spans="24:25" x14ac:dyDescent="0.3">
      <c r="X984" s="193" t="str">
        <f>IF($Q984="","",IFERROR(INDEX(BD_KPIs!$F$2:$F$1300,MATCH($Q984,BD_KPIs!$Q$2:$Q$1300,0)),"n/d"))</f>
        <v/>
      </c>
      <c r="Y984" s="193" t="str">
        <f>IF($Q984="","",IF(COUNTIFS($Q$2:$Q$1300,$Q984,$U$2:$U$1300,"&gt;"&amp;$U984)&gt;0,0,IF(AND(ISNUMBER($F984),ISNUMBER($X984)),IF(ABS($F984-$X984)&gt;_QA!$C$6,1,0),IF($F984&amp;""=$X984&amp;"",0,1))))</f>
        <v/>
      </c>
    </row>
    <row r="985" spans="24:25" x14ac:dyDescent="0.3">
      <c r="X985" s="193" t="str">
        <f>IF($Q985="","",IFERROR(INDEX(BD_KPIs!$F$2:$F$1300,MATCH($Q985,BD_KPIs!$Q$2:$Q$1300,0)),"n/d"))</f>
        <v/>
      </c>
      <c r="Y985" s="193" t="str">
        <f>IF($Q985="","",IF(COUNTIFS($Q$2:$Q$1300,$Q985,$U$2:$U$1300,"&gt;"&amp;$U985)&gt;0,0,IF(AND(ISNUMBER($F985),ISNUMBER($X985)),IF(ABS($F985-$X985)&gt;_QA!$C$6,1,0),IF($F985&amp;""=$X985&amp;"",0,1))))</f>
        <v/>
      </c>
    </row>
    <row r="986" spans="24:25" x14ac:dyDescent="0.3">
      <c r="X986" s="193" t="str">
        <f>IF($Q986="","",IFERROR(INDEX(BD_KPIs!$F$2:$F$1300,MATCH($Q986,BD_KPIs!$Q$2:$Q$1300,0)),"n/d"))</f>
        <v/>
      </c>
      <c r="Y986" s="193" t="str">
        <f>IF($Q986="","",IF(COUNTIFS($Q$2:$Q$1300,$Q986,$U$2:$U$1300,"&gt;"&amp;$U986)&gt;0,0,IF(AND(ISNUMBER($F986),ISNUMBER($X986)),IF(ABS($F986-$X986)&gt;_QA!$C$6,1,0),IF($F986&amp;""=$X986&amp;"",0,1))))</f>
        <v/>
      </c>
    </row>
    <row r="987" spans="24:25" x14ac:dyDescent="0.3">
      <c r="X987" s="193" t="str">
        <f>IF($Q987="","",IFERROR(INDEX(BD_KPIs!$F$2:$F$1300,MATCH($Q987,BD_KPIs!$Q$2:$Q$1300,0)),"n/d"))</f>
        <v/>
      </c>
      <c r="Y987" s="193" t="str">
        <f>IF($Q987="","",IF(COUNTIFS($Q$2:$Q$1300,$Q987,$U$2:$U$1300,"&gt;"&amp;$U987)&gt;0,0,IF(AND(ISNUMBER($F987),ISNUMBER($X987)),IF(ABS($F987-$X987)&gt;_QA!$C$6,1,0),IF($F987&amp;""=$X987&amp;"",0,1))))</f>
        <v/>
      </c>
    </row>
    <row r="988" spans="24:25" x14ac:dyDescent="0.3">
      <c r="X988" s="193" t="str">
        <f>IF($Q988="","",IFERROR(INDEX(BD_KPIs!$F$2:$F$1300,MATCH($Q988,BD_KPIs!$Q$2:$Q$1300,0)),"n/d"))</f>
        <v/>
      </c>
      <c r="Y988" s="193" t="str">
        <f>IF($Q988="","",IF(COUNTIFS($Q$2:$Q$1300,$Q988,$U$2:$U$1300,"&gt;"&amp;$U988)&gt;0,0,IF(AND(ISNUMBER($F988),ISNUMBER($X988)),IF(ABS($F988-$X988)&gt;_QA!$C$6,1,0),IF($F988&amp;""=$X988&amp;"",0,1))))</f>
        <v/>
      </c>
    </row>
    <row r="989" spans="24:25" x14ac:dyDescent="0.3">
      <c r="X989" s="193" t="str">
        <f>IF($Q989="","",IFERROR(INDEX(BD_KPIs!$F$2:$F$1300,MATCH($Q989,BD_KPIs!$Q$2:$Q$1300,0)),"n/d"))</f>
        <v/>
      </c>
      <c r="Y989" s="193" t="str">
        <f>IF($Q989="","",IF(COUNTIFS($Q$2:$Q$1300,$Q989,$U$2:$U$1300,"&gt;"&amp;$U989)&gt;0,0,IF(AND(ISNUMBER($F989),ISNUMBER($X989)),IF(ABS($F989-$X989)&gt;_QA!$C$6,1,0),IF($F989&amp;""=$X989&amp;"",0,1))))</f>
        <v/>
      </c>
    </row>
    <row r="990" spans="24:25" x14ac:dyDescent="0.3">
      <c r="X990" s="193" t="str">
        <f>IF($Q990="","",IFERROR(INDEX(BD_KPIs!$F$2:$F$1300,MATCH($Q990,BD_KPIs!$Q$2:$Q$1300,0)),"n/d"))</f>
        <v/>
      </c>
      <c r="Y990" s="193" t="str">
        <f>IF($Q990="","",IF(COUNTIFS($Q$2:$Q$1300,$Q990,$U$2:$U$1300,"&gt;"&amp;$U990)&gt;0,0,IF(AND(ISNUMBER($F990),ISNUMBER($X990)),IF(ABS($F990-$X990)&gt;_QA!$C$6,1,0),IF($F990&amp;""=$X990&amp;"",0,1))))</f>
        <v/>
      </c>
    </row>
    <row r="991" spans="24:25" x14ac:dyDescent="0.3">
      <c r="X991" s="193" t="str">
        <f>IF($Q991="","",IFERROR(INDEX(BD_KPIs!$F$2:$F$1300,MATCH($Q991,BD_KPIs!$Q$2:$Q$1300,0)),"n/d"))</f>
        <v/>
      </c>
      <c r="Y991" s="193" t="str">
        <f>IF($Q991="","",IF(COUNTIFS($Q$2:$Q$1300,$Q991,$U$2:$U$1300,"&gt;"&amp;$U991)&gt;0,0,IF(AND(ISNUMBER($F991),ISNUMBER($X991)),IF(ABS($F991-$X991)&gt;_QA!$C$6,1,0),IF($F991&amp;""=$X991&amp;"",0,1))))</f>
        <v/>
      </c>
    </row>
    <row r="992" spans="24:25" x14ac:dyDescent="0.3">
      <c r="X992" s="193" t="str">
        <f>IF($Q992="","",IFERROR(INDEX(BD_KPIs!$F$2:$F$1300,MATCH($Q992,BD_KPIs!$Q$2:$Q$1300,0)),"n/d"))</f>
        <v/>
      </c>
      <c r="Y992" s="193" t="str">
        <f>IF($Q992="","",IF(COUNTIFS($Q$2:$Q$1300,$Q992,$U$2:$U$1300,"&gt;"&amp;$U992)&gt;0,0,IF(AND(ISNUMBER($F992),ISNUMBER($X992)),IF(ABS($F992-$X992)&gt;_QA!$C$6,1,0),IF($F992&amp;""=$X992&amp;"",0,1))))</f>
        <v/>
      </c>
    </row>
    <row r="993" spans="24:25" x14ac:dyDescent="0.3">
      <c r="X993" s="193" t="str">
        <f>IF($Q993="","",IFERROR(INDEX(BD_KPIs!$F$2:$F$1300,MATCH($Q993,BD_KPIs!$Q$2:$Q$1300,0)),"n/d"))</f>
        <v/>
      </c>
      <c r="Y993" s="193" t="str">
        <f>IF($Q993="","",IF(COUNTIFS($Q$2:$Q$1300,$Q993,$U$2:$U$1300,"&gt;"&amp;$U993)&gt;0,0,IF(AND(ISNUMBER($F993),ISNUMBER($X993)),IF(ABS($F993-$X993)&gt;_QA!$C$6,1,0),IF($F993&amp;""=$X993&amp;"",0,1))))</f>
        <v/>
      </c>
    </row>
    <row r="994" spans="24:25" x14ac:dyDescent="0.3">
      <c r="X994" s="193" t="str">
        <f>IF($Q994="","",IFERROR(INDEX(BD_KPIs!$F$2:$F$1300,MATCH($Q994,BD_KPIs!$Q$2:$Q$1300,0)),"n/d"))</f>
        <v/>
      </c>
      <c r="Y994" s="193" t="str">
        <f>IF($Q994="","",IF(COUNTIFS($Q$2:$Q$1300,$Q994,$U$2:$U$1300,"&gt;"&amp;$U994)&gt;0,0,IF(AND(ISNUMBER($F994),ISNUMBER($X994)),IF(ABS($F994-$X994)&gt;_QA!$C$6,1,0),IF($F994&amp;""=$X994&amp;"",0,1))))</f>
        <v/>
      </c>
    </row>
    <row r="995" spans="24:25" x14ac:dyDescent="0.3">
      <c r="X995" s="193" t="str">
        <f>IF($Q995="","",IFERROR(INDEX(BD_KPIs!$F$2:$F$1300,MATCH($Q995,BD_KPIs!$Q$2:$Q$1300,0)),"n/d"))</f>
        <v/>
      </c>
      <c r="Y995" s="193" t="str">
        <f>IF($Q995="","",IF(COUNTIFS($Q$2:$Q$1300,$Q995,$U$2:$U$1300,"&gt;"&amp;$U995)&gt;0,0,IF(AND(ISNUMBER($F995),ISNUMBER($X995)),IF(ABS($F995-$X995)&gt;_QA!$C$6,1,0),IF($F995&amp;""=$X995&amp;"",0,1))))</f>
        <v/>
      </c>
    </row>
    <row r="996" spans="24:25" x14ac:dyDescent="0.3">
      <c r="X996" s="193" t="str">
        <f>IF($Q996="","",IFERROR(INDEX(BD_KPIs!$F$2:$F$1300,MATCH($Q996,BD_KPIs!$Q$2:$Q$1300,0)),"n/d"))</f>
        <v/>
      </c>
      <c r="Y996" s="193" t="str">
        <f>IF($Q996="","",IF(COUNTIFS($Q$2:$Q$1300,$Q996,$U$2:$U$1300,"&gt;"&amp;$U996)&gt;0,0,IF(AND(ISNUMBER($F996),ISNUMBER($X996)),IF(ABS($F996-$X996)&gt;_QA!$C$6,1,0),IF($F996&amp;""=$X996&amp;"",0,1))))</f>
        <v/>
      </c>
    </row>
    <row r="997" spans="24:25" x14ac:dyDescent="0.3">
      <c r="X997" s="193" t="str">
        <f>IF($Q997="","",IFERROR(INDEX(BD_KPIs!$F$2:$F$1300,MATCH($Q997,BD_KPIs!$Q$2:$Q$1300,0)),"n/d"))</f>
        <v/>
      </c>
      <c r="Y997" s="193" t="str">
        <f>IF($Q997="","",IF(COUNTIFS($Q$2:$Q$1300,$Q997,$U$2:$U$1300,"&gt;"&amp;$U997)&gt;0,0,IF(AND(ISNUMBER($F997),ISNUMBER($X997)),IF(ABS($F997-$X997)&gt;_QA!$C$6,1,0),IF($F997&amp;""=$X997&amp;"",0,1))))</f>
        <v/>
      </c>
    </row>
    <row r="998" spans="24:25" x14ac:dyDescent="0.3">
      <c r="X998" s="193" t="str">
        <f>IF($Q998="","",IFERROR(INDEX(BD_KPIs!$F$2:$F$1300,MATCH($Q998,BD_KPIs!$Q$2:$Q$1300,0)),"n/d"))</f>
        <v/>
      </c>
      <c r="Y998" s="193" t="str">
        <f>IF($Q998="","",IF(COUNTIFS($Q$2:$Q$1300,$Q998,$U$2:$U$1300,"&gt;"&amp;$U998)&gt;0,0,IF(AND(ISNUMBER($F998),ISNUMBER($X998)),IF(ABS($F998-$X998)&gt;_QA!$C$6,1,0),IF($F998&amp;""=$X998&amp;"",0,1))))</f>
        <v/>
      </c>
    </row>
    <row r="999" spans="24:25" x14ac:dyDescent="0.3">
      <c r="X999" s="193" t="str">
        <f>IF($Q999="","",IFERROR(INDEX(BD_KPIs!$F$2:$F$1300,MATCH($Q999,BD_KPIs!$Q$2:$Q$1300,0)),"n/d"))</f>
        <v/>
      </c>
      <c r="Y999" s="193" t="str">
        <f>IF($Q999="","",IF(COUNTIFS($Q$2:$Q$1300,$Q999,$U$2:$U$1300,"&gt;"&amp;$U999)&gt;0,0,IF(AND(ISNUMBER($F999),ISNUMBER($X999)),IF(ABS($F999-$X999)&gt;_QA!$C$6,1,0),IF($F999&amp;""=$X999&amp;"",0,1))))</f>
        <v/>
      </c>
    </row>
    <row r="1000" spans="24:25" x14ac:dyDescent="0.3">
      <c r="X1000" s="193" t="str">
        <f>IF($Q1000="","",IFERROR(INDEX(BD_KPIs!$F$2:$F$1300,MATCH($Q1000,BD_KPIs!$Q$2:$Q$1300,0)),"n/d"))</f>
        <v/>
      </c>
      <c r="Y1000" s="193" t="str">
        <f>IF($Q1000="","",IF(COUNTIFS($Q$2:$Q$1300,$Q1000,$U$2:$U$1300,"&gt;"&amp;$U1000)&gt;0,0,IF(AND(ISNUMBER($F1000),ISNUMBER($X1000)),IF(ABS($F1000-$X1000)&gt;_QA!$C$6,1,0),IF($F1000&amp;""=$X1000&amp;"",0,1))))</f>
        <v/>
      </c>
    </row>
    <row r="1001" spans="24:25" x14ac:dyDescent="0.3">
      <c r="X1001" s="193" t="str">
        <f>IF($Q1001="","",IFERROR(INDEX(BD_KPIs!$F$2:$F$1300,MATCH($Q1001,BD_KPIs!$Q$2:$Q$1300,0)),"n/d"))</f>
        <v/>
      </c>
      <c r="Y1001" s="193" t="str">
        <f>IF($Q1001="","",IF(COUNTIFS($Q$2:$Q$1300,$Q1001,$U$2:$U$1300,"&gt;"&amp;$U1001)&gt;0,0,IF(AND(ISNUMBER($F1001),ISNUMBER($X1001)),IF(ABS($F1001-$X1001)&gt;_QA!$C$6,1,0),IF($F1001&amp;""=$X1001&amp;"",0,1))))</f>
        <v/>
      </c>
    </row>
    <row r="1002" spans="24:25" x14ac:dyDescent="0.3">
      <c r="X1002" s="193" t="str">
        <f>IF($Q1002="","",IFERROR(INDEX(BD_KPIs!$F$2:$F$1300,MATCH($Q1002,BD_KPIs!$Q$2:$Q$1300,0)),"n/d"))</f>
        <v/>
      </c>
      <c r="Y1002" s="193" t="str">
        <f>IF($Q1002="","",IF(COUNTIFS($Q$2:$Q$1300,$Q1002,$U$2:$U$1300,"&gt;"&amp;$U1002)&gt;0,0,IF(AND(ISNUMBER($F1002),ISNUMBER($X1002)),IF(ABS($F1002-$X1002)&gt;_QA!$C$6,1,0),IF($F1002&amp;""=$X1002&amp;"",0,1))))</f>
        <v/>
      </c>
    </row>
    <row r="1003" spans="24:25" x14ac:dyDescent="0.3">
      <c r="X1003" s="193" t="str">
        <f>IF($Q1003="","",IFERROR(INDEX(BD_KPIs!$F$2:$F$1300,MATCH($Q1003,BD_KPIs!$Q$2:$Q$1300,0)),"n/d"))</f>
        <v/>
      </c>
      <c r="Y1003" s="193" t="str">
        <f>IF($Q1003="","",IF(COUNTIFS($Q$2:$Q$1300,$Q1003,$U$2:$U$1300,"&gt;"&amp;$U1003)&gt;0,0,IF(AND(ISNUMBER($F1003),ISNUMBER($X1003)),IF(ABS($F1003-$X1003)&gt;_QA!$C$6,1,0),IF($F1003&amp;""=$X1003&amp;"",0,1))))</f>
        <v/>
      </c>
    </row>
    <row r="1004" spans="24:25" x14ac:dyDescent="0.3">
      <c r="X1004" s="193" t="str">
        <f>IF($Q1004="","",IFERROR(INDEX(BD_KPIs!$F$2:$F$1300,MATCH($Q1004,BD_KPIs!$Q$2:$Q$1300,0)),"n/d"))</f>
        <v/>
      </c>
      <c r="Y1004" s="193" t="str">
        <f>IF($Q1004="","",IF(COUNTIFS($Q$2:$Q$1300,$Q1004,$U$2:$U$1300,"&gt;"&amp;$U1004)&gt;0,0,IF(AND(ISNUMBER($F1004),ISNUMBER($X1004)),IF(ABS($F1004-$X1004)&gt;_QA!$C$6,1,0),IF($F1004&amp;""=$X1004&amp;"",0,1))))</f>
        <v/>
      </c>
    </row>
    <row r="1005" spans="24:25" x14ac:dyDescent="0.3">
      <c r="X1005" s="193" t="str">
        <f>IF($Q1005="","",IFERROR(INDEX(BD_KPIs!$F$2:$F$1300,MATCH($Q1005,BD_KPIs!$Q$2:$Q$1300,0)),"n/d"))</f>
        <v/>
      </c>
      <c r="Y1005" s="193" t="str">
        <f>IF($Q1005="","",IF(COUNTIFS($Q$2:$Q$1300,$Q1005,$U$2:$U$1300,"&gt;"&amp;$U1005)&gt;0,0,IF(AND(ISNUMBER($F1005),ISNUMBER($X1005)),IF(ABS($F1005-$X1005)&gt;_QA!$C$6,1,0),IF($F1005&amp;""=$X1005&amp;"",0,1))))</f>
        <v/>
      </c>
    </row>
    <row r="1006" spans="24:25" x14ac:dyDescent="0.3">
      <c r="X1006" s="193" t="str">
        <f>IF($Q1006="","",IFERROR(INDEX(BD_KPIs!$F$2:$F$1300,MATCH($Q1006,BD_KPIs!$Q$2:$Q$1300,0)),"n/d"))</f>
        <v/>
      </c>
      <c r="Y1006" s="193" t="str">
        <f>IF($Q1006="","",IF(COUNTIFS($Q$2:$Q$1300,$Q1006,$U$2:$U$1300,"&gt;"&amp;$U1006)&gt;0,0,IF(AND(ISNUMBER($F1006),ISNUMBER($X1006)),IF(ABS($F1006-$X1006)&gt;_QA!$C$6,1,0),IF($F1006&amp;""=$X1006&amp;"",0,1))))</f>
        <v/>
      </c>
    </row>
    <row r="1007" spans="24:25" x14ac:dyDescent="0.3">
      <c r="X1007" s="193" t="str">
        <f>IF($Q1007="","",IFERROR(INDEX(BD_KPIs!$F$2:$F$1300,MATCH($Q1007,BD_KPIs!$Q$2:$Q$1300,0)),"n/d"))</f>
        <v/>
      </c>
      <c r="Y1007" s="193" t="str">
        <f>IF($Q1007="","",IF(COUNTIFS($Q$2:$Q$1300,$Q1007,$U$2:$U$1300,"&gt;"&amp;$U1007)&gt;0,0,IF(AND(ISNUMBER($F1007),ISNUMBER($X1007)),IF(ABS($F1007-$X1007)&gt;_QA!$C$6,1,0),IF($F1007&amp;""=$X1007&amp;"",0,1))))</f>
        <v/>
      </c>
    </row>
    <row r="1008" spans="24:25" x14ac:dyDescent="0.3">
      <c r="X1008" s="193" t="str">
        <f>IF($Q1008="","",IFERROR(INDEX(BD_KPIs!$F$2:$F$1300,MATCH($Q1008,BD_KPIs!$Q$2:$Q$1300,0)),"n/d"))</f>
        <v/>
      </c>
      <c r="Y1008" s="193" t="str">
        <f>IF($Q1008="","",IF(COUNTIFS($Q$2:$Q$1300,$Q1008,$U$2:$U$1300,"&gt;"&amp;$U1008)&gt;0,0,IF(AND(ISNUMBER($F1008),ISNUMBER($X1008)),IF(ABS($F1008-$X1008)&gt;_QA!$C$6,1,0),IF($F1008&amp;""=$X1008&amp;"",0,1))))</f>
        <v/>
      </c>
    </row>
    <row r="1009" spans="24:25" x14ac:dyDescent="0.3">
      <c r="X1009" s="193" t="str">
        <f>IF($Q1009="","",IFERROR(INDEX(BD_KPIs!$F$2:$F$1300,MATCH($Q1009,BD_KPIs!$Q$2:$Q$1300,0)),"n/d"))</f>
        <v/>
      </c>
      <c r="Y1009" s="193" t="str">
        <f>IF($Q1009="","",IF(COUNTIFS($Q$2:$Q$1300,$Q1009,$U$2:$U$1300,"&gt;"&amp;$U1009)&gt;0,0,IF(AND(ISNUMBER($F1009),ISNUMBER($X1009)),IF(ABS($F1009-$X1009)&gt;_QA!$C$6,1,0),IF($F1009&amp;""=$X1009&amp;"",0,1))))</f>
        <v/>
      </c>
    </row>
    <row r="1010" spans="24:25" x14ac:dyDescent="0.3">
      <c r="X1010" s="193" t="str">
        <f>IF($Q1010="","",IFERROR(INDEX(BD_KPIs!$F$2:$F$1300,MATCH($Q1010,BD_KPIs!$Q$2:$Q$1300,0)),"n/d"))</f>
        <v/>
      </c>
      <c r="Y1010" s="193" t="str">
        <f>IF($Q1010="","",IF(COUNTIFS($Q$2:$Q$1300,$Q1010,$U$2:$U$1300,"&gt;"&amp;$U1010)&gt;0,0,IF(AND(ISNUMBER($F1010),ISNUMBER($X1010)),IF(ABS($F1010-$X1010)&gt;_QA!$C$6,1,0),IF($F1010&amp;""=$X1010&amp;"",0,1))))</f>
        <v/>
      </c>
    </row>
    <row r="1011" spans="24:25" x14ac:dyDescent="0.3">
      <c r="X1011" s="193" t="str">
        <f>IF($Q1011="","",IFERROR(INDEX(BD_KPIs!$F$2:$F$1300,MATCH($Q1011,BD_KPIs!$Q$2:$Q$1300,0)),"n/d"))</f>
        <v/>
      </c>
      <c r="Y1011" s="193" t="str">
        <f>IF($Q1011="","",IF(COUNTIFS($Q$2:$Q$1300,$Q1011,$U$2:$U$1300,"&gt;"&amp;$U1011)&gt;0,0,IF(AND(ISNUMBER($F1011),ISNUMBER($X1011)),IF(ABS($F1011-$X1011)&gt;_QA!$C$6,1,0),IF($F1011&amp;""=$X1011&amp;"",0,1))))</f>
        <v/>
      </c>
    </row>
    <row r="1012" spans="24:25" x14ac:dyDescent="0.3">
      <c r="X1012" s="193" t="str">
        <f>IF($Q1012="","",IFERROR(INDEX(BD_KPIs!$F$2:$F$1300,MATCH($Q1012,BD_KPIs!$Q$2:$Q$1300,0)),"n/d"))</f>
        <v/>
      </c>
      <c r="Y1012" s="193" t="str">
        <f>IF($Q1012="","",IF(COUNTIFS($Q$2:$Q$1300,$Q1012,$U$2:$U$1300,"&gt;"&amp;$U1012)&gt;0,0,IF(AND(ISNUMBER($F1012),ISNUMBER($X1012)),IF(ABS($F1012-$X1012)&gt;_QA!$C$6,1,0),IF($F1012&amp;""=$X1012&amp;"",0,1))))</f>
        <v/>
      </c>
    </row>
    <row r="1013" spans="24:25" x14ac:dyDescent="0.3">
      <c r="X1013" s="193" t="str">
        <f>IF($Q1013="","",IFERROR(INDEX(BD_KPIs!$F$2:$F$1300,MATCH($Q1013,BD_KPIs!$Q$2:$Q$1300,0)),"n/d"))</f>
        <v/>
      </c>
      <c r="Y1013" s="193" t="str">
        <f>IF($Q1013="","",IF(COUNTIFS($Q$2:$Q$1300,$Q1013,$U$2:$U$1300,"&gt;"&amp;$U1013)&gt;0,0,IF(AND(ISNUMBER($F1013),ISNUMBER($X1013)),IF(ABS($F1013-$X1013)&gt;_QA!$C$6,1,0),IF($F1013&amp;""=$X1013&amp;"",0,1))))</f>
        <v/>
      </c>
    </row>
    <row r="1014" spans="24:25" x14ac:dyDescent="0.3">
      <c r="X1014" s="193" t="str">
        <f>IF($Q1014="","",IFERROR(INDEX(BD_KPIs!$F$2:$F$1300,MATCH($Q1014,BD_KPIs!$Q$2:$Q$1300,0)),"n/d"))</f>
        <v/>
      </c>
      <c r="Y1014" s="193" t="str">
        <f>IF($Q1014="","",IF(COUNTIFS($Q$2:$Q$1300,$Q1014,$U$2:$U$1300,"&gt;"&amp;$U1014)&gt;0,0,IF(AND(ISNUMBER($F1014),ISNUMBER($X1014)),IF(ABS($F1014-$X1014)&gt;_QA!$C$6,1,0),IF($F1014&amp;""=$X1014&amp;"",0,1))))</f>
        <v/>
      </c>
    </row>
    <row r="1015" spans="24:25" x14ac:dyDescent="0.3">
      <c r="X1015" s="193" t="str">
        <f>IF($Q1015="","",IFERROR(INDEX(BD_KPIs!$F$2:$F$1300,MATCH($Q1015,BD_KPIs!$Q$2:$Q$1300,0)),"n/d"))</f>
        <v/>
      </c>
      <c r="Y1015" s="193" t="str">
        <f>IF($Q1015="","",IF(COUNTIFS($Q$2:$Q$1300,$Q1015,$U$2:$U$1300,"&gt;"&amp;$U1015)&gt;0,0,IF(AND(ISNUMBER($F1015),ISNUMBER($X1015)),IF(ABS($F1015-$X1015)&gt;_QA!$C$6,1,0),IF($F1015&amp;""=$X1015&amp;"",0,1))))</f>
        <v/>
      </c>
    </row>
    <row r="1016" spans="24:25" x14ac:dyDescent="0.3">
      <c r="X1016" s="193" t="str">
        <f>IF($Q1016="","",IFERROR(INDEX(BD_KPIs!$F$2:$F$1300,MATCH($Q1016,BD_KPIs!$Q$2:$Q$1300,0)),"n/d"))</f>
        <v/>
      </c>
      <c r="Y1016" s="193" t="str">
        <f>IF($Q1016="","",IF(COUNTIFS($Q$2:$Q$1300,$Q1016,$U$2:$U$1300,"&gt;"&amp;$U1016)&gt;0,0,IF(AND(ISNUMBER($F1016),ISNUMBER($X1016)),IF(ABS($F1016-$X1016)&gt;_QA!$C$6,1,0),IF($F1016&amp;""=$X1016&amp;"",0,1))))</f>
        <v/>
      </c>
    </row>
    <row r="1017" spans="24:25" x14ac:dyDescent="0.3">
      <c r="X1017" s="193" t="str">
        <f>IF($Q1017="","",IFERROR(INDEX(BD_KPIs!$F$2:$F$1300,MATCH($Q1017,BD_KPIs!$Q$2:$Q$1300,0)),"n/d"))</f>
        <v/>
      </c>
      <c r="Y1017" s="193" t="str">
        <f>IF($Q1017="","",IF(COUNTIFS($Q$2:$Q$1300,$Q1017,$U$2:$U$1300,"&gt;"&amp;$U1017)&gt;0,0,IF(AND(ISNUMBER($F1017),ISNUMBER($X1017)),IF(ABS($F1017-$X1017)&gt;_QA!$C$6,1,0),IF($F1017&amp;""=$X1017&amp;"",0,1))))</f>
        <v/>
      </c>
    </row>
    <row r="1018" spans="24:25" x14ac:dyDescent="0.3">
      <c r="X1018" s="193" t="str">
        <f>IF($Q1018="","",IFERROR(INDEX(BD_KPIs!$F$2:$F$1300,MATCH($Q1018,BD_KPIs!$Q$2:$Q$1300,0)),"n/d"))</f>
        <v/>
      </c>
      <c r="Y1018" s="193" t="str">
        <f>IF($Q1018="","",IF(COUNTIFS($Q$2:$Q$1300,$Q1018,$U$2:$U$1300,"&gt;"&amp;$U1018)&gt;0,0,IF(AND(ISNUMBER($F1018),ISNUMBER($X1018)),IF(ABS($F1018-$X1018)&gt;_QA!$C$6,1,0),IF($F1018&amp;""=$X1018&amp;"",0,1))))</f>
        <v/>
      </c>
    </row>
    <row r="1019" spans="24:25" x14ac:dyDescent="0.3">
      <c r="X1019" s="193" t="str">
        <f>IF($Q1019="","",IFERROR(INDEX(BD_KPIs!$F$2:$F$1300,MATCH($Q1019,BD_KPIs!$Q$2:$Q$1300,0)),"n/d"))</f>
        <v/>
      </c>
      <c r="Y1019" s="193" t="str">
        <f>IF($Q1019="","",IF(COUNTIFS($Q$2:$Q$1300,$Q1019,$U$2:$U$1300,"&gt;"&amp;$U1019)&gt;0,0,IF(AND(ISNUMBER($F1019),ISNUMBER($X1019)),IF(ABS($F1019-$X1019)&gt;_QA!$C$6,1,0),IF($F1019&amp;""=$X1019&amp;"",0,1))))</f>
        <v/>
      </c>
    </row>
    <row r="1020" spans="24:25" x14ac:dyDescent="0.3">
      <c r="X1020" s="193" t="str">
        <f>IF($Q1020="","",IFERROR(INDEX(BD_KPIs!$F$2:$F$1300,MATCH($Q1020,BD_KPIs!$Q$2:$Q$1300,0)),"n/d"))</f>
        <v/>
      </c>
      <c r="Y1020" s="193" t="str">
        <f>IF($Q1020="","",IF(COUNTIFS($Q$2:$Q$1300,$Q1020,$U$2:$U$1300,"&gt;"&amp;$U1020)&gt;0,0,IF(AND(ISNUMBER($F1020),ISNUMBER($X1020)),IF(ABS($F1020-$X1020)&gt;_QA!$C$6,1,0),IF($F1020&amp;""=$X1020&amp;"",0,1))))</f>
        <v/>
      </c>
    </row>
    <row r="1021" spans="24:25" x14ac:dyDescent="0.3">
      <c r="X1021" s="193" t="str">
        <f>IF($Q1021="","",IFERROR(INDEX(BD_KPIs!$F$2:$F$1300,MATCH($Q1021,BD_KPIs!$Q$2:$Q$1300,0)),"n/d"))</f>
        <v/>
      </c>
      <c r="Y1021" s="193" t="str">
        <f>IF($Q1021="","",IF(COUNTIFS($Q$2:$Q$1300,$Q1021,$U$2:$U$1300,"&gt;"&amp;$U1021)&gt;0,0,IF(AND(ISNUMBER($F1021),ISNUMBER($X1021)),IF(ABS($F1021-$X1021)&gt;_QA!$C$6,1,0),IF($F1021&amp;""=$X1021&amp;"",0,1))))</f>
        <v/>
      </c>
    </row>
    <row r="1022" spans="24:25" x14ac:dyDescent="0.3">
      <c r="X1022" s="193" t="str">
        <f>IF($Q1022="","",IFERROR(INDEX(BD_KPIs!$F$2:$F$1300,MATCH($Q1022,BD_KPIs!$Q$2:$Q$1300,0)),"n/d"))</f>
        <v/>
      </c>
      <c r="Y1022" s="193" t="str">
        <f>IF($Q1022="","",IF(COUNTIFS($Q$2:$Q$1300,$Q1022,$U$2:$U$1300,"&gt;"&amp;$U1022)&gt;0,0,IF(AND(ISNUMBER($F1022),ISNUMBER($X1022)),IF(ABS($F1022-$X1022)&gt;_QA!$C$6,1,0),IF($F1022&amp;""=$X1022&amp;"",0,1))))</f>
        <v/>
      </c>
    </row>
    <row r="1023" spans="24:25" x14ac:dyDescent="0.3">
      <c r="X1023" s="193" t="str">
        <f>IF($Q1023="","",IFERROR(INDEX(BD_KPIs!$F$2:$F$1300,MATCH($Q1023,BD_KPIs!$Q$2:$Q$1300,0)),"n/d"))</f>
        <v/>
      </c>
      <c r="Y1023" s="193" t="str">
        <f>IF($Q1023="","",IF(COUNTIFS($Q$2:$Q$1300,$Q1023,$U$2:$U$1300,"&gt;"&amp;$U1023)&gt;0,0,IF(AND(ISNUMBER($F1023),ISNUMBER($X1023)),IF(ABS($F1023-$X1023)&gt;_QA!$C$6,1,0),IF($F1023&amp;""=$X1023&amp;"",0,1))))</f>
        <v/>
      </c>
    </row>
    <row r="1024" spans="24:25" x14ac:dyDescent="0.3">
      <c r="X1024" s="193" t="str">
        <f>IF($Q1024="","",IFERROR(INDEX(BD_KPIs!$F$2:$F$1300,MATCH($Q1024,BD_KPIs!$Q$2:$Q$1300,0)),"n/d"))</f>
        <v/>
      </c>
      <c r="Y1024" s="193" t="str">
        <f>IF($Q1024="","",IF(COUNTIFS($Q$2:$Q$1300,$Q1024,$U$2:$U$1300,"&gt;"&amp;$U1024)&gt;0,0,IF(AND(ISNUMBER($F1024),ISNUMBER($X1024)),IF(ABS($F1024-$X1024)&gt;_QA!$C$6,1,0),IF($F1024&amp;""=$X1024&amp;"",0,1))))</f>
        <v/>
      </c>
    </row>
    <row r="1025" spans="24:25" x14ac:dyDescent="0.3">
      <c r="X1025" s="193" t="str">
        <f>IF($Q1025="","",IFERROR(INDEX(BD_KPIs!$F$2:$F$1300,MATCH($Q1025,BD_KPIs!$Q$2:$Q$1300,0)),"n/d"))</f>
        <v/>
      </c>
      <c r="Y1025" s="193" t="str">
        <f>IF($Q1025="","",IF(COUNTIFS($Q$2:$Q$1300,$Q1025,$U$2:$U$1300,"&gt;"&amp;$U1025)&gt;0,0,IF(AND(ISNUMBER($F1025),ISNUMBER($X1025)),IF(ABS($F1025-$X1025)&gt;_QA!$C$6,1,0),IF($F1025&amp;""=$X1025&amp;"",0,1))))</f>
        <v/>
      </c>
    </row>
    <row r="1026" spans="24:25" x14ac:dyDescent="0.3">
      <c r="X1026" s="193" t="str">
        <f>IF($Q1026="","",IFERROR(INDEX(BD_KPIs!$F$2:$F$1300,MATCH($Q1026,BD_KPIs!$Q$2:$Q$1300,0)),"n/d"))</f>
        <v/>
      </c>
      <c r="Y1026" s="193" t="str">
        <f>IF($Q1026="","",IF(COUNTIFS($Q$2:$Q$1300,$Q1026,$U$2:$U$1300,"&gt;"&amp;$U1026)&gt;0,0,IF(AND(ISNUMBER($F1026),ISNUMBER($X1026)),IF(ABS($F1026-$X1026)&gt;_QA!$C$6,1,0),IF($F1026&amp;""=$X1026&amp;"",0,1))))</f>
        <v/>
      </c>
    </row>
    <row r="1027" spans="24:25" x14ac:dyDescent="0.3">
      <c r="X1027" s="193" t="str">
        <f>IF($Q1027="","",IFERROR(INDEX(BD_KPIs!$F$2:$F$1300,MATCH($Q1027,BD_KPIs!$Q$2:$Q$1300,0)),"n/d"))</f>
        <v/>
      </c>
      <c r="Y1027" s="193" t="str">
        <f>IF($Q1027="","",IF(COUNTIFS($Q$2:$Q$1300,$Q1027,$U$2:$U$1300,"&gt;"&amp;$U1027)&gt;0,0,IF(AND(ISNUMBER($F1027),ISNUMBER($X1027)),IF(ABS($F1027-$X1027)&gt;_QA!$C$6,1,0),IF($F1027&amp;""=$X1027&amp;"",0,1))))</f>
        <v/>
      </c>
    </row>
    <row r="1028" spans="24:25" x14ac:dyDescent="0.3">
      <c r="X1028" s="193" t="str">
        <f>IF($Q1028="","",IFERROR(INDEX(BD_KPIs!$F$2:$F$1300,MATCH($Q1028,BD_KPIs!$Q$2:$Q$1300,0)),"n/d"))</f>
        <v/>
      </c>
      <c r="Y1028" s="193" t="str">
        <f>IF($Q1028="","",IF(COUNTIFS($Q$2:$Q$1300,$Q1028,$U$2:$U$1300,"&gt;"&amp;$U1028)&gt;0,0,IF(AND(ISNUMBER($F1028),ISNUMBER($X1028)),IF(ABS($F1028-$X1028)&gt;_QA!$C$6,1,0),IF($F1028&amp;""=$X1028&amp;"",0,1))))</f>
        <v/>
      </c>
    </row>
    <row r="1029" spans="24:25" x14ac:dyDescent="0.3">
      <c r="X1029" s="193" t="str">
        <f>IF($Q1029="","",IFERROR(INDEX(BD_KPIs!$F$2:$F$1300,MATCH($Q1029,BD_KPIs!$Q$2:$Q$1300,0)),"n/d"))</f>
        <v/>
      </c>
      <c r="Y1029" s="193" t="str">
        <f>IF($Q1029="","",IF(COUNTIFS($Q$2:$Q$1300,$Q1029,$U$2:$U$1300,"&gt;"&amp;$U1029)&gt;0,0,IF(AND(ISNUMBER($F1029),ISNUMBER($X1029)),IF(ABS($F1029-$X1029)&gt;_QA!$C$6,1,0),IF($F1029&amp;""=$X1029&amp;"",0,1))))</f>
        <v/>
      </c>
    </row>
    <row r="1030" spans="24:25" x14ac:dyDescent="0.3">
      <c r="X1030" s="193" t="str">
        <f>IF($Q1030="","",IFERROR(INDEX(BD_KPIs!$F$2:$F$1300,MATCH($Q1030,BD_KPIs!$Q$2:$Q$1300,0)),"n/d"))</f>
        <v/>
      </c>
      <c r="Y1030" s="193" t="str">
        <f>IF($Q1030="","",IF(COUNTIFS($Q$2:$Q$1300,$Q1030,$U$2:$U$1300,"&gt;"&amp;$U1030)&gt;0,0,IF(AND(ISNUMBER($F1030),ISNUMBER($X1030)),IF(ABS($F1030-$X1030)&gt;_QA!$C$6,1,0),IF($F1030&amp;""=$X1030&amp;"",0,1))))</f>
        <v/>
      </c>
    </row>
    <row r="1031" spans="24:25" x14ac:dyDescent="0.3">
      <c r="X1031" s="193" t="str">
        <f>IF($Q1031="","",IFERROR(INDEX(BD_KPIs!$F$2:$F$1300,MATCH($Q1031,BD_KPIs!$Q$2:$Q$1300,0)),"n/d"))</f>
        <v/>
      </c>
      <c r="Y1031" s="193" t="str">
        <f>IF($Q1031="","",IF(COUNTIFS($Q$2:$Q$1300,$Q1031,$U$2:$U$1300,"&gt;"&amp;$U1031)&gt;0,0,IF(AND(ISNUMBER($F1031),ISNUMBER($X1031)),IF(ABS($F1031-$X1031)&gt;_QA!$C$6,1,0),IF($F1031&amp;""=$X1031&amp;"",0,1))))</f>
        <v/>
      </c>
    </row>
    <row r="1032" spans="24:25" x14ac:dyDescent="0.3">
      <c r="X1032" s="193" t="str">
        <f>IF($Q1032="","",IFERROR(INDEX(BD_KPIs!$F$2:$F$1300,MATCH($Q1032,BD_KPIs!$Q$2:$Q$1300,0)),"n/d"))</f>
        <v/>
      </c>
      <c r="Y1032" s="193" t="str">
        <f>IF($Q1032="","",IF(COUNTIFS($Q$2:$Q$1300,$Q1032,$U$2:$U$1300,"&gt;"&amp;$U1032)&gt;0,0,IF(AND(ISNUMBER($F1032),ISNUMBER($X1032)),IF(ABS($F1032-$X1032)&gt;_QA!$C$6,1,0),IF($F1032&amp;""=$X1032&amp;"",0,1))))</f>
        <v/>
      </c>
    </row>
    <row r="1033" spans="24:25" x14ac:dyDescent="0.3">
      <c r="X1033" s="193" t="str">
        <f>IF($Q1033="","",IFERROR(INDEX(BD_KPIs!$F$2:$F$1300,MATCH($Q1033,BD_KPIs!$Q$2:$Q$1300,0)),"n/d"))</f>
        <v/>
      </c>
      <c r="Y1033" s="193" t="str">
        <f>IF($Q1033="","",IF(COUNTIFS($Q$2:$Q$1300,$Q1033,$U$2:$U$1300,"&gt;"&amp;$U1033)&gt;0,0,IF(AND(ISNUMBER($F1033),ISNUMBER($X1033)),IF(ABS($F1033-$X1033)&gt;_QA!$C$6,1,0),IF($F1033&amp;""=$X1033&amp;"",0,1))))</f>
        <v/>
      </c>
    </row>
    <row r="1034" spans="24:25" x14ac:dyDescent="0.3">
      <c r="X1034" s="193" t="str">
        <f>IF($Q1034="","",IFERROR(INDEX(BD_KPIs!$F$2:$F$1300,MATCH($Q1034,BD_KPIs!$Q$2:$Q$1300,0)),"n/d"))</f>
        <v/>
      </c>
      <c r="Y1034" s="193" t="str">
        <f>IF($Q1034="","",IF(COUNTIFS($Q$2:$Q$1300,$Q1034,$U$2:$U$1300,"&gt;"&amp;$U1034)&gt;0,0,IF(AND(ISNUMBER($F1034),ISNUMBER($X1034)),IF(ABS($F1034-$X1034)&gt;_QA!$C$6,1,0),IF($F1034&amp;""=$X1034&amp;"",0,1))))</f>
        <v/>
      </c>
    </row>
    <row r="1035" spans="24:25" x14ac:dyDescent="0.3">
      <c r="X1035" s="193" t="str">
        <f>IF($Q1035="","",IFERROR(INDEX(BD_KPIs!$F$2:$F$1300,MATCH($Q1035,BD_KPIs!$Q$2:$Q$1300,0)),"n/d"))</f>
        <v/>
      </c>
      <c r="Y1035" s="193" t="str">
        <f>IF($Q1035="","",IF(COUNTIFS($Q$2:$Q$1300,$Q1035,$U$2:$U$1300,"&gt;"&amp;$U1035)&gt;0,0,IF(AND(ISNUMBER($F1035),ISNUMBER($X1035)),IF(ABS($F1035-$X1035)&gt;_QA!$C$6,1,0),IF($F1035&amp;""=$X1035&amp;"",0,1))))</f>
        <v/>
      </c>
    </row>
    <row r="1036" spans="24:25" x14ac:dyDescent="0.3">
      <c r="X1036" s="193" t="str">
        <f>IF($Q1036="","",IFERROR(INDEX(BD_KPIs!$F$2:$F$1300,MATCH($Q1036,BD_KPIs!$Q$2:$Q$1300,0)),"n/d"))</f>
        <v/>
      </c>
      <c r="Y1036" s="193" t="str">
        <f>IF($Q1036="","",IF(COUNTIFS($Q$2:$Q$1300,$Q1036,$U$2:$U$1300,"&gt;"&amp;$U1036)&gt;0,0,IF(AND(ISNUMBER($F1036),ISNUMBER($X1036)),IF(ABS($F1036-$X1036)&gt;_QA!$C$6,1,0),IF($F1036&amp;""=$X1036&amp;"",0,1))))</f>
        <v/>
      </c>
    </row>
    <row r="1037" spans="24:25" x14ac:dyDescent="0.3">
      <c r="X1037" s="193" t="str">
        <f>IF($Q1037="","",IFERROR(INDEX(BD_KPIs!$F$2:$F$1300,MATCH($Q1037,BD_KPIs!$Q$2:$Q$1300,0)),"n/d"))</f>
        <v/>
      </c>
      <c r="Y1037" s="193" t="str">
        <f>IF($Q1037="","",IF(COUNTIFS($Q$2:$Q$1300,$Q1037,$U$2:$U$1300,"&gt;"&amp;$U1037)&gt;0,0,IF(AND(ISNUMBER($F1037),ISNUMBER($X1037)),IF(ABS($F1037-$X1037)&gt;_QA!$C$6,1,0),IF($F1037&amp;""=$X1037&amp;"",0,1))))</f>
        <v/>
      </c>
    </row>
    <row r="1038" spans="24:25" x14ac:dyDescent="0.3">
      <c r="X1038" s="193" t="str">
        <f>IF($Q1038="","",IFERROR(INDEX(BD_KPIs!$F$2:$F$1300,MATCH($Q1038,BD_KPIs!$Q$2:$Q$1300,0)),"n/d"))</f>
        <v/>
      </c>
      <c r="Y1038" s="193" t="str">
        <f>IF($Q1038="","",IF(COUNTIFS($Q$2:$Q$1300,$Q1038,$U$2:$U$1300,"&gt;"&amp;$U1038)&gt;0,0,IF(AND(ISNUMBER($F1038),ISNUMBER($X1038)),IF(ABS($F1038-$X1038)&gt;_QA!$C$6,1,0),IF($F1038&amp;""=$X1038&amp;"",0,1))))</f>
        <v/>
      </c>
    </row>
    <row r="1039" spans="24:25" x14ac:dyDescent="0.3">
      <c r="X1039" s="193" t="str">
        <f>IF($Q1039="","",IFERROR(INDEX(BD_KPIs!$F$2:$F$1300,MATCH($Q1039,BD_KPIs!$Q$2:$Q$1300,0)),"n/d"))</f>
        <v/>
      </c>
      <c r="Y1039" s="193" t="str">
        <f>IF($Q1039="","",IF(COUNTIFS($Q$2:$Q$1300,$Q1039,$U$2:$U$1300,"&gt;"&amp;$U1039)&gt;0,0,IF(AND(ISNUMBER($F1039),ISNUMBER($X1039)),IF(ABS($F1039-$X1039)&gt;_QA!$C$6,1,0),IF($F1039&amp;""=$X1039&amp;"",0,1))))</f>
        <v/>
      </c>
    </row>
    <row r="1040" spans="24:25" x14ac:dyDescent="0.3">
      <c r="X1040" s="193" t="str">
        <f>IF($Q1040="","",IFERROR(INDEX(BD_KPIs!$F$2:$F$1300,MATCH($Q1040,BD_KPIs!$Q$2:$Q$1300,0)),"n/d"))</f>
        <v/>
      </c>
      <c r="Y1040" s="193" t="str">
        <f>IF($Q1040="","",IF(COUNTIFS($Q$2:$Q$1300,$Q1040,$U$2:$U$1300,"&gt;"&amp;$U1040)&gt;0,0,IF(AND(ISNUMBER($F1040),ISNUMBER($X1040)),IF(ABS($F1040-$X1040)&gt;_QA!$C$6,1,0),IF($F1040&amp;""=$X1040&amp;"",0,1))))</f>
        <v/>
      </c>
    </row>
    <row r="1041" spans="24:25" x14ac:dyDescent="0.3">
      <c r="X1041" s="193" t="str">
        <f>IF($Q1041="","",IFERROR(INDEX(BD_KPIs!$F$2:$F$1300,MATCH($Q1041,BD_KPIs!$Q$2:$Q$1300,0)),"n/d"))</f>
        <v/>
      </c>
      <c r="Y1041" s="193" t="str">
        <f>IF($Q1041="","",IF(COUNTIFS($Q$2:$Q$1300,$Q1041,$U$2:$U$1300,"&gt;"&amp;$U1041)&gt;0,0,IF(AND(ISNUMBER($F1041),ISNUMBER($X1041)),IF(ABS($F1041-$X1041)&gt;_QA!$C$6,1,0),IF($F1041&amp;""=$X1041&amp;"",0,1))))</f>
        <v/>
      </c>
    </row>
    <row r="1042" spans="24:25" x14ac:dyDescent="0.3">
      <c r="X1042" s="193" t="str">
        <f>IF($Q1042="","",IFERROR(INDEX(BD_KPIs!$F$2:$F$1300,MATCH($Q1042,BD_KPIs!$Q$2:$Q$1300,0)),"n/d"))</f>
        <v/>
      </c>
      <c r="Y1042" s="193" t="str">
        <f>IF($Q1042="","",IF(COUNTIFS($Q$2:$Q$1300,$Q1042,$U$2:$U$1300,"&gt;"&amp;$U1042)&gt;0,0,IF(AND(ISNUMBER($F1042),ISNUMBER($X1042)),IF(ABS($F1042-$X1042)&gt;_QA!$C$6,1,0),IF($F1042&amp;""=$X1042&amp;"",0,1))))</f>
        <v/>
      </c>
    </row>
    <row r="1043" spans="24:25" x14ac:dyDescent="0.3">
      <c r="X1043" s="193" t="str">
        <f>IF($Q1043="","",IFERROR(INDEX(BD_KPIs!$F$2:$F$1300,MATCH($Q1043,BD_KPIs!$Q$2:$Q$1300,0)),"n/d"))</f>
        <v/>
      </c>
      <c r="Y1043" s="193" t="str">
        <f>IF($Q1043="","",IF(COUNTIFS($Q$2:$Q$1300,$Q1043,$U$2:$U$1300,"&gt;"&amp;$U1043)&gt;0,0,IF(AND(ISNUMBER($F1043),ISNUMBER($X1043)),IF(ABS($F1043-$X1043)&gt;_QA!$C$6,1,0),IF($F1043&amp;""=$X1043&amp;"",0,1))))</f>
        <v/>
      </c>
    </row>
    <row r="1044" spans="24:25" x14ac:dyDescent="0.3">
      <c r="X1044" s="193" t="str">
        <f>IF($Q1044="","",IFERROR(INDEX(BD_KPIs!$F$2:$F$1300,MATCH($Q1044,BD_KPIs!$Q$2:$Q$1300,0)),"n/d"))</f>
        <v/>
      </c>
      <c r="Y1044" s="193" t="str">
        <f>IF($Q1044="","",IF(COUNTIFS($Q$2:$Q$1300,$Q1044,$U$2:$U$1300,"&gt;"&amp;$U1044)&gt;0,0,IF(AND(ISNUMBER($F1044),ISNUMBER($X1044)),IF(ABS($F1044-$X1044)&gt;_QA!$C$6,1,0),IF($F1044&amp;""=$X1044&amp;"",0,1))))</f>
        <v/>
      </c>
    </row>
    <row r="1045" spans="24:25" x14ac:dyDescent="0.3">
      <c r="X1045" s="193" t="str">
        <f>IF($Q1045="","",IFERROR(INDEX(BD_KPIs!$F$2:$F$1300,MATCH($Q1045,BD_KPIs!$Q$2:$Q$1300,0)),"n/d"))</f>
        <v/>
      </c>
      <c r="Y1045" s="193" t="str">
        <f>IF($Q1045="","",IF(COUNTIFS($Q$2:$Q$1300,$Q1045,$U$2:$U$1300,"&gt;"&amp;$U1045)&gt;0,0,IF(AND(ISNUMBER($F1045),ISNUMBER($X1045)),IF(ABS($F1045-$X1045)&gt;_QA!$C$6,1,0),IF($F1045&amp;""=$X1045&amp;"",0,1))))</f>
        <v/>
      </c>
    </row>
    <row r="1046" spans="24:25" x14ac:dyDescent="0.3">
      <c r="X1046" s="193" t="str">
        <f>IF($Q1046="","",IFERROR(INDEX(BD_KPIs!$F$2:$F$1300,MATCH($Q1046,BD_KPIs!$Q$2:$Q$1300,0)),"n/d"))</f>
        <v/>
      </c>
      <c r="Y1046" s="193" t="str">
        <f>IF($Q1046="","",IF(COUNTIFS($Q$2:$Q$1300,$Q1046,$U$2:$U$1300,"&gt;"&amp;$U1046)&gt;0,0,IF(AND(ISNUMBER($F1046),ISNUMBER($X1046)),IF(ABS($F1046-$X1046)&gt;_QA!$C$6,1,0),IF($F1046&amp;""=$X1046&amp;"",0,1))))</f>
        <v/>
      </c>
    </row>
    <row r="1047" spans="24:25" x14ac:dyDescent="0.3">
      <c r="X1047" s="193" t="str">
        <f>IF($Q1047="","",IFERROR(INDEX(BD_KPIs!$F$2:$F$1300,MATCH($Q1047,BD_KPIs!$Q$2:$Q$1300,0)),"n/d"))</f>
        <v/>
      </c>
      <c r="Y1047" s="193" t="str">
        <f>IF($Q1047="","",IF(COUNTIFS($Q$2:$Q$1300,$Q1047,$U$2:$U$1300,"&gt;"&amp;$U1047)&gt;0,0,IF(AND(ISNUMBER($F1047),ISNUMBER($X1047)),IF(ABS($F1047-$X1047)&gt;_QA!$C$6,1,0),IF($F1047&amp;""=$X1047&amp;"",0,1))))</f>
        <v/>
      </c>
    </row>
    <row r="1048" spans="24:25" x14ac:dyDescent="0.3">
      <c r="X1048" s="193" t="str">
        <f>IF($Q1048="","",IFERROR(INDEX(BD_KPIs!$F$2:$F$1300,MATCH($Q1048,BD_KPIs!$Q$2:$Q$1300,0)),"n/d"))</f>
        <v/>
      </c>
      <c r="Y1048" s="193" t="str">
        <f>IF($Q1048="","",IF(COUNTIFS($Q$2:$Q$1300,$Q1048,$U$2:$U$1300,"&gt;"&amp;$U1048)&gt;0,0,IF(AND(ISNUMBER($F1048),ISNUMBER($X1048)),IF(ABS($F1048-$X1048)&gt;_QA!$C$6,1,0),IF($F1048&amp;""=$X1048&amp;"",0,1))))</f>
        <v/>
      </c>
    </row>
    <row r="1049" spans="24:25" x14ac:dyDescent="0.3">
      <c r="X1049" s="193" t="str">
        <f>IF($Q1049="","",IFERROR(INDEX(BD_KPIs!$F$2:$F$1300,MATCH($Q1049,BD_KPIs!$Q$2:$Q$1300,0)),"n/d"))</f>
        <v/>
      </c>
      <c r="Y1049" s="193" t="str">
        <f>IF($Q1049="","",IF(COUNTIFS($Q$2:$Q$1300,$Q1049,$U$2:$U$1300,"&gt;"&amp;$U1049)&gt;0,0,IF(AND(ISNUMBER($F1049),ISNUMBER($X1049)),IF(ABS($F1049-$X1049)&gt;_QA!$C$6,1,0),IF($F1049&amp;""=$X1049&amp;"",0,1))))</f>
        <v/>
      </c>
    </row>
    <row r="1050" spans="24:25" x14ac:dyDescent="0.3">
      <c r="X1050" s="193" t="str">
        <f>IF($Q1050="","",IFERROR(INDEX(BD_KPIs!$F$2:$F$1300,MATCH($Q1050,BD_KPIs!$Q$2:$Q$1300,0)),"n/d"))</f>
        <v/>
      </c>
      <c r="Y1050" s="193" t="str">
        <f>IF($Q1050="","",IF(COUNTIFS($Q$2:$Q$1300,$Q1050,$U$2:$U$1300,"&gt;"&amp;$U1050)&gt;0,0,IF(AND(ISNUMBER($F1050),ISNUMBER($X1050)),IF(ABS($F1050-$X1050)&gt;_QA!$C$6,1,0),IF($F1050&amp;""=$X1050&amp;"",0,1))))</f>
        <v/>
      </c>
    </row>
    <row r="1051" spans="24:25" x14ac:dyDescent="0.3">
      <c r="X1051" s="193" t="str">
        <f>IF($Q1051="","",IFERROR(INDEX(BD_KPIs!$F$2:$F$1300,MATCH($Q1051,BD_KPIs!$Q$2:$Q$1300,0)),"n/d"))</f>
        <v/>
      </c>
      <c r="Y1051" s="193" t="str">
        <f>IF($Q1051="","",IF(COUNTIFS($Q$2:$Q$1300,$Q1051,$U$2:$U$1300,"&gt;"&amp;$U1051)&gt;0,0,IF(AND(ISNUMBER($F1051),ISNUMBER($X1051)),IF(ABS($F1051-$X1051)&gt;_QA!$C$6,1,0),IF($F1051&amp;""=$X1051&amp;"",0,1))))</f>
        <v/>
      </c>
    </row>
    <row r="1052" spans="24:25" x14ac:dyDescent="0.3">
      <c r="X1052" s="193" t="str">
        <f>IF($Q1052="","",IFERROR(INDEX(BD_KPIs!$F$2:$F$1300,MATCH($Q1052,BD_KPIs!$Q$2:$Q$1300,0)),"n/d"))</f>
        <v/>
      </c>
      <c r="Y1052" s="193" t="str">
        <f>IF($Q1052="","",IF(COUNTIFS($Q$2:$Q$1300,$Q1052,$U$2:$U$1300,"&gt;"&amp;$U1052)&gt;0,0,IF(AND(ISNUMBER($F1052),ISNUMBER($X1052)),IF(ABS($F1052-$X1052)&gt;_QA!$C$6,1,0),IF($F1052&amp;""=$X1052&amp;"",0,1))))</f>
        <v/>
      </c>
    </row>
    <row r="1053" spans="24:25" x14ac:dyDescent="0.3">
      <c r="X1053" s="193" t="str">
        <f>IF($Q1053="","",IFERROR(INDEX(BD_KPIs!$F$2:$F$1300,MATCH($Q1053,BD_KPIs!$Q$2:$Q$1300,0)),"n/d"))</f>
        <v/>
      </c>
      <c r="Y1053" s="193" t="str">
        <f>IF($Q1053="","",IF(COUNTIFS($Q$2:$Q$1300,$Q1053,$U$2:$U$1300,"&gt;"&amp;$U1053)&gt;0,0,IF(AND(ISNUMBER($F1053),ISNUMBER($X1053)),IF(ABS($F1053-$X1053)&gt;_QA!$C$6,1,0),IF($F1053&amp;""=$X1053&amp;"",0,1))))</f>
        <v/>
      </c>
    </row>
    <row r="1054" spans="24:25" x14ac:dyDescent="0.3">
      <c r="X1054" s="193" t="str">
        <f>IF($Q1054="","",IFERROR(INDEX(BD_KPIs!$F$2:$F$1300,MATCH($Q1054,BD_KPIs!$Q$2:$Q$1300,0)),"n/d"))</f>
        <v/>
      </c>
      <c r="Y1054" s="193" t="str">
        <f>IF($Q1054="","",IF(COUNTIFS($Q$2:$Q$1300,$Q1054,$U$2:$U$1300,"&gt;"&amp;$U1054)&gt;0,0,IF(AND(ISNUMBER($F1054),ISNUMBER($X1054)),IF(ABS($F1054-$X1054)&gt;_QA!$C$6,1,0),IF($F1054&amp;""=$X1054&amp;"",0,1))))</f>
        <v/>
      </c>
    </row>
    <row r="1055" spans="24:25" x14ac:dyDescent="0.3">
      <c r="X1055" s="193" t="str">
        <f>IF($Q1055="","",IFERROR(INDEX(BD_KPIs!$F$2:$F$1300,MATCH($Q1055,BD_KPIs!$Q$2:$Q$1300,0)),"n/d"))</f>
        <v/>
      </c>
      <c r="Y1055" s="193" t="str">
        <f>IF($Q1055="","",IF(COUNTIFS($Q$2:$Q$1300,$Q1055,$U$2:$U$1300,"&gt;"&amp;$U1055)&gt;0,0,IF(AND(ISNUMBER($F1055),ISNUMBER($X1055)),IF(ABS($F1055-$X1055)&gt;_QA!$C$6,1,0),IF($F1055&amp;""=$X1055&amp;"",0,1))))</f>
        <v/>
      </c>
    </row>
    <row r="1056" spans="24:25" x14ac:dyDescent="0.3">
      <c r="X1056" s="193" t="str">
        <f>IF($Q1056="","",IFERROR(INDEX(BD_KPIs!$F$2:$F$1300,MATCH($Q1056,BD_KPIs!$Q$2:$Q$1300,0)),"n/d"))</f>
        <v/>
      </c>
      <c r="Y1056" s="193" t="str">
        <f>IF($Q1056="","",IF(COUNTIFS($Q$2:$Q$1300,$Q1056,$U$2:$U$1300,"&gt;"&amp;$U1056)&gt;0,0,IF(AND(ISNUMBER($F1056),ISNUMBER($X1056)),IF(ABS($F1056-$X1056)&gt;_QA!$C$6,1,0),IF($F1056&amp;""=$X1056&amp;"",0,1))))</f>
        <v/>
      </c>
    </row>
    <row r="1057" spans="24:25" x14ac:dyDescent="0.3">
      <c r="X1057" s="193" t="str">
        <f>IF($Q1057="","",IFERROR(INDEX(BD_KPIs!$F$2:$F$1300,MATCH($Q1057,BD_KPIs!$Q$2:$Q$1300,0)),"n/d"))</f>
        <v/>
      </c>
      <c r="Y1057" s="193" t="str">
        <f>IF($Q1057="","",IF(COUNTIFS($Q$2:$Q$1300,$Q1057,$U$2:$U$1300,"&gt;"&amp;$U1057)&gt;0,0,IF(AND(ISNUMBER($F1057),ISNUMBER($X1057)),IF(ABS($F1057-$X1057)&gt;_QA!$C$6,1,0),IF($F1057&amp;""=$X1057&amp;"",0,1))))</f>
        <v/>
      </c>
    </row>
    <row r="1058" spans="24:25" x14ac:dyDescent="0.3">
      <c r="X1058" s="193" t="str">
        <f>IF($Q1058="","",IFERROR(INDEX(BD_KPIs!$F$2:$F$1300,MATCH($Q1058,BD_KPIs!$Q$2:$Q$1300,0)),"n/d"))</f>
        <v/>
      </c>
      <c r="Y1058" s="193" t="str">
        <f>IF($Q1058="","",IF(COUNTIFS($Q$2:$Q$1300,$Q1058,$U$2:$U$1300,"&gt;"&amp;$U1058)&gt;0,0,IF(AND(ISNUMBER($F1058),ISNUMBER($X1058)),IF(ABS($F1058-$X1058)&gt;_QA!$C$6,1,0),IF($F1058&amp;""=$X1058&amp;"",0,1))))</f>
        <v/>
      </c>
    </row>
    <row r="1059" spans="24:25" x14ac:dyDescent="0.3">
      <c r="X1059" s="193" t="str">
        <f>IF($Q1059="","",IFERROR(INDEX(BD_KPIs!$F$2:$F$1300,MATCH($Q1059,BD_KPIs!$Q$2:$Q$1300,0)),"n/d"))</f>
        <v/>
      </c>
      <c r="Y1059" s="193" t="str">
        <f>IF($Q1059="","",IF(COUNTIFS($Q$2:$Q$1300,$Q1059,$U$2:$U$1300,"&gt;"&amp;$U1059)&gt;0,0,IF(AND(ISNUMBER($F1059),ISNUMBER($X1059)),IF(ABS($F1059-$X1059)&gt;_QA!$C$6,1,0),IF($F1059&amp;""=$X1059&amp;"",0,1))))</f>
        <v/>
      </c>
    </row>
    <row r="1060" spans="24:25" x14ac:dyDescent="0.3">
      <c r="X1060" s="193" t="str">
        <f>IF($Q1060="","",IFERROR(INDEX(BD_KPIs!$F$2:$F$1300,MATCH($Q1060,BD_KPIs!$Q$2:$Q$1300,0)),"n/d"))</f>
        <v/>
      </c>
      <c r="Y1060" s="193" t="str">
        <f>IF($Q1060="","",IF(COUNTIFS($Q$2:$Q$1300,$Q1060,$U$2:$U$1300,"&gt;"&amp;$U1060)&gt;0,0,IF(AND(ISNUMBER($F1060),ISNUMBER($X1060)),IF(ABS($F1060-$X1060)&gt;_QA!$C$6,1,0),IF($F1060&amp;""=$X1060&amp;"",0,1))))</f>
        <v/>
      </c>
    </row>
    <row r="1061" spans="24:25" x14ac:dyDescent="0.3">
      <c r="X1061" s="193" t="str">
        <f>IF($Q1061="","",IFERROR(INDEX(BD_KPIs!$F$2:$F$1300,MATCH($Q1061,BD_KPIs!$Q$2:$Q$1300,0)),"n/d"))</f>
        <v/>
      </c>
      <c r="Y1061" s="193" t="str">
        <f>IF($Q1061="","",IF(COUNTIFS($Q$2:$Q$1300,$Q1061,$U$2:$U$1300,"&gt;"&amp;$U1061)&gt;0,0,IF(AND(ISNUMBER($F1061),ISNUMBER($X1061)),IF(ABS($F1061-$X1061)&gt;_QA!$C$6,1,0),IF($F1061&amp;""=$X1061&amp;"",0,1))))</f>
        <v/>
      </c>
    </row>
    <row r="1062" spans="24:25" x14ac:dyDescent="0.3">
      <c r="X1062" s="193" t="str">
        <f>IF($Q1062="","",IFERROR(INDEX(BD_KPIs!$F$2:$F$1300,MATCH($Q1062,BD_KPIs!$Q$2:$Q$1300,0)),"n/d"))</f>
        <v/>
      </c>
      <c r="Y1062" s="193" t="str">
        <f>IF($Q1062="","",IF(COUNTIFS($Q$2:$Q$1300,$Q1062,$U$2:$U$1300,"&gt;"&amp;$U1062)&gt;0,0,IF(AND(ISNUMBER($F1062),ISNUMBER($X1062)),IF(ABS($F1062-$X1062)&gt;_QA!$C$6,1,0),IF($F1062&amp;""=$X1062&amp;"",0,1))))</f>
        <v/>
      </c>
    </row>
    <row r="1063" spans="24:25" x14ac:dyDescent="0.3">
      <c r="X1063" s="193" t="str">
        <f>IF($Q1063="","",IFERROR(INDEX(BD_KPIs!$F$2:$F$1300,MATCH($Q1063,BD_KPIs!$Q$2:$Q$1300,0)),"n/d"))</f>
        <v/>
      </c>
      <c r="Y1063" s="193" t="str">
        <f>IF($Q1063="","",IF(COUNTIFS($Q$2:$Q$1300,$Q1063,$U$2:$U$1300,"&gt;"&amp;$U1063)&gt;0,0,IF(AND(ISNUMBER($F1063),ISNUMBER($X1063)),IF(ABS($F1063-$X1063)&gt;_QA!$C$6,1,0),IF($F1063&amp;""=$X1063&amp;"",0,1))))</f>
        <v/>
      </c>
    </row>
    <row r="1064" spans="24:25" x14ac:dyDescent="0.3">
      <c r="X1064" s="193" t="str">
        <f>IF($Q1064="","",IFERROR(INDEX(BD_KPIs!$F$2:$F$1300,MATCH($Q1064,BD_KPIs!$Q$2:$Q$1300,0)),"n/d"))</f>
        <v/>
      </c>
      <c r="Y1064" s="193" t="str">
        <f>IF($Q1064="","",IF(COUNTIFS($Q$2:$Q$1300,$Q1064,$U$2:$U$1300,"&gt;"&amp;$U1064)&gt;0,0,IF(AND(ISNUMBER($F1064),ISNUMBER($X1064)),IF(ABS($F1064-$X1064)&gt;_QA!$C$6,1,0),IF($F1064&amp;""=$X1064&amp;"",0,1))))</f>
        <v/>
      </c>
    </row>
    <row r="1065" spans="24:25" x14ac:dyDescent="0.3">
      <c r="X1065" s="193" t="str">
        <f>IF($Q1065="","",IFERROR(INDEX(BD_KPIs!$F$2:$F$1300,MATCH($Q1065,BD_KPIs!$Q$2:$Q$1300,0)),"n/d"))</f>
        <v/>
      </c>
      <c r="Y1065" s="193" t="str">
        <f>IF($Q1065="","",IF(COUNTIFS($Q$2:$Q$1300,$Q1065,$U$2:$U$1300,"&gt;"&amp;$U1065)&gt;0,0,IF(AND(ISNUMBER($F1065),ISNUMBER($X1065)),IF(ABS($F1065-$X1065)&gt;_QA!$C$6,1,0),IF($F1065&amp;""=$X1065&amp;"",0,1))))</f>
        <v/>
      </c>
    </row>
    <row r="1066" spans="24:25" x14ac:dyDescent="0.3">
      <c r="X1066" s="193" t="str">
        <f>IF($Q1066="","",IFERROR(INDEX(BD_KPIs!$F$2:$F$1300,MATCH($Q1066,BD_KPIs!$Q$2:$Q$1300,0)),"n/d"))</f>
        <v/>
      </c>
      <c r="Y1066" s="193" t="str">
        <f>IF($Q1066="","",IF(COUNTIFS($Q$2:$Q$1300,$Q1066,$U$2:$U$1300,"&gt;"&amp;$U1066)&gt;0,0,IF(AND(ISNUMBER($F1066),ISNUMBER($X1066)),IF(ABS($F1066-$X1066)&gt;_QA!$C$6,1,0),IF($F1066&amp;""=$X1066&amp;"",0,1))))</f>
        <v/>
      </c>
    </row>
    <row r="1067" spans="24:25" x14ac:dyDescent="0.3">
      <c r="X1067" s="193" t="str">
        <f>IF($Q1067="","",IFERROR(INDEX(BD_KPIs!$F$2:$F$1300,MATCH($Q1067,BD_KPIs!$Q$2:$Q$1300,0)),"n/d"))</f>
        <v/>
      </c>
      <c r="Y1067" s="193" t="str">
        <f>IF($Q1067="","",IF(COUNTIFS($Q$2:$Q$1300,$Q1067,$U$2:$U$1300,"&gt;"&amp;$U1067)&gt;0,0,IF(AND(ISNUMBER($F1067),ISNUMBER($X1067)),IF(ABS($F1067-$X1067)&gt;_QA!$C$6,1,0),IF($F1067&amp;""=$X1067&amp;"",0,1))))</f>
        <v/>
      </c>
    </row>
    <row r="1068" spans="24:25" x14ac:dyDescent="0.3">
      <c r="X1068" s="193" t="str">
        <f>IF($Q1068="","",IFERROR(INDEX(BD_KPIs!$F$2:$F$1300,MATCH($Q1068,BD_KPIs!$Q$2:$Q$1300,0)),"n/d"))</f>
        <v/>
      </c>
      <c r="Y1068" s="193" t="str">
        <f>IF($Q1068="","",IF(COUNTIFS($Q$2:$Q$1300,$Q1068,$U$2:$U$1300,"&gt;"&amp;$U1068)&gt;0,0,IF(AND(ISNUMBER($F1068),ISNUMBER($X1068)),IF(ABS($F1068-$X1068)&gt;_QA!$C$6,1,0),IF($F1068&amp;""=$X1068&amp;"",0,1))))</f>
        <v/>
      </c>
    </row>
    <row r="1069" spans="24:25" x14ac:dyDescent="0.3">
      <c r="X1069" s="193" t="str">
        <f>IF($Q1069="","",IFERROR(INDEX(BD_KPIs!$F$2:$F$1300,MATCH($Q1069,BD_KPIs!$Q$2:$Q$1300,0)),"n/d"))</f>
        <v/>
      </c>
      <c r="Y1069" s="193" t="str">
        <f>IF($Q1069="","",IF(COUNTIFS($Q$2:$Q$1300,$Q1069,$U$2:$U$1300,"&gt;"&amp;$U1069)&gt;0,0,IF(AND(ISNUMBER($F1069),ISNUMBER($X1069)),IF(ABS($F1069-$X1069)&gt;_QA!$C$6,1,0),IF($F1069&amp;""=$X1069&amp;"",0,1))))</f>
        <v/>
      </c>
    </row>
    <row r="1070" spans="24:25" x14ac:dyDescent="0.3">
      <c r="X1070" s="193" t="str">
        <f>IF($Q1070="","",IFERROR(INDEX(BD_KPIs!$F$2:$F$1300,MATCH($Q1070,BD_KPIs!$Q$2:$Q$1300,0)),"n/d"))</f>
        <v/>
      </c>
      <c r="Y1070" s="193" t="str">
        <f>IF($Q1070="","",IF(COUNTIFS($Q$2:$Q$1300,$Q1070,$U$2:$U$1300,"&gt;"&amp;$U1070)&gt;0,0,IF(AND(ISNUMBER($F1070),ISNUMBER($X1070)),IF(ABS($F1070-$X1070)&gt;_QA!$C$6,1,0),IF($F1070&amp;""=$X1070&amp;"",0,1))))</f>
        <v/>
      </c>
    </row>
    <row r="1071" spans="24:25" x14ac:dyDescent="0.3">
      <c r="X1071" s="193" t="str">
        <f>IF($Q1071="","",IFERROR(INDEX(BD_KPIs!$F$2:$F$1300,MATCH($Q1071,BD_KPIs!$Q$2:$Q$1300,0)),"n/d"))</f>
        <v/>
      </c>
      <c r="Y1071" s="193" t="str">
        <f>IF($Q1071="","",IF(COUNTIFS($Q$2:$Q$1300,$Q1071,$U$2:$U$1300,"&gt;"&amp;$U1071)&gt;0,0,IF(AND(ISNUMBER($F1071),ISNUMBER($X1071)),IF(ABS($F1071-$X1071)&gt;_QA!$C$6,1,0),IF($F1071&amp;""=$X1071&amp;"",0,1))))</f>
        <v/>
      </c>
    </row>
    <row r="1072" spans="24:25" x14ac:dyDescent="0.3">
      <c r="X1072" s="193" t="str">
        <f>IF($Q1072="","",IFERROR(INDEX(BD_KPIs!$F$2:$F$1300,MATCH($Q1072,BD_KPIs!$Q$2:$Q$1300,0)),"n/d"))</f>
        <v/>
      </c>
      <c r="Y1072" s="193" t="str">
        <f>IF($Q1072="","",IF(COUNTIFS($Q$2:$Q$1300,$Q1072,$U$2:$U$1300,"&gt;"&amp;$U1072)&gt;0,0,IF(AND(ISNUMBER($F1072),ISNUMBER($X1072)),IF(ABS($F1072-$X1072)&gt;_QA!$C$6,1,0),IF($F1072&amp;""=$X1072&amp;"",0,1))))</f>
        <v/>
      </c>
    </row>
    <row r="1073" spans="24:25" x14ac:dyDescent="0.3">
      <c r="X1073" s="193" t="str">
        <f>IF($Q1073="","",IFERROR(INDEX(BD_KPIs!$F$2:$F$1300,MATCH($Q1073,BD_KPIs!$Q$2:$Q$1300,0)),"n/d"))</f>
        <v/>
      </c>
      <c r="Y1073" s="193" t="str">
        <f>IF($Q1073="","",IF(COUNTIFS($Q$2:$Q$1300,$Q1073,$U$2:$U$1300,"&gt;"&amp;$U1073)&gt;0,0,IF(AND(ISNUMBER($F1073),ISNUMBER($X1073)),IF(ABS($F1073-$X1073)&gt;_QA!$C$6,1,0),IF($F1073&amp;""=$X1073&amp;"",0,1))))</f>
        <v/>
      </c>
    </row>
    <row r="1074" spans="24:25" x14ac:dyDescent="0.3">
      <c r="X1074" s="193" t="str">
        <f>IF($Q1074="","",IFERROR(INDEX(BD_KPIs!$F$2:$F$1300,MATCH($Q1074,BD_KPIs!$Q$2:$Q$1300,0)),"n/d"))</f>
        <v/>
      </c>
      <c r="Y1074" s="193" t="str">
        <f>IF($Q1074="","",IF(COUNTIFS($Q$2:$Q$1300,$Q1074,$U$2:$U$1300,"&gt;"&amp;$U1074)&gt;0,0,IF(AND(ISNUMBER($F1074),ISNUMBER($X1074)),IF(ABS($F1074-$X1074)&gt;_QA!$C$6,1,0),IF($F1074&amp;""=$X1074&amp;"",0,1))))</f>
        <v/>
      </c>
    </row>
    <row r="1075" spans="24:25" x14ac:dyDescent="0.3">
      <c r="X1075" s="193" t="str">
        <f>IF($Q1075="","",IFERROR(INDEX(BD_KPIs!$F$2:$F$1300,MATCH($Q1075,BD_KPIs!$Q$2:$Q$1300,0)),"n/d"))</f>
        <v/>
      </c>
      <c r="Y1075" s="193" t="str">
        <f>IF($Q1075="","",IF(COUNTIFS($Q$2:$Q$1300,$Q1075,$U$2:$U$1300,"&gt;"&amp;$U1075)&gt;0,0,IF(AND(ISNUMBER($F1075),ISNUMBER($X1075)),IF(ABS($F1075-$X1075)&gt;_QA!$C$6,1,0),IF($F1075&amp;""=$X1075&amp;"",0,1))))</f>
        <v/>
      </c>
    </row>
    <row r="1076" spans="24:25" x14ac:dyDescent="0.3">
      <c r="X1076" s="193" t="str">
        <f>IF($Q1076="","",IFERROR(INDEX(BD_KPIs!$F$2:$F$1300,MATCH($Q1076,BD_KPIs!$Q$2:$Q$1300,0)),"n/d"))</f>
        <v/>
      </c>
      <c r="Y1076" s="193" t="str">
        <f>IF($Q1076="","",IF(COUNTIFS($Q$2:$Q$1300,$Q1076,$U$2:$U$1300,"&gt;"&amp;$U1076)&gt;0,0,IF(AND(ISNUMBER($F1076),ISNUMBER($X1076)),IF(ABS($F1076-$X1076)&gt;_QA!$C$6,1,0),IF($F1076&amp;""=$X1076&amp;"",0,1))))</f>
        <v/>
      </c>
    </row>
    <row r="1077" spans="24:25" x14ac:dyDescent="0.3">
      <c r="X1077" s="193" t="str">
        <f>IF($Q1077="","",IFERROR(INDEX(BD_KPIs!$F$2:$F$1300,MATCH($Q1077,BD_KPIs!$Q$2:$Q$1300,0)),"n/d"))</f>
        <v/>
      </c>
      <c r="Y1077" s="193" t="str">
        <f>IF($Q1077="","",IF(COUNTIFS($Q$2:$Q$1300,$Q1077,$U$2:$U$1300,"&gt;"&amp;$U1077)&gt;0,0,IF(AND(ISNUMBER($F1077),ISNUMBER($X1077)),IF(ABS($F1077-$X1077)&gt;_QA!$C$6,1,0),IF($F1077&amp;""=$X1077&amp;"",0,1))))</f>
        <v/>
      </c>
    </row>
    <row r="1078" spans="24:25" x14ac:dyDescent="0.3">
      <c r="X1078" s="193" t="str">
        <f>IF($Q1078="","",IFERROR(INDEX(BD_KPIs!$F$2:$F$1300,MATCH($Q1078,BD_KPIs!$Q$2:$Q$1300,0)),"n/d"))</f>
        <v/>
      </c>
      <c r="Y1078" s="193" t="str">
        <f>IF($Q1078="","",IF(COUNTIFS($Q$2:$Q$1300,$Q1078,$U$2:$U$1300,"&gt;"&amp;$U1078)&gt;0,0,IF(AND(ISNUMBER($F1078),ISNUMBER($X1078)),IF(ABS($F1078-$X1078)&gt;_QA!$C$6,1,0),IF($F1078&amp;""=$X1078&amp;"",0,1))))</f>
        <v/>
      </c>
    </row>
    <row r="1079" spans="24:25" x14ac:dyDescent="0.3">
      <c r="X1079" s="193" t="str">
        <f>IF($Q1079="","",IFERROR(INDEX(BD_KPIs!$F$2:$F$1300,MATCH($Q1079,BD_KPIs!$Q$2:$Q$1300,0)),"n/d"))</f>
        <v/>
      </c>
      <c r="Y1079" s="193" t="str">
        <f>IF($Q1079="","",IF(COUNTIFS($Q$2:$Q$1300,$Q1079,$U$2:$U$1300,"&gt;"&amp;$U1079)&gt;0,0,IF(AND(ISNUMBER($F1079),ISNUMBER($X1079)),IF(ABS($F1079-$X1079)&gt;_QA!$C$6,1,0),IF($F1079&amp;""=$X1079&amp;"",0,1))))</f>
        <v/>
      </c>
    </row>
    <row r="1080" spans="24:25" x14ac:dyDescent="0.3">
      <c r="X1080" s="193" t="str">
        <f>IF($Q1080="","",IFERROR(INDEX(BD_KPIs!$F$2:$F$1300,MATCH($Q1080,BD_KPIs!$Q$2:$Q$1300,0)),"n/d"))</f>
        <v/>
      </c>
      <c r="Y1080" s="193" t="str">
        <f>IF($Q1080="","",IF(COUNTIFS($Q$2:$Q$1300,$Q1080,$U$2:$U$1300,"&gt;"&amp;$U1080)&gt;0,0,IF(AND(ISNUMBER($F1080),ISNUMBER($X1080)),IF(ABS($F1080-$X1080)&gt;_QA!$C$6,1,0),IF($F1080&amp;""=$X1080&amp;"",0,1))))</f>
        <v/>
      </c>
    </row>
    <row r="1081" spans="24:25" x14ac:dyDescent="0.3">
      <c r="X1081" s="193" t="str">
        <f>IF($Q1081="","",IFERROR(INDEX(BD_KPIs!$F$2:$F$1300,MATCH($Q1081,BD_KPIs!$Q$2:$Q$1300,0)),"n/d"))</f>
        <v/>
      </c>
      <c r="Y1081" s="193" t="str">
        <f>IF($Q1081="","",IF(COUNTIFS($Q$2:$Q$1300,$Q1081,$U$2:$U$1300,"&gt;"&amp;$U1081)&gt;0,0,IF(AND(ISNUMBER($F1081),ISNUMBER($X1081)),IF(ABS($F1081-$X1081)&gt;_QA!$C$6,1,0),IF($F1081&amp;""=$X1081&amp;"",0,1))))</f>
        <v/>
      </c>
    </row>
    <row r="1082" spans="24:25" x14ac:dyDescent="0.3">
      <c r="X1082" s="193" t="str">
        <f>IF($Q1082="","",IFERROR(INDEX(BD_KPIs!$F$2:$F$1300,MATCH($Q1082,BD_KPIs!$Q$2:$Q$1300,0)),"n/d"))</f>
        <v/>
      </c>
      <c r="Y1082" s="193" t="str">
        <f>IF($Q1082="","",IF(COUNTIFS($Q$2:$Q$1300,$Q1082,$U$2:$U$1300,"&gt;"&amp;$U1082)&gt;0,0,IF(AND(ISNUMBER($F1082),ISNUMBER($X1082)),IF(ABS($F1082-$X1082)&gt;_QA!$C$6,1,0),IF($F1082&amp;""=$X1082&amp;"",0,1))))</f>
        <v/>
      </c>
    </row>
    <row r="1083" spans="24:25" x14ac:dyDescent="0.3">
      <c r="X1083" s="193" t="str">
        <f>IF($Q1083="","",IFERROR(INDEX(BD_KPIs!$F$2:$F$1300,MATCH($Q1083,BD_KPIs!$Q$2:$Q$1300,0)),"n/d"))</f>
        <v/>
      </c>
      <c r="Y1083" s="193" t="str">
        <f>IF($Q1083="","",IF(COUNTIFS($Q$2:$Q$1300,$Q1083,$U$2:$U$1300,"&gt;"&amp;$U1083)&gt;0,0,IF(AND(ISNUMBER($F1083),ISNUMBER($X1083)),IF(ABS($F1083-$X1083)&gt;_QA!$C$6,1,0),IF($F1083&amp;""=$X1083&amp;"",0,1))))</f>
        <v/>
      </c>
    </row>
    <row r="1084" spans="24:25" x14ac:dyDescent="0.3">
      <c r="X1084" s="193" t="str">
        <f>IF($Q1084="","",IFERROR(INDEX(BD_KPIs!$F$2:$F$1300,MATCH($Q1084,BD_KPIs!$Q$2:$Q$1300,0)),"n/d"))</f>
        <v/>
      </c>
      <c r="Y1084" s="193" t="str">
        <f>IF($Q1084="","",IF(COUNTIFS($Q$2:$Q$1300,$Q1084,$U$2:$U$1300,"&gt;"&amp;$U1084)&gt;0,0,IF(AND(ISNUMBER($F1084),ISNUMBER($X1084)),IF(ABS($F1084-$X1084)&gt;_QA!$C$6,1,0),IF($F1084&amp;""=$X1084&amp;"",0,1))))</f>
        <v/>
      </c>
    </row>
    <row r="1085" spans="24:25" x14ac:dyDescent="0.3">
      <c r="X1085" s="193" t="str">
        <f>IF($Q1085="","",IFERROR(INDEX(BD_KPIs!$F$2:$F$1300,MATCH($Q1085,BD_KPIs!$Q$2:$Q$1300,0)),"n/d"))</f>
        <v/>
      </c>
      <c r="Y1085" s="193" t="str">
        <f>IF($Q1085="","",IF(COUNTIFS($Q$2:$Q$1300,$Q1085,$U$2:$U$1300,"&gt;"&amp;$U1085)&gt;0,0,IF(AND(ISNUMBER($F1085),ISNUMBER($X1085)),IF(ABS($F1085-$X1085)&gt;_QA!$C$6,1,0),IF($F1085&amp;""=$X1085&amp;"",0,1))))</f>
        <v/>
      </c>
    </row>
    <row r="1086" spans="24:25" x14ac:dyDescent="0.3">
      <c r="X1086" s="193" t="str">
        <f>IF($Q1086="","",IFERROR(INDEX(BD_KPIs!$F$2:$F$1300,MATCH($Q1086,BD_KPIs!$Q$2:$Q$1300,0)),"n/d"))</f>
        <v/>
      </c>
      <c r="Y1086" s="193" t="str">
        <f>IF($Q1086="","",IF(COUNTIFS($Q$2:$Q$1300,$Q1086,$U$2:$U$1300,"&gt;"&amp;$U1086)&gt;0,0,IF(AND(ISNUMBER($F1086),ISNUMBER($X1086)),IF(ABS($F1086-$X1086)&gt;_QA!$C$6,1,0),IF($F1086&amp;""=$X1086&amp;"",0,1))))</f>
        <v/>
      </c>
    </row>
    <row r="1087" spans="24:25" x14ac:dyDescent="0.3">
      <c r="X1087" s="193" t="str">
        <f>IF($Q1087="","",IFERROR(INDEX(BD_KPIs!$F$2:$F$1300,MATCH($Q1087,BD_KPIs!$Q$2:$Q$1300,0)),"n/d"))</f>
        <v/>
      </c>
      <c r="Y1087" s="193" t="str">
        <f>IF($Q1087="","",IF(COUNTIFS($Q$2:$Q$1300,$Q1087,$U$2:$U$1300,"&gt;"&amp;$U1087)&gt;0,0,IF(AND(ISNUMBER($F1087),ISNUMBER($X1087)),IF(ABS($F1087-$X1087)&gt;_QA!$C$6,1,0),IF($F1087&amp;""=$X1087&amp;"",0,1))))</f>
        <v/>
      </c>
    </row>
    <row r="1088" spans="24:25" x14ac:dyDescent="0.3">
      <c r="X1088" s="193" t="str">
        <f>IF($Q1088="","",IFERROR(INDEX(BD_KPIs!$F$2:$F$1300,MATCH($Q1088,BD_KPIs!$Q$2:$Q$1300,0)),"n/d"))</f>
        <v/>
      </c>
      <c r="Y1088" s="193" t="str">
        <f>IF($Q1088="","",IF(COUNTIFS($Q$2:$Q$1300,$Q1088,$U$2:$U$1300,"&gt;"&amp;$U1088)&gt;0,0,IF(AND(ISNUMBER($F1088),ISNUMBER($X1088)),IF(ABS($F1088-$X1088)&gt;_QA!$C$6,1,0),IF($F1088&amp;""=$X1088&amp;"",0,1))))</f>
        <v/>
      </c>
    </row>
    <row r="1089" spans="24:25" x14ac:dyDescent="0.3">
      <c r="X1089" s="193" t="str">
        <f>IF($Q1089="","",IFERROR(INDEX(BD_KPIs!$F$2:$F$1300,MATCH($Q1089,BD_KPIs!$Q$2:$Q$1300,0)),"n/d"))</f>
        <v/>
      </c>
      <c r="Y1089" s="193" t="str">
        <f>IF($Q1089="","",IF(COUNTIFS($Q$2:$Q$1300,$Q1089,$U$2:$U$1300,"&gt;"&amp;$U1089)&gt;0,0,IF(AND(ISNUMBER($F1089),ISNUMBER($X1089)),IF(ABS($F1089-$X1089)&gt;_QA!$C$6,1,0),IF($F1089&amp;""=$X1089&amp;"",0,1))))</f>
        <v/>
      </c>
    </row>
    <row r="1090" spans="24:25" x14ac:dyDescent="0.3">
      <c r="X1090" s="193" t="str">
        <f>IF($Q1090="","",IFERROR(INDEX(BD_KPIs!$F$2:$F$1300,MATCH($Q1090,BD_KPIs!$Q$2:$Q$1300,0)),"n/d"))</f>
        <v/>
      </c>
      <c r="Y1090" s="193" t="str">
        <f>IF($Q1090="","",IF(COUNTIFS($Q$2:$Q$1300,$Q1090,$U$2:$U$1300,"&gt;"&amp;$U1090)&gt;0,0,IF(AND(ISNUMBER($F1090),ISNUMBER($X1090)),IF(ABS($F1090-$X1090)&gt;_QA!$C$6,1,0),IF($F1090&amp;""=$X1090&amp;"",0,1))))</f>
        <v/>
      </c>
    </row>
    <row r="1091" spans="24:25" x14ac:dyDescent="0.3">
      <c r="X1091" s="193" t="str">
        <f>IF($Q1091="","",IFERROR(INDEX(BD_KPIs!$F$2:$F$1300,MATCH($Q1091,BD_KPIs!$Q$2:$Q$1300,0)),"n/d"))</f>
        <v/>
      </c>
      <c r="Y1091" s="193" t="str">
        <f>IF($Q1091="","",IF(COUNTIFS($Q$2:$Q$1300,$Q1091,$U$2:$U$1300,"&gt;"&amp;$U1091)&gt;0,0,IF(AND(ISNUMBER($F1091),ISNUMBER($X1091)),IF(ABS($F1091-$X1091)&gt;_QA!$C$6,1,0),IF($F1091&amp;""=$X1091&amp;"",0,1))))</f>
        <v/>
      </c>
    </row>
    <row r="1092" spans="24:25" x14ac:dyDescent="0.3">
      <c r="X1092" s="193" t="str">
        <f>IF($Q1092="","",IFERROR(INDEX(BD_KPIs!$F$2:$F$1300,MATCH($Q1092,BD_KPIs!$Q$2:$Q$1300,0)),"n/d"))</f>
        <v/>
      </c>
      <c r="Y1092" s="193" t="str">
        <f>IF($Q1092="","",IF(COUNTIFS($Q$2:$Q$1300,$Q1092,$U$2:$U$1300,"&gt;"&amp;$U1092)&gt;0,0,IF(AND(ISNUMBER($F1092),ISNUMBER($X1092)),IF(ABS($F1092-$X1092)&gt;_QA!$C$6,1,0),IF($F1092&amp;""=$X1092&amp;"",0,1))))</f>
        <v/>
      </c>
    </row>
    <row r="1093" spans="24:25" x14ac:dyDescent="0.3">
      <c r="X1093" s="193" t="str">
        <f>IF($Q1093="","",IFERROR(INDEX(BD_KPIs!$F$2:$F$1300,MATCH($Q1093,BD_KPIs!$Q$2:$Q$1300,0)),"n/d"))</f>
        <v/>
      </c>
      <c r="Y1093" s="193" t="str">
        <f>IF($Q1093="","",IF(COUNTIFS($Q$2:$Q$1300,$Q1093,$U$2:$U$1300,"&gt;"&amp;$U1093)&gt;0,0,IF(AND(ISNUMBER($F1093),ISNUMBER($X1093)),IF(ABS($F1093-$X1093)&gt;_QA!$C$6,1,0),IF($F1093&amp;""=$X1093&amp;"",0,1))))</f>
        <v/>
      </c>
    </row>
    <row r="1094" spans="24:25" x14ac:dyDescent="0.3">
      <c r="X1094" s="193" t="str">
        <f>IF($Q1094="","",IFERROR(INDEX(BD_KPIs!$F$2:$F$1300,MATCH($Q1094,BD_KPIs!$Q$2:$Q$1300,0)),"n/d"))</f>
        <v/>
      </c>
      <c r="Y1094" s="193" t="str">
        <f>IF($Q1094="","",IF(COUNTIFS($Q$2:$Q$1300,$Q1094,$U$2:$U$1300,"&gt;"&amp;$U1094)&gt;0,0,IF(AND(ISNUMBER($F1094),ISNUMBER($X1094)),IF(ABS($F1094-$X1094)&gt;_QA!$C$6,1,0),IF($F1094&amp;""=$X1094&amp;"",0,1))))</f>
        <v/>
      </c>
    </row>
    <row r="1095" spans="24:25" x14ac:dyDescent="0.3">
      <c r="X1095" s="193" t="str">
        <f>IF($Q1095="","",IFERROR(INDEX(BD_KPIs!$F$2:$F$1300,MATCH($Q1095,BD_KPIs!$Q$2:$Q$1300,0)),"n/d"))</f>
        <v/>
      </c>
      <c r="Y1095" s="193" t="str">
        <f>IF($Q1095="","",IF(COUNTIFS($Q$2:$Q$1300,$Q1095,$U$2:$U$1300,"&gt;"&amp;$U1095)&gt;0,0,IF(AND(ISNUMBER($F1095),ISNUMBER($X1095)),IF(ABS($F1095-$X1095)&gt;_QA!$C$6,1,0),IF($F1095&amp;""=$X1095&amp;"",0,1))))</f>
        <v/>
      </c>
    </row>
    <row r="1096" spans="24:25" x14ac:dyDescent="0.3">
      <c r="X1096" s="193" t="str">
        <f>IF($Q1096="","",IFERROR(INDEX(BD_KPIs!$F$2:$F$1300,MATCH($Q1096,BD_KPIs!$Q$2:$Q$1300,0)),"n/d"))</f>
        <v/>
      </c>
      <c r="Y1096" s="193" t="str">
        <f>IF($Q1096="","",IF(COUNTIFS($Q$2:$Q$1300,$Q1096,$U$2:$U$1300,"&gt;"&amp;$U1096)&gt;0,0,IF(AND(ISNUMBER($F1096),ISNUMBER($X1096)),IF(ABS($F1096-$X1096)&gt;_QA!$C$6,1,0),IF($F1096&amp;""=$X1096&amp;"",0,1))))</f>
        <v/>
      </c>
    </row>
    <row r="1097" spans="24:25" x14ac:dyDescent="0.3">
      <c r="X1097" s="193" t="str">
        <f>IF($Q1097="","",IFERROR(INDEX(BD_KPIs!$F$2:$F$1300,MATCH($Q1097,BD_KPIs!$Q$2:$Q$1300,0)),"n/d"))</f>
        <v/>
      </c>
      <c r="Y1097" s="193" t="str">
        <f>IF($Q1097="","",IF(COUNTIFS($Q$2:$Q$1300,$Q1097,$U$2:$U$1300,"&gt;"&amp;$U1097)&gt;0,0,IF(AND(ISNUMBER($F1097),ISNUMBER($X1097)),IF(ABS($F1097-$X1097)&gt;_QA!$C$6,1,0),IF($F1097&amp;""=$X1097&amp;"",0,1))))</f>
        <v/>
      </c>
    </row>
    <row r="1098" spans="24:25" x14ac:dyDescent="0.3">
      <c r="X1098" s="193" t="str">
        <f>IF($Q1098="","",IFERROR(INDEX(BD_KPIs!$F$2:$F$1300,MATCH($Q1098,BD_KPIs!$Q$2:$Q$1300,0)),"n/d"))</f>
        <v/>
      </c>
      <c r="Y1098" s="193" t="str">
        <f>IF($Q1098="","",IF(COUNTIFS($Q$2:$Q$1300,$Q1098,$U$2:$U$1300,"&gt;"&amp;$U1098)&gt;0,0,IF(AND(ISNUMBER($F1098),ISNUMBER($X1098)),IF(ABS($F1098-$X1098)&gt;_QA!$C$6,1,0),IF($F1098&amp;""=$X1098&amp;"",0,1))))</f>
        <v/>
      </c>
    </row>
    <row r="1099" spans="24:25" x14ac:dyDescent="0.3">
      <c r="X1099" s="193" t="str">
        <f>IF($Q1099="","",IFERROR(INDEX(BD_KPIs!$F$2:$F$1300,MATCH($Q1099,BD_KPIs!$Q$2:$Q$1300,0)),"n/d"))</f>
        <v/>
      </c>
      <c r="Y1099" s="193" t="str">
        <f>IF($Q1099="","",IF(COUNTIFS($Q$2:$Q$1300,$Q1099,$U$2:$U$1300,"&gt;"&amp;$U1099)&gt;0,0,IF(AND(ISNUMBER($F1099),ISNUMBER($X1099)),IF(ABS($F1099-$X1099)&gt;_QA!$C$6,1,0),IF($F1099&amp;""=$X1099&amp;"",0,1))))</f>
        <v/>
      </c>
    </row>
    <row r="1100" spans="24:25" x14ac:dyDescent="0.3">
      <c r="X1100" s="193" t="str">
        <f>IF($Q1100="","",IFERROR(INDEX(BD_KPIs!$F$2:$F$1300,MATCH($Q1100,BD_KPIs!$Q$2:$Q$1300,0)),"n/d"))</f>
        <v/>
      </c>
      <c r="Y1100" s="193" t="str">
        <f>IF($Q1100="","",IF(COUNTIFS($Q$2:$Q$1300,$Q1100,$U$2:$U$1300,"&gt;"&amp;$U1100)&gt;0,0,IF(AND(ISNUMBER($F1100),ISNUMBER($X1100)),IF(ABS($F1100-$X1100)&gt;_QA!$C$6,1,0),IF($F1100&amp;""=$X1100&amp;"",0,1))))</f>
        <v/>
      </c>
    </row>
    <row r="1101" spans="24:25" x14ac:dyDescent="0.3">
      <c r="X1101" s="193" t="str">
        <f>IF($Q1101="","",IFERROR(INDEX(BD_KPIs!$F$2:$F$1300,MATCH($Q1101,BD_KPIs!$Q$2:$Q$1300,0)),"n/d"))</f>
        <v/>
      </c>
      <c r="Y1101" s="193" t="str">
        <f>IF($Q1101="","",IF(COUNTIFS($Q$2:$Q$1300,$Q1101,$U$2:$U$1300,"&gt;"&amp;$U1101)&gt;0,0,IF(AND(ISNUMBER($F1101),ISNUMBER($X1101)),IF(ABS($F1101-$X1101)&gt;_QA!$C$6,1,0),IF($F1101&amp;""=$X1101&amp;"",0,1))))</f>
        <v/>
      </c>
    </row>
    <row r="1102" spans="24:25" x14ac:dyDescent="0.3">
      <c r="X1102" s="193" t="str">
        <f>IF($Q1102="","",IFERROR(INDEX(BD_KPIs!$F$2:$F$1300,MATCH($Q1102,BD_KPIs!$Q$2:$Q$1300,0)),"n/d"))</f>
        <v/>
      </c>
      <c r="Y1102" s="193" t="str">
        <f>IF($Q1102="","",IF(COUNTIFS($Q$2:$Q$1300,$Q1102,$U$2:$U$1300,"&gt;"&amp;$U1102)&gt;0,0,IF(AND(ISNUMBER($F1102),ISNUMBER($X1102)),IF(ABS($F1102-$X1102)&gt;_QA!$C$6,1,0),IF($F1102&amp;""=$X1102&amp;"",0,1))))</f>
        <v/>
      </c>
    </row>
    <row r="1103" spans="24:25" x14ac:dyDescent="0.3">
      <c r="X1103" s="193" t="str">
        <f>IF($Q1103="","",IFERROR(INDEX(BD_KPIs!$F$2:$F$1300,MATCH($Q1103,BD_KPIs!$Q$2:$Q$1300,0)),"n/d"))</f>
        <v/>
      </c>
      <c r="Y1103" s="193" t="str">
        <f>IF($Q1103="","",IF(COUNTIFS($Q$2:$Q$1300,$Q1103,$U$2:$U$1300,"&gt;"&amp;$U1103)&gt;0,0,IF(AND(ISNUMBER($F1103),ISNUMBER($X1103)),IF(ABS($F1103-$X1103)&gt;_QA!$C$6,1,0),IF($F1103&amp;""=$X1103&amp;"",0,1))))</f>
        <v/>
      </c>
    </row>
    <row r="1104" spans="24:25" x14ac:dyDescent="0.3">
      <c r="X1104" s="193" t="str">
        <f>IF($Q1104="","",IFERROR(INDEX(BD_KPIs!$F$2:$F$1300,MATCH($Q1104,BD_KPIs!$Q$2:$Q$1300,0)),"n/d"))</f>
        <v/>
      </c>
      <c r="Y1104" s="193" t="str">
        <f>IF($Q1104="","",IF(COUNTIFS($Q$2:$Q$1300,$Q1104,$U$2:$U$1300,"&gt;"&amp;$U1104)&gt;0,0,IF(AND(ISNUMBER($F1104),ISNUMBER($X1104)),IF(ABS($F1104-$X1104)&gt;_QA!$C$6,1,0),IF($F1104&amp;""=$X1104&amp;"",0,1))))</f>
        <v/>
      </c>
    </row>
    <row r="1105" spans="24:25" x14ac:dyDescent="0.3">
      <c r="X1105" s="193" t="str">
        <f>IF($Q1105="","",IFERROR(INDEX(BD_KPIs!$F$2:$F$1300,MATCH($Q1105,BD_KPIs!$Q$2:$Q$1300,0)),"n/d"))</f>
        <v/>
      </c>
      <c r="Y1105" s="193" t="str">
        <f>IF($Q1105="","",IF(COUNTIFS($Q$2:$Q$1300,$Q1105,$U$2:$U$1300,"&gt;"&amp;$U1105)&gt;0,0,IF(AND(ISNUMBER($F1105),ISNUMBER($X1105)),IF(ABS($F1105-$X1105)&gt;_QA!$C$6,1,0),IF($F1105&amp;""=$X1105&amp;"",0,1))))</f>
        <v/>
      </c>
    </row>
    <row r="1106" spans="24:25" x14ac:dyDescent="0.3">
      <c r="X1106" s="193" t="str">
        <f>IF($Q1106="","",IFERROR(INDEX(BD_KPIs!$F$2:$F$1300,MATCH($Q1106,BD_KPIs!$Q$2:$Q$1300,0)),"n/d"))</f>
        <v/>
      </c>
      <c r="Y1106" s="193" t="str">
        <f>IF($Q1106="","",IF(COUNTIFS($Q$2:$Q$1300,$Q1106,$U$2:$U$1300,"&gt;"&amp;$U1106)&gt;0,0,IF(AND(ISNUMBER($F1106),ISNUMBER($X1106)),IF(ABS($F1106-$X1106)&gt;_QA!$C$6,1,0),IF($F1106&amp;""=$X1106&amp;"",0,1))))</f>
        <v/>
      </c>
    </row>
    <row r="1107" spans="24:25" x14ac:dyDescent="0.3">
      <c r="X1107" s="193" t="str">
        <f>IF($Q1107="","",IFERROR(INDEX(BD_KPIs!$F$2:$F$1300,MATCH($Q1107,BD_KPIs!$Q$2:$Q$1300,0)),"n/d"))</f>
        <v/>
      </c>
      <c r="Y1107" s="193" t="str">
        <f>IF($Q1107="","",IF(COUNTIFS($Q$2:$Q$1300,$Q1107,$U$2:$U$1300,"&gt;"&amp;$U1107)&gt;0,0,IF(AND(ISNUMBER($F1107),ISNUMBER($X1107)),IF(ABS($F1107-$X1107)&gt;_QA!$C$6,1,0),IF($F1107&amp;""=$X1107&amp;"",0,1))))</f>
        <v/>
      </c>
    </row>
    <row r="1108" spans="24:25" x14ac:dyDescent="0.3">
      <c r="X1108" s="193" t="str">
        <f>IF($Q1108="","",IFERROR(INDEX(BD_KPIs!$F$2:$F$1300,MATCH($Q1108,BD_KPIs!$Q$2:$Q$1300,0)),"n/d"))</f>
        <v/>
      </c>
      <c r="Y1108" s="193" t="str">
        <f>IF($Q1108="","",IF(COUNTIFS($Q$2:$Q$1300,$Q1108,$U$2:$U$1300,"&gt;"&amp;$U1108)&gt;0,0,IF(AND(ISNUMBER($F1108),ISNUMBER($X1108)),IF(ABS($F1108-$X1108)&gt;_QA!$C$6,1,0),IF($F1108&amp;""=$X1108&amp;"",0,1))))</f>
        <v/>
      </c>
    </row>
    <row r="1109" spans="24:25" x14ac:dyDescent="0.3">
      <c r="X1109" s="193" t="str">
        <f>IF($Q1109="","",IFERROR(INDEX(BD_KPIs!$F$2:$F$1300,MATCH($Q1109,BD_KPIs!$Q$2:$Q$1300,0)),"n/d"))</f>
        <v/>
      </c>
      <c r="Y1109" s="193" t="str">
        <f>IF($Q1109="","",IF(COUNTIFS($Q$2:$Q$1300,$Q1109,$U$2:$U$1300,"&gt;"&amp;$U1109)&gt;0,0,IF(AND(ISNUMBER($F1109),ISNUMBER($X1109)),IF(ABS($F1109-$X1109)&gt;_QA!$C$6,1,0),IF($F1109&amp;""=$X1109&amp;"",0,1))))</f>
        <v/>
      </c>
    </row>
    <row r="1110" spans="24:25" x14ac:dyDescent="0.3">
      <c r="X1110" s="193" t="str">
        <f>IF($Q1110="","",IFERROR(INDEX(BD_KPIs!$F$2:$F$1300,MATCH($Q1110,BD_KPIs!$Q$2:$Q$1300,0)),"n/d"))</f>
        <v/>
      </c>
      <c r="Y1110" s="193" t="str">
        <f>IF($Q1110="","",IF(COUNTIFS($Q$2:$Q$1300,$Q1110,$U$2:$U$1300,"&gt;"&amp;$U1110)&gt;0,0,IF(AND(ISNUMBER($F1110),ISNUMBER($X1110)),IF(ABS($F1110-$X1110)&gt;_QA!$C$6,1,0),IF($F1110&amp;""=$X1110&amp;"",0,1))))</f>
        <v/>
      </c>
    </row>
    <row r="1111" spans="24:25" x14ac:dyDescent="0.3">
      <c r="X1111" s="193" t="str">
        <f>IF($Q1111="","",IFERROR(INDEX(BD_KPIs!$F$2:$F$1300,MATCH($Q1111,BD_KPIs!$Q$2:$Q$1300,0)),"n/d"))</f>
        <v/>
      </c>
      <c r="Y1111" s="193" t="str">
        <f>IF($Q1111="","",IF(COUNTIFS($Q$2:$Q$1300,$Q1111,$U$2:$U$1300,"&gt;"&amp;$U1111)&gt;0,0,IF(AND(ISNUMBER($F1111),ISNUMBER($X1111)),IF(ABS($F1111-$X1111)&gt;_QA!$C$6,1,0),IF($F1111&amp;""=$X1111&amp;"",0,1))))</f>
        <v/>
      </c>
    </row>
    <row r="1112" spans="24:25" x14ac:dyDescent="0.3">
      <c r="X1112" s="193" t="str">
        <f>IF($Q1112="","",IFERROR(INDEX(BD_KPIs!$F$2:$F$1300,MATCH($Q1112,BD_KPIs!$Q$2:$Q$1300,0)),"n/d"))</f>
        <v/>
      </c>
      <c r="Y1112" s="193" t="str">
        <f>IF($Q1112="","",IF(COUNTIFS($Q$2:$Q$1300,$Q1112,$U$2:$U$1300,"&gt;"&amp;$U1112)&gt;0,0,IF(AND(ISNUMBER($F1112),ISNUMBER($X1112)),IF(ABS($F1112-$X1112)&gt;_QA!$C$6,1,0),IF($F1112&amp;""=$X1112&amp;"",0,1))))</f>
        <v/>
      </c>
    </row>
    <row r="1113" spans="24:25" x14ac:dyDescent="0.3">
      <c r="X1113" s="193" t="str">
        <f>IF($Q1113="","",IFERROR(INDEX(BD_KPIs!$F$2:$F$1300,MATCH($Q1113,BD_KPIs!$Q$2:$Q$1300,0)),"n/d"))</f>
        <v/>
      </c>
      <c r="Y1113" s="193" t="str">
        <f>IF($Q1113="","",IF(COUNTIFS($Q$2:$Q$1300,$Q1113,$U$2:$U$1300,"&gt;"&amp;$U1113)&gt;0,0,IF(AND(ISNUMBER($F1113),ISNUMBER($X1113)),IF(ABS($F1113-$X1113)&gt;_QA!$C$6,1,0),IF($F1113&amp;""=$X1113&amp;"",0,1))))</f>
        <v/>
      </c>
    </row>
    <row r="1114" spans="24:25" x14ac:dyDescent="0.3">
      <c r="X1114" s="193" t="str">
        <f>IF($Q1114="","",IFERROR(INDEX(BD_KPIs!$F$2:$F$1300,MATCH($Q1114,BD_KPIs!$Q$2:$Q$1300,0)),"n/d"))</f>
        <v/>
      </c>
      <c r="Y1114" s="193" t="str">
        <f>IF($Q1114="","",IF(COUNTIFS($Q$2:$Q$1300,$Q1114,$U$2:$U$1300,"&gt;"&amp;$U1114)&gt;0,0,IF(AND(ISNUMBER($F1114),ISNUMBER($X1114)),IF(ABS($F1114-$X1114)&gt;_QA!$C$6,1,0),IF($F1114&amp;""=$X1114&amp;"",0,1))))</f>
        <v/>
      </c>
    </row>
    <row r="1115" spans="24:25" x14ac:dyDescent="0.3">
      <c r="X1115" s="193" t="str">
        <f>IF($Q1115="","",IFERROR(INDEX(BD_KPIs!$F$2:$F$1300,MATCH($Q1115,BD_KPIs!$Q$2:$Q$1300,0)),"n/d"))</f>
        <v/>
      </c>
      <c r="Y1115" s="193" t="str">
        <f>IF($Q1115="","",IF(COUNTIFS($Q$2:$Q$1300,$Q1115,$U$2:$U$1300,"&gt;"&amp;$U1115)&gt;0,0,IF(AND(ISNUMBER($F1115),ISNUMBER($X1115)),IF(ABS($F1115-$X1115)&gt;_QA!$C$6,1,0),IF($F1115&amp;""=$X1115&amp;"",0,1))))</f>
        <v/>
      </c>
    </row>
    <row r="1116" spans="24:25" x14ac:dyDescent="0.3">
      <c r="X1116" s="193" t="str">
        <f>IF($Q1116="","",IFERROR(INDEX(BD_KPIs!$F$2:$F$1300,MATCH($Q1116,BD_KPIs!$Q$2:$Q$1300,0)),"n/d"))</f>
        <v/>
      </c>
      <c r="Y1116" s="193" t="str">
        <f>IF($Q1116="","",IF(COUNTIFS($Q$2:$Q$1300,$Q1116,$U$2:$U$1300,"&gt;"&amp;$U1116)&gt;0,0,IF(AND(ISNUMBER($F1116),ISNUMBER($X1116)),IF(ABS($F1116-$X1116)&gt;_QA!$C$6,1,0),IF($F1116&amp;""=$X1116&amp;"",0,1))))</f>
        <v/>
      </c>
    </row>
    <row r="1117" spans="24:25" x14ac:dyDescent="0.3">
      <c r="X1117" s="193" t="str">
        <f>IF($Q1117="","",IFERROR(INDEX(BD_KPIs!$F$2:$F$1300,MATCH($Q1117,BD_KPIs!$Q$2:$Q$1300,0)),"n/d"))</f>
        <v/>
      </c>
      <c r="Y1117" s="193" t="str">
        <f>IF($Q1117="","",IF(COUNTIFS($Q$2:$Q$1300,$Q1117,$U$2:$U$1300,"&gt;"&amp;$U1117)&gt;0,0,IF(AND(ISNUMBER($F1117),ISNUMBER($X1117)),IF(ABS($F1117-$X1117)&gt;_QA!$C$6,1,0),IF($F1117&amp;""=$X1117&amp;"",0,1))))</f>
        <v/>
      </c>
    </row>
    <row r="1118" spans="24:25" x14ac:dyDescent="0.3">
      <c r="X1118" s="193" t="str">
        <f>IF($Q1118="","",IFERROR(INDEX(BD_KPIs!$F$2:$F$1300,MATCH($Q1118,BD_KPIs!$Q$2:$Q$1300,0)),"n/d"))</f>
        <v/>
      </c>
      <c r="Y1118" s="193" t="str">
        <f>IF($Q1118="","",IF(COUNTIFS($Q$2:$Q$1300,$Q1118,$U$2:$U$1300,"&gt;"&amp;$U1118)&gt;0,0,IF(AND(ISNUMBER($F1118),ISNUMBER($X1118)),IF(ABS($F1118-$X1118)&gt;_QA!$C$6,1,0),IF($F1118&amp;""=$X1118&amp;"",0,1))))</f>
        <v/>
      </c>
    </row>
    <row r="1119" spans="24:25" x14ac:dyDescent="0.3">
      <c r="X1119" s="193" t="str">
        <f>IF($Q1119="","",IFERROR(INDEX(BD_KPIs!$F$2:$F$1300,MATCH($Q1119,BD_KPIs!$Q$2:$Q$1300,0)),"n/d"))</f>
        <v/>
      </c>
      <c r="Y1119" s="193" t="str">
        <f>IF($Q1119="","",IF(COUNTIFS($Q$2:$Q$1300,$Q1119,$U$2:$U$1300,"&gt;"&amp;$U1119)&gt;0,0,IF(AND(ISNUMBER($F1119),ISNUMBER($X1119)),IF(ABS($F1119-$X1119)&gt;_QA!$C$6,1,0),IF($F1119&amp;""=$X1119&amp;"",0,1))))</f>
        <v/>
      </c>
    </row>
    <row r="1120" spans="24:25" x14ac:dyDescent="0.3">
      <c r="X1120" s="193" t="str">
        <f>IF($Q1120="","",IFERROR(INDEX(BD_KPIs!$F$2:$F$1300,MATCH($Q1120,BD_KPIs!$Q$2:$Q$1300,0)),"n/d"))</f>
        <v/>
      </c>
      <c r="Y1120" s="193" t="str">
        <f>IF($Q1120="","",IF(COUNTIFS($Q$2:$Q$1300,$Q1120,$U$2:$U$1300,"&gt;"&amp;$U1120)&gt;0,0,IF(AND(ISNUMBER($F1120),ISNUMBER($X1120)),IF(ABS($F1120-$X1120)&gt;_QA!$C$6,1,0),IF($F1120&amp;""=$X1120&amp;"",0,1))))</f>
        <v/>
      </c>
    </row>
    <row r="1121" spans="24:25" x14ac:dyDescent="0.3">
      <c r="X1121" s="193" t="str">
        <f>IF($Q1121="","",IFERROR(INDEX(BD_KPIs!$F$2:$F$1300,MATCH($Q1121,BD_KPIs!$Q$2:$Q$1300,0)),"n/d"))</f>
        <v/>
      </c>
      <c r="Y1121" s="193" t="str">
        <f>IF($Q1121="","",IF(COUNTIFS($Q$2:$Q$1300,$Q1121,$U$2:$U$1300,"&gt;"&amp;$U1121)&gt;0,0,IF(AND(ISNUMBER($F1121),ISNUMBER($X1121)),IF(ABS($F1121-$X1121)&gt;_QA!$C$6,1,0),IF($F1121&amp;""=$X1121&amp;"",0,1))))</f>
        <v/>
      </c>
    </row>
    <row r="1122" spans="24:25" x14ac:dyDescent="0.3">
      <c r="X1122" s="193" t="str">
        <f>IF($Q1122="","",IFERROR(INDEX(BD_KPIs!$F$2:$F$1300,MATCH($Q1122,BD_KPIs!$Q$2:$Q$1300,0)),"n/d"))</f>
        <v/>
      </c>
      <c r="Y1122" s="193" t="str">
        <f>IF($Q1122="","",IF(COUNTIFS($Q$2:$Q$1300,$Q1122,$U$2:$U$1300,"&gt;"&amp;$U1122)&gt;0,0,IF(AND(ISNUMBER($F1122),ISNUMBER($X1122)),IF(ABS($F1122-$X1122)&gt;_QA!$C$6,1,0),IF($F1122&amp;""=$X1122&amp;"",0,1))))</f>
        <v/>
      </c>
    </row>
    <row r="1123" spans="24:25" x14ac:dyDescent="0.3">
      <c r="X1123" s="193" t="str">
        <f>IF($Q1123="","",IFERROR(INDEX(BD_KPIs!$F$2:$F$1300,MATCH($Q1123,BD_KPIs!$Q$2:$Q$1300,0)),"n/d"))</f>
        <v/>
      </c>
      <c r="Y1123" s="193" t="str">
        <f>IF($Q1123="","",IF(COUNTIFS($Q$2:$Q$1300,$Q1123,$U$2:$U$1300,"&gt;"&amp;$U1123)&gt;0,0,IF(AND(ISNUMBER($F1123),ISNUMBER($X1123)),IF(ABS($F1123-$X1123)&gt;_QA!$C$6,1,0),IF($F1123&amp;""=$X1123&amp;"",0,1))))</f>
        <v/>
      </c>
    </row>
    <row r="1124" spans="24:25" x14ac:dyDescent="0.3">
      <c r="X1124" s="193" t="str">
        <f>IF($Q1124="","",IFERROR(INDEX(BD_KPIs!$F$2:$F$1300,MATCH($Q1124,BD_KPIs!$Q$2:$Q$1300,0)),"n/d"))</f>
        <v/>
      </c>
      <c r="Y1124" s="193" t="str">
        <f>IF($Q1124="","",IF(COUNTIFS($Q$2:$Q$1300,$Q1124,$U$2:$U$1300,"&gt;"&amp;$U1124)&gt;0,0,IF(AND(ISNUMBER($F1124),ISNUMBER($X1124)),IF(ABS($F1124-$X1124)&gt;_QA!$C$6,1,0),IF($F1124&amp;""=$X1124&amp;"",0,1))))</f>
        <v/>
      </c>
    </row>
    <row r="1125" spans="24:25" x14ac:dyDescent="0.3">
      <c r="X1125" s="193" t="str">
        <f>IF($Q1125="","",IFERROR(INDEX(BD_KPIs!$F$2:$F$1300,MATCH($Q1125,BD_KPIs!$Q$2:$Q$1300,0)),"n/d"))</f>
        <v/>
      </c>
      <c r="Y1125" s="193" t="str">
        <f>IF($Q1125="","",IF(COUNTIFS($Q$2:$Q$1300,$Q1125,$U$2:$U$1300,"&gt;"&amp;$U1125)&gt;0,0,IF(AND(ISNUMBER($F1125),ISNUMBER($X1125)),IF(ABS($F1125-$X1125)&gt;_QA!$C$6,1,0),IF($F1125&amp;""=$X1125&amp;"",0,1))))</f>
        <v/>
      </c>
    </row>
    <row r="1126" spans="24:25" x14ac:dyDescent="0.3">
      <c r="X1126" s="193" t="str">
        <f>IF($Q1126="","",IFERROR(INDEX(BD_KPIs!$F$2:$F$1300,MATCH($Q1126,BD_KPIs!$Q$2:$Q$1300,0)),"n/d"))</f>
        <v/>
      </c>
      <c r="Y1126" s="193" t="str">
        <f>IF($Q1126="","",IF(COUNTIFS($Q$2:$Q$1300,$Q1126,$U$2:$U$1300,"&gt;"&amp;$U1126)&gt;0,0,IF(AND(ISNUMBER($F1126),ISNUMBER($X1126)),IF(ABS($F1126-$X1126)&gt;_QA!$C$6,1,0),IF($F1126&amp;""=$X1126&amp;"",0,1))))</f>
        <v/>
      </c>
    </row>
    <row r="1127" spans="24:25" x14ac:dyDescent="0.3">
      <c r="X1127" s="193" t="str">
        <f>IF($Q1127="","",IFERROR(INDEX(BD_KPIs!$F$2:$F$1300,MATCH($Q1127,BD_KPIs!$Q$2:$Q$1300,0)),"n/d"))</f>
        <v/>
      </c>
      <c r="Y1127" s="193" t="str">
        <f>IF($Q1127="","",IF(COUNTIFS($Q$2:$Q$1300,$Q1127,$U$2:$U$1300,"&gt;"&amp;$U1127)&gt;0,0,IF(AND(ISNUMBER($F1127),ISNUMBER($X1127)),IF(ABS($F1127-$X1127)&gt;_QA!$C$6,1,0),IF($F1127&amp;""=$X1127&amp;"",0,1))))</f>
        <v/>
      </c>
    </row>
    <row r="1128" spans="24:25" x14ac:dyDescent="0.3">
      <c r="X1128" s="193" t="str">
        <f>IF($Q1128="","",IFERROR(INDEX(BD_KPIs!$F$2:$F$1300,MATCH($Q1128,BD_KPIs!$Q$2:$Q$1300,0)),"n/d"))</f>
        <v/>
      </c>
      <c r="Y1128" s="193" t="str">
        <f>IF($Q1128="","",IF(COUNTIFS($Q$2:$Q$1300,$Q1128,$U$2:$U$1300,"&gt;"&amp;$U1128)&gt;0,0,IF(AND(ISNUMBER($F1128),ISNUMBER($X1128)),IF(ABS($F1128-$X1128)&gt;_QA!$C$6,1,0),IF($F1128&amp;""=$X1128&amp;"",0,1))))</f>
        <v/>
      </c>
    </row>
    <row r="1129" spans="24:25" x14ac:dyDescent="0.3">
      <c r="X1129" s="193" t="str">
        <f>IF($Q1129="","",IFERROR(INDEX(BD_KPIs!$F$2:$F$1300,MATCH($Q1129,BD_KPIs!$Q$2:$Q$1300,0)),"n/d"))</f>
        <v/>
      </c>
      <c r="Y1129" s="193" t="str">
        <f>IF($Q1129="","",IF(COUNTIFS($Q$2:$Q$1300,$Q1129,$U$2:$U$1300,"&gt;"&amp;$U1129)&gt;0,0,IF(AND(ISNUMBER($F1129),ISNUMBER($X1129)),IF(ABS($F1129-$X1129)&gt;_QA!$C$6,1,0),IF($F1129&amp;""=$X1129&amp;"",0,1))))</f>
        <v/>
      </c>
    </row>
    <row r="1130" spans="24:25" x14ac:dyDescent="0.3">
      <c r="X1130" s="193" t="str">
        <f>IF($Q1130="","",IFERROR(INDEX(BD_KPIs!$F$2:$F$1300,MATCH($Q1130,BD_KPIs!$Q$2:$Q$1300,0)),"n/d"))</f>
        <v/>
      </c>
      <c r="Y1130" s="193" t="str">
        <f>IF($Q1130="","",IF(COUNTIFS($Q$2:$Q$1300,$Q1130,$U$2:$U$1300,"&gt;"&amp;$U1130)&gt;0,0,IF(AND(ISNUMBER($F1130),ISNUMBER($X1130)),IF(ABS($F1130-$X1130)&gt;_QA!$C$6,1,0),IF($F1130&amp;""=$X1130&amp;"",0,1))))</f>
        <v/>
      </c>
    </row>
    <row r="1131" spans="24:25" x14ac:dyDescent="0.3">
      <c r="X1131" s="193" t="str">
        <f>IF($Q1131="","",IFERROR(INDEX(BD_KPIs!$F$2:$F$1300,MATCH($Q1131,BD_KPIs!$Q$2:$Q$1300,0)),"n/d"))</f>
        <v/>
      </c>
      <c r="Y1131" s="193" t="str">
        <f>IF($Q1131="","",IF(COUNTIFS($Q$2:$Q$1300,$Q1131,$U$2:$U$1300,"&gt;"&amp;$U1131)&gt;0,0,IF(AND(ISNUMBER($F1131),ISNUMBER($X1131)),IF(ABS($F1131-$X1131)&gt;_QA!$C$6,1,0),IF($F1131&amp;""=$X1131&amp;"",0,1))))</f>
        <v/>
      </c>
    </row>
    <row r="1132" spans="24:25" x14ac:dyDescent="0.3">
      <c r="X1132" s="193" t="str">
        <f>IF($Q1132="","",IFERROR(INDEX(BD_KPIs!$F$2:$F$1300,MATCH($Q1132,BD_KPIs!$Q$2:$Q$1300,0)),"n/d"))</f>
        <v/>
      </c>
      <c r="Y1132" s="193" t="str">
        <f>IF($Q1132="","",IF(COUNTIFS($Q$2:$Q$1300,$Q1132,$U$2:$U$1300,"&gt;"&amp;$U1132)&gt;0,0,IF(AND(ISNUMBER($F1132),ISNUMBER($X1132)),IF(ABS($F1132-$X1132)&gt;_QA!$C$6,1,0),IF($F1132&amp;""=$X1132&amp;"",0,1))))</f>
        <v/>
      </c>
    </row>
    <row r="1133" spans="24:25" x14ac:dyDescent="0.3">
      <c r="X1133" s="193" t="str">
        <f>IF($Q1133="","",IFERROR(INDEX(BD_KPIs!$F$2:$F$1300,MATCH($Q1133,BD_KPIs!$Q$2:$Q$1300,0)),"n/d"))</f>
        <v/>
      </c>
      <c r="Y1133" s="193" t="str">
        <f>IF($Q1133="","",IF(COUNTIFS($Q$2:$Q$1300,$Q1133,$U$2:$U$1300,"&gt;"&amp;$U1133)&gt;0,0,IF(AND(ISNUMBER($F1133),ISNUMBER($X1133)),IF(ABS($F1133-$X1133)&gt;_QA!$C$6,1,0),IF($F1133&amp;""=$X1133&amp;"",0,1))))</f>
        <v/>
      </c>
    </row>
    <row r="1134" spans="24:25" x14ac:dyDescent="0.3">
      <c r="X1134" s="193" t="str">
        <f>IF($Q1134="","",IFERROR(INDEX(BD_KPIs!$F$2:$F$1300,MATCH($Q1134,BD_KPIs!$Q$2:$Q$1300,0)),"n/d"))</f>
        <v/>
      </c>
      <c r="Y1134" s="193" t="str">
        <f>IF($Q1134="","",IF(COUNTIFS($Q$2:$Q$1300,$Q1134,$U$2:$U$1300,"&gt;"&amp;$U1134)&gt;0,0,IF(AND(ISNUMBER($F1134),ISNUMBER($X1134)),IF(ABS($F1134-$X1134)&gt;_QA!$C$6,1,0),IF($F1134&amp;""=$X1134&amp;"",0,1))))</f>
        <v/>
      </c>
    </row>
    <row r="1135" spans="24:25" x14ac:dyDescent="0.3">
      <c r="X1135" s="193" t="str">
        <f>IF($Q1135="","",IFERROR(INDEX(BD_KPIs!$F$2:$F$1300,MATCH($Q1135,BD_KPIs!$Q$2:$Q$1300,0)),"n/d"))</f>
        <v/>
      </c>
      <c r="Y1135" s="193" t="str">
        <f>IF($Q1135="","",IF(COUNTIFS($Q$2:$Q$1300,$Q1135,$U$2:$U$1300,"&gt;"&amp;$U1135)&gt;0,0,IF(AND(ISNUMBER($F1135),ISNUMBER($X1135)),IF(ABS($F1135-$X1135)&gt;_QA!$C$6,1,0),IF($F1135&amp;""=$X1135&amp;"",0,1))))</f>
        <v/>
      </c>
    </row>
    <row r="1136" spans="24:25" x14ac:dyDescent="0.3">
      <c r="X1136" s="193" t="str">
        <f>IF($Q1136="","",IFERROR(INDEX(BD_KPIs!$F$2:$F$1300,MATCH($Q1136,BD_KPIs!$Q$2:$Q$1300,0)),"n/d"))</f>
        <v/>
      </c>
      <c r="Y1136" s="193" t="str">
        <f>IF($Q1136="","",IF(COUNTIFS($Q$2:$Q$1300,$Q1136,$U$2:$U$1300,"&gt;"&amp;$U1136)&gt;0,0,IF(AND(ISNUMBER($F1136),ISNUMBER($X1136)),IF(ABS($F1136-$X1136)&gt;_QA!$C$6,1,0),IF($F1136&amp;""=$X1136&amp;"",0,1))))</f>
        <v/>
      </c>
    </row>
    <row r="1137" spans="24:25" x14ac:dyDescent="0.3">
      <c r="X1137" s="193" t="str">
        <f>IF($Q1137="","",IFERROR(INDEX(BD_KPIs!$F$2:$F$1300,MATCH($Q1137,BD_KPIs!$Q$2:$Q$1300,0)),"n/d"))</f>
        <v/>
      </c>
      <c r="Y1137" s="193" t="str">
        <f>IF($Q1137="","",IF(COUNTIFS($Q$2:$Q$1300,$Q1137,$U$2:$U$1300,"&gt;"&amp;$U1137)&gt;0,0,IF(AND(ISNUMBER($F1137),ISNUMBER($X1137)),IF(ABS($F1137-$X1137)&gt;_QA!$C$6,1,0),IF($F1137&amp;""=$X1137&amp;"",0,1))))</f>
        <v/>
      </c>
    </row>
    <row r="1138" spans="24:25" x14ac:dyDescent="0.3">
      <c r="X1138" s="193" t="str">
        <f>IF($Q1138="","",IFERROR(INDEX(BD_KPIs!$F$2:$F$1300,MATCH($Q1138,BD_KPIs!$Q$2:$Q$1300,0)),"n/d"))</f>
        <v/>
      </c>
      <c r="Y1138" s="193" t="str">
        <f>IF($Q1138="","",IF(COUNTIFS($Q$2:$Q$1300,$Q1138,$U$2:$U$1300,"&gt;"&amp;$U1138)&gt;0,0,IF(AND(ISNUMBER($F1138),ISNUMBER($X1138)),IF(ABS($F1138-$X1138)&gt;_QA!$C$6,1,0),IF($F1138&amp;""=$X1138&amp;"",0,1))))</f>
        <v/>
      </c>
    </row>
    <row r="1139" spans="24:25" x14ac:dyDescent="0.3">
      <c r="X1139" s="193" t="str">
        <f>IF($Q1139="","",IFERROR(INDEX(BD_KPIs!$F$2:$F$1300,MATCH($Q1139,BD_KPIs!$Q$2:$Q$1300,0)),"n/d"))</f>
        <v/>
      </c>
      <c r="Y1139" s="193" t="str">
        <f>IF($Q1139="","",IF(COUNTIFS($Q$2:$Q$1300,$Q1139,$U$2:$U$1300,"&gt;"&amp;$U1139)&gt;0,0,IF(AND(ISNUMBER($F1139),ISNUMBER($X1139)),IF(ABS($F1139-$X1139)&gt;_QA!$C$6,1,0),IF($F1139&amp;""=$X1139&amp;"",0,1))))</f>
        <v/>
      </c>
    </row>
    <row r="1140" spans="24:25" x14ac:dyDescent="0.3">
      <c r="X1140" s="193" t="str">
        <f>IF($Q1140="","",IFERROR(INDEX(BD_KPIs!$F$2:$F$1300,MATCH($Q1140,BD_KPIs!$Q$2:$Q$1300,0)),"n/d"))</f>
        <v/>
      </c>
      <c r="Y1140" s="193" t="str">
        <f>IF($Q1140="","",IF(COUNTIFS($Q$2:$Q$1300,$Q1140,$U$2:$U$1300,"&gt;"&amp;$U1140)&gt;0,0,IF(AND(ISNUMBER($F1140),ISNUMBER($X1140)),IF(ABS($F1140-$X1140)&gt;_QA!$C$6,1,0),IF($F1140&amp;""=$X1140&amp;"",0,1))))</f>
        <v/>
      </c>
    </row>
    <row r="1141" spans="24:25" x14ac:dyDescent="0.3">
      <c r="X1141" s="193" t="str">
        <f>IF($Q1141="","",IFERROR(INDEX(BD_KPIs!$F$2:$F$1300,MATCH($Q1141,BD_KPIs!$Q$2:$Q$1300,0)),"n/d"))</f>
        <v/>
      </c>
      <c r="Y1141" s="193" t="str">
        <f>IF($Q1141="","",IF(COUNTIFS($Q$2:$Q$1300,$Q1141,$U$2:$U$1300,"&gt;"&amp;$U1141)&gt;0,0,IF(AND(ISNUMBER($F1141),ISNUMBER($X1141)),IF(ABS($F1141-$X1141)&gt;_QA!$C$6,1,0),IF($F1141&amp;""=$X1141&amp;"",0,1))))</f>
        <v/>
      </c>
    </row>
    <row r="1142" spans="24:25" x14ac:dyDescent="0.3">
      <c r="X1142" s="193" t="str">
        <f>IF($Q1142="","",IFERROR(INDEX(BD_KPIs!$F$2:$F$1300,MATCH($Q1142,BD_KPIs!$Q$2:$Q$1300,0)),"n/d"))</f>
        <v/>
      </c>
      <c r="Y1142" s="193" t="str">
        <f>IF($Q1142="","",IF(COUNTIFS($Q$2:$Q$1300,$Q1142,$U$2:$U$1300,"&gt;"&amp;$U1142)&gt;0,0,IF(AND(ISNUMBER($F1142),ISNUMBER($X1142)),IF(ABS($F1142-$X1142)&gt;_QA!$C$6,1,0),IF($F1142&amp;""=$X1142&amp;"",0,1))))</f>
        <v/>
      </c>
    </row>
    <row r="1143" spans="24:25" x14ac:dyDescent="0.3">
      <c r="X1143" s="193" t="str">
        <f>IF($Q1143="","",IFERROR(INDEX(BD_KPIs!$F$2:$F$1300,MATCH($Q1143,BD_KPIs!$Q$2:$Q$1300,0)),"n/d"))</f>
        <v/>
      </c>
      <c r="Y1143" s="193" t="str">
        <f>IF($Q1143="","",IF(COUNTIFS($Q$2:$Q$1300,$Q1143,$U$2:$U$1300,"&gt;"&amp;$U1143)&gt;0,0,IF(AND(ISNUMBER($F1143),ISNUMBER($X1143)),IF(ABS($F1143-$X1143)&gt;_QA!$C$6,1,0),IF($F1143&amp;""=$X1143&amp;"",0,1))))</f>
        <v/>
      </c>
    </row>
    <row r="1144" spans="24:25" x14ac:dyDescent="0.3">
      <c r="X1144" s="193" t="str">
        <f>IF($Q1144="","",IFERROR(INDEX(BD_KPIs!$F$2:$F$1300,MATCH($Q1144,BD_KPIs!$Q$2:$Q$1300,0)),"n/d"))</f>
        <v/>
      </c>
      <c r="Y1144" s="193" t="str">
        <f>IF($Q1144="","",IF(COUNTIFS($Q$2:$Q$1300,$Q1144,$U$2:$U$1300,"&gt;"&amp;$U1144)&gt;0,0,IF(AND(ISNUMBER($F1144),ISNUMBER($X1144)),IF(ABS($F1144-$X1144)&gt;_QA!$C$6,1,0),IF($F1144&amp;""=$X1144&amp;"",0,1))))</f>
        <v/>
      </c>
    </row>
    <row r="1145" spans="24:25" x14ac:dyDescent="0.3">
      <c r="X1145" s="193" t="str">
        <f>IF($Q1145="","",IFERROR(INDEX(BD_KPIs!$F$2:$F$1300,MATCH($Q1145,BD_KPIs!$Q$2:$Q$1300,0)),"n/d"))</f>
        <v/>
      </c>
      <c r="Y1145" s="193" t="str">
        <f>IF($Q1145="","",IF(COUNTIFS($Q$2:$Q$1300,$Q1145,$U$2:$U$1300,"&gt;"&amp;$U1145)&gt;0,0,IF(AND(ISNUMBER($F1145),ISNUMBER($X1145)),IF(ABS($F1145-$X1145)&gt;_QA!$C$6,1,0),IF($F1145&amp;""=$X1145&amp;"",0,1))))</f>
        <v/>
      </c>
    </row>
    <row r="1146" spans="24:25" x14ac:dyDescent="0.3">
      <c r="X1146" s="193" t="str">
        <f>IF($Q1146="","",IFERROR(INDEX(BD_KPIs!$F$2:$F$1300,MATCH($Q1146,BD_KPIs!$Q$2:$Q$1300,0)),"n/d"))</f>
        <v/>
      </c>
      <c r="Y1146" s="193" t="str">
        <f>IF($Q1146="","",IF(COUNTIFS($Q$2:$Q$1300,$Q1146,$U$2:$U$1300,"&gt;"&amp;$U1146)&gt;0,0,IF(AND(ISNUMBER($F1146),ISNUMBER($X1146)),IF(ABS($F1146-$X1146)&gt;_QA!$C$6,1,0),IF($F1146&amp;""=$X1146&amp;"",0,1))))</f>
        <v/>
      </c>
    </row>
    <row r="1147" spans="24:25" x14ac:dyDescent="0.3">
      <c r="X1147" s="193" t="str">
        <f>IF($Q1147="","",IFERROR(INDEX(BD_KPIs!$F$2:$F$1300,MATCH($Q1147,BD_KPIs!$Q$2:$Q$1300,0)),"n/d"))</f>
        <v/>
      </c>
      <c r="Y1147" s="193" t="str">
        <f>IF($Q1147="","",IF(COUNTIFS($Q$2:$Q$1300,$Q1147,$U$2:$U$1300,"&gt;"&amp;$U1147)&gt;0,0,IF(AND(ISNUMBER($F1147),ISNUMBER($X1147)),IF(ABS($F1147-$X1147)&gt;_QA!$C$6,1,0),IF($F1147&amp;""=$X1147&amp;"",0,1))))</f>
        <v/>
      </c>
    </row>
    <row r="1148" spans="24:25" x14ac:dyDescent="0.3">
      <c r="X1148" s="193" t="str">
        <f>IF($Q1148="","",IFERROR(INDEX(BD_KPIs!$F$2:$F$1300,MATCH($Q1148,BD_KPIs!$Q$2:$Q$1300,0)),"n/d"))</f>
        <v/>
      </c>
      <c r="Y1148" s="193" t="str">
        <f>IF($Q1148="","",IF(COUNTIFS($Q$2:$Q$1300,$Q1148,$U$2:$U$1300,"&gt;"&amp;$U1148)&gt;0,0,IF(AND(ISNUMBER($F1148),ISNUMBER($X1148)),IF(ABS($F1148-$X1148)&gt;_QA!$C$6,1,0),IF($F1148&amp;""=$X1148&amp;"",0,1))))</f>
        <v/>
      </c>
    </row>
    <row r="1149" spans="24:25" x14ac:dyDescent="0.3">
      <c r="X1149" s="193" t="str">
        <f>IF($Q1149="","",IFERROR(INDEX(BD_KPIs!$F$2:$F$1300,MATCH($Q1149,BD_KPIs!$Q$2:$Q$1300,0)),"n/d"))</f>
        <v/>
      </c>
      <c r="Y1149" s="193" t="str">
        <f>IF($Q1149="","",IF(COUNTIFS($Q$2:$Q$1300,$Q1149,$U$2:$U$1300,"&gt;"&amp;$U1149)&gt;0,0,IF(AND(ISNUMBER($F1149),ISNUMBER($X1149)),IF(ABS($F1149-$X1149)&gt;_QA!$C$6,1,0),IF($F1149&amp;""=$X1149&amp;"",0,1))))</f>
        <v/>
      </c>
    </row>
    <row r="1150" spans="24:25" x14ac:dyDescent="0.3">
      <c r="X1150" s="193" t="str">
        <f>IF($Q1150="","",IFERROR(INDEX(BD_KPIs!$F$2:$F$1300,MATCH($Q1150,BD_KPIs!$Q$2:$Q$1300,0)),"n/d"))</f>
        <v/>
      </c>
      <c r="Y1150" s="193" t="str">
        <f>IF($Q1150="","",IF(COUNTIFS($Q$2:$Q$1300,$Q1150,$U$2:$U$1300,"&gt;"&amp;$U1150)&gt;0,0,IF(AND(ISNUMBER($F1150),ISNUMBER($X1150)),IF(ABS($F1150-$X1150)&gt;_QA!$C$6,1,0),IF($F1150&amp;""=$X1150&amp;"",0,1))))</f>
        <v/>
      </c>
    </row>
    <row r="1151" spans="24:25" x14ac:dyDescent="0.3">
      <c r="X1151" s="193" t="str">
        <f>IF($Q1151="","",IFERROR(INDEX(BD_KPIs!$F$2:$F$1300,MATCH($Q1151,BD_KPIs!$Q$2:$Q$1300,0)),"n/d"))</f>
        <v/>
      </c>
      <c r="Y1151" s="193" t="str">
        <f>IF($Q1151="","",IF(COUNTIFS($Q$2:$Q$1300,$Q1151,$U$2:$U$1300,"&gt;"&amp;$U1151)&gt;0,0,IF(AND(ISNUMBER($F1151),ISNUMBER($X1151)),IF(ABS($F1151-$X1151)&gt;_QA!$C$6,1,0),IF($F1151&amp;""=$X1151&amp;"",0,1))))</f>
        <v/>
      </c>
    </row>
    <row r="1152" spans="24:25" x14ac:dyDescent="0.3">
      <c r="X1152" s="193" t="str">
        <f>IF($Q1152="","",IFERROR(INDEX(BD_KPIs!$F$2:$F$1300,MATCH($Q1152,BD_KPIs!$Q$2:$Q$1300,0)),"n/d"))</f>
        <v/>
      </c>
      <c r="Y1152" s="193" t="str">
        <f>IF($Q1152="","",IF(COUNTIFS($Q$2:$Q$1300,$Q1152,$U$2:$U$1300,"&gt;"&amp;$U1152)&gt;0,0,IF(AND(ISNUMBER($F1152),ISNUMBER($X1152)),IF(ABS($F1152-$X1152)&gt;_QA!$C$6,1,0),IF($F1152&amp;""=$X1152&amp;"",0,1))))</f>
        <v/>
      </c>
    </row>
    <row r="1153" spans="24:25" x14ac:dyDescent="0.3">
      <c r="X1153" s="193" t="str">
        <f>IF($Q1153="","",IFERROR(INDEX(BD_KPIs!$F$2:$F$1300,MATCH($Q1153,BD_KPIs!$Q$2:$Q$1300,0)),"n/d"))</f>
        <v/>
      </c>
      <c r="Y1153" s="193" t="str">
        <f>IF($Q1153="","",IF(COUNTIFS($Q$2:$Q$1300,$Q1153,$U$2:$U$1300,"&gt;"&amp;$U1153)&gt;0,0,IF(AND(ISNUMBER($F1153),ISNUMBER($X1153)),IF(ABS($F1153-$X1153)&gt;_QA!$C$6,1,0),IF($F1153&amp;""=$X1153&amp;"",0,1))))</f>
        <v/>
      </c>
    </row>
    <row r="1154" spans="24:25" x14ac:dyDescent="0.3">
      <c r="X1154" s="193" t="str">
        <f>IF($Q1154="","",IFERROR(INDEX(BD_KPIs!$F$2:$F$1300,MATCH($Q1154,BD_KPIs!$Q$2:$Q$1300,0)),"n/d"))</f>
        <v/>
      </c>
      <c r="Y1154" s="193" t="str">
        <f>IF($Q1154="","",IF(COUNTIFS($Q$2:$Q$1300,$Q1154,$U$2:$U$1300,"&gt;"&amp;$U1154)&gt;0,0,IF(AND(ISNUMBER($F1154),ISNUMBER($X1154)),IF(ABS($F1154-$X1154)&gt;_QA!$C$6,1,0),IF($F1154&amp;""=$X1154&amp;"",0,1))))</f>
        <v/>
      </c>
    </row>
    <row r="1155" spans="24:25" x14ac:dyDescent="0.3">
      <c r="X1155" s="193" t="str">
        <f>IF($Q1155="","",IFERROR(INDEX(BD_KPIs!$F$2:$F$1300,MATCH($Q1155,BD_KPIs!$Q$2:$Q$1300,0)),"n/d"))</f>
        <v/>
      </c>
      <c r="Y1155" s="193" t="str">
        <f>IF($Q1155="","",IF(COUNTIFS($Q$2:$Q$1300,$Q1155,$U$2:$U$1300,"&gt;"&amp;$U1155)&gt;0,0,IF(AND(ISNUMBER($F1155),ISNUMBER($X1155)),IF(ABS($F1155-$X1155)&gt;_QA!$C$6,1,0),IF($F1155&amp;""=$X1155&amp;"",0,1))))</f>
        <v/>
      </c>
    </row>
    <row r="1156" spans="24:25" x14ac:dyDescent="0.3">
      <c r="X1156" s="193" t="str">
        <f>IF($Q1156="","",IFERROR(INDEX(BD_KPIs!$F$2:$F$1300,MATCH($Q1156,BD_KPIs!$Q$2:$Q$1300,0)),"n/d"))</f>
        <v/>
      </c>
      <c r="Y1156" s="193" t="str">
        <f>IF($Q1156="","",IF(COUNTIFS($Q$2:$Q$1300,$Q1156,$U$2:$U$1300,"&gt;"&amp;$U1156)&gt;0,0,IF(AND(ISNUMBER($F1156),ISNUMBER($X1156)),IF(ABS($F1156-$X1156)&gt;_QA!$C$6,1,0),IF($F1156&amp;""=$X1156&amp;"",0,1))))</f>
        <v/>
      </c>
    </row>
    <row r="1157" spans="24:25" x14ac:dyDescent="0.3">
      <c r="X1157" s="193" t="str">
        <f>IF($Q1157="","",IFERROR(INDEX(BD_KPIs!$F$2:$F$1300,MATCH($Q1157,BD_KPIs!$Q$2:$Q$1300,0)),"n/d"))</f>
        <v/>
      </c>
      <c r="Y1157" s="193" t="str">
        <f>IF($Q1157="","",IF(COUNTIFS($Q$2:$Q$1300,$Q1157,$U$2:$U$1300,"&gt;"&amp;$U1157)&gt;0,0,IF(AND(ISNUMBER($F1157),ISNUMBER($X1157)),IF(ABS($F1157-$X1157)&gt;_QA!$C$6,1,0),IF($F1157&amp;""=$X1157&amp;"",0,1))))</f>
        <v/>
      </c>
    </row>
    <row r="1158" spans="24:25" x14ac:dyDescent="0.3">
      <c r="X1158" s="193" t="str">
        <f>IF($Q1158="","",IFERROR(INDEX(BD_KPIs!$F$2:$F$1300,MATCH($Q1158,BD_KPIs!$Q$2:$Q$1300,0)),"n/d"))</f>
        <v/>
      </c>
      <c r="Y1158" s="193" t="str">
        <f>IF($Q1158="","",IF(COUNTIFS($Q$2:$Q$1300,$Q1158,$U$2:$U$1300,"&gt;"&amp;$U1158)&gt;0,0,IF(AND(ISNUMBER($F1158),ISNUMBER($X1158)),IF(ABS($F1158-$X1158)&gt;_QA!$C$6,1,0),IF($F1158&amp;""=$X1158&amp;"",0,1))))</f>
        <v/>
      </c>
    </row>
    <row r="1159" spans="24:25" x14ac:dyDescent="0.3">
      <c r="X1159" s="193" t="str">
        <f>IF($Q1159="","",IFERROR(INDEX(BD_KPIs!$F$2:$F$1300,MATCH($Q1159,BD_KPIs!$Q$2:$Q$1300,0)),"n/d"))</f>
        <v/>
      </c>
      <c r="Y1159" s="193" t="str">
        <f>IF($Q1159="","",IF(COUNTIFS($Q$2:$Q$1300,$Q1159,$U$2:$U$1300,"&gt;"&amp;$U1159)&gt;0,0,IF(AND(ISNUMBER($F1159),ISNUMBER($X1159)),IF(ABS($F1159-$X1159)&gt;_QA!$C$6,1,0),IF($F1159&amp;""=$X1159&amp;"",0,1))))</f>
        <v/>
      </c>
    </row>
    <row r="1160" spans="24:25" x14ac:dyDescent="0.3">
      <c r="X1160" s="193" t="str">
        <f>IF($Q1160="","",IFERROR(INDEX(BD_KPIs!$F$2:$F$1300,MATCH($Q1160,BD_KPIs!$Q$2:$Q$1300,0)),"n/d"))</f>
        <v/>
      </c>
      <c r="Y1160" s="193" t="str">
        <f>IF($Q1160="","",IF(COUNTIFS($Q$2:$Q$1300,$Q1160,$U$2:$U$1300,"&gt;"&amp;$U1160)&gt;0,0,IF(AND(ISNUMBER($F1160),ISNUMBER($X1160)),IF(ABS($F1160-$X1160)&gt;_QA!$C$6,1,0),IF($F1160&amp;""=$X1160&amp;"",0,1))))</f>
        <v/>
      </c>
    </row>
    <row r="1161" spans="24:25" x14ac:dyDescent="0.3">
      <c r="X1161" s="193" t="str">
        <f>IF($Q1161="","",IFERROR(INDEX(BD_KPIs!$F$2:$F$1300,MATCH($Q1161,BD_KPIs!$Q$2:$Q$1300,0)),"n/d"))</f>
        <v/>
      </c>
      <c r="Y1161" s="193" t="str">
        <f>IF($Q1161="","",IF(COUNTIFS($Q$2:$Q$1300,$Q1161,$U$2:$U$1300,"&gt;"&amp;$U1161)&gt;0,0,IF(AND(ISNUMBER($F1161),ISNUMBER($X1161)),IF(ABS($F1161-$X1161)&gt;_QA!$C$6,1,0),IF($F1161&amp;""=$X1161&amp;"",0,1))))</f>
        <v/>
      </c>
    </row>
    <row r="1162" spans="24:25" x14ac:dyDescent="0.3">
      <c r="X1162" s="193" t="str">
        <f>IF($Q1162="","",IFERROR(INDEX(BD_KPIs!$F$2:$F$1300,MATCH($Q1162,BD_KPIs!$Q$2:$Q$1300,0)),"n/d"))</f>
        <v/>
      </c>
      <c r="Y1162" s="193" t="str">
        <f>IF($Q1162="","",IF(COUNTIFS($Q$2:$Q$1300,$Q1162,$U$2:$U$1300,"&gt;"&amp;$U1162)&gt;0,0,IF(AND(ISNUMBER($F1162),ISNUMBER($X1162)),IF(ABS($F1162-$X1162)&gt;_QA!$C$6,1,0),IF($F1162&amp;""=$X1162&amp;"",0,1))))</f>
        <v/>
      </c>
    </row>
    <row r="1163" spans="24:25" x14ac:dyDescent="0.3">
      <c r="X1163" s="193" t="str">
        <f>IF($Q1163="","",IFERROR(INDEX(BD_KPIs!$F$2:$F$1300,MATCH($Q1163,BD_KPIs!$Q$2:$Q$1300,0)),"n/d"))</f>
        <v/>
      </c>
      <c r="Y1163" s="193" t="str">
        <f>IF($Q1163="","",IF(COUNTIFS($Q$2:$Q$1300,$Q1163,$U$2:$U$1300,"&gt;"&amp;$U1163)&gt;0,0,IF(AND(ISNUMBER($F1163),ISNUMBER($X1163)),IF(ABS($F1163-$X1163)&gt;_QA!$C$6,1,0),IF($F1163&amp;""=$X1163&amp;"",0,1))))</f>
        <v/>
      </c>
    </row>
    <row r="1164" spans="24:25" x14ac:dyDescent="0.3">
      <c r="X1164" s="193" t="str">
        <f>IF($Q1164="","",IFERROR(INDEX(BD_KPIs!$F$2:$F$1300,MATCH($Q1164,BD_KPIs!$Q$2:$Q$1300,0)),"n/d"))</f>
        <v/>
      </c>
      <c r="Y1164" s="193" t="str">
        <f>IF($Q1164="","",IF(COUNTIFS($Q$2:$Q$1300,$Q1164,$U$2:$U$1300,"&gt;"&amp;$U1164)&gt;0,0,IF(AND(ISNUMBER($F1164),ISNUMBER($X1164)),IF(ABS($F1164-$X1164)&gt;_QA!$C$6,1,0),IF($F1164&amp;""=$X1164&amp;"",0,1))))</f>
        <v/>
      </c>
    </row>
    <row r="1165" spans="24:25" x14ac:dyDescent="0.3">
      <c r="X1165" s="193" t="str">
        <f>IF($Q1165="","",IFERROR(INDEX(BD_KPIs!$F$2:$F$1300,MATCH($Q1165,BD_KPIs!$Q$2:$Q$1300,0)),"n/d"))</f>
        <v/>
      </c>
      <c r="Y1165" s="193" t="str">
        <f>IF($Q1165="","",IF(COUNTIFS($Q$2:$Q$1300,$Q1165,$U$2:$U$1300,"&gt;"&amp;$U1165)&gt;0,0,IF(AND(ISNUMBER($F1165),ISNUMBER($X1165)),IF(ABS($F1165-$X1165)&gt;_QA!$C$6,1,0),IF($F1165&amp;""=$X1165&amp;"",0,1))))</f>
        <v/>
      </c>
    </row>
    <row r="1166" spans="24:25" x14ac:dyDescent="0.3">
      <c r="X1166" s="193" t="str">
        <f>IF($Q1166="","",IFERROR(INDEX(BD_KPIs!$F$2:$F$1300,MATCH($Q1166,BD_KPIs!$Q$2:$Q$1300,0)),"n/d"))</f>
        <v/>
      </c>
      <c r="Y1166" s="193" t="str">
        <f>IF($Q1166="","",IF(COUNTIFS($Q$2:$Q$1300,$Q1166,$U$2:$U$1300,"&gt;"&amp;$U1166)&gt;0,0,IF(AND(ISNUMBER($F1166),ISNUMBER($X1166)),IF(ABS($F1166-$X1166)&gt;_QA!$C$6,1,0),IF($F1166&amp;""=$X1166&amp;"",0,1))))</f>
        <v/>
      </c>
    </row>
    <row r="1167" spans="24:25" x14ac:dyDescent="0.3">
      <c r="X1167" s="193" t="str">
        <f>IF($Q1167="","",IFERROR(INDEX(BD_KPIs!$F$2:$F$1300,MATCH($Q1167,BD_KPIs!$Q$2:$Q$1300,0)),"n/d"))</f>
        <v/>
      </c>
      <c r="Y1167" s="193" t="str">
        <f>IF($Q1167="","",IF(COUNTIFS($Q$2:$Q$1300,$Q1167,$U$2:$U$1300,"&gt;"&amp;$U1167)&gt;0,0,IF(AND(ISNUMBER($F1167),ISNUMBER($X1167)),IF(ABS($F1167-$X1167)&gt;_QA!$C$6,1,0),IF($F1167&amp;""=$X1167&amp;"",0,1))))</f>
        <v/>
      </c>
    </row>
    <row r="1168" spans="24:25" x14ac:dyDescent="0.3">
      <c r="X1168" s="193" t="str">
        <f>IF($Q1168="","",IFERROR(INDEX(BD_KPIs!$F$2:$F$1300,MATCH($Q1168,BD_KPIs!$Q$2:$Q$1300,0)),"n/d"))</f>
        <v/>
      </c>
      <c r="Y1168" s="193" t="str">
        <f>IF($Q1168="","",IF(COUNTIFS($Q$2:$Q$1300,$Q1168,$U$2:$U$1300,"&gt;"&amp;$U1168)&gt;0,0,IF(AND(ISNUMBER($F1168),ISNUMBER($X1168)),IF(ABS($F1168-$X1168)&gt;_QA!$C$6,1,0),IF($F1168&amp;""=$X1168&amp;"",0,1))))</f>
        <v/>
      </c>
    </row>
    <row r="1169" spans="24:25" x14ac:dyDescent="0.3">
      <c r="X1169" s="193" t="str">
        <f>IF($Q1169="","",IFERROR(INDEX(BD_KPIs!$F$2:$F$1300,MATCH($Q1169,BD_KPIs!$Q$2:$Q$1300,0)),"n/d"))</f>
        <v/>
      </c>
      <c r="Y1169" s="193" t="str">
        <f>IF($Q1169="","",IF(COUNTIFS($Q$2:$Q$1300,$Q1169,$U$2:$U$1300,"&gt;"&amp;$U1169)&gt;0,0,IF(AND(ISNUMBER($F1169),ISNUMBER($X1169)),IF(ABS($F1169-$X1169)&gt;_QA!$C$6,1,0),IF($F1169&amp;""=$X1169&amp;"",0,1))))</f>
        <v/>
      </c>
    </row>
    <row r="1170" spans="24:25" x14ac:dyDescent="0.3">
      <c r="X1170" s="193" t="str">
        <f>IF($Q1170="","",IFERROR(INDEX(BD_KPIs!$F$2:$F$1300,MATCH($Q1170,BD_KPIs!$Q$2:$Q$1300,0)),"n/d"))</f>
        <v/>
      </c>
      <c r="Y1170" s="193" t="str">
        <f>IF($Q1170="","",IF(COUNTIFS($Q$2:$Q$1300,$Q1170,$U$2:$U$1300,"&gt;"&amp;$U1170)&gt;0,0,IF(AND(ISNUMBER($F1170),ISNUMBER($X1170)),IF(ABS($F1170-$X1170)&gt;_QA!$C$6,1,0),IF($F1170&amp;""=$X1170&amp;"",0,1))))</f>
        <v/>
      </c>
    </row>
    <row r="1171" spans="24:25" x14ac:dyDescent="0.3">
      <c r="X1171" s="193" t="str">
        <f>IF($Q1171="","",IFERROR(INDEX(BD_KPIs!$F$2:$F$1300,MATCH($Q1171,BD_KPIs!$Q$2:$Q$1300,0)),"n/d"))</f>
        <v/>
      </c>
      <c r="Y1171" s="193" t="str">
        <f>IF($Q1171="","",IF(COUNTIFS($Q$2:$Q$1300,$Q1171,$U$2:$U$1300,"&gt;"&amp;$U1171)&gt;0,0,IF(AND(ISNUMBER($F1171),ISNUMBER($X1171)),IF(ABS($F1171-$X1171)&gt;_QA!$C$6,1,0),IF($F1171&amp;""=$X1171&amp;"",0,1))))</f>
        <v/>
      </c>
    </row>
    <row r="1172" spans="24:25" x14ac:dyDescent="0.3">
      <c r="X1172" s="193" t="str">
        <f>IF($Q1172="","",IFERROR(INDEX(BD_KPIs!$F$2:$F$1300,MATCH($Q1172,BD_KPIs!$Q$2:$Q$1300,0)),"n/d"))</f>
        <v/>
      </c>
      <c r="Y1172" s="193" t="str">
        <f>IF($Q1172="","",IF(COUNTIFS($Q$2:$Q$1300,$Q1172,$U$2:$U$1300,"&gt;"&amp;$U1172)&gt;0,0,IF(AND(ISNUMBER($F1172),ISNUMBER($X1172)),IF(ABS($F1172-$X1172)&gt;_QA!$C$6,1,0),IF($F1172&amp;""=$X1172&amp;"",0,1))))</f>
        <v/>
      </c>
    </row>
    <row r="1173" spans="24:25" x14ac:dyDescent="0.3">
      <c r="X1173" s="193" t="str">
        <f>IF($Q1173="","",IFERROR(INDEX(BD_KPIs!$F$2:$F$1300,MATCH($Q1173,BD_KPIs!$Q$2:$Q$1300,0)),"n/d"))</f>
        <v/>
      </c>
      <c r="Y1173" s="193" t="str">
        <f>IF($Q1173="","",IF(COUNTIFS($Q$2:$Q$1300,$Q1173,$U$2:$U$1300,"&gt;"&amp;$U1173)&gt;0,0,IF(AND(ISNUMBER($F1173),ISNUMBER($X1173)),IF(ABS($F1173-$X1173)&gt;_QA!$C$6,1,0),IF($F1173&amp;""=$X1173&amp;"",0,1))))</f>
        <v/>
      </c>
    </row>
    <row r="1174" spans="24:25" x14ac:dyDescent="0.3">
      <c r="X1174" s="193" t="str">
        <f>IF($Q1174="","",IFERROR(INDEX(BD_KPIs!$F$2:$F$1300,MATCH($Q1174,BD_KPIs!$Q$2:$Q$1300,0)),"n/d"))</f>
        <v/>
      </c>
      <c r="Y1174" s="193" t="str">
        <f>IF($Q1174="","",IF(COUNTIFS($Q$2:$Q$1300,$Q1174,$U$2:$U$1300,"&gt;"&amp;$U1174)&gt;0,0,IF(AND(ISNUMBER($F1174),ISNUMBER($X1174)),IF(ABS($F1174-$X1174)&gt;_QA!$C$6,1,0),IF($F1174&amp;""=$X1174&amp;"",0,1))))</f>
        <v/>
      </c>
    </row>
    <row r="1175" spans="24:25" x14ac:dyDescent="0.3">
      <c r="X1175" s="193" t="str">
        <f>IF($Q1175="","",IFERROR(INDEX(BD_KPIs!$F$2:$F$1300,MATCH($Q1175,BD_KPIs!$Q$2:$Q$1300,0)),"n/d"))</f>
        <v/>
      </c>
      <c r="Y1175" s="193" t="str">
        <f>IF($Q1175="","",IF(COUNTIFS($Q$2:$Q$1300,$Q1175,$U$2:$U$1300,"&gt;"&amp;$U1175)&gt;0,0,IF(AND(ISNUMBER($F1175),ISNUMBER($X1175)),IF(ABS($F1175-$X1175)&gt;_QA!$C$6,1,0),IF($F1175&amp;""=$X1175&amp;"",0,1))))</f>
        <v/>
      </c>
    </row>
    <row r="1176" spans="24:25" x14ac:dyDescent="0.3">
      <c r="X1176" s="193" t="str">
        <f>IF($Q1176="","",IFERROR(INDEX(BD_KPIs!$F$2:$F$1300,MATCH($Q1176,BD_KPIs!$Q$2:$Q$1300,0)),"n/d"))</f>
        <v/>
      </c>
      <c r="Y1176" s="193" t="str">
        <f>IF($Q1176="","",IF(COUNTIFS($Q$2:$Q$1300,$Q1176,$U$2:$U$1300,"&gt;"&amp;$U1176)&gt;0,0,IF(AND(ISNUMBER($F1176),ISNUMBER($X1176)),IF(ABS($F1176-$X1176)&gt;_QA!$C$6,1,0),IF($F1176&amp;""=$X1176&amp;"",0,1))))</f>
        <v/>
      </c>
    </row>
    <row r="1177" spans="24:25" x14ac:dyDescent="0.3">
      <c r="X1177" s="193" t="str">
        <f>IF($Q1177="","",IFERROR(INDEX(BD_KPIs!$F$2:$F$1300,MATCH($Q1177,BD_KPIs!$Q$2:$Q$1300,0)),"n/d"))</f>
        <v/>
      </c>
      <c r="Y1177" s="193" t="str">
        <f>IF($Q1177="","",IF(COUNTIFS($Q$2:$Q$1300,$Q1177,$U$2:$U$1300,"&gt;"&amp;$U1177)&gt;0,0,IF(AND(ISNUMBER($F1177),ISNUMBER($X1177)),IF(ABS($F1177-$X1177)&gt;_QA!$C$6,1,0),IF($F1177&amp;""=$X1177&amp;"",0,1))))</f>
        <v/>
      </c>
    </row>
    <row r="1178" spans="24:25" x14ac:dyDescent="0.3">
      <c r="X1178" s="193" t="str">
        <f>IF($Q1178="","",IFERROR(INDEX(BD_KPIs!$F$2:$F$1300,MATCH($Q1178,BD_KPIs!$Q$2:$Q$1300,0)),"n/d"))</f>
        <v/>
      </c>
      <c r="Y1178" s="193" t="str">
        <f>IF($Q1178="","",IF(COUNTIFS($Q$2:$Q$1300,$Q1178,$U$2:$U$1300,"&gt;"&amp;$U1178)&gt;0,0,IF(AND(ISNUMBER($F1178),ISNUMBER($X1178)),IF(ABS($F1178-$X1178)&gt;_QA!$C$6,1,0),IF($F1178&amp;""=$X1178&amp;"",0,1))))</f>
        <v/>
      </c>
    </row>
    <row r="1179" spans="24:25" x14ac:dyDescent="0.3">
      <c r="X1179" s="193" t="str">
        <f>IF($Q1179="","",IFERROR(INDEX(BD_KPIs!$F$2:$F$1300,MATCH($Q1179,BD_KPIs!$Q$2:$Q$1300,0)),"n/d"))</f>
        <v/>
      </c>
      <c r="Y1179" s="193" t="str">
        <f>IF($Q1179="","",IF(COUNTIFS($Q$2:$Q$1300,$Q1179,$U$2:$U$1300,"&gt;"&amp;$U1179)&gt;0,0,IF(AND(ISNUMBER($F1179),ISNUMBER($X1179)),IF(ABS($F1179-$X1179)&gt;_QA!$C$6,1,0),IF($F1179&amp;""=$X1179&amp;"",0,1))))</f>
        <v/>
      </c>
    </row>
    <row r="1180" spans="24:25" x14ac:dyDescent="0.3">
      <c r="X1180" s="193" t="str">
        <f>IF($Q1180="","",IFERROR(INDEX(BD_KPIs!$F$2:$F$1300,MATCH($Q1180,BD_KPIs!$Q$2:$Q$1300,0)),"n/d"))</f>
        <v/>
      </c>
      <c r="Y1180" s="193" t="str">
        <f>IF($Q1180="","",IF(COUNTIFS($Q$2:$Q$1300,$Q1180,$U$2:$U$1300,"&gt;"&amp;$U1180)&gt;0,0,IF(AND(ISNUMBER($F1180),ISNUMBER($X1180)),IF(ABS($F1180-$X1180)&gt;_QA!$C$6,1,0),IF($F1180&amp;""=$X1180&amp;"",0,1))))</f>
        <v/>
      </c>
    </row>
    <row r="1181" spans="24:25" x14ac:dyDescent="0.3">
      <c r="X1181" s="193" t="str">
        <f>IF($Q1181="","",IFERROR(INDEX(BD_KPIs!$F$2:$F$1300,MATCH($Q1181,BD_KPIs!$Q$2:$Q$1300,0)),"n/d"))</f>
        <v/>
      </c>
      <c r="Y1181" s="193" t="str">
        <f>IF($Q1181="","",IF(COUNTIFS($Q$2:$Q$1300,$Q1181,$U$2:$U$1300,"&gt;"&amp;$U1181)&gt;0,0,IF(AND(ISNUMBER($F1181),ISNUMBER($X1181)),IF(ABS($F1181-$X1181)&gt;_QA!$C$6,1,0),IF($F1181&amp;""=$X1181&amp;"",0,1))))</f>
        <v/>
      </c>
    </row>
    <row r="1182" spans="24:25" x14ac:dyDescent="0.3">
      <c r="X1182" s="193" t="str">
        <f>IF($Q1182="","",IFERROR(INDEX(BD_KPIs!$F$2:$F$1300,MATCH($Q1182,BD_KPIs!$Q$2:$Q$1300,0)),"n/d"))</f>
        <v/>
      </c>
      <c r="Y1182" s="193" t="str">
        <f>IF($Q1182="","",IF(COUNTIFS($Q$2:$Q$1300,$Q1182,$U$2:$U$1300,"&gt;"&amp;$U1182)&gt;0,0,IF(AND(ISNUMBER($F1182),ISNUMBER($X1182)),IF(ABS($F1182-$X1182)&gt;_QA!$C$6,1,0),IF($F1182&amp;""=$X1182&amp;"",0,1))))</f>
        <v/>
      </c>
    </row>
    <row r="1183" spans="24:25" x14ac:dyDescent="0.3">
      <c r="X1183" s="193" t="str">
        <f>IF($Q1183="","",IFERROR(INDEX(BD_KPIs!$F$2:$F$1300,MATCH($Q1183,BD_KPIs!$Q$2:$Q$1300,0)),"n/d"))</f>
        <v/>
      </c>
      <c r="Y1183" s="193" t="str">
        <f>IF($Q1183="","",IF(COUNTIFS($Q$2:$Q$1300,$Q1183,$U$2:$U$1300,"&gt;"&amp;$U1183)&gt;0,0,IF(AND(ISNUMBER($F1183),ISNUMBER($X1183)),IF(ABS($F1183-$X1183)&gt;_QA!$C$6,1,0),IF($F1183&amp;""=$X1183&amp;"",0,1))))</f>
        <v/>
      </c>
    </row>
    <row r="1184" spans="24:25" x14ac:dyDescent="0.3">
      <c r="X1184" s="193" t="str">
        <f>IF($Q1184="","",IFERROR(INDEX(BD_KPIs!$F$2:$F$1300,MATCH($Q1184,BD_KPIs!$Q$2:$Q$1300,0)),"n/d"))</f>
        <v/>
      </c>
      <c r="Y1184" s="193" t="str">
        <f>IF($Q1184="","",IF(COUNTIFS($Q$2:$Q$1300,$Q1184,$U$2:$U$1300,"&gt;"&amp;$U1184)&gt;0,0,IF(AND(ISNUMBER($F1184),ISNUMBER($X1184)),IF(ABS($F1184-$X1184)&gt;_QA!$C$6,1,0),IF($F1184&amp;""=$X1184&amp;"",0,1))))</f>
        <v/>
      </c>
    </row>
    <row r="1185" spans="24:25" x14ac:dyDescent="0.3">
      <c r="X1185" s="193" t="str">
        <f>IF($Q1185="","",IFERROR(INDEX(BD_KPIs!$F$2:$F$1300,MATCH($Q1185,BD_KPIs!$Q$2:$Q$1300,0)),"n/d"))</f>
        <v/>
      </c>
      <c r="Y1185" s="193" t="str">
        <f>IF($Q1185="","",IF(COUNTIFS($Q$2:$Q$1300,$Q1185,$U$2:$U$1300,"&gt;"&amp;$U1185)&gt;0,0,IF(AND(ISNUMBER($F1185),ISNUMBER($X1185)),IF(ABS($F1185-$X1185)&gt;_QA!$C$6,1,0),IF($F1185&amp;""=$X1185&amp;"",0,1))))</f>
        <v/>
      </c>
    </row>
    <row r="1186" spans="24:25" x14ac:dyDescent="0.3">
      <c r="X1186" s="193" t="str">
        <f>IF($Q1186="","",IFERROR(INDEX(BD_KPIs!$F$2:$F$1300,MATCH($Q1186,BD_KPIs!$Q$2:$Q$1300,0)),"n/d"))</f>
        <v/>
      </c>
      <c r="Y1186" s="193" t="str">
        <f>IF($Q1186="","",IF(COUNTIFS($Q$2:$Q$1300,$Q1186,$U$2:$U$1300,"&gt;"&amp;$U1186)&gt;0,0,IF(AND(ISNUMBER($F1186),ISNUMBER($X1186)),IF(ABS($F1186-$X1186)&gt;_QA!$C$6,1,0),IF($F1186&amp;""=$X1186&amp;"",0,1))))</f>
        <v/>
      </c>
    </row>
    <row r="1187" spans="24:25" x14ac:dyDescent="0.3">
      <c r="X1187" s="193" t="str">
        <f>IF($Q1187="","",IFERROR(INDEX(BD_KPIs!$F$2:$F$1300,MATCH($Q1187,BD_KPIs!$Q$2:$Q$1300,0)),"n/d"))</f>
        <v/>
      </c>
      <c r="Y1187" s="193" t="str">
        <f>IF($Q1187="","",IF(COUNTIFS($Q$2:$Q$1300,$Q1187,$U$2:$U$1300,"&gt;"&amp;$U1187)&gt;0,0,IF(AND(ISNUMBER($F1187),ISNUMBER($X1187)),IF(ABS($F1187-$X1187)&gt;_QA!$C$6,1,0),IF($F1187&amp;""=$X1187&amp;"",0,1))))</f>
        <v/>
      </c>
    </row>
    <row r="1188" spans="24:25" x14ac:dyDescent="0.3">
      <c r="X1188" s="193" t="str">
        <f>IF($Q1188="","",IFERROR(INDEX(BD_KPIs!$F$2:$F$1300,MATCH($Q1188,BD_KPIs!$Q$2:$Q$1300,0)),"n/d"))</f>
        <v/>
      </c>
      <c r="Y1188" s="193" t="str">
        <f>IF($Q1188="","",IF(COUNTIFS($Q$2:$Q$1300,$Q1188,$U$2:$U$1300,"&gt;"&amp;$U1188)&gt;0,0,IF(AND(ISNUMBER($F1188),ISNUMBER($X1188)),IF(ABS($F1188-$X1188)&gt;_QA!$C$6,1,0),IF($F1188&amp;""=$X1188&amp;"",0,1))))</f>
        <v/>
      </c>
    </row>
    <row r="1189" spans="24:25" x14ac:dyDescent="0.3">
      <c r="X1189" s="193" t="str">
        <f>IF($Q1189="","",IFERROR(INDEX(BD_KPIs!$F$2:$F$1300,MATCH($Q1189,BD_KPIs!$Q$2:$Q$1300,0)),"n/d"))</f>
        <v/>
      </c>
      <c r="Y1189" s="193" t="str">
        <f>IF($Q1189="","",IF(COUNTIFS($Q$2:$Q$1300,$Q1189,$U$2:$U$1300,"&gt;"&amp;$U1189)&gt;0,0,IF(AND(ISNUMBER($F1189),ISNUMBER($X1189)),IF(ABS($F1189-$X1189)&gt;_QA!$C$6,1,0),IF($F1189&amp;""=$X1189&amp;"",0,1))))</f>
        <v/>
      </c>
    </row>
    <row r="1190" spans="24:25" x14ac:dyDescent="0.3">
      <c r="X1190" s="193" t="str">
        <f>IF($Q1190="","",IFERROR(INDEX(BD_KPIs!$F$2:$F$1300,MATCH($Q1190,BD_KPIs!$Q$2:$Q$1300,0)),"n/d"))</f>
        <v/>
      </c>
      <c r="Y1190" s="193" t="str">
        <f>IF($Q1190="","",IF(COUNTIFS($Q$2:$Q$1300,$Q1190,$U$2:$U$1300,"&gt;"&amp;$U1190)&gt;0,0,IF(AND(ISNUMBER($F1190),ISNUMBER($X1190)),IF(ABS($F1190-$X1190)&gt;_QA!$C$6,1,0),IF($F1190&amp;""=$X1190&amp;"",0,1))))</f>
        <v/>
      </c>
    </row>
    <row r="1191" spans="24:25" x14ac:dyDescent="0.3">
      <c r="X1191" s="193" t="str">
        <f>IF($Q1191="","",IFERROR(INDEX(BD_KPIs!$F$2:$F$1300,MATCH($Q1191,BD_KPIs!$Q$2:$Q$1300,0)),"n/d"))</f>
        <v/>
      </c>
      <c r="Y1191" s="193" t="str">
        <f>IF($Q1191="","",IF(COUNTIFS($Q$2:$Q$1300,$Q1191,$U$2:$U$1300,"&gt;"&amp;$U1191)&gt;0,0,IF(AND(ISNUMBER($F1191),ISNUMBER($X1191)),IF(ABS($F1191-$X1191)&gt;_QA!$C$6,1,0),IF($F1191&amp;""=$X1191&amp;"",0,1))))</f>
        <v/>
      </c>
    </row>
    <row r="1192" spans="24:25" x14ac:dyDescent="0.3">
      <c r="X1192" s="193" t="str">
        <f>IF($Q1192="","",IFERROR(INDEX(BD_KPIs!$F$2:$F$1300,MATCH($Q1192,BD_KPIs!$Q$2:$Q$1300,0)),"n/d"))</f>
        <v/>
      </c>
      <c r="Y1192" s="193" t="str">
        <f>IF($Q1192="","",IF(COUNTIFS($Q$2:$Q$1300,$Q1192,$U$2:$U$1300,"&gt;"&amp;$U1192)&gt;0,0,IF(AND(ISNUMBER($F1192),ISNUMBER($X1192)),IF(ABS($F1192-$X1192)&gt;_QA!$C$6,1,0),IF($F1192&amp;""=$X1192&amp;"",0,1))))</f>
        <v/>
      </c>
    </row>
    <row r="1193" spans="24:25" x14ac:dyDescent="0.3">
      <c r="X1193" s="193" t="str">
        <f>IF($Q1193="","",IFERROR(INDEX(BD_KPIs!$F$2:$F$1300,MATCH($Q1193,BD_KPIs!$Q$2:$Q$1300,0)),"n/d"))</f>
        <v/>
      </c>
      <c r="Y1193" s="193" t="str">
        <f>IF($Q1193="","",IF(COUNTIFS($Q$2:$Q$1300,$Q1193,$U$2:$U$1300,"&gt;"&amp;$U1193)&gt;0,0,IF(AND(ISNUMBER($F1193),ISNUMBER($X1193)),IF(ABS($F1193-$X1193)&gt;_QA!$C$6,1,0),IF($F1193&amp;""=$X1193&amp;"",0,1))))</f>
        <v/>
      </c>
    </row>
    <row r="1194" spans="24:25" x14ac:dyDescent="0.3">
      <c r="X1194" s="193" t="str">
        <f>IF($Q1194="","",IFERROR(INDEX(BD_KPIs!$F$2:$F$1300,MATCH($Q1194,BD_KPIs!$Q$2:$Q$1300,0)),"n/d"))</f>
        <v/>
      </c>
      <c r="Y1194" s="193" t="str">
        <f>IF($Q1194="","",IF(COUNTIFS($Q$2:$Q$1300,$Q1194,$U$2:$U$1300,"&gt;"&amp;$U1194)&gt;0,0,IF(AND(ISNUMBER($F1194),ISNUMBER($X1194)),IF(ABS($F1194-$X1194)&gt;_QA!$C$6,1,0),IF($F1194&amp;""=$X1194&amp;"",0,1))))</f>
        <v/>
      </c>
    </row>
    <row r="1195" spans="24:25" x14ac:dyDescent="0.3">
      <c r="X1195" s="193" t="str">
        <f>IF($Q1195="","",IFERROR(INDEX(BD_KPIs!$F$2:$F$1300,MATCH($Q1195,BD_KPIs!$Q$2:$Q$1300,0)),"n/d"))</f>
        <v/>
      </c>
      <c r="Y1195" s="193" t="str">
        <f>IF($Q1195="","",IF(COUNTIFS($Q$2:$Q$1300,$Q1195,$U$2:$U$1300,"&gt;"&amp;$U1195)&gt;0,0,IF(AND(ISNUMBER($F1195),ISNUMBER($X1195)),IF(ABS($F1195-$X1195)&gt;_QA!$C$6,1,0),IF($F1195&amp;""=$X1195&amp;"",0,1))))</f>
        <v/>
      </c>
    </row>
    <row r="1196" spans="24:25" x14ac:dyDescent="0.3">
      <c r="X1196" s="193" t="str">
        <f>IF($Q1196="","",IFERROR(INDEX(BD_KPIs!$F$2:$F$1300,MATCH($Q1196,BD_KPIs!$Q$2:$Q$1300,0)),"n/d"))</f>
        <v/>
      </c>
      <c r="Y1196" s="193" t="str">
        <f>IF($Q1196="","",IF(COUNTIFS($Q$2:$Q$1300,$Q1196,$U$2:$U$1300,"&gt;"&amp;$U1196)&gt;0,0,IF(AND(ISNUMBER($F1196),ISNUMBER($X1196)),IF(ABS($F1196-$X1196)&gt;_QA!$C$6,1,0),IF($F1196&amp;""=$X1196&amp;"",0,1))))</f>
        <v/>
      </c>
    </row>
    <row r="1197" spans="24:25" x14ac:dyDescent="0.3">
      <c r="X1197" s="193" t="str">
        <f>IF($Q1197="","",IFERROR(INDEX(BD_KPIs!$F$2:$F$1300,MATCH($Q1197,BD_KPIs!$Q$2:$Q$1300,0)),"n/d"))</f>
        <v/>
      </c>
      <c r="Y1197" s="193" t="str">
        <f>IF($Q1197="","",IF(COUNTIFS($Q$2:$Q$1300,$Q1197,$U$2:$U$1300,"&gt;"&amp;$U1197)&gt;0,0,IF(AND(ISNUMBER($F1197),ISNUMBER($X1197)),IF(ABS($F1197-$X1197)&gt;_QA!$C$6,1,0),IF($F1197&amp;""=$X1197&amp;"",0,1))))</f>
        <v/>
      </c>
    </row>
    <row r="1198" spans="24:25" x14ac:dyDescent="0.3">
      <c r="X1198" s="193" t="str">
        <f>IF($Q1198="","",IFERROR(INDEX(BD_KPIs!$F$2:$F$1300,MATCH($Q1198,BD_KPIs!$Q$2:$Q$1300,0)),"n/d"))</f>
        <v/>
      </c>
      <c r="Y1198" s="193" t="str">
        <f>IF($Q1198="","",IF(COUNTIFS($Q$2:$Q$1300,$Q1198,$U$2:$U$1300,"&gt;"&amp;$U1198)&gt;0,0,IF(AND(ISNUMBER($F1198),ISNUMBER($X1198)),IF(ABS($F1198-$X1198)&gt;_QA!$C$6,1,0),IF($F1198&amp;""=$X1198&amp;"",0,1))))</f>
        <v/>
      </c>
    </row>
    <row r="1199" spans="24:25" x14ac:dyDescent="0.3">
      <c r="X1199" s="193" t="str">
        <f>IF($Q1199="","",IFERROR(INDEX(BD_KPIs!$F$2:$F$1300,MATCH($Q1199,BD_KPIs!$Q$2:$Q$1300,0)),"n/d"))</f>
        <v/>
      </c>
      <c r="Y1199" s="193" t="str">
        <f>IF($Q1199="","",IF(COUNTIFS($Q$2:$Q$1300,$Q1199,$U$2:$U$1300,"&gt;"&amp;$U1199)&gt;0,0,IF(AND(ISNUMBER($F1199),ISNUMBER($X1199)),IF(ABS($F1199-$X1199)&gt;_QA!$C$6,1,0),IF($F1199&amp;""=$X1199&amp;"",0,1))))</f>
        <v/>
      </c>
    </row>
    <row r="1200" spans="24:25" x14ac:dyDescent="0.3">
      <c r="X1200" s="193" t="str">
        <f>IF($Q1200="","",IFERROR(INDEX(BD_KPIs!$F$2:$F$1300,MATCH($Q1200,BD_KPIs!$Q$2:$Q$1300,0)),"n/d"))</f>
        <v/>
      </c>
      <c r="Y1200" s="193" t="str">
        <f>IF($Q1200="","",IF(COUNTIFS($Q$2:$Q$1300,$Q1200,$U$2:$U$1300,"&gt;"&amp;$U1200)&gt;0,0,IF(AND(ISNUMBER($F1200),ISNUMBER($X1200)),IF(ABS($F1200-$X1200)&gt;_QA!$C$6,1,0),IF($F1200&amp;""=$X1200&amp;"",0,1))))</f>
        <v/>
      </c>
    </row>
    <row r="1201" spans="24:25" x14ac:dyDescent="0.3">
      <c r="X1201" s="193" t="str">
        <f>IF($Q1201="","",IFERROR(INDEX(BD_KPIs!$F$2:$F$1300,MATCH($Q1201,BD_KPIs!$Q$2:$Q$1300,0)),"n/d"))</f>
        <v/>
      </c>
      <c r="Y1201" s="193" t="str">
        <f>IF($Q1201="","",IF(COUNTIFS($Q$2:$Q$1300,$Q1201,$U$2:$U$1300,"&gt;"&amp;$U1201)&gt;0,0,IF(AND(ISNUMBER($F1201),ISNUMBER($X1201)),IF(ABS($F1201-$X1201)&gt;_QA!$C$6,1,0),IF($F1201&amp;""=$X1201&amp;"",0,1))))</f>
        <v/>
      </c>
    </row>
    <row r="1202" spans="24:25" x14ac:dyDescent="0.3">
      <c r="X1202" s="193" t="str">
        <f>IF($Q1202="","",IFERROR(INDEX(BD_KPIs!$F$2:$F$1300,MATCH($Q1202,BD_KPIs!$Q$2:$Q$1300,0)),"n/d"))</f>
        <v/>
      </c>
      <c r="Y1202" s="193" t="str">
        <f>IF($Q1202="","",IF(COUNTIFS($Q$2:$Q$1300,$Q1202,$U$2:$U$1300,"&gt;"&amp;$U1202)&gt;0,0,IF(AND(ISNUMBER($F1202),ISNUMBER($X1202)),IF(ABS($F1202-$X1202)&gt;_QA!$C$6,1,0),IF($F1202&amp;""=$X1202&amp;"",0,1))))</f>
        <v/>
      </c>
    </row>
    <row r="1203" spans="24:25" x14ac:dyDescent="0.3">
      <c r="X1203" s="193" t="str">
        <f>IF($Q1203="","",IFERROR(INDEX(BD_KPIs!$F$2:$F$1300,MATCH($Q1203,BD_KPIs!$Q$2:$Q$1300,0)),"n/d"))</f>
        <v/>
      </c>
      <c r="Y1203" s="193" t="str">
        <f>IF($Q1203="","",IF(COUNTIFS($Q$2:$Q$1300,$Q1203,$U$2:$U$1300,"&gt;"&amp;$U1203)&gt;0,0,IF(AND(ISNUMBER($F1203),ISNUMBER($X1203)),IF(ABS($F1203-$X1203)&gt;_QA!$C$6,1,0),IF($F1203&amp;""=$X1203&amp;"",0,1))))</f>
        <v/>
      </c>
    </row>
    <row r="1204" spans="24:25" x14ac:dyDescent="0.3">
      <c r="X1204" s="193" t="str">
        <f>IF($Q1204="","",IFERROR(INDEX(BD_KPIs!$F$2:$F$1300,MATCH($Q1204,BD_KPIs!$Q$2:$Q$1300,0)),"n/d"))</f>
        <v/>
      </c>
      <c r="Y1204" s="193" t="str">
        <f>IF($Q1204="","",IF(COUNTIFS($Q$2:$Q$1300,$Q1204,$U$2:$U$1300,"&gt;"&amp;$U1204)&gt;0,0,IF(AND(ISNUMBER($F1204),ISNUMBER($X1204)),IF(ABS($F1204-$X1204)&gt;_QA!$C$6,1,0),IF($F1204&amp;""=$X1204&amp;"",0,1))))</f>
        <v/>
      </c>
    </row>
    <row r="1205" spans="24:25" x14ac:dyDescent="0.3">
      <c r="X1205" s="193" t="str">
        <f>IF($Q1205="","",IFERROR(INDEX(BD_KPIs!$F$2:$F$1300,MATCH($Q1205,BD_KPIs!$Q$2:$Q$1300,0)),"n/d"))</f>
        <v/>
      </c>
      <c r="Y1205" s="193" t="str">
        <f>IF($Q1205="","",IF(COUNTIFS($Q$2:$Q$1300,$Q1205,$U$2:$U$1300,"&gt;"&amp;$U1205)&gt;0,0,IF(AND(ISNUMBER($F1205),ISNUMBER($X1205)),IF(ABS($F1205-$X1205)&gt;_QA!$C$6,1,0),IF($F1205&amp;""=$X1205&amp;"",0,1))))</f>
        <v/>
      </c>
    </row>
    <row r="1206" spans="24:25" x14ac:dyDescent="0.3">
      <c r="X1206" s="193" t="str">
        <f>IF($Q1206="","",IFERROR(INDEX(BD_KPIs!$F$2:$F$1300,MATCH($Q1206,BD_KPIs!$Q$2:$Q$1300,0)),"n/d"))</f>
        <v/>
      </c>
      <c r="Y1206" s="193" t="str">
        <f>IF($Q1206="","",IF(COUNTIFS($Q$2:$Q$1300,$Q1206,$U$2:$U$1300,"&gt;"&amp;$U1206)&gt;0,0,IF(AND(ISNUMBER($F1206),ISNUMBER($X1206)),IF(ABS($F1206-$X1206)&gt;_QA!$C$6,1,0),IF($F1206&amp;""=$X1206&amp;"",0,1))))</f>
        <v/>
      </c>
    </row>
    <row r="1207" spans="24:25" x14ac:dyDescent="0.3">
      <c r="X1207" s="193" t="str">
        <f>IF($Q1207="","",IFERROR(INDEX(BD_KPIs!$F$2:$F$1300,MATCH($Q1207,BD_KPIs!$Q$2:$Q$1300,0)),"n/d"))</f>
        <v/>
      </c>
      <c r="Y1207" s="193" t="str">
        <f>IF($Q1207="","",IF(COUNTIFS($Q$2:$Q$1300,$Q1207,$U$2:$U$1300,"&gt;"&amp;$U1207)&gt;0,0,IF(AND(ISNUMBER($F1207),ISNUMBER($X1207)),IF(ABS($F1207-$X1207)&gt;_QA!$C$6,1,0),IF($F1207&amp;""=$X1207&amp;"",0,1))))</f>
        <v/>
      </c>
    </row>
    <row r="1208" spans="24:25" x14ac:dyDescent="0.3">
      <c r="X1208" s="193" t="str">
        <f>IF($Q1208="","",IFERROR(INDEX(BD_KPIs!$F$2:$F$1300,MATCH($Q1208,BD_KPIs!$Q$2:$Q$1300,0)),"n/d"))</f>
        <v/>
      </c>
      <c r="Y1208" s="193" t="str">
        <f>IF($Q1208="","",IF(COUNTIFS($Q$2:$Q$1300,$Q1208,$U$2:$U$1300,"&gt;"&amp;$U1208)&gt;0,0,IF(AND(ISNUMBER($F1208),ISNUMBER($X1208)),IF(ABS($F1208-$X1208)&gt;_QA!$C$6,1,0),IF($F1208&amp;""=$X1208&amp;"",0,1))))</f>
        <v/>
      </c>
    </row>
    <row r="1209" spans="24:25" x14ac:dyDescent="0.3">
      <c r="X1209" s="193" t="str">
        <f>IF($Q1209="","",IFERROR(INDEX(BD_KPIs!$F$2:$F$1300,MATCH($Q1209,BD_KPIs!$Q$2:$Q$1300,0)),"n/d"))</f>
        <v/>
      </c>
      <c r="Y1209" s="193" t="str">
        <f>IF($Q1209="","",IF(COUNTIFS($Q$2:$Q$1300,$Q1209,$U$2:$U$1300,"&gt;"&amp;$U1209)&gt;0,0,IF(AND(ISNUMBER($F1209),ISNUMBER($X1209)),IF(ABS($F1209-$X1209)&gt;_QA!$C$6,1,0),IF($F1209&amp;""=$X1209&amp;"",0,1))))</f>
        <v/>
      </c>
    </row>
    <row r="1210" spans="24:25" x14ac:dyDescent="0.3">
      <c r="X1210" s="193" t="str">
        <f>IF($Q1210="","",IFERROR(INDEX(BD_KPIs!$F$2:$F$1300,MATCH($Q1210,BD_KPIs!$Q$2:$Q$1300,0)),"n/d"))</f>
        <v/>
      </c>
      <c r="Y1210" s="193" t="str">
        <f>IF($Q1210="","",IF(COUNTIFS($Q$2:$Q$1300,$Q1210,$U$2:$U$1300,"&gt;"&amp;$U1210)&gt;0,0,IF(AND(ISNUMBER($F1210),ISNUMBER($X1210)),IF(ABS($F1210-$X1210)&gt;_QA!$C$6,1,0),IF($F1210&amp;""=$X1210&amp;"",0,1))))</f>
        <v/>
      </c>
    </row>
    <row r="1211" spans="24:25" x14ac:dyDescent="0.3">
      <c r="X1211" s="193" t="str">
        <f>IF($Q1211="","",IFERROR(INDEX(BD_KPIs!$F$2:$F$1300,MATCH($Q1211,BD_KPIs!$Q$2:$Q$1300,0)),"n/d"))</f>
        <v/>
      </c>
      <c r="Y1211" s="193" t="str">
        <f>IF($Q1211="","",IF(COUNTIFS($Q$2:$Q$1300,$Q1211,$U$2:$U$1300,"&gt;"&amp;$U1211)&gt;0,0,IF(AND(ISNUMBER($F1211),ISNUMBER($X1211)),IF(ABS($F1211-$X1211)&gt;_QA!$C$6,1,0),IF($F1211&amp;""=$X1211&amp;"",0,1))))</f>
        <v/>
      </c>
    </row>
    <row r="1212" spans="24:25" x14ac:dyDescent="0.3">
      <c r="X1212" s="193" t="str">
        <f>IF($Q1212="","",IFERROR(INDEX(BD_KPIs!$F$2:$F$1300,MATCH($Q1212,BD_KPIs!$Q$2:$Q$1300,0)),"n/d"))</f>
        <v/>
      </c>
      <c r="Y1212" s="193" t="str">
        <f>IF($Q1212="","",IF(COUNTIFS($Q$2:$Q$1300,$Q1212,$U$2:$U$1300,"&gt;"&amp;$U1212)&gt;0,0,IF(AND(ISNUMBER($F1212),ISNUMBER($X1212)),IF(ABS($F1212-$X1212)&gt;_QA!$C$6,1,0),IF($F1212&amp;""=$X1212&amp;"",0,1))))</f>
        <v/>
      </c>
    </row>
    <row r="1213" spans="24:25" x14ac:dyDescent="0.3">
      <c r="X1213" s="193" t="str">
        <f>IF($Q1213="","",IFERROR(INDEX(BD_KPIs!$F$2:$F$1300,MATCH($Q1213,BD_KPIs!$Q$2:$Q$1300,0)),"n/d"))</f>
        <v/>
      </c>
      <c r="Y1213" s="193" t="str">
        <f>IF($Q1213="","",IF(COUNTIFS($Q$2:$Q$1300,$Q1213,$U$2:$U$1300,"&gt;"&amp;$U1213)&gt;0,0,IF(AND(ISNUMBER($F1213),ISNUMBER($X1213)),IF(ABS($F1213-$X1213)&gt;_QA!$C$6,1,0),IF($F1213&amp;""=$X1213&amp;"",0,1))))</f>
        <v/>
      </c>
    </row>
    <row r="1214" spans="24:25" x14ac:dyDescent="0.3">
      <c r="X1214" s="193" t="str">
        <f>IF($Q1214="","",IFERROR(INDEX(BD_KPIs!$F$2:$F$1300,MATCH($Q1214,BD_KPIs!$Q$2:$Q$1300,0)),"n/d"))</f>
        <v/>
      </c>
      <c r="Y1214" s="193" t="str">
        <f>IF($Q1214="","",IF(COUNTIFS($Q$2:$Q$1300,$Q1214,$U$2:$U$1300,"&gt;"&amp;$U1214)&gt;0,0,IF(AND(ISNUMBER($F1214),ISNUMBER($X1214)),IF(ABS($F1214-$X1214)&gt;_QA!$C$6,1,0),IF($F1214&amp;""=$X1214&amp;"",0,1))))</f>
        <v/>
      </c>
    </row>
    <row r="1215" spans="24:25" x14ac:dyDescent="0.3">
      <c r="X1215" s="193" t="str">
        <f>IF($Q1215="","",IFERROR(INDEX(BD_KPIs!$F$2:$F$1300,MATCH($Q1215,BD_KPIs!$Q$2:$Q$1300,0)),"n/d"))</f>
        <v/>
      </c>
      <c r="Y1215" s="193" t="str">
        <f>IF($Q1215="","",IF(COUNTIFS($Q$2:$Q$1300,$Q1215,$U$2:$U$1300,"&gt;"&amp;$U1215)&gt;0,0,IF(AND(ISNUMBER($F1215),ISNUMBER($X1215)),IF(ABS($F1215-$X1215)&gt;_QA!$C$6,1,0),IF($F1215&amp;""=$X1215&amp;"",0,1))))</f>
        <v/>
      </c>
    </row>
    <row r="1216" spans="24:25" x14ac:dyDescent="0.3">
      <c r="X1216" s="193" t="str">
        <f>IF($Q1216="","",IFERROR(INDEX(BD_KPIs!$F$2:$F$1300,MATCH($Q1216,BD_KPIs!$Q$2:$Q$1300,0)),"n/d"))</f>
        <v/>
      </c>
      <c r="Y1216" s="193" t="str">
        <f>IF($Q1216="","",IF(COUNTIFS($Q$2:$Q$1300,$Q1216,$U$2:$U$1300,"&gt;"&amp;$U1216)&gt;0,0,IF(AND(ISNUMBER($F1216),ISNUMBER($X1216)),IF(ABS($F1216-$X1216)&gt;_QA!$C$6,1,0),IF($F1216&amp;""=$X1216&amp;"",0,1))))</f>
        <v/>
      </c>
    </row>
    <row r="1217" spans="24:25" x14ac:dyDescent="0.3">
      <c r="X1217" s="193" t="str">
        <f>IF($Q1217="","",IFERROR(INDEX(BD_KPIs!$F$2:$F$1300,MATCH($Q1217,BD_KPIs!$Q$2:$Q$1300,0)),"n/d"))</f>
        <v/>
      </c>
      <c r="Y1217" s="193" t="str">
        <f>IF($Q1217="","",IF(COUNTIFS($Q$2:$Q$1300,$Q1217,$U$2:$U$1300,"&gt;"&amp;$U1217)&gt;0,0,IF(AND(ISNUMBER($F1217),ISNUMBER($X1217)),IF(ABS($F1217-$X1217)&gt;_QA!$C$6,1,0),IF($F1217&amp;""=$X1217&amp;"",0,1))))</f>
        <v/>
      </c>
    </row>
    <row r="1218" spans="24:25" x14ac:dyDescent="0.3">
      <c r="X1218" s="193" t="str">
        <f>IF($Q1218="","",IFERROR(INDEX(BD_KPIs!$F$2:$F$1300,MATCH($Q1218,BD_KPIs!$Q$2:$Q$1300,0)),"n/d"))</f>
        <v/>
      </c>
      <c r="Y1218" s="193" t="str">
        <f>IF($Q1218="","",IF(COUNTIFS($Q$2:$Q$1300,$Q1218,$U$2:$U$1300,"&gt;"&amp;$U1218)&gt;0,0,IF(AND(ISNUMBER($F1218),ISNUMBER($X1218)),IF(ABS($F1218-$X1218)&gt;_QA!$C$6,1,0),IF($F1218&amp;""=$X1218&amp;"",0,1))))</f>
        <v/>
      </c>
    </row>
    <row r="1219" spans="24:25" x14ac:dyDescent="0.3">
      <c r="X1219" s="193" t="str">
        <f>IF($Q1219="","",IFERROR(INDEX(BD_KPIs!$F$2:$F$1300,MATCH($Q1219,BD_KPIs!$Q$2:$Q$1300,0)),"n/d"))</f>
        <v/>
      </c>
      <c r="Y1219" s="193" t="str">
        <f>IF($Q1219="","",IF(COUNTIFS($Q$2:$Q$1300,$Q1219,$U$2:$U$1300,"&gt;"&amp;$U1219)&gt;0,0,IF(AND(ISNUMBER($F1219),ISNUMBER($X1219)),IF(ABS($F1219-$X1219)&gt;_QA!$C$6,1,0),IF($F1219&amp;""=$X1219&amp;"",0,1))))</f>
        <v/>
      </c>
    </row>
    <row r="1220" spans="24:25" x14ac:dyDescent="0.3">
      <c r="X1220" s="193" t="str">
        <f>IF($Q1220="","",IFERROR(INDEX(BD_KPIs!$F$2:$F$1300,MATCH($Q1220,BD_KPIs!$Q$2:$Q$1300,0)),"n/d"))</f>
        <v/>
      </c>
      <c r="Y1220" s="193" t="str">
        <f>IF($Q1220="","",IF(COUNTIFS($Q$2:$Q$1300,$Q1220,$U$2:$U$1300,"&gt;"&amp;$U1220)&gt;0,0,IF(AND(ISNUMBER($F1220),ISNUMBER($X1220)),IF(ABS($F1220-$X1220)&gt;_QA!$C$6,1,0),IF($F1220&amp;""=$X1220&amp;"",0,1))))</f>
        <v/>
      </c>
    </row>
    <row r="1221" spans="24:25" x14ac:dyDescent="0.3">
      <c r="X1221" s="193" t="str">
        <f>IF($Q1221="","",IFERROR(INDEX(BD_KPIs!$F$2:$F$1300,MATCH($Q1221,BD_KPIs!$Q$2:$Q$1300,0)),"n/d"))</f>
        <v/>
      </c>
      <c r="Y1221" s="193" t="str">
        <f>IF($Q1221="","",IF(COUNTIFS($Q$2:$Q$1300,$Q1221,$U$2:$U$1300,"&gt;"&amp;$U1221)&gt;0,0,IF(AND(ISNUMBER($F1221),ISNUMBER($X1221)),IF(ABS($F1221-$X1221)&gt;_QA!$C$6,1,0),IF($F1221&amp;""=$X1221&amp;"",0,1))))</f>
        <v/>
      </c>
    </row>
    <row r="1222" spans="24:25" x14ac:dyDescent="0.3">
      <c r="X1222" s="193" t="str">
        <f>IF($Q1222="","",IFERROR(INDEX(BD_KPIs!$F$2:$F$1300,MATCH($Q1222,BD_KPIs!$Q$2:$Q$1300,0)),"n/d"))</f>
        <v/>
      </c>
      <c r="Y1222" s="193" t="str">
        <f>IF($Q1222="","",IF(COUNTIFS($Q$2:$Q$1300,$Q1222,$U$2:$U$1300,"&gt;"&amp;$U1222)&gt;0,0,IF(AND(ISNUMBER($F1222),ISNUMBER($X1222)),IF(ABS($F1222-$X1222)&gt;_QA!$C$6,1,0),IF($F1222&amp;""=$X1222&amp;"",0,1))))</f>
        <v/>
      </c>
    </row>
    <row r="1223" spans="24:25" x14ac:dyDescent="0.3">
      <c r="X1223" s="193" t="str">
        <f>IF($Q1223="","",IFERROR(INDEX(BD_KPIs!$F$2:$F$1300,MATCH($Q1223,BD_KPIs!$Q$2:$Q$1300,0)),"n/d"))</f>
        <v/>
      </c>
      <c r="Y1223" s="193" t="str">
        <f>IF($Q1223="","",IF(COUNTIFS($Q$2:$Q$1300,$Q1223,$U$2:$U$1300,"&gt;"&amp;$U1223)&gt;0,0,IF(AND(ISNUMBER($F1223),ISNUMBER($X1223)),IF(ABS($F1223-$X1223)&gt;_QA!$C$6,1,0),IF($F1223&amp;""=$X1223&amp;"",0,1))))</f>
        <v/>
      </c>
    </row>
    <row r="1224" spans="24:25" x14ac:dyDescent="0.3">
      <c r="X1224" s="193" t="str">
        <f>IF($Q1224="","",IFERROR(INDEX(BD_KPIs!$F$2:$F$1300,MATCH($Q1224,BD_KPIs!$Q$2:$Q$1300,0)),"n/d"))</f>
        <v/>
      </c>
      <c r="Y1224" s="193" t="str">
        <f>IF($Q1224="","",IF(COUNTIFS($Q$2:$Q$1300,$Q1224,$U$2:$U$1300,"&gt;"&amp;$U1224)&gt;0,0,IF(AND(ISNUMBER($F1224),ISNUMBER($X1224)),IF(ABS($F1224-$X1224)&gt;_QA!$C$6,1,0),IF($F1224&amp;""=$X1224&amp;"",0,1))))</f>
        <v/>
      </c>
    </row>
    <row r="1225" spans="24:25" x14ac:dyDescent="0.3">
      <c r="X1225" s="193" t="str">
        <f>IF($Q1225="","",IFERROR(INDEX(BD_KPIs!$F$2:$F$1300,MATCH($Q1225,BD_KPIs!$Q$2:$Q$1300,0)),"n/d"))</f>
        <v/>
      </c>
      <c r="Y1225" s="193" t="str">
        <f>IF($Q1225="","",IF(COUNTIFS($Q$2:$Q$1300,$Q1225,$U$2:$U$1300,"&gt;"&amp;$U1225)&gt;0,0,IF(AND(ISNUMBER($F1225),ISNUMBER($X1225)),IF(ABS($F1225-$X1225)&gt;_QA!$C$6,1,0),IF($F1225&amp;""=$X1225&amp;"",0,1))))</f>
        <v/>
      </c>
    </row>
    <row r="1226" spans="24:25" x14ac:dyDescent="0.3">
      <c r="X1226" s="193" t="str">
        <f>IF($Q1226="","",IFERROR(INDEX(BD_KPIs!$F$2:$F$1300,MATCH($Q1226,BD_KPIs!$Q$2:$Q$1300,0)),"n/d"))</f>
        <v/>
      </c>
      <c r="Y1226" s="193" t="str">
        <f>IF($Q1226="","",IF(COUNTIFS($Q$2:$Q$1300,$Q1226,$U$2:$U$1300,"&gt;"&amp;$U1226)&gt;0,0,IF(AND(ISNUMBER($F1226),ISNUMBER($X1226)),IF(ABS($F1226-$X1226)&gt;_QA!$C$6,1,0),IF($F1226&amp;""=$X1226&amp;"",0,1))))</f>
        <v/>
      </c>
    </row>
    <row r="1227" spans="24:25" x14ac:dyDescent="0.3">
      <c r="X1227" s="193" t="str">
        <f>IF($Q1227="","",IFERROR(INDEX(BD_KPIs!$F$2:$F$1300,MATCH($Q1227,BD_KPIs!$Q$2:$Q$1300,0)),"n/d"))</f>
        <v/>
      </c>
      <c r="Y1227" s="193" t="str">
        <f>IF($Q1227="","",IF(COUNTIFS($Q$2:$Q$1300,$Q1227,$U$2:$U$1300,"&gt;"&amp;$U1227)&gt;0,0,IF(AND(ISNUMBER($F1227),ISNUMBER($X1227)),IF(ABS($F1227-$X1227)&gt;_QA!$C$6,1,0),IF($F1227&amp;""=$X1227&amp;"",0,1))))</f>
        <v/>
      </c>
    </row>
    <row r="1228" spans="24:25" x14ac:dyDescent="0.3">
      <c r="X1228" s="193" t="str">
        <f>IF($Q1228="","",IFERROR(INDEX(BD_KPIs!$F$2:$F$1300,MATCH($Q1228,BD_KPIs!$Q$2:$Q$1300,0)),"n/d"))</f>
        <v/>
      </c>
      <c r="Y1228" s="193" t="str">
        <f>IF($Q1228="","",IF(COUNTIFS($Q$2:$Q$1300,$Q1228,$U$2:$U$1300,"&gt;"&amp;$U1228)&gt;0,0,IF(AND(ISNUMBER($F1228),ISNUMBER($X1228)),IF(ABS($F1228-$X1228)&gt;_QA!$C$6,1,0),IF($F1228&amp;""=$X1228&amp;"",0,1))))</f>
        <v/>
      </c>
    </row>
    <row r="1229" spans="24:25" x14ac:dyDescent="0.3">
      <c r="X1229" s="193" t="str">
        <f>IF($Q1229="","",IFERROR(INDEX(BD_KPIs!$F$2:$F$1300,MATCH($Q1229,BD_KPIs!$Q$2:$Q$1300,0)),"n/d"))</f>
        <v/>
      </c>
      <c r="Y1229" s="193" t="str">
        <f>IF($Q1229="","",IF(COUNTIFS($Q$2:$Q$1300,$Q1229,$U$2:$U$1300,"&gt;"&amp;$U1229)&gt;0,0,IF(AND(ISNUMBER($F1229),ISNUMBER($X1229)),IF(ABS($F1229-$X1229)&gt;_QA!$C$6,1,0),IF($F1229&amp;""=$X1229&amp;"",0,1))))</f>
        <v/>
      </c>
    </row>
    <row r="1230" spans="24:25" x14ac:dyDescent="0.3">
      <c r="X1230" s="193" t="str">
        <f>IF($Q1230="","",IFERROR(INDEX(BD_KPIs!$F$2:$F$1300,MATCH($Q1230,BD_KPIs!$Q$2:$Q$1300,0)),"n/d"))</f>
        <v/>
      </c>
      <c r="Y1230" s="193" t="str">
        <f>IF($Q1230="","",IF(COUNTIFS($Q$2:$Q$1300,$Q1230,$U$2:$U$1300,"&gt;"&amp;$U1230)&gt;0,0,IF(AND(ISNUMBER($F1230),ISNUMBER($X1230)),IF(ABS($F1230-$X1230)&gt;_QA!$C$6,1,0),IF($F1230&amp;""=$X1230&amp;"",0,1))))</f>
        <v/>
      </c>
    </row>
    <row r="1231" spans="24:25" x14ac:dyDescent="0.3">
      <c r="X1231" s="193" t="str">
        <f>IF($Q1231="","",IFERROR(INDEX(BD_KPIs!$F$2:$F$1300,MATCH($Q1231,BD_KPIs!$Q$2:$Q$1300,0)),"n/d"))</f>
        <v/>
      </c>
      <c r="Y1231" s="193" t="str">
        <f>IF($Q1231="","",IF(COUNTIFS($Q$2:$Q$1300,$Q1231,$U$2:$U$1300,"&gt;"&amp;$U1231)&gt;0,0,IF(AND(ISNUMBER($F1231),ISNUMBER($X1231)),IF(ABS($F1231-$X1231)&gt;_QA!$C$6,1,0),IF($F1231&amp;""=$X1231&amp;"",0,1))))</f>
        <v/>
      </c>
    </row>
    <row r="1232" spans="24:25" x14ac:dyDescent="0.3">
      <c r="X1232" s="193" t="str">
        <f>IF($Q1232="","",IFERROR(INDEX(BD_KPIs!$F$2:$F$1300,MATCH($Q1232,BD_KPIs!$Q$2:$Q$1300,0)),"n/d"))</f>
        <v/>
      </c>
      <c r="Y1232" s="193" t="str">
        <f>IF($Q1232="","",IF(COUNTIFS($Q$2:$Q$1300,$Q1232,$U$2:$U$1300,"&gt;"&amp;$U1232)&gt;0,0,IF(AND(ISNUMBER($F1232),ISNUMBER($X1232)),IF(ABS($F1232-$X1232)&gt;_QA!$C$6,1,0),IF($F1232&amp;""=$X1232&amp;"",0,1))))</f>
        <v/>
      </c>
    </row>
    <row r="1233" spans="24:25" x14ac:dyDescent="0.3">
      <c r="X1233" s="193" t="str">
        <f>IF($Q1233="","",IFERROR(INDEX(BD_KPIs!$F$2:$F$1300,MATCH($Q1233,BD_KPIs!$Q$2:$Q$1300,0)),"n/d"))</f>
        <v/>
      </c>
      <c r="Y1233" s="193" t="str">
        <f>IF($Q1233="","",IF(COUNTIFS($Q$2:$Q$1300,$Q1233,$U$2:$U$1300,"&gt;"&amp;$U1233)&gt;0,0,IF(AND(ISNUMBER($F1233),ISNUMBER($X1233)),IF(ABS($F1233-$X1233)&gt;_QA!$C$6,1,0),IF($F1233&amp;""=$X1233&amp;"",0,1))))</f>
        <v/>
      </c>
    </row>
    <row r="1234" spans="24:25" x14ac:dyDescent="0.3">
      <c r="X1234" s="193" t="str">
        <f>IF($Q1234="","",IFERROR(INDEX(BD_KPIs!$F$2:$F$1300,MATCH($Q1234,BD_KPIs!$Q$2:$Q$1300,0)),"n/d"))</f>
        <v/>
      </c>
      <c r="Y1234" s="193" t="str">
        <f>IF($Q1234="","",IF(COUNTIFS($Q$2:$Q$1300,$Q1234,$U$2:$U$1300,"&gt;"&amp;$U1234)&gt;0,0,IF(AND(ISNUMBER($F1234),ISNUMBER($X1234)),IF(ABS($F1234-$X1234)&gt;_QA!$C$6,1,0),IF($F1234&amp;""=$X1234&amp;"",0,1))))</f>
        <v/>
      </c>
    </row>
    <row r="1235" spans="24:25" x14ac:dyDescent="0.3">
      <c r="X1235" s="193" t="str">
        <f>IF($Q1235="","",IFERROR(INDEX(BD_KPIs!$F$2:$F$1300,MATCH($Q1235,BD_KPIs!$Q$2:$Q$1300,0)),"n/d"))</f>
        <v/>
      </c>
      <c r="Y1235" s="193" t="str">
        <f>IF($Q1235="","",IF(COUNTIFS($Q$2:$Q$1300,$Q1235,$U$2:$U$1300,"&gt;"&amp;$U1235)&gt;0,0,IF(AND(ISNUMBER($F1235),ISNUMBER($X1235)),IF(ABS($F1235-$X1235)&gt;_QA!$C$6,1,0),IF($F1235&amp;""=$X1235&amp;"",0,1))))</f>
        <v/>
      </c>
    </row>
    <row r="1236" spans="24:25" x14ac:dyDescent="0.3">
      <c r="X1236" s="193" t="str">
        <f>IF($Q1236="","",IFERROR(INDEX(BD_KPIs!$F$2:$F$1300,MATCH($Q1236,BD_KPIs!$Q$2:$Q$1300,0)),"n/d"))</f>
        <v/>
      </c>
      <c r="Y1236" s="193" t="str">
        <f>IF($Q1236="","",IF(COUNTIFS($Q$2:$Q$1300,$Q1236,$U$2:$U$1300,"&gt;"&amp;$U1236)&gt;0,0,IF(AND(ISNUMBER($F1236),ISNUMBER($X1236)),IF(ABS($F1236-$X1236)&gt;_QA!$C$6,1,0),IF($F1236&amp;""=$X1236&amp;"",0,1))))</f>
        <v/>
      </c>
    </row>
    <row r="1237" spans="24:25" x14ac:dyDescent="0.3">
      <c r="X1237" s="193" t="str">
        <f>IF($Q1237="","",IFERROR(INDEX(BD_KPIs!$F$2:$F$1300,MATCH($Q1237,BD_KPIs!$Q$2:$Q$1300,0)),"n/d"))</f>
        <v/>
      </c>
      <c r="Y1237" s="193" t="str">
        <f>IF($Q1237="","",IF(COUNTIFS($Q$2:$Q$1300,$Q1237,$U$2:$U$1300,"&gt;"&amp;$U1237)&gt;0,0,IF(AND(ISNUMBER($F1237),ISNUMBER($X1237)),IF(ABS($F1237-$X1237)&gt;_QA!$C$6,1,0),IF($F1237&amp;""=$X1237&amp;"",0,1))))</f>
        <v/>
      </c>
    </row>
    <row r="1238" spans="24:25" x14ac:dyDescent="0.3">
      <c r="X1238" s="193" t="str">
        <f>IF($Q1238="","",IFERROR(INDEX(BD_KPIs!$F$2:$F$1300,MATCH($Q1238,BD_KPIs!$Q$2:$Q$1300,0)),"n/d"))</f>
        <v/>
      </c>
      <c r="Y1238" s="193" t="str">
        <f>IF($Q1238="","",IF(COUNTIFS($Q$2:$Q$1300,$Q1238,$U$2:$U$1300,"&gt;"&amp;$U1238)&gt;0,0,IF(AND(ISNUMBER($F1238),ISNUMBER($X1238)),IF(ABS($F1238-$X1238)&gt;_QA!$C$6,1,0),IF($F1238&amp;""=$X1238&amp;"",0,1))))</f>
        <v/>
      </c>
    </row>
    <row r="1239" spans="24:25" x14ac:dyDescent="0.3">
      <c r="X1239" s="193" t="str">
        <f>IF($Q1239="","",IFERROR(INDEX(BD_KPIs!$F$2:$F$1300,MATCH($Q1239,BD_KPIs!$Q$2:$Q$1300,0)),"n/d"))</f>
        <v/>
      </c>
      <c r="Y1239" s="193" t="str">
        <f>IF($Q1239="","",IF(COUNTIFS($Q$2:$Q$1300,$Q1239,$U$2:$U$1300,"&gt;"&amp;$U1239)&gt;0,0,IF(AND(ISNUMBER($F1239),ISNUMBER($X1239)),IF(ABS($F1239-$X1239)&gt;_QA!$C$6,1,0),IF($F1239&amp;""=$X1239&amp;"",0,1))))</f>
        <v/>
      </c>
    </row>
    <row r="1240" spans="24:25" x14ac:dyDescent="0.3">
      <c r="X1240" s="193" t="str">
        <f>IF($Q1240="","",IFERROR(INDEX(BD_KPIs!$F$2:$F$1300,MATCH($Q1240,BD_KPIs!$Q$2:$Q$1300,0)),"n/d"))</f>
        <v/>
      </c>
      <c r="Y1240" s="193" t="str">
        <f>IF($Q1240="","",IF(COUNTIFS($Q$2:$Q$1300,$Q1240,$U$2:$U$1300,"&gt;"&amp;$U1240)&gt;0,0,IF(AND(ISNUMBER($F1240),ISNUMBER($X1240)),IF(ABS($F1240-$X1240)&gt;_QA!$C$6,1,0),IF($F1240&amp;""=$X1240&amp;"",0,1))))</f>
        <v/>
      </c>
    </row>
    <row r="1241" spans="24:25" x14ac:dyDescent="0.3">
      <c r="X1241" s="193" t="str">
        <f>IF($Q1241="","",IFERROR(INDEX(BD_KPIs!$F$2:$F$1300,MATCH($Q1241,BD_KPIs!$Q$2:$Q$1300,0)),"n/d"))</f>
        <v/>
      </c>
      <c r="Y1241" s="193" t="str">
        <f>IF($Q1241="","",IF(COUNTIFS($Q$2:$Q$1300,$Q1241,$U$2:$U$1300,"&gt;"&amp;$U1241)&gt;0,0,IF(AND(ISNUMBER($F1241),ISNUMBER($X1241)),IF(ABS($F1241-$X1241)&gt;_QA!$C$6,1,0),IF($F1241&amp;""=$X1241&amp;"",0,1))))</f>
        <v/>
      </c>
    </row>
    <row r="1242" spans="24:25" x14ac:dyDescent="0.3">
      <c r="X1242" s="193" t="str">
        <f>IF($Q1242="","",IFERROR(INDEX(BD_KPIs!$F$2:$F$1300,MATCH($Q1242,BD_KPIs!$Q$2:$Q$1300,0)),"n/d"))</f>
        <v/>
      </c>
      <c r="Y1242" s="193" t="str">
        <f>IF($Q1242="","",IF(COUNTIFS($Q$2:$Q$1300,$Q1242,$U$2:$U$1300,"&gt;"&amp;$U1242)&gt;0,0,IF(AND(ISNUMBER($F1242),ISNUMBER($X1242)),IF(ABS($F1242-$X1242)&gt;_QA!$C$6,1,0),IF($F1242&amp;""=$X1242&amp;"",0,1))))</f>
        <v/>
      </c>
    </row>
    <row r="1243" spans="24:25" x14ac:dyDescent="0.3">
      <c r="X1243" s="193" t="str">
        <f>IF($Q1243="","",IFERROR(INDEX(BD_KPIs!$F$2:$F$1300,MATCH($Q1243,BD_KPIs!$Q$2:$Q$1300,0)),"n/d"))</f>
        <v/>
      </c>
      <c r="Y1243" s="193" t="str">
        <f>IF($Q1243="","",IF(COUNTIFS($Q$2:$Q$1300,$Q1243,$U$2:$U$1300,"&gt;"&amp;$U1243)&gt;0,0,IF(AND(ISNUMBER($F1243),ISNUMBER($X1243)),IF(ABS($F1243-$X1243)&gt;_QA!$C$6,1,0),IF($F1243&amp;""=$X1243&amp;"",0,1))))</f>
        <v/>
      </c>
    </row>
    <row r="1244" spans="24:25" x14ac:dyDescent="0.3">
      <c r="X1244" s="193" t="str">
        <f>IF($Q1244="","",IFERROR(INDEX(BD_KPIs!$F$2:$F$1300,MATCH($Q1244,BD_KPIs!$Q$2:$Q$1300,0)),"n/d"))</f>
        <v/>
      </c>
      <c r="Y1244" s="193" t="str">
        <f>IF($Q1244="","",IF(COUNTIFS($Q$2:$Q$1300,$Q1244,$U$2:$U$1300,"&gt;"&amp;$U1244)&gt;0,0,IF(AND(ISNUMBER($F1244),ISNUMBER($X1244)),IF(ABS($F1244-$X1244)&gt;_QA!$C$6,1,0),IF($F1244&amp;""=$X1244&amp;"",0,1))))</f>
        <v/>
      </c>
    </row>
    <row r="1245" spans="24:25" x14ac:dyDescent="0.3">
      <c r="X1245" s="193" t="str">
        <f>IF($Q1245="","",IFERROR(INDEX(BD_KPIs!$F$2:$F$1300,MATCH($Q1245,BD_KPIs!$Q$2:$Q$1300,0)),"n/d"))</f>
        <v/>
      </c>
      <c r="Y1245" s="193" t="str">
        <f>IF($Q1245="","",IF(COUNTIFS($Q$2:$Q$1300,$Q1245,$U$2:$U$1300,"&gt;"&amp;$U1245)&gt;0,0,IF(AND(ISNUMBER($F1245),ISNUMBER($X1245)),IF(ABS($F1245-$X1245)&gt;_QA!$C$6,1,0),IF($F1245&amp;""=$X1245&amp;"",0,1))))</f>
        <v/>
      </c>
    </row>
    <row r="1246" spans="24:25" x14ac:dyDescent="0.3">
      <c r="X1246" s="193" t="str">
        <f>IF($Q1246="","",IFERROR(INDEX(BD_KPIs!$F$2:$F$1300,MATCH($Q1246,BD_KPIs!$Q$2:$Q$1300,0)),"n/d"))</f>
        <v/>
      </c>
      <c r="Y1246" s="193" t="str">
        <f>IF($Q1246="","",IF(COUNTIFS($Q$2:$Q$1300,$Q1246,$U$2:$U$1300,"&gt;"&amp;$U1246)&gt;0,0,IF(AND(ISNUMBER($F1246),ISNUMBER($X1246)),IF(ABS($F1246-$X1246)&gt;_QA!$C$6,1,0),IF($F1246&amp;""=$X1246&amp;"",0,1))))</f>
        <v/>
      </c>
    </row>
    <row r="1247" spans="24:25" x14ac:dyDescent="0.3">
      <c r="X1247" s="193" t="str">
        <f>IF($Q1247="","",IFERROR(INDEX(BD_KPIs!$F$2:$F$1300,MATCH($Q1247,BD_KPIs!$Q$2:$Q$1300,0)),"n/d"))</f>
        <v/>
      </c>
      <c r="Y1247" s="193" t="str">
        <f>IF($Q1247="","",IF(COUNTIFS($Q$2:$Q$1300,$Q1247,$U$2:$U$1300,"&gt;"&amp;$U1247)&gt;0,0,IF(AND(ISNUMBER($F1247),ISNUMBER($X1247)),IF(ABS($F1247-$X1247)&gt;_QA!$C$6,1,0),IF($F1247&amp;""=$X1247&amp;"",0,1))))</f>
        <v/>
      </c>
    </row>
    <row r="1248" spans="24:25" x14ac:dyDescent="0.3">
      <c r="X1248" s="193" t="str">
        <f>IF($Q1248="","",IFERROR(INDEX(BD_KPIs!$F$2:$F$1300,MATCH($Q1248,BD_KPIs!$Q$2:$Q$1300,0)),"n/d"))</f>
        <v/>
      </c>
      <c r="Y1248" s="193" t="str">
        <f>IF($Q1248="","",IF(COUNTIFS($Q$2:$Q$1300,$Q1248,$U$2:$U$1300,"&gt;"&amp;$U1248)&gt;0,0,IF(AND(ISNUMBER($F1248),ISNUMBER($X1248)),IF(ABS($F1248-$X1248)&gt;_QA!$C$6,1,0),IF($F1248&amp;""=$X1248&amp;"",0,1))))</f>
        <v/>
      </c>
    </row>
    <row r="1249" spans="24:25" x14ac:dyDescent="0.3">
      <c r="X1249" s="193" t="str">
        <f>IF($Q1249="","",IFERROR(INDEX(BD_KPIs!$F$2:$F$1300,MATCH($Q1249,BD_KPIs!$Q$2:$Q$1300,0)),"n/d"))</f>
        <v/>
      </c>
      <c r="Y1249" s="193" t="str">
        <f>IF($Q1249="","",IF(COUNTIFS($Q$2:$Q$1300,$Q1249,$U$2:$U$1300,"&gt;"&amp;$U1249)&gt;0,0,IF(AND(ISNUMBER($F1249),ISNUMBER($X1249)),IF(ABS($F1249-$X1249)&gt;_QA!$C$6,1,0),IF($F1249&amp;""=$X1249&amp;"",0,1))))</f>
        <v/>
      </c>
    </row>
    <row r="1250" spans="24:25" x14ac:dyDescent="0.3">
      <c r="X1250" s="193" t="str">
        <f>IF($Q1250="","",IFERROR(INDEX(BD_KPIs!$F$2:$F$1300,MATCH($Q1250,BD_KPIs!$Q$2:$Q$1300,0)),"n/d"))</f>
        <v/>
      </c>
      <c r="Y1250" s="193" t="str">
        <f>IF($Q1250="","",IF(COUNTIFS($Q$2:$Q$1300,$Q1250,$U$2:$U$1300,"&gt;"&amp;$U1250)&gt;0,0,IF(AND(ISNUMBER($F1250),ISNUMBER($X1250)),IF(ABS($F1250-$X1250)&gt;_QA!$C$6,1,0),IF($F1250&amp;""=$X1250&amp;"",0,1))))</f>
        <v/>
      </c>
    </row>
    <row r="1251" spans="24:25" x14ac:dyDescent="0.3">
      <c r="X1251" s="193" t="str">
        <f>IF($Q1251="","",IFERROR(INDEX(BD_KPIs!$F$2:$F$1300,MATCH($Q1251,BD_KPIs!$Q$2:$Q$1300,0)),"n/d"))</f>
        <v/>
      </c>
      <c r="Y1251" s="193" t="str">
        <f>IF($Q1251="","",IF(COUNTIFS($Q$2:$Q$1300,$Q1251,$U$2:$U$1300,"&gt;"&amp;$U1251)&gt;0,0,IF(AND(ISNUMBER($F1251),ISNUMBER($X1251)),IF(ABS($F1251-$X1251)&gt;_QA!$C$6,1,0),IF($F1251&amp;""=$X1251&amp;"",0,1))))</f>
        <v/>
      </c>
    </row>
    <row r="1252" spans="24:25" x14ac:dyDescent="0.3">
      <c r="X1252" s="193" t="str">
        <f>IF($Q1252="","",IFERROR(INDEX(BD_KPIs!$F$2:$F$1300,MATCH($Q1252,BD_KPIs!$Q$2:$Q$1300,0)),"n/d"))</f>
        <v/>
      </c>
      <c r="Y1252" s="193" t="str">
        <f>IF($Q1252="","",IF(COUNTIFS($Q$2:$Q$1300,$Q1252,$U$2:$U$1300,"&gt;"&amp;$U1252)&gt;0,0,IF(AND(ISNUMBER($F1252),ISNUMBER($X1252)),IF(ABS($F1252-$X1252)&gt;_QA!$C$6,1,0),IF($F1252&amp;""=$X1252&amp;"",0,1))))</f>
        <v/>
      </c>
    </row>
    <row r="1253" spans="24:25" x14ac:dyDescent="0.3">
      <c r="X1253" s="193" t="str">
        <f>IF($Q1253="","",IFERROR(INDEX(BD_KPIs!$F$2:$F$1300,MATCH($Q1253,BD_KPIs!$Q$2:$Q$1300,0)),"n/d"))</f>
        <v/>
      </c>
      <c r="Y1253" s="193" t="str">
        <f>IF($Q1253="","",IF(COUNTIFS($Q$2:$Q$1300,$Q1253,$U$2:$U$1300,"&gt;"&amp;$U1253)&gt;0,0,IF(AND(ISNUMBER($F1253),ISNUMBER($X1253)),IF(ABS($F1253-$X1253)&gt;_QA!$C$6,1,0),IF($F1253&amp;""=$X1253&amp;"",0,1))))</f>
        <v/>
      </c>
    </row>
    <row r="1254" spans="24:25" x14ac:dyDescent="0.3">
      <c r="X1254" s="193" t="str">
        <f>IF($Q1254="","",IFERROR(INDEX(BD_KPIs!$F$2:$F$1300,MATCH($Q1254,BD_KPIs!$Q$2:$Q$1300,0)),"n/d"))</f>
        <v/>
      </c>
      <c r="Y1254" s="193" t="str">
        <f>IF($Q1254="","",IF(COUNTIFS($Q$2:$Q$1300,$Q1254,$U$2:$U$1300,"&gt;"&amp;$U1254)&gt;0,0,IF(AND(ISNUMBER($F1254),ISNUMBER($X1254)),IF(ABS($F1254-$X1254)&gt;_QA!$C$6,1,0),IF($F1254&amp;""=$X1254&amp;"",0,1))))</f>
        <v/>
      </c>
    </row>
    <row r="1255" spans="24:25" x14ac:dyDescent="0.3">
      <c r="X1255" s="193" t="str">
        <f>IF($Q1255="","",IFERROR(INDEX(BD_KPIs!$F$2:$F$1300,MATCH($Q1255,BD_KPIs!$Q$2:$Q$1300,0)),"n/d"))</f>
        <v/>
      </c>
      <c r="Y1255" s="193" t="str">
        <f>IF($Q1255="","",IF(COUNTIFS($Q$2:$Q$1300,$Q1255,$U$2:$U$1300,"&gt;"&amp;$U1255)&gt;0,0,IF(AND(ISNUMBER($F1255),ISNUMBER($X1255)),IF(ABS($F1255-$X1255)&gt;_QA!$C$6,1,0),IF($F1255&amp;""=$X1255&amp;"",0,1))))</f>
        <v/>
      </c>
    </row>
    <row r="1256" spans="24:25" x14ac:dyDescent="0.3">
      <c r="X1256" s="193" t="str">
        <f>IF($Q1256="","",IFERROR(INDEX(BD_KPIs!$F$2:$F$1300,MATCH($Q1256,BD_KPIs!$Q$2:$Q$1300,0)),"n/d"))</f>
        <v/>
      </c>
      <c r="Y1256" s="193" t="str">
        <f>IF($Q1256="","",IF(COUNTIFS($Q$2:$Q$1300,$Q1256,$U$2:$U$1300,"&gt;"&amp;$U1256)&gt;0,0,IF(AND(ISNUMBER($F1256),ISNUMBER($X1256)),IF(ABS($F1256-$X1256)&gt;_QA!$C$6,1,0),IF($F1256&amp;""=$X1256&amp;"",0,1))))</f>
        <v/>
      </c>
    </row>
    <row r="1257" spans="24:25" x14ac:dyDescent="0.3">
      <c r="X1257" s="193" t="str">
        <f>IF($Q1257="","",IFERROR(INDEX(BD_KPIs!$F$2:$F$1300,MATCH($Q1257,BD_KPIs!$Q$2:$Q$1300,0)),"n/d"))</f>
        <v/>
      </c>
      <c r="Y1257" s="193" t="str">
        <f>IF($Q1257="","",IF(COUNTIFS($Q$2:$Q$1300,$Q1257,$U$2:$U$1300,"&gt;"&amp;$U1257)&gt;0,0,IF(AND(ISNUMBER($F1257),ISNUMBER($X1257)),IF(ABS($F1257-$X1257)&gt;_QA!$C$6,1,0),IF($F1257&amp;""=$X1257&amp;"",0,1))))</f>
        <v/>
      </c>
    </row>
    <row r="1258" spans="24:25" x14ac:dyDescent="0.3">
      <c r="X1258" s="193" t="str">
        <f>IF($Q1258="","",IFERROR(INDEX(BD_KPIs!$F$2:$F$1300,MATCH($Q1258,BD_KPIs!$Q$2:$Q$1300,0)),"n/d"))</f>
        <v/>
      </c>
      <c r="Y1258" s="193" t="str">
        <f>IF($Q1258="","",IF(COUNTIFS($Q$2:$Q$1300,$Q1258,$U$2:$U$1300,"&gt;"&amp;$U1258)&gt;0,0,IF(AND(ISNUMBER($F1258),ISNUMBER($X1258)),IF(ABS($F1258-$X1258)&gt;_QA!$C$6,1,0),IF($F1258&amp;""=$X1258&amp;"",0,1))))</f>
        <v/>
      </c>
    </row>
    <row r="1259" spans="24:25" x14ac:dyDescent="0.3">
      <c r="X1259" s="193" t="str">
        <f>IF($Q1259="","",IFERROR(INDEX(BD_KPIs!$F$2:$F$1300,MATCH($Q1259,BD_KPIs!$Q$2:$Q$1300,0)),"n/d"))</f>
        <v/>
      </c>
      <c r="Y1259" s="193" t="str">
        <f>IF($Q1259="","",IF(COUNTIFS($Q$2:$Q$1300,$Q1259,$U$2:$U$1300,"&gt;"&amp;$U1259)&gt;0,0,IF(AND(ISNUMBER($F1259),ISNUMBER($X1259)),IF(ABS($F1259-$X1259)&gt;_QA!$C$6,1,0),IF($F1259&amp;""=$X1259&amp;"",0,1))))</f>
        <v/>
      </c>
    </row>
    <row r="1260" spans="24:25" x14ac:dyDescent="0.3">
      <c r="X1260" s="193" t="str">
        <f>IF($Q1260="","",IFERROR(INDEX(BD_KPIs!$F$2:$F$1300,MATCH($Q1260,BD_KPIs!$Q$2:$Q$1300,0)),"n/d"))</f>
        <v/>
      </c>
      <c r="Y1260" s="193" t="str">
        <f>IF($Q1260="","",IF(COUNTIFS($Q$2:$Q$1300,$Q1260,$U$2:$U$1300,"&gt;"&amp;$U1260)&gt;0,0,IF(AND(ISNUMBER($F1260),ISNUMBER($X1260)),IF(ABS($F1260-$X1260)&gt;_QA!$C$6,1,0),IF($F1260&amp;""=$X1260&amp;"",0,1))))</f>
        <v/>
      </c>
    </row>
    <row r="1261" spans="24:25" x14ac:dyDescent="0.3">
      <c r="X1261" s="193" t="str">
        <f>IF($Q1261="","",IFERROR(INDEX(BD_KPIs!$F$2:$F$1300,MATCH($Q1261,BD_KPIs!$Q$2:$Q$1300,0)),"n/d"))</f>
        <v/>
      </c>
      <c r="Y1261" s="193" t="str">
        <f>IF($Q1261="","",IF(COUNTIFS($Q$2:$Q$1300,$Q1261,$U$2:$U$1300,"&gt;"&amp;$U1261)&gt;0,0,IF(AND(ISNUMBER($F1261),ISNUMBER($X1261)),IF(ABS($F1261-$X1261)&gt;_QA!$C$6,1,0),IF($F1261&amp;""=$X1261&amp;"",0,1))))</f>
        <v/>
      </c>
    </row>
    <row r="1262" spans="24:25" x14ac:dyDescent="0.3">
      <c r="X1262" s="193" t="str">
        <f>IF($Q1262="","",IFERROR(INDEX(BD_KPIs!$F$2:$F$1300,MATCH($Q1262,BD_KPIs!$Q$2:$Q$1300,0)),"n/d"))</f>
        <v/>
      </c>
      <c r="Y1262" s="193" t="str">
        <f>IF($Q1262="","",IF(COUNTIFS($Q$2:$Q$1300,$Q1262,$U$2:$U$1300,"&gt;"&amp;$U1262)&gt;0,0,IF(AND(ISNUMBER($F1262),ISNUMBER($X1262)),IF(ABS($F1262-$X1262)&gt;_QA!$C$6,1,0),IF($F1262&amp;""=$X1262&amp;"",0,1))))</f>
        <v/>
      </c>
    </row>
    <row r="1263" spans="24:25" x14ac:dyDescent="0.3">
      <c r="X1263" s="193" t="str">
        <f>IF($Q1263="","",IFERROR(INDEX(BD_KPIs!$F$2:$F$1300,MATCH($Q1263,BD_KPIs!$Q$2:$Q$1300,0)),"n/d"))</f>
        <v/>
      </c>
      <c r="Y1263" s="193" t="str">
        <f>IF($Q1263="","",IF(COUNTIFS($Q$2:$Q$1300,$Q1263,$U$2:$U$1300,"&gt;"&amp;$U1263)&gt;0,0,IF(AND(ISNUMBER($F1263),ISNUMBER($X1263)),IF(ABS($F1263-$X1263)&gt;_QA!$C$6,1,0),IF($F1263&amp;""=$X1263&amp;"",0,1))))</f>
        <v/>
      </c>
    </row>
    <row r="1264" spans="24:25" x14ac:dyDescent="0.3">
      <c r="X1264" s="193" t="str">
        <f>IF($Q1264="","",IFERROR(INDEX(BD_KPIs!$F$2:$F$1300,MATCH($Q1264,BD_KPIs!$Q$2:$Q$1300,0)),"n/d"))</f>
        <v/>
      </c>
      <c r="Y1264" s="193" t="str">
        <f>IF($Q1264="","",IF(COUNTIFS($Q$2:$Q$1300,$Q1264,$U$2:$U$1300,"&gt;"&amp;$U1264)&gt;0,0,IF(AND(ISNUMBER($F1264),ISNUMBER($X1264)),IF(ABS($F1264-$X1264)&gt;_QA!$C$6,1,0),IF($F1264&amp;""=$X1264&amp;"",0,1))))</f>
        <v/>
      </c>
    </row>
    <row r="1265" spans="24:25" x14ac:dyDescent="0.3">
      <c r="X1265" s="193" t="str">
        <f>IF($Q1265="","",IFERROR(INDEX(BD_KPIs!$F$2:$F$1300,MATCH($Q1265,BD_KPIs!$Q$2:$Q$1300,0)),"n/d"))</f>
        <v/>
      </c>
      <c r="Y1265" s="193" t="str">
        <f>IF($Q1265="","",IF(COUNTIFS($Q$2:$Q$1300,$Q1265,$U$2:$U$1300,"&gt;"&amp;$U1265)&gt;0,0,IF(AND(ISNUMBER($F1265),ISNUMBER($X1265)),IF(ABS($F1265-$X1265)&gt;_QA!$C$6,1,0),IF($F1265&amp;""=$X1265&amp;"",0,1))))</f>
        <v/>
      </c>
    </row>
    <row r="1266" spans="24:25" x14ac:dyDescent="0.3">
      <c r="X1266" s="193" t="str">
        <f>IF($Q1266="","",IFERROR(INDEX(BD_KPIs!$F$2:$F$1300,MATCH($Q1266,BD_KPIs!$Q$2:$Q$1300,0)),"n/d"))</f>
        <v/>
      </c>
      <c r="Y1266" s="193" t="str">
        <f>IF($Q1266="","",IF(COUNTIFS($Q$2:$Q$1300,$Q1266,$U$2:$U$1300,"&gt;"&amp;$U1266)&gt;0,0,IF(AND(ISNUMBER($F1266),ISNUMBER($X1266)),IF(ABS($F1266-$X1266)&gt;_QA!$C$6,1,0),IF($F1266&amp;""=$X1266&amp;"",0,1))))</f>
        <v/>
      </c>
    </row>
    <row r="1267" spans="24:25" x14ac:dyDescent="0.3">
      <c r="X1267" s="193" t="str">
        <f>IF($Q1267="","",IFERROR(INDEX(BD_KPIs!$F$2:$F$1300,MATCH($Q1267,BD_KPIs!$Q$2:$Q$1300,0)),"n/d"))</f>
        <v/>
      </c>
      <c r="Y1267" s="193" t="str">
        <f>IF($Q1267="","",IF(COUNTIFS($Q$2:$Q$1300,$Q1267,$U$2:$U$1300,"&gt;"&amp;$U1267)&gt;0,0,IF(AND(ISNUMBER($F1267),ISNUMBER($X1267)),IF(ABS($F1267-$X1267)&gt;_QA!$C$6,1,0),IF($F1267&amp;""=$X1267&amp;"",0,1))))</f>
        <v/>
      </c>
    </row>
    <row r="1268" spans="24:25" x14ac:dyDescent="0.3">
      <c r="X1268" s="193" t="str">
        <f>IF($Q1268="","",IFERROR(INDEX(BD_KPIs!$F$2:$F$1300,MATCH($Q1268,BD_KPIs!$Q$2:$Q$1300,0)),"n/d"))</f>
        <v/>
      </c>
      <c r="Y1268" s="193" t="str">
        <f>IF($Q1268="","",IF(COUNTIFS($Q$2:$Q$1300,$Q1268,$U$2:$U$1300,"&gt;"&amp;$U1268)&gt;0,0,IF(AND(ISNUMBER($F1268),ISNUMBER($X1268)),IF(ABS($F1268-$X1268)&gt;_QA!$C$6,1,0),IF($F1268&amp;""=$X1268&amp;"",0,1))))</f>
        <v/>
      </c>
    </row>
    <row r="1269" spans="24:25" x14ac:dyDescent="0.3">
      <c r="X1269" s="193" t="str">
        <f>IF($Q1269="","",IFERROR(INDEX(BD_KPIs!$F$2:$F$1300,MATCH($Q1269,BD_KPIs!$Q$2:$Q$1300,0)),"n/d"))</f>
        <v/>
      </c>
      <c r="Y1269" s="193" t="str">
        <f>IF($Q1269="","",IF(COUNTIFS($Q$2:$Q$1300,$Q1269,$U$2:$U$1300,"&gt;"&amp;$U1269)&gt;0,0,IF(AND(ISNUMBER($F1269),ISNUMBER($X1269)),IF(ABS($F1269-$X1269)&gt;_QA!$C$6,1,0),IF($F1269&amp;""=$X1269&amp;"",0,1))))</f>
        <v/>
      </c>
    </row>
    <row r="1270" spans="24:25" x14ac:dyDescent="0.3">
      <c r="X1270" s="193" t="str">
        <f>IF($Q1270="","",IFERROR(INDEX(BD_KPIs!$F$2:$F$1300,MATCH($Q1270,BD_KPIs!$Q$2:$Q$1300,0)),"n/d"))</f>
        <v/>
      </c>
      <c r="Y1270" s="193" t="str">
        <f>IF($Q1270="","",IF(COUNTIFS($Q$2:$Q$1300,$Q1270,$U$2:$U$1300,"&gt;"&amp;$U1270)&gt;0,0,IF(AND(ISNUMBER($F1270),ISNUMBER($X1270)),IF(ABS($F1270-$X1270)&gt;_QA!$C$6,1,0),IF($F1270&amp;""=$X1270&amp;"",0,1))))</f>
        <v/>
      </c>
    </row>
    <row r="1271" spans="24:25" x14ac:dyDescent="0.3">
      <c r="X1271" s="193" t="str">
        <f>IF($Q1271="","",IFERROR(INDEX(BD_KPIs!$F$2:$F$1300,MATCH($Q1271,BD_KPIs!$Q$2:$Q$1300,0)),"n/d"))</f>
        <v/>
      </c>
      <c r="Y1271" s="193" t="str">
        <f>IF($Q1271="","",IF(COUNTIFS($Q$2:$Q$1300,$Q1271,$U$2:$U$1300,"&gt;"&amp;$U1271)&gt;0,0,IF(AND(ISNUMBER($F1271),ISNUMBER($X1271)),IF(ABS($F1271-$X1271)&gt;_QA!$C$6,1,0),IF($F1271&amp;""=$X1271&amp;"",0,1))))</f>
        <v/>
      </c>
    </row>
    <row r="1272" spans="24:25" x14ac:dyDescent="0.3">
      <c r="X1272" s="193" t="str">
        <f>IF($Q1272="","",IFERROR(INDEX(BD_KPIs!$F$2:$F$1300,MATCH($Q1272,BD_KPIs!$Q$2:$Q$1300,0)),"n/d"))</f>
        <v/>
      </c>
      <c r="Y1272" s="193" t="str">
        <f>IF($Q1272="","",IF(COUNTIFS($Q$2:$Q$1300,$Q1272,$U$2:$U$1300,"&gt;"&amp;$U1272)&gt;0,0,IF(AND(ISNUMBER($F1272),ISNUMBER($X1272)),IF(ABS($F1272-$X1272)&gt;_QA!$C$6,1,0),IF($F1272&amp;""=$X1272&amp;"",0,1))))</f>
        <v/>
      </c>
    </row>
    <row r="1273" spans="24:25" x14ac:dyDescent="0.3">
      <c r="X1273" s="193" t="str">
        <f>IF($Q1273="","",IFERROR(INDEX(BD_KPIs!$F$2:$F$1300,MATCH($Q1273,BD_KPIs!$Q$2:$Q$1300,0)),"n/d"))</f>
        <v/>
      </c>
      <c r="Y1273" s="193" t="str">
        <f>IF($Q1273="","",IF(COUNTIFS($Q$2:$Q$1300,$Q1273,$U$2:$U$1300,"&gt;"&amp;$U1273)&gt;0,0,IF(AND(ISNUMBER($F1273),ISNUMBER($X1273)),IF(ABS($F1273-$X1273)&gt;_QA!$C$6,1,0),IF($F1273&amp;""=$X1273&amp;"",0,1))))</f>
        <v/>
      </c>
    </row>
    <row r="1274" spans="24:25" x14ac:dyDescent="0.3">
      <c r="X1274" s="193" t="str">
        <f>IF($Q1274="","",IFERROR(INDEX(BD_KPIs!$F$2:$F$1300,MATCH($Q1274,BD_KPIs!$Q$2:$Q$1300,0)),"n/d"))</f>
        <v/>
      </c>
      <c r="Y1274" s="193" t="str">
        <f>IF($Q1274="","",IF(COUNTIFS($Q$2:$Q$1300,$Q1274,$U$2:$U$1300,"&gt;"&amp;$U1274)&gt;0,0,IF(AND(ISNUMBER($F1274),ISNUMBER($X1274)),IF(ABS($F1274-$X1274)&gt;_QA!$C$6,1,0),IF($F1274&amp;""=$X1274&amp;"",0,1))))</f>
        <v/>
      </c>
    </row>
    <row r="1275" spans="24:25" x14ac:dyDescent="0.3">
      <c r="X1275" s="193" t="str">
        <f>IF($Q1275="","",IFERROR(INDEX(BD_KPIs!$F$2:$F$1300,MATCH($Q1275,BD_KPIs!$Q$2:$Q$1300,0)),"n/d"))</f>
        <v/>
      </c>
      <c r="Y1275" s="193" t="str">
        <f>IF($Q1275="","",IF(COUNTIFS($Q$2:$Q$1300,$Q1275,$U$2:$U$1300,"&gt;"&amp;$U1275)&gt;0,0,IF(AND(ISNUMBER($F1275),ISNUMBER($X1275)),IF(ABS($F1275-$X1275)&gt;_QA!$C$6,1,0),IF($F1275&amp;""=$X1275&amp;"",0,1))))</f>
        <v/>
      </c>
    </row>
    <row r="1276" spans="24:25" x14ac:dyDescent="0.3">
      <c r="X1276" s="193" t="str">
        <f>IF($Q1276="","",IFERROR(INDEX(BD_KPIs!$F$2:$F$1300,MATCH($Q1276,BD_KPIs!$Q$2:$Q$1300,0)),"n/d"))</f>
        <v/>
      </c>
      <c r="Y1276" s="193" t="str">
        <f>IF($Q1276="","",IF(COUNTIFS($Q$2:$Q$1300,$Q1276,$U$2:$U$1300,"&gt;"&amp;$U1276)&gt;0,0,IF(AND(ISNUMBER($F1276),ISNUMBER($X1276)),IF(ABS($F1276-$X1276)&gt;_QA!$C$6,1,0),IF($F1276&amp;""=$X1276&amp;"",0,1))))</f>
        <v/>
      </c>
    </row>
    <row r="1277" spans="24:25" x14ac:dyDescent="0.3">
      <c r="X1277" s="193" t="str">
        <f>IF($Q1277="","",IFERROR(INDEX(BD_KPIs!$F$2:$F$1300,MATCH($Q1277,BD_KPIs!$Q$2:$Q$1300,0)),"n/d"))</f>
        <v/>
      </c>
      <c r="Y1277" s="193" t="str">
        <f>IF($Q1277="","",IF(COUNTIFS($Q$2:$Q$1300,$Q1277,$U$2:$U$1300,"&gt;"&amp;$U1277)&gt;0,0,IF(AND(ISNUMBER($F1277),ISNUMBER($X1277)),IF(ABS($F1277-$X1277)&gt;_QA!$C$6,1,0),IF($F1277&amp;""=$X1277&amp;"",0,1))))</f>
        <v/>
      </c>
    </row>
    <row r="1278" spans="24:25" x14ac:dyDescent="0.3">
      <c r="X1278" s="193" t="str">
        <f>IF($Q1278="","",IFERROR(INDEX(BD_KPIs!$F$2:$F$1300,MATCH($Q1278,BD_KPIs!$Q$2:$Q$1300,0)),"n/d"))</f>
        <v/>
      </c>
      <c r="Y1278" s="193" t="str">
        <f>IF($Q1278="","",IF(COUNTIFS($Q$2:$Q$1300,$Q1278,$U$2:$U$1300,"&gt;"&amp;$U1278)&gt;0,0,IF(AND(ISNUMBER($F1278),ISNUMBER($X1278)),IF(ABS($F1278-$X1278)&gt;_QA!$C$6,1,0),IF($F1278&amp;""=$X1278&amp;"",0,1))))</f>
        <v/>
      </c>
    </row>
    <row r="1279" spans="24:25" x14ac:dyDescent="0.3">
      <c r="X1279" s="193" t="str">
        <f>IF($Q1279="","",IFERROR(INDEX(BD_KPIs!$F$2:$F$1300,MATCH($Q1279,BD_KPIs!$Q$2:$Q$1300,0)),"n/d"))</f>
        <v/>
      </c>
      <c r="Y1279" s="193" t="str">
        <f>IF($Q1279="","",IF(COUNTIFS($Q$2:$Q$1300,$Q1279,$U$2:$U$1300,"&gt;"&amp;$U1279)&gt;0,0,IF(AND(ISNUMBER($F1279),ISNUMBER($X1279)),IF(ABS($F1279-$X1279)&gt;_QA!$C$6,1,0),IF($F1279&amp;""=$X1279&amp;"",0,1))))</f>
        <v/>
      </c>
    </row>
    <row r="1280" spans="24:25" x14ac:dyDescent="0.3">
      <c r="X1280" s="193" t="str">
        <f>IF($Q1280="","",IFERROR(INDEX(BD_KPIs!$F$2:$F$1300,MATCH($Q1280,BD_KPIs!$Q$2:$Q$1300,0)),"n/d"))</f>
        <v/>
      </c>
      <c r="Y1280" s="193" t="str">
        <f>IF($Q1280="","",IF(COUNTIFS($Q$2:$Q$1300,$Q1280,$U$2:$U$1300,"&gt;"&amp;$U1280)&gt;0,0,IF(AND(ISNUMBER($F1280),ISNUMBER($X1280)),IF(ABS($F1280-$X1280)&gt;_QA!$C$6,1,0),IF($F1280&amp;""=$X1280&amp;"",0,1))))</f>
        <v/>
      </c>
    </row>
    <row r="1281" spans="24:25" x14ac:dyDescent="0.3">
      <c r="X1281" s="193" t="str">
        <f>IF($Q1281="","",IFERROR(INDEX(BD_KPIs!$F$2:$F$1300,MATCH($Q1281,BD_KPIs!$Q$2:$Q$1300,0)),"n/d"))</f>
        <v/>
      </c>
      <c r="Y1281" s="193" t="str">
        <f>IF($Q1281="","",IF(COUNTIFS($Q$2:$Q$1300,$Q1281,$U$2:$U$1300,"&gt;"&amp;$U1281)&gt;0,0,IF(AND(ISNUMBER($F1281),ISNUMBER($X1281)),IF(ABS($F1281-$X1281)&gt;_QA!$C$6,1,0),IF($F1281&amp;""=$X1281&amp;"",0,1))))</f>
        <v/>
      </c>
    </row>
    <row r="1282" spans="24:25" x14ac:dyDescent="0.3">
      <c r="X1282" s="193" t="str">
        <f>IF($Q1282="","",IFERROR(INDEX(BD_KPIs!$F$2:$F$1300,MATCH($Q1282,BD_KPIs!$Q$2:$Q$1300,0)),"n/d"))</f>
        <v/>
      </c>
      <c r="Y1282" s="193" t="str">
        <f>IF($Q1282="","",IF(COUNTIFS($Q$2:$Q$1300,$Q1282,$U$2:$U$1300,"&gt;"&amp;$U1282)&gt;0,0,IF(AND(ISNUMBER($F1282),ISNUMBER($X1282)),IF(ABS($F1282-$X1282)&gt;_QA!$C$6,1,0),IF($F1282&amp;""=$X1282&amp;"",0,1))))</f>
        <v/>
      </c>
    </row>
    <row r="1283" spans="24:25" x14ac:dyDescent="0.3">
      <c r="X1283" s="193" t="str">
        <f>IF($Q1283="","",IFERROR(INDEX(BD_KPIs!$F$2:$F$1300,MATCH($Q1283,BD_KPIs!$Q$2:$Q$1300,0)),"n/d"))</f>
        <v/>
      </c>
      <c r="Y1283" s="193" t="str">
        <f>IF($Q1283="","",IF(COUNTIFS($Q$2:$Q$1300,$Q1283,$U$2:$U$1300,"&gt;"&amp;$U1283)&gt;0,0,IF(AND(ISNUMBER($F1283),ISNUMBER($X1283)),IF(ABS($F1283-$X1283)&gt;_QA!$C$6,1,0),IF($F1283&amp;""=$X1283&amp;"",0,1))))</f>
        <v/>
      </c>
    </row>
    <row r="1284" spans="24:25" x14ac:dyDescent="0.3">
      <c r="X1284" s="193" t="str">
        <f>IF($Q1284="","",IFERROR(INDEX(BD_KPIs!$F$2:$F$1300,MATCH($Q1284,BD_KPIs!$Q$2:$Q$1300,0)),"n/d"))</f>
        <v/>
      </c>
      <c r="Y1284" s="193" t="str">
        <f>IF($Q1284="","",IF(COUNTIFS($Q$2:$Q$1300,$Q1284,$U$2:$U$1300,"&gt;"&amp;$U1284)&gt;0,0,IF(AND(ISNUMBER($F1284),ISNUMBER($X1284)),IF(ABS($F1284-$X1284)&gt;_QA!$C$6,1,0),IF($F1284&amp;""=$X1284&amp;"",0,1))))</f>
        <v/>
      </c>
    </row>
    <row r="1285" spans="24:25" x14ac:dyDescent="0.3">
      <c r="X1285" s="193" t="str">
        <f>IF($Q1285="","",IFERROR(INDEX(BD_KPIs!$F$2:$F$1300,MATCH($Q1285,BD_KPIs!$Q$2:$Q$1300,0)),"n/d"))</f>
        <v/>
      </c>
      <c r="Y1285" s="193" t="str">
        <f>IF($Q1285="","",IF(COUNTIFS($Q$2:$Q$1300,$Q1285,$U$2:$U$1300,"&gt;"&amp;$U1285)&gt;0,0,IF(AND(ISNUMBER($F1285),ISNUMBER($X1285)),IF(ABS($F1285-$X1285)&gt;_QA!$C$6,1,0),IF($F1285&amp;""=$X1285&amp;"",0,1))))</f>
        <v/>
      </c>
    </row>
    <row r="1286" spans="24:25" x14ac:dyDescent="0.3">
      <c r="X1286" s="193" t="str">
        <f>IF($Q1286="","",IFERROR(INDEX(BD_KPIs!$F$2:$F$1300,MATCH($Q1286,BD_KPIs!$Q$2:$Q$1300,0)),"n/d"))</f>
        <v/>
      </c>
      <c r="Y1286" s="193" t="str">
        <f>IF($Q1286="","",IF(COUNTIFS($Q$2:$Q$1300,$Q1286,$U$2:$U$1300,"&gt;"&amp;$U1286)&gt;0,0,IF(AND(ISNUMBER($F1286),ISNUMBER($X1286)),IF(ABS($F1286-$X1286)&gt;_QA!$C$6,1,0),IF($F1286&amp;""=$X1286&amp;"",0,1))))</f>
        <v/>
      </c>
    </row>
    <row r="1287" spans="24:25" x14ac:dyDescent="0.3">
      <c r="X1287" s="193" t="str">
        <f>IF($Q1287="","",IFERROR(INDEX(BD_KPIs!$F$2:$F$1300,MATCH($Q1287,BD_KPIs!$Q$2:$Q$1300,0)),"n/d"))</f>
        <v/>
      </c>
      <c r="Y1287" s="193" t="str">
        <f>IF($Q1287="","",IF(COUNTIFS($Q$2:$Q$1300,$Q1287,$U$2:$U$1300,"&gt;"&amp;$U1287)&gt;0,0,IF(AND(ISNUMBER($F1287),ISNUMBER($X1287)),IF(ABS($F1287-$X1287)&gt;_QA!$C$6,1,0),IF($F1287&amp;""=$X1287&amp;"",0,1))))</f>
        <v/>
      </c>
    </row>
    <row r="1288" spans="24:25" x14ac:dyDescent="0.3">
      <c r="X1288" s="193" t="str">
        <f>IF($Q1288="","",IFERROR(INDEX(BD_KPIs!$F$2:$F$1300,MATCH($Q1288,BD_KPIs!$Q$2:$Q$1300,0)),"n/d"))</f>
        <v/>
      </c>
      <c r="Y1288" s="193" t="str">
        <f>IF($Q1288="","",IF(COUNTIFS($Q$2:$Q$1300,$Q1288,$U$2:$U$1300,"&gt;"&amp;$U1288)&gt;0,0,IF(AND(ISNUMBER($F1288),ISNUMBER($X1288)),IF(ABS($F1288-$X1288)&gt;_QA!$C$6,1,0),IF($F1288&amp;""=$X1288&amp;"",0,1))))</f>
        <v/>
      </c>
    </row>
    <row r="1289" spans="24:25" x14ac:dyDescent="0.3">
      <c r="X1289" s="193" t="str">
        <f>IF($Q1289="","",IFERROR(INDEX(BD_KPIs!$F$2:$F$1300,MATCH($Q1289,BD_KPIs!$Q$2:$Q$1300,0)),"n/d"))</f>
        <v/>
      </c>
      <c r="Y1289" s="193" t="str">
        <f>IF($Q1289="","",IF(COUNTIFS($Q$2:$Q$1300,$Q1289,$U$2:$U$1300,"&gt;"&amp;$U1289)&gt;0,0,IF(AND(ISNUMBER($F1289),ISNUMBER($X1289)),IF(ABS($F1289-$X1289)&gt;_QA!$C$6,1,0),IF($F1289&amp;""=$X1289&amp;"",0,1))))</f>
        <v/>
      </c>
    </row>
    <row r="1290" spans="24:25" x14ac:dyDescent="0.3">
      <c r="X1290" s="193" t="str">
        <f>IF($Q1290="","",IFERROR(INDEX(BD_KPIs!$F$2:$F$1300,MATCH($Q1290,BD_KPIs!$Q$2:$Q$1300,0)),"n/d"))</f>
        <v/>
      </c>
      <c r="Y1290" s="193" t="str">
        <f>IF($Q1290="","",IF(COUNTIFS($Q$2:$Q$1300,$Q1290,$U$2:$U$1300,"&gt;"&amp;$U1290)&gt;0,0,IF(AND(ISNUMBER($F1290),ISNUMBER($X1290)),IF(ABS($F1290-$X1290)&gt;_QA!$C$6,1,0),IF($F1290&amp;""=$X1290&amp;"",0,1))))</f>
        <v/>
      </c>
    </row>
    <row r="1291" spans="24:25" x14ac:dyDescent="0.3">
      <c r="X1291" s="193" t="str">
        <f>IF($Q1291="","",IFERROR(INDEX(BD_KPIs!$F$2:$F$1300,MATCH($Q1291,BD_KPIs!$Q$2:$Q$1300,0)),"n/d"))</f>
        <v/>
      </c>
      <c r="Y1291" s="193" t="str">
        <f>IF($Q1291="","",IF(COUNTIFS($Q$2:$Q$1300,$Q1291,$U$2:$U$1300,"&gt;"&amp;$U1291)&gt;0,0,IF(AND(ISNUMBER($F1291),ISNUMBER($X1291)),IF(ABS($F1291-$X1291)&gt;_QA!$C$6,1,0),IF($F1291&amp;""=$X1291&amp;"",0,1))))</f>
        <v/>
      </c>
    </row>
    <row r="1292" spans="24:25" x14ac:dyDescent="0.3">
      <c r="X1292" s="193" t="str">
        <f>IF($Q1292="","",IFERROR(INDEX(BD_KPIs!$F$2:$F$1300,MATCH($Q1292,BD_KPIs!$Q$2:$Q$1300,0)),"n/d"))</f>
        <v/>
      </c>
      <c r="Y1292" s="193" t="str">
        <f>IF($Q1292="","",IF(COUNTIFS($Q$2:$Q$1300,$Q1292,$U$2:$U$1300,"&gt;"&amp;$U1292)&gt;0,0,IF(AND(ISNUMBER($F1292),ISNUMBER($X1292)),IF(ABS($F1292-$X1292)&gt;_QA!$C$6,1,0),IF($F1292&amp;""=$X1292&amp;"",0,1))))</f>
        <v/>
      </c>
    </row>
    <row r="1293" spans="24:25" x14ac:dyDescent="0.3">
      <c r="X1293" s="193" t="str">
        <f>IF($Q1293="","",IFERROR(INDEX(BD_KPIs!$F$2:$F$1300,MATCH($Q1293,BD_KPIs!$Q$2:$Q$1300,0)),"n/d"))</f>
        <v/>
      </c>
      <c r="Y1293" s="193" t="str">
        <f>IF($Q1293="","",IF(COUNTIFS($Q$2:$Q$1300,$Q1293,$U$2:$U$1300,"&gt;"&amp;$U1293)&gt;0,0,IF(AND(ISNUMBER($F1293),ISNUMBER($X1293)),IF(ABS($F1293-$X1293)&gt;_QA!$C$6,1,0),IF($F1293&amp;""=$X1293&amp;"",0,1))))</f>
        <v/>
      </c>
    </row>
    <row r="1294" spans="24:25" x14ac:dyDescent="0.3">
      <c r="X1294" s="193" t="str">
        <f>IF($Q1294="","",IFERROR(INDEX(BD_KPIs!$F$2:$F$1300,MATCH($Q1294,BD_KPIs!$Q$2:$Q$1300,0)),"n/d"))</f>
        <v/>
      </c>
      <c r="Y1294" s="193" t="str">
        <f>IF($Q1294="","",IF(COUNTIFS($Q$2:$Q$1300,$Q1294,$U$2:$U$1300,"&gt;"&amp;$U1294)&gt;0,0,IF(AND(ISNUMBER($F1294),ISNUMBER($X1294)),IF(ABS($F1294-$X1294)&gt;_QA!$C$6,1,0),IF($F1294&amp;""=$X1294&amp;"",0,1))))</f>
        <v/>
      </c>
    </row>
    <row r="1295" spans="24:25" x14ac:dyDescent="0.3">
      <c r="X1295" s="193" t="str">
        <f>IF($Q1295="","",IFERROR(INDEX(BD_KPIs!$F$2:$F$1300,MATCH($Q1295,BD_KPIs!$Q$2:$Q$1300,0)),"n/d"))</f>
        <v/>
      </c>
      <c r="Y1295" s="193" t="str">
        <f>IF($Q1295="","",IF(COUNTIFS($Q$2:$Q$1300,$Q1295,$U$2:$U$1300,"&gt;"&amp;$U1295)&gt;0,0,IF(AND(ISNUMBER($F1295),ISNUMBER($X1295)),IF(ABS($F1295-$X1295)&gt;_QA!$C$6,1,0),IF($F1295&amp;""=$X1295&amp;"",0,1))))</f>
        <v/>
      </c>
    </row>
    <row r="1296" spans="24:25" x14ac:dyDescent="0.3">
      <c r="X1296" s="193" t="str">
        <f>IF($Q1296="","",IFERROR(INDEX(BD_KPIs!$F$2:$F$1300,MATCH($Q1296,BD_KPIs!$Q$2:$Q$1300,0)),"n/d"))</f>
        <v/>
      </c>
      <c r="Y1296" s="193" t="str">
        <f>IF($Q1296="","",IF(COUNTIFS($Q$2:$Q$1300,$Q1296,$U$2:$U$1300,"&gt;"&amp;$U1296)&gt;0,0,IF(AND(ISNUMBER($F1296),ISNUMBER($X1296)),IF(ABS($F1296-$X1296)&gt;_QA!$C$6,1,0),IF($F1296&amp;""=$X1296&amp;"",0,1))))</f>
        <v/>
      </c>
    </row>
    <row r="1297" spans="24:25" x14ac:dyDescent="0.3">
      <c r="X1297" s="193" t="str">
        <f>IF($Q1297="","",IFERROR(INDEX(BD_KPIs!$F$2:$F$1300,MATCH($Q1297,BD_KPIs!$Q$2:$Q$1300,0)),"n/d"))</f>
        <v/>
      </c>
      <c r="Y1297" s="193" t="str">
        <f>IF($Q1297="","",IF(COUNTIFS($Q$2:$Q$1300,$Q1297,$U$2:$U$1300,"&gt;"&amp;$U1297)&gt;0,0,IF(AND(ISNUMBER($F1297),ISNUMBER($X1297)),IF(ABS($F1297-$X1297)&gt;_QA!$C$6,1,0),IF($F1297&amp;""=$X1297&amp;"",0,1))))</f>
        <v/>
      </c>
    </row>
    <row r="1298" spans="24:25" x14ac:dyDescent="0.3">
      <c r="X1298" s="193" t="str">
        <f>IF($Q1298="","",IFERROR(INDEX(BD_KPIs!$F$2:$F$1300,MATCH($Q1298,BD_KPIs!$Q$2:$Q$1300,0)),"n/d"))</f>
        <v/>
      </c>
      <c r="Y1298" s="193" t="str">
        <f>IF($Q1298="","",IF(COUNTIFS($Q$2:$Q$1300,$Q1298,$U$2:$U$1300,"&gt;"&amp;$U1298)&gt;0,0,IF(AND(ISNUMBER($F1298),ISNUMBER($X1298)),IF(ABS($F1298-$X1298)&gt;_QA!$C$6,1,0),IF($F1298&amp;""=$X1298&amp;"",0,1))))</f>
        <v/>
      </c>
    </row>
    <row r="1299" spans="24:25" x14ac:dyDescent="0.3">
      <c r="X1299" s="193" t="str">
        <f>IF($Q1299="","",IFERROR(INDEX(BD_KPIs!$F$2:$F$1300,MATCH($Q1299,BD_KPIs!$Q$2:$Q$1300,0)),"n/d"))</f>
        <v/>
      </c>
      <c r="Y1299" s="193" t="str">
        <f>IF($Q1299="","",IF(COUNTIFS($Q$2:$Q$1300,$Q1299,$U$2:$U$1300,"&gt;"&amp;$U1299)&gt;0,0,IF(AND(ISNUMBER($F1299),ISNUMBER($X1299)),IF(ABS($F1299-$X1299)&gt;_QA!$C$6,1,0),IF($F1299&amp;""=$X1299&amp;"",0,1))))</f>
        <v/>
      </c>
    </row>
    <row r="1300" spans="24:25" x14ac:dyDescent="0.3">
      <c r="X1300" s="193" t="str">
        <f>IF($Q1300="","",IFERROR(INDEX(BD_KPIs!$F$2:$F$1300,MATCH($Q1300,BD_KPIs!$Q$2:$Q$1300,0)),"n/d"))</f>
        <v/>
      </c>
      <c r="Y1300" s="193" t="str">
        <f>IF($Q1300="","",IF(COUNTIFS($Q$2:$Q$1300,$Q1300,$U$2:$U$1300,"&gt;"&amp;$U1300)&gt;0,0,IF(AND(ISNUMBER($F1300),ISNUMBER($X1300)),IF(ABS($F1300-$X1300)&gt;_QA!$C$6,1,0),IF($F1300&amp;""=$X1300&amp;"",0,1))))</f>
        <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89D6-6165-4832-B6FD-43E969803DE8}">
  <dimension ref="A1:S17"/>
  <sheetViews>
    <sheetView workbookViewId="0"/>
  </sheetViews>
  <sheetFormatPr baseColWidth="10" defaultColWidth="11.5546875" defaultRowHeight="14.4" x14ac:dyDescent="0.3"/>
  <cols>
    <col min="1" max="1" width="9.33203125" style="108" customWidth="1"/>
    <col min="2" max="2" width="14.109375" style="108" customWidth="1"/>
    <col min="3" max="3" width="12.88671875" style="108" customWidth="1"/>
    <col min="4" max="5" width="39.88671875" style="108" customWidth="1"/>
    <col min="6" max="6" width="58.77734375" style="108" customWidth="1"/>
    <col min="7" max="7" width="11.77734375" style="108" customWidth="1"/>
    <col min="8" max="8" width="9.33203125" style="108" customWidth="1"/>
    <col min="9" max="9" width="21.109375" style="108" customWidth="1"/>
    <col min="10" max="10" width="8.21875" style="108" customWidth="1"/>
    <col min="11" max="11" width="11.77734375" style="108" customWidth="1"/>
    <col min="12" max="12" width="47" style="108" customWidth="1"/>
    <col min="13" max="13" width="35.21875" style="108" customWidth="1"/>
    <col min="14" max="14" width="23.44140625" style="108" customWidth="1"/>
    <col min="15" max="17" width="9.33203125" style="108" customWidth="1"/>
    <col min="18" max="18" width="21.109375" style="108" customWidth="1"/>
    <col min="19" max="19" width="18" style="108" customWidth="1"/>
  </cols>
  <sheetData>
    <row r="1" spans="1:19" ht="13.5" customHeight="1" x14ac:dyDescent="0.3">
      <c r="A1" s="7" t="s">
        <v>954</v>
      </c>
      <c r="B1" s="7" t="s">
        <v>23</v>
      </c>
      <c r="C1" s="7" t="s">
        <v>955</v>
      </c>
      <c r="D1" s="7" t="s">
        <v>956</v>
      </c>
      <c r="E1" s="7" t="s">
        <v>957</v>
      </c>
      <c r="F1" s="7" t="s">
        <v>958</v>
      </c>
      <c r="G1" s="7" t="s">
        <v>959</v>
      </c>
      <c r="H1" s="7" t="s">
        <v>960</v>
      </c>
      <c r="I1" s="7" t="s">
        <v>961</v>
      </c>
      <c r="J1" s="7" t="s">
        <v>962</v>
      </c>
      <c r="K1" s="7" t="s">
        <v>963</v>
      </c>
      <c r="L1" s="7" t="s">
        <v>964</v>
      </c>
      <c r="M1" s="7" t="s">
        <v>965</v>
      </c>
      <c r="N1" s="7" t="s">
        <v>966</v>
      </c>
      <c r="O1" s="7" t="s">
        <v>967</v>
      </c>
      <c r="P1" s="7" t="s">
        <v>968</v>
      </c>
      <c r="Q1" s="7" t="s">
        <v>969</v>
      </c>
      <c r="R1" s="7" t="s">
        <v>970</v>
      </c>
      <c r="S1" s="7" t="s">
        <v>971</v>
      </c>
    </row>
    <row r="2" spans="1:19" ht="13.5" customHeight="1" x14ac:dyDescent="0.3">
      <c r="A2">
        <v>1</v>
      </c>
      <c r="B2" t="s">
        <v>49</v>
      </c>
      <c r="C2" t="s">
        <v>972</v>
      </c>
      <c r="D2" t="s">
        <v>973</v>
      </c>
      <c r="E2" t="s">
        <v>974</v>
      </c>
      <c r="F2" t="s">
        <v>975</v>
      </c>
      <c r="G2" t="s">
        <v>976</v>
      </c>
      <c r="H2">
        <v>2</v>
      </c>
      <c r="I2" s="193" t="str">
        <f>INDEX(_TARGETS!$D$2:$D$17,MATCH("TRICF",_TARGETS!$A$2:$A$17,0))</f>
        <v>casos / 10^6 HH</v>
      </c>
      <c r="J2" s="193" t="str">
        <f>INDEX(_TARGETS!$E$2:$E$17,MATCH("TRICF",_TARGETS!$A$2:$A$17,0))</f>
        <v>≤</v>
      </c>
      <c r="K2" s="193">
        <f>IF(ISNUMBER(INDEX(_TARGETS!$G$2:$G$17,MATCH("TRICF",_TARGETS!$A$2:$A$17,0))),INDEX(_TARGETS!$G$2:$G$17,MATCH("TRICF",_TARGETS!$A$2:$A$17,0)),"")</f>
        <v>2.35</v>
      </c>
      <c r="L2" s="193" t="str">
        <f t="shared" ref="L2:L17" si="0">IF(ISNUMBER(K2),"Show target line and label: "&amp;J2&amp;" "&amp;K2,"No target line; label: "&amp;M2)</f>
        <v>Show target line and label: ≤ 2.35</v>
      </c>
      <c r="M2" t="s">
        <v>977</v>
      </c>
      <c r="O2" t="s">
        <v>978</v>
      </c>
      <c r="P2" t="s">
        <v>978</v>
      </c>
      <c r="Q2" t="s">
        <v>978</v>
      </c>
      <c r="R2" s="193" t="str">
        <f t="shared" ref="R2:R17" si="1">IF(J2="≤","Lower is better",IF(J2="≥","Higher is better","Neutral (no target)"))</f>
        <v>Lower is better</v>
      </c>
      <c r="S2" s="193" t="str">
        <f>IF(Datos!$D$4="Compresora","Compressor Plant",IF(Datos!$D$4="Ducto","Duct",""))</f>
        <v>Compressor Plant</v>
      </c>
    </row>
    <row r="3" spans="1:19" ht="13.5" customHeight="1" x14ac:dyDescent="0.3">
      <c r="A3">
        <v>2</v>
      </c>
      <c r="B3" t="s">
        <v>39</v>
      </c>
      <c r="C3" t="s">
        <v>972</v>
      </c>
      <c r="D3" t="s">
        <v>979</v>
      </c>
      <c r="E3" t="s">
        <v>980</v>
      </c>
      <c r="F3" t="s">
        <v>981</v>
      </c>
      <c r="G3" t="s">
        <v>976</v>
      </c>
      <c r="H3">
        <v>2</v>
      </c>
      <c r="I3" s="193" t="str">
        <f>INDEX(_TARGETS!$D$2:$D$17,MATCH("DAFWCF",_TARGETS!$A$2:$A$17,0))</f>
        <v>casos / 10^6 HH</v>
      </c>
      <c r="J3" s="193" t="str">
        <f>INDEX(_TARGETS!$E$2:$E$17,MATCH("DAFWCF",_TARGETS!$A$2:$A$17,0))</f>
        <v>≤</v>
      </c>
      <c r="K3" s="193">
        <f>IF(ISNUMBER(INDEX(_TARGETS!$G$2:$G$17,MATCH("DAFWCF",_TARGETS!$A$2:$A$17,0))),INDEX(_TARGETS!$G$2:$G$17,MATCH("DAFWCF",_TARGETS!$A$2:$A$17,0)),"")</f>
        <v>0</v>
      </c>
      <c r="L3" s="193" t="str">
        <f t="shared" si="0"/>
        <v>Show target line and label: ≤ 0</v>
      </c>
      <c r="M3" t="s">
        <v>977</v>
      </c>
      <c r="O3" t="s">
        <v>978</v>
      </c>
      <c r="P3" t="s">
        <v>978</v>
      </c>
      <c r="Q3" t="s">
        <v>978</v>
      </c>
      <c r="R3" s="193" t="str">
        <f t="shared" si="1"/>
        <v>Lower is better</v>
      </c>
      <c r="S3" s="193" t="str">
        <f>IF(Datos!$D$4="Compresora","Compressor Plant",IF(Datos!$D$4="Ducto","Duct",""))</f>
        <v>Compressor Plant</v>
      </c>
    </row>
    <row r="4" spans="1:19" ht="13.5" customHeight="1" x14ac:dyDescent="0.3">
      <c r="A4">
        <v>3</v>
      </c>
      <c r="B4" t="s">
        <v>51</v>
      </c>
      <c r="C4" t="s">
        <v>972</v>
      </c>
      <c r="D4" t="s">
        <v>982</v>
      </c>
      <c r="E4" t="s">
        <v>983</v>
      </c>
      <c r="F4" t="s">
        <v>984</v>
      </c>
      <c r="G4" t="s">
        <v>985</v>
      </c>
      <c r="H4">
        <v>0</v>
      </c>
      <c r="I4" s="193" t="str">
        <f>INDEX(_TARGETS!$D$2:$D$17,MATCH("FAC",_TARGETS!$A$2:$A$17,0))</f>
        <v>casos</v>
      </c>
      <c r="J4" s="193">
        <f>INDEX(_TARGETS!$E$2:$E$17,MATCH("FAC",_TARGETS!$A$2:$A$17,0))</f>
        <v>0</v>
      </c>
      <c r="K4" s="193" t="str">
        <f>IF(ISNUMBER(INDEX(_TARGETS!$G$2:$G$17,MATCH("FAC",_TARGETS!$A$2:$A$17,0))),INDEX(_TARGETS!$G$2:$G$17,MATCH("FAC",_TARGETS!$A$2:$A$17,0)),"")</f>
        <v/>
      </c>
      <c r="L4" s="193" t="str">
        <f t="shared" si="0"/>
        <v>No target line; label: Reported only</v>
      </c>
      <c r="M4" t="s">
        <v>977</v>
      </c>
      <c r="O4" t="s">
        <v>978</v>
      </c>
      <c r="P4" t="s">
        <v>978</v>
      </c>
      <c r="Q4" t="s">
        <v>230</v>
      </c>
      <c r="R4" s="193" t="str">
        <f t="shared" si="1"/>
        <v>Neutral (no target)</v>
      </c>
      <c r="S4" s="193" t="str">
        <f>IF(Datos!$D$4="Compresora","Compressor Plant",IF(Datos!$D$4="Ducto","Duct",""))</f>
        <v>Compressor Plant</v>
      </c>
    </row>
    <row r="5" spans="1:19" ht="13.5" customHeight="1" x14ac:dyDescent="0.3">
      <c r="A5">
        <v>4</v>
      </c>
      <c r="B5" t="s">
        <v>61</v>
      </c>
      <c r="C5" t="s">
        <v>986</v>
      </c>
      <c r="D5" t="s">
        <v>987</v>
      </c>
      <c r="E5" t="s">
        <v>988</v>
      </c>
      <c r="F5" t="s">
        <v>989</v>
      </c>
      <c r="G5" t="s">
        <v>976</v>
      </c>
      <c r="H5">
        <v>2</v>
      </c>
      <c r="I5" s="193" t="str">
        <f>INDEX(_TARGETS!$D$2:$D$17,MATCH("TVCR",_TARGETS!$A$2:$A$17,0))</f>
        <v>eventos / 10^6 km</v>
      </c>
      <c r="J5" s="193" t="str">
        <f>INDEX(_TARGETS!$E$2:$E$17,MATCH("TVCR",_TARGETS!$A$2:$A$17,0))</f>
        <v>≤</v>
      </c>
      <c r="K5" s="193">
        <f>IF(ISNUMBER(INDEX(_TARGETS!$G$2:$G$17,MATCH("TVCR",_TARGETS!$A$2:$A$17,0))),INDEX(_TARGETS!$G$2:$G$17,MATCH("TVCR",_TARGETS!$A$2:$A$17,0)),"")</f>
        <v>0.79</v>
      </c>
      <c r="L5" s="193" t="str">
        <f t="shared" si="0"/>
        <v>Show target line and label: ≤ 0.79</v>
      </c>
      <c r="M5" t="s">
        <v>977</v>
      </c>
      <c r="O5" t="s">
        <v>978</v>
      </c>
      <c r="P5" t="s">
        <v>978</v>
      </c>
      <c r="Q5" t="s">
        <v>978</v>
      </c>
      <c r="R5" s="193" t="str">
        <f t="shared" si="1"/>
        <v>Lower is better</v>
      </c>
      <c r="S5" s="193" t="str">
        <f>IF(Datos!$D$4="Compresora","Compressor Plant",IF(Datos!$D$4="Ducto","Duct",""))</f>
        <v>Compressor Plant</v>
      </c>
    </row>
    <row r="6" spans="1:19" ht="13.5" customHeight="1" x14ac:dyDescent="0.3">
      <c r="A6">
        <v>5</v>
      </c>
      <c r="B6" t="s">
        <v>57</v>
      </c>
      <c r="C6" t="s">
        <v>986</v>
      </c>
      <c r="D6" t="s">
        <v>990</v>
      </c>
      <c r="E6" t="s">
        <v>991</v>
      </c>
      <c r="F6" t="s">
        <v>992</v>
      </c>
      <c r="G6" t="s">
        <v>976</v>
      </c>
      <c r="H6">
        <v>2</v>
      </c>
      <c r="I6" s="193" t="str">
        <f>INDEX(_TARGETS!$D$2:$D$17,MATCH("SVCR",_TARGETS!$A$2:$A$17,0))</f>
        <v>eventos / 10^6 km</v>
      </c>
      <c r="J6" s="193">
        <f>INDEX(_TARGETS!$E$2:$E$17,MATCH("SVCR",_TARGETS!$A$2:$A$17,0))</f>
        <v>0</v>
      </c>
      <c r="K6" s="193" t="str">
        <f>IF(ISNUMBER(INDEX(_TARGETS!$G$2:$G$17,MATCH("SVCR",_TARGETS!$A$2:$A$17,0))),INDEX(_TARGETS!$G$2:$G$17,MATCH("SVCR",_TARGETS!$A$2:$A$17,0)),"")</f>
        <v/>
      </c>
      <c r="L6" s="193" t="str">
        <f t="shared" si="0"/>
        <v>No target line; label: Reported only</v>
      </c>
      <c r="M6" t="s">
        <v>977</v>
      </c>
      <c r="O6" t="s">
        <v>978</v>
      </c>
      <c r="P6" t="s">
        <v>978</v>
      </c>
      <c r="Q6" t="s">
        <v>230</v>
      </c>
      <c r="R6" s="193" t="str">
        <f t="shared" si="1"/>
        <v>Neutral (no target)</v>
      </c>
      <c r="S6" s="193" t="str">
        <f>IF(Datos!$D$4="Compresora","Compressor Plant",IF(Datos!$D$4="Ducto","Duct",""))</f>
        <v>Compressor Plant</v>
      </c>
    </row>
    <row r="7" spans="1:19" ht="13.5" customHeight="1" x14ac:dyDescent="0.3">
      <c r="A7">
        <v>6</v>
      </c>
      <c r="B7" t="s">
        <v>63</v>
      </c>
      <c r="C7" t="s">
        <v>993</v>
      </c>
      <c r="D7" t="s">
        <v>994</v>
      </c>
      <c r="E7" t="s">
        <v>995</v>
      </c>
      <c r="F7" t="s">
        <v>996</v>
      </c>
      <c r="G7" t="s">
        <v>997</v>
      </c>
      <c r="H7">
        <v>2</v>
      </c>
      <c r="I7" s="193" t="str">
        <f>INDEX(_TARGETS!$D$2:$D$17,MATCH("OBS",_TARGETS!$A$2:$A$17,0))</f>
        <v>obs / persona</v>
      </c>
      <c r="J7" s="193" t="str">
        <f>INDEX(_TARGETS!$E$2:$E$17,MATCH("OBS",_TARGETS!$A$2:$A$17,0))</f>
        <v>≥</v>
      </c>
      <c r="K7" s="193">
        <f>IF(ISNUMBER(INDEX(_TARGETS!$G$2:$G$17,MATCH("OBS",_TARGETS!$A$2:$A$17,0))),INDEX(_TARGETS!$G$2:$G$17,MATCH("OBS",_TARGETS!$A$2:$A$17,0)),"")</f>
        <v>1</v>
      </c>
      <c r="L7" s="193" t="str">
        <f t="shared" si="0"/>
        <v>Show target line and label: ≥ 1</v>
      </c>
      <c r="M7" t="s">
        <v>977</v>
      </c>
      <c r="O7" t="s">
        <v>230</v>
      </c>
      <c r="P7" t="s">
        <v>230</v>
      </c>
      <c r="Q7" t="s">
        <v>230</v>
      </c>
      <c r="R7" s="193" t="str">
        <f t="shared" si="1"/>
        <v>Higher is better</v>
      </c>
      <c r="S7" s="193" t="str">
        <f>IF(Datos!$D$4="Compresora","Compressor Plant",IF(Datos!$D$4="Ducto","Duct",""))</f>
        <v>Compressor Plant</v>
      </c>
    </row>
    <row r="8" spans="1:19" ht="13.5" customHeight="1" x14ac:dyDescent="0.3">
      <c r="A8">
        <v>7</v>
      </c>
      <c r="B8" t="s">
        <v>76</v>
      </c>
      <c r="C8" t="s">
        <v>993</v>
      </c>
      <c r="D8" t="s">
        <v>998</v>
      </c>
      <c r="E8" t="s">
        <v>999</v>
      </c>
      <c r="F8" t="s">
        <v>1000</v>
      </c>
      <c r="G8" t="s">
        <v>1001</v>
      </c>
      <c r="H8">
        <v>2</v>
      </c>
      <c r="I8" s="193" t="str">
        <f>INDEX(_TARGETS!$D$2:$D$17,MATCH("HCS",_TARGETS!$A$2:$A$17,0))</f>
        <v>% (fracción)</v>
      </c>
      <c r="J8" s="193" t="str">
        <f>INDEX(_TARGETS!$E$2:$E$17,MATCH("HCS",_TARGETS!$A$2:$A$17,0))</f>
        <v>≥</v>
      </c>
      <c r="K8" s="193">
        <f>IF(ISNUMBER(INDEX(_TARGETS!$G$2:$G$17,MATCH("HCS",_TARGETS!$A$2:$A$17,0))),INDEX(_TARGETS!$G$2:$G$17,MATCH("HCS",_TARGETS!$A$2:$A$17,0)),"")</f>
        <v>0.01</v>
      </c>
      <c r="L8" s="193" t="str">
        <f t="shared" si="0"/>
        <v>Show target line and label: ≥ 0.01</v>
      </c>
      <c r="M8" t="s">
        <v>977</v>
      </c>
      <c r="O8" t="s">
        <v>978</v>
      </c>
      <c r="P8" t="s">
        <v>230</v>
      </c>
      <c r="Q8" t="s">
        <v>230</v>
      </c>
      <c r="R8" s="193" t="str">
        <f t="shared" si="1"/>
        <v>Higher is better</v>
      </c>
      <c r="S8" s="193" t="str">
        <f>IF(Datos!$D$4="Compresora","Compressor Plant",IF(Datos!$D$4="Ducto","Duct",""))</f>
        <v>Compressor Plant</v>
      </c>
    </row>
    <row r="9" spans="1:19" ht="13.5" customHeight="1" x14ac:dyDescent="0.3">
      <c r="A9">
        <v>8</v>
      </c>
      <c r="B9" t="s">
        <v>80</v>
      </c>
      <c r="C9" t="s">
        <v>993</v>
      </c>
      <c r="D9" t="s">
        <v>1002</v>
      </c>
      <c r="E9" t="s">
        <v>1003</v>
      </c>
      <c r="F9" t="s">
        <v>1002</v>
      </c>
      <c r="G9" t="s">
        <v>997</v>
      </c>
      <c r="H9">
        <v>2</v>
      </c>
      <c r="I9" s="193" t="str">
        <f>INDEX(_TARGETS!$D$2:$D$17,MATCH("HCSA",_TARGETS!$A$2:$A$17,0))</f>
        <v>h / persona</v>
      </c>
      <c r="J9" s="193">
        <f>INDEX(_TARGETS!$E$2:$E$17,MATCH("HCSA",_TARGETS!$A$2:$A$17,0))</f>
        <v>0</v>
      </c>
      <c r="K9" s="193" t="str">
        <f>IF(ISNUMBER(INDEX(_TARGETS!$G$2:$G$17,MATCH("HCSA",_TARGETS!$A$2:$A$17,0))),INDEX(_TARGETS!$G$2:$G$17,MATCH("HCSA",_TARGETS!$A$2:$A$17,0)),"")</f>
        <v/>
      </c>
      <c r="L9" s="193" t="str">
        <f t="shared" si="0"/>
        <v>No target line; label: Reported only</v>
      </c>
      <c r="M9" t="s">
        <v>977</v>
      </c>
      <c r="O9" t="s">
        <v>230</v>
      </c>
      <c r="P9" t="s">
        <v>230</v>
      </c>
      <c r="Q9" t="s">
        <v>230</v>
      </c>
      <c r="R9" s="193" t="str">
        <f t="shared" si="1"/>
        <v>Neutral (no target)</v>
      </c>
      <c r="S9" s="193" t="str">
        <f>IF(Datos!$D$4="Compresora","Compressor Plant",IF(Datos!$D$4="Ducto","Duct",""))</f>
        <v>Compressor Plant</v>
      </c>
    </row>
    <row r="10" spans="1:19" ht="13.5" customHeight="1" x14ac:dyDescent="0.3">
      <c r="A10">
        <v>9</v>
      </c>
      <c r="B10" t="s">
        <v>83</v>
      </c>
      <c r="C10" t="s">
        <v>993</v>
      </c>
      <c r="D10" t="s">
        <v>1004</v>
      </c>
      <c r="E10" t="s">
        <v>1005</v>
      </c>
      <c r="F10" t="s">
        <v>1006</v>
      </c>
      <c r="G10" t="s">
        <v>1007</v>
      </c>
      <c r="H10">
        <v>0</v>
      </c>
      <c r="I10" s="193" t="str">
        <f>INDEX(_TARGETS!$D$2:$D$17,MATCH("CPSE",_TARGETS!$A$2:$A$17,0))</f>
        <v>% (fracción)</v>
      </c>
      <c r="J10" s="193" t="str">
        <f>INDEX(_TARGETS!$E$2:$E$17,MATCH("CPSE",_TARGETS!$A$2:$A$17,0))</f>
        <v>≥</v>
      </c>
      <c r="K10" s="193">
        <f>IF(ISNUMBER(INDEX(_TARGETS!$G$2:$G$17,MATCH("CPSE",_TARGETS!$A$2:$A$17,0))),INDEX(_TARGETS!$G$2:$G$17,MATCH("CPSE",_TARGETS!$A$2:$A$17,0)),"")</f>
        <v>1</v>
      </c>
      <c r="L10" s="193" t="str">
        <f t="shared" si="0"/>
        <v>Show target line and label: ≥ 1</v>
      </c>
      <c r="M10" t="s">
        <v>977</v>
      </c>
      <c r="O10" t="s">
        <v>978</v>
      </c>
      <c r="P10" t="s">
        <v>230</v>
      </c>
      <c r="Q10" t="s">
        <v>230</v>
      </c>
      <c r="R10" s="193" t="str">
        <f t="shared" si="1"/>
        <v>Higher is better</v>
      </c>
      <c r="S10" s="193" t="str">
        <f>IF(Datos!$D$4="Compresora","Compressor Plant",IF(Datos!$D$4="Ducto","Duct",""))</f>
        <v>Compressor Plant</v>
      </c>
    </row>
    <row r="11" spans="1:19" ht="13.5" customHeight="1" x14ac:dyDescent="0.3">
      <c r="A11">
        <v>10</v>
      </c>
      <c r="B11" t="s">
        <v>85</v>
      </c>
      <c r="C11" t="s">
        <v>993</v>
      </c>
      <c r="D11" t="s">
        <v>1008</v>
      </c>
      <c r="E11" t="s">
        <v>1009</v>
      </c>
      <c r="F11" t="s">
        <v>1010</v>
      </c>
      <c r="G11" t="s">
        <v>1007</v>
      </c>
      <c r="H11">
        <v>0</v>
      </c>
      <c r="I11" s="193" t="str">
        <f>INDEX(_TARGETS!$D$2:$D$17,MATCH("CAMS",_TARGETS!$A$2:$A$17,0))</f>
        <v>% (fracción)</v>
      </c>
      <c r="J11" s="193">
        <f>INDEX(_TARGETS!$E$2:$E$17,MATCH("CAMS",_TARGETS!$A$2:$A$17,0))</f>
        <v>0</v>
      </c>
      <c r="K11" s="193" t="str">
        <f>IF(ISNUMBER(INDEX(_TARGETS!$G$2:$G$17,MATCH("CAMS",_TARGETS!$A$2:$A$17,0))),INDEX(_TARGETS!$G$2:$G$17,MATCH("CAMS",_TARGETS!$A$2:$A$17,0)),"")</f>
        <v/>
      </c>
      <c r="L11" s="193" t="str">
        <f t="shared" si="0"/>
        <v>No target line; label: Reported only</v>
      </c>
      <c r="M11" t="s">
        <v>977</v>
      </c>
      <c r="N11"/>
      <c r="O11" t="s">
        <v>978</v>
      </c>
      <c r="P11" t="s">
        <v>230</v>
      </c>
      <c r="Q11" t="s">
        <v>230</v>
      </c>
      <c r="R11" s="193" t="str">
        <f t="shared" si="1"/>
        <v>Neutral (no target)</v>
      </c>
      <c r="S11" s="193" t="str">
        <f>IF(Datos!$D$4="Compresora","Compressor Plant",IF(Datos!$D$4="Ducto","Duct",""))</f>
        <v>Compressor Plant</v>
      </c>
    </row>
    <row r="12" spans="1:19" ht="13.5" customHeight="1" x14ac:dyDescent="0.3">
      <c r="A12">
        <v>11</v>
      </c>
      <c r="B12" t="s">
        <v>87</v>
      </c>
      <c r="C12" t="s">
        <v>993</v>
      </c>
      <c r="D12" t="s">
        <v>1012</v>
      </c>
      <c r="E12" t="s">
        <v>1013</v>
      </c>
      <c r="F12" t="s">
        <v>1014</v>
      </c>
      <c r="G12" t="s">
        <v>1007</v>
      </c>
      <c r="H12">
        <v>0</v>
      </c>
      <c r="I12" s="193" t="str">
        <f>INDEX(_TARGETS!$D$2:$D$17,MATCH("ICCS",_TARGETS!$A$2:$A$17,0))</f>
        <v>% (fracción)</v>
      </c>
      <c r="J12" s="193" t="str">
        <f>INDEX(_TARGETS!$E$2:$E$17,MATCH("ICCS",_TARGETS!$A$2:$A$17,0))</f>
        <v>≥</v>
      </c>
      <c r="K12" s="193">
        <f>IF(ISNUMBER(INDEX(_TARGETS!$G$2:$G$17,MATCH("ICCS",_TARGETS!$A$2:$A$17,0))),INDEX(_TARGETS!$G$2:$G$17,MATCH("ICCS",_TARGETS!$A$2:$A$17,0)),"")</f>
        <v>1</v>
      </c>
      <c r="L12" s="193" t="str">
        <f t="shared" si="0"/>
        <v>Show target line and label: ≥ 1</v>
      </c>
      <c r="M12" t="s">
        <v>977</v>
      </c>
      <c r="O12" t="s">
        <v>978</v>
      </c>
      <c r="P12" t="s">
        <v>230</v>
      </c>
      <c r="Q12" t="s">
        <v>230</v>
      </c>
      <c r="R12" s="193" t="str">
        <f t="shared" si="1"/>
        <v>Higher is better</v>
      </c>
      <c r="S12" s="193" t="str">
        <f>IF(Datos!$D$4="Compresora","Compressor Plant",IF(Datos!$D$4="Ducto","Duct",""))</f>
        <v>Compressor Plant</v>
      </c>
    </row>
    <row r="13" spans="1:19" ht="13.5" customHeight="1" x14ac:dyDescent="0.3">
      <c r="A13">
        <v>12</v>
      </c>
      <c r="B13" t="s">
        <v>89</v>
      </c>
      <c r="C13" t="s">
        <v>993</v>
      </c>
      <c r="D13" t="s">
        <v>1015</v>
      </c>
      <c r="E13" t="s">
        <v>1016</v>
      </c>
      <c r="F13" t="s">
        <v>1017</v>
      </c>
      <c r="G13" t="s">
        <v>1007</v>
      </c>
      <c r="H13">
        <v>0</v>
      </c>
      <c r="I13" s="193" t="str">
        <f>INDEX(_TARGETS!$D$2:$D$17,MATCH("CCS",_TARGETS!$A$2:$A$17,0))</f>
        <v>% (fracción)</v>
      </c>
      <c r="J13" s="193" t="str">
        <f>INDEX(_TARGETS!$E$2:$E$17,MATCH("CCS",_TARGETS!$A$2:$A$17,0))</f>
        <v>≥</v>
      </c>
      <c r="K13" s="193">
        <f>IF(ISNUMBER(INDEX(_TARGETS!$G$2:$G$17,MATCH("CCS",_TARGETS!$A$2:$A$17,0))),INDEX(_TARGETS!$G$2:$G$17,MATCH("CCS",_TARGETS!$A$2:$A$17,0)),"")</f>
        <v>1</v>
      </c>
      <c r="L13" s="193" t="str">
        <f t="shared" si="0"/>
        <v>Show target line and label: ≥ 1</v>
      </c>
      <c r="M13" t="s">
        <v>977</v>
      </c>
      <c r="O13" t="s">
        <v>978</v>
      </c>
      <c r="P13" t="s">
        <v>230</v>
      </c>
      <c r="Q13" t="s">
        <v>230</v>
      </c>
      <c r="R13" s="193" t="str">
        <f t="shared" si="1"/>
        <v>Higher is better</v>
      </c>
      <c r="S13" s="193" t="str">
        <f>IF(Datos!$D$4="Compresora","Compressor Plant",IF(Datos!$D$4="Ducto","Duct",""))</f>
        <v>Compressor Plant</v>
      </c>
    </row>
    <row r="14" spans="1:19" ht="13.5" customHeight="1" x14ac:dyDescent="0.3">
      <c r="A14">
        <v>13</v>
      </c>
      <c r="B14" t="s">
        <v>71</v>
      </c>
      <c r="C14" t="s">
        <v>972</v>
      </c>
      <c r="D14" t="s">
        <v>1018</v>
      </c>
      <c r="E14" t="s">
        <v>1019</v>
      </c>
      <c r="F14" t="s">
        <v>1020</v>
      </c>
      <c r="G14" t="s">
        <v>1021</v>
      </c>
      <c r="H14">
        <v>1</v>
      </c>
      <c r="I14" s="193" t="str">
        <f>INDEX(_TARGETS!$D$2:$D$17,MATCH("INV",_TARGETS!$A$2:$A$17,0))</f>
        <v>días</v>
      </c>
      <c r="J14" s="193" t="str">
        <f>INDEX(_TARGETS!$E$2:$E$17,MATCH("INV",_TARGETS!$A$2:$A$17,0))</f>
        <v>≤</v>
      </c>
      <c r="K14" s="193">
        <f>IF(ISNUMBER(INDEX(_TARGETS!$G$2:$G$17,MATCH("INV",_TARGETS!$A$2:$A$17,0))),INDEX(_TARGETS!$G$2:$G$17,MATCH("INV",_TARGETS!$A$2:$A$17,0)),"")</f>
        <v>20</v>
      </c>
      <c r="L14" s="193" t="str">
        <f t="shared" si="0"/>
        <v>Show target line and label: ≤ 20</v>
      </c>
      <c r="M14" t="s">
        <v>977</v>
      </c>
      <c r="O14" t="s">
        <v>978</v>
      </c>
      <c r="P14" t="s">
        <v>230</v>
      </c>
      <c r="Q14" t="s">
        <v>230</v>
      </c>
      <c r="R14" s="193" t="str">
        <f t="shared" si="1"/>
        <v>Lower is better</v>
      </c>
      <c r="S14" s="193" t="str">
        <f>IF(Datos!$D$4="Compresora","Compressor Plant",IF(Datos!$D$4="Ducto","Duct",""))</f>
        <v>Compressor Plant</v>
      </c>
    </row>
    <row r="15" spans="1:19" ht="13.5" customHeight="1" x14ac:dyDescent="0.3">
      <c r="A15">
        <v>14</v>
      </c>
      <c r="B15" t="s">
        <v>91</v>
      </c>
      <c r="C15" t="s">
        <v>1022</v>
      </c>
      <c r="D15" t="s">
        <v>1023</v>
      </c>
      <c r="E15" t="s">
        <v>1024</v>
      </c>
      <c r="F15" t="s">
        <v>1025</v>
      </c>
      <c r="G15" t="s">
        <v>1021</v>
      </c>
      <c r="H15">
        <v>1</v>
      </c>
      <c r="I15" s="193" t="str">
        <f>INDEX(_TARGETS!$D$2:$D$17,MATCH("DPAS",_TARGETS!$A$2:$A$17,0))</f>
        <v>días</v>
      </c>
      <c r="J15" s="193" t="str">
        <f>INDEX(_TARGETS!$E$2:$E$17,MATCH("DPAS",_TARGETS!$A$2:$A$17,0))</f>
        <v>≤</v>
      </c>
      <c r="K15" s="193" t="str">
        <f>IF(ISNUMBER(INDEX(_TARGETS!$G$2:$G$17,MATCH("DPAS",_TARGETS!$A$2:$A$17,0))),INDEX(_TARGETS!$G$2:$G$17,MATCH("DPAS",_TARGETS!$A$2:$A$17,0)),"")</f>
        <v/>
      </c>
      <c r="L15" s="193" t="str">
        <f t="shared" si="0"/>
        <v>No target line; label: Measured in 2026; target from 2027</v>
      </c>
      <c r="M15" t="s">
        <v>1026</v>
      </c>
      <c r="O15" t="s">
        <v>978</v>
      </c>
      <c r="P15" t="s">
        <v>230</v>
      </c>
      <c r="Q15" t="s">
        <v>230</v>
      </c>
      <c r="R15" s="193" t="str">
        <f t="shared" si="1"/>
        <v>Lower is better</v>
      </c>
      <c r="S15" s="193" t="str">
        <f>IF(Datos!$D$4="Compresora","Compressor Plant",IF(Datos!$D$4="Ducto","Duct",""))</f>
        <v>Compressor Plant</v>
      </c>
    </row>
    <row r="16" spans="1:19" ht="13.5" customHeight="1" x14ac:dyDescent="0.3">
      <c r="A16">
        <v>15</v>
      </c>
      <c r="B16" t="s">
        <v>96</v>
      </c>
      <c r="C16" t="s">
        <v>1022</v>
      </c>
      <c r="D16" t="s">
        <v>1027</v>
      </c>
      <c r="E16" t="s">
        <v>1028</v>
      </c>
      <c r="F16" t="s">
        <v>1029</v>
      </c>
      <c r="G16" t="s">
        <v>1007</v>
      </c>
      <c r="H16">
        <v>0</v>
      </c>
      <c r="I16" s="193" t="str">
        <f>INDEX(_TARGETS!$D$2:$D$17,MATCH("HAL_ALTA_PCT",_TARGETS!$A$2:$A$17,0))</f>
        <v>% (fracción)</v>
      </c>
      <c r="J16" s="193">
        <f>INDEX(_TARGETS!$E$2:$E$17,MATCH("HAL_ALTA_PCT",_TARGETS!$A$2:$A$17,0))</f>
        <v>0</v>
      </c>
      <c r="K16" s="193" t="str">
        <f>IF(ISNUMBER(INDEX(_TARGETS!$G$2:$G$17,MATCH("HAL_ALTA_PCT",_TARGETS!$A$2:$A$17,0))),INDEX(_TARGETS!$G$2:$G$17,MATCH("HAL_ALTA_PCT",_TARGETS!$A$2:$A$17,0)),"")</f>
        <v/>
      </c>
      <c r="L16" s="193" t="str">
        <f t="shared" si="0"/>
        <v>No target line; label: Reported only</v>
      </c>
      <c r="M16" t="s">
        <v>977</v>
      </c>
      <c r="O16" t="s">
        <v>978</v>
      </c>
      <c r="P16" t="s">
        <v>230</v>
      </c>
      <c r="Q16" t="s">
        <v>230</v>
      </c>
      <c r="R16" s="193" t="str">
        <f t="shared" si="1"/>
        <v>Neutral (no target)</v>
      </c>
      <c r="S16" s="193" t="str">
        <f>IF(Datos!$D$4="Compresora","Compressor Plant",IF(Datos!$D$4="Ducto","Duct",""))</f>
        <v>Compressor Plant</v>
      </c>
    </row>
    <row r="17" spans="1:19" ht="13.5" customHeight="1" x14ac:dyDescent="0.3">
      <c r="A17">
        <v>16</v>
      </c>
      <c r="B17" t="s">
        <v>98</v>
      </c>
      <c r="C17" t="s">
        <v>1022</v>
      </c>
      <c r="D17" t="s">
        <v>928</v>
      </c>
      <c r="E17" t="s">
        <v>1030</v>
      </c>
      <c r="F17" t="s">
        <v>1031</v>
      </c>
      <c r="G17" t="s">
        <v>985</v>
      </c>
      <c r="H17">
        <v>0</v>
      </c>
      <c r="I17" s="193" t="str">
        <f>INDEX(_TARGETS!$D$2:$D$17,MATCH("DET",_TARGETS!$A$2:$A$17,0))</f>
        <v>u</v>
      </c>
      <c r="J17" s="193">
        <f>INDEX(_TARGETS!$E$2:$E$17,MATCH("DET",_TARGETS!$A$2:$A$17,0))</f>
        <v>0</v>
      </c>
      <c r="K17" s="193" t="str">
        <f>IF(ISNUMBER(INDEX(_TARGETS!$G$2:$G$17,MATCH("DET",_TARGETS!$A$2:$A$17,0))),INDEX(_TARGETS!$G$2:$G$17,MATCH("DET",_TARGETS!$A$2:$A$17,0)),"")</f>
        <v/>
      </c>
      <c r="L17" s="193" t="str">
        <f t="shared" si="0"/>
        <v>No target line; label: Reported only</v>
      </c>
      <c r="M17" t="s">
        <v>977</v>
      </c>
      <c r="O17" t="s">
        <v>978</v>
      </c>
      <c r="P17" t="s">
        <v>230</v>
      </c>
      <c r="Q17" t="s">
        <v>230</v>
      </c>
      <c r="R17" s="193" t="str">
        <f t="shared" si="1"/>
        <v>Neutral (no target)</v>
      </c>
      <c r="S17" s="193" t="str">
        <f>IF(Datos!$D$4="Compresora","Compressor Plant",IF(Datos!$D$4="Ducto","Duct",""))</f>
        <v>Compressor Plant</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510-FBB1-430B-A957-D96B9E5DDC5E}">
  <dimension ref="A1:AB25"/>
  <sheetViews>
    <sheetView workbookViewId="0"/>
  </sheetViews>
  <sheetFormatPr baseColWidth="10" defaultColWidth="11.5546875" defaultRowHeight="14.4" x14ac:dyDescent="0.3"/>
  <cols>
    <col min="1" max="1" width="9.33203125" style="108" customWidth="1"/>
    <col min="2" max="2" width="17.6640625" style="108" customWidth="1"/>
    <col min="3" max="3" width="11.77734375" style="108" customWidth="1"/>
    <col min="4" max="4" width="39.88671875" style="108" customWidth="1"/>
    <col min="5" max="6" width="35.21875" style="108" customWidth="1"/>
    <col min="7" max="7" width="11.77734375" style="108" customWidth="1"/>
    <col min="8" max="13" width="12.88671875" style="108" customWidth="1"/>
    <col min="14" max="14" width="15.21875" style="108" customWidth="1"/>
    <col min="15" max="15" width="12.88671875" style="108" customWidth="1"/>
    <col min="16" max="16" width="11.77734375" style="108" customWidth="1"/>
    <col min="17" max="17" width="25.77734375" style="108" customWidth="1"/>
    <col min="18" max="19" width="15.21875" style="108" customWidth="1"/>
    <col min="20" max="20" width="14.109375" style="108" customWidth="1"/>
    <col min="21" max="21" width="35.21875" style="108" customWidth="1"/>
    <col min="22" max="22" width="18.77734375" style="108" customWidth="1"/>
    <col min="23" max="23" width="9.33203125" style="108" customWidth="1"/>
    <col min="24" max="24" width="35.21875" style="108" customWidth="1"/>
    <col min="25" max="28" width="17" style="108" customWidth="1"/>
  </cols>
  <sheetData>
    <row r="1" spans="1:28" ht="13.5" customHeight="1" x14ac:dyDescent="0.3">
      <c r="A1" s="7" t="s">
        <v>954</v>
      </c>
      <c r="B1" s="7" t="s">
        <v>23</v>
      </c>
      <c r="C1" s="7" t="s">
        <v>955</v>
      </c>
      <c r="D1" s="7" t="s">
        <v>956</v>
      </c>
      <c r="E1" s="7" t="s">
        <v>957</v>
      </c>
      <c r="F1" s="7" t="s">
        <v>958</v>
      </c>
      <c r="G1" s="7" t="s">
        <v>1032</v>
      </c>
      <c r="H1" s="7" t="s">
        <v>68</v>
      </c>
      <c r="I1" s="7" t="s">
        <v>1033</v>
      </c>
      <c r="J1" s="7" t="s">
        <v>1034</v>
      </c>
      <c r="K1" s="7" t="s">
        <v>1035</v>
      </c>
      <c r="L1" s="7" t="s">
        <v>1036</v>
      </c>
      <c r="M1" s="7" t="s">
        <v>601</v>
      </c>
      <c r="N1" s="7" t="s">
        <v>1037</v>
      </c>
      <c r="O1" s="7" t="s">
        <v>904</v>
      </c>
      <c r="P1" s="7" t="s">
        <v>1038</v>
      </c>
      <c r="Q1" s="7" t="s">
        <v>1039</v>
      </c>
      <c r="R1" s="7" t="s">
        <v>1040</v>
      </c>
      <c r="S1" s="7" t="s">
        <v>1041</v>
      </c>
      <c r="T1" s="7" t="s">
        <v>593</v>
      </c>
      <c r="U1" s="7" t="s">
        <v>1042</v>
      </c>
      <c r="V1" s="7" t="s">
        <v>1043</v>
      </c>
      <c r="W1" s="7" t="s">
        <v>969</v>
      </c>
      <c r="X1" s="7" t="s">
        <v>1044</v>
      </c>
      <c r="Y1" s="7" t="s">
        <v>971</v>
      </c>
      <c r="Z1" s="7" t="s">
        <v>1045</v>
      </c>
      <c r="AA1" s="7" t="s">
        <v>1046</v>
      </c>
      <c r="AB1" s="7" t="s">
        <v>1047</v>
      </c>
    </row>
    <row r="2" spans="1:28" ht="13.5" customHeight="1" x14ac:dyDescent="0.3">
      <c r="A2">
        <v>1</v>
      </c>
      <c r="B2" t="s">
        <v>49</v>
      </c>
      <c r="C2" t="s">
        <v>972</v>
      </c>
      <c r="D2" s="193" t="str">
        <f>_RPT_META!D2</f>
        <v>Total recordable injury frequency</v>
      </c>
      <c r="E2" s="193" t="str">
        <f>_RPT_META!E2</f>
        <v>Frecuencia de casos registrables</v>
      </c>
      <c r="F2" s="193" t="str">
        <f>_RPT_META!F2</f>
        <v>Total Recordable Injury Case Frequency (per 1,000,000 hours worked)</v>
      </c>
      <c r="G2" s="258">
        <f t="shared" ref="G2:G24" si="0">RPT_MONTH</f>
        <v>46296</v>
      </c>
      <c r="H2" s="193" t="str">
        <f>IFERROR(1*INDEX(BD_KPIs!$F$2:$F$1300,MATCH(YEAR(RPT_MONTH)*100+MONTH(RPT_MONTH)&amp;"|TRICF|Monthly",BD_KPIs!$Q$2:$Q$1300,0)),"")</f>
        <v/>
      </c>
      <c r="I2" s="193" t="str">
        <f>IF(ISNUMBER(H2),FIXED(H2,2),"n/a")</f>
        <v>n/a</v>
      </c>
      <c r="J2" s="193">
        <f>IFERROR(1*INDEX(BD_KPIs!$F$2:$F$1300,MATCH(YEAR(EDATE(RPT_MONTH,-1))*100+MONTH(EDATE(RPT_MONTH,-1))&amp;"|TRICF|Monthly",BD_KPIs!$Q$2:$Q$1300,0)),"")</f>
        <v>0</v>
      </c>
      <c r="K2" s="193" t="str">
        <f t="shared" ref="K2:K24" si="1">IF(AND(ISNUMBER(H2),ISNUMBER(J2)),H2-J2,"")</f>
        <v/>
      </c>
      <c r="L2" s="193" t="str">
        <f>IF(NOT(ISNUMBER(K2)),"N/A",IF(K2=0,"Stable",IF(INDEX(_TARGETS!$E$2:$E$17,MATCH("TRICF",_TARGETS!$A$2:$A$17,0))="≤",IF(K2&lt;0,"Improving","Worsening"),IF(INDEX(_TARGETS!$E$2:$E$17,MATCH("TRICF",_TARGETS!$A$2:$A$17,0))="≥",IF(K2&gt;0,"Improving","Worsening"),IF(K2&gt;0,"Higher","Lower")))))</f>
        <v>N/A</v>
      </c>
      <c r="M2" s="193" t="str">
        <f>IFERROR(1*INDEX(BD_KPIs!$F$2:$F$1300,MATCH(YEAR(RPT_MONTH)*100+MONTH(RPT_MONTH)&amp;"|TRICF|YTD",BD_KPIs!$Q$2:$Q$1300,0)),"")</f>
        <v/>
      </c>
      <c r="N2" s="193" t="str">
        <f>IF(ISNUMBER(M2),FIXED(M2,2),"n/a")</f>
        <v>n/a</v>
      </c>
      <c r="O2" s="193" t="str">
        <f>IFERROR(1*INDEX(BD_KPIs!$F$2:$F$1300,MATCH(YEAR(RPT_MONTH)*100+MONTH(RPT_MONTH)&amp;"|TRICF|Cumulative",BD_KPIs!$Q$2:$Q$1300,0)),"")</f>
        <v/>
      </c>
      <c r="P2" s="193">
        <f>_RPT_META!K2</f>
        <v>2.35</v>
      </c>
      <c r="Q2" s="193" t="str">
        <f>IF(ISNUMBER(P2),IF(ISNUMBER(P2),FIXED(P2,2),"n/a"),_RPT_META!M2)</f>
        <v>2.35</v>
      </c>
      <c r="R2" s="193" t="str">
        <f>IF(NOT(ISNUMBER(H2)),"NO_DATA",IF(NOT(ISNUMBER(P2)),"MONITOR",IF(INDEX(_TARGETS!$E$2:$E$17,MATCH("TRICF",_TARGETS!$A$2:$A$17,0))="≤",IF(H2&lt;=P2,"ON_TARGET","OFF_TARGET"),IF(H2&gt;=P2,"ON_TARGET","OFF_TARGET"))))</f>
        <v>NO_DATA</v>
      </c>
      <c r="S2" s="193" t="str">
        <f>IF(NOT(ISNUMBER(M2)),"NO_DATA",IF(NOT(ISNUMBER(P2)),"MONITOR",IF(INDEX(_TARGETS!$E$2:$E$17,MATCH("TRICF",_TARGETS!$A$2:$A$17,0))="≤",IF(M2&lt;=P2,"ON_TARGET","OFF_TARGET"),IF(M2&gt;=P2,"ON_TARGET","OFF_TARGET"))))</f>
        <v>NO_DATA</v>
      </c>
      <c r="T2" s="193" t="str">
        <f>IFERROR(INDEX(BD_KPIs!$O$2:$O$1300,MATCH(YEAR(RPT_MONTH)*100+MONTH(RPT_MONTH)&amp;"|TRICF|Monthly",BD_KPIs!$Q$2:$Q$1300,0)),"MISSING")</f>
        <v>MISSING</v>
      </c>
      <c r="U2" s="193" t="str">
        <f>TRIM(IF(T2="INCOMPLETE","Incomplete inputs. ",IF(T2="MISSING","No data. ",""))&amp;_RPT_META!N2)</f>
        <v>No data.</v>
      </c>
      <c r="V2" s="193" t="str">
        <f>_RPT_META!I2</f>
        <v>casos / 10^6 HH</v>
      </c>
      <c r="W2" s="193" t="str">
        <f>_RPT_META!Q2</f>
        <v>Yes</v>
      </c>
      <c r="X2" t="s">
        <v>977</v>
      </c>
      <c r="Y2" s="193" t="str">
        <f t="shared" ref="Y2:Y24" si="2">RPT_SCOPE</f>
        <v>Compressor Plant</v>
      </c>
      <c r="Z2" s="193" t="str">
        <f>IFERROR(IF(INDEX(_TARGETS!$E$2:$E$17,MATCH($B2,_TARGETS!$A$2:$A$17,0))="","",INDEX(_TARGETS!$E$2:$E$17,MATCH($B2,_TARGETS!$A$2:$A$17,0))),"")</f>
        <v>≤</v>
      </c>
      <c r="AA2" s="193" t="str">
        <f>IF(INDEX(_RPT_META!$O$2:$O$17,MATCH($B2,_RPT_META!$B$2:$B$17,0))="No","NOT_APPLICABLE",IFERROR(INDEX(BD_KPIs!$O$2:$O$1300,MATCH(YEAR(RPT_MONTH)*100+MONTH(RPT_MONTH)&amp;"|"&amp;$B2&amp;"|YTD",BD_KPIs!$Q$2:$Q$1300,0)),"MISSING"))</f>
        <v>MISSING</v>
      </c>
      <c r="AB2" s="193" t="str">
        <f ca="1">IF(LEFT(Control!$C$10,4)="ROJO","RED",IF(LEFT(Control!$C$10,8)="AMARILLO","AMBER","GREEN"))</f>
        <v>RED</v>
      </c>
    </row>
    <row r="3" spans="1:28" ht="13.5" customHeight="1" x14ac:dyDescent="0.3">
      <c r="A3">
        <v>2</v>
      </c>
      <c r="B3" t="s">
        <v>39</v>
      </c>
      <c r="C3" t="s">
        <v>972</v>
      </c>
      <c r="D3" s="193" t="str">
        <f>_RPT_META!D3</f>
        <v>Lost-time injury frequency</v>
      </c>
      <c r="E3" s="193" t="str">
        <f>_RPT_META!E3</f>
        <v>Frecuencia de casos con días perdidos</v>
      </c>
      <c r="F3" s="193" t="str">
        <f>_RPT_META!F3</f>
        <v>Days Away From Work Case Frequency (per 1,000,000 hours worked)</v>
      </c>
      <c r="G3" s="258">
        <f t="shared" si="0"/>
        <v>46296</v>
      </c>
      <c r="H3" s="193" t="str">
        <f>IFERROR(1*INDEX(BD_KPIs!$F$2:$F$1300,MATCH(YEAR(RPT_MONTH)*100+MONTH(RPT_MONTH)&amp;"|DAFWCF|Monthly",BD_KPIs!$Q$2:$Q$1300,0)),"")</f>
        <v/>
      </c>
      <c r="I3" s="193" t="str">
        <f>IF(ISNUMBER(H3),FIXED(H3,2),"n/a")</f>
        <v>n/a</v>
      </c>
      <c r="J3" s="193">
        <f>IFERROR(1*INDEX(BD_KPIs!$F$2:$F$1300,MATCH(YEAR(EDATE(RPT_MONTH,-1))*100+MONTH(EDATE(RPT_MONTH,-1))&amp;"|DAFWCF|Monthly",BD_KPIs!$Q$2:$Q$1300,0)),"")</f>
        <v>0</v>
      </c>
      <c r="K3" s="193" t="str">
        <f t="shared" si="1"/>
        <v/>
      </c>
      <c r="L3" s="193" t="str">
        <f>IF(NOT(ISNUMBER(K3)),"N/A",IF(K3=0,"Stable",IF(INDEX(_TARGETS!$E$2:$E$17,MATCH("DAFWCF",_TARGETS!$A$2:$A$17,0))="≤",IF(K3&lt;0,"Improving","Worsening"),IF(INDEX(_TARGETS!$E$2:$E$17,MATCH("DAFWCF",_TARGETS!$A$2:$A$17,0))="≥",IF(K3&gt;0,"Improving","Worsening"),IF(K3&gt;0,"Higher","Lower")))))</f>
        <v>N/A</v>
      </c>
      <c r="M3" s="193" t="str">
        <f>IFERROR(1*INDEX(BD_KPIs!$F$2:$F$1300,MATCH(YEAR(RPT_MONTH)*100+MONTH(RPT_MONTH)&amp;"|DAFWCF|YTD",BD_KPIs!$Q$2:$Q$1300,0)),"")</f>
        <v/>
      </c>
      <c r="N3" s="193" t="str">
        <f>IF(ISNUMBER(M3),FIXED(M3,2),"n/a")</f>
        <v>n/a</v>
      </c>
      <c r="O3" s="193" t="str">
        <f>IFERROR(1*INDEX(BD_KPIs!$F$2:$F$1300,MATCH(YEAR(RPT_MONTH)*100+MONTH(RPT_MONTH)&amp;"|DAFWCF|Cumulative",BD_KPIs!$Q$2:$Q$1300,0)),"")</f>
        <v/>
      </c>
      <c r="P3" s="193">
        <f>_RPT_META!K3</f>
        <v>0</v>
      </c>
      <c r="Q3" s="193" t="str">
        <f>IF(ISNUMBER(P3),IF(ISNUMBER(P3),FIXED(P3,2),"n/a"),_RPT_META!M3)</f>
        <v>0.00</v>
      </c>
      <c r="R3" s="193" t="str">
        <f>IF(NOT(ISNUMBER(H3)),"NO_DATA",IF(NOT(ISNUMBER(P3)),"MONITOR",IF(INDEX(_TARGETS!$E$2:$E$17,MATCH("DAFWCF",_TARGETS!$A$2:$A$17,0))="≤",IF(H3&lt;=P3,"ON_TARGET","OFF_TARGET"),IF(H3&gt;=P3,"ON_TARGET","OFF_TARGET"))))</f>
        <v>NO_DATA</v>
      </c>
      <c r="S3" s="193" t="str">
        <f>IF(NOT(ISNUMBER(M3)),"NO_DATA",IF(NOT(ISNUMBER(P3)),"MONITOR",IF(INDEX(_TARGETS!$E$2:$E$17,MATCH("DAFWCF",_TARGETS!$A$2:$A$17,0))="≤",IF(M3&lt;=P3,"ON_TARGET","OFF_TARGET"),IF(M3&gt;=P3,"ON_TARGET","OFF_TARGET"))))</f>
        <v>NO_DATA</v>
      </c>
      <c r="T3" s="193" t="str">
        <f>IFERROR(INDEX(BD_KPIs!$O$2:$O$1300,MATCH(YEAR(RPT_MONTH)*100+MONTH(RPT_MONTH)&amp;"|DAFWCF|Monthly",BD_KPIs!$Q$2:$Q$1300,0)),"MISSING")</f>
        <v>MISSING</v>
      </c>
      <c r="U3" s="193" t="str">
        <f>TRIM(IF(T3="INCOMPLETE","Incomplete inputs. ",IF(T3="MISSING","No data. ",""))&amp;_RPT_META!N3)</f>
        <v>No data.</v>
      </c>
      <c r="V3" s="193" t="str">
        <f>_RPT_META!I3</f>
        <v>casos / 10^6 HH</v>
      </c>
      <c r="W3" s="193" t="str">
        <f>_RPT_META!Q3</f>
        <v>Yes</v>
      </c>
      <c r="X3" t="s">
        <v>977</v>
      </c>
      <c r="Y3" s="193" t="str">
        <f t="shared" si="2"/>
        <v>Compressor Plant</v>
      </c>
      <c r="Z3" s="193" t="str">
        <f>IFERROR(IF(INDEX(_TARGETS!$E$2:$E$17,MATCH($B3,_TARGETS!$A$2:$A$17,0))="","",INDEX(_TARGETS!$E$2:$E$17,MATCH($B3,_TARGETS!$A$2:$A$17,0))),"")</f>
        <v>≤</v>
      </c>
      <c r="AA3" s="193" t="str">
        <f>IF(INDEX(_RPT_META!$O$2:$O$17,MATCH($B3,_RPT_META!$B$2:$B$17,0))="No","NOT_APPLICABLE",IFERROR(INDEX(BD_KPIs!$O$2:$O$1300,MATCH(YEAR(RPT_MONTH)*100+MONTH(RPT_MONTH)&amp;"|"&amp;$B3&amp;"|YTD",BD_KPIs!$Q$2:$Q$1300,0)),"MISSING"))</f>
        <v>MISSING</v>
      </c>
      <c r="AB3" s="193" t="str">
        <f ca="1">IF(LEFT(Control!$C$10,4)="ROJO","RED",IF(LEFT(Control!$C$10,8)="AMARILLO","AMBER","GREEN"))</f>
        <v>RED</v>
      </c>
    </row>
    <row r="4" spans="1:28" ht="13.5" customHeight="1" x14ac:dyDescent="0.3">
      <c r="A4">
        <v>3</v>
      </c>
      <c r="B4" t="s">
        <v>51</v>
      </c>
      <c r="C4" t="s">
        <v>972</v>
      </c>
      <c r="D4" s="193" t="str">
        <f>_RPT_META!D4</f>
        <v>First aid cases</v>
      </c>
      <c r="E4" s="193" t="str">
        <f>_RPT_META!E4</f>
        <v>Casos de primeros auxilios</v>
      </c>
      <c r="F4" s="193" t="str">
        <f>_RPT_META!F4</f>
        <v>First Aid Cases</v>
      </c>
      <c r="G4" s="258">
        <f t="shared" si="0"/>
        <v>46296</v>
      </c>
      <c r="H4" s="193" t="str">
        <f>IFERROR(1*INDEX(BD_KPIs!$F$2:$F$1300,MATCH(YEAR(RPT_MONTH)*100+MONTH(RPT_MONTH)&amp;"|FAC|Monthly",BD_KPIs!$Q$2:$Q$1300,0)),"")</f>
        <v/>
      </c>
      <c r="I4" s="193" t="str">
        <f>IF(ISNUMBER(H4),FIXED(H4,0),"n/a")</f>
        <v>n/a</v>
      </c>
      <c r="J4" s="193">
        <f>IFERROR(1*INDEX(BD_KPIs!$F$2:$F$1300,MATCH(YEAR(EDATE(RPT_MONTH,-1))*100+MONTH(EDATE(RPT_MONTH,-1))&amp;"|FAC|Monthly",BD_KPIs!$Q$2:$Q$1300,0)),"")</f>
        <v>0</v>
      </c>
      <c r="K4" s="193" t="str">
        <f t="shared" si="1"/>
        <v/>
      </c>
      <c r="L4" s="193" t="str">
        <f>IF(NOT(ISNUMBER(K4)),"N/A",IF(K4=0,"Stable",IF(INDEX(_TARGETS!$E$2:$E$17,MATCH("FAC",_TARGETS!$A$2:$A$17,0))="≤",IF(K4&lt;0,"Improving","Worsening"),IF(INDEX(_TARGETS!$E$2:$E$17,MATCH("FAC",_TARGETS!$A$2:$A$17,0))="≥",IF(K4&gt;0,"Improving","Worsening"),IF(K4&gt;0,"Higher","Lower")))))</f>
        <v>N/A</v>
      </c>
      <c r="M4" s="193" t="str">
        <f>IFERROR(1*INDEX(BD_KPIs!$F$2:$F$1300,MATCH(YEAR(RPT_MONTH)*100+MONTH(RPT_MONTH)&amp;"|FAC|YTD",BD_KPIs!$Q$2:$Q$1300,0)),"")</f>
        <v/>
      </c>
      <c r="N4" s="193" t="str">
        <f>IF(ISNUMBER(M4),FIXED(M4,0),"n/a")</f>
        <v>n/a</v>
      </c>
      <c r="O4" s="193" t="str">
        <f>IFERROR(1*INDEX(BD_KPIs!$F$2:$F$1300,MATCH(YEAR(RPT_MONTH)*100+MONTH(RPT_MONTH)&amp;"|FAC|Cumulative",BD_KPIs!$Q$2:$Q$1300,0)),"")</f>
        <v/>
      </c>
      <c r="P4" s="193" t="str">
        <f>_RPT_META!K4</f>
        <v/>
      </c>
      <c r="Q4" s="193" t="str">
        <f>IF(ISNUMBER(P4),IF(ISNUMBER(P4),FIXED(P4,0),"n/a"),_RPT_META!M4)</f>
        <v>Reported only</v>
      </c>
      <c r="R4" s="193" t="str">
        <f>IF(NOT(ISNUMBER(H4)),"NO_DATA",IF(NOT(ISNUMBER(P4)),"MONITOR",IF(INDEX(_TARGETS!$E$2:$E$17,MATCH("FAC",_TARGETS!$A$2:$A$17,0))="≤",IF(H4&lt;=P4,"ON_TARGET","OFF_TARGET"),IF(H4&gt;=P4,"ON_TARGET","OFF_TARGET"))))</f>
        <v>NO_DATA</v>
      </c>
      <c r="S4" s="193" t="str">
        <f>IF(NOT(ISNUMBER(M4)),"NO_DATA",IF(NOT(ISNUMBER(P4)),"MONITOR",IF(INDEX(_TARGETS!$E$2:$E$17,MATCH("FAC",_TARGETS!$A$2:$A$17,0))="≤",IF(M4&lt;=P4,"ON_TARGET","OFF_TARGET"),IF(M4&gt;=P4,"ON_TARGET","OFF_TARGET"))))</f>
        <v>NO_DATA</v>
      </c>
      <c r="T4" s="193" t="str">
        <f>IFERROR(INDEX(BD_KPIs!$O$2:$O$1300,MATCH(YEAR(RPT_MONTH)*100+MONTH(RPT_MONTH)&amp;"|FAC|Monthly",BD_KPIs!$Q$2:$Q$1300,0)),"MISSING")</f>
        <v>MISSING</v>
      </c>
      <c r="U4" s="193" t="str">
        <f>TRIM(IF(T4="INCOMPLETE","Incomplete inputs. ",IF(T4="MISSING","No data. ",""))&amp;_RPT_META!N4)</f>
        <v>No data.</v>
      </c>
      <c r="V4" s="193" t="str">
        <f>_RPT_META!I4</f>
        <v>casos</v>
      </c>
      <c r="W4" s="193" t="str">
        <f>_RPT_META!Q4</f>
        <v>No</v>
      </c>
      <c r="X4" t="s">
        <v>977</v>
      </c>
      <c r="Y4" s="193" t="str">
        <f t="shared" si="2"/>
        <v>Compressor Plant</v>
      </c>
      <c r="Z4" s="193" t="str">
        <f>IFERROR(IF(INDEX(_TARGETS!$E$2:$E$17,MATCH($B4,_TARGETS!$A$2:$A$17,0))="","",INDEX(_TARGETS!$E$2:$E$17,MATCH($B4,_TARGETS!$A$2:$A$17,0))),"")</f>
        <v/>
      </c>
      <c r="AA4" s="193" t="str">
        <f>IF(INDEX(_RPT_META!$O$2:$O$17,MATCH($B4,_RPT_META!$B$2:$B$17,0))="No","NOT_APPLICABLE",IFERROR(INDEX(BD_KPIs!$O$2:$O$1300,MATCH(YEAR(RPT_MONTH)*100+MONTH(RPT_MONTH)&amp;"|"&amp;$B4&amp;"|YTD",BD_KPIs!$Q$2:$Q$1300,0)),"MISSING"))</f>
        <v>MISSING</v>
      </c>
      <c r="AB4" s="193" t="str">
        <f ca="1">IF(LEFT(Control!$C$10,4)="ROJO","RED",IF(LEFT(Control!$C$10,8)="AMARILLO","AMBER","GREEN"))</f>
        <v>RED</v>
      </c>
    </row>
    <row r="5" spans="1:28" ht="13.5" customHeight="1" x14ac:dyDescent="0.3">
      <c r="A5">
        <v>4</v>
      </c>
      <c r="B5" t="s">
        <v>61</v>
      </c>
      <c r="C5" t="s">
        <v>986</v>
      </c>
      <c r="D5" s="193" t="str">
        <f>_RPT_META!D5</f>
        <v>Total vehicle crash rate</v>
      </c>
      <c r="E5" s="193" t="str">
        <f>_RPT_META!E5</f>
        <v>Accidentes vehiculares totales por millón de km</v>
      </c>
      <c r="F5" s="193" t="str">
        <f>_RPT_META!F5</f>
        <v>Total Vehicle Crash Rate (TVCR), all categories (per 1,000,000 km)</v>
      </c>
      <c r="G5" s="258">
        <f t="shared" si="0"/>
        <v>46296</v>
      </c>
      <c r="H5" s="193" t="str">
        <f>IFERROR(1*INDEX(BD_KPIs!$F$2:$F$1300,MATCH(YEAR(RPT_MONTH)*100+MONTH(RPT_MONTH)&amp;"|TVCR|Monthly",BD_KPIs!$Q$2:$Q$1300,0)),"")</f>
        <v/>
      </c>
      <c r="I5" s="193" t="str">
        <f>IF(ISNUMBER(H5),FIXED(H5,2),"n/a")</f>
        <v>n/a</v>
      </c>
      <c r="J5" s="193">
        <f>IFERROR(1*INDEX(BD_KPIs!$F$2:$F$1300,MATCH(YEAR(EDATE(RPT_MONTH,-1))*100+MONTH(EDATE(RPT_MONTH,-1))&amp;"|TVCR|Monthly",BD_KPIs!$Q$2:$Q$1300,0)),"")</f>
        <v>0</v>
      </c>
      <c r="K5" s="193" t="str">
        <f t="shared" si="1"/>
        <v/>
      </c>
      <c r="L5" s="193" t="str">
        <f>IF(NOT(ISNUMBER(K5)),"N/A",IF(K5=0,"Stable",IF(INDEX(_TARGETS!$E$2:$E$17,MATCH("TVCR",_TARGETS!$A$2:$A$17,0))="≤",IF(K5&lt;0,"Improving","Worsening"),IF(INDEX(_TARGETS!$E$2:$E$17,MATCH("TVCR",_TARGETS!$A$2:$A$17,0))="≥",IF(K5&gt;0,"Improving","Worsening"),IF(K5&gt;0,"Higher","Lower")))))</f>
        <v>N/A</v>
      </c>
      <c r="M5" s="193" t="str">
        <f>IFERROR(1*INDEX(BD_KPIs!$F$2:$F$1300,MATCH(YEAR(RPT_MONTH)*100+MONTH(RPT_MONTH)&amp;"|TVCR|YTD",BD_KPIs!$Q$2:$Q$1300,0)),"")</f>
        <v/>
      </c>
      <c r="N5" s="193" t="str">
        <f>IF(ISNUMBER(M5),FIXED(M5,2),"n/a")</f>
        <v>n/a</v>
      </c>
      <c r="O5" s="193" t="str">
        <f>IFERROR(1*INDEX(BD_KPIs!$F$2:$F$1300,MATCH(YEAR(RPT_MONTH)*100+MONTH(RPT_MONTH)&amp;"|TVCR|Cumulative",BD_KPIs!$Q$2:$Q$1300,0)),"")</f>
        <v/>
      </c>
      <c r="P5" s="193">
        <f>_RPT_META!K5</f>
        <v>0.79</v>
      </c>
      <c r="Q5" s="193" t="str">
        <f>IF(ISNUMBER(P5),IF(ISNUMBER(P5),FIXED(P5,2),"n/a"),_RPT_META!M5)</f>
        <v>0.79</v>
      </c>
      <c r="R5" s="193" t="str">
        <f>IF(NOT(ISNUMBER(H5)),"NO_DATA",IF(NOT(ISNUMBER(P5)),"MONITOR",IF(INDEX(_TARGETS!$E$2:$E$17,MATCH("TVCR",_TARGETS!$A$2:$A$17,0))="≤",IF(H5&lt;=P5,"ON_TARGET","OFF_TARGET"),IF(H5&gt;=P5,"ON_TARGET","OFF_TARGET"))))</f>
        <v>NO_DATA</v>
      </c>
      <c r="S5" s="193" t="str">
        <f>IF(NOT(ISNUMBER(M5)),"NO_DATA",IF(NOT(ISNUMBER(P5)),"MONITOR",IF(INDEX(_TARGETS!$E$2:$E$17,MATCH("TVCR",_TARGETS!$A$2:$A$17,0))="≤",IF(M5&lt;=P5,"ON_TARGET","OFF_TARGET"),IF(M5&gt;=P5,"ON_TARGET","OFF_TARGET"))))</f>
        <v>NO_DATA</v>
      </c>
      <c r="T5" s="193" t="str">
        <f>IFERROR(INDEX(BD_KPIs!$O$2:$O$1300,MATCH(YEAR(RPT_MONTH)*100+MONTH(RPT_MONTH)&amp;"|TVCR|Monthly",BD_KPIs!$Q$2:$Q$1300,0)),"MISSING")</f>
        <v>MISSING</v>
      </c>
      <c r="U5" s="193" t="str">
        <f>TRIM(IF(T5="INCOMPLETE","Incomplete inputs. ",IF(T5="MISSING","No data. ",""))&amp;_RPT_META!N5)</f>
        <v>No data.</v>
      </c>
      <c r="V5" s="193" t="str">
        <f>_RPT_META!I5</f>
        <v>eventos / 10^6 km</v>
      </c>
      <c r="W5" s="193" t="str">
        <f>_RPT_META!Q5</f>
        <v>Yes</v>
      </c>
      <c r="X5" t="s">
        <v>977</v>
      </c>
      <c r="Y5" s="193" t="str">
        <f t="shared" si="2"/>
        <v>Compressor Plant</v>
      </c>
      <c r="Z5" s="193" t="str">
        <f>IFERROR(IF(INDEX(_TARGETS!$E$2:$E$17,MATCH($B5,_TARGETS!$A$2:$A$17,0))="","",INDEX(_TARGETS!$E$2:$E$17,MATCH($B5,_TARGETS!$A$2:$A$17,0))),"")</f>
        <v>≤</v>
      </c>
      <c r="AA5" s="193" t="str">
        <f>IF(INDEX(_RPT_META!$O$2:$O$17,MATCH($B5,_RPT_META!$B$2:$B$17,0))="No","NOT_APPLICABLE",IFERROR(INDEX(BD_KPIs!$O$2:$O$1300,MATCH(YEAR(RPT_MONTH)*100+MONTH(RPT_MONTH)&amp;"|"&amp;$B5&amp;"|YTD",BD_KPIs!$Q$2:$Q$1300,0)),"MISSING"))</f>
        <v>MISSING</v>
      </c>
      <c r="AB5" s="193" t="str">
        <f ca="1">IF(LEFT(Control!$C$10,4)="ROJO","RED",IF(LEFT(Control!$C$10,8)="AMARILLO","AMBER","GREEN"))</f>
        <v>RED</v>
      </c>
    </row>
    <row r="6" spans="1:28" ht="13.5" customHeight="1" x14ac:dyDescent="0.3">
      <c r="A6">
        <v>5</v>
      </c>
      <c r="B6" t="s">
        <v>57</v>
      </c>
      <c r="C6" t="s">
        <v>986</v>
      </c>
      <c r="D6" s="193" t="str">
        <f>_RPT_META!D6</f>
        <v>Severe vehicle crash rate</v>
      </c>
      <c r="E6" s="193" t="str">
        <f>_RPT_META!E6</f>
        <v>Accidentes vehiculares severos por millón de km</v>
      </c>
      <c r="F6" s="193" t="str">
        <f>_RPT_META!F6</f>
        <v>Severe Vehicle Crash Rate (SVCR), catastrophic + major + serious (per 1,000,000 km)</v>
      </c>
      <c r="G6" s="258">
        <f t="shared" si="0"/>
        <v>46296</v>
      </c>
      <c r="H6" s="193" t="str">
        <f>IFERROR(1*INDEX(BD_KPIs!$F$2:$F$1300,MATCH(YEAR(RPT_MONTH)*100+MONTH(RPT_MONTH)&amp;"|SVCR|Monthly",BD_KPIs!$Q$2:$Q$1300,0)),"")</f>
        <v/>
      </c>
      <c r="I6" s="193" t="str">
        <f>IF(ISNUMBER(H6),FIXED(H6,2),"n/a")</f>
        <v>n/a</v>
      </c>
      <c r="J6" s="193">
        <f>IFERROR(1*INDEX(BD_KPIs!$F$2:$F$1300,MATCH(YEAR(EDATE(RPT_MONTH,-1))*100+MONTH(EDATE(RPT_MONTH,-1))&amp;"|SVCR|Monthly",BD_KPIs!$Q$2:$Q$1300,0)),"")</f>
        <v>0</v>
      </c>
      <c r="K6" s="193" t="str">
        <f t="shared" si="1"/>
        <v/>
      </c>
      <c r="L6" s="193" t="str">
        <f>IF(NOT(ISNUMBER(K6)),"N/A",IF(K6=0,"Stable",IF(INDEX(_TARGETS!$E$2:$E$17,MATCH("SVCR",_TARGETS!$A$2:$A$17,0))="≤",IF(K6&lt;0,"Improving","Worsening"),IF(INDEX(_TARGETS!$E$2:$E$17,MATCH("SVCR",_TARGETS!$A$2:$A$17,0))="≥",IF(K6&gt;0,"Improving","Worsening"),IF(K6&gt;0,"Higher","Lower")))))</f>
        <v>N/A</v>
      </c>
      <c r="M6" s="193" t="str">
        <f>IFERROR(1*INDEX(BD_KPIs!$F$2:$F$1300,MATCH(YEAR(RPT_MONTH)*100+MONTH(RPT_MONTH)&amp;"|SVCR|YTD",BD_KPIs!$Q$2:$Q$1300,0)),"")</f>
        <v/>
      </c>
      <c r="N6" s="193" t="str">
        <f>IF(ISNUMBER(M6),FIXED(M6,2),"n/a")</f>
        <v>n/a</v>
      </c>
      <c r="O6" s="193" t="str">
        <f>IFERROR(1*INDEX(BD_KPIs!$F$2:$F$1300,MATCH(YEAR(RPT_MONTH)*100+MONTH(RPT_MONTH)&amp;"|SVCR|Cumulative",BD_KPIs!$Q$2:$Q$1300,0)),"")</f>
        <v/>
      </c>
      <c r="P6" s="193" t="str">
        <f>_RPT_META!K6</f>
        <v/>
      </c>
      <c r="Q6" s="193" t="str">
        <f>IF(ISNUMBER(P6),IF(ISNUMBER(P6),FIXED(P6,2),"n/a"),_RPT_META!M6)</f>
        <v>Reported only</v>
      </c>
      <c r="R6" s="193" t="str">
        <f>IF(NOT(ISNUMBER(H6)),"NO_DATA",IF(NOT(ISNUMBER(P6)),"MONITOR",IF(INDEX(_TARGETS!$E$2:$E$17,MATCH("SVCR",_TARGETS!$A$2:$A$17,0))="≤",IF(H6&lt;=P6,"ON_TARGET","OFF_TARGET"),IF(H6&gt;=P6,"ON_TARGET","OFF_TARGET"))))</f>
        <v>NO_DATA</v>
      </c>
      <c r="S6" s="193" t="str">
        <f>IF(NOT(ISNUMBER(M6)),"NO_DATA",IF(NOT(ISNUMBER(P6)),"MONITOR",IF(INDEX(_TARGETS!$E$2:$E$17,MATCH("SVCR",_TARGETS!$A$2:$A$17,0))="≤",IF(M6&lt;=P6,"ON_TARGET","OFF_TARGET"),IF(M6&gt;=P6,"ON_TARGET","OFF_TARGET"))))</f>
        <v>NO_DATA</v>
      </c>
      <c r="T6" s="193" t="str">
        <f>IFERROR(INDEX(BD_KPIs!$O$2:$O$1300,MATCH(YEAR(RPT_MONTH)*100+MONTH(RPT_MONTH)&amp;"|SVCR|Monthly",BD_KPIs!$Q$2:$Q$1300,0)),"MISSING")</f>
        <v>MISSING</v>
      </c>
      <c r="U6" s="193" t="str">
        <f>TRIM(IF(T6="INCOMPLETE","Incomplete inputs. ",IF(T6="MISSING","No data. ",""))&amp;_RPT_META!N6)</f>
        <v>No data.</v>
      </c>
      <c r="V6" s="193" t="str">
        <f>_RPT_META!I6</f>
        <v>eventos / 10^6 km</v>
      </c>
      <c r="W6" s="193" t="str">
        <f>_RPT_META!Q6</f>
        <v>No</v>
      </c>
      <c r="X6" t="s">
        <v>977</v>
      </c>
      <c r="Y6" s="193" t="str">
        <f t="shared" si="2"/>
        <v>Compressor Plant</v>
      </c>
      <c r="Z6" s="193" t="str">
        <f>IFERROR(IF(INDEX(_TARGETS!$E$2:$E$17,MATCH($B6,_TARGETS!$A$2:$A$17,0))="","",INDEX(_TARGETS!$E$2:$E$17,MATCH($B6,_TARGETS!$A$2:$A$17,0))),"")</f>
        <v/>
      </c>
      <c r="AA6" s="193" t="str">
        <f>IF(INDEX(_RPT_META!$O$2:$O$17,MATCH($B6,_RPT_META!$B$2:$B$17,0))="No","NOT_APPLICABLE",IFERROR(INDEX(BD_KPIs!$O$2:$O$1300,MATCH(YEAR(RPT_MONTH)*100+MONTH(RPT_MONTH)&amp;"|"&amp;$B6&amp;"|YTD",BD_KPIs!$Q$2:$Q$1300,0)),"MISSING"))</f>
        <v>MISSING</v>
      </c>
      <c r="AB6" s="193" t="str">
        <f ca="1">IF(LEFT(Control!$C$10,4)="ROJO","RED",IF(LEFT(Control!$C$10,8)="AMARILLO","AMBER","GREEN"))</f>
        <v>RED</v>
      </c>
    </row>
    <row r="7" spans="1:28" ht="13.5" customHeight="1" x14ac:dyDescent="0.3">
      <c r="A7">
        <v>6</v>
      </c>
      <c r="B7" t="s">
        <v>63</v>
      </c>
      <c r="C7" t="s">
        <v>993</v>
      </c>
      <c r="D7" s="193" t="str">
        <f>_RPT_META!D7</f>
        <v>Safety observations per person</v>
      </c>
      <c r="E7" s="193" t="str">
        <f>_RPT_META!E7</f>
        <v>Observaciones de seguridad por persona</v>
      </c>
      <c r="F7" s="193" t="str">
        <f>_RPT_META!F7</f>
        <v>Safety Observations per person (average headcount)</v>
      </c>
      <c r="G7" s="258">
        <f t="shared" si="0"/>
        <v>46296</v>
      </c>
      <c r="H7" s="193" t="str">
        <f>IFERROR(1*INDEX(BD_KPIs!$F$2:$F$1300,MATCH(YEAR(RPT_MONTH)*100+MONTH(RPT_MONTH)&amp;"|OBS|Monthly",BD_KPIs!$Q$2:$Q$1300,0)),"")</f>
        <v/>
      </c>
      <c r="I7" s="193" t="str">
        <f>IF(ISNUMBER(H7),FIXED(H7,2),"n/a")</f>
        <v>n/a</v>
      </c>
      <c r="J7" s="193">
        <f>IFERROR(1*INDEX(BD_KPIs!$F$2:$F$1300,MATCH(YEAR(EDATE(RPT_MONTH,-1))*100+MONTH(EDATE(RPT_MONTH,-1))&amp;"|OBS|Monthly",BD_KPIs!$Q$2:$Q$1300,0)),"")</f>
        <v>1.4390243902439</v>
      </c>
      <c r="K7" s="193" t="str">
        <f t="shared" si="1"/>
        <v/>
      </c>
      <c r="L7" s="193" t="str">
        <f>IF(NOT(ISNUMBER(K7)),"N/A",IF(K7=0,"Stable",IF(INDEX(_TARGETS!$E$2:$E$17,MATCH("OBS",_TARGETS!$A$2:$A$17,0))="≤",IF(K7&lt;0,"Improving","Worsening"),IF(INDEX(_TARGETS!$E$2:$E$17,MATCH("OBS",_TARGETS!$A$2:$A$17,0))="≥",IF(K7&gt;0,"Improving","Worsening"),IF(K7&gt;0,"Higher","Lower")))))</f>
        <v>N/A</v>
      </c>
      <c r="N7" t="s">
        <v>1048</v>
      </c>
      <c r="P7" s="193">
        <f>_RPT_META!K7</f>
        <v>1</v>
      </c>
      <c r="Q7" s="193" t="str">
        <f>IF(ISNUMBER(P7),IF(ISNUMBER(P7),FIXED(P7,2),"n/a"),_RPT_META!M7)</f>
        <v>1.00</v>
      </c>
      <c r="R7" s="193" t="str">
        <f>IF(NOT(ISNUMBER(H7)),"NO_DATA",IF(NOT(ISNUMBER(P7)),"MONITOR",IF(INDEX(_TARGETS!$E$2:$E$17,MATCH("OBS",_TARGETS!$A$2:$A$17,0))="≤",IF(H7&lt;=P7,"ON_TARGET","OFF_TARGET"),IF(H7&gt;=P7,"ON_TARGET","OFF_TARGET"))))</f>
        <v>NO_DATA</v>
      </c>
      <c r="S7" t="s">
        <v>1049</v>
      </c>
      <c r="T7" s="193" t="str">
        <f>IFERROR(INDEX(BD_KPIs!$O$2:$O$1300,MATCH(YEAR(RPT_MONTH)*100+MONTH(RPT_MONTH)&amp;"|OBS|Monthly",BD_KPIs!$Q$2:$Q$1300,0)),"MISSING")</f>
        <v>MISSING</v>
      </c>
      <c r="U7" s="193" t="str">
        <f>TRIM(IF(T7="INCOMPLETE","Incomplete inputs. ",IF(T7="MISSING","No data. ",""))&amp;_RPT_META!N7)</f>
        <v>No data.</v>
      </c>
      <c r="V7" s="193" t="str">
        <f>_RPT_META!I7</f>
        <v>obs / persona</v>
      </c>
      <c r="W7" s="193" t="str">
        <f>_RPT_META!Q7</f>
        <v>No</v>
      </c>
      <c r="X7" t="s">
        <v>977</v>
      </c>
      <c r="Y7" s="193" t="str">
        <f t="shared" si="2"/>
        <v>Compressor Plant</v>
      </c>
      <c r="Z7" s="193" t="str">
        <f>IFERROR(IF(INDEX(_TARGETS!$E$2:$E$17,MATCH($B7,_TARGETS!$A$2:$A$17,0))="","",INDEX(_TARGETS!$E$2:$E$17,MATCH($B7,_TARGETS!$A$2:$A$17,0))),"")</f>
        <v>≥</v>
      </c>
      <c r="AA7" s="193" t="str">
        <f>IF(INDEX(_RPT_META!$O$2:$O$17,MATCH($B7,_RPT_META!$B$2:$B$17,0))="No","NOT_APPLICABLE",IFERROR(INDEX(BD_KPIs!$O$2:$O$1300,MATCH(YEAR(RPT_MONTH)*100+MONTH(RPT_MONTH)&amp;"|"&amp;$B7&amp;"|YTD",BD_KPIs!$Q$2:$Q$1300,0)),"MISSING"))</f>
        <v>NOT_APPLICABLE</v>
      </c>
      <c r="AB7" s="193" t="str">
        <f ca="1">IF(LEFT(Control!$C$10,4)="ROJO","RED",IF(LEFT(Control!$C$10,8)="AMARILLO","AMBER","GREEN"))</f>
        <v>RED</v>
      </c>
    </row>
    <row r="8" spans="1:28" ht="13.5" customHeight="1" x14ac:dyDescent="0.3">
      <c r="A8">
        <v>7</v>
      </c>
      <c r="B8" t="s">
        <v>76</v>
      </c>
      <c r="C8" t="s">
        <v>993</v>
      </c>
      <c r="D8" s="193" t="str">
        <f>_RPT_META!D8</f>
        <v>Safety training, % of hours worked</v>
      </c>
      <c r="E8" s="193" t="str">
        <f>_RPT_META!E8</f>
        <v>% de capacitación en seguridad</v>
      </c>
      <c r="F8" s="193" t="str">
        <f>_RPT_META!F8</f>
        <v>Safety training hours as % of hours worked</v>
      </c>
      <c r="G8" s="258">
        <f t="shared" si="0"/>
        <v>46296</v>
      </c>
      <c r="H8" s="193" t="str">
        <f>IFERROR(1*INDEX(BD_KPIs!$F$2:$F$1300,MATCH(YEAR(RPT_MONTH)*100+MONTH(RPT_MONTH)&amp;"|HCS|Monthly",BD_KPIs!$Q$2:$Q$1300,0)),"")</f>
        <v/>
      </c>
      <c r="I8" s="193" t="str">
        <f>IF(ISNUMBER(H8),FIXED(H8*100,2)&amp;"%","n/a")</f>
        <v>n/a</v>
      </c>
      <c r="J8" s="193">
        <f>IFERROR(1*INDEX(BD_KPIs!$F$2:$F$1300,MATCH(YEAR(EDATE(RPT_MONTH,-1))*100+MONTH(EDATE(RPT_MONTH,-1))&amp;"|HCS|Monthly",BD_KPIs!$Q$2:$Q$1300,0)),"")</f>
        <v>0.03515625</v>
      </c>
      <c r="K8" s="193" t="str">
        <f t="shared" si="1"/>
        <v/>
      </c>
      <c r="L8" s="193" t="str">
        <f>IF(NOT(ISNUMBER(K8)),"N/A",IF(K8=0,"Stable",IF(INDEX(_TARGETS!$E$2:$E$17,MATCH("HCS",_TARGETS!$A$2:$A$17,0))="≤",IF(K8&lt;0,"Improving","Worsening"),IF(INDEX(_TARGETS!$E$2:$E$17,MATCH("HCS",_TARGETS!$A$2:$A$17,0))="≥",IF(K8&gt;0,"Improving","Worsening"),IF(K8&gt;0,"Higher","Lower")))))</f>
        <v>N/A</v>
      </c>
      <c r="M8" s="193" t="str">
        <f>IFERROR(1*INDEX(BD_KPIs!$F$2:$F$1300,MATCH(YEAR(RPT_MONTH)*100+MONTH(RPT_MONTH)&amp;"|HCS|YTD",BD_KPIs!$Q$2:$Q$1300,0)),"")</f>
        <v/>
      </c>
      <c r="N8" s="193" t="str">
        <f>IF(ISNUMBER(M8),FIXED(M8*100,2)&amp;"%","n/a")</f>
        <v>n/a</v>
      </c>
      <c r="P8" s="193">
        <f>_RPT_META!K8</f>
        <v>0.01</v>
      </c>
      <c r="Q8" s="193" t="str">
        <f>IF(ISNUMBER(P8),IF(ISNUMBER(P8),FIXED(P8*100,2)&amp;"%","n/a"),_RPT_META!M8)</f>
        <v>1.00%</v>
      </c>
      <c r="R8" s="193" t="str">
        <f>IF(NOT(ISNUMBER(H8)),"NO_DATA",IF(NOT(ISNUMBER(P8)),"MONITOR",IF(INDEX(_TARGETS!$E$2:$E$17,MATCH("HCS",_TARGETS!$A$2:$A$17,0))="≤",IF(H8&lt;=P8,"ON_TARGET","OFF_TARGET"),IF(H8&gt;=P8,"ON_TARGET","OFF_TARGET"))))</f>
        <v>NO_DATA</v>
      </c>
      <c r="S8" s="193" t="str">
        <f>IF(NOT(ISNUMBER(M8)),"NO_DATA",IF(NOT(ISNUMBER(P8)),"MONITOR",IF(INDEX(_TARGETS!$E$2:$E$17,MATCH("HCS",_TARGETS!$A$2:$A$17,0))="≤",IF(M8&lt;=P8,"ON_TARGET","OFF_TARGET"),IF(M8&gt;=P8,"ON_TARGET","OFF_TARGET"))))</f>
        <v>NO_DATA</v>
      </c>
      <c r="T8" s="193" t="str">
        <f>IFERROR(INDEX(BD_KPIs!$O$2:$O$1300,MATCH(YEAR(RPT_MONTH)*100+MONTH(RPT_MONTH)&amp;"|HCS|Monthly",BD_KPIs!$Q$2:$Q$1300,0)),"MISSING")</f>
        <v>MISSING</v>
      </c>
      <c r="U8" s="193" t="str">
        <f>TRIM(IF(T8="INCOMPLETE","Incomplete inputs. ",IF(T8="MISSING","No data. ",""))&amp;_RPT_META!N8)</f>
        <v>No data.</v>
      </c>
      <c r="V8" s="193" t="str">
        <f>_RPT_META!I8</f>
        <v>% (fracción)</v>
      </c>
      <c r="W8" s="193" t="str">
        <f>_RPT_META!Q8</f>
        <v>No</v>
      </c>
      <c r="X8" t="s">
        <v>977</v>
      </c>
      <c r="Y8" s="193" t="str">
        <f t="shared" si="2"/>
        <v>Compressor Plant</v>
      </c>
      <c r="Z8" s="193" t="str">
        <f>IFERROR(IF(INDEX(_TARGETS!$E$2:$E$17,MATCH($B8,_TARGETS!$A$2:$A$17,0))="","",INDEX(_TARGETS!$E$2:$E$17,MATCH($B8,_TARGETS!$A$2:$A$17,0))),"")</f>
        <v>≥</v>
      </c>
      <c r="AA8" s="193" t="str">
        <f>IF(INDEX(_RPT_META!$O$2:$O$17,MATCH($B8,_RPT_META!$B$2:$B$17,0))="No","NOT_APPLICABLE",IFERROR(INDEX(BD_KPIs!$O$2:$O$1300,MATCH(YEAR(RPT_MONTH)*100+MONTH(RPT_MONTH)&amp;"|"&amp;$B8&amp;"|YTD",BD_KPIs!$Q$2:$Q$1300,0)),"MISSING"))</f>
        <v>MISSING</v>
      </c>
      <c r="AB8" s="193" t="str">
        <f ca="1">IF(LEFT(Control!$C$10,4)="ROJO","RED",IF(LEFT(Control!$C$10,8)="AMARILLO","AMBER","GREEN"))</f>
        <v>RED</v>
      </c>
    </row>
    <row r="9" spans="1:28" ht="13.5" customHeight="1" x14ac:dyDescent="0.3">
      <c r="A9">
        <v>8</v>
      </c>
      <c r="B9" t="s">
        <v>80</v>
      </c>
      <c r="C9" t="s">
        <v>993</v>
      </c>
      <c r="D9" s="193" t="str">
        <f>_RPT_META!D9</f>
        <v>Safety training hours per person</v>
      </c>
      <c r="E9" s="193" t="str">
        <f>_RPT_META!E9</f>
        <v>Horas de capacitación por persona</v>
      </c>
      <c r="F9" s="193" t="str">
        <f>_RPT_META!F9</f>
        <v>Safety training hours per person</v>
      </c>
      <c r="G9" s="258">
        <f t="shared" si="0"/>
        <v>46296</v>
      </c>
      <c r="H9" s="193" t="str">
        <f>IFERROR(1*INDEX(BD_KPIs!$F$2:$F$1300,MATCH(YEAR(RPT_MONTH)*100+MONTH(RPT_MONTH)&amp;"|HCSA|Monthly",BD_KPIs!$Q$2:$Q$1300,0)),"")</f>
        <v/>
      </c>
      <c r="I9" s="193" t="str">
        <f>IF(ISNUMBER(H9),FIXED(H9,2),"n/a")</f>
        <v>n/a</v>
      </c>
      <c r="J9" s="193">
        <f>IFERROR(1*INDEX(BD_KPIs!$F$2:$F$1300,MATCH(YEAR(EDATE(RPT_MONTH,-1))*100+MONTH(EDATE(RPT_MONTH,-1))&amp;"|HCSA|Monthly",BD_KPIs!$Q$2:$Q$1300,0)),"")</f>
        <v>7.24390243902439</v>
      </c>
      <c r="K9" s="193" t="str">
        <f t="shared" si="1"/>
        <v/>
      </c>
      <c r="L9" s="193" t="str">
        <f>IF(NOT(ISNUMBER(K9)),"N/A",IF(K9=0,"Stable",IF(INDEX(_TARGETS!$E$2:$E$17,MATCH("HCSA",_TARGETS!$A$2:$A$17,0))="≤",IF(K9&lt;0,"Improving","Worsening"),IF(INDEX(_TARGETS!$E$2:$E$17,MATCH("HCSA",_TARGETS!$A$2:$A$17,0))="≥",IF(K9&gt;0,"Improving","Worsening"),IF(K9&gt;0,"Higher","Lower")))))</f>
        <v>N/A</v>
      </c>
      <c r="N9" t="s">
        <v>1048</v>
      </c>
      <c r="P9" s="193" t="str">
        <f>_RPT_META!K9</f>
        <v/>
      </c>
      <c r="Q9" s="193" t="str">
        <f>IF(ISNUMBER(P9),IF(ISNUMBER(P9),FIXED(P9,2),"n/a"),_RPT_META!M9)</f>
        <v>Reported only</v>
      </c>
      <c r="R9" s="193" t="str">
        <f>IF(NOT(ISNUMBER(H9)),"NO_DATA",IF(NOT(ISNUMBER(P9)),"MONITOR",IF(INDEX(_TARGETS!$E$2:$E$17,MATCH("HCSA",_TARGETS!$A$2:$A$17,0))="≤",IF(H9&lt;=P9,"ON_TARGET","OFF_TARGET"),IF(H9&gt;=P9,"ON_TARGET","OFF_TARGET"))))</f>
        <v>NO_DATA</v>
      </c>
      <c r="S9" t="s">
        <v>1049</v>
      </c>
      <c r="T9" s="193" t="str">
        <f>IFERROR(INDEX(BD_KPIs!$O$2:$O$1300,MATCH(YEAR(RPT_MONTH)*100+MONTH(RPT_MONTH)&amp;"|HCSA|Monthly",BD_KPIs!$Q$2:$Q$1300,0)),"MISSING")</f>
        <v>MISSING</v>
      </c>
      <c r="U9" s="193" t="str">
        <f>TRIM(IF(T9="INCOMPLETE","Incomplete inputs. ",IF(T9="MISSING","No data. ",""))&amp;_RPT_META!N9)</f>
        <v>No data.</v>
      </c>
      <c r="V9" s="193" t="str">
        <f>_RPT_META!I9</f>
        <v>h / persona</v>
      </c>
      <c r="W9" s="193" t="str">
        <f>_RPT_META!Q9</f>
        <v>No</v>
      </c>
      <c r="X9" t="s">
        <v>977</v>
      </c>
      <c r="Y9" s="193" t="str">
        <f t="shared" si="2"/>
        <v>Compressor Plant</v>
      </c>
      <c r="Z9" s="193" t="str">
        <f>IFERROR(IF(INDEX(_TARGETS!$E$2:$E$17,MATCH($B9,_TARGETS!$A$2:$A$17,0))="","",INDEX(_TARGETS!$E$2:$E$17,MATCH($B9,_TARGETS!$A$2:$A$17,0))),"")</f>
        <v/>
      </c>
      <c r="AA9" s="193" t="str">
        <f>IF(INDEX(_RPT_META!$O$2:$O$17,MATCH($B9,_RPT_META!$B$2:$B$17,0))="No","NOT_APPLICABLE",IFERROR(INDEX(BD_KPIs!$O$2:$O$1300,MATCH(YEAR(RPT_MONTH)*100+MONTH(RPT_MONTH)&amp;"|"&amp;$B9&amp;"|YTD",BD_KPIs!$Q$2:$Q$1300,0)),"MISSING"))</f>
        <v>NOT_APPLICABLE</v>
      </c>
      <c r="AB9" s="193" t="str">
        <f ca="1">IF(LEFT(Control!$C$10,4)="ROJO","RED",IF(LEFT(Control!$C$10,8)="AMARILLO","AMBER","GREEN"))</f>
        <v>RED</v>
      </c>
    </row>
    <row r="10" spans="1:28" ht="13.5" customHeight="1" x14ac:dyDescent="0.3">
      <c r="A10">
        <v>9</v>
      </c>
      <c r="B10" t="s">
        <v>83</v>
      </c>
      <c r="C10" t="s">
        <v>993</v>
      </c>
      <c r="D10" s="193" t="str">
        <f>_RPT_META!D10</f>
        <v>Drill compliance</v>
      </c>
      <c r="E10" s="193" t="str">
        <f>_RPT_META!E10</f>
        <v>Cumplimiento de simulacros (emergencia y operativos)</v>
      </c>
      <c r="F10" s="193" t="str">
        <f>_RPT_META!F10</f>
        <v>Drills completed vs planned (emergency and operational)</v>
      </c>
      <c r="G10" s="258">
        <f t="shared" si="0"/>
        <v>46296</v>
      </c>
      <c r="H10" s="193" t="str">
        <f>IFERROR(1*INDEX(BD_KPIs!$F$2:$F$1300,MATCH(YEAR(RPT_MONTH)*100+MONTH(RPT_MONTH)&amp;"|CPSE|Monthly",BD_KPIs!$Q$2:$Q$1300,0)),"")</f>
        <v/>
      </c>
      <c r="I10" s="193" t="str">
        <f>IF(ISNUMBER(H10),FIXED(H10*100,0)&amp;"%","n/a")</f>
        <v>n/a</v>
      </c>
      <c r="J10" s="193">
        <f>IFERROR(1*INDEX(BD_KPIs!$F$2:$F$1300,MATCH(YEAR(EDATE(RPT_MONTH,-1))*100+MONTH(EDATE(RPT_MONTH,-1))&amp;"|CPSE|Monthly",BD_KPIs!$Q$2:$Q$1300,0)),"")</f>
        <v>1</v>
      </c>
      <c r="K10" s="193" t="str">
        <f t="shared" si="1"/>
        <v/>
      </c>
      <c r="L10" s="193" t="str">
        <f>IF(NOT(ISNUMBER(K10)),"N/A",IF(K10=0,"Stable",IF(INDEX(_TARGETS!$E$2:$E$17,MATCH("CPSE",_TARGETS!$A$2:$A$17,0))="≤",IF(K10&lt;0,"Improving","Worsening"),IF(INDEX(_TARGETS!$E$2:$E$17,MATCH("CPSE",_TARGETS!$A$2:$A$17,0))="≥",IF(K10&gt;0,"Improving","Worsening"),IF(K10&gt;0,"Higher","Lower")))))</f>
        <v>N/A</v>
      </c>
      <c r="M10" s="193" t="str">
        <f>IFERROR(1*INDEX(BD_KPIs!$F$2:$F$1300,MATCH(YEAR(RPT_MONTH)*100+MONTH(RPT_MONTH)&amp;"|CPSE|YTD",BD_KPIs!$Q$2:$Q$1300,0)),"")</f>
        <v/>
      </c>
      <c r="N10" s="193" t="str">
        <f>IF(ISNUMBER(M10),FIXED(M10*100,0)&amp;"%","n/a")</f>
        <v>n/a</v>
      </c>
      <c r="P10" s="193">
        <f>_RPT_META!K10</f>
        <v>1</v>
      </c>
      <c r="Q10" s="193" t="str">
        <f>IF(ISNUMBER(P10),IF(ISNUMBER(P10),FIXED(P10*100,0)&amp;"%","n/a"),_RPT_META!M10)</f>
        <v>100%</v>
      </c>
      <c r="R10" s="193" t="str">
        <f>IF(NOT(ISNUMBER(H10)),"NO_DATA",IF(NOT(ISNUMBER(P10)),"MONITOR",IF(INDEX(_TARGETS!$E$2:$E$17,MATCH("CPSE",_TARGETS!$A$2:$A$17,0))="≤",IF(H10&lt;=P10,"ON_TARGET","OFF_TARGET"),IF(H10&gt;=P10,"ON_TARGET","OFF_TARGET"))))</f>
        <v>NO_DATA</v>
      </c>
      <c r="S10" s="193" t="str">
        <f>IF(NOT(ISNUMBER(M10)),"NO_DATA",IF(NOT(ISNUMBER(P10)),"MONITOR",IF(INDEX(_TARGETS!$E$2:$E$17,MATCH("CPSE",_TARGETS!$A$2:$A$17,0))="≤",IF(M10&lt;=P10,"ON_TARGET","OFF_TARGET"),IF(M10&gt;=P10,"ON_TARGET","OFF_TARGET"))))</f>
        <v>NO_DATA</v>
      </c>
      <c r="T10" s="193" t="str">
        <f>IFERROR(INDEX(BD_KPIs!$O$2:$O$1300,MATCH(YEAR(RPT_MONTH)*100+MONTH(RPT_MONTH)&amp;"|CPSE|Monthly",BD_KPIs!$Q$2:$Q$1300,0)),"MISSING")</f>
        <v>MISSING</v>
      </c>
      <c r="U10" s="193" t="str">
        <f>TRIM(IF(T10="INCOMPLETE","Incomplete inputs. ",IF(T10="MISSING","No data. ",""))&amp;_RPT_META!N10)</f>
        <v>No data.</v>
      </c>
      <c r="V10" s="193" t="str">
        <f>_RPT_META!I10</f>
        <v>% (fracción)</v>
      </c>
      <c r="W10" s="193" t="str">
        <f>_RPT_META!Q10</f>
        <v>No</v>
      </c>
      <c r="X10" t="s">
        <v>977</v>
      </c>
      <c r="Y10" s="193" t="str">
        <f t="shared" si="2"/>
        <v>Compressor Plant</v>
      </c>
      <c r="Z10" s="193" t="str">
        <f>IFERROR(IF(INDEX(_TARGETS!$E$2:$E$17,MATCH($B10,_TARGETS!$A$2:$A$17,0))="","",INDEX(_TARGETS!$E$2:$E$17,MATCH($B10,_TARGETS!$A$2:$A$17,0))),"")</f>
        <v>≥</v>
      </c>
      <c r="AA10" s="193" t="str">
        <f>IF(INDEX(_RPT_META!$O$2:$O$17,MATCH($B10,_RPT_META!$B$2:$B$17,0))="No","NOT_APPLICABLE",IFERROR(INDEX(BD_KPIs!$O$2:$O$1300,MATCH(YEAR(RPT_MONTH)*100+MONTH(RPT_MONTH)&amp;"|"&amp;$B10&amp;"|YTD",BD_KPIs!$Q$2:$Q$1300,0)),"MISSING"))</f>
        <v>MISSING</v>
      </c>
      <c r="AB10" s="193" t="str">
        <f ca="1">IF(LEFT(Control!$C$10,4)="ROJO","RED",IF(LEFT(Control!$C$10,8)="AMARILLO","AMBER","GREEN"))</f>
        <v>RED</v>
      </c>
    </row>
    <row r="11" spans="1:28" ht="13.5" customHeight="1" x14ac:dyDescent="0.3">
      <c r="A11">
        <v>10</v>
      </c>
      <c r="B11" t="s">
        <v>85</v>
      </c>
      <c r="C11" t="s">
        <v>993</v>
      </c>
      <c r="D11" s="193" t="str">
        <f>_RPT_META!D11</f>
        <v>Drill improvement actions closed</v>
      </c>
      <c r="E11" s="193" t="str">
        <f>_RPT_META!E11</f>
        <v>Cumplimiento de acciones de mejora de simulacros</v>
      </c>
      <c r="F11" s="193" t="str">
        <f>_RPT_META!F11</f>
        <v>Drill improvement actions implemented vs raised</v>
      </c>
      <c r="G11" s="258">
        <f t="shared" si="0"/>
        <v>46296</v>
      </c>
      <c r="H11" s="193" t="str">
        <f>IFERROR(1*INDEX(BD_KPIs!$F$2:$F$1300,MATCH(YEAR(RPT_MONTH)*100+MONTH(RPT_MONTH)&amp;"|CAMS|Monthly",BD_KPIs!$Q$2:$Q$1300,0)),"")</f>
        <v/>
      </c>
      <c r="I11" s="193" t="str">
        <f>IF(ISNUMBER(H11),FIXED(H11*100,0)&amp;"%","n/a")</f>
        <v>n/a</v>
      </c>
      <c r="J11" s="193">
        <f>IFERROR(1*INDEX(BD_KPIs!$F$2:$F$1300,MATCH(YEAR(EDATE(RPT_MONTH,-1))*100+MONTH(EDATE(RPT_MONTH,-1))&amp;"|CAMS|Monthly",BD_KPIs!$Q$2:$Q$1300,0)),"")</f>
        <v>1</v>
      </c>
      <c r="K11" s="193" t="str">
        <f t="shared" si="1"/>
        <v/>
      </c>
      <c r="L11" s="193" t="str">
        <f>IF(NOT(ISNUMBER(K11)),"N/A",IF(K11=0,"Stable",IF(INDEX(_TARGETS!$E$2:$E$17,MATCH("CAMS",_TARGETS!$A$2:$A$17,0))="≤",IF(K11&lt;0,"Improving","Worsening"),IF(INDEX(_TARGETS!$E$2:$E$17,MATCH("CAMS",_TARGETS!$A$2:$A$17,0))="≥",IF(K11&gt;0,"Improving","Worsening"),IF(K11&gt;0,"Higher","Lower")))))</f>
        <v>N/A</v>
      </c>
      <c r="M11" s="193" t="str">
        <f>IFERROR(1*INDEX(BD_KPIs!$F$2:$F$1300,MATCH(YEAR(RPT_MONTH)*100+MONTH(RPT_MONTH)&amp;"|CAMS|YTD",BD_KPIs!$Q$2:$Q$1300,0)),"")</f>
        <v/>
      </c>
      <c r="N11" s="193" t="str">
        <f>IF(ISNUMBER(M11),FIXED(M11*100,0)&amp;"%","n/a")</f>
        <v>n/a</v>
      </c>
      <c r="P11" s="193" t="str">
        <f>_RPT_META!K11</f>
        <v/>
      </c>
      <c r="Q11" s="193" t="str">
        <f>IF(ISNUMBER(P11),IF(ISNUMBER(P11),FIXED(P11*100,0)&amp;"%","n/a"),_RPT_META!M11)</f>
        <v>Reported only</v>
      </c>
      <c r="R11" s="193" t="str">
        <f>IF(NOT(ISNUMBER(H11)),"NO_DATA",IF(NOT(ISNUMBER(P11)),"MONITOR",IF(INDEX(_TARGETS!$E$2:$E$17,MATCH("CAMS",_TARGETS!$A$2:$A$17,0))="≤",IF(H11&lt;=P11,"ON_TARGET","OFF_TARGET"),IF(H11&gt;=P11,"ON_TARGET","OFF_TARGET"))))</f>
        <v>NO_DATA</v>
      </c>
      <c r="S11" s="193" t="str">
        <f>IF(NOT(ISNUMBER(M11)),"NO_DATA",IF(NOT(ISNUMBER(P11)),"MONITOR",IF(INDEX(_TARGETS!$E$2:$E$17,MATCH("CAMS",_TARGETS!$A$2:$A$17,0))="≤",IF(M11&lt;=P11,"ON_TARGET","OFF_TARGET"),IF(M11&gt;=P11,"ON_TARGET","OFF_TARGET"))))</f>
        <v>NO_DATA</v>
      </c>
      <c r="T11" s="193" t="str">
        <f>IFERROR(INDEX(BD_KPIs!$O$2:$O$1300,MATCH(YEAR(RPT_MONTH)*100+MONTH(RPT_MONTH)&amp;"|CAMS|Monthly",BD_KPIs!$Q$2:$Q$1300,0)),"MISSING")</f>
        <v>MISSING</v>
      </c>
      <c r="U11" s="193" t="str">
        <f>TRIM(IF(T11="INCOMPLETE","Incomplete inputs. ",IF(T11="MISSING","No data. ",""))&amp;_RPT_META!N11)</f>
        <v>No data.</v>
      </c>
      <c r="V11" s="193" t="str">
        <f>_RPT_META!I11</f>
        <v>% (fracción)</v>
      </c>
      <c r="W11" s="193" t="str">
        <f>_RPT_META!Q11</f>
        <v>No</v>
      </c>
      <c r="X11" t="s">
        <v>977</v>
      </c>
      <c r="Y11" s="193" t="str">
        <f t="shared" si="2"/>
        <v>Compressor Plant</v>
      </c>
      <c r="Z11" s="193" t="str">
        <f>IFERROR(IF(INDEX(_TARGETS!$E$2:$E$17,MATCH($B11,_TARGETS!$A$2:$A$17,0))="","",INDEX(_TARGETS!$E$2:$E$17,MATCH($B11,_TARGETS!$A$2:$A$17,0))),"")</f>
        <v/>
      </c>
      <c r="AA11" s="193" t="str">
        <f>IF(INDEX(_RPT_META!$O$2:$O$17,MATCH($B11,_RPT_META!$B$2:$B$17,0))="No","NOT_APPLICABLE",IFERROR(INDEX(BD_KPIs!$O$2:$O$1300,MATCH(YEAR(RPT_MONTH)*100+MONTH(RPT_MONTH)&amp;"|"&amp;$B11&amp;"|YTD",BD_KPIs!$Q$2:$Q$1300,0)),"MISSING"))</f>
        <v>MISSING</v>
      </c>
      <c r="AB11" s="193" t="str">
        <f ca="1">IF(LEFT(Control!$C$10,4)="ROJO","RED",IF(LEFT(Control!$C$10,8)="AMARILLO","AMBER","GREEN"))</f>
        <v>RED</v>
      </c>
    </row>
    <row r="12" spans="1:28" ht="13.5" customHeight="1" x14ac:dyDescent="0.3">
      <c r="A12">
        <v>11</v>
      </c>
      <c r="B12" t="s">
        <v>87</v>
      </c>
      <c r="C12" t="s">
        <v>993</v>
      </c>
      <c r="D12" s="193" t="str">
        <f>_RPT_META!D12</f>
        <v>Management walkthrough compliance</v>
      </c>
      <c r="E12" s="193" t="str">
        <f>_RPT_META!E12</f>
        <v>Cumplimiento de caminatas gerenciales</v>
      </c>
      <c r="F12" s="193" t="str">
        <f>_RPT_META!F12</f>
        <v>Management safety walkthroughs completed vs planned</v>
      </c>
      <c r="G12" s="258">
        <f t="shared" si="0"/>
        <v>46296</v>
      </c>
      <c r="H12" s="193" t="str">
        <f>IFERROR(1*INDEX(BD_KPIs!$F$2:$F$1300,MATCH(YEAR(RPT_MONTH)*100+MONTH(RPT_MONTH)&amp;"|ICCS|Monthly",BD_KPIs!$Q$2:$Q$1300,0)),"")</f>
        <v/>
      </c>
      <c r="I12" s="193" t="str">
        <f>IF(ISNUMBER(H12),FIXED(H12*100,0)&amp;"%","n/a")</f>
        <v>n/a</v>
      </c>
      <c r="J12" s="193">
        <f>IFERROR(1*INDEX(BD_KPIs!$F$2:$F$1300,MATCH(YEAR(EDATE(RPT_MONTH,-1))*100+MONTH(EDATE(RPT_MONTH,-1))&amp;"|ICCS|Monthly",BD_KPIs!$Q$2:$Q$1300,0)),"")</f>
        <v>1</v>
      </c>
      <c r="K12" s="193" t="str">
        <f t="shared" si="1"/>
        <v/>
      </c>
      <c r="L12" s="193" t="str">
        <f>IF(NOT(ISNUMBER(K12)),"N/A",IF(K12=0,"Stable",IF(INDEX(_TARGETS!$E$2:$E$17,MATCH("ICCS",_TARGETS!$A$2:$A$17,0))="≤",IF(K12&lt;0,"Improving","Worsening"),IF(INDEX(_TARGETS!$E$2:$E$17,MATCH("ICCS",_TARGETS!$A$2:$A$17,0))="≥",IF(K12&gt;0,"Improving","Worsening"),IF(K12&gt;0,"Higher","Lower")))))</f>
        <v>N/A</v>
      </c>
      <c r="M12" s="193" t="str">
        <f>IFERROR(1*INDEX(BD_KPIs!$F$2:$F$1300,MATCH(YEAR(RPT_MONTH)*100+MONTH(RPT_MONTH)&amp;"|ICCS|YTD",BD_KPIs!$Q$2:$Q$1300,0)),"")</f>
        <v/>
      </c>
      <c r="N12" s="193" t="str">
        <f>IF(ISNUMBER(M12),FIXED(M12*100,0)&amp;"%","n/a")</f>
        <v>n/a</v>
      </c>
      <c r="P12" s="193">
        <f>_RPT_META!K12</f>
        <v>1</v>
      </c>
      <c r="Q12" s="193" t="str">
        <f>IF(ISNUMBER(P12),IF(ISNUMBER(P12),FIXED(P12*100,0)&amp;"%","n/a"),_RPT_META!M12)</f>
        <v>100%</v>
      </c>
      <c r="R12" s="193" t="str">
        <f>IF(NOT(ISNUMBER(H12)),"NO_DATA",IF(NOT(ISNUMBER(P12)),"MONITOR",IF(INDEX(_TARGETS!$E$2:$E$17,MATCH("ICCS",_TARGETS!$A$2:$A$17,0))="≤",IF(H12&lt;=P12,"ON_TARGET","OFF_TARGET"),IF(H12&gt;=P12,"ON_TARGET","OFF_TARGET"))))</f>
        <v>NO_DATA</v>
      </c>
      <c r="S12" s="193" t="str">
        <f>IF(NOT(ISNUMBER(M12)),"NO_DATA",IF(NOT(ISNUMBER(P12)),"MONITOR",IF(INDEX(_TARGETS!$E$2:$E$17,MATCH("ICCS",_TARGETS!$A$2:$A$17,0))="≤",IF(M12&lt;=P12,"ON_TARGET","OFF_TARGET"),IF(M12&gt;=P12,"ON_TARGET","OFF_TARGET"))))</f>
        <v>NO_DATA</v>
      </c>
      <c r="T12" s="193" t="str">
        <f>IFERROR(INDEX(BD_KPIs!$O$2:$O$1300,MATCH(YEAR(RPT_MONTH)*100+MONTH(RPT_MONTH)&amp;"|ICCS|Monthly",BD_KPIs!$Q$2:$Q$1300,0)),"MISSING")</f>
        <v>MISSING</v>
      </c>
      <c r="U12" s="193" t="str">
        <f>TRIM(IF(T12="INCOMPLETE","Incomplete inputs. ",IF(T12="MISSING","No data. ",""))&amp;_RPT_META!N12)</f>
        <v>No data.</v>
      </c>
      <c r="V12" s="193" t="str">
        <f>_RPT_META!I12</f>
        <v>% (fracción)</v>
      </c>
      <c r="W12" s="193" t="str">
        <f>_RPT_META!Q12</f>
        <v>No</v>
      </c>
      <c r="X12" t="s">
        <v>977</v>
      </c>
      <c r="Y12" s="193" t="str">
        <f t="shared" si="2"/>
        <v>Compressor Plant</v>
      </c>
      <c r="Z12" s="193" t="str">
        <f>IFERROR(IF(INDEX(_TARGETS!$E$2:$E$17,MATCH($B12,_TARGETS!$A$2:$A$17,0))="","",INDEX(_TARGETS!$E$2:$E$17,MATCH($B12,_TARGETS!$A$2:$A$17,0))),"")</f>
        <v>≥</v>
      </c>
      <c r="AA12" s="193" t="str">
        <f>IF(INDEX(_RPT_META!$O$2:$O$17,MATCH($B12,_RPT_META!$B$2:$B$17,0))="No","NOT_APPLICABLE",IFERROR(INDEX(BD_KPIs!$O$2:$O$1300,MATCH(YEAR(RPT_MONTH)*100+MONTH(RPT_MONTH)&amp;"|"&amp;$B12&amp;"|YTD",BD_KPIs!$Q$2:$Q$1300,0)),"MISSING"))</f>
        <v>MISSING</v>
      </c>
      <c r="AB12" s="193" t="str">
        <f ca="1">IF(LEFT(Control!$C$10,4)="ROJO","RED",IF(LEFT(Control!$C$10,8)="AMARILLO","AMBER","GREEN"))</f>
        <v>RED</v>
      </c>
    </row>
    <row r="13" spans="1:28" ht="13.5" customHeight="1" x14ac:dyDescent="0.3">
      <c r="A13">
        <v>12</v>
      </c>
      <c r="B13" t="s">
        <v>89</v>
      </c>
      <c r="C13" t="s">
        <v>993</v>
      </c>
      <c r="D13" s="193" t="str">
        <f>_RPT_META!D13</f>
        <v>Safety committee compliance</v>
      </c>
      <c r="E13" s="193" t="str">
        <f>_RPT_META!E13</f>
        <v>Cumplimiento de comités de seguridad</v>
      </c>
      <c r="F13" s="193" t="str">
        <f>_RPT_META!F13</f>
        <v>Safety committees and sub-committees held vs planned</v>
      </c>
      <c r="G13" s="258">
        <f t="shared" si="0"/>
        <v>46296</v>
      </c>
      <c r="H13" s="193" t="str">
        <f>IFERROR(1*INDEX(BD_KPIs!$F$2:$F$1300,MATCH(YEAR(RPT_MONTH)*100+MONTH(RPT_MONTH)&amp;"|CCS|Monthly",BD_KPIs!$Q$2:$Q$1300,0)),"")</f>
        <v/>
      </c>
      <c r="I13" s="193" t="str">
        <f>IF(ISNUMBER(H13),FIXED(H13*100,0)&amp;"%","n/a")</f>
        <v>n/a</v>
      </c>
      <c r="J13" s="193">
        <f>IFERROR(1*INDEX(BD_KPIs!$F$2:$F$1300,MATCH(YEAR(EDATE(RPT_MONTH,-1))*100+MONTH(EDATE(RPT_MONTH,-1))&amp;"|CCS|Monthly",BD_KPIs!$Q$2:$Q$1300,0)),"")</f>
        <v>1</v>
      </c>
      <c r="K13" s="193" t="str">
        <f t="shared" si="1"/>
        <v/>
      </c>
      <c r="L13" s="193" t="str">
        <f>IF(NOT(ISNUMBER(K13)),"N/A",IF(K13=0,"Stable",IF(INDEX(_TARGETS!$E$2:$E$17,MATCH("CCS",_TARGETS!$A$2:$A$17,0))="≤",IF(K13&lt;0,"Improving","Worsening"),IF(INDEX(_TARGETS!$E$2:$E$17,MATCH("CCS",_TARGETS!$A$2:$A$17,0))="≥",IF(K13&gt;0,"Improving","Worsening"),IF(K13&gt;0,"Higher","Lower")))))</f>
        <v>N/A</v>
      </c>
      <c r="M13" s="193" t="str">
        <f>IFERROR(1*INDEX(BD_KPIs!$F$2:$F$1300,MATCH(YEAR(RPT_MONTH)*100+MONTH(RPT_MONTH)&amp;"|CCS|YTD",BD_KPIs!$Q$2:$Q$1300,0)),"")</f>
        <v/>
      </c>
      <c r="N13" s="193" t="str">
        <f>IF(ISNUMBER(M13),FIXED(M13*100,0)&amp;"%","n/a")</f>
        <v>n/a</v>
      </c>
      <c r="P13" s="193">
        <f>_RPT_META!K13</f>
        <v>1</v>
      </c>
      <c r="Q13" s="193" t="str">
        <f>IF(ISNUMBER(P13),IF(ISNUMBER(P13),FIXED(P13*100,0)&amp;"%","n/a"),_RPT_META!M13)</f>
        <v>100%</v>
      </c>
      <c r="R13" s="193" t="str">
        <f>IF(NOT(ISNUMBER(H13)),"NO_DATA",IF(NOT(ISNUMBER(P13)),"MONITOR",IF(INDEX(_TARGETS!$E$2:$E$17,MATCH("CCS",_TARGETS!$A$2:$A$17,0))="≤",IF(H13&lt;=P13,"ON_TARGET","OFF_TARGET"),IF(H13&gt;=P13,"ON_TARGET","OFF_TARGET"))))</f>
        <v>NO_DATA</v>
      </c>
      <c r="S13" s="193" t="str">
        <f>IF(NOT(ISNUMBER(M13)),"NO_DATA",IF(NOT(ISNUMBER(P13)),"MONITOR",IF(INDEX(_TARGETS!$E$2:$E$17,MATCH("CCS",_TARGETS!$A$2:$A$17,0))="≤",IF(M13&lt;=P13,"ON_TARGET","OFF_TARGET"),IF(M13&gt;=P13,"ON_TARGET","OFF_TARGET"))))</f>
        <v>NO_DATA</v>
      </c>
      <c r="T13" s="193" t="str">
        <f>IFERROR(INDEX(BD_KPIs!$O$2:$O$1300,MATCH(YEAR(RPT_MONTH)*100+MONTH(RPT_MONTH)&amp;"|CCS|Monthly",BD_KPIs!$Q$2:$Q$1300,0)),"MISSING")</f>
        <v>MISSING</v>
      </c>
      <c r="U13" s="193" t="str">
        <f>TRIM(IF(T13="INCOMPLETE","Incomplete inputs. ",IF(T13="MISSING","No data. ",""))&amp;_RPT_META!N13)</f>
        <v>No data.</v>
      </c>
      <c r="V13" s="193" t="str">
        <f>_RPT_META!I13</f>
        <v>% (fracción)</v>
      </c>
      <c r="W13" s="193" t="str">
        <f>_RPT_META!Q13</f>
        <v>No</v>
      </c>
      <c r="X13" t="s">
        <v>977</v>
      </c>
      <c r="Y13" s="193" t="str">
        <f t="shared" si="2"/>
        <v>Compressor Plant</v>
      </c>
      <c r="Z13" s="193" t="str">
        <f>IFERROR(IF(INDEX(_TARGETS!$E$2:$E$17,MATCH($B13,_TARGETS!$A$2:$A$17,0))="","",INDEX(_TARGETS!$E$2:$E$17,MATCH($B13,_TARGETS!$A$2:$A$17,0))),"")</f>
        <v>≥</v>
      </c>
      <c r="AA13" s="193" t="str">
        <f>IF(INDEX(_RPT_META!$O$2:$O$17,MATCH($B13,_RPT_META!$B$2:$B$17,0))="No","NOT_APPLICABLE",IFERROR(INDEX(BD_KPIs!$O$2:$O$1300,MATCH(YEAR(RPT_MONTH)*100+MONTH(RPT_MONTH)&amp;"|"&amp;$B13&amp;"|YTD",BD_KPIs!$Q$2:$Q$1300,0)),"MISSING"))</f>
        <v>MISSING</v>
      </c>
      <c r="AB13" s="193" t="str">
        <f ca="1">IF(LEFT(Control!$C$10,4)="ROJO","RED",IF(LEFT(Control!$C$10,8)="AMARILLO","AMBER","GREEN"))</f>
        <v>RED</v>
      </c>
    </row>
    <row r="14" spans="1:28" ht="13.5" customHeight="1" x14ac:dyDescent="0.3">
      <c r="A14">
        <v>13</v>
      </c>
      <c r="B14" t="s">
        <v>71</v>
      </c>
      <c r="C14" t="s">
        <v>972</v>
      </c>
      <c r="D14" s="193" t="str">
        <f>_RPT_META!D14</f>
        <v>Incident investigation closure time</v>
      </c>
      <c r="E14" s="193" t="str">
        <f>_RPT_META!E14</f>
        <v>Días promedio de cierre de investigaciones</v>
      </c>
      <c r="F14" s="193" t="str">
        <f>_RPT_META!F14</f>
        <v>Average days to close incident investigations</v>
      </c>
      <c r="G14" s="258">
        <f t="shared" si="0"/>
        <v>46296</v>
      </c>
      <c r="H14" s="193" t="str">
        <f>IFERROR(1*INDEX(BD_KPIs!$F$2:$F$1300,MATCH(YEAR(RPT_MONTH)*100+MONTH(RPT_MONTH)&amp;"|INV|Monthly",BD_KPIs!$Q$2:$Q$1300,0)),"")</f>
        <v/>
      </c>
      <c r="I14" s="193" t="str">
        <f>IF(ISNUMBER(H14),FIXED(H14,1),"n/a")</f>
        <v>n/a</v>
      </c>
      <c r="J14" s="193" t="str">
        <f>IFERROR(1*INDEX(BD_KPIs!$F$2:$F$1300,MATCH(YEAR(EDATE(RPT_MONTH,-1))*100+MONTH(EDATE(RPT_MONTH,-1))&amp;"|INV|Monthly",BD_KPIs!$Q$2:$Q$1300,0)),"")</f>
        <v/>
      </c>
      <c r="K14" s="193" t="str">
        <f t="shared" si="1"/>
        <v/>
      </c>
      <c r="L14" s="193" t="str">
        <f>IF(NOT(ISNUMBER(K14)),"N/A",IF(K14=0,"Stable",IF(INDEX(_TARGETS!$E$2:$E$17,MATCH("INV",_TARGETS!$A$2:$A$17,0))="≤",IF(K14&lt;0,"Improving","Worsening"),IF(INDEX(_TARGETS!$E$2:$E$17,MATCH("INV",_TARGETS!$A$2:$A$17,0))="≥",IF(K14&gt;0,"Improving","Worsening"),IF(K14&gt;0,"Higher","Lower")))))</f>
        <v>N/A</v>
      </c>
      <c r="M14" s="193" t="str">
        <f>IFERROR(1*INDEX(BD_KPIs!$F$2:$F$1300,MATCH(YEAR(RPT_MONTH)*100+MONTH(RPT_MONTH)&amp;"|INV|YTD",BD_KPIs!$Q$2:$Q$1300,0)),"")</f>
        <v/>
      </c>
      <c r="N14" s="193" t="str">
        <f>IF(ISNUMBER(M14),FIXED(M14,1),"n/a")</f>
        <v>n/a</v>
      </c>
      <c r="P14" s="193">
        <f>_RPT_META!K14</f>
        <v>20</v>
      </c>
      <c r="Q14" s="193" t="str">
        <f>IF(ISNUMBER(P14),IF(ISNUMBER(P14),FIXED(P14,1),"n/a"),_RPT_META!M14)</f>
        <v>20.0</v>
      </c>
      <c r="R14" s="193" t="str">
        <f>IF(NOT(ISNUMBER(H14)),"NO_DATA",IF(NOT(ISNUMBER(P14)),"MONITOR",IF(INDEX(_TARGETS!$E$2:$E$17,MATCH("INV",_TARGETS!$A$2:$A$17,0))="≤",IF(H14&lt;=P14,"ON_TARGET","OFF_TARGET"),IF(H14&gt;=P14,"ON_TARGET","OFF_TARGET"))))</f>
        <v>NO_DATA</v>
      </c>
      <c r="S14" s="193" t="str">
        <f>IF(NOT(ISNUMBER(M14)),"NO_DATA",IF(NOT(ISNUMBER(P14)),"MONITOR",IF(INDEX(_TARGETS!$E$2:$E$17,MATCH("INV",_TARGETS!$A$2:$A$17,0))="≤",IF(M14&lt;=P14,"ON_TARGET","OFF_TARGET"),IF(M14&gt;=P14,"ON_TARGET","OFF_TARGET"))))</f>
        <v>NO_DATA</v>
      </c>
      <c r="T14" s="193" t="str">
        <f>IFERROR(INDEX(BD_KPIs!$O$2:$O$1300,MATCH(YEAR(RPT_MONTH)*100+MONTH(RPT_MONTH)&amp;"|INV|Monthly",BD_KPIs!$Q$2:$Q$1300,0)),"MISSING")</f>
        <v>MISSING</v>
      </c>
      <c r="U14" s="193" t="str">
        <f>TRIM(IF(T14="INCOMPLETE","Incomplete inputs. ",IF(T14="MISSING","No data. ",""))&amp;_RPT_META!N14)</f>
        <v>No data.</v>
      </c>
      <c r="V14" s="193" t="str">
        <f>_RPT_META!I14</f>
        <v>días</v>
      </c>
      <c r="W14" s="193" t="str">
        <f>_RPT_META!Q14</f>
        <v>No</v>
      </c>
      <c r="X14" t="s">
        <v>977</v>
      </c>
      <c r="Y14" s="193" t="str">
        <f t="shared" si="2"/>
        <v>Compressor Plant</v>
      </c>
      <c r="Z14" s="193" t="str">
        <f>IFERROR(IF(INDEX(_TARGETS!$E$2:$E$17,MATCH($B14,_TARGETS!$A$2:$A$17,0))="","",INDEX(_TARGETS!$E$2:$E$17,MATCH($B14,_TARGETS!$A$2:$A$17,0))),"")</f>
        <v>≤</v>
      </c>
      <c r="AA14" s="193" t="str">
        <f>IF(INDEX(_RPT_META!$O$2:$O$17,MATCH($B14,_RPT_META!$B$2:$B$17,0))="No","NOT_APPLICABLE",IFERROR(INDEX(BD_KPIs!$O$2:$O$1300,MATCH(YEAR(RPT_MONTH)*100+MONTH(RPT_MONTH)&amp;"|"&amp;$B14&amp;"|YTD",BD_KPIs!$Q$2:$Q$1300,0)),"MISSING"))</f>
        <v>MISSING</v>
      </c>
      <c r="AB14" s="193" t="str">
        <f ca="1">IF(LEFT(Control!$C$10,4)="ROJO","RED",IF(LEFT(Control!$C$10,8)="AMARILLO","AMBER","GREEN"))</f>
        <v>RED</v>
      </c>
    </row>
    <row r="15" spans="1:28" ht="13.5" customHeight="1" x14ac:dyDescent="0.3">
      <c r="A15">
        <v>14</v>
      </c>
      <c r="B15" t="s">
        <v>91</v>
      </c>
      <c r="C15" t="s">
        <v>1022</v>
      </c>
      <c r="D15" s="193" t="str">
        <f>_RPT_META!D15</f>
        <v>Average days to close findings</v>
      </c>
      <c r="E15" s="193" t="str">
        <f>_RPT_META!E15</f>
        <v>Días promedio para cerrar hallazgos</v>
      </c>
      <c r="F15" s="193" t="str">
        <f>_RPT_META!F15</f>
        <v>Average days to close deviations</v>
      </c>
      <c r="G15" s="258">
        <f t="shared" si="0"/>
        <v>46296</v>
      </c>
      <c r="H15" s="193" t="str">
        <f>IFERROR(1*INDEX(BD_KPIs!$F$2:$F$1300,MATCH(YEAR(RPT_MONTH)*100+MONTH(RPT_MONTH)&amp;"|DPAS|Monthly",BD_KPIs!$Q$2:$Q$1300,0)),"")</f>
        <v/>
      </c>
      <c r="I15" s="193" t="str">
        <f>IF(ISNUMBER(H15),FIXED(H15,1),"n/a")</f>
        <v>n/a</v>
      </c>
      <c r="J15" s="193">
        <f>IFERROR(1*INDEX(BD_KPIs!$F$2:$F$1300,MATCH(YEAR(EDATE(RPT_MONTH,-1))*100+MONTH(EDATE(RPT_MONTH,-1))&amp;"|DPAS|Monthly",BD_KPIs!$Q$2:$Q$1300,0)),"")</f>
        <v>0.25</v>
      </c>
      <c r="K15" s="193" t="str">
        <f t="shared" si="1"/>
        <v/>
      </c>
      <c r="L15" s="193" t="str">
        <f>IF(NOT(ISNUMBER(K15)),"N/A",IF(K15=0,"Stable",IF(INDEX(_TARGETS!$E$2:$E$17,MATCH("DPAS",_TARGETS!$A$2:$A$17,0))="≤",IF(K15&lt;0,"Improving","Worsening"),IF(INDEX(_TARGETS!$E$2:$E$17,MATCH("DPAS",_TARGETS!$A$2:$A$17,0))="≥",IF(K15&gt;0,"Improving","Worsening"),IF(K15&gt;0,"Higher","Lower")))))</f>
        <v>N/A</v>
      </c>
      <c r="M15" s="193" t="str">
        <f>IFERROR(1*INDEX(BD_KPIs!$F$2:$F$1300,MATCH(YEAR(RPT_MONTH)*100+MONTH(RPT_MONTH)&amp;"|DPAS|YTD",BD_KPIs!$Q$2:$Q$1300,0)),"")</f>
        <v/>
      </c>
      <c r="N15" s="193" t="str">
        <f>IF(ISNUMBER(M15),FIXED(M15,1),"n/a")</f>
        <v>n/a</v>
      </c>
      <c r="P15" s="193" t="str">
        <f>_RPT_META!K15</f>
        <v/>
      </c>
      <c r="Q15" s="193" t="str">
        <f>IF(ISNUMBER(P15),IF(ISNUMBER(P15),FIXED(P15,1),"n/a"),_RPT_META!M15)</f>
        <v>Measured in 2026; target from 2027</v>
      </c>
      <c r="R15" s="193" t="str">
        <f>IF(NOT(ISNUMBER(H15)),"NO_DATA",IF(NOT(ISNUMBER(P15)),"MONITOR",IF(INDEX(_TARGETS!$E$2:$E$17,MATCH("DPAS",_TARGETS!$A$2:$A$17,0))="≤",IF(H15&lt;=P15,"ON_TARGET","OFF_TARGET"),IF(H15&gt;=P15,"ON_TARGET","OFF_TARGET"))))</f>
        <v>NO_DATA</v>
      </c>
      <c r="S15" s="193" t="str">
        <f>IF(NOT(ISNUMBER(M15)),"NO_DATA",IF(NOT(ISNUMBER(P15)),"MONITOR",IF(INDEX(_TARGETS!$E$2:$E$17,MATCH("DPAS",_TARGETS!$A$2:$A$17,0))="≤",IF(M15&lt;=P15,"ON_TARGET","OFF_TARGET"),IF(M15&gt;=P15,"ON_TARGET","OFF_TARGET"))))</f>
        <v>NO_DATA</v>
      </c>
      <c r="T15" s="193" t="str">
        <f>IFERROR(INDEX(BD_KPIs!$O$2:$O$1300,MATCH(YEAR(RPT_MONTH)*100+MONTH(RPT_MONTH)&amp;"|DPAS|Monthly",BD_KPIs!$Q$2:$Q$1300,0)),"MISSING")</f>
        <v>MISSING</v>
      </c>
      <c r="U15" s="193" t="str">
        <f>TRIM(IF(T15="INCOMPLETE","Incomplete inputs. ",IF(T15="MISSING","No data. ",""))&amp;_RPT_META!N15)</f>
        <v>No data.</v>
      </c>
      <c r="V15" s="193" t="str">
        <f>_RPT_META!I15</f>
        <v>días</v>
      </c>
      <c r="W15" s="193" t="str">
        <f>_RPT_META!Q15</f>
        <v>No</v>
      </c>
      <c r="X15" t="s">
        <v>1026</v>
      </c>
      <c r="Y15" s="193" t="str">
        <f t="shared" si="2"/>
        <v>Compressor Plant</v>
      </c>
      <c r="Z15" s="193" t="str">
        <f>IFERROR(IF(INDEX(_TARGETS!$E$2:$E$17,MATCH($B15,_TARGETS!$A$2:$A$17,0))="","",INDEX(_TARGETS!$E$2:$E$17,MATCH($B15,_TARGETS!$A$2:$A$17,0))),"")</f>
        <v>≤</v>
      </c>
      <c r="AA15" s="193" t="str">
        <f>IF(INDEX(_RPT_META!$O$2:$O$17,MATCH($B15,_RPT_META!$B$2:$B$17,0))="No","NOT_APPLICABLE",IFERROR(INDEX(BD_KPIs!$O$2:$O$1300,MATCH(YEAR(RPT_MONTH)*100+MONTH(RPT_MONTH)&amp;"|"&amp;$B15&amp;"|YTD",BD_KPIs!$Q$2:$Q$1300,0)),"MISSING"))</f>
        <v>MISSING</v>
      </c>
      <c r="AB15" s="193" t="str">
        <f ca="1">IF(LEFT(Control!$C$10,4)="ROJO","RED",IF(LEFT(Control!$C$10,8)="AMARILLO","AMBER","GREEN"))</f>
        <v>RED</v>
      </c>
    </row>
    <row r="16" spans="1:28" ht="13.5" customHeight="1" x14ac:dyDescent="0.3">
      <c r="A16">
        <v>15</v>
      </c>
      <c r="B16" t="s">
        <v>96</v>
      </c>
      <c r="C16" t="s">
        <v>1022</v>
      </c>
      <c r="D16" s="193" t="str">
        <f>_RPT_META!D16</f>
        <v>High-severity share of findings</v>
      </c>
      <c r="E16" s="193" t="str">
        <f>_RPT_META!E16</f>
        <v>% de desvíos de gravedad Alta</v>
      </c>
      <c r="F16" s="193" t="str">
        <f>_RPT_META!F16</f>
        <v>High-severity deviations as % of rated deviations</v>
      </c>
      <c r="G16" s="258">
        <f t="shared" si="0"/>
        <v>46296</v>
      </c>
      <c r="H16" s="193" t="str">
        <f>IFERROR(1*INDEX(BD_KPIs!$F$2:$F$1300,MATCH(YEAR(RPT_MONTH)*100+MONTH(RPT_MONTH)&amp;"|HAL_ALTA_PCT|Monthly",BD_KPIs!$Q$2:$Q$1300,0)),"")</f>
        <v/>
      </c>
      <c r="I16" s="193" t="str">
        <f>IF(ISNUMBER(H16),FIXED(H16*100,0)&amp;"%","n/a")</f>
        <v>n/a</v>
      </c>
      <c r="J16" s="193" t="str">
        <f>IFERROR(1*INDEX(BD_KPIs!$F$2:$F$1300,MATCH(YEAR(EDATE(RPT_MONTH,-1))*100+MONTH(EDATE(RPT_MONTH,-1))&amp;"|HAL_ALTA_PCT|Monthly",BD_KPIs!$Q$2:$Q$1300,0)),"")</f>
        <v/>
      </c>
      <c r="K16" s="193" t="str">
        <f t="shared" si="1"/>
        <v/>
      </c>
      <c r="L16" s="193" t="str">
        <f>IF(NOT(ISNUMBER(K16)),"N/A",IF(K16=0,"Stable",IF(INDEX(_TARGETS!$E$2:$E$17,MATCH("HAL_ALTA_PCT",_TARGETS!$A$2:$A$17,0))="≤",IF(K16&lt;0,"Improving","Worsening"),IF(INDEX(_TARGETS!$E$2:$E$17,MATCH("HAL_ALTA_PCT",_TARGETS!$A$2:$A$17,0))="≥",IF(K16&gt;0,"Improving","Worsening"),IF(K16&gt;0,"Higher","Lower")))))</f>
        <v>N/A</v>
      </c>
      <c r="M16" s="193" t="str">
        <f>IFERROR(1*INDEX(BD_KPIs!$F$2:$F$1300,MATCH(YEAR(RPT_MONTH)*100+MONTH(RPT_MONTH)&amp;"|HAL_ALTA_PCT|YTD",BD_KPIs!$Q$2:$Q$1300,0)),"")</f>
        <v/>
      </c>
      <c r="N16" s="193" t="str">
        <f>IF(ISNUMBER(M16),FIXED(M16*100,0)&amp;"%","n/a")</f>
        <v>n/a</v>
      </c>
      <c r="P16" s="193" t="str">
        <f>_RPT_META!K16</f>
        <v/>
      </c>
      <c r="Q16" s="193" t="str">
        <f>IF(ISNUMBER(P16),IF(ISNUMBER(P16),FIXED(P16*100,0)&amp;"%","n/a"),_RPT_META!M16)</f>
        <v>Reported only</v>
      </c>
      <c r="R16" s="193" t="str">
        <f>IF(NOT(ISNUMBER(H16)),"NO_DATA",IF(NOT(ISNUMBER(P16)),"MONITOR",IF(INDEX(_TARGETS!$E$2:$E$17,MATCH("HAL_ALTA_PCT",_TARGETS!$A$2:$A$17,0))="≤",IF(H16&lt;=P16,"ON_TARGET","OFF_TARGET"),IF(H16&gt;=P16,"ON_TARGET","OFF_TARGET"))))</f>
        <v>NO_DATA</v>
      </c>
      <c r="S16" s="193" t="str">
        <f>IF(NOT(ISNUMBER(M16)),"NO_DATA",IF(NOT(ISNUMBER(P16)),"MONITOR",IF(INDEX(_TARGETS!$E$2:$E$17,MATCH("HAL_ALTA_PCT",_TARGETS!$A$2:$A$17,0))="≤",IF(M16&lt;=P16,"ON_TARGET","OFF_TARGET"),IF(M16&gt;=P16,"ON_TARGET","OFF_TARGET"))))</f>
        <v>NO_DATA</v>
      </c>
      <c r="T16" s="193" t="str">
        <f>IFERROR(INDEX(BD_KPIs!$O$2:$O$1300,MATCH(YEAR(RPT_MONTH)*100+MONTH(RPT_MONTH)&amp;"|HAL_ALTA_PCT|Monthly",BD_KPIs!$Q$2:$Q$1300,0)),"MISSING")</f>
        <v>MISSING</v>
      </c>
      <c r="U16" s="193" t="str">
        <f>TRIM(IF(T16="INCOMPLETE","Incomplete inputs. ",IF(T16="MISSING","No data. ",""))&amp;_RPT_META!N16)</f>
        <v>No data.</v>
      </c>
      <c r="V16" s="193" t="str">
        <f>_RPT_META!I16</f>
        <v>% (fracción)</v>
      </c>
      <c r="W16" s="193" t="str">
        <f>_RPT_META!Q16</f>
        <v>No</v>
      </c>
      <c r="X16" t="s">
        <v>977</v>
      </c>
      <c r="Y16" s="193" t="str">
        <f t="shared" si="2"/>
        <v>Compressor Plant</v>
      </c>
      <c r="Z16" s="193" t="str">
        <f>IFERROR(IF(INDEX(_TARGETS!$E$2:$E$17,MATCH($B16,_TARGETS!$A$2:$A$17,0))="","",INDEX(_TARGETS!$E$2:$E$17,MATCH($B16,_TARGETS!$A$2:$A$17,0))),"")</f>
        <v/>
      </c>
      <c r="AA16" s="193" t="str">
        <f>IF(INDEX(_RPT_META!$O$2:$O$17,MATCH($B16,_RPT_META!$B$2:$B$17,0))="No","NOT_APPLICABLE",IFERROR(INDEX(BD_KPIs!$O$2:$O$1300,MATCH(YEAR(RPT_MONTH)*100+MONTH(RPT_MONTH)&amp;"|"&amp;$B16&amp;"|YTD",BD_KPIs!$Q$2:$Q$1300,0)),"MISSING"))</f>
        <v>MISSING</v>
      </c>
      <c r="AB16" s="193" t="str">
        <f ca="1">IF(LEFT(Control!$C$10,4)="ROJO","RED",IF(LEFT(Control!$C$10,8)="AMARILLO","AMBER","GREEN"))</f>
        <v>RED</v>
      </c>
    </row>
    <row r="17" spans="1:28" ht="13.5" customHeight="1" x14ac:dyDescent="0.3">
      <c r="A17">
        <v>16</v>
      </c>
      <c r="B17" t="s">
        <v>98</v>
      </c>
      <c r="C17" t="s">
        <v>1022</v>
      </c>
      <c r="D17" s="193" t="str">
        <f>_RPT_META!D17</f>
        <v>Stop-work actions</v>
      </c>
      <c r="E17" s="193" t="str">
        <f>_RPT_META!E17</f>
        <v>Detenciones de tareas aplicadas</v>
      </c>
      <c r="F17" s="193" t="str">
        <f>_RPT_META!F17</f>
        <v>Stop-work actions applied (Stop Work Policy)</v>
      </c>
      <c r="G17" s="258">
        <f t="shared" si="0"/>
        <v>46296</v>
      </c>
      <c r="H17" s="193" t="str">
        <f>IFERROR(1*INDEX(BD_KPIs!$F$2:$F$1300,MATCH(YEAR(RPT_MONTH)*100+MONTH(RPT_MONTH)&amp;"|DET|Monthly",BD_KPIs!$Q$2:$Q$1300,0)),"")</f>
        <v/>
      </c>
      <c r="I17" s="193" t="str">
        <f t="shared" ref="I17:I24" si="3">IF(ISNUMBER(H17),FIXED(H17,0),"n/a")</f>
        <v>n/a</v>
      </c>
      <c r="J17" s="193">
        <f>IFERROR(1*INDEX(BD_KPIs!$F$2:$F$1300,MATCH(YEAR(EDATE(RPT_MONTH,-1))*100+MONTH(EDATE(RPT_MONTH,-1))&amp;"|DET|Monthly",BD_KPIs!$Q$2:$Q$1300,0)),"")</f>
        <v>0</v>
      </c>
      <c r="K17" s="193" t="str">
        <f t="shared" si="1"/>
        <v/>
      </c>
      <c r="L17" s="193" t="str">
        <f>IF(NOT(ISNUMBER(K17)),"N/A",IF(K17=0,"Stable",IF(INDEX(_TARGETS!$E$2:$E$17,MATCH("DET",_TARGETS!$A$2:$A$17,0))="≤",IF(K17&lt;0,"Improving","Worsening"),IF(INDEX(_TARGETS!$E$2:$E$17,MATCH("DET",_TARGETS!$A$2:$A$17,0))="≥",IF(K17&gt;0,"Improving","Worsening"),IF(K17&gt;0,"Higher","Lower")))))</f>
        <v>N/A</v>
      </c>
      <c r="M17" s="193" t="str">
        <f>IFERROR(1*INDEX(BD_KPIs!$F$2:$F$1300,MATCH(YEAR(RPT_MONTH)*100+MONTH(RPT_MONTH)&amp;"|DET|YTD",BD_KPIs!$Q$2:$Q$1300,0)),"")</f>
        <v/>
      </c>
      <c r="N17" s="193" t="str">
        <f t="shared" ref="N17:N22" si="4">IF(ISNUMBER(M17),FIXED(M17,0),"n/a")</f>
        <v>n/a</v>
      </c>
      <c r="P17" s="193" t="str">
        <f>_RPT_META!K17</f>
        <v/>
      </c>
      <c r="Q17" s="193" t="str">
        <f>IF(ISNUMBER(P17),IF(ISNUMBER(P17),FIXED(P17,0),"n/a"),_RPT_META!M17)</f>
        <v>Reported only</v>
      </c>
      <c r="R17" s="193" t="str">
        <f>IF(NOT(ISNUMBER(H17)),"NO_DATA",IF(NOT(ISNUMBER(P17)),"MONITOR",IF(INDEX(_TARGETS!$E$2:$E$17,MATCH("DET",_TARGETS!$A$2:$A$17,0))="≤",IF(H17&lt;=P17,"ON_TARGET","OFF_TARGET"),IF(H17&gt;=P17,"ON_TARGET","OFF_TARGET"))))</f>
        <v>NO_DATA</v>
      </c>
      <c r="S17" s="193" t="str">
        <f>IF(NOT(ISNUMBER(M17)),"NO_DATA",IF(NOT(ISNUMBER(P17)),"MONITOR",IF(INDEX(_TARGETS!$E$2:$E$17,MATCH("DET",_TARGETS!$A$2:$A$17,0))="≤",IF(M17&lt;=P17,"ON_TARGET","OFF_TARGET"),IF(M17&gt;=P17,"ON_TARGET","OFF_TARGET"))))</f>
        <v>NO_DATA</v>
      </c>
      <c r="T17" s="193" t="str">
        <f>IFERROR(INDEX(BD_KPIs!$O$2:$O$1300,MATCH(YEAR(RPT_MONTH)*100+MONTH(RPT_MONTH)&amp;"|DET|Monthly",BD_KPIs!$Q$2:$Q$1300,0)),"MISSING")</f>
        <v>MISSING</v>
      </c>
      <c r="U17" s="193" t="str">
        <f>TRIM(IF(T17="INCOMPLETE","Incomplete inputs. ",IF(T17="MISSING","No data. ",""))&amp;_RPT_META!N17)</f>
        <v>No data.</v>
      </c>
      <c r="V17" s="193" t="str">
        <f>_RPT_META!I17</f>
        <v>u</v>
      </c>
      <c r="W17" s="193" t="str">
        <f>_RPT_META!Q17</f>
        <v>No</v>
      </c>
      <c r="X17" t="s">
        <v>977</v>
      </c>
      <c r="Y17" s="193" t="str">
        <f t="shared" si="2"/>
        <v>Compressor Plant</v>
      </c>
      <c r="Z17" s="193" t="str">
        <f>IFERROR(IF(INDEX(_TARGETS!$E$2:$E$17,MATCH($B17,_TARGETS!$A$2:$A$17,0))="","",INDEX(_TARGETS!$E$2:$E$17,MATCH($B17,_TARGETS!$A$2:$A$17,0))),"")</f>
        <v/>
      </c>
      <c r="AA17" s="193" t="str">
        <f>IF(INDEX(_RPT_META!$O$2:$O$17,MATCH($B17,_RPT_META!$B$2:$B$17,0))="No","NOT_APPLICABLE",IFERROR(INDEX(BD_KPIs!$O$2:$O$1300,MATCH(YEAR(RPT_MONTH)*100+MONTH(RPT_MONTH)&amp;"|"&amp;$B17&amp;"|YTD",BD_KPIs!$Q$2:$Q$1300,0)),"MISSING"))</f>
        <v>MISSING</v>
      </c>
      <c r="AB17" s="193" t="str">
        <f ca="1">IF(LEFT(Control!$C$10,4)="ROJO","RED",IF(LEFT(Control!$C$10,8)="AMARILLO","AMBER","GREEN"))</f>
        <v>RED</v>
      </c>
    </row>
    <row r="18" spans="1:28" ht="13.5" customHeight="1" x14ac:dyDescent="0.3">
      <c r="A18">
        <v>17</v>
      </c>
      <c r="B18" t="s">
        <v>1050</v>
      </c>
      <c r="C18" t="s">
        <v>972</v>
      </c>
      <c r="D18" t="s">
        <v>1051</v>
      </c>
      <c r="E18" t="s">
        <v>1052</v>
      </c>
      <c r="F18" t="s">
        <v>1053</v>
      </c>
      <c r="G18" s="258">
        <f t="shared" si="0"/>
        <v>46296</v>
      </c>
      <c r="H18" s="193" t="str">
        <f>IFERROR(IF(COUNT(INDEX(Datos!$D$36:$AL$36,0,MATCH(RPT_MONTH,Datos!$D$3:$AL$3,0)))=0,"",INDEX(Datos!$D$36:$AL$36,MATCH(RPT_MONTH,Datos!$D$3:$AL$3,0))),"")</f>
        <v/>
      </c>
      <c r="I18" s="193" t="str">
        <f t="shared" si="3"/>
        <v>n/a</v>
      </c>
      <c r="J18" s="193">
        <f>IFERROR(IF(COUNT(INDEX(Datos!$D$36:$AL$36,0,MATCH(EDATE(RPT_MONTH,-1),Datos!$D$3:$AL$3,0)))=0,"",INDEX(Datos!$D$36:$AL$36,MATCH(EDATE(RPT_MONTH,-1),Datos!$D$3:$AL$3,0))),"")</f>
        <v>0</v>
      </c>
      <c r="K18" s="193" t="str">
        <f t="shared" si="1"/>
        <v/>
      </c>
      <c r="L18" s="193" t="str">
        <f t="shared" ref="L18:L24" si="5">IF(NOT(ISNUMBER(K18)),"N/A",IF(K18=0,"Stable",IF(""="≤",IF(K18&lt;0,"Improving","Worsening"),IF(""="≥",IF(K18&gt;0,"Improving","Worsening"),IF(K18&gt;0,"Higher","Lower")))))</f>
        <v>N/A</v>
      </c>
      <c r="M18" s="193">
        <f>IF(SUMPRODUCT((YEAR(Datos!$D$3:$AL$3)=YEAR(RPT_MONTH))*(Datos!$D$3:$AL$3&lt;=RPT_MONTH)*ISNUMBER(Datos!$D$36:$AL$36)*((Datos!$D$36:$AL$36)&lt;&gt;""))=0,"",SUMPRODUCT((YEAR(Datos!$D$3:$AL$3)=YEAR(RPT_MONTH))*(Datos!$D$3:$AL$3&lt;=RPT_MONTH)*(Datos!$D$36:$AL$36)))</f>
        <v>0</v>
      </c>
      <c r="N18" s="193" t="str">
        <f t="shared" si="4"/>
        <v>0</v>
      </c>
      <c r="Q18" t="s">
        <v>1054</v>
      </c>
      <c r="R18" s="193" t="str">
        <f t="shared" ref="R18:R24" si="6">IF(ISNUMBER(H18),"CONTEXT","NO_DATA")</f>
        <v>NO_DATA</v>
      </c>
      <c r="S18" t="s">
        <v>1049</v>
      </c>
      <c r="T18" s="193" t="str">
        <f t="shared" ref="T18:T24" si="7">IF(ISNUMBER(H18),"OK","MISSING")</f>
        <v>MISSING</v>
      </c>
      <c r="U18" t="s">
        <v>1055</v>
      </c>
      <c r="V18" t="s">
        <v>100</v>
      </c>
      <c r="W18" t="s">
        <v>978</v>
      </c>
      <c r="Y18" s="193" t="str">
        <f t="shared" si="2"/>
        <v>Compressor Plant</v>
      </c>
      <c r="Z18" s="193" t="str">
        <f>IFERROR(IF(INDEX(_TARGETS!$E$2:$E$17,MATCH($B18,_TARGETS!$A$2:$A$17,0))="","",INDEX(_TARGETS!$E$2:$E$17,MATCH($B18,_TARGETS!$A$2:$A$17,0))),"")</f>
        <v/>
      </c>
      <c r="AA18" s="193" t="str">
        <f>IF(ISNUMBER(M18),"OK","MISSING")</f>
        <v>OK</v>
      </c>
      <c r="AB18" s="193" t="str">
        <f ca="1">IF(LEFT(Control!$C$10,4)="ROJO","RED",IF(LEFT(Control!$C$10,8)="AMARILLO","AMBER","GREEN"))</f>
        <v>RED</v>
      </c>
    </row>
    <row r="19" spans="1:28" ht="13.5" customHeight="1" x14ac:dyDescent="0.3">
      <c r="A19">
        <v>18</v>
      </c>
      <c r="B19" t="s">
        <v>1056</v>
      </c>
      <c r="C19" t="s">
        <v>1057</v>
      </c>
      <c r="D19" t="s">
        <v>1058</v>
      </c>
      <c r="E19" t="s">
        <v>1059</v>
      </c>
      <c r="F19" t="s">
        <v>1053</v>
      </c>
      <c r="G19" s="258">
        <f t="shared" si="0"/>
        <v>46296</v>
      </c>
      <c r="H19" s="193" t="str">
        <f>IFERROR(IF(COUNT(INDEX(Datos!$D$12:$AL$13,0,MATCH(RPT_MONTH,Datos!$D$3:$AL$3,0)))=0,"",INDEX(Datos!$D$14:$AL$14,MATCH(RPT_MONTH,Datos!$D$3:$AL$3,0))),"")</f>
        <v/>
      </c>
      <c r="I19" s="193" t="str">
        <f t="shared" si="3"/>
        <v>n/a</v>
      </c>
      <c r="J19" s="193">
        <f>IFERROR(IF(COUNT(INDEX(Datos!$D$12:$AL$13,0,MATCH(EDATE(RPT_MONTH,-1),Datos!$D$3:$AL$3,0)))=0,"",INDEX(Datos!$D$14:$AL$14,MATCH(EDATE(RPT_MONTH,-1),Datos!$D$3:$AL$3,0))),"")</f>
        <v>25344</v>
      </c>
      <c r="K19" s="193" t="str">
        <f t="shared" si="1"/>
        <v/>
      </c>
      <c r="L19" s="193" t="str">
        <f t="shared" si="5"/>
        <v>N/A</v>
      </c>
      <c r="M19" s="193">
        <f>IF(SUMPRODUCT((YEAR(Datos!$D$3:$AL$3)=YEAR(RPT_MONTH))*(Datos!$D$3:$AL$3&lt;=RPT_MONTH)*ISNUMBER(Datos!$D$14:$AL$14)*((Datos!$D$12:$AL$12)&lt;&gt;""))=0,"",SUMPRODUCT((YEAR(Datos!$D$3:$AL$3)=YEAR(RPT_MONTH))*(Datos!$D$3:$AL$3&lt;=RPT_MONTH)*(Datos!$D$14:$AL$14)))</f>
        <v>48332</v>
      </c>
      <c r="N19" s="193" t="str">
        <f t="shared" si="4"/>
        <v>48,332</v>
      </c>
      <c r="Q19" t="s">
        <v>1054</v>
      </c>
      <c r="R19" s="193" t="str">
        <f t="shared" si="6"/>
        <v>NO_DATA</v>
      </c>
      <c r="S19" t="s">
        <v>1049</v>
      </c>
      <c r="T19" s="193" t="str">
        <f t="shared" si="7"/>
        <v>MISSING</v>
      </c>
      <c r="V19" t="s">
        <v>157</v>
      </c>
      <c r="W19" t="s">
        <v>978</v>
      </c>
      <c r="Y19" s="193" t="str">
        <f t="shared" si="2"/>
        <v>Compressor Plant</v>
      </c>
      <c r="Z19" s="193" t="str">
        <f>IFERROR(IF(INDEX(_TARGETS!$E$2:$E$17,MATCH($B19,_TARGETS!$A$2:$A$17,0))="","",INDEX(_TARGETS!$E$2:$E$17,MATCH($B19,_TARGETS!$A$2:$A$17,0))),"")</f>
        <v/>
      </c>
      <c r="AA19" s="193" t="str">
        <f>IF(ISNUMBER(M19),"OK","MISSING")</f>
        <v>OK</v>
      </c>
      <c r="AB19" s="193" t="str">
        <f ca="1">IF(LEFT(Control!$C$10,4)="ROJO","RED",IF(LEFT(Control!$C$10,8)="AMARILLO","AMBER","GREEN"))</f>
        <v>RED</v>
      </c>
    </row>
    <row r="20" spans="1:28" ht="13.5" customHeight="1" x14ac:dyDescent="0.3">
      <c r="A20">
        <v>19</v>
      </c>
      <c r="B20" t="s">
        <v>1060</v>
      </c>
      <c r="C20" t="s">
        <v>1057</v>
      </c>
      <c r="D20" t="s">
        <v>1061</v>
      </c>
      <c r="E20" t="s">
        <v>1062</v>
      </c>
      <c r="F20" t="s">
        <v>1053</v>
      </c>
      <c r="G20" s="258">
        <f t="shared" si="0"/>
        <v>46296</v>
      </c>
      <c r="H20" s="193" t="str">
        <f>IFERROR(IF(COUNT(INDEX(Datos!$D$44:$AL$46,0,MATCH(RPT_MONTH,Datos!$D$3:$AL$3,0)))=0,"",INDEX(Datos!$D$47:$AL$47,MATCH(RPT_MONTH,Datos!$D$3:$AL$3,0))),"")</f>
        <v/>
      </c>
      <c r="I20" s="193" t="str">
        <f t="shared" si="3"/>
        <v>n/a</v>
      </c>
      <c r="J20" s="193">
        <f>IFERROR(IF(COUNT(INDEX(Datos!$D$44:$AL$46,0,MATCH(EDATE(RPT_MONTH,-1),Datos!$D$3:$AL$3,0)))=0,"",INDEX(Datos!$D$47:$AL$47,MATCH(EDATE(RPT_MONTH,-1),Datos!$D$3:$AL$3,0))),"")</f>
        <v>116767</v>
      </c>
      <c r="K20" s="193" t="str">
        <f t="shared" si="1"/>
        <v/>
      </c>
      <c r="L20" s="193" t="str">
        <f t="shared" si="5"/>
        <v>N/A</v>
      </c>
      <c r="M20" s="193">
        <f>IF(SUMPRODUCT((YEAR(Datos!$D$3:$AL$3)=YEAR(RPT_MONTH))*(Datos!$D$3:$AL$3&lt;=RPT_MONTH)*ISNUMBER(Datos!$D$47:$AL$47)*((Datos!$D$44:$AL$44)&lt;&gt;""))=0,"",SUMPRODUCT((YEAR(Datos!$D$3:$AL$3)=YEAR(RPT_MONTH))*(Datos!$D$3:$AL$3&lt;=RPT_MONTH)*(Datos!$D$47:$AL$47)))</f>
        <v>172824</v>
      </c>
      <c r="N20" s="193" t="str">
        <f t="shared" si="4"/>
        <v>172,824</v>
      </c>
      <c r="Q20" t="s">
        <v>1054</v>
      </c>
      <c r="R20" s="193" t="str">
        <f t="shared" si="6"/>
        <v>NO_DATA</v>
      </c>
      <c r="S20" t="s">
        <v>1049</v>
      </c>
      <c r="T20" s="193" t="str">
        <f t="shared" si="7"/>
        <v>MISSING</v>
      </c>
      <c r="V20" t="s">
        <v>163</v>
      </c>
      <c r="W20" t="s">
        <v>230</v>
      </c>
      <c r="Y20" s="193" t="str">
        <f t="shared" si="2"/>
        <v>Compressor Plant</v>
      </c>
      <c r="Z20" s="193" t="str">
        <f>IFERROR(IF(INDEX(_TARGETS!$E$2:$E$17,MATCH($B20,_TARGETS!$A$2:$A$17,0))="","",INDEX(_TARGETS!$E$2:$E$17,MATCH($B20,_TARGETS!$A$2:$A$17,0))),"")</f>
        <v/>
      </c>
      <c r="AA20" s="193" t="str">
        <f>IF(ISNUMBER(M20),"OK","MISSING")</f>
        <v>OK</v>
      </c>
      <c r="AB20" s="193" t="str">
        <f ca="1">IF(LEFT(Control!$C$10,4)="ROJO","RED",IF(LEFT(Control!$C$10,8)="AMARILLO","AMBER","GREEN"))</f>
        <v>RED</v>
      </c>
    </row>
    <row r="21" spans="1:28" ht="13.5" customHeight="1" x14ac:dyDescent="0.3">
      <c r="A21">
        <v>20</v>
      </c>
      <c r="B21" t="s">
        <v>1063</v>
      </c>
      <c r="C21" t="s">
        <v>1022</v>
      </c>
      <c r="D21" t="s">
        <v>1064</v>
      </c>
      <c r="E21" t="s">
        <v>1065</v>
      </c>
      <c r="F21" t="s">
        <v>1053</v>
      </c>
      <c r="G21" s="258">
        <f t="shared" si="0"/>
        <v>46296</v>
      </c>
      <c r="H21" s="248">
        <f>IFERROR(IF(OR(COUNT('Observaciones-SMP'!$B$2:$B$1001)=0,RPT_MONTH&lt;DATE(YEAR(MIN('Observaciones-SMP'!$B$2:$B$1001)),MONTH(MIN('Observaciones-SMP'!$B$2:$B$1001)),1),RPT_MONTH&gt;RPT_MONTH),"",INDEX(Datos!$D$70:$AL$70,MATCH(RPT_MONTH,Datos!$D$3:$AL$3,0))),"")</f>
        <v>0</v>
      </c>
      <c r="I21" s="193" t="str">
        <f t="shared" si="3"/>
        <v>n/a</v>
      </c>
      <c r="J21" s="248">
        <f>IFERROR(IF(OR(EDATE(RPT_MONTH,-1)&lt;DATE(YEAR(MIN('Observaciones-SMP'!$B$2:$B$1001)),MONTH(MIN('Observaciones-SMP'!$B$2:$B$1001)),1),EDATE(RPT_MONTH,-1)&gt;RPT_MONTH),"",INDEX(Datos!$D$70:$AL$70,MATCH(EDATE(RPT_MONTH,-1),Datos!$D$3:$AL$3,0))),"")</f>
        <v>29</v>
      </c>
      <c r="K21" s="193" t="str">
        <f t="shared" si="1"/>
        <v/>
      </c>
      <c r="L21" s="193" t="str">
        <f t="shared" si="5"/>
        <v>N/A</v>
      </c>
      <c r="M21" s="193">
        <f>IF(COUNT('Observaciones-SMP'!$B$2:$B$1001)=0,"",SUMPRODUCT((YEAR(Datos!$D$3:$AL$3)=YEAR(RPT_MONTH))*(Datos!$D$3:$AL$3&lt;=RPT_MONTH)*(Datos!$D$70:$AL$70)))</f>
        <v>61</v>
      </c>
      <c r="N21" s="193" t="str">
        <f t="shared" si="4"/>
        <v>61</v>
      </c>
      <c r="Q21" t="s">
        <v>1054</v>
      </c>
      <c r="R21" s="193" t="str">
        <f t="shared" si="6"/>
        <v>NO_DATA</v>
      </c>
      <c r="S21" t="s">
        <v>1049</v>
      </c>
      <c r="T21" s="193" t="str">
        <f t="shared" si="7"/>
        <v>MISSING</v>
      </c>
      <c r="V21" t="s">
        <v>100</v>
      </c>
      <c r="W21" t="s">
        <v>230</v>
      </c>
      <c r="Y21" s="193" t="str">
        <f t="shared" si="2"/>
        <v>Compressor Plant</v>
      </c>
      <c r="Z21" s="193" t="str">
        <f>IFERROR(IF(INDEX(_TARGETS!$E$2:$E$17,MATCH($B21,_TARGETS!$A$2:$A$17,0))="","",INDEX(_TARGETS!$E$2:$E$17,MATCH($B21,_TARGETS!$A$2:$A$17,0))),"")</f>
        <v/>
      </c>
      <c r="AA21" s="193" t="str">
        <f>IF(ISNUMBER(M21),"OK","MISSING")</f>
        <v>OK</v>
      </c>
      <c r="AB21" s="193" t="str">
        <f ca="1">IF(LEFT(Control!$C$10,4)="ROJO","RED",IF(LEFT(Control!$C$10,8)="AMARILLO","AMBER","GREEN"))</f>
        <v>RED</v>
      </c>
    </row>
    <row r="22" spans="1:28" ht="13.5" customHeight="1" x14ac:dyDescent="0.3">
      <c r="A22">
        <v>21</v>
      </c>
      <c r="B22" t="s">
        <v>1066</v>
      </c>
      <c r="C22" t="s">
        <v>1022</v>
      </c>
      <c r="D22" t="s">
        <v>1067</v>
      </c>
      <c r="E22" t="s">
        <v>1068</v>
      </c>
      <c r="F22" t="s">
        <v>1053</v>
      </c>
      <c r="G22" s="258">
        <f t="shared" si="0"/>
        <v>46296</v>
      </c>
      <c r="H22" s="248">
        <f>IFERROR(IF(OR(COUNT('Observaciones-SMP'!$B$2:$B$1001)=0,RPT_MONTH&lt;DATE(YEAR(MIN('Observaciones-SMP'!$B$2:$B$1001)),MONTH(MIN('Observaciones-SMP'!$B$2:$B$1001)),1),RPT_MONTH&gt;RPT_MONTH),"",INDEX(Datos!$D$67:$AL$67,MATCH(RPT_MONTH,Datos!$D$3:$AL$3,0))),"")</f>
        <v>0</v>
      </c>
      <c r="I22" s="193" t="str">
        <f t="shared" si="3"/>
        <v>n/a</v>
      </c>
      <c r="J22" s="248">
        <f>IFERROR(IF(OR(EDATE(RPT_MONTH,-1)&lt;DATE(YEAR(MIN('Observaciones-SMP'!$B$2:$B$1001)),MONTH(MIN('Observaciones-SMP'!$B$2:$B$1001)),1),EDATE(RPT_MONTH,-1)&gt;RPT_MONTH),"",INDEX(Datos!$D$67:$AL$67,MATCH(EDATE(RPT_MONTH,-1),Datos!$D$3:$AL$3,0))),"")</f>
        <v>8</v>
      </c>
      <c r="K22" s="193" t="str">
        <f t="shared" si="1"/>
        <v/>
      </c>
      <c r="L22" s="193" t="str">
        <f t="shared" si="5"/>
        <v>N/A</v>
      </c>
      <c r="M22" s="193">
        <f>IF(COUNT('Observaciones-SMP'!$B$2:$B$1001)=0,"",SUMPRODUCT((YEAR(Datos!$D$3:$AL$3)=YEAR(RPT_MONTH))*(Datos!$D$3:$AL$3&lt;=RPT_MONTH)*(Datos!$D$67:$AL$67)))</f>
        <v>34</v>
      </c>
      <c r="N22" s="193" t="str">
        <f t="shared" si="4"/>
        <v>34</v>
      </c>
      <c r="Q22" t="s">
        <v>1054</v>
      </c>
      <c r="R22" s="193" t="str">
        <f t="shared" si="6"/>
        <v>NO_DATA</v>
      </c>
      <c r="S22" t="s">
        <v>1049</v>
      </c>
      <c r="T22" s="193" t="str">
        <f t="shared" si="7"/>
        <v>MISSING</v>
      </c>
      <c r="V22" t="s">
        <v>100</v>
      </c>
      <c r="W22" t="s">
        <v>230</v>
      </c>
      <c r="Y22" s="193" t="str">
        <f t="shared" si="2"/>
        <v>Compressor Plant</v>
      </c>
      <c r="Z22" s="193" t="str">
        <f>IFERROR(IF(INDEX(_TARGETS!$E$2:$E$17,MATCH($B22,_TARGETS!$A$2:$A$17,0))="","",INDEX(_TARGETS!$E$2:$E$17,MATCH($B22,_TARGETS!$A$2:$A$17,0))),"")</f>
        <v/>
      </c>
      <c r="AA22" s="193" t="str">
        <f>IF(ISNUMBER(M22),"OK","MISSING")</f>
        <v>OK</v>
      </c>
      <c r="AB22" s="193" t="str">
        <f ca="1">IF(LEFT(Control!$C$10,4)="ROJO","RED",IF(LEFT(Control!$C$10,8)="AMARILLO","AMBER","GREEN"))</f>
        <v>RED</v>
      </c>
    </row>
    <row r="23" spans="1:28" ht="13.5" customHeight="1" x14ac:dyDescent="0.3">
      <c r="A23">
        <v>22</v>
      </c>
      <c r="B23" t="s">
        <v>1069</v>
      </c>
      <c r="C23" t="s">
        <v>1022</v>
      </c>
      <c r="D23" t="s">
        <v>1070</v>
      </c>
      <c r="E23" t="s">
        <v>1071</v>
      </c>
      <c r="F23" t="s">
        <v>1053</v>
      </c>
      <c r="G23" s="258">
        <f t="shared" si="0"/>
        <v>46296</v>
      </c>
      <c r="H23" s="248">
        <f>IFERROR(IF(OR(COUNT('Observaciones-SMP'!$B$2:$B$1001)=0,RPT_MONTH&lt;DATE(YEAR(MIN('Observaciones-SMP'!$B$2:$B$1001)),MONTH(MIN('Observaciones-SMP'!$B$2:$B$1001)),1),RPT_MONTH&gt;RPT_MONTH),"",INDEX(Datos!$D$69:$AL$69,MATCH(RPT_MONTH,Datos!$D$3:$AL$3,0))),"")</f>
        <v>0</v>
      </c>
      <c r="I23" s="193" t="str">
        <f t="shared" si="3"/>
        <v>n/a</v>
      </c>
      <c r="J23" s="248">
        <f>IFERROR(IF(OR(EDATE(RPT_MONTH,-1)&lt;DATE(YEAR(MIN('Observaciones-SMP'!$B$2:$B$1001)),MONTH(MIN('Observaciones-SMP'!$B$2:$B$1001)),1),EDATE(RPT_MONTH,-1)&gt;RPT_MONTH),"",INDEX(Datos!$D$69:$AL$69,MATCH(EDATE(RPT_MONTH,-1),Datos!$D$3:$AL$3,0))),"")</f>
        <v>21</v>
      </c>
      <c r="K23" s="193" t="str">
        <f t="shared" si="1"/>
        <v/>
      </c>
      <c r="L23" s="193" t="str">
        <f t="shared" si="5"/>
        <v>N/A</v>
      </c>
      <c r="N23" t="s">
        <v>1072</v>
      </c>
      <c r="Q23" t="s">
        <v>1054</v>
      </c>
      <c r="R23" s="193" t="str">
        <f t="shared" si="6"/>
        <v>NO_DATA</v>
      </c>
      <c r="S23" t="s">
        <v>1049</v>
      </c>
      <c r="T23" s="193" t="str">
        <f t="shared" si="7"/>
        <v>MISSING</v>
      </c>
      <c r="V23" t="s">
        <v>100</v>
      </c>
      <c r="W23" t="s">
        <v>230</v>
      </c>
      <c r="Y23" s="193" t="str">
        <f t="shared" si="2"/>
        <v>Compressor Plant</v>
      </c>
      <c r="Z23" s="193" t="str">
        <f>IFERROR(IF(INDEX(_TARGETS!$E$2:$E$17,MATCH($B23,_TARGETS!$A$2:$A$17,0))="","",INDEX(_TARGETS!$E$2:$E$17,MATCH($B23,_TARGETS!$A$2:$A$17,0))),"")</f>
        <v/>
      </c>
      <c r="AA23" s="193" t="str">
        <f>IF(ISNUMBER(M23),"OK","NOT_APPLICABLE")</f>
        <v>NOT_APPLICABLE</v>
      </c>
      <c r="AB23" s="193" t="str">
        <f ca="1">IF(LEFT(Control!$C$10,4)="ROJO","RED",IF(LEFT(Control!$C$10,8)="AMARILLO","AMBER","GREEN"))</f>
        <v>RED</v>
      </c>
    </row>
    <row r="24" spans="1:28" ht="13.5" customHeight="1" x14ac:dyDescent="0.3">
      <c r="A24">
        <v>23</v>
      </c>
      <c r="B24" t="s">
        <v>1073</v>
      </c>
      <c r="C24" t="s">
        <v>1022</v>
      </c>
      <c r="D24" t="s">
        <v>1074</v>
      </c>
      <c r="E24" t="s">
        <v>1075</v>
      </c>
      <c r="F24" t="s">
        <v>1053</v>
      </c>
      <c r="G24" s="258">
        <f t="shared" si="0"/>
        <v>46296</v>
      </c>
      <c r="H24" s="248">
        <f>IFERROR(IF(OR(COUNT('Observaciones-SMP'!$B$2:$B$1001)=0,RPT_MONTH&lt;DATE(YEAR(MIN('Observaciones-SMP'!$B$2:$B$1001)),MONTH(MIN('Observaciones-SMP'!$B$2:$B$1001)),1),RPT_MONTH&gt;RPT_MONTH),"",INDEX(Datos!$D$76:$AL$76,MATCH(RPT_MONTH,Datos!$D$3:$AL$3,0))),"")</f>
        <v>0</v>
      </c>
      <c r="I24" s="193" t="str">
        <f t="shared" si="3"/>
        <v>n/a</v>
      </c>
      <c r="J24" s="248">
        <f>IFERROR(IF(OR(EDATE(RPT_MONTH,-1)&lt;DATE(YEAR(MIN('Observaciones-SMP'!$B$2:$B$1001)),MONTH(MIN('Observaciones-SMP'!$B$2:$B$1001)),1),EDATE(RPT_MONTH,-1)&gt;RPT_MONTH),"",INDEX(Datos!$D$76:$AL$76,MATCH(EDATE(RPT_MONTH,-1),Datos!$D$3:$AL$3,0))),"")</f>
        <v>0</v>
      </c>
      <c r="K24" s="193" t="str">
        <f t="shared" si="1"/>
        <v/>
      </c>
      <c r="L24" s="193" t="str">
        <f t="shared" si="5"/>
        <v>N/A</v>
      </c>
      <c r="N24" t="s">
        <v>1072</v>
      </c>
      <c r="Q24" t="s">
        <v>1054</v>
      </c>
      <c r="R24" s="193" t="str">
        <f t="shared" si="6"/>
        <v>NO_DATA</v>
      </c>
      <c r="S24" t="s">
        <v>1049</v>
      </c>
      <c r="T24" s="193" t="str">
        <f t="shared" si="7"/>
        <v>MISSING</v>
      </c>
      <c r="V24" t="s">
        <v>100</v>
      </c>
      <c r="W24" t="s">
        <v>978</v>
      </c>
      <c r="Y24" s="193" t="str">
        <f t="shared" si="2"/>
        <v>Compressor Plant</v>
      </c>
      <c r="Z24" s="193" t="str">
        <f>IFERROR(IF(INDEX(_TARGETS!$E$2:$E$17,MATCH($B24,_TARGETS!$A$2:$A$17,0))="","",INDEX(_TARGETS!$E$2:$E$17,MATCH($B24,_TARGETS!$A$2:$A$17,0))),"")</f>
        <v/>
      </c>
      <c r="AA24" s="193" t="str">
        <f>IF(ISNUMBER(M24),"OK","NOT_APPLICABLE")</f>
        <v>NOT_APPLICABLE</v>
      </c>
      <c r="AB24" s="193" t="str">
        <f ca="1">IF(LEFT(Control!$C$10,4)="ROJO","RED",IF(LEFT(Control!$C$10,8)="AMARILLO","AMBER","GREEN"))</f>
        <v>RED</v>
      </c>
    </row>
    <row r="25" spans="1:28" ht="13.5" customHeight="1" x14ac:dyDescent="0.3">
      <c r="G25" s="96"/>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2C3-9369-40F4-B8B1-73111FC7ACB5}">
  <dimension ref="A1:R390"/>
  <sheetViews>
    <sheetView workbookViewId="0"/>
  </sheetViews>
  <sheetFormatPr baseColWidth="10" defaultColWidth="11.5546875" defaultRowHeight="14.4" x14ac:dyDescent="0.3"/>
  <cols>
    <col min="1" max="1" width="10.5546875" style="108" customWidth="1"/>
    <col min="2" max="2" width="12.88671875" style="108" customWidth="1"/>
    <col min="3" max="3" width="42.21875" style="108" customWidth="1"/>
    <col min="4" max="5" width="9.33203125" style="108" customWidth="1"/>
    <col min="6" max="6" width="12.88671875" style="108" customWidth="1"/>
    <col min="7" max="7" width="16.44140625" style="108" customWidth="1"/>
    <col min="8" max="8" width="12.88671875" style="108" customWidth="1"/>
    <col min="9" max="9" width="11.77734375" style="108" customWidth="1"/>
    <col min="10" max="11" width="18.77734375" style="108" customWidth="1"/>
    <col min="12" max="12" width="21.109375" style="108" customWidth="1"/>
    <col min="13" max="18" width="16" style="108" customWidth="1"/>
  </cols>
  <sheetData>
    <row r="1" spans="1:18" ht="13.5" customHeight="1" x14ac:dyDescent="0.3">
      <c r="A1" s="7" t="s">
        <v>899</v>
      </c>
      <c r="B1" s="7" t="s">
        <v>1076</v>
      </c>
      <c r="C1" s="7" t="s">
        <v>1077</v>
      </c>
      <c r="D1" s="7" t="s">
        <v>1078</v>
      </c>
      <c r="E1" s="7" t="s">
        <v>1079</v>
      </c>
      <c r="F1" s="7" t="s">
        <v>1080</v>
      </c>
      <c r="G1" s="7" t="s">
        <v>1081</v>
      </c>
      <c r="H1" s="7" t="s">
        <v>1082</v>
      </c>
      <c r="I1" s="7" t="s">
        <v>1083</v>
      </c>
      <c r="J1" s="7" t="s">
        <v>1043</v>
      </c>
      <c r="K1" s="7" t="s">
        <v>1084</v>
      </c>
      <c r="L1" s="7" t="s">
        <v>593</v>
      </c>
      <c r="M1" s="7" t="s">
        <v>1085</v>
      </c>
      <c r="N1" s="7" t="s">
        <v>1086</v>
      </c>
      <c r="O1" s="7" t="s">
        <v>971</v>
      </c>
      <c r="P1" s="7" t="s">
        <v>1047</v>
      </c>
      <c r="Q1" s="7" t="s">
        <v>1087</v>
      </c>
      <c r="R1" s="7" t="s">
        <v>1088</v>
      </c>
    </row>
    <row r="2" spans="1:18" ht="13.5" customHeight="1" x14ac:dyDescent="0.3">
      <c r="A2" t="s">
        <v>1089</v>
      </c>
      <c r="B2" t="s">
        <v>1090</v>
      </c>
      <c r="C2" t="s">
        <v>1091</v>
      </c>
      <c r="D2">
        <v>1</v>
      </c>
      <c r="E2">
        <v>1</v>
      </c>
      <c r="F2" s="258">
        <f>DATE(YEAR(RPT_MONTH),MONTH(RPT_MONTH)-11,1)</f>
        <v>45962</v>
      </c>
      <c r="G2" s="193" t="str">
        <f t="shared" ref="G2:G65" si="0">CHOOSE(MONTH(F2),"Jan","Feb","Mar","Apr","May","Jun","Jul","Aug","Sep","Oct","Nov","Dec")&amp;"-"&amp;RIGHT(YEAR(F2),2)</f>
        <v>Nov-25</v>
      </c>
      <c r="H2" s="193" t="str">
        <f>IFERROR(1*INDEX(BD_KPIs!$F$2:$F$1300,MATCH(YEAR(F2)*100+MONTH(F2)&amp;"|TRICF|Monthly",BD_KPIs!$Q$2:$Q$1300,0)),"")</f>
        <v/>
      </c>
      <c r="I2" s="193">
        <f>IF(ISNUMBER(INDEX(_TARGETS!$G$2:$G$17,MATCH("TRICF",_TARGETS!$A$2:$A$17,0))),INDEX(_TARGETS!$G$2:$G$17,MATCH("TRICF",_TARGETS!$A$2:$A$17,0)),"")</f>
        <v>2.35</v>
      </c>
      <c r="J2" t="s">
        <v>1092</v>
      </c>
      <c r="K2" t="s">
        <v>1093</v>
      </c>
      <c r="L2" s="193" t="str">
        <f t="shared" ref="L2:L65" si="1">IF(ISNUMBER(H2),"OK","NO_DATA")</f>
        <v>NO_DATA</v>
      </c>
      <c r="M2" s="193" t="str">
        <f t="shared" ref="M2:M65" si="2">IF(RIGHT(B2,2)="_Y","YTD",IF(OR(B2="F_OPEN",B2="HIGH_OPEN"),"Month-end",IF(B2="ENV_STATUS","n/a","Monthly")))</f>
        <v>Monthly</v>
      </c>
      <c r="N2" s="193" t="str">
        <f>IF(NOT(ISNUMBER(H2)),"NO_DATA",IF(NOT(ISNUMBER(I2)),"MONITOR",IF(INDEX(_TARGETS!$E$2:$E$17,MATCH("TRICF",_TARGETS!$A$2:$A$17,0))="≤",IF(H2&lt;=I2,"ON_TARGET","OFF_TARGET"),IF(H2&gt;=I2,"ON_TARGET","OFF_TARGET"))))</f>
        <v>NO_DATA</v>
      </c>
      <c r="O2" s="193" t="str">
        <f t="shared" ref="O2:O65" si="3">RPT_SCOPE</f>
        <v>Compressor Plant</v>
      </c>
      <c r="P2" s="193" t="str">
        <f ca="1">IF(LEFT(Control!$C$10,4)="ROJO","RED",IF(LEFT(Control!$C$10,8)="AMARILLO","AMBER","GREEN"))</f>
        <v>RED</v>
      </c>
      <c r="Q2" s="193">
        <f>IF(AND(ISNUMBER(MATCH(F2,Datos!$D$3:$AL$3,0)),F2&lt;=RPT_MONTH),1,0)</f>
        <v>0</v>
      </c>
      <c r="R2" s="193" t="str">
        <f t="shared" ref="R2:R65" si="4">IF(A2="CH_ENV","PENDING_DEFINITION",IF(Q2=1,IF(L2="OK","OK","MISSING"),IF(ISNUMBER(H2),"CHECK","OUT_OF_SCOPE")))</f>
        <v>OUT_OF_SCOPE</v>
      </c>
    </row>
    <row r="3" spans="1:18" ht="13.5" customHeight="1" x14ac:dyDescent="0.3">
      <c r="A3" t="s">
        <v>1089</v>
      </c>
      <c r="B3" t="s">
        <v>1090</v>
      </c>
      <c r="C3" t="s">
        <v>1091</v>
      </c>
      <c r="D3">
        <v>1</v>
      </c>
      <c r="E3">
        <v>2</v>
      </c>
      <c r="F3" s="258">
        <f>DATE(YEAR(RPT_MONTH),MONTH(RPT_MONTH)-10,1)</f>
        <v>45992</v>
      </c>
      <c r="G3" s="193" t="str">
        <f t="shared" si="0"/>
        <v>Dec-25</v>
      </c>
      <c r="H3" s="193" t="str">
        <f>IFERROR(1*INDEX(BD_KPIs!$F$2:$F$1300,MATCH(YEAR(F3)*100+MONTH(F3)&amp;"|TRICF|Monthly",BD_KPIs!$Q$2:$Q$1300,0)),"")</f>
        <v/>
      </c>
      <c r="I3" s="193">
        <f>IF(ISNUMBER(INDEX(_TARGETS!$G$2:$G$17,MATCH("TRICF",_TARGETS!$A$2:$A$17,0))),INDEX(_TARGETS!$G$2:$G$17,MATCH("TRICF",_TARGETS!$A$2:$A$17,0)),"")</f>
        <v>2.35</v>
      </c>
      <c r="J3" t="s">
        <v>1092</v>
      </c>
      <c r="K3" t="s">
        <v>1093</v>
      </c>
      <c r="L3" s="193" t="str">
        <f t="shared" si="1"/>
        <v>NO_DATA</v>
      </c>
      <c r="M3" s="193" t="str">
        <f t="shared" si="2"/>
        <v>Monthly</v>
      </c>
      <c r="N3" s="193" t="str">
        <f>IF(NOT(ISNUMBER(H3)),"NO_DATA",IF(NOT(ISNUMBER(I3)),"MONITOR",IF(INDEX(_TARGETS!$E$2:$E$17,MATCH("TRICF",_TARGETS!$A$2:$A$17,0))="≤",IF(H3&lt;=I3,"ON_TARGET","OFF_TARGET"),IF(H3&gt;=I3,"ON_TARGET","OFF_TARGET"))))</f>
        <v>NO_DATA</v>
      </c>
      <c r="O3" s="193" t="str">
        <f t="shared" si="3"/>
        <v>Compressor Plant</v>
      </c>
      <c r="P3" s="193" t="str">
        <f ca="1">IF(LEFT(Control!$C$10,4)="ROJO","RED",IF(LEFT(Control!$C$10,8)="AMARILLO","AMBER","GREEN"))</f>
        <v>RED</v>
      </c>
      <c r="Q3" s="193">
        <f>IF(AND(ISNUMBER(MATCH(F3,Datos!$D$3:$AL$3,0)),F3&lt;=RPT_MONTH),1,0)</f>
        <v>0</v>
      </c>
      <c r="R3" s="193" t="str">
        <f t="shared" si="4"/>
        <v>OUT_OF_SCOPE</v>
      </c>
    </row>
    <row r="4" spans="1:18" ht="13.5" customHeight="1" x14ac:dyDescent="0.3">
      <c r="A4" t="s">
        <v>1089</v>
      </c>
      <c r="B4" t="s">
        <v>1090</v>
      </c>
      <c r="C4" t="s">
        <v>1091</v>
      </c>
      <c r="D4">
        <v>1</v>
      </c>
      <c r="E4">
        <v>3</v>
      </c>
      <c r="F4" s="258">
        <f>DATE(YEAR(RPT_MONTH),MONTH(RPT_MONTH)-9,1)</f>
        <v>46023</v>
      </c>
      <c r="G4" s="193" t="str">
        <f t="shared" si="0"/>
        <v>Jan-26</v>
      </c>
      <c r="H4" s="193" t="str">
        <f>IFERROR(1*INDEX(BD_KPIs!$F$2:$F$1300,MATCH(YEAR(F4)*100+MONTH(F4)&amp;"|TRICF|Monthly",BD_KPIs!$Q$2:$Q$1300,0)),"")</f>
        <v/>
      </c>
      <c r="I4" s="193">
        <f>IF(ISNUMBER(INDEX(_TARGETS!$G$2:$G$17,MATCH("TRICF",_TARGETS!$A$2:$A$17,0))),INDEX(_TARGETS!$G$2:$G$17,MATCH("TRICF",_TARGETS!$A$2:$A$17,0)),"")</f>
        <v>2.35</v>
      </c>
      <c r="J4" t="s">
        <v>1092</v>
      </c>
      <c r="K4" t="s">
        <v>1093</v>
      </c>
      <c r="L4" s="193" t="str">
        <f t="shared" si="1"/>
        <v>NO_DATA</v>
      </c>
      <c r="M4" s="193" t="str">
        <f t="shared" si="2"/>
        <v>Monthly</v>
      </c>
      <c r="N4" s="193" t="str">
        <f>IF(NOT(ISNUMBER(H4)),"NO_DATA",IF(NOT(ISNUMBER(I4)),"MONITOR",IF(INDEX(_TARGETS!$E$2:$E$17,MATCH("TRICF",_TARGETS!$A$2:$A$17,0))="≤",IF(H4&lt;=I4,"ON_TARGET","OFF_TARGET"),IF(H4&gt;=I4,"ON_TARGET","OFF_TARGET"))))</f>
        <v>NO_DATA</v>
      </c>
      <c r="O4" s="193" t="str">
        <f t="shared" si="3"/>
        <v>Compressor Plant</v>
      </c>
      <c r="P4" s="193" t="str">
        <f ca="1">IF(LEFT(Control!$C$10,4)="ROJO","RED",IF(LEFT(Control!$C$10,8)="AMARILLO","AMBER","GREEN"))</f>
        <v>RED</v>
      </c>
      <c r="Q4" s="193">
        <f>IF(AND(ISNUMBER(MATCH(F4,Datos!$D$3:$AL$3,0)),F4&lt;=RPT_MONTH),1,0)</f>
        <v>0</v>
      </c>
      <c r="R4" s="193" t="str">
        <f t="shared" si="4"/>
        <v>OUT_OF_SCOPE</v>
      </c>
    </row>
    <row r="5" spans="1:18" ht="13.5" customHeight="1" x14ac:dyDescent="0.3">
      <c r="A5" t="s">
        <v>1089</v>
      </c>
      <c r="B5" t="s">
        <v>1090</v>
      </c>
      <c r="C5" t="s">
        <v>1091</v>
      </c>
      <c r="D5">
        <v>1</v>
      </c>
      <c r="E5">
        <v>4</v>
      </c>
      <c r="F5" s="258">
        <f>DATE(YEAR(RPT_MONTH),MONTH(RPT_MONTH)-8,1)</f>
        <v>46054</v>
      </c>
      <c r="G5" s="193" t="str">
        <f t="shared" si="0"/>
        <v>Feb-26</v>
      </c>
      <c r="H5" s="193" t="str">
        <f>IFERROR(1*INDEX(BD_KPIs!$F$2:$F$1300,MATCH(YEAR(F5)*100+MONTH(F5)&amp;"|TRICF|Monthly",BD_KPIs!$Q$2:$Q$1300,0)),"")</f>
        <v/>
      </c>
      <c r="I5" s="193">
        <f>IF(ISNUMBER(INDEX(_TARGETS!$G$2:$G$17,MATCH("TRICF",_TARGETS!$A$2:$A$17,0))),INDEX(_TARGETS!$G$2:$G$17,MATCH("TRICF",_TARGETS!$A$2:$A$17,0)),"")</f>
        <v>2.35</v>
      </c>
      <c r="J5" t="s">
        <v>1092</v>
      </c>
      <c r="K5" t="s">
        <v>1093</v>
      </c>
      <c r="L5" s="193" t="str">
        <f t="shared" si="1"/>
        <v>NO_DATA</v>
      </c>
      <c r="M5" s="193" t="str">
        <f t="shared" si="2"/>
        <v>Monthly</v>
      </c>
      <c r="N5" s="193" t="str">
        <f>IF(NOT(ISNUMBER(H5)),"NO_DATA",IF(NOT(ISNUMBER(I5)),"MONITOR",IF(INDEX(_TARGETS!$E$2:$E$17,MATCH("TRICF",_TARGETS!$A$2:$A$17,0))="≤",IF(H5&lt;=I5,"ON_TARGET","OFF_TARGET"),IF(H5&gt;=I5,"ON_TARGET","OFF_TARGET"))))</f>
        <v>NO_DATA</v>
      </c>
      <c r="O5" s="193" t="str">
        <f t="shared" si="3"/>
        <v>Compressor Plant</v>
      </c>
      <c r="P5" s="193" t="str">
        <f ca="1">IF(LEFT(Control!$C$10,4)="ROJO","RED",IF(LEFT(Control!$C$10,8)="AMARILLO","AMBER","GREEN"))</f>
        <v>RED</v>
      </c>
      <c r="Q5" s="193">
        <f>IF(AND(ISNUMBER(MATCH(F5,Datos!$D$3:$AL$3,0)),F5&lt;=RPT_MONTH),1,0)</f>
        <v>0</v>
      </c>
      <c r="R5" s="193" t="str">
        <f t="shared" si="4"/>
        <v>OUT_OF_SCOPE</v>
      </c>
    </row>
    <row r="6" spans="1:18" ht="13.5" customHeight="1" x14ac:dyDescent="0.3">
      <c r="A6" t="s">
        <v>1089</v>
      </c>
      <c r="B6" t="s">
        <v>1090</v>
      </c>
      <c r="C6" t="s">
        <v>1091</v>
      </c>
      <c r="D6">
        <v>1</v>
      </c>
      <c r="E6">
        <v>5</v>
      </c>
      <c r="F6" s="258">
        <f>DATE(YEAR(RPT_MONTH),MONTH(RPT_MONTH)-7,1)</f>
        <v>46082</v>
      </c>
      <c r="G6" s="193" t="str">
        <f t="shared" si="0"/>
        <v>Mar-26</v>
      </c>
      <c r="H6" s="193" t="str">
        <f>IFERROR(1*INDEX(BD_KPIs!$F$2:$F$1300,MATCH(YEAR(F6)*100+MONTH(F6)&amp;"|TRICF|Monthly",BD_KPIs!$Q$2:$Q$1300,0)),"")</f>
        <v/>
      </c>
      <c r="I6" s="193">
        <f>IF(ISNUMBER(INDEX(_TARGETS!$G$2:$G$17,MATCH("TRICF",_TARGETS!$A$2:$A$17,0))),INDEX(_TARGETS!$G$2:$G$17,MATCH("TRICF",_TARGETS!$A$2:$A$17,0)),"")</f>
        <v>2.35</v>
      </c>
      <c r="J6" t="s">
        <v>1092</v>
      </c>
      <c r="K6" t="s">
        <v>1093</v>
      </c>
      <c r="L6" s="193" t="str">
        <f t="shared" si="1"/>
        <v>NO_DATA</v>
      </c>
      <c r="M6" s="193" t="str">
        <f t="shared" si="2"/>
        <v>Monthly</v>
      </c>
      <c r="N6" s="193" t="str">
        <f>IF(NOT(ISNUMBER(H6)),"NO_DATA",IF(NOT(ISNUMBER(I6)),"MONITOR",IF(INDEX(_TARGETS!$E$2:$E$17,MATCH("TRICF",_TARGETS!$A$2:$A$17,0))="≤",IF(H6&lt;=I6,"ON_TARGET","OFF_TARGET"),IF(H6&gt;=I6,"ON_TARGET","OFF_TARGET"))))</f>
        <v>NO_DATA</v>
      </c>
      <c r="O6" s="193" t="str">
        <f t="shared" si="3"/>
        <v>Compressor Plant</v>
      </c>
      <c r="P6" s="193" t="str">
        <f ca="1">IF(LEFT(Control!$C$10,4)="ROJO","RED",IF(LEFT(Control!$C$10,8)="AMARILLO","AMBER","GREEN"))</f>
        <v>RED</v>
      </c>
      <c r="Q6" s="193">
        <f>IF(AND(ISNUMBER(MATCH(F6,Datos!$D$3:$AL$3,0)),F6&lt;=RPT_MONTH),1,0)</f>
        <v>0</v>
      </c>
      <c r="R6" s="193" t="str">
        <f t="shared" si="4"/>
        <v>OUT_OF_SCOPE</v>
      </c>
    </row>
    <row r="7" spans="1:18" ht="13.5" customHeight="1" x14ac:dyDescent="0.3">
      <c r="A7" t="s">
        <v>1089</v>
      </c>
      <c r="B7" t="s">
        <v>1090</v>
      </c>
      <c r="C7" t="s">
        <v>1091</v>
      </c>
      <c r="D7">
        <v>1</v>
      </c>
      <c r="E7">
        <v>6</v>
      </c>
      <c r="F7" s="258">
        <f>DATE(YEAR(RPT_MONTH),MONTH(RPT_MONTH)-6,1)</f>
        <v>46113</v>
      </c>
      <c r="G7" s="193" t="str">
        <f t="shared" si="0"/>
        <v>Apr-26</v>
      </c>
      <c r="H7" s="193" t="str">
        <f>IFERROR(1*INDEX(BD_KPIs!$F$2:$F$1300,MATCH(YEAR(F7)*100+MONTH(F7)&amp;"|TRICF|Monthly",BD_KPIs!$Q$2:$Q$1300,0)),"")</f>
        <v/>
      </c>
      <c r="I7" s="193">
        <f>IF(ISNUMBER(INDEX(_TARGETS!$G$2:$G$17,MATCH("TRICF",_TARGETS!$A$2:$A$17,0))),INDEX(_TARGETS!$G$2:$G$17,MATCH("TRICF",_TARGETS!$A$2:$A$17,0)),"")</f>
        <v>2.35</v>
      </c>
      <c r="J7" t="s">
        <v>1092</v>
      </c>
      <c r="K7" t="s">
        <v>1093</v>
      </c>
      <c r="L7" s="193" t="str">
        <f t="shared" si="1"/>
        <v>NO_DATA</v>
      </c>
      <c r="M7" s="193" t="str">
        <f t="shared" si="2"/>
        <v>Monthly</v>
      </c>
      <c r="N7" s="193" t="str">
        <f>IF(NOT(ISNUMBER(H7)),"NO_DATA",IF(NOT(ISNUMBER(I7)),"MONITOR",IF(INDEX(_TARGETS!$E$2:$E$17,MATCH("TRICF",_TARGETS!$A$2:$A$17,0))="≤",IF(H7&lt;=I7,"ON_TARGET","OFF_TARGET"),IF(H7&gt;=I7,"ON_TARGET","OFF_TARGET"))))</f>
        <v>NO_DATA</v>
      </c>
      <c r="O7" s="193" t="str">
        <f t="shared" si="3"/>
        <v>Compressor Plant</v>
      </c>
      <c r="P7" s="193" t="str">
        <f ca="1">IF(LEFT(Control!$C$10,4)="ROJO","RED",IF(LEFT(Control!$C$10,8)="AMARILLO","AMBER","GREEN"))</f>
        <v>RED</v>
      </c>
      <c r="Q7" s="193">
        <f>IF(AND(ISNUMBER(MATCH(F7,Datos!$D$3:$AL$3,0)),F7&lt;=RPT_MONTH),1,0)</f>
        <v>0</v>
      </c>
      <c r="R7" s="193" t="str">
        <f t="shared" si="4"/>
        <v>OUT_OF_SCOPE</v>
      </c>
    </row>
    <row r="8" spans="1:18" ht="13.5" customHeight="1" x14ac:dyDescent="0.3">
      <c r="A8" t="s">
        <v>1089</v>
      </c>
      <c r="B8" t="s">
        <v>1090</v>
      </c>
      <c r="C8" t="s">
        <v>1091</v>
      </c>
      <c r="D8">
        <v>1</v>
      </c>
      <c r="E8">
        <v>7</v>
      </c>
      <c r="F8" s="258">
        <f>DATE(YEAR(RPT_MONTH),MONTH(RPT_MONTH)-5,1)</f>
        <v>46143</v>
      </c>
      <c r="G8" s="193" t="str">
        <f t="shared" si="0"/>
        <v>May-26</v>
      </c>
      <c r="H8" s="193" t="str">
        <f>IFERROR(1*INDEX(BD_KPIs!$F$2:$F$1300,MATCH(YEAR(F8)*100+MONTH(F8)&amp;"|TRICF|Monthly",BD_KPIs!$Q$2:$Q$1300,0)),"")</f>
        <v/>
      </c>
      <c r="I8" s="193">
        <f>IF(ISNUMBER(INDEX(_TARGETS!$G$2:$G$17,MATCH("TRICF",_TARGETS!$A$2:$A$17,0))),INDEX(_TARGETS!$G$2:$G$17,MATCH("TRICF",_TARGETS!$A$2:$A$17,0)),"")</f>
        <v>2.35</v>
      </c>
      <c r="J8" t="s">
        <v>1092</v>
      </c>
      <c r="K8" t="s">
        <v>1093</v>
      </c>
      <c r="L8" s="193" t="str">
        <f t="shared" si="1"/>
        <v>NO_DATA</v>
      </c>
      <c r="M8" s="193" t="str">
        <f t="shared" si="2"/>
        <v>Monthly</v>
      </c>
      <c r="N8" s="193" t="str">
        <f>IF(NOT(ISNUMBER(H8)),"NO_DATA",IF(NOT(ISNUMBER(I8)),"MONITOR",IF(INDEX(_TARGETS!$E$2:$E$17,MATCH("TRICF",_TARGETS!$A$2:$A$17,0))="≤",IF(H8&lt;=I8,"ON_TARGET","OFF_TARGET"),IF(H8&gt;=I8,"ON_TARGET","OFF_TARGET"))))</f>
        <v>NO_DATA</v>
      </c>
      <c r="O8" s="193" t="str">
        <f t="shared" si="3"/>
        <v>Compressor Plant</v>
      </c>
      <c r="P8" s="193" t="str">
        <f ca="1">IF(LEFT(Control!$C$10,4)="ROJO","RED",IF(LEFT(Control!$C$10,8)="AMARILLO","AMBER","GREEN"))</f>
        <v>RED</v>
      </c>
      <c r="Q8" s="193">
        <f>IF(AND(ISNUMBER(MATCH(F8,Datos!$D$3:$AL$3,0)),F8&lt;=RPT_MONTH),1,0)</f>
        <v>0</v>
      </c>
      <c r="R8" s="193" t="str">
        <f t="shared" si="4"/>
        <v>OUT_OF_SCOPE</v>
      </c>
    </row>
    <row r="9" spans="1:18" ht="13.5" customHeight="1" x14ac:dyDescent="0.3">
      <c r="A9" t="s">
        <v>1089</v>
      </c>
      <c r="B9" t="s">
        <v>1090</v>
      </c>
      <c r="C9" t="s">
        <v>1091</v>
      </c>
      <c r="D9">
        <v>1</v>
      </c>
      <c r="E9">
        <v>8</v>
      </c>
      <c r="F9" s="258">
        <f>DATE(YEAR(RPT_MONTH),MONTH(RPT_MONTH)-4,1)</f>
        <v>46174</v>
      </c>
      <c r="G9" s="193" t="str">
        <f t="shared" si="0"/>
        <v>Jun-26</v>
      </c>
      <c r="H9" s="193" t="str">
        <f>IFERROR(1*INDEX(BD_KPIs!$F$2:$F$1300,MATCH(YEAR(F9)*100+MONTH(F9)&amp;"|TRICF|Monthly",BD_KPIs!$Q$2:$Q$1300,0)),"")</f>
        <v/>
      </c>
      <c r="I9" s="193">
        <f>IF(ISNUMBER(INDEX(_TARGETS!$G$2:$G$17,MATCH("TRICF",_TARGETS!$A$2:$A$17,0))),INDEX(_TARGETS!$G$2:$G$17,MATCH("TRICF",_TARGETS!$A$2:$A$17,0)),"")</f>
        <v>2.35</v>
      </c>
      <c r="J9" t="s">
        <v>1092</v>
      </c>
      <c r="K9" t="s">
        <v>1093</v>
      </c>
      <c r="L9" s="193" t="str">
        <f t="shared" si="1"/>
        <v>NO_DATA</v>
      </c>
      <c r="M9" s="193" t="str">
        <f t="shared" si="2"/>
        <v>Monthly</v>
      </c>
      <c r="N9" s="193" t="str">
        <f>IF(NOT(ISNUMBER(H9)),"NO_DATA",IF(NOT(ISNUMBER(I9)),"MONITOR",IF(INDEX(_TARGETS!$E$2:$E$17,MATCH("TRICF",_TARGETS!$A$2:$A$17,0))="≤",IF(H9&lt;=I9,"ON_TARGET","OFF_TARGET"),IF(H9&gt;=I9,"ON_TARGET","OFF_TARGET"))))</f>
        <v>NO_DATA</v>
      </c>
      <c r="O9" s="193" t="str">
        <f t="shared" si="3"/>
        <v>Compressor Plant</v>
      </c>
      <c r="P9" s="193" t="str">
        <f ca="1">IF(LEFT(Control!$C$10,4)="ROJO","RED",IF(LEFT(Control!$C$10,8)="AMARILLO","AMBER","GREEN"))</f>
        <v>RED</v>
      </c>
      <c r="Q9" s="193">
        <f>IF(AND(ISNUMBER(MATCH(F9,Datos!$D$3:$AL$3,0)),F9&lt;=RPT_MONTH),1,0)</f>
        <v>0</v>
      </c>
      <c r="R9" s="193" t="str">
        <f t="shared" si="4"/>
        <v>OUT_OF_SCOPE</v>
      </c>
    </row>
    <row r="10" spans="1:18" ht="13.5" customHeight="1" x14ac:dyDescent="0.3">
      <c r="A10" t="s">
        <v>1089</v>
      </c>
      <c r="B10" t="s">
        <v>1090</v>
      </c>
      <c r="C10" t="s">
        <v>1091</v>
      </c>
      <c r="D10">
        <v>1</v>
      </c>
      <c r="E10">
        <v>9</v>
      </c>
      <c r="F10" s="258">
        <f>DATE(YEAR(RPT_MONTH),MONTH(RPT_MONTH)-3,1)</f>
        <v>46204</v>
      </c>
      <c r="G10" s="193" t="str">
        <f t="shared" si="0"/>
        <v>Jul-26</v>
      </c>
      <c r="H10" s="193" t="str">
        <f>IFERROR(1*INDEX(BD_KPIs!$F$2:$F$1300,MATCH(YEAR(F10)*100+MONTH(F10)&amp;"|TRICF|Monthly",BD_KPIs!$Q$2:$Q$1300,0)),"")</f>
        <v/>
      </c>
      <c r="I10" s="193">
        <f>IF(ISNUMBER(INDEX(_TARGETS!$G$2:$G$17,MATCH("TRICF",_TARGETS!$A$2:$A$17,0))),INDEX(_TARGETS!$G$2:$G$17,MATCH("TRICF",_TARGETS!$A$2:$A$17,0)),"")</f>
        <v>2.35</v>
      </c>
      <c r="J10" t="s">
        <v>1092</v>
      </c>
      <c r="K10" t="s">
        <v>1093</v>
      </c>
      <c r="L10" s="193" t="str">
        <f t="shared" si="1"/>
        <v>NO_DATA</v>
      </c>
      <c r="M10" s="193" t="str">
        <f t="shared" si="2"/>
        <v>Monthly</v>
      </c>
      <c r="N10" s="193" t="str">
        <f>IF(NOT(ISNUMBER(H10)),"NO_DATA",IF(NOT(ISNUMBER(I10)),"MONITOR",IF(INDEX(_TARGETS!$E$2:$E$17,MATCH("TRICF",_TARGETS!$A$2:$A$17,0))="≤",IF(H10&lt;=I10,"ON_TARGET","OFF_TARGET"),IF(H10&gt;=I10,"ON_TARGET","OFF_TARGET"))))</f>
        <v>NO_DATA</v>
      </c>
      <c r="O10" s="193" t="str">
        <f t="shared" si="3"/>
        <v>Compressor Plant</v>
      </c>
      <c r="P10" s="193" t="str">
        <f ca="1">IF(LEFT(Control!$C$10,4)="ROJO","RED",IF(LEFT(Control!$C$10,8)="AMARILLO","AMBER","GREEN"))</f>
        <v>RED</v>
      </c>
      <c r="Q10" s="193">
        <f>IF(AND(ISNUMBER(MATCH(F10,Datos!$D$3:$AL$3,0)),F10&lt;=RPT_MONTH),1,0)</f>
        <v>0</v>
      </c>
      <c r="R10" s="193" t="str">
        <f t="shared" si="4"/>
        <v>OUT_OF_SCOPE</v>
      </c>
    </row>
    <row r="11" spans="1:18" ht="13.5" customHeight="1" x14ac:dyDescent="0.3">
      <c r="A11" t="s">
        <v>1089</v>
      </c>
      <c r="B11" t="s">
        <v>1090</v>
      </c>
      <c r="C11" t="s">
        <v>1091</v>
      </c>
      <c r="D11">
        <v>1</v>
      </c>
      <c r="E11">
        <v>10</v>
      </c>
      <c r="F11" s="258">
        <f>DATE(YEAR(RPT_MONTH),MONTH(RPT_MONTH)-2,1)</f>
        <v>46235</v>
      </c>
      <c r="G11" s="193" t="str">
        <f t="shared" si="0"/>
        <v>Aug-26</v>
      </c>
      <c r="H11" s="193">
        <f>IFERROR(1*INDEX(BD_KPIs!$F$2:$F$1300,MATCH(YEAR(F11)*100+MONTH(F11)&amp;"|TRICF|Monthly",BD_KPIs!$Q$2:$Q$1300,0)),"")</f>
        <v>0</v>
      </c>
      <c r="I11" s="193">
        <f>IF(ISNUMBER(INDEX(_TARGETS!$G$2:$G$17,MATCH("TRICF",_TARGETS!$A$2:$A$17,0))),INDEX(_TARGETS!$G$2:$G$17,MATCH("TRICF",_TARGETS!$A$2:$A$17,0)),"")</f>
        <v>2.35</v>
      </c>
      <c r="J11" t="s">
        <v>1092</v>
      </c>
      <c r="K11" t="s">
        <v>1093</v>
      </c>
      <c r="L11" s="193" t="str">
        <f t="shared" si="1"/>
        <v>OK</v>
      </c>
      <c r="M11" s="193" t="str">
        <f t="shared" si="2"/>
        <v>Monthly</v>
      </c>
      <c r="N11" s="193" t="str">
        <f>IF(NOT(ISNUMBER(H11)),"NO_DATA",IF(NOT(ISNUMBER(I11)),"MONITOR",IF(INDEX(_TARGETS!$E$2:$E$17,MATCH("TRICF",_TARGETS!$A$2:$A$17,0))="≤",IF(H11&lt;=I11,"ON_TARGET","OFF_TARGET"),IF(H11&gt;=I11,"ON_TARGET","OFF_TARGET"))))</f>
        <v>ON_TARGET</v>
      </c>
      <c r="O11" s="193" t="str">
        <f t="shared" si="3"/>
        <v>Compressor Plant</v>
      </c>
      <c r="P11" s="193" t="str">
        <f ca="1">IF(LEFT(Control!$C$10,4)="ROJO","RED",IF(LEFT(Control!$C$10,8)="AMARILLO","AMBER","GREEN"))</f>
        <v>RED</v>
      </c>
      <c r="Q11" s="193">
        <f>IF(AND(ISNUMBER(MATCH(F11,Datos!$D$3:$AL$3,0)),F11&lt;=RPT_MONTH),1,0)</f>
        <v>1</v>
      </c>
      <c r="R11" s="193" t="str">
        <f t="shared" si="4"/>
        <v>OK</v>
      </c>
    </row>
    <row r="12" spans="1:18" ht="13.5" customHeight="1" x14ac:dyDescent="0.3">
      <c r="A12" t="s">
        <v>1089</v>
      </c>
      <c r="B12" t="s">
        <v>1090</v>
      </c>
      <c r="C12" t="s">
        <v>1091</v>
      </c>
      <c r="D12">
        <v>1</v>
      </c>
      <c r="E12">
        <v>11</v>
      </c>
      <c r="F12" s="258">
        <f>DATE(YEAR(RPT_MONTH),MONTH(RPT_MONTH)-1,1)</f>
        <v>46266</v>
      </c>
      <c r="G12" s="193" t="str">
        <f t="shared" si="0"/>
        <v>Sep-26</v>
      </c>
      <c r="H12" s="193">
        <f>IFERROR(1*INDEX(BD_KPIs!$F$2:$F$1300,MATCH(YEAR(F12)*100+MONTH(F12)&amp;"|TRICF|Monthly",BD_KPIs!$Q$2:$Q$1300,0)),"")</f>
        <v>0</v>
      </c>
      <c r="I12" s="193">
        <f>IF(ISNUMBER(INDEX(_TARGETS!$G$2:$G$17,MATCH("TRICF",_TARGETS!$A$2:$A$17,0))),INDEX(_TARGETS!$G$2:$G$17,MATCH("TRICF",_TARGETS!$A$2:$A$17,0)),"")</f>
        <v>2.35</v>
      </c>
      <c r="J12" t="s">
        <v>1092</v>
      </c>
      <c r="K12" t="s">
        <v>1093</v>
      </c>
      <c r="L12" s="193" t="str">
        <f t="shared" si="1"/>
        <v>OK</v>
      </c>
      <c r="M12" s="193" t="str">
        <f t="shared" si="2"/>
        <v>Monthly</v>
      </c>
      <c r="N12" s="193" t="str">
        <f>IF(NOT(ISNUMBER(H12)),"NO_DATA",IF(NOT(ISNUMBER(I12)),"MONITOR",IF(INDEX(_TARGETS!$E$2:$E$17,MATCH("TRICF",_TARGETS!$A$2:$A$17,0))="≤",IF(H12&lt;=I12,"ON_TARGET","OFF_TARGET"),IF(H12&gt;=I12,"ON_TARGET","OFF_TARGET"))))</f>
        <v>ON_TARGET</v>
      </c>
      <c r="O12" s="193" t="str">
        <f t="shared" si="3"/>
        <v>Compressor Plant</v>
      </c>
      <c r="P12" s="193" t="str">
        <f ca="1">IF(LEFT(Control!$C$10,4)="ROJO","RED",IF(LEFT(Control!$C$10,8)="AMARILLO","AMBER","GREEN"))</f>
        <v>RED</v>
      </c>
      <c r="Q12" s="193">
        <f>IF(AND(ISNUMBER(MATCH(F12,Datos!$D$3:$AL$3,0)),F12&lt;=RPT_MONTH),1,0)</f>
        <v>1</v>
      </c>
      <c r="R12" s="193" t="str">
        <f t="shared" si="4"/>
        <v>OK</v>
      </c>
    </row>
    <row r="13" spans="1:18" ht="13.5" customHeight="1" x14ac:dyDescent="0.3">
      <c r="A13" t="s">
        <v>1089</v>
      </c>
      <c r="B13" t="s">
        <v>1090</v>
      </c>
      <c r="C13" t="s">
        <v>1091</v>
      </c>
      <c r="D13">
        <v>1</v>
      </c>
      <c r="E13">
        <v>12</v>
      </c>
      <c r="F13" s="258">
        <f>DATE(YEAR(RPT_MONTH),MONTH(RPT_MONTH)-0,1)</f>
        <v>46296</v>
      </c>
      <c r="G13" s="193" t="str">
        <f t="shared" si="0"/>
        <v>Oct-26</v>
      </c>
      <c r="H13" s="193" t="str">
        <f>IFERROR(1*INDEX(BD_KPIs!$F$2:$F$1300,MATCH(YEAR(F13)*100+MONTH(F13)&amp;"|TRICF|Monthly",BD_KPIs!$Q$2:$Q$1300,0)),"")</f>
        <v/>
      </c>
      <c r="I13" s="193">
        <f>IF(ISNUMBER(INDEX(_TARGETS!$G$2:$G$17,MATCH("TRICF",_TARGETS!$A$2:$A$17,0))),INDEX(_TARGETS!$G$2:$G$17,MATCH("TRICF",_TARGETS!$A$2:$A$17,0)),"")</f>
        <v>2.35</v>
      </c>
      <c r="J13" t="s">
        <v>1092</v>
      </c>
      <c r="K13" t="s">
        <v>1093</v>
      </c>
      <c r="L13" s="193" t="str">
        <f t="shared" si="1"/>
        <v>NO_DATA</v>
      </c>
      <c r="M13" s="193" t="str">
        <f t="shared" si="2"/>
        <v>Monthly</v>
      </c>
      <c r="N13" s="193" t="str">
        <f>IF(NOT(ISNUMBER(H13)),"NO_DATA",IF(NOT(ISNUMBER(I13)),"MONITOR",IF(INDEX(_TARGETS!$E$2:$E$17,MATCH("TRICF",_TARGETS!$A$2:$A$17,0))="≤",IF(H13&lt;=I13,"ON_TARGET","OFF_TARGET"),IF(H13&gt;=I13,"ON_TARGET","OFF_TARGET"))))</f>
        <v>NO_DATA</v>
      </c>
      <c r="O13" s="193" t="str">
        <f t="shared" si="3"/>
        <v>Compressor Plant</v>
      </c>
      <c r="P13" s="193" t="str">
        <f ca="1">IF(LEFT(Control!$C$10,4)="ROJO","RED",IF(LEFT(Control!$C$10,8)="AMARILLO","AMBER","GREEN"))</f>
        <v>RED</v>
      </c>
      <c r="Q13" s="193">
        <f>IF(AND(ISNUMBER(MATCH(F13,Datos!$D$3:$AL$3,0)),F13&lt;=RPT_MONTH),1,0)</f>
        <v>1</v>
      </c>
      <c r="R13" s="193" t="str">
        <f t="shared" si="4"/>
        <v>MISSING</v>
      </c>
    </row>
    <row r="14" spans="1:18" ht="13.5" customHeight="1" x14ac:dyDescent="0.3">
      <c r="A14" t="s">
        <v>1089</v>
      </c>
      <c r="B14" t="s">
        <v>1094</v>
      </c>
      <c r="C14" t="s">
        <v>1095</v>
      </c>
      <c r="D14">
        <v>2</v>
      </c>
      <c r="E14">
        <v>1</v>
      </c>
      <c r="F14" s="258">
        <f>DATE(YEAR(RPT_MONTH),MONTH(RPT_MONTH)-11,1)</f>
        <v>45962</v>
      </c>
      <c r="G14" s="193" t="str">
        <f t="shared" si="0"/>
        <v>Nov-25</v>
      </c>
      <c r="H14" s="193" t="str">
        <f>IFERROR(1*INDEX(BD_KPIs!$F$2:$F$1300,MATCH(YEAR(F14)*100+MONTH(F14)&amp;"|TRICF|YTD",BD_KPIs!$Q$2:$Q$1300,0)),"")</f>
        <v/>
      </c>
      <c r="I14" s="193">
        <f>IF(ISNUMBER(INDEX(_TARGETS!$G$2:$G$17,MATCH("TRICF",_TARGETS!$A$2:$A$17,0))),INDEX(_TARGETS!$G$2:$G$17,MATCH("TRICF",_TARGETS!$A$2:$A$17,0)),"")</f>
        <v>2.35</v>
      </c>
      <c r="J14" t="s">
        <v>1092</v>
      </c>
      <c r="K14" t="s">
        <v>1093</v>
      </c>
      <c r="L14" s="193" t="str">
        <f t="shared" si="1"/>
        <v>NO_DATA</v>
      </c>
      <c r="M14" s="193" t="str">
        <f t="shared" si="2"/>
        <v>YTD</v>
      </c>
      <c r="N14" s="193" t="str">
        <f>IF(NOT(ISNUMBER(H14)),"NO_DATA",IF(NOT(ISNUMBER(I14)),"MONITOR",IF(INDEX(_TARGETS!$E$2:$E$17,MATCH("TRICF",_TARGETS!$A$2:$A$17,0))="≤",IF(H14&lt;=I14,"ON_TARGET","OFF_TARGET"),IF(H14&gt;=I14,"ON_TARGET","OFF_TARGET"))))</f>
        <v>NO_DATA</v>
      </c>
      <c r="O14" s="193" t="str">
        <f t="shared" si="3"/>
        <v>Compressor Plant</v>
      </c>
      <c r="P14" s="193" t="str">
        <f ca="1">IF(LEFT(Control!$C$10,4)="ROJO","RED",IF(LEFT(Control!$C$10,8)="AMARILLO","AMBER","GREEN"))</f>
        <v>RED</v>
      </c>
      <c r="Q14" s="193">
        <f>IF(AND(ISNUMBER(MATCH(F14,Datos!$D$3:$AL$3,0)),F14&lt;=RPT_MONTH),1,0)</f>
        <v>0</v>
      </c>
      <c r="R14" s="193" t="str">
        <f t="shared" si="4"/>
        <v>OUT_OF_SCOPE</v>
      </c>
    </row>
    <row r="15" spans="1:18" ht="13.5" customHeight="1" x14ac:dyDescent="0.3">
      <c r="A15" t="s">
        <v>1089</v>
      </c>
      <c r="B15" t="s">
        <v>1094</v>
      </c>
      <c r="C15" t="s">
        <v>1095</v>
      </c>
      <c r="D15">
        <v>2</v>
      </c>
      <c r="E15">
        <v>2</v>
      </c>
      <c r="F15" s="258">
        <f>DATE(YEAR(RPT_MONTH),MONTH(RPT_MONTH)-10,1)</f>
        <v>45992</v>
      </c>
      <c r="G15" s="193" t="str">
        <f t="shared" si="0"/>
        <v>Dec-25</v>
      </c>
      <c r="H15" s="193" t="str">
        <f>IFERROR(1*INDEX(BD_KPIs!$F$2:$F$1300,MATCH(YEAR(F15)*100+MONTH(F15)&amp;"|TRICF|YTD",BD_KPIs!$Q$2:$Q$1300,0)),"")</f>
        <v/>
      </c>
      <c r="I15" s="193">
        <f>IF(ISNUMBER(INDEX(_TARGETS!$G$2:$G$17,MATCH("TRICF",_TARGETS!$A$2:$A$17,0))),INDEX(_TARGETS!$G$2:$G$17,MATCH("TRICF",_TARGETS!$A$2:$A$17,0)),"")</f>
        <v>2.35</v>
      </c>
      <c r="J15" t="s">
        <v>1092</v>
      </c>
      <c r="K15" t="s">
        <v>1093</v>
      </c>
      <c r="L15" s="193" t="str">
        <f t="shared" si="1"/>
        <v>NO_DATA</v>
      </c>
      <c r="M15" s="193" t="str">
        <f t="shared" si="2"/>
        <v>YTD</v>
      </c>
      <c r="N15" s="193" t="str">
        <f>IF(NOT(ISNUMBER(H15)),"NO_DATA",IF(NOT(ISNUMBER(I15)),"MONITOR",IF(INDEX(_TARGETS!$E$2:$E$17,MATCH("TRICF",_TARGETS!$A$2:$A$17,0))="≤",IF(H15&lt;=I15,"ON_TARGET","OFF_TARGET"),IF(H15&gt;=I15,"ON_TARGET","OFF_TARGET"))))</f>
        <v>NO_DATA</v>
      </c>
      <c r="O15" s="193" t="str">
        <f t="shared" si="3"/>
        <v>Compressor Plant</v>
      </c>
      <c r="P15" s="193" t="str">
        <f ca="1">IF(LEFT(Control!$C$10,4)="ROJO","RED",IF(LEFT(Control!$C$10,8)="AMARILLO","AMBER","GREEN"))</f>
        <v>RED</v>
      </c>
      <c r="Q15" s="193">
        <f>IF(AND(ISNUMBER(MATCH(F15,Datos!$D$3:$AL$3,0)),F15&lt;=RPT_MONTH),1,0)</f>
        <v>0</v>
      </c>
      <c r="R15" s="193" t="str">
        <f t="shared" si="4"/>
        <v>OUT_OF_SCOPE</v>
      </c>
    </row>
    <row r="16" spans="1:18" ht="13.5" customHeight="1" x14ac:dyDescent="0.3">
      <c r="A16" t="s">
        <v>1089</v>
      </c>
      <c r="B16" t="s">
        <v>1094</v>
      </c>
      <c r="C16" t="s">
        <v>1095</v>
      </c>
      <c r="D16">
        <v>2</v>
      </c>
      <c r="E16">
        <v>3</v>
      </c>
      <c r="F16" s="258">
        <f>DATE(YEAR(RPT_MONTH),MONTH(RPT_MONTH)-9,1)</f>
        <v>46023</v>
      </c>
      <c r="G16" s="193" t="str">
        <f t="shared" si="0"/>
        <v>Jan-26</v>
      </c>
      <c r="H16" s="193" t="str">
        <f>IFERROR(1*INDEX(BD_KPIs!$F$2:$F$1300,MATCH(YEAR(F16)*100+MONTH(F16)&amp;"|TRICF|YTD",BD_KPIs!$Q$2:$Q$1300,0)),"")</f>
        <v/>
      </c>
      <c r="I16" s="193">
        <f>IF(ISNUMBER(INDEX(_TARGETS!$G$2:$G$17,MATCH("TRICF",_TARGETS!$A$2:$A$17,0))),INDEX(_TARGETS!$G$2:$G$17,MATCH("TRICF",_TARGETS!$A$2:$A$17,0)),"")</f>
        <v>2.35</v>
      </c>
      <c r="J16" t="s">
        <v>1092</v>
      </c>
      <c r="K16" t="s">
        <v>1093</v>
      </c>
      <c r="L16" s="193" t="str">
        <f t="shared" si="1"/>
        <v>NO_DATA</v>
      </c>
      <c r="M16" s="193" t="str">
        <f t="shared" si="2"/>
        <v>YTD</v>
      </c>
      <c r="N16" s="193" t="str">
        <f>IF(NOT(ISNUMBER(H16)),"NO_DATA",IF(NOT(ISNUMBER(I16)),"MONITOR",IF(INDEX(_TARGETS!$E$2:$E$17,MATCH("TRICF",_TARGETS!$A$2:$A$17,0))="≤",IF(H16&lt;=I16,"ON_TARGET","OFF_TARGET"),IF(H16&gt;=I16,"ON_TARGET","OFF_TARGET"))))</f>
        <v>NO_DATA</v>
      </c>
      <c r="O16" s="193" t="str">
        <f t="shared" si="3"/>
        <v>Compressor Plant</v>
      </c>
      <c r="P16" s="193" t="str">
        <f ca="1">IF(LEFT(Control!$C$10,4)="ROJO","RED",IF(LEFT(Control!$C$10,8)="AMARILLO","AMBER","GREEN"))</f>
        <v>RED</v>
      </c>
      <c r="Q16" s="193">
        <f>IF(AND(ISNUMBER(MATCH(F16,Datos!$D$3:$AL$3,0)),F16&lt;=RPT_MONTH),1,0)</f>
        <v>0</v>
      </c>
      <c r="R16" s="193" t="str">
        <f t="shared" si="4"/>
        <v>OUT_OF_SCOPE</v>
      </c>
    </row>
    <row r="17" spans="1:18" ht="13.5" customHeight="1" x14ac:dyDescent="0.3">
      <c r="A17" t="s">
        <v>1089</v>
      </c>
      <c r="B17" t="s">
        <v>1094</v>
      </c>
      <c r="C17" t="s">
        <v>1095</v>
      </c>
      <c r="D17">
        <v>2</v>
      </c>
      <c r="E17">
        <v>4</v>
      </c>
      <c r="F17" s="258">
        <f>DATE(YEAR(RPT_MONTH),MONTH(RPT_MONTH)-8,1)</f>
        <v>46054</v>
      </c>
      <c r="G17" s="193" t="str">
        <f t="shared" si="0"/>
        <v>Feb-26</v>
      </c>
      <c r="H17" s="193" t="str">
        <f>IFERROR(1*INDEX(BD_KPIs!$F$2:$F$1300,MATCH(YEAR(F17)*100+MONTH(F17)&amp;"|TRICF|YTD",BD_KPIs!$Q$2:$Q$1300,0)),"")</f>
        <v/>
      </c>
      <c r="I17" s="193">
        <f>IF(ISNUMBER(INDEX(_TARGETS!$G$2:$G$17,MATCH("TRICF",_TARGETS!$A$2:$A$17,0))),INDEX(_TARGETS!$G$2:$G$17,MATCH("TRICF",_TARGETS!$A$2:$A$17,0)),"")</f>
        <v>2.35</v>
      </c>
      <c r="J17" t="s">
        <v>1092</v>
      </c>
      <c r="K17" t="s">
        <v>1093</v>
      </c>
      <c r="L17" s="193" t="str">
        <f t="shared" si="1"/>
        <v>NO_DATA</v>
      </c>
      <c r="M17" s="193" t="str">
        <f t="shared" si="2"/>
        <v>YTD</v>
      </c>
      <c r="N17" s="193" t="str">
        <f>IF(NOT(ISNUMBER(H17)),"NO_DATA",IF(NOT(ISNUMBER(I17)),"MONITOR",IF(INDEX(_TARGETS!$E$2:$E$17,MATCH("TRICF",_TARGETS!$A$2:$A$17,0))="≤",IF(H17&lt;=I17,"ON_TARGET","OFF_TARGET"),IF(H17&gt;=I17,"ON_TARGET","OFF_TARGET"))))</f>
        <v>NO_DATA</v>
      </c>
      <c r="O17" s="193" t="str">
        <f t="shared" si="3"/>
        <v>Compressor Plant</v>
      </c>
      <c r="P17" s="193" t="str">
        <f ca="1">IF(LEFT(Control!$C$10,4)="ROJO","RED",IF(LEFT(Control!$C$10,8)="AMARILLO","AMBER","GREEN"))</f>
        <v>RED</v>
      </c>
      <c r="Q17" s="193">
        <f>IF(AND(ISNUMBER(MATCH(F17,Datos!$D$3:$AL$3,0)),F17&lt;=RPT_MONTH),1,0)</f>
        <v>0</v>
      </c>
      <c r="R17" s="193" t="str">
        <f t="shared" si="4"/>
        <v>OUT_OF_SCOPE</v>
      </c>
    </row>
    <row r="18" spans="1:18" ht="13.5" customHeight="1" x14ac:dyDescent="0.3">
      <c r="A18" t="s">
        <v>1089</v>
      </c>
      <c r="B18" t="s">
        <v>1094</v>
      </c>
      <c r="C18" t="s">
        <v>1095</v>
      </c>
      <c r="D18">
        <v>2</v>
      </c>
      <c r="E18">
        <v>5</v>
      </c>
      <c r="F18" s="258">
        <f>DATE(YEAR(RPT_MONTH),MONTH(RPT_MONTH)-7,1)</f>
        <v>46082</v>
      </c>
      <c r="G18" s="193" t="str">
        <f t="shared" si="0"/>
        <v>Mar-26</v>
      </c>
      <c r="H18" s="193" t="str">
        <f>IFERROR(1*INDEX(BD_KPIs!$F$2:$F$1300,MATCH(YEAR(F18)*100+MONTH(F18)&amp;"|TRICF|YTD",BD_KPIs!$Q$2:$Q$1300,0)),"")</f>
        <v/>
      </c>
      <c r="I18" s="193">
        <f>IF(ISNUMBER(INDEX(_TARGETS!$G$2:$G$17,MATCH("TRICF",_TARGETS!$A$2:$A$17,0))),INDEX(_TARGETS!$G$2:$G$17,MATCH("TRICF",_TARGETS!$A$2:$A$17,0)),"")</f>
        <v>2.35</v>
      </c>
      <c r="J18" t="s">
        <v>1092</v>
      </c>
      <c r="K18" t="s">
        <v>1093</v>
      </c>
      <c r="L18" s="193" t="str">
        <f t="shared" si="1"/>
        <v>NO_DATA</v>
      </c>
      <c r="M18" s="193" t="str">
        <f t="shared" si="2"/>
        <v>YTD</v>
      </c>
      <c r="N18" s="193" t="str">
        <f>IF(NOT(ISNUMBER(H18)),"NO_DATA",IF(NOT(ISNUMBER(I18)),"MONITOR",IF(INDEX(_TARGETS!$E$2:$E$17,MATCH("TRICF",_TARGETS!$A$2:$A$17,0))="≤",IF(H18&lt;=I18,"ON_TARGET","OFF_TARGET"),IF(H18&gt;=I18,"ON_TARGET","OFF_TARGET"))))</f>
        <v>NO_DATA</v>
      </c>
      <c r="O18" s="193" t="str">
        <f t="shared" si="3"/>
        <v>Compressor Plant</v>
      </c>
      <c r="P18" s="193" t="str">
        <f ca="1">IF(LEFT(Control!$C$10,4)="ROJO","RED",IF(LEFT(Control!$C$10,8)="AMARILLO","AMBER","GREEN"))</f>
        <v>RED</v>
      </c>
      <c r="Q18" s="193">
        <f>IF(AND(ISNUMBER(MATCH(F18,Datos!$D$3:$AL$3,0)),F18&lt;=RPT_MONTH),1,0)</f>
        <v>0</v>
      </c>
      <c r="R18" s="193" t="str">
        <f t="shared" si="4"/>
        <v>OUT_OF_SCOPE</v>
      </c>
    </row>
    <row r="19" spans="1:18" ht="13.5" customHeight="1" x14ac:dyDescent="0.3">
      <c r="A19" t="s">
        <v>1089</v>
      </c>
      <c r="B19" t="s">
        <v>1094</v>
      </c>
      <c r="C19" t="s">
        <v>1095</v>
      </c>
      <c r="D19">
        <v>2</v>
      </c>
      <c r="E19">
        <v>6</v>
      </c>
      <c r="F19" s="258">
        <f>DATE(YEAR(RPT_MONTH),MONTH(RPT_MONTH)-6,1)</f>
        <v>46113</v>
      </c>
      <c r="G19" s="193" t="str">
        <f t="shared" si="0"/>
        <v>Apr-26</v>
      </c>
      <c r="H19" s="193" t="str">
        <f>IFERROR(1*INDEX(BD_KPIs!$F$2:$F$1300,MATCH(YEAR(F19)*100+MONTH(F19)&amp;"|TRICF|YTD",BD_KPIs!$Q$2:$Q$1300,0)),"")</f>
        <v/>
      </c>
      <c r="I19" s="193">
        <f>IF(ISNUMBER(INDEX(_TARGETS!$G$2:$G$17,MATCH("TRICF",_TARGETS!$A$2:$A$17,0))),INDEX(_TARGETS!$G$2:$G$17,MATCH("TRICF",_TARGETS!$A$2:$A$17,0)),"")</f>
        <v>2.35</v>
      </c>
      <c r="J19" t="s">
        <v>1092</v>
      </c>
      <c r="K19" t="s">
        <v>1093</v>
      </c>
      <c r="L19" s="193" t="str">
        <f t="shared" si="1"/>
        <v>NO_DATA</v>
      </c>
      <c r="M19" s="193" t="str">
        <f t="shared" si="2"/>
        <v>YTD</v>
      </c>
      <c r="N19" s="193" t="str">
        <f>IF(NOT(ISNUMBER(H19)),"NO_DATA",IF(NOT(ISNUMBER(I19)),"MONITOR",IF(INDEX(_TARGETS!$E$2:$E$17,MATCH("TRICF",_TARGETS!$A$2:$A$17,0))="≤",IF(H19&lt;=I19,"ON_TARGET","OFF_TARGET"),IF(H19&gt;=I19,"ON_TARGET","OFF_TARGET"))))</f>
        <v>NO_DATA</v>
      </c>
      <c r="O19" s="193" t="str">
        <f t="shared" si="3"/>
        <v>Compressor Plant</v>
      </c>
      <c r="P19" s="193" t="str">
        <f ca="1">IF(LEFT(Control!$C$10,4)="ROJO","RED",IF(LEFT(Control!$C$10,8)="AMARILLO","AMBER","GREEN"))</f>
        <v>RED</v>
      </c>
      <c r="Q19" s="193">
        <f>IF(AND(ISNUMBER(MATCH(F19,Datos!$D$3:$AL$3,0)),F19&lt;=RPT_MONTH),1,0)</f>
        <v>0</v>
      </c>
      <c r="R19" s="193" t="str">
        <f t="shared" si="4"/>
        <v>OUT_OF_SCOPE</v>
      </c>
    </row>
    <row r="20" spans="1:18" ht="13.5" customHeight="1" x14ac:dyDescent="0.3">
      <c r="A20" t="s">
        <v>1089</v>
      </c>
      <c r="B20" t="s">
        <v>1094</v>
      </c>
      <c r="C20" t="s">
        <v>1095</v>
      </c>
      <c r="D20">
        <v>2</v>
      </c>
      <c r="E20">
        <v>7</v>
      </c>
      <c r="F20" s="258">
        <f>DATE(YEAR(RPT_MONTH),MONTH(RPT_MONTH)-5,1)</f>
        <v>46143</v>
      </c>
      <c r="G20" s="193" t="str">
        <f t="shared" si="0"/>
        <v>May-26</v>
      </c>
      <c r="H20" s="193" t="str">
        <f>IFERROR(1*INDEX(BD_KPIs!$F$2:$F$1300,MATCH(YEAR(F20)*100+MONTH(F20)&amp;"|TRICF|YTD",BD_KPIs!$Q$2:$Q$1300,0)),"")</f>
        <v/>
      </c>
      <c r="I20" s="193">
        <f>IF(ISNUMBER(INDEX(_TARGETS!$G$2:$G$17,MATCH("TRICF",_TARGETS!$A$2:$A$17,0))),INDEX(_TARGETS!$G$2:$G$17,MATCH("TRICF",_TARGETS!$A$2:$A$17,0)),"")</f>
        <v>2.35</v>
      </c>
      <c r="J20" t="s">
        <v>1092</v>
      </c>
      <c r="K20" t="s">
        <v>1093</v>
      </c>
      <c r="L20" s="193" t="str">
        <f t="shared" si="1"/>
        <v>NO_DATA</v>
      </c>
      <c r="M20" s="193" t="str">
        <f t="shared" si="2"/>
        <v>YTD</v>
      </c>
      <c r="N20" s="193" t="str">
        <f>IF(NOT(ISNUMBER(H20)),"NO_DATA",IF(NOT(ISNUMBER(I20)),"MONITOR",IF(INDEX(_TARGETS!$E$2:$E$17,MATCH("TRICF",_TARGETS!$A$2:$A$17,0))="≤",IF(H20&lt;=I20,"ON_TARGET","OFF_TARGET"),IF(H20&gt;=I20,"ON_TARGET","OFF_TARGET"))))</f>
        <v>NO_DATA</v>
      </c>
      <c r="O20" s="193" t="str">
        <f t="shared" si="3"/>
        <v>Compressor Plant</v>
      </c>
      <c r="P20" s="193" t="str">
        <f ca="1">IF(LEFT(Control!$C$10,4)="ROJO","RED",IF(LEFT(Control!$C$10,8)="AMARILLO","AMBER","GREEN"))</f>
        <v>RED</v>
      </c>
      <c r="Q20" s="193">
        <f>IF(AND(ISNUMBER(MATCH(F20,Datos!$D$3:$AL$3,0)),F20&lt;=RPT_MONTH),1,0)</f>
        <v>0</v>
      </c>
      <c r="R20" s="193" t="str">
        <f t="shared" si="4"/>
        <v>OUT_OF_SCOPE</v>
      </c>
    </row>
    <row r="21" spans="1:18" ht="13.5" customHeight="1" x14ac:dyDescent="0.3">
      <c r="A21" t="s">
        <v>1089</v>
      </c>
      <c r="B21" t="s">
        <v>1094</v>
      </c>
      <c r="C21" t="s">
        <v>1095</v>
      </c>
      <c r="D21">
        <v>2</v>
      </c>
      <c r="E21">
        <v>8</v>
      </c>
      <c r="F21" s="258">
        <f>DATE(YEAR(RPT_MONTH),MONTH(RPT_MONTH)-4,1)</f>
        <v>46174</v>
      </c>
      <c r="G21" s="193" t="str">
        <f t="shared" si="0"/>
        <v>Jun-26</v>
      </c>
      <c r="H21" s="193" t="str">
        <f>IFERROR(1*INDEX(BD_KPIs!$F$2:$F$1300,MATCH(YEAR(F21)*100+MONTH(F21)&amp;"|TRICF|YTD",BD_KPIs!$Q$2:$Q$1300,0)),"")</f>
        <v/>
      </c>
      <c r="I21" s="193">
        <f>IF(ISNUMBER(INDEX(_TARGETS!$G$2:$G$17,MATCH("TRICF",_TARGETS!$A$2:$A$17,0))),INDEX(_TARGETS!$G$2:$G$17,MATCH("TRICF",_TARGETS!$A$2:$A$17,0)),"")</f>
        <v>2.35</v>
      </c>
      <c r="J21" t="s">
        <v>1092</v>
      </c>
      <c r="K21" t="s">
        <v>1093</v>
      </c>
      <c r="L21" s="193" t="str">
        <f t="shared" si="1"/>
        <v>NO_DATA</v>
      </c>
      <c r="M21" s="193" t="str">
        <f t="shared" si="2"/>
        <v>YTD</v>
      </c>
      <c r="N21" s="193" t="str">
        <f>IF(NOT(ISNUMBER(H21)),"NO_DATA",IF(NOT(ISNUMBER(I21)),"MONITOR",IF(INDEX(_TARGETS!$E$2:$E$17,MATCH("TRICF",_TARGETS!$A$2:$A$17,0))="≤",IF(H21&lt;=I21,"ON_TARGET","OFF_TARGET"),IF(H21&gt;=I21,"ON_TARGET","OFF_TARGET"))))</f>
        <v>NO_DATA</v>
      </c>
      <c r="O21" s="193" t="str">
        <f t="shared" si="3"/>
        <v>Compressor Plant</v>
      </c>
      <c r="P21" s="193" t="str">
        <f ca="1">IF(LEFT(Control!$C$10,4)="ROJO","RED",IF(LEFT(Control!$C$10,8)="AMARILLO","AMBER","GREEN"))</f>
        <v>RED</v>
      </c>
      <c r="Q21" s="193">
        <f>IF(AND(ISNUMBER(MATCH(F21,Datos!$D$3:$AL$3,0)),F21&lt;=RPT_MONTH),1,0)</f>
        <v>0</v>
      </c>
      <c r="R21" s="193" t="str">
        <f t="shared" si="4"/>
        <v>OUT_OF_SCOPE</v>
      </c>
    </row>
    <row r="22" spans="1:18" ht="13.5" customHeight="1" x14ac:dyDescent="0.3">
      <c r="A22" t="s">
        <v>1089</v>
      </c>
      <c r="B22" t="s">
        <v>1094</v>
      </c>
      <c r="C22" t="s">
        <v>1095</v>
      </c>
      <c r="D22">
        <v>2</v>
      </c>
      <c r="E22">
        <v>9</v>
      </c>
      <c r="F22" s="258">
        <f>DATE(YEAR(RPT_MONTH),MONTH(RPT_MONTH)-3,1)</f>
        <v>46204</v>
      </c>
      <c r="G22" s="193" t="str">
        <f t="shared" si="0"/>
        <v>Jul-26</v>
      </c>
      <c r="H22" s="193" t="str">
        <f>IFERROR(1*INDEX(BD_KPIs!$F$2:$F$1300,MATCH(YEAR(F22)*100+MONTH(F22)&amp;"|TRICF|YTD",BD_KPIs!$Q$2:$Q$1300,0)),"")</f>
        <v/>
      </c>
      <c r="I22" s="193">
        <f>IF(ISNUMBER(INDEX(_TARGETS!$G$2:$G$17,MATCH("TRICF",_TARGETS!$A$2:$A$17,0))),INDEX(_TARGETS!$G$2:$G$17,MATCH("TRICF",_TARGETS!$A$2:$A$17,0)),"")</f>
        <v>2.35</v>
      </c>
      <c r="J22" t="s">
        <v>1092</v>
      </c>
      <c r="K22" t="s">
        <v>1093</v>
      </c>
      <c r="L22" s="193" t="str">
        <f t="shared" si="1"/>
        <v>NO_DATA</v>
      </c>
      <c r="M22" s="193" t="str">
        <f t="shared" si="2"/>
        <v>YTD</v>
      </c>
      <c r="N22" s="193" t="str">
        <f>IF(NOT(ISNUMBER(H22)),"NO_DATA",IF(NOT(ISNUMBER(I22)),"MONITOR",IF(INDEX(_TARGETS!$E$2:$E$17,MATCH("TRICF",_TARGETS!$A$2:$A$17,0))="≤",IF(H22&lt;=I22,"ON_TARGET","OFF_TARGET"),IF(H22&gt;=I22,"ON_TARGET","OFF_TARGET"))))</f>
        <v>NO_DATA</v>
      </c>
      <c r="O22" s="193" t="str">
        <f t="shared" si="3"/>
        <v>Compressor Plant</v>
      </c>
      <c r="P22" s="193" t="str">
        <f ca="1">IF(LEFT(Control!$C$10,4)="ROJO","RED",IF(LEFT(Control!$C$10,8)="AMARILLO","AMBER","GREEN"))</f>
        <v>RED</v>
      </c>
      <c r="Q22" s="193">
        <f>IF(AND(ISNUMBER(MATCH(F22,Datos!$D$3:$AL$3,0)),F22&lt;=RPT_MONTH),1,0)</f>
        <v>0</v>
      </c>
      <c r="R22" s="193" t="str">
        <f t="shared" si="4"/>
        <v>OUT_OF_SCOPE</v>
      </c>
    </row>
    <row r="23" spans="1:18" ht="13.5" customHeight="1" x14ac:dyDescent="0.3">
      <c r="A23" t="s">
        <v>1089</v>
      </c>
      <c r="B23" t="s">
        <v>1094</v>
      </c>
      <c r="C23" t="s">
        <v>1095</v>
      </c>
      <c r="D23">
        <v>2</v>
      </c>
      <c r="E23">
        <v>10</v>
      </c>
      <c r="F23" s="258">
        <f>DATE(YEAR(RPT_MONTH),MONTH(RPT_MONTH)-2,1)</f>
        <v>46235</v>
      </c>
      <c r="G23" s="193" t="str">
        <f t="shared" si="0"/>
        <v>Aug-26</v>
      </c>
      <c r="H23" s="193">
        <f>IFERROR(1*INDEX(BD_KPIs!$F$2:$F$1300,MATCH(YEAR(F23)*100+MONTH(F23)&amp;"|TRICF|YTD",BD_KPIs!$Q$2:$Q$1300,0)),"")</f>
        <v>0</v>
      </c>
      <c r="I23" s="193">
        <f>IF(ISNUMBER(INDEX(_TARGETS!$G$2:$G$17,MATCH("TRICF",_TARGETS!$A$2:$A$17,0))),INDEX(_TARGETS!$G$2:$G$17,MATCH("TRICF",_TARGETS!$A$2:$A$17,0)),"")</f>
        <v>2.35</v>
      </c>
      <c r="J23" t="s">
        <v>1092</v>
      </c>
      <c r="K23" t="s">
        <v>1093</v>
      </c>
      <c r="L23" s="193" t="str">
        <f t="shared" si="1"/>
        <v>OK</v>
      </c>
      <c r="M23" s="193" t="str">
        <f t="shared" si="2"/>
        <v>YTD</v>
      </c>
      <c r="N23" s="193" t="str">
        <f>IF(NOT(ISNUMBER(H23)),"NO_DATA",IF(NOT(ISNUMBER(I23)),"MONITOR",IF(INDEX(_TARGETS!$E$2:$E$17,MATCH("TRICF",_TARGETS!$A$2:$A$17,0))="≤",IF(H23&lt;=I23,"ON_TARGET","OFF_TARGET"),IF(H23&gt;=I23,"ON_TARGET","OFF_TARGET"))))</f>
        <v>ON_TARGET</v>
      </c>
      <c r="O23" s="193" t="str">
        <f t="shared" si="3"/>
        <v>Compressor Plant</v>
      </c>
      <c r="P23" s="193" t="str">
        <f ca="1">IF(LEFT(Control!$C$10,4)="ROJO","RED",IF(LEFT(Control!$C$10,8)="AMARILLO","AMBER","GREEN"))</f>
        <v>RED</v>
      </c>
      <c r="Q23" s="193">
        <f>IF(AND(ISNUMBER(MATCH(F23,Datos!$D$3:$AL$3,0)),F23&lt;=RPT_MONTH),1,0)</f>
        <v>1</v>
      </c>
      <c r="R23" s="193" t="str">
        <f t="shared" si="4"/>
        <v>OK</v>
      </c>
    </row>
    <row r="24" spans="1:18" ht="13.5" customHeight="1" x14ac:dyDescent="0.3">
      <c r="A24" t="s">
        <v>1089</v>
      </c>
      <c r="B24" t="s">
        <v>1094</v>
      </c>
      <c r="C24" t="s">
        <v>1095</v>
      </c>
      <c r="D24">
        <v>2</v>
      </c>
      <c r="E24">
        <v>11</v>
      </c>
      <c r="F24" s="258">
        <f>DATE(YEAR(RPT_MONTH),MONTH(RPT_MONTH)-1,1)</f>
        <v>46266</v>
      </c>
      <c r="G24" s="193" t="str">
        <f t="shared" si="0"/>
        <v>Sep-26</v>
      </c>
      <c r="H24" s="193">
        <f>IFERROR(1*INDEX(BD_KPIs!$F$2:$F$1300,MATCH(YEAR(F24)*100+MONTH(F24)&amp;"|TRICF|YTD",BD_KPIs!$Q$2:$Q$1300,0)),"")</f>
        <v>0</v>
      </c>
      <c r="I24" s="193">
        <f>IF(ISNUMBER(INDEX(_TARGETS!$G$2:$G$17,MATCH("TRICF",_TARGETS!$A$2:$A$17,0))),INDEX(_TARGETS!$G$2:$G$17,MATCH("TRICF",_TARGETS!$A$2:$A$17,0)),"")</f>
        <v>2.35</v>
      </c>
      <c r="J24" t="s">
        <v>1092</v>
      </c>
      <c r="K24" t="s">
        <v>1093</v>
      </c>
      <c r="L24" s="193" t="str">
        <f t="shared" si="1"/>
        <v>OK</v>
      </c>
      <c r="M24" s="193" t="str">
        <f t="shared" si="2"/>
        <v>YTD</v>
      </c>
      <c r="N24" s="193" t="str">
        <f>IF(NOT(ISNUMBER(H24)),"NO_DATA",IF(NOT(ISNUMBER(I24)),"MONITOR",IF(INDEX(_TARGETS!$E$2:$E$17,MATCH("TRICF",_TARGETS!$A$2:$A$17,0))="≤",IF(H24&lt;=I24,"ON_TARGET","OFF_TARGET"),IF(H24&gt;=I24,"ON_TARGET","OFF_TARGET"))))</f>
        <v>ON_TARGET</v>
      </c>
      <c r="O24" s="193" t="str">
        <f t="shared" si="3"/>
        <v>Compressor Plant</v>
      </c>
      <c r="P24" s="193" t="str">
        <f ca="1">IF(LEFT(Control!$C$10,4)="ROJO","RED",IF(LEFT(Control!$C$10,8)="AMARILLO","AMBER","GREEN"))</f>
        <v>RED</v>
      </c>
      <c r="Q24" s="193">
        <f>IF(AND(ISNUMBER(MATCH(F24,Datos!$D$3:$AL$3,0)),F24&lt;=RPT_MONTH),1,0)</f>
        <v>1</v>
      </c>
      <c r="R24" s="193" t="str">
        <f t="shared" si="4"/>
        <v>OK</v>
      </c>
    </row>
    <row r="25" spans="1:18" ht="13.5" customHeight="1" x14ac:dyDescent="0.3">
      <c r="A25" t="s">
        <v>1089</v>
      </c>
      <c r="B25" t="s">
        <v>1094</v>
      </c>
      <c r="C25" t="s">
        <v>1095</v>
      </c>
      <c r="D25">
        <v>2</v>
      </c>
      <c r="E25">
        <v>12</v>
      </c>
      <c r="F25" s="258">
        <f>DATE(YEAR(RPT_MONTH),MONTH(RPT_MONTH)-0,1)</f>
        <v>46296</v>
      </c>
      <c r="G25" s="193" t="str">
        <f t="shared" si="0"/>
        <v>Oct-26</v>
      </c>
      <c r="H25" s="193" t="str">
        <f>IFERROR(1*INDEX(BD_KPIs!$F$2:$F$1300,MATCH(YEAR(F25)*100+MONTH(F25)&amp;"|TRICF|YTD",BD_KPIs!$Q$2:$Q$1300,0)),"")</f>
        <v/>
      </c>
      <c r="I25" s="193">
        <f>IF(ISNUMBER(INDEX(_TARGETS!$G$2:$G$17,MATCH("TRICF",_TARGETS!$A$2:$A$17,0))),INDEX(_TARGETS!$G$2:$G$17,MATCH("TRICF",_TARGETS!$A$2:$A$17,0)),"")</f>
        <v>2.35</v>
      </c>
      <c r="J25" t="s">
        <v>1092</v>
      </c>
      <c r="K25" t="s">
        <v>1093</v>
      </c>
      <c r="L25" s="193" t="str">
        <f t="shared" si="1"/>
        <v>NO_DATA</v>
      </c>
      <c r="M25" s="193" t="str">
        <f t="shared" si="2"/>
        <v>YTD</v>
      </c>
      <c r="N25" s="193" t="str">
        <f>IF(NOT(ISNUMBER(H25)),"NO_DATA",IF(NOT(ISNUMBER(I25)),"MONITOR",IF(INDEX(_TARGETS!$E$2:$E$17,MATCH("TRICF",_TARGETS!$A$2:$A$17,0))="≤",IF(H25&lt;=I25,"ON_TARGET","OFF_TARGET"),IF(H25&gt;=I25,"ON_TARGET","OFF_TARGET"))))</f>
        <v>NO_DATA</v>
      </c>
      <c r="O25" s="193" t="str">
        <f t="shared" si="3"/>
        <v>Compressor Plant</v>
      </c>
      <c r="P25" s="193" t="str">
        <f ca="1">IF(LEFT(Control!$C$10,4)="ROJO","RED",IF(LEFT(Control!$C$10,8)="AMARILLO","AMBER","GREEN"))</f>
        <v>RED</v>
      </c>
      <c r="Q25" s="193">
        <f>IF(AND(ISNUMBER(MATCH(F25,Datos!$D$3:$AL$3,0)),F25&lt;=RPT_MONTH),1,0)</f>
        <v>1</v>
      </c>
      <c r="R25" s="193" t="str">
        <f t="shared" si="4"/>
        <v>MISSING</v>
      </c>
    </row>
    <row r="26" spans="1:18" ht="13.5" customHeight="1" x14ac:dyDescent="0.3">
      <c r="A26" t="s">
        <v>1096</v>
      </c>
      <c r="B26" t="s">
        <v>1097</v>
      </c>
      <c r="C26" t="s">
        <v>1098</v>
      </c>
      <c r="D26">
        <v>1</v>
      </c>
      <c r="E26">
        <v>1</v>
      </c>
      <c r="F26" s="258">
        <f>DATE(YEAR(RPT_MONTH),MONTH(RPT_MONTH)-11,1)</f>
        <v>45962</v>
      </c>
      <c r="G26" s="193" t="str">
        <f t="shared" si="0"/>
        <v>Nov-25</v>
      </c>
      <c r="H26" s="193" t="str">
        <f>IFERROR(1*INDEX(BD_KPIs!$F$2:$F$1300,MATCH(YEAR(F26)*100+MONTH(F26)&amp;"|DAFWCF|Monthly",BD_KPIs!$Q$2:$Q$1300,0)),"")</f>
        <v/>
      </c>
      <c r="I26" s="193">
        <f>IF(ISNUMBER(INDEX(_TARGETS!$G$2:$G$17,MATCH("DAFWCF",_TARGETS!$A$2:$A$17,0))),INDEX(_TARGETS!$G$2:$G$17,MATCH("DAFWCF",_TARGETS!$A$2:$A$17,0)),"")</f>
        <v>0</v>
      </c>
      <c r="J26" t="s">
        <v>1092</v>
      </c>
      <c r="K26" t="s">
        <v>1093</v>
      </c>
      <c r="L26" s="193" t="str">
        <f t="shared" si="1"/>
        <v>NO_DATA</v>
      </c>
      <c r="M26" s="193" t="str">
        <f t="shared" si="2"/>
        <v>Monthly</v>
      </c>
      <c r="N26" s="193" t="str">
        <f>IF(NOT(ISNUMBER(H26)),"NO_DATA",IF(NOT(ISNUMBER(I26)),"MONITOR",IF(INDEX(_TARGETS!$E$2:$E$17,MATCH("DAFWCF",_TARGETS!$A$2:$A$17,0))="≤",IF(H26&lt;=I26,"ON_TARGET","OFF_TARGET"),IF(H26&gt;=I26,"ON_TARGET","OFF_TARGET"))))</f>
        <v>NO_DATA</v>
      </c>
      <c r="O26" s="193" t="str">
        <f t="shared" si="3"/>
        <v>Compressor Plant</v>
      </c>
      <c r="P26" s="193" t="str">
        <f ca="1">IF(LEFT(Control!$C$10,4)="ROJO","RED",IF(LEFT(Control!$C$10,8)="AMARILLO","AMBER","GREEN"))</f>
        <v>RED</v>
      </c>
      <c r="Q26" s="193">
        <f>IF(AND(ISNUMBER(MATCH(F26,Datos!$D$3:$AL$3,0)),F26&lt;=RPT_MONTH),1,0)</f>
        <v>0</v>
      </c>
      <c r="R26" s="193" t="str">
        <f t="shared" si="4"/>
        <v>OUT_OF_SCOPE</v>
      </c>
    </row>
    <row r="27" spans="1:18" ht="13.5" customHeight="1" x14ac:dyDescent="0.3">
      <c r="A27" t="s">
        <v>1096</v>
      </c>
      <c r="B27" t="s">
        <v>1097</v>
      </c>
      <c r="C27" t="s">
        <v>1098</v>
      </c>
      <c r="D27">
        <v>1</v>
      </c>
      <c r="E27">
        <v>2</v>
      </c>
      <c r="F27" s="258">
        <f>DATE(YEAR(RPT_MONTH),MONTH(RPT_MONTH)-10,1)</f>
        <v>45992</v>
      </c>
      <c r="G27" s="193" t="str">
        <f t="shared" si="0"/>
        <v>Dec-25</v>
      </c>
      <c r="H27" s="193" t="str">
        <f>IFERROR(1*INDEX(BD_KPIs!$F$2:$F$1300,MATCH(YEAR(F27)*100+MONTH(F27)&amp;"|DAFWCF|Monthly",BD_KPIs!$Q$2:$Q$1300,0)),"")</f>
        <v/>
      </c>
      <c r="I27" s="193">
        <f>IF(ISNUMBER(INDEX(_TARGETS!$G$2:$G$17,MATCH("DAFWCF",_TARGETS!$A$2:$A$17,0))),INDEX(_TARGETS!$G$2:$G$17,MATCH("DAFWCF",_TARGETS!$A$2:$A$17,0)),"")</f>
        <v>0</v>
      </c>
      <c r="J27" t="s">
        <v>1092</v>
      </c>
      <c r="K27" t="s">
        <v>1093</v>
      </c>
      <c r="L27" s="193" t="str">
        <f t="shared" si="1"/>
        <v>NO_DATA</v>
      </c>
      <c r="M27" s="193" t="str">
        <f t="shared" si="2"/>
        <v>Monthly</v>
      </c>
      <c r="N27" s="193" t="str">
        <f>IF(NOT(ISNUMBER(H27)),"NO_DATA",IF(NOT(ISNUMBER(I27)),"MONITOR",IF(INDEX(_TARGETS!$E$2:$E$17,MATCH("DAFWCF",_TARGETS!$A$2:$A$17,0))="≤",IF(H27&lt;=I27,"ON_TARGET","OFF_TARGET"),IF(H27&gt;=I27,"ON_TARGET","OFF_TARGET"))))</f>
        <v>NO_DATA</v>
      </c>
      <c r="O27" s="193" t="str">
        <f t="shared" si="3"/>
        <v>Compressor Plant</v>
      </c>
      <c r="P27" s="193" t="str">
        <f ca="1">IF(LEFT(Control!$C$10,4)="ROJO","RED",IF(LEFT(Control!$C$10,8)="AMARILLO","AMBER","GREEN"))</f>
        <v>RED</v>
      </c>
      <c r="Q27" s="193">
        <f>IF(AND(ISNUMBER(MATCH(F27,Datos!$D$3:$AL$3,0)),F27&lt;=RPT_MONTH),1,0)</f>
        <v>0</v>
      </c>
      <c r="R27" s="193" t="str">
        <f t="shared" si="4"/>
        <v>OUT_OF_SCOPE</v>
      </c>
    </row>
    <row r="28" spans="1:18" ht="13.5" customHeight="1" x14ac:dyDescent="0.3">
      <c r="A28" t="s">
        <v>1096</v>
      </c>
      <c r="B28" t="s">
        <v>1097</v>
      </c>
      <c r="C28" t="s">
        <v>1098</v>
      </c>
      <c r="D28">
        <v>1</v>
      </c>
      <c r="E28">
        <v>3</v>
      </c>
      <c r="F28" s="258">
        <f>DATE(YEAR(RPT_MONTH),MONTH(RPT_MONTH)-9,1)</f>
        <v>46023</v>
      </c>
      <c r="G28" s="193" t="str">
        <f t="shared" si="0"/>
        <v>Jan-26</v>
      </c>
      <c r="H28" s="193" t="str">
        <f>IFERROR(1*INDEX(BD_KPIs!$F$2:$F$1300,MATCH(YEAR(F28)*100+MONTH(F28)&amp;"|DAFWCF|Monthly",BD_KPIs!$Q$2:$Q$1300,0)),"")</f>
        <v/>
      </c>
      <c r="I28" s="193">
        <f>IF(ISNUMBER(INDEX(_TARGETS!$G$2:$G$17,MATCH("DAFWCF",_TARGETS!$A$2:$A$17,0))),INDEX(_TARGETS!$G$2:$G$17,MATCH("DAFWCF",_TARGETS!$A$2:$A$17,0)),"")</f>
        <v>0</v>
      </c>
      <c r="J28" t="s">
        <v>1092</v>
      </c>
      <c r="K28" t="s">
        <v>1093</v>
      </c>
      <c r="L28" s="193" t="str">
        <f t="shared" si="1"/>
        <v>NO_DATA</v>
      </c>
      <c r="M28" s="193" t="str">
        <f t="shared" si="2"/>
        <v>Monthly</v>
      </c>
      <c r="N28" s="193" t="str">
        <f>IF(NOT(ISNUMBER(H28)),"NO_DATA",IF(NOT(ISNUMBER(I28)),"MONITOR",IF(INDEX(_TARGETS!$E$2:$E$17,MATCH("DAFWCF",_TARGETS!$A$2:$A$17,0))="≤",IF(H28&lt;=I28,"ON_TARGET","OFF_TARGET"),IF(H28&gt;=I28,"ON_TARGET","OFF_TARGET"))))</f>
        <v>NO_DATA</v>
      </c>
      <c r="O28" s="193" t="str">
        <f t="shared" si="3"/>
        <v>Compressor Plant</v>
      </c>
      <c r="P28" s="193" t="str">
        <f ca="1">IF(LEFT(Control!$C$10,4)="ROJO","RED",IF(LEFT(Control!$C$10,8)="AMARILLO","AMBER","GREEN"))</f>
        <v>RED</v>
      </c>
      <c r="Q28" s="193">
        <f>IF(AND(ISNUMBER(MATCH(F28,Datos!$D$3:$AL$3,0)),F28&lt;=RPT_MONTH),1,0)</f>
        <v>0</v>
      </c>
      <c r="R28" s="193" t="str">
        <f t="shared" si="4"/>
        <v>OUT_OF_SCOPE</v>
      </c>
    </row>
    <row r="29" spans="1:18" ht="13.5" customHeight="1" x14ac:dyDescent="0.3">
      <c r="A29" t="s">
        <v>1096</v>
      </c>
      <c r="B29" t="s">
        <v>1097</v>
      </c>
      <c r="C29" t="s">
        <v>1098</v>
      </c>
      <c r="D29">
        <v>1</v>
      </c>
      <c r="E29">
        <v>4</v>
      </c>
      <c r="F29" s="258">
        <f>DATE(YEAR(RPT_MONTH),MONTH(RPT_MONTH)-8,1)</f>
        <v>46054</v>
      </c>
      <c r="G29" s="193" t="str">
        <f t="shared" si="0"/>
        <v>Feb-26</v>
      </c>
      <c r="H29" s="193" t="str">
        <f>IFERROR(1*INDEX(BD_KPIs!$F$2:$F$1300,MATCH(YEAR(F29)*100+MONTH(F29)&amp;"|DAFWCF|Monthly",BD_KPIs!$Q$2:$Q$1300,0)),"")</f>
        <v/>
      </c>
      <c r="I29" s="193">
        <f>IF(ISNUMBER(INDEX(_TARGETS!$G$2:$G$17,MATCH("DAFWCF",_TARGETS!$A$2:$A$17,0))),INDEX(_TARGETS!$G$2:$G$17,MATCH("DAFWCF",_TARGETS!$A$2:$A$17,0)),"")</f>
        <v>0</v>
      </c>
      <c r="J29" t="s">
        <v>1092</v>
      </c>
      <c r="K29" t="s">
        <v>1093</v>
      </c>
      <c r="L29" s="193" t="str">
        <f t="shared" si="1"/>
        <v>NO_DATA</v>
      </c>
      <c r="M29" s="193" t="str">
        <f t="shared" si="2"/>
        <v>Monthly</v>
      </c>
      <c r="N29" s="193" t="str">
        <f>IF(NOT(ISNUMBER(H29)),"NO_DATA",IF(NOT(ISNUMBER(I29)),"MONITOR",IF(INDEX(_TARGETS!$E$2:$E$17,MATCH("DAFWCF",_TARGETS!$A$2:$A$17,0))="≤",IF(H29&lt;=I29,"ON_TARGET","OFF_TARGET"),IF(H29&gt;=I29,"ON_TARGET","OFF_TARGET"))))</f>
        <v>NO_DATA</v>
      </c>
      <c r="O29" s="193" t="str">
        <f t="shared" si="3"/>
        <v>Compressor Plant</v>
      </c>
      <c r="P29" s="193" t="str">
        <f ca="1">IF(LEFT(Control!$C$10,4)="ROJO","RED",IF(LEFT(Control!$C$10,8)="AMARILLO","AMBER","GREEN"))</f>
        <v>RED</v>
      </c>
      <c r="Q29" s="193">
        <f>IF(AND(ISNUMBER(MATCH(F29,Datos!$D$3:$AL$3,0)),F29&lt;=RPT_MONTH),1,0)</f>
        <v>0</v>
      </c>
      <c r="R29" s="193" t="str">
        <f t="shared" si="4"/>
        <v>OUT_OF_SCOPE</v>
      </c>
    </row>
    <row r="30" spans="1:18" ht="13.5" customHeight="1" x14ac:dyDescent="0.3">
      <c r="A30" t="s">
        <v>1096</v>
      </c>
      <c r="B30" t="s">
        <v>1097</v>
      </c>
      <c r="C30" t="s">
        <v>1098</v>
      </c>
      <c r="D30">
        <v>1</v>
      </c>
      <c r="E30">
        <v>5</v>
      </c>
      <c r="F30" s="258">
        <f>DATE(YEAR(RPT_MONTH),MONTH(RPT_MONTH)-7,1)</f>
        <v>46082</v>
      </c>
      <c r="G30" s="193" t="str">
        <f t="shared" si="0"/>
        <v>Mar-26</v>
      </c>
      <c r="H30" s="193" t="str">
        <f>IFERROR(1*INDEX(BD_KPIs!$F$2:$F$1300,MATCH(YEAR(F30)*100+MONTH(F30)&amp;"|DAFWCF|Monthly",BD_KPIs!$Q$2:$Q$1300,0)),"")</f>
        <v/>
      </c>
      <c r="I30" s="193">
        <f>IF(ISNUMBER(INDEX(_TARGETS!$G$2:$G$17,MATCH("DAFWCF",_TARGETS!$A$2:$A$17,0))),INDEX(_TARGETS!$G$2:$G$17,MATCH("DAFWCF",_TARGETS!$A$2:$A$17,0)),"")</f>
        <v>0</v>
      </c>
      <c r="J30" t="s">
        <v>1092</v>
      </c>
      <c r="K30" t="s">
        <v>1093</v>
      </c>
      <c r="L30" s="193" t="str">
        <f t="shared" si="1"/>
        <v>NO_DATA</v>
      </c>
      <c r="M30" s="193" t="str">
        <f t="shared" si="2"/>
        <v>Monthly</v>
      </c>
      <c r="N30" s="193" t="str">
        <f>IF(NOT(ISNUMBER(H30)),"NO_DATA",IF(NOT(ISNUMBER(I30)),"MONITOR",IF(INDEX(_TARGETS!$E$2:$E$17,MATCH("DAFWCF",_TARGETS!$A$2:$A$17,0))="≤",IF(H30&lt;=I30,"ON_TARGET","OFF_TARGET"),IF(H30&gt;=I30,"ON_TARGET","OFF_TARGET"))))</f>
        <v>NO_DATA</v>
      </c>
      <c r="O30" s="193" t="str">
        <f t="shared" si="3"/>
        <v>Compressor Plant</v>
      </c>
      <c r="P30" s="193" t="str">
        <f ca="1">IF(LEFT(Control!$C$10,4)="ROJO","RED",IF(LEFT(Control!$C$10,8)="AMARILLO","AMBER","GREEN"))</f>
        <v>RED</v>
      </c>
      <c r="Q30" s="193">
        <f>IF(AND(ISNUMBER(MATCH(F30,Datos!$D$3:$AL$3,0)),F30&lt;=RPT_MONTH),1,0)</f>
        <v>0</v>
      </c>
      <c r="R30" s="193" t="str">
        <f t="shared" si="4"/>
        <v>OUT_OF_SCOPE</v>
      </c>
    </row>
    <row r="31" spans="1:18" ht="13.5" customHeight="1" x14ac:dyDescent="0.3">
      <c r="A31" t="s">
        <v>1096</v>
      </c>
      <c r="B31" t="s">
        <v>1097</v>
      </c>
      <c r="C31" t="s">
        <v>1098</v>
      </c>
      <c r="D31">
        <v>1</v>
      </c>
      <c r="E31">
        <v>6</v>
      </c>
      <c r="F31" s="258">
        <f>DATE(YEAR(RPT_MONTH),MONTH(RPT_MONTH)-6,1)</f>
        <v>46113</v>
      </c>
      <c r="G31" s="193" t="str">
        <f t="shared" si="0"/>
        <v>Apr-26</v>
      </c>
      <c r="H31" s="193" t="str">
        <f>IFERROR(1*INDEX(BD_KPIs!$F$2:$F$1300,MATCH(YEAR(F31)*100+MONTH(F31)&amp;"|DAFWCF|Monthly",BD_KPIs!$Q$2:$Q$1300,0)),"")</f>
        <v/>
      </c>
      <c r="I31" s="193">
        <f>IF(ISNUMBER(INDEX(_TARGETS!$G$2:$G$17,MATCH("DAFWCF",_TARGETS!$A$2:$A$17,0))),INDEX(_TARGETS!$G$2:$G$17,MATCH("DAFWCF",_TARGETS!$A$2:$A$17,0)),"")</f>
        <v>0</v>
      </c>
      <c r="J31" t="s">
        <v>1092</v>
      </c>
      <c r="K31" t="s">
        <v>1093</v>
      </c>
      <c r="L31" s="193" t="str">
        <f t="shared" si="1"/>
        <v>NO_DATA</v>
      </c>
      <c r="M31" s="193" t="str">
        <f t="shared" si="2"/>
        <v>Monthly</v>
      </c>
      <c r="N31" s="193" t="str">
        <f>IF(NOT(ISNUMBER(H31)),"NO_DATA",IF(NOT(ISNUMBER(I31)),"MONITOR",IF(INDEX(_TARGETS!$E$2:$E$17,MATCH("DAFWCF",_TARGETS!$A$2:$A$17,0))="≤",IF(H31&lt;=I31,"ON_TARGET","OFF_TARGET"),IF(H31&gt;=I31,"ON_TARGET","OFF_TARGET"))))</f>
        <v>NO_DATA</v>
      </c>
      <c r="O31" s="193" t="str">
        <f t="shared" si="3"/>
        <v>Compressor Plant</v>
      </c>
      <c r="P31" s="193" t="str">
        <f ca="1">IF(LEFT(Control!$C$10,4)="ROJO","RED",IF(LEFT(Control!$C$10,8)="AMARILLO","AMBER","GREEN"))</f>
        <v>RED</v>
      </c>
      <c r="Q31" s="193">
        <f>IF(AND(ISNUMBER(MATCH(F31,Datos!$D$3:$AL$3,0)),F31&lt;=RPT_MONTH),1,0)</f>
        <v>0</v>
      </c>
      <c r="R31" s="193" t="str">
        <f t="shared" si="4"/>
        <v>OUT_OF_SCOPE</v>
      </c>
    </row>
    <row r="32" spans="1:18" ht="13.5" customHeight="1" x14ac:dyDescent="0.3">
      <c r="A32" t="s">
        <v>1096</v>
      </c>
      <c r="B32" t="s">
        <v>1097</v>
      </c>
      <c r="C32" t="s">
        <v>1098</v>
      </c>
      <c r="D32">
        <v>1</v>
      </c>
      <c r="E32">
        <v>7</v>
      </c>
      <c r="F32" s="258">
        <f>DATE(YEAR(RPT_MONTH),MONTH(RPT_MONTH)-5,1)</f>
        <v>46143</v>
      </c>
      <c r="G32" s="193" t="str">
        <f t="shared" si="0"/>
        <v>May-26</v>
      </c>
      <c r="H32" s="193" t="str">
        <f>IFERROR(1*INDEX(BD_KPIs!$F$2:$F$1300,MATCH(YEAR(F32)*100+MONTH(F32)&amp;"|DAFWCF|Monthly",BD_KPIs!$Q$2:$Q$1300,0)),"")</f>
        <v/>
      </c>
      <c r="I32" s="193">
        <f>IF(ISNUMBER(INDEX(_TARGETS!$G$2:$G$17,MATCH("DAFWCF",_TARGETS!$A$2:$A$17,0))),INDEX(_TARGETS!$G$2:$G$17,MATCH("DAFWCF",_TARGETS!$A$2:$A$17,0)),"")</f>
        <v>0</v>
      </c>
      <c r="J32" t="s">
        <v>1092</v>
      </c>
      <c r="K32" t="s">
        <v>1093</v>
      </c>
      <c r="L32" s="193" t="str">
        <f t="shared" si="1"/>
        <v>NO_DATA</v>
      </c>
      <c r="M32" s="193" t="str">
        <f t="shared" si="2"/>
        <v>Monthly</v>
      </c>
      <c r="N32" s="193" t="str">
        <f>IF(NOT(ISNUMBER(H32)),"NO_DATA",IF(NOT(ISNUMBER(I32)),"MONITOR",IF(INDEX(_TARGETS!$E$2:$E$17,MATCH("DAFWCF",_TARGETS!$A$2:$A$17,0))="≤",IF(H32&lt;=I32,"ON_TARGET","OFF_TARGET"),IF(H32&gt;=I32,"ON_TARGET","OFF_TARGET"))))</f>
        <v>NO_DATA</v>
      </c>
      <c r="O32" s="193" t="str">
        <f t="shared" si="3"/>
        <v>Compressor Plant</v>
      </c>
      <c r="P32" s="193" t="str">
        <f ca="1">IF(LEFT(Control!$C$10,4)="ROJO","RED",IF(LEFT(Control!$C$10,8)="AMARILLO","AMBER","GREEN"))</f>
        <v>RED</v>
      </c>
      <c r="Q32" s="193">
        <f>IF(AND(ISNUMBER(MATCH(F32,Datos!$D$3:$AL$3,0)),F32&lt;=RPT_MONTH),1,0)</f>
        <v>0</v>
      </c>
      <c r="R32" s="193" t="str">
        <f t="shared" si="4"/>
        <v>OUT_OF_SCOPE</v>
      </c>
    </row>
    <row r="33" spans="1:18" ht="13.5" customHeight="1" x14ac:dyDescent="0.3">
      <c r="A33" t="s">
        <v>1096</v>
      </c>
      <c r="B33" t="s">
        <v>1097</v>
      </c>
      <c r="C33" t="s">
        <v>1098</v>
      </c>
      <c r="D33">
        <v>1</v>
      </c>
      <c r="E33">
        <v>8</v>
      </c>
      <c r="F33" s="258">
        <f>DATE(YEAR(RPT_MONTH),MONTH(RPT_MONTH)-4,1)</f>
        <v>46174</v>
      </c>
      <c r="G33" s="193" t="str">
        <f t="shared" si="0"/>
        <v>Jun-26</v>
      </c>
      <c r="H33" s="193" t="str">
        <f>IFERROR(1*INDEX(BD_KPIs!$F$2:$F$1300,MATCH(YEAR(F33)*100+MONTH(F33)&amp;"|DAFWCF|Monthly",BD_KPIs!$Q$2:$Q$1300,0)),"")</f>
        <v/>
      </c>
      <c r="I33" s="193">
        <f>IF(ISNUMBER(INDEX(_TARGETS!$G$2:$G$17,MATCH("DAFWCF",_TARGETS!$A$2:$A$17,0))),INDEX(_TARGETS!$G$2:$G$17,MATCH("DAFWCF",_TARGETS!$A$2:$A$17,0)),"")</f>
        <v>0</v>
      </c>
      <c r="J33" t="s">
        <v>1092</v>
      </c>
      <c r="K33" t="s">
        <v>1093</v>
      </c>
      <c r="L33" s="193" t="str">
        <f t="shared" si="1"/>
        <v>NO_DATA</v>
      </c>
      <c r="M33" s="193" t="str">
        <f t="shared" si="2"/>
        <v>Monthly</v>
      </c>
      <c r="N33" s="193" t="str">
        <f>IF(NOT(ISNUMBER(H33)),"NO_DATA",IF(NOT(ISNUMBER(I33)),"MONITOR",IF(INDEX(_TARGETS!$E$2:$E$17,MATCH("DAFWCF",_TARGETS!$A$2:$A$17,0))="≤",IF(H33&lt;=I33,"ON_TARGET","OFF_TARGET"),IF(H33&gt;=I33,"ON_TARGET","OFF_TARGET"))))</f>
        <v>NO_DATA</v>
      </c>
      <c r="O33" s="193" t="str">
        <f t="shared" si="3"/>
        <v>Compressor Plant</v>
      </c>
      <c r="P33" s="193" t="str">
        <f ca="1">IF(LEFT(Control!$C$10,4)="ROJO","RED",IF(LEFT(Control!$C$10,8)="AMARILLO","AMBER","GREEN"))</f>
        <v>RED</v>
      </c>
      <c r="Q33" s="193">
        <f>IF(AND(ISNUMBER(MATCH(F33,Datos!$D$3:$AL$3,0)),F33&lt;=RPT_MONTH),1,0)</f>
        <v>0</v>
      </c>
      <c r="R33" s="193" t="str">
        <f t="shared" si="4"/>
        <v>OUT_OF_SCOPE</v>
      </c>
    </row>
    <row r="34" spans="1:18" ht="13.5" customHeight="1" x14ac:dyDescent="0.3">
      <c r="A34" t="s">
        <v>1096</v>
      </c>
      <c r="B34" t="s">
        <v>1097</v>
      </c>
      <c r="C34" t="s">
        <v>1098</v>
      </c>
      <c r="D34">
        <v>1</v>
      </c>
      <c r="E34">
        <v>9</v>
      </c>
      <c r="F34" s="258">
        <f>DATE(YEAR(RPT_MONTH),MONTH(RPT_MONTH)-3,1)</f>
        <v>46204</v>
      </c>
      <c r="G34" s="193" t="str">
        <f t="shared" si="0"/>
        <v>Jul-26</v>
      </c>
      <c r="H34" s="193" t="str">
        <f>IFERROR(1*INDEX(BD_KPIs!$F$2:$F$1300,MATCH(YEAR(F34)*100+MONTH(F34)&amp;"|DAFWCF|Monthly",BD_KPIs!$Q$2:$Q$1300,0)),"")</f>
        <v/>
      </c>
      <c r="I34" s="193">
        <f>IF(ISNUMBER(INDEX(_TARGETS!$G$2:$G$17,MATCH("DAFWCF",_TARGETS!$A$2:$A$17,0))),INDEX(_TARGETS!$G$2:$G$17,MATCH("DAFWCF",_TARGETS!$A$2:$A$17,0)),"")</f>
        <v>0</v>
      </c>
      <c r="J34" t="s">
        <v>1092</v>
      </c>
      <c r="K34" t="s">
        <v>1093</v>
      </c>
      <c r="L34" s="193" t="str">
        <f t="shared" si="1"/>
        <v>NO_DATA</v>
      </c>
      <c r="M34" s="193" t="str">
        <f t="shared" si="2"/>
        <v>Monthly</v>
      </c>
      <c r="N34" s="193" t="str">
        <f>IF(NOT(ISNUMBER(H34)),"NO_DATA",IF(NOT(ISNUMBER(I34)),"MONITOR",IF(INDEX(_TARGETS!$E$2:$E$17,MATCH("DAFWCF",_TARGETS!$A$2:$A$17,0))="≤",IF(H34&lt;=I34,"ON_TARGET","OFF_TARGET"),IF(H34&gt;=I34,"ON_TARGET","OFF_TARGET"))))</f>
        <v>NO_DATA</v>
      </c>
      <c r="O34" s="193" t="str">
        <f t="shared" si="3"/>
        <v>Compressor Plant</v>
      </c>
      <c r="P34" s="193" t="str">
        <f ca="1">IF(LEFT(Control!$C$10,4)="ROJO","RED",IF(LEFT(Control!$C$10,8)="AMARILLO","AMBER","GREEN"))</f>
        <v>RED</v>
      </c>
      <c r="Q34" s="193">
        <f>IF(AND(ISNUMBER(MATCH(F34,Datos!$D$3:$AL$3,0)),F34&lt;=RPT_MONTH),1,0)</f>
        <v>0</v>
      </c>
      <c r="R34" s="193" t="str">
        <f t="shared" si="4"/>
        <v>OUT_OF_SCOPE</v>
      </c>
    </row>
    <row r="35" spans="1:18" ht="13.5" customHeight="1" x14ac:dyDescent="0.3">
      <c r="A35" t="s">
        <v>1096</v>
      </c>
      <c r="B35" t="s">
        <v>1097</v>
      </c>
      <c r="C35" t="s">
        <v>1098</v>
      </c>
      <c r="D35">
        <v>1</v>
      </c>
      <c r="E35">
        <v>10</v>
      </c>
      <c r="F35" s="258">
        <f>DATE(YEAR(RPT_MONTH),MONTH(RPT_MONTH)-2,1)</f>
        <v>46235</v>
      </c>
      <c r="G35" s="193" t="str">
        <f t="shared" si="0"/>
        <v>Aug-26</v>
      </c>
      <c r="H35" s="193">
        <f>IFERROR(1*INDEX(BD_KPIs!$F$2:$F$1300,MATCH(YEAR(F35)*100+MONTH(F35)&amp;"|DAFWCF|Monthly",BD_KPIs!$Q$2:$Q$1300,0)),"")</f>
        <v>0</v>
      </c>
      <c r="I35" s="193">
        <f>IF(ISNUMBER(INDEX(_TARGETS!$G$2:$G$17,MATCH("DAFWCF",_TARGETS!$A$2:$A$17,0))),INDEX(_TARGETS!$G$2:$G$17,MATCH("DAFWCF",_TARGETS!$A$2:$A$17,0)),"")</f>
        <v>0</v>
      </c>
      <c r="J35" t="s">
        <v>1092</v>
      </c>
      <c r="K35" t="s">
        <v>1093</v>
      </c>
      <c r="L35" s="193" t="str">
        <f t="shared" si="1"/>
        <v>OK</v>
      </c>
      <c r="M35" s="193" t="str">
        <f t="shared" si="2"/>
        <v>Monthly</v>
      </c>
      <c r="N35" s="193" t="str">
        <f>IF(NOT(ISNUMBER(H35)),"NO_DATA",IF(NOT(ISNUMBER(I35)),"MONITOR",IF(INDEX(_TARGETS!$E$2:$E$17,MATCH("DAFWCF",_TARGETS!$A$2:$A$17,0))="≤",IF(H35&lt;=I35,"ON_TARGET","OFF_TARGET"),IF(H35&gt;=I35,"ON_TARGET","OFF_TARGET"))))</f>
        <v>ON_TARGET</v>
      </c>
      <c r="O35" s="193" t="str">
        <f t="shared" si="3"/>
        <v>Compressor Plant</v>
      </c>
      <c r="P35" s="193" t="str">
        <f ca="1">IF(LEFT(Control!$C$10,4)="ROJO","RED",IF(LEFT(Control!$C$10,8)="AMARILLO","AMBER","GREEN"))</f>
        <v>RED</v>
      </c>
      <c r="Q35" s="193">
        <f>IF(AND(ISNUMBER(MATCH(F35,Datos!$D$3:$AL$3,0)),F35&lt;=RPT_MONTH),1,0)</f>
        <v>1</v>
      </c>
      <c r="R35" s="193" t="str">
        <f t="shared" si="4"/>
        <v>OK</v>
      </c>
    </row>
    <row r="36" spans="1:18" ht="13.5" customHeight="1" x14ac:dyDescent="0.3">
      <c r="A36" t="s">
        <v>1096</v>
      </c>
      <c r="B36" t="s">
        <v>1097</v>
      </c>
      <c r="C36" t="s">
        <v>1098</v>
      </c>
      <c r="D36">
        <v>1</v>
      </c>
      <c r="E36">
        <v>11</v>
      </c>
      <c r="F36" s="258">
        <f>DATE(YEAR(RPT_MONTH),MONTH(RPT_MONTH)-1,1)</f>
        <v>46266</v>
      </c>
      <c r="G36" s="193" t="str">
        <f t="shared" si="0"/>
        <v>Sep-26</v>
      </c>
      <c r="H36" s="193">
        <f>IFERROR(1*INDEX(BD_KPIs!$F$2:$F$1300,MATCH(YEAR(F36)*100+MONTH(F36)&amp;"|DAFWCF|Monthly",BD_KPIs!$Q$2:$Q$1300,0)),"")</f>
        <v>0</v>
      </c>
      <c r="I36" s="193">
        <f>IF(ISNUMBER(INDEX(_TARGETS!$G$2:$G$17,MATCH("DAFWCF",_TARGETS!$A$2:$A$17,0))),INDEX(_TARGETS!$G$2:$G$17,MATCH("DAFWCF",_TARGETS!$A$2:$A$17,0)),"")</f>
        <v>0</v>
      </c>
      <c r="J36" t="s">
        <v>1092</v>
      </c>
      <c r="K36" t="s">
        <v>1093</v>
      </c>
      <c r="L36" s="193" t="str">
        <f t="shared" si="1"/>
        <v>OK</v>
      </c>
      <c r="M36" s="193" t="str">
        <f t="shared" si="2"/>
        <v>Monthly</v>
      </c>
      <c r="N36" s="193" t="str">
        <f>IF(NOT(ISNUMBER(H36)),"NO_DATA",IF(NOT(ISNUMBER(I36)),"MONITOR",IF(INDEX(_TARGETS!$E$2:$E$17,MATCH("DAFWCF",_TARGETS!$A$2:$A$17,0))="≤",IF(H36&lt;=I36,"ON_TARGET","OFF_TARGET"),IF(H36&gt;=I36,"ON_TARGET","OFF_TARGET"))))</f>
        <v>ON_TARGET</v>
      </c>
      <c r="O36" s="193" t="str">
        <f t="shared" si="3"/>
        <v>Compressor Plant</v>
      </c>
      <c r="P36" s="193" t="str">
        <f ca="1">IF(LEFT(Control!$C$10,4)="ROJO","RED",IF(LEFT(Control!$C$10,8)="AMARILLO","AMBER","GREEN"))</f>
        <v>RED</v>
      </c>
      <c r="Q36" s="193">
        <f>IF(AND(ISNUMBER(MATCH(F36,Datos!$D$3:$AL$3,0)),F36&lt;=RPT_MONTH),1,0)</f>
        <v>1</v>
      </c>
      <c r="R36" s="193" t="str">
        <f t="shared" si="4"/>
        <v>OK</v>
      </c>
    </row>
    <row r="37" spans="1:18" ht="13.5" customHeight="1" x14ac:dyDescent="0.3">
      <c r="A37" t="s">
        <v>1096</v>
      </c>
      <c r="B37" t="s">
        <v>1097</v>
      </c>
      <c r="C37" t="s">
        <v>1098</v>
      </c>
      <c r="D37">
        <v>1</v>
      </c>
      <c r="E37">
        <v>12</v>
      </c>
      <c r="F37" s="258">
        <f>DATE(YEAR(RPT_MONTH),MONTH(RPT_MONTH)-0,1)</f>
        <v>46296</v>
      </c>
      <c r="G37" s="193" t="str">
        <f t="shared" si="0"/>
        <v>Oct-26</v>
      </c>
      <c r="H37" s="193" t="str">
        <f>IFERROR(1*INDEX(BD_KPIs!$F$2:$F$1300,MATCH(YEAR(F37)*100+MONTH(F37)&amp;"|DAFWCF|Monthly",BD_KPIs!$Q$2:$Q$1300,0)),"")</f>
        <v/>
      </c>
      <c r="I37" s="193">
        <f>IF(ISNUMBER(INDEX(_TARGETS!$G$2:$G$17,MATCH("DAFWCF",_TARGETS!$A$2:$A$17,0))),INDEX(_TARGETS!$G$2:$G$17,MATCH("DAFWCF",_TARGETS!$A$2:$A$17,0)),"")</f>
        <v>0</v>
      </c>
      <c r="J37" t="s">
        <v>1092</v>
      </c>
      <c r="K37" t="s">
        <v>1093</v>
      </c>
      <c r="L37" s="193" t="str">
        <f t="shared" si="1"/>
        <v>NO_DATA</v>
      </c>
      <c r="M37" s="193" t="str">
        <f t="shared" si="2"/>
        <v>Monthly</v>
      </c>
      <c r="N37" s="193" t="str">
        <f>IF(NOT(ISNUMBER(H37)),"NO_DATA",IF(NOT(ISNUMBER(I37)),"MONITOR",IF(INDEX(_TARGETS!$E$2:$E$17,MATCH("DAFWCF",_TARGETS!$A$2:$A$17,0))="≤",IF(H37&lt;=I37,"ON_TARGET","OFF_TARGET"),IF(H37&gt;=I37,"ON_TARGET","OFF_TARGET"))))</f>
        <v>NO_DATA</v>
      </c>
      <c r="O37" s="193" t="str">
        <f t="shared" si="3"/>
        <v>Compressor Plant</v>
      </c>
      <c r="P37" s="193" t="str">
        <f ca="1">IF(LEFT(Control!$C$10,4)="ROJO","RED",IF(LEFT(Control!$C$10,8)="AMARILLO","AMBER","GREEN"))</f>
        <v>RED</v>
      </c>
      <c r="Q37" s="193">
        <f>IF(AND(ISNUMBER(MATCH(F37,Datos!$D$3:$AL$3,0)),F37&lt;=RPT_MONTH),1,0)</f>
        <v>1</v>
      </c>
      <c r="R37" s="193" t="str">
        <f t="shared" si="4"/>
        <v>MISSING</v>
      </c>
    </row>
    <row r="38" spans="1:18" ht="13.5" customHeight="1" x14ac:dyDescent="0.3">
      <c r="A38" t="s">
        <v>1096</v>
      </c>
      <c r="B38" t="s">
        <v>1099</v>
      </c>
      <c r="C38" t="s">
        <v>1100</v>
      </c>
      <c r="D38">
        <v>2</v>
      </c>
      <c r="E38">
        <v>1</v>
      </c>
      <c r="F38" s="258">
        <f>DATE(YEAR(RPT_MONTH),MONTH(RPT_MONTH)-11,1)</f>
        <v>45962</v>
      </c>
      <c r="G38" s="193" t="str">
        <f t="shared" si="0"/>
        <v>Nov-25</v>
      </c>
      <c r="H38" s="193" t="str">
        <f>IFERROR(1*INDEX(BD_KPIs!$F$2:$F$1300,MATCH(YEAR(F38)*100+MONTH(F38)&amp;"|DAFWCF|YTD",BD_KPIs!$Q$2:$Q$1300,0)),"")</f>
        <v/>
      </c>
      <c r="I38" s="193">
        <f>IF(ISNUMBER(INDEX(_TARGETS!$G$2:$G$17,MATCH("DAFWCF",_TARGETS!$A$2:$A$17,0))),INDEX(_TARGETS!$G$2:$G$17,MATCH("DAFWCF",_TARGETS!$A$2:$A$17,0)),"")</f>
        <v>0</v>
      </c>
      <c r="J38" t="s">
        <v>1092</v>
      </c>
      <c r="K38" t="s">
        <v>1093</v>
      </c>
      <c r="L38" s="193" t="str">
        <f t="shared" si="1"/>
        <v>NO_DATA</v>
      </c>
      <c r="M38" s="193" t="str">
        <f t="shared" si="2"/>
        <v>YTD</v>
      </c>
      <c r="N38" s="193" t="str">
        <f>IF(NOT(ISNUMBER(H38)),"NO_DATA",IF(NOT(ISNUMBER(I38)),"MONITOR",IF(INDEX(_TARGETS!$E$2:$E$17,MATCH("DAFWCF",_TARGETS!$A$2:$A$17,0))="≤",IF(H38&lt;=I38,"ON_TARGET","OFF_TARGET"),IF(H38&gt;=I38,"ON_TARGET","OFF_TARGET"))))</f>
        <v>NO_DATA</v>
      </c>
      <c r="O38" s="193" t="str">
        <f t="shared" si="3"/>
        <v>Compressor Plant</v>
      </c>
      <c r="P38" s="193" t="str">
        <f ca="1">IF(LEFT(Control!$C$10,4)="ROJO","RED",IF(LEFT(Control!$C$10,8)="AMARILLO","AMBER","GREEN"))</f>
        <v>RED</v>
      </c>
      <c r="Q38" s="193">
        <f>IF(AND(ISNUMBER(MATCH(F38,Datos!$D$3:$AL$3,0)),F38&lt;=RPT_MONTH),1,0)</f>
        <v>0</v>
      </c>
      <c r="R38" s="193" t="str">
        <f t="shared" si="4"/>
        <v>OUT_OF_SCOPE</v>
      </c>
    </row>
    <row r="39" spans="1:18" ht="13.5" customHeight="1" x14ac:dyDescent="0.3">
      <c r="A39" t="s">
        <v>1096</v>
      </c>
      <c r="B39" t="s">
        <v>1099</v>
      </c>
      <c r="C39" t="s">
        <v>1100</v>
      </c>
      <c r="D39">
        <v>2</v>
      </c>
      <c r="E39">
        <v>2</v>
      </c>
      <c r="F39" s="258">
        <f>DATE(YEAR(RPT_MONTH),MONTH(RPT_MONTH)-10,1)</f>
        <v>45992</v>
      </c>
      <c r="G39" s="193" t="str">
        <f t="shared" si="0"/>
        <v>Dec-25</v>
      </c>
      <c r="H39" s="193" t="str">
        <f>IFERROR(1*INDEX(BD_KPIs!$F$2:$F$1300,MATCH(YEAR(F39)*100+MONTH(F39)&amp;"|DAFWCF|YTD",BD_KPIs!$Q$2:$Q$1300,0)),"")</f>
        <v/>
      </c>
      <c r="I39" s="193">
        <f>IF(ISNUMBER(INDEX(_TARGETS!$G$2:$G$17,MATCH("DAFWCF",_TARGETS!$A$2:$A$17,0))),INDEX(_TARGETS!$G$2:$G$17,MATCH("DAFWCF",_TARGETS!$A$2:$A$17,0)),"")</f>
        <v>0</v>
      </c>
      <c r="J39" t="s">
        <v>1092</v>
      </c>
      <c r="K39" t="s">
        <v>1093</v>
      </c>
      <c r="L39" s="193" t="str">
        <f t="shared" si="1"/>
        <v>NO_DATA</v>
      </c>
      <c r="M39" s="193" t="str">
        <f t="shared" si="2"/>
        <v>YTD</v>
      </c>
      <c r="N39" s="193" t="str">
        <f>IF(NOT(ISNUMBER(H39)),"NO_DATA",IF(NOT(ISNUMBER(I39)),"MONITOR",IF(INDEX(_TARGETS!$E$2:$E$17,MATCH("DAFWCF",_TARGETS!$A$2:$A$17,0))="≤",IF(H39&lt;=I39,"ON_TARGET","OFF_TARGET"),IF(H39&gt;=I39,"ON_TARGET","OFF_TARGET"))))</f>
        <v>NO_DATA</v>
      </c>
      <c r="O39" s="193" t="str">
        <f t="shared" si="3"/>
        <v>Compressor Plant</v>
      </c>
      <c r="P39" s="193" t="str">
        <f ca="1">IF(LEFT(Control!$C$10,4)="ROJO","RED",IF(LEFT(Control!$C$10,8)="AMARILLO","AMBER","GREEN"))</f>
        <v>RED</v>
      </c>
      <c r="Q39" s="193">
        <f>IF(AND(ISNUMBER(MATCH(F39,Datos!$D$3:$AL$3,0)),F39&lt;=RPT_MONTH),1,0)</f>
        <v>0</v>
      </c>
      <c r="R39" s="193" t="str">
        <f t="shared" si="4"/>
        <v>OUT_OF_SCOPE</v>
      </c>
    </row>
    <row r="40" spans="1:18" ht="13.5" customHeight="1" x14ac:dyDescent="0.3">
      <c r="A40" t="s">
        <v>1096</v>
      </c>
      <c r="B40" t="s">
        <v>1099</v>
      </c>
      <c r="C40" t="s">
        <v>1100</v>
      </c>
      <c r="D40">
        <v>2</v>
      </c>
      <c r="E40">
        <v>3</v>
      </c>
      <c r="F40" s="258">
        <f>DATE(YEAR(RPT_MONTH),MONTH(RPT_MONTH)-9,1)</f>
        <v>46023</v>
      </c>
      <c r="G40" s="193" t="str">
        <f t="shared" si="0"/>
        <v>Jan-26</v>
      </c>
      <c r="H40" s="193" t="str">
        <f>IFERROR(1*INDEX(BD_KPIs!$F$2:$F$1300,MATCH(YEAR(F40)*100+MONTH(F40)&amp;"|DAFWCF|YTD",BD_KPIs!$Q$2:$Q$1300,0)),"")</f>
        <v/>
      </c>
      <c r="I40" s="193">
        <f>IF(ISNUMBER(INDEX(_TARGETS!$G$2:$G$17,MATCH("DAFWCF",_TARGETS!$A$2:$A$17,0))),INDEX(_TARGETS!$G$2:$G$17,MATCH("DAFWCF",_TARGETS!$A$2:$A$17,0)),"")</f>
        <v>0</v>
      </c>
      <c r="J40" t="s">
        <v>1092</v>
      </c>
      <c r="K40" t="s">
        <v>1093</v>
      </c>
      <c r="L40" s="193" t="str">
        <f t="shared" si="1"/>
        <v>NO_DATA</v>
      </c>
      <c r="M40" s="193" t="str">
        <f t="shared" si="2"/>
        <v>YTD</v>
      </c>
      <c r="N40" s="193" t="str">
        <f>IF(NOT(ISNUMBER(H40)),"NO_DATA",IF(NOT(ISNUMBER(I40)),"MONITOR",IF(INDEX(_TARGETS!$E$2:$E$17,MATCH("DAFWCF",_TARGETS!$A$2:$A$17,0))="≤",IF(H40&lt;=I40,"ON_TARGET","OFF_TARGET"),IF(H40&gt;=I40,"ON_TARGET","OFF_TARGET"))))</f>
        <v>NO_DATA</v>
      </c>
      <c r="O40" s="193" t="str">
        <f t="shared" si="3"/>
        <v>Compressor Plant</v>
      </c>
      <c r="P40" s="193" t="str">
        <f ca="1">IF(LEFT(Control!$C$10,4)="ROJO","RED",IF(LEFT(Control!$C$10,8)="AMARILLO","AMBER","GREEN"))</f>
        <v>RED</v>
      </c>
      <c r="Q40" s="193">
        <f>IF(AND(ISNUMBER(MATCH(F40,Datos!$D$3:$AL$3,0)),F40&lt;=RPT_MONTH),1,0)</f>
        <v>0</v>
      </c>
      <c r="R40" s="193" t="str">
        <f t="shared" si="4"/>
        <v>OUT_OF_SCOPE</v>
      </c>
    </row>
    <row r="41" spans="1:18" ht="13.5" customHeight="1" x14ac:dyDescent="0.3">
      <c r="A41" t="s">
        <v>1096</v>
      </c>
      <c r="B41" t="s">
        <v>1099</v>
      </c>
      <c r="C41" t="s">
        <v>1100</v>
      </c>
      <c r="D41">
        <v>2</v>
      </c>
      <c r="E41">
        <v>4</v>
      </c>
      <c r="F41" s="258">
        <f>DATE(YEAR(RPT_MONTH),MONTH(RPT_MONTH)-8,1)</f>
        <v>46054</v>
      </c>
      <c r="G41" s="193" t="str">
        <f t="shared" si="0"/>
        <v>Feb-26</v>
      </c>
      <c r="H41" s="193" t="str">
        <f>IFERROR(1*INDEX(BD_KPIs!$F$2:$F$1300,MATCH(YEAR(F41)*100+MONTH(F41)&amp;"|DAFWCF|YTD",BD_KPIs!$Q$2:$Q$1300,0)),"")</f>
        <v/>
      </c>
      <c r="I41" s="193">
        <f>IF(ISNUMBER(INDEX(_TARGETS!$G$2:$G$17,MATCH("DAFWCF",_TARGETS!$A$2:$A$17,0))),INDEX(_TARGETS!$G$2:$G$17,MATCH("DAFWCF",_TARGETS!$A$2:$A$17,0)),"")</f>
        <v>0</v>
      </c>
      <c r="J41" t="s">
        <v>1092</v>
      </c>
      <c r="K41" t="s">
        <v>1093</v>
      </c>
      <c r="L41" s="193" t="str">
        <f t="shared" si="1"/>
        <v>NO_DATA</v>
      </c>
      <c r="M41" s="193" t="str">
        <f t="shared" si="2"/>
        <v>YTD</v>
      </c>
      <c r="N41" s="193" t="str">
        <f>IF(NOT(ISNUMBER(H41)),"NO_DATA",IF(NOT(ISNUMBER(I41)),"MONITOR",IF(INDEX(_TARGETS!$E$2:$E$17,MATCH("DAFWCF",_TARGETS!$A$2:$A$17,0))="≤",IF(H41&lt;=I41,"ON_TARGET","OFF_TARGET"),IF(H41&gt;=I41,"ON_TARGET","OFF_TARGET"))))</f>
        <v>NO_DATA</v>
      </c>
      <c r="O41" s="193" t="str">
        <f t="shared" si="3"/>
        <v>Compressor Plant</v>
      </c>
      <c r="P41" s="193" t="str">
        <f ca="1">IF(LEFT(Control!$C$10,4)="ROJO","RED",IF(LEFT(Control!$C$10,8)="AMARILLO","AMBER","GREEN"))</f>
        <v>RED</v>
      </c>
      <c r="Q41" s="193">
        <f>IF(AND(ISNUMBER(MATCH(F41,Datos!$D$3:$AL$3,0)),F41&lt;=RPT_MONTH),1,0)</f>
        <v>0</v>
      </c>
      <c r="R41" s="193" t="str">
        <f t="shared" si="4"/>
        <v>OUT_OF_SCOPE</v>
      </c>
    </row>
    <row r="42" spans="1:18" ht="13.5" customHeight="1" x14ac:dyDescent="0.3">
      <c r="A42" t="s">
        <v>1096</v>
      </c>
      <c r="B42" t="s">
        <v>1099</v>
      </c>
      <c r="C42" t="s">
        <v>1100</v>
      </c>
      <c r="D42">
        <v>2</v>
      </c>
      <c r="E42">
        <v>5</v>
      </c>
      <c r="F42" s="258">
        <f>DATE(YEAR(RPT_MONTH),MONTH(RPT_MONTH)-7,1)</f>
        <v>46082</v>
      </c>
      <c r="G42" s="193" t="str">
        <f t="shared" si="0"/>
        <v>Mar-26</v>
      </c>
      <c r="H42" s="193" t="str">
        <f>IFERROR(1*INDEX(BD_KPIs!$F$2:$F$1300,MATCH(YEAR(F42)*100+MONTH(F42)&amp;"|DAFWCF|YTD",BD_KPIs!$Q$2:$Q$1300,0)),"")</f>
        <v/>
      </c>
      <c r="I42" s="193">
        <f>IF(ISNUMBER(INDEX(_TARGETS!$G$2:$G$17,MATCH("DAFWCF",_TARGETS!$A$2:$A$17,0))),INDEX(_TARGETS!$G$2:$G$17,MATCH("DAFWCF",_TARGETS!$A$2:$A$17,0)),"")</f>
        <v>0</v>
      </c>
      <c r="J42" t="s">
        <v>1092</v>
      </c>
      <c r="K42" t="s">
        <v>1093</v>
      </c>
      <c r="L42" s="193" t="str">
        <f t="shared" si="1"/>
        <v>NO_DATA</v>
      </c>
      <c r="M42" s="193" t="str">
        <f t="shared" si="2"/>
        <v>YTD</v>
      </c>
      <c r="N42" s="193" t="str">
        <f>IF(NOT(ISNUMBER(H42)),"NO_DATA",IF(NOT(ISNUMBER(I42)),"MONITOR",IF(INDEX(_TARGETS!$E$2:$E$17,MATCH("DAFWCF",_TARGETS!$A$2:$A$17,0))="≤",IF(H42&lt;=I42,"ON_TARGET","OFF_TARGET"),IF(H42&gt;=I42,"ON_TARGET","OFF_TARGET"))))</f>
        <v>NO_DATA</v>
      </c>
      <c r="O42" s="193" t="str">
        <f t="shared" si="3"/>
        <v>Compressor Plant</v>
      </c>
      <c r="P42" s="193" t="str">
        <f ca="1">IF(LEFT(Control!$C$10,4)="ROJO","RED",IF(LEFT(Control!$C$10,8)="AMARILLO","AMBER","GREEN"))</f>
        <v>RED</v>
      </c>
      <c r="Q42" s="193">
        <f>IF(AND(ISNUMBER(MATCH(F42,Datos!$D$3:$AL$3,0)),F42&lt;=RPT_MONTH),1,0)</f>
        <v>0</v>
      </c>
      <c r="R42" s="193" t="str">
        <f t="shared" si="4"/>
        <v>OUT_OF_SCOPE</v>
      </c>
    </row>
    <row r="43" spans="1:18" ht="13.5" customHeight="1" x14ac:dyDescent="0.3">
      <c r="A43" t="s">
        <v>1096</v>
      </c>
      <c r="B43" t="s">
        <v>1099</v>
      </c>
      <c r="C43" t="s">
        <v>1100</v>
      </c>
      <c r="D43">
        <v>2</v>
      </c>
      <c r="E43">
        <v>6</v>
      </c>
      <c r="F43" s="258">
        <f>DATE(YEAR(RPT_MONTH),MONTH(RPT_MONTH)-6,1)</f>
        <v>46113</v>
      </c>
      <c r="G43" s="193" t="str">
        <f t="shared" si="0"/>
        <v>Apr-26</v>
      </c>
      <c r="H43" s="193" t="str">
        <f>IFERROR(1*INDEX(BD_KPIs!$F$2:$F$1300,MATCH(YEAR(F43)*100+MONTH(F43)&amp;"|DAFWCF|YTD",BD_KPIs!$Q$2:$Q$1300,0)),"")</f>
        <v/>
      </c>
      <c r="I43" s="193">
        <f>IF(ISNUMBER(INDEX(_TARGETS!$G$2:$G$17,MATCH("DAFWCF",_TARGETS!$A$2:$A$17,0))),INDEX(_TARGETS!$G$2:$G$17,MATCH("DAFWCF",_TARGETS!$A$2:$A$17,0)),"")</f>
        <v>0</v>
      </c>
      <c r="J43" t="s">
        <v>1092</v>
      </c>
      <c r="K43" t="s">
        <v>1093</v>
      </c>
      <c r="L43" s="193" t="str">
        <f t="shared" si="1"/>
        <v>NO_DATA</v>
      </c>
      <c r="M43" s="193" t="str">
        <f t="shared" si="2"/>
        <v>YTD</v>
      </c>
      <c r="N43" s="193" t="str">
        <f>IF(NOT(ISNUMBER(H43)),"NO_DATA",IF(NOT(ISNUMBER(I43)),"MONITOR",IF(INDEX(_TARGETS!$E$2:$E$17,MATCH("DAFWCF",_TARGETS!$A$2:$A$17,0))="≤",IF(H43&lt;=I43,"ON_TARGET","OFF_TARGET"),IF(H43&gt;=I43,"ON_TARGET","OFF_TARGET"))))</f>
        <v>NO_DATA</v>
      </c>
      <c r="O43" s="193" t="str">
        <f t="shared" si="3"/>
        <v>Compressor Plant</v>
      </c>
      <c r="P43" s="193" t="str">
        <f ca="1">IF(LEFT(Control!$C$10,4)="ROJO","RED",IF(LEFT(Control!$C$10,8)="AMARILLO","AMBER","GREEN"))</f>
        <v>RED</v>
      </c>
      <c r="Q43" s="193">
        <f>IF(AND(ISNUMBER(MATCH(F43,Datos!$D$3:$AL$3,0)),F43&lt;=RPT_MONTH),1,0)</f>
        <v>0</v>
      </c>
      <c r="R43" s="193" t="str">
        <f t="shared" si="4"/>
        <v>OUT_OF_SCOPE</v>
      </c>
    </row>
    <row r="44" spans="1:18" ht="13.5" customHeight="1" x14ac:dyDescent="0.3">
      <c r="A44" t="s">
        <v>1096</v>
      </c>
      <c r="B44" t="s">
        <v>1099</v>
      </c>
      <c r="C44" t="s">
        <v>1100</v>
      </c>
      <c r="D44">
        <v>2</v>
      </c>
      <c r="E44">
        <v>7</v>
      </c>
      <c r="F44" s="258">
        <f>DATE(YEAR(RPT_MONTH),MONTH(RPT_MONTH)-5,1)</f>
        <v>46143</v>
      </c>
      <c r="G44" s="193" t="str">
        <f t="shared" si="0"/>
        <v>May-26</v>
      </c>
      <c r="H44" s="193" t="str">
        <f>IFERROR(1*INDEX(BD_KPIs!$F$2:$F$1300,MATCH(YEAR(F44)*100+MONTH(F44)&amp;"|DAFWCF|YTD",BD_KPIs!$Q$2:$Q$1300,0)),"")</f>
        <v/>
      </c>
      <c r="I44" s="193">
        <f>IF(ISNUMBER(INDEX(_TARGETS!$G$2:$G$17,MATCH("DAFWCF",_TARGETS!$A$2:$A$17,0))),INDEX(_TARGETS!$G$2:$G$17,MATCH("DAFWCF",_TARGETS!$A$2:$A$17,0)),"")</f>
        <v>0</v>
      </c>
      <c r="J44" t="s">
        <v>1092</v>
      </c>
      <c r="K44" t="s">
        <v>1093</v>
      </c>
      <c r="L44" s="193" t="str">
        <f t="shared" si="1"/>
        <v>NO_DATA</v>
      </c>
      <c r="M44" s="193" t="str">
        <f t="shared" si="2"/>
        <v>YTD</v>
      </c>
      <c r="N44" s="193" t="str">
        <f>IF(NOT(ISNUMBER(H44)),"NO_DATA",IF(NOT(ISNUMBER(I44)),"MONITOR",IF(INDEX(_TARGETS!$E$2:$E$17,MATCH("DAFWCF",_TARGETS!$A$2:$A$17,0))="≤",IF(H44&lt;=I44,"ON_TARGET","OFF_TARGET"),IF(H44&gt;=I44,"ON_TARGET","OFF_TARGET"))))</f>
        <v>NO_DATA</v>
      </c>
      <c r="O44" s="193" t="str">
        <f t="shared" si="3"/>
        <v>Compressor Plant</v>
      </c>
      <c r="P44" s="193" t="str">
        <f ca="1">IF(LEFT(Control!$C$10,4)="ROJO","RED",IF(LEFT(Control!$C$10,8)="AMARILLO","AMBER","GREEN"))</f>
        <v>RED</v>
      </c>
      <c r="Q44" s="193">
        <f>IF(AND(ISNUMBER(MATCH(F44,Datos!$D$3:$AL$3,0)),F44&lt;=RPT_MONTH),1,0)</f>
        <v>0</v>
      </c>
      <c r="R44" s="193" t="str">
        <f t="shared" si="4"/>
        <v>OUT_OF_SCOPE</v>
      </c>
    </row>
    <row r="45" spans="1:18" ht="13.5" customHeight="1" x14ac:dyDescent="0.3">
      <c r="A45" t="s">
        <v>1096</v>
      </c>
      <c r="B45" t="s">
        <v>1099</v>
      </c>
      <c r="C45" t="s">
        <v>1100</v>
      </c>
      <c r="D45">
        <v>2</v>
      </c>
      <c r="E45">
        <v>8</v>
      </c>
      <c r="F45" s="258">
        <f>DATE(YEAR(RPT_MONTH),MONTH(RPT_MONTH)-4,1)</f>
        <v>46174</v>
      </c>
      <c r="G45" s="193" t="str">
        <f t="shared" si="0"/>
        <v>Jun-26</v>
      </c>
      <c r="H45" s="193" t="str">
        <f>IFERROR(1*INDEX(BD_KPIs!$F$2:$F$1300,MATCH(YEAR(F45)*100+MONTH(F45)&amp;"|DAFWCF|YTD",BD_KPIs!$Q$2:$Q$1300,0)),"")</f>
        <v/>
      </c>
      <c r="I45" s="193">
        <f>IF(ISNUMBER(INDEX(_TARGETS!$G$2:$G$17,MATCH("DAFWCF",_TARGETS!$A$2:$A$17,0))),INDEX(_TARGETS!$G$2:$G$17,MATCH("DAFWCF",_TARGETS!$A$2:$A$17,0)),"")</f>
        <v>0</v>
      </c>
      <c r="J45" t="s">
        <v>1092</v>
      </c>
      <c r="K45" t="s">
        <v>1093</v>
      </c>
      <c r="L45" s="193" t="str">
        <f t="shared" si="1"/>
        <v>NO_DATA</v>
      </c>
      <c r="M45" s="193" t="str">
        <f t="shared" si="2"/>
        <v>YTD</v>
      </c>
      <c r="N45" s="193" t="str">
        <f>IF(NOT(ISNUMBER(H45)),"NO_DATA",IF(NOT(ISNUMBER(I45)),"MONITOR",IF(INDEX(_TARGETS!$E$2:$E$17,MATCH("DAFWCF",_TARGETS!$A$2:$A$17,0))="≤",IF(H45&lt;=I45,"ON_TARGET","OFF_TARGET"),IF(H45&gt;=I45,"ON_TARGET","OFF_TARGET"))))</f>
        <v>NO_DATA</v>
      </c>
      <c r="O45" s="193" t="str">
        <f t="shared" si="3"/>
        <v>Compressor Plant</v>
      </c>
      <c r="P45" s="193" t="str">
        <f ca="1">IF(LEFT(Control!$C$10,4)="ROJO","RED",IF(LEFT(Control!$C$10,8)="AMARILLO","AMBER","GREEN"))</f>
        <v>RED</v>
      </c>
      <c r="Q45" s="193">
        <f>IF(AND(ISNUMBER(MATCH(F45,Datos!$D$3:$AL$3,0)),F45&lt;=RPT_MONTH),1,0)</f>
        <v>0</v>
      </c>
      <c r="R45" s="193" t="str">
        <f t="shared" si="4"/>
        <v>OUT_OF_SCOPE</v>
      </c>
    </row>
    <row r="46" spans="1:18" ht="13.5" customHeight="1" x14ac:dyDescent="0.3">
      <c r="A46" t="s">
        <v>1096</v>
      </c>
      <c r="B46" t="s">
        <v>1099</v>
      </c>
      <c r="C46" t="s">
        <v>1100</v>
      </c>
      <c r="D46">
        <v>2</v>
      </c>
      <c r="E46">
        <v>9</v>
      </c>
      <c r="F46" s="258">
        <f>DATE(YEAR(RPT_MONTH),MONTH(RPT_MONTH)-3,1)</f>
        <v>46204</v>
      </c>
      <c r="G46" s="193" t="str">
        <f t="shared" si="0"/>
        <v>Jul-26</v>
      </c>
      <c r="H46" s="193" t="str">
        <f>IFERROR(1*INDEX(BD_KPIs!$F$2:$F$1300,MATCH(YEAR(F46)*100+MONTH(F46)&amp;"|DAFWCF|YTD",BD_KPIs!$Q$2:$Q$1300,0)),"")</f>
        <v/>
      </c>
      <c r="I46" s="193">
        <f>IF(ISNUMBER(INDEX(_TARGETS!$G$2:$G$17,MATCH("DAFWCF",_TARGETS!$A$2:$A$17,0))),INDEX(_TARGETS!$G$2:$G$17,MATCH("DAFWCF",_TARGETS!$A$2:$A$17,0)),"")</f>
        <v>0</v>
      </c>
      <c r="J46" t="s">
        <v>1092</v>
      </c>
      <c r="K46" t="s">
        <v>1093</v>
      </c>
      <c r="L46" s="193" t="str">
        <f t="shared" si="1"/>
        <v>NO_DATA</v>
      </c>
      <c r="M46" s="193" t="str">
        <f t="shared" si="2"/>
        <v>YTD</v>
      </c>
      <c r="N46" s="193" t="str">
        <f>IF(NOT(ISNUMBER(H46)),"NO_DATA",IF(NOT(ISNUMBER(I46)),"MONITOR",IF(INDEX(_TARGETS!$E$2:$E$17,MATCH("DAFWCF",_TARGETS!$A$2:$A$17,0))="≤",IF(H46&lt;=I46,"ON_TARGET","OFF_TARGET"),IF(H46&gt;=I46,"ON_TARGET","OFF_TARGET"))))</f>
        <v>NO_DATA</v>
      </c>
      <c r="O46" s="193" t="str">
        <f t="shared" si="3"/>
        <v>Compressor Plant</v>
      </c>
      <c r="P46" s="193" t="str">
        <f ca="1">IF(LEFT(Control!$C$10,4)="ROJO","RED",IF(LEFT(Control!$C$10,8)="AMARILLO","AMBER","GREEN"))</f>
        <v>RED</v>
      </c>
      <c r="Q46" s="193">
        <f>IF(AND(ISNUMBER(MATCH(F46,Datos!$D$3:$AL$3,0)),F46&lt;=RPT_MONTH),1,0)</f>
        <v>0</v>
      </c>
      <c r="R46" s="193" t="str">
        <f t="shared" si="4"/>
        <v>OUT_OF_SCOPE</v>
      </c>
    </row>
    <row r="47" spans="1:18" ht="13.5" customHeight="1" x14ac:dyDescent="0.3">
      <c r="A47" t="s">
        <v>1096</v>
      </c>
      <c r="B47" t="s">
        <v>1099</v>
      </c>
      <c r="C47" t="s">
        <v>1100</v>
      </c>
      <c r="D47">
        <v>2</v>
      </c>
      <c r="E47">
        <v>10</v>
      </c>
      <c r="F47" s="258">
        <f>DATE(YEAR(RPT_MONTH),MONTH(RPT_MONTH)-2,1)</f>
        <v>46235</v>
      </c>
      <c r="G47" s="193" t="str">
        <f t="shared" si="0"/>
        <v>Aug-26</v>
      </c>
      <c r="H47" s="193">
        <f>IFERROR(1*INDEX(BD_KPIs!$F$2:$F$1300,MATCH(YEAR(F47)*100+MONTH(F47)&amp;"|DAFWCF|YTD",BD_KPIs!$Q$2:$Q$1300,0)),"")</f>
        <v>0</v>
      </c>
      <c r="I47" s="193">
        <f>IF(ISNUMBER(INDEX(_TARGETS!$G$2:$G$17,MATCH("DAFWCF",_TARGETS!$A$2:$A$17,0))),INDEX(_TARGETS!$G$2:$G$17,MATCH("DAFWCF",_TARGETS!$A$2:$A$17,0)),"")</f>
        <v>0</v>
      </c>
      <c r="J47" t="s">
        <v>1092</v>
      </c>
      <c r="K47" t="s">
        <v>1093</v>
      </c>
      <c r="L47" s="193" t="str">
        <f t="shared" si="1"/>
        <v>OK</v>
      </c>
      <c r="M47" s="193" t="str">
        <f t="shared" si="2"/>
        <v>YTD</v>
      </c>
      <c r="N47" s="193" t="str">
        <f>IF(NOT(ISNUMBER(H47)),"NO_DATA",IF(NOT(ISNUMBER(I47)),"MONITOR",IF(INDEX(_TARGETS!$E$2:$E$17,MATCH("DAFWCF",_TARGETS!$A$2:$A$17,0))="≤",IF(H47&lt;=I47,"ON_TARGET","OFF_TARGET"),IF(H47&gt;=I47,"ON_TARGET","OFF_TARGET"))))</f>
        <v>ON_TARGET</v>
      </c>
      <c r="O47" s="193" t="str">
        <f t="shared" si="3"/>
        <v>Compressor Plant</v>
      </c>
      <c r="P47" s="193" t="str">
        <f ca="1">IF(LEFT(Control!$C$10,4)="ROJO","RED",IF(LEFT(Control!$C$10,8)="AMARILLO","AMBER","GREEN"))</f>
        <v>RED</v>
      </c>
      <c r="Q47" s="193">
        <f>IF(AND(ISNUMBER(MATCH(F47,Datos!$D$3:$AL$3,0)),F47&lt;=RPT_MONTH),1,0)</f>
        <v>1</v>
      </c>
      <c r="R47" s="193" t="str">
        <f t="shared" si="4"/>
        <v>OK</v>
      </c>
    </row>
    <row r="48" spans="1:18" ht="13.5" customHeight="1" x14ac:dyDescent="0.3">
      <c r="A48" t="s">
        <v>1096</v>
      </c>
      <c r="B48" t="s">
        <v>1099</v>
      </c>
      <c r="C48" t="s">
        <v>1100</v>
      </c>
      <c r="D48">
        <v>2</v>
      </c>
      <c r="E48">
        <v>11</v>
      </c>
      <c r="F48" s="258">
        <f>DATE(YEAR(RPT_MONTH),MONTH(RPT_MONTH)-1,1)</f>
        <v>46266</v>
      </c>
      <c r="G48" s="193" t="str">
        <f t="shared" si="0"/>
        <v>Sep-26</v>
      </c>
      <c r="H48" s="193">
        <f>IFERROR(1*INDEX(BD_KPIs!$F$2:$F$1300,MATCH(YEAR(F48)*100+MONTH(F48)&amp;"|DAFWCF|YTD",BD_KPIs!$Q$2:$Q$1300,0)),"")</f>
        <v>0</v>
      </c>
      <c r="I48" s="193">
        <f>IF(ISNUMBER(INDEX(_TARGETS!$G$2:$G$17,MATCH("DAFWCF",_TARGETS!$A$2:$A$17,0))),INDEX(_TARGETS!$G$2:$G$17,MATCH("DAFWCF",_TARGETS!$A$2:$A$17,0)),"")</f>
        <v>0</v>
      </c>
      <c r="J48" t="s">
        <v>1092</v>
      </c>
      <c r="K48" t="s">
        <v>1093</v>
      </c>
      <c r="L48" s="193" t="str">
        <f t="shared" si="1"/>
        <v>OK</v>
      </c>
      <c r="M48" s="193" t="str">
        <f t="shared" si="2"/>
        <v>YTD</v>
      </c>
      <c r="N48" s="193" t="str">
        <f>IF(NOT(ISNUMBER(H48)),"NO_DATA",IF(NOT(ISNUMBER(I48)),"MONITOR",IF(INDEX(_TARGETS!$E$2:$E$17,MATCH("DAFWCF",_TARGETS!$A$2:$A$17,0))="≤",IF(H48&lt;=I48,"ON_TARGET","OFF_TARGET"),IF(H48&gt;=I48,"ON_TARGET","OFF_TARGET"))))</f>
        <v>ON_TARGET</v>
      </c>
      <c r="O48" s="193" t="str">
        <f t="shared" si="3"/>
        <v>Compressor Plant</v>
      </c>
      <c r="P48" s="193" t="str">
        <f ca="1">IF(LEFT(Control!$C$10,4)="ROJO","RED",IF(LEFT(Control!$C$10,8)="AMARILLO","AMBER","GREEN"))</f>
        <v>RED</v>
      </c>
      <c r="Q48" s="193">
        <f>IF(AND(ISNUMBER(MATCH(F48,Datos!$D$3:$AL$3,0)),F48&lt;=RPT_MONTH),1,0)</f>
        <v>1</v>
      </c>
      <c r="R48" s="193" t="str">
        <f t="shared" si="4"/>
        <v>OK</v>
      </c>
    </row>
    <row r="49" spans="1:18" ht="13.5" customHeight="1" x14ac:dyDescent="0.3">
      <c r="A49" t="s">
        <v>1096</v>
      </c>
      <c r="B49" t="s">
        <v>1099</v>
      </c>
      <c r="C49" t="s">
        <v>1100</v>
      </c>
      <c r="D49">
        <v>2</v>
      </c>
      <c r="E49">
        <v>12</v>
      </c>
      <c r="F49" s="258">
        <f>DATE(YEAR(RPT_MONTH),MONTH(RPT_MONTH)-0,1)</f>
        <v>46296</v>
      </c>
      <c r="G49" s="193" t="str">
        <f t="shared" si="0"/>
        <v>Oct-26</v>
      </c>
      <c r="H49" s="193" t="str">
        <f>IFERROR(1*INDEX(BD_KPIs!$F$2:$F$1300,MATCH(YEAR(F49)*100+MONTH(F49)&amp;"|DAFWCF|YTD",BD_KPIs!$Q$2:$Q$1300,0)),"")</f>
        <v/>
      </c>
      <c r="I49" s="193">
        <f>IF(ISNUMBER(INDEX(_TARGETS!$G$2:$G$17,MATCH("DAFWCF",_TARGETS!$A$2:$A$17,0))),INDEX(_TARGETS!$G$2:$G$17,MATCH("DAFWCF",_TARGETS!$A$2:$A$17,0)),"")</f>
        <v>0</v>
      </c>
      <c r="J49" t="s">
        <v>1092</v>
      </c>
      <c r="K49" t="s">
        <v>1093</v>
      </c>
      <c r="L49" s="193" t="str">
        <f t="shared" si="1"/>
        <v>NO_DATA</v>
      </c>
      <c r="M49" s="193" t="str">
        <f t="shared" si="2"/>
        <v>YTD</v>
      </c>
      <c r="N49" s="193" t="str">
        <f>IF(NOT(ISNUMBER(H49)),"NO_DATA",IF(NOT(ISNUMBER(I49)),"MONITOR",IF(INDEX(_TARGETS!$E$2:$E$17,MATCH("DAFWCF",_TARGETS!$A$2:$A$17,0))="≤",IF(H49&lt;=I49,"ON_TARGET","OFF_TARGET"),IF(H49&gt;=I49,"ON_TARGET","OFF_TARGET"))))</f>
        <v>NO_DATA</v>
      </c>
      <c r="O49" s="193" t="str">
        <f t="shared" si="3"/>
        <v>Compressor Plant</v>
      </c>
      <c r="P49" s="193" t="str">
        <f ca="1">IF(LEFT(Control!$C$10,4)="ROJO","RED",IF(LEFT(Control!$C$10,8)="AMARILLO","AMBER","GREEN"))</f>
        <v>RED</v>
      </c>
      <c r="Q49" s="193">
        <f>IF(AND(ISNUMBER(MATCH(F49,Datos!$D$3:$AL$3,0)),F49&lt;=RPT_MONTH),1,0)</f>
        <v>1</v>
      </c>
      <c r="R49" s="193" t="str">
        <f t="shared" si="4"/>
        <v>MISSING</v>
      </c>
    </row>
    <row r="50" spans="1:18" ht="13.5" customHeight="1" x14ac:dyDescent="0.3">
      <c r="A50" t="s">
        <v>1101</v>
      </c>
      <c r="B50" t="s">
        <v>1102</v>
      </c>
      <c r="C50" t="s">
        <v>1051</v>
      </c>
      <c r="D50">
        <v>1</v>
      </c>
      <c r="E50">
        <v>1</v>
      </c>
      <c r="F50" s="258">
        <f>DATE(YEAR(RPT_MONTH),MONTH(RPT_MONTH)-11,1)</f>
        <v>45962</v>
      </c>
      <c r="G50" s="193" t="str">
        <f t="shared" si="0"/>
        <v>Nov-25</v>
      </c>
      <c r="H50" s="193" t="str">
        <f>IFERROR(IF(COUNT(INDEX(Datos!$D$36:$AL$36,0,MATCH(F50,Datos!$D$3:$AL$3,0)))=0,"",INDEX(Datos!$D$36:$AL$36,MATCH(F50,Datos!$D$3:$AL$3,0))),"")</f>
        <v/>
      </c>
      <c r="J50" t="s">
        <v>1103</v>
      </c>
      <c r="K50" t="s">
        <v>1104</v>
      </c>
      <c r="L50" s="193" t="str">
        <f t="shared" si="1"/>
        <v>NO_DATA</v>
      </c>
      <c r="M50" s="193" t="str">
        <f t="shared" si="2"/>
        <v>Monthly</v>
      </c>
      <c r="N50" s="193" t="str">
        <f t="shared" ref="N50:N81" si="5">IF(ISNUMBER(H50),"CONTEXT","NO_DATA")</f>
        <v>NO_DATA</v>
      </c>
      <c r="O50" s="193" t="str">
        <f t="shared" si="3"/>
        <v>Compressor Plant</v>
      </c>
      <c r="P50" s="193" t="str">
        <f ca="1">IF(LEFT(Control!$C$10,4)="ROJO","RED",IF(LEFT(Control!$C$10,8)="AMARILLO","AMBER","GREEN"))</f>
        <v>RED</v>
      </c>
      <c r="Q50" s="193">
        <f>IF(AND(ISNUMBER(MATCH(F50,Datos!$D$3:$AL$3,0)),F50&lt;=RPT_MONTH),1,0)</f>
        <v>0</v>
      </c>
      <c r="R50" s="193" t="str">
        <f t="shared" si="4"/>
        <v>OUT_OF_SCOPE</v>
      </c>
    </row>
    <row r="51" spans="1:18" ht="13.5" customHeight="1" x14ac:dyDescent="0.3">
      <c r="A51" t="s">
        <v>1101</v>
      </c>
      <c r="B51" t="s">
        <v>1102</v>
      </c>
      <c r="C51" t="s">
        <v>1051</v>
      </c>
      <c r="D51">
        <v>1</v>
      </c>
      <c r="E51">
        <v>2</v>
      </c>
      <c r="F51" s="258">
        <f>DATE(YEAR(RPT_MONTH),MONTH(RPT_MONTH)-10,1)</f>
        <v>45992</v>
      </c>
      <c r="G51" s="193" t="str">
        <f t="shared" si="0"/>
        <v>Dec-25</v>
      </c>
      <c r="H51" s="193" t="str">
        <f>IFERROR(IF(COUNT(INDEX(Datos!$D$36:$AL$36,0,MATCH(F51,Datos!$D$3:$AL$3,0)))=0,"",INDEX(Datos!$D$36:$AL$36,MATCH(F51,Datos!$D$3:$AL$3,0))),"")</f>
        <v/>
      </c>
      <c r="J51" t="s">
        <v>1103</v>
      </c>
      <c r="K51" t="s">
        <v>1104</v>
      </c>
      <c r="L51" s="193" t="str">
        <f t="shared" si="1"/>
        <v>NO_DATA</v>
      </c>
      <c r="M51" s="193" t="str">
        <f t="shared" si="2"/>
        <v>Monthly</v>
      </c>
      <c r="N51" s="193" t="str">
        <f t="shared" si="5"/>
        <v>NO_DATA</v>
      </c>
      <c r="O51" s="193" t="str">
        <f t="shared" si="3"/>
        <v>Compressor Plant</v>
      </c>
      <c r="P51" s="193" t="str">
        <f ca="1">IF(LEFT(Control!$C$10,4)="ROJO","RED",IF(LEFT(Control!$C$10,8)="AMARILLO","AMBER","GREEN"))</f>
        <v>RED</v>
      </c>
      <c r="Q51" s="193">
        <f>IF(AND(ISNUMBER(MATCH(F51,Datos!$D$3:$AL$3,0)),F51&lt;=RPT_MONTH),1,0)</f>
        <v>0</v>
      </c>
      <c r="R51" s="193" t="str">
        <f t="shared" si="4"/>
        <v>OUT_OF_SCOPE</v>
      </c>
    </row>
    <row r="52" spans="1:18" ht="13.5" customHeight="1" x14ac:dyDescent="0.3">
      <c r="A52" t="s">
        <v>1101</v>
      </c>
      <c r="B52" t="s">
        <v>1102</v>
      </c>
      <c r="C52" t="s">
        <v>1051</v>
      </c>
      <c r="D52">
        <v>1</v>
      </c>
      <c r="E52">
        <v>3</v>
      </c>
      <c r="F52" s="258">
        <f>DATE(YEAR(RPT_MONTH),MONTH(RPT_MONTH)-9,1)</f>
        <v>46023</v>
      </c>
      <c r="G52" s="193" t="str">
        <f t="shared" si="0"/>
        <v>Jan-26</v>
      </c>
      <c r="H52" s="193" t="str">
        <f>IFERROR(IF(COUNT(INDEX(Datos!$D$36:$AL$36,0,MATCH(F52,Datos!$D$3:$AL$3,0)))=0,"",INDEX(Datos!$D$36:$AL$36,MATCH(F52,Datos!$D$3:$AL$3,0))),"")</f>
        <v/>
      </c>
      <c r="J52" t="s">
        <v>1103</v>
      </c>
      <c r="K52" t="s">
        <v>1104</v>
      </c>
      <c r="L52" s="193" t="str">
        <f t="shared" si="1"/>
        <v>NO_DATA</v>
      </c>
      <c r="M52" s="193" t="str">
        <f t="shared" si="2"/>
        <v>Monthly</v>
      </c>
      <c r="N52" s="193" t="str">
        <f t="shared" si="5"/>
        <v>NO_DATA</v>
      </c>
      <c r="O52" s="193" t="str">
        <f t="shared" si="3"/>
        <v>Compressor Plant</v>
      </c>
      <c r="P52" s="193" t="str">
        <f ca="1">IF(LEFT(Control!$C$10,4)="ROJO","RED",IF(LEFT(Control!$C$10,8)="AMARILLO","AMBER","GREEN"))</f>
        <v>RED</v>
      </c>
      <c r="Q52" s="193">
        <f>IF(AND(ISNUMBER(MATCH(F52,Datos!$D$3:$AL$3,0)),F52&lt;=RPT_MONTH),1,0)</f>
        <v>0</v>
      </c>
      <c r="R52" s="193" t="str">
        <f t="shared" si="4"/>
        <v>OUT_OF_SCOPE</v>
      </c>
    </row>
    <row r="53" spans="1:18" ht="13.5" customHeight="1" x14ac:dyDescent="0.3">
      <c r="A53" t="s">
        <v>1101</v>
      </c>
      <c r="B53" t="s">
        <v>1102</v>
      </c>
      <c r="C53" t="s">
        <v>1051</v>
      </c>
      <c r="D53">
        <v>1</v>
      </c>
      <c r="E53">
        <v>4</v>
      </c>
      <c r="F53" s="258">
        <f>DATE(YEAR(RPT_MONTH),MONTH(RPT_MONTH)-8,1)</f>
        <v>46054</v>
      </c>
      <c r="G53" s="193" t="str">
        <f t="shared" si="0"/>
        <v>Feb-26</v>
      </c>
      <c r="H53" s="193" t="str">
        <f>IFERROR(IF(COUNT(INDEX(Datos!$D$36:$AL$36,0,MATCH(F53,Datos!$D$3:$AL$3,0)))=0,"",INDEX(Datos!$D$36:$AL$36,MATCH(F53,Datos!$D$3:$AL$3,0))),"")</f>
        <v/>
      </c>
      <c r="J53" t="s">
        <v>1103</v>
      </c>
      <c r="K53" t="s">
        <v>1104</v>
      </c>
      <c r="L53" s="193" t="str">
        <f t="shared" si="1"/>
        <v>NO_DATA</v>
      </c>
      <c r="M53" s="193" t="str">
        <f t="shared" si="2"/>
        <v>Monthly</v>
      </c>
      <c r="N53" s="193" t="str">
        <f t="shared" si="5"/>
        <v>NO_DATA</v>
      </c>
      <c r="O53" s="193" t="str">
        <f t="shared" si="3"/>
        <v>Compressor Plant</v>
      </c>
      <c r="P53" s="193" t="str">
        <f ca="1">IF(LEFT(Control!$C$10,4)="ROJO","RED",IF(LEFT(Control!$C$10,8)="AMARILLO","AMBER","GREEN"))</f>
        <v>RED</v>
      </c>
      <c r="Q53" s="193">
        <f>IF(AND(ISNUMBER(MATCH(F53,Datos!$D$3:$AL$3,0)),F53&lt;=RPT_MONTH),1,0)</f>
        <v>0</v>
      </c>
      <c r="R53" s="193" t="str">
        <f t="shared" si="4"/>
        <v>OUT_OF_SCOPE</v>
      </c>
    </row>
    <row r="54" spans="1:18" ht="13.5" customHeight="1" x14ac:dyDescent="0.3">
      <c r="A54" t="s">
        <v>1101</v>
      </c>
      <c r="B54" t="s">
        <v>1102</v>
      </c>
      <c r="C54" t="s">
        <v>1051</v>
      </c>
      <c r="D54">
        <v>1</v>
      </c>
      <c r="E54">
        <v>5</v>
      </c>
      <c r="F54" s="258">
        <f>DATE(YEAR(RPT_MONTH),MONTH(RPT_MONTH)-7,1)</f>
        <v>46082</v>
      </c>
      <c r="G54" s="193" t="str">
        <f t="shared" si="0"/>
        <v>Mar-26</v>
      </c>
      <c r="H54" s="193" t="str">
        <f>IFERROR(IF(COUNT(INDEX(Datos!$D$36:$AL$36,0,MATCH(F54,Datos!$D$3:$AL$3,0)))=0,"",INDEX(Datos!$D$36:$AL$36,MATCH(F54,Datos!$D$3:$AL$3,0))),"")</f>
        <v/>
      </c>
      <c r="J54" t="s">
        <v>1103</v>
      </c>
      <c r="K54" t="s">
        <v>1104</v>
      </c>
      <c r="L54" s="193" t="str">
        <f t="shared" si="1"/>
        <v>NO_DATA</v>
      </c>
      <c r="M54" s="193" t="str">
        <f t="shared" si="2"/>
        <v>Monthly</v>
      </c>
      <c r="N54" s="193" t="str">
        <f t="shared" si="5"/>
        <v>NO_DATA</v>
      </c>
      <c r="O54" s="193" t="str">
        <f t="shared" si="3"/>
        <v>Compressor Plant</v>
      </c>
      <c r="P54" s="193" t="str">
        <f ca="1">IF(LEFT(Control!$C$10,4)="ROJO","RED",IF(LEFT(Control!$C$10,8)="AMARILLO","AMBER","GREEN"))</f>
        <v>RED</v>
      </c>
      <c r="Q54" s="193">
        <f>IF(AND(ISNUMBER(MATCH(F54,Datos!$D$3:$AL$3,0)),F54&lt;=RPT_MONTH),1,0)</f>
        <v>0</v>
      </c>
      <c r="R54" s="193" t="str">
        <f t="shared" si="4"/>
        <v>OUT_OF_SCOPE</v>
      </c>
    </row>
    <row r="55" spans="1:18" ht="13.5" customHeight="1" x14ac:dyDescent="0.3">
      <c r="A55" t="s">
        <v>1101</v>
      </c>
      <c r="B55" t="s">
        <v>1102</v>
      </c>
      <c r="C55" t="s">
        <v>1051</v>
      </c>
      <c r="D55">
        <v>1</v>
      </c>
      <c r="E55">
        <v>6</v>
      </c>
      <c r="F55" s="258">
        <f>DATE(YEAR(RPT_MONTH),MONTH(RPT_MONTH)-6,1)</f>
        <v>46113</v>
      </c>
      <c r="G55" s="193" t="str">
        <f t="shared" si="0"/>
        <v>Apr-26</v>
      </c>
      <c r="H55" s="193" t="str">
        <f>IFERROR(IF(COUNT(INDEX(Datos!$D$36:$AL$36,0,MATCH(F55,Datos!$D$3:$AL$3,0)))=0,"",INDEX(Datos!$D$36:$AL$36,MATCH(F55,Datos!$D$3:$AL$3,0))),"")</f>
        <v/>
      </c>
      <c r="J55" t="s">
        <v>1103</v>
      </c>
      <c r="K55" t="s">
        <v>1104</v>
      </c>
      <c r="L55" s="193" t="str">
        <f t="shared" si="1"/>
        <v>NO_DATA</v>
      </c>
      <c r="M55" s="193" t="str">
        <f t="shared" si="2"/>
        <v>Monthly</v>
      </c>
      <c r="N55" s="193" t="str">
        <f t="shared" si="5"/>
        <v>NO_DATA</v>
      </c>
      <c r="O55" s="193" t="str">
        <f t="shared" si="3"/>
        <v>Compressor Plant</v>
      </c>
      <c r="P55" s="193" t="str">
        <f ca="1">IF(LEFT(Control!$C$10,4)="ROJO","RED",IF(LEFT(Control!$C$10,8)="AMARILLO","AMBER","GREEN"))</f>
        <v>RED</v>
      </c>
      <c r="Q55" s="193">
        <f>IF(AND(ISNUMBER(MATCH(F55,Datos!$D$3:$AL$3,0)),F55&lt;=RPT_MONTH),1,0)</f>
        <v>0</v>
      </c>
      <c r="R55" s="193" t="str">
        <f t="shared" si="4"/>
        <v>OUT_OF_SCOPE</v>
      </c>
    </row>
    <row r="56" spans="1:18" ht="13.5" customHeight="1" x14ac:dyDescent="0.3">
      <c r="A56" t="s">
        <v>1101</v>
      </c>
      <c r="B56" t="s">
        <v>1102</v>
      </c>
      <c r="C56" t="s">
        <v>1051</v>
      </c>
      <c r="D56">
        <v>1</v>
      </c>
      <c r="E56">
        <v>7</v>
      </c>
      <c r="F56" s="258">
        <f>DATE(YEAR(RPT_MONTH),MONTH(RPT_MONTH)-5,1)</f>
        <v>46143</v>
      </c>
      <c r="G56" s="193" t="str">
        <f t="shared" si="0"/>
        <v>May-26</v>
      </c>
      <c r="H56" s="193" t="str">
        <f>IFERROR(IF(COUNT(INDEX(Datos!$D$36:$AL$36,0,MATCH(F56,Datos!$D$3:$AL$3,0)))=0,"",INDEX(Datos!$D$36:$AL$36,MATCH(F56,Datos!$D$3:$AL$3,0))),"")</f>
        <v/>
      </c>
      <c r="J56" t="s">
        <v>1103</v>
      </c>
      <c r="K56" t="s">
        <v>1104</v>
      </c>
      <c r="L56" s="193" t="str">
        <f t="shared" si="1"/>
        <v>NO_DATA</v>
      </c>
      <c r="M56" s="193" t="str">
        <f t="shared" si="2"/>
        <v>Monthly</v>
      </c>
      <c r="N56" s="193" t="str">
        <f t="shared" si="5"/>
        <v>NO_DATA</v>
      </c>
      <c r="O56" s="193" t="str">
        <f t="shared" si="3"/>
        <v>Compressor Plant</v>
      </c>
      <c r="P56" s="193" t="str">
        <f ca="1">IF(LEFT(Control!$C$10,4)="ROJO","RED",IF(LEFT(Control!$C$10,8)="AMARILLO","AMBER","GREEN"))</f>
        <v>RED</v>
      </c>
      <c r="Q56" s="193">
        <f>IF(AND(ISNUMBER(MATCH(F56,Datos!$D$3:$AL$3,0)),F56&lt;=RPT_MONTH),1,0)</f>
        <v>0</v>
      </c>
      <c r="R56" s="193" t="str">
        <f t="shared" si="4"/>
        <v>OUT_OF_SCOPE</v>
      </c>
    </row>
    <row r="57" spans="1:18" ht="13.5" customHeight="1" x14ac:dyDescent="0.3">
      <c r="A57" t="s">
        <v>1101</v>
      </c>
      <c r="B57" t="s">
        <v>1102</v>
      </c>
      <c r="C57" t="s">
        <v>1051</v>
      </c>
      <c r="D57">
        <v>1</v>
      </c>
      <c r="E57">
        <v>8</v>
      </c>
      <c r="F57" s="258">
        <f>DATE(YEAR(RPT_MONTH),MONTH(RPT_MONTH)-4,1)</f>
        <v>46174</v>
      </c>
      <c r="G57" s="193" t="str">
        <f t="shared" si="0"/>
        <v>Jun-26</v>
      </c>
      <c r="H57" s="193" t="str">
        <f>IFERROR(IF(COUNT(INDEX(Datos!$D$36:$AL$36,0,MATCH(F57,Datos!$D$3:$AL$3,0)))=0,"",INDEX(Datos!$D$36:$AL$36,MATCH(F57,Datos!$D$3:$AL$3,0))),"")</f>
        <v/>
      </c>
      <c r="J57" t="s">
        <v>1103</v>
      </c>
      <c r="K57" t="s">
        <v>1104</v>
      </c>
      <c r="L57" s="193" t="str">
        <f t="shared" si="1"/>
        <v>NO_DATA</v>
      </c>
      <c r="M57" s="193" t="str">
        <f t="shared" si="2"/>
        <v>Monthly</v>
      </c>
      <c r="N57" s="193" t="str">
        <f t="shared" si="5"/>
        <v>NO_DATA</v>
      </c>
      <c r="O57" s="193" t="str">
        <f t="shared" si="3"/>
        <v>Compressor Plant</v>
      </c>
      <c r="P57" s="193" t="str">
        <f ca="1">IF(LEFT(Control!$C$10,4)="ROJO","RED",IF(LEFT(Control!$C$10,8)="AMARILLO","AMBER","GREEN"))</f>
        <v>RED</v>
      </c>
      <c r="Q57" s="193">
        <f>IF(AND(ISNUMBER(MATCH(F57,Datos!$D$3:$AL$3,0)),F57&lt;=RPT_MONTH),1,0)</f>
        <v>0</v>
      </c>
      <c r="R57" s="193" t="str">
        <f t="shared" si="4"/>
        <v>OUT_OF_SCOPE</v>
      </c>
    </row>
    <row r="58" spans="1:18" ht="13.5" customHeight="1" x14ac:dyDescent="0.3">
      <c r="A58" t="s">
        <v>1101</v>
      </c>
      <c r="B58" t="s">
        <v>1102</v>
      </c>
      <c r="C58" t="s">
        <v>1051</v>
      </c>
      <c r="D58">
        <v>1</v>
      </c>
      <c r="E58">
        <v>9</v>
      </c>
      <c r="F58" s="258">
        <f>DATE(YEAR(RPT_MONTH),MONTH(RPT_MONTH)-3,1)</f>
        <v>46204</v>
      </c>
      <c r="G58" s="193" t="str">
        <f t="shared" si="0"/>
        <v>Jul-26</v>
      </c>
      <c r="H58" s="193" t="str">
        <f>IFERROR(IF(COUNT(INDEX(Datos!$D$36:$AL$36,0,MATCH(F58,Datos!$D$3:$AL$3,0)))=0,"",INDEX(Datos!$D$36:$AL$36,MATCH(F58,Datos!$D$3:$AL$3,0))),"")</f>
        <v/>
      </c>
      <c r="J58" t="s">
        <v>1103</v>
      </c>
      <c r="K58" t="s">
        <v>1104</v>
      </c>
      <c r="L58" s="193" t="str">
        <f t="shared" si="1"/>
        <v>NO_DATA</v>
      </c>
      <c r="M58" s="193" t="str">
        <f t="shared" si="2"/>
        <v>Monthly</v>
      </c>
      <c r="N58" s="193" t="str">
        <f t="shared" si="5"/>
        <v>NO_DATA</v>
      </c>
      <c r="O58" s="193" t="str">
        <f t="shared" si="3"/>
        <v>Compressor Plant</v>
      </c>
      <c r="P58" s="193" t="str">
        <f ca="1">IF(LEFT(Control!$C$10,4)="ROJO","RED",IF(LEFT(Control!$C$10,8)="AMARILLO","AMBER","GREEN"))</f>
        <v>RED</v>
      </c>
      <c r="Q58" s="193">
        <f>IF(AND(ISNUMBER(MATCH(F58,Datos!$D$3:$AL$3,0)),F58&lt;=RPT_MONTH),1,0)</f>
        <v>0</v>
      </c>
      <c r="R58" s="193" t="str">
        <f t="shared" si="4"/>
        <v>OUT_OF_SCOPE</v>
      </c>
    </row>
    <row r="59" spans="1:18" ht="13.5" customHeight="1" x14ac:dyDescent="0.3">
      <c r="A59" t="s">
        <v>1101</v>
      </c>
      <c r="B59" t="s">
        <v>1102</v>
      </c>
      <c r="C59" t="s">
        <v>1051</v>
      </c>
      <c r="D59">
        <v>1</v>
      </c>
      <c r="E59">
        <v>10</v>
      </c>
      <c r="F59" s="258">
        <f>DATE(YEAR(RPT_MONTH),MONTH(RPT_MONTH)-2,1)</f>
        <v>46235</v>
      </c>
      <c r="G59" s="193" t="str">
        <f t="shared" si="0"/>
        <v>Aug-26</v>
      </c>
      <c r="H59" s="193">
        <f>IFERROR(IF(COUNT(INDEX(Datos!$D$36:$AL$36,0,MATCH(F59,Datos!$D$3:$AL$3,0)))=0,"",INDEX(Datos!$D$36:$AL$36,MATCH(F59,Datos!$D$3:$AL$3,0))),"")</f>
        <v>0</v>
      </c>
      <c r="J59" t="s">
        <v>1103</v>
      </c>
      <c r="K59" t="s">
        <v>1104</v>
      </c>
      <c r="L59" s="193" t="str">
        <f t="shared" si="1"/>
        <v>OK</v>
      </c>
      <c r="M59" s="193" t="str">
        <f t="shared" si="2"/>
        <v>Monthly</v>
      </c>
      <c r="N59" s="193" t="str">
        <f t="shared" si="5"/>
        <v>CONTEXT</v>
      </c>
      <c r="O59" s="193" t="str">
        <f t="shared" si="3"/>
        <v>Compressor Plant</v>
      </c>
      <c r="P59" s="193" t="str">
        <f ca="1">IF(LEFT(Control!$C$10,4)="ROJO","RED",IF(LEFT(Control!$C$10,8)="AMARILLO","AMBER","GREEN"))</f>
        <v>RED</v>
      </c>
      <c r="Q59" s="193">
        <f>IF(AND(ISNUMBER(MATCH(F59,Datos!$D$3:$AL$3,0)),F59&lt;=RPT_MONTH),1,0)</f>
        <v>1</v>
      </c>
      <c r="R59" s="193" t="str">
        <f t="shared" si="4"/>
        <v>OK</v>
      </c>
    </row>
    <row r="60" spans="1:18" ht="13.5" customHeight="1" x14ac:dyDescent="0.3">
      <c r="A60" t="s">
        <v>1101</v>
      </c>
      <c r="B60" t="s">
        <v>1102</v>
      </c>
      <c r="C60" t="s">
        <v>1051</v>
      </c>
      <c r="D60">
        <v>1</v>
      </c>
      <c r="E60">
        <v>11</v>
      </c>
      <c r="F60" s="258">
        <f>DATE(YEAR(RPT_MONTH),MONTH(RPT_MONTH)-1,1)</f>
        <v>46266</v>
      </c>
      <c r="G60" s="193" t="str">
        <f t="shared" si="0"/>
        <v>Sep-26</v>
      </c>
      <c r="H60" s="193">
        <f>IFERROR(IF(COUNT(INDEX(Datos!$D$36:$AL$36,0,MATCH(F60,Datos!$D$3:$AL$3,0)))=0,"",INDEX(Datos!$D$36:$AL$36,MATCH(F60,Datos!$D$3:$AL$3,0))),"")</f>
        <v>0</v>
      </c>
      <c r="J60" t="s">
        <v>1103</v>
      </c>
      <c r="K60" t="s">
        <v>1104</v>
      </c>
      <c r="L60" s="193" t="str">
        <f t="shared" si="1"/>
        <v>OK</v>
      </c>
      <c r="M60" s="193" t="str">
        <f t="shared" si="2"/>
        <v>Monthly</v>
      </c>
      <c r="N60" s="193" t="str">
        <f t="shared" si="5"/>
        <v>CONTEXT</v>
      </c>
      <c r="O60" s="193" t="str">
        <f t="shared" si="3"/>
        <v>Compressor Plant</v>
      </c>
      <c r="P60" s="193" t="str">
        <f ca="1">IF(LEFT(Control!$C$10,4)="ROJO","RED",IF(LEFT(Control!$C$10,8)="AMARILLO","AMBER","GREEN"))</f>
        <v>RED</v>
      </c>
      <c r="Q60" s="193">
        <f>IF(AND(ISNUMBER(MATCH(F60,Datos!$D$3:$AL$3,0)),F60&lt;=RPT_MONTH),1,0)</f>
        <v>1</v>
      </c>
      <c r="R60" s="193" t="str">
        <f t="shared" si="4"/>
        <v>OK</v>
      </c>
    </row>
    <row r="61" spans="1:18" ht="13.5" customHeight="1" x14ac:dyDescent="0.3">
      <c r="A61" t="s">
        <v>1101</v>
      </c>
      <c r="B61" t="s">
        <v>1102</v>
      </c>
      <c r="C61" t="s">
        <v>1051</v>
      </c>
      <c r="D61">
        <v>1</v>
      </c>
      <c r="E61">
        <v>12</v>
      </c>
      <c r="F61" s="258">
        <f>DATE(YEAR(RPT_MONTH),MONTH(RPT_MONTH)-0,1)</f>
        <v>46296</v>
      </c>
      <c r="G61" s="193" t="str">
        <f t="shared" si="0"/>
        <v>Oct-26</v>
      </c>
      <c r="H61" s="193" t="str">
        <f>IFERROR(IF(COUNT(INDEX(Datos!$D$36:$AL$36,0,MATCH(F61,Datos!$D$3:$AL$3,0)))=0,"",INDEX(Datos!$D$36:$AL$36,MATCH(F61,Datos!$D$3:$AL$3,0))),"")</f>
        <v/>
      </c>
      <c r="J61" t="s">
        <v>1103</v>
      </c>
      <c r="K61" t="s">
        <v>1104</v>
      </c>
      <c r="L61" s="193" t="str">
        <f t="shared" si="1"/>
        <v>NO_DATA</v>
      </c>
      <c r="M61" s="193" t="str">
        <f t="shared" si="2"/>
        <v>Monthly</v>
      </c>
      <c r="N61" s="193" t="str">
        <f t="shared" si="5"/>
        <v>NO_DATA</v>
      </c>
      <c r="O61" s="193" t="str">
        <f t="shared" si="3"/>
        <v>Compressor Plant</v>
      </c>
      <c r="P61" s="193" t="str">
        <f ca="1">IF(LEFT(Control!$C$10,4)="ROJO","RED",IF(LEFT(Control!$C$10,8)="AMARILLO","AMBER","GREEN"))</f>
        <v>RED</v>
      </c>
      <c r="Q61" s="193">
        <f>IF(AND(ISNUMBER(MATCH(F61,Datos!$D$3:$AL$3,0)),F61&lt;=RPT_MONTH),1,0)</f>
        <v>1</v>
      </c>
      <c r="R61" s="193" t="str">
        <f t="shared" si="4"/>
        <v>MISSING</v>
      </c>
    </row>
    <row r="62" spans="1:18" ht="13.5" customHeight="1" x14ac:dyDescent="0.3">
      <c r="A62" t="s">
        <v>1101</v>
      </c>
      <c r="B62" t="s">
        <v>1105</v>
      </c>
      <c r="C62" t="s">
        <v>1106</v>
      </c>
      <c r="D62">
        <v>2</v>
      </c>
      <c r="E62">
        <v>1</v>
      </c>
      <c r="F62" s="258">
        <f>DATE(YEAR(RPT_MONTH),MONTH(RPT_MONTH)-11,1)</f>
        <v>45962</v>
      </c>
      <c r="G62" s="193" t="str">
        <f t="shared" si="0"/>
        <v>Nov-25</v>
      </c>
      <c r="H62" s="193" t="str">
        <f>IFERROR(IF(COUNT(INDEX(Datos!$D$33:$AL$33,0,MATCH(F62,Datos!$D$3:$AL$3,0)))=0,"",INDEX(Datos!$D$33:$AL$33,MATCH(F62,Datos!$D$3:$AL$3,0))),"")</f>
        <v/>
      </c>
      <c r="J62" t="s">
        <v>1103</v>
      </c>
      <c r="K62" t="s">
        <v>1104</v>
      </c>
      <c r="L62" s="193" t="str">
        <f t="shared" si="1"/>
        <v>NO_DATA</v>
      </c>
      <c r="M62" s="193" t="str">
        <f t="shared" si="2"/>
        <v>Monthly</v>
      </c>
      <c r="N62" s="193" t="str">
        <f t="shared" si="5"/>
        <v>NO_DATA</v>
      </c>
      <c r="O62" s="193" t="str">
        <f t="shared" si="3"/>
        <v>Compressor Plant</v>
      </c>
      <c r="P62" s="193" t="str">
        <f ca="1">IF(LEFT(Control!$C$10,4)="ROJO","RED",IF(LEFT(Control!$C$10,8)="AMARILLO","AMBER","GREEN"))</f>
        <v>RED</v>
      </c>
      <c r="Q62" s="193">
        <f>IF(AND(ISNUMBER(MATCH(F62,Datos!$D$3:$AL$3,0)),F62&lt;=RPT_MONTH),1,0)</f>
        <v>0</v>
      </c>
      <c r="R62" s="193" t="str">
        <f t="shared" si="4"/>
        <v>OUT_OF_SCOPE</v>
      </c>
    </row>
    <row r="63" spans="1:18" ht="13.5" customHeight="1" x14ac:dyDescent="0.3">
      <c r="A63" t="s">
        <v>1101</v>
      </c>
      <c r="B63" t="s">
        <v>1105</v>
      </c>
      <c r="C63" t="s">
        <v>1106</v>
      </c>
      <c r="D63">
        <v>2</v>
      </c>
      <c r="E63">
        <v>2</v>
      </c>
      <c r="F63" s="258">
        <f>DATE(YEAR(RPT_MONTH),MONTH(RPT_MONTH)-10,1)</f>
        <v>45992</v>
      </c>
      <c r="G63" s="193" t="str">
        <f t="shared" si="0"/>
        <v>Dec-25</v>
      </c>
      <c r="H63" s="193" t="str">
        <f>IFERROR(IF(COUNT(INDEX(Datos!$D$33:$AL$33,0,MATCH(F63,Datos!$D$3:$AL$3,0)))=0,"",INDEX(Datos!$D$33:$AL$33,MATCH(F63,Datos!$D$3:$AL$3,0))),"")</f>
        <v/>
      </c>
      <c r="J63" t="s">
        <v>1103</v>
      </c>
      <c r="K63" t="s">
        <v>1104</v>
      </c>
      <c r="L63" s="193" t="str">
        <f t="shared" si="1"/>
        <v>NO_DATA</v>
      </c>
      <c r="M63" s="193" t="str">
        <f t="shared" si="2"/>
        <v>Monthly</v>
      </c>
      <c r="N63" s="193" t="str">
        <f t="shared" si="5"/>
        <v>NO_DATA</v>
      </c>
      <c r="O63" s="193" t="str">
        <f t="shared" si="3"/>
        <v>Compressor Plant</v>
      </c>
      <c r="P63" s="193" t="str">
        <f ca="1">IF(LEFT(Control!$C$10,4)="ROJO","RED",IF(LEFT(Control!$C$10,8)="AMARILLO","AMBER","GREEN"))</f>
        <v>RED</v>
      </c>
      <c r="Q63" s="193">
        <f>IF(AND(ISNUMBER(MATCH(F63,Datos!$D$3:$AL$3,0)),F63&lt;=RPT_MONTH),1,0)</f>
        <v>0</v>
      </c>
      <c r="R63" s="193" t="str">
        <f t="shared" si="4"/>
        <v>OUT_OF_SCOPE</v>
      </c>
    </row>
    <row r="64" spans="1:18" ht="13.5" customHeight="1" x14ac:dyDescent="0.3">
      <c r="A64" t="s">
        <v>1101</v>
      </c>
      <c r="B64" t="s">
        <v>1105</v>
      </c>
      <c r="C64" t="s">
        <v>1106</v>
      </c>
      <c r="D64">
        <v>2</v>
      </c>
      <c r="E64">
        <v>3</v>
      </c>
      <c r="F64" s="258">
        <f>DATE(YEAR(RPT_MONTH),MONTH(RPT_MONTH)-9,1)</f>
        <v>46023</v>
      </c>
      <c r="G64" s="193" t="str">
        <f t="shared" si="0"/>
        <v>Jan-26</v>
      </c>
      <c r="H64" s="193" t="str">
        <f>IFERROR(IF(COUNT(INDEX(Datos!$D$33:$AL$33,0,MATCH(F64,Datos!$D$3:$AL$3,0)))=0,"",INDEX(Datos!$D$33:$AL$33,MATCH(F64,Datos!$D$3:$AL$3,0))),"")</f>
        <v/>
      </c>
      <c r="J64" t="s">
        <v>1103</v>
      </c>
      <c r="K64" t="s">
        <v>1104</v>
      </c>
      <c r="L64" s="193" t="str">
        <f t="shared" si="1"/>
        <v>NO_DATA</v>
      </c>
      <c r="M64" s="193" t="str">
        <f t="shared" si="2"/>
        <v>Monthly</v>
      </c>
      <c r="N64" s="193" t="str">
        <f t="shared" si="5"/>
        <v>NO_DATA</v>
      </c>
      <c r="O64" s="193" t="str">
        <f t="shared" si="3"/>
        <v>Compressor Plant</v>
      </c>
      <c r="P64" s="193" t="str">
        <f ca="1">IF(LEFT(Control!$C$10,4)="ROJO","RED",IF(LEFT(Control!$C$10,8)="AMARILLO","AMBER","GREEN"))</f>
        <v>RED</v>
      </c>
      <c r="Q64" s="193">
        <f>IF(AND(ISNUMBER(MATCH(F64,Datos!$D$3:$AL$3,0)),F64&lt;=RPT_MONTH),1,0)</f>
        <v>0</v>
      </c>
      <c r="R64" s="193" t="str">
        <f t="shared" si="4"/>
        <v>OUT_OF_SCOPE</v>
      </c>
    </row>
    <row r="65" spans="1:18" ht="13.5" customHeight="1" x14ac:dyDescent="0.3">
      <c r="A65" t="s">
        <v>1101</v>
      </c>
      <c r="B65" t="s">
        <v>1105</v>
      </c>
      <c r="C65" t="s">
        <v>1106</v>
      </c>
      <c r="D65">
        <v>2</v>
      </c>
      <c r="E65">
        <v>4</v>
      </c>
      <c r="F65" s="258">
        <f>DATE(YEAR(RPT_MONTH),MONTH(RPT_MONTH)-8,1)</f>
        <v>46054</v>
      </c>
      <c r="G65" s="193" t="str">
        <f t="shared" si="0"/>
        <v>Feb-26</v>
      </c>
      <c r="H65" s="193" t="str">
        <f>IFERROR(IF(COUNT(INDEX(Datos!$D$33:$AL$33,0,MATCH(F65,Datos!$D$3:$AL$3,0)))=0,"",INDEX(Datos!$D$33:$AL$33,MATCH(F65,Datos!$D$3:$AL$3,0))),"")</f>
        <v/>
      </c>
      <c r="J65" t="s">
        <v>1103</v>
      </c>
      <c r="K65" t="s">
        <v>1104</v>
      </c>
      <c r="L65" s="193" t="str">
        <f t="shared" si="1"/>
        <v>NO_DATA</v>
      </c>
      <c r="M65" s="193" t="str">
        <f t="shared" si="2"/>
        <v>Monthly</v>
      </c>
      <c r="N65" s="193" t="str">
        <f t="shared" si="5"/>
        <v>NO_DATA</v>
      </c>
      <c r="O65" s="193" t="str">
        <f t="shared" si="3"/>
        <v>Compressor Plant</v>
      </c>
      <c r="P65" s="193" t="str">
        <f ca="1">IF(LEFT(Control!$C$10,4)="ROJO","RED",IF(LEFT(Control!$C$10,8)="AMARILLO","AMBER","GREEN"))</f>
        <v>RED</v>
      </c>
      <c r="Q65" s="193">
        <f>IF(AND(ISNUMBER(MATCH(F65,Datos!$D$3:$AL$3,0)),F65&lt;=RPT_MONTH),1,0)</f>
        <v>0</v>
      </c>
      <c r="R65" s="193" t="str">
        <f t="shared" si="4"/>
        <v>OUT_OF_SCOPE</v>
      </c>
    </row>
    <row r="66" spans="1:18" ht="13.5" customHeight="1" x14ac:dyDescent="0.3">
      <c r="A66" t="s">
        <v>1101</v>
      </c>
      <c r="B66" t="s">
        <v>1105</v>
      </c>
      <c r="C66" t="s">
        <v>1106</v>
      </c>
      <c r="D66">
        <v>2</v>
      </c>
      <c r="E66">
        <v>5</v>
      </c>
      <c r="F66" s="258">
        <f>DATE(YEAR(RPT_MONTH),MONTH(RPT_MONTH)-7,1)</f>
        <v>46082</v>
      </c>
      <c r="G66" s="193" t="str">
        <f t="shared" ref="G66:G129" si="6">CHOOSE(MONTH(F66),"Jan","Feb","Mar","Apr","May","Jun","Jul","Aug","Sep","Oct","Nov","Dec")&amp;"-"&amp;RIGHT(YEAR(F66),2)</f>
        <v>Mar-26</v>
      </c>
      <c r="H66" s="193" t="str">
        <f>IFERROR(IF(COUNT(INDEX(Datos!$D$33:$AL$33,0,MATCH(F66,Datos!$D$3:$AL$3,0)))=0,"",INDEX(Datos!$D$33:$AL$33,MATCH(F66,Datos!$D$3:$AL$3,0))),"")</f>
        <v/>
      </c>
      <c r="J66" t="s">
        <v>1103</v>
      </c>
      <c r="K66" t="s">
        <v>1104</v>
      </c>
      <c r="L66" s="193" t="str">
        <f t="shared" ref="L66:L129" si="7">IF(ISNUMBER(H66),"OK","NO_DATA")</f>
        <v>NO_DATA</v>
      </c>
      <c r="M66" s="193" t="str">
        <f t="shared" ref="M66:M129" si="8">IF(RIGHT(B66,2)="_Y","YTD",IF(OR(B66="F_OPEN",B66="HIGH_OPEN"),"Month-end",IF(B66="ENV_STATUS","n/a","Monthly")))</f>
        <v>Monthly</v>
      </c>
      <c r="N66" s="193" t="str">
        <f t="shared" si="5"/>
        <v>NO_DATA</v>
      </c>
      <c r="O66" s="193" t="str">
        <f t="shared" ref="O66:O129" si="9">RPT_SCOPE</f>
        <v>Compressor Plant</v>
      </c>
      <c r="P66" s="193" t="str">
        <f ca="1">IF(LEFT(Control!$C$10,4)="ROJO","RED",IF(LEFT(Control!$C$10,8)="AMARILLO","AMBER","GREEN"))</f>
        <v>RED</v>
      </c>
      <c r="Q66" s="193">
        <f>IF(AND(ISNUMBER(MATCH(F66,Datos!$D$3:$AL$3,0)),F66&lt;=RPT_MONTH),1,0)</f>
        <v>0</v>
      </c>
      <c r="R66" s="193" t="str">
        <f t="shared" ref="R66:R129" si="10">IF(A66="CH_ENV","PENDING_DEFINITION",IF(Q66=1,IF(L66="OK","OK","MISSING"),IF(ISNUMBER(H66),"CHECK","OUT_OF_SCOPE")))</f>
        <v>OUT_OF_SCOPE</v>
      </c>
    </row>
    <row r="67" spans="1:18" ht="13.5" customHeight="1" x14ac:dyDescent="0.3">
      <c r="A67" t="s">
        <v>1101</v>
      </c>
      <c r="B67" t="s">
        <v>1105</v>
      </c>
      <c r="C67" t="s">
        <v>1106</v>
      </c>
      <c r="D67">
        <v>2</v>
      </c>
      <c r="E67">
        <v>6</v>
      </c>
      <c r="F67" s="258">
        <f>DATE(YEAR(RPT_MONTH),MONTH(RPT_MONTH)-6,1)</f>
        <v>46113</v>
      </c>
      <c r="G67" s="193" t="str">
        <f t="shared" si="6"/>
        <v>Apr-26</v>
      </c>
      <c r="H67" s="193" t="str">
        <f>IFERROR(IF(COUNT(INDEX(Datos!$D$33:$AL$33,0,MATCH(F67,Datos!$D$3:$AL$3,0)))=0,"",INDEX(Datos!$D$33:$AL$33,MATCH(F67,Datos!$D$3:$AL$3,0))),"")</f>
        <v/>
      </c>
      <c r="J67" t="s">
        <v>1103</v>
      </c>
      <c r="K67" t="s">
        <v>1104</v>
      </c>
      <c r="L67" s="193" t="str">
        <f t="shared" si="7"/>
        <v>NO_DATA</v>
      </c>
      <c r="M67" s="193" t="str">
        <f t="shared" si="8"/>
        <v>Monthly</v>
      </c>
      <c r="N67" s="193" t="str">
        <f t="shared" si="5"/>
        <v>NO_DATA</v>
      </c>
      <c r="O67" s="193" t="str">
        <f t="shared" si="9"/>
        <v>Compressor Plant</v>
      </c>
      <c r="P67" s="193" t="str">
        <f ca="1">IF(LEFT(Control!$C$10,4)="ROJO","RED",IF(LEFT(Control!$C$10,8)="AMARILLO","AMBER","GREEN"))</f>
        <v>RED</v>
      </c>
      <c r="Q67" s="193">
        <f>IF(AND(ISNUMBER(MATCH(F67,Datos!$D$3:$AL$3,0)),F67&lt;=RPT_MONTH),1,0)</f>
        <v>0</v>
      </c>
      <c r="R67" s="193" t="str">
        <f t="shared" si="10"/>
        <v>OUT_OF_SCOPE</v>
      </c>
    </row>
    <row r="68" spans="1:18" ht="13.5" customHeight="1" x14ac:dyDescent="0.3">
      <c r="A68" t="s">
        <v>1101</v>
      </c>
      <c r="B68" t="s">
        <v>1105</v>
      </c>
      <c r="C68" t="s">
        <v>1106</v>
      </c>
      <c r="D68">
        <v>2</v>
      </c>
      <c r="E68">
        <v>7</v>
      </c>
      <c r="F68" s="258">
        <f>DATE(YEAR(RPT_MONTH),MONTH(RPT_MONTH)-5,1)</f>
        <v>46143</v>
      </c>
      <c r="G68" s="193" t="str">
        <f t="shared" si="6"/>
        <v>May-26</v>
      </c>
      <c r="H68" s="193" t="str">
        <f>IFERROR(IF(COUNT(INDEX(Datos!$D$33:$AL$33,0,MATCH(F68,Datos!$D$3:$AL$3,0)))=0,"",INDEX(Datos!$D$33:$AL$33,MATCH(F68,Datos!$D$3:$AL$3,0))),"")</f>
        <v/>
      </c>
      <c r="J68" t="s">
        <v>1103</v>
      </c>
      <c r="K68" t="s">
        <v>1104</v>
      </c>
      <c r="L68" s="193" t="str">
        <f t="shared" si="7"/>
        <v>NO_DATA</v>
      </c>
      <c r="M68" s="193" t="str">
        <f t="shared" si="8"/>
        <v>Monthly</v>
      </c>
      <c r="N68" s="193" t="str">
        <f t="shared" si="5"/>
        <v>NO_DATA</v>
      </c>
      <c r="O68" s="193" t="str">
        <f t="shared" si="9"/>
        <v>Compressor Plant</v>
      </c>
      <c r="P68" s="193" t="str">
        <f ca="1">IF(LEFT(Control!$C$10,4)="ROJO","RED",IF(LEFT(Control!$C$10,8)="AMARILLO","AMBER","GREEN"))</f>
        <v>RED</v>
      </c>
      <c r="Q68" s="193">
        <f>IF(AND(ISNUMBER(MATCH(F68,Datos!$D$3:$AL$3,0)),F68&lt;=RPT_MONTH),1,0)</f>
        <v>0</v>
      </c>
      <c r="R68" s="193" t="str">
        <f t="shared" si="10"/>
        <v>OUT_OF_SCOPE</v>
      </c>
    </row>
    <row r="69" spans="1:18" ht="13.5" customHeight="1" x14ac:dyDescent="0.3">
      <c r="A69" t="s">
        <v>1101</v>
      </c>
      <c r="B69" t="s">
        <v>1105</v>
      </c>
      <c r="C69" t="s">
        <v>1106</v>
      </c>
      <c r="D69">
        <v>2</v>
      </c>
      <c r="E69">
        <v>8</v>
      </c>
      <c r="F69" s="258">
        <f>DATE(YEAR(RPT_MONTH),MONTH(RPT_MONTH)-4,1)</f>
        <v>46174</v>
      </c>
      <c r="G69" s="193" t="str">
        <f t="shared" si="6"/>
        <v>Jun-26</v>
      </c>
      <c r="H69" s="193" t="str">
        <f>IFERROR(IF(COUNT(INDEX(Datos!$D$33:$AL$33,0,MATCH(F69,Datos!$D$3:$AL$3,0)))=0,"",INDEX(Datos!$D$33:$AL$33,MATCH(F69,Datos!$D$3:$AL$3,0))),"")</f>
        <v/>
      </c>
      <c r="J69" t="s">
        <v>1103</v>
      </c>
      <c r="K69" t="s">
        <v>1104</v>
      </c>
      <c r="L69" s="193" t="str">
        <f t="shared" si="7"/>
        <v>NO_DATA</v>
      </c>
      <c r="M69" s="193" t="str">
        <f t="shared" si="8"/>
        <v>Monthly</v>
      </c>
      <c r="N69" s="193" t="str">
        <f t="shared" si="5"/>
        <v>NO_DATA</v>
      </c>
      <c r="O69" s="193" t="str">
        <f t="shared" si="9"/>
        <v>Compressor Plant</v>
      </c>
      <c r="P69" s="193" t="str">
        <f ca="1">IF(LEFT(Control!$C$10,4)="ROJO","RED",IF(LEFT(Control!$C$10,8)="AMARILLO","AMBER","GREEN"))</f>
        <v>RED</v>
      </c>
      <c r="Q69" s="193">
        <f>IF(AND(ISNUMBER(MATCH(F69,Datos!$D$3:$AL$3,0)),F69&lt;=RPT_MONTH),1,0)</f>
        <v>0</v>
      </c>
      <c r="R69" s="193" t="str">
        <f t="shared" si="10"/>
        <v>OUT_OF_SCOPE</v>
      </c>
    </row>
    <row r="70" spans="1:18" ht="13.5" customHeight="1" x14ac:dyDescent="0.3">
      <c r="A70" t="s">
        <v>1101</v>
      </c>
      <c r="B70" t="s">
        <v>1105</v>
      </c>
      <c r="C70" t="s">
        <v>1106</v>
      </c>
      <c r="D70">
        <v>2</v>
      </c>
      <c r="E70">
        <v>9</v>
      </c>
      <c r="F70" s="258">
        <f>DATE(YEAR(RPT_MONTH),MONTH(RPT_MONTH)-3,1)</f>
        <v>46204</v>
      </c>
      <c r="G70" s="193" t="str">
        <f t="shared" si="6"/>
        <v>Jul-26</v>
      </c>
      <c r="H70" s="193" t="str">
        <f>IFERROR(IF(COUNT(INDEX(Datos!$D$33:$AL$33,0,MATCH(F70,Datos!$D$3:$AL$3,0)))=0,"",INDEX(Datos!$D$33:$AL$33,MATCH(F70,Datos!$D$3:$AL$3,0))),"")</f>
        <v/>
      </c>
      <c r="J70" t="s">
        <v>1103</v>
      </c>
      <c r="K70" t="s">
        <v>1104</v>
      </c>
      <c r="L70" s="193" t="str">
        <f t="shared" si="7"/>
        <v>NO_DATA</v>
      </c>
      <c r="M70" s="193" t="str">
        <f t="shared" si="8"/>
        <v>Monthly</v>
      </c>
      <c r="N70" s="193" t="str">
        <f t="shared" si="5"/>
        <v>NO_DATA</v>
      </c>
      <c r="O70" s="193" t="str">
        <f t="shared" si="9"/>
        <v>Compressor Plant</v>
      </c>
      <c r="P70" s="193" t="str">
        <f ca="1">IF(LEFT(Control!$C$10,4)="ROJO","RED",IF(LEFT(Control!$C$10,8)="AMARILLO","AMBER","GREEN"))</f>
        <v>RED</v>
      </c>
      <c r="Q70" s="193">
        <f>IF(AND(ISNUMBER(MATCH(F70,Datos!$D$3:$AL$3,0)),F70&lt;=RPT_MONTH),1,0)</f>
        <v>0</v>
      </c>
      <c r="R70" s="193" t="str">
        <f t="shared" si="10"/>
        <v>OUT_OF_SCOPE</v>
      </c>
    </row>
    <row r="71" spans="1:18" ht="13.5" customHeight="1" x14ac:dyDescent="0.3">
      <c r="A71" t="s">
        <v>1101</v>
      </c>
      <c r="B71" t="s">
        <v>1105</v>
      </c>
      <c r="C71" t="s">
        <v>1106</v>
      </c>
      <c r="D71">
        <v>2</v>
      </c>
      <c r="E71">
        <v>10</v>
      </c>
      <c r="F71" s="258">
        <f>DATE(YEAR(RPT_MONTH),MONTH(RPT_MONTH)-2,1)</f>
        <v>46235</v>
      </c>
      <c r="G71" s="193" t="str">
        <f t="shared" si="6"/>
        <v>Aug-26</v>
      </c>
      <c r="H71" s="193">
        <f>IFERROR(IF(COUNT(INDEX(Datos!$D$33:$AL$33,0,MATCH(F71,Datos!$D$3:$AL$3,0)))=0,"",INDEX(Datos!$D$33:$AL$33,MATCH(F71,Datos!$D$3:$AL$3,0))),"")</f>
        <v>0</v>
      </c>
      <c r="J71" t="s">
        <v>1103</v>
      </c>
      <c r="K71" t="s">
        <v>1104</v>
      </c>
      <c r="L71" s="193" t="str">
        <f t="shared" si="7"/>
        <v>OK</v>
      </c>
      <c r="M71" s="193" t="str">
        <f t="shared" si="8"/>
        <v>Monthly</v>
      </c>
      <c r="N71" s="193" t="str">
        <f t="shared" si="5"/>
        <v>CONTEXT</v>
      </c>
      <c r="O71" s="193" t="str">
        <f t="shared" si="9"/>
        <v>Compressor Plant</v>
      </c>
      <c r="P71" s="193" t="str">
        <f ca="1">IF(LEFT(Control!$C$10,4)="ROJO","RED",IF(LEFT(Control!$C$10,8)="AMARILLO","AMBER","GREEN"))</f>
        <v>RED</v>
      </c>
      <c r="Q71" s="193">
        <f>IF(AND(ISNUMBER(MATCH(F71,Datos!$D$3:$AL$3,0)),F71&lt;=RPT_MONTH),1,0)</f>
        <v>1</v>
      </c>
      <c r="R71" s="193" t="str">
        <f t="shared" si="10"/>
        <v>OK</v>
      </c>
    </row>
    <row r="72" spans="1:18" ht="13.5" customHeight="1" x14ac:dyDescent="0.3">
      <c r="A72" t="s">
        <v>1101</v>
      </c>
      <c r="B72" t="s">
        <v>1105</v>
      </c>
      <c r="C72" t="s">
        <v>1106</v>
      </c>
      <c r="D72">
        <v>2</v>
      </c>
      <c r="E72">
        <v>11</v>
      </c>
      <c r="F72" s="258">
        <f>DATE(YEAR(RPT_MONTH),MONTH(RPT_MONTH)-1,1)</f>
        <v>46266</v>
      </c>
      <c r="G72" s="193" t="str">
        <f t="shared" si="6"/>
        <v>Sep-26</v>
      </c>
      <c r="H72" s="193">
        <f>IFERROR(IF(COUNT(INDEX(Datos!$D$33:$AL$33,0,MATCH(F72,Datos!$D$3:$AL$3,0)))=0,"",INDEX(Datos!$D$33:$AL$33,MATCH(F72,Datos!$D$3:$AL$3,0))),"")</f>
        <v>0</v>
      </c>
      <c r="J72" t="s">
        <v>1103</v>
      </c>
      <c r="K72" t="s">
        <v>1104</v>
      </c>
      <c r="L72" s="193" t="str">
        <f t="shared" si="7"/>
        <v>OK</v>
      </c>
      <c r="M72" s="193" t="str">
        <f t="shared" si="8"/>
        <v>Monthly</v>
      </c>
      <c r="N72" s="193" t="str">
        <f t="shared" si="5"/>
        <v>CONTEXT</v>
      </c>
      <c r="O72" s="193" t="str">
        <f t="shared" si="9"/>
        <v>Compressor Plant</v>
      </c>
      <c r="P72" s="193" t="str">
        <f ca="1">IF(LEFT(Control!$C$10,4)="ROJO","RED",IF(LEFT(Control!$C$10,8)="AMARILLO","AMBER","GREEN"))</f>
        <v>RED</v>
      </c>
      <c r="Q72" s="193">
        <f>IF(AND(ISNUMBER(MATCH(F72,Datos!$D$3:$AL$3,0)),F72&lt;=RPT_MONTH),1,0)</f>
        <v>1</v>
      </c>
      <c r="R72" s="193" t="str">
        <f t="shared" si="10"/>
        <v>OK</v>
      </c>
    </row>
    <row r="73" spans="1:18" ht="13.5" customHeight="1" x14ac:dyDescent="0.3">
      <c r="A73" t="s">
        <v>1101</v>
      </c>
      <c r="B73" t="s">
        <v>1105</v>
      </c>
      <c r="C73" t="s">
        <v>1106</v>
      </c>
      <c r="D73">
        <v>2</v>
      </c>
      <c r="E73">
        <v>12</v>
      </c>
      <c r="F73" s="258">
        <f>DATE(YEAR(RPT_MONTH),MONTH(RPT_MONTH)-0,1)</f>
        <v>46296</v>
      </c>
      <c r="G73" s="193" t="str">
        <f t="shared" si="6"/>
        <v>Oct-26</v>
      </c>
      <c r="H73" s="193" t="str">
        <f>IFERROR(IF(COUNT(INDEX(Datos!$D$33:$AL$33,0,MATCH(F73,Datos!$D$3:$AL$3,0)))=0,"",INDEX(Datos!$D$33:$AL$33,MATCH(F73,Datos!$D$3:$AL$3,0))),"")</f>
        <v/>
      </c>
      <c r="J73" t="s">
        <v>1103</v>
      </c>
      <c r="K73" t="s">
        <v>1104</v>
      </c>
      <c r="L73" s="193" t="str">
        <f t="shared" si="7"/>
        <v>NO_DATA</v>
      </c>
      <c r="M73" s="193" t="str">
        <f t="shared" si="8"/>
        <v>Monthly</v>
      </c>
      <c r="N73" s="193" t="str">
        <f t="shared" si="5"/>
        <v>NO_DATA</v>
      </c>
      <c r="O73" s="193" t="str">
        <f t="shared" si="9"/>
        <v>Compressor Plant</v>
      </c>
      <c r="P73" s="193" t="str">
        <f ca="1">IF(LEFT(Control!$C$10,4)="ROJO","RED",IF(LEFT(Control!$C$10,8)="AMARILLO","AMBER","GREEN"))</f>
        <v>RED</v>
      </c>
      <c r="Q73" s="193">
        <f>IF(AND(ISNUMBER(MATCH(F73,Datos!$D$3:$AL$3,0)),F73&lt;=RPT_MONTH),1,0)</f>
        <v>1</v>
      </c>
      <c r="R73" s="193" t="str">
        <f t="shared" si="10"/>
        <v>MISSING</v>
      </c>
    </row>
    <row r="74" spans="1:18" ht="13.5" customHeight="1" x14ac:dyDescent="0.3">
      <c r="A74" t="s">
        <v>1101</v>
      </c>
      <c r="B74" t="s">
        <v>1107</v>
      </c>
      <c r="C74" t="s">
        <v>1108</v>
      </c>
      <c r="D74">
        <v>3</v>
      </c>
      <c r="E74">
        <v>1</v>
      </c>
      <c r="F74" s="258">
        <f>DATE(YEAR(RPT_MONTH),MONTH(RPT_MONTH)-11,1)</f>
        <v>45962</v>
      </c>
      <c r="G74" s="193" t="str">
        <f t="shared" si="6"/>
        <v>Nov-25</v>
      </c>
      <c r="H74" s="193" t="str">
        <f>IFERROR(IF(COUNT(INDEX(Datos!$D$34:$AL$34,0,MATCH(F74,Datos!$D$3:$AL$3,0)))=0,"",INDEX(Datos!$D$34:$AL$34,MATCH(F74,Datos!$D$3:$AL$3,0))),"")</f>
        <v/>
      </c>
      <c r="J74" t="s">
        <v>1103</v>
      </c>
      <c r="K74" t="s">
        <v>1104</v>
      </c>
      <c r="L74" s="193" t="str">
        <f t="shared" si="7"/>
        <v>NO_DATA</v>
      </c>
      <c r="M74" s="193" t="str">
        <f t="shared" si="8"/>
        <v>Monthly</v>
      </c>
      <c r="N74" s="193" t="str">
        <f t="shared" si="5"/>
        <v>NO_DATA</v>
      </c>
      <c r="O74" s="193" t="str">
        <f t="shared" si="9"/>
        <v>Compressor Plant</v>
      </c>
      <c r="P74" s="193" t="str">
        <f ca="1">IF(LEFT(Control!$C$10,4)="ROJO","RED",IF(LEFT(Control!$C$10,8)="AMARILLO","AMBER","GREEN"))</f>
        <v>RED</v>
      </c>
      <c r="Q74" s="193">
        <f>IF(AND(ISNUMBER(MATCH(F74,Datos!$D$3:$AL$3,0)),F74&lt;=RPT_MONTH),1,0)</f>
        <v>0</v>
      </c>
      <c r="R74" s="193" t="str">
        <f t="shared" si="10"/>
        <v>OUT_OF_SCOPE</v>
      </c>
    </row>
    <row r="75" spans="1:18" ht="13.5" customHeight="1" x14ac:dyDescent="0.3">
      <c r="A75" t="s">
        <v>1101</v>
      </c>
      <c r="B75" t="s">
        <v>1107</v>
      </c>
      <c r="C75" t="s">
        <v>1108</v>
      </c>
      <c r="D75">
        <v>3</v>
      </c>
      <c r="E75">
        <v>2</v>
      </c>
      <c r="F75" s="258">
        <f>DATE(YEAR(RPT_MONTH),MONTH(RPT_MONTH)-10,1)</f>
        <v>45992</v>
      </c>
      <c r="G75" s="193" t="str">
        <f t="shared" si="6"/>
        <v>Dec-25</v>
      </c>
      <c r="H75" s="193" t="str">
        <f>IFERROR(IF(COUNT(INDEX(Datos!$D$34:$AL$34,0,MATCH(F75,Datos!$D$3:$AL$3,0)))=0,"",INDEX(Datos!$D$34:$AL$34,MATCH(F75,Datos!$D$3:$AL$3,0))),"")</f>
        <v/>
      </c>
      <c r="J75" t="s">
        <v>1103</v>
      </c>
      <c r="K75" t="s">
        <v>1104</v>
      </c>
      <c r="L75" s="193" t="str">
        <f t="shared" si="7"/>
        <v>NO_DATA</v>
      </c>
      <c r="M75" s="193" t="str">
        <f t="shared" si="8"/>
        <v>Monthly</v>
      </c>
      <c r="N75" s="193" t="str">
        <f t="shared" si="5"/>
        <v>NO_DATA</v>
      </c>
      <c r="O75" s="193" t="str">
        <f t="shared" si="9"/>
        <v>Compressor Plant</v>
      </c>
      <c r="P75" s="193" t="str">
        <f ca="1">IF(LEFT(Control!$C$10,4)="ROJO","RED",IF(LEFT(Control!$C$10,8)="AMARILLO","AMBER","GREEN"))</f>
        <v>RED</v>
      </c>
      <c r="Q75" s="193">
        <f>IF(AND(ISNUMBER(MATCH(F75,Datos!$D$3:$AL$3,0)),F75&lt;=RPT_MONTH),1,0)</f>
        <v>0</v>
      </c>
      <c r="R75" s="193" t="str">
        <f t="shared" si="10"/>
        <v>OUT_OF_SCOPE</v>
      </c>
    </row>
    <row r="76" spans="1:18" ht="13.5" customHeight="1" x14ac:dyDescent="0.3">
      <c r="A76" t="s">
        <v>1101</v>
      </c>
      <c r="B76" t="s">
        <v>1107</v>
      </c>
      <c r="C76" t="s">
        <v>1108</v>
      </c>
      <c r="D76">
        <v>3</v>
      </c>
      <c r="E76">
        <v>3</v>
      </c>
      <c r="F76" s="258">
        <f>DATE(YEAR(RPT_MONTH),MONTH(RPT_MONTH)-9,1)</f>
        <v>46023</v>
      </c>
      <c r="G76" s="193" t="str">
        <f t="shared" si="6"/>
        <v>Jan-26</v>
      </c>
      <c r="H76" s="193" t="str">
        <f>IFERROR(IF(COUNT(INDEX(Datos!$D$34:$AL$34,0,MATCH(F76,Datos!$D$3:$AL$3,0)))=0,"",INDEX(Datos!$D$34:$AL$34,MATCH(F76,Datos!$D$3:$AL$3,0))),"")</f>
        <v/>
      </c>
      <c r="J76" t="s">
        <v>1103</v>
      </c>
      <c r="K76" t="s">
        <v>1104</v>
      </c>
      <c r="L76" s="193" t="str">
        <f t="shared" si="7"/>
        <v>NO_DATA</v>
      </c>
      <c r="M76" s="193" t="str">
        <f t="shared" si="8"/>
        <v>Monthly</v>
      </c>
      <c r="N76" s="193" t="str">
        <f t="shared" si="5"/>
        <v>NO_DATA</v>
      </c>
      <c r="O76" s="193" t="str">
        <f t="shared" si="9"/>
        <v>Compressor Plant</v>
      </c>
      <c r="P76" s="193" t="str">
        <f ca="1">IF(LEFT(Control!$C$10,4)="ROJO","RED",IF(LEFT(Control!$C$10,8)="AMARILLO","AMBER","GREEN"))</f>
        <v>RED</v>
      </c>
      <c r="Q76" s="193">
        <f>IF(AND(ISNUMBER(MATCH(F76,Datos!$D$3:$AL$3,0)),F76&lt;=RPT_MONTH),1,0)</f>
        <v>0</v>
      </c>
      <c r="R76" s="193" t="str">
        <f t="shared" si="10"/>
        <v>OUT_OF_SCOPE</v>
      </c>
    </row>
    <row r="77" spans="1:18" ht="13.5" customHeight="1" x14ac:dyDescent="0.3">
      <c r="A77" t="s">
        <v>1101</v>
      </c>
      <c r="B77" t="s">
        <v>1107</v>
      </c>
      <c r="C77" t="s">
        <v>1108</v>
      </c>
      <c r="D77">
        <v>3</v>
      </c>
      <c r="E77">
        <v>4</v>
      </c>
      <c r="F77" s="258">
        <f>DATE(YEAR(RPT_MONTH),MONTH(RPT_MONTH)-8,1)</f>
        <v>46054</v>
      </c>
      <c r="G77" s="193" t="str">
        <f t="shared" si="6"/>
        <v>Feb-26</v>
      </c>
      <c r="H77" s="193" t="str">
        <f>IFERROR(IF(COUNT(INDEX(Datos!$D$34:$AL$34,0,MATCH(F77,Datos!$D$3:$AL$3,0)))=0,"",INDEX(Datos!$D$34:$AL$34,MATCH(F77,Datos!$D$3:$AL$3,0))),"")</f>
        <v/>
      </c>
      <c r="J77" t="s">
        <v>1103</v>
      </c>
      <c r="K77" t="s">
        <v>1104</v>
      </c>
      <c r="L77" s="193" t="str">
        <f t="shared" si="7"/>
        <v>NO_DATA</v>
      </c>
      <c r="M77" s="193" t="str">
        <f t="shared" si="8"/>
        <v>Monthly</v>
      </c>
      <c r="N77" s="193" t="str">
        <f t="shared" si="5"/>
        <v>NO_DATA</v>
      </c>
      <c r="O77" s="193" t="str">
        <f t="shared" si="9"/>
        <v>Compressor Plant</v>
      </c>
      <c r="P77" s="193" t="str">
        <f ca="1">IF(LEFT(Control!$C$10,4)="ROJO","RED",IF(LEFT(Control!$C$10,8)="AMARILLO","AMBER","GREEN"))</f>
        <v>RED</v>
      </c>
      <c r="Q77" s="193">
        <f>IF(AND(ISNUMBER(MATCH(F77,Datos!$D$3:$AL$3,0)),F77&lt;=RPT_MONTH),1,0)</f>
        <v>0</v>
      </c>
      <c r="R77" s="193" t="str">
        <f t="shared" si="10"/>
        <v>OUT_OF_SCOPE</v>
      </c>
    </row>
    <row r="78" spans="1:18" ht="13.5" customHeight="1" x14ac:dyDescent="0.3">
      <c r="A78" t="s">
        <v>1101</v>
      </c>
      <c r="B78" t="s">
        <v>1107</v>
      </c>
      <c r="C78" t="s">
        <v>1108</v>
      </c>
      <c r="D78">
        <v>3</v>
      </c>
      <c r="E78">
        <v>5</v>
      </c>
      <c r="F78" s="258">
        <f>DATE(YEAR(RPT_MONTH),MONTH(RPT_MONTH)-7,1)</f>
        <v>46082</v>
      </c>
      <c r="G78" s="193" t="str">
        <f t="shared" si="6"/>
        <v>Mar-26</v>
      </c>
      <c r="H78" s="193" t="str">
        <f>IFERROR(IF(COUNT(INDEX(Datos!$D$34:$AL$34,0,MATCH(F78,Datos!$D$3:$AL$3,0)))=0,"",INDEX(Datos!$D$34:$AL$34,MATCH(F78,Datos!$D$3:$AL$3,0))),"")</f>
        <v/>
      </c>
      <c r="J78" t="s">
        <v>1103</v>
      </c>
      <c r="K78" t="s">
        <v>1104</v>
      </c>
      <c r="L78" s="193" t="str">
        <f t="shared" si="7"/>
        <v>NO_DATA</v>
      </c>
      <c r="M78" s="193" t="str">
        <f t="shared" si="8"/>
        <v>Monthly</v>
      </c>
      <c r="N78" s="193" t="str">
        <f t="shared" si="5"/>
        <v>NO_DATA</v>
      </c>
      <c r="O78" s="193" t="str">
        <f t="shared" si="9"/>
        <v>Compressor Plant</v>
      </c>
      <c r="P78" s="193" t="str">
        <f ca="1">IF(LEFT(Control!$C$10,4)="ROJO","RED",IF(LEFT(Control!$C$10,8)="AMARILLO","AMBER","GREEN"))</f>
        <v>RED</v>
      </c>
      <c r="Q78" s="193">
        <f>IF(AND(ISNUMBER(MATCH(F78,Datos!$D$3:$AL$3,0)),F78&lt;=RPT_MONTH),1,0)</f>
        <v>0</v>
      </c>
      <c r="R78" s="193" t="str">
        <f t="shared" si="10"/>
        <v>OUT_OF_SCOPE</v>
      </c>
    </row>
    <row r="79" spans="1:18" ht="13.5" customHeight="1" x14ac:dyDescent="0.3">
      <c r="A79" t="s">
        <v>1101</v>
      </c>
      <c r="B79" t="s">
        <v>1107</v>
      </c>
      <c r="C79" t="s">
        <v>1108</v>
      </c>
      <c r="D79">
        <v>3</v>
      </c>
      <c r="E79">
        <v>6</v>
      </c>
      <c r="F79" s="258">
        <f>DATE(YEAR(RPT_MONTH),MONTH(RPT_MONTH)-6,1)</f>
        <v>46113</v>
      </c>
      <c r="G79" s="193" t="str">
        <f t="shared" si="6"/>
        <v>Apr-26</v>
      </c>
      <c r="H79" s="193" t="str">
        <f>IFERROR(IF(COUNT(INDEX(Datos!$D$34:$AL$34,0,MATCH(F79,Datos!$D$3:$AL$3,0)))=0,"",INDEX(Datos!$D$34:$AL$34,MATCH(F79,Datos!$D$3:$AL$3,0))),"")</f>
        <v/>
      </c>
      <c r="J79" t="s">
        <v>1103</v>
      </c>
      <c r="K79" t="s">
        <v>1104</v>
      </c>
      <c r="L79" s="193" t="str">
        <f t="shared" si="7"/>
        <v>NO_DATA</v>
      </c>
      <c r="M79" s="193" t="str">
        <f t="shared" si="8"/>
        <v>Monthly</v>
      </c>
      <c r="N79" s="193" t="str">
        <f t="shared" si="5"/>
        <v>NO_DATA</v>
      </c>
      <c r="O79" s="193" t="str">
        <f t="shared" si="9"/>
        <v>Compressor Plant</v>
      </c>
      <c r="P79" s="193" t="str">
        <f ca="1">IF(LEFT(Control!$C$10,4)="ROJO","RED",IF(LEFT(Control!$C$10,8)="AMARILLO","AMBER","GREEN"))</f>
        <v>RED</v>
      </c>
      <c r="Q79" s="193">
        <f>IF(AND(ISNUMBER(MATCH(F79,Datos!$D$3:$AL$3,0)),F79&lt;=RPT_MONTH),1,0)</f>
        <v>0</v>
      </c>
      <c r="R79" s="193" t="str">
        <f t="shared" si="10"/>
        <v>OUT_OF_SCOPE</v>
      </c>
    </row>
    <row r="80" spans="1:18" ht="13.5" customHeight="1" x14ac:dyDescent="0.3">
      <c r="A80" t="s">
        <v>1101</v>
      </c>
      <c r="B80" t="s">
        <v>1107</v>
      </c>
      <c r="C80" t="s">
        <v>1108</v>
      </c>
      <c r="D80">
        <v>3</v>
      </c>
      <c r="E80">
        <v>7</v>
      </c>
      <c r="F80" s="258">
        <f>DATE(YEAR(RPT_MONTH),MONTH(RPT_MONTH)-5,1)</f>
        <v>46143</v>
      </c>
      <c r="G80" s="193" t="str">
        <f t="shared" si="6"/>
        <v>May-26</v>
      </c>
      <c r="H80" s="193" t="str">
        <f>IFERROR(IF(COUNT(INDEX(Datos!$D$34:$AL$34,0,MATCH(F80,Datos!$D$3:$AL$3,0)))=0,"",INDEX(Datos!$D$34:$AL$34,MATCH(F80,Datos!$D$3:$AL$3,0))),"")</f>
        <v/>
      </c>
      <c r="J80" t="s">
        <v>1103</v>
      </c>
      <c r="K80" t="s">
        <v>1104</v>
      </c>
      <c r="L80" s="193" t="str">
        <f t="shared" si="7"/>
        <v>NO_DATA</v>
      </c>
      <c r="M80" s="193" t="str">
        <f t="shared" si="8"/>
        <v>Monthly</v>
      </c>
      <c r="N80" s="193" t="str">
        <f t="shared" si="5"/>
        <v>NO_DATA</v>
      </c>
      <c r="O80" s="193" t="str">
        <f t="shared" si="9"/>
        <v>Compressor Plant</v>
      </c>
      <c r="P80" s="193" t="str">
        <f ca="1">IF(LEFT(Control!$C$10,4)="ROJO","RED",IF(LEFT(Control!$C$10,8)="AMARILLO","AMBER","GREEN"))</f>
        <v>RED</v>
      </c>
      <c r="Q80" s="193">
        <f>IF(AND(ISNUMBER(MATCH(F80,Datos!$D$3:$AL$3,0)),F80&lt;=RPT_MONTH),1,0)</f>
        <v>0</v>
      </c>
      <c r="R80" s="193" t="str">
        <f t="shared" si="10"/>
        <v>OUT_OF_SCOPE</v>
      </c>
    </row>
    <row r="81" spans="1:18" ht="13.5" customHeight="1" x14ac:dyDescent="0.3">
      <c r="A81" t="s">
        <v>1101</v>
      </c>
      <c r="B81" t="s">
        <v>1107</v>
      </c>
      <c r="C81" t="s">
        <v>1108</v>
      </c>
      <c r="D81">
        <v>3</v>
      </c>
      <c r="E81">
        <v>8</v>
      </c>
      <c r="F81" s="258">
        <f>DATE(YEAR(RPT_MONTH),MONTH(RPT_MONTH)-4,1)</f>
        <v>46174</v>
      </c>
      <c r="G81" s="193" t="str">
        <f t="shared" si="6"/>
        <v>Jun-26</v>
      </c>
      <c r="H81" s="193" t="str">
        <f>IFERROR(IF(COUNT(INDEX(Datos!$D$34:$AL$34,0,MATCH(F81,Datos!$D$3:$AL$3,0)))=0,"",INDEX(Datos!$D$34:$AL$34,MATCH(F81,Datos!$D$3:$AL$3,0))),"")</f>
        <v/>
      </c>
      <c r="J81" t="s">
        <v>1103</v>
      </c>
      <c r="K81" t="s">
        <v>1104</v>
      </c>
      <c r="L81" s="193" t="str">
        <f t="shared" si="7"/>
        <v>NO_DATA</v>
      </c>
      <c r="M81" s="193" t="str">
        <f t="shared" si="8"/>
        <v>Monthly</v>
      </c>
      <c r="N81" s="193" t="str">
        <f t="shared" si="5"/>
        <v>NO_DATA</v>
      </c>
      <c r="O81" s="193" t="str">
        <f t="shared" si="9"/>
        <v>Compressor Plant</v>
      </c>
      <c r="P81" s="193" t="str">
        <f ca="1">IF(LEFT(Control!$C$10,4)="ROJO","RED",IF(LEFT(Control!$C$10,8)="AMARILLO","AMBER","GREEN"))</f>
        <v>RED</v>
      </c>
      <c r="Q81" s="193">
        <f>IF(AND(ISNUMBER(MATCH(F81,Datos!$D$3:$AL$3,0)),F81&lt;=RPT_MONTH),1,0)</f>
        <v>0</v>
      </c>
      <c r="R81" s="193" t="str">
        <f t="shared" si="10"/>
        <v>OUT_OF_SCOPE</v>
      </c>
    </row>
    <row r="82" spans="1:18" ht="13.5" customHeight="1" x14ac:dyDescent="0.3">
      <c r="A82" t="s">
        <v>1101</v>
      </c>
      <c r="B82" t="s">
        <v>1107</v>
      </c>
      <c r="C82" t="s">
        <v>1108</v>
      </c>
      <c r="D82">
        <v>3</v>
      </c>
      <c r="E82">
        <v>9</v>
      </c>
      <c r="F82" s="258">
        <f>DATE(YEAR(RPT_MONTH),MONTH(RPT_MONTH)-3,1)</f>
        <v>46204</v>
      </c>
      <c r="G82" s="193" t="str">
        <f t="shared" si="6"/>
        <v>Jul-26</v>
      </c>
      <c r="H82" s="193" t="str">
        <f>IFERROR(IF(COUNT(INDEX(Datos!$D$34:$AL$34,0,MATCH(F82,Datos!$D$3:$AL$3,0)))=0,"",INDEX(Datos!$D$34:$AL$34,MATCH(F82,Datos!$D$3:$AL$3,0))),"")</f>
        <v/>
      </c>
      <c r="J82" t="s">
        <v>1103</v>
      </c>
      <c r="K82" t="s">
        <v>1104</v>
      </c>
      <c r="L82" s="193" t="str">
        <f t="shared" si="7"/>
        <v>NO_DATA</v>
      </c>
      <c r="M82" s="193" t="str">
        <f t="shared" si="8"/>
        <v>Monthly</v>
      </c>
      <c r="N82" s="193" t="str">
        <f t="shared" ref="N82:N113" si="11">IF(ISNUMBER(H82),"CONTEXT","NO_DATA")</f>
        <v>NO_DATA</v>
      </c>
      <c r="O82" s="193" t="str">
        <f t="shared" si="9"/>
        <v>Compressor Plant</v>
      </c>
      <c r="P82" s="193" t="str">
        <f ca="1">IF(LEFT(Control!$C$10,4)="ROJO","RED",IF(LEFT(Control!$C$10,8)="AMARILLO","AMBER","GREEN"))</f>
        <v>RED</v>
      </c>
      <c r="Q82" s="193">
        <f>IF(AND(ISNUMBER(MATCH(F82,Datos!$D$3:$AL$3,0)),F82&lt;=RPT_MONTH),1,0)</f>
        <v>0</v>
      </c>
      <c r="R82" s="193" t="str">
        <f t="shared" si="10"/>
        <v>OUT_OF_SCOPE</v>
      </c>
    </row>
    <row r="83" spans="1:18" ht="13.5" customHeight="1" x14ac:dyDescent="0.3">
      <c r="A83" t="s">
        <v>1101</v>
      </c>
      <c r="B83" t="s">
        <v>1107</v>
      </c>
      <c r="C83" t="s">
        <v>1108</v>
      </c>
      <c r="D83">
        <v>3</v>
      </c>
      <c r="E83">
        <v>10</v>
      </c>
      <c r="F83" s="258">
        <f>DATE(YEAR(RPT_MONTH),MONTH(RPT_MONTH)-2,1)</f>
        <v>46235</v>
      </c>
      <c r="G83" s="193" t="str">
        <f t="shared" si="6"/>
        <v>Aug-26</v>
      </c>
      <c r="H83" s="193">
        <f>IFERROR(IF(COUNT(INDEX(Datos!$D$34:$AL$34,0,MATCH(F83,Datos!$D$3:$AL$3,0)))=0,"",INDEX(Datos!$D$34:$AL$34,MATCH(F83,Datos!$D$3:$AL$3,0))),"")</f>
        <v>0</v>
      </c>
      <c r="J83" t="s">
        <v>1103</v>
      </c>
      <c r="K83" t="s">
        <v>1104</v>
      </c>
      <c r="L83" s="193" t="str">
        <f t="shared" si="7"/>
        <v>OK</v>
      </c>
      <c r="M83" s="193" t="str">
        <f t="shared" si="8"/>
        <v>Monthly</v>
      </c>
      <c r="N83" s="193" t="str">
        <f t="shared" si="11"/>
        <v>CONTEXT</v>
      </c>
      <c r="O83" s="193" t="str">
        <f t="shared" si="9"/>
        <v>Compressor Plant</v>
      </c>
      <c r="P83" s="193" t="str">
        <f ca="1">IF(LEFT(Control!$C$10,4)="ROJO","RED",IF(LEFT(Control!$C$10,8)="AMARILLO","AMBER","GREEN"))</f>
        <v>RED</v>
      </c>
      <c r="Q83" s="193">
        <f>IF(AND(ISNUMBER(MATCH(F83,Datos!$D$3:$AL$3,0)),F83&lt;=RPT_MONTH),1,0)</f>
        <v>1</v>
      </c>
      <c r="R83" s="193" t="str">
        <f t="shared" si="10"/>
        <v>OK</v>
      </c>
    </row>
    <row r="84" spans="1:18" ht="13.5" customHeight="1" x14ac:dyDescent="0.3">
      <c r="A84" t="s">
        <v>1101</v>
      </c>
      <c r="B84" t="s">
        <v>1107</v>
      </c>
      <c r="C84" t="s">
        <v>1108</v>
      </c>
      <c r="D84">
        <v>3</v>
      </c>
      <c r="E84">
        <v>11</v>
      </c>
      <c r="F84" s="258">
        <f>DATE(YEAR(RPT_MONTH),MONTH(RPT_MONTH)-1,1)</f>
        <v>46266</v>
      </c>
      <c r="G84" s="193" t="str">
        <f t="shared" si="6"/>
        <v>Sep-26</v>
      </c>
      <c r="H84" s="193">
        <f>IFERROR(IF(COUNT(INDEX(Datos!$D$34:$AL$34,0,MATCH(F84,Datos!$D$3:$AL$3,0)))=0,"",INDEX(Datos!$D$34:$AL$34,MATCH(F84,Datos!$D$3:$AL$3,0))),"")</f>
        <v>0</v>
      </c>
      <c r="J84" t="s">
        <v>1103</v>
      </c>
      <c r="K84" t="s">
        <v>1104</v>
      </c>
      <c r="L84" s="193" t="str">
        <f t="shared" si="7"/>
        <v>OK</v>
      </c>
      <c r="M84" s="193" t="str">
        <f t="shared" si="8"/>
        <v>Monthly</v>
      </c>
      <c r="N84" s="193" t="str">
        <f t="shared" si="11"/>
        <v>CONTEXT</v>
      </c>
      <c r="O84" s="193" t="str">
        <f t="shared" si="9"/>
        <v>Compressor Plant</v>
      </c>
      <c r="P84" s="193" t="str">
        <f ca="1">IF(LEFT(Control!$C$10,4)="ROJO","RED",IF(LEFT(Control!$C$10,8)="AMARILLO","AMBER","GREEN"))</f>
        <v>RED</v>
      </c>
      <c r="Q84" s="193">
        <f>IF(AND(ISNUMBER(MATCH(F84,Datos!$D$3:$AL$3,0)),F84&lt;=RPT_MONTH),1,0)</f>
        <v>1</v>
      </c>
      <c r="R84" s="193" t="str">
        <f t="shared" si="10"/>
        <v>OK</v>
      </c>
    </row>
    <row r="85" spans="1:18" ht="13.5" customHeight="1" x14ac:dyDescent="0.3">
      <c r="A85" t="s">
        <v>1101</v>
      </c>
      <c r="B85" t="s">
        <v>1107</v>
      </c>
      <c r="C85" t="s">
        <v>1108</v>
      </c>
      <c r="D85">
        <v>3</v>
      </c>
      <c r="E85">
        <v>12</v>
      </c>
      <c r="F85" s="258">
        <f>DATE(YEAR(RPT_MONTH),MONTH(RPT_MONTH)-0,1)</f>
        <v>46296</v>
      </c>
      <c r="G85" s="193" t="str">
        <f t="shared" si="6"/>
        <v>Oct-26</v>
      </c>
      <c r="H85" s="193" t="str">
        <f>IFERROR(IF(COUNT(INDEX(Datos!$D$34:$AL$34,0,MATCH(F85,Datos!$D$3:$AL$3,0)))=0,"",INDEX(Datos!$D$34:$AL$34,MATCH(F85,Datos!$D$3:$AL$3,0))),"")</f>
        <v/>
      </c>
      <c r="J85" t="s">
        <v>1103</v>
      </c>
      <c r="K85" t="s">
        <v>1104</v>
      </c>
      <c r="L85" s="193" t="str">
        <f t="shared" si="7"/>
        <v>NO_DATA</v>
      </c>
      <c r="M85" s="193" t="str">
        <f t="shared" si="8"/>
        <v>Monthly</v>
      </c>
      <c r="N85" s="193" t="str">
        <f t="shared" si="11"/>
        <v>NO_DATA</v>
      </c>
      <c r="O85" s="193" t="str">
        <f t="shared" si="9"/>
        <v>Compressor Plant</v>
      </c>
      <c r="P85" s="193" t="str">
        <f ca="1">IF(LEFT(Control!$C$10,4)="ROJO","RED",IF(LEFT(Control!$C$10,8)="AMARILLO","AMBER","GREEN"))</f>
        <v>RED</v>
      </c>
      <c r="Q85" s="193">
        <f>IF(AND(ISNUMBER(MATCH(F85,Datos!$D$3:$AL$3,0)),F85&lt;=RPT_MONTH),1,0)</f>
        <v>1</v>
      </c>
      <c r="R85" s="193" t="str">
        <f t="shared" si="10"/>
        <v>MISSING</v>
      </c>
    </row>
    <row r="86" spans="1:18" ht="13.5" customHeight="1" x14ac:dyDescent="0.3">
      <c r="A86" t="s">
        <v>1101</v>
      </c>
      <c r="B86" t="s">
        <v>1109</v>
      </c>
      <c r="C86" t="s">
        <v>1110</v>
      </c>
      <c r="D86">
        <v>4</v>
      </c>
      <c r="E86">
        <v>1</v>
      </c>
      <c r="F86" s="258">
        <f>DATE(YEAR(RPT_MONTH),MONTH(RPT_MONTH)-11,1)</f>
        <v>45962</v>
      </c>
      <c r="G86" s="193" t="str">
        <f t="shared" si="6"/>
        <v>Nov-25</v>
      </c>
      <c r="H86" s="193" t="str">
        <f>IFERROR(IF(COUNT(INDEX(Datos!$D$35:$AL$35,0,MATCH(F86,Datos!$D$3:$AL$3,0)))=0,"",INDEX(Datos!$D$35:$AL$35,MATCH(F86,Datos!$D$3:$AL$3,0))),"")</f>
        <v/>
      </c>
      <c r="J86" t="s">
        <v>1103</v>
      </c>
      <c r="K86" t="s">
        <v>1104</v>
      </c>
      <c r="L86" s="193" t="str">
        <f t="shared" si="7"/>
        <v>NO_DATA</v>
      </c>
      <c r="M86" s="193" t="str">
        <f t="shared" si="8"/>
        <v>Monthly</v>
      </c>
      <c r="N86" s="193" t="str">
        <f t="shared" si="11"/>
        <v>NO_DATA</v>
      </c>
      <c r="O86" s="193" t="str">
        <f t="shared" si="9"/>
        <v>Compressor Plant</v>
      </c>
      <c r="P86" s="193" t="str">
        <f ca="1">IF(LEFT(Control!$C$10,4)="ROJO","RED",IF(LEFT(Control!$C$10,8)="AMARILLO","AMBER","GREEN"))</f>
        <v>RED</v>
      </c>
      <c r="Q86" s="193">
        <f>IF(AND(ISNUMBER(MATCH(F86,Datos!$D$3:$AL$3,0)),F86&lt;=RPT_MONTH),1,0)</f>
        <v>0</v>
      </c>
      <c r="R86" s="193" t="str">
        <f t="shared" si="10"/>
        <v>OUT_OF_SCOPE</v>
      </c>
    </row>
    <row r="87" spans="1:18" ht="13.5" customHeight="1" x14ac:dyDescent="0.3">
      <c r="A87" t="s">
        <v>1101</v>
      </c>
      <c r="B87" t="s">
        <v>1109</v>
      </c>
      <c r="C87" t="s">
        <v>1110</v>
      </c>
      <c r="D87">
        <v>4</v>
      </c>
      <c r="E87">
        <v>2</v>
      </c>
      <c r="F87" s="258">
        <f>DATE(YEAR(RPT_MONTH),MONTH(RPT_MONTH)-10,1)</f>
        <v>45992</v>
      </c>
      <c r="G87" s="193" t="str">
        <f t="shared" si="6"/>
        <v>Dec-25</v>
      </c>
      <c r="H87" s="193" t="str">
        <f>IFERROR(IF(COUNT(INDEX(Datos!$D$35:$AL$35,0,MATCH(F87,Datos!$D$3:$AL$3,0)))=0,"",INDEX(Datos!$D$35:$AL$35,MATCH(F87,Datos!$D$3:$AL$3,0))),"")</f>
        <v/>
      </c>
      <c r="J87" t="s">
        <v>1103</v>
      </c>
      <c r="K87" t="s">
        <v>1104</v>
      </c>
      <c r="L87" s="193" t="str">
        <f t="shared" si="7"/>
        <v>NO_DATA</v>
      </c>
      <c r="M87" s="193" t="str">
        <f t="shared" si="8"/>
        <v>Monthly</v>
      </c>
      <c r="N87" s="193" t="str">
        <f t="shared" si="11"/>
        <v>NO_DATA</v>
      </c>
      <c r="O87" s="193" t="str">
        <f t="shared" si="9"/>
        <v>Compressor Plant</v>
      </c>
      <c r="P87" s="193" t="str">
        <f ca="1">IF(LEFT(Control!$C$10,4)="ROJO","RED",IF(LEFT(Control!$C$10,8)="AMARILLO","AMBER","GREEN"))</f>
        <v>RED</v>
      </c>
      <c r="Q87" s="193">
        <f>IF(AND(ISNUMBER(MATCH(F87,Datos!$D$3:$AL$3,0)),F87&lt;=RPT_MONTH),1,0)</f>
        <v>0</v>
      </c>
      <c r="R87" s="193" t="str">
        <f t="shared" si="10"/>
        <v>OUT_OF_SCOPE</v>
      </c>
    </row>
    <row r="88" spans="1:18" ht="13.5" customHeight="1" x14ac:dyDescent="0.3">
      <c r="A88" t="s">
        <v>1101</v>
      </c>
      <c r="B88" t="s">
        <v>1109</v>
      </c>
      <c r="C88" t="s">
        <v>1110</v>
      </c>
      <c r="D88">
        <v>4</v>
      </c>
      <c r="E88">
        <v>3</v>
      </c>
      <c r="F88" s="258">
        <f>DATE(YEAR(RPT_MONTH),MONTH(RPT_MONTH)-9,1)</f>
        <v>46023</v>
      </c>
      <c r="G88" s="193" t="str">
        <f t="shared" si="6"/>
        <v>Jan-26</v>
      </c>
      <c r="H88" s="193" t="str">
        <f>IFERROR(IF(COUNT(INDEX(Datos!$D$35:$AL$35,0,MATCH(F88,Datos!$D$3:$AL$3,0)))=0,"",INDEX(Datos!$D$35:$AL$35,MATCH(F88,Datos!$D$3:$AL$3,0))),"")</f>
        <v/>
      </c>
      <c r="J88" t="s">
        <v>1103</v>
      </c>
      <c r="K88" t="s">
        <v>1104</v>
      </c>
      <c r="L88" s="193" t="str">
        <f t="shared" si="7"/>
        <v>NO_DATA</v>
      </c>
      <c r="M88" s="193" t="str">
        <f t="shared" si="8"/>
        <v>Monthly</v>
      </c>
      <c r="N88" s="193" t="str">
        <f t="shared" si="11"/>
        <v>NO_DATA</v>
      </c>
      <c r="O88" s="193" t="str">
        <f t="shared" si="9"/>
        <v>Compressor Plant</v>
      </c>
      <c r="P88" s="193" t="str">
        <f ca="1">IF(LEFT(Control!$C$10,4)="ROJO","RED",IF(LEFT(Control!$C$10,8)="AMARILLO","AMBER","GREEN"))</f>
        <v>RED</v>
      </c>
      <c r="Q88" s="193">
        <f>IF(AND(ISNUMBER(MATCH(F88,Datos!$D$3:$AL$3,0)),F88&lt;=RPT_MONTH),1,0)</f>
        <v>0</v>
      </c>
      <c r="R88" s="193" t="str">
        <f t="shared" si="10"/>
        <v>OUT_OF_SCOPE</v>
      </c>
    </row>
    <row r="89" spans="1:18" ht="13.5" customHeight="1" x14ac:dyDescent="0.3">
      <c r="A89" t="s">
        <v>1101</v>
      </c>
      <c r="B89" t="s">
        <v>1109</v>
      </c>
      <c r="C89" t="s">
        <v>1110</v>
      </c>
      <c r="D89">
        <v>4</v>
      </c>
      <c r="E89">
        <v>4</v>
      </c>
      <c r="F89" s="258">
        <f>DATE(YEAR(RPT_MONTH),MONTH(RPT_MONTH)-8,1)</f>
        <v>46054</v>
      </c>
      <c r="G89" s="193" t="str">
        <f t="shared" si="6"/>
        <v>Feb-26</v>
      </c>
      <c r="H89" s="193" t="str">
        <f>IFERROR(IF(COUNT(INDEX(Datos!$D$35:$AL$35,0,MATCH(F89,Datos!$D$3:$AL$3,0)))=0,"",INDEX(Datos!$D$35:$AL$35,MATCH(F89,Datos!$D$3:$AL$3,0))),"")</f>
        <v/>
      </c>
      <c r="J89" t="s">
        <v>1103</v>
      </c>
      <c r="K89" t="s">
        <v>1104</v>
      </c>
      <c r="L89" s="193" t="str">
        <f t="shared" si="7"/>
        <v>NO_DATA</v>
      </c>
      <c r="M89" s="193" t="str">
        <f t="shared" si="8"/>
        <v>Monthly</v>
      </c>
      <c r="N89" s="193" t="str">
        <f t="shared" si="11"/>
        <v>NO_DATA</v>
      </c>
      <c r="O89" s="193" t="str">
        <f t="shared" si="9"/>
        <v>Compressor Plant</v>
      </c>
      <c r="P89" s="193" t="str">
        <f ca="1">IF(LEFT(Control!$C$10,4)="ROJO","RED",IF(LEFT(Control!$C$10,8)="AMARILLO","AMBER","GREEN"))</f>
        <v>RED</v>
      </c>
      <c r="Q89" s="193">
        <f>IF(AND(ISNUMBER(MATCH(F89,Datos!$D$3:$AL$3,0)),F89&lt;=RPT_MONTH),1,0)</f>
        <v>0</v>
      </c>
      <c r="R89" s="193" t="str">
        <f t="shared" si="10"/>
        <v>OUT_OF_SCOPE</v>
      </c>
    </row>
    <row r="90" spans="1:18" ht="13.5" customHeight="1" x14ac:dyDescent="0.3">
      <c r="A90" t="s">
        <v>1101</v>
      </c>
      <c r="B90" t="s">
        <v>1109</v>
      </c>
      <c r="C90" t="s">
        <v>1110</v>
      </c>
      <c r="D90">
        <v>4</v>
      </c>
      <c r="E90">
        <v>5</v>
      </c>
      <c r="F90" s="258">
        <f>DATE(YEAR(RPT_MONTH),MONTH(RPT_MONTH)-7,1)</f>
        <v>46082</v>
      </c>
      <c r="G90" s="193" t="str">
        <f t="shared" si="6"/>
        <v>Mar-26</v>
      </c>
      <c r="H90" s="193" t="str">
        <f>IFERROR(IF(COUNT(INDEX(Datos!$D$35:$AL$35,0,MATCH(F90,Datos!$D$3:$AL$3,0)))=0,"",INDEX(Datos!$D$35:$AL$35,MATCH(F90,Datos!$D$3:$AL$3,0))),"")</f>
        <v/>
      </c>
      <c r="J90" t="s">
        <v>1103</v>
      </c>
      <c r="K90" t="s">
        <v>1104</v>
      </c>
      <c r="L90" s="193" t="str">
        <f t="shared" si="7"/>
        <v>NO_DATA</v>
      </c>
      <c r="M90" s="193" t="str">
        <f t="shared" si="8"/>
        <v>Monthly</v>
      </c>
      <c r="N90" s="193" t="str">
        <f t="shared" si="11"/>
        <v>NO_DATA</v>
      </c>
      <c r="O90" s="193" t="str">
        <f t="shared" si="9"/>
        <v>Compressor Plant</v>
      </c>
      <c r="P90" s="193" t="str">
        <f ca="1">IF(LEFT(Control!$C$10,4)="ROJO","RED",IF(LEFT(Control!$C$10,8)="AMARILLO","AMBER","GREEN"))</f>
        <v>RED</v>
      </c>
      <c r="Q90" s="193">
        <f>IF(AND(ISNUMBER(MATCH(F90,Datos!$D$3:$AL$3,0)),F90&lt;=RPT_MONTH),1,0)</f>
        <v>0</v>
      </c>
      <c r="R90" s="193" t="str">
        <f t="shared" si="10"/>
        <v>OUT_OF_SCOPE</v>
      </c>
    </row>
    <row r="91" spans="1:18" ht="13.5" customHeight="1" x14ac:dyDescent="0.3">
      <c r="A91" t="s">
        <v>1101</v>
      </c>
      <c r="B91" t="s">
        <v>1109</v>
      </c>
      <c r="C91" t="s">
        <v>1110</v>
      </c>
      <c r="D91">
        <v>4</v>
      </c>
      <c r="E91">
        <v>6</v>
      </c>
      <c r="F91" s="258">
        <f>DATE(YEAR(RPT_MONTH),MONTH(RPT_MONTH)-6,1)</f>
        <v>46113</v>
      </c>
      <c r="G91" s="193" t="str">
        <f t="shared" si="6"/>
        <v>Apr-26</v>
      </c>
      <c r="H91" s="193" t="str">
        <f>IFERROR(IF(COUNT(INDEX(Datos!$D$35:$AL$35,0,MATCH(F91,Datos!$D$3:$AL$3,0)))=0,"",INDEX(Datos!$D$35:$AL$35,MATCH(F91,Datos!$D$3:$AL$3,0))),"")</f>
        <v/>
      </c>
      <c r="J91" t="s">
        <v>1103</v>
      </c>
      <c r="K91" t="s">
        <v>1104</v>
      </c>
      <c r="L91" s="193" t="str">
        <f t="shared" si="7"/>
        <v>NO_DATA</v>
      </c>
      <c r="M91" s="193" t="str">
        <f t="shared" si="8"/>
        <v>Monthly</v>
      </c>
      <c r="N91" s="193" t="str">
        <f t="shared" si="11"/>
        <v>NO_DATA</v>
      </c>
      <c r="O91" s="193" t="str">
        <f t="shared" si="9"/>
        <v>Compressor Plant</v>
      </c>
      <c r="P91" s="193" t="str">
        <f ca="1">IF(LEFT(Control!$C$10,4)="ROJO","RED",IF(LEFT(Control!$C$10,8)="AMARILLO","AMBER","GREEN"))</f>
        <v>RED</v>
      </c>
      <c r="Q91" s="193">
        <f>IF(AND(ISNUMBER(MATCH(F91,Datos!$D$3:$AL$3,0)),F91&lt;=RPT_MONTH),1,0)</f>
        <v>0</v>
      </c>
      <c r="R91" s="193" t="str">
        <f t="shared" si="10"/>
        <v>OUT_OF_SCOPE</v>
      </c>
    </row>
    <row r="92" spans="1:18" ht="13.5" customHeight="1" x14ac:dyDescent="0.3">
      <c r="A92" t="s">
        <v>1101</v>
      </c>
      <c r="B92" t="s">
        <v>1109</v>
      </c>
      <c r="C92" t="s">
        <v>1110</v>
      </c>
      <c r="D92">
        <v>4</v>
      </c>
      <c r="E92">
        <v>7</v>
      </c>
      <c r="F92" s="258">
        <f>DATE(YEAR(RPT_MONTH),MONTH(RPT_MONTH)-5,1)</f>
        <v>46143</v>
      </c>
      <c r="G92" s="193" t="str">
        <f t="shared" si="6"/>
        <v>May-26</v>
      </c>
      <c r="H92" s="193" t="str">
        <f>IFERROR(IF(COUNT(INDEX(Datos!$D$35:$AL$35,0,MATCH(F92,Datos!$D$3:$AL$3,0)))=0,"",INDEX(Datos!$D$35:$AL$35,MATCH(F92,Datos!$D$3:$AL$3,0))),"")</f>
        <v/>
      </c>
      <c r="J92" t="s">
        <v>1103</v>
      </c>
      <c r="K92" t="s">
        <v>1104</v>
      </c>
      <c r="L92" s="193" t="str">
        <f t="shared" si="7"/>
        <v>NO_DATA</v>
      </c>
      <c r="M92" s="193" t="str">
        <f t="shared" si="8"/>
        <v>Monthly</v>
      </c>
      <c r="N92" s="193" t="str">
        <f t="shared" si="11"/>
        <v>NO_DATA</v>
      </c>
      <c r="O92" s="193" t="str">
        <f t="shared" si="9"/>
        <v>Compressor Plant</v>
      </c>
      <c r="P92" s="193" t="str">
        <f ca="1">IF(LEFT(Control!$C$10,4)="ROJO","RED",IF(LEFT(Control!$C$10,8)="AMARILLO","AMBER","GREEN"))</f>
        <v>RED</v>
      </c>
      <c r="Q92" s="193">
        <f>IF(AND(ISNUMBER(MATCH(F92,Datos!$D$3:$AL$3,0)),F92&lt;=RPT_MONTH),1,0)</f>
        <v>0</v>
      </c>
      <c r="R92" s="193" t="str">
        <f t="shared" si="10"/>
        <v>OUT_OF_SCOPE</v>
      </c>
    </row>
    <row r="93" spans="1:18" ht="13.5" customHeight="1" x14ac:dyDescent="0.3">
      <c r="A93" t="s">
        <v>1101</v>
      </c>
      <c r="B93" t="s">
        <v>1109</v>
      </c>
      <c r="C93" t="s">
        <v>1110</v>
      </c>
      <c r="D93">
        <v>4</v>
      </c>
      <c r="E93">
        <v>8</v>
      </c>
      <c r="F93" s="258">
        <f>DATE(YEAR(RPT_MONTH),MONTH(RPT_MONTH)-4,1)</f>
        <v>46174</v>
      </c>
      <c r="G93" s="193" t="str">
        <f t="shared" si="6"/>
        <v>Jun-26</v>
      </c>
      <c r="H93" s="193" t="str">
        <f>IFERROR(IF(COUNT(INDEX(Datos!$D$35:$AL$35,0,MATCH(F93,Datos!$D$3:$AL$3,0)))=0,"",INDEX(Datos!$D$35:$AL$35,MATCH(F93,Datos!$D$3:$AL$3,0))),"")</f>
        <v/>
      </c>
      <c r="J93" t="s">
        <v>1103</v>
      </c>
      <c r="K93" t="s">
        <v>1104</v>
      </c>
      <c r="L93" s="193" t="str">
        <f t="shared" si="7"/>
        <v>NO_DATA</v>
      </c>
      <c r="M93" s="193" t="str">
        <f t="shared" si="8"/>
        <v>Monthly</v>
      </c>
      <c r="N93" s="193" t="str">
        <f t="shared" si="11"/>
        <v>NO_DATA</v>
      </c>
      <c r="O93" s="193" t="str">
        <f t="shared" si="9"/>
        <v>Compressor Plant</v>
      </c>
      <c r="P93" s="193" t="str">
        <f ca="1">IF(LEFT(Control!$C$10,4)="ROJO","RED",IF(LEFT(Control!$C$10,8)="AMARILLO","AMBER","GREEN"))</f>
        <v>RED</v>
      </c>
      <c r="Q93" s="193">
        <f>IF(AND(ISNUMBER(MATCH(F93,Datos!$D$3:$AL$3,0)),F93&lt;=RPT_MONTH),1,0)</f>
        <v>0</v>
      </c>
      <c r="R93" s="193" t="str">
        <f t="shared" si="10"/>
        <v>OUT_OF_SCOPE</v>
      </c>
    </row>
    <row r="94" spans="1:18" ht="13.5" customHeight="1" x14ac:dyDescent="0.3">
      <c r="A94" t="s">
        <v>1101</v>
      </c>
      <c r="B94" t="s">
        <v>1109</v>
      </c>
      <c r="C94" t="s">
        <v>1110</v>
      </c>
      <c r="D94">
        <v>4</v>
      </c>
      <c r="E94">
        <v>9</v>
      </c>
      <c r="F94" s="258">
        <f>DATE(YEAR(RPT_MONTH),MONTH(RPT_MONTH)-3,1)</f>
        <v>46204</v>
      </c>
      <c r="G94" s="193" t="str">
        <f t="shared" si="6"/>
        <v>Jul-26</v>
      </c>
      <c r="H94" s="193" t="str">
        <f>IFERROR(IF(COUNT(INDEX(Datos!$D$35:$AL$35,0,MATCH(F94,Datos!$D$3:$AL$3,0)))=0,"",INDEX(Datos!$D$35:$AL$35,MATCH(F94,Datos!$D$3:$AL$3,0))),"")</f>
        <v/>
      </c>
      <c r="J94" t="s">
        <v>1103</v>
      </c>
      <c r="K94" t="s">
        <v>1104</v>
      </c>
      <c r="L94" s="193" t="str">
        <f t="shared" si="7"/>
        <v>NO_DATA</v>
      </c>
      <c r="M94" s="193" t="str">
        <f t="shared" si="8"/>
        <v>Monthly</v>
      </c>
      <c r="N94" s="193" t="str">
        <f t="shared" si="11"/>
        <v>NO_DATA</v>
      </c>
      <c r="O94" s="193" t="str">
        <f t="shared" si="9"/>
        <v>Compressor Plant</v>
      </c>
      <c r="P94" s="193" t="str">
        <f ca="1">IF(LEFT(Control!$C$10,4)="ROJO","RED",IF(LEFT(Control!$C$10,8)="AMARILLO","AMBER","GREEN"))</f>
        <v>RED</v>
      </c>
      <c r="Q94" s="193">
        <f>IF(AND(ISNUMBER(MATCH(F94,Datos!$D$3:$AL$3,0)),F94&lt;=RPT_MONTH),1,0)</f>
        <v>0</v>
      </c>
      <c r="R94" s="193" t="str">
        <f t="shared" si="10"/>
        <v>OUT_OF_SCOPE</v>
      </c>
    </row>
    <row r="95" spans="1:18" ht="13.5" customHeight="1" x14ac:dyDescent="0.3">
      <c r="A95" t="s">
        <v>1101</v>
      </c>
      <c r="B95" t="s">
        <v>1109</v>
      </c>
      <c r="C95" t="s">
        <v>1110</v>
      </c>
      <c r="D95">
        <v>4</v>
      </c>
      <c r="E95">
        <v>10</v>
      </c>
      <c r="F95" s="258">
        <f>DATE(YEAR(RPT_MONTH),MONTH(RPT_MONTH)-2,1)</f>
        <v>46235</v>
      </c>
      <c r="G95" s="193" t="str">
        <f t="shared" si="6"/>
        <v>Aug-26</v>
      </c>
      <c r="H95" s="193">
        <f>IFERROR(IF(COUNT(INDEX(Datos!$D$35:$AL$35,0,MATCH(F95,Datos!$D$3:$AL$3,0)))=0,"",INDEX(Datos!$D$35:$AL$35,MATCH(F95,Datos!$D$3:$AL$3,0))),"")</f>
        <v>0</v>
      </c>
      <c r="J95" t="s">
        <v>1103</v>
      </c>
      <c r="K95" t="s">
        <v>1104</v>
      </c>
      <c r="L95" s="193" t="str">
        <f t="shared" si="7"/>
        <v>OK</v>
      </c>
      <c r="M95" s="193" t="str">
        <f t="shared" si="8"/>
        <v>Monthly</v>
      </c>
      <c r="N95" s="193" t="str">
        <f t="shared" si="11"/>
        <v>CONTEXT</v>
      </c>
      <c r="O95" s="193" t="str">
        <f t="shared" si="9"/>
        <v>Compressor Plant</v>
      </c>
      <c r="P95" s="193" t="str">
        <f ca="1">IF(LEFT(Control!$C$10,4)="ROJO","RED",IF(LEFT(Control!$C$10,8)="AMARILLO","AMBER","GREEN"))</f>
        <v>RED</v>
      </c>
      <c r="Q95" s="193">
        <f>IF(AND(ISNUMBER(MATCH(F95,Datos!$D$3:$AL$3,0)),F95&lt;=RPT_MONTH),1,0)</f>
        <v>1</v>
      </c>
      <c r="R95" s="193" t="str">
        <f t="shared" si="10"/>
        <v>OK</v>
      </c>
    </row>
    <row r="96" spans="1:18" ht="13.5" customHeight="1" x14ac:dyDescent="0.3">
      <c r="A96" t="s">
        <v>1101</v>
      </c>
      <c r="B96" t="s">
        <v>1109</v>
      </c>
      <c r="C96" t="s">
        <v>1110</v>
      </c>
      <c r="D96">
        <v>4</v>
      </c>
      <c r="E96">
        <v>11</v>
      </c>
      <c r="F96" s="258">
        <f>DATE(YEAR(RPT_MONTH),MONTH(RPT_MONTH)-1,1)</f>
        <v>46266</v>
      </c>
      <c r="G96" s="193" t="str">
        <f t="shared" si="6"/>
        <v>Sep-26</v>
      </c>
      <c r="H96" s="193">
        <f>IFERROR(IF(COUNT(INDEX(Datos!$D$35:$AL$35,0,MATCH(F96,Datos!$D$3:$AL$3,0)))=0,"",INDEX(Datos!$D$35:$AL$35,MATCH(F96,Datos!$D$3:$AL$3,0))),"")</f>
        <v>0</v>
      </c>
      <c r="J96" t="s">
        <v>1103</v>
      </c>
      <c r="K96" t="s">
        <v>1104</v>
      </c>
      <c r="L96" s="193" t="str">
        <f t="shared" si="7"/>
        <v>OK</v>
      </c>
      <c r="M96" s="193" t="str">
        <f t="shared" si="8"/>
        <v>Monthly</v>
      </c>
      <c r="N96" s="193" t="str">
        <f t="shared" si="11"/>
        <v>CONTEXT</v>
      </c>
      <c r="O96" s="193" t="str">
        <f t="shared" si="9"/>
        <v>Compressor Plant</v>
      </c>
      <c r="P96" s="193" t="str">
        <f ca="1">IF(LEFT(Control!$C$10,4)="ROJO","RED",IF(LEFT(Control!$C$10,8)="AMARILLO","AMBER","GREEN"))</f>
        <v>RED</v>
      </c>
      <c r="Q96" s="193">
        <f>IF(AND(ISNUMBER(MATCH(F96,Datos!$D$3:$AL$3,0)),F96&lt;=RPT_MONTH),1,0)</f>
        <v>1</v>
      </c>
      <c r="R96" s="193" t="str">
        <f t="shared" si="10"/>
        <v>OK</v>
      </c>
    </row>
    <row r="97" spans="1:18" ht="13.5" customHeight="1" x14ac:dyDescent="0.3">
      <c r="A97" t="s">
        <v>1101</v>
      </c>
      <c r="B97" t="s">
        <v>1109</v>
      </c>
      <c r="C97" t="s">
        <v>1110</v>
      </c>
      <c r="D97">
        <v>4</v>
      </c>
      <c r="E97">
        <v>12</v>
      </c>
      <c r="F97" s="258">
        <f>DATE(YEAR(RPT_MONTH),MONTH(RPT_MONTH)-0,1)</f>
        <v>46296</v>
      </c>
      <c r="G97" s="193" t="str">
        <f t="shared" si="6"/>
        <v>Oct-26</v>
      </c>
      <c r="H97" s="193" t="str">
        <f>IFERROR(IF(COUNT(INDEX(Datos!$D$35:$AL$35,0,MATCH(F97,Datos!$D$3:$AL$3,0)))=0,"",INDEX(Datos!$D$35:$AL$35,MATCH(F97,Datos!$D$3:$AL$3,0))),"")</f>
        <v/>
      </c>
      <c r="J97" t="s">
        <v>1103</v>
      </c>
      <c r="K97" t="s">
        <v>1104</v>
      </c>
      <c r="L97" s="193" t="str">
        <f t="shared" si="7"/>
        <v>NO_DATA</v>
      </c>
      <c r="M97" s="193" t="str">
        <f t="shared" si="8"/>
        <v>Monthly</v>
      </c>
      <c r="N97" s="193" t="str">
        <f t="shared" si="11"/>
        <v>NO_DATA</v>
      </c>
      <c r="O97" s="193" t="str">
        <f t="shared" si="9"/>
        <v>Compressor Plant</v>
      </c>
      <c r="P97" s="193" t="str">
        <f ca="1">IF(LEFT(Control!$C$10,4)="ROJO","RED",IF(LEFT(Control!$C$10,8)="AMARILLO","AMBER","GREEN"))</f>
        <v>RED</v>
      </c>
      <c r="Q97" s="193">
        <f>IF(AND(ISNUMBER(MATCH(F97,Datos!$D$3:$AL$3,0)),F97&lt;=RPT_MONTH),1,0)</f>
        <v>1</v>
      </c>
      <c r="R97" s="193" t="str">
        <f t="shared" si="10"/>
        <v>MISSING</v>
      </c>
    </row>
    <row r="98" spans="1:18" ht="13.5" customHeight="1" x14ac:dyDescent="0.3">
      <c r="A98" t="s">
        <v>1101</v>
      </c>
      <c r="B98" t="s">
        <v>1111</v>
      </c>
      <c r="C98" t="s">
        <v>1112</v>
      </c>
      <c r="D98">
        <v>5</v>
      </c>
      <c r="E98">
        <v>1</v>
      </c>
      <c r="F98" s="258">
        <f>DATE(YEAR(RPT_MONTH),MONTH(RPT_MONTH)-11,1)</f>
        <v>45962</v>
      </c>
      <c r="G98" s="193" t="str">
        <f t="shared" si="6"/>
        <v>Nov-25</v>
      </c>
      <c r="H98" s="193" t="str">
        <f>IFERROR(IF(COUNT(INDEX(Datos!$D$37:$AL$37,0,MATCH(F98,Datos!$D$3:$AL$3,0)))=0,"",INDEX(Datos!$D$37:$AL$37,MATCH(F98,Datos!$D$3:$AL$3,0))),"")</f>
        <v/>
      </c>
      <c r="J98" t="s">
        <v>1103</v>
      </c>
      <c r="K98" t="s">
        <v>1104</v>
      </c>
      <c r="L98" s="193" t="str">
        <f t="shared" si="7"/>
        <v>NO_DATA</v>
      </c>
      <c r="M98" s="193" t="str">
        <f t="shared" si="8"/>
        <v>Monthly</v>
      </c>
      <c r="N98" s="193" t="str">
        <f t="shared" si="11"/>
        <v>NO_DATA</v>
      </c>
      <c r="O98" s="193" t="str">
        <f t="shared" si="9"/>
        <v>Compressor Plant</v>
      </c>
      <c r="P98" s="193" t="str">
        <f ca="1">IF(LEFT(Control!$C$10,4)="ROJO","RED",IF(LEFT(Control!$C$10,8)="AMARILLO","AMBER","GREEN"))</f>
        <v>RED</v>
      </c>
      <c r="Q98" s="193">
        <f>IF(AND(ISNUMBER(MATCH(F98,Datos!$D$3:$AL$3,0)),F98&lt;=RPT_MONTH),1,0)</f>
        <v>0</v>
      </c>
      <c r="R98" s="193" t="str">
        <f t="shared" si="10"/>
        <v>OUT_OF_SCOPE</v>
      </c>
    </row>
    <row r="99" spans="1:18" ht="13.5" customHeight="1" x14ac:dyDescent="0.3">
      <c r="A99" t="s">
        <v>1101</v>
      </c>
      <c r="B99" t="s">
        <v>1111</v>
      </c>
      <c r="C99" t="s">
        <v>1112</v>
      </c>
      <c r="D99">
        <v>5</v>
      </c>
      <c r="E99">
        <v>2</v>
      </c>
      <c r="F99" s="258">
        <f>DATE(YEAR(RPT_MONTH),MONTH(RPT_MONTH)-10,1)</f>
        <v>45992</v>
      </c>
      <c r="G99" s="193" t="str">
        <f t="shared" si="6"/>
        <v>Dec-25</v>
      </c>
      <c r="H99" s="193" t="str">
        <f>IFERROR(IF(COUNT(INDEX(Datos!$D$37:$AL$37,0,MATCH(F99,Datos!$D$3:$AL$3,0)))=0,"",INDEX(Datos!$D$37:$AL$37,MATCH(F99,Datos!$D$3:$AL$3,0))),"")</f>
        <v/>
      </c>
      <c r="J99" t="s">
        <v>1103</v>
      </c>
      <c r="K99" t="s">
        <v>1104</v>
      </c>
      <c r="L99" s="193" t="str">
        <f t="shared" si="7"/>
        <v>NO_DATA</v>
      </c>
      <c r="M99" s="193" t="str">
        <f t="shared" si="8"/>
        <v>Monthly</v>
      </c>
      <c r="N99" s="193" t="str">
        <f t="shared" si="11"/>
        <v>NO_DATA</v>
      </c>
      <c r="O99" s="193" t="str">
        <f t="shared" si="9"/>
        <v>Compressor Plant</v>
      </c>
      <c r="P99" s="193" t="str">
        <f ca="1">IF(LEFT(Control!$C$10,4)="ROJO","RED",IF(LEFT(Control!$C$10,8)="AMARILLO","AMBER","GREEN"))</f>
        <v>RED</v>
      </c>
      <c r="Q99" s="193">
        <f>IF(AND(ISNUMBER(MATCH(F99,Datos!$D$3:$AL$3,0)),F99&lt;=RPT_MONTH),1,0)</f>
        <v>0</v>
      </c>
      <c r="R99" s="193" t="str">
        <f t="shared" si="10"/>
        <v>OUT_OF_SCOPE</v>
      </c>
    </row>
    <row r="100" spans="1:18" ht="13.5" customHeight="1" x14ac:dyDescent="0.3">
      <c r="A100" t="s">
        <v>1101</v>
      </c>
      <c r="B100" t="s">
        <v>1111</v>
      </c>
      <c r="C100" t="s">
        <v>1112</v>
      </c>
      <c r="D100">
        <v>5</v>
      </c>
      <c r="E100">
        <v>3</v>
      </c>
      <c r="F100" s="258">
        <f>DATE(YEAR(RPT_MONTH),MONTH(RPT_MONTH)-9,1)</f>
        <v>46023</v>
      </c>
      <c r="G100" s="193" t="str">
        <f t="shared" si="6"/>
        <v>Jan-26</v>
      </c>
      <c r="H100" s="193" t="str">
        <f>IFERROR(IF(COUNT(INDEX(Datos!$D$37:$AL$37,0,MATCH(F100,Datos!$D$3:$AL$3,0)))=0,"",INDEX(Datos!$D$37:$AL$37,MATCH(F100,Datos!$D$3:$AL$3,0))),"")</f>
        <v/>
      </c>
      <c r="J100" t="s">
        <v>1103</v>
      </c>
      <c r="K100" t="s">
        <v>1104</v>
      </c>
      <c r="L100" s="193" t="str">
        <f t="shared" si="7"/>
        <v>NO_DATA</v>
      </c>
      <c r="M100" s="193" t="str">
        <f t="shared" si="8"/>
        <v>Monthly</v>
      </c>
      <c r="N100" s="193" t="str">
        <f t="shared" si="11"/>
        <v>NO_DATA</v>
      </c>
      <c r="O100" s="193" t="str">
        <f t="shared" si="9"/>
        <v>Compressor Plant</v>
      </c>
      <c r="P100" s="193" t="str">
        <f ca="1">IF(LEFT(Control!$C$10,4)="ROJO","RED",IF(LEFT(Control!$C$10,8)="AMARILLO","AMBER","GREEN"))</f>
        <v>RED</v>
      </c>
      <c r="Q100" s="193">
        <f>IF(AND(ISNUMBER(MATCH(F100,Datos!$D$3:$AL$3,0)),F100&lt;=RPT_MONTH),1,0)</f>
        <v>0</v>
      </c>
      <c r="R100" s="193" t="str">
        <f t="shared" si="10"/>
        <v>OUT_OF_SCOPE</v>
      </c>
    </row>
    <row r="101" spans="1:18" ht="13.5" customHeight="1" x14ac:dyDescent="0.3">
      <c r="A101" t="s">
        <v>1101</v>
      </c>
      <c r="B101" t="s">
        <v>1111</v>
      </c>
      <c r="C101" t="s">
        <v>1112</v>
      </c>
      <c r="D101">
        <v>5</v>
      </c>
      <c r="E101">
        <v>4</v>
      </c>
      <c r="F101" s="258">
        <f>DATE(YEAR(RPT_MONTH),MONTH(RPT_MONTH)-8,1)</f>
        <v>46054</v>
      </c>
      <c r="G101" s="193" t="str">
        <f t="shared" si="6"/>
        <v>Feb-26</v>
      </c>
      <c r="H101" s="193" t="str">
        <f>IFERROR(IF(COUNT(INDEX(Datos!$D$37:$AL$37,0,MATCH(F101,Datos!$D$3:$AL$3,0)))=0,"",INDEX(Datos!$D$37:$AL$37,MATCH(F101,Datos!$D$3:$AL$3,0))),"")</f>
        <v/>
      </c>
      <c r="J101" t="s">
        <v>1103</v>
      </c>
      <c r="K101" t="s">
        <v>1104</v>
      </c>
      <c r="L101" s="193" t="str">
        <f t="shared" si="7"/>
        <v>NO_DATA</v>
      </c>
      <c r="M101" s="193" t="str">
        <f t="shared" si="8"/>
        <v>Monthly</v>
      </c>
      <c r="N101" s="193" t="str">
        <f t="shared" si="11"/>
        <v>NO_DATA</v>
      </c>
      <c r="O101" s="193" t="str">
        <f t="shared" si="9"/>
        <v>Compressor Plant</v>
      </c>
      <c r="P101" s="193" t="str">
        <f ca="1">IF(LEFT(Control!$C$10,4)="ROJO","RED",IF(LEFT(Control!$C$10,8)="AMARILLO","AMBER","GREEN"))</f>
        <v>RED</v>
      </c>
      <c r="Q101" s="193">
        <f>IF(AND(ISNUMBER(MATCH(F101,Datos!$D$3:$AL$3,0)),F101&lt;=RPT_MONTH),1,0)</f>
        <v>0</v>
      </c>
      <c r="R101" s="193" t="str">
        <f t="shared" si="10"/>
        <v>OUT_OF_SCOPE</v>
      </c>
    </row>
    <row r="102" spans="1:18" ht="13.5" customHeight="1" x14ac:dyDescent="0.3">
      <c r="A102" t="s">
        <v>1101</v>
      </c>
      <c r="B102" t="s">
        <v>1111</v>
      </c>
      <c r="C102" t="s">
        <v>1112</v>
      </c>
      <c r="D102">
        <v>5</v>
      </c>
      <c r="E102">
        <v>5</v>
      </c>
      <c r="F102" s="258">
        <f>DATE(YEAR(RPT_MONTH),MONTH(RPT_MONTH)-7,1)</f>
        <v>46082</v>
      </c>
      <c r="G102" s="193" t="str">
        <f t="shared" si="6"/>
        <v>Mar-26</v>
      </c>
      <c r="H102" s="193" t="str">
        <f>IFERROR(IF(COUNT(INDEX(Datos!$D$37:$AL$37,0,MATCH(F102,Datos!$D$3:$AL$3,0)))=0,"",INDEX(Datos!$D$37:$AL$37,MATCH(F102,Datos!$D$3:$AL$3,0))),"")</f>
        <v/>
      </c>
      <c r="J102" t="s">
        <v>1103</v>
      </c>
      <c r="K102" t="s">
        <v>1104</v>
      </c>
      <c r="L102" s="193" t="str">
        <f t="shared" si="7"/>
        <v>NO_DATA</v>
      </c>
      <c r="M102" s="193" t="str">
        <f t="shared" si="8"/>
        <v>Monthly</v>
      </c>
      <c r="N102" s="193" t="str">
        <f t="shared" si="11"/>
        <v>NO_DATA</v>
      </c>
      <c r="O102" s="193" t="str">
        <f t="shared" si="9"/>
        <v>Compressor Plant</v>
      </c>
      <c r="P102" s="193" t="str">
        <f ca="1">IF(LEFT(Control!$C$10,4)="ROJO","RED",IF(LEFT(Control!$C$10,8)="AMARILLO","AMBER","GREEN"))</f>
        <v>RED</v>
      </c>
      <c r="Q102" s="193">
        <f>IF(AND(ISNUMBER(MATCH(F102,Datos!$D$3:$AL$3,0)),F102&lt;=RPT_MONTH),1,0)</f>
        <v>0</v>
      </c>
      <c r="R102" s="193" t="str">
        <f t="shared" si="10"/>
        <v>OUT_OF_SCOPE</v>
      </c>
    </row>
    <row r="103" spans="1:18" ht="13.5" customHeight="1" x14ac:dyDescent="0.3">
      <c r="A103" t="s">
        <v>1101</v>
      </c>
      <c r="B103" t="s">
        <v>1111</v>
      </c>
      <c r="C103" t="s">
        <v>1112</v>
      </c>
      <c r="D103">
        <v>5</v>
      </c>
      <c r="E103">
        <v>6</v>
      </c>
      <c r="F103" s="258">
        <f>DATE(YEAR(RPT_MONTH),MONTH(RPT_MONTH)-6,1)</f>
        <v>46113</v>
      </c>
      <c r="G103" s="193" t="str">
        <f t="shared" si="6"/>
        <v>Apr-26</v>
      </c>
      <c r="H103" s="193" t="str">
        <f>IFERROR(IF(COUNT(INDEX(Datos!$D$37:$AL$37,0,MATCH(F103,Datos!$D$3:$AL$3,0)))=0,"",INDEX(Datos!$D$37:$AL$37,MATCH(F103,Datos!$D$3:$AL$3,0))),"")</f>
        <v/>
      </c>
      <c r="J103" t="s">
        <v>1103</v>
      </c>
      <c r="K103" t="s">
        <v>1104</v>
      </c>
      <c r="L103" s="193" t="str">
        <f t="shared" si="7"/>
        <v>NO_DATA</v>
      </c>
      <c r="M103" s="193" t="str">
        <f t="shared" si="8"/>
        <v>Monthly</v>
      </c>
      <c r="N103" s="193" t="str">
        <f t="shared" si="11"/>
        <v>NO_DATA</v>
      </c>
      <c r="O103" s="193" t="str">
        <f t="shared" si="9"/>
        <v>Compressor Plant</v>
      </c>
      <c r="P103" s="193" t="str">
        <f ca="1">IF(LEFT(Control!$C$10,4)="ROJO","RED",IF(LEFT(Control!$C$10,8)="AMARILLO","AMBER","GREEN"))</f>
        <v>RED</v>
      </c>
      <c r="Q103" s="193">
        <f>IF(AND(ISNUMBER(MATCH(F103,Datos!$D$3:$AL$3,0)),F103&lt;=RPT_MONTH),1,0)</f>
        <v>0</v>
      </c>
      <c r="R103" s="193" t="str">
        <f t="shared" si="10"/>
        <v>OUT_OF_SCOPE</v>
      </c>
    </row>
    <row r="104" spans="1:18" ht="13.5" customHeight="1" x14ac:dyDescent="0.3">
      <c r="A104" t="s">
        <v>1101</v>
      </c>
      <c r="B104" t="s">
        <v>1111</v>
      </c>
      <c r="C104" t="s">
        <v>1112</v>
      </c>
      <c r="D104">
        <v>5</v>
      </c>
      <c r="E104">
        <v>7</v>
      </c>
      <c r="F104" s="258">
        <f>DATE(YEAR(RPT_MONTH),MONTH(RPT_MONTH)-5,1)</f>
        <v>46143</v>
      </c>
      <c r="G104" s="193" t="str">
        <f t="shared" si="6"/>
        <v>May-26</v>
      </c>
      <c r="H104" s="193" t="str">
        <f>IFERROR(IF(COUNT(INDEX(Datos!$D$37:$AL$37,0,MATCH(F104,Datos!$D$3:$AL$3,0)))=0,"",INDEX(Datos!$D$37:$AL$37,MATCH(F104,Datos!$D$3:$AL$3,0))),"")</f>
        <v/>
      </c>
      <c r="J104" t="s">
        <v>1103</v>
      </c>
      <c r="K104" t="s">
        <v>1104</v>
      </c>
      <c r="L104" s="193" t="str">
        <f t="shared" si="7"/>
        <v>NO_DATA</v>
      </c>
      <c r="M104" s="193" t="str">
        <f t="shared" si="8"/>
        <v>Monthly</v>
      </c>
      <c r="N104" s="193" t="str">
        <f t="shared" si="11"/>
        <v>NO_DATA</v>
      </c>
      <c r="O104" s="193" t="str">
        <f t="shared" si="9"/>
        <v>Compressor Plant</v>
      </c>
      <c r="P104" s="193" t="str">
        <f ca="1">IF(LEFT(Control!$C$10,4)="ROJO","RED",IF(LEFT(Control!$C$10,8)="AMARILLO","AMBER","GREEN"))</f>
        <v>RED</v>
      </c>
      <c r="Q104" s="193">
        <f>IF(AND(ISNUMBER(MATCH(F104,Datos!$D$3:$AL$3,0)),F104&lt;=RPT_MONTH),1,0)</f>
        <v>0</v>
      </c>
      <c r="R104" s="193" t="str">
        <f t="shared" si="10"/>
        <v>OUT_OF_SCOPE</v>
      </c>
    </row>
    <row r="105" spans="1:18" ht="13.5" customHeight="1" x14ac:dyDescent="0.3">
      <c r="A105" t="s">
        <v>1101</v>
      </c>
      <c r="B105" t="s">
        <v>1111</v>
      </c>
      <c r="C105" t="s">
        <v>1112</v>
      </c>
      <c r="D105">
        <v>5</v>
      </c>
      <c r="E105">
        <v>8</v>
      </c>
      <c r="F105" s="258">
        <f>DATE(YEAR(RPT_MONTH),MONTH(RPT_MONTH)-4,1)</f>
        <v>46174</v>
      </c>
      <c r="G105" s="193" t="str">
        <f t="shared" si="6"/>
        <v>Jun-26</v>
      </c>
      <c r="H105" s="193" t="str">
        <f>IFERROR(IF(COUNT(INDEX(Datos!$D$37:$AL$37,0,MATCH(F105,Datos!$D$3:$AL$3,0)))=0,"",INDEX(Datos!$D$37:$AL$37,MATCH(F105,Datos!$D$3:$AL$3,0))),"")</f>
        <v/>
      </c>
      <c r="J105" t="s">
        <v>1103</v>
      </c>
      <c r="K105" t="s">
        <v>1104</v>
      </c>
      <c r="L105" s="193" t="str">
        <f t="shared" si="7"/>
        <v>NO_DATA</v>
      </c>
      <c r="M105" s="193" t="str">
        <f t="shared" si="8"/>
        <v>Monthly</v>
      </c>
      <c r="N105" s="193" t="str">
        <f t="shared" si="11"/>
        <v>NO_DATA</v>
      </c>
      <c r="O105" s="193" t="str">
        <f t="shared" si="9"/>
        <v>Compressor Plant</v>
      </c>
      <c r="P105" s="193" t="str">
        <f ca="1">IF(LEFT(Control!$C$10,4)="ROJO","RED",IF(LEFT(Control!$C$10,8)="AMARILLO","AMBER","GREEN"))</f>
        <v>RED</v>
      </c>
      <c r="Q105" s="193">
        <f>IF(AND(ISNUMBER(MATCH(F105,Datos!$D$3:$AL$3,0)),F105&lt;=RPT_MONTH),1,0)</f>
        <v>0</v>
      </c>
      <c r="R105" s="193" t="str">
        <f t="shared" si="10"/>
        <v>OUT_OF_SCOPE</v>
      </c>
    </row>
    <row r="106" spans="1:18" ht="13.5" customHeight="1" x14ac:dyDescent="0.3">
      <c r="A106" t="s">
        <v>1101</v>
      </c>
      <c r="B106" t="s">
        <v>1111</v>
      </c>
      <c r="C106" t="s">
        <v>1112</v>
      </c>
      <c r="D106">
        <v>5</v>
      </c>
      <c r="E106">
        <v>9</v>
      </c>
      <c r="F106" s="258">
        <f>DATE(YEAR(RPT_MONTH),MONTH(RPT_MONTH)-3,1)</f>
        <v>46204</v>
      </c>
      <c r="G106" s="193" t="str">
        <f t="shared" si="6"/>
        <v>Jul-26</v>
      </c>
      <c r="H106" s="193" t="str">
        <f>IFERROR(IF(COUNT(INDEX(Datos!$D$37:$AL$37,0,MATCH(F106,Datos!$D$3:$AL$3,0)))=0,"",INDEX(Datos!$D$37:$AL$37,MATCH(F106,Datos!$D$3:$AL$3,0))),"")</f>
        <v/>
      </c>
      <c r="J106" t="s">
        <v>1103</v>
      </c>
      <c r="K106" t="s">
        <v>1104</v>
      </c>
      <c r="L106" s="193" t="str">
        <f t="shared" si="7"/>
        <v>NO_DATA</v>
      </c>
      <c r="M106" s="193" t="str">
        <f t="shared" si="8"/>
        <v>Monthly</v>
      </c>
      <c r="N106" s="193" t="str">
        <f t="shared" si="11"/>
        <v>NO_DATA</v>
      </c>
      <c r="O106" s="193" t="str">
        <f t="shared" si="9"/>
        <v>Compressor Plant</v>
      </c>
      <c r="P106" s="193" t="str">
        <f ca="1">IF(LEFT(Control!$C$10,4)="ROJO","RED",IF(LEFT(Control!$C$10,8)="AMARILLO","AMBER","GREEN"))</f>
        <v>RED</v>
      </c>
      <c r="Q106" s="193">
        <f>IF(AND(ISNUMBER(MATCH(F106,Datos!$D$3:$AL$3,0)),F106&lt;=RPT_MONTH),1,0)</f>
        <v>0</v>
      </c>
      <c r="R106" s="193" t="str">
        <f t="shared" si="10"/>
        <v>OUT_OF_SCOPE</v>
      </c>
    </row>
    <row r="107" spans="1:18" ht="13.5" customHeight="1" x14ac:dyDescent="0.3">
      <c r="A107" t="s">
        <v>1101</v>
      </c>
      <c r="B107" t="s">
        <v>1111</v>
      </c>
      <c r="C107" t="s">
        <v>1112</v>
      </c>
      <c r="D107">
        <v>5</v>
      </c>
      <c r="E107">
        <v>10</v>
      </c>
      <c r="F107" s="258">
        <f>DATE(YEAR(RPT_MONTH),MONTH(RPT_MONTH)-2,1)</f>
        <v>46235</v>
      </c>
      <c r="G107" s="193" t="str">
        <f t="shared" si="6"/>
        <v>Aug-26</v>
      </c>
      <c r="H107" s="193">
        <f>IFERROR(IF(COUNT(INDEX(Datos!$D$37:$AL$37,0,MATCH(F107,Datos!$D$3:$AL$3,0)))=0,"",INDEX(Datos!$D$37:$AL$37,MATCH(F107,Datos!$D$3:$AL$3,0))),"")</f>
        <v>0</v>
      </c>
      <c r="J107" t="s">
        <v>1103</v>
      </c>
      <c r="K107" t="s">
        <v>1104</v>
      </c>
      <c r="L107" s="193" t="str">
        <f t="shared" si="7"/>
        <v>OK</v>
      </c>
      <c r="M107" s="193" t="str">
        <f t="shared" si="8"/>
        <v>Monthly</v>
      </c>
      <c r="N107" s="193" t="str">
        <f t="shared" si="11"/>
        <v>CONTEXT</v>
      </c>
      <c r="O107" s="193" t="str">
        <f t="shared" si="9"/>
        <v>Compressor Plant</v>
      </c>
      <c r="P107" s="193" t="str">
        <f ca="1">IF(LEFT(Control!$C$10,4)="ROJO","RED",IF(LEFT(Control!$C$10,8)="AMARILLO","AMBER","GREEN"))</f>
        <v>RED</v>
      </c>
      <c r="Q107" s="193">
        <f>IF(AND(ISNUMBER(MATCH(F107,Datos!$D$3:$AL$3,0)),F107&lt;=RPT_MONTH),1,0)</f>
        <v>1</v>
      </c>
      <c r="R107" s="193" t="str">
        <f t="shared" si="10"/>
        <v>OK</v>
      </c>
    </row>
    <row r="108" spans="1:18" ht="13.5" customHeight="1" x14ac:dyDescent="0.3">
      <c r="A108" t="s">
        <v>1101</v>
      </c>
      <c r="B108" t="s">
        <v>1111</v>
      </c>
      <c r="C108" t="s">
        <v>1112</v>
      </c>
      <c r="D108">
        <v>5</v>
      </c>
      <c r="E108">
        <v>11</v>
      </c>
      <c r="F108" s="258">
        <f>DATE(YEAR(RPT_MONTH),MONTH(RPT_MONTH)-1,1)</f>
        <v>46266</v>
      </c>
      <c r="G108" s="193" t="str">
        <f t="shared" si="6"/>
        <v>Sep-26</v>
      </c>
      <c r="H108" s="193">
        <f>IFERROR(IF(COUNT(INDEX(Datos!$D$37:$AL$37,0,MATCH(F108,Datos!$D$3:$AL$3,0)))=0,"",INDEX(Datos!$D$37:$AL$37,MATCH(F108,Datos!$D$3:$AL$3,0))),"")</f>
        <v>0</v>
      </c>
      <c r="J108" t="s">
        <v>1103</v>
      </c>
      <c r="K108" t="s">
        <v>1104</v>
      </c>
      <c r="L108" s="193" t="str">
        <f t="shared" si="7"/>
        <v>OK</v>
      </c>
      <c r="M108" s="193" t="str">
        <f t="shared" si="8"/>
        <v>Monthly</v>
      </c>
      <c r="N108" s="193" t="str">
        <f t="shared" si="11"/>
        <v>CONTEXT</v>
      </c>
      <c r="O108" s="193" t="str">
        <f t="shared" si="9"/>
        <v>Compressor Plant</v>
      </c>
      <c r="P108" s="193" t="str">
        <f ca="1">IF(LEFT(Control!$C$10,4)="ROJO","RED",IF(LEFT(Control!$C$10,8)="AMARILLO","AMBER","GREEN"))</f>
        <v>RED</v>
      </c>
      <c r="Q108" s="193">
        <f>IF(AND(ISNUMBER(MATCH(F108,Datos!$D$3:$AL$3,0)),F108&lt;=RPT_MONTH),1,0)</f>
        <v>1</v>
      </c>
      <c r="R108" s="193" t="str">
        <f t="shared" si="10"/>
        <v>OK</v>
      </c>
    </row>
    <row r="109" spans="1:18" ht="13.5" customHeight="1" x14ac:dyDescent="0.3">
      <c r="A109" t="s">
        <v>1101</v>
      </c>
      <c r="B109" t="s">
        <v>1111</v>
      </c>
      <c r="C109" t="s">
        <v>1112</v>
      </c>
      <c r="D109">
        <v>5</v>
      </c>
      <c r="E109">
        <v>12</v>
      </c>
      <c r="F109" s="258">
        <f>DATE(YEAR(RPT_MONTH),MONTH(RPT_MONTH)-0,1)</f>
        <v>46296</v>
      </c>
      <c r="G109" s="193" t="str">
        <f t="shared" si="6"/>
        <v>Oct-26</v>
      </c>
      <c r="H109" s="193" t="str">
        <f>IFERROR(IF(COUNT(INDEX(Datos!$D$37:$AL$37,0,MATCH(F109,Datos!$D$3:$AL$3,0)))=0,"",INDEX(Datos!$D$37:$AL$37,MATCH(F109,Datos!$D$3:$AL$3,0))),"")</f>
        <v/>
      </c>
      <c r="J109" t="s">
        <v>1103</v>
      </c>
      <c r="K109" t="s">
        <v>1104</v>
      </c>
      <c r="L109" s="193" t="str">
        <f t="shared" si="7"/>
        <v>NO_DATA</v>
      </c>
      <c r="M109" s="193" t="str">
        <f t="shared" si="8"/>
        <v>Monthly</v>
      </c>
      <c r="N109" s="193" t="str">
        <f t="shared" si="11"/>
        <v>NO_DATA</v>
      </c>
      <c r="O109" s="193" t="str">
        <f t="shared" si="9"/>
        <v>Compressor Plant</v>
      </c>
      <c r="P109" s="193" t="str">
        <f ca="1">IF(LEFT(Control!$C$10,4)="ROJO","RED",IF(LEFT(Control!$C$10,8)="AMARILLO","AMBER","GREEN"))</f>
        <v>RED</v>
      </c>
      <c r="Q109" s="193">
        <f>IF(AND(ISNUMBER(MATCH(F109,Datos!$D$3:$AL$3,0)),F109&lt;=RPT_MONTH),1,0)</f>
        <v>1</v>
      </c>
      <c r="R109" s="193" t="str">
        <f t="shared" si="10"/>
        <v>MISSING</v>
      </c>
    </row>
    <row r="110" spans="1:18" ht="13.5" customHeight="1" x14ac:dyDescent="0.3">
      <c r="A110" t="s">
        <v>1113</v>
      </c>
      <c r="B110" t="s">
        <v>1056</v>
      </c>
      <c r="C110" t="s">
        <v>1058</v>
      </c>
      <c r="D110">
        <v>1</v>
      </c>
      <c r="E110">
        <v>1</v>
      </c>
      <c r="F110" s="258">
        <f>DATE(YEAR(RPT_MONTH),MONTH(RPT_MONTH)-11,1)</f>
        <v>45962</v>
      </c>
      <c r="G110" s="193" t="str">
        <f t="shared" si="6"/>
        <v>Nov-25</v>
      </c>
      <c r="H110" s="193" t="str">
        <f>IFERROR(IF(COUNT(INDEX(Datos!$D$12:$AL$13,0,MATCH(F110,Datos!$D$3:$AL$3,0)))=0,"",INDEX(Datos!$D$14:$AL$14,MATCH(F110,Datos!$D$3:$AL$3,0))),"")</f>
        <v/>
      </c>
      <c r="J110" t="s">
        <v>1114</v>
      </c>
      <c r="K110" t="s">
        <v>1115</v>
      </c>
      <c r="L110" s="193" t="str">
        <f t="shared" si="7"/>
        <v>NO_DATA</v>
      </c>
      <c r="M110" s="193" t="str">
        <f t="shared" si="8"/>
        <v>Monthly</v>
      </c>
      <c r="N110" s="193" t="str">
        <f t="shared" si="11"/>
        <v>NO_DATA</v>
      </c>
      <c r="O110" s="193" t="str">
        <f t="shared" si="9"/>
        <v>Compressor Plant</v>
      </c>
      <c r="P110" s="193" t="str">
        <f ca="1">IF(LEFT(Control!$C$10,4)="ROJO","RED",IF(LEFT(Control!$C$10,8)="AMARILLO","AMBER","GREEN"))</f>
        <v>RED</v>
      </c>
      <c r="Q110" s="193">
        <f>IF(AND(ISNUMBER(MATCH(F110,Datos!$D$3:$AL$3,0)),F110&lt;=RPT_MONTH),1,0)</f>
        <v>0</v>
      </c>
      <c r="R110" s="193" t="str">
        <f t="shared" si="10"/>
        <v>OUT_OF_SCOPE</v>
      </c>
    </row>
    <row r="111" spans="1:18" ht="13.5" customHeight="1" x14ac:dyDescent="0.3">
      <c r="A111" t="s">
        <v>1113</v>
      </c>
      <c r="B111" t="s">
        <v>1056</v>
      </c>
      <c r="C111" t="s">
        <v>1058</v>
      </c>
      <c r="D111">
        <v>1</v>
      </c>
      <c r="E111">
        <v>2</v>
      </c>
      <c r="F111" s="258">
        <f>DATE(YEAR(RPT_MONTH),MONTH(RPT_MONTH)-10,1)</f>
        <v>45992</v>
      </c>
      <c r="G111" s="193" t="str">
        <f t="shared" si="6"/>
        <v>Dec-25</v>
      </c>
      <c r="H111" s="193" t="str">
        <f>IFERROR(IF(COUNT(INDEX(Datos!$D$12:$AL$13,0,MATCH(F111,Datos!$D$3:$AL$3,0)))=0,"",INDEX(Datos!$D$14:$AL$14,MATCH(F111,Datos!$D$3:$AL$3,0))),"")</f>
        <v/>
      </c>
      <c r="J111" t="s">
        <v>1114</v>
      </c>
      <c r="K111" t="s">
        <v>1115</v>
      </c>
      <c r="L111" s="193" t="str">
        <f t="shared" si="7"/>
        <v>NO_DATA</v>
      </c>
      <c r="M111" s="193" t="str">
        <f t="shared" si="8"/>
        <v>Monthly</v>
      </c>
      <c r="N111" s="193" t="str">
        <f t="shared" si="11"/>
        <v>NO_DATA</v>
      </c>
      <c r="O111" s="193" t="str">
        <f t="shared" si="9"/>
        <v>Compressor Plant</v>
      </c>
      <c r="P111" s="193" t="str">
        <f ca="1">IF(LEFT(Control!$C$10,4)="ROJO","RED",IF(LEFT(Control!$C$10,8)="AMARILLO","AMBER","GREEN"))</f>
        <v>RED</v>
      </c>
      <c r="Q111" s="193">
        <f>IF(AND(ISNUMBER(MATCH(F111,Datos!$D$3:$AL$3,0)),F111&lt;=RPT_MONTH),1,0)</f>
        <v>0</v>
      </c>
      <c r="R111" s="193" t="str">
        <f t="shared" si="10"/>
        <v>OUT_OF_SCOPE</v>
      </c>
    </row>
    <row r="112" spans="1:18" ht="13.5" customHeight="1" x14ac:dyDescent="0.3">
      <c r="A112" t="s">
        <v>1113</v>
      </c>
      <c r="B112" t="s">
        <v>1056</v>
      </c>
      <c r="C112" t="s">
        <v>1058</v>
      </c>
      <c r="D112">
        <v>1</v>
      </c>
      <c r="E112">
        <v>3</v>
      </c>
      <c r="F112" s="258">
        <f>DATE(YEAR(RPT_MONTH),MONTH(RPT_MONTH)-9,1)</f>
        <v>46023</v>
      </c>
      <c r="G112" s="193" t="str">
        <f t="shared" si="6"/>
        <v>Jan-26</v>
      </c>
      <c r="H112" s="193" t="str">
        <f>IFERROR(IF(COUNT(INDEX(Datos!$D$12:$AL$13,0,MATCH(F112,Datos!$D$3:$AL$3,0)))=0,"",INDEX(Datos!$D$14:$AL$14,MATCH(F112,Datos!$D$3:$AL$3,0))),"")</f>
        <v/>
      </c>
      <c r="J112" t="s">
        <v>1114</v>
      </c>
      <c r="K112" t="s">
        <v>1115</v>
      </c>
      <c r="L112" s="193" t="str">
        <f t="shared" si="7"/>
        <v>NO_DATA</v>
      </c>
      <c r="M112" s="193" t="str">
        <f t="shared" si="8"/>
        <v>Monthly</v>
      </c>
      <c r="N112" s="193" t="str">
        <f t="shared" si="11"/>
        <v>NO_DATA</v>
      </c>
      <c r="O112" s="193" t="str">
        <f t="shared" si="9"/>
        <v>Compressor Plant</v>
      </c>
      <c r="P112" s="193" t="str">
        <f ca="1">IF(LEFT(Control!$C$10,4)="ROJO","RED",IF(LEFT(Control!$C$10,8)="AMARILLO","AMBER","GREEN"))</f>
        <v>RED</v>
      </c>
      <c r="Q112" s="193">
        <f>IF(AND(ISNUMBER(MATCH(F112,Datos!$D$3:$AL$3,0)),F112&lt;=RPT_MONTH),1,0)</f>
        <v>0</v>
      </c>
      <c r="R112" s="193" t="str">
        <f t="shared" si="10"/>
        <v>OUT_OF_SCOPE</v>
      </c>
    </row>
    <row r="113" spans="1:18" ht="13.5" customHeight="1" x14ac:dyDescent="0.3">
      <c r="A113" t="s">
        <v>1113</v>
      </c>
      <c r="B113" t="s">
        <v>1056</v>
      </c>
      <c r="C113" t="s">
        <v>1058</v>
      </c>
      <c r="D113">
        <v>1</v>
      </c>
      <c r="E113">
        <v>4</v>
      </c>
      <c r="F113" s="258">
        <f>DATE(YEAR(RPT_MONTH),MONTH(RPT_MONTH)-8,1)</f>
        <v>46054</v>
      </c>
      <c r="G113" s="193" t="str">
        <f t="shared" si="6"/>
        <v>Feb-26</v>
      </c>
      <c r="H113" s="193" t="str">
        <f>IFERROR(IF(COUNT(INDEX(Datos!$D$12:$AL$13,0,MATCH(F113,Datos!$D$3:$AL$3,0)))=0,"",INDEX(Datos!$D$14:$AL$14,MATCH(F113,Datos!$D$3:$AL$3,0))),"")</f>
        <v/>
      </c>
      <c r="J113" t="s">
        <v>1114</v>
      </c>
      <c r="K113" t="s">
        <v>1115</v>
      </c>
      <c r="L113" s="193" t="str">
        <f t="shared" si="7"/>
        <v>NO_DATA</v>
      </c>
      <c r="M113" s="193" t="str">
        <f t="shared" si="8"/>
        <v>Monthly</v>
      </c>
      <c r="N113" s="193" t="str">
        <f t="shared" si="11"/>
        <v>NO_DATA</v>
      </c>
      <c r="O113" s="193" t="str">
        <f t="shared" si="9"/>
        <v>Compressor Plant</v>
      </c>
      <c r="P113" s="193" t="str">
        <f ca="1">IF(LEFT(Control!$C$10,4)="ROJO","RED",IF(LEFT(Control!$C$10,8)="AMARILLO","AMBER","GREEN"))</f>
        <v>RED</v>
      </c>
      <c r="Q113" s="193">
        <f>IF(AND(ISNUMBER(MATCH(F113,Datos!$D$3:$AL$3,0)),F113&lt;=RPT_MONTH),1,0)</f>
        <v>0</v>
      </c>
      <c r="R113" s="193" t="str">
        <f t="shared" si="10"/>
        <v>OUT_OF_SCOPE</v>
      </c>
    </row>
    <row r="114" spans="1:18" ht="13.5" customHeight="1" x14ac:dyDescent="0.3">
      <c r="A114" t="s">
        <v>1113</v>
      </c>
      <c r="B114" t="s">
        <v>1056</v>
      </c>
      <c r="C114" t="s">
        <v>1058</v>
      </c>
      <c r="D114">
        <v>1</v>
      </c>
      <c r="E114">
        <v>5</v>
      </c>
      <c r="F114" s="258">
        <f>DATE(YEAR(RPT_MONTH),MONTH(RPT_MONTH)-7,1)</f>
        <v>46082</v>
      </c>
      <c r="G114" s="193" t="str">
        <f t="shared" si="6"/>
        <v>Mar-26</v>
      </c>
      <c r="H114" s="193" t="str">
        <f>IFERROR(IF(COUNT(INDEX(Datos!$D$12:$AL$13,0,MATCH(F114,Datos!$D$3:$AL$3,0)))=0,"",INDEX(Datos!$D$14:$AL$14,MATCH(F114,Datos!$D$3:$AL$3,0))),"")</f>
        <v/>
      </c>
      <c r="J114" t="s">
        <v>1114</v>
      </c>
      <c r="K114" t="s">
        <v>1115</v>
      </c>
      <c r="L114" s="193" t="str">
        <f t="shared" si="7"/>
        <v>NO_DATA</v>
      </c>
      <c r="M114" s="193" t="str">
        <f t="shared" si="8"/>
        <v>Monthly</v>
      </c>
      <c r="N114" s="193" t="str">
        <f t="shared" ref="N114:N121" si="12">IF(ISNUMBER(H114),"CONTEXT","NO_DATA")</f>
        <v>NO_DATA</v>
      </c>
      <c r="O114" s="193" t="str">
        <f t="shared" si="9"/>
        <v>Compressor Plant</v>
      </c>
      <c r="P114" s="193" t="str">
        <f ca="1">IF(LEFT(Control!$C$10,4)="ROJO","RED",IF(LEFT(Control!$C$10,8)="AMARILLO","AMBER","GREEN"))</f>
        <v>RED</v>
      </c>
      <c r="Q114" s="193">
        <f>IF(AND(ISNUMBER(MATCH(F114,Datos!$D$3:$AL$3,0)),F114&lt;=RPT_MONTH),1,0)</f>
        <v>0</v>
      </c>
      <c r="R114" s="193" t="str">
        <f t="shared" si="10"/>
        <v>OUT_OF_SCOPE</v>
      </c>
    </row>
    <row r="115" spans="1:18" ht="13.5" customHeight="1" x14ac:dyDescent="0.3">
      <c r="A115" t="s">
        <v>1113</v>
      </c>
      <c r="B115" t="s">
        <v>1056</v>
      </c>
      <c r="C115" t="s">
        <v>1058</v>
      </c>
      <c r="D115">
        <v>1</v>
      </c>
      <c r="E115">
        <v>6</v>
      </c>
      <c r="F115" s="258">
        <f>DATE(YEAR(RPT_MONTH),MONTH(RPT_MONTH)-6,1)</f>
        <v>46113</v>
      </c>
      <c r="G115" s="193" t="str">
        <f t="shared" si="6"/>
        <v>Apr-26</v>
      </c>
      <c r="H115" s="193" t="str">
        <f>IFERROR(IF(COUNT(INDEX(Datos!$D$12:$AL$13,0,MATCH(F115,Datos!$D$3:$AL$3,0)))=0,"",INDEX(Datos!$D$14:$AL$14,MATCH(F115,Datos!$D$3:$AL$3,0))),"")</f>
        <v/>
      </c>
      <c r="J115" t="s">
        <v>1114</v>
      </c>
      <c r="K115" t="s">
        <v>1115</v>
      </c>
      <c r="L115" s="193" t="str">
        <f t="shared" si="7"/>
        <v>NO_DATA</v>
      </c>
      <c r="M115" s="193" t="str">
        <f t="shared" si="8"/>
        <v>Monthly</v>
      </c>
      <c r="N115" s="193" t="str">
        <f t="shared" si="12"/>
        <v>NO_DATA</v>
      </c>
      <c r="O115" s="193" t="str">
        <f t="shared" si="9"/>
        <v>Compressor Plant</v>
      </c>
      <c r="P115" s="193" t="str">
        <f ca="1">IF(LEFT(Control!$C$10,4)="ROJO","RED",IF(LEFT(Control!$C$10,8)="AMARILLO","AMBER","GREEN"))</f>
        <v>RED</v>
      </c>
      <c r="Q115" s="193">
        <f>IF(AND(ISNUMBER(MATCH(F115,Datos!$D$3:$AL$3,0)),F115&lt;=RPT_MONTH),1,0)</f>
        <v>0</v>
      </c>
      <c r="R115" s="193" t="str">
        <f t="shared" si="10"/>
        <v>OUT_OF_SCOPE</v>
      </c>
    </row>
    <row r="116" spans="1:18" ht="13.5" customHeight="1" x14ac:dyDescent="0.3">
      <c r="A116" t="s">
        <v>1113</v>
      </c>
      <c r="B116" t="s">
        <v>1056</v>
      </c>
      <c r="C116" t="s">
        <v>1058</v>
      </c>
      <c r="D116">
        <v>1</v>
      </c>
      <c r="E116">
        <v>7</v>
      </c>
      <c r="F116" s="258">
        <f>DATE(YEAR(RPT_MONTH),MONTH(RPT_MONTH)-5,1)</f>
        <v>46143</v>
      </c>
      <c r="G116" s="193" t="str">
        <f t="shared" si="6"/>
        <v>May-26</v>
      </c>
      <c r="H116" s="193" t="str">
        <f>IFERROR(IF(COUNT(INDEX(Datos!$D$12:$AL$13,0,MATCH(F116,Datos!$D$3:$AL$3,0)))=0,"",INDEX(Datos!$D$14:$AL$14,MATCH(F116,Datos!$D$3:$AL$3,0))),"")</f>
        <v/>
      </c>
      <c r="J116" t="s">
        <v>1114</v>
      </c>
      <c r="K116" t="s">
        <v>1115</v>
      </c>
      <c r="L116" s="193" t="str">
        <f t="shared" si="7"/>
        <v>NO_DATA</v>
      </c>
      <c r="M116" s="193" t="str">
        <f t="shared" si="8"/>
        <v>Monthly</v>
      </c>
      <c r="N116" s="193" t="str">
        <f t="shared" si="12"/>
        <v>NO_DATA</v>
      </c>
      <c r="O116" s="193" t="str">
        <f t="shared" si="9"/>
        <v>Compressor Plant</v>
      </c>
      <c r="P116" s="193" t="str">
        <f ca="1">IF(LEFT(Control!$C$10,4)="ROJO","RED",IF(LEFT(Control!$C$10,8)="AMARILLO","AMBER","GREEN"))</f>
        <v>RED</v>
      </c>
      <c r="Q116" s="193">
        <f>IF(AND(ISNUMBER(MATCH(F116,Datos!$D$3:$AL$3,0)),F116&lt;=RPT_MONTH),1,0)</f>
        <v>0</v>
      </c>
      <c r="R116" s="193" t="str">
        <f t="shared" si="10"/>
        <v>OUT_OF_SCOPE</v>
      </c>
    </row>
    <row r="117" spans="1:18" ht="13.5" customHeight="1" x14ac:dyDescent="0.3">
      <c r="A117" t="s">
        <v>1113</v>
      </c>
      <c r="B117" t="s">
        <v>1056</v>
      </c>
      <c r="C117" t="s">
        <v>1058</v>
      </c>
      <c r="D117">
        <v>1</v>
      </c>
      <c r="E117">
        <v>8</v>
      </c>
      <c r="F117" s="258">
        <f>DATE(YEAR(RPT_MONTH),MONTH(RPT_MONTH)-4,1)</f>
        <v>46174</v>
      </c>
      <c r="G117" s="193" t="str">
        <f t="shared" si="6"/>
        <v>Jun-26</v>
      </c>
      <c r="H117" s="193" t="str">
        <f>IFERROR(IF(COUNT(INDEX(Datos!$D$12:$AL$13,0,MATCH(F117,Datos!$D$3:$AL$3,0)))=0,"",INDEX(Datos!$D$14:$AL$14,MATCH(F117,Datos!$D$3:$AL$3,0))),"")</f>
        <v/>
      </c>
      <c r="J117" t="s">
        <v>1114</v>
      </c>
      <c r="K117" t="s">
        <v>1115</v>
      </c>
      <c r="L117" s="193" t="str">
        <f t="shared" si="7"/>
        <v>NO_DATA</v>
      </c>
      <c r="M117" s="193" t="str">
        <f t="shared" si="8"/>
        <v>Monthly</v>
      </c>
      <c r="N117" s="193" t="str">
        <f t="shared" si="12"/>
        <v>NO_DATA</v>
      </c>
      <c r="O117" s="193" t="str">
        <f t="shared" si="9"/>
        <v>Compressor Plant</v>
      </c>
      <c r="P117" s="193" t="str">
        <f ca="1">IF(LEFT(Control!$C$10,4)="ROJO","RED",IF(LEFT(Control!$C$10,8)="AMARILLO","AMBER","GREEN"))</f>
        <v>RED</v>
      </c>
      <c r="Q117" s="193">
        <f>IF(AND(ISNUMBER(MATCH(F117,Datos!$D$3:$AL$3,0)),F117&lt;=RPT_MONTH),1,0)</f>
        <v>0</v>
      </c>
      <c r="R117" s="193" t="str">
        <f t="shared" si="10"/>
        <v>OUT_OF_SCOPE</v>
      </c>
    </row>
    <row r="118" spans="1:18" ht="13.5" customHeight="1" x14ac:dyDescent="0.3">
      <c r="A118" t="s">
        <v>1113</v>
      </c>
      <c r="B118" t="s">
        <v>1056</v>
      </c>
      <c r="C118" t="s">
        <v>1058</v>
      </c>
      <c r="D118">
        <v>1</v>
      </c>
      <c r="E118">
        <v>9</v>
      </c>
      <c r="F118" s="258">
        <f>DATE(YEAR(RPT_MONTH),MONTH(RPT_MONTH)-3,1)</f>
        <v>46204</v>
      </c>
      <c r="G118" s="193" t="str">
        <f t="shared" si="6"/>
        <v>Jul-26</v>
      </c>
      <c r="H118" s="193" t="str">
        <f>IFERROR(IF(COUNT(INDEX(Datos!$D$12:$AL$13,0,MATCH(F118,Datos!$D$3:$AL$3,0)))=0,"",INDEX(Datos!$D$14:$AL$14,MATCH(F118,Datos!$D$3:$AL$3,0))),"")</f>
        <v/>
      </c>
      <c r="J118" t="s">
        <v>1114</v>
      </c>
      <c r="K118" t="s">
        <v>1115</v>
      </c>
      <c r="L118" s="193" t="str">
        <f t="shared" si="7"/>
        <v>NO_DATA</v>
      </c>
      <c r="M118" s="193" t="str">
        <f t="shared" si="8"/>
        <v>Monthly</v>
      </c>
      <c r="N118" s="193" t="str">
        <f t="shared" si="12"/>
        <v>NO_DATA</v>
      </c>
      <c r="O118" s="193" t="str">
        <f t="shared" si="9"/>
        <v>Compressor Plant</v>
      </c>
      <c r="P118" s="193" t="str">
        <f ca="1">IF(LEFT(Control!$C$10,4)="ROJO","RED",IF(LEFT(Control!$C$10,8)="AMARILLO","AMBER","GREEN"))</f>
        <v>RED</v>
      </c>
      <c r="Q118" s="193">
        <f>IF(AND(ISNUMBER(MATCH(F118,Datos!$D$3:$AL$3,0)),F118&lt;=RPT_MONTH),1,0)</f>
        <v>0</v>
      </c>
      <c r="R118" s="193" t="str">
        <f t="shared" si="10"/>
        <v>OUT_OF_SCOPE</v>
      </c>
    </row>
    <row r="119" spans="1:18" ht="13.5" customHeight="1" x14ac:dyDescent="0.3">
      <c r="A119" t="s">
        <v>1113</v>
      </c>
      <c r="B119" t="s">
        <v>1056</v>
      </c>
      <c r="C119" t="s">
        <v>1058</v>
      </c>
      <c r="D119">
        <v>1</v>
      </c>
      <c r="E119">
        <v>10</v>
      </c>
      <c r="F119" s="258">
        <f>DATE(YEAR(RPT_MONTH),MONTH(RPT_MONTH)-2,1)</f>
        <v>46235</v>
      </c>
      <c r="G119" s="193" t="str">
        <f t="shared" si="6"/>
        <v>Aug-26</v>
      </c>
      <c r="H119" s="193">
        <f>IFERROR(IF(COUNT(INDEX(Datos!$D$12:$AL$13,0,MATCH(F119,Datos!$D$3:$AL$3,0)))=0,"",INDEX(Datos!$D$14:$AL$14,MATCH(F119,Datos!$D$3:$AL$3,0))),"")</f>
        <v>22988</v>
      </c>
      <c r="J119" t="s">
        <v>1114</v>
      </c>
      <c r="K119" t="s">
        <v>1115</v>
      </c>
      <c r="L119" s="193" t="str">
        <f t="shared" si="7"/>
        <v>OK</v>
      </c>
      <c r="M119" s="193" t="str">
        <f t="shared" si="8"/>
        <v>Monthly</v>
      </c>
      <c r="N119" s="193" t="str">
        <f t="shared" si="12"/>
        <v>CONTEXT</v>
      </c>
      <c r="O119" s="193" t="str">
        <f t="shared" si="9"/>
        <v>Compressor Plant</v>
      </c>
      <c r="P119" s="193" t="str">
        <f ca="1">IF(LEFT(Control!$C$10,4)="ROJO","RED",IF(LEFT(Control!$C$10,8)="AMARILLO","AMBER","GREEN"))</f>
        <v>RED</v>
      </c>
      <c r="Q119" s="193">
        <f>IF(AND(ISNUMBER(MATCH(F119,Datos!$D$3:$AL$3,0)),F119&lt;=RPT_MONTH),1,0)</f>
        <v>1</v>
      </c>
      <c r="R119" s="193" t="str">
        <f t="shared" si="10"/>
        <v>OK</v>
      </c>
    </row>
    <row r="120" spans="1:18" ht="13.5" customHeight="1" x14ac:dyDescent="0.3">
      <c r="A120" t="s">
        <v>1113</v>
      </c>
      <c r="B120" t="s">
        <v>1056</v>
      </c>
      <c r="C120" t="s">
        <v>1058</v>
      </c>
      <c r="D120">
        <v>1</v>
      </c>
      <c r="E120">
        <v>11</v>
      </c>
      <c r="F120" s="258">
        <f>DATE(YEAR(RPT_MONTH),MONTH(RPT_MONTH)-1,1)</f>
        <v>46266</v>
      </c>
      <c r="G120" s="193" t="str">
        <f t="shared" si="6"/>
        <v>Sep-26</v>
      </c>
      <c r="H120" s="193">
        <f>IFERROR(IF(COUNT(INDEX(Datos!$D$12:$AL$13,0,MATCH(F120,Datos!$D$3:$AL$3,0)))=0,"",INDEX(Datos!$D$14:$AL$14,MATCH(F120,Datos!$D$3:$AL$3,0))),"")</f>
        <v>25344</v>
      </c>
      <c r="J120" t="s">
        <v>1114</v>
      </c>
      <c r="K120" t="s">
        <v>1115</v>
      </c>
      <c r="L120" s="193" t="str">
        <f t="shared" si="7"/>
        <v>OK</v>
      </c>
      <c r="M120" s="193" t="str">
        <f t="shared" si="8"/>
        <v>Monthly</v>
      </c>
      <c r="N120" s="193" t="str">
        <f t="shared" si="12"/>
        <v>CONTEXT</v>
      </c>
      <c r="O120" s="193" t="str">
        <f t="shared" si="9"/>
        <v>Compressor Plant</v>
      </c>
      <c r="P120" s="193" t="str">
        <f ca="1">IF(LEFT(Control!$C$10,4)="ROJO","RED",IF(LEFT(Control!$C$10,8)="AMARILLO","AMBER","GREEN"))</f>
        <v>RED</v>
      </c>
      <c r="Q120" s="193">
        <f>IF(AND(ISNUMBER(MATCH(F120,Datos!$D$3:$AL$3,0)),F120&lt;=RPT_MONTH),1,0)</f>
        <v>1</v>
      </c>
      <c r="R120" s="193" t="str">
        <f t="shared" si="10"/>
        <v>OK</v>
      </c>
    </row>
    <row r="121" spans="1:18" ht="13.5" customHeight="1" x14ac:dyDescent="0.3">
      <c r="A121" t="s">
        <v>1113</v>
      </c>
      <c r="B121" t="s">
        <v>1056</v>
      </c>
      <c r="C121" t="s">
        <v>1058</v>
      </c>
      <c r="D121">
        <v>1</v>
      </c>
      <c r="E121">
        <v>12</v>
      </c>
      <c r="F121" s="258">
        <f>DATE(YEAR(RPT_MONTH),MONTH(RPT_MONTH)-0,1)</f>
        <v>46296</v>
      </c>
      <c r="G121" s="193" t="str">
        <f t="shared" si="6"/>
        <v>Oct-26</v>
      </c>
      <c r="H121" s="193" t="str">
        <f>IFERROR(IF(COUNT(INDEX(Datos!$D$12:$AL$13,0,MATCH(F121,Datos!$D$3:$AL$3,0)))=0,"",INDEX(Datos!$D$14:$AL$14,MATCH(F121,Datos!$D$3:$AL$3,0))),"")</f>
        <v/>
      </c>
      <c r="J121" t="s">
        <v>1114</v>
      </c>
      <c r="K121" t="s">
        <v>1115</v>
      </c>
      <c r="L121" s="193" t="str">
        <f t="shared" si="7"/>
        <v>NO_DATA</v>
      </c>
      <c r="M121" s="193" t="str">
        <f t="shared" si="8"/>
        <v>Monthly</v>
      </c>
      <c r="N121" s="193" t="str">
        <f t="shared" si="12"/>
        <v>NO_DATA</v>
      </c>
      <c r="O121" s="193" t="str">
        <f t="shared" si="9"/>
        <v>Compressor Plant</v>
      </c>
      <c r="P121" s="193" t="str">
        <f ca="1">IF(LEFT(Control!$C$10,4)="ROJO","RED",IF(LEFT(Control!$C$10,8)="AMARILLO","AMBER","GREEN"))</f>
        <v>RED</v>
      </c>
      <c r="Q121" s="193">
        <f>IF(AND(ISNUMBER(MATCH(F121,Datos!$D$3:$AL$3,0)),F121&lt;=RPT_MONTH),1,0)</f>
        <v>1</v>
      </c>
      <c r="R121" s="193" t="str">
        <f t="shared" si="10"/>
        <v>MISSING</v>
      </c>
    </row>
    <row r="122" spans="1:18" ht="13.5" customHeight="1" x14ac:dyDescent="0.3">
      <c r="A122" t="s">
        <v>1116</v>
      </c>
      <c r="B122" t="s">
        <v>1117</v>
      </c>
      <c r="C122" t="s">
        <v>1118</v>
      </c>
      <c r="D122">
        <v>1</v>
      </c>
      <c r="E122">
        <v>1</v>
      </c>
      <c r="F122" s="258">
        <f>DATE(YEAR(RPT_MONTH),MONTH(RPT_MONTH)-11,1)</f>
        <v>45962</v>
      </c>
      <c r="G122" s="193" t="str">
        <f t="shared" si="6"/>
        <v>Nov-25</v>
      </c>
      <c r="H122" s="193" t="str">
        <f>IFERROR(1*INDEX(BD_KPIs!$F$2:$F$1300,MATCH(YEAR(F122)*100+MONTH(F122)&amp;"|CPSE|Monthly",BD_KPIs!$Q$2:$Q$1300,0)),"")</f>
        <v/>
      </c>
      <c r="I122" s="193">
        <f>IF(ISNUMBER(INDEX(_TARGETS!$G$2:$G$17,MATCH("CPSE",_TARGETS!$A$2:$A$17,0))),INDEX(_TARGETS!$G$2:$G$17,MATCH("CPSE",_TARGETS!$A$2:$A$17,0)),"")</f>
        <v>1</v>
      </c>
      <c r="J122" t="s">
        <v>1119</v>
      </c>
      <c r="K122" t="s">
        <v>1093</v>
      </c>
      <c r="L122" s="193" t="str">
        <f t="shared" si="7"/>
        <v>NO_DATA</v>
      </c>
      <c r="M122" s="193" t="str">
        <f t="shared" si="8"/>
        <v>Monthly</v>
      </c>
      <c r="N122" s="193" t="str">
        <f>IF(NOT(ISNUMBER(H122)),"NO_DATA",IF(NOT(ISNUMBER(I122)),"MONITOR",IF(INDEX(_TARGETS!$E$2:$E$17,MATCH("CPSE",_TARGETS!$A$2:$A$17,0))="≤",IF(H122&lt;=I122,"ON_TARGET","OFF_TARGET"),IF(H122&gt;=I122,"ON_TARGET","OFF_TARGET"))))</f>
        <v>NO_DATA</v>
      </c>
      <c r="O122" s="193" t="str">
        <f t="shared" si="9"/>
        <v>Compressor Plant</v>
      </c>
      <c r="P122" s="193" t="str">
        <f ca="1">IF(LEFT(Control!$C$10,4)="ROJO","RED",IF(LEFT(Control!$C$10,8)="AMARILLO","AMBER","GREEN"))</f>
        <v>RED</v>
      </c>
      <c r="Q122" s="193">
        <f>IF(AND(ISNUMBER(MATCH(F122,Datos!$D$3:$AL$3,0)),F122&lt;=RPT_MONTH),1,0)</f>
        <v>0</v>
      </c>
      <c r="R122" s="193" t="str">
        <f t="shared" si="10"/>
        <v>OUT_OF_SCOPE</v>
      </c>
    </row>
    <row r="123" spans="1:18" ht="13.5" customHeight="1" x14ac:dyDescent="0.3">
      <c r="A123" t="s">
        <v>1116</v>
      </c>
      <c r="B123" t="s">
        <v>1117</v>
      </c>
      <c r="C123" t="s">
        <v>1118</v>
      </c>
      <c r="D123">
        <v>1</v>
      </c>
      <c r="E123">
        <v>2</v>
      </c>
      <c r="F123" s="258">
        <f>DATE(YEAR(RPT_MONTH),MONTH(RPT_MONTH)-10,1)</f>
        <v>45992</v>
      </c>
      <c r="G123" s="193" t="str">
        <f t="shared" si="6"/>
        <v>Dec-25</v>
      </c>
      <c r="H123" s="193" t="str">
        <f>IFERROR(1*INDEX(BD_KPIs!$F$2:$F$1300,MATCH(YEAR(F123)*100+MONTH(F123)&amp;"|CPSE|Monthly",BD_KPIs!$Q$2:$Q$1300,0)),"")</f>
        <v/>
      </c>
      <c r="I123" s="193">
        <f>IF(ISNUMBER(INDEX(_TARGETS!$G$2:$G$17,MATCH("CPSE",_TARGETS!$A$2:$A$17,0))),INDEX(_TARGETS!$G$2:$G$17,MATCH("CPSE",_TARGETS!$A$2:$A$17,0)),"")</f>
        <v>1</v>
      </c>
      <c r="J123" t="s">
        <v>1119</v>
      </c>
      <c r="K123" t="s">
        <v>1093</v>
      </c>
      <c r="L123" s="193" t="str">
        <f t="shared" si="7"/>
        <v>NO_DATA</v>
      </c>
      <c r="M123" s="193" t="str">
        <f t="shared" si="8"/>
        <v>Monthly</v>
      </c>
      <c r="N123" s="193" t="str">
        <f>IF(NOT(ISNUMBER(H123)),"NO_DATA",IF(NOT(ISNUMBER(I123)),"MONITOR",IF(INDEX(_TARGETS!$E$2:$E$17,MATCH("CPSE",_TARGETS!$A$2:$A$17,0))="≤",IF(H123&lt;=I123,"ON_TARGET","OFF_TARGET"),IF(H123&gt;=I123,"ON_TARGET","OFF_TARGET"))))</f>
        <v>NO_DATA</v>
      </c>
      <c r="O123" s="193" t="str">
        <f t="shared" si="9"/>
        <v>Compressor Plant</v>
      </c>
      <c r="P123" s="193" t="str">
        <f ca="1">IF(LEFT(Control!$C$10,4)="ROJO","RED",IF(LEFT(Control!$C$10,8)="AMARILLO","AMBER","GREEN"))</f>
        <v>RED</v>
      </c>
      <c r="Q123" s="193">
        <f>IF(AND(ISNUMBER(MATCH(F123,Datos!$D$3:$AL$3,0)),F123&lt;=RPT_MONTH),1,0)</f>
        <v>0</v>
      </c>
      <c r="R123" s="193" t="str">
        <f t="shared" si="10"/>
        <v>OUT_OF_SCOPE</v>
      </c>
    </row>
    <row r="124" spans="1:18" ht="13.5" customHeight="1" x14ac:dyDescent="0.3">
      <c r="A124" t="s">
        <v>1116</v>
      </c>
      <c r="B124" t="s">
        <v>1117</v>
      </c>
      <c r="C124" t="s">
        <v>1118</v>
      </c>
      <c r="D124">
        <v>1</v>
      </c>
      <c r="E124">
        <v>3</v>
      </c>
      <c r="F124" s="258">
        <f>DATE(YEAR(RPT_MONTH),MONTH(RPT_MONTH)-9,1)</f>
        <v>46023</v>
      </c>
      <c r="G124" s="193" t="str">
        <f t="shared" si="6"/>
        <v>Jan-26</v>
      </c>
      <c r="H124" s="193" t="str">
        <f>IFERROR(1*INDEX(BD_KPIs!$F$2:$F$1300,MATCH(YEAR(F124)*100+MONTH(F124)&amp;"|CPSE|Monthly",BD_KPIs!$Q$2:$Q$1300,0)),"")</f>
        <v/>
      </c>
      <c r="I124" s="193">
        <f>IF(ISNUMBER(INDEX(_TARGETS!$G$2:$G$17,MATCH("CPSE",_TARGETS!$A$2:$A$17,0))),INDEX(_TARGETS!$G$2:$G$17,MATCH("CPSE",_TARGETS!$A$2:$A$17,0)),"")</f>
        <v>1</v>
      </c>
      <c r="J124" t="s">
        <v>1119</v>
      </c>
      <c r="K124" t="s">
        <v>1093</v>
      </c>
      <c r="L124" s="193" t="str">
        <f t="shared" si="7"/>
        <v>NO_DATA</v>
      </c>
      <c r="M124" s="193" t="str">
        <f t="shared" si="8"/>
        <v>Monthly</v>
      </c>
      <c r="N124" s="193" t="str">
        <f>IF(NOT(ISNUMBER(H124)),"NO_DATA",IF(NOT(ISNUMBER(I124)),"MONITOR",IF(INDEX(_TARGETS!$E$2:$E$17,MATCH("CPSE",_TARGETS!$A$2:$A$17,0))="≤",IF(H124&lt;=I124,"ON_TARGET","OFF_TARGET"),IF(H124&gt;=I124,"ON_TARGET","OFF_TARGET"))))</f>
        <v>NO_DATA</v>
      </c>
      <c r="O124" s="193" t="str">
        <f t="shared" si="9"/>
        <v>Compressor Plant</v>
      </c>
      <c r="P124" s="193" t="str">
        <f ca="1">IF(LEFT(Control!$C$10,4)="ROJO","RED",IF(LEFT(Control!$C$10,8)="AMARILLO","AMBER","GREEN"))</f>
        <v>RED</v>
      </c>
      <c r="Q124" s="193">
        <f>IF(AND(ISNUMBER(MATCH(F124,Datos!$D$3:$AL$3,0)),F124&lt;=RPT_MONTH),1,0)</f>
        <v>0</v>
      </c>
      <c r="R124" s="193" t="str">
        <f t="shared" si="10"/>
        <v>OUT_OF_SCOPE</v>
      </c>
    </row>
    <row r="125" spans="1:18" ht="13.5" customHeight="1" x14ac:dyDescent="0.3">
      <c r="A125" t="s">
        <v>1116</v>
      </c>
      <c r="B125" t="s">
        <v>1117</v>
      </c>
      <c r="C125" t="s">
        <v>1118</v>
      </c>
      <c r="D125">
        <v>1</v>
      </c>
      <c r="E125">
        <v>4</v>
      </c>
      <c r="F125" s="258">
        <f>DATE(YEAR(RPT_MONTH),MONTH(RPT_MONTH)-8,1)</f>
        <v>46054</v>
      </c>
      <c r="G125" s="193" t="str">
        <f t="shared" si="6"/>
        <v>Feb-26</v>
      </c>
      <c r="H125" s="193" t="str">
        <f>IFERROR(1*INDEX(BD_KPIs!$F$2:$F$1300,MATCH(YEAR(F125)*100+MONTH(F125)&amp;"|CPSE|Monthly",BD_KPIs!$Q$2:$Q$1300,0)),"")</f>
        <v/>
      </c>
      <c r="I125" s="193">
        <f>IF(ISNUMBER(INDEX(_TARGETS!$G$2:$G$17,MATCH("CPSE",_TARGETS!$A$2:$A$17,0))),INDEX(_TARGETS!$G$2:$G$17,MATCH("CPSE",_TARGETS!$A$2:$A$17,0)),"")</f>
        <v>1</v>
      </c>
      <c r="J125" t="s">
        <v>1119</v>
      </c>
      <c r="K125" t="s">
        <v>1093</v>
      </c>
      <c r="L125" s="193" t="str">
        <f t="shared" si="7"/>
        <v>NO_DATA</v>
      </c>
      <c r="M125" s="193" t="str">
        <f t="shared" si="8"/>
        <v>Monthly</v>
      </c>
      <c r="N125" s="193" t="str">
        <f>IF(NOT(ISNUMBER(H125)),"NO_DATA",IF(NOT(ISNUMBER(I125)),"MONITOR",IF(INDEX(_TARGETS!$E$2:$E$17,MATCH("CPSE",_TARGETS!$A$2:$A$17,0))="≤",IF(H125&lt;=I125,"ON_TARGET","OFF_TARGET"),IF(H125&gt;=I125,"ON_TARGET","OFF_TARGET"))))</f>
        <v>NO_DATA</v>
      </c>
      <c r="O125" s="193" t="str">
        <f t="shared" si="9"/>
        <v>Compressor Plant</v>
      </c>
      <c r="P125" s="193" t="str">
        <f ca="1">IF(LEFT(Control!$C$10,4)="ROJO","RED",IF(LEFT(Control!$C$10,8)="AMARILLO","AMBER","GREEN"))</f>
        <v>RED</v>
      </c>
      <c r="Q125" s="193">
        <f>IF(AND(ISNUMBER(MATCH(F125,Datos!$D$3:$AL$3,0)),F125&lt;=RPT_MONTH),1,0)</f>
        <v>0</v>
      </c>
      <c r="R125" s="193" t="str">
        <f t="shared" si="10"/>
        <v>OUT_OF_SCOPE</v>
      </c>
    </row>
    <row r="126" spans="1:18" ht="13.5" customHeight="1" x14ac:dyDescent="0.3">
      <c r="A126" t="s">
        <v>1116</v>
      </c>
      <c r="B126" t="s">
        <v>1117</v>
      </c>
      <c r="C126" t="s">
        <v>1118</v>
      </c>
      <c r="D126">
        <v>1</v>
      </c>
      <c r="E126">
        <v>5</v>
      </c>
      <c r="F126" s="258">
        <f>DATE(YEAR(RPT_MONTH),MONTH(RPT_MONTH)-7,1)</f>
        <v>46082</v>
      </c>
      <c r="G126" s="193" t="str">
        <f t="shared" si="6"/>
        <v>Mar-26</v>
      </c>
      <c r="H126" s="193" t="str">
        <f>IFERROR(1*INDEX(BD_KPIs!$F$2:$F$1300,MATCH(YEAR(F126)*100+MONTH(F126)&amp;"|CPSE|Monthly",BD_KPIs!$Q$2:$Q$1300,0)),"")</f>
        <v/>
      </c>
      <c r="I126" s="193">
        <f>IF(ISNUMBER(INDEX(_TARGETS!$G$2:$G$17,MATCH("CPSE",_TARGETS!$A$2:$A$17,0))),INDEX(_TARGETS!$G$2:$G$17,MATCH("CPSE",_TARGETS!$A$2:$A$17,0)),"")</f>
        <v>1</v>
      </c>
      <c r="J126" t="s">
        <v>1119</v>
      </c>
      <c r="K126" t="s">
        <v>1093</v>
      </c>
      <c r="L126" s="193" t="str">
        <f t="shared" si="7"/>
        <v>NO_DATA</v>
      </c>
      <c r="M126" s="193" t="str">
        <f t="shared" si="8"/>
        <v>Monthly</v>
      </c>
      <c r="N126" s="193" t="str">
        <f>IF(NOT(ISNUMBER(H126)),"NO_DATA",IF(NOT(ISNUMBER(I126)),"MONITOR",IF(INDEX(_TARGETS!$E$2:$E$17,MATCH("CPSE",_TARGETS!$A$2:$A$17,0))="≤",IF(H126&lt;=I126,"ON_TARGET","OFF_TARGET"),IF(H126&gt;=I126,"ON_TARGET","OFF_TARGET"))))</f>
        <v>NO_DATA</v>
      </c>
      <c r="O126" s="193" t="str">
        <f t="shared" si="9"/>
        <v>Compressor Plant</v>
      </c>
      <c r="P126" s="193" t="str">
        <f ca="1">IF(LEFT(Control!$C$10,4)="ROJO","RED",IF(LEFT(Control!$C$10,8)="AMARILLO","AMBER","GREEN"))</f>
        <v>RED</v>
      </c>
      <c r="Q126" s="193">
        <f>IF(AND(ISNUMBER(MATCH(F126,Datos!$D$3:$AL$3,0)),F126&lt;=RPT_MONTH),1,0)</f>
        <v>0</v>
      </c>
      <c r="R126" s="193" t="str">
        <f t="shared" si="10"/>
        <v>OUT_OF_SCOPE</v>
      </c>
    </row>
    <row r="127" spans="1:18" ht="13.5" customHeight="1" x14ac:dyDescent="0.3">
      <c r="A127" t="s">
        <v>1116</v>
      </c>
      <c r="B127" t="s">
        <v>1117</v>
      </c>
      <c r="C127" t="s">
        <v>1118</v>
      </c>
      <c r="D127">
        <v>1</v>
      </c>
      <c r="E127">
        <v>6</v>
      </c>
      <c r="F127" s="258">
        <f>DATE(YEAR(RPT_MONTH),MONTH(RPT_MONTH)-6,1)</f>
        <v>46113</v>
      </c>
      <c r="G127" s="193" t="str">
        <f t="shared" si="6"/>
        <v>Apr-26</v>
      </c>
      <c r="H127" s="193" t="str">
        <f>IFERROR(1*INDEX(BD_KPIs!$F$2:$F$1300,MATCH(YEAR(F127)*100+MONTH(F127)&amp;"|CPSE|Monthly",BD_KPIs!$Q$2:$Q$1300,0)),"")</f>
        <v/>
      </c>
      <c r="I127" s="193">
        <f>IF(ISNUMBER(INDEX(_TARGETS!$G$2:$G$17,MATCH("CPSE",_TARGETS!$A$2:$A$17,0))),INDEX(_TARGETS!$G$2:$G$17,MATCH("CPSE",_TARGETS!$A$2:$A$17,0)),"")</f>
        <v>1</v>
      </c>
      <c r="J127" t="s">
        <v>1119</v>
      </c>
      <c r="K127" t="s">
        <v>1093</v>
      </c>
      <c r="L127" s="193" t="str">
        <f t="shared" si="7"/>
        <v>NO_DATA</v>
      </c>
      <c r="M127" s="193" t="str">
        <f t="shared" si="8"/>
        <v>Monthly</v>
      </c>
      <c r="N127" s="193" t="str">
        <f>IF(NOT(ISNUMBER(H127)),"NO_DATA",IF(NOT(ISNUMBER(I127)),"MONITOR",IF(INDEX(_TARGETS!$E$2:$E$17,MATCH("CPSE",_TARGETS!$A$2:$A$17,0))="≤",IF(H127&lt;=I127,"ON_TARGET","OFF_TARGET"),IF(H127&gt;=I127,"ON_TARGET","OFF_TARGET"))))</f>
        <v>NO_DATA</v>
      </c>
      <c r="O127" s="193" t="str">
        <f t="shared" si="9"/>
        <v>Compressor Plant</v>
      </c>
      <c r="P127" s="193" t="str">
        <f ca="1">IF(LEFT(Control!$C$10,4)="ROJO","RED",IF(LEFT(Control!$C$10,8)="AMARILLO","AMBER","GREEN"))</f>
        <v>RED</v>
      </c>
      <c r="Q127" s="193">
        <f>IF(AND(ISNUMBER(MATCH(F127,Datos!$D$3:$AL$3,0)),F127&lt;=RPT_MONTH),1,0)</f>
        <v>0</v>
      </c>
      <c r="R127" s="193" t="str">
        <f t="shared" si="10"/>
        <v>OUT_OF_SCOPE</v>
      </c>
    </row>
    <row r="128" spans="1:18" ht="13.5" customHeight="1" x14ac:dyDescent="0.3">
      <c r="A128" t="s">
        <v>1116</v>
      </c>
      <c r="B128" t="s">
        <v>1117</v>
      </c>
      <c r="C128" t="s">
        <v>1118</v>
      </c>
      <c r="D128">
        <v>1</v>
      </c>
      <c r="E128">
        <v>7</v>
      </c>
      <c r="F128" s="258">
        <f>DATE(YEAR(RPT_MONTH),MONTH(RPT_MONTH)-5,1)</f>
        <v>46143</v>
      </c>
      <c r="G128" s="193" t="str">
        <f t="shared" si="6"/>
        <v>May-26</v>
      </c>
      <c r="H128" s="193" t="str">
        <f>IFERROR(1*INDEX(BD_KPIs!$F$2:$F$1300,MATCH(YEAR(F128)*100+MONTH(F128)&amp;"|CPSE|Monthly",BD_KPIs!$Q$2:$Q$1300,0)),"")</f>
        <v/>
      </c>
      <c r="I128" s="193">
        <f>IF(ISNUMBER(INDEX(_TARGETS!$G$2:$G$17,MATCH("CPSE",_TARGETS!$A$2:$A$17,0))),INDEX(_TARGETS!$G$2:$G$17,MATCH("CPSE",_TARGETS!$A$2:$A$17,0)),"")</f>
        <v>1</v>
      </c>
      <c r="J128" t="s">
        <v>1119</v>
      </c>
      <c r="K128" t="s">
        <v>1093</v>
      </c>
      <c r="L128" s="193" t="str">
        <f t="shared" si="7"/>
        <v>NO_DATA</v>
      </c>
      <c r="M128" s="193" t="str">
        <f t="shared" si="8"/>
        <v>Monthly</v>
      </c>
      <c r="N128" s="193" t="str">
        <f>IF(NOT(ISNUMBER(H128)),"NO_DATA",IF(NOT(ISNUMBER(I128)),"MONITOR",IF(INDEX(_TARGETS!$E$2:$E$17,MATCH("CPSE",_TARGETS!$A$2:$A$17,0))="≤",IF(H128&lt;=I128,"ON_TARGET","OFF_TARGET"),IF(H128&gt;=I128,"ON_TARGET","OFF_TARGET"))))</f>
        <v>NO_DATA</v>
      </c>
      <c r="O128" s="193" t="str">
        <f t="shared" si="9"/>
        <v>Compressor Plant</v>
      </c>
      <c r="P128" s="193" t="str">
        <f ca="1">IF(LEFT(Control!$C$10,4)="ROJO","RED",IF(LEFT(Control!$C$10,8)="AMARILLO","AMBER","GREEN"))</f>
        <v>RED</v>
      </c>
      <c r="Q128" s="193">
        <f>IF(AND(ISNUMBER(MATCH(F128,Datos!$D$3:$AL$3,0)),F128&lt;=RPT_MONTH),1,0)</f>
        <v>0</v>
      </c>
      <c r="R128" s="193" t="str">
        <f t="shared" si="10"/>
        <v>OUT_OF_SCOPE</v>
      </c>
    </row>
    <row r="129" spans="1:18" ht="13.5" customHeight="1" x14ac:dyDescent="0.3">
      <c r="A129" t="s">
        <v>1116</v>
      </c>
      <c r="B129" t="s">
        <v>1117</v>
      </c>
      <c r="C129" t="s">
        <v>1118</v>
      </c>
      <c r="D129">
        <v>1</v>
      </c>
      <c r="E129">
        <v>8</v>
      </c>
      <c r="F129" s="258">
        <f>DATE(YEAR(RPT_MONTH),MONTH(RPT_MONTH)-4,1)</f>
        <v>46174</v>
      </c>
      <c r="G129" s="193" t="str">
        <f t="shared" si="6"/>
        <v>Jun-26</v>
      </c>
      <c r="H129" s="193" t="str">
        <f>IFERROR(1*INDEX(BD_KPIs!$F$2:$F$1300,MATCH(YEAR(F129)*100+MONTH(F129)&amp;"|CPSE|Monthly",BD_KPIs!$Q$2:$Q$1300,0)),"")</f>
        <v/>
      </c>
      <c r="I129" s="193">
        <f>IF(ISNUMBER(INDEX(_TARGETS!$G$2:$G$17,MATCH("CPSE",_TARGETS!$A$2:$A$17,0))),INDEX(_TARGETS!$G$2:$G$17,MATCH("CPSE",_TARGETS!$A$2:$A$17,0)),"")</f>
        <v>1</v>
      </c>
      <c r="J129" t="s">
        <v>1119</v>
      </c>
      <c r="K129" t="s">
        <v>1093</v>
      </c>
      <c r="L129" s="193" t="str">
        <f t="shared" si="7"/>
        <v>NO_DATA</v>
      </c>
      <c r="M129" s="193" t="str">
        <f t="shared" si="8"/>
        <v>Monthly</v>
      </c>
      <c r="N129" s="193" t="str">
        <f>IF(NOT(ISNUMBER(H129)),"NO_DATA",IF(NOT(ISNUMBER(I129)),"MONITOR",IF(INDEX(_TARGETS!$E$2:$E$17,MATCH("CPSE",_TARGETS!$A$2:$A$17,0))="≤",IF(H129&lt;=I129,"ON_TARGET","OFF_TARGET"),IF(H129&gt;=I129,"ON_TARGET","OFF_TARGET"))))</f>
        <v>NO_DATA</v>
      </c>
      <c r="O129" s="193" t="str">
        <f t="shared" si="9"/>
        <v>Compressor Plant</v>
      </c>
      <c r="P129" s="193" t="str">
        <f ca="1">IF(LEFT(Control!$C$10,4)="ROJO","RED",IF(LEFT(Control!$C$10,8)="AMARILLO","AMBER","GREEN"))</f>
        <v>RED</v>
      </c>
      <c r="Q129" s="193">
        <f>IF(AND(ISNUMBER(MATCH(F129,Datos!$D$3:$AL$3,0)),F129&lt;=RPT_MONTH),1,0)</f>
        <v>0</v>
      </c>
      <c r="R129" s="193" t="str">
        <f t="shared" si="10"/>
        <v>OUT_OF_SCOPE</v>
      </c>
    </row>
    <row r="130" spans="1:18" ht="13.5" customHeight="1" x14ac:dyDescent="0.3">
      <c r="A130" t="s">
        <v>1116</v>
      </c>
      <c r="B130" t="s">
        <v>1117</v>
      </c>
      <c r="C130" t="s">
        <v>1118</v>
      </c>
      <c r="D130">
        <v>1</v>
      </c>
      <c r="E130">
        <v>9</v>
      </c>
      <c r="F130" s="258">
        <f>DATE(YEAR(RPT_MONTH),MONTH(RPT_MONTH)-3,1)</f>
        <v>46204</v>
      </c>
      <c r="G130" s="193" t="str">
        <f t="shared" ref="G130:G193" si="13">CHOOSE(MONTH(F130),"Jan","Feb","Mar","Apr","May","Jun","Jul","Aug","Sep","Oct","Nov","Dec")&amp;"-"&amp;RIGHT(YEAR(F130),2)</f>
        <v>Jul-26</v>
      </c>
      <c r="H130" s="193" t="str">
        <f>IFERROR(1*INDEX(BD_KPIs!$F$2:$F$1300,MATCH(YEAR(F130)*100+MONTH(F130)&amp;"|CPSE|Monthly",BD_KPIs!$Q$2:$Q$1300,0)),"")</f>
        <v/>
      </c>
      <c r="I130" s="193">
        <f>IF(ISNUMBER(INDEX(_TARGETS!$G$2:$G$17,MATCH("CPSE",_TARGETS!$A$2:$A$17,0))),INDEX(_TARGETS!$G$2:$G$17,MATCH("CPSE",_TARGETS!$A$2:$A$17,0)),"")</f>
        <v>1</v>
      </c>
      <c r="J130" t="s">
        <v>1119</v>
      </c>
      <c r="K130" t="s">
        <v>1093</v>
      </c>
      <c r="L130" s="193" t="str">
        <f t="shared" ref="L130:L193" si="14">IF(ISNUMBER(H130),"OK","NO_DATA")</f>
        <v>NO_DATA</v>
      </c>
      <c r="M130" s="193" t="str">
        <f t="shared" ref="M130:M193" si="15">IF(RIGHT(B130,2)="_Y","YTD",IF(OR(B130="F_OPEN",B130="HIGH_OPEN"),"Month-end",IF(B130="ENV_STATUS","n/a","Monthly")))</f>
        <v>Monthly</v>
      </c>
      <c r="N130" s="193" t="str">
        <f>IF(NOT(ISNUMBER(H130)),"NO_DATA",IF(NOT(ISNUMBER(I130)),"MONITOR",IF(INDEX(_TARGETS!$E$2:$E$17,MATCH("CPSE",_TARGETS!$A$2:$A$17,0))="≤",IF(H130&lt;=I130,"ON_TARGET","OFF_TARGET"),IF(H130&gt;=I130,"ON_TARGET","OFF_TARGET"))))</f>
        <v>NO_DATA</v>
      </c>
      <c r="O130" s="193" t="str">
        <f t="shared" ref="O130:O193" si="16">RPT_SCOPE</f>
        <v>Compressor Plant</v>
      </c>
      <c r="P130" s="193" t="str">
        <f ca="1">IF(LEFT(Control!$C$10,4)="ROJO","RED",IF(LEFT(Control!$C$10,8)="AMARILLO","AMBER","GREEN"))</f>
        <v>RED</v>
      </c>
      <c r="Q130" s="193">
        <f>IF(AND(ISNUMBER(MATCH(F130,Datos!$D$3:$AL$3,0)),F130&lt;=RPT_MONTH),1,0)</f>
        <v>0</v>
      </c>
      <c r="R130" s="193" t="str">
        <f t="shared" ref="R130:R193" si="17">IF(A130="CH_ENV","PENDING_DEFINITION",IF(Q130=1,IF(L130="OK","OK","MISSING"),IF(ISNUMBER(H130),"CHECK","OUT_OF_SCOPE")))</f>
        <v>OUT_OF_SCOPE</v>
      </c>
    </row>
    <row r="131" spans="1:18" ht="13.5" customHeight="1" x14ac:dyDescent="0.3">
      <c r="A131" t="s">
        <v>1116</v>
      </c>
      <c r="B131" t="s">
        <v>1117</v>
      </c>
      <c r="C131" t="s">
        <v>1118</v>
      </c>
      <c r="D131">
        <v>1</v>
      </c>
      <c r="E131">
        <v>10</v>
      </c>
      <c r="F131" s="258">
        <f>DATE(YEAR(RPT_MONTH),MONTH(RPT_MONTH)-2,1)</f>
        <v>46235</v>
      </c>
      <c r="G131" s="193" t="str">
        <f t="shared" si="13"/>
        <v>Aug-26</v>
      </c>
      <c r="H131" s="193">
        <f>IFERROR(1*INDEX(BD_KPIs!$F$2:$F$1300,MATCH(YEAR(F131)*100+MONTH(F131)&amp;"|CPSE|Monthly",BD_KPIs!$Q$2:$Q$1300,0)),"")</f>
        <v>1</v>
      </c>
      <c r="I131" s="193">
        <f>IF(ISNUMBER(INDEX(_TARGETS!$G$2:$G$17,MATCH("CPSE",_TARGETS!$A$2:$A$17,0))),INDEX(_TARGETS!$G$2:$G$17,MATCH("CPSE",_TARGETS!$A$2:$A$17,0)),"")</f>
        <v>1</v>
      </c>
      <c r="J131" t="s">
        <v>1119</v>
      </c>
      <c r="K131" t="s">
        <v>1093</v>
      </c>
      <c r="L131" s="193" t="str">
        <f t="shared" si="14"/>
        <v>OK</v>
      </c>
      <c r="M131" s="193" t="str">
        <f t="shared" si="15"/>
        <v>Monthly</v>
      </c>
      <c r="N131" s="193" t="str">
        <f>IF(NOT(ISNUMBER(H131)),"NO_DATA",IF(NOT(ISNUMBER(I131)),"MONITOR",IF(INDEX(_TARGETS!$E$2:$E$17,MATCH("CPSE",_TARGETS!$A$2:$A$17,0))="≤",IF(H131&lt;=I131,"ON_TARGET","OFF_TARGET"),IF(H131&gt;=I131,"ON_TARGET","OFF_TARGET"))))</f>
        <v>ON_TARGET</v>
      </c>
      <c r="O131" s="193" t="str">
        <f t="shared" si="16"/>
        <v>Compressor Plant</v>
      </c>
      <c r="P131" s="193" t="str">
        <f ca="1">IF(LEFT(Control!$C$10,4)="ROJO","RED",IF(LEFT(Control!$C$10,8)="AMARILLO","AMBER","GREEN"))</f>
        <v>RED</v>
      </c>
      <c r="Q131" s="193">
        <f>IF(AND(ISNUMBER(MATCH(F131,Datos!$D$3:$AL$3,0)),F131&lt;=RPT_MONTH),1,0)</f>
        <v>1</v>
      </c>
      <c r="R131" s="193" t="str">
        <f t="shared" si="17"/>
        <v>OK</v>
      </c>
    </row>
    <row r="132" spans="1:18" ht="13.5" customHeight="1" x14ac:dyDescent="0.3">
      <c r="A132" t="s">
        <v>1116</v>
      </c>
      <c r="B132" t="s">
        <v>1117</v>
      </c>
      <c r="C132" t="s">
        <v>1118</v>
      </c>
      <c r="D132">
        <v>1</v>
      </c>
      <c r="E132">
        <v>11</v>
      </c>
      <c r="F132" s="258">
        <f>DATE(YEAR(RPT_MONTH),MONTH(RPT_MONTH)-1,1)</f>
        <v>46266</v>
      </c>
      <c r="G132" s="193" t="str">
        <f t="shared" si="13"/>
        <v>Sep-26</v>
      </c>
      <c r="H132" s="193">
        <f>IFERROR(1*INDEX(BD_KPIs!$F$2:$F$1300,MATCH(YEAR(F132)*100+MONTH(F132)&amp;"|CPSE|Monthly",BD_KPIs!$Q$2:$Q$1300,0)),"")</f>
        <v>1</v>
      </c>
      <c r="I132" s="193">
        <f>IF(ISNUMBER(INDEX(_TARGETS!$G$2:$G$17,MATCH("CPSE",_TARGETS!$A$2:$A$17,0))),INDEX(_TARGETS!$G$2:$G$17,MATCH("CPSE",_TARGETS!$A$2:$A$17,0)),"")</f>
        <v>1</v>
      </c>
      <c r="J132" t="s">
        <v>1119</v>
      </c>
      <c r="K132" t="s">
        <v>1093</v>
      </c>
      <c r="L132" s="193" t="str">
        <f t="shared" si="14"/>
        <v>OK</v>
      </c>
      <c r="M132" s="193" t="str">
        <f t="shared" si="15"/>
        <v>Monthly</v>
      </c>
      <c r="N132" s="193" t="str">
        <f>IF(NOT(ISNUMBER(H132)),"NO_DATA",IF(NOT(ISNUMBER(I132)),"MONITOR",IF(INDEX(_TARGETS!$E$2:$E$17,MATCH("CPSE",_TARGETS!$A$2:$A$17,0))="≤",IF(H132&lt;=I132,"ON_TARGET","OFF_TARGET"),IF(H132&gt;=I132,"ON_TARGET","OFF_TARGET"))))</f>
        <v>ON_TARGET</v>
      </c>
      <c r="O132" s="193" t="str">
        <f t="shared" si="16"/>
        <v>Compressor Plant</v>
      </c>
      <c r="P132" s="193" t="str">
        <f ca="1">IF(LEFT(Control!$C$10,4)="ROJO","RED",IF(LEFT(Control!$C$10,8)="AMARILLO","AMBER","GREEN"))</f>
        <v>RED</v>
      </c>
      <c r="Q132" s="193">
        <f>IF(AND(ISNUMBER(MATCH(F132,Datos!$D$3:$AL$3,0)),F132&lt;=RPT_MONTH),1,0)</f>
        <v>1</v>
      </c>
      <c r="R132" s="193" t="str">
        <f t="shared" si="17"/>
        <v>OK</v>
      </c>
    </row>
    <row r="133" spans="1:18" ht="13.5" customHeight="1" x14ac:dyDescent="0.3">
      <c r="A133" t="s">
        <v>1116</v>
      </c>
      <c r="B133" t="s">
        <v>1117</v>
      </c>
      <c r="C133" t="s">
        <v>1118</v>
      </c>
      <c r="D133">
        <v>1</v>
      </c>
      <c r="E133">
        <v>12</v>
      </c>
      <c r="F133" s="258">
        <f>DATE(YEAR(RPT_MONTH),MONTH(RPT_MONTH)-0,1)</f>
        <v>46296</v>
      </c>
      <c r="G133" s="193" t="str">
        <f t="shared" si="13"/>
        <v>Oct-26</v>
      </c>
      <c r="H133" s="193" t="str">
        <f>IFERROR(1*INDEX(BD_KPIs!$F$2:$F$1300,MATCH(YEAR(F133)*100+MONTH(F133)&amp;"|CPSE|Monthly",BD_KPIs!$Q$2:$Q$1300,0)),"")</f>
        <v/>
      </c>
      <c r="I133" s="193">
        <f>IF(ISNUMBER(INDEX(_TARGETS!$G$2:$G$17,MATCH("CPSE",_TARGETS!$A$2:$A$17,0))),INDEX(_TARGETS!$G$2:$G$17,MATCH("CPSE",_TARGETS!$A$2:$A$17,0)),"")</f>
        <v>1</v>
      </c>
      <c r="J133" t="s">
        <v>1119</v>
      </c>
      <c r="K133" t="s">
        <v>1093</v>
      </c>
      <c r="L133" s="193" t="str">
        <f t="shared" si="14"/>
        <v>NO_DATA</v>
      </c>
      <c r="M133" s="193" t="str">
        <f t="shared" si="15"/>
        <v>Monthly</v>
      </c>
      <c r="N133" s="193" t="str">
        <f>IF(NOT(ISNUMBER(H133)),"NO_DATA",IF(NOT(ISNUMBER(I133)),"MONITOR",IF(INDEX(_TARGETS!$E$2:$E$17,MATCH("CPSE",_TARGETS!$A$2:$A$17,0))="≤",IF(H133&lt;=I133,"ON_TARGET","OFF_TARGET"),IF(H133&gt;=I133,"ON_TARGET","OFF_TARGET"))))</f>
        <v>NO_DATA</v>
      </c>
      <c r="O133" s="193" t="str">
        <f t="shared" si="16"/>
        <v>Compressor Plant</v>
      </c>
      <c r="P133" s="193" t="str">
        <f ca="1">IF(LEFT(Control!$C$10,4)="ROJO","RED",IF(LEFT(Control!$C$10,8)="AMARILLO","AMBER","GREEN"))</f>
        <v>RED</v>
      </c>
      <c r="Q133" s="193">
        <f>IF(AND(ISNUMBER(MATCH(F133,Datos!$D$3:$AL$3,0)),F133&lt;=RPT_MONTH),1,0)</f>
        <v>1</v>
      </c>
      <c r="R133" s="193" t="str">
        <f t="shared" si="17"/>
        <v>MISSING</v>
      </c>
    </row>
    <row r="134" spans="1:18" ht="13.5" customHeight="1" x14ac:dyDescent="0.3">
      <c r="A134" t="s">
        <v>1116</v>
      </c>
      <c r="B134" t="s">
        <v>1120</v>
      </c>
      <c r="C134" t="s">
        <v>1121</v>
      </c>
      <c r="D134">
        <v>2</v>
      </c>
      <c r="E134">
        <v>1</v>
      </c>
      <c r="F134" s="258">
        <f>DATE(YEAR(RPT_MONTH),MONTH(RPT_MONTH)-11,1)</f>
        <v>45962</v>
      </c>
      <c r="G134" s="193" t="str">
        <f t="shared" si="13"/>
        <v>Nov-25</v>
      </c>
      <c r="H134" s="193" t="str">
        <f>IFERROR(1*INDEX(BD_KPIs!$F$2:$F$1300,MATCH(YEAR(F134)*100+MONTH(F134)&amp;"|CAMS|Monthly",BD_KPIs!$Q$2:$Q$1300,0)),"")</f>
        <v/>
      </c>
      <c r="I134" s="193" t="str">
        <f>IF(ISNUMBER(INDEX(_TARGETS!$G$2:$G$17,MATCH("CAMS",_TARGETS!$A$2:$A$17,0))),INDEX(_TARGETS!$G$2:$G$17,MATCH("CAMS",_TARGETS!$A$2:$A$17,0)),"")</f>
        <v/>
      </c>
      <c r="J134" t="s">
        <v>1119</v>
      </c>
      <c r="K134" t="s">
        <v>1093</v>
      </c>
      <c r="L134" s="193" t="str">
        <f t="shared" si="14"/>
        <v>NO_DATA</v>
      </c>
      <c r="M134" s="193" t="str">
        <f t="shared" si="15"/>
        <v>Monthly</v>
      </c>
      <c r="N134" s="193" t="str">
        <f>IF(NOT(ISNUMBER(H134)),"NO_DATA",IF(NOT(ISNUMBER(I134)),"MONITOR",IF(INDEX(_TARGETS!$E$2:$E$17,MATCH("CAMS",_TARGETS!$A$2:$A$17,0))="≤",IF(H134&lt;=I134,"ON_TARGET","OFF_TARGET"),IF(H134&gt;=I134,"ON_TARGET","OFF_TARGET"))))</f>
        <v>NO_DATA</v>
      </c>
      <c r="O134" s="193" t="str">
        <f t="shared" si="16"/>
        <v>Compressor Plant</v>
      </c>
      <c r="P134" s="193" t="str">
        <f ca="1">IF(LEFT(Control!$C$10,4)="ROJO","RED",IF(LEFT(Control!$C$10,8)="AMARILLO","AMBER","GREEN"))</f>
        <v>RED</v>
      </c>
      <c r="Q134" s="193">
        <f>IF(AND(ISNUMBER(MATCH(F134,Datos!$D$3:$AL$3,0)),F134&lt;=RPT_MONTH),1,0)</f>
        <v>0</v>
      </c>
      <c r="R134" s="193" t="str">
        <f t="shared" si="17"/>
        <v>OUT_OF_SCOPE</v>
      </c>
    </row>
    <row r="135" spans="1:18" ht="13.5" customHeight="1" x14ac:dyDescent="0.3">
      <c r="A135" t="s">
        <v>1116</v>
      </c>
      <c r="B135" t="s">
        <v>1120</v>
      </c>
      <c r="C135" t="s">
        <v>1121</v>
      </c>
      <c r="D135">
        <v>2</v>
      </c>
      <c r="E135">
        <v>2</v>
      </c>
      <c r="F135" s="258">
        <f>DATE(YEAR(RPT_MONTH),MONTH(RPT_MONTH)-10,1)</f>
        <v>45992</v>
      </c>
      <c r="G135" s="193" t="str">
        <f t="shared" si="13"/>
        <v>Dec-25</v>
      </c>
      <c r="H135" s="193" t="str">
        <f>IFERROR(1*INDEX(BD_KPIs!$F$2:$F$1300,MATCH(YEAR(F135)*100+MONTH(F135)&amp;"|CAMS|Monthly",BD_KPIs!$Q$2:$Q$1300,0)),"")</f>
        <v/>
      </c>
      <c r="I135" s="193" t="str">
        <f>IF(ISNUMBER(INDEX(_TARGETS!$G$2:$G$17,MATCH("CAMS",_TARGETS!$A$2:$A$17,0))),INDEX(_TARGETS!$G$2:$G$17,MATCH("CAMS",_TARGETS!$A$2:$A$17,0)),"")</f>
        <v/>
      </c>
      <c r="J135" t="s">
        <v>1119</v>
      </c>
      <c r="K135" t="s">
        <v>1093</v>
      </c>
      <c r="L135" s="193" t="str">
        <f t="shared" si="14"/>
        <v>NO_DATA</v>
      </c>
      <c r="M135" s="193" t="str">
        <f t="shared" si="15"/>
        <v>Monthly</v>
      </c>
      <c r="N135" s="193" t="str">
        <f>IF(NOT(ISNUMBER(H135)),"NO_DATA",IF(NOT(ISNUMBER(I135)),"MONITOR",IF(INDEX(_TARGETS!$E$2:$E$17,MATCH("CAMS",_TARGETS!$A$2:$A$17,0))="≤",IF(H135&lt;=I135,"ON_TARGET","OFF_TARGET"),IF(H135&gt;=I135,"ON_TARGET","OFF_TARGET"))))</f>
        <v>NO_DATA</v>
      </c>
      <c r="O135" s="193" t="str">
        <f t="shared" si="16"/>
        <v>Compressor Plant</v>
      </c>
      <c r="P135" s="193" t="str">
        <f ca="1">IF(LEFT(Control!$C$10,4)="ROJO","RED",IF(LEFT(Control!$C$10,8)="AMARILLO","AMBER","GREEN"))</f>
        <v>RED</v>
      </c>
      <c r="Q135" s="193">
        <f>IF(AND(ISNUMBER(MATCH(F135,Datos!$D$3:$AL$3,0)),F135&lt;=RPT_MONTH),1,0)</f>
        <v>0</v>
      </c>
      <c r="R135" s="193" t="str">
        <f t="shared" si="17"/>
        <v>OUT_OF_SCOPE</v>
      </c>
    </row>
    <row r="136" spans="1:18" ht="13.5" customHeight="1" x14ac:dyDescent="0.3">
      <c r="A136" t="s">
        <v>1116</v>
      </c>
      <c r="B136" t="s">
        <v>1120</v>
      </c>
      <c r="C136" t="s">
        <v>1121</v>
      </c>
      <c r="D136">
        <v>2</v>
      </c>
      <c r="E136">
        <v>3</v>
      </c>
      <c r="F136" s="258">
        <f>DATE(YEAR(RPT_MONTH),MONTH(RPT_MONTH)-9,1)</f>
        <v>46023</v>
      </c>
      <c r="G136" s="193" t="str">
        <f t="shared" si="13"/>
        <v>Jan-26</v>
      </c>
      <c r="H136" s="193" t="str">
        <f>IFERROR(1*INDEX(BD_KPIs!$F$2:$F$1300,MATCH(YEAR(F136)*100+MONTH(F136)&amp;"|CAMS|Monthly",BD_KPIs!$Q$2:$Q$1300,0)),"")</f>
        <v/>
      </c>
      <c r="I136" s="193" t="str">
        <f>IF(ISNUMBER(INDEX(_TARGETS!$G$2:$G$17,MATCH("CAMS",_TARGETS!$A$2:$A$17,0))),INDEX(_TARGETS!$G$2:$G$17,MATCH("CAMS",_TARGETS!$A$2:$A$17,0)),"")</f>
        <v/>
      </c>
      <c r="J136" t="s">
        <v>1119</v>
      </c>
      <c r="K136" t="s">
        <v>1093</v>
      </c>
      <c r="L136" s="193" t="str">
        <f t="shared" si="14"/>
        <v>NO_DATA</v>
      </c>
      <c r="M136" s="193" t="str">
        <f t="shared" si="15"/>
        <v>Monthly</v>
      </c>
      <c r="N136" s="193" t="str">
        <f>IF(NOT(ISNUMBER(H136)),"NO_DATA",IF(NOT(ISNUMBER(I136)),"MONITOR",IF(INDEX(_TARGETS!$E$2:$E$17,MATCH("CAMS",_TARGETS!$A$2:$A$17,0))="≤",IF(H136&lt;=I136,"ON_TARGET","OFF_TARGET"),IF(H136&gt;=I136,"ON_TARGET","OFF_TARGET"))))</f>
        <v>NO_DATA</v>
      </c>
      <c r="O136" s="193" t="str">
        <f t="shared" si="16"/>
        <v>Compressor Plant</v>
      </c>
      <c r="P136" s="193" t="str">
        <f ca="1">IF(LEFT(Control!$C$10,4)="ROJO","RED",IF(LEFT(Control!$C$10,8)="AMARILLO","AMBER","GREEN"))</f>
        <v>RED</v>
      </c>
      <c r="Q136" s="193">
        <f>IF(AND(ISNUMBER(MATCH(F136,Datos!$D$3:$AL$3,0)),F136&lt;=RPT_MONTH),1,0)</f>
        <v>0</v>
      </c>
      <c r="R136" s="193" t="str">
        <f t="shared" si="17"/>
        <v>OUT_OF_SCOPE</v>
      </c>
    </row>
    <row r="137" spans="1:18" ht="13.5" customHeight="1" x14ac:dyDescent="0.3">
      <c r="A137" t="s">
        <v>1116</v>
      </c>
      <c r="B137" t="s">
        <v>1120</v>
      </c>
      <c r="C137" t="s">
        <v>1121</v>
      </c>
      <c r="D137">
        <v>2</v>
      </c>
      <c r="E137">
        <v>4</v>
      </c>
      <c r="F137" s="258">
        <f>DATE(YEAR(RPT_MONTH),MONTH(RPT_MONTH)-8,1)</f>
        <v>46054</v>
      </c>
      <c r="G137" s="193" t="str">
        <f t="shared" si="13"/>
        <v>Feb-26</v>
      </c>
      <c r="H137" s="193" t="str">
        <f>IFERROR(1*INDEX(BD_KPIs!$F$2:$F$1300,MATCH(YEAR(F137)*100+MONTH(F137)&amp;"|CAMS|Monthly",BD_KPIs!$Q$2:$Q$1300,0)),"")</f>
        <v/>
      </c>
      <c r="I137" s="193" t="str">
        <f>IF(ISNUMBER(INDEX(_TARGETS!$G$2:$G$17,MATCH("CAMS",_TARGETS!$A$2:$A$17,0))),INDEX(_TARGETS!$G$2:$G$17,MATCH("CAMS",_TARGETS!$A$2:$A$17,0)),"")</f>
        <v/>
      </c>
      <c r="J137" t="s">
        <v>1119</v>
      </c>
      <c r="K137" t="s">
        <v>1093</v>
      </c>
      <c r="L137" s="193" t="str">
        <f t="shared" si="14"/>
        <v>NO_DATA</v>
      </c>
      <c r="M137" s="193" t="str">
        <f t="shared" si="15"/>
        <v>Monthly</v>
      </c>
      <c r="N137" s="193" t="str">
        <f>IF(NOT(ISNUMBER(H137)),"NO_DATA",IF(NOT(ISNUMBER(I137)),"MONITOR",IF(INDEX(_TARGETS!$E$2:$E$17,MATCH("CAMS",_TARGETS!$A$2:$A$17,0))="≤",IF(H137&lt;=I137,"ON_TARGET","OFF_TARGET"),IF(H137&gt;=I137,"ON_TARGET","OFF_TARGET"))))</f>
        <v>NO_DATA</v>
      </c>
      <c r="O137" s="193" t="str">
        <f t="shared" si="16"/>
        <v>Compressor Plant</v>
      </c>
      <c r="P137" s="193" t="str">
        <f ca="1">IF(LEFT(Control!$C$10,4)="ROJO","RED",IF(LEFT(Control!$C$10,8)="AMARILLO","AMBER","GREEN"))</f>
        <v>RED</v>
      </c>
      <c r="Q137" s="193">
        <f>IF(AND(ISNUMBER(MATCH(F137,Datos!$D$3:$AL$3,0)),F137&lt;=RPT_MONTH),1,0)</f>
        <v>0</v>
      </c>
      <c r="R137" s="193" t="str">
        <f t="shared" si="17"/>
        <v>OUT_OF_SCOPE</v>
      </c>
    </row>
    <row r="138" spans="1:18" ht="13.5" customHeight="1" x14ac:dyDescent="0.3">
      <c r="A138" t="s">
        <v>1116</v>
      </c>
      <c r="B138" t="s">
        <v>1120</v>
      </c>
      <c r="C138" t="s">
        <v>1121</v>
      </c>
      <c r="D138">
        <v>2</v>
      </c>
      <c r="E138">
        <v>5</v>
      </c>
      <c r="F138" s="258">
        <f>DATE(YEAR(RPT_MONTH),MONTH(RPT_MONTH)-7,1)</f>
        <v>46082</v>
      </c>
      <c r="G138" s="193" t="str">
        <f t="shared" si="13"/>
        <v>Mar-26</v>
      </c>
      <c r="H138" s="193" t="str">
        <f>IFERROR(1*INDEX(BD_KPIs!$F$2:$F$1300,MATCH(YEAR(F138)*100+MONTH(F138)&amp;"|CAMS|Monthly",BD_KPIs!$Q$2:$Q$1300,0)),"")</f>
        <v/>
      </c>
      <c r="I138" s="193" t="str">
        <f>IF(ISNUMBER(INDEX(_TARGETS!$G$2:$G$17,MATCH("CAMS",_TARGETS!$A$2:$A$17,0))),INDEX(_TARGETS!$G$2:$G$17,MATCH("CAMS",_TARGETS!$A$2:$A$17,0)),"")</f>
        <v/>
      </c>
      <c r="J138" t="s">
        <v>1119</v>
      </c>
      <c r="K138" t="s">
        <v>1093</v>
      </c>
      <c r="L138" s="193" t="str">
        <f t="shared" si="14"/>
        <v>NO_DATA</v>
      </c>
      <c r="M138" s="193" t="str">
        <f t="shared" si="15"/>
        <v>Monthly</v>
      </c>
      <c r="N138" s="193" t="str">
        <f>IF(NOT(ISNUMBER(H138)),"NO_DATA",IF(NOT(ISNUMBER(I138)),"MONITOR",IF(INDEX(_TARGETS!$E$2:$E$17,MATCH("CAMS",_TARGETS!$A$2:$A$17,0))="≤",IF(H138&lt;=I138,"ON_TARGET","OFF_TARGET"),IF(H138&gt;=I138,"ON_TARGET","OFF_TARGET"))))</f>
        <v>NO_DATA</v>
      </c>
      <c r="O138" s="193" t="str">
        <f t="shared" si="16"/>
        <v>Compressor Plant</v>
      </c>
      <c r="P138" s="193" t="str">
        <f ca="1">IF(LEFT(Control!$C$10,4)="ROJO","RED",IF(LEFT(Control!$C$10,8)="AMARILLO","AMBER","GREEN"))</f>
        <v>RED</v>
      </c>
      <c r="Q138" s="193">
        <f>IF(AND(ISNUMBER(MATCH(F138,Datos!$D$3:$AL$3,0)),F138&lt;=RPT_MONTH),1,0)</f>
        <v>0</v>
      </c>
      <c r="R138" s="193" t="str">
        <f t="shared" si="17"/>
        <v>OUT_OF_SCOPE</v>
      </c>
    </row>
    <row r="139" spans="1:18" ht="13.5" customHeight="1" x14ac:dyDescent="0.3">
      <c r="A139" t="s">
        <v>1116</v>
      </c>
      <c r="B139" t="s">
        <v>1120</v>
      </c>
      <c r="C139" t="s">
        <v>1121</v>
      </c>
      <c r="D139">
        <v>2</v>
      </c>
      <c r="E139">
        <v>6</v>
      </c>
      <c r="F139" s="258">
        <f>DATE(YEAR(RPT_MONTH),MONTH(RPT_MONTH)-6,1)</f>
        <v>46113</v>
      </c>
      <c r="G139" s="193" t="str">
        <f t="shared" si="13"/>
        <v>Apr-26</v>
      </c>
      <c r="H139" s="193" t="str">
        <f>IFERROR(1*INDEX(BD_KPIs!$F$2:$F$1300,MATCH(YEAR(F139)*100+MONTH(F139)&amp;"|CAMS|Monthly",BD_KPIs!$Q$2:$Q$1300,0)),"")</f>
        <v/>
      </c>
      <c r="I139" s="193" t="str">
        <f>IF(ISNUMBER(INDEX(_TARGETS!$G$2:$G$17,MATCH("CAMS",_TARGETS!$A$2:$A$17,0))),INDEX(_TARGETS!$G$2:$G$17,MATCH("CAMS",_TARGETS!$A$2:$A$17,0)),"")</f>
        <v/>
      </c>
      <c r="J139" t="s">
        <v>1119</v>
      </c>
      <c r="K139" t="s">
        <v>1093</v>
      </c>
      <c r="L139" s="193" t="str">
        <f t="shared" si="14"/>
        <v>NO_DATA</v>
      </c>
      <c r="M139" s="193" t="str">
        <f t="shared" si="15"/>
        <v>Monthly</v>
      </c>
      <c r="N139" s="193" t="str">
        <f>IF(NOT(ISNUMBER(H139)),"NO_DATA",IF(NOT(ISNUMBER(I139)),"MONITOR",IF(INDEX(_TARGETS!$E$2:$E$17,MATCH("CAMS",_TARGETS!$A$2:$A$17,0))="≤",IF(H139&lt;=I139,"ON_TARGET","OFF_TARGET"),IF(H139&gt;=I139,"ON_TARGET","OFF_TARGET"))))</f>
        <v>NO_DATA</v>
      </c>
      <c r="O139" s="193" t="str">
        <f t="shared" si="16"/>
        <v>Compressor Plant</v>
      </c>
      <c r="P139" s="193" t="str">
        <f ca="1">IF(LEFT(Control!$C$10,4)="ROJO","RED",IF(LEFT(Control!$C$10,8)="AMARILLO","AMBER","GREEN"))</f>
        <v>RED</v>
      </c>
      <c r="Q139" s="193">
        <f>IF(AND(ISNUMBER(MATCH(F139,Datos!$D$3:$AL$3,0)),F139&lt;=RPT_MONTH),1,0)</f>
        <v>0</v>
      </c>
      <c r="R139" s="193" t="str">
        <f t="shared" si="17"/>
        <v>OUT_OF_SCOPE</v>
      </c>
    </row>
    <row r="140" spans="1:18" ht="13.5" customHeight="1" x14ac:dyDescent="0.3">
      <c r="A140" t="s">
        <v>1116</v>
      </c>
      <c r="B140" t="s">
        <v>1120</v>
      </c>
      <c r="C140" t="s">
        <v>1121</v>
      </c>
      <c r="D140">
        <v>2</v>
      </c>
      <c r="E140">
        <v>7</v>
      </c>
      <c r="F140" s="258">
        <f>DATE(YEAR(RPT_MONTH),MONTH(RPT_MONTH)-5,1)</f>
        <v>46143</v>
      </c>
      <c r="G140" s="193" t="str">
        <f t="shared" si="13"/>
        <v>May-26</v>
      </c>
      <c r="H140" s="193" t="str">
        <f>IFERROR(1*INDEX(BD_KPIs!$F$2:$F$1300,MATCH(YEAR(F140)*100+MONTH(F140)&amp;"|CAMS|Monthly",BD_KPIs!$Q$2:$Q$1300,0)),"")</f>
        <v/>
      </c>
      <c r="I140" s="193" t="str">
        <f>IF(ISNUMBER(INDEX(_TARGETS!$G$2:$G$17,MATCH("CAMS",_TARGETS!$A$2:$A$17,0))),INDEX(_TARGETS!$G$2:$G$17,MATCH("CAMS",_TARGETS!$A$2:$A$17,0)),"")</f>
        <v/>
      </c>
      <c r="J140" t="s">
        <v>1119</v>
      </c>
      <c r="K140" t="s">
        <v>1093</v>
      </c>
      <c r="L140" s="193" t="str">
        <f t="shared" si="14"/>
        <v>NO_DATA</v>
      </c>
      <c r="M140" s="193" t="str">
        <f t="shared" si="15"/>
        <v>Monthly</v>
      </c>
      <c r="N140" s="193" t="str">
        <f>IF(NOT(ISNUMBER(H140)),"NO_DATA",IF(NOT(ISNUMBER(I140)),"MONITOR",IF(INDEX(_TARGETS!$E$2:$E$17,MATCH("CAMS",_TARGETS!$A$2:$A$17,0))="≤",IF(H140&lt;=I140,"ON_TARGET","OFF_TARGET"),IF(H140&gt;=I140,"ON_TARGET","OFF_TARGET"))))</f>
        <v>NO_DATA</v>
      </c>
      <c r="O140" s="193" t="str">
        <f t="shared" si="16"/>
        <v>Compressor Plant</v>
      </c>
      <c r="P140" s="193" t="str">
        <f ca="1">IF(LEFT(Control!$C$10,4)="ROJO","RED",IF(LEFT(Control!$C$10,8)="AMARILLO","AMBER","GREEN"))</f>
        <v>RED</v>
      </c>
      <c r="Q140" s="193">
        <f>IF(AND(ISNUMBER(MATCH(F140,Datos!$D$3:$AL$3,0)),F140&lt;=RPT_MONTH),1,0)</f>
        <v>0</v>
      </c>
      <c r="R140" s="193" t="str">
        <f t="shared" si="17"/>
        <v>OUT_OF_SCOPE</v>
      </c>
    </row>
    <row r="141" spans="1:18" ht="13.5" customHeight="1" x14ac:dyDescent="0.3">
      <c r="A141" t="s">
        <v>1116</v>
      </c>
      <c r="B141" t="s">
        <v>1120</v>
      </c>
      <c r="C141" t="s">
        <v>1121</v>
      </c>
      <c r="D141">
        <v>2</v>
      </c>
      <c r="E141">
        <v>8</v>
      </c>
      <c r="F141" s="258">
        <f>DATE(YEAR(RPT_MONTH),MONTH(RPT_MONTH)-4,1)</f>
        <v>46174</v>
      </c>
      <c r="G141" s="193" t="str">
        <f t="shared" si="13"/>
        <v>Jun-26</v>
      </c>
      <c r="H141" s="193" t="str">
        <f>IFERROR(1*INDEX(BD_KPIs!$F$2:$F$1300,MATCH(YEAR(F141)*100+MONTH(F141)&amp;"|CAMS|Monthly",BD_KPIs!$Q$2:$Q$1300,0)),"")</f>
        <v/>
      </c>
      <c r="I141" s="193" t="str">
        <f>IF(ISNUMBER(INDEX(_TARGETS!$G$2:$G$17,MATCH("CAMS",_TARGETS!$A$2:$A$17,0))),INDEX(_TARGETS!$G$2:$G$17,MATCH("CAMS",_TARGETS!$A$2:$A$17,0)),"")</f>
        <v/>
      </c>
      <c r="J141" t="s">
        <v>1119</v>
      </c>
      <c r="K141" t="s">
        <v>1093</v>
      </c>
      <c r="L141" s="193" t="str">
        <f t="shared" si="14"/>
        <v>NO_DATA</v>
      </c>
      <c r="M141" s="193" t="str">
        <f t="shared" si="15"/>
        <v>Monthly</v>
      </c>
      <c r="N141" s="193" t="str">
        <f>IF(NOT(ISNUMBER(H141)),"NO_DATA",IF(NOT(ISNUMBER(I141)),"MONITOR",IF(INDEX(_TARGETS!$E$2:$E$17,MATCH("CAMS",_TARGETS!$A$2:$A$17,0))="≤",IF(H141&lt;=I141,"ON_TARGET","OFF_TARGET"),IF(H141&gt;=I141,"ON_TARGET","OFF_TARGET"))))</f>
        <v>NO_DATA</v>
      </c>
      <c r="O141" s="193" t="str">
        <f t="shared" si="16"/>
        <v>Compressor Plant</v>
      </c>
      <c r="P141" s="193" t="str">
        <f ca="1">IF(LEFT(Control!$C$10,4)="ROJO","RED",IF(LEFT(Control!$C$10,8)="AMARILLO","AMBER","GREEN"))</f>
        <v>RED</v>
      </c>
      <c r="Q141" s="193">
        <f>IF(AND(ISNUMBER(MATCH(F141,Datos!$D$3:$AL$3,0)),F141&lt;=RPT_MONTH),1,0)</f>
        <v>0</v>
      </c>
      <c r="R141" s="193" t="str">
        <f t="shared" si="17"/>
        <v>OUT_OF_SCOPE</v>
      </c>
    </row>
    <row r="142" spans="1:18" ht="13.5" customHeight="1" x14ac:dyDescent="0.3">
      <c r="A142" t="s">
        <v>1116</v>
      </c>
      <c r="B142" t="s">
        <v>1120</v>
      </c>
      <c r="C142" t="s">
        <v>1121</v>
      </c>
      <c r="D142">
        <v>2</v>
      </c>
      <c r="E142">
        <v>9</v>
      </c>
      <c r="F142" s="258">
        <f>DATE(YEAR(RPT_MONTH),MONTH(RPT_MONTH)-3,1)</f>
        <v>46204</v>
      </c>
      <c r="G142" s="193" t="str">
        <f t="shared" si="13"/>
        <v>Jul-26</v>
      </c>
      <c r="H142" s="193" t="str">
        <f>IFERROR(1*INDEX(BD_KPIs!$F$2:$F$1300,MATCH(YEAR(F142)*100+MONTH(F142)&amp;"|CAMS|Monthly",BD_KPIs!$Q$2:$Q$1300,0)),"")</f>
        <v/>
      </c>
      <c r="I142" s="193" t="str">
        <f>IF(ISNUMBER(INDEX(_TARGETS!$G$2:$G$17,MATCH("CAMS",_TARGETS!$A$2:$A$17,0))),INDEX(_TARGETS!$G$2:$G$17,MATCH("CAMS",_TARGETS!$A$2:$A$17,0)),"")</f>
        <v/>
      </c>
      <c r="J142" t="s">
        <v>1119</v>
      </c>
      <c r="K142" t="s">
        <v>1093</v>
      </c>
      <c r="L142" s="193" t="str">
        <f t="shared" si="14"/>
        <v>NO_DATA</v>
      </c>
      <c r="M142" s="193" t="str">
        <f t="shared" si="15"/>
        <v>Monthly</v>
      </c>
      <c r="N142" s="193" t="str">
        <f>IF(NOT(ISNUMBER(H142)),"NO_DATA",IF(NOT(ISNUMBER(I142)),"MONITOR",IF(INDEX(_TARGETS!$E$2:$E$17,MATCH("CAMS",_TARGETS!$A$2:$A$17,0))="≤",IF(H142&lt;=I142,"ON_TARGET","OFF_TARGET"),IF(H142&gt;=I142,"ON_TARGET","OFF_TARGET"))))</f>
        <v>NO_DATA</v>
      </c>
      <c r="O142" s="193" t="str">
        <f t="shared" si="16"/>
        <v>Compressor Plant</v>
      </c>
      <c r="P142" s="193" t="str">
        <f ca="1">IF(LEFT(Control!$C$10,4)="ROJO","RED",IF(LEFT(Control!$C$10,8)="AMARILLO","AMBER","GREEN"))</f>
        <v>RED</v>
      </c>
      <c r="Q142" s="193">
        <f>IF(AND(ISNUMBER(MATCH(F142,Datos!$D$3:$AL$3,0)),F142&lt;=RPT_MONTH),1,0)</f>
        <v>0</v>
      </c>
      <c r="R142" s="193" t="str">
        <f t="shared" si="17"/>
        <v>OUT_OF_SCOPE</v>
      </c>
    </row>
    <row r="143" spans="1:18" ht="13.5" customHeight="1" x14ac:dyDescent="0.3">
      <c r="A143" t="s">
        <v>1116</v>
      </c>
      <c r="B143" t="s">
        <v>1120</v>
      </c>
      <c r="C143" t="s">
        <v>1121</v>
      </c>
      <c r="D143">
        <v>2</v>
      </c>
      <c r="E143">
        <v>10</v>
      </c>
      <c r="F143" s="258">
        <f>DATE(YEAR(RPT_MONTH),MONTH(RPT_MONTH)-2,1)</f>
        <v>46235</v>
      </c>
      <c r="G143" s="193" t="str">
        <f t="shared" si="13"/>
        <v>Aug-26</v>
      </c>
      <c r="H143" s="193" t="str">
        <f>IFERROR(1*INDEX(BD_KPIs!$F$2:$F$1300,MATCH(YEAR(F143)*100+MONTH(F143)&amp;"|CAMS|Monthly",BD_KPIs!$Q$2:$Q$1300,0)),"")</f>
        <v/>
      </c>
      <c r="I143" s="193" t="str">
        <f>IF(ISNUMBER(INDEX(_TARGETS!$G$2:$G$17,MATCH("CAMS",_TARGETS!$A$2:$A$17,0))),INDEX(_TARGETS!$G$2:$G$17,MATCH("CAMS",_TARGETS!$A$2:$A$17,0)),"")</f>
        <v/>
      </c>
      <c r="J143" t="s">
        <v>1119</v>
      </c>
      <c r="K143" t="s">
        <v>1093</v>
      </c>
      <c r="L143" s="193" t="str">
        <f t="shared" si="14"/>
        <v>NO_DATA</v>
      </c>
      <c r="M143" s="193" t="str">
        <f t="shared" si="15"/>
        <v>Monthly</v>
      </c>
      <c r="N143" s="193" t="str">
        <f>IF(NOT(ISNUMBER(H143)),"NO_DATA",IF(NOT(ISNUMBER(I143)),"MONITOR",IF(INDEX(_TARGETS!$E$2:$E$17,MATCH("CAMS",_TARGETS!$A$2:$A$17,0))="≤",IF(H143&lt;=I143,"ON_TARGET","OFF_TARGET"),IF(H143&gt;=I143,"ON_TARGET","OFF_TARGET"))))</f>
        <v>NO_DATA</v>
      </c>
      <c r="O143" s="193" t="str">
        <f t="shared" si="16"/>
        <v>Compressor Plant</v>
      </c>
      <c r="P143" s="193" t="str">
        <f ca="1">IF(LEFT(Control!$C$10,4)="ROJO","RED",IF(LEFT(Control!$C$10,8)="AMARILLO","AMBER","GREEN"))</f>
        <v>RED</v>
      </c>
      <c r="Q143" s="193">
        <f>IF(AND(ISNUMBER(MATCH(F143,Datos!$D$3:$AL$3,0)),F143&lt;=RPT_MONTH),1,0)</f>
        <v>1</v>
      </c>
      <c r="R143" s="193" t="str">
        <f t="shared" si="17"/>
        <v>MISSING</v>
      </c>
    </row>
    <row r="144" spans="1:18" ht="13.5" customHeight="1" x14ac:dyDescent="0.3">
      <c r="A144" t="s">
        <v>1116</v>
      </c>
      <c r="B144" t="s">
        <v>1120</v>
      </c>
      <c r="C144" t="s">
        <v>1121</v>
      </c>
      <c r="D144">
        <v>2</v>
      </c>
      <c r="E144">
        <v>11</v>
      </c>
      <c r="F144" s="258">
        <f>DATE(YEAR(RPT_MONTH),MONTH(RPT_MONTH)-1,1)</f>
        <v>46266</v>
      </c>
      <c r="G144" s="193" t="str">
        <f t="shared" si="13"/>
        <v>Sep-26</v>
      </c>
      <c r="H144" s="193">
        <f>IFERROR(1*INDEX(BD_KPIs!$F$2:$F$1300,MATCH(YEAR(F144)*100+MONTH(F144)&amp;"|CAMS|Monthly",BD_KPIs!$Q$2:$Q$1300,0)),"")</f>
        <v>1</v>
      </c>
      <c r="I144" s="193" t="str">
        <f>IF(ISNUMBER(INDEX(_TARGETS!$G$2:$G$17,MATCH("CAMS",_TARGETS!$A$2:$A$17,0))),INDEX(_TARGETS!$G$2:$G$17,MATCH("CAMS",_TARGETS!$A$2:$A$17,0)),"")</f>
        <v/>
      </c>
      <c r="J144" t="s">
        <v>1119</v>
      </c>
      <c r="K144" t="s">
        <v>1093</v>
      </c>
      <c r="L144" s="193" t="str">
        <f t="shared" si="14"/>
        <v>OK</v>
      </c>
      <c r="M144" s="193" t="str">
        <f t="shared" si="15"/>
        <v>Monthly</v>
      </c>
      <c r="N144" s="193" t="str">
        <f>IF(NOT(ISNUMBER(H144)),"NO_DATA",IF(NOT(ISNUMBER(I144)),"MONITOR",IF(INDEX(_TARGETS!$E$2:$E$17,MATCH("CAMS",_TARGETS!$A$2:$A$17,0))="≤",IF(H144&lt;=I144,"ON_TARGET","OFF_TARGET"),IF(H144&gt;=I144,"ON_TARGET","OFF_TARGET"))))</f>
        <v>MONITOR</v>
      </c>
      <c r="O144" s="193" t="str">
        <f t="shared" si="16"/>
        <v>Compressor Plant</v>
      </c>
      <c r="P144" s="193" t="str">
        <f ca="1">IF(LEFT(Control!$C$10,4)="ROJO","RED",IF(LEFT(Control!$C$10,8)="AMARILLO","AMBER","GREEN"))</f>
        <v>RED</v>
      </c>
      <c r="Q144" s="193">
        <f>IF(AND(ISNUMBER(MATCH(F144,Datos!$D$3:$AL$3,0)),F144&lt;=RPT_MONTH),1,0)</f>
        <v>1</v>
      </c>
      <c r="R144" s="193" t="str">
        <f t="shared" si="17"/>
        <v>OK</v>
      </c>
    </row>
    <row r="145" spans="1:18" ht="13.5" customHeight="1" x14ac:dyDescent="0.3">
      <c r="A145" t="s">
        <v>1116</v>
      </c>
      <c r="B145" t="s">
        <v>1120</v>
      </c>
      <c r="C145" t="s">
        <v>1121</v>
      </c>
      <c r="D145">
        <v>2</v>
      </c>
      <c r="E145">
        <v>12</v>
      </c>
      <c r="F145" s="258">
        <f>DATE(YEAR(RPT_MONTH),MONTH(RPT_MONTH)-0,1)</f>
        <v>46296</v>
      </c>
      <c r="G145" s="193" t="str">
        <f t="shared" si="13"/>
        <v>Oct-26</v>
      </c>
      <c r="H145" s="193" t="str">
        <f>IFERROR(1*INDEX(BD_KPIs!$F$2:$F$1300,MATCH(YEAR(F145)*100+MONTH(F145)&amp;"|CAMS|Monthly",BD_KPIs!$Q$2:$Q$1300,0)),"")</f>
        <v/>
      </c>
      <c r="I145" s="193" t="str">
        <f>IF(ISNUMBER(INDEX(_TARGETS!$G$2:$G$17,MATCH("CAMS",_TARGETS!$A$2:$A$17,0))),INDEX(_TARGETS!$G$2:$G$17,MATCH("CAMS",_TARGETS!$A$2:$A$17,0)),"")</f>
        <v/>
      </c>
      <c r="J145" t="s">
        <v>1119</v>
      </c>
      <c r="K145" t="s">
        <v>1093</v>
      </c>
      <c r="L145" s="193" t="str">
        <f t="shared" si="14"/>
        <v>NO_DATA</v>
      </c>
      <c r="M145" s="193" t="str">
        <f t="shared" si="15"/>
        <v>Monthly</v>
      </c>
      <c r="N145" s="193" t="str">
        <f>IF(NOT(ISNUMBER(H145)),"NO_DATA",IF(NOT(ISNUMBER(I145)),"MONITOR",IF(INDEX(_TARGETS!$E$2:$E$17,MATCH("CAMS",_TARGETS!$A$2:$A$17,0))="≤",IF(H145&lt;=I145,"ON_TARGET","OFF_TARGET"),IF(H145&gt;=I145,"ON_TARGET","OFF_TARGET"))))</f>
        <v>NO_DATA</v>
      </c>
      <c r="O145" s="193" t="str">
        <f t="shared" si="16"/>
        <v>Compressor Plant</v>
      </c>
      <c r="P145" s="193" t="str">
        <f ca="1">IF(LEFT(Control!$C$10,4)="ROJO","RED",IF(LEFT(Control!$C$10,8)="AMARILLO","AMBER","GREEN"))</f>
        <v>RED</v>
      </c>
      <c r="Q145" s="193">
        <f>IF(AND(ISNUMBER(MATCH(F145,Datos!$D$3:$AL$3,0)),F145&lt;=RPT_MONTH),1,0)</f>
        <v>1</v>
      </c>
      <c r="R145" s="193" t="str">
        <f t="shared" si="17"/>
        <v>MISSING</v>
      </c>
    </row>
    <row r="146" spans="1:18" ht="13.5" customHeight="1" x14ac:dyDescent="0.3">
      <c r="A146" t="s">
        <v>1116</v>
      </c>
      <c r="B146" t="s">
        <v>1122</v>
      </c>
      <c r="C146" t="s">
        <v>1123</v>
      </c>
      <c r="D146">
        <v>3</v>
      </c>
      <c r="E146">
        <v>1</v>
      </c>
      <c r="F146" s="258">
        <f>DATE(YEAR(RPT_MONTH),MONTH(RPT_MONTH)-11,1)</f>
        <v>45962</v>
      </c>
      <c r="G146" s="193" t="str">
        <f t="shared" si="13"/>
        <v>Nov-25</v>
      </c>
      <c r="H146" s="193" t="str">
        <f>IFERROR(1*INDEX(BD_KPIs!$F$2:$F$1300,MATCH(YEAR(F146)*100+MONTH(F146)&amp;"|ICCS|Monthly",BD_KPIs!$Q$2:$Q$1300,0)),"")</f>
        <v/>
      </c>
      <c r="I146" s="193">
        <f>IF(ISNUMBER(INDEX(_TARGETS!$G$2:$G$17,MATCH("ICCS",_TARGETS!$A$2:$A$17,0))),INDEX(_TARGETS!$G$2:$G$17,MATCH("ICCS",_TARGETS!$A$2:$A$17,0)),"")</f>
        <v>1</v>
      </c>
      <c r="J146" t="s">
        <v>1119</v>
      </c>
      <c r="K146" t="s">
        <v>1093</v>
      </c>
      <c r="L146" s="193" t="str">
        <f t="shared" si="14"/>
        <v>NO_DATA</v>
      </c>
      <c r="M146" s="193" t="str">
        <f t="shared" si="15"/>
        <v>Monthly</v>
      </c>
      <c r="N146" s="193" t="str">
        <f>IF(NOT(ISNUMBER(H146)),"NO_DATA",IF(NOT(ISNUMBER(I146)),"MONITOR",IF(INDEX(_TARGETS!$E$2:$E$17,MATCH("ICCS",_TARGETS!$A$2:$A$17,0))="≤",IF(H146&lt;=I146,"ON_TARGET","OFF_TARGET"),IF(H146&gt;=I146,"ON_TARGET","OFF_TARGET"))))</f>
        <v>NO_DATA</v>
      </c>
      <c r="O146" s="193" t="str">
        <f t="shared" si="16"/>
        <v>Compressor Plant</v>
      </c>
      <c r="P146" s="193" t="str">
        <f ca="1">IF(LEFT(Control!$C$10,4)="ROJO","RED",IF(LEFT(Control!$C$10,8)="AMARILLO","AMBER","GREEN"))</f>
        <v>RED</v>
      </c>
      <c r="Q146" s="193">
        <f>IF(AND(ISNUMBER(MATCH(F146,Datos!$D$3:$AL$3,0)),F146&lt;=RPT_MONTH),1,0)</f>
        <v>0</v>
      </c>
      <c r="R146" s="193" t="str">
        <f t="shared" si="17"/>
        <v>OUT_OF_SCOPE</v>
      </c>
    </row>
    <row r="147" spans="1:18" ht="13.5" customHeight="1" x14ac:dyDescent="0.3">
      <c r="A147" t="s">
        <v>1116</v>
      </c>
      <c r="B147" t="s">
        <v>1122</v>
      </c>
      <c r="C147" t="s">
        <v>1123</v>
      </c>
      <c r="D147">
        <v>3</v>
      </c>
      <c r="E147">
        <v>2</v>
      </c>
      <c r="F147" s="258">
        <f>DATE(YEAR(RPT_MONTH),MONTH(RPT_MONTH)-10,1)</f>
        <v>45992</v>
      </c>
      <c r="G147" s="193" t="str">
        <f t="shared" si="13"/>
        <v>Dec-25</v>
      </c>
      <c r="H147" s="193" t="str">
        <f>IFERROR(1*INDEX(BD_KPIs!$F$2:$F$1300,MATCH(YEAR(F147)*100+MONTH(F147)&amp;"|ICCS|Monthly",BD_KPIs!$Q$2:$Q$1300,0)),"")</f>
        <v/>
      </c>
      <c r="I147" s="193">
        <f>IF(ISNUMBER(INDEX(_TARGETS!$G$2:$G$17,MATCH("ICCS",_TARGETS!$A$2:$A$17,0))),INDEX(_TARGETS!$G$2:$G$17,MATCH("ICCS",_TARGETS!$A$2:$A$17,0)),"")</f>
        <v>1</v>
      </c>
      <c r="J147" t="s">
        <v>1119</v>
      </c>
      <c r="K147" t="s">
        <v>1093</v>
      </c>
      <c r="L147" s="193" t="str">
        <f t="shared" si="14"/>
        <v>NO_DATA</v>
      </c>
      <c r="M147" s="193" t="str">
        <f t="shared" si="15"/>
        <v>Monthly</v>
      </c>
      <c r="N147" s="193" t="str">
        <f>IF(NOT(ISNUMBER(H147)),"NO_DATA",IF(NOT(ISNUMBER(I147)),"MONITOR",IF(INDEX(_TARGETS!$E$2:$E$17,MATCH("ICCS",_TARGETS!$A$2:$A$17,0))="≤",IF(H147&lt;=I147,"ON_TARGET","OFF_TARGET"),IF(H147&gt;=I147,"ON_TARGET","OFF_TARGET"))))</f>
        <v>NO_DATA</v>
      </c>
      <c r="O147" s="193" t="str">
        <f t="shared" si="16"/>
        <v>Compressor Plant</v>
      </c>
      <c r="P147" s="193" t="str">
        <f ca="1">IF(LEFT(Control!$C$10,4)="ROJO","RED",IF(LEFT(Control!$C$10,8)="AMARILLO","AMBER","GREEN"))</f>
        <v>RED</v>
      </c>
      <c r="Q147" s="193">
        <f>IF(AND(ISNUMBER(MATCH(F147,Datos!$D$3:$AL$3,0)),F147&lt;=RPT_MONTH),1,0)</f>
        <v>0</v>
      </c>
      <c r="R147" s="193" t="str">
        <f t="shared" si="17"/>
        <v>OUT_OF_SCOPE</v>
      </c>
    </row>
    <row r="148" spans="1:18" ht="13.5" customHeight="1" x14ac:dyDescent="0.3">
      <c r="A148" t="s">
        <v>1116</v>
      </c>
      <c r="B148" t="s">
        <v>1122</v>
      </c>
      <c r="C148" t="s">
        <v>1123</v>
      </c>
      <c r="D148">
        <v>3</v>
      </c>
      <c r="E148">
        <v>3</v>
      </c>
      <c r="F148" s="258">
        <f>DATE(YEAR(RPT_MONTH),MONTH(RPT_MONTH)-9,1)</f>
        <v>46023</v>
      </c>
      <c r="G148" s="193" t="str">
        <f t="shared" si="13"/>
        <v>Jan-26</v>
      </c>
      <c r="H148" s="193" t="str">
        <f>IFERROR(1*INDEX(BD_KPIs!$F$2:$F$1300,MATCH(YEAR(F148)*100+MONTH(F148)&amp;"|ICCS|Monthly",BD_KPIs!$Q$2:$Q$1300,0)),"")</f>
        <v/>
      </c>
      <c r="I148" s="193">
        <f>IF(ISNUMBER(INDEX(_TARGETS!$G$2:$G$17,MATCH("ICCS",_TARGETS!$A$2:$A$17,0))),INDEX(_TARGETS!$G$2:$G$17,MATCH("ICCS",_TARGETS!$A$2:$A$17,0)),"")</f>
        <v>1</v>
      </c>
      <c r="J148" t="s">
        <v>1119</v>
      </c>
      <c r="K148" t="s">
        <v>1093</v>
      </c>
      <c r="L148" s="193" t="str">
        <f t="shared" si="14"/>
        <v>NO_DATA</v>
      </c>
      <c r="M148" s="193" t="str">
        <f t="shared" si="15"/>
        <v>Monthly</v>
      </c>
      <c r="N148" s="193" t="str">
        <f>IF(NOT(ISNUMBER(H148)),"NO_DATA",IF(NOT(ISNUMBER(I148)),"MONITOR",IF(INDEX(_TARGETS!$E$2:$E$17,MATCH("ICCS",_TARGETS!$A$2:$A$17,0))="≤",IF(H148&lt;=I148,"ON_TARGET","OFF_TARGET"),IF(H148&gt;=I148,"ON_TARGET","OFF_TARGET"))))</f>
        <v>NO_DATA</v>
      </c>
      <c r="O148" s="193" t="str">
        <f t="shared" si="16"/>
        <v>Compressor Plant</v>
      </c>
      <c r="P148" s="193" t="str">
        <f ca="1">IF(LEFT(Control!$C$10,4)="ROJO","RED",IF(LEFT(Control!$C$10,8)="AMARILLO","AMBER","GREEN"))</f>
        <v>RED</v>
      </c>
      <c r="Q148" s="193">
        <f>IF(AND(ISNUMBER(MATCH(F148,Datos!$D$3:$AL$3,0)),F148&lt;=RPT_MONTH),1,0)</f>
        <v>0</v>
      </c>
      <c r="R148" s="193" t="str">
        <f t="shared" si="17"/>
        <v>OUT_OF_SCOPE</v>
      </c>
    </row>
    <row r="149" spans="1:18" ht="13.5" customHeight="1" x14ac:dyDescent="0.3">
      <c r="A149" t="s">
        <v>1116</v>
      </c>
      <c r="B149" t="s">
        <v>1122</v>
      </c>
      <c r="C149" t="s">
        <v>1123</v>
      </c>
      <c r="D149">
        <v>3</v>
      </c>
      <c r="E149">
        <v>4</v>
      </c>
      <c r="F149" s="258">
        <f>DATE(YEAR(RPT_MONTH),MONTH(RPT_MONTH)-8,1)</f>
        <v>46054</v>
      </c>
      <c r="G149" s="193" t="str">
        <f t="shared" si="13"/>
        <v>Feb-26</v>
      </c>
      <c r="H149" s="193" t="str">
        <f>IFERROR(1*INDEX(BD_KPIs!$F$2:$F$1300,MATCH(YEAR(F149)*100+MONTH(F149)&amp;"|ICCS|Monthly",BD_KPIs!$Q$2:$Q$1300,0)),"")</f>
        <v/>
      </c>
      <c r="I149" s="193">
        <f>IF(ISNUMBER(INDEX(_TARGETS!$G$2:$G$17,MATCH("ICCS",_TARGETS!$A$2:$A$17,0))),INDEX(_TARGETS!$G$2:$G$17,MATCH("ICCS",_TARGETS!$A$2:$A$17,0)),"")</f>
        <v>1</v>
      </c>
      <c r="J149" t="s">
        <v>1119</v>
      </c>
      <c r="K149" t="s">
        <v>1093</v>
      </c>
      <c r="L149" s="193" t="str">
        <f t="shared" si="14"/>
        <v>NO_DATA</v>
      </c>
      <c r="M149" s="193" t="str">
        <f t="shared" si="15"/>
        <v>Monthly</v>
      </c>
      <c r="N149" s="193" t="str">
        <f>IF(NOT(ISNUMBER(H149)),"NO_DATA",IF(NOT(ISNUMBER(I149)),"MONITOR",IF(INDEX(_TARGETS!$E$2:$E$17,MATCH("ICCS",_TARGETS!$A$2:$A$17,0))="≤",IF(H149&lt;=I149,"ON_TARGET","OFF_TARGET"),IF(H149&gt;=I149,"ON_TARGET","OFF_TARGET"))))</f>
        <v>NO_DATA</v>
      </c>
      <c r="O149" s="193" t="str">
        <f t="shared" si="16"/>
        <v>Compressor Plant</v>
      </c>
      <c r="P149" s="193" t="str">
        <f ca="1">IF(LEFT(Control!$C$10,4)="ROJO","RED",IF(LEFT(Control!$C$10,8)="AMARILLO","AMBER","GREEN"))</f>
        <v>RED</v>
      </c>
      <c r="Q149" s="193">
        <f>IF(AND(ISNUMBER(MATCH(F149,Datos!$D$3:$AL$3,0)),F149&lt;=RPT_MONTH),1,0)</f>
        <v>0</v>
      </c>
      <c r="R149" s="193" t="str">
        <f t="shared" si="17"/>
        <v>OUT_OF_SCOPE</v>
      </c>
    </row>
    <row r="150" spans="1:18" ht="13.5" customHeight="1" x14ac:dyDescent="0.3">
      <c r="A150" t="s">
        <v>1116</v>
      </c>
      <c r="B150" t="s">
        <v>1122</v>
      </c>
      <c r="C150" t="s">
        <v>1123</v>
      </c>
      <c r="D150">
        <v>3</v>
      </c>
      <c r="E150">
        <v>5</v>
      </c>
      <c r="F150" s="258">
        <f>DATE(YEAR(RPT_MONTH),MONTH(RPT_MONTH)-7,1)</f>
        <v>46082</v>
      </c>
      <c r="G150" s="193" t="str">
        <f t="shared" si="13"/>
        <v>Mar-26</v>
      </c>
      <c r="H150" s="193" t="str">
        <f>IFERROR(1*INDEX(BD_KPIs!$F$2:$F$1300,MATCH(YEAR(F150)*100+MONTH(F150)&amp;"|ICCS|Monthly",BD_KPIs!$Q$2:$Q$1300,0)),"")</f>
        <v/>
      </c>
      <c r="I150" s="193">
        <f>IF(ISNUMBER(INDEX(_TARGETS!$G$2:$G$17,MATCH("ICCS",_TARGETS!$A$2:$A$17,0))),INDEX(_TARGETS!$G$2:$G$17,MATCH("ICCS",_TARGETS!$A$2:$A$17,0)),"")</f>
        <v>1</v>
      </c>
      <c r="J150" t="s">
        <v>1119</v>
      </c>
      <c r="K150" t="s">
        <v>1093</v>
      </c>
      <c r="L150" s="193" t="str">
        <f t="shared" si="14"/>
        <v>NO_DATA</v>
      </c>
      <c r="M150" s="193" t="str">
        <f t="shared" si="15"/>
        <v>Monthly</v>
      </c>
      <c r="N150" s="193" t="str">
        <f>IF(NOT(ISNUMBER(H150)),"NO_DATA",IF(NOT(ISNUMBER(I150)),"MONITOR",IF(INDEX(_TARGETS!$E$2:$E$17,MATCH("ICCS",_TARGETS!$A$2:$A$17,0))="≤",IF(H150&lt;=I150,"ON_TARGET","OFF_TARGET"),IF(H150&gt;=I150,"ON_TARGET","OFF_TARGET"))))</f>
        <v>NO_DATA</v>
      </c>
      <c r="O150" s="193" t="str">
        <f t="shared" si="16"/>
        <v>Compressor Plant</v>
      </c>
      <c r="P150" s="193" t="str">
        <f ca="1">IF(LEFT(Control!$C$10,4)="ROJO","RED",IF(LEFT(Control!$C$10,8)="AMARILLO","AMBER","GREEN"))</f>
        <v>RED</v>
      </c>
      <c r="Q150" s="193">
        <f>IF(AND(ISNUMBER(MATCH(F150,Datos!$D$3:$AL$3,0)),F150&lt;=RPT_MONTH),1,0)</f>
        <v>0</v>
      </c>
      <c r="R150" s="193" t="str">
        <f t="shared" si="17"/>
        <v>OUT_OF_SCOPE</v>
      </c>
    </row>
    <row r="151" spans="1:18" ht="13.5" customHeight="1" x14ac:dyDescent="0.3">
      <c r="A151" t="s">
        <v>1116</v>
      </c>
      <c r="B151" t="s">
        <v>1122</v>
      </c>
      <c r="C151" t="s">
        <v>1123</v>
      </c>
      <c r="D151">
        <v>3</v>
      </c>
      <c r="E151">
        <v>6</v>
      </c>
      <c r="F151" s="258">
        <f>DATE(YEAR(RPT_MONTH),MONTH(RPT_MONTH)-6,1)</f>
        <v>46113</v>
      </c>
      <c r="G151" s="193" t="str">
        <f t="shared" si="13"/>
        <v>Apr-26</v>
      </c>
      <c r="H151" s="193" t="str">
        <f>IFERROR(1*INDEX(BD_KPIs!$F$2:$F$1300,MATCH(YEAR(F151)*100+MONTH(F151)&amp;"|ICCS|Monthly",BD_KPIs!$Q$2:$Q$1300,0)),"")</f>
        <v/>
      </c>
      <c r="I151" s="193">
        <f>IF(ISNUMBER(INDEX(_TARGETS!$G$2:$G$17,MATCH("ICCS",_TARGETS!$A$2:$A$17,0))),INDEX(_TARGETS!$G$2:$G$17,MATCH("ICCS",_TARGETS!$A$2:$A$17,0)),"")</f>
        <v>1</v>
      </c>
      <c r="J151" t="s">
        <v>1119</v>
      </c>
      <c r="K151" t="s">
        <v>1093</v>
      </c>
      <c r="L151" s="193" t="str">
        <f t="shared" si="14"/>
        <v>NO_DATA</v>
      </c>
      <c r="M151" s="193" t="str">
        <f t="shared" si="15"/>
        <v>Monthly</v>
      </c>
      <c r="N151" s="193" t="str">
        <f>IF(NOT(ISNUMBER(H151)),"NO_DATA",IF(NOT(ISNUMBER(I151)),"MONITOR",IF(INDEX(_TARGETS!$E$2:$E$17,MATCH("ICCS",_TARGETS!$A$2:$A$17,0))="≤",IF(H151&lt;=I151,"ON_TARGET","OFF_TARGET"),IF(H151&gt;=I151,"ON_TARGET","OFF_TARGET"))))</f>
        <v>NO_DATA</v>
      </c>
      <c r="O151" s="193" t="str">
        <f t="shared" si="16"/>
        <v>Compressor Plant</v>
      </c>
      <c r="P151" s="193" t="str">
        <f ca="1">IF(LEFT(Control!$C$10,4)="ROJO","RED",IF(LEFT(Control!$C$10,8)="AMARILLO","AMBER","GREEN"))</f>
        <v>RED</v>
      </c>
      <c r="Q151" s="193">
        <f>IF(AND(ISNUMBER(MATCH(F151,Datos!$D$3:$AL$3,0)),F151&lt;=RPT_MONTH),1,0)</f>
        <v>0</v>
      </c>
      <c r="R151" s="193" t="str">
        <f t="shared" si="17"/>
        <v>OUT_OF_SCOPE</v>
      </c>
    </row>
    <row r="152" spans="1:18" ht="13.5" customHeight="1" x14ac:dyDescent="0.3">
      <c r="A152" t="s">
        <v>1116</v>
      </c>
      <c r="B152" t="s">
        <v>1122</v>
      </c>
      <c r="C152" t="s">
        <v>1123</v>
      </c>
      <c r="D152">
        <v>3</v>
      </c>
      <c r="E152">
        <v>7</v>
      </c>
      <c r="F152" s="258">
        <f>DATE(YEAR(RPT_MONTH),MONTH(RPT_MONTH)-5,1)</f>
        <v>46143</v>
      </c>
      <c r="G152" s="193" t="str">
        <f t="shared" si="13"/>
        <v>May-26</v>
      </c>
      <c r="H152" s="193" t="str">
        <f>IFERROR(1*INDEX(BD_KPIs!$F$2:$F$1300,MATCH(YEAR(F152)*100+MONTH(F152)&amp;"|ICCS|Monthly",BD_KPIs!$Q$2:$Q$1300,0)),"")</f>
        <v/>
      </c>
      <c r="I152" s="193">
        <f>IF(ISNUMBER(INDEX(_TARGETS!$G$2:$G$17,MATCH("ICCS",_TARGETS!$A$2:$A$17,0))),INDEX(_TARGETS!$G$2:$G$17,MATCH("ICCS",_TARGETS!$A$2:$A$17,0)),"")</f>
        <v>1</v>
      </c>
      <c r="J152" t="s">
        <v>1119</v>
      </c>
      <c r="K152" t="s">
        <v>1093</v>
      </c>
      <c r="L152" s="193" t="str">
        <f t="shared" si="14"/>
        <v>NO_DATA</v>
      </c>
      <c r="M152" s="193" t="str">
        <f t="shared" si="15"/>
        <v>Monthly</v>
      </c>
      <c r="N152" s="193" t="str">
        <f>IF(NOT(ISNUMBER(H152)),"NO_DATA",IF(NOT(ISNUMBER(I152)),"MONITOR",IF(INDEX(_TARGETS!$E$2:$E$17,MATCH("ICCS",_TARGETS!$A$2:$A$17,0))="≤",IF(H152&lt;=I152,"ON_TARGET","OFF_TARGET"),IF(H152&gt;=I152,"ON_TARGET","OFF_TARGET"))))</f>
        <v>NO_DATA</v>
      </c>
      <c r="O152" s="193" t="str">
        <f t="shared" si="16"/>
        <v>Compressor Plant</v>
      </c>
      <c r="P152" s="193" t="str">
        <f ca="1">IF(LEFT(Control!$C$10,4)="ROJO","RED",IF(LEFT(Control!$C$10,8)="AMARILLO","AMBER","GREEN"))</f>
        <v>RED</v>
      </c>
      <c r="Q152" s="193">
        <f>IF(AND(ISNUMBER(MATCH(F152,Datos!$D$3:$AL$3,0)),F152&lt;=RPT_MONTH),1,0)</f>
        <v>0</v>
      </c>
      <c r="R152" s="193" t="str">
        <f t="shared" si="17"/>
        <v>OUT_OF_SCOPE</v>
      </c>
    </row>
    <row r="153" spans="1:18" ht="13.5" customHeight="1" x14ac:dyDescent="0.3">
      <c r="A153" t="s">
        <v>1116</v>
      </c>
      <c r="B153" t="s">
        <v>1122</v>
      </c>
      <c r="C153" t="s">
        <v>1123</v>
      </c>
      <c r="D153">
        <v>3</v>
      </c>
      <c r="E153">
        <v>8</v>
      </c>
      <c r="F153" s="258">
        <f>DATE(YEAR(RPT_MONTH),MONTH(RPT_MONTH)-4,1)</f>
        <v>46174</v>
      </c>
      <c r="G153" s="193" t="str">
        <f t="shared" si="13"/>
        <v>Jun-26</v>
      </c>
      <c r="H153" s="193" t="str">
        <f>IFERROR(1*INDEX(BD_KPIs!$F$2:$F$1300,MATCH(YEAR(F153)*100+MONTH(F153)&amp;"|ICCS|Monthly",BD_KPIs!$Q$2:$Q$1300,0)),"")</f>
        <v/>
      </c>
      <c r="I153" s="193">
        <f>IF(ISNUMBER(INDEX(_TARGETS!$G$2:$G$17,MATCH("ICCS",_TARGETS!$A$2:$A$17,0))),INDEX(_TARGETS!$G$2:$G$17,MATCH("ICCS",_TARGETS!$A$2:$A$17,0)),"")</f>
        <v>1</v>
      </c>
      <c r="J153" t="s">
        <v>1119</v>
      </c>
      <c r="K153" t="s">
        <v>1093</v>
      </c>
      <c r="L153" s="193" t="str">
        <f t="shared" si="14"/>
        <v>NO_DATA</v>
      </c>
      <c r="M153" s="193" t="str">
        <f t="shared" si="15"/>
        <v>Monthly</v>
      </c>
      <c r="N153" s="193" t="str">
        <f>IF(NOT(ISNUMBER(H153)),"NO_DATA",IF(NOT(ISNUMBER(I153)),"MONITOR",IF(INDEX(_TARGETS!$E$2:$E$17,MATCH("ICCS",_TARGETS!$A$2:$A$17,0))="≤",IF(H153&lt;=I153,"ON_TARGET","OFF_TARGET"),IF(H153&gt;=I153,"ON_TARGET","OFF_TARGET"))))</f>
        <v>NO_DATA</v>
      </c>
      <c r="O153" s="193" t="str">
        <f t="shared" si="16"/>
        <v>Compressor Plant</v>
      </c>
      <c r="P153" s="193" t="str">
        <f ca="1">IF(LEFT(Control!$C$10,4)="ROJO","RED",IF(LEFT(Control!$C$10,8)="AMARILLO","AMBER","GREEN"))</f>
        <v>RED</v>
      </c>
      <c r="Q153" s="193">
        <f>IF(AND(ISNUMBER(MATCH(F153,Datos!$D$3:$AL$3,0)),F153&lt;=RPT_MONTH),1,0)</f>
        <v>0</v>
      </c>
      <c r="R153" s="193" t="str">
        <f t="shared" si="17"/>
        <v>OUT_OF_SCOPE</v>
      </c>
    </row>
    <row r="154" spans="1:18" ht="13.5" customHeight="1" x14ac:dyDescent="0.3">
      <c r="A154" t="s">
        <v>1116</v>
      </c>
      <c r="B154" t="s">
        <v>1122</v>
      </c>
      <c r="C154" t="s">
        <v>1123</v>
      </c>
      <c r="D154">
        <v>3</v>
      </c>
      <c r="E154">
        <v>9</v>
      </c>
      <c r="F154" s="258">
        <f>DATE(YEAR(RPT_MONTH),MONTH(RPT_MONTH)-3,1)</f>
        <v>46204</v>
      </c>
      <c r="G154" s="193" t="str">
        <f t="shared" si="13"/>
        <v>Jul-26</v>
      </c>
      <c r="H154" s="193" t="str">
        <f>IFERROR(1*INDEX(BD_KPIs!$F$2:$F$1300,MATCH(YEAR(F154)*100+MONTH(F154)&amp;"|ICCS|Monthly",BD_KPIs!$Q$2:$Q$1300,0)),"")</f>
        <v/>
      </c>
      <c r="I154" s="193">
        <f>IF(ISNUMBER(INDEX(_TARGETS!$G$2:$G$17,MATCH("ICCS",_TARGETS!$A$2:$A$17,0))),INDEX(_TARGETS!$G$2:$G$17,MATCH("ICCS",_TARGETS!$A$2:$A$17,0)),"")</f>
        <v>1</v>
      </c>
      <c r="J154" t="s">
        <v>1119</v>
      </c>
      <c r="K154" t="s">
        <v>1093</v>
      </c>
      <c r="L154" s="193" t="str">
        <f t="shared" si="14"/>
        <v>NO_DATA</v>
      </c>
      <c r="M154" s="193" t="str">
        <f t="shared" si="15"/>
        <v>Monthly</v>
      </c>
      <c r="N154" s="193" t="str">
        <f>IF(NOT(ISNUMBER(H154)),"NO_DATA",IF(NOT(ISNUMBER(I154)),"MONITOR",IF(INDEX(_TARGETS!$E$2:$E$17,MATCH("ICCS",_TARGETS!$A$2:$A$17,0))="≤",IF(H154&lt;=I154,"ON_TARGET","OFF_TARGET"),IF(H154&gt;=I154,"ON_TARGET","OFF_TARGET"))))</f>
        <v>NO_DATA</v>
      </c>
      <c r="O154" s="193" t="str">
        <f t="shared" si="16"/>
        <v>Compressor Plant</v>
      </c>
      <c r="P154" s="193" t="str">
        <f ca="1">IF(LEFT(Control!$C$10,4)="ROJO","RED",IF(LEFT(Control!$C$10,8)="AMARILLO","AMBER","GREEN"))</f>
        <v>RED</v>
      </c>
      <c r="Q154" s="193">
        <f>IF(AND(ISNUMBER(MATCH(F154,Datos!$D$3:$AL$3,0)),F154&lt;=RPT_MONTH),1,0)</f>
        <v>0</v>
      </c>
      <c r="R154" s="193" t="str">
        <f t="shared" si="17"/>
        <v>OUT_OF_SCOPE</v>
      </c>
    </row>
    <row r="155" spans="1:18" ht="13.5" customHeight="1" x14ac:dyDescent="0.3">
      <c r="A155" t="s">
        <v>1116</v>
      </c>
      <c r="B155" t="s">
        <v>1122</v>
      </c>
      <c r="C155" t="s">
        <v>1123</v>
      </c>
      <c r="D155">
        <v>3</v>
      </c>
      <c r="E155">
        <v>10</v>
      </c>
      <c r="F155" s="258">
        <f>DATE(YEAR(RPT_MONTH),MONTH(RPT_MONTH)-2,1)</f>
        <v>46235</v>
      </c>
      <c r="G155" s="193" t="str">
        <f t="shared" si="13"/>
        <v>Aug-26</v>
      </c>
      <c r="H155" s="193" t="str">
        <f>IFERROR(1*INDEX(BD_KPIs!$F$2:$F$1300,MATCH(YEAR(F155)*100+MONTH(F155)&amp;"|ICCS|Monthly",BD_KPIs!$Q$2:$Q$1300,0)),"")</f>
        <v/>
      </c>
      <c r="I155" s="193">
        <f>IF(ISNUMBER(INDEX(_TARGETS!$G$2:$G$17,MATCH("ICCS",_TARGETS!$A$2:$A$17,0))),INDEX(_TARGETS!$G$2:$G$17,MATCH("ICCS",_TARGETS!$A$2:$A$17,0)),"")</f>
        <v>1</v>
      </c>
      <c r="J155" t="s">
        <v>1119</v>
      </c>
      <c r="K155" t="s">
        <v>1093</v>
      </c>
      <c r="L155" s="193" t="str">
        <f t="shared" si="14"/>
        <v>NO_DATA</v>
      </c>
      <c r="M155" s="193" t="str">
        <f t="shared" si="15"/>
        <v>Monthly</v>
      </c>
      <c r="N155" s="193" t="str">
        <f>IF(NOT(ISNUMBER(H155)),"NO_DATA",IF(NOT(ISNUMBER(I155)),"MONITOR",IF(INDEX(_TARGETS!$E$2:$E$17,MATCH("ICCS",_TARGETS!$A$2:$A$17,0))="≤",IF(H155&lt;=I155,"ON_TARGET","OFF_TARGET"),IF(H155&gt;=I155,"ON_TARGET","OFF_TARGET"))))</f>
        <v>NO_DATA</v>
      </c>
      <c r="O155" s="193" t="str">
        <f t="shared" si="16"/>
        <v>Compressor Plant</v>
      </c>
      <c r="P155" s="193" t="str">
        <f ca="1">IF(LEFT(Control!$C$10,4)="ROJO","RED",IF(LEFT(Control!$C$10,8)="AMARILLO","AMBER","GREEN"))</f>
        <v>RED</v>
      </c>
      <c r="Q155" s="193">
        <f>IF(AND(ISNUMBER(MATCH(F155,Datos!$D$3:$AL$3,0)),F155&lt;=RPT_MONTH),1,0)</f>
        <v>1</v>
      </c>
      <c r="R155" s="193" t="str">
        <f t="shared" si="17"/>
        <v>MISSING</v>
      </c>
    </row>
    <row r="156" spans="1:18" ht="13.5" customHeight="1" x14ac:dyDescent="0.3">
      <c r="A156" t="s">
        <v>1116</v>
      </c>
      <c r="B156" t="s">
        <v>1122</v>
      </c>
      <c r="C156" t="s">
        <v>1123</v>
      </c>
      <c r="D156">
        <v>3</v>
      </c>
      <c r="E156">
        <v>11</v>
      </c>
      <c r="F156" s="258">
        <f>DATE(YEAR(RPT_MONTH),MONTH(RPT_MONTH)-1,1)</f>
        <v>46266</v>
      </c>
      <c r="G156" s="193" t="str">
        <f t="shared" si="13"/>
        <v>Sep-26</v>
      </c>
      <c r="H156" s="193">
        <f>IFERROR(1*INDEX(BD_KPIs!$F$2:$F$1300,MATCH(YEAR(F156)*100+MONTH(F156)&amp;"|ICCS|Monthly",BD_KPIs!$Q$2:$Q$1300,0)),"")</f>
        <v>1</v>
      </c>
      <c r="I156" s="193">
        <f>IF(ISNUMBER(INDEX(_TARGETS!$G$2:$G$17,MATCH("ICCS",_TARGETS!$A$2:$A$17,0))),INDEX(_TARGETS!$G$2:$G$17,MATCH("ICCS",_TARGETS!$A$2:$A$17,0)),"")</f>
        <v>1</v>
      </c>
      <c r="J156" t="s">
        <v>1119</v>
      </c>
      <c r="K156" t="s">
        <v>1093</v>
      </c>
      <c r="L156" s="193" t="str">
        <f t="shared" si="14"/>
        <v>OK</v>
      </c>
      <c r="M156" s="193" t="str">
        <f t="shared" si="15"/>
        <v>Monthly</v>
      </c>
      <c r="N156" s="193" t="str">
        <f>IF(NOT(ISNUMBER(H156)),"NO_DATA",IF(NOT(ISNUMBER(I156)),"MONITOR",IF(INDEX(_TARGETS!$E$2:$E$17,MATCH("ICCS",_TARGETS!$A$2:$A$17,0))="≤",IF(H156&lt;=I156,"ON_TARGET","OFF_TARGET"),IF(H156&gt;=I156,"ON_TARGET","OFF_TARGET"))))</f>
        <v>ON_TARGET</v>
      </c>
      <c r="O156" s="193" t="str">
        <f t="shared" si="16"/>
        <v>Compressor Plant</v>
      </c>
      <c r="P156" s="193" t="str">
        <f ca="1">IF(LEFT(Control!$C$10,4)="ROJO","RED",IF(LEFT(Control!$C$10,8)="AMARILLO","AMBER","GREEN"))</f>
        <v>RED</v>
      </c>
      <c r="Q156" s="193">
        <f>IF(AND(ISNUMBER(MATCH(F156,Datos!$D$3:$AL$3,0)),F156&lt;=RPT_MONTH),1,0)</f>
        <v>1</v>
      </c>
      <c r="R156" s="193" t="str">
        <f t="shared" si="17"/>
        <v>OK</v>
      </c>
    </row>
    <row r="157" spans="1:18" ht="13.5" customHeight="1" x14ac:dyDescent="0.3">
      <c r="A157" t="s">
        <v>1116</v>
      </c>
      <c r="B157" t="s">
        <v>1122</v>
      </c>
      <c r="C157" t="s">
        <v>1123</v>
      </c>
      <c r="D157">
        <v>3</v>
      </c>
      <c r="E157">
        <v>12</v>
      </c>
      <c r="F157" s="258">
        <f>DATE(YEAR(RPT_MONTH),MONTH(RPT_MONTH)-0,1)</f>
        <v>46296</v>
      </c>
      <c r="G157" s="193" t="str">
        <f t="shared" si="13"/>
        <v>Oct-26</v>
      </c>
      <c r="H157" s="193" t="str">
        <f>IFERROR(1*INDEX(BD_KPIs!$F$2:$F$1300,MATCH(YEAR(F157)*100+MONTH(F157)&amp;"|ICCS|Monthly",BD_KPIs!$Q$2:$Q$1300,0)),"")</f>
        <v/>
      </c>
      <c r="I157" s="193">
        <f>IF(ISNUMBER(INDEX(_TARGETS!$G$2:$G$17,MATCH("ICCS",_TARGETS!$A$2:$A$17,0))),INDEX(_TARGETS!$G$2:$G$17,MATCH("ICCS",_TARGETS!$A$2:$A$17,0)),"")</f>
        <v>1</v>
      </c>
      <c r="J157" t="s">
        <v>1119</v>
      </c>
      <c r="K157" t="s">
        <v>1093</v>
      </c>
      <c r="L157" s="193" t="str">
        <f t="shared" si="14"/>
        <v>NO_DATA</v>
      </c>
      <c r="M157" s="193" t="str">
        <f t="shared" si="15"/>
        <v>Monthly</v>
      </c>
      <c r="N157" s="193" t="str">
        <f>IF(NOT(ISNUMBER(H157)),"NO_DATA",IF(NOT(ISNUMBER(I157)),"MONITOR",IF(INDEX(_TARGETS!$E$2:$E$17,MATCH("ICCS",_TARGETS!$A$2:$A$17,0))="≤",IF(H157&lt;=I157,"ON_TARGET","OFF_TARGET"),IF(H157&gt;=I157,"ON_TARGET","OFF_TARGET"))))</f>
        <v>NO_DATA</v>
      </c>
      <c r="O157" s="193" t="str">
        <f t="shared" si="16"/>
        <v>Compressor Plant</v>
      </c>
      <c r="P157" s="193" t="str">
        <f ca="1">IF(LEFT(Control!$C$10,4)="ROJO","RED",IF(LEFT(Control!$C$10,8)="AMARILLO","AMBER","GREEN"))</f>
        <v>RED</v>
      </c>
      <c r="Q157" s="193">
        <f>IF(AND(ISNUMBER(MATCH(F157,Datos!$D$3:$AL$3,0)),F157&lt;=RPT_MONTH),1,0)</f>
        <v>1</v>
      </c>
      <c r="R157" s="193" t="str">
        <f t="shared" si="17"/>
        <v>MISSING</v>
      </c>
    </row>
    <row r="158" spans="1:18" ht="13.5" customHeight="1" x14ac:dyDescent="0.3">
      <c r="A158" t="s">
        <v>1116</v>
      </c>
      <c r="B158" t="s">
        <v>1124</v>
      </c>
      <c r="C158" t="s">
        <v>1125</v>
      </c>
      <c r="D158">
        <v>4</v>
      </c>
      <c r="E158">
        <v>1</v>
      </c>
      <c r="F158" s="258">
        <f>DATE(YEAR(RPT_MONTH),MONTH(RPT_MONTH)-11,1)</f>
        <v>45962</v>
      </c>
      <c r="G158" s="193" t="str">
        <f t="shared" si="13"/>
        <v>Nov-25</v>
      </c>
      <c r="H158" s="193" t="str">
        <f>IFERROR(1*INDEX(BD_KPIs!$F$2:$F$1300,MATCH(YEAR(F158)*100+MONTH(F158)&amp;"|CCS|Monthly",BD_KPIs!$Q$2:$Q$1300,0)),"")</f>
        <v/>
      </c>
      <c r="I158" s="193">
        <f>IF(ISNUMBER(INDEX(_TARGETS!$G$2:$G$17,MATCH("CCS",_TARGETS!$A$2:$A$17,0))),INDEX(_TARGETS!$G$2:$G$17,MATCH("CCS",_TARGETS!$A$2:$A$17,0)),"")</f>
        <v>1</v>
      </c>
      <c r="J158" t="s">
        <v>1119</v>
      </c>
      <c r="K158" t="s">
        <v>1093</v>
      </c>
      <c r="L158" s="193" t="str">
        <f t="shared" si="14"/>
        <v>NO_DATA</v>
      </c>
      <c r="M158" s="193" t="str">
        <f t="shared" si="15"/>
        <v>Monthly</v>
      </c>
      <c r="N158" s="193" t="str">
        <f>IF(NOT(ISNUMBER(H158)),"NO_DATA",IF(NOT(ISNUMBER(I158)),"MONITOR",IF(INDEX(_TARGETS!$E$2:$E$17,MATCH("CCS",_TARGETS!$A$2:$A$17,0))="≤",IF(H158&lt;=I158,"ON_TARGET","OFF_TARGET"),IF(H158&gt;=I158,"ON_TARGET","OFF_TARGET"))))</f>
        <v>NO_DATA</v>
      </c>
      <c r="O158" s="193" t="str">
        <f t="shared" si="16"/>
        <v>Compressor Plant</v>
      </c>
      <c r="P158" s="193" t="str">
        <f ca="1">IF(LEFT(Control!$C$10,4)="ROJO","RED",IF(LEFT(Control!$C$10,8)="AMARILLO","AMBER","GREEN"))</f>
        <v>RED</v>
      </c>
      <c r="Q158" s="193">
        <f>IF(AND(ISNUMBER(MATCH(F158,Datos!$D$3:$AL$3,0)),F158&lt;=RPT_MONTH),1,0)</f>
        <v>0</v>
      </c>
      <c r="R158" s="193" t="str">
        <f t="shared" si="17"/>
        <v>OUT_OF_SCOPE</v>
      </c>
    </row>
    <row r="159" spans="1:18" ht="13.5" customHeight="1" x14ac:dyDescent="0.3">
      <c r="A159" t="s">
        <v>1116</v>
      </c>
      <c r="B159" t="s">
        <v>1124</v>
      </c>
      <c r="C159" t="s">
        <v>1125</v>
      </c>
      <c r="D159">
        <v>4</v>
      </c>
      <c r="E159">
        <v>2</v>
      </c>
      <c r="F159" s="258">
        <f>DATE(YEAR(RPT_MONTH),MONTH(RPT_MONTH)-10,1)</f>
        <v>45992</v>
      </c>
      <c r="G159" s="193" t="str">
        <f t="shared" si="13"/>
        <v>Dec-25</v>
      </c>
      <c r="H159" s="193" t="str">
        <f>IFERROR(1*INDEX(BD_KPIs!$F$2:$F$1300,MATCH(YEAR(F159)*100+MONTH(F159)&amp;"|CCS|Monthly",BD_KPIs!$Q$2:$Q$1300,0)),"")</f>
        <v/>
      </c>
      <c r="I159" s="193">
        <f>IF(ISNUMBER(INDEX(_TARGETS!$G$2:$G$17,MATCH("CCS",_TARGETS!$A$2:$A$17,0))),INDEX(_TARGETS!$G$2:$G$17,MATCH("CCS",_TARGETS!$A$2:$A$17,0)),"")</f>
        <v>1</v>
      </c>
      <c r="J159" t="s">
        <v>1119</v>
      </c>
      <c r="K159" t="s">
        <v>1093</v>
      </c>
      <c r="L159" s="193" t="str">
        <f t="shared" si="14"/>
        <v>NO_DATA</v>
      </c>
      <c r="M159" s="193" t="str">
        <f t="shared" si="15"/>
        <v>Monthly</v>
      </c>
      <c r="N159" s="193" t="str">
        <f>IF(NOT(ISNUMBER(H159)),"NO_DATA",IF(NOT(ISNUMBER(I159)),"MONITOR",IF(INDEX(_TARGETS!$E$2:$E$17,MATCH("CCS",_TARGETS!$A$2:$A$17,0))="≤",IF(H159&lt;=I159,"ON_TARGET","OFF_TARGET"),IF(H159&gt;=I159,"ON_TARGET","OFF_TARGET"))))</f>
        <v>NO_DATA</v>
      </c>
      <c r="O159" s="193" t="str">
        <f t="shared" si="16"/>
        <v>Compressor Plant</v>
      </c>
      <c r="P159" s="193" t="str">
        <f ca="1">IF(LEFT(Control!$C$10,4)="ROJO","RED",IF(LEFT(Control!$C$10,8)="AMARILLO","AMBER","GREEN"))</f>
        <v>RED</v>
      </c>
      <c r="Q159" s="193">
        <f>IF(AND(ISNUMBER(MATCH(F159,Datos!$D$3:$AL$3,0)),F159&lt;=RPT_MONTH),1,0)</f>
        <v>0</v>
      </c>
      <c r="R159" s="193" t="str">
        <f t="shared" si="17"/>
        <v>OUT_OF_SCOPE</v>
      </c>
    </row>
    <row r="160" spans="1:18" ht="13.5" customHeight="1" x14ac:dyDescent="0.3">
      <c r="A160" t="s">
        <v>1116</v>
      </c>
      <c r="B160" t="s">
        <v>1124</v>
      </c>
      <c r="C160" t="s">
        <v>1125</v>
      </c>
      <c r="D160">
        <v>4</v>
      </c>
      <c r="E160">
        <v>3</v>
      </c>
      <c r="F160" s="258">
        <f>DATE(YEAR(RPT_MONTH),MONTH(RPT_MONTH)-9,1)</f>
        <v>46023</v>
      </c>
      <c r="G160" s="193" t="str">
        <f t="shared" si="13"/>
        <v>Jan-26</v>
      </c>
      <c r="H160" s="193" t="str">
        <f>IFERROR(1*INDEX(BD_KPIs!$F$2:$F$1300,MATCH(YEAR(F160)*100+MONTH(F160)&amp;"|CCS|Monthly",BD_KPIs!$Q$2:$Q$1300,0)),"")</f>
        <v/>
      </c>
      <c r="I160" s="193">
        <f>IF(ISNUMBER(INDEX(_TARGETS!$G$2:$G$17,MATCH("CCS",_TARGETS!$A$2:$A$17,0))),INDEX(_TARGETS!$G$2:$G$17,MATCH("CCS",_TARGETS!$A$2:$A$17,0)),"")</f>
        <v>1</v>
      </c>
      <c r="J160" t="s">
        <v>1119</v>
      </c>
      <c r="K160" t="s">
        <v>1093</v>
      </c>
      <c r="L160" s="193" t="str">
        <f t="shared" si="14"/>
        <v>NO_DATA</v>
      </c>
      <c r="M160" s="193" t="str">
        <f t="shared" si="15"/>
        <v>Monthly</v>
      </c>
      <c r="N160" s="193" t="str">
        <f>IF(NOT(ISNUMBER(H160)),"NO_DATA",IF(NOT(ISNUMBER(I160)),"MONITOR",IF(INDEX(_TARGETS!$E$2:$E$17,MATCH("CCS",_TARGETS!$A$2:$A$17,0))="≤",IF(H160&lt;=I160,"ON_TARGET","OFF_TARGET"),IF(H160&gt;=I160,"ON_TARGET","OFF_TARGET"))))</f>
        <v>NO_DATA</v>
      </c>
      <c r="O160" s="193" t="str">
        <f t="shared" si="16"/>
        <v>Compressor Plant</v>
      </c>
      <c r="P160" s="193" t="str">
        <f ca="1">IF(LEFT(Control!$C$10,4)="ROJO","RED",IF(LEFT(Control!$C$10,8)="AMARILLO","AMBER","GREEN"))</f>
        <v>RED</v>
      </c>
      <c r="Q160" s="193">
        <f>IF(AND(ISNUMBER(MATCH(F160,Datos!$D$3:$AL$3,0)),F160&lt;=RPT_MONTH),1,0)</f>
        <v>0</v>
      </c>
      <c r="R160" s="193" t="str">
        <f t="shared" si="17"/>
        <v>OUT_OF_SCOPE</v>
      </c>
    </row>
    <row r="161" spans="1:18" ht="13.5" customHeight="1" x14ac:dyDescent="0.3">
      <c r="A161" t="s">
        <v>1116</v>
      </c>
      <c r="B161" t="s">
        <v>1124</v>
      </c>
      <c r="C161" t="s">
        <v>1125</v>
      </c>
      <c r="D161">
        <v>4</v>
      </c>
      <c r="E161">
        <v>4</v>
      </c>
      <c r="F161" s="258">
        <f>DATE(YEAR(RPT_MONTH),MONTH(RPT_MONTH)-8,1)</f>
        <v>46054</v>
      </c>
      <c r="G161" s="193" t="str">
        <f t="shared" si="13"/>
        <v>Feb-26</v>
      </c>
      <c r="H161" s="193" t="str">
        <f>IFERROR(1*INDEX(BD_KPIs!$F$2:$F$1300,MATCH(YEAR(F161)*100+MONTH(F161)&amp;"|CCS|Monthly",BD_KPIs!$Q$2:$Q$1300,0)),"")</f>
        <v/>
      </c>
      <c r="I161" s="193">
        <f>IF(ISNUMBER(INDEX(_TARGETS!$G$2:$G$17,MATCH("CCS",_TARGETS!$A$2:$A$17,0))),INDEX(_TARGETS!$G$2:$G$17,MATCH("CCS",_TARGETS!$A$2:$A$17,0)),"")</f>
        <v>1</v>
      </c>
      <c r="J161" t="s">
        <v>1119</v>
      </c>
      <c r="K161" t="s">
        <v>1093</v>
      </c>
      <c r="L161" s="193" t="str">
        <f t="shared" si="14"/>
        <v>NO_DATA</v>
      </c>
      <c r="M161" s="193" t="str">
        <f t="shared" si="15"/>
        <v>Monthly</v>
      </c>
      <c r="N161" s="193" t="str">
        <f>IF(NOT(ISNUMBER(H161)),"NO_DATA",IF(NOT(ISNUMBER(I161)),"MONITOR",IF(INDEX(_TARGETS!$E$2:$E$17,MATCH("CCS",_TARGETS!$A$2:$A$17,0))="≤",IF(H161&lt;=I161,"ON_TARGET","OFF_TARGET"),IF(H161&gt;=I161,"ON_TARGET","OFF_TARGET"))))</f>
        <v>NO_DATA</v>
      </c>
      <c r="O161" s="193" t="str">
        <f t="shared" si="16"/>
        <v>Compressor Plant</v>
      </c>
      <c r="P161" s="193" t="str">
        <f ca="1">IF(LEFT(Control!$C$10,4)="ROJO","RED",IF(LEFT(Control!$C$10,8)="AMARILLO","AMBER","GREEN"))</f>
        <v>RED</v>
      </c>
      <c r="Q161" s="193">
        <f>IF(AND(ISNUMBER(MATCH(F161,Datos!$D$3:$AL$3,0)),F161&lt;=RPT_MONTH),1,0)</f>
        <v>0</v>
      </c>
      <c r="R161" s="193" t="str">
        <f t="shared" si="17"/>
        <v>OUT_OF_SCOPE</v>
      </c>
    </row>
    <row r="162" spans="1:18" ht="13.5" customHeight="1" x14ac:dyDescent="0.3">
      <c r="A162" t="s">
        <v>1116</v>
      </c>
      <c r="B162" t="s">
        <v>1124</v>
      </c>
      <c r="C162" t="s">
        <v>1125</v>
      </c>
      <c r="D162">
        <v>4</v>
      </c>
      <c r="E162">
        <v>5</v>
      </c>
      <c r="F162" s="258">
        <f>DATE(YEAR(RPT_MONTH),MONTH(RPT_MONTH)-7,1)</f>
        <v>46082</v>
      </c>
      <c r="G162" s="193" t="str">
        <f t="shared" si="13"/>
        <v>Mar-26</v>
      </c>
      <c r="H162" s="193" t="str">
        <f>IFERROR(1*INDEX(BD_KPIs!$F$2:$F$1300,MATCH(YEAR(F162)*100+MONTH(F162)&amp;"|CCS|Monthly",BD_KPIs!$Q$2:$Q$1300,0)),"")</f>
        <v/>
      </c>
      <c r="I162" s="193">
        <f>IF(ISNUMBER(INDEX(_TARGETS!$G$2:$G$17,MATCH("CCS",_TARGETS!$A$2:$A$17,0))),INDEX(_TARGETS!$G$2:$G$17,MATCH("CCS",_TARGETS!$A$2:$A$17,0)),"")</f>
        <v>1</v>
      </c>
      <c r="J162" t="s">
        <v>1119</v>
      </c>
      <c r="K162" t="s">
        <v>1093</v>
      </c>
      <c r="L162" s="193" t="str">
        <f t="shared" si="14"/>
        <v>NO_DATA</v>
      </c>
      <c r="M162" s="193" t="str">
        <f t="shared" si="15"/>
        <v>Monthly</v>
      </c>
      <c r="N162" s="193" t="str">
        <f>IF(NOT(ISNUMBER(H162)),"NO_DATA",IF(NOT(ISNUMBER(I162)),"MONITOR",IF(INDEX(_TARGETS!$E$2:$E$17,MATCH("CCS",_TARGETS!$A$2:$A$17,0))="≤",IF(H162&lt;=I162,"ON_TARGET","OFF_TARGET"),IF(H162&gt;=I162,"ON_TARGET","OFF_TARGET"))))</f>
        <v>NO_DATA</v>
      </c>
      <c r="O162" s="193" t="str">
        <f t="shared" si="16"/>
        <v>Compressor Plant</v>
      </c>
      <c r="P162" s="193" t="str">
        <f ca="1">IF(LEFT(Control!$C$10,4)="ROJO","RED",IF(LEFT(Control!$C$10,8)="AMARILLO","AMBER","GREEN"))</f>
        <v>RED</v>
      </c>
      <c r="Q162" s="193">
        <f>IF(AND(ISNUMBER(MATCH(F162,Datos!$D$3:$AL$3,0)),F162&lt;=RPT_MONTH),1,0)</f>
        <v>0</v>
      </c>
      <c r="R162" s="193" t="str">
        <f t="shared" si="17"/>
        <v>OUT_OF_SCOPE</v>
      </c>
    </row>
    <row r="163" spans="1:18" ht="13.5" customHeight="1" x14ac:dyDescent="0.3">
      <c r="A163" t="s">
        <v>1116</v>
      </c>
      <c r="B163" t="s">
        <v>1124</v>
      </c>
      <c r="C163" t="s">
        <v>1125</v>
      </c>
      <c r="D163">
        <v>4</v>
      </c>
      <c r="E163">
        <v>6</v>
      </c>
      <c r="F163" s="258">
        <f>DATE(YEAR(RPT_MONTH),MONTH(RPT_MONTH)-6,1)</f>
        <v>46113</v>
      </c>
      <c r="G163" s="193" t="str">
        <f t="shared" si="13"/>
        <v>Apr-26</v>
      </c>
      <c r="H163" s="193" t="str">
        <f>IFERROR(1*INDEX(BD_KPIs!$F$2:$F$1300,MATCH(YEAR(F163)*100+MONTH(F163)&amp;"|CCS|Monthly",BD_KPIs!$Q$2:$Q$1300,0)),"")</f>
        <v/>
      </c>
      <c r="I163" s="193">
        <f>IF(ISNUMBER(INDEX(_TARGETS!$G$2:$G$17,MATCH("CCS",_TARGETS!$A$2:$A$17,0))),INDEX(_TARGETS!$G$2:$G$17,MATCH("CCS",_TARGETS!$A$2:$A$17,0)),"")</f>
        <v>1</v>
      </c>
      <c r="J163" t="s">
        <v>1119</v>
      </c>
      <c r="K163" t="s">
        <v>1093</v>
      </c>
      <c r="L163" s="193" t="str">
        <f t="shared" si="14"/>
        <v>NO_DATA</v>
      </c>
      <c r="M163" s="193" t="str">
        <f t="shared" si="15"/>
        <v>Monthly</v>
      </c>
      <c r="N163" s="193" t="str">
        <f>IF(NOT(ISNUMBER(H163)),"NO_DATA",IF(NOT(ISNUMBER(I163)),"MONITOR",IF(INDEX(_TARGETS!$E$2:$E$17,MATCH("CCS",_TARGETS!$A$2:$A$17,0))="≤",IF(H163&lt;=I163,"ON_TARGET","OFF_TARGET"),IF(H163&gt;=I163,"ON_TARGET","OFF_TARGET"))))</f>
        <v>NO_DATA</v>
      </c>
      <c r="O163" s="193" t="str">
        <f t="shared" si="16"/>
        <v>Compressor Plant</v>
      </c>
      <c r="P163" s="193" t="str">
        <f ca="1">IF(LEFT(Control!$C$10,4)="ROJO","RED",IF(LEFT(Control!$C$10,8)="AMARILLO","AMBER","GREEN"))</f>
        <v>RED</v>
      </c>
      <c r="Q163" s="193">
        <f>IF(AND(ISNUMBER(MATCH(F163,Datos!$D$3:$AL$3,0)),F163&lt;=RPT_MONTH),1,0)</f>
        <v>0</v>
      </c>
      <c r="R163" s="193" t="str">
        <f t="shared" si="17"/>
        <v>OUT_OF_SCOPE</v>
      </c>
    </row>
    <row r="164" spans="1:18" ht="13.5" customHeight="1" x14ac:dyDescent="0.3">
      <c r="A164" t="s">
        <v>1116</v>
      </c>
      <c r="B164" t="s">
        <v>1124</v>
      </c>
      <c r="C164" t="s">
        <v>1125</v>
      </c>
      <c r="D164">
        <v>4</v>
      </c>
      <c r="E164">
        <v>7</v>
      </c>
      <c r="F164" s="258">
        <f>DATE(YEAR(RPT_MONTH),MONTH(RPT_MONTH)-5,1)</f>
        <v>46143</v>
      </c>
      <c r="G164" s="193" t="str">
        <f t="shared" si="13"/>
        <v>May-26</v>
      </c>
      <c r="H164" s="193" t="str">
        <f>IFERROR(1*INDEX(BD_KPIs!$F$2:$F$1300,MATCH(YEAR(F164)*100+MONTH(F164)&amp;"|CCS|Monthly",BD_KPIs!$Q$2:$Q$1300,0)),"")</f>
        <v/>
      </c>
      <c r="I164" s="193">
        <f>IF(ISNUMBER(INDEX(_TARGETS!$G$2:$G$17,MATCH("CCS",_TARGETS!$A$2:$A$17,0))),INDEX(_TARGETS!$G$2:$G$17,MATCH("CCS",_TARGETS!$A$2:$A$17,0)),"")</f>
        <v>1</v>
      </c>
      <c r="J164" t="s">
        <v>1119</v>
      </c>
      <c r="K164" t="s">
        <v>1093</v>
      </c>
      <c r="L164" s="193" t="str">
        <f t="shared" si="14"/>
        <v>NO_DATA</v>
      </c>
      <c r="M164" s="193" t="str">
        <f t="shared" si="15"/>
        <v>Monthly</v>
      </c>
      <c r="N164" s="193" t="str">
        <f>IF(NOT(ISNUMBER(H164)),"NO_DATA",IF(NOT(ISNUMBER(I164)),"MONITOR",IF(INDEX(_TARGETS!$E$2:$E$17,MATCH("CCS",_TARGETS!$A$2:$A$17,0))="≤",IF(H164&lt;=I164,"ON_TARGET","OFF_TARGET"),IF(H164&gt;=I164,"ON_TARGET","OFF_TARGET"))))</f>
        <v>NO_DATA</v>
      </c>
      <c r="O164" s="193" t="str">
        <f t="shared" si="16"/>
        <v>Compressor Plant</v>
      </c>
      <c r="P164" s="193" t="str">
        <f ca="1">IF(LEFT(Control!$C$10,4)="ROJO","RED",IF(LEFT(Control!$C$10,8)="AMARILLO","AMBER","GREEN"))</f>
        <v>RED</v>
      </c>
      <c r="Q164" s="193">
        <f>IF(AND(ISNUMBER(MATCH(F164,Datos!$D$3:$AL$3,0)),F164&lt;=RPT_MONTH),1,0)</f>
        <v>0</v>
      </c>
      <c r="R164" s="193" t="str">
        <f t="shared" si="17"/>
        <v>OUT_OF_SCOPE</v>
      </c>
    </row>
    <row r="165" spans="1:18" ht="13.5" customHeight="1" x14ac:dyDescent="0.3">
      <c r="A165" t="s">
        <v>1116</v>
      </c>
      <c r="B165" t="s">
        <v>1124</v>
      </c>
      <c r="C165" t="s">
        <v>1125</v>
      </c>
      <c r="D165">
        <v>4</v>
      </c>
      <c r="E165">
        <v>8</v>
      </c>
      <c r="F165" s="258">
        <f>DATE(YEAR(RPT_MONTH),MONTH(RPT_MONTH)-4,1)</f>
        <v>46174</v>
      </c>
      <c r="G165" s="193" t="str">
        <f t="shared" si="13"/>
        <v>Jun-26</v>
      </c>
      <c r="H165" s="193" t="str">
        <f>IFERROR(1*INDEX(BD_KPIs!$F$2:$F$1300,MATCH(YEAR(F165)*100+MONTH(F165)&amp;"|CCS|Monthly",BD_KPIs!$Q$2:$Q$1300,0)),"")</f>
        <v/>
      </c>
      <c r="I165" s="193">
        <f>IF(ISNUMBER(INDEX(_TARGETS!$G$2:$G$17,MATCH("CCS",_TARGETS!$A$2:$A$17,0))),INDEX(_TARGETS!$G$2:$G$17,MATCH("CCS",_TARGETS!$A$2:$A$17,0)),"")</f>
        <v>1</v>
      </c>
      <c r="J165" t="s">
        <v>1119</v>
      </c>
      <c r="K165" t="s">
        <v>1093</v>
      </c>
      <c r="L165" s="193" t="str">
        <f t="shared" si="14"/>
        <v>NO_DATA</v>
      </c>
      <c r="M165" s="193" t="str">
        <f t="shared" si="15"/>
        <v>Monthly</v>
      </c>
      <c r="N165" s="193" t="str">
        <f>IF(NOT(ISNUMBER(H165)),"NO_DATA",IF(NOT(ISNUMBER(I165)),"MONITOR",IF(INDEX(_TARGETS!$E$2:$E$17,MATCH("CCS",_TARGETS!$A$2:$A$17,0))="≤",IF(H165&lt;=I165,"ON_TARGET","OFF_TARGET"),IF(H165&gt;=I165,"ON_TARGET","OFF_TARGET"))))</f>
        <v>NO_DATA</v>
      </c>
      <c r="O165" s="193" t="str">
        <f t="shared" si="16"/>
        <v>Compressor Plant</v>
      </c>
      <c r="P165" s="193" t="str">
        <f ca="1">IF(LEFT(Control!$C$10,4)="ROJO","RED",IF(LEFT(Control!$C$10,8)="AMARILLO","AMBER","GREEN"))</f>
        <v>RED</v>
      </c>
      <c r="Q165" s="193">
        <f>IF(AND(ISNUMBER(MATCH(F165,Datos!$D$3:$AL$3,0)),F165&lt;=RPT_MONTH),1,0)</f>
        <v>0</v>
      </c>
      <c r="R165" s="193" t="str">
        <f t="shared" si="17"/>
        <v>OUT_OF_SCOPE</v>
      </c>
    </row>
    <row r="166" spans="1:18" ht="13.5" customHeight="1" x14ac:dyDescent="0.3">
      <c r="A166" t="s">
        <v>1116</v>
      </c>
      <c r="B166" t="s">
        <v>1124</v>
      </c>
      <c r="C166" t="s">
        <v>1125</v>
      </c>
      <c r="D166">
        <v>4</v>
      </c>
      <c r="E166">
        <v>9</v>
      </c>
      <c r="F166" s="258">
        <f>DATE(YEAR(RPT_MONTH),MONTH(RPT_MONTH)-3,1)</f>
        <v>46204</v>
      </c>
      <c r="G166" s="193" t="str">
        <f t="shared" si="13"/>
        <v>Jul-26</v>
      </c>
      <c r="H166" s="193" t="str">
        <f>IFERROR(1*INDEX(BD_KPIs!$F$2:$F$1300,MATCH(YEAR(F166)*100+MONTH(F166)&amp;"|CCS|Monthly",BD_KPIs!$Q$2:$Q$1300,0)),"")</f>
        <v/>
      </c>
      <c r="I166" s="193">
        <f>IF(ISNUMBER(INDEX(_TARGETS!$G$2:$G$17,MATCH("CCS",_TARGETS!$A$2:$A$17,0))),INDEX(_TARGETS!$G$2:$G$17,MATCH("CCS",_TARGETS!$A$2:$A$17,0)),"")</f>
        <v>1</v>
      </c>
      <c r="J166" t="s">
        <v>1119</v>
      </c>
      <c r="K166" t="s">
        <v>1093</v>
      </c>
      <c r="L166" s="193" t="str">
        <f t="shared" si="14"/>
        <v>NO_DATA</v>
      </c>
      <c r="M166" s="193" t="str">
        <f t="shared" si="15"/>
        <v>Monthly</v>
      </c>
      <c r="N166" s="193" t="str">
        <f>IF(NOT(ISNUMBER(H166)),"NO_DATA",IF(NOT(ISNUMBER(I166)),"MONITOR",IF(INDEX(_TARGETS!$E$2:$E$17,MATCH("CCS",_TARGETS!$A$2:$A$17,0))="≤",IF(H166&lt;=I166,"ON_TARGET","OFF_TARGET"),IF(H166&gt;=I166,"ON_TARGET","OFF_TARGET"))))</f>
        <v>NO_DATA</v>
      </c>
      <c r="O166" s="193" t="str">
        <f t="shared" si="16"/>
        <v>Compressor Plant</v>
      </c>
      <c r="P166" s="193" t="str">
        <f ca="1">IF(LEFT(Control!$C$10,4)="ROJO","RED",IF(LEFT(Control!$C$10,8)="AMARILLO","AMBER","GREEN"))</f>
        <v>RED</v>
      </c>
      <c r="Q166" s="193">
        <f>IF(AND(ISNUMBER(MATCH(F166,Datos!$D$3:$AL$3,0)),F166&lt;=RPT_MONTH),1,0)</f>
        <v>0</v>
      </c>
      <c r="R166" s="193" t="str">
        <f t="shared" si="17"/>
        <v>OUT_OF_SCOPE</v>
      </c>
    </row>
    <row r="167" spans="1:18" ht="13.5" customHeight="1" x14ac:dyDescent="0.3">
      <c r="A167" t="s">
        <v>1116</v>
      </c>
      <c r="B167" t="s">
        <v>1124</v>
      </c>
      <c r="C167" t="s">
        <v>1125</v>
      </c>
      <c r="D167">
        <v>4</v>
      </c>
      <c r="E167">
        <v>10</v>
      </c>
      <c r="F167" s="258">
        <f>DATE(YEAR(RPT_MONTH),MONTH(RPT_MONTH)-2,1)</f>
        <v>46235</v>
      </c>
      <c r="G167" s="193" t="str">
        <f t="shared" si="13"/>
        <v>Aug-26</v>
      </c>
      <c r="H167" s="193" t="str">
        <f>IFERROR(1*INDEX(BD_KPIs!$F$2:$F$1300,MATCH(YEAR(F167)*100+MONTH(F167)&amp;"|CCS|Monthly",BD_KPIs!$Q$2:$Q$1300,0)),"")</f>
        <v/>
      </c>
      <c r="I167" s="193">
        <f>IF(ISNUMBER(INDEX(_TARGETS!$G$2:$G$17,MATCH("CCS",_TARGETS!$A$2:$A$17,0))),INDEX(_TARGETS!$G$2:$G$17,MATCH("CCS",_TARGETS!$A$2:$A$17,0)),"")</f>
        <v>1</v>
      </c>
      <c r="J167" t="s">
        <v>1119</v>
      </c>
      <c r="K167" t="s">
        <v>1093</v>
      </c>
      <c r="L167" s="193" t="str">
        <f t="shared" si="14"/>
        <v>NO_DATA</v>
      </c>
      <c r="M167" s="193" t="str">
        <f t="shared" si="15"/>
        <v>Monthly</v>
      </c>
      <c r="N167" s="193" t="str">
        <f>IF(NOT(ISNUMBER(H167)),"NO_DATA",IF(NOT(ISNUMBER(I167)),"MONITOR",IF(INDEX(_TARGETS!$E$2:$E$17,MATCH("CCS",_TARGETS!$A$2:$A$17,0))="≤",IF(H167&lt;=I167,"ON_TARGET","OFF_TARGET"),IF(H167&gt;=I167,"ON_TARGET","OFF_TARGET"))))</f>
        <v>NO_DATA</v>
      </c>
      <c r="O167" s="193" t="str">
        <f t="shared" si="16"/>
        <v>Compressor Plant</v>
      </c>
      <c r="P167" s="193" t="str">
        <f ca="1">IF(LEFT(Control!$C$10,4)="ROJO","RED",IF(LEFT(Control!$C$10,8)="AMARILLO","AMBER","GREEN"))</f>
        <v>RED</v>
      </c>
      <c r="Q167" s="193">
        <f>IF(AND(ISNUMBER(MATCH(F167,Datos!$D$3:$AL$3,0)),F167&lt;=RPT_MONTH),1,0)</f>
        <v>1</v>
      </c>
      <c r="R167" s="193" t="str">
        <f t="shared" si="17"/>
        <v>MISSING</v>
      </c>
    </row>
    <row r="168" spans="1:18" ht="13.5" customHeight="1" x14ac:dyDescent="0.3">
      <c r="A168" t="s">
        <v>1116</v>
      </c>
      <c r="B168" t="s">
        <v>1124</v>
      </c>
      <c r="C168" t="s">
        <v>1125</v>
      </c>
      <c r="D168">
        <v>4</v>
      </c>
      <c r="E168">
        <v>11</v>
      </c>
      <c r="F168" s="258">
        <f>DATE(YEAR(RPT_MONTH),MONTH(RPT_MONTH)-1,1)</f>
        <v>46266</v>
      </c>
      <c r="G168" s="193" t="str">
        <f t="shared" si="13"/>
        <v>Sep-26</v>
      </c>
      <c r="H168" s="193">
        <f>IFERROR(1*INDEX(BD_KPIs!$F$2:$F$1300,MATCH(YEAR(F168)*100+MONTH(F168)&amp;"|CCS|Monthly",BD_KPIs!$Q$2:$Q$1300,0)),"")</f>
        <v>1</v>
      </c>
      <c r="I168" s="193">
        <f>IF(ISNUMBER(INDEX(_TARGETS!$G$2:$G$17,MATCH("CCS",_TARGETS!$A$2:$A$17,0))),INDEX(_TARGETS!$G$2:$G$17,MATCH("CCS",_TARGETS!$A$2:$A$17,0)),"")</f>
        <v>1</v>
      </c>
      <c r="J168" t="s">
        <v>1119</v>
      </c>
      <c r="K168" t="s">
        <v>1093</v>
      </c>
      <c r="L168" s="193" t="str">
        <f t="shared" si="14"/>
        <v>OK</v>
      </c>
      <c r="M168" s="193" t="str">
        <f t="shared" si="15"/>
        <v>Monthly</v>
      </c>
      <c r="N168" s="193" t="str">
        <f>IF(NOT(ISNUMBER(H168)),"NO_DATA",IF(NOT(ISNUMBER(I168)),"MONITOR",IF(INDEX(_TARGETS!$E$2:$E$17,MATCH("CCS",_TARGETS!$A$2:$A$17,0))="≤",IF(H168&lt;=I168,"ON_TARGET","OFF_TARGET"),IF(H168&gt;=I168,"ON_TARGET","OFF_TARGET"))))</f>
        <v>ON_TARGET</v>
      </c>
      <c r="O168" s="193" t="str">
        <f t="shared" si="16"/>
        <v>Compressor Plant</v>
      </c>
      <c r="P168" s="193" t="str">
        <f ca="1">IF(LEFT(Control!$C$10,4)="ROJO","RED",IF(LEFT(Control!$C$10,8)="AMARILLO","AMBER","GREEN"))</f>
        <v>RED</v>
      </c>
      <c r="Q168" s="193">
        <f>IF(AND(ISNUMBER(MATCH(F168,Datos!$D$3:$AL$3,0)),F168&lt;=RPT_MONTH),1,0)</f>
        <v>1</v>
      </c>
      <c r="R168" s="193" t="str">
        <f t="shared" si="17"/>
        <v>OK</v>
      </c>
    </row>
    <row r="169" spans="1:18" ht="13.5" customHeight="1" x14ac:dyDescent="0.3">
      <c r="A169" t="s">
        <v>1116</v>
      </c>
      <c r="B169" t="s">
        <v>1124</v>
      </c>
      <c r="C169" t="s">
        <v>1125</v>
      </c>
      <c r="D169">
        <v>4</v>
      </c>
      <c r="E169">
        <v>12</v>
      </c>
      <c r="F169" s="258">
        <f>DATE(YEAR(RPT_MONTH),MONTH(RPT_MONTH)-0,1)</f>
        <v>46296</v>
      </c>
      <c r="G169" s="193" t="str">
        <f t="shared" si="13"/>
        <v>Oct-26</v>
      </c>
      <c r="H169" s="193" t="str">
        <f>IFERROR(1*INDEX(BD_KPIs!$F$2:$F$1300,MATCH(YEAR(F169)*100+MONTH(F169)&amp;"|CCS|Monthly",BD_KPIs!$Q$2:$Q$1300,0)),"")</f>
        <v/>
      </c>
      <c r="I169" s="193">
        <f>IF(ISNUMBER(INDEX(_TARGETS!$G$2:$G$17,MATCH("CCS",_TARGETS!$A$2:$A$17,0))),INDEX(_TARGETS!$G$2:$G$17,MATCH("CCS",_TARGETS!$A$2:$A$17,0)),"")</f>
        <v>1</v>
      </c>
      <c r="J169" t="s">
        <v>1119</v>
      </c>
      <c r="K169" t="s">
        <v>1093</v>
      </c>
      <c r="L169" s="193" t="str">
        <f t="shared" si="14"/>
        <v>NO_DATA</v>
      </c>
      <c r="M169" s="193" t="str">
        <f t="shared" si="15"/>
        <v>Monthly</v>
      </c>
      <c r="N169" s="193" t="str">
        <f>IF(NOT(ISNUMBER(H169)),"NO_DATA",IF(NOT(ISNUMBER(I169)),"MONITOR",IF(INDEX(_TARGETS!$E$2:$E$17,MATCH("CCS",_TARGETS!$A$2:$A$17,0))="≤",IF(H169&lt;=I169,"ON_TARGET","OFF_TARGET"),IF(H169&gt;=I169,"ON_TARGET","OFF_TARGET"))))</f>
        <v>NO_DATA</v>
      </c>
      <c r="O169" s="193" t="str">
        <f t="shared" si="16"/>
        <v>Compressor Plant</v>
      </c>
      <c r="P169" s="193" t="str">
        <f ca="1">IF(LEFT(Control!$C$10,4)="ROJO","RED",IF(LEFT(Control!$C$10,8)="AMARILLO","AMBER","GREEN"))</f>
        <v>RED</v>
      </c>
      <c r="Q169" s="193">
        <f>IF(AND(ISNUMBER(MATCH(F169,Datos!$D$3:$AL$3,0)),F169&lt;=RPT_MONTH),1,0)</f>
        <v>1</v>
      </c>
      <c r="R169" s="193" t="str">
        <f t="shared" si="17"/>
        <v>MISSING</v>
      </c>
    </row>
    <row r="170" spans="1:18" ht="13.5" customHeight="1" x14ac:dyDescent="0.3">
      <c r="A170" t="s">
        <v>1126</v>
      </c>
      <c r="B170" t="s">
        <v>1127</v>
      </c>
      <c r="C170" t="s">
        <v>994</v>
      </c>
      <c r="D170">
        <v>1</v>
      </c>
      <c r="E170">
        <v>1</v>
      </c>
      <c r="F170" s="258">
        <f>DATE(YEAR(RPT_MONTH),MONTH(RPT_MONTH)-11,1)</f>
        <v>45962</v>
      </c>
      <c r="G170" s="193" t="str">
        <f t="shared" si="13"/>
        <v>Nov-25</v>
      </c>
      <c r="H170" s="193" t="str">
        <f>IFERROR(1*INDEX(BD_KPIs!$F$2:$F$1300,MATCH(YEAR(F170)*100+MONTH(F170)&amp;"|OBS|Monthly",BD_KPIs!$Q$2:$Q$1300,0)),"")</f>
        <v/>
      </c>
      <c r="I170" s="193">
        <f>IF(ISNUMBER(INDEX(_TARGETS!$G$2:$G$17,MATCH("OBS",_TARGETS!$A$2:$A$17,0))),INDEX(_TARGETS!$G$2:$G$17,MATCH("OBS",_TARGETS!$A$2:$A$17,0)),"")</f>
        <v>1</v>
      </c>
      <c r="J170" t="s">
        <v>1128</v>
      </c>
      <c r="K170" t="s">
        <v>1115</v>
      </c>
      <c r="L170" s="193" t="str">
        <f t="shared" si="14"/>
        <v>NO_DATA</v>
      </c>
      <c r="M170" s="193" t="str">
        <f t="shared" si="15"/>
        <v>Monthly</v>
      </c>
      <c r="N170" s="193" t="str">
        <f>IF(NOT(ISNUMBER(H170)),"NO_DATA",IF(NOT(ISNUMBER(I170)),"MONITOR",IF(INDEX(_TARGETS!$E$2:$E$17,MATCH("OBS",_TARGETS!$A$2:$A$17,0))="≤",IF(H170&lt;=I170,"ON_TARGET","OFF_TARGET"),IF(H170&gt;=I170,"ON_TARGET","OFF_TARGET"))))</f>
        <v>NO_DATA</v>
      </c>
      <c r="O170" s="193" t="str">
        <f t="shared" si="16"/>
        <v>Compressor Plant</v>
      </c>
      <c r="P170" s="193" t="str">
        <f ca="1">IF(LEFT(Control!$C$10,4)="ROJO","RED",IF(LEFT(Control!$C$10,8)="AMARILLO","AMBER","GREEN"))</f>
        <v>RED</v>
      </c>
      <c r="Q170" s="193">
        <f>IF(AND(ISNUMBER(MATCH(F170,Datos!$D$3:$AL$3,0)),F170&lt;=RPT_MONTH),1,0)</f>
        <v>0</v>
      </c>
      <c r="R170" s="193" t="str">
        <f t="shared" si="17"/>
        <v>OUT_OF_SCOPE</v>
      </c>
    </row>
    <row r="171" spans="1:18" ht="13.5" customHeight="1" x14ac:dyDescent="0.3">
      <c r="A171" t="s">
        <v>1126</v>
      </c>
      <c r="B171" t="s">
        <v>1127</v>
      </c>
      <c r="C171" t="s">
        <v>994</v>
      </c>
      <c r="D171">
        <v>1</v>
      </c>
      <c r="E171">
        <v>2</v>
      </c>
      <c r="F171" s="258">
        <f>DATE(YEAR(RPT_MONTH),MONTH(RPT_MONTH)-10,1)</f>
        <v>45992</v>
      </c>
      <c r="G171" s="193" t="str">
        <f t="shared" si="13"/>
        <v>Dec-25</v>
      </c>
      <c r="H171" s="193" t="str">
        <f>IFERROR(1*INDEX(BD_KPIs!$F$2:$F$1300,MATCH(YEAR(F171)*100+MONTH(F171)&amp;"|OBS|Monthly",BD_KPIs!$Q$2:$Q$1300,0)),"")</f>
        <v/>
      </c>
      <c r="I171" s="193">
        <f>IF(ISNUMBER(INDEX(_TARGETS!$G$2:$G$17,MATCH("OBS",_TARGETS!$A$2:$A$17,0))),INDEX(_TARGETS!$G$2:$G$17,MATCH("OBS",_TARGETS!$A$2:$A$17,0)),"")</f>
        <v>1</v>
      </c>
      <c r="J171" t="s">
        <v>1128</v>
      </c>
      <c r="K171" t="s">
        <v>1115</v>
      </c>
      <c r="L171" s="193" t="str">
        <f t="shared" si="14"/>
        <v>NO_DATA</v>
      </c>
      <c r="M171" s="193" t="str">
        <f t="shared" si="15"/>
        <v>Monthly</v>
      </c>
      <c r="N171" s="193" t="str">
        <f>IF(NOT(ISNUMBER(H171)),"NO_DATA",IF(NOT(ISNUMBER(I171)),"MONITOR",IF(INDEX(_TARGETS!$E$2:$E$17,MATCH("OBS",_TARGETS!$A$2:$A$17,0))="≤",IF(H171&lt;=I171,"ON_TARGET","OFF_TARGET"),IF(H171&gt;=I171,"ON_TARGET","OFF_TARGET"))))</f>
        <v>NO_DATA</v>
      </c>
      <c r="O171" s="193" t="str">
        <f t="shared" si="16"/>
        <v>Compressor Plant</v>
      </c>
      <c r="P171" s="193" t="str">
        <f ca="1">IF(LEFT(Control!$C$10,4)="ROJO","RED",IF(LEFT(Control!$C$10,8)="AMARILLO","AMBER","GREEN"))</f>
        <v>RED</v>
      </c>
      <c r="Q171" s="193">
        <f>IF(AND(ISNUMBER(MATCH(F171,Datos!$D$3:$AL$3,0)),F171&lt;=RPT_MONTH),1,0)</f>
        <v>0</v>
      </c>
      <c r="R171" s="193" t="str">
        <f t="shared" si="17"/>
        <v>OUT_OF_SCOPE</v>
      </c>
    </row>
    <row r="172" spans="1:18" ht="13.5" customHeight="1" x14ac:dyDescent="0.3">
      <c r="A172" t="s">
        <v>1126</v>
      </c>
      <c r="B172" t="s">
        <v>1127</v>
      </c>
      <c r="C172" t="s">
        <v>994</v>
      </c>
      <c r="D172">
        <v>1</v>
      </c>
      <c r="E172">
        <v>3</v>
      </c>
      <c r="F172" s="258">
        <f>DATE(YEAR(RPT_MONTH),MONTH(RPT_MONTH)-9,1)</f>
        <v>46023</v>
      </c>
      <c r="G172" s="193" t="str">
        <f t="shared" si="13"/>
        <v>Jan-26</v>
      </c>
      <c r="H172" s="193" t="str">
        <f>IFERROR(1*INDEX(BD_KPIs!$F$2:$F$1300,MATCH(YEAR(F172)*100+MONTH(F172)&amp;"|OBS|Monthly",BD_KPIs!$Q$2:$Q$1300,0)),"")</f>
        <v/>
      </c>
      <c r="I172" s="193">
        <f>IF(ISNUMBER(INDEX(_TARGETS!$G$2:$G$17,MATCH("OBS",_TARGETS!$A$2:$A$17,0))),INDEX(_TARGETS!$G$2:$G$17,MATCH("OBS",_TARGETS!$A$2:$A$17,0)),"")</f>
        <v>1</v>
      </c>
      <c r="J172" t="s">
        <v>1128</v>
      </c>
      <c r="K172" t="s">
        <v>1115</v>
      </c>
      <c r="L172" s="193" t="str">
        <f t="shared" si="14"/>
        <v>NO_DATA</v>
      </c>
      <c r="M172" s="193" t="str">
        <f t="shared" si="15"/>
        <v>Monthly</v>
      </c>
      <c r="N172" s="193" t="str">
        <f>IF(NOT(ISNUMBER(H172)),"NO_DATA",IF(NOT(ISNUMBER(I172)),"MONITOR",IF(INDEX(_TARGETS!$E$2:$E$17,MATCH("OBS",_TARGETS!$A$2:$A$17,0))="≤",IF(H172&lt;=I172,"ON_TARGET","OFF_TARGET"),IF(H172&gt;=I172,"ON_TARGET","OFF_TARGET"))))</f>
        <v>NO_DATA</v>
      </c>
      <c r="O172" s="193" t="str">
        <f t="shared" si="16"/>
        <v>Compressor Plant</v>
      </c>
      <c r="P172" s="193" t="str">
        <f ca="1">IF(LEFT(Control!$C$10,4)="ROJO","RED",IF(LEFT(Control!$C$10,8)="AMARILLO","AMBER","GREEN"))</f>
        <v>RED</v>
      </c>
      <c r="Q172" s="193">
        <f>IF(AND(ISNUMBER(MATCH(F172,Datos!$D$3:$AL$3,0)),F172&lt;=RPT_MONTH),1,0)</f>
        <v>0</v>
      </c>
      <c r="R172" s="193" t="str">
        <f t="shared" si="17"/>
        <v>OUT_OF_SCOPE</v>
      </c>
    </row>
    <row r="173" spans="1:18" ht="13.5" customHeight="1" x14ac:dyDescent="0.3">
      <c r="A173" t="s">
        <v>1126</v>
      </c>
      <c r="B173" t="s">
        <v>1127</v>
      </c>
      <c r="C173" t="s">
        <v>994</v>
      </c>
      <c r="D173">
        <v>1</v>
      </c>
      <c r="E173">
        <v>4</v>
      </c>
      <c r="F173" s="258">
        <f>DATE(YEAR(RPT_MONTH),MONTH(RPT_MONTH)-8,1)</f>
        <v>46054</v>
      </c>
      <c r="G173" s="193" t="str">
        <f t="shared" si="13"/>
        <v>Feb-26</v>
      </c>
      <c r="H173" s="193" t="str">
        <f>IFERROR(1*INDEX(BD_KPIs!$F$2:$F$1300,MATCH(YEAR(F173)*100+MONTH(F173)&amp;"|OBS|Monthly",BD_KPIs!$Q$2:$Q$1300,0)),"")</f>
        <v/>
      </c>
      <c r="I173" s="193">
        <f>IF(ISNUMBER(INDEX(_TARGETS!$G$2:$G$17,MATCH("OBS",_TARGETS!$A$2:$A$17,0))),INDEX(_TARGETS!$G$2:$G$17,MATCH("OBS",_TARGETS!$A$2:$A$17,0)),"")</f>
        <v>1</v>
      </c>
      <c r="J173" t="s">
        <v>1128</v>
      </c>
      <c r="K173" t="s">
        <v>1115</v>
      </c>
      <c r="L173" s="193" t="str">
        <f t="shared" si="14"/>
        <v>NO_DATA</v>
      </c>
      <c r="M173" s="193" t="str">
        <f t="shared" si="15"/>
        <v>Monthly</v>
      </c>
      <c r="N173" s="193" t="str">
        <f>IF(NOT(ISNUMBER(H173)),"NO_DATA",IF(NOT(ISNUMBER(I173)),"MONITOR",IF(INDEX(_TARGETS!$E$2:$E$17,MATCH("OBS",_TARGETS!$A$2:$A$17,0))="≤",IF(H173&lt;=I173,"ON_TARGET","OFF_TARGET"),IF(H173&gt;=I173,"ON_TARGET","OFF_TARGET"))))</f>
        <v>NO_DATA</v>
      </c>
      <c r="O173" s="193" t="str">
        <f t="shared" si="16"/>
        <v>Compressor Plant</v>
      </c>
      <c r="P173" s="193" t="str">
        <f ca="1">IF(LEFT(Control!$C$10,4)="ROJO","RED",IF(LEFT(Control!$C$10,8)="AMARILLO","AMBER","GREEN"))</f>
        <v>RED</v>
      </c>
      <c r="Q173" s="193">
        <f>IF(AND(ISNUMBER(MATCH(F173,Datos!$D$3:$AL$3,0)),F173&lt;=RPT_MONTH),1,0)</f>
        <v>0</v>
      </c>
      <c r="R173" s="193" t="str">
        <f t="shared" si="17"/>
        <v>OUT_OF_SCOPE</v>
      </c>
    </row>
    <row r="174" spans="1:18" ht="13.5" customHeight="1" x14ac:dyDescent="0.3">
      <c r="A174" t="s">
        <v>1126</v>
      </c>
      <c r="B174" t="s">
        <v>1127</v>
      </c>
      <c r="C174" t="s">
        <v>994</v>
      </c>
      <c r="D174">
        <v>1</v>
      </c>
      <c r="E174">
        <v>5</v>
      </c>
      <c r="F174" s="258">
        <f>DATE(YEAR(RPT_MONTH),MONTH(RPT_MONTH)-7,1)</f>
        <v>46082</v>
      </c>
      <c r="G174" s="193" t="str">
        <f t="shared" si="13"/>
        <v>Mar-26</v>
      </c>
      <c r="H174" s="193" t="str">
        <f>IFERROR(1*INDEX(BD_KPIs!$F$2:$F$1300,MATCH(YEAR(F174)*100+MONTH(F174)&amp;"|OBS|Monthly",BD_KPIs!$Q$2:$Q$1300,0)),"")</f>
        <v/>
      </c>
      <c r="I174" s="193">
        <f>IF(ISNUMBER(INDEX(_TARGETS!$G$2:$G$17,MATCH("OBS",_TARGETS!$A$2:$A$17,0))),INDEX(_TARGETS!$G$2:$G$17,MATCH("OBS",_TARGETS!$A$2:$A$17,0)),"")</f>
        <v>1</v>
      </c>
      <c r="J174" t="s">
        <v>1128</v>
      </c>
      <c r="K174" t="s">
        <v>1115</v>
      </c>
      <c r="L174" s="193" t="str">
        <f t="shared" si="14"/>
        <v>NO_DATA</v>
      </c>
      <c r="M174" s="193" t="str">
        <f t="shared" si="15"/>
        <v>Monthly</v>
      </c>
      <c r="N174" s="193" t="str">
        <f>IF(NOT(ISNUMBER(H174)),"NO_DATA",IF(NOT(ISNUMBER(I174)),"MONITOR",IF(INDEX(_TARGETS!$E$2:$E$17,MATCH("OBS",_TARGETS!$A$2:$A$17,0))="≤",IF(H174&lt;=I174,"ON_TARGET","OFF_TARGET"),IF(H174&gt;=I174,"ON_TARGET","OFF_TARGET"))))</f>
        <v>NO_DATA</v>
      </c>
      <c r="O174" s="193" t="str">
        <f t="shared" si="16"/>
        <v>Compressor Plant</v>
      </c>
      <c r="P174" s="193" t="str">
        <f ca="1">IF(LEFT(Control!$C$10,4)="ROJO","RED",IF(LEFT(Control!$C$10,8)="AMARILLO","AMBER","GREEN"))</f>
        <v>RED</v>
      </c>
      <c r="Q174" s="193">
        <f>IF(AND(ISNUMBER(MATCH(F174,Datos!$D$3:$AL$3,0)),F174&lt;=RPT_MONTH),1,0)</f>
        <v>0</v>
      </c>
      <c r="R174" s="193" t="str">
        <f t="shared" si="17"/>
        <v>OUT_OF_SCOPE</v>
      </c>
    </row>
    <row r="175" spans="1:18" ht="13.5" customHeight="1" x14ac:dyDescent="0.3">
      <c r="A175" t="s">
        <v>1126</v>
      </c>
      <c r="B175" t="s">
        <v>1127</v>
      </c>
      <c r="C175" t="s">
        <v>994</v>
      </c>
      <c r="D175">
        <v>1</v>
      </c>
      <c r="E175">
        <v>6</v>
      </c>
      <c r="F175" s="258">
        <f>DATE(YEAR(RPT_MONTH),MONTH(RPT_MONTH)-6,1)</f>
        <v>46113</v>
      </c>
      <c r="G175" s="193" t="str">
        <f t="shared" si="13"/>
        <v>Apr-26</v>
      </c>
      <c r="H175" s="193" t="str">
        <f>IFERROR(1*INDEX(BD_KPIs!$F$2:$F$1300,MATCH(YEAR(F175)*100+MONTH(F175)&amp;"|OBS|Monthly",BD_KPIs!$Q$2:$Q$1300,0)),"")</f>
        <v/>
      </c>
      <c r="I175" s="193">
        <f>IF(ISNUMBER(INDEX(_TARGETS!$G$2:$G$17,MATCH("OBS",_TARGETS!$A$2:$A$17,0))),INDEX(_TARGETS!$G$2:$G$17,MATCH("OBS",_TARGETS!$A$2:$A$17,0)),"")</f>
        <v>1</v>
      </c>
      <c r="J175" t="s">
        <v>1128</v>
      </c>
      <c r="K175" t="s">
        <v>1115</v>
      </c>
      <c r="L175" s="193" t="str">
        <f t="shared" si="14"/>
        <v>NO_DATA</v>
      </c>
      <c r="M175" s="193" t="str">
        <f t="shared" si="15"/>
        <v>Monthly</v>
      </c>
      <c r="N175" s="193" t="str">
        <f>IF(NOT(ISNUMBER(H175)),"NO_DATA",IF(NOT(ISNUMBER(I175)),"MONITOR",IF(INDEX(_TARGETS!$E$2:$E$17,MATCH("OBS",_TARGETS!$A$2:$A$17,0))="≤",IF(H175&lt;=I175,"ON_TARGET","OFF_TARGET"),IF(H175&gt;=I175,"ON_TARGET","OFF_TARGET"))))</f>
        <v>NO_DATA</v>
      </c>
      <c r="O175" s="193" t="str">
        <f t="shared" si="16"/>
        <v>Compressor Plant</v>
      </c>
      <c r="P175" s="193" t="str">
        <f ca="1">IF(LEFT(Control!$C$10,4)="ROJO","RED",IF(LEFT(Control!$C$10,8)="AMARILLO","AMBER","GREEN"))</f>
        <v>RED</v>
      </c>
      <c r="Q175" s="193">
        <f>IF(AND(ISNUMBER(MATCH(F175,Datos!$D$3:$AL$3,0)),F175&lt;=RPT_MONTH),1,0)</f>
        <v>0</v>
      </c>
      <c r="R175" s="193" t="str">
        <f t="shared" si="17"/>
        <v>OUT_OF_SCOPE</v>
      </c>
    </row>
    <row r="176" spans="1:18" ht="13.5" customHeight="1" x14ac:dyDescent="0.3">
      <c r="A176" t="s">
        <v>1126</v>
      </c>
      <c r="B176" t="s">
        <v>1127</v>
      </c>
      <c r="C176" t="s">
        <v>994</v>
      </c>
      <c r="D176">
        <v>1</v>
      </c>
      <c r="E176">
        <v>7</v>
      </c>
      <c r="F176" s="258">
        <f>DATE(YEAR(RPT_MONTH),MONTH(RPT_MONTH)-5,1)</f>
        <v>46143</v>
      </c>
      <c r="G176" s="193" t="str">
        <f t="shared" si="13"/>
        <v>May-26</v>
      </c>
      <c r="H176" s="193" t="str">
        <f>IFERROR(1*INDEX(BD_KPIs!$F$2:$F$1300,MATCH(YEAR(F176)*100+MONTH(F176)&amp;"|OBS|Monthly",BD_KPIs!$Q$2:$Q$1300,0)),"")</f>
        <v/>
      </c>
      <c r="I176" s="193">
        <f>IF(ISNUMBER(INDEX(_TARGETS!$G$2:$G$17,MATCH("OBS",_TARGETS!$A$2:$A$17,0))),INDEX(_TARGETS!$G$2:$G$17,MATCH("OBS",_TARGETS!$A$2:$A$17,0)),"")</f>
        <v>1</v>
      </c>
      <c r="J176" t="s">
        <v>1128</v>
      </c>
      <c r="K176" t="s">
        <v>1115</v>
      </c>
      <c r="L176" s="193" t="str">
        <f t="shared" si="14"/>
        <v>NO_DATA</v>
      </c>
      <c r="M176" s="193" t="str">
        <f t="shared" si="15"/>
        <v>Monthly</v>
      </c>
      <c r="N176" s="193" t="str">
        <f>IF(NOT(ISNUMBER(H176)),"NO_DATA",IF(NOT(ISNUMBER(I176)),"MONITOR",IF(INDEX(_TARGETS!$E$2:$E$17,MATCH("OBS",_TARGETS!$A$2:$A$17,0))="≤",IF(H176&lt;=I176,"ON_TARGET","OFF_TARGET"),IF(H176&gt;=I176,"ON_TARGET","OFF_TARGET"))))</f>
        <v>NO_DATA</v>
      </c>
      <c r="O176" s="193" t="str">
        <f t="shared" si="16"/>
        <v>Compressor Plant</v>
      </c>
      <c r="P176" s="193" t="str">
        <f ca="1">IF(LEFT(Control!$C$10,4)="ROJO","RED",IF(LEFT(Control!$C$10,8)="AMARILLO","AMBER","GREEN"))</f>
        <v>RED</v>
      </c>
      <c r="Q176" s="193">
        <f>IF(AND(ISNUMBER(MATCH(F176,Datos!$D$3:$AL$3,0)),F176&lt;=RPT_MONTH),1,0)</f>
        <v>0</v>
      </c>
      <c r="R176" s="193" t="str">
        <f t="shared" si="17"/>
        <v>OUT_OF_SCOPE</v>
      </c>
    </row>
    <row r="177" spans="1:18" ht="13.5" customHeight="1" x14ac:dyDescent="0.3">
      <c r="A177" t="s">
        <v>1126</v>
      </c>
      <c r="B177" t="s">
        <v>1127</v>
      </c>
      <c r="C177" t="s">
        <v>994</v>
      </c>
      <c r="D177">
        <v>1</v>
      </c>
      <c r="E177">
        <v>8</v>
      </c>
      <c r="F177" s="258">
        <f>DATE(YEAR(RPT_MONTH),MONTH(RPT_MONTH)-4,1)</f>
        <v>46174</v>
      </c>
      <c r="G177" s="193" t="str">
        <f t="shared" si="13"/>
        <v>Jun-26</v>
      </c>
      <c r="H177" s="193" t="str">
        <f>IFERROR(1*INDEX(BD_KPIs!$F$2:$F$1300,MATCH(YEAR(F177)*100+MONTH(F177)&amp;"|OBS|Monthly",BD_KPIs!$Q$2:$Q$1300,0)),"")</f>
        <v/>
      </c>
      <c r="I177" s="193">
        <f>IF(ISNUMBER(INDEX(_TARGETS!$G$2:$G$17,MATCH("OBS",_TARGETS!$A$2:$A$17,0))),INDEX(_TARGETS!$G$2:$G$17,MATCH("OBS",_TARGETS!$A$2:$A$17,0)),"")</f>
        <v>1</v>
      </c>
      <c r="J177" t="s">
        <v>1128</v>
      </c>
      <c r="K177" t="s">
        <v>1115</v>
      </c>
      <c r="L177" s="193" t="str">
        <f t="shared" si="14"/>
        <v>NO_DATA</v>
      </c>
      <c r="M177" s="193" t="str">
        <f t="shared" si="15"/>
        <v>Monthly</v>
      </c>
      <c r="N177" s="193" t="str">
        <f>IF(NOT(ISNUMBER(H177)),"NO_DATA",IF(NOT(ISNUMBER(I177)),"MONITOR",IF(INDEX(_TARGETS!$E$2:$E$17,MATCH("OBS",_TARGETS!$A$2:$A$17,0))="≤",IF(H177&lt;=I177,"ON_TARGET","OFF_TARGET"),IF(H177&gt;=I177,"ON_TARGET","OFF_TARGET"))))</f>
        <v>NO_DATA</v>
      </c>
      <c r="O177" s="193" t="str">
        <f t="shared" si="16"/>
        <v>Compressor Plant</v>
      </c>
      <c r="P177" s="193" t="str">
        <f ca="1">IF(LEFT(Control!$C$10,4)="ROJO","RED",IF(LEFT(Control!$C$10,8)="AMARILLO","AMBER","GREEN"))</f>
        <v>RED</v>
      </c>
      <c r="Q177" s="193">
        <f>IF(AND(ISNUMBER(MATCH(F177,Datos!$D$3:$AL$3,0)),F177&lt;=RPT_MONTH),1,0)</f>
        <v>0</v>
      </c>
      <c r="R177" s="193" t="str">
        <f t="shared" si="17"/>
        <v>OUT_OF_SCOPE</v>
      </c>
    </row>
    <row r="178" spans="1:18" ht="13.5" customHeight="1" x14ac:dyDescent="0.3">
      <c r="A178" t="s">
        <v>1126</v>
      </c>
      <c r="B178" t="s">
        <v>1127</v>
      </c>
      <c r="C178" t="s">
        <v>994</v>
      </c>
      <c r="D178">
        <v>1</v>
      </c>
      <c r="E178">
        <v>9</v>
      </c>
      <c r="F178" s="258">
        <f>DATE(YEAR(RPT_MONTH),MONTH(RPT_MONTH)-3,1)</f>
        <v>46204</v>
      </c>
      <c r="G178" s="193" t="str">
        <f t="shared" si="13"/>
        <v>Jul-26</v>
      </c>
      <c r="H178" s="193" t="str">
        <f>IFERROR(1*INDEX(BD_KPIs!$F$2:$F$1300,MATCH(YEAR(F178)*100+MONTH(F178)&amp;"|OBS|Monthly",BD_KPIs!$Q$2:$Q$1300,0)),"")</f>
        <v/>
      </c>
      <c r="I178" s="193">
        <f>IF(ISNUMBER(INDEX(_TARGETS!$G$2:$G$17,MATCH("OBS",_TARGETS!$A$2:$A$17,0))),INDEX(_TARGETS!$G$2:$G$17,MATCH("OBS",_TARGETS!$A$2:$A$17,0)),"")</f>
        <v>1</v>
      </c>
      <c r="J178" t="s">
        <v>1128</v>
      </c>
      <c r="K178" t="s">
        <v>1115</v>
      </c>
      <c r="L178" s="193" t="str">
        <f t="shared" si="14"/>
        <v>NO_DATA</v>
      </c>
      <c r="M178" s="193" t="str">
        <f t="shared" si="15"/>
        <v>Monthly</v>
      </c>
      <c r="N178" s="193" t="str">
        <f>IF(NOT(ISNUMBER(H178)),"NO_DATA",IF(NOT(ISNUMBER(I178)),"MONITOR",IF(INDEX(_TARGETS!$E$2:$E$17,MATCH("OBS",_TARGETS!$A$2:$A$17,0))="≤",IF(H178&lt;=I178,"ON_TARGET","OFF_TARGET"),IF(H178&gt;=I178,"ON_TARGET","OFF_TARGET"))))</f>
        <v>NO_DATA</v>
      </c>
      <c r="O178" s="193" t="str">
        <f t="shared" si="16"/>
        <v>Compressor Plant</v>
      </c>
      <c r="P178" s="193" t="str">
        <f ca="1">IF(LEFT(Control!$C$10,4)="ROJO","RED",IF(LEFT(Control!$C$10,8)="AMARILLO","AMBER","GREEN"))</f>
        <v>RED</v>
      </c>
      <c r="Q178" s="193">
        <f>IF(AND(ISNUMBER(MATCH(F178,Datos!$D$3:$AL$3,0)),F178&lt;=RPT_MONTH),1,0)</f>
        <v>0</v>
      </c>
      <c r="R178" s="193" t="str">
        <f t="shared" si="17"/>
        <v>OUT_OF_SCOPE</v>
      </c>
    </row>
    <row r="179" spans="1:18" ht="13.5" customHeight="1" x14ac:dyDescent="0.3">
      <c r="A179" t="s">
        <v>1126</v>
      </c>
      <c r="B179" t="s">
        <v>1127</v>
      </c>
      <c r="C179" t="s">
        <v>994</v>
      </c>
      <c r="D179">
        <v>1</v>
      </c>
      <c r="E179">
        <v>10</v>
      </c>
      <c r="F179" s="258">
        <f>DATE(YEAR(RPT_MONTH),MONTH(RPT_MONTH)-2,1)</f>
        <v>46235</v>
      </c>
      <c r="G179" s="193" t="str">
        <f t="shared" si="13"/>
        <v>Aug-26</v>
      </c>
      <c r="H179" s="193">
        <f>IFERROR(1*INDEX(BD_KPIs!$F$2:$F$1300,MATCH(YEAR(F179)*100+MONTH(F179)&amp;"|OBS|Monthly",BD_KPIs!$Q$2:$Q$1300,0)),"")</f>
        <v>0.380434782608696</v>
      </c>
      <c r="I179" s="193">
        <f>IF(ISNUMBER(INDEX(_TARGETS!$G$2:$G$17,MATCH("OBS",_TARGETS!$A$2:$A$17,0))),INDEX(_TARGETS!$G$2:$G$17,MATCH("OBS",_TARGETS!$A$2:$A$17,0)),"")</f>
        <v>1</v>
      </c>
      <c r="J179" t="s">
        <v>1128</v>
      </c>
      <c r="K179" t="s">
        <v>1115</v>
      </c>
      <c r="L179" s="193" t="str">
        <f t="shared" si="14"/>
        <v>OK</v>
      </c>
      <c r="M179" s="193" t="str">
        <f t="shared" si="15"/>
        <v>Monthly</v>
      </c>
      <c r="N179" s="193" t="str">
        <f>IF(NOT(ISNUMBER(H179)),"NO_DATA",IF(NOT(ISNUMBER(I179)),"MONITOR",IF(INDEX(_TARGETS!$E$2:$E$17,MATCH("OBS",_TARGETS!$A$2:$A$17,0))="≤",IF(H179&lt;=I179,"ON_TARGET","OFF_TARGET"),IF(H179&gt;=I179,"ON_TARGET","OFF_TARGET"))))</f>
        <v>OFF_TARGET</v>
      </c>
      <c r="O179" s="193" t="str">
        <f t="shared" si="16"/>
        <v>Compressor Plant</v>
      </c>
      <c r="P179" s="193" t="str">
        <f ca="1">IF(LEFT(Control!$C$10,4)="ROJO","RED",IF(LEFT(Control!$C$10,8)="AMARILLO","AMBER","GREEN"))</f>
        <v>RED</v>
      </c>
      <c r="Q179" s="193">
        <f>IF(AND(ISNUMBER(MATCH(F179,Datos!$D$3:$AL$3,0)),F179&lt;=RPT_MONTH),1,0)</f>
        <v>1</v>
      </c>
      <c r="R179" s="193" t="str">
        <f t="shared" si="17"/>
        <v>OK</v>
      </c>
    </row>
    <row r="180" spans="1:18" ht="13.5" customHeight="1" x14ac:dyDescent="0.3">
      <c r="A180" t="s">
        <v>1126</v>
      </c>
      <c r="B180" t="s">
        <v>1127</v>
      </c>
      <c r="C180" t="s">
        <v>994</v>
      </c>
      <c r="D180">
        <v>1</v>
      </c>
      <c r="E180">
        <v>11</v>
      </c>
      <c r="F180" s="258">
        <f>DATE(YEAR(RPT_MONTH),MONTH(RPT_MONTH)-1,1)</f>
        <v>46266</v>
      </c>
      <c r="G180" s="193" t="str">
        <f t="shared" si="13"/>
        <v>Sep-26</v>
      </c>
      <c r="H180" s="193">
        <f>IFERROR(1*INDEX(BD_KPIs!$F$2:$F$1300,MATCH(YEAR(F180)*100+MONTH(F180)&amp;"|OBS|Monthly",BD_KPIs!$Q$2:$Q$1300,0)),"")</f>
        <v>1.4390243902439</v>
      </c>
      <c r="I180" s="193">
        <f>IF(ISNUMBER(INDEX(_TARGETS!$G$2:$G$17,MATCH("OBS",_TARGETS!$A$2:$A$17,0))),INDEX(_TARGETS!$G$2:$G$17,MATCH("OBS",_TARGETS!$A$2:$A$17,0)),"")</f>
        <v>1</v>
      </c>
      <c r="J180" t="s">
        <v>1128</v>
      </c>
      <c r="K180" t="s">
        <v>1115</v>
      </c>
      <c r="L180" s="193" t="str">
        <f t="shared" si="14"/>
        <v>OK</v>
      </c>
      <c r="M180" s="193" t="str">
        <f t="shared" si="15"/>
        <v>Monthly</v>
      </c>
      <c r="N180" s="193" t="str">
        <f>IF(NOT(ISNUMBER(H180)),"NO_DATA",IF(NOT(ISNUMBER(I180)),"MONITOR",IF(INDEX(_TARGETS!$E$2:$E$17,MATCH("OBS",_TARGETS!$A$2:$A$17,0))="≤",IF(H180&lt;=I180,"ON_TARGET","OFF_TARGET"),IF(H180&gt;=I180,"ON_TARGET","OFF_TARGET"))))</f>
        <v>ON_TARGET</v>
      </c>
      <c r="O180" s="193" t="str">
        <f t="shared" si="16"/>
        <v>Compressor Plant</v>
      </c>
      <c r="P180" s="193" t="str">
        <f ca="1">IF(LEFT(Control!$C$10,4)="ROJO","RED",IF(LEFT(Control!$C$10,8)="AMARILLO","AMBER","GREEN"))</f>
        <v>RED</v>
      </c>
      <c r="Q180" s="193">
        <f>IF(AND(ISNUMBER(MATCH(F180,Datos!$D$3:$AL$3,0)),F180&lt;=RPT_MONTH),1,0)</f>
        <v>1</v>
      </c>
      <c r="R180" s="193" t="str">
        <f t="shared" si="17"/>
        <v>OK</v>
      </c>
    </row>
    <row r="181" spans="1:18" ht="13.5" customHeight="1" x14ac:dyDescent="0.3">
      <c r="A181" t="s">
        <v>1126</v>
      </c>
      <c r="B181" t="s">
        <v>1127</v>
      </c>
      <c r="C181" t="s">
        <v>994</v>
      </c>
      <c r="D181">
        <v>1</v>
      </c>
      <c r="E181">
        <v>12</v>
      </c>
      <c r="F181" s="258">
        <f>DATE(YEAR(RPT_MONTH),MONTH(RPT_MONTH)-0,1)</f>
        <v>46296</v>
      </c>
      <c r="G181" s="193" t="str">
        <f t="shared" si="13"/>
        <v>Oct-26</v>
      </c>
      <c r="H181" s="193" t="str">
        <f>IFERROR(1*INDEX(BD_KPIs!$F$2:$F$1300,MATCH(YEAR(F181)*100+MONTH(F181)&amp;"|OBS|Monthly",BD_KPIs!$Q$2:$Q$1300,0)),"")</f>
        <v/>
      </c>
      <c r="I181" s="193">
        <f>IF(ISNUMBER(INDEX(_TARGETS!$G$2:$G$17,MATCH("OBS",_TARGETS!$A$2:$A$17,0))),INDEX(_TARGETS!$G$2:$G$17,MATCH("OBS",_TARGETS!$A$2:$A$17,0)),"")</f>
        <v>1</v>
      </c>
      <c r="J181" t="s">
        <v>1128</v>
      </c>
      <c r="K181" t="s">
        <v>1115</v>
      </c>
      <c r="L181" s="193" t="str">
        <f t="shared" si="14"/>
        <v>NO_DATA</v>
      </c>
      <c r="M181" s="193" t="str">
        <f t="shared" si="15"/>
        <v>Monthly</v>
      </c>
      <c r="N181" s="193" t="str">
        <f>IF(NOT(ISNUMBER(H181)),"NO_DATA",IF(NOT(ISNUMBER(I181)),"MONITOR",IF(INDEX(_TARGETS!$E$2:$E$17,MATCH("OBS",_TARGETS!$A$2:$A$17,0))="≤",IF(H181&lt;=I181,"ON_TARGET","OFF_TARGET"),IF(H181&gt;=I181,"ON_TARGET","OFF_TARGET"))))</f>
        <v>NO_DATA</v>
      </c>
      <c r="O181" s="193" t="str">
        <f t="shared" si="16"/>
        <v>Compressor Plant</v>
      </c>
      <c r="P181" s="193" t="str">
        <f ca="1">IF(LEFT(Control!$C$10,4)="ROJO","RED",IF(LEFT(Control!$C$10,8)="AMARILLO","AMBER","GREEN"))</f>
        <v>RED</v>
      </c>
      <c r="Q181" s="193">
        <f>IF(AND(ISNUMBER(MATCH(F181,Datos!$D$3:$AL$3,0)),F181&lt;=RPT_MONTH),1,0)</f>
        <v>1</v>
      </c>
      <c r="R181" s="193" t="str">
        <f t="shared" si="17"/>
        <v>MISSING</v>
      </c>
    </row>
    <row r="182" spans="1:18" ht="13.5" customHeight="1" x14ac:dyDescent="0.3">
      <c r="A182" t="s">
        <v>1129</v>
      </c>
      <c r="B182" t="s">
        <v>1130</v>
      </c>
      <c r="C182" t="s">
        <v>998</v>
      </c>
      <c r="D182">
        <v>1</v>
      </c>
      <c r="E182">
        <v>1</v>
      </c>
      <c r="F182" s="258">
        <f>DATE(YEAR(RPT_MONTH),MONTH(RPT_MONTH)-11,1)</f>
        <v>45962</v>
      </c>
      <c r="G182" s="193" t="str">
        <f t="shared" si="13"/>
        <v>Nov-25</v>
      </c>
      <c r="H182" s="193" t="str">
        <f>IFERROR(1*INDEX(BD_KPIs!$F$2:$F$1300,MATCH(YEAR(F182)*100+MONTH(F182)&amp;"|HCS|Monthly",BD_KPIs!$Q$2:$Q$1300,0)),"")</f>
        <v/>
      </c>
      <c r="I182" s="193">
        <f>IF(ISNUMBER(INDEX(_TARGETS!$G$2:$G$17,MATCH("HCS",_TARGETS!$A$2:$A$17,0))),INDEX(_TARGETS!$G$2:$G$17,MATCH("HCS",_TARGETS!$A$2:$A$17,0)),"")</f>
        <v>0.01</v>
      </c>
      <c r="J182" t="s">
        <v>1131</v>
      </c>
      <c r="K182" t="s">
        <v>1115</v>
      </c>
      <c r="L182" s="193" t="str">
        <f t="shared" si="14"/>
        <v>NO_DATA</v>
      </c>
      <c r="M182" s="193" t="str">
        <f t="shared" si="15"/>
        <v>Monthly</v>
      </c>
      <c r="N182" s="193" t="str">
        <f>IF(NOT(ISNUMBER(H182)),"NO_DATA",IF(NOT(ISNUMBER(I182)),"MONITOR",IF(INDEX(_TARGETS!$E$2:$E$17,MATCH("HCS",_TARGETS!$A$2:$A$17,0))="≤",IF(H182&lt;=I182,"ON_TARGET","OFF_TARGET"),IF(H182&gt;=I182,"ON_TARGET","OFF_TARGET"))))</f>
        <v>NO_DATA</v>
      </c>
      <c r="O182" s="193" t="str">
        <f t="shared" si="16"/>
        <v>Compressor Plant</v>
      </c>
      <c r="P182" s="193" t="str">
        <f ca="1">IF(LEFT(Control!$C$10,4)="ROJO","RED",IF(LEFT(Control!$C$10,8)="AMARILLO","AMBER","GREEN"))</f>
        <v>RED</v>
      </c>
      <c r="Q182" s="193">
        <f>IF(AND(ISNUMBER(MATCH(F182,Datos!$D$3:$AL$3,0)),F182&lt;=RPT_MONTH),1,0)</f>
        <v>0</v>
      </c>
      <c r="R182" s="193" t="str">
        <f t="shared" si="17"/>
        <v>OUT_OF_SCOPE</v>
      </c>
    </row>
    <row r="183" spans="1:18" ht="13.5" customHeight="1" x14ac:dyDescent="0.3">
      <c r="A183" t="s">
        <v>1129</v>
      </c>
      <c r="B183" t="s">
        <v>1130</v>
      </c>
      <c r="C183" t="s">
        <v>998</v>
      </c>
      <c r="D183">
        <v>1</v>
      </c>
      <c r="E183">
        <v>2</v>
      </c>
      <c r="F183" s="258">
        <f>DATE(YEAR(RPT_MONTH),MONTH(RPT_MONTH)-10,1)</f>
        <v>45992</v>
      </c>
      <c r="G183" s="193" t="str">
        <f t="shared" si="13"/>
        <v>Dec-25</v>
      </c>
      <c r="H183" s="193" t="str">
        <f>IFERROR(1*INDEX(BD_KPIs!$F$2:$F$1300,MATCH(YEAR(F183)*100+MONTH(F183)&amp;"|HCS|Monthly",BD_KPIs!$Q$2:$Q$1300,0)),"")</f>
        <v/>
      </c>
      <c r="I183" s="193">
        <f>IF(ISNUMBER(INDEX(_TARGETS!$G$2:$G$17,MATCH("HCS",_TARGETS!$A$2:$A$17,0))),INDEX(_TARGETS!$G$2:$G$17,MATCH("HCS",_TARGETS!$A$2:$A$17,0)),"")</f>
        <v>0.01</v>
      </c>
      <c r="J183" t="s">
        <v>1131</v>
      </c>
      <c r="K183" t="s">
        <v>1115</v>
      </c>
      <c r="L183" s="193" t="str">
        <f t="shared" si="14"/>
        <v>NO_DATA</v>
      </c>
      <c r="M183" s="193" t="str">
        <f t="shared" si="15"/>
        <v>Monthly</v>
      </c>
      <c r="N183" s="193" t="str">
        <f>IF(NOT(ISNUMBER(H183)),"NO_DATA",IF(NOT(ISNUMBER(I183)),"MONITOR",IF(INDEX(_TARGETS!$E$2:$E$17,MATCH("HCS",_TARGETS!$A$2:$A$17,0))="≤",IF(H183&lt;=I183,"ON_TARGET","OFF_TARGET"),IF(H183&gt;=I183,"ON_TARGET","OFF_TARGET"))))</f>
        <v>NO_DATA</v>
      </c>
      <c r="O183" s="193" t="str">
        <f t="shared" si="16"/>
        <v>Compressor Plant</v>
      </c>
      <c r="P183" s="193" t="str">
        <f ca="1">IF(LEFT(Control!$C$10,4)="ROJO","RED",IF(LEFT(Control!$C$10,8)="AMARILLO","AMBER","GREEN"))</f>
        <v>RED</v>
      </c>
      <c r="Q183" s="193">
        <f>IF(AND(ISNUMBER(MATCH(F183,Datos!$D$3:$AL$3,0)),F183&lt;=RPT_MONTH),1,0)</f>
        <v>0</v>
      </c>
      <c r="R183" s="193" t="str">
        <f t="shared" si="17"/>
        <v>OUT_OF_SCOPE</v>
      </c>
    </row>
    <row r="184" spans="1:18" ht="13.5" customHeight="1" x14ac:dyDescent="0.3">
      <c r="A184" t="s">
        <v>1129</v>
      </c>
      <c r="B184" t="s">
        <v>1130</v>
      </c>
      <c r="C184" t="s">
        <v>998</v>
      </c>
      <c r="D184">
        <v>1</v>
      </c>
      <c r="E184">
        <v>3</v>
      </c>
      <c r="F184" s="258">
        <f>DATE(YEAR(RPT_MONTH),MONTH(RPT_MONTH)-9,1)</f>
        <v>46023</v>
      </c>
      <c r="G184" s="193" t="str">
        <f t="shared" si="13"/>
        <v>Jan-26</v>
      </c>
      <c r="H184" s="193" t="str">
        <f>IFERROR(1*INDEX(BD_KPIs!$F$2:$F$1300,MATCH(YEAR(F184)*100+MONTH(F184)&amp;"|HCS|Monthly",BD_KPIs!$Q$2:$Q$1300,0)),"")</f>
        <v/>
      </c>
      <c r="I184" s="193">
        <f>IF(ISNUMBER(INDEX(_TARGETS!$G$2:$G$17,MATCH("HCS",_TARGETS!$A$2:$A$17,0))),INDEX(_TARGETS!$G$2:$G$17,MATCH("HCS",_TARGETS!$A$2:$A$17,0)),"")</f>
        <v>0.01</v>
      </c>
      <c r="J184" t="s">
        <v>1131</v>
      </c>
      <c r="K184" t="s">
        <v>1115</v>
      </c>
      <c r="L184" s="193" t="str">
        <f t="shared" si="14"/>
        <v>NO_DATA</v>
      </c>
      <c r="M184" s="193" t="str">
        <f t="shared" si="15"/>
        <v>Monthly</v>
      </c>
      <c r="N184" s="193" t="str">
        <f>IF(NOT(ISNUMBER(H184)),"NO_DATA",IF(NOT(ISNUMBER(I184)),"MONITOR",IF(INDEX(_TARGETS!$E$2:$E$17,MATCH("HCS",_TARGETS!$A$2:$A$17,0))="≤",IF(H184&lt;=I184,"ON_TARGET","OFF_TARGET"),IF(H184&gt;=I184,"ON_TARGET","OFF_TARGET"))))</f>
        <v>NO_DATA</v>
      </c>
      <c r="O184" s="193" t="str">
        <f t="shared" si="16"/>
        <v>Compressor Plant</v>
      </c>
      <c r="P184" s="193" t="str">
        <f ca="1">IF(LEFT(Control!$C$10,4)="ROJO","RED",IF(LEFT(Control!$C$10,8)="AMARILLO","AMBER","GREEN"))</f>
        <v>RED</v>
      </c>
      <c r="Q184" s="193">
        <f>IF(AND(ISNUMBER(MATCH(F184,Datos!$D$3:$AL$3,0)),F184&lt;=RPT_MONTH),1,0)</f>
        <v>0</v>
      </c>
      <c r="R184" s="193" t="str">
        <f t="shared" si="17"/>
        <v>OUT_OF_SCOPE</v>
      </c>
    </row>
    <row r="185" spans="1:18" ht="13.5" customHeight="1" x14ac:dyDescent="0.3">
      <c r="A185" t="s">
        <v>1129</v>
      </c>
      <c r="B185" t="s">
        <v>1130</v>
      </c>
      <c r="C185" t="s">
        <v>998</v>
      </c>
      <c r="D185">
        <v>1</v>
      </c>
      <c r="E185">
        <v>4</v>
      </c>
      <c r="F185" s="258">
        <f>DATE(YEAR(RPT_MONTH),MONTH(RPT_MONTH)-8,1)</f>
        <v>46054</v>
      </c>
      <c r="G185" s="193" t="str">
        <f t="shared" si="13"/>
        <v>Feb-26</v>
      </c>
      <c r="H185" s="193" t="str">
        <f>IFERROR(1*INDEX(BD_KPIs!$F$2:$F$1300,MATCH(YEAR(F185)*100+MONTH(F185)&amp;"|HCS|Monthly",BD_KPIs!$Q$2:$Q$1300,0)),"")</f>
        <v/>
      </c>
      <c r="I185" s="193">
        <f>IF(ISNUMBER(INDEX(_TARGETS!$G$2:$G$17,MATCH("HCS",_TARGETS!$A$2:$A$17,0))),INDEX(_TARGETS!$G$2:$G$17,MATCH("HCS",_TARGETS!$A$2:$A$17,0)),"")</f>
        <v>0.01</v>
      </c>
      <c r="J185" t="s">
        <v>1131</v>
      </c>
      <c r="K185" t="s">
        <v>1115</v>
      </c>
      <c r="L185" s="193" t="str">
        <f t="shared" si="14"/>
        <v>NO_DATA</v>
      </c>
      <c r="M185" s="193" t="str">
        <f t="shared" si="15"/>
        <v>Monthly</v>
      </c>
      <c r="N185" s="193" t="str">
        <f>IF(NOT(ISNUMBER(H185)),"NO_DATA",IF(NOT(ISNUMBER(I185)),"MONITOR",IF(INDEX(_TARGETS!$E$2:$E$17,MATCH("HCS",_TARGETS!$A$2:$A$17,0))="≤",IF(H185&lt;=I185,"ON_TARGET","OFF_TARGET"),IF(H185&gt;=I185,"ON_TARGET","OFF_TARGET"))))</f>
        <v>NO_DATA</v>
      </c>
      <c r="O185" s="193" t="str">
        <f t="shared" si="16"/>
        <v>Compressor Plant</v>
      </c>
      <c r="P185" s="193" t="str">
        <f ca="1">IF(LEFT(Control!$C$10,4)="ROJO","RED",IF(LEFT(Control!$C$10,8)="AMARILLO","AMBER","GREEN"))</f>
        <v>RED</v>
      </c>
      <c r="Q185" s="193">
        <f>IF(AND(ISNUMBER(MATCH(F185,Datos!$D$3:$AL$3,0)),F185&lt;=RPT_MONTH),1,0)</f>
        <v>0</v>
      </c>
      <c r="R185" s="193" t="str">
        <f t="shared" si="17"/>
        <v>OUT_OF_SCOPE</v>
      </c>
    </row>
    <row r="186" spans="1:18" ht="13.5" customHeight="1" x14ac:dyDescent="0.3">
      <c r="A186" t="s">
        <v>1129</v>
      </c>
      <c r="B186" t="s">
        <v>1130</v>
      </c>
      <c r="C186" t="s">
        <v>998</v>
      </c>
      <c r="D186">
        <v>1</v>
      </c>
      <c r="E186">
        <v>5</v>
      </c>
      <c r="F186" s="258">
        <f>DATE(YEAR(RPT_MONTH),MONTH(RPT_MONTH)-7,1)</f>
        <v>46082</v>
      </c>
      <c r="G186" s="193" t="str">
        <f t="shared" si="13"/>
        <v>Mar-26</v>
      </c>
      <c r="H186" s="193" t="str">
        <f>IFERROR(1*INDEX(BD_KPIs!$F$2:$F$1300,MATCH(YEAR(F186)*100+MONTH(F186)&amp;"|HCS|Monthly",BD_KPIs!$Q$2:$Q$1300,0)),"")</f>
        <v/>
      </c>
      <c r="I186" s="193">
        <f>IF(ISNUMBER(INDEX(_TARGETS!$G$2:$G$17,MATCH("HCS",_TARGETS!$A$2:$A$17,0))),INDEX(_TARGETS!$G$2:$G$17,MATCH("HCS",_TARGETS!$A$2:$A$17,0)),"")</f>
        <v>0.01</v>
      </c>
      <c r="J186" t="s">
        <v>1131</v>
      </c>
      <c r="K186" t="s">
        <v>1115</v>
      </c>
      <c r="L186" s="193" t="str">
        <f t="shared" si="14"/>
        <v>NO_DATA</v>
      </c>
      <c r="M186" s="193" t="str">
        <f t="shared" si="15"/>
        <v>Monthly</v>
      </c>
      <c r="N186" s="193" t="str">
        <f>IF(NOT(ISNUMBER(H186)),"NO_DATA",IF(NOT(ISNUMBER(I186)),"MONITOR",IF(INDEX(_TARGETS!$E$2:$E$17,MATCH("HCS",_TARGETS!$A$2:$A$17,0))="≤",IF(H186&lt;=I186,"ON_TARGET","OFF_TARGET"),IF(H186&gt;=I186,"ON_TARGET","OFF_TARGET"))))</f>
        <v>NO_DATA</v>
      </c>
      <c r="O186" s="193" t="str">
        <f t="shared" si="16"/>
        <v>Compressor Plant</v>
      </c>
      <c r="P186" s="193" t="str">
        <f ca="1">IF(LEFT(Control!$C$10,4)="ROJO","RED",IF(LEFT(Control!$C$10,8)="AMARILLO","AMBER","GREEN"))</f>
        <v>RED</v>
      </c>
      <c r="Q186" s="193">
        <f>IF(AND(ISNUMBER(MATCH(F186,Datos!$D$3:$AL$3,0)),F186&lt;=RPT_MONTH),1,0)</f>
        <v>0</v>
      </c>
      <c r="R186" s="193" t="str">
        <f t="shared" si="17"/>
        <v>OUT_OF_SCOPE</v>
      </c>
    </row>
    <row r="187" spans="1:18" ht="13.5" customHeight="1" x14ac:dyDescent="0.3">
      <c r="A187" t="s">
        <v>1129</v>
      </c>
      <c r="B187" t="s">
        <v>1130</v>
      </c>
      <c r="C187" t="s">
        <v>998</v>
      </c>
      <c r="D187">
        <v>1</v>
      </c>
      <c r="E187">
        <v>6</v>
      </c>
      <c r="F187" s="258">
        <f>DATE(YEAR(RPT_MONTH),MONTH(RPT_MONTH)-6,1)</f>
        <v>46113</v>
      </c>
      <c r="G187" s="193" t="str">
        <f t="shared" si="13"/>
        <v>Apr-26</v>
      </c>
      <c r="H187" s="193" t="str">
        <f>IFERROR(1*INDEX(BD_KPIs!$F$2:$F$1300,MATCH(YEAR(F187)*100+MONTH(F187)&amp;"|HCS|Monthly",BD_KPIs!$Q$2:$Q$1300,0)),"")</f>
        <v/>
      </c>
      <c r="I187" s="193">
        <f>IF(ISNUMBER(INDEX(_TARGETS!$G$2:$G$17,MATCH("HCS",_TARGETS!$A$2:$A$17,0))),INDEX(_TARGETS!$G$2:$G$17,MATCH("HCS",_TARGETS!$A$2:$A$17,0)),"")</f>
        <v>0.01</v>
      </c>
      <c r="J187" t="s">
        <v>1131</v>
      </c>
      <c r="K187" t="s">
        <v>1115</v>
      </c>
      <c r="L187" s="193" t="str">
        <f t="shared" si="14"/>
        <v>NO_DATA</v>
      </c>
      <c r="M187" s="193" t="str">
        <f t="shared" si="15"/>
        <v>Monthly</v>
      </c>
      <c r="N187" s="193" t="str">
        <f>IF(NOT(ISNUMBER(H187)),"NO_DATA",IF(NOT(ISNUMBER(I187)),"MONITOR",IF(INDEX(_TARGETS!$E$2:$E$17,MATCH("HCS",_TARGETS!$A$2:$A$17,0))="≤",IF(H187&lt;=I187,"ON_TARGET","OFF_TARGET"),IF(H187&gt;=I187,"ON_TARGET","OFF_TARGET"))))</f>
        <v>NO_DATA</v>
      </c>
      <c r="O187" s="193" t="str">
        <f t="shared" si="16"/>
        <v>Compressor Plant</v>
      </c>
      <c r="P187" s="193" t="str">
        <f ca="1">IF(LEFT(Control!$C$10,4)="ROJO","RED",IF(LEFT(Control!$C$10,8)="AMARILLO","AMBER","GREEN"))</f>
        <v>RED</v>
      </c>
      <c r="Q187" s="193">
        <f>IF(AND(ISNUMBER(MATCH(F187,Datos!$D$3:$AL$3,0)),F187&lt;=RPT_MONTH),1,0)</f>
        <v>0</v>
      </c>
      <c r="R187" s="193" t="str">
        <f t="shared" si="17"/>
        <v>OUT_OF_SCOPE</v>
      </c>
    </row>
    <row r="188" spans="1:18" ht="13.5" customHeight="1" x14ac:dyDescent="0.3">
      <c r="A188" t="s">
        <v>1129</v>
      </c>
      <c r="B188" t="s">
        <v>1130</v>
      </c>
      <c r="C188" t="s">
        <v>998</v>
      </c>
      <c r="D188">
        <v>1</v>
      </c>
      <c r="E188">
        <v>7</v>
      </c>
      <c r="F188" s="258">
        <f>DATE(YEAR(RPT_MONTH),MONTH(RPT_MONTH)-5,1)</f>
        <v>46143</v>
      </c>
      <c r="G188" s="193" t="str">
        <f t="shared" si="13"/>
        <v>May-26</v>
      </c>
      <c r="H188" s="193" t="str">
        <f>IFERROR(1*INDEX(BD_KPIs!$F$2:$F$1300,MATCH(YEAR(F188)*100+MONTH(F188)&amp;"|HCS|Monthly",BD_KPIs!$Q$2:$Q$1300,0)),"")</f>
        <v/>
      </c>
      <c r="I188" s="193">
        <f>IF(ISNUMBER(INDEX(_TARGETS!$G$2:$G$17,MATCH("HCS",_TARGETS!$A$2:$A$17,0))),INDEX(_TARGETS!$G$2:$G$17,MATCH("HCS",_TARGETS!$A$2:$A$17,0)),"")</f>
        <v>0.01</v>
      </c>
      <c r="J188" t="s">
        <v>1131</v>
      </c>
      <c r="K188" t="s">
        <v>1115</v>
      </c>
      <c r="L188" s="193" t="str">
        <f t="shared" si="14"/>
        <v>NO_DATA</v>
      </c>
      <c r="M188" s="193" t="str">
        <f t="shared" si="15"/>
        <v>Monthly</v>
      </c>
      <c r="N188" s="193" t="str">
        <f>IF(NOT(ISNUMBER(H188)),"NO_DATA",IF(NOT(ISNUMBER(I188)),"MONITOR",IF(INDEX(_TARGETS!$E$2:$E$17,MATCH("HCS",_TARGETS!$A$2:$A$17,0))="≤",IF(H188&lt;=I188,"ON_TARGET","OFF_TARGET"),IF(H188&gt;=I188,"ON_TARGET","OFF_TARGET"))))</f>
        <v>NO_DATA</v>
      </c>
      <c r="O188" s="193" t="str">
        <f t="shared" si="16"/>
        <v>Compressor Plant</v>
      </c>
      <c r="P188" s="193" t="str">
        <f ca="1">IF(LEFT(Control!$C$10,4)="ROJO","RED",IF(LEFT(Control!$C$10,8)="AMARILLO","AMBER","GREEN"))</f>
        <v>RED</v>
      </c>
      <c r="Q188" s="193">
        <f>IF(AND(ISNUMBER(MATCH(F188,Datos!$D$3:$AL$3,0)),F188&lt;=RPT_MONTH),1,0)</f>
        <v>0</v>
      </c>
      <c r="R188" s="193" t="str">
        <f t="shared" si="17"/>
        <v>OUT_OF_SCOPE</v>
      </c>
    </row>
    <row r="189" spans="1:18" ht="13.5" customHeight="1" x14ac:dyDescent="0.3">
      <c r="A189" t="s">
        <v>1129</v>
      </c>
      <c r="B189" t="s">
        <v>1130</v>
      </c>
      <c r="C189" t="s">
        <v>998</v>
      </c>
      <c r="D189">
        <v>1</v>
      </c>
      <c r="E189">
        <v>8</v>
      </c>
      <c r="F189" s="258">
        <f>DATE(YEAR(RPT_MONTH),MONTH(RPT_MONTH)-4,1)</f>
        <v>46174</v>
      </c>
      <c r="G189" s="193" t="str">
        <f t="shared" si="13"/>
        <v>Jun-26</v>
      </c>
      <c r="H189" s="193" t="str">
        <f>IFERROR(1*INDEX(BD_KPIs!$F$2:$F$1300,MATCH(YEAR(F189)*100+MONTH(F189)&amp;"|HCS|Monthly",BD_KPIs!$Q$2:$Q$1300,0)),"")</f>
        <v/>
      </c>
      <c r="I189" s="193">
        <f>IF(ISNUMBER(INDEX(_TARGETS!$G$2:$G$17,MATCH("HCS",_TARGETS!$A$2:$A$17,0))),INDEX(_TARGETS!$G$2:$G$17,MATCH("HCS",_TARGETS!$A$2:$A$17,0)),"")</f>
        <v>0.01</v>
      </c>
      <c r="J189" t="s">
        <v>1131</v>
      </c>
      <c r="K189" t="s">
        <v>1115</v>
      </c>
      <c r="L189" s="193" t="str">
        <f t="shared" si="14"/>
        <v>NO_DATA</v>
      </c>
      <c r="M189" s="193" t="str">
        <f t="shared" si="15"/>
        <v>Monthly</v>
      </c>
      <c r="N189" s="193" t="str">
        <f>IF(NOT(ISNUMBER(H189)),"NO_DATA",IF(NOT(ISNUMBER(I189)),"MONITOR",IF(INDEX(_TARGETS!$E$2:$E$17,MATCH("HCS",_TARGETS!$A$2:$A$17,0))="≤",IF(H189&lt;=I189,"ON_TARGET","OFF_TARGET"),IF(H189&gt;=I189,"ON_TARGET","OFF_TARGET"))))</f>
        <v>NO_DATA</v>
      </c>
      <c r="O189" s="193" t="str">
        <f t="shared" si="16"/>
        <v>Compressor Plant</v>
      </c>
      <c r="P189" s="193" t="str">
        <f ca="1">IF(LEFT(Control!$C$10,4)="ROJO","RED",IF(LEFT(Control!$C$10,8)="AMARILLO","AMBER","GREEN"))</f>
        <v>RED</v>
      </c>
      <c r="Q189" s="193">
        <f>IF(AND(ISNUMBER(MATCH(F189,Datos!$D$3:$AL$3,0)),F189&lt;=RPT_MONTH),1,0)</f>
        <v>0</v>
      </c>
      <c r="R189" s="193" t="str">
        <f t="shared" si="17"/>
        <v>OUT_OF_SCOPE</v>
      </c>
    </row>
    <row r="190" spans="1:18" ht="13.5" customHeight="1" x14ac:dyDescent="0.3">
      <c r="A190" t="s">
        <v>1129</v>
      </c>
      <c r="B190" t="s">
        <v>1130</v>
      </c>
      <c r="C190" t="s">
        <v>998</v>
      </c>
      <c r="D190">
        <v>1</v>
      </c>
      <c r="E190">
        <v>9</v>
      </c>
      <c r="F190" s="258">
        <f>DATE(YEAR(RPT_MONTH),MONTH(RPT_MONTH)-3,1)</f>
        <v>46204</v>
      </c>
      <c r="G190" s="193" t="str">
        <f t="shared" si="13"/>
        <v>Jul-26</v>
      </c>
      <c r="H190" s="193" t="str">
        <f>IFERROR(1*INDEX(BD_KPIs!$F$2:$F$1300,MATCH(YEAR(F190)*100+MONTH(F190)&amp;"|HCS|Monthly",BD_KPIs!$Q$2:$Q$1300,0)),"")</f>
        <v/>
      </c>
      <c r="I190" s="193">
        <f>IF(ISNUMBER(INDEX(_TARGETS!$G$2:$G$17,MATCH("HCS",_TARGETS!$A$2:$A$17,0))),INDEX(_TARGETS!$G$2:$G$17,MATCH("HCS",_TARGETS!$A$2:$A$17,0)),"")</f>
        <v>0.01</v>
      </c>
      <c r="J190" t="s">
        <v>1131</v>
      </c>
      <c r="K190" t="s">
        <v>1115</v>
      </c>
      <c r="L190" s="193" t="str">
        <f t="shared" si="14"/>
        <v>NO_DATA</v>
      </c>
      <c r="M190" s="193" t="str">
        <f t="shared" si="15"/>
        <v>Monthly</v>
      </c>
      <c r="N190" s="193" t="str">
        <f>IF(NOT(ISNUMBER(H190)),"NO_DATA",IF(NOT(ISNUMBER(I190)),"MONITOR",IF(INDEX(_TARGETS!$E$2:$E$17,MATCH("HCS",_TARGETS!$A$2:$A$17,0))="≤",IF(H190&lt;=I190,"ON_TARGET","OFF_TARGET"),IF(H190&gt;=I190,"ON_TARGET","OFF_TARGET"))))</f>
        <v>NO_DATA</v>
      </c>
      <c r="O190" s="193" t="str">
        <f t="shared" si="16"/>
        <v>Compressor Plant</v>
      </c>
      <c r="P190" s="193" t="str">
        <f ca="1">IF(LEFT(Control!$C$10,4)="ROJO","RED",IF(LEFT(Control!$C$10,8)="AMARILLO","AMBER","GREEN"))</f>
        <v>RED</v>
      </c>
      <c r="Q190" s="193">
        <f>IF(AND(ISNUMBER(MATCH(F190,Datos!$D$3:$AL$3,0)),F190&lt;=RPT_MONTH),1,0)</f>
        <v>0</v>
      </c>
      <c r="R190" s="193" t="str">
        <f t="shared" si="17"/>
        <v>OUT_OF_SCOPE</v>
      </c>
    </row>
    <row r="191" spans="1:18" ht="13.5" customHeight="1" x14ac:dyDescent="0.3">
      <c r="A191" t="s">
        <v>1129</v>
      </c>
      <c r="B191" t="s">
        <v>1130</v>
      </c>
      <c r="C191" t="s">
        <v>998</v>
      </c>
      <c r="D191">
        <v>1</v>
      </c>
      <c r="E191">
        <v>10</v>
      </c>
      <c r="F191" s="258">
        <f>DATE(YEAR(RPT_MONTH),MONTH(RPT_MONTH)-2,1)</f>
        <v>46235</v>
      </c>
      <c r="G191" s="193" t="str">
        <f t="shared" si="13"/>
        <v>Aug-26</v>
      </c>
      <c r="H191" s="193">
        <f>IFERROR(1*INDEX(BD_KPIs!$F$2:$F$1300,MATCH(YEAR(F191)*100+MONTH(F191)&amp;"|HCS|Monthly",BD_KPIs!$Q$2:$Q$1300,0)),"")</f>
        <v>0.0548112058465286</v>
      </c>
      <c r="I191" s="193">
        <f>IF(ISNUMBER(INDEX(_TARGETS!$G$2:$G$17,MATCH("HCS",_TARGETS!$A$2:$A$17,0))),INDEX(_TARGETS!$G$2:$G$17,MATCH("HCS",_TARGETS!$A$2:$A$17,0)),"")</f>
        <v>0.01</v>
      </c>
      <c r="J191" t="s">
        <v>1131</v>
      </c>
      <c r="K191" t="s">
        <v>1115</v>
      </c>
      <c r="L191" s="193" t="str">
        <f t="shared" si="14"/>
        <v>OK</v>
      </c>
      <c r="M191" s="193" t="str">
        <f t="shared" si="15"/>
        <v>Monthly</v>
      </c>
      <c r="N191" s="193" t="str">
        <f>IF(NOT(ISNUMBER(H191)),"NO_DATA",IF(NOT(ISNUMBER(I191)),"MONITOR",IF(INDEX(_TARGETS!$E$2:$E$17,MATCH("HCS",_TARGETS!$A$2:$A$17,0))="≤",IF(H191&lt;=I191,"ON_TARGET","OFF_TARGET"),IF(H191&gt;=I191,"ON_TARGET","OFF_TARGET"))))</f>
        <v>ON_TARGET</v>
      </c>
      <c r="O191" s="193" t="str">
        <f t="shared" si="16"/>
        <v>Compressor Plant</v>
      </c>
      <c r="P191" s="193" t="str">
        <f ca="1">IF(LEFT(Control!$C$10,4)="ROJO","RED",IF(LEFT(Control!$C$10,8)="AMARILLO","AMBER","GREEN"))</f>
        <v>RED</v>
      </c>
      <c r="Q191" s="193">
        <f>IF(AND(ISNUMBER(MATCH(F191,Datos!$D$3:$AL$3,0)),F191&lt;=RPT_MONTH),1,0)</f>
        <v>1</v>
      </c>
      <c r="R191" s="193" t="str">
        <f t="shared" si="17"/>
        <v>OK</v>
      </c>
    </row>
    <row r="192" spans="1:18" ht="13.5" customHeight="1" x14ac:dyDescent="0.3">
      <c r="A192" t="s">
        <v>1129</v>
      </c>
      <c r="B192" t="s">
        <v>1130</v>
      </c>
      <c r="C192" t="s">
        <v>998</v>
      </c>
      <c r="D192">
        <v>1</v>
      </c>
      <c r="E192">
        <v>11</v>
      </c>
      <c r="F192" s="258">
        <f>DATE(YEAR(RPT_MONTH),MONTH(RPT_MONTH)-1,1)</f>
        <v>46266</v>
      </c>
      <c r="G192" s="193" t="str">
        <f t="shared" si="13"/>
        <v>Sep-26</v>
      </c>
      <c r="H192" s="193">
        <f>IFERROR(1*INDEX(BD_KPIs!$F$2:$F$1300,MATCH(YEAR(F192)*100+MONTH(F192)&amp;"|HCS|Monthly",BD_KPIs!$Q$2:$Q$1300,0)),"")</f>
        <v>0.03515625</v>
      </c>
      <c r="I192" s="193">
        <f>IF(ISNUMBER(INDEX(_TARGETS!$G$2:$G$17,MATCH("HCS",_TARGETS!$A$2:$A$17,0))),INDEX(_TARGETS!$G$2:$G$17,MATCH("HCS",_TARGETS!$A$2:$A$17,0)),"")</f>
        <v>0.01</v>
      </c>
      <c r="J192" t="s">
        <v>1131</v>
      </c>
      <c r="K192" t="s">
        <v>1115</v>
      </c>
      <c r="L192" s="193" t="str">
        <f t="shared" si="14"/>
        <v>OK</v>
      </c>
      <c r="M192" s="193" t="str">
        <f t="shared" si="15"/>
        <v>Monthly</v>
      </c>
      <c r="N192" s="193" t="str">
        <f>IF(NOT(ISNUMBER(H192)),"NO_DATA",IF(NOT(ISNUMBER(I192)),"MONITOR",IF(INDEX(_TARGETS!$E$2:$E$17,MATCH("HCS",_TARGETS!$A$2:$A$17,0))="≤",IF(H192&lt;=I192,"ON_TARGET","OFF_TARGET"),IF(H192&gt;=I192,"ON_TARGET","OFF_TARGET"))))</f>
        <v>ON_TARGET</v>
      </c>
      <c r="O192" s="193" t="str">
        <f t="shared" si="16"/>
        <v>Compressor Plant</v>
      </c>
      <c r="P192" s="193" t="str">
        <f ca="1">IF(LEFT(Control!$C$10,4)="ROJO","RED",IF(LEFT(Control!$C$10,8)="AMARILLO","AMBER","GREEN"))</f>
        <v>RED</v>
      </c>
      <c r="Q192" s="193">
        <f>IF(AND(ISNUMBER(MATCH(F192,Datos!$D$3:$AL$3,0)),F192&lt;=RPT_MONTH),1,0)</f>
        <v>1</v>
      </c>
      <c r="R192" s="193" t="str">
        <f t="shared" si="17"/>
        <v>OK</v>
      </c>
    </row>
    <row r="193" spans="1:18" ht="13.5" customHeight="1" x14ac:dyDescent="0.3">
      <c r="A193" t="s">
        <v>1129</v>
      </c>
      <c r="B193" t="s">
        <v>1130</v>
      </c>
      <c r="C193" t="s">
        <v>998</v>
      </c>
      <c r="D193">
        <v>1</v>
      </c>
      <c r="E193">
        <v>12</v>
      </c>
      <c r="F193" s="258">
        <f>DATE(YEAR(RPT_MONTH),MONTH(RPT_MONTH)-0,1)</f>
        <v>46296</v>
      </c>
      <c r="G193" s="193" t="str">
        <f t="shared" si="13"/>
        <v>Oct-26</v>
      </c>
      <c r="H193" s="193" t="str">
        <f>IFERROR(1*INDEX(BD_KPIs!$F$2:$F$1300,MATCH(YEAR(F193)*100+MONTH(F193)&amp;"|HCS|Monthly",BD_KPIs!$Q$2:$Q$1300,0)),"")</f>
        <v/>
      </c>
      <c r="I193" s="193">
        <f>IF(ISNUMBER(INDEX(_TARGETS!$G$2:$G$17,MATCH("HCS",_TARGETS!$A$2:$A$17,0))),INDEX(_TARGETS!$G$2:$G$17,MATCH("HCS",_TARGETS!$A$2:$A$17,0)),"")</f>
        <v>0.01</v>
      </c>
      <c r="J193" t="s">
        <v>1131</v>
      </c>
      <c r="K193" t="s">
        <v>1115</v>
      </c>
      <c r="L193" s="193" t="str">
        <f t="shared" si="14"/>
        <v>NO_DATA</v>
      </c>
      <c r="M193" s="193" t="str">
        <f t="shared" si="15"/>
        <v>Monthly</v>
      </c>
      <c r="N193" s="193" t="str">
        <f>IF(NOT(ISNUMBER(H193)),"NO_DATA",IF(NOT(ISNUMBER(I193)),"MONITOR",IF(INDEX(_TARGETS!$E$2:$E$17,MATCH("HCS",_TARGETS!$A$2:$A$17,0))="≤",IF(H193&lt;=I193,"ON_TARGET","OFF_TARGET"),IF(H193&gt;=I193,"ON_TARGET","OFF_TARGET"))))</f>
        <v>NO_DATA</v>
      </c>
      <c r="O193" s="193" t="str">
        <f t="shared" si="16"/>
        <v>Compressor Plant</v>
      </c>
      <c r="P193" s="193" t="str">
        <f ca="1">IF(LEFT(Control!$C$10,4)="ROJO","RED",IF(LEFT(Control!$C$10,8)="AMARILLO","AMBER","GREEN"))</f>
        <v>RED</v>
      </c>
      <c r="Q193" s="193">
        <f>IF(AND(ISNUMBER(MATCH(F193,Datos!$D$3:$AL$3,0)),F193&lt;=RPT_MONTH),1,0)</f>
        <v>1</v>
      </c>
      <c r="R193" s="193" t="str">
        <f t="shared" si="17"/>
        <v>MISSING</v>
      </c>
    </row>
    <row r="194" spans="1:18" ht="13.5" customHeight="1" x14ac:dyDescent="0.3">
      <c r="A194" t="s">
        <v>1132</v>
      </c>
      <c r="B194" t="s">
        <v>1133</v>
      </c>
      <c r="C194" t="s">
        <v>1064</v>
      </c>
      <c r="D194">
        <v>1</v>
      </c>
      <c r="E194">
        <v>1</v>
      </c>
      <c r="F194" s="258">
        <f>DATE(YEAR(RPT_MONTH),MONTH(RPT_MONTH)-11,1)</f>
        <v>45962</v>
      </c>
      <c r="G194" s="193" t="str">
        <f t="shared" ref="G194:G257" si="18">CHOOSE(MONTH(F194),"Jan","Feb","Mar","Apr","May","Jun","Jul","Aug","Sep","Oct","Nov","Dec")&amp;"-"&amp;RIGHT(YEAR(F194),2)</f>
        <v>Nov-25</v>
      </c>
      <c r="H194" s="193" t="str">
        <f>IFERROR(IF(OR(COUNT('Observaciones-SMP'!$B$2:$B$1001)=0,F194&lt;DATE(YEAR(MIN('Observaciones-SMP'!$B$2:$B$1001)),MONTH(MIN('Observaciones-SMP'!$B$2:$B$1001)),1),F194&gt;RPT_MONTH),"",INDEX(Datos!$D$70:$AL$70,MATCH(F194,Datos!$D$3:$AL$3,0))),"")</f>
        <v/>
      </c>
      <c r="J194" t="s">
        <v>1134</v>
      </c>
      <c r="K194" t="s">
        <v>1135</v>
      </c>
      <c r="L194" s="193" t="str">
        <f t="shared" ref="L194:L257" si="19">IF(ISNUMBER(H194),"OK","NO_DATA")</f>
        <v>NO_DATA</v>
      </c>
      <c r="M194" s="193" t="str">
        <f t="shared" ref="M194:M257" si="20">IF(RIGHT(B194,2)="_Y","YTD",IF(OR(B194="F_OPEN",B194="HIGH_OPEN"),"Month-end",IF(B194="ENV_STATUS","n/a","Monthly")))</f>
        <v>Monthly</v>
      </c>
      <c r="N194" s="193" t="str">
        <f t="shared" ref="N194:N225" si="21">IF(ISNUMBER(H194),"CONTEXT","NO_DATA")</f>
        <v>NO_DATA</v>
      </c>
      <c r="O194" s="193" t="str">
        <f t="shared" ref="O194:O257" si="22">RPT_SCOPE</f>
        <v>Compressor Plant</v>
      </c>
      <c r="P194" s="193" t="str">
        <f ca="1">IF(LEFT(Control!$C$10,4)="ROJO","RED",IF(LEFT(Control!$C$10,8)="AMARILLO","AMBER","GREEN"))</f>
        <v>RED</v>
      </c>
      <c r="Q194" s="193">
        <f>IF(OR(COUNT('Observaciones-SMP'!$B$2:$B$1001)=0,F194&lt;DATE(YEAR(MIN('Observaciones-SMP'!$B$2:$B$1001)),MONTH(MIN('Observaciones-SMP'!$B$2:$B$1001)),1),F194&gt;RPT_MONTH,ISNA(MATCH(F194,Datos!$D$3:$AL$3,0))),0,1)</f>
        <v>0</v>
      </c>
      <c r="R194" s="193" t="str">
        <f t="shared" ref="R194:R257" si="23">IF(A194="CH_ENV","PENDING_DEFINITION",IF(Q194=1,IF(L194="OK","OK","MISSING"),IF(ISNUMBER(H194),"CHECK","OUT_OF_SCOPE")))</f>
        <v>OUT_OF_SCOPE</v>
      </c>
    </row>
    <row r="195" spans="1:18" ht="13.5" customHeight="1" x14ac:dyDescent="0.3">
      <c r="A195" t="s">
        <v>1132</v>
      </c>
      <c r="B195" t="s">
        <v>1133</v>
      </c>
      <c r="C195" t="s">
        <v>1064</v>
      </c>
      <c r="D195">
        <v>1</v>
      </c>
      <c r="E195">
        <v>2</v>
      </c>
      <c r="F195" s="258">
        <f>DATE(YEAR(RPT_MONTH),MONTH(RPT_MONTH)-10,1)</f>
        <v>45992</v>
      </c>
      <c r="G195" s="193" t="str">
        <f t="shared" si="18"/>
        <v>Dec-25</v>
      </c>
      <c r="H195" s="193" t="str">
        <f>IFERROR(IF(OR(COUNT('Observaciones-SMP'!$B$2:$B$1001)=0,F195&lt;DATE(YEAR(MIN('Observaciones-SMP'!$B$2:$B$1001)),MONTH(MIN('Observaciones-SMP'!$B$2:$B$1001)),1),F195&gt;RPT_MONTH),"",INDEX(Datos!$D$70:$AL$70,MATCH(F195,Datos!$D$3:$AL$3,0))),"")</f>
        <v/>
      </c>
      <c r="J195" t="s">
        <v>1134</v>
      </c>
      <c r="K195" t="s">
        <v>1135</v>
      </c>
      <c r="L195" s="193" t="str">
        <f t="shared" si="19"/>
        <v>NO_DATA</v>
      </c>
      <c r="M195" s="193" t="str">
        <f t="shared" si="20"/>
        <v>Monthly</v>
      </c>
      <c r="N195" s="193" t="str">
        <f t="shared" si="21"/>
        <v>NO_DATA</v>
      </c>
      <c r="O195" s="193" t="str">
        <f t="shared" si="22"/>
        <v>Compressor Plant</v>
      </c>
      <c r="P195" s="193" t="str">
        <f ca="1">IF(LEFT(Control!$C$10,4)="ROJO","RED",IF(LEFT(Control!$C$10,8)="AMARILLO","AMBER","GREEN"))</f>
        <v>RED</v>
      </c>
      <c r="Q195" s="193">
        <f>IF(OR(COUNT('Observaciones-SMP'!$B$2:$B$1001)=0,F195&lt;DATE(YEAR(MIN('Observaciones-SMP'!$B$2:$B$1001)),MONTH(MIN('Observaciones-SMP'!$B$2:$B$1001)),1),F195&gt;RPT_MONTH,ISNA(MATCH(F195,Datos!$D$3:$AL$3,0))),0,1)</f>
        <v>0</v>
      </c>
      <c r="R195" s="193" t="str">
        <f t="shared" si="23"/>
        <v>OUT_OF_SCOPE</v>
      </c>
    </row>
    <row r="196" spans="1:18" ht="13.5" customHeight="1" x14ac:dyDescent="0.3">
      <c r="A196" t="s">
        <v>1132</v>
      </c>
      <c r="B196" t="s">
        <v>1133</v>
      </c>
      <c r="C196" t="s">
        <v>1064</v>
      </c>
      <c r="D196">
        <v>1</v>
      </c>
      <c r="E196">
        <v>3</v>
      </c>
      <c r="F196" s="258">
        <f>DATE(YEAR(RPT_MONTH),MONTH(RPT_MONTH)-9,1)</f>
        <v>46023</v>
      </c>
      <c r="G196" s="193" t="str">
        <f t="shared" si="18"/>
        <v>Jan-26</v>
      </c>
      <c r="H196" s="193" t="str">
        <f>IFERROR(IF(OR(COUNT('Observaciones-SMP'!$B$2:$B$1001)=0,F196&lt;DATE(YEAR(MIN('Observaciones-SMP'!$B$2:$B$1001)),MONTH(MIN('Observaciones-SMP'!$B$2:$B$1001)),1),F196&gt;RPT_MONTH),"",INDEX(Datos!$D$70:$AL$70,MATCH(F196,Datos!$D$3:$AL$3,0))),"")</f>
        <v/>
      </c>
      <c r="J196" t="s">
        <v>1134</v>
      </c>
      <c r="K196" t="s">
        <v>1135</v>
      </c>
      <c r="L196" s="193" t="str">
        <f t="shared" si="19"/>
        <v>NO_DATA</v>
      </c>
      <c r="M196" s="193" t="str">
        <f t="shared" si="20"/>
        <v>Monthly</v>
      </c>
      <c r="N196" s="193" t="str">
        <f t="shared" si="21"/>
        <v>NO_DATA</v>
      </c>
      <c r="O196" s="193" t="str">
        <f t="shared" si="22"/>
        <v>Compressor Plant</v>
      </c>
      <c r="P196" s="193" t="str">
        <f ca="1">IF(LEFT(Control!$C$10,4)="ROJO","RED",IF(LEFT(Control!$C$10,8)="AMARILLO","AMBER","GREEN"))</f>
        <v>RED</v>
      </c>
      <c r="Q196" s="193">
        <f>IF(OR(COUNT('Observaciones-SMP'!$B$2:$B$1001)=0,F196&lt;DATE(YEAR(MIN('Observaciones-SMP'!$B$2:$B$1001)),MONTH(MIN('Observaciones-SMP'!$B$2:$B$1001)),1),F196&gt;RPT_MONTH,ISNA(MATCH(F196,Datos!$D$3:$AL$3,0))),0,1)</f>
        <v>0</v>
      </c>
      <c r="R196" s="193" t="str">
        <f t="shared" si="23"/>
        <v>OUT_OF_SCOPE</v>
      </c>
    </row>
    <row r="197" spans="1:18" ht="13.5" customHeight="1" x14ac:dyDescent="0.3">
      <c r="A197" t="s">
        <v>1132</v>
      </c>
      <c r="B197" t="s">
        <v>1133</v>
      </c>
      <c r="C197" t="s">
        <v>1064</v>
      </c>
      <c r="D197">
        <v>1</v>
      </c>
      <c r="E197">
        <v>4</v>
      </c>
      <c r="F197" s="258">
        <f>DATE(YEAR(RPT_MONTH),MONTH(RPT_MONTH)-8,1)</f>
        <v>46054</v>
      </c>
      <c r="G197" s="193" t="str">
        <f t="shared" si="18"/>
        <v>Feb-26</v>
      </c>
      <c r="H197" s="193" t="str">
        <f>IFERROR(IF(OR(COUNT('Observaciones-SMP'!$B$2:$B$1001)=0,F197&lt;DATE(YEAR(MIN('Observaciones-SMP'!$B$2:$B$1001)),MONTH(MIN('Observaciones-SMP'!$B$2:$B$1001)),1),F197&gt;RPT_MONTH),"",INDEX(Datos!$D$70:$AL$70,MATCH(F197,Datos!$D$3:$AL$3,0))),"")</f>
        <v/>
      </c>
      <c r="J197" t="s">
        <v>1134</v>
      </c>
      <c r="K197" t="s">
        <v>1135</v>
      </c>
      <c r="L197" s="193" t="str">
        <f t="shared" si="19"/>
        <v>NO_DATA</v>
      </c>
      <c r="M197" s="193" t="str">
        <f t="shared" si="20"/>
        <v>Monthly</v>
      </c>
      <c r="N197" s="193" t="str">
        <f t="shared" si="21"/>
        <v>NO_DATA</v>
      </c>
      <c r="O197" s="193" t="str">
        <f t="shared" si="22"/>
        <v>Compressor Plant</v>
      </c>
      <c r="P197" s="193" t="str">
        <f ca="1">IF(LEFT(Control!$C$10,4)="ROJO","RED",IF(LEFT(Control!$C$10,8)="AMARILLO","AMBER","GREEN"))</f>
        <v>RED</v>
      </c>
      <c r="Q197" s="193">
        <f>IF(OR(COUNT('Observaciones-SMP'!$B$2:$B$1001)=0,F197&lt;DATE(YEAR(MIN('Observaciones-SMP'!$B$2:$B$1001)),MONTH(MIN('Observaciones-SMP'!$B$2:$B$1001)),1),F197&gt;RPT_MONTH,ISNA(MATCH(F197,Datos!$D$3:$AL$3,0))),0,1)</f>
        <v>0</v>
      </c>
      <c r="R197" s="193" t="str">
        <f t="shared" si="23"/>
        <v>OUT_OF_SCOPE</v>
      </c>
    </row>
    <row r="198" spans="1:18" ht="13.5" customHeight="1" x14ac:dyDescent="0.3">
      <c r="A198" t="s">
        <v>1132</v>
      </c>
      <c r="B198" t="s">
        <v>1133</v>
      </c>
      <c r="C198" t="s">
        <v>1064</v>
      </c>
      <c r="D198">
        <v>1</v>
      </c>
      <c r="E198">
        <v>5</v>
      </c>
      <c r="F198" s="258">
        <f>DATE(YEAR(RPT_MONTH),MONTH(RPT_MONTH)-7,1)</f>
        <v>46082</v>
      </c>
      <c r="G198" s="193" t="str">
        <f t="shared" si="18"/>
        <v>Mar-26</v>
      </c>
      <c r="H198" s="193" t="str">
        <f>IFERROR(IF(OR(COUNT('Observaciones-SMP'!$B$2:$B$1001)=0,F198&lt;DATE(YEAR(MIN('Observaciones-SMP'!$B$2:$B$1001)),MONTH(MIN('Observaciones-SMP'!$B$2:$B$1001)),1),F198&gt;RPT_MONTH),"",INDEX(Datos!$D$70:$AL$70,MATCH(F198,Datos!$D$3:$AL$3,0))),"")</f>
        <v/>
      </c>
      <c r="J198" t="s">
        <v>1134</v>
      </c>
      <c r="K198" t="s">
        <v>1135</v>
      </c>
      <c r="L198" s="193" t="str">
        <f t="shared" si="19"/>
        <v>NO_DATA</v>
      </c>
      <c r="M198" s="193" t="str">
        <f t="shared" si="20"/>
        <v>Monthly</v>
      </c>
      <c r="N198" s="193" t="str">
        <f t="shared" si="21"/>
        <v>NO_DATA</v>
      </c>
      <c r="O198" s="193" t="str">
        <f t="shared" si="22"/>
        <v>Compressor Plant</v>
      </c>
      <c r="P198" s="193" t="str">
        <f ca="1">IF(LEFT(Control!$C$10,4)="ROJO","RED",IF(LEFT(Control!$C$10,8)="AMARILLO","AMBER","GREEN"))</f>
        <v>RED</v>
      </c>
      <c r="Q198" s="193">
        <f>IF(OR(COUNT('Observaciones-SMP'!$B$2:$B$1001)=0,F198&lt;DATE(YEAR(MIN('Observaciones-SMP'!$B$2:$B$1001)),MONTH(MIN('Observaciones-SMP'!$B$2:$B$1001)),1),F198&gt;RPT_MONTH,ISNA(MATCH(F198,Datos!$D$3:$AL$3,0))),0,1)</f>
        <v>0</v>
      </c>
      <c r="R198" s="193" t="str">
        <f t="shared" si="23"/>
        <v>OUT_OF_SCOPE</v>
      </c>
    </row>
    <row r="199" spans="1:18" ht="13.5" customHeight="1" x14ac:dyDescent="0.3">
      <c r="A199" t="s">
        <v>1132</v>
      </c>
      <c r="B199" t="s">
        <v>1133</v>
      </c>
      <c r="C199" t="s">
        <v>1064</v>
      </c>
      <c r="D199">
        <v>1</v>
      </c>
      <c r="E199">
        <v>6</v>
      </c>
      <c r="F199" s="258">
        <f>DATE(YEAR(RPT_MONTH),MONTH(RPT_MONTH)-6,1)</f>
        <v>46113</v>
      </c>
      <c r="G199" s="193" t="str">
        <f t="shared" si="18"/>
        <v>Apr-26</v>
      </c>
      <c r="H199" s="193" t="str">
        <f>IFERROR(IF(OR(COUNT('Observaciones-SMP'!$B$2:$B$1001)=0,F199&lt;DATE(YEAR(MIN('Observaciones-SMP'!$B$2:$B$1001)),MONTH(MIN('Observaciones-SMP'!$B$2:$B$1001)),1),F199&gt;RPT_MONTH),"",INDEX(Datos!$D$70:$AL$70,MATCH(F199,Datos!$D$3:$AL$3,0))),"")</f>
        <v/>
      </c>
      <c r="J199" t="s">
        <v>1134</v>
      </c>
      <c r="K199" t="s">
        <v>1135</v>
      </c>
      <c r="L199" s="193" t="str">
        <f t="shared" si="19"/>
        <v>NO_DATA</v>
      </c>
      <c r="M199" s="193" t="str">
        <f t="shared" si="20"/>
        <v>Monthly</v>
      </c>
      <c r="N199" s="193" t="str">
        <f t="shared" si="21"/>
        <v>NO_DATA</v>
      </c>
      <c r="O199" s="193" t="str">
        <f t="shared" si="22"/>
        <v>Compressor Plant</v>
      </c>
      <c r="P199" s="193" t="str">
        <f ca="1">IF(LEFT(Control!$C$10,4)="ROJO","RED",IF(LEFT(Control!$C$10,8)="AMARILLO","AMBER","GREEN"))</f>
        <v>RED</v>
      </c>
      <c r="Q199" s="193">
        <f>IF(OR(COUNT('Observaciones-SMP'!$B$2:$B$1001)=0,F199&lt;DATE(YEAR(MIN('Observaciones-SMP'!$B$2:$B$1001)),MONTH(MIN('Observaciones-SMP'!$B$2:$B$1001)),1),F199&gt;RPT_MONTH,ISNA(MATCH(F199,Datos!$D$3:$AL$3,0))),0,1)</f>
        <v>0</v>
      </c>
      <c r="R199" s="193" t="str">
        <f t="shared" si="23"/>
        <v>OUT_OF_SCOPE</v>
      </c>
    </row>
    <row r="200" spans="1:18" ht="13.5" customHeight="1" x14ac:dyDescent="0.3">
      <c r="A200" t="s">
        <v>1132</v>
      </c>
      <c r="B200" t="s">
        <v>1133</v>
      </c>
      <c r="C200" t="s">
        <v>1064</v>
      </c>
      <c r="D200">
        <v>1</v>
      </c>
      <c r="E200">
        <v>7</v>
      </c>
      <c r="F200" s="258">
        <f>DATE(YEAR(RPT_MONTH),MONTH(RPT_MONTH)-5,1)</f>
        <v>46143</v>
      </c>
      <c r="G200" s="193" t="str">
        <f t="shared" si="18"/>
        <v>May-26</v>
      </c>
      <c r="H200" s="193" t="str">
        <f>IFERROR(IF(OR(COUNT('Observaciones-SMP'!$B$2:$B$1001)=0,F200&lt;DATE(YEAR(MIN('Observaciones-SMP'!$B$2:$B$1001)),MONTH(MIN('Observaciones-SMP'!$B$2:$B$1001)),1),F200&gt;RPT_MONTH),"",INDEX(Datos!$D$70:$AL$70,MATCH(F200,Datos!$D$3:$AL$3,0))),"")</f>
        <v/>
      </c>
      <c r="J200" t="s">
        <v>1134</v>
      </c>
      <c r="K200" t="s">
        <v>1135</v>
      </c>
      <c r="L200" s="193" t="str">
        <f t="shared" si="19"/>
        <v>NO_DATA</v>
      </c>
      <c r="M200" s="193" t="str">
        <f t="shared" si="20"/>
        <v>Monthly</v>
      </c>
      <c r="N200" s="193" t="str">
        <f t="shared" si="21"/>
        <v>NO_DATA</v>
      </c>
      <c r="O200" s="193" t="str">
        <f t="shared" si="22"/>
        <v>Compressor Plant</v>
      </c>
      <c r="P200" s="193" t="str">
        <f ca="1">IF(LEFT(Control!$C$10,4)="ROJO","RED",IF(LEFT(Control!$C$10,8)="AMARILLO","AMBER","GREEN"))</f>
        <v>RED</v>
      </c>
      <c r="Q200" s="193">
        <f>IF(OR(COUNT('Observaciones-SMP'!$B$2:$B$1001)=0,F200&lt;DATE(YEAR(MIN('Observaciones-SMP'!$B$2:$B$1001)),MONTH(MIN('Observaciones-SMP'!$B$2:$B$1001)),1),F200&gt;RPT_MONTH,ISNA(MATCH(F200,Datos!$D$3:$AL$3,0))),0,1)</f>
        <v>0</v>
      </c>
      <c r="R200" s="193" t="str">
        <f t="shared" si="23"/>
        <v>OUT_OF_SCOPE</v>
      </c>
    </row>
    <row r="201" spans="1:18" ht="13.5" customHeight="1" x14ac:dyDescent="0.3">
      <c r="A201" t="s">
        <v>1132</v>
      </c>
      <c r="B201" t="s">
        <v>1133</v>
      </c>
      <c r="C201" t="s">
        <v>1064</v>
      </c>
      <c r="D201">
        <v>1</v>
      </c>
      <c r="E201">
        <v>8</v>
      </c>
      <c r="F201" s="258">
        <f>DATE(YEAR(RPT_MONTH),MONTH(RPT_MONTH)-4,1)</f>
        <v>46174</v>
      </c>
      <c r="G201" s="193" t="str">
        <f t="shared" si="18"/>
        <v>Jun-26</v>
      </c>
      <c r="H201" s="193" t="str">
        <f>IFERROR(IF(OR(COUNT('Observaciones-SMP'!$B$2:$B$1001)=0,F201&lt;DATE(YEAR(MIN('Observaciones-SMP'!$B$2:$B$1001)),MONTH(MIN('Observaciones-SMP'!$B$2:$B$1001)),1),F201&gt;RPT_MONTH),"",INDEX(Datos!$D$70:$AL$70,MATCH(F201,Datos!$D$3:$AL$3,0))),"")</f>
        <v/>
      </c>
      <c r="J201" t="s">
        <v>1134</v>
      </c>
      <c r="K201" t="s">
        <v>1135</v>
      </c>
      <c r="L201" s="193" t="str">
        <f t="shared" si="19"/>
        <v>NO_DATA</v>
      </c>
      <c r="M201" s="193" t="str">
        <f t="shared" si="20"/>
        <v>Monthly</v>
      </c>
      <c r="N201" s="193" t="str">
        <f t="shared" si="21"/>
        <v>NO_DATA</v>
      </c>
      <c r="O201" s="193" t="str">
        <f t="shared" si="22"/>
        <v>Compressor Plant</v>
      </c>
      <c r="P201" s="193" t="str">
        <f ca="1">IF(LEFT(Control!$C$10,4)="ROJO","RED",IF(LEFT(Control!$C$10,8)="AMARILLO","AMBER","GREEN"))</f>
        <v>RED</v>
      </c>
      <c r="Q201" s="193">
        <f>IF(OR(COUNT('Observaciones-SMP'!$B$2:$B$1001)=0,F201&lt;DATE(YEAR(MIN('Observaciones-SMP'!$B$2:$B$1001)),MONTH(MIN('Observaciones-SMP'!$B$2:$B$1001)),1),F201&gt;RPT_MONTH,ISNA(MATCH(F201,Datos!$D$3:$AL$3,0))),0,1)</f>
        <v>0</v>
      </c>
      <c r="R201" s="193" t="str">
        <f t="shared" si="23"/>
        <v>OUT_OF_SCOPE</v>
      </c>
    </row>
    <row r="202" spans="1:18" ht="13.5" customHeight="1" x14ac:dyDescent="0.3">
      <c r="A202" t="s">
        <v>1132</v>
      </c>
      <c r="B202" t="s">
        <v>1133</v>
      </c>
      <c r="C202" t="s">
        <v>1064</v>
      </c>
      <c r="D202">
        <v>1</v>
      </c>
      <c r="E202">
        <v>9</v>
      </c>
      <c r="F202" s="258">
        <f>DATE(YEAR(RPT_MONTH),MONTH(RPT_MONTH)-3,1)</f>
        <v>46204</v>
      </c>
      <c r="G202" s="193" t="str">
        <f t="shared" si="18"/>
        <v>Jul-26</v>
      </c>
      <c r="H202" s="193" t="str">
        <f>IFERROR(IF(OR(COUNT('Observaciones-SMP'!$B$2:$B$1001)=0,F202&lt;DATE(YEAR(MIN('Observaciones-SMP'!$B$2:$B$1001)),MONTH(MIN('Observaciones-SMP'!$B$2:$B$1001)),1),F202&gt;RPT_MONTH),"",INDEX(Datos!$D$70:$AL$70,MATCH(F202,Datos!$D$3:$AL$3,0))),"")</f>
        <v/>
      </c>
      <c r="J202" t="s">
        <v>1134</v>
      </c>
      <c r="K202" t="s">
        <v>1135</v>
      </c>
      <c r="L202" s="193" t="str">
        <f t="shared" si="19"/>
        <v>NO_DATA</v>
      </c>
      <c r="M202" s="193" t="str">
        <f t="shared" si="20"/>
        <v>Monthly</v>
      </c>
      <c r="N202" s="193" t="str">
        <f t="shared" si="21"/>
        <v>NO_DATA</v>
      </c>
      <c r="O202" s="193" t="str">
        <f t="shared" si="22"/>
        <v>Compressor Plant</v>
      </c>
      <c r="P202" s="193" t="str">
        <f ca="1">IF(LEFT(Control!$C$10,4)="ROJO","RED",IF(LEFT(Control!$C$10,8)="AMARILLO","AMBER","GREEN"))</f>
        <v>RED</v>
      </c>
      <c r="Q202" s="193">
        <f>IF(OR(COUNT('Observaciones-SMP'!$B$2:$B$1001)=0,F202&lt;DATE(YEAR(MIN('Observaciones-SMP'!$B$2:$B$1001)),MONTH(MIN('Observaciones-SMP'!$B$2:$B$1001)),1),F202&gt;RPT_MONTH,ISNA(MATCH(F202,Datos!$D$3:$AL$3,0))),0,1)</f>
        <v>0</v>
      </c>
      <c r="R202" s="193" t="str">
        <f t="shared" si="23"/>
        <v>OUT_OF_SCOPE</v>
      </c>
    </row>
    <row r="203" spans="1:18" ht="13.5" customHeight="1" x14ac:dyDescent="0.3">
      <c r="A203" t="s">
        <v>1132</v>
      </c>
      <c r="B203" t="s">
        <v>1133</v>
      </c>
      <c r="C203" t="s">
        <v>1064</v>
      </c>
      <c r="D203">
        <v>1</v>
      </c>
      <c r="E203">
        <v>10</v>
      </c>
      <c r="F203" s="258">
        <f>DATE(YEAR(RPT_MONTH),MONTH(RPT_MONTH)-2,1)</f>
        <v>46235</v>
      </c>
      <c r="G203" s="193" t="str">
        <f t="shared" si="18"/>
        <v>Aug-26</v>
      </c>
      <c r="H203" s="193">
        <f>IFERROR(IF(OR(COUNT('Observaciones-SMP'!$B$2:$B$1001)=0,F203&lt;DATE(YEAR(MIN('Observaciones-SMP'!$B$2:$B$1001)),MONTH(MIN('Observaciones-SMP'!$B$2:$B$1001)),1),F203&gt;RPT_MONTH),"",INDEX(Datos!$D$70:$AL$70,MATCH(F203,Datos!$D$3:$AL$3,0))),"")</f>
        <v>32</v>
      </c>
      <c r="J203" t="s">
        <v>1134</v>
      </c>
      <c r="K203" t="s">
        <v>1135</v>
      </c>
      <c r="L203" s="193" t="str">
        <f t="shared" si="19"/>
        <v>OK</v>
      </c>
      <c r="M203" s="193" t="str">
        <f t="shared" si="20"/>
        <v>Monthly</v>
      </c>
      <c r="N203" s="193" t="str">
        <f t="shared" si="21"/>
        <v>CONTEXT</v>
      </c>
      <c r="O203" s="193" t="str">
        <f t="shared" si="22"/>
        <v>Compressor Plant</v>
      </c>
      <c r="P203" s="193" t="str">
        <f ca="1">IF(LEFT(Control!$C$10,4)="ROJO","RED",IF(LEFT(Control!$C$10,8)="AMARILLO","AMBER","GREEN"))</f>
        <v>RED</v>
      </c>
      <c r="Q203" s="193">
        <f>IF(OR(COUNT('Observaciones-SMP'!$B$2:$B$1001)=0,F203&lt;DATE(YEAR(MIN('Observaciones-SMP'!$B$2:$B$1001)),MONTH(MIN('Observaciones-SMP'!$B$2:$B$1001)),1),F203&gt;RPT_MONTH,ISNA(MATCH(F203,Datos!$D$3:$AL$3,0))),0,1)</f>
        <v>1</v>
      </c>
      <c r="R203" s="193" t="str">
        <f t="shared" si="23"/>
        <v>OK</v>
      </c>
    </row>
    <row r="204" spans="1:18" ht="13.5" customHeight="1" x14ac:dyDescent="0.3">
      <c r="A204" t="s">
        <v>1132</v>
      </c>
      <c r="B204" t="s">
        <v>1133</v>
      </c>
      <c r="C204" t="s">
        <v>1064</v>
      </c>
      <c r="D204">
        <v>1</v>
      </c>
      <c r="E204">
        <v>11</v>
      </c>
      <c r="F204" s="258">
        <f>DATE(YEAR(RPT_MONTH),MONTH(RPT_MONTH)-1,1)</f>
        <v>46266</v>
      </c>
      <c r="G204" s="193" t="str">
        <f t="shared" si="18"/>
        <v>Sep-26</v>
      </c>
      <c r="H204" s="248">
        <f>IFERROR(IF(OR(COUNT('Observaciones-SMP'!$B$2:$B$1001)=0,F204&lt;DATE(YEAR(MIN('Observaciones-SMP'!$B$2:$B$1001)),MONTH(MIN('Observaciones-SMP'!$B$2:$B$1001)),1),F204&gt;RPT_MONTH),"",INDEX(Datos!$D$70:$AL$70,MATCH(F204,Datos!$D$3:$AL$3,0))),"")</f>
        <v>29</v>
      </c>
      <c r="J204" t="s">
        <v>1134</v>
      </c>
      <c r="K204" t="s">
        <v>1135</v>
      </c>
      <c r="L204" s="193" t="str">
        <f t="shared" si="19"/>
        <v>OK</v>
      </c>
      <c r="M204" s="193" t="str">
        <f t="shared" si="20"/>
        <v>Monthly</v>
      </c>
      <c r="N204" s="193" t="str">
        <f t="shared" si="21"/>
        <v>CONTEXT</v>
      </c>
      <c r="O204" s="193" t="str">
        <f t="shared" si="22"/>
        <v>Compressor Plant</v>
      </c>
      <c r="P204" s="193" t="str">
        <f ca="1">IF(LEFT(Control!$C$10,4)="ROJO","RED",IF(LEFT(Control!$C$10,8)="AMARILLO","AMBER","GREEN"))</f>
        <v>RED</v>
      </c>
      <c r="Q204" s="193">
        <f>IF(OR(COUNT('Observaciones-SMP'!$B$2:$B$1001)=0,F204&lt;DATE(YEAR(MIN('Observaciones-SMP'!$B$2:$B$1001)),MONTH(MIN('Observaciones-SMP'!$B$2:$B$1001)),1),F204&gt;RPT_MONTH,ISNA(MATCH(F204,Datos!$D$3:$AL$3,0))),0,1)</f>
        <v>1</v>
      </c>
      <c r="R204" s="193" t="str">
        <f t="shared" si="23"/>
        <v>OK</v>
      </c>
    </row>
    <row r="205" spans="1:18" ht="13.5" customHeight="1" x14ac:dyDescent="0.3">
      <c r="A205" t="s">
        <v>1132</v>
      </c>
      <c r="B205" t="s">
        <v>1133</v>
      </c>
      <c r="C205" t="s">
        <v>1064</v>
      </c>
      <c r="D205">
        <v>1</v>
      </c>
      <c r="E205">
        <v>12</v>
      </c>
      <c r="F205" s="258">
        <f>DATE(YEAR(RPT_MONTH),MONTH(RPT_MONTH)-0,1)</f>
        <v>46296</v>
      </c>
      <c r="G205" s="193" t="str">
        <f t="shared" si="18"/>
        <v>Oct-26</v>
      </c>
      <c r="H205" s="248">
        <f>IFERROR(IF(OR(COUNT('Observaciones-SMP'!$B$2:$B$1001)=0,F205&lt;DATE(YEAR(MIN('Observaciones-SMP'!$B$2:$B$1001)),MONTH(MIN('Observaciones-SMP'!$B$2:$B$1001)),1),F205&gt;RPT_MONTH),"",INDEX(Datos!$D$70:$AL$70,MATCH(F205,Datos!$D$3:$AL$3,0))),"")</f>
        <v>0</v>
      </c>
      <c r="J205" t="s">
        <v>1134</v>
      </c>
      <c r="K205" t="s">
        <v>1135</v>
      </c>
      <c r="L205" s="193" t="str">
        <f t="shared" si="19"/>
        <v>NO_DATA</v>
      </c>
      <c r="M205" s="193" t="str">
        <f t="shared" si="20"/>
        <v>Monthly</v>
      </c>
      <c r="N205" s="193" t="str">
        <f t="shared" si="21"/>
        <v>NO_DATA</v>
      </c>
      <c r="O205" s="193" t="str">
        <f t="shared" si="22"/>
        <v>Compressor Plant</v>
      </c>
      <c r="P205" s="193" t="str">
        <f ca="1">IF(LEFT(Control!$C$10,4)="ROJO","RED",IF(LEFT(Control!$C$10,8)="AMARILLO","AMBER","GREEN"))</f>
        <v>RED</v>
      </c>
      <c r="Q205" s="193">
        <f>IF(OR(COUNT('Observaciones-SMP'!$B$2:$B$1001)=0,F205&lt;DATE(YEAR(MIN('Observaciones-SMP'!$B$2:$B$1001)),MONTH(MIN('Observaciones-SMP'!$B$2:$B$1001)),1),F205&gt;RPT_MONTH,ISNA(MATCH(F205,Datos!$D$3:$AL$3,0))),0,1)</f>
        <v>1</v>
      </c>
      <c r="R205" s="193" t="str">
        <f t="shared" si="23"/>
        <v>MISSING</v>
      </c>
    </row>
    <row r="206" spans="1:18" ht="13.5" customHeight="1" x14ac:dyDescent="0.3">
      <c r="A206" t="s">
        <v>1132</v>
      </c>
      <c r="B206" t="s">
        <v>1136</v>
      </c>
      <c r="C206" t="s">
        <v>1067</v>
      </c>
      <c r="D206">
        <v>2</v>
      </c>
      <c r="E206">
        <v>1</v>
      </c>
      <c r="F206" s="258">
        <f>DATE(YEAR(RPT_MONTH),MONTH(RPT_MONTH)-11,1)</f>
        <v>45962</v>
      </c>
      <c r="G206" s="193" t="str">
        <f t="shared" si="18"/>
        <v>Nov-25</v>
      </c>
      <c r="H206" s="193" t="str">
        <f>IFERROR(IF(OR(COUNT('Observaciones-SMP'!$B$2:$B$1001)=0,F206&lt;DATE(YEAR(MIN('Observaciones-SMP'!$B$2:$B$1001)),MONTH(MIN('Observaciones-SMP'!$B$2:$B$1001)),1),F206&gt;RPT_MONTH),"",INDEX(Datos!$D$67:$AL$67,MATCH(F206,Datos!$D$3:$AL$3,0))),"")</f>
        <v/>
      </c>
      <c r="J206" t="s">
        <v>1134</v>
      </c>
      <c r="K206" t="s">
        <v>1135</v>
      </c>
      <c r="L206" s="193" t="str">
        <f t="shared" si="19"/>
        <v>NO_DATA</v>
      </c>
      <c r="M206" s="193" t="str">
        <f t="shared" si="20"/>
        <v>Monthly</v>
      </c>
      <c r="N206" s="193" t="str">
        <f t="shared" si="21"/>
        <v>NO_DATA</v>
      </c>
      <c r="O206" s="193" t="str">
        <f t="shared" si="22"/>
        <v>Compressor Plant</v>
      </c>
      <c r="P206" s="193" t="str">
        <f ca="1">IF(LEFT(Control!$C$10,4)="ROJO","RED",IF(LEFT(Control!$C$10,8)="AMARILLO","AMBER","GREEN"))</f>
        <v>RED</v>
      </c>
      <c r="Q206" s="193">
        <f>IF(OR(COUNT('Observaciones-SMP'!$B$2:$B$1001)=0,F206&lt;DATE(YEAR(MIN('Observaciones-SMP'!$B$2:$B$1001)),MONTH(MIN('Observaciones-SMP'!$B$2:$B$1001)),1),F206&gt;RPT_MONTH,ISNA(MATCH(F206,Datos!$D$3:$AL$3,0))),0,1)</f>
        <v>0</v>
      </c>
      <c r="R206" s="193" t="str">
        <f t="shared" si="23"/>
        <v>OUT_OF_SCOPE</v>
      </c>
    </row>
    <row r="207" spans="1:18" ht="13.5" customHeight="1" x14ac:dyDescent="0.3">
      <c r="A207" t="s">
        <v>1132</v>
      </c>
      <c r="B207" t="s">
        <v>1136</v>
      </c>
      <c r="C207" t="s">
        <v>1067</v>
      </c>
      <c r="D207">
        <v>2</v>
      </c>
      <c r="E207">
        <v>2</v>
      </c>
      <c r="F207" s="258">
        <f>DATE(YEAR(RPT_MONTH),MONTH(RPT_MONTH)-10,1)</f>
        <v>45992</v>
      </c>
      <c r="G207" s="193" t="str">
        <f t="shared" si="18"/>
        <v>Dec-25</v>
      </c>
      <c r="H207" s="193" t="str">
        <f>IFERROR(IF(OR(COUNT('Observaciones-SMP'!$B$2:$B$1001)=0,F207&lt;DATE(YEAR(MIN('Observaciones-SMP'!$B$2:$B$1001)),MONTH(MIN('Observaciones-SMP'!$B$2:$B$1001)),1),F207&gt;RPT_MONTH),"",INDEX(Datos!$D$67:$AL$67,MATCH(F207,Datos!$D$3:$AL$3,0))),"")</f>
        <v/>
      </c>
      <c r="J207" t="s">
        <v>1134</v>
      </c>
      <c r="K207" t="s">
        <v>1135</v>
      </c>
      <c r="L207" s="193" t="str">
        <f t="shared" si="19"/>
        <v>NO_DATA</v>
      </c>
      <c r="M207" s="193" t="str">
        <f t="shared" si="20"/>
        <v>Monthly</v>
      </c>
      <c r="N207" s="193" t="str">
        <f t="shared" si="21"/>
        <v>NO_DATA</v>
      </c>
      <c r="O207" s="193" t="str">
        <f t="shared" si="22"/>
        <v>Compressor Plant</v>
      </c>
      <c r="P207" s="193" t="str">
        <f ca="1">IF(LEFT(Control!$C$10,4)="ROJO","RED",IF(LEFT(Control!$C$10,8)="AMARILLO","AMBER","GREEN"))</f>
        <v>RED</v>
      </c>
      <c r="Q207" s="193">
        <f>IF(OR(COUNT('Observaciones-SMP'!$B$2:$B$1001)=0,F207&lt;DATE(YEAR(MIN('Observaciones-SMP'!$B$2:$B$1001)),MONTH(MIN('Observaciones-SMP'!$B$2:$B$1001)),1),F207&gt;RPT_MONTH,ISNA(MATCH(F207,Datos!$D$3:$AL$3,0))),0,1)</f>
        <v>0</v>
      </c>
      <c r="R207" s="193" t="str">
        <f t="shared" si="23"/>
        <v>OUT_OF_SCOPE</v>
      </c>
    </row>
    <row r="208" spans="1:18" ht="13.5" customHeight="1" x14ac:dyDescent="0.3">
      <c r="A208" t="s">
        <v>1132</v>
      </c>
      <c r="B208" t="s">
        <v>1136</v>
      </c>
      <c r="C208" t="s">
        <v>1067</v>
      </c>
      <c r="D208">
        <v>2</v>
      </c>
      <c r="E208">
        <v>3</v>
      </c>
      <c r="F208" s="258">
        <f>DATE(YEAR(RPT_MONTH),MONTH(RPT_MONTH)-9,1)</f>
        <v>46023</v>
      </c>
      <c r="G208" s="193" t="str">
        <f t="shared" si="18"/>
        <v>Jan-26</v>
      </c>
      <c r="H208" s="193" t="str">
        <f>IFERROR(IF(OR(COUNT('Observaciones-SMP'!$B$2:$B$1001)=0,F208&lt;DATE(YEAR(MIN('Observaciones-SMP'!$B$2:$B$1001)),MONTH(MIN('Observaciones-SMP'!$B$2:$B$1001)),1),F208&gt;RPT_MONTH),"",INDEX(Datos!$D$67:$AL$67,MATCH(F208,Datos!$D$3:$AL$3,0))),"")</f>
        <v/>
      </c>
      <c r="J208" t="s">
        <v>1134</v>
      </c>
      <c r="K208" t="s">
        <v>1135</v>
      </c>
      <c r="L208" s="193" t="str">
        <f t="shared" si="19"/>
        <v>NO_DATA</v>
      </c>
      <c r="M208" s="193" t="str">
        <f t="shared" si="20"/>
        <v>Monthly</v>
      </c>
      <c r="N208" s="193" t="str">
        <f t="shared" si="21"/>
        <v>NO_DATA</v>
      </c>
      <c r="O208" s="193" t="str">
        <f t="shared" si="22"/>
        <v>Compressor Plant</v>
      </c>
      <c r="P208" s="193" t="str">
        <f ca="1">IF(LEFT(Control!$C$10,4)="ROJO","RED",IF(LEFT(Control!$C$10,8)="AMARILLO","AMBER","GREEN"))</f>
        <v>RED</v>
      </c>
      <c r="Q208" s="193">
        <f>IF(OR(COUNT('Observaciones-SMP'!$B$2:$B$1001)=0,F208&lt;DATE(YEAR(MIN('Observaciones-SMP'!$B$2:$B$1001)),MONTH(MIN('Observaciones-SMP'!$B$2:$B$1001)),1),F208&gt;RPT_MONTH,ISNA(MATCH(F208,Datos!$D$3:$AL$3,0))),0,1)</f>
        <v>0</v>
      </c>
      <c r="R208" s="193" t="str">
        <f t="shared" si="23"/>
        <v>OUT_OF_SCOPE</v>
      </c>
    </row>
    <row r="209" spans="1:18" ht="13.5" customHeight="1" x14ac:dyDescent="0.3">
      <c r="A209" t="s">
        <v>1132</v>
      </c>
      <c r="B209" t="s">
        <v>1136</v>
      </c>
      <c r="C209" t="s">
        <v>1067</v>
      </c>
      <c r="D209">
        <v>2</v>
      </c>
      <c r="E209">
        <v>4</v>
      </c>
      <c r="F209" s="258">
        <f>DATE(YEAR(RPT_MONTH),MONTH(RPT_MONTH)-8,1)</f>
        <v>46054</v>
      </c>
      <c r="G209" s="193" t="str">
        <f t="shared" si="18"/>
        <v>Feb-26</v>
      </c>
      <c r="H209" s="193" t="str">
        <f>IFERROR(IF(OR(COUNT('Observaciones-SMP'!$B$2:$B$1001)=0,F209&lt;DATE(YEAR(MIN('Observaciones-SMP'!$B$2:$B$1001)),MONTH(MIN('Observaciones-SMP'!$B$2:$B$1001)),1),F209&gt;RPT_MONTH),"",INDEX(Datos!$D$67:$AL$67,MATCH(F209,Datos!$D$3:$AL$3,0))),"")</f>
        <v/>
      </c>
      <c r="J209" t="s">
        <v>1134</v>
      </c>
      <c r="K209" t="s">
        <v>1135</v>
      </c>
      <c r="L209" s="193" t="str">
        <f t="shared" si="19"/>
        <v>NO_DATA</v>
      </c>
      <c r="M209" s="193" t="str">
        <f t="shared" si="20"/>
        <v>Monthly</v>
      </c>
      <c r="N209" s="193" t="str">
        <f t="shared" si="21"/>
        <v>NO_DATA</v>
      </c>
      <c r="O209" s="193" t="str">
        <f t="shared" si="22"/>
        <v>Compressor Plant</v>
      </c>
      <c r="P209" s="193" t="str">
        <f ca="1">IF(LEFT(Control!$C$10,4)="ROJO","RED",IF(LEFT(Control!$C$10,8)="AMARILLO","AMBER","GREEN"))</f>
        <v>RED</v>
      </c>
      <c r="Q209" s="193">
        <f>IF(OR(COUNT('Observaciones-SMP'!$B$2:$B$1001)=0,F209&lt;DATE(YEAR(MIN('Observaciones-SMP'!$B$2:$B$1001)),MONTH(MIN('Observaciones-SMP'!$B$2:$B$1001)),1),F209&gt;RPT_MONTH,ISNA(MATCH(F209,Datos!$D$3:$AL$3,0))),0,1)</f>
        <v>0</v>
      </c>
      <c r="R209" s="193" t="str">
        <f t="shared" si="23"/>
        <v>OUT_OF_SCOPE</v>
      </c>
    </row>
    <row r="210" spans="1:18" ht="13.5" customHeight="1" x14ac:dyDescent="0.3">
      <c r="A210" t="s">
        <v>1132</v>
      </c>
      <c r="B210" t="s">
        <v>1136</v>
      </c>
      <c r="C210" t="s">
        <v>1067</v>
      </c>
      <c r="D210">
        <v>2</v>
      </c>
      <c r="E210">
        <v>5</v>
      </c>
      <c r="F210" s="258">
        <f>DATE(YEAR(RPT_MONTH),MONTH(RPT_MONTH)-7,1)</f>
        <v>46082</v>
      </c>
      <c r="G210" s="193" t="str">
        <f t="shared" si="18"/>
        <v>Mar-26</v>
      </c>
      <c r="H210" s="193" t="str">
        <f>IFERROR(IF(OR(COUNT('Observaciones-SMP'!$B$2:$B$1001)=0,F210&lt;DATE(YEAR(MIN('Observaciones-SMP'!$B$2:$B$1001)),MONTH(MIN('Observaciones-SMP'!$B$2:$B$1001)),1),F210&gt;RPT_MONTH),"",INDEX(Datos!$D$67:$AL$67,MATCH(F210,Datos!$D$3:$AL$3,0))),"")</f>
        <v/>
      </c>
      <c r="J210" t="s">
        <v>1134</v>
      </c>
      <c r="K210" t="s">
        <v>1135</v>
      </c>
      <c r="L210" s="193" t="str">
        <f t="shared" si="19"/>
        <v>NO_DATA</v>
      </c>
      <c r="M210" s="193" t="str">
        <f t="shared" si="20"/>
        <v>Monthly</v>
      </c>
      <c r="N210" s="193" t="str">
        <f t="shared" si="21"/>
        <v>NO_DATA</v>
      </c>
      <c r="O210" s="193" t="str">
        <f t="shared" si="22"/>
        <v>Compressor Plant</v>
      </c>
      <c r="P210" s="193" t="str">
        <f ca="1">IF(LEFT(Control!$C$10,4)="ROJO","RED",IF(LEFT(Control!$C$10,8)="AMARILLO","AMBER","GREEN"))</f>
        <v>RED</v>
      </c>
      <c r="Q210" s="193">
        <f>IF(OR(COUNT('Observaciones-SMP'!$B$2:$B$1001)=0,F210&lt;DATE(YEAR(MIN('Observaciones-SMP'!$B$2:$B$1001)),MONTH(MIN('Observaciones-SMP'!$B$2:$B$1001)),1),F210&gt;RPT_MONTH,ISNA(MATCH(F210,Datos!$D$3:$AL$3,0))),0,1)</f>
        <v>0</v>
      </c>
      <c r="R210" s="193" t="str">
        <f t="shared" si="23"/>
        <v>OUT_OF_SCOPE</v>
      </c>
    </row>
    <row r="211" spans="1:18" ht="13.5" customHeight="1" x14ac:dyDescent="0.3">
      <c r="A211" t="s">
        <v>1132</v>
      </c>
      <c r="B211" t="s">
        <v>1136</v>
      </c>
      <c r="C211" t="s">
        <v>1067</v>
      </c>
      <c r="D211">
        <v>2</v>
      </c>
      <c r="E211">
        <v>6</v>
      </c>
      <c r="F211" s="258">
        <f>DATE(YEAR(RPT_MONTH),MONTH(RPT_MONTH)-6,1)</f>
        <v>46113</v>
      </c>
      <c r="G211" s="193" t="str">
        <f t="shared" si="18"/>
        <v>Apr-26</v>
      </c>
      <c r="H211" s="193" t="str">
        <f>IFERROR(IF(OR(COUNT('Observaciones-SMP'!$B$2:$B$1001)=0,F211&lt;DATE(YEAR(MIN('Observaciones-SMP'!$B$2:$B$1001)),MONTH(MIN('Observaciones-SMP'!$B$2:$B$1001)),1),F211&gt;RPT_MONTH),"",INDEX(Datos!$D$67:$AL$67,MATCH(F211,Datos!$D$3:$AL$3,0))),"")</f>
        <v/>
      </c>
      <c r="J211" t="s">
        <v>1134</v>
      </c>
      <c r="K211" t="s">
        <v>1135</v>
      </c>
      <c r="L211" s="193" t="str">
        <f t="shared" si="19"/>
        <v>NO_DATA</v>
      </c>
      <c r="M211" s="193" t="str">
        <f t="shared" si="20"/>
        <v>Monthly</v>
      </c>
      <c r="N211" s="193" t="str">
        <f t="shared" si="21"/>
        <v>NO_DATA</v>
      </c>
      <c r="O211" s="193" t="str">
        <f t="shared" si="22"/>
        <v>Compressor Plant</v>
      </c>
      <c r="P211" s="193" t="str">
        <f ca="1">IF(LEFT(Control!$C$10,4)="ROJO","RED",IF(LEFT(Control!$C$10,8)="AMARILLO","AMBER","GREEN"))</f>
        <v>RED</v>
      </c>
      <c r="Q211" s="193">
        <f>IF(OR(COUNT('Observaciones-SMP'!$B$2:$B$1001)=0,F211&lt;DATE(YEAR(MIN('Observaciones-SMP'!$B$2:$B$1001)),MONTH(MIN('Observaciones-SMP'!$B$2:$B$1001)),1),F211&gt;RPT_MONTH,ISNA(MATCH(F211,Datos!$D$3:$AL$3,0))),0,1)</f>
        <v>0</v>
      </c>
      <c r="R211" s="193" t="str">
        <f t="shared" si="23"/>
        <v>OUT_OF_SCOPE</v>
      </c>
    </row>
    <row r="212" spans="1:18" ht="13.5" customHeight="1" x14ac:dyDescent="0.3">
      <c r="A212" t="s">
        <v>1132</v>
      </c>
      <c r="B212" t="s">
        <v>1136</v>
      </c>
      <c r="C212" t="s">
        <v>1067</v>
      </c>
      <c r="D212">
        <v>2</v>
      </c>
      <c r="E212">
        <v>7</v>
      </c>
      <c r="F212" s="258">
        <f>DATE(YEAR(RPT_MONTH),MONTH(RPT_MONTH)-5,1)</f>
        <v>46143</v>
      </c>
      <c r="G212" s="193" t="str">
        <f t="shared" si="18"/>
        <v>May-26</v>
      </c>
      <c r="H212" s="193" t="str">
        <f>IFERROR(IF(OR(COUNT('Observaciones-SMP'!$B$2:$B$1001)=0,F212&lt;DATE(YEAR(MIN('Observaciones-SMP'!$B$2:$B$1001)),MONTH(MIN('Observaciones-SMP'!$B$2:$B$1001)),1),F212&gt;RPT_MONTH),"",INDEX(Datos!$D$67:$AL$67,MATCH(F212,Datos!$D$3:$AL$3,0))),"")</f>
        <v/>
      </c>
      <c r="J212" t="s">
        <v>1134</v>
      </c>
      <c r="K212" t="s">
        <v>1135</v>
      </c>
      <c r="L212" s="193" t="str">
        <f t="shared" si="19"/>
        <v>NO_DATA</v>
      </c>
      <c r="M212" s="193" t="str">
        <f t="shared" si="20"/>
        <v>Monthly</v>
      </c>
      <c r="N212" s="193" t="str">
        <f t="shared" si="21"/>
        <v>NO_DATA</v>
      </c>
      <c r="O212" s="193" t="str">
        <f t="shared" si="22"/>
        <v>Compressor Plant</v>
      </c>
      <c r="P212" s="193" t="str">
        <f ca="1">IF(LEFT(Control!$C$10,4)="ROJO","RED",IF(LEFT(Control!$C$10,8)="AMARILLO","AMBER","GREEN"))</f>
        <v>RED</v>
      </c>
      <c r="Q212" s="193">
        <f>IF(OR(COUNT('Observaciones-SMP'!$B$2:$B$1001)=0,F212&lt;DATE(YEAR(MIN('Observaciones-SMP'!$B$2:$B$1001)),MONTH(MIN('Observaciones-SMP'!$B$2:$B$1001)),1),F212&gt;RPT_MONTH,ISNA(MATCH(F212,Datos!$D$3:$AL$3,0))),0,1)</f>
        <v>0</v>
      </c>
      <c r="R212" s="193" t="str">
        <f t="shared" si="23"/>
        <v>OUT_OF_SCOPE</v>
      </c>
    </row>
    <row r="213" spans="1:18" ht="13.5" customHeight="1" x14ac:dyDescent="0.3">
      <c r="A213" t="s">
        <v>1132</v>
      </c>
      <c r="B213" t="s">
        <v>1136</v>
      </c>
      <c r="C213" t="s">
        <v>1067</v>
      </c>
      <c r="D213">
        <v>2</v>
      </c>
      <c r="E213">
        <v>8</v>
      </c>
      <c r="F213" s="258">
        <f>DATE(YEAR(RPT_MONTH),MONTH(RPT_MONTH)-4,1)</f>
        <v>46174</v>
      </c>
      <c r="G213" s="193" t="str">
        <f t="shared" si="18"/>
        <v>Jun-26</v>
      </c>
      <c r="H213" s="193" t="str">
        <f>IFERROR(IF(OR(COUNT('Observaciones-SMP'!$B$2:$B$1001)=0,F213&lt;DATE(YEAR(MIN('Observaciones-SMP'!$B$2:$B$1001)),MONTH(MIN('Observaciones-SMP'!$B$2:$B$1001)),1),F213&gt;RPT_MONTH),"",INDEX(Datos!$D$67:$AL$67,MATCH(F213,Datos!$D$3:$AL$3,0))),"")</f>
        <v/>
      </c>
      <c r="J213" t="s">
        <v>1134</v>
      </c>
      <c r="K213" t="s">
        <v>1135</v>
      </c>
      <c r="L213" s="193" t="str">
        <f t="shared" si="19"/>
        <v>NO_DATA</v>
      </c>
      <c r="M213" s="193" t="str">
        <f t="shared" si="20"/>
        <v>Monthly</v>
      </c>
      <c r="N213" s="193" t="str">
        <f t="shared" si="21"/>
        <v>NO_DATA</v>
      </c>
      <c r="O213" s="193" t="str">
        <f t="shared" si="22"/>
        <v>Compressor Plant</v>
      </c>
      <c r="P213" s="193" t="str">
        <f ca="1">IF(LEFT(Control!$C$10,4)="ROJO","RED",IF(LEFT(Control!$C$10,8)="AMARILLO","AMBER","GREEN"))</f>
        <v>RED</v>
      </c>
      <c r="Q213" s="193">
        <f>IF(OR(COUNT('Observaciones-SMP'!$B$2:$B$1001)=0,F213&lt;DATE(YEAR(MIN('Observaciones-SMP'!$B$2:$B$1001)),MONTH(MIN('Observaciones-SMP'!$B$2:$B$1001)),1),F213&gt;RPT_MONTH,ISNA(MATCH(F213,Datos!$D$3:$AL$3,0))),0,1)</f>
        <v>0</v>
      </c>
      <c r="R213" s="193" t="str">
        <f t="shared" si="23"/>
        <v>OUT_OF_SCOPE</v>
      </c>
    </row>
    <row r="214" spans="1:18" ht="13.5" customHeight="1" x14ac:dyDescent="0.3">
      <c r="A214" t="s">
        <v>1132</v>
      </c>
      <c r="B214" t="s">
        <v>1136</v>
      </c>
      <c r="C214" t="s">
        <v>1067</v>
      </c>
      <c r="D214">
        <v>2</v>
      </c>
      <c r="E214">
        <v>9</v>
      </c>
      <c r="F214" s="258">
        <f>DATE(YEAR(RPT_MONTH),MONTH(RPT_MONTH)-3,1)</f>
        <v>46204</v>
      </c>
      <c r="G214" s="193" t="str">
        <f t="shared" si="18"/>
        <v>Jul-26</v>
      </c>
      <c r="H214" s="193" t="str">
        <f>IFERROR(IF(OR(COUNT('Observaciones-SMP'!$B$2:$B$1001)=0,F214&lt;DATE(YEAR(MIN('Observaciones-SMP'!$B$2:$B$1001)),MONTH(MIN('Observaciones-SMP'!$B$2:$B$1001)),1),F214&gt;RPT_MONTH),"",INDEX(Datos!$D$67:$AL$67,MATCH(F214,Datos!$D$3:$AL$3,0))),"")</f>
        <v/>
      </c>
      <c r="J214" t="s">
        <v>1134</v>
      </c>
      <c r="K214" t="s">
        <v>1135</v>
      </c>
      <c r="L214" s="193" t="str">
        <f t="shared" si="19"/>
        <v>NO_DATA</v>
      </c>
      <c r="M214" s="193" t="str">
        <f t="shared" si="20"/>
        <v>Monthly</v>
      </c>
      <c r="N214" s="193" t="str">
        <f t="shared" si="21"/>
        <v>NO_DATA</v>
      </c>
      <c r="O214" s="193" t="str">
        <f t="shared" si="22"/>
        <v>Compressor Plant</v>
      </c>
      <c r="P214" s="193" t="str">
        <f ca="1">IF(LEFT(Control!$C$10,4)="ROJO","RED",IF(LEFT(Control!$C$10,8)="AMARILLO","AMBER","GREEN"))</f>
        <v>RED</v>
      </c>
      <c r="Q214" s="193">
        <f>IF(OR(COUNT('Observaciones-SMP'!$B$2:$B$1001)=0,F214&lt;DATE(YEAR(MIN('Observaciones-SMP'!$B$2:$B$1001)),MONTH(MIN('Observaciones-SMP'!$B$2:$B$1001)),1),F214&gt;RPT_MONTH,ISNA(MATCH(F214,Datos!$D$3:$AL$3,0))),0,1)</f>
        <v>0</v>
      </c>
      <c r="R214" s="193" t="str">
        <f t="shared" si="23"/>
        <v>OUT_OF_SCOPE</v>
      </c>
    </row>
    <row r="215" spans="1:18" ht="13.5" customHeight="1" x14ac:dyDescent="0.3">
      <c r="A215" t="s">
        <v>1132</v>
      </c>
      <c r="B215" t="s">
        <v>1136</v>
      </c>
      <c r="C215" t="s">
        <v>1067</v>
      </c>
      <c r="D215">
        <v>2</v>
      </c>
      <c r="E215">
        <v>10</v>
      </c>
      <c r="F215" s="258">
        <f>DATE(YEAR(RPT_MONTH),MONTH(RPT_MONTH)-2,1)</f>
        <v>46235</v>
      </c>
      <c r="G215" s="193" t="str">
        <f t="shared" si="18"/>
        <v>Aug-26</v>
      </c>
      <c r="H215" s="193">
        <f>IFERROR(IF(OR(COUNT('Observaciones-SMP'!$B$2:$B$1001)=0,F215&lt;DATE(YEAR(MIN('Observaciones-SMP'!$B$2:$B$1001)),MONTH(MIN('Observaciones-SMP'!$B$2:$B$1001)),1),F215&gt;RPT_MONTH),"",INDEX(Datos!$D$67:$AL$67,MATCH(F215,Datos!$D$3:$AL$3,0))),"")</f>
        <v>26</v>
      </c>
      <c r="J215" t="s">
        <v>1134</v>
      </c>
      <c r="K215" t="s">
        <v>1135</v>
      </c>
      <c r="L215" s="193" t="str">
        <f t="shared" si="19"/>
        <v>OK</v>
      </c>
      <c r="M215" s="193" t="str">
        <f t="shared" si="20"/>
        <v>Monthly</v>
      </c>
      <c r="N215" s="193" t="str">
        <f t="shared" si="21"/>
        <v>CONTEXT</v>
      </c>
      <c r="O215" s="193" t="str">
        <f t="shared" si="22"/>
        <v>Compressor Plant</v>
      </c>
      <c r="P215" s="193" t="str">
        <f ca="1">IF(LEFT(Control!$C$10,4)="ROJO","RED",IF(LEFT(Control!$C$10,8)="AMARILLO","AMBER","GREEN"))</f>
        <v>RED</v>
      </c>
      <c r="Q215" s="193">
        <f>IF(OR(COUNT('Observaciones-SMP'!$B$2:$B$1001)=0,F215&lt;DATE(YEAR(MIN('Observaciones-SMP'!$B$2:$B$1001)),MONTH(MIN('Observaciones-SMP'!$B$2:$B$1001)),1),F215&gt;RPT_MONTH,ISNA(MATCH(F215,Datos!$D$3:$AL$3,0))),0,1)</f>
        <v>1</v>
      </c>
      <c r="R215" s="193" t="str">
        <f t="shared" si="23"/>
        <v>OK</v>
      </c>
    </row>
    <row r="216" spans="1:18" ht="13.5" customHeight="1" x14ac:dyDescent="0.3">
      <c r="A216" t="s">
        <v>1132</v>
      </c>
      <c r="B216" t="s">
        <v>1136</v>
      </c>
      <c r="C216" t="s">
        <v>1067</v>
      </c>
      <c r="D216">
        <v>2</v>
      </c>
      <c r="E216">
        <v>11</v>
      </c>
      <c r="F216" s="258">
        <f>DATE(YEAR(RPT_MONTH),MONTH(RPT_MONTH)-1,1)</f>
        <v>46266</v>
      </c>
      <c r="G216" s="193" t="str">
        <f t="shared" si="18"/>
        <v>Sep-26</v>
      </c>
      <c r="H216" s="248">
        <f>IFERROR(IF(OR(COUNT('Observaciones-SMP'!$B$2:$B$1001)=0,F216&lt;DATE(YEAR(MIN('Observaciones-SMP'!$B$2:$B$1001)),MONTH(MIN('Observaciones-SMP'!$B$2:$B$1001)),1),F216&gt;RPT_MONTH),"",INDEX(Datos!$D$67:$AL$67,MATCH(F216,Datos!$D$3:$AL$3,0))),"")</f>
        <v>8</v>
      </c>
      <c r="J216" t="s">
        <v>1134</v>
      </c>
      <c r="K216" t="s">
        <v>1135</v>
      </c>
      <c r="L216" s="193" t="str">
        <f t="shared" si="19"/>
        <v>OK</v>
      </c>
      <c r="M216" s="193" t="str">
        <f t="shared" si="20"/>
        <v>Monthly</v>
      </c>
      <c r="N216" s="193" t="str">
        <f t="shared" si="21"/>
        <v>CONTEXT</v>
      </c>
      <c r="O216" s="193" t="str">
        <f t="shared" si="22"/>
        <v>Compressor Plant</v>
      </c>
      <c r="P216" s="193" t="str">
        <f ca="1">IF(LEFT(Control!$C$10,4)="ROJO","RED",IF(LEFT(Control!$C$10,8)="AMARILLO","AMBER","GREEN"))</f>
        <v>RED</v>
      </c>
      <c r="Q216" s="193">
        <f>IF(OR(COUNT('Observaciones-SMP'!$B$2:$B$1001)=0,F216&lt;DATE(YEAR(MIN('Observaciones-SMP'!$B$2:$B$1001)),MONTH(MIN('Observaciones-SMP'!$B$2:$B$1001)),1),F216&gt;RPT_MONTH,ISNA(MATCH(F216,Datos!$D$3:$AL$3,0))),0,1)</f>
        <v>1</v>
      </c>
      <c r="R216" s="193" t="str">
        <f t="shared" si="23"/>
        <v>OK</v>
      </c>
    </row>
    <row r="217" spans="1:18" ht="13.5" customHeight="1" x14ac:dyDescent="0.3">
      <c r="A217" t="s">
        <v>1132</v>
      </c>
      <c r="B217" t="s">
        <v>1136</v>
      </c>
      <c r="C217" t="s">
        <v>1067</v>
      </c>
      <c r="D217">
        <v>2</v>
      </c>
      <c r="E217">
        <v>12</v>
      </c>
      <c r="F217" s="258">
        <f>DATE(YEAR(RPT_MONTH),MONTH(RPT_MONTH)-0,1)</f>
        <v>46296</v>
      </c>
      <c r="G217" s="193" t="str">
        <f t="shared" si="18"/>
        <v>Oct-26</v>
      </c>
      <c r="H217" s="248">
        <f>IFERROR(IF(OR(COUNT('Observaciones-SMP'!$B$2:$B$1001)=0,F217&lt;DATE(YEAR(MIN('Observaciones-SMP'!$B$2:$B$1001)),MONTH(MIN('Observaciones-SMP'!$B$2:$B$1001)),1),F217&gt;RPT_MONTH),"",INDEX(Datos!$D$67:$AL$67,MATCH(F217,Datos!$D$3:$AL$3,0))),"")</f>
        <v>0</v>
      </c>
      <c r="J217" t="s">
        <v>1134</v>
      </c>
      <c r="K217" t="s">
        <v>1135</v>
      </c>
      <c r="L217" s="193" t="str">
        <f t="shared" si="19"/>
        <v>NO_DATA</v>
      </c>
      <c r="M217" s="193" t="str">
        <f t="shared" si="20"/>
        <v>Monthly</v>
      </c>
      <c r="N217" s="193" t="str">
        <f t="shared" si="21"/>
        <v>NO_DATA</v>
      </c>
      <c r="O217" s="193" t="str">
        <f t="shared" si="22"/>
        <v>Compressor Plant</v>
      </c>
      <c r="P217" s="193" t="str">
        <f ca="1">IF(LEFT(Control!$C$10,4)="ROJO","RED",IF(LEFT(Control!$C$10,8)="AMARILLO","AMBER","GREEN"))</f>
        <v>RED</v>
      </c>
      <c r="Q217" s="193">
        <f>IF(OR(COUNT('Observaciones-SMP'!$B$2:$B$1001)=0,F217&lt;DATE(YEAR(MIN('Observaciones-SMP'!$B$2:$B$1001)),MONTH(MIN('Observaciones-SMP'!$B$2:$B$1001)),1),F217&gt;RPT_MONTH,ISNA(MATCH(F217,Datos!$D$3:$AL$3,0))),0,1)</f>
        <v>1</v>
      </c>
      <c r="R217" s="193" t="str">
        <f t="shared" si="23"/>
        <v>MISSING</v>
      </c>
    </row>
    <row r="218" spans="1:18" ht="13.5" customHeight="1" x14ac:dyDescent="0.3">
      <c r="A218" t="s">
        <v>1132</v>
      </c>
      <c r="B218" t="s">
        <v>1137</v>
      </c>
      <c r="C218" t="s">
        <v>924</v>
      </c>
      <c r="D218">
        <v>3</v>
      </c>
      <c r="E218">
        <v>1</v>
      </c>
      <c r="F218" s="258">
        <f>DATE(YEAR(RPT_MONTH),MONTH(RPT_MONTH)-11,1)</f>
        <v>45962</v>
      </c>
      <c r="G218" s="193" t="str">
        <f t="shared" si="18"/>
        <v>Nov-25</v>
      </c>
      <c r="H218" s="193" t="str">
        <f>IFERROR(IF(OR(COUNT('Observaciones-SMP'!$B$2:$B$1001)=0,F218&lt;DATE(YEAR(MIN('Observaciones-SMP'!$B$2:$B$1001)),MONTH(MIN('Observaciones-SMP'!$B$2:$B$1001)),1),F218&gt;RPT_MONTH),"",INDEX(Datos!$D$69:$AL$69,MATCH(F218,Datos!$D$3:$AL$3,0))),"")</f>
        <v/>
      </c>
      <c r="J218" t="s">
        <v>1134</v>
      </c>
      <c r="K218" t="s">
        <v>1093</v>
      </c>
      <c r="L218" s="193" t="str">
        <f t="shared" si="19"/>
        <v>NO_DATA</v>
      </c>
      <c r="M218" s="193" t="str">
        <f t="shared" si="20"/>
        <v>Month-end</v>
      </c>
      <c r="N218" s="193" t="str">
        <f t="shared" si="21"/>
        <v>NO_DATA</v>
      </c>
      <c r="O218" s="193" t="str">
        <f t="shared" si="22"/>
        <v>Compressor Plant</v>
      </c>
      <c r="P218" s="193" t="str">
        <f ca="1">IF(LEFT(Control!$C$10,4)="ROJO","RED",IF(LEFT(Control!$C$10,8)="AMARILLO","AMBER","GREEN"))</f>
        <v>RED</v>
      </c>
      <c r="Q218" s="193">
        <f>IF(OR(COUNT('Observaciones-SMP'!$B$2:$B$1001)=0,F218&lt;DATE(YEAR(MIN('Observaciones-SMP'!$B$2:$B$1001)),MONTH(MIN('Observaciones-SMP'!$B$2:$B$1001)),1),F218&gt;RPT_MONTH,ISNA(MATCH(F218,Datos!$D$3:$AL$3,0))),0,1)</f>
        <v>0</v>
      </c>
      <c r="R218" s="193" t="str">
        <f t="shared" si="23"/>
        <v>OUT_OF_SCOPE</v>
      </c>
    </row>
    <row r="219" spans="1:18" ht="13.5" customHeight="1" x14ac:dyDescent="0.3">
      <c r="A219" t="s">
        <v>1132</v>
      </c>
      <c r="B219" t="s">
        <v>1137</v>
      </c>
      <c r="C219" t="s">
        <v>924</v>
      </c>
      <c r="D219">
        <v>3</v>
      </c>
      <c r="E219">
        <v>2</v>
      </c>
      <c r="F219" s="258">
        <f>DATE(YEAR(RPT_MONTH),MONTH(RPT_MONTH)-10,1)</f>
        <v>45992</v>
      </c>
      <c r="G219" s="193" t="str">
        <f t="shared" si="18"/>
        <v>Dec-25</v>
      </c>
      <c r="H219" s="193" t="str">
        <f>IFERROR(IF(OR(COUNT('Observaciones-SMP'!$B$2:$B$1001)=0,F219&lt;DATE(YEAR(MIN('Observaciones-SMP'!$B$2:$B$1001)),MONTH(MIN('Observaciones-SMP'!$B$2:$B$1001)),1),F219&gt;RPT_MONTH),"",INDEX(Datos!$D$69:$AL$69,MATCH(F219,Datos!$D$3:$AL$3,0))),"")</f>
        <v/>
      </c>
      <c r="J219" t="s">
        <v>1134</v>
      </c>
      <c r="K219" t="s">
        <v>1093</v>
      </c>
      <c r="L219" s="193" t="str">
        <f t="shared" si="19"/>
        <v>NO_DATA</v>
      </c>
      <c r="M219" s="193" t="str">
        <f t="shared" si="20"/>
        <v>Month-end</v>
      </c>
      <c r="N219" s="193" t="str">
        <f t="shared" si="21"/>
        <v>NO_DATA</v>
      </c>
      <c r="O219" s="193" t="str">
        <f t="shared" si="22"/>
        <v>Compressor Plant</v>
      </c>
      <c r="P219" s="193" t="str">
        <f ca="1">IF(LEFT(Control!$C$10,4)="ROJO","RED",IF(LEFT(Control!$C$10,8)="AMARILLO","AMBER","GREEN"))</f>
        <v>RED</v>
      </c>
      <c r="Q219" s="193">
        <f>IF(OR(COUNT('Observaciones-SMP'!$B$2:$B$1001)=0,F219&lt;DATE(YEAR(MIN('Observaciones-SMP'!$B$2:$B$1001)),MONTH(MIN('Observaciones-SMP'!$B$2:$B$1001)),1),F219&gt;RPT_MONTH,ISNA(MATCH(F219,Datos!$D$3:$AL$3,0))),0,1)</f>
        <v>0</v>
      </c>
      <c r="R219" s="193" t="str">
        <f t="shared" si="23"/>
        <v>OUT_OF_SCOPE</v>
      </c>
    </row>
    <row r="220" spans="1:18" ht="13.5" customHeight="1" x14ac:dyDescent="0.3">
      <c r="A220" t="s">
        <v>1132</v>
      </c>
      <c r="B220" t="s">
        <v>1137</v>
      </c>
      <c r="C220" t="s">
        <v>924</v>
      </c>
      <c r="D220">
        <v>3</v>
      </c>
      <c r="E220">
        <v>3</v>
      </c>
      <c r="F220" s="258">
        <f>DATE(YEAR(RPT_MONTH),MONTH(RPT_MONTH)-9,1)</f>
        <v>46023</v>
      </c>
      <c r="G220" s="193" t="str">
        <f t="shared" si="18"/>
        <v>Jan-26</v>
      </c>
      <c r="H220" s="193" t="str">
        <f>IFERROR(IF(OR(COUNT('Observaciones-SMP'!$B$2:$B$1001)=0,F220&lt;DATE(YEAR(MIN('Observaciones-SMP'!$B$2:$B$1001)),MONTH(MIN('Observaciones-SMP'!$B$2:$B$1001)),1),F220&gt;RPT_MONTH),"",INDEX(Datos!$D$69:$AL$69,MATCH(F220,Datos!$D$3:$AL$3,0))),"")</f>
        <v/>
      </c>
      <c r="J220" t="s">
        <v>1134</v>
      </c>
      <c r="K220" t="s">
        <v>1093</v>
      </c>
      <c r="L220" s="193" t="str">
        <f t="shared" si="19"/>
        <v>NO_DATA</v>
      </c>
      <c r="M220" s="193" t="str">
        <f t="shared" si="20"/>
        <v>Month-end</v>
      </c>
      <c r="N220" s="193" t="str">
        <f t="shared" si="21"/>
        <v>NO_DATA</v>
      </c>
      <c r="O220" s="193" t="str">
        <f t="shared" si="22"/>
        <v>Compressor Plant</v>
      </c>
      <c r="P220" s="193" t="str">
        <f ca="1">IF(LEFT(Control!$C$10,4)="ROJO","RED",IF(LEFT(Control!$C$10,8)="AMARILLO","AMBER","GREEN"))</f>
        <v>RED</v>
      </c>
      <c r="Q220" s="193">
        <f>IF(OR(COUNT('Observaciones-SMP'!$B$2:$B$1001)=0,F220&lt;DATE(YEAR(MIN('Observaciones-SMP'!$B$2:$B$1001)),MONTH(MIN('Observaciones-SMP'!$B$2:$B$1001)),1),F220&gt;RPT_MONTH,ISNA(MATCH(F220,Datos!$D$3:$AL$3,0))),0,1)</f>
        <v>0</v>
      </c>
      <c r="R220" s="193" t="str">
        <f t="shared" si="23"/>
        <v>OUT_OF_SCOPE</v>
      </c>
    </row>
    <row r="221" spans="1:18" ht="13.5" customHeight="1" x14ac:dyDescent="0.3">
      <c r="A221" t="s">
        <v>1132</v>
      </c>
      <c r="B221" t="s">
        <v>1137</v>
      </c>
      <c r="C221" t="s">
        <v>924</v>
      </c>
      <c r="D221">
        <v>3</v>
      </c>
      <c r="E221">
        <v>4</v>
      </c>
      <c r="F221" s="258">
        <f>DATE(YEAR(RPT_MONTH),MONTH(RPT_MONTH)-8,1)</f>
        <v>46054</v>
      </c>
      <c r="G221" s="193" t="str">
        <f t="shared" si="18"/>
        <v>Feb-26</v>
      </c>
      <c r="H221" s="193" t="str">
        <f>IFERROR(IF(OR(COUNT('Observaciones-SMP'!$B$2:$B$1001)=0,F221&lt;DATE(YEAR(MIN('Observaciones-SMP'!$B$2:$B$1001)),MONTH(MIN('Observaciones-SMP'!$B$2:$B$1001)),1),F221&gt;RPT_MONTH),"",INDEX(Datos!$D$69:$AL$69,MATCH(F221,Datos!$D$3:$AL$3,0))),"")</f>
        <v/>
      </c>
      <c r="J221" t="s">
        <v>1134</v>
      </c>
      <c r="K221" t="s">
        <v>1093</v>
      </c>
      <c r="L221" s="193" t="str">
        <f t="shared" si="19"/>
        <v>NO_DATA</v>
      </c>
      <c r="M221" s="193" t="str">
        <f t="shared" si="20"/>
        <v>Month-end</v>
      </c>
      <c r="N221" s="193" t="str">
        <f t="shared" si="21"/>
        <v>NO_DATA</v>
      </c>
      <c r="O221" s="193" t="str">
        <f t="shared" si="22"/>
        <v>Compressor Plant</v>
      </c>
      <c r="P221" s="193" t="str">
        <f ca="1">IF(LEFT(Control!$C$10,4)="ROJO","RED",IF(LEFT(Control!$C$10,8)="AMARILLO","AMBER","GREEN"))</f>
        <v>RED</v>
      </c>
      <c r="Q221" s="193">
        <f>IF(OR(COUNT('Observaciones-SMP'!$B$2:$B$1001)=0,F221&lt;DATE(YEAR(MIN('Observaciones-SMP'!$B$2:$B$1001)),MONTH(MIN('Observaciones-SMP'!$B$2:$B$1001)),1),F221&gt;RPT_MONTH,ISNA(MATCH(F221,Datos!$D$3:$AL$3,0))),0,1)</f>
        <v>0</v>
      </c>
      <c r="R221" s="193" t="str">
        <f t="shared" si="23"/>
        <v>OUT_OF_SCOPE</v>
      </c>
    </row>
    <row r="222" spans="1:18" ht="13.5" customHeight="1" x14ac:dyDescent="0.3">
      <c r="A222" t="s">
        <v>1132</v>
      </c>
      <c r="B222" t="s">
        <v>1137</v>
      </c>
      <c r="C222" t="s">
        <v>924</v>
      </c>
      <c r="D222">
        <v>3</v>
      </c>
      <c r="E222">
        <v>5</v>
      </c>
      <c r="F222" s="258">
        <f>DATE(YEAR(RPT_MONTH),MONTH(RPT_MONTH)-7,1)</f>
        <v>46082</v>
      </c>
      <c r="G222" s="193" t="str">
        <f t="shared" si="18"/>
        <v>Mar-26</v>
      </c>
      <c r="H222" s="193" t="str">
        <f>IFERROR(IF(OR(COUNT('Observaciones-SMP'!$B$2:$B$1001)=0,F222&lt;DATE(YEAR(MIN('Observaciones-SMP'!$B$2:$B$1001)),MONTH(MIN('Observaciones-SMP'!$B$2:$B$1001)),1),F222&gt;RPT_MONTH),"",INDEX(Datos!$D$69:$AL$69,MATCH(F222,Datos!$D$3:$AL$3,0))),"")</f>
        <v/>
      </c>
      <c r="J222" t="s">
        <v>1134</v>
      </c>
      <c r="K222" t="s">
        <v>1093</v>
      </c>
      <c r="L222" s="193" t="str">
        <f t="shared" si="19"/>
        <v>NO_DATA</v>
      </c>
      <c r="M222" s="193" t="str">
        <f t="shared" si="20"/>
        <v>Month-end</v>
      </c>
      <c r="N222" s="193" t="str">
        <f t="shared" si="21"/>
        <v>NO_DATA</v>
      </c>
      <c r="O222" s="193" t="str">
        <f t="shared" si="22"/>
        <v>Compressor Plant</v>
      </c>
      <c r="P222" s="193" t="str">
        <f ca="1">IF(LEFT(Control!$C$10,4)="ROJO","RED",IF(LEFT(Control!$C$10,8)="AMARILLO","AMBER","GREEN"))</f>
        <v>RED</v>
      </c>
      <c r="Q222" s="193">
        <f>IF(OR(COUNT('Observaciones-SMP'!$B$2:$B$1001)=0,F222&lt;DATE(YEAR(MIN('Observaciones-SMP'!$B$2:$B$1001)),MONTH(MIN('Observaciones-SMP'!$B$2:$B$1001)),1),F222&gt;RPT_MONTH,ISNA(MATCH(F222,Datos!$D$3:$AL$3,0))),0,1)</f>
        <v>0</v>
      </c>
      <c r="R222" s="193" t="str">
        <f t="shared" si="23"/>
        <v>OUT_OF_SCOPE</v>
      </c>
    </row>
    <row r="223" spans="1:18" ht="13.5" customHeight="1" x14ac:dyDescent="0.3">
      <c r="A223" t="s">
        <v>1132</v>
      </c>
      <c r="B223" t="s">
        <v>1137</v>
      </c>
      <c r="C223" t="s">
        <v>924</v>
      </c>
      <c r="D223">
        <v>3</v>
      </c>
      <c r="E223">
        <v>6</v>
      </c>
      <c r="F223" s="258">
        <f>DATE(YEAR(RPT_MONTH),MONTH(RPT_MONTH)-6,1)</f>
        <v>46113</v>
      </c>
      <c r="G223" s="193" t="str">
        <f t="shared" si="18"/>
        <v>Apr-26</v>
      </c>
      <c r="H223" s="193" t="str">
        <f>IFERROR(IF(OR(COUNT('Observaciones-SMP'!$B$2:$B$1001)=0,F223&lt;DATE(YEAR(MIN('Observaciones-SMP'!$B$2:$B$1001)),MONTH(MIN('Observaciones-SMP'!$B$2:$B$1001)),1),F223&gt;RPT_MONTH),"",INDEX(Datos!$D$69:$AL$69,MATCH(F223,Datos!$D$3:$AL$3,0))),"")</f>
        <v/>
      </c>
      <c r="J223" t="s">
        <v>1134</v>
      </c>
      <c r="K223" t="s">
        <v>1093</v>
      </c>
      <c r="L223" s="193" t="str">
        <f t="shared" si="19"/>
        <v>NO_DATA</v>
      </c>
      <c r="M223" s="193" t="str">
        <f t="shared" si="20"/>
        <v>Month-end</v>
      </c>
      <c r="N223" s="193" t="str">
        <f t="shared" si="21"/>
        <v>NO_DATA</v>
      </c>
      <c r="O223" s="193" t="str">
        <f t="shared" si="22"/>
        <v>Compressor Plant</v>
      </c>
      <c r="P223" s="193" t="str">
        <f ca="1">IF(LEFT(Control!$C$10,4)="ROJO","RED",IF(LEFT(Control!$C$10,8)="AMARILLO","AMBER","GREEN"))</f>
        <v>RED</v>
      </c>
      <c r="Q223" s="193">
        <f>IF(OR(COUNT('Observaciones-SMP'!$B$2:$B$1001)=0,F223&lt;DATE(YEAR(MIN('Observaciones-SMP'!$B$2:$B$1001)),MONTH(MIN('Observaciones-SMP'!$B$2:$B$1001)),1),F223&gt;RPT_MONTH,ISNA(MATCH(F223,Datos!$D$3:$AL$3,0))),0,1)</f>
        <v>0</v>
      </c>
      <c r="R223" s="193" t="str">
        <f t="shared" si="23"/>
        <v>OUT_OF_SCOPE</v>
      </c>
    </row>
    <row r="224" spans="1:18" ht="13.5" customHeight="1" x14ac:dyDescent="0.3">
      <c r="A224" t="s">
        <v>1132</v>
      </c>
      <c r="B224" t="s">
        <v>1137</v>
      </c>
      <c r="C224" t="s">
        <v>924</v>
      </c>
      <c r="D224">
        <v>3</v>
      </c>
      <c r="E224">
        <v>7</v>
      </c>
      <c r="F224" s="258">
        <f>DATE(YEAR(RPT_MONTH),MONTH(RPT_MONTH)-5,1)</f>
        <v>46143</v>
      </c>
      <c r="G224" s="193" t="str">
        <f t="shared" si="18"/>
        <v>May-26</v>
      </c>
      <c r="H224" s="193" t="str">
        <f>IFERROR(IF(OR(COUNT('Observaciones-SMP'!$B$2:$B$1001)=0,F224&lt;DATE(YEAR(MIN('Observaciones-SMP'!$B$2:$B$1001)),MONTH(MIN('Observaciones-SMP'!$B$2:$B$1001)),1),F224&gt;RPT_MONTH),"",INDEX(Datos!$D$69:$AL$69,MATCH(F224,Datos!$D$3:$AL$3,0))),"")</f>
        <v/>
      </c>
      <c r="J224" t="s">
        <v>1134</v>
      </c>
      <c r="K224" t="s">
        <v>1093</v>
      </c>
      <c r="L224" s="193" t="str">
        <f t="shared" si="19"/>
        <v>NO_DATA</v>
      </c>
      <c r="M224" s="193" t="str">
        <f t="shared" si="20"/>
        <v>Month-end</v>
      </c>
      <c r="N224" s="193" t="str">
        <f t="shared" si="21"/>
        <v>NO_DATA</v>
      </c>
      <c r="O224" s="193" t="str">
        <f t="shared" si="22"/>
        <v>Compressor Plant</v>
      </c>
      <c r="P224" s="193" t="str">
        <f ca="1">IF(LEFT(Control!$C$10,4)="ROJO","RED",IF(LEFT(Control!$C$10,8)="AMARILLO","AMBER","GREEN"))</f>
        <v>RED</v>
      </c>
      <c r="Q224" s="193">
        <f>IF(OR(COUNT('Observaciones-SMP'!$B$2:$B$1001)=0,F224&lt;DATE(YEAR(MIN('Observaciones-SMP'!$B$2:$B$1001)),MONTH(MIN('Observaciones-SMP'!$B$2:$B$1001)),1),F224&gt;RPT_MONTH,ISNA(MATCH(F224,Datos!$D$3:$AL$3,0))),0,1)</f>
        <v>0</v>
      </c>
      <c r="R224" s="193" t="str">
        <f t="shared" si="23"/>
        <v>OUT_OF_SCOPE</v>
      </c>
    </row>
    <row r="225" spans="1:18" ht="13.5" customHeight="1" x14ac:dyDescent="0.3">
      <c r="A225" t="s">
        <v>1132</v>
      </c>
      <c r="B225" t="s">
        <v>1137</v>
      </c>
      <c r="C225" t="s">
        <v>924</v>
      </c>
      <c r="D225">
        <v>3</v>
      </c>
      <c r="E225">
        <v>8</v>
      </c>
      <c r="F225" s="258">
        <f>DATE(YEAR(RPT_MONTH),MONTH(RPT_MONTH)-4,1)</f>
        <v>46174</v>
      </c>
      <c r="G225" s="193" t="str">
        <f t="shared" si="18"/>
        <v>Jun-26</v>
      </c>
      <c r="H225" s="193" t="str">
        <f>IFERROR(IF(OR(COUNT('Observaciones-SMP'!$B$2:$B$1001)=0,F225&lt;DATE(YEAR(MIN('Observaciones-SMP'!$B$2:$B$1001)),MONTH(MIN('Observaciones-SMP'!$B$2:$B$1001)),1),F225&gt;RPT_MONTH),"",INDEX(Datos!$D$69:$AL$69,MATCH(F225,Datos!$D$3:$AL$3,0))),"")</f>
        <v/>
      </c>
      <c r="J225" t="s">
        <v>1134</v>
      </c>
      <c r="K225" t="s">
        <v>1093</v>
      </c>
      <c r="L225" s="193" t="str">
        <f t="shared" si="19"/>
        <v>NO_DATA</v>
      </c>
      <c r="M225" s="193" t="str">
        <f t="shared" si="20"/>
        <v>Month-end</v>
      </c>
      <c r="N225" s="193" t="str">
        <f t="shared" si="21"/>
        <v>NO_DATA</v>
      </c>
      <c r="O225" s="193" t="str">
        <f t="shared" si="22"/>
        <v>Compressor Plant</v>
      </c>
      <c r="P225" s="193" t="str">
        <f ca="1">IF(LEFT(Control!$C$10,4)="ROJO","RED",IF(LEFT(Control!$C$10,8)="AMARILLO","AMBER","GREEN"))</f>
        <v>RED</v>
      </c>
      <c r="Q225" s="193">
        <f>IF(OR(COUNT('Observaciones-SMP'!$B$2:$B$1001)=0,F225&lt;DATE(YEAR(MIN('Observaciones-SMP'!$B$2:$B$1001)),MONTH(MIN('Observaciones-SMP'!$B$2:$B$1001)),1),F225&gt;RPT_MONTH,ISNA(MATCH(F225,Datos!$D$3:$AL$3,0))),0,1)</f>
        <v>0</v>
      </c>
      <c r="R225" s="193" t="str">
        <f t="shared" si="23"/>
        <v>OUT_OF_SCOPE</v>
      </c>
    </row>
    <row r="226" spans="1:18" ht="13.5" customHeight="1" x14ac:dyDescent="0.3">
      <c r="A226" t="s">
        <v>1132</v>
      </c>
      <c r="B226" t="s">
        <v>1137</v>
      </c>
      <c r="C226" t="s">
        <v>924</v>
      </c>
      <c r="D226">
        <v>3</v>
      </c>
      <c r="E226">
        <v>9</v>
      </c>
      <c r="F226" s="258">
        <f>DATE(YEAR(RPT_MONTH),MONTH(RPT_MONTH)-3,1)</f>
        <v>46204</v>
      </c>
      <c r="G226" s="193" t="str">
        <f t="shared" si="18"/>
        <v>Jul-26</v>
      </c>
      <c r="H226" s="193" t="str">
        <f>IFERROR(IF(OR(COUNT('Observaciones-SMP'!$B$2:$B$1001)=0,F226&lt;DATE(YEAR(MIN('Observaciones-SMP'!$B$2:$B$1001)),MONTH(MIN('Observaciones-SMP'!$B$2:$B$1001)),1),F226&gt;RPT_MONTH),"",INDEX(Datos!$D$69:$AL$69,MATCH(F226,Datos!$D$3:$AL$3,0))),"")</f>
        <v/>
      </c>
      <c r="J226" t="s">
        <v>1134</v>
      </c>
      <c r="K226" t="s">
        <v>1093</v>
      </c>
      <c r="L226" s="193" t="str">
        <f t="shared" si="19"/>
        <v>NO_DATA</v>
      </c>
      <c r="M226" s="193" t="str">
        <f t="shared" si="20"/>
        <v>Month-end</v>
      </c>
      <c r="N226" s="193" t="str">
        <f t="shared" ref="N226:N257" si="24">IF(ISNUMBER(H226),"CONTEXT","NO_DATA")</f>
        <v>NO_DATA</v>
      </c>
      <c r="O226" s="193" t="str">
        <f t="shared" si="22"/>
        <v>Compressor Plant</v>
      </c>
      <c r="P226" s="193" t="str">
        <f ca="1">IF(LEFT(Control!$C$10,4)="ROJO","RED",IF(LEFT(Control!$C$10,8)="AMARILLO","AMBER","GREEN"))</f>
        <v>RED</v>
      </c>
      <c r="Q226" s="193">
        <f>IF(OR(COUNT('Observaciones-SMP'!$B$2:$B$1001)=0,F226&lt;DATE(YEAR(MIN('Observaciones-SMP'!$B$2:$B$1001)),MONTH(MIN('Observaciones-SMP'!$B$2:$B$1001)),1),F226&gt;RPT_MONTH,ISNA(MATCH(F226,Datos!$D$3:$AL$3,0))),0,1)</f>
        <v>0</v>
      </c>
      <c r="R226" s="193" t="str">
        <f t="shared" si="23"/>
        <v>OUT_OF_SCOPE</v>
      </c>
    </row>
    <row r="227" spans="1:18" ht="13.5" customHeight="1" x14ac:dyDescent="0.3">
      <c r="A227" t="s">
        <v>1132</v>
      </c>
      <c r="B227" t="s">
        <v>1137</v>
      </c>
      <c r="C227" t="s">
        <v>924</v>
      </c>
      <c r="D227">
        <v>3</v>
      </c>
      <c r="E227">
        <v>10</v>
      </c>
      <c r="F227" s="258">
        <f>DATE(YEAR(RPT_MONTH),MONTH(RPT_MONTH)-2,1)</f>
        <v>46235</v>
      </c>
      <c r="G227" s="193" t="str">
        <f t="shared" si="18"/>
        <v>Aug-26</v>
      </c>
      <c r="H227" s="193">
        <f>IFERROR(IF(OR(COUNT('Observaciones-SMP'!$B$2:$B$1001)=0,F227&lt;DATE(YEAR(MIN('Observaciones-SMP'!$B$2:$B$1001)),MONTH(MIN('Observaciones-SMP'!$B$2:$B$1001)),1),F227&gt;RPT_MONTH),"",INDEX(Datos!$D$69:$AL$69,MATCH(F227,Datos!$D$3:$AL$3,0))),"")</f>
        <v>6</v>
      </c>
      <c r="J227" t="s">
        <v>1134</v>
      </c>
      <c r="K227" t="s">
        <v>1093</v>
      </c>
      <c r="L227" s="193" t="str">
        <f t="shared" si="19"/>
        <v>OK</v>
      </c>
      <c r="M227" s="193" t="str">
        <f t="shared" si="20"/>
        <v>Month-end</v>
      </c>
      <c r="N227" s="193" t="str">
        <f t="shared" si="24"/>
        <v>CONTEXT</v>
      </c>
      <c r="O227" s="193" t="str">
        <f t="shared" si="22"/>
        <v>Compressor Plant</v>
      </c>
      <c r="P227" s="193" t="str">
        <f ca="1">IF(LEFT(Control!$C$10,4)="ROJO","RED",IF(LEFT(Control!$C$10,8)="AMARILLO","AMBER","GREEN"))</f>
        <v>RED</v>
      </c>
      <c r="Q227" s="193">
        <f>IF(OR(COUNT('Observaciones-SMP'!$B$2:$B$1001)=0,F227&lt;DATE(YEAR(MIN('Observaciones-SMP'!$B$2:$B$1001)),MONTH(MIN('Observaciones-SMP'!$B$2:$B$1001)),1),F227&gt;RPT_MONTH,ISNA(MATCH(F227,Datos!$D$3:$AL$3,0))),0,1)</f>
        <v>1</v>
      </c>
      <c r="R227" s="193" t="str">
        <f t="shared" si="23"/>
        <v>OK</v>
      </c>
    </row>
    <row r="228" spans="1:18" ht="13.5" customHeight="1" x14ac:dyDescent="0.3">
      <c r="A228" t="s">
        <v>1132</v>
      </c>
      <c r="B228" t="s">
        <v>1137</v>
      </c>
      <c r="C228" t="s">
        <v>924</v>
      </c>
      <c r="D228">
        <v>3</v>
      </c>
      <c r="E228">
        <v>11</v>
      </c>
      <c r="F228" s="258">
        <f>DATE(YEAR(RPT_MONTH),MONTH(RPT_MONTH)-1,1)</f>
        <v>46266</v>
      </c>
      <c r="G228" s="193" t="str">
        <f t="shared" si="18"/>
        <v>Sep-26</v>
      </c>
      <c r="H228" s="248">
        <f>IFERROR(IF(OR(COUNT('Observaciones-SMP'!$B$2:$B$1001)=0,F228&lt;DATE(YEAR(MIN('Observaciones-SMP'!$B$2:$B$1001)),MONTH(MIN('Observaciones-SMP'!$B$2:$B$1001)),1),F228&gt;RPT_MONTH),"",INDEX(Datos!$D$69:$AL$69,MATCH(F228,Datos!$D$3:$AL$3,0))),"")</f>
        <v>21</v>
      </c>
      <c r="J228" t="s">
        <v>1134</v>
      </c>
      <c r="K228" t="s">
        <v>1093</v>
      </c>
      <c r="L228" s="193" t="str">
        <f t="shared" si="19"/>
        <v>OK</v>
      </c>
      <c r="M228" s="193" t="str">
        <f t="shared" si="20"/>
        <v>Month-end</v>
      </c>
      <c r="N228" s="193" t="str">
        <f t="shared" si="24"/>
        <v>CONTEXT</v>
      </c>
      <c r="O228" s="193" t="str">
        <f t="shared" si="22"/>
        <v>Compressor Plant</v>
      </c>
      <c r="P228" s="193" t="str">
        <f ca="1">IF(LEFT(Control!$C$10,4)="ROJO","RED",IF(LEFT(Control!$C$10,8)="AMARILLO","AMBER","GREEN"))</f>
        <v>RED</v>
      </c>
      <c r="Q228" s="193">
        <f>IF(OR(COUNT('Observaciones-SMP'!$B$2:$B$1001)=0,F228&lt;DATE(YEAR(MIN('Observaciones-SMP'!$B$2:$B$1001)),MONTH(MIN('Observaciones-SMP'!$B$2:$B$1001)),1),F228&gt;RPT_MONTH,ISNA(MATCH(F228,Datos!$D$3:$AL$3,0))),0,1)</f>
        <v>1</v>
      </c>
      <c r="R228" s="193" t="str">
        <f t="shared" si="23"/>
        <v>OK</v>
      </c>
    </row>
    <row r="229" spans="1:18" ht="13.5" customHeight="1" x14ac:dyDescent="0.3">
      <c r="A229" t="s">
        <v>1132</v>
      </c>
      <c r="B229" t="s">
        <v>1137</v>
      </c>
      <c r="C229" t="s">
        <v>924</v>
      </c>
      <c r="D229">
        <v>3</v>
      </c>
      <c r="E229">
        <v>12</v>
      </c>
      <c r="F229" s="258">
        <f>DATE(YEAR(RPT_MONTH),MONTH(RPT_MONTH)-0,1)</f>
        <v>46296</v>
      </c>
      <c r="G229" s="193" t="str">
        <f t="shared" si="18"/>
        <v>Oct-26</v>
      </c>
      <c r="H229" s="248">
        <f>IFERROR(IF(OR(COUNT('Observaciones-SMP'!$B$2:$B$1001)=0,F229&lt;DATE(YEAR(MIN('Observaciones-SMP'!$B$2:$B$1001)),MONTH(MIN('Observaciones-SMP'!$B$2:$B$1001)),1),F229&gt;RPT_MONTH),"",INDEX(Datos!$D$69:$AL$69,MATCH(F229,Datos!$D$3:$AL$3,0))),"")</f>
        <v>0</v>
      </c>
      <c r="J229" t="s">
        <v>1134</v>
      </c>
      <c r="K229" t="s">
        <v>1093</v>
      </c>
      <c r="L229" s="193" t="str">
        <f t="shared" si="19"/>
        <v>NO_DATA</v>
      </c>
      <c r="M229" s="193" t="str">
        <f t="shared" si="20"/>
        <v>Month-end</v>
      </c>
      <c r="N229" s="193" t="str">
        <f t="shared" si="24"/>
        <v>NO_DATA</v>
      </c>
      <c r="O229" s="193" t="str">
        <f t="shared" si="22"/>
        <v>Compressor Plant</v>
      </c>
      <c r="P229" s="193" t="str">
        <f ca="1">IF(LEFT(Control!$C$10,4)="ROJO","RED",IF(LEFT(Control!$C$10,8)="AMARILLO","AMBER","GREEN"))</f>
        <v>RED</v>
      </c>
      <c r="Q229" s="193">
        <f>IF(OR(COUNT('Observaciones-SMP'!$B$2:$B$1001)=0,F229&lt;DATE(YEAR(MIN('Observaciones-SMP'!$B$2:$B$1001)),MONTH(MIN('Observaciones-SMP'!$B$2:$B$1001)),1),F229&gt;RPT_MONTH,ISNA(MATCH(F229,Datos!$D$3:$AL$3,0))),0,1)</f>
        <v>1</v>
      </c>
      <c r="R229" s="193" t="str">
        <f t="shared" si="23"/>
        <v>MISSING</v>
      </c>
    </row>
    <row r="230" spans="1:18" ht="13.5" customHeight="1" x14ac:dyDescent="0.3">
      <c r="A230" t="s">
        <v>1138</v>
      </c>
      <c r="B230" t="s">
        <v>1139</v>
      </c>
      <c r="C230" t="s">
        <v>1140</v>
      </c>
      <c r="D230">
        <v>1</v>
      </c>
      <c r="E230">
        <v>1</v>
      </c>
      <c r="F230" s="258">
        <f>DATE(YEAR(RPT_MONTH),MONTH(RPT_MONTH)-11,1)</f>
        <v>45962</v>
      </c>
      <c r="G230" s="193" t="str">
        <f t="shared" si="18"/>
        <v>Nov-25</v>
      </c>
      <c r="H230" s="193" t="str">
        <f>IFERROR(IF(OR(COUNT('Observaciones-SMP'!$B$2:$B$1001)=0,F230&lt;DATE(YEAR(MIN('Observaciones-SMP'!$B$2:$B$1001)),MONTH(MIN('Observaciones-SMP'!$B$2:$B$1001)),1),F230&gt;RPT_MONTH),"",INDEX(Datos!$D$71:$AL$71,MATCH(F230,Datos!$D$3:$AL$3,0))),"")</f>
        <v/>
      </c>
      <c r="J230" t="s">
        <v>1134</v>
      </c>
      <c r="K230" t="s">
        <v>1104</v>
      </c>
      <c r="L230" s="193" t="str">
        <f t="shared" si="19"/>
        <v>NO_DATA</v>
      </c>
      <c r="M230" s="193" t="str">
        <f t="shared" si="20"/>
        <v>Monthly</v>
      </c>
      <c r="N230" s="193" t="str">
        <f t="shared" si="24"/>
        <v>NO_DATA</v>
      </c>
      <c r="O230" s="193" t="str">
        <f t="shared" si="22"/>
        <v>Compressor Plant</v>
      </c>
      <c r="P230" s="193" t="str">
        <f ca="1">IF(LEFT(Control!$C$10,4)="ROJO","RED",IF(LEFT(Control!$C$10,8)="AMARILLO","AMBER","GREEN"))</f>
        <v>RED</v>
      </c>
      <c r="Q230" s="193">
        <f>IF(OR(COUNT('Observaciones-SMP'!$B$2:$B$1001)=0,F230&lt;DATE(YEAR(MIN('Observaciones-SMP'!$B$2:$B$1001)),MONTH(MIN('Observaciones-SMP'!$B$2:$B$1001)),1),F230&gt;RPT_MONTH,ISNA(MATCH(F230,Datos!$D$3:$AL$3,0))),0,1)</f>
        <v>0</v>
      </c>
      <c r="R230" s="193" t="str">
        <f t="shared" si="23"/>
        <v>OUT_OF_SCOPE</v>
      </c>
    </row>
    <row r="231" spans="1:18" ht="13.5" customHeight="1" x14ac:dyDescent="0.3">
      <c r="A231" t="s">
        <v>1138</v>
      </c>
      <c r="B231" t="s">
        <v>1139</v>
      </c>
      <c r="C231" t="s">
        <v>1140</v>
      </c>
      <c r="D231">
        <v>1</v>
      </c>
      <c r="E231">
        <v>2</v>
      </c>
      <c r="F231" s="258">
        <f>DATE(YEAR(RPT_MONTH),MONTH(RPT_MONTH)-10,1)</f>
        <v>45992</v>
      </c>
      <c r="G231" s="193" t="str">
        <f t="shared" si="18"/>
        <v>Dec-25</v>
      </c>
      <c r="H231" s="193" t="str">
        <f>IFERROR(IF(OR(COUNT('Observaciones-SMP'!$B$2:$B$1001)=0,F231&lt;DATE(YEAR(MIN('Observaciones-SMP'!$B$2:$B$1001)),MONTH(MIN('Observaciones-SMP'!$B$2:$B$1001)),1),F231&gt;RPT_MONTH),"",INDEX(Datos!$D$71:$AL$71,MATCH(F231,Datos!$D$3:$AL$3,0))),"")</f>
        <v/>
      </c>
      <c r="J231" t="s">
        <v>1134</v>
      </c>
      <c r="K231" t="s">
        <v>1104</v>
      </c>
      <c r="L231" s="193" t="str">
        <f t="shared" si="19"/>
        <v>NO_DATA</v>
      </c>
      <c r="M231" s="193" t="str">
        <f t="shared" si="20"/>
        <v>Monthly</v>
      </c>
      <c r="N231" s="193" t="str">
        <f t="shared" si="24"/>
        <v>NO_DATA</v>
      </c>
      <c r="O231" s="193" t="str">
        <f t="shared" si="22"/>
        <v>Compressor Plant</v>
      </c>
      <c r="P231" s="193" t="str">
        <f ca="1">IF(LEFT(Control!$C$10,4)="ROJO","RED",IF(LEFT(Control!$C$10,8)="AMARILLO","AMBER","GREEN"))</f>
        <v>RED</v>
      </c>
      <c r="Q231" s="193">
        <f>IF(OR(COUNT('Observaciones-SMP'!$B$2:$B$1001)=0,F231&lt;DATE(YEAR(MIN('Observaciones-SMP'!$B$2:$B$1001)),MONTH(MIN('Observaciones-SMP'!$B$2:$B$1001)),1),F231&gt;RPT_MONTH,ISNA(MATCH(F231,Datos!$D$3:$AL$3,0))),0,1)</f>
        <v>0</v>
      </c>
      <c r="R231" s="193" t="str">
        <f t="shared" si="23"/>
        <v>OUT_OF_SCOPE</v>
      </c>
    </row>
    <row r="232" spans="1:18" ht="13.5" customHeight="1" x14ac:dyDescent="0.3">
      <c r="A232" t="s">
        <v>1138</v>
      </c>
      <c r="B232" t="s">
        <v>1139</v>
      </c>
      <c r="C232" t="s">
        <v>1140</v>
      </c>
      <c r="D232">
        <v>1</v>
      </c>
      <c r="E232">
        <v>3</v>
      </c>
      <c r="F232" s="258">
        <f>DATE(YEAR(RPT_MONTH),MONTH(RPT_MONTH)-9,1)</f>
        <v>46023</v>
      </c>
      <c r="G232" s="193" t="str">
        <f t="shared" si="18"/>
        <v>Jan-26</v>
      </c>
      <c r="H232" s="193" t="str">
        <f>IFERROR(IF(OR(COUNT('Observaciones-SMP'!$B$2:$B$1001)=0,F232&lt;DATE(YEAR(MIN('Observaciones-SMP'!$B$2:$B$1001)),MONTH(MIN('Observaciones-SMP'!$B$2:$B$1001)),1),F232&gt;RPT_MONTH),"",INDEX(Datos!$D$71:$AL$71,MATCH(F232,Datos!$D$3:$AL$3,0))),"")</f>
        <v/>
      </c>
      <c r="J232" t="s">
        <v>1134</v>
      </c>
      <c r="K232" t="s">
        <v>1104</v>
      </c>
      <c r="L232" s="193" t="str">
        <f t="shared" si="19"/>
        <v>NO_DATA</v>
      </c>
      <c r="M232" s="193" t="str">
        <f t="shared" si="20"/>
        <v>Monthly</v>
      </c>
      <c r="N232" s="193" t="str">
        <f t="shared" si="24"/>
        <v>NO_DATA</v>
      </c>
      <c r="O232" s="193" t="str">
        <f t="shared" si="22"/>
        <v>Compressor Plant</v>
      </c>
      <c r="P232" s="193" t="str">
        <f ca="1">IF(LEFT(Control!$C$10,4)="ROJO","RED",IF(LEFT(Control!$C$10,8)="AMARILLO","AMBER","GREEN"))</f>
        <v>RED</v>
      </c>
      <c r="Q232" s="193">
        <f>IF(OR(COUNT('Observaciones-SMP'!$B$2:$B$1001)=0,F232&lt;DATE(YEAR(MIN('Observaciones-SMP'!$B$2:$B$1001)),MONTH(MIN('Observaciones-SMP'!$B$2:$B$1001)),1),F232&gt;RPT_MONTH,ISNA(MATCH(F232,Datos!$D$3:$AL$3,0))),0,1)</f>
        <v>0</v>
      </c>
      <c r="R232" s="193" t="str">
        <f t="shared" si="23"/>
        <v>OUT_OF_SCOPE</v>
      </c>
    </row>
    <row r="233" spans="1:18" ht="13.5" customHeight="1" x14ac:dyDescent="0.3">
      <c r="A233" t="s">
        <v>1138</v>
      </c>
      <c r="B233" t="s">
        <v>1139</v>
      </c>
      <c r="C233" t="s">
        <v>1140</v>
      </c>
      <c r="D233">
        <v>1</v>
      </c>
      <c r="E233">
        <v>4</v>
      </c>
      <c r="F233" s="258">
        <f>DATE(YEAR(RPT_MONTH),MONTH(RPT_MONTH)-8,1)</f>
        <v>46054</v>
      </c>
      <c r="G233" s="193" t="str">
        <f t="shared" si="18"/>
        <v>Feb-26</v>
      </c>
      <c r="H233" s="193" t="str">
        <f>IFERROR(IF(OR(COUNT('Observaciones-SMP'!$B$2:$B$1001)=0,F233&lt;DATE(YEAR(MIN('Observaciones-SMP'!$B$2:$B$1001)),MONTH(MIN('Observaciones-SMP'!$B$2:$B$1001)),1),F233&gt;RPT_MONTH),"",INDEX(Datos!$D$71:$AL$71,MATCH(F233,Datos!$D$3:$AL$3,0))),"")</f>
        <v/>
      </c>
      <c r="J233" t="s">
        <v>1134</v>
      </c>
      <c r="K233" t="s">
        <v>1104</v>
      </c>
      <c r="L233" s="193" t="str">
        <f t="shared" si="19"/>
        <v>NO_DATA</v>
      </c>
      <c r="M233" s="193" t="str">
        <f t="shared" si="20"/>
        <v>Monthly</v>
      </c>
      <c r="N233" s="193" t="str">
        <f t="shared" si="24"/>
        <v>NO_DATA</v>
      </c>
      <c r="O233" s="193" t="str">
        <f t="shared" si="22"/>
        <v>Compressor Plant</v>
      </c>
      <c r="P233" s="193" t="str">
        <f ca="1">IF(LEFT(Control!$C$10,4)="ROJO","RED",IF(LEFT(Control!$C$10,8)="AMARILLO","AMBER","GREEN"))</f>
        <v>RED</v>
      </c>
      <c r="Q233" s="193">
        <f>IF(OR(COUNT('Observaciones-SMP'!$B$2:$B$1001)=0,F233&lt;DATE(YEAR(MIN('Observaciones-SMP'!$B$2:$B$1001)),MONTH(MIN('Observaciones-SMP'!$B$2:$B$1001)),1),F233&gt;RPT_MONTH,ISNA(MATCH(F233,Datos!$D$3:$AL$3,0))),0,1)</f>
        <v>0</v>
      </c>
      <c r="R233" s="193" t="str">
        <f t="shared" si="23"/>
        <v>OUT_OF_SCOPE</v>
      </c>
    </row>
    <row r="234" spans="1:18" ht="13.5" customHeight="1" x14ac:dyDescent="0.3">
      <c r="A234" t="s">
        <v>1138</v>
      </c>
      <c r="B234" t="s">
        <v>1139</v>
      </c>
      <c r="C234" t="s">
        <v>1140</v>
      </c>
      <c r="D234">
        <v>1</v>
      </c>
      <c r="E234">
        <v>5</v>
      </c>
      <c r="F234" s="258">
        <f>DATE(YEAR(RPT_MONTH),MONTH(RPT_MONTH)-7,1)</f>
        <v>46082</v>
      </c>
      <c r="G234" s="193" t="str">
        <f t="shared" si="18"/>
        <v>Mar-26</v>
      </c>
      <c r="H234" s="193" t="str">
        <f>IFERROR(IF(OR(COUNT('Observaciones-SMP'!$B$2:$B$1001)=0,F234&lt;DATE(YEAR(MIN('Observaciones-SMP'!$B$2:$B$1001)),MONTH(MIN('Observaciones-SMP'!$B$2:$B$1001)),1),F234&gt;RPT_MONTH),"",INDEX(Datos!$D$71:$AL$71,MATCH(F234,Datos!$D$3:$AL$3,0))),"")</f>
        <v/>
      </c>
      <c r="J234" t="s">
        <v>1134</v>
      </c>
      <c r="K234" t="s">
        <v>1104</v>
      </c>
      <c r="L234" s="193" t="str">
        <f t="shared" si="19"/>
        <v>NO_DATA</v>
      </c>
      <c r="M234" s="193" t="str">
        <f t="shared" si="20"/>
        <v>Monthly</v>
      </c>
      <c r="N234" s="193" t="str">
        <f t="shared" si="24"/>
        <v>NO_DATA</v>
      </c>
      <c r="O234" s="193" t="str">
        <f t="shared" si="22"/>
        <v>Compressor Plant</v>
      </c>
      <c r="P234" s="193" t="str">
        <f ca="1">IF(LEFT(Control!$C$10,4)="ROJO","RED",IF(LEFT(Control!$C$10,8)="AMARILLO","AMBER","GREEN"))</f>
        <v>RED</v>
      </c>
      <c r="Q234" s="193">
        <f>IF(OR(COUNT('Observaciones-SMP'!$B$2:$B$1001)=0,F234&lt;DATE(YEAR(MIN('Observaciones-SMP'!$B$2:$B$1001)),MONTH(MIN('Observaciones-SMP'!$B$2:$B$1001)),1),F234&gt;RPT_MONTH,ISNA(MATCH(F234,Datos!$D$3:$AL$3,0))),0,1)</f>
        <v>0</v>
      </c>
      <c r="R234" s="193" t="str">
        <f t="shared" si="23"/>
        <v>OUT_OF_SCOPE</v>
      </c>
    </row>
    <row r="235" spans="1:18" ht="13.5" customHeight="1" x14ac:dyDescent="0.3">
      <c r="A235" t="s">
        <v>1138</v>
      </c>
      <c r="B235" t="s">
        <v>1139</v>
      </c>
      <c r="C235" t="s">
        <v>1140</v>
      </c>
      <c r="D235">
        <v>1</v>
      </c>
      <c r="E235">
        <v>6</v>
      </c>
      <c r="F235" s="258">
        <f>DATE(YEAR(RPT_MONTH),MONTH(RPT_MONTH)-6,1)</f>
        <v>46113</v>
      </c>
      <c r="G235" s="193" t="str">
        <f t="shared" si="18"/>
        <v>Apr-26</v>
      </c>
      <c r="H235" s="193" t="str">
        <f>IFERROR(IF(OR(COUNT('Observaciones-SMP'!$B$2:$B$1001)=0,F235&lt;DATE(YEAR(MIN('Observaciones-SMP'!$B$2:$B$1001)),MONTH(MIN('Observaciones-SMP'!$B$2:$B$1001)),1),F235&gt;RPT_MONTH),"",INDEX(Datos!$D$71:$AL$71,MATCH(F235,Datos!$D$3:$AL$3,0))),"")</f>
        <v/>
      </c>
      <c r="J235" t="s">
        <v>1134</v>
      </c>
      <c r="K235" t="s">
        <v>1104</v>
      </c>
      <c r="L235" s="193" t="str">
        <f t="shared" si="19"/>
        <v>NO_DATA</v>
      </c>
      <c r="M235" s="193" t="str">
        <f t="shared" si="20"/>
        <v>Monthly</v>
      </c>
      <c r="N235" s="193" t="str">
        <f t="shared" si="24"/>
        <v>NO_DATA</v>
      </c>
      <c r="O235" s="193" t="str">
        <f t="shared" si="22"/>
        <v>Compressor Plant</v>
      </c>
      <c r="P235" s="193" t="str">
        <f ca="1">IF(LEFT(Control!$C$10,4)="ROJO","RED",IF(LEFT(Control!$C$10,8)="AMARILLO","AMBER","GREEN"))</f>
        <v>RED</v>
      </c>
      <c r="Q235" s="193">
        <f>IF(OR(COUNT('Observaciones-SMP'!$B$2:$B$1001)=0,F235&lt;DATE(YEAR(MIN('Observaciones-SMP'!$B$2:$B$1001)),MONTH(MIN('Observaciones-SMP'!$B$2:$B$1001)),1),F235&gt;RPT_MONTH,ISNA(MATCH(F235,Datos!$D$3:$AL$3,0))),0,1)</f>
        <v>0</v>
      </c>
      <c r="R235" s="193" t="str">
        <f t="shared" si="23"/>
        <v>OUT_OF_SCOPE</v>
      </c>
    </row>
    <row r="236" spans="1:18" ht="13.5" customHeight="1" x14ac:dyDescent="0.3">
      <c r="A236" t="s">
        <v>1138</v>
      </c>
      <c r="B236" t="s">
        <v>1139</v>
      </c>
      <c r="C236" t="s">
        <v>1140</v>
      </c>
      <c r="D236">
        <v>1</v>
      </c>
      <c r="E236">
        <v>7</v>
      </c>
      <c r="F236" s="258">
        <f>DATE(YEAR(RPT_MONTH),MONTH(RPT_MONTH)-5,1)</f>
        <v>46143</v>
      </c>
      <c r="G236" s="193" t="str">
        <f t="shared" si="18"/>
        <v>May-26</v>
      </c>
      <c r="H236" s="193" t="str">
        <f>IFERROR(IF(OR(COUNT('Observaciones-SMP'!$B$2:$B$1001)=0,F236&lt;DATE(YEAR(MIN('Observaciones-SMP'!$B$2:$B$1001)),MONTH(MIN('Observaciones-SMP'!$B$2:$B$1001)),1),F236&gt;RPT_MONTH),"",INDEX(Datos!$D$71:$AL$71,MATCH(F236,Datos!$D$3:$AL$3,0))),"")</f>
        <v/>
      </c>
      <c r="J236" t="s">
        <v>1134</v>
      </c>
      <c r="K236" t="s">
        <v>1104</v>
      </c>
      <c r="L236" s="193" t="str">
        <f t="shared" si="19"/>
        <v>NO_DATA</v>
      </c>
      <c r="M236" s="193" t="str">
        <f t="shared" si="20"/>
        <v>Monthly</v>
      </c>
      <c r="N236" s="193" t="str">
        <f t="shared" si="24"/>
        <v>NO_DATA</v>
      </c>
      <c r="O236" s="193" t="str">
        <f t="shared" si="22"/>
        <v>Compressor Plant</v>
      </c>
      <c r="P236" s="193" t="str">
        <f ca="1">IF(LEFT(Control!$C$10,4)="ROJO","RED",IF(LEFT(Control!$C$10,8)="AMARILLO","AMBER","GREEN"))</f>
        <v>RED</v>
      </c>
      <c r="Q236" s="193">
        <f>IF(OR(COUNT('Observaciones-SMP'!$B$2:$B$1001)=0,F236&lt;DATE(YEAR(MIN('Observaciones-SMP'!$B$2:$B$1001)),MONTH(MIN('Observaciones-SMP'!$B$2:$B$1001)),1),F236&gt;RPT_MONTH,ISNA(MATCH(F236,Datos!$D$3:$AL$3,0))),0,1)</f>
        <v>0</v>
      </c>
      <c r="R236" s="193" t="str">
        <f t="shared" si="23"/>
        <v>OUT_OF_SCOPE</v>
      </c>
    </row>
    <row r="237" spans="1:18" ht="13.5" customHeight="1" x14ac:dyDescent="0.3">
      <c r="A237" t="s">
        <v>1138</v>
      </c>
      <c r="B237" t="s">
        <v>1139</v>
      </c>
      <c r="C237" t="s">
        <v>1140</v>
      </c>
      <c r="D237">
        <v>1</v>
      </c>
      <c r="E237">
        <v>8</v>
      </c>
      <c r="F237" s="258">
        <f>DATE(YEAR(RPT_MONTH),MONTH(RPT_MONTH)-4,1)</f>
        <v>46174</v>
      </c>
      <c r="G237" s="193" t="str">
        <f t="shared" si="18"/>
        <v>Jun-26</v>
      </c>
      <c r="H237" s="193" t="str">
        <f>IFERROR(IF(OR(COUNT('Observaciones-SMP'!$B$2:$B$1001)=0,F237&lt;DATE(YEAR(MIN('Observaciones-SMP'!$B$2:$B$1001)),MONTH(MIN('Observaciones-SMP'!$B$2:$B$1001)),1),F237&gt;RPT_MONTH),"",INDEX(Datos!$D$71:$AL$71,MATCH(F237,Datos!$D$3:$AL$3,0))),"")</f>
        <v/>
      </c>
      <c r="J237" t="s">
        <v>1134</v>
      </c>
      <c r="K237" t="s">
        <v>1104</v>
      </c>
      <c r="L237" s="193" t="str">
        <f t="shared" si="19"/>
        <v>NO_DATA</v>
      </c>
      <c r="M237" s="193" t="str">
        <f t="shared" si="20"/>
        <v>Monthly</v>
      </c>
      <c r="N237" s="193" t="str">
        <f t="shared" si="24"/>
        <v>NO_DATA</v>
      </c>
      <c r="O237" s="193" t="str">
        <f t="shared" si="22"/>
        <v>Compressor Plant</v>
      </c>
      <c r="P237" s="193" t="str">
        <f ca="1">IF(LEFT(Control!$C$10,4)="ROJO","RED",IF(LEFT(Control!$C$10,8)="AMARILLO","AMBER","GREEN"))</f>
        <v>RED</v>
      </c>
      <c r="Q237" s="193">
        <f>IF(OR(COUNT('Observaciones-SMP'!$B$2:$B$1001)=0,F237&lt;DATE(YEAR(MIN('Observaciones-SMP'!$B$2:$B$1001)),MONTH(MIN('Observaciones-SMP'!$B$2:$B$1001)),1),F237&gt;RPT_MONTH,ISNA(MATCH(F237,Datos!$D$3:$AL$3,0))),0,1)</f>
        <v>0</v>
      </c>
      <c r="R237" s="193" t="str">
        <f t="shared" si="23"/>
        <v>OUT_OF_SCOPE</v>
      </c>
    </row>
    <row r="238" spans="1:18" ht="13.5" customHeight="1" x14ac:dyDescent="0.3">
      <c r="A238" t="s">
        <v>1138</v>
      </c>
      <c r="B238" t="s">
        <v>1139</v>
      </c>
      <c r="C238" t="s">
        <v>1140</v>
      </c>
      <c r="D238">
        <v>1</v>
      </c>
      <c r="E238">
        <v>9</v>
      </c>
      <c r="F238" s="258">
        <f>DATE(YEAR(RPT_MONTH),MONTH(RPT_MONTH)-3,1)</f>
        <v>46204</v>
      </c>
      <c r="G238" s="193" t="str">
        <f t="shared" si="18"/>
        <v>Jul-26</v>
      </c>
      <c r="H238" s="193" t="str">
        <f>IFERROR(IF(OR(COUNT('Observaciones-SMP'!$B$2:$B$1001)=0,F238&lt;DATE(YEAR(MIN('Observaciones-SMP'!$B$2:$B$1001)),MONTH(MIN('Observaciones-SMP'!$B$2:$B$1001)),1),F238&gt;RPT_MONTH),"",INDEX(Datos!$D$71:$AL$71,MATCH(F238,Datos!$D$3:$AL$3,0))),"")</f>
        <v/>
      </c>
      <c r="J238" t="s">
        <v>1134</v>
      </c>
      <c r="K238" t="s">
        <v>1104</v>
      </c>
      <c r="L238" s="193" t="str">
        <f t="shared" si="19"/>
        <v>NO_DATA</v>
      </c>
      <c r="M238" s="193" t="str">
        <f t="shared" si="20"/>
        <v>Monthly</v>
      </c>
      <c r="N238" s="193" t="str">
        <f t="shared" si="24"/>
        <v>NO_DATA</v>
      </c>
      <c r="O238" s="193" t="str">
        <f t="shared" si="22"/>
        <v>Compressor Plant</v>
      </c>
      <c r="P238" s="193" t="str">
        <f ca="1">IF(LEFT(Control!$C$10,4)="ROJO","RED",IF(LEFT(Control!$C$10,8)="AMARILLO","AMBER","GREEN"))</f>
        <v>RED</v>
      </c>
      <c r="Q238" s="193">
        <f>IF(OR(COUNT('Observaciones-SMP'!$B$2:$B$1001)=0,F238&lt;DATE(YEAR(MIN('Observaciones-SMP'!$B$2:$B$1001)),MONTH(MIN('Observaciones-SMP'!$B$2:$B$1001)),1),F238&gt;RPT_MONTH,ISNA(MATCH(F238,Datos!$D$3:$AL$3,0))),0,1)</f>
        <v>0</v>
      </c>
      <c r="R238" s="193" t="str">
        <f t="shared" si="23"/>
        <v>OUT_OF_SCOPE</v>
      </c>
    </row>
    <row r="239" spans="1:18" ht="13.5" customHeight="1" x14ac:dyDescent="0.3">
      <c r="A239" t="s">
        <v>1138</v>
      </c>
      <c r="B239" t="s">
        <v>1139</v>
      </c>
      <c r="C239" t="s">
        <v>1140</v>
      </c>
      <c r="D239">
        <v>1</v>
      </c>
      <c r="E239">
        <v>10</v>
      </c>
      <c r="F239" s="258">
        <f>DATE(YEAR(RPT_MONTH),MONTH(RPT_MONTH)-2,1)</f>
        <v>46235</v>
      </c>
      <c r="G239" s="193" t="str">
        <f t="shared" si="18"/>
        <v>Aug-26</v>
      </c>
      <c r="H239" s="193">
        <f>IFERROR(IF(OR(COUNT('Observaciones-SMP'!$B$2:$B$1001)=0,F239&lt;DATE(YEAR(MIN('Observaciones-SMP'!$B$2:$B$1001)),MONTH(MIN('Observaciones-SMP'!$B$2:$B$1001)),1),F239&gt;RPT_MONTH),"",INDEX(Datos!$D$71:$AL$71,MATCH(F239,Datos!$D$3:$AL$3,0))),"")</f>
        <v>0</v>
      </c>
      <c r="J239" t="s">
        <v>1134</v>
      </c>
      <c r="K239" t="s">
        <v>1104</v>
      </c>
      <c r="L239" s="193" t="str">
        <f t="shared" si="19"/>
        <v>OK</v>
      </c>
      <c r="M239" s="193" t="str">
        <f t="shared" si="20"/>
        <v>Monthly</v>
      </c>
      <c r="N239" s="193" t="str">
        <f t="shared" si="24"/>
        <v>CONTEXT</v>
      </c>
      <c r="O239" s="193" t="str">
        <f t="shared" si="22"/>
        <v>Compressor Plant</v>
      </c>
      <c r="P239" s="193" t="str">
        <f ca="1">IF(LEFT(Control!$C$10,4)="ROJO","RED",IF(LEFT(Control!$C$10,8)="AMARILLO","AMBER","GREEN"))</f>
        <v>RED</v>
      </c>
      <c r="Q239" s="193">
        <f>IF(OR(COUNT('Observaciones-SMP'!$B$2:$B$1001)=0,F239&lt;DATE(YEAR(MIN('Observaciones-SMP'!$B$2:$B$1001)),MONTH(MIN('Observaciones-SMP'!$B$2:$B$1001)),1),F239&gt;RPT_MONTH,ISNA(MATCH(F239,Datos!$D$3:$AL$3,0))),0,1)</f>
        <v>1</v>
      </c>
      <c r="R239" s="193" t="str">
        <f t="shared" si="23"/>
        <v>OK</v>
      </c>
    </row>
    <row r="240" spans="1:18" ht="13.5" customHeight="1" x14ac:dyDescent="0.3">
      <c r="A240" t="s">
        <v>1138</v>
      </c>
      <c r="B240" t="s">
        <v>1139</v>
      </c>
      <c r="C240" t="s">
        <v>1140</v>
      </c>
      <c r="D240">
        <v>1</v>
      </c>
      <c r="E240">
        <v>11</v>
      </c>
      <c r="F240" s="258">
        <f>DATE(YEAR(RPT_MONTH),MONTH(RPT_MONTH)-1,1)</f>
        <v>46266</v>
      </c>
      <c r="G240" s="193" t="str">
        <f t="shared" si="18"/>
        <v>Sep-26</v>
      </c>
      <c r="H240" s="248">
        <f>IFERROR(IF(OR(COUNT('Observaciones-SMP'!$B$2:$B$1001)=0,F240&lt;DATE(YEAR(MIN('Observaciones-SMP'!$B$2:$B$1001)),MONTH(MIN('Observaciones-SMP'!$B$2:$B$1001)),1),F240&gt;RPT_MONTH),"",INDEX(Datos!$D$71:$AL$71,MATCH(F240,Datos!$D$3:$AL$3,0))),"")</f>
        <v>0</v>
      </c>
      <c r="J240" t="s">
        <v>1134</v>
      </c>
      <c r="K240" t="s">
        <v>1104</v>
      </c>
      <c r="L240" s="193" t="str">
        <f t="shared" si="19"/>
        <v>OK</v>
      </c>
      <c r="M240" s="193" t="str">
        <f t="shared" si="20"/>
        <v>Monthly</v>
      </c>
      <c r="N240" s="193" t="str">
        <f t="shared" si="24"/>
        <v>CONTEXT</v>
      </c>
      <c r="O240" s="193" t="str">
        <f t="shared" si="22"/>
        <v>Compressor Plant</v>
      </c>
      <c r="P240" s="193" t="str">
        <f ca="1">IF(LEFT(Control!$C$10,4)="ROJO","RED",IF(LEFT(Control!$C$10,8)="AMARILLO","AMBER","GREEN"))</f>
        <v>RED</v>
      </c>
      <c r="Q240" s="193">
        <f>IF(OR(COUNT('Observaciones-SMP'!$B$2:$B$1001)=0,F240&lt;DATE(YEAR(MIN('Observaciones-SMP'!$B$2:$B$1001)),MONTH(MIN('Observaciones-SMP'!$B$2:$B$1001)),1),F240&gt;RPT_MONTH,ISNA(MATCH(F240,Datos!$D$3:$AL$3,0))),0,1)</f>
        <v>1</v>
      </c>
      <c r="R240" s="193" t="str">
        <f t="shared" si="23"/>
        <v>OK</v>
      </c>
    </row>
    <row r="241" spans="1:18" ht="13.5" customHeight="1" x14ac:dyDescent="0.3">
      <c r="A241" t="s">
        <v>1138</v>
      </c>
      <c r="B241" t="s">
        <v>1139</v>
      </c>
      <c r="C241" t="s">
        <v>1140</v>
      </c>
      <c r="D241">
        <v>1</v>
      </c>
      <c r="E241">
        <v>12</v>
      </c>
      <c r="F241" s="258">
        <f>DATE(YEAR(RPT_MONTH),MONTH(RPT_MONTH)-0,1)</f>
        <v>46296</v>
      </c>
      <c r="G241" s="193" t="str">
        <f t="shared" si="18"/>
        <v>Oct-26</v>
      </c>
      <c r="H241" s="248">
        <f>IFERROR(IF(OR(COUNT('Observaciones-SMP'!$B$2:$B$1001)=0,F241&lt;DATE(YEAR(MIN('Observaciones-SMP'!$B$2:$B$1001)),MONTH(MIN('Observaciones-SMP'!$B$2:$B$1001)),1),F241&gt;RPT_MONTH),"",INDEX(Datos!$D$71:$AL$71,MATCH(F241,Datos!$D$3:$AL$3,0))),"")</f>
        <v>0</v>
      </c>
      <c r="J241" t="s">
        <v>1134</v>
      </c>
      <c r="K241" t="s">
        <v>1104</v>
      </c>
      <c r="L241" s="193" t="str">
        <f t="shared" si="19"/>
        <v>NO_DATA</v>
      </c>
      <c r="M241" s="193" t="str">
        <f t="shared" si="20"/>
        <v>Monthly</v>
      </c>
      <c r="N241" s="193" t="str">
        <f t="shared" si="24"/>
        <v>NO_DATA</v>
      </c>
      <c r="O241" s="193" t="str">
        <f t="shared" si="22"/>
        <v>Compressor Plant</v>
      </c>
      <c r="P241" s="193" t="str">
        <f ca="1">IF(LEFT(Control!$C$10,4)="ROJO","RED",IF(LEFT(Control!$C$10,8)="AMARILLO","AMBER","GREEN"))</f>
        <v>RED</v>
      </c>
      <c r="Q241" s="193">
        <f>IF(OR(COUNT('Observaciones-SMP'!$B$2:$B$1001)=0,F241&lt;DATE(YEAR(MIN('Observaciones-SMP'!$B$2:$B$1001)),MONTH(MIN('Observaciones-SMP'!$B$2:$B$1001)),1),F241&gt;RPT_MONTH,ISNA(MATCH(F241,Datos!$D$3:$AL$3,0))),0,1)</f>
        <v>1</v>
      </c>
      <c r="R241" s="193" t="str">
        <f t="shared" si="23"/>
        <v>MISSING</v>
      </c>
    </row>
    <row r="242" spans="1:18" ht="13.5" customHeight="1" x14ac:dyDescent="0.3">
      <c r="A242" t="s">
        <v>1138</v>
      </c>
      <c r="B242" t="s">
        <v>1141</v>
      </c>
      <c r="C242" t="s">
        <v>1142</v>
      </c>
      <c r="D242">
        <v>2</v>
      </c>
      <c r="E242">
        <v>1</v>
      </c>
      <c r="F242" s="258">
        <f>DATE(YEAR(RPT_MONTH),MONTH(RPT_MONTH)-11,1)</f>
        <v>45962</v>
      </c>
      <c r="G242" s="193" t="str">
        <f t="shared" si="18"/>
        <v>Nov-25</v>
      </c>
      <c r="H242" s="193" t="str">
        <f>IFERROR(IF(OR(COUNT('Observaciones-SMP'!$B$2:$B$1001)=0,F242&lt;DATE(YEAR(MIN('Observaciones-SMP'!$B$2:$B$1001)),MONTH(MIN('Observaciones-SMP'!$B$2:$B$1001)),1),F242&gt;RPT_MONTH),"",INDEX(Datos!$D$72:$AL$72,MATCH(F242,Datos!$D$3:$AL$3,0))),"")</f>
        <v/>
      </c>
      <c r="J242" t="s">
        <v>1134</v>
      </c>
      <c r="K242" t="s">
        <v>1104</v>
      </c>
      <c r="L242" s="193" t="str">
        <f t="shared" si="19"/>
        <v>NO_DATA</v>
      </c>
      <c r="M242" s="193" t="str">
        <f t="shared" si="20"/>
        <v>Monthly</v>
      </c>
      <c r="N242" s="193" t="str">
        <f t="shared" si="24"/>
        <v>NO_DATA</v>
      </c>
      <c r="O242" s="193" t="str">
        <f t="shared" si="22"/>
        <v>Compressor Plant</v>
      </c>
      <c r="P242" s="193" t="str">
        <f ca="1">IF(LEFT(Control!$C$10,4)="ROJO","RED",IF(LEFT(Control!$C$10,8)="AMARILLO","AMBER","GREEN"))</f>
        <v>RED</v>
      </c>
      <c r="Q242" s="193">
        <f>IF(OR(COUNT('Observaciones-SMP'!$B$2:$B$1001)=0,F242&lt;DATE(YEAR(MIN('Observaciones-SMP'!$B$2:$B$1001)),MONTH(MIN('Observaciones-SMP'!$B$2:$B$1001)),1),F242&gt;RPT_MONTH,ISNA(MATCH(F242,Datos!$D$3:$AL$3,0))),0,1)</f>
        <v>0</v>
      </c>
      <c r="R242" s="193" t="str">
        <f t="shared" si="23"/>
        <v>OUT_OF_SCOPE</v>
      </c>
    </row>
    <row r="243" spans="1:18" ht="13.5" customHeight="1" x14ac:dyDescent="0.3">
      <c r="A243" t="s">
        <v>1138</v>
      </c>
      <c r="B243" t="s">
        <v>1141</v>
      </c>
      <c r="C243" t="s">
        <v>1142</v>
      </c>
      <c r="D243">
        <v>2</v>
      </c>
      <c r="E243">
        <v>2</v>
      </c>
      <c r="F243" s="258">
        <f>DATE(YEAR(RPT_MONTH),MONTH(RPT_MONTH)-10,1)</f>
        <v>45992</v>
      </c>
      <c r="G243" s="193" t="str">
        <f t="shared" si="18"/>
        <v>Dec-25</v>
      </c>
      <c r="H243" s="193" t="str">
        <f>IFERROR(IF(OR(COUNT('Observaciones-SMP'!$B$2:$B$1001)=0,F243&lt;DATE(YEAR(MIN('Observaciones-SMP'!$B$2:$B$1001)),MONTH(MIN('Observaciones-SMP'!$B$2:$B$1001)),1),F243&gt;RPT_MONTH),"",INDEX(Datos!$D$72:$AL$72,MATCH(F243,Datos!$D$3:$AL$3,0))),"")</f>
        <v/>
      </c>
      <c r="J243" t="s">
        <v>1134</v>
      </c>
      <c r="K243" t="s">
        <v>1104</v>
      </c>
      <c r="L243" s="193" t="str">
        <f t="shared" si="19"/>
        <v>NO_DATA</v>
      </c>
      <c r="M243" s="193" t="str">
        <f t="shared" si="20"/>
        <v>Monthly</v>
      </c>
      <c r="N243" s="193" t="str">
        <f t="shared" si="24"/>
        <v>NO_DATA</v>
      </c>
      <c r="O243" s="193" t="str">
        <f t="shared" si="22"/>
        <v>Compressor Plant</v>
      </c>
      <c r="P243" s="193" t="str">
        <f ca="1">IF(LEFT(Control!$C$10,4)="ROJO","RED",IF(LEFT(Control!$C$10,8)="AMARILLO","AMBER","GREEN"))</f>
        <v>RED</v>
      </c>
      <c r="Q243" s="193">
        <f>IF(OR(COUNT('Observaciones-SMP'!$B$2:$B$1001)=0,F243&lt;DATE(YEAR(MIN('Observaciones-SMP'!$B$2:$B$1001)),MONTH(MIN('Observaciones-SMP'!$B$2:$B$1001)),1),F243&gt;RPT_MONTH,ISNA(MATCH(F243,Datos!$D$3:$AL$3,0))),0,1)</f>
        <v>0</v>
      </c>
      <c r="R243" s="193" t="str">
        <f t="shared" si="23"/>
        <v>OUT_OF_SCOPE</v>
      </c>
    </row>
    <row r="244" spans="1:18" ht="13.5" customHeight="1" x14ac:dyDescent="0.3">
      <c r="A244" t="s">
        <v>1138</v>
      </c>
      <c r="B244" t="s">
        <v>1141</v>
      </c>
      <c r="C244" t="s">
        <v>1142</v>
      </c>
      <c r="D244">
        <v>2</v>
      </c>
      <c r="E244">
        <v>3</v>
      </c>
      <c r="F244" s="258">
        <f>DATE(YEAR(RPT_MONTH),MONTH(RPT_MONTH)-9,1)</f>
        <v>46023</v>
      </c>
      <c r="G244" s="193" t="str">
        <f t="shared" si="18"/>
        <v>Jan-26</v>
      </c>
      <c r="H244" s="193" t="str">
        <f>IFERROR(IF(OR(COUNT('Observaciones-SMP'!$B$2:$B$1001)=0,F244&lt;DATE(YEAR(MIN('Observaciones-SMP'!$B$2:$B$1001)),MONTH(MIN('Observaciones-SMP'!$B$2:$B$1001)),1),F244&gt;RPT_MONTH),"",INDEX(Datos!$D$72:$AL$72,MATCH(F244,Datos!$D$3:$AL$3,0))),"")</f>
        <v/>
      </c>
      <c r="J244" t="s">
        <v>1134</v>
      </c>
      <c r="K244" t="s">
        <v>1104</v>
      </c>
      <c r="L244" s="193" t="str">
        <f t="shared" si="19"/>
        <v>NO_DATA</v>
      </c>
      <c r="M244" s="193" t="str">
        <f t="shared" si="20"/>
        <v>Monthly</v>
      </c>
      <c r="N244" s="193" t="str">
        <f t="shared" si="24"/>
        <v>NO_DATA</v>
      </c>
      <c r="O244" s="193" t="str">
        <f t="shared" si="22"/>
        <v>Compressor Plant</v>
      </c>
      <c r="P244" s="193" t="str">
        <f ca="1">IF(LEFT(Control!$C$10,4)="ROJO","RED",IF(LEFT(Control!$C$10,8)="AMARILLO","AMBER","GREEN"))</f>
        <v>RED</v>
      </c>
      <c r="Q244" s="193">
        <f>IF(OR(COUNT('Observaciones-SMP'!$B$2:$B$1001)=0,F244&lt;DATE(YEAR(MIN('Observaciones-SMP'!$B$2:$B$1001)),MONTH(MIN('Observaciones-SMP'!$B$2:$B$1001)),1),F244&gt;RPT_MONTH,ISNA(MATCH(F244,Datos!$D$3:$AL$3,0))),0,1)</f>
        <v>0</v>
      </c>
      <c r="R244" s="193" t="str">
        <f t="shared" si="23"/>
        <v>OUT_OF_SCOPE</v>
      </c>
    </row>
    <row r="245" spans="1:18" ht="13.5" customHeight="1" x14ac:dyDescent="0.3">
      <c r="A245" t="s">
        <v>1138</v>
      </c>
      <c r="B245" t="s">
        <v>1141</v>
      </c>
      <c r="C245" t="s">
        <v>1142</v>
      </c>
      <c r="D245">
        <v>2</v>
      </c>
      <c r="E245">
        <v>4</v>
      </c>
      <c r="F245" s="258">
        <f>DATE(YEAR(RPT_MONTH),MONTH(RPT_MONTH)-8,1)</f>
        <v>46054</v>
      </c>
      <c r="G245" s="193" t="str">
        <f t="shared" si="18"/>
        <v>Feb-26</v>
      </c>
      <c r="H245" s="193" t="str">
        <f>IFERROR(IF(OR(COUNT('Observaciones-SMP'!$B$2:$B$1001)=0,F245&lt;DATE(YEAR(MIN('Observaciones-SMP'!$B$2:$B$1001)),MONTH(MIN('Observaciones-SMP'!$B$2:$B$1001)),1),F245&gt;RPT_MONTH),"",INDEX(Datos!$D$72:$AL$72,MATCH(F245,Datos!$D$3:$AL$3,0))),"")</f>
        <v/>
      </c>
      <c r="J245" t="s">
        <v>1134</v>
      </c>
      <c r="K245" t="s">
        <v>1104</v>
      </c>
      <c r="L245" s="193" t="str">
        <f t="shared" si="19"/>
        <v>NO_DATA</v>
      </c>
      <c r="M245" s="193" t="str">
        <f t="shared" si="20"/>
        <v>Monthly</v>
      </c>
      <c r="N245" s="193" t="str">
        <f t="shared" si="24"/>
        <v>NO_DATA</v>
      </c>
      <c r="O245" s="193" t="str">
        <f t="shared" si="22"/>
        <v>Compressor Plant</v>
      </c>
      <c r="P245" s="193" t="str">
        <f ca="1">IF(LEFT(Control!$C$10,4)="ROJO","RED",IF(LEFT(Control!$C$10,8)="AMARILLO","AMBER","GREEN"))</f>
        <v>RED</v>
      </c>
      <c r="Q245" s="193">
        <f>IF(OR(COUNT('Observaciones-SMP'!$B$2:$B$1001)=0,F245&lt;DATE(YEAR(MIN('Observaciones-SMP'!$B$2:$B$1001)),MONTH(MIN('Observaciones-SMP'!$B$2:$B$1001)),1),F245&gt;RPT_MONTH,ISNA(MATCH(F245,Datos!$D$3:$AL$3,0))),0,1)</f>
        <v>0</v>
      </c>
      <c r="R245" s="193" t="str">
        <f t="shared" si="23"/>
        <v>OUT_OF_SCOPE</v>
      </c>
    </row>
    <row r="246" spans="1:18" ht="13.5" customHeight="1" x14ac:dyDescent="0.3">
      <c r="A246" t="s">
        <v>1138</v>
      </c>
      <c r="B246" t="s">
        <v>1141</v>
      </c>
      <c r="C246" t="s">
        <v>1142</v>
      </c>
      <c r="D246">
        <v>2</v>
      </c>
      <c r="E246">
        <v>5</v>
      </c>
      <c r="F246" s="258">
        <f>DATE(YEAR(RPT_MONTH),MONTH(RPT_MONTH)-7,1)</f>
        <v>46082</v>
      </c>
      <c r="G246" s="193" t="str">
        <f t="shared" si="18"/>
        <v>Mar-26</v>
      </c>
      <c r="H246" s="193" t="str">
        <f>IFERROR(IF(OR(COUNT('Observaciones-SMP'!$B$2:$B$1001)=0,F246&lt;DATE(YEAR(MIN('Observaciones-SMP'!$B$2:$B$1001)),MONTH(MIN('Observaciones-SMP'!$B$2:$B$1001)),1),F246&gt;RPT_MONTH),"",INDEX(Datos!$D$72:$AL$72,MATCH(F246,Datos!$D$3:$AL$3,0))),"")</f>
        <v/>
      </c>
      <c r="J246" t="s">
        <v>1134</v>
      </c>
      <c r="K246" t="s">
        <v>1104</v>
      </c>
      <c r="L246" s="193" t="str">
        <f t="shared" si="19"/>
        <v>NO_DATA</v>
      </c>
      <c r="M246" s="193" t="str">
        <f t="shared" si="20"/>
        <v>Monthly</v>
      </c>
      <c r="N246" s="193" t="str">
        <f t="shared" si="24"/>
        <v>NO_DATA</v>
      </c>
      <c r="O246" s="193" t="str">
        <f t="shared" si="22"/>
        <v>Compressor Plant</v>
      </c>
      <c r="P246" s="193" t="str">
        <f ca="1">IF(LEFT(Control!$C$10,4)="ROJO","RED",IF(LEFT(Control!$C$10,8)="AMARILLO","AMBER","GREEN"))</f>
        <v>RED</v>
      </c>
      <c r="Q246" s="193">
        <f>IF(OR(COUNT('Observaciones-SMP'!$B$2:$B$1001)=0,F246&lt;DATE(YEAR(MIN('Observaciones-SMP'!$B$2:$B$1001)),MONTH(MIN('Observaciones-SMP'!$B$2:$B$1001)),1),F246&gt;RPT_MONTH,ISNA(MATCH(F246,Datos!$D$3:$AL$3,0))),0,1)</f>
        <v>0</v>
      </c>
      <c r="R246" s="193" t="str">
        <f t="shared" si="23"/>
        <v>OUT_OF_SCOPE</v>
      </c>
    </row>
    <row r="247" spans="1:18" ht="13.5" customHeight="1" x14ac:dyDescent="0.3">
      <c r="A247" t="s">
        <v>1138</v>
      </c>
      <c r="B247" t="s">
        <v>1141</v>
      </c>
      <c r="C247" t="s">
        <v>1142</v>
      </c>
      <c r="D247">
        <v>2</v>
      </c>
      <c r="E247">
        <v>6</v>
      </c>
      <c r="F247" s="258">
        <f>DATE(YEAR(RPT_MONTH),MONTH(RPT_MONTH)-6,1)</f>
        <v>46113</v>
      </c>
      <c r="G247" s="193" t="str">
        <f t="shared" si="18"/>
        <v>Apr-26</v>
      </c>
      <c r="H247" s="193" t="str">
        <f>IFERROR(IF(OR(COUNT('Observaciones-SMP'!$B$2:$B$1001)=0,F247&lt;DATE(YEAR(MIN('Observaciones-SMP'!$B$2:$B$1001)),MONTH(MIN('Observaciones-SMP'!$B$2:$B$1001)),1),F247&gt;RPT_MONTH),"",INDEX(Datos!$D$72:$AL$72,MATCH(F247,Datos!$D$3:$AL$3,0))),"")</f>
        <v/>
      </c>
      <c r="J247" t="s">
        <v>1134</v>
      </c>
      <c r="K247" t="s">
        <v>1104</v>
      </c>
      <c r="L247" s="193" t="str">
        <f t="shared" si="19"/>
        <v>NO_DATA</v>
      </c>
      <c r="M247" s="193" t="str">
        <f t="shared" si="20"/>
        <v>Monthly</v>
      </c>
      <c r="N247" s="193" t="str">
        <f t="shared" si="24"/>
        <v>NO_DATA</v>
      </c>
      <c r="O247" s="193" t="str">
        <f t="shared" si="22"/>
        <v>Compressor Plant</v>
      </c>
      <c r="P247" s="193" t="str">
        <f ca="1">IF(LEFT(Control!$C$10,4)="ROJO","RED",IF(LEFT(Control!$C$10,8)="AMARILLO","AMBER","GREEN"))</f>
        <v>RED</v>
      </c>
      <c r="Q247" s="193">
        <f>IF(OR(COUNT('Observaciones-SMP'!$B$2:$B$1001)=0,F247&lt;DATE(YEAR(MIN('Observaciones-SMP'!$B$2:$B$1001)),MONTH(MIN('Observaciones-SMP'!$B$2:$B$1001)),1),F247&gt;RPT_MONTH,ISNA(MATCH(F247,Datos!$D$3:$AL$3,0))),0,1)</f>
        <v>0</v>
      </c>
      <c r="R247" s="193" t="str">
        <f t="shared" si="23"/>
        <v>OUT_OF_SCOPE</v>
      </c>
    </row>
    <row r="248" spans="1:18" ht="13.5" customHeight="1" x14ac:dyDescent="0.3">
      <c r="A248" t="s">
        <v>1138</v>
      </c>
      <c r="B248" t="s">
        <v>1141</v>
      </c>
      <c r="C248" t="s">
        <v>1142</v>
      </c>
      <c r="D248">
        <v>2</v>
      </c>
      <c r="E248">
        <v>7</v>
      </c>
      <c r="F248" s="258">
        <f>DATE(YEAR(RPT_MONTH),MONTH(RPT_MONTH)-5,1)</f>
        <v>46143</v>
      </c>
      <c r="G248" s="193" t="str">
        <f t="shared" si="18"/>
        <v>May-26</v>
      </c>
      <c r="H248" s="193" t="str">
        <f>IFERROR(IF(OR(COUNT('Observaciones-SMP'!$B$2:$B$1001)=0,F248&lt;DATE(YEAR(MIN('Observaciones-SMP'!$B$2:$B$1001)),MONTH(MIN('Observaciones-SMP'!$B$2:$B$1001)),1),F248&gt;RPT_MONTH),"",INDEX(Datos!$D$72:$AL$72,MATCH(F248,Datos!$D$3:$AL$3,0))),"")</f>
        <v/>
      </c>
      <c r="J248" t="s">
        <v>1134</v>
      </c>
      <c r="K248" t="s">
        <v>1104</v>
      </c>
      <c r="L248" s="193" t="str">
        <f t="shared" si="19"/>
        <v>NO_DATA</v>
      </c>
      <c r="M248" s="193" t="str">
        <f t="shared" si="20"/>
        <v>Monthly</v>
      </c>
      <c r="N248" s="193" t="str">
        <f t="shared" si="24"/>
        <v>NO_DATA</v>
      </c>
      <c r="O248" s="193" t="str">
        <f t="shared" si="22"/>
        <v>Compressor Plant</v>
      </c>
      <c r="P248" s="193" t="str">
        <f ca="1">IF(LEFT(Control!$C$10,4)="ROJO","RED",IF(LEFT(Control!$C$10,8)="AMARILLO","AMBER","GREEN"))</f>
        <v>RED</v>
      </c>
      <c r="Q248" s="193">
        <f>IF(OR(COUNT('Observaciones-SMP'!$B$2:$B$1001)=0,F248&lt;DATE(YEAR(MIN('Observaciones-SMP'!$B$2:$B$1001)),MONTH(MIN('Observaciones-SMP'!$B$2:$B$1001)),1),F248&gt;RPT_MONTH,ISNA(MATCH(F248,Datos!$D$3:$AL$3,0))),0,1)</f>
        <v>0</v>
      </c>
      <c r="R248" s="193" t="str">
        <f t="shared" si="23"/>
        <v>OUT_OF_SCOPE</v>
      </c>
    </row>
    <row r="249" spans="1:18" ht="13.5" customHeight="1" x14ac:dyDescent="0.3">
      <c r="A249" t="s">
        <v>1138</v>
      </c>
      <c r="B249" t="s">
        <v>1141</v>
      </c>
      <c r="C249" t="s">
        <v>1142</v>
      </c>
      <c r="D249">
        <v>2</v>
      </c>
      <c r="E249">
        <v>8</v>
      </c>
      <c r="F249" s="258">
        <f>DATE(YEAR(RPT_MONTH),MONTH(RPT_MONTH)-4,1)</f>
        <v>46174</v>
      </c>
      <c r="G249" s="193" t="str">
        <f t="shared" si="18"/>
        <v>Jun-26</v>
      </c>
      <c r="H249" s="193" t="str">
        <f>IFERROR(IF(OR(COUNT('Observaciones-SMP'!$B$2:$B$1001)=0,F249&lt;DATE(YEAR(MIN('Observaciones-SMP'!$B$2:$B$1001)),MONTH(MIN('Observaciones-SMP'!$B$2:$B$1001)),1),F249&gt;RPT_MONTH),"",INDEX(Datos!$D$72:$AL$72,MATCH(F249,Datos!$D$3:$AL$3,0))),"")</f>
        <v/>
      </c>
      <c r="J249" t="s">
        <v>1134</v>
      </c>
      <c r="K249" t="s">
        <v>1104</v>
      </c>
      <c r="L249" s="193" t="str">
        <f t="shared" si="19"/>
        <v>NO_DATA</v>
      </c>
      <c r="M249" s="193" t="str">
        <f t="shared" si="20"/>
        <v>Monthly</v>
      </c>
      <c r="N249" s="193" t="str">
        <f t="shared" si="24"/>
        <v>NO_DATA</v>
      </c>
      <c r="O249" s="193" t="str">
        <f t="shared" si="22"/>
        <v>Compressor Plant</v>
      </c>
      <c r="P249" s="193" t="str">
        <f ca="1">IF(LEFT(Control!$C$10,4)="ROJO","RED",IF(LEFT(Control!$C$10,8)="AMARILLO","AMBER","GREEN"))</f>
        <v>RED</v>
      </c>
      <c r="Q249" s="193">
        <f>IF(OR(COUNT('Observaciones-SMP'!$B$2:$B$1001)=0,F249&lt;DATE(YEAR(MIN('Observaciones-SMP'!$B$2:$B$1001)),MONTH(MIN('Observaciones-SMP'!$B$2:$B$1001)),1),F249&gt;RPT_MONTH,ISNA(MATCH(F249,Datos!$D$3:$AL$3,0))),0,1)</f>
        <v>0</v>
      </c>
      <c r="R249" s="193" t="str">
        <f t="shared" si="23"/>
        <v>OUT_OF_SCOPE</v>
      </c>
    </row>
    <row r="250" spans="1:18" ht="13.5" customHeight="1" x14ac:dyDescent="0.3">
      <c r="A250" t="s">
        <v>1138</v>
      </c>
      <c r="B250" t="s">
        <v>1141</v>
      </c>
      <c r="C250" t="s">
        <v>1142</v>
      </c>
      <c r="D250">
        <v>2</v>
      </c>
      <c r="E250">
        <v>9</v>
      </c>
      <c r="F250" s="258">
        <f>DATE(YEAR(RPT_MONTH),MONTH(RPT_MONTH)-3,1)</f>
        <v>46204</v>
      </c>
      <c r="G250" s="193" t="str">
        <f t="shared" si="18"/>
        <v>Jul-26</v>
      </c>
      <c r="H250" s="193" t="str">
        <f>IFERROR(IF(OR(COUNT('Observaciones-SMP'!$B$2:$B$1001)=0,F250&lt;DATE(YEAR(MIN('Observaciones-SMP'!$B$2:$B$1001)),MONTH(MIN('Observaciones-SMP'!$B$2:$B$1001)),1),F250&gt;RPT_MONTH),"",INDEX(Datos!$D$72:$AL$72,MATCH(F250,Datos!$D$3:$AL$3,0))),"")</f>
        <v/>
      </c>
      <c r="J250" t="s">
        <v>1134</v>
      </c>
      <c r="K250" t="s">
        <v>1104</v>
      </c>
      <c r="L250" s="193" t="str">
        <f t="shared" si="19"/>
        <v>NO_DATA</v>
      </c>
      <c r="M250" s="193" t="str">
        <f t="shared" si="20"/>
        <v>Monthly</v>
      </c>
      <c r="N250" s="193" t="str">
        <f t="shared" si="24"/>
        <v>NO_DATA</v>
      </c>
      <c r="O250" s="193" t="str">
        <f t="shared" si="22"/>
        <v>Compressor Plant</v>
      </c>
      <c r="P250" s="193" t="str">
        <f ca="1">IF(LEFT(Control!$C$10,4)="ROJO","RED",IF(LEFT(Control!$C$10,8)="AMARILLO","AMBER","GREEN"))</f>
        <v>RED</v>
      </c>
      <c r="Q250" s="193">
        <f>IF(OR(COUNT('Observaciones-SMP'!$B$2:$B$1001)=0,F250&lt;DATE(YEAR(MIN('Observaciones-SMP'!$B$2:$B$1001)),MONTH(MIN('Observaciones-SMP'!$B$2:$B$1001)),1),F250&gt;RPT_MONTH,ISNA(MATCH(F250,Datos!$D$3:$AL$3,0))),0,1)</f>
        <v>0</v>
      </c>
      <c r="R250" s="193" t="str">
        <f t="shared" si="23"/>
        <v>OUT_OF_SCOPE</v>
      </c>
    </row>
    <row r="251" spans="1:18" ht="13.5" customHeight="1" x14ac:dyDescent="0.3">
      <c r="A251" t="s">
        <v>1138</v>
      </c>
      <c r="B251" t="s">
        <v>1141</v>
      </c>
      <c r="C251" t="s">
        <v>1142</v>
      </c>
      <c r="D251">
        <v>2</v>
      </c>
      <c r="E251">
        <v>10</v>
      </c>
      <c r="F251" s="258">
        <f>DATE(YEAR(RPT_MONTH),MONTH(RPT_MONTH)-2,1)</f>
        <v>46235</v>
      </c>
      <c r="G251" s="193" t="str">
        <f t="shared" si="18"/>
        <v>Aug-26</v>
      </c>
      <c r="H251" s="193">
        <f>IFERROR(IF(OR(COUNT('Observaciones-SMP'!$B$2:$B$1001)=0,F251&lt;DATE(YEAR(MIN('Observaciones-SMP'!$B$2:$B$1001)),MONTH(MIN('Observaciones-SMP'!$B$2:$B$1001)),1),F251&gt;RPT_MONTH),"",INDEX(Datos!$D$72:$AL$72,MATCH(F251,Datos!$D$3:$AL$3,0))),"")</f>
        <v>0</v>
      </c>
      <c r="J251" t="s">
        <v>1134</v>
      </c>
      <c r="K251" t="s">
        <v>1104</v>
      </c>
      <c r="L251" s="193" t="str">
        <f t="shared" si="19"/>
        <v>OK</v>
      </c>
      <c r="M251" s="193" t="str">
        <f t="shared" si="20"/>
        <v>Monthly</v>
      </c>
      <c r="N251" s="193" t="str">
        <f t="shared" si="24"/>
        <v>CONTEXT</v>
      </c>
      <c r="O251" s="193" t="str">
        <f t="shared" si="22"/>
        <v>Compressor Plant</v>
      </c>
      <c r="P251" s="193" t="str">
        <f ca="1">IF(LEFT(Control!$C$10,4)="ROJO","RED",IF(LEFT(Control!$C$10,8)="AMARILLO","AMBER","GREEN"))</f>
        <v>RED</v>
      </c>
      <c r="Q251" s="193">
        <f>IF(OR(COUNT('Observaciones-SMP'!$B$2:$B$1001)=0,F251&lt;DATE(YEAR(MIN('Observaciones-SMP'!$B$2:$B$1001)),MONTH(MIN('Observaciones-SMP'!$B$2:$B$1001)),1),F251&gt;RPT_MONTH,ISNA(MATCH(F251,Datos!$D$3:$AL$3,0))),0,1)</f>
        <v>1</v>
      </c>
      <c r="R251" s="193" t="str">
        <f t="shared" si="23"/>
        <v>OK</v>
      </c>
    </row>
    <row r="252" spans="1:18" ht="13.5" customHeight="1" x14ac:dyDescent="0.3">
      <c r="A252" t="s">
        <v>1138</v>
      </c>
      <c r="B252" t="s">
        <v>1141</v>
      </c>
      <c r="C252" t="s">
        <v>1142</v>
      </c>
      <c r="D252">
        <v>2</v>
      </c>
      <c r="E252">
        <v>11</v>
      </c>
      <c r="F252" s="258">
        <f>DATE(YEAR(RPT_MONTH),MONTH(RPT_MONTH)-1,1)</f>
        <v>46266</v>
      </c>
      <c r="G252" s="193" t="str">
        <f t="shared" si="18"/>
        <v>Sep-26</v>
      </c>
      <c r="H252" s="248">
        <f>IFERROR(IF(OR(COUNT('Observaciones-SMP'!$B$2:$B$1001)=0,F252&lt;DATE(YEAR(MIN('Observaciones-SMP'!$B$2:$B$1001)),MONTH(MIN('Observaciones-SMP'!$B$2:$B$1001)),1),F252&gt;RPT_MONTH),"",INDEX(Datos!$D$72:$AL$72,MATCH(F252,Datos!$D$3:$AL$3,0))),"")</f>
        <v>0</v>
      </c>
      <c r="J252" t="s">
        <v>1134</v>
      </c>
      <c r="K252" t="s">
        <v>1104</v>
      </c>
      <c r="L252" s="193" t="str">
        <f t="shared" si="19"/>
        <v>OK</v>
      </c>
      <c r="M252" s="193" t="str">
        <f t="shared" si="20"/>
        <v>Monthly</v>
      </c>
      <c r="N252" s="193" t="str">
        <f t="shared" si="24"/>
        <v>CONTEXT</v>
      </c>
      <c r="O252" s="193" t="str">
        <f t="shared" si="22"/>
        <v>Compressor Plant</v>
      </c>
      <c r="P252" s="193" t="str">
        <f ca="1">IF(LEFT(Control!$C$10,4)="ROJO","RED",IF(LEFT(Control!$C$10,8)="AMARILLO","AMBER","GREEN"))</f>
        <v>RED</v>
      </c>
      <c r="Q252" s="193">
        <f>IF(OR(COUNT('Observaciones-SMP'!$B$2:$B$1001)=0,F252&lt;DATE(YEAR(MIN('Observaciones-SMP'!$B$2:$B$1001)),MONTH(MIN('Observaciones-SMP'!$B$2:$B$1001)),1),F252&gt;RPT_MONTH,ISNA(MATCH(F252,Datos!$D$3:$AL$3,0))),0,1)</f>
        <v>1</v>
      </c>
      <c r="R252" s="193" t="str">
        <f t="shared" si="23"/>
        <v>OK</v>
      </c>
    </row>
    <row r="253" spans="1:18" ht="13.5" customHeight="1" x14ac:dyDescent="0.3">
      <c r="A253" t="s">
        <v>1138</v>
      </c>
      <c r="B253" t="s">
        <v>1141</v>
      </c>
      <c r="C253" t="s">
        <v>1142</v>
      </c>
      <c r="D253">
        <v>2</v>
      </c>
      <c r="E253">
        <v>12</v>
      </c>
      <c r="F253" s="258">
        <f>DATE(YEAR(RPT_MONTH),MONTH(RPT_MONTH)-0,1)</f>
        <v>46296</v>
      </c>
      <c r="G253" s="193" t="str">
        <f t="shared" si="18"/>
        <v>Oct-26</v>
      </c>
      <c r="H253" s="248">
        <f>IFERROR(IF(OR(COUNT('Observaciones-SMP'!$B$2:$B$1001)=0,F253&lt;DATE(YEAR(MIN('Observaciones-SMP'!$B$2:$B$1001)),MONTH(MIN('Observaciones-SMP'!$B$2:$B$1001)),1),F253&gt;RPT_MONTH),"",INDEX(Datos!$D$72:$AL$72,MATCH(F253,Datos!$D$3:$AL$3,0))),"")</f>
        <v>0</v>
      </c>
      <c r="J253" t="s">
        <v>1134</v>
      </c>
      <c r="K253" t="s">
        <v>1104</v>
      </c>
      <c r="L253" s="193" t="str">
        <f t="shared" si="19"/>
        <v>NO_DATA</v>
      </c>
      <c r="M253" s="193" t="str">
        <f t="shared" si="20"/>
        <v>Monthly</v>
      </c>
      <c r="N253" s="193" t="str">
        <f t="shared" si="24"/>
        <v>NO_DATA</v>
      </c>
      <c r="O253" s="193" t="str">
        <f t="shared" si="22"/>
        <v>Compressor Plant</v>
      </c>
      <c r="P253" s="193" t="str">
        <f ca="1">IF(LEFT(Control!$C$10,4)="ROJO","RED",IF(LEFT(Control!$C$10,8)="AMARILLO","AMBER","GREEN"))</f>
        <v>RED</v>
      </c>
      <c r="Q253" s="193">
        <f>IF(OR(COUNT('Observaciones-SMP'!$B$2:$B$1001)=0,F253&lt;DATE(YEAR(MIN('Observaciones-SMP'!$B$2:$B$1001)),MONTH(MIN('Observaciones-SMP'!$B$2:$B$1001)),1),F253&gt;RPT_MONTH,ISNA(MATCH(F253,Datos!$D$3:$AL$3,0))),0,1)</f>
        <v>1</v>
      </c>
      <c r="R253" s="193" t="str">
        <f t="shared" si="23"/>
        <v>MISSING</v>
      </c>
    </row>
    <row r="254" spans="1:18" ht="13.5" customHeight="1" x14ac:dyDescent="0.3">
      <c r="A254" t="s">
        <v>1138</v>
      </c>
      <c r="B254" t="s">
        <v>1143</v>
      </c>
      <c r="C254" t="s">
        <v>1144</v>
      </c>
      <c r="D254">
        <v>3</v>
      </c>
      <c r="E254">
        <v>1</v>
      </c>
      <c r="F254" s="258">
        <f>DATE(YEAR(RPT_MONTH),MONTH(RPT_MONTH)-11,1)</f>
        <v>45962</v>
      </c>
      <c r="G254" s="193" t="str">
        <f t="shared" si="18"/>
        <v>Nov-25</v>
      </c>
      <c r="H254" s="193" t="str">
        <f>IFERROR(IF(OR(COUNT('Observaciones-SMP'!$B$2:$B$1001)=0,F254&lt;DATE(YEAR(MIN('Observaciones-SMP'!$B$2:$B$1001)),MONTH(MIN('Observaciones-SMP'!$B$2:$B$1001)),1),F254&gt;RPT_MONTH),"",INDEX(Datos!$D$73:$AL$73,MATCH(F254,Datos!$D$3:$AL$3,0))),"")</f>
        <v/>
      </c>
      <c r="J254" t="s">
        <v>1134</v>
      </c>
      <c r="K254" t="s">
        <v>1104</v>
      </c>
      <c r="L254" s="193" t="str">
        <f t="shared" si="19"/>
        <v>NO_DATA</v>
      </c>
      <c r="M254" s="193" t="str">
        <f t="shared" si="20"/>
        <v>Monthly</v>
      </c>
      <c r="N254" s="193" t="str">
        <f t="shared" si="24"/>
        <v>NO_DATA</v>
      </c>
      <c r="O254" s="193" t="str">
        <f t="shared" si="22"/>
        <v>Compressor Plant</v>
      </c>
      <c r="P254" s="193" t="str">
        <f ca="1">IF(LEFT(Control!$C$10,4)="ROJO","RED",IF(LEFT(Control!$C$10,8)="AMARILLO","AMBER","GREEN"))</f>
        <v>RED</v>
      </c>
      <c r="Q254" s="193">
        <f>IF(OR(COUNT('Observaciones-SMP'!$B$2:$B$1001)=0,F254&lt;DATE(YEAR(MIN('Observaciones-SMP'!$B$2:$B$1001)),MONTH(MIN('Observaciones-SMP'!$B$2:$B$1001)),1),F254&gt;RPT_MONTH,ISNA(MATCH(F254,Datos!$D$3:$AL$3,0))),0,1)</f>
        <v>0</v>
      </c>
      <c r="R254" s="193" t="str">
        <f t="shared" si="23"/>
        <v>OUT_OF_SCOPE</v>
      </c>
    </row>
    <row r="255" spans="1:18" ht="13.5" customHeight="1" x14ac:dyDescent="0.3">
      <c r="A255" t="s">
        <v>1138</v>
      </c>
      <c r="B255" t="s">
        <v>1143</v>
      </c>
      <c r="C255" t="s">
        <v>1144</v>
      </c>
      <c r="D255">
        <v>3</v>
      </c>
      <c r="E255">
        <v>2</v>
      </c>
      <c r="F255" s="258">
        <f>DATE(YEAR(RPT_MONTH),MONTH(RPT_MONTH)-10,1)</f>
        <v>45992</v>
      </c>
      <c r="G255" s="193" t="str">
        <f t="shared" si="18"/>
        <v>Dec-25</v>
      </c>
      <c r="H255" s="193" t="str">
        <f>IFERROR(IF(OR(COUNT('Observaciones-SMP'!$B$2:$B$1001)=0,F255&lt;DATE(YEAR(MIN('Observaciones-SMP'!$B$2:$B$1001)),MONTH(MIN('Observaciones-SMP'!$B$2:$B$1001)),1),F255&gt;RPT_MONTH),"",INDEX(Datos!$D$73:$AL$73,MATCH(F255,Datos!$D$3:$AL$3,0))),"")</f>
        <v/>
      </c>
      <c r="J255" t="s">
        <v>1134</v>
      </c>
      <c r="K255" t="s">
        <v>1104</v>
      </c>
      <c r="L255" s="193" t="str">
        <f t="shared" si="19"/>
        <v>NO_DATA</v>
      </c>
      <c r="M255" s="193" t="str">
        <f t="shared" si="20"/>
        <v>Monthly</v>
      </c>
      <c r="N255" s="193" t="str">
        <f t="shared" si="24"/>
        <v>NO_DATA</v>
      </c>
      <c r="O255" s="193" t="str">
        <f t="shared" si="22"/>
        <v>Compressor Plant</v>
      </c>
      <c r="P255" s="193" t="str">
        <f ca="1">IF(LEFT(Control!$C$10,4)="ROJO","RED",IF(LEFT(Control!$C$10,8)="AMARILLO","AMBER","GREEN"))</f>
        <v>RED</v>
      </c>
      <c r="Q255" s="193">
        <f>IF(OR(COUNT('Observaciones-SMP'!$B$2:$B$1001)=0,F255&lt;DATE(YEAR(MIN('Observaciones-SMP'!$B$2:$B$1001)),MONTH(MIN('Observaciones-SMP'!$B$2:$B$1001)),1),F255&gt;RPT_MONTH,ISNA(MATCH(F255,Datos!$D$3:$AL$3,0))),0,1)</f>
        <v>0</v>
      </c>
      <c r="R255" s="193" t="str">
        <f t="shared" si="23"/>
        <v>OUT_OF_SCOPE</v>
      </c>
    </row>
    <row r="256" spans="1:18" ht="13.5" customHeight="1" x14ac:dyDescent="0.3">
      <c r="A256" t="s">
        <v>1138</v>
      </c>
      <c r="B256" t="s">
        <v>1143</v>
      </c>
      <c r="C256" t="s">
        <v>1144</v>
      </c>
      <c r="D256">
        <v>3</v>
      </c>
      <c r="E256">
        <v>3</v>
      </c>
      <c r="F256" s="258">
        <f>DATE(YEAR(RPT_MONTH),MONTH(RPT_MONTH)-9,1)</f>
        <v>46023</v>
      </c>
      <c r="G256" s="193" t="str">
        <f t="shared" si="18"/>
        <v>Jan-26</v>
      </c>
      <c r="H256" s="193" t="str">
        <f>IFERROR(IF(OR(COUNT('Observaciones-SMP'!$B$2:$B$1001)=0,F256&lt;DATE(YEAR(MIN('Observaciones-SMP'!$B$2:$B$1001)),MONTH(MIN('Observaciones-SMP'!$B$2:$B$1001)),1),F256&gt;RPT_MONTH),"",INDEX(Datos!$D$73:$AL$73,MATCH(F256,Datos!$D$3:$AL$3,0))),"")</f>
        <v/>
      </c>
      <c r="J256" t="s">
        <v>1134</v>
      </c>
      <c r="K256" t="s">
        <v>1104</v>
      </c>
      <c r="L256" s="193" t="str">
        <f t="shared" si="19"/>
        <v>NO_DATA</v>
      </c>
      <c r="M256" s="193" t="str">
        <f t="shared" si="20"/>
        <v>Monthly</v>
      </c>
      <c r="N256" s="193" t="str">
        <f t="shared" si="24"/>
        <v>NO_DATA</v>
      </c>
      <c r="O256" s="193" t="str">
        <f t="shared" si="22"/>
        <v>Compressor Plant</v>
      </c>
      <c r="P256" s="193" t="str">
        <f ca="1">IF(LEFT(Control!$C$10,4)="ROJO","RED",IF(LEFT(Control!$C$10,8)="AMARILLO","AMBER","GREEN"))</f>
        <v>RED</v>
      </c>
      <c r="Q256" s="193">
        <f>IF(OR(COUNT('Observaciones-SMP'!$B$2:$B$1001)=0,F256&lt;DATE(YEAR(MIN('Observaciones-SMP'!$B$2:$B$1001)),MONTH(MIN('Observaciones-SMP'!$B$2:$B$1001)),1),F256&gt;RPT_MONTH,ISNA(MATCH(F256,Datos!$D$3:$AL$3,0))),0,1)</f>
        <v>0</v>
      </c>
      <c r="R256" s="193" t="str">
        <f t="shared" si="23"/>
        <v>OUT_OF_SCOPE</v>
      </c>
    </row>
    <row r="257" spans="1:18" ht="13.5" customHeight="1" x14ac:dyDescent="0.3">
      <c r="A257" t="s">
        <v>1138</v>
      </c>
      <c r="B257" t="s">
        <v>1143</v>
      </c>
      <c r="C257" t="s">
        <v>1144</v>
      </c>
      <c r="D257">
        <v>3</v>
      </c>
      <c r="E257">
        <v>4</v>
      </c>
      <c r="F257" s="258">
        <f>DATE(YEAR(RPT_MONTH),MONTH(RPT_MONTH)-8,1)</f>
        <v>46054</v>
      </c>
      <c r="G257" s="193" t="str">
        <f t="shared" si="18"/>
        <v>Feb-26</v>
      </c>
      <c r="H257" s="193" t="str">
        <f>IFERROR(IF(OR(COUNT('Observaciones-SMP'!$B$2:$B$1001)=0,F257&lt;DATE(YEAR(MIN('Observaciones-SMP'!$B$2:$B$1001)),MONTH(MIN('Observaciones-SMP'!$B$2:$B$1001)),1),F257&gt;RPT_MONTH),"",INDEX(Datos!$D$73:$AL$73,MATCH(F257,Datos!$D$3:$AL$3,0))),"")</f>
        <v/>
      </c>
      <c r="J257" t="s">
        <v>1134</v>
      </c>
      <c r="K257" t="s">
        <v>1104</v>
      </c>
      <c r="L257" s="193" t="str">
        <f t="shared" si="19"/>
        <v>NO_DATA</v>
      </c>
      <c r="M257" s="193" t="str">
        <f t="shared" si="20"/>
        <v>Monthly</v>
      </c>
      <c r="N257" s="193" t="str">
        <f t="shared" si="24"/>
        <v>NO_DATA</v>
      </c>
      <c r="O257" s="193" t="str">
        <f t="shared" si="22"/>
        <v>Compressor Plant</v>
      </c>
      <c r="P257" s="193" t="str">
        <f ca="1">IF(LEFT(Control!$C$10,4)="ROJO","RED",IF(LEFT(Control!$C$10,8)="AMARILLO","AMBER","GREEN"))</f>
        <v>RED</v>
      </c>
      <c r="Q257" s="193">
        <f>IF(OR(COUNT('Observaciones-SMP'!$B$2:$B$1001)=0,F257&lt;DATE(YEAR(MIN('Observaciones-SMP'!$B$2:$B$1001)),MONTH(MIN('Observaciones-SMP'!$B$2:$B$1001)),1),F257&gt;RPT_MONTH,ISNA(MATCH(F257,Datos!$D$3:$AL$3,0))),0,1)</f>
        <v>0</v>
      </c>
      <c r="R257" s="193" t="str">
        <f t="shared" si="23"/>
        <v>OUT_OF_SCOPE</v>
      </c>
    </row>
    <row r="258" spans="1:18" ht="13.5" customHeight="1" x14ac:dyDescent="0.3">
      <c r="A258" t="s">
        <v>1138</v>
      </c>
      <c r="B258" t="s">
        <v>1143</v>
      </c>
      <c r="C258" t="s">
        <v>1144</v>
      </c>
      <c r="D258">
        <v>3</v>
      </c>
      <c r="E258">
        <v>5</v>
      </c>
      <c r="F258" s="258">
        <f>DATE(YEAR(RPT_MONTH),MONTH(RPT_MONTH)-7,1)</f>
        <v>46082</v>
      </c>
      <c r="G258" s="193" t="str">
        <f t="shared" ref="G258:G321" si="25">CHOOSE(MONTH(F258),"Jan","Feb","Mar","Apr","May","Jun","Jul","Aug","Sep","Oct","Nov","Dec")&amp;"-"&amp;RIGHT(YEAR(F258),2)</f>
        <v>Mar-26</v>
      </c>
      <c r="H258" s="193" t="str">
        <f>IFERROR(IF(OR(COUNT('Observaciones-SMP'!$B$2:$B$1001)=0,F258&lt;DATE(YEAR(MIN('Observaciones-SMP'!$B$2:$B$1001)),MONTH(MIN('Observaciones-SMP'!$B$2:$B$1001)),1),F258&gt;RPT_MONTH),"",INDEX(Datos!$D$73:$AL$73,MATCH(F258,Datos!$D$3:$AL$3,0))),"")</f>
        <v/>
      </c>
      <c r="J258" t="s">
        <v>1134</v>
      </c>
      <c r="K258" t="s">
        <v>1104</v>
      </c>
      <c r="L258" s="193" t="str">
        <f t="shared" ref="L258:L321" si="26">IF(ISNUMBER(H258),"OK","NO_DATA")</f>
        <v>NO_DATA</v>
      </c>
      <c r="M258" s="193" t="str">
        <f t="shared" ref="M258:M321" si="27">IF(RIGHT(B258,2)="_Y","YTD",IF(OR(B258="F_OPEN",B258="HIGH_OPEN"),"Month-end",IF(B258="ENV_STATUS","n/a","Monthly")))</f>
        <v>Monthly</v>
      </c>
      <c r="N258" s="193" t="str">
        <f t="shared" ref="N258:N277" si="28">IF(ISNUMBER(H258),"CONTEXT","NO_DATA")</f>
        <v>NO_DATA</v>
      </c>
      <c r="O258" s="193" t="str">
        <f t="shared" ref="O258:O321" si="29">RPT_SCOPE</f>
        <v>Compressor Plant</v>
      </c>
      <c r="P258" s="193" t="str">
        <f ca="1">IF(LEFT(Control!$C$10,4)="ROJO","RED",IF(LEFT(Control!$C$10,8)="AMARILLO","AMBER","GREEN"))</f>
        <v>RED</v>
      </c>
      <c r="Q258" s="193">
        <f>IF(OR(COUNT('Observaciones-SMP'!$B$2:$B$1001)=0,F258&lt;DATE(YEAR(MIN('Observaciones-SMP'!$B$2:$B$1001)),MONTH(MIN('Observaciones-SMP'!$B$2:$B$1001)),1),F258&gt;RPT_MONTH,ISNA(MATCH(F258,Datos!$D$3:$AL$3,0))),0,1)</f>
        <v>0</v>
      </c>
      <c r="R258" s="193" t="str">
        <f t="shared" ref="R258:R321" si="30">IF(A258="CH_ENV","PENDING_DEFINITION",IF(Q258=1,IF(L258="OK","OK","MISSING"),IF(ISNUMBER(H258),"CHECK","OUT_OF_SCOPE")))</f>
        <v>OUT_OF_SCOPE</v>
      </c>
    </row>
    <row r="259" spans="1:18" ht="13.5" customHeight="1" x14ac:dyDescent="0.3">
      <c r="A259" t="s">
        <v>1138</v>
      </c>
      <c r="B259" t="s">
        <v>1143</v>
      </c>
      <c r="C259" t="s">
        <v>1144</v>
      </c>
      <c r="D259">
        <v>3</v>
      </c>
      <c r="E259">
        <v>6</v>
      </c>
      <c r="F259" s="258">
        <f>DATE(YEAR(RPT_MONTH),MONTH(RPT_MONTH)-6,1)</f>
        <v>46113</v>
      </c>
      <c r="G259" s="193" t="str">
        <f t="shared" si="25"/>
        <v>Apr-26</v>
      </c>
      <c r="H259" s="193" t="str">
        <f>IFERROR(IF(OR(COUNT('Observaciones-SMP'!$B$2:$B$1001)=0,F259&lt;DATE(YEAR(MIN('Observaciones-SMP'!$B$2:$B$1001)),MONTH(MIN('Observaciones-SMP'!$B$2:$B$1001)),1),F259&gt;RPT_MONTH),"",INDEX(Datos!$D$73:$AL$73,MATCH(F259,Datos!$D$3:$AL$3,0))),"")</f>
        <v/>
      </c>
      <c r="J259" t="s">
        <v>1134</v>
      </c>
      <c r="K259" t="s">
        <v>1104</v>
      </c>
      <c r="L259" s="193" t="str">
        <f t="shared" si="26"/>
        <v>NO_DATA</v>
      </c>
      <c r="M259" s="193" t="str">
        <f t="shared" si="27"/>
        <v>Monthly</v>
      </c>
      <c r="N259" s="193" t="str">
        <f t="shared" si="28"/>
        <v>NO_DATA</v>
      </c>
      <c r="O259" s="193" t="str">
        <f t="shared" si="29"/>
        <v>Compressor Plant</v>
      </c>
      <c r="P259" s="193" t="str">
        <f ca="1">IF(LEFT(Control!$C$10,4)="ROJO","RED",IF(LEFT(Control!$C$10,8)="AMARILLO","AMBER","GREEN"))</f>
        <v>RED</v>
      </c>
      <c r="Q259" s="193">
        <f>IF(OR(COUNT('Observaciones-SMP'!$B$2:$B$1001)=0,F259&lt;DATE(YEAR(MIN('Observaciones-SMP'!$B$2:$B$1001)),MONTH(MIN('Observaciones-SMP'!$B$2:$B$1001)),1),F259&gt;RPT_MONTH,ISNA(MATCH(F259,Datos!$D$3:$AL$3,0))),0,1)</f>
        <v>0</v>
      </c>
      <c r="R259" s="193" t="str">
        <f t="shared" si="30"/>
        <v>OUT_OF_SCOPE</v>
      </c>
    </row>
    <row r="260" spans="1:18" ht="13.5" customHeight="1" x14ac:dyDescent="0.3">
      <c r="A260" t="s">
        <v>1138</v>
      </c>
      <c r="B260" t="s">
        <v>1143</v>
      </c>
      <c r="C260" t="s">
        <v>1144</v>
      </c>
      <c r="D260">
        <v>3</v>
      </c>
      <c r="E260">
        <v>7</v>
      </c>
      <c r="F260" s="258">
        <f>DATE(YEAR(RPT_MONTH),MONTH(RPT_MONTH)-5,1)</f>
        <v>46143</v>
      </c>
      <c r="G260" s="193" t="str">
        <f t="shared" si="25"/>
        <v>May-26</v>
      </c>
      <c r="H260" s="193" t="str">
        <f>IFERROR(IF(OR(COUNT('Observaciones-SMP'!$B$2:$B$1001)=0,F260&lt;DATE(YEAR(MIN('Observaciones-SMP'!$B$2:$B$1001)),MONTH(MIN('Observaciones-SMP'!$B$2:$B$1001)),1),F260&gt;RPT_MONTH),"",INDEX(Datos!$D$73:$AL$73,MATCH(F260,Datos!$D$3:$AL$3,0))),"")</f>
        <v/>
      </c>
      <c r="J260" t="s">
        <v>1134</v>
      </c>
      <c r="K260" t="s">
        <v>1104</v>
      </c>
      <c r="L260" s="193" t="str">
        <f t="shared" si="26"/>
        <v>NO_DATA</v>
      </c>
      <c r="M260" s="193" t="str">
        <f t="shared" si="27"/>
        <v>Monthly</v>
      </c>
      <c r="N260" s="193" t="str">
        <f t="shared" si="28"/>
        <v>NO_DATA</v>
      </c>
      <c r="O260" s="193" t="str">
        <f t="shared" si="29"/>
        <v>Compressor Plant</v>
      </c>
      <c r="P260" s="193" t="str">
        <f ca="1">IF(LEFT(Control!$C$10,4)="ROJO","RED",IF(LEFT(Control!$C$10,8)="AMARILLO","AMBER","GREEN"))</f>
        <v>RED</v>
      </c>
      <c r="Q260" s="193">
        <f>IF(OR(COUNT('Observaciones-SMP'!$B$2:$B$1001)=0,F260&lt;DATE(YEAR(MIN('Observaciones-SMP'!$B$2:$B$1001)),MONTH(MIN('Observaciones-SMP'!$B$2:$B$1001)),1),F260&gt;RPT_MONTH,ISNA(MATCH(F260,Datos!$D$3:$AL$3,0))),0,1)</f>
        <v>0</v>
      </c>
      <c r="R260" s="193" t="str">
        <f t="shared" si="30"/>
        <v>OUT_OF_SCOPE</v>
      </c>
    </row>
    <row r="261" spans="1:18" ht="13.5" customHeight="1" x14ac:dyDescent="0.3">
      <c r="A261" t="s">
        <v>1138</v>
      </c>
      <c r="B261" t="s">
        <v>1143</v>
      </c>
      <c r="C261" t="s">
        <v>1144</v>
      </c>
      <c r="D261">
        <v>3</v>
      </c>
      <c r="E261">
        <v>8</v>
      </c>
      <c r="F261" s="258">
        <f>DATE(YEAR(RPT_MONTH),MONTH(RPT_MONTH)-4,1)</f>
        <v>46174</v>
      </c>
      <c r="G261" s="193" t="str">
        <f t="shared" si="25"/>
        <v>Jun-26</v>
      </c>
      <c r="H261" s="193" t="str">
        <f>IFERROR(IF(OR(COUNT('Observaciones-SMP'!$B$2:$B$1001)=0,F261&lt;DATE(YEAR(MIN('Observaciones-SMP'!$B$2:$B$1001)),MONTH(MIN('Observaciones-SMP'!$B$2:$B$1001)),1),F261&gt;RPT_MONTH),"",INDEX(Datos!$D$73:$AL$73,MATCH(F261,Datos!$D$3:$AL$3,0))),"")</f>
        <v/>
      </c>
      <c r="J261" t="s">
        <v>1134</v>
      </c>
      <c r="K261" t="s">
        <v>1104</v>
      </c>
      <c r="L261" s="193" t="str">
        <f t="shared" si="26"/>
        <v>NO_DATA</v>
      </c>
      <c r="M261" s="193" t="str">
        <f t="shared" si="27"/>
        <v>Monthly</v>
      </c>
      <c r="N261" s="193" t="str">
        <f t="shared" si="28"/>
        <v>NO_DATA</v>
      </c>
      <c r="O261" s="193" t="str">
        <f t="shared" si="29"/>
        <v>Compressor Plant</v>
      </c>
      <c r="P261" s="193" t="str">
        <f ca="1">IF(LEFT(Control!$C$10,4)="ROJO","RED",IF(LEFT(Control!$C$10,8)="AMARILLO","AMBER","GREEN"))</f>
        <v>RED</v>
      </c>
      <c r="Q261" s="193">
        <f>IF(OR(COUNT('Observaciones-SMP'!$B$2:$B$1001)=0,F261&lt;DATE(YEAR(MIN('Observaciones-SMP'!$B$2:$B$1001)),MONTH(MIN('Observaciones-SMP'!$B$2:$B$1001)),1),F261&gt;RPT_MONTH,ISNA(MATCH(F261,Datos!$D$3:$AL$3,0))),0,1)</f>
        <v>0</v>
      </c>
      <c r="R261" s="193" t="str">
        <f t="shared" si="30"/>
        <v>OUT_OF_SCOPE</v>
      </c>
    </row>
    <row r="262" spans="1:18" ht="13.5" customHeight="1" x14ac:dyDescent="0.3">
      <c r="A262" t="s">
        <v>1138</v>
      </c>
      <c r="B262" t="s">
        <v>1143</v>
      </c>
      <c r="C262" t="s">
        <v>1144</v>
      </c>
      <c r="D262">
        <v>3</v>
      </c>
      <c r="E262">
        <v>9</v>
      </c>
      <c r="F262" s="258">
        <f>DATE(YEAR(RPT_MONTH),MONTH(RPT_MONTH)-3,1)</f>
        <v>46204</v>
      </c>
      <c r="G262" s="193" t="str">
        <f t="shared" si="25"/>
        <v>Jul-26</v>
      </c>
      <c r="H262" s="193" t="str">
        <f>IFERROR(IF(OR(COUNT('Observaciones-SMP'!$B$2:$B$1001)=0,F262&lt;DATE(YEAR(MIN('Observaciones-SMP'!$B$2:$B$1001)),MONTH(MIN('Observaciones-SMP'!$B$2:$B$1001)),1),F262&gt;RPT_MONTH),"",INDEX(Datos!$D$73:$AL$73,MATCH(F262,Datos!$D$3:$AL$3,0))),"")</f>
        <v/>
      </c>
      <c r="J262" t="s">
        <v>1134</v>
      </c>
      <c r="K262" t="s">
        <v>1104</v>
      </c>
      <c r="L262" s="193" t="str">
        <f t="shared" si="26"/>
        <v>NO_DATA</v>
      </c>
      <c r="M262" s="193" t="str">
        <f t="shared" si="27"/>
        <v>Monthly</v>
      </c>
      <c r="N262" s="193" t="str">
        <f t="shared" si="28"/>
        <v>NO_DATA</v>
      </c>
      <c r="O262" s="193" t="str">
        <f t="shared" si="29"/>
        <v>Compressor Plant</v>
      </c>
      <c r="P262" s="193" t="str">
        <f ca="1">IF(LEFT(Control!$C$10,4)="ROJO","RED",IF(LEFT(Control!$C$10,8)="AMARILLO","AMBER","GREEN"))</f>
        <v>RED</v>
      </c>
      <c r="Q262" s="193">
        <f>IF(OR(COUNT('Observaciones-SMP'!$B$2:$B$1001)=0,F262&lt;DATE(YEAR(MIN('Observaciones-SMP'!$B$2:$B$1001)),MONTH(MIN('Observaciones-SMP'!$B$2:$B$1001)),1),F262&gt;RPT_MONTH,ISNA(MATCH(F262,Datos!$D$3:$AL$3,0))),0,1)</f>
        <v>0</v>
      </c>
      <c r="R262" s="193" t="str">
        <f t="shared" si="30"/>
        <v>OUT_OF_SCOPE</v>
      </c>
    </row>
    <row r="263" spans="1:18" ht="13.5" customHeight="1" x14ac:dyDescent="0.3">
      <c r="A263" t="s">
        <v>1138</v>
      </c>
      <c r="B263" t="s">
        <v>1143</v>
      </c>
      <c r="C263" t="s">
        <v>1144</v>
      </c>
      <c r="D263">
        <v>3</v>
      </c>
      <c r="E263">
        <v>10</v>
      </c>
      <c r="F263" s="258">
        <f>DATE(YEAR(RPT_MONTH),MONTH(RPT_MONTH)-2,1)</f>
        <v>46235</v>
      </c>
      <c r="G263" s="193" t="str">
        <f t="shared" si="25"/>
        <v>Aug-26</v>
      </c>
      <c r="H263" s="193">
        <f>IFERROR(IF(OR(COUNT('Observaciones-SMP'!$B$2:$B$1001)=0,F263&lt;DATE(YEAR(MIN('Observaciones-SMP'!$B$2:$B$1001)),MONTH(MIN('Observaciones-SMP'!$B$2:$B$1001)),1),F263&gt;RPT_MONTH),"",INDEX(Datos!$D$73:$AL$73,MATCH(F263,Datos!$D$3:$AL$3,0))),"")</f>
        <v>0</v>
      </c>
      <c r="J263" t="s">
        <v>1134</v>
      </c>
      <c r="K263" t="s">
        <v>1104</v>
      </c>
      <c r="L263" s="193" t="str">
        <f t="shared" si="26"/>
        <v>OK</v>
      </c>
      <c r="M263" s="193" t="str">
        <f t="shared" si="27"/>
        <v>Monthly</v>
      </c>
      <c r="N263" s="193" t="str">
        <f t="shared" si="28"/>
        <v>CONTEXT</v>
      </c>
      <c r="O263" s="193" t="str">
        <f t="shared" si="29"/>
        <v>Compressor Plant</v>
      </c>
      <c r="P263" s="193" t="str">
        <f ca="1">IF(LEFT(Control!$C$10,4)="ROJO","RED",IF(LEFT(Control!$C$10,8)="AMARILLO","AMBER","GREEN"))</f>
        <v>RED</v>
      </c>
      <c r="Q263" s="193">
        <f>IF(OR(COUNT('Observaciones-SMP'!$B$2:$B$1001)=0,F263&lt;DATE(YEAR(MIN('Observaciones-SMP'!$B$2:$B$1001)),MONTH(MIN('Observaciones-SMP'!$B$2:$B$1001)),1),F263&gt;RPT_MONTH,ISNA(MATCH(F263,Datos!$D$3:$AL$3,0))),0,1)</f>
        <v>1</v>
      </c>
      <c r="R263" s="193" t="str">
        <f t="shared" si="30"/>
        <v>OK</v>
      </c>
    </row>
    <row r="264" spans="1:18" ht="13.5" customHeight="1" x14ac:dyDescent="0.3">
      <c r="A264" t="s">
        <v>1138</v>
      </c>
      <c r="B264" t="s">
        <v>1143</v>
      </c>
      <c r="C264" t="s">
        <v>1144</v>
      </c>
      <c r="D264">
        <v>3</v>
      </c>
      <c r="E264">
        <v>11</v>
      </c>
      <c r="F264" s="258">
        <f>DATE(YEAR(RPT_MONTH),MONTH(RPT_MONTH)-1,1)</f>
        <v>46266</v>
      </c>
      <c r="G264" s="193" t="str">
        <f t="shared" si="25"/>
        <v>Sep-26</v>
      </c>
      <c r="H264" s="248">
        <f>IFERROR(IF(OR(COUNT('Observaciones-SMP'!$B$2:$B$1001)=0,F264&lt;DATE(YEAR(MIN('Observaciones-SMP'!$B$2:$B$1001)),MONTH(MIN('Observaciones-SMP'!$B$2:$B$1001)),1),F264&gt;RPT_MONTH),"",INDEX(Datos!$D$73:$AL$73,MATCH(F264,Datos!$D$3:$AL$3,0))),"")</f>
        <v>0</v>
      </c>
      <c r="J264" t="s">
        <v>1134</v>
      </c>
      <c r="K264" t="s">
        <v>1104</v>
      </c>
      <c r="L264" s="193" t="str">
        <f t="shared" si="26"/>
        <v>OK</v>
      </c>
      <c r="M264" s="193" t="str">
        <f t="shared" si="27"/>
        <v>Monthly</v>
      </c>
      <c r="N264" s="193" t="str">
        <f t="shared" si="28"/>
        <v>CONTEXT</v>
      </c>
      <c r="O264" s="193" t="str">
        <f t="shared" si="29"/>
        <v>Compressor Plant</v>
      </c>
      <c r="P264" s="193" t="str">
        <f ca="1">IF(LEFT(Control!$C$10,4)="ROJO","RED",IF(LEFT(Control!$C$10,8)="AMARILLO","AMBER","GREEN"))</f>
        <v>RED</v>
      </c>
      <c r="Q264" s="193">
        <f>IF(OR(COUNT('Observaciones-SMP'!$B$2:$B$1001)=0,F264&lt;DATE(YEAR(MIN('Observaciones-SMP'!$B$2:$B$1001)),MONTH(MIN('Observaciones-SMP'!$B$2:$B$1001)),1),F264&gt;RPT_MONTH,ISNA(MATCH(F264,Datos!$D$3:$AL$3,0))),0,1)</f>
        <v>1</v>
      </c>
      <c r="R264" s="193" t="str">
        <f t="shared" si="30"/>
        <v>OK</v>
      </c>
    </row>
    <row r="265" spans="1:18" ht="13.5" customHeight="1" x14ac:dyDescent="0.3">
      <c r="A265" t="s">
        <v>1138</v>
      </c>
      <c r="B265" t="s">
        <v>1143</v>
      </c>
      <c r="C265" t="s">
        <v>1144</v>
      </c>
      <c r="D265">
        <v>3</v>
      </c>
      <c r="E265">
        <v>12</v>
      </c>
      <c r="F265" s="258">
        <f>DATE(YEAR(RPT_MONTH),MONTH(RPT_MONTH)-0,1)</f>
        <v>46296</v>
      </c>
      <c r="G265" s="193" t="str">
        <f t="shared" si="25"/>
        <v>Oct-26</v>
      </c>
      <c r="H265" s="248">
        <f>IFERROR(IF(OR(COUNT('Observaciones-SMP'!$B$2:$B$1001)=0,F265&lt;DATE(YEAR(MIN('Observaciones-SMP'!$B$2:$B$1001)),MONTH(MIN('Observaciones-SMP'!$B$2:$B$1001)),1),F265&gt;RPT_MONTH),"",INDEX(Datos!$D$73:$AL$73,MATCH(F265,Datos!$D$3:$AL$3,0))),"")</f>
        <v>0</v>
      </c>
      <c r="J265" t="s">
        <v>1134</v>
      </c>
      <c r="K265" t="s">
        <v>1104</v>
      </c>
      <c r="L265" s="193" t="str">
        <f t="shared" si="26"/>
        <v>NO_DATA</v>
      </c>
      <c r="M265" s="193" t="str">
        <f t="shared" si="27"/>
        <v>Monthly</v>
      </c>
      <c r="N265" s="193" t="str">
        <f t="shared" si="28"/>
        <v>NO_DATA</v>
      </c>
      <c r="O265" s="193" t="str">
        <f t="shared" si="29"/>
        <v>Compressor Plant</v>
      </c>
      <c r="P265" s="193" t="str">
        <f ca="1">IF(LEFT(Control!$C$10,4)="ROJO","RED",IF(LEFT(Control!$C$10,8)="AMARILLO","AMBER","GREEN"))</f>
        <v>RED</v>
      </c>
      <c r="Q265" s="193">
        <f>IF(OR(COUNT('Observaciones-SMP'!$B$2:$B$1001)=0,F265&lt;DATE(YEAR(MIN('Observaciones-SMP'!$B$2:$B$1001)),MONTH(MIN('Observaciones-SMP'!$B$2:$B$1001)),1),F265&gt;RPT_MONTH,ISNA(MATCH(F265,Datos!$D$3:$AL$3,0))),0,1)</f>
        <v>1</v>
      </c>
      <c r="R265" s="193" t="str">
        <f t="shared" si="30"/>
        <v>MISSING</v>
      </c>
    </row>
    <row r="266" spans="1:18" ht="13.5" customHeight="1" x14ac:dyDescent="0.3">
      <c r="A266" t="s">
        <v>1138</v>
      </c>
      <c r="B266" t="s">
        <v>1145</v>
      </c>
      <c r="C266" t="s">
        <v>1146</v>
      </c>
      <c r="D266">
        <v>4</v>
      </c>
      <c r="E266">
        <v>1</v>
      </c>
      <c r="F266" s="258">
        <f>DATE(YEAR(RPT_MONTH),MONTH(RPT_MONTH)-11,1)</f>
        <v>45962</v>
      </c>
      <c r="G266" s="193" t="str">
        <f t="shared" si="25"/>
        <v>Nov-25</v>
      </c>
      <c r="H266" s="193" t="str">
        <f>IFERROR(IF(OR(COUNT('Observaciones-SMP'!$B$2:$B$1001)=0,F266&lt;DATE(YEAR(MIN('Observaciones-SMP'!$B$2:$B$1001)),MONTH(MIN('Observaciones-SMP'!$B$2:$B$1001)),1),F266&gt;RPT_MONTH),"",INDEX(Datos!$D$74:$AL$74,MATCH(F266,Datos!$D$3:$AL$3,0))),"")</f>
        <v/>
      </c>
      <c r="J266" t="s">
        <v>1134</v>
      </c>
      <c r="K266" t="s">
        <v>1104</v>
      </c>
      <c r="L266" s="193" t="str">
        <f t="shared" si="26"/>
        <v>NO_DATA</v>
      </c>
      <c r="M266" s="193" t="str">
        <f t="shared" si="27"/>
        <v>Monthly</v>
      </c>
      <c r="N266" s="193" t="str">
        <f t="shared" si="28"/>
        <v>NO_DATA</v>
      </c>
      <c r="O266" s="193" t="str">
        <f t="shared" si="29"/>
        <v>Compressor Plant</v>
      </c>
      <c r="P266" s="193" t="str">
        <f ca="1">IF(LEFT(Control!$C$10,4)="ROJO","RED",IF(LEFT(Control!$C$10,8)="AMARILLO","AMBER","GREEN"))</f>
        <v>RED</v>
      </c>
      <c r="Q266" s="193">
        <f>IF(OR(COUNT('Observaciones-SMP'!$B$2:$B$1001)=0,F266&lt;DATE(YEAR(MIN('Observaciones-SMP'!$B$2:$B$1001)),MONTH(MIN('Observaciones-SMP'!$B$2:$B$1001)),1),F266&gt;RPT_MONTH,ISNA(MATCH(F266,Datos!$D$3:$AL$3,0))),0,1)</f>
        <v>0</v>
      </c>
      <c r="R266" s="193" t="str">
        <f t="shared" si="30"/>
        <v>OUT_OF_SCOPE</v>
      </c>
    </row>
    <row r="267" spans="1:18" ht="13.5" customHeight="1" x14ac:dyDescent="0.3">
      <c r="A267" t="s">
        <v>1138</v>
      </c>
      <c r="B267" t="s">
        <v>1145</v>
      </c>
      <c r="C267" t="s">
        <v>1146</v>
      </c>
      <c r="D267">
        <v>4</v>
      </c>
      <c r="E267">
        <v>2</v>
      </c>
      <c r="F267" s="258">
        <f>DATE(YEAR(RPT_MONTH),MONTH(RPT_MONTH)-10,1)</f>
        <v>45992</v>
      </c>
      <c r="G267" s="193" t="str">
        <f t="shared" si="25"/>
        <v>Dec-25</v>
      </c>
      <c r="H267" s="193" t="str">
        <f>IFERROR(IF(OR(COUNT('Observaciones-SMP'!$B$2:$B$1001)=0,F267&lt;DATE(YEAR(MIN('Observaciones-SMP'!$B$2:$B$1001)),MONTH(MIN('Observaciones-SMP'!$B$2:$B$1001)),1),F267&gt;RPT_MONTH),"",INDEX(Datos!$D$74:$AL$74,MATCH(F267,Datos!$D$3:$AL$3,0))),"")</f>
        <v/>
      </c>
      <c r="J267" t="s">
        <v>1134</v>
      </c>
      <c r="K267" t="s">
        <v>1104</v>
      </c>
      <c r="L267" s="193" t="str">
        <f t="shared" si="26"/>
        <v>NO_DATA</v>
      </c>
      <c r="M267" s="193" t="str">
        <f t="shared" si="27"/>
        <v>Monthly</v>
      </c>
      <c r="N267" s="193" t="str">
        <f t="shared" si="28"/>
        <v>NO_DATA</v>
      </c>
      <c r="O267" s="193" t="str">
        <f t="shared" si="29"/>
        <v>Compressor Plant</v>
      </c>
      <c r="P267" s="193" t="str">
        <f ca="1">IF(LEFT(Control!$C$10,4)="ROJO","RED",IF(LEFT(Control!$C$10,8)="AMARILLO","AMBER","GREEN"))</f>
        <v>RED</v>
      </c>
      <c r="Q267" s="193">
        <f>IF(OR(COUNT('Observaciones-SMP'!$B$2:$B$1001)=0,F267&lt;DATE(YEAR(MIN('Observaciones-SMP'!$B$2:$B$1001)),MONTH(MIN('Observaciones-SMP'!$B$2:$B$1001)),1),F267&gt;RPT_MONTH,ISNA(MATCH(F267,Datos!$D$3:$AL$3,0))),0,1)</f>
        <v>0</v>
      </c>
      <c r="R267" s="193" t="str">
        <f t="shared" si="30"/>
        <v>OUT_OF_SCOPE</v>
      </c>
    </row>
    <row r="268" spans="1:18" ht="13.5" customHeight="1" x14ac:dyDescent="0.3">
      <c r="A268" t="s">
        <v>1138</v>
      </c>
      <c r="B268" t="s">
        <v>1145</v>
      </c>
      <c r="C268" t="s">
        <v>1146</v>
      </c>
      <c r="D268">
        <v>4</v>
      </c>
      <c r="E268">
        <v>3</v>
      </c>
      <c r="F268" s="258">
        <f>DATE(YEAR(RPT_MONTH),MONTH(RPT_MONTH)-9,1)</f>
        <v>46023</v>
      </c>
      <c r="G268" s="193" t="str">
        <f t="shared" si="25"/>
        <v>Jan-26</v>
      </c>
      <c r="H268" s="193" t="str">
        <f>IFERROR(IF(OR(COUNT('Observaciones-SMP'!$B$2:$B$1001)=0,F268&lt;DATE(YEAR(MIN('Observaciones-SMP'!$B$2:$B$1001)),MONTH(MIN('Observaciones-SMP'!$B$2:$B$1001)),1),F268&gt;RPT_MONTH),"",INDEX(Datos!$D$74:$AL$74,MATCH(F268,Datos!$D$3:$AL$3,0))),"")</f>
        <v/>
      </c>
      <c r="J268" t="s">
        <v>1134</v>
      </c>
      <c r="K268" t="s">
        <v>1104</v>
      </c>
      <c r="L268" s="193" t="str">
        <f t="shared" si="26"/>
        <v>NO_DATA</v>
      </c>
      <c r="M268" s="193" t="str">
        <f t="shared" si="27"/>
        <v>Monthly</v>
      </c>
      <c r="N268" s="193" t="str">
        <f t="shared" si="28"/>
        <v>NO_DATA</v>
      </c>
      <c r="O268" s="193" t="str">
        <f t="shared" si="29"/>
        <v>Compressor Plant</v>
      </c>
      <c r="P268" s="193" t="str">
        <f ca="1">IF(LEFT(Control!$C$10,4)="ROJO","RED",IF(LEFT(Control!$C$10,8)="AMARILLO","AMBER","GREEN"))</f>
        <v>RED</v>
      </c>
      <c r="Q268" s="193">
        <f>IF(OR(COUNT('Observaciones-SMP'!$B$2:$B$1001)=0,F268&lt;DATE(YEAR(MIN('Observaciones-SMP'!$B$2:$B$1001)),MONTH(MIN('Observaciones-SMP'!$B$2:$B$1001)),1),F268&gt;RPT_MONTH,ISNA(MATCH(F268,Datos!$D$3:$AL$3,0))),0,1)</f>
        <v>0</v>
      </c>
      <c r="R268" s="193" t="str">
        <f t="shared" si="30"/>
        <v>OUT_OF_SCOPE</v>
      </c>
    </row>
    <row r="269" spans="1:18" ht="13.5" customHeight="1" x14ac:dyDescent="0.3">
      <c r="A269" t="s">
        <v>1138</v>
      </c>
      <c r="B269" t="s">
        <v>1145</v>
      </c>
      <c r="C269" t="s">
        <v>1146</v>
      </c>
      <c r="D269">
        <v>4</v>
      </c>
      <c r="E269">
        <v>4</v>
      </c>
      <c r="F269" s="258">
        <f>DATE(YEAR(RPT_MONTH),MONTH(RPT_MONTH)-8,1)</f>
        <v>46054</v>
      </c>
      <c r="G269" s="193" t="str">
        <f t="shared" si="25"/>
        <v>Feb-26</v>
      </c>
      <c r="H269" s="193" t="str">
        <f>IFERROR(IF(OR(COUNT('Observaciones-SMP'!$B$2:$B$1001)=0,F269&lt;DATE(YEAR(MIN('Observaciones-SMP'!$B$2:$B$1001)),MONTH(MIN('Observaciones-SMP'!$B$2:$B$1001)),1),F269&gt;RPT_MONTH),"",INDEX(Datos!$D$74:$AL$74,MATCH(F269,Datos!$D$3:$AL$3,0))),"")</f>
        <v/>
      </c>
      <c r="J269" t="s">
        <v>1134</v>
      </c>
      <c r="K269" t="s">
        <v>1104</v>
      </c>
      <c r="L269" s="193" t="str">
        <f t="shared" si="26"/>
        <v>NO_DATA</v>
      </c>
      <c r="M269" s="193" t="str">
        <f t="shared" si="27"/>
        <v>Monthly</v>
      </c>
      <c r="N269" s="193" t="str">
        <f t="shared" si="28"/>
        <v>NO_DATA</v>
      </c>
      <c r="O269" s="193" t="str">
        <f t="shared" si="29"/>
        <v>Compressor Plant</v>
      </c>
      <c r="P269" s="193" t="str">
        <f ca="1">IF(LEFT(Control!$C$10,4)="ROJO","RED",IF(LEFT(Control!$C$10,8)="AMARILLO","AMBER","GREEN"))</f>
        <v>RED</v>
      </c>
      <c r="Q269" s="193">
        <f>IF(OR(COUNT('Observaciones-SMP'!$B$2:$B$1001)=0,F269&lt;DATE(YEAR(MIN('Observaciones-SMP'!$B$2:$B$1001)),MONTH(MIN('Observaciones-SMP'!$B$2:$B$1001)),1),F269&gt;RPT_MONTH,ISNA(MATCH(F269,Datos!$D$3:$AL$3,0))),0,1)</f>
        <v>0</v>
      </c>
      <c r="R269" s="193" t="str">
        <f t="shared" si="30"/>
        <v>OUT_OF_SCOPE</v>
      </c>
    </row>
    <row r="270" spans="1:18" ht="13.5" customHeight="1" x14ac:dyDescent="0.3">
      <c r="A270" t="s">
        <v>1138</v>
      </c>
      <c r="B270" t="s">
        <v>1145</v>
      </c>
      <c r="C270" t="s">
        <v>1146</v>
      </c>
      <c r="D270">
        <v>4</v>
      </c>
      <c r="E270">
        <v>5</v>
      </c>
      <c r="F270" s="258">
        <f>DATE(YEAR(RPT_MONTH),MONTH(RPT_MONTH)-7,1)</f>
        <v>46082</v>
      </c>
      <c r="G270" s="193" t="str">
        <f t="shared" si="25"/>
        <v>Mar-26</v>
      </c>
      <c r="H270" s="193" t="str">
        <f>IFERROR(IF(OR(COUNT('Observaciones-SMP'!$B$2:$B$1001)=0,F270&lt;DATE(YEAR(MIN('Observaciones-SMP'!$B$2:$B$1001)),MONTH(MIN('Observaciones-SMP'!$B$2:$B$1001)),1),F270&gt;RPT_MONTH),"",INDEX(Datos!$D$74:$AL$74,MATCH(F270,Datos!$D$3:$AL$3,0))),"")</f>
        <v/>
      </c>
      <c r="J270" t="s">
        <v>1134</v>
      </c>
      <c r="K270" t="s">
        <v>1104</v>
      </c>
      <c r="L270" s="193" t="str">
        <f t="shared" si="26"/>
        <v>NO_DATA</v>
      </c>
      <c r="M270" s="193" t="str">
        <f t="shared" si="27"/>
        <v>Monthly</v>
      </c>
      <c r="N270" s="193" t="str">
        <f t="shared" si="28"/>
        <v>NO_DATA</v>
      </c>
      <c r="O270" s="193" t="str">
        <f t="shared" si="29"/>
        <v>Compressor Plant</v>
      </c>
      <c r="P270" s="193" t="str">
        <f ca="1">IF(LEFT(Control!$C$10,4)="ROJO","RED",IF(LEFT(Control!$C$10,8)="AMARILLO","AMBER","GREEN"))</f>
        <v>RED</v>
      </c>
      <c r="Q270" s="193">
        <f>IF(OR(COUNT('Observaciones-SMP'!$B$2:$B$1001)=0,F270&lt;DATE(YEAR(MIN('Observaciones-SMP'!$B$2:$B$1001)),MONTH(MIN('Observaciones-SMP'!$B$2:$B$1001)),1),F270&gt;RPT_MONTH,ISNA(MATCH(F270,Datos!$D$3:$AL$3,0))),0,1)</f>
        <v>0</v>
      </c>
      <c r="R270" s="193" t="str">
        <f t="shared" si="30"/>
        <v>OUT_OF_SCOPE</v>
      </c>
    </row>
    <row r="271" spans="1:18" ht="13.5" customHeight="1" x14ac:dyDescent="0.3">
      <c r="A271" t="s">
        <v>1138</v>
      </c>
      <c r="B271" t="s">
        <v>1145</v>
      </c>
      <c r="C271" t="s">
        <v>1146</v>
      </c>
      <c r="D271">
        <v>4</v>
      </c>
      <c r="E271">
        <v>6</v>
      </c>
      <c r="F271" s="258">
        <f>DATE(YEAR(RPT_MONTH),MONTH(RPT_MONTH)-6,1)</f>
        <v>46113</v>
      </c>
      <c r="G271" s="193" t="str">
        <f t="shared" si="25"/>
        <v>Apr-26</v>
      </c>
      <c r="H271" s="193" t="str">
        <f>IFERROR(IF(OR(COUNT('Observaciones-SMP'!$B$2:$B$1001)=0,F271&lt;DATE(YEAR(MIN('Observaciones-SMP'!$B$2:$B$1001)),MONTH(MIN('Observaciones-SMP'!$B$2:$B$1001)),1),F271&gt;RPT_MONTH),"",INDEX(Datos!$D$74:$AL$74,MATCH(F271,Datos!$D$3:$AL$3,0))),"")</f>
        <v/>
      </c>
      <c r="J271" t="s">
        <v>1134</v>
      </c>
      <c r="K271" t="s">
        <v>1104</v>
      </c>
      <c r="L271" s="193" t="str">
        <f t="shared" si="26"/>
        <v>NO_DATA</v>
      </c>
      <c r="M271" s="193" t="str">
        <f t="shared" si="27"/>
        <v>Monthly</v>
      </c>
      <c r="N271" s="193" t="str">
        <f t="shared" si="28"/>
        <v>NO_DATA</v>
      </c>
      <c r="O271" s="193" t="str">
        <f t="shared" si="29"/>
        <v>Compressor Plant</v>
      </c>
      <c r="P271" s="193" t="str">
        <f ca="1">IF(LEFT(Control!$C$10,4)="ROJO","RED",IF(LEFT(Control!$C$10,8)="AMARILLO","AMBER","GREEN"))</f>
        <v>RED</v>
      </c>
      <c r="Q271" s="193">
        <f>IF(OR(COUNT('Observaciones-SMP'!$B$2:$B$1001)=0,F271&lt;DATE(YEAR(MIN('Observaciones-SMP'!$B$2:$B$1001)),MONTH(MIN('Observaciones-SMP'!$B$2:$B$1001)),1),F271&gt;RPT_MONTH,ISNA(MATCH(F271,Datos!$D$3:$AL$3,0))),0,1)</f>
        <v>0</v>
      </c>
      <c r="R271" s="193" t="str">
        <f t="shared" si="30"/>
        <v>OUT_OF_SCOPE</v>
      </c>
    </row>
    <row r="272" spans="1:18" ht="13.5" customHeight="1" x14ac:dyDescent="0.3">
      <c r="A272" t="s">
        <v>1138</v>
      </c>
      <c r="B272" t="s">
        <v>1145</v>
      </c>
      <c r="C272" t="s">
        <v>1146</v>
      </c>
      <c r="D272">
        <v>4</v>
      </c>
      <c r="E272">
        <v>7</v>
      </c>
      <c r="F272" s="258">
        <f>DATE(YEAR(RPT_MONTH),MONTH(RPT_MONTH)-5,1)</f>
        <v>46143</v>
      </c>
      <c r="G272" s="193" t="str">
        <f t="shared" si="25"/>
        <v>May-26</v>
      </c>
      <c r="H272" s="193" t="str">
        <f>IFERROR(IF(OR(COUNT('Observaciones-SMP'!$B$2:$B$1001)=0,F272&lt;DATE(YEAR(MIN('Observaciones-SMP'!$B$2:$B$1001)),MONTH(MIN('Observaciones-SMP'!$B$2:$B$1001)),1),F272&gt;RPT_MONTH),"",INDEX(Datos!$D$74:$AL$74,MATCH(F272,Datos!$D$3:$AL$3,0))),"")</f>
        <v/>
      </c>
      <c r="J272" t="s">
        <v>1134</v>
      </c>
      <c r="K272" t="s">
        <v>1104</v>
      </c>
      <c r="L272" s="193" t="str">
        <f t="shared" si="26"/>
        <v>NO_DATA</v>
      </c>
      <c r="M272" s="193" t="str">
        <f t="shared" si="27"/>
        <v>Monthly</v>
      </c>
      <c r="N272" s="193" t="str">
        <f t="shared" si="28"/>
        <v>NO_DATA</v>
      </c>
      <c r="O272" s="193" t="str">
        <f t="shared" si="29"/>
        <v>Compressor Plant</v>
      </c>
      <c r="P272" s="193" t="str">
        <f ca="1">IF(LEFT(Control!$C$10,4)="ROJO","RED",IF(LEFT(Control!$C$10,8)="AMARILLO","AMBER","GREEN"))</f>
        <v>RED</v>
      </c>
      <c r="Q272" s="193">
        <f>IF(OR(COUNT('Observaciones-SMP'!$B$2:$B$1001)=0,F272&lt;DATE(YEAR(MIN('Observaciones-SMP'!$B$2:$B$1001)),MONTH(MIN('Observaciones-SMP'!$B$2:$B$1001)),1),F272&gt;RPT_MONTH,ISNA(MATCH(F272,Datos!$D$3:$AL$3,0))),0,1)</f>
        <v>0</v>
      </c>
      <c r="R272" s="193" t="str">
        <f t="shared" si="30"/>
        <v>OUT_OF_SCOPE</v>
      </c>
    </row>
    <row r="273" spans="1:18" ht="13.5" customHeight="1" x14ac:dyDescent="0.3">
      <c r="A273" t="s">
        <v>1138</v>
      </c>
      <c r="B273" t="s">
        <v>1145</v>
      </c>
      <c r="C273" t="s">
        <v>1146</v>
      </c>
      <c r="D273">
        <v>4</v>
      </c>
      <c r="E273">
        <v>8</v>
      </c>
      <c r="F273" s="258">
        <f>DATE(YEAR(RPT_MONTH),MONTH(RPT_MONTH)-4,1)</f>
        <v>46174</v>
      </c>
      <c r="G273" s="193" t="str">
        <f t="shared" si="25"/>
        <v>Jun-26</v>
      </c>
      <c r="H273" s="193" t="str">
        <f>IFERROR(IF(OR(COUNT('Observaciones-SMP'!$B$2:$B$1001)=0,F273&lt;DATE(YEAR(MIN('Observaciones-SMP'!$B$2:$B$1001)),MONTH(MIN('Observaciones-SMP'!$B$2:$B$1001)),1),F273&gt;RPT_MONTH),"",INDEX(Datos!$D$74:$AL$74,MATCH(F273,Datos!$D$3:$AL$3,0))),"")</f>
        <v/>
      </c>
      <c r="J273" t="s">
        <v>1134</v>
      </c>
      <c r="K273" t="s">
        <v>1104</v>
      </c>
      <c r="L273" s="193" t="str">
        <f t="shared" si="26"/>
        <v>NO_DATA</v>
      </c>
      <c r="M273" s="193" t="str">
        <f t="shared" si="27"/>
        <v>Monthly</v>
      </c>
      <c r="N273" s="193" t="str">
        <f t="shared" si="28"/>
        <v>NO_DATA</v>
      </c>
      <c r="O273" s="193" t="str">
        <f t="shared" si="29"/>
        <v>Compressor Plant</v>
      </c>
      <c r="P273" s="193" t="str">
        <f ca="1">IF(LEFT(Control!$C$10,4)="ROJO","RED",IF(LEFT(Control!$C$10,8)="AMARILLO","AMBER","GREEN"))</f>
        <v>RED</v>
      </c>
      <c r="Q273" s="193">
        <f>IF(OR(COUNT('Observaciones-SMP'!$B$2:$B$1001)=0,F273&lt;DATE(YEAR(MIN('Observaciones-SMP'!$B$2:$B$1001)),MONTH(MIN('Observaciones-SMP'!$B$2:$B$1001)),1),F273&gt;RPT_MONTH,ISNA(MATCH(F273,Datos!$D$3:$AL$3,0))),0,1)</f>
        <v>0</v>
      </c>
      <c r="R273" s="193" t="str">
        <f t="shared" si="30"/>
        <v>OUT_OF_SCOPE</v>
      </c>
    </row>
    <row r="274" spans="1:18" ht="13.5" customHeight="1" x14ac:dyDescent="0.3">
      <c r="A274" t="s">
        <v>1138</v>
      </c>
      <c r="B274" t="s">
        <v>1145</v>
      </c>
      <c r="C274" t="s">
        <v>1146</v>
      </c>
      <c r="D274">
        <v>4</v>
      </c>
      <c r="E274">
        <v>9</v>
      </c>
      <c r="F274" s="258">
        <f>DATE(YEAR(RPT_MONTH),MONTH(RPT_MONTH)-3,1)</f>
        <v>46204</v>
      </c>
      <c r="G274" s="193" t="str">
        <f t="shared" si="25"/>
        <v>Jul-26</v>
      </c>
      <c r="H274" s="193" t="str">
        <f>IFERROR(IF(OR(COUNT('Observaciones-SMP'!$B$2:$B$1001)=0,F274&lt;DATE(YEAR(MIN('Observaciones-SMP'!$B$2:$B$1001)),MONTH(MIN('Observaciones-SMP'!$B$2:$B$1001)),1),F274&gt;RPT_MONTH),"",INDEX(Datos!$D$74:$AL$74,MATCH(F274,Datos!$D$3:$AL$3,0))),"")</f>
        <v/>
      </c>
      <c r="J274" t="s">
        <v>1134</v>
      </c>
      <c r="K274" t="s">
        <v>1104</v>
      </c>
      <c r="L274" s="193" t="str">
        <f t="shared" si="26"/>
        <v>NO_DATA</v>
      </c>
      <c r="M274" s="193" t="str">
        <f t="shared" si="27"/>
        <v>Monthly</v>
      </c>
      <c r="N274" s="193" t="str">
        <f t="shared" si="28"/>
        <v>NO_DATA</v>
      </c>
      <c r="O274" s="193" t="str">
        <f t="shared" si="29"/>
        <v>Compressor Plant</v>
      </c>
      <c r="P274" s="193" t="str">
        <f ca="1">IF(LEFT(Control!$C$10,4)="ROJO","RED",IF(LEFT(Control!$C$10,8)="AMARILLO","AMBER","GREEN"))</f>
        <v>RED</v>
      </c>
      <c r="Q274" s="193">
        <f>IF(OR(COUNT('Observaciones-SMP'!$B$2:$B$1001)=0,F274&lt;DATE(YEAR(MIN('Observaciones-SMP'!$B$2:$B$1001)),MONTH(MIN('Observaciones-SMP'!$B$2:$B$1001)),1),F274&gt;RPT_MONTH,ISNA(MATCH(F274,Datos!$D$3:$AL$3,0))),0,1)</f>
        <v>0</v>
      </c>
      <c r="R274" s="193" t="str">
        <f t="shared" si="30"/>
        <v>OUT_OF_SCOPE</v>
      </c>
    </row>
    <row r="275" spans="1:18" ht="13.5" customHeight="1" x14ac:dyDescent="0.3">
      <c r="A275" t="s">
        <v>1138</v>
      </c>
      <c r="B275" t="s">
        <v>1145</v>
      </c>
      <c r="C275" t="s">
        <v>1146</v>
      </c>
      <c r="D275">
        <v>4</v>
      </c>
      <c r="E275">
        <v>10</v>
      </c>
      <c r="F275" s="258">
        <f>DATE(YEAR(RPT_MONTH),MONTH(RPT_MONTH)-2,1)</f>
        <v>46235</v>
      </c>
      <c r="G275" s="193" t="str">
        <f t="shared" si="25"/>
        <v>Aug-26</v>
      </c>
      <c r="H275" s="193">
        <f>IFERROR(IF(OR(COUNT('Observaciones-SMP'!$B$2:$B$1001)=0,F275&lt;DATE(YEAR(MIN('Observaciones-SMP'!$B$2:$B$1001)),MONTH(MIN('Observaciones-SMP'!$B$2:$B$1001)),1),F275&gt;RPT_MONTH),"",INDEX(Datos!$D$74:$AL$74,MATCH(F275,Datos!$D$3:$AL$3,0))),"")</f>
        <v>32</v>
      </c>
      <c r="J275" t="s">
        <v>1134</v>
      </c>
      <c r="K275" t="s">
        <v>1104</v>
      </c>
      <c r="L275" s="193" t="str">
        <f t="shared" si="26"/>
        <v>OK</v>
      </c>
      <c r="M275" s="193" t="str">
        <f t="shared" si="27"/>
        <v>Monthly</v>
      </c>
      <c r="N275" s="193" t="str">
        <f t="shared" si="28"/>
        <v>CONTEXT</v>
      </c>
      <c r="O275" s="193" t="str">
        <f t="shared" si="29"/>
        <v>Compressor Plant</v>
      </c>
      <c r="P275" s="193" t="str">
        <f ca="1">IF(LEFT(Control!$C$10,4)="ROJO","RED",IF(LEFT(Control!$C$10,8)="AMARILLO","AMBER","GREEN"))</f>
        <v>RED</v>
      </c>
      <c r="Q275" s="193">
        <f>IF(OR(COUNT('Observaciones-SMP'!$B$2:$B$1001)=0,F275&lt;DATE(YEAR(MIN('Observaciones-SMP'!$B$2:$B$1001)),MONTH(MIN('Observaciones-SMP'!$B$2:$B$1001)),1),F275&gt;RPT_MONTH,ISNA(MATCH(F275,Datos!$D$3:$AL$3,0))),0,1)</f>
        <v>1</v>
      </c>
      <c r="R275" s="193" t="str">
        <f t="shared" si="30"/>
        <v>OK</v>
      </c>
    </row>
    <row r="276" spans="1:18" ht="13.5" customHeight="1" x14ac:dyDescent="0.3">
      <c r="A276" t="s">
        <v>1138</v>
      </c>
      <c r="B276" t="s">
        <v>1145</v>
      </c>
      <c r="C276" t="s">
        <v>1146</v>
      </c>
      <c r="D276">
        <v>4</v>
      </c>
      <c r="E276">
        <v>11</v>
      </c>
      <c r="F276" s="258">
        <f>DATE(YEAR(RPT_MONTH),MONTH(RPT_MONTH)-1,1)</f>
        <v>46266</v>
      </c>
      <c r="G276" s="193" t="str">
        <f t="shared" si="25"/>
        <v>Sep-26</v>
      </c>
      <c r="H276" s="248">
        <f>IFERROR(IF(OR(COUNT('Observaciones-SMP'!$B$2:$B$1001)=0,F276&lt;DATE(YEAR(MIN('Observaciones-SMP'!$B$2:$B$1001)),MONTH(MIN('Observaciones-SMP'!$B$2:$B$1001)),1),F276&gt;RPT_MONTH),"",INDEX(Datos!$D$74:$AL$74,MATCH(F276,Datos!$D$3:$AL$3,0))),"")</f>
        <v>29</v>
      </c>
      <c r="J276" t="s">
        <v>1134</v>
      </c>
      <c r="K276" t="s">
        <v>1104</v>
      </c>
      <c r="L276" s="193" t="str">
        <f t="shared" si="26"/>
        <v>OK</v>
      </c>
      <c r="M276" s="193" t="str">
        <f t="shared" si="27"/>
        <v>Monthly</v>
      </c>
      <c r="N276" s="193" t="str">
        <f t="shared" si="28"/>
        <v>CONTEXT</v>
      </c>
      <c r="O276" s="193" t="str">
        <f t="shared" si="29"/>
        <v>Compressor Plant</v>
      </c>
      <c r="P276" s="193" t="str">
        <f ca="1">IF(LEFT(Control!$C$10,4)="ROJO","RED",IF(LEFT(Control!$C$10,8)="AMARILLO","AMBER","GREEN"))</f>
        <v>RED</v>
      </c>
      <c r="Q276" s="193">
        <f>IF(OR(COUNT('Observaciones-SMP'!$B$2:$B$1001)=0,F276&lt;DATE(YEAR(MIN('Observaciones-SMP'!$B$2:$B$1001)),MONTH(MIN('Observaciones-SMP'!$B$2:$B$1001)),1),F276&gt;RPT_MONTH,ISNA(MATCH(F276,Datos!$D$3:$AL$3,0))),0,1)</f>
        <v>1</v>
      </c>
      <c r="R276" s="193" t="str">
        <f t="shared" si="30"/>
        <v>OK</v>
      </c>
    </row>
    <row r="277" spans="1:18" ht="13.5" customHeight="1" x14ac:dyDescent="0.3">
      <c r="A277" t="s">
        <v>1138</v>
      </c>
      <c r="B277" t="s">
        <v>1145</v>
      </c>
      <c r="C277" t="s">
        <v>1146</v>
      </c>
      <c r="D277">
        <v>4</v>
      </c>
      <c r="E277">
        <v>12</v>
      </c>
      <c r="F277" s="258">
        <f>DATE(YEAR(RPT_MONTH),MONTH(RPT_MONTH)-0,1)</f>
        <v>46296</v>
      </c>
      <c r="G277" s="193" t="str">
        <f t="shared" si="25"/>
        <v>Oct-26</v>
      </c>
      <c r="H277" s="248">
        <f>IFERROR(IF(OR(COUNT('Observaciones-SMP'!$B$2:$B$1001)=0,F277&lt;DATE(YEAR(MIN('Observaciones-SMP'!$B$2:$B$1001)),MONTH(MIN('Observaciones-SMP'!$B$2:$B$1001)),1),F277&gt;RPT_MONTH),"",INDEX(Datos!$D$74:$AL$74,MATCH(F277,Datos!$D$3:$AL$3,0))),"")</f>
        <v>0</v>
      </c>
      <c r="J277" t="s">
        <v>1134</v>
      </c>
      <c r="K277" t="s">
        <v>1104</v>
      </c>
      <c r="L277" s="193" t="str">
        <f t="shared" si="26"/>
        <v>OK</v>
      </c>
      <c r="M277" s="193" t="str">
        <f t="shared" si="27"/>
        <v>Monthly</v>
      </c>
      <c r="N277" s="193" t="str">
        <f t="shared" si="28"/>
        <v>CONTEXT</v>
      </c>
      <c r="O277" s="193" t="str">
        <f t="shared" si="29"/>
        <v>Compressor Plant</v>
      </c>
      <c r="P277" s="193" t="str">
        <f ca="1">IF(LEFT(Control!$C$10,4)="ROJO","RED",IF(LEFT(Control!$C$10,8)="AMARILLO","AMBER","GREEN"))</f>
        <v>RED</v>
      </c>
      <c r="Q277" s="193">
        <f>IF(OR(COUNT('Observaciones-SMP'!$B$2:$B$1001)=0,F277&lt;DATE(YEAR(MIN('Observaciones-SMP'!$B$2:$B$1001)),MONTH(MIN('Observaciones-SMP'!$B$2:$B$1001)),1),F277&gt;RPT_MONTH,ISNA(MATCH(F277,Datos!$D$3:$AL$3,0))),0,1)</f>
        <v>1</v>
      </c>
      <c r="R277" s="193" t="str">
        <f t="shared" si="30"/>
        <v>OK</v>
      </c>
    </row>
    <row r="278" spans="1:18" ht="13.5" customHeight="1" x14ac:dyDescent="0.3">
      <c r="A278" t="s">
        <v>1147</v>
      </c>
      <c r="B278" t="s">
        <v>1148</v>
      </c>
      <c r="C278" t="s">
        <v>1149</v>
      </c>
      <c r="D278">
        <v>1</v>
      </c>
      <c r="E278">
        <v>1</v>
      </c>
      <c r="F278" s="258">
        <f>DATE(YEAR(RPT_MONTH),MONTH(RPT_MONTH)-11,1)</f>
        <v>45962</v>
      </c>
      <c r="G278" s="193" t="str">
        <f t="shared" si="25"/>
        <v>Nov-25</v>
      </c>
      <c r="H278" s="193" t="str">
        <f>IFERROR(1*INDEX(BD_KPIs!$F$2:$F$1300,MATCH(YEAR(F278)*100+MONTH(F278)&amp;"|DPAS|Monthly",BD_KPIs!$Q$2:$Q$1300,0)),"")</f>
        <v/>
      </c>
      <c r="I278" s="193" t="str">
        <f>IF(ISNUMBER(INDEX(_TARGETS!$G$2:$G$17,MATCH("DPAS",_TARGETS!$A$2:$A$17,0))),INDEX(_TARGETS!$G$2:$G$17,MATCH("DPAS",_TARGETS!$A$2:$A$17,0)),"")</f>
        <v/>
      </c>
      <c r="J278" t="s">
        <v>1021</v>
      </c>
      <c r="K278" t="s">
        <v>1093</v>
      </c>
      <c r="L278" s="193" t="str">
        <f t="shared" si="26"/>
        <v>NO_DATA</v>
      </c>
      <c r="M278" s="193" t="str">
        <f t="shared" si="27"/>
        <v>Monthly</v>
      </c>
      <c r="N278" s="193" t="str">
        <f>IF(NOT(ISNUMBER(H278)),"NO_DATA",IF(NOT(ISNUMBER(I278)),"MONITOR",IF(INDEX(_TARGETS!$E$2:$E$17,MATCH("DPAS",_TARGETS!$A$2:$A$17,0))="≤",IF(H278&lt;=I278,"ON_TARGET","OFF_TARGET"),IF(H278&gt;=I278,"ON_TARGET","OFF_TARGET"))))</f>
        <v>NO_DATA</v>
      </c>
      <c r="O278" s="193" t="str">
        <f t="shared" si="29"/>
        <v>Compressor Plant</v>
      </c>
      <c r="P278" s="193" t="str">
        <f ca="1">IF(LEFT(Control!$C$10,4)="ROJO","RED",IF(LEFT(Control!$C$10,8)="AMARILLO","AMBER","GREEN"))</f>
        <v>RED</v>
      </c>
      <c r="Q278" s="193">
        <f>IF(AND(ISNUMBER(MATCH(F278,Datos!$D$3:$AL$3,0)),F278&lt;=RPT_MONTH),1,0)</f>
        <v>0</v>
      </c>
      <c r="R278" s="193" t="str">
        <f t="shared" si="30"/>
        <v>OUT_OF_SCOPE</v>
      </c>
    </row>
    <row r="279" spans="1:18" ht="13.5" customHeight="1" x14ac:dyDescent="0.3">
      <c r="A279" t="s">
        <v>1147</v>
      </c>
      <c r="B279" t="s">
        <v>1148</v>
      </c>
      <c r="C279" t="s">
        <v>1149</v>
      </c>
      <c r="D279">
        <v>1</v>
      </c>
      <c r="E279">
        <v>2</v>
      </c>
      <c r="F279" s="258">
        <f>DATE(YEAR(RPT_MONTH),MONTH(RPT_MONTH)-10,1)</f>
        <v>45992</v>
      </c>
      <c r="G279" s="193" t="str">
        <f t="shared" si="25"/>
        <v>Dec-25</v>
      </c>
      <c r="H279" s="193" t="str">
        <f>IFERROR(1*INDEX(BD_KPIs!$F$2:$F$1300,MATCH(YEAR(F279)*100+MONTH(F279)&amp;"|DPAS|Monthly",BD_KPIs!$Q$2:$Q$1300,0)),"")</f>
        <v/>
      </c>
      <c r="I279" s="193" t="str">
        <f>IF(ISNUMBER(INDEX(_TARGETS!$G$2:$G$17,MATCH("DPAS",_TARGETS!$A$2:$A$17,0))),INDEX(_TARGETS!$G$2:$G$17,MATCH("DPAS",_TARGETS!$A$2:$A$17,0)),"")</f>
        <v/>
      </c>
      <c r="J279" t="s">
        <v>1021</v>
      </c>
      <c r="K279" t="s">
        <v>1093</v>
      </c>
      <c r="L279" s="193" t="str">
        <f t="shared" si="26"/>
        <v>NO_DATA</v>
      </c>
      <c r="M279" s="193" t="str">
        <f t="shared" si="27"/>
        <v>Monthly</v>
      </c>
      <c r="N279" s="193" t="str">
        <f>IF(NOT(ISNUMBER(H279)),"NO_DATA",IF(NOT(ISNUMBER(I279)),"MONITOR",IF(INDEX(_TARGETS!$E$2:$E$17,MATCH("DPAS",_TARGETS!$A$2:$A$17,0))="≤",IF(H279&lt;=I279,"ON_TARGET","OFF_TARGET"),IF(H279&gt;=I279,"ON_TARGET","OFF_TARGET"))))</f>
        <v>NO_DATA</v>
      </c>
      <c r="O279" s="193" t="str">
        <f t="shared" si="29"/>
        <v>Compressor Plant</v>
      </c>
      <c r="P279" s="193" t="str">
        <f ca="1">IF(LEFT(Control!$C$10,4)="ROJO","RED",IF(LEFT(Control!$C$10,8)="AMARILLO","AMBER","GREEN"))</f>
        <v>RED</v>
      </c>
      <c r="Q279" s="193">
        <f>IF(AND(ISNUMBER(MATCH(F279,Datos!$D$3:$AL$3,0)),F279&lt;=RPT_MONTH),1,0)</f>
        <v>0</v>
      </c>
      <c r="R279" s="193" t="str">
        <f t="shared" si="30"/>
        <v>OUT_OF_SCOPE</v>
      </c>
    </row>
    <row r="280" spans="1:18" ht="13.5" customHeight="1" x14ac:dyDescent="0.3">
      <c r="A280" t="s">
        <v>1147</v>
      </c>
      <c r="B280" t="s">
        <v>1148</v>
      </c>
      <c r="C280" t="s">
        <v>1149</v>
      </c>
      <c r="D280">
        <v>1</v>
      </c>
      <c r="E280">
        <v>3</v>
      </c>
      <c r="F280" s="258">
        <f>DATE(YEAR(RPT_MONTH),MONTH(RPT_MONTH)-9,1)</f>
        <v>46023</v>
      </c>
      <c r="G280" s="193" t="str">
        <f t="shared" si="25"/>
        <v>Jan-26</v>
      </c>
      <c r="H280" s="193" t="str">
        <f>IFERROR(1*INDEX(BD_KPIs!$F$2:$F$1300,MATCH(YEAR(F280)*100+MONTH(F280)&amp;"|DPAS|Monthly",BD_KPIs!$Q$2:$Q$1300,0)),"")</f>
        <v/>
      </c>
      <c r="I280" s="193" t="str">
        <f>IF(ISNUMBER(INDEX(_TARGETS!$G$2:$G$17,MATCH("DPAS",_TARGETS!$A$2:$A$17,0))),INDEX(_TARGETS!$G$2:$G$17,MATCH("DPAS",_TARGETS!$A$2:$A$17,0)),"")</f>
        <v/>
      </c>
      <c r="J280" t="s">
        <v>1021</v>
      </c>
      <c r="K280" t="s">
        <v>1093</v>
      </c>
      <c r="L280" s="193" t="str">
        <f t="shared" si="26"/>
        <v>NO_DATA</v>
      </c>
      <c r="M280" s="193" t="str">
        <f t="shared" si="27"/>
        <v>Monthly</v>
      </c>
      <c r="N280" s="193" t="str">
        <f>IF(NOT(ISNUMBER(H280)),"NO_DATA",IF(NOT(ISNUMBER(I280)),"MONITOR",IF(INDEX(_TARGETS!$E$2:$E$17,MATCH("DPAS",_TARGETS!$A$2:$A$17,0))="≤",IF(H280&lt;=I280,"ON_TARGET","OFF_TARGET"),IF(H280&gt;=I280,"ON_TARGET","OFF_TARGET"))))</f>
        <v>NO_DATA</v>
      </c>
      <c r="O280" s="193" t="str">
        <f t="shared" si="29"/>
        <v>Compressor Plant</v>
      </c>
      <c r="P280" s="193" t="str">
        <f ca="1">IF(LEFT(Control!$C$10,4)="ROJO","RED",IF(LEFT(Control!$C$10,8)="AMARILLO","AMBER","GREEN"))</f>
        <v>RED</v>
      </c>
      <c r="Q280" s="193">
        <f>IF(AND(ISNUMBER(MATCH(F280,Datos!$D$3:$AL$3,0)),F280&lt;=RPT_MONTH),1,0)</f>
        <v>0</v>
      </c>
      <c r="R280" s="193" t="str">
        <f t="shared" si="30"/>
        <v>OUT_OF_SCOPE</v>
      </c>
    </row>
    <row r="281" spans="1:18" ht="13.5" customHeight="1" x14ac:dyDescent="0.3">
      <c r="A281" t="s">
        <v>1147</v>
      </c>
      <c r="B281" t="s">
        <v>1148</v>
      </c>
      <c r="C281" t="s">
        <v>1149</v>
      </c>
      <c r="D281">
        <v>1</v>
      </c>
      <c r="E281">
        <v>4</v>
      </c>
      <c r="F281" s="258">
        <f>DATE(YEAR(RPT_MONTH),MONTH(RPT_MONTH)-8,1)</f>
        <v>46054</v>
      </c>
      <c r="G281" s="193" t="str">
        <f t="shared" si="25"/>
        <v>Feb-26</v>
      </c>
      <c r="H281" s="193" t="str">
        <f>IFERROR(1*INDEX(BD_KPIs!$F$2:$F$1300,MATCH(YEAR(F281)*100+MONTH(F281)&amp;"|DPAS|Monthly",BD_KPIs!$Q$2:$Q$1300,0)),"")</f>
        <v/>
      </c>
      <c r="I281" s="193" t="str">
        <f>IF(ISNUMBER(INDEX(_TARGETS!$G$2:$G$17,MATCH("DPAS",_TARGETS!$A$2:$A$17,0))),INDEX(_TARGETS!$G$2:$G$17,MATCH("DPAS",_TARGETS!$A$2:$A$17,0)),"")</f>
        <v/>
      </c>
      <c r="J281" t="s">
        <v>1021</v>
      </c>
      <c r="K281" t="s">
        <v>1093</v>
      </c>
      <c r="L281" s="193" t="str">
        <f t="shared" si="26"/>
        <v>NO_DATA</v>
      </c>
      <c r="M281" s="193" t="str">
        <f t="shared" si="27"/>
        <v>Monthly</v>
      </c>
      <c r="N281" s="193" t="str">
        <f>IF(NOT(ISNUMBER(H281)),"NO_DATA",IF(NOT(ISNUMBER(I281)),"MONITOR",IF(INDEX(_TARGETS!$E$2:$E$17,MATCH("DPAS",_TARGETS!$A$2:$A$17,0))="≤",IF(H281&lt;=I281,"ON_TARGET","OFF_TARGET"),IF(H281&gt;=I281,"ON_TARGET","OFF_TARGET"))))</f>
        <v>NO_DATA</v>
      </c>
      <c r="O281" s="193" t="str">
        <f t="shared" si="29"/>
        <v>Compressor Plant</v>
      </c>
      <c r="P281" s="193" t="str">
        <f ca="1">IF(LEFT(Control!$C$10,4)="ROJO","RED",IF(LEFT(Control!$C$10,8)="AMARILLO","AMBER","GREEN"))</f>
        <v>RED</v>
      </c>
      <c r="Q281" s="193">
        <f>IF(AND(ISNUMBER(MATCH(F281,Datos!$D$3:$AL$3,0)),F281&lt;=RPT_MONTH),1,0)</f>
        <v>0</v>
      </c>
      <c r="R281" s="193" t="str">
        <f t="shared" si="30"/>
        <v>OUT_OF_SCOPE</v>
      </c>
    </row>
    <row r="282" spans="1:18" ht="13.5" customHeight="1" x14ac:dyDescent="0.3">
      <c r="A282" t="s">
        <v>1147</v>
      </c>
      <c r="B282" t="s">
        <v>1148</v>
      </c>
      <c r="C282" t="s">
        <v>1149</v>
      </c>
      <c r="D282">
        <v>1</v>
      </c>
      <c r="E282">
        <v>5</v>
      </c>
      <c r="F282" s="258">
        <f>DATE(YEAR(RPT_MONTH),MONTH(RPT_MONTH)-7,1)</f>
        <v>46082</v>
      </c>
      <c r="G282" s="193" t="str">
        <f t="shared" si="25"/>
        <v>Mar-26</v>
      </c>
      <c r="H282" s="193" t="str">
        <f>IFERROR(1*INDEX(BD_KPIs!$F$2:$F$1300,MATCH(YEAR(F282)*100+MONTH(F282)&amp;"|DPAS|Monthly",BD_KPIs!$Q$2:$Q$1300,0)),"")</f>
        <v/>
      </c>
      <c r="I282" s="193" t="str">
        <f>IF(ISNUMBER(INDEX(_TARGETS!$G$2:$G$17,MATCH("DPAS",_TARGETS!$A$2:$A$17,0))),INDEX(_TARGETS!$G$2:$G$17,MATCH("DPAS",_TARGETS!$A$2:$A$17,0)),"")</f>
        <v/>
      </c>
      <c r="J282" t="s">
        <v>1021</v>
      </c>
      <c r="K282" t="s">
        <v>1093</v>
      </c>
      <c r="L282" s="193" t="str">
        <f t="shared" si="26"/>
        <v>NO_DATA</v>
      </c>
      <c r="M282" s="193" t="str">
        <f t="shared" si="27"/>
        <v>Monthly</v>
      </c>
      <c r="N282" s="193" t="str">
        <f>IF(NOT(ISNUMBER(H282)),"NO_DATA",IF(NOT(ISNUMBER(I282)),"MONITOR",IF(INDEX(_TARGETS!$E$2:$E$17,MATCH("DPAS",_TARGETS!$A$2:$A$17,0))="≤",IF(H282&lt;=I282,"ON_TARGET","OFF_TARGET"),IF(H282&gt;=I282,"ON_TARGET","OFF_TARGET"))))</f>
        <v>NO_DATA</v>
      </c>
      <c r="O282" s="193" t="str">
        <f t="shared" si="29"/>
        <v>Compressor Plant</v>
      </c>
      <c r="P282" s="193" t="str">
        <f ca="1">IF(LEFT(Control!$C$10,4)="ROJO","RED",IF(LEFT(Control!$C$10,8)="AMARILLO","AMBER","GREEN"))</f>
        <v>RED</v>
      </c>
      <c r="Q282" s="193">
        <f>IF(AND(ISNUMBER(MATCH(F282,Datos!$D$3:$AL$3,0)),F282&lt;=RPT_MONTH),1,0)</f>
        <v>0</v>
      </c>
      <c r="R282" s="193" t="str">
        <f t="shared" si="30"/>
        <v>OUT_OF_SCOPE</v>
      </c>
    </row>
    <row r="283" spans="1:18" ht="13.5" customHeight="1" x14ac:dyDescent="0.3">
      <c r="A283" t="s">
        <v>1147</v>
      </c>
      <c r="B283" t="s">
        <v>1148</v>
      </c>
      <c r="C283" t="s">
        <v>1149</v>
      </c>
      <c r="D283">
        <v>1</v>
      </c>
      <c r="E283">
        <v>6</v>
      </c>
      <c r="F283" s="258">
        <f>DATE(YEAR(RPT_MONTH),MONTH(RPT_MONTH)-6,1)</f>
        <v>46113</v>
      </c>
      <c r="G283" s="193" t="str">
        <f t="shared" si="25"/>
        <v>Apr-26</v>
      </c>
      <c r="H283" s="193" t="str">
        <f>IFERROR(1*INDEX(BD_KPIs!$F$2:$F$1300,MATCH(YEAR(F283)*100+MONTH(F283)&amp;"|DPAS|Monthly",BD_KPIs!$Q$2:$Q$1300,0)),"")</f>
        <v/>
      </c>
      <c r="I283" s="193" t="str">
        <f>IF(ISNUMBER(INDEX(_TARGETS!$G$2:$G$17,MATCH("DPAS",_TARGETS!$A$2:$A$17,0))),INDEX(_TARGETS!$G$2:$G$17,MATCH("DPAS",_TARGETS!$A$2:$A$17,0)),"")</f>
        <v/>
      </c>
      <c r="J283" t="s">
        <v>1021</v>
      </c>
      <c r="K283" t="s">
        <v>1093</v>
      </c>
      <c r="L283" s="193" t="str">
        <f t="shared" si="26"/>
        <v>NO_DATA</v>
      </c>
      <c r="M283" s="193" t="str">
        <f t="shared" si="27"/>
        <v>Monthly</v>
      </c>
      <c r="N283" s="193" t="str">
        <f>IF(NOT(ISNUMBER(H283)),"NO_DATA",IF(NOT(ISNUMBER(I283)),"MONITOR",IF(INDEX(_TARGETS!$E$2:$E$17,MATCH("DPAS",_TARGETS!$A$2:$A$17,0))="≤",IF(H283&lt;=I283,"ON_TARGET","OFF_TARGET"),IF(H283&gt;=I283,"ON_TARGET","OFF_TARGET"))))</f>
        <v>NO_DATA</v>
      </c>
      <c r="O283" s="193" t="str">
        <f t="shared" si="29"/>
        <v>Compressor Plant</v>
      </c>
      <c r="P283" s="193" t="str">
        <f ca="1">IF(LEFT(Control!$C$10,4)="ROJO","RED",IF(LEFT(Control!$C$10,8)="AMARILLO","AMBER","GREEN"))</f>
        <v>RED</v>
      </c>
      <c r="Q283" s="193">
        <f>IF(AND(ISNUMBER(MATCH(F283,Datos!$D$3:$AL$3,0)),F283&lt;=RPT_MONTH),1,0)</f>
        <v>0</v>
      </c>
      <c r="R283" s="193" t="str">
        <f t="shared" si="30"/>
        <v>OUT_OF_SCOPE</v>
      </c>
    </row>
    <row r="284" spans="1:18" ht="13.5" customHeight="1" x14ac:dyDescent="0.3">
      <c r="A284" t="s">
        <v>1147</v>
      </c>
      <c r="B284" t="s">
        <v>1148</v>
      </c>
      <c r="C284" t="s">
        <v>1149</v>
      </c>
      <c r="D284">
        <v>1</v>
      </c>
      <c r="E284">
        <v>7</v>
      </c>
      <c r="F284" s="258">
        <f>DATE(YEAR(RPT_MONTH),MONTH(RPT_MONTH)-5,1)</f>
        <v>46143</v>
      </c>
      <c r="G284" s="193" t="str">
        <f t="shared" si="25"/>
        <v>May-26</v>
      </c>
      <c r="H284" s="193" t="str">
        <f>IFERROR(1*INDEX(BD_KPIs!$F$2:$F$1300,MATCH(YEAR(F284)*100+MONTH(F284)&amp;"|DPAS|Monthly",BD_KPIs!$Q$2:$Q$1300,0)),"")</f>
        <v/>
      </c>
      <c r="I284" s="193" t="str">
        <f>IF(ISNUMBER(INDEX(_TARGETS!$G$2:$G$17,MATCH("DPAS",_TARGETS!$A$2:$A$17,0))),INDEX(_TARGETS!$G$2:$G$17,MATCH("DPAS",_TARGETS!$A$2:$A$17,0)),"")</f>
        <v/>
      </c>
      <c r="J284" t="s">
        <v>1021</v>
      </c>
      <c r="K284" t="s">
        <v>1093</v>
      </c>
      <c r="L284" s="193" t="str">
        <f t="shared" si="26"/>
        <v>NO_DATA</v>
      </c>
      <c r="M284" s="193" t="str">
        <f t="shared" si="27"/>
        <v>Monthly</v>
      </c>
      <c r="N284" s="193" t="str">
        <f>IF(NOT(ISNUMBER(H284)),"NO_DATA",IF(NOT(ISNUMBER(I284)),"MONITOR",IF(INDEX(_TARGETS!$E$2:$E$17,MATCH("DPAS",_TARGETS!$A$2:$A$17,0))="≤",IF(H284&lt;=I284,"ON_TARGET","OFF_TARGET"),IF(H284&gt;=I284,"ON_TARGET","OFF_TARGET"))))</f>
        <v>NO_DATA</v>
      </c>
      <c r="O284" s="193" t="str">
        <f t="shared" si="29"/>
        <v>Compressor Plant</v>
      </c>
      <c r="P284" s="193" t="str">
        <f ca="1">IF(LEFT(Control!$C$10,4)="ROJO","RED",IF(LEFT(Control!$C$10,8)="AMARILLO","AMBER","GREEN"))</f>
        <v>RED</v>
      </c>
      <c r="Q284" s="193">
        <f>IF(AND(ISNUMBER(MATCH(F284,Datos!$D$3:$AL$3,0)),F284&lt;=RPT_MONTH),1,0)</f>
        <v>0</v>
      </c>
      <c r="R284" s="193" t="str">
        <f t="shared" si="30"/>
        <v>OUT_OF_SCOPE</v>
      </c>
    </row>
    <row r="285" spans="1:18" ht="13.5" customHeight="1" x14ac:dyDescent="0.3">
      <c r="A285" t="s">
        <v>1147</v>
      </c>
      <c r="B285" t="s">
        <v>1148</v>
      </c>
      <c r="C285" t="s">
        <v>1149</v>
      </c>
      <c r="D285">
        <v>1</v>
      </c>
      <c r="E285">
        <v>8</v>
      </c>
      <c r="F285" s="258">
        <f>DATE(YEAR(RPT_MONTH),MONTH(RPT_MONTH)-4,1)</f>
        <v>46174</v>
      </c>
      <c r="G285" s="193" t="str">
        <f t="shared" si="25"/>
        <v>Jun-26</v>
      </c>
      <c r="H285" s="193" t="str">
        <f>IFERROR(1*INDEX(BD_KPIs!$F$2:$F$1300,MATCH(YEAR(F285)*100+MONTH(F285)&amp;"|DPAS|Monthly",BD_KPIs!$Q$2:$Q$1300,0)),"")</f>
        <v/>
      </c>
      <c r="I285" s="193" t="str">
        <f>IF(ISNUMBER(INDEX(_TARGETS!$G$2:$G$17,MATCH("DPAS",_TARGETS!$A$2:$A$17,0))),INDEX(_TARGETS!$G$2:$G$17,MATCH("DPAS",_TARGETS!$A$2:$A$17,0)),"")</f>
        <v/>
      </c>
      <c r="J285" t="s">
        <v>1021</v>
      </c>
      <c r="K285" t="s">
        <v>1093</v>
      </c>
      <c r="L285" s="193" t="str">
        <f t="shared" si="26"/>
        <v>NO_DATA</v>
      </c>
      <c r="M285" s="193" t="str">
        <f t="shared" si="27"/>
        <v>Monthly</v>
      </c>
      <c r="N285" s="193" t="str">
        <f>IF(NOT(ISNUMBER(H285)),"NO_DATA",IF(NOT(ISNUMBER(I285)),"MONITOR",IF(INDEX(_TARGETS!$E$2:$E$17,MATCH("DPAS",_TARGETS!$A$2:$A$17,0))="≤",IF(H285&lt;=I285,"ON_TARGET","OFF_TARGET"),IF(H285&gt;=I285,"ON_TARGET","OFF_TARGET"))))</f>
        <v>NO_DATA</v>
      </c>
      <c r="O285" s="193" t="str">
        <f t="shared" si="29"/>
        <v>Compressor Plant</v>
      </c>
      <c r="P285" s="193" t="str">
        <f ca="1">IF(LEFT(Control!$C$10,4)="ROJO","RED",IF(LEFT(Control!$C$10,8)="AMARILLO","AMBER","GREEN"))</f>
        <v>RED</v>
      </c>
      <c r="Q285" s="193">
        <f>IF(AND(ISNUMBER(MATCH(F285,Datos!$D$3:$AL$3,0)),F285&lt;=RPT_MONTH),1,0)</f>
        <v>0</v>
      </c>
      <c r="R285" s="193" t="str">
        <f t="shared" si="30"/>
        <v>OUT_OF_SCOPE</v>
      </c>
    </row>
    <row r="286" spans="1:18" ht="13.5" customHeight="1" x14ac:dyDescent="0.3">
      <c r="A286" t="s">
        <v>1147</v>
      </c>
      <c r="B286" t="s">
        <v>1148</v>
      </c>
      <c r="C286" t="s">
        <v>1149</v>
      </c>
      <c r="D286">
        <v>1</v>
      </c>
      <c r="E286">
        <v>9</v>
      </c>
      <c r="F286" s="258">
        <f>DATE(YEAR(RPT_MONTH),MONTH(RPT_MONTH)-3,1)</f>
        <v>46204</v>
      </c>
      <c r="G286" s="193" t="str">
        <f t="shared" si="25"/>
        <v>Jul-26</v>
      </c>
      <c r="H286" s="193" t="str">
        <f>IFERROR(1*INDEX(BD_KPIs!$F$2:$F$1300,MATCH(YEAR(F286)*100+MONTH(F286)&amp;"|DPAS|Monthly",BD_KPIs!$Q$2:$Q$1300,0)),"")</f>
        <v/>
      </c>
      <c r="I286" s="193" t="str">
        <f>IF(ISNUMBER(INDEX(_TARGETS!$G$2:$G$17,MATCH("DPAS",_TARGETS!$A$2:$A$17,0))),INDEX(_TARGETS!$G$2:$G$17,MATCH("DPAS",_TARGETS!$A$2:$A$17,0)),"")</f>
        <v/>
      </c>
      <c r="J286" t="s">
        <v>1021</v>
      </c>
      <c r="K286" t="s">
        <v>1093</v>
      </c>
      <c r="L286" s="193" t="str">
        <f t="shared" si="26"/>
        <v>NO_DATA</v>
      </c>
      <c r="M286" s="193" t="str">
        <f t="shared" si="27"/>
        <v>Monthly</v>
      </c>
      <c r="N286" s="193" t="str">
        <f>IF(NOT(ISNUMBER(H286)),"NO_DATA",IF(NOT(ISNUMBER(I286)),"MONITOR",IF(INDEX(_TARGETS!$E$2:$E$17,MATCH("DPAS",_TARGETS!$A$2:$A$17,0))="≤",IF(H286&lt;=I286,"ON_TARGET","OFF_TARGET"),IF(H286&gt;=I286,"ON_TARGET","OFF_TARGET"))))</f>
        <v>NO_DATA</v>
      </c>
      <c r="O286" s="193" t="str">
        <f t="shared" si="29"/>
        <v>Compressor Plant</v>
      </c>
      <c r="P286" s="193" t="str">
        <f ca="1">IF(LEFT(Control!$C$10,4)="ROJO","RED",IF(LEFT(Control!$C$10,8)="AMARILLO","AMBER","GREEN"))</f>
        <v>RED</v>
      </c>
      <c r="Q286" s="193">
        <f>IF(AND(ISNUMBER(MATCH(F286,Datos!$D$3:$AL$3,0)),F286&lt;=RPT_MONTH),1,0)</f>
        <v>0</v>
      </c>
      <c r="R286" s="193" t="str">
        <f t="shared" si="30"/>
        <v>OUT_OF_SCOPE</v>
      </c>
    </row>
    <row r="287" spans="1:18" ht="13.5" customHeight="1" x14ac:dyDescent="0.3">
      <c r="A287" t="s">
        <v>1147</v>
      </c>
      <c r="B287" t="s">
        <v>1148</v>
      </c>
      <c r="C287" t="s">
        <v>1149</v>
      </c>
      <c r="D287">
        <v>1</v>
      </c>
      <c r="E287">
        <v>10</v>
      </c>
      <c r="F287" s="258">
        <f>DATE(YEAR(RPT_MONTH),MONTH(RPT_MONTH)-2,1)</f>
        <v>46235</v>
      </c>
      <c r="G287" s="193" t="str">
        <f t="shared" si="25"/>
        <v>Aug-26</v>
      </c>
      <c r="H287" s="193">
        <f>IFERROR(1*INDEX(BD_KPIs!$F$2:$F$1300,MATCH(YEAR(F287)*100+MONTH(F287)&amp;"|DPAS|Monthly",BD_KPIs!$Q$2:$Q$1300,0)),"")</f>
        <v>1.34615384615385</v>
      </c>
      <c r="I287" s="193" t="str">
        <f>IF(ISNUMBER(INDEX(_TARGETS!$G$2:$G$17,MATCH("DPAS",_TARGETS!$A$2:$A$17,0))),INDEX(_TARGETS!$G$2:$G$17,MATCH("DPAS",_TARGETS!$A$2:$A$17,0)),"")</f>
        <v/>
      </c>
      <c r="J287" t="s">
        <v>1021</v>
      </c>
      <c r="K287" t="s">
        <v>1093</v>
      </c>
      <c r="L287" s="193" t="str">
        <f t="shared" si="26"/>
        <v>OK</v>
      </c>
      <c r="M287" s="193" t="str">
        <f t="shared" si="27"/>
        <v>Monthly</v>
      </c>
      <c r="N287" s="193" t="str">
        <f>IF(NOT(ISNUMBER(H287)),"NO_DATA",IF(NOT(ISNUMBER(I287)),"MONITOR",IF(INDEX(_TARGETS!$E$2:$E$17,MATCH("DPAS",_TARGETS!$A$2:$A$17,0))="≤",IF(H287&lt;=I287,"ON_TARGET","OFF_TARGET"),IF(H287&gt;=I287,"ON_TARGET","OFF_TARGET"))))</f>
        <v>MONITOR</v>
      </c>
      <c r="O287" s="193" t="str">
        <f t="shared" si="29"/>
        <v>Compressor Plant</v>
      </c>
      <c r="P287" s="193" t="str">
        <f ca="1">IF(LEFT(Control!$C$10,4)="ROJO","RED",IF(LEFT(Control!$C$10,8)="AMARILLO","AMBER","GREEN"))</f>
        <v>RED</v>
      </c>
      <c r="Q287" s="193">
        <f>IF(AND(ISNUMBER(MATCH(F287,Datos!$D$3:$AL$3,0)),F287&lt;=RPT_MONTH),1,0)</f>
        <v>1</v>
      </c>
      <c r="R287" s="193" t="str">
        <f t="shared" si="30"/>
        <v>OK</v>
      </c>
    </row>
    <row r="288" spans="1:18" ht="13.5" customHeight="1" x14ac:dyDescent="0.3">
      <c r="A288" t="s">
        <v>1147</v>
      </c>
      <c r="B288" t="s">
        <v>1148</v>
      </c>
      <c r="C288" t="s">
        <v>1149</v>
      </c>
      <c r="D288">
        <v>1</v>
      </c>
      <c r="E288">
        <v>11</v>
      </c>
      <c r="F288" s="258">
        <f>DATE(YEAR(RPT_MONTH),MONTH(RPT_MONTH)-1,1)</f>
        <v>46266</v>
      </c>
      <c r="G288" s="193" t="str">
        <f t="shared" si="25"/>
        <v>Sep-26</v>
      </c>
      <c r="H288" s="193">
        <f>IFERROR(1*INDEX(BD_KPIs!$F$2:$F$1300,MATCH(YEAR(F288)*100+MONTH(F288)&amp;"|DPAS|Monthly",BD_KPIs!$Q$2:$Q$1300,0)),"")</f>
        <v>0.25</v>
      </c>
      <c r="I288" s="193" t="str">
        <f>IF(ISNUMBER(INDEX(_TARGETS!$G$2:$G$17,MATCH("DPAS",_TARGETS!$A$2:$A$17,0))),INDEX(_TARGETS!$G$2:$G$17,MATCH("DPAS",_TARGETS!$A$2:$A$17,0)),"")</f>
        <v/>
      </c>
      <c r="J288" t="s">
        <v>1021</v>
      </c>
      <c r="K288" t="s">
        <v>1093</v>
      </c>
      <c r="L288" s="193" t="str">
        <f t="shared" si="26"/>
        <v>OK</v>
      </c>
      <c r="M288" s="193" t="str">
        <f t="shared" si="27"/>
        <v>Monthly</v>
      </c>
      <c r="N288" s="193" t="str">
        <f>IF(NOT(ISNUMBER(H288)),"NO_DATA",IF(NOT(ISNUMBER(I288)),"MONITOR",IF(INDEX(_TARGETS!$E$2:$E$17,MATCH("DPAS",_TARGETS!$A$2:$A$17,0))="≤",IF(H288&lt;=I288,"ON_TARGET","OFF_TARGET"),IF(H288&gt;=I288,"ON_TARGET","OFF_TARGET"))))</f>
        <v>MONITOR</v>
      </c>
      <c r="O288" s="193" t="str">
        <f t="shared" si="29"/>
        <v>Compressor Plant</v>
      </c>
      <c r="P288" s="193" t="str">
        <f ca="1">IF(LEFT(Control!$C$10,4)="ROJO","RED",IF(LEFT(Control!$C$10,8)="AMARILLO","AMBER","GREEN"))</f>
        <v>RED</v>
      </c>
      <c r="Q288" s="193">
        <f>IF(AND(ISNUMBER(MATCH(F288,Datos!$D$3:$AL$3,0)),F288&lt;=RPT_MONTH),1,0)</f>
        <v>1</v>
      </c>
      <c r="R288" s="193" t="str">
        <f t="shared" si="30"/>
        <v>OK</v>
      </c>
    </row>
    <row r="289" spans="1:18" ht="13.5" customHeight="1" x14ac:dyDescent="0.3">
      <c r="A289" t="s">
        <v>1147</v>
      </c>
      <c r="B289" t="s">
        <v>1148</v>
      </c>
      <c r="C289" t="s">
        <v>1149</v>
      </c>
      <c r="D289">
        <v>1</v>
      </c>
      <c r="E289">
        <v>12</v>
      </c>
      <c r="F289" s="258">
        <f>DATE(YEAR(RPT_MONTH),MONTH(RPT_MONTH)-0,1)</f>
        <v>46296</v>
      </c>
      <c r="G289" s="193" t="str">
        <f t="shared" si="25"/>
        <v>Oct-26</v>
      </c>
      <c r="H289" s="193" t="str">
        <f>IFERROR(1*INDEX(BD_KPIs!$F$2:$F$1300,MATCH(YEAR(F289)*100+MONTH(F289)&amp;"|DPAS|Monthly",BD_KPIs!$Q$2:$Q$1300,0)),"")</f>
        <v/>
      </c>
      <c r="I289" s="193" t="str">
        <f>IF(ISNUMBER(INDEX(_TARGETS!$G$2:$G$17,MATCH("DPAS",_TARGETS!$A$2:$A$17,0))),INDEX(_TARGETS!$G$2:$G$17,MATCH("DPAS",_TARGETS!$A$2:$A$17,0)),"")</f>
        <v/>
      </c>
      <c r="J289" t="s">
        <v>1021</v>
      </c>
      <c r="K289" t="s">
        <v>1093</v>
      </c>
      <c r="L289" s="193" t="str">
        <f t="shared" si="26"/>
        <v>NO_DATA</v>
      </c>
      <c r="M289" s="193" t="str">
        <f t="shared" si="27"/>
        <v>Monthly</v>
      </c>
      <c r="N289" s="193" t="str">
        <f>IF(NOT(ISNUMBER(H289)),"NO_DATA",IF(NOT(ISNUMBER(I289)),"MONITOR",IF(INDEX(_TARGETS!$E$2:$E$17,MATCH("DPAS",_TARGETS!$A$2:$A$17,0))="≤",IF(H289&lt;=I289,"ON_TARGET","OFF_TARGET"),IF(H289&gt;=I289,"ON_TARGET","OFF_TARGET"))))</f>
        <v>NO_DATA</v>
      </c>
      <c r="O289" s="193" t="str">
        <f t="shared" si="29"/>
        <v>Compressor Plant</v>
      </c>
      <c r="P289" s="193" t="str">
        <f ca="1">IF(LEFT(Control!$C$10,4)="ROJO","RED",IF(LEFT(Control!$C$10,8)="AMARILLO","AMBER","GREEN"))</f>
        <v>RED</v>
      </c>
      <c r="Q289" s="193">
        <f>IF(AND(ISNUMBER(MATCH(F289,Datos!$D$3:$AL$3,0)),F289&lt;=RPT_MONTH),1,0)</f>
        <v>1</v>
      </c>
      <c r="R289" s="193" t="str">
        <f t="shared" si="30"/>
        <v>MISSING</v>
      </c>
    </row>
    <row r="290" spans="1:18" ht="13.5" customHeight="1" x14ac:dyDescent="0.3">
      <c r="A290" t="s">
        <v>1147</v>
      </c>
      <c r="B290" t="s">
        <v>1150</v>
      </c>
      <c r="C290" t="s">
        <v>1151</v>
      </c>
      <c r="D290">
        <v>2</v>
      </c>
      <c r="E290">
        <v>1</v>
      </c>
      <c r="F290" s="258">
        <f>DATE(YEAR(RPT_MONTH),MONTH(RPT_MONTH)-11,1)</f>
        <v>45962</v>
      </c>
      <c r="G290" s="193" t="str">
        <f t="shared" si="25"/>
        <v>Nov-25</v>
      </c>
      <c r="H290" s="193" t="str">
        <f>IFERROR(1*INDEX(BD_KPIs!$F$2:$F$1300,MATCH(YEAR(F290)*100+MONTH(F290)&amp;"|INV|Monthly",BD_KPIs!$Q$2:$Q$1300,0)),"")</f>
        <v/>
      </c>
      <c r="I290" s="193">
        <f>IF(ISNUMBER(INDEX(_TARGETS!$G$2:$G$17,MATCH("INV",_TARGETS!$A$2:$A$17,0))),INDEX(_TARGETS!$G$2:$G$17,MATCH("INV",_TARGETS!$A$2:$A$17,0)),"")</f>
        <v>20</v>
      </c>
      <c r="J290" t="s">
        <v>1021</v>
      </c>
      <c r="K290" t="s">
        <v>1093</v>
      </c>
      <c r="L290" s="193" t="str">
        <f t="shared" si="26"/>
        <v>NO_DATA</v>
      </c>
      <c r="M290" s="193" t="str">
        <f t="shared" si="27"/>
        <v>Monthly</v>
      </c>
      <c r="N290" s="193" t="str">
        <f>IF(NOT(ISNUMBER(H290)),"NO_DATA",IF(NOT(ISNUMBER(I290)),"MONITOR",IF(INDEX(_TARGETS!$E$2:$E$17,MATCH("INV",_TARGETS!$A$2:$A$17,0))="≤",IF(H290&lt;=I290,"ON_TARGET","OFF_TARGET"),IF(H290&gt;=I290,"ON_TARGET","OFF_TARGET"))))</f>
        <v>NO_DATA</v>
      </c>
      <c r="O290" s="193" t="str">
        <f t="shared" si="29"/>
        <v>Compressor Plant</v>
      </c>
      <c r="P290" s="193" t="str">
        <f ca="1">IF(LEFT(Control!$C$10,4)="ROJO","RED",IF(LEFT(Control!$C$10,8)="AMARILLO","AMBER","GREEN"))</f>
        <v>RED</v>
      </c>
      <c r="Q290" s="193">
        <f>IF(AND(ISNUMBER(MATCH(F290,Datos!$D$3:$AL$3,0)),F290&lt;=RPT_MONTH),1,0)</f>
        <v>0</v>
      </c>
      <c r="R290" s="193" t="str">
        <f t="shared" si="30"/>
        <v>OUT_OF_SCOPE</v>
      </c>
    </row>
    <row r="291" spans="1:18" ht="13.5" customHeight="1" x14ac:dyDescent="0.3">
      <c r="A291" t="s">
        <v>1147</v>
      </c>
      <c r="B291" t="s">
        <v>1150</v>
      </c>
      <c r="C291" t="s">
        <v>1151</v>
      </c>
      <c r="D291">
        <v>2</v>
      </c>
      <c r="E291">
        <v>2</v>
      </c>
      <c r="F291" s="258">
        <f>DATE(YEAR(RPT_MONTH),MONTH(RPT_MONTH)-10,1)</f>
        <v>45992</v>
      </c>
      <c r="G291" s="193" t="str">
        <f t="shared" si="25"/>
        <v>Dec-25</v>
      </c>
      <c r="H291" s="193" t="str">
        <f>IFERROR(1*INDEX(BD_KPIs!$F$2:$F$1300,MATCH(YEAR(F291)*100+MONTH(F291)&amp;"|INV|Monthly",BD_KPIs!$Q$2:$Q$1300,0)),"")</f>
        <v/>
      </c>
      <c r="I291" s="193">
        <f>IF(ISNUMBER(INDEX(_TARGETS!$G$2:$G$17,MATCH("INV",_TARGETS!$A$2:$A$17,0))),INDEX(_TARGETS!$G$2:$G$17,MATCH("INV",_TARGETS!$A$2:$A$17,0)),"")</f>
        <v>20</v>
      </c>
      <c r="J291" t="s">
        <v>1021</v>
      </c>
      <c r="K291" t="s">
        <v>1093</v>
      </c>
      <c r="L291" s="193" t="str">
        <f t="shared" si="26"/>
        <v>NO_DATA</v>
      </c>
      <c r="M291" s="193" t="str">
        <f t="shared" si="27"/>
        <v>Monthly</v>
      </c>
      <c r="N291" s="193" t="str">
        <f>IF(NOT(ISNUMBER(H291)),"NO_DATA",IF(NOT(ISNUMBER(I291)),"MONITOR",IF(INDEX(_TARGETS!$E$2:$E$17,MATCH("INV",_TARGETS!$A$2:$A$17,0))="≤",IF(H291&lt;=I291,"ON_TARGET","OFF_TARGET"),IF(H291&gt;=I291,"ON_TARGET","OFF_TARGET"))))</f>
        <v>NO_DATA</v>
      </c>
      <c r="O291" s="193" t="str">
        <f t="shared" si="29"/>
        <v>Compressor Plant</v>
      </c>
      <c r="P291" s="193" t="str">
        <f ca="1">IF(LEFT(Control!$C$10,4)="ROJO","RED",IF(LEFT(Control!$C$10,8)="AMARILLO","AMBER","GREEN"))</f>
        <v>RED</v>
      </c>
      <c r="Q291" s="193">
        <f>IF(AND(ISNUMBER(MATCH(F291,Datos!$D$3:$AL$3,0)),F291&lt;=RPT_MONTH),1,0)</f>
        <v>0</v>
      </c>
      <c r="R291" s="193" t="str">
        <f t="shared" si="30"/>
        <v>OUT_OF_SCOPE</v>
      </c>
    </row>
    <row r="292" spans="1:18" ht="13.5" customHeight="1" x14ac:dyDescent="0.3">
      <c r="A292" t="s">
        <v>1147</v>
      </c>
      <c r="B292" t="s">
        <v>1150</v>
      </c>
      <c r="C292" t="s">
        <v>1151</v>
      </c>
      <c r="D292">
        <v>2</v>
      </c>
      <c r="E292">
        <v>3</v>
      </c>
      <c r="F292" s="258">
        <f>DATE(YEAR(RPT_MONTH),MONTH(RPT_MONTH)-9,1)</f>
        <v>46023</v>
      </c>
      <c r="G292" s="193" t="str">
        <f t="shared" si="25"/>
        <v>Jan-26</v>
      </c>
      <c r="H292" s="193" t="str">
        <f>IFERROR(1*INDEX(BD_KPIs!$F$2:$F$1300,MATCH(YEAR(F292)*100+MONTH(F292)&amp;"|INV|Monthly",BD_KPIs!$Q$2:$Q$1300,0)),"")</f>
        <v/>
      </c>
      <c r="I292" s="193">
        <f>IF(ISNUMBER(INDEX(_TARGETS!$G$2:$G$17,MATCH("INV",_TARGETS!$A$2:$A$17,0))),INDEX(_TARGETS!$G$2:$G$17,MATCH("INV",_TARGETS!$A$2:$A$17,0)),"")</f>
        <v>20</v>
      </c>
      <c r="J292" t="s">
        <v>1021</v>
      </c>
      <c r="K292" t="s">
        <v>1093</v>
      </c>
      <c r="L292" s="193" t="str">
        <f t="shared" si="26"/>
        <v>NO_DATA</v>
      </c>
      <c r="M292" s="193" t="str">
        <f t="shared" si="27"/>
        <v>Monthly</v>
      </c>
      <c r="N292" s="193" t="str">
        <f>IF(NOT(ISNUMBER(H292)),"NO_DATA",IF(NOT(ISNUMBER(I292)),"MONITOR",IF(INDEX(_TARGETS!$E$2:$E$17,MATCH("INV",_TARGETS!$A$2:$A$17,0))="≤",IF(H292&lt;=I292,"ON_TARGET","OFF_TARGET"),IF(H292&gt;=I292,"ON_TARGET","OFF_TARGET"))))</f>
        <v>NO_DATA</v>
      </c>
      <c r="O292" s="193" t="str">
        <f t="shared" si="29"/>
        <v>Compressor Plant</v>
      </c>
      <c r="P292" s="193" t="str">
        <f ca="1">IF(LEFT(Control!$C$10,4)="ROJO","RED",IF(LEFT(Control!$C$10,8)="AMARILLO","AMBER","GREEN"))</f>
        <v>RED</v>
      </c>
      <c r="Q292" s="193">
        <f>IF(AND(ISNUMBER(MATCH(F292,Datos!$D$3:$AL$3,0)),F292&lt;=RPT_MONTH),1,0)</f>
        <v>0</v>
      </c>
      <c r="R292" s="193" t="str">
        <f t="shared" si="30"/>
        <v>OUT_OF_SCOPE</v>
      </c>
    </row>
    <row r="293" spans="1:18" ht="13.5" customHeight="1" x14ac:dyDescent="0.3">
      <c r="A293" t="s">
        <v>1147</v>
      </c>
      <c r="B293" t="s">
        <v>1150</v>
      </c>
      <c r="C293" t="s">
        <v>1151</v>
      </c>
      <c r="D293">
        <v>2</v>
      </c>
      <c r="E293">
        <v>4</v>
      </c>
      <c r="F293" s="258">
        <f>DATE(YEAR(RPT_MONTH),MONTH(RPT_MONTH)-8,1)</f>
        <v>46054</v>
      </c>
      <c r="G293" s="193" t="str">
        <f t="shared" si="25"/>
        <v>Feb-26</v>
      </c>
      <c r="H293" s="193" t="str">
        <f>IFERROR(1*INDEX(BD_KPIs!$F$2:$F$1300,MATCH(YEAR(F293)*100+MONTH(F293)&amp;"|INV|Monthly",BD_KPIs!$Q$2:$Q$1300,0)),"")</f>
        <v/>
      </c>
      <c r="I293" s="193">
        <f>IF(ISNUMBER(INDEX(_TARGETS!$G$2:$G$17,MATCH("INV",_TARGETS!$A$2:$A$17,0))),INDEX(_TARGETS!$G$2:$G$17,MATCH("INV",_TARGETS!$A$2:$A$17,0)),"")</f>
        <v>20</v>
      </c>
      <c r="J293" t="s">
        <v>1021</v>
      </c>
      <c r="K293" t="s">
        <v>1093</v>
      </c>
      <c r="L293" s="193" t="str">
        <f t="shared" si="26"/>
        <v>NO_DATA</v>
      </c>
      <c r="M293" s="193" t="str">
        <f t="shared" si="27"/>
        <v>Monthly</v>
      </c>
      <c r="N293" s="193" t="str">
        <f>IF(NOT(ISNUMBER(H293)),"NO_DATA",IF(NOT(ISNUMBER(I293)),"MONITOR",IF(INDEX(_TARGETS!$E$2:$E$17,MATCH("INV",_TARGETS!$A$2:$A$17,0))="≤",IF(H293&lt;=I293,"ON_TARGET","OFF_TARGET"),IF(H293&gt;=I293,"ON_TARGET","OFF_TARGET"))))</f>
        <v>NO_DATA</v>
      </c>
      <c r="O293" s="193" t="str">
        <f t="shared" si="29"/>
        <v>Compressor Plant</v>
      </c>
      <c r="P293" s="193" t="str">
        <f ca="1">IF(LEFT(Control!$C$10,4)="ROJO","RED",IF(LEFT(Control!$C$10,8)="AMARILLO","AMBER","GREEN"))</f>
        <v>RED</v>
      </c>
      <c r="Q293" s="193">
        <f>IF(AND(ISNUMBER(MATCH(F293,Datos!$D$3:$AL$3,0)),F293&lt;=RPT_MONTH),1,0)</f>
        <v>0</v>
      </c>
      <c r="R293" s="193" t="str">
        <f t="shared" si="30"/>
        <v>OUT_OF_SCOPE</v>
      </c>
    </row>
    <row r="294" spans="1:18" ht="13.5" customHeight="1" x14ac:dyDescent="0.3">
      <c r="A294" t="s">
        <v>1147</v>
      </c>
      <c r="B294" t="s">
        <v>1150</v>
      </c>
      <c r="C294" t="s">
        <v>1151</v>
      </c>
      <c r="D294">
        <v>2</v>
      </c>
      <c r="E294">
        <v>5</v>
      </c>
      <c r="F294" s="258">
        <f>DATE(YEAR(RPT_MONTH),MONTH(RPT_MONTH)-7,1)</f>
        <v>46082</v>
      </c>
      <c r="G294" s="193" t="str">
        <f t="shared" si="25"/>
        <v>Mar-26</v>
      </c>
      <c r="H294" s="193" t="str">
        <f>IFERROR(1*INDEX(BD_KPIs!$F$2:$F$1300,MATCH(YEAR(F294)*100+MONTH(F294)&amp;"|INV|Monthly",BD_KPIs!$Q$2:$Q$1300,0)),"")</f>
        <v/>
      </c>
      <c r="I294" s="193">
        <f>IF(ISNUMBER(INDEX(_TARGETS!$G$2:$G$17,MATCH("INV",_TARGETS!$A$2:$A$17,0))),INDEX(_TARGETS!$G$2:$G$17,MATCH("INV",_TARGETS!$A$2:$A$17,0)),"")</f>
        <v>20</v>
      </c>
      <c r="J294" t="s">
        <v>1021</v>
      </c>
      <c r="K294" t="s">
        <v>1093</v>
      </c>
      <c r="L294" s="193" t="str">
        <f t="shared" si="26"/>
        <v>NO_DATA</v>
      </c>
      <c r="M294" s="193" t="str">
        <f t="shared" si="27"/>
        <v>Monthly</v>
      </c>
      <c r="N294" s="193" t="str">
        <f>IF(NOT(ISNUMBER(H294)),"NO_DATA",IF(NOT(ISNUMBER(I294)),"MONITOR",IF(INDEX(_TARGETS!$E$2:$E$17,MATCH("INV",_TARGETS!$A$2:$A$17,0))="≤",IF(H294&lt;=I294,"ON_TARGET","OFF_TARGET"),IF(H294&gt;=I294,"ON_TARGET","OFF_TARGET"))))</f>
        <v>NO_DATA</v>
      </c>
      <c r="O294" s="193" t="str">
        <f t="shared" si="29"/>
        <v>Compressor Plant</v>
      </c>
      <c r="P294" s="193" t="str">
        <f ca="1">IF(LEFT(Control!$C$10,4)="ROJO","RED",IF(LEFT(Control!$C$10,8)="AMARILLO","AMBER","GREEN"))</f>
        <v>RED</v>
      </c>
      <c r="Q294" s="193">
        <f>IF(AND(ISNUMBER(MATCH(F294,Datos!$D$3:$AL$3,0)),F294&lt;=RPT_MONTH),1,0)</f>
        <v>0</v>
      </c>
      <c r="R294" s="193" t="str">
        <f t="shared" si="30"/>
        <v>OUT_OF_SCOPE</v>
      </c>
    </row>
    <row r="295" spans="1:18" ht="13.5" customHeight="1" x14ac:dyDescent="0.3">
      <c r="A295" t="s">
        <v>1147</v>
      </c>
      <c r="B295" t="s">
        <v>1150</v>
      </c>
      <c r="C295" t="s">
        <v>1151</v>
      </c>
      <c r="D295">
        <v>2</v>
      </c>
      <c r="E295">
        <v>6</v>
      </c>
      <c r="F295" s="258">
        <f>DATE(YEAR(RPT_MONTH),MONTH(RPT_MONTH)-6,1)</f>
        <v>46113</v>
      </c>
      <c r="G295" s="193" t="str">
        <f t="shared" si="25"/>
        <v>Apr-26</v>
      </c>
      <c r="H295" s="193" t="str">
        <f>IFERROR(1*INDEX(BD_KPIs!$F$2:$F$1300,MATCH(YEAR(F295)*100+MONTH(F295)&amp;"|INV|Monthly",BD_KPIs!$Q$2:$Q$1300,0)),"")</f>
        <v/>
      </c>
      <c r="I295" s="193">
        <f>IF(ISNUMBER(INDEX(_TARGETS!$G$2:$G$17,MATCH("INV",_TARGETS!$A$2:$A$17,0))),INDEX(_TARGETS!$G$2:$G$17,MATCH("INV",_TARGETS!$A$2:$A$17,0)),"")</f>
        <v>20</v>
      </c>
      <c r="J295" t="s">
        <v>1021</v>
      </c>
      <c r="K295" t="s">
        <v>1093</v>
      </c>
      <c r="L295" s="193" t="str">
        <f t="shared" si="26"/>
        <v>NO_DATA</v>
      </c>
      <c r="M295" s="193" t="str">
        <f t="shared" si="27"/>
        <v>Monthly</v>
      </c>
      <c r="N295" s="193" t="str">
        <f>IF(NOT(ISNUMBER(H295)),"NO_DATA",IF(NOT(ISNUMBER(I295)),"MONITOR",IF(INDEX(_TARGETS!$E$2:$E$17,MATCH("INV",_TARGETS!$A$2:$A$17,0))="≤",IF(H295&lt;=I295,"ON_TARGET","OFF_TARGET"),IF(H295&gt;=I295,"ON_TARGET","OFF_TARGET"))))</f>
        <v>NO_DATA</v>
      </c>
      <c r="O295" s="193" t="str">
        <f t="shared" si="29"/>
        <v>Compressor Plant</v>
      </c>
      <c r="P295" s="193" t="str">
        <f ca="1">IF(LEFT(Control!$C$10,4)="ROJO","RED",IF(LEFT(Control!$C$10,8)="AMARILLO","AMBER","GREEN"))</f>
        <v>RED</v>
      </c>
      <c r="Q295" s="193">
        <f>IF(AND(ISNUMBER(MATCH(F295,Datos!$D$3:$AL$3,0)),F295&lt;=RPT_MONTH),1,0)</f>
        <v>0</v>
      </c>
      <c r="R295" s="193" t="str">
        <f t="shared" si="30"/>
        <v>OUT_OF_SCOPE</v>
      </c>
    </row>
    <row r="296" spans="1:18" ht="13.5" customHeight="1" x14ac:dyDescent="0.3">
      <c r="A296" t="s">
        <v>1147</v>
      </c>
      <c r="B296" t="s">
        <v>1150</v>
      </c>
      <c r="C296" t="s">
        <v>1151</v>
      </c>
      <c r="D296">
        <v>2</v>
      </c>
      <c r="E296">
        <v>7</v>
      </c>
      <c r="F296" s="258">
        <f>DATE(YEAR(RPT_MONTH),MONTH(RPT_MONTH)-5,1)</f>
        <v>46143</v>
      </c>
      <c r="G296" s="193" t="str">
        <f t="shared" si="25"/>
        <v>May-26</v>
      </c>
      <c r="H296" s="193" t="str">
        <f>IFERROR(1*INDEX(BD_KPIs!$F$2:$F$1300,MATCH(YEAR(F296)*100+MONTH(F296)&amp;"|INV|Monthly",BD_KPIs!$Q$2:$Q$1300,0)),"")</f>
        <v/>
      </c>
      <c r="I296" s="193">
        <f>IF(ISNUMBER(INDEX(_TARGETS!$G$2:$G$17,MATCH("INV",_TARGETS!$A$2:$A$17,0))),INDEX(_TARGETS!$G$2:$G$17,MATCH("INV",_TARGETS!$A$2:$A$17,0)),"")</f>
        <v>20</v>
      </c>
      <c r="J296" t="s">
        <v>1021</v>
      </c>
      <c r="K296" t="s">
        <v>1093</v>
      </c>
      <c r="L296" s="193" t="str">
        <f t="shared" si="26"/>
        <v>NO_DATA</v>
      </c>
      <c r="M296" s="193" t="str">
        <f t="shared" si="27"/>
        <v>Monthly</v>
      </c>
      <c r="N296" s="193" t="str">
        <f>IF(NOT(ISNUMBER(H296)),"NO_DATA",IF(NOT(ISNUMBER(I296)),"MONITOR",IF(INDEX(_TARGETS!$E$2:$E$17,MATCH("INV",_TARGETS!$A$2:$A$17,0))="≤",IF(H296&lt;=I296,"ON_TARGET","OFF_TARGET"),IF(H296&gt;=I296,"ON_TARGET","OFF_TARGET"))))</f>
        <v>NO_DATA</v>
      </c>
      <c r="O296" s="193" t="str">
        <f t="shared" si="29"/>
        <v>Compressor Plant</v>
      </c>
      <c r="P296" s="193" t="str">
        <f ca="1">IF(LEFT(Control!$C$10,4)="ROJO","RED",IF(LEFT(Control!$C$10,8)="AMARILLO","AMBER","GREEN"))</f>
        <v>RED</v>
      </c>
      <c r="Q296" s="193">
        <f>IF(AND(ISNUMBER(MATCH(F296,Datos!$D$3:$AL$3,0)),F296&lt;=RPT_MONTH),1,0)</f>
        <v>0</v>
      </c>
      <c r="R296" s="193" t="str">
        <f t="shared" si="30"/>
        <v>OUT_OF_SCOPE</v>
      </c>
    </row>
    <row r="297" spans="1:18" ht="13.5" customHeight="1" x14ac:dyDescent="0.3">
      <c r="A297" t="s">
        <v>1147</v>
      </c>
      <c r="B297" t="s">
        <v>1150</v>
      </c>
      <c r="C297" t="s">
        <v>1151</v>
      </c>
      <c r="D297">
        <v>2</v>
      </c>
      <c r="E297">
        <v>8</v>
      </c>
      <c r="F297" s="258">
        <f>DATE(YEAR(RPT_MONTH),MONTH(RPT_MONTH)-4,1)</f>
        <v>46174</v>
      </c>
      <c r="G297" s="193" t="str">
        <f t="shared" si="25"/>
        <v>Jun-26</v>
      </c>
      <c r="H297" s="193" t="str">
        <f>IFERROR(1*INDEX(BD_KPIs!$F$2:$F$1300,MATCH(YEAR(F297)*100+MONTH(F297)&amp;"|INV|Monthly",BD_KPIs!$Q$2:$Q$1300,0)),"")</f>
        <v/>
      </c>
      <c r="I297" s="193">
        <f>IF(ISNUMBER(INDEX(_TARGETS!$G$2:$G$17,MATCH("INV",_TARGETS!$A$2:$A$17,0))),INDEX(_TARGETS!$G$2:$G$17,MATCH("INV",_TARGETS!$A$2:$A$17,0)),"")</f>
        <v>20</v>
      </c>
      <c r="J297" t="s">
        <v>1021</v>
      </c>
      <c r="K297" t="s">
        <v>1093</v>
      </c>
      <c r="L297" s="193" t="str">
        <f t="shared" si="26"/>
        <v>NO_DATA</v>
      </c>
      <c r="M297" s="193" t="str">
        <f t="shared" si="27"/>
        <v>Monthly</v>
      </c>
      <c r="N297" s="193" t="str">
        <f>IF(NOT(ISNUMBER(H297)),"NO_DATA",IF(NOT(ISNUMBER(I297)),"MONITOR",IF(INDEX(_TARGETS!$E$2:$E$17,MATCH("INV",_TARGETS!$A$2:$A$17,0))="≤",IF(H297&lt;=I297,"ON_TARGET","OFF_TARGET"),IF(H297&gt;=I297,"ON_TARGET","OFF_TARGET"))))</f>
        <v>NO_DATA</v>
      </c>
      <c r="O297" s="193" t="str">
        <f t="shared" si="29"/>
        <v>Compressor Plant</v>
      </c>
      <c r="P297" s="193" t="str">
        <f ca="1">IF(LEFT(Control!$C$10,4)="ROJO","RED",IF(LEFT(Control!$C$10,8)="AMARILLO","AMBER","GREEN"))</f>
        <v>RED</v>
      </c>
      <c r="Q297" s="193">
        <f>IF(AND(ISNUMBER(MATCH(F297,Datos!$D$3:$AL$3,0)),F297&lt;=RPT_MONTH),1,0)</f>
        <v>0</v>
      </c>
      <c r="R297" s="193" t="str">
        <f t="shared" si="30"/>
        <v>OUT_OF_SCOPE</v>
      </c>
    </row>
    <row r="298" spans="1:18" ht="13.5" customHeight="1" x14ac:dyDescent="0.3">
      <c r="A298" t="s">
        <v>1147</v>
      </c>
      <c r="B298" t="s">
        <v>1150</v>
      </c>
      <c r="C298" t="s">
        <v>1151</v>
      </c>
      <c r="D298">
        <v>2</v>
      </c>
      <c r="E298">
        <v>9</v>
      </c>
      <c r="F298" s="258">
        <f>DATE(YEAR(RPT_MONTH),MONTH(RPT_MONTH)-3,1)</f>
        <v>46204</v>
      </c>
      <c r="G298" s="193" t="str">
        <f t="shared" si="25"/>
        <v>Jul-26</v>
      </c>
      <c r="H298" s="193" t="str">
        <f>IFERROR(1*INDEX(BD_KPIs!$F$2:$F$1300,MATCH(YEAR(F298)*100+MONTH(F298)&amp;"|INV|Monthly",BD_KPIs!$Q$2:$Q$1300,0)),"")</f>
        <v/>
      </c>
      <c r="I298" s="193">
        <f>IF(ISNUMBER(INDEX(_TARGETS!$G$2:$G$17,MATCH("INV",_TARGETS!$A$2:$A$17,0))),INDEX(_TARGETS!$G$2:$G$17,MATCH("INV",_TARGETS!$A$2:$A$17,0)),"")</f>
        <v>20</v>
      </c>
      <c r="J298" t="s">
        <v>1021</v>
      </c>
      <c r="K298" t="s">
        <v>1093</v>
      </c>
      <c r="L298" s="193" t="str">
        <f t="shared" si="26"/>
        <v>NO_DATA</v>
      </c>
      <c r="M298" s="193" t="str">
        <f t="shared" si="27"/>
        <v>Monthly</v>
      </c>
      <c r="N298" s="193" t="str">
        <f>IF(NOT(ISNUMBER(H298)),"NO_DATA",IF(NOT(ISNUMBER(I298)),"MONITOR",IF(INDEX(_TARGETS!$E$2:$E$17,MATCH("INV",_TARGETS!$A$2:$A$17,0))="≤",IF(H298&lt;=I298,"ON_TARGET","OFF_TARGET"),IF(H298&gt;=I298,"ON_TARGET","OFF_TARGET"))))</f>
        <v>NO_DATA</v>
      </c>
      <c r="O298" s="193" t="str">
        <f t="shared" si="29"/>
        <v>Compressor Plant</v>
      </c>
      <c r="P298" s="193" t="str">
        <f ca="1">IF(LEFT(Control!$C$10,4)="ROJO","RED",IF(LEFT(Control!$C$10,8)="AMARILLO","AMBER","GREEN"))</f>
        <v>RED</v>
      </c>
      <c r="Q298" s="193">
        <f>IF(AND(ISNUMBER(MATCH(F298,Datos!$D$3:$AL$3,0)),F298&lt;=RPT_MONTH),1,0)</f>
        <v>0</v>
      </c>
      <c r="R298" s="193" t="str">
        <f t="shared" si="30"/>
        <v>OUT_OF_SCOPE</v>
      </c>
    </row>
    <row r="299" spans="1:18" ht="13.5" customHeight="1" x14ac:dyDescent="0.3">
      <c r="A299" t="s">
        <v>1147</v>
      </c>
      <c r="B299" t="s">
        <v>1150</v>
      </c>
      <c r="C299" t="s">
        <v>1151</v>
      </c>
      <c r="D299">
        <v>2</v>
      </c>
      <c r="E299">
        <v>10</v>
      </c>
      <c r="F299" s="258">
        <f>DATE(YEAR(RPT_MONTH),MONTH(RPT_MONTH)-2,1)</f>
        <v>46235</v>
      </c>
      <c r="G299" s="193" t="str">
        <f t="shared" si="25"/>
        <v>Aug-26</v>
      </c>
      <c r="H299" s="193" t="str">
        <f>IFERROR(1*INDEX(BD_KPIs!$F$2:$F$1300,MATCH(YEAR(F299)*100+MONTH(F299)&amp;"|INV|Monthly",BD_KPIs!$Q$2:$Q$1300,0)),"")</f>
        <v/>
      </c>
      <c r="I299" s="193">
        <f>IF(ISNUMBER(INDEX(_TARGETS!$G$2:$G$17,MATCH("INV",_TARGETS!$A$2:$A$17,0))),INDEX(_TARGETS!$G$2:$G$17,MATCH("INV",_TARGETS!$A$2:$A$17,0)),"")</f>
        <v>20</v>
      </c>
      <c r="J299" t="s">
        <v>1021</v>
      </c>
      <c r="K299" t="s">
        <v>1093</v>
      </c>
      <c r="L299" s="193" t="str">
        <f t="shared" si="26"/>
        <v>NO_DATA</v>
      </c>
      <c r="M299" s="193" t="str">
        <f t="shared" si="27"/>
        <v>Monthly</v>
      </c>
      <c r="N299" s="193" t="str">
        <f>IF(NOT(ISNUMBER(H299)),"NO_DATA",IF(NOT(ISNUMBER(I299)),"MONITOR",IF(INDEX(_TARGETS!$E$2:$E$17,MATCH("INV",_TARGETS!$A$2:$A$17,0))="≤",IF(H299&lt;=I299,"ON_TARGET","OFF_TARGET"),IF(H299&gt;=I299,"ON_TARGET","OFF_TARGET"))))</f>
        <v>NO_DATA</v>
      </c>
      <c r="O299" s="193" t="str">
        <f t="shared" si="29"/>
        <v>Compressor Plant</v>
      </c>
      <c r="P299" s="193" t="str">
        <f ca="1">IF(LEFT(Control!$C$10,4)="ROJO","RED",IF(LEFT(Control!$C$10,8)="AMARILLO","AMBER","GREEN"))</f>
        <v>RED</v>
      </c>
      <c r="Q299" s="193">
        <f>IF(AND(ISNUMBER(MATCH(F299,Datos!$D$3:$AL$3,0)),F299&lt;=RPT_MONTH),1,0)</f>
        <v>1</v>
      </c>
      <c r="R299" s="193" t="str">
        <f t="shared" si="30"/>
        <v>MISSING</v>
      </c>
    </row>
    <row r="300" spans="1:18" ht="13.5" customHeight="1" x14ac:dyDescent="0.3">
      <c r="A300" t="s">
        <v>1147</v>
      </c>
      <c r="B300" t="s">
        <v>1150</v>
      </c>
      <c r="C300" t="s">
        <v>1151</v>
      </c>
      <c r="D300">
        <v>2</v>
      </c>
      <c r="E300">
        <v>11</v>
      </c>
      <c r="F300" s="258">
        <f>DATE(YEAR(RPT_MONTH),MONTH(RPT_MONTH)-1,1)</f>
        <v>46266</v>
      </c>
      <c r="G300" s="193" t="str">
        <f t="shared" si="25"/>
        <v>Sep-26</v>
      </c>
      <c r="H300" s="193" t="str">
        <f>IFERROR(1*INDEX(BD_KPIs!$F$2:$F$1300,MATCH(YEAR(F300)*100+MONTH(F300)&amp;"|INV|Monthly",BD_KPIs!$Q$2:$Q$1300,0)),"")</f>
        <v/>
      </c>
      <c r="I300" s="193">
        <f>IF(ISNUMBER(INDEX(_TARGETS!$G$2:$G$17,MATCH("INV",_TARGETS!$A$2:$A$17,0))),INDEX(_TARGETS!$G$2:$G$17,MATCH("INV",_TARGETS!$A$2:$A$17,0)),"")</f>
        <v>20</v>
      </c>
      <c r="J300" t="s">
        <v>1021</v>
      </c>
      <c r="K300" t="s">
        <v>1093</v>
      </c>
      <c r="L300" s="193" t="str">
        <f t="shared" si="26"/>
        <v>NO_DATA</v>
      </c>
      <c r="M300" s="193" t="str">
        <f t="shared" si="27"/>
        <v>Monthly</v>
      </c>
      <c r="N300" s="193" t="str">
        <f>IF(NOT(ISNUMBER(H300)),"NO_DATA",IF(NOT(ISNUMBER(I300)),"MONITOR",IF(INDEX(_TARGETS!$E$2:$E$17,MATCH("INV",_TARGETS!$A$2:$A$17,0))="≤",IF(H300&lt;=I300,"ON_TARGET","OFF_TARGET"),IF(H300&gt;=I300,"ON_TARGET","OFF_TARGET"))))</f>
        <v>NO_DATA</v>
      </c>
      <c r="O300" s="193" t="str">
        <f t="shared" si="29"/>
        <v>Compressor Plant</v>
      </c>
      <c r="P300" s="193" t="str">
        <f ca="1">IF(LEFT(Control!$C$10,4)="ROJO","RED",IF(LEFT(Control!$C$10,8)="AMARILLO","AMBER","GREEN"))</f>
        <v>RED</v>
      </c>
      <c r="Q300" s="193">
        <f>IF(AND(ISNUMBER(MATCH(F300,Datos!$D$3:$AL$3,0)),F300&lt;=RPT_MONTH),1,0)</f>
        <v>1</v>
      </c>
      <c r="R300" s="193" t="str">
        <f t="shared" si="30"/>
        <v>MISSING</v>
      </c>
    </row>
    <row r="301" spans="1:18" ht="13.5" customHeight="1" x14ac:dyDescent="0.3">
      <c r="A301" t="s">
        <v>1147</v>
      </c>
      <c r="B301" t="s">
        <v>1150</v>
      </c>
      <c r="C301" t="s">
        <v>1151</v>
      </c>
      <c r="D301">
        <v>2</v>
      </c>
      <c r="E301">
        <v>12</v>
      </c>
      <c r="F301" s="258">
        <f>DATE(YEAR(RPT_MONTH),MONTH(RPT_MONTH)-0,1)</f>
        <v>46296</v>
      </c>
      <c r="G301" s="193" t="str">
        <f t="shared" si="25"/>
        <v>Oct-26</v>
      </c>
      <c r="H301" s="193" t="str">
        <f>IFERROR(1*INDEX(BD_KPIs!$F$2:$F$1300,MATCH(YEAR(F301)*100+MONTH(F301)&amp;"|INV|Monthly",BD_KPIs!$Q$2:$Q$1300,0)),"")</f>
        <v/>
      </c>
      <c r="I301" s="193">
        <f>IF(ISNUMBER(INDEX(_TARGETS!$G$2:$G$17,MATCH("INV",_TARGETS!$A$2:$A$17,0))),INDEX(_TARGETS!$G$2:$G$17,MATCH("INV",_TARGETS!$A$2:$A$17,0)),"")</f>
        <v>20</v>
      </c>
      <c r="J301" t="s">
        <v>1021</v>
      </c>
      <c r="K301" t="s">
        <v>1093</v>
      </c>
      <c r="L301" s="193" t="str">
        <f t="shared" si="26"/>
        <v>NO_DATA</v>
      </c>
      <c r="M301" s="193" t="str">
        <f t="shared" si="27"/>
        <v>Monthly</v>
      </c>
      <c r="N301" s="193" t="str">
        <f>IF(NOT(ISNUMBER(H301)),"NO_DATA",IF(NOT(ISNUMBER(I301)),"MONITOR",IF(INDEX(_TARGETS!$E$2:$E$17,MATCH("INV",_TARGETS!$A$2:$A$17,0))="≤",IF(H301&lt;=I301,"ON_TARGET","OFF_TARGET"),IF(H301&gt;=I301,"ON_TARGET","OFF_TARGET"))))</f>
        <v>NO_DATA</v>
      </c>
      <c r="O301" s="193" t="str">
        <f t="shared" si="29"/>
        <v>Compressor Plant</v>
      </c>
      <c r="P301" s="193" t="str">
        <f ca="1">IF(LEFT(Control!$C$10,4)="ROJO","RED",IF(LEFT(Control!$C$10,8)="AMARILLO","AMBER","GREEN"))</f>
        <v>RED</v>
      </c>
      <c r="Q301" s="193">
        <f>IF(AND(ISNUMBER(MATCH(F301,Datos!$D$3:$AL$3,0)),F301&lt;=RPT_MONTH),1,0)</f>
        <v>1</v>
      </c>
      <c r="R301" s="193" t="str">
        <f t="shared" si="30"/>
        <v>MISSING</v>
      </c>
    </row>
    <row r="302" spans="1:18" ht="13.5" customHeight="1" x14ac:dyDescent="0.3">
      <c r="A302" t="s">
        <v>1152</v>
      </c>
      <c r="B302" t="s">
        <v>1153</v>
      </c>
      <c r="C302" t="s">
        <v>1074</v>
      </c>
      <c r="D302">
        <v>1</v>
      </c>
      <c r="E302">
        <v>1</v>
      </c>
      <c r="F302" s="258">
        <f>DATE(YEAR(RPT_MONTH),MONTH(RPT_MONTH)-11,1)</f>
        <v>45962</v>
      </c>
      <c r="G302" s="193" t="str">
        <f t="shared" si="25"/>
        <v>Nov-25</v>
      </c>
      <c r="H302" s="193" t="str">
        <f>IFERROR(IF(OR(COUNT('Observaciones-SMP'!$B$2:$B$1001)=0,F302&lt;DATE(YEAR(MIN('Observaciones-SMP'!$B$2:$B$1001)),MONTH(MIN('Observaciones-SMP'!$B$2:$B$1001)),1),F302&gt;RPT_MONTH),"",INDEX(Datos!$D$76:$AL$76,MATCH(F302,Datos!$D$3:$AL$3,0))),"")</f>
        <v/>
      </c>
      <c r="J302" t="s">
        <v>1134</v>
      </c>
      <c r="K302" t="s">
        <v>1115</v>
      </c>
      <c r="L302" s="193" t="str">
        <f t="shared" si="26"/>
        <v>NO_DATA</v>
      </c>
      <c r="M302" s="193" t="str">
        <f t="shared" si="27"/>
        <v>Month-end</v>
      </c>
      <c r="N302" s="193" t="str">
        <f t="shared" ref="N302:N313" si="31">IF(ISNUMBER(H302),"CONTEXT","NO_DATA")</f>
        <v>NO_DATA</v>
      </c>
      <c r="O302" s="193" t="str">
        <f t="shared" si="29"/>
        <v>Compressor Plant</v>
      </c>
      <c r="P302" s="193" t="str">
        <f ca="1">IF(LEFT(Control!$C$10,4)="ROJO","RED",IF(LEFT(Control!$C$10,8)="AMARILLO","AMBER","GREEN"))</f>
        <v>RED</v>
      </c>
      <c r="Q302" s="193">
        <f>IF(OR(COUNT('Observaciones-SMP'!$B$2:$B$1001)=0,F302&lt;DATE(YEAR(MIN('Observaciones-SMP'!$B$2:$B$1001)),MONTH(MIN('Observaciones-SMP'!$B$2:$B$1001)),1),F302&gt;RPT_MONTH,ISNA(MATCH(F302,Datos!$D$3:$AL$3,0))),0,1)</f>
        <v>0</v>
      </c>
      <c r="R302" s="193" t="str">
        <f t="shared" si="30"/>
        <v>OUT_OF_SCOPE</v>
      </c>
    </row>
    <row r="303" spans="1:18" ht="13.5" customHeight="1" x14ac:dyDescent="0.3">
      <c r="A303" t="s">
        <v>1152</v>
      </c>
      <c r="B303" t="s">
        <v>1153</v>
      </c>
      <c r="C303" t="s">
        <v>1074</v>
      </c>
      <c r="D303">
        <v>1</v>
      </c>
      <c r="E303">
        <v>2</v>
      </c>
      <c r="F303" s="258">
        <f>DATE(YEAR(RPT_MONTH),MONTH(RPT_MONTH)-10,1)</f>
        <v>45992</v>
      </c>
      <c r="G303" s="193" t="str">
        <f t="shared" si="25"/>
        <v>Dec-25</v>
      </c>
      <c r="H303" s="193" t="str">
        <f>IFERROR(IF(OR(COUNT('Observaciones-SMP'!$B$2:$B$1001)=0,F303&lt;DATE(YEAR(MIN('Observaciones-SMP'!$B$2:$B$1001)),MONTH(MIN('Observaciones-SMP'!$B$2:$B$1001)),1),F303&gt;RPT_MONTH),"",INDEX(Datos!$D$76:$AL$76,MATCH(F303,Datos!$D$3:$AL$3,0))),"")</f>
        <v/>
      </c>
      <c r="J303" t="s">
        <v>1134</v>
      </c>
      <c r="K303" t="s">
        <v>1115</v>
      </c>
      <c r="L303" s="193" t="str">
        <f t="shared" si="26"/>
        <v>NO_DATA</v>
      </c>
      <c r="M303" s="193" t="str">
        <f t="shared" si="27"/>
        <v>Month-end</v>
      </c>
      <c r="N303" s="193" t="str">
        <f t="shared" si="31"/>
        <v>NO_DATA</v>
      </c>
      <c r="O303" s="193" t="str">
        <f t="shared" si="29"/>
        <v>Compressor Plant</v>
      </c>
      <c r="P303" s="193" t="str">
        <f ca="1">IF(LEFT(Control!$C$10,4)="ROJO","RED",IF(LEFT(Control!$C$10,8)="AMARILLO","AMBER","GREEN"))</f>
        <v>RED</v>
      </c>
      <c r="Q303" s="193">
        <f>IF(OR(COUNT('Observaciones-SMP'!$B$2:$B$1001)=0,F303&lt;DATE(YEAR(MIN('Observaciones-SMP'!$B$2:$B$1001)),MONTH(MIN('Observaciones-SMP'!$B$2:$B$1001)),1),F303&gt;RPT_MONTH,ISNA(MATCH(F303,Datos!$D$3:$AL$3,0))),0,1)</f>
        <v>0</v>
      </c>
      <c r="R303" s="193" t="str">
        <f t="shared" si="30"/>
        <v>OUT_OF_SCOPE</v>
      </c>
    </row>
    <row r="304" spans="1:18" ht="13.5" customHeight="1" x14ac:dyDescent="0.3">
      <c r="A304" t="s">
        <v>1152</v>
      </c>
      <c r="B304" t="s">
        <v>1153</v>
      </c>
      <c r="C304" t="s">
        <v>1074</v>
      </c>
      <c r="D304">
        <v>1</v>
      </c>
      <c r="E304">
        <v>3</v>
      </c>
      <c r="F304" s="258">
        <f>DATE(YEAR(RPT_MONTH),MONTH(RPT_MONTH)-9,1)</f>
        <v>46023</v>
      </c>
      <c r="G304" s="193" t="str">
        <f t="shared" si="25"/>
        <v>Jan-26</v>
      </c>
      <c r="H304" s="193" t="str">
        <f>IFERROR(IF(OR(COUNT('Observaciones-SMP'!$B$2:$B$1001)=0,F304&lt;DATE(YEAR(MIN('Observaciones-SMP'!$B$2:$B$1001)),MONTH(MIN('Observaciones-SMP'!$B$2:$B$1001)),1),F304&gt;RPT_MONTH),"",INDEX(Datos!$D$76:$AL$76,MATCH(F304,Datos!$D$3:$AL$3,0))),"")</f>
        <v/>
      </c>
      <c r="J304" t="s">
        <v>1134</v>
      </c>
      <c r="K304" t="s">
        <v>1115</v>
      </c>
      <c r="L304" s="193" t="str">
        <f t="shared" si="26"/>
        <v>NO_DATA</v>
      </c>
      <c r="M304" s="193" t="str">
        <f t="shared" si="27"/>
        <v>Month-end</v>
      </c>
      <c r="N304" s="193" t="str">
        <f t="shared" si="31"/>
        <v>NO_DATA</v>
      </c>
      <c r="O304" s="193" t="str">
        <f t="shared" si="29"/>
        <v>Compressor Plant</v>
      </c>
      <c r="P304" s="193" t="str">
        <f ca="1">IF(LEFT(Control!$C$10,4)="ROJO","RED",IF(LEFT(Control!$C$10,8)="AMARILLO","AMBER","GREEN"))</f>
        <v>RED</v>
      </c>
      <c r="Q304" s="193">
        <f>IF(OR(COUNT('Observaciones-SMP'!$B$2:$B$1001)=0,F304&lt;DATE(YEAR(MIN('Observaciones-SMP'!$B$2:$B$1001)),MONTH(MIN('Observaciones-SMP'!$B$2:$B$1001)),1),F304&gt;RPT_MONTH,ISNA(MATCH(F304,Datos!$D$3:$AL$3,0))),0,1)</f>
        <v>0</v>
      </c>
      <c r="R304" s="193" t="str">
        <f t="shared" si="30"/>
        <v>OUT_OF_SCOPE</v>
      </c>
    </row>
    <row r="305" spans="1:18" ht="13.5" customHeight="1" x14ac:dyDescent="0.3">
      <c r="A305" t="s">
        <v>1152</v>
      </c>
      <c r="B305" t="s">
        <v>1153</v>
      </c>
      <c r="C305" t="s">
        <v>1074</v>
      </c>
      <c r="D305">
        <v>1</v>
      </c>
      <c r="E305">
        <v>4</v>
      </c>
      <c r="F305" s="258">
        <f>DATE(YEAR(RPT_MONTH),MONTH(RPT_MONTH)-8,1)</f>
        <v>46054</v>
      </c>
      <c r="G305" s="193" t="str">
        <f t="shared" si="25"/>
        <v>Feb-26</v>
      </c>
      <c r="H305" s="193" t="str">
        <f>IFERROR(IF(OR(COUNT('Observaciones-SMP'!$B$2:$B$1001)=0,F305&lt;DATE(YEAR(MIN('Observaciones-SMP'!$B$2:$B$1001)),MONTH(MIN('Observaciones-SMP'!$B$2:$B$1001)),1),F305&gt;RPT_MONTH),"",INDEX(Datos!$D$76:$AL$76,MATCH(F305,Datos!$D$3:$AL$3,0))),"")</f>
        <v/>
      </c>
      <c r="J305" t="s">
        <v>1134</v>
      </c>
      <c r="K305" t="s">
        <v>1115</v>
      </c>
      <c r="L305" s="193" t="str">
        <f t="shared" si="26"/>
        <v>NO_DATA</v>
      </c>
      <c r="M305" s="193" t="str">
        <f t="shared" si="27"/>
        <v>Month-end</v>
      </c>
      <c r="N305" s="193" t="str">
        <f t="shared" si="31"/>
        <v>NO_DATA</v>
      </c>
      <c r="O305" s="193" t="str">
        <f t="shared" si="29"/>
        <v>Compressor Plant</v>
      </c>
      <c r="P305" s="193" t="str">
        <f ca="1">IF(LEFT(Control!$C$10,4)="ROJO","RED",IF(LEFT(Control!$C$10,8)="AMARILLO","AMBER","GREEN"))</f>
        <v>RED</v>
      </c>
      <c r="Q305" s="193">
        <f>IF(OR(COUNT('Observaciones-SMP'!$B$2:$B$1001)=0,F305&lt;DATE(YEAR(MIN('Observaciones-SMP'!$B$2:$B$1001)),MONTH(MIN('Observaciones-SMP'!$B$2:$B$1001)),1),F305&gt;RPT_MONTH,ISNA(MATCH(F305,Datos!$D$3:$AL$3,0))),0,1)</f>
        <v>0</v>
      </c>
      <c r="R305" s="193" t="str">
        <f t="shared" si="30"/>
        <v>OUT_OF_SCOPE</v>
      </c>
    </row>
    <row r="306" spans="1:18" ht="13.5" customHeight="1" x14ac:dyDescent="0.3">
      <c r="A306" t="s">
        <v>1152</v>
      </c>
      <c r="B306" t="s">
        <v>1153</v>
      </c>
      <c r="C306" t="s">
        <v>1074</v>
      </c>
      <c r="D306">
        <v>1</v>
      </c>
      <c r="E306">
        <v>5</v>
      </c>
      <c r="F306" s="258">
        <f>DATE(YEAR(RPT_MONTH),MONTH(RPT_MONTH)-7,1)</f>
        <v>46082</v>
      </c>
      <c r="G306" s="193" t="str">
        <f t="shared" si="25"/>
        <v>Mar-26</v>
      </c>
      <c r="H306" s="193" t="str">
        <f>IFERROR(IF(OR(COUNT('Observaciones-SMP'!$B$2:$B$1001)=0,F306&lt;DATE(YEAR(MIN('Observaciones-SMP'!$B$2:$B$1001)),MONTH(MIN('Observaciones-SMP'!$B$2:$B$1001)),1),F306&gt;RPT_MONTH),"",INDEX(Datos!$D$76:$AL$76,MATCH(F306,Datos!$D$3:$AL$3,0))),"")</f>
        <v/>
      </c>
      <c r="J306" t="s">
        <v>1134</v>
      </c>
      <c r="K306" t="s">
        <v>1115</v>
      </c>
      <c r="L306" s="193" t="str">
        <f t="shared" si="26"/>
        <v>NO_DATA</v>
      </c>
      <c r="M306" s="193" t="str">
        <f t="shared" si="27"/>
        <v>Month-end</v>
      </c>
      <c r="N306" s="193" t="str">
        <f t="shared" si="31"/>
        <v>NO_DATA</v>
      </c>
      <c r="O306" s="193" t="str">
        <f t="shared" si="29"/>
        <v>Compressor Plant</v>
      </c>
      <c r="P306" s="193" t="str">
        <f ca="1">IF(LEFT(Control!$C$10,4)="ROJO","RED",IF(LEFT(Control!$C$10,8)="AMARILLO","AMBER","GREEN"))</f>
        <v>RED</v>
      </c>
      <c r="Q306" s="193">
        <f>IF(OR(COUNT('Observaciones-SMP'!$B$2:$B$1001)=0,F306&lt;DATE(YEAR(MIN('Observaciones-SMP'!$B$2:$B$1001)),MONTH(MIN('Observaciones-SMP'!$B$2:$B$1001)),1),F306&gt;RPT_MONTH,ISNA(MATCH(F306,Datos!$D$3:$AL$3,0))),0,1)</f>
        <v>0</v>
      </c>
      <c r="R306" s="193" t="str">
        <f t="shared" si="30"/>
        <v>OUT_OF_SCOPE</v>
      </c>
    </row>
    <row r="307" spans="1:18" ht="13.5" customHeight="1" x14ac:dyDescent="0.3">
      <c r="A307" t="s">
        <v>1152</v>
      </c>
      <c r="B307" t="s">
        <v>1153</v>
      </c>
      <c r="C307" t="s">
        <v>1074</v>
      </c>
      <c r="D307">
        <v>1</v>
      </c>
      <c r="E307">
        <v>6</v>
      </c>
      <c r="F307" s="258">
        <f>DATE(YEAR(RPT_MONTH),MONTH(RPT_MONTH)-6,1)</f>
        <v>46113</v>
      </c>
      <c r="G307" s="193" t="str">
        <f t="shared" si="25"/>
        <v>Apr-26</v>
      </c>
      <c r="H307" s="193" t="str">
        <f>IFERROR(IF(OR(COUNT('Observaciones-SMP'!$B$2:$B$1001)=0,F307&lt;DATE(YEAR(MIN('Observaciones-SMP'!$B$2:$B$1001)),MONTH(MIN('Observaciones-SMP'!$B$2:$B$1001)),1),F307&gt;RPT_MONTH),"",INDEX(Datos!$D$76:$AL$76,MATCH(F307,Datos!$D$3:$AL$3,0))),"")</f>
        <v/>
      </c>
      <c r="J307" t="s">
        <v>1134</v>
      </c>
      <c r="K307" t="s">
        <v>1115</v>
      </c>
      <c r="L307" s="193" t="str">
        <f t="shared" si="26"/>
        <v>NO_DATA</v>
      </c>
      <c r="M307" s="193" t="str">
        <f t="shared" si="27"/>
        <v>Month-end</v>
      </c>
      <c r="N307" s="193" t="str">
        <f t="shared" si="31"/>
        <v>NO_DATA</v>
      </c>
      <c r="O307" s="193" t="str">
        <f t="shared" si="29"/>
        <v>Compressor Plant</v>
      </c>
      <c r="P307" s="193" t="str">
        <f ca="1">IF(LEFT(Control!$C$10,4)="ROJO","RED",IF(LEFT(Control!$C$10,8)="AMARILLO","AMBER","GREEN"))</f>
        <v>RED</v>
      </c>
      <c r="Q307" s="193">
        <f>IF(OR(COUNT('Observaciones-SMP'!$B$2:$B$1001)=0,F307&lt;DATE(YEAR(MIN('Observaciones-SMP'!$B$2:$B$1001)),MONTH(MIN('Observaciones-SMP'!$B$2:$B$1001)),1),F307&gt;RPT_MONTH,ISNA(MATCH(F307,Datos!$D$3:$AL$3,0))),0,1)</f>
        <v>0</v>
      </c>
      <c r="R307" s="193" t="str">
        <f t="shared" si="30"/>
        <v>OUT_OF_SCOPE</v>
      </c>
    </row>
    <row r="308" spans="1:18" ht="13.5" customHeight="1" x14ac:dyDescent="0.3">
      <c r="A308" t="s">
        <v>1152</v>
      </c>
      <c r="B308" t="s">
        <v>1153</v>
      </c>
      <c r="C308" t="s">
        <v>1074</v>
      </c>
      <c r="D308">
        <v>1</v>
      </c>
      <c r="E308">
        <v>7</v>
      </c>
      <c r="F308" s="258">
        <f>DATE(YEAR(RPT_MONTH),MONTH(RPT_MONTH)-5,1)</f>
        <v>46143</v>
      </c>
      <c r="G308" s="193" t="str">
        <f t="shared" si="25"/>
        <v>May-26</v>
      </c>
      <c r="H308" s="193" t="str">
        <f>IFERROR(IF(OR(COUNT('Observaciones-SMP'!$B$2:$B$1001)=0,F308&lt;DATE(YEAR(MIN('Observaciones-SMP'!$B$2:$B$1001)),MONTH(MIN('Observaciones-SMP'!$B$2:$B$1001)),1),F308&gt;RPT_MONTH),"",INDEX(Datos!$D$76:$AL$76,MATCH(F308,Datos!$D$3:$AL$3,0))),"")</f>
        <v/>
      </c>
      <c r="J308" t="s">
        <v>1134</v>
      </c>
      <c r="K308" t="s">
        <v>1115</v>
      </c>
      <c r="L308" s="193" t="str">
        <f t="shared" si="26"/>
        <v>NO_DATA</v>
      </c>
      <c r="M308" s="193" t="str">
        <f t="shared" si="27"/>
        <v>Month-end</v>
      </c>
      <c r="N308" s="193" t="str">
        <f t="shared" si="31"/>
        <v>NO_DATA</v>
      </c>
      <c r="O308" s="193" t="str">
        <f t="shared" si="29"/>
        <v>Compressor Plant</v>
      </c>
      <c r="P308" s="193" t="str">
        <f ca="1">IF(LEFT(Control!$C$10,4)="ROJO","RED",IF(LEFT(Control!$C$10,8)="AMARILLO","AMBER","GREEN"))</f>
        <v>RED</v>
      </c>
      <c r="Q308" s="193">
        <f>IF(OR(COUNT('Observaciones-SMP'!$B$2:$B$1001)=0,F308&lt;DATE(YEAR(MIN('Observaciones-SMP'!$B$2:$B$1001)),MONTH(MIN('Observaciones-SMP'!$B$2:$B$1001)),1),F308&gt;RPT_MONTH,ISNA(MATCH(F308,Datos!$D$3:$AL$3,0))),0,1)</f>
        <v>0</v>
      </c>
      <c r="R308" s="193" t="str">
        <f t="shared" si="30"/>
        <v>OUT_OF_SCOPE</v>
      </c>
    </row>
    <row r="309" spans="1:18" ht="13.5" customHeight="1" x14ac:dyDescent="0.3">
      <c r="A309" t="s">
        <v>1152</v>
      </c>
      <c r="B309" t="s">
        <v>1153</v>
      </c>
      <c r="C309" t="s">
        <v>1074</v>
      </c>
      <c r="D309">
        <v>1</v>
      </c>
      <c r="E309">
        <v>8</v>
      </c>
      <c r="F309" s="258">
        <f>DATE(YEAR(RPT_MONTH),MONTH(RPT_MONTH)-4,1)</f>
        <v>46174</v>
      </c>
      <c r="G309" s="193" t="str">
        <f t="shared" si="25"/>
        <v>Jun-26</v>
      </c>
      <c r="H309" s="193" t="str">
        <f>IFERROR(IF(OR(COUNT('Observaciones-SMP'!$B$2:$B$1001)=0,F309&lt;DATE(YEAR(MIN('Observaciones-SMP'!$B$2:$B$1001)),MONTH(MIN('Observaciones-SMP'!$B$2:$B$1001)),1),F309&gt;RPT_MONTH),"",INDEX(Datos!$D$76:$AL$76,MATCH(F309,Datos!$D$3:$AL$3,0))),"")</f>
        <v/>
      </c>
      <c r="J309" t="s">
        <v>1134</v>
      </c>
      <c r="K309" t="s">
        <v>1115</v>
      </c>
      <c r="L309" s="193" t="str">
        <f t="shared" si="26"/>
        <v>NO_DATA</v>
      </c>
      <c r="M309" s="193" t="str">
        <f t="shared" si="27"/>
        <v>Month-end</v>
      </c>
      <c r="N309" s="193" t="str">
        <f t="shared" si="31"/>
        <v>NO_DATA</v>
      </c>
      <c r="O309" s="193" t="str">
        <f t="shared" si="29"/>
        <v>Compressor Plant</v>
      </c>
      <c r="P309" s="193" t="str">
        <f ca="1">IF(LEFT(Control!$C$10,4)="ROJO","RED",IF(LEFT(Control!$C$10,8)="AMARILLO","AMBER","GREEN"))</f>
        <v>RED</v>
      </c>
      <c r="Q309" s="193">
        <f>IF(OR(COUNT('Observaciones-SMP'!$B$2:$B$1001)=0,F309&lt;DATE(YEAR(MIN('Observaciones-SMP'!$B$2:$B$1001)),MONTH(MIN('Observaciones-SMP'!$B$2:$B$1001)),1),F309&gt;RPT_MONTH,ISNA(MATCH(F309,Datos!$D$3:$AL$3,0))),0,1)</f>
        <v>0</v>
      </c>
      <c r="R309" s="193" t="str">
        <f t="shared" si="30"/>
        <v>OUT_OF_SCOPE</v>
      </c>
    </row>
    <row r="310" spans="1:18" ht="13.5" customHeight="1" x14ac:dyDescent="0.3">
      <c r="A310" t="s">
        <v>1152</v>
      </c>
      <c r="B310" t="s">
        <v>1153</v>
      </c>
      <c r="C310" t="s">
        <v>1074</v>
      </c>
      <c r="D310">
        <v>1</v>
      </c>
      <c r="E310">
        <v>9</v>
      </c>
      <c r="F310" s="258">
        <f>DATE(YEAR(RPT_MONTH),MONTH(RPT_MONTH)-3,1)</f>
        <v>46204</v>
      </c>
      <c r="G310" s="193" t="str">
        <f t="shared" si="25"/>
        <v>Jul-26</v>
      </c>
      <c r="H310" s="193" t="str">
        <f>IFERROR(IF(OR(COUNT('Observaciones-SMP'!$B$2:$B$1001)=0,F310&lt;DATE(YEAR(MIN('Observaciones-SMP'!$B$2:$B$1001)),MONTH(MIN('Observaciones-SMP'!$B$2:$B$1001)),1),F310&gt;RPT_MONTH),"",INDEX(Datos!$D$76:$AL$76,MATCH(F310,Datos!$D$3:$AL$3,0))),"")</f>
        <v/>
      </c>
      <c r="J310" t="s">
        <v>1134</v>
      </c>
      <c r="K310" t="s">
        <v>1115</v>
      </c>
      <c r="L310" s="193" t="str">
        <f t="shared" si="26"/>
        <v>NO_DATA</v>
      </c>
      <c r="M310" s="193" t="str">
        <f t="shared" si="27"/>
        <v>Month-end</v>
      </c>
      <c r="N310" s="193" t="str">
        <f t="shared" si="31"/>
        <v>NO_DATA</v>
      </c>
      <c r="O310" s="193" t="str">
        <f t="shared" si="29"/>
        <v>Compressor Plant</v>
      </c>
      <c r="P310" s="193" t="str">
        <f ca="1">IF(LEFT(Control!$C$10,4)="ROJO","RED",IF(LEFT(Control!$C$10,8)="AMARILLO","AMBER","GREEN"))</f>
        <v>RED</v>
      </c>
      <c r="Q310" s="193">
        <f>IF(OR(COUNT('Observaciones-SMP'!$B$2:$B$1001)=0,F310&lt;DATE(YEAR(MIN('Observaciones-SMP'!$B$2:$B$1001)),MONTH(MIN('Observaciones-SMP'!$B$2:$B$1001)),1),F310&gt;RPT_MONTH,ISNA(MATCH(F310,Datos!$D$3:$AL$3,0))),0,1)</f>
        <v>0</v>
      </c>
      <c r="R310" s="193" t="str">
        <f t="shared" si="30"/>
        <v>OUT_OF_SCOPE</v>
      </c>
    </row>
    <row r="311" spans="1:18" ht="13.5" customHeight="1" x14ac:dyDescent="0.3">
      <c r="A311" t="s">
        <v>1152</v>
      </c>
      <c r="B311" t="s">
        <v>1153</v>
      </c>
      <c r="C311" t="s">
        <v>1074</v>
      </c>
      <c r="D311">
        <v>1</v>
      </c>
      <c r="E311">
        <v>10</v>
      </c>
      <c r="F311" s="258">
        <f>DATE(YEAR(RPT_MONTH),MONTH(RPT_MONTH)-2,1)</f>
        <v>46235</v>
      </c>
      <c r="G311" s="193" t="str">
        <f t="shared" si="25"/>
        <v>Aug-26</v>
      </c>
      <c r="H311" s="193">
        <f>IFERROR(IF(OR(COUNT('Observaciones-SMP'!$B$2:$B$1001)=0,F311&lt;DATE(YEAR(MIN('Observaciones-SMP'!$B$2:$B$1001)),MONTH(MIN('Observaciones-SMP'!$B$2:$B$1001)),1),F311&gt;RPT_MONTH),"",INDEX(Datos!$D$76:$AL$76,MATCH(F311,Datos!$D$3:$AL$3,0))),"")</f>
        <v>0</v>
      </c>
      <c r="J311" t="s">
        <v>1134</v>
      </c>
      <c r="K311" t="s">
        <v>1115</v>
      </c>
      <c r="L311" s="193" t="str">
        <f t="shared" si="26"/>
        <v>OK</v>
      </c>
      <c r="M311" s="193" t="str">
        <f t="shared" si="27"/>
        <v>Month-end</v>
      </c>
      <c r="N311" s="193" t="str">
        <f t="shared" si="31"/>
        <v>CONTEXT</v>
      </c>
      <c r="O311" s="193" t="str">
        <f t="shared" si="29"/>
        <v>Compressor Plant</v>
      </c>
      <c r="P311" s="193" t="str">
        <f ca="1">IF(LEFT(Control!$C$10,4)="ROJO","RED",IF(LEFT(Control!$C$10,8)="AMARILLO","AMBER","GREEN"))</f>
        <v>RED</v>
      </c>
      <c r="Q311" s="193">
        <f>IF(OR(COUNT('Observaciones-SMP'!$B$2:$B$1001)=0,F311&lt;DATE(YEAR(MIN('Observaciones-SMP'!$B$2:$B$1001)),MONTH(MIN('Observaciones-SMP'!$B$2:$B$1001)),1),F311&gt;RPT_MONTH,ISNA(MATCH(F311,Datos!$D$3:$AL$3,0))),0,1)</f>
        <v>1</v>
      </c>
      <c r="R311" s="193" t="str">
        <f t="shared" si="30"/>
        <v>OK</v>
      </c>
    </row>
    <row r="312" spans="1:18" ht="13.5" customHeight="1" x14ac:dyDescent="0.3">
      <c r="A312" t="s">
        <v>1152</v>
      </c>
      <c r="B312" t="s">
        <v>1153</v>
      </c>
      <c r="C312" t="s">
        <v>1074</v>
      </c>
      <c r="D312">
        <v>1</v>
      </c>
      <c r="E312">
        <v>11</v>
      </c>
      <c r="F312" s="258">
        <f>DATE(YEAR(RPT_MONTH),MONTH(RPT_MONTH)-1,1)</f>
        <v>46266</v>
      </c>
      <c r="G312" s="193" t="str">
        <f t="shared" si="25"/>
        <v>Sep-26</v>
      </c>
      <c r="H312" s="248">
        <f>IFERROR(IF(OR(COUNT('Observaciones-SMP'!$B$2:$B$1001)=0,F312&lt;DATE(YEAR(MIN('Observaciones-SMP'!$B$2:$B$1001)),MONTH(MIN('Observaciones-SMP'!$B$2:$B$1001)),1),F312&gt;RPT_MONTH),"",INDEX(Datos!$D$76:$AL$76,MATCH(F312,Datos!$D$3:$AL$3,0))),"")</f>
        <v>0</v>
      </c>
      <c r="J312" t="s">
        <v>1134</v>
      </c>
      <c r="K312" t="s">
        <v>1115</v>
      </c>
      <c r="L312" s="193" t="str">
        <f t="shared" si="26"/>
        <v>OK</v>
      </c>
      <c r="M312" s="193" t="str">
        <f t="shared" si="27"/>
        <v>Month-end</v>
      </c>
      <c r="N312" s="193" t="str">
        <f t="shared" si="31"/>
        <v>CONTEXT</v>
      </c>
      <c r="O312" s="193" t="str">
        <f t="shared" si="29"/>
        <v>Compressor Plant</v>
      </c>
      <c r="P312" s="193" t="str">
        <f ca="1">IF(LEFT(Control!$C$10,4)="ROJO","RED",IF(LEFT(Control!$C$10,8)="AMARILLO","AMBER","GREEN"))</f>
        <v>RED</v>
      </c>
      <c r="Q312" s="193">
        <f>IF(OR(COUNT('Observaciones-SMP'!$B$2:$B$1001)=0,F312&lt;DATE(YEAR(MIN('Observaciones-SMP'!$B$2:$B$1001)),MONTH(MIN('Observaciones-SMP'!$B$2:$B$1001)),1),F312&gt;RPT_MONTH,ISNA(MATCH(F312,Datos!$D$3:$AL$3,0))),0,1)</f>
        <v>1</v>
      </c>
      <c r="R312" s="193" t="str">
        <f t="shared" si="30"/>
        <v>OK</v>
      </c>
    </row>
    <row r="313" spans="1:18" ht="13.5" customHeight="1" x14ac:dyDescent="0.3">
      <c r="A313" t="s">
        <v>1152</v>
      </c>
      <c r="B313" t="s">
        <v>1153</v>
      </c>
      <c r="C313" t="s">
        <v>1074</v>
      </c>
      <c r="D313">
        <v>1</v>
      </c>
      <c r="E313">
        <v>12</v>
      </c>
      <c r="F313" s="258">
        <f>DATE(YEAR(RPT_MONTH),MONTH(RPT_MONTH)-0,1)</f>
        <v>46296</v>
      </c>
      <c r="G313" s="193" t="str">
        <f t="shared" si="25"/>
        <v>Oct-26</v>
      </c>
      <c r="H313" s="248">
        <f>IFERROR(IF(OR(COUNT('Observaciones-SMP'!$B$2:$B$1001)=0,F313&lt;DATE(YEAR(MIN('Observaciones-SMP'!$B$2:$B$1001)),MONTH(MIN('Observaciones-SMP'!$B$2:$B$1001)),1),F313&gt;RPT_MONTH),"",INDEX(Datos!$D$76:$AL$76,MATCH(F313,Datos!$D$3:$AL$3,0))),"")</f>
        <v>0</v>
      </c>
      <c r="J313" t="s">
        <v>1134</v>
      </c>
      <c r="K313" t="s">
        <v>1115</v>
      </c>
      <c r="L313" s="193" t="str">
        <f t="shared" si="26"/>
        <v>NO_DATA</v>
      </c>
      <c r="M313" s="193" t="str">
        <f t="shared" si="27"/>
        <v>Month-end</v>
      </c>
      <c r="N313" s="193" t="str">
        <f t="shared" si="31"/>
        <v>NO_DATA</v>
      </c>
      <c r="O313" s="193" t="str">
        <f t="shared" si="29"/>
        <v>Compressor Plant</v>
      </c>
      <c r="P313" s="193" t="str">
        <f ca="1">IF(LEFT(Control!$C$10,4)="ROJO","RED",IF(LEFT(Control!$C$10,8)="AMARILLO","AMBER","GREEN"))</f>
        <v>RED</v>
      </c>
      <c r="Q313" s="193">
        <f>IF(OR(COUNT('Observaciones-SMP'!$B$2:$B$1001)=0,F313&lt;DATE(YEAR(MIN('Observaciones-SMP'!$B$2:$B$1001)),MONTH(MIN('Observaciones-SMP'!$B$2:$B$1001)),1),F313&gt;RPT_MONTH,ISNA(MATCH(F313,Datos!$D$3:$AL$3,0))),0,1)</f>
        <v>1</v>
      </c>
      <c r="R313" s="193" t="str">
        <f t="shared" si="30"/>
        <v>MISSING</v>
      </c>
    </row>
    <row r="314" spans="1:18" ht="13.5" customHeight="1" x14ac:dyDescent="0.3">
      <c r="A314" t="s">
        <v>1154</v>
      </c>
      <c r="B314" t="s">
        <v>1155</v>
      </c>
      <c r="C314" t="s">
        <v>1156</v>
      </c>
      <c r="D314">
        <v>1</v>
      </c>
      <c r="E314">
        <v>1</v>
      </c>
      <c r="F314" s="258">
        <f>DATE(YEAR(RPT_MONTH),MONTH(RPT_MONTH)-11,1)</f>
        <v>45962</v>
      </c>
      <c r="G314" s="193" t="str">
        <f t="shared" si="25"/>
        <v>Nov-25</v>
      </c>
      <c r="H314" s="193" t="str">
        <f>IFERROR(1*INDEX(BD_KPIs!$F$2:$F$1300,MATCH(YEAR(F314)*100+MONTH(F314)&amp;"|TVCR|Monthly",BD_KPIs!$Q$2:$Q$1300,0)),"")</f>
        <v/>
      </c>
      <c r="I314" s="193">
        <f>IF(ISNUMBER(INDEX(_TARGETS!$G$2:$G$17,MATCH("TVCR",_TARGETS!$A$2:$A$17,0))),INDEX(_TARGETS!$G$2:$G$17,MATCH("TVCR",_TARGETS!$A$2:$A$17,0)),"")</f>
        <v>0.79</v>
      </c>
      <c r="J314" t="s">
        <v>1157</v>
      </c>
      <c r="K314" t="s">
        <v>1093</v>
      </c>
      <c r="L314" s="193" t="str">
        <f t="shared" si="26"/>
        <v>NO_DATA</v>
      </c>
      <c r="M314" s="193" t="str">
        <f t="shared" si="27"/>
        <v>Monthly</v>
      </c>
      <c r="N314" s="193" t="str">
        <f>IF(NOT(ISNUMBER(H314)),"NO_DATA",IF(NOT(ISNUMBER(I314)),"MONITOR",IF(INDEX(_TARGETS!$E$2:$E$17,MATCH("TVCR",_TARGETS!$A$2:$A$17,0))="≤",IF(H314&lt;=I314,"ON_TARGET","OFF_TARGET"),IF(H314&gt;=I314,"ON_TARGET","OFF_TARGET"))))</f>
        <v>NO_DATA</v>
      </c>
      <c r="O314" s="193" t="str">
        <f t="shared" si="29"/>
        <v>Compressor Plant</v>
      </c>
      <c r="P314" s="193" t="str">
        <f ca="1">IF(LEFT(Control!$C$10,4)="ROJO","RED",IF(LEFT(Control!$C$10,8)="AMARILLO","AMBER","GREEN"))</f>
        <v>RED</v>
      </c>
      <c r="Q314" s="193">
        <f>IF(AND(ISNUMBER(MATCH(F314,Datos!$D$3:$AL$3,0)),F314&lt;=RPT_MONTH),1,0)</f>
        <v>0</v>
      </c>
      <c r="R314" s="193" t="str">
        <f t="shared" si="30"/>
        <v>OUT_OF_SCOPE</v>
      </c>
    </row>
    <row r="315" spans="1:18" ht="13.5" customHeight="1" x14ac:dyDescent="0.3">
      <c r="A315" t="s">
        <v>1154</v>
      </c>
      <c r="B315" t="s">
        <v>1155</v>
      </c>
      <c r="C315" t="s">
        <v>1156</v>
      </c>
      <c r="D315">
        <v>1</v>
      </c>
      <c r="E315">
        <v>2</v>
      </c>
      <c r="F315" s="258">
        <f>DATE(YEAR(RPT_MONTH),MONTH(RPT_MONTH)-10,1)</f>
        <v>45992</v>
      </c>
      <c r="G315" s="193" t="str">
        <f t="shared" si="25"/>
        <v>Dec-25</v>
      </c>
      <c r="H315" s="193" t="str">
        <f>IFERROR(1*INDEX(BD_KPIs!$F$2:$F$1300,MATCH(YEAR(F315)*100+MONTH(F315)&amp;"|TVCR|Monthly",BD_KPIs!$Q$2:$Q$1300,0)),"")</f>
        <v/>
      </c>
      <c r="I315" s="193">
        <f>IF(ISNUMBER(INDEX(_TARGETS!$G$2:$G$17,MATCH("TVCR",_TARGETS!$A$2:$A$17,0))),INDEX(_TARGETS!$G$2:$G$17,MATCH("TVCR",_TARGETS!$A$2:$A$17,0)),"")</f>
        <v>0.79</v>
      </c>
      <c r="J315" t="s">
        <v>1157</v>
      </c>
      <c r="K315" t="s">
        <v>1093</v>
      </c>
      <c r="L315" s="193" t="str">
        <f t="shared" si="26"/>
        <v>NO_DATA</v>
      </c>
      <c r="M315" s="193" t="str">
        <f t="shared" si="27"/>
        <v>Monthly</v>
      </c>
      <c r="N315" s="193" t="str">
        <f>IF(NOT(ISNUMBER(H315)),"NO_DATA",IF(NOT(ISNUMBER(I315)),"MONITOR",IF(INDEX(_TARGETS!$E$2:$E$17,MATCH("TVCR",_TARGETS!$A$2:$A$17,0))="≤",IF(H315&lt;=I315,"ON_TARGET","OFF_TARGET"),IF(H315&gt;=I315,"ON_TARGET","OFF_TARGET"))))</f>
        <v>NO_DATA</v>
      </c>
      <c r="O315" s="193" t="str">
        <f t="shared" si="29"/>
        <v>Compressor Plant</v>
      </c>
      <c r="P315" s="193" t="str">
        <f ca="1">IF(LEFT(Control!$C$10,4)="ROJO","RED",IF(LEFT(Control!$C$10,8)="AMARILLO","AMBER","GREEN"))</f>
        <v>RED</v>
      </c>
      <c r="Q315" s="193">
        <f>IF(AND(ISNUMBER(MATCH(F315,Datos!$D$3:$AL$3,0)),F315&lt;=RPT_MONTH),1,0)</f>
        <v>0</v>
      </c>
      <c r="R315" s="193" t="str">
        <f t="shared" si="30"/>
        <v>OUT_OF_SCOPE</v>
      </c>
    </row>
    <row r="316" spans="1:18" ht="13.5" customHeight="1" x14ac:dyDescent="0.3">
      <c r="A316" t="s">
        <v>1154</v>
      </c>
      <c r="B316" t="s">
        <v>1155</v>
      </c>
      <c r="C316" t="s">
        <v>1156</v>
      </c>
      <c r="D316">
        <v>1</v>
      </c>
      <c r="E316">
        <v>3</v>
      </c>
      <c r="F316" s="258">
        <f>DATE(YEAR(RPT_MONTH),MONTH(RPT_MONTH)-9,1)</f>
        <v>46023</v>
      </c>
      <c r="G316" s="193" t="str">
        <f t="shared" si="25"/>
        <v>Jan-26</v>
      </c>
      <c r="H316" s="193" t="str">
        <f>IFERROR(1*INDEX(BD_KPIs!$F$2:$F$1300,MATCH(YEAR(F316)*100+MONTH(F316)&amp;"|TVCR|Monthly",BD_KPIs!$Q$2:$Q$1300,0)),"")</f>
        <v/>
      </c>
      <c r="I316" s="193">
        <f>IF(ISNUMBER(INDEX(_TARGETS!$G$2:$G$17,MATCH("TVCR",_TARGETS!$A$2:$A$17,0))),INDEX(_TARGETS!$G$2:$G$17,MATCH("TVCR",_TARGETS!$A$2:$A$17,0)),"")</f>
        <v>0.79</v>
      </c>
      <c r="J316" t="s">
        <v>1157</v>
      </c>
      <c r="K316" t="s">
        <v>1093</v>
      </c>
      <c r="L316" s="193" t="str">
        <f t="shared" si="26"/>
        <v>NO_DATA</v>
      </c>
      <c r="M316" s="193" t="str">
        <f t="shared" si="27"/>
        <v>Monthly</v>
      </c>
      <c r="N316" s="193" t="str">
        <f>IF(NOT(ISNUMBER(H316)),"NO_DATA",IF(NOT(ISNUMBER(I316)),"MONITOR",IF(INDEX(_TARGETS!$E$2:$E$17,MATCH("TVCR",_TARGETS!$A$2:$A$17,0))="≤",IF(H316&lt;=I316,"ON_TARGET","OFF_TARGET"),IF(H316&gt;=I316,"ON_TARGET","OFF_TARGET"))))</f>
        <v>NO_DATA</v>
      </c>
      <c r="O316" s="193" t="str">
        <f t="shared" si="29"/>
        <v>Compressor Plant</v>
      </c>
      <c r="P316" s="193" t="str">
        <f ca="1">IF(LEFT(Control!$C$10,4)="ROJO","RED",IF(LEFT(Control!$C$10,8)="AMARILLO","AMBER","GREEN"))</f>
        <v>RED</v>
      </c>
      <c r="Q316" s="193">
        <f>IF(AND(ISNUMBER(MATCH(F316,Datos!$D$3:$AL$3,0)),F316&lt;=RPT_MONTH),1,0)</f>
        <v>0</v>
      </c>
      <c r="R316" s="193" t="str">
        <f t="shared" si="30"/>
        <v>OUT_OF_SCOPE</v>
      </c>
    </row>
    <row r="317" spans="1:18" ht="13.5" customHeight="1" x14ac:dyDescent="0.3">
      <c r="A317" t="s">
        <v>1154</v>
      </c>
      <c r="B317" t="s">
        <v>1155</v>
      </c>
      <c r="C317" t="s">
        <v>1156</v>
      </c>
      <c r="D317">
        <v>1</v>
      </c>
      <c r="E317">
        <v>4</v>
      </c>
      <c r="F317" s="258">
        <f>DATE(YEAR(RPT_MONTH),MONTH(RPT_MONTH)-8,1)</f>
        <v>46054</v>
      </c>
      <c r="G317" s="193" t="str">
        <f t="shared" si="25"/>
        <v>Feb-26</v>
      </c>
      <c r="H317" s="193" t="str">
        <f>IFERROR(1*INDEX(BD_KPIs!$F$2:$F$1300,MATCH(YEAR(F317)*100+MONTH(F317)&amp;"|TVCR|Monthly",BD_KPIs!$Q$2:$Q$1300,0)),"")</f>
        <v/>
      </c>
      <c r="I317" s="193">
        <f>IF(ISNUMBER(INDEX(_TARGETS!$G$2:$G$17,MATCH("TVCR",_TARGETS!$A$2:$A$17,0))),INDEX(_TARGETS!$G$2:$G$17,MATCH("TVCR",_TARGETS!$A$2:$A$17,0)),"")</f>
        <v>0.79</v>
      </c>
      <c r="J317" t="s">
        <v>1157</v>
      </c>
      <c r="K317" t="s">
        <v>1093</v>
      </c>
      <c r="L317" s="193" t="str">
        <f t="shared" si="26"/>
        <v>NO_DATA</v>
      </c>
      <c r="M317" s="193" t="str">
        <f t="shared" si="27"/>
        <v>Monthly</v>
      </c>
      <c r="N317" s="193" t="str">
        <f>IF(NOT(ISNUMBER(H317)),"NO_DATA",IF(NOT(ISNUMBER(I317)),"MONITOR",IF(INDEX(_TARGETS!$E$2:$E$17,MATCH("TVCR",_TARGETS!$A$2:$A$17,0))="≤",IF(H317&lt;=I317,"ON_TARGET","OFF_TARGET"),IF(H317&gt;=I317,"ON_TARGET","OFF_TARGET"))))</f>
        <v>NO_DATA</v>
      </c>
      <c r="O317" s="193" t="str">
        <f t="shared" si="29"/>
        <v>Compressor Plant</v>
      </c>
      <c r="P317" s="193" t="str">
        <f ca="1">IF(LEFT(Control!$C$10,4)="ROJO","RED",IF(LEFT(Control!$C$10,8)="AMARILLO","AMBER","GREEN"))</f>
        <v>RED</v>
      </c>
      <c r="Q317" s="193">
        <f>IF(AND(ISNUMBER(MATCH(F317,Datos!$D$3:$AL$3,0)),F317&lt;=RPT_MONTH),1,0)</f>
        <v>0</v>
      </c>
      <c r="R317" s="193" t="str">
        <f t="shared" si="30"/>
        <v>OUT_OF_SCOPE</v>
      </c>
    </row>
    <row r="318" spans="1:18" ht="13.5" customHeight="1" x14ac:dyDescent="0.3">
      <c r="A318" t="s">
        <v>1154</v>
      </c>
      <c r="B318" t="s">
        <v>1155</v>
      </c>
      <c r="C318" t="s">
        <v>1156</v>
      </c>
      <c r="D318">
        <v>1</v>
      </c>
      <c r="E318">
        <v>5</v>
      </c>
      <c r="F318" s="258">
        <f>DATE(YEAR(RPT_MONTH),MONTH(RPT_MONTH)-7,1)</f>
        <v>46082</v>
      </c>
      <c r="G318" s="193" t="str">
        <f t="shared" si="25"/>
        <v>Mar-26</v>
      </c>
      <c r="H318" s="193" t="str">
        <f>IFERROR(1*INDEX(BD_KPIs!$F$2:$F$1300,MATCH(YEAR(F318)*100+MONTH(F318)&amp;"|TVCR|Monthly",BD_KPIs!$Q$2:$Q$1300,0)),"")</f>
        <v/>
      </c>
      <c r="I318" s="193">
        <f>IF(ISNUMBER(INDEX(_TARGETS!$G$2:$G$17,MATCH("TVCR",_TARGETS!$A$2:$A$17,0))),INDEX(_TARGETS!$G$2:$G$17,MATCH("TVCR",_TARGETS!$A$2:$A$17,0)),"")</f>
        <v>0.79</v>
      </c>
      <c r="J318" t="s">
        <v>1157</v>
      </c>
      <c r="K318" t="s">
        <v>1093</v>
      </c>
      <c r="L318" s="193" t="str">
        <f t="shared" si="26"/>
        <v>NO_DATA</v>
      </c>
      <c r="M318" s="193" t="str">
        <f t="shared" si="27"/>
        <v>Monthly</v>
      </c>
      <c r="N318" s="193" t="str">
        <f>IF(NOT(ISNUMBER(H318)),"NO_DATA",IF(NOT(ISNUMBER(I318)),"MONITOR",IF(INDEX(_TARGETS!$E$2:$E$17,MATCH("TVCR",_TARGETS!$A$2:$A$17,0))="≤",IF(H318&lt;=I318,"ON_TARGET","OFF_TARGET"),IF(H318&gt;=I318,"ON_TARGET","OFF_TARGET"))))</f>
        <v>NO_DATA</v>
      </c>
      <c r="O318" s="193" t="str">
        <f t="shared" si="29"/>
        <v>Compressor Plant</v>
      </c>
      <c r="P318" s="193" t="str">
        <f ca="1">IF(LEFT(Control!$C$10,4)="ROJO","RED",IF(LEFT(Control!$C$10,8)="AMARILLO","AMBER","GREEN"))</f>
        <v>RED</v>
      </c>
      <c r="Q318" s="193">
        <f>IF(AND(ISNUMBER(MATCH(F318,Datos!$D$3:$AL$3,0)),F318&lt;=RPT_MONTH),1,0)</f>
        <v>0</v>
      </c>
      <c r="R318" s="193" t="str">
        <f t="shared" si="30"/>
        <v>OUT_OF_SCOPE</v>
      </c>
    </row>
    <row r="319" spans="1:18" ht="13.5" customHeight="1" x14ac:dyDescent="0.3">
      <c r="A319" t="s">
        <v>1154</v>
      </c>
      <c r="B319" t="s">
        <v>1155</v>
      </c>
      <c r="C319" t="s">
        <v>1156</v>
      </c>
      <c r="D319">
        <v>1</v>
      </c>
      <c r="E319">
        <v>6</v>
      </c>
      <c r="F319" s="258">
        <f>DATE(YEAR(RPT_MONTH),MONTH(RPT_MONTH)-6,1)</f>
        <v>46113</v>
      </c>
      <c r="G319" s="193" t="str">
        <f t="shared" si="25"/>
        <v>Apr-26</v>
      </c>
      <c r="H319" s="193" t="str">
        <f>IFERROR(1*INDEX(BD_KPIs!$F$2:$F$1300,MATCH(YEAR(F319)*100+MONTH(F319)&amp;"|TVCR|Monthly",BD_KPIs!$Q$2:$Q$1300,0)),"")</f>
        <v/>
      </c>
      <c r="I319" s="193">
        <f>IF(ISNUMBER(INDEX(_TARGETS!$G$2:$G$17,MATCH("TVCR",_TARGETS!$A$2:$A$17,0))),INDEX(_TARGETS!$G$2:$G$17,MATCH("TVCR",_TARGETS!$A$2:$A$17,0)),"")</f>
        <v>0.79</v>
      </c>
      <c r="J319" t="s">
        <v>1157</v>
      </c>
      <c r="K319" t="s">
        <v>1093</v>
      </c>
      <c r="L319" s="193" t="str">
        <f t="shared" si="26"/>
        <v>NO_DATA</v>
      </c>
      <c r="M319" s="193" t="str">
        <f t="shared" si="27"/>
        <v>Monthly</v>
      </c>
      <c r="N319" s="193" t="str">
        <f>IF(NOT(ISNUMBER(H319)),"NO_DATA",IF(NOT(ISNUMBER(I319)),"MONITOR",IF(INDEX(_TARGETS!$E$2:$E$17,MATCH("TVCR",_TARGETS!$A$2:$A$17,0))="≤",IF(H319&lt;=I319,"ON_TARGET","OFF_TARGET"),IF(H319&gt;=I319,"ON_TARGET","OFF_TARGET"))))</f>
        <v>NO_DATA</v>
      </c>
      <c r="O319" s="193" t="str">
        <f t="shared" si="29"/>
        <v>Compressor Plant</v>
      </c>
      <c r="P319" s="193" t="str">
        <f ca="1">IF(LEFT(Control!$C$10,4)="ROJO","RED",IF(LEFT(Control!$C$10,8)="AMARILLO","AMBER","GREEN"))</f>
        <v>RED</v>
      </c>
      <c r="Q319" s="193">
        <f>IF(AND(ISNUMBER(MATCH(F319,Datos!$D$3:$AL$3,0)),F319&lt;=RPT_MONTH),1,0)</f>
        <v>0</v>
      </c>
      <c r="R319" s="193" t="str">
        <f t="shared" si="30"/>
        <v>OUT_OF_SCOPE</v>
      </c>
    </row>
    <row r="320" spans="1:18" ht="13.5" customHeight="1" x14ac:dyDescent="0.3">
      <c r="A320" t="s">
        <v>1154</v>
      </c>
      <c r="B320" t="s">
        <v>1155</v>
      </c>
      <c r="C320" t="s">
        <v>1156</v>
      </c>
      <c r="D320">
        <v>1</v>
      </c>
      <c r="E320">
        <v>7</v>
      </c>
      <c r="F320" s="258">
        <f>DATE(YEAR(RPT_MONTH),MONTH(RPT_MONTH)-5,1)</f>
        <v>46143</v>
      </c>
      <c r="G320" s="193" t="str">
        <f t="shared" si="25"/>
        <v>May-26</v>
      </c>
      <c r="H320" s="193" t="str">
        <f>IFERROR(1*INDEX(BD_KPIs!$F$2:$F$1300,MATCH(YEAR(F320)*100+MONTH(F320)&amp;"|TVCR|Monthly",BD_KPIs!$Q$2:$Q$1300,0)),"")</f>
        <v/>
      </c>
      <c r="I320" s="193">
        <f>IF(ISNUMBER(INDEX(_TARGETS!$G$2:$G$17,MATCH("TVCR",_TARGETS!$A$2:$A$17,0))),INDEX(_TARGETS!$G$2:$G$17,MATCH("TVCR",_TARGETS!$A$2:$A$17,0)),"")</f>
        <v>0.79</v>
      </c>
      <c r="J320" t="s">
        <v>1157</v>
      </c>
      <c r="K320" t="s">
        <v>1093</v>
      </c>
      <c r="L320" s="193" t="str">
        <f t="shared" si="26"/>
        <v>NO_DATA</v>
      </c>
      <c r="M320" s="193" t="str">
        <f t="shared" si="27"/>
        <v>Monthly</v>
      </c>
      <c r="N320" s="193" t="str">
        <f>IF(NOT(ISNUMBER(H320)),"NO_DATA",IF(NOT(ISNUMBER(I320)),"MONITOR",IF(INDEX(_TARGETS!$E$2:$E$17,MATCH("TVCR",_TARGETS!$A$2:$A$17,0))="≤",IF(H320&lt;=I320,"ON_TARGET","OFF_TARGET"),IF(H320&gt;=I320,"ON_TARGET","OFF_TARGET"))))</f>
        <v>NO_DATA</v>
      </c>
      <c r="O320" s="193" t="str">
        <f t="shared" si="29"/>
        <v>Compressor Plant</v>
      </c>
      <c r="P320" s="193" t="str">
        <f ca="1">IF(LEFT(Control!$C$10,4)="ROJO","RED",IF(LEFT(Control!$C$10,8)="AMARILLO","AMBER","GREEN"))</f>
        <v>RED</v>
      </c>
      <c r="Q320" s="193">
        <f>IF(AND(ISNUMBER(MATCH(F320,Datos!$D$3:$AL$3,0)),F320&lt;=RPT_MONTH),1,0)</f>
        <v>0</v>
      </c>
      <c r="R320" s="193" t="str">
        <f t="shared" si="30"/>
        <v>OUT_OF_SCOPE</v>
      </c>
    </row>
    <row r="321" spans="1:18" ht="13.5" customHeight="1" x14ac:dyDescent="0.3">
      <c r="A321" t="s">
        <v>1154</v>
      </c>
      <c r="B321" t="s">
        <v>1155</v>
      </c>
      <c r="C321" t="s">
        <v>1156</v>
      </c>
      <c r="D321">
        <v>1</v>
      </c>
      <c r="E321">
        <v>8</v>
      </c>
      <c r="F321" s="258">
        <f>DATE(YEAR(RPT_MONTH),MONTH(RPT_MONTH)-4,1)</f>
        <v>46174</v>
      </c>
      <c r="G321" s="193" t="str">
        <f t="shared" si="25"/>
        <v>Jun-26</v>
      </c>
      <c r="H321" s="193" t="str">
        <f>IFERROR(1*INDEX(BD_KPIs!$F$2:$F$1300,MATCH(YEAR(F321)*100+MONTH(F321)&amp;"|TVCR|Monthly",BD_KPIs!$Q$2:$Q$1300,0)),"")</f>
        <v/>
      </c>
      <c r="I321" s="193">
        <f>IF(ISNUMBER(INDEX(_TARGETS!$G$2:$G$17,MATCH("TVCR",_TARGETS!$A$2:$A$17,0))),INDEX(_TARGETS!$G$2:$G$17,MATCH("TVCR",_TARGETS!$A$2:$A$17,0)),"")</f>
        <v>0.79</v>
      </c>
      <c r="J321" t="s">
        <v>1157</v>
      </c>
      <c r="K321" t="s">
        <v>1093</v>
      </c>
      <c r="L321" s="193" t="str">
        <f t="shared" si="26"/>
        <v>NO_DATA</v>
      </c>
      <c r="M321" s="193" t="str">
        <f t="shared" si="27"/>
        <v>Monthly</v>
      </c>
      <c r="N321" s="193" t="str">
        <f>IF(NOT(ISNUMBER(H321)),"NO_DATA",IF(NOT(ISNUMBER(I321)),"MONITOR",IF(INDEX(_TARGETS!$E$2:$E$17,MATCH("TVCR",_TARGETS!$A$2:$A$17,0))="≤",IF(H321&lt;=I321,"ON_TARGET","OFF_TARGET"),IF(H321&gt;=I321,"ON_TARGET","OFF_TARGET"))))</f>
        <v>NO_DATA</v>
      </c>
      <c r="O321" s="193" t="str">
        <f t="shared" si="29"/>
        <v>Compressor Plant</v>
      </c>
      <c r="P321" s="193" t="str">
        <f ca="1">IF(LEFT(Control!$C$10,4)="ROJO","RED",IF(LEFT(Control!$C$10,8)="AMARILLO","AMBER","GREEN"))</f>
        <v>RED</v>
      </c>
      <c r="Q321" s="193">
        <f>IF(AND(ISNUMBER(MATCH(F321,Datos!$D$3:$AL$3,0)),F321&lt;=RPT_MONTH),1,0)</f>
        <v>0</v>
      </c>
      <c r="R321" s="193" t="str">
        <f t="shared" si="30"/>
        <v>OUT_OF_SCOPE</v>
      </c>
    </row>
    <row r="322" spans="1:18" ht="13.5" customHeight="1" x14ac:dyDescent="0.3">
      <c r="A322" t="s">
        <v>1154</v>
      </c>
      <c r="B322" t="s">
        <v>1155</v>
      </c>
      <c r="C322" t="s">
        <v>1156</v>
      </c>
      <c r="D322">
        <v>1</v>
      </c>
      <c r="E322">
        <v>9</v>
      </c>
      <c r="F322" s="258">
        <f>DATE(YEAR(RPT_MONTH),MONTH(RPT_MONTH)-3,1)</f>
        <v>46204</v>
      </c>
      <c r="G322" s="193" t="str">
        <f t="shared" ref="G322:G373" si="32">CHOOSE(MONTH(F322),"Jan","Feb","Mar","Apr","May","Jun","Jul","Aug","Sep","Oct","Nov","Dec")&amp;"-"&amp;RIGHT(YEAR(F322),2)</f>
        <v>Jul-26</v>
      </c>
      <c r="H322" s="193" t="str">
        <f>IFERROR(1*INDEX(BD_KPIs!$F$2:$F$1300,MATCH(YEAR(F322)*100+MONTH(F322)&amp;"|TVCR|Monthly",BD_KPIs!$Q$2:$Q$1300,0)),"")</f>
        <v/>
      </c>
      <c r="I322" s="193">
        <f>IF(ISNUMBER(INDEX(_TARGETS!$G$2:$G$17,MATCH("TVCR",_TARGETS!$A$2:$A$17,0))),INDEX(_TARGETS!$G$2:$G$17,MATCH("TVCR",_TARGETS!$A$2:$A$17,0)),"")</f>
        <v>0.79</v>
      </c>
      <c r="J322" t="s">
        <v>1157</v>
      </c>
      <c r="K322" t="s">
        <v>1093</v>
      </c>
      <c r="L322" s="193" t="str">
        <f t="shared" ref="L322:L389" si="33">IF(ISNUMBER(H322),"OK","NO_DATA")</f>
        <v>NO_DATA</v>
      </c>
      <c r="M322" s="193" t="str">
        <f t="shared" ref="M322:M390" si="34">IF(RIGHT(B322,2)="_Y","YTD",IF(OR(B322="F_OPEN",B322="HIGH_OPEN"),"Month-end",IF(B322="ENV_STATUS","n/a","Monthly")))</f>
        <v>Monthly</v>
      </c>
      <c r="N322" s="193" t="str">
        <f>IF(NOT(ISNUMBER(H322)),"NO_DATA",IF(NOT(ISNUMBER(I322)),"MONITOR",IF(INDEX(_TARGETS!$E$2:$E$17,MATCH("TVCR",_TARGETS!$A$2:$A$17,0))="≤",IF(H322&lt;=I322,"ON_TARGET","OFF_TARGET"),IF(H322&gt;=I322,"ON_TARGET","OFF_TARGET"))))</f>
        <v>NO_DATA</v>
      </c>
      <c r="O322" s="193" t="str">
        <f t="shared" ref="O322:O390" si="35">RPT_SCOPE</f>
        <v>Compressor Plant</v>
      </c>
      <c r="P322" s="193" t="str">
        <f ca="1">IF(LEFT(Control!$C$10,4)="ROJO","RED",IF(LEFT(Control!$C$10,8)="AMARILLO","AMBER","GREEN"))</f>
        <v>RED</v>
      </c>
      <c r="Q322" s="193">
        <f>IF(AND(ISNUMBER(MATCH(F322,Datos!$D$3:$AL$3,0)),F322&lt;=RPT_MONTH),1,0)</f>
        <v>0</v>
      </c>
      <c r="R322" s="193" t="str">
        <f t="shared" ref="R322:R385" si="36">IF(A322="CH_ENV","PENDING_DEFINITION",IF(Q322=1,IF(L322="OK","OK","MISSING"),IF(ISNUMBER(H322),"CHECK","OUT_OF_SCOPE")))</f>
        <v>OUT_OF_SCOPE</v>
      </c>
    </row>
    <row r="323" spans="1:18" ht="13.5" customHeight="1" x14ac:dyDescent="0.3">
      <c r="A323" t="s">
        <v>1154</v>
      </c>
      <c r="B323" t="s">
        <v>1155</v>
      </c>
      <c r="C323" t="s">
        <v>1156</v>
      </c>
      <c r="D323">
        <v>1</v>
      </c>
      <c r="E323">
        <v>10</v>
      </c>
      <c r="F323" s="258">
        <f>DATE(YEAR(RPT_MONTH),MONTH(RPT_MONTH)-2,1)</f>
        <v>46235</v>
      </c>
      <c r="G323" s="193" t="str">
        <f t="shared" si="32"/>
        <v>Aug-26</v>
      </c>
      <c r="H323" s="193">
        <f>IFERROR(1*INDEX(BD_KPIs!$F$2:$F$1300,MATCH(YEAR(F323)*100+MONTH(F323)&amp;"|TVCR|Monthly",BD_KPIs!$Q$2:$Q$1300,0)),"")</f>
        <v>0</v>
      </c>
      <c r="I323" s="193">
        <f>IF(ISNUMBER(INDEX(_TARGETS!$G$2:$G$17,MATCH("TVCR",_TARGETS!$A$2:$A$17,0))),INDEX(_TARGETS!$G$2:$G$17,MATCH("TVCR",_TARGETS!$A$2:$A$17,0)),"")</f>
        <v>0.79</v>
      </c>
      <c r="J323" t="s">
        <v>1157</v>
      </c>
      <c r="K323" t="s">
        <v>1093</v>
      </c>
      <c r="L323" s="193" t="str">
        <f t="shared" si="33"/>
        <v>OK</v>
      </c>
      <c r="M323" s="193" t="str">
        <f t="shared" si="34"/>
        <v>Monthly</v>
      </c>
      <c r="N323" s="193" t="str">
        <f>IF(NOT(ISNUMBER(H323)),"NO_DATA",IF(NOT(ISNUMBER(I323)),"MONITOR",IF(INDEX(_TARGETS!$E$2:$E$17,MATCH("TVCR",_TARGETS!$A$2:$A$17,0))="≤",IF(H323&lt;=I323,"ON_TARGET","OFF_TARGET"),IF(H323&gt;=I323,"ON_TARGET","OFF_TARGET"))))</f>
        <v>ON_TARGET</v>
      </c>
      <c r="O323" s="193" t="str">
        <f t="shared" si="35"/>
        <v>Compressor Plant</v>
      </c>
      <c r="P323" s="193" t="str">
        <f ca="1">IF(LEFT(Control!$C$10,4)="ROJO","RED",IF(LEFT(Control!$C$10,8)="AMARILLO","AMBER","GREEN"))</f>
        <v>RED</v>
      </c>
      <c r="Q323" s="193">
        <f>IF(AND(ISNUMBER(MATCH(F323,Datos!$D$3:$AL$3,0)),F323&lt;=RPT_MONTH),1,0)</f>
        <v>1</v>
      </c>
      <c r="R323" s="193" t="str">
        <f t="shared" si="36"/>
        <v>OK</v>
      </c>
    </row>
    <row r="324" spans="1:18" ht="13.5" customHeight="1" x14ac:dyDescent="0.3">
      <c r="A324" t="s">
        <v>1154</v>
      </c>
      <c r="B324" t="s">
        <v>1155</v>
      </c>
      <c r="C324" t="s">
        <v>1156</v>
      </c>
      <c r="D324">
        <v>1</v>
      </c>
      <c r="E324">
        <v>11</v>
      </c>
      <c r="F324" s="258">
        <f>DATE(YEAR(RPT_MONTH),MONTH(RPT_MONTH)-1,1)</f>
        <v>46266</v>
      </c>
      <c r="G324" s="193" t="str">
        <f t="shared" si="32"/>
        <v>Sep-26</v>
      </c>
      <c r="H324" s="193">
        <f>IFERROR(1*INDEX(BD_KPIs!$F$2:$F$1300,MATCH(YEAR(F324)*100+MONTH(F324)&amp;"|TVCR|Monthly",BD_KPIs!$Q$2:$Q$1300,0)),"")</f>
        <v>0</v>
      </c>
      <c r="I324" s="193">
        <f>IF(ISNUMBER(INDEX(_TARGETS!$G$2:$G$17,MATCH("TVCR",_TARGETS!$A$2:$A$17,0))),INDEX(_TARGETS!$G$2:$G$17,MATCH("TVCR",_TARGETS!$A$2:$A$17,0)),"")</f>
        <v>0.79</v>
      </c>
      <c r="J324" t="s">
        <v>1157</v>
      </c>
      <c r="K324" t="s">
        <v>1093</v>
      </c>
      <c r="L324" s="193" t="str">
        <f t="shared" si="33"/>
        <v>OK</v>
      </c>
      <c r="M324" s="193" t="str">
        <f t="shared" si="34"/>
        <v>Monthly</v>
      </c>
      <c r="N324" s="193" t="str">
        <f>IF(NOT(ISNUMBER(H324)),"NO_DATA",IF(NOT(ISNUMBER(I324)),"MONITOR",IF(INDEX(_TARGETS!$E$2:$E$17,MATCH("TVCR",_TARGETS!$A$2:$A$17,0))="≤",IF(H324&lt;=I324,"ON_TARGET","OFF_TARGET"),IF(H324&gt;=I324,"ON_TARGET","OFF_TARGET"))))</f>
        <v>ON_TARGET</v>
      </c>
      <c r="O324" s="193" t="str">
        <f t="shared" si="35"/>
        <v>Compressor Plant</v>
      </c>
      <c r="P324" s="193" t="str">
        <f ca="1">IF(LEFT(Control!$C$10,4)="ROJO","RED",IF(LEFT(Control!$C$10,8)="AMARILLO","AMBER","GREEN"))</f>
        <v>RED</v>
      </c>
      <c r="Q324" s="193">
        <f>IF(AND(ISNUMBER(MATCH(F324,Datos!$D$3:$AL$3,0)),F324&lt;=RPT_MONTH),1,0)</f>
        <v>1</v>
      </c>
      <c r="R324" s="193" t="str">
        <f t="shared" si="36"/>
        <v>OK</v>
      </c>
    </row>
    <row r="325" spans="1:18" ht="13.5" customHeight="1" x14ac:dyDescent="0.3">
      <c r="A325" t="s">
        <v>1154</v>
      </c>
      <c r="B325" t="s">
        <v>1155</v>
      </c>
      <c r="C325" t="s">
        <v>1156</v>
      </c>
      <c r="D325">
        <v>1</v>
      </c>
      <c r="E325">
        <v>12</v>
      </c>
      <c r="F325" s="258">
        <f>DATE(YEAR(RPT_MONTH),MONTH(RPT_MONTH)-0,1)</f>
        <v>46296</v>
      </c>
      <c r="G325" s="193" t="str">
        <f t="shared" si="32"/>
        <v>Oct-26</v>
      </c>
      <c r="H325" s="193" t="str">
        <f>IFERROR(1*INDEX(BD_KPIs!$F$2:$F$1300,MATCH(YEAR(F325)*100+MONTH(F325)&amp;"|TVCR|Monthly",BD_KPIs!$Q$2:$Q$1300,0)),"")</f>
        <v/>
      </c>
      <c r="I325" s="193">
        <f>IF(ISNUMBER(INDEX(_TARGETS!$G$2:$G$17,MATCH("TVCR",_TARGETS!$A$2:$A$17,0))),INDEX(_TARGETS!$G$2:$G$17,MATCH("TVCR",_TARGETS!$A$2:$A$17,0)),"")</f>
        <v>0.79</v>
      </c>
      <c r="J325" t="s">
        <v>1157</v>
      </c>
      <c r="K325" t="s">
        <v>1093</v>
      </c>
      <c r="L325" s="193" t="str">
        <f t="shared" si="33"/>
        <v>NO_DATA</v>
      </c>
      <c r="M325" s="193" t="str">
        <f t="shared" si="34"/>
        <v>Monthly</v>
      </c>
      <c r="N325" s="193" t="str">
        <f>IF(NOT(ISNUMBER(H325)),"NO_DATA",IF(NOT(ISNUMBER(I325)),"MONITOR",IF(INDEX(_TARGETS!$E$2:$E$17,MATCH("TVCR",_TARGETS!$A$2:$A$17,0))="≤",IF(H325&lt;=I325,"ON_TARGET","OFF_TARGET"),IF(H325&gt;=I325,"ON_TARGET","OFF_TARGET"))))</f>
        <v>NO_DATA</v>
      </c>
      <c r="O325" s="193" t="str">
        <f t="shared" si="35"/>
        <v>Compressor Plant</v>
      </c>
      <c r="P325" s="193" t="str">
        <f ca="1">IF(LEFT(Control!$C$10,4)="ROJO","RED",IF(LEFT(Control!$C$10,8)="AMARILLO","AMBER","GREEN"))</f>
        <v>RED</v>
      </c>
      <c r="Q325" s="193">
        <f>IF(AND(ISNUMBER(MATCH(F325,Datos!$D$3:$AL$3,0)),F325&lt;=RPT_MONTH),1,0)</f>
        <v>1</v>
      </c>
      <c r="R325" s="193" t="str">
        <f t="shared" si="36"/>
        <v>MISSING</v>
      </c>
    </row>
    <row r="326" spans="1:18" ht="13.5" customHeight="1" x14ac:dyDescent="0.3">
      <c r="A326" t="s">
        <v>1154</v>
      </c>
      <c r="B326" t="s">
        <v>1158</v>
      </c>
      <c r="C326" t="s">
        <v>1159</v>
      </c>
      <c r="D326">
        <v>2</v>
      </c>
      <c r="E326">
        <v>1</v>
      </c>
      <c r="F326" s="258">
        <f>DATE(YEAR(RPT_MONTH),MONTH(RPT_MONTH)-11,1)</f>
        <v>45962</v>
      </c>
      <c r="G326" s="193" t="str">
        <f t="shared" si="32"/>
        <v>Nov-25</v>
      </c>
      <c r="H326" s="193" t="str">
        <f>IFERROR(1*INDEX(BD_KPIs!$F$2:$F$1300,MATCH(YEAR(F326)*100+MONTH(F326)&amp;"|TVCR|YTD",BD_KPIs!$Q$2:$Q$1300,0)),"")</f>
        <v/>
      </c>
      <c r="I326" s="193">
        <f>IF(ISNUMBER(INDEX(_TARGETS!$G$2:$G$17,MATCH("TVCR",_TARGETS!$A$2:$A$17,0))),INDEX(_TARGETS!$G$2:$G$17,MATCH("TVCR",_TARGETS!$A$2:$A$17,0)),"")</f>
        <v>0.79</v>
      </c>
      <c r="J326" t="s">
        <v>1157</v>
      </c>
      <c r="K326" t="s">
        <v>1093</v>
      </c>
      <c r="L326" s="193" t="str">
        <f t="shared" si="33"/>
        <v>NO_DATA</v>
      </c>
      <c r="M326" s="193" t="str">
        <f t="shared" si="34"/>
        <v>YTD</v>
      </c>
      <c r="N326" s="193" t="str">
        <f>IF(NOT(ISNUMBER(H326)),"NO_DATA",IF(NOT(ISNUMBER(I326)),"MONITOR",IF(INDEX(_TARGETS!$E$2:$E$17,MATCH("TVCR",_TARGETS!$A$2:$A$17,0))="≤",IF(H326&lt;=I326,"ON_TARGET","OFF_TARGET"),IF(H326&gt;=I326,"ON_TARGET","OFF_TARGET"))))</f>
        <v>NO_DATA</v>
      </c>
      <c r="O326" s="193" t="str">
        <f t="shared" si="35"/>
        <v>Compressor Plant</v>
      </c>
      <c r="P326" s="193" t="str">
        <f ca="1">IF(LEFT(Control!$C$10,4)="ROJO","RED",IF(LEFT(Control!$C$10,8)="AMARILLO","AMBER","GREEN"))</f>
        <v>RED</v>
      </c>
      <c r="Q326" s="193">
        <f>IF(AND(ISNUMBER(MATCH(F326,Datos!$D$3:$AL$3,0)),F326&lt;=RPT_MONTH),1,0)</f>
        <v>0</v>
      </c>
      <c r="R326" s="193" t="str">
        <f t="shared" si="36"/>
        <v>OUT_OF_SCOPE</v>
      </c>
    </row>
    <row r="327" spans="1:18" ht="13.5" customHeight="1" x14ac:dyDescent="0.3">
      <c r="A327" t="s">
        <v>1154</v>
      </c>
      <c r="B327" t="s">
        <v>1158</v>
      </c>
      <c r="C327" t="s">
        <v>1159</v>
      </c>
      <c r="D327">
        <v>2</v>
      </c>
      <c r="E327">
        <v>2</v>
      </c>
      <c r="F327" s="258">
        <f>DATE(YEAR(RPT_MONTH),MONTH(RPT_MONTH)-10,1)</f>
        <v>45992</v>
      </c>
      <c r="G327" s="193" t="str">
        <f t="shared" si="32"/>
        <v>Dec-25</v>
      </c>
      <c r="H327" s="193" t="str">
        <f>IFERROR(1*INDEX(BD_KPIs!$F$2:$F$1300,MATCH(YEAR(F327)*100+MONTH(F327)&amp;"|TVCR|YTD",BD_KPIs!$Q$2:$Q$1300,0)),"")</f>
        <v/>
      </c>
      <c r="I327" s="193">
        <f>IF(ISNUMBER(INDEX(_TARGETS!$G$2:$G$17,MATCH("TVCR",_TARGETS!$A$2:$A$17,0))),INDEX(_TARGETS!$G$2:$G$17,MATCH("TVCR",_TARGETS!$A$2:$A$17,0)),"")</f>
        <v>0.79</v>
      </c>
      <c r="J327" t="s">
        <v>1157</v>
      </c>
      <c r="K327" t="s">
        <v>1093</v>
      </c>
      <c r="L327" s="193" t="str">
        <f t="shared" si="33"/>
        <v>NO_DATA</v>
      </c>
      <c r="M327" s="193" t="str">
        <f t="shared" si="34"/>
        <v>YTD</v>
      </c>
      <c r="N327" s="193" t="str">
        <f>IF(NOT(ISNUMBER(H327)),"NO_DATA",IF(NOT(ISNUMBER(I327)),"MONITOR",IF(INDEX(_TARGETS!$E$2:$E$17,MATCH("TVCR",_TARGETS!$A$2:$A$17,0))="≤",IF(H327&lt;=I327,"ON_TARGET","OFF_TARGET"),IF(H327&gt;=I327,"ON_TARGET","OFF_TARGET"))))</f>
        <v>NO_DATA</v>
      </c>
      <c r="O327" s="193" t="str">
        <f t="shared" si="35"/>
        <v>Compressor Plant</v>
      </c>
      <c r="P327" s="193" t="str">
        <f ca="1">IF(LEFT(Control!$C$10,4)="ROJO","RED",IF(LEFT(Control!$C$10,8)="AMARILLO","AMBER","GREEN"))</f>
        <v>RED</v>
      </c>
      <c r="Q327" s="193">
        <f>IF(AND(ISNUMBER(MATCH(F327,Datos!$D$3:$AL$3,0)),F327&lt;=RPT_MONTH),1,0)</f>
        <v>0</v>
      </c>
      <c r="R327" s="193" t="str">
        <f t="shared" si="36"/>
        <v>OUT_OF_SCOPE</v>
      </c>
    </row>
    <row r="328" spans="1:18" ht="13.5" customHeight="1" x14ac:dyDescent="0.3">
      <c r="A328" t="s">
        <v>1154</v>
      </c>
      <c r="B328" t="s">
        <v>1158</v>
      </c>
      <c r="C328" t="s">
        <v>1159</v>
      </c>
      <c r="D328">
        <v>2</v>
      </c>
      <c r="E328">
        <v>3</v>
      </c>
      <c r="F328" s="258">
        <f>DATE(YEAR(RPT_MONTH),MONTH(RPT_MONTH)-9,1)</f>
        <v>46023</v>
      </c>
      <c r="G328" s="193" t="str">
        <f t="shared" si="32"/>
        <v>Jan-26</v>
      </c>
      <c r="H328" s="193" t="str">
        <f>IFERROR(1*INDEX(BD_KPIs!$F$2:$F$1300,MATCH(YEAR(F328)*100+MONTH(F328)&amp;"|TVCR|YTD",BD_KPIs!$Q$2:$Q$1300,0)),"")</f>
        <v/>
      </c>
      <c r="I328" s="193">
        <f>IF(ISNUMBER(INDEX(_TARGETS!$G$2:$G$17,MATCH("TVCR",_TARGETS!$A$2:$A$17,0))),INDEX(_TARGETS!$G$2:$G$17,MATCH("TVCR",_TARGETS!$A$2:$A$17,0)),"")</f>
        <v>0.79</v>
      </c>
      <c r="J328" t="s">
        <v>1157</v>
      </c>
      <c r="K328" t="s">
        <v>1093</v>
      </c>
      <c r="L328" s="193" t="str">
        <f t="shared" si="33"/>
        <v>NO_DATA</v>
      </c>
      <c r="M328" s="193" t="str">
        <f t="shared" si="34"/>
        <v>YTD</v>
      </c>
      <c r="N328" s="193" t="str">
        <f>IF(NOT(ISNUMBER(H328)),"NO_DATA",IF(NOT(ISNUMBER(I328)),"MONITOR",IF(INDEX(_TARGETS!$E$2:$E$17,MATCH("TVCR",_TARGETS!$A$2:$A$17,0))="≤",IF(H328&lt;=I328,"ON_TARGET","OFF_TARGET"),IF(H328&gt;=I328,"ON_TARGET","OFF_TARGET"))))</f>
        <v>NO_DATA</v>
      </c>
      <c r="O328" s="193" t="str">
        <f t="shared" si="35"/>
        <v>Compressor Plant</v>
      </c>
      <c r="P328" s="193" t="str">
        <f ca="1">IF(LEFT(Control!$C$10,4)="ROJO","RED",IF(LEFT(Control!$C$10,8)="AMARILLO","AMBER","GREEN"))</f>
        <v>RED</v>
      </c>
      <c r="Q328" s="193">
        <f>IF(AND(ISNUMBER(MATCH(F328,Datos!$D$3:$AL$3,0)),F328&lt;=RPT_MONTH),1,0)</f>
        <v>0</v>
      </c>
      <c r="R328" s="193" t="str">
        <f t="shared" si="36"/>
        <v>OUT_OF_SCOPE</v>
      </c>
    </row>
    <row r="329" spans="1:18" ht="13.5" customHeight="1" x14ac:dyDescent="0.3">
      <c r="A329" t="s">
        <v>1154</v>
      </c>
      <c r="B329" t="s">
        <v>1158</v>
      </c>
      <c r="C329" t="s">
        <v>1159</v>
      </c>
      <c r="D329">
        <v>2</v>
      </c>
      <c r="E329">
        <v>4</v>
      </c>
      <c r="F329" s="258">
        <f>DATE(YEAR(RPT_MONTH),MONTH(RPT_MONTH)-8,1)</f>
        <v>46054</v>
      </c>
      <c r="G329" s="193" t="str">
        <f t="shared" si="32"/>
        <v>Feb-26</v>
      </c>
      <c r="H329" s="193" t="str">
        <f>IFERROR(1*INDEX(BD_KPIs!$F$2:$F$1300,MATCH(YEAR(F329)*100+MONTH(F329)&amp;"|TVCR|YTD",BD_KPIs!$Q$2:$Q$1300,0)),"")</f>
        <v/>
      </c>
      <c r="I329" s="193">
        <f>IF(ISNUMBER(INDEX(_TARGETS!$G$2:$G$17,MATCH("TVCR",_TARGETS!$A$2:$A$17,0))),INDEX(_TARGETS!$G$2:$G$17,MATCH("TVCR",_TARGETS!$A$2:$A$17,0)),"")</f>
        <v>0.79</v>
      </c>
      <c r="J329" t="s">
        <v>1157</v>
      </c>
      <c r="K329" t="s">
        <v>1093</v>
      </c>
      <c r="L329" s="193" t="str">
        <f t="shared" si="33"/>
        <v>NO_DATA</v>
      </c>
      <c r="M329" s="193" t="str">
        <f t="shared" si="34"/>
        <v>YTD</v>
      </c>
      <c r="N329" s="193" t="str">
        <f>IF(NOT(ISNUMBER(H329)),"NO_DATA",IF(NOT(ISNUMBER(I329)),"MONITOR",IF(INDEX(_TARGETS!$E$2:$E$17,MATCH("TVCR",_TARGETS!$A$2:$A$17,0))="≤",IF(H329&lt;=I329,"ON_TARGET","OFF_TARGET"),IF(H329&gt;=I329,"ON_TARGET","OFF_TARGET"))))</f>
        <v>NO_DATA</v>
      </c>
      <c r="O329" s="193" t="str">
        <f t="shared" si="35"/>
        <v>Compressor Plant</v>
      </c>
      <c r="P329" s="193" t="str">
        <f ca="1">IF(LEFT(Control!$C$10,4)="ROJO","RED",IF(LEFT(Control!$C$10,8)="AMARILLO","AMBER","GREEN"))</f>
        <v>RED</v>
      </c>
      <c r="Q329" s="193">
        <f>IF(AND(ISNUMBER(MATCH(F329,Datos!$D$3:$AL$3,0)),F329&lt;=RPT_MONTH),1,0)</f>
        <v>0</v>
      </c>
      <c r="R329" s="193" t="str">
        <f t="shared" si="36"/>
        <v>OUT_OF_SCOPE</v>
      </c>
    </row>
    <row r="330" spans="1:18" ht="13.5" customHeight="1" x14ac:dyDescent="0.3">
      <c r="A330" t="s">
        <v>1154</v>
      </c>
      <c r="B330" t="s">
        <v>1158</v>
      </c>
      <c r="C330" t="s">
        <v>1159</v>
      </c>
      <c r="D330">
        <v>2</v>
      </c>
      <c r="E330">
        <v>5</v>
      </c>
      <c r="F330" s="258">
        <f>DATE(YEAR(RPT_MONTH),MONTH(RPT_MONTH)-7,1)</f>
        <v>46082</v>
      </c>
      <c r="G330" s="193" t="str">
        <f t="shared" si="32"/>
        <v>Mar-26</v>
      </c>
      <c r="H330" s="193" t="str">
        <f>IFERROR(1*INDEX(BD_KPIs!$F$2:$F$1300,MATCH(YEAR(F330)*100+MONTH(F330)&amp;"|TVCR|YTD",BD_KPIs!$Q$2:$Q$1300,0)),"")</f>
        <v/>
      </c>
      <c r="I330" s="193">
        <f>IF(ISNUMBER(INDEX(_TARGETS!$G$2:$G$17,MATCH("TVCR",_TARGETS!$A$2:$A$17,0))),INDEX(_TARGETS!$G$2:$G$17,MATCH("TVCR",_TARGETS!$A$2:$A$17,0)),"")</f>
        <v>0.79</v>
      </c>
      <c r="J330" t="s">
        <v>1157</v>
      </c>
      <c r="K330" t="s">
        <v>1093</v>
      </c>
      <c r="L330" s="193" t="str">
        <f t="shared" si="33"/>
        <v>NO_DATA</v>
      </c>
      <c r="M330" s="193" t="str">
        <f t="shared" si="34"/>
        <v>YTD</v>
      </c>
      <c r="N330" s="193" t="str">
        <f>IF(NOT(ISNUMBER(H330)),"NO_DATA",IF(NOT(ISNUMBER(I330)),"MONITOR",IF(INDEX(_TARGETS!$E$2:$E$17,MATCH("TVCR",_TARGETS!$A$2:$A$17,0))="≤",IF(H330&lt;=I330,"ON_TARGET","OFF_TARGET"),IF(H330&gt;=I330,"ON_TARGET","OFF_TARGET"))))</f>
        <v>NO_DATA</v>
      </c>
      <c r="O330" s="193" t="str">
        <f t="shared" si="35"/>
        <v>Compressor Plant</v>
      </c>
      <c r="P330" s="193" t="str">
        <f ca="1">IF(LEFT(Control!$C$10,4)="ROJO","RED",IF(LEFT(Control!$C$10,8)="AMARILLO","AMBER","GREEN"))</f>
        <v>RED</v>
      </c>
      <c r="Q330" s="193">
        <f>IF(AND(ISNUMBER(MATCH(F330,Datos!$D$3:$AL$3,0)),F330&lt;=RPT_MONTH),1,0)</f>
        <v>0</v>
      </c>
      <c r="R330" s="193" t="str">
        <f t="shared" si="36"/>
        <v>OUT_OF_SCOPE</v>
      </c>
    </row>
    <row r="331" spans="1:18" ht="13.5" customHeight="1" x14ac:dyDescent="0.3">
      <c r="A331" t="s">
        <v>1154</v>
      </c>
      <c r="B331" t="s">
        <v>1158</v>
      </c>
      <c r="C331" t="s">
        <v>1159</v>
      </c>
      <c r="D331">
        <v>2</v>
      </c>
      <c r="E331">
        <v>6</v>
      </c>
      <c r="F331" s="258">
        <f>DATE(YEAR(RPT_MONTH),MONTH(RPT_MONTH)-6,1)</f>
        <v>46113</v>
      </c>
      <c r="G331" s="193" t="str">
        <f t="shared" si="32"/>
        <v>Apr-26</v>
      </c>
      <c r="H331" s="193" t="str">
        <f>IFERROR(1*INDEX(BD_KPIs!$F$2:$F$1300,MATCH(YEAR(F331)*100+MONTH(F331)&amp;"|TVCR|YTD",BD_KPIs!$Q$2:$Q$1300,0)),"")</f>
        <v/>
      </c>
      <c r="I331" s="193">
        <f>IF(ISNUMBER(INDEX(_TARGETS!$G$2:$G$17,MATCH("TVCR",_TARGETS!$A$2:$A$17,0))),INDEX(_TARGETS!$G$2:$G$17,MATCH("TVCR",_TARGETS!$A$2:$A$17,0)),"")</f>
        <v>0.79</v>
      </c>
      <c r="J331" t="s">
        <v>1157</v>
      </c>
      <c r="K331" t="s">
        <v>1093</v>
      </c>
      <c r="L331" s="193" t="str">
        <f t="shared" si="33"/>
        <v>NO_DATA</v>
      </c>
      <c r="M331" s="193" t="str">
        <f t="shared" si="34"/>
        <v>YTD</v>
      </c>
      <c r="N331" s="193" t="str">
        <f>IF(NOT(ISNUMBER(H331)),"NO_DATA",IF(NOT(ISNUMBER(I331)),"MONITOR",IF(INDEX(_TARGETS!$E$2:$E$17,MATCH("TVCR",_TARGETS!$A$2:$A$17,0))="≤",IF(H331&lt;=I331,"ON_TARGET","OFF_TARGET"),IF(H331&gt;=I331,"ON_TARGET","OFF_TARGET"))))</f>
        <v>NO_DATA</v>
      </c>
      <c r="O331" s="193" t="str">
        <f t="shared" si="35"/>
        <v>Compressor Plant</v>
      </c>
      <c r="P331" s="193" t="str">
        <f ca="1">IF(LEFT(Control!$C$10,4)="ROJO","RED",IF(LEFT(Control!$C$10,8)="AMARILLO","AMBER","GREEN"))</f>
        <v>RED</v>
      </c>
      <c r="Q331" s="193">
        <f>IF(AND(ISNUMBER(MATCH(F331,Datos!$D$3:$AL$3,0)),F331&lt;=RPT_MONTH),1,0)</f>
        <v>0</v>
      </c>
      <c r="R331" s="193" t="str">
        <f t="shared" si="36"/>
        <v>OUT_OF_SCOPE</v>
      </c>
    </row>
    <row r="332" spans="1:18" ht="13.5" customHeight="1" x14ac:dyDescent="0.3">
      <c r="A332" t="s">
        <v>1154</v>
      </c>
      <c r="B332" t="s">
        <v>1158</v>
      </c>
      <c r="C332" t="s">
        <v>1159</v>
      </c>
      <c r="D332">
        <v>2</v>
      </c>
      <c r="E332">
        <v>7</v>
      </c>
      <c r="F332" s="258">
        <f>DATE(YEAR(RPT_MONTH),MONTH(RPT_MONTH)-5,1)</f>
        <v>46143</v>
      </c>
      <c r="G332" s="193" t="str">
        <f t="shared" si="32"/>
        <v>May-26</v>
      </c>
      <c r="H332" s="193" t="str">
        <f>IFERROR(1*INDEX(BD_KPIs!$F$2:$F$1300,MATCH(YEAR(F332)*100+MONTH(F332)&amp;"|TVCR|YTD",BD_KPIs!$Q$2:$Q$1300,0)),"")</f>
        <v/>
      </c>
      <c r="I332" s="193">
        <f>IF(ISNUMBER(INDEX(_TARGETS!$G$2:$G$17,MATCH("TVCR",_TARGETS!$A$2:$A$17,0))),INDEX(_TARGETS!$G$2:$G$17,MATCH("TVCR",_TARGETS!$A$2:$A$17,0)),"")</f>
        <v>0.79</v>
      </c>
      <c r="J332" t="s">
        <v>1157</v>
      </c>
      <c r="K332" t="s">
        <v>1093</v>
      </c>
      <c r="L332" s="193" t="str">
        <f t="shared" si="33"/>
        <v>NO_DATA</v>
      </c>
      <c r="M332" s="193" t="str">
        <f t="shared" si="34"/>
        <v>YTD</v>
      </c>
      <c r="N332" s="193" t="str">
        <f>IF(NOT(ISNUMBER(H332)),"NO_DATA",IF(NOT(ISNUMBER(I332)),"MONITOR",IF(INDEX(_TARGETS!$E$2:$E$17,MATCH("TVCR",_TARGETS!$A$2:$A$17,0))="≤",IF(H332&lt;=I332,"ON_TARGET","OFF_TARGET"),IF(H332&gt;=I332,"ON_TARGET","OFF_TARGET"))))</f>
        <v>NO_DATA</v>
      </c>
      <c r="O332" s="193" t="str">
        <f t="shared" si="35"/>
        <v>Compressor Plant</v>
      </c>
      <c r="P332" s="193" t="str">
        <f ca="1">IF(LEFT(Control!$C$10,4)="ROJO","RED",IF(LEFT(Control!$C$10,8)="AMARILLO","AMBER","GREEN"))</f>
        <v>RED</v>
      </c>
      <c r="Q332" s="193">
        <f>IF(AND(ISNUMBER(MATCH(F332,Datos!$D$3:$AL$3,0)),F332&lt;=RPT_MONTH),1,0)</f>
        <v>0</v>
      </c>
      <c r="R332" s="193" t="str">
        <f t="shared" si="36"/>
        <v>OUT_OF_SCOPE</v>
      </c>
    </row>
    <row r="333" spans="1:18" ht="13.5" customHeight="1" x14ac:dyDescent="0.3">
      <c r="A333" t="s">
        <v>1154</v>
      </c>
      <c r="B333" t="s">
        <v>1158</v>
      </c>
      <c r="C333" t="s">
        <v>1159</v>
      </c>
      <c r="D333">
        <v>2</v>
      </c>
      <c r="E333">
        <v>8</v>
      </c>
      <c r="F333" s="258">
        <f>DATE(YEAR(RPT_MONTH),MONTH(RPT_MONTH)-4,1)</f>
        <v>46174</v>
      </c>
      <c r="G333" s="193" t="str">
        <f t="shared" si="32"/>
        <v>Jun-26</v>
      </c>
      <c r="H333" s="193" t="str">
        <f>IFERROR(1*INDEX(BD_KPIs!$F$2:$F$1300,MATCH(YEAR(F333)*100+MONTH(F333)&amp;"|TVCR|YTD",BD_KPIs!$Q$2:$Q$1300,0)),"")</f>
        <v/>
      </c>
      <c r="I333" s="193">
        <f>IF(ISNUMBER(INDEX(_TARGETS!$G$2:$G$17,MATCH("TVCR",_TARGETS!$A$2:$A$17,0))),INDEX(_TARGETS!$G$2:$G$17,MATCH("TVCR",_TARGETS!$A$2:$A$17,0)),"")</f>
        <v>0.79</v>
      </c>
      <c r="J333" t="s">
        <v>1157</v>
      </c>
      <c r="K333" t="s">
        <v>1093</v>
      </c>
      <c r="L333" s="193" t="str">
        <f t="shared" si="33"/>
        <v>NO_DATA</v>
      </c>
      <c r="M333" s="193" t="str">
        <f t="shared" si="34"/>
        <v>YTD</v>
      </c>
      <c r="N333" s="193" t="str">
        <f>IF(NOT(ISNUMBER(H333)),"NO_DATA",IF(NOT(ISNUMBER(I333)),"MONITOR",IF(INDEX(_TARGETS!$E$2:$E$17,MATCH("TVCR",_TARGETS!$A$2:$A$17,0))="≤",IF(H333&lt;=I333,"ON_TARGET","OFF_TARGET"),IF(H333&gt;=I333,"ON_TARGET","OFF_TARGET"))))</f>
        <v>NO_DATA</v>
      </c>
      <c r="O333" s="193" t="str">
        <f t="shared" si="35"/>
        <v>Compressor Plant</v>
      </c>
      <c r="P333" s="193" t="str">
        <f ca="1">IF(LEFT(Control!$C$10,4)="ROJO","RED",IF(LEFT(Control!$C$10,8)="AMARILLO","AMBER","GREEN"))</f>
        <v>RED</v>
      </c>
      <c r="Q333" s="193">
        <f>IF(AND(ISNUMBER(MATCH(F333,Datos!$D$3:$AL$3,0)),F333&lt;=RPT_MONTH),1,0)</f>
        <v>0</v>
      </c>
      <c r="R333" s="193" t="str">
        <f t="shared" si="36"/>
        <v>OUT_OF_SCOPE</v>
      </c>
    </row>
    <row r="334" spans="1:18" ht="13.5" customHeight="1" x14ac:dyDescent="0.3">
      <c r="A334" t="s">
        <v>1154</v>
      </c>
      <c r="B334" t="s">
        <v>1158</v>
      </c>
      <c r="C334" t="s">
        <v>1159</v>
      </c>
      <c r="D334">
        <v>2</v>
      </c>
      <c r="E334">
        <v>9</v>
      </c>
      <c r="F334" s="258">
        <f>DATE(YEAR(RPT_MONTH),MONTH(RPT_MONTH)-3,1)</f>
        <v>46204</v>
      </c>
      <c r="G334" s="193" t="str">
        <f t="shared" si="32"/>
        <v>Jul-26</v>
      </c>
      <c r="H334" s="193" t="str">
        <f>IFERROR(1*INDEX(BD_KPIs!$F$2:$F$1300,MATCH(YEAR(F334)*100+MONTH(F334)&amp;"|TVCR|YTD",BD_KPIs!$Q$2:$Q$1300,0)),"")</f>
        <v/>
      </c>
      <c r="I334" s="193">
        <f>IF(ISNUMBER(INDEX(_TARGETS!$G$2:$G$17,MATCH("TVCR",_TARGETS!$A$2:$A$17,0))),INDEX(_TARGETS!$G$2:$G$17,MATCH("TVCR",_TARGETS!$A$2:$A$17,0)),"")</f>
        <v>0.79</v>
      </c>
      <c r="J334" t="s">
        <v>1157</v>
      </c>
      <c r="K334" t="s">
        <v>1093</v>
      </c>
      <c r="L334" s="193" t="str">
        <f t="shared" si="33"/>
        <v>NO_DATA</v>
      </c>
      <c r="M334" s="193" t="str">
        <f t="shared" si="34"/>
        <v>YTD</v>
      </c>
      <c r="N334" s="193" t="str">
        <f>IF(NOT(ISNUMBER(H334)),"NO_DATA",IF(NOT(ISNUMBER(I334)),"MONITOR",IF(INDEX(_TARGETS!$E$2:$E$17,MATCH("TVCR",_TARGETS!$A$2:$A$17,0))="≤",IF(H334&lt;=I334,"ON_TARGET","OFF_TARGET"),IF(H334&gt;=I334,"ON_TARGET","OFF_TARGET"))))</f>
        <v>NO_DATA</v>
      </c>
      <c r="O334" s="193" t="str">
        <f t="shared" si="35"/>
        <v>Compressor Plant</v>
      </c>
      <c r="P334" s="193" t="str">
        <f ca="1">IF(LEFT(Control!$C$10,4)="ROJO","RED",IF(LEFT(Control!$C$10,8)="AMARILLO","AMBER","GREEN"))</f>
        <v>RED</v>
      </c>
      <c r="Q334" s="193">
        <f>IF(AND(ISNUMBER(MATCH(F334,Datos!$D$3:$AL$3,0)),F334&lt;=RPT_MONTH),1,0)</f>
        <v>0</v>
      </c>
      <c r="R334" s="193" t="str">
        <f t="shared" si="36"/>
        <v>OUT_OF_SCOPE</v>
      </c>
    </row>
    <row r="335" spans="1:18" ht="13.5" customHeight="1" x14ac:dyDescent="0.3">
      <c r="A335" t="s">
        <v>1154</v>
      </c>
      <c r="B335" t="s">
        <v>1158</v>
      </c>
      <c r="C335" t="s">
        <v>1159</v>
      </c>
      <c r="D335">
        <v>2</v>
      </c>
      <c r="E335">
        <v>10</v>
      </c>
      <c r="F335" s="258">
        <f>DATE(YEAR(RPT_MONTH),MONTH(RPT_MONTH)-2,1)</f>
        <v>46235</v>
      </c>
      <c r="G335" s="193" t="str">
        <f t="shared" si="32"/>
        <v>Aug-26</v>
      </c>
      <c r="H335" s="193">
        <f>IFERROR(1*INDEX(BD_KPIs!$F$2:$F$1300,MATCH(YEAR(F335)*100+MONTH(F335)&amp;"|TVCR|YTD",BD_KPIs!$Q$2:$Q$1300,0)),"")</f>
        <v>0</v>
      </c>
      <c r="I335" s="193">
        <f>IF(ISNUMBER(INDEX(_TARGETS!$G$2:$G$17,MATCH("TVCR",_TARGETS!$A$2:$A$17,0))),INDEX(_TARGETS!$G$2:$G$17,MATCH("TVCR",_TARGETS!$A$2:$A$17,0)),"")</f>
        <v>0.79</v>
      </c>
      <c r="J335" t="s">
        <v>1157</v>
      </c>
      <c r="K335" t="s">
        <v>1093</v>
      </c>
      <c r="L335" s="193" t="str">
        <f t="shared" si="33"/>
        <v>OK</v>
      </c>
      <c r="M335" s="193" t="str">
        <f t="shared" si="34"/>
        <v>YTD</v>
      </c>
      <c r="N335" s="193" t="str">
        <f>IF(NOT(ISNUMBER(H335)),"NO_DATA",IF(NOT(ISNUMBER(I335)),"MONITOR",IF(INDEX(_TARGETS!$E$2:$E$17,MATCH("TVCR",_TARGETS!$A$2:$A$17,0))="≤",IF(H335&lt;=I335,"ON_TARGET","OFF_TARGET"),IF(H335&gt;=I335,"ON_TARGET","OFF_TARGET"))))</f>
        <v>ON_TARGET</v>
      </c>
      <c r="O335" s="193" t="str">
        <f t="shared" si="35"/>
        <v>Compressor Plant</v>
      </c>
      <c r="P335" s="193" t="str">
        <f ca="1">IF(LEFT(Control!$C$10,4)="ROJO","RED",IF(LEFT(Control!$C$10,8)="AMARILLO","AMBER","GREEN"))</f>
        <v>RED</v>
      </c>
      <c r="Q335" s="193">
        <f>IF(AND(ISNUMBER(MATCH(F335,Datos!$D$3:$AL$3,0)),F335&lt;=RPT_MONTH),1,0)</f>
        <v>1</v>
      </c>
      <c r="R335" s="193" t="str">
        <f t="shared" si="36"/>
        <v>OK</v>
      </c>
    </row>
    <row r="336" spans="1:18" ht="13.5" customHeight="1" x14ac:dyDescent="0.3">
      <c r="A336" t="s">
        <v>1154</v>
      </c>
      <c r="B336" t="s">
        <v>1158</v>
      </c>
      <c r="C336" t="s">
        <v>1159</v>
      </c>
      <c r="D336">
        <v>2</v>
      </c>
      <c r="E336">
        <v>11</v>
      </c>
      <c r="F336" s="258">
        <f>DATE(YEAR(RPT_MONTH),MONTH(RPT_MONTH)-1,1)</f>
        <v>46266</v>
      </c>
      <c r="G336" s="193" t="str">
        <f t="shared" si="32"/>
        <v>Sep-26</v>
      </c>
      <c r="H336" s="193">
        <f>IFERROR(1*INDEX(BD_KPIs!$F$2:$F$1300,MATCH(YEAR(F336)*100+MONTH(F336)&amp;"|TVCR|YTD",BD_KPIs!$Q$2:$Q$1300,0)),"")</f>
        <v>0</v>
      </c>
      <c r="I336" s="193">
        <f>IF(ISNUMBER(INDEX(_TARGETS!$G$2:$G$17,MATCH("TVCR",_TARGETS!$A$2:$A$17,0))),INDEX(_TARGETS!$G$2:$G$17,MATCH("TVCR",_TARGETS!$A$2:$A$17,0)),"")</f>
        <v>0.79</v>
      </c>
      <c r="J336" t="s">
        <v>1157</v>
      </c>
      <c r="K336" t="s">
        <v>1093</v>
      </c>
      <c r="L336" s="193" t="str">
        <f t="shared" si="33"/>
        <v>OK</v>
      </c>
      <c r="M336" s="193" t="str">
        <f t="shared" si="34"/>
        <v>YTD</v>
      </c>
      <c r="N336" s="193" t="str">
        <f>IF(NOT(ISNUMBER(H336)),"NO_DATA",IF(NOT(ISNUMBER(I336)),"MONITOR",IF(INDEX(_TARGETS!$E$2:$E$17,MATCH("TVCR",_TARGETS!$A$2:$A$17,0))="≤",IF(H336&lt;=I336,"ON_TARGET","OFF_TARGET"),IF(H336&gt;=I336,"ON_TARGET","OFF_TARGET"))))</f>
        <v>ON_TARGET</v>
      </c>
      <c r="O336" s="193" t="str">
        <f t="shared" si="35"/>
        <v>Compressor Plant</v>
      </c>
      <c r="P336" s="193" t="str">
        <f ca="1">IF(LEFT(Control!$C$10,4)="ROJO","RED",IF(LEFT(Control!$C$10,8)="AMARILLO","AMBER","GREEN"))</f>
        <v>RED</v>
      </c>
      <c r="Q336" s="193">
        <f>IF(AND(ISNUMBER(MATCH(F336,Datos!$D$3:$AL$3,0)),F336&lt;=RPT_MONTH),1,0)</f>
        <v>1</v>
      </c>
      <c r="R336" s="193" t="str">
        <f t="shared" si="36"/>
        <v>OK</v>
      </c>
    </row>
    <row r="337" spans="1:18" ht="13.5" customHeight="1" x14ac:dyDescent="0.3">
      <c r="A337" t="s">
        <v>1154</v>
      </c>
      <c r="B337" t="s">
        <v>1158</v>
      </c>
      <c r="C337" t="s">
        <v>1159</v>
      </c>
      <c r="D337">
        <v>2</v>
      </c>
      <c r="E337">
        <v>12</v>
      </c>
      <c r="F337" s="258">
        <f>DATE(YEAR(RPT_MONTH),MONTH(RPT_MONTH)-0,1)</f>
        <v>46296</v>
      </c>
      <c r="G337" s="193" t="str">
        <f t="shared" si="32"/>
        <v>Oct-26</v>
      </c>
      <c r="H337" s="193" t="str">
        <f>IFERROR(1*INDEX(BD_KPIs!$F$2:$F$1300,MATCH(YEAR(F337)*100+MONTH(F337)&amp;"|TVCR|YTD",BD_KPIs!$Q$2:$Q$1300,0)),"")</f>
        <v/>
      </c>
      <c r="I337" s="193">
        <f>IF(ISNUMBER(INDEX(_TARGETS!$G$2:$G$17,MATCH("TVCR",_TARGETS!$A$2:$A$17,0))),INDEX(_TARGETS!$G$2:$G$17,MATCH("TVCR",_TARGETS!$A$2:$A$17,0)),"")</f>
        <v>0.79</v>
      </c>
      <c r="J337" t="s">
        <v>1157</v>
      </c>
      <c r="K337" t="s">
        <v>1093</v>
      </c>
      <c r="L337" s="193" t="str">
        <f t="shared" si="33"/>
        <v>NO_DATA</v>
      </c>
      <c r="M337" s="193" t="str">
        <f t="shared" si="34"/>
        <v>YTD</v>
      </c>
      <c r="N337" s="193" t="str">
        <f>IF(NOT(ISNUMBER(H337)),"NO_DATA",IF(NOT(ISNUMBER(I337)),"MONITOR",IF(INDEX(_TARGETS!$E$2:$E$17,MATCH("TVCR",_TARGETS!$A$2:$A$17,0))="≤",IF(H337&lt;=I337,"ON_TARGET","OFF_TARGET"),IF(H337&gt;=I337,"ON_TARGET","OFF_TARGET"))))</f>
        <v>NO_DATA</v>
      </c>
      <c r="O337" s="193" t="str">
        <f t="shared" si="35"/>
        <v>Compressor Plant</v>
      </c>
      <c r="P337" s="193" t="str">
        <f ca="1">IF(LEFT(Control!$C$10,4)="ROJO","RED",IF(LEFT(Control!$C$10,8)="AMARILLO","AMBER","GREEN"))</f>
        <v>RED</v>
      </c>
      <c r="Q337" s="193">
        <f>IF(AND(ISNUMBER(MATCH(F337,Datos!$D$3:$AL$3,0)),F337&lt;=RPT_MONTH),1,0)</f>
        <v>1</v>
      </c>
      <c r="R337" s="193" t="str">
        <f t="shared" si="36"/>
        <v>MISSING</v>
      </c>
    </row>
    <row r="338" spans="1:18" ht="13.5" customHeight="1" x14ac:dyDescent="0.3">
      <c r="A338" t="s">
        <v>1154</v>
      </c>
      <c r="B338" t="s">
        <v>1160</v>
      </c>
      <c r="C338" t="s">
        <v>1161</v>
      </c>
      <c r="D338">
        <v>3</v>
      </c>
      <c r="E338">
        <v>1</v>
      </c>
      <c r="F338" s="258">
        <f>DATE(YEAR(RPT_MONTH),MONTH(RPT_MONTH)-11,1)</f>
        <v>45962</v>
      </c>
      <c r="G338" s="193" t="str">
        <f t="shared" si="32"/>
        <v>Nov-25</v>
      </c>
      <c r="H338" s="193" t="str">
        <f>IFERROR(1*INDEX(BD_KPIs!$F$2:$F$1300,MATCH(YEAR(F338)*100+MONTH(F338)&amp;"|SVCR|Monthly",BD_KPIs!$Q$2:$Q$1300,0)),"")</f>
        <v/>
      </c>
      <c r="I338" s="193" t="str">
        <f>IF(ISNUMBER(INDEX(_TARGETS!$G$2:$G$17,MATCH("SVCR",_TARGETS!$A$2:$A$17,0))),INDEX(_TARGETS!$G$2:$G$17,MATCH("SVCR",_TARGETS!$A$2:$A$17,0)),"")</f>
        <v/>
      </c>
      <c r="J338" t="s">
        <v>1157</v>
      </c>
      <c r="K338" t="s">
        <v>1093</v>
      </c>
      <c r="L338" s="193" t="str">
        <f t="shared" si="33"/>
        <v>NO_DATA</v>
      </c>
      <c r="M338" s="193" t="str">
        <f t="shared" si="34"/>
        <v>Monthly</v>
      </c>
      <c r="N338" s="193" t="str">
        <f>IF(NOT(ISNUMBER(H338)),"NO_DATA",IF(NOT(ISNUMBER(I338)),"MONITOR",IF(INDEX(_TARGETS!$E$2:$E$17,MATCH("SVCR",_TARGETS!$A$2:$A$17,0))="≤",IF(H338&lt;=I338,"ON_TARGET","OFF_TARGET"),IF(H338&gt;=I338,"ON_TARGET","OFF_TARGET"))))</f>
        <v>NO_DATA</v>
      </c>
      <c r="O338" s="193" t="str">
        <f t="shared" si="35"/>
        <v>Compressor Plant</v>
      </c>
      <c r="P338" s="193" t="str">
        <f ca="1">IF(LEFT(Control!$C$10,4)="ROJO","RED",IF(LEFT(Control!$C$10,8)="AMARILLO","AMBER","GREEN"))</f>
        <v>RED</v>
      </c>
      <c r="Q338" s="193">
        <f>IF(AND(ISNUMBER(MATCH(F338,Datos!$D$3:$AL$3,0)),F338&lt;=RPT_MONTH),1,0)</f>
        <v>0</v>
      </c>
      <c r="R338" s="193" t="str">
        <f t="shared" si="36"/>
        <v>OUT_OF_SCOPE</v>
      </c>
    </row>
    <row r="339" spans="1:18" ht="13.5" customHeight="1" x14ac:dyDescent="0.3">
      <c r="A339" t="s">
        <v>1154</v>
      </c>
      <c r="B339" t="s">
        <v>1160</v>
      </c>
      <c r="C339" t="s">
        <v>1161</v>
      </c>
      <c r="D339">
        <v>3</v>
      </c>
      <c r="E339">
        <v>2</v>
      </c>
      <c r="F339" s="258">
        <f>DATE(YEAR(RPT_MONTH),MONTH(RPT_MONTH)-10,1)</f>
        <v>45992</v>
      </c>
      <c r="G339" s="193" t="str">
        <f t="shared" si="32"/>
        <v>Dec-25</v>
      </c>
      <c r="H339" s="193" t="str">
        <f>IFERROR(1*INDEX(BD_KPIs!$F$2:$F$1300,MATCH(YEAR(F339)*100+MONTH(F339)&amp;"|SVCR|Monthly",BD_KPIs!$Q$2:$Q$1300,0)),"")</f>
        <v/>
      </c>
      <c r="I339" s="193" t="str">
        <f>IF(ISNUMBER(INDEX(_TARGETS!$G$2:$G$17,MATCH("SVCR",_TARGETS!$A$2:$A$17,0))),INDEX(_TARGETS!$G$2:$G$17,MATCH("SVCR",_TARGETS!$A$2:$A$17,0)),"")</f>
        <v/>
      </c>
      <c r="J339" t="s">
        <v>1157</v>
      </c>
      <c r="K339" t="s">
        <v>1093</v>
      </c>
      <c r="L339" s="193" t="str">
        <f t="shared" si="33"/>
        <v>NO_DATA</v>
      </c>
      <c r="M339" s="193" t="str">
        <f t="shared" si="34"/>
        <v>Monthly</v>
      </c>
      <c r="N339" s="193" t="str">
        <f>IF(NOT(ISNUMBER(H339)),"NO_DATA",IF(NOT(ISNUMBER(I339)),"MONITOR",IF(INDEX(_TARGETS!$E$2:$E$17,MATCH("SVCR",_TARGETS!$A$2:$A$17,0))="≤",IF(H339&lt;=I339,"ON_TARGET","OFF_TARGET"),IF(H339&gt;=I339,"ON_TARGET","OFF_TARGET"))))</f>
        <v>NO_DATA</v>
      </c>
      <c r="O339" s="193" t="str">
        <f t="shared" si="35"/>
        <v>Compressor Plant</v>
      </c>
      <c r="P339" s="193" t="str">
        <f ca="1">IF(LEFT(Control!$C$10,4)="ROJO","RED",IF(LEFT(Control!$C$10,8)="AMARILLO","AMBER","GREEN"))</f>
        <v>RED</v>
      </c>
      <c r="Q339" s="193">
        <f>IF(AND(ISNUMBER(MATCH(F339,Datos!$D$3:$AL$3,0)),F339&lt;=RPT_MONTH),1,0)</f>
        <v>0</v>
      </c>
      <c r="R339" s="193" t="str">
        <f t="shared" si="36"/>
        <v>OUT_OF_SCOPE</v>
      </c>
    </row>
    <row r="340" spans="1:18" ht="13.5" customHeight="1" x14ac:dyDescent="0.3">
      <c r="A340" t="s">
        <v>1154</v>
      </c>
      <c r="B340" t="s">
        <v>1160</v>
      </c>
      <c r="C340" t="s">
        <v>1161</v>
      </c>
      <c r="D340">
        <v>3</v>
      </c>
      <c r="E340">
        <v>3</v>
      </c>
      <c r="F340" s="258">
        <f>DATE(YEAR(RPT_MONTH),MONTH(RPT_MONTH)-9,1)</f>
        <v>46023</v>
      </c>
      <c r="G340" s="193" t="str">
        <f t="shared" si="32"/>
        <v>Jan-26</v>
      </c>
      <c r="H340" s="193" t="str">
        <f>IFERROR(1*INDEX(BD_KPIs!$F$2:$F$1300,MATCH(YEAR(F340)*100+MONTH(F340)&amp;"|SVCR|Monthly",BD_KPIs!$Q$2:$Q$1300,0)),"")</f>
        <v/>
      </c>
      <c r="I340" s="193" t="str">
        <f>IF(ISNUMBER(INDEX(_TARGETS!$G$2:$G$17,MATCH("SVCR",_TARGETS!$A$2:$A$17,0))),INDEX(_TARGETS!$G$2:$G$17,MATCH("SVCR",_TARGETS!$A$2:$A$17,0)),"")</f>
        <v/>
      </c>
      <c r="J340" t="s">
        <v>1157</v>
      </c>
      <c r="K340" t="s">
        <v>1093</v>
      </c>
      <c r="L340" s="193" t="str">
        <f t="shared" si="33"/>
        <v>NO_DATA</v>
      </c>
      <c r="M340" s="193" t="str">
        <f t="shared" si="34"/>
        <v>Monthly</v>
      </c>
      <c r="N340" s="193" t="str">
        <f>IF(NOT(ISNUMBER(H340)),"NO_DATA",IF(NOT(ISNUMBER(I340)),"MONITOR",IF(INDEX(_TARGETS!$E$2:$E$17,MATCH("SVCR",_TARGETS!$A$2:$A$17,0))="≤",IF(H340&lt;=I340,"ON_TARGET","OFF_TARGET"),IF(H340&gt;=I340,"ON_TARGET","OFF_TARGET"))))</f>
        <v>NO_DATA</v>
      </c>
      <c r="O340" s="193" t="str">
        <f t="shared" si="35"/>
        <v>Compressor Plant</v>
      </c>
      <c r="P340" s="193" t="str">
        <f ca="1">IF(LEFT(Control!$C$10,4)="ROJO","RED",IF(LEFT(Control!$C$10,8)="AMARILLO","AMBER","GREEN"))</f>
        <v>RED</v>
      </c>
      <c r="Q340" s="193">
        <f>IF(AND(ISNUMBER(MATCH(F340,Datos!$D$3:$AL$3,0)),F340&lt;=RPT_MONTH),1,0)</f>
        <v>0</v>
      </c>
      <c r="R340" s="193" t="str">
        <f t="shared" si="36"/>
        <v>OUT_OF_SCOPE</v>
      </c>
    </row>
    <row r="341" spans="1:18" ht="13.5" customHeight="1" x14ac:dyDescent="0.3">
      <c r="A341" t="s">
        <v>1154</v>
      </c>
      <c r="B341" t="s">
        <v>1160</v>
      </c>
      <c r="C341" t="s">
        <v>1161</v>
      </c>
      <c r="D341">
        <v>3</v>
      </c>
      <c r="E341">
        <v>4</v>
      </c>
      <c r="F341" s="258">
        <f>DATE(YEAR(RPT_MONTH),MONTH(RPT_MONTH)-8,1)</f>
        <v>46054</v>
      </c>
      <c r="G341" s="193" t="str">
        <f t="shared" si="32"/>
        <v>Feb-26</v>
      </c>
      <c r="H341" s="193" t="str">
        <f>IFERROR(1*INDEX(BD_KPIs!$F$2:$F$1300,MATCH(YEAR(F341)*100+MONTH(F341)&amp;"|SVCR|Monthly",BD_KPIs!$Q$2:$Q$1300,0)),"")</f>
        <v/>
      </c>
      <c r="I341" s="193" t="str">
        <f>IF(ISNUMBER(INDEX(_TARGETS!$G$2:$G$17,MATCH("SVCR",_TARGETS!$A$2:$A$17,0))),INDEX(_TARGETS!$G$2:$G$17,MATCH("SVCR",_TARGETS!$A$2:$A$17,0)),"")</f>
        <v/>
      </c>
      <c r="J341" t="s">
        <v>1157</v>
      </c>
      <c r="K341" t="s">
        <v>1093</v>
      </c>
      <c r="L341" s="193" t="str">
        <f t="shared" si="33"/>
        <v>NO_DATA</v>
      </c>
      <c r="M341" s="193" t="str">
        <f t="shared" si="34"/>
        <v>Monthly</v>
      </c>
      <c r="N341" s="193" t="str">
        <f>IF(NOT(ISNUMBER(H341)),"NO_DATA",IF(NOT(ISNUMBER(I341)),"MONITOR",IF(INDEX(_TARGETS!$E$2:$E$17,MATCH("SVCR",_TARGETS!$A$2:$A$17,0))="≤",IF(H341&lt;=I341,"ON_TARGET","OFF_TARGET"),IF(H341&gt;=I341,"ON_TARGET","OFF_TARGET"))))</f>
        <v>NO_DATA</v>
      </c>
      <c r="O341" s="193" t="str">
        <f t="shared" si="35"/>
        <v>Compressor Plant</v>
      </c>
      <c r="P341" s="193" t="str">
        <f ca="1">IF(LEFT(Control!$C$10,4)="ROJO","RED",IF(LEFT(Control!$C$10,8)="AMARILLO","AMBER","GREEN"))</f>
        <v>RED</v>
      </c>
      <c r="Q341" s="193">
        <f>IF(AND(ISNUMBER(MATCH(F341,Datos!$D$3:$AL$3,0)),F341&lt;=RPT_MONTH),1,0)</f>
        <v>0</v>
      </c>
      <c r="R341" s="193" t="str">
        <f t="shared" si="36"/>
        <v>OUT_OF_SCOPE</v>
      </c>
    </row>
    <row r="342" spans="1:18" ht="13.5" customHeight="1" x14ac:dyDescent="0.3">
      <c r="A342" t="s">
        <v>1154</v>
      </c>
      <c r="B342" t="s">
        <v>1160</v>
      </c>
      <c r="C342" t="s">
        <v>1161</v>
      </c>
      <c r="D342">
        <v>3</v>
      </c>
      <c r="E342">
        <v>5</v>
      </c>
      <c r="F342" s="258">
        <f>DATE(YEAR(RPT_MONTH),MONTH(RPT_MONTH)-7,1)</f>
        <v>46082</v>
      </c>
      <c r="G342" s="193" t="str">
        <f t="shared" si="32"/>
        <v>Mar-26</v>
      </c>
      <c r="H342" s="193" t="str">
        <f>IFERROR(1*INDEX(BD_KPIs!$F$2:$F$1300,MATCH(YEAR(F342)*100+MONTH(F342)&amp;"|SVCR|Monthly",BD_KPIs!$Q$2:$Q$1300,0)),"")</f>
        <v/>
      </c>
      <c r="I342" s="193" t="str">
        <f>IF(ISNUMBER(INDEX(_TARGETS!$G$2:$G$17,MATCH("SVCR",_TARGETS!$A$2:$A$17,0))),INDEX(_TARGETS!$G$2:$G$17,MATCH("SVCR",_TARGETS!$A$2:$A$17,0)),"")</f>
        <v/>
      </c>
      <c r="J342" t="s">
        <v>1157</v>
      </c>
      <c r="K342" t="s">
        <v>1093</v>
      </c>
      <c r="L342" s="193" t="str">
        <f t="shared" si="33"/>
        <v>NO_DATA</v>
      </c>
      <c r="M342" s="193" t="str">
        <f t="shared" si="34"/>
        <v>Monthly</v>
      </c>
      <c r="N342" s="193" t="str">
        <f>IF(NOT(ISNUMBER(H342)),"NO_DATA",IF(NOT(ISNUMBER(I342)),"MONITOR",IF(INDEX(_TARGETS!$E$2:$E$17,MATCH("SVCR",_TARGETS!$A$2:$A$17,0))="≤",IF(H342&lt;=I342,"ON_TARGET","OFF_TARGET"),IF(H342&gt;=I342,"ON_TARGET","OFF_TARGET"))))</f>
        <v>NO_DATA</v>
      </c>
      <c r="O342" s="193" t="str">
        <f t="shared" si="35"/>
        <v>Compressor Plant</v>
      </c>
      <c r="P342" s="193" t="str">
        <f ca="1">IF(LEFT(Control!$C$10,4)="ROJO","RED",IF(LEFT(Control!$C$10,8)="AMARILLO","AMBER","GREEN"))</f>
        <v>RED</v>
      </c>
      <c r="Q342" s="193">
        <f>IF(AND(ISNUMBER(MATCH(F342,Datos!$D$3:$AL$3,0)),F342&lt;=RPT_MONTH),1,0)</f>
        <v>0</v>
      </c>
      <c r="R342" s="193" t="str">
        <f t="shared" si="36"/>
        <v>OUT_OF_SCOPE</v>
      </c>
    </row>
    <row r="343" spans="1:18" ht="13.5" customHeight="1" x14ac:dyDescent="0.3">
      <c r="A343" t="s">
        <v>1154</v>
      </c>
      <c r="B343" t="s">
        <v>1160</v>
      </c>
      <c r="C343" t="s">
        <v>1161</v>
      </c>
      <c r="D343">
        <v>3</v>
      </c>
      <c r="E343">
        <v>6</v>
      </c>
      <c r="F343" s="258">
        <f>DATE(YEAR(RPT_MONTH),MONTH(RPT_MONTH)-6,1)</f>
        <v>46113</v>
      </c>
      <c r="G343" s="193" t="str">
        <f t="shared" si="32"/>
        <v>Apr-26</v>
      </c>
      <c r="H343" s="193" t="str">
        <f>IFERROR(1*INDEX(BD_KPIs!$F$2:$F$1300,MATCH(YEAR(F343)*100+MONTH(F343)&amp;"|SVCR|Monthly",BD_KPIs!$Q$2:$Q$1300,0)),"")</f>
        <v/>
      </c>
      <c r="I343" s="193" t="str">
        <f>IF(ISNUMBER(INDEX(_TARGETS!$G$2:$G$17,MATCH("SVCR",_TARGETS!$A$2:$A$17,0))),INDEX(_TARGETS!$G$2:$G$17,MATCH("SVCR",_TARGETS!$A$2:$A$17,0)),"")</f>
        <v/>
      </c>
      <c r="J343" t="s">
        <v>1157</v>
      </c>
      <c r="K343" t="s">
        <v>1093</v>
      </c>
      <c r="L343" s="193" t="str">
        <f t="shared" si="33"/>
        <v>NO_DATA</v>
      </c>
      <c r="M343" s="193" t="str">
        <f t="shared" si="34"/>
        <v>Monthly</v>
      </c>
      <c r="N343" s="193" t="str">
        <f>IF(NOT(ISNUMBER(H343)),"NO_DATA",IF(NOT(ISNUMBER(I343)),"MONITOR",IF(INDEX(_TARGETS!$E$2:$E$17,MATCH("SVCR",_TARGETS!$A$2:$A$17,0))="≤",IF(H343&lt;=I343,"ON_TARGET","OFF_TARGET"),IF(H343&gt;=I343,"ON_TARGET","OFF_TARGET"))))</f>
        <v>NO_DATA</v>
      </c>
      <c r="O343" s="193" t="str">
        <f t="shared" si="35"/>
        <v>Compressor Plant</v>
      </c>
      <c r="P343" s="193" t="str">
        <f ca="1">IF(LEFT(Control!$C$10,4)="ROJO","RED",IF(LEFT(Control!$C$10,8)="AMARILLO","AMBER","GREEN"))</f>
        <v>RED</v>
      </c>
      <c r="Q343" s="193">
        <f>IF(AND(ISNUMBER(MATCH(F343,Datos!$D$3:$AL$3,0)),F343&lt;=RPT_MONTH),1,0)</f>
        <v>0</v>
      </c>
      <c r="R343" s="193" t="str">
        <f t="shared" si="36"/>
        <v>OUT_OF_SCOPE</v>
      </c>
    </row>
    <row r="344" spans="1:18" ht="13.5" customHeight="1" x14ac:dyDescent="0.3">
      <c r="A344" t="s">
        <v>1154</v>
      </c>
      <c r="B344" t="s">
        <v>1160</v>
      </c>
      <c r="C344" t="s">
        <v>1161</v>
      </c>
      <c r="D344">
        <v>3</v>
      </c>
      <c r="E344">
        <v>7</v>
      </c>
      <c r="F344" s="258">
        <f>DATE(YEAR(RPT_MONTH),MONTH(RPT_MONTH)-5,1)</f>
        <v>46143</v>
      </c>
      <c r="G344" s="193" t="str">
        <f t="shared" si="32"/>
        <v>May-26</v>
      </c>
      <c r="H344" s="193" t="str">
        <f>IFERROR(1*INDEX(BD_KPIs!$F$2:$F$1300,MATCH(YEAR(F344)*100+MONTH(F344)&amp;"|SVCR|Monthly",BD_KPIs!$Q$2:$Q$1300,0)),"")</f>
        <v/>
      </c>
      <c r="I344" s="193" t="str">
        <f>IF(ISNUMBER(INDEX(_TARGETS!$G$2:$G$17,MATCH("SVCR",_TARGETS!$A$2:$A$17,0))),INDEX(_TARGETS!$G$2:$G$17,MATCH("SVCR",_TARGETS!$A$2:$A$17,0)),"")</f>
        <v/>
      </c>
      <c r="J344" t="s">
        <v>1157</v>
      </c>
      <c r="K344" t="s">
        <v>1093</v>
      </c>
      <c r="L344" s="193" t="str">
        <f t="shared" si="33"/>
        <v>NO_DATA</v>
      </c>
      <c r="M344" s="193" t="str">
        <f t="shared" si="34"/>
        <v>Monthly</v>
      </c>
      <c r="N344" s="193" t="str">
        <f>IF(NOT(ISNUMBER(H344)),"NO_DATA",IF(NOT(ISNUMBER(I344)),"MONITOR",IF(INDEX(_TARGETS!$E$2:$E$17,MATCH("SVCR",_TARGETS!$A$2:$A$17,0))="≤",IF(H344&lt;=I344,"ON_TARGET","OFF_TARGET"),IF(H344&gt;=I344,"ON_TARGET","OFF_TARGET"))))</f>
        <v>NO_DATA</v>
      </c>
      <c r="O344" s="193" t="str">
        <f t="shared" si="35"/>
        <v>Compressor Plant</v>
      </c>
      <c r="P344" s="193" t="str">
        <f ca="1">IF(LEFT(Control!$C$10,4)="ROJO","RED",IF(LEFT(Control!$C$10,8)="AMARILLO","AMBER","GREEN"))</f>
        <v>RED</v>
      </c>
      <c r="Q344" s="193">
        <f>IF(AND(ISNUMBER(MATCH(F344,Datos!$D$3:$AL$3,0)),F344&lt;=RPT_MONTH),1,0)</f>
        <v>0</v>
      </c>
      <c r="R344" s="193" t="str">
        <f t="shared" si="36"/>
        <v>OUT_OF_SCOPE</v>
      </c>
    </row>
    <row r="345" spans="1:18" ht="13.5" customHeight="1" x14ac:dyDescent="0.3">
      <c r="A345" t="s">
        <v>1154</v>
      </c>
      <c r="B345" t="s">
        <v>1160</v>
      </c>
      <c r="C345" t="s">
        <v>1161</v>
      </c>
      <c r="D345">
        <v>3</v>
      </c>
      <c r="E345">
        <v>8</v>
      </c>
      <c r="F345" s="258">
        <f>DATE(YEAR(RPT_MONTH),MONTH(RPT_MONTH)-4,1)</f>
        <v>46174</v>
      </c>
      <c r="G345" s="193" t="str">
        <f t="shared" si="32"/>
        <v>Jun-26</v>
      </c>
      <c r="H345" s="193" t="str">
        <f>IFERROR(1*INDEX(BD_KPIs!$F$2:$F$1300,MATCH(YEAR(F345)*100+MONTH(F345)&amp;"|SVCR|Monthly",BD_KPIs!$Q$2:$Q$1300,0)),"")</f>
        <v/>
      </c>
      <c r="I345" s="193" t="str">
        <f>IF(ISNUMBER(INDEX(_TARGETS!$G$2:$G$17,MATCH("SVCR",_TARGETS!$A$2:$A$17,0))),INDEX(_TARGETS!$G$2:$G$17,MATCH("SVCR",_TARGETS!$A$2:$A$17,0)),"")</f>
        <v/>
      </c>
      <c r="J345" t="s">
        <v>1157</v>
      </c>
      <c r="K345" t="s">
        <v>1093</v>
      </c>
      <c r="L345" s="193" t="str">
        <f t="shared" si="33"/>
        <v>NO_DATA</v>
      </c>
      <c r="M345" s="193" t="str">
        <f t="shared" si="34"/>
        <v>Monthly</v>
      </c>
      <c r="N345" s="193" t="str">
        <f>IF(NOT(ISNUMBER(H345)),"NO_DATA",IF(NOT(ISNUMBER(I345)),"MONITOR",IF(INDEX(_TARGETS!$E$2:$E$17,MATCH("SVCR",_TARGETS!$A$2:$A$17,0))="≤",IF(H345&lt;=I345,"ON_TARGET","OFF_TARGET"),IF(H345&gt;=I345,"ON_TARGET","OFF_TARGET"))))</f>
        <v>NO_DATA</v>
      </c>
      <c r="O345" s="193" t="str">
        <f t="shared" si="35"/>
        <v>Compressor Plant</v>
      </c>
      <c r="P345" s="193" t="str">
        <f ca="1">IF(LEFT(Control!$C$10,4)="ROJO","RED",IF(LEFT(Control!$C$10,8)="AMARILLO","AMBER","GREEN"))</f>
        <v>RED</v>
      </c>
      <c r="Q345" s="193">
        <f>IF(AND(ISNUMBER(MATCH(F345,Datos!$D$3:$AL$3,0)),F345&lt;=RPT_MONTH),1,0)</f>
        <v>0</v>
      </c>
      <c r="R345" s="193" t="str">
        <f t="shared" si="36"/>
        <v>OUT_OF_SCOPE</v>
      </c>
    </row>
    <row r="346" spans="1:18" ht="13.5" customHeight="1" x14ac:dyDescent="0.3">
      <c r="A346" t="s">
        <v>1154</v>
      </c>
      <c r="B346" t="s">
        <v>1160</v>
      </c>
      <c r="C346" t="s">
        <v>1161</v>
      </c>
      <c r="D346">
        <v>3</v>
      </c>
      <c r="E346">
        <v>9</v>
      </c>
      <c r="F346" s="258">
        <f>DATE(YEAR(RPT_MONTH),MONTH(RPT_MONTH)-3,1)</f>
        <v>46204</v>
      </c>
      <c r="G346" s="193" t="str">
        <f t="shared" si="32"/>
        <v>Jul-26</v>
      </c>
      <c r="H346" s="193" t="str">
        <f>IFERROR(1*INDEX(BD_KPIs!$F$2:$F$1300,MATCH(YEAR(F346)*100+MONTH(F346)&amp;"|SVCR|Monthly",BD_KPIs!$Q$2:$Q$1300,0)),"")</f>
        <v/>
      </c>
      <c r="I346" s="193" t="str">
        <f>IF(ISNUMBER(INDEX(_TARGETS!$G$2:$G$17,MATCH("SVCR",_TARGETS!$A$2:$A$17,0))),INDEX(_TARGETS!$G$2:$G$17,MATCH("SVCR",_TARGETS!$A$2:$A$17,0)),"")</f>
        <v/>
      </c>
      <c r="J346" t="s">
        <v>1157</v>
      </c>
      <c r="K346" t="s">
        <v>1093</v>
      </c>
      <c r="L346" s="193" t="str">
        <f t="shared" si="33"/>
        <v>NO_DATA</v>
      </c>
      <c r="M346" s="193" t="str">
        <f t="shared" si="34"/>
        <v>Monthly</v>
      </c>
      <c r="N346" s="193" t="str">
        <f>IF(NOT(ISNUMBER(H346)),"NO_DATA",IF(NOT(ISNUMBER(I346)),"MONITOR",IF(INDEX(_TARGETS!$E$2:$E$17,MATCH("SVCR",_TARGETS!$A$2:$A$17,0))="≤",IF(H346&lt;=I346,"ON_TARGET","OFF_TARGET"),IF(H346&gt;=I346,"ON_TARGET","OFF_TARGET"))))</f>
        <v>NO_DATA</v>
      </c>
      <c r="O346" s="193" t="str">
        <f t="shared" si="35"/>
        <v>Compressor Plant</v>
      </c>
      <c r="P346" s="193" t="str">
        <f ca="1">IF(LEFT(Control!$C$10,4)="ROJO","RED",IF(LEFT(Control!$C$10,8)="AMARILLO","AMBER","GREEN"))</f>
        <v>RED</v>
      </c>
      <c r="Q346" s="193">
        <f>IF(AND(ISNUMBER(MATCH(F346,Datos!$D$3:$AL$3,0)),F346&lt;=RPT_MONTH),1,0)</f>
        <v>0</v>
      </c>
      <c r="R346" s="193" t="str">
        <f t="shared" si="36"/>
        <v>OUT_OF_SCOPE</v>
      </c>
    </row>
    <row r="347" spans="1:18" ht="13.5" customHeight="1" x14ac:dyDescent="0.3">
      <c r="A347" t="s">
        <v>1154</v>
      </c>
      <c r="B347" t="s">
        <v>1160</v>
      </c>
      <c r="C347" t="s">
        <v>1161</v>
      </c>
      <c r="D347">
        <v>3</v>
      </c>
      <c r="E347">
        <v>10</v>
      </c>
      <c r="F347" s="258">
        <f>DATE(YEAR(RPT_MONTH),MONTH(RPT_MONTH)-2,1)</f>
        <v>46235</v>
      </c>
      <c r="G347" s="193" t="str">
        <f t="shared" si="32"/>
        <v>Aug-26</v>
      </c>
      <c r="H347" s="193">
        <f>IFERROR(1*INDEX(BD_KPIs!$F$2:$F$1300,MATCH(YEAR(F347)*100+MONTH(F347)&amp;"|SVCR|Monthly",BD_KPIs!$Q$2:$Q$1300,0)),"")</f>
        <v>0</v>
      </c>
      <c r="I347" s="193" t="str">
        <f>IF(ISNUMBER(INDEX(_TARGETS!$G$2:$G$17,MATCH("SVCR",_TARGETS!$A$2:$A$17,0))),INDEX(_TARGETS!$G$2:$G$17,MATCH("SVCR",_TARGETS!$A$2:$A$17,0)),"")</f>
        <v/>
      </c>
      <c r="J347" t="s">
        <v>1157</v>
      </c>
      <c r="K347" t="s">
        <v>1093</v>
      </c>
      <c r="L347" s="193" t="str">
        <f t="shared" si="33"/>
        <v>OK</v>
      </c>
      <c r="M347" s="193" t="str">
        <f t="shared" si="34"/>
        <v>Monthly</v>
      </c>
      <c r="N347" s="193" t="str">
        <f>IF(NOT(ISNUMBER(H347)),"NO_DATA",IF(NOT(ISNUMBER(I347)),"MONITOR",IF(INDEX(_TARGETS!$E$2:$E$17,MATCH("SVCR",_TARGETS!$A$2:$A$17,0))="≤",IF(H347&lt;=I347,"ON_TARGET","OFF_TARGET"),IF(H347&gt;=I347,"ON_TARGET","OFF_TARGET"))))</f>
        <v>MONITOR</v>
      </c>
      <c r="O347" s="193" t="str">
        <f t="shared" si="35"/>
        <v>Compressor Plant</v>
      </c>
      <c r="P347" s="193" t="str">
        <f ca="1">IF(LEFT(Control!$C$10,4)="ROJO","RED",IF(LEFT(Control!$C$10,8)="AMARILLO","AMBER","GREEN"))</f>
        <v>RED</v>
      </c>
      <c r="Q347" s="193">
        <f>IF(AND(ISNUMBER(MATCH(F347,Datos!$D$3:$AL$3,0)),F347&lt;=RPT_MONTH),1,0)</f>
        <v>1</v>
      </c>
      <c r="R347" s="193" t="str">
        <f t="shared" si="36"/>
        <v>OK</v>
      </c>
    </row>
    <row r="348" spans="1:18" ht="13.5" customHeight="1" x14ac:dyDescent="0.3">
      <c r="A348" t="s">
        <v>1154</v>
      </c>
      <c r="B348" t="s">
        <v>1160</v>
      </c>
      <c r="C348" t="s">
        <v>1161</v>
      </c>
      <c r="D348">
        <v>3</v>
      </c>
      <c r="E348">
        <v>11</v>
      </c>
      <c r="F348" s="258">
        <f>DATE(YEAR(RPT_MONTH),MONTH(RPT_MONTH)-1,1)</f>
        <v>46266</v>
      </c>
      <c r="G348" s="193" t="str">
        <f t="shared" si="32"/>
        <v>Sep-26</v>
      </c>
      <c r="H348" s="193">
        <f>IFERROR(1*INDEX(BD_KPIs!$F$2:$F$1300,MATCH(YEAR(F348)*100+MONTH(F348)&amp;"|SVCR|Monthly",BD_KPIs!$Q$2:$Q$1300,0)),"")</f>
        <v>0</v>
      </c>
      <c r="I348" s="193" t="str">
        <f>IF(ISNUMBER(INDEX(_TARGETS!$G$2:$G$17,MATCH("SVCR",_TARGETS!$A$2:$A$17,0))),INDEX(_TARGETS!$G$2:$G$17,MATCH("SVCR",_TARGETS!$A$2:$A$17,0)),"")</f>
        <v/>
      </c>
      <c r="J348" t="s">
        <v>1157</v>
      </c>
      <c r="K348" t="s">
        <v>1093</v>
      </c>
      <c r="L348" s="193" t="str">
        <f t="shared" si="33"/>
        <v>OK</v>
      </c>
      <c r="M348" s="193" t="str">
        <f t="shared" si="34"/>
        <v>Monthly</v>
      </c>
      <c r="N348" s="193" t="str">
        <f>IF(NOT(ISNUMBER(H348)),"NO_DATA",IF(NOT(ISNUMBER(I348)),"MONITOR",IF(INDEX(_TARGETS!$E$2:$E$17,MATCH("SVCR",_TARGETS!$A$2:$A$17,0))="≤",IF(H348&lt;=I348,"ON_TARGET","OFF_TARGET"),IF(H348&gt;=I348,"ON_TARGET","OFF_TARGET"))))</f>
        <v>MONITOR</v>
      </c>
      <c r="O348" s="193" t="str">
        <f t="shared" si="35"/>
        <v>Compressor Plant</v>
      </c>
      <c r="P348" s="193" t="str">
        <f ca="1">IF(LEFT(Control!$C$10,4)="ROJO","RED",IF(LEFT(Control!$C$10,8)="AMARILLO","AMBER","GREEN"))</f>
        <v>RED</v>
      </c>
      <c r="Q348" s="193">
        <f>IF(AND(ISNUMBER(MATCH(F348,Datos!$D$3:$AL$3,0)),F348&lt;=RPT_MONTH),1,0)</f>
        <v>1</v>
      </c>
      <c r="R348" s="193" t="str">
        <f t="shared" si="36"/>
        <v>OK</v>
      </c>
    </row>
    <row r="349" spans="1:18" ht="13.5" customHeight="1" x14ac:dyDescent="0.3">
      <c r="A349" t="s">
        <v>1154</v>
      </c>
      <c r="B349" t="s">
        <v>1160</v>
      </c>
      <c r="C349" t="s">
        <v>1161</v>
      </c>
      <c r="D349">
        <v>3</v>
      </c>
      <c r="E349">
        <v>12</v>
      </c>
      <c r="F349" s="258">
        <f>DATE(YEAR(RPT_MONTH),MONTH(RPT_MONTH)-0,1)</f>
        <v>46296</v>
      </c>
      <c r="G349" s="193" t="str">
        <f t="shared" si="32"/>
        <v>Oct-26</v>
      </c>
      <c r="H349" s="193" t="str">
        <f>IFERROR(1*INDEX(BD_KPIs!$F$2:$F$1300,MATCH(YEAR(F349)*100+MONTH(F349)&amp;"|SVCR|Monthly",BD_KPIs!$Q$2:$Q$1300,0)),"")</f>
        <v/>
      </c>
      <c r="I349" s="193" t="str">
        <f>IF(ISNUMBER(INDEX(_TARGETS!$G$2:$G$17,MATCH("SVCR",_TARGETS!$A$2:$A$17,0))),INDEX(_TARGETS!$G$2:$G$17,MATCH("SVCR",_TARGETS!$A$2:$A$17,0)),"")</f>
        <v/>
      </c>
      <c r="J349" t="s">
        <v>1157</v>
      </c>
      <c r="K349" t="s">
        <v>1093</v>
      </c>
      <c r="L349" s="193" t="str">
        <f t="shared" si="33"/>
        <v>NO_DATA</v>
      </c>
      <c r="M349" s="193" t="str">
        <f t="shared" si="34"/>
        <v>Monthly</v>
      </c>
      <c r="N349" s="193" t="str">
        <f>IF(NOT(ISNUMBER(H349)),"NO_DATA",IF(NOT(ISNUMBER(I349)),"MONITOR",IF(INDEX(_TARGETS!$E$2:$E$17,MATCH("SVCR",_TARGETS!$A$2:$A$17,0))="≤",IF(H349&lt;=I349,"ON_TARGET","OFF_TARGET"),IF(H349&gt;=I349,"ON_TARGET","OFF_TARGET"))))</f>
        <v>NO_DATA</v>
      </c>
      <c r="O349" s="193" t="str">
        <f t="shared" si="35"/>
        <v>Compressor Plant</v>
      </c>
      <c r="P349" s="193" t="str">
        <f ca="1">IF(LEFT(Control!$C$10,4)="ROJO","RED",IF(LEFT(Control!$C$10,8)="AMARILLO","AMBER","GREEN"))</f>
        <v>RED</v>
      </c>
      <c r="Q349" s="193">
        <f>IF(AND(ISNUMBER(MATCH(F349,Datos!$D$3:$AL$3,0)),F349&lt;=RPT_MONTH),1,0)</f>
        <v>1</v>
      </c>
      <c r="R349" s="193" t="str">
        <f t="shared" si="36"/>
        <v>MISSING</v>
      </c>
    </row>
    <row r="350" spans="1:18" ht="13.5" customHeight="1" x14ac:dyDescent="0.3">
      <c r="A350" t="s">
        <v>1154</v>
      </c>
      <c r="B350" t="s">
        <v>1162</v>
      </c>
      <c r="C350" t="s">
        <v>1163</v>
      </c>
      <c r="D350">
        <v>4</v>
      </c>
      <c r="E350">
        <v>1</v>
      </c>
      <c r="F350" s="258">
        <f>DATE(YEAR(RPT_MONTH),MONTH(RPT_MONTH)-11,1)</f>
        <v>45962</v>
      </c>
      <c r="G350" s="193" t="str">
        <f t="shared" si="32"/>
        <v>Nov-25</v>
      </c>
      <c r="H350" s="193" t="str">
        <f>IFERROR(1*INDEX(BD_KPIs!$F$2:$F$1300,MATCH(YEAR(F350)*100+MONTH(F350)&amp;"|SVCR|YTD",BD_KPIs!$Q$2:$Q$1300,0)),"")</f>
        <v/>
      </c>
      <c r="I350" s="193" t="str">
        <f>IF(ISNUMBER(INDEX(_TARGETS!$G$2:$G$17,MATCH("SVCR",_TARGETS!$A$2:$A$17,0))),INDEX(_TARGETS!$G$2:$G$17,MATCH("SVCR",_TARGETS!$A$2:$A$17,0)),"")</f>
        <v/>
      </c>
      <c r="J350" t="s">
        <v>1157</v>
      </c>
      <c r="K350" t="s">
        <v>1093</v>
      </c>
      <c r="L350" s="193" t="str">
        <f t="shared" si="33"/>
        <v>NO_DATA</v>
      </c>
      <c r="M350" s="193" t="str">
        <f t="shared" si="34"/>
        <v>YTD</v>
      </c>
      <c r="N350" s="193" t="str">
        <f>IF(NOT(ISNUMBER(H350)),"NO_DATA",IF(NOT(ISNUMBER(I350)),"MONITOR",IF(INDEX(_TARGETS!$E$2:$E$17,MATCH("SVCR",_TARGETS!$A$2:$A$17,0))="≤",IF(H350&lt;=I350,"ON_TARGET","OFF_TARGET"),IF(H350&gt;=I350,"ON_TARGET","OFF_TARGET"))))</f>
        <v>NO_DATA</v>
      </c>
      <c r="O350" s="193" t="str">
        <f t="shared" si="35"/>
        <v>Compressor Plant</v>
      </c>
      <c r="P350" s="193" t="str">
        <f ca="1">IF(LEFT(Control!$C$10,4)="ROJO","RED",IF(LEFT(Control!$C$10,8)="AMARILLO","AMBER","GREEN"))</f>
        <v>RED</v>
      </c>
      <c r="Q350" s="193">
        <f>IF(AND(ISNUMBER(MATCH(F350,Datos!$D$3:$AL$3,0)),F350&lt;=RPT_MONTH),1,0)</f>
        <v>0</v>
      </c>
      <c r="R350" s="193" t="str">
        <f t="shared" si="36"/>
        <v>OUT_OF_SCOPE</v>
      </c>
    </row>
    <row r="351" spans="1:18" ht="13.5" customHeight="1" x14ac:dyDescent="0.3">
      <c r="A351" t="s">
        <v>1154</v>
      </c>
      <c r="B351" t="s">
        <v>1162</v>
      </c>
      <c r="C351" t="s">
        <v>1163</v>
      </c>
      <c r="D351">
        <v>4</v>
      </c>
      <c r="E351">
        <v>2</v>
      </c>
      <c r="F351" s="258">
        <f>DATE(YEAR(RPT_MONTH),MONTH(RPT_MONTH)-10,1)</f>
        <v>45992</v>
      </c>
      <c r="G351" s="193" t="str">
        <f t="shared" si="32"/>
        <v>Dec-25</v>
      </c>
      <c r="H351" s="193" t="str">
        <f>IFERROR(1*INDEX(BD_KPIs!$F$2:$F$1300,MATCH(YEAR(F351)*100+MONTH(F351)&amp;"|SVCR|YTD",BD_KPIs!$Q$2:$Q$1300,0)),"")</f>
        <v/>
      </c>
      <c r="I351" s="193" t="str">
        <f>IF(ISNUMBER(INDEX(_TARGETS!$G$2:$G$17,MATCH("SVCR",_TARGETS!$A$2:$A$17,0))),INDEX(_TARGETS!$G$2:$G$17,MATCH("SVCR",_TARGETS!$A$2:$A$17,0)),"")</f>
        <v/>
      </c>
      <c r="J351" t="s">
        <v>1157</v>
      </c>
      <c r="K351" t="s">
        <v>1093</v>
      </c>
      <c r="L351" s="193" t="str">
        <f t="shared" si="33"/>
        <v>NO_DATA</v>
      </c>
      <c r="M351" s="193" t="str">
        <f t="shared" si="34"/>
        <v>YTD</v>
      </c>
      <c r="N351" s="193" t="str">
        <f>IF(NOT(ISNUMBER(H351)),"NO_DATA",IF(NOT(ISNUMBER(I351)),"MONITOR",IF(INDEX(_TARGETS!$E$2:$E$17,MATCH("SVCR",_TARGETS!$A$2:$A$17,0))="≤",IF(H351&lt;=I351,"ON_TARGET","OFF_TARGET"),IF(H351&gt;=I351,"ON_TARGET","OFF_TARGET"))))</f>
        <v>NO_DATA</v>
      </c>
      <c r="O351" s="193" t="str">
        <f t="shared" si="35"/>
        <v>Compressor Plant</v>
      </c>
      <c r="P351" s="193" t="str">
        <f ca="1">IF(LEFT(Control!$C$10,4)="ROJO","RED",IF(LEFT(Control!$C$10,8)="AMARILLO","AMBER","GREEN"))</f>
        <v>RED</v>
      </c>
      <c r="Q351" s="193">
        <f>IF(AND(ISNUMBER(MATCH(F351,Datos!$D$3:$AL$3,0)),F351&lt;=RPT_MONTH),1,0)</f>
        <v>0</v>
      </c>
      <c r="R351" s="193" t="str">
        <f t="shared" si="36"/>
        <v>OUT_OF_SCOPE</v>
      </c>
    </row>
    <row r="352" spans="1:18" ht="13.5" customHeight="1" x14ac:dyDescent="0.3">
      <c r="A352" t="s">
        <v>1154</v>
      </c>
      <c r="B352" t="s">
        <v>1162</v>
      </c>
      <c r="C352" t="s">
        <v>1163</v>
      </c>
      <c r="D352">
        <v>4</v>
      </c>
      <c r="E352">
        <v>3</v>
      </c>
      <c r="F352" s="258">
        <f>DATE(YEAR(RPT_MONTH),MONTH(RPT_MONTH)-9,1)</f>
        <v>46023</v>
      </c>
      <c r="G352" s="193" t="str">
        <f t="shared" si="32"/>
        <v>Jan-26</v>
      </c>
      <c r="H352" s="193" t="str">
        <f>IFERROR(1*INDEX(BD_KPIs!$F$2:$F$1300,MATCH(YEAR(F352)*100+MONTH(F352)&amp;"|SVCR|YTD",BD_KPIs!$Q$2:$Q$1300,0)),"")</f>
        <v/>
      </c>
      <c r="I352" s="193" t="str">
        <f>IF(ISNUMBER(INDEX(_TARGETS!$G$2:$G$17,MATCH("SVCR",_TARGETS!$A$2:$A$17,0))),INDEX(_TARGETS!$G$2:$G$17,MATCH("SVCR",_TARGETS!$A$2:$A$17,0)),"")</f>
        <v/>
      </c>
      <c r="J352" t="s">
        <v>1157</v>
      </c>
      <c r="K352" t="s">
        <v>1093</v>
      </c>
      <c r="L352" s="193" t="str">
        <f t="shared" si="33"/>
        <v>NO_DATA</v>
      </c>
      <c r="M352" s="193" t="str">
        <f t="shared" si="34"/>
        <v>YTD</v>
      </c>
      <c r="N352" s="193" t="str">
        <f>IF(NOT(ISNUMBER(H352)),"NO_DATA",IF(NOT(ISNUMBER(I352)),"MONITOR",IF(INDEX(_TARGETS!$E$2:$E$17,MATCH("SVCR",_TARGETS!$A$2:$A$17,0))="≤",IF(H352&lt;=I352,"ON_TARGET","OFF_TARGET"),IF(H352&gt;=I352,"ON_TARGET","OFF_TARGET"))))</f>
        <v>NO_DATA</v>
      </c>
      <c r="O352" s="193" t="str">
        <f t="shared" si="35"/>
        <v>Compressor Plant</v>
      </c>
      <c r="P352" s="193" t="str">
        <f ca="1">IF(LEFT(Control!$C$10,4)="ROJO","RED",IF(LEFT(Control!$C$10,8)="AMARILLO","AMBER","GREEN"))</f>
        <v>RED</v>
      </c>
      <c r="Q352" s="193">
        <f>IF(AND(ISNUMBER(MATCH(F352,Datos!$D$3:$AL$3,0)),F352&lt;=RPT_MONTH),1,0)</f>
        <v>0</v>
      </c>
      <c r="R352" s="193" t="str">
        <f t="shared" si="36"/>
        <v>OUT_OF_SCOPE</v>
      </c>
    </row>
    <row r="353" spans="1:18" ht="13.5" customHeight="1" x14ac:dyDescent="0.3">
      <c r="A353" t="s">
        <v>1154</v>
      </c>
      <c r="B353" t="s">
        <v>1162</v>
      </c>
      <c r="C353" t="s">
        <v>1163</v>
      </c>
      <c r="D353">
        <v>4</v>
      </c>
      <c r="E353">
        <v>4</v>
      </c>
      <c r="F353" s="258">
        <f>DATE(YEAR(RPT_MONTH),MONTH(RPT_MONTH)-8,1)</f>
        <v>46054</v>
      </c>
      <c r="G353" s="193" t="str">
        <f t="shared" si="32"/>
        <v>Feb-26</v>
      </c>
      <c r="H353" s="193" t="str">
        <f>IFERROR(1*INDEX(BD_KPIs!$F$2:$F$1300,MATCH(YEAR(F353)*100+MONTH(F353)&amp;"|SVCR|YTD",BD_KPIs!$Q$2:$Q$1300,0)),"")</f>
        <v/>
      </c>
      <c r="I353" s="193" t="str">
        <f>IF(ISNUMBER(INDEX(_TARGETS!$G$2:$G$17,MATCH("SVCR",_TARGETS!$A$2:$A$17,0))),INDEX(_TARGETS!$G$2:$G$17,MATCH("SVCR",_TARGETS!$A$2:$A$17,0)),"")</f>
        <v/>
      </c>
      <c r="J353" t="s">
        <v>1157</v>
      </c>
      <c r="K353" t="s">
        <v>1093</v>
      </c>
      <c r="L353" s="193" t="str">
        <f t="shared" si="33"/>
        <v>NO_DATA</v>
      </c>
      <c r="M353" s="193" t="str">
        <f t="shared" si="34"/>
        <v>YTD</v>
      </c>
      <c r="N353" s="193" t="str">
        <f>IF(NOT(ISNUMBER(H353)),"NO_DATA",IF(NOT(ISNUMBER(I353)),"MONITOR",IF(INDEX(_TARGETS!$E$2:$E$17,MATCH("SVCR",_TARGETS!$A$2:$A$17,0))="≤",IF(H353&lt;=I353,"ON_TARGET","OFF_TARGET"),IF(H353&gt;=I353,"ON_TARGET","OFF_TARGET"))))</f>
        <v>NO_DATA</v>
      </c>
      <c r="O353" s="193" t="str">
        <f t="shared" si="35"/>
        <v>Compressor Plant</v>
      </c>
      <c r="P353" s="193" t="str">
        <f ca="1">IF(LEFT(Control!$C$10,4)="ROJO","RED",IF(LEFT(Control!$C$10,8)="AMARILLO","AMBER","GREEN"))</f>
        <v>RED</v>
      </c>
      <c r="Q353" s="193">
        <f>IF(AND(ISNUMBER(MATCH(F353,Datos!$D$3:$AL$3,0)),F353&lt;=RPT_MONTH),1,0)</f>
        <v>0</v>
      </c>
      <c r="R353" s="193" t="str">
        <f t="shared" si="36"/>
        <v>OUT_OF_SCOPE</v>
      </c>
    </row>
    <row r="354" spans="1:18" ht="13.5" customHeight="1" x14ac:dyDescent="0.3">
      <c r="A354" t="s">
        <v>1154</v>
      </c>
      <c r="B354" t="s">
        <v>1162</v>
      </c>
      <c r="C354" t="s">
        <v>1163</v>
      </c>
      <c r="D354">
        <v>4</v>
      </c>
      <c r="E354">
        <v>5</v>
      </c>
      <c r="F354" s="258">
        <f>DATE(YEAR(RPT_MONTH),MONTH(RPT_MONTH)-7,1)</f>
        <v>46082</v>
      </c>
      <c r="G354" s="193" t="str">
        <f t="shared" si="32"/>
        <v>Mar-26</v>
      </c>
      <c r="H354" s="193" t="str">
        <f>IFERROR(1*INDEX(BD_KPIs!$F$2:$F$1300,MATCH(YEAR(F354)*100+MONTH(F354)&amp;"|SVCR|YTD",BD_KPIs!$Q$2:$Q$1300,0)),"")</f>
        <v/>
      </c>
      <c r="I354" s="193" t="str">
        <f>IF(ISNUMBER(INDEX(_TARGETS!$G$2:$G$17,MATCH("SVCR",_TARGETS!$A$2:$A$17,0))),INDEX(_TARGETS!$G$2:$G$17,MATCH("SVCR",_TARGETS!$A$2:$A$17,0)),"")</f>
        <v/>
      </c>
      <c r="J354" t="s">
        <v>1157</v>
      </c>
      <c r="K354" t="s">
        <v>1093</v>
      </c>
      <c r="L354" s="193" t="str">
        <f t="shared" si="33"/>
        <v>NO_DATA</v>
      </c>
      <c r="M354" s="193" t="str">
        <f t="shared" si="34"/>
        <v>YTD</v>
      </c>
      <c r="N354" s="193" t="str">
        <f>IF(NOT(ISNUMBER(H354)),"NO_DATA",IF(NOT(ISNUMBER(I354)),"MONITOR",IF(INDEX(_TARGETS!$E$2:$E$17,MATCH("SVCR",_TARGETS!$A$2:$A$17,0))="≤",IF(H354&lt;=I354,"ON_TARGET","OFF_TARGET"),IF(H354&gt;=I354,"ON_TARGET","OFF_TARGET"))))</f>
        <v>NO_DATA</v>
      </c>
      <c r="O354" s="193" t="str">
        <f t="shared" si="35"/>
        <v>Compressor Plant</v>
      </c>
      <c r="P354" s="193" t="str">
        <f ca="1">IF(LEFT(Control!$C$10,4)="ROJO","RED",IF(LEFT(Control!$C$10,8)="AMARILLO","AMBER","GREEN"))</f>
        <v>RED</v>
      </c>
      <c r="Q354" s="193">
        <f>IF(AND(ISNUMBER(MATCH(F354,Datos!$D$3:$AL$3,0)),F354&lt;=RPT_MONTH),1,0)</f>
        <v>0</v>
      </c>
      <c r="R354" s="193" t="str">
        <f t="shared" si="36"/>
        <v>OUT_OF_SCOPE</v>
      </c>
    </row>
    <row r="355" spans="1:18" ht="13.5" customHeight="1" x14ac:dyDescent="0.3">
      <c r="A355" t="s">
        <v>1154</v>
      </c>
      <c r="B355" t="s">
        <v>1162</v>
      </c>
      <c r="C355" t="s">
        <v>1163</v>
      </c>
      <c r="D355">
        <v>4</v>
      </c>
      <c r="E355">
        <v>6</v>
      </c>
      <c r="F355" s="258">
        <f>DATE(YEAR(RPT_MONTH),MONTH(RPT_MONTH)-6,1)</f>
        <v>46113</v>
      </c>
      <c r="G355" s="193" t="str">
        <f t="shared" si="32"/>
        <v>Apr-26</v>
      </c>
      <c r="H355" s="193" t="str">
        <f>IFERROR(1*INDEX(BD_KPIs!$F$2:$F$1300,MATCH(YEAR(F355)*100+MONTH(F355)&amp;"|SVCR|YTD",BD_KPIs!$Q$2:$Q$1300,0)),"")</f>
        <v/>
      </c>
      <c r="I355" s="193" t="str">
        <f>IF(ISNUMBER(INDEX(_TARGETS!$G$2:$G$17,MATCH("SVCR",_TARGETS!$A$2:$A$17,0))),INDEX(_TARGETS!$G$2:$G$17,MATCH("SVCR",_TARGETS!$A$2:$A$17,0)),"")</f>
        <v/>
      </c>
      <c r="J355" t="s">
        <v>1157</v>
      </c>
      <c r="K355" t="s">
        <v>1093</v>
      </c>
      <c r="L355" s="193" t="str">
        <f t="shared" si="33"/>
        <v>NO_DATA</v>
      </c>
      <c r="M355" s="193" t="str">
        <f t="shared" si="34"/>
        <v>YTD</v>
      </c>
      <c r="N355" s="193" t="str">
        <f>IF(NOT(ISNUMBER(H355)),"NO_DATA",IF(NOT(ISNUMBER(I355)),"MONITOR",IF(INDEX(_TARGETS!$E$2:$E$17,MATCH("SVCR",_TARGETS!$A$2:$A$17,0))="≤",IF(H355&lt;=I355,"ON_TARGET","OFF_TARGET"),IF(H355&gt;=I355,"ON_TARGET","OFF_TARGET"))))</f>
        <v>NO_DATA</v>
      </c>
      <c r="O355" s="193" t="str">
        <f t="shared" si="35"/>
        <v>Compressor Plant</v>
      </c>
      <c r="P355" s="193" t="str">
        <f ca="1">IF(LEFT(Control!$C$10,4)="ROJO","RED",IF(LEFT(Control!$C$10,8)="AMARILLO","AMBER","GREEN"))</f>
        <v>RED</v>
      </c>
      <c r="Q355" s="193">
        <f>IF(AND(ISNUMBER(MATCH(F355,Datos!$D$3:$AL$3,0)),F355&lt;=RPT_MONTH),1,0)</f>
        <v>0</v>
      </c>
      <c r="R355" s="193" t="str">
        <f t="shared" si="36"/>
        <v>OUT_OF_SCOPE</v>
      </c>
    </row>
    <row r="356" spans="1:18" ht="13.5" customHeight="1" x14ac:dyDescent="0.3">
      <c r="A356" t="s">
        <v>1154</v>
      </c>
      <c r="B356" t="s">
        <v>1162</v>
      </c>
      <c r="C356" t="s">
        <v>1163</v>
      </c>
      <c r="D356">
        <v>4</v>
      </c>
      <c r="E356">
        <v>7</v>
      </c>
      <c r="F356" s="258">
        <f>DATE(YEAR(RPT_MONTH),MONTH(RPT_MONTH)-5,1)</f>
        <v>46143</v>
      </c>
      <c r="G356" s="193" t="str">
        <f t="shared" si="32"/>
        <v>May-26</v>
      </c>
      <c r="H356" s="193" t="str">
        <f>IFERROR(1*INDEX(BD_KPIs!$F$2:$F$1300,MATCH(YEAR(F356)*100+MONTH(F356)&amp;"|SVCR|YTD",BD_KPIs!$Q$2:$Q$1300,0)),"")</f>
        <v/>
      </c>
      <c r="I356" s="193" t="str">
        <f>IF(ISNUMBER(INDEX(_TARGETS!$G$2:$G$17,MATCH("SVCR",_TARGETS!$A$2:$A$17,0))),INDEX(_TARGETS!$G$2:$G$17,MATCH("SVCR",_TARGETS!$A$2:$A$17,0)),"")</f>
        <v/>
      </c>
      <c r="J356" t="s">
        <v>1157</v>
      </c>
      <c r="K356" t="s">
        <v>1093</v>
      </c>
      <c r="L356" s="193" t="str">
        <f t="shared" si="33"/>
        <v>NO_DATA</v>
      </c>
      <c r="M356" s="193" t="str">
        <f t="shared" si="34"/>
        <v>YTD</v>
      </c>
      <c r="N356" s="193" t="str">
        <f>IF(NOT(ISNUMBER(H356)),"NO_DATA",IF(NOT(ISNUMBER(I356)),"MONITOR",IF(INDEX(_TARGETS!$E$2:$E$17,MATCH("SVCR",_TARGETS!$A$2:$A$17,0))="≤",IF(H356&lt;=I356,"ON_TARGET","OFF_TARGET"),IF(H356&gt;=I356,"ON_TARGET","OFF_TARGET"))))</f>
        <v>NO_DATA</v>
      </c>
      <c r="O356" s="193" t="str">
        <f t="shared" si="35"/>
        <v>Compressor Plant</v>
      </c>
      <c r="P356" s="193" t="str">
        <f ca="1">IF(LEFT(Control!$C$10,4)="ROJO","RED",IF(LEFT(Control!$C$10,8)="AMARILLO","AMBER","GREEN"))</f>
        <v>RED</v>
      </c>
      <c r="Q356" s="193">
        <f>IF(AND(ISNUMBER(MATCH(F356,Datos!$D$3:$AL$3,0)),F356&lt;=RPT_MONTH),1,0)</f>
        <v>0</v>
      </c>
      <c r="R356" s="193" t="str">
        <f t="shared" si="36"/>
        <v>OUT_OF_SCOPE</v>
      </c>
    </row>
    <row r="357" spans="1:18" ht="13.5" customHeight="1" x14ac:dyDescent="0.3">
      <c r="A357" t="s">
        <v>1154</v>
      </c>
      <c r="B357" t="s">
        <v>1162</v>
      </c>
      <c r="C357" t="s">
        <v>1163</v>
      </c>
      <c r="D357">
        <v>4</v>
      </c>
      <c r="E357">
        <v>8</v>
      </c>
      <c r="F357" s="258">
        <f>DATE(YEAR(RPT_MONTH),MONTH(RPT_MONTH)-4,1)</f>
        <v>46174</v>
      </c>
      <c r="G357" s="193" t="str">
        <f t="shared" si="32"/>
        <v>Jun-26</v>
      </c>
      <c r="H357" s="193" t="str">
        <f>IFERROR(1*INDEX(BD_KPIs!$F$2:$F$1300,MATCH(YEAR(F357)*100+MONTH(F357)&amp;"|SVCR|YTD",BD_KPIs!$Q$2:$Q$1300,0)),"")</f>
        <v/>
      </c>
      <c r="I357" s="193" t="str">
        <f>IF(ISNUMBER(INDEX(_TARGETS!$G$2:$G$17,MATCH("SVCR",_TARGETS!$A$2:$A$17,0))),INDEX(_TARGETS!$G$2:$G$17,MATCH("SVCR",_TARGETS!$A$2:$A$17,0)),"")</f>
        <v/>
      </c>
      <c r="J357" t="s">
        <v>1157</v>
      </c>
      <c r="K357" t="s">
        <v>1093</v>
      </c>
      <c r="L357" s="193" t="str">
        <f t="shared" si="33"/>
        <v>NO_DATA</v>
      </c>
      <c r="M357" s="193" t="str">
        <f t="shared" si="34"/>
        <v>YTD</v>
      </c>
      <c r="N357" s="193" t="str">
        <f>IF(NOT(ISNUMBER(H357)),"NO_DATA",IF(NOT(ISNUMBER(I357)),"MONITOR",IF(INDEX(_TARGETS!$E$2:$E$17,MATCH("SVCR",_TARGETS!$A$2:$A$17,0))="≤",IF(H357&lt;=I357,"ON_TARGET","OFF_TARGET"),IF(H357&gt;=I357,"ON_TARGET","OFF_TARGET"))))</f>
        <v>NO_DATA</v>
      </c>
      <c r="O357" s="193" t="str">
        <f t="shared" si="35"/>
        <v>Compressor Plant</v>
      </c>
      <c r="P357" s="193" t="str">
        <f ca="1">IF(LEFT(Control!$C$10,4)="ROJO","RED",IF(LEFT(Control!$C$10,8)="AMARILLO","AMBER","GREEN"))</f>
        <v>RED</v>
      </c>
      <c r="Q357" s="193">
        <f>IF(AND(ISNUMBER(MATCH(F357,Datos!$D$3:$AL$3,0)),F357&lt;=RPT_MONTH),1,0)</f>
        <v>0</v>
      </c>
      <c r="R357" s="193" t="str">
        <f t="shared" si="36"/>
        <v>OUT_OF_SCOPE</v>
      </c>
    </row>
    <row r="358" spans="1:18" ht="13.5" customHeight="1" x14ac:dyDescent="0.3">
      <c r="A358" t="s">
        <v>1154</v>
      </c>
      <c r="B358" t="s">
        <v>1162</v>
      </c>
      <c r="C358" t="s">
        <v>1163</v>
      </c>
      <c r="D358">
        <v>4</v>
      </c>
      <c r="E358">
        <v>9</v>
      </c>
      <c r="F358" s="258">
        <f>DATE(YEAR(RPT_MONTH),MONTH(RPT_MONTH)-3,1)</f>
        <v>46204</v>
      </c>
      <c r="G358" s="193" t="str">
        <f t="shared" si="32"/>
        <v>Jul-26</v>
      </c>
      <c r="H358" s="193" t="str">
        <f>IFERROR(1*INDEX(BD_KPIs!$F$2:$F$1300,MATCH(YEAR(F358)*100+MONTH(F358)&amp;"|SVCR|YTD",BD_KPIs!$Q$2:$Q$1300,0)),"")</f>
        <v/>
      </c>
      <c r="I358" s="193" t="str">
        <f>IF(ISNUMBER(INDEX(_TARGETS!$G$2:$G$17,MATCH("SVCR",_TARGETS!$A$2:$A$17,0))),INDEX(_TARGETS!$G$2:$G$17,MATCH("SVCR",_TARGETS!$A$2:$A$17,0)),"")</f>
        <v/>
      </c>
      <c r="J358" t="s">
        <v>1157</v>
      </c>
      <c r="K358" t="s">
        <v>1093</v>
      </c>
      <c r="L358" s="193" t="str">
        <f t="shared" si="33"/>
        <v>NO_DATA</v>
      </c>
      <c r="M358" s="193" t="str">
        <f t="shared" si="34"/>
        <v>YTD</v>
      </c>
      <c r="N358" s="193" t="str">
        <f>IF(NOT(ISNUMBER(H358)),"NO_DATA",IF(NOT(ISNUMBER(I358)),"MONITOR",IF(INDEX(_TARGETS!$E$2:$E$17,MATCH("SVCR",_TARGETS!$A$2:$A$17,0))="≤",IF(H358&lt;=I358,"ON_TARGET","OFF_TARGET"),IF(H358&gt;=I358,"ON_TARGET","OFF_TARGET"))))</f>
        <v>NO_DATA</v>
      </c>
      <c r="O358" s="193" t="str">
        <f t="shared" si="35"/>
        <v>Compressor Plant</v>
      </c>
      <c r="P358" s="193" t="str">
        <f ca="1">IF(LEFT(Control!$C$10,4)="ROJO","RED",IF(LEFT(Control!$C$10,8)="AMARILLO","AMBER","GREEN"))</f>
        <v>RED</v>
      </c>
      <c r="Q358" s="193">
        <f>IF(AND(ISNUMBER(MATCH(F358,Datos!$D$3:$AL$3,0)),F358&lt;=RPT_MONTH),1,0)</f>
        <v>0</v>
      </c>
      <c r="R358" s="193" t="str">
        <f t="shared" si="36"/>
        <v>OUT_OF_SCOPE</v>
      </c>
    </row>
    <row r="359" spans="1:18" ht="13.5" customHeight="1" x14ac:dyDescent="0.3">
      <c r="A359" t="s">
        <v>1154</v>
      </c>
      <c r="B359" t="s">
        <v>1162</v>
      </c>
      <c r="C359" t="s">
        <v>1163</v>
      </c>
      <c r="D359">
        <v>4</v>
      </c>
      <c r="E359">
        <v>10</v>
      </c>
      <c r="F359" s="258">
        <f>DATE(YEAR(RPT_MONTH),MONTH(RPT_MONTH)-2,1)</f>
        <v>46235</v>
      </c>
      <c r="G359" s="193" t="str">
        <f t="shared" si="32"/>
        <v>Aug-26</v>
      </c>
      <c r="H359" s="193">
        <f>IFERROR(1*INDEX(BD_KPIs!$F$2:$F$1300,MATCH(YEAR(F359)*100+MONTH(F359)&amp;"|SVCR|YTD",BD_KPIs!$Q$2:$Q$1300,0)),"")</f>
        <v>0</v>
      </c>
      <c r="I359" s="193" t="str">
        <f>IF(ISNUMBER(INDEX(_TARGETS!$G$2:$G$17,MATCH("SVCR",_TARGETS!$A$2:$A$17,0))),INDEX(_TARGETS!$G$2:$G$17,MATCH("SVCR",_TARGETS!$A$2:$A$17,0)),"")</f>
        <v/>
      </c>
      <c r="J359" t="s">
        <v>1157</v>
      </c>
      <c r="K359" t="s">
        <v>1093</v>
      </c>
      <c r="L359" s="193" t="str">
        <f t="shared" si="33"/>
        <v>OK</v>
      </c>
      <c r="M359" s="193" t="str">
        <f t="shared" si="34"/>
        <v>YTD</v>
      </c>
      <c r="N359" s="193" t="str">
        <f>IF(NOT(ISNUMBER(H359)),"NO_DATA",IF(NOT(ISNUMBER(I359)),"MONITOR",IF(INDEX(_TARGETS!$E$2:$E$17,MATCH("SVCR",_TARGETS!$A$2:$A$17,0))="≤",IF(H359&lt;=I359,"ON_TARGET","OFF_TARGET"),IF(H359&gt;=I359,"ON_TARGET","OFF_TARGET"))))</f>
        <v>MONITOR</v>
      </c>
      <c r="O359" s="193" t="str">
        <f t="shared" si="35"/>
        <v>Compressor Plant</v>
      </c>
      <c r="P359" s="193" t="str">
        <f ca="1">IF(LEFT(Control!$C$10,4)="ROJO","RED",IF(LEFT(Control!$C$10,8)="AMARILLO","AMBER","GREEN"))</f>
        <v>RED</v>
      </c>
      <c r="Q359" s="193">
        <f>IF(AND(ISNUMBER(MATCH(F359,Datos!$D$3:$AL$3,0)),F359&lt;=RPT_MONTH),1,0)</f>
        <v>1</v>
      </c>
      <c r="R359" s="193" t="str">
        <f t="shared" si="36"/>
        <v>OK</v>
      </c>
    </row>
    <row r="360" spans="1:18" ht="13.5" customHeight="1" x14ac:dyDescent="0.3">
      <c r="A360" t="s">
        <v>1154</v>
      </c>
      <c r="B360" t="s">
        <v>1162</v>
      </c>
      <c r="C360" t="s">
        <v>1163</v>
      </c>
      <c r="D360">
        <v>4</v>
      </c>
      <c r="E360">
        <v>11</v>
      </c>
      <c r="F360" s="258">
        <f>DATE(YEAR(RPT_MONTH),MONTH(RPT_MONTH)-1,1)</f>
        <v>46266</v>
      </c>
      <c r="G360" s="193" t="str">
        <f t="shared" si="32"/>
        <v>Sep-26</v>
      </c>
      <c r="H360" s="193">
        <f>IFERROR(1*INDEX(BD_KPIs!$F$2:$F$1300,MATCH(YEAR(F360)*100+MONTH(F360)&amp;"|SVCR|YTD",BD_KPIs!$Q$2:$Q$1300,0)),"")</f>
        <v>0</v>
      </c>
      <c r="I360" s="193" t="str">
        <f>IF(ISNUMBER(INDEX(_TARGETS!$G$2:$G$17,MATCH("SVCR",_TARGETS!$A$2:$A$17,0))),INDEX(_TARGETS!$G$2:$G$17,MATCH("SVCR",_TARGETS!$A$2:$A$17,0)),"")</f>
        <v/>
      </c>
      <c r="J360" t="s">
        <v>1157</v>
      </c>
      <c r="K360" t="s">
        <v>1093</v>
      </c>
      <c r="L360" s="193" t="str">
        <f t="shared" si="33"/>
        <v>OK</v>
      </c>
      <c r="M360" s="193" t="str">
        <f t="shared" si="34"/>
        <v>YTD</v>
      </c>
      <c r="N360" s="193" t="str">
        <f>IF(NOT(ISNUMBER(H360)),"NO_DATA",IF(NOT(ISNUMBER(I360)),"MONITOR",IF(INDEX(_TARGETS!$E$2:$E$17,MATCH("SVCR",_TARGETS!$A$2:$A$17,0))="≤",IF(H360&lt;=I360,"ON_TARGET","OFF_TARGET"),IF(H360&gt;=I360,"ON_TARGET","OFF_TARGET"))))</f>
        <v>MONITOR</v>
      </c>
      <c r="O360" s="193" t="str">
        <f t="shared" si="35"/>
        <v>Compressor Plant</v>
      </c>
      <c r="P360" s="193" t="str">
        <f ca="1">IF(LEFT(Control!$C$10,4)="ROJO","RED",IF(LEFT(Control!$C$10,8)="AMARILLO","AMBER","GREEN"))</f>
        <v>RED</v>
      </c>
      <c r="Q360" s="193">
        <f>IF(AND(ISNUMBER(MATCH(F360,Datos!$D$3:$AL$3,0)),F360&lt;=RPT_MONTH),1,0)</f>
        <v>1</v>
      </c>
      <c r="R360" s="193" t="str">
        <f t="shared" si="36"/>
        <v>OK</v>
      </c>
    </row>
    <row r="361" spans="1:18" ht="13.5" customHeight="1" x14ac:dyDescent="0.3">
      <c r="A361" t="s">
        <v>1154</v>
      </c>
      <c r="B361" t="s">
        <v>1162</v>
      </c>
      <c r="C361" t="s">
        <v>1163</v>
      </c>
      <c r="D361">
        <v>4</v>
      </c>
      <c r="E361">
        <v>12</v>
      </c>
      <c r="F361" s="258">
        <f>DATE(YEAR(RPT_MONTH),MONTH(RPT_MONTH)-0,1)</f>
        <v>46296</v>
      </c>
      <c r="G361" s="193" t="str">
        <f t="shared" si="32"/>
        <v>Oct-26</v>
      </c>
      <c r="H361" s="193" t="str">
        <f>IFERROR(1*INDEX(BD_KPIs!$F$2:$F$1300,MATCH(YEAR(F361)*100+MONTH(F361)&amp;"|SVCR|YTD",BD_KPIs!$Q$2:$Q$1300,0)),"")</f>
        <v/>
      </c>
      <c r="I361" s="193" t="str">
        <f>IF(ISNUMBER(INDEX(_TARGETS!$G$2:$G$17,MATCH("SVCR",_TARGETS!$A$2:$A$17,0))),INDEX(_TARGETS!$G$2:$G$17,MATCH("SVCR",_TARGETS!$A$2:$A$17,0)),"")</f>
        <v/>
      </c>
      <c r="J361" t="s">
        <v>1157</v>
      </c>
      <c r="K361" t="s">
        <v>1093</v>
      </c>
      <c r="L361" s="193" t="str">
        <f t="shared" si="33"/>
        <v>NO_DATA</v>
      </c>
      <c r="M361" s="193" t="str">
        <f t="shared" si="34"/>
        <v>YTD</v>
      </c>
      <c r="N361" s="193" t="str">
        <f>IF(NOT(ISNUMBER(H361)),"NO_DATA",IF(NOT(ISNUMBER(I361)),"MONITOR",IF(INDEX(_TARGETS!$E$2:$E$17,MATCH("SVCR",_TARGETS!$A$2:$A$17,0))="≤",IF(H361&lt;=I361,"ON_TARGET","OFF_TARGET"),IF(H361&gt;=I361,"ON_TARGET","OFF_TARGET"))))</f>
        <v>NO_DATA</v>
      </c>
      <c r="O361" s="193" t="str">
        <f t="shared" si="35"/>
        <v>Compressor Plant</v>
      </c>
      <c r="P361" s="193" t="str">
        <f ca="1">IF(LEFT(Control!$C$10,4)="ROJO","RED",IF(LEFT(Control!$C$10,8)="AMARILLO","AMBER","GREEN"))</f>
        <v>RED</v>
      </c>
      <c r="Q361" s="193">
        <f>IF(AND(ISNUMBER(MATCH(F361,Datos!$D$3:$AL$3,0)),F361&lt;=RPT_MONTH),1,0)</f>
        <v>1</v>
      </c>
      <c r="R361" s="193" t="str">
        <f t="shared" si="36"/>
        <v>MISSING</v>
      </c>
    </row>
    <row r="362" spans="1:18" ht="13.5" customHeight="1" x14ac:dyDescent="0.3">
      <c r="A362" t="s">
        <v>1164</v>
      </c>
      <c r="B362" t="s">
        <v>1060</v>
      </c>
      <c r="C362" t="s">
        <v>1061</v>
      </c>
      <c r="D362">
        <v>1</v>
      </c>
      <c r="E362">
        <v>1</v>
      </c>
      <c r="F362" s="258">
        <f>DATE(YEAR(RPT_MONTH),MONTH(RPT_MONTH)-11,1)</f>
        <v>45962</v>
      </c>
      <c r="G362" s="193" t="str">
        <f t="shared" si="32"/>
        <v>Nov-25</v>
      </c>
      <c r="H362" s="193" t="str">
        <f>IFERROR(IF(COUNT(INDEX(Datos!$D$44:$AL$46,0,MATCH(F362,Datos!$D$3:$AL$3,0)))=0,"",INDEX(Datos!$D$47:$AL$47,MATCH(F362,Datos!$D$3:$AL$3,0))),"")</f>
        <v/>
      </c>
      <c r="J362" t="s">
        <v>163</v>
      </c>
      <c r="K362" t="s">
        <v>1115</v>
      </c>
      <c r="L362" s="193" t="str">
        <f t="shared" si="33"/>
        <v>NO_DATA</v>
      </c>
      <c r="M362" s="193" t="str">
        <f t="shared" si="34"/>
        <v>Monthly</v>
      </c>
      <c r="N362" s="193" t="str">
        <f t="shared" ref="N362:N389" si="37">IF(ISNUMBER(H362),"CONTEXT","NO_DATA")</f>
        <v>NO_DATA</v>
      </c>
      <c r="O362" s="193" t="str">
        <f t="shared" si="35"/>
        <v>Compressor Plant</v>
      </c>
      <c r="P362" s="193" t="str">
        <f ca="1">IF(LEFT(Control!$C$10,4)="ROJO","RED",IF(LEFT(Control!$C$10,8)="AMARILLO","AMBER","GREEN"))</f>
        <v>RED</v>
      </c>
      <c r="Q362" s="193">
        <f>IF(AND(ISNUMBER(MATCH(F362,Datos!$D$3:$AL$3,0)),F362&lt;=RPT_MONTH),1,0)</f>
        <v>0</v>
      </c>
      <c r="R362" s="193" t="str">
        <f t="shared" si="36"/>
        <v>OUT_OF_SCOPE</v>
      </c>
    </row>
    <row r="363" spans="1:18" ht="13.5" customHeight="1" x14ac:dyDescent="0.3">
      <c r="A363" t="s">
        <v>1164</v>
      </c>
      <c r="B363" t="s">
        <v>1060</v>
      </c>
      <c r="C363" t="s">
        <v>1061</v>
      </c>
      <c r="D363">
        <v>1</v>
      </c>
      <c r="E363">
        <v>2</v>
      </c>
      <c r="F363" s="258">
        <f>DATE(YEAR(RPT_MONTH),MONTH(RPT_MONTH)-10,1)</f>
        <v>45992</v>
      </c>
      <c r="G363" s="193" t="str">
        <f t="shared" si="32"/>
        <v>Dec-25</v>
      </c>
      <c r="H363" s="193" t="str">
        <f>IFERROR(IF(COUNT(INDEX(Datos!$D$44:$AL$46,0,MATCH(F363,Datos!$D$3:$AL$3,0)))=0,"",INDEX(Datos!$D$47:$AL$47,MATCH(F363,Datos!$D$3:$AL$3,0))),"")</f>
        <v/>
      </c>
      <c r="J363" t="s">
        <v>163</v>
      </c>
      <c r="K363" t="s">
        <v>1115</v>
      </c>
      <c r="L363" s="193" t="str">
        <f t="shared" si="33"/>
        <v>NO_DATA</v>
      </c>
      <c r="M363" s="193" t="str">
        <f t="shared" si="34"/>
        <v>Monthly</v>
      </c>
      <c r="N363" s="193" t="str">
        <f t="shared" si="37"/>
        <v>NO_DATA</v>
      </c>
      <c r="O363" s="193" t="str">
        <f t="shared" si="35"/>
        <v>Compressor Plant</v>
      </c>
      <c r="P363" s="193" t="str">
        <f ca="1">IF(LEFT(Control!$C$10,4)="ROJO","RED",IF(LEFT(Control!$C$10,8)="AMARILLO","AMBER","GREEN"))</f>
        <v>RED</v>
      </c>
      <c r="Q363" s="193">
        <f>IF(AND(ISNUMBER(MATCH(F363,Datos!$D$3:$AL$3,0)),F363&lt;=RPT_MONTH),1,0)</f>
        <v>0</v>
      </c>
      <c r="R363" s="193" t="str">
        <f t="shared" si="36"/>
        <v>OUT_OF_SCOPE</v>
      </c>
    </row>
    <row r="364" spans="1:18" ht="13.5" customHeight="1" x14ac:dyDescent="0.3">
      <c r="A364" t="s">
        <v>1164</v>
      </c>
      <c r="B364" t="s">
        <v>1060</v>
      </c>
      <c r="C364" t="s">
        <v>1061</v>
      </c>
      <c r="D364">
        <v>1</v>
      </c>
      <c r="E364">
        <v>3</v>
      </c>
      <c r="F364" s="258">
        <f>DATE(YEAR(RPT_MONTH),MONTH(RPT_MONTH)-9,1)</f>
        <v>46023</v>
      </c>
      <c r="G364" s="193" t="str">
        <f t="shared" si="32"/>
        <v>Jan-26</v>
      </c>
      <c r="H364" s="193" t="str">
        <f>IFERROR(IF(COUNT(INDEX(Datos!$D$44:$AL$46,0,MATCH(F364,Datos!$D$3:$AL$3,0)))=0,"",INDEX(Datos!$D$47:$AL$47,MATCH(F364,Datos!$D$3:$AL$3,0))),"")</f>
        <v/>
      </c>
      <c r="J364" t="s">
        <v>163</v>
      </c>
      <c r="K364" t="s">
        <v>1115</v>
      </c>
      <c r="L364" s="193" t="str">
        <f t="shared" si="33"/>
        <v>NO_DATA</v>
      </c>
      <c r="M364" s="193" t="str">
        <f t="shared" si="34"/>
        <v>Monthly</v>
      </c>
      <c r="N364" s="193" t="str">
        <f t="shared" si="37"/>
        <v>NO_DATA</v>
      </c>
      <c r="O364" s="193" t="str">
        <f t="shared" si="35"/>
        <v>Compressor Plant</v>
      </c>
      <c r="P364" s="193" t="str">
        <f ca="1">IF(LEFT(Control!$C$10,4)="ROJO","RED",IF(LEFT(Control!$C$10,8)="AMARILLO","AMBER","GREEN"))</f>
        <v>RED</v>
      </c>
      <c r="Q364" s="193">
        <f>IF(AND(ISNUMBER(MATCH(F364,Datos!$D$3:$AL$3,0)),F364&lt;=RPT_MONTH),1,0)</f>
        <v>0</v>
      </c>
      <c r="R364" s="193" t="str">
        <f t="shared" si="36"/>
        <v>OUT_OF_SCOPE</v>
      </c>
    </row>
    <row r="365" spans="1:18" ht="13.5" customHeight="1" x14ac:dyDescent="0.3">
      <c r="A365" t="s">
        <v>1164</v>
      </c>
      <c r="B365" t="s">
        <v>1060</v>
      </c>
      <c r="C365" t="s">
        <v>1061</v>
      </c>
      <c r="D365">
        <v>1</v>
      </c>
      <c r="E365">
        <v>4</v>
      </c>
      <c r="F365" s="258">
        <f>DATE(YEAR(RPT_MONTH),MONTH(RPT_MONTH)-8,1)</f>
        <v>46054</v>
      </c>
      <c r="G365" s="193" t="str">
        <f t="shared" si="32"/>
        <v>Feb-26</v>
      </c>
      <c r="H365" s="193" t="str">
        <f>IFERROR(IF(COUNT(INDEX(Datos!$D$44:$AL$46,0,MATCH(F365,Datos!$D$3:$AL$3,0)))=0,"",INDEX(Datos!$D$47:$AL$47,MATCH(F365,Datos!$D$3:$AL$3,0))),"")</f>
        <v/>
      </c>
      <c r="J365" t="s">
        <v>163</v>
      </c>
      <c r="K365" t="s">
        <v>1115</v>
      </c>
      <c r="L365" s="193" t="str">
        <f t="shared" si="33"/>
        <v>NO_DATA</v>
      </c>
      <c r="M365" s="193" t="str">
        <f t="shared" si="34"/>
        <v>Monthly</v>
      </c>
      <c r="N365" s="193" t="str">
        <f t="shared" si="37"/>
        <v>NO_DATA</v>
      </c>
      <c r="O365" s="193" t="str">
        <f t="shared" si="35"/>
        <v>Compressor Plant</v>
      </c>
      <c r="P365" s="193" t="str">
        <f ca="1">IF(LEFT(Control!$C$10,4)="ROJO","RED",IF(LEFT(Control!$C$10,8)="AMARILLO","AMBER","GREEN"))</f>
        <v>RED</v>
      </c>
      <c r="Q365" s="193">
        <f>IF(AND(ISNUMBER(MATCH(F365,Datos!$D$3:$AL$3,0)),F365&lt;=RPT_MONTH),1,0)</f>
        <v>0</v>
      </c>
      <c r="R365" s="193" t="str">
        <f t="shared" si="36"/>
        <v>OUT_OF_SCOPE</v>
      </c>
    </row>
    <row r="366" spans="1:18" ht="13.5" customHeight="1" x14ac:dyDescent="0.3">
      <c r="A366" t="s">
        <v>1164</v>
      </c>
      <c r="B366" t="s">
        <v>1060</v>
      </c>
      <c r="C366" t="s">
        <v>1061</v>
      </c>
      <c r="D366">
        <v>1</v>
      </c>
      <c r="E366">
        <v>5</v>
      </c>
      <c r="F366" s="258">
        <f>DATE(YEAR(RPT_MONTH),MONTH(RPT_MONTH)-7,1)</f>
        <v>46082</v>
      </c>
      <c r="G366" s="193" t="str">
        <f t="shared" si="32"/>
        <v>Mar-26</v>
      </c>
      <c r="H366" s="193" t="str">
        <f>IFERROR(IF(COUNT(INDEX(Datos!$D$44:$AL$46,0,MATCH(F366,Datos!$D$3:$AL$3,0)))=0,"",INDEX(Datos!$D$47:$AL$47,MATCH(F366,Datos!$D$3:$AL$3,0))),"")</f>
        <v/>
      </c>
      <c r="J366" t="s">
        <v>163</v>
      </c>
      <c r="K366" t="s">
        <v>1115</v>
      </c>
      <c r="L366" s="193" t="str">
        <f t="shared" si="33"/>
        <v>NO_DATA</v>
      </c>
      <c r="M366" s="193" t="str">
        <f t="shared" si="34"/>
        <v>Monthly</v>
      </c>
      <c r="N366" s="193" t="str">
        <f t="shared" si="37"/>
        <v>NO_DATA</v>
      </c>
      <c r="O366" s="193" t="str">
        <f t="shared" si="35"/>
        <v>Compressor Plant</v>
      </c>
      <c r="P366" s="193" t="str">
        <f ca="1">IF(LEFT(Control!$C$10,4)="ROJO","RED",IF(LEFT(Control!$C$10,8)="AMARILLO","AMBER","GREEN"))</f>
        <v>RED</v>
      </c>
      <c r="Q366" s="193">
        <f>IF(AND(ISNUMBER(MATCH(F366,Datos!$D$3:$AL$3,0)),F366&lt;=RPT_MONTH),1,0)</f>
        <v>0</v>
      </c>
      <c r="R366" s="193" t="str">
        <f t="shared" si="36"/>
        <v>OUT_OF_SCOPE</v>
      </c>
    </row>
    <row r="367" spans="1:18" ht="13.5" customHeight="1" x14ac:dyDescent="0.3">
      <c r="A367" t="s">
        <v>1164</v>
      </c>
      <c r="B367" t="s">
        <v>1060</v>
      </c>
      <c r="C367" t="s">
        <v>1061</v>
      </c>
      <c r="D367">
        <v>1</v>
      </c>
      <c r="E367">
        <v>6</v>
      </c>
      <c r="F367" s="258">
        <f>DATE(YEAR(RPT_MONTH),MONTH(RPT_MONTH)-6,1)</f>
        <v>46113</v>
      </c>
      <c r="G367" s="193" t="str">
        <f t="shared" si="32"/>
        <v>Apr-26</v>
      </c>
      <c r="H367" s="193" t="str">
        <f>IFERROR(IF(COUNT(INDEX(Datos!$D$44:$AL$46,0,MATCH(F367,Datos!$D$3:$AL$3,0)))=0,"",INDEX(Datos!$D$47:$AL$47,MATCH(F367,Datos!$D$3:$AL$3,0))),"")</f>
        <v/>
      </c>
      <c r="J367" t="s">
        <v>163</v>
      </c>
      <c r="K367" t="s">
        <v>1115</v>
      </c>
      <c r="L367" s="193" t="str">
        <f t="shared" si="33"/>
        <v>NO_DATA</v>
      </c>
      <c r="M367" s="193" t="str">
        <f t="shared" si="34"/>
        <v>Monthly</v>
      </c>
      <c r="N367" s="193" t="str">
        <f t="shared" si="37"/>
        <v>NO_DATA</v>
      </c>
      <c r="O367" s="193" t="str">
        <f t="shared" si="35"/>
        <v>Compressor Plant</v>
      </c>
      <c r="P367" s="193" t="str">
        <f ca="1">IF(LEFT(Control!$C$10,4)="ROJO","RED",IF(LEFT(Control!$C$10,8)="AMARILLO","AMBER","GREEN"))</f>
        <v>RED</v>
      </c>
      <c r="Q367" s="193">
        <f>IF(AND(ISNUMBER(MATCH(F367,Datos!$D$3:$AL$3,0)),F367&lt;=RPT_MONTH),1,0)</f>
        <v>0</v>
      </c>
      <c r="R367" s="193" t="str">
        <f t="shared" si="36"/>
        <v>OUT_OF_SCOPE</v>
      </c>
    </row>
    <row r="368" spans="1:18" ht="13.5" customHeight="1" x14ac:dyDescent="0.3">
      <c r="A368" t="s">
        <v>1164</v>
      </c>
      <c r="B368" t="s">
        <v>1060</v>
      </c>
      <c r="C368" t="s">
        <v>1061</v>
      </c>
      <c r="D368">
        <v>1</v>
      </c>
      <c r="E368">
        <v>7</v>
      </c>
      <c r="F368" s="258">
        <f>DATE(YEAR(RPT_MONTH),MONTH(RPT_MONTH)-5,1)</f>
        <v>46143</v>
      </c>
      <c r="G368" s="193" t="str">
        <f t="shared" si="32"/>
        <v>May-26</v>
      </c>
      <c r="H368" s="193" t="str">
        <f>IFERROR(IF(COUNT(INDEX(Datos!$D$44:$AL$46,0,MATCH(F368,Datos!$D$3:$AL$3,0)))=0,"",INDEX(Datos!$D$47:$AL$47,MATCH(F368,Datos!$D$3:$AL$3,0))),"")</f>
        <v/>
      </c>
      <c r="J368" t="s">
        <v>163</v>
      </c>
      <c r="K368" t="s">
        <v>1115</v>
      </c>
      <c r="L368" s="193" t="str">
        <f t="shared" si="33"/>
        <v>NO_DATA</v>
      </c>
      <c r="M368" s="193" t="str">
        <f t="shared" si="34"/>
        <v>Monthly</v>
      </c>
      <c r="N368" s="193" t="str">
        <f t="shared" si="37"/>
        <v>NO_DATA</v>
      </c>
      <c r="O368" s="193" t="str">
        <f t="shared" si="35"/>
        <v>Compressor Plant</v>
      </c>
      <c r="P368" s="193" t="str">
        <f ca="1">IF(LEFT(Control!$C$10,4)="ROJO","RED",IF(LEFT(Control!$C$10,8)="AMARILLO","AMBER","GREEN"))</f>
        <v>RED</v>
      </c>
      <c r="Q368" s="193">
        <f>IF(AND(ISNUMBER(MATCH(F368,Datos!$D$3:$AL$3,0)),F368&lt;=RPT_MONTH),1,0)</f>
        <v>0</v>
      </c>
      <c r="R368" s="193" t="str">
        <f t="shared" si="36"/>
        <v>OUT_OF_SCOPE</v>
      </c>
    </row>
    <row r="369" spans="1:18" ht="13.5" customHeight="1" x14ac:dyDescent="0.3">
      <c r="A369" t="s">
        <v>1164</v>
      </c>
      <c r="B369" t="s">
        <v>1060</v>
      </c>
      <c r="C369" t="s">
        <v>1061</v>
      </c>
      <c r="D369">
        <v>1</v>
      </c>
      <c r="E369">
        <v>8</v>
      </c>
      <c r="F369" s="258">
        <f>DATE(YEAR(RPT_MONTH),MONTH(RPT_MONTH)-4,1)</f>
        <v>46174</v>
      </c>
      <c r="G369" s="193" t="str">
        <f t="shared" si="32"/>
        <v>Jun-26</v>
      </c>
      <c r="H369" s="193" t="str">
        <f>IFERROR(IF(COUNT(INDEX(Datos!$D$44:$AL$46,0,MATCH(F369,Datos!$D$3:$AL$3,0)))=0,"",INDEX(Datos!$D$47:$AL$47,MATCH(F369,Datos!$D$3:$AL$3,0))),"")</f>
        <v/>
      </c>
      <c r="J369" t="s">
        <v>163</v>
      </c>
      <c r="K369" t="s">
        <v>1115</v>
      </c>
      <c r="L369" s="193" t="str">
        <f t="shared" si="33"/>
        <v>NO_DATA</v>
      </c>
      <c r="M369" s="193" t="str">
        <f t="shared" si="34"/>
        <v>Monthly</v>
      </c>
      <c r="N369" s="193" t="str">
        <f t="shared" si="37"/>
        <v>NO_DATA</v>
      </c>
      <c r="O369" s="193" t="str">
        <f t="shared" si="35"/>
        <v>Compressor Plant</v>
      </c>
      <c r="P369" s="193" t="str">
        <f ca="1">IF(LEFT(Control!$C$10,4)="ROJO","RED",IF(LEFT(Control!$C$10,8)="AMARILLO","AMBER","GREEN"))</f>
        <v>RED</v>
      </c>
      <c r="Q369" s="193">
        <f>IF(AND(ISNUMBER(MATCH(F369,Datos!$D$3:$AL$3,0)),F369&lt;=RPT_MONTH),1,0)</f>
        <v>0</v>
      </c>
      <c r="R369" s="193" t="str">
        <f t="shared" si="36"/>
        <v>OUT_OF_SCOPE</v>
      </c>
    </row>
    <row r="370" spans="1:18" ht="13.5" customHeight="1" x14ac:dyDescent="0.3">
      <c r="A370" t="s">
        <v>1164</v>
      </c>
      <c r="B370" t="s">
        <v>1060</v>
      </c>
      <c r="C370" t="s">
        <v>1061</v>
      </c>
      <c r="D370">
        <v>1</v>
      </c>
      <c r="E370">
        <v>9</v>
      </c>
      <c r="F370" s="258">
        <f>DATE(YEAR(RPT_MONTH),MONTH(RPT_MONTH)-3,1)</f>
        <v>46204</v>
      </c>
      <c r="G370" s="193" t="str">
        <f t="shared" si="32"/>
        <v>Jul-26</v>
      </c>
      <c r="H370" s="193" t="str">
        <f>IFERROR(IF(COUNT(INDEX(Datos!$D$44:$AL$46,0,MATCH(F370,Datos!$D$3:$AL$3,0)))=0,"",INDEX(Datos!$D$47:$AL$47,MATCH(F370,Datos!$D$3:$AL$3,0))),"")</f>
        <v/>
      </c>
      <c r="J370" t="s">
        <v>163</v>
      </c>
      <c r="K370" t="s">
        <v>1115</v>
      </c>
      <c r="L370" s="193" t="str">
        <f t="shared" si="33"/>
        <v>NO_DATA</v>
      </c>
      <c r="M370" s="193" t="str">
        <f t="shared" si="34"/>
        <v>Monthly</v>
      </c>
      <c r="N370" s="193" t="str">
        <f t="shared" si="37"/>
        <v>NO_DATA</v>
      </c>
      <c r="O370" s="193" t="str">
        <f t="shared" si="35"/>
        <v>Compressor Plant</v>
      </c>
      <c r="P370" s="193" t="str">
        <f ca="1">IF(LEFT(Control!$C$10,4)="ROJO","RED",IF(LEFT(Control!$C$10,8)="AMARILLO","AMBER","GREEN"))</f>
        <v>RED</v>
      </c>
      <c r="Q370" s="193">
        <f>IF(AND(ISNUMBER(MATCH(F370,Datos!$D$3:$AL$3,0)),F370&lt;=RPT_MONTH),1,0)</f>
        <v>0</v>
      </c>
      <c r="R370" s="193" t="str">
        <f t="shared" si="36"/>
        <v>OUT_OF_SCOPE</v>
      </c>
    </row>
    <row r="371" spans="1:18" ht="13.5" customHeight="1" x14ac:dyDescent="0.3">
      <c r="A371" t="s">
        <v>1164</v>
      </c>
      <c r="B371" t="s">
        <v>1060</v>
      </c>
      <c r="C371" t="s">
        <v>1061</v>
      </c>
      <c r="D371">
        <v>1</v>
      </c>
      <c r="E371">
        <v>10</v>
      </c>
      <c r="F371" s="258">
        <f>DATE(YEAR(RPT_MONTH),MONTH(RPT_MONTH)-2,1)</f>
        <v>46235</v>
      </c>
      <c r="G371" s="193" t="str">
        <f t="shared" si="32"/>
        <v>Aug-26</v>
      </c>
      <c r="H371" s="193">
        <f>IFERROR(IF(COUNT(INDEX(Datos!$D$44:$AL$46,0,MATCH(F371,Datos!$D$3:$AL$3,0)))=0,"",INDEX(Datos!$D$47:$AL$47,MATCH(F371,Datos!$D$3:$AL$3,0))),"")</f>
        <v>56057</v>
      </c>
      <c r="J371" t="s">
        <v>163</v>
      </c>
      <c r="K371" t="s">
        <v>1115</v>
      </c>
      <c r="L371" s="193" t="str">
        <f t="shared" si="33"/>
        <v>OK</v>
      </c>
      <c r="M371" s="193" t="str">
        <f t="shared" si="34"/>
        <v>Monthly</v>
      </c>
      <c r="N371" s="193" t="str">
        <f t="shared" si="37"/>
        <v>CONTEXT</v>
      </c>
      <c r="O371" s="193" t="str">
        <f t="shared" si="35"/>
        <v>Compressor Plant</v>
      </c>
      <c r="P371" s="193" t="str">
        <f ca="1">IF(LEFT(Control!$C$10,4)="ROJO","RED",IF(LEFT(Control!$C$10,8)="AMARILLO","AMBER","GREEN"))</f>
        <v>RED</v>
      </c>
      <c r="Q371" s="193">
        <f>IF(AND(ISNUMBER(MATCH(F371,Datos!$D$3:$AL$3,0)),F371&lt;=RPT_MONTH),1,0)</f>
        <v>1</v>
      </c>
      <c r="R371" s="193" t="str">
        <f t="shared" si="36"/>
        <v>OK</v>
      </c>
    </row>
    <row r="372" spans="1:18" ht="13.5" customHeight="1" x14ac:dyDescent="0.3">
      <c r="A372" t="s">
        <v>1164</v>
      </c>
      <c r="B372" t="s">
        <v>1060</v>
      </c>
      <c r="C372" t="s">
        <v>1061</v>
      </c>
      <c r="D372">
        <v>1</v>
      </c>
      <c r="E372">
        <v>11</v>
      </c>
      <c r="F372" s="258">
        <f>DATE(YEAR(RPT_MONTH),MONTH(RPT_MONTH)-1,1)</f>
        <v>46266</v>
      </c>
      <c r="G372" s="193" t="str">
        <f t="shared" si="32"/>
        <v>Sep-26</v>
      </c>
      <c r="H372" s="193">
        <f>IFERROR(IF(COUNT(INDEX(Datos!$D$44:$AL$46,0,MATCH(F372,Datos!$D$3:$AL$3,0)))=0,"",INDEX(Datos!$D$47:$AL$47,MATCH(F372,Datos!$D$3:$AL$3,0))),"")</f>
        <v>116767</v>
      </c>
      <c r="J372" t="s">
        <v>163</v>
      </c>
      <c r="K372" t="s">
        <v>1115</v>
      </c>
      <c r="L372" s="193" t="str">
        <f t="shared" si="33"/>
        <v>OK</v>
      </c>
      <c r="M372" s="193" t="str">
        <f t="shared" si="34"/>
        <v>Monthly</v>
      </c>
      <c r="N372" s="193" t="str">
        <f t="shared" si="37"/>
        <v>CONTEXT</v>
      </c>
      <c r="O372" s="193" t="str">
        <f t="shared" si="35"/>
        <v>Compressor Plant</v>
      </c>
      <c r="P372" s="193" t="str">
        <f ca="1">IF(LEFT(Control!$C$10,4)="ROJO","RED",IF(LEFT(Control!$C$10,8)="AMARILLO","AMBER","GREEN"))</f>
        <v>RED</v>
      </c>
      <c r="Q372" s="193">
        <f>IF(AND(ISNUMBER(MATCH(F372,Datos!$D$3:$AL$3,0)),F372&lt;=RPT_MONTH),1,0)</f>
        <v>1</v>
      </c>
      <c r="R372" s="193" t="str">
        <f t="shared" si="36"/>
        <v>OK</v>
      </c>
    </row>
    <row r="373" spans="1:18" ht="13.5" customHeight="1" x14ac:dyDescent="0.3">
      <c r="A373" t="s">
        <v>1164</v>
      </c>
      <c r="B373" t="s">
        <v>1060</v>
      </c>
      <c r="C373" t="s">
        <v>1061</v>
      </c>
      <c r="D373">
        <v>1</v>
      </c>
      <c r="E373">
        <v>12</v>
      </c>
      <c r="F373" s="258">
        <f>DATE(YEAR(RPT_MONTH),MONTH(RPT_MONTH)-0,1)</f>
        <v>46296</v>
      </c>
      <c r="G373" s="193" t="str">
        <f t="shared" si="32"/>
        <v>Oct-26</v>
      </c>
      <c r="H373" s="193" t="str">
        <f>IFERROR(IF(COUNT(INDEX(Datos!$D$44:$AL$46,0,MATCH(F373,Datos!$D$3:$AL$3,0)))=0,"",INDEX(Datos!$D$47:$AL$47,MATCH(F373,Datos!$D$3:$AL$3,0))),"")</f>
        <v/>
      </c>
      <c r="J373" t="s">
        <v>163</v>
      </c>
      <c r="K373" t="s">
        <v>1115</v>
      </c>
      <c r="L373" s="193" t="str">
        <f t="shared" si="33"/>
        <v>NO_DATA</v>
      </c>
      <c r="M373" s="193" t="str">
        <f t="shared" si="34"/>
        <v>Monthly</v>
      </c>
      <c r="N373" s="193" t="str">
        <f t="shared" si="37"/>
        <v>NO_DATA</v>
      </c>
      <c r="O373" s="193" t="str">
        <f t="shared" si="35"/>
        <v>Compressor Plant</v>
      </c>
      <c r="P373" s="193" t="str">
        <f ca="1">IF(LEFT(Control!$C$10,4)="ROJO","RED",IF(LEFT(Control!$C$10,8)="AMARILLO","AMBER","GREEN"))</f>
        <v>RED</v>
      </c>
      <c r="Q373" s="193">
        <f>IF(AND(ISNUMBER(MATCH(F373,Datos!$D$3:$AL$3,0)),F373&lt;=RPT_MONTH),1,0)</f>
        <v>1</v>
      </c>
      <c r="R373" s="193" t="str">
        <f t="shared" si="36"/>
        <v>MISSING</v>
      </c>
    </row>
    <row r="374" spans="1:18" ht="13.5" customHeight="1" x14ac:dyDescent="0.3">
      <c r="A374" t="s">
        <v>1165</v>
      </c>
      <c r="B374" t="s">
        <v>1166</v>
      </c>
      <c r="C374" t="s">
        <v>1167</v>
      </c>
      <c r="D374">
        <v>1</v>
      </c>
      <c r="E374">
        <v>1</v>
      </c>
      <c r="F374" s="258">
        <f t="shared" ref="F374:F390" si="38">RPT_MONTH</f>
        <v>46296</v>
      </c>
      <c r="G374" t="s">
        <v>1118</v>
      </c>
      <c r="H374" s="193" t="str">
        <f>IFERROR(IF(OR(INDEX(BD_KPIs!$O$2:$O$1300,MATCH(YEAR(RPT_MONTH)*100+MONTH(RPT_MONTH)&amp;"|CPSE|Monthly",BD_KPIs!$Q$2:$Q$1300,0))="OK",INDEX(BD_KPIs!$O$2:$O$1300,MATCH(YEAR(RPT_MONTH)*100+MONTH(RPT_MONTH)&amp;"|CPSE|Monthly",BD_KPIs!$Q$2:$Q$1300,0))="INCOMPLETE"),1*INDEX(BD_KPIs!$L$2:$L$1300,MATCH(YEAR(RPT_MONTH)*100+MONTH(RPT_MONTH)&amp;"|CPSE|Monthly",BD_KPIs!$Q$2:$Q$1300,0)),""),"")</f>
        <v/>
      </c>
      <c r="J374" t="s">
        <v>1168</v>
      </c>
      <c r="K374" t="s">
        <v>1135</v>
      </c>
      <c r="L374" s="193" t="str">
        <f t="shared" si="33"/>
        <v>NO_DATA</v>
      </c>
      <c r="M374" s="193" t="str">
        <f t="shared" si="34"/>
        <v>Monthly</v>
      </c>
      <c r="N374" s="193" t="str">
        <f t="shared" si="37"/>
        <v>NO_DATA</v>
      </c>
      <c r="O374" s="193" t="str">
        <f t="shared" si="35"/>
        <v>Compressor Plant</v>
      </c>
      <c r="P374" s="193" t="str">
        <f ca="1">IF(LEFT(Control!$C$10,4)="ROJO","RED",IF(LEFT(Control!$C$10,8)="AMARILLO","AMBER","GREEN"))</f>
        <v>RED</v>
      </c>
      <c r="Q374" s="193">
        <f>IF(ISNUMBER(MATCH(RPT_MONTH,Datos!$D$3:$AL$3,0)),1,0)</f>
        <v>1</v>
      </c>
      <c r="R374" s="193" t="str">
        <f t="shared" si="36"/>
        <v>MISSING</v>
      </c>
    </row>
    <row r="375" spans="1:18" ht="13.5" customHeight="1" x14ac:dyDescent="0.3">
      <c r="A375" t="s">
        <v>1165</v>
      </c>
      <c r="B375" t="s">
        <v>1166</v>
      </c>
      <c r="C375" t="s">
        <v>1167</v>
      </c>
      <c r="D375">
        <v>1</v>
      </c>
      <c r="E375">
        <v>2</v>
      </c>
      <c r="F375" s="258">
        <f t="shared" si="38"/>
        <v>46296</v>
      </c>
      <c r="G375" t="s">
        <v>1121</v>
      </c>
      <c r="H375" s="193" t="str">
        <f>IFERROR(IF(OR(INDEX(BD_KPIs!$O$2:$O$1300,MATCH(YEAR(RPT_MONTH)*100+MONTH(RPT_MONTH)&amp;"|CAMS|Monthly",BD_KPIs!$Q$2:$Q$1300,0))="OK",INDEX(BD_KPIs!$O$2:$O$1300,MATCH(YEAR(RPT_MONTH)*100+MONTH(RPT_MONTH)&amp;"|CAMS|Monthly",BD_KPIs!$Q$2:$Q$1300,0))="INCOMPLETE"),1*INDEX(BD_KPIs!$L$2:$L$1300,MATCH(YEAR(RPT_MONTH)*100+MONTH(RPT_MONTH)&amp;"|CAMS|Monthly",BD_KPIs!$Q$2:$Q$1300,0)),""),"")</f>
        <v/>
      </c>
      <c r="J375" t="s">
        <v>1168</v>
      </c>
      <c r="K375" t="s">
        <v>1135</v>
      </c>
      <c r="L375" s="193" t="str">
        <f t="shared" si="33"/>
        <v>NO_DATA</v>
      </c>
      <c r="M375" s="193" t="str">
        <f t="shared" si="34"/>
        <v>Monthly</v>
      </c>
      <c r="N375" s="193" t="str">
        <f t="shared" si="37"/>
        <v>NO_DATA</v>
      </c>
      <c r="O375" s="193" t="str">
        <f t="shared" si="35"/>
        <v>Compressor Plant</v>
      </c>
      <c r="P375" s="193" t="str">
        <f ca="1">IF(LEFT(Control!$C$10,4)="ROJO","RED",IF(LEFT(Control!$C$10,8)="AMARILLO","AMBER","GREEN"))</f>
        <v>RED</v>
      </c>
      <c r="Q375" s="193">
        <f>IF(ISNUMBER(MATCH(RPT_MONTH,Datos!$D$3:$AL$3,0)),1,0)</f>
        <v>1</v>
      </c>
      <c r="R375" s="193" t="str">
        <f t="shared" si="36"/>
        <v>MISSING</v>
      </c>
    </row>
    <row r="376" spans="1:18" ht="13.5" customHeight="1" x14ac:dyDescent="0.3">
      <c r="A376" t="s">
        <v>1165</v>
      </c>
      <c r="B376" t="s">
        <v>1166</v>
      </c>
      <c r="C376" t="s">
        <v>1167</v>
      </c>
      <c r="D376">
        <v>1</v>
      </c>
      <c r="E376">
        <v>3</v>
      </c>
      <c r="F376" s="258">
        <f t="shared" si="38"/>
        <v>46296</v>
      </c>
      <c r="G376" t="s">
        <v>1169</v>
      </c>
      <c r="H376" s="193" t="str">
        <f>IFERROR(IF(OR(INDEX(BD_KPIs!$O$2:$O$1300,MATCH(YEAR(RPT_MONTH)*100+MONTH(RPT_MONTH)&amp;"|ICCS|Monthly",BD_KPIs!$Q$2:$Q$1300,0))="OK",INDEX(BD_KPIs!$O$2:$O$1300,MATCH(YEAR(RPT_MONTH)*100+MONTH(RPT_MONTH)&amp;"|ICCS|Monthly",BD_KPIs!$Q$2:$Q$1300,0))="INCOMPLETE"),1*INDEX(BD_KPIs!$L$2:$L$1300,MATCH(YEAR(RPT_MONTH)*100+MONTH(RPT_MONTH)&amp;"|ICCS|Monthly",BD_KPIs!$Q$2:$Q$1300,0)),""),"")</f>
        <v/>
      </c>
      <c r="J376" t="s">
        <v>1168</v>
      </c>
      <c r="K376" t="s">
        <v>1135</v>
      </c>
      <c r="L376" s="193" t="str">
        <f t="shared" si="33"/>
        <v>NO_DATA</v>
      </c>
      <c r="M376" s="193" t="str">
        <f t="shared" si="34"/>
        <v>Monthly</v>
      </c>
      <c r="N376" s="193" t="str">
        <f t="shared" si="37"/>
        <v>NO_DATA</v>
      </c>
      <c r="O376" s="193" t="str">
        <f t="shared" si="35"/>
        <v>Compressor Plant</v>
      </c>
      <c r="P376" s="193" t="str">
        <f ca="1">IF(LEFT(Control!$C$10,4)="ROJO","RED",IF(LEFT(Control!$C$10,8)="AMARILLO","AMBER","GREEN"))</f>
        <v>RED</v>
      </c>
      <c r="Q376" s="193">
        <f>IF(ISNUMBER(MATCH(RPT_MONTH,Datos!$D$3:$AL$3,0)),1,0)</f>
        <v>1</v>
      </c>
      <c r="R376" s="193" t="str">
        <f t="shared" si="36"/>
        <v>MISSING</v>
      </c>
    </row>
    <row r="377" spans="1:18" ht="13.5" customHeight="1" x14ac:dyDescent="0.3">
      <c r="A377" t="s">
        <v>1165</v>
      </c>
      <c r="B377" t="s">
        <v>1166</v>
      </c>
      <c r="C377" t="s">
        <v>1167</v>
      </c>
      <c r="D377">
        <v>1</v>
      </c>
      <c r="E377">
        <v>4</v>
      </c>
      <c r="F377" s="258">
        <f t="shared" si="38"/>
        <v>46296</v>
      </c>
      <c r="G377" t="s">
        <v>1125</v>
      </c>
      <c r="H377" s="193" t="str">
        <f>IFERROR(IF(OR(INDEX(BD_KPIs!$O$2:$O$1300,MATCH(YEAR(RPT_MONTH)*100+MONTH(RPT_MONTH)&amp;"|CCS|Monthly",BD_KPIs!$Q$2:$Q$1300,0))="OK",INDEX(BD_KPIs!$O$2:$O$1300,MATCH(YEAR(RPT_MONTH)*100+MONTH(RPT_MONTH)&amp;"|CCS|Monthly",BD_KPIs!$Q$2:$Q$1300,0))="INCOMPLETE"),1*INDEX(BD_KPIs!$L$2:$L$1300,MATCH(YEAR(RPT_MONTH)*100+MONTH(RPT_MONTH)&amp;"|CCS|Monthly",BD_KPIs!$Q$2:$Q$1300,0)),""),"")</f>
        <v/>
      </c>
      <c r="J377" t="s">
        <v>1168</v>
      </c>
      <c r="K377" t="s">
        <v>1135</v>
      </c>
      <c r="L377" s="193" t="str">
        <f t="shared" si="33"/>
        <v>NO_DATA</v>
      </c>
      <c r="M377" s="193" t="str">
        <f t="shared" si="34"/>
        <v>Monthly</v>
      </c>
      <c r="N377" s="193" t="str">
        <f t="shared" si="37"/>
        <v>NO_DATA</v>
      </c>
      <c r="O377" s="193" t="str">
        <f t="shared" si="35"/>
        <v>Compressor Plant</v>
      </c>
      <c r="P377" s="193" t="str">
        <f ca="1">IF(LEFT(Control!$C$10,4)="ROJO","RED",IF(LEFT(Control!$C$10,8)="AMARILLO","AMBER","GREEN"))</f>
        <v>RED</v>
      </c>
      <c r="Q377" s="193">
        <f>IF(ISNUMBER(MATCH(RPT_MONTH,Datos!$D$3:$AL$3,0)),1,0)</f>
        <v>1</v>
      </c>
      <c r="R377" s="193" t="str">
        <f t="shared" si="36"/>
        <v>MISSING</v>
      </c>
    </row>
    <row r="378" spans="1:18" ht="13.5" customHeight="1" x14ac:dyDescent="0.3">
      <c r="A378" t="s">
        <v>1165</v>
      </c>
      <c r="B378" t="s">
        <v>1170</v>
      </c>
      <c r="C378" t="s">
        <v>1171</v>
      </c>
      <c r="D378">
        <v>2</v>
      </c>
      <c r="E378">
        <v>1</v>
      </c>
      <c r="F378" s="258">
        <f t="shared" si="38"/>
        <v>46296</v>
      </c>
      <c r="G378" t="s">
        <v>1118</v>
      </c>
      <c r="H378" s="193" t="str">
        <f>IFERROR(IF(OR(INDEX(BD_KPIs!$O$2:$O$1300,MATCH(YEAR(RPT_MONTH)*100+MONTH(RPT_MONTH)&amp;"|CPSE|Monthly",BD_KPIs!$Q$2:$Q$1300,0))="OK",INDEX(BD_KPIs!$O$2:$O$1300,MATCH(YEAR(RPT_MONTH)*100+MONTH(RPT_MONTH)&amp;"|CPSE|Monthly",BD_KPIs!$Q$2:$Q$1300,0))="INCOMPLETE"),1*INDEX(BD_KPIs!$K$2:$K$1300,MATCH(YEAR(RPT_MONTH)*100+MONTH(RPT_MONTH)&amp;"|CPSE|Monthly",BD_KPIs!$Q$2:$Q$1300,0)),""),"")</f>
        <v/>
      </c>
      <c r="J378" t="s">
        <v>1168</v>
      </c>
      <c r="K378" t="s">
        <v>1135</v>
      </c>
      <c r="L378" s="193" t="str">
        <f t="shared" si="33"/>
        <v>NO_DATA</v>
      </c>
      <c r="M378" s="193" t="str">
        <f t="shared" si="34"/>
        <v>Monthly</v>
      </c>
      <c r="N378" s="193" t="str">
        <f t="shared" si="37"/>
        <v>NO_DATA</v>
      </c>
      <c r="O378" s="193" t="str">
        <f t="shared" si="35"/>
        <v>Compressor Plant</v>
      </c>
      <c r="P378" s="193" t="str">
        <f ca="1">IF(LEFT(Control!$C$10,4)="ROJO","RED",IF(LEFT(Control!$C$10,8)="AMARILLO","AMBER","GREEN"))</f>
        <v>RED</v>
      </c>
      <c r="Q378" s="193">
        <f>IF(ISNUMBER(MATCH(RPT_MONTH,Datos!$D$3:$AL$3,0)),1,0)</f>
        <v>1</v>
      </c>
      <c r="R378" s="193" t="str">
        <f t="shared" si="36"/>
        <v>MISSING</v>
      </c>
    </row>
    <row r="379" spans="1:18" ht="13.5" customHeight="1" x14ac:dyDescent="0.3">
      <c r="A379" t="s">
        <v>1165</v>
      </c>
      <c r="B379" t="s">
        <v>1170</v>
      </c>
      <c r="C379" t="s">
        <v>1171</v>
      </c>
      <c r="D379">
        <v>2</v>
      </c>
      <c r="E379">
        <v>2</v>
      </c>
      <c r="F379" s="258">
        <f t="shared" si="38"/>
        <v>46296</v>
      </c>
      <c r="G379" t="s">
        <v>1121</v>
      </c>
      <c r="H379" s="193" t="str">
        <f>IFERROR(IF(OR(INDEX(BD_KPIs!$O$2:$O$1300,MATCH(YEAR(RPT_MONTH)*100+MONTH(RPT_MONTH)&amp;"|CAMS|Monthly",BD_KPIs!$Q$2:$Q$1300,0))="OK",INDEX(BD_KPIs!$O$2:$O$1300,MATCH(YEAR(RPT_MONTH)*100+MONTH(RPT_MONTH)&amp;"|CAMS|Monthly",BD_KPIs!$Q$2:$Q$1300,0))="INCOMPLETE"),1*INDEX(BD_KPIs!$K$2:$K$1300,MATCH(YEAR(RPT_MONTH)*100+MONTH(RPT_MONTH)&amp;"|CAMS|Monthly",BD_KPIs!$Q$2:$Q$1300,0)),""),"")</f>
        <v/>
      </c>
      <c r="J379" t="s">
        <v>1168</v>
      </c>
      <c r="K379" t="s">
        <v>1135</v>
      </c>
      <c r="L379" s="193" t="str">
        <f t="shared" si="33"/>
        <v>NO_DATA</v>
      </c>
      <c r="M379" s="193" t="str">
        <f t="shared" si="34"/>
        <v>Monthly</v>
      </c>
      <c r="N379" s="193" t="str">
        <f t="shared" si="37"/>
        <v>NO_DATA</v>
      </c>
      <c r="O379" s="193" t="str">
        <f t="shared" si="35"/>
        <v>Compressor Plant</v>
      </c>
      <c r="P379" s="193" t="str">
        <f ca="1">IF(LEFT(Control!$C$10,4)="ROJO","RED",IF(LEFT(Control!$C$10,8)="AMARILLO","AMBER","GREEN"))</f>
        <v>RED</v>
      </c>
      <c r="Q379" s="193">
        <f>IF(ISNUMBER(MATCH(RPT_MONTH,Datos!$D$3:$AL$3,0)),1,0)</f>
        <v>1</v>
      </c>
      <c r="R379" s="193" t="str">
        <f t="shared" si="36"/>
        <v>MISSING</v>
      </c>
    </row>
    <row r="380" spans="1:18" ht="13.5" customHeight="1" x14ac:dyDescent="0.3">
      <c r="A380" t="s">
        <v>1165</v>
      </c>
      <c r="B380" t="s">
        <v>1170</v>
      </c>
      <c r="C380" t="s">
        <v>1171</v>
      </c>
      <c r="D380">
        <v>2</v>
      </c>
      <c r="E380">
        <v>3</v>
      </c>
      <c r="F380" s="258">
        <f t="shared" si="38"/>
        <v>46296</v>
      </c>
      <c r="G380" t="s">
        <v>1169</v>
      </c>
      <c r="H380" s="193" t="str">
        <f>IFERROR(IF(OR(INDEX(BD_KPIs!$O$2:$O$1300,MATCH(YEAR(RPT_MONTH)*100+MONTH(RPT_MONTH)&amp;"|ICCS|Monthly",BD_KPIs!$Q$2:$Q$1300,0))="OK",INDEX(BD_KPIs!$O$2:$O$1300,MATCH(YEAR(RPT_MONTH)*100+MONTH(RPT_MONTH)&amp;"|ICCS|Monthly",BD_KPIs!$Q$2:$Q$1300,0))="INCOMPLETE"),1*INDEX(BD_KPIs!$K$2:$K$1300,MATCH(YEAR(RPT_MONTH)*100+MONTH(RPT_MONTH)&amp;"|ICCS|Monthly",BD_KPIs!$Q$2:$Q$1300,0)),""),"")</f>
        <v/>
      </c>
      <c r="J380" t="s">
        <v>1168</v>
      </c>
      <c r="K380" t="s">
        <v>1135</v>
      </c>
      <c r="L380" s="193" t="str">
        <f t="shared" si="33"/>
        <v>NO_DATA</v>
      </c>
      <c r="M380" s="193" t="str">
        <f t="shared" si="34"/>
        <v>Monthly</v>
      </c>
      <c r="N380" s="193" t="str">
        <f t="shared" si="37"/>
        <v>NO_DATA</v>
      </c>
      <c r="O380" s="193" t="str">
        <f t="shared" si="35"/>
        <v>Compressor Plant</v>
      </c>
      <c r="P380" s="193" t="str">
        <f ca="1">IF(LEFT(Control!$C$10,4)="ROJO","RED",IF(LEFT(Control!$C$10,8)="AMARILLO","AMBER","GREEN"))</f>
        <v>RED</v>
      </c>
      <c r="Q380" s="193">
        <f>IF(ISNUMBER(MATCH(RPT_MONTH,Datos!$D$3:$AL$3,0)),1,0)</f>
        <v>1</v>
      </c>
      <c r="R380" s="193" t="str">
        <f t="shared" si="36"/>
        <v>MISSING</v>
      </c>
    </row>
    <row r="381" spans="1:18" ht="13.5" customHeight="1" x14ac:dyDescent="0.3">
      <c r="A381" t="s">
        <v>1165</v>
      </c>
      <c r="B381" t="s">
        <v>1170</v>
      </c>
      <c r="C381" t="s">
        <v>1171</v>
      </c>
      <c r="D381">
        <v>2</v>
      </c>
      <c r="E381">
        <v>4</v>
      </c>
      <c r="F381" s="258">
        <f t="shared" si="38"/>
        <v>46296</v>
      </c>
      <c r="G381" t="s">
        <v>1125</v>
      </c>
      <c r="H381" s="193" t="str">
        <f>IFERROR(IF(OR(INDEX(BD_KPIs!$O$2:$O$1300,MATCH(YEAR(RPT_MONTH)*100+MONTH(RPT_MONTH)&amp;"|CCS|Monthly",BD_KPIs!$Q$2:$Q$1300,0))="OK",INDEX(BD_KPIs!$O$2:$O$1300,MATCH(YEAR(RPT_MONTH)*100+MONTH(RPT_MONTH)&amp;"|CCS|Monthly",BD_KPIs!$Q$2:$Q$1300,0))="INCOMPLETE"),1*INDEX(BD_KPIs!$K$2:$K$1300,MATCH(YEAR(RPT_MONTH)*100+MONTH(RPT_MONTH)&amp;"|CCS|Monthly",BD_KPIs!$Q$2:$Q$1300,0)),""),"")</f>
        <v/>
      </c>
      <c r="J381" t="s">
        <v>1168</v>
      </c>
      <c r="K381" t="s">
        <v>1135</v>
      </c>
      <c r="L381" s="193" t="str">
        <f t="shared" si="33"/>
        <v>NO_DATA</v>
      </c>
      <c r="M381" s="193" t="str">
        <f t="shared" si="34"/>
        <v>Monthly</v>
      </c>
      <c r="N381" s="193" t="str">
        <f t="shared" si="37"/>
        <v>NO_DATA</v>
      </c>
      <c r="O381" s="193" t="str">
        <f t="shared" si="35"/>
        <v>Compressor Plant</v>
      </c>
      <c r="P381" s="193" t="str">
        <f ca="1">IF(LEFT(Control!$C$10,4)="ROJO","RED",IF(LEFT(Control!$C$10,8)="AMARILLO","AMBER","GREEN"))</f>
        <v>RED</v>
      </c>
      <c r="Q381" s="193">
        <f>IF(ISNUMBER(MATCH(RPT_MONTH,Datos!$D$3:$AL$3,0)),1,0)</f>
        <v>1</v>
      </c>
      <c r="R381" s="193" t="str">
        <f t="shared" si="36"/>
        <v>MISSING</v>
      </c>
    </row>
    <row r="382" spans="1:18" ht="13.5" customHeight="1" x14ac:dyDescent="0.3">
      <c r="A382" t="s">
        <v>1165</v>
      </c>
      <c r="B382" t="s">
        <v>1172</v>
      </c>
      <c r="C382" t="s">
        <v>1173</v>
      </c>
      <c r="D382">
        <v>3</v>
      </c>
      <c r="E382">
        <v>1</v>
      </c>
      <c r="F382" s="258">
        <f t="shared" si="38"/>
        <v>46296</v>
      </c>
      <c r="G382" t="s">
        <v>1118</v>
      </c>
      <c r="H382" s="193" t="str">
        <f>IFERROR(IF(OR(INDEX(BD_KPIs!$O$2:$O$1300,MATCH(YEAR(RPT_MONTH)*100+MONTH(RPT_MONTH)&amp;"|CPSE|YTD",BD_KPIs!$Q$2:$Q$1300,0))="OK",INDEX(BD_KPIs!$O$2:$O$1300,MATCH(YEAR(RPT_MONTH)*100+MONTH(RPT_MONTH)&amp;"|CPSE|YTD",BD_KPIs!$Q$2:$Q$1300,0))="INCOMPLETE"),1*INDEX(BD_KPIs!$L$2:$L$1300,MATCH(YEAR(RPT_MONTH)*100+MONTH(RPT_MONTH)&amp;"|CPSE|YTD",BD_KPIs!$Q$2:$Q$1300,0)),""),"")</f>
        <v/>
      </c>
      <c r="J382" t="s">
        <v>1168</v>
      </c>
      <c r="K382" t="s">
        <v>1135</v>
      </c>
      <c r="L382" s="193" t="str">
        <f t="shared" si="33"/>
        <v>NO_DATA</v>
      </c>
      <c r="M382" s="193" t="str">
        <f t="shared" si="34"/>
        <v>YTD</v>
      </c>
      <c r="N382" s="193" t="str">
        <f t="shared" si="37"/>
        <v>NO_DATA</v>
      </c>
      <c r="O382" s="193" t="str">
        <f t="shared" si="35"/>
        <v>Compressor Plant</v>
      </c>
      <c r="P382" s="193" t="str">
        <f ca="1">IF(LEFT(Control!$C$10,4)="ROJO","RED",IF(LEFT(Control!$C$10,8)="AMARILLO","AMBER","GREEN"))</f>
        <v>RED</v>
      </c>
      <c r="Q382" s="193">
        <f>IF(ISNUMBER(MATCH(RPT_MONTH,Datos!$D$3:$AL$3,0)),1,0)</f>
        <v>1</v>
      </c>
      <c r="R382" s="193" t="str">
        <f t="shared" si="36"/>
        <v>MISSING</v>
      </c>
    </row>
    <row r="383" spans="1:18" ht="13.5" customHeight="1" x14ac:dyDescent="0.3">
      <c r="A383" t="s">
        <v>1165</v>
      </c>
      <c r="B383" t="s">
        <v>1172</v>
      </c>
      <c r="C383" t="s">
        <v>1173</v>
      </c>
      <c r="D383">
        <v>3</v>
      </c>
      <c r="E383">
        <v>2</v>
      </c>
      <c r="F383" s="258">
        <f t="shared" si="38"/>
        <v>46296</v>
      </c>
      <c r="G383" t="s">
        <v>1121</v>
      </c>
      <c r="H383" s="193" t="str">
        <f>IFERROR(IF(OR(INDEX(BD_KPIs!$O$2:$O$1300,MATCH(YEAR(RPT_MONTH)*100+MONTH(RPT_MONTH)&amp;"|CAMS|YTD",BD_KPIs!$Q$2:$Q$1300,0))="OK",INDEX(BD_KPIs!$O$2:$O$1300,MATCH(YEAR(RPT_MONTH)*100+MONTH(RPT_MONTH)&amp;"|CAMS|YTD",BD_KPIs!$Q$2:$Q$1300,0))="INCOMPLETE"),1*INDEX(BD_KPIs!$L$2:$L$1300,MATCH(YEAR(RPT_MONTH)*100+MONTH(RPT_MONTH)&amp;"|CAMS|YTD",BD_KPIs!$Q$2:$Q$1300,0)),""),"")</f>
        <v/>
      </c>
      <c r="J383" t="s">
        <v>1168</v>
      </c>
      <c r="K383" t="s">
        <v>1135</v>
      </c>
      <c r="L383" s="193" t="str">
        <f t="shared" si="33"/>
        <v>NO_DATA</v>
      </c>
      <c r="M383" s="193" t="str">
        <f t="shared" si="34"/>
        <v>YTD</v>
      </c>
      <c r="N383" s="193" t="str">
        <f t="shared" si="37"/>
        <v>NO_DATA</v>
      </c>
      <c r="O383" s="193" t="str">
        <f t="shared" si="35"/>
        <v>Compressor Plant</v>
      </c>
      <c r="P383" s="193" t="str">
        <f ca="1">IF(LEFT(Control!$C$10,4)="ROJO","RED",IF(LEFT(Control!$C$10,8)="AMARILLO","AMBER","GREEN"))</f>
        <v>RED</v>
      </c>
      <c r="Q383" s="193">
        <f>IF(ISNUMBER(MATCH(RPT_MONTH,Datos!$D$3:$AL$3,0)),1,0)</f>
        <v>1</v>
      </c>
      <c r="R383" s="193" t="str">
        <f t="shared" si="36"/>
        <v>MISSING</v>
      </c>
    </row>
    <row r="384" spans="1:18" ht="13.5" customHeight="1" x14ac:dyDescent="0.3">
      <c r="A384" t="s">
        <v>1165</v>
      </c>
      <c r="B384" t="s">
        <v>1172</v>
      </c>
      <c r="C384" t="s">
        <v>1173</v>
      </c>
      <c r="D384">
        <v>3</v>
      </c>
      <c r="E384">
        <v>3</v>
      </c>
      <c r="F384" s="258">
        <f t="shared" si="38"/>
        <v>46296</v>
      </c>
      <c r="G384" t="s">
        <v>1169</v>
      </c>
      <c r="H384" s="193" t="str">
        <f>IFERROR(IF(OR(INDEX(BD_KPIs!$O$2:$O$1300,MATCH(YEAR(RPT_MONTH)*100+MONTH(RPT_MONTH)&amp;"|ICCS|YTD",BD_KPIs!$Q$2:$Q$1300,0))="OK",INDEX(BD_KPIs!$O$2:$O$1300,MATCH(YEAR(RPT_MONTH)*100+MONTH(RPT_MONTH)&amp;"|ICCS|YTD",BD_KPIs!$Q$2:$Q$1300,0))="INCOMPLETE"),1*INDEX(BD_KPIs!$L$2:$L$1300,MATCH(YEAR(RPT_MONTH)*100+MONTH(RPT_MONTH)&amp;"|ICCS|YTD",BD_KPIs!$Q$2:$Q$1300,0)),""),"")</f>
        <v/>
      </c>
      <c r="J384" t="s">
        <v>1168</v>
      </c>
      <c r="K384" t="s">
        <v>1135</v>
      </c>
      <c r="L384" s="193" t="str">
        <f t="shared" si="33"/>
        <v>NO_DATA</v>
      </c>
      <c r="M384" s="193" t="str">
        <f t="shared" si="34"/>
        <v>YTD</v>
      </c>
      <c r="N384" s="193" t="str">
        <f t="shared" si="37"/>
        <v>NO_DATA</v>
      </c>
      <c r="O384" s="193" t="str">
        <f t="shared" si="35"/>
        <v>Compressor Plant</v>
      </c>
      <c r="P384" s="193" t="str">
        <f ca="1">IF(LEFT(Control!$C$10,4)="ROJO","RED",IF(LEFT(Control!$C$10,8)="AMARILLO","AMBER","GREEN"))</f>
        <v>RED</v>
      </c>
      <c r="Q384" s="193">
        <f>IF(ISNUMBER(MATCH(RPT_MONTH,Datos!$D$3:$AL$3,0)),1,0)</f>
        <v>1</v>
      </c>
      <c r="R384" s="193" t="str">
        <f t="shared" si="36"/>
        <v>MISSING</v>
      </c>
    </row>
    <row r="385" spans="1:18" ht="13.5" customHeight="1" x14ac:dyDescent="0.3">
      <c r="A385" t="s">
        <v>1165</v>
      </c>
      <c r="B385" t="s">
        <v>1172</v>
      </c>
      <c r="C385" t="s">
        <v>1173</v>
      </c>
      <c r="D385">
        <v>3</v>
      </c>
      <c r="E385">
        <v>4</v>
      </c>
      <c r="F385" s="258">
        <f t="shared" si="38"/>
        <v>46296</v>
      </c>
      <c r="G385" t="s">
        <v>1125</v>
      </c>
      <c r="H385" s="193" t="str">
        <f>IFERROR(IF(OR(INDEX(BD_KPIs!$O$2:$O$1300,MATCH(YEAR(RPT_MONTH)*100+MONTH(RPT_MONTH)&amp;"|CCS|YTD",BD_KPIs!$Q$2:$Q$1300,0))="OK",INDEX(BD_KPIs!$O$2:$O$1300,MATCH(YEAR(RPT_MONTH)*100+MONTH(RPT_MONTH)&amp;"|CCS|YTD",BD_KPIs!$Q$2:$Q$1300,0))="INCOMPLETE"),1*INDEX(BD_KPIs!$L$2:$L$1300,MATCH(YEAR(RPT_MONTH)*100+MONTH(RPT_MONTH)&amp;"|CCS|YTD",BD_KPIs!$Q$2:$Q$1300,0)),""),"")</f>
        <v/>
      </c>
      <c r="J385" t="s">
        <v>1168</v>
      </c>
      <c r="K385" t="s">
        <v>1135</v>
      </c>
      <c r="L385" s="193" t="str">
        <f t="shared" si="33"/>
        <v>NO_DATA</v>
      </c>
      <c r="M385" s="193" t="str">
        <f t="shared" si="34"/>
        <v>YTD</v>
      </c>
      <c r="N385" s="193" t="str">
        <f t="shared" si="37"/>
        <v>NO_DATA</v>
      </c>
      <c r="O385" s="193" t="str">
        <f t="shared" si="35"/>
        <v>Compressor Plant</v>
      </c>
      <c r="P385" s="193" t="str">
        <f ca="1">IF(LEFT(Control!$C$10,4)="ROJO","RED",IF(LEFT(Control!$C$10,8)="AMARILLO","AMBER","GREEN"))</f>
        <v>RED</v>
      </c>
      <c r="Q385" s="193">
        <f>IF(ISNUMBER(MATCH(RPT_MONTH,Datos!$D$3:$AL$3,0)),1,0)</f>
        <v>1</v>
      </c>
      <c r="R385" s="193" t="str">
        <f t="shared" si="36"/>
        <v>MISSING</v>
      </c>
    </row>
    <row r="386" spans="1:18" ht="13.5" customHeight="1" x14ac:dyDescent="0.3">
      <c r="A386" t="s">
        <v>1165</v>
      </c>
      <c r="B386" t="s">
        <v>1174</v>
      </c>
      <c r="C386" t="s">
        <v>1175</v>
      </c>
      <c r="D386">
        <v>4</v>
      </c>
      <c r="E386">
        <v>1</v>
      </c>
      <c r="F386" s="258">
        <f t="shared" si="38"/>
        <v>46296</v>
      </c>
      <c r="G386" t="s">
        <v>1118</v>
      </c>
      <c r="H386" s="193" t="str">
        <f>IFERROR(IF(OR(INDEX(BD_KPIs!$O$2:$O$1300,MATCH(YEAR(RPT_MONTH)*100+MONTH(RPT_MONTH)&amp;"|CPSE|YTD",BD_KPIs!$Q$2:$Q$1300,0))="OK",INDEX(BD_KPIs!$O$2:$O$1300,MATCH(YEAR(RPT_MONTH)*100+MONTH(RPT_MONTH)&amp;"|CPSE|YTD",BD_KPIs!$Q$2:$Q$1300,0))="INCOMPLETE"),1*INDEX(BD_KPIs!$K$2:$K$1300,MATCH(YEAR(RPT_MONTH)*100+MONTH(RPT_MONTH)&amp;"|CPSE|YTD",BD_KPIs!$Q$2:$Q$1300,0)),""),"")</f>
        <v/>
      </c>
      <c r="J386" t="s">
        <v>1168</v>
      </c>
      <c r="K386" t="s">
        <v>1135</v>
      </c>
      <c r="L386" s="193" t="str">
        <f t="shared" si="33"/>
        <v>NO_DATA</v>
      </c>
      <c r="M386" s="193" t="str">
        <f t="shared" si="34"/>
        <v>YTD</v>
      </c>
      <c r="N386" s="193" t="str">
        <f t="shared" si="37"/>
        <v>NO_DATA</v>
      </c>
      <c r="O386" s="193" t="str">
        <f t="shared" si="35"/>
        <v>Compressor Plant</v>
      </c>
      <c r="P386" s="193" t="str">
        <f ca="1">IF(LEFT(Control!$C$10,4)="ROJO","RED",IF(LEFT(Control!$C$10,8)="AMARILLO","AMBER","GREEN"))</f>
        <v>RED</v>
      </c>
      <c r="Q386" s="193">
        <f>IF(ISNUMBER(MATCH(RPT_MONTH,Datos!$D$3:$AL$3,0)),1,0)</f>
        <v>1</v>
      </c>
      <c r="R386" s="193" t="str">
        <f t="shared" ref="R386:R390" si="39">IF(A386="CH_ENV","PENDING_DEFINITION",IF(Q386=1,IF(L386="OK","OK","MISSING"),IF(ISNUMBER(H386),"CHECK","OUT_OF_SCOPE")))</f>
        <v>MISSING</v>
      </c>
    </row>
    <row r="387" spans="1:18" ht="13.5" customHeight="1" x14ac:dyDescent="0.3">
      <c r="A387" t="s">
        <v>1165</v>
      </c>
      <c r="B387" t="s">
        <v>1174</v>
      </c>
      <c r="C387" t="s">
        <v>1175</v>
      </c>
      <c r="D387">
        <v>4</v>
      </c>
      <c r="E387">
        <v>2</v>
      </c>
      <c r="F387" s="258">
        <f t="shared" si="38"/>
        <v>46296</v>
      </c>
      <c r="G387" t="s">
        <v>1121</v>
      </c>
      <c r="H387" s="193" t="str">
        <f>IFERROR(IF(OR(INDEX(BD_KPIs!$O$2:$O$1300,MATCH(YEAR(RPT_MONTH)*100+MONTH(RPT_MONTH)&amp;"|CAMS|YTD",BD_KPIs!$Q$2:$Q$1300,0))="OK",INDEX(BD_KPIs!$O$2:$O$1300,MATCH(YEAR(RPT_MONTH)*100+MONTH(RPT_MONTH)&amp;"|CAMS|YTD",BD_KPIs!$Q$2:$Q$1300,0))="INCOMPLETE"),1*INDEX(BD_KPIs!$K$2:$K$1300,MATCH(YEAR(RPT_MONTH)*100+MONTH(RPT_MONTH)&amp;"|CAMS|YTD",BD_KPIs!$Q$2:$Q$1300,0)),""),"")</f>
        <v/>
      </c>
      <c r="J387" t="s">
        <v>1168</v>
      </c>
      <c r="K387" t="s">
        <v>1135</v>
      </c>
      <c r="L387" s="193" t="str">
        <f t="shared" si="33"/>
        <v>NO_DATA</v>
      </c>
      <c r="M387" s="193" t="str">
        <f t="shared" si="34"/>
        <v>YTD</v>
      </c>
      <c r="N387" s="193" t="str">
        <f t="shared" si="37"/>
        <v>NO_DATA</v>
      </c>
      <c r="O387" s="193" t="str">
        <f t="shared" si="35"/>
        <v>Compressor Plant</v>
      </c>
      <c r="P387" s="193" t="str">
        <f ca="1">IF(LEFT(Control!$C$10,4)="ROJO","RED",IF(LEFT(Control!$C$10,8)="AMARILLO","AMBER","GREEN"))</f>
        <v>RED</v>
      </c>
      <c r="Q387" s="193">
        <f>IF(ISNUMBER(MATCH(RPT_MONTH,Datos!$D$3:$AL$3,0)),1,0)</f>
        <v>1</v>
      </c>
      <c r="R387" s="193" t="str">
        <f t="shared" si="39"/>
        <v>MISSING</v>
      </c>
    </row>
    <row r="388" spans="1:18" ht="13.5" customHeight="1" x14ac:dyDescent="0.3">
      <c r="A388" t="s">
        <v>1165</v>
      </c>
      <c r="B388" t="s">
        <v>1174</v>
      </c>
      <c r="C388" t="s">
        <v>1175</v>
      </c>
      <c r="D388">
        <v>4</v>
      </c>
      <c r="E388">
        <v>3</v>
      </c>
      <c r="F388" s="258">
        <f t="shared" si="38"/>
        <v>46296</v>
      </c>
      <c r="G388" t="s">
        <v>1169</v>
      </c>
      <c r="H388" s="193" t="str">
        <f>IFERROR(IF(OR(INDEX(BD_KPIs!$O$2:$O$1300,MATCH(YEAR(RPT_MONTH)*100+MONTH(RPT_MONTH)&amp;"|ICCS|YTD",BD_KPIs!$Q$2:$Q$1300,0))="OK",INDEX(BD_KPIs!$O$2:$O$1300,MATCH(YEAR(RPT_MONTH)*100+MONTH(RPT_MONTH)&amp;"|ICCS|YTD",BD_KPIs!$Q$2:$Q$1300,0))="INCOMPLETE"),1*INDEX(BD_KPIs!$K$2:$K$1300,MATCH(YEAR(RPT_MONTH)*100+MONTH(RPT_MONTH)&amp;"|ICCS|YTD",BD_KPIs!$Q$2:$Q$1300,0)),""),"")</f>
        <v/>
      </c>
      <c r="J388" t="s">
        <v>1168</v>
      </c>
      <c r="K388" t="s">
        <v>1135</v>
      </c>
      <c r="L388" s="193" t="str">
        <f t="shared" si="33"/>
        <v>NO_DATA</v>
      </c>
      <c r="M388" s="193" t="str">
        <f t="shared" si="34"/>
        <v>YTD</v>
      </c>
      <c r="N388" s="193" t="str">
        <f t="shared" si="37"/>
        <v>NO_DATA</v>
      </c>
      <c r="O388" s="193" t="str">
        <f t="shared" si="35"/>
        <v>Compressor Plant</v>
      </c>
      <c r="P388" s="193" t="str">
        <f ca="1">IF(LEFT(Control!$C$10,4)="ROJO","RED",IF(LEFT(Control!$C$10,8)="AMARILLO","AMBER","GREEN"))</f>
        <v>RED</v>
      </c>
      <c r="Q388" s="193">
        <f>IF(ISNUMBER(MATCH(RPT_MONTH,Datos!$D$3:$AL$3,0)),1,0)</f>
        <v>1</v>
      </c>
      <c r="R388" s="193" t="str">
        <f t="shared" si="39"/>
        <v>MISSING</v>
      </c>
    </row>
    <row r="389" spans="1:18" ht="13.5" customHeight="1" x14ac:dyDescent="0.3">
      <c r="A389" t="s">
        <v>1165</v>
      </c>
      <c r="B389" t="s">
        <v>1174</v>
      </c>
      <c r="C389" t="s">
        <v>1175</v>
      </c>
      <c r="D389">
        <v>4</v>
      </c>
      <c r="E389">
        <v>4</v>
      </c>
      <c r="F389" s="258">
        <f t="shared" si="38"/>
        <v>46296</v>
      </c>
      <c r="G389" t="s">
        <v>1125</v>
      </c>
      <c r="H389" s="193" t="str">
        <f>IFERROR(IF(OR(INDEX(BD_KPIs!$O$2:$O$1300,MATCH(YEAR(RPT_MONTH)*100+MONTH(RPT_MONTH)&amp;"|CCS|YTD",BD_KPIs!$Q$2:$Q$1300,0))="OK",INDEX(BD_KPIs!$O$2:$O$1300,MATCH(YEAR(RPT_MONTH)*100+MONTH(RPT_MONTH)&amp;"|CCS|YTD",BD_KPIs!$Q$2:$Q$1300,0))="INCOMPLETE"),1*INDEX(BD_KPIs!$K$2:$K$1300,MATCH(YEAR(RPT_MONTH)*100+MONTH(RPT_MONTH)&amp;"|CCS|YTD",BD_KPIs!$Q$2:$Q$1300,0)),""),"")</f>
        <v/>
      </c>
      <c r="J389" t="s">
        <v>1168</v>
      </c>
      <c r="K389" t="s">
        <v>1135</v>
      </c>
      <c r="L389" s="193" t="str">
        <f t="shared" si="33"/>
        <v>NO_DATA</v>
      </c>
      <c r="M389" s="193" t="str">
        <f t="shared" si="34"/>
        <v>YTD</v>
      </c>
      <c r="N389" s="193" t="str">
        <f t="shared" si="37"/>
        <v>NO_DATA</v>
      </c>
      <c r="O389" s="193" t="str">
        <f t="shared" si="35"/>
        <v>Compressor Plant</v>
      </c>
      <c r="P389" s="193" t="str">
        <f ca="1">IF(LEFT(Control!$C$10,4)="ROJO","RED",IF(LEFT(Control!$C$10,8)="AMARILLO","AMBER","GREEN"))</f>
        <v>RED</v>
      </c>
      <c r="Q389" s="193">
        <f>IF(ISNUMBER(MATCH(RPT_MONTH,Datos!$D$3:$AL$3,0)),1,0)</f>
        <v>1</v>
      </c>
      <c r="R389" s="193" t="str">
        <f t="shared" si="39"/>
        <v>MISSING</v>
      </c>
    </row>
    <row r="390" spans="1:18" ht="13.5" customHeight="1" x14ac:dyDescent="0.3">
      <c r="A390" t="s">
        <v>1176</v>
      </c>
      <c r="B390" t="s">
        <v>1177</v>
      </c>
      <c r="C390" t="s">
        <v>1178</v>
      </c>
      <c r="D390">
        <v>1</v>
      </c>
      <c r="E390">
        <v>1</v>
      </c>
      <c r="F390" s="258">
        <f t="shared" si="38"/>
        <v>46296</v>
      </c>
      <c r="G390" t="s">
        <v>1048</v>
      </c>
      <c r="J390" t="s">
        <v>1179</v>
      </c>
      <c r="K390" t="s">
        <v>1180</v>
      </c>
      <c r="L390" t="s">
        <v>1181</v>
      </c>
      <c r="M390" s="193" t="str">
        <f t="shared" si="34"/>
        <v>n/a</v>
      </c>
      <c r="N390" s="193" t="str">
        <f>L390</f>
        <v>PENDING_DEFINITION</v>
      </c>
      <c r="O390" s="193" t="str">
        <f t="shared" si="35"/>
        <v>Compressor Plant</v>
      </c>
      <c r="P390" s="193" t="str">
        <f ca="1">IF(LEFT(Control!$C$10,4)="ROJO","RED",IF(LEFT(Control!$C$10,8)="AMARILLO","AMBER","GREEN"))</f>
        <v>RED</v>
      </c>
      <c r="Q390" s="193">
        <f>0</f>
        <v>0</v>
      </c>
      <c r="R390" s="193" t="str">
        <f t="shared" si="39"/>
        <v>PENDING_DEFINITION</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F190-16A7-4051-BFFD-CF16AAB5ECB5}">
  <dimension ref="A1:Z53"/>
  <sheetViews>
    <sheetView workbookViewId="0"/>
  </sheetViews>
  <sheetFormatPr baseColWidth="10" defaultColWidth="11.5546875" defaultRowHeight="14.4" x14ac:dyDescent="0.3"/>
  <cols>
    <col min="1" max="1" width="8.21875" style="108" customWidth="1"/>
    <col min="2" max="2" width="39.88671875" style="108" customWidth="1"/>
    <col min="3" max="3" width="18.77734375" style="108" customWidth="1"/>
    <col min="4" max="4" width="12.88671875" style="108" customWidth="1"/>
    <col min="5" max="5" width="16.44140625" style="108" customWidth="1"/>
    <col min="6" max="6" width="54" style="108" customWidth="1"/>
    <col min="7" max="7" width="37.6640625" style="108" customWidth="1"/>
    <col min="8" max="8" width="23.44140625" style="108" customWidth="1"/>
    <col min="9" max="9" width="12.88671875" style="108" customWidth="1"/>
    <col min="10" max="10" width="30.5546875" style="108" customWidth="1"/>
    <col min="11" max="11" width="16.44140625" style="108" customWidth="1"/>
    <col min="12" max="12" width="12.88671875" style="108" customWidth="1"/>
    <col min="13" max="13" width="58.77734375" style="108" customWidth="1"/>
    <col min="14" max="14" width="7" style="108" customWidth="1"/>
    <col min="15" max="24" width="17" style="108" customWidth="1"/>
  </cols>
  <sheetData>
    <row r="1" spans="1:24" ht="13.5" customHeight="1" x14ac:dyDescent="0.3">
      <c r="A1" s="7" t="s">
        <v>1182</v>
      </c>
      <c r="B1" s="7" t="s">
        <v>1183</v>
      </c>
      <c r="C1" s="7" t="s">
        <v>1184</v>
      </c>
      <c r="D1" s="7" t="s">
        <v>1185</v>
      </c>
      <c r="E1" s="7" t="s">
        <v>1186</v>
      </c>
      <c r="F1" s="7" t="s">
        <v>1187</v>
      </c>
      <c r="G1" s="7" t="s">
        <v>1188</v>
      </c>
      <c r="H1" s="7" t="s">
        <v>1189</v>
      </c>
      <c r="I1" s="7" t="s">
        <v>1190</v>
      </c>
      <c r="J1" s="7" t="s">
        <v>1039</v>
      </c>
      <c r="K1" s="7" t="s">
        <v>1086</v>
      </c>
      <c r="L1" s="7" t="s">
        <v>1036</v>
      </c>
      <c r="M1" s="7" t="s">
        <v>1191</v>
      </c>
      <c r="N1" s="7" t="s">
        <v>1192</v>
      </c>
      <c r="O1" s="7" t="s">
        <v>971</v>
      </c>
      <c r="P1" s="7" t="s">
        <v>1032</v>
      </c>
      <c r="Q1" s="7" t="s">
        <v>1043</v>
      </c>
      <c r="R1" s="7" t="s">
        <v>1038</v>
      </c>
      <c r="S1" s="7" t="s">
        <v>1045</v>
      </c>
      <c r="T1" s="7" t="s">
        <v>1193</v>
      </c>
      <c r="U1" s="7" t="s">
        <v>1037</v>
      </c>
      <c r="V1" s="7" t="s">
        <v>1194</v>
      </c>
      <c r="W1" s="7" t="s">
        <v>593</v>
      </c>
      <c r="X1" s="7" t="s">
        <v>1047</v>
      </c>
      <c r="Y1" t="inlineStr">
        <is>
          <t>QA_Monthly_Mismatch</t>
        </is>
      </c>
      <c r="Z1" t="inlineStr">
        <is>
          <t>QA_YTD_Mismatch</t>
        </is>
      </c>
    </row>
    <row r="2" spans="1:24" ht="13.5" customHeight="1" x14ac:dyDescent="0.3">
      <c r="A2">
        <v>0</v>
      </c>
      <c r="B2" t="s">
        <v>1195</v>
      </c>
      <c r="C2" t="s">
        <v>1196</v>
      </c>
      <c r="D2" t="s">
        <v>1197</v>
      </c>
      <c r="F2" t="s">
        <v>1198</v>
      </c>
      <c r="H2" s="193" t="str">
        <f>CHOOSE(MONTH(RPT_MONTH),"Jan","Feb","Mar","Apr","May","Jun","Jul","Aug","Sep","Oct","Nov","Dec")&amp;"-"&amp;RIGHT(YEAR(RPT_MONTH),2)</f>
        <v>Oct-26</v>
      </c>
      <c r="N2">
        <v>1</v>
      </c>
      <c r="O2" s="193" t="str">
        <f t="shared" ref="O2:O33" si="0">RPT_SCOPE</f>
        <v>Compressor Plant</v>
      </c>
      <c r="P2" s="249">
        <f t="shared" ref="P2:P33" si="1">RPT_MONTH</f>
        <v>46296</v>
      </c>
      <c r="Q2" s="193" t="str">
        <f>IF($D2="KPI_CARD",IFERROR(IF(INDEX(_RPT_CARDS!$V$2:$V$24,MATCH($E2,_RPT_CARDS!$B$2:$B$24,0))="","",INDEX(_RPT_CARDS!$V$2:$V$24,MATCH($E2,_RPT_CARDS!$B$2:$B$24,0))),""),"")</f>
        <v/>
      </c>
      <c r="R2" s="193" t="str">
        <f>IF($D2="KPI_CARD",IFERROR(IF(INDEX(_RPT_CARDS!$P$2:$P$24,MATCH($E2,_RPT_CARDS!$B$2:$B$24,0))="","",INDEX(_RPT_CARDS!$P$2:$P$24,MATCH($E2,_RPT_CARDS!$B$2:$B$24,0))),""),"")</f>
        <v/>
      </c>
      <c r="S2" s="193" t="str">
        <f>IF($D2="KPI_CARD",IFERROR(IF(INDEX(_RPT_CARDS!$Z$2:$Z$24,MATCH($E2,_RPT_CARDS!$B$2:$B$24,0))="","",INDEX(_RPT_CARDS!$Z$2:$Z$24,MATCH($E2,_RPT_CARDS!$B$2:$B$24,0))),""),"")</f>
        <v/>
      </c>
      <c r="T2" s="193" t="str">
        <f>IF($D2="KPI_CARD",IFERROR(IF(INDEX(_RPT_CARDS!$M$2:$M$24,MATCH($E2,_RPT_CARDS!$B$2:$B$24,0))="","",INDEX(_RPT_CARDS!$M$2:$M$24,MATCH($E2,_RPT_CARDS!$B$2:$B$24,0))),""),"")</f>
        <v/>
      </c>
      <c r="U2" s="193" t="str">
        <f>IF($D2="KPI_CARD",IFERROR(IF(INDEX(_RPT_CARDS!$N$2:$N$24,MATCH($E2,_RPT_CARDS!$B$2:$B$24,0))="","",INDEX(_RPT_CARDS!$N$2:$N$24,MATCH($E2,_RPT_CARDS!$B$2:$B$24,0))),""),"")</f>
        <v/>
      </c>
      <c r="V2" s="193" t="str">
        <f>IF($D2="KPI_CARD",IFERROR(IF(INDEX(_RPT_CARDS!$O$2:$O$24,MATCH($E2,_RPT_CARDS!$B$2:$B$24,0))="","",INDEX(_RPT_CARDS!$O$2:$O$24,MATCH($E2,_RPT_CARDS!$B$2:$B$24,0))),""),"")</f>
        <v/>
      </c>
      <c r="W2" s="193" t="str">
        <f>IF($D2="KPI_CARD",IFERROR(IF(INDEX(_RPT_CARDS!$T$2:$T$24,MATCH($E2,_RPT_CARDS!$B$2:$B$24,0))="","",INDEX(_RPT_CARDS!$T$2:$T$24,MATCH($E2,_RPT_CARDS!$B$2:$B$24,0))),""),"")</f>
        <v/>
      </c>
      <c r="X2" s="193" t="str">
        <f ca="1">IF(LEFT(Control!$C$10,4)="ROJO","RED",IF(LEFT(Control!$C$10,8)="AMARILLO","AMBER","GREEN"))</f>
        <v>RED</v>
      </c>
      <c r="Y2" s="193">
        <f>IF(D2&lt;&gt;"KPI_CARD",0,IFERROR(IF(ISNUMBER(I2)&lt;&gt;ISNUMBER(INDEX(_RPT_CARDS!$H$2:$H$24,MATCH(E2,_RPT_CARDS!$B$2:$B$24,0))),1,IF(ISNUMBER(I2),--(I2&lt;&gt;INDEX(_RPT_CARDS!$H$2:$H$24,MATCH(E2,_RPT_CARDS!$B$2:$B$24,0))),0)),1))</f>
        <v>0</v>
      </c>
      <c r="Z2" s="193">
        <f>IF(D2&lt;&gt;"KPI_CARD",0,IFERROR(IF(ISNUMBER(T2)&lt;&gt;ISNUMBER(INDEX(_RPT_CARDS!$M$2:$M$24,MATCH(E2,_RPT_CARDS!$B$2:$B$24,0))),1,IF(ISNUMBER(T2),--(T2&lt;&gt;INDEX(_RPT_CARDS!$M$2:$M$24,MATCH(E2,_RPT_CARDS!$B$2:$B$24,0))),0)),1))</f>
        <v>0</v>
      </c>
    </row>
    <row r="3" spans="1:24" ht="13.5" customHeight="1" x14ac:dyDescent="0.3">
      <c r="A3">
        <v>0</v>
      </c>
      <c r="B3" t="s">
        <v>1195</v>
      </c>
      <c r="C3" t="s">
        <v>1199</v>
      </c>
      <c r="D3" t="s">
        <v>1197</v>
      </c>
      <c r="F3" t="s">
        <v>971</v>
      </c>
      <c r="H3" t="s">
        <v>1200</v>
      </c>
      <c r="N3">
        <v>2</v>
      </c>
      <c r="O3" s="193" t="str">
        <f t="shared" si="0"/>
        <v>Compressor Plant</v>
      </c>
      <c r="P3" s="249">
        <f t="shared" si="1"/>
        <v>46296</v>
      </c>
      <c r="Q3" s="193" t="str">
        <f>IF($D3="KPI_CARD",IFERROR(IF(INDEX(_RPT_CARDS!$V$2:$V$24,MATCH($E3,_RPT_CARDS!$B$2:$B$24,0))="","",INDEX(_RPT_CARDS!$V$2:$V$24,MATCH($E3,_RPT_CARDS!$B$2:$B$24,0))),""),"")</f>
        <v/>
      </c>
      <c r="R3" s="193" t="str">
        <f>IF($D3="KPI_CARD",IFERROR(IF(INDEX(_RPT_CARDS!$P$2:$P$24,MATCH($E3,_RPT_CARDS!$B$2:$B$24,0))="","",INDEX(_RPT_CARDS!$P$2:$P$24,MATCH($E3,_RPT_CARDS!$B$2:$B$24,0))),""),"")</f>
        <v/>
      </c>
      <c r="S3" s="193" t="str">
        <f>IF($D3="KPI_CARD",IFERROR(IF(INDEX(_RPT_CARDS!$Z$2:$Z$24,MATCH($E3,_RPT_CARDS!$B$2:$B$24,0))="","",INDEX(_RPT_CARDS!$Z$2:$Z$24,MATCH($E3,_RPT_CARDS!$B$2:$B$24,0))),""),"")</f>
        <v/>
      </c>
      <c r="T3" s="193" t="str">
        <f>IF($D3="KPI_CARD",IFERROR(IF(INDEX(_RPT_CARDS!$M$2:$M$24,MATCH($E3,_RPT_CARDS!$B$2:$B$24,0))="","",INDEX(_RPT_CARDS!$M$2:$M$24,MATCH($E3,_RPT_CARDS!$B$2:$B$24,0))),""),"")</f>
        <v/>
      </c>
      <c r="U3" s="193" t="str">
        <f>IF($D3="KPI_CARD",IFERROR(IF(INDEX(_RPT_CARDS!$N$2:$N$24,MATCH($E3,_RPT_CARDS!$B$2:$B$24,0))="","",INDEX(_RPT_CARDS!$N$2:$N$24,MATCH($E3,_RPT_CARDS!$B$2:$B$24,0))),""),"")</f>
        <v/>
      </c>
      <c r="V3" s="193" t="str">
        <f>IF($D3="KPI_CARD",IFERROR(IF(INDEX(_RPT_CARDS!$O$2:$O$24,MATCH($E3,_RPT_CARDS!$B$2:$B$24,0))="","",INDEX(_RPT_CARDS!$O$2:$O$24,MATCH($E3,_RPT_CARDS!$B$2:$B$24,0))),""),"")</f>
        <v/>
      </c>
      <c r="W3" s="193" t="str">
        <f>IF($D3="KPI_CARD",IFERROR(IF(INDEX(_RPT_CARDS!$T$2:$T$24,MATCH($E3,_RPT_CARDS!$B$2:$B$24,0))="","",INDEX(_RPT_CARDS!$T$2:$T$24,MATCH($E3,_RPT_CARDS!$B$2:$B$24,0))),""),"")</f>
        <v/>
      </c>
      <c r="X3" s="193" t="str">
        <f ca="1">IF(LEFT(Control!$C$10,4)="ROJO","RED",IF(LEFT(Control!$C$10,8)="AMARILLO","AMBER","GREEN"))</f>
        <v>RED</v>
      </c>
      <c r="Y3" s="193">
        <f>IF(D3&lt;&gt;"KPI_CARD",0,IFERROR(IF(ISNUMBER(I3)&lt;&gt;ISNUMBER(INDEX(_RPT_CARDS!$H$2:$H$24,MATCH(E3,_RPT_CARDS!$B$2:$B$24,0))),1,IF(ISNUMBER(I3),--(I3&lt;&gt;INDEX(_RPT_CARDS!$H$2:$H$24,MATCH(E3,_RPT_CARDS!$B$2:$B$24,0))),0)),1))</f>
        <v>0</v>
      </c>
      <c r="Z3" s="193">
        <f>IF(D3&lt;&gt;"KPI_CARD",0,IFERROR(IF(ISNUMBER(T3)&lt;&gt;ISNUMBER(INDEX(_RPT_CARDS!$M$2:$M$24,MATCH(E3,_RPT_CARDS!$B$2:$B$24,0))),1,IF(ISNUMBER(T3),--(T3&lt;&gt;INDEX(_RPT_CARDS!$M$2:$M$24,MATCH(E3,_RPT_CARDS!$B$2:$B$24,0))),0)),1))</f>
        <v>0</v>
      </c>
    </row>
    <row r="4" spans="1:24" ht="13.5" customHeight="1" x14ac:dyDescent="0.3">
      <c r="A4">
        <v>0</v>
      </c>
      <c r="B4" t="s">
        <v>1195</v>
      </c>
      <c r="C4" t="s">
        <v>1201</v>
      </c>
      <c r="D4" t="s">
        <v>1197</v>
      </c>
      <c r="F4" t="s">
        <v>1202</v>
      </c>
      <c r="H4" s="193" t="str">
        <f ca="1">IF(LEFT(Control!$C$10,4)="ROJO","RED",IF(LEFT(Control!$C$10,8)="AMARILLO","AMBER","GREEN"))</f>
        <v>RED</v>
      </c>
      <c r="M4" s="193" t="str">
        <f ca="1">"Errors: "&amp;Control!$C$7&amp;"  Warnings: "&amp;Control!$C$8</f>
        <v>Errors: 4  Warnings: 6</v>
      </c>
      <c r="N4">
        <v>3</v>
      </c>
      <c r="O4" s="193" t="str">
        <f t="shared" si="0"/>
        <v>Compressor Plant</v>
      </c>
      <c r="P4" s="249">
        <f t="shared" si="1"/>
        <v>46296</v>
      </c>
      <c r="Q4" s="193" t="str">
        <f>IF($D4="KPI_CARD",IFERROR(IF(INDEX(_RPT_CARDS!$V$2:$V$24,MATCH($E4,_RPT_CARDS!$B$2:$B$24,0))="","",INDEX(_RPT_CARDS!$V$2:$V$24,MATCH($E4,_RPT_CARDS!$B$2:$B$24,0))),""),"")</f>
        <v/>
      </c>
      <c r="R4" s="193" t="str">
        <f>IF($D4="KPI_CARD",IFERROR(IF(INDEX(_RPT_CARDS!$P$2:$P$24,MATCH($E4,_RPT_CARDS!$B$2:$B$24,0))="","",INDEX(_RPT_CARDS!$P$2:$P$24,MATCH($E4,_RPT_CARDS!$B$2:$B$24,0))),""),"")</f>
        <v/>
      </c>
      <c r="S4" s="193" t="str">
        <f>IF($D4="KPI_CARD",IFERROR(IF(INDEX(_RPT_CARDS!$Z$2:$Z$24,MATCH($E4,_RPT_CARDS!$B$2:$B$24,0))="","",INDEX(_RPT_CARDS!$Z$2:$Z$24,MATCH($E4,_RPT_CARDS!$B$2:$B$24,0))),""),"")</f>
        <v/>
      </c>
      <c r="T4" s="193" t="str">
        <f>IF($D4="KPI_CARD",IFERROR(IF(INDEX(_RPT_CARDS!$M$2:$M$24,MATCH($E4,_RPT_CARDS!$B$2:$B$24,0))="","",INDEX(_RPT_CARDS!$M$2:$M$24,MATCH($E4,_RPT_CARDS!$B$2:$B$24,0))),""),"")</f>
        <v/>
      </c>
      <c r="U4" s="193" t="str">
        <f>IF($D4="KPI_CARD",IFERROR(IF(INDEX(_RPT_CARDS!$N$2:$N$24,MATCH($E4,_RPT_CARDS!$B$2:$B$24,0))="","",INDEX(_RPT_CARDS!$N$2:$N$24,MATCH($E4,_RPT_CARDS!$B$2:$B$24,0))),""),"")</f>
        <v/>
      </c>
      <c r="V4" s="193" t="str">
        <f>IF($D4="KPI_CARD",IFERROR(IF(INDEX(_RPT_CARDS!$O$2:$O$24,MATCH($E4,_RPT_CARDS!$B$2:$B$24,0))="","",INDEX(_RPT_CARDS!$O$2:$O$24,MATCH($E4,_RPT_CARDS!$B$2:$B$24,0))),""),"")</f>
        <v/>
      </c>
      <c r="W4" s="193" t="str">
        <f>IF($D4="KPI_CARD",IFERROR(IF(INDEX(_RPT_CARDS!$T$2:$T$24,MATCH($E4,_RPT_CARDS!$B$2:$B$24,0))="","",INDEX(_RPT_CARDS!$T$2:$T$24,MATCH($E4,_RPT_CARDS!$B$2:$B$24,0))),""),"")</f>
        <v/>
      </c>
      <c r="X4" s="193" t="str">
        <f ca="1">IF(LEFT(Control!$C$10,4)="ROJO","RED",IF(LEFT(Control!$C$10,8)="AMARILLO","AMBER","GREEN"))</f>
        <v>RED</v>
      </c>
      <c r="Y4" s="193">
        <f>IF(D4&lt;&gt;"KPI_CARD",0,IFERROR(IF(ISNUMBER(I4)&lt;&gt;ISNUMBER(INDEX(_RPT_CARDS!$H$2:$H$24,MATCH(E4,_RPT_CARDS!$B$2:$B$24,0))),1,IF(ISNUMBER(I4),--(I4&lt;&gt;INDEX(_RPT_CARDS!$H$2:$H$24,MATCH(E4,_RPT_CARDS!$B$2:$B$24,0))),0)),1))</f>
        <v>0</v>
      </c>
      <c r="Z4" s="193">
        <f>IF(D4&lt;&gt;"KPI_CARD",0,IFERROR(IF(ISNUMBER(T4)&lt;&gt;ISNUMBER(INDEX(_RPT_CARDS!$M$2:$M$24,MATCH(E4,_RPT_CARDS!$B$2:$B$24,0))),1,IF(ISNUMBER(T4),--(T4&lt;&gt;INDEX(_RPT_CARDS!$M$2:$M$24,MATCH(E4,_RPT_CARDS!$B$2:$B$24,0))),0)),1))</f>
        <v>0</v>
      </c>
    </row>
    <row r="5" spans="1:24" ht="13.5" customHeight="1" x14ac:dyDescent="0.3">
      <c r="A5">
        <v>0</v>
      </c>
      <c r="B5" t="s">
        <v>1195</v>
      </c>
      <c r="C5" t="s">
        <v>1203</v>
      </c>
      <c r="D5" t="s">
        <v>1197</v>
      </c>
      <c r="F5" t="s">
        <v>1204</v>
      </c>
      <c r="H5" t="s">
        <v>1205</v>
      </c>
      <c r="M5" t="s">
        <v>1206</v>
      </c>
      <c r="N5">
        <v>4</v>
      </c>
      <c r="O5" s="193" t="str">
        <f t="shared" si="0"/>
        <v>Compressor Plant</v>
      </c>
      <c r="P5" s="249">
        <f t="shared" si="1"/>
        <v>46296</v>
      </c>
      <c r="Q5" s="193" t="str">
        <f>IF($D5="KPI_CARD",IFERROR(IF(INDEX(_RPT_CARDS!$V$2:$V$24,MATCH($E5,_RPT_CARDS!$B$2:$B$24,0))="","",INDEX(_RPT_CARDS!$V$2:$V$24,MATCH($E5,_RPT_CARDS!$B$2:$B$24,0))),""),"")</f>
        <v/>
      </c>
      <c r="R5" s="193" t="str">
        <f>IF($D5="KPI_CARD",IFERROR(IF(INDEX(_RPT_CARDS!$P$2:$P$24,MATCH($E5,_RPT_CARDS!$B$2:$B$24,0))="","",INDEX(_RPT_CARDS!$P$2:$P$24,MATCH($E5,_RPT_CARDS!$B$2:$B$24,0))),""),"")</f>
        <v/>
      </c>
      <c r="S5" s="193" t="str">
        <f>IF($D5="KPI_CARD",IFERROR(IF(INDEX(_RPT_CARDS!$Z$2:$Z$24,MATCH($E5,_RPT_CARDS!$B$2:$B$24,0))="","",INDEX(_RPT_CARDS!$Z$2:$Z$24,MATCH($E5,_RPT_CARDS!$B$2:$B$24,0))),""),"")</f>
        <v/>
      </c>
      <c r="T5" s="193" t="str">
        <f>IF($D5="KPI_CARD",IFERROR(IF(INDEX(_RPT_CARDS!$M$2:$M$24,MATCH($E5,_RPT_CARDS!$B$2:$B$24,0))="","",INDEX(_RPT_CARDS!$M$2:$M$24,MATCH($E5,_RPT_CARDS!$B$2:$B$24,0))),""),"")</f>
        <v/>
      </c>
      <c r="U5" s="193" t="str">
        <f>IF($D5="KPI_CARD",IFERROR(IF(INDEX(_RPT_CARDS!$N$2:$N$24,MATCH($E5,_RPT_CARDS!$B$2:$B$24,0))="","",INDEX(_RPT_CARDS!$N$2:$N$24,MATCH($E5,_RPT_CARDS!$B$2:$B$24,0))),""),"")</f>
        <v/>
      </c>
      <c r="V5" s="193" t="str">
        <f>IF($D5="KPI_CARD",IFERROR(IF(INDEX(_RPT_CARDS!$O$2:$O$24,MATCH($E5,_RPT_CARDS!$B$2:$B$24,0))="","",INDEX(_RPT_CARDS!$O$2:$O$24,MATCH($E5,_RPT_CARDS!$B$2:$B$24,0))),""),"")</f>
        <v/>
      </c>
      <c r="W5" s="193" t="str">
        <f>IF($D5="KPI_CARD",IFERROR(IF(INDEX(_RPT_CARDS!$T$2:$T$24,MATCH($E5,_RPT_CARDS!$B$2:$B$24,0))="","",INDEX(_RPT_CARDS!$T$2:$T$24,MATCH($E5,_RPT_CARDS!$B$2:$B$24,0))),""),"")</f>
        <v/>
      </c>
      <c r="X5" s="193" t="str">
        <f ca="1">IF(LEFT(Control!$C$10,4)="ROJO","RED",IF(LEFT(Control!$C$10,8)="AMARILLO","AMBER","GREEN"))</f>
        <v>RED</v>
      </c>
      <c r="Y5" s="193">
        <f>IF(D5&lt;&gt;"KPI_CARD",0,IFERROR(IF(ISNUMBER(I5)&lt;&gt;ISNUMBER(INDEX(_RPT_CARDS!$H$2:$H$24,MATCH(E5,_RPT_CARDS!$B$2:$B$24,0))),1,IF(ISNUMBER(I5),--(I5&lt;&gt;INDEX(_RPT_CARDS!$H$2:$H$24,MATCH(E5,_RPT_CARDS!$B$2:$B$24,0))),0)),1))</f>
        <v>0</v>
      </c>
      <c r="Z5" s="193">
        <f>IF(D5&lt;&gt;"KPI_CARD",0,IFERROR(IF(ISNUMBER(T5)&lt;&gt;ISNUMBER(INDEX(_RPT_CARDS!$M$2:$M$24,MATCH(E5,_RPT_CARDS!$B$2:$B$24,0))),1,IF(ISNUMBER(T5),--(T5&lt;&gt;INDEX(_RPT_CARDS!$M$2:$M$24,MATCH(E5,_RPT_CARDS!$B$2:$B$24,0))),0)),1))</f>
        <v>0</v>
      </c>
    </row>
    <row r="6" spans="1:24" ht="13.5" customHeight="1" x14ac:dyDescent="0.3">
      <c r="A6">
        <v>1</v>
      </c>
      <c r="B6" t="s">
        <v>1207</v>
      </c>
      <c r="C6" t="s">
        <v>1208</v>
      </c>
      <c r="D6" t="s">
        <v>1209</v>
      </c>
      <c r="E6" t="s">
        <v>1050</v>
      </c>
      <c r="F6" s="193" t="str">
        <f>INDEX(_RPT_CARDS!$D$2:$D$24,MATCH(E6,_RPT_CARDS!$B$2:$B$24,0))</f>
        <v>Fatalities</v>
      </c>
      <c r="G6" s="193" t="str">
        <f>INDEX(_RPT_CARDS!$E$2:$E$24,MATCH(E6,_RPT_CARDS!$B$2:$B$24,0))</f>
        <v>Fatalidades</v>
      </c>
      <c r="H6" s="193" t="str">
        <f>INDEX(_RPT_CARDS!$I$2:$I$24,MATCH(E6,_RPT_CARDS!$B$2:$B$24,0))</f>
        <v>n/a</v>
      </c>
      <c r="I6" s="193" t="str">
        <f>INDEX(_RPT_CARDS!$H$2:$H$24,MATCH(E6,_RPT_CARDS!$B$2:$B$24,0))</f>
        <v/>
      </c>
      <c r="J6" s="193" t="str">
        <f>INDEX(_RPT_CARDS!$Q$2:$Q$24,MATCH(E6,_RPT_CARDS!$B$2:$B$24,0))</f>
        <v>No target defined</v>
      </c>
      <c r="K6" s="193" t="str">
        <f>INDEX(_RPT_CARDS!$R$2:$R$24,MATCH(E6,_RPT_CARDS!$B$2:$B$24,0))</f>
        <v>NO_DATA</v>
      </c>
      <c r="L6" s="193" t="str">
        <f>INDEX(_RPT_CARDS!$L$2:$L$24,MATCH(E6,_RPT_CARDS!$B$2:$B$24,0))</f>
        <v>N/A</v>
      </c>
      <c r="M6" s="193" t="str">
        <f>TRIM("YTD: "&amp;INDEX(_RPT_CARDS!$N$2:$N$24,MATCH(E6,_RPT_CARDS!$B$2:$B$24,0))&amp;". "&amp;INDEX(_RPT_CARDS!$U$2:$U$24,MATCH(E6,_RPT_CARDS!$B$2:$B$24,0)))</f>
        <v>YTD: 0. Zero-fatality goal not defined in _TARGETS; confirm.</v>
      </c>
      <c r="N6">
        <v>5</v>
      </c>
      <c r="O6" s="193" t="str">
        <f t="shared" si="0"/>
        <v>Compressor Plant</v>
      </c>
      <c r="P6" s="249">
        <f t="shared" si="1"/>
        <v>46296</v>
      </c>
      <c r="Q6" s="193" t="str">
        <f>IF($D6="KPI_CARD",IFERROR(IF(INDEX(_RPT_CARDS!$V$2:$V$24,MATCH($E6,_RPT_CARDS!$B$2:$B$24,0))="","",INDEX(_RPT_CARDS!$V$2:$V$24,MATCH($E6,_RPT_CARDS!$B$2:$B$24,0))),""),"")</f>
        <v>u</v>
      </c>
      <c r="R6" s="193" t="str">
        <f>IF($D6="KPI_CARD",IFERROR(IF(INDEX(_RPT_CARDS!$P$2:$P$24,MATCH($E6,_RPT_CARDS!$B$2:$B$24,0))="","",INDEX(_RPT_CARDS!$P$2:$P$24,MATCH($E6,_RPT_CARDS!$B$2:$B$24,0))),""),"")</f>
        <v/>
      </c>
      <c r="S6" s="193" t="str">
        <f>IF($D6="KPI_CARD",IFERROR(IF(INDEX(_RPT_CARDS!$Z$2:$Z$24,MATCH($E6,_RPT_CARDS!$B$2:$B$24,0))="","",INDEX(_RPT_CARDS!$Z$2:$Z$24,MATCH($E6,_RPT_CARDS!$B$2:$B$24,0))),""),"")</f>
        <v/>
      </c>
      <c r="T6" s="193">
        <f>IF($D6="KPI_CARD",IFERROR(IF(INDEX(_RPT_CARDS!$M$2:$M$24,MATCH($E6,_RPT_CARDS!$B$2:$B$24,0))="","",INDEX(_RPT_CARDS!$M$2:$M$24,MATCH($E6,_RPT_CARDS!$B$2:$B$24,0))),""),"")</f>
        <v>0</v>
      </c>
      <c r="U6" s="193" t="str">
        <f>IF($D6="KPI_CARD",IFERROR(IF(INDEX(_RPT_CARDS!$N$2:$N$24,MATCH($E6,_RPT_CARDS!$B$2:$B$24,0))="","",INDEX(_RPT_CARDS!$N$2:$N$24,MATCH($E6,_RPT_CARDS!$B$2:$B$24,0))),""),"")</f>
        <v>0</v>
      </c>
      <c r="V6" s="193" t="str">
        <f>IF($D6="KPI_CARD",IFERROR(IF(INDEX(_RPT_CARDS!$O$2:$O$24,MATCH($E6,_RPT_CARDS!$B$2:$B$24,0))="","",INDEX(_RPT_CARDS!$O$2:$O$24,MATCH($E6,_RPT_CARDS!$B$2:$B$24,0))),""),"")</f>
        <v/>
      </c>
      <c r="W6" s="193" t="str">
        <f>IF($D6="KPI_CARD",IFERROR(IF(INDEX(_RPT_CARDS!$T$2:$T$24,MATCH($E6,_RPT_CARDS!$B$2:$B$24,0))="","",INDEX(_RPT_CARDS!$T$2:$T$24,MATCH($E6,_RPT_CARDS!$B$2:$B$24,0))),""),"")</f>
        <v>MISSING</v>
      </c>
      <c r="X6" s="193" t="str">
        <f ca="1">IF(LEFT(Control!$C$10,4)="ROJO","RED",IF(LEFT(Control!$C$10,8)="AMARILLO","AMBER","GREEN"))</f>
        <v>RED</v>
      </c>
      <c r="Y6" s="193">
        <f>IF(D6&lt;&gt;"KPI_CARD",0,IFERROR(IF(ISNUMBER(I6)&lt;&gt;ISNUMBER(INDEX(_RPT_CARDS!$H$2:$H$24,MATCH(E6,_RPT_CARDS!$B$2:$B$24,0))),1,IF(ISNUMBER(I6),--(I6&lt;&gt;INDEX(_RPT_CARDS!$H$2:$H$24,MATCH(E6,_RPT_CARDS!$B$2:$B$24,0))),0)),1))</f>
        <v>0</v>
      </c>
      <c r="Z6" s="193" t="b">
        <f>IF(D6&lt;&gt;"KPI_CARD",0,IFERROR(IF(ISNUMBER(T6)&lt;&gt;ISNUMBER(INDEX(_RPT_CARDS!$M$2:$M$24,MATCH(E6,_RPT_CARDS!$B$2:$B$24,0))),1,IF(ISNUMBER(T6),--(T6&lt;&gt;INDEX(_RPT_CARDS!$M$2:$M$24,MATCH(E6,_RPT_CARDS!$B$2:$B$24,0))),0)),1))</f>
        <v>0</v>
      </c>
    </row>
    <row r="7" spans="1:24" ht="13.5" customHeight="1" x14ac:dyDescent="0.3">
      <c r="A7">
        <v>1</v>
      </c>
      <c r="B7" t="s">
        <v>1207</v>
      </c>
      <c r="C7" t="s">
        <v>1210</v>
      </c>
      <c r="D7" t="s">
        <v>1209</v>
      </c>
      <c r="E7" t="s">
        <v>49</v>
      </c>
      <c r="F7" s="193" t="str">
        <f>INDEX(_RPT_CARDS!$D$2:$D$24,MATCH(E7,_RPT_CARDS!$B$2:$B$24,0))</f>
        <v>Total recordable injury frequency</v>
      </c>
      <c r="G7" s="193" t="str">
        <f>INDEX(_RPT_CARDS!$E$2:$E$24,MATCH(E7,_RPT_CARDS!$B$2:$B$24,0))</f>
        <v>Frecuencia de casos registrables</v>
      </c>
      <c r="H7" s="193" t="str">
        <f>INDEX(_RPT_CARDS!$I$2:$I$24,MATCH(E7,_RPT_CARDS!$B$2:$B$24,0))</f>
        <v>n/a</v>
      </c>
      <c r="I7" s="193" t="str">
        <f>INDEX(_RPT_CARDS!$H$2:$H$24,MATCH(E7,_RPT_CARDS!$B$2:$B$24,0))</f>
        <v/>
      </c>
      <c r="J7" s="193" t="str">
        <f>INDEX(_RPT_CARDS!$Q$2:$Q$24,MATCH(E7,_RPT_CARDS!$B$2:$B$24,0))</f>
        <v>2.35</v>
      </c>
      <c r="K7" s="193" t="str">
        <f>INDEX(_RPT_CARDS!$R$2:$R$24,MATCH(E7,_RPT_CARDS!$B$2:$B$24,0))</f>
        <v>NO_DATA</v>
      </c>
      <c r="L7" s="193" t="str">
        <f>INDEX(_RPT_CARDS!$L$2:$L$24,MATCH(E7,_RPT_CARDS!$B$2:$B$24,0))</f>
        <v>N/A</v>
      </c>
      <c r="M7" s="193" t="str">
        <f>TRIM("YTD: "&amp;INDEX(_RPT_CARDS!$N$2:$N$24,MATCH(E7,_RPT_CARDS!$B$2:$B$24,0))&amp;". "&amp;INDEX(_RPT_CARDS!$U$2:$U$24,MATCH(E7,_RPT_CARDS!$B$2:$B$24,0)))</f>
        <v>YTD: n/a. No data.</v>
      </c>
      <c r="N7">
        <v>6</v>
      </c>
      <c r="O7" s="193" t="str">
        <f t="shared" si="0"/>
        <v>Compressor Plant</v>
      </c>
      <c r="P7" s="249">
        <f t="shared" si="1"/>
        <v>46296</v>
      </c>
      <c r="Q7" s="193" t="str">
        <f>IF($D7="KPI_CARD",IFERROR(IF(INDEX(_RPT_CARDS!$V$2:$V$24,MATCH($E7,_RPT_CARDS!$B$2:$B$24,0))="","",INDEX(_RPT_CARDS!$V$2:$V$24,MATCH($E7,_RPT_CARDS!$B$2:$B$24,0))),""),"")</f>
        <v>casos / 10^6 HH</v>
      </c>
      <c r="R7" s="193">
        <f>IF($D7="KPI_CARD",IFERROR(IF(INDEX(_RPT_CARDS!$P$2:$P$24,MATCH($E7,_RPT_CARDS!$B$2:$B$24,0))="","",INDEX(_RPT_CARDS!$P$2:$P$24,MATCH($E7,_RPT_CARDS!$B$2:$B$24,0))),""),"")</f>
        <v>2.35</v>
      </c>
      <c r="S7" s="193" t="str">
        <f>IF($D7="KPI_CARD",IFERROR(IF(INDEX(_RPT_CARDS!$Z$2:$Z$24,MATCH($E7,_RPT_CARDS!$B$2:$B$24,0))="","",INDEX(_RPT_CARDS!$Z$2:$Z$24,MATCH($E7,_RPT_CARDS!$B$2:$B$24,0))),""),"")</f>
        <v>≤</v>
      </c>
      <c r="T7" s="193" t="str">
        <f>IF($D7="KPI_CARD",IFERROR(IF(INDEX(_RPT_CARDS!$M$2:$M$24,MATCH($E7,_RPT_CARDS!$B$2:$B$24,0))="","",INDEX(_RPT_CARDS!$M$2:$M$24,MATCH($E7,_RPT_CARDS!$B$2:$B$24,0))),""),"")</f>
        <v/>
      </c>
      <c r="U7" s="193" t="str">
        <f>IF($D7="KPI_CARD",IFERROR(IF(INDEX(_RPT_CARDS!$N$2:$N$24,MATCH($E7,_RPT_CARDS!$B$2:$B$24,0))="","",INDEX(_RPT_CARDS!$N$2:$N$24,MATCH($E7,_RPT_CARDS!$B$2:$B$24,0))),""),"")</f>
        <v>n/a</v>
      </c>
      <c r="V7" s="193" t="str">
        <f>IF($D7="KPI_CARD",IFERROR(IF(INDEX(_RPT_CARDS!$O$2:$O$24,MATCH($E7,_RPT_CARDS!$B$2:$B$24,0))="","",INDEX(_RPT_CARDS!$O$2:$O$24,MATCH($E7,_RPT_CARDS!$B$2:$B$24,0))),""),"")</f>
        <v/>
      </c>
      <c r="W7" s="193" t="str">
        <f>IF($D7="KPI_CARD",IFERROR(IF(INDEX(_RPT_CARDS!$T$2:$T$24,MATCH($E7,_RPT_CARDS!$B$2:$B$24,0))="","",INDEX(_RPT_CARDS!$T$2:$T$24,MATCH($E7,_RPT_CARDS!$B$2:$B$24,0))),""),"")</f>
        <v>MISSING</v>
      </c>
      <c r="X7" s="193" t="str">
        <f ca="1">IF(LEFT(Control!$C$10,4)="ROJO","RED",IF(LEFT(Control!$C$10,8)="AMARILLO","AMBER","GREEN"))</f>
        <v>RED</v>
      </c>
      <c r="Y7" s="193">
        <f>IF(D7&lt;&gt;"KPI_CARD",0,IFERROR(IF(ISNUMBER(I7)&lt;&gt;ISNUMBER(INDEX(_RPT_CARDS!$H$2:$H$24,MATCH(E7,_RPT_CARDS!$B$2:$B$24,0))),1,IF(ISNUMBER(I7),--(I7&lt;&gt;INDEX(_RPT_CARDS!$H$2:$H$24,MATCH(E7,_RPT_CARDS!$B$2:$B$24,0))),0)),1))</f>
        <v>0</v>
      </c>
      <c r="Z7" s="193">
        <f>IF(D7&lt;&gt;"KPI_CARD",0,IFERROR(IF(ISNUMBER(T7)&lt;&gt;ISNUMBER(INDEX(_RPT_CARDS!$M$2:$M$24,MATCH(E7,_RPT_CARDS!$B$2:$B$24,0))),1,IF(ISNUMBER(T7),--(T7&lt;&gt;INDEX(_RPT_CARDS!$M$2:$M$24,MATCH(E7,_RPT_CARDS!$B$2:$B$24,0))),0)),1))</f>
        <v>0</v>
      </c>
    </row>
    <row r="8" spans="1:24" ht="13.5" customHeight="1" x14ac:dyDescent="0.3">
      <c r="A8">
        <v>1</v>
      </c>
      <c r="B8" t="s">
        <v>1207</v>
      </c>
      <c r="C8" t="s">
        <v>1211</v>
      </c>
      <c r="D8" t="s">
        <v>1209</v>
      </c>
      <c r="E8" t="s">
        <v>39</v>
      </c>
      <c r="F8" s="193" t="str">
        <f>INDEX(_RPT_CARDS!$D$2:$D$24,MATCH(E8,_RPT_CARDS!$B$2:$B$24,0))</f>
        <v>Lost-time injury frequency</v>
      </c>
      <c r="G8" s="193" t="str">
        <f>INDEX(_RPT_CARDS!$E$2:$E$24,MATCH(E8,_RPT_CARDS!$B$2:$B$24,0))</f>
        <v>Frecuencia de casos con días perdidos</v>
      </c>
      <c r="H8" s="193" t="str">
        <f>INDEX(_RPT_CARDS!$I$2:$I$24,MATCH(E8,_RPT_CARDS!$B$2:$B$24,0))</f>
        <v>n/a</v>
      </c>
      <c r="I8" s="193" t="str">
        <f>INDEX(_RPT_CARDS!$H$2:$H$24,MATCH(E8,_RPT_CARDS!$B$2:$B$24,0))</f>
        <v/>
      </c>
      <c r="J8" s="193" t="str">
        <f>INDEX(_RPT_CARDS!$Q$2:$Q$24,MATCH(E8,_RPT_CARDS!$B$2:$B$24,0))</f>
        <v>0.00</v>
      </c>
      <c r="K8" s="193" t="str">
        <f>INDEX(_RPT_CARDS!$R$2:$R$24,MATCH(E8,_RPT_CARDS!$B$2:$B$24,0))</f>
        <v>NO_DATA</v>
      </c>
      <c r="L8" s="193" t="str">
        <f>INDEX(_RPT_CARDS!$L$2:$L$24,MATCH(E8,_RPT_CARDS!$B$2:$B$24,0))</f>
        <v>N/A</v>
      </c>
      <c r="M8" s="193" t="str">
        <f>TRIM("YTD: "&amp;INDEX(_RPT_CARDS!$N$2:$N$24,MATCH(E8,_RPT_CARDS!$B$2:$B$24,0))&amp;". "&amp;INDEX(_RPT_CARDS!$U$2:$U$24,MATCH(E8,_RPT_CARDS!$B$2:$B$24,0)))</f>
        <v>YTD: n/a. No data.</v>
      </c>
      <c r="N8">
        <v>7</v>
      </c>
      <c r="O8" s="193" t="str">
        <f t="shared" si="0"/>
        <v>Compressor Plant</v>
      </c>
      <c r="P8" s="249">
        <f t="shared" si="1"/>
        <v>46296</v>
      </c>
      <c r="Q8" s="193" t="str">
        <f>IF($D8="KPI_CARD",IFERROR(IF(INDEX(_RPT_CARDS!$V$2:$V$24,MATCH($E8,_RPT_CARDS!$B$2:$B$24,0))="","",INDEX(_RPT_CARDS!$V$2:$V$24,MATCH($E8,_RPT_CARDS!$B$2:$B$24,0))),""),"")</f>
        <v>casos / 10^6 HH</v>
      </c>
      <c r="R8" s="193">
        <f>IF($D8="KPI_CARD",IFERROR(IF(INDEX(_RPT_CARDS!$P$2:$P$24,MATCH($E8,_RPT_CARDS!$B$2:$B$24,0))="","",INDEX(_RPT_CARDS!$P$2:$P$24,MATCH($E8,_RPT_CARDS!$B$2:$B$24,0))),""),"")</f>
        <v>0</v>
      </c>
      <c r="S8" s="193" t="str">
        <f>IF($D8="KPI_CARD",IFERROR(IF(INDEX(_RPT_CARDS!$Z$2:$Z$24,MATCH($E8,_RPT_CARDS!$B$2:$B$24,0))="","",INDEX(_RPT_CARDS!$Z$2:$Z$24,MATCH($E8,_RPT_CARDS!$B$2:$B$24,0))),""),"")</f>
        <v>≤</v>
      </c>
      <c r="T8" s="193" t="str">
        <f>IF($D8="KPI_CARD",IFERROR(IF(INDEX(_RPT_CARDS!$M$2:$M$24,MATCH($E8,_RPT_CARDS!$B$2:$B$24,0))="","",INDEX(_RPT_CARDS!$M$2:$M$24,MATCH($E8,_RPT_CARDS!$B$2:$B$24,0))),""),"")</f>
        <v/>
      </c>
      <c r="U8" s="193" t="str">
        <f>IF($D8="KPI_CARD",IFERROR(IF(INDEX(_RPT_CARDS!$N$2:$N$24,MATCH($E8,_RPT_CARDS!$B$2:$B$24,0))="","",INDEX(_RPT_CARDS!$N$2:$N$24,MATCH($E8,_RPT_CARDS!$B$2:$B$24,0))),""),"")</f>
        <v>n/a</v>
      </c>
      <c r="V8" s="193" t="str">
        <f>IF($D8="KPI_CARD",IFERROR(IF(INDEX(_RPT_CARDS!$O$2:$O$24,MATCH($E8,_RPT_CARDS!$B$2:$B$24,0))="","",INDEX(_RPT_CARDS!$O$2:$O$24,MATCH($E8,_RPT_CARDS!$B$2:$B$24,0))),""),"")</f>
        <v/>
      </c>
      <c r="W8" s="193" t="str">
        <f>IF($D8="KPI_CARD",IFERROR(IF(INDEX(_RPT_CARDS!$T$2:$T$24,MATCH($E8,_RPT_CARDS!$B$2:$B$24,0))="","",INDEX(_RPT_CARDS!$T$2:$T$24,MATCH($E8,_RPT_CARDS!$B$2:$B$24,0))),""),"")</f>
        <v>MISSING</v>
      </c>
      <c r="X8" s="193" t="str">
        <f ca="1">IF(LEFT(Control!$C$10,4)="ROJO","RED",IF(LEFT(Control!$C$10,8)="AMARILLO","AMBER","GREEN"))</f>
        <v>RED</v>
      </c>
      <c r="Y8" s="193">
        <f>IF(D8&lt;&gt;"KPI_CARD",0,IFERROR(IF(ISNUMBER(I8)&lt;&gt;ISNUMBER(INDEX(_RPT_CARDS!$H$2:$H$24,MATCH(E8,_RPT_CARDS!$B$2:$B$24,0))),1,IF(ISNUMBER(I8),--(I8&lt;&gt;INDEX(_RPT_CARDS!$H$2:$H$24,MATCH(E8,_RPT_CARDS!$B$2:$B$24,0))),0)),1))</f>
        <v>0</v>
      </c>
      <c r="Z8" s="193">
        <f>IF(D8&lt;&gt;"KPI_CARD",0,IFERROR(IF(ISNUMBER(T8)&lt;&gt;ISNUMBER(INDEX(_RPT_CARDS!$M$2:$M$24,MATCH(E8,_RPT_CARDS!$B$2:$B$24,0))),1,IF(ISNUMBER(T8),--(T8&lt;&gt;INDEX(_RPT_CARDS!$M$2:$M$24,MATCH(E8,_RPT_CARDS!$B$2:$B$24,0))),0)),1))</f>
        <v>0</v>
      </c>
    </row>
    <row r="9" spans="1:24" ht="13.5" customHeight="1" x14ac:dyDescent="0.3">
      <c r="A9">
        <v>1</v>
      </c>
      <c r="B9" t="s">
        <v>1207</v>
      </c>
      <c r="C9" t="s">
        <v>1212</v>
      </c>
      <c r="D9" t="s">
        <v>1209</v>
      </c>
      <c r="E9" t="s">
        <v>61</v>
      </c>
      <c r="F9" s="193" t="str">
        <f>INDEX(_RPT_CARDS!$D$2:$D$24,MATCH(E9,_RPT_CARDS!$B$2:$B$24,0))</f>
        <v>Total vehicle crash rate</v>
      </c>
      <c r="G9" s="193" t="str">
        <f>INDEX(_RPT_CARDS!$E$2:$E$24,MATCH(E9,_RPT_CARDS!$B$2:$B$24,0))</f>
        <v>Accidentes vehiculares totales por millón de km</v>
      </c>
      <c r="H9" s="193" t="str">
        <f>INDEX(_RPT_CARDS!$I$2:$I$24,MATCH(E9,_RPT_CARDS!$B$2:$B$24,0))</f>
        <v>n/a</v>
      </c>
      <c r="I9" s="193" t="str">
        <f>INDEX(_RPT_CARDS!$H$2:$H$24,MATCH(E9,_RPT_CARDS!$B$2:$B$24,0))</f>
        <v/>
      </c>
      <c r="J9" s="193" t="str">
        <f>INDEX(_RPT_CARDS!$Q$2:$Q$24,MATCH(E9,_RPT_CARDS!$B$2:$B$24,0))</f>
        <v>0.79</v>
      </c>
      <c r="K9" s="193" t="str">
        <f>INDEX(_RPT_CARDS!$R$2:$R$24,MATCH(E9,_RPT_CARDS!$B$2:$B$24,0))</f>
        <v>NO_DATA</v>
      </c>
      <c r="L9" s="193" t="str">
        <f>INDEX(_RPT_CARDS!$L$2:$L$24,MATCH(E9,_RPT_CARDS!$B$2:$B$24,0))</f>
        <v>N/A</v>
      </c>
      <c r="M9" s="193" t="str">
        <f>TRIM("YTD: "&amp;INDEX(_RPT_CARDS!$N$2:$N$24,MATCH(E9,_RPT_CARDS!$B$2:$B$24,0))&amp;". "&amp;INDEX(_RPT_CARDS!$U$2:$U$24,MATCH(E9,_RPT_CARDS!$B$2:$B$24,0)))</f>
        <v>YTD: n/a. No data.</v>
      </c>
      <c r="N9">
        <v>8</v>
      </c>
      <c r="O9" s="193" t="str">
        <f t="shared" si="0"/>
        <v>Compressor Plant</v>
      </c>
      <c r="P9" s="249">
        <f t="shared" si="1"/>
        <v>46296</v>
      </c>
      <c r="Q9" s="193" t="str">
        <f>IF($D9="KPI_CARD",IFERROR(IF(INDEX(_RPT_CARDS!$V$2:$V$24,MATCH($E9,_RPT_CARDS!$B$2:$B$24,0))="","",INDEX(_RPT_CARDS!$V$2:$V$24,MATCH($E9,_RPT_CARDS!$B$2:$B$24,0))),""),"")</f>
        <v>eventos / 10^6 km</v>
      </c>
      <c r="R9" s="193">
        <f>IF($D9="KPI_CARD",IFERROR(IF(INDEX(_RPT_CARDS!$P$2:$P$24,MATCH($E9,_RPT_CARDS!$B$2:$B$24,0))="","",INDEX(_RPT_CARDS!$P$2:$P$24,MATCH($E9,_RPT_CARDS!$B$2:$B$24,0))),""),"")</f>
        <v>0.79</v>
      </c>
      <c r="S9" s="193" t="str">
        <f>IF($D9="KPI_CARD",IFERROR(IF(INDEX(_RPT_CARDS!$Z$2:$Z$24,MATCH($E9,_RPT_CARDS!$B$2:$B$24,0))="","",INDEX(_RPT_CARDS!$Z$2:$Z$24,MATCH($E9,_RPT_CARDS!$B$2:$B$24,0))),""),"")</f>
        <v>≤</v>
      </c>
      <c r="T9" s="193" t="str">
        <f>IF($D9="KPI_CARD",IFERROR(IF(INDEX(_RPT_CARDS!$M$2:$M$24,MATCH($E9,_RPT_CARDS!$B$2:$B$24,0))="","",INDEX(_RPT_CARDS!$M$2:$M$24,MATCH($E9,_RPT_CARDS!$B$2:$B$24,0))),""),"")</f>
        <v/>
      </c>
      <c r="U9" s="193" t="str">
        <f>IF($D9="KPI_CARD",IFERROR(IF(INDEX(_RPT_CARDS!$N$2:$N$24,MATCH($E9,_RPT_CARDS!$B$2:$B$24,0))="","",INDEX(_RPT_CARDS!$N$2:$N$24,MATCH($E9,_RPT_CARDS!$B$2:$B$24,0))),""),"")</f>
        <v>n/a</v>
      </c>
      <c r="V9" s="193" t="str">
        <f>IF($D9="KPI_CARD",IFERROR(IF(INDEX(_RPT_CARDS!$O$2:$O$24,MATCH($E9,_RPT_CARDS!$B$2:$B$24,0))="","",INDEX(_RPT_CARDS!$O$2:$O$24,MATCH($E9,_RPT_CARDS!$B$2:$B$24,0))),""),"")</f>
        <v/>
      </c>
      <c r="W9" s="193" t="str">
        <f>IF($D9="KPI_CARD",IFERROR(IF(INDEX(_RPT_CARDS!$T$2:$T$24,MATCH($E9,_RPT_CARDS!$B$2:$B$24,0))="","",INDEX(_RPT_CARDS!$T$2:$T$24,MATCH($E9,_RPT_CARDS!$B$2:$B$24,0))),""),"")</f>
        <v>MISSING</v>
      </c>
      <c r="X9" s="193" t="str">
        <f ca="1">IF(LEFT(Control!$C$10,4)="ROJO","RED",IF(LEFT(Control!$C$10,8)="AMARILLO","AMBER","GREEN"))</f>
        <v>RED</v>
      </c>
      <c r="Y9" s="193">
        <f>IF(D9&lt;&gt;"KPI_CARD",0,IFERROR(IF(ISNUMBER(I9)&lt;&gt;ISNUMBER(INDEX(_RPT_CARDS!$H$2:$H$24,MATCH(E9,_RPT_CARDS!$B$2:$B$24,0))),1,IF(ISNUMBER(I9),--(I9&lt;&gt;INDEX(_RPT_CARDS!$H$2:$H$24,MATCH(E9,_RPT_CARDS!$B$2:$B$24,0))),0)),1))</f>
        <v>0</v>
      </c>
      <c r="Z9" s="193">
        <f>IF(D9&lt;&gt;"KPI_CARD",0,IFERROR(IF(ISNUMBER(T9)&lt;&gt;ISNUMBER(INDEX(_RPT_CARDS!$M$2:$M$24,MATCH(E9,_RPT_CARDS!$B$2:$B$24,0))),1,IF(ISNUMBER(T9),--(T9&lt;&gt;INDEX(_RPT_CARDS!$M$2:$M$24,MATCH(E9,_RPT_CARDS!$B$2:$B$24,0))),0)),1))</f>
        <v>0</v>
      </c>
    </row>
    <row r="10" spans="1:24" ht="13.5" customHeight="1" x14ac:dyDescent="0.3">
      <c r="A10">
        <v>1</v>
      </c>
      <c r="B10" t="s">
        <v>1207</v>
      </c>
      <c r="C10" t="s">
        <v>1213</v>
      </c>
      <c r="D10" t="s">
        <v>1209</v>
      </c>
      <c r="E10" t="s">
        <v>1073</v>
      </c>
      <c r="F10" s="193" t="str">
        <f>INDEX(_RPT_CARDS!$D$2:$D$24,MATCH(E10,_RPT_CARDS!$B$2:$B$24,0))</f>
        <v>High-severity deviations open at month end</v>
      </c>
      <c r="G10" s="193" t="str">
        <f>INDEX(_RPT_CARDS!$E$2:$E$24,MATCH(E10,_RPT_CARDS!$B$2:$B$24,0))</f>
        <v>Desvíos de gravedad Alta abiertos</v>
      </c>
      <c r="H10" s="193" t="str">
        <f>INDEX(_RPT_CARDS!$I$2:$I$24,MATCH(E10,_RPT_CARDS!$B$2:$B$24,0))</f>
        <v>n/a</v>
      </c>
      <c r="I10" s="248">
        <f>INDEX(_RPT_CARDS!$H$2:$H$24,MATCH(E10,_RPT_CARDS!$B$2:$B$24,0))</f>
        <v>0</v>
      </c>
      <c r="J10" s="193" t="str">
        <f>INDEX(_RPT_CARDS!$Q$2:$Q$24,MATCH(E10,_RPT_CARDS!$B$2:$B$24,0))</f>
        <v>No target defined</v>
      </c>
      <c r="K10" s="193" t="str">
        <f>INDEX(_RPT_CARDS!$R$2:$R$24,MATCH(E10,_RPT_CARDS!$B$2:$B$24,0))</f>
        <v>NO_DATA</v>
      </c>
      <c r="L10" s="193" t="str">
        <f>INDEX(_RPT_CARDS!$L$2:$L$24,MATCH(E10,_RPT_CARDS!$B$2:$B$24,0))</f>
        <v>N/A</v>
      </c>
      <c r="M10" s="193" t="str">
        <f>TRIM("YTD: "&amp;INDEX(_RPT_CARDS!$N$2:$N$24,MATCH(E10,_RPT_CARDS!$B$2:$B$24,0))&amp;". "&amp;INDEX(_RPT_CARDS!$U$2:$U$24,MATCH(E10,_RPT_CARDS!$B$2:$B$24,0)))</f>
        <v>YTD: n/a (stock at month end).</v>
      </c>
      <c r="N10">
        <v>9</v>
      </c>
      <c r="O10" s="193" t="str">
        <f t="shared" si="0"/>
        <v>Compressor Plant</v>
      </c>
      <c r="P10" s="249">
        <f t="shared" si="1"/>
        <v>46296</v>
      </c>
      <c r="Q10" s="193" t="str">
        <f>IF($D10="KPI_CARD",IFERROR(IF(INDEX(_RPT_CARDS!$V$2:$V$24,MATCH($E10,_RPT_CARDS!$B$2:$B$24,0))="","",INDEX(_RPT_CARDS!$V$2:$V$24,MATCH($E10,_RPT_CARDS!$B$2:$B$24,0))),""),"")</f>
        <v>u</v>
      </c>
      <c r="R10" s="193" t="str">
        <f>IF($D10="KPI_CARD",IFERROR(IF(INDEX(_RPT_CARDS!$P$2:$P$24,MATCH($E10,_RPT_CARDS!$B$2:$B$24,0))="","",INDEX(_RPT_CARDS!$P$2:$P$24,MATCH($E10,_RPT_CARDS!$B$2:$B$24,0))),""),"")</f>
        <v/>
      </c>
      <c r="S10" s="193" t="str">
        <f>IF($D10="KPI_CARD",IFERROR(IF(INDEX(_RPT_CARDS!$Z$2:$Z$24,MATCH($E10,_RPT_CARDS!$B$2:$B$24,0))="","",INDEX(_RPT_CARDS!$Z$2:$Z$24,MATCH($E10,_RPT_CARDS!$B$2:$B$24,0))),""),"")</f>
        <v/>
      </c>
      <c r="T10" s="193" t="str">
        <f>IF($D10="KPI_CARD",IFERROR(IF(INDEX(_RPT_CARDS!$M$2:$M$24,MATCH($E10,_RPT_CARDS!$B$2:$B$24,0))="","",INDEX(_RPT_CARDS!$M$2:$M$24,MATCH($E10,_RPT_CARDS!$B$2:$B$24,0))),""),"")</f>
        <v/>
      </c>
      <c r="U10" s="193" t="str">
        <f>IF($D10="KPI_CARD",IFERROR(IF(INDEX(_RPT_CARDS!$N$2:$N$24,MATCH($E10,_RPT_CARDS!$B$2:$B$24,0))="","",INDEX(_RPT_CARDS!$N$2:$N$24,MATCH($E10,_RPT_CARDS!$B$2:$B$24,0))),""),"")</f>
        <v>n/a (stock at month end)</v>
      </c>
      <c r="V10" s="193" t="str">
        <f>IF($D10="KPI_CARD",IFERROR(IF(INDEX(_RPT_CARDS!$O$2:$O$24,MATCH($E10,_RPT_CARDS!$B$2:$B$24,0))="","",INDEX(_RPT_CARDS!$O$2:$O$24,MATCH($E10,_RPT_CARDS!$B$2:$B$24,0))),""),"")</f>
        <v/>
      </c>
      <c r="W10" s="193" t="str">
        <f>IF($D10="KPI_CARD",IFERROR(IF(INDEX(_RPT_CARDS!$T$2:$T$24,MATCH($E10,_RPT_CARDS!$B$2:$B$24,0))="","",INDEX(_RPT_CARDS!$T$2:$T$24,MATCH($E10,_RPT_CARDS!$B$2:$B$24,0))),""),"")</f>
        <v>MISSING</v>
      </c>
      <c r="X10" s="193" t="str">
        <f ca="1">IF(LEFT(Control!$C$10,4)="ROJO","RED",IF(LEFT(Control!$C$10,8)="AMARILLO","AMBER","GREEN"))</f>
        <v>RED</v>
      </c>
      <c r="Y10" s="193">
        <f>IF(D10&lt;&gt;"KPI_CARD",0,IFERROR(IF(ISNUMBER(I10)&lt;&gt;ISNUMBER(INDEX(_RPT_CARDS!$H$2:$H$24,MATCH(E10,_RPT_CARDS!$B$2:$B$24,0))),1,IF(ISNUMBER(I10),--(I10&lt;&gt;INDEX(_RPT_CARDS!$H$2:$H$24,MATCH(E10,_RPT_CARDS!$B$2:$B$24,0))),0)),1))</f>
        <v>0</v>
      </c>
      <c r="Z10" s="193">
        <f>IF(D10&lt;&gt;"KPI_CARD",0,IFERROR(IF(ISNUMBER(T10)&lt;&gt;ISNUMBER(INDEX(_RPT_CARDS!$M$2:$M$24,MATCH(E10,_RPT_CARDS!$B$2:$B$24,0))),1,IF(ISNUMBER(T10),--(T10&lt;&gt;INDEX(_RPT_CARDS!$M$2:$M$24,MATCH(E10,_RPT_CARDS!$B$2:$B$24,0))),0)),1))</f>
        <v>0</v>
      </c>
    </row>
    <row r="11" spans="1:24" ht="13.5" customHeight="1" x14ac:dyDescent="0.3">
      <c r="A11">
        <v>1</v>
      </c>
      <c r="B11" t="s">
        <v>1207</v>
      </c>
      <c r="C11" t="s">
        <v>1214</v>
      </c>
      <c r="D11" t="s">
        <v>1209</v>
      </c>
      <c r="E11" t="s">
        <v>1056</v>
      </c>
      <c r="F11" s="193" t="str">
        <f>INDEX(_RPT_CARDS!$D$2:$D$24,MATCH(E11,_RPT_CARDS!$B$2:$B$24,0))</f>
        <v>Hours worked (all personnel)</v>
      </c>
      <c r="G11" s="193" t="str">
        <f>INDEX(_RPT_CARDS!$E$2:$E$24,MATCH(E11,_RPT_CARDS!$B$2:$B$24,0))</f>
        <v>Horas hombre trabajadas (HHT)</v>
      </c>
      <c r="H11" s="193" t="str">
        <f>INDEX(_RPT_CARDS!$I$2:$I$24,MATCH(E11,_RPT_CARDS!$B$2:$B$24,0))</f>
        <v>n/a</v>
      </c>
      <c r="I11" s="193" t="str">
        <f>INDEX(_RPT_CARDS!$H$2:$H$24,MATCH(E11,_RPT_CARDS!$B$2:$B$24,0))</f>
        <v/>
      </c>
      <c r="J11" s="193" t="str">
        <f>INDEX(_RPT_CARDS!$Q$2:$Q$24,MATCH(E11,_RPT_CARDS!$B$2:$B$24,0))</f>
        <v>No target defined</v>
      </c>
      <c r="K11" s="193" t="str">
        <f>INDEX(_RPT_CARDS!$R$2:$R$24,MATCH(E11,_RPT_CARDS!$B$2:$B$24,0))</f>
        <v>NO_DATA</v>
      </c>
      <c r="L11" s="193" t="str">
        <f>INDEX(_RPT_CARDS!$L$2:$L$24,MATCH(E11,_RPT_CARDS!$B$2:$B$24,0))</f>
        <v>N/A</v>
      </c>
      <c r="M11" s="193" t="str">
        <f>TRIM("YTD: "&amp;INDEX(_RPT_CARDS!$N$2:$N$24,MATCH(E11,_RPT_CARDS!$B$2:$B$24,0))&amp;". "&amp;INDEX(_RPT_CARDS!$U$2:$U$24,MATCH(E11,_RPT_CARDS!$B$2:$B$24,0)))</f>
        <v>YTD: 48,332.</v>
      </c>
      <c r="N11">
        <v>10</v>
      </c>
      <c r="O11" s="193" t="str">
        <f t="shared" si="0"/>
        <v>Compressor Plant</v>
      </c>
      <c r="P11" s="249">
        <f t="shared" si="1"/>
        <v>46296</v>
      </c>
      <c r="Q11" s="193" t="str">
        <f>IF($D11="KPI_CARD",IFERROR(IF(INDEX(_RPT_CARDS!$V$2:$V$24,MATCH($E11,_RPT_CARDS!$B$2:$B$24,0))="","",INDEX(_RPT_CARDS!$V$2:$V$24,MATCH($E11,_RPT_CARDS!$B$2:$B$24,0))),""),"")</f>
        <v>h</v>
      </c>
      <c r="R11" s="193" t="str">
        <f>IF($D11="KPI_CARD",IFERROR(IF(INDEX(_RPT_CARDS!$P$2:$P$24,MATCH($E11,_RPT_CARDS!$B$2:$B$24,0))="","",INDEX(_RPT_CARDS!$P$2:$P$24,MATCH($E11,_RPT_CARDS!$B$2:$B$24,0))),""),"")</f>
        <v/>
      </c>
      <c r="S11" s="193" t="str">
        <f>IF($D11="KPI_CARD",IFERROR(IF(INDEX(_RPT_CARDS!$Z$2:$Z$24,MATCH($E11,_RPT_CARDS!$B$2:$B$24,0))="","",INDEX(_RPT_CARDS!$Z$2:$Z$24,MATCH($E11,_RPT_CARDS!$B$2:$B$24,0))),""),"")</f>
        <v/>
      </c>
      <c r="T11" s="193">
        <f>IF($D11="KPI_CARD",IFERROR(IF(INDEX(_RPT_CARDS!$M$2:$M$24,MATCH($E11,_RPT_CARDS!$B$2:$B$24,0))="","",INDEX(_RPT_CARDS!$M$2:$M$24,MATCH($E11,_RPT_CARDS!$B$2:$B$24,0))),""),"")</f>
        <v>48332</v>
      </c>
      <c r="U11" s="193" t="str">
        <f>IF($D11="KPI_CARD",IFERROR(IF(INDEX(_RPT_CARDS!$N$2:$N$24,MATCH($E11,_RPT_CARDS!$B$2:$B$24,0))="","",INDEX(_RPT_CARDS!$N$2:$N$24,MATCH($E11,_RPT_CARDS!$B$2:$B$24,0))),""),"")</f>
        <v>48,332</v>
      </c>
      <c r="V11" s="193" t="str">
        <f>IF($D11="KPI_CARD",IFERROR(IF(INDEX(_RPT_CARDS!$O$2:$O$24,MATCH($E11,_RPT_CARDS!$B$2:$B$24,0))="","",INDEX(_RPT_CARDS!$O$2:$O$24,MATCH($E11,_RPT_CARDS!$B$2:$B$24,0))),""),"")</f>
        <v/>
      </c>
      <c r="W11" s="193" t="str">
        <f>IF($D11="KPI_CARD",IFERROR(IF(INDEX(_RPT_CARDS!$T$2:$T$24,MATCH($E11,_RPT_CARDS!$B$2:$B$24,0))="","",INDEX(_RPT_CARDS!$T$2:$T$24,MATCH($E11,_RPT_CARDS!$B$2:$B$24,0))),""),"")</f>
        <v>MISSING</v>
      </c>
      <c r="X11" s="193" t="str">
        <f ca="1">IF(LEFT(Control!$C$10,4)="ROJO","RED",IF(LEFT(Control!$C$10,8)="AMARILLO","AMBER","GREEN"))</f>
        <v>RED</v>
      </c>
      <c r="Y11" s="193">
        <f>IF(D11&lt;&gt;"KPI_CARD",0,IFERROR(IF(ISNUMBER(I11)&lt;&gt;ISNUMBER(INDEX(_RPT_CARDS!$H$2:$H$24,MATCH(E11,_RPT_CARDS!$B$2:$B$24,0))),1,IF(ISNUMBER(I11),--(I11&lt;&gt;INDEX(_RPT_CARDS!$H$2:$H$24,MATCH(E11,_RPT_CARDS!$B$2:$B$24,0))),0)),1))</f>
        <v>0</v>
      </c>
      <c r="Z11" s="193" t="b">
        <f>IF(D11&lt;&gt;"KPI_CARD",0,IFERROR(IF(ISNUMBER(T11)&lt;&gt;ISNUMBER(INDEX(_RPT_CARDS!$M$2:$M$24,MATCH(E11,_RPT_CARDS!$B$2:$B$24,0))),1,IF(ISNUMBER(T11),--(T11&lt;&gt;INDEX(_RPT_CARDS!$M$2:$M$24,MATCH(E11,_RPT_CARDS!$B$2:$B$24,0))),0)),1))</f>
        <v>0</v>
      </c>
    </row>
    <row r="12" spans="1:24" ht="13.5" customHeight="1" x14ac:dyDescent="0.3">
      <c r="A12">
        <v>1</v>
      </c>
      <c r="B12" t="s">
        <v>1207</v>
      </c>
      <c r="C12" t="s">
        <v>1113</v>
      </c>
      <c r="D12" t="s">
        <v>1215</v>
      </c>
      <c r="E12" t="s">
        <v>1113</v>
      </c>
      <c r="F12" s="193" t="str">
        <f>INDEX(_RPT_SPEC_CHART!$D$2:$D$16,MATCH(E12,_RPT_SPEC_CHART!$A$2:$A$16,0))</f>
        <v>Hours worked (exposure)</v>
      </c>
      <c r="G12" s="193" t="str">
        <f>INDEX(_RPT_SPEC_CHART!$E$2:$E$16,MATCH(E12,_RPT_SPEC_CHART!$A$2:$A$16,0))</f>
        <v>Is exposure large enough for the rates to be meaningful?</v>
      </c>
      <c r="H12" s="193" t="str">
        <f>INDEX(_RPT_SPEC_CHART!$N$2:$N$16,MATCH(E12,_RPT_SPEC_CHART!$A$2:$A$16,0))&amp;" of "&amp;INDEX(_RPT_SPEC_CHART!$O$2:$O$16,MATCH(E12,_RPT_SPEC_CHART!$A$2:$A$16,0))&amp;" points"</f>
        <v>2 of 3 points</v>
      </c>
      <c r="I12" s="193">
        <f>INDEX(_RPT_SPEC_CHART!$N$2:$N$16,MATCH(E12,_RPT_SPEC_CHART!$A$2:$A$16,0))</f>
        <v>2</v>
      </c>
      <c r="J12" s="193" t="str">
        <f>INDEX(_RPT_SPEC_CHART!$J$2:$J$16,MATCH(E12,_RPT_SPEC_CHART!$A$2:$A$16,0))</f>
        <v>No</v>
      </c>
      <c r="K12" s="193" t="str">
        <f>INDEX(_RPT_SPEC_CHART!$P$2:$P$16,MATCH(E12,_RPT_SPEC_CHART!$A$2:$A$16,0))</f>
        <v>PARTIAL</v>
      </c>
      <c r="M12" s="193" t="str">
        <f>INDEX(_RPT_SPEC_CHART!$M$2:$M$16,MATCH(E12,_RPT_SPEC_CHART!$A$2:$A$16,0))</f>
        <v>HHT - Hours worked (Horas hombre trabajadas)</v>
      </c>
      <c r="N12">
        <v>11</v>
      </c>
      <c r="O12" s="193" t="str">
        <f t="shared" si="0"/>
        <v>Compressor Plant</v>
      </c>
      <c r="P12" s="249">
        <f t="shared" si="1"/>
        <v>46296</v>
      </c>
      <c r="Q12" s="193" t="str">
        <f>IF($D12="KPI_CARD",IFERROR(IF(INDEX(_RPT_CARDS!$V$2:$V$24,MATCH($E12,_RPT_CARDS!$B$2:$B$24,0))="","",INDEX(_RPT_CARDS!$V$2:$V$24,MATCH($E12,_RPT_CARDS!$B$2:$B$24,0))),""),"")</f>
        <v/>
      </c>
      <c r="R12" s="193" t="str">
        <f>IF($D12="KPI_CARD",IFERROR(IF(INDEX(_RPT_CARDS!$P$2:$P$24,MATCH($E12,_RPT_CARDS!$B$2:$B$24,0))="","",INDEX(_RPT_CARDS!$P$2:$P$24,MATCH($E12,_RPT_CARDS!$B$2:$B$24,0))),""),"")</f>
        <v/>
      </c>
      <c r="S12" s="193" t="str">
        <f>IF($D12="KPI_CARD",IFERROR(IF(INDEX(_RPT_CARDS!$Z$2:$Z$24,MATCH($E12,_RPT_CARDS!$B$2:$B$24,0))="","",INDEX(_RPT_CARDS!$Z$2:$Z$24,MATCH($E12,_RPT_CARDS!$B$2:$B$24,0))),""),"")</f>
        <v/>
      </c>
      <c r="T12" s="193" t="str">
        <f>IF($D12="KPI_CARD",IFERROR(IF(INDEX(_RPT_CARDS!$M$2:$M$24,MATCH($E12,_RPT_CARDS!$B$2:$B$24,0))="","",INDEX(_RPT_CARDS!$M$2:$M$24,MATCH($E12,_RPT_CARDS!$B$2:$B$24,0))),""),"")</f>
        <v/>
      </c>
      <c r="U12" s="193" t="str">
        <f>IF($D12="KPI_CARD",IFERROR(IF(INDEX(_RPT_CARDS!$N$2:$N$24,MATCH($E12,_RPT_CARDS!$B$2:$B$24,0))="","",INDEX(_RPT_CARDS!$N$2:$N$24,MATCH($E12,_RPT_CARDS!$B$2:$B$24,0))),""),"")</f>
        <v/>
      </c>
      <c r="V12" s="193" t="str">
        <f>IF($D12="KPI_CARD",IFERROR(IF(INDEX(_RPT_CARDS!$O$2:$O$24,MATCH($E12,_RPT_CARDS!$B$2:$B$24,0))="","",INDEX(_RPT_CARDS!$O$2:$O$24,MATCH($E12,_RPT_CARDS!$B$2:$B$24,0))),""),"")</f>
        <v/>
      </c>
      <c r="W12" s="193" t="str">
        <f>IF($D12="KPI_CARD",IFERROR(IF(INDEX(_RPT_CARDS!$T$2:$T$24,MATCH($E12,_RPT_CARDS!$B$2:$B$24,0))="","",INDEX(_RPT_CARDS!$T$2:$T$24,MATCH($E12,_RPT_CARDS!$B$2:$B$24,0))),""),"")</f>
        <v/>
      </c>
      <c r="X12" s="193" t="str">
        <f ca="1">IF(LEFT(Control!$C$10,4)="ROJO","RED",IF(LEFT(Control!$C$10,8)="AMARILLO","AMBER","GREEN"))</f>
        <v>RED</v>
      </c>
      <c r="Y12" s="193">
        <f>IF(D12&lt;&gt;"KPI_CARD",0,IFERROR(IF(ISNUMBER(I12)&lt;&gt;ISNUMBER(INDEX(_RPT_CARDS!$H$2:$H$24,MATCH(E12,_RPT_CARDS!$B$2:$B$24,0))),1,IF(ISNUMBER(I12),--(I12&lt;&gt;INDEX(_RPT_CARDS!$H$2:$H$24,MATCH(E12,_RPT_CARDS!$B$2:$B$24,0))),0)),1))</f>
        <v>0</v>
      </c>
      <c r="Z12" s="193">
        <f>IF(D12&lt;&gt;"KPI_CARD",0,IFERROR(IF(ISNUMBER(T12)&lt;&gt;ISNUMBER(INDEX(_RPT_CARDS!$M$2:$M$24,MATCH(E12,_RPT_CARDS!$B$2:$B$24,0))),1,IF(ISNUMBER(T12),--(T12&lt;&gt;INDEX(_RPT_CARDS!$M$2:$M$24,MATCH(E12,_RPT_CARDS!$B$2:$B$24,0))),0)),1))</f>
        <v>0</v>
      </c>
    </row>
    <row r="13" spans="1:24" ht="13.5" customHeight="1" x14ac:dyDescent="0.3">
      <c r="A13">
        <v>2</v>
      </c>
      <c r="B13" t="s">
        <v>1216</v>
      </c>
      <c r="C13" t="s">
        <v>1217</v>
      </c>
      <c r="D13" t="s">
        <v>1209</v>
      </c>
      <c r="E13" t="s">
        <v>49</v>
      </c>
      <c r="F13" s="193" t="str">
        <f>INDEX(_RPT_CARDS!$D$2:$D$24,MATCH(E13,_RPT_CARDS!$B$2:$B$24,0))</f>
        <v>Total recordable injury frequency</v>
      </c>
      <c r="G13" s="193" t="str">
        <f>INDEX(_RPT_CARDS!$E$2:$E$24,MATCH(E13,_RPT_CARDS!$B$2:$B$24,0))</f>
        <v>Frecuencia de casos registrables</v>
      </c>
      <c r="H13" s="193" t="str">
        <f>INDEX(_RPT_CARDS!$I$2:$I$24,MATCH(E13,_RPT_CARDS!$B$2:$B$24,0))</f>
        <v>n/a</v>
      </c>
      <c r="I13" s="193" t="str">
        <f>INDEX(_RPT_CARDS!$H$2:$H$24,MATCH(E13,_RPT_CARDS!$B$2:$B$24,0))</f>
        <v/>
      </c>
      <c r="J13" s="193" t="str">
        <f>INDEX(_RPT_CARDS!$Q$2:$Q$24,MATCH(E13,_RPT_CARDS!$B$2:$B$24,0))</f>
        <v>2.35</v>
      </c>
      <c r="K13" s="193" t="str">
        <f>INDEX(_RPT_CARDS!$R$2:$R$24,MATCH(E13,_RPT_CARDS!$B$2:$B$24,0))</f>
        <v>NO_DATA</v>
      </c>
      <c r="L13" s="193" t="str">
        <f>INDEX(_RPT_CARDS!$L$2:$L$24,MATCH(E13,_RPT_CARDS!$B$2:$B$24,0))</f>
        <v>N/A</v>
      </c>
      <c r="M13" s="193" t="str">
        <f>TRIM("YTD: "&amp;INDEX(_RPT_CARDS!$N$2:$N$24,MATCH(E13,_RPT_CARDS!$B$2:$B$24,0))&amp;". "&amp;INDEX(_RPT_CARDS!$U$2:$U$24,MATCH(E13,_RPT_CARDS!$B$2:$B$24,0)))</f>
        <v>YTD: n/a. No data.</v>
      </c>
      <c r="N13">
        <v>12</v>
      </c>
      <c r="O13" s="193" t="str">
        <f t="shared" si="0"/>
        <v>Compressor Plant</v>
      </c>
      <c r="P13" s="249">
        <f t="shared" si="1"/>
        <v>46296</v>
      </c>
      <c r="Q13" s="193" t="str">
        <f>IF($D13="KPI_CARD",IFERROR(IF(INDEX(_RPT_CARDS!$V$2:$V$24,MATCH($E13,_RPT_CARDS!$B$2:$B$24,0))="","",INDEX(_RPT_CARDS!$V$2:$V$24,MATCH($E13,_RPT_CARDS!$B$2:$B$24,0))),""),"")</f>
        <v>casos / 10^6 HH</v>
      </c>
      <c r="R13" s="193">
        <f>IF($D13="KPI_CARD",IFERROR(IF(INDEX(_RPT_CARDS!$P$2:$P$24,MATCH($E13,_RPT_CARDS!$B$2:$B$24,0))="","",INDEX(_RPT_CARDS!$P$2:$P$24,MATCH($E13,_RPT_CARDS!$B$2:$B$24,0))),""),"")</f>
        <v>2.35</v>
      </c>
      <c r="S13" s="193" t="str">
        <f>IF($D13="KPI_CARD",IFERROR(IF(INDEX(_RPT_CARDS!$Z$2:$Z$24,MATCH($E13,_RPT_CARDS!$B$2:$B$24,0))="","",INDEX(_RPT_CARDS!$Z$2:$Z$24,MATCH($E13,_RPT_CARDS!$B$2:$B$24,0))),""),"")</f>
        <v>≤</v>
      </c>
      <c r="T13" s="193" t="str">
        <f>IF($D13="KPI_CARD",IFERROR(IF(INDEX(_RPT_CARDS!$M$2:$M$24,MATCH($E13,_RPT_CARDS!$B$2:$B$24,0))="","",INDEX(_RPT_CARDS!$M$2:$M$24,MATCH($E13,_RPT_CARDS!$B$2:$B$24,0))),""),"")</f>
        <v/>
      </c>
      <c r="U13" s="193" t="str">
        <f>IF($D13="KPI_CARD",IFERROR(IF(INDEX(_RPT_CARDS!$N$2:$N$24,MATCH($E13,_RPT_CARDS!$B$2:$B$24,0))="","",INDEX(_RPT_CARDS!$N$2:$N$24,MATCH($E13,_RPT_CARDS!$B$2:$B$24,0))),""),"")</f>
        <v>n/a</v>
      </c>
      <c r="V13" s="193" t="str">
        <f>IF($D13="KPI_CARD",IFERROR(IF(INDEX(_RPT_CARDS!$O$2:$O$24,MATCH($E13,_RPT_CARDS!$B$2:$B$24,0))="","",INDEX(_RPT_CARDS!$O$2:$O$24,MATCH($E13,_RPT_CARDS!$B$2:$B$24,0))),""),"")</f>
        <v/>
      </c>
      <c r="W13" s="193" t="str">
        <f>IF($D13="KPI_CARD",IFERROR(IF(INDEX(_RPT_CARDS!$T$2:$T$24,MATCH($E13,_RPT_CARDS!$B$2:$B$24,0))="","",INDEX(_RPT_CARDS!$T$2:$T$24,MATCH($E13,_RPT_CARDS!$B$2:$B$24,0))),""),"")</f>
        <v>MISSING</v>
      </c>
      <c r="X13" s="193" t="str">
        <f ca="1">IF(LEFT(Control!$C$10,4)="ROJO","RED",IF(LEFT(Control!$C$10,8)="AMARILLO","AMBER","GREEN"))</f>
        <v>RED</v>
      </c>
      <c r="Y13" s="193">
        <f>IF(D13&lt;&gt;"KPI_CARD",0,IFERROR(IF(ISNUMBER(I13)&lt;&gt;ISNUMBER(INDEX(_RPT_CARDS!$H$2:$H$24,MATCH(E13,_RPT_CARDS!$B$2:$B$24,0))),1,IF(ISNUMBER(I13),--(I13&lt;&gt;INDEX(_RPT_CARDS!$H$2:$H$24,MATCH(E13,_RPT_CARDS!$B$2:$B$24,0))),0)),1))</f>
        <v>0</v>
      </c>
      <c r="Z13" s="193">
        <f>IF(D13&lt;&gt;"KPI_CARD",0,IFERROR(IF(ISNUMBER(T13)&lt;&gt;ISNUMBER(INDEX(_RPT_CARDS!$M$2:$M$24,MATCH(E13,_RPT_CARDS!$B$2:$B$24,0))),1,IF(ISNUMBER(T13),--(T13&lt;&gt;INDEX(_RPT_CARDS!$M$2:$M$24,MATCH(E13,_RPT_CARDS!$B$2:$B$24,0))),0)),1))</f>
        <v>0</v>
      </c>
    </row>
    <row r="14" spans="1:24" ht="13.5" customHeight="1" x14ac:dyDescent="0.3">
      <c r="A14">
        <v>2</v>
      </c>
      <c r="B14" t="s">
        <v>1216</v>
      </c>
      <c r="C14" t="s">
        <v>1218</v>
      </c>
      <c r="D14" t="s">
        <v>1209</v>
      </c>
      <c r="E14" t="s">
        <v>39</v>
      </c>
      <c r="F14" s="193" t="str">
        <f>INDEX(_RPT_CARDS!$D$2:$D$24,MATCH(E14,_RPT_CARDS!$B$2:$B$24,0))</f>
        <v>Lost-time injury frequency</v>
      </c>
      <c r="G14" s="193" t="str">
        <f>INDEX(_RPT_CARDS!$E$2:$E$24,MATCH(E14,_RPT_CARDS!$B$2:$B$24,0))</f>
        <v>Frecuencia de casos con días perdidos</v>
      </c>
      <c r="H14" s="193" t="str">
        <f>INDEX(_RPT_CARDS!$I$2:$I$24,MATCH(E14,_RPT_CARDS!$B$2:$B$24,0))</f>
        <v>n/a</v>
      </c>
      <c r="I14" s="193" t="str">
        <f>INDEX(_RPT_CARDS!$H$2:$H$24,MATCH(E14,_RPT_CARDS!$B$2:$B$24,0))</f>
        <v/>
      </c>
      <c r="J14" s="193" t="str">
        <f>INDEX(_RPT_CARDS!$Q$2:$Q$24,MATCH(E14,_RPT_CARDS!$B$2:$B$24,0))</f>
        <v>0.00</v>
      </c>
      <c r="K14" s="193" t="str">
        <f>INDEX(_RPT_CARDS!$R$2:$R$24,MATCH(E14,_RPT_CARDS!$B$2:$B$24,0))</f>
        <v>NO_DATA</v>
      </c>
      <c r="L14" s="193" t="str">
        <f>INDEX(_RPT_CARDS!$L$2:$L$24,MATCH(E14,_RPT_CARDS!$B$2:$B$24,0))</f>
        <v>N/A</v>
      </c>
      <c r="M14" s="193" t="str">
        <f>TRIM("YTD: "&amp;INDEX(_RPT_CARDS!$N$2:$N$24,MATCH(E14,_RPT_CARDS!$B$2:$B$24,0))&amp;". "&amp;INDEX(_RPT_CARDS!$U$2:$U$24,MATCH(E14,_RPT_CARDS!$B$2:$B$24,0)))</f>
        <v>YTD: n/a. No data.</v>
      </c>
      <c r="N14">
        <v>13</v>
      </c>
      <c r="O14" s="193" t="str">
        <f t="shared" si="0"/>
        <v>Compressor Plant</v>
      </c>
      <c r="P14" s="249">
        <f t="shared" si="1"/>
        <v>46296</v>
      </c>
      <c r="Q14" s="193" t="str">
        <f>IF($D14="KPI_CARD",IFERROR(IF(INDEX(_RPT_CARDS!$V$2:$V$24,MATCH($E14,_RPT_CARDS!$B$2:$B$24,0))="","",INDEX(_RPT_CARDS!$V$2:$V$24,MATCH($E14,_RPT_CARDS!$B$2:$B$24,0))),""),"")</f>
        <v>casos / 10^6 HH</v>
      </c>
      <c r="R14" s="193">
        <f>IF($D14="KPI_CARD",IFERROR(IF(INDEX(_RPT_CARDS!$P$2:$P$24,MATCH($E14,_RPT_CARDS!$B$2:$B$24,0))="","",INDEX(_RPT_CARDS!$P$2:$P$24,MATCH($E14,_RPT_CARDS!$B$2:$B$24,0))),""),"")</f>
        <v>0</v>
      </c>
      <c r="S14" s="193" t="str">
        <f>IF($D14="KPI_CARD",IFERROR(IF(INDEX(_RPT_CARDS!$Z$2:$Z$24,MATCH($E14,_RPT_CARDS!$B$2:$B$24,0))="","",INDEX(_RPT_CARDS!$Z$2:$Z$24,MATCH($E14,_RPT_CARDS!$B$2:$B$24,0))),""),"")</f>
        <v>≤</v>
      </c>
      <c r="T14" s="193" t="str">
        <f>IF($D14="KPI_CARD",IFERROR(IF(INDEX(_RPT_CARDS!$M$2:$M$24,MATCH($E14,_RPT_CARDS!$B$2:$B$24,0))="","",INDEX(_RPT_CARDS!$M$2:$M$24,MATCH($E14,_RPT_CARDS!$B$2:$B$24,0))),""),"")</f>
        <v/>
      </c>
      <c r="U14" s="193" t="str">
        <f>IF($D14="KPI_CARD",IFERROR(IF(INDEX(_RPT_CARDS!$N$2:$N$24,MATCH($E14,_RPT_CARDS!$B$2:$B$24,0))="","",INDEX(_RPT_CARDS!$N$2:$N$24,MATCH($E14,_RPT_CARDS!$B$2:$B$24,0))),""),"")</f>
        <v>n/a</v>
      </c>
      <c r="V14" s="193" t="str">
        <f>IF($D14="KPI_CARD",IFERROR(IF(INDEX(_RPT_CARDS!$O$2:$O$24,MATCH($E14,_RPT_CARDS!$B$2:$B$24,0))="","",INDEX(_RPT_CARDS!$O$2:$O$24,MATCH($E14,_RPT_CARDS!$B$2:$B$24,0))),""),"")</f>
        <v/>
      </c>
      <c r="W14" s="193" t="str">
        <f>IF($D14="KPI_CARD",IFERROR(IF(INDEX(_RPT_CARDS!$T$2:$T$24,MATCH($E14,_RPT_CARDS!$B$2:$B$24,0))="","",INDEX(_RPT_CARDS!$T$2:$T$24,MATCH($E14,_RPT_CARDS!$B$2:$B$24,0))),""),"")</f>
        <v>MISSING</v>
      </c>
      <c r="X14" s="193" t="str">
        <f ca="1">IF(LEFT(Control!$C$10,4)="ROJO","RED",IF(LEFT(Control!$C$10,8)="AMARILLO","AMBER","GREEN"))</f>
        <v>RED</v>
      </c>
      <c r="Y14" s="193">
        <f>IF(D14&lt;&gt;"KPI_CARD",0,IFERROR(IF(ISNUMBER(I14)&lt;&gt;ISNUMBER(INDEX(_RPT_CARDS!$H$2:$H$24,MATCH(E14,_RPT_CARDS!$B$2:$B$24,0))),1,IF(ISNUMBER(I14),--(I14&lt;&gt;INDEX(_RPT_CARDS!$H$2:$H$24,MATCH(E14,_RPT_CARDS!$B$2:$B$24,0))),0)),1))</f>
        <v>0</v>
      </c>
      <c r="Z14" s="193">
        <f>IF(D14&lt;&gt;"KPI_CARD",0,IFERROR(IF(ISNUMBER(T14)&lt;&gt;ISNUMBER(INDEX(_RPT_CARDS!$M$2:$M$24,MATCH(E14,_RPT_CARDS!$B$2:$B$24,0))),1,IF(ISNUMBER(T14),--(T14&lt;&gt;INDEX(_RPT_CARDS!$M$2:$M$24,MATCH(E14,_RPT_CARDS!$B$2:$B$24,0))),0)),1))</f>
        <v>0</v>
      </c>
    </row>
    <row r="15" spans="1:24" ht="13.5" customHeight="1" x14ac:dyDescent="0.3">
      <c r="A15">
        <v>2</v>
      </c>
      <c r="B15" t="s">
        <v>1216</v>
      </c>
      <c r="C15" t="s">
        <v>1219</v>
      </c>
      <c r="D15" t="s">
        <v>1209</v>
      </c>
      <c r="E15" t="s">
        <v>51</v>
      </c>
      <c r="F15" s="193" t="str">
        <f>INDEX(_RPT_CARDS!$D$2:$D$24,MATCH(E15,_RPT_CARDS!$B$2:$B$24,0))</f>
        <v>First aid cases</v>
      </c>
      <c r="G15" s="193" t="str">
        <f>INDEX(_RPT_CARDS!$E$2:$E$24,MATCH(E15,_RPT_CARDS!$B$2:$B$24,0))</f>
        <v>Casos de primeros auxilios</v>
      </c>
      <c r="H15" s="193" t="str">
        <f>INDEX(_RPT_CARDS!$I$2:$I$24,MATCH(E15,_RPT_CARDS!$B$2:$B$24,0))</f>
        <v>n/a</v>
      </c>
      <c r="I15" s="193" t="str">
        <f>INDEX(_RPT_CARDS!$H$2:$H$24,MATCH(E15,_RPT_CARDS!$B$2:$B$24,0))</f>
        <v/>
      </c>
      <c r="J15" s="193" t="str">
        <f>INDEX(_RPT_CARDS!$Q$2:$Q$24,MATCH(E15,_RPT_CARDS!$B$2:$B$24,0))</f>
        <v>Reported only</v>
      </c>
      <c r="K15" s="193" t="str">
        <f>INDEX(_RPT_CARDS!$R$2:$R$24,MATCH(E15,_RPT_CARDS!$B$2:$B$24,0))</f>
        <v>NO_DATA</v>
      </c>
      <c r="L15" s="193" t="str">
        <f>INDEX(_RPT_CARDS!$L$2:$L$24,MATCH(E15,_RPT_CARDS!$B$2:$B$24,0))</f>
        <v>N/A</v>
      </c>
      <c r="M15" s="193" t="str">
        <f>TRIM("YTD: "&amp;INDEX(_RPT_CARDS!$N$2:$N$24,MATCH(E15,_RPT_CARDS!$B$2:$B$24,0))&amp;". "&amp;INDEX(_RPT_CARDS!$U$2:$U$24,MATCH(E15,_RPT_CARDS!$B$2:$B$24,0)))</f>
        <v>YTD: n/a. No data.</v>
      </c>
      <c r="N15">
        <v>14</v>
      </c>
      <c r="O15" s="193" t="str">
        <f t="shared" si="0"/>
        <v>Compressor Plant</v>
      </c>
      <c r="P15" s="249">
        <f t="shared" si="1"/>
        <v>46296</v>
      </c>
      <c r="Q15" s="193" t="str">
        <f>IF($D15="KPI_CARD",IFERROR(IF(INDEX(_RPT_CARDS!$V$2:$V$24,MATCH($E15,_RPT_CARDS!$B$2:$B$24,0))="","",INDEX(_RPT_CARDS!$V$2:$V$24,MATCH($E15,_RPT_CARDS!$B$2:$B$24,0))),""),"")</f>
        <v>casos</v>
      </c>
      <c r="R15" s="193" t="str">
        <f>IF($D15="KPI_CARD",IFERROR(IF(INDEX(_RPT_CARDS!$P$2:$P$24,MATCH($E15,_RPT_CARDS!$B$2:$B$24,0))="","",INDEX(_RPT_CARDS!$P$2:$P$24,MATCH($E15,_RPT_CARDS!$B$2:$B$24,0))),""),"")</f>
        <v/>
      </c>
      <c r="S15" s="193" t="str">
        <f>IF($D15="KPI_CARD",IFERROR(IF(INDEX(_RPT_CARDS!$Z$2:$Z$24,MATCH($E15,_RPT_CARDS!$B$2:$B$24,0))="","",INDEX(_RPT_CARDS!$Z$2:$Z$24,MATCH($E15,_RPT_CARDS!$B$2:$B$24,0))),""),"")</f>
        <v/>
      </c>
      <c r="T15" s="193" t="str">
        <f>IF($D15="KPI_CARD",IFERROR(IF(INDEX(_RPT_CARDS!$M$2:$M$24,MATCH($E15,_RPT_CARDS!$B$2:$B$24,0))="","",INDEX(_RPT_CARDS!$M$2:$M$24,MATCH($E15,_RPT_CARDS!$B$2:$B$24,0))),""),"")</f>
        <v/>
      </c>
      <c r="U15" s="193" t="str">
        <f>IF($D15="KPI_CARD",IFERROR(IF(INDEX(_RPT_CARDS!$N$2:$N$24,MATCH($E15,_RPT_CARDS!$B$2:$B$24,0))="","",INDEX(_RPT_CARDS!$N$2:$N$24,MATCH($E15,_RPT_CARDS!$B$2:$B$24,0))),""),"")</f>
        <v>n/a</v>
      </c>
      <c r="V15" s="193" t="str">
        <f>IF($D15="KPI_CARD",IFERROR(IF(INDEX(_RPT_CARDS!$O$2:$O$24,MATCH($E15,_RPT_CARDS!$B$2:$B$24,0))="","",INDEX(_RPT_CARDS!$O$2:$O$24,MATCH($E15,_RPT_CARDS!$B$2:$B$24,0))),""),"")</f>
        <v/>
      </c>
      <c r="W15" s="193" t="str">
        <f>IF($D15="KPI_CARD",IFERROR(IF(INDEX(_RPT_CARDS!$T$2:$T$24,MATCH($E15,_RPT_CARDS!$B$2:$B$24,0))="","",INDEX(_RPT_CARDS!$T$2:$T$24,MATCH($E15,_RPT_CARDS!$B$2:$B$24,0))),""),"")</f>
        <v>MISSING</v>
      </c>
      <c r="X15" s="193" t="str">
        <f ca="1">IF(LEFT(Control!$C$10,4)="ROJO","RED",IF(LEFT(Control!$C$10,8)="AMARILLO","AMBER","GREEN"))</f>
        <v>RED</v>
      </c>
      <c r="Y15" s="193">
        <f>IF(D15&lt;&gt;"KPI_CARD",0,IFERROR(IF(ISNUMBER(I15)&lt;&gt;ISNUMBER(INDEX(_RPT_CARDS!$H$2:$H$24,MATCH(E15,_RPT_CARDS!$B$2:$B$24,0))),1,IF(ISNUMBER(I15),--(I15&lt;&gt;INDEX(_RPT_CARDS!$H$2:$H$24,MATCH(E15,_RPT_CARDS!$B$2:$B$24,0))),0)),1))</f>
        <v>0</v>
      </c>
      <c r="Z15" s="193">
        <f>IF(D15&lt;&gt;"KPI_CARD",0,IFERROR(IF(ISNUMBER(T15)&lt;&gt;ISNUMBER(INDEX(_RPT_CARDS!$M$2:$M$24,MATCH(E15,_RPT_CARDS!$B$2:$B$24,0))),1,IF(ISNUMBER(T15),--(T15&lt;&gt;INDEX(_RPT_CARDS!$M$2:$M$24,MATCH(E15,_RPT_CARDS!$B$2:$B$24,0))),0)),1))</f>
        <v>0</v>
      </c>
    </row>
    <row r="16" spans="1:24" ht="13.5" customHeight="1" x14ac:dyDescent="0.3">
      <c r="A16">
        <v>2</v>
      </c>
      <c r="B16" t="s">
        <v>1216</v>
      </c>
      <c r="C16" t="s">
        <v>1220</v>
      </c>
      <c r="D16" t="s">
        <v>1209</v>
      </c>
      <c r="E16" t="s">
        <v>71</v>
      </c>
      <c r="F16" s="193" t="str">
        <f>INDEX(_RPT_CARDS!$D$2:$D$24,MATCH(E16,_RPT_CARDS!$B$2:$B$24,0))</f>
        <v>Incident investigation closure time</v>
      </c>
      <c r="G16" s="193" t="str">
        <f>INDEX(_RPT_CARDS!$E$2:$E$24,MATCH(E16,_RPT_CARDS!$B$2:$B$24,0))</f>
        <v>Días promedio de cierre de investigaciones</v>
      </c>
      <c r="H16" s="193" t="str">
        <f>INDEX(_RPT_CARDS!$I$2:$I$24,MATCH(E16,_RPT_CARDS!$B$2:$B$24,0))</f>
        <v>n/a</v>
      </c>
      <c r="I16" s="193" t="str">
        <f>INDEX(_RPT_CARDS!$H$2:$H$24,MATCH(E16,_RPT_CARDS!$B$2:$B$24,0))</f>
        <v/>
      </c>
      <c r="J16" s="193" t="str">
        <f>INDEX(_RPT_CARDS!$Q$2:$Q$24,MATCH(E16,_RPT_CARDS!$B$2:$B$24,0))</f>
        <v>20.0</v>
      </c>
      <c r="K16" s="193" t="str">
        <f>INDEX(_RPT_CARDS!$R$2:$R$24,MATCH(E16,_RPT_CARDS!$B$2:$B$24,0))</f>
        <v>NO_DATA</v>
      </c>
      <c r="L16" s="193" t="str">
        <f>INDEX(_RPT_CARDS!$L$2:$L$24,MATCH(E16,_RPT_CARDS!$B$2:$B$24,0))</f>
        <v>N/A</v>
      </c>
      <c r="M16" s="193" t="str">
        <f>TRIM("YTD: "&amp;INDEX(_RPT_CARDS!$N$2:$N$24,MATCH(E16,_RPT_CARDS!$B$2:$B$24,0))&amp;". "&amp;INDEX(_RPT_CARDS!$U$2:$U$24,MATCH(E16,_RPT_CARDS!$B$2:$B$24,0)))</f>
        <v>YTD: n/a. No data.</v>
      </c>
      <c r="N16">
        <v>15</v>
      </c>
      <c r="O16" s="193" t="str">
        <f t="shared" si="0"/>
        <v>Compressor Plant</v>
      </c>
      <c r="P16" s="249">
        <f t="shared" si="1"/>
        <v>46296</v>
      </c>
      <c r="Q16" s="193" t="str">
        <f>IF($D16="KPI_CARD",IFERROR(IF(INDEX(_RPT_CARDS!$V$2:$V$24,MATCH($E16,_RPT_CARDS!$B$2:$B$24,0))="","",INDEX(_RPT_CARDS!$V$2:$V$24,MATCH($E16,_RPT_CARDS!$B$2:$B$24,0))),""),"")</f>
        <v>días</v>
      </c>
      <c r="R16" s="193">
        <f>IF($D16="KPI_CARD",IFERROR(IF(INDEX(_RPT_CARDS!$P$2:$P$24,MATCH($E16,_RPT_CARDS!$B$2:$B$24,0))="","",INDEX(_RPT_CARDS!$P$2:$P$24,MATCH($E16,_RPT_CARDS!$B$2:$B$24,0))),""),"")</f>
        <v>20</v>
      </c>
      <c r="S16" s="193" t="str">
        <f>IF($D16="KPI_CARD",IFERROR(IF(INDEX(_RPT_CARDS!$Z$2:$Z$24,MATCH($E16,_RPT_CARDS!$B$2:$B$24,0))="","",INDEX(_RPT_CARDS!$Z$2:$Z$24,MATCH($E16,_RPT_CARDS!$B$2:$B$24,0))),""),"")</f>
        <v>≤</v>
      </c>
      <c r="T16" s="193" t="str">
        <f>IF($D16="KPI_CARD",IFERROR(IF(INDEX(_RPT_CARDS!$M$2:$M$24,MATCH($E16,_RPT_CARDS!$B$2:$B$24,0))="","",INDEX(_RPT_CARDS!$M$2:$M$24,MATCH($E16,_RPT_CARDS!$B$2:$B$24,0))),""),"")</f>
        <v/>
      </c>
      <c r="U16" s="193" t="str">
        <f>IF($D16="KPI_CARD",IFERROR(IF(INDEX(_RPT_CARDS!$N$2:$N$24,MATCH($E16,_RPT_CARDS!$B$2:$B$24,0))="","",INDEX(_RPT_CARDS!$N$2:$N$24,MATCH($E16,_RPT_CARDS!$B$2:$B$24,0))),""),"")</f>
        <v>n/a</v>
      </c>
      <c r="V16" s="193" t="str">
        <f>IF($D16="KPI_CARD",IFERROR(IF(INDEX(_RPT_CARDS!$O$2:$O$24,MATCH($E16,_RPT_CARDS!$B$2:$B$24,0))="","",INDEX(_RPT_CARDS!$O$2:$O$24,MATCH($E16,_RPT_CARDS!$B$2:$B$24,0))),""),"")</f>
        <v/>
      </c>
      <c r="W16" s="193" t="str">
        <f>IF($D16="KPI_CARD",IFERROR(IF(INDEX(_RPT_CARDS!$T$2:$T$24,MATCH($E16,_RPT_CARDS!$B$2:$B$24,0))="","",INDEX(_RPT_CARDS!$T$2:$T$24,MATCH($E16,_RPT_CARDS!$B$2:$B$24,0))),""),"")</f>
        <v>MISSING</v>
      </c>
      <c r="X16" s="193" t="str">
        <f ca="1">IF(LEFT(Control!$C$10,4)="ROJO","RED",IF(LEFT(Control!$C$10,8)="AMARILLO","AMBER","GREEN"))</f>
        <v>RED</v>
      </c>
      <c r="Y16" s="193">
        <f>IF(D16&lt;&gt;"KPI_CARD",0,IFERROR(IF(ISNUMBER(I16)&lt;&gt;ISNUMBER(INDEX(_RPT_CARDS!$H$2:$H$24,MATCH(E16,_RPT_CARDS!$B$2:$B$24,0))),1,IF(ISNUMBER(I16),--(I16&lt;&gt;INDEX(_RPT_CARDS!$H$2:$H$24,MATCH(E16,_RPT_CARDS!$B$2:$B$24,0))),0)),1))</f>
        <v>0</v>
      </c>
      <c r="Z16" s="193">
        <f>IF(D16&lt;&gt;"KPI_CARD",0,IFERROR(IF(ISNUMBER(T16)&lt;&gt;ISNUMBER(INDEX(_RPT_CARDS!$M$2:$M$24,MATCH(E16,_RPT_CARDS!$B$2:$B$24,0))),1,IF(ISNUMBER(T16),--(T16&lt;&gt;INDEX(_RPT_CARDS!$M$2:$M$24,MATCH(E16,_RPT_CARDS!$B$2:$B$24,0))),0)),1))</f>
        <v>0</v>
      </c>
    </row>
    <row r="17" spans="1:24" ht="13.5" customHeight="1" x14ac:dyDescent="0.3">
      <c r="A17">
        <v>2</v>
      </c>
      <c r="B17" t="s">
        <v>1216</v>
      </c>
      <c r="C17" t="s">
        <v>1089</v>
      </c>
      <c r="D17" t="s">
        <v>1215</v>
      </c>
      <c r="E17" t="s">
        <v>1089</v>
      </c>
      <c r="F17" s="193" t="str">
        <f>INDEX(_RPT_SPEC_CHART!$D$2:$D$16,MATCH(E17,_RPT_SPEC_CHART!$A$2:$A$16,0))</f>
        <v>Recordable injury frequency (TRICF): monthly vs YTD</v>
      </c>
      <c r="G17" s="193" t="str">
        <f>INDEX(_RPT_SPEC_CHART!$E$2:$E$16,MATCH(E17,_RPT_SPEC_CHART!$A$2:$A$16,0))</f>
        <v>Is the recordable injury rate under control, and is the trend stable beyond monthly noise?</v>
      </c>
      <c r="H17" s="193" t="str">
        <f>INDEX(_RPT_SPEC_CHART!$N$2:$N$16,MATCH(E17,_RPT_SPEC_CHART!$A$2:$A$16,0))&amp;" of "&amp;INDEX(_RPT_SPEC_CHART!$O$2:$O$16,MATCH(E17,_RPT_SPEC_CHART!$A$2:$A$16,0))&amp;" points"</f>
        <v>4 of 6 points</v>
      </c>
      <c r="I17" s="193">
        <f>INDEX(_RPT_SPEC_CHART!$N$2:$N$16,MATCH(E17,_RPT_SPEC_CHART!$A$2:$A$16,0))</f>
        <v>4</v>
      </c>
      <c r="J17" s="193" t="str">
        <f>INDEX(_RPT_SPEC_CHART!$J$2:$J$16,MATCH(E17,_RPT_SPEC_CHART!$A$2:$A$16,0))</f>
        <v>Yes, only if numeric target exists (_RPT_META!K)</v>
      </c>
      <c r="K17" s="193" t="str">
        <f>INDEX(_RPT_SPEC_CHART!$P$2:$P$16,MATCH(E17,_RPT_SPEC_CHART!$A$2:$A$16,0))</f>
        <v>PARTIAL</v>
      </c>
      <c r="M17" s="193" t="str">
        <f>INDEX(_RPT_SPEC_CHART!$M$2:$M$16,MATCH(E17,_RPT_SPEC_CHART!$A$2:$A$16,0))</f>
        <v>TRICF - Total Recordable Injury Case Frequency (Frecuencia de casos registrables)</v>
      </c>
      <c r="N17">
        <v>16</v>
      </c>
      <c r="O17" s="193" t="str">
        <f t="shared" si="0"/>
        <v>Compressor Plant</v>
      </c>
      <c r="P17" s="249">
        <f t="shared" si="1"/>
        <v>46296</v>
      </c>
      <c r="Q17" s="193" t="str">
        <f>IF($D17="KPI_CARD",IFERROR(IF(INDEX(_RPT_CARDS!$V$2:$V$24,MATCH($E17,_RPT_CARDS!$B$2:$B$24,0))="","",INDEX(_RPT_CARDS!$V$2:$V$24,MATCH($E17,_RPT_CARDS!$B$2:$B$24,0))),""),"")</f>
        <v/>
      </c>
      <c r="R17" s="193" t="str">
        <f>IF($D17="KPI_CARD",IFERROR(IF(INDEX(_RPT_CARDS!$P$2:$P$24,MATCH($E17,_RPT_CARDS!$B$2:$B$24,0))="","",INDEX(_RPT_CARDS!$P$2:$P$24,MATCH($E17,_RPT_CARDS!$B$2:$B$24,0))),""),"")</f>
        <v/>
      </c>
      <c r="S17" s="193" t="str">
        <f>IF($D17="KPI_CARD",IFERROR(IF(INDEX(_RPT_CARDS!$Z$2:$Z$24,MATCH($E17,_RPT_CARDS!$B$2:$B$24,0))="","",INDEX(_RPT_CARDS!$Z$2:$Z$24,MATCH($E17,_RPT_CARDS!$B$2:$B$24,0))),""),"")</f>
        <v/>
      </c>
      <c r="T17" s="193" t="str">
        <f>IF($D17="KPI_CARD",IFERROR(IF(INDEX(_RPT_CARDS!$M$2:$M$24,MATCH($E17,_RPT_CARDS!$B$2:$B$24,0))="","",INDEX(_RPT_CARDS!$M$2:$M$24,MATCH($E17,_RPT_CARDS!$B$2:$B$24,0))),""),"")</f>
        <v/>
      </c>
      <c r="U17" s="193" t="str">
        <f>IF($D17="KPI_CARD",IFERROR(IF(INDEX(_RPT_CARDS!$N$2:$N$24,MATCH($E17,_RPT_CARDS!$B$2:$B$24,0))="","",INDEX(_RPT_CARDS!$N$2:$N$24,MATCH($E17,_RPT_CARDS!$B$2:$B$24,0))),""),"")</f>
        <v/>
      </c>
      <c r="V17" s="193" t="str">
        <f>IF($D17="KPI_CARD",IFERROR(IF(INDEX(_RPT_CARDS!$O$2:$O$24,MATCH($E17,_RPT_CARDS!$B$2:$B$24,0))="","",INDEX(_RPT_CARDS!$O$2:$O$24,MATCH($E17,_RPT_CARDS!$B$2:$B$24,0))),""),"")</f>
        <v/>
      </c>
      <c r="W17" s="193" t="str">
        <f>IF($D17="KPI_CARD",IFERROR(IF(INDEX(_RPT_CARDS!$T$2:$T$24,MATCH($E17,_RPT_CARDS!$B$2:$B$24,0))="","",INDEX(_RPT_CARDS!$T$2:$T$24,MATCH($E17,_RPT_CARDS!$B$2:$B$24,0))),""),"")</f>
        <v/>
      </c>
      <c r="X17" s="193" t="str">
        <f ca="1">IF(LEFT(Control!$C$10,4)="ROJO","RED",IF(LEFT(Control!$C$10,8)="AMARILLO","AMBER","GREEN"))</f>
        <v>RED</v>
      </c>
      <c r="Y17" s="193">
        <f>IF(D17&lt;&gt;"KPI_CARD",0,IFERROR(IF(ISNUMBER(I17)&lt;&gt;ISNUMBER(INDEX(_RPT_CARDS!$H$2:$H$24,MATCH(E17,_RPT_CARDS!$B$2:$B$24,0))),1,IF(ISNUMBER(I17),--(I17&lt;&gt;INDEX(_RPT_CARDS!$H$2:$H$24,MATCH(E17,_RPT_CARDS!$B$2:$B$24,0))),0)),1))</f>
        <v>0</v>
      </c>
      <c r="Z17" s="193">
        <f>IF(D17&lt;&gt;"KPI_CARD",0,IFERROR(IF(ISNUMBER(T17)&lt;&gt;ISNUMBER(INDEX(_RPT_CARDS!$M$2:$M$24,MATCH(E17,_RPT_CARDS!$B$2:$B$24,0))),1,IF(ISNUMBER(T17),--(T17&lt;&gt;INDEX(_RPT_CARDS!$M$2:$M$24,MATCH(E17,_RPT_CARDS!$B$2:$B$24,0))),0)),1))</f>
        <v>0</v>
      </c>
    </row>
    <row r="18" spans="1:24" ht="13.5" customHeight="1" x14ac:dyDescent="0.3">
      <c r="A18">
        <v>2</v>
      </c>
      <c r="B18" t="s">
        <v>1216</v>
      </c>
      <c r="C18" t="s">
        <v>1096</v>
      </c>
      <c r="D18" t="s">
        <v>1215</v>
      </c>
      <c r="E18" t="s">
        <v>1096</v>
      </c>
      <c r="F18" s="193" t="str">
        <f>INDEX(_RPT_SPEC_CHART!$D$2:$D$16,MATCH(E18,_RPT_SPEC_CHART!$A$2:$A$16,0))</f>
        <v>Lost-time injury frequency (DAFWCF): monthly vs YTD</v>
      </c>
      <c r="G18" s="193" t="str">
        <f>INDEX(_RPT_SPEC_CHART!$E$2:$E$16,MATCH(E18,_RPT_SPEC_CHART!$A$2:$A$16,0))</f>
        <v>Are lost-time injuries occurring, and at what rate against exposure?</v>
      </c>
      <c r="H18" s="193" t="str">
        <f>INDEX(_RPT_SPEC_CHART!$N$2:$N$16,MATCH(E18,_RPT_SPEC_CHART!$A$2:$A$16,0))&amp;" of "&amp;INDEX(_RPT_SPEC_CHART!$O$2:$O$16,MATCH(E18,_RPT_SPEC_CHART!$A$2:$A$16,0))&amp;" points"</f>
        <v>4 of 6 points</v>
      </c>
      <c r="I18" s="193">
        <f>INDEX(_RPT_SPEC_CHART!$N$2:$N$16,MATCH(E18,_RPT_SPEC_CHART!$A$2:$A$16,0))</f>
        <v>4</v>
      </c>
      <c r="J18" s="193" t="str">
        <f>INDEX(_RPT_SPEC_CHART!$J$2:$J$16,MATCH(E18,_RPT_SPEC_CHART!$A$2:$A$16,0))</f>
        <v>Yes, only if numeric target exists</v>
      </c>
      <c r="K18" s="193" t="str">
        <f>INDEX(_RPT_SPEC_CHART!$P$2:$P$16,MATCH(E18,_RPT_SPEC_CHART!$A$2:$A$16,0))</f>
        <v>PARTIAL</v>
      </c>
      <c r="M18" s="193" t="str">
        <f>INDEX(_RPT_SPEC_CHART!$M$2:$M$16,MATCH(E18,_RPT_SPEC_CHART!$A$2:$A$16,0))</f>
        <v>DAFWCF - Days Away From Work Case Frequency (Frecuencia de casos con días perdidos)</v>
      </c>
      <c r="N18">
        <v>17</v>
      </c>
      <c r="O18" s="193" t="str">
        <f t="shared" si="0"/>
        <v>Compressor Plant</v>
      </c>
      <c r="P18" s="249">
        <f t="shared" si="1"/>
        <v>46296</v>
      </c>
      <c r="Q18" s="193" t="str">
        <f>IF($D18="KPI_CARD",IFERROR(IF(INDEX(_RPT_CARDS!$V$2:$V$24,MATCH($E18,_RPT_CARDS!$B$2:$B$24,0))="","",INDEX(_RPT_CARDS!$V$2:$V$24,MATCH($E18,_RPT_CARDS!$B$2:$B$24,0))),""),"")</f>
        <v/>
      </c>
      <c r="R18" s="193" t="str">
        <f>IF($D18="KPI_CARD",IFERROR(IF(INDEX(_RPT_CARDS!$P$2:$P$24,MATCH($E18,_RPT_CARDS!$B$2:$B$24,0))="","",INDEX(_RPT_CARDS!$P$2:$P$24,MATCH($E18,_RPT_CARDS!$B$2:$B$24,0))),""),"")</f>
        <v/>
      </c>
      <c r="S18" s="193" t="str">
        <f>IF($D18="KPI_CARD",IFERROR(IF(INDEX(_RPT_CARDS!$Z$2:$Z$24,MATCH($E18,_RPT_CARDS!$B$2:$B$24,0))="","",INDEX(_RPT_CARDS!$Z$2:$Z$24,MATCH($E18,_RPT_CARDS!$B$2:$B$24,0))),""),"")</f>
        <v/>
      </c>
      <c r="T18" s="193" t="str">
        <f>IF($D18="KPI_CARD",IFERROR(IF(INDEX(_RPT_CARDS!$M$2:$M$24,MATCH($E18,_RPT_CARDS!$B$2:$B$24,0))="","",INDEX(_RPT_CARDS!$M$2:$M$24,MATCH($E18,_RPT_CARDS!$B$2:$B$24,0))),""),"")</f>
        <v/>
      </c>
      <c r="U18" s="193" t="str">
        <f>IF($D18="KPI_CARD",IFERROR(IF(INDEX(_RPT_CARDS!$N$2:$N$24,MATCH($E18,_RPT_CARDS!$B$2:$B$24,0))="","",INDEX(_RPT_CARDS!$N$2:$N$24,MATCH($E18,_RPT_CARDS!$B$2:$B$24,0))),""),"")</f>
        <v/>
      </c>
      <c r="V18" s="193" t="str">
        <f>IF($D18="KPI_CARD",IFERROR(IF(INDEX(_RPT_CARDS!$O$2:$O$24,MATCH($E18,_RPT_CARDS!$B$2:$B$24,0))="","",INDEX(_RPT_CARDS!$O$2:$O$24,MATCH($E18,_RPT_CARDS!$B$2:$B$24,0))),""),"")</f>
        <v/>
      </c>
      <c r="W18" s="193" t="str">
        <f>IF($D18="KPI_CARD",IFERROR(IF(INDEX(_RPT_CARDS!$T$2:$T$24,MATCH($E18,_RPT_CARDS!$B$2:$B$24,0))="","",INDEX(_RPT_CARDS!$T$2:$T$24,MATCH($E18,_RPT_CARDS!$B$2:$B$24,0))),""),"")</f>
        <v/>
      </c>
      <c r="X18" s="193" t="str">
        <f ca="1">IF(LEFT(Control!$C$10,4)="ROJO","RED",IF(LEFT(Control!$C$10,8)="AMARILLO","AMBER","GREEN"))</f>
        <v>RED</v>
      </c>
      <c r="Y18" s="193">
        <f>IF(D18&lt;&gt;"KPI_CARD",0,IFERROR(IF(ISNUMBER(I18)&lt;&gt;ISNUMBER(INDEX(_RPT_CARDS!$H$2:$H$24,MATCH(E18,_RPT_CARDS!$B$2:$B$24,0))),1,IF(ISNUMBER(I18),--(I18&lt;&gt;INDEX(_RPT_CARDS!$H$2:$H$24,MATCH(E18,_RPT_CARDS!$B$2:$B$24,0))),0)),1))</f>
        <v>0</v>
      </c>
      <c r="Z18" s="193">
        <f>IF(D18&lt;&gt;"KPI_CARD",0,IFERROR(IF(ISNUMBER(T18)&lt;&gt;ISNUMBER(INDEX(_RPT_CARDS!$M$2:$M$24,MATCH(E18,_RPT_CARDS!$B$2:$B$24,0))),1,IF(ISNUMBER(T18),--(T18&lt;&gt;INDEX(_RPT_CARDS!$M$2:$M$24,MATCH(E18,_RPT_CARDS!$B$2:$B$24,0))),0)),1))</f>
        <v>0</v>
      </c>
    </row>
    <row r="19" spans="1:24" ht="13.5" customHeight="1" x14ac:dyDescent="0.3">
      <c r="A19">
        <v>2</v>
      </c>
      <c r="B19" t="s">
        <v>1216</v>
      </c>
      <c r="C19" t="s">
        <v>1101</v>
      </c>
      <c r="D19" t="s">
        <v>1215</v>
      </c>
      <c r="E19" t="s">
        <v>1101</v>
      </c>
      <c r="F19" s="193" t="str">
        <f>INDEX(_RPT_SPEC_CHART!$D$2:$D$16,MATCH(E19,_RPT_SPEC_CHART!$A$2:$A$16,0))</f>
        <v>Injury cases by classification</v>
      </c>
      <c r="G19" s="193" t="str">
        <f>INDEX(_RPT_SPEC_CHART!$E$2:$E$16,MATCH(E19,_RPT_SPEC_CHART!$A$2:$A$16,0))</f>
        <v>What is the severity mix of injuries this period?</v>
      </c>
      <c r="H19" s="193" t="str">
        <f>INDEX(_RPT_SPEC_CHART!$N$2:$N$16,MATCH(E19,_RPT_SPEC_CHART!$A$2:$A$16,0))&amp;" of "&amp;INDEX(_RPT_SPEC_CHART!$O$2:$O$16,MATCH(E19,_RPT_SPEC_CHART!$A$2:$A$16,0))&amp;" points"</f>
        <v>10 of 15 points</v>
      </c>
      <c r="I19" s="193">
        <f>INDEX(_RPT_SPEC_CHART!$N$2:$N$16,MATCH(E19,_RPT_SPEC_CHART!$A$2:$A$16,0))</f>
        <v>10</v>
      </c>
      <c r="J19" s="193" t="str">
        <f>INDEX(_RPT_SPEC_CHART!$J$2:$J$16,MATCH(E19,_RPT_SPEC_CHART!$A$2:$A$16,0))</f>
        <v>No</v>
      </c>
      <c r="K19" s="193" t="str">
        <f>INDEX(_RPT_SPEC_CHART!$P$2:$P$16,MATCH(E19,_RPT_SPEC_CHART!$A$2:$A$16,0))</f>
        <v>PARTIAL</v>
      </c>
      <c r="M19" s="193" t="str">
        <f>INDEX(_RPT_SPEC_CHART!$M$2:$M$16,MATCH(E19,_RPT_SPEC_CHART!$A$2:$A$16,0))</f>
        <v>DAFWC - Days Away From Work Case (Caso con días perdidos); RWC - Restricted Work Case (Trabajo restringido); MTC - Medical Treatment Case (Tratamiento médico)</v>
      </c>
      <c r="N19">
        <v>18</v>
      </c>
      <c r="O19" s="193" t="str">
        <f t="shared" si="0"/>
        <v>Compressor Plant</v>
      </c>
      <c r="P19" s="249">
        <f t="shared" si="1"/>
        <v>46296</v>
      </c>
      <c r="Q19" s="193" t="str">
        <f>IF($D19="KPI_CARD",IFERROR(IF(INDEX(_RPT_CARDS!$V$2:$V$24,MATCH($E19,_RPT_CARDS!$B$2:$B$24,0))="","",INDEX(_RPT_CARDS!$V$2:$V$24,MATCH($E19,_RPT_CARDS!$B$2:$B$24,0))),""),"")</f>
        <v/>
      </c>
      <c r="R19" s="193" t="str">
        <f>IF($D19="KPI_CARD",IFERROR(IF(INDEX(_RPT_CARDS!$P$2:$P$24,MATCH($E19,_RPT_CARDS!$B$2:$B$24,0))="","",INDEX(_RPT_CARDS!$P$2:$P$24,MATCH($E19,_RPT_CARDS!$B$2:$B$24,0))),""),"")</f>
        <v/>
      </c>
      <c r="S19" s="193" t="str">
        <f>IF($D19="KPI_CARD",IFERROR(IF(INDEX(_RPT_CARDS!$Z$2:$Z$24,MATCH($E19,_RPT_CARDS!$B$2:$B$24,0))="","",INDEX(_RPT_CARDS!$Z$2:$Z$24,MATCH($E19,_RPT_CARDS!$B$2:$B$24,0))),""),"")</f>
        <v/>
      </c>
      <c r="T19" s="193" t="str">
        <f>IF($D19="KPI_CARD",IFERROR(IF(INDEX(_RPT_CARDS!$M$2:$M$24,MATCH($E19,_RPT_CARDS!$B$2:$B$24,0))="","",INDEX(_RPT_CARDS!$M$2:$M$24,MATCH($E19,_RPT_CARDS!$B$2:$B$24,0))),""),"")</f>
        <v/>
      </c>
      <c r="U19" s="193" t="str">
        <f>IF($D19="KPI_CARD",IFERROR(IF(INDEX(_RPT_CARDS!$N$2:$N$24,MATCH($E19,_RPT_CARDS!$B$2:$B$24,0))="","",INDEX(_RPT_CARDS!$N$2:$N$24,MATCH($E19,_RPT_CARDS!$B$2:$B$24,0))),""),"")</f>
        <v/>
      </c>
      <c r="V19" s="193" t="str">
        <f>IF($D19="KPI_CARD",IFERROR(IF(INDEX(_RPT_CARDS!$O$2:$O$24,MATCH($E19,_RPT_CARDS!$B$2:$B$24,0))="","",INDEX(_RPT_CARDS!$O$2:$O$24,MATCH($E19,_RPT_CARDS!$B$2:$B$24,0))),""),"")</f>
        <v/>
      </c>
      <c r="W19" s="193" t="str">
        <f>IF($D19="KPI_CARD",IFERROR(IF(INDEX(_RPT_CARDS!$T$2:$T$24,MATCH($E19,_RPT_CARDS!$B$2:$B$24,0))="","",INDEX(_RPT_CARDS!$T$2:$T$24,MATCH($E19,_RPT_CARDS!$B$2:$B$24,0))),""),"")</f>
        <v/>
      </c>
      <c r="X19" s="193" t="str">
        <f ca="1">IF(LEFT(Control!$C$10,4)="ROJO","RED",IF(LEFT(Control!$C$10,8)="AMARILLO","AMBER","GREEN"))</f>
        <v>RED</v>
      </c>
      <c r="Y19" s="193">
        <f>IF(D19&lt;&gt;"KPI_CARD",0,IFERROR(IF(ISNUMBER(I19)&lt;&gt;ISNUMBER(INDEX(_RPT_CARDS!$H$2:$H$24,MATCH(E19,_RPT_CARDS!$B$2:$B$24,0))),1,IF(ISNUMBER(I19),--(I19&lt;&gt;INDEX(_RPT_CARDS!$H$2:$H$24,MATCH(E19,_RPT_CARDS!$B$2:$B$24,0))),0)),1))</f>
        <v>0</v>
      </c>
      <c r="Z19" s="193">
        <f>IF(D19&lt;&gt;"KPI_CARD",0,IFERROR(IF(ISNUMBER(T19)&lt;&gt;ISNUMBER(INDEX(_RPT_CARDS!$M$2:$M$24,MATCH(E19,_RPT_CARDS!$B$2:$B$24,0))),1,IF(ISNUMBER(T19),--(T19&lt;&gt;INDEX(_RPT_CARDS!$M$2:$M$24,MATCH(E19,_RPT_CARDS!$B$2:$B$24,0))),0)),1))</f>
        <v>0</v>
      </c>
    </row>
    <row r="20" spans="1:24" ht="13.5" customHeight="1" x14ac:dyDescent="0.3">
      <c r="A20">
        <v>3</v>
      </c>
      <c r="B20" t="s">
        <v>1221</v>
      </c>
      <c r="C20" t="s">
        <v>1222</v>
      </c>
      <c r="D20" t="s">
        <v>1209</v>
      </c>
      <c r="E20" t="s">
        <v>61</v>
      </c>
      <c r="F20" s="193" t="str">
        <f>INDEX(_RPT_CARDS!$D$2:$D$24,MATCH(E20,_RPT_CARDS!$B$2:$B$24,0))</f>
        <v>Total vehicle crash rate</v>
      </c>
      <c r="G20" s="193" t="str">
        <f>INDEX(_RPT_CARDS!$E$2:$E$24,MATCH(E20,_RPT_CARDS!$B$2:$B$24,0))</f>
        <v>Accidentes vehiculares totales por millón de km</v>
      </c>
      <c r="H20" s="193" t="str">
        <f>INDEX(_RPT_CARDS!$I$2:$I$24,MATCH(E20,_RPT_CARDS!$B$2:$B$24,0))</f>
        <v>n/a</v>
      </c>
      <c r="I20" s="193" t="str">
        <f>INDEX(_RPT_CARDS!$H$2:$H$24,MATCH(E20,_RPT_CARDS!$B$2:$B$24,0))</f>
        <v/>
      </c>
      <c r="J20" s="193" t="str">
        <f>INDEX(_RPT_CARDS!$Q$2:$Q$24,MATCH(E20,_RPT_CARDS!$B$2:$B$24,0))</f>
        <v>0.79</v>
      </c>
      <c r="K20" s="193" t="str">
        <f>INDEX(_RPT_CARDS!$R$2:$R$24,MATCH(E20,_RPT_CARDS!$B$2:$B$24,0))</f>
        <v>NO_DATA</v>
      </c>
      <c r="L20" s="193" t="str">
        <f>INDEX(_RPT_CARDS!$L$2:$L$24,MATCH(E20,_RPT_CARDS!$B$2:$B$24,0))</f>
        <v>N/A</v>
      </c>
      <c r="M20" s="193" t="str">
        <f>TRIM("YTD: "&amp;INDEX(_RPT_CARDS!$N$2:$N$24,MATCH(E20,_RPT_CARDS!$B$2:$B$24,0))&amp;". "&amp;INDEX(_RPT_CARDS!$U$2:$U$24,MATCH(E20,_RPT_CARDS!$B$2:$B$24,0)))</f>
        <v>YTD: n/a. No data.</v>
      </c>
      <c r="N20">
        <v>19</v>
      </c>
      <c r="O20" s="193" t="str">
        <f t="shared" si="0"/>
        <v>Compressor Plant</v>
      </c>
      <c r="P20" s="249">
        <f t="shared" si="1"/>
        <v>46296</v>
      </c>
      <c r="Q20" s="193" t="str">
        <f>IF($D20="KPI_CARD",IFERROR(IF(INDEX(_RPT_CARDS!$V$2:$V$24,MATCH($E20,_RPT_CARDS!$B$2:$B$24,0))="","",INDEX(_RPT_CARDS!$V$2:$V$24,MATCH($E20,_RPT_CARDS!$B$2:$B$24,0))),""),"")</f>
        <v>eventos / 10^6 km</v>
      </c>
      <c r="R20" s="193">
        <f>IF($D20="KPI_CARD",IFERROR(IF(INDEX(_RPT_CARDS!$P$2:$P$24,MATCH($E20,_RPT_CARDS!$B$2:$B$24,0))="","",INDEX(_RPT_CARDS!$P$2:$P$24,MATCH($E20,_RPT_CARDS!$B$2:$B$24,0))),""),"")</f>
        <v>0.79</v>
      </c>
      <c r="S20" s="193" t="str">
        <f>IF($D20="KPI_CARD",IFERROR(IF(INDEX(_RPT_CARDS!$Z$2:$Z$24,MATCH($E20,_RPT_CARDS!$B$2:$B$24,0))="","",INDEX(_RPT_CARDS!$Z$2:$Z$24,MATCH($E20,_RPT_CARDS!$B$2:$B$24,0))),""),"")</f>
        <v>≤</v>
      </c>
      <c r="T20" s="193" t="str">
        <f>IF($D20="KPI_CARD",IFERROR(IF(INDEX(_RPT_CARDS!$M$2:$M$24,MATCH($E20,_RPT_CARDS!$B$2:$B$24,0))="","",INDEX(_RPT_CARDS!$M$2:$M$24,MATCH($E20,_RPT_CARDS!$B$2:$B$24,0))),""),"")</f>
        <v/>
      </c>
      <c r="U20" s="193" t="str">
        <f>IF($D20="KPI_CARD",IFERROR(IF(INDEX(_RPT_CARDS!$N$2:$N$24,MATCH($E20,_RPT_CARDS!$B$2:$B$24,0))="","",INDEX(_RPT_CARDS!$N$2:$N$24,MATCH($E20,_RPT_CARDS!$B$2:$B$24,0))),""),"")</f>
        <v>n/a</v>
      </c>
      <c r="V20" s="193" t="str">
        <f>IF($D20="KPI_CARD",IFERROR(IF(INDEX(_RPT_CARDS!$O$2:$O$24,MATCH($E20,_RPT_CARDS!$B$2:$B$24,0))="","",INDEX(_RPT_CARDS!$O$2:$O$24,MATCH($E20,_RPT_CARDS!$B$2:$B$24,0))),""),"")</f>
        <v/>
      </c>
      <c r="W20" s="193" t="str">
        <f>IF($D20="KPI_CARD",IFERROR(IF(INDEX(_RPT_CARDS!$T$2:$T$24,MATCH($E20,_RPT_CARDS!$B$2:$B$24,0))="","",INDEX(_RPT_CARDS!$T$2:$T$24,MATCH($E20,_RPT_CARDS!$B$2:$B$24,0))),""),"")</f>
        <v>MISSING</v>
      </c>
      <c r="X20" s="193" t="str">
        <f ca="1">IF(LEFT(Control!$C$10,4)="ROJO","RED",IF(LEFT(Control!$C$10,8)="AMARILLO","AMBER","GREEN"))</f>
        <v>RED</v>
      </c>
      <c r="Y20" s="193">
        <f>IF(D20&lt;&gt;"KPI_CARD",0,IFERROR(IF(ISNUMBER(I20)&lt;&gt;ISNUMBER(INDEX(_RPT_CARDS!$H$2:$H$24,MATCH(E20,_RPT_CARDS!$B$2:$B$24,0))),1,IF(ISNUMBER(I20),--(I20&lt;&gt;INDEX(_RPT_CARDS!$H$2:$H$24,MATCH(E20,_RPT_CARDS!$B$2:$B$24,0))),0)),1))</f>
        <v>0</v>
      </c>
      <c r="Z20" s="193">
        <f>IF(D20&lt;&gt;"KPI_CARD",0,IFERROR(IF(ISNUMBER(T20)&lt;&gt;ISNUMBER(INDEX(_RPT_CARDS!$M$2:$M$24,MATCH(E20,_RPT_CARDS!$B$2:$B$24,0))),1,IF(ISNUMBER(T20),--(T20&lt;&gt;INDEX(_RPT_CARDS!$M$2:$M$24,MATCH(E20,_RPT_CARDS!$B$2:$B$24,0))),0)),1))</f>
        <v>0</v>
      </c>
    </row>
    <row r="21" spans="1:24" ht="13.5" customHeight="1" x14ac:dyDescent="0.3">
      <c r="A21">
        <v>3</v>
      </c>
      <c r="B21" t="s">
        <v>1221</v>
      </c>
      <c r="C21" t="s">
        <v>1223</v>
      </c>
      <c r="D21" t="s">
        <v>1209</v>
      </c>
      <c r="E21" t="s">
        <v>57</v>
      </c>
      <c r="F21" s="193" t="str">
        <f>INDEX(_RPT_CARDS!$D$2:$D$24,MATCH(E21,_RPT_CARDS!$B$2:$B$24,0))</f>
        <v>Severe vehicle crash rate</v>
      </c>
      <c r="G21" s="193" t="str">
        <f>INDEX(_RPT_CARDS!$E$2:$E$24,MATCH(E21,_RPT_CARDS!$B$2:$B$24,0))</f>
        <v>Accidentes vehiculares severos por millón de km</v>
      </c>
      <c r="H21" s="193" t="str">
        <f>INDEX(_RPT_CARDS!$I$2:$I$24,MATCH(E21,_RPT_CARDS!$B$2:$B$24,0))</f>
        <v>n/a</v>
      </c>
      <c r="I21" s="193" t="str">
        <f>INDEX(_RPT_CARDS!$H$2:$H$24,MATCH(E21,_RPT_CARDS!$B$2:$B$24,0))</f>
        <v/>
      </c>
      <c r="J21" s="193" t="str">
        <f>INDEX(_RPT_CARDS!$Q$2:$Q$24,MATCH(E21,_RPT_CARDS!$B$2:$B$24,0))</f>
        <v>Reported only</v>
      </c>
      <c r="K21" s="193" t="str">
        <f>INDEX(_RPT_CARDS!$R$2:$R$24,MATCH(E21,_RPT_CARDS!$B$2:$B$24,0))</f>
        <v>NO_DATA</v>
      </c>
      <c r="L21" s="193" t="str">
        <f>INDEX(_RPT_CARDS!$L$2:$L$24,MATCH(E21,_RPT_CARDS!$B$2:$B$24,0))</f>
        <v>N/A</v>
      </c>
      <c r="M21" s="193" t="str">
        <f>TRIM("YTD: "&amp;INDEX(_RPT_CARDS!$N$2:$N$24,MATCH(E21,_RPT_CARDS!$B$2:$B$24,0))&amp;". "&amp;INDEX(_RPT_CARDS!$U$2:$U$24,MATCH(E21,_RPT_CARDS!$B$2:$B$24,0)))</f>
        <v>YTD: n/a. No data.</v>
      </c>
      <c r="N21">
        <v>20</v>
      </c>
      <c r="O21" s="193" t="str">
        <f t="shared" si="0"/>
        <v>Compressor Plant</v>
      </c>
      <c r="P21" s="249">
        <f t="shared" si="1"/>
        <v>46296</v>
      </c>
      <c r="Q21" s="193" t="str">
        <f>IF($D21="KPI_CARD",IFERROR(IF(INDEX(_RPT_CARDS!$V$2:$V$24,MATCH($E21,_RPT_CARDS!$B$2:$B$24,0))="","",INDEX(_RPT_CARDS!$V$2:$V$24,MATCH($E21,_RPT_CARDS!$B$2:$B$24,0))),""),"")</f>
        <v>eventos / 10^6 km</v>
      </c>
      <c r="R21" s="193" t="str">
        <f>IF($D21="KPI_CARD",IFERROR(IF(INDEX(_RPT_CARDS!$P$2:$P$24,MATCH($E21,_RPT_CARDS!$B$2:$B$24,0))="","",INDEX(_RPT_CARDS!$P$2:$P$24,MATCH($E21,_RPT_CARDS!$B$2:$B$24,0))),""),"")</f>
        <v/>
      </c>
      <c r="S21" s="193" t="str">
        <f>IF($D21="KPI_CARD",IFERROR(IF(INDEX(_RPT_CARDS!$Z$2:$Z$24,MATCH($E21,_RPT_CARDS!$B$2:$B$24,0))="","",INDEX(_RPT_CARDS!$Z$2:$Z$24,MATCH($E21,_RPT_CARDS!$B$2:$B$24,0))),""),"")</f>
        <v/>
      </c>
      <c r="T21" s="193" t="str">
        <f>IF($D21="KPI_CARD",IFERROR(IF(INDEX(_RPT_CARDS!$M$2:$M$24,MATCH($E21,_RPT_CARDS!$B$2:$B$24,0))="","",INDEX(_RPT_CARDS!$M$2:$M$24,MATCH($E21,_RPT_CARDS!$B$2:$B$24,0))),""),"")</f>
        <v/>
      </c>
      <c r="U21" s="193" t="str">
        <f>IF($D21="KPI_CARD",IFERROR(IF(INDEX(_RPT_CARDS!$N$2:$N$24,MATCH($E21,_RPT_CARDS!$B$2:$B$24,0))="","",INDEX(_RPT_CARDS!$N$2:$N$24,MATCH($E21,_RPT_CARDS!$B$2:$B$24,0))),""),"")</f>
        <v>n/a</v>
      </c>
      <c r="V21" s="193" t="str">
        <f>IF($D21="KPI_CARD",IFERROR(IF(INDEX(_RPT_CARDS!$O$2:$O$24,MATCH($E21,_RPT_CARDS!$B$2:$B$24,0))="","",INDEX(_RPT_CARDS!$O$2:$O$24,MATCH($E21,_RPT_CARDS!$B$2:$B$24,0))),""),"")</f>
        <v/>
      </c>
      <c r="W21" s="193" t="str">
        <f>IF($D21="KPI_CARD",IFERROR(IF(INDEX(_RPT_CARDS!$T$2:$T$24,MATCH($E21,_RPT_CARDS!$B$2:$B$24,0))="","",INDEX(_RPT_CARDS!$T$2:$T$24,MATCH($E21,_RPT_CARDS!$B$2:$B$24,0))),""),"")</f>
        <v>MISSING</v>
      </c>
      <c r="X21" s="193" t="str">
        <f ca="1">IF(LEFT(Control!$C$10,4)="ROJO","RED",IF(LEFT(Control!$C$10,8)="AMARILLO","AMBER","GREEN"))</f>
        <v>RED</v>
      </c>
      <c r="Y21" s="193">
        <f>IF(D21&lt;&gt;"KPI_CARD",0,IFERROR(IF(ISNUMBER(I21)&lt;&gt;ISNUMBER(INDEX(_RPT_CARDS!$H$2:$H$24,MATCH(E21,_RPT_CARDS!$B$2:$B$24,0))),1,IF(ISNUMBER(I21),--(I21&lt;&gt;INDEX(_RPT_CARDS!$H$2:$H$24,MATCH(E21,_RPT_CARDS!$B$2:$B$24,0))),0)),1))</f>
        <v>0</v>
      </c>
      <c r="Z21" s="193">
        <f>IF(D21&lt;&gt;"KPI_CARD",0,IFERROR(IF(ISNUMBER(T21)&lt;&gt;ISNUMBER(INDEX(_RPT_CARDS!$M$2:$M$24,MATCH(E21,_RPT_CARDS!$B$2:$B$24,0))),1,IF(ISNUMBER(T21),--(T21&lt;&gt;INDEX(_RPT_CARDS!$M$2:$M$24,MATCH(E21,_RPT_CARDS!$B$2:$B$24,0))),0)),1))</f>
        <v>0</v>
      </c>
    </row>
    <row r="22" spans="1:24" ht="13.5" customHeight="1" x14ac:dyDescent="0.3">
      <c r="A22">
        <v>3</v>
      </c>
      <c r="B22" t="s">
        <v>1221</v>
      </c>
      <c r="C22" t="s">
        <v>1224</v>
      </c>
      <c r="D22" t="s">
        <v>1209</v>
      </c>
      <c r="E22" t="s">
        <v>1060</v>
      </c>
      <c r="F22" s="193" t="str">
        <f>INDEX(_RPT_CARDS!$D$2:$D$24,MATCH(E22,_RPT_CARDS!$B$2:$B$24,0))</f>
        <v>Kilometres driven</v>
      </c>
      <c r="G22" s="193" t="str">
        <f>INDEX(_RPT_CARDS!$E$2:$E$24,MATCH(E22,_RPT_CARDS!$B$2:$B$24,0))</f>
        <v>Kilómetros recorridos</v>
      </c>
      <c r="H22" s="193" t="str">
        <f>INDEX(_RPT_CARDS!$I$2:$I$24,MATCH(E22,_RPT_CARDS!$B$2:$B$24,0))</f>
        <v>n/a</v>
      </c>
      <c r="I22" s="193" t="str">
        <f>INDEX(_RPT_CARDS!$H$2:$H$24,MATCH(E22,_RPT_CARDS!$B$2:$B$24,0))</f>
        <v/>
      </c>
      <c r="J22" s="193" t="str">
        <f>INDEX(_RPT_CARDS!$Q$2:$Q$24,MATCH(E22,_RPT_CARDS!$B$2:$B$24,0))</f>
        <v>No target defined</v>
      </c>
      <c r="K22" s="193" t="str">
        <f>INDEX(_RPT_CARDS!$R$2:$R$24,MATCH(E22,_RPT_CARDS!$B$2:$B$24,0))</f>
        <v>NO_DATA</v>
      </c>
      <c r="L22" s="193" t="str">
        <f>INDEX(_RPT_CARDS!$L$2:$L$24,MATCH(E22,_RPT_CARDS!$B$2:$B$24,0))</f>
        <v>N/A</v>
      </c>
      <c r="M22" s="193" t="str">
        <f>TRIM("YTD: "&amp;INDEX(_RPT_CARDS!$N$2:$N$24,MATCH(E22,_RPT_CARDS!$B$2:$B$24,0))&amp;". "&amp;INDEX(_RPT_CARDS!$U$2:$U$24,MATCH(E22,_RPT_CARDS!$B$2:$B$24,0)))</f>
        <v>YTD: 172,824.</v>
      </c>
      <c r="N22">
        <v>21</v>
      </c>
      <c r="O22" s="193" t="str">
        <f t="shared" si="0"/>
        <v>Compressor Plant</v>
      </c>
      <c r="P22" s="249">
        <f t="shared" si="1"/>
        <v>46296</v>
      </c>
      <c r="Q22" s="193" t="str">
        <f>IF($D22="KPI_CARD",IFERROR(IF(INDEX(_RPT_CARDS!$V$2:$V$24,MATCH($E22,_RPT_CARDS!$B$2:$B$24,0))="","",INDEX(_RPT_CARDS!$V$2:$V$24,MATCH($E22,_RPT_CARDS!$B$2:$B$24,0))),""),"")</f>
        <v>km</v>
      </c>
      <c r="R22" s="193" t="str">
        <f>IF($D22="KPI_CARD",IFERROR(IF(INDEX(_RPT_CARDS!$P$2:$P$24,MATCH($E22,_RPT_CARDS!$B$2:$B$24,0))="","",INDEX(_RPT_CARDS!$P$2:$P$24,MATCH($E22,_RPT_CARDS!$B$2:$B$24,0))),""),"")</f>
        <v/>
      </c>
      <c r="S22" s="193" t="str">
        <f>IF($D22="KPI_CARD",IFERROR(IF(INDEX(_RPT_CARDS!$Z$2:$Z$24,MATCH($E22,_RPT_CARDS!$B$2:$B$24,0))="","",INDEX(_RPT_CARDS!$Z$2:$Z$24,MATCH($E22,_RPT_CARDS!$B$2:$B$24,0))),""),"")</f>
        <v/>
      </c>
      <c r="T22" s="193">
        <f>IF($D22="KPI_CARD",IFERROR(IF(INDEX(_RPT_CARDS!$M$2:$M$24,MATCH($E22,_RPT_CARDS!$B$2:$B$24,0))="","",INDEX(_RPT_CARDS!$M$2:$M$24,MATCH($E22,_RPT_CARDS!$B$2:$B$24,0))),""),"")</f>
        <v>172824</v>
      </c>
      <c r="U22" s="193" t="str">
        <f>IF($D22="KPI_CARD",IFERROR(IF(INDEX(_RPT_CARDS!$N$2:$N$24,MATCH($E22,_RPT_CARDS!$B$2:$B$24,0))="","",INDEX(_RPT_CARDS!$N$2:$N$24,MATCH($E22,_RPT_CARDS!$B$2:$B$24,0))),""),"")</f>
        <v>172,824</v>
      </c>
      <c r="V22" s="193" t="str">
        <f>IF($D22="KPI_CARD",IFERROR(IF(INDEX(_RPT_CARDS!$O$2:$O$24,MATCH($E22,_RPT_CARDS!$B$2:$B$24,0))="","",INDEX(_RPT_CARDS!$O$2:$O$24,MATCH($E22,_RPT_CARDS!$B$2:$B$24,0))),""),"")</f>
        <v/>
      </c>
      <c r="W22" s="193" t="str">
        <f>IF($D22="KPI_CARD",IFERROR(IF(INDEX(_RPT_CARDS!$T$2:$T$24,MATCH($E22,_RPT_CARDS!$B$2:$B$24,0))="","",INDEX(_RPT_CARDS!$T$2:$T$24,MATCH($E22,_RPT_CARDS!$B$2:$B$24,0))),""),"")</f>
        <v>MISSING</v>
      </c>
      <c r="X22" s="193" t="str">
        <f ca="1">IF(LEFT(Control!$C$10,4)="ROJO","RED",IF(LEFT(Control!$C$10,8)="AMARILLO","AMBER","GREEN"))</f>
        <v>RED</v>
      </c>
      <c r="Y22" s="193">
        <f>IF(D22&lt;&gt;"KPI_CARD",0,IFERROR(IF(ISNUMBER(I22)&lt;&gt;ISNUMBER(INDEX(_RPT_CARDS!$H$2:$H$24,MATCH(E22,_RPT_CARDS!$B$2:$B$24,0))),1,IF(ISNUMBER(I22),--(I22&lt;&gt;INDEX(_RPT_CARDS!$H$2:$H$24,MATCH(E22,_RPT_CARDS!$B$2:$B$24,0))),0)),1))</f>
        <v>0</v>
      </c>
      <c r="Z22" s="193" t="b">
        <f>IF(D22&lt;&gt;"KPI_CARD",0,IFERROR(IF(ISNUMBER(T22)&lt;&gt;ISNUMBER(INDEX(_RPT_CARDS!$M$2:$M$24,MATCH(E22,_RPT_CARDS!$B$2:$B$24,0))),1,IF(ISNUMBER(T22),--(T22&lt;&gt;INDEX(_RPT_CARDS!$M$2:$M$24,MATCH(E22,_RPT_CARDS!$B$2:$B$24,0))),0)),1))</f>
        <v>0</v>
      </c>
    </row>
    <row r="23" spans="1:24" ht="13.5" customHeight="1" x14ac:dyDescent="0.3">
      <c r="A23">
        <v>3</v>
      </c>
      <c r="B23" t="s">
        <v>1221</v>
      </c>
      <c r="C23" t="s">
        <v>1154</v>
      </c>
      <c r="D23" t="s">
        <v>1215</v>
      </c>
      <c r="E23" t="s">
        <v>1154</v>
      </c>
      <c r="F23" s="193" t="str">
        <f>INDEX(_RPT_SPEC_CHART!$D$2:$D$16,MATCH(E23,_RPT_SPEC_CHART!$A$2:$A$16,0))</f>
        <v>Vehicle crash rates: total (TVCR) and severe (SVCR)</v>
      </c>
      <c r="G23" s="193" t="str">
        <f>INDEX(_RPT_SPEC_CHART!$E$2:$E$16,MATCH(E23,_RPT_SPEC_CHART!$A$2:$A$16,0))</f>
        <v>Is driving performance (TVCR, SVCR) improving relative to distance driven?</v>
      </c>
      <c r="H23" s="193" t="str">
        <f>INDEX(_RPT_SPEC_CHART!$N$2:$N$16,MATCH(E23,_RPT_SPEC_CHART!$A$2:$A$16,0))&amp;" of "&amp;INDEX(_RPT_SPEC_CHART!$O$2:$O$16,MATCH(E23,_RPT_SPEC_CHART!$A$2:$A$16,0))&amp;" points"</f>
        <v>8 of 12 points</v>
      </c>
      <c r="I23" s="193">
        <f>INDEX(_RPT_SPEC_CHART!$N$2:$N$16,MATCH(E23,_RPT_SPEC_CHART!$A$2:$A$16,0))</f>
        <v>8</v>
      </c>
      <c r="J23" s="193" t="str">
        <f>INDEX(_RPT_SPEC_CHART!$J$2:$J$16,MATCH(E23,_RPT_SPEC_CHART!$A$2:$A$16,0))</f>
        <v>Yes, only if numeric target exists</v>
      </c>
      <c r="K23" s="193" t="str">
        <f>INDEX(_RPT_SPEC_CHART!$P$2:$P$16,MATCH(E23,_RPT_SPEC_CHART!$A$2:$A$16,0))</f>
        <v>PARTIAL</v>
      </c>
      <c r="M23" s="193" t="str">
        <f>INDEX(_RPT_SPEC_CHART!$M$2:$M$16,MATCH(E23,_RPT_SPEC_CHART!$A$2:$A$16,0))</f>
        <v>TVCR - Total Vehicle Crash Rate (Tasa total de accidentes vehiculares); SVCR - Severe Vehicle Crash Rate (Tasa de accidentes vehiculares severos) = catastrophic + major + serious</v>
      </c>
      <c r="N23">
        <v>22</v>
      </c>
      <c r="O23" s="193" t="str">
        <f t="shared" si="0"/>
        <v>Compressor Plant</v>
      </c>
      <c r="P23" s="249">
        <f t="shared" si="1"/>
        <v>46296</v>
      </c>
      <c r="Q23" s="193" t="str">
        <f>IF($D23="KPI_CARD",IFERROR(IF(INDEX(_RPT_CARDS!$V$2:$V$24,MATCH($E23,_RPT_CARDS!$B$2:$B$24,0))="","",INDEX(_RPT_CARDS!$V$2:$V$24,MATCH($E23,_RPT_CARDS!$B$2:$B$24,0))),""),"")</f>
        <v/>
      </c>
      <c r="R23" s="193" t="str">
        <f>IF($D23="KPI_CARD",IFERROR(IF(INDEX(_RPT_CARDS!$P$2:$P$24,MATCH($E23,_RPT_CARDS!$B$2:$B$24,0))="","",INDEX(_RPT_CARDS!$P$2:$P$24,MATCH($E23,_RPT_CARDS!$B$2:$B$24,0))),""),"")</f>
        <v/>
      </c>
      <c r="S23" s="193" t="str">
        <f>IF($D23="KPI_CARD",IFERROR(IF(INDEX(_RPT_CARDS!$Z$2:$Z$24,MATCH($E23,_RPT_CARDS!$B$2:$B$24,0))="","",INDEX(_RPT_CARDS!$Z$2:$Z$24,MATCH($E23,_RPT_CARDS!$B$2:$B$24,0))),""),"")</f>
        <v/>
      </c>
      <c r="T23" s="193" t="str">
        <f>IF($D23="KPI_CARD",IFERROR(IF(INDEX(_RPT_CARDS!$M$2:$M$24,MATCH($E23,_RPT_CARDS!$B$2:$B$24,0))="","",INDEX(_RPT_CARDS!$M$2:$M$24,MATCH($E23,_RPT_CARDS!$B$2:$B$24,0))),""),"")</f>
        <v/>
      </c>
      <c r="U23" s="193" t="str">
        <f>IF($D23="KPI_CARD",IFERROR(IF(INDEX(_RPT_CARDS!$N$2:$N$24,MATCH($E23,_RPT_CARDS!$B$2:$B$24,0))="","",INDEX(_RPT_CARDS!$N$2:$N$24,MATCH($E23,_RPT_CARDS!$B$2:$B$24,0))),""),"")</f>
        <v/>
      </c>
      <c r="V23" s="193" t="str">
        <f>IF($D23="KPI_CARD",IFERROR(IF(INDEX(_RPT_CARDS!$O$2:$O$24,MATCH($E23,_RPT_CARDS!$B$2:$B$24,0))="","",INDEX(_RPT_CARDS!$O$2:$O$24,MATCH($E23,_RPT_CARDS!$B$2:$B$24,0))),""),"")</f>
        <v/>
      </c>
      <c r="W23" s="193" t="str">
        <f>IF($D23="KPI_CARD",IFERROR(IF(INDEX(_RPT_CARDS!$T$2:$T$24,MATCH($E23,_RPT_CARDS!$B$2:$B$24,0))="","",INDEX(_RPT_CARDS!$T$2:$T$24,MATCH($E23,_RPT_CARDS!$B$2:$B$24,0))),""),"")</f>
        <v/>
      </c>
      <c r="X23" s="193" t="str">
        <f ca="1">IF(LEFT(Control!$C$10,4)="ROJO","RED",IF(LEFT(Control!$C$10,8)="AMARILLO","AMBER","GREEN"))</f>
        <v>RED</v>
      </c>
      <c r="Y23" s="193">
        <f>IF(D23&lt;&gt;"KPI_CARD",0,IFERROR(IF(ISNUMBER(I23)&lt;&gt;ISNUMBER(INDEX(_RPT_CARDS!$H$2:$H$24,MATCH(E23,_RPT_CARDS!$B$2:$B$24,0))),1,IF(ISNUMBER(I23),--(I23&lt;&gt;INDEX(_RPT_CARDS!$H$2:$H$24,MATCH(E23,_RPT_CARDS!$B$2:$B$24,0))),0)),1))</f>
        <v>0</v>
      </c>
      <c r="Z23" s="193">
        <f>IF(D23&lt;&gt;"KPI_CARD",0,IFERROR(IF(ISNUMBER(T23)&lt;&gt;ISNUMBER(INDEX(_RPT_CARDS!$M$2:$M$24,MATCH(E23,_RPT_CARDS!$B$2:$B$24,0))),1,IF(ISNUMBER(T23),--(T23&lt;&gt;INDEX(_RPT_CARDS!$M$2:$M$24,MATCH(E23,_RPT_CARDS!$B$2:$B$24,0))),0)),1))</f>
        <v>0</v>
      </c>
    </row>
    <row r="24" spans="1:24" ht="13.5" customHeight="1" x14ac:dyDescent="0.3">
      <c r="A24">
        <v>3</v>
      </c>
      <c r="B24" t="s">
        <v>1221</v>
      </c>
      <c r="C24" t="s">
        <v>1164</v>
      </c>
      <c r="D24" t="s">
        <v>1215</v>
      </c>
      <c r="E24" t="s">
        <v>1164</v>
      </c>
      <c r="F24" s="193" t="str">
        <f>INDEX(_RPT_SPEC_CHART!$D$2:$D$16,MATCH(E24,_RPT_SPEC_CHART!$A$2:$A$16,0))</f>
        <v>Kilometres driven (exposure)</v>
      </c>
      <c r="G24" s="193" t="str">
        <f>INDEX(_RPT_SPEC_CHART!$E$2:$E$16,MATCH(E24,_RPT_SPEC_CHART!$A$2:$A$16,0))</f>
        <v>Is driving exposure large enough for the vehicle crash rates to be meaningful?</v>
      </c>
      <c r="H24" s="193" t="str">
        <f>INDEX(_RPT_SPEC_CHART!$N$2:$N$16,MATCH(E24,_RPT_SPEC_CHART!$A$2:$A$16,0))&amp;" of "&amp;INDEX(_RPT_SPEC_CHART!$O$2:$O$16,MATCH(E24,_RPT_SPEC_CHART!$A$2:$A$16,0))&amp;" points"</f>
        <v>2 of 3 points</v>
      </c>
      <c r="I24" s="193">
        <f>INDEX(_RPT_SPEC_CHART!$N$2:$N$16,MATCH(E24,_RPT_SPEC_CHART!$A$2:$A$16,0))</f>
        <v>2</v>
      </c>
      <c r="J24" s="193" t="str">
        <f>INDEX(_RPT_SPEC_CHART!$J$2:$J$16,MATCH(E24,_RPT_SPEC_CHART!$A$2:$A$16,0))</f>
        <v>No</v>
      </c>
      <c r="K24" s="193" t="str">
        <f>INDEX(_RPT_SPEC_CHART!$P$2:$P$16,MATCH(E24,_RPT_SPEC_CHART!$A$2:$A$16,0))</f>
        <v>PARTIAL</v>
      </c>
      <c r="M24" s="193" t="str">
        <f>INDEX(_RPT_SPEC_CHART!$M$2:$M$16,MATCH(E24,_RPT_SPEC_CHART!$A$2:$A$16,0))</f>
        <v>KM - Kilometres driven (Kilómetros recorridos; source: Full Control GPS)</v>
      </c>
      <c r="N24">
        <v>23</v>
      </c>
      <c r="O24" s="193" t="str">
        <f t="shared" si="0"/>
        <v>Compressor Plant</v>
      </c>
      <c r="P24" s="249">
        <f t="shared" si="1"/>
        <v>46296</v>
      </c>
      <c r="Q24" s="193" t="str">
        <f>IF($D24="KPI_CARD",IFERROR(IF(INDEX(_RPT_CARDS!$V$2:$V$24,MATCH($E24,_RPT_CARDS!$B$2:$B$24,0))="","",INDEX(_RPT_CARDS!$V$2:$V$24,MATCH($E24,_RPT_CARDS!$B$2:$B$24,0))),""),"")</f>
        <v/>
      </c>
      <c r="R24" s="193" t="str">
        <f>IF($D24="KPI_CARD",IFERROR(IF(INDEX(_RPT_CARDS!$P$2:$P$24,MATCH($E24,_RPT_CARDS!$B$2:$B$24,0))="","",INDEX(_RPT_CARDS!$P$2:$P$24,MATCH($E24,_RPT_CARDS!$B$2:$B$24,0))),""),"")</f>
        <v/>
      </c>
      <c r="S24" s="193" t="str">
        <f>IF($D24="KPI_CARD",IFERROR(IF(INDEX(_RPT_CARDS!$Z$2:$Z$24,MATCH($E24,_RPT_CARDS!$B$2:$B$24,0))="","",INDEX(_RPT_CARDS!$Z$2:$Z$24,MATCH($E24,_RPT_CARDS!$B$2:$B$24,0))),""),"")</f>
        <v/>
      </c>
      <c r="T24" s="193" t="str">
        <f>IF($D24="KPI_CARD",IFERROR(IF(INDEX(_RPT_CARDS!$M$2:$M$24,MATCH($E24,_RPT_CARDS!$B$2:$B$24,0))="","",INDEX(_RPT_CARDS!$M$2:$M$24,MATCH($E24,_RPT_CARDS!$B$2:$B$24,0))),""),"")</f>
        <v/>
      </c>
      <c r="U24" s="193" t="str">
        <f>IF($D24="KPI_CARD",IFERROR(IF(INDEX(_RPT_CARDS!$N$2:$N$24,MATCH($E24,_RPT_CARDS!$B$2:$B$24,0))="","",INDEX(_RPT_CARDS!$N$2:$N$24,MATCH($E24,_RPT_CARDS!$B$2:$B$24,0))),""),"")</f>
        <v/>
      </c>
      <c r="V24" s="193" t="str">
        <f>IF($D24="KPI_CARD",IFERROR(IF(INDEX(_RPT_CARDS!$O$2:$O$24,MATCH($E24,_RPT_CARDS!$B$2:$B$24,0))="","",INDEX(_RPT_CARDS!$O$2:$O$24,MATCH($E24,_RPT_CARDS!$B$2:$B$24,0))),""),"")</f>
        <v/>
      </c>
      <c r="W24" s="193" t="str">
        <f>IF($D24="KPI_CARD",IFERROR(IF(INDEX(_RPT_CARDS!$T$2:$T$24,MATCH($E24,_RPT_CARDS!$B$2:$B$24,0))="","",INDEX(_RPT_CARDS!$T$2:$T$24,MATCH($E24,_RPT_CARDS!$B$2:$B$24,0))),""),"")</f>
        <v/>
      </c>
      <c r="X24" s="193" t="str">
        <f ca="1">IF(LEFT(Control!$C$10,4)="ROJO","RED",IF(LEFT(Control!$C$10,8)="AMARILLO","AMBER","GREEN"))</f>
        <v>RED</v>
      </c>
      <c r="Y24" s="193">
        <f>IF(D24&lt;&gt;"KPI_CARD",0,IFERROR(IF(ISNUMBER(I24)&lt;&gt;ISNUMBER(INDEX(_RPT_CARDS!$H$2:$H$24,MATCH(E24,_RPT_CARDS!$B$2:$B$24,0))),1,IF(ISNUMBER(I24),--(I24&lt;&gt;INDEX(_RPT_CARDS!$H$2:$H$24,MATCH(E24,_RPT_CARDS!$B$2:$B$24,0))),0)),1))</f>
        <v>0</v>
      </c>
      <c r="Z24" s="193">
        <f>IF(D24&lt;&gt;"KPI_CARD",0,IFERROR(IF(ISNUMBER(T24)&lt;&gt;ISNUMBER(INDEX(_RPT_CARDS!$M$2:$M$24,MATCH(E24,_RPT_CARDS!$B$2:$B$24,0))),1,IF(ISNUMBER(T24),--(T24&lt;&gt;INDEX(_RPT_CARDS!$M$2:$M$24,MATCH(E24,_RPT_CARDS!$B$2:$B$24,0))),0)),1))</f>
        <v>0</v>
      </c>
    </row>
    <row r="25" spans="1:24" ht="13.5" customHeight="1" x14ac:dyDescent="0.3">
      <c r="A25">
        <v>4</v>
      </c>
      <c r="B25" t="s">
        <v>1225</v>
      </c>
      <c r="C25" t="s">
        <v>1226</v>
      </c>
      <c r="D25" t="s">
        <v>1209</v>
      </c>
      <c r="E25" t="s">
        <v>83</v>
      </c>
      <c r="F25" s="193" t="str">
        <f>INDEX(_RPT_CARDS!$D$2:$D$24,MATCH(E25,_RPT_CARDS!$B$2:$B$24,0))</f>
        <v>Drill compliance</v>
      </c>
      <c r="G25" s="193" t="str">
        <f>INDEX(_RPT_CARDS!$E$2:$E$24,MATCH(E25,_RPT_CARDS!$B$2:$B$24,0))</f>
        <v>Cumplimiento de simulacros (emergencia y operativos)</v>
      </c>
      <c r="H25" s="193" t="str">
        <f>INDEX(_RPT_CARDS!$I$2:$I$24,MATCH(E25,_RPT_CARDS!$B$2:$B$24,0))</f>
        <v>n/a</v>
      </c>
      <c r="I25" s="193" t="str">
        <f>INDEX(_RPT_CARDS!$H$2:$H$24,MATCH(E25,_RPT_CARDS!$B$2:$B$24,0))</f>
        <v/>
      </c>
      <c r="J25" s="193" t="str">
        <f>INDEX(_RPT_CARDS!$Q$2:$Q$24,MATCH(E25,_RPT_CARDS!$B$2:$B$24,0))</f>
        <v>100%</v>
      </c>
      <c r="K25" s="193" t="str">
        <f>INDEX(_RPT_CARDS!$R$2:$R$24,MATCH(E25,_RPT_CARDS!$B$2:$B$24,0))</f>
        <v>NO_DATA</v>
      </c>
      <c r="L25" s="193" t="str">
        <f>INDEX(_RPT_CARDS!$L$2:$L$24,MATCH(E25,_RPT_CARDS!$B$2:$B$24,0))</f>
        <v>N/A</v>
      </c>
      <c r="M25" s="193" t="str">
        <f>TRIM("YTD: "&amp;INDEX(_RPT_CARDS!$N$2:$N$24,MATCH(E25,_RPT_CARDS!$B$2:$B$24,0))&amp;". "&amp;INDEX(_RPT_CARDS!$U$2:$U$24,MATCH(E25,_RPT_CARDS!$B$2:$B$24,0)))</f>
        <v>YTD: n/a. No data.</v>
      </c>
      <c r="N25">
        <v>24</v>
      </c>
      <c r="O25" s="193" t="str">
        <f t="shared" si="0"/>
        <v>Compressor Plant</v>
      </c>
      <c r="P25" s="249">
        <f t="shared" si="1"/>
        <v>46296</v>
      </c>
      <c r="Q25" s="193" t="str">
        <f>IF($D25="KPI_CARD",IFERROR(IF(INDEX(_RPT_CARDS!$V$2:$V$24,MATCH($E25,_RPT_CARDS!$B$2:$B$24,0))="","",INDEX(_RPT_CARDS!$V$2:$V$24,MATCH($E25,_RPT_CARDS!$B$2:$B$24,0))),""),"")</f>
        <v>% (fracción)</v>
      </c>
      <c r="R25" s="193">
        <f>IF($D25="KPI_CARD",IFERROR(IF(INDEX(_RPT_CARDS!$P$2:$P$24,MATCH($E25,_RPT_CARDS!$B$2:$B$24,0))="","",INDEX(_RPT_CARDS!$P$2:$P$24,MATCH($E25,_RPT_CARDS!$B$2:$B$24,0))),""),"")</f>
        <v>1</v>
      </c>
      <c r="S25" s="193" t="str">
        <f>IF($D25="KPI_CARD",IFERROR(IF(INDEX(_RPT_CARDS!$Z$2:$Z$24,MATCH($E25,_RPT_CARDS!$B$2:$B$24,0))="","",INDEX(_RPT_CARDS!$Z$2:$Z$24,MATCH($E25,_RPT_CARDS!$B$2:$B$24,0))),""),"")</f>
        <v>≥</v>
      </c>
      <c r="T25" s="193" t="str">
        <f>IF($D25="KPI_CARD",IFERROR(IF(INDEX(_RPT_CARDS!$M$2:$M$24,MATCH($E25,_RPT_CARDS!$B$2:$B$24,0))="","",INDEX(_RPT_CARDS!$M$2:$M$24,MATCH($E25,_RPT_CARDS!$B$2:$B$24,0))),""),"")</f>
        <v/>
      </c>
      <c r="U25" s="193" t="str">
        <f>IF($D25="KPI_CARD",IFERROR(IF(INDEX(_RPT_CARDS!$N$2:$N$24,MATCH($E25,_RPT_CARDS!$B$2:$B$24,0))="","",INDEX(_RPT_CARDS!$N$2:$N$24,MATCH($E25,_RPT_CARDS!$B$2:$B$24,0))),""),"")</f>
        <v>n/a</v>
      </c>
      <c r="V25" s="193" t="str">
        <f>IF($D25="KPI_CARD",IFERROR(IF(INDEX(_RPT_CARDS!$O$2:$O$24,MATCH($E25,_RPT_CARDS!$B$2:$B$24,0))="","",INDEX(_RPT_CARDS!$O$2:$O$24,MATCH($E25,_RPT_CARDS!$B$2:$B$24,0))),""),"")</f>
        <v/>
      </c>
      <c r="W25" s="193" t="str">
        <f>IF($D25="KPI_CARD",IFERROR(IF(INDEX(_RPT_CARDS!$T$2:$T$24,MATCH($E25,_RPT_CARDS!$B$2:$B$24,0))="","",INDEX(_RPT_CARDS!$T$2:$T$24,MATCH($E25,_RPT_CARDS!$B$2:$B$24,0))),""),"")</f>
        <v>MISSING</v>
      </c>
      <c r="X25" s="193" t="str">
        <f ca="1">IF(LEFT(Control!$C$10,4)="ROJO","RED",IF(LEFT(Control!$C$10,8)="AMARILLO","AMBER","GREEN"))</f>
        <v>RED</v>
      </c>
      <c r="Y25" s="193">
        <f>IF(D25&lt;&gt;"KPI_CARD",0,IFERROR(IF(ISNUMBER(I25)&lt;&gt;ISNUMBER(INDEX(_RPT_CARDS!$H$2:$H$24,MATCH(E25,_RPT_CARDS!$B$2:$B$24,0))),1,IF(ISNUMBER(I25),--(I25&lt;&gt;INDEX(_RPT_CARDS!$H$2:$H$24,MATCH(E25,_RPT_CARDS!$B$2:$B$24,0))),0)),1))</f>
        <v>0</v>
      </c>
      <c r="Z25" s="193">
        <f>IF(D25&lt;&gt;"KPI_CARD",0,IFERROR(IF(ISNUMBER(T25)&lt;&gt;ISNUMBER(INDEX(_RPT_CARDS!$M$2:$M$24,MATCH(E25,_RPT_CARDS!$B$2:$B$24,0))),1,IF(ISNUMBER(T25),--(T25&lt;&gt;INDEX(_RPT_CARDS!$M$2:$M$24,MATCH(E25,_RPT_CARDS!$B$2:$B$24,0))),0)),1))</f>
        <v>0</v>
      </c>
    </row>
    <row r="26" spans="1:24" ht="13.5" customHeight="1" x14ac:dyDescent="0.3">
      <c r="A26">
        <v>4</v>
      </c>
      <c r="B26" t="s">
        <v>1225</v>
      </c>
      <c r="C26" t="s">
        <v>1227</v>
      </c>
      <c r="D26" t="s">
        <v>1209</v>
      </c>
      <c r="E26" t="s">
        <v>85</v>
      </c>
      <c r="F26" s="193" t="str">
        <f>INDEX(_RPT_CARDS!$D$2:$D$24,MATCH(E26,_RPT_CARDS!$B$2:$B$24,0))</f>
        <v>Drill improvement actions closed</v>
      </c>
      <c r="G26" s="193" t="str">
        <f>INDEX(_RPT_CARDS!$E$2:$E$24,MATCH(E26,_RPT_CARDS!$B$2:$B$24,0))</f>
        <v>Cumplimiento de acciones de mejora de simulacros</v>
      </c>
      <c r="H26" s="193" t="str">
        <f>INDEX(_RPT_CARDS!$I$2:$I$24,MATCH(E26,_RPT_CARDS!$B$2:$B$24,0))</f>
        <v>n/a</v>
      </c>
      <c r="I26" s="193" t="str">
        <f>INDEX(_RPT_CARDS!$H$2:$H$24,MATCH(E26,_RPT_CARDS!$B$2:$B$24,0))</f>
        <v/>
      </c>
      <c r="J26" s="193" t="str">
        <f>INDEX(_RPT_CARDS!$Q$2:$Q$24,MATCH(E26,_RPT_CARDS!$B$2:$B$24,0))</f>
        <v>Reported only</v>
      </c>
      <c r="K26" s="193" t="str">
        <f>INDEX(_RPT_CARDS!$R$2:$R$24,MATCH(E26,_RPT_CARDS!$B$2:$B$24,0))</f>
        <v>NO_DATA</v>
      </c>
      <c r="L26" s="193" t="str">
        <f>INDEX(_RPT_CARDS!$L$2:$L$24,MATCH(E26,_RPT_CARDS!$B$2:$B$24,0))</f>
        <v>N/A</v>
      </c>
      <c r="M26" s="193" t="str">
        <f>TRIM("YTD: "&amp;INDEX(_RPT_CARDS!$N$2:$N$24,MATCH(E26,_RPT_CARDS!$B$2:$B$24,0))&amp;". "&amp;INDEX(_RPT_CARDS!$U$2:$U$24,MATCH(E26,_RPT_CARDS!$B$2:$B$24,0)))</f>
        <v>YTD: n/a. No data.</v>
      </c>
      <c r="N26">
        <v>25</v>
      </c>
      <c r="O26" s="193" t="str">
        <f t="shared" si="0"/>
        <v>Compressor Plant</v>
      </c>
      <c r="P26" s="249">
        <f t="shared" si="1"/>
        <v>46296</v>
      </c>
      <c r="Q26" s="193" t="str">
        <f>IF($D26="KPI_CARD",IFERROR(IF(INDEX(_RPT_CARDS!$V$2:$V$24,MATCH($E26,_RPT_CARDS!$B$2:$B$24,0))="","",INDEX(_RPT_CARDS!$V$2:$V$24,MATCH($E26,_RPT_CARDS!$B$2:$B$24,0))),""),"")</f>
        <v>% (fracción)</v>
      </c>
      <c r="R26" s="193" t="str">
        <f>IF($D26="KPI_CARD",IFERROR(IF(INDEX(_RPT_CARDS!$P$2:$P$24,MATCH($E26,_RPT_CARDS!$B$2:$B$24,0))="","",INDEX(_RPT_CARDS!$P$2:$P$24,MATCH($E26,_RPT_CARDS!$B$2:$B$24,0))),""),"")</f>
        <v/>
      </c>
      <c r="S26" s="193" t="str">
        <f>IF($D26="KPI_CARD",IFERROR(IF(INDEX(_RPT_CARDS!$Z$2:$Z$24,MATCH($E26,_RPT_CARDS!$B$2:$B$24,0))="","",INDEX(_RPT_CARDS!$Z$2:$Z$24,MATCH($E26,_RPT_CARDS!$B$2:$B$24,0))),""),"")</f>
        <v/>
      </c>
      <c r="T26" s="193" t="str">
        <f>IF($D26="KPI_CARD",IFERROR(IF(INDEX(_RPT_CARDS!$M$2:$M$24,MATCH($E26,_RPT_CARDS!$B$2:$B$24,0))="","",INDEX(_RPT_CARDS!$M$2:$M$24,MATCH($E26,_RPT_CARDS!$B$2:$B$24,0))),""),"")</f>
        <v/>
      </c>
      <c r="U26" s="193" t="str">
        <f>IF($D26="KPI_CARD",IFERROR(IF(INDEX(_RPT_CARDS!$N$2:$N$24,MATCH($E26,_RPT_CARDS!$B$2:$B$24,0))="","",INDEX(_RPT_CARDS!$N$2:$N$24,MATCH($E26,_RPT_CARDS!$B$2:$B$24,0))),""),"")</f>
        <v>n/a</v>
      </c>
      <c r="V26" s="193" t="str">
        <f>IF($D26="KPI_CARD",IFERROR(IF(INDEX(_RPT_CARDS!$O$2:$O$24,MATCH($E26,_RPT_CARDS!$B$2:$B$24,0))="","",INDEX(_RPT_CARDS!$O$2:$O$24,MATCH($E26,_RPT_CARDS!$B$2:$B$24,0))),""),"")</f>
        <v/>
      </c>
      <c r="W26" s="193" t="str">
        <f>IF($D26="KPI_CARD",IFERROR(IF(INDEX(_RPT_CARDS!$T$2:$T$24,MATCH($E26,_RPT_CARDS!$B$2:$B$24,0))="","",INDEX(_RPT_CARDS!$T$2:$T$24,MATCH($E26,_RPT_CARDS!$B$2:$B$24,0))),""),"")</f>
        <v>MISSING</v>
      </c>
      <c r="X26" s="193" t="str">
        <f ca="1">IF(LEFT(Control!$C$10,4)="ROJO","RED",IF(LEFT(Control!$C$10,8)="AMARILLO","AMBER","GREEN"))</f>
        <v>RED</v>
      </c>
      <c r="Y26" s="193">
        <f>IF(D26&lt;&gt;"KPI_CARD",0,IFERROR(IF(ISNUMBER(I26)&lt;&gt;ISNUMBER(INDEX(_RPT_CARDS!$H$2:$H$24,MATCH(E26,_RPT_CARDS!$B$2:$B$24,0))),1,IF(ISNUMBER(I26),--(I26&lt;&gt;INDEX(_RPT_CARDS!$H$2:$H$24,MATCH(E26,_RPT_CARDS!$B$2:$B$24,0))),0)),1))</f>
        <v>0</v>
      </c>
      <c r="Z26" s="193">
        <f>IF(D26&lt;&gt;"KPI_CARD",0,IFERROR(IF(ISNUMBER(T26)&lt;&gt;ISNUMBER(INDEX(_RPT_CARDS!$M$2:$M$24,MATCH(E26,_RPT_CARDS!$B$2:$B$24,0))),1,IF(ISNUMBER(T26),--(T26&lt;&gt;INDEX(_RPT_CARDS!$M$2:$M$24,MATCH(E26,_RPT_CARDS!$B$2:$B$24,0))),0)),1))</f>
        <v>0</v>
      </c>
    </row>
    <row r="27" spans="1:24" ht="13.5" customHeight="1" x14ac:dyDescent="0.3">
      <c r="A27">
        <v>4</v>
      </c>
      <c r="B27" t="s">
        <v>1225</v>
      </c>
      <c r="C27" t="s">
        <v>1228</v>
      </c>
      <c r="D27" t="s">
        <v>1209</v>
      </c>
      <c r="E27" t="s">
        <v>87</v>
      </c>
      <c r="F27" s="193" t="str">
        <f>INDEX(_RPT_CARDS!$D$2:$D$24,MATCH(E27,_RPT_CARDS!$B$2:$B$24,0))</f>
        <v>Management walkthrough compliance</v>
      </c>
      <c r="G27" s="193" t="str">
        <f>INDEX(_RPT_CARDS!$E$2:$E$24,MATCH(E27,_RPT_CARDS!$B$2:$B$24,0))</f>
        <v>Cumplimiento de caminatas gerenciales</v>
      </c>
      <c r="H27" s="193" t="str">
        <f>INDEX(_RPT_CARDS!$I$2:$I$24,MATCH(E27,_RPT_CARDS!$B$2:$B$24,0))</f>
        <v>n/a</v>
      </c>
      <c r="I27" s="193" t="str">
        <f>INDEX(_RPT_CARDS!$H$2:$H$24,MATCH(E27,_RPT_CARDS!$B$2:$B$24,0))</f>
        <v/>
      </c>
      <c r="J27" s="193" t="str">
        <f>INDEX(_RPT_CARDS!$Q$2:$Q$24,MATCH(E27,_RPT_CARDS!$B$2:$B$24,0))</f>
        <v>100%</v>
      </c>
      <c r="K27" s="193" t="str">
        <f>INDEX(_RPT_CARDS!$R$2:$R$24,MATCH(E27,_RPT_CARDS!$B$2:$B$24,0))</f>
        <v>NO_DATA</v>
      </c>
      <c r="L27" s="193" t="str">
        <f>INDEX(_RPT_CARDS!$L$2:$L$24,MATCH(E27,_RPT_CARDS!$B$2:$B$24,0))</f>
        <v>N/A</v>
      </c>
      <c r="M27" s="193" t="str">
        <f>TRIM("YTD: "&amp;INDEX(_RPT_CARDS!$N$2:$N$24,MATCH(E27,_RPT_CARDS!$B$2:$B$24,0))&amp;". "&amp;INDEX(_RPT_CARDS!$U$2:$U$24,MATCH(E27,_RPT_CARDS!$B$2:$B$24,0)))</f>
        <v>YTD: n/a. No data.</v>
      </c>
      <c r="N27">
        <v>26</v>
      </c>
      <c r="O27" s="193" t="str">
        <f t="shared" si="0"/>
        <v>Compressor Plant</v>
      </c>
      <c r="P27" s="249">
        <f t="shared" si="1"/>
        <v>46296</v>
      </c>
      <c r="Q27" s="193" t="str">
        <f>IF($D27="KPI_CARD",IFERROR(IF(INDEX(_RPT_CARDS!$V$2:$V$24,MATCH($E27,_RPT_CARDS!$B$2:$B$24,0))="","",INDEX(_RPT_CARDS!$V$2:$V$24,MATCH($E27,_RPT_CARDS!$B$2:$B$24,0))),""),"")</f>
        <v>% (fracción)</v>
      </c>
      <c r="R27" s="193">
        <f>IF($D27="KPI_CARD",IFERROR(IF(INDEX(_RPT_CARDS!$P$2:$P$24,MATCH($E27,_RPT_CARDS!$B$2:$B$24,0))="","",INDEX(_RPT_CARDS!$P$2:$P$24,MATCH($E27,_RPT_CARDS!$B$2:$B$24,0))),""),"")</f>
        <v>1</v>
      </c>
      <c r="S27" s="193" t="str">
        <f>IF($D27="KPI_CARD",IFERROR(IF(INDEX(_RPT_CARDS!$Z$2:$Z$24,MATCH($E27,_RPT_CARDS!$B$2:$B$24,0))="","",INDEX(_RPT_CARDS!$Z$2:$Z$24,MATCH($E27,_RPT_CARDS!$B$2:$B$24,0))),""),"")</f>
        <v>≥</v>
      </c>
      <c r="T27" s="193" t="str">
        <f>IF($D27="KPI_CARD",IFERROR(IF(INDEX(_RPT_CARDS!$M$2:$M$24,MATCH($E27,_RPT_CARDS!$B$2:$B$24,0))="","",INDEX(_RPT_CARDS!$M$2:$M$24,MATCH($E27,_RPT_CARDS!$B$2:$B$24,0))),""),"")</f>
        <v/>
      </c>
      <c r="U27" s="193" t="str">
        <f>IF($D27="KPI_CARD",IFERROR(IF(INDEX(_RPT_CARDS!$N$2:$N$24,MATCH($E27,_RPT_CARDS!$B$2:$B$24,0))="","",INDEX(_RPT_CARDS!$N$2:$N$24,MATCH($E27,_RPT_CARDS!$B$2:$B$24,0))),""),"")</f>
        <v>n/a</v>
      </c>
      <c r="V27" s="193" t="str">
        <f>IF($D27="KPI_CARD",IFERROR(IF(INDEX(_RPT_CARDS!$O$2:$O$24,MATCH($E27,_RPT_CARDS!$B$2:$B$24,0))="","",INDEX(_RPT_CARDS!$O$2:$O$24,MATCH($E27,_RPT_CARDS!$B$2:$B$24,0))),""),"")</f>
        <v/>
      </c>
      <c r="W27" s="193" t="str">
        <f>IF($D27="KPI_CARD",IFERROR(IF(INDEX(_RPT_CARDS!$T$2:$T$24,MATCH($E27,_RPT_CARDS!$B$2:$B$24,0))="","",INDEX(_RPT_CARDS!$T$2:$T$24,MATCH($E27,_RPT_CARDS!$B$2:$B$24,0))),""),"")</f>
        <v>MISSING</v>
      </c>
      <c r="X27" s="193" t="str">
        <f ca="1">IF(LEFT(Control!$C$10,4)="ROJO","RED",IF(LEFT(Control!$C$10,8)="AMARILLO","AMBER","GREEN"))</f>
        <v>RED</v>
      </c>
      <c r="Y27" s="193">
        <f>IF(D27&lt;&gt;"KPI_CARD",0,IFERROR(IF(ISNUMBER(I27)&lt;&gt;ISNUMBER(INDEX(_RPT_CARDS!$H$2:$H$24,MATCH(E27,_RPT_CARDS!$B$2:$B$24,0))),1,IF(ISNUMBER(I27),--(I27&lt;&gt;INDEX(_RPT_CARDS!$H$2:$H$24,MATCH(E27,_RPT_CARDS!$B$2:$B$24,0))),0)),1))</f>
        <v>0</v>
      </c>
      <c r="Z27" s="193">
        <f>IF(D27&lt;&gt;"KPI_CARD",0,IFERROR(IF(ISNUMBER(T27)&lt;&gt;ISNUMBER(INDEX(_RPT_CARDS!$M$2:$M$24,MATCH(E27,_RPT_CARDS!$B$2:$B$24,0))),1,IF(ISNUMBER(T27),--(T27&lt;&gt;INDEX(_RPT_CARDS!$M$2:$M$24,MATCH(E27,_RPT_CARDS!$B$2:$B$24,0))),0)),1))</f>
        <v>0</v>
      </c>
    </row>
    <row r="28" spans="1:24" ht="13.5" customHeight="1" x14ac:dyDescent="0.3">
      <c r="A28">
        <v>4</v>
      </c>
      <c r="B28" t="s">
        <v>1225</v>
      </c>
      <c r="C28" t="s">
        <v>1229</v>
      </c>
      <c r="D28" t="s">
        <v>1209</v>
      </c>
      <c r="E28" t="s">
        <v>89</v>
      </c>
      <c r="F28" s="193" t="str">
        <f>INDEX(_RPT_CARDS!$D$2:$D$24,MATCH(E28,_RPT_CARDS!$B$2:$B$24,0))</f>
        <v>Safety committee compliance</v>
      </c>
      <c r="G28" s="193" t="str">
        <f>INDEX(_RPT_CARDS!$E$2:$E$24,MATCH(E28,_RPT_CARDS!$B$2:$B$24,0))</f>
        <v>Cumplimiento de comités de seguridad</v>
      </c>
      <c r="H28" s="193" t="str">
        <f>INDEX(_RPT_CARDS!$I$2:$I$24,MATCH(E28,_RPT_CARDS!$B$2:$B$24,0))</f>
        <v>n/a</v>
      </c>
      <c r="I28" s="193" t="str">
        <f>INDEX(_RPT_CARDS!$H$2:$H$24,MATCH(E28,_RPT_CARDS!$B$2:$B$24,0))</f>
        <v/>
      </c>
      <c r="J28" s="193" t="str">
        <f>INDEX(_RPT_CARDS!$Q$2:$Q$24,MATCH(E28,_RPT_CARDS!$B$2:$B$24,0))</f>
        <v>100%</v>
      </c>
      <c r="K28" s="193" t="str">
        <f>INDEX(_RPT_CARDS!$R$2:$R$24,MATCH(E28,_RPT_CARDS!$B$2:$B$24,0))</f>
        <v>NO_DATA</v>
      </c>
      <c r="L28" s="193" t="str">
        <f>INDEX(_RPT_CARDS!$L$2:$L$24,MATCH(E28,_RPT_CARDS!$B$2:$B$24,0))</f>
        <v>N/A</v>
      </c>
      <c r="M28" s="193" t="str">
        <f>TRIM("YTD: "&amp;INDEX(_RPT_CARDS!$N$2:$N$24,MATCH(E28,_RPT_CARDS!$B$2:$B$24,0))&amp;". "&amp;INDEX(_RPT_CARDS!$U$2:$U$24,MATCH(E28,_RPT_CARDS!$B$2:$B$24,0)))</f>
        <v>YTD: n/a. No data.</v>
      </c>
      <c r="N28">
        <v>27</v>
      </c>
      <c r="O28" s="193" t="str">
        <f t="shared" si="0"/>
        <v>Compressor Plant</v>
      </c>
      <c r="P28" s="249">
        <f t="shared" si="1"/>
        <v>46296</v>
      </c>
      <c r="Q28" s="193" t="str">
        <f>IF($D28="KPI_CARD",IFERROR(IF(INDEX(_RPT_CARDS!$V$2:$V$24,MATCH($E28,_RPT_CARDS!$B$2:$B$24,0))="","",INDEX(_RPT_CARDS!$V$2:$V$24,MATCH($E28,_RPT_CARDS!$B$2:$B$24,0))),""),"")</f>
        <v>% (fracción)</v>
      </c>
      <c r="R28" s="193">
        <f>IF($D28="KPI_CARD",IFERROR(IF(INDEX(_RPT_CARDS!$P$2:$P$24,MATCH($E28,_RPT_CARDS!$B$2:$B$24,0))="","",INDEX(_RPT_CARDS!$P$2:$P$24,MATCH($E28,_RPT_CARDS!$B$2:$B$24,0))),""),"")</f>
        <v>1</v>
      </c>
      <c r="S28" s="193" t="str">
        <f>IF($D28="KPI_CARD",IFERROR(IF(INDEX(_RPT_CARDS!$Z$2:$Z$24,MATCH($E28,_RPT_CARDS!$B$2:$B$24,0))="","",INDEX(_RPT_CARDS!$Z$2:$Z$24,MATCH($E28,_RPT_CARDS!$B$2:$B$24,0))),""),"")</f>
        <v>≥</v>
      </c>
      <c r="T28" s="193" t="str">
        <f>IF($D28="KPI_CARD",IFERROR(IF(INDEX(_RPT_CARDS!$M$2:$M$24,MATCH($E28,_RPT_CARDS!$B$2:$B$24,0))="","",INDEX(_RPT_CARDS!$M$2:$M$24,MATCH($E28,_RPT_CARDS!$B$2:$B$24,0))),""),"")</f>
        <v/>
      </c>
      <c r="U28" s="193" t="str">
        <f>IF($D28="KPI_CARD",IFERROR(IF(INDEX(_RPT_CARDS!$N$2:$N$24,MATCH($E28,_RPT_CARDS!$B$2:$B$24,0))="","",INDEX(_RPT_CARDS!$N$2:$N$24,MATCH($E28,_RPT_CARDS!$B$2:$B$24,0))),""),"")</f>
        <v>n/a</v>
      </c>
      <c r="V28" s="193" t="str">
        <f>IF($D28="KPI_CARD",IFERROR(IF(INDEX(_RPT_CARDS!$O$2:$O$24,MATCH($E28,_RPT_CARDS!$B$2:$B$24,0))="","",INDEX(_RPT_CARDS!$O$2:$O$24,MATCH($E28,_RPT_CARDS!$B$2:$B$24,0))),""),"")</f>
        <v/>
      </c>
      <c r="W28" s="193" t="str">
        <f>IF($D28="KPI_CARD",IFERROR(IF(INDEX(_RPT_CARDS!$T$2:$T$24,MATCH($E28,_RPT_CARDS!$B$2:$B$24,0))="","",INDEX(_RPT_CARDS!$T$2:$T$24,MATCH($E28,_RPT_CARDS!$B$2:$B$24,0))),""),"")</f>
        <v>MISSING</v>
      </c>
      <c r="X28" s="193" t="str">
        <f ca="1">IF(LEFT(Control!$C$10,4)="ROJO","RED",IF(LEFT(Control!$C$10,8)="AMARILLO","AMBER","GREEN"))</f>
        <v>RED</v>
      </c>
      <c r="Y28" s="193">
        <f>IF(D28&lt;&gt;"KPI_CARD",0,IFERROR(IF(ISNUMBER(I28)&lt;&gt;ISNUMBER(INDEX(_RPT_CARDS!$H$2:$H$24,MATCH(E28,_RPT_CARDS!$B$2:$B$24,0))),1,IF(ISNUMBER(I28),--(I28&lt;&gt;INDEX(_RPT_CARDS!$H$2:$H$24,MATCH(E28,_RPT_CARDS!$B$2:$B$24,0))),0)),1))</f>
        <v>0</v>
      </c>
      <c r="Z28" s="193">
        <f>IF(D28&lt;&gt;"KPI_CARD",0,IFERROR(IF(ISNUMBER(T28)&lt;&gt;ISNUMBER(INDEX(_RPT_CARDS!$M$2:$M$24,MATCH(E28,_RPT_CARDS!$B$2:$B$24,0))),1,IF(ISNUMBER(T28),--(T28&lt;&gt;INDEX(_RPT_CARDS!$M$2:$M$24,MATCH(E28,_RPT_CARDS!$B$2:$B$24,0))),0)),1))</f>
        <v>0</v>
      </c>
    </row>
    <row r="29" spans="1:24" ht="13.5" customHeight="1" x14ac:dyDescent="0.3">
      <c r="A29">
        <v>4</v>
      </c>
      <c r="B29" t="s">
        <v>1225</v>
      </c>
      <c r="C29" t="s">
        <v>1165</v>
      </c>
      <c r="D29" t="s">
        <v>1215</v>
      </c>
      <c r="E29" t="s">
        <v>1165</v>
      </c>
      <c r="F29" s="193" t="str">
        <f>INDEX(_RPT_SPEC_CHART!$D$2:$D$16,MATCH(E29,_RPT_SPEC_CHART!$A$2:$A$16,0))</f>
        <v>Planned vs completed: drills, walkthroughs, committees</v>
      </c>
      <c r="G29" s="193" t="str">
        <f>INDEX(_RPT_SPEC_CHART!$E$2:$E$16,MATCH(E29,_RPT_SPEC_CHART!$A$2:$A$16,0))</f>
        <v>Are we executing the proactive activities we planned, this month and year to date?</v>
      </c>
      <c r="H29" s="193" t="str">
        <f>INDEX(_RPT_SPEC_CHART!$N$2:$N$16,MATCH(E29,_RPT_SPEC_CHART!$A$2:$A$16,0))&amp;" of "&amp;INDEX(_RPT_SPEC_CHART!$O$2:$O$16,MATCH(E29,_RPT_SPEC_CHART!$A$2:$A$16,0))&amp;" points"</f>
        <v>0 of 16 points</v>
      </c>
      <c r="I29" s="193">
        <f>INDEX(_RPT_SPEC_CHART!$N$2:$N$16,MATCH(E29,_RPT_SPEC_CHART!$A$2:$A$16,0))</f>
        <v>0</v>
      </c>
      <c r="J29" s="193" t="str">
        <f>INDEX(_RPT_SPEC_CHART!$J$2:$J$16,MATCH(E29,_RPT_SPEC_CHART!$A$2:$A$16,0))</f>
        <v>No (planned is the reference)</v>
      </c>
      <c r="K29" s="193" t="str">
        <f>INDEX(_RPT_SPEC_CHART!$P$2:$P$16,MATCH(E29,_RPT_SPEC_CHART!$A$2:$A$16,0))</f>
        <v>NO_DATA</v>
      </c>
      <c r="M29" s="193" t="str">
        <f>INDEX(_RPT_SPEC_CHART!$M$2:$M$16,MATCH(E29,_RPT_SPEC_CHART!$A$2:$A$16,0))</f>
        <v>CPSE - Drills (emergency and operational); CAMS - Drill improvement actions; ICCS - Management walkthroughs; CCS - Safety committees</v>
      </c>
      <c r="N29">
        <v>28</v>
      </c>
      <c r="O29" s="193" t="str">
        <f t="shared" si="0"/>
        <v>Compressor Plant</v>
      </c>
      <c r="P29" s="249">
        <f t="shared" si="1"/>
        <v>46296</v>
      </c>
      <c r="Q29" s="193" t="str">
        <f>IF($D29="KPI_CARD",IFERROR(IF(INDEX(_RPT_CARDS!$V$2:$V$24,MATCH($E29,_RPT_CARDS!$B$2:$B$24,0))="","",INDEX(_RPT_CARDS!$V$2:$V$24,MATCH($E29,_RPT_CARDS!$B$2:$B$24,0))),""),"")</f>
        <v/>
      </c>
      <c r="R29" s="193" t="str">
        <f>IF($D29="KPI_CARD",IFERROR(IF(INDEX(_RPT_CARDS!$P$2:$P$24,MATCH($E29,_RPT_CARDS!$B$2:$B$24,0))="","",INDEX(_RPT_CARDS!$P$2:$P$24,MATCH($E29,_RPT_CARDS!$B$2:$B$24,0))),""),"")</f>
        <v/>
      </c>
      <c r="S29" s="193" t="str">
        <f>IF($D29="KPI_CARD",IFERROR(IF(INDEX(_RPT_CARDS!$Z$2:$Z$24,MATCH($E29,_RPT_CARDS!$B$2:$B$24,0))="","",INDEX(_RPT_CARDS!$Z$2:$Z$24,MATCH($E29,_RPT_CARDS!$B$2:$B$24,0))),""),"")</f>
        <v/>
      </c>
      <c r="T29" s="193" t="str">
        <f>IF($D29="KPI_CARD",IFERROR(IF(INDEX(_RPT_CARDS!$M$2:$M$24,MATCH($E29,_RPT_CARDS!$B$2:$B$24,0))="","",INDEX(_RPT_CARDS!$M$2:$M$24,MATCH($E29,_RPT_CARDS!$B$2:$B$24,0))),""),"")</f>
        <v/>
      </c>
      <c r="U29" s="193" t="str">
        <f>IF($D29="KPI_CARD",IFERROR(IF(INDEX(_RPT_CARDS!$N$2:$N$24,MATCH($E29,_RPT_CARDS!$B$2:$B$24,0))="","",INDEX(_RPT_CARDS!$N$2:$N$24,MATCH($E29,_RPT_CARDS!$B$2:$B$24,0))),""),"")</f>
        <v/>
      </c>
      <c r="V29" s="193" t="str">
        <f>IF($D29="KPI_CARD",IFERROR(IF(INDEX(_RPT_CARDS!$O$2:$O$24,MATCH($E29,_RPT_CARDS!$B$2:$B$24,0))="","",INDEX(_RPT_CARDS!$O$2:$O$24,MATCH($E29,_RPT_CARDS!$B$2:$B$24,0))),""),"")</f>
        <v/>
      </c>
      <c r="W29" s="193" t="str">
        <f>IF($D29="KPI_CARD",IFERROR(IF(INDEX(_RPT_CARDS!$T$2:$T$24,MATCH($E29,_RPT_CARDS!$B$2:$B$24,0))="","",INDEX(_RPT_CARDS!$T$2:$T$24,MATCH($E29,_RPT_CARDS!$B$2:$B$24,0))),""),"")</f>
        <v/>
      </c>
      <c r="X29" s="193" t="str">
        <f ca="1">IF(LEFT(Control!$C$10,4)="ROJO","RED",IF(LEFT(Control!$C$10,8)="AMARILLO","AMBER","GREEN"))</f>
        <v>RED</v>
      </c>
      <c r="Y29" s="193">
        <f>IF(D29&lt;&gt;"KPI_CARD",0,IFERROR(IF(ISNUMBER(I29)&lt;&gt;ISNUMBER(INDEX(_RPT_CARDS!$H$2:$H$24,MATCH(E29,_RPT_CARDS!$B$2:$B$24,0))),1,IF(ISNUMBER(I29),--(I29&lt;&gt;INDEX(_RPT_CARDS!$H$2:$H$24,MATCH(E29,_RPT_CARDS!$B$2:$B$24,0))),0)),1))</f>
        <v>0</v>
      </c>
      <c r="Z29" s="193">
        <f>IF(D29&lt;&gt;"KPI_CARD",0,IFERROR(IF(ISNUMBER(T29)&lt;&gt;ISNUMBER(INDEX(_RPT_CARDS!$M$2:$M$24,MATCH(E29,_RPT_CARDS!$B$2:$B$24,0))),1,IF(ISNUMBER(T29),--(T29&lt;&gt;INDEX(_RPT_CARDS!$M$2:$M$24,MATCH(E29,_RPT_CARDS!$B$2:$B$24,0))),0)),1))</f>
        <v>0</v>
      </c>
    </row>
    <row r="30" spans="1:24" ht="13.5" customHeight="1" x14ac:dyDescent="0.3">
      <c r="A30">
        <v>4</v>
      </c>
      <c r="B30" t="s">
        <v>1225</v>
      </c>
      <c r="C30" t="s">
        <v>1116</v>
      </c>
      <c r="D30" t="s">
        <v>1215</v>
      </c>
      <c r="E30" t="s">
        <v>1116</v>
      </c>
      <c r="F30" s="193" t="str">
        <f>INDEX(_RPT_SPEC_CHART!$D$2:$D$16,MATCH(E30,_RPT_SPEC_CHART!$A$2:$A$16,0))</f>
        <v>Proactive compliance trend</v>
      </c>
      <c r="G30" s="193" t="str">
        <f>INDEX(_RPT_SPEC_CHART!$E$2:$E$16,MATCH(E30,_RPT_SPEC_CHART!$A$2:$A$16,0))</f>
        <v>Is compliance with planned proactive activities sustained over time?</v>
      </c>
      <c r="H30" s="193" t="str">
        <f>INDEX(_RPT_SPEC_CHART!$N$2:$N$16,MATCH(E30,_RPT_SPEC_CHART!$A$2:$A$16,0))&amp;" of "&amp;INDEX(_RPT_SPEC_CHART!$O$2:$O$16,MATCH(E30,_RPT_SPEC_CHART!$A$2:$A$16,0))&amp;" points"</f>
        <v>5 of 12 points</v>
      </c>
      <c r="I30" s="193">
        <f>INDEX(_RPT_SPEC_CHART!$N$2:$N$16,MATCH(E30,_RPT_SPEC_CHART!$A$2:$A$16,0))</f>
        <v>5</v>
      </c>
      <c r="J30" s="193" t="str">
        <f>INDEX(_RPT_SPEC_CHART!$J$2:$J$16,MATCH(E30,_RPT_SPEC_CHART!$A$2:$A$16,0))</f>
        <v>Yes, per series when numeric target exists; CAMS target provisional (flag)</v>
      </c>
      <c r="K30" s="193" t="str">
        <f>INDEX(_RPT_SPEC_CHART!$P$2:$P$16,MATCH(E30,_RPT_SPEC_CHART!$A$2:$A$16,0))</f>
        <v>PARTIAL</v>
      </c>
      <c r="M30" s="193" t="str">
        <f>INDEX(_RPT_SPEC_CHART!$M$2:$M$16,MATCH(E30,_RPT_SPEC_CHART!$A$2:$A$16,0))</f>
        <v>Compliance % = completed / planned (Cumplimiento = realizado / programado)</v>
      </c>
      <c r="N30">
        <v>29</v>
      </c>
      <c r="O30" s="193" t="str">
        <f t="shared" si="0"/>
        <v>Compressor Plant</v>
      </c>
      <c r="P30" s="249">
        <f t="shared" si="1"/>
        <v>46296</v>
      </c>
      <c r="Q30" s="193" t="str">
        <f>IF($D30="KPI_CARD",IFERROR(IF(INDEX(_RPT_CARDS!$V$2:$V$24,MATCH($E30,_RPT_CARDS!$B$2:$B$24,0))="","",INDEX(_RPT_CARDS!$V$2:$V$24,MATCH($E30,_RPT_CARDS!$B$2:$B$24,0))),""),"")</f>
        <v/>
      </c>
      <c r="R30" s="193" t="str">
        <f>IF($D30="KPI_CARD",IFERROR(IF(INDEX(_RPT_CARDS!$P$2:$P$24,MATCH($E30,_RPT_CARDS!$B$2:$B$24,0))="","",INDEX(_RPT_CARDS!$P$2:$P$24,MATCH($E30,_RPT_CARDS!$B$2:$B$24,0))),""),"")</f>
        <v/>
      </c>
      <c r="S30" s="193" t="str">
        <f>IF($D30="KPI_CARD",IFERROR(IF(INDEX(_RPT_CARDS!$Z$2:$Z$24,MATCH($E30,_RPT_CARDS!$B$2:$B$24,0))="","",INDEX(_RPT_CARDS!$Z$2:$Z$24,MATCH($E30,_RPT_CARDS!$B$2:$B$24,0))),""),"")</f>
        <v/>
      </c>
      <c r="T30" s="193" t="str">
        <f>IF($D30="KPI_CARD",IFERROR(IF(INDEX(_RPT_CARDS!$M$2:$M$24,MATCH($E30,_RPT_CARDS!$B$2:$B$24,0))="","",INDEX(_RPT_CARDS!$M$2:$M$24,MATCH($E30,_RPT_CARDS!$B$2:$B$24,0))),""),"")</f>
        <v/>
      </c>
      <c r="U30" s="193" t="str">
        <f>IF($D30="KPI_CARD",IFERROR(IF(INDEX(_RPT_CARDS!$N$2:$N$24,MATCH($E30,_RPT_CARDS!$B$2:$B$24,0))="","",INDEX(_RPT_CARDS!$N$2:$N$24,MATCH($E30,_RPT_CARDS!$B$2:$B$24,0))),""),"")</f>
        <v/>
      </c>
      <c r="V30" s="193" t="str">
        <f>IF($D30="KPI_CARD",IFERROR(IF(INDEX(_RPT_CARDS!$O$2:$O$24,MATCH($E30,_RPT_CARDS!$B$2:$B$24,0))="","",INDEX(_RPT_CARDS!$O$2:$O$24,MATCH($E30,_RPT_CARDS!$B$2:$B$24,0))),""),"")</f>
        <v/>
      </c>
      <c r="W30" s="193" t="str">
        <f>IF($D30="KPI_CARD",IFERROR(IF(INDEX(_RPT_CARDS!$T$2:$T$24,MATCH($E30,_RPT_CARDS!$B$2:$B$24,0))="","",INDEX(_RPT_CARDS!$T$2:$T$24,MATCH($E30,_RPT_CARDS!$B$2:$B$24,0))),""),"")</f>
        <v/>
      </c>
      <c r="X30" s="193" t="str">
        <f ca="1">IF(LEFT(Control!$C$10,4)="ROJO","RED",IF(LEFT(Control!$C$10,8)="AMARILLO","AMBER","GREEN"))</f>
        <v>RED</v>
      </c>
      <c r="Y30" s="193">
        <f>IF(D30&lt;&gt;"KPI_CARD",0,IFERROR(IF(ISNUMBER(I30)&lt;&gt;ISNUMBER(INDEX(_RPT_CARDS!$H$2:$H$24,MATCH(E30,_RPT_CARDS!$B$2:$B$24,0))),1,IF(ISNUMBER(I30),--(I30&lt;&gt;INDEX(_RPT_CARDS!$H$2:$H$24,MATCH(E30,_RPT_CARDS!$B$2:$B$24,0))),0)),1))</f>
        <v>0</v>
      </c>
      <c r="Z30" s="193">
        <f>IF(D30&lt;&gt;"KPI_CARD",0,IFERROR(IF(ISNUMBER(T30)&lt;&gt;ISNUMBER(INDEX(_RPT_CARDS!$M$2:$M$24,MATCH(E30,_RPT_CARDS!$B$2:$B$24,0))),1,IF(ISNUMBER(T30),--(T30&lt;&gt;INDEX(_RPT_CARDS!$M$2:$M$24,MATCH(E30,_RPT_CARDS!$B$2:$B$24,0))),0)),1))</f>
        <v>0</v>
      </c>
    </row>
    <row r="31" spans="1:24" ht="13.5" customHeight="1" x14ac:dyDescent="0.3">
      <c r="A31">
        <v>5</v>
      </c>
      <c r="B31" t="s">
        <v>1230</v>
      </c>
      <c r="C31" t="s">
        <v>1231</v>
      </c>
      <c r="D31" t="s">
        <v>1209</v>
      </c>
      <c r="E31" t="s">
        <v>63</v>
      </c>
      <c r="F31" s="193" t="str">
        <f>INDEX(_RPT_CARDS!$D$2:$D$24,MATCH(E31,_RPT_CARDS!$B$2:$B$24,0))</f>
        <v>Safety observations per person</v>
      </c>
      <c r="G31" s="193" t="str">
        <f>INDEX(_RPT_CARDS!$E$2:$E$24,MATCH(E31,_RPT_CARDS!$B$2:$B$24,0))</f>
        <v>Observaciones de seguridad por persona</v>
      </c>
      <c r="H31" s="193" t="str">
        <f>INDEX(_RPT_CARDS!$I$2:$I$24,MATCH(E31,_RPT_CARDS!$B$2:$B$24,0))</f>
        <v>n/a</v>
      </c>
      <c r="I31" s="193" t="str">
        <f>INDEX(_RPT_CARDS!$H$2:$H$24,MATCH(E31,_RPT_CARDS!$B$2:$B$24,0))</f>
        <v/>
      </c>
      <c r="J31" s="193" t="str">
        <f>INDEX(_RPT_CARDS!$Q$2:$Q$24,MATCH(E31,_RPT_CARDS!$B$2:$B$24,0))</f>
        <v>1.00</v>
      </c>
      <c r="K31" s="193" t="str">
        <f>INDEX(_RPT_CARDS!$R$2:$R$24,MATCH(E31,_RPT_CARDS!$B$2:$B$24,0))</f>
        <v>NO_DATA</v>
      </c>
      <c r="L31" s="193" t="str">
        <f>INDEX(_RPT_CARDS!$L$2:$L$24,MATCH(E31,_RPT_CARDS!$B$2:$B$24,0))</f>
        <v>N/A</v>
      </c>
      <c r="M31" s="193" t="str">
        <f>TRIM("YTD: "&amp;INDEX(_RPT_CARDS!$N$2:$N$24,MATCH(E31,_RPT_CARDS!$B$2:$B$24,0))&amp;". "&amp;INDEX(_RPT_CARDS!$U$2:$U$24,MATCH(E31,_RPT_CARDS!$B$2:$B$24,0)))</f>
        <v>YTD: Pending definition. No data.</v>
      </c>
      <c r="N31">
        <v>30</v>
      </c>
      <c r="O31" s="193" t="str">
        <f t="shared" si="0"/>
        <v>Compressor Plant</v>
      </c>
      <c r="P31" s="249">
        <f t="shared" si="1"/>
        <v>46296</v>
      </c>
      <c r="Q31" s="193" t="str">
        <f>IF($D31="KPI_CARD",IFERROR(IF(INDEX(_RPT_CARDS!$V$2:$V$24,MATCH($E31,_RPT_CARDS!$B$2:$B$24,0))="","",INDEX(_RPT_CARDS!$V$2:$V$24,MATCH($E31,_RPT_CARDS!$B$2:$B$24,0))),""),"")</f>
        <v>obs / persona</v>
      </c>
      <c r="R31" s="193">
        <f>IF($D31="KPI_CARD",IFERROR(IF(INDEX(_RPT_CARDS!$P$2:$P$24,MATCH($E31,_RPT_CARDS!$B$2:$B$24,0))="","",INDEX(_RPT_CARDS!$P$2:$P$24,MATCH($E31,_RPT_CARDS!$B$2:$B$24,0))),""),"")</f>
        <v>1</v>
      </c>
      <c r="S31" s="193" t="str">
        <f>IF($D31="KPI_CARD",IFERROR(IF(INDEX(_RPT_CARDS!$Z$2:$Z$24,MATCH($E31,_RPT_CARDS!$B$2:$B$24,0))="","",INDEX(_RPT_CARDS!$Z$2:$Z$24,MATCH($E31,_RPT_CARDS!$B$2:$B$24,0))),""),"")</f>
        <v>≥</v>
      </c>
      <c r="T31" s="193" t="str">
        <f>IF($D31="KPI_CARD",IFERROR(IF(INDEX(_RPT_CARDS!$M$2:$M$24,MATCH($E31,_RPT_CARDS!$B$2:$B$24,0))="","",INDEX(_RPT_CARDS!$M$2:$M$24,MATCH($E31,_RPT_CARDS!$B$2:$B$24,0))),""),"")</f>
        <v/>
      </c>
      <c r="U31" s="193" t="str">
        <f>IF($D31="KPI_CARD",IFERROR(IF(INDEX(_RPT_CARDS!$N$2:$N$24,MATCH($E31,_RPT_CARDS!$B$2:$B$24,0))="","",INDEX(_RPT_CARDS!$N$2:$N$24,MATCH($E31,_RPT_CARDS!$B$2:$B$24,0))),""),"")</f>
        <v>Pending definition</v>
      </c>
      <c r="V31" s="193" t="str">
        <f>IF($D31="KPI_CARD",IFERROR(IF(INDEX(_RPT_CARDS!$O$2:$O$24,MATCH($E31,_RPT_CARDS!$B$2:$B$24,0))="","",INDEX(_RPT_CARDS!$O$2:$O$24,MATCH($E31,_RPT_CARDS!$B$2:$B$24,0))),""),"")</f>
        <v/>
      </c>
      <c r="W31" s="193" t="str">
        <f>IF($D31="KPI_CARD",IFERROR(IF(INDEX(_RPT_CARDS!$T$2:$T$24,MATCH($E31,_RPT_CARDS!$B$2:$B$24,0))="","",INDEX(_RPT_CARDS!$T$2:$T$24,MATCH($E31,_RPT_CARDS!$B$2:$B$24,0))),""),"")</f>
        <v>MISSING</v>
      </c>
      <c r="X31" s="193" t="str">
        <f ca="1">IF(LEFT(Control!$C$10,4)="ROJO","RED",IF(LEFT(Control!$C$10,8)="AMARILLO","AMBER","GREEN"))</f>
        <v>RED</v>
      </c>
      <c r="Y31" s="193">
        <f>IF(D31&lt;&gt;"KPI_CARD",0,IFERROR(IF(ISNUMBER(I31)&lt;&gt;ISNUMBER(INDEX(_RPT_CARDS!$H$2:$H$24,MATCH(E31,_RPT_CARDS!$B$2:$B$24,0))),1,IF(ISNUMBER(I31),--(I31&lt;&gt;INDEX(_RPT_CARDS!$H$2:$H$24,MATCH(E31,_RPT_CARDS!$B$2:$B$24,0))),0)),1))</f>
        <v>0</v>
      </c>
      <c r="Z31" s="193">
        <f>IF(D31&lt;&gt;"KPI_CARD",0,IFERROR(IF(ISNUMBER(T31)&lt;&gt;ISNUMBER(INDEX(_RPT_CARDS!$M$2:$M$24,MATCH(E31,_RPT_CARDS!$B$2:$B$24,0))),1,IF(ISNUMBER(T31),--(T31&lt;&gt;INDEX(_RPT_CARDS!$M$2:$M$24,MATCH(E31,_RPT_CARDS!$B$2:$B$24,0))),0)),1))</f>
        <v>0</v>
      </c>
    </row>
    <row r="32" spans="1:24" ht="13.5" customHeight="1" x14ac:dyDescent="0.3">
      <c r="A32">
        <v>5</v>
      </c>
      <c r="B32" t="s">
        <v>1230</v>
      </c>
      <c r="C32" t="s">
        <v>1232</v>
      </c>
      <c r="D32" t="s">
        <v>1209</v>
      </c>
      <c r="E32" t="s">
        <v>76</v>
      </c>
      <c r="F32" s="193" t="str">
        <f>INDEX(_RPT_CARDS!$D$2:$D$24,MATCH(E32,_RPT_CARDS!$B$2:$B$24,0))</f>
        <v>Safety training, % of hours worked</v>
      </c>
      <c r="G32" s="193" t="str">
        <f>INDEX(_RPT_CARDS!$E$2:$E$24,MATCH(E32,_RPT_CARDS!$B$2:$B$24,0))</f>
        <v>% de capacitación en seguridad</v>
      </c>
      <c r="H32" s="193" t="str">
        <f>INDEX(_RPT_CARDS!$I$2:$I$24,MATCH(E32,_RPT_CARDS!$B$2:$B$24,0))</f>
        <v>n/a</v>
      </c>
      <c r="I32" s="193" t="str">
        <f>INDEX(_RPT_CARDS!$H$2:$H$24,MATCH(E32,_RPT_CARDS!$B$2:$B$24,0))</f>
        <v/>
      </c>
      <c r="J32" s="193" t="str">
        <f>INDEX(_RPT_CARDS!$Q$2:$Q$24,MATCH(E32,_RPT_CARDS!$B$2:$B$24,0))</f>
        <v>1.00%</v>
      </c>
      <c r="K32" s="193" t="str">
        <f>INDEX(_RPT_CARDS!$R$2:$R$24,MATCH(E32,_RPT_CARDS!$B$2:$B$24,0))</f>
        <v>NO_DATA</v>
      </c>
      <c r="L32" s="193" t="str">
        <f>INDEX(_RPT_CARDS!$L$2:$L$24,MATCH(E32,_RPT_CARDS!$B$2:$B$24,0))</f>
        <v>N/A</v>
      </c>
      <c r="M32" s="193" t="str">
        <f>TRIM("YTD: "&amp;INDEX(_RPT_CARDS!$N$2:$N$24,MATCH(E32,_RPT_CARDS!$B$2:$B$24,0))&amp;". "&amp;INDEX(_RPT_CARDS!$U$2:$U$24,MATCH(E32,_RPT_CARDS!$B$2:$B$24,0)))</f>
        <v>YTD: n/a. No data.</v>
      </c>
      <c r="N32">
        <v>31</v>
      </c>
      <c r="O32" s="193" t="str">
        <f t="shared" si="0"/>
        <v>Compressor Plant</v>
      </c>
      <c r="P32" s="249">
        <f t="shared" si="1"/>
        <v>46296</v>
      </c>
      <c r="Q32" s="193" t="str">
        <f>IF($D32="KPI_CARD",IFERROR(IF(INDEX(_RPT_CARDS!$V$2:$V$24,MATCH($E32,_RPT_CARDS!$B$2:$B$24,0))="","",INDEX(_RPT_CARDS!$V$2:$V$24,MATCH($E32,_RPT_CARDS!$B$2:$B$24,0))),""),"")</f>
        <v>% (fracción)</v>
      </c>
      <c r="R32" s="193">
        <f>IF($D32="KPI_CARD",IFERROR(IF(INDEX(_RPT_CARDS!$P$2:$P$24,MATCH($E32,_RPT_CARDS!$B$2:$B$24,0))="","",INDEX(_RPT_CARDS!$P$2:$P$24,MATCH($E32,_RPT_CARDS!$B$2:$B$24,0))),""),"")</f>
        <v>0.01</v>
      </c>
      <c r="S32" s="193" t="str">
        <f>IF($D32="KPI_CARD",IFERROR(IF(INDEX(_RPT_CARDS!$Z$2:$Z$24,MATCH($E32,_RPT_CARDS!$B$2:$B$24,0))="","",INDEX(_RPT_CARDS!$Z$2:$Z$24,MATCH($E32,_RPT_CARDS!$B$2:$B$24,0))),""),"")</f>
        <v>≥</v>
      </c>
      <c r="T32" s="193" t="str">
        <f>IF($D32="KPI_CARD",IFERROR(IF(INDEX(_RPT_CARDS!$M$2:$M$24,MATCH($E32,_RPT_CARDS!$B$2:$B$24,0))="","",INDEX(_RPT_CARDS!$M$2:$M$24,MATCH($E32,_RPT_CARDS!$B$2:$B$24,0))),""),"")</f>
        <v/>
      </c>
      <c r="U32" s="193" t="str">
        <f>IF($D32="KPI_CARD",IFERROR(IF(INDEX(_RPT_CARDS!$N$2:$N$24,MATCH($E32,_RPT_CARDS!$B$2:$B$24,0))="","",INDEX(_RPT_CARDS!$N$2:$N$24,MATCH($E32,_RPT_CARDS!$B$2:$B$24,0))),""),"")</f>
        <v>n/a</v>
      </c>
      <c r="V32" s="193" t="str">
        <f>IF($D32="KPI_CARD",IFERROR(IF(INDEX(_RPT_CARDS!$O$2:$O$24,MATCH($E32,_RPT_CARDS!$B$2:$B$24,0))="","",INDEX(_RPT_CARDS!$O$2:$O$24,MATCH($E32,_RPT_CARDS!$B$2:$B$24,0))),""),"")</f>
        <v/>
      </c>
      <c r="W32" s="193" t="str">
        <f>IF($D32="KPI_CARD",IFERROR(IF(INDEX(_RPT_CARDS!$T$2:$T$24,MATCH($E32,_RPT_CARDS!$B$2:$B$24,0))="","",INDEX(_RPT_CARDS!$T$2:$T$24,MATCH($E32,_RPT_CARDS!$B$2:$B$24,0))),""),"")</f>
        <v>MISSING</v>
      </c>
      <c r="X32" s="193" t="str">
        <f ca="1">IF(LEFT(Control!$C$10,4)="ROJO","RED",IF(LEFT(Control!$C$10,8)="AMARILLO","AMBER","GREEN"))</f>
        <v>RED</v>
      </c>
      <c r="Y32" s="193">
        <f>IF(D32&lt;&gt;"KPI_CARD",0,IFERROR(IF(ISNUMBER(I32)&lt;&gt;ISNUMBER(INDEX(_RPT_CARDS!$H$2:$H$24,MATCH(E32,_RPT_CARDS!$B$2:$B$24,0))),1,IF(ISNUMBER(I32),--(I32&lt;&gt;INDEX(_RPT_CARDS!$H$2:$H$24,MATCH(E32,_RPT_CARDS!$B$2:$B$24,0))),0)),1))</f>
        <v>0</v>
      </c>
      <c r="Z32" s="193">
        <f>IF(D32&lt;&gt;"KPI_CARD",0,IFERROR(IF(ISNUMBER(T32)&lt;&gt;ISNUMBER(INDEX(_RPT_CARDS!$M$2:$M$24,MATCH(E32,_RPT_CARDS!$B$2:$B$24,0))),1,IF(ISNUMBER(T32),--(T32&lt;&gt;INDEX(_RPT_CARDS!$M$2:$M$24,MATCH(E32,_RPT_CARDS!$B$2:$B$24,0))),0)),1))</f>
        <v>0</v>
      </c>
    </row>
    <row r="33" spans="1:24" ht="13.5" customHeight="1" x14ac:dyDescent="0.3">
      <c r="A33">
        <v>5</v>
      </c>
      <c r="B33" t="s">
        <v>1230</v>
      </c>
      <c r="C33" t="s">
        <v>1233</v>
      </c>
      <c r="D33" t="s">
        <v>1209</v>
      </c>
      <c r="E33" t="s">
        <v>80</v>
      </c>
      <c r="F33" s="193" t="str">
        <f>INDEX(_RPT_CARDS!$D$2:$D$24,MATCH(E33,_RPT_CARDS!$B$2:$B$24,0))</f>
        <v>Safety training hours per person</v>
      </c>
      <c r="G33" s="193" t="str">
        <f>INDEX(_RPT_CARDS!$E$2:$E$24,MATCH(E33,_RPT_CARDS!$B$2:$B$24,0))</f>
        <v>Horas de capacitación por persona</v>
      </c>
      <c r="H33" s="193" t="str">
        <f>INDEX(_RPT_CARDS!$I$2:$I$24,MATCH(E33,_RPT_CARDS!$B$2:$B$24,0))</f>
        <v>n/a</v>
      </c>
      <c r="I33" s="193" t="str">
        <f>INDEX(_RPT_CARDS!$H$2:$H$24,MATCH(E33,_RPT_CARDS!$B$2:$B$24,0))</f>
        <v/>
      </c>
      <c r="J33" s="193" t="str">
        <f>INDEX(_RPT_CARDS!$Q$2:$Q$24,MATCH(E33,_RPT_CARDS!$B$2:$B$24,0))</f>
        <v>Reported only</v>
      </c>
      <c r="K33" s="193" t="str">
        <f>INDEX(_RPT_CARDS!$R$2:$R$24,MATCH(E33,_RPT_CARDS!$B$2:$B$24,0))</f>
        <v>NO_DATA</v>
      </c>
      <c r="L33" s="193" t="str">
        <f>INDEX(_RPT_CARDS!$L$2:$L$24,MATCH(E33,_RPT_CARDS!$B$2:$B$24,0))</f>
        <v>N/A</v>
      </c>
      <c r="M33" s="193" t="str">
        <f>TRIM("YTD: "&amp;INDEX(_RPT_CARDS!$N$2:$N$24,MATCH(E33,_RPT_CARDS!$B$2:$B$24,0))&amp;". "&amp;INDEX(_RPT_CARDS!$U$2:$U$24,MATCH(E33,_RPT_CARDS!$B$2:$B$24,0)))</f>
        <v>YTD: Pending definition. No data.</v>
      </c>
      <c r="N33">
        <v>32</v>
      </c>
      <c r="O33" s="193" t="str">
        <f t="shared" si="0"/>
        <v>Compressor Plant</v>
      </c>
      <c r="P33" s="249">
        <f t="shared" si="1"/>
        <v>46296</v>
      </c>
      <c r="Q33" s="193" t="str">
        <f>IF($D33="KPI_CARD",IFERROR(IF(INDEX(_RPT_CARDS!$V$2:$V$24,MATCH($E33,_RPT_CARDS!$B$2:$B$24,0))="","",INDEX(_RPT_CARDS!$V$2:$V$24,MATCH($E33,_RPT_CARDS!$B$2:$B$24,0))),""),"")</f>
        <v>h / persona</v>
      </c>
      <c r="R33" s="193" t="str">
        <f>IF($D33="KPI_CARD",IFERROR(IF(INDEX(_RPT_CARDS!$P$2:$P$24,MATCH($E33,_RPT_CARDS!$B$2:$B$24,0))="","",INDEX(_RPT_CARDS!$P$2:$P$24,MATCH($E33,_RPT_CARDS!$B$2:$B$24,0))),""),"")</f>
        <v/>
      </c>
      <c r="S33" s="193" t="str">
        <f>IF($D33="KPI_CARD",IFERROR(IF(INDEX(_RPT_CARDS!$Z$2:$Z$24,MATCH($E33,_RPT_CARDS!$B$2:$B$24,0))="","",INDEX(_RPT_CARDS!$Z$2:$Z$24,MATCH($E33,_RPT_CARDS!$B$2:$B$24,0))),""),"")</f>
        <v/>
      </c>
      <c r="T33" s="193" t="str">
        <f>IF($D33="KPI_CARD",IFERROR(IF(INDEX(_RPT_CARDS!$M$2:$M$24,MATCH($E33,_RPT_CARDS!$B$2:$B$24,0))="","",INDEX(_RPT_CARDS!$M$2:$M$24,MATCH($E33,_RPT_CARDS!$B$2:$B$24,0))),""),"")</f>
        <v/>
      </c>
      <c r="U33" s="193" t="str">
        <f>IF($D33="KPI_CARD",IFERROR(IF(INDEX(_RPT_CARDS!$N$2:$N$24,MATCH($E33,_RPT_CARDS!$B$2:$B$24,0))="","",INDEX(_RPT_CARDS!$N$2:$N$24,MATCH($E33,_RPT_CARDS!$B$2:$B$24,0))),""),"")</f>
        <v>Pending definition</v>
      </c>
      <c r="V33" s="193" t="str">
        <f>IF($D33="KPI_CARD",IFERROR(IF(INDEX(_RPT_CARDS!$O$2:$O$24,MATCH($E33,_RPT_CARDS!$B$2:$B$24,0))="","",INDEX(_RPT_CARDS!$O$2:$O$24,MATCH($E33,_RPT_CARDS!$B$2:$B$24,0))),""),"")</f>
        <v/>
      </c>
      <c r="W33" s="193" t="str">
        <f>IF($D33="KPI_CARD",IFERROR(IF(INDEX(_RPT_CARDS!$T$2:$T$24,MATCH($E33,_RPT_CARDS!$B$2:$B$24,0))="","",INDEX(_RPT_CARDS!$T$2:$T$24,MATCH($E33,_RPT_CARDS!$B$2:$B$24,0))),""),"")</f>
        <v>MISSING</v>
      </c>
      <c r="X33" s="193" t="str">
        <f ca="1">IF(LEFT(Control!$C$10,4)="ROJO","RED",IF(LEFT(Control!$C$10,8)="AMARILLO","AMBER","GREEN"))</f>
        <v>RED</v>
      </c>
      <c r="Y33" s="193">
        <f>IF(D33&lt;&gt;"KPI_CARD",0,IFERROR(IF(ISNUMBER(I33)&lt;&gt;ISNUMBER(INDEX(_RPT_CARDS!$H$2:$H$24,MATCH(E33,_RPT_CARDS!$B$2:$B$24,0))),1,IF(ISNUMBER(I33),--(I33&lt;&gt;INDEX(_RPT_CARDS!$H$2:$H$24,MATCH(E33,_RPT_CARDS!$B$2:$B$24,0))),0)),1))</f>
        <v>0</v>
      </c>
      <c r="Z33" s="193">
        <f>IF(D33&lt;&gt;"KPI_CARD",0,IFERROR(IF(ISNUMBER(T33)&lt;&gt;ISNUMBER(INDEX(_RPT_CARDS!$M$2:$M$24,MATCH(E33,_RPT_CARDS!$B$2:$B$24,0))),1,IF(ISNUMBER(T33),--(T33&lt;&gt;INDEX(_RPT_CARDS!$M$2:$M$24,MATCH(E33,_RPT_CARDS!$B$2:$B$24,0))),0)),1))</f>
        <v>0</v>
      </c>
    </row>
    <row r="34" spans="1:24" ht="13.5" customHeight="1" x14ac:dyDescent="0.3">
      <c r="A34">
        <v>5</v>
      </c>
      <c r="B34" t="s">
        <v>1230</v>
      </c>
      <c r="C34" t="s">
        <v>1126</v>
      </c>
      <c r="D34" t="s">
        <v>1215</v>
      </c>
      <c r="E34" t="s">
        <v>1126</v>
      </c>
      <c r="F34" s="193" t="str">
        <f>INDEX(_RPT_SPEC_CHART!$D$2:$D$16,MATCH(E34,_RPT_SPEC_CHART!$A$2:$A$16,0))</f>
        <v>Safety observations per person</v>
      </c>
      <c r="G34" s="193" t="str">
        <f>INDEX(_RPT_SPEC_CHART!$E$2:$E$16,MATCH(E34,_RPT_SPEC_CHART!$A$2:$A$16,0))</f>
        <v>Is the observation culture active relative to headcount?</v>
      </c>
      <c r="H34" s="193" t="str">
        <f>INDEX(_RPT_SPEC_CHART!$N$2:$N$16,MATCH(E34,_RPT_SPEC_CHART!$A$2:$A$16,0))&amp;" of "&amp;INDEX(_RPT_SPEC_CHART!$O$2:$O$16,MATCH(E34,_RPT_SPEC_CHART!$A$2:$A$16,0))&amp;" points"</f>
        <v>2 of 3 points</v>
      </c>
      <c r="I34" s="193">
        <f>INDEX(_RPT_SPEC_CHART!$N$2:$N$16,MATCH(E34,_RPT_SPEC_CHART!$A$2:$A$16,0))</f>
        <v>2</v>
      </c>
      <c r="J34" s="193" t="str">
        <f>INDEX(_RPT_SPEC_CHART!$J$2:$J$16,MATCH(E34,_RPT_SPEC_CHART!$A$2:$A$16,0))</f>
        <v>Yes, only if numeric target exists (_RPT_META!K)</v>
      </c>
      <c r="K34" s="193" t="str">
        <f>INDEX(_RPT_SPEC_CHART!$P$2:$P$16,MATCH(E34,_RPT_SPEC_CHART!$A$2:$A$16,0))</f>
        <v>PARTIAL</v>
      </c>
      <c r="M34" s="193" t="str">
        <f>INDEX(_RPT_SPEC_CHART!$M$2:$M$16,MATCH(E34,_RPT_SPEC_CHART!$A$2:$A$16,0))</f>
        <v>OBS - Safety Observations (Observaciones de seguridad)</v>
      </c>
      <c r="N34">
        <v>33</v>
      </c>
      <c r="O34" s="193" t="str">
        <f t="shared" ref="O34:O53" si="2">RPT_SCOPE</f>
        <v>Compressor Plant</v>
      </c>
      <c r="P34" s="249">
        <f t="shared" ref="P34:P53" si="3">RPT_MONTH</f>
        <v>46296</v>
      </c>
      <c r="Q34" s="193" t="str">
        <f>IF($D34="KPI_CARD",IFERROR(IF(INDEX(_RPT_CARDS!$V$2:$V$24,MATCH($E34,_RPT_CARDS!$B$2:$B$24,0))="","",INDEX(_RPT_CARDS!$V$2:$V$24,MATCH($E34,_RPT_CARDS!$B$2:$B$24,0))),""),"")</f>
        <v/>
      </c>
      <c r="R34" s="193" t="str">
        <f>IF($D34="KPI_CARD",IFERROR(IF(INDEX(_RPT_CARDS!$P$2:$P$24,MATCH($E34,_RPT_CARDS!$B$2:$B$24,0))="","",INDEX(_RPT_CARDS!$P$2:$P$24,MATCH($E34,_RPT_CARDS!$B$2:$B$24,0))),""),"")</f>
        <v/>
      </c>
      <c r="S34" s="193" t="str">
        <f>IF($D34="KPI_CARD",IFERROR(IF(INDEX(_RPT_CARDS!$Z$2:$Z$24,MATCH($E34,_RPT_CARDS!$B$2:$B$24,0))="","",INDEX(_RPT_CARDS!$Z$2:$Z$24,MATCH($E34,_RPT_CARDS!$B$2:$B$24,0))),""),"")</f>
        <v/>
      </c>
      <c r="T34" s="193" t="str">
        <f>IF($D34="KPI_CARD",IFERROR(IF(INDEX(_RPT_CARDS!$M$2:$M$24,MATCH($E34,_RPT_CARDS!$B$2:$B$24,0))="","",INDEX(_RPT_CARDS!$M$2:$M$24,MATCH($E34,_RPT_CARDS!$B$2:$B$24,0))),""),"")</f>
        <v/>
      </c>
      <c r="U34" s="193" t="str">
        <f>IF($D34="KPI_CARD",IFERROR(IF(INDEX(_RPT_CARDS!$N$2:$N$24,MATCH($E34,_RPT_CARDS!$B$2:$B$24,0))="","",INDEX(_RPT_CARDS!$N$2:$N$24,MATCH($E34,_RPT_CARDS!$B$2:$B$24,0))),""),"")</f>
        <v/>
      </c>
      <c r="V34" s="193" t="str">
        <f>IF($D34="KPI_CARD",IFERROR(IF(INDEX(_RPT_CARDS!$O$2:$O$24,MATCH($E34,_RPT_CARDS!$B$2:$B$24,0))="","",INDEX(_RPT_CARDS!$O$2:$O$24,MATCH($E34,_RPT_CARDS!$B$2:$B$24,0))),""),"")</f>
        <v/>
      </c>
      <c r="W34" s="193" t="str">
        <f>IF($D34="KPI_CARD",IFERROR(IF(INDEX(_RPT_CARDS!$T$2:$T$24,MATCH($E34,_RPT_CARDS!$B$2:$B$24,0))="","",INDEX(_RPT_CARDS!$T$2:$T$24,MATCH($E34,_RPT_CARDS!$B$2:$B$24,0))),""),"")</f>
        <v/>
      </c>
      <c r="X34" s="193" t="str">
        <f ca="1">IF(LEFT(Control!$C$10,4)="ROJO","RED",IF(LEFT(Control!$C$10,8)="AMARILLO","AMBER","GREEN"))</f>
        <v>RED</v>
      </c>
      <c r="Y34" s="193">
        <f>IF(D34&lt;&gt;"KPI_CARD",0,IFERROR(IF(ISNUMBER(I34)&lt;&gt;ISNUMBER(INDEX(_RPT_CARDS!$H$2:$H$24,MATCH(E34,_RPT_CARDS!$B$2:$B$24,0))),1,IF(ISNUMBER(I34),--(I34&lt;&gt;INDEX(_RPT_CARDS!$H$2:$H$24,MATCH(E34,_RPT_CARDS!$B$2:$B$24,0))),0)),1))</f>
        <v>0</v>
      </c>
      <c r="Z34" s="193">
        <f>IF(D34&lt;&gt;"KPI_CARD",0,IFERROR(IF(ISNUMBER(T34)&lt;&gt;ISNUMBER(INDEX(_RPT_CARDS!$M$2:$M$24,MATCH(E34,_RPT_CARDS!$B$2:$B$24,0))),1,IF(ISNUMBER(T34),--(T34&lt;&gt;INDEX(_RPT_CARDS!$M$2:$M$24,MATCH(E34,_RPT_CARDS!$B$2:$B$24,0))),0)),1))</f>
        <v>0</v>
      </c>
    </row>
    <row r="35" spans="1:24" ht="13.5" customHeight="1" x14ac:dyDescent="0.3">
      <c r="A35">
        <v>5</v>
      </c>
      <c r="B35" t="s">
        <v>1230</v>
      </c>
      <c r="C35" t="s">
        <v>1129</v>
      </c>
      <c r="D35" t="s">
        <v>1215</v>
      </c>
      <c r="E35" t="s">
        <v>1129</v>
      </c>
      <c r="F35" s="193" t="str">
        <f>INDEX(_RPT_SPEC_CHART!$D$2:$D$16,MATCH(E35,_RPT_SPEC_CHART!$A$2:$A$16,0))</f>
        <v>Safety training as % of hours worked</v>
      </c>
      <c r="G35" s="193" t="str">
        <f>INDEX(_RPT_SPEC_CHART!$E$2:$E$16,MATCH(E35,_RPT_SPEC_CHART!$A$2:$A$16,0))</f>
        <v>Is safety training keeping pace with exposure?</v>
      </c>
      <c r="H35" s="193" t="str">
        <f>INDEX(_RPT_SPEC_CHART!$N$2:$N$16,MATCH(E35,_RPT_SPEC_CHART!$A$2:$A$16,0))&amp;" of "&amp;INDEX(_RPT_SPEC_CHART!$O$2:$O$16,MATCH(E35,_RPT_SPEC_CHART!$A$2:$A$16,0))&amp;" points"</f>
        <v>2 of 3 points</v>
      </c>
      <c r="I35" s="193">
        <f>INDEX(_RPT_SPEC_CHART!$N$2:$N$16,MATCH(E35,_RPT_SPEC_CHART!$A$2:$A$16,0))</f>
        <v>2</v>
      </c>
      <c r="J35" s="193" t="str">
        <f>INDEX(_RPT_SPEC_CHART!$J$2:$J$16,MATCH(E35,_RPT_SPEC_CHART!$A$2:$A$16,0))</f>
        <v>Yes, only if numeric target exists (_RPT_META!K)</v>
      </c>
      <c r="K35" s="193" t="str">
        <f>INDEX(_RPT_SPEC_CHART!$P$2:$P$16,MATCH(E35,_RPT_SPEC_CHART!$A$2:$A$16,0))</f>
        <v>PARTIAL</v>
      </c>
      <c r="M35" s="193" t="str">
        <f>INDEX(_RPT_SPEC_CHART!$M$2:$M$16,MATCH(E35,_RPT_SPEC_CHART!$A$2:$A$16,0))</f>
        <v>HCS - Safety training hours over hours worked (Horas de formación / horas trabajadas)</v>
      </c>
      <c r="N35">
        <v>34</v>
      </c>
      <c r="O35" s="193" t="str">
        <f t="shared" si="2"/>
        <v>Compressor Plant</v>
      </c>
      <c r="P35" s="249">
        <f t="shared" si="3"/>
        <v>46296</v>
      </c>
      <c r="Q35" s="193" t="str">
        <f>IF($D35="KPI_CARD",IFERROR(IF(INDEX(_RPT_CARDS!$V$2:$V$24,MATCH($E35,_RPT_CARDS!$B$2:$B$24,0))="","",INDEX(_RPT_CARDS!$V$2:$V$24,MATCH($E35,_RPT_CARDS!$B$2:$B$24,0))),""),"")</f>
        <v/>
      </c>
      <c r="R35" s="193" t="str">
        <f>IF($D35="KPI_CARD",IFERROR(IF(INDEX(_RPT_CARDS!$P$2:$P$24,MATCH($E35,_RPT_CARDS!$B$2:$B$24,0))="","",INDEX(_RPT_CARDS!$P$2:$P$24,MATCH($E35,_RPT_CARDS!$B$2:$B$24,0))),""),"")</f>
        <v/>
      </c>
      <c r="S35" s="193" t="str">
        <f>IF($D35="KPI_CARD",IFERROR(IF(INDEX(_RPT_CARDS!$Z$2:$Z$24,MATCH($E35,_RPT_CARDS!$B$2:$B$24,0))="","",INDEX(_RPT_CARDS!$Z$2:$Z$24,MATCH($E35,_RPT_CARDS!$B$2:$B$24,0))),""),"")</f>
        <v/>
      </c>
      <c r="T35" s="193" t="str">
        <f>IF($D35="KPI_CARD",IFERROR(IF(INDEX(_RPT_CARDS!$M$2:$M$24,MATCH($E35,_RPT_CARDS!$B$2:$B$24,0))="","",INDEX(_RPT_CARDS!$M$2:$M$24,MATCH($E35,_RPT_CARDS!$B$2:$B$24,0))),""),"")</f>
        <v/>
      </c>
      <c r="U35" s="193" t="str">
        <f>IF($D35="KPI_CARD",IFERROR(IF(INDEX(_RPT_CARDS!$N$2:$N$24,MATCH($E35,_RPT_CARDS!$B$2:$B$24,0))="","",INDEX(_RPT_CARDS!$N$2:$N$24,MATCH($E35,_RPT_CARDS!$B$2:$B$24,0))),""),"")</f>
        <v/>
      </c>
      <c r="V35" s="193" t="str">
        <f>IF($D35="KPI_CARD",IFERROR(IF(INDEX(_RPT_CARDS!$O$2:$O$24,MATCH($E35,_RPT_CARDS!$B$2:$B$24,0))="","",INDEX(_RPT_CARDS!$O$2:$O$24,MATCH($E35,_RPT_CARDS!$B$2:$B$24,0))),""),"")</f>
        <v/>
      </c>
      <c r="W35" s="193" t="str">
        <f>IF($D35="KPI_CARD",IFERROR(IF(INDEX(_RPT_CARDS!$T$2:$T$24,MATCH($E35,_RPT_CARDS!$B$2:$B$24,0))="","",INDEX(_RPT_CARDS!$T$2:$T$24,MATCH($E35,_RPT_CARDS!$B$2:$B$24,0))),""),"")</f>
        <v/>
      </c>
      <c r="X35" s="193" t="str">
        <f ca="1">IF(LEFT(Control!$C$10,4)="ROJO","RED",IF(LEFT(Control!$C$10,8)="AMARILLO","AMBER","GREEN"))</f>
        <v>RED</v>
      </c>
      <c r="Y35" s="193">
        <f>IF(D35&lt;&gt;"KPI_CARD",0,IFERROR(IF(ISNUMBER(I35)&lt;&gt;ISNUMBER(INDEX(_RPT_CARDS!$H$2:$H$24,MATCH(E35,_RPT_CARDS!$B$2:$B$24,0))),1,IF(ISNUMBER(I35),--(I35&lt;&gt;INDEX(_RPT_CARDS!$H$2:$H$24,MATCH(E35,_RPT_CARDS!$B$2:$B$24,0))),0)),1))</f>
        <v>0</v>
      </c>
      <c r="Z35" s="193">
        <f>IF(D35&lt;&gt;"KPI_CARD",0,IFERROR(IF(ISNUMBER(T35)&lt;&gt;ISNUMBER(INDEX(_RPT_CARDS!$M$2:$M$24,MATCH(E35,_RPT_CARDS!$B$2:$B$24,0))),1,IF(ISNUMBER(T35),--(T35&lt;&gt;INDEX(_RPT_CARDS!$M$2:$M$24,MATCH(E35,_RPT_CARDS!$B$2:$B$24,0))),0)),1))</f>
        <v>0</v>
      </c>
    </row>
    <row r="36" spans="1:24" ht="13.5" customHeight="1" x14ac:dyDescent="0.3">
      <c r="A36">
        <v>6</v>
      </c>
      <c r="B36" t="s">
        <v>1234</v>
      </c>
      <c r="C36" t="s">
        <v>1235</v>
      </c>
      <c r="D36" t="s">
        <v>1209</v>
      </c>
      <c r="E36" t="s">
        <v>1063</v>
      </c>
      <c r="F36" s="193" t="str">
        <f>INDEX(_RPT_CARDS!$D$2:$D$24,MATCH(E36,_RPT_CARDS!$B$2:$B$24,0))</f>
        <v>Deviations detected</v>
      </c>
      <c r="G36" s="193" t="str">
        <f>INDEX(_RPT_CARDS!$E$2:$E$24,MATCH(E36,_RPT_CARDS!$B$2:$B$24,0))</f>
        <v>Desvíos detectados</v>
      </c>
      <c r="H36" s="193" t="str">
        <f>INDEX(_RPT_CARDS!$I$2:$I$24,MATCH(E36,_RPT_CARDS!$B$2:$B$24,0))</f>
        <v>n/a</v>
      </c>
      <c r="I36" s="248">
        <f>INDEX(_RPT_CARDS!$H$2:$H$24,MATCH(E36,_RPT_CARDS!$B$2:$B$24,0))</f>
        <v>0</v>
      </c>
      <c r="J36" s="193" t="str">
        <f>INDEX(_RPT_CARDS!$Q$2:$Q$24,MATCH(E36,_RPT_CARDS!$B$2:$B$24,0))</f>
        <v>No target defined</v>
      </c>
      <c r="K36" s="193" t="str">
        <f>INDEX(_RPT_CARDS!$R$2:$R$24,MATCH(E36,_RPT_CARDS!$B$2:$B$24,0))</f>
        <v>NO_DATA</v>
      </c>
      <c r="L36" s="193" t="str">
        <f>INDEX(_RPT_CARDS!$L$2:$L$24,MATCH(E36,_RPT_CARDS!$B$2:$B$24,0))</f>
        <v>N/A</v>
      </c>
      <c r="M36" s="193" t="str">
        <f>TRIM("YTD: "&amp;INDEX(_RPT_CARDS!$N$2:$N$24,MATCH(E36,_RPT_CARDS!$B$2:$B$24,0))&amp;". "&amp;INDEX(_RPT_CARDS!$U$2:$U$24,MATCH(E36,_RPT_CARDS!$B$2:$B$24,0)))</f>
        <v>YTD: 61.</v>
      </c>
      <c r="N36">
        <v>35</v>
      </c>
      <c r="O36" s="193" t="str">
        <f t="shared" si="2"/>
        <v>Compressor Plant</v>
      </c>
      <c r="P36" s="249">
        <f t="shared" si="3"/>
        <v>46296</v>
      </c>
      <c r="Q36" s="193" t="str">
        <f>IF($D36="KPI_CARD",IFERROR(IF(INDEX(_RPT_CARDS!$V$2:$V$24,MATCH($E36,_RPT_CARDS!$B$2:$B$24,0))="","",INDEX(_RPT_CARDS!$V$2:$V$24,MATCH($E36,_RPT_CARDS!$B$2:$B$24,0))),""),"")</f>
        <v>u</v>
      </c>
      <c r="R36" s="193" t="str">
        <f>IF($D36="KPI_CARD",IFERROR(IF(INDEX(_RPT_CARDS!$P$2:$P$24,MATCH($E36,_RPT_CARDS!$B$2:$B$24,0))="","",INDEX(_RPT_CARDS!$P$2:$P$24,MATCH($E36,_RPT_CARDS!$B$2:$B$24,0))),""),"")</f>
        <v/>
      </c>
      <c r="S36" s="193" t="str">
        <f>IF($D36="KPI_CARD",IFERROR(IF(INDEX(_RPT_CARDS!$Z$2:$Z$24,MATCH($E36,_RPT_CARDS!$B$2:$B$24,0))="","",INDEX(_RPT_CARDS!$Z$2:$Z$24,MATCH($E36,_RPT_CARDS!$B$2:$B$24,0))),""),"")</f>
        <v/>
      </c>
      <c r="T36" s="193">
        <f>IF($D36="KPI_CARD",IFERROR(IF(INDEX(_RPT_CARDS!$M$2:$M$24,MATCH($E36,_RPT_CARDS!$B$2:$B$24,0))="","",INDEX(_RPT_CARDS!$M$2:$M$24,MATCH($E36,_RPT_CARDS!$B$2:$B$24,0))),""),"")</f>
        <v>61</v>
      </c>
      <c r="U36" s="193" t="str">
        <f>IF($D36="KPI_CARD",IFERROR(IF(INDEX(_RPT_CARDS!$N$2:$N$24,MATCH($E36,_RPT_CARDS!$B$2:$B$24,0))="","",INDEX(_RPT_CARDS!$N$2:$N$24,MATCH($E36,_RPT_CARDS!$B$2:$B$24,0))),""),"")</f>
        <v>61</v>
      </c>
      <c r="V36" s="193" t="str">
        <f>IF($D36="KPI_CARD",IFERROR(IF(INDEX(_RPT_CARDS!$O$2:$O$24,MATCH($E36,_RPT_CARDS!$B$2:$B$24,0))="","",INDEX(_RPT_CARDS!$O$2:$O$24,MATCH($E36,_RPT_CARDS!$B$2:$B$24,0))),""),"")</f>
        <v/>
      </c>
      <c r="W36" s="193" t="str">
        <f>IF($D36="KPI_CARD",IFERROR(IF(INDEX(_RPT_CARDS!$T$2:$T$24,MATCH($E36,_RPT_CARDS!$B$2:$B$24,0))="","",INDEX(_RPT_CARDS!$T$2:$T$24,MATCH($E36,_RPT_CARDS!$B$2:$B$24,0))),""),"")</f>
        <v>MISSING</v>
      </c>
      <c r="X36" s="193" t="str">
        <f ca="1">IF(LEFT(Control!$C$10,4)="ROJO","RED",IF(LEFT(Control!$C$10,8)="AMARILLO","AMBER","GREEN"))</f>
        <v>RED</v>
      </c>
      <c r="Y36" s="193">
        <f>IF(D36&lt;&gt;"KPI_CARD",0,IFERROR(IF(ISNUMBER(I36)&lt;&gt;ISNUMBER(INDEX(_RPT_CARDS!$H$2:$H$24,MATCH(E36,_RPT_CARDS!$B$2:$B$24,0))),1,IF(ISNUMBER(I36),--(I36&lt;&gt;INDEX(_RPT_CARDS!$H$2:$H$24,MATCH(E36,_RPT_CARDS!$B$2:$B$24,0))),0)),1))</f>
        <v>0</v>
      </c>
      <c r="Z36" s="193" t="b">
        <f>IF(D36&lt;&gt;"KPI_CARD",0,IFERROR(IF(ISNUMBER(T36)&lt;&gt;ISNUMBER(INDEX(_RPT_CARDS!$M$2:$M$24,MATCH(E36,_RPT_CARDS!$B$2:$B$24,0))),1,IF(ISNUMBER(T36),--(T36&lt;&gt;INDEX(_RPT_CARDS!$M$2:$M$24,MATCH(E36,_RPT_CARDS!$B$2:$B$24,0))),0)),1))</f>
        <v>0</v>
      </c>
    </row>
    <row r="37" spans="1:24" ht="13.5" customHeight="1" x14ac:dyDescent="0.3">
      <c r="A37">
        <v>6</v>
      </c>
      <c r="B37" t="s">
        <v>1234</v>
      </c>
      <c r="C37" t="s">
        <v>1236</v>
      </c>
      <c r="D37" t="s">
        <v>1209</v>
      </c>
      <c r="E37" t="s">
        <v>1066</v>
      </c>
      <c r="F37" s="193" t="str">
        <f>INDEX(_RPT_CARDS!$D$2:$D$24,MATCH(E37,_RPT_CARDS!$B$2:$B$24,0))</f>
        <v>Deviations closed</v>
      </c>
      <c r="G37" s="193" t="str">
        <f>INDEX(_RPT_CARDS!$E$2:$E$24,MATCH(E37,_RPT_CARDS!$B$2:$B$24,0))</f>
        <v>Desvíos cerrados</v>
      </c>
      <c r="H37" s="193" t="str">
        <f>INDEX(_RPT_CARDS!$I$2:$I$24,MATCH(E37,_RPT_CARDS!$B$2:$B$24,0))</f>
        <v>n/a</v>
      </c>
      <c r="I37" s="248">
        <f>INDEX(_RPT_CARDS!$H$2:$H$24,MATCH(E37,_RPT_CARDS!$B$2:$B$24,0))</f>
        <v>0</v>
      </c>
      <c r="J37" s="193" t="str">
        <f>INDEX(_RPT_CARDS!$Q$2:$Q$24,MATCH(E37,_RPT_CARDS!$B$2:$B$24,0))</f>
        <v>No target defined</v>
      </c>
      <c r="K37" s="193" t="str">
        <f>INDEX(_RPT_CARDS!$R$2:$R$24,MATCH(E37,_RPT_CARDS!$B$2:$B$24,0))</f>
        <v>NO_DATA</v>
      </c>
      <c r="L37" s="193" t="str">
        <f>INDEX(_RPT_CARDS!$L$2:$L$24,MATCH(E37,_RPT_CARDS!$B$2:$B$24,0))</f>
        <v>N/A</v>
      </c>
      <c r="M37" s="193" t="str">
        <f>TRIM("YTD: "&amp;INDEX(_RPT_CARDS!$N$2:$N$24,MATCH(E37,_RPT_CARDS!$B$2:$B$24,0))&amp;". "&amp;INDEX(_RPT_CARDS!$U$2:$U$24,MATCH(E37,_RPT_CARDS!$B$2:$B$24,0)))</f>
        <v>YTD: 34.</v>
      </c>
      <c r="N37">
        <v>36</v>
      </c>
      <c r="O37" s="193" t="str">
        <f t="shared" si="2"/>
        <v>Compressor Plant</v>
      </c>
      <c r="P37" s="249">
        <f t="shared" si="3"/>
        <v>46296</v>
      </c>
      <c r="Q37" s="193" t="str">
        <f>IF($D37="KPI_CARD",IFERROR(IF(INDEX(_RPT_CARDS!$V$2:$V$24,MATCH($E37,_RPT_CARDS!$B$2:$B$24,0))="","",INDEX(_RPT_CARDS!$V$2:$V$24,MATCH($E37,_RPT_CARDS!$B$2:$B$24,0))),""),"")</f>
        <v>u</v>
      </c>
      <c r="R37" s="193" t="str">
        <f>IF($D37="KPI_CARD",IFERROR(IF(INDEX(_RPT_CARDS!$P$2:$P$24,MATCH($E37,_RPT_CARDS!$B$2:$B$24,0))="","",INDEX(_RPT_CARDS!$P$2:$P$24,MATCH($E37,_RPT_CARDS!$B$2:$B$24,0))),""),"")</f>
        <v/>
      </c>
      <c r="S37" s="193" t="str">
        <f>IF($D37="KPI_CARD",IFERROR(IF(INDEX(_RPT_CARDS!$Z$2:$Z$24,MATCH($E37,_RPT_CARDS!$B$2:$B$24,0))="","",INDEX(_RPT_CARDS!$Z$2:$Z$24,MATCH($E37,_RPT_CARDS!$B$2:$B$24,0))),""),"")</f>
        <v/>
      </c>
      <c r="T37" s="193">
        <f>IF($D37="KPI_CARD",IFERROR(IF(INDEX(_RPT_CARDS!$M$2:$M$24,MATCH($E37,_RPT_CARDS!$B$2:$B$24,0))="","",INDEX(_RPT_CARDS!$M$2:$M$24,MATCH($E37,_RPT_CARDS!$B$2:$B$24,0))),""),"")</f>
        <v>34</v>
      </c>
      <c r="U37" s="193" t="str">
        <f>IF($D37="KPI_CARD",IFERROR(IF(INDEX(_RPT_CARDS!$N$2:$N$24,MATCH($E37,_RPT_CARDS!$B$2:$B$24,0))="","",INDEX(_RPT_CARDS!$N$2:$N$24,MATCH($E37,_RPT_CARDS!$B$2:$B$24,0))),""),"")</f>
        <v>34</v>
      </c>
      <c r="V37" s="193" t="str">
        <f>IF($D37="KPI_CARD",IFERROR(IF(INDEX(_RPT_CARDS!$O$2:$O$24,MATCH($E37,_RPT_CARDS!$B$2:$B$24,0))="","",INDEX(_RPT_CARDS!$O$2:$O$24,MATCH($E37,_RPT_CARDS!$B$2:$B$24,0))),""),"")</f>
        <v/>
      </c>
      <c r="W37" s="193" t="str">
        <f>IF($D37="KPI_CARD",IFERROR(IF(INDEX(_RPT_CARDS!$T$2:$T$24,MATCH($E37,_RPT_CARDS!$B$2:$B$24,0))="","",INDEX(_RPT_CARDS!$T$2:$T$24,MATCH($E37,_RPT_CARDS!$B$2:$B$24,0))),""),"")</f>
        <v>MISSING</v>
      </c>
      <c r="X37" s="193" t="str">
        <f ca="1">IF(LEFT(Control!$C$10,4)="ROJO","RED",IF(LEFT(Control!$C$10,8)="AMARILLO","AMBER","GREEN"))</f>
        <v>RED</v>
      </c>
      <c r="Y37" s="193">
        <f>IF(D37&lt;&gt;"KPI_CARD",0,IFERROR(IF(ISNUMBER(I37)&lt;&gt;ISNUMBER(INDEX(_RPT_CARDS!$H$2:$H$24,MATCH(E37,_RPT_CARDS!$B$2:$B$24,0))),1,IF(ISNUMBER(I37),--(I37&lt;&gt;INDEX(_RPT_CARDS!$H$2:$H$24,MATCH(E37,_RPT_CARDS!$B$2:$B$24,0))),0)),1))</f>
        <v>0</v>
      </c>
      <c r="Z37" s="193" t="b">
        <f>IF(D37&lt;&gt;"KPI_CARD",0,IFERROR(IF(ISNUMBER(T37)&lt;&gt;ISNUMBER(INDEX(_RPT_CARDS!$M$2:$M$24,MATCH(E37,_RPT_CARDS!$B$2:$B$24,0))),1,IF(ISNUMBER(T37),--(T37&lt;&gt;INDEX(_RPT_CARDS!$M$2:$M$24,MATCH(E37,_RPT_CARDS!$B$2:$B$24,0))),0)),1))</f>
        <v>0</v>
      </c>
    </row>
    <row r="38" spans="1:24" ht="13.5" customHeight="1" x14ac:dyDescent="0.3">
      <c r="A38">
        <v>6</v>
      </c>
      <c r="B38" t="s">
        <v>1234</v>
      </c>
      <c r="C38" t="s">
        <v>1237</v>
      </c>
      <c r="D38" t="s">
        <v>1209</v>
      </c>
      <c r="E38" t="s">
        <v>1069</v>
      </c>
      <c r="F38" s="193" t="str">
        <f>INDEX(_RPT_CARDS!$D$2:$D$24,MATCH(E38,_RPT_CARDS!$B$2:$B$24,0))</f>
        <v>Deviations open at month end</v>
      </c>
      <c r="G38" s="193" t="str">
        <f>INDEX(_RPT_CARDS!$E$2:$E$24,MATCH(E38,_RPT_CARDS!$B$2:$B$24,0))</f>
        <v>Desvíos abiertos a fin de mes</v>
      </c>
      <c r="H38" s="193" t="str">
        <f>INDEX(_RPT_CARDS!$I$2:$I$24,MATCH(E38,_RPT_CARDS!$B$2:$B$24,0))</f>
        <v>n/a</v>
      </c>
      <c r="I38" s="248">
        <f>INDEX(_RPT_CARDS!$H$2:$H$24,MATCH(E38,_RPT_CARDS!$B$2:$B$24,0))</f>
        <v>0</v>
      </c>
      <c r="J38" s="193" t="str">
        <f>INDEX(_RPT_CARDS!$Q$2:$Q$24,MATCH(E38,_RPT_CARDS!$B$2:$B$24,0))</f>
        <v>No target defined</v>
      </c>
      <c r="K38" s="193" t="str">
        <f>INDEX(_RPT_CARDS!$R$2:$R$24,MATCH(E38,_RPT_CARDS!$B$2:$B$24,0))</f>
        <v>NO_DATA</v>
      </c>
      <c r="L38" s="193" t="str">
        <f>INDEX(_RPT_CARDS!$L$2:$L$24,MATCH(E38,_RPT_CARDS!$B$2:$B$24,0))</f>
        <v>N/A</v>
      </c>
      <c r="M38" s="193" t="str">
        <f>TRIM("YTD: "&amp;INDEX(_RPT_CARDS!$N$2:$N$24,MATCH(E38,_RPT_CARDS!$B$2:$B$24,0))&amp;". "&amp;INDEX(_RPT_CARDS!$U$2:$U$24,MATCH(E38,_RPT_CARDS!$B$2:$B$24,0)))</f>
        <v>YTD: n/a (stock at month end).</v>
      </c>
      <c r="N38">
        <v>37</v>
      </c>
      <c r="O38" s="193" t="str">
        <f t="shared" si="2"/>
        <v>Compressor Plant</v>
      </c>
      <c r="P38" s="249">
        <f t="shared" si="3"/>
        <v>46296</v>
      </c>
      <c r="Q38" s="193" t="str">
        <f>IF($D38="KPI_CARD",IFERROR(IF(INDEX(_RPT_CARDS!$V$2:$V$24,MATCH($E38,_RPT_CARDS!$B$2:$B$24,0))="","",INDEX(_RPT_CARDS!$V$2:$V$24,MATCH($E38,_RPT_CARDS!$B$2:$B$24,0))),""),"")</f>
        <v>u</v>
      </c>
      <c r="R38" s="193" t="str">
        <f>IF($D38="KPI_CARD",IFERROR(IF(INDEX(_RPT_CARDS!$P$2:$P$24,MATCH($E38,_RPT_CARDS!$B$2:$B$24,0))="","",INDEX(_RPT_CARDS!$P$2:$P$24,MATCH($E38,_RPT_CARDS!$B$2:$B$24,0))),""),"")</f>
        <v/>
      </c>
      <c r="S38" s="193" t="str">
        <f>IF($D38="KPI_CARD",IFERROR(IF(INDEX(_RPT_CARDS!$Z$2:$Z$24,MATCH($E38,_RPT_CARDS!$B$2:$B$24,0))="","",INDEX(_RPT_CARDS!$Z$2:$Z$24,MATCH($E38,_RPT_CARDS!$B$2:$B$24,0))),""),"")</f>
        <v/>
      </c>
      <c r="T38" s="193" t="str">
        <f>IF($D38="KPI_CARD",IFERROR(IF(INDEX(_RPT_CARDS!$M$2:$M$24,MATCH($E38,_RPT_CARDS!$B$2:$B$24,0))="","",INDEX(_RPT_CARDS!$M$2:$M$24,MATCH($E38,_RPT_CARDS!$B$2:$B$24,0))),""),"")</f>
        <v/>
      </c>
      <c r="U38" s="193" t="str">
        <f>IF($D38="KPI_CARD",IFERROR(IF(INDEX(_RPT_CARDS!$N$2:$N$24,MATCH($E38,_RPT_CARDS!$B$2:$B$24,0))="","",INDEX(_RPT_CARDS!$N$2:$N$24,MATCH($E38,_RPT_CARDS!$B$2:$B$24,0))),""),"")</f>
        <v>n/a (stock at month end)</v>
      </c>
      <c r="V38" s="193" t="str">
        <f>IF($D38="KPI_CARD",IFERROR(IF(INDEX(_RPT_CARDS!$O$2:$O$24,MATCH($E38,_RPT_CARDS!$B$2:$B$24,0))="","",INDEX(_RPT_CARDS!$O$2:$O$24,MATCH($E38,_RPT_CARDS!$B$2:$B$24,0))),""),"")</f>
        <v/>
      </c>
      <c r="W38" s="193" t="str">
        <f>IF($D38="KPI_CARD",IFERROR(IF(INDEX(_RPT_CARDS!$T$2:$T$24,MATCH($E38,_RPT_CARDS!$B$2:$B$24,0))="","",INDEX(_RPT_CARDS!$T$2:$T$24,MATCH($E38,_RPT_CARDS!$B$2:$B$24,0))),""),"")</f>
        <v>MISSING</v>
      </c>
      <c r="X38" s="193" t="str">
        <f ca="1">IF(LEFT(Control!$C$10,4)="ROJO","RED",IF(LEFT(Control!$C$10,8)="AMARILLO","AMBER","GREEN"))</f>
        <v>RED</v>
      </c>
      <c r="Y38" s="193">
        <f>IF(D38&lt;&gt;"KPI_CARD",0,IFERROR(IF(ISNUMBER(I38)&lt;&gt;ISNUMBER(INDEX(_RPT_CARDS!$H$2:$H$24,MATCH(E38,_RPT_CARDS!$B$2:$B$24,0))),1,IF(ISNUMBER(I38),--(I38&lt;&gt;INDEX(_RPT_CARDS!$H$2:$H$24,MATCH(E38,_RPT_CARDS!$B$2:$B$24,0))),0)),1))</f>
        <v>0</v>
      </c>
      <c r="Z38" s="193">
        <f>IF(D38&lt;&gt;"KPI_CARD",0,IFERROR(IF(ISNUMBER(T38)&lt;&gt;ISNUMBER(INDEX(_RPT_CARDS!$M$2:$M$24,MATCH(E38,_RPT_CARDS!$B$2:$B$24,0))),1,IF(ISNUMBER(T38),--(T38&lt;&gt;INDEX(_RPT_CARDS!$M$2:$M$24,MATCH(E38,_RPT_CARDS!$B$2:$B$24,0))),0)),1))</f>
        <v>0</v>
      </c>
    </row>
    <row r="39" spans="1:24" ht="13.5" customHeight="1" x14ac:dyDescent="0.3">
      <c r="A39">
        <v>6</v>
      </c>
      <c r="B39" t="s">
        <v>1234</v>
      </c>
      <c r="C39" t="s">
        <v>1132</v>
      </c>
      <c r="D39" t="s">
        <v>1215</v>
      </c>
      <c r="E39" t="s">
        <v>1132</v>
      </c>
      <c r="F39" s="193" t="str">
        <f>INDEX(_RPT_SPEC_CHART!$D$2:$D$16,MATCH(E39,_RPT_SPEC_CHART!$A$2:$A$16,0))</f>
        <v>Deviations detected, closed and open</v>
      </c>
      <c r="G39" s="193" t="str">
        <f>INDEX(_RPT_SPEC_CHART!$E$2:$E$16,MATCH(E39,_RPT_SPEC_CHART!$A$2:$A$16,0))</f>
        <v>Are we closing deviations as fast as we detect them?</v>
      </c>
      <c r="H39" s="193" t="str">
        <f>INDEX(_RPT_SPEC_CHART!$N$2:$N$16,MATCH(E39,_RPT_SPEC_CHART!$A$2:$A$16,0))&amp;" of "&amp;INDEX(_RPT_SPEC_CHART!$O$2:$O$16,MATCH(E39,_RPT_SPEC_CHART!$A$2:$A$16,0))&amp;" points"</f>
        <v>6 of 9 points</v>
      </c>
      <c r="I39" s="193">
        <f>INDEX(_RPT_SPEC_CHART!$N$2:$N$16,MATCH(E39,_RPT_SPEC_CHART!$A$2:$A$16,0))</f>
        <v>6</v>
      </c>
      <c r="J39" s="193" t="str">
        <f>INDEX(_RPT_SPEC_CHART!$J$2:$J$16,MATCH(E39,_RPT_SPEC_CHART!$A$2:$A$16,0))</f>
        <v>No</v>
      </c>
      <c r="K39" s="193" t="str">
        <f>INDEX(_RPT_SPEC_CHART!$P$2:$P$16,MATCH(E39,_RPT_SPEC_CHART!$A$2:$A$16,0))</f>
        <v>PARTIAL</v>
      </c>
      <c r="M39" s="193" t="str">
        <f>INDEX(_RPT_SPEC_CHART!$M$2:$M$16,MATCH(E39,_RPT_SPEC_CHART!$A$2:$A$16,0))</f>
        <v>Deviations = Plant Findings counting for DPAS (Desvíos)</v>
      </c>
      <c r="N39">
        <v>38</v>
      </c>
      <c r="O39" s="193" t="str">
        <f t="shared" si="2"/>
        <v>Compressor Plant</v>
      </c>
      <c r="P39" s="249">
        <f t="shared" si="3"/>
        <v>46296</v>
      </c>
      <c r="Q39" s="193" t="str">
        <f>IF($D39="KPI_CARD",IFERROR(IF(INDEX(_RPT_CARDS!$V$2:$V$24,MATCH($E39,_RPT_CARDS!$B$2:$B$24,0))="","",INDEX(_RPT_CARDS!$V$2:$V$24,MATCH($E39,_RPT_CARDS!$B$2:$B$24,0))),""),"")</f>
        <v/>
      </c>
      <c r="R39" s="193" t="str">
        <f>IF($D39="KPI_CARD",IFERROR(IF(INDEX(_RPT_CARDS!$P$2:$P$24,MATCH($E39,_RPT_CARDS!$B$2:$B$24,0))="","",INDEX(_RPT_CARDS!$P$2:$P$24,MATCH($E39,_RPT_CARDS!$B$2:$B$24,0))),""),"")</f>
        <v/>
      </c>
      <c r="S39" s="193" t="str">
        <f>IF($D39="KPI_CARD",IFERROR(IF(INDEX(_RPT_CARDS!$Z$2:$Z$24,MATCH($E39,_RPT_CARDS!$B$2:$B$24,0))="","",INDEX(_RPT_CARDS!$Z$2:$Z$24,MATCH($E39,_RPT_CARDS!$B$2:$B$24,0))),""),"")</f>
        <v/>
      </c>
      <c r="T39" s="193" t="str">
        <f>IF($D39="KPI_CARD",IFERROR(IF(INDEX(_RPT_CARDS!$M$2:$M$24,MATCH($E39,_RPT_CARDS!$B$2:$B$24,0))="","",INDEX(_RPT_CARDS!$M$2:$M$24,MATCH($E39,_RPT_CARDS!$B$2:$B$24,0))),""),"")</f>
        <v/>
      </c>
      <c r="U39" s="193" t="str">
        <f>IF($D39="KPI_CARD",IFERROR(IF(INDEX(_RPT_CARDS!$N$2:$N$24,MATCH($E39,_RPT_CARDS!$B$2:$B$24,0))="","",INDEX(_RPT_CARDS!$N$2:$N$24,MATCH($E39,_RPT_CARDS!$B$2:$B$24,0))),""),"")</f>
        <v/>
      </c>
      <c r="V39" s="193" t="str">
        <f>IF($D39="KPI_CARD",IFERROR(IF(INDEX(_RPT_CARDS!$O$2:$O$24,MATCH($E39,_RPT_CARDS!$B$2:$B$24,0))="","",INDEX(_RPT_CARDS!$O$2:$O$24,MATCH($E39,_RPT_CARDS!$B$2:$B$24,0))),""),"")</f>
        <v/>
      </c>
      <c r="W39" s="193" t="str">
        <f>IF($D39="KPI_CARD",IFERROR(IF(INDEX(_RPT_CARDS!$T$2:$T$24,MATCH($E39,_RPT_CARDS!$B$2:$B$24,0))="","",INDEX(_RPT_CARDS!$T$2:$T$24,MATCH($E39,_RPT_CARDS!$B$2:$B$24,0))),""),"")</f>
        <v/>
      </c>
      <c r="X39" s="193" t="str">
        <f ca="1">IF(LEFT(Control!$C$10,4)="ROJO","RED",IF(LEFT(Control!$C$10,8)="AMARILLO","AMBER","GREEN"))</f>
        <v>RED</v>
      </c>
      <c r="Y39" s="193">
        <f>IF(D39&lt;&gt;"KPI_CARD",0,IFERROR(IF(ISNUMBER(I39)&lt;&gt;ISNUMBER(INDEX(_RPT_CARDS!$H$2:$H$24,MATCH(E39,_RPT_CARDS!$B$2:$B$24,0))),1,IF(ISNUMBER(I39),--(I39&lt;&gt;INDEX(_RPT_CARDS!$H$2:$H$24,MATCH(E39,_RPT_CARDS!$B$2:$B$24,0))),0)),1))</f>
        <v>0</v>
      </c>
      <c r="Z39" s="193">
        <f>IF(D39&lt;&gt;"KPI_CARD",0,IFERROR(IF(ISNUMBER(T39)&lt;&gt;ISNUMBER(INDEX(_RPT_CARDS!$M$2:$M$24,MATCH(E39,_RPT_CARDS!$B$2:$B$24,0))),1,IF(ISNUMBER(T39),--(T39&lt;&gt;INDEX(_RPT_CARDS!$M$2:$M$24,MATCH(E39,_RPT_CARDS!$B$2:$B$24,0))),0)),1))</f>
        <v>0</v>
      </c>
    </row>
    <row r="40" spans="1:24" ht="13.5" customHeight="1" x14ac:dyDescent="0.3">
      <c r="A40">
        <v>6</v>
      </c>
      <c r="B40" t="s">
        <v>1234</v>
      </c>
      <c r="C40" t="s">
        <v>1138</v>
      </c>
      <c r="D40" t="s">
        <v>1215</v>
      </c>
      <c r="E40" t="s">
        <v>1138</v>
      </c>
      <c r="F40" s="193" t="str">
        <f>INDEX(_RPT_SPEC_CHART!$D$2:$D$16,MATCH(E40,_RPT_SPEC_CHART!$A$2:$A$16,0))</f>
        <v>Severity of detected deviations</v>
      </c>
      <c r="G40" s="193" t="str">
        <f>INDEX(_RPT_SPEC_CHART!$E$2:$E$16,MATCH(E40,_RPT_SPEC_CHART!$A$2:$A$16,0))</f>
        <v>How severe are the deviations, and how much is not yet rated?</v>
      </c>
      <c r="H40" s="193" t="str">
        <f>INDEX(_RPT_SPEC_CHART!$N$2:$N$16,MATCH(E40,_RPT_SPEC_CHART!$A$2:$A$16,0))&amp;" of "&amp;INDEX(_RPT_SPEC_CHART!$O$2:$O$16,MATCH(E40,_RPT_SPEC_CHART!$A$2:$A$16,0))&amp;" points"</f>
        <v>9 of 12 points</v>
      </c>
      <c r="I40" s="193">
        <f>INDEX(_RPT_SPEC_CHART!$N$2:$N$16,MATCH(E40,_RPT_SPEC_CHART!$A$2:$A$16,0))</f>
        <v>9</v>
      </c>
      <c r="J40" s="193" t="str">
        <f>INDEX(_RPT_SPEC_CHART!$J$2:$J$16,MATCH(E40,_RPT_SPEC_CHART!$A$2:$A$16,0))</f>
        <v>No</v>
      </c>
      <c r="K40" s="193" t="str">
        <f>INDEX(_RPT_SPEC_CHART!$P$2:$P$16,MATCH(E40,_RPT_SPEC_CHART!$A$2:$A$16,0))</f>
        <v>PARTIAL</v>
      </c>
      <c r="M40" s="193" t="str">
        <f>INDEX(_RPT_SPEC_CHART!$M$2:$M$16,MATCH(E40,_RPT_SPEC_CHART!$A$2:$A$16,0))</f>
        <v>Gravedad: Alta / Media / Baja</v>
      </c>
      <c r="N40">
        <v>39</v>
      </c>
      <c r="O40" s="193" t="str">
        <f t="shared" si="2"/>
        <v>Compressor Plant</v>
      </c>
      <c r="P40" s="249">
        <f t="shared" si="3"/>
        <v>46296</v>
      </c>
      <c r="Q40" s="193" t="str">
        <f>IF($D40="KPI_CARD",IFERROR(IF(INDEX(_RPT_CARDS!$V$2:$V$24,MATCH($E40,_RPT_CARDS!$B$2:$B$24,0))="","",INDEX(_RPT_CARDS!$V$2:$V$24,MATCH($E40,_RPT_CARDS!$B$2:$B$24,0))),""),"")</f>
        <v/>
      </c>
      <c r="R40" s="193" t="str">
        <f>IF($D40="KPI_CARD",IFERROR(IF(INDEX(_RPT_CARDS!$P$2:$P$24,MATCH($E40,_RPT_CARDS!$B$2:$B$24,0))="","",INDEX(_RPT_CARDS!$P$2:$P$24,MATCH($E40,_RPT_CARDS!$B$2:$B$24,0))),""),"")</f>
        <v/>
      </c>
      <c r="S40" s="193" t="str">
        <f>IF($D40="KPI_CARD",IFERROR(IF(INDEX(_RPT_CARDS!$Z$2:$Z$24,MATCH($E40,_RPT_CARDS!$B$2:$B$24,0))="","",INDEX(_RPT_CARDS!$Z$2:$Z$24,MATCH($E40,_RPT_CARDS!$B$2:$B$24,0))),""),"")</f>
        <v/>
      </c>
      <c r="T40" s="193" t="str">
        <f>IF($D40="KPI_CARD",IFERROR(IF(INDEX(_RPT_CARDS!$M$2:$M$24,MATCH($E40,_RPT_CARDS!$B$2:$B$24,0))="","",INDEX(_RPT_CARDS!$M$2:$M$24,MATCH($E40,_RPT_CARDS!$B$2:$B$24,0))),""),"")</f>
        <v/>
      </c>
      <c r="U40" s="193" t="str">
        <f>IF($D40="KPI_CARD",IFERROR(IF(INDEX(_RPT_CARDS!$N$2:$N$24,MATCH($E40,_RPT_CARDS!$B$2:$B$24,0))="","",INDEX(_RPT_CARDS!$N$2:$N$24,MATCH($E40,_RPT_CARDS!$B$2:$B$24,0))),""),"")</f>
        <v/>
      </c>
      <c r="V40" s="193" t="str">
        <f>IF($D40="KPI_CARD",IFERROR(IF(INDEX(_RPT_CARDS!$O$2:$O$24,MATCH($E40,_RPT_CARDS!$B$2:$B$24,0))="","",INDEX(_RPT_CARDS!$O$2:$O$24,MATCH($E40,_RPT_CARDS!$B$2:$B$24,0))),""),"")</f>
        <v/>
      </c>
      <c r="W40" s="193" t="str">
        <f>IF($D40="KPI_CARD",IFERROR(IF(INDEX(_RPT_CARDS!$T$2:$T$24,MATCH($E40,_RPT_CARDS!$B$2:$B$24,0))="","",INDEX(_RPT_CARDS!$T$2:$T$24,MATCH($E40,_RPT_CARDS!$B$2:$B$24,0))),""),"")</f>
        <v/>
      </c>
      <c r="X40" s="193" t="str">
        <f ca="1">IF(LEFT(Control!$C$10,4)="ROJO","RED",IF(LEFT(Control!$C$10,8)="AMARILLO","AMBER","GREEN"))</f>
        <v>RED</v>
      </c>
      <c r="Y40" s="193">
        <f>IF(D40&lt;&gt;"KPI_CARD",0,IFERROR(IF(ISNUMBER(I40)&lt;&gt;ISNUMBER(INDEX(_RPT_CARDS!$H$2:$H$24,MATCH(E40,_RPT_CARDS!$B$2:$B$24,0))),1,IF(ISNUMBER(I40),--(I40&lt;&gt;INDEX(_RPT_CARDS!$H$2:$H$24,MATCH(E40,_RPT_CARDS!$B$2:$B$24,0))),0)),1))</f>
        <v>0</v>
      </c>
      <c r="Z40" s="193">
        <f>IF(D40&lt;&gt;"KPI_CARD",0,IFERROR(IF(ISNUMBER(T40)&lt;&gt;ISNUMBER(INDEX(_RPT_CARDS!$M$2:$M$24,MATCH(E40,_RPT_CARDS!$B$2:$B$24,0))),1,IF(ISNUMBER(T40),--(T40&lt;&gt;INDEX(_RPT_CARDS!$M$2:$M$24,MATCH(E40,_RPT_CARDS!$B$2:$B$24,0))),0)),1))</f>
        <v>0</v>
      </c>
    </row>
    <row r="41" spans="1:24" ht="13.5" customHeight="1" x14ac:dyDescent="0.3">
      <c r="A41">
        <v>7</v>
      </c>
      <c r="B41" t="s">
        <v>1238</v>
      </c>
      <c r="C41" t="s">
        <v>1239</v>
      </c>
      <c r="D41" t="s">
        <v>1209</v>
      </c>
      <c r="E41" t="s">
        <v>91</v>
      </c>
      <c r="F41" s="193" t="str">
        <f>INDEX(_RPT_CARDS!$D$2:$D$24,MATCH(E41,_RPT_CARDS!$B$2:$B$24,0))</f>
        <v>Average days to close findings</v>
      </c>
      <c r="G41" s="193" t="str">
        <f>INDEX(_RPT_CARDS!$E$2:$E$24,MATCH(E41,_RPT_CARDS!$B$2:$B$24,0))</f>
        <v>Días promedio para cerrar hallazgos</v>
      </c>
      <c r="H41" s="193" t="str">
        <f>INDEX(_RPT_CARDS!$I$2:$I$24,MATCH(E41,_RPT_CARDS!$B$2:$B$24,0))</f>
        <v>n/a</v>
      </c>
      <c r="I41" s="193" t="str">
        <f>INDEX(_RPT_CARDS!$H$2:$H$24,MATCH(E41,_RPT_CARDS!$B$2:$B$24,0))</f>
        <v/>
      </c>
      <c r="J41" s="193" t="str">
        <f>INDEX(_RPT_CARDS!$Q$2:$Q$24,MATCH(E41,_RPT_CARDS!$B$2:$B$24,0))</f>
        <v>Measured in 2026; target from 2027</v>
      </c>
      <c r="K41" s="193" t="str">
        <f>INDEX(_RPT_CARDS!$R$2:$R$24,MATCH(E41,_RPT_CARDS!$B$2:$B$24,0))</f>
        <v>NO_DATA</v>
      </c>
      <c r="L41" s="193" t="str">
        <f>INDEX(_RPT_CARDS!$L$2:$L$24,MATCH(E41,_RPT_CARDS!$B$2:$B$24,0))</f>
        <v>N/A</v>
      </c>
      <c r="M41" s="193" t="str">
        <f>TRIM("YTD: "&amp;INDEX(_RPT_CARDS!$N$2:$N$24,MATCH(E41,_RPT_CARDS!$B$2:$B$24,0))&amp;". "&amp;INDEX(_RPT_CARDS!$U$2:$U$24,MATCH(E41,_RPT_CARDS!$B$2:$B$24,0)))</f>
        <v>YTD: n/a. No data.</v>
      </c>
      <c r="N41">
        <v>40</v>
      </c>
      <c r="O41" s="193" t="str">
        <f t="shared" si="2"/>
        <v>Compressor Plant</v>
      </c>
      <c r="P41" s="249">
        <f t="shared" si="3"/>
        <v>46296</v>
      </c>
      <c r="Q41" s="193" t="str">
        <f>IF($D41="KPI_CARD",IFERROR(IF(INDEX(_RPT_CARDS!$V$2:$V$24,MATCH($E41,_RPT_CARDS!$B$2:$B$24,0))="","",INDEX(_RPT_CARDS!$V$2:$V$24,MATCH($E41,_RPT_CARDS!$B$2:$B$24,0))),""),"")</f>
        <v>días</v>
      </c>
      <c r="R41" s="193" t="str">
        <f>IF($D41="KPI_CARD",IFERROR(IF(INDEX(_RPT_CARDS!$P$2:$P$24,MATCH($E41,_RPT_CARDS!$B$2:$B$24,0))="","",INDEX(_RPT_CARDS!$P$2:$P$24,MATCH($E41,_RPT_CARDS!$B$2:$B$24,0))),""),"")</f>
        <v/>
      </c>
      <c r="S41" s="193" t="str">
        <f>IF($D41="KPI_CARD",IFERROR(IF(INDEX(_RPT_CARDS!$Z$2:$Z$24,MATCH($E41,_RPT_CARDS!$B$2:$B$24,0))="","",INDEX(_RPT_CARDS!$Z$2:$Z$24,MATCH($E41,_RPT_CARDS!$B$2:$B$24,0))),""),"")</f>
        <v>≤</v>
      </c>
      <c r="T41" s="193" t="str">
        <f>IF($D41="KPI_CARD",IFERROR(IF(INDEX(_RPT_CARDS!$M$2:$M$24,MATCH($E41,_RPT_CARDS!$B$2:$B$24,0))="","",INDEX(_RPT_CARDS!$M$2:$M$24,MATCH($E41,_RPT_CARDS!$B$2:$B$24,0))),""),"")</f>
        <v/>
      </c>
      <c r="U41" s="193" t="str">
        <f>IF($D41="KPI_CARD",IFERROR(IF(INDEX(_RPT_CARDS!$N$2:$N$24,MATCH($E41,_RPT_CARDS!$B$2:$B$24,0))="","",INDEX(_RPT_CARDS!$N$2:$N$24,MATCH($E41,_RPT_CARDS!$B$2:$B$24,0))),""),"")</f>
        <v>n/a</v>
      </c>
      <c r="V41" s="193" t="str">
        <f>IF($D41="KPI_CARD",IFERROR(IF(INDEX(_RPT_CARDS!$O$2:$O$24,MATCH($E41,_RPT_CARDS!$B$2:$B$24,0))="","",INDEX(_RPT_CARDS!$O$2:$O$24,MATCH($E41,_RPT_CARDS!$B$2:$B$24,0))),""),"")</f>
        <v/>
      </c>
      <c r="W41" s="193" t="str">
        <f>IF($D41="KPI_CARD",IFERROR(IF(INDEX(_RPT_CARDS!$T$2:$T$24,MATCH($E41,_RPT_CARDS!$B$2:$B$24,0))="","",INDEX(_RPT_CARDS!$T$2:$T$24,MATCH($E41,_RPT_CARDS!$B$2:$B$24,0))),""),"")</f>
        <v>MISSING</v>
      </c>
      <c r="X41" s="193" t="str">
        <f ca="1">IF(LEFT(Control!$C$10,4)="ROJO","RED",IF(LEFT(Control!$C$10,8)="AMARILLO","AMBER","GREEN"))</f>
        <v>RED</v>
      </c>
      <c r="Y41" s="193">
        <f>IF(D41&lt;&gt;"KPI_CARD",0,IFERROR(IF(ISNUMBER(I41)&lt;&gt;ISNUMBER(INDEX(_RPT_CARDS!$H$2:$H$24,MATCH(E41,_RPT_CARDS!$B$2:$B$24,0))),1,IF(ISNUMBER(I41),--(I41&lt;&gt;INDEX(_RPT_CARDS!$H$2:$H$24,MATCH(E41,_RPT_CARDS!$B$2:$B$24,0))),0)),1))</f>
        <v>0</v>
      </c>
      <c r="Z41" s="193">
        <f>IF(D41&lt;&gt;"KPI_CARD",0,IFERROR(IF(ISNUMBER(T41)&lt;&gt;ISNUMBER(INDEX(_RPT_CARDS!$M$2:$M$24,MATCH(E41,_RPT_CARDS!$B$2:$B$24,0))),1,IF(ISNUMBER(T41),--(T41&lt;&gt;INDEX(_RPT_CARDS!$M$2:$M$24,MATCH(E41,_RPT_CARDS!$B$2:$B$24,0))),0)),1))</f>
        <v>0</v>
      </c>
    </row>
    <row r="42" spans="1:24" ht="13.5" customHeight="1" x14ac:dyDescent="0.3">
      <c r="A42">
        <v>7</v>
      </c>
      <c r="B42" t="s">
        <v>1238</v>
      </c>
      <c r="C42" t="s">
        <v>1240</v>
      </c>
      <c r="D42" t="s">
        <v>1209</v>
      </c>
      <c r="E42" t="s">
        <v>96</v>
      </c>
      <c r="F42" s="193" t="str">
        <f>INDEX(_RPT_CARDS!$D$2:$D$24,MATCH(E42,_RPT_CARDS!$B$2:$B$24,0))</f>
        <v>High-severity share of findings</v>
      </c>
      <c r="G42" s="193" t="str">
        <f>INDEX(_RPT_CARDS!$E$2:$E$24,MATCH(E42,_RPT_CARDS!$B$2:$B$24,0))</f>
        <v>% de desvíos de gravedad Alta</v>
      </c>
      <c r="H42" s="193" t="str">
        <f>INDEX(_RPT_CARDS!$I$2:$I$24,MATCH(E42,_RPT_CARDS!$B$2:$B$24,0))</f>
        <v>n/a</v>
      </c>
      <c r="I42" s="193" t="str">
        <f>INDEX(_RPT_CARDS!$H$2:$H$24,MATCH(E42,_RPT_CARDS!$B$2:$B$24,0))</f>
        <v/>
      </c>
      <c r="J42" s="193" t="str">
        <f>INDEX(_RPT_CARDS!$Q$2:$Q$24,MATCH(E42,_RPT_CARDS!$B$2:$B$24,0))</f>
        <v>Reported only</v>
      </c>
      <c r="K42" s="193" t="str">
        <f>INDEX(_RPT_CARDS!$R$2:$R$24,MATCH(E42,_RPT_CARDS!$B$2:$B$24,0))</f>
        <v>NO_DATA</v>
      </c>
      <c r="L42" s="193" t="str">
        <f>INDEX(_RPT_CARDS!$L$2:$L$24,MATCH(E42,_RPT_CARDS!$B$2:$B$24,0))</f>
        <v>N/A</v>
      </c>
      <c r="M42" s="193" t="str">
        <f>TRIM("YTD: "&amp;INDEX(_RPT_CARDS!$N$2:$N$24,MATCH(E42,_RPT_CARDS!$B$2:$B$24,0))&amp;". "&amp;INDEX(_RPT_CARDS!$U$2:$U$24,MATCH(E42,_RPT_CARDS!$B$2:$B$24,0)))</f>
        <v>YTD: n/a. No data.</v>
      </c>
      <c r="N42">
        <v>41</v>
      </c>
      <c r="O42" s="193" t="str">
        <f t="shared" si="2"/>
        <v>Compressor Plant</v>
      </c>
      <c r="P42" s="249">
        <f t="shared" si="3"/>
        <v>46296</v>
      </c>
      <c r="Q42" s="193" t="str">
        <f>IF($D42="KPI_CARD",IFERROR(IF(INDEX(_RPT_CARDS!$V$2:$V$24,MATCH($E42,_RPT_CARDS!$B$2:$B$24,0))="","",INDEX(_RPT_CARDS!$V$2:$V$24,MATCH($E42,_RPT_CARDS!$B$2:$B$24,0))),""),"")</f>
        <v>% (fracción)</v>
      </c>
      <c r="R42" s="193" t="str">
        <f>IF($D42="KPI_CARD",IFERROR(IF(INDEX(_RPT_CARDS!$P$2:$P$24,MATCH($E42,_RPT_CARDS!$B$2:$B$24,0))="","",INDEX(_RPT_CARDS!$P$2:$P$24,MATCH($E42,_RPT_CARDS!$B$2:$B$24,0))),""),"")</f>
        <v/>
      </c>
      <c r="S42" s="193" t="str">
        <f>IF($D42="KPI_CARD",IFERROR(IF(INDEX(_RPT_CARDS!$Z$2:$Z$24,MATCH($E42,_RPT_CARDS!$B$2:$B$24,0))="","",INDEX(_RPT_CARDS!$Z$2:$Z$24,MATCH($E42,_RPT_CARDS!$B$2:$B$24,0))),""),"")</f>
        <v/>
      </c>
      <c r="T42" s="193" t="str">
        <f>IF($D42="KPI_CARD",IFERROR(IF(INDEX(_RPT_CARDS!$M$2:$M$24,MATCH($E42,_RPT_CARDS!$B$2:$B$24,0))="","",INDEX(_RPT_CARDS!$M$2:$M$24,MATCH($E42,_RPT_CARDS!$B$2:$B$24,0))),""),"")</f>
        <v/>
      </c>
      <c r="U42" s="193" t="str">
        <f>IF($D42="KPI_CARD",IFERROR(IF(INDEX(_RPT_CARDS!$N$2:$N$24,MATCH($E42,_RPT_CARDS!$B$2:$B$24,0))="","",INDEX(_RPT_CARDS!$N$2:$N$24,MATCH($E42,_RPT_CARDS!$B$2:$B$24,0))),""),"")</f>
        <v>n/a</v>
      </c>
      <c r="V42" s="193" t="str">
        <f>IF($D42="KPI_CARD",IFERROR(IF(INDEX(_RPT_CARDS!$O$2:$O$24,MATCH($E42,_RPT_CARDS!$B$2:$B$24,0))="","",INDEX(_RPT_CARDS!$O$2:$O$24,MATCH($E42,_RPT_CARDS!$B$2:$B$24,0))),""),"")</f>
        <v/>
      </c>
      <c r="W42" s="193" t="str">
        <f>IF($D42="KPI_CARD",IFERROR(IF(INDEX(_RPT_CARDS!$T$2:$T$24,MATCH($E42,_RPT_CARDS!$B$2:$B$24,0))="","",INDEX(_RPT_CARDS!$T$2:$T$24,MATCH($E42,_RPT_CARDS!$B$2:$B$24,0))),""),"")</f>
        <v>MISSING</v>
      </c>
      <c r="X42" s="193" t="str">
        <f ca="1">IF(LEFT(Control!$C$10,4)="ROJO","RED",IF(LEFT(Control!$C$10,8)="AMARILLO","AMBER","GREEN"))</f>
        <v>RED</v>
      </c>
      <c r="Y42" s="193">
        <f>IF(D42&lt;&gt;"KPI_CARD",0,IFERROR(IF(ISNUMBER(I42)&lt;&gt;ISNUMBER(INDEX(_RPT_CARDS!$H$2:$H$24,MATCH(E42,_RPT_CARDS!$B$2:$B$24,0))),1,IF(ISNUMBER(I42),--(I42&lt;&gt;INDEX(_RPT_CARDS!$H$2:$H$24,MATCH(E42,_RPT_CARDS!$B$2:$B$24,0))),0)),1))</f>
        <v>0</v>
      </c>
      <c r="Z42" s="193">
        <f>IF(D42&lt;&gt;"KPI_CARD",0,IFERROR(IF(ISNUMBER(T42)&lt;&gt;ISNUMBER(INDEX(_RPT_CARDS!$M$2:$M$24,MATCH(E42,_RPT_CARDS!$B$2:$B$24,0))),1,IF(ISNUMBER(T42),--(T42&lt;&gt;INDEX(_RPT_CARDS!$M$2:$M$24,MATCH(E42,_RPT_CARDS!$B$2:$B$24,0))),0)),1))</f>
        <v>0</v>
      </c>
    </row>
    <row r="43" spans="1:24" ht="13.5" customHeight="1" x14ac:dyDescent="0.3">
      <c r="A43">
        <v>7</v>
      </c>
      <c r="B43" t="s">
        <v>1238</v>
      </c>
      <c r="C43" t="s">
        <v>1241</v>
      </c>
      <c r="D43" t="s">
        <v>1209</v>
      </c>
      <c r="E43" t="s">
        <v>98</v>
      </c>
      <c r="F43" s="193" t="str">
        <f>INDEX(_RPT_CARDS!$D$2:$D$24,MATCH(E43,_RPT_CARDS!$B$2:$B$24,0))</f>
        <v>Stop-work actions</v>
      </c>
      <c r="G43" s="193" t="str">
        <f>INDEX(_RPT_CARDS!$E$2:$E$24,MATCH(E43,_RPT_CARDS!$B$2:$B$24,0))</f>
        <v>Detenciones de tareas aplicadas</v>
      </c>
      <c r="H43" s="193" t="str">
        <f>INDEX(_RPT_CARDS!$I$2:$I$24,MATCH(E43,_RPT_CARDS!$B$2:$B$24,0))</f>
        <v>n/a</v>
      </c>
      <c r="I43" s="193" t="str">
        <f>INDEX(_RPT_CARDS!$H$2:$H$24,MATCH(E43,_RPT_CARDS!$B$2:$B$24,0))</f>
        <v/>
      </c>
      <c r="J43" s="193" t="str">
        <f>INDEX(_RPT_CARDS!$Q$2:$Q$24,MATCH(E43,_RPT_CARDS!$B$2:$B$24,0))</f>
        <v>Reported only</v>
      </c>
      <c r="K43" s="193" t="str">
        <f>INDEX(_RPT_CARDS!$R$2:$R$24,MATCH(E43,_RPT_CARDS!$B$2:$B$24,0))</f>
        <v>NO_DATA</v>
      </c>
      <c r="L43" s="193" t="str">
        <f>INDEX(_RPT_CARDS!$L$2:$L$24,MATCH(E43,_RPT_CARDS!$B$2:$B$24,0))</f>
        <v>N/A</v>
      </c>
      <c r="M43" s="193" t="str">
        <f>TRIM("YTD: "&amp;INDEX(_RPT_CARDS!$N$2:$N$24,MATCH(E43,_RPT_CARDS!$B$2:$B$24,0))&amp;". "&amp;INDEX(_RPT_CARDS!$U$2:$U$24,MATCH(E43,_RPT_CARDS!$B$2:$B$24,0)))</f>
        <v>YTD: n/a. No data.</v>
      </c>
      <c r="N43">
        <v>42</v>
      </c>
      <c r="O43" s="193" t="str">
        <f t="shared" si="2"/>
        <v>Compressor Plant</v>
      </c>
      <c r="P43" s="249">
        <f t="shared" si="3"/>
        <v>46296</v>
      </c>
      <c r="Q43" s="193" t="str">
        <f>IF($D43="KPI_CARD",IFERROR(IF(INDEX(_RPT_CARDS!$V$2:$V$24,MATCH($E43,_RPT_CARDS!$B$2:$B$24,0))="","",INDEX(_RPT_CARDS!$V$2:$V$24,MATCH($E43,_RPT_CARDS!$B$2:$B$24,0))),""),"")</f>
        <v>u</v>
      </c>
      <c r="R43" s="193" t="str">
        <f>IF($D43="KPI_CARD",IFERROR(IF(INDEX(_RPT_CARDS!$P$2:$P$24,MATCH($E43,_RPT_CARDS!$B$2:$B$24,0))="","",INDEX(_RPT_CARDS!$P$2:$P$24,MATCH($E43,_RPT_CARDS!$B$2:$B$24,0))),""),"")</f>
        <v/>
      </c>
      <c r="S43" s="193" t="str">
        <f>IF($D43="KPI_CARD",IFERROR(IF(INDEX(_RPT_CARDS!$Z$2:$Z$24,MATCH($E43,_RPT_CARDS!$B$2:$B$24,0))="","",INDEX(_RPT_CARDS!$Z$2:$Z$24,MATCH($E43,_RPT_CARDS!$B$2:$B$24,0))),""),"")</f>
        <v/>
      </c>
      <c r="T43" s="193" t="str">
        <f>IF($D43="KPI_CARD",IFERROR(IF(INDEX(_RPT_CARDS!$M$2:$M$24,MATCH($E43,_RPT_CARDS!$B$2:$B$24,0))="","",INDEX(_RPT_CARDS!$M$2:$M$24,MATCH($E43,_RPT_CARDS!$B$2:$B$24,0))),""),"")</f>
        <v/>
      </c>
      <c r="U43" s="193" t="str">
        <f>IF($D43="KPI_CARD",IFERROR(IF(INDEX(_RPT_CARDS!$N$2:$N$24,MATCH($E43,_RPT_CARDS!$B$2:$B$24,0))="","",INDEX(_RPT_CARDS!$N$2:$N$24,MATCH($E43,_RPT_CARDS!$B$2:$B$24,0))),""),"")</f>
        <v>n/a</v>
      </c>
      <c r="V43" s="193" t="str">
        <f>IF($D43="KPI_CARD",IFERROR(IF(INDEX(_RPT_CARDS!$O$2:$O$24,MATCH($E43,_RPT_CARDS!$B$2:$B$24,0))="","",INDEX(_RPT_CARDS!$O$2:$O$24,MATCH($E43,_RPT_CARDS!$B$2:$B$24,0))),""),"")</f>
        <v/>
      </c>
      <c r="W43" s="193" t="str">
        <f>IF($D43="KPI_CARD",IFERROR(IF(INDEX(_RPT_CARDS!$T$2:$T$24,MATCH($E43,_RPT_CARDS!$B$2:$B$24,0))="","",INDEX(_RPT_CARDS!$T$2:$T$24,MATCH($E43,_RPT_CARDS!$B$2:$B$24,0))),""),"")</f>
        <v>MISSING</v>
      </c>
      <c r="X43" s="193" t="str">
        <f ca="1">IF(LEFT(Control!$C$10,4)="ROJO","RED",IF(LEFT(Control!$C$10,8)="AMARILLO","AMBER","GREEN"))</f>
        <v>RED</v>
      </c>
      <c r="Y43" s="193">
        <f>IF(D43&lt;&gt;"KPI_CARD",0,IFERROR(IF(ISNUMBER(I43)&lt;&gt;ISNUMBER(INDEX(_RPT_CARDS!$H$2:$H$24,MATCH(E43,_RPT_CARDS!$B$2:$B$24,0))),1,IF(ISNUMBER(I43),--(I43&lt;&gt;INDEX(_RPT_CARDS!$H$2:$H$24,MATCH(E43,_RPT_CARDS!$B$2:$B$24,0))),0)),1))</f>
        <v>0</v>
      </c>
      <c r="Z43" s="193">
        <f>IF(D43&lt;&gt;"KPI_CARD",0,IFERROR(IF(ISNUMBER(T43)&lt;&gt;ISNUMBER(INDEX(_RPT_CARDS!$M$2:$M$24,MATCH(E43,_RPT_CARDS!$B$2:$B$24,0))),1,IF(ISNUMBER(T43),--(T43&lt;&gt;INDEX(_RPT_CARDS!$M$2:$M$24,MATCH(E43,_RPT_CARDS!$B$2:$B$24,0))),0)),1))</f>
        <v>0</v>
      </c>
    </row>
    <row r="44" spans="1:24" ht="13.5" customHeight="1" x14ac:dyDescent="0.3">
      <c r="A44">
        <v>7</v>
      </c>
      <c r="B44" t="s">
        <v>1238</v>
      </c>
      <c r="C44" t="s">
        <v>1242</v>
      </c>
      <c r="D44" t="s">
        <v>1209</v>
      </c>
      <c r="E44" t="s">
        <v>1073</v>
      </c>
      <c r="F44" s="193" t="str">
        <f>INDEX(_RPT_CARDS!$D$2:$D$24,MATCH(E44,_RPT_CARDS!$B$2:$B$24,0))</f>
        <v>High-severity deviations open at month end</v>
      </c>
      <c r="G44" s="193" t="str">
        <f>INDEX(_RPT_CARDS!$E$2:$E$24,MATCH(E44,_RPT_CARDS!$B$2:$B$24,0))</f>
        <v>Desvíos de gravedad Alta abiertos</v>
      </c>
      <c r="H44" s="193" t="str">
        <f>INDEX(_RPT_CARDS!$I$2:$I$24,MATCH(E44,_RPT_CARDS!$B$2:$B$24,0))</f>
        <v>n/a</v>
      </c>
      <c r="I44" s="248">
        <f>INDEX(_RPT_CARDS!$H$2:$H$24,MATCH(E44,_RPT_CARDS!$B$2:$B$24,0))</f>
        <v>0</v>
      </c>
      <c r="J44" s="193" t="str">
        <f>INDEX(_RPT_CARDS!$Q$2:$Q$24,MATCH(E44,_RPT_CARDS!$B$2:$B$24,0))</f>
        <v>No target defined</v>
      </c>
      <c r="K44" s="193" t="str">
        <f>INDEX(_RPT_CARDS!$R$2:$R$24,MATCH(E44,_RPT_CARDS!$B$2:$B$24,0))</f>
        <v>NO_DATA</v>
      </c>
      <c r="L44" s="193" t="str">
        <f>INDEX(_RPT_CARDS!$L$2:$L$24,MATCH(E44,_RPT_CARDS!$B$2:$B$24,0))</f>
        <v>N/A</v>
      </c>
      <c r="M44" s="193" t="str">
        <f>TRIM("YTD: "&amp;INDEX(_RPT_CARDS!$N$2:$N$24,MATCH(E44,_RPT_CARDS!$B$2:$B$24,0))&amp;". "&amp;INDEX(_RPT_CARDS!$U$2:$U$24,MATCH(E44,_RPT_CARDS!$B$2:$B$24,0)))</f>
        <v>YTD: n/a (stock at month end).</v>
      </c>
      <c r="N44">
        <v>43</v>
      </c>
      <c r="O44" s="193" t="str">
        <f t="shared" si="2"/>
        <v>Compressor Plant</v>
      </c>
      <c r="P44" s="249">
        <f t="shared" si="3"/>
        <v>46296</v>
      </c>
      <c r="Q44" s="193" t="str">
        <f>IF($D44="KPI_CARD",IFERROR(IF(INDEX(_RPT_CARDS!$V$2:$V$24,MATCH($E44,_RPT_CARDS!$B$2:$B$24,0))="","",INDEX(_RPT_CARDS!$V$2:$V$24,MATCH($E44,_RPT_CARDS!$B$2:$B$24,0))),""),"")</f>
        <v>u</v>
      </c>
      <c r="R44" s="193" t="str">
        <f>IF($D44="KPI_CARD",IFERROR(IF(INDEX(_RPT_CARDS!$P$2:$P$24,MATCH($E44,_RPT_CARDS!$B$2:$B$24,0))="","",INDEX(_RPT_CARDS!$P$2:$P$24,MATCH($E44,_RPT_CARDS!$B$2:$B$24,0))),""),"")</f>
        <v/>
      </c>
      <c r="S44" s="193" t="str">
        <f>IF($D44="KPI_CARD",IFERROR(IF(INDEX(_RPT_CARDS!$Z$2:$Z$24,MATCH($E44,_RPT_CARDS!$B$2:$B$24,0))="","",INDEX(_RPT_CARDS!$Z$2:$Z$24,MATCH($E44,_RPT_CARDS!$B$2:$B$24,0))),""),"")</f>
        <v/>
      </c>
      <c r="T44" s="193" t="str">
        <f>IF($D44="KPI_CARD",IFERROR(IF(INDEX(_RPT_CARDS!$M$2:$M$24,MATCH($E44,_RPT_CARDS!$B$2:$B$24,0))="","",INDEX(_RPT_CARDS!$M$2:$M$24,MATCH($E44,_RPT_CARDS!$B$2:$B$24,0))),""),"")</f>
        <v/>
      </c>
      <c r="U44" s="193" t="str">
        <f>IF($D44="KPI_CARD",IFERROR(IF(INDEX(_RPT_CARDS!$N$2:$N$24,MATCH($E44,_RPT_CARDS!$B$2:$B$24,0))="","",INDEX(_RPT_CARDS!$N$2:$N$24,MATCH($E44,_RPT_CARDS!$B$2:$B$24,0))),""),"")</f>
        <v>n/a (stock at month end)</v>
      </c>
      <c r="V44" s="193" t="str">
        <f>IF($D44="KPI_CARD",IFERROR(IF(INDEX(_RPT_CARDS!$O$2:$O$24,MATCH($E44,_RPT_CARDS!$B$2:$B$24,0))="","",INDEX(_RPT_CARDS!$O$2:$O$24,MATCH($E44,_RPT_CARDS!$B$2:$B$24,0))),""),"")</f>
        <v/>
      </c>
      <c r="W44" s="193" t="str">
        <f>IF($D44="KPI_CARD",IFERROR(IF(INDEX(_RPT_CARDS!$T$2:$T$24,MATCH($E44,_RPT_CARDS!$B$2:$B$24,0))="","",INDEX(_RPT_CARDS!$T$2:$T$24,MATCH($E44,_RPT_CARDS!$B$2:$B$24,0))),""),"")</f>
        <v>MISSING</v>
      </c>
      <c r="X44" s="193" t="str">
        <f ca="1">IF(LEFT(Control!$C$10,4)="ROJO","RED",IF(LEFT(Control!$C$10,8)="AMARILLO","AMBER","GREEN"))</f>
        <v>RED</v>
      </c>
      <c r="Y44" s="193">
        <f>IF(D44&lt;&gt;"KPI_CARD",0,IFERROR(IF(ISNUMBER(I44)&lt;&gt;ISNUMBER(INDEX(_RPT_CARDS!$H$2:$H$24,MATCH(E44,_RPT_CARDS!$B$2:$B$24,0))),1,IF(ISNUMBER(I44),--(I44&lt;&gt;INDEX(_RPT_CARDS!$H$2:$H$24,MATCH(E44,_RPT_CARDS!$B$2:$B$24,0))),0)),1))</f>
        <v>0</v>
      </c>
      <c r="Z44" s="193">
        <f>IF(D44&lt;&gt;"KPI_CARD",0,IFERROR(IF(ISNUMBER(T44)&lt;&gt;ISNUMBER(INDEX(_RPT_CARDS!$M$2:$M$24,MATCH(E44,_RPT_CARDS!$B$2:$B$24,0))),1,IF(ISNUMBER(T44),--(T44&lt;&gt;INDEX(_RPT_CARDS!$M$2:$M$24,MATCH(E44,_RPT_CARDS!$B$2:$B$24,0))),0)),1))</f>
        <v>0</v>
      </c>
    </row>
    <row r="45" spans="1:24" ht="13.5" customHeight="1" x14ac:dyDescent="0.3">
      <c r="A45">
        <v>7</v>
      </c>
      <c r="B45" t="s">
        <v>1238</v>
      </c>
      <c r="C45" t="s">
        <v>1147</v>
      </c>
      <c r="D45" t="s">
        <v>1215</v>
      </c>
      <c r="E45" t="s">
        <v>1147</v>
      </c>
      <c r="F45" s="193" t="str">
        <f>INDEX(_RPT_SPEC_CHART!$D$2:$D$16,MATCH(E45,_RPT_SPEC_CHART!$A$2:$A$16,0))</f>
        <v>Closure time: deviations and investigations</v>
      </c>
      <c r="G45" s="193" t="str">
        <f>INDEX(_RPT_SPEC_CHART!$E$2:$E$16,MATCH(E45,_RPT_SPEC_CHART!$A$2:$A$16,0))</f>
        <v>Are deviations and incident investigations being closed in a timely manner?</v>
      </c>
      <c r="H45" s="193" t="str">
        <f>INDEX(_RPT_SPEC_CHART!$N$2:$N$16,MATCH(E45,_RPT_SPEC_CHART!$A$2:$A$16,0))&amp;" of "&amp;INDEX(_RPT_SPEC_CHART!$O$2:$O$16,MATCH(E45,_RPT_SPEC_CHART!$A$2:$A$16,0))&amp;" points"</f>
        <v>2 of 6 points</v>
      </c>
      <c r="I45" s="193">
        <f>INDEX(_RPT_SPEC_CHART!$N$2:$N$16,MATCH(E45,_RPT_SPEC_CHART!$A$2:$A$16,0))</f>
        <v>2</v>
      </c>
      <c r="J45" s="193" t="str">
        <f>INDEX(_RPT_SPEC_CHART!$J$2:$J$16,MATCH(E45,_RPT_SPEC_CHART!$A$2:$A$16,0))</f>
        <v>Yes, DPAS only when a numeric target is defined (2027)</v>
      </c>
      <c r="K45" s="193" t="str">
        <f>INDEX(_RPT_SPEC_CHART!$P$2:$P$16,MATCH(E45,_RPT_SPEC_CHART!$A$2:$A$16,0))</f>
        <v>PARTIAL</v>
      </c>
      <c r="M45" s="193" t="str">
        <f>INDEX(_RPT_SPEC_CHART!$M$2:$M$16,MATCH(E45,_RPT_SPEC_CHART!$A$2:$A$16,0))</f>
        <v>DPAS - Average days to close findings (Días promedio de cierre); INV - Investigation closure days</v>
      </c>
      <c r="N45">
        <v>44</v>
      </c>
      <c r="O45" s="193" t="str">
        <f t="shared" si="2"/>
        <v>Compressor Plant</v>
      </c>
      <c r="P45" s="249">
        <f t="shared" si="3"/>
        <v>46296</v>
      </c>
      <c r="Q45" s="193" t="str">
        <f>IF($D45="KPI_CARD",IFERROR(IF(INDEX(_RPT_CARDS!$V$2:$V$24,MATCH($E45,_RPT_CARDS!$B$2:$B$24,0))="","",INDEX(_RPT_CARDS!$V$2:$V$24,MATCH($E45,_RPT_CARDS!$B$2:$B$24,0))),""),"")</f>
        <v/>
      </c>
      <c r="R45" s="193" t="str">
        <f>IF($D45="KPI_CARD",IFERROR(IF(INDEX(_RPT_CARDS!$P$2:$P$24,MATCH($E45,_RPT_CARDS!$B$2:$B$24,0))="","",INDEX(_RPT_CARDS!$P$2:$P$24,MATCH($E45,_RPT_CARDS!$B$2:$B$24,0))),""),"")</f>
        <v/>
      </c>
      <c r="S45" s="193" t="str">
        <f>IF($D45="KPI_CARD",IFERROR(IF(INDEX(_RPT_CARDS!$Z$2:$Z$24,MATCH($E45,_RPT_CARDS!$B$2:$B$24,0))="","",INDEX(_RPT_CARDS!$Z$2:$Z$24,MATCH($E45,_RPT_CARDS!$B$2:$B$24,0))),""),"")</f>
        <v/>
      </c>
      <c r="T45" s="193" t="str">
        <f>IF($D45="KPI_CARD",IFERROR(IF(INDEX(_RPT_CARDS!$M$2:$M$24,MATCH($E45,_RPT_CARDS!$B$2:$B$24,0))="","",INDEX(_RPT_CARDS!$M$2:$M$24,MATCH($E45,_RPT_CARDS!$B$2:$B$24,0))),""),"")</f>
        <v/>
      </c>
      <c r="U45" s="193" t="str">
        <f>IF($D45="KPI_CARD",IFERROR(IF(INDEX(_RPT_CARDS!$N$2:$N$24,MATCH($E45,_RPT_CARDS!$B$2:$B$24,0))="","",INDEX(_RPT_CARDS!$N$2:$N$24,MATCH($E45,_RPT_CARDS!$B$2:$B$24,0))),""),"")</f>
        <v/>
      </c>
      <c r="V45" s="193" t="str">
        <f>IF($D45="KPI_CARD",IFERROR(IF(INDEX(_RPT_CARDS!$O$2:$O$24,MATCH($E45,_RPT_CARDS!$B$2:$B$24,0))="","",INDEX(_RPT_CARDS!$O$2:$O$24,MATCH($E45,_RPT_CARDS!$B$2:$B$24,0))),""),"")</f>
        <v/>
      </c>
      <c r="W45" s="193" t="str">
        <f>IF($D45="KPI_CARD",IFERROR(IF(INDEX(_RPT_CARDS!$T$2:$T$24,MATCH($E45,_RPT_CARDS!$B$2:$B$24,0))="","",INDEX(_RPT_CARDS!$T$2:$T$24,MATCH($E45,_RPT_CARDS!$B$2:$B$24,0))),""),"")</f>
        <v/>
      </c>
      <c r="X45" s="193" t="str">
        <f ca="1">IF(LEFT(Control!$C$10,4)="ROJO","RED",IF(LEFT(Control!$C$10,8)="AMARILLO","AMBER","GREEN"))</f>
        <v>RED</v>
      </c>
      <c r="Y45" s="193">
        <f>IF(D45&lt;&gt;"KPI_CARD",0,IFERROR(IF(ISNUMBER(I45)&lt;&gt;ISNUMBER(INDEX(_RPT_CARDS!$H$2:$H$24,MATCH(E45,_RPT_CARDS!$B$2:$B$24,0))),1,IF(ISNUMBER(I45),--(I45&lt;&gt;INDEX(_RPT_CARDS!$H$2:$H$24,MATCH(E45,_RPT_CARDS!$B$2:$B$24,0))),0)),1))</f>
        <v>0</v>
      </c>
      <c r="Z45" s="193">
        <f>IF(D45&lt;&gt;"KPI_CARD",0,IFERROR(IF(ISNUMBER(T45)&lt;&gt;ISNUMBER(INDEX(_RPT_CARDS!$M$2:$M$24,MATCH(E45,_RPT_CARDS!$B$2:$B$24,0))),1,IF(ISNUMBER(T45),--(T45&lt;&gt;INDEX(_RPT_CARDS!$M$2:$M$24,MATCH(E45,_RPT_CARDS!$B$2:$B$24,0))),0)),1))</f>
        <v>0</v>
      </c>
    </row>
    <row r="46" spans="1:24" ht="13.5" customHeight="1" x14ac:dyDescent="0.3">
      <c r="A46">
        <v>7</v>
      </c>
      <c r="B46" t="s">
        <v>1238</v>
      </c>
      <c r="C46" t="s">
        <v>1152</v>
      </c>
      <c r="D46" t="s">
        <v>1215</v>
      </c>
      <c r="E46" t="s">
        <v>1152</v>
      </c>
      <c r="F46" s="193" t="str">
        <f>INDEX(_RPT_SPEC_CHART!$D$2:$D$16,MATCH(E46,_RPT_SPEC_CHART!$A$2:$A$16,0))</f>
        <v>High-severity deviations open at month end</v>
      </c>
      <c r="G46" s="193" t="str">
        <f>INDEX(_RPT_SPEC_CHART!$E$2:$E$16,MATCH(E46,_RPT_SPEC_CHART!$A$2:$A$16,0))</f>
        <v>How many critical exposures remain open?</v>
      </c>
      <c r="H46" s="193" t="str">
        <f>INDEX(_RPT_SPEC_CHART!$N$2:$N$16,MATCH(E46,_RPT_SPEC_CHART!$A$2:$A$16,0))&amp;" of "&amp;INDEX(_RPT_SPEC_CHART!$O$2:$O$16,MATCH(E46,_RPT_SPEC_CHART!$A$2:$A$16,0))&amp;" points"</f>
        <v>2 of 3 points</v>
      </c>
      <c r="I46" s="193">
        <f>INDEX(_RPT_SPEC_CHART!$N$2:$N$16,MATCH(E46,_RPT_SPEC_CHART!$A$2:$A$16,0))</f>
        <v>2</v>
      </c>
      <c r="J46" s="193" t="str">
        <f>INDEX(_RPT_SPEC_CHART!$J$2:$J$16,MATCH(E46,_RPT_SPEC_CHART!$A$2:$A$16,0))</f>
        <v>No (zero is the implicit goal; not defined in _TARGETS)</v>
      </c>
      <c r="K46" s="193" t="str">
        <f>INDEX(_RPT_SPEC_CHART!$P$2:$P$16,MATCH(E46,_RPT_SPEC_CHART!$A$2:$A$16,0))</f>
        <v>PARTIAL</v>
      </c>
      <c r="M46" s="193" t="str">
        <f>INDEX(_RPT_SPEC_CHART!$M$2:$M$16,MATCH(E46,_RPT_SPEC_CHART!$A$2:$A$16,0))</f>
        <v>Alta = High severity</v>
      </c>
      <c r="N46">
        <v>45</v>
      </c>
      <c r="O46" s="193" t="str">
        <f t="shared" si="2"/>
        <v>Compressor Plant</v>
      </c>
      <c r="P46" s="249">
        <f t="shared" si="3"/>
        <v>46296</v>
      </c>
      <c r="Q46" s="193" t="str">
        <f>IF($D46="KPI_CARD",IFERROR(IF(INDEX(_RPT_CARDS!$V$2:$V$24,MATCH($E46,_RPT_CARDS!$B$2:$B$24,0))="","",INDEX(_RPT_CARDS!$V$2:$V$24,MATCH($E46,_RPT_CARDS!$B$2:$B$24,0))),""),"")</f>
        <v/>
      </c>
      <c r="R46" s="193" t="str">
        <f>IF($D46="KPI_CARD",IFERROR(IF(INDEX(_RPT_CARDS!$P$2:$P$24,MATCH($E46,_RPT_CARDS!$B$2:$B$24,0))="","",INDEX(_RPT_CARDS!$P$2:$P$24,MATCH($E46,_RPT_CARDS!$B$2:$B$24,0))),""),"")</f>
        <v/>
      </c>
      <c r="S46" s="193" t="str">
        <f>IF($D46="KPI_CARD",IFERROR(IF(INDEX(_RPT_CARDS!$Z$2:$Z$24,MATCH($E46,_RPT_CARDS!$B$2:$B$24,0))="","",INDEX(_RPT_CARDS!$Z$2:$Z$24,MATCH($E46,_RPT_CARDS!$B$2:$B$24,0))),""),"")</f>
        <v/>
      </c>
      <c r="T46" s="193" t="str">
        <f>IF($D46="KPI_CARD",IFERROR(IF(INDEX(_RPT_CARDS!$M$2:$M$24,MATCH($E46,_RPT_CARDS!$B$2:$B$24,0))="","",INDEX(_RPT_CARDS!$M$2:$M$24,MATCH($E46,_RPT_CARDS!$B$2:$B$24,0))),""),"")</f>
        <v/>
      </c>
      <c r="U46" s="193" t="str">
        <f>IF($D46="KPI_CARD",IFERROR(IF(INDEX(_RPT_CARDS!$N$2:$N$24,MATCH($E46,_RPT_CARDS!$B$2:$B$24,0))="","",INDEX(_RPT_CARDS!$N$2:$N$24,MATCH($E46,_RPT_CARDS!$B$2:$B$24,0))),""),"")</f>
        <v/>
      </c>
      <c r="V46" s="193" t="str">
        <f>IF($D46="KPI_CARD",IFERROR(IF(INDEX(_RPT_CARDS!$O$2:$O$24,MATCH($E46,_RPT_CARDS!$B$2:$B$24,0))="","",INDEX(_RPT_CARDS!$O$2:$O$24,MATCH($E46,_RPT_CARDS!$B$2:$B$24,0))),""),"")</f>
        <v/>
      </c>
      <c r="W46" s="193" t="str">
        <f>IF($D46="KPI_CARD",IFERROR(IF(INDEX(_RPT_CARDS!$T$2:$T$24,MATCH($E46,_RPT_CARDS!$B$2:$B$24,0))="","",INDEX(_RPT_CARDS!$T$2:$T$24,MATCH($E46,_RPT_CARDS!$B$2:$B$24,0))),""),"")</f>
        <v/>
      </c>
      <c r="X46" s="193" t="str">
        <f ca="1">IF(LEFT(Control!$C$10,4)="ROJO","RED",IF(LEFT(Control!$C$10,8)="AMARILLO","AMBER","GREEN"))</f>
        <v>RED</v>
      </c>
      <c r="Y46" s="193">
        <f>IF(D46&lt;&gt;"KPI_CARD",0,IFERROR(IF(ISNUMBER(I46)&lt;&gt;ISNUMBER(INDEX(_RPT_CARDS!$H$2:$H$24,MATCH(E46,_RPT_CARDS!$B$2:$B$24,0))),1,IF(ISNUMBER(I46),--(I46&lt;&gt;INDEX(_RPT_CARDS!$H$2:$H$24,MATCH(E46,_RPT_CARDS!$B$2:$B$24,0))),0)),1))</f>
        <v>0</v>
      </c>
      <c r="Z46" s="193">
        <f>IF(D46&lt;&gt;"KPI_CARD",0,IFERROR(IF(ISNUMBER(T46)&lt;&gt;ISNUMBER(INDEX(_RPT_CARDS!$M$2:$M$24,MATCH(E46,_RPT_CARDS!$B$2:$B$24,0))),1,IF(ISNUMBER(T46),--(T46&lt;&gt;INDEX(_RPT_CARDS!$M$2:$M$24,MATCH(E46,_RPT_CARDS!$B$2:$B$24,0))),0)),1))</f>
        <v>0</v>
      </c>
    </row>
    <row r="47" spans="1:24" ht="13.5" customHeight="1" x14ac:dyDescent="0.3">
      <c r="A47">
        <v>8</v>
      </c>
      <c r="B47" t="s">
        <v>1243</v>
      </c>
      <c r="C47" t="s">
        <v>1176</v>
      </c>
      <c r="D47" t="s">
        <v>1215</v>
      </c>
      <c r="E47" t="s">
        <v>1176</v>
      </c>
      <c r="F47" s="193" t="str">
        <f>INDEX(_RPT_SPEC_CHART!$D$2:$D$16,MATCH(E47,_RPT_SPEC_CHART!$A$2:$A$16,0))</f>
        <v>Environmental indicators</v>
      </c>
      <c r="G47" s="193" t="str">
        <f>INDEX(_RPT_SPEC_CHART!$E$2:$E$16,MATCH(E47,_RPT_SPEC_CHART!$A$2:$A$16,0))</f>
        <v>Environmental performance (pending definition)</v>
      </c>
      <c r="H47" s="193" t="str">
        <f>INDEX(_RPT_SPEC_CHART!$N$2:$N$16,MATCH(E47,_RPT_SPEC_CHART!$A$2:$A$16,0))&amp;" of "&amp;INDEX(_RPT_SPEC_CHART!$O$2:$O$16,MATCH(E47,_RPT_SPEC_CHART!$A$2:$A$16,0))&amp;" points"</f>
        <v>0 of 0 points</v>
      </c>
      <c r="I47" s="193">
        <f>INDEX(_RPT_SPEC_CHART!$N$2:$N$16,MATCH(E47,_RPT_SPEC_CHART!$A$2:$A$16,0))</f>
        <v>0</v>
      </c>
      <c r="J47" s="193" t="str">
        <f>INDEX(_RPT_SPEC_CHART!$J$2:$J$16,MATCH(E47,_RPT_SPEC_CHART!$A$2:$A$16,0))</f>
        <v>No</v>
      </c>
      <c r="K47" s="193" t="str">
        <f>INDEX(_RPT_SPEC_CHART!$P$2:$P$16,MATCH(E47,_RPT_SPEC_CHART!$A$2:$A$16,0))</f>
        <v>PENDING_DEFINITION</v>
      </c>
      <c r="M47" s="193" t="str">
        <f>INDEX(_RPT_SPEC_CHART!$M$2:$M$16,MATCH(E47,_RPT_SPEC_CHART!$A$2:$A$16,0))</f>
        <v>n/a</v>
      </c>
      <c r="N47">
        <v>46</v>
      </c>
      <c r="O47" s="193" t="str">
        <f t="shared" si="2"/>
        <v>Compressor Plant</v>
      </c>
      <c r="P47" s="249">
        <f t="shared" si="3"/>
        <v>46296</v>
      </c>
      <c r="Q47" s="193" t="str">
        <f>IF($D47="KPI_CARD",IFERROR(IF(INDEX(_RPT_CARDS!$V$2:$V$24,MATCH($E47,_RPT_CARDS!$B$2:$B$24,0))="","",INDEX(_RPT_CARDS!$V$2:$V$24,MATCH($E47,_RPT_CARDS!$B$2:$B$24,0))),""),"")</f>
        <v/>
      </c>
      <c r="R47" s="193" t="str">
        <f>IF($D47="KPI_CARD",IFERROR(IF(INDEX(_RPT_CARDS!$P$2:$P$24,MATCH($E47,_RPT_CARDS!$B$2:$B$24,0))="","",INDEX(_RPT_CARDS!$P$2:$P$24,MATCH($E47,_RPT_CARDS!$B$2:$B$24,0))),""),"")</f>
        <v/>
      </c>
      <c r="S47" s="193" t="str">
        <f>IF($D47="KPI_CARD",IFERROR(IF(INDEX(_RPT_CARDS!$Z$2:$Z$24,MATCH($E47,_RPT_CARDS!$B$2:$B$24,0))="","",INDEX(_RPT_CARDS!$Z$2:$Z$24,MATCH($E47,_RPT_CARDS!$B$2:$B$24,0))),""),"")</f>
        <v/>
      </c>
      <c r="T47" s="193" t="str">
        <f>IF($D47="KPI_CARD",IFERROR(IF(INDEX(_RPT_CARDS!$M$2:$M$24,MATCH($E47,_RPT_CARDS!$B$2:$B$24,0))="","",INDEX(_RPT_CARDS!$M$2:$M$24,MATCH($E47,_RPT_CARDS!$B$2:$B$24,0))),""),"")</f>
        <v/>
      </c>
      <c r="U47" s="193" t="str">
        <f>IF($D47="KPI_CARD",IFERROR(IF(INDEX(_RPT_CARDS!$N$2:$N$24,MATCH($E47,_RPT_CARDS!$B$2:$B$24,0))="","",INDEX(_RPT_CARDS!$N$2:$N$24,MATCH($E47,_RPT_CARDS!$B$2:$B$24,0))),""),"")</f>
        <v/>
      </c>
      <c r="V47" s="193" t="str">
        <f>IF($D47="KPI_CARD",IFERROR(IF(INDEX(_RPT_CARDS!$O$2:$O$24,MATCH($E47,_RPT_CARDS!$B$2:$B$24,0))="","",INDEX(_RPT_CARDS!$O$2:$O$24,MATCH($E47,_RPT_CARDS!$B$2:$B$24,0))),""),"")</f>
        <v/>
      </c>
      <c r="W47" s="193" t="str">
        <f>IF($D47="KPI_CARD",IFERROR(IF(INDEX(_RPT_CARDS!$T$2:$T$24,MATCH($E47,_RPT_CARDS!$B$2:$B$24,0))="","",INDEX(_RPT_CARDS!$T$2:$T$24,MATCH($E47,_RPT_CARDS!$B$2:$B$24,0))),""),"")</f>
        <v/>
      </c>
      <c r="X47" s="193" t="str">
        <f ca="1">IF(LEFT(Control!$C$10,4)="ROJO","RED",IF(LEFT(Control!$C$10,8)="AMARILLO","AMBER","GREEN"))</f>
        <v>RED</v>
      </c>
      <c r="Y47" s="193">
        <f>IF(D47&lt;&gt;"KPI_CARD",0,IFERROR(IF(ISNUMBER(I47)&lt;&gt;ISNUMBER(INDEX(_RPT_CARDS!$H$2:$H$24,MATCH(E47,_RPT_CARDS!$B$2:$B$24,0))),1,IF(ISNUMBER(I47),--(I47&lt;&gt;INDEX(_RPT_CARDS!$H$2:$H$24,MATCH(E47,_RPT_CARDS!$B$2:$B$24,0))),0)),1))</f>
        <v>0</v>
      </c>
      <c r="Z47" s="193">
        <f>IF(D47&lt;&gt;"KPI_CARD",0,IFERROR(IF(ISNUMBER(T47)&lt;&gt;ISNUMBER(INDEX(_RPT_CARDS!$M$2:$M$24,MATCH(E47,_RPT_CARDS!$B$2:$B$24,0))),1,IF(ISNUMBER(T47),--(T47&lt;&gt;INDEX(_RPT_CARDS!$M$2:$M$24,MATCH(E47,_RPT_CARDS!$B$2:$B$24,0))),0)),1))</f>
        <v>0</v>
      </c>
    </row>
    <row r="48" spans="1:24" ht="13.5" customHeight="1" x14ac:dyDescent="0.3">
      <c r="A48">
        <v>8</v>
      </c>
      <c r="B48" t="s">
        <v>1243</v>
      </c>
      <c r="C48" t="s">
        <v>1177</v>
      </c>
      <c r="D48" t="s">
        <v>1197</v>
      </c>
      <c r="F48" t="s">
        <v>1244</v>
      </c>
      <c r="H48" t="s">
        <v>1245</v>
      </c>
      <c r="M48" t="s">
        <v>1246</v>
      </c>
      <c r="N48">
        <v>47</v>
      </c>
      <c r="O48" s="193" t="str">
        <f t="shared" si="2"/>
        <v>Compressor Plant</v>
      </c>
      <c r="P48" s="249">
        <f t="shared" si="3"/>
        <v>46296</v>
      </c>
      <c r="Q48" s="193" t="str">
        <f>IF($D48="KPI_CARD",IFERROR(IF(INDEX(_RPT_CARDS!$V$2:$V$24,MATCH($E48,_RPT_CARDS!$B$2:$B$24,0))="","",INDEX(_RPT_CARDS!$V$2:$V$24,MATCH($E48,_RPT_CARDS!$B$2:$B$24,0))),""),"")</f>
        <v/>
      </c>
      <c r="R48" s="193" t="str">
        <f>IF($D48="KPI_CARD",IFERROR(IF(INDEX(_RPT_CARDS!$P$2:$P$24,MATCH($E48,_RPT_CARDS!$B$2:$B$24,0))="","",INDEX(_RPT_CARDS!$P$2:$P$24,MATCH($E48,_RPT_CARDS!$B$2:$B$24,0))),""),"")</f>
        <v/>
      </c>
      <c r="S48" s="193" t="str">
        <f>IF($D48="KPI_CARD",IFERROR(IF(INDEX(_RPT_CARDS!$Z$2:$Z$24,MATCH($E48,_RPT_CARDS!$B$2:$B$24,0))="","",INDEX(_RPT_CARDS!$Z$2:$Z$24,MATCH($E48,_RPT_CARDS!$B$2:$B$24,0))),""),"")</f>
        <v/>
      </c>
      <c r="T48" s="193" t="str">
        <f>IF($D48="KPI_CARD",IFERROR(IF(INDEX(_RPT_CARDS!$M$2:$M$24,MATCH($E48,_RPT_CARDS!$B$2:$B$24,0))="","",INDEX(_RPT_CARDS!$M$2:$M$24,MATCH($E48,_RPT_CARDS!$B$2:$B$24,0))),""),"")</f>
        <v/>
      </c>
      <c r="U48" s="193" t="str">
        <f>IF($D48="KPI_CARD",IFERROR(IF(INDEX(_RPT_CARDS!$N$2:$N$24,MATCH($E48,_RPT_CARDS!$B$2:$B$24,0))="","",INDEX(_RPT_CARDS!$N$2:$N$24,MATCH($E48,_RPT_CARDS!$B$2:$B$24,0))),""),"")</f>
        <v/>
      </c>
      <c r="V48" s="193" t="str">
        <f>IF($D48="KPI_CARD",IFERROR(IF(INDEX(_RPT_CARDS!$O$2:$O$24,MATCH($E48,_RPT_CARDS!$B$2:$B$24,0))="","",INDEX(_RPT_CARDS!$O$2:$O$24,MATCH($E48,_RPT_CARDS!$B$2:$B$24,0))),""),"")</f>
        <v/>
      </c>
      <c r="W48" s="193" t="str">
        <f>IF($D48="KPI_CARD",IFERROR(IF(INDEX(_RPT_CARDS!$T$2:$T$24,MATCH($E48,_RPT_CARDS!$B$2:$B$24,0))="","",INDEX(_RPT_CARDS!$T$2:$T$24,MATCH($E48,_RPT_CARDS!$B$2:$B$24,0))),""),"")</f>
        <v/>
      </c>
      <c r="X48" s="193" t="str">
        <f ca="1">IF(LEFT(Control!$C$10,4)="ROJO","RED",IF(LEFT(Control!$C$10,8)="AMARILLO","AMBER","GREEN"))</f>
        <v>RED</v>
      </c>
      <c r="Y48" s="193">
        <f>IF(D48&lt;&gt;"KPI_CARD",0,IFERROR(IF(ISNUMBER(I48)&lt;&gt;ISNUMBER(INDEX(_RPT_CARDS!$H$2:$H$24,MATCH(E48,_RPT_CARDS!$B$2:$B$24,0))),1,IF(ISNUMBER(I48),--(I48&lt;&gt;INDEX(_RPT_CARDS!$H$2:$H$24,MATCH(E48,_RPT_CARDS!$B$2:$B$24,0))),0)),1))</f>
        <v>0</v>
      </c>
      <c r="Z48" s="193">
        <f>IF(D48&lt;&gt;"KPI_CARD",0,IFERROR(IF(ISNUMBER(T48)&lt;&gt;ISNUMBER(INDEX(_RPT_CARDS!$M$2:$M$24,MATCH(E48,_RPT_CARDS!$B$2:$B$24,0))),1,IF(ISNUMBER(T48),--(T48&lt;&gt;INDEX(_RPT_CARDS!$M$2:$M$24,MATCH(E48,_RPT_CARDS!$B$2:$B$24,0))),0)),1))</f>
        <v>0</v>
      </c>
    </row>
    <row r="49" spans="1:24" ht="13.5" customHeight="1" x14ac:dyDescent="0.3">
      <c r="A49">
        <v>9</v>
      </c>
      <c r="B49" t="s">
        <v>1247</v>
      </c>
      <c r="C49" t="s">
        <v>1248</v>
      </c>
      <c r="D49" t="s">
        <v>1197</v>
      </c>
      <c r="F49" t="s">
        <v>1249</v>
      </c>
      <c r="H49" s="193">
        <f>COUNTIF(_RPT_CARDS!$R$2:$R$17,"ON_TARGET")</f>
        <v>0</v>
      </c>
      <c r="M49" s="193" t="str">
        <f>"of "&amp;(COUNTIF(_RPT_CARDS!$R$2:$R$17,"ON_TARGET")+COUNTIF(_RPT_CARDS!$R$2:$R$17,"OFF_TARGET"))&amp;" KPIs with a numeric target"</f>
        <v>of 0 KPIs with a numeric target</v>
      </c>
      <c r="N49">
        <v>48</v>
      </c>
      <c r="O49" s="193" t="str">
        <f t="shared" si="2"/>
        <v>Compressor Plant</v>
      </c>
      <c r="P49" s="249">
        <f t="shared" si="3"/>
        <v>46296</v>
      </c>
      <c r="Q49" s="193" t="str">
        <f>IF($D49="KPI_CARD",IFERROR(IF(INDEX(_RPT_CARDS!$V$2:$V$24,MATCH($E49,_RPT_CARDS!$B$2:$B$24,0))="","",INDEX(_RPT_CARDS!$V$2:$V$24,MATCH($E49,_RPT_CARDS!$B$2:$B$24,0))),""),"")</f>
        <v/>
      </c>
      <c r="R49" s="193" t="str">
        <f>IF($D49="KPI_CARD",IFERROR(IF(INDEX(_RPT_CARDS!$P$2:$P$24,MATCH($E49,_RPT_CARDS!$B$2:$B$24,0))="","",INDEX(_RPT_CARDS!$P$2:$P$24,MATCH($E49,_RPT_CARDS!$B$2:$B$24,0))),""),"")</f>
        <v/>
      </c>
      <c r="S49" s="193" t="str">
        <f>IF($D49="KPI_CARD",IFERROR(IF(INDEX(_RPT_CARDS!$Z$2:$Z$24,MATCH($E49,_RPT_CARDS!$B$2:$B$24,0))="","",INDEX(_RPT_CARDS!$Z$2:$Z$24,MATCH($E49,_RPT_CARDS!$B$2:$B$24,0))),""),"")</f>
        <v/>
      </c>
      <c r="T49" s="193" t="str">
        <f>IF($D49="KPI_CARD",IFERROR(IF(INDEX(_RPT_CARDS!$M$2:$M$24,MATCH($E49,_RPT_CARDS!$B$2:$B$24,0))="","",INDEX(_RPT_CARDS!$M$2:$M$24,MATCH($E49,_RPT_CARDS!$B$2:$B$24,0))),""),"")</f>
        <v/>
      </c>
      <c r="U49" s="193" t="str">
        <f>IF($D49="KPI_CARD",IFERROR(IF(INDEX(_RPT_CARDS!$N$2:$N$24,MATCH($E49,_RPT_CARDS!$B$2:$B$24,0))="","",INDEX(_RPT_CARDS!$N$2:$N$24,MATCH($E49,_RPT_CARDS!$B$2:$B$24,0))),""),"")</f>
        <v/>
      </c>
      <c r="V49" s="193" t="str">
        <f>IF($D49="KPI_CARD",IFERROR(IF(INDEX(_RPT_CARDS!$O$2:$O$24,MATCH($E49,_RPT_CARDS!$B$2:$B$24,0))="","",INDEX(_RPT_CARDS!$O$2:$O$24,MATCH($E49,_RPT_CARDS!$B$2:$B$24,0))),""),"")</f>
        <v/>
      </c>
      <c r="W49" s="193" t="str">
        <f>IF($D49="KPI_CARD",IFERROR(IF(INDEX(_RPT_CARDS!$T$2:$T$24,MATCH($E49,_RPT_CARDS!$B$2:$B$24,0))="","",INDEX(_RPT_CARDS!$T$2:$T$24,MATCH($E49,_RPT_CARDS!$B$2:$B$24,0))),""),"")</f>
        <v/>
      </c>
      <c r="X49" s="193" t="str">
        <f ca="1">IF(LEFT(Control!$C$10,4)="ROJO","RED",IF(LEFT(Control!$C$10,8)="AMARILLO","AMBER","GREEN"))</f>
        <v>RED</v>
      </c>
      <c r="Y49" s="193">
        <f>IF(D49&lt;&gt;"KPI_CARD",0,IFERROR(IF(ISNUMBER(I49)&lt;&gt;ISNUMBER(INDEX(_RPT_CARDS!$H$2:$H$24,MATCH(E49,_RPT_CARDS!$B$2:$B$24,0))),1,IF(ISNUMBER(I49),--(I49&lt;&gt;INDEX(_RPT_CARDS!$H$2:$H$24,MATCH(E49,_RPT_CARDS!$B$2:$B$24,0))),0)),1))</f>
        <v>0</v>
      </c>
      <c r="Z49" s="193">
        <f>IF(D49&lt;&gt;"KPI_CARD",0,IFERROR(IF(ISNUMBER(T49)&lt;&gt;ISNUMBER(INDEX(_RPT_CARDS!$M$2:$M$24,MATCH(E49,_RPT_CARDS!$B$2:$B$24,0))),1,IF(ISNUMBER(T49),--(T49&lt;&gt;INDEX(_RPT_CARDS!$M$2:$M$24,MATCH(E49,_RPT_CARDS!$B$2:$B$24,0))),0)),1))</f>
        <v>0</v>
      </c>
    </row>
    <row r="50" spans="1:24" ht="13.5" customHeight="1" x14ac:dyDescent="0.3">
      <c r="A50">
        <v>9</v>
      </c>
      <c r="B50" t="s">
        <v>1247</v>
      </c>
      <c r="C50" t="s">
        <v>1250</v>
      </c>
      <c r="D50" t="s">
        <v>1197</v>
      </c>
      <c r="F50" t="s">
        <v>1251</v>
      </c>
      <c r="H50" s="193">
        <f>COUNTIF(_RPT_CARDS!$R$2:$R$17,"OFF_TARGET")</f>
        <v>0</v>
      </c>
      <c r="N50">
        <v>49</v>
      </c>
      <c r="O50" s="193" t="str">
        <f t="shared" si="2"/>
        <v>Compressor Plant</v>
      </c>
      <c r="P50" s="249">
        <f t="shared" si="3"/>
        <v>46296</v>
      </c>
      <c r="Q50" s="193" t="str">
        <f>IF($D50="KPI_CARD",IFERROR(IF(INDEX(_RPT_CARDS!$V$2:$V$24,MATCH($E50,_RPT_CARDS!$B$2:$B$24,0))="","",INDEX(_RPT_CARDS!$V$2:$V$24,MATCH($E50,_RPT_CARDS!$B$2:$B$24,0))),""),"")</f>
        <v/>
      </c>
      <c r="R50" s="193" t="str">
        <f>IF($D50="KPI_CARD",IFERROR(IF(INDEX(_RPT_CARDS!$P$2:$P$24,MATCH($E50,_RPT_CARDS!$B$2:$B$24,0))="","",INDEX(_RPT_CARDS!$P$2:$P$24,MATCH($E50,_RPT_CARDS!$B$2:$B$24,0))),""),"")</f>
        <v/>
      </c>
      <c r="S50" s="193" t="str">
        <f>IF($D50="KPI_CARD",IFERROR(IF(INDEX(_RPT_CARDS!$Z$2:$Z$24,MATCH($E50,_RPT_CARDS!$B$2:$B$24,0))="","",INDEX(_RPT_CARDS!$Z$2:$Z$24,MATCH($E50,_RPT_CARDS!$B$2:$B$24,0))),""),"")</f>
        <v/>
      </c>
      <c r="T50" s="193" t="str">
        <f>IF($D50="KPI_CARD",IFERROR(IF(INDEX(_RPT_CARDS!$M$2:$M$24,MATCH($E50,_RPT_CARDS!$B$2:$B$24,0))="","",INDEX(_RPT_CARDS!$M$2:$M$24,MATCH($E50,_RPT_CARDS!$B$2:$B$24,0))),""),"")</f>
        <v/>
      </c>
      <c r="U50" s="193" t="str">
        <f>IF($D50="KPI_CARD",IFERROR(IF(INDEX(_RPT_CARDS!$N$2:$N$24,MATCH($E50,_RPT_CARDS!$B$2:$B$24,0))="","",INDEX(_RPT_CARDS!$N$2:$N$24,MATCH($E50,_RPT_CARDS!$B$2:$B$24,0))),""),"")</f>
        <v/>
      </c>
      <c r="V50" s="193" t="str">
        <f>IF($D50="KPI_CARD",IFERROR(IF(INDEX(_RPT_CARDS!$O$2:$O$24,MATCH($E50,_RPT_CARDS!$B$2:$B$24,0))="","",INDEX(_RPT_CARDS!$O$2:$O$24,MATCH($E50,_RPT_CARDS!$B$2:$B$24,0))),""),"")</f>
        <v/>
      </c>
      <c r="W50" s="193" t="str">
        <f>IF($D50="KPI_CARD",IFERROR(IF(INDEX(_RPT_CARDS!$T$2:$T$24,MATCH($E50,_RPT_CARDS!$B$2:$B$24,0))="","",INDEX(_RPT_CARDS!$T$2:$T$24,MATCH($E50,_RPT_CARDS!$B$2:$B$24,0))),""),"")</f>
        <v/>
      </c>
      <c r="X50" s="193" t="str">
        <f ca="1">IF(LEFT(Control!$C$10,4)="ROJO","RED",IF(LEFT(Control!$C$10,8)="AMARILLO","AMBER","GREEN"))</f>
        <v>RED</v>
      </c>
      <c r="Y50" s="193">
        <f>IF(D50&lt;&gt;"KPI_CARD",0,IFERROR(IF(ISNUMBER(I50)&lt;&gt;ISNUMBER(INDEX(_RPT_CARDS!$H$2:$H$24,MATCH(E50,_RPT_CARDS!$B$2:$B$24,0))),1,IF(ISNUMBER(I50),--(I50&lt;&gt;INDEX(_RPT_CARDS!$H$2:$H$24,MATCH(E50,_RPT_CARDS!$B$2:$B$24,0))),0)),1))</f>
        <v>0</v>
      </c>
      <c r="Z50" s="193">
        <f>IF(D50&lt;&gt;"KPI_CARD",0,IFERROR(IF(ISNUMBER(T50)&lt;&gt;ISNUMBER(INDEX(_RPT_CARDS!$M$2:$M$24,MATCH(E50,_RPT_CARDS!$B$2:$B$24,0))),1,IF(ISNUMBER(T50),--(T50&lt;&gt;INDEX(_RPT_CARDS!$M$2:$M$24,MATCH(E50,_RPT_CARDS!$B$2:$B$24,0))),0)),1))</f>
        <v>0</v>
      </c>
    </row>
    <row r="51" spans="1:24" ht="13.5" customHeight="1" x14ac:dyDescent="0.3">
      <c r="A51">
        <v>9</v>
      </c>
      <c r="B51" t="s">
        <v>1247</v>
      </c>
      <c r="C51" t="s">
        <v>1252</v>
      </c>
      <c r="D51" t="s">
        <v>1197</v>
      </c>
      <c r="F51" t="s">
        <v>1253</v>
      </c>
      <c r="H51" s="193">
        <f>COUNTIF(_RPT_CARDS!$R$2:$R$17,"MONITOR")</f>
        <v>0</v>
      </c>
      <c r="N51">
        <v>50</v>
      </c>
      <c r="O51" s="193" t="str">
        <f t="shared" si="2"/>
        <v>Compressor Plant</v>
      </c>
      <c r="P51" s="249">
        <f t="shared" si="3"/>
        <v>46296</v>
      </c>
      <c r="Q51" s="193" t="str">
        <f>IF($D51="KPI_CARD",IFERROR(IF(INDEX(_RPT_CARDS!$V$2:$V$24,MATCH($E51,_RPT_CARDS!$B$2:$B$24,0))="","",INDEX(_RPT_CARDS!$V$2:$V$24,MATCH($E51,_RPT_CARDS!$B$2:$B$24,0))),""),"")</f>
        <v/>
      </c>
      <c r="R51" s="193" t="str">
        <f>IF($D51="KPI_CARD",IFERROR(IF(INDEX(_RPT_CARDS!$P$2:$P$24,MATCH($E51,_RPT_CARDS!$B$2:$B$24,0))="","",INDEX(_RPT_CARDS!$P$2:$P$24,MATCH($E51,_RPT_CARDS!$B$2:$B$24,0))),""),"")</f>
        <v/>
      </c>
      <c r="S51" s="193" t="str">
        <f>IF($D51="KPI_CARD",IFERROR(IF(INDEX(_RPT_CARDS!$Z$2:$Z$24,MATCH($E51,_RPT_CARDS!$B$2:$B$24,0))="","",INDEX(_RPT_CARDS!$Z$2:$Z$24,MATCH($E51,_RPT_CARDS!$B$2:$B$24,0))),""),"")</f>
        <v/>
      </c>
      <c r="T51" s="193" t="str">
        <f>IF($D51="KPI_CARD",IFERROR(IF(INDEX(_RPT_CARDS!$M$2:$M$24,MATCH($E51,_RPT_CARDS!$B$2:$B$24,0))="","",INDEX(_RPT_CARDS!$M$2:$M$24,MATCH($E51,_RPT_CARDS!$B$2:$B$24,0))),""),"")</f>
        <v/>
      </c>
      <c r="U51" s="193" t="str">
        <f>IF($D51="KPI_CARD",IFERROR(IF(INDEX(_RPT_CARDS!$N$2:$N$24,MATCH($E51,_RPT_CARDS!$B$2:$B$24,0))="","",INDEX(_RPT_CARDS!$N$2:$N$24,MATCH($E51,_RPT_CARDS!$B$2:$B$24,0))),""),"")</f>
        <v/>
      </c>
      <c r="V51" s="193" t="str">
        <f>IF($D51="KPI_CARD",IFERROR(IF(INDEX(_RPT_CARDS!$O$2:$O$24,MATCH($E51,_RPT_CARDS!$B$2:$B$24,0))="","",INDEX(_RPT_CARDS!$O$2:$O$24,MATCH($E51,_RPT_CARDS!$B$2:$B$24,0))),""),"")</f>
        <v/>
      </c>
      <c r="W51" s="193" t="str">
        <f>IF($D51="KPI_CARD",IFERROR(IF(INDEX(_RPT_CARDS!$T$2:$T$24,MATCH($E51,_RPT_CARDS!$B$2:$B$24,0))="","",INDEX(_RPT_CARDS!$T$2:$T$24,MATCH($E51,_RPT_CARDS!$B$2:$B$24,0))),""),"")</f>
        <v/>
      </c>
      <c r="X51" s="193" t="str">
        <f ca="1">IF(LEFT(Control!$C$10,4)="ROJO","RED",IF(LEFT(Control!$C$10,8)="AMARILLO","AMBER","GREEN"))</f>
        <v>RED</v>
      </c>
      <c r="Y51" s="193">
        <f>IF(D51&lt;&gt;"KPI_CARD",0,IFERROR(IF(ISNUMBER(I51)&lt;&gt;ISNUMBER(INDEX(_RPT_CARDS!$H$2:$H$24,MATCH(E51,_RPT_CARDS!$B$2:$B$24,0))),1,IF(ISNUMBER(I51),--(I51&lt;&gt;INDEX(_RPT_CARDS!$H$2:$H$24,MATCH(E51,_RPT_CARDS!$B$2:$B$24,0))),0)),1))</f>
        <v>0</v>
      </c>
      <c r="Z51" s="193">
        <f>IF(D51&lt;&gt;"KPI_CARD",0,IFERROR(IF(ISNUMBER(T51)&lt;&gt;ISNUMBER(INDEX(_RPT_CARDS!$M$2:$M$24,MATCH(E51,_RPT_CARDS!$B$2:$B$24,0))),1,IF(ISNUMBER(T51),--(T51&lt;&gt;INDEX(_RPT_CARDS!$M$2:$M$24,MATCH(E51,_RPT_CARDS!$B$2:$B$24,0))),0)),1))</f>
        <v>0</v>
      </c>
    </row>
    <row r="52" spans="1:24" ht="13.5" customHeight="1" x14ac:dyDescent="0.3">
      <c r="A52">
        <v>9</v>
      </c>
      <c r="B52" t="s">
        <v>1247</v>
      </c>
      <c r="C52" t="s">
        <v>1254</v>
      </c>
      <c r="D52" t="s">
        <v>1197</v>
      </c>
      <c r="F52" t="s">
        <v>1255</v>
      </c>
      <c r="H52" s="193">
        <f>COUNTIF(_RPT_CARDS!$R$2:$R$17,"NO_DATA")</f>
        <v>16</v>
      </c>
      <c r="N52">
        <v>51</v>
      </c>
      <c r="O52" s="193" t="str">
        <f t="shared" si="2"/>
        <v>Compressor Plant</v>
      </c>
      <c r="P52" s="249">
        <f t="shared" si="3"/>
        <v>46296</v>
      </c>
      <c r="Q52" s="193" t="str">
        <f>IF($D52="KPI_CARD",IFERROR(IF(INDEX(_RPT_CARDS!$V$2:$V$24,MATCH($E52,_RPT_CARDS!$B$2:$B$24,0))="","",INDEX(_RPT_CARDS!$V$2:$V$24,MATCH($E52,_RPT_CARDS!$B$2:$B$24,0))),""),"")</f>
        <v/>
      </c>
      <c r="R52" s="193" t="str">
        <f>IF($D52="KPI_CARD",IFERROR(IF(INDEX(_RPT_CARDS!$P$2:$P$24,MATCH($E52,_RPT_CARDS!$B$2:$B$24,0))="","",INDEX(_RPT_CARDS!$P$2:$P$24,MATCH($E52,_RPT_CARDS!$B$2:$B$24,0))),""),"")</f>
        <v/>
      </c>
      <c r="S52" s="193" t="str">
        <f>IF($D52="KPI_CARD",IFERROR(IF(INDEX(_RPT_CARDS!$Z$2:$Z$24,MATCH($E52,_RPT_CARDS!$B$2:$B$24,0))="","",INDEX(_RPT_CARDS!$Z$2:$Z$24,MATCH($E52,_RPT_CARDS!$B$2:$B$24,0))),""),"")</f>
        <v/>
      </c>
      <c r="T52" s="193" t="str">
        <f>IF($D52="KPI_CARD",IFERROR(IF(INDEX(_RPT_CARDS!$M$2:$M$24,MATCH($E52,_RPT_CARDS!$B$2:$B$24,0))="","",INDEX(_RPT_CARDS!$M$2:$M$24,MATCH($E52,_RPT_CARDS!$B$2:$B$24,0))),""),"")</f>
        <v/>
      </c>
      <c r="U52" s="193" t="str">
        <f>IF($D52="KPI_CARD",IFERROR(IF(INDEX(_RPT_CARDS!$N$2:$N$24,MATCH($E52,_RPT_CARDS!$B$2:$B$24,0))="","",INDEX(_RPT_CARDS!$N$2:$N$24,MATCH($E52,_RPT_CARDS!$B$2:$B$24,0))),""),"")</f>
        <v/>
      </c>
      <c r="V52" s="193" t="str">
        <f>IF($D52="KPI_CARD",IFERROR(IF(INDEX(_RPT_CARDS!$O$2:$O$24,MATCH($E52,_RPT_CARDS!$B$2:$B$24,0))="","",INDEX(_RPT_CARDS!$O$2:$O$24,MATCH($E52,_RPT_CARDS!$B$2:$B$24,0))),""),"")</f>
        <v/>
      </c>
      <c r="W52" s="193" t="str">
        <f>IF($D52="KPI_CARD",IFERROR(IF(INDEX(_RPT_CARDS!$T$2:$T$24,MATCH($E52,_RPT_CARDS!$B$2:$B$24,0))="","",INDEX(_RPT_CARDS!$T$2:$T$24,MATCH($E52,_RPT_CARDS!$B$2:$B$24,0))),""),"")</f>
        <v/>
      </c>
      <c r="X52" s="193" t="str">
        <f ca="1">IF(LEFT(Control!$C$10,4)="ROJO","RED",IF(LEFT(Control!$C$10,8)="AMARILLO","AMBER","GREEN"))</f>
        <v>RED</v>
      </c>
      <c r="Y52" s="193">
        <f>IF(D52&lt;&gt;"KPI_CARD",0,IFERROR(IF(ISNUMBER(I52)&lt;&gt;ISNUMBER(INDEX(_RPT_CARDS!$H$2:$H$24,MATCH(E52,_RPT_CARDS!$B$2:$B$24,0))),1,IF(ISNUMBER(I52),--(I52&lt;&gt;INDEX(_RPT_CARDS!$H$2:$H$24,MATCH(E52,_RPT_CARDS!$B$2:$B$24,0))),0)),1))</f>
        <v>0</v>
      </c>
      <c r="Z52" s="193">
        <f>IF(D52&lt;&gt;"KPI_CARD",0,IFERROR(IF(ISNUMBER(T52)&lt;&gt;ISNUMBER(INDEX(_RPT_CARDS!$M$2:$M$24,MATCH(E52,_RPT_CARDS!$B$2:$B$24,0))),1,IF(ISNUMBER(T52),--(T52&lt;&gt;INDEX(_RPT_CARDS!$M$2:$M$24,MATCH(E52,_RPT_CARDS!$B$2:$B$24,0))),0)),1))</f>
        <v>0</v>
      </c>
    </row>
    <row r="53" spans="1:24" ht="13.5" customHeight="1" x14ac:dyDescent="0.3">
      <c r="A53">
        <v>9</v>
      </c>
      <c r="B53" t="s">
        <v>1247</v>
      </c>
      <c r="C53" t="s">
        <v>1256</v>
      </c>
      <c r="D53" t="s">
        <v>1197</v>
      </c>
      <c r="F53" t="s">
        <v>1257</v>
      </c>
      <c r="H53" s="193" t="str">
        <f ca="1">IF(LEFT(Control!$C$10,4)="ROJO","RED",IF(LEFT(Control!$C$10,8)="AMARILLO","AMBER","GREEN"))</f>
        <v>RED</v>
      </c>
      <c r="N53">
        <v>52</v>
      </c>
      <c r="O53" s="193" t="str">
        <f t="shared" si="2"/>
        <v>Compressor Plant</v>
      </c>
      <c r="P53" s="249">
        <f t="shared" si="3"/>
        <v>46296</v>
      </c>
      <c r="Q53" s="193" t="str">
        <f>IF($D53="KPI_CARD",IFERROR(IF(INDEX(_RPT_CARDS!$V$2:$V$24,MATCH($E53,_RPT_CARDS!$B$2:$B$24,0))="","",INDEX(_RPT_CARDS!$V$2:$V$24,MATCH($E53,_RPT_CARDS!$B$2:$B$24,0))),""),"")</f>
        <v/>
      </c>
      <c r="R53" s="193" t="str">
        <f>IF($D53="KPI_CARD",IFERROR(IF(INDEX(_RPT_CARDS!$P$2:$P$24,MATCH($E53,_RPT_CARDS!$B$2:$B$24,0))="","",INDEX(_RPT_CARDS!$P$2:$P$24,MATCH($E53,_RPT_CARDS!$B$2:$B$24,0))),""),"")</f>
        <v/>
      </c>
      <c r="S53" s="193" t="str">
        <f>IF($D53="KPI_CARD",IFERROR(IF(INDEX(_RPT_CARDS!$Z$2:$Z$24,MATCH($E53,_RPT_CARDS!$B$2:$B$24,0))="","",INDEX(_RPT_CARDS!$Z$2:$Z$24,MATCH($E53,_RPT_CARDS!$B$2:$B$24,0))),""),"")</f>
        <v/>
      </c>
      <c r="T53" s="193" t="str">
        <f>IF($D53="KPI_CARD",IFERROR(IF(INDEX(_RPT_CARDS!$M$2:$M$24,MATCH($E53,_RPT_CARDS!$B$2:$B$24,0))="","",INDEX(_RPT_CARDS!$M$2:$M$24,MATCH($E53,_RPT_CARDS!$B$2:$B$24,0))),""),"")</f>
        <v/>
      </c>
      <c r="U53" s="193" t="str">
        <f>IF($D53="KPI_CARD",IFERROR(IF(INDEX(_RPT_CARDS!$N$2:$N$24,MATCH($E53,_RPT_CARDS!$B$2:$B$24,0))="","",INDEX(_RPT_CARDS!$N$2:$N$24,MATCH($E53,_RPT_CARDS!$B$2:$B$24,0))),""),"")</f>
        <v/>
      </c>
      <c r="V53" s="193" t="str">
        <f>IF($D53="KPI_CARD",IFERROR(IF(INDEX(_RPT_CARDS!$O$2:$O$24,MATCH($E53,_RPT_CARDS!$B$2:$B$24,0))="","",INDEX(_RPT_CARDS!$O$2:$O$24,MATCH($E53,_RPT_CARDS!$B$2:$B$24,0))),""),"")</f>
        <v/>
      </c>
      <c r="W53" s="193" t="str">
        <f>IF($D53="KPI_CARD",IFERROR(IF(INDEX(_RPT_CARDS!$T$2:$T$24,MATCH($E53,_RPT_CARDS!$B$2:$B$24,0))="","",INDEX(_RPT_CARDS!$T$2:$T$24,MATCH($E53,_RPT_CARDS!$B$2:$B$24,0))),""),"")</f>
        <v/>
      </c>
      <c r="X53" s="193" t="str">
        <f ca="1">IF(LEFT(Control!$C$10,4)="ROJO","RED",IF(LEFT(Control!$C$10,8)="AMARILLO","AMBER","GREEN"))</f>
        <v>RED</v>
      </c>
      <c r="Y53" s="193">
        <f>IF(D53&lt;&gt;"KPI_CARD",0,IFERROR(IF(ISNUMBER(I53)&lt;&gt;ISNUMBER(INDEX(_RPT_CARDS!$H$2:$H$24,MATCH(E53,_RPT_CARDS!$B$2:$B$24,0))),1,IF(ISNUMBER(I53),--(I53&lt;&gt;INDEX(_RPT_CARDS!$H$2:$H$24,MATCH(E53,_RPT_CARDS!$B$2:$B$24,0))),0)),1))</f>
        <v>0</v>
      </c>
      <c r="Z53" s="193">
        <f>IF(D53&lt;&gt;"KPI_CARD",0,IFERROR(IF(ISNUMBER(T53)&lt;&gt;ISNUMBER(INDEX(_RPT_CARDS!$M$2:$M$24,MATCH(E53,_RPT_CARDS!$B$2:$B$24,0))),1,IF(ISNUMBER(T53),--(T53&lt;&gt;INDEX(_RPT_CARDS!$M$2:$M$24,MATCH(E53,_RPT_CARDS!$B$2:$B$24,0))),0)),1))</f>
        <v>0</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F9-F98B-498B-B8E3-F419B17F305E}">
  <dimension ref="A1:AH24"/>
  <sheetViews>
    <sheetView workbookViewId="0"/>
  </sheetViews>
  <sheetFormatPr baseColWidth="10" defaultColWidth="11.5546875" defaultRowHeight="14.4" x14ac:dyDescent="0.3"/>
  <cols>
    <col min="1" max="1" width="9.33203125" style="108" customWidth="1"/>
    <col min="2" max="2" width="7" style="108" customWidth="1"/>
    <col min="3" max="3" width="9.33203125" style="108" customWidth="1"/>
    <col min="4" max="4" width="47" style="108" customWidth="1"/>
    <col min="5" max="5" width="58.77734375" style="108" customWidth="1"/>
    <col min="6" max="6" width="35.21875" style="108" customWidth="1"/>
    <col min="7" max="8" width="30.5546875" style="108" customWidth="1"/>
    <col min="9" max="9" width="35.21875" style="108" customWidth="1"/>
    <col min="10" max="10" width="42.21875" style="108" customWidth="1"/>
    <col min="11" max="11" width="47" style="108" customWidth="1"/>
    <col min="12" max="13" width="58.77734375" style="108" customWidth="1"/>
    <col min="14" max="15" width="9.33203125" style="108" customWidth="1"/>
    <col min="16" max="16" width="21.109375" style="108" customWidth="1"/>
    <col min="17" max="17" width="20" style="108" customWidth="1"/>
    <col min="18" max="18" width="22" style="108" customWidth="1"/>
    <col min="19" max="19" width="44" style="108" customWidth="1"/>
    <col min="20" max="20" width="18" style="108" customWidth="1"/>
    <col min="21" max="33" width="14" style="108" customWidth="1"/>
    <col min="34" max="34" width="52" style="108" customWidth="1"/>
  </cols>
  <sheetData>
    <row r="1" spans="1:34" ht="13.5" customHeight="1" x14ac:dyDescent="0.3">
      <c r="A1" s="7" t="s">
        <v>899</v>
      </c>
      <c r="B1" s="7" t="s">
        <v>1258</v>
      </c>
      <c r="C1" s="7" t="s">
        <v>1259</v>
      </c>
      <c r="D1" s="7" t="s">
        <v>1260</v>
      </c>
      <c r="E1" s="7" t="s">
        <v>1261</v>
      </c>
      <c r="F1" s="7" t="s">
        <v>1084</v>
      </c>
      <c r="G1" s="7" t="s">
        <v>1262</v>
      </c>
      <c r="H1" s="7" t="s">
        <v>1263</v>
      </c>
      <c r="I1" s="7" t="s">
        <v>1264</v>
      </c>
      <c r="J1" s="7" t="s">
        <v>1265</v>
      </c>
      <c r="K1" s="7" t="s">
        <v>1266</v>
      </c>
      <c r="L1" s="7" t="s">
        <v>1267</v>
      </c>
      <c r="M1" s="7" t="s">
        <v>1268</v>
      </c>
      <c r="N1" s="7" t="s">
        <v>1269</v>
      </c>
      <c r="O1" s="7" t="s">
        <v>1270</v>
      </c>
      <c r="P1" s="7" t="s">
        <v>1271</v>
      </c>
      <c r="Q1" s="7" t="s">
        <v>1085</v>
      </c>
      <c r="R1" s="7" t="s">
        <v>1043</v>
      </c>
      <c r="S1" s="7" t="s">
        <v>1272</v>
      </c>
      <c r="T1" s="7" t="s">
        <v>971</v>
      </c>
      <c r="U1" s="7" t="s">
        <v>1273</v>
      </c>
      <c r="V1" s="7" t="s">
        <v>1274</v>
      </c>
      <c r="W1" s="7" t="s">
        <v>1275</v>
      </c>
      <c r="X1" s="7" t="s">
        <v>1276</v>
      </c>
      <c r="Y1" s="7" t="s">
        <v>1277</v>
      </c>
      <c r="Z1" s="7" t="s">
        <v>1278</v>
      </c>
      <c r="AA1" s="7" t="s">
        <v>1279</v>
      </c>
      <c r="AB1" s="7" t="s">
        <v>1280</v>
      </c>
      <c r="AC1" s="7" t="s">
        <v>1281</v>
      </c>
      <c r="AD1" s="7" t="s">
        <v>1282</v>
      </c>
      <c r="AE1" s="7" t="s">
        <v>1283</v>
      </c>
      <c r="AF1" s="7" t="s">
        <v>1284</v>
      </c>
      <c r="AG1" s="7" t="s">
        <v>1285</v>
      </c>
      <c r="AH1" s="7" t="s">
        <v>1286</v>
      </c>
    </row>
    <row r="2" spans="1:34" ht="13.5" customHeight="1" x14ac:dyDescent="0.3">
      <c r="A2" t="s">
        <v>1089</v>
      </c>
      <c r="B2">
        <v>2</v>
      </c>
      <c r="C2">
        <v>1</v>
      </c>
      <c r="D2" t="s">
        <v>1287</v>
      </c>
      <c r="E2" t="s">
        <v>1288</v>
      </c>
      <c r="F2" t="s">
        <v>1289</v>
      </c>
      <c r="G2" t="s">
        <v>1290</v>
      </c>
      <c r="H2" t="s">
        <v>1291</v>
      </c>
      <c r="I2" t="s">
        <v>1292</v>
      </c>
      <c r="J2" t="s">
        <v>1293</v>
      </c>
      <c r="K2" t="s">
        <v>1294</v>
      </c>
      <c r="L2" t="s">
        <v>1295</v>
      </c>
      <c r="M2" t="s">
        <v>1296</v>
      </c>
      <c r="N2" s="193">
        <f>COUNTIFS(_RPT_CHART!$A$2:$A$390,$A2,_RPT_CHART!$R$2:$R$390,"OK")</f>
        <v>4</v>
      </c>
      <c r="O2" s="193">
        <f>COUNTIFS(_RPT_CHART!$A$2:$A$390,$A2,_RPT_CHART!$R$2:$R$390,"OK")+COUNTIFS(_RPT_CHART!$A$2:$A$390,$A2,_RPT_CHART!$R$2:$R$390,"MISSING")</f>
        <v>6</v>
      </c>
      <c r="P2" s="193" t="str">
        <f>IF(COUNTIFS(_RPT_CHART!$A$2:$A$390,$A2,_RPT_CHART!$R$2:$R$390,"PENDING_DEFINITION")&gt;0,"PENDING_DEFINITION",IF(N2=0,"NO_DATA",IF(N2&lt;O2,"PARTIAL","COMPLETE")))</f>
        <v>PARTIAL</v>
      </c>
      <c r="Q2" s="193" t="str">
        <f>MID(IF(COUNTIFS(_RPT_CHART!$A$2:$A$390,$A2,_RPT_CHART!$M$2:$M$390,"Monthly")&gt;0,", Monthly","")&amp;IF(COUNTIFS(_RPT_CHART!$A$2:$A$390,$A2,_RPT_CHART!$M$2:$M$390,"YTD")&gt;0,", YTD","")&amp;IF(COUNTIFS(_RPT_CHART!$A$2:$A$390,$A2,_RPT_CHART!$M$2:$M$390,"Month-end")&gt;0,", Month-end","")&amp;IF(COUNTIFS(_RPT_CHART!$A$2:$A$390,$A2,_RPT_CHART!$M$2:$M$390,"n/a")&gt;0,", n/a",""),3,60)</f>
        <v>Monthly, YTD</v>
      </c>
      <c r="R2" s="193" t="str">
        <f>IFERROR(INDEX(_RPT_CHART!$J$2:$J$390,MATCH($A2,_RPT_CHART!$A$2:$A$390,0)),"")</f>
        <v>cases / 10^6 h</v>
      </c>
      <c r="S2" t="s">
        <v>1297</v>
      </c>
      <c r="T2" s="193" t="str">
        <f t="shared" ref="T2:T16" si="0">RPT_SCOPE</f>
        <v>Compressor Plant</v>
      </c>
      <c r="U2" s="193">
        <f>COUNTIF(_RPT_CHART!$A$2:$A$390,$A2)</f>
        <v>24</v>
      </c>
      <c r="V2" s="193">
        <f t="shared" ref="V2:V16" si="1">O2-N2</f>
        <v>2</v>
      </c>
      <c r="W2" s="193" t="str">
        <f t="shared" ref="W2:W16" si="2">IF(LEN(TRIM(D2))&gt;0,"OK","ERROR")</f>
        <v>OK</v>
      </c>
      <c r="X2" s="193" t="str">
        <f t="shared" ref="X2:X16" si="3">IF(AND(LEN(TRIM(E2))&gt;10,OR(RIGHT(TRIM(E2),1)="?",P2="PENDING_DEFINITION")),"OK","ERROR")</f>
        <v>OK</v>
      </c>
      <c r="Y2" s="193" t="str">
        <f>IF(AND(LEN(TRIM(F2))&gt;0,SUMPRODUCT((_RPT_CHART!$A$2:$A$390=$A2)*ISERROR(SEARCH(_RPT_CHART!$K$2:$K$390,F2)))=0),"OK","ERROR")</f>
        <v>OK</v>
      </c>
      <c r="Z2" s="193" t="str">
        <f>IF(AND(SUMPRODUCT((_RPT_CHART!$A$2:$A$390=$A2)*ISERROR(SEARCH(","&amp;_RPT_CHART!$B$2:$B$390&amp;",",","&amp;SUBSTITUTE(I2," ","")&amp;",")))=0,LEN(SUBSTITUTE(I2," ",""))-LEN(SUBSTITUTE(SUBSTITUTE(I2," ",""),",",""))+1=COUNTIFS(_RPT_CHART!$A$2:$A$390,$A2,_RPT_CHART!$E$2:$E$390,1)),"OK","ERROR")</f>
        <v>OK</v>
      </c>
      <c r="AA2" s="193" t="str">
        <f>IF(AND(LEN(Q2)&gt;0,SUMPRODUCT((_RPT_CHART!$A$2:$A$390=$A2)*(LEN(_RPT_CHART!$M$2:$M$390)=0))=0),"OK","ERROR")</f>
        <v>OK</v>
      </c>
      <c r="AB2" s="193" t="str">
        <f>IF(AND(LEN(TRIM(J2))&gt;0,SUMPRODUCT((_RPT_CHART!$A$2:$A$390=$A2)*(LEN(_RPT_CHART!$I$2:$I$390)&gt;0)*(1-ISNUMBER(_RPT_CHART!$I$2:$I$390)))=0,IF(LEFT(TRIM(J2),2)="No",SUMPRODUCT((_RPT_CHART!$A$2:$A$390=$A2)*ISNUMBER(_RPT_CHART!$I$2:$I$390))=0,TRUE())),"OK","ERROR")</f>
        <v>OK</v>
      </c>
      <c r="AC2" s="193" t="str">
        <f>IF(AND(LEN(R2)&gt;0,SUMPRODUCT((_RPT_CHART!$A$2:$A$390=$A2)*(_RPT_CHART!$J$2:$J$390&lt;&gt;R2))=0),"OK","ERROR")</f>
        <v>OK</v>
      </c>
      <c r="AD2" s="193" t="str">
        <f t="shared" ref="AD2:AD16" si="4">IF(AND(LEN(TRIM(S2))&gt;0,T2="Compressor Plant"),"OK","ERROR")</f>
        <v>OK</v>
      </c>
      <c r="AE2" s="193" t="str">
        <f>IF(AND(OR(P2="COMPLETE",P2="PARTIAL",P2="NO_DATA",P2="PENDING_DEFINITION"),N2&gt;=0,N2&lt;=O2,SUMPRODUCT((_RPT_CHART!$A$2:$A$390=$A2)*(_RPT_CHART!$L$2:$L$390="OK")*(_RPT_CHART!$N$2:$N$390="NO_DATA"))=0,SUMPRODUCT((_RPT_CHART!$A$2:$A$390=$A2)*(_RPT_CHART!$R$2:$R$390="MISSING")*(_RPT_CHART!$N$2:$N$390&lt;&gt;"NO_DATA"))=0),"OK","ERROR")</f>
        <v>OK</v>
      </c>
      <c r="AF2" s="193" t="str">
        <f>IF(AND(LEN(TRIM(K2))&gt;0,SUMPRODUCT((_RPT_CHART!$A$2:$A$390=$A2)*(_RPT_CHART!$R$2:$R$390&lt;&gt;"OK")*ISNUMBER(_RPT_CHART!$H$2:$H$390))=0,COUNTIFS(_RPT_CHART!$A$2:$A$390,$A2,_RPT_CHART!$R$2:$R$390,"CHECK")=0),"OK","ERROR")</f>
        <v>OK</v>
      </c>
      <c r="AG2" s="193" t="str">
        <f t="shared" ref="AG2:AG16" si="5">IF(COUNTIF(W2:AF2,"OK")=10,"OK","REVIEW")</f>
        <v>OK</v>
      </c>
      <c r="AH2" s="193" t="str">
        <f t="shared" ref="AH2:AH16" si="6">IF(P2="PENDING_DEFINITION","Environmental KPIs not yet defined; no values generated",IF(P2="NO_DATA",IF(O2=0,"No in-scope points for the report month","No point loaded ("&amp;O2&amp;" expected in scope)"),IF(P2="PARTIAL",(O2-N2)&amp;" of "&amp;O2&amp;" in-scope points without data (shown as gap)","All "&amp;O2&amp;" in-scope points loaded")))</f>
        <v>2 of 6 in-scope points without data (shown as gap)</v>
      </c>
    </row>
    <row r="3" spans="1:34" ht="13.5" customHeight="1" x14ac:dyDescent="0.3">
      <c r="A3" t="s">
        <v>1096</v>
      </c>
      <c r="B3">
        <v>2</v>
      </c>
      <c r="C3">
        <v>2</v>
      </c>
      <c r="D3" t="s">
        <v>1298</v>
      </c>
      <c r="E3" t="s">
        <v>1299</v>
      </c>
      <c r="F3" t="s">
        <v>1289</v>
      </c>
      <c r="G3" t="s">
        <v>1290</v>
      </c>
      <c r="H3" t="s">
        <v>1291</v>
      </c>
      <c r="I3" t="s">
        <v>1300</v>
      </c>
      <c r="J3" t="s">
        <v>1301</v>
      </c>
      <c r="K3" t="s">
        <v>1294</v>
      </c>
      <c r="L3" t="s">
        <v>1302</v>
      </c>
      <c r="M3" t="s">
        <v>1303</v>
      </c>
      <c r="N3" s="193">
        <f>COUNTIFS(_RPT_CHART!$A$2:$A$390,$A3,_RPT_CHART!$R$2:$R$390,"OK")</f>
        <v>4</v>
      </c>
      <c r="O3" s="193">
        <f>COUNTIFS(_RPT_CHART!$A$2:$A$390,$A3,_RPT_CHART!$R$2:$R$390,"OK")+COUNTIFS(_RPT_CHART!$A$2:$A$390,$A3,_RPT_CHART!$R$2:$R$390,"MISSING")</f>
        <v>6</v>
      </c>
      <c r="P3" s="193" t="str">
        <f>IF(COUNTIFS(_RPT_CHART!$A$2:$A$390,$A3,_RPT_CHART!$R$2:$R$390,"PENDING_DEFINITION")&gt;0,"PENDING_DEFINITION",IF(N3=0,"NO_DATA",IF(N3&lt;O3,"PARTIAL","COMPLETE")))</f>
        <v>PARTIAL</v>
      </c>
      <c r="Q3" s="193" t="str">
        <f>MID(IF(COUNTIFS(_RPT_CHART!$A$2:$A$390,$A3,_RPT_CHART!$M$2:$M$390,"Monthly")&gt;0,", Monthly","")&amp;IF(COUNTIFS(_RPT_CHART!$A$2:$A$390,$A3,_RPT_CHART!$M$2:$M$390,"YTD")&gt;0,", YTD","")&amp;IF(COUNTIFS(_RPT_CHART!$A$2:$A$390,$A3,_RPT_CHART!$M$2:$M$390,"Month-end")&gt;0,", Month-end","")&amp;IF(COUNTIFS(_RPT_CHART!$A$2:$A$390,$A3,_RPT_CHART!$M$2:$M$390,"n/a")&gt;0,", n/a",""),3,60)</f>
        <v>Monthly, YTD</v>
      </c>
      <c r="R3" s="193" t="str">
        <f>IFERROR(INDEX(_RPT_CHART!$J$2:$J$390,MATCH($A3,_RPT_CHART!$A$2:$A$390,0)),"")</f>
        <v>cases / 10^6 h</v>
      </c>
      <c r="S3" t="s">
        <v>1297</v>
      </c>
      <c r="T3" s="193" t="str">
        <f t="shared" si="0"/>
        <v>Compressor Plant</v>
      </c>
      <c r="U3" s="193">
        <f>COUNTIF(_RPT_CHART!$A$2:$A$390,$A3)</f>
        <v>24</v>
      </c>
      <c r="V3" s="193">
        <f t="shared" si="1"/>
        <v>2</v>
      </c>
      <c r="W3" s="193" t="str">
        <f t="shared" si="2"/>
        <v>OK</v>
      </c>
      <c r="X3" s="193" t="str">
        <f t="shared" si="3"/>
        <v>OK</v>
      </c>
      <c r="Y3" s="193" t="str">
        <f>IF(AND(LEN(TRIM(F3))&gt;0,SUMPRODUCT((_RPT_CHART!$A$2:$A$390=$A3)*ISERROR(SEARCH(_RPT_CHART!$K$2:$K$390,F3)))=0),"OK","ERROR")</f>
        <v>OK</v>
      </c>
      <c r="Z3" s="193" t="str">
        <f>IF(AND(SUMPRODUCT((_RPT_CHART!$A$2:$A$390=$A3)*ISERROR(SEARCH(","&amp;_RPT_CHART!$B$2:$B$390&amp;",",","&amp;SUBSTITUTE(I3," ","")&amp;",")))=0,LEN(SUBSTITUTE(I3," ",""))-LEN(SUBSTITUTE(SUBSTITUTE(I3," ",""),",",""))+1=COUNTIFS(_RPT_CHART!$A$2:$A$390,$A3,_RPT_CHART!$E$2:$E$390,1)),"OK","ERROR")</f>
        <v>OK</v>
      </c>
      <c r="AA3" s="193" t="str">
        <f>IF(AND(LEN(Q3)&gt;0,SUMPRODUCT((_RPT_CHART!$A$2:$A$390=$A3)*(LEN(_RPT_CHART!$M$2:$M$390)=0))=0),"OK","ERROR")</f>
        <v>OK</v>
      </c>
      <c r="AB3" s="193" t="str">
        <f>IF(AND(LEN(TRIM(J3))&gt;0,SUMPRODUCT((_RPT_CHART!$A$2:$A$390=$A3)*(LEN(_RPT_CHART!$I$2:$I$390)&gt;0)*(1-ISNUMBER(_RPT_CHART!$I$2:$I$390)))=0,IF(LEFT(TRIM(J3),2)="No",SUMPRODUCT((_RPT_CHART!$A$2:$A$390=$A3)*ISNUMBER(_RPT_CHART!$I$2:$I$390))=0,TRUE())),"OK","ERROR")</f>
        <v>OK</v>
      </c>
      <c r="AC3" s="193" t="str">
        <f>IF(AND(LEN(R3)&gt;0,SUMPRODUCT((_RPT_CHART!$A$2:$A$390=$A3)*(_RPT_CHART!$J$2:$J$390&lt;&gt;R3))=0),"OK","ERROR")</f>
        <v>OK</v>
      </c>
      <c r="AD3" s="193" t="str">
        <f t="shared" si="4"/>
        <v>OK</v>
      </c>
      <c r="AE3" s="193" t="str">
        <f>IF(AND(OR(P3="COMPLETE",P3="PARTIAL",P3="NO_DATA",P3="PENDING_DEFINITION"),N3&gt;=0,N3&lt;=O3,SUMPRODUCT((_RPT_CHART!$A$2:$A$390=$A3)*(_RPT_CHART!$L$2:$L$390="OK")*(_RPT_CHART!$N$2:$N$390="NO_DATA"))=0,SUMPRODUCT((_RPT_CHART!$A$2:$A$390=$A3)*(_RPT_CHART!$R$2:$R$390="MISSING")*(_RPT_CHART!$N$2:$N$390&lt;&gt;"NO_DATA"))=0),"OK","ERROR")</f>
        <v>OK</v>
      </c>
      <c r="AF3" s="193" t="str">
        <f>IF(AND(LEN(TRIM(K3))&gt;0,SUMPRODUCT((_RPT_CHART!$A$2:$A$390=$A3)*(_RPT_CHART!$R$2:$R$390&lt;&gt;"OK")*ISNUMBER(_RPT_CHART!$H$2:$H$390))=0,COUNTIFS(_RPT_CHART!$A$2:$A$390,$A3,_RPT_CHART!$R$2:$R$390,"CHECK")=0),"OK","ERROR")</f>
        <v>OK</v>
      </c>
      <c r="AG3" s="193" t="str">
        <f t="shared" si="5"/>
        <v>OK</v>
      </c>
      <c r="AH3" s="193" t="str">
        <f t="shared" si="6"/>
        <v>2 of 6 in-scope points without data (shown as gap)</v>
      </c>
    </row>
    <row r="4" spans="1:34" ht="13.5" customHeight="1" x14ac:dyDescent="0.3">
      <c r="A4" t="s">
        <v>1101</v>
      </c>
      <c r="B4">
        <v>2</v>
      </c>
      <c r="C4">
        <v>3</v>
      </c>
      <c r="D4" t="s">
        <v>1304</v>
      </c>
      <c r="E4" t="s">
        <v>1305</v>
      </c>
      <c r="F4" t="s">
        <v>1306</v>
      </c>
      <c r="G4" t="s">
        <v>1307</v>
      </c>
      <c r="H4" t="s">
        <v>1308</v>
      </c>
      <c r="I4" t="s">
        <v>1309</v>
      </c>
      <c r="J4" t="s">
        <v>230</v>
      </c>
      <c r="K4" t="s">
        <v>1294</v>
      </c>
      <c r="L4" t="s">
        <v>1310</v>
      </c>
      <c r="M4" t="s">
        <v>1311</v>
      </c>
      <c r="N4" s="193">
        <f>COUNTIFS(_RPT_CHART!$A$2:$A$390,$A4,_RPT_CHART!$R$2:$R$390,"OK")</f>
        <v>10</v>
      </c>
      <c r="O4" s="193">
        <f>COUNTIFS(_RPT_CHART!$A$2:$A$390,$A4,_RPT_CHART!$R$2:$R$390,"OK")+COUNTIFS(_RPT_CHART!$A$2:$A$390,$A4,_RPT_CHART!$R$2:$R$390,"MISSING")</f>
        <v>15</v>
      </c>
      <c r="P4" s="193" t="str">
        <f>IF(COUNTIFS(_RPT_CHART!$A$2:$A$390,$A4,_RPT_CHART!$R$2:$R$390,"PENDING_DEFINITION")&gt;0,"PENDING_DEFINITION",IF(N4=0,"NO_DATA",IF(N4&lt;O4,"PARTIAL","COMPLETE")))</f>
        <v>PARTIAL</v>
      </c>
      <c r="Q4" s="193" t="str">
        <f>MID(IF(COUNTIFS(_RPT_CHART!$A$2:$A$390,$A4,_RPT_CHART!$M$2:$M$390,"Monthly")&gt;0,", Monthly","")&amp;IF(COUNTIFS(_RPT_CHART!$A$2:$A$390,$A4,_RPT_CHART!$M$2:$M$390,"YTD")&gt;0,", YTD","")&amp;IF(COUNTIFS(_RPT_CHART!$A$2:$A$390,$A4,_RPT_CHART!$M$2:$M$390,"Month-end")&gt;0,", Month-end","")&amp;IF(COUNTIFS(_RPT_CHART!$A$2:$A$390,$A4,_RPT_CHART!$M$2:$M$390,"n/a")&gt;0,", n/a",""),3,60)</f>
        <v>Monthly</v>
      </c>
      <c r="R4" s="193" t="str">
        <f>IFERROR(INDEX(_RPT_CHART!$J$2:$J$390,MATCH($A4,_RPT_CHART!$A$2:$A$390,0)),"")</f>
        <v>cases</v>
      </c>
      <c r="S4" t="s">
        <v>1312</v>
      </c>
      <c r="T4" s="193" t="str">
        <f t="shared" si="0"/>
        <v>Compressor Plant</v>
      </c>
      <c r="U4" s="193">
        <f>COUNTIF(_RPT_CHART!$A$2:$A$390,$A4)</f>
        <v>60</v>
      </c>
      <c r="V4" s="193">
        <f t="shared" si="1"/>
        <v>5</v>
      </c>
      <c r="W4" s="193" t="str">
        <f t="shared" si="2"/>
        <v>OK</v>
      </c>
      <c r="X4" s="193" t="str">
        <f t="shared" si="3"/>
        <v>OK</v>
      </c>
      <c r="Y4" s="193" t="str">
        <f>IF(AND(LEN(TRIM(F4))&gt;0,SUMPRODUCT((_RPT_CHART!$A$2:$A$390=$A4)*ISERROR(SEARCH(_RPT_CHART!$K$2:$K$390,F4)))=0),"OK","ERROR")</f>
        <v>OK</v>
      </c>
      <c r="Z4" s="193" t="str">
        <f>IF(AND(SUMPRODUCT((_RPT_CHART!$A$2:$A$390=$A4)*ISERROR(SEARCH(","&amp;_RPT_CHART!$B$2:$B$390&amp;",",","&amp;SUBSTITUTE(I4," ","")&amp;",")))=0,LEN(SUBSTITUTE(I4," ",""))-LEN(SUBSTITUTE(SUBSTITUTE(I4," ",""),",",""))+1=COUNTIFS(_RPT_CHART!$A$2:$A$390,$A4,_RPT_CHART!$E$2:$E$390,1)),"OK","ERROR")</f>
        <v>OK</v>
      </c>
      <c r="AA4" s="193" t="str">
        <f>IF(AND(LEN(Q4)&gt;0,SUMPRODUCT((_RPT_CHART!$A$2:$A$390=$A4)*(LEN(_RPT_CHART!$M$2:$M$390)=0))=0),"OK","ERROR")</f>
        <v>OK</v>
      </c>
      <c r="AB4" s="193" t="str">
        <f>IF(AND(LEN(TRIM(J4))&gt;0,SUMPRODUCT((_RPT_CHART!$A$2:$A$390=$A4)*(LEN(_RPT_CHART!$I$2:$I$390)&gt;0)*(1-ISNUMBER(_RPT_CHART!$I$2:$I$390)))=0,IF(LEFT(TRIM(J4),2)="No",SUMPRODUCT((_RPT_CHART!$A$2:$A$390=$A4)*ISNUMBER(_RPT_CHART!$I$2:$I$390))=0,TRUE())),"OK","ERROR")</f>
        <v>OK</v>
      </c>
      <c r="AC4" s="193" t="str">
        <f>IF(AND(LEN(R4)&gt;0,SUMPRODUCT((_RPT_CHART!$A$2:$A$390=$A4)*(_RPT_CHART!$J$2:$J$390&lt;&gt;R4))=0),"OK","ERROR")</f>
        <v>OK</v>
      </c>
      <c r="AD4" s="193" t="str">
        <f t="shared" si="4"/>
        <v>OK</v>
      </c>
      <c r="AE4" s="193" t="str">
        <f>IF(AND(OR(P4="COMPLETE",P4="PARTIAL",P4="NO_DATA",P4="PENDING_DEFINITION"),N4&gt;=0,N4&lt;=O4,SUMPRODUCT((_RPT_CHART!$A$2:$A$390=$A4)*(_RPT_CHART!$L$2:$L$390="OK")*(_RPT_CHART!$N$2:$N$390="NO_DATA"))=0,SUMPRODUCT((_RPT_CHART!$A$2:$A$390=$A4)*(_RPT_CHART!$R$2:$R$390="MISSING")*(_RPT_CHART!$N$2:$N$390&lt;&gt;"NO_DATA"))=0),"OK","ERROR")</f>
        <v>OK</v>
      </c>
      <c r="AF4" s="193" t="str">
        <f>IF(AND(LEN(TRIM(K4))&gt;0,SUMPRODUCT((_RPT_CHART!$A$2:$A$390=$A4)*(_RPT_CHART!$R$2:$R$390&lt;&gt;"OK")*ISNUMBER(_RPT_CHART!$H$2:$H$390))=0,COUNTIFS(_RPT_CHART!$A$2:$A$390,$A4,_RPT_CHART!$R$2:$R$390,"CHECK")=0),"OK","ERROR")</f>
        <v>OK</v>
      </c>
      <c r="AG4" s="193" t="str">
        <f t="shared" si="5"/>
        <v>OK</v>
      </c>
      <c r="AH4" s="193" t="str">
        <f t="shared" si="6"/>
        <v>5 of 15 in-scope points without data (shown as gap)</v>
      </c>
    </row>
    <row r="5" spans="1:34" ht="13.5" customHeight="1" x14ac:dyDescent="0.3">
      <c r="A5" t="s">
        <v>1113</v>
      </c>
      <c r="B5">
        <v>1</v>
      </c>
      <c r="C5">
        <v>6</v>
      </c>
      <c r="D5" t="s">
        <v>1313</v>
      </c>
      <c r="E5" t="s">
        <v>1314</v>
      </c>
      <c r="F5" t="s">
        <v>1315</v>
      </c>
      <c r="G5" t="s">
        <v>1307</v>
      </c>
      <c r="H5" t="s">
        <v>1316</v>
      </c>
      <c r="I5" t="s">
        <v>1056</v>
      </c>
      <c r="J5" t="s">
        <v>230</v>
      </c>
      <c r="K5" t="s">
        <v>1294</v>
      </c>
      <c r="L5" t="s">
        <v>1317</v>
      </c>
      <c r="M5" t="s">
        <v>1318</v>
      </c>
      <c r="N5" s="193">
        <f>COUNTIFS(_RPT_CHART!$A$2:$A$390,$A5,_RPT_CHART!$R$2:$R$390,"OK")</f>
        <v>2</v>
      </c>
      <c r="O5" s="193">
        <f>COUNTIFS(_RPT_CHART!$A$2:$A$390,$A5,_RPT_CHART!$R$2:$R$390,"OK")+COUNTIFS(_RPT_CHART!$A$2:$A$390,$A5,_RPT_CHART!$R$2:$R$390,"MISSING")</f>
        <v>3</v>
      </c>
      <c r="P5" s="193" t="str">
        <f>IF(COUNTIFS(_RPT_CHART!$A$2:$A$390,$A5,_RPT_CHART!$R$2:$R$390,"PENDING_DEFINITION")&gt;0,"PENDING_DEFINITION",IF(N5=0,"NO_DATA",IF(N5&lt;O5,"PARTIAL","COMPLETE")))</f>
        <v>PARTIAL</v>
      </c>
      <c r="Q5" s="193" t="str">
        <f>MID(IF(COUNTIFS(_RPT_CHART!$A$2:$A$390,$A5,_RPT_CHART!$M$2:$M$390,"Monthly")&gt;0,", Monthly","")&amp;IF(COUNTIFS(_RPT_CHART!$A$2:$A$390,$A5,_RPT_CHART!$M$2:$M$390,"YTD")&gt;0,", YTD","")&amp;IF(COUNTIFS(_RPT_CHART!$A$2:$A$390,$A5,_RPT_CHART!$M$2:$M$390,"Month-end")&gt;0,", Month-end","")&amp;IF(COUNTIFS(_RPT_CHART!$A$2:$A$390,$A5,_RPT_CHART!$M$2:$M$390,"n/a")&gt;0,", n/a",""),3,60)</f>
        <v>Monthly</v>
      </c>
      <c r="R5" s="193" t="str">
        <f>IFERROR(INDEX(_RPT_CHART!$J$2:$J$390,MATCH($A5,_RPT_CHART!$A$2:$A$390,0)),"")</f>
        <v>hours</v>
      </c>
      <c r="S5" t="s">
        <v>1319</v>
      </c>
      <c r="T5" s="193" t="str">
        <f t="shared" si="0"/>
        <v>Compressor Plant</v>
      </c>
      <c r="U5" s="193">
        <f>COUNTIF(_RPT_CHART!$A$2:$A$390,$A5)</f>
        <v>12</v>
      </c>
      <c r="V5" s="193">
        <f t="shared" si="1"/>
        <v>1</v>
      </c>
      <c r="W5" s="193" t="str">
        <f t="shared" si="2"/>
        <v>OK</v>
      </c>
      <c r="X5" s="193" t="str">
        <f t="shared" si="3"/>
        <v>OK</v>
      </c>
      <c r="Y5" s="193" t="str">
        <f>IF(AND(LEN(TRIM(F5))&gt;0,SUMPRODUCT((_RPT_CHART!$A$2:$A$390=$A5)*ISERROR(SEARCH(_RPT_CHART!$K$2:$K$390,F5)))=0),"OK","ERROR")</f>
        <v>OK</v>
      </c>
      <c r="Z5" s="193" t="str">
        <f>IF(AND(SUMPRODUCT((_RPT_CHART!$A$2:$A$390=$A5)*ISERROR(SEARCH(","&amp;_RPT_CHART!$B$2:$B$390&amp;",",","&amp;SUBSTITUTE(I5," ","")&amp;",")))=0,LEN(SUBSTITUTE(I5," ",""))-LEN(SUBSTITUTE(SUBSTITUTE(I5," ",""),",",""))+1=COUNTIFS(_RPT_CHART!$A$2:$A$390,$A5,_RPT_CHART!$E$2:$E$390,1)),"OK","ERROR")</f>
        <v>OK</v>
      </c>
      <c r="AA5" s="193" t="str">
        <f>IF(AND(LEN(Q5)&gt;0,SUMPRODUCT((_RPT_CHART!$A$2:$A$390=$A5)*(LEN(_RPT_CHART!$M$2:$M$390)=0))=0),"OK","ERROR")</f>
        <v>OK</v>
      </c>
      <c r="AB5" s="193" t="str">
        <f>IF(AND(LEN(TRIM(J5))&gt;0,SUMPRODUCT((_RPT_CHART!$A$2:$A$390=$A5)*(LEN(_RPT_CHART!$I$2:$I$390)&gt;0)*(1-ISNUMBER(_RPT_CHART!$I$2:$I$390)))=0,IF(LEFT(TRIM(J5),2)="No",SUMPRODUCT((_RPT_CHART!$A$2:$A$390=$A5)*ISNUMBER(_RPT_CHART!$I$2:$I$390))=0,TRUE())),"OK","ERROR")</f>
        <v>OK</v>
      </c>
      <c r="AC5" s="193" t="str">
        <f>IF(AND(LEN(R5)&gt;0,SUMPRODUCT((_RPT_CHART!$A$2:$A$390=$A5)*(_RPT_CHART!$J$2:$J$390&lt;&gt;R5))=0),"OK","ERROR")</f>
        <v>OK</v>
      </c>
      <c r="AD5" s="193" t="str">
        <f t="shared" si="4"/>
        <v>OK</v>
      </c>
      <c r="AE5" s="193" t="str">
        <f>IF(AND(OR(P5="COMPLETE",P5="PARTIAL",P5="NO_DATA",P5="PENDING_DEFINITION"),N5&gt;=0,N5&lt;=O5,SUMPRODUCT((_RPT_CHART!$A$2:$A$390=$A5)*(_RPT_CHART!$L$2:$L$390="OK")*(_RPT_CHART!$N$2:$N$390="NO_DATA"))=0,SUMPRODUCT((_RPT_CHART!$A$2:$A$390=$A5)*(_RPT_CHART!$R$2:$R$390="MISSING")*(_RPT_CHART!$N$2:$N$390&lt;&gt;"NO_DATA"))=0),"OK","ERROR")</f>
        <v>OK</v>
      </c>
      <c r="AF5" s="193" t="str">
        <f>IF(AND(LEN(TRIM(K5))&gt;0,SUMPRODUCT((_RPT_CHART!$A$2:$A$390=$A5)*(_RPT_CHART!$R$2:$R$390&lt;&gt;"OK")*ISNUMBER(_RPT_CHART!$H$2:$H$390))=0,COUNTIFS(_RPT_CHART!$A$2:$A$390,$A5,_RPT_CHART!$R$2:$R$390,"CHECK")=0),"OK","ERROR")</f>
        <v>OK</v>
      </c>
      <c r="AG5" s="193" t="str">
        <f t="shared" si="5"/>
        <v>OK</v>
      </c>
      <c r="AH5" s="193" t="str">
        <f t="shared" si="6"/>
        <v>1 of 3 in-scope points without data (shown as gap)</v>
      </c>
    </row>
    <row r="6" spans="1:34" ht="13.5" customHeight="1" x14ac:dyDescent="0.3">
      <c r="A6" t="s">
        <v>1165</v>
      </c>
      <c r="B6">
        <v>4</v>
      </c>
      <c r="C6">
        <v>1</v>
      </c>
      <c r="D6" t="s">
        <v>1320</v>
      </c>
      <c r="E6" t="s">
        <v>1321</v>
      </c>
      <c r="F6" t="s">
        <v>1322</v>
      </c>
      <c r="G6" t="s">
        <v>1323</v>
      </c>
      <c r="H6" t="s">
        <v>1324</v>
      </c>
      <c r="I6" t="s">
        <v>1325</v>
      </c>
      <c r="J6" t="s">
        <v>1326</v>
      </c>
      <c r="K6" t="s">
        <v>1327</v>
      </c>
      <c r="L6" t="s">
        <v>1328</v>
      </c>
      <c r="M6" t="s">
        <v>1329</v>
      </c>
      <c r="N6" s="193">
        <f>COUNTIFS(_RPT_CHART!$A$2:$A$390,$A6,_RPT_CHART!$R$2:$R$390,"OK")</f>
        <v>0</v>
      </c>
      <c r="O6" s="193">
        <f>COUNTIFS(_RPT_CHART!$A$2:$A$390,$A6,_RPT_CHART!$R$2:$R$390,"OK")+COUNTIFS(_RPT_CHART!$A$2:$A$390,$A6,_RPT_CHART!$R$2:$R$390,"MISSING")</f>
        <v>16</v>
      </c>
      <c r="P6" s="193" t="str">
        <f>IF(COUNTIFS(_RPT_CHART!$A$2:$A$390,$A6,_RPT_CHART!$R$2:$R$390,"PENDING_DEFINITION")&gt;0,"PENDING_DEFINITION",IF(N6=0,"NO_DATA",IF(N6&lt;O6,"PARTIAL","COMPLETE")))</f>
        <v>NO_DATA</v>
      </c>
      <c r="Q6" s="193" t="str">
        <f>MID(IF(COUNTIFS(_RPT_CHART!$A$2:$A$390,$A6,_RPT_CHART!$M$2:$M$390,"Monthly")&gt;0,", Monthly","")&amp;IF(COUNTIFS(_RPT_CHART!$A$2:$A$390,$A6,_RPT_CHART!$M$2:$M$390,"YTD")&gt;0,", YTD","")&amp;IF(COUNTIFS(_RPT_CHART!$A$2:$A$390,$A6,_RPT_CHART!$M$2:$M$390,"Month-end")&gt;0,", Month-end","")&amp;IF(COUNTIFS(_RPT_CHART!$A$2:$A$390,$A6,_RPT_CHART!$M$2:$M$390,"n/a")&gt;0,", n/a",""),3,60)</f>
        <v>Monthly, YTD</v>
      </c>
      <c r="R6" s="193" t="str">
        <f>IFERROR(INDEX(_RPT_CHART!$J$2:$J$390,MATCH($A6,_RPT_CHART!$A$2:$A$390,0)),"")</f>
        <v>events</v>
      </c>
      <c r="S6" t="s">
        <v>1330</v>
      </c>
      <c r="T6" s="193" t="str">
        <f t="shared" si="0"/>
        <v>Compressor Plant</v>
      </c>
      <c r="U6" s="193">
        <f>COUNTIF(_RPT_CHART!$A$2:$A$390,$A6)</f>
        <v>16</v>
      </c>
      <c r="V6" s="193">
        <f t="shared" si="1"/>
        <v>16</v>
      </c>
      <c r="W6" s="193" t="str">
        <f t="shared" si="2"/>
        <v>OK</v>
      </c>
      <c r="X6" s="193" t="str">
        <f t="shared" si="3"/>
        <v>OK</v>
      </c>
      <c r="Y6" s="193" t="str">
        <f>IF(AND(LEN(TRIM(F6))&gt;0,SUMPRODUCT((_RPT_CHART!$A$2:$A$390=$A6)*ISERROR(SEARCH(_RPT_CHART!$K$2:$K$390,F6)))=0),"OK","ERROR")</f>
        <v>OK</v>
      </c>
      <c r="Z6" s="193" t="str">
        <f>IF(AND(SUMPRODUCT((_RPT_CHART!$A$2:$A$390=$A6)*ISERROR(SEARCH(","&amp;_RPT_CHART!$B$2:$B$390&amp;",",","&amp;SUBSTITUTE(I6," ","")&amp;",")))=0,LEN(SUBSTITUTE(I6," ",""))-LEN(SUBSTITUTE(SUBSTITUTE(I6," ",""),",",""))+1=COUNTIFS(_RPT_CHART!$A$2:$A$390,$A6,_RPT_CHART!$E$2:$E$390,1)),"OK","ERROR")</f>
        <v>OK</v>
      </c>
      <c r="AA6" s="193" t="str">
        <f>IF(AND(LEN(Q6)&gt;0,SUMPRODUCT((_RPT_CHART!$A$2:$A$390=$A6)*(LEN(_RPT_CHART!$M$2:$M$390)=0))=0),"OK","ERROR")</f>
        <v>OK</v>
      </c>
      <c r="AB6" s="193" t="str">
        <f>IF(AND(LEN(TRIM(J6))&gt;0,SUMPRODUCT((_RPT_CHART!$A$2:$A$390=$A6)*(LEN(_RPT_CHART!$I$2:$I$390)&gt;0)*(1-ISNUMBER(_RPT_CHART!$I$2:$I$390)))=0,IF(LEFT(TRIM(J6),2)="No",SUMPRODUCT((_RPT_CHART!$A$2:$A$390=$A6)*ISNUMBER(_RPT_CHART!$I$2:$I$390))=0,TRUE())),"OK","ERROR")</f>
        <v>OK</v>
      </c>
      <c r="AC6" s="193" t="str">
        <f>IF(AND(LEN(R6)&gt;0,SUMPRODUCT((_RPT_CHART!$A$2:$A$390=$A6)*(_RPT_CHART!$J$2:$J$390&lt;&gt;R6))=0),"OK","ERROR")</f>
        <v>OK</v>
      </c>
      <c r="AD6" s="193" t="str">
        <f t="shared" si="4"/>
        <v>OK</v>
      </c>
      <c r="AE6" s="193" t="str">
        <f>IF(AND(OR(P6="COMPLETE",P6="PARTIAL",P6="NO_DATA",P6="PENDING_DEFINITION"),N6&gt;=0,N6&lt;=O6,SUMPRODUCT((_RPT_CHART!$A$2:$A$390=$A6)*(_RPT_CHART!$L$2:$L$390="OK")*(_RPT_CHART!$N$2:$N$390="NO_DATA"))=0,SUMPRODUCT((_RPT_CHART!$A$2:$A$390=$A6)*(_RPT_CHART!$R$2:$R$390="MISSING")*(_RPT_CHART!$N$2:$N$390&lt;&gt;"NO_DATA"))=0),"OK","ERROR")</f>
        <v>OK</v>
      </c>
      <c r="AF6" s="193" t="str">
        <f>IF(AND(LEN(TRIM(K6))&gt;0,SUMPRODUCT((_RPT_CHART!$A$2:$A$390=$A6)*(_RPT_CHART!$R$2:$R$390&lt;&gt;"OK")*ISNUMBER(_RPT_CHART!$H$2:$H$390))=0,COUNTIFS(_RPT_CHART!$A$2:$A$390,$A6,_RPT_CHART!$R$2:$R$390,"CHECK")=0,SUMPRODUCT(--NOT(ISNUMBER(_RPT_CHART!$H$374:$H$377)),--ISNUMBER(_RPT_CHART!$H$378:$H$381))=0,SUMPRODUCT(--NOT(ISNUMBER(_RPT_CHART!$H$382:$H$385)),--ISNUMBER(_RPT_CHART!$H$386:$H$389))=0),"OK","ERROR")</f>
        <v>OK</v>
      </c>
      <c r="AG6" s="193" t="str">
        <f t="shared" si="5"/>
        <v>OK</v>
      </c>
      <c r="AH6" s="193" t="str">
        <f t="shared" si="6"/>
        <v>No point loaded (16 expected in scope)</v>
      </c>
    </row>
    <row r="7" spans="1:34" ht="13.5" customHeight="1" x14ac:dyDescent="0.3">
      <c r="A7" t="s">
        <v>1116</v>
      </c>
      <c r="B7">
        <v>4</v>
      </c>
      <c r="C7">
        <v>2</v>
      </c>
      <c r="D7" t="s">
        <v>1331</v>
      </c>
      <c r="E7" t="s">
        <v>1332</v>
      </c>
      <c r="F7" t="s">
        <v>1333</v>
      </c>
      <c r="G7" t="s">
        <v>1307</v>
      </c>
      <c r="H7" t="s">
        <v>1334</v>
      </c>
      <c r="I7" t="s">
        <v>1335</v>
      </c>
      <c r="J7" t="s">
        <v>1336</v>
      </c>
      <c r="K7" t="s">
        <v>1294</v>
      </c>
      <c r="L7" t="s">
        <v>1337</v>
      </c>
      <c r="M7" t="s">
        <v>1338</v>
      </c>
      <c r="N7" s="193">
        <f>COUNTIFS(_RPT_CHART!$A$2:$A$390,$A7,_RPT_CHART!$R$2:$R$390,"OK")</f>
        <v>5</v>
      </c>
      <c r="O7" s="193">
        <f>COUNTIFS(_RPT_CHART!$A$2:$A$390,$A7,_RPT_CHART!$R$2:$R$390,"OK")+COUNTIFS(_RPT_CHART!$A$2:$A$390,$A7,_RPT_CHART!$R$2:$R$390,"MISSING")</f>
        <v>12</v>
      </c>
      <c r="P7" s="193" t="str">
        <f>IF(COUNTIFS(_RPT_CHART!$A$2:$A$390,$A7,_RPT_CHART!$R$2:$R$390,"PENDING_DEFINITION")&gt;0,"PENDING_DEFINITION",IF(N7=0,"NO_DATA",IF(N7&lt;O7,"PARTIAL","COMPLETE")))</f>
        <v>PARTIAL</v>
      </c>
      <c r="Q7" s="193" t="str">
        <f>MID(IF(COUNTIFS(_RPT_CHART!$A$2:$A$390,$A7,_RPT_CHART!$M$2:$M$390,"Monthly")&gt;0,", Monthly","")&amp;IF(COUNTIFS(_RPT_CHART!$A$2:$A$390,$A7,_RPT_CHART!$M$2:$M$390,"YTD")&gt;0,", YTD","")&amp;IF(COUNTIFS(_RPT_CHART!$A$2:$A$390,$A7,_RPT_CHART!$M$2:$M$390,"Month-end")&gt;0,", Month-end","")&amp;IF(COUNTIFS(_RPT_CHART!$A$2:$A$390,$A7,_RPT_CHART!$M$2:$M$390,"n/a")&gt;0,", n/a",""),3,60)</f>
        <v>Monthly</v>
      </c>
      <c r="R7" s="193" t="str">
        <f>IFERROR(INDEX(_RPT_CHART!$J$2:$J$390,MATCH($A7,_RPT_CHART!$A$2:$A$390,0)),"")</f>
        <v>% of planned</v>
      </c>
      <c r="S7" t="s">
        <v>1297</v>
      </c>
      <c r="T7" s="193" t="str">
        <f t="shared" si="0"/>
        <v>Compressor Plant</v>
      </c>
      <c r="U7" s="193">
        <f>COUNTIF(_RPT_CHART!$A$2:$A$390,$A7)</f>
        <v>48</v>
      </c>
      <c r="V7" s="193">
        <f t="shared" si="1"/>
        <v>7</v>
      </c>
      <c r="W7" s="193" t="str">
        <f t="shared" si="2"/>
        <v>OK</v>
      </c>
      <c r="X7" s="193" t="str">
        <f t="shared" si="3"/>
        <v>OK</v>
      </c>
      <c r="Y7" s="193" t="str">
        <f>IF(AND(LEN(TRIM(F7))&gt;0,SUMPRODUCT((_RPT_CHART!$A$2:$A$390=$A7)*ISERROR(SEARCH(_RPT_CHART!$K$2:$K$390,F7)))=0),"OK","ERROR")</f>
        <v>OK</v>
      </c>
      <c r="Z7" s="193" t="str">
        <f>IF(AND(SUMPRODUCT((_RPT_CHART!$A$2:$A$390=$A7)*ISERROR(SEARCH(","&amp;_RPT_CHART!$B$2:$B$390&amp;",",","&amp;SUBSTITUTE(I7," ","")&amp;",")))=0,LEN(SUBSTITUTE(I7," ",""))-LEN(SUBSTITUTE(SUBSTITUTE(I7," ",""),",",""))+1=COUNTIFS(_RPT_CHART!$A$2:$A$390,$A7,_RPT_CHART!$E$2:$E$390,1)),"OK","ERROR")</f>
        <v>OK</v>
      </c>
      <c r="AA7" s="193" t="str">
        <f>IF(AND(LEN(Q7)&gt;0,SUMPRODUCT((_RPT_CHART!$A$2:$A$390=$A7)*(LEN(_RPT_CHART!$M$2:$M$390)=0))=0),"OK","ERROR")</f>
        <v>OK</v>
      </c>
      <c r="AB7" s="193" t="str">
        <f>IF(AND(LEN(TRIM(J7))&gt;0,SUMPRODUCT((_RPT_CHART!$A$2:$A$390=$A7)*(LEN(_RPT_CHART!$I$2:$I$390)&gt;0)*(1-ISNUMBER(_RPT_CHART!$I$2:$I$390)))=0,IF(LEFT(TRIM(J7),2)="No",SUMPRODUCT((_RPT_CHART!$A$2:$A$390=$A7)*ISNUMBER(_RPT_CHART!$I$2:$I$390))=0,TRUE())),"OK","ERROR")</f>
        <v>OK</v>
      </c>
      <c r="AC7" s="193" t="str">
        <f>IF(AND(LEN(R7)&gt;0,SUMPRODUCT((_RPT_CHART!$A$2:$A$390=$A7)*(_RPT_CHART!$J$2:$J$390&lt;&gt;R7))=0),"OK","ERROR")</f>
        <v>OK</v>
      </c>
      <c r="AD7" s="193" t="str">
        <f t="shared" si="4"/>
        <v>OK</v>
      </c>
      <c r="AE7" s="193" t="str">
        <f>IF(AND(OR(P7="COMPLETE",P7="PARTIAL",P7="NO_DATA",P7="PENDING_DEFINITION"),N7&gt;=0,N7&lt;=O7,SUMPRODUCT((_RPT_CHART!$A$2:$A$390=$A7)*(_RPT_CHART!$L$2:$L$390="OK")*(_RPT_CHART!$N$2:$N$390="NO_DATA"))=0,SUMPRODUCT((_RPT_CHART!$A$2:$A$390=$A7)*(_RPT_CHART!$R$2:$R$390="MISSING")*(_RPT_CHART!$N$2:$N$390&lt;&gt;"NO_DATA"))=0),"OK","ERROR")</f>
        <v>OK</v>
      </c>
      <c r="AF7" s="193" t="str">
        <f>IF(AND(LEN(TRIM(K7))&gt;0,SUMPRODUCT((_RPT_CHART!$A$2:$A$390=$A7)*(_RPT_CHART!$R$2:$R$390&lt;&gt;"OK")*ISNUMBER(_RPT_CHART!$H$2:$H$390))=0,COUNTIFS(_RPT_CHART!$A$2:$A$390,$A7,_RPT_CHART!$R$2:$R$390,"CHECK")=0),"OK","ERROR")</f>
        <v>OK</v>
      </c>
      <c r="AG7" s="193" t="str">
        <f t="shared" si="5"/>
        <v>OK</v>
      </c>
      <c r="AH7" s="193" t="str">
        <f t="shared" si="6"/>
        <v>7 of 12 in-scope points without data (shown as gap)</v>
      </c>
    </row>
    <row r="8" spans="1:34" ht="13.5" customHeight="1" x14ac:dyDescent="0.3">
      <c r="A8" t="s">
        <v>1126</v>
      </c>
      <c r="B8">
        <v>5</v>
      </c>
      <c r="C8">
        <v>1</v>
      </c>
      <c r="D8" t="s">
        <v>994</v>
      </c>
      <c r="E8" t="s">
        <v>1339</v>
      </c>
      <c r="F8" t="s">
        <v>1315</v>
      </c>
      <c r="G8" t="s">
        <v>1307</v>
      </c>
      <c r="H8" t="s">
        <v>1340</v>
      </c>
      <c r="I8" t="s">
        <v>1127</v>
      </c>
      <c r="J8" t="s">
        <v>1293</v>
      </c>
      <c r="K8" t="s">
        <v>1294</v>
      </c>
      <c r="L8" t="s">
        <v>1341</v>
      </c>
      <c r="M8" t="s">
        <v>1342</v>
      </c>
      <c r="N8" s="193">
        <f>COUNTIFS(_RPT_CHART!$A$2:$A$390,$A8,_RPT_CHART!$R$2:$R$390,"OK")</f>
        <v>2</v>
      </c>
      <c r="O8" s="193">
        <f>COUNTIFS(_RPT_CHART!$A$2:$A$390,$A8,_RPT_CHART!$R$2:$R$390,"OK")+COUNTIFS(_RPT_CHART!$A$2:$A$390,$A8,_RPT_CHART!$R$2:$R$390,"MISSING")</f>
        <v>3</v>
      </c>
      <c r="P8" s="193" t="str">
        <f>IF(COUNTIFS(_RPT_CHART!$A$2:$A$390,$A8,_RPT_CHART!$R$2:$R$390,"PENDING_DEFINITION")&gt;0,"PENDING_DEFINITION",IF(N8=0,"NO_DATA",IF(N8&lt;O8,"PARTIAL","COMPLETE")))</f>
        <v>PARTIAL</v>
      </c>
      <c r="Q8" s="193" t="str">
        <f>MID(IF(COUNTIFS(_RPT_CHART!$A$2:$A$390,$A8,_RPT_CHART!$M$2:$M$390,"Monthly")&gt;0,", Monthly","")&amp;IF(COUNTIFS(_RPT_CHART!$A$2:$A$390,$A8,_RPT_CHART!$M$2:$M$390,"YTD")&gt;0,", YTD","")&amp;IF(COUNTIFS(_RPT_CHART!$A$2:$A$390,$A8,_RPT_CHART!$M$2:$M$390,"Month-end")&gt;0,", Month-end","")&amp;IF(COUNTIFS(_RPT_CHART!$A$2:$A$390,$A8,_RPT_CHART!$M$2:$M$390,"n/a")&gt;0,", n/a",""),3,60)</f>
        <v>Monthly</v>
      </c>
      <c r="R8" s="193" t="str">
        <f>IFERROR(INDEX(_RPT_CHART!$J$2:$J$390,MATCH($A8,_RPT_CHART!$A$2:$A$390,0)),"")</f>
        <v>obs / person</v>
      </c>
      <c r="S8" t="s">
        <v>1297</v>
      </c>
      <c r="T8" s="193" t="str">
        <f t="shared" si="0"/>
        <v>Compressor Plant</v>
      </c>
      <c r="U8" s="193">
        <f>COUNTIF(_RPT_CHART!$A$2:$A$390,$A8)</f>
        <v>12</v>
      </c>
      <c r="V8" s="193">
        <f t="shared" si="1"/>
        <v>1</v>
      </c>
      <c r="W8" s="193" t="str">
        <f t="shared" si="2"/>
        <v>OK</v>
      </c>
      <c r="X8" s="193" t="str">
        <f t="shared" si="3"/>
        <v>OK</v>
      </c>
      <c r="Y8" s="193" t="str">
        <f>IF(AND(LEN(TRIM(F8))&gt;0,SUMPRODUCT((_RPT_CHART!$A$2:$A$390=$A8)*ISERROR(SEARCH(_RPT_CHART!$K$2:$K$390,F8)))=0),"OK","ERROR")</f>
        <v>OK</v>
      </c>
      <c r="Z8" s="193" t="str">
        <f>IF(AND(SUMPRODUCT((_RPT_CHART!$A$2:$A$390=$A8)*ISERROR(SEARCH(","&amp;_RPT_CHART!$B$2:$B$390&amp;",",","&amp;SUBSTITUTE(I8," ","")&amp;",")))=0,LEN(SUBSTITUTE(I8," ",""))-LEN(SUBSTITUTE(SUBSTITUTE(I8," ",""),",",""))+1=COUNTIFS(_RPT_CHART!$A$2:$A$390,$A8,_RPT_CHART!$E$2:$E$390,1)),"OK","ERROR")</f>
        <v>OK</v>
      </c>
      <c r="AA8" s="193" t="str">
        <f>IF(AND(LEN(Q8)&gt;0,SUMPRODUCT((_RPT_CHART!$A$2:$A$390=$A8)*(LEN(_RPT_CHART!$M$2:$M$390)=0))=0),"OK","ERROR")</f>
        <v>OK</v>
      </c>
      <c r="AB8" s="193" t="str">
        <f>IF(AND(LEN(TRIM(J8))&gt;0,SUMPRODUCT((_RPT_CHART!$A$2:$A$390=$A8)*(LEN(_RPT_CHART!$I$2:$I$390)&gt;0)*(1-ISNUMBER(_RPT_CHART!$I$2:$I$390)))=0,IF(LEFT(TRIM(J8),2)="No",SUMPRODUCT((_RPT_CHART!$A$2:$A$390=$A8)*ISNUMBER(_RPT_CHART!$I$2:$I$390))=0,TRUE())),"OK","ERROR")</f>
        <v>OK</v>
      </c>
      <c r="AC8" s="193" t="str">
        <f>IF(AND(LEN(R8)&gt;0,SUMPRODUCT((_RPT_CHART!$A$2:$A$390=$A8)*(_RPT_CHART!$J$2:$J$390&lt;&gt;R8))=0),"OK","ERROR")</f>
        <v>OK</v>
      </c>
      <c r="AD8" s="193" t="str">
        <f t="shared" si="4"/>
        <v>OK</v>
      </c>
      <c r="AE8" s="193" t="str">
        <f>IF(AND(OR(P8="COMPLETE",P8="PARTIAL",P8="NO_DATA",P8="PENDING_DEFINITION"),N8&gt;=0,N8&lt;=O8,SUMPRODUCT((_RPT_CHART!$A$2:$A$390=$A8)*(_RPT_CHART!$L$2:$L$390="OK")*(_RPT_CHART!$N$2:$N$390="NO_DATA"))=0,SUMPRODUCT((_RPT_CHART!$A$2:$A$390=$A8)*(_RPT_CHART!$R$2:$R$390="MISSING")*(_RPT_CHART!$N$2:$N$390&lt;&gt;"NO_DATA"))=0),"OK","ERROR")</f>
        <v>OK</v>
      </c>
      <c r="AF8" s="193" t="str">
        <f>IF(AND(LEN(TRIM(K8))&gt;0,SUMPRODUCT((_RPT_CHART!$A$2:$A$390=$A8)*(_RPT_CHART!$R$2:$R$390&lt;&gt;"OK")*ISNUMBER(_RPT_CHART!$H$2:$H$390))=0,COUNTIFS(_RPT_CHART!$A$2:$A$390,$A8,_RPT_CHART!$R$2:$R$390,"CHECK")=0),"OK","ERROR")</f>
        <v>OK</v>
      </c>
      <c r="AG8" s="193" t="str">
        <f t="shared" si="5"/>
        <v>OK</v>
      </c>
      <c r="AH8" s="193" t="str">
        <f t="shared" si="6"/>
        <v>1 of 3 in-scope points without data (shown as gap)</v>
      </c>
    </row>
    <row r="9" spans="1:34" ht="13.5" customHeight="1" x14ac:dyDescent="0.3">
      <c r="A9" t="s">
        <v>1129</v>
      </c>
      <c r="B9">
        <v>5</v>
      </c>
      <c r="C9">
        <v>2</v>
      </c>
      <c r="D9" t="s">
        <v>1343</v>
      </c>
      <c r="E9" t="s">
        <v>1344</v>
      </c>
      <c r="F9" t="s">
        <v>1315</v>
      </c>
      <c r="G9" t="s">
        <v>1307</v>
      </c>
      <c r="H9" t="s">
        <v>1345</v>
      </c>
      <c r="I9" t="s">
        <v>1130</v>
      </c>
      <c r="J9" t="s">
        <v>1293</v>
      </c>
      <c r="K9" t="s">
        <v>1294</v>
      </c>
      <c r="L9" t="s">
        <v>1346</v>
      </c>
      <c r="M9" t="s">
        <v>1347</v>
      </c>
      <c r="N9" s="193">
        <f>COUNTIFS(_RPT_CHART!$A$2:$A$390,$A9,_RPT_CHART!$R$2:$R$390,"OK")</f>
        <v>2</v>
      </c>
      <c r="O9" s="193">
        <f>COUNTIFS(_RPT_CHART!$A$2:$A$390,$A9,_RPT_CHART!$R$2:$R$390,"OK")+COUNTIFS(_RPT_CHART!$A$2:$A$390,$A9,_RPT_CHART!$R$2:$R$390,"MISSING")</f>
        <v>3</v>
      </c>
      <c r="P9" s="193" t="str">
        <f>IF(COUNTIFS(_RPT_CHART!$A$2:$A$390,$A9,_RPT_CHART!$R$2:$R$390,"PENDING_DEFINITION")&gt;0,"PENDING_DEFINITION",IF(N9=0,"NO_DATA",IF(N9&lt;O9,"PARTIAL","COMPLETE")))</f>
        <v>PARTIAL</v>
      </c>
      <c r="Q9" s="193" t="str">
        <f>MID(IF(COUNTIFS(_RPT_CHART!$A$2:$A$390,$A9,_RPT_CHART!$M$2:$M$390,"Monthly")&gt;0,", Monthly","")&amp;IF(COUNTIFS(_RPT_CHART!$A$2:$A$390,$A9,_RPT_CHART!$M$2:$M$390,"YTD")&gt;0,", YTD","")&amp;IF(COUNTIFS(_RPT_CHART!$A$2:$A$390,$A9,_RPT_CHART!$M$2:$M$390,"Month-end")&gt;0,", Month-end","")&amp;IF(COUNTIFS(_RPT_CHART!$A$2:$A$390,$A9,_RPT_CHART!$M$2:$M$390,"n/a")&gt;0,", n/a",""),3,60)</f>
        <v>Monthly</v>
      </c>
      <c r="R9" s="193" t="str">
        <f>IFERROR(INDEX(_RPT_CHART!$J$2:$J$390,MATCH($A9,_RPT_CHART!$A$2:$A$390,0)),"")</f>
        <v>% of hours</v>
      </c>
      <c r="S9" t="s">
        <v>1297</v>
      </c>
      <c r="T9" s="193" t="str">
        <f t="shared" si="0"/>
        <v>Compressor Plant</v>
      </c>
      <c r="U9" s="193">
        <f>COUNTIF(_RPT_CHART!$A$2:$A$390,$A9)</f>
        <v>12</v>
      </c>
      <c r="V9" s="193">
        <f t="shared" si="1"/>
        <v>1</v>
      </c>
      <c r="W9" s="193" t="str">
        <f t="shared" si="2"/>
        <v>OK</v>
      </c>
      <c r="X9" s="193" t="str">
        <f t="shared" si="3"/>
        <v>OK</v>
      </c>
      <c r="Y9" s="193" t="str">
        <f>IF(AND(LEN(TRIM(F9))&gt;0,SUMPRODUCT((_RPT_CHART!$A$2:$A$390=$A9)*ISERROR(SEARCH(_RPT_CHART!$K$2:$K$390,F9)))=0),"OK","ERROR")</f>
        <v>OK</v>
      </c>
      <c r="Z9" s="193" t="str">
        <f>IF(AND(SUMPRODUCT((_RPT_CHART!$A$2:$A$390=$A9)*ISERROR(SEARCH(","&amp;_RPT_CHART!$B$2:$B$390&amp;",",","&amp;SUBSTITUTE(I9," ","")&amp;",")))=0,LEN(SUBSTITUTE(I9," ",""))-LEN(SUBSTITUTE(SUBSTITUTE(I9," ",""),",",""))+1=COUNTIFS(_RPT_CHART!$A$2:$A$390,$A9,_RPT_CHART!$E$2:$E$390,1)),"OK","ERROR")</f>
        <v>OK</v>
      </c>
      <c r="AA9" s="193" t="str">
        <f>IF(AND(LEN(Q9)&gt;0,SUMPRODUCT((_RPT_CHART!$A$2:$A$390=$A9)*(LEN(_RPT_CHART!$M$2:$M$390)=0))=0),"OK","ERROR")</f>
        <v>OK</v>
      </c>
      <c r="AB9" s="193" t="str">
        <f>IF(AND(LEN(TRIM(J9))&gt;0,SUMPRODUCT((_RPT_CHART!$A$2:$A$390=$A9)*(LEN(_RPT_CHART!$I$2:$I$390)&gt;0)*(1-ISNUMBER(_RPT_CHART!$I$2:$I$390)))=0,IF(LEFT(TRIM(J9),2)="No",SUMPRODUCT((_RPT_CHART!$A$2:$A$390=$A9)*ISNUMBER(_RPT_CHART!$I$2:$I$390))=0,TRUE())),"OK","ERROR")</f>
        <v>OK</v>
      </c>
      <c r="AC9" s="193" t="str">
        <f>IF(AND(LEN(R9)&gt;0,SUMPRODUCT((_RPT_CHART!$A$2:$A$390=$A9)*(_RPT_CHART!$J$2:$J$390&lt;&gt;R9))=0),"OK","ERROR")</f>
        <v>OK</v>
      </c>
      <c r="AD9" s="193" t="str">
        <f t="shared" si="4"/>
        <v>OK</v>
      </c>
      <c r="AE9" s="193" t="str">
        <f>IF(AND(OR(P9="COMPLETE",P9="PARTIAL",P9="NO_DATA",P9="PENDING_DEFINITION"),N9&gt;=0,N9&lt;=O9,SUMPRODUCT((_RPT_CHART!$A$2:$A$390=$A9)*(_RPT_CHART!$L$2:$L$390="OK")*(_RPT_CHART!$N$2:$N$390="NO_DATA"))=0,SUMPRODUCT((_RPT_CHART!$A$2:$A$390=$A9)*(_RPT_CHART!$R$2:$R$390="MISSING")*(_RPT_CHART!$N$2:$N$390&lt;&gt;"NO_DATA"))=0),"OK","ERROR")</f>
        <v>OK</v>
      </c>
      <c r="AF9" s="193" t="str">
        <f>IF(AND(LEN(TRIM(K9))&gt;0,SUMPRODUCT((_RPT_CHART!$A$2:$A$390=$A9)*(_RPT_CHART!$R$2:$R$390&lt;&gt;"OK")*ISNUMBER(_RPT_CHART!$H$2:$H$390))=0,COUNTIFS(_RPT_CHART!$A$2:$A$390,$A9,_RPT_CHART!$R$2:$R$390,"CHECK")=0),"OK","ERROR")</f>
        <v>OK</v>
      </c>
      <c r="AG9" s="193" t="str">
        <f t="shared" si="5"/>
        <v>OK</v>
      </c>
      <c r="AH9" s="193" t="str">
        <f t="shared" si="6"/>
        <v>1 of 3 in-scope points without data (shown as gap)</v>
      </c>
    </row>
    <row r="10" spans="1:34" ht="13.5" customHeight="1" x14ac:dyDescent="0.3">
      <c r="A10" t="s">
        <v>1132</v>
      </c>
      <c r="B10">
        <v>6</v>
      </c>
      <c r="C10">
        <v>1</v>
      </c>
      <c r="D10" t="s">
        <v>1348</v>
      </c>
      <c r="E10" t="s">
        <v>1349</v>
      </c>
      <c r="F10" t="s">
        <v>1350</v>
      </c>
      <c r="G10" t="s">
        <v>1351</v>
      </c>
      <c r="H10" t="s">
        <v>1352</v>
      </c>
      <c r="I10" t="s">
        <v>1353</v>
      </c>
      <c r="J10" t="s">
        <v>230</v>
      </c>
      <c r="K10" t="s">
        <v>1354</v>
      </c>
      <c r="L10" t="s">
        <v>1355</v>
      </c>
      <c r="M10" t="s">
        <v>1356</v>
      </c>
      <c r="N10" s="193">
        <f>COUNTIFS(_RPT_CHART!$A$2:$A$390,$A10,_RPT_CHART!$R$2:$R$390,"OK")</f>
        <v>6</v>
      </c>
      <c r="O10" s="193">
        <f>COUNTIFS(_RPT_CHART!$A$2:$A$390,$A10,_RPT_CHART!$R$2:$R$390,"OK")+COUNTIFS(_RPT_CHART!$A$2:$A$390,$A10,_RPT_CHART!$R$2:$R$390,"MISSING")</f>
        <v>9</v>
      </c>
      <c r="P10" s="193" t="str">
        <f>IF(COUNTIFS(_RPT_CHART!$A$2:$A$390,$A10,_RPT_CHART!$R$2:$R$390,"PENDING_DEFINITION")&gt;0,"PENDING_DEFINITION",IF(N10=0,"NO_DATA",IF(N10&lt;O10,"PARTIAL","COMPLETE")))</f>
        <v>PARTIAL</v>
      </c>
      <c r="Q10" s="193" t="str">
        <f>MID(IF(COUNTIFS(_RPT_CHART!$A$2:$A$390,$A10,_RPT_CHART!$M$2:$M$390,"Monthly")&gt;0,", Monthly","")&amp;IF(COUNTIFS(_RPT_CHART!$A$2:$A$390,$A10,_RPT_CHART!$M$2:$M$390,"YTD")&gt;0,", YTD","")&amp;IF(COUNTIFS(_RPT_CHART!$A$2:$A$390,$A10,_RPT_CHART!$M$2:$M$390,"Month-end")&gt;0,", Month-end","")&amp;IF(COUNTIFS(_RPT_CHART!$A$2:$A$390,$A10,_RPT_CHART!$M$2:$M$390,"n/a")&gt;0,", n/a",""),3,60)</f>
        <v>Monthly, Month-end</v>
      </c>
      <c r="R10" s="193" t="str">
        <f>IFERROR(INDEX(_RPT_CHART!$J$2:$J$390,MATCH($A10,_RPT_CHART!$A$2:$A$390,0)),"")</f>
        <v>deviations</v>
      </c>
      <c r="S10" t="s">
        <v>1357</v>
      </c>
      <c r="T10" s="193" t="str">
        <f t="shared" si="0"/>
        <v>Compressor Plant</v>
      </c>
      <c r="U10" s="193">
        <f>COUNTIF(_RPT_CHART!$A$2:$A$390,$A10)</f>
        <v>36</v>
      </c>
      <c r="V10" s="193">
        <f t="shared" si="1"/>
        <v>3</v>
      </c>
      <c r="W10" s="193" t="str">
        <f t="shared" si="2"/>
        <v>OK</v>
      </c>
      <c r="X10" s="193" t="str">
        <f t="shared" si="3"/>
        <v>OK</v>
      </c>
      <c r="Y10" s="193" t="str">
        <f>IF(AND(LEN(TRIM(F10))&gt;0,SUMPRODUCT((_RPT_CHART!$A$2:$A$390=$A10)*ISERROR(SEARCH(_RPT_CHART!$K$2:$K$390,F10)))=0),"OK","ERROR")</f>
        <v>OK</v>
      </c>
      <c r="Z10" s="193" t="str">
        <f>IF(AND(SUMPRODUCT((_RPT_CHART!$A$2:$A$390=$A10)*ISERROR(SEARCH(","&amp;_RPT_CHART!$B$2:$B$390&amp;",",","&amp;SUBSTITUTE(I10," ","")&amp;",")))=0,LEN(SUBSTITUTE(I10," ",""))-LEN(SUBSTITUTE(SUBSTITUTE(I10," ",""),",",""))+1=COUNTIFS(_RPT_CHART!$A$2:$A$390,$A10,_RPT_CHART!$E$2:$E$390,1)),"OK","ERROR")</f>
        <v>OK</v>
      </c>
      <c r="AA10" s="193" t="str">
        <f>IF(AND(LEN(Q10)&gt;0,SUMPRODUCT((_RPT_CHART!$A$2:$A$390=$A10)*(LEN(_RPT_CHART!$M$2:$M$390)=0))=0),"OK","ERROR")</f>
        <v>OK</v>
      </c>
      <c r="AB10" s="193" t="str">
        <f>IF(AND(LEN(TRIM(J10))&gt;0,SUMPRODUCT((_RPT_CHART!$A$2:$A$390=$A10)*(LEN(_RPT_CHART!$I$2:$I$390)&gt;0)*(1-ISNUMBER(_RPT_CHART!$I$2:$I$390)))=0,IF(LEFT(TRIM(J10),2)="No",SUMPRODUCT((_RPT_CHART!$A$2:$A$390=$A10)*ISNUMBER(_RPT_CHART!$I$2:$I$390))=0,TRUE())),"OK","ERROR")</f>
        <v>OK</v>
      </c>
      <c r="AC10" s="193" t="str">
        <f>IF(AND(LEN(R10)&gt;0,SUMPRODUCT((_RPT_CHART!$A$2:$A$390=$A10)*(_RPT_CHART!$J$2:$J$390&lt;&gt;R10))=0),"OK","ERROR")</f>
        <v>OK</v>
      </c>
      <c r="AD10" s="193" t="str">
        <f t="shared" si="4"/>
        <v>OK</v>
      </c>
      <c r="AE10" s="193" t="str">
        <f>IF(AND(OR(P10="COMPLETE",P10="PARTIAL",P10="NO_DATA",P10="PENDING_DEFINITION"),N10&gt;=0,N10&lt;=O10,SUMPRODUCT((_RPT_CHART!$A$2:$A$390=$A10)*(_RPT_CHART!$L$2:$L$390="OK")*(_RPT_CHART!$N$2:$N$390="NO_DATA"))=0,SUMPRODUCT((_RPT_CHART!$A$2:$A$390=$A10)*(_RPT_CHART!$R$2:$R$390="MISSING")*(_RPT_CHART!$N$2:$N$390&lt;&gt;"NO_DATA"))=0),"OK","ERROR")</f>
        <v>OK</v>
      </c>
      <c r="AF10" s="193" t="str">
        <f>IF(AND(LEN(TRIM(K10))&gt;0,SUMPRODUCT((_RPT_CHART!$A$2:$A$390=$A10)*(_RPT_CHART!$R$2:$R$390&lt;&gt;"OK")*ISNUMBER(_RPT_CHART!$H$2:$H$390))=0,COUNTIFS(_RPT_CHART!$A$2:$A$390,$A10,_RPT_CHART!$R$2:$R$390,"CHECK")=0),"OK","ERROR")</f>
        <v>OK</v>
      </c>
      <c r="AG10" s="193" t="str">
        <f t="shared" si="5"/>
        <v>OK</v>
      </c>
      <c r="AH10" s="193" t="str">
        <f t="shared" si="6"/>
        <v>3 of 9 in-scope points without data (shown as gap)</v>
      </c>
    </row>
    <row r="11" spans="1:34" ht="13.5" customHeight="1" x14ac:dyDescent="0.3">
      <c r="A11" t="s">
        <v>1138</v>
      </c>
      <c r="B11">
        <v>6</v>
      </c>
      <c r="C11">
        <v>2</v>
      </c>
      <c r="D11" t="s">
        <v>1358</v>
      </c>
      <c r="E11" t="s">
        <v>1359</v>
      </c>
      <c r="F11" t="s">
        <v>1360</v>
      </c>
      <c r="G11" t="s">
        <v>1351</v>
      </c>
      <c r="H11" t="s">
        <v>1352</v>
      </c>
      <c r="I11" t="s">
        <v>1361</v>
      </c>
      <c r="J11" t="s">
        <v>230</v>
      </c>
      <c r="K11" t="s">
        <v>1362</v>
      </c>
      <c r="L11" t="s">
        <v>1363</v>
      </c>
      <c r="M11" t="s">
        <v>1364</v>
      </c>
      <c r="N11" s="193">
        <f>COUNTIFS(_RPT_CHART!$A$2:$A$390,$A11,_RPT_CHART!$R$2:$R$390,"OK")</f>
        <v>9</v>
      </c>
      <c r="O11" s="193">
        <f>COUNTIFS(_RPT_CHART!$A$2:$A$390,$A11,_RPT_CHART!$R$2:$R$390,"OK")+COUNTIFS(_RPT_CHART!$A$2:$A$390,$A11,_RPT_CHART!$R$2:$R$390,"MISSING")</f>
        <v>12</v>
      </c>
      <c r="P11" s="193" t="str">
        <f>IF(COUNTIFS(_RPT_CHART!$A$2:$A$390,$A11,_RPT_CHART!$R$2:$R$390,"PENDING_DEFINITION")&gt;0,"PENDING_DEFINITION",IF(N11=0,"NO_DATA",IF(N11&lt;O11,"PARTIAL","COMPLETE")))</f>
        <v>PARTIAL</v>
      </c>
      <c r="Q11" s="193" t="str">
        <f>MID(IF(COUNTIFS(_RPT_CHART!$A$2:$A$390,$A11,_RPT_CHART!$M$2:$M$390,"Monthly")&gt;0,", Monthly","")&amp;IF(COUNTIFS(_RPT_CHART!$A$2:$A$390,$A11,_RPT_CHART!$M$2:$M$390,"YTD")&gt;0,", YTD","")&amp;IF(COUNTIFS(_RPT_CHART!$A$2:$A$390,$A11,_RPT_CHART!$M$2:$M$390,"Month-end")&gt;0,", Month-end","")&amp;IF(COUNTIFS(_RPT_CHART!$A$2:$A$390,$A11,_RPT_CHART!$M$2:$M$390,"n/a")&gt;0,", n/a",""),3,60)</f>
        <v>Monthly</v>
      </c>
      <c r="R11" s="193" t="str">
        <f>IFERROR(INDEX(_RPT_CHART!$J$2:$J$390,MATCH($A11,_RPT_CHART!$A$2:$A$390,0)),"")</f>
        <v>deviations</v>
      </c>
      <c r="S11" t="s">
        <v>1365</v>
      </c>
      <c r="T11" s="193" t="str">
        <f t="shared" si="0"/>
        <v>Compressor Plant</v>
      </c>
      <c r="U11" s="193">
        <f>COUNTIF(_RPT_CHART!$A$2:$A$390,$A11)</f>
        <v>48</v>
      </c>
      <c r="V11" s="193">
        <f t="shared" si="1"/>
        <v>3</v>
      </c>
      <c r="W11" s="193" t="str">
        <f t="shared" si="2"/>
        <v>OK</v>
      </c>
      <c r="X11" s="193" t="str">
        <f t="shared" si="3"/>
        <v>OK</v>
      </c>
      <c r="Y11" s="193" t="str">
        <f>IF(AND(LEN(TRIM(F11))&gt;0,SUMPRODUCT((_RPT_CHART!$A$2:$A$390=$A11)*ISERROR(SEARCH(_RPT_CHART!$K$2:$K$390,F11)))=0),"OK","ERROR")</f>
        <v>OK</v>
      </c>
      <c r="Z11" s="193" t="str">
        <f>IF(AND(SUMPRODUCT((_RPT_CHART!$A$2:$A$390=$A11)*ISERROR(SEARCH(","&amp;_RPT_CHART!$B$2:$B$390&amp;",",","&amp;SUBSTITUTE(I11," ","")&amp;",")))=0,LEN(SUBSTITUTE(I11," ",""))-LEN(SUBSTITUTE(SUBSTITUTE(I11," ",""),",",""))+1=COUNTIFS(_RPT_CHART!$A$2:$A$390,$A11,_RPT_CHART!$E$2:$E$390,1)),"OK","ERROR")</f>
        <v>OK</v>
      </c>
      <c r="AA11" s="193" t="str">
        <f>IF(AND(LEN(Q11)&gt;0,SUMPRODUCT((_RPT_CHART!$A$2:$A$390=$A11)*(LEN(_RPT_CHART!$M$2:$M$390)=0))=0),"OK","ERROR")</f>
        <v>OK</v>
      </c>
      <c r="AB11" s="193" t="str">
        <f>IF(AND(LEN(TRIM(J11))&gt;0,SUMPRODUCT((_RPT_CHART!$A$2:$A$390=$A11)*(LEN(_RPT_CHART!$I$2:$I$390)&gt;0)*(1-ISNUMBER(_RPT_CHART!$I$2:$I$390)))=0,IF(LEFT(TRIM(J11),2)="No",SUMPRODUCT((_RPT_CHART!$A$2:$A$390=$A11)*ISNUMBER(_RPT_CHART!$I$2:$I$390))=0,TRUE())),"OK","ERROR")</f>
        <v>OK</v>
      </c>
      <c r="AC11" s="193" t="str">
        <f>IF(AND(LEN(R11)&gt;0,SUMPRODUCT((_RPT_CHART!$A$2:$A$390=$A11)*(_RPT_CHART!$J$2:$J$390&lt;&gt;R11))=0),"OK","ERROR")</f>
        <v>OK</v>
      </c>
      <c r="AD11" s="193" t="str">
        <f t="shared" si="4"/>
        <v>OK</v>
      </c>
      <c r="AE11" s="193" t="str">
        <f>IF(AND(OR(P11="COMPLETE",P11="PARTIAL",P11="NO_DATA",P11="PENDING_DEFINITION"),N11&gt;=0,N11&lt;=O11,SUMPRODUCT((_RPT_CHART!$A$2:$A$390=$A11)*(_RPT_CHART!$L$2:$L$390="OK")*(_RPT_CHART!$N$2:$N$390="NO_DATA"))=0,SUMPRODUCT((_RPT_CHART!$A$2:$A$390=$A11)*(_RPT_CHART!$R$2:$R$390="MISSING")*(_RPT_CHART!$N$2:$N$390&lt;&gt;"NO_DATA"))=0),"OK","ERROR")</f>
        <v>OK</v>
      </c>
      <c r="AF11" s="193" t="str">
        <f>IF(AND(LEN(TRIM(K11))&gt;0,SUMPRODUCT((_RPT_CHART!$A$2:$A$390=$A11)*(_RPT_CHART!$R$2:$R$390&lt;&gt;"OK")*ISNUMBER(_RPT_CHART!$H$2:$H$390))=0,COUNTIFS(_RPT_CHART!$A$2:$A$390,$A11,_RPT_CHART!$R$2:$R$390,"CHECK")=0),"OK","ERROR")</f>
        <v>OK</v>
      </c>
      <c r="AG11" s="193" t="str">
        <f t="shared" si="5"/>
        <v>OK</v>
      </c>
      <c r="AH11" s="193" t="str">
        <f t="shared" si="6"/>
        <v>3 of 12 in-scope points without data (shown as gap)</v>
      </c>
    </row>
    <row r="12" spans="1:34" ht="13.5" customHeight="1" x14ac:dyDescent="0.3">
      <c r="A12" t="s">
        <v>1147</v>
      </c>
      <c r="B12">
        <v>7</v>
      </c>
      <c r="C12">
        <v>1</v>
      </c>
      <c r="D12" t="s">
        <v>1366</v>
      </c>
      <c r="E12" t="s">
        <v>1367</v>
      </c>
      <c r="F12" t="s">
        <v>1289</v>
      </c>
      <c r="G12" t="s">
        <v>1307</v>
      </c>
      <c r="H12" t="s">
        <v>1368</v>
      </c>
      <c r="I12" t="s">
        <v>1369</v>
      </c>
      <c r="J12" t="s">
        <v>1370</v>
      </c>
      <c r="K12" t="s">
        <v>1294</v>
      </c>
      <c r="L12" t="s">
        <v>1371</v>
      </c>
      <c r="M12" t="s">
        <v>1372</v>
      </c>
      <c r="N12" s="193">
        <f>COUNTIFS(_RPT_CHART!$A$2:$A$390,$A12,_RPT_CHART!$R$2:$R$390,"OK")</f>
        <v>2</v>
      </c>
      <c r="O12" s="193">
        <f>COUNTIFS(_RPT_CHART!$A$2:$A$390,$A12,_RPT_CHART!$R$2:$R$390,"OK")+COUNTIFS(_RPT_CHART!$A$2:$A$390,$A12,_RPT_CHART!$R$2:$R$390,"MISSING")</f>
        <v>6</v>
      </c>
      <c r="P12" s="193" t="str">
        <f>IF(COUNTIFS(_RPT_CHART!$A$2:$A$390,$A12,_RPT_CHART!$R$2:$R$390,"PENDING_DEFINITION")&gt;0,"PENDING_DEFINITION",IF(N12=0,"NO_DATA",IF(N12&lt;O12,"PARTIAL","COMPLETE")))</f>
        <v>PARTIAL</v>
      </c>
      <c r="Q12" s="193" t="str">
        <f>MID(IF(COUNTIFS(_RPT_CHART!$A$2:$A$390,$A12,_RPT_CHART!$M$2:$M$390,"Monthly")&gt;0,", Monthly","")&amp;IF(COUNTIFS(_RPT_CHART!$A$2:$A$390,$A12,_RPT_CHART!$M$2:$M$390,"YTD")&gt;0,", YTD","")&amp;IF(COUNTIFS(_RPT_CHART!$A$2:$A$390,$A12,_RPT_CHART!$M$2:$M$390,"Month-end")&gt;0,", Month-end","")&amp;IF(COUNTIFS(_RPT_CHART!$A$2:$A$390,$A12,_RPT_CHART!$M$2:$M$390,"n/a")&gt;0,", n/a",""),3,60)</f>
        <v>Monthly</v>
      </c>
      <c r="R12" s="193" t="str">
        <f>IFERROR(INDEX(_RPT_CHART!$J$2:$J$390,MATCH($A12,_RPT_CHART!$A$2:$A$390,0)),"")</f>
        <v>days</v>
      </c>
      <c r="S12" t="s">
        <v>1297</v>
      </c>
      <c r="T12" s="193" t="str">
        <f t="shared" si="0"/>
        <v>Compressor Plant</v>
      </c>
      <c r="U12" s="193">
        <f>COUNTIF(_RPT_CHART!$A$2:$A$390,$A12)</f>
        <v>24</v>
      </c>
      <c r="V12" s="193">
        <f t="shared" si="1"/>
        <v>4</v>
      </c>
      <c r="W12" s="193" t="str">
        <f t="shared" si="2"/>
        <v>OK</v>
      </c>
      <c r="X12" s="193" t="str">
        <f t="shared" si="3"/>
        <v>OK</v>
      </c>
      <c r="Y12" s="193" t="str">
        <f>IF(AND(LEN(TRIM(F12))&gt;0,SUMPRODUCT((_RPT_CHART!$A$2:$A$390=$A12)*ISERROR(SEARCH(_RPT_CHART!$K$2:$K$390,F12)))=0),"OK","ERROR")</f>
        <v>OK</v>
      </c>
      <c r="Z12" s="193" t="str">
        <f>IF(AND(SUMPRODUCT((_RPT_CHART!$A$2:$A$390=$A12)*ISERROR(SEARCH(","&amp;_RPT_CHART!$B$2:$B$390&amp;",",","&amp;SUBSTITUTE(I12," ","")&amp;",")))=0,LEN(SUBSTITUTE(I12," ",""))-LEN(SUBSTITUTE(SUBSTITUTE(I12," ",""),",",""))+1=COUNTIFS(_RPT_CHART!$A$2:$A$390,$A12,_RPT_CHART!$E$2:$E$390,1)),"OK","ERROR")</f>
        <v>OK</v>
      </c>
      <c r="AA12" s="193" t="str">
        <f>IF(AND(LEN(Q12)&gt;0,SUMPRODUCT((_RPT_CHART!$A$2:$A$390=$A12)*(LEN(_RPT_CHART!$M$2:$M$390)=0))=0),"OK","ERROR")</f>
        <v>OK</v>
      </c>
      <c r="AB12" s="193" t="str">
        <f>IF(AND(LEN(TRIM(J12))&gt;0,SUMPRODUCT((_RPT_CHART!$A$2:$A$390=$A12)*(LEN(_RPT_CHART!$I$2:$I$390)&gt;0)*(1-ISNUMBER(_RPT_CHART!$I$2:$I$390)))=0,IF(LEFT(TRIM(J12),2)="No",SUMPRODUCT((_RPT_CHART!$A$2:$A$390=$A12)*ISNUMBER(_RPT_CHART!$I$2:$I$390))=0,TRUE())),"OK","ERROR")</f>
        <v>OK</v>
      </c>
      <c r="AC12" s="193" t="str">
        <f>IF(AND(LEN(R12)&gt;0,SUMPRODUCT((_RPT_CHART!$A$2:$A$390=$A12)*(_RPT_CHART!$J$2:$J$390&lt;&gt;R12))=0),"OK","ERROR")</f>
        <v>OK</v>
      </c>
      <c r="AD12" s="193" t="str">
        <f t="shared" si="4"/>
        <v>OK</v>
      </c>
      <c r="AE12" s="193" t="str">
        <f>IF(AND(OR(P12="COMPLETE",P12="PARTIAL",P12="NO_DATA",P12="PENDING_DEFINITION"),N12&gt;=0,N12&lt;=O12,SUMPRODUCT((_RPT_CHART!$A$2:$A$390=$A12)*(_RPT_CHART!$L$2:$L$390="OK")*(_RPT_CHART!$N$2:$N$390="NO_DATA"))=0,SUMPRODUCT((_RPT_CHART!$A$2:$A$390=$A12)*(_RPT_CHART!$R$2:$R$390="MISSING")*(_RPT_CHART!$N$2:$N$390&lt;&gt;"NO_DATA"))=0),"OK","ERROR")</f>
        <v>OK</v>
      </c>
      <c r="AF12" s="193" t="str">
        <f>IF(AND(LEN(TRIM(K12))&gt;0,SUMPRODUCT((_RPT_CHART!$A$2:$A$390=$A12)*(_RPT_CHART!$R$2:$R$390&lt;&gt;"OK")*ISNUMBER(_RPT_CHART!$H$2:$H$390))=0,COUNTIFS(_RPT_CHART!$A$2:$A$390,$A12,_RPT_CHART!$R$2:$R$390,"CHECK")=0),"OK","ERROR")</f>
        <v>OK</v>
      </c>
      <c r="AG12" s="193" t="str">
        <f t="shared" si="5"/>
        <v>OK</v>
      </c>
      <c r="AH12" s="193" t="str">
        <f t="shared" si="6"/>
        <v>4 of 6 in-scope points without data (shown as gap)</v>
      </c>
    </row>
    <row r="13" spans="1:34" ht="13.5" customHeight="1" x14ac:dyDescent="0.3">
      <c r="A13" t="s">
        <v>1152</v>
      </c>
      <c r="B13">
        <v>7</v>
      </c>
      <c r="C13">
        <v>2</v>
      </c>
      <c r="D13" t="s">
        <v>1074</v>
      </c>
      <c r="E13" t="s">
        <v>1373</v>
      </c>
      <c r="F13" t="s">
        <v>1315</v>
      </c>
      <c r="G13" t="s">
        <v>1351</v>
      </c>
      <c r="H13" t="s">
        <v>1352</v>
      </c>
      <c r="I13" t="s">
        <v>1153</v>
      </c>
      <c r="J13" t="s">
        <v>1374</v>
      </c>
      <c r="K13" t="s">
        <v>1362</v>
      </c>
      <c r="L13" t="s">
        <v>1375</v>
      </c>
      <c r="M13" t="s">
        <v>1376</v>
      </c>
      <c r="N13" s="193">
        <f>COUNTIFS(_RPT_CHART!$A$2:$A$390,$A13,_RPT_CHART!$R$2:$R$390,"OK")</f>
        <v>2</v>
      </c>
      <c r="O13" s="193">
        <f>COUNTIFS(_RPT_CHART!$A$2:$A$390,$A13,_RPT_CHART!$R$2:$R$390,"OK")+COUNTIFS(_RPT_CHART!$A$2:$A$390,$A13,_RPT_CHART!$R$2:$R$390,"MISSING")</f>
        <v>3</v>
      </c>
      <c r="P13" s="193" t="str">
        <f>IF(COUNTIFS(_RPT_CHART!$A$2:$A$390,$A13,_RPT_CHART!$R$2:$R$390,"PENDING_DEFINITION")&gt;0,"PENDING_DEFINITION",IF(N13=0,"NO_DATA",IF(N13&lt;O13,"PARTIAL","COMPLETE")))</f>
        <v>PARTIAL</v>
      </c>
      <c r="Q13" s="193" t="str">
        <f>MID(IF(COUNTIFS(_RPT_CHART!$A$2:$A$390,$A13,_RPT_CHART!$M$2:$M$390,"Monthly")&gt;0,", Monthly","")&amp;IF(COUNTIFS(_RPT_CHART!$A$2:$A$390,$A13,_RPT_CHART!$M$2:$M$390,"YTD")&gt;0,", YTD","")&amp;IF(COUNTIFS(_RPT_CHART!$A$2:$A$390,$A13,_RPT_CHART!$M$2:$M$390,"Month-end")&gt;0,", Month-end","")&amp;IF(COUNTIFS(_RPT_CHART!$A$2:$A$390,$A13,_RPT_CHART!$M$2:$M$390,"n/a")&gt;0,", n/a",""),3,60)</f>
        <v>Month-end</v>
      </c>
      <c r="R13" s="193" t="str">
        <f>IFERROR(INDEX(_RPT_CHART!$J$2:$J$390,MATCH($A13,_RPT_CHART!$A$2:$A$390,0)),"")</f>
        <v>deviations</v>
      </c>
      <c r="S13" t="s">
        <v>1377</v>
      </c>
      <c r="T13" s="193" t="str">
        <f t="shared" si="0"/>
        <v>Compressor Plant</v>
      </c>
      <c r="U13" s="193">
        <f>COUNTIF(_RPT_CHART!$A$2:$A$390,$A13)</f>
        <v>12</v>
      </c>
      <c r="V13" s="193">
        <f t="shared" si="1"/>
        <v>1</v>
      </c>
      <c r="W13" s="193" t="str">
        <f t="shared" si="2"/>
        <v>OK</v>
      </c>
      <c r="X13" s="193" t="str">
        <f t="shared" si="3"/>
        <v>OK</v>
      </c>
      <c r="Y13" s="193" t="str">
        <f>IF(AND(LEN(TRIM(F13))&gt;0,SUMPRODUCT((_RPT_CHART!$A$2:$A$390=$A13)*ISERROR(SEARCH(_RPT_CHART!$K$2:$K$390,F13)))=0),"OK","ERROR")</f>
        <v>OK</v>
      </c>
      <c r="Z13" s="193" t="str">
        <f>IF(AND(SUMPRODUCT((_RPT_CHART!$A$2:$A$390=$A13)*ISERROR(SEARCH(","&amp;_RPT_CHART!$B$2:$B$390&amp;",",","&amp;SUBSTITUTE(I13," ","")&amp;",")))=0,LEN(SUBSTITUTE(I13," ",""))-LEN(SUBSTITUTE(SUBSTITUTE(I13," ",""),",",""))+1=COUNTIFS(_RPT_CHART!$A$2:$A$390,$A13,_RPT_CHART!$E$2:$E$390,1)),"OK","ERROR")</f>
        <v>OK</v>
      </c>
      <c r="AA13" s="193" t="str">
        <f>IF(AND(LEN(Q13)&gt;0,SUMPRODUCT((_RPT_CHART!$A$2:$A$390=$A13)*(LEN(_RPT_CHART!$M$2:$M$390)=0))=0),"OK","ERROR")</f>
        <v>OK</v>
      </c>
      <c r="AB13" s="193" t="str">
        <f>IF(AND(LEN(TRIM(J13))&gt;0,SUMPRODUCT((_RPT_CHART!$A$2:$A$390=$A13)*(LEN(_RPT_CHART!$I$2:$I$390)&gt;0)*(1-ISNUMBER(_RPT_CHART!$I$2:$I$390)))=0,IF(LEFT(TRIM(J13),2)="No",SUMPRODUCT((_RPT_CHART!$A$2:$A$390=$A13)*ISNUMBER(_RPT_CHART!$I$2:$I$390))=0,TRUE())),"OK","ERROR")</f>
        <v>OK</v>
      </c>
      <c r="AC13" s="193" t="str">
        <f>IF(AND(LEN(R13)&gt;0,SUMPRODUCT((_RPT_CHART!$A$2:$A$390=$A13)*(_RPT_CHART!$J$2:$J$390&lt;&gt;R13))=0),"OK","ERROR")</f>
        <v>OK</v>
      </c>
      <c r="AD13" s="193" t="str">
        <f t="shared" si="4"/>
        <v>OK</v>
      </c>
      <c r="AE13" s="193" t="str">
        <f>IF(AND(OR(P13="COMPLETE",P13="PARTIAL",P13="NO_DATA",P13="PENDING_DEFINITION"),N13&gt;=0,N13&lt;=O13,SUMPRODUCT((_RPT_CHART!$A$2:$A$390=$A13)*(_RPT_CHART!$L$2:$L$390="OK")*(_RPT_CHART!$N$2:$N$390="NO_DATA"))=0,SUMPRODUCT((_RPT_CHART!$A$2:$A$390=$A13)*(_RPT_CHART!$R$2:$R$390="MISSING")*(_RPT_CHART!$N$2:$N$390&lt;&gt;"NO_DATA"))=0),"OK","ERROR")</f>
        <v>OK</v>
      </c>
      <c r="AF13" s="193" t="str">
        <f>IF(AND(LEN(TRIM(K13))&gt;0,SUMPRODUCT((_RPT_CHART!$A$2:$A$390=$A13)*(_RPT_CHART!$R$2:$R$390&lt;&gt;"OK")*ISNUMBER(_RPT_CHART!$H$2:$H$390))=0,COUNTIFS(_RPT_CHART!$A$2:$A$390,$A13,_RPT_CHART!$R$2:$R$390,"CHECK")=0),"OK","ERROR")</f>
        <v>OK</v>
      </c>
      <c r="AG13" s="193" t="str">
        <f t="shared" si="5"/>
        <v>OK</v>
      </c>
      <c r="AH13" s="193" t="str">
        <f t="shared" si="6"/>
        <v>1 of 3 in-scope points without data (shown as gap)</v>
      </c>
    </row>
    <row r="14" spans="1:34" ht="13.5" customHeight="1" x14ac:dyDescent="0.3">
      <c r="A14" t="s">
        <v>1154</v>
      </c>
      <c r="B14">
        <v>3</v>
      </c>
      <c r="C14">
        <v>1</v>
      </c>
      <c r="D14" t="s">
        <v>1378</v>
      </c>
      <c r="E14" t="s">
        <v>1379</v>
      </c>
      <c r="F14" t="s">
        <v>1333</v>
      </c>
      <c r="G14" t="s">
        <v>1307</v>
      </c>
      <c r="H14" t="s">
        <v>1380</v>
      </c>
      <c r="I14" t="s">
        <v>1381</v>
      </c>
      <c r="J14" t="s">
        <v>1301</v>
      </c>
      <c r="K14" t="s">
        <v>1294</v>
      </c>
      <c r="L14" t="s">
        <v>1382</v>
      </c>
      <c r="M14" t="s">
        <v>1383</v>
      </c>
      <c r="N14" s="193">
        <f>COUNTIFS(_RPT_CHART!$A$2:$A$390,$A14,_RPT_CHART!$R$2:$R$390,"OK")</f>
        <v>8</v>
      </c>
      <c r="O14" s="193">
        <f>COUNTIFS(_RPT_CHART!$A$2:$A$390,$A14,_RPT_CHART!$R$2:$R$390,"OK")+COUNTIFS(_RPT_CHART!$A$2:$A$390,$A14,_RPT_CHART!$R$2:$R$390,"MISSING")</f>
        <v>12</v>
      </c>
      <c r="P14" s="193" t="str">
        <f>IF(COUNTIFS(_RPT_CHART!$A$2:$A$390,$A14,_RPT_CHART!$R$2:$R$390,"PENDING_DEFINITION")&gt;0,"PENDING_DEFINITION",IF(N14=0,"NO_DATA",IF(N14&lt;O14,"PARTIAL","COMPLETE")))</f>
        <v>PARTIAL</v>
      </c>
      <c r="Q14" s="193" t="str">
        <f>MID(IF(COUNTIFS(_RPT_CHART!$A$2:$A$390,$A14,_RPT_CHART!$M$2:$M$390,"Monthly")&gt;0,", Monthly","")&amp;IF(COUNTIFS(_RPT_CHART!$A$2:$A$390,$A14,_RPT_CHART!$M$2:$M$390,"YTD")&gt;0,", YTD","")&amp;IF(COUNTIFS(_RPT_CHART!$A$2:$A$390,$A14,_RPT_CHART!$M$2:$M$390,"Month-end")&gt;0,", Month-end","")&amp;IF(COUNTIFS(_RPT_CHART!$A$2:$A$390,$A14,_RPT_CHART!$M$2:$M$390,"n/a")&gt;0,", n/a",""),3,60)</f>
        <v>Monthly, YTD</v>
      </c>
      <c r="R14" s="193" t="str">
        <f>IFERROR(INDEX(_RPT_CHART!$J$2:$J$390,MATCH($A14,_RPT_CHART!$A$2:$A$390,0)),"")</f>
        <v>events / 10^6 km</v>
      </c>
      <c r="S14" t="s">
        <v>1297</v>
      </c>
      <c r="T14" s="193" t="str">
        <f t="shared" si="0"/>
        <v>Compressor Plant</v>
      </c>
      <c r="U14" s="193">
        <f>COUNTIF(_RPT_CHART!$A$2:$A$390,$A14)</f>
        <v>48</v>
      </c>
      <c r="V14" s="193">
        <f t="shared" si="1"/>
        <v>4</v>
      </c>
      <c r="W14" s="193" t="str">
        <f t="shared" si="2"/>
        <v>OK</v>
      </c>
      <c r="X14" s="193" t="str">
        <f t="shared" si="3"/>
        <v>OK</v>
      </c>
      <c r="Y14" s="193" t="str">
        <f>IF(AND(LEN(TRIM(F14))&gt;0,SUMPRODUCT((_RPT_CHART!$A$2:$A$390=$A14)*ISERROR(SEARCH(_RPT_CHART!$K$2:$K$390,F14)))=0),"OK","ERROR")</f>
        <v>OK</v>
      </c>
      <c r="Z14" s="193" t="str">
        <f>IF(AND(SUMPRODUCT((_RPT_CHART!$A$2:$A$390=$A14)*ISERROR(SEARCH(","&amp;_RPT_CHART!$B$2:$B$390&amp;",",","&amp;SUBSTITUTE(I14," ","")&amp;",")))=0,LEN(SUBSTITUTE(I14," ",""))-LEN(SUBSTITUTE(SUBSTITUTE(I14," ",""),",",""))+1=COUNTIFS(_RPT_CHART!$A$2:$A$390,$A14,_RPT_CHART!$E$2:$E$390,1)),"OK","ERROR")</f>
        <v>OK</v>
      </c>
      <c r="AA14" s="193" t="str">
        <f>IF(AND(LEN(Q14)&gt;0,SUMPRODUCT((_RPT_CHART!$A$2:$A$390=$A14)*(LEN(_RPT_CHART!$M$2:$M$390)=0))=0),"OK","ERROR")</f>
        <v>OK</v>
      </c>
      <c r="AB14" s="193" t="str">
        <f>IF(AND(LEN(TRIM(J14))&gt;0,SUMPRODUCT((_RPT_CHART!$A$2:$A$390=$A14)*(LEN(_RPT_CHART!$I$2:$I$390)&gt;0)*(1-ISNUMBER(_RPT_CHART!$I$2:$I$390)))=0,IF(LEFT(TRIM(J14),2)="No",SUMPRODUCT((_RPT_CHART!$A$2:$A$390=$A14)*ISNUMBER(_RPT_CHART!$I$2:$I$390))=0,TRUE())),"OK","ERROR")</f>
        <v>OK</v>
      </c>
      <c r="AC14" s="193" t="str">
        <f>IF(AND(LEN(R14)&gt;0,SUMPRODUCT((_RPT_CHART!$A$2:$A$390=$A14)*(_RPT_CHART!$J$2:$J$390&lt;&gt;R14))=0),"OK","ERROR")</f>
        <v>OK</v>
      </c>
      <c r="AD14" s="193" t="str">
        <f t="shared" si="4"/>
        <v>OK</v>
      </c>
      <c r="AE14" s="193" t="str">
        <f>IF(AND(OR(P14="COMPLETE",P14="PARTIAL",P14="NO_DATA",P14="PENDING_DEFINITION"),N14&gt;=0,N14&lt;=O14,SUMPRODUCT((_RPT_CHART!$A$2:$A$390=$A14)*(_RPT_CHART!$L$2:$L$390="OK")*(_RPT_CHART!$N$2:$N$390="NO_DATA"))=0,SUMPRODUCT((_RPT_CHART!$A$2:$A$390=$A14)*(_RPT_CHART!$R$2:$R$390="MISSING")*(_RPT_CHART!$N$2:$N$390&lt;&gt;"NO_DATA"))=0),"OK","ERROR")</f>
        <v>OK</v>
      </c>
      <c r="AF14" s="193" t="str">
        <f>IF(AND(LEN(TRIM(K14))&gt;0,SUMPRODUCT((_RPT_CHART!$A$2:$A$390=$A14)*(_RPT_CHART!$R$2:$R$390&lt;&gt;"OK")*ISNUMBER(_RPT_CHART!$H$2:$H$390))=0,COUNTIFS(_RPT_CHART!$A$2:$A$390,$A14,_RPT_CHART!$R$2:$R$390,"CHECK")=0),"OK","ERROR")</f>
        <v>OK</v>
      </c>
      <c r="AG14" s="193" t="str">
        <f t="shared" si="5"/>
        <v>OK</v>
      </c>
      <c r="AH14" s="193" t="str">
        <f t="shared" si="6"/>
        <v>4 of 12 in-scope points without data (shown as gap)</v>
      </c>
    </row>
    <row r="15" spans="1:34" ht="13.5" customHeight="1" x14ac:dyDescent="0.3">
      <c r="A15" t="s">
        <v>1164</v>
      </c>
      <c r="B15">
        <v>3</v>
      </c>
      <c r="C15">
        <v>2</v>
      </c>
      <c r="D15" t="s">
        <v>1384</v>
      </c>
      <c r="E15" t="s">
        <v>1385</v>
      </c>
      <c r="F15" t="s">
        <v>1315</v>
      </c>
      <c r="G15" t="s">
        <v>1307</v>
      </c>
      <c r="H15" t="s">
        <v>1386</v>
      </c>
      <c r="I15" t="s">
        <v>1060</v>
      </c>
      <c r="J15" t="s">
        <v>230</v>
      </c>
      <c r="K15" t="s">
        <v>1294</v>
      </c>
      <c r="L15" t="s">
        <v>1387</v>
      </c>
      <c r="M15" t="s">
        <v>1388</v>
      </c>
      <c r="N15" s="193">
        <f>COUNTIFS(_RPT_CHART!$A$2:$A$390,$A15,_RPT_CHART!$R$2:$R$390,"OK")</f>
        <v>2</v>
      </c>
      <c r="O15" s="193">
        <f>COUNTIFS(_RPT_CHART!$A$2:$A$390,$A15,_RPT_CHART!$R$2:$R$390,"OK")+COUNTIFS(_RPT_CHART!$A$2:$A$390,$A15,_RPT_CHART!$R$2:$R$390,"MISSING")</f>
        <v>3</v>
      </c>
      <c r="P15" s="193" t="str">
        <f>IF(COUNTIFS(_RPT_CHART!$A$2:$A$390,$A15,_RPT_CHART!$R$2:$R$390,"PENDING_DEFINITION")&gt;0,"PENDING_DEFINITION",IF(N15=0,"NO_DATA",IF(N15&lt;O15,"PARTIAL","COMPLETE")))</f>
        <v>PARTIAL</v>
      </c>
      <c r="Q15" s="193" t="str">
        <f>MID(IF(COUNTIFS(_RPT_CHART!$A$2:$A$390,$A15,_RPT_CHART!$M$2:$M$390,"Monthly")&gt;0,", Monthly","")&amp;IF(COUNTIFS(_RPT_CHART!$A$2:$A$390,$A15,_RPT_CHART!$M$2:$M$390,"YTD")&gt;0,", YTD","")&amp;IF(COUNTIFS(_RPT_CHART!$A$2:$A$390,$A15,_RPT_CHART!$M$2:$M$390,"Month-end")&gt;0,", Month-end","")&amp;IF(COUNTIFS(_RPT_CHART!$A$2:$A$390,$A15,_RPT_CHART!$M$2:$M$390,"n/a")&gt;0,", n/a",""),3,60)</f>
        <v>Monthly</v>
      </c>
      <c r="R15" s="193" t="str">
        <f>IFERROR(INDEX(_RPT_CHART!$J$2:$J$390,MATCH($A15,_RPT_CHART!$A$2:$A$390,0)),"")</f>
        <v>km</v>
      </c>
      <c r="S15" t="s">
        <v>1389</v>
      </c>
      <c r="T15" s="193" t="str">
        <f t="shared" si="0"/>
        <v>Compressor Plant</v>
      </c>
      <c r="U15" s="193">
        <f>COUNTIF(_RPT_CHART!$A$2:$A$390,$A15)</f>
        <v>12</v>
      </c>
      <c r="V15" s="193">
        <f t="shared" si="1"/>
        <v>1</v>
      </c>
      <c r="W15" s="193" t="str">
        <f t="shared" si="2"/>
        <v>OK</v>
      </c>
      <c r="X15" s="193" t="str">
        <f t="shared" si="3"/>
        <v>OK</v>
      </c>
      <c r="Y15" s="193" t="str">
        <f>IF(AND(LEN(TRIM(F15))&gt;0,SUMPRODUCT((_RPT_CHART!$A$2:$A$390=$A15)*ISERROR(SEARCH(_RPT_CHART!$K$2:$K$390,F15)))=0),"OK","ERROR")</f>
        <v>OK</v>
      </c>
      <c r="Z15" s="193" t="str">
        <f>IF(AND(SUMPRODUCT((_RPT_CHART!$A$2:$A$390=$A15)*ISERROR(SEARCH(","&amp;_RPT_CHART!$B$2:$B$390&amp;",",","&amp;SUBSTITUTE(I15," ","")&amp;",")))=0,LEN(SUBSTITUTE(I15," ",""))-LEN(SUBSTITUTE(SUBSTITUTE(I15," ",""),",",""))+1=COUNTIFS(_RPT_CHART!$A$2:$A$390,$A15,_RPT_CHART!$E$2:$E$390,1)),"OK","ERROR")</f>
        <v>OK</v>
      </c>
      <c r="AA15" s="193" t="str">
        <f>IF(AND(LEN(Q15)&gt;0,SUMPRODUCT((_RPT_CHART!$A$2:$A$390=$A15)*(LEN(_RPT_CHART!$M$2:$M$390)=0))=0),"OK","ERROR")</f>
        <v>OK</v>
      </c>
      <c r="AB15" s="193" t="str">
        <f>IF(AND(LEN(TRIM(J15))&gt;0,SUMPRODUCT((_RPT_CHART!$A$2:$A$390=$A15)*(LEN(_RPT_CHART!$I$2:$I$390)&gt;0)*(1-ISNUMBER(_RPT_CHART!$I$2:$I$390)))=0,IF(LEFT(TRIM(J15),2)="No",SUMPRODUCT((_RPT_CHART!$A$2:$A$390=$A15)*ISNUMBER(_RPT_CHART!$I$2:$I$390))=0,TRUE())),"OK","ERROR")</f>
        <v>OK</v>
      </c>
      <c r="AC15" s="193" t="str">
        <f>IF(AND(LEN(R15)&gt;0,SUMPRODUCT((_RPT_CHART!$A$2:$A$390=$A15)*(_RPT_CHART!$J$2:$J$390&lt;&gt;R15))=0),"OK","ERROR")</f>
        <v>OK</v>
      </c>
      <c r="AD15" s="193" t="str">
        <f t="shared" si="4"/>
        <v>OK</v>
      </c>
      <c r="AE15" s="193" t="str">
        <f>IF(AND(OR(P15="COMPLETE",P15="PARTIAL",P15="NO_DATA",P15="PENDING_DEFINITION"),N15&gt;=0,N15&lt;=O15,SUMPRODUCT((_RPT_CHART!$A$2:$A$390=$A15)*(_RPT_CHART!$L$2:$L$390="OK")*(_RPT_CHART!$N$2:$N$390="NO_DATA"))=0,SUMPRODUCT((_RPT_CHART!$A$2:$A$390=$A15)*(_RPT_CHART!$R$2:$R$390="MISSING")*(_RPT_CHART!$N$2:$N$390&lt;&gt;"NO_DATA"))=0),"OK","ERROR")</f>
        <v>OK</v>
      </c>
      <c r="AF15" s="193" t="str">
        <f>IF(AND(LEN(TRIM(K15))&gt;0,SUMPRODUCT((_RPT_CHART!$A$2:$A$390=$A15)*(_RPT_CHART!$R$2:$R$390&lt;&gt;"OK")*ISNUMBER(_RPT_CHART!$H$2:$H$390))=0,COUNTIFS(_RPT_CHART!$A$2:$A$390,$A15,_RPT_CHART!$R$2:$R$390,"CHECK")=0),"OK","ERROR")</f>
        <v>OK</v>
      </c>
      <c r="AG15" s="193" t="str">
        <f t="shared" si="5"/>
        <v>OK</v>
      </c>
      <c r="AH15" s="193" t="str">
        <f t="shared" si="6"/>
        <v>1 of 3 in-scope points without data (shown as gap)</v>
      </c>
    </row>
    <row r="16" spans="1:34" ht="13.5" customHeight="1" x14ac:dyDescent="0.3">
      <c r="A16" t="s">
        <v>1176</v>
      </c>
      <c r="B16">
        <v>8</v>
      </c>
      <c r="C16">
        <v>1</v>
      </c>
      <c r="D16" t="s">
        <v>1178</v>
      </c>
      <c r="E16" t="s">
        <v>1390</v>
      </c>
      <c r="F16" t="s">
        <v>1391</v>
      </c>
      <c r="G16" t="s">
        <v>1179</v>
      </c>
      <c r="H16" t="s">
        <v>1179</v>
      </c>
      <c r="I16" t="s">
        <v>1177</v>
      </c>
      <c r="J16" t="s">
        <v>230</v>
      </c>
      <c r="K16" t="s">
        <v>1392</v>
      </c>
      <c r="L16" t="s">
        <v>1393</v>
      </c>
      <c r="M16" t="s">
        <v>1179</v>
      </c>
      <c r="N16" s="193">
        <f>COUNTIFS(_RPT_CHART!$A$2:$A$390,$A16,_RPT_CHART!$R$2:$R$390,"OK")</f>
        <v>0</v>
      </c>
      <c r="O16" s="193">
        <f>COUNTIFS(_RPT_CHART!$A$2:$A$390,$A16,_RPT_CHART!$R$2:$R$390,"OK")+COUNTIFS(_RPT_CHART!$A$2:$A$390,$A16,_RPT_CHART!$R$2:$R$390,"MISSING")</f>
        <v>0</v>
      </c>
      <c r="P16" s="193" t="str">
        <f>IF(COUNTIFS(_RPT_CHART!$A$2:$A$390,$A16,_RPT_CHART!$R$2:$R$390,"PENDING_DEFINITION")&gt;0,"PENDING_DEFINITION",IF(N16=0,"NO_DATA",IF(N16&lt;O16,"PARTIAL","COMPLETE")))</f>
        <v>PENDING_DEFINITION</v>
      </c>
      <c r="Q16" s="193" t="str">
        <f>MID(IF(COUNTIFS(_RPT_CHART!$A$2:$A$390,$A16,_RPT_CHART!$M$2:$M$390,"Monthly")&gt;0,", Monthly","")&amp;IF(COUNTIFS(_RPT_CHART!$A$2:$A$390,$A16,_RPT_CHART!$M$2:$M$390,"YTD")&gt;0,", YTD","")&amp;IF(COUNTIFS(_RPT_CHART!$A$2:$A$390,$A16,_RPT_CHART!$M$2:$M$390,"Month-end")&gt;0,", Month-end","")&amp;IF(COUNTIFS(_RPT_CHART!$A$2:$A$390,$A16,_RPT_CHART!$M$2:$M$390,"n/a")&gt;0,", n/a",""),3,60)</f>
        <v>n/a</v>
      </c>
      <c r="R16" s="193" t="str">
        <f>IFERROR(INDEX(_RPT_CHART!$J$2:$J$390,MATCH($A16,_RPT_CHART!$A$2:$A$390,0)),"")</f>
        <v>n/a</v>
      </c>
      <c r="S16" t="s">
        <v>1394</v>
      </c>
      <c r="T16" s="193" t="str">
        <f t="shared" si="0"/>
        <v>Compressor Plant</v>
      </c>
      <c r="U16" s="193">
        <f>COUNTIF(_RPT_CHART!$A$2:$A$390,$A16)</f>
        <v>1</v>
      </c>
      <c r="V16" s="193">
        <f t="shared" si="1"/>
        <v>0</v>
      </c>
      <c r="W16" s="193" t="str">
        <f t="shared" si="2"/>
        <v>OK</v>
      </c>
      <c r="X16" s="193" t="str">
        <f t="shared" si="3"/>
        <v>OK</v>
      </c>
      <c r="Y16" s="193" t="str">
        <f>IF(AND(LEN(TRIM(F16))&gt;0,SUMPRODUCT((_RPT_CHART!$A$2:$A$390=$A16)*ISERROR(SEARCH(_RPT_CHART!$K$2:$K$390,F16)))=0),"OK","ERROR")</f>
        <v>OK</v>
      </c>
      <c r="Z16" s="193" t="str">
        <f>IF(AND(SUMPRODUCT((_RPT_CHART!$A$2:$A$390=$A16)*ISERROR(SEARCH(","&amp;_RPT_CHART!$B$2:$B$390&amp;",",","&amp;SUBSTITUTE(I16," ","")&amp;",")))=0,LEN(SUBSTITUTE(I16," ",""))-LEN(SUBSTITUTE(SUBSTITUTE(I16," ",""),",",""))+1=COUNTIFS(_RPT_CHART!$A$2:$A$390,$A16,_RPT_CHART!$E$2:$E$390,1)),"OK","ERROR")</f>
        <v>OK</v>
      </c>
      <c r="AA16" s="193" t="str">
        <f>IF(AND(LEN(Q16)&gt;0,SUMPRODUCT((_RPT_CHART!$A$2:$A$390=$A16)*(LEN(_RPT_CHART!$M$2:$M$390)=0))=0),"OK","ERROR")</f>
        <v>OK</v>
      </c>
      <c r="AB16" s="193" t="str">
        <f>IF(AND(LEN(TRIM(J16))&gt;0,SUMPRODUCT((_RPT_CHART!$A$2:$A$390=$A16)*(LEN(_RPT_CHART!$I$2:$I$390)&gt;0)*(1-ISNUMBER(_RPT_CHART!$I$2:$I$390)))=0,IF(LEFT(TRIM(J16),2)="No",SUMPRODUCT((_RPT_CHART!$A$2:$A$390=$A16)*ISNUMBER(_RPT_CHART!$I$2:$I$390))=0,TRUE())),"OK","ERROR")</f>
        <v>OK</v>
      </c>
      <c r="AC16" s="193" t="str">
        <f>IF(AND(LEN(R16)&gt;0,SUMPRODUCT((_RPT_CHART!$A$2:$A$390=$A16)*(_RPT_CHART!$J$2:$J$390&lt;&gt;R16))=0),"OK","ERROR")</f>
        <v>OK</v>
      </c>
      <c r="AD16" s="193" t="str">
        <f t="shared" si="4"/>
        <v>OK</v>
      </c>
      <c r="AE16" s="193" t="str">
        <f>IF(AND(OR(P16="COMPLETE",P16="PARTIAL",P16="NO_DATA",P16="PENDING_DEFINITION"),N16&gt;=0,N16&lt;=O16,SUMPRODUCT((_RPT_CHART!$A$2:$A$390=$A16)*(_RPT_CHART!$L$2:$L$390="OK")*(_RPT_CHART!$N$2:$N$390="NO_DATA"))=0,SUMPRODUCT((_RPT_CHART!$A$2:$A$390=$A16)*(_RPT_CHART!$R$2:$R$390="MISSING")*(_RPT_CHART!$N$2:$N$390&lt;&gt;"NO_DATA"))=0),"OK","ERROR")</f>
        <v>OK</v>
      </c>
      <c r="AF16" s="193" t="str">
        <f>IF(AND(LEN(TRIM(K16))&gt;0,SUMPRODUCT((_RPT_CHART!$A$2:$A$390=$A16)*(_RPT_CHART!$R$2:$R$390&lt;&gt;"OK")*ISNUMBER(_RPT_CHART!$H$2:$H$390))=0,COUNTIFS(_RPT_CHART!$A$2:$A$390,$A16,_RPT_CHART!$R$2:$R$390,"CHECK")=0),"OK","ERROR")</f>
        <v>OK</v>
      </c>
      <c r="AG16" s="193" t="str">
        <f t="shared" si="5"/>
        <v>OK</v>
      </c>
      <c r="AH16" s="193" t="str">
        <f t="shared" si="6"/>
        <v>Environmental KPIs not yet defined; no values generated</v>
      </c>
    </row>
    <row r="17" spans="1:1" ht="13.5" customHeight="1" x14ac:dyDescent="0.3"/>
    <row r="18" spans="1:1" ht="13.5" customHeight="1" x14ac:dyDescent="0.3"/>
    <row r="19" spans="1:1" ht="13.5" customHeight="1" x14ac:dyDescent="0.3">
      <c r="A19" s="97" t="s">
        <v>1395</v>
      </c>
    </row>
    <row r="20" spans="1:1" ht="13.5" customHeight="1" x14ac:dyDescent="0.3">
      <c r="A20" s="98" t="s">
        <v>1396</v>
      </c>
    </row>
    <row r="21" spans="1:1" ht="13.5" customHeight="1" x14ac:dyDescent="0.3">
      <c r="A21" s="98" t="s">
        <v>1397</v>
      </c>
    </row>
    <row r="22" spans="1:1" ht="13.5" customHeight="1" x14ac:dyDescent="0.3">
      <c r="A22" s="98" t="s">
        <v>1398</v>
      </c>
    </row>
    <row r="23" spans="1:1" ht="13.5" customHeight="1" x14ac:dyDescent="0.3">
      <c r="A23" s="98" t="s">
        <v>1399</v>
      </c>
    </row>
    <row r="24" spans="1:1" ht="13.5" customHeight="1" x14ac:dyDescent="0.3">
      <c r="A24" s="98" t="s">
        <v>1400</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P2:P16">
    <cfRule type="cellIs" dxfId="5" priority="4" operator="equal">
      <formula>"COMPLETE"</formula>
    </cfRule>
    <cfRule type="cellIs" dxfId="4" priority="5" operator="equal">
      <formula>"PARTIAL"</formula>
    </cfRule>
    <cfRule type="cellIs" dxfId="3" priority="6" operator="equal">
      <formula>"NO_DATA"</formula>
    </cfRule>
    <cfRule type="cellIs" dxfId="2" priority="7" operator="equal">
      <formula>"PENDING_DEFINITION"</formula>
    </cfRule>
  </conditionalFormatting>
  <conditionalFormatting sqref="W2:AF16">
    <cfRule type="cellIs" dxfId="1" priority="2" operator="equal">
      <formula>"ERROR"</formula>
    </cfRule>
  </conditionalFormatting>
  <conditionalFormatting sqref="AG2:AG16">
    <cfRule type="cellIs" dxfId="0" priority="3" operator="equal">
      <formula>"REVIEW"</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A573-02C9-4227-B7BE-0D23400E6353}">
  <dimension ref="A1:E26"/>
  <sheetViews>
    <sheetView workbookViewId="0"/>
  </sheetViews>
  <sheetFormatPr baseColWidth="10" defaultColWidth="11.5546875" defaultRowHeight="14.4" x14ac:dyDescent="0.3"/>
  <cols>
    <col min="1" max="1" width="16.44140625" style="108" customWidth="1"/>
    <col min="2" max="2" width="30.5546875" style="108" customWidth="1"/>
    <col min="3" max="4" width="82.21875" style="108" customWidth="1"/>
    <col min="5" max="5" width="14.109375" style="108" customWidth="1"/>
  </cols>
  <sheetData>
    <row r="1" spans="1:5" ht="13.5" customHeight="1" x14ac:dyDescent="0.3">
      <c r="A1" s="7" t="s">
        <v>1401</v>
      </c>
      <c r="B1" s="7" t="s">
        <v>1402</v>
      </c>
      <c r="C1" s="7" t="s">
        <v>1403</v>
      </c>
      <c r="D1" s="7" t="s">
        <v>1404</v>
      </c>
      <c r="E1" s="7" t="s">
        <v>1405</v>
      </c>
    </row>
    <row r="2" spans="1:5" ht="13.5" customHeight="1" x14ac:dyDescent="0.3">
      <c r="A2" t="s">
        <v>1086</v>
      </c>
      <c r="B2" t="s">
        <v>1406</v>
      </c>
      <c r="C2" t="s">
        <v>1407</v>
      </c>
      <c r="D2" t="s">
        <v>1408</v>
      </c>
      <c r="E2" t="s">
        <v>1409</v>
      </c>
    </row>
    <row r="3" spans="1:5" ht="13.5" customHeight="1" x14ac:dyDescent="0.3">
      <c r="A3" t="s">
        <v>1086</v>
      </c>
      <c r="B3" t="s">
        <v>1410</v>
      </c>
      <c r="C3" t="s">
        <v>1411</v>
      </c>
      <c r="D3" t="s">
        <v>1412</v>
      </c>
      <c r="E3" t="s">
        <v>1413</v>
      </c>
    </row>
    <row r="4" spans="1:5" ht="13.5" customHeight="1" x14ac:dyDescent="0.3">
      <c r="A4" t="s">
        <v>1086</v>
      </c>
      <c r="B4" t="s">
        <v>1414</v>
      </c>
      <c r="C4" t="s">
        <v>1415</v>
      </c>
      <c r="D4" t="s">
        <v>1416</v>
      </c>
      <c r="E4">
        <v>757575</v>
      </c>
    </row>
    <row r="5" spans="1:5" ht="13.5" customHeight="1" x14ac:dyDescent="0.3">
      <c r="A5" t="s">
        <v>1086</v>
      </c>
      <c r="B5" t="s">
        <v>1417</v>
      </c>
      <c r="C5" t="s">
        <v>1418</v>
      </c>
      <c r="D5" t="s">
        <v>1419</v>
      </c>
      <c r="E5" t="s">
        <v>1420</v>
      </c>
    </row>
    <row r="6" spans="1:5" ht="13.5" customHeight="1" x14ac:dyDescent="0.3">
      <c r="A6" t="s">
        <v>1086</v>
      </c>
      <c r="B6" t="s">
        <v>1421</v>
      </c>
      <c r="C6" t="s">
        <v>1422</v>
      </c>
      <c r="D6" t="s">
        <v>1423</v>
      </c>
      <c r="E6">
        <v>757575</v>
      </c>
    </row>
    <row r="7" spans="1:5" ht="13.5" customHeight="1" x14ac:dyDescent="0.3">
      <c r="A7" t="s">
        <v>1086</v>
      </c>
      <c r="B7" t="s">
        <v>1181</v>
      </c>
      <c r="C7" t="s">
        <v>1424</v>
      </c>
      <c r="D7" t="s">
        <v>1425</v>
      </c>
      <c r="E7" t="s">
        <v>1426</v>
      </c>
    </row>
    <row r="8" spans="1:5" ht="13.5" customHeight="1" x14ac:dyDescent="0.3">
      <c r="A8" t="s">
        <v>1042</v>
      </c>
      <c r="B8" t="s">
        <v>1427</v>
      </c>
      <c r="C8" t="s">
        <v>1428</v>
      </c>
      <c r="D8" t="s">
        <v>1429</v>
      </c>
    </row>
    <row r="9" spans="1:5" ht="13.5" customHeight="1" x14ac:dyDescent="0.3">
      <c r="A9" t="s">
        <v>1042</v>
      </c>
      <c r="B9" t="s">
        <v>1430</v>
      </c>
      <c r="C9" t="s">
        <v>1431</v>
      </c>
      <c r="D9" t="s">
        <v>1432</v>
      </c>
    </row>
    <row r="10" spans="1:5" ht="13.5" customHeight="1" x14ac:dyDescent="0.3">
      <c r="A10" t="s">
        <v>1042</v>
      </c>
      <c r="B10" t="s">
        <v>1011</v>
      </c>
      <c r="C10" t="s">
        <v>1433</v>
      </c>
      <c r="D10" t="s">
        <v>1434</v>
      </c>
    </row>
    <row r="11" spans="1:5" ht="13.5" customHeight="1" x14ac:dyDescent="0.3">
      <c r="A11" t="s">
        <v>1435</v>
      </c>
      <c r="B11" t="s">
        <v>1436</v>
      </c>
      <c r="C11" t="s">
        <v>1437</v>
      </c>
      <c r="D11" t="s">
        <v>1438</v>
      </c>
    </row>
    <row r="12" spans="1:5" ht="13.5" customHeight="1" x14ac:dyDescent="0.3">
      <c r="A12" t="s">
        <v>1435</v>
      </c>
      <c r="B12" t="s">
        <v>1439</v>
      </c>
      <c r="C12" t="s">
        <v>1440</v>
      </c>
      <c r="D12" t="s">
        <v>1441</v>
      </c>
    </row>
    <row r="13" spans="1:5" ht="13.5" customHeight="1" x14ac:dyDescent="0.3">
      <c r="A13" t="s">
        <v>1435</v>
      </c>
      <c r="B13" t="s">
        <v>962</v>
      </c>
      <c r="C13" t="s">
        <v>1442</v>
      </c>
      <c r="D13" t="s">
        <v>1443</v>
      </c>
    </row>
    <row r="14" spans="1:5" ht="13.5" customHeight="1" x14ac:dyDescent="0.3">
      <c r="A14" t="s">
        <v>1435</v>
      </c>
      <c r="B14" t="s">
        <v>1272</v>
      </c>
      <c r="C14" t="s">
        <v>1444</v>
      </c>
      <c r="D14" t="s">
        <v>1445</v>
      </c>
    </row>
    <row r="15" spans="1:5" ht="13.5" customHeight="1" x14ac:dyDescent="0.3">
      <c r="A15" t="s">
        <v>1036</v>
      </c>
      <c r="B15" t="s">
        <v>1446</v>
      </c>
      <c r="C15" t="s">
        <v>1447</v>
      </c>
      <c r="D15" t="s">
        <v>1448</v>
      </c>
    </row>
    <row r="16" spans="1:5" ht="13.5" customHeight="1" x14ac:dyDescent="0.3">
      <c r="A16" t="s">
        <v>1036</v>
      </c>
      <c r="B16" t="s">
        <v>1449</v>
      </c>
      <c r="C16" t="s">
        <v>1450</v>
      </c>
      <c r="D16" t="s">
        <v>1451</v>
      </c>
    </row>
    <row r="17" spans="1:4" ht="13.5" customHeight="1" x14ac:dyDescent="0.3">
      <c r="A17" t="s">
        <v>1036</v>
      </c>
      <c r="B17" t="s">
        <v>1452</v>
      </c>
      <c r="C17" t="s">
        <v>1453</v>
      </c>
      <c r="D17" t="s">
        <v>1454</v>
      </c>
    </row>
    <row r="18" spans="1:4" ht="13.5" customHeight="1" x14ac:dyDescent="0.3">
      <c r="A18" t="s">
        <v>1085</v>
      </c>
      <c r="B18" t="s">
        <v>1455</v>
      </c>
      <c r="C18" t="s">
        <v>1456</v>
      </c>
      <c r="D18" t="s">
        <v>1457</v>
      </c>
    </row>
    <row r="19" spans="1:4" ht="13.5" customHeight="1" x14ac:dyDescent="0.3">
      <c r="A19" t="s">
        <v>1085</v>
      </c>
      <c r="B19" t="s">
        <v>904</v>
      </c>
      <c r="C19" t="s">
        <v>1458</v>
      </c>
      <c r="D19" t="s">
        <v>1459</v>
      </c>
    </row>
    <row r="20" spans="1:4" ht="13.5" customHeight="1" x14ac:dyDescent="0.3">
      <c r="A20" t="s">
        <v>1460</v>
      </c>
      <c r="B20" t="s">
        <v>1461</v>
      </c>
      <c r="C20" t="s">
        <v>1462</v>
      </c>
      <c r="D20" t="s">
        <v>1463</v>
      </c>
    </row>
    <row r="21" spans="1:4" ht="13.5" customHeight="1" x14ac:dyDescent="0.3">
      <c r="A21" t="s">
        <v>1460</v>
      </c>
      <c r="B21" t="s">
        <v>1464</v>
      </c>
      <c r="C21" t="s">
        <v>1465</v>
      </c>
    </row>
    <row r="22" spans="1:4" ht="13.5" customHeight="1" x14ac:dyDescent="0.3">
      <c r="A22" t="s">
        <v>1460</v>
      </c>
      <c r="B22" t="s">
        <v>1466</v>
      </c>
      <c r="C22" t="s">
        <v>1467</v>
      </c>
    </row>
    <row r="23" spans="1:4" ht="13.5" customHeight="1" x14ac:dyDescent="0.3">
      <c r="A23" t="s">
        <v>1460</v>
      </c>
      <c r="B23" t="s">
        <v>1468</v>
      </c>
      <c r="C23" t="s">
        <v>1469</v>
      </c>
    </row>
    <row r="24" spans="1:4" ht="13.5" customHeight="1" x14ac:dyDescent="0.3">
      <c r="A24" t="s">
        <v>1470</v>
      </c>
      <c r="B24" t="s">
        <v>1471</v>
      </c>
      <c r="C24" t="s">
        <v>1472</v>
      </c>
      <c r="D24" t="s">
        <v>1473</v>
      </c>
    </row>
    <row r="25" spans="1:4" ht="13.5" customHeight="1" x14ac:dyDescent="0.3">
      <c r="A25" t="s">
        <v>1470</v>
      </c>
      <c r="B25" t="s">
        <v>1474</v>
      </c>
      <c r="C25" t="s">
        <v>1475</v>
      </c>
      <c r="D25" t="s">
        <v>1476</v>
      </c>
    </row>
    <row r="26" spans="1:4" ht="13.5" customHeight="1" x14ac:dyDescent="0.3">
      <c r="A26" t="s">
        <v>1470</v>
      </c>
      <c r="B26" t="s">
        <v>1477</v>
      </c>
      <c r="C26" t="s">
        <v>1478</v>
      </c>
      <c r="D26" t="s">
        <v>1479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9AA5-B320-40E9-BA7E-AFC6FD0DCABC}">
  <dimension ref="A1:D26"/>
  <sheetViews>
    <sheetView workbookViewId="0"/>
  </sheetViews>
  <sheetFormatPr baseColWidth="10" defaultColWidth="11.5546875" defaultRowHeight="14.4" x14ac:dyDescent="0.3"/>
  <cols>
    <col min="1" max="1" width="16.44140625" style="108" customWidth="1"/>
    <col min="2" max="2" width="82.21875" style="108" customWidth="1"/>
    <col min="3" max="3" width="51.6640625" style="108" customWidth="1"/>
    <col min="4" max="4" width="14.109375" style="108" customWidth="1"/>
  </cols>
  <sheetData>
    <row r="1" spans="1:4" ht="13.5" customHeight="1" x14ac:dyDescent="0.3">
      <c r="A1" s="7" t="s">
        <v>1480</v>
      </c>
      <c r="B1" s="7" t="s">
        <v>1481</v>
      </c>
      <c r="C1" s="7" t="s">
        <v>1482</v>
      </c>
      <c r="D1" s="7" t="s">
        <v>1483</v>
      </c>
    </row>
    <row r="2" spans="1:4" ht="13.5" customHeight="1" x14ac:dyDescent="0.3">
      <c r="A2" t="s">
        <v>49</v>
      </c>
      <c r="B2" s="193" t="str">
        <f>_RPT_META!F2</f>
        <v>Total Recordable Injury Case Frequency (per 1,000,000 hours worked)</v>
      </c>
      <c r="C2" s="193" t="str">
        <f>_RPT_META!E2</f>
        <v>Frecuencia de casos registrables</v>
      </c>
      <c r="D2">
        <v>2</v>
      </c>
    </row>
    <row r="3" spans="1:4" ht="13.5" customHeight="1" x14ac:dyDescent="0.3">
      <c r="A3" t="s">
        <v>39</v>
      </c>
      <c r="B3" s="193" t="str">
        <f>_RPT_META!F3</f>
        <v>Days Away From Work Case Frequency (per 1,000,000 hours worked)</v>
      </c>
      <c r="C3" s="193" t="str">
        <f>_RPT_META!E3</f>
        <v>Frecuencia de casos con días perdidos</v>
      </c>
      <c r="D3">
        <v>2</v>
      </c>
    </row>
    <row r="4" spans="1:4" ht="13.5" customHeight="1" x14ac:dyDescent="0.3">
      <c r="A4" t="s">
        <v>51</v>
      </c>
      <c r="B4" s="193" t="str">
        <f>_RPT_META!F4</f>
        <v>First Aid Cases</v>
      </c>
      <c r="C4" s="193" t="str">
        <f>_RPT_META!E4</f>
        <v>Casos de primeros auxilios</v>
      </c>
      <c r="D4">
        <v>2</v>
      </c>
    </row>
    <row r="5" spans="1:4" ht="13.5" customHeight="1" x14ac:dyDescent="0.3">
      <c r="A5" t="s">
        <v>61</v>
      </c>
      <c r="B5" s="193" t="str">
        <f>_RPT_META!F5</f>
        <v>Total Vehicle Crash Rate (TVCR), all categories (per 1,000,000 km)</v>
      </c>
      <c r="C5" s="193" t="str">
        <f>_RPT_META!E5</f>
        <v>Accidentes vehiculares totales por millón de km</v>
      </c>
      <c r="D5">
        <v>3</v>
      </c>
    </row>
    <row r="6" spans="1:4" ht="13.5" customHeight="1" x14ac:dyDescent="0.3">
      <c r="A6" t="s">
        <v>57</v>
      </c>
      <c r="B6" s="193" t="str">
        <f>_RPT_META!F6</f>
        <v>Severe Vehicle Crash Rate (SVCR), catastrophic + major + serious (per 1,000,000 km)</v>
      </c>
      <c r="C6" s="193" t="str">
        <f>_RPT_META!E6</f>
        <v>Accidentes vehiculares severos por millón de km</v>
      </c>
      <c r="D6">
        <v>3</v>
      </c>
    </row>
    <row r="7" spans="1:4" ht="13.5" customHeight="1" x14ac:dyDescent="0.3">
      <c r="A7" t="s">
        <v>63</v>
      </c>
      <c r="B7" s="193" t="str">
        <f>_RPT_META!F7</f>
        <v>Safety Observations per person (average headcount)</v>
      </c>
      <c r="C7" s="193" t="str">
        <f>_RPT_META!E7</f>
        <v>Observaciones de seguridad por persona</v>
      </c>
      <c r="D7">
        <v>4</v>
      </c>
    </row>
    <row r="8" spans="1:4" ht="13.5" customHeight="1" x14ac:dyDescent="0.3">
      <c r="A8" t="s">
        <v>76</v>
      </c>
      <c r="B8" s="193" t="str">
        <f>_RPT_META!F8</f>
        <v>Safety training hours as % of hours worked</v>
      </c>
      <c r="C8" s="193" t="str">
        <f>_RPT_META!E8</f>
        <v>% de capacitación en seguridad</v>
      </c>
      <c r="D8">
        <v>4</v>
      </c>
    </row>
    <row r="9" spans="1:4" ht="13.5" customHeight="1" x14ac:dyDescent="0.3">
      <c r="A9" t="s">
        <v>80</v>
      </c>
      <c r="B9" s="193" t="str">
        <f>_RPT_META!F9</f>
        <v>Safety training hours per person</v>
      </c>
      <c r="C9" s="193" t="str">
        <f>_RPT_META!E9</f>
        <v>Horas de capacitación por persona</v>
      </c>
      <c r="D9">
        <v>4</v>
      </c>
    </row>
    <row r="10" spans="1:4" ht="13.5" customHeight="1" x14ac:dyDescent="0.3">
      <c r="A10" t="s">
        <v>83</v>
      </c>
      <c r="B10" s="193" t="str">
        <f>_RPT_META!F10</f>
        <v>Drills completed vs planned (emergency and operational)</v>
      </c>
      <c r="C10" s="193" t="str">
        <f>_RPT_META!E10</f>
        <v>Cumplimiento de simulacros (emergencia y operativos)</v>
      </c>
      <c r="D10">
        <v>4</v>
      </c>
    </row>
    <row r="11" spans="1:4" ht="13.5" customHeight="1" x14ac:dyDescent="0.3">
      <c r="A11" t="s">
        <v>85</v>
      </c>
      <c r="B11" s="193" t="str">
        <f>_RPT_META!F11</f>
        <v>Drill improvement actions implemented vs raised</v>
      </c>
      <c r="C11" s="193" t="str">
        <f>_RPT_META!E11</f>
        <v>Cumplimiento de acciones de mejora de simulacros</v>
      </c>
      <c r="D11">
        <v>4</v>
      </c>
    </row>
    <row r="12" spans="1:4" ht="13.5" customHeight="1" x14ac:dyDescent="0.3">
      <c r="A12" t="s">
        <v>87</v>
      </c>
      <c r="B12" s="193" t="str">
        <f>_RPT_META!F12</f>
        <v>Management safety walkthroughs completed vs planned</v>
      </c>
      <c r="C12" s="193" t="str">
        <f>_RPT_META!E12</f>
        <v>Cumplimiento de caminatas gerenciales</v>
      </c>
      <c r="D12">
        <v>4</v>
      </c>
    </row>
    <row r="13" spans="1:4" ht="13.5" customHeight="1" x14ac:dyDescent="0.3">
      <c r="A13" t="s">
        <v>89</v>
      </c>
      <c r="B13" s="193" t="str">
        <f>_RPT_META!F13</f>
        <v>Safety committees and sub-committees held vs planned</v>
      </c>
      <c r="C13" s="193" t="str">
        <f>_RPT_META!E13</f>
        <v>Cumplimiento de comités de seguridad</v>
      </c>
      <c r="D13">
        <v>4</v>
      </c>
    </row>
    <row r="14" spans="1:4" ht="13.5" customHeight="1" x14ac:dyDescent="0.3">
      <c r="A14" t="s">
        <v>71</v>
      </c>
      <c r="B14" s="193" t="str">
        <f>_RPT_META!F14</f>
        <v>Average days to close incident investigations</v>
      </c>
      <c r="C14" s="193" t="str">
        <f>_RPT_META!E14</f>
        <v>Días promedio de cierre de investigaciones</v>
      </c>
      <c r="D14">
        <v>2</v>
      </c>
    </row>
    <row r="15" spans="1:4" ht="13.5" customHeight="1" x14ac:dyDescent="0.3">
      <c r="A15" t="s">
        <v>91</v>
      </c>
      <c r="B15" s="193" t="str">
        <f>_RPT_META!F15</f>
        <v>Average days to close deviations</v>
      </c>
      <c r="C15" s="193" t="str">
        <f>_RPT_META!E15</f>
        <v>Días promedio para cerrar hallazgos</v>
      </c>
      <c r="D15">
        <v>5</v>
      </c>
    </row>
    <row r="16" spans="1:4" ht="13.5" customHeight="1" x14ac:dyDescent="0.3">
      <c r="A16" t="s">
        <v>96</v>
      </c>
      <c r="B16" s="193" t="str">
        <f>_RPT_META!F16</f>
        <v>High-severity deviations as % of rated deviations</v>
      </c>
      <c r="C16" s="193" t="str">
        <f>_RPT_META!E16</f>
        <v>% de desvíos de gravedad Alta</v>
      </c>
      <c r="D16">
        <v>5</v>
      </c>
    </row>
    <row r="17" spans="1:4" ht="13.5" customHeight="1" x14ac:dyDescent="0.3">
      <c r="A17" t="s">
        <v>98</v>
      </c>
      <c r="B17" s="193" t="str">
        <f>_RPT_META!F17</f>
        <v>Stop-work actions applied (Stop Work Policy)</v>
      </c>
      <c r="C17" s="193" t="str">
        <f>_RPT_META!E17</f>
        <v>Detenciones de tareas aplicadas</v>
      </c>
      <c r="D17">
        <v>5</v>
      </c>
    </row>
    <row r="18" spans="1:4" ht="13.5" customHeight="1" x14ac:dyDescent="0.3">
      <c r="A18" t="s">
        <v>1484</v>
      </c>
      <c r="B18" t="s">
        <v>1058</v>
      </c>
      <c r="C18" t="s">
        <v>1485</v>
      </c>
      <c r="D18" t="s">
        <v>1486</v>
      </c>
    </row>
    <row r="19" spans="1:4" ht="13.5" customHeight="1" x14ac:dyDescent="0.3">
      <c r="A19" t="s">
        <v>1060</v>
      </c>
      <c r="B19" t="s">
        <v>1061</v>
      </c>
      <c r="C19" t="s">
        <v>1062</v>
      </c>
      <c r="D19">
        <v>3</v>
      </c>
    </row>
    <row r="20" spans="1:4" ht="13.5" customHeight="1" x14ac:dyDescent="0.3">
      <c r="A20" t="s">
        <v>601</v>
      </c>
      <c r="B20" t="s">
        <v>1487</v>
      </c>
      <c r="C20" t="s">
        <v>1488</v>
      </c>
      <c r="D20" t="s">
        <v>1489</v>
      </c>
    </row>
    <row r="21" spans="1:4" ht="13.5" customHeight="1" x14ac:dyDescent="0.3">
      <c r="A21" t="s">
        <v>195</v>
      </c>
      <c r="B21" t="s">
        <v>1490</v>
      </c>
      <c r="C21" t="s">
        <v>1491</v>
      </c>
      <c r="D21" t="s">
        <v>1489</v>
      </c>
    </row>
    <row r="22" spans="1:4" ht="13.5" customHeight="1" x14ac:dyDescent="0.3">
      <c r="A22" t="s">
        <v>1492</v>
      </c>
      <c r="B22" t="s">
        <v>1493</v>
      </c>
      <c r="C22" t="s">
        <v>1494</v>
      </c>
      <c r="D22">
        <v>2</v>
      </c>
    </row>
    <row r="23" spans="1:4" ht="13.5" customHeight="1" x14ac:dyDescent="0.3">
      <c r="A23" t="s">
        <v>1495</v>
      </c>
      <c r="B23" t="s">
        <v>1496</v>
      </c>
      <c r="C23" t="s">
        <v>1497</v>
      </c>
      <c r="D23">
        <v>2</v>
      </c>
    </row>
    <row r="24" spans="1:4" ht="13.5" customHeight="1" x14ac:dyDescent="0.3">
      <c r="A24" t="s">
        <v>1498</v>
      </c>
      <c r="B24" t="s">
        <v>1499</v>
      </c>
      <c r="C24" t="s">
        <v>1500</v>
      </c>
      <c r="D24">
        <v>2</v>
      </c>
    </row>
    <row r="25" spans="1:4" ht="13.5" customHeight="1" x14ac:dyDescent="0.3">
      <c r="A25" t="s">
        <v>1501</v>
      </c>
      <c r="B25" t="s">
        <v>1502</v>
      </c>
      <c r="C25" t="s">
        <v>1503</v>
      </c>
      <c r="D25">
        <v>5</v>
      </c>
    </row>
    <row r="26" spans="1:4" ht="13.5" customHeight="1" x14ac:dyDescent="0.3">
      <c r="A26" t="s">
        <v>1504</v>
      </c>
      <c r="B26" t="s">
        <v>1505</v>
      </c>
      <c r="C26" t="s">
        <v>1506</v>
      </c>
      <c r="D26" t="s">
        <v>1489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FF41-A65C-44A2-849F-0FBE058178E0}">
  <dimension ref="A1:K71"/>
  <sheetViews>
    <sheetView workbookViewId="0"/>
  </sheetViews>
  <sheetFormatPr baseColWidth="10" defaultColWidth="8.6640625" defaultRowHeight="14.4" x14ac:dyDescent="0.3"/>
  <cols>
    <col min="1" max="1" width="10" style="108" customWidth="1"/>
    <col min="2" max="2" width="14" style="108" customWidth="1"/>
    <col min="3" max="3" width="12" style="108" customWidth="1"/>
    <col min="4" max="4" width="10" style="108" customWidth="1"/>
    <col min="5" max="6" width="20" style="108" customWidth="1"/>
    <col min="7" max="7" width="60" style="108" customWidth="1"/>
    <col min="8" max="8" width="16" style="108" customWidth="1"/>
    <col min="11" max="11" width="26" style="108" customWidth="1"/>
  </cols>
  <sheetData>
    <row r="1" spans="1:11" ht="15" customHeight="1" x14ac:dyDescent="0.3">
      <c r="A1" s="99" t="s">
        <v>531</v>
      </c>
      <c r="B1" s="99" t="s">
        <v>1507</v>
      </c>
      <c r="C1" s="99" t="s">
        <v>188</v>
      </c>
      <c r="D1" s="99" t="s">
        <v>1508</v>
      </c>
      <c r="E1" s="99" t="s">
        <v>1509</v>
      </c>
      <c r="F1" s="99" t="s">
        <v>1510</v>
      </c>
      <c r="G1" s="99" t="s">
        <v>177</v>
      </c>
      <c r="H1" s="99" t="s">
        <v>1511</v>
      </c>
      <c r="K1" s="99" t="s">
        <v>1512</v>
      </c>
    </row>
    <row r="2" spans="1:11" ht="15" customHeight="1" x14ac:dyDescent="0.3">
      <c r="A2" s="249">
        <f>FOTOS_AGO_26!$A$1</f>
        <v>46235</v>
      </c>
      <c r="B2" t="s">
        <v>1513</v>
      </c>
      <c r="C2" t="s">
        <v>113</v>
      </c>
      <c r="D2" t="s">
        <v>1514</v>
      </c>
      <c r="E2" t="s">
        <v>1515</v>
      </c>
      <c r="F2" t="s">
        <v>1516</v>
      </c>
      <c r="G2" s="193" t="str">
        <f>IF(FOTOS_AGO_26!B23="","",FOTOS_AGO_26!B23)</f>
        <v/>
      </c>
      <c r="H2" s="193" t="str">
        <f t="shared" ref="H2:H33" si="0">IF(A2=RPT_MONTH,"Sí","No")</f>
        <v>No</v>
      </c>
      <c r="K2" s="193" t="str">
        <f>IFERROR(IF(COUNTIF($B$2:$B$71,"FOTOS_"&amp;CHOOSE(MONTH(RPT_MONTH),"ENE","FEB","MAR","ABR","MAY","JUN","JUL","AGO","SEP","OCT","NOV","DIC")&amp;"_"&amp;RIGHT(YEAR(RPT_MONTH),2))&gt;0,"FOTOS_"&amp;CHOOSE(MONTH(RPT_MONTH),"ENE","FEB","MAR","ABR","MAY","JUN","JUL","AGO","SEP","OCT","NOV","DIC")&amp;"_"&amp;RIGHT(YEAR(RPT_MONTH),2),""),"")</f>
        <v>FOTOS_OCT_26</v>
      </c>
    </row>
    <row r="3" spans="1:11" ht="15" customHeight="1" x14ac:dyDescent="0.3">
      <c r="A3" s="249">
        <f>FOTOS_AGO_26!$A$1</f>
        <v>46235</v>
      </c>
      <c r="B3" t="s">
        <v>1513</v>
      </c>
      <c r="C3" t="s">
        <v>113</v>
      </c>
      <c r="D3" t="s">
        <v>1517</v>
      </c>
      <c r="E3" t="s">
        <v>1518</v>
      </c>
      <c r="F3" t="s">
        <v>1519</v>
      </c>
      <c r="G3" s="193" t="str">
        <f>IF(FOTOS_AGO_26!I23="","",FOTOS_AGO_26!I23)</f>
        <v/>
      </c>
      <c r="H3" s="193" t="str">
        <f t="shared" si="0"/>
        <v>No</v>
      </c>
    </row>
    <row r="4" spans="1:11" ht="15" customHeight="1" x14ac:dyDescent="0.3">
      <c r="A4" s="249">
        <f>FOTOS_SEP_26!$A$1</f>
        <v>46266</v>
      </c>
      <c r="B4" t="s">
        <v>1520</v>
      </c>
      <c r="C4" t="s">
        <v>113</v>
      </c>
      <c r="D4" t="s">
        <v>1514</v>
      </c>
      <c r="E4" t="s">
        <v>1515</v>
      </c>
      <c r="F4" t="s">
        <v>1516</v>
      </c>
      <c r="G4" s="193" t="str">
        <f>IF(FOTOS_SEP_26!B23="","",FOTOS_SEP_26!B23)</f>
        <v/>
      </c>
      <c r="H4" s="193" t="str">
        <f t="shared" si="0"/>
        <v>No</v>
      </c>
    </row>
    <row r="5" spans="1:11" ht="15" customHeight="1" x14ac:dyDescent="0.3">
      <c r="A5" s="249">
        <f>FOTOS_SEP_26!$A$1</f>
        <v>46266</v>
      </c>
      <c r="B5" t="s">
        <v>1520</v>
      </c>
      <c r="C5" t="s">
        <v>113</v>
      </c>
      <c r="D5" t="s">
        <v>1517</v>
      </c>
      <c r="E5" t="s">
        <v>1518</v>
      </c>
      <c r="F5" t="s">
        <v>1519</v>
      </c>
      <c r="G5" s="193" t="str">
        <f>IF(FOTOS_SEP_26!I23="","",FOTOS_SEP_26!I23)</f>
        <v/>
      </c>
      <c r="H5" s="193" t="str">
        <f t="shared" si="0"/>
        <v>No</v>
      </c>
    </row>
    <row r="6" spans="1:11" ht="15" customHeight="1" x14ac:dyDescent="0.3">
      <c r="A6" s="249">
        <f>FOTOS_OCT_26!$A$1</f>
        <v>46296</v>
      </c>
      <c r="B6" t="s">
        <v>1521</v>
      </c>
      <c r="C6" t="s">
        <v>113</v>
      </c>
      <c r="D6" t="s">
        <v>1514</v>
      </c>
      <c r="E6" t="s">
        <v>1515</v>
      </c>
      <c r="F6" t="s">
        <v>1516</v>
      </c>
      <c r="G6" s="193" t="str">
        <f>IF(FOTOS_OCT_26!B23="","",FOTOS_OCT_26!B23)</f>
        <v/>
      </c>
      <c r="H6" s="193" t="str">
        <f t="shared" si="0"/>
        <v>Sí</v>
      </c>
    </row>
    <row r="7" spans="1:11" ht="15" customHeight="1" x14ac:dyDescent="0.3">
      <c r="A7" s="249">
        <f>FOTOS_OCT_26!$A$1</f>
        <v>46296</v>
      </c>
      <c r="B7" t="s">
        <v>1521</v>
      </c>
      <c r="C7" t="s">
        <v>113</v>
      </c>
      <c r="D7" t="s">
        <v>1517</v>
      </c>
      <c r="E7" t="s">
        <v>1518</v>
      </c>
      <c r="F7" t="s">
        <v>1519</v>
      </c>
      <c r="G7" s="193" t="str">
        <f>IF(FOTOS_OCT_26!I23="","",FOTOS_OCT_26!I23)</f>
        <v/>
      </c>
      <c r="H7" s="193" t="str">
        <f t="shared" si="0"/>
        <v>Sí</v>
      </c>
    </row>
    <row r="8" spans="1:11" ht="15" customHeight="1" x14ac:dyDescent="0.3">
      <c r="A8" s="249">
        <f>FOTOS_NOV_26!$A$1</f>
        <v>46327</v>
      </c>
      <c r="B8" t="s">
        <v>1522</v>
      </c>
      <c r="C8" t="s">
        <v>113</v>
      </c>
      <c r="D8" t="s">
        <v>1514</v>
      </c>
      <c r="E8" t="s">
        <v>1515</v>
      </c>
      <c r="F8" t="s">
        <v>1516</v>
      </c>
      <c r="G8" s="193" t="str">
        <f>IF(FOTOS_NOV_26!B23="","",FOTOS_NOV_26!B23)</f>
        <v/>
      </c>
      <c r="H8" s="193" t="str">
        <f t="shared" si="0"/>
        <v>No</v>
      </c>
    </row>
    <row r="9" spans="1:11" ht="15" customHeight="1" x14ac:dyDescent="0.3">
      <c r="A9" s="249">
        <f>FOTOS_NOV_26!$A$1</f>
        <v>46327</v>
      </c>
      <c r="B9" t="s">
        <v>1522</v>
      </c>
      <c r="C9" t="s">
        <v>113</v>
      </c>
      <c r="D9" t="s">
        <v>1517</v>
      </c>
      <c r="E9" t="s">
        <v>1518</v>
      </c>
      <c r="F9" t="s">
        <v>1519</v>
      </c>
      <c r="G9" s="193" t="str">
        <f>IF(FOTOS_NOV_26!I23="","",FOTOS_NOV_26!I23)</f>
        <v/>
      </c>
      <c r="H9" s="193" t="str">
        <f t="shared" si="0"/>
        <v>No</v>
      </c>
    </row>
    <row r="10" spans="1:11" ht="15" customHeight="1" x14ac:dyDescent="0.3">
      <c r="A10" s="249">
        <f>FOTOS_DIC_26!$A$1</f>
        <v>46357</v>
      </c>
      <c r="B10" t="s">
        <v>1523</v>
      </c>
      <c r="C10" t="s">
        <v>113</v>
      </c>
      <c r="D10" t="s">
        <v>1514</v>
      </c>
      <c r="E10" t="s">
        <v>1515</v>
      </c>
      <c r="F10" t="s">
        <v>1516</v>
      </c>
      <c r="G10" s="193" t="str">
        <f>IF(FOTOS_DIC_26!B23="","",FOTOS_DIC_26!B23)</f>
        <v/>
      </c>
      <c r="H10" s="193" t="str">
        <f t="shared" si="0"/>
        <v>No</v>
      </c>
    </row>
    <row r="11" spans="1:11" ht="15" customHeight="1" x14ac:dyDescent="0.3">
      <c r="A11" s="249">
        <f>FOTOS_DIC_26!$A$1</f>
        <v>46357</v>
      </c>
      <c r="B11" t="s">
        <v>1523</v>
      </c>
      <c r="C11" t="s">
        <v>113</v>
      </c>
      <c r="D11" t="s">
        <v>1517</v>
      </c>
      <c r="E11" t="s">
        <v>1518</v>
      </c>
      <c r="F11" t="s">
        <v>1519</v>
      </c>
      <c r="G11" s="193" t="str">
        <f>IF(FOTOS_DIC_26!I23="","",FOTOS_DIC_26!I23)</f>
        <v/>
      </c>
      <c r="H11" s="193" t="str">
        <f t="shared" si="0"/>
        <v>No</v>
      </c>
    </row>
    <row r="12" spans="1:11" ht="15" customHeight="1" x14ac:dyDescent="0.3">
      <c r="A12" s="249">
        <f>FOTOS_ENE_27!$A$1</f>
        <v>46388</v>
      </c>
      <c r="B12" t="s">
        <v>1524</v>
      </c>
      <c r="C12" t="s">
        <v>113</v>
      </c>
      <c r="D12" t="s">
        <v>1514</v>
      </c>
      <c r="E12" t="s">
        <v>1515</v>
      </c>
      <c r="F12" t="s">
        <v>1516</v>
      </c>
      <c r="G12" s="193" t="str">
        <f>IF(FOTOS_ENE_27!B23="","",FOTOS_ENE_27!B23)</f>
        <v/>
      </c>
      <c r="H12" s="193" t="str">
        <f t="shared" si="0"/>
        <v>No</v>
      </c>
    </row>
    <row r="13" spans="1:11" ht="15" customHeight="1" x14ac:dyDescent="0.3">
      <c r="A13" s="249">
        <f>FOTOS_ENE_27!$A$1</f>
        <v>46388</v>
      </c>
      <c r="B13" t="s">
        <v>1524</v>
      </c>
      <c r="C13" t="s">
        <v>113</v>
      </c>
      <c r="D13" t="s">
        <v>1517</v>
      </c>
      <c r="E13" t="s">
        <v>1518</v>
      </c>
      <c r="F13" t="s">
        <v>1519</v>
      </c>
      <c r="G13" s="193" t="str">
        <f>IF(FOTOS_ENE_27!I23="","",FOTOS_ENE_27!I23)</f>
        <v/>
      </c>
      <c r="H13" s="193" t="str">
        <f t="shared" si="0"/>
        <v>No</v>
      </c>
    </row>
    <row r="14" spans="1:11" ht="15" customHeight="1" x14ac:dyDescent="0.3">
      <c r="A14" s="249">
        <f>FOTOS_FEB_27!$A$1</f>
        <v>46419</v>
      </c>
      <c r="B14" t="s">
        <v>1525</v>
      </c>
      <c r="C14" t="s">
        <v>113</v>
      </c>
      <c r="D14" t="s">
        <v>1514</v>
      </c>
      <c r="E14" t="s">
        <v>1515</v>
      </c>
      <c r="F14" t="s">
        <v>1516</v>
      </c>
      <c r="G14" s="193" t="str">
        <f>IF(FOTOS_FEB_27!B23="","",FOTOS_FEB_27!B23)</f>
        <v/>
      </c>
      <c r="H14" s="193" t="str">
        <f t="shared" si="0"/>
        <v>No</v>
      </c>
    </row>
    <row r="15" spans="1:11" ht="15" customHeight="1" x14ac:dyDescent="0.3">
      <c r="A15" s="249">
        <f>FOTOS_FEB_27!$A$1</f>
        <v>46419</v>
      </c>
      <c r="B15" t="s">
        <v>1525</v>
      </c>
      <c r="C15" t="s">
        <v>113</v>
      </c>
      <c r="D15" t="s">
        <v>1517</v>
      </c>
      <c r="E15" t="s">
        <v>1518</v>
      </c>
      <c r="F15" t="s">
        <v>1519</v>
      </c>
      <c r="G15" s="193" t="str">
        <f>IF(FOTOS_FEB_27!I23="","",FOTOS_FEB_27!I23)</f>
        <v/>
      </c>
      <c r="H15" s="193" t="str">
        <f t="shared" si="0"/>
        <v>No</v>
      </c>
    </row>
    <row r="16" spans="1:11" ht="15" customHeight="1" x14ac:dyDescent="0.3">
      <c r="A16" s="249">
        <f>FOTOS_MAR_27!$A$1</f>
        <v>46447</v>
      </c>
      <c r="B16" t="s">
        <v>1526</v>
      </c>
      <c r="C16" t="s">
        <v>113</v>
      </c>
      <c r="D16" t="s">
        <v>1514</v>
      </c>
      <c r="E16" t="s">
        <v>1515</v>
      </c>
      <c r="F16" t="s">
        <v>1516</v>
      </c>
      <c r="G16" s="193" t="str">
        <f>IF(FOTOS_MAR_27!B23="","",FOTOS_MAR_27!B23)</f>
        <v/>
      </c>
      <c r="H16" s="193" t="str">
        <f t="shared" si="0"/>
        <v>No</v>
      </c>
    </row>
    <row r="17" spans="1:8" ht="15" customHeight="1" x14ac:dyDescent="0.3">
      <c r="A17" s="249">
        <f>FOTOS_MAR_27!$A$1</f>
        <v>46447</v>
      </c>
      <c r="B17" t="s">
        <v>1526</v>
      </c>
      <c r="C17" t="s">
        <v>113</v>
      </c>
      <c r="D17" t="s">
        <v>1517</v>
      </c>
      <c r="E17" t="s">
        <v>1518</v>
      </c>
      <c r="F17" t="s">
        <v>1519</v>
      </c>
      <c r="G17" s="193" t="str">
        <f>IF(FOTOS_MAR_27!I23="","",FOTOS_MAR_27!I23)</f>
        <v/>
      </c>
      <c r="H17" s="193" t="str">
        <f t="shared" si="0"/>
        <v>No</v>
      </c>
    </row>
    <row r="18" spans="1:8" ht="15" customHeight="1" x14ac:dyDescent="0.3">
      <c r="A18" s="249">
        <f>FOTOS_ABR_27!$A$1</f>
        <v>46478</v>
      </c>
      <c r="B18" t="s">
        <v>1527</v>
      </c>
      <c r="C18" t="s">
        <v>113</v>
      </c>
      <c r="D18" t="s">
        <v>1514</v>
      </c>
      <c r="E18" t="s">
        <v>1515</v>
      </c>
      <c r="F18" t="s">
        <v>1516</v>
      </c>
      <c r="G18" s="193" t="str">
        <f>IF(FOTOS_ABR_27!B23="","",FOTOS_ABR_27!B23)</f>
        <v/>
      </c>
      <c r="H18" s="193" t="str">
        <f t="shared" si="0"/>
        <v>No</v>
      </c>
    </row>
    <row r="19" spans="1:8" ht="15" customHeight="1" x14ac:dyDescent="0.3">
      <c r="A19" s="249">
        <f>FOTOS_ABR_27!$A$1</f>
        <v>46478</v>
      </c>
      <c r="B19" t="s">
        <v>1527</v>
      </c>
      <c r="C19" t="s">
        <v>113</v>
      </c>
      <c r="D19" t="s">
        <v>1517</v>
      </c>
      <c r="E19" t="s">
        <v>1518</v>
      </c>
      <c r="F19" t="s">
        <v>1519</v>
      </c>
      <c r="G19" s="193" t="str">
        <f>IF(FOTOS_ABR_27!I23="","",FOTOS_ABR_27!I23)</f>
        <v/>
      </c>
      <c r="H19" s="193" t="str">
        <f t="shared" si="0"/>
        <v>No</v>
      </c>
    </row>
    <row r="20" spans="1:8" ht="15" customHeight="1" x14ac:dyDescent="0.3">
      <c r="A20" s="249">
        <f>FOTOS_MAY_27!$A$1</f>
        <v>46508</v>
      </c>
      <c r="B20" t="s">
        <v>1528</v>
      </c>
      <c r="C20" t="s">
        <v>113</v>
      </c>
      <c r="D20" t="s">
        <v>1514</v>
      </c>
      <c r="E20" t="s">
        <v>1515</v>
      </c>
      <c r="F20" t="s">
        <v>1516</v>
      </c>
      <c r="G20" s="193" t="str">
        <f>IF(FOTOS_MAY_27!B23="","",FOTOS_MAY_27!B23)</f>
        <v/>
      </c>
      <c r="H20" s="193" t="str">
        <f t="shared" si="0"/>
        <v>No</v>
      </c>
    </row>
    <row r="21" spans="1:8" ht="15" customHeight="1" x14ac:dyDescent="0.3">
      <c r="A21" s="249">
        <f>FOTOS_MAY_27!$A$1</f>
        <v>46508</v>
      </c>
      <c r="B21" t="s">
        <v>1528</v>
      </c>
      <c r="C21" t="s">
        <v>113</v>
      </c>
      <c r="D21" t="s">
        <v>1517</v>
      </c>
      <c r="E21" t="s">
        <v>1518</v>
      </c>
      <c r="F21" t="s">
        <v>1519</v>
      </c>
      <c r="G21" s="193" t="str">
        <f>IF(FOTOS_MAY_27!I23="","",FOTOS_MAY_27!I23)</f>
        <v/>
      </c>
      <c r="H21" s="193" t="str">
        <f t="shared" si="0"/>
        <v>No</v>
      </c>
    </row>
    <row r="22" spans="1:8" ht="15" customHeight="1" x14ac:dyDescent="0.3">
      <c r="A22" s="249">
        <f>FOTOS_JUN_27!$A$1</f>
        <v>46539</v>
      </c>
      <c r="B22" t="s">
        <v>1529</v>
      </c>
      <c r="C22" t="s">
        <v>113</v>
      </c>
      <c r="D22" t="s">
        <v>1514</v>
      </c>
      <c r="E22" t="s">
        <v>1515</v>
      </c>
      <c r="F22" t="s">
        <v>1516</v>
      </c>
      <c r="G22" s="193" t="str">
        <f>IF(FOTOS_JUN_27!B23="","",FOTOS_JUN_27!B23)</f>
        <v/>
      </c>
      <c r="H22" s="193" t="str">
        <f t="shared" si="0"/>
        <v>No</v>
      </c>
    </row>
    <row r="23" spans="1:8" ht="15" customHeight="1" x14ac:dyDescent="0.3">
      <c r="A23" s="249">
        <f>FOTOS_JUN_27!$A$1</f>
        <v>46539</v>
      </c>
      <c r="B23" t="s">
        <v>1529</v>
      </c>
      <c r="C23" t="s">
        <v>113</v>
      </c>
      <c r="D23" t="s">
        <v>1517</v>
      </c>
      <c r="E23" t="s">
        <v>1518</v>
      </c>
      <c r="F23" t="s">
        <v>1519</v>
      </c>
      <c r="G23" s="193" t="str">
        <f>IF(FOTOS_JUN_27!I23="","",FOTOS_JUN_27!I23)</f>
        <v/>
      </c>
      <c r="H23" s="193" t="str">
        <f t="shared" si="0"/>
        <v>No</v>
      </c>
    </row>
    <row r="24" spans="1:8" ht="15" customHeight="1" x14ac:dyDescent="0.3">
      <c r="A24" s="249">
        <f>FOTOS_JUL_27!$A$1</f>
        <v>46569</v>
      </c>
      <c r="B24" t="s">
        <v>1530</v>
      </c>
      <c r="C24" t="s">
        <v>113</v>
      </c>
      <c r="D24" t="s">
        <v>1514</v>
      </c>
      <c r="E24" t="s">
        <v>1515</v>
      </c>
      <c r="F24" t="s">
        <v>1516</v>
      </c>
      <c r="G24" s="193" t="str">
        <f>IF(FOTOS_JUL_27!B23="","",FOTOS_JUL_27!B23)</f>
        <v/>
      </c>
      <c r="H24" s="193" t="str">
        <f t="shared" si="0"/>
        <v>No</v>
      </c>
    </row>
    <row r="25" spans="1:8" ht="15" customHeight="1" x14ac:dyDescent="0.3">
      <c r="A25" s="249">
        <f>FOTOS_JUL_27!$A$1</f>
        <v>46569</v>
      </c>
      <c r="B25" t="s">
        <v>1530</v>
      </c>
      <c r="C25" t="s">
        <v>113</v>
      </c>
      <c r="D25" t="s">
        <v>1517</v>
      </c>
      <c r="E25" t="s">
        <v>1518</v>
      </c>
      <c r="F25" t="s">
        <v>1519</v>
      </c>
      <c r="G25" s="193" t="str">
        <f>IF(FOTOS_JUL_27!I23="","",FOTOS_JUL_27!I23)</f>
        <v/>
      </c>
      <c r="H25" s="193" t="str">
        <f t="shared" si="0"/>
        <v>No</v>
      </c>
    </row>
    <row r="26" spans="1:8" ht="15" customHeight="1" x14ac:dyDescent="0.3">
      <c r="A26" s="249">
        <f>FOTOS_AGO_27!$A$1</f>
        <v>46600</v>
      </c>
      <c r="B26" t="s">
        <v>1531</v>
      </c>
      <c r="C26" t="s">
        <v>113</v>
      </c>
      <c r="D26" t="s">
        <v>1514</v>
      </c>
      <c r="E26" t="s">
        <v>1515</v>
      </c>
      <c r="F26" t="s">
        <v>1516</v>
      </c>
      <c r="G26" s="193" t="str">
        <f>IF(FOTOS_AGO_27!B23="","",FOTOS_AGO_27!B23)</f>
        <v/>
      </c>
      <c r="H26" s="193" t="str">
        <f t="shared" si="0"/>
        <v>No</v>
      </c>
    </row>
    <row r="27" spans="1:8" ht="15" customHeight="1" x14ac:dyDescent="0.3">
      <c r="A27" s="249">
        <f>FOTOS_AGO_27!$A$1</f>
        <v>46600</v>
      </c>
      <c r="B27" t="s">
        <v>1531</v>
      </c>
      <c r="C27" t="s">
        <v>113</v>
      </c>
      <c r="D27" t="s">
        <v>1517</v>
      </c>
      <c r="E27" t="s">
        <v>1518</v>
      </c>
      <c r="F27" t="s">
        <v>1519</v>
      </c>
      <c r="G27" s="193" t="str">
        <f>IF(FOTOS_AGO_27!I23="","",FOTOS_AGO_27!I23)</f>
        <v/>
      </c>
      <c r="H27" s="193" t="str">
        <f t="shared" si="0"/>
        <v>No</v>
      </c>
    </row>
    <row r="28" spans="1:8" ht="15" customHeight="1" x14ac:dyDescent="0.3">
      <c r="A28" s="249">
        <f>FOTOS_SEP_27!$A$1</f>
        <v>46631</v>
      </c>
      <c r="B28" t="s">
        <v>1532</v>
      </c>
      <c r="C28" t="s">
        <v>113</v>
      </c>
      <c r="D28" t="s">
        <v>1514</v>
      </c>
      <c r="E28" t="s">
        <v>1515</v>
      </c>
      <c r="F28" t="s">
        <v>1516</v>
      </c>
      <c r="G28" s="193" t="str">
        <f>IF(FOTOS_SEP_27!B23="","",FOTOS_SEP_27!B23)</f>
        <v/>
      </c>
      <c r="H28" s="193" t="str">
        <f t="shared" si="0"/>
        <v>No</v>
      </c>
    </row>
    <row r="29" spans="1:8" ht="15" customHeight="1" x14ac:dyDescent="0.3">
      <c r="A29" s="249">
        <f>FOTOS_SEP_27!$A$1</f>
        <v>46631</v>
      </c>
      <c r="B29" t="s">
        <v>1532</v>
      </c>
      <c r="C29" t="s">
        <v>113</v>
      </c>
      <c r="D29" t="s">
        <v>1517</v>
      </c>
      <c r="E29" t="s">
        <v>1518</v>
      </c>
      <c r="F29" t="s">
        <v>1519</v>
      </c>
      <c r="G29" s="193" t="str">
        <f>IF(FOTOS_SEP_27!I23="","",FOTOS_SEP_27!I23)</f>
        <v/>
      </c>
      <c r="H29" s="193" t="str">
        <f t="shared" si="0"/>
        <v>No</v>
      </c>
    </row>
    <row r="30" spans="1:8" ht="15" customHeight="1" x14ac:dyDescent="0.3">
      <c r="A30" s="249">
        <f>FOTOS_OCT_27!$A$1</f>
        <v>46661</v>
      </c>
      <c r="B30" t="s">
        <v>1533</v>
      </c>
      <c r="C30" t="s">
        <v>113</v>
      </c>
      <c r="D30" t="s">
        <v>1514</v>
      </c>
      <c r="E30" t="s">
        <v>1515</v>
      </c>
      <c r="F30" t="s">
        <v>1516</v>
      </c>
      <c r="G30" s="193" t="str">
        <f>IF(FOTOS_OCT_27!B23="","",FOTOS_OCT_27!B23)</f>
        <v/>
      </c>
      <c r="H30" s="193" t="str">
        <f t="shared" si="0"/>
        <v>No</v>
      </c>
    </row>
    <row r="31" spans="1:8" ht="15" customHeight="1" x14ac:dyDescent="0.3">
      <c r="A31" s="249">
        <f>FOTOS_OCT_27!$A$1</f>
        <v>46661</v>
      </c>
      <c r="B31" t="s">
        <v>1533</v>
      </c>
      <c r="C31" t="s">
        <v>113</v>
      </c>
      <c r="D31" t="s">
        <v>1517</v>
      </c>
      <c r="E31" t="s">
        <v>1518</v>
      </c>
      <c r="F31" t="s">
        <v>1519</v>
      </c>
      <c r="G31" s="193" t="str">
        <f>IF(FOTOS_OCT_27!I23="","",FOTOS_OCT_27!I23)</f>
        <v/>
      </c>
      <c r="H31" s="193" t="str">
        <f t="shared" si="0"/>
        <v>No</v>
      </c>
    </row>
    <row r="32" spans="1:8" ht="15" customHeight="1" x14ac:dyDescent="0.3">
      <c r="A32" s="249">
        <f>FOTOS_NOV_27!$A$1</f>
        <v>46692</v>
      </c>
      <c r="B32" t="s">
        <v>1534</v>
      </c>
      <c r="C32" t="s">
        <v>113</v>
      </c>
      <c r="D32" t="s">
        <v>1514</v>
      </c>
      <c r="E32" t="s">
        <v>1515</v>
      </c>
      <c r="F32" t="s">
        <v>1516</v>
      </c>
      <c r="G32" s="193" t="str">
        <f>IF(FOTOS_NOV_27!B23="","",FOTOS_NOV_27!B23)</f>
        <v/>
      </c>
      <c r="H32" s="193" t="str">
        <f t="shared" si="0"/>
        <v>No</v>
      </c>
    </row>
    <row r="33" spans="1:8" ht="15" customHeight="1" x14ac:dyDescent="0.3">
      <c r="A33" s="249">
        <f>FOTOS_NOV_27!$A$1</f>
        <v>46692</v>
      </c>
      <c r="B33" t="s">
        <v>1534</v>
      </c>
      <c r="C33" t="s">
        <v>113</v>
      </c>
      <c r="D33" t="s">
        <v>1517</v>
      </c>
      <c r="E33" t="s">
        <v>1518</v>
      </c>
      <c r="F33" t="s">
        <v>1519</v>
      </c>
      <c r="G33" s="193" t="str">
        <f>IF(FOTOS_NOV_27!I23="","",FOTOS_NOV_27!I23)</f>
        <v/>
      </c>
      <c r="H33" s="193" t="str">
        <f t="shared" si="0"/>
        <v>No</v>
      </c>
    </row>
    <row r="34" spans="1:8" ht="15" customHeight="1" x14ac:dyDescent="0.3">
      <c r="A34" s="249">
        <f>FOTOS_DIC_27!$A$1</f>
        <v>46722</v>
      </c>
      <c r="B34" t="s">
        <v>1535</v>
      </c>
      <c r="C34" t="s">
        <v>113</v>
      </c>
      <c r="D34" t="s">
        <v>1514</v>
      </c>
      <c r="E34" t="s">
        <v>1515</v>
      </c>
      <c r="F34" t="s">
        <v>1516</v>
      </c>
      <c r="G34" s="193" t="str">
        <f>IF(FOTOS_DIC_27!B23="","",FOTOS_DIC_27!B23)</f>
        <v/>
      </c>
      <c r="H34" s="193" t="str">
        <f t="shared" ref="H34:H65" si="1">IF(A34=RPT_MONTH,"Sí","No")</f>
        <v>No</v>
      </c>
    </row>
    <row r="35" spans="1:8" ht="15" customHeight="1" x14ac:dyDescent="0.3">
      <c r="A35" s="249">
        <f>FOTOS_DIC_27!$A$1</f>
        <v>46722</v>
      </c>
      <c r="B35" t="s">
        <v>1535</v>
      </c>
      <c r="C35" t="s">
        <v>113</v>
      </c>
      <c r="D35" t="s">
        <v>1517</v>
      </c>
      <c r="E35" t="s">
        <v>1518</v>
      </c>
      <c r="F35" t="s">
        <v>1519</v>
      </c>
      <c r="G35" s="193" t="str">
        <f>IF(FOTOS_DIC_27!I23="","",FOTOS_DIC_27!I23)</f>
        <v/>
      </c>
      <c r="H35" s="193" t="str">
        <f t="shared" si="1"/>
        <v>No</v>
      </c>
    </row>
    <row r="36" spans="1:8" x14ac:dyDescent="0.3">
      <c r="A36" s="249">
        <f>FOTOS_ENE_28!$A$1</f>
        <v>46753</v>
      </c>
      <c r="B36" t="s">
        <v>1536</v>
      </c>
      <c r="C36" t="s">
        <v>113</v>
      </c>
      <c r="D36" t="s">
        <v>1514</v>
      </c>
      <c r="E36" t="s">
        <v>1515</v>
      </c>
      <c r="F36" t="s">
        <v>1516</v>
      </c>
      <c r="G36" s="193" t="str">
        <f>IF(FOTOS_ENE_28!B23="","",FOTOS_ENE_28!B23)</f>
        <v/>
      </c>
      <c r="H36" s="193" t="str">
        <f t="shared" si="1"/>
        <v>No</v>
      </c>
    </row>
    <row r="37" spans="1:8" x14ac:dyDescent="0.3">
      <c r="A37" s="249">
        <f>FOTOS_ENE_28!$A$1</f>
        <v>46753</v>
      </c>
      <c r="B37" t="s">
        <v>1536</v>
      </c>
      <c r="C37" t="s">
        <v>113</v>
      </c>
      <c r="D37" t="s">
        <v>1517</v>
      </c>
      <c r="E37" t="s">
        <v>1518</v>
      </c>
      <c r="F37" t="s">
        <v>1519</v>
      </c>
      <c r="G37" s="193" t="str">
        <f>IF(FOTOS_ENE_28!I23="","",FOTOS_ENE_28!I23)</f>
        <v/>
      </c>
      <c r="H37" s="193" t="str">
        <f t="shared" si="1"/>
        <v>No</v>
      </c>
    </row>
    <row r="38" spans="1:8" x14ac:dyDescent="0.3">
      <c r="A38" s="249">
        <f>FOTOS_FEB_28!$A$1</f>
        <v>46784</v>
      </c>
      <c r="B38" t="s">
        <v>1537</v>
      </c>
      <c r="C38" t="s">
        <v>113</v>
      </c>
      <c r="D38" t="s">
        <v>1514</v>
      </c>
      <c r="E38" t="s">
        <v>1515</v>
      </c>
      <c r="F38" t="s">
        <v>1516</v>
      </c>
      <c r="G38" s="193" t="str">
        <f>IF(FOTOS_FEB_28!B23="","",FOTOS_FEB_28!B23)</f>
        <v/>
      </c>
      <c r="H38" s="193" t="str">
        <f t="shared" si="1"/>
        <v>No</v>
      </c>
    </row>
    <row r="39" spans="1:8" x14ac:dyDescent="0.3">
      <c r="A39" s="249">
        <f>FOTOS_FEB_28!$A$1</f>
        <v>46784</v>
      </c>
      <c r="B39" t="s">
        <v>1537</v>
      </c>
      <c r="C39" t="s">
        <v>113</v>
      </c>
      <c r="D39" t="s">
        <v>1517</v>
      </c>
      <c r="E39" t="s">
        <v>1518</v>
      </c>
      <c r="F39" t="s">
        <v>1519</v>
      </c>
      <c r="G39" s="193" t="str">
        <f>IF(FOTOS_FEB_28!I23="","",FOTOS_FEB_28!I23)</f>
        <v/>
      </c>
      <c r="H39" s="193" t="str">
        <f t="shared" si="1"/>
        <v>No</v>
      </c>
    </row>
    <row r="40" spans="1:8" x14ac:dyDescent="0.3">
      <c r="A40" s="249">
        <f>FOTOS_MAR_28!$A$1</f>
        <v>46813</v>
      </c>
      <c r="B40" t="s">
        <v>1538</v>
      </c>
      <c r="C40" t="s">
        <v>113</v>
      </c>
      <c r="D40" t="s">
        <v>1514</v>
      </c>
      <c r="E40" t="s">
        <v>1515</v>
      </c>
      <c r="F40" t="s">
        <v>1516</v>
      </c>
      <c r="G40" s="193" t="str">
        <f>IF(FOTOS_MAR_28!B23="","",FOTOS_MAR_28!B23)</f>
        <v/>
      </c>
      <c r="H40" s="193" t="str">
        <f t="shared" si="1"/>
        <v>No</v>
      </c>
    </row>
    <row r="41" spans="1:8" x14ac:dyDescent="0.3">
      <c r="A41" s="249">
        <f>FOTOS_MAR_28!$A$1</f>
        <v>46813</v>
      </c>
      <c r="B41" t="s">
        <v>1538</v>
      </c>
      <c r="C41" t="s">
        <v>113</v>
      </c>
      <c r="D41" t="s">
        <v>1517</v>
      </c>
      <c r="E41" t="s">
        <v>1518</v>
      </c>
      <c r="F41" t="s">
        <v>1519</v>
      </c>
      <c r="G41" s="193" t="str">
        <f>IF(FOTOS_MAR_28!I23="","",FOTOS_MAR_28!I23)</f>
        <v/>
      </c>
      <c r="H41" s="193" t="str">
        <f t="shared" si="1"/>
        <v>No</v>
      </c>
    </row>
    <row r="42" spans="1:8" x14ac:dyDescent="0.3">
      <c r="A42" s="249">
        <f>FOTOS_ABR_28!$A$1</f>
        <v>46844</v>
      </c>
      <c r="B42" t="s">
        <v>1539</v>
      </c>
      <c r="C42" t="s">
        <v>113</v>
      </c>
      <c r="D42" t="s">
        <v>1514</v>
      </c>
      <c r="E42" t="s">
        <v>1515</v>
      </c>
      <c r="F42" t="s">
        <v>1516</v>
      </c>
      <c r="G42" s="193" t="str">
        <f>IF(FOTOS_ABR_28!B23="","",FOTOS_ABR_28!B23)</f>
        <v/>
      </c>
      <c r="H42" s="193" t="str">
        <f t="shared" si="1"/>
        <v>No</v>
      </c>
    </row>
    <row r="43" spans="1:8" x14ac:dyDescent="0.3">
      <c r="A43" s="249">
        <f>FOTOS_ABR_28!$A$1</f>
        <v>46844</v>
      </c>
      <c r="B43" t="s">
        <v>1539</v>
      </c>
      <c r="C43" t="s">
        <v>113</v>
      </c>
      <c r="D43" t="s">
        <v>1517</v>
      </c>
      <c r="E43" t="s">
        <v>1518</v>
      </c>
      <c r="F43" t="s">
        <v>1519</v>
      </c>
      <c r="G43" s="193" t="str">
        <f>IF(FOTOS_ABR_28!I23="","",FOTOS_ABR_28!I23)</f>
        <v/>
      </c>
      <c r="H43" s="193" t="str">
        <f t="shared" si="1"/>
        <v>No</v>
      </c>
    </row>
    <row r="44" spans="1:8" x14ac:dyDescent="0.3">
      <c r="A44" s="249">
        <f>FOTOS_MAY_28!$A$1</f>
        <v>46874</v>
      </c>
      <c r="B44" t="s">
        <v>1540</v>
      </c>
      <c r="C44" t="s">
        <v>113</v>
      </c>
      <c r="D44" t="s">
        <v>1514</v>
      </c>
      <c r="E44" t="s">
        <v>1515</v>
      </c>
      <c r="F44" t="s">
        <v>1516</v>
      </c>
      <c r="G44" s="193" t="str">
        <f>IF(FOTOS_MAY_28!B23="","",FOTOS_MAY_28!B23)</f>
        <v/>
      </c>
      <c r="H44" s="193" t="str">
        <f t="shared" si="1"/>
        <v>No</v>
      </c>
    </row>
    <row r="45" spans="1:8" x14ac:dyDescent="0.3">
      <c r="A45" s="249">
        <f>FOTOS_MAY_28!$A$1</f>
        <v>46874</v>
      </c>
      <c r="B45" t="s">
        <v>1540</v>
      </c>
      <c r="C45" t="s">
        <v>113</v>
      </c>
      <c r="D45" t="s">
        <v>1517</v>
      </c>
      <c r="E45" t="s">
        <v>1518</v>
      </c>
      <c r="F45" t="s">
        <v>1519</v>
      </c>
      <c r="G45" s="193" t="str">
        <f>IF(FOTOS_MAY_28!I23="","",FOTOS_MAY_28!I23)</f>
        <v/>
      </c>
      <c r="H45" s="193" t="str">
        <f t="shared" si="1"/>
        <v>No</v>
      </c>
    </row>
    <row r="46" spans="1:8" x14ac:dyDescent="0.3">
      <c r="A46" s="249">
        <f>FOTOS_JUN_28!$A$1</f>
        <v>46905</v>
      </c>
      <c r="B46" t="s">
        <v>1541</v>
      </c>
      <c r="C46" t="s">
        <v>113</v>
      </c>
      <c r="D46" t="s">
        <v>1514</v>
      </c>
      <c r="E46" t="s">
        <v>1515</v>
      </c>
      <c r="F46" t="s">
        <v>1516</v>
      </c>
      <c r="G46" s="193" t="str">
        <f>IF(FOTOS_JUN_28!B23="","",FOTOS_JUN_28!B23)</f>
        <v/>
      </c>
      <c r="H46" s="193" t="str">
        <f t="shared" si="1"/>
        <v>No</v>
      </c>
    </row>
    <row r="47" spans="1:8" x14ac:dyDescent="0.3">
      <c r="A47" s="249">
        <f>FOTOS_JUN_28!$A$1</f>
        <v>46905</v>
      </c>
      <c r="B47" t="s">
        <v>1541</v>
      </c>
      <c r="C47" t="s">
        <v>113</v>
      </c>
      <c r="D47" t="s">
        <v>1517</v>
      </c>
      <c r="E47" t="s">
        <v>1518</v>
      </c>
      <c r="F47" t="s">
        <v>1519</v>
      </c>
      <c r="G47" s="193" t="str">
        <f>IF(FOTOS_JUN_28!I23="","",FOTOS_JUN_28!I23)</f>
        <v/>
      </c>
      <c r="H47" s="193" t="str">
        <f t="shared" si="1"/>
        <v>No</v>
      </c>
    </row>
    <row r="48" spans="1:8" x14ac:dyDescent="0.3">
      <c r="A48" s="249">
        <f>FOTOS_JUL_28!$A$1</f>
        <v>46935</v>
      </c>
      <c r="B48" t="s">
        <v>1542</v>
      </c>
      <c r="C48" t="s">
        <v>113</v>
      </c>
      <c r="D48" t="s">
        <v>1514</v>
      </c>
      <c r="E48" t="s">
        <v>1515</v>
      </c>
      <c r="F48" t="s">
        <v>1516</v>
      </c>
      <c r="G48" s="193" t="str">
        <f>IF(FOTOS_JUL_28!B23="","",FOTOS_JUL_28!B23)</f>
        <v/>
      </c>
      <c r="H48" s="193" t="str">
        <f t="shared" si="1"/>
        <v>No</v>
      </c>
    </row>
    <row r="49" spans="1:8" x14ac:dyDescent="0.3">
      <c r="A49" s="249">
        <f>FOTOS_JUL_28!$A$1</f>
        <v>46935</v>
      </c>
      <c r="B49" t="s">
        <v>1542</v>
      </c>
      <c r="C49" t="s">
        <v>113</v>
      </c>
      <c r="D49" t="s">
        <v>1517</v>
      </c>
      <c r="E49" t="s">
        <v>1518</v>
      </c>
      <c r="F49" t="s">
        <v>1519</v>
      </c>
      <c r="G49" s="193" t="str">
        <f>IF(FOTOS_JUL_28!I23="","",FOTOS_JUL_28!I23)</f>
        <v/>
      </c>
      <c r="H49" s="193" t="str">
        <f t="shared" si="1"/>
        <v>No</v>
      </c>
    </row>
    <row r="50" spans="1:8" x14ac:dyDescent="0.3">
      <c r="A50" s="249">
        <f>FOTOS_AGO_28!$A$1</f>
        <v>46966</v>
      </c>
      <c r="B50" t="s">
        <v>1543</v>
      </c>
      <c r="C50" t="s">
        <v>113</v>
      </c>
      <c r="D50" t="s">
        <v>1514</v>
      </c>
      <c r="E50" t="s">
        <v>1515</v>
      </c>
      <c r="F50" t="s">
        <v>1516</v>
      </c>
      <c r="G50" s="193" t="str">
        <f>IF(FOTOS_AGO_28!B23="","",FOTOS_AGO_28!B23)</f>
        <v/>
      </c>
      <c r="H50" s="193" t="str">
        <f t="shared" si="1"/>
        <v>No</v>
      </c>
    </row>
    <row r="51" spans="1:8" x14ac:dyDescent="0.3">
      <c r="A51" s="249">
        <f>FOTOS_AGO_28!$A$1</f>
        <v>46966</v>
      </c>
      <c r="B51" t="s">
        <v>1543</v>
      </c>
      <c r="C51" t="s">
        <v>113</v>
      </c>
      <c r="D51" t="s">
        <v>1517</v>
      </c>
      <c r="E51" t="s">
        <v>1518</v>
      </c>
      <c r="F51" t="s">
        <v>1519</v>
      </c>
      <c r="G51" s="193" t="str">
        <f>IF(FOTOS_AGO_28!I23="","",FOTOS_AGO_28!I23)</f>
        <v/>
      </c>
      <c r="H51" s="193" t="str">
        <f t="shared" si="1"/>
        <v>No</v>
      </c>
    </row>
    <row r="52" spans="1:8" x14ac:dyDescent="0.3">
      <c r="A52" s="249">
        <f>FOTOS_SEP_28!$A$1</f>
        <v>46997</v>
      </c>
      <c r="B52" t="s">
        <v>1544</v>
      </c>
      <c r="C52" t="s">
        <v>113</v>
      </c>
      <c r="D52" t="s">
        <v>1514</v>
      </c>
      <c r="E52" t="s">
        <v>1515</v>
      </c>
      <c r="F52" t="s">
        <v>1516</v>
      </c>
      <c r="G52" s="193" t="str">
        <f>IF(FOTOS_SEP_28!B23="","",FOTOS_SEP_28!B23)</f>
        <v/>
      </c>
      <c r="H52" s="193" t="str">
        <f t="shared" si="1"/>
        <v>No</v>
      </c>
    </row>
    <row r="53" spans="1:8" x14ac:dyDescent="0.3">
      <c r="A53" s="249">
        <f>FOTOS_SEP_28!$A$1</f>
        <v>46997</v>
      </c>
      <c r="B53" t="s">
        <v>1544</v>
      </c>
      <c r="C53" t="s">
        <v>113</v>
      </c>
      <c r="D53" t="s">
        <v>1517</v>
      </c>
      <c r="E53" t="s">
        <v>1518</v>
      </c>
      <c r="F53" t="s">
        <v>1519</v>
      </c>
      <c r="G53" s="193" t="str">
        <f>IF(FOTOS_SEP_28!I23="","",FOTOS_SEP_28!I23)</f>
        <v/>
      </c>
      <c r="H53" s="193" t="str">
        <f t="shared" si="1"/>
        <v>No</v>
      </c>
    </row>
    <row r="54" spans="1:8" x14ac:dyDescent="0.3">
      <c r="A54" s="249">
        <f>FOTOS_OCT_28!$A$1</f>
        <v>47027</v>
      </c>
      <c r="B54" t="s">
        <v>1545</v>
      </c>
      <c r="C54" t="s">
        <v>113</v>
      </c>
      <c r="D54" t="s">
        <v>1514</v>
      </c>
      <c r="E54" t="s">
        <v>1515</v>
      </c>
      <c r="F54" t="s">
        <v>1516</v>
      </c>
      <c r="G54" s="193" t="str">
        <f>IF(FOTOS_OCT_28!B23="","",FOTOS_OCT_28!B23)</f>
        <v/>
      </c>
      <c r="H54" s="193" t="str">
        <f t="shared" si="1"/>
        <v>No</v>
      </c>
    </row>
    <row r="55" spans="1:8" x14ac:dyDescent="0.3">
      <c r="A55" s="249">
        <f>FOTOS_OCT_28!$A$1</f>
        <v>47027</v>
      </c>
      <c r="B55" t="s">
        <v>1545</v>
      </c>
      <c r="C55" t="s">
        <v>113</v>
      </c>
      <c r="D55" t="s">
        <v>1517</v>
      </c>
      <c r="E55" t="s">
        <v>1518</v>
      </c>
      <c r="F55" t="s">
        <v>1519</v>
      </c>
      <c r="G55" s="193" t="str">
        <f>IF(FOTOS_OCT_28!I23="","",FOTOS_OCT_28!I23)</f>
        <v/>
      </c>
      <c r="H55" s="193" t="str">
        <f t="shared" si="1"/>
        <v>No</v>
      </c>
    </row>
    <row r="56" spans="1:8" x14ac:dyDescent="0.3">
      <c r="A56" s="249">
        <f>FOTOS_NOV_28!$A$1</f>
        <v>47058</v>
      </c>
      <c r="B56" t="s">
        <v>1546</v>
      </c>
      <c r="C56" t="s">
        <v>113</v>
      </c>
      <c r="D56" t="s">
        <v>1514</v>
      </c>
      <c r="E56" t="s">
        <v>1515</v>
      </c>
      <c r="F56" t="s">
        <v>1516</v>
      </c>
      <c r="G56" s="193" t="str">
        <f>IF(FOTOS_NOV_28!B23="","",FOTOS_NOV_28!B23)</f>
        <v/>
      </c>
      <c r="H56" s="193" t="str">
        <f t="shared" si="1"/>
        <v>No</v>
      </c>
    </row>
    <row r="57" spans="1:8" x14ac:dyDescent="0.3">
      <c r="A57" s="249">
        <f>FOTOS_NOV_28!$A$1</f>
        <v>47058</v>
      </c>
      <c r="B57" t="s">
        <v>1546</v>
      </c>
      <c r="C57" t="s">
        <v>113</v>
      </c>
      <c r="D57" t="s">
        <v>1517</v>
      </c>
      <c r="E57" t="s">
        <v>1518</v>
      </c>
      <c r="F57" t="s">
        <v>1519</v>
      </c>
      <c r="G57" s="193" t="str">
        <f>IF(FOTOS_NOV_28!I23="","",FOTOS_NOV_28!I23)</f>
        <v/>
      </c>
      <c r="H57" s="193" t="str">
        <f t="shared" si="1"/>
        <v>No</v>
      </c>
    </row>
    <row r="58" spans="1:8" x14ac:dyDescent="0.3">
      <c r="A58" s="249">
        <f>FOTOS_DIC_28!$A$1</f>
        <v>47088</v>
      </c>
      <c r="B58" t="s">
        <v>1547</v>
      </c>
      <c r="C58" t="s">
        <v>113</v>
      </c>
      <c r="D58" t="s">
        <v>1514</v>
      </c>
      <c r="E58" t="s">
        <v>1515</v>
      </c>
      <c r="F58" t="s">
        <v>1516</v>
      </c>
      <c r="G58" s="193" t="str">
        <f>IF(FOTOS_DIC_28!B23="","",FOTOS_DIC_28!B23)</f>
        <v/>
      </c>
      <c r="H58" s="193" t="str">
        <f t="shared" si="1"/>
        <v>No</v>
      </c>
    </row>
    <row r="59" spans="1:8" x14ac:dyDescent="0.3">
      <c r="A59" s="249">
        <f>FOTOS_DIC_28!$A$1</f>
        <v>47088</v>
      </c>
      <c r="B59" t="s">
        <v>1547</v>
      </c>
      <c r="C59" t="s">
        <v>113</v>
      </c>
      <c r="D59" t="s">
        <v>1517</v>
      </c>
      <c r="E59" t="s">
        <v>1518</v>
      </c>
      <c r="F59" t="s">
        <v>1519</v>
      </c>
      <c r="G59" s="193" t="str">
        <f>IF(FOTOS_DIC_28!I23="","",FOTOS_DIC_28!I23)</f>
        <v/>
      </c>
      <c r="H59" s="193" t="str">
        <f t="shared" si="1"/>
        <v>No</v>
      </c>
    </row>
    <row r="60" spans="1:8" x14ac:dyDescent="0.3">
      <c r="A60" s="249">
        <f>FOTOS_ENE_29!$A$1</f>
        <v>47119</v>
      </c>
      <c r="B60" t="s">
        <v>1548</v>
      </c>
      <c r="C60" t="s">
        <v>113</v>
      </c>
      <c r="D60" t="s">
        <v>1514</v>
      </c>
      <c r="E60" t="s">
        <v>1515</v>
      </c>
      <c r="F60" t="s">
        <v>1516</v>
      </c>
      <c r="G60" s="193" t="str">
        <f>IF(FOTOS_ENE_29!B23="","",FOTOS_ENE_29!B23)</f>
        <v/>
      </c>
      <c r="H60" s="193" t="str">
        <f t="shared" si="1"/>
        <v>No</v>
      </c>
    </row>
    <row r="61" spans="1:8" x14ac:dyDescent="0.3">
      <c r="A61" s="249">
        <f>FOTOS_ENE_29!$A$1</f>
        <v>47119</v>
      </c>
      <c r="B61" t="s">
        <v>1548</v>
      </c>
      <c r="C61" t="s">
        <v>113</v>
      </c>
      <c r="D61" t="s">
        <v>1517</v>
      </c>
      <c r="E61" t="s">
        <v>1518</v>
      </c>
      <c r="F61" t="s">
        <v>1519</v>
      </c>
      <c r="G61" s="193" t="str">
        <f>IF(FOTOS_ENE_29!I23="","",FOTOS_ENE_29!I23)</f>
        <v/>
      </c>
      <c r="H61" s="193" t="str">
        <f t="shared" si="1"/>
        <v>No</v>
      </c>
    </row>
    <row r="62" spans="1:8" x14ac:dyDescent="0.3">
      <c r="A62" s="249">
        <f>FOTOS_FEB_29!$A$1</f>
        <v>47150</v>
      </c>
      <c r="B62" t="s">
        <v>1549</v>
      </c>
      <c r="C62" t="s">
        <v>113</v>
      </c>
      <c r="D62" t="s">
        <v>1514</v>
      </c>
      <c r="E62" t="s">
        <v>1515</v>
      </c>
      <c r="F62" t="s">
        <v>1516</v>
      </c>
      <c r="G62" s="193" t="str">
        <f>IF(FOTOS_FEB_29!B23="","",FOTOS_FEB_29!B23)</f>
        <v/>
      </c>
      <c r="H62" s="193" t="str">
        <f t="shared" si="1"/>
        <v>No</v>
      </c>
    </row>
    <row r="63" spans="1:8" x14ac:dyDescent="0.3">
      <c r="A63" s="249">
        <f>FOTOS_FEB_29!$A$1</f>
        <v>47150</v>
      </c>
      <c r="B63" t="s">
        <v>1549</v>
      </c>
      <c r="C63" t="s">
        <v>113</v>
      </c>
      <c r="D63" t="s">
        <v>1517</v>
      </c>
      <c r="E63" t="s">
        <v>1518</v>
      </c>
      <c r="F63" t="s">
        <v>1519</v>
      </c>
      <c r="G63" s="193" t="str">
        <f>IF(FOTOS_FEB_29!I23="","",FOTOS_FEB_29!I23)</f>
        <v/>
      </c>
      <c r="H63" s="193" t="str">
        <f t="shared" si="1"/>
        <v>No</v>
      </c>
    </row>
    <row r="64" spans="1:8" x14ac:dyDescent="0.3">
      <c r="A64" s="249">
        <f>FOTOS_MAR_29!$A$1</f>
        <v>47178</v>
      </c>
      <c r="B64" t="s">
        <v>1550</v>
      </c>
      <c r="C64" t="s">
        <v>113</v>
      </c>
      <c r="D64" t="s">
        <v>1514</v>
      </c>
      <c r="E64" t="s">
        <v>1515</v>
      </c>
      <c r="F64" t="s">
        <v>1516</v>
      </c>
      <c r="G64" s="193" t="str">
        <f>IF(FOTOS_MAR_29!B23="","",FOTOS_MAR_29!B23)</f>
        <v/>
      </c>
      <c r="H64" s="193" t="str">
        <f t="shared" si="1"/>
        <v>No</v>
      </c>
    </row>
    <row r="65" spans="1:8" x14ac:dyDescent="0.3">
      <c r="A65" s="249">
        <f>FOTOS_MAR_29!$A$1</f>
        <v>47178</v>
      </c>
      <c r="B65" t="s">
        <v>1550</v>
      </c>
      <c r="C65" t="s">
        <v>113</v>
      </c>
      <c r="D65" t="s">
        <v>1517</v>
      </c>
      <c r="E65" t="s">
        <v>1518</v>
      </c>
      <c r="F65" t="s">
        <v>1519</v>
      </c>
      <c r="G65" s="193" t="str">
        <f>IF(FOTOS_MAR_29!I23="","",FOTOS_MAR_29!I23)</f>
        <v/>
      </c>
      <c r="H65" s="193" t="str">
        <f t="shared" si="1"/>
        <v>No</v>
      </c>
    </row>
    <row r="66" spans="1:8" x14ac:dyDescent="0.3">
      <c r="A66" s="249">
        <f>FOTOS_ABR_29!$A$1</f>
        <v>47209</v>
      </c>
      <c r="B66" t="s">
        <v>1551</v>
      </c>
      <c r="C66" t="s">
        <v>113</v>
      </c>
      <c r="D66" t="s">
        <v>1514</v>
      </c>
      <c r="E66" t="s">
        <v>1515</v>
      </c>
      <c r="F66" t="s">
        <v>1516</v>
      </c>
      <c r="G66" s="193" t="str">
        <f>IF(FOTOS_ABR_29!B23="","",FOTOS_ABR_29!B23)</f>
        <v/>
      </c>
      <c r="H66" s="193" t="str">
        <f t="shared" ref="H66:H71" si="2">IF(A66=RPT_MONTH,"Sí","No")</f>
        <v>No</v>
      </c>
    </row>
    <row r="67" spans="1:8" x14ac:dyDescent="0.3">
      <c r="A67" s="249">
        <f>FOTOS_ABR_29!$A$1</f>
        <v>47209</v>
      </c>
      <c r="B67" t="s">
        <v>1551</v>
      </c>
      <c r="C67" t="s">
        <v>113</v>
      </c>
      <c r="D67" t="s">
        <v>1517</v>
      </c>
      <c r="E67" t="s">
        <v>1518</v>
      </c>
      <c r="F67" t="s">
        <v>1519</v>
      </c>
      <c r="G67" s="193" t="str">
        <f>IF(FOTOS_ABR_29!I23="","",FOTOS_ABR_29!I23)</f>
        <v/>
      </c>
      <c r="H67" s="193" t="str">
        <f t="shared" si="2"/>
        <v>No</v>
      </c>
    </row>
    <row r="68" spans="1:8" x14ac:dyDescent="0.3">
      <c r="A68" s="249">
        <f>FOTOS_MAY_29!$A$1</f>
        <v>47239</v>
      </c>
      <c r="B68" t="s">
        <v>1552</v>
      </c>
      <c r="C68" t="s">
        <v>113</v>
      </c>
      <c r="D68" t="s">
        <v>1514</v>
      </c>
      <c r="E68" t="s">
        <v>1515</v>
      </c>
      <c r="F68" t="s">
        <v>1516</v>
      </c>
      <c r="G68" s="193" t="str">
        <f>IF(FOTOS_MAY_29!B23="","",FOTOS_MAY_29!B23)</f>
        <v/>
      </c>
      <c r="H68" s="193" t="str">
        <f t="shared" si="2"/>
        <v>No</v>
      </c>
    </row>
    <row r="69" spans="1:8" x14ac:dyDescent="0.3">
      <c r="A69" s="249">
        <f>FOTOS_MAY_29!$A$1</f>
        <v>47239</v>
      </c>
      <c r="B69" t="s">
        <v>1552</v>
      </c>
      <c r="C69" t="s">
        <v>113</v>
      </c>
      <c r="D69" t="s">
        <v>1517</v>
      </c>
      <c r="E69" t="s">
        <v>1518</v>
      </c>
      <c r="F69" t="s">
        <v>1519</v>
      </c>
      <c r="G69" s="193" t="str">
        <f>IF(FOTOS_MAY_29!I23="","",FOTOS_MAY_29!I23)</f>
        <v/>
      </c>
      <c r="H69" s="193" t="str">
        <f t="shared" si="2"/>
        <v>No</v>
      </c>
    </row>
    <row r="70" spans="1:8" x14ac:dyDescent="0.3">
      <c r="A70" s="249">
        <f>FOTOS_JUN_29!$A$1</f>
        <v>47270</v>
      </c>
      <c r="B70" t="s">
        <v>1553</v>
      </c>
      <c r="C70" t="s">
        <v>113</v>
      </c>
      <c r="D70" t="s">
        <v>1514</v>
      </c>
      <c r="E70" t="s">
        <v>1515</v>
      </c>
      <c r="F70" t="s">
        <v>1516</v>
      </c>
      <c r="G70" s="193" t="str">
        <f>IF(FOTOS_JUN_29!B23="","",FOTOS_JUN_29!B23)</f>
        <v/>
      </c>
      <c r="H70" s="193" t="str">
        <f t="shared" si="2"/>
        <v>No</v>
      </c>
    </row>
    <row r="71" spans="1:8" x14ac:dyDescent="0.3">
      <c r="A71" s="249">
        <f>FOTOS_JUN_29!$A$1</f>
        <v>47270</v>
      </c>
      <c r="B71" t="s">
        <v>1553</v>
      </c>
      <c r="C71" t="s">
        <v>113</v>
      </c>
      <c r="D71" t="s">
        <v>1517</v>
      </c>
      <c r="E71" t="s">
        <v>1518</v>
      </c>
      <c r="F71" t="s">
        <v>1519</v>
      </c>
      <c r="G71" s="193" t="str">
        <f>IF(FOTOS_JUN_29!I23="","",FOTOS_JUN_29!I23)</f>
        <v/>
      </c>
      <c r="H71" s="193" t="str">
        <f t="shared" si="2"/>
        <v>No</v>
      </c>
    </row>
  </sheetData>
  <sheetProtection sheet="1" objects="1" scenarios="1" formatCells="1" formatColumns="1" formatRows="1" insertColumns="1" insertRows="1" insertHyperlinks="0" deleteColumns="1" deleteRows="1" selectLockedCells="0" selectUnlockedCells="0" sort="0" autoFilter="0" pivotTables="1" password="9F52"/>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60</vt:i4>
      </vt:variant>
      <vt:variant>
        <vt:lpstr>Rangos con nombre</vt:lpstr>
      </vt:variant>
      <vt:variant>
        <vt:i4>2</vt:i4>
      </vt:variant>
    </vt:vector>
  </HeadingPairs>
  <TitlesOfParts>
    <vt:vector size="62" baseType="lpstr">
      <vt:lpstr>Control</vt:lpstr>
      <vt:lpstr>_TARGETS</vt:lpstr>
      <vt:lpstr>Datos</vt:lpstr>
      <vt:lpstr>Observaciones-SMP</vt:lpstr>
      <vt:lpstr>MAPs</vt:lpstr>
      <vt:lpstr>KPIs</vt:lpstr>
      <vt:lpstr>FOTOS_AGO_26</vt:lpstr>
      <vt:lpstr>FOTOS_SEP_26</vt:lpstr>
      <vt:lpstr>FOTOS_OCT_26</vt:lpstr>
      <vt:lpstr>FOTOS_NOV_26</vt:lpstr>
      <vt:lpstr>FOTOS_DIC_26</vt:lpstr>
      <vt:lpstr>FOTOS_ENE_27</vt:lpstr>
      <vt:lpstr>FOTOS_FEB_27</vt:lpstr>
      <vt:lpstr>FOTOS_MAR_27</vt:lpstr>
      <vt:lpstr>FOTOS_ABR_27</vt:lpstr>
      <vt:lpstr>FOTOS_MAY_27</vt:lpstr>
      <vt:lpstr>FOTOS_JUN_27</vt:lpstr>
      <vt:lpstr>FOTOS_JUL_27</vt:lpstr>
      <vt:lpstr>FOTOS_AGO_27</vt:lpstr>
      <vt:lpstr>FOTOS_SEP_27</vt:lpstr>
      <vt:lpstr>FOTOS_OCT_27</vt:lpstr>
      <vt:lpstr>FOTOS_NOV_27</vt:lpstr>
      <vt:lpstr>FOTOS_DIC_27</vt:lpstr>
      <vt:lpstr>FOTOS_ENE_28</vt:lpstr>
      <vt:lpstr>FOTOS_FEB_28</vt:lpstr>
      <vt:lpstr>FOTOS_MAR_28</vt:lpstr>
      <vt:lpstr>FOTOS_ABR_28</vt:lpstr>
      <vt:lpstr>FOTOS_MAY_28</vt:lpstr>
      <vt:lpstr>FOTOS_JUN_28</vt:lpstr>
      <vt:lpstr>FOTOS_JUL_28</vt:lpstr>
      <vt:lpstr>FOTOS_AGO_28</vt:lpstr>
      <vt:lpstr>FOTOS_SEP_28</vt:lpstr>
      <vt:lpstr>FOTOS_OCT_28</vt:lpstr>
      <vt:lpstr>FOTOS_NOV_28</vt:lpstr>
      <vt:lpstr>FOTOS_DIC_28</vt:lpstr>
      <vt:lpstr>FOTOS_ENE_29</vt:lpstr>
      <vt:lpstr>FOTOS_FEB_29</vt:lpstr>
      <vt:lpstr>FOTOS_MAR_29</vt:lpstr>
      <vt:lpstr>FOTOS_ABR_29</vt:lpstr>
      <vt:lpstr>FOTOS_MAY_29</vt:lpstr>
      <vt:lpstr>FOTOS_JUN_29</vt:lpstr>
      <vt:lpstr>Listas</vt:lpstr>
      <vt:lpstr>BD_Datos</vt:lpstr>
      <vt:lpstr>BD_KPIs</vt:lpstr>
      <vt:lpstr>_INT_KPI</vt:lpstr>
      <vt:lpstr>_RAW_OPS</vt:lpstr>
      <vt:lpstr>_RAW_GPS</vt:lpstr>
      <vt:lpstr>_HLP_NORMALIZED</vt:lpstr>
      <vt:lpstr>_FIND_DS</vt:lpstr>
      <vt:lpstr>_QA</vt:lpstr>
      <vt:lpstr>_HLP_PPT</vt:lpstr>
      <vt:lpstr>_HIST_KPI</vt:lpstr>
      <vt:lpstr>_RPT_META</vt:lpstr>
      <vt:lpstr>_RPT_CARDS</vt:lpstr>
      <vt:lpstr>_RPT_CHART</vt:lpstr>
      <vt:lpstr>_RPT_PPT</vt:lpstr>
      <vt:lpstr>_RPT_SPEC_CHART</vt:lpstr>
      <vt:lpstr>_RPT_SPEC_STATUS</vt:lpstr>
      <vt:lpstr>_RPT_GLOSS</vt:lpstr>
      <vt:lpstr>_FOTOS_MAP</vt:lpstr>
      <vt:lpstr>RPT_MONTH</vt:lpstr>
      <vt:lpstr>RPT_SCOPE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Saenz santamaria</cp:lastModifiedBy>
  <cp:revision>4</cp:revision>
  <dcterms:created xsi:type="dcterms:W3CDTF">2026-09-23T13:57:57Z</dcterms:created>
  <dcterms:modified xsi:type="dcterms:W3CDTF">2026-10-30T17:57:47Z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2026-10-07T18:38:21Z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1f9fcbdb-b18b-4ac8-9ac3-1bdb4871f0f6</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